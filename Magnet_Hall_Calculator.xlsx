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7.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3f367e3c7b4e79" /></Relationships>
</file>

<file path=xl/workbook.xml><?xml version="1.0" encoding="utf-8"?>
<x:workbook xmlns:x="http://schemas.openxmlformats.org/spreadsheetml/2006/main">
  <x:sheets>
    <x:sheet xmlns:r="http://schemas.openxmlformats.org/officeDocument/2006/relationships" name="Read me" sheetId="1" r:id="R4b5d76377f0e498d"/>
    <x:sheet xmlns:r="http://schemas.openxmlformats.org/officeDocument/2006/relationships" name="Inputs" sheetId="2" r:id="Rb044823c9b724733"/>
    <x:sheet xmlns:r="http://schemas.openxmlformats.org/officeDocument/2006/relationships" name="Calibration" sheetId="3" r:id="R7c44608f1cff4a1c"/>
    <x:sheet xmlns:r="http://schemas.openxmlformats.org/officeDocument/2006/relationships" name="Results" sheetId="4" r:id="R175ac20edc8b4739"/>
    <x:sheet xmlns:r="http://schemas.openxmlformats.org/officeDocument/2006/relationships" name="Distance curves" sheetId="5" r:id="R451470e3c4d74035"/>
    <x:sheet xmlns:r="http://schemas.openxmlformats.org/officeDocument/2006/relationships" name="B-H model" sheetId="6" r:id="Re169627686374e48"/>
    <x:sheet xmlns:r="http://schemas.openxmlformats.org/officeDocument/2006/relationships" name="Aging" sheetId="7" r:id="R088a3989543e4da1"/>
    <x:sheet xmlns:r="http://schemas.openxmlformats.org/officeDocument/2006/relationships" name="Solver" sheetId="8" r:id="R376e2c9300614a3a"/>
    <x:sheet xmlns:r="http://schemas.openxmlformats.org/officeDocument/2006/relationships" name="Sources" sheetId="9" r:id="R7bff19851b3b4f48"/>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0"/>
    <x:numFmt numFmtId="201" formatCode="@"/>
    <x:numFmt numFmtId="202" formatCode="0.0%"/>
    <x:numFmt numFmtId="203" formatCode="0.0000"/>
    <x:numFmt numFmtId="204" formatCode="0.00"/>
    <x:numFmt numFmtId="205" formatCode="0.000000"/>
    <x:numFmt numFmtId="206" formatCode="0.0"/>
  </x:numFmts>
  <x:fonts count="6">
    <x:font>
      <x:sz val="11"/>
      <x:name val="Carlito"/>
    </x:font>
    <x:font>
      <x:sz val="11"/>
      <x:color rgb="FF18232F"/>
      <x:name val="Arial"/>
    </x:font>
    <x:font>
      <x:b/>
      <x:sz val="18"/>
      <x:color rgb="FF18232F"/>
      <x:name val="Arial"/>
    </x:font>
    <x:font>
      <x:i/>
      <x:sz val="10"/>
      <x:color rgb="FF596775"/>
      <x:name val="Arial"/>
    </x:font>
    <x:font>
      <x:b/>
      <x:sz val="11"/>
      <x:color rgb="FFFFFFFF"/>
      <x:name val="Arial"/>
    </x:font>
    <x:font>
      <x:sz val="11"/>
      <x:color rgb="FF174EA6"/>
      <x:name val="Arial"/>
    </x:font>
  </x:fonts>
  <x:fills count="4">
    <x:fill>
      <x:patternFill patternType="none"/>
    </x:fill>
    <x:fill>
      <x:patternFill patternType="gray125"/>
    </x:fill>
    <x:fill>
      <x:patternFill patternType="solid">
        <x:fgColor rgb="FF26394D"/>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200" fontId="5" fillId="3" borderId="0" xfId="0" applyNumberFormat="1" applyFont="1" applyFill="1" applyBorder="1" applyAlignment="1">
      <x:alignment vertical="center" wrapText="1"/>
    </x:xf>
    <x:xf numFmtId="201" fontId="5" fillId="3" borderId="0" xfId="0" applyNumberFormat="1" applyFont="1" applyFill="1" applyBorder="1" applyAlignment="1">
      <x:alignment vertical="center" wrapText="1"/>
    </x:xf>
    <x:xf numFmtId="202" fontId="5" fillId="3" borderId="0" xfId="0" applyNumberFormat="1" applyFont="1" applyFill="1" applyBorder="1" applyAlignment="1">
      <x:alignment vertical="center" wrapText="1"/>
    </x:xf>
    <x:xf numFmtId="203" fontId="5" fillId="3"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204"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5" fontId="1" fillId="0" borderId="0" xfId="0" applyNumberFormat="1" applyFont="1" applyFill="1" applyBorder="1" applyAlignment="1">
      <x:alignment vertical="center"/>
    </x:xf>
    <x:xf numFmtId="202" fontId="0" fillId="0" borderId="0" xfId="0" applyNumberFormat="1" applyFont="1" applyFill="1" applyBorder="1"/>
    <x:xf numFmtId="206" fontId="1" fillId="0" borderId="0" xfId="0" applyNumberFormat="1" applyFont="1" applyFill="1" applyBorder="1" applyAlignment="1">
      <x:alignment vertical="center"/>
    </x:xf>
    <x:xf numFmtId="206" fontId="0" fillId="0" borderId="0" xfId="0" applyNumberFormat="1" applyFont="1" applyFill="1" applyBorder="1"/>
    <x:xf numFmtId="205" fontId="1" fillId="0" borderId="0" xfId="0" applyNumberFormat="1" applyFont="1" applyFill="1" applyBorder="1" applyAlignment="1">
      <x:alignment vertical="center" wrapText="1"/>
    </x:xf>
  </x:cellXfs>
  <x:cellStyles count="1">
    <x:cellStyle name="Normal" xfId="0"/>
  </x:cellStyles>
  <x:dxfs count="1">
    <x:dxf>
      <x:font>
        <x:color rgb="FFA12622"/>
      </x:font>
      <x:fill>
        <x:patternFill patternType="solid">
          <x:bgColor rgb="FFFCE0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0d4d8db7014cfe" /><Relationship Type="http://schemas.openxmlformats.org/officeDocument/2006/relationships/theme" Target="/xl/theme/theme1.xml" Id="R0770c1a7ad494426" /><Relationship Type="http://schemas.openxmlformats.org/officeDocument/2006/relationships/sharedStrings" Target="/xl/sharedStrings.xml" Id="Re5158f12384841e6" /><Relationship Type="http://schemas.openxmlformats.org/officeDocument/2006/relationships/worksheet" Target="/xl/worksheets/sheet1.xml" Id="R4b5d76377f0e498d" /><Relationship Type="http://schemas.openxmlformats.org/officeDocument/2006/relationships/worksheet" Target="/xl/worksheets/sheet2.xml" Id="Rb044823c9b724733" /><Relationship Type="http://schemas.openxmlformats.org/officeDocument/2006/relationships/worksheet" Target="/xl/worksheets/sheet3.xml" Id="R7c44608f1cff4a1c" /><Relationship Type="http://schemas.openxmlformats.org/officeDocument/2006/relationships/worksheet" Target="/xl/worksheets/sheet4.xml" Id="R175ac20edc8b4739" /><Relationship Type="http://schemas.openxmlformats.org/officeDocument/2006/relationships/worksheet" Target="/xl/worksheets/sheet5.xml" Id="R451470e3c4d74035" /><Relationship Type="http://schemas.openxmlformats.org/officeDocument/2006/relationships/worksheet" Target="/xl/worksheets/sheet6.xml" Id="Re169627686374e48" /><Relationship Type="http://schemas.openxmlformats.org/officeDocument/2006/relationships/worksheet" Target="/xl/worksheets/sheet7.xml" Id="R088a3989543e4da1" /><Relationship Type="http://schemas.openxmlformats.org/officeDocument/2006/relationships/worksheet" Target="/xl/worksheets/sheet8.xml" Id="R376e2c9300614a3a" /><Relationship Type="http://schemas.openxmlformats.org/officeDocument/2006/relationships/worksheet" Target="/xl/worksheets/sheet9.xml" Id="R7bff19851b3b4f48" /></Relationships>
</file>

<file path=xl/drawings/_rels/drawing1.xml.rels>&#65279;<?xml version="1.0" encoding="utf-8"?><Relationships xmlns="http://schemas.openxmlformats.org/package/2006/relationships"><Relationship Type="http://schemas.openxmlformats.org/officeDocument/2006/relationships/chart" Target="/xl/drawings/charts/chart1.xml" Id="R10970aa5fe644cba" /></Relationships>
</file>

<file path=xl/drawings/_rels/drawing2.xml.rels>&#65279;<?xml version="1.0" encoding="utf-8"?><Relationships xmlns="http://schemas.openxmlformats.org/package/2006/relationships"><Relationship Type="http://schemas.openxmlformats.org/officeDocument/2006/relationships/chart" Target="/xl/drawings/charts/chart2.xml" Id="R8166363805e84808" /></Relationships>
</file>

<file path=xl/drawings/_rels/drawing3.xml.rels>&#65279;<?xml version="1.0" encoding="utf-8"?><Relationships xmlns="http://schemas.openxmlformats.org/package/2006/relationships"><Relationship Type="http://schemas.openxmlformats.org/officeDocument/2006/relationships/chart" Target="/xl/drawings/charts/chart3.xml" Id="R8deb9a5812cb4b7e"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sz="1050">
                <a:latin typeface="Arial"/>
                <a:ea typeface="Arial"/>
                <a:cs typeface="Arial"/>
              </a:rPr>
              <a:t>Field and sensor thresholds</a:t>
            </a:r>
          </a:p>
        </c:rich>
      </c:tx>
      <c:overlay val="0"/>
      <c:txPr>
        <a:bodyPr anchorCtr="1"/>
        <a:lstStyle/>
        <a:p>
          <a:pPr>
            <a:defRPr sz="1050">
              <a:latin typeface="Arial"/>
              <a:ea typeface="Arial"/>
              <a:cs typeface="Arial"/>
            </a:defRPr>
          </a:pPr>
        </a:p>
      </c:txPr>
    </c:title>
    <c:plotArea>
      <c:scatterChart>
        <c:scatterStyle val="lineMarker"/>
        <c:ser>
          <c:idx val="0"/>
          <c:order val="0"/>
          <c:tx>
            <c:v>Magnet 1 side (G)</c:v>
          </c:tx>
          <c:spPr>
            <a:ln w="25400">
              <a:solidFill>
                <a:srgbClr val="176B8F"/>
              </a:solidFill>
            </a:ln>
          </c:spPr>
          <c:marker>
            <c:symbol val="none"/>
          </c:marker>
          <c:xVal>
            <c:numRef>
              <c:f>'Distance curves'!$A$5:$A$205</c:f>
              <c:numCache>
                <c:formatCode>General</c:formatCode>
                <c:ptCount val="0"/>
              </c:numCache>
            </c:numRef>
          </c:xVal>
          <c:yVal>
            <c:numRef>
              <c:f>'Distance curves'!$B$5:$B$205</c:f>
              <c:numCache>
                <c:formatCode>0.00</c:formatCode>
                <c:ptCount val="0"/>
              </c:numCache>
            </c:numRef>
          </c:yVal>
          <c:smooth val="0"/>
        </c:ser>
        <c:ser>
          <c:idx val="1"/>
          <c:order val="1"/>
          <c:tx>
            <c:v>Magnet 2 side (G)</c:v>
          </c:tx>
          <c:spPr>
            <a:ln w="25400">
              <a:solidFill>
                <a:srgbClr val="C35B28"/>
              </a:solidFill>
            </a:ln>
          </c:spPr>
          <c:marker>
            <c:symbol val="none"/>
          </c:marker>
          <c:xVal>
            <c:numRef>
              <c:f>'Distance curves'!$A$5:$A$205</c:f>
              <c:numCache>
                <c:formatCode>General</c:formatCode>
                <c:ptCount val="0"/>
              </c:numCache>
            </c:numRef>
          </c:xVal>
          <c:yVal>
            <c:numRef>
              <c:f>'Distance curves'!$C$5:$C$205</c:f>
              <c:numCache>
                <c:formatCode>0.00</c:formatCode>
                <c:ptCount val="0"/>
              </c:numCache>
            </c:numRef>
          </c:yVal>
          <c:smooth val="0"/>
        </c:ser>
        <c:ser>
          <c:idx val="2"/>
          <c:order val="2"/>
          <c:tx>
            <c:v>Max Bop high (G)</c:v>
          </c:tx>
          <c:spPr>
            <a:ln w="17780">
              <a:solidFill>
                <a:srgbClr val="376B3C"/>
              </a:solidFill>
              <a:prstDash val="dash"/>
            </a:ln>
          </c:spPr>
          <c:marker>
            <c:symbol val="none"/>
          </c:marker>
          <c:xVal>
            <c:numRef>
              <c:f>'Distance curves'!$A$5:$A$205</c:f>
              <c:numCache>
                <c:formatCode>General</c:formatCode>
                <c:ptCount val="0"/>
              </c:numCache>
            </c:numRef>
          </c:xVal>
          <c:yVal>
            <c:numRef>
              <c:f>'Distance curves'!$D$5:$D$205</c:f>
              <c:numCache>
                <c:formatCode>0.00</c:formatCode>
                <c:ptCount val="0"/>
              </c:numCache>
            </c:numRef>
          </c:yVal>
          <c:smooth val="0"/>
        </c:ser>
        <c:ser>
          <c:idx val="3"/>
          <c:order val="3"/>
          <c:tx>
            <c:v>Min Bop high (G)</c:v>
          </c:tx>
          <c:spPr>
            <a:ln w="17780">
              <a:solidFill>
                <a:srgbClr val="B46B28"/>
              </a:solidFill>
              <a:prstDash val="dash"/>
            </a:ln>
          </c:spPr>
          <c:marker>
            <c:symbol val="none"/>
          </c:marker>
          <c:xVal>
            <c:numRef>
              <c:f>'Distance curves'!$A$5:$A$205</c:f>
              <c:numCache>
                <c:formatCode>General</c:formatCode>
                <c:ptCount val="0"/>
              </c:numCache>
            </c:numRef>
          </c:xVal>
          <c:yVal>
            <c:numRef>
              <c:f>'Distance curves'!$E$5:$E$205</c:f>
              <c:numCache>
                <c:formatCode>0.00</c:formatCode>
                <c:ptCount val="0"/>
              </c:numCache>
            </c:numRef>
          </c:yVal>
          <c:smooth val="0"/>
        </c:ser>
        <c:ser>
          <c:idx val="4"/>
          <c:order val="4"/>
          <c:tx>
            <c:v>Max Brp low (G)</c:v>
          </c:tx>
          <c:spPr>
            <a:ln w="17780">
              <a:solidFill>
                <a:srgbClr val="765CA8"/>
              </a:solidFill>
              <a:prstDash val="dash"/>
            </a:ln>
          </c:spPr>
          <c:marker>
            <c:symbol val="none"/>
          </c:marker>
          <c:xVal>
            <c:numRef>
              <c:f>'Distance curves'!$A$5:$A$205</c:f>
              <c:numCache>
                <c:formatCode>General</c:formatCode>
                <c:ptCount val="0"/>
              </c:numCache>
            </c:numRef>
          </c:xVal>
          <c:yVal>
            <c:numRef>
              <c:f>'Distance curves'!$F$5:$F$205</c:f>
              <c:numCache>
                <c:formatCode>0.00</c:formatCode>
                <c:ptCount val="0"/>
              </c:numCache>
            </c:numRef>
          </c:yVal>
          <c:smooth val="0"/>
        </c:ser>
        <c:ser>
          <c:idx val="5"/>
          <c:order val="5"/>
          <c:tx>
            <c:v>Min Brp low (G)</c:v>
          </c:tx>
          <c:spPr>
            <a:ln w="17780">
              <a:solidFill>
                <a:srgbClr val="5F858B"/>
              </a:solidFill>
              <a:prstDash val="dash"/>
            </a:ln>
          </c:spPr>
          <c:marker>
            <c:symbol val="none"/>
          </c:marker>
          <c:xVal>
            <c:numRef>
              <c:f>'Distance curves'!$A$5:$A$205</c:f>
              <c:numCache>
                <c:formatCode>General</c:formatCode>
                <c:ptCount val="0"/>
              </c:numCache>
            </c:numRef>
          </c:xVal>
          <c:yVal>
            <c:numRef>
              <c:f>'Distance curves'!$G$5:$G$205</c:f>
              <c:numCache>
                <c:formatCode>0.00</c:formatCode>
                <c:ptCount val="0"/>
              </c:numCache>
            </c:numRef>
          </c:yVal>
          <c:smooth val="0"/>
        </c:ser>
        <c:axId val="48650112"/>
        <c:axId val="48672768"/>
      </c:scatterChart>
      <c:valAx>
        <c:axId val="48672768"/>
        <c:scaling>
          <c:orientation val="minMax"/>
        </c:scaling>
        <c:delete val="0"/>
        <c:axPos val="l"/>
        <c:majorGridlines>
          <c:spPr>
            <a:ln w="9525">
              <a:solidFill>
                <a:srgbClr val="CCCCCC"/>
              </a:solidFill>
              <a:prstDash val="dash"/>
            </a:ln>
          </c:spPr>
        </c:majorGridlines>
        <c:title>
          <c:tx>
            <c:rich>
              <a:bodyPr/>
              <a:lstStyle/>
              <a:p>
                <a:r>
                  <a:t>South-directed field (G)</a:t>
                </a:r>
              </a:p>
            </c:rich>
          </c:tx>
          <c:overlay val="0"/>
        </c:title>
        <c:numFmt formatCode="0.0" sourceLinked="0"/>
        <c:majorTickMark val="none"/>
        <c:minorTickMark val="none"/>
        <c:txPr>
          <a:bodyPr anchorCtr="1"/>
          <a:lstStyle/>
          <a:p>
            <a:pPr>
              <a:defRPr sz="750">
                <a:latin typeface="Arial"/>
                <a:ea typeface="Arial"/>
                <a:cs typeface="Arial"/>
              </a:defRPr>
            </a:pPr>
          </a:p>
        </c:txPr>
        <c:crossAx val="48650112"/>
      </c:valAx>
      <c:valAx>
        <c:axId val="48650112"/>
        <c:scaling>
          <c:orientation val="minMax"/>
        </c:scaling>
        <c:delete val="0"/>
        <c:axPos val="b"/>
        <c:majorGridlines>
          <c:spPr>
            <a:ln w="9525">
              <a:solidFill>
                <a:srgbClr val="CCCCCC"/>
              </a:solidFill>
              <a:prstDash val="dash"/>
            </a:ln>
          </c:spPr>
        </c:majorGridlines>
        <c:title>
          <c:tx>
            <c:rich>
              <a:bodyPr/>
              <a:lstStyle/>
              <a:p>
                <a:r>
                  <a:t>Face gap (mm)</a:t>
                </a:r>
              </a:p>
            </c:rich>
          </c:tx>
          <c:overlay val="0"/>
        </c:title>
        <c:numFmt formatCode="0.0" sourceLinked="0"/>
        <c:majorTickMark val="none"/>
        <c:minorTickMark val="none"/>
        <c:tickLblPos val="nextTo"/>
        <c:txPr>
          <a:bodyPr anchorCtr="1"/>
          <a:lstStyle/>
          <a:p>
            <a:pPr>
              <a:defRPr sz="750">
                <a:latin typeface="Arial"/>
                <a:ea typeface="Arial"/>
                <a:cs typeface="Arial"/>
              </a:defRPr>
            </a:pPr>
          </a:p>
        </c:txPr>
        <c:crossAx val="48672768"/>
      </c:valAx>
    </c:plotArea>
    <c:legend>
      <c:legendPos val="b"/>
      <c:overlay val="0"/>
      <c:txPr>
        <a:bodyPr anchorCtr="1"/>
        <a:lstStyle/>
        <a:p>
          <a:pPr>
            <a:defRPr sz="750">
              <a:latin typeface="Arial"/>
              <a:ea typeface="Arial"/>
              <a:cs typeface="Arial"/>
            </a:defRPr>
          </a:pPr>
        </a:p>
      </c:txPr>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sz="1050">
                <a:latin typeface="Arial"/>
                <a:ea typeface="Arial"/>
                <a:cs typeface="Arial"/>
              </a:rPr>
              <a:t>Initial and switch-loss recoil lines</a:t>
            </a:r>
          </a:p>
        </c:rich>
      </c:tx>
      <c:overlay val="0"/>
      <c:txPr>
        <a:bodyPr anchorCtr="1"/>
        <a:lstStyle/>
        <a:p>
          <a:pPr>
            <a:defRPr sz="1050">
              <a:latin typeface="Arial"/>
              <a:ea typeface="Arial"/>
              <a:cs typeface="Arial"/>
            </a:defRPr>
          </a:pPr>
        </a:p>
      </c:txPr>
    </c:title>
    <c:plotArea>
      <c:scatterChart>
        <c:scatterStyle val="lineMarker"/>
        <c:ser>
          <c:idx val="0"/>
          <c:order val="0"/>
          <c:tx>
            <c:v>M1 initial recoil (T)</c:v>
          </c:tx>
          <c:spPr>
            <a:ln w="25400">
              <a:solidFill>
                <a:srgbClr val="176B8F"/>
              </a:solidFill>
            </a:ln>
          </c:spPr>
          <c:marker>
            <c:symbol val="none"/>
          </c:marker>
          <c:xVal>
            <c:numRef>
              <c:f>'B-H model'!$A$18:$A$120</c:f>
              <c:numCache>
                <c:formatCode>General</c:formatCode>
                <c:ptCount val="0"/>
              </c:numCache>
            </c:numRef>
          </c:xVal>
          <c:yVal>
            <c:numRef>
              <c:f>'B-H model'!$B$18:$B$120</c:f>
              <c:numCache>
                <c:formatCode>0.000</c:formatCode>
                <c:ptCount val="0"/>
              </c:numCache>
            </c:numRef>
          </c:yVal>
          <c:smooth val="0"/>
        </c:ser>
        <c:ser>
          <c:idx val="1"/>
          <c:order val="1"/>
          <c:tx>
            <c:v>M2 initial recoil (T)</c:v>
          </c:tx>
          <c:spPr>
            <a:ln w="25400">
              <a:solidFill>
                <a:srgbClr val="C35B28"/>
              </a:solidFill>
            </a:ln>
          </c:spPr>
          <c:marker>
            <c:symbol val="none"/>
          </c:marker>
          <c:xVal>
            <c:numRef>
              <c:f>'B-H model'!$A$18:$A$120</c:f>
              <c:numCache>
                <c:formatCode>General</c:formatCode>
                <c:ptCount val="0"/>
              </c:numCache>
            </c:numRef>
          </c:xVal>
          <c:yVal>
            <c:numRef>
              <c:f>'B-H model'!$C$18:$C$120</c:f>
              <c:numCache>
                <c:formatCode>0.000</c:formatCode>
                <c:ptCount val="0"/>
              </c:numCache>
            </c:numRef>
          </c:yVal>
          <c:smooth val="0"/>
        </c:ser>
        <c:ser>
          <c:idx val="2"/>
          <c:order val="2"/>
          <c:tx>
            <c:v>M1 at switch loss (T)</c:v>
          </c:tx>
          <c:spPr>
            <a:ln w="17780">
              <a:solidFill>
                <a:srgbClr val="176B8F"/>
              </a:solidFill>
              <a:prstDash val="dash"/>
            </a:ln>
          </c:spPr>
          <c:marker>
            <c:symbol val="none"/>
          </c:marker>
          <c:xVal>
            <c:numRef>
              <c:f>'B-H model'!$A$18:$A$120</c:f>
              <c:numCache>
                <c:formatCode>General</c:formatCode>
                <c:ptCount val="0"/>
              </c:numCache>
            </c:numRef>
          </c:xVal>
          <c:yVal>
            <c:numRef>
              <c:f>'B-H model'!$D$18:$D$120</c:f>
              <c:numCache>
                <c:formatCode>0.000</c:formatCode>
                <c:ptCount val="0"/>
              </c:numCache>
            </c:numRef>
          </c:yVal>
          <c:smooth val="0"/>
        </c:ser>
        <c:ser>
          <c:idx val="3"/>
          <c:order val="3"/>
          <c:tx>
            <c:v>M2 at switch loss (T)</c:v>
          </c:tx>
          <c:spPr>
            <a:ln w="17780">
              <a:solidFill>
                <a:srgbClr val="C35B28"/>
              </a:solidFill>
              <a:prstDash val="dash"/>
            </a:ln>
          </c:spPr>
          <c:marker>
            <c:symbol val="none"/>
          </c:marker>
          <c:xVal>
            <c:numRef>
              <c:f>'B-H model'!$A$18:$A$120</c:f>
              <c:numCache>
                <c:formatCode>General</c:formatCode>
                <c:ptCount val="0"/>
              </c:numCache>
            </c:numRef>
          </c:xVal>
          <c:yVal>
            <c:numRef>
              <c:f>'B-H model'!$E$18:$E$120</c:f>
              <c:numCache>
                <c:formatCode>0.000</c:formatCode>
                <c:ptCount val="0"/>
              </c:numCache>
            </c:numRef>
          </c:yVal>
          <c:smooth val="0"/>
        </c:ser>
        <c:ser>
          <c:idx val="4"/>
          <c:order val="4"/>
          <c:tx>
            <c:v>M1 load line (T)</c:v>
          </c:tx>
          <c:spPr>
            <a:ln w="17780">
              <a:solidFill>
                <a:srgbClr val="707B86"/>
              </a:solidFill>
              <a:prstDash val="dash"/>
            </a:ln>
          </c:spPr>
          <c:marker>
            <c:symbol val="none"/>
          </c:marker>
          <c:xVal>
            <c:numRef>
              <c:f>'B-H model'!$A$18:$A$120</c:f>
              <c:numCache>
                <c:formatCode>General</c:formatCode>
                <c:ptCount val="0"/>
              </c:numCache>
            </c:numRef>
          </c:xVal>
          <c:yVal>
            <c:numRef>
              <c:f>'B-H model'!$F$18:$F$120</c:f>
              <c:numCache>
                <c:formatCode>0.000</c:formatCode>
                <c:ptCount val="0"/>
              </c:numCache>
            </c:numRef>
          </c:yVal>
          <c:smooth val="0"/>
        </c:ser>
        <c:ser>
          <c:idx val="5"/>
          <c:order val="5"/>
          <c:tx>
            <c:v>M2 load line (T)</c:v>
          </c:tx>
          <c:spPr>
            <a:ln w="17780">
              <a:solidFill>
                <a:srgbClr val="A3ADB7"/>
              </a:solidFill>
              <a:prstDash val="dash"/>
            </a:ln>
          </c:spPr>
          <c:marker>
            <c:symbol val="none"/>
          </c:marker>
          <c:xVal>
            <c:numRef>
              <c:f>'B-H model'!$A$18:$A$120</c:f>
              <c:numCache>
                <c:formatCode>General</c:formatCode>
                <c:ptCount val="0"/>
              </c:numCache>
            </c:numRef>
          </c:xVal>
          <c:yVal>
            <c:numRef>
              <c:f>'B-H model'!$G$18:$G$120</c:f>
              <c:numCache>
                <c:formatCode>0.000</c:formatCode>
                <c:ptCount val="0"/>
              </c:numCache>
            </c:numRef>
          </c:yVal>
          <c:smooth val="0"/>
        </c:ser>
        <c:ser>
          <c:idx val="6"/>
          <c:order val="6"/>
          <c:tx>
            <c:v>M1 loss point (T)</c:v>
          </c:tx>
          <c:spPr>
            <a:ln w="17780">
              <a:noFill/>
            </a:ln>
          </c:spPr>
          <c:marker>
            <c:symbol val="circle"/>
            <c:size val="10"/>
            <c:spPr>
              <a:solidFill>
                <a:srgbClr val="176B8F"/>
              </a:solidFill>
              <a:ln w="12700">
                <a:solidFill>
                  <a:srgbClr val="FFFFFF"/>
                </a:solidFill>
              </a:ln>
            </c:spPr>
          </c:marker>
          <c:xVal>
            <c:numRef>
              <c:f>'B-H model'!$A$18:$A$120</c:f>
              <c:numCache>
                <c:formatCode>General</c:formatCode>
                <c:ptCount val="0"/>
              </c:numCache>
            </c:numRef>
          </c:xVal>
          <c:yVal>
            <c:numRef>
              <c:f>'B-H model'!$H$18:$H$120</c:f>
              <c:numCache>
                <c:formatCode>0.000</c:formatCode>
                <c:ptCount val="0"/>
              </c:numCache>
            </c:numRef>
          </c:yVal>
          <c:smooth val="0"/>
        </c:ser>
        <c:ser>
          <c:idx val="7"/>
          <c:order val="7"/>
          <c:tx>
            <c:v>M2 loss point (T)</c:v>
          </c:tx>
          <c:spPr>
            <a:ln w="17780">
              <a:noFill/>
            </a:ln>
          </c:spPr>
          <c:marker>
            <c:symbol val="diamond"/>
            <c:size val="10"/>
            <c:spPr>
              <a:solidFill>
                <a:srgbClr val="C35B28"/>
              </a:solidFill>
              <a:ln w="12700">
                <a:solidFill>
                  <a:srgbClr val="FFFFFF"/>
                </a:solidFill>
              </a:ln>
            </c:spPr>
          </c:marker>
          <c:xVal>
            <c:numRef>
              <c:f>'B-H model'!$A$18:$A$120</c:f>
              <c:numCache>
                <c:formatCode>General</c:formatCode>
                <c:ptCount val="0"/>
              </c:numCache>
            </c:numRef>
          </c:xVal>
          <c:yVal>
            <c:numRef>
              <c:f>'B-H model'!$I$18:$I$120</c:f>
              <c:numCache>
                <c:formatCode>0.000</c:formatCode>
                <c:ptCount val="0"/>
              </c:numCache>
            </c:numRef>
          </c:yVal>
          <c:smooth val="0"/>
        </c:ser>
        <c:axId val="48650112"/>
        <c:axId val="48672768"/>
      </c:scatterChart>
      <c:valAx>
        <c:axId val="48672768"/>
        <c:scaling>
          <c:orientation val="minMax"/>
        </c:scaling>
        <c:delete val="0"/>
        <c:axPos val="l"/>
        <c:majorGridlines>
          <c:spPr>
            <a:ln w="9525">
              <a:solidFill>
                <a:srgbClr val="CCCCCC"/>
              </a:solidFill>
              <a:prstDash val="dash"/>
            </a:ln>
          </c:spPr>
        </c:majorGridlines>
        <c:title>
          <c:tx>
            <c:rich>
              <a:bodyPr/>
              <a:lstStyle/>
              <a:p>
                <a:r>
                  <a:t>Internal B (T)</a:t>
                </a:r>
              </a:p>
            </c:rich>
          </c:tx>
          <c:overlay val="0"/>
        </c:title>
        <c:numFmt formatCode="0.0" sourceLinked="0"/>
        <c:majorTickMark val="none"/>
        <c:minorTickMark val="none"/>
        <c:txPr>
          <a:bodyPr anchorCtr="1"/>
          <a:lstStyle/>
          <a:p>
            <a:pPr>
              <a:defRPr sz="750">
                <a:latin typeface="Arial"/>
                <a:ea typeface="Arial"/>
                <a:cs typeface="Arial"/>
              </a:defRPr>
            </a:pPr>
          </a:p>
        </c:txPr>
        <c:crossAx val="48650112"/>
      </c:valAx>
      <c:valAx>
        <c:axId val="48650112"/>
        <c:scaling>
          <c:orientation val="minMax"/>
        </c:scaling>
        <c:delete val="0"/>
        <c:axPos val="b"/>
        <c:majorGridlines>
          <c:spPr>
            <a:ln w="9525">
              <a:solidFill>
                <a:srgbClr val="CCCCCC"/>
              </a:solidFill>
              <a:prstDash val="dash"/>
            </a:ln>
          </c:spPr>
        </c:majorGridlines>
        <c:title>
          <c:tx>
            <c:rich>
              <a:bodyPr/>
              <a:lstStyle/>
              <a:p>
                <a:r>
                  <a:t>Internal H (kA/m)</a:t>
                </a:r>
              </a:p>
            </c:rich>
          </c:tx>
          <c:overlay val="0"/>
        </c:title>
        <c:numFmt formatCode="0.0" sourceLinked="0"/>
        <c:majorTickMark val="none"/>
        <c:minorTickMark val="none"/>
        <c:tickLblPos val="nextTo"/>
        <c:txPr>
          <a:bodyPr anchorCtr="1"/>
          <a:lstStyle/>
          <a:p>
            <a:pPr>
              <a:defRPr sz="750">
                <a:latin typeface="Arial"/>
                <a:ea typeface="Arial"/>
                <a:cs typeface="Arial"/>
              </a:defRPr>
            </a:pPr>
          </a:p>
        </c:txPr>
        <c:crossAx val="48672768"/>
      </c:valAx>
    </c:plotArea>
    <c:legend>
      <c:legendPos val="b"/>
      <c:overlay val="0"/>
      <c:txPr>
        <a:bodyPr anchorCtr="1"/>
        <a:lstStyle/>
        <a:p>
          <a:pPr>
            <a:defRPr sz="750">
              <a:latin typeface="Arial"/>
              <a:ea typeface="Arial"/>
              <a:cs typeface="Arial"/>
            </a:defRPr>
          </a:pPr>
        </a:p>
      </c:txPr>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sz="1050">
                <a:latin typeface="Arial"/>
                <a:ea typeface="Arial"/>
                <a:cs typeface="Arial"/>
              </a:rPr>
              <a:t>Field loss under the entered aging scenario</a:t>
            </a:r>
          </a:p>
        </c:rich>
      </c:tx>
      <c:overlay val="0"/>
      <c:txPr>
        <a:bodyPr anchorCtr="1"/>
        <a:lstStyle/>
        <a:p>
          <a:pPr>
            <a:defRPr sz="1050">
              <a:latin typeface="Arial"/>
              <a:ea typeface="Arial"/>
              <a:cs typeface="Arial"/>
            </a:defRPr>
          </a:pPr>
        </a:p>
      </c:txPr>
    </c:title>
    <c:plotArea>
      <c:scatterChart>
        <c:scatterStyle val="lineMarker"/>
        <c:ser>
          <c:idx val="0"/>
          <c:order val="0"/>
          <c:tx>
            <c:v>Max endpoint field (G)</c:v>
          </c:tx>
          <c:spPr>
            <a:ln w="25400">
              <a:solidFill>
                <a:srgbClr val="176B8F"/>
              </a:solidFill>
            </a:ln>
          </c:spPr>
          <c:marker>
            <c:symbol val="none"/>
          </c:marker>
          <c:xVal>
            <c:numRef>
              <c:f>'Aging'!$A$18:$A$218</c:f>
              <c:numCache>
                <c:formatCode>General</c:formatCode>
                <c:ptCount val="0"/>
              </c:numCache>
            </c:numRef>
          </c:xVal>
          <c:yVal>
            <c:numRef>
              <c:f>'Aging'!$C$18:$C$218</c:f>
              <c:numCache>
                <c:formatCode>0.0</c:formatCode>
                <c:ptCount val="0"/>
              </c:numCache>
            </c:numRef>
          </c:yVal>
          <c:smooth val="0"/>
        </c:ser>
        <c:ser>
          <c:idx val="1"/>
          <c:order val="1"/>
          <c:tx>
            <c:v>Min endpoint field (G)</c:v>
          </c:tx>
          <c:spPr>
            <a:ln w="25400">
              <a:solidFill>
                <a:srgbClr val="C35B28"/>
              </a:solidFill>
            </a:ln>
          </c:spPr>
          <c:marker>
            <c:symbol val="none"/>
          </c:marker>
          <c:xVal>
            <c:numRef>
              <c:f>'Aging'!$A$18:$A$218</c:f>
              <c:numCache>
                <c:formatCode>General</c:formatCode>
                <c:ptCount val="0"/>
              </c:numCache>
            </c:numRef>
          </c:xVal>
          <c:yVal>
            <c:numRef>
              <c:f>'Aging'!$D$18:$D$218</c:f>
              <c:numCache>
                <c:formatCode>0.0</c:formatCode>
                <c:ptCount val="0"/>
              </c:numCache>
            </c:numRef>
          </c:yVal>
          <c:smooth val="0"/>
        </c:ser>
        <c:ser>
          <c:idx val="2"/>
          <c:order val="2"/>
          <c:tx>
            <c:v>Max operate bound (G)</c:v>
          </c:tx>
          <c:spPr>
            <a:ln w="17780">
              <a:solidFill>
                <a:srgbClr val="376B3C"/>
              </a:solidFill>
              <a:prstDash val="dash"/>
            </a:ln>
          </c:spPr>
          <c:marker>
            <c:symbol val="none"/>
          </c:marker>
          <c:xVal>
            <c:numRef>
              <c:f>'Aging'!$A$18:$A$218</c:f>
              <c:numCache>
                <c:formatCode>General</c:formatCode>
                <c:ptCount val="0"/>
              </c:numCache>
            </c:numRef>
          </c:xVal>
          <c:yVal>
            <c:numRef>
              <c:f>'Aging'!$E$18:$E$218</c:f>
              <c:numCache>
                <c:formatCode>0.0</c:formatCode>
                <c:ptCount val="0"/>
              </c:numCache>
            </c:numRef>
          </c:yVal>
          <c:smooth val="0"/>
        </c:ser>
        <c:ser>
          <c:idx val="3"/>
          <c:order val="3"/>
          <c:tx>
            <c:v>Min operate bound (G)</c:v>
          </c:tx>
          <c:spPr>
            <a:ln w="17780">
              <a:solidFill>
                <a:srgbClr val="B46B28"/>
              </a:solidFill>
              <a:prstDash val="dash"/>
            </a:ln>
          </c:spPr>
          <c:marker>
            <c:symbol val="none"/>
          </c:marker>
          <c:xVal>
            <c:numRef>
              <c:f>'Aging'!$A$18:$A$218</c:f>
              <c:numCache>
                <c:formatCode>General</c:formatCode>
                <c:ptCount val="0"/>
              </c:numCache>
            </c:numRef>
          </c:xVal>
          <c:yVal>
            <c:numRef>
              <c:f>'Aging'!$F$18:$F$218</c:f>
              <c:numCache>
                <c:formatCode>0.0</c:formatCode>
                <c:ptCount val="0"/>
              </c:numCache>
            </c:numRef>
          </c:yVal>
          <c:smooth val="0"/>
        </c:ser>
        <c:axId val="48650112"/>
        <c:axId val="48672768"/>
      </c:scatterChart>
      <c:valAx>
        <c:axId val="48672768"/>
        <c:scaling>
          <c:orientation val="minMax"/>
        </c:scaling>
        <c:delete val="0"/>
        <c:axPos val="l"/>
        <c:majorGridlines>
          <c:spPr>
            <a:ln w="9525">
              <a:solidFill>
                <a:srgbClr val="CCCCCC"/>
              </a:solidFill>
              <a:prstDash val="dash"/>
            </a:ln>
          </c:spPr>
        </c:majorGridlines>
        <c:title>
          <c:tx>
            <c:rich>
              <a:bodyPr/>
              <a:lstStyle/>
              <a:p>
                <a:r>
                  <a:t>Field (G)</a:t>
                </a:r>
              </a:p>
            </c:rich>
          </c:tx>
          <c:overlay val="0"/>
        </c:title>
        <c:numFmt formatCode="0.0" sourceLinked="0"/>
        <c:majorTickMark val="none"/>
        <c:minorTickMark val="none"/>
        <c:txPr>
          <a:bodyPr anchorCtr="1"/>
          <a:lstStyle/>
          <a:p>
            <a:pPr>
              <a:defRPr sz="750">
                <a:latin typeface="Arial"/>
                <a:ea typeface="Arial"/>
                <a:cs typeface="Arial"/>
              </a:defRPr>
            </a:pPr>
          </a:p>
        </c:txPr>
        <c:crossAx val="48650112"/>
      </c:valAx>
      <c:valAx>
        <c:axId val="48650112"/>
        <c:scaling>
          <c:orientation val="minMax"/>
        </c:scaling>
        <c:delete val="0"/>
        <c:axPos val="b"/>
        <c:majorGridlines>
          <c:spPr>
            <a:ln w="9525">
              <a:solidFill>
                <a:srgbClr val="CCCCCC"/>
              </a:solidFill>
              <a:prstDash val="dash"/>
            </a:ln>
          </c:spPr>
        </c:majorGridlines>
        <c:title>
          <c:tx>
            <c:rich>
              <a:bodyPr/>
              <a:lstStyle/>
              <a:p>
                <a:r>
                  <a:t>Elapsed time (h)</a:t>
                </a:r>
              </a:p>
            </c:rich>
          </c:tx>
          <c:overlay val="0"/>
        </c:title>
        <c:numFmt formatCode="0.0" sourceLinked="0"/>
        <c:majorTickMark val="none"/>
        <c:minorTickMark val="none"/>
        <c:tickLblPos val="nextTo"/>
        <c:txPr>
          <a:bodyPr anchorCtr="1"/>
          <a:lstStyle/>
          <a:p>
            <a:pPr>
              <a:defRPr sz="750">
                <a:latin typeface="Arial"/>
                <a:ea typeface="Arial"/>
                <a:cs typeface="Arial"/>
              </a:defRPr>
            </a:pPr>
          </a:p>
        </c:txPr>
        <c:crossAx val="48672768"/>
      </c:valAx>
    </c:plotArea>
    <c:legend>
      <c:legendPos val="b"/>
      <c:overlay val="0"/>
      <c:txPr>
        <a:bodyPr anchorCtr="1"/>
        <a:lstStyle/>
        <a:p>
          <a:pPr>
            <a:defRPr sz="750">
              <a:latin typeface="Arial"/>
              <a:ea typeface="Arial"/>
              <a:cs typeface="Arial"/>
            </a:defRPr>
          </a:pPr>
        </a:p>
      </c:txPr>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xdr:row>
      <xdr:rowOff>0</xdr:rowOff>
    </xdr:from>
    <xdr:to>
      <xdr:col>22</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970aa5fe644cba"/>
        </a:graphicData>
      </a:graphic>
    </xdr:graphicFrame>
    <xdr:clientData/>
  </xdr:twoCellAnchor>
</xdr:wsDr>
</file>

<file path=xl/drawings/drawing2.xml><?xml version="1.0" encoding="utf-8"?>
<xdr:wsDr xmlns:xdr="http://schemas.openxmlformats.org/drawingml/2006/spreadsheetDrawing">
  <xdr:twoCellAnchor>
    <xdr:from>
      <xdr:col>4</xdr:col>
      <xdr:colOff>0</xdr:colOff>
      <xdr:row>3</xdr:row>
      <xdr:rowOff>0</xdr:rowOff>
    </xdr:from>
    <xdr:to>
      <xdr:col>12</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66363805e84808"/>
        </a:graphicData>
      </a:graphic>
    </xdr:graphicFrame>
    <xdr:clientData/>
  </xdr:twoCellAnchor>
</xdr:wsDr>
</file>

<file path=xl/drawings/drawing3.xml><?xml version="1.0" encoding="utf-8"?>
<xdr:wsDr xmlns:xdr="http://schemas.openxmlformats.org/drawingml/2006/spreadsheetDrawing">
  <xdr:twoCellAnchor>
    <xdr:from>
      <xdr:col>7</xdr:col>
      <xdr:colOff>0</xdr:colOff>
      <xdr:row>17</xdr:row>
      <xdr:rowOff>0</xdr:rowOff>
    </xdr:from>
    <xdr:to>
      <xdr:col>20</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eb9a5812cb4b7e"/>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b9a95ab8bea54bf7" /></Relationships>
</file>

<file path=xl/worksheets/_rels/sheet6.xml.rels>&#65279;<?xml version="1.0" encoding="utf-8"?><Relationships xmlns="http://schemas.openxmlformats.org/package/2006/relationships"><Relationship Type="http://schemas.openxmlformats.org/officeDocument/2006/relationships/drawing" Target="/xl/drawings/drawing2.xml" Id="R10f5cc1d2d03462e" /></Relationships>
</file>

<file path=xl/worksheets/_rels/sheet7.xml.rels>&#65279;<?xml version="1.0" encoding="utf-8"?><Relationships xmlns="http://schemas.openxmlformats.org/package/2006/relationships"><Relationship Type="http://schemas.openxmlformats.org/officeDocument/2006/relationships/drawing" Target="/xl/drawings/drawing3.xml" Id="R58a983b51073489c" /></Relationships>
</file>

<file path=xl/worksheets/sheet1.xml><?xml version="1.0" encoding="utf-8"?>
<x:worksheet xmlns:x="http://schemas.openxmlformats.org/spreadsheetml/2006/main">
  <x:sheetViews>
    <x:sheetView showGridLines="0" workbookViewId="0"/>
  </x:sheetViews>
  <x:sheetFormatPr defaultRowHeight="15"/>
  <x:cols>
    <x:col min="1" max="1" width="33" hidden="0" customWidth="1"/>
    <x:col min="2" max="2" width="105" hidden="0" customWidth="1"/>
  </x:cols>
  <x:sheetData>
    <x:row r="1" ht="22" customHeight="1">
      <x:c r="A1" s="3" t="str">
        <x:v>Magnet and Hall sensor calculator</x:v>
      </x:c>
      <x:c r="B1" s="2"/>
    </x:row>
    <x:row r="2" ht="22" customHeight="1">
      <x:c r="A2" s="4" t="str">
        <x:v>Radial N35 disks and Littelfuse 55100-3H | Revision A | 10 September 2026</x:v>
      </x:c>
      <x:c r="B2" s="2"/>
    </x:row>
    <x:row r="3" ht="22" customHeight="1">
      <x:c r="A3" s="2"/>
      <x:c r="B3" s="2"/>
    </x:row>
    <x:row r="4" ht="30" customHeight="1">
      <x:c r="A4" s="7" t="str">
        <x:v>Use</x:v>
      </x:c>
      <x:c r="B4" s="7" t="str">
        <x:v>What to do</x:v>
      </x:c>
    </x:row>
    <x:row r="5" ht="54" customHeight="1">
      <x:c r="A5" s="2" t="str">
        <x:v>Demonstration values</x:v>
      </x:c>
      <x:c r="B5" s="8" t="str">
        <x:v>Yellow cells contain illustrative measurements until you replace them. No measurements from your assembly were provided. Input status is identified on Results.</x:v>
      </x:c>
    </x:row>
    <x:row r="6" ht="54" customHeight="1">
      <x:c r="A6" s="2" t="str">
        <x:v>1. Confirm geometry</x:v>
      </x:c>
      <x:c r="B6" s="8" t="str">
        <x:v>The model is axial: the sensors approach the centers of the outward south faces. The two disks share an axis and have antiparallel magnetization. It does not model a sideways pass or a lateral offset.</x:v>
      </x:c>
    </x:row>
    <x:row r="7" ht="54" customHeight="1">
      <x:c r="A7" s="2" t="str">
        <x:v>2. Enter magnets</x:v>
      </x:c>
      <x:c r="B7" s="8" t="str">
        <x:v>Use mm, gauss and degrees Celsius. Measure each isolated magnet before assembly with the same probe location and temperature. Enter magnet dimensions, grade, spacer thickness and temperature in Inputs.</x:v>
      </x:c>
    </x:row>
    <x:row r="8" ht="54" customHeight="1">
      <x:c r="A8" s="2" t="str">
        <x:v>3. Calibrate both sensors</x:v>
      </x:c>
      <x:c r="B8" s="8" t="str">
        <x:v>On Calibration enter up to five approach (ON) and retract (OFF) gaps for each sensor using one isolated standard disk. Distances are from the magnet face to the sensing face of the sensor case. Repeats and uncertainty bounds determine sensitivity.</x:v>
      </x:c>
    </x:row>
    <x:row r="9" ht="54" customHeight="1">
      <x:c r="A9" s="2" t="str">
        <x:v>4. Set installed geometry</x:v>
      </x:c>
      <x:c r="B9" s="8" t="str">
        <x:v>Enter the near gap at each end, total travel and assembly gap tolerance. The opposite sensor is assumed to be one travel length farther from its own magnet at an endpoint. The midpoint is half a travel length farther from each magnet.</x:v>
      </x:c>
    </x:row>
    <x:row r="10" ht="54" customHeight="1">
      <x:c r="A10" s="2" t="str">
        <x:v>5. Read Results</x:v>
      </x:c>
      <x:c r="B10" s="8" t="str">
        <x:v>ON distance tolerance is the range between best and worst bounded switch-on distances. Guaranteed ON/OFF gap bounds include the entered measurement, temperature-drift and model allowances. A negative assembly allowance means the entered gap is too large.</x:v>
      </x:c>
    </x:row>
    <x:row r="11" ht="54" customHeight="1">
      <x:c r="A11" s="2" t="str">
        <x:v>6. Read the B-H model</x:v>
      </x:c>
      <x:c r="B11" s="8" t="str">
        <x:v>Normal B-H lines are linear recoil approximations from effective magnetization and a user-supplied effective permeance coefficient. They are not measured material curves. Marked switch-loss points lie on the aged recoil lines, not on the initial curves.</x:v>
      </x:c>
    </x:row>
    <x:row r="12" ht="54" customHeight="1">
      <x:c r="A12" s="2" t="str">
        <x:v>7. Qualify aging</x:v>
      </x:c>
      <x:c r="B12" s="8" t="str">
        <x:v>Lifetime cells intentionally remain undetermined until a common retained-field fraction and aging test duration are entered. This is a conditional logarithmic-loss scenario at the operating temperature; it is not a guaranteed service life.</x:v>
      </x:c>
    </x:row>
    <x:row r="13" ht="42" customHeight="1">
      <x:c r="A13" s="2" t="str">
        <x:v>8. Build and measure</x:v>
      </x:c>
      <x:c r="B13" s="8" t="str">
        <x:v>Use the fixture and electrical drawing package. Print accuracy and micrometer graduation are not measurement uncertainty. Determine the zero, alignment, repeatability and thermal offsets before using the measured values.</x:v>
      </x:c>
    </x:row>
    <x:row r="14" ht="42" customHeight="1">
      <x:c r="A14" s="2" t="str">
        <x:v>Confirmed truth table</x:v>
      </x:c>
      <x:c r="B14" s="8" t="str">
        <x:v>At maximum: max ON, min OFF. At minimum: max OFF, min ON. At the middle: both OFF. The 55100-3H output is LOW when ON with an external pull-up.</x:v>
      </x:c>
    </x:row>
    <x:row r="15" ht="54" customHeight="1">
      <x:c r="A15" s="2" t="str">
        <x:v>Essential limits</x:v>
      </x:c>
      <x:c r="B15" s="8" t="str">
        <x:v>Aluminum is treated as nonmagnetic in a static test. Nearby steel, mutual demagnetization, irreversible heat loss and off-axis fields require assembly validation. Magnet lifetime cannot be derived from surface gauss, N grade and temperature alone.</x:v>
      </x:c>
    </x:row>
    <x:row r="16" ht="42" customHeight="1">
      <x:c r="A16" s="2" t="str">
        <x:v>No macros or add-ins</x:v>
      </x:c>
      <x:c r="B16" s="8" t="str">
        <x:v>All results and graphs use Excel formulas and native charts. Solver is a transparent bisection calculation; it does not require the Excel Solver add-in.</x:v>
      </x:c>
    </x:row>
    <x:row r="17" ht="42" customHeight="1">
      <x:c r="A17" s="2" t="str">
        <x:v>Color key</x:v>
      </x:c>
      <x:c r="B17" s="8" t="str">
        <x:v>Yellow / blue text: editable inputs. Dark text: calculated values or instructions. Blank required data produces a named missing-input message.</x:v>
      </x:c>
    </x:row>
    <x:row r="18" ht="54" customHeight="1">
      <x:c r="A18" s="2" t="str">
        <x:v>Temperature qualification</x:v>
      </x:c>
      <x:c r="B18" s="8" t="str">
        <x:v>The magnet product lists 80 C, but the vendor warns thin disks and opposing arrays can demagnetize at lower temperatures. Being below 80 C is not proof of stability. Qualify the assembled magnet load line at the intended temperature.</x:v>
      </x:c>
    </x:row>
    <x:row r="19" ht="54" customHeight="1">
      <x:c r="A19" s="2" t="str">
        <x:v>Grade and surface measurement</x:v>
      </x:c>
      <x:c r="B19" s="8" t="str">
        <x:v>Grade is a material identifier. It does not determine decay rate. Surface gauss is not remanence Br. The generic Radial N35 table and this product page list different Br values; neither substitutes for a lot certificate.</x:v>
      </x:c>
    </x:row>
    <x:row r="20" ht="22" customHeight="1">
      <x:c r="A20" s="2"/>
      <x:c r="B20" s="2"/>
    </x:row>
    <x:row r="21" ht="22" customHeight="1">
      <x:c r="A21" s="2"/>
      <x:c r="B21" s="2"/>
    </x:row>
    <x:row r="22" ht="22" customHeight="1">
      <x:c r="A22" s="2"/>
      <x:c r="B22" s="2"/>
    </x:row>
    <x:row r="23" ht="22" customHeight="1">
      <x:c r="A23" s="2"/>
      <x:c r="B23" s="2"/>
    </x:row>
    <x:row r="24" ht="22" customHeight="1">
      <x:c r="A24" s="2"/>
      <x:c r="B24" s="2"/>
    </x:row>
    <x:row r="25" ht="22" customHeight="1">
      <x:c r="A25" s="2"/>
      <x:c r="B25" s="2"/>
    </x:row>
    <x:row r="26" ht="22" customHeight="1">
      <x:c r="A26" s="2"/>
      <x:c r="B26" s="2"/>
    </x:row>
    <x:row r="27" ht="22" customHeight="1">
      <x:c r="A27" s="2"/>
      <x:c r="B27" s="2"/>
    </x:row>
    <x:row r="28" ht="22" customHeight="1">
      <x:c r="A28" s="2"/>
      <x:c r="B28" s="2"/>
    </x:row>
    <x:row r="29" ht="22" customHeight="1">
      <x:c r="A29" s="2"/>
      <x:c r="B29" s="2"/>
    </x:row>
    <x:row r="30" ht="22" customHeight="1">
      <x:c r="A30" s="2"/>
      <x:c r="B30"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5" hidden="0" customWidth="1"/>
    <x:col min="2" max="2" width="25" hidden="0" customWidth="1"/>
    <x:col min="3" max="3" width="15" hidden="0" customWidth="1"/>
    <x:col min="4" max="4" width="87" hidden="0" customWidth="1"/>
  </x:cols>
  <x:sheetData>
    <x:row r="1" ht="22" customHeight="1">
      <x:c r="A1" s="3" t="str">
        <x:v>Inputs</x:v>
      </x:c>
      <x:c r="B1" s="2"/>
      <x:c r="C1" s="2"/>
      <x:c r="D1" s="2"/>
    </x:row>
    <x:row r="2" ht="22" customHeight="1">
      <x:c r="A2" s="4" t="str">
        <x:v>Replace all illustrative measurements and uncertainty allowances before relying on results.</x:v>
      </x:c>
      <x:c r="B2" s="2"/>
      <x:c r="C2" s="2"/>
      <x:c r="D2" s="2"/>
    </x:row>
    <x:row r="3" ht="30" customHeight="1">
      <x:c r="A3" s="7" t="str">
        <x:v>Parameter</x:v>
      </x:c>
      <x:c r="B3" s="7" t="str">
        <x:v>Value</x:v>
      </x:c>
      <x:c r="C3" s="7" t="str">
        <x:v>Unit</x:v>
      </x:c>
      <x:c r="D3" s="7" t="str">
        <x:v>Basis / instruction</x:v>
      </x:c>
    </x:row>
    <x:row r="4" ht="40" customHeight="1">
      <x:c r="A4" s="8" t="str">
        <x:v>Data identification</x:v>
      </x:c>
      <x:c r="B4" s="12" t="str">
        <x:v>Example data</x:v>
      </x:c>
      <x:c r="C4" s="8" t="str">
        <x:v>text</x:v>
      </x:c>
      <x:c r="D4" s="8" t="str">
        <x:v>Change to Measured data only after replacing example measurements and validating assumptions.</x:v>
      </x:c>
    </x:row>
    <x:row r="5" ht="40" customHeight="1">
      <x:c r="A5" s="8" t="str">
        <x:v>Travel geometry</x:v>
      </x:c>
      <x:c r="B5" s="12" t="str">
        <x:v>Axial</x:v>
      </x:c>
      <x:c r="C5" s="8" t="str">
        <x:v>text</x:v>
      </x:c>
      <x:c r="D5" s="8" t="str">
        <x:v>Only coaxial approach is implemented. Select Lateral or Unknown to suppress distance and lifetime conclusions.</x:v>
      </x:c>
    </x:row>
    <x:row r="6" ht="40" customHeight="1">
      <x:c r="A6" s="8" t="str">
        <x:v>Magnet 1 diameter</x:v>
      </x:c>
      <x:c r="B6" s="11" t="n">
        <x:v>6.35</x:v>
      </x:c>
      <x:c r="C6" s="8" t="str">
        <x:v>mm</x:v>
      </x:c>
      <x:c r="D6" s="8" t="str">
        <x:v>Radial product: 1/4 inch. Use actual dimensions when available.</x:v>
      </x:c>
    </x:row>
    <x:row r="7" ht="40" customHeight="1">
      <x:c r="A7" s="8" t="str">
        <x:v>Magnet 1 thickness</x:v>
      </x:c>
      <x:c r="B7" s="11" t="n">
        <x:v>1.5875</x:v>
      </x:c>
      <x:c r="C7" s="8" t="str">
        <x:v>mm</x:v>
      </x:c>
      <x:c r="D7" s="8" t="str">
        <x:v>Radial product: 1/16 inch. Published dimension tolerance +/-0.1016 mm.</x:v>
      </x:c>
    </x:row>
    <x:row r="8" ht="40" customHeight="1">
      <x:c r="A8" s="8" t="str">
        <x:v>Magnet 2 diameter</x:v>
      </x:c>
      <x:c r="B8" s="11" t="n">
        <x:v>6.35</x:v>
      </x:c>
      <x:c r="C8" s="8" t="str">
        <x:v>mm</x:v>
      </x:c>
      <x:c r="D8" s="8" t="str">
        <x:v>Editable independently. Magnet 1 is paired with max sensor; magnet 2 with min.</x:v>
      </x:c>
    </x:row>
    <x:row r="9" ht="40" customHeight="1">
      <x:c r="A9" s="8" t="str">
        <x:v>Magnet 2 thickness</x:v>
      </x:c>
      <x:c r="B9" s="11" t="n">
        <x:v>1.5875</x:v>
      </x:c>
      <x:c r="C9" s="8" t="str">
        <x:v>mm</x:v>
      </x:c>
      <x:c r="D9" s="8" t="str">
        <x:v>Use measured dimensions. Residual dimensional effects belong in model allowance.</x:v>
      </x:c>
    </x:row>
    <x:row r="10" ht="40" customHeight="1">
      <x:c r="A10" s="8" t="str">
        <x:v>Aluminum / inner-face spacing</x:v>
      </x:c>
      <x:c r="B10" s="11" t="n">
        <x:v>3</x:v>
      </x:c>
      <x:c r="C10" s="8" t="str">
        <x:v>mm</x:v>
      </x:c>
      <x:c r="D10" s="8" t="str">
        <x:v>Example. Distance between the two inward north faces, including bonding layers.</x:v>
      </x:c>
    </x:row>
    <x:row r="11" ht="40" customHeight="1">
      <x:c r="A11" s="8" t="str">
        <x:v>Magnet grade at delivery</x:v>
      </x:c>
      <x:c r="B11" s="12" t="str">
        <x:v>N35</x:v>
      </x:c>
      <x:c r="C11" s="8" t="str">
        <x:v>text</x:v>
      </x:c>
      <x:c r="D11" s="8" t="str">
        <x:v>Lot label. Does not change measured field amplitude automatically. Update alpha and material limits for a different grade.</x:v>
      </x:c>
    </x:row>
    <x:row r="12" ht="40" customHeight="1">
      <x:c r="A12" s="8" t="str">
        <x:v>Magnet 1 isolated surface reading</x:v>
      </x:c>
      <x:c r="B12" s="11" t="n">
        <x:v>2500</x:v>
      </x:c>
      <x:c r="C12" s="8" t="str">
        <x:v>G</x:v>
      </x:c>
      <x:c r="D12" s="8" t="str">
        <x:v>Illustrative measurement. Outward south pole, centered at specified probe standoff.</x:v>
      </x:c>
    </x:row>
    <x:row r="13" ht="40" customHeight="1">
      <x:c r="A13" s="8" t="str">
        <x:v>Magnet 2 isolated surface reading</x:v>
      </x:c>
      <x:c r="B13" s="11" t="n">
        <x:v>2450</x:v>
      </x:c>
      <x:c r="C13" s="8" t="str">
        <x:v>G</x:v>
      </x:c>
      <x:c r="D13" s="8" t="str">
        <x:v>Illustrative measurement. Positive magnitude for outward south pole.</x:v>
      </x:c>
    </x:row>
    <x:row r="14" ht="40" customHeight="1">
      <x:c r="A14" s="8" t="str">
        <x:v>Magnet-reading probe standoff</x:v>
      </x:c>
      <x:c r="B14" s="11" t="n">
        <x:v>0</x:v>
      </x:c>
      <x:c r="C14" s="8" t="str">
        <x:v>mm</x:v>
      </x:c>
      <x:c r="D14" s="8" t="str">
        <x:v>Example 0. Active probe element to magnet surface, not the probe enclosure.</x:v>
      </x:c>
    </x:row>
    <x:row r="15" ht="40" customHeight="1">
      <x:c r="A15" s="8" t="str">
        <x:v>Magnet-reading temperature</x:v>
      </x:c>
      <x:c r="B15" s="11" t="n">
        <x:v>20</x:v>
      </x:c>
      <x:c r="C15" s="8" t="str">
        <x:v>C</x:v>
      </x:c>
      <x:c r="D15" s="8" t="str">
        <x:v>Both isolated surface measurements at this stabilized temperature.</x:v>
      </x:c>
    </x:row>
    <x:row r="16" ht="40" customHeight="1">
      <x:c r="A16" s="8" t="str">
        <x:v>Standard magnet diameter</x:v>
      </x:c>
      <x:c r="B16" s="11" t="n">
        <x:v>6.35</x:v>
      </x:c>
      <x:c r="C16" s="8" t="str">
        <x:v>mm</x:v>
      </x:c>
      <x:c r="D16" s="8" t="str">
        <x:v>Use an isolated axially magnetized disk for the analytic calibration.</x:v>
      </x:c>
    </x:row>
    <x:row r="17" ht="40" customHeight="1">
      <x:c r="A17" s="8" t="str">
        <x:v>Standard magnet thickness</x:v>
      </x:c>
      <x:c r="B17" s="11" t="n">
        <x:v>1.5875</x:v>
      </x:c>
      <x:c r="C17" s="8" t="str">
        <x:v>mm</x:v>
      </x:c>
      <x:c r="D17" s="8" t="str">
        <x:v>The manufacturer H-58 reference is rectangular and is not supported by this disk equation.</x:v>
      </x:c>
    </x:row>
    <x:row r="18" ht="40" customHeight="1">
      <x:c r="A18" s="8" t="str">
        <x:v>Standard surface reading</x:v>
      </x:c>
      <x:c r="B18" s="11" t="n">
        <x:v>2568.56</x:v>
      </x:c>
      <x:c r="C18" s="8" t="str">
        <x:v>G</x:v>
      </x:c>
      <x:c r="D18" s="8" t="str">
        <x:v>Product-page nominal value only. Replace with a traceable measurement of the actual standard.</x:v>
      </x:c>
    </x:row>
    <x:row r="19" ht="40" customHeight="1">
      <x:c r="A19" s="8" t="str">
        <x:v>Standard probe standoff</x:v>
      </x:c>
      <x:c r="B19" s="11" t="n">
        <x:v>0</x:v>
      </x:c>
      <x:c r="C19" s="8" t="str">
        <x:v>mm</x:v>
      </x:c>
      <x:c r="D19" s="8" t="str">
        <x:v>Active probe element to the standard disk face.</x:v>
      </x:c>
    </x:row>
    <x:row r="20" ht="40" customHeight="1">
      <x:c r="A20" s="8" t="str">
        <x:v>Standard and sensor calibration temperature</x:v>
      </x:c>
      <x:c r="B20" s="11" t="n">
        <x:v>20</x:v>
      </x:c>
      <x:c r="C20" s="8" t="str">
        <x:v>C</x:v>
      </x:c>
      <x:c r="D20" s="8" t="str">
        <x:v>Standard surface reading and switching tests must be at this same stabilized temperature.</x:v>
      </x:c>
    </x:row>
    <x:row r="21" ht="40" customHeight="1">
      <x:c r="A21" s="8" t="str">
        <x:v>Hall active-plane depth from sensing face</x:v>
      </x:c>
      <x:c r="B21" s="11" t="n">
        <x:v>0</x:v>
      </x:c>
      <x:c r="C21" s="8" t="str">
        <x:v>mm</x:v>
      </x:c>
      <x:c r="D21" s="8" t="str">
        <x:v>Unverified example. Enter measured/vendor active-plane depth; face gap alone is not active-element gap.</x:v>
      </x:c>
    </x:row>
    <x:row r="22" ht="40" customHeight="1">
      <x:c r="A22" s="8" t="str">
        <x:v>Operating temperature</x:v>
      </x:c>
      <x:c r="B22" s="11" t="n">
        <x:v>60</x:v>
      </x:c>
      <x:c r="C22" s="8" t="str">
        <x:v>C</x:v>
      </x:c>
      <x:c r="D22" s="8" t="str">
        <x:v>Illustrative scenario. Static uniform temperature for both magnets and sensors.</x:v>
      </x:c>
    </x:row>
    <x:row r="23" ht="40" customHeight="1">
      <x:c r="A23" s="8" t="str">
        <x:v>Reversible magnet temperature coefficient</x:v>
      </x:c>
      <x:c r="B23" s="14" t="n">
        <x:v>-0.0012</x:v>
      </x:c>
      <x:c r="C23" s="8" t="str">
        <x:v>1/C</x:v>
      </x:c>
      <x:c r="D23" s="8" t="str">
        <x:v>Radial generic NdFeB N35: -0.12%/C. Linear approximation only, no irreversible loss prediction.</x:v>
      </x:c>
    </x:row>
    <x:row r="24" ht="40" customHeight="1">
      <x:c r="A24" s="8" t="str">
        <x:v>Magnet surface-reading relative bound</x:v>
      </x:c>
      <x:c r="B24" s="13" t="n">
        <x:v>0.02</x:v>
      </x:c>
      <x:c r="C24" s="8" t="str">
        <x:v>fraction</x:v>
      </x:c>
      <x:c r="D24" s="8" t="str">
        <x:v>Example +/-2%. Includes gaussmeter accuracy, probe positioning and repeatability.</x:v>
      </x:c>
    </x:row>
    <x:row r="25" ht="40" customHeight="1">
      <x:c r="A25" s="8" t="str">
        <x:v>Standard surface-reading relative bound</x:v>
      </x:c>
      <x:c r="B25" s="13" t="n">
        <x:v>0.02</x:v>
      </x:c>
      <x:c r="C25" s="8" t="str">
        <x:v>fraction</x:v>
      </x:c>
      <x:c r="D25" s="8" t="str">
        <x:v>Example +/-2%. Treat as an uncertainty bound, not a statistical standard deviation.</x:v>
      </x:c>
    </x:row>
    <x:row r="26" ht="40" customHeight="1">
      <x:c r="A26" s="8" t="str">
        <x:v>Calibration face-gap uncertainty</x:v>
      </x:c>
      <x:c r="B26" s="11" t="n">
        <x:v>0.05</x:v>
      </x:c>
      <x:c r="C26" s="8" t="str">
        <x:v>mm</x:v>
      </x:c>
      <x:c r="D26" s="8" t="str">
        <x:v>Example +/-0.05 mm. Include micrometer, datum, alignment and repeatability.</x:v>
      </x:c>
    </x:row>
    <x:row r="27" ht="40" customHeight="1">
      <x:c r="A27" s="8" t="str">
        <x:v>Sensor threshold change bound at operating T</x:v>
      </x:c>
      <x:c r="B27" s="13" t="n">
        <x:v>0.1</x:v>
      </x:c>
      <x:c r="C27" s="8" t="str">
        <x:v>fraction</x:v>
      </x:c>
      <x:c r="D27" s="8" t="str">
        <x:v>Example +/-10%, NOT a manufacturer guarantee. Measure at operating temperature or justify a bound.</x:v>
      </x:c>
    </x:row>
    <x:row r="28" ht="40" customHeight="1">
      <x:c r="A28" s="8" t="str">
        <x:v>Residual field-model relative bound</x:v>
      </x:c>
      <x:c r="B28" s="13" t="n">
        <x:v>0.05</x:v>
      </x:c>
      <x:c r="C28" s="8" t="str">
        <x:v>fraction</x:v>
      </x:c>
      <x:c r="D28" s="8" t="str">
        <x:v>Example +/-5%, NOT validated. Covers measured model disagreement; input a justified bound.</x:v>
      </x:c>
    </x:row>
    <x:row r="29" ht="40" customHeight="1">
      <x:c r="A29" s="8" t="str">
        <x:v>Max endpoint near gap for magnet 1</x:v>
      </x:c>
      <x:c r="B29" s="11" t="n">
        <x:v>3</x:v>
      </x:c>
      <x:c r="C29" s="8" t="str">
        <x:v>mm</x:v>
      </x:c>
      <x:c r="D29" s="8" t="str">
        <x:v>Example face-to-case gap at maximum travel.</x:v>
      </x:c>
    </x:row>
    <x:row r="30" ht="40" customHeight="1">
      <x:c r="A30" s="8" t="str">
        <x:v>Min endpoint near gap for magnet 2</x:v>
      </x:c>
      <x:c r="B30" s="11" t="n">
        <x:v>3</x:v>
      </x:c>
      <x:c r="C30" s="8" t="str">
        <x:v>mm</x:v>
      </x:c>
      <x:c r="D30" s="8" t="str">
        <x:v>Example face-to-case gap at minimum travel.</x:v>
      </x:c>
    </x:row>
    <x:row r="31" ht="40" customHeight="1">
      <x:c r="A31" s="8" t="str">
        <x:v>Horizontal travel</x:v>
      </x:c>
      <x:c r="B31" s="11" t="n">
        <x:v>20</x:v>
      </x:c>
      <x:c r="C31" s="8" t="str">
        <x:v>mm</x:v>
      </x:c>
      <x:c r="D31" s="8" t="str">
        <x:v>Example total axial travel between the two endpoints.</x:v>
      </x:c>
    </x:row>
    <x:row r="32" ht="40" customHeight="1">
      <x:c r="A32" s="8" t="str">
        <x:v>Installed gap tolerance</x:v>
      </x:c>
      <x:c r="B32" s="11" t="n">
        <x:v>0.2</x:v>
      </x:c>
      <x:c r="C32" s="8" t="str">
        <x:v>mm</x:v>
      </x:c>
      <x:c r="D32" s="8" t="str">
        <x:v>Example absolute +/- stack-up. Applied to endpoints and midpoint checks.</x:v>
      </x:c>
    </x:row>
    <x:row r="33" ht="40" customHeight="1">
      <x:c r="A33" s="8" t="str">
        <x:v>Distance-search upper limit</x:v>
      </x:c>
      <x:c r="B33" s="11" t="n">
        <x:v>40</x:v>
      </x:c>
      <x:c r="C33" s="8" t="str">
        <x:v>mm</x:v>
      </x:c>
      <x:c r="D33" s="8" t="str">
        <x:v>All bisection searches cover 0 to this value; expand if a crossing is not bracketed.</x:v>
      </x:c>
    </x:row>
    <x:row r="34" ht="40" customHeight="1">
      <x:c r="A34" s="8" t="str">
        <x:v>Hours per year</x:v>
      </x:c>
      <x:c r="B34" s="11" t="n">
        <x:v>8766</x:v>
      </x:c>
      <x:c r="C34" s="8" t="str">
        <x:v>h/year</x:v>
      </x:c>
      <x:c r="D34" s="8" t="str">
        <x:v>365.25 days/year; only converts a scenario time to years.</x:v>
      </x:c>
    </x:row>
    <x:row r="35" ht="40" customHeight="1">
      <x:c r="A35" s="8" t="str">
        <x:v>Time for distance calculations</x:v>
      </x:c>
      <x:c r="B35" s="11" t="n">
        <x:v>0</x:v>
      </x:c>
      <x:c r="C35" s="8" t="str">
        <x:v>h</x:v>
      </x:c>
      <x:c r="D35" s="8" t="str">
        <x:v>0 evaluates the initial assembly. Positive times require qualified common-aging inputs below.</x:v>
      </x:c>
    </x:row>
    <x:row r="36" ht="40" customHeight="1">
      <x:c r="A36" s="8" t="str">
        <x:v>Common retained field after aging test</x:v>
      </x:c>
      <x:c r="B36" s="13"/>
      <x:c r="C36" s="8" t="str">
        <x:v>fraction</x:v>
      </x:c>
      <x:c r="D36" s="8" t="str">
        <x:v>REQUIRED for a conditional lifetime. Both magnets must follow this same normalized retention law. Do not average unequal losses.</x:v>
      </x:c>
    </x:row>
    <x:row r="37" ht="40" customHeight="1">
      <x:c r="A37" s="8" t="str">
        <x:v>Aging test duration at operating temperature</x:v>
      </x:c>
      <x:c r="B37" s="11"/>
      <x:c r="C37" s="8" t="str">
        <x:v>h</x:v>
      </x:c>
      <x:c r="D37" s="8" t="str">
        <x:v>REQUIRED. Retention before/after must be measured at the same temperature and geometry.</x:v>
      </x:c>
    </x:row>
    <x:row r="38" ht="40" customHeight="1">
      <x:c r="A38" s="8" t="str">
        <x:v>Log-aging reference time t0</x:v>
      </x:c>
      <x:c r="B38" s="11" t="n">
        <x:v>1</x:v>
      </x:c>
      <x:c r="C38" s="8" t="str">
        <x:v>h</x:v>
      </x:c>
      <x:c r="D38" s="8" t="str">
        <x:v>User model parameter; default 1 hour is only a convention. One endpoint does not establish a log-time law.</x:v>
      </x:c>
    </x:row>
    <x:row r="39" ht="40" customHeight="1">
      <x:c r="A39" s="8" t="str">
        <x:v>Maximum validated aging duration</x:v>
      </x:c>
      <x:c r="B39" s="11"/>
      <x:c r="C39" s="8" t="str">
        <x:v>h</x:v>
      </x:c>
      <x:c r="D39" s="8" t="str">
        <x:v>Optional. Reported lifetime beyond this duration is extrapolation. Temperature acceleration is not assumed.</x:v>
      </x:c>
    </x:row>
    <x:row r="40" ht="40" customHeight="1">
      <x:c r="A40" s="8" t="str">
        <x:v>Aging model / source identifier</x:v>
      </x:c>
      <x:c r="B40" s="12"/>
      <x:c r="C40" s="8" t="str">
        <x:v>text</x:v>
      </x:c>
      <x:c r="D40" s="8" t="str">
        <x:v>Record lot, operating temperature, method and evidence of a common logarithmic retention law.</x:v>
      </x:c>
    </x:row>
    <x:row r="41" ht="40" customHeight="1">
      <x:c r="A41" s="8" t="str">
        <x:v>Effective permeance coefficient, magnet 1</x:v>
      </x:c>
      <x:c r="B41" s="11" t="n">
        <x:v>0.5</x:v>
      </x:c>
      <x:c r="C41" s="8" t="str">
        <x:v>dimensionless</x:v>
      </x:c>
      <x:c r="D41" s="8" t="str">
        <x:v>ILLUSTRATIVE ONLY. Needs measured/FEM assembly value. Includes surrounding magnetic circuit; not inferred from surface gauss.</x:v>
      </x:c>
    </x:row>
    <x:row r="42" ht="40" customHeight="1">
      <x:c r="A42" s="8" t="str">
        <x:v>Effective permeance coefficient, magnet 2</x:v>
      </x:c>
      <x:c r="B42" s="11" t="n">
        <x:v>0.5</x:v>
      </x:c>
      <x:c r="C42" s="8" t="str">
        <x:v>dimensionless</x:v>
      </x:c>
      <x:c r="D42" s="8" t="str">
        <x:v>ILLUSTRATIVE ONLY. Opposing magnet changes each operating point. Positive-Pc scalar model is only a surrogate.</x:v>
      </x:c>
    </x:row>
    <x:row r="43" ht="40" customHeight="1">
      <x:c r="A43" s="8" t="str">
        <x:v>Recoil relative permeability</x:v>
      </x:c>
      <x:c r="B43" s="11" t="n">
        <x:v>1.05</x:v>
      </x:c>
      <x:c r="C43" s="8" t="str">
        <x:v>dimensionless</x:v>
      </x:c>
      <x:c r="D43" s="8" t="str">
        <x:v>Assumed typical NdFeB value. Replace with supplier recoil slope. No knee or intrinsic curve is generated.</x:v>
      </x:c>
    </x:row>
    <x:row r="44" ht="40" customHeight="1">
      <x:c r="A44" s="8" t="str">
        <x:v>Product-listed maximum magnet temperature</x:v>
      </x:c>
      <x:c r="B44" s="11" t="n">
        <x:v>80</x:v>
      </x:c>
      <x:c r="C44" s="8" t="str">
        <x:v>C</x:v>
      </x:c>
      <x:c r="D44" s="8" t="str">
        <x:v>Radial product limit; thin and opposing magnets may irreversibly demagnetize below this value.</x:v>
      </x:c>
    </x:row>
    <x:row r="45" ht="40" customHeight="1">
      <x:c r="A45" s="8" t="str">
        <x:v>Sensor minimum operating temperature</x:v>
      </x:c>
      <x:c r="B45" s="11" t="n">
        <x:v>-40</x:v>
      </x:c>
      <x:c r="C45" s="8" t="str">
        <x:v>C</x:v>
      </x:c>
      <x:c r="D45" s="8" t="str">
        <x:v>Littelfuse 55100-3H datasheet.</x:v>
      </x:c>
    </x:row>
    <x:row r="46" ht="40" customHeight="1">
      <x:c r="A46" s="8" t="str">
        <x:v>Sensor maximum operating temperature</x:v>
      </x:c>
      <x:c r="B46" s="11" t="n">
        <x:v>100</x:v>
      </x:c>
      <x:c r="C46" s="8" t="str">
        <x:v>C</x:v>
      </x:c>
      <x:c r="D46" s="8" t="str">
        <x:v>Littelfuse 55100-3H datasheet.</x:v>
      </x:c>
    </x:row>
    <x:row r="47" ht="22" customHeight="1">
      <x:c r="A47" s="2"/>
      <x:c r="B47" s="2"/>
      <x:c r="C47" s="2"/>
      <x:c r="D47" s="2"/>
    </x:row>
    <x:row r="48" ht="22" customHeight="1">
      <x:c r="A48" s="2"/>
      <x:c r="B48" s="2"/>
      <x:c r="C48" s="2"/>
      <x:c r="D48" s="2"/>
    </x:row>
    <x:row r="49" ht="22" customHeight="1">
      <x:c r="A49" s="2"/>
      <x:c r="B49" s="2"/>
      <x:c r="C49" s="2"/>
      <x:c r="D49" s="2"/>
    </x:row>
  </x:sheetData>
  <x:dataValidations count="34">
    <x:dataValidation type="list" sqref="B4">
      <x:formula1>"Example data,Measured data"</x:formula1>
    </x:dataValidation>
    <x:dataValidation type="list" sqref="B5">
      <x:formula1>"Axial,Lateral,Unknown"</x:formula1>
    </x:dataValidation>
    <x:dataValidation type="decimal" operator="between" sqref="B6">
      <x:formula1>0.00001</x:formula1>
      <x:formula2>1000000</x:formula2>
    </x:dataValidation>
    <x:dataValidation type="decimal" operator="between" sqref="B7">
      <x:formula1>0.00001</x:formula1>
      <x:formula2>1000000</x:formula2>
    </x:dataValidation>
    <x:dataValidation type="decimal" operator="between" sqref="B8">
      <x:formula1>0.00001</x:formula1>
      <x:formula2>1000000</x:formula2>
    </x:dataValidation>
    <x:dataValidation type="decimal" operator="between" sqref="B9">
      <x:formula1>0.00001</x:formula1>
      <x:formula2>1000000</x:formula2>
    </x:dataValidation>
    <x:dataValidation type="decimal" operator="between" sqref="B12">
      <x:formula1>0.00001</x:formula1>
      <x:formula2>1000000</x:formula2>
    </x:dataValidation>
    <x:dataValidation type="decimal" operator="between" sqref="B13">
      <x:formula1>0.00001</x:formula1>
      <x:formula2>1000000</x:formula2>
    </x:dataValidation>
    <x:dataValidation type="decimal" operator="between" sqref="B16">
      <x:formula1>0.00001</x:formula1>
      <x:formula2>1000000</x:formula2>
    </x:dataValidation>
    <x:dataValidation type="decimal" operator="between" sqref="B17">
      <x:formula1>0.00001</x:formula1>
      <x:formula2>1000000</x:formula2>
    </x:dataValidation>
    <x:dataValidation type="decimal" operator="between" sqref="B18">
      <x:formula1>0.00001</x:formula1>
      <x:formula2>1000000</x:formula2>
    </x:dataValidation>
    <x:dataValidation type="decimal" operator="between" sqref="B33">
      <x:formula1>0.00001</x:formula1>
      <x:formula2>1000000</x:formula2>
    </x:dataValidation>
    <x:dataValidation type="decimal" operator="between" sqref="B34">
      <x:formula1>0.00001</x:formula1>
      <x:formula2>1000000</x:formula2>
    </x:dataValidation>
    <x:dataValidation type="decimal" operator="between" sqref="B38">
      <x:formula1>0.00001</x:formula1>
      <x:formula2>1000000</x:formula2>
    </x:dataValidation>
    <x:dataValidation type="decimal" operator="between" sqref="B41">
      <x:formula1>0.00001</x:formula1>
      <x:formula2>1000000</x:formula2>
    </x:dataValidation>
    <x:dataValidation type="decimal" operator="between" sqref="B42">
      <x:formula1>0.00001</x:formula1>
      <x:formula2>1000000</x:formula2>
    </x:dataValidation>
    <x:dataValidation type="decimal" operator="between" sqref="B43">
      <x:formula1>0.00001</x:formula1>
      <x:formula2>1000000</x:formula2>
    </x:dataValidation>
    <x:dataValidation type="decimal" operator="between" sqref="B10">
      <x:formula1>0</x:formula1>
      <x:formula2>1000000000</x:formula2>
    </x:dataValidation>
    <x:dataValidation type="decimal" operator="between" sqref="B14">
      <x:formula1>0</x:formula1>
      <x:formula2>1000000000</x:formula2>
    </x:dataValidation>
    <x:dataValidation type="decimal" operator="between" sqref="B19">
      <x:formula1>0</x:formula1>
      <x:formula2>1000000000</x:formula2>
    </x:dataValidation>
    <x:dataValidation type="decimal" operator="between" sqref="B21">
      <x:formula1>0</x:formula1>
      <x:formula2>1000000000</x:formula2>
    </x:dataValidation>
    <x:dataValidation type="decimal" operator="between" sqref="B26">
      <x:formula1>0</x:formula1>
      <x:formula2>1000000000</x:formula2>
    </x:dataValidation>
    <x:dataValidation type="decimal" operator="between" sqref="B29">
      <x:formula1>0</x:formula1>
      <x:formula2>1000000000</x:formula2>
    </x:dataValidation>
    <x:dataValidation type="decimal" operator="between" sqref="B30">
      <x:formula1>0</x:formula1>
      <x:formula2>1000000000</x:formula2>
    </x:dataValidation>
    <x:dataValidation type="decimal" operator="between" sqref="B31">
      <x:formula1>0</x:formula1>
      <x:formula2>1000000000</x:formula2>
    </x:dataValidation>
    <x:dataValidation type="decimal" operator="between" sqref="B32">
      <x:formula1>0</x:formula1>
      <x:formula2>1000000000</x:formula2>
    </x:dataValidation>
    <x:dataValidation type="decimal" operator="between" sqref="B35">
      <x:formula1>0</x:formula1>
      <x:formula2>1000000000</x:formula2>
    </x:dataValidation>
    <x:dataValidation type="decimal" operator="between" sqref="B37">
      <x:formula1>0</x:formula1>
      <x:formula2>1000000000</x:formula2>
    </x:dataValidation>
    <x:dataValidation type="decimal" operator="between" sqref="B39">
      <x:formula1>0</x:formula1>
      <x:formula2>1000000000</x:formula2>
    </x:dataValidation>
    <x:dataValidation type="decimal" operator="between" sqref="B24">
      <x:formula1>0</x:formula1>
      <x:formula2>0.99</x:formula2>
    </x:dataValidation>
    <x:dataValidation type="decimal" operator="between" sqref="B25">
      <x:formula1>0</x:formula1>
      <x:formula2>0.99</x:formula2>
    </x:dataValidation>
    <x:dataValidation type="decimal" operator="between" sqref="B27">
      <x:formula1>0</x:formula1>
      <x:formula2>0.99</x:formula2>
    </x:dataValidation>
    <x:dataValidation type="decimal" operator="between" sqref="B28">
      <x:formula1>0</x:formula1>
      <x:formula2>0.99</x:formula2>
    </x:dataValidation>
    <x:dataValidation type="decimal" operator="between" sqref="B36">
      <x:formula1>0.000001</x:formula1>
      <x:formula2>1</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2" hidden="0" customWidth="1"/>
    <x:col min="3" max="3" width="18" hidden="0" customWidth="1"/>
    <x:col min="4" max="4" width="18"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ht="22" customHeight="1">
      <x:c r="A1" s="3" t="str">
        <x:v>Sensor calibration</x:v>
      </x:c>
      <x:c r="B1" s="2"/>
      <x:c r="C1" s="2"/>
      <x:c r="D1" s="2"/>
      <x:c r="E1" s="2"/>
      <x:c r="F1" s="2"/>
      <x:c r="G1" s="2"/>
      <x:c r="H1" s="2"/>
      <x:c r="I1" s="2"/>
      <x:c r="J1" s="2"/>
    </x:row>
    <x:row r="2" ht="22" customHeight="1">
      <x:c r="A2" s="4" t="str">
        <x:v>Use one isolated standard disk. Case gap decreases on approach and increases on retract. Example readings below.</x:v>
      </x:c>
      <x:c r="B2" s="2"/>
      <x:c r="C2" s="2"/>
      <x:c r="D2" s="2"/>
      <x:c r="E2" s="2"/>
      <x:c r="F2" s="2"/>
      <x:c r="G2" s="2"/>
      <x:c r="H2" s="2"/>
      <x:c r="I2" s="2"/>
      <x:c r="J2" s="2"/>
    </x:row>
    <x:row r="3" ht="22" customHeight="1">
      <x:c r="A3" s="2"/>
      <x:c r="B3" s="2"/>
      <x:c r="C3" s="2"/>
      <x:c r="D3" s="2"/>
      <x:c r="E3" s="2"/>
      <x:c r="F3" s="2"/>
      <x:c r="G3" s="2"/>
      <x:c r="H3" s="2"/>
      <x:c r="I3" s="2"/>
      <x:c r="J3" s="2"/>
    </x:row>
    <x:row r="4" ht="30" customHeight="1">
      <x:c r="A4" s="7" t="str">
        <x:v>Sensor</x:v>
      </x:c>
      <x:c r="B4" s="7" t="str">
        <x:v>Repeat</x:v>
      </x:c>
      <x:c r="C4" s="7" t="str">
        <x:v>ON gap (mm)</x:v>
      </x:c>
      <x:c r="D4" s="7" t="str">
        <x:v>OFF gap (mm)</x:v>
      </x:c>
      <x:c r="E4" s="7" t="str">
        <x:v>Bop (G)</x:v>
      </x:c>
      <x:c r="F4" s="7" t="str">
        <x:v>Bop low (G)</x:v>
      </x:c>
      <x:c r="G4" s="7" t="str">
        <x:v>Bop high (G)</x:v>
      </x:c>
      <x:c r="H4" s="7" t="str">
        <x:v>Brp (G)</x:v>
      </x:c>
      <x:c r="I4" s="7" t="str">
        <x:v>Brp low (G)</x:v>
      </x:c>
      <x:c r="J4" s="7" t="str">
        <x:v>Brp high (G)</x:v>
      </x:c>
    </x:row>
    <x:row r="5" ht="22" customHeight="1">
      <x:c r="A5" s="2" t="str">
        <x:v>max</x:v>
      </x:c>
      <x:c r="B5" s="2" t="n">
        <x:v>1</x:v>
      </x:c>
      <x:c r="C5" s="17" t="n">
        <x:v>8.5</x:v>
      </x:c>
      <x:c r="D5" s="17" t="n">
        <x:v>9.35</x:v>
      </x:c>
      <x:c r="E5" s="18" t="n">
        <x:f>IF(OR(C5="",NOT(ISNUMBER(C5)),C5&lt;0,'Inputs'!$B$16&lt;=0,'Inputs'!$B$17&lt;=0,'Inputs'!$B$18&lt;=0,NOT(AND(ISNUMBER('Inputs'!$B$16),ISNUMBER('Inputs'!$B$17),ISNUMBER('Inputs'!$B$18),ISNUMBER('Inputs'!$B$19),ISNUMBER('Inputs'!$B$21),ISNUMBER('Inputs'!$B$25),ISNUMBER('Inputs'!$B$26)))),"",('Inputs'!$B$18/(0.5*(('Inputs'!$B$19+'Inputs'!$B$17)/SQRT(('Inputs'!$B$19+'Inputs'!$B$17)^2+('Inputs'!$B$16/2)^2)-('Inputs'!$B$19)/SQRT(('Inputs'!$B$19)^2+('Inputs'!$B$16/2)^2))))*(0.5*(((C5+'Inputs'!$B$21)+'Inputs'!$B$17)/SQRT(((C5+'Inputs'!$B$21)+'Inputs'!$B$17)^2+('Inputs'!$B$16/2)^2)-((C5+'Inputs'!$B$21))/SQRT(((C5+'Inputs'!$B$21))^2+('Inputs'!$B$16/2)^2))))</x:f>
        <x:v>98.13727636622181</x:v>
      </x:c>
      <x:c r="F5" s="18" t="n">
        <x:f>IF(OR(C5="",NOT(ISNUMBER(C5)),C5&lt;0,'Inputs'!$B$16&lt;=0,'Inputs'!$B$17&lt;=0,'Inputs'!$B$18&lt;=0,NOT(AND(ISNUMBER('Inputs'!$B$16),ISNUMBER('Inputs'!$B$17),ISNUMBER('Inputs'!$B$18),ISNUMBER('Inputs'!$B$19),ISNUMBER('Inputs'!$B$21),ISNUMBER('Inputs'!$B$25),ISNUMBER('Inputs'!$B$26)))),"",('Inputs'!$B$18/(0.5*(('Inputs'!$B$19+'Inputs'!$B$17)/SQRT(('Inputs'!$B$19+'Inputs'!$B$17)^2+('Inputs'!$B$16/2)^2)-('Inputs'!$B$19)/SQRT(('Inputs'!$B$19)^2+('Inputs'!$B$16/2)^2))))*(1-'Inputs'!$B$25)*(0.5*(((C5+'Inputs'!$B$26+'Inputs'!$B$21)+'Inputs'!$B$17)/SQRT(((C5+'Inputs'!$B$26+'Inputs'!$B$21)+'Inputs'!$B$17)^2+('Inputs'!$B$16/2)^2)-((C5+'Inputs'!$B$26+'Inputs'!$B$21))/SQRT(((C5+'Inputs'!$B$26+'Inputs'!$B$21))^2+('Inputs'!$B$16/2)^2))))</x:f>
        <x:v>94.78863135967762</x:v>
      </x:c>
      <x:c r="G5" s="18" t="n">
        <x:f>IF(OR(C5="",NOT(ISNUMBER(C5)),C5&lt;0,'Inputs'!$B$16&lt;=0,'Inputs'!$B$17&lt;=0,'Inputs'!$B$18&lt;=0,NOT(AND(ISNUMBER('Inputs'!$B$16),ISNUMBER('Inputs'!$B$17),ISNUMBER('Inputs'!$B$18),ISNUMBER('Inputs'!$B$19),ISNUMBER('Inputs'!$B$21),ISNUMBER('Inputs'!$B$25),ISNUMBER('Inputs'!$B$26)))),"",('Inputs'!$B$18/(0.5*(('Inputs'!$B$19+'Inputs'!$B$17)/SQRT(('Inputs'!$B$19+'Inputs'!$B$17)^2+('Inputs'!$B$16/2)^2)-('Inputs'!$B$19)/SQRT(('Inputs'!$B$19)^2+('Inputs'!$B$16/2)^2))))*(1+'Inputs'!$B$25)*(0.5*(((MAX(0,C5-'Inputs'!$B$26)+'Inputs'!$B$21)+'Inputs'!$B$17)/SQRT(((MAX(0,C5-'Inputs'!$B$26)+'Inputs'!$B$21)+'Inputs'!$B$17)^2+('Inputs'!$B$16/2)^2)-((MAX(0,C5-'Inputs'!$B$26)+'Inputs'!$B$21))/SQRT(((MAX(0,C5-'Inputs'!$B$26)+'Inputs'!$B$21))^2+('Inputs'!$B$16/2)^2))))</x:f>
        <x:v>101.5699246481075</x:v>
      </x:c>
      <x:c r="H5" s="18" t="n">
        <x:f>IF(OR(D5="",NOT(ISNUMBER(D5)),D5&lt;0,'Inputs'!$B$16&lt;=0,'Inputs'!$B$17&lt;=0,'Inputs'!$B$18&lt;=0,NOT(AND(ISNUMBER('Inputs'!$B$16),ISNUMBER('Inputs'!$B$17),ISNUMBER('Inputs'!$B$18),ISNUMBER('Inputs'!$B$19),ISNUMBER('Inputs'!$B$21),ISNUMBER('Inputs'!$B$25),ISNUMBER('Inputs'!$B$26)))),"",('Inputs'!$B$18/(0.5*(('Inputs'!$B$19+'Inputs'!$B$17)/SQRT(('Inputs'!$B$19+'Inputs'!$B$17)^2+('Inputs'!$B$16/2)^2)-('Inputs'!$B$19)/SQRT(('Inputs'!$B$19)^2+('Inputs'!$B$16/2)^2))))*(0.5*(((D5+'Inputs'!$B$21)+'Inputs'!$B$17)/SQRT(((D5+'Inputs'!$B$21)+'Inputs'!$B$17)^2+('Inputs'!$B$16/2)^2)-((D5+'Inputs'!$B$21))/SQRT(((D5+'Inputs'!$B$21))^2+('Inputs'!$B$16/2)^2))))</x:f>
        <x:v>77.30471363821495</x:v>
      </x:c>
      <x:c r="I5" s="18" t="n">
        <x:f>IF(OR(D5="",NOT(ISNUMBER(D5)),D5&lt;0,'Inputs'!$B$16&lt;=0,'Inputs'!$B$17&lt;=0,'Inputs'!$B$18&lt;=0,NOT(AND(ISNUMBER('Inputs'!$B$16),ISNUMBER('Inputs'!$B$17),ISNUMBER('Inputs'!$B$18),ISNUMBER('Inputs'!$B$19),ISNUMBER('Inputs'!$B$21),ISNUMBER('Inputs'!$B$25),ISNUMBER('Inputs'!$B$26)))),"",('Inputs'!$B$18/(0.5*(('Inputs'!$B$19+'Inputs'!$B$17)/SQRT(('Inputs'!$B$19+'Inputs'!$B$17)^2+('Inputs'!$B$16/2)^2)-('Inputs'!$B$19)/SQRT(('Inputs'!$B$19)^2+('Inputs'!$B$16/2)^2))))*(1-'Inputs'!$B$25)*(0.5*(((D5+'Inputs'!$B$26+'Inputs'!$B$21)+'Inputs'!$B$17)/SQRT(((D5+'Inputs'!$B$26+'Inputs'!$B$21)+'Inputs'!$B$17)^2+('Inputs'!$B$16/2)^2)-((D5+'Inputs'!$B$26+'Inputs'!$B$21))/SQRT(((D5+'Inputs'!$B$26+'Inputs'!$B$21))^2+('Inputs'!$B$16/2)^2))))</x:f>
        <x:v>74.74137805273375</x:v>
      </x:c>
      <x:c r="J5" s="18" t="n">
        <x:f>IF(OR(D5="",NOT(ISNUMBER(D5)),D5&lt;0,'Inputs'!$B$16&lt;=0,'Inputs'!$B$17&lt;=0,'Inputs'!$B$18&lt;=0,NOT(AND(ISNUMBER('Inputs'!$B$16),ISNUMBER('Inputs'!$B$17),ISNUMBER('Inputs'!$B$18),ISNUMBER('Inputs'!$B$19),ISNUMBER('Inputs'!$B$21),ISNUMBER('Inputs'!$B$25),ISNUMBER('Inputs'!$B$26)))),"",('Inputs'!$B$18/(0.5*(('Inputs'!$B$19+'Inputs'!$B$17)/SQRT(('Inputs'!$B$19+'Inputs'!$B$17)^2+('Inputs'!$B$16/2)^2)-('Inputs'!$B$19)/SQRT(('Inputs'!$B$19)^2+('Inputs'!$B$16/2)^2))))*(1+'Inputs'!$B$25)*(0.5*(((MAX(0,D5-'Inputs'!$B$26)+'Inputs'!$B$21)+'Inputs'!$B$17)/SQRT(((MAX(0,D5-'Inputs'!$B$26)+'Inputs'!$B$21)+'Inputs'!$B$17)^2+('Inputs'!$B$16/2)^2)-((MAX(0,D5-'Inputs'!$B$26)+'Inputs'!$B$21))/SQRT(((MAX(0,D5-'Inputs'!$B$26)+'Inputs'!$B$21))^2+('Inputs'!$B$16/2)^2))))</x:f>
        <x:v>79.92840335332338</x:v>
      </x:c>
    </x:row>
    <x:row r="6" ht="22" customHeight="1">
      <x:c r="A6" s="2" t="str">
        <x:v>max</x:v>
      </x:c>
      <x:c r="B6" s="2" t="n">
        <x:v>2</x:v>
      </x:c>
      <x:c r="C6" s="17" t="n">
        <x:v>8.52</x:v>
      </x:c>
      <x:c r="D6" s="17" t="n">
        <x:v>9.37</x:v>
      </x:c>
      <x:c r="E6" s="18" t="n">
        <x:f>IF(OR(C6="",NOT(ISNUMBER(C6)),C6&lt;0,'Inputs'!$B$16&lt;=0,'Inputs'!$B$17&lt;=0,'Inputs'!$B$18&lt;=0,NOT(AND(ISNUMBER('Inputs'!$B$16),ISNUMBER('Inputs'!$B$17),ISNUMBER('Inputs'!$B$18),ISNUMBER('Inputs'!$B$19),ISNUMBER('Inputs'!$B$21),ISNUMBER('Inputs'!$B$25),ISNUMBER('Inputs'!$B$26)))),"",('Inputs'!$B$18/(0.5*(('Inputs'!$B$19+'Inputs'!$B$17)/SQRT(('Inputs'!$B$19+'Inputs'!$B$17)^2+('Inputs'!$B$16/2)^2)-('Inputs'!$B$19)/SQRT(('Inputs'!$B$19)^2+('Inputs'!$B$16/2)^2))))*(0.5*(((C6+'Inputs'!$B$21)+'Inputs'!$B$17)/SQRT(((C6+'Inputs'!$B$21)+'Inputs'!$B$17)^2+('Inputs'!$B$16/2)^2)-((C6+'Inputs'!$B$21))/SQRT(((C6+'Inputs'!$B$21))^2+('Inputs'!$B$16/2)^2))))</x:f>
        <x:v>97.56840960891422</x:v>
      </x:c>
      <x:c r="F6" s="18" t="n">
        <x:f>IF(OR(C6="",NOT(ISNUMBER(C6)),C6&lt;0,'Inputs'!$B$16&lt;=0,'Inputs'!$B$17&lt;=0,'Inputs'!$B$18&lt;=0,NOT(AND(ISNUMBER('Inputs'!$B$16),ISNUMBER('Inputs'!$B$17),ISNUMBER('Inputs'!$B$18),ISNUMBER('Inputs'!$B$19),ISNUMBER('Inputs'!$B$21),ISNUMBER('Inputs'!$B$25),ISNUMBER('Inputs'!$B$26)))),"",('Inputs'!$B$18/(0.5*(('Inputs'!$B$19+'Inputs'!$B$17)/SQRT(('Inputs'!$B$19+'Inputs'!$B$17)^2+('Inputs'!$B$16/2)^2)-('Inputs'!$B$19)/SQRT(('Inputs'!$B$19)^2+('Inputs'!$B$16/2)^2))))*(1-'Inputs'!$B$25)*(0.5*(((C6+'Inputs'!$B$26+'Inputs'!$B$21)+'Inputs'!$B$17)/SQRT(((C6+'Inputs'!$B$26+'Inputs'!$B$21)+'Inputs'!$B$17)^2+('Inputs'!$B$16/2)^2)-((C6+'Inputs'!$B$26+'Inputs'!$B$21))/SQRT(((C6+'Inputs'!$B$26+'Inputs'!$B$21))^2+('Inputs'!$B$16/2)^2))))</x:f>
        <x:v>94.24151896181984</x:v>
      </x:c>
      <x:c r="G6" s="18" t="n">
        <x:f>IF(OR(C6="",NOT(ISNUMBER(C6)),C6&lt;0,'Inputs'!$B$16&lt;=0,'Inputs'!$B$17&lt;=0,'Inputs'!$B$18&lt;=0,NOT(AND(ISNUMBER('Inputs'!$B$16),ISNUMBER('Inputs'!$B$17),ISNUMBER('Inputs'!$B$18),ISNUMBER('Inputs'!$B$19),ISNUMBER('Inputs'!$B$21),ISNUMBER('Inputs'!$B$25),ISNUMBER('Inputs'!$B$26)))),"",('Inputs'!$B$18/(0.5*(('Inputs'!$B$19+'Inputs'!$B$17)/SQRT(('Inputs'!$B$19+'Inputs'!$B$17)^2+('Inputs'!$B$16/2)^2)-('Inputs'!$B$19)/SQRT(('Inputs'!$B$19)^2+('Inputs'!$B$16/2)^2))))*(1+'Inputs'!$B$25)*(0.5*(((MAX(0,C6-'Inputs'!$B$26)+'Inputs'!$B$21)+'Inputs'!$B$17)/SQRT(((MAX(0,C6-'Inputs'!$B$26)+'Inputs'!$B$21)+'Inputs'!$B$17)^2+('Inputs'!$B$16/2)^2)-((MAX(0,C6-'Inputs'!$B$26)+'Inputs'!$B$21))/SQRT(((MAX(0,C6-'Inputs'!$B$26)+'Inputs'!$B$21))^2+('Inputs'!$B$16/2)^2))))</x:f>
        <x:v>100.97863103277167</x:v>
      </x:c>
      <x:c r="H6" s="18" t="n">
        <x:f>IF(OR(D6="",NOT(ISNUMBER(D6)),D6&lt;0,'Inputs'!$B$16&lt;=0,'Inputs'!$B$17&lt;=0,'Inputs'!$B$18&lt;=0,NOT(AND(ISNUMBER('Inputs'!$B$16),ISNUMBER('Inputs'!$B$17),ISNUMBER('Inputs'!$B$18),ISNUMBER('Inputs'!$B$19),ISNUMBER('Inputs'!$B$21),ISNUMBER('Inputs'!$B$25),ISNUMBER('Inputs'!$B$26)))),"",('Inputs'!$B$18/(0.5*(('Inputs'!$B$19+'Inputs'!$B$17)/SQRT(('Inputs'!$B$19+'Inputs'!$B$17)^2+('Inputs'!$B$16/2)^2)-('Inputs'!$B$19)/SQRT(('Inputs'!$B$19)^2+('Inputs'!$B$16/2)^2))))*(0.5*(((D6+'Inputs'!$B$21)+'Inputs'!$B$17)/SQRT(((D6+'Inputs'!$B$21)+'Inputs'!$B$17)^2+('Inputs'!$B$16/2)^2)-((D6+'Inputs'!$B$21))/SQRT(((D6+'Inputs'!$B$21))^2+('Inputs'!$B$16/2)^2))))</x:f>
        <x:v>76.88731947110449</x:v>
      </x:c>
      <x:c r="I6" s="18" t="n">
        <x:f>IF(OR(D6="",NOT(ISNUMBER(D6)),D6&lt;0,'Inputs'!$B$16&lt;=0,'Inputs'!$B$17&lt;=0,'Inputs'!$B$18&lt;=0,NOT(AND(ISNUMBER('Inputs'!$B$16),ISNUMBER('Inputs'!$B$17),ISNUMBER('Inputs'!$B$18),ISNUMBER('Inputs'!$B$19),ISNUMBER('Inputs'!$B$21),ISNUMBER('Inputs'!$B$25),ISNUMBER('Inputs'!$B$26)))),"",('Inputs'!$B$18/(0.5*(('Inputs'!$B$19+'Inputs'!$B$17)/SQRT(('Inputs'!$B$19+'Inputs'!$B$17)^2+('Inputs'!$B$16/2)^2)-('Inputs'!$B$19)/SQRT(('Inputs'!$B$19)^2+('Inputs'!$B$16/2)^2))))*(1-'Inputs'!$B$25)*(0.5*(((D6+'Inputs'!$B$26+'Inputs'!$B$21)+'Inputs'!$B$17)/SQRT(((D6+'Inputs'!$B$26+'Inputs'!$B$21)+'Inputs'!$B$17)^2+('Inputs'!$B$16/2)^2)-((D6+'Inputs'!$B$26+'Inputs'!$B$21))/SQRT(((D6+'Inputs'!$B$26+'Inputs'!$B$21))^2+('Inputs'!$B$16/2)^2))))</x:f>
        <x:v>74.33946200386465</x:v>
      </x:c>
      <x:c r="J6" s="18" t="n">
        <x:f>IF(OR(D6="",NOT(ISNUMBER(D6)),D6&lt;0,'Inputs'!$B$16&lt;=0,'Inputs'!$B$17&lt;=0,'Inputs'!$B$18&lt;=0,NOT(AND(ISNUMBER('Inputs'!$B$16),ISNUMBER('Inputs'!$B$17),ISNUMBER('Inputs'!$B$18),ISNUMBER('Inputs'!$B$19),ISNUMBER('Inputs'!$B$21),ISNUMBER('Inputs'!$B$25),ISNUMBER('Inputs'!$B$26)))),"",('Inputs'!$B$18/(0.5*(('Inputs'!$B$19+'Inputs'!$B$17)/SQRT(('Inputs'!$B$19+'Inputs'!$B$17)^2+('Inputs'!$B$16/2)^2)-('Inputs'!$B$19)/SQRT(('Inputs'!$B$19)^2+('Inputs'!$B$16/2)^2))))*(1+'Inputs'!$B$25)*(0.5*(((MAX(0,D6-'Inputs'!$B$26)+'Inputs'!$B$21)+'Inputs'!$B$17)/SQRT(((MAX(0,D6-'Inputs'!$B$26)+'Inputs'!$B$21)+'Inputs'!$B$17)^2+('Inputs'!$B$16/2)^2)-((MAX(0,D6-'Inputs'!$B$26)+'Inputs'!$B$21))/SQRT(((MAX(0,D6-'Inputs'!$B$26)+'Inputs'!$B$21))^2+('Inputs'!$B$16/2)^2))))</x:f>
        <x:v>79.49507911367546</x:v>
      </x:c>
    </x:row>
    <x:row r="7" ht="22" customHeight="1">
      <x:c r="A7" s="2" t="str">
        <x:v>max</x:v>
      </x:c>
      <x:c r="B7" s="2" t="n">
        <x:v>3</x:v>
      </x:c>
      <x:c r="C7" s="17" t="n">
        <x:v>8.48</x:v>
      </x:c>
      <x:c r="D7" s="17" t="n">
        <x:v>9.33</x:v>
      </x:c>
      <x:c r="E7" s="18" t="n">
        <x:f>IF(OR(C7="",NOT(ISNUMBER(C7)),C7&lt;0,'Inputs'!$B$16&lt;=0,'Inputs'!$B$17&lt;=0,'Inputs'!$B$18&lt;=0,NOT(AND(ISNUMBER('Inputs'!$B$16),ISNUMBER('Inputs'!$B$17),ISNUMBER('Inputs'!$B$18),ISNUMBER('Inputs'!$B$19),ISNUMBER('Inputs'!$B$21),ISNUMBER('Inputs'!$B$25),ISNUMBER('Inputs'!$B$26)))),"",('Inputs'!$B$18/(0.5*(('Inputs'!$B$19+'Inputs'!$B$17)/SQRT(('Inputs'!$B$19+'Inputs'!$B$17)^2+('Inputs'!$B$16/2)^2)-('Inputs'!$B$19)/SQRT(('Inputs'!$B$19)^2+('Inputs'!$B$16/2)^2))))*(0.5*(((C7+'Inputs'!$B$21)+'Inputs'!$B$17)/SQRT(((C7+'Inputs'!$B$21)+'Inputs'!$B$17)^2+('Inputs'!$B$16/2)^2)-((C7+'Inputs'!$B$21))/SQRT(((C7+'Inputs'!$B$21))^2+('Inputs'!$B$16/2)^2))))</x:f>
        <x:v>98.71044662083189</x:v>
      </x:c>
      <x:c r="F7" s="18" t="n">
        <x:f>IF(OR(C7="",NOT(ISNUMBER(C7)),C7&lt;0,'Inputs'!$B$16&lt;=0,'Inputs'!$B$17&lt;=0,'Inputs'!$B$18&lt;=0,NOT(AND(ISNUMBER('Inputs'!$B$16),ISNUMBER('Inputs'!$B$17),ISNUMBER('Inputs'!$B$18),ISNUMBER('Inputs'!$B$19),ISNUMBER('Inputs'!$B$21),ISNUMBER('Inputs'!$B$25),ISNUMBER('Inputs'!$B$26)))),"",('Inputs'!$B$18/(0.5*(('Inputs'!$B$19+'Inputs'!$B$17)/SQRT(('Inputs'!$B$19+'Inputs'!$B$17)^2+('Inputs'!$B$16/2)^2)-('Inputs'!$B$19)/SQRT(('Inputs'!$B$19)^2+('Inputs'!$B$16/2)^2))))*(1-'Inputs'!$B$25)*(0.5*(((C7+'Inputs'!$B$26+'Inputs'!$B$21)+'Inputs'!$B$17)/SQRT(((C7+'Inputs'!$B$26+'Inputs'!$B$21)+'Inputs'!$B$17)^2+('Inputs'!$B$16/2)^2)-((C7+'Inputs'!$B$26+'Inputs'!$B$21))/SQRT(((C7+'Inputs'!$B$26+'Inputs'!$B$21))^2+('Inputs'!$B$16/2)^2))))</x:f>
        <x:v>95.33986626665049</x:v>
      </x:c>
      <x:c r="G7" s="18" t="n">
        <x:f>IF(OR(C7="",NOT(ISNUMBER(C7)),C7&lt;0,'Inputs'!$B$16&lt;=0,'Inputs'!$B$17&lt;=0,'Inputs'!$B$18&lt;=0,NOT(AND(ISNUMBER('Inputs'!$B$16),ISNUMBER('Inputs'!$B$17),ISNUMBER('Inputs'!$B$18),ISNUMBER('Inputs'!$B$19),ISNUMBER('Inputs'!$B$21),ISNUMBER('Inputs'!$B$25),ISNUMBER('Inputs'!$B$26)))),"",('Inputs'!$B$18/(0.5*(('Inputs'!$B$19+'Inputs'!$B$17)/SQRT(('Inputs'!$B$19+'Inputs'!$B$17)^2+('Inputs'!$B$16/2)^2)-('Inputs'!$B$19)/SQRT(('Inputs'!$B$19)^2+('Inputs'!$B$16/2)^2))))*(1+'Inputs'!$B$25)*(0.5*(((MAX(0,C7-'Inputs'!$B$26)+'Inputs'!$B$21)+'Inputs'!$B$17)/SQRT(((MAX(0,C7-'Inputs'!$B$26)+'Inputs'!$B$21)+'Inputs'!$B$17)^2+('Inputs'!$B$16/2)^2)-((MAX(0,C7-'Inputs'!$B$26)+'Inputs'!$B$21))/SQRT(((MAX(0,C7-'Inputs'!$B$26)+'Inputs'!$B$21))^2+('Inputs'!$B$16/2)^2))))</x:f>
        <x:v>102.16570926180171</x:v>
      </x:c>
      <x:c r="H7" s="18" t="n">
        <x:f>IF(OR(D7="",NOT(ISNUMBER(D7)),D7&lt;0,'Inputs'!$B$16&lt;=0,'Inputs'!$B$17&lt;=0,'Inputs'!$B$18&lt;=0,NOT(AND(ISNUMBER('Inputs'!$B$16),ISNUMBER('Inputs'!$B$17),ISNUMBER('Inputs'!$B$18),ISNUMBER('Inputs'!$B$19),ISNUMBER('Inputs'!$B$21),ISNUMBER('Inputs'!$B$25),ISNUMBER('Inputs'!$B$26)))),"",('Inputs'!$B$18/(0.5*(('Inputs'!$B$19+'Inputs'!$B$17)/SQRT(('Inputs'!$B$19+'Inputs'!$B$17)^2+('Inputs'!$B$16/2)^2)-('Inputs'!$B$19)/SQRT(('Inputs'!$B$19)^2+('Inputs'!$B$16/2)^2))))*(0.5*(((D7+'Inputs'!$B$21)+'Inputs'!$B$17)/SQRT(((D7+'Inputs'!$B$21)+'Inputs'!$B$17)^2+('Inputs'!$B$16/2)^2)-((D7+'Inputs'!$B$21))/SQRT(((D7+'Inputs'!$B$21))^2+('Inputs'!$B$16/2)^2))))</x:f>
        <x:v>77.72506205918778</x:v>
      </x:c>
      <x:c r="I7" s="18" t="n">
        <x:f>IF(OR(D7="",NOT(ISNUMBER(D7)),D7&lt;0,'Inputs'!$B$16&lt;=0,'Inputs'!$B$17&lt;=0,'Inputs'!$B$18&lt;=0,NOT(AND(ISNUMBER('Inputs'!$B$16),ISNUMBER('Inputs'!$B$17),ISNUMBER('Inputs'!$B$18),ISNUMBER('Inputs'!$B$19),ISNUMBER('Inputs'!$B$21),ISNUMBER('Inputs'!$B$25),ISNUMBER('Inputs'!$B$26)))),"",('Inputs'!$B$18/(0.5*(('Inputs'!$B$19+'Inputs'!$B$17)/SQRT(('Inputs'!$B$19+'Inputs'!$B$17)^2+('Inputs'!$B$16/2)^2)-('Inputs'!$B$19)/SQRT(('Inputs'!$B$19)^2+('Inputs'!$B$16/2)^2))))*(1-'Inputs'!$B$25)*(0.5*(((D7+'Inputs'!$B$26+'Inputs'!$B$21)+'Inputs'!$B$17)/SQRT(((D7+'Inputs'!$B$26+'Inputs'!$B$21)+'Inputs'!$B$17)^2+('Inputs'!$B$16/2)^2)-((D7+'Inputs'!$B$26+'Inputs'!$B$21))/SQRT(((D7+'Inputs'!$B$26+'Inputs'!$B$21))^2+('Inputs'!$B$16/2)^2))))</x:f>
        <x:v>75.1461278881603</x:v>
      </x:c>
      <x:c r="J7" s="18" t="n">
        <x:f>IF(OR(D7="",NOT(ISNUMBER(D7)),D7&lt;0,'Inputs'!$B$16&lt;=0,'Inputs'!$B$17&lt;=0,'Inputs'!$B$18&lt;=0,NOT(AND(ISNUMBER('Inputs'!$B$16),ISNUMBER('Inputs'!$B$17),ISNUMBER('Inputs'!$B$18),ISNUMBER('Inputs'!$B$19),ISNUMBER('Inputs'!$B$21),ISNUMBER('Inputs'!$B$25),ISNUMBER('Inputs'!$B$26)))),"",('Inputs'!$B$18/(0.5*(('Inputs'!$B$19+'Inputs'!$B$17)/SQRT(('Inputs'!$B$19+'Inputs'!$B$17)^2+('Inputs'!$B$16/2)^2)-('Inputs'!$B$19)/SQRT(('Inputs'!$B$19)^2+('Inputs'!$B$16/2)^2))))*(1+'Inputs'!$B$25)*(0.5*(((MAX(0,D7-'Inputs'!$B$26)+'Inputs'!$B$21)+'Inputs'!$B$17)/SQRT(((MAX(0,D7-'Inputs'!$B$26)+'Inputs'!$B$21)+'Inputs'!$B$17)^2+('Inputs'!$B$16/2)^2)-((MAX(0,D7-'Inputs'!$B$26)+'Inputs'!$B$21))/SQRT(((MAX(0,D7-'Inputs'!$B$26)+'Inputs'!$B$21))^2+('Inputs'!$B$16/2)^2))))</x:f>
        <x:v>80.36480643715473</x:v>
      </x:c>
    </x:row>
    <x:row r="8" ht="22" customHeight="1">
      <x:c r="A8" s="2" t="str">
        <x:v>max</x:v>
      </x:c>
      <x:c r="B8" s="2" t="n">
        <x:v>4</x:v>
      </x:c>
      <x:c r="C8" s="17" t="n">
        <x:v>8.51</x:v>
      </x:c>
      <x:c r="D8" s="17" t="n">
        <x:v>9.36</x:v>
      </x:c>
      <x:c r="E8" s="18" t="n">
        <x:f>IF(OR(C8="",NOT(ISNUMBER(C8)),C8&lt;0,'Inputs'!$B$16&lt;=0,'Inputs'!$B$17&lt;=0,'Inputs'!$B$18&lt;=0,NOT(AND(ISNUMBER('Inputs'!$B$16),ISNUMBER('Inputs'!$B$17),ISNUMBER('Inputs'!$B$18),ISNUMBER('Inputs'!$B$19),ISNUMBER('Inputs'!$B$21),ISNUMBER('Inputs'!$B$25),ISNUMBER('Inputs'!$B$26)))),"",('Inputs'!$B$18/(0.5*(('Inputs'!$B$19+'Inputs'!$B$17)/SQRT(('Inputs'!$B$19+'Inputs'!$B$17)^2+('Inputs'!$B$16/2)^2)-('Inputs'!$B$19)/SQRT(('Inputs'!$B$19)^2+('Inputs'!$B$16/2)^2))))*(0.5*(((C8+'Inputs'!$B$21)+'Inputs'!$B$17)/SQRT(((C8+'Inputs'!$B$21)+'Inputs'!$B$17)^2+('Inputs'!$B$16/2)^2)-((C8+'Inputs'!$B$21))/SQRT(((C8+'Inputs'!$B$21))^2+('Inputs'!$B$16/2)^2))))</x:f>
        <x:v>97.8523075005683</x:v>
      </x:c>
      <x:c r="F8" s="18" t="n">
        <x:f>IF(OR(C8="",NOT(ISNUMBER(C8)),C8&lt;0,'Inputs'!$B$16&lt;=0,'Inputs'!$B$17&lt;=0,'Inputs'!$B$18&lt;=0,NOT(AND(ISNUMBER('Inputs'!$B$16),ISNUMBER('Inputs'!$B$17),ISNUMBER('Inputs'!$B$18),ISNUMBER('Inputs'!$B$19),ISNUMBER('Inputs'!$B$21),ISNUMBER('Inputs'!$B$25),ISNUMBER('Inputs'!$B$26)))),"",('Inputs'!$B$18/(0.5*(('Inputs'!$B$19+'Inputs'!$B$17)/SQRT(('Inputs'!$B$19+'Inputs'!$B$17)^2+('Inputs'!$B$16/2)^2)-('Inputs'!$B$19)/SQRT(('Inputs'!$B$19)^2+('Inputs'!$B$16/2)^2))))*(1-'Inputs'!$B$25)*(0.5*(((C8+'Inputs'!$B$26+'Inputs'!$B$21)+'Inputs'!$B$17)/SQRT(((C8+'Inputs'!$B$26+'Inputs'!$B$21)+'Inputs'!$B$17)^2+('Inputs'!$B$16/2)^2)-((C8+'Inputs'!$B$26+'Inputs'!$B$21))/SQRT(((C8+'Inputs'!$B$26+'Inputs'!$B$21))^2+('Inputs'!$B$16/2)^2))))</x:f>
        <x:v>94.51456218590823</x:v>
      </x:c>
      <x:c r="G8" s="18" t="n">
        <x:f>IF(OR(C8="",NOT(ISNUMBER(C8)),C8&lt;0,'Inputs'!$B$16&lt;=0,'Inputs'!$B$17&lt;=0,'Inputs'!$B$18&lt;=0,NOT(AND(ISNUMBER('Inputs'!$B$16),ISNUMBER('Inputs'!$B$17),ISNUMBER('Inputs'!$B$18),ISNUMBER('Inputs'!$B$19),ISNUMBER('Inputs'!$B$21),ISNUMBER('Inputs'!$B$25),ISNUMBER('Inputs'!$B$26)))),"",('Inputs'!$B$18/(0.5*(('Inputs'!$B$19+'Inputs'!$B$17)/SQRT(('Inputs'!$B$19+'Inputs'!$B$17)^2+('Inputs'!$B$16/2)^2)-('Inputs'!$B$19)/SQRT(('Inputs'!$B$19)^2+('Inputs'!$B$16/2)^2))))*(1+'Inputs'!$B$25)*(0.5*(((MAX(0,C8-'Inputs'!$B$26)+'Inputs'!$B$21)+'Inputs'!$B$17)/SQRT(((MAX(0,C8-'Inputs'!$B$26)+'Inputs'!$B$21)+'Inputs'!$B$17)^2+('Inputs'!$B$16/2)^2)-((MAX(0,C8-'Inputs'!$B$26)+'Inputs'!$B$21))/SQRT(((MAX(0,C8-'Inputs'!$B$26)+'Inputs'!$B$21))^2+('Inputs'!$B$16/2)^2))))</x:f>
        <x:v>101.27371903165347</x:v>
      </x:c>
      <x:c r="H8" s="18" t="n">
        <x:f>IF(OR(D8="",NOT(ISNUMBER(D8)),D8&lt;0,'Inputs'!$B$16&lt;=0,'Inputs'!$B$17&lt;=0,'Inputs'!$B$18&lt;=0,NOT(AND(ISNUMBER('Inputs'!$B$16),ISNUMBER('Inputs'!$B$17),ISNUMBER('Inputs'!$B$18),ISNUMBER('Inputs'!$B$19),ISNUMBER('Inputs'!$B$21),ISNUMBER('Inputs'!$B$25),ISNUMBER('Inputs'!$B$26)))),"",('Inputs'!$B$18/(0.5*(('Inputs'!$B$19+'Inputs'!$B$17)/SQRT(('Inputs'!$B$19+'Inputs'!$B$17)^2+('Inputs'!$B$16/2)^2)-('Inputs'!$B$19)/SQRT(('Inputs'!$B$19)^2+('Inputs'!$B$16/2)^2))))*(0.5*(((D8+'Inputs'!$B$21)+'Inputs'!$B$17)/SQRT(((D8+'Inputs'!$B$21)+'Inputs'!$B$17)^2+('Inputs'!$B$16/2)^2)-((D8+'Inputs'!$B$21))/SQRT(((D8+'Inputs'!$B$21))^2+('Inputs'!$B$16/2)^2))))</x:f>
        <x:v>77.09564885645094</x:v>
      </x:c>
      <x:c r="I8" s="18" t="n">
        <x:f>IF(OR(D8="",NOT(ISNUMBER(D8)),D8&lt;0,'Inputs'!$B$16&lt;=0,'Inputs'!$B$17&lt;=0,'Inputs'!$B$18&lt;=0,NOT(AND(ISNUMBER('Inputs'!$B$16),ISNUMBER('Inputs'!$B$17),ISNUMBER('Inputs'!$B$18),ISNUMBER('Inputs'!$B$19),ISNUMBER('Inputs'!$B$21),ISNUMBER('Inputs'!$B$25),ISNUMBER('Inputs'!$B$26)))),"",('Inputs'!$B$18/(0.5*(('Inputs'!$B$19+'Inputs'!$B$17)/SQRT(('Inputs'!$B$19+'Inputs'!$B$17)^2+('Inputs'!$B$16/2)^2)-('Inputs'!$B$19)/SQRT(('Inputs'!$B$19)^2+('Inputs'!$B$16/2)^2))))*(1-'Inputs'!$B$25)*(0.5*(((D8+'Inputs'!$B$26+'Inputs'!$B$21)+'Inputs'!$B$17)/SQRT(((D8+'Inputs'!$B$26+'Inputs'!$B$21)+'Inputs'!$B$17)^2+('Inputs'!$B$16/2)^2)-((D8+'Inputs'!$B$26+'Inputs'!$B$21))/SQRT(((D8+'Inputs'!$B$26+'Inputs'!$B$21))^2+('Inputs'!$B$16/2)^2))))</x:f>
        <x:v>74.54006731857724</x:v>
      </x:c>
      <x:c r="J8" s="18" t="n">
        <x:f>IF(OR(D8="",NOT(ISNUMBER(D8)),D8&lt;0,'Inputs'!$B$16&lt;=0,'Inputs'!$B$17&lt;=0,'Inputs'!$B$18&lt;=0,NOT(AND(ISNUMBER('Inputs'!$B$16),ISNUMBER('Inputs'!$B$17),ISNUMBER('Inputs'!$B$18),ISNUMBER('Inputs'!$B$19),ISNUMBER('Inputs'!$B$21),ISNUMBER('Inputs'!$B$25),ISNUMBER('Inputs'!$B$26)))),"",('Inputs'!$B$18/(0.5*(('Inputs'!$B$19+'Inputs'!$B$17)/SQRT(('Inputs'!$B$19+'Inputs'!$B$17)^2+('Inputs'!$B$16/2)^2)-('Inputs'!$B$19)/SQRT(('Inputs'!$B$19)^2+('Inputs'!$B$16/2)^2))))*(1+'Inputs'!$B$25)*(0.5*(((MAX(0,D8-'Inputs'!$B$26)+'Inputs'!$B$21)+'Inputs'!$B$17)/SQRT(((MAX(0,D8-'Inputs'!$B$26)+'Inputs'!$B$21)+'Inputs'!$B$17)^2+('Inputs'!$B$16/2)^2)-((MAX(0,D8-'Inputs'!$B$26)+'Inputs'!$B$21))/SQRT(((MAX(0,D8-'Inputs'!$B$26)+'Inputs'!$B$21))^2+('Inputs'!$B$16/2)^2))))</x:f>
        <x:v>79.71135803412676</x:v>
      </x:c>
    </x:row>
    <x:row r="9" ht="22" customHeight="1">
      <x:c r="A9" s="2" t="str">
        <x:v>max</x:v>
      </x:c>
      <x:c r="B9" s="2" t="n">
        <x:v>5</x:v>
      </x:c>
      <x:c r="C9" s="17" t="n">
        <x:v>8.5</x:v>
      </x:c>
      <x:c r="D9" s="17" t="n">
        <x:v>9.35</x:v>
      </x:c>
      <x:c r="E9" s="18" t="n">
        <x:f>IF(OR(C9="",NOT(ISNUMBER(C9)),C9&lt;0,'Inputs'!$B$16&lt;=0,'Inputs'!$B$17&lt;=0,'Inputs'!$B$18&lt;=0,NOT(AND(ISNUMBER('Inputs'!$B$16),ISNUMBER('Inputs'!$B$17),ISNUMBER('Inputs'!$B$18),ISNUMBER('Inputs'!$B$19),ISNUMBER('Inputs'!$B$21),ISNUMBER('Inputs'!$B$25),ISNUMBER('Inputs'!$B$26)))),"",('Inputs'!$B$18/(0.5*(('Inputs'!$B$19+'Inputs'!$B$17)/SQRT(('Inputs'!$B$19+'Inputs'!$B$17)^2+('Inputs'!$B$16/2)^2)-('Inputs'!$B$19)/SQRT(('Inputs'!$B$19)^2+('Inputs'!$B$16/2)^2))))*(0.5*(((C9+'Inputs'!$B$21)+'Inputs'!$B$17)/SQRT(((C9+'Inputs'!$B$21)+'Inputs'!$B$17)^2+('Inputs'!$B$16/2)^2)-((C9+'Inputs'!$B$21))/SQRT(((C9+'Inputs'!$B$21))^2+('Inputs'!$B$16/2)^2))))</x:f>
        <x:v>98.13727636622181</x:v>
      </x:c>
      <x:c r="F9" s="18" t="n">
        <x:f>IF(OR(C9="",NOT(ISNUMBER(C9)),C9&lt;0,'Inputs'!$B$16&lt;=0,'Inputs'!$B$17&lt;=0,'Inputs'!$B$18&lt;=0,NOT(AND(ISNUMBER('Inputs'!$B$16),ISNUMBER('Inputs'!$B$17),ISNUMBER('Inputs'!$B$18),ISNUMBER('Inputs'!$B$19),ISNUMBER('Inputs'!$B$21),ISNUMBER('Inputs'!$B$25),ISNUMBER('Inputs'!$B$26)))),"",('Inputs'!$B$18/(0.5*(('Inputs'!$B$19+'Inputs'!$B$17)/SQRT(('Inputs'!$B$19+'Inputs'!$B$17)^2+('Inputs'!$B$16/2)^2)-('Inputs'!$B$19)/SQRT(('Inputs'!$B$19)^2+('Inputs'!$B$16/2)^2))))*(1-'Inputs'!$B$25)*(0.5*(((C9+'Inputs'!$B$26+'Inputs'!$B$21)+'Inputs'!$B$17)/SQRT(((C9+'Inputs'!$B$26+'Inputs'!$B$21)+'Inputs'!$B$17)^2+('Inputs'!$B$16/2)^2)-((C9+'Inputs'!$B$26+'Inputs'!$B$21))/SQRT(((C9+'Inputs'!$B$26+'Inputs'!$B$21))^2+('Inputs'!$B$16/2)^2))))</x:f>
        <x:v>94.78863135967762</x:v>
      </x:c>
      <x:c r="G9" s="18" t="n">
        <x:f>IF(OR(C9="",NOT(ISNUMBER(C9)),C9&lt;0,'Inputs'!$B$16&lt;=0,'Inputs'!$B$17&lt;=0,'Inputs'!$B$18&lt;=0,NOT(AND(ISNUMBER('Inputs'!$B$16),ISNUMBER('Inputs'!$B$17),ISNUMBER('Inputs'!$B$18),ISNUMBER('Inputs'!$B$19),ISNUMBER('Inputs'!$B$21),ISNUMBER('Inputs'!$B$25),ISNUMBER('Inputs'!$B$26)))),"",('Inputs'!$B$18/(0.5*(('Inputs'!$B$19+'Inputs'!$B$17)/SQRT(('Inputs'!$B$19+'Inputs'!$B$17)^2+('Inputs'!$B$16/2)^2)-('Inputs'!$B$19)/SQRT(('Inputs'!$B$19)^2+('Inputs'!$B$16/2)^2))))*(1+'Inputs'!$B$25)*(0.5*(((MAX(0,C9-'Inputs'!$B$26)+'Inputs'!$B$21)+'Inputs'!$B$17)/SQRT(((MAX(0,C9-'Inputs'!$B$26)+'Inputs'!$B$21)+'Inputs'!$B$17)^2+('Inputs'!$B$16/2)^2)-((MAX(0,C9-'Inputs'!$B$26)+'Inputs'!$B$21))/SQRT(((MAX(0,C9-'Inputs'!$B$26)+'Inputs'!$B$21))^2+('Inputs'!$B$16/2)^2))))</x:f>
        <x:v>101.5699246481075</x:v>
      </x:c>
      <x:c r="H9" s="18" t="n">
        <x:f>IF(OR(D9="",NOT(ISNUMBER(D9)),D9&lt;0,'Inputs'!$B$16&lt;=0,'Inputs'!$B$17&lt;=0,'Inputs'!$B$18&lt;=0,NOT(AND(ISNUMBER('Inputs'!$B$16),ISNUMBER('Inputs'!$B$17),ISNUMBER('Inputs'!$B$18),ISNUMBER('Inputs'!$B$19),ISNUMBER('Inputs'!$B$21),ISNUMBER('Inputs'!$B$25),ISNUMBER('Inputs'!$B$26)))),"",('Inputs'!$B$18/(0.5*(('Inputs'!$B$19+'Inputs'!$B$17)/SQRT(('Inputs'!$B$19+'Inputs'!$B$17)^2+('Inputs'!$B$16/2)^2)-('Inputs'!$B$19)/SQRT(('Inputs'!$B$19)^2+('Inputs'!$B$16/2)^2))))*(0.5*(((D9+'Inputs'!$B$21)+'Inputs'!$B$17)/SQRT(((D9+'Inputs'!$B$21)+'Inputs'!$B$17)^2+('Inputs'!$B$16/2)^2)-((D9+'Inputs'!$B$21))/SQRT(((D9+'Inputs'!$B$21))^2+('Inputs'!$B$16/2)^2))))</x:f>
        <x:v>77.30471363821495</x:v>
      </x:c>
      <x:c r="I9" s="18" t="n">
        <x:f>IF(OR(D9="",NOT(ISNUMBER(D9)),D9&lt;0,'Inputs'!$B$16&lt;=0,'Inputs'!$B$17&lt;=0,'Inputs'!$B$18&lt;=0,NOT(AND(ISNUMBER('Inputs'!$B$16),ISNUMBER('Inputs'!$B$17),ISNUMBER('Inputs'!$B$18),ISNUMBER('Inputs'!$B$19),ISNUMBER('Inputs'!$B$21),ISNUMBER('Inputs'!$B$25),ISNUMBER('Inputs'!$B$26)))),"",('Inputs'!$B$18/(0.5*(('Inputs'!$B$19+'Inputs'!$B$17)/SQRT(('Inputs'!$B$19+'Inputs'!$B$17)^2+('Inputs'!$B$16/2)^2)-('Inputs'!$B$19)/SQRT(('Inputs'!$B$19)^2+('Inputs'!$B$16/2)^2))))*(1-'Inputs'!$B$25)*(0.5*(((D9+'Inputs'!$B$26+'Inputs'!$B$21)+'Inputs'!$B$17)/SQRT(((D9+'Inputs'!$B$26+'Inputs'!$B$21)+'Inputs'!$B$17)^2+('Inputs'!$B$16/2)^2)-((D9+'Inputs'!$B$26+'Inputs'!$B$21))/SQRT(((D9+'Inputs'!$B$26+'Inputs'!$B$21))^2+('Inputs'!$B$16/2)^2))))</x:f>
        <x:v>74.74137805273375</x:v>
      </x:c>
      <x:c r="J9" s="18" t="n">
        <x:f>IF(OR(D9="",NOT(ISNUMBER(D9)),D9&lt;0,'Inputs'!$B$16&lt;=0,'Inputs'!$B$17&lt;=0,'Inputs'!$B$18&lt;=0,NOT(AND(ISNUMBER('Inputs'!$B$16),ISNUMBER('Inputs'!$B$17),ISNUMBER('Inputs'!$B$18),ISNUMBER('Inputs'!$B$19),ISNUMBER('Inputs'!$B$21),ISNUMBER('Inputs'!$B$25),ISNUMBER('Inputs'!$B$26)))),"",('Inputs'!$B$18/(0.5*(('Inputs'!$B$19+'Inputs'!$B$17)/SQRT(('Inputs'!$B$19+'Inputs'!$B$17)^2+('Inputs'!$B$16/2)^2)-('Inputs'!$B$19)/SQRT(('Inputs'!$B$19)^2+('Inputs'!$B$16/2)^2))))*(1+'Inputs'!$B$25)*(0.5*(((MAX(0,D9-'Inputs'!$B$26)+'Inputs'!$B$21)+'Inputs'!$B$17)/SQRT(((MAX(0,D9-'Inputs'!$B$26)+'Inputs'!$B$21)+'Inputs'!$B$17)^2+('Inputs'!$B$16/2)^2)-((MAX(0,D9-'Inputs'!$B$26)+'Inputs'!$B$21))/SQRT(((MAX(0,D9-'Inputs'!$B$26)+'Inputs'!$B$21))^2+('Inputs'!$B$16/2)^2))))</x:f>
        <x:v>79.92840335332338</x:v>
      </x:c>
    </x:row>
    <x:row r="10" ht="22" customHeight="1">
      <x:c r="A10" s="2" t="str">
        <x:v>min</x:v>
      </x:c>
      <x:c r="B10" s="2" t="n">
        <x:v>1</x:v>
      </x:c>
      <x:c r="C10" s="17" t="n">
        <x:v>8.3</x:v>
      </x:c>
      <x:c r="D10" s="17" t="n">
        <x:v>9.15</x:v>
      </x:c>
      <x:c r="E10" s="18" t="n">
        <x:f>IF(OR(C10="",NOT(ISNUMBER(C10)),C10&lt;0,'Inputs'!$B$16&lt;=0,'Inputs'!$B$17&lt;=0,'Inputs'!$B$18&lt;=0,NOT(AND(ISNUMBER('Inputs'!$B$16),ISNUMBER('Inputs'!$B$17),ISNUMBER('Inputs'!$B$18),ISNUMBER('Inputs'!$B$19),ISNUMBER('Inputs'!$B$21),ISNUMBER('Inputs'!$B$25),ISNUMBER('Inputs'!$B$26)))),"",('Inputs'!$B$18/(0.5*(('Inputs'!$B$19+'Inputs'!$B$17)/SQRT(('Inputs'!$B$19+'Inputs'!$B$17)^2+('Inputs'!$B$16/2)^2)-('Inputs'!$B$19)/SQRT(('Inputs'!$B$19)^2+('Inputs'!$B$16/2)^2))))*(0.5*(((C10+'Inputs'!$B$21)+'Inputs'!$B$17)/SQRT(((C10+'Inputs'!$B$21)+'Inputs'!$B$17)^2+('Inputs'!$B$16/2)^2)-((C10+'Inputs'!$B$21))/SQRT(((C10+'Inputs'!$B$21))^2+('Inputs'!$B$16/2)^2))))</x:f>
        <x:v>104.06928806963977</x:v>
      </x:c>
      <x:c r="F10" s="18" t="n">
        <x:f>IF(OR(C10="",NOT(ISNUMBER(C10)),C10&lt;0,'Inputs'!$B$16&lt;=0,'Inputs'!$B$17&lt;=0,'Inputs'!$B$18&lt;=0,NOT(AND(ISNUMBER('Inputs'!$B$16),ISNUMBER('Inputs'!$B$17),ISNUMBER('Inputs'!$B$18),ISNUMBER('Inputs'!$B$19),ISNUMBER('Inputs'!$B$21),ISNUMBER('Inputs'!$B$25),ISNUMBER('Inputs'!$B$26)))),"",('Inputs'!$B$18/(0.5*(('Inputs'!$B$19+'Inputs'!$B$17)/SQRT(('Inputs'!$B$19+'Inputs'!$B$17)^2+('Inputs'!$B$16/2)^2)-('Inputs'!$B$19)/SQRT(('Inputs'!$B$19)^2+('Inputs'!$B$16/2)^2))))*(1-'Inputs'!$B$25)*(0.5*(((C10+'Inputs'!$B$26+'Inputs'!$B$21)+'Inputs'!$B$17)/SQRT(((C10+'Inputs'!$B$26+'Inputs'!$B$21)+'Inputs'!$B$17)^2+('Inputs'!$B$16/2)^2)-((C10+'Inputs'!$B$26+'Inputs'!$B$21))/SQRT(((C10+'Inputs'!$B$26+'Inputs'!$B$21))^2+('Inputs'!$B$16/2)^2))))</x:f>
        <x:v>100.49284224360878</x:v>
      </x:c>
      <x:c r="G10" s="18" t="n">
        <x:f>IF(OR(C10="",NOT(ISNUMBER(C10)),C10&lt;0,'Inputs'!$B$16&lt;=0,'Inputs'!$B$17&lt;=0,'Inputs'!$B$18&lt;=0,NOT(AND(ISNUMBER('Inputs'!$B$16),ISNUMBER('Inputs'!$B$17),ISNUMBER('Inputs'!$B$18),ISNUMBER('Inputs'!$B$19),ISNUMBER('Inputs'!$B$21),ISNUMBER('Inputs'!$B$25),ISNUMBER('Inputs'!$B$26)))),"",('Inputs'!$B$18/(0.5*(('Inputs'!$B$19+'Inputs'!$B$17)/SQRT(('Inputs'!$B$19+'Inputs'!$B$17)^2+('Inputs'!$B$16/2)^2)-('Inputs'!$B$19)/SQRT(('Inputs'!$B$19)^2+('Inputs'!$B$16/2)^2))))*(1+'Inputs'!$B$25)*(0.5*(((MAX(0,C10-'Inputs'!$B$26)+'Inputs'!$B$21)+'Inputs'!$B$17)/SQRT(((MAX(0,C10-'Inputs'!$B$26)+'Inputs'!$B$21)+'Inputs'!$B$17)^2+('Inputs'!$B$16/2)^2)-((MAX(0,C10-'Inputs'!$B$26)+'Inputs'!$B$21))/SQRT(((MAX(0,C10-'Inputs'!$B$26)+'Inputs'!$B$21))^2+('Inputs'!$B$16/2)^2))))</x:f>
        <x:v>107.73683257855492</x:v>
      </x:c>
      <x:c r="H10" s="18" t="n">
        <x:f>IF(OR(D10="",NOT(ISNUMBER(D10)),D10&lt;0,'Inputs'!$B$16&lt;=0,'Inputs'!$B$17&lt;=0,'Inputs'!$B$18&lt;=0,NOT(AND(ISNUMBER('Inputs'!$B$16),ISNUMBER('Inputs'!$B$17),ISNUMBER('Inputs'!$B$18),ISNUMBER('Inputs'!$B$19),ISNUMBER('Inputs'!$B$21),ISNUMBER('Inputs'!$B$25),ISNUMBER('Inputs'!$B$26)))),"",('Inputs'!$B$18/(0.5*(('Inputs'!$B$19+'Inputs'!$B$17)/SQRT(('Inputs'!$B$19+'Inputs'!$B$17)^2+('Inputs'!$B$16/2)^2)-('Inputs'!$B$19)/SQRT(('Inputs'!$B$19)^2+('Inputs'!$B$16/2)^2))))*(0.5*(((D10+'Inputs'!$B$21)+'Inputs'!$B$17)/SQRT(((D10+'Inputs'!$B$21)+'Inputs'!$B$17)^2+('Inputs'!$B$16/2)^2)-((D10+'Inputs'!$B$21))/SQRT(((D10+'Inputs'!$B$21))^2+('Inputs'!$B$16/2)^2))))</x:f>
        <x:v>81.64543207312053</x:v>
      </x:c>
      <x:c r="I10" s="18" t="n">
        <x:f>IF(OR(D10="",NOT(ISNUMBER(D10)),D10&lt;0,'Inputs'!$B$16&lt;=0,'Inputs'!$B$17&lt;=0,'Inputs'!$B$18&lt;=0,NOT(AND(ISNUMBER('Inputs'!$B$16),ISNUMBER('Inputs'!$B$17),ISNUMBER('Inputs'!$B$18),ISNUMBER('Inputs'!$B$19),ISNUMBER('Inputs'!$B$21),ISNUMBER('Inputs'!$B$25),ISNUMBER('Inputs'!$B$26)))),"",('Inputs'!$B$18/(0.5*(('Inputs'!$B$19+'Inputs'!$B$17)/SQRT(('Inputs'!$B$19+'Inputs'!$B$17)^2+('Inputs'!$B$16/2)^2)-('Inputs'!$B$19)/SQRT(('Inputs'!$B$19)^2+('Inputs'!$B$16/2)^2))))*(1-'Inputs'!$B$25)*(0.5*(((D10+'Inputs'!$B$26+'Inputs'!$B$21)+'Inputs'!$B$17)/SQRT(((D10+'Inputs'!$B$26+'Inputs'!$B$21)+'Inputs'!$B$17)^2+('Inputs'!$B$16/2)^2)-((D10+'Inputs'!$B$26+'Inputs'!$B$21))/SQRT(((D10+'Inputs'!$B$26+'Inputs'!$B$21))^2+('Inputs'!$B$16/2)^2))))</x:f>
        <x:v>78.92049969267535</x:v>
      </x:c>
      <x:c r="J10" s="18" t="n">
        <x:f>IF(OR(D10="",NOT(ISNUMBER(D10)),D10&lt;0,'Inputs'!$B$16&lt;=0,'Inputs'!$B$17&lt;=0,'Inputs'!$B$18&lt;=0,NOT(AND(ISNUMBER('Inputs'!$B$16),ISNUMBER('Inputs'!$B$17),ISNUMBER('Inputs'!$B$18),ISNUMBER('Inputs'!$B$19),ISNUMBER('Inputs'!$B$21),ISNUMBER('Inputs'!$B$25),ISNUMBER('Inputs'!$B$26)))),"",('Inputs'!$B$18/(0.5*(('Inputs'!$B$19+'Inputs'!$B$17)/SQRT(('Inputs'!$B$19+'Inputs'!$B$17)^2+('Inputs'!$B$16/2)^2)-('Inputs'!$B$19)/SQRT(('Inputs'!$B$19)^2+('Inputs'!$B$16/2)^2))))*(1+'Inputs'!$B$25)*(0.5*(((MAX(0,D10-'Inputs'!$B$26)+'Inputs'!$B$21)+'Inputs'!$B$17)/SQRT(((MAX(0,D10-'Inputs'!$B$26)+'Inputs'!$B$21)+'Inputs'!$B$17)^2+('Inputs'!$B$16/2)^2)-((MAX(0,D10-'Inputs'!$B$26)+'Inputs'!$B$21))/SQRT(((MAX(0,D10-'Inputs'!$B$26)+'Inputs'!$B$21))^2+('Inputs'!$B$16/2)^2))))</x:f>
        <x:v>84.43547224120796</x:v>
      </x:c>
    </x:row>
    <x:row r="11" ht="22" customHeight="1">
      <x:c r="A11" s="2" t="str">
        <x:v>min</x:v>
      </x:c>
      <x:c r="B11" s="2" t="n">
        <x:v>2</x:v>
      </x:c>
      <x:c r="C11" s="17" t="n">
        <x:v>8.32</x:v>
      </x:c>
      <x:c r="D11" s="17" t="n">
        <x:v>9.17</x:v>
      </x:c>
      <x:c r="E11" s="18" t="n">
        <x:f>IF(OR(C11="",NOT(ISNUMBER(C11)),C11&lt;0,'Inputs'!$B$16&lt;=0,'Inputs'!$B$17&lt;=0,'Inputs'!$B$18&lt;=0,NOT(AND(ISNUMBER('Inputs'!$B$16),ISNUMBER('Inputs'!$B$17),ISNUMBER('Inputs'!$B$18),ISNUMBER('Inputs'!$B$19),ISNUMBER('Inputs'!$B$21),ISNUMBER('Inputs'!$B$25),ISNUMBER('Inputs'!$B$26)))),"",('Inputs'!$B$18/(0.5*(('Inputs'!$B$19+'Inputs'!$B$17)/SQRT(('Inputs'!$B$19+'Inputs'!$B$17)^2+('Inputs'!$B$16/2)^2)-('Inputs'!$B$19)/SQRT(('Inputs'!$B$19)^2+('Inputs'!$B$16/2)^2))))*(0.5*(((C11+'Inputs'!$B$21)+'Inputs'!$B$17)/SQRT(((C11+'Inputs'!$B$21)+'Inputs'!$B$17)^2+('Inputs'!$B$16/2)^2)-((C11+'Inputs'!$B$21))/SQRT(((C11+'Inputs'!$B$21))^2+('Inputs'!$B$16/2)^2))))</x:f>
        <x:v>103.45555923025009</x:v>
      </x:c>
      <x:c r="F11" s="18" t="n">
        <x:f>IF(OR(C11="",NOT(ISNUMBER(C11)),C11&lt;0,'Inputs'!$B$16&lt;=0,'Inputs'!$B$17&lt;=0,'Inputs'!$B$18&lt;=0,NOT(AND(ISNUMBER('Inputs'!$B$16),ISNUMBER('Inputs'!$B$17),ISNUMBER('Inputs'!$B$18),ISNUMBER('Inputs'!$B$19),ISNUMBER('Inputs'!$B$21),ISNUMBER('Inputs'!$B$25),ISNUMBER('Inputs'!$B$26)))),"",('Inputs'!$B$18/(0.5*(('Inputs'!$B$19+'Inputs'!$B$17)/SQRT(('Inputs'!$B$19+'Inputs'!$B$17)^2+('Inputs'!$B$16/2)^2)-('Inputs'!$B$19)/SQRT(('Inputs'!$B$19)^2+('Inputs'!$B$16/2)^2))))*(1-'Inputs'!$B$25)*(0.5*(((C11+'Inputs'!$B$26+'Inputs'!$B$21)+'Inputs'!$B$17)/SQRT(((C11+'Inputs'!$B$26+'Inputs'!$B$21)+'Inputs'!$B$17)^2+('Inputs'!$B$16/2)^2)-((C11+'Inputs'!$B$26+'Inputs'!$B$21))/SQRT(((C11+'Inputs'!$B$26+'Inputs'!$B$21))^2+('Inputs'!$B$16/2)^2))))</x:f>
        <x:v>99.9027608767628</x:v>
      </x:c>
      <x:c r="G11" s="18" t="n">
        <x:f>IF(OR(C11="",NOT(ISNUMBER(C11)),C11&lt;0,'Inputs'!$B$16&lt;=0,'Inputs'!$B$17&lt;=0,'Inputs'!$B$18&lt;=0,NOT(AND(ISNUMBER('Inputs'!$B$16),ISNUMBER('Inputs'!$B$17),ISNUMBER('Inputs'!$B$18),ISNUMBER('Inputs'!$B$19),ISNUMBER('Inputs'!$B$21),ISNUMBER('Inputs'!$B$25),ISNUMBER('Inputs'!$B$26)))),"",('Inputs'!$B$18/(0.5*(('Inputs'!$B$19+'Inputs'!$B$17)/SQRT(('Inputs'!$B$19+'Inputs'!$B$17)^2+('Inputs'!$B$16/2)^2)-('Inputs'!$B$19)/SQRT(('Inputs'!$B$19)^2+('Inputs'!$B$16/2)^2))))*(1+'Inputs'!$B$25)*(0.5*(((MAX(0,C11-'Inputs'!$B$26)+'Inputs'!$B$21)+'Inputs'!$B$17)/SQRT(((MAX(0,C11-'Inputs'!$B$26)+'Inputs'!$B$21)+'Inputs'!$B$17)^2+('Inputs'!$B$16/2)^2)-((MAX(0,C11-'Inputs'!$B$26)+'Inputs'!$B$21))/SQRT(((MAX(0,C11-'Inputs'!$B$26)+'Inputs'!$B$21))^2+('Inputs'!$B$16/2)^2))))</x:f>
        <x:v>107.09871528081668</x:v>
      </x:c>
      <x:c r="H11" s="18" t="n">
        <x:f>IF(OR(D11="",NOT(ISNUMBER(D11)),D11&lt;0,'Inputs'!$B$16&lt;=0,'Inputs'!$B$17&lt;=0,'Inputs'!$B$18&lt;=0,NOT(AND(ISNUMBER('Inputs'!$B$16),ISNUMBER('Inputs'!$B$17),ISNUMBER('Inputs'!$B$18),ISNUMBER('Inputs'!$B$19),ISNUMBER('Inputs'!$B$21),ISNUMBER('Inputs'!$B$25),ISNUMBER('Inputs'!$B$26)))),"",('Inputs'!$B$18/(0.5*(('Inputs'!$B$19+'Inputs'!$B$17)/SQRT(('Inputs'!$B$19+'Inputs'!$B$17)^2+('Inputs'!$B$16/2)^2)-('Inputs'!$B$19)/SQRT(('Inputs'!$B$19)^2+('Inputs'!$B$16/2)^2))))*(0.5*(((D11+'Inputs'!$B$21)+'Inputs'!$B$17)/SQRT(((D11+'Inputs'!$B$21)+'Inputs'!$B$17)^2+('Inputs'!$B$16/2)^2)-((D11+'Inputs'!$B$21))/SQRT(((D11+'Inputs'!$B$21))^2+('Inputs'!$B$16/2)^2))))</x:f>
        <x:v>81.19731665602333</x:v>
      </x:c>
      <x:c r="I11" s="18" t="n">
        <x:f>IF(OR(D11="",NOT(ISNUMBER(D11)),D11&lt;0,'Inputs'!$B$16&lt;=0,'Inputs'!$B$17&lt;=0,'Inputs'!$B$18&lt;=0,NOT(AND(ISNUMBER('Inputs'!$B$16),ISNUMBER('Inputs'!$B$17),ISNUMBER('Inputs'!$B$18),ISNUMBER('Inputs'!$B$19),ISNUMBER('Inputs'!$B$21),ISNUMBER('Inputs'!$B$25),ISNUMBER('Inputs'!$B$26)))),"",('Inputs'!$B$18/(0.5*(('Inputs'!$B$19+'Inputs'!$B$17)/SQRT(('Inputs'!$B$19+'Inputs'!$B$17)^2+('Inputs'!$B$16/2)^2)-('Inputs'!$B$19)/SQRT(('Inputs'!$B$19)^2+('Inputs'!$B$16/2)^2))))*(1-'Inputs'!$B$25)*(0.5*(((D11+'Inputs'!$B$26+'Inputs'!$B$21)+'Inputs'!$B$17)/SQRT(((D11+'Inputs'!$B$26+'Inputs'!$B$21)+'Inputs'!$B$17)^2+('Inputs'!$B$16/2)^2)-((D11+'Inputs'!$B$26+'Inputs'!$B$21))/SQRT(((D11+'Inputs'!$B$26+'Inputs'!$B$21))^2+('Inputs'!$B$16/2)^2))))</x:f>
        <x:v>78.48911923655027</x:v>
      </x:c>
      <x:c r="J11" s="18" t="n">
        <x:f>IF(OR(D11="",NOT(ISNUMBER(D11)),D11&lt;0,'Inputs'!$B$16&lt;=0,'Inputs'!$B$17&lt;=0,'Inputs'!$B$18&lt;=0,NOT(AND(ISNUMBER('Inputs'!$B$16),ISNUMBER('Inputs'!$B$17),ISNUMBER('Inputs'!$B$18),ISNUMBER('Inputs'!$B$19),ISNUMBER('Inputs'!$B$21),ISNUMBER('Inputs'!$B$25),ISNUMBER('Inputs'!$B$26)))),"",('Inputs'!$B$18/(0.5*(('Inputs'!$B$19+'Inputs'!$B$17)/SQRT(('Inputs'!$B$19+'Inputs'!$B$17)^2+('Inputs'!$B$16/2)^2)-('Inputs'!$B$19)/SQRT(('Inputs'!$B$19)^2+('Inputs'!$B$16/2)^2))))*(1+'Inputs'!$B$25)*(0.5*(((MAX(0,D11-'Inputs'!$B$26)+'Inputs'!$B$21)+'Inputs'!$B$17)/SQRT(((MAX(0,D11-'Inputs'!$B$26)+'Inputs'!$B$21)+'Inputs'!$B$17)^2+('Inputs'!$B$16/2)^2)-((MAX(0,D11-'Inputs'!$B$26)+'Inputs'!$B$21))/SQRT(((MAX(0,D11-'Inputs'!$B$26)+'Inputs'!$B$21))^2+('Inputs'!$B$16/2)^2))))</x:f>
        <x:v>83.9701266584133</x:v>
      </x:c>
    </x:row>
    <x:row r="12" ht="22" customHeight="1">
      <x:c r="A12" s="2" t="str">
        <x:v>min</x:v>
      </x:c>
      <x:c r="B12" s="2" t="n">
        <x:v>3</x:v>
      </x:c>
      <x:c r="C12" s="17" t="n">
        <x:v>8.28</x:v>
      </x:c>
      <x:c r="D12" s="17" t="n">
        <x:v>9.129999999999999</x:v>
      </x:c>
      <x:c r="E12" s="18" t="n">
        <x:f>IF(OR(C12="",NOT(ISNUMBER(C12)),C12&lt;0,'Inputs'!$B$16&lt;=0,'Inputs'!$B$17&lt;=0,'Inputs'!$B$18&lt;=0,NOT(AND(ISNUMBER('Inputs'!$B$16),ISNUMBER('Inputs'!$B$17),ISNUMBER('Inputs'!$B$18),ISNUMBER('Inputs'!$B$19),ISNUMBER('Inputs'!$B$21),ISNUMBER('Inputs'!$B$25),ISNUMBER('Inputs'!$B$26)))),"",('Inputs'!$B$18/(0.5*(('Inputs'!$B$19+'Inputs'!$B$17)/SQRT(('Inputs'!$B$19+'Inputs'!$B$17)^2+('Inputs'!$B$16/2)^2)-('Inputs'!$B$19)/SQRT(('Inputs'!$B$19)^2+('Inputs'!$B$16/2)^2))))*(0.5*(((C12+'Inputs'!$B$21)+'Inputs'!$B$17)/SQRT(((C12+'Inputs'!$B$21)+'Inputs'!$B$17)^2+('Inputs'!$B$16/2)^2)-((C12+'Inputs'!$B$21))/SQRT(((C12+'Inputs'!$B$21))^2+('Inputs'!$B$16/2)^2))))</x:f>
        <x:v>104.68773448144476</x:v>
      </x:c>
      <x:c r="F12" s="18" t="n">
        <x:f>IF(OR(C12="",NOT(ISNUMBER(C12)),C12&lt;0,'Inputs'!$B$16&lt;=0,'Inputs'!$B$17&lt;=0,'Inputs'!$B$18&lt;=0,NOT(AND(ISNUMBER('Inputs'!$B$16),ISNUMBER('Inputs'!$B$17),ISNUMBER('Inputs'!$B$18),ISNUMBER('Inputs'!$B$19),ISNUMBER('Inputs'!$B$21),ISNUMBER('Inputs'!$B$25),ISNUMBER('Inputs'!$B$26)))),"",('Inputs'!$B$18/(0.5*(('Inputs'!$B$19+'Inputs'!$B$17)/SQRT(('Inputs'!$B$19+'Inputs'!$B$17)^2+('Inputs'!$B$16/2)^2)-('Inputs'!$B$19)/SQRT(('Inputs'!$B$19)^2+('Inputs'!$B$16/2)^2))))*(1-'Inputs'!$B$25)*(0.5*(((C12+'Inputs'!$B$26+'Inputs'!$B$21)+'Inputs'!$B$17)/SQRT(((C12+'Inputs'!$B$26+'Inputs'!$B$21)+'Inputs'!$B$17)^2+('Inputs'!$B$16/2)^2)-((C12+'Inputs'!$B$26+'Inputs'!$B$21))/SQRT(((C12+'Inputs'!$B$26+'Inputs'!$B$21))^2+('Inputs'!$B$16/2)^2))))</x:f>
        <x:v>101.08744130868082</x:v>
      </x:c>
      <x:c r="G12" s="18" t="n">
        <x:f>IF(OR(C12="",NOT(ISNUMBER(C12)),C12&lt;0,'Inputs'!$B$16&lt;=0,'Inputs'!$B$17&lt;=0,'Inputs'!$B$18&lt;=0,NOT(AND(ISNUMBER('Inputs'!$B$16),ISNUMBER('Inputs'!$B$17),ISNUMBER('Inputs'!$B$18),ISNUMBER('Inputs'!$B$19),ISNUMBER('Inputs'!$B$21),ISNUMBER('Inputs'!$B$25),ISNUMBER('Inputs'!$B$26)))),"",('Inputs'!$B$18/(0.5*(('Inputs'!$B$19+'Inputs'!$B$17)/SQRT(('Inputs'!$B$19+'Inputs'!$B$17)^2+('Inputs'!$B$16/2)^2)-('Inputs'!$B$19)/SQRT(('Inputs'!$B$19)^2+('Inputs'!$B$16/2)^2))))*(1+'Inputs'!$B$25)*(0.5*(((MAX(0,C12-'Inputs'!$B$26)+'Inputs'!$B$21)+'Inputs'!$B$17)/SQRT(((MAX(0,C12-'Inputs'!$B$26)+'Inputs'!$B$21)+'Inputs'!$B$17)^2+('Inputs'!$B$16/2)^2)-((MAX(0,C12-'Inputs'!$B$26)+'Inputs'!$B$21))/SQRT(((MAX(0,C12-'Inputs'!$B$26)+'Inputs'!$B$21))^2+('Inputs'!$B$16/2)^2))))</x:f>
        <x:v>108.37987459914422</x:v>
      </x:c>
      <x:c r="H12" s="18" t="n">
        <x:f>IF(OR(D12="",NOT(ISNUMBER(D12)),D12&lt;0,'Inputs'!$B$16&lt;=0,'Inputs'!$B$17&lt;=0,'Inputs'!$B$18&lt;=0,NOT(AND(ISNUMBER('Inputs'!$B$16),ISNUMBER('Inputs'!$B$17),ISNUMBER('Inputs'!$B$18),ISNUMBER('Inputs'!$B$19),ISNUMBER('Inputs'!$B$21),ISNUMBER('Inputs'!$B$25),ISNUMBER('Inputs'!$B$26)))),"",('Inputs'!$B$18/(0.5*(('Inputs'!$B$19+'Inputs'!$B$17)/SQRT(('Inputs'!$B$19+'Inputs'!$B$17)^2+('Inputs'!$B$16/2)^2)-('Inputs'!$B$19)/SQRT(('Inputs'!$B$19)^2+('Inputs'!$B$16/2)^2))))*(0.5*(((D12+'Inputs'!$B$21)+'Inputs'!$B$17)/SQRT(((D12+'Inputs'!$B$21)+'Inputs'!$B$17)^2+('Inputs'!$B$16/2)^2)-((D12+'Inputs'!$B$21))/SQRT(((D12+'Inputs'!$B$21))^2+('Inputs'!$B$16/2)^2))))</x:f>
        <x:v>82.09676860356575</x:v>
      </x:c>
      <x:c r="I12" s="18" t="n">
        <x:f>IF(OR(D12="",NOT(ISNUMBER(D12)),D12&lt;0,'Inputs'!$B$16&lt;=0,'Inputs'!$B$17&lt;=0,'Inputs'!$B$18&lt;=0,NOT(AND(ISNUMBER('Inputs'!$B$16),ISNUMBER('Inputs'!$B$17),ISNUMBER('Inputs'!$B$18),ISNUMBER('Inputs'!$B$19),ISNUMBER('Inputs'!$B$21),ISNUMBER('Inputs'!$B$25),ISNUMBER('Inputs'!$B$26)))),"",('Inputs'!$B$18/(0.5*(('Inputs'!$B$19+'Inputs'!$B$17)/SQRT(('Inputs'!$B$19+'Inputs'!$B$17)^2+('Inputs'!$B$16/2)^2)-('Inputs'!$B$19)/SQRT(('Inputs'!$B$19)^2+('Inputs'!$B$16/2)^2))))*(1-'Inputs'!$B$25)*(0.5*(((D12+'Inputs'!$B$26+'Inputs'!$B$21)+'Inputs'!$B$17)/SQRT(((D12+'Inputs'!$B$26+'Inputs'!$B$21)+'Inputs'!$B$17)^2+('Inputs'!$B$16/2)^2)-((D12+'Inputs'!$B$26+'Inputs'!$B$21))/SQRT(((D12+'Inputs'!$B$26+'Inputs'!$B$21))^2+('Inputs'!$B$16/2)^2))))</x:f>
        <x:v>79.3549689685704</x:v>
      </x:c>
      <x:c r="J12" s="18" t="n">
        <x:f>IF(OR(D12="",NOT(ISNUMBER(D12)),D12&lt;0,'Inputs'!$B$16&lt;=0,'Inputs'!$B$17&lt;=0,'Inputs'!$B$18&lt;=0,NOT(AND(ISNUMBER('Inputs'!$B$16),ISNUMBER('Inputs'!$B$17),ISNUMBER('Inputs'!$B$18),ISNUMBER('Inputs'!$B$19),ISNUMBER('Inputs'!$B$21),ISNUMBER('Inputs'!$B$25),ISNUMBER('Inputs'!$B$26)))),"",('Inputs'!$B$18/(0.5*(('Inputs'!$B$19+'Inputs'!$B$17)/SQRT(('Inputs'!$B$19+'Inputs'!$B$17)^2+('Inputs'!$B$16/2)^2)-('Inputs'!$B$19)/SQRT(('Inputs'!$B$19)^2+('Inputs'!$B$16/2)^2))))*(1+'Inputs'!$B$25)*(0.5*(((MAX(0,D12-'Inputs'!$B$26)+'Inputs'!$B$21)+'Inputs'!$B$17)/SQRT(((MAX(0,D12-'Inputs'!$B$26)+'Inputs'!$B$21)+'Inputs'!$B$17)^2+('Inputs'!$B$16/2)^2)-((MAX(0,D12-'Inputs'!$B$26)+'Inputs'!$B$21))/SQRT(((MAX(0,D12-'Inputs'!$B$26)+'Inputs'!$B$21))^2+('Inputs'!$B$16/2)^2))))</x:f>
        <x:v>84.90417581278726</x:v>
      </x:c>
    </x:row>
    <x:row r="13" ht="22" customHeight="1">
      <x:c r="A13" s="2" t="str">
        <x:v>min</x:v>
      </x:c>
      <x:c r="B13" s="2" t="n">
        <x:v>4</x:v>
      </x:c>
      <x:c r="C13" s="17" t="n">
        <x:v>8.3</x:v>
      </x:c>
      <x:c r="D13" s="17" t="n">
        <x:v>9.15</x:v>
      </x:c>
      <x:c r="E13" s="18" t="n">
        <x:f>IF(OR(C13="",NOT(ISNUMBER(C13)),C13&lt;0,'Inputs'!$B$16&lt;=0,'Inputs'!$B$17&lt;=0,'Inputs'!$B$18&lt;=0,NOT(AND(ISNUMBER('Inputs'!$B$16),ISNUMBER('Inputs'!$B$17),ISNUMBER('Inputs'!$B$18),ISNUMBER('Inputs'!$B$19),ISNUMBER('Inputs'!$B$21),ISNUMBER('Inputs'!$B$25),ISNUMBER('Inputs'!$B$26)))),"",('Inputs'!$B$18/(0.5*(('Inputs'!$B$19+'Inputs'!$B$17)/SQRT(('Inputs'!$B$19+'Inputs'!$B$17)^2+('Inputs'!$B$16/2)^2)-('Inputs'!$B$19)/SQRT(('Inputs'!$B$19)^2+('Inputs'!$B$16/2)^2))))*(0.5*(((C13+'Inputs'!$B$21)+'Inputs'!$B$17)/SQRT(((C13+'Inputs'!$B$21)+'Inputs'!$B$17)^2+('Inputs'!$B$16/2)^2)-((C13+'Inputs'!$B$21))/SQRT(((C13+'Inputs'!$B$21))^2+('Inputs'!$B$16/2)^2))))</x:f>
        <x:v>104.06928806963977</x:v>
      </x:c>
      <x:c r="F13" s="18" t="n">
        <x:f>IF(OR(C13="",NOT(ISNUMBER(C13)),C13&lt;0,'Inputs'!$B$16&lt;=0,'Inputs'!$B$17&lt;=0,'Inputs'!$B$18&lt;=0,NOT(AND(ISNUMBER('Inputs'!$B$16),ISNUMBER('Inputs'!$B$17),ISNUMBER('Inputs'!$B$18),ISNUMBER('Inputs'!$B$19),ISNUMBER('Inputs'!$B$21),ISNUMBER('Inputs'!$B$25),ISNUMBER('Inputs'!$B$26)))),"",('Inputs'!$B$18/(0.5*(('Inputs'!$B$19+'Inputs'!$B$17)/SQRT(('Inputs'!$B$19+'Inputs'!$B$17)^2+('Inputs'!$B$16/2)^2)-('Inputs'!$B$19)/SQRT(('Inputs'!$B$19)^2+('Inputs'!$B$16/2)^2))))*(1-'Inputs'!$B$25)*(0.5*(((C13+'Inputs'!$B$26+'Inputs'!$B$21)+'Inputs'!$B$17)/SQRT(((C13+'Inputs'!$B$26+'Inputs'!$B$21)+'Inputs'!$B$17)^2+('Inputs'!$B$16/2)^2)-((C13+'Inputs'!$B$26+'Inputs'!$B$21))/SQRT(((C13+'Inputs'!$B$26+'Inputs'!$B$21))^2+('Inputs'!$B$16/2)^2))))</x:f>
        <x:v>100.49284224360878</x:v>
      </x:c>
      <x:c r="G13" s="18" t="n">
        <x:f>IF(OR(C13="",NOT(ISNUMBER(C13)),C13&lt;0,'Inputs'!$B$16&lt;=0,'Inputs'!$B$17&lt;=0,'Inputs'!$B$18&lt;=0,NOT(AND(ISNUMBER('Inputs'!$B$16),ISNUMBER('Inputs'!$B$17),ISNUMBER('Inputs'!$B$18),ISNUMBER('Inputs'!$B$19),ISNUMBER('Inputs'!$B$21),ISNUMBER('Inputs'!$B$25),ISNUMBER('Inputs'!$B$26)))),"",('Inputs'!$B$18/(0.5*(('Inputs'!$B$19+'Inputs'!$B$17)/SQRT(('Inputs'!$B$19+'Inputs'!$B$17)^2+('Inputs'!$B$16/2)^2)-('Inputs'!$B$19)/SQRT(('Inputs'!$B$19)^2+('Inputs'!$B$16/2)^2))))*(1+'Inputs'!$B$25)*(0.5*(((MAX(0,C13-'Inputs'!$B$26)+'Inputs'!$B$21)+'Inputs'!$B$17)/SQRT(((MAX(0,C13-'Inputs'!$B$26)+'Inputs'!$B$21)+'Inputs'!$B$17)^2+('Inputs'!$B$16/2)^2)-((MAX(0,C13-'Inputs'!$B$26)+'Inputs'!$B$21))/SQRT(((MAX(0,C13-'Inputs'!$B$26)+'Inputs'!$B$21))^2+('Inputs'!$B$16/2)^2))))</x:f>
        <x:v>107.73683257855492</x:v>
      </x:c>
      <x:c r="H13" s="18" t="n">
        <x:f>IF(OR(D13="",NOT(ISNUMBER(D13)),D13&lt;0,'Inputs'!$B$16&lt;=0,'Inputs'!$B$17&lt;=0,'Inputs'!$B$18&lt;=0,NOT(AND(ISNUMBER('Inputs'!$B$16),ISNUMBER('Inputs'!$B$17),ISNUMBER('Inputs'!$B$18),ISNUMBER('Inputs'!$B$19),ISNUMBER('Inputs'!$B$21),ISNUMBER('Inputs'!$B$25),ISNUMBER('Inputs'!$B$26)))),"",('Inputs'!$B$18/(0.5*(('Inputs'!$B$19+'Inputs'!$B$17)/SQRT(('Inputs'!$B$19+'Inputs'!$B$17)^2+('Inputs'!$B$16/2)^2)-('Inputs'!$B$19)/SQRT(('Inputs'!$B$19)^2+('Inputs'!$B$16/2)^2))))*(0.5*(((D13+'Inputs'!$B$21)+'Inputs'!$B$17)/SQRT(((D13+'Inputs'!$B$21)+'Inputs'!$B$17)^2+('Inputs'!$B$16/2)^2)-((D13+'Inputs'!$B$21))/SQRT(((D13+'Inputs'!$B$21))^2+('Inputs'!$B$16/2)^2))))</x:f>
        <x:v>81.64543207312053</x:v>
      </x:c>
      <x:c r="I13" s="18" t="n">
        <x:f>IF(OR(D13="",NOT(ISNUMBER(D13)),D13&lt;0,'Inputs'!$B$16&lt;=0,'Inputs'!$B$17&lt;=0,'Inputs'!$B$18&lt;=0,NOT(AND(ISNUMBER('Inputs'!$B$16),ISNUMBER('Inputs'!$B$17),ISNUMBER('Inputs'!$B$18),ISNUMBER('Inputs'!$B$19),ISNUMBER('Inputs'!$B$21),ISNUMBER('Inputs'!$B$25),ISNUMBER('Inputs'!$B$26)))),"",('Inputs'!$B$18/(0.5*(('Inputs'!$B$19+'Inputs'!$B$17)/SQRT(('Inputs'!$B$19+'Inputs'!$B$17)^2+('Inputs'!$B$16/2)^2)-('Inputs'!$B$19)/SQRT(('Inputs'!$B$19)^2+('Inputs'!$B$16/2)^2))))*(1-'Inputs'!$B$25)*(0.5*(((D13+'Inputs'!$B$26+'Inputs'!$B$21)+'Inputs'!$B$17)/SQRT(((D13+'Inputs'!$B$26+'Inputs'!$B$21)+'Inputs'!$B$17)^2+('Inputs'!$B$16/2)^2)-((D13+'Inputs'!$B$26+'Inputs'!$B$21))/SQRT(((D13+'Inputs'!$B$26+'Inputs'!$B$21))^2+('Inputs'!$B$16/2)^2))))</x:f>
        <x:v>78.92049969267535</x:v>
      </x:c>
      <x:c r="J13" s="18" t="n">
        <x:f>IF(OR(D13="",NOT(ISNUMBER(D13)),D13&lt;0,'Inputs'!$B$16&lt;=0,'Inputs'!$B$17&lt;=0,'Inputs'!$B$18&lt;=0,NOT(AND(ISNUMBER('Inputs'!$B$16),ISNUMBER('Inputs'!$B$17),ISNUMBER('Inputs'!$B$18),ISNUMBER('Inputs'!$B$19),ISNUMBER('Inputs'!$B$21),ISNUMBER('Inputs'!$B$25),ISNUMBER('Inputs'!$B$26)))),"",('Inputs'!$B$18/(0.5*(('Inputs'!$B$19+'Inputs'!$B$17)/SQRT(('Inputs'!$B$19+'Inputs'!$B$17)^2+('Inputs'!$B$16/2)^2)-('Inputs'!$B$19)/SQRT(('Inputs'!$B$19)^2+('Inputs'!$B$16/2)^2))))*(1+'Inputs'!$B$25)*(0.5*(((MAX(0,D13-'Inputs'!$B$26)+'Inputs'!$B$21)+'Inputs'!$B$17)/SQRT(((MAX(0,D13-'Inputs'!$B$26)+'Inputs'!$B$21)+'Inputs'!$B$17)^2+('Inputs'!$B$16/2)^2)-((MAX(0,D13-'Inputs'!$B$26)+'Inputs'!$B$21))/SQRT(((MAX(0,D13-'Inputs'!$B$26)+'Inputs'!$B$21))^2+('Inputs'!$B$16/2)^2))))</x:f>
        <x:v>84.43547224120796</x:v>
      </x:c>
    </x:row>
    <x:row r="14" ht="22" customHeight="1">
      <x:c r="A14" s="2" t="str">
        <x:v>min</x:v>
      </x:c>
      <x:c r="B14" s="2" t="n">
        <x:v>5</x:v>
      </x:c>
      <x:c r="C14" s="17" t="n">
        <x:v>8.31</x:v>
      </x:c>
      <x:c r="D14" s="17" t="n">
        <x:v>9.16</x:v>
      </x:c>
      <x:c r="E14" s="18" t="n">
        <x:f>IF(OR(C14="",NOT(ISNUMBER(C14)),C14&lt;0,'Inputs'!$B$16&lt;=0,'Inputs'!$B$17&lt;=0,'Inputs'!$B$18&lt;=0,NOT(AND(ISNUMBER('Inputs'!$B$16),ISNUMBER('Inputs'!$B$17),ISNUMBER('Inputs'!$B$18),ISNUMBER('Inputs'!$B$19),ISNUMBER('Inputs'!$B$21),ISNUMBER('Inputs'!$B$25),ISNUMBER('Inputs'!$B$26)))),"",('Inputs'!$B$18/(0.5*(('Inputs'!$B$19+'Inputs'!$B$17)/SQRT(('Inputs'!$B$19+'Inputs'!$B$17)^2+('Inputs'!$B$16/2)^2)-('Inputs'!$B$19)/SQRT(('Inputs'!$B$19)^2+('Inputs'!$B$16/2)^2))))*(0.5*(((C14+'Inputs'!$B$21)+'Inputs'!$B$17)/SQRT(((C14+'Inputs'!$B$21)+'Inputs'!$B$17)^2+('Inputs'!$B$16/2)^2)-((C14+'Inputs'!$B$21))/SQRT(((C14+'Inputs'!$B$21))^2+('Inputs'!$B$16/2)^2))))</x:f>
        <x:v>103.76183667768187</x:v>
      </x:c>
      <x:c r="F14" s="18" t="n">
        <x:f>IF(OR(C14="",NOT(ISNUMBER(C14)),C14&lt;0,'Inputs'!$B$16&lt;=0,'Inputs'!$B$17&lt;=0,'Inputs'!$B$18&lt;=0,NOT(AND(ISNUMBER('Inputs'!$B$16),ISNUMBER('Inputs'!$B$17),ISNUMBER('Inputs'!$B$18),ISNUMBER('Inputs'!$B$19),ISNUMBER('Inputs'!$B$21),ISNUMBER('Inputs'!$B$25),ISNUMBER('Inputs'!$B$26)))),"",('Inputs'!$B$18/(0.5*(('Inputs'!$B$19+'Inputs'!$B$17)/SQRT(('Inputs'!$B$19+'Inputs'!$B$17)^2+('Inputs'!$B$16/2)^2)-('Inputs'!$B$19)/SQRT(('Inputs'!$B$19)^2+('Inputs'!$B$16/2)^2))))*(1-'Inputs'!$B$25)*(0.5*(((C14+'Inputs'!$B$26+'Inputs'!$B$21)+'Inputs'!$B$17)/SQRT(((C14+'Inputs'!$B$26+'Inputs'!$B$21)+'Inputs'!$B$17)^2+('Inputs'!$B$16/2)^2)-((C14+'Inputs'!$B$26+'Inputs'!$B$21))/SQRT(((C14+'Inputs'!$B$26+'Inputs'!$B$21))^2+('Inputs'!$B$16/2)^2))))</x:f>
        <x:v>100.19723944754661</x:v>
      </x:c>
      <x:c r="G14" s="18" t="n">
        <x:f>IF(OR(C14="",NOT(ISNUMBER(C14)),C14&lt;0,'Inputs'!$B$16&lt;=0,'Inputs'!$B$17&lt;=0,'Inputs'!$B$18&lt;=0,NOT(AND(ISNUMBER('Inputs'!$B$16),ISNUMBER('Inputs'!$B$17),ISNUMBER('Inputs'!$B$18),ISNUMBER('Inputs'!$B$19),ISNUMBER('Inputs'!$B$21),ISNUMBER('Inputs'!$B$25),ISNUMBER('Inputs'!$B$26)))),"",('Inputs'!$B$18/(0.5*(('Inputs'!$B$19+'Inputs'!$B$17)/SQRT(('Inputs'!$B$19+'Inputs'!$B$17)^2+('Inputs'!$B$16/2)^2)-('Inputs'!$B$19)/SQRT(('Inputs'!$B$19)^2+('Inputs'!$B$16/2)^2))))*(1+'Inputs'!$B$25)*(0.5*(((MAX(0,C14-'Inputs'!$B$26)+'Inputs'!$B$21)+'Inputs'!$B$17)/SQRT(((MAX(0,C14-'Inputs'!$B$26)+'Inputs'!$B$21)+'Inputs'!$B$17)^2+('Inputs'!$B$16/2)^2)-((MAX(0,C14-'Inputs'!$B$26)+'Inputs'!$B$21))/SQRT(((MAX(0,C14-'Inputs'!$B$26)+'Inputs'!$B$21))^2+('Inputs'!$B$16/2)^2))))</x:f>
        <x:v>107.41716119332736</x:v>
      </x:c>
      <x:c r="H14" s="18" t="n">
        <x:f>IF(OR(D14="",NOT(ISNUMBER(D14)),D14&lt;0,'Inputs'!$B$16&lt;=0,'Inputs'!$B$17&lt;=0,'Inputs'!$B$18&lt;=0,NOT(AND(ISNUMBER('Inputs'!$B$16),ISNUMBER('Inputs'!$B$17),ISNUMBER('Inputs'!$B$18),ISNUMBER('Inputs'!$B$19),ISNUMBER('Inputs'!$B$21),ISNUMBER('Inputs'!$B$25),ISNUMBER('Inputs'!$B$26)))),"",('Inputs'!$B$18/(0.5*(('Inputs'!$B$19+'Inputs'!$B$17)/SQRT(('Inputs'!$B$19+'Inputs'!$B$17)^2+('Inputs'!$B$16/2)^2)-('Inputs'!$B$19)/SQRT(('Inputs'!$B$19)^2+('Inputs'!$B$16/2)^2))))*(0.5*(((D14+'Inputs'!$B$21)+'Inputs'!$B$17)/SQRT(((D14+'Inputs'!$B$21)+'Inputs'!$B$17)^2+('Inputs'!$B$16/2)^2)-((D14+'Inputs'!$B$21))/SQRT(((D14+'Inputs'!$B$21))^2+('Inputs'!$B$16/2)^2))))</x:f>
        <x:v>81.42097347658144</x:v>
      </x:c>
      <x:c r="I14" s="18" t="n">
        <x:f>IF(OR(D14="",NOT(ISNUMBER(D14)),D14&lt;0,'Inputs'!$B$16&lt;=0,'Inputs'!$B$17&lt;=0,'Inputs'!$B$18&lt;=0,NOT(AND(ISNUMBER('Inputs'!$B$16),ISNUMBER('Inputs'!$B$17),ISNUMBER('Inputs'!$B$18),ISNUMBER('Inputs'!$B$19),ISNUMBER('Inputs'!$B$21),ISNUMBER('Inputs'!$B$25),ISNUMBER('Inputs'!$B$26)))),"",('Inputs'!$B$18/(0.5*(('Inputs'!$B$19+'Inputs'!$B$17)/SQRT(('Inputs'!$B$19+'Inputs'!$B$17)^2+('Inputs'!$B$16/2)^2)-('Inputs'!$B$19)/SQRT(('Inputs'!$B$19)^2+('Inputs'!$B$16/2)^2))))*(1-'Inputs'!$B$25)*(0.5*(((D14+'Inputs'!$B$26+'Inputs'!$B$21)+'Inputs'!$B$17)/SQRT(((D14+'Inputs'!$B$26+'Inputs'!$B$21)+'Inputs'!$B$17)^2+('Inputs'!$B$16/2)^2)-((D14+'Inputs'!$B$26+'Inputs'!$B$21))/SQRT(((D14+'Inputs'!$B$26+'Inputs'!$B$21))^2+('Inputs'!$B$16/2)^2))))</x:f>
        <x:v>78.70442503545789</x:v>
      </x:c>
      <x:c r="J14" s="18" t="n">
        <x:f>IF(OR(D14="",NOT(ISNUMBER(D14)),D14&lt;0,'Inputs'!$B$16&lt;=0,'Inputs'!$B$17&lt;=0,'Inputs'!$B$18&lt;=0,NOT(AND(ISNUMBER('Inputs'!$B$16),ISNUMBER('Inputs'!$B$17),ISNUMBER('Inputs'!$B$18),ISNUMBER('Inputs'!$B$19),ISNUMBER('Inputs'!$B$21),ISNUMBER('Inputs'!$B$25),ISNUMBER('Inputs'!$B$26)))),"",('Inputs'!$B$18/(0.5*(('Inputs'!$B$19+'Inputs'!$B$17)/SQRT(('Inputs'!$B$19+'Inputs'!$B$17)^2+('Inputs'!$B$16/2)^2)-('Inputs'!$B$19)/SQRT(('Inputs'!$B$19)^2+('Inputs'!$B$16/2)^2))))*(1+'Inputs'!$B$25)*(0.5*(((MAX(0,D14-'Inputs'!$B$26)+'Inputs'!$B$21)+'Inputs'!$B$17)/SQRT(((MAX(0,D14-'Inputs'!$B$26)+'Inputs'!$B$21)+'Inputs'!$B$17)^2+('Inputs'!$B$16/2)^2)-((MAX(0,D14-'Inputs'!$B$26)+'Inputs'!$B$21))/SQRT(((MAX(0,D14-'Inputs'!$B$26)+'Inputs'!$B$21))^2+('Inputs'!$B$16/2)^2))))</x:f>
        <x:v>84.20238153328488</x:v>
      </x:c>
    </x:row>
    <x:row r="15" ht="22" customHeight="1">
      <x:c r="A15" s="2"/>
      <x:c r="B15" s="2"/>
      <x:c r="C15" s="2"/>
      <x:c r="D15" s="2"/>
      <x:c r="E15" s="2"/>
      <x:c r="F15" s="2"/>
      <x:c r="G15" s="2"/>
      <x:c r="H15" s="2"/>
      <x:c r="I15" s="2"/>
      <x:c r="J15" s="2"/>
    </x:row>
    <x:row r="16" ht="22" customHeight="1">
      <x:c r="A16" s="2"/>
      <x:c r="B16" s="2"/>
      <x:c r="C16" s="2"/>
      <x:c r="D16" s="2"/>
      <x:c r="E16" s="2"/>
      <x:c r="F16" s="2"/>
      <x:c r="G16" s="2"/>
      <x:c r="H16" s="2"/>
      <x:c r="I16" s="2"/>
      <x:c r="J16" s="2"/>
    </x:row>
    <x:row r="17" ht="22" customHeight="1">
      <x:c r="A17" s="2" t="str">
        <x:v>Keep up to five repeats per sensor; clear unused input cells. At least one complete ON/OFF pair per sensor is required.</x:v>
      </x:c>
      <x:c r="B17" s="2"/>
      <x:c r="C17" s="2"/>
      <x:c r="D17" s="2"/>
      <x:c r="E17" s="2"/>
      <x:c r="F17" s="2"/>
      <x:c r="G17" s="2"/>
      <x:c r="H17" s="2"/>
      <x:c r="I17" s="2"/>
      <x:c r="J17" s="2"/>
    </x:row>
    <x:row r="18" ht="22" customHeight="1">
      <x:c r="A18" s="2" t="str">
        <x:v>Use south pole toward the marked sensing surface. ON = LOW output. Reset each approach from a confirmed OFF distance.</x:v>
      </x:c>
      <x:c r="B18" s="2"/>
      <x:c r="C18" s="2"/>
      <x:c r="D18" s="2"/>
      <x:c r="E18" s="2"/>
      <x:c r="F18" s="2"/>
      <x:c r="G18" s="2"/>
      <x:c r="H18" s="2"/>
      <x:c r="I18" s="2"/>
      <x:c r="J18" s="2"/>
    </x:row>
    <x:row r="19" ht="22" customHeight="1">
      <x:c r="A19" s="2" t="str">
        <x:v>Record gaps from the magnet face to the sensor case. Inputs includes the additional active Hall plane depth.</x:v>
      </x:c>
      <x:c r="B19" s="2"/>
      <x:c r="C19" s="2"/>
      <x:c r="D19" s="2"/>
      <x:c r="E19" s="2"/>
      <x:c r="F19" s="2"/>
      <x:c r="G19" s="2"/>
      <x:c r="H19" s="2"/>
      <x:c r="I19" s="2"/>
      <x:c r="J19" s="2"/>
    </x:row>
    <x:row r="20" ht="22" customHeight="1">
      <x:c r="A20" s="2" t="str">
        <x:v>Bounds combine repeat extrema, standard gauss uncertainty and gap uncertainty. They are not a statistical confidence interval.</x:v>
      </x:c>
      <x:c r="B20" s="2"/>
      <x:c r="C20" s="2"/>
      <x:c r="D20" s="2"/>
      <x:c r="E20" s="2"/>
      <x:c r="F20" s="2"/>
      <x:c r="G20" s="2"/>
      <x:c r="H20" s="2"/>
      <x:c r="I20" s="2"/>
      <x:c r="J20" s="2"/>
    </x:row>
    <x:row r="21" ht="22" customHeight="1">
      <x:c r="A21" s="2" t="str">
        <x:v>At operating temperature, the entered sensor threshold bound is applied to both Bop and Brp. Measure both directions at each temperature.</x:v>
      </x:c>
      <x:c r="B21" s="2"/>
      <x:c r="C21" s="2"/>
      <x:c r="D21" s="2"/>
      <x:c r="E21" s="2"/>
      <x:c r="F21" s="2"/>
      <x:c r="G21" s="2"/>
      <x:c r="H21" s="2"/>
      <x:c r="I21" s="2"/>
      <x:c r="J21" s="2"/>
    </x:row>
    <x:row r="22" ht="22" customHeight="1">
      <x:c r="A22" s="2"/>
      <x:c r="B22" s="2"/>
      <x:c r="C22" s="2"/>
      <x:c r="D22" s="2"/>
      <x:c r="E22" s="2"/>
      <x:c r="F22" s="2"/>
      <x:c r="G22" s="2"/>
      <x:c r="H22" s="2"/>
      <x:c r="I22" s="2"/>
      <x:c r="J22" s="2"/>
    </x:row>
    <x:row r="23" ht="22" customHeight="1">
      <x:c r="A23" s="2"/>
      <x:c r="B23" s="2"/>
      <x:c r="C23" s="2"/>
      <x:c r="D23" s="2"/>
      <x:c r="E23" s="2"/>
      <x:c r="F23" s="2"/>
      <x:c r="G23" s="2"/>
      <x:c r="H23" s="2"/>
      <x:c r="I23" s="2"/>
      <x:c r="J23" s="2"/>
    </x:row>
    <x:row r="24" ht="22" customHeight="1">
      <x:c r="A24" s="2"/>
      <x:c r="B24" s="2"/>
      <x:c r="C24" s="2"/>
      <x:c r="D24" s="2"/>
      <x:c r="E24" s="2"/>
      <x:c r="F24" s="2"/>
      <x:c r="G24" s="2"/>
      <x:c r="H24" s="2"/>
      <x:c r="I24" s="2"/>
      <x:c r="J24" s="2"/>
    </x:row>
  </x:sheetData>
  <x:dataValidations count="1">
    <x:dataValidation type="decimal" operator="between" sqref="C5:D14">
      <x:formula1>0</x:formula1>
      <x:formula2>1000</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9" hidden="0" customWidth="1"/>
    <x:col min="2" max="2" width="29" hidden="0" customWidth="1"/>
    <x:col min="3" max="3" width="29" hidden="0" customWidth="1"/>
    <x:col min="4" max="4" width="90" hidden="0" customWidth="1"/>
  </x:cols>
  <x:sheetData>
    <x:row r="1" ht="22" customHeight="1">
      <x:c r="A1" s="3" t="str">
        <x:v>Distance tolerance and lifetime</x:v>
      </x:c>
      <x:c r="B1" s="2"/>
      <x:c r="C1" s="2"/>
      <x:c r="D1" s="2"/>
    </x:row>
    <x:row r="2" ht="22" customHeight="1">
      <x:c r="A2" s="4" t="str">
        <x:v>Conditional model outputs. Magnet 1 / max sensor and magnet 2 / min sensor.</x:v>
      </x:c>
      <x:c r="B2" s="2"/>
      <x:c r="C2" s="2"/>
      <x:c r="D2" s="2"/>
    </x:row>
    <x:row r="3" ht="22" customHeight="1">
      <x:c r="A3" s="2"/>
      <x:c r="B3" s="2"/>
      <x:c r="C3" s="2"/>
      <x:c r="D3" s="2"/>
    </x:row>
    <x:row r="4" ht="30" customHeight="1">
      <x:c r="A4" s="7" t="str">
        <x:v>Quantity</x:v>
      </x:c>
      <x:c r="B4" s="7" t="str">
        <x:v>Magnet 1 / max</x:v>
      </x:c>
      <x:c r="C4" s="7" t="str">
        <x:v>Magnet 2 / min</x:v>
      </x:c>
      <x:c r="D4" s="7" t="str">
        <x:v>Interpretation</x:v>
      </x:c>
    </x:row>
    <x:row r="5" ht="36" customHeight="1">
      <x:c r="A5" s="2" t="str">
        <x:v>Data identification</x:v>
      </x:c>
      <x:c r="B5" s="8" t="str">
        <x:f>'Inputs'!$B$4</x:f>
        <x:v>Example data</x:v>
      </x:c>
      <x:c r="C5" s="8" t="str">
        <x:f>'Inputs'!$B$4</x:f>
        <x:v>Example data</x:v>
      </x:c>
      <x:c r="D5" s="8"/>
    </x:row>
    <x:row r="6" ht="36" customHeight="1">
      <x:c r="A6" s="2" t="str">
        <x:v>Model input status</x:v>
      </x:c>
      <x:c r="B6" s="8" t="str">
        <x:f>IF('Inputs'!$B$5&lt;&gt;"Axial","Axial geometry required",IF(NOT(AND(ISNUMBER('Inputs'!$B$6),ISNUMBER('Inputs'!$B$7),ISNUMBER('Inputs'!$B$8),ISNUMBER('Inputs'!$B$9),ISNUMBER('Inputs'!$B$10),ISNUMBER('Inputs'!$B$12),ISNUMBER('Inputs'!$B$13),ISNUMBER('Inputs'!$B$14),ISNUMBER('Inputs'!$B$15),ISNUMBER('Inputs'!$B$16),ISNUMBER('Inputs'!$B$17),ISNUMBER('Inputs'!$B$18),ISNUMBER('Inputs'!$B$19),ISNUMBER('Inputs'!$B$20),ISNUMBER('Inputs'!$B$21),ISNUMBER('Inputs'!$B$22),ISNUMBER('Inputs'!$B$23),ISNUMBER('Inputs'!$B$24),ISNUMBER('Inputs'!$B$25),ISNUMBER('Inputs'!$B$26),ISNUMBER('Inputs'!$B$27),ISNUMBER('Inputs'!$B$28),ISNUMBER('Inputs'!$B$29),ISNUMBER('Inputs'!$B$30),ISNUMBER('Inputs'!$B$31),ISNUMBER('Inputs'!$B$32),ISNUMBER('Inputs'!$B$33),ISNUMBER('Inputs'!$B$34),ISNUMBER('Inputs'!$B$35),ISNUMBER('Inputs'!$B$38),ISNUMBER('Inputs'!$B$41),ISNUMBER('Inputs'!$B$42),ISNUMBER('Inputs'!$B$43),ISNUMBER('Inputs'!$B$44),ISNUMBER('Inputs'!$B$45),ISNUMBER('Inputs'!$B$46))),"Required numeric input missing",IF(OR(MIN('Inputs'!$B$6:'Inputs'!$B$9)&lt;=0,'Inputs'!$B$10&lt;0,MIN('Inputs'!$B$12:'Inputs'!$B$13)&lt;=0,'Inputs'!$B$14&lt;0,MIN('Inputs'!$B$16:'Inputs'!$B$18)&lt;=0,'Inputs'!$B$19&lt;0,'Inputs'!$B$21&lt;0,B8&lt;=0,'Inputs'!$B$24&lt;0,'Inputs'!$B$24&gt;=1,'Inputs'!$B$25&lt;0,'Inputs'!$B$25&gt;=1,'Inputs'!$B$26&lt;0,'Inputs'!$B$27&lt;0,'Inputs'!$B$27&gt;=1,'Inputs'!$B$28&lt;0,'Inputs'!$B$28&gt;=1,MIN('Inputs'!$B$29:'Inputs'!$B$32)&lt;0,'Inputs'!$B$33&lt;=0,'Inputs'!$B$34&lt;=0,'Inputs'!$B$35&lt;0,'Inputs'!$B$38&lt;=0),"Input outside model domain",IF(B47&lt;&gt;"Calibration pairs accepted","Check calibration pairs",IF(B9="","Aging data required for selected time",IF(OR('Inputs'!$B$22&gt;'Inputs'!$B$44,'Inputs'!$B$22&gt;'Inputs'!$B$46,'Inputs'!$B$22&lt;'Inputs'!$B$45),"Temperature outside listed limits",IF(OR('Inputs'!$B$41&lt;=0,'Inputs'!$B$42&lt;=0,'Inputs'!$B$43&lt;=0),"Positive Pc and recoil slope required",IF(OR('Inputs'!$B$29&lt;'Inputs'!$B$32,'Inputs'!$B$30&lt;'Inputs'!$B$32),"Gap tolerance permits contact","Inputs accepted"))))))))</x:f>
        <x:v>Inputs accepted</x:v>
      </x:c>
      <x:c r="C6" s="8" t="str">
        <x:f>B6</x:f>
        <x:v>Inputs accepted</x:v>
      </x:c>
      <x:c r="D6" s="8"/>
    </x:row>
    <x:row r="7" ht="22" customHeight="1">
      <x:c r="A7" s="2" t="str">
        <x:v>Effective isolated polarization J (G)</x:v>
      </x:c>
      <x:c r="B7" s="19" t="n">
        <x:f>IF(OR('Inputs'!$B$6&lt;=0,'Inputs'!$B$7&lt;=0,NOT(AND(ISNUMBER('Inputs'!$B$6),ISNUMBER('Inputs'!$B$7),ISNUMBER('Inputs'!$B$12),ISNUMBER('Inputs'!$B$14)))),"",'Inputs'!$B$12/(0.5*(('Inputs'!$B$14+'Inputs'!$B$7)/SQRT(('Inputs'!$B$14+'Inputs'!$B$7)^2+('Inputs'!$B$6/2)^2)-('Inputs'!$B$14)/SQRT(('Inputs'!$B$14)^2+('Inputs'!$B$6/2)^2))))</x:f>
        <x:v>11180.339887498949</x:v>
      </x:c>
      <x:c r="C7" s="19" t="n">
        <x:f>IF(OR('Inputs'!$B$8&lt;=0,'Inputs'!$B$9&lt;=0,NOT(AND(ISNUMBER('Inputs'!$B$8),ISNUMBER('Inputs'!$B$9),ISNUMBER('Inputs'!$B$13),ISNUMBER('Inputs'!$B$14)))),"",'Inputs'!$B$13/(0.5*(('Inputs'!$B$14+'Inputs'!$B$9)/SQRT(('Inputs'!$B$14+'Inputs'!$B$9)^2+('Inputs'!$B$8/2)^2)-('Inputs'!$B$14)/SQRT(('Inputs'!$B$14)^2+('Inputs'!$B$8/2)^2))))</x:f>
        <x:v>10956.73308974897</x:v>
      </x:c>
      <x:c r="D7" s="8" t="str">
        <x:v>Surface-calibrated field amplitude; not material remanence.</x:v>
      </x:c>
    </x:row>
    <x:row r="8" ht="22" customHeight="1">
      <x:c r="A8" s="2" t="str">
        <x:v>Magnet reversible temperature factor</x:v>
      </x:c>
      <x:c r="B8" s="19" t="n">
        <x:f>IF(AND(ISNUMBER('Inputs'!$B$23),ISNUMBER('Inputs'!$B$22),ISNUMBER('Inputs'!$B$15)),1+'Inputs'!$B$23*('Inputs'!$B$22-'Inputs'!$B$15),"")</x:f>
        <x:v>0.952</x:v>
      </x:c>
      <x:c r="C8" s="19" t="n">
        <x:f>B8</x:f>
        <x:v>0.952</x:v>
      </x:c>
      <x:c r="D8" s="8"/>
    </x:row>
    <x:row r="9" ht="22" customHeight="1">
      <x:c r="A9" s="2" t="str">
        <x:v>Common field retention at selected time</x:v>
      </x:c>
      <x:c r="B9" s="19" t="n">
        <x:f>IF('Inputs'!$B$35=0,1,IF('Aging'!$B$5="","",MAX(0,1-'Aging'!$B$5*LN(1+'Inputs'!$B$35/'Inputs'!$B$38))))</x:f>
        <x:v>1</x:v>
      </x:c>
      <x:c r="C9" s="19" t="n">
        <x:f>B9</x:f>
        <x:v>1</x:v>
      </x:c>
      <x:c r="D9" s="8"/>
    </x:row>
    <x:row r="10" ht="22" customHeight="1">
      <x:c r="A10" s="2" t="str">
        <x:v>Measured operate sensitivity Bop (G)</x:v>
      </x:c>
      <x:c r="B10" s="19" t="n">
        <x:f>IF(COUNT('Calibration'!E5:E9)=0,"",AVERAGE('Calibration'!E5:E9))</x:f>
        <x:v>98.08114329255162</x:v>
      </x:c>
      <x:c r="C10" s="19" t="n">
        <x:f>IF(COUNT('Calibration'!E10:E14)=0,"",AVERAGE('Calibration'!E10:E14))</x:f>
        <x:v>104.00874130573125</x:v>
      </x:c>
      <x:c r="D10" s="8" t="str">
        <x:v>Average of measured standard-magnet approach fields.</x:v>
      </x:c>
    </x:row>
    <x:row r="11" ht="22" customHeight="1">
      <x:c r="A11" s="2" t="str">
        <x:v>Operate lower bound at operating T (G)</x:v>
      </x:c>
      <x:c r="B11" s="19" t="n">
        <x:f>IF(B10="","",MIN('Calibration'!F5:F9)*(1-'Inputs'!$B$27))</x:f>
        <x:v>84.81736706563785</x:v>
      </x:c>
      <x:c r="C11" s="19" t="n">
        <x:f>IF(C10="","",MIN('Calibration'!F10:F14)*(1-'Inputs'!$B$27))</x:f>
        <x:v>89.91248478908652</x:v>
      </x:c>
      <x:c r="D11" s="8"/>
    </x:row>
    <x:row r="12" ht="22" customHeight="1">
      <x:c r="A12" s="2" t="str">
        <x:v>Operate upper bound at operating T (G)</x:v>
      </x:c>
      <x:c r="B12" s="19" t="n">
        <x:f>IF(B10="","",MAX('Calibration'!G5:G9)*(1+'Inputs'!$B$27))</x:f>
        <x:v>112.38228018798189</x:v>
      </x:c>
      <x:c r="C12" s="19" t="n">
        <x:f>IF(C10="","",MAX('Calibration'!G10:G14)*(1+'Inputs'!$B$27))</x:f>
        <x:v>119.21786205905865</x:v>
      </x:c>
      <x:c r="D12" s="8" t="str">
        <x:v>Largest measured upper threshold with operating-temperature allowance.</x:v>
      </x:c>
    </x:row>
    <x:row r="13" ht="22" customHeight="1">
      <x:c r="A13" s="2" t="str">
        <x:v>Measured release sensitivity Brp (G)</x:v>
      </x:c>
      <x:c r="B13" s="19" t="n">
        <x:f>IF(COUNT('Calibration'!H5:H9)=0,"",AVERAGE('Calibration'!H5:H9))</x:f>
        <x:v>77.26349153263462</x:v>
      </x:c>
      <x:c r="C13" s="19" t="n">
        <x:f>IF(COUNT('Calibration'!H10:H14)=0,"",AVERAGE('Calibration'!H10:H14))</x:f>
        <x:v>81.60118457648231</x:v>
      </x:c>
      <x:c r="D13" s="8"/>
    </x:row>
    <x:row r="14" ht="22" customHeight="1">
      <x:c r="A14" s="2" t="str">
        <x:v>Release lower bound at operating T (G)</x:v>
      </x:c>
      <x:c r="B14" s="19" t="n">
        <x:f>IF(B13="","",MIN('Calibration'!I5:I9)*(1-'Inputs'!$B$27))</x:f>
        <x:v>66.9055158034782</x:v>
      </x:c>
      <x:c r="C14" s="19" t="n">
        <x:f>IF(C13="","",MIN('Calibration'!I10:I14)*(1-'Inputs'!$B$27))</x:f>
        <x:v>70.64020731289524</x:v>
      </x:c>
      <x:c r="D14" s="8" t="str">
        <x:v>Smallest measured lower release threshold with operating-temperature allowance.</x:v>
      </x:c>
    </x:row>
    <x:row r="15" ht="22" customHeight="1">
      <x:c r="A15" s="2" t="str">
        <x:v>Release upper bound at operating T (G)</x:v>
      </x:c>
      <x:c r="B15" s="19" t="n">
        <x:f>IF(B13="","",MAX('Calibration'!J5:J9)*(1+'Inputs'!$B$27))</x:f>
        <x:v>88.4012870808702</x:v>
      </x:c>
      <x:c r="C15" s="19" t="n">
        <x:f>IF(C13="","",MAX('Calibration'!J10:J14)*(1+'Inputs'!$B$27))</x:f>
        <x:v>93.39459339406599</x:v>
      </x:c>
      <x:c r="D15" s="8"/>
    </x:row>
    <x:row r="16" ht="22" customHeight="1">
      <x:c r="A16" s="2"/>
      <x:c r="B16" s="19"/>
      <x:c r="C16" s="19"/>
      <x:c r="D16" s="8"/>
    </x:row>
    <x:row r="17" ht="36" customHeight="1">
      <x:c r="A17" s="2" t="str">
        <x:v>Nominal ON distance (mm)</x:v>
      </x:c>
      <x:c r="B17" s="19" t="n">
        <x:f>IF($B$6&lt;&gt;"Inputs accepted","Not evaluated",IF(SUM('Solver'!P44:U1043)&gt;0,"Nonmonotonic: field map required",IF('Solver'!E6="Crossing bracketed",'Solver'!C37,'Solver'!E6)))</x:f>
        <x:v>7.177632367238402</x:v>
      </x:c>
      <x:c r="C17" s="19" t="n">
        <x:f>IF($B$6&lt;&gt;"Inputs accepted","Not evaluated",IF(SUM('Solver'!P44:U1043)&gt;0,"Nonmonotonic: field map required",IF('Solver'!AI6="Crossing bracketed",'Solver'!AG37,'Solver'!AI6)))</x:f>
        <x:v>6.922600036486983</x:v>
      </x:c>
      <x:c r="D17" s="8" t="str">
        <x:v>Nominal at selected temperature and elapsed time.</x:v>
      </x:c>
    </x:row>
    <x:row r="18" ht="36" customHeight="1">
      <x:c r="A18" s="2" t="str">
        <x:v>Smallest bounded ON distance (mm)</x:v>
      </x:c>
      <x:c r="B18" s="19" t="n">
        <x:f>IF($B$6&lt;&gt;"Inputs accepted","Not evaluated",IF(SUM('Solver'!P44:U1043)&gt;0,"Nonmonotonic: field map required",IF('Solver'!K6="Crossing bracketed",'Solver'!I37,'Solver'!K6)))</x:f>
        <x:v>6.586603904142976</x:v>
      </x:c>
      <x:c r="C18" s="19" t="n">
        <x:f>IF($B$6&lt;&gt;"Inputs accepted","Not evaluated",IF(SUM('Solver'!P44:U1043)&gt;0,"Nonmonotonic: field map required",IF('Solver'!AO6="Crossing bracketed",'Solver'!AM37,'Solver'!AO6)))</x:f>
        <x:v>6.3452988769859076</x:v>
      </x:c>
      <x:c r="D18" s="8" t="str">
        <x:v>Gap at which lower field bound equals upper operate threshold.</x:v>
      </x:c>
    </x:row>
    <x:row r="19" ht="36" customHeight="1">
      <x:c r="A19" s="2" t="str">
        <x:v>Largest bounded ON distance (mm)</x:v>
      </x:c>
      <x:c r="B19" s="19" t="n">
        <x:f>IF($B$6&lt;&gt;"Inputs accepted","Not evaluated",IF(SUM('Solver'!P44:U1043)&gt;0,"Nonmonotonic: field map required",IF('Solver'!Q6="Crossing bracketed",'Solver'!O37,'Solver'!Q6)))</x:f>
        <x:v>7.8219282533973455</x:v>
      </x:c>
      <x:c r="C19" s="19" t="n">
        <x:f>IF($B$6&lt;&gt;"Inputs accepted","Not evaluated",IF(SUM('Solver'!P44:U1043)&gt;0,"Nonmonotonic: field map required",IF('Solver'!AU6="Crossing bracketed",'Solver'!AS37,'Solver'!AU6)))</x:f>
        <x:v>7.551206881180406</x:v>
      </x:c>
      <x:c r="D19" s="8" t="str">
        <x:v>Gap at which upper field bound equals lower operate threshold.</x:v>
      </x:c>
    </x:row>
    <x:row r="20" ht="36" customHeight="1">
      <x:c r="A20" s="2" t="str">
        <x:v>ON distance interval width (mm)</x:v>
      </x:c>
      <x:c r="B20" s="19" t="n">
        <x:f>IF(AND(ISNUMBER(B18),ISNUMBER(B19)),B19-B18,"")</x:f>
        <x:v>1.2353243492543697</x:v>
      </x:c>
      <x:c r="C20" s="19" t="n">
        <x:f>IF(AND(ISNUMBER(C18),ISNUMBER(C19)),C19-C18,"")</x:f>
        <x:v>1.205908004194498</x:v>
      </x:c>
      <x:c r="D20" s="8" t="str">
        <x:v>Uncertainty interval width, not a symmetric +/- mechanical tolerance.</x:v>
      </x:c>
    </x:row>
    <x:row r="21" ht="22" customHeight="1">
      <x:c r="A21" s="2" t="str">
        <x:v>Nominal release distance (mm)</x:v>
      </x:c>
      <x:c r="B21" s="19" t="n">
        <x:f>IF($B$6&lt;&gt;"Inputs accepted","Not evaluated",IF(SUM('Solver'!P44:U1043)&gt;0,"Nonmonotonic: field map required",IF('Solver'!W6="Crossing bracketed",'Solver'!U37,'Solver'!W6)))</x:f>
        <x:v>7.844703057780862</x:v>
      </x:c>
      <x:c r="C21" s="19" t="n">
        <x:f>IF($B$6&lt;&gt;"Inputs accepted","Not evaluated",IF(SUM('Solver'!P44:U1043)&gt;0,"Nonmonotonic: field map required",IF('Solver'!BA6="Crossing bracketed",'Solver'!AY37,'Solver'!BA6)))</x:f>
        <x:v>7.582728238776326</x:v>
      </x:c>
      <x:c r="D21" s="8"/>
    </x:row>
    <x:row r="22" ht="36" customHeight="1">
      <x:c r="A22" s="2" t="str">
        <x:v>Gap required for guaranteed OFF (mm)</x:v>
      </x:c>
      <x:c r="B22" s="19" t="n">
        <x:f>IF($B$6&lt;&gt;"Inputs accepted","Not evaluated",IF(SUM('Solver'!P44:U1043)&gt;0,"Nonmonotonic: field map required",IF('Solver'!AC6="Crossing bracketed",'Solver'!AA37,'Solver'!AC6)))</x:f>
        <x:v>8.52564730681479</x:v>
      </x:c>
      <x:c r="C22" s="19" t="n">
        <x:f>IF($B$6&lt;&gt;"Inputs accepted","Not evaluated",IF(SUM('Solver'!P44:U1043)&gt;0,"Nonmonotonic: field map required",IF('Solver'!BG6="Crossing bracketed",'Solver'!BE37,'Solver'!BG6)))</x:f>
        <x:v>8.246886348351836</x:v>
      </x:c>
      <x:c r="D22" s="8" t="str">
        <x:v>Larger gaps are OFF independent of previous state under the entered bounds.</x:v>
      </x:c>
    </x:row>
    <x:row r="23" ht="22" customHeight="1">
      <x:c r="A23" s="2" t="str">
        <x:v>Entered endpoint gap (mm)</x:v>
      </x:c>
      <x:c r="B23" s="19" t="n">
        <x:f>'Inputs'!$B$29</x:f>
        <x:v>3</x:v>
      </x:c>
      <x:c r="C23" s="19" t="n">
        <x:f>'Inputs'!$B$30</x:f>
        <x:v>3</x:v>
      </x:c>
      <x:c r="D23" s="8"/>
    </x:row>
    <x:row r="24" ht="36" customHeight="1">
      <x:c r="A24" s="2" t="str">
        <x:v>Maximum extra positive gap after tolerance (mm)</x:v>
      </x:c>
      <x:c r="B24" s="19" t="n">
        <x:f>IF(ISNUMBER(B18),B18-B23-'Inputs'!$B$32,"")</x:f>
        <x:v>3.3866039041429756</x:v>
      </x:c>
      <x:c r="C24" s="19" t="n">
        <x:f>IF(ISNUMBER(C18),C18-C23-'Inputs'!$B$32,"")</x:f>
        <x:v>3.1452988769859074</x:v>
      </x:c>
      <x:c r="D24" s="8" t="str">
        <x:v>Remaining positive assembly allowance after existing +/- stack-up.</x:v>
      </x:c>
    </x:row>
    <x:row r="25" ht="36" customHeight="1">
      <x:c r="A25" s="2" t="str">
        <x:v>Near endpoint condition</x:v>
      </x:c>
      <x:c r="B25" s="21" t="str">
        <x:f>IF(AND(ISNUMBER(B18),ISNUMBER(B22)),IF(B23+'Inputs'!$B$32&lt;=B18,"ON guaranteed",IF(MAX(0,B23-'Inputs'!$B$32)&gt;B22,"OFF guaranteed","Indeterminate / hysteresis")),"Not evaluated")</x:f>
        <x:v>ON guaranteed</x:v>
      </x:c>
      <x:c r="C25" s="21" t="str">
        <x:f>IF(AND(ISNUMBER(C18),ISNUMBER(C22)),IF(C23+'Inputs'!$B$32&lt;=C18,"ON guaranteed",IF(MAX(0,C23-'Inputs'!$B$32)&gt;C22,"OFF guaranteed","Indeterminate / hysteresis")),"Not evaluated")</x:f>
        <x:v>ON guaranteed</x:v>
      </x:c>
      <x:c r="D25" s="8"/>
    </x:row>
    <x:row r="26" ht="36" customHeight="1">
      <x:c r="A26" s="2" t="str">
        <x:v>Opposite endpoint condition</x:v>
      </x:c>
      <x:c r="B26" s="21" t="str">
        <x:f>IF(AND(ISNUMBER(B18),ISNUMBER(B22)),IF(MAX(0,B23+1*'Inputs'!$B$31-'Inputs'!$B$32)&gt;B22,"OFF guaranteed",IF(B23+1*'Inputs'!$B$31+'Inputs'!$B$32&lt;=B18,"ON guaranteed","Indeterminate / hysteresis")),"Not evaluated")</x:f>
        <x:v>OFF guaranteed</x:v>
      </x:c>
      <x:c r="C26" s="21" t="str">
        <x:f>IF(AND(ISNUMBER(C18),ISNUMBER(C22)),IF(MAX(0,C23+1*'Inputs'!$B$31-'Inputs'!$B$32)&gt;C22,"OFF guaranteed",IF(C23+1*'Inputs'!$B$31+'Inputs'!$B$32&lt;=C18,"ON guaranteed","Indeterminate / hysteresis")),"Not evaluated")</x:f>
        <x:v>OFF guaranteed</x:v>
      </x:c>
      <x:c r="D26" s="8"/>
    </x:row>
    <x:row r="27" ht="36" customHeight="1">
      <x:c r="A27" s="2" t="str">
        <x:v>Midpoint condition</x:v>
      </x:c>
      <x:c r="B27" s="21" t="str">
        <x:f>IF(AND(ISNUMBER(B18),ISNUMBER(B22)),IF(MAX(0,B23+0.5*'Inputs'!$B$31-'Inputs'!$B$32)&gt;B22,"OFF guaranteed",IF(B23+0.5*'Inputs'!$B$31+'Inputs'!$B$32&lt;=B18,"ON guaranteed","Indeterminate / hysteresis")),"Not evaluated")</x:f>
        <x:v>OFF guaranteed</x:v>
      </x:c>
      <x:c r="C27" s="21" t="str">
        <x:f>IF(AND(ISNUMBER(C18),ISNUMBER(C22)),IF(MAX(0,C23+0.5*'Inputs'!$B$31-'Inputs'!$B$32)&gt;C22,"OFF guaranteed",IF(C23+0.5*'Inputs'!$B$31+'Inputs'!$B$32&lt;=C18,"ON guaranteed","Indeterminate / hysteresis")),"Not evaluated")</x:f>
        <x:v>OFF guaranteed</x:v>
      </x:c>
      <x:c r="D27" s="8"/>
    </x:row>
    <x:row r="28" ht="22" customHeight="1">
      <x:c r="A28" s="2"/>
      <x:c r="B28" s="19"/>
      <x:c r="C28" s="19"/>
      <x:c r="D28" s="8"/>
    </x:row>
    <x:row r="29" ht="36" customHeight="1">
      <x:c r="A29" s="2" t="str">
        <x:v>Initial field at endpoint, worst gap (G)</x:v>
      </x:c>
      <x:c r="B29" s="19" t="n">
        <x:f>IF(AND(ISNUMBER('Results'!B7),ISNUMBER('Results'!C7),ISNUMBER('Results'!$B$8),ISNUMBER('Inputs'!$B$6),ISNUMBER('Inputs'!$B$7),ISNUMBER('Inputs'!$B$8),ISNUMBER('Inputs'!$B$9),ISNUMBER('Inputs'!$B$10),ISNUMBER('Inputs'!$B$21),ISNUMBER('Inputs'!$B$24),ISNUMBER('Inputs'!$B$28)),(('Results'!B7*(0.5*(((B23+'Inputs'!$B$32+'Inputs'!$B$21)+'Inputs'!$B$7)/SQRT(((B23+'Inputs'!$B$32+'Inputs'!$B$21)+'Inputs'!$B$7)^2+('Inputs'!$B$6/2)^2)-((B23+'Inputs'!$B$32+'Inputs'!$B$21))/SQRT(((B23+'Inputs'!$B$32+'Inputs'!$B$21))^2+('Inputs'!$B$6/2)^2)))-'Results'!C7*(0.5*(((B23+'Inputs'!$B$32+'Inputs'!$B$21+'Inputs'!$B$7+'Inputs'!$B$10)+'Inputs'!$B$9)/SQRT(((B23+'Inputs'!$B$32+'Inputs'!$B$21+'Inputs'!$B$7+'Inputs'!$B$10)+'Inputs'!$B$9)^2+('Inputs'!$B$8/2)^2)-((B23+'Inputs'!$B$32+'Inputs'!$B$21+'Inputs'!$B$7+'Inputs'!$B$10))/SQRT(((B23+'Inputs'!$B$32+'Inputs'!$B$21+'Inputs'!$B$7+'Inputs'!$B$10))^2+('Inputs'!$B$8/2)^2))))*'Results'!$B$8),"")</x:f>
        <x:v>546.9524994648217</x:v>
      </x:c>
      <x:c r="C29" s="19" t="n">
        <x:f>IF(AND(ISNUMBER('Results'!C7),ISNUMBER('Results'!B7),ISNUMBER('Results'!$B$8),ISNUMBER('Inputs'!$B$6),ISNUMBER('Inputs'!$B$7),ISNUMBER('Inputs'!$B$8),ISNUMBER('Inputs'!$B$9),ISNUMBER('Inputs'!$B$10),ISNUMBER('Inputs'!$B$21),ISNUMBER('Inputs'!$B$24),ISNUMBER('Inputs'!$B$28)),(('Results'!C7*(0.5*(((C23+'Inputs'!$B$32+'Inputs'!$B$21)+'Inputs'!$B$9)/SQRT(((C23+'Inputs'!$B$32+'Inputs'!$B$21)+'Inputs'!$B$9)^2+('Inputs'!$B$8/2)^2)-((C23+'Inputs'!$B$32+'Inputs'!$B$21))/SQRT(((C23+'Inputs'!$B$32+'Inputs'!$B$21))^2+('Inputs'!$B$8/2)^2)))-'Results'!B7*(0.5*(((C23+'Inputs'!$B$32+'Inputs'!$B$21+'Inputs'!$B$9+'Inputs'!$B$10)+'Inputs'!$B$7)/SQRT(((C23+'Inputs'!$B$32+'Inputs'!$B$21+'Inputs'!$B$9+'Inputs'!$B$10)+'Inputs'!$B$7)^2+('Inputs'!$B$6/2)^2)-((C23+'Inputs'!$B$32+'Inputs'!$B$21+'Inputs'!$B$9+'Inputs'!$B$10))/SQRT(((C23+'Inputs'!$B$32+'Inputs'!$B$21+'Inputs'!$B$9+'Inputs'!$B$10))^2+('Inputs'!$B$6/2)^2))))*'Results'!$B$8),"")</x:f>
        <x:v>531.5539182527954</x:v>
      </x:c>
      <x:c r="D29" s="8" t="str">
        <x:v>Evaluated at entered endpoint gap plus positive stack-up; initial time.</x:v>
      </x:c>
    </x:row>
    <x:row r="30" ht="22" customHeight="1">
      <x:c r="A30" s="2" t="str">
        <x:v>Initial lower field bound at endpoint (G)</x:v>
      </x:c>
      <x:c r="B30" s="19" t="n">
        <x:f>IF(AND(ISNUMBER('Results'!B7),ISNUMBER('Results'!C7),ISNUMBER('Results'!$B$8),ISNUMBER('Inputs'!$B$6),ISNUMBER('Inputs'!$B$7),ISNUMBER('Inputs'!$B$8),ISNUMBER('Inputs'!$B$9),ISNUMBER('Inputs'!$B$10),ISNUMBER('Inputs'!$B$21),ISNUMBER('Inputs'!$B$24),ISNUMBER('Inputs'!$B$28)),((('Results'!B7*(1-'Inputs'!$B$24)*(0.5*(((B23+'Inputs'!$B$32+'Inputs'!$B$21)+'Inputs'!$B$7)/SQRT(((B23+'Inputs'!$B$32+'Inputs'!$B$21)+'Inputs'!$B$7)^2+('Inputs'!$B$6/2)^2)-((B23+'Inputs'!$B$32+'Inputs'!$B$21))/SQRT(((B23+'Inputs'!$B$32+'Inputs'!$B$21))^2+('Inputs'!$B$6/2)^2)))-'Results'!C7*(1+'Inputs'!$B$24)*(0.5*(((B23+'Inputs'!$B$32+'Inputs'!$B$21+'Inputs'!$B$7+'Inputs'!$B$10)+'Inputs'!$B$9)/SQRT(((B23+'Inputs'!$B$32+'Inputs'!$B$21+'Inputs'!$B$7+'Inputs'!$B$10)+'Inputs'!$B$9)^2+('Inputs'!$B$8/2)^2)-((B23+'Inputs'!$B$32+'Inputs'!$B$21+'Inputs'!$B$7+'Inputs'!$B$10))/SQRT(((B23+'Inputs'!$B$32+'Inputs'!$B$21+'Inputs'!$B$7+'Inputs'!$B$10))^2+('Inputs'!$B$8/2)^2))))*'Results'!$B$8)-'Inputs'!$B$28*ABS((('Results'!B7*(1-'Inputs'!$B$24)*(0.5*(((B23+'Inputs'!$B$32+'Inputs'!$B$21)+'Inputs'!$B$7)/SQRT(((B23+'Inputs'!$B$32+'Inputs'!$B$21)+'Inputs'!$B$7)^2+('Inputs'!$B$6/2)^2)-((B23+'Inputs'!$B$32+'Inputs'!$B$21))/SQRT(((B23+'Inputs'!$B$32+'Inputs'!$B$21))^2+('Inputs'!$B$6/2)^2)))-'Results'!C7*(1+'Inputs'!$B$24)*(0.5*(((B23+'Inputs'!$B$32+'Inputs'!$B$21+'Inputs'!$B$7+'Inputs'!$B$10)+'Inputs'!$B$9)/SQRT(((B23+'Inputs'!$B$32+'Inputs'!$B$21+'Inputs'!$B$7+'Inputs'!$B$10)+'Inputs'!$B$9)^2+('Inputs'!$B$8/2)^2)-((B23+'Inputs'!$B$32+'Inputs'!$B$21+'Inputs'!$B$7+'Inputs'!$B$10))/SQRT(((B23+'Inputs'!$B$32+'Inputs'!$B$21+'Inputs'!$B$7+'Inputs'!$B$10))^2+('Inputs'!$B$8/2)^2))))*'Results'!$B$8))),"")</x:f>
        <x:v>505.0190158215858</x:v>
      </x:c>
      <x:c r="C30" s="19" t="n">
        <x:f>IF(AND(ISNUMBER('Results'!C7),ISNUMBER('Results'!B7),ISNUMBER('Results'!$B$8),ISNUMBER('Inputs'!$B$6),ISNUMBER('Inputs'!$B$7),ISNUMBER('Inputs'!$B$8),ISNUMBER('Inputs'!$B$9),ISNUMBER('Inputs'!$B$10),ISNUMBER('Inputs'!$B$21),ISNUMBER('Inputs'!$B$24),ISNUMBER('Inputs'!$B$28)),((('Results'!C7*(1-'Inputs'!$B$24)*(0.5*(((C23+'Inputs'!$B$32+'Inputs'!$B$21)+'Inputs'!$B$9)/SQRT(((C23+'Inputs'!$B$32+'Inputs'!$B$21)+'Inputs'!$B$9)^2+('Inputs'!$B$8/2)^2)-((C23+'Inputs'!$B$32+'Inputs'!$B$21))/SQRT(((C23+'Inputs'!$B$32+'Inputs'!$B$21))^2+('Inputs'!$B$8/2)^2)))-'Results'!B7*(1+'Inputs'!$B$24)*(0.5*(((C23+'Inputs'!$B$32+'Inputs'!$B$21+'Inputs'!$B$9+'Inputs'!$B$10)+'Inputs'!$B$7)/SQRT(((C23+'Inputs'!$B$32+'Inputs'!$B$21+'Inputs'!$B$9+'Inputs'!$B$10)+'Inputs'!$B$7)^2+('Inputs'!$B$6/2)^2)-((C23+'Inputs'!$B$32+'Inputs'!$B$21+'Inputs'!$B$9+'Inputs'!$B$10))/SQRT(((C23+'Inputs'!$B$32+'Inputs'!$B$21+'Inputs'!$B$9+'Inputs'!$B$10))^2+('Inputs'!$B$6/2)^2))))*'Results'!$B$8)-'Inputs'!$B$28*ABS((('Results'!C7*(1-'Inputs'!$B$24)*(0.5*(((C23+'Inputs'!$B$32+'Inputs'!$B$21)+'Inputs'!$B$9)/SQRT(((C23+'Inputs'!$B$32+'Inputs'!$B$21)+'Inputs'!$B$9)^2+('Inputs'!$B$8/2)^2)-((C23+'Inputs'!$B$32+'Inputs'!$B$21))/SQRT(((C23+'Inputs'!$B$32+'Inputs'!$B$21))^2+('Inputs'!$B$8/2)^2)))-'Results'!B7*(1+'Inputs'!$B$24)*(0.5*(((C23+'Inputs'!$B$32+'Inputs'!$B$21+'Inputs'!$B$9+'Inputs'!$B$10)+'Inputs'!$B$7)/SQRT(((C23+'Inputs'!$B$32+'Inputs'!$B$21+'Inputs'!$B$9+'Inputs'!$B$10)+'Inputs'!$B$7)^2+('Inputs'!$B$6/2)^2)-((C23+'Inputs'!$B$32+'Inputs'!$B$21+'Inputs'!$B$9+'Inputs'!$B$10))/SQRT(((C23+'Inputs'!$B$32+'Inputs'!$B$21+'Inputs'!$B$9+'Inputs'!$B$10))^2+('Inputs'!$B$6/2)^2))))*'Results'!$B$8))),"")</x:f>
        <x:v>490.5973497503287</x:v>
      </x:c>
      <x:c r="D30" s="8"/>
    </x:row>
    <x:row r="31" ht="36" customHeight="1">
      <x:c r="A31" s="2" t="str">
        <x:v>Common retention at first ON failure</x:v>
      </x:c>
      <x:c r="B31" s="20" t="n">
        <x:f>IF($B$6&lt;&gt;"Inputs accepted","",IF(SUM('Solver'!P44:U1043)&gt;0,"",IF(OR($B$6&lt;&gt;"Inputs accepted",B29&lt;=0,B10=""),"",B10/B29)))</x:f>
        <x:v>0.1793229638561326</x:v>
      </x:c>
      <x:c r="C31" s="20" t="n">
        <x:f>IF($B$6&lt;&gt;"Inputs accepted","",IF(SUM('Solver'!P44:U1043)&gt;0,"",IF(OR($B$6&lt;&gt;"Inputs accepted",C29&lt;=0,C10=""),"",C10/C29)))</x:f>
        <x:v>0.19566922137947063</x:v>
      </x:c>
      <x:c r="D31" s="8" t="str">
        <x:v>Common q scaling both magnets at loss of nominal operate margin. q&gt;=1 means already insufficient.</x:v>
      </x:c>
    </x:row>
    <x:row r="32" ht="22" customHeight="1">
      <x:c r="A32" s="2" t="str">
        <x:v>Allowed loss before first ON failure</x:v>
      </x:c>
      <x:c r="B32" s="20" t="n">
        <x:f>IF(ISNUMBER(B31),MAX(0,1-B31),"")</x:f>
        <x:v>0.8206770361438673</x:v>
      </x:c>
      <x:c r="C32" s="20" t="n">
        <x:f>IF(ISNUMBER(C31),MAX(0,1-C31),"")</x:f>
        <x:v>0.8043307786205294</x:v>
      </x:c>
      <x:c r="D32" s="8"/>
    </x:row>
    <x:row r="33" ht="36" customHeight="1">
      <x:c r="A33" s="2" t="str">
        <x:v>Nominal conditional failure time (h)</x:v>
      </x:c>
      <x:c r="B33" s="21" t="str">
        <x:f>IF(NOT(ISNUMBER(B31)),"Not evaluated",IF(B31&gt;=1,0,IF('Aging'!$B$5="","Aging data required",IF('Aging'!$B$5=0,"No finite time in zero-loss model",IF((1-B31)/'Aging'!$B$5&gt;(700-LN(MAX(1,'Inputs'!$B$38))),"Exceeds numeric range",'Inputs'!$B$38*(EXP((1-B31)/'Aging'!$B$5)-1))))))</x:f>
        <x:v>Aging data required</x:v>
      </x:c>
      <x:c r="C33" s="21" t="str">
        <x:f>IF(NOT(ISNUMBER(C31)),"Not evaluated",IF(C31&gt;=1,0,IF('Aging'!$B$5="","Aging data required",IF('Aging'!$B$5=0,"No finite time in zero-loss model",IF((1-C31)/'Aging'!$B$5&gt;(700-LN(MAX(1,'Inputs'!$B$38))),"Exceeds numeric range",'Inputs'!$B$38*(EXP((1-C31)/'Aging'!$B$5)-1))))))</x:f>
        <x:v>Aging data required</x:v>
      </x:c>
      <x:c r="D33" s="8"/>
    </x:row>
    <x:row r="34" ht="36" customHeight="1">
      <x:c r="A34" s="2" t="str">
        <x:v>Nominal conditional failure time (years)</x:v>
      </x:c>
      <x:c r="B34" s="21" t="str">
        <x:f>IF(ISNUMBER(B33),B33/'Inputs'!$B$34,B33)</x:f>
        <x:v>Aging data required</x:v>
      </x:c>
      <x:c r="C34" s="21" t="str">
        <x:f>IF(ISNUMBER(C33),C33/'Inputs'!$B$34,C33)</x:f>
        <x:v>Aging data required</x:v>
      </x:c>
      <x:c r="D34" s="8"/>
    </x:row>
    <x:row r="35" ht="36" customHeight="1">
      <x:c r="A35" s="2" t="str">
        <x:v>Bounded conditional failure time (h)</x:v>
      </x:c>
      <x:c r="B35" s="21" t="str">
        <x:f>IF($B$6&lt;&gt;"Inputs accepted","Not evaluated",IF(SUM('Solver'!P44:U1043)&gt;0,"Nonmonotonic: field map required",IF(OR($B$6&lt;&gt;"Inputs accepted",B12=""),"Not evaluated",IF(B30&lt;=B12,0,IF('Aging'!$B$5="","Aging data required",IF('Aging'!$B$5=0,"No finite time in zero-loss model",IF((1-B12/B30)/'Aging'!$B$5&gt;(700-LN(MAX(1,'Inputs'!$B$38))),"Exceeds numeric range",'Inputs'!$B$38*(EXP((1-B12/B30)/'Aging'!$B$5)-1))))))))</x:f>
        <x:v>Aging data required</x:v>
      </x:c>
      <x:c r="C35" s="21" t="str">
        <x:f>IF($B$6&lt;&gt;"Inputs accepted","Not evaluated",IF(SUM('Solver'!P44:U1043)&gt;0,"Nonmonotonic: field map required",IF(OR($B$6&lt;&gt;"Inputs accepted",C12=""),"Not evaluated",IF(C30&lt;=C12,0,IF('Aging'!$B$5="","Aging data required",IF('Aging'!$B$5=0,"No finite time in zero-loss model",IF((1-C12/C30)/'Aging'!$B$5&gt;(700-LN(MAX(1,'Inputs'!$B$38))),"Exceeds numeric range",'Inputs'!$B$38*(EXP((1-C12/C30)/'Aging'!$B$5)-1))))))))</x:f>
        <x:v>Aging data required</x:v>
      </x:c>
      <x:c r="D35" s="8" t="str">
        <x:v>Lower initial field bound and upper operate threshold. Conditional common-aging scenario.</x:v>
      </x:c>
    </x:row>
    <x:row r="36" ht="36" customHeight="1">
      <x:c r="A36" s="2" t="str">
        <x:v>Life result context</x:v>
      </x:c>
      <x:c r="B36" s="21" t="str">
        <x:f>IF(NOT(ISNUMBER(B35)),B35,IF(B35=0,"Insufficient initial bound",IF('Inputs'!$B$39="","Extrapolation unqualified",IF(B35&gt;'Inputs'!$B$39,"Beyond validated duration","Within entered duration only"))))</x:f>
        <x:v>Aging data required</x:v>
      </x:c>
      <x:c r="C36" s="21" t="str">
        <x:f>IF(NOT(ISNUMBER(C35)),C35,IF(C35=0,"Insufficient initial bound",IF('Inputs'!$B$39="","Extrapolation unqualified",IF(C35&gt;'Inputs'!$B$39,"Beyond validated duration","Within entered duration only"))))</x:f>
        <x:v>Aging data required</x:v>
      </x:c>
      <x:c r="D36" s="8"/>
    </x:row>
    <x:row r="37" ht="22" customHeight="1">
      <x:c r="A37" s="2"/>
      <x:c r="B37" s="21"/>
      <x:c r="C37" s="21"/>
      <x:c r="D37" s="8"/>
    </x:row>
    <x:row r="38" ht="36" customHeight="1">
      <x:c r="A38" s="2" t="str">
        <x:v>Assembly conditional time (h)</x:v>
      </x:c>
      <x:c r="B38" s="21" t="str">
        <x:f>IF($B$6&lt;&gt;"Inputs accepted","Not evaluated",IF(SUM('Solver'!P44:U1043)&gt;0,"Nonmonotonic: field map required",IF(OR(B54="Initial truth table not satisfied",AND(ISNUMBER(B35),B35=0),AND(ISNUMBER(C35),C35=0)),0,IF(AND(ISNUMBER(B35),ISNUMBER(C35)),MIN(B35,C35),"Requires both life results"))))</x:f>
        <x:v>Requires both life results</x:v>
      </x:c>
      <x:c r="C38" s="21"/>
      <x:c r="D38" s="8" t="str">
        <x:v>Zero if an initial ON or required OFF state fails; otherwise earlier bounded sensor time.</x:v>
      </x:c>
    </x:row>
    <x:row r="39" ht="36" customHeight="1">
      <x:c r="A39" s="2" t="str">
        <x:v>Assembly conditional time (years)</x:v>
      </x:c>
      <x:c r="B39" s="21" t="str">
        <x:f>IF(ISNUMBER(B38),B38/'Inputs'!$B$34,B38)</x:f>
        <x:v>Requires both life results</x:v>
      </x:c>
      <x:c r="C39" s="21"/>
      <x:c r="D39" s="8"/>
    </x:row>
    <x:row r="40" ht="22" customHeight="1">
      <x:c r="A40" s="2"/>
      <x:c r="B40" s="2"/>
      <x:c r="C40" s="2"/>
      <x:c r="D40" s="8"/>
    </x:row>
    <x:row r="41" ht="44" customHeight="1">
      <x:c r="A41" s="2" t="str">
        <x:v>Temperature limit note</x:v>
      </x:c>
      <x:c r="B41" s="8" t="str">
        <x:f>IF(OR('Inputs'!$B$22&gt;'Inputs'!$B$44,'Inputs'!$B$22&gt;'Inputs'!$B$46,'Inputs'!$B$22&lt;'Inputs'!$B$45),"Outside a listed component temperature range","Within listed ranges; irreversible stability still unverified")</x:f>
        <x:v>Within listed ranges; irreversible stability still unverified</x:v>
      </x:c>
      <x:c r="C41" s="2"/>
      <x:c r="D41" s="8"/>
    </x:row>
    <x:row r="42" ht="44" customHeight="1">
      <x:c r="A42" s="2" t="str">
        <x:v>Geometry note</x:v>
      </x:c>
      <x:c r="B42" s="8" t="str">
        <x:v>Only axial centered travel; lateral slide-by needs a field map or vector model.</x:v>
      </x:c>
      <x:c r="C42" s="2"/>
      <x:c r="D42" s="8"/>
    </x:row>
    <x:row r="43" ht="44" customHeight="1">
      <x:c r="A43" s="2" t="str">
        <x:v>Aging note</x:v>
      </x:c>
      <x:c r="B43" s="8" t="str">
        <x:v>Common logarithmic retention at one fixed temperature; unequal loss, corrosion, shock and irreversible demagnetization are excluded.</x:v>
      </x:c>
      <x:c r="C43" s="2"/>
      <x:c r="D43" s="8"/>
    </x:row>
    <x:row r="44" ht="44" customHeight="1">
      <x:c r="A44" s="2" t="str">
        <x:v>Tolerance interpretation</x:v>
      </x:c>
      <x:c r="B44" s="8" t="str">
        <x:v>Bounds are conditional on entered error allowances. Hysteresis leaves a history-dependent region between guaranteed ON and OFF.</x:v>
      </x:c>
      <x:c r="C44" s="2"/>
      <x:c r="D44" s="8"/>
    </x:row>
    <x:row r="45" ht="44" customHeight="1">
      <x:c r="A45" s="2" t="str">
        <x:v>B-H interpretation</x:v>
      </x:c>
      <x:c r="B45" s="8" t="str">
        <x:v>Effective Pc is assumed; initial isolated gauss does not reveal the assembled load line, intrinsic knee or future irreversible losses.</x:v>
      </x:c>
      <x:c r="C45" s="2"/>
      <x:c r="D45" s="8"/>
    </x:row>
    <x:row r="46" ht="22" customHeight="1">
      <x:c r="A46" s="2"/>
      <x:c r="B46" s="2"/>
      <x:c r="C46" s="2"/>
      <x:c r="D46" s="8"/>
    </x:row>
    <x:row r="47" ht="36" customHeight="1">
      <x:c r="A47" s="2" t="str">
        <x:v>Calibration observation status</x:v>
      </x:c>
      <x:c r="B47" s="8" t="str">
        <x:f>IF(AND(COUNT('Calibration'!C5:C9)&gt;0,COUNT('Calibration'!C10:C14)&gt;0,OR(AND('Calibration'!C5="",'Calibration'!D5=""),AND(ISNUMBER('Calibration'!C5),ISNUMBER('Calibration'!D5),'Calibration'!C5&gt;=0,'Calibration'!D5&gt;'Calibration'!C5)),OR(AND('Calibration'!C6="",'Calibration'!D6=""),AND(ISNUMBER('Calibration'!C6),ISNUMBER('Calibration'!D6),'Calibration'!C6&gt;=0,'Calibration'!D6&gt;'Calibration'!C6)),OR(AND('Calibration'!C7="",'Calibration'!D7=""),AND(ISNUMBER('Calibration'!C7),ISNUMBER('Calibration'!D7),'Calibration'!C7&gt;=0,'Calibration'!D7&gt;'Calibration'!C7)),OR(AND('Calibration'!C8="",'Calibration'!D8=""),AND(ISNUMBER('Calibration'!C8),ISNUMBER('Calibration'!D8),'Calibration'!C8&gt;=0,'Calibration'!D8&gt;'Calibration'!C8)),OR(AND('Calibration'!C9="",'Calibration'!D9=""),AND(ISNUMBER('Calibration'!C9),ISNUMBER('Calibration'!D9),'Calibration'!C9&gt;=0,'Calibration'!D9&gt;'Calibration'!C9)),OR(AND('Calibration'!C10="",'Calibration'!D10=""),AND(ISNUMBER('Calibration'!C10),ISNUMBER('Calibration'!D10),'Calibration'!C10&gt;=0,'Calibration'!D10&gt;'Calibration'!C10)),OR(AND('Calibration'!C11="",'Calibration'!D11=""),AND(ISNUMBER('Calibration'!C11),ISNUMBER('Calibration'!D11),'Calibration'!C11&gt;=0,'Calibration'!D11&gt;'Calibration'!C11)),OR(AND('Calibration'!C12="",'Calibration'!D12=""),AND(ISNUMBER('Calibration'!C12),ISNUMBER('Calibration'!D12),'Calibration'!C12&gt;=0,'Calibration'!D12&gt;'Calibration'!C12)),OR(AND('Calibration'!C13="",'Calibration'!D13=""),AND(ISNUMBER('Calibration'!C13),ISNUMBER('Calibration'!D13),'Calibration'!C13&gt;=0,'Calibration'!D13&gt;'Calibration'!C13)),OR(AND('Calibration'!C14="",'Calibration'!D14=""),AND(ISNUMBER('Calibration'!C14),ISNUMBER('Calibration'!D14),'Calibration'!C14&gt;=0,'Calibration'!D14&gt;'Calibration'!C14))),"Calibration pairs accepted","Missing or invalid ON/OFF pairs")</x:f>
        <x:v>Calibration pairs accepted</x:v>
      </x:c>
      <x:c r="C47" s="2"/>
      <x:c r="D47" s="8"/>
    </x:row>
    <x:row r="48" ht="44" customHeight="1">
      <x:c r="A48" s="2" t="str">
        <x:v>Fixed-source superposition</x:v>
      </x:c>
      <x:c r="B48" s="8" t="str">
        <x:v>Uses fixed source magnetization and linear field superposition. Validate assembled field vs gap to bound mutual-demagnetization error.</x:v>
      </x:c>
      <x:c r="C48" s="2"/>
      <x:c r="D48" s="8"/>
    </x:row>
    <x:row r="49" ht="22" customHeight="1">
      <x:c r="A49" s="2"/>
      <x:c r="B49" s="2"/>
      <x:c r="C49" s="2"/>
      <x:c r="D49" s="8"/>
    </x:row>
    <x:row r="50" ht="44" customHeight="1">
      <x:c r="A50" s="2" t="str">
        <x:v>Distance root status</x:v>
      </x:c>
      <x:c r="B50" s="8" t="str">
        <x:f>IF(AND(ISNUMBER(B18),ISNUMBER(C18),ISNUMBER(B22),ISNUMBER(C22)),"All ON/OFF bounds bracketed","Review individual distance cells and search limit")</x:f>
        <x:v>All ON/OFF bounds bracketed</x:v>
      </x:c>
      <x:c r="C50" s="2"/>
      <x:c r="D50" s="8" t="str">
        <x:v>No root indicates missing data, failure at contact, or insufficient search range.</x:v>
      </x:c>
    </x:row>
    <x:row r="51" ht="36" customHeight="1">
      <x:c r="A51" s="2" t="str">
        <x:v>Installed geometry status</x:v>
      </x:c>
      <x:c r="B51" s="8" t="str">
        <x:f>IF(OR('Inputs'!$B$29&lt;'Inputs'!$B$32,'Inputs'!$B$30&lt;'Inputs'!$B$32),"Gap tolerance permits contact; revise assembly","No contact from entered gap tolerance")</x:f>
        <x:v>No contact from entered gap tolerance</x:v>
      </x:c>
      <x:c r="C51" s="2"/>
      <x:c r="D51" s="8"/>
    </x:row>
    <x:row r="52" ht="22" customHeight="1">
      <x:c r="A52" s="2"/>
      <x:c r="B52" s="2"/>
      <x:c r="C52" s="2"/>
      <x:c r="D52" s="2"/>
    </x:row>
    <x:row r="53" ht="36" customHeight="1">
      <x:c r="A53" s="2" t="str">
        <x:v>Monotonicity sampling</x:v>
      </x:c>
      <x:c r="B53" s="2" t="str">
        <x:f>IF(SUM('Solver'!P44:U1043)&gt;0,"Nonmonotonic positive field: roots not reliable","No positive-field increase on 1000 intervals")</x:f>
        <x:v>No positive-field increase on 1000 intervals</x:v>
      </x:c>
      <x:c r="C53" s="2"/>
      <x:c r="D53" s="2"/>
    </x:row>
    <x:row r="54" ht="36" customHeight="1">
      <x:c r="A54" s="2" t="str">
        <x:v>Initial OFF states</x:v>
      </x:c>
      <x:c r="B54" s="2" t="str">
        <x:f>IF($B$6&lt;&gt;"Inputs accepted","Not evaluated",IF(SUM('Solver'!P44:U1043)&gt;0,"Not evaluated",IF(AND(IF(AND(ISNUMBER('Results'!B7),ISNUMBER('Results'!C7),ISNUMBER('Results'!$B$8),ISNUMBER('Inputs'!$B$6),ISNUMBER('Inputs'!$B$7),ISNUMBER('Inputs'!$B$8),ISNUMBER('Inputs'!$B$9),ISNUMBER('Inputs'!$B$10),ISNUMBER('Inputs'!$B$21),ISNUMBER('Inputs'!$B$24),ISNUMBER('Inputs'!$B$28)),((('Results'!B7*(1+'Inputs'!$B$24)*(0.5*(((MAX(0,'Inputs'!$B$29+0.5*'Inputs'!$B$31-'Inputs'!$B$32)+'Inputs'!$B$21)+'Inputs'!$B$7)/SQRT(((MAX(0,'Inputs'!$B$29+0.5*'Inputs'!$B$31-'Inputs'!$B$32)+'Inputs'!$B$21)+'Inputs'!$B$7)^2+('Inputs'!$B$6/2)^2)-((MAX(0,'Inputs'!$B$29+0.5*'Inputs'!$B$31-'Inputs'!$B$32)+'Inputs'!$B$21))/SQRT(((MAX(0,'Inputs'!$B$29+0.5*'Inputs'!$B$31-'Inputs'!$B$32)+'Inputs'!$B$21))^2+('Inputs'!$B$6/2)^2)))-'Results'!C7*(1-'Inputs'!$B$24)*(0.5*(((MAX(0,'Inputs'!$B$29+0.5*'Inputs'!$B$31-'Inputs'!$B$32)+'Inputs'!$B$21+'Inputs'!$B$7+'Inputs'!$B$10)+'Inputs'!$B$9)/SQRT(((MAX(0,'Inputs'!$B$29+0.5*'Inputs'!$B$31-'Inputs'!$B$32)+'Inputs'!$B$21+'Inputs'!$B$7+'Inputs'!$B$10)+'Inputs'!$B$9)^2+('Inputs'!$B$8/2)^2)-((MAX(0,'Inputs'!$B$29+0.5*'Inputs'!$B$31-'Inputs'!$B$32)+'Inputs'!$B$21+'Inputs'!$B$7+'Inputs'!$B$10))/SQRT(((MAX(0,'Inputs'!$B$29+0.5*'Inputs'!$B$31-'Inputs'!$B$32)+'Inputs'!$B$21+'Inputs'!$B$7+'Inputs'!$B$10))^2+('Inputs'!$B$8/2)^2))))*'Results'!$B$8)+'Inputs'!$B$28*ABS((('Results'!B7*(1+'Inputs'!$B$24)*(0.5*(((MAX(0,'Inputs'!$B$29+0.5*'Inputs'!$B$31-'Inputs'!$B$32)+'Inputs'!$B$21)+'Inputs'!$B$7)/SQRT(((MAX(0,'Inputs'!$B$29+0.5*'Inputs'!$B$31-'Inputs'!$B$32)+'Inputs'!$B$21)+'Inputs'!$B$7)^2+('Inputs'!$B$6/2)^2)-((MAX(0,'Inputs'!$B$29+0.5*'Inputs'!$B$31-'Inputs'!$B$32)+'Inputs'!$B$21))/SQRT(((MAX(0,'Inputs'!$B$29+0.5*'Inputs'!$B$31-'Inputs'!$B$32)+'Inputs'!$B$21))^2+('Inputs'!$B$6/2)^2)))-'Results'!C7*(1-'Inputs'!$B$24)*(0.5*(((MAX(0,'Inputs'!$B$29+0.5*'Inputs'!$B$31-'Inputs'!$B$32)+'Inputs'!$B$21+'Inputs'!$B$7+'Inputs'!$B$10)+'Inputs'!$B$9)/SQRT(((MAX(0,'Inputs'!$B$29+0.5*'Inputs'!$B$31-'Inputs'!$B$32)+'Inputs'!$B$21+'Inputs'!$B$7+'Inputs'!$B$10)+'Inputs'!$B$9)^2+('Inputs'!$B$8/2)^2)-((MAX(0,'Inputs'!$B$29+0.5*'Inputs'!$B$31-'Inputs'!$B$32)+'Inputs'!$B$21+'Inputs'!$B$7+'Inputs'!$B$10))/SQRT(((MAX(0,'Inputs'!$B$29+0.5*'Inputs'!$B$31-'Inputs'!$B$32)+'Inputs'!$B$21+'Inputs'!$B$7+'Inputs'!$B$10))^2+('Inputs'!$B$8/2)^2))))*'Results'!$B$8))),"")&lt;'Results'!B14,IF(AND(ISNUMBER('Results'!B7),ISNUMBER('Results'!C7),ISNUMBER('Results'!$B$8),ISNUMBER('Inputs'!$B$6),ISNUMBER('Inputs'!$B$7),ISNUMBER('Inputs'!$B$8),ISNUMBER('Inputs'!$B$9),ISNUMBER('Inputs'!$B$10),ISNUMBER('Inputs'!$B$21),ISNUMBER('Inputs'!$B$24),ISNUMBER('Inputs'!$B$28)),((('Results'!B7*(1+'Inputs'!$B$24)*(0.5*(((MAX(0,'Inputs'!$B$29+1*'Inputs'!$B$31-'Inputs'!$B$32)+'Inputs'!$B$21)+'Inputs'!$B$7)/SQRT(((MAX(0,'Inputs'!$B$29+1*'Inputs'!$B$31-'Inputs'!$B$32)+'Inputs'!$B$21)+'Inputs'!$B$7)^2+('Inputs'!$B$6/2)^2)-((MAX(0,'Inputs'!$B$29+1*'Inputs'!$B$31-'Inputs'!$B$32)+'Inputs'!$B$21))/SQRT(((MAX(0,'Inputs'!$B$29+1*'Inputs'!$B$31-'Inputs'!$B$32)+'Inputs'!$B$21))^2+('Inputs'!$B$6/2)^2)))-'Results'!C7*(1-'Inputs'!$B$24)*(0.5*(((MAX(0,'Inputs'!$B$29+1*'Inputs'!$B$31-'Inputs'!$B$32)+'Inputs'!$B$21+'Inputs'!$B$7+'Inputs'!$B$10)+'Inputs'!$B$9)/SQRT(((MAX(0,'Inputs'!$B$29+1*'Inputs'!$B$31-'Inputs'!$B$32)+'Inputs'!$B$21+'Inputs'!$B$7+'Inputs'!$B$10)+'Inputs'!$B$9)^2+('Inputs'!$B$8/2)^2)-((MAX(0,'Inputs'!$B$29+1*'Inputs'!$B$31-'Inputs'!$B$32)+'Inputs'!$B$21+'Inputs'!$B$7+'Inputs'!$B$10))/SQRT(((MAX(0,'Inputs'!$B$29+1*'Inputs'!$B$31-'Inputs'!$B$32)+'Inputs'!$B$21+'Inputs'!$B$7+'Inputs'!$B$10))^2+('Inputs'!$B$8/2)^2))))*'Results'!$B$8)+'Inputs'!$B$28*ABS((('Results'!B7*(1+'Inputs'!$B$24)*(0.5*(((MAX(0,'Inputs'!$B$29+1*'Inputs'!$B$31-'Inputs'!$B$32)+'Inputs'!$B$21)+'Inputs'!$B$7)/SQRT(((MAX(0,'Inputs'!$B$29+1*'Inputs'!$B$31-'Inputs'!$B$32)+'Inputs'!$B$21)+'Inputs'!$B$7)^2+('Inputs'!$B$6/2)^2)-((MAX(0,'Inputs'!$B$29+1*'Inputs'!$B$31-'Inputs'!$B$32)+'Inputs'!$B$21))/SQRT(((MAX(0,'Inputs'!$B$29+1*'Inputs'!$B$31-'Inputs'!$B$32)+'Inputs'!$B$21))^2+('Inputs'!$B$6/2)^2)))-'Results'!C7*(1-'Inputs'!$B$24)*(0.5*(((MAX(0,'Inputs'!$B$29+1*'Inputs'!$B$31-'Inputs'!$B$32)+'Inputs'!$B$21+'Inputs'!$B$7+'Inputs'!$B$10)+'Inputs'!$B$9)/SQRT(((MAX(0,'Inputs'!$B$29+1*'Inputs'!$B$31-'Inputs'!$B$32)+'Inputs'!$B$21+'Inputs'!$B$7+'Inputs'!$B$10)+'Inputs'!$B$9)^2+('Inputs'!$B$8/2)^2)-((MAX(0,'Inputs'!$B$29+1*'Inputs'!$B$31-'Inputs'!$B$32)+'Inputs'!$B$21+'Inputs'!$B$7+'Inputs'!$B$10))/SQRT(((MAX(0,'Inputs'!$B$29+1*'Inputs'!$B$31-'Inputs'!$B$32)+'Inputs'!$B$21+'Inputs'!$B$7+'Inputs'!$B$10))^2+('Inputs'!$B$8/2)^2))))*'Results'!$B$8))),"")&lt;'Results'!B14,IF(AND(ISNUMBER('Results'!C7),ISNUMBER('Results'!B7),ISNUMBER('Results'!$B$8),ISNUMBER('Inputs'!$B$6),ISNUMBER('Inputs'!$B$7),ISNUMBER('Inputs'!$B$8),ISNUMBER('Inputs'!$B$9),ISNUMBER('Inputs'!$B$10),ISNUMBER('Inputs'!$B$21),ISNUMBER('Inputs'!$B$24),ISNUMBER('Inputs'!$B$28)),((('Results'!C7*(1+'Inputs'!$B$24)*(0.5*(((MAX(0,'Inputs'!$B$30+0.5*'Inputs'!$B$31-'Inputs'!$B$32)+'Inputs'!$B$21)+'Inputs'!$B$9)/SQRT(((MAX(0,'Inputs'!$B$30+0.5*'Inputs'!$B$31-'Inputs'!$B$32)+'Inputs'!$B$21)+'Inputs'!$B$9)^2+('Inputs'!$B$8/2)^2)-((MAX(0,'Inputs'!$B$30+0.5*'Inputs'!$B$31-'Inputs'!$B$32)+'Inputs'!$B$21))/SQRT(((MAX(0,'Inputs'!$B$30+0.5*'Inputs'!$B$31-'Inputs'!$B$32)+'Inputs'!$B$21))^2+('Inputs'!$B$8/2)^2)))-'Results'!B7*(1-'Inputs'!$B$24)*(0.5*(((MAX(0,'Inputs'!$B$30+0.5*'Inputs'!$B$31-'Inputs'!$B$32)+'Inputs'!$B$21+'Inputs'!$B$9+'Inputs'!$B$10)+'Inputs'!$B$7)/SQRT(((MAX(0,'Inputs'!$B$30+0.5*'Inputs'!$B$31-'Inputs'!$B$32)+'Inputs'!$B$21+'Inputs'!$B$9+'Inputs'!$B$10)+'Inputs'!$B$7)^2+('Inputs'!$B$6/2)^2)-((MAX(0,'Inputs'!$B$30+0.5*'Inputs'!$B$31-'Inputs'!$B$32)+'Inputs'!$B$21+'Inputs'!$B$9+'Inputs'!$B$10))/SQRT(((MAX(0,'Inputs'!$B$30+0.5*'Inputs'!$B$31-'Inputs'!$B$32)+'Inputs'!$B$21+'Inputs'!$B$9+'Inputs'!$B$10))^2+('Inputs'!$B$6/2)^2))))*'Results'!$B$8)+'Inputs'!$B$28*ABS((('Results'!C7*(1+'Inputs'!$B$24)*(0.5*(((MAX(0,'Inputs'!$B$30+0.5*'Inputs'!$B$31-'Inputs'!$B$32)+'Inputs'!$B$21)+'Inputs'!$B$9)/SQRT(((MAX(0,'Inputs'!$B$30+0.5*'Inputs'!$B$31-'Inputs'!$B$32)+'Inputs'!$B$21)+'Inputs'!$B$9)^2+('Inputs'!$B$8/2)^2)-((MAX(0,'Inputs'!$B$30+0.5*'Inputs'!$B$31-'Inputs'!$B$32)+'Inputs'!$B$21))/SQRT(((MAX(0,'Inputs'!$B$30+0.5*'Inputs'!$B$31-'Inputs'!$B$32)+'Inputs'!$B$21))^2+('Inputs'!$B$8/2)^2)))-'Results'!B7*(1-'Inputs'!$B$24)*(0.5*(((MAX(0,'Inputs'!$B$30+0.5*'Inputs'!$B$31-'Inputs'!$B$32)+'Inputs'!$B$21+'Inputs'!$B$9+'Inputs'!$B$10)+'Inputs'!$B$7)/SQRT(((MAX(0,'Inputs'!$B$30+0.5*'Inputs'!$B$31-'Inputs'!$B$32)+'Inputs'!$B$21+'Inputs'!$B$9+'Inputs'!$B$10)+'Inputs'!$B$7)^2+('Inputs'!$B$6/2)^2)-((MAX(0,'Inputs'!$B$30+0.5*'Inputs'!$B$31-'Inputs'!$B$32)+'Inputs'!$B$21+'Inputs'!$B$9+'Inputs'!$B$10))/SQRT(((MAX(0,'Inputs'!$B$30+0.5*'Inputs'!$B$31-'Inputs'!$B$32)+'Inputs'!$B$21+'Inputs'!$B$9+'Inputs'!$B$10))^2+('Inputs'!$B$6/2)^2))))*'Results'!$B$8))),"")&lt;'Results'!C14,IF(AND(ISNUMBER('Results'!C7),ISNUMBER('Results'!B7),ISNUMBER('Results'!$B$8),ISNUMBER('Inputs'!$B$6),ISNUMBER('Inputs'!$B$7),ISNUMBER('Inputs'!$B$8),ISNUMBER('Inputs'!$B$9),ISNUMBER('Inputs'!$B$10),ISNUMBER('Inputs'!$B$21),ISNUMBER('Inputs'!$B$24),ISNUMBER('Inputs'!$B$28)),((('Results'!C7*(1+'Inputs'!$B$24)*(0.5*(((MAX(0,'Inputs'!$B$30+1*'Inputs'!$B$31-'Inputs'!$B$32)+'Inputs'!$B$21)+'Inputs'!$B$9)/SQRT(((MAX(0,'Inputs'!$B$30+1*'Inputs'!$B$31-'Inputs'!$B$32)+'Inputs'!$B$21)+'Inputs'!$B$9)^2+('Inputs'!$B$8/2)^2)-((MAX(0,'Inputs'!$B$30+1*'Inputs'!$B$31-'Inputs'!$B$32)+'Inputs'!$B$21))/SQRT(((MAX(0,'Inputs'!$B$30+1*'Inputs'!$B$31-'Inputs'!$B$32)+'Inputs'!$B$21))^2+('Inputs'!$B$8/2)^2)))-'Results'!B7*(1-'Inputs'!$B$24)*(0.5*(((MAX(0,'Inputs'!$B$30+1*'Inputs'!$B$31-'Inputs'!$B$32)+'Inputs'!$B$21+'Inputs'!$B$9+'Inputs'!$B$10)+'Inputs'!$B$7)/SQRT(((MAX(0,'Inputs'!$B$30+1*'Inputs'!$B$31-'Inputs'!$B$32)+'Inputs'!$B$21+'Inputs'!$B$9+'Inputs'!$B$10)+'Inputs'!$B$7)^2+('Inputs'!$B$6/2)^2)-((MAX(0,'Inputs'!$B$30+1*'Inputs'!$B$31-'Inputs'!$B$32)+'Inputs'!$B$21+'Inputs'!$B$9+'Inputs'!$B$10))/SQRT(((MAX(0,'Inputs'!$B$30+1*'Inputs'!$B$31-'Inputs'!$B$32)+'Inputs'!$B$21+'Inputs'!$B$9+'Inputs'!$B$10))^2+('Inputs'!$B$6/2)^2))))*'Results'!$B$8)+'Inputs'!$B$28*ABS((('Results'!C7*(1+'Inputs'!$B$24)*(0.5*(((MAX(0,'Inputs'!$B$30+1*'Inputs'!$B$31-'Inputs'!$B$32)+'Inputs'!$B$21)+'Inputs'!$B$9)/SQRT(((MAX(0,'Inputs'!$B$30+1*'Inputs'!$B$31-'Inputs'!$B$32)+'Inputs'!$B$21)+'Inputs'!$B$9)^2+('Inputs'!$B$8/2)^2)-((MAX(0,'Inputs'!$B$30+1*'Inputs'!$B$31-'Inputs'!$B$32)+'Inputs'!$B$21))/SQRT(((MAX(0,'Inputs'!$B$30+1*'Inputs'!$B$31-'Inputs'!$B$32)+'Inputs'!$B$21))^2+('Inputs'!$B$8/2)^2)))-'Results'!B7*(1-'Inputs'!$B$24)*(0.5*(((MAX(0,'Inputs'!$B$30+1*'Inputs'!$B$31-'Inputs'!$B$32)+'Inputs'!$B$21+'Inputs'!$B$9+'Inputs'!$B$10)+'Inputs'!$B$7)/SQRT(((MAX(0,'Inputs'!$B$30+1*'Inputs'!$B$31-'Inputs'!$B$32)+'Inputs'!$B$21+'Inputs'!$B$9+'Inputs'!$B$10)+'Inputs'!$B$7)^2+('Inputs'!$B$6/2)^2)-((MAX(0,'Inputs'!$B$30+1*'Inputs'!$B$31-'Inputs'!$B$32)+'Inputs'!$B$21+'Inputs'!$B$9+'Inputs'!$B$10))/SQRT(((MAX(0,'Inputs'!$B$30+1*'Inputs'!$B$31-'Inputs'!$B$32)+'Inputs'!$B$21+'Inputs'!$B$9+'Inputs'!$B$10))^2+('Inputs'!$B$6/2)^2))))*'Results'!$B$8))),"")&lt;'Results'!C14),"Initial opposite and midpoint OFF states satisfied","Initial truth table not satisfied")))</x:f>
        <x:v>Initial opposite and midpoint OFF states satisfied</x:v>
      </x:c>
      <x:c r="C54" s="2"/>
      <x:c r="D54" s="2"/>
    </x:row>
    <x:row r="55" ht="22" customHeight="1">
      <x:c r="A55" s="2"/>
      <x:c r="B55" s="2"/>
      <x:c r="C55" s="2"/>
      <x:c r="D55" s="2"/>
    </x:row>
    <x:row r="56" ht="22" customHeight="1">
      <x:c r="A56" s="2"/>
      <x:c r="B56" s="2"/>
      <x:c r="C56" s="2"/>
      <x:c r="D56" s="2"/>
    </x:row>
    <x:row r="57" ht="22" customHeight="1">
      <x:c r="A57" s="2"/>
      <x:c r="B57" s="2"/>
      <x:c r="C57" s="2"/>
      <x:c r="D57" s="2"/>
    </x:row>
  </x:sheetData>
  <x:mergeCells>
    <x:mergeCell ref="B41:D41"/>
    <x:mergeCell ref="B42:D42"/>
    <x:mergeCell ref="B43:D43"/>
    <x:mergeCell ref="B44:D44"/>
    <x:mergeCell ref="B45:D45"/>
    <x:mergeCell ref="B47:D47"/>
    <x:mergeCell ref="B48:D48"/>
    <x:mergeCell ref="B50:D50"/>
    <x:mergeCell ref="B51:D51"/>
    <x:mergeCell ref="B53:D53"/>
    <x:mergeCell ref="B54:D54"/>
  </x:mergeCells>
  <x:conditionalFormatting sqref="B24:C24">
    <x:cfRule type="cellIs" dxfId="0" priority="1" operator="lessThan">
      <x:formula>0</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s>
  <x:sheetData>
    <x:row r="1" ht="22" customHeight="1">
      <x:c r="A1" s="3" t="str">
        <x:v>Signed field versus face gap</x:v>
      </x:c>
      <x:c r="B1" s="2"/>
      <x:c r="C1" s="2"/>
      <x:c r="D1" s="2"/>
      <x:c r="E1" s="2"/>
      <x:c r="F1" s="2"/>
      <x:c r="G1" s="2"/>
      <x:c r="H1" s="2"/>
      <x:c r="I1" s="2"/>
      <x:c r="J1" s="2"/>
      <x:c r="K1" s="2"/>
      <x:c r="L1" s="2"/>
    </x:row>
    <x:row r="2" ht="22" customHeight="1">
      <x:c r="A2" s="4" t="str">
        <x:v>Axial pair superposition at selected operating temperature and elapsed time. Positive field is the intended south-pole direction.</x:v>
      </x:c>
      <x:c r="B2" s="2"/>
      <x:c r="C2" s="2"/>
      <x:c r="D2" s="2"/>
      <x:c r="E2" s="2"/>
      <x:c r="F2" s="2"/>
      <x:c r="G2" s="2"/>
      <x:c r="H2" s="2"/>
      <x:c r="I2" s="2"/>
      <x:c r="J2" s="2"/>
      <x:c r="K2" s="2"/>
      <x:c r="L2" s="2"/>
    </x:row>
    <x:row r="3" ht="22" customHeight="1">
      <x:c r="A3" s="2"/>
      <x:c r="B3" s="2"/>
      <x:c r="C3" s="2"/>
      <x:c r="D3" s="2"/>
      <x:c r="E3" s="2"/>
      <x:c r="F3" s="2"/>
      <x:c r="G3" s="2"/>
      <x:c r="H3" s="2"/>
      <x:c r="I3" s="2"/>
      <x:c r="J3" s="2"/>
      <x:c r="K3" s="2"/>
      <x:c r="L3" s="2"/>
    </x:row>
    <x:row r="4" ht="30" customHeight="1">
      <x:c r="A4" s="7" t="str">
        <x:v>Gap (mm)</x:v>
      </x:c>
      <x:c r="B4" s="7" t="str">
        <x:v>Magnet 1 side (G)</x:v>
      </x:c>
      <x:c r="C4" s="7" t="str">
        <x:v>Magnet 2 side (G)</x:v>
      </x:c>
      <x:c r="D4" s="7" t="str">
        <x:v>Max Bop high (G)</x:v>
      </x:c>
      <x:c r="E4" s="7" t="str">
        <x:v>Min Bop high (G)</x:v>
      </x:c>
      <x:c r="F4" s="7" t="str">
        <x:v>Max Brp low (G)</x:v>
      </x:c>
      <x:c r="G4" s="7" t="str">
        <x:v>Min Brp low (G)</x:v>
      </x:c>
      <x:c r="H4" s="2"/>
      <x:c r="I4" s="2"/>
      <x:c r="J4" s="2"/>
      <x:c r="K4" s="2"/>
      <x:c r="L4" s="2"/>
    </x:row>
    <x:row r="5" ht="22" customHeight="1">
      <x:c r="A5" s="18" t="n">
        <x:f>(5-5)*'Inputs'!$B$33/200</x:f>
        <x:v>0</x:v>
      </x:c>
      <x:c r="B5" s="18" t="n">
        <x:f>IF('Results'!$B$6="Inputs accepted",IF(AND(ISNUMBER('Results'!B7),ISNUMBER('Results'!C7),ISNUMBER('Results'!$B$8),ISNUMBER('Results'!$B$9),ISNUMBER('Inputs'!$B$6),ISNUMBER('Inputs'!$B$7),ISNUMBER('Inputs'!$B$8),ISNUMBER('Inputs'!$B$9),ISNUMBER('Inputs'!$B$10),ISNUMBER('Inputs'!$B$21),ISNUMBER('Inputs'!$B$24),ISNUMBER('Inputs'!$B$28)),(('Results'!B7*(0.5*(((A5+'Inputs'!$B$21)+'Inputs'!$B$7)/SQRT(((A5+'Inputs'!$B$21)+'Inputs'!$B$7)^2+('Inputs'!$B$6/2)^2)-((A5+'Inputs'!$B$21))/SQRT(((A5+'Inputs'!$B$21))^2+('Inputs'!$B$6/2)^2)))-'Results'!C7*(0.5*(((A5+'Inputs'!$B$21+'Inputs'!$B$7+'Inputs'!$B$10)+'Inputs'!$B$9)/SQRT(((A5+'Inputs'!$B$21+'Inputs'!$B$7+'Inputs'!$B$10)+'Inputs'!$B$9)^2+('Inputs'!$B$8/2)^2)-((A5+'Inputs'!$B$21+'Inputs'!$B$7+'Inputs'!$B$10))/SQRT(((A5+'Inputs'!$B$21+'Inputs'!$B$7+'Inputs'!$B$10))^2+('Inputs'!$B$8/2)^2))))*'Results'!$B$8*'Results'!$B$9),""),"")</x:f>
        <x:v>2030.2716550419032</x:v>
      </x:c>
      <x:c r="C5" s="18" t="n">
        <x:f>IF('Results'!$B$6="Inputs accepted",IF(AND(ISNUMBER('Results'!C7),ISNUMBER('Results'!B7),ISNUMBER('Results'!$B$8),ISNUMBER('Results'!$B$9),ISNUMBER('Inputs'!$B$6),ISNUMBER('Inputs'!$B$7),ISNUMBER('Inputs'!$B$8),ISNUMBER('Inputs'!$B$9),ISNUMBER('Inputs'!$B$10),ISNUMBER('Inputs'!$B$21),ISNUMBER('Inputs'!$B$24),ISNUMBER('Inputs'!$B$28)),(('Results'!C7*(0.5*(((A5+'Inputs'!$B$21)+'Inputs'!$B$9)/SQRT(((A5+'Inputs'!$B$21)+'Inputs'!$B$9)^2+('Inputs'!$B$8/2)^2)-((A5+'Inputs'!$B$21))/SQRT(((A5+'Inputs'!$B$21))^2+('Inputs'!$B$8/2)^2)))-'Results'!B7*(0.5*(((A5+'Inputs'!$B$21+'Inputs'!$B$9+'Inputs'!$B$10)+'Inputs'!$B$7)/SQRT(((A5+'Inputs'!$B$21+'Inputs'!$B$9+'Inputs'!$B$10)+'Inputs'!$B$7)^2+('Inputs'!$B$6/2)^2)-((A5+'Inputs'!$B$21+'Inputs'!$B$9+'Inputs'!$B$10))/SQRT(((A5+'Inputs'!$B$21+'Inputs'!$B$9+'Inputs'!$B$10))^2+('Inputs'!$B$6/2)^2))))*'Results'!$B$8*'Results'!$B$9),""),"")</x:f>
        <x:v>1975.5343418794932</x:v>
      </x:c>
      <x:c r="D5" s="18" t="n">
        <x:f>IF('Results'!$B$6="Inputs accepted",'Results'!B12,"")</x:f>
        <x:v>112.38228018798189</x:v>
      </x:c>
      <x:c r="E5" s="18" t="n">
        <x:f>IF('Results'!$B$6="Inputs accepted",'Results'!C12,"")</x:f>
        <x:v>119.21786205905865</x:v>
      </x:c>
      <x:c r="F5" s="18" t="n">
        <x:f>IF('Results'!$B$6="Inputs accepted",'Results'!B14,"")</x:f>
        <x:v>66.9055158034782</x:v>
      </x:c>
      <x:c r="G5" s="18" t="n">
        <x:f>IF('Results'!$B$6="Inputs accepted",'Results'!C14,"")</x:f>
        <x:v>70.64020731289524</x:v>
      </x:c>
      <x:c r="H5" s="2"/>
      <x:c r="I5" s="2"/>
      <x:c r="J5" s="2"/>
      <x:c r="K5" s="2"/>
      <x:c r="L5" s="2"/>
    </x:row>
    <x:row r="6" ht="22" customHeight="1">
      <x:c r="A6" s="18" t="n">
        <x:f>(6-5)*'Inputs'!$B$33/200</x:f>
        <x:v>0.2</x:v>
      </x:c>
      <x:c r="B6" s="18" t="n">
        <x:f>IF('Results'!$B$6="Inputs accepted",IF(AND(ISNUMBER('Results'!B7),ISNUMBER('Results'!C7),ISNUMBER('Results'!$B$8),ISNUMBER('Results'!$B$9),ISNUMBER('Inputs'!$B$6),ISNUMBER('Inputs'!$B$7),ISNUMBER('Inputs'!$B$8),ISNUMBER('Inputs'!$B$9),ISNUMBER('Inputs'!$B$10),ISNUMBER('Inputs'!$B$21),ISNUMBER('Inputs'!$B$24),ISNUMBER('Inputs'!$B$28)),(('Results'!B7*(0.5*(((A6+'Inputs'!$B$21)+'Inputs'!$B$7)/SQRT(((A6+'Inputs'!$B$21)+'Inputs'!$B$7)^2+('Inputs'!$B$6/2)^2)-((A6+'Inputs'!$B$21))/SQRT(((A6+'Inputs'!$B$21))^2+('Inputs'!$B$6/2)^2)))-'Results'!C7*(0.5*(((A6+'Inputs'!$B$21+'Inputs'!$B$7+'Inputs'!$B$10)+'Inputs'!$B$9)/SQRT(((A6+'Inputs'!$B$21+'Inputs'!$B$7+'Inputs'!$B$10)+'Inputs'!$B$9)^2+('Inputs'!$B$8/2)^2)-((A6+'Inputs'!$B$21+'Inputs'!$B$7+'Inputs'!$B$10))/SQRT(((A6+'Inputs'!$B$21+'Inputs'!$B$7+'Inputs'!$B$10))^2+('Inputs'!$B$8/2)^2))))*'Results'!$B$8*'Results'!$B$9),""),"")</x:f>
        <x:v>1954.2496724524137</x:v>
      </x:c>
      <x:c r="C6" s="18" t="n">
        <x:f>IF('Results'!$B$6="Inputs accepted",IF(AND(ISNUMBER('Results'!C7),ISNUMBER('Results'!B7),ISNUMBER('Results'!$B$8),ISNUMBER('Results'!$B$9),ISNUMBER('Inputs'!$B$6),ISNUMBER('Inputs'!$B$7),ISNUMBER('Inputs'!$B$8),ISNUMBER('Inputs'!$B$9),ISNUMBER('Inputs'!$B$10),ISNUMBER('Inputs'!$B$21),ISNUMBER('Inputs'!$B$24),ISNUMBER('Inputs'!$B$28)),(('Results'!C7*(0.5*(((A6+'Inputs'!$B$21)+'Inputs'!$B$9)/SQRT(((A6+'Inputs'!$B$21)+'Inputs'!$B$9)^2+('Inputs'!$B$8/2)^2)-((A6+'Inputs'!$B$21))/SQRT(((A6+'Inputs'!$B$21))^2+('Inputs'!$B$8/2)^2)))-'Results'!B7*(0.5*(((A6+'Inputs'!$B$21+'Inputs'!$B$9+'Inputs'!$B$10)+'Inputs'!$B$7)/SQRT(((A6+'Inputs'!$B$21+'Inputs'!$B$9+'Inputs'!$B$10)+'Inputs'!$B$7)^2+('Inputs'!$B$6/2)^2)-((A6+'Inputs'!$B$21+'Inputs'!$B$9+'Inputs'!$B$10))/SQRT(((A6+'Inputs'!$B$21+'Inputs'!$B$9+'Inputs'!$B$10))^2+('Inputs'!$B$6/2)^2))))*'Results'!$B$8*'Results'!$B$9),""),"")</x:f>
        <x:v>1902.1530260169222</x:v>
      </x:c>
      <x:c r="D6" s="18" t="n">
        <x:f>IF('Results'!$B$6="Inputs accepted",'Results'!B12,"")</x:f>
        <x:v>112.38228018798189</x:v>
      </x:c>
      <x:c r="E6" s="18" t="n">
        <x:f>IF('Results'!$B$6="Inputs accepted",'Results'!C12,"")</x:f>
        <x:v>119.21786205905865</x:v>
      </x:c>
      <x:c r="F6" s="18" t="n">
        <x:f>IF('Results'!$B$6="Inputs accepted",'Results'!B14,"")</x:f>
        <x:v>66.9055158034782</x:v>
      </x:c>
      <x:c r="G6" s="18" t="n">
        <x:f>IF('Results'!$B$6="Inputs accepted",'Results'!C14,"")</x:f>
        <x:v>70.64020731289524</x:v>
      </x:c>
      <x:c r="H6" s="2"/>
      <x:c r="I6" s="2"/>
      <x:c r="J6" s="2"/>
      <x:c r="K6" s="2"/>
      <x:c r="L6" s="2"/>
    </x:row>
    <x:row r="7" ht="22" customHeight="1">
      <x:c r="A7" s="18" t="n">
        <x:f>(7-5)*'Inputs'!$B$33/200</x:f>
        <x:v>0.4</x:v>
      </x:c>
      <x:c r="B7" s="18" t="n">
        <x:f>IF('Results'!$B$6="Inputs accepted",IF(AND(ISNUMBER('Results'!B7),ISNUMBER('Results'!C7),ISNUMBER('Results'!$B$8),ISNUMBER('Results'!$B$9),ISNUMBER('Inputs'!$B$6),ISNUMBER('Inputs'!$B$7),ISNUMBER('Inputs'!$B$8),ISNUMBER('Inputs'!$B$9),ISNUMBER('Inputs'!$B$10),ISNUMBER('Inputs'!$B$21),ISNUMBER('Inputs'!$B$24),ISNUMBER('Inputs'!$B$28)),(('Results'!B7*(0.5*(((A7+'Inputs'!$B$21)+'Inputs'!$B$7)/SQRT(((A7+'Inputs'!$B$21)+'Inputs'!$B$7)^2+('Inputs'!$B$6/2)^2)-((A7+'Inputs'!$B$21))/SQRT(((A7+'Inputs'!$B$21))^2+('Inputs'!$B$6/2)^2)))-'Results'!C7*(0.5*(((A7+'Inputs'!$B$21+'Inputs'!$B$7+'Inputs'!$B$10)+'Inputs'!$B$9)/SQRT(((A7+'Inputs'!$B$21+'Inputs'!$B$7+'Inputs'!$B$10)+'Inputs'!$B$9)^2+('Inputs'!$B$8/2)^2)-((A7+'Inputs'!$B$21+'Inputs'!$B$7+'Inputs'!$B$10))/SQRT(((A7+'Inputs'!$B$21+'Inputs'!$B$7+'Inputs'!$B$10))^2+('Inputs'!$B$8/2)^2))))*'Results'!$B$8*'Results'!$B$9),""),"")</x:f>
        <x:v>1861.6344545436452</x:v>
      </x:c>
      <x:c r="C7" s="18" t="n">
        <x:f>IF('Results'!$B$6="Inputs accepted",IF(AND(ISNUMBER('Results'!C7),ISNUMBER('Results'!B7),ISNUMBER('Results'!$B$8),ISNUMBER('Results'!$B$9),ISNUMBER('Inputs'!$B$6),ISNUMBER('Inputs'!$B$7),ISNUMBER('Inputs'!$B$8),ISNUMBER('Inputs'!$B$9),ISNUMBER('Inputs'!$B$10),ISNUMBER('Inputs'!$B$21),ISNUMBER('Inputs'!$B$24),ISNUMBER('Inputs'!$B$28)),(('Results'!C7*(0.5*(((A7+'Inputs'!$B$21)+'Inputs'!$B$9)/SQRT(((A7+'Inputs'!$B$21)+'Inputs'!$B$9)^2+('Inputs'!$B$8/2)^2)-((A7+'Inputs'!$B$21))/SQRT(((A7+'Inputs'!$B$21))^2+('Inputs'!$B$8/2)^2)))-'Results'!B7*(0.5*(((A7+'Inputs'!$B$21+'Inputs'!$B$9+'Inputs'!$B$10)+'Inputs'!$B$7)/SQRT(((A7+'Inputs'!$B$21+'Inputs'!$B$9+'Inputs'!$B$10)+'Inputs'!$B$7)^2+('Inputs'!$B$6/2)^2)-((A7+'Inputs'!$B$21+'Inputs'!$B$9+'Inputs'!$B$10))/SQRT(((A7+'Inputs'!$B$21+'Inputs'!$B$9+'Inputs'!$B$10))^2+('Inputs'!$B$6/2)^2))))*'Results'!$B$8*'Results'!$B$9),""),"")</x:f>
        <x:v>1812.4038486276895</x:v>
      </x:c>
      <x:c r="D7" s="18" t="n">
        <x:f>IF('Results'!$B$6="Inputs accepted",'Results'!B12,"")</x:f>
        <x:v>112.38228018798189</x:v>
      </x:c>
      <x:c r="E7" s="18" t="n">
        <x:f>IF('Results'!$B$6="Inputs accepted",'Results'!C12,"")</x:f>
        <x:v>119.21786205905865</x:v>
      </x:c>
      <x:c r="F7" s="18" t="n">
        <x:f>IF('Results'!$B$6="Inputs accepted",'Results'!B14,"")</x:f>
        <x:v>66.9055158034782</x:v>
      </x:c>
      <x:c r="G7" s="18" t="n">
        <x:f>IF('Results'!$B$6="Inputs accepted",'Results'!C14,"")</x:f>
        <x:v>70.64020731289524</x:v>
      </x:c>
      <x:c r="H7" s="2"/>
      <x:c r="I7" s="2"/>
      <x:c r="J7" s="2"/>
      <x:c r="K7" s="2"/>
      <x:c r="L7" s="2"/>
    </x:row>
    <x:row r="8" ht="22" customHeight="1">
      <x:c r="A8" s="18" t="n">
        <x:f>(8-5)*'Inputs'!$B$33/200</x:f>
        <x:v>0.6</x:v>
      </x:c>
      <x:c r="B8" s="18" t="n">
        <x:f>IF('Results'!$B$6="Inputs accepted",IF(AND(ISNUMBER('Results'!B7),ISNUMBER('Results'!C7),ISNUMBER('Results'!$B$8),ISNUMBER('Results'!$B$9),ISNUMBER('Inputs'!$B$6),ISNUMBER('Inputs'!$B$7),ISNUMBER('Inputs'!$B$8),ISNUMBER('Inputs'!$B$9),ISNUMBER('Inputs'!$B$10),ISNUMBER('Inputs'!$B$21),ISNUMBER('Inputs'!$B$24),ISNUMBER('Inputs'!$B$28)),(('Results'!B7*(0.5*(((A8+'Inputs'!$B$21)+'Inputs'!$B$7)/SQRT(((A8+'Inputs'!$B$21)+'Inputs'!$B$7)^2+('Inputs'!$B$6/2)^2)-((A8+'Inputs'!$B$21))/SQRT(((A8+'Inputs'!$B$21))^2+('Inputs'!$B$6/2)^2)))-'Results'!C7*(0.5*(((A8+'Inputs'!$B$21+'Inputs'!$B$7+'Inputs'!$B$10)+'Inputs'!$B$9)/SQRT(((A8+'Inputs'!$B$21+'Inputs'!$B$7+'Inputs'!$B$10)+'Inputs'!$B$9)^2+('Inputs'!$B$8/2)^2)-((A8+'Inputs'!$B$21+'Inputs'!$B$7+'Inputs'!$B$10))/SQRT(((A8+'Inputs'!$B$21+'Inputs'!$B$7+'Inputs'!$B$10))^2+('Inputs'!$B$8/2)^2))))*'Results'!$B$8*'Results'!$B$9),""),"")</x:f>
        <x:v>1756.967341568136</x:v>
      </x:c>
      <x:c r="C8" s="18" t="n">
        <x:f>IF('Results'!$B$6="Inputs accepted",IF(AND(ISNUMBER('Results'!C7),ISNUMBER('Results'!B7),ISNUMBER('Results'!$B$8),ISNUMBER('Results'!$B$9),ISNUMBER('Inputs'!$B$6),ISNUMBER('Inputs'!$B$7),ISNUMBER('Inputs'!$B$8),ISNUMBER('Inputs'!$B$9),ISNUMBER('Inputs'!$B$10),ISNUMBER('Inputs'!$B$21),ISNUMBER('Inputs'!$B$24),ISNUMBER('Inputs'!$B$28)),(('Results'!C7*(0.5*(((A8+'Inputs'!$B$21)+'Inputs'!$B$9)/SQRT(((A8+'Inputs'!$B$21)+'Inputs'!$B$9)^2+('Inputs'!$B$8/2)^2)-((A8+'Inputs'!$B$21))/SQRT(((A8+'Inputs'!$B$21))^2+('Inputs'!$B$8/2)^2)))-'Results'!B7*(0.5*(((A8+'Inputs'!$B$21+'Inputs'!$B$9+'Inputs'!$B$10)+'Inputs'!$B$7)/SQRT(((A8+'Inputs'!$B$21+'Inputs'!$B$9+'Inputs'!$B$10)+'Inputs'!$B$7)^2+('Inputs'!$B$6/2)^2)-((A8+'Inputs'!$B$21+'Inputs'!$B$9+'Inputs'!$B$10))/SQRT(((A8+'Inputs'!$B$21+'Inputs'!$B$9+'Inputs'!$B$10))^2+('Inputs'!$B$6/2)^2))))*'Results'!$B$8*'Results'!$B$9),""),"")</x:f>
        <x:v>1710.7484905165772</x:v>
      </x:c>
      <x:c r="D8" s="18" t="n">
        <x:f>IF('Results'!$B$6="Inputs accepted",'Results'!B12,"")</x:f>
        <x:v>112.38228018798189</x:v>
      </x:c>
      <x:c r="E8" s="18" t="n">
        <x:f>IF('Results'!$B$6="Inputs accepted",'Results'!C12,"")</x:f>
        <x:v>119.21786205905865</x:v>
      </x:c>
      <x:c r="F8" s="18" t="n">
        <x:f>IF('Results'!$B$6="Inputs accepted",'Results'!B14,"")</x:f>
        <x:v>66.9055158034782</x:v>
      </x:c>
      <x:c r="G8" s="18" t="n">
        <x:f>IF('Results'!$B$6="Inputs accepted",'Results'!C14,"")</x:f>
        <x:v>70.64020731289524</x:v>
      </x:c>
      <x:c r="H8" s="2"/>
      <x:c r="I8" s="2"/>
      <x:c r="J8" s="2"/>
      <x:c r="K8" s="2"/>
      <x:c r="L8" s="2"/>
    </x:row>
    <x:row r="9" ht="22" customHeight="1">
      <x:c r="A9" s="18" t="n">
        <x:f>(9-5)*'Inputs'!$B$33/200</x:f>
        <x:v>0.8</x:v>
      </x:c>
      <x:c r="B9" s="18" t="n">
        <x:f>IF('Results'!$B$6="Inputs accepted",IF(AND(ISNUMBER('Results'!B7),ISNUMBER('Results'!C7),ISNUMBER('Results'!$B$8),ISNUMBER('Results'!$B$9),ISNUMBER('Inputs'!$B$6),ISNUMBER('Inputs'!$B$7),ISNUMBER('Inputs'!$B$8),ISNUMBER('Inputs'!$B$9),ISNUMBER('Inputs'!$B$10),ISNUMBER('Inputs'!$B$21),ISNUMBER('Inputs'!$B$24),ISNUMBER('Inputs'!$B$28)),(('Results'!B7*(0.5*(((A9+'Inputs'!$B$21)+'Inputs'!$B$7)/SQRT(((A9+'Inputs'!$B$21)+'Inputs'!$B$7)^2+('Inputs'!$B$6/2)^2)-((A9+'Inputs'!$B$21))/SQRT(((A9+'Inputs'!$B$21))^2+('Inputs'!$B$6/2)^2)))-'Results'!C7*(0.5*(((A9+'Inputs'!$B$21+'Inputs'!$B$7+'Inputs'!$B$10)+'Inputs'!$B$9)/SQRT(((A9+'Inputs'!$B$21+'Inputs'!$B$7+'Inputs'!$B$10)+'Inputs'!$B$9)^2+('Inputs'!$B$8/2)^2)-((A9+'Inputs'!$B$21+'Inputs'!$B$7+'Inputs'!$B$10))/SQRT(((A9+'Inputs'!$B$21+'Inputs'!$B$7+'Inputs'!$B$10))^2+('Inputs'!$B$8/2)^2))))*'Results'!$B$8*'Results'!$B$9),""),"")</x:f>
        <x:v>1644.5929128597757</x:v>
      </x:c>
      <x:c r="C9" s="18" t="n">
        <x:f>IF('Results'!$B$6="Inputs accepted",IF(AND(ISNUMBER('Results'!C7),ISNUMBER('Results'!B7),ISNUMBER('Results'!$B$8),ISNUMBER('Results'!$B$9),ISNUMBER('Inputs'!$B$6),ISNUMBER('Inputs'!$B$7),ISNUMBER('Inputs'!$B$8),ISNUMBER('Inputs'!$B$9),ISNUMBER('Inputs'!$B$10),ISNUMBER('Inputs'!$B$21),ISNUMBER('Inputs'!$B$24),ISNUMBER('Inputs'!$B$28)),(('Results'!C7*(0.5*(((A9+'Inputs'!$B$21)+'Inputs'!$B$9)/SQRT(((A9+'Inputs'!$B$21)+'Inputs'!$B$9)^2+('Inputs'!$B$8/2)^2)-((A9+'Inputs'!$B$21))/SQRT(((A9+'Inputs'!$B$21))^2+('Inputs'!$B$8/2)^2)))-'Results'!B7*(0.5*(((A9+'Inputs'!$B$21+'Inputs'!$B$9+'Inputs'!$B$10)+'Inputs'!$B$7)/SQRT(((A9+'Inputs'!$B$21+'Inputs'!$B$9+'Inputs'!$B$10)+'Inputs'!$B$7)^2+('Inputs'!$B$6/2)^2)-((A9+'Inputs'!$B$21+'Inputs'!$B$9+'Inputs'!$B$10))/SQRT(((A9+'Inputs'!$B$21+'Inputs'!$B$9+'Inputs'!$B$10))^2+('Inputs'!$B$6/2)^2))))*'Results'!$B$8*'Results'!$B$9),""),"")</x:f>
        <x:v>1601.454623105558</x:v>
      </x:c>
      <x:c r="D9" s="18" t="n">
        <x:f>IF('Results'!$B$6="Inputs accepted",'Results'!B12,"")</x:f>
        <x:v>112.38228018798189</x:v>
      </x:c>
      <x:c r="E9" s="18" t="n">
        <x:f>IF('Results'!$B$6="Inputs accepted",'Results'!C12,"")</x:f>
        <x:v>119.21786205905865</x:v>
      </x:c>
      <x:c r="F9" s="18" t="n">
        <x:f>IF('Results'!$B$6="Inputs accepted",'Results'!B14,"")</x:f>
        <x:v>66.9055158034782</x:v>
      </x:c>
      <x:c r="G9" s="18" t="n">
        <x:f>IF('Results'!$B$6="Inputs accepted",'Results'!C14,"")</x:f>
        <x:v>70.64020731289524</x:v>
      </x:c>
      <x:c r="H9" s="2"/>
      <x:c r="I9" s="2"/>
      <x:c r="J9" s="2"/>
      <x:c r="K9" s="2"/>
      <x:c r="L9" s="2"/>
    </x:row>
    <x:row r="10" ht="22" customHeight="1">
      <x:c r="A10" s="18" t="n">
        <x:f>(10-5)*'Inputs'!$B$33/200</x:f>
        <x:v>1</x:v>
      </x:c>
      <x:c r="B10" s="18" t="n">
        <x:f>IF('Results'!$B$6="Inputs accepted",IF(AND(ISNUMBER('Results'!B7),ISNUMBER('Results'!C7),ISNUMBER('Results'!$B$8),ISNUMBER('Results'!$B$9),ISNUMBER('Inputs'!$B$6),ISNUMBER('Inputs'!$B$7),ISNUMBER('Inputs'!$B$8),ISNUMBER('Inputs'!$B$9),ISNUMBER('Inputs'!$B$10),ISNUMBER('Inputs'!$B$21),ISNUMBER('Inputs'!$B$24),ISNUMBER('Inputs'!$B$28)),(('Results'!B7*(0.5*(((A10+'Inputs'!$B$21)+'Inputs'!$B$7)/SQRT(((A10+'Inputs'!$B$21)+'Inputs'!$B$7)^2+('Inputs'!$B$6/2)^2)-((A10+'Inputs'!$B$21))/SQRT(((A10+'Inputs'!$B$21))^2+('Inputs'!$B$6/2)^2)))-'Results'!C7*(0.5*(((A10+'Inputs'!$B$21+'Inputs'!$B$7+'Inputs'!$B$10)+'Inputs'!$B$9)/SQRT(((A10+'Inputs'!$B$21+'Inputs'!$B$7+'Inputs'!$B$10)+'Inputs'!$B$9)^2+('Inputs'!$B$8/2)^2)-((A10+'Inputs'!$B$21+'Inputs'!$B$7+'Inputs'!$B$10))/SQRT(((A10+'Inputs'!$B$21+'Inputs'!$B$7+'Inputs'!$B$10))^2+('Inputs'!$B$8/2)^2))))*'Results'!$B$8*'Results'!$B$9),""),"")</x:f>
        <x:v>1528.4292992735946</x:v>
      </x:c>
      <x:c r="C10" s="18" t="n">
        <x:f>IF('Results'!$B$6="Inputs accepted",IF(AND(ISNUMBER('Results'!C7),ISNUMBER('Results'!B7),ISNUMBER('Results'!$B$8),ISNUMBER('Results'!$B$9),ISNUMBER('Inputs'!$B$6),ISNUMBER('Inputs'!$B$7),ISNUMBER('Inputs'!$B$8),ISNUMBER('Inputs'!$B$9),ISNUMBER('Inputs'!$B$10),ISNUMBER('Inputs'!$B$21),ISNUMBER('Inputs'!$B$24),ISNUMBER('Inputs'!$B$28)),(('Results'!C7*(0.5*(((A10+'Inputs'!$B$21)+'Inputs'!$B$9)/SQRT(((A10+'Inputs'!$B$21)+'Inputs'!$B$9)^2+('Inputs'!$B$8/2)^2)-((A10+'Inputs'!$B$21))/SQRT(((A10+'Inputs'!$B$21))^2+('Inputs'!$B$8/2)^2)))-'Results'!B7*(0.5*(((A10+'Inputs'!$B$21+'Inputs'!$B$9+'Inputs'!$B$10)+'Inputs'!$B$7)/SQRT(((A10+'Inputs'!$B$21+'Inputs'!$B$9+'Inputs'!$B$10)+'Inputs'!$B$7)^2+('Inputs'!$B$6/2)^2)-((A10+'Inputs'!$B$21+'Inputs'!$B$9+'Inputs'!$B$10))/SQRT(((A10+'Inputs'!$B$21+'Inputs'!$B$9+'Inputs'!$B$10))^2+('Inputs'!$B$6/2)^2))))*'Results'!$B$8*'Results'!$B$9),""),"")</x:f>
        <x:v>1488.370921130979</x:v>
      </x:c>
      <x:c r="D10" s="18" t="n">
        <x:f>IF('Results'!$B$6="Inputs accepted",'Results'!B12,"")</x:f>
        <x:v>112.38228018798189</x:v>
      </x:c>
      <x:c r="E10" s="18" t="n">
        <x:f>IF('Results'!$B$6="Inputs accepted",'Results'!C12,"")</x:f>
        <x:v>119.21786205905865</x:v>
      </x:c>
      <x:c r="F10" s="18" t="n">
        <x:f>IF('Results'!$B$6="Inputs accepted",'Results'!B14,"")</x:f>
        <x:v>66.9055158034782</x:v>
      </x:c>
      <x:c r="G10" s="18" t="n">
        <x:f>IF('Results'!$B$6="Inputs accepted",'Results'!C14,"")</x:f>
        <x:v>70.64020731289524</x:v>
      </x:c>
      <x:c r="H10" s="2"/>
      <x:c r="I10" s="2"/>
      <x:c r="J10" s="2"/>
      <x:c r="K10" s="2"/>
      <x:c r="L10" s="2"/>
    </x:row>
    <x:row r="11" ht="22" customHeight="1">
      <x:c r="A11" s="18" t="n">
        <x:f>(11-5)*'Inputs'!$B$33/200</x:f>
        <x:v>1.2</x:v>
      </x:c>
      <x:c r="B11" s="18" t="n">
        <x:f>IF('Results'!$B$6="Inputs accepted",IF(AND(ISNUMBER('Results'!B7),ISNUMBER('Results'!C7),ISNUMBER('Results'!$B$8),ISNUMBER('Results'!$B$9),ISNUMBER('Inputs'!$B$6),ISNUMBER('Inputs'!$B$7),ISNUMBER('Inputs'!$B$8),ISNUMBER('Inputs'!$B$9),ISNUMBER('Inputs'!$B$10),ISNUMBER('Inputs'!$B$21),ISNUMBER('Inputs'!$B$24),ISNUMBER('Inputs'!$B$28)),(('Results'!B7*(0.5*(((A11+'Inputs'!$B$21)+'Inputs'!$B$7)/SQRT(((A11+'Inputs'!$B$21)+'Inputs'!$B$7)^2+('Inputs'!$B$6/2)^2)-((A11+'Inputs'!$B$21))/SQRT(((A11+'Inputs'!$B$21))^2+('Inputs'!$B$6/2)^2)))-'Results'!C7*(0.5*(((A11+'Inputs'!$B$21+'Inputs'!$B$7+'Inputs'!$B$10)+'Inputs'!$B$9)/SQRT(((A11+'Inputs'!$B$21+'Inputs'!$B$7+'Inputs'!$B$10)+'Inputs'!$B$9)^2+('Inputs'!$B$8/2)^2)-((A11+'Inputs'!$B$21+'Inputs'!$B$7+'Inputs'!$B$10))/SQRT(((A11+'Inputs'!$B$21+'Inputs'!$B$7+'Inputs'!$B$10))^2+('Inputs'!$B$8/2)^2))))*'Results'!$B$8*'Results'!$B$9),""),"")</x:f>
        <x:v>1411.8177701933018</x:v>
      </x:c>
      <x:c r="C11" s="18" t="n">
        <x:f>IF('Results'!$B$6="Inputs accepted",IF(AND(ISNUMBER('Results'!C7),ISNUMBER('Results'!B7),ISNUMBER('Results'!$B$8),ISNUMBER('Results'!$B$9),ISNUMBER('Inputs'!$B$6),ISNUMBER('Inputs'!$B$7),ISNUMBER('Inputs'!$B$8),ISNUMBER('Inputs'!$B$9),ISNUMBER('Inputs'!$B$10),ISNUMBER('Inputs'!$B$21),ISNUMBER('Inputs'!$B$24),ISNUMBER('Inputs'!$B$28)),(('Results'!C7*(0.5*(((A11+'Inputs'!$B$21)+'Inputs'!$B$9)/SQRT(((A11+'Inputs'!$B$21)+'Inputs'!$B$9)^2+('Inputs'!$B$8/2)^2)-((A11+'Inputs'!$B$21))/SQRT(((A11+'Inputs'!$B$21))^2+('Inputs'!$B$8/2)^2)))-'Results'!B7*(0.5*(((A11+'Inputs'!$B$21+'Inputs'!$B$9+'Inputs'!$B$10)+'Inputs'!$B$7)/SQRT(((A11+'Inputs'!$B$21+'Inputs'!$B$9+'Inputs'!$B$10)+'Inputs'!$B$7)^2+('Inputs'!$B$6/2)^2)-((A11+'Inputs'!$B$21+'Inputs'!$B$9+'Inputs'!$B$10))/SQRT(((A11+'Inputs'!$B$21+'Inputs'!$B$9+'Inputs'!$B$10))^2+('Inputs'!$B$6/2)^2))))*'Results'!$B$8*'Results'!$B$9),""),"")</x:f>
        <x:v>1374.7797626078766</x:v>
      </x:c>
      <x:c r="D11" s="18" t="n">
        <x:f>IF('Results'!$B$6="Inputs accepted",'Results'!B12,"")</x:f>
        <x:v>112.38228018798189</x:v>
      </x:c>
      <x:c r="E11" s="18" t="n">
        <x:f>IF('Results'!$B$6="Inputs accepted",'Results'!C12,"")</x:f>
        <x:v>119.21786205905865</x:v>
      </x:c>
      <x:c r="F11" s="18" t="n">
        <x:f>IF('Results'!$B$6="Inputs accepted",'Results'!B14,"")</x:f>
        <x:v>66.9055158034782</x:v>
      </x:c>
      <x:c r="G11" s="18" t="n">
        <x:f>IF('Results'!$B$6="Inputs accepted",'Results'!C14,"")</x:f>
        <x:v>70.64020731289524</x:v>
      </x:c>
      <x:c r="H11" s="2"/>
      <x:c r="I11" s="2"/>
      <x:c r="J11" s="2"/>
      <x:c r="K11" s="2"/>
      <x:c r="L11" s="2"/>
    </x:row>
    <x:row r="12" ht="22" customHeight="1">
      <x:c r="A12" s="18" t="n">
        <x:f>(12-5)*'Inputs'!$B$33/200</x:f>
        <x:v>1.4</x:v>
      </x:c>
      <x:c r="B12" s="18" t="n">
        <x:f>IF('Results'!$B$6="Inputs accepted",IF(AND(ISNUMBER('Results'!B7),ISNUMBER('Results'!C7),ISNUMBER('Results'!$B$8),ISNUMBER('Results'!$B$9),ISNUMBER('Inputs'!$B$6),ISNUMBER('Inputs'!$B$7),ISNUMBER('Inputs'!$B$8),ISNUMBER('Inputs'!$B$9),ISNUMBER('Inputs'!$B$10),ISNUMBER('Inputs'!$B$21),ISNUMBER('Inputs'!$B$24),ISNUMBER('Inputs'!$B$28)),(('Results'!B7*(0.5*(((A12+'Inputs'!$B$21)+'Inputs'!$B$7)/SQRT(((A12+'Inputs'!$B$21)+'Inputs'!$B$7)^2+('Inputs'!$B$6/2)^2)-((A12+'Inputs'!$B$21))/SQRT(((A12+'Inputs'!$B$21))^2+('Inputs'!$B$6/2)^2)))-'Results'!C7*(0.5*(((A12+'Inputs'!$B$21+'Inputs'!$B$7+'Inputs'!$B$10)+'Inputs'!$B$9)/SQRT(((A12+'Inputs'!$B$21+'Inputs'!$B$7+'Inputs'!$B$10)+'Inputs'!$B$9)^2+('Inputs'!$B$8/2)^2)-((A12+'Inputs'!$B$21+'Inputs'!$B$7+'Inputs'!$B$10))/SQRT(((A12+'Inputs'!$B$21+'Inputs'!$B$7+'Inputs'!$B$10))^2+('Inputs'!$B$8/2)^2))))*'Results'!$B$8*'Results'!$B$9),""),"")</x:f>
        <x:v>1297.451821442627</x:v>
      </x:c>
      <x:c r="C12" s="18" t="n">
        <x:f>IF('Results'!$B$6="Inputs accepted",IF(AND(ISNUMBER('Results'!C7),ISNUMBER('Results'!B7),ISNUMBER('Results'!$B$8),ISNUMBER('Results'!$B$9),ISNUMBER('Inputs'!$B$6),ISNUMBER('Inputs'!$B$7),ISNUMBER('Inputs'!$B$8),ISNUMBER('Inputs'!$B$9),ISNUMBER('Inputs'!$B$10),ISNUMBER('Inputs'!$B$21),ISNUMBER('Inputs'!$B$24),ISNUMBER('Inputs'!$B$28)),(('Results'!C7*(0.5*(((A12+'Inputs'!$B$21)+'Inputs'!$B$9)/SQRT(((A12+'Inputs'!$B$21)+'Inputs'!$B$9)^2+('Inputs'!$B$8/2)^2)-((A12+'Inputs'!$B$21))/SQRT(((A12+'Inputs'!$B$21))^2+('Inputs'!$B$8/2)^2)))-'Results'!B7*(0.5*(((A12+'Inputs'!$B$21+'Inputs'!$B$9+'Inputs'!$B$10)+'Inputs'!$B$7)/SQRT(((A12+'Inputs'!$B$21+'Inputs'!$B$9+'Inputs'!$B$10)+'Inputs'!$B$7)^2+('Inputs'!$B$6/2)^2)-((A12+'Inputs'!$B$21+'Inputs'!$B$9+'Inputs'!$B$10))/SQRT(((A12+'Inputs'!$B$21+'Inputs'!$B$9+'Inputs'!$B$10))^2+('Inputs'!$B$6/2)^2))))*'Results'!$B$8*'Results'!$B$9),""),"")</x:f>
        <x:v>1263.327834753233</x:v>
      </x:c>
      <x:c r="D12" s="18" t="n">
        <x:f>IF('Results'!$B$6="Inputs accepted",'Results'!B12,"")</x:f>
        <x:v>112.38228018798189</x:v>
      </x:c>
      <x:c r="E12" s="18" t="n">
        <x:f>IF('Results'!$B$6="Inputs accepted",'Results'!C12,"")</x:f>
        <x:v>119.21786205905865</x:v>
      </x:c>
      <x:c r="F12" s="18" t="n">
        <x:f>IF('Results'!$B$6="Inputs accepted",'Results'!B14,"")</x:f>
        <x:v>66.9055158034782</x:v>
      </x:c>
      <x:c r="G12" s="18" t="n">
        <x:f>IF('Results'!$B$6="Inputs accepted",'Results'!C14,"")</x:f>
        <x:v>70.64020731289524</x:v>
      </x:c>
      <x:c r="H12" s="2"/>
      <x:c r="I12" s="2"/>
      <x:c r="J12" s="2"/>
      <x:c r="K12" s="2"/>
      <x:c r="L12" s="2"/>
    </x:row>
    <x:row r="13" ht="22" customHeight="1">
      <x:c r="A13" s="18" t="n">
        <x:f>(13-5)*'Inputs'!$B$33/200</x:f>
        <x:v>1.6</x:v>
      </x:c>
      <x:c r="B13" s="18" t="n">
        <x:f>IF('Results'!$B$6="Inputs accepted",IF(AND(ISNUMBER('Results'!B7),ISNUMBER('Results'!C7),ISNUMBER('Results'!$B$8),ISNUMBER('Results'!$B$9),ISNUMBER('Inputs'!$B$6),ISNUMBER('Inputs'!$B$7),ISNUMBER('Inputs'!$B$8),ISNUMBER('Inputs'!$B$9),ISNUMBER('Inputs'!$B$10),ISNUMBER('Inputs'!$B$21),ISNUMBER('Inputs'!$B$24),ISNUMBER('Inputs'!$B$28)),(('Results'!B7*(0.5*(((A13+'Inputs'!$B$21)+'Inputs'!$B$7)/SQRT(((A13+'Inputs'!$B$21)+'Inputs'!$B$7)^2+('Inputs'!$B$6/2)^2)-((A13+'Inputs'!$B$21))/SQRT(((A13+'Inputs'!$B$21))^2+('Inputs'!$B$6/2)^2)))-'Results'!C7*(0.5*(((A13+'Inputs'!$B$21+'Inputs'!$B$7+'Inputs'!$B$10)+'Inputs'!$B$9)/SQRT(((A13+'Inputs'!$B$21+'Inputs'!$B$7+'Inputs'!$B$10)+'Inputs'!$B$9)^2+('Inputs'!$B$8/2)^2)-((A13+'Inputs'!$B$21+'Inputs'!$B$7+'Inputs'!$B$10))/SQRT(((A13+'Inputs'!$B$21+'Inputs'!$B$7+'Inputs'!$B$10))^2+('Inputs'!$B$8/2)^2))))*'Results'!$B$8*'Results'!$B$9),""),"")</x:f>
        <x:v>1187.3745045946146</x:v>
      </x:c>
      <x:c r="C13" s="18" t="n">
        <x:f>IF('Results'!$B$6="Inputs accepted",IF(AND(ISNUMBER('Results'!C7),ISNUMBER('Results'!B7),ISNUMBER('Results'!$B$8),ISNUMBER('Results'!$B$9),ISNUMBER('Inputs'!$B$6),ISNUMBER('Inputs'!$B$7),ISNUMBER('Inputs'!$B$8),ISNUMBER('Inputs'!$B$9),ISNUMBER('Inputs'!$B$10),ISNUMBER('Inputs'!$B$21),ISNUMBER('Inputs'!$B$24),ISNUMBER('Inputs'!$B$28)),(('Results'!C7*(0.5*(((A13+'Inputs'!$B$21)+'Inputs'!$B$9)/SQRT(((A13+'Inputs'!$B$21)+'Inputs'!$B$9)^2+('Inputs'!$B$8/2)^2)-((A13+'Inputs'!$B$21))/SQRT(((A13+'Inputs'!$B$21))^2+('Inputs'!$B$8/2)^2)))-'Results'!B7*(0.5*(((A13+'Inputs'!$B$21+'Inputs'!$B$9+'Inputs'!$B$10)+'Inputs'!$B$7)/SQRT(((A13+'Inputs'!$B$21+'Inputs'!$B$9+'Inputs'!$B$10)+'Inputs'!$B$7)^2+('Inputs'!$B$6/2)^2)-((A13+'Inputs'!$B$21+'Inputs'!$B$9+'Inputs'!$B$10))/SQRT(((A13+'Inputs'!$B$21+'Inputs'!$B$9+'Inputs'!$B$10))^2+('Inputs'!$B$6/2)^2))))*'Results'!$B$8*'Results'!$B$9),""),"")</x:f>
        <x:v>1156.0236097639436</x:v>
      </x:c>
      <x:c r="D13" s="18" t="n">
        <x:f>IF('Results'!$B$6="Inputs accepted",'Results'!B12,"")</x:f>
        <x:v>112.38228018798189</x:v>
      </x:c>
      <x:c r="E13" s="18" t="n">
        <x:f>IF('Results'!$B$6="Inputs accepted",'Results'!C12,"")</x:f>
        <x:v>119.21786205905865</x:v>
      </x:c>
      <x:c r="F13" s="18" t="n">
        <x:f>IF('Results'!$B$6="Inputs accepted",'Results'!B14,"")</x:f>
        <x:v>66.9055158034782</x:v>
      </x:c>
      <x:c r="G13" s="18" t="n">
        <x:f>IF('Results'!$B$6="Inputs accepted",'Results'!C14,"")</x:f>
        <x:v>70.64020731289524</x:v>
      </x:c>
      <x:c r="H13" s="2"/>
      <x:c r="I13" s="2"/>
      <x:c r="J13" s="2"/>
      <x:c r="K13" s="2"/>
      <x:c r="L13" s="2"/>
    </x:row>
    <x:row r="14" ht="22" customHeight="1">
      <x:c r="A14" s="18" t="n">
        <x:f>(14-5)*'Inputs'!$B$33/200</x:f>
        <x:v>1.8</x:v>
      </x:c>
      <x:c r="B14" s="18" t="n">
        <x:f>IF('Results'!$B$6="Inputs accepted",IF(AND(ISNUMBER('Results'!B7),ISNUMBER('Results'!C7),ISNUMBER('Results'!$B$8),ISNUMBER('Results'!$B$9),ISNUMBER('Inputs'!$B$6),ISNUMBER('Inputs'!$B$7),ISNUMBER('Inputs'!$B$8),ISNUMBER('Inputs'!$B$9),ISNUMBER('Inputs'!$B$10),ISNUMBER('Inputs'!$B$21),ISNUMBER('Inputs'!$B$24),ISNUMBER('Inputs'!$B$28)),(('Results'!B7*(0.5*(((A14+'Inputs'!$B$21)+'Inputs'!$B$7)/SQRT(((A14+'Inputs'!$B$21)+'Inputs'!$B$7)^2+('Inputs'!$B$6/2)^2)-((A14+'Inputs'!$B$21))/SQRT(((A14+'Inputs'!$B$21))^2+('Inputs'!$B$6/2)^2)))-'Results'!C7*(0.5*(((A14+'Inputs'!$B$21+'Inputs'!$B$7+'Inputs'!$B$10)+'Inputs'!$B$9)/SQRT(((A14+'Inputs'!$B$21+'Inputs'!$B$7+'Inputs'!$B$10)+'Inputs'!$B$9)^2+('Inputs'!$B$8/2)^2)-((A14+'Inputs'!$B$21+'Inputs'!$B$7+'Inputs'!$B$10))/SQRT(((A14+'Inputs'!$B$21+'Inputs'!$B$7+'Inputs'!$B$10))^2+('Inputs'!$B$8/2)^2))))*'Results'!$B$8*'Results'!$B$9),""),"")</x:f>
        <x:v>1083.0262832389756</x:v>
      </x:c>
      <x:c r="C14" s="18" t="n">
        <x:f>IF('Results'!$B$6="Inputs accepted",IF(AND(ISNUMBER('Results'!C7),ISNUMBER('Results'!B7),ISNUMBER('Results'!$B$8),ISNUMBER('Results'!$B$9),ISNUMBER('Inputs'!$B$6),ISNUMBER('Inputs'!$B$7),ISNUMBER('Inputs'!$B$8),ISNUMBER('Inputs'!$B$9),ISNUMBER('Inputs'!$B$10),ISNUMBER('Inputs'!$B$21),ISNUMBER('Inputs'!$B$24),ISNUMBER('Inputs'!$B$28)),(('Results'!C7*(0.5*(((A14+'Inputs'!$B$21)+'Inputs'!$B$9)/SQRT(((A14+'Inputs'!$B$21)+'Inputs'!$B$9)^2+('Inputs'!$B$8/2)^2)-((A14+'Inputs'!$B$21))/SQRT(((A14+'Inputs'!$B$21))^2+('Inputs'!$B$8/2)^2)))-'Results'!B7*(0.5*(((A14+'Inputs'!$B$21+'Inputs'!$B$9+'Inputs'!$B$10)+'Inputs'!$B$7)/SQRT(((A14+'Inputs'!$B$21+'Inputs'!$B$9+'Inputs'!$B$10)+'Inputs'!$B$7)^2+('Inputs'!$B$6/2)^2)-((A14+'Inputs'!$B$21+'Inputs'!$B$9+'Inputs'!$B$10))/SQRT(((A14+'Inputs'!$B$21+'Inputs'!$B$9+'Inputs'!$B$10))^2+('Inputs'!$B$6/2)^2))))*'Results'!$B$8*'Results'!$B$9),""),"")</x:f>
        <x:v>1054.2843294223444</x:v>
      </x:c>
      <x:c r="D14" s="18" t="n">
        <x:f>IF('Results'!$B$6="Inputs accepted",'Results'!B12,"")</x:f>
        <x:v>112.38228018798189</x:v>
      </x:c>
      <x:c r="E14" s="18" t="n">
        <x:f>IF('Results'!$B$6="Inputs accepted",'Results'!C12,"")</x:f>
        <x:v>119.21786205905865</x:v>
      </x:c>
      <x:c r="F14" s="18" t="n">
        <x:f>IF('Results'!$B$6="Inputs accepted",'Results'!B14,"")</x:f>
        <x:v>66.9055158034782</x:v>
      </x:c>
      <x:c r="G14" s="18" t="n">
        <x:f>IF('Results'!$B$6="Inputs accepted",'Results'!C14,"")</x:f>
        <x:v>70.64020731289524</x:v>
      </x:c>
      <x:c r="H14" s="2"/>
      <x:c r="I14" s="2"/>
      <x:c r="J14" s="2"/>
      <x:c r="K14" s="2"/>
      <x:c r="L14" s="2"/>
    </x:row>
    <x:row r="15" ht="22" customHeight="1">
      <x:c r="A15" s="18" t="n">
        <x:f>(15-5)*'Inputs'!$B$33/200</x:f>
        <x:v>2</x:v>
      </x:c>
      <x:c r="B15" s="18" t="n">
        <x:f>IF('Results'!$B$6="Inputs accepted",IF(AND(ISNUMBER('Results'!B7),ISNUMBER('Results'!C7),ISNUMBER('Results'!$B$8),ISNUMBER('Results'!$B$9),ISNUMBER('Inputs'!$B$6),ISNUMBER('Inputs'!$B$7),ISNUMBER('Inputs'!$B$8),ISNUMBER('Inputs'!$B$9),ISNUMBER('Inputs'!$B$10),ISNUMBER('Inputs'!$B$21),ISNUMBER('Inputs'!$B$24),ISNUMBER('Inputs'!$B$28)),(('Results'!B7*(0.5*(((A15+'Inputs'!$B$21)+'Inputs'!$B$7)/SQRT(((A15+'Inputs'!$B$21)+'Inputs'!$B$7)^2+('Inputs'!$B$6/2)^2)-((A15+'Inputs'!$B$21))/SQRT(((A15+'Inputs'!$B$21))^2+('Inputs'!$B$6/2)^2)))-'Results'!C7*(0.5*(((A15+'Inputs'!$B$21+'Inputs'!$B$7+'Inputs'!$B$10)+'Inputs'!$B$9)/SQRT(((A15+'Inputs'!$B$21+'Inputs'!$B$7+'Inputs'!$B$10)+'Inputs'!$B$9)^2+('Inputs'!$B$8/2)^2)-((A15+'Inputs'!$B$21+'Inputs'!$B$7+'Inputs'!$B$10))/SQRT(((A15+'Inputs'!$B$21+'Inputs'!$B$7+'Inputs'!$B$10))^2+('Inputs'!$B$8/2)^2))))*'Results'!$B$8*'Results'!$B$9),""),"")</x:f>
        <x:v>985.3241778835321</x:v>
      </x:c>
      <x:c r="C15" s="18" t="n">
        <x:f>IF('Results'!$B$6="Inputs accepted",IF(AND(ISNUMBER('Results'!C7),ISNUMBER('Results'!B7),ISNUMBER('Results'!$B$8),ISNUMBER('Results'!$B$9),ISNUMBER('Inputs'!$B$6),ISNUMBER('Inputs'!$B$7),ISNUMBER('Inputs'!$B$8),ISNUMBER('Inputs'!$B$9),ISNUMBER('Inputs'!$B$10),ISNUMBER('Inputs'!$B$21),ISNUMBER('Inputs'!$B$24),ISNUMBER('Inputs'!$B$28)),(('Results'!C7*(0.5*(((A15+'Inputs'!$B$21)+'Inputs'!$B$9)/SQRT(((A15+'Inputs'!$B$21)+'Inputs'!$B$9)^2+('Inputs'!$B$8/2)^2)-((A15+'Inputs'!$B$21))/SQRT(((A15+'Inputs'!$B$21))^2+('Inputs'!$B$8/2)^2)))-'Results'!B7*(0.5*(((A15+'Inputs'!$B$21+'Inputs'!$B$9+'Inputs'!$B$10)+'Inputs'!$B$7)/SQRT(((A15+'Inputs'!$B$21+'Inputs'!$B$9+'Inputs'!$B$10)+'Inputs'!$B$7)^2+('Inputs'!$B$6/2)^2)-((A15+'Inputs'!$B$21+'Inputs'!$B$9+'Inputs'!$B$10))/SQRT(((A15+'Inputs'!$B$21+'Inputs'!$B$9+'Inputs'!$B$10))^2+('Inputs'!$B$6/2)^2))))*'Results'!$B$8*'Results'!$B$9),""),"")</x:f>
        <x:v>959.0136447057895</x:v>
      </x:c>
      <x:c r="D15" s="18" t="n">
        <x:f>IF('Results'!$B$6="Inputs accepted",'Results'!B12,"")</x:f>
        <x:v>112.38228018798189</x:v>
      </x:c>
      <x:c r="E15" s="18" t="n">
        <x:f>IF('Results'!$B$6="Inputs accepted",'Results'!C12,"")</x:f>
        <x:v>119.21786205905865</x:v>
      </x:c>
      <x:c r="F15" s="18" t="n">
        <x:f>IF('Results'!$B$6="Inputs accepted",'Results'!B14,"")</x:f>
        <x:v>66.9055158034782</x:v>
      </x:c>
      <x:c r="G15" s="18" t="n">
        <x:f>IF('Results'!$B$6="Inputs accepted",'Results'!C14,"")</x:f>
        <x:v>70.64020731289524</x:v>
      </x:c>
      <x:c r="H15" s="2"/>
      <x:c r="I15" s="2"/>
      <x:c r="J15" s="2"/>
      <x:c r="K15" s="2"/>
      <x:c r="L15" s="2"/>
    </x:row>
    <x:row r="16" ht="22" customHeight="1">
      <x:c r="A16" s="18" t="n">
        <x:f>(16-5)*'Inputs'!$B$33/200</x:f>
        <x:v>2.2</x:v>
      </x:c>
      <x:c r="B16" s="18" t="n">
        <x:f>IF('Results'!$B$6="Inputs accepted",IF(AND(ISNUMBER('Results'!B7),ISNUMBER('Results'!C7),ISNUMBER('Results'!$B$8),ISNUMBER('Results'!$B$9),ISNUMBER('Inputs'!$B$6),ISNUMBER('Inputs'!$B$7),ISNUMBER('Inputs'!$B$8),ISNUMBER('Inputs'!$B$9),ISNUMBER('Inputs'!$B$10),ISNUMBER('Inputs'!$B$21),ISNUMBER('Inputs'!$B$24),ISNUMBER('Inputs'!$B$28)),(('Results'!B7*(0.5*(((A16+'Inputs'!$B$21)+'Inputs'!$B$7)/SQRT(((A16+'Inputs'!$B$21)+'Inputs'!$B$7)^2+('Inputs'!$B$6/2)^2)-((A16+'Inputs'!$B$21))/SQRT(((A16+'Inputs'!$B$21))^2+('Inputs'!$B$6/2)^2)))-'Results'!C7*(0.5*(((A16+'Inputs'!$B$21+'Inputs'!$B$7+'Inputs'!$B$10)+'Inputs'!$B$9)/SQRT(((A16+'Inputs'!$B$21+'Inputs'!$B$7+'Inputs'!$B$10)+'Inputs'!$B$9)^2+('Inputs'!$B$8/2)^2)-((A16+'Inputs'!$B$21+'Inputs'!$B$7+'Inputs'!$B$10))/SQRT(((A16+'Inputs'!$B$21+'Inputs'!$B$7+'Inputs'!$B$10))^2+('Inputs'!$B$8/2)^2))))*'Results'!$B$8*'Results'!$B$9),""),"")</x:f>
        <x:v>894.7550697501779</x:v>
      </x:c>
      <x:c r="C16" s="18" t="n">
        <x:f>IF('Results'!$B$6="Inputs accepted",IF(AND(ISNUMBER('Results'!C7),ISNUMBER('Results'!B7),ISNUMBER('Results'!$B$8),ISNUMBER('Results'!$B$9),ISNUMBER('Inputs'!$B$6),ISNUMBER('Inputs'!$B$7),ISNUMBER('Inputs'!$B$8),ISNUMBER('Inputs'!$B$9),ISNUMBER('Inputs'!$B$10),ISNUMBER('Inputs'!$B$21),ISNUMBER('Inputs'!$B$24),ISNUMBER('Inputs'!$B$28)),(('Results'!C7*(0.5*(((A16+'Inputs'!$B$21)+'Inputs'!$B$9)/SQRT(((A16+'Inputs'!$B$21)+'Inputs'!$B$9)^2+('Inputs'!$B$8/2)^2)-((A16+'Inputs'!$B$21))/SQRT(((A16+'Inputs'!$B$21))^2+('Inputs'!$B$8/2)^2)))-'Results'!B7*(0.5*(((A16+'Inputs'!$B$21+'Inputs'!$B$9+'Inputs'!$B$10)+'Inputs'!$B$7)/SQRT(((A16+'Inputs'!$B$21+'Inputs'!$B$9+'Inputs'!$B$10)+'Inputs'!$B$7)^2+('Inputs'!$B$6/2)^2)-((A16+'Inputs'!$B$21+'Inputs'!$B$9+'Inputs'!$B$10))/SQRT(((A16+'Inputs'!$B$21+'Inputs'!$B$9+'Inputs'!$B$10))^2+('Inputs'!$B$6/2)^2))))*'Results'!$B$8*'Results'!$B$9),""),"")</x:f>
        <x:v>870.6931233833933</x:v>
      </x:c>
      <x:c r="D16" s="18" t="n">
        <x:f>IF('Results'!$B$6="Inputs accepted",'Results'!B12,"")</x:f>
        <x:v>112.38228018798189</x:v>
      </x:c>
      <x:c r="E16" s="18" t="n">
        <x:f>IF('Results'!$B$6="Inputs accepted",'Results'!C12,"")</x:f>
        <x:v>119.21786205905865</x:v>
      </x:c>
      <x:c r="F16" s="18" t="n">
        <x:f>IF('Results'!$B$6="Inputs accepted",'Results'!B14,"")</x:f>
        <x:v>66.9055158034782</x:v>
      </x:c>
      <x:c r="G16" s="18" t="n">
        <x:f>IF('Results'!$B$6="Inputs accepted",'Results'!C14,"")</x:f>
        <x:v>70.64020731289524</x:v>
      </x:c>
      <x:c r="H16" s="2"/>
      <x:c r="I16" s="2"/>
      <x:c r="J16" s="2"/>
      <x:c r="K16" s="2"/>
      <x:c r="L16" s="2"/>
    </x:row>
    <x:row r="17" ht="22" customHeight="1">
      <x:c r="A17" s="18" t="n">
        <x:f>(17-5)*'Inputs'!$B$33/200</x:f>
        <x:v>2.4</x:v>
      </x:c>
      <x:c r="B17" s="18" t="n">
        <x:f>IF('Results'!$B$6="Inputs accepted",IF(AND(ISNUMBER('Results'!B7),ISNUMBER('Results'!C7),ISNUMBER('Results'!$B$8),ISNUMBER('Results'!$B$9),ISNUMBER('Inputs'!$B$6),ISNUMBER('Inputs'!$B$7),ISNUMBER('Inputs'!$B$8),ISNUMBER('Inputs'!$B$9),ISNUMBER('Inputs'!$B$10),ISNUMBER('Inputs'!$B$21),ISNUMBER('Inputs'!$B$24),ISNUMBER('Inputs'!$B$28)),(('Results'!B7*(0.5*(((A17+'Inputs'!$B$21)+'Inputs'!$B$7)/SQRT(((A17+'Inputs'!$B$21)+'Inputs'!$B$7)^2+('Inputs'!$B$6/2)^2)-((A17+'Inputs'!$B$21))/SQRT(((A17+'Inputs'!$B$21))^2+('Inputs'!$B$6/2)^2)))-'Results'!C7*(0.5*(((A17+'Inputs'!$B$21+'Inputs'!$B$7+'Inputs'!$B$10)+'Inputs'!$B$9)/SQRT(((A17+'Inputs'!$B$21+'Inputs'!$B$7+'Inputs'!$B$10)+'Inputs'!$B$9)^2+('Inputs'!$B$8/2)^2)-((A17+'Inputs'!$B$21+'Inputs'!$B$7+'Inputs'!$B$10))/SQRT(((A17+'Inputs'!$B$21+'Inputs'!$B$7+'Inputs'!$B$10))^2+('Inputs'!$B$8/2)^2))))*'Results'!$B$8*'Results'!$B$9),""),"")</x:f>
        <x:v>811.4700725161615</x:v>
      </x:c>
      <x:c r="C17" s="18" t="n">
        <x:f>IF('Results'!$B$6="Inputs accepted",IF(AND(ISNUMBER('Results'!C7),ISNUMBER('Results'!B7),ISNUMBER('Results'!$B$8),ISNUMBER('Results'!$B$9),ISNUMBER('Inputs'!$B$6),ISNUMBER('Inputs'!$B$7),ISNUMBER('Inputs'!$B$8),ISNUMBER('Inputs'!$B$9),ISNUMBER('Inputs'!$B$10),ISNUMBER('Inputs'!$B$21),ISNUMBER('Inputs'!$B$24),ISNUMBER('Inputs'!$B$28)),(('Results'!C7*(0.5*(((A17+'Inputs'!$B$21)+'Inputs'!$B$9)/SQRT(((A17+'Inputs'!$B$21)+'Inputs'!$B$9)^2+('Inputs'!$B$8/2)^2)-((A17+'Inputs'!$B$21))/SQRT(((A17+'Inputs'!$B$21))^2+('Inputs'!$B$8/2)^2)))-'Results'!B7*(0.5*(((A17+'Inputs'!$B$21+'Inputs'!$B$9+'Inputs'!$B$10)+'Inputs'!$B$7)/SQRT(((A17+'Inputs'!$B$21+'Inputs'!$B$9+'Inputs'!$B$10)+'Inputs'!$B$7)^2+('Inputs'!$B$6/2)^2)-((A17+'Inputs'!$B$21+'Inputs'!$B$9+'Inputs'!$B$10))/SQRT(((A17+'Inputs'!$B$21+'Inputs'!$B$9+'Inputs'!$B$10))^2+('Inputs'!$B$6/2)^2))))*'Results'!$B$8*'Results'!$B$9),""),"")</x:f>
        <x:v>789.474796839676</x:v>
      </x:c>
      <x:c r="D17" s="18" t="n">
        <x:f>IF('Results'!$B$6="Inputs accepted",'Results'!B12,"")</x:f>
        <x:v>112.38228018798189</x:v>
      </x:c>
      <x:c r="E17" s="18" t="n">
        <x:f>IF('Results'!$B$6="Inputs accepted",'Results'!C12,"")</x:f>
        <x:v>119.21786205905865</x:v>
      </x:c>
      <x:c r="F17" s="18" t="n">
        <x:f>IF('Results'!$B$6="Inputs accepted",'Results'!B14,"")</x:f>
        <x:v>66.9055158034782</x:v>
      </x:c>
      <x:c r="G17" s="18" t="n">
        <x:f>IF('Results'!$B$6="Inputs accepted",'Results'!C14,"")</x:f>
        <x:v>70.64020731289524</x:v>
      </x:c>
      <x:c r="H17" s="2"/>
      <x:c r="I17" s="2"/>
      <x:c r="J17" s="2"/>
      <x:c r="K17" s="2"/>
      <x:c r="L17" s="2"/>
    </x:row>
    <x:row r="18" ht="22" customHeight="1">
      <x:c r="A18" s="18" t="n">
        <x:f>(18-5)*'Inputs'!$B$33/200</x:f>
        <x:v>2.6</x:v>
      </x:c>
      <x:c r="B18" s="18" t="n">
        <x:f>IF('Results'!$B$6="Inputs accepted",IF(AND(ISNUMBER('Results'!B7),ISNUMBER('Results'!C7),ISNUMBER('Results'!$B$8),ISNUMBER('Results'!$B$9),ISNUMBER('Inputs'!$B$6),ISNUMBER('Inputs'!$B$7),ISNUMBER('Inputs'!$B$8),ISNUMBER('Inputs'!$B$9),ISNUMBER('Inputs'!$B$10),ISNUMBER('Inputs'!$B$21),ISNUMBER('Inputs'!$B$24),ISNUMBER('Inputs'!$B$28)),(('Results'!B7*(0.5*(((A18+'Inputs'!$B$21)+'Inputs'!$B$7)/SQRT(((A18+'Inputs'!$B$21)+'Inputs'!$B$7)^2+('Inputs'!$B$6/2)^2)-((A18+'Inputs'!$B$21))/SQRT(((A18+'Inputs'!$B$21))^2+('Inputs'!$B$6/2)^2)))-'Results'!C7*(0.5*(((A18+'Inputs'!$B$21+'Inputs'!$B$7+'Inputs'!$B$10)+'Inputs'!$B$9)/SQRT(((A18+'Inputs'!$B$21+'Inputs'!$B$7+'Inputs'!$B$10)+'Inputs'!$B$9)^2+('Inputs'!$B$8/2)^2)-((A18+'Inputs'!$B$21+'Inputs'!$B$7+'Inputs'!$B$10))/SQRT(((A18+'Inputs'!$B$21+'Inputs'!$B$7+'Inputs'!$B$10))^2+('Inputs'!$B$8/2)^2))))*'Results'!$B$8*'Results'!$B$9),""),"")</x:f>
        <x:v>735.3713680859931</x:v>
      </x:c>
      <x:c r="C18" s="18" t="n">
        <x:f>IF('Results'!$B$6="Inputs accepted",IF(AND(ISNUMBER('Results'!C7),ISNUMBER('Results'!B7),ISNUMBER('Results'!$B$8),ISNUMBER('Results'!$B$9),ISNUMBER('Inputs'!$B$6),ISNUMBER('Inputs'!$B$7),ISNUMBER('Inputs'!$B$8),ISNUMBER('Inputs'!$B$9),ISNUMBER('Inputs'!$B$10),ISNUMBER('Inputs'!$B$21),ISNUMBER('Inputs'!$B$24),ISNUMBER('Inputs'!$B$28)),(('Results'!C7*(0.5*(((A18+'Inputs'!$B$21)+'Inputs'!$B$9)/SQRT(((A18+'Inputs'!$B$21)+'Inputs'!$B$9)^2+('Inputs'!$B$8/2)^2)-((A18+'Inputs'!$B$21))/SQRT(((A18+'Inputs'!$B$21))^2+('Inputs'!$B$8/2)^2)))-'Results'!B7*(0.5*(((A18+'Inputs'!$B$21+'Inputs'!$B$9+'Inputs'!$B$10)+'Inputs'!$B$7)/SQRT(((A18+'Inputs'!$B$21+'Inputs'!$B$9+'Inputs'!$B$10)+'Inputs'!$B$7)^2+('Inputs'!$B$6/2)^2)-((A18+'Inputs'!$B$21+'Inputs'!$B$9+'Inputs'!$B$10))/SQRT(((A18+'Inputs'!$B$21+'Inputs'!$B$9+'Inputs'!$B$10))^2+('Inputs'!$B$6/2)^2))))*'Results'!$B$8*'Results'!$B$9),""),"")</x:f>
        <x:v>715.2663147956628</x:v>
      </x:c>
      <x:c r="D18" s="18" t="n">
        <x:f>IF('Results'!$B$6="Inputs accepted",'Results'!B12,"")</x:f>
        <x:v>112.38228018798189</x:v>
      </x:c>
      <x:c r="E18" s="18" t="n">
        <x:f>IF('Results'!$B$6="Inputs accepted",'Results'!C12,"")</x:f>
        <x:v>119.21786205905865</x:v>
      </x:c>
      <x:c r="F18" s="18" t="n">
        <x:f>IF('Results'!$B$6="Inputs accepted",'Results'!B14,"")</x:f>
        <x:v>66.9055158034782</x:v>
      </x:c>
      <x:c r="G18" s="18" t="n">
        <x:f>IF('Results'!$B$6="Inputs accepted",'Results'!C14,"")</x:f>
        <x:v>70.64020731289524</x:v>
      </x:c>
      <x:c r="H18" s="2"/>
      <x:c r="I18" s="2"/>
      <x:c r="J18" s="2"/>
      <x:c r="K18" s="2"/>
      <x:c r="L18" s="2"/>
    </x:row>
    <x:row r="19" ht="22" customHeight="1">
      <x:c r="A19" s="18" t="n">
        <x:f>(19-5)*'Inputs'!$B$33/200</x:f>
        <x:v>2.8</x:v>
      </x:c>
      <x:c r="B19" s="18" t="n">
        <x:f>IF('Results'!$B$6="Inputs accepted",IF(AND(ISNUMBER('Results'!B7),ISNUMBER('Results'!C7),ISNUMBER('Results'!$B$8),ISNUMBER('Results'!$B$9),ISNUMBER('Inputs'!$B$6),ISNUMBER('Inputs'!$B$7),ISNUMBER('Inputs'!$B$8),ISNUMBER('Inputs'!$B$9),ISNUMBER('Inputs'!$B$10),ISNUMBER('Inputs'!$B$21),ISNUMBER('Inputs'!$B$24),ISNUMBER('Inputs'!$B$28)),(('Results'!B7*(0.5*(((A19+'Inputs'!$B$21)+'Inputs'!$B$7)/SQRT(((A19+'Inputs'!$B$21)+'Inputs'!$B$7)^2+('Inputs'!$B$6/2)^2)-((A19+'Inputs'!$B$21))/SQRT(((A19+'Inputs'!$B$21))^2+('Inputs'!$B$6/2)^2)))-'Results'!C7*(0.5*(((A19+'Inputs'!$B$21+'Inputs'!$B$7+'Inputs'!$B$10)+'Inputs'!$B$9)/SQRT(((A19+'Inputs'!$B$21+'Inputs'!$B$7+'Inputs'!$B$10)+'Inputs'!$B$9)^2+('Inputs'!$B$8/2)^2)-((A19+'Inputs'!$B$21+'Inputs'!$B$7+'Inputs'!$B$10))/SQRT(((A19+'Inputs'!$B$21+'Inputs'!$B$7+'Inputs'!$B$10))^2+('Inputs'!$B$8/2)^2))))*'Results'!$B$8*'Results'!$B$9),""),"")</x:f>
        <x:v>666.186869822115</x:v>
      </x:c>
      <x:c r="C19" s="18" t="n">
        <x:f>IF('Results'!$B$6="Inputs accepted",IF(AND(ISNUMBER('Results'!C7),ISNUMBER('Results'!B7),ISNUMBER('Results'!$B$8),ISNUMBER('Results'!$B$9),ISNUMBER('Inputs'!$B$6),ISNUMBER('Inputs'!$B$7),ISNUMBER('Inputs'!$B$8),ISNUMBER('Inputs'!$B$9),ISNUMBER('Inputs'!$B$10),ISNUMBER('Inputs'!$B$21),ISNUMBER('Inputs'!$B$24),ISNUMBER('Inputs'!$B$28)),(('Results'!C7*(0.5*(((A19+'Inputs'!$B$21)+'Inputs'!$B$9)/SQRT(((A19+'Inputs'!$B$21)+'Inputs'!$B$9)^2+('Inputs'!$B$8/2)^2)-((A19+'Inputs'!$B$21))/SQRT(((A19+'Inputs'!$B$21))^2+('Inputs'!$B$8/2)^2)))-'Results'!B7*(0.5*(((A19+'Inputs'!$B$21+'Inputs'!$B$9+'Inputs'!$B$10)+'Inputs'!$B$7)/SQRT(((A19+'Inputs'!$B$21+'Inputs'!$B$9+'Inputs'!$B$10)+'Inputs'!$B$7)^2+('Inputs'!$B$6/2)^2)-((A19+'Inputs'!$B$21+'Inputs'!$B$9+'Inputs'!$B$10))/SQRT(((A19+'Inputs'!$B$21+'Inputs'!$B$9+'Inputs'!$B$10))^2+('Inputs'!$B$6/2)^2))))*'Results'!$B$8*'Results'!$B$9),""),"")</x:f>
        <x:v>647.8041646598724</x:v>
      </x:c>
      <x:c r="D19" s="18" t="n">
        <x:f>IF('Results'!$B$6="Inputs accepted",'Results'!B12,"")</x:f>
        <x:v>112.38228018798189</x:v>
      </x:c>
      <x:c r="E19" s="18" t="n">
        <x:f>IF('Results'!$B$6="Inputs accepted",'Results'!C12,"")</x:f>
        <x:v>119.21786205905865</x:v>
      </x:c>
      <x:c r="F19" s="18" t="n">
        <x:f>IF('Results'!$B$6="Inputs accepted",'Results'!B14,"")</x:f>
        <x:v>66.9055158034782</x:v>
      </x:c>
      <x:c r="G19" s="18" t="n">
        <x:f>IF('Results'!$B$6="Inputs accepted",'Results'!C14,"")</x:f>
        <x:v>70.64020731289524</x:v>
      </x:c>
      <x:c r="H19" s="2"/>
      <x:c r="I19" s="2"/>
      <x:c r="J19" s="2"/>
      <x:c r="K19" s="2"/>
      <x:c r="L19" s="2"/>
    </x:row>
    <x:row r="20" ht="22" customHeight="1">
      <x:c r="A20" s="18" t="n">
        <x:f>(20-5)*'Inputs'!$B$33/200</x:f>
        <x:v>3</x:v>
      </x:c>
      <x:c r="B20" s="18" t="n">
        <x:f>IF('Results'!$B$6="Inputs accepted",IF(AND(ISNUMBER('Results'!B7),ISNUMBER('Results'!C7),ISNUMBER('Results'!$B$8),ISNUMBER('Results'!$B$9),ISNUMBER('Inputs'!$B$6),ISNUMBER('Inputs'!$B$7),ISNUMBER('Inputs'!$B$8),ISNUMBER('Inputs'!$B$9),ISNUMBER('Inputs'!$B$10),ISNUMBER('Inputs'!$B$21),ISNUMBER('Inputs'!$B$24),ISNUMBER('Inputs'!$B$28)),(('Results'!B7*(0.5*(((A20+'Inputs'!$B$21)+'Inputs'!$B$7)/SQRT(((A20+'Inputs'!$B$21)+'Inputs'!$B$7)^2+('Inputs'!$B$6/2)^2)-((A20+'Inputs'!$B$21))/SQRT(((A20+'Inputs'!$B$21))^2+('Inputs'!$B$6/2)^2)))-'Results'!C7*(0.5*(((A20+'Inputs'!$B$21+'Inputs'!$B$7+'Inputs'!$B$10)+'Inputs'!$B$9)/SQRT(((A20+'Inputs'!$B$21+'Inputs'!$B$7+'Inputs'!$B$10)+'Inputs'!$B$9)^2+('Inputs'!$B$8/2)^2)-((A20+'Inputs'!$B$21+'Inputs'!$B$7+'Inputs'!$B$10))/SQRT(((A20+'Inputs'!$B$21+'Inputs'!$B$7+'Inputs'!$B$10))^2+('Inputs'!$B$8/2)^2))))*'Results'!$B$8*'Results'!$B$9),""),"")</x:f>
        <x:v>603.5310810374855</x:v>
      </x:c>
      <x:c r="C20" s="18" t="n">
        <x:f>IF('Results'!$B$6="Inputs accepted",IF(AND(ISNUMBER('Results'!C7),ISNUMBER('Results'!B7),ISNUMBER('Results'!$B$8),ISNUMBER('Results'!$B$9),ISNUMBER('Inputs'!$B$6),ISNUMBER('Inputs'!$B$7),ISNUMBER('Inputs'!$B$8),ISNUMBER('Inputs'!$B$9),ISNUMBER('Inputs'!$B$10),ISNUMBER('Inputs'!$B$21),ISNUMBER('Inputs'!$B$24),ISNUMBER('Inputs'!$B$28)),(('Results'!C7*(0.5*(((A20+'Inputs'!$B$21)+'Inputs'!$B$9)/SQRT(((A20+'Inputs'!$B$21)+'Inputs'!$B$9)^2+('Inputs'!$B$8/2)^2)-((A20+'Inputs'!$B$21))/SQRT(((A20+'Inputs'!$B$21))^2+('Inputs'!$B$8/2)^2)))-'Results'!B7*(0.5*(((A20+'Inputs'!$B$21+'Inputs'!$B$9+'Inputs'!$B$10)+'Inputs'!$B$7)/SQRT(((A20+'Inputs'!$B$21+'Inputs'!$B$9+'Inputs'!$B$10)+'Inputs'!$B$7)^2+('Inputs'!$B$6/2)^2)-((A20+'Inputs'!$B$21+'Inputs'!$B$9+'Inputs'!$B$10))/SQRT(((A20+'Inputs'!$B$21+'Inputs'!$B$9+'Inputs'!$B$10))^2+('Inputs'!$B$6/2)^2))))*'Results'!$B$8*'Results'!$B$9),""),"")</x:f>
        <x:v>586.713356548052</x:v>
      </x:c>
      <x:c r="D20" s="18" t="n">
        <x:f>IF('Results'!$B$6="Inputs accepted",'Results'!B12,"")</x:f>
        <x:v>112.38228018798189</x:v>
      </x:c>
      <x:c r="E20" s="18" t="n">
        <x:f>IF('Results'!$B$6="Inputs accepted",'Results'!C12,"")</x:f>
        <x:v>119.21786205905865</x:v>
      </x:c>
      <x:c r="F20" s="18" t="n">
        <x:f>IF('Results'!$B$6="Inputs accepted",'Results'!B14,"")</x:f>
        <x:v>66.9055158034782</x:v>
      </x:c>
      <x:c r="G20" s="18" t="n">
        <x:f>IF('Results'!$B$6="Inputs accepted",'Results'!C14,"")</x:f>
        <x:v>70.64020731289524</x:v>
      </x:c>
      <x:c r="H20" s="2"/>
      <x:c r="I20" s="2"/>
      <x:c r="J20" s="2"/>
      <x:c r="K20" s="2"/>
      <x:c r="L20" s="2"/>
    </x:row>
    <x:row r="21" ht="22" customHeight="1">
      <x:c r="A21" s="18" t="n">
        <x:f>(21-5)*'Inputs'!$B$33/200</x:f>
        <x:v>3.2</x:v>
      </x:c>
      <x:c r="B21" s="18" t="n">
        <x:f>IF('Results'!$B$6="Inputs accepted",IF(AND(ISNUMBER('Results'!B7),ISNUMBER('Results'!C7),ISNUMBER('Results'!$B$8),ISNUMBER('Results'!$B$9),ISNUMBER('Inputs'!$B$6),ISNUMBER('Inputs'!$B$7),ISNUMBER('Inputs'!$B$8),ISNUMBER('Inputs'!$B$9),ISNUMBER('Inputs'!$B$10),ISNUMBER('Inputs'!$B$21),ISNUMBER('Inputs'!$B$24),ISNUMBER('Inputs'!$B$28)),(('Results'!B7*(0.5*(((A21+'Inputs'!$B$21)+'Inputs'!$B$7)/SQRT(((A21+'Inputs'!$B$21)+'Inputs'!$B$7)^2+('Inputs'!$B$6/2)^2)-((A21+'Inputs'!$B$21))/SQRT(((A21+'Inputs'!$B$21))^2+('Inputs'!$B$6/2)^2)))-'Results'!C7*(0.5*(((A21+'Inputs'!$B$21+'Inputs'!$B$7+'Inputs'!$B$10)+'Inputs'!$B$9)/SQRT(((A21+'Inputs'!$B$21+'Inputs'!$B$7+'Inputs'!$B$10)+'Inputs'!$B$9)^2+('Inputs'!$B$8/2)^2)-((A21+'Inputs'!$B$21+'Inputs'!$B$7+'Inputs'!$B$10))/SQRT(((A21+'Inputs'!$B$21+'Inputs'!$B$7+'Inputs'!$B$10))^2+('Inputs'!$B$8/2)^2))))*'Results'!$B$8*'Results'!$B$9),""),"")</x:f>
        <x:v>546.9524994648217</x:v>
      </x:c>
      <x:c r="C21" s="18" t="n">
        <x:f>IF('Results'!$B$6="Inputs accepted",IF(AND(ISNUMBER('Results'!C7),ISNUMBER('Results'!B7),ISNUMBER('Results'!$B$8),ISNUMBER('Results'!$B$9),ISNUMBER('Inputs'!$B$6),ISNUMBER('Inputs'!$B$7),ISNUMBER('Inputs'!$B$8),ISNUMBER('Inputs'!$B$9),ISNUMBER('Inputs'!$B$10),ISNUMBER('Inputs'!$B$21),ISNUMBER('Inputs'!$B$24),ISNUMBER('Inputs'!$B$28)),(('Results'!C7*(0.5*(((A21+'Inputs'!$B$21)+'Inputs'!$B$9)/SQRT(((A21+'Inputs'!$B$21)+'Inputs'!$B$9)^2+('Inputs'!$B$8/2)^2)-((A21+'Inputs'!$B$21))/SQRT(((A21+'Inputs'!$B$21))^2+('Inputs'!$B$8/2)^2)))-'Results'!B7*(0.5*(((A21+'Inputs'!$B$21+'Inputs'!$B$9+'Inputs'!$B$10)+'Inputs'!$B$7)/SQRT(((A21+'Inputs'!$B$21+'Inputs'!$B$9+'Inputs'!$B$10)+'Inputs'!$B$7)^2+('Inputs'!$B$6/2)^2)-((A21+'Inputs'!$B$21+'Inputs'!$B$9+'Inputs'!$B$10))/SQRT(((A21+'Inputs'!$B$21+'Inputs'!$B$9+'Inputs'!$B$10))^2+('Inputs'!$B$6/2)^2))))*'Results'!$B$8*'Results'!$B$9),""),"")</x:f>
        <x:v>531.5539182527954</x:v>
      </x:c>
      <x:c r="D21" s="18" t="n">
        <x:f>IF('Results'!$B$6="Inputs accepted",'Results'!B12,"")</x:f>
        <x:v>112.38228018798189</x:v>
      </x:c>
      <x:c r="E21" s="18" t="n">
        <x:f>IF('Results'!$B$6="Inputs accepted",'Results'!C12,"")</x:f>
        <x:v>119.21786205905865</x:v>
      </x:c>
      <x:c r="F21" s="18" t="n">
        <x:f>IF('Results'!$B$6="Inputs accepted",'Results'!B14,"")</x:f>
        <x:v>66.9055158034782</x:v>
      </x:c>
      <x:c r="G21" s="18" t="n">
        <x:f>IF('Results'!$B$6="Inputs accepted",'Results'!C14,"")</x:f>
        <x:v>70.64020731289524</x:v>
      </x:c>
      <x:c r="H21" s="2"/>
      <x:c r="I21" s="2"/>
      <x:c r="J21" s="2"/>
      <x:c r="K21" s="2"/>
      <x:c r="L21" s="2"/>
    </x:row>
    <x:row r="22" ht="22" customHeight="1">
      <x:c r="A22" s="18" t="n">
        <x:f>(22-5)*'Inputs'!$B$33/200</x:f>
        <x:v>3.4</x:v>
      </x:c>
      <x:c r="B22" s="18" t="n">
        <x:f>IF('Results'!$B$6="Inputs accepted",IF(AND(ISNUMBER('Results'!B7),ISNUMBER('Results'!C7),ISNUMBER('Results'!$B$8),ISNUMBER('Results'!$B$9),ISNUMBER('Inputs'!$B$6),ISNUMBER('Inputs'!$B$7),ISNUMBER('Inputs'!$B$8),ISNUMBER('Inputs'!$B$9),ISNUMBER('Inputs'!$B$10),ISNUMBER('Inputs'!$B$21),ISNUMBER('Inputs'!$B$24),ISNUMBER('Inputs'!$B$28)),(('Results'!B7*(0.5*(((A22+'Inputs'!$B$21)+'Inputs'!$B$7)/SQRT(((A22+'Inputs'!$B$21)+'Inputs'!$B$7)^2+('Inputs'!$B$6/2)^2)-((A22+'Inputs'!$B$21))/SQRT(((A22+'Inputs'!$B$21))^2+('Inputs'!$B$6/2)^2)))-'Results'!C7*(0.5*(((A22+'Inputs'!$B$21+'Inputs'!$B$7+'Inputs'!$B$10)+'Inputs'!$B$9)/SQRT(((A22+'Inputs'!$B$21+'Inputs'!$B$7+'Inputs'!$B$10)+'Inputs'!$B$9)^2+('Inputs'!$B$8/2)^2)-((A22+'Inputs'!$B$21+'Inputs'!$B$7+'Inputs'!$B$10))/SQRT(((A22+'Inputs'!$B$21+'Inputs'!$B$7+'Inputs'!$B$10))^2+('Inputs'!$B$8/2)^2))))*'Results'!$B$8*'Results'!$B$9),""),"")</x:f>
        <x:v>495.9690346333446</x:v>
      </x:c>
      <x:c r="C22" s="18" t="n">
        <x:f>IF('Results'!$B$6="Inputs accepted",IF(AND(ISNUMBER('Results'!C7),ISNUMBER('Results'!B7),ISNUMBER('Results'!$B$8),ISNUMBER('Results'!$B$9),ISNUMBER('Inputs'!$B$6),ISNUMBER('Inputs'!$B$7),ISNUMBER('Inputs'!$B$8),ISNUMBER('Inputs'!$B$9),ISNUMBER('Inputs'!$B$10),ISNUMBER('Inputs'!$B$21),ISNUMBER('Inputs'!$B$24),ISNUMBER('Inputs'!$B$28)),(('Results'!C7*(0.5*(((A22+'Inputs'!$B$21)+'Inputs'!$B$9)/SQRT(((A22+'Inputs'!$B$21)+'Inputs'!$B$9)^2+('Inputs'!$B$8/2)^2)-((A22+'Inputs'!$B$21))/SQRT(((A22+'Inputs'!$B$21))^2+('Inputs'!$B$8/2)^2)))-'Results'!B7*(0.5*(((A22+'Inputs'!$B$21+'Inputs'!$B$9+'Inputs'!$B$10)+'Inputs'!$B$7)/SQRT(((A22+'Inputs'!$B$21+'Inputs'!$B$9+'Inputs'!$B$10)+'Inputs'!$B$7)^2+('Inputs'!$B$6/2)^2)-((A22+'Inputs'!$B$21+'Inputs'!$B$9+'Inputs'!$B$10))/SQRT(((A22+'Inputs'!$B$21+'Inputs'!$B$9+'Inputs'!$B$10))^2+('Inputs'!$B$6/2)^2))))*'Results'!$B$8*'Results'!$B$9),""),"")</x:f>
        <x:v>481.85563830668565</x:v>
      </x:c>
      <x:c r="D22" s="18" t="n">
        <x:f>IF('Results'!$B$6="Inputs accepted",'Results'!B12,"")</x:f>
        <x:v>112.38228018798189</x:v>
      </x:c>
      <x:c r="E22" s="18" t="n">
        <x:f>IF('Results'!$B$6="Inputs accepted",'Results'!C12,"")</x:f>
        <x:v>119.21786205905865</x:v>
      </x:c>
      <x:c r="F22" s="18" t="n">
        <x:f>IF('Results'!$B$6="Inputs accepted",'Results'!B14,"")</x:f>
        <x:v>66.9055158034782</x:v>
      </x:c>
      <x:c r="G22" s="18" t="n">
        <x:f>IF('Results'!$B$6="Inputs accepted",'Results'!C14,"")</x:f>
        <x:v>70.64020731289524</x:v>
      </x:c>
      <x:c r="H22" s="2"/>
      <x:c r="I22" s="2"/>
      <x:c r="J22" s="2"/>
      <x:c r="K22" s="2"/>
      <x:c r="L22" s="2"/>
    </x:row>
    <x:row r="23" ht="22" customHeight="1">
      <x:c r="A23" s="18" t="n">
        <x:f>(23-5)*'Inputs'!$B$33/200</x:f>
        <x:v>3.6</x:v>
      </x:c>
      <x:c r="B23" s="18" t="n">
        <x:f>IF('Results'!$B$6="Inputs accepted",IF(AND(ISNUMBER('Results'!B7),ISNUMBER('Results'!C7),ISNUMBER('Results'!$B$8),ISNUMBER('Results'!$B$9),ISNUMBER('Inputs'!$B$6),ISNUMBER('Inputs'!$B$7),ISNUMBER('Inputs'!$B$8),ISNUMBER('Inputs'!$B$9),ISNUMBER('Inputs'!$B$10),ISNUMBER('Inputs'!$B$21),ISNUMBER('Inputs'!$B$24),ISNUMBER('Inputs'!$B$28)),(('Results'!B7*(0.5*(((A23+'Inputs'!$B$21)+'Inputs'!$B$7)/SQRT(((A23+'Inputs'!$B$21)+'Inputs'!$B$7)^2+('Inputs'!$B$6/2)^2)-((A23+'Inputs'!$B$21))/SQRT(((A23+'Inputs'!$B$21))^2+('Inputs'!$B$6/2)^2)))-'Results'!C7*(0.5*(((A23+'Inputs'!$B$21+'Inputs'!$B$7+'Inputs'!$B$10)+'Inputs'!$B$9)/SQRT(((A23+'Inputs'!$B$21+'Inputs'!$B$7+'Inputs'!$B$10)+'Inputs'!$B$9)^2+('Inputs'!$B$8/2)^2)-((A23+'Inputs'!$B$21+'Inputs'!$B$7+'Inputs'!$B$10))/SQRT(((A23+'Inputs'!$B$21+'Inputs'!$B$7+'Inputs'!$B$10))^2+('Inputs'!$B$8/2)^2))))*'Results'!$B$8*'Results'!$B$9),""),"")</x:f>
        <x:v>450.0933857200489</x:v>
      </x:c>
      <x:c r="C23" s="18" t="n">
        <x:f>IF('Results'!$B$6="Inputs accepted",IF(AND(ISNUMBER('Results'!C7),ISNUMBER('Results'!B7),ISNUMBER('Results'!$B$8),ISNUMBER('Results'!$B$9),ISNUMBER('Inputs'!$B$6),ISNUMBER('Inputs'!$B$7),ISNUMBER('Inputs'!$B$8),ISNUMBER('Inputs'!$B$9),ISNUMBER('Inputs'!$B$10),ISNUMBER('Inputs'!$B$21),ISNUMBER('Inputs'!$B$24),ISNUMBER('Inputs'!$B$28)),(('Results'!C7*(0.5*(((A23+'Inputs'!$B$21)+'Inputs'!$B$9)/SQRT(((A23+'Inputs'!$B$21)+'Inputs'!$B$9)^2+('Inputs'!$B$8/2)^2)-((A23+'Inputs'!$B$21))/SQRT(((A23+'Inputs'!$B$21))^2+('Inputs'!$B$8/2)^2)))-'Results'!B7*(0.5*(((A23+'Inputs'!$B$21+'Inputs'!$B$9+'Inputs'!$B$10)+'Inputs'!$B$7)/SQRT(((A23+'Inputs'!$B$21+'Inputs'!$B$9+'Inputs'!$B$10)+'Inputs'!$B$7)^2+('Inputs'!$B$6/2)^2)-((A23+'Inputs'!$B$21+'Inputs'!$B$9+'Inputs'!$B$10))/SQRT(((A23+'Inputs'!$B$21+'Inputs'!$B$9+'Inputs'!$B$10))^2+('Inputs'!$B$6/2)^2))))*'Results'!$B$8*'Results'!$B$9),""),"")</x:f>
        <x:v>437.1429662666661</x:v>
      </x:c>
      <x:c r="D23" s="18" t="n">
        <x:f>IF('Results'!$B$6="Inputs accepted",'Results'!B12,"")</x:f>
        <x:v>112.38228018798189</x:v>
      </x:c>
      <x:c r="E23" s="18" t="n">
        <x:f>IF('Results'!$B$6="Inputs accepted",'Results'!C12,"")</x:f>
        <x:v>119.21786205905865</x:v>
      </x:c>
      <x:c r="F23" s="18" t="n">
        <x:f>IF('Results'!$B$6="Inputs accepted",'Results'!B14,"")</x:f>
        <x:v>66.9055158034782</x:v>
      </x:c>
      <x:c r="G23" s="18" t="n">
        <x:f>IF('Results'!$B$6="Inputs accepted",'Results'!C14,"")</x:f>
        <x:v>70.64020731289524</x:v>
      </x:c>
      <x:c r="H23" s="2"/>
      <x:c r="I23" s="2"/>
      <x:c r="J23" s="2"/>
      <x:c r="K23" s="2"/>
      <x:c r="L23" s="2"/>
    </x:row>
    <x:row r="24" ht="22" customHeight="1">
      <x:c r="A24" s="18" t="n">
        <x:f>(24-5)*'Inputs'!$B$33/200</x:f>
        <x:v>3.8</x:v>
      </x:c>
      <x:c r="B24" s="18" t="n">
        <x:f>IF('Results'!$B$6="Inputs accepted",IF(AND(ISNUMBER('Results'!B7),ISNUMBER('Results'!C7),ISNUMBER('Results'!$B$8),ISNUMBER('Results'!$B$9),ISNUMBER('Inputs'!$B$6),ISNUMBER('Inputs'!$B$7),ISNUMBER('Inputs'!$B$8),ISNUMBER('Inputs'!$B$9),ISNUMBER('Inputs'!$B$10),ISNUMBER('Inputs'!$B$21),ISNUMBER('Inputs'!$B$24),ISNUMBER('Inputs'!$B$28)),(('Results'!B7*(0.5*(((A24+'Inputs'!$B$21)+'Inputs'!$B$7)/SQRT(((A24+'Inputs'!$B$21)+'Inputs'!$B$7)^2+('Inputs'!$B$6/2)^2)-((A24+'Inputs'!$B$21))/SQRT(((A24+'Inputs'!$B$21))^2+('Inputs'!$B$6/2)^2)))-'Results'!C7*(0.5*(((A24+'Inputs'!$B$21+'Inputs'!$B$7+'Inputs'!$B$10)+'Inputs'!$B$9)/SQRT(((A24+'Inputs'!$B$21+'Inputs'!$B$7+'Inputs'!$B$10)+'Inputs'!$B$9)^2+('Inputs'!$B$8/2)^2)-((A24+'Inputs'!$B$21+'Inputs'!$B$7+'Inputs'!$B$10))/SQRT(((A24+'Inputs'!$B$21+'Inputs'!$B$7+'Inputs'!$B$10))^2+('Inputs'!$B$8/2)^2))))*'Results'!$B$8*'Results'!$B$9),""),"")</x:f>
        <x:v>408.85039647927186</x:v>
      </x:c>
      <x:c r="C24" s="18" t="n">
        <x:f>IF('Results'!$B$6="Inputs accepted",IF(AND(ISNUMBER('Results'!C7),ISNUMBER('Results'!B7),ISNUMBER('Results'!$B$8),ISNUMBER('Results'!$B$9),ISNUMBER('Inputs'!$B$6),ISNUMBER('Inputs'!$B$7),ISNUMBER('Inputs'!$B$8),ISNUMBER('Inputs'!$B$9),ISNUMBER('Inputs'!$B$10),ISNUMBER('Inputs'!$B$21),ISNUMBER('Inputs'!$B$24),ISNUMBER('Inputs'!$B$28)),(('Results'!C7*(0.5*(((A24+'Inputs'!$B$21)+'Inputs'!$B$9)/SQRT(((A24+'Inputs'!$B$21)+'Inputs'!$B$9)^2+('Inputs'!$B$8/2)^2)-((A24+'Inputs'!$B$21))/SQRT(((A24+'Inputs'!$B$21))^2+('Inputs'!$B$8/2)^2)))-'Results'!B7*(0.5*(((A24+'Inputs'!$B$21+'Inputs'!$B$9+'Inputs'!$B$10)+'Inputs'!$B$7)/SQRT(((A24+'Inputs'!$B$21+'Inputs'!$B$9+'Inputs'!$B$10)+'Inputs'!$B$7)^2+('Inputs'!$B$6/2)^2)-((A24+'Inputs'!$B$21+'Inputs'!$B$9+'Inputs'!$B$10))/SQRT(((A24+'Inputs'!$B$21+'Inputs'!$B$9+'Inputs'!$B$10))^2+('Inputs'!$B$6/2)^2))))*'Results'!$B$8*'Results'!$B$9),""),"")</x:f>
        <x:v>396.9520469592445</x:v>
      </x:c>
      <x:c r="D24" s="18" t="n">
        <x:f>IF('Results'!$B$6="Inputs accepted",'Results'!B12,"")</x:f>
        <x:v>112.38228018798189</x:v>
      </x:c>
      <x:c r="E24" s="18" t="n">
        <x:f>IF('Results'!$B$6="Inputs accepted",'Results'!C12,"")</x:f>
        <x:v>119.21786205905865</x:v>
      </x:c>
      <x:c r="F24" s="18" t="n">
        <x:f>IF('Results'!$B$6="Inputs accepted",'Results'!B14,"")</x:f>
        <x:v>66.9055158034782</x:v>
      </x:c>
      <x:c r="G24" s="18" t="n">
        <x:f>IF('Results'!$B$6="Inputs accepted",'Results'!C14,"")</x:f>
        <x:v>70.64020731289524</x:v>
      </x:c>
      <x:c r="H24" s="2"/>
      <x:c r="I24" s="2"/>
      <x:c r="J24" s="2"/>
      <x:c r="K24" s="2"/>
      <x:c r="L24" s="2"/>
    </x:row>
    <x:row r="25" ht="22" customHeight="1">
      <x:c r="A25" s="18" t="n">
        <x:f>(25-5)*'Inputs'!$B$33/200</x:f>
        <x:v>4</x:v>
      </x:c>
      <x:c r="B25" s="18" t="n">
        <x:f>IF('Results'!$B$6="Inputs accepted",IF(AND(ISNUMBER('Results'!B7),ISNUMBER('Results'!C7),ISNUMBER('Results'!$B$8),ISNUMBER('Results'!$B$9),ISNUMBER('Inputs'!$B$6),ISNUMBER('Inputs'!$B$7),ISNUMBER('Inputs'!$B$8),ISNUMBER('Inputs'!$B$9),ISNUMBER('Inputs'!$B$10),ISNUMBER('Inputs'!$B$21),ISNUMBER('Inputs'!$B$24),ISNUMBER('Inputs'!$B$28)),(('Results'!B7*(0.5*(((A25+'Inputs'!$B$21)+'Inputs'!$B$7)/SQRT(((A25+'Inputs'!$B$21)+'Inputs'!$B$7)^2+('Inputs'!$B$6/2)^2)-((A25+'Inputs'!$B$21))/SQRT(((A25+'Inputs'!$B$21))^2+('Inputs'!$B$6/2)^2)))-'Results'!C7*(0.5*(((A25+'Inputs'!$B$21+'Inputs'!$B$7+'Inputs'!$B$10)+'Inputs'!$B$9)/SQRT(((A25+'Inputs'!$B$21+'Inputs'!$B$7+'Inputs'!$B$10)+'Inputs'!$B$9)^2+('Inputs'!$B$8/2)^2)-((A25+'Inputs'!$B$21+'Inputs'!$B$7+'Inputs'!$B$10))/SQRT(((A25+'Inputs'!$B$21+'Inputs'!$B$7+'Inputs'!$B$10))^2+('Inputs'!$B$8/2)^2))))*'Results'!$B$8*'Results'!$B$9),""),"")</x:f>
        <x:v>371.78824034396723</x:v>
      </x:c>
      <x:c r="C25" s="18" t="n">
        <x:f>IF('Results'!$B$6="Inputs accepted",IF(AND(ISNUMBER('Results'!C7),ISNUMBER('Results'!B7),ISNUMBER('Results'!$B$8),ISNUMBER('Results'!$B$9),ISNUMBER('Inputs'!$B$6),ISNUMBER('Inputs'!$B$7),ISNUMBER('Inputs'!$B$8),ISNUMBER('Inputs'!$B$9),ISNUMBER('Inputs'!$B$10),ISNUMBER('Inputs'!$B$21),ISNUMBER('Inputs'!$B$24),ISNUMBER('Inputs'!$B$28)),(('Results'!C7*(0.5*(((A25+'Inputs'!$B$21)+'Inputs'!$B$9)/SQRT(((A25+'Inputs'!$B$21)+'Inputs'!$B$9)^2+('Inputs'!$B$8/2)^2)-((A25+'Inputs'!$B$21))/SQRT(((A25+'Inputs'!$B$21))^2+('Inputs'!$B$8/2)^2)))-'Results'!B7*(0.5*(((A25+'Inputs'!$B$21+'Inputs'!$B$9+'Inputs'!$B$10)+'Inputs'!$B$7)/SQRT(((A25+'Inputs'!$B$21+'Inputs'!$B$9+'Inputs'!$B$10)+'Inputs'!$B$7)^2+('Inputs'!$B$6/2)^2)-((A25+'Inputs'!$B$21+'Inputs'!$B$9+'Inputs'!$B$10))/SQRT(((A25+'Inputs'!$B$21+'Inputs'!$B$9+'Inputs'!$B$10))^2+('Inputs'!$B$6/2)^2))))*'Results'!$B$8*'Results'!$B$9),""),"")</x:f>
        <x:v>360.841705140688</x:v>
      </x:c>
      <x:c r="D25" s="18" t="n">
        <x:f>IF('Results'!$B$6="Inputs accepted",'Results'!B12,"")</x:f>
        <x:v>112.38228018798189</x:v>
      </x:c>
      <x:c r="E25" s="18" t="n">
        <x:f>IF('Results'!$B$6="Inputs accepted",'Results'!C12,"")</x:f>
        <x:v>119.21786205905865</x:v>
      </x:c>
      <x:c r="F25" s="18" t="n">
        <x:f>IF('Results'!$B$6="Inputs accepted",'Results'!B14,"")</x:f>
        <x:v>66.9055158034782</x:v>
      </x:c>
      <x:c r="G25" s="18" t="n">
        <x:f>IF('Results'!$B$6="Inputs accepted",'Results'!C14,"")</x:f>
        <x:v>70.64020731289524</x:v>
      </x:c>
      <x:c r="H25" s="2"/>
      <x:c r="I25" s="2"/>
      <x:c r="J25" s="2"/>
      <x:c r="K25" s="2"/>
      <x:c r="L25" s="2"/>
    </x:row>
    <x:row r="26" ht="22" customHeight="1">
      <x:c r="A26" s="18" t="n">
        <x:f>(26-5)*'Inputs'!$B$33/200</x:f>
        <x:v>4.2</x:v>
      </x:c>
      <x:c r="B26" s="18" t="n">
        <x:f>IF('Results'!$B$6="Inputs accepted",IF(AND(ISNUMBER('Results'!B7),ISNUMBER('Results'!C7),ISNUMBER('Results'!$B$8),ISNUMBER('Results'!$B$9),ISNUMBER('Inputs'!$B$6),ISNUMBER('Inputs'!$B$7),ISNUMBER('Inputs'!$B$8),ISNUMBER('Inputs'!$B$9),ISNUMBER('Inputs'!$B$10),ISNUMBER('Inputs'!$B$21),ISNUMBER('Inputs'!$B$24),ISNUMBER('Inputs'!$B$28)),(('Results'!B7*(0.5*(((A26+'Inputs'!$B$21)+'Inputs'!$B$7)/SQRT(((A26+'Inputs'!$B$21)+'Inputs'!$B$7)^2+('Inputs'!$B$6/2)^2)-((A26+'Inputs'!$B$21))/SQRT(((A26+'Inputs'!$B$21))^2+('Inputs'!$B$6/2)^2)))-'Results'!C7*(0.5*(((A26+'Inputs'!$B$21+'Inputs'!$B$7+'Inputs'!$B$10)+'Inputs'!$B$9)/SQRT(((A26+'Inputs'!$B$21+'Inputs'!$B$7+'Inputs'!$B$10)+'Inputs'!$B$9)^2+('Inputs'!$B$8/2)^2)-((A26+'Inputs'!$B$21+'Inputs'!$B$7+'Inputs'!$B$10))/SQRT(((A26+'Inputs'!$B$21+'Inputs'!$B$7+'Inputs'!$B$10))^2+('Inputs'!$B$8/2)^2))))*'Results'!$B$8*'Results'!$B$9),""),"")</x:f>
        <x:v>338.4850185720621</x:v>
      </x:c>
      <x:c r="C26" s="18" t="n">
        <x:f>IF('Results'!$B$6="Inputs accepted",IF(AND(ISNUMBER('Results'!C7),ISNUMBER('Results'!B7),ISNUMBER('Results'!$B$8),ISNUMBER('Results'!$B$9),ISNUMBER('Inputs'!$B$6),ISNUMBER('Inputs'!$B$7),ISNUMBER('Inputs'!$B$8),ISNUMBER('Inputs'!$B$9),ISNUMBER('Inputs'!$B$10),ISNUMBER('Inputs'!$B$21),ISNUMBER('Inputs'!$B$24),ISNUMBER('Inputs'!$B$28)),(('Results'!C7*(0.5*(((A26+'Inputs'!$B$21)+'Inputs'!$B$9)/SQRT(((A26+'Inputs'!$B$21)+'Inputs'!$B$9)^2+('Inputs'!$B$8/2)^2)-((A26+'Inputs'!$B$21))/SQRT(((A26+'Inputs'!$B$21))^2+('Inputs'!$B$8/2)^2)))-'Results'!B7*(0.5*(((A26+'Inputs'!$B$21+'Inputs'!$B$9+'Inputs'!$B$10)+'Inputs'!$B$7)/SQRT(((A26+'Inputs'!$B$21+'Inputs'!$B$9+'Inputs'!$B$10)+'Inputs'!$B$7)^2+('Inputs'!$B$6/2)^2)-((A26+'Inputs'!$B$21+'Inputs'!$B$9+'Inputs'!$B$10))/SQRT(((A26+'Inputs'!$B$21+'Inputs'!$B$9+'Inputs'!$B$10))^2+('Inputs'!$B$6/2)^2))))*'Results'!$B$8*'Results'!$B$9),""),"")</x:f>
        <x:v>328.39993216651396</x:v>
      </x:c>
      <x:c r="D26" s="18" t="n">
        <x:f>IF('Results'!$B$6="Inputs accepted",'Results'!B12,"")</x:f>
        <x:v>112.38228018798189</x:v>
      </x:c>
      <x:c r="E26" s="18" t="n">
        <x:f>IF('Results'!$B$6="Inputs accepted",'Results'!C12,"")</x:f>
        <x:v>119.21786205905865</x:v>
      </x:c>
      <x:c r="F26" s="18" t="n">
        <x:f>IF('Results'!$B$6="Inputs accepted",'Results'!B14,"")</x:f>
        <x:v>66.9055158034782</x:v>
      </x:c>
      <x:c r="G26" s="18" t="n">
        <x:f>IF('Results'!$B$6="Inputs accepted",'Results'!C14,"")</x:f>
        <x:v>70.64020731289524</x:v>
      </x:c>
      <x:c r="H26" s="2"/>
      <x:c r="I26" s="2"/>
      <x:c r="J26" s="2"/>
      <x:c r="K26" s="2"/>
      <x:c r="L26" s="2"/>
    </x:row>
    <x:row r="27" ht="22" customHeight="1">
      <x:c r="A27" s="18" t="n">
        <x:f>(27-5)*'Inputs'!$B$33/200</x:f>
        <x:v>4.4</x:v>
      </x:c>
      <x:c r="B27" s="18" t="n">
        <x:f>IF('Results'!$B$6="Inputs accepted",IF(AND(ISNUMBER('Results'!B7),ISNUMBER('Results'!C7),ISNUMBER('Results'!$B$8),ISNUMBER('Results'!$B$9),ISNUMBER('Inputs'!$B$6),ISNUMBER('Inputs'!$B$7),ISNUMBER('Inputs'!$B$8),ISNUMBER('Inputs'!$B$9),ISNUMBER('Inputs'!$B$10),ISNUMBER('Inputs'!$B$21),ISNUMBER('Inputs'!$B$24),ISNUMBER('Inputs'!$B$28)),(('Results'!B7*(0.5*(((A27+'Inputs'!$B$21)+'Inputs'!$B$7)/SQRT(((A27+'Inputs'!$B$21)+'Inputs'!$B$7)^2+('Inputs'!$B$6/2)^2)-((A27+'Inputs'!$B$21))/SQRT(((A27+'Inputs'!$B$21))^2+('Inputs'!$B$6/2)^2)))-'Results'!C7*(0.5*(((A27+'Inputs'!$B$21+'Inputs'!$B$7+'Inputs'!$B$10)+'Inputs'!$B$9)/SQRT(((A27+'Inputs'!$B$21+'Inputs'!$B$7+'Inputs'!$B$10)+'Inputs'!$B$9)^2+('Inputs'!$B$8/2)^2)-((A27+'Inputs'!$B$21+'Inputs'!$B$7+'Inputs'!$B$10))/SQRT(((A27+'Inputs'!$B$21+'Inputs'!$B$7+'Inputs'!$B$10))^2+('Inputs'!$B$8/2)^2))))*'Results'!$B$8*'Results'!$B$9),""),"")</x:f>
        <x:v>308.55205658713214</x:v>
      </x:c>
      <x:c r="C27" s="18" t="n">
        <x:f>IF('Results'!$B$6="Inputs accepted",IF(AND(ISNUMBER('Results'!C7),ISNUMBER('Results'!B7),ISNUMBER('Results'!$B$8),ISNUMBER('Results'!$B$9),ISNUMBER('Inputs'!$B$6),ISNUMBER('Inputs'!$B$7),ISNUMBER('Inputs'!$B$8),ISNUMBER('Inputs'!$B$9),ISNUMBER('Inputs'!$B$10),ISNUMBER('Inputs'!$B$21),ISNUMBER('Inputs'!$B$24),ISNUMBER('Inputs'!$B$28)),(('Results'!C7*(0.5*(((A27+'Inputs'!$B$21)+'Inputs'!$B$9)/SQRT(((A27+'Inputs'!$B$21)+'Inputs'!$B$9)^2+('Inputs'!$B$8/2)^2)-((A27+'Inputs'!$B$21))/SQRT(((A27+'Inputs'!$B$21))^2+('Inputs'!$B$8/2)^2)))-'Results'!B7*(0.5*(((A27+'Inputs'!$B$21+'Inputs'!$B$9+'Inputs'!$B$10)+'Inputs'!$B$7)/SQRT(((A27+'Inputs'!$B$21+'Inputs'!$B$9+'Inputs'!$B$10)+'Inputs'!$B$7)^2+('Inputs'!$B$6/2)^2)-((A27+'Inputs'!$B$21+'Inputs'!$B$9+'Inputs'!$B$10))/SQRT(((A27+'Inputs'!$B$21+'Inputs'!$B$9+'Inputs'!$B$10))^2+('Inputs'!$B$6/2)^2))))*'Results'!$B$8*'Results'!$B$9),""),"")</x:f>
        <x:v>299.2471344530876</x:v>
      </x:c>
      <x:c r="D27" s="18" t="n">
        <x:f>IF('Results'!$B$6="Inputs accepted",'Results'!B12,"")</x:f>
        <x:v>112.38228018798189</x:v>
      </x:c>
      <x:c r="E27" s="18" t="n">
        <x:f>IF('Results'!$B$6="Inputs accepted",'Results'!C12,"")</x:f>
        <x:v>119.21786205905865</x:v>
      </x:c>
      <x:c r="F27" s="18" t="n">
        <x:f>IF('Results'!$B$6="Inputs accepted",'Results'!B14,"")</x:f>
        <x:v>66.9055158034782</x:v>
      </x:c>
      <x:c r="G27" s="18" t="n">
        <x:f>IF('Results'!$B$6="Inputs accepted",'Results'!C14,"")</x:f>
        <x:v>70.64020731289524</x:v>
      </x:c>
      <x:c r="H27" s="2"/>
      <x:c r="I27" s="2" t="str">
        <x:v>Lines use measured isolated surface gauss. Reversed field does not activate this south-sensitive model.</x:v>
      </x:c>
      <x:c r="J27" s="2"/>
      <x:c r="K27" s="2"/>
      <x:c r="L27" s="2"/>
    </x:row>
    <x:row r="28" ht="22" customHeight="1">
      <x:c r="A28" s="18" t="n">
        <x:f>(28-5)*'Inputs'!$B$33/200</x:f>
        <x:v>4.6</x:v>
      </x:c>
      <x:c r="B28" s="18" t="n">
        <x:f>IF('Results'!$B$6="Inputs accepted",IF(AND(ISNUMBER('Results'!B7),ISNUMBER('Results'!C7),ISNUMBER('Results'!$B$8),ISNUMBER('Results'!$B$9),ISNUMBER('Inputs'!$B$6),ISNUMBER('Inputs'!$B$7),ISNUMBER('Inputs'!$B$8),ISNUMBER('Inputs'!$B$9),ISNUMBER('Inputs'!$B$10),ISNUMBER('Inputs'!$B$21),ISNUMBER('Inputs'!$B$24),ISNUMBER('Inputs'!$B$28)),(('Results'!B7*(0.5*(((A28+'Inputs'!$B$21)+'Inputs'!$B$7)/SQRT(((A28+'Inputs'!$B$21)+'Inputs'!$B$7)^2+('Inputs'!$B$6/2)^2)-((A28+'Inputs'!$B$21))/SQRT(((A28+'Inputs'!$B$21))^2+('Inputs'!$B$6/2)^2)))-'Results'!C7*(0.5*(((A28+'Inputs'!$B$21+'Inputs'!$B$7+'Inputs'!$B$10)+'Inputs'!$B$9)/SQRT(((A28+'Inputs'!$B$21+'Inputs'!$B$7+'Inputs'!$B$10)+'Inputs'!$B$9)^2+('Inputs'!$B$8/2)^2)-((A28+'Inputs'!$B$21+'Inputs'!$B$7+'Inputs'!$B$10))/SQRT(((A28+'Inputs'!$B$21+'Inputs'!$B$7+'Inputs'!$B$10))^2+('Inputs'!$B$8/2)^2))))*'Results'!$B$8*'Results'!$B$9),""),"")</x:f>
        <x:v>281.63490265290324</x:v>
      </x:c>
      <x:c r="C28" s="18" t="n">
        <x:f>IF('Results'!$B$6="Inputs accepted",IF(AND(ISNUMBER('Results'!C7),ISNUMBER('Results'!B7),ISNUMBER('Results'!$B$8),ISNUMBER('Results'!$B$9),ISNUMBER('Inputs'!$B$6),ISNUMBER('Inputs'!$B$7),ISNUMBER('Inputs'!$B$8),ISNUMBER('Inputs'!$B$9),ISNUMBER('Inputs'!$B$10),ISNUMBER('Inputs'!$B$21),ISNUMBER('Inputs'!$B$24),ISNUMBER('Inputs'!$B$28)),(('Results'!C7*(0.5*(((A28+'Inputs'!$B$21)+'Inputs'!$B$9)/SQRT(((A28+'Inputs'!$B$21)+'Inputs'!$B$9)^2+('Inputs'!$B$8/2)^2)-((A28+'Inputs'!$B$21))/SQRT(((A28+'Inputs'!$B$21))^2+('Inputs'!$B$8/2)^2)))-'Results'!B7*(0.5*(((A28+'Inputs'!$B$21+'Inputs'!$B$9+'Inputs'!$B$10)+'Inputs'!$B$7)/SQRT(((A28+'Inputs'!$B$21+'Inputs'!$B$9+'Inputs'!$B$10)+'Inputs'!$B$7)^2+('Inputs'!$B$6/2)^2)-((A28+'Inputs'!$B$21+'Inputs'!$B$9+'Inputs'!$B$10))/SQRT(((A28+'Inputs'!$B$21+'Inputs'!$B$9+'Inputs'!$B$10))^2+('Inputs'!$B$6/2)^2))))*'Results'!$B$8*'Results'!$B$9),""),"")</x:f>
        <x:v>273.037128085896</x:v>
      </x:c>
      <x:c r="D28" s="18" t="n">
        <x:f>IF('Results'!$B$6="Inputs accepted",'Results'!B12,"")</x:f>
        <x:v>112.38228018798189</x:v>
      </x:c>
      <x:c r="E28" s="18" t="n">
        <x:f>IF('Results'!$B$6="Inputs accepted",'Results'!C12,"")</x:f>
        <x:v>119.21786205905865</x:v>
      </x:c>
      <x:c r="F28" s="18" t="n">
        <x:f>IF('Results'!$B$6="Inputs accepted",'Results'!B14,"")</x:f>
        <x:v>66.9055158034782</x:v>
      </x:c>
      <x:c r="G28" s="18" t="n">
        <x:f>IF('Results'!$B$6="Inputs accepted",'Results'!C14,"")</x:f>
        <x:v>70.64020731289524</x:v>
      </x:c>
      <x:c r="H28" s="2"/>
      <x:c r="I28" s="2"/>
      <x:c r="J28" s="2"/>
      <x:c r="K28" s="2"/>
      <x:c r="L28" s="2"/>
    </x:row>
    <x:row r="29" ht="22" customHeight="1">
      <x:c r="A29" s="18" t="n">
        <x:f>(29-5)*'Inputs'!$B$33/200</x:f>
        <x:v>4.8</x:v>
      </x:c>
      <x:c r="B29" s="18" t="n">
        <x:f>IF('Results'!$B$6="Inputs accepted",IF(AND(ISNUMBER('Results'!B7),ISNUMBER('Results'!C7),ISNUMBER('Results'!$B$8),ISNUMBER('Results'!$B$9),ISNUMBER('Inputs'!$B$6),ISNUMBER('Inputs'!$B$7),ISNUMBER('Inputs'!$B$8),ISNUMBER('Inputs'!$B$9),ISNUMBER('Inputs'!$B$10),ISNUMBER('Inputs'!$B$21),ISNUMBER('Inputs'!$B$24),ISNUMBER('Inputs'!$B$28)),(('Results'!B7*(0.5*(((A29+'Inputs'!$B$21)+'Inputs'!$B$7)/SQRT(((A29+'Inputs'!$B$21)+'Inputs'!$B$7)^2+('Inputs'!$B$6/2)^2)-((A29+'Inputs'!$B$21))/SQRT(((A29+'Inputs'!$B$21))^2+('Inputs'!$B$6/2)^2)))-'Results'!C7*(0.5*(((A29+'Inputs'!$B$21+'Inputs'!$B$7+'Inputs'!$B$10)+'Inputs'!$B$9)/SQRT(((A29+'Inputs'!$B$21+'Inputs'!$B$7+'Inputs'!$B$10)+'Inputs'!$B$9)^2+('Inputs'!$B$8/2)^2)-((A29+'Inputs'!$B$21+'Inputs'!$B$7+'Inputs'!$B$10))/SQRT(((A29+'Inputs'!$B$21+'Inputs'!$B$7+'Inputs'!$B$10))^2+('Inputs'!$B$8/2)^2))))*'Results'!$B$8*'Results'!$B$9),""),"")</x:f>
        <x:v>257.4127894211891</x:v>
      </x:c>
      <x:c r="C29" s="18" t="n">
        <x:f>IF('Results'!$B$6="Inputs accepted",IF(AND(ISNUMBER('Results'!C7),ISNUMBER('Results'!B7),ISNUMBER('Results'!$B$8),ISNUMBER('Results'!$B$9),ISNUMBER('Inputs'!$B$6),ISNUMBER('Inputs'!$B$7),ISNUMBER('Inputs'!$B$8),ISNUMBER('Inputs'!$B$9),ISNUMBER('Inputs'!$B$10),ISNUMBER('Inputs'!$B$21),ISNUMBER('Inputs'!$B$24),ISNUMBER('Inputs'!$B$28)),(('Results'!C7*(0.5*(((A29+'Inputs'!$B$21)+'Inputs'!$B$9)/SQRT(((A29+'Inputs'!$B$21)+'Inputs'!$B$9)^2+('Inputs'!$B$8/2)^2)-((A29+'Inputs'!$B$21))/SQRT(((A29+'Inputs'!$B$21))^2+('Inputs'!$B$8/2)^2)))-'Results'!B7*(0.5*(((A29+'Inputs'!$B$21+'Inputs'!$B$9+'Inputs'!$B$10)+'Inputs'!$B$7)/SQRT(((A29+'Inputs'!$B$21+'Inputs'!$B$9+'Inputs'!$B$10)+'Inputs'!$B$7)^2+('Inputs'!$B$6/2)^2)-((A29+'Inputs'!$B$21+'Inputs'!$B$9+'Inputs'!$B$10))/SQRT(((A29+'Inputs'!$B$21+'Inputs'!$B$9+'Inputs'!$B$10))^2+('Inputs'!$B$6/2)^2))))*'Results'!$B$8*'Results'!$B$9),""),"")</x:f>
        <x:v>249.45662516590997</x:v>
      </x:c>
      <x:c r="D29" s="18" t="n">
        <x:f>IF('Results'!$B$6="Inputs accepted",'Results'!B12,"")</x:f>
        <x:v>112.38228018798189</x:v>
      </x:c>
      <x:c r="E29" s="18" t="n">
        <x:f>IF('Results'!$B$6="Inputs accepted",'Results'!C12,"")</x:f>
        <x:v>119.21786205905865</x:v>
      </x:c>
      <x:c r="F29" s="18" t="n">
        <x:f>IF('Results'!$B$6="Inputs accepted",'Results'!B14,"")</x:f>
        <x:v>66.9055158034782</x:v>
      </x:c>
      <x:c r="G29" s="18" t="n">
        <x:f>IF('Results'!$B$6="Inputs accepted",'Results'!C14,"")</x:f>
        <x:v>70.64020731289524</x:v>
      </x:c>
      <x:c r="H29" s="2"/>
      <x:c r="I29" s="2" t="str">
        <x:v>The Solver sheet calculates threshold crossings independently of this 0–search-limit plotting grid.</x:v>
      </x:c>
      <x:c r="J29" s="2"/>
      <x:c r="K29" s="2"/>
      <x:c r="L29" s="2"/>
    </x:row>
    <x:row r="30" ht="22" customHeight="1">
      <x:c r="A30" s="18" t="n">
        <x:f>(30-5)*'Inputs'!$B$33/200</x:f>
        <x:v>5</x:v>
      </x:c>
      <x:c r="B30" s="18" t="n">
        <x:f>IF('Results'!$B$6="Inputs accepted",IF(AND(ISNUMBER('Results'!B7),ISNUMBER('Results'!C7),ISNUMBER('Results'!$B$8),ISNUMBER('Results'!$B$9),ISNUMBER('Inputs'!$B$6),ISNUMBER('Inputs'!$B$7),ISNUMBER('Inputs'!$B$8),ISNUMBER('Inputs'!$B$9),ISNUMBER('Inputs'!$B$10),ISNUMBER('Inputs'!$B$21),ISNUMBER('Inputs'!$B$24),ISNUMBER('Inputs'!$B$28)),(('Results'!B7*(0.5*(((A30+'Inputs'!$B$21)+'Inputs'!$B$7)/SQRT(((A30+'Inputs'!$B$21)+'Inputs'!$B$7)^2+('Inputs'!$B$6/2)^2)-((A30+'Inputs'!$B$21))/SQRT(((A30+'Inputs'!$B$21))^2+('Inputs'!$B$6/2)^2)))-'Results'!C7*(0.5*(((A30+'Inputs'!$B$21+'Inputs'!$B$7+'Inputs'!$B$10)+'Inputs'!$B$9)/SQRT(((A30+'Inputs'!$B$21+'Inputs'!$B$7+'Inputs'!$B$10)+'Inputs'!$B$9)^2+('Inputs'!$B$8/2)^2)-((A30+'Inputs'!$B$21+'Inputs'!$B$7+'Inputs'!$B$10))/SQRT(((A30+'Inputs'!$B$21+'Inputs'!$B$7+'Inputs'!$B$10))^2+('Inputs'!$B$8/2)^2))))*'Results'!$B$8*'Results'!$B$9),""),"")</x:f>
        <x:v>235.5971190401791</x:v>
      </x:c>
      <x:c r="C30" s="18" t="n">
        <x:f>IF('Results'!$B$6="Inputs accepted",IF(AND(ISNUMBER('Results'!C7),ISNUMBER('Results'!B7),ISNUMBER('Results'!$B$8),ISNUMBER('Results'!$B$9),ISNUMBER('Inputs'!$B$6),ISNUMBER('Inputs'!$B$7),ISNUMBER('Inputs'!$B$8),ISNUMBER('Inputs'!$B$9),ISNUMBER('Inputs'!$B$10),ISNUMBER('Inputs'!$B$21),ISNUMBER('Inputs'!$B$24),ISNUMBER('Inputs'!$B$28)),(('Results'!C7*(0.5*(((A30+'Inputs'!$B$21)+'Inputs'!$B$9)/SQRT(((A30+'Inputs'!$B$21)+'Inputs'!$B$9)^2+('Inputs'!$B$8/2)^2)-((A30+'Inputs'!$B$21))/SQRT(((A30+'Inputs'!$B$21))^2+('Inputs'!$B$8/2)^2)))-'Results'!B7*(0.5*(((A30+'Inputs'!$B$21+'Inputs'!$B$9+'Inputs'!$B$10)+'Inputs'!$B$7)/SQRT(((A30+'Inputs'!$B$21+'Inputs'!$B$9+'Inputs'!$B$10)+'Inputs'!$B$7)^2+('Inputs'!$B$6/2)^2)-((A30+'Inputs'!$B$21+'Inputs'!$B$9+'Inputs'!$B$10))/SQRT(((A30+'Inputs'!$B$21+'Inputs'!$B$9+'Inputs'!$B$10))^2+('Inputs'!$B$6/2)^2))))*'Results'!$B$8*'Results'!$B$9),""),"")</x:f>
        <x:v>228.2237615980539</x:v>
      </x:c>
      <x:c r="D30" s="18" t="n">
        <x:f>IF('Results'!$B$6="Inputs accepted",'Results'!B12,"")</x:f>
        <x:v>112.38228018798189</x:v>
      </x:c>
      <x:c r="E30" s="18" t="n">
        <x:f>IF('Results'!$B$6="Inputs accepted",'Results'!C12,"")</x:f>
        <x:v>119.21786205905865</x:v>
      </x:c>
      <x:c r="F30" s="18" t="n">
        <x:f>IF('Results'!$B$6="Inputs accepted",'Results'!B14,"")</x:f>
        <x:v>66.9055158034782</x:v>
      </x:c>
      <x:c r="G30" s="18" t="n">
        <x:f>IF('Results'!$B$6="Inputs accepted",'Results'!C14,"")</x:f>
        <x:v>70.64020731289524</x:v>
      </x:c>
      <x:c r="H30" s="2"/>
      <x:c r="I30" s="2"/>
      <x:c r="J30" s="2"/>
      <x:c r="K30" s="2"/>
      <x:c r="L30" s="2"/>
    </x:row>
    <x:row r="31" ht="22" customHeight="1">
      <x:c r="A31" s="18" t="n">
        <x:f>(31-5)*'Inputs'!$B$33/200</x:f>
        <x:v>5.2</x:v>
      </x:c>
      <x:c r="B31" s="18" t="n">
        <x:f>IF('Results'!$B$6="Inputs accepted",IF(AND(ISNUMBER('Results'!B7),ISNUMBER('Results'!C7),ISNUMBER('Results'!$B$8),ISNUMBER('Results'!$B$9),ISNUMBER('Inputs'!$B$6),ISNUMBER('Inputs'!$B$7),ISNUMBER('Inputs'!$B$8),ISNUMBER('Inputs'!$B$9),ISNUMBER('Inputs'!$B$10),ISNUMBER('Inputs'!$B$21),ISNUMBER('Inputs'!$B$24),ISNUMBER('Inputs'!$B$28)),(('Results'!B7*(0.5*(((A31+'Inputs'!$B$21)+'Inputs'!$B$7)/SQRT(((A31+'Inputs'!$B$21)+'Inputs'!$B$7)^2+('Inputs'!$B$6/2)^2)-((A31+'Inputs'!$B$21))/SQRT(((A31+'Inputs'!$B$21))^2+('Inputs'!$B$6/2)^2)))-'Results'!C7*(0.5*(((A31+'Inputs'!$B$21+'Inputs'!$B$7+'Inputs'!$B$10)+'Inputs'!$B$9)/SQRT(((A31+'Inputs'!$B$21+'Inputs'!$B$7+'Inputs'!$B$10)+'Inputs'!$B$9)^2+('Inputs'!$B$8/2)^2)-((A31+'Inputs'!$B$21+'Inputs'!$B$7+'Inputs'!$B$10))/SQRT(((A31+'Inputs'!$B$21+'Inputs'!$B$7+'Inputs'!$B$10))^2+('Inputs'!$B$8/2)^2))))*'Results'!$B$8*'Results'!$B$9),""),"")</x:f>
        <x:v>215.92937486845946</x:v>
      </x:c>
      <x:c r="C31" s="18" t="n">
        <x:f>IF('Results'!$B$6="Inputs accepted",IF(AND(ISNUMBER('Results'!C7),ISNUMBER('Results'!B7),ISNUMBER('Results'!$B$8),ISNUMBER('Results'!$B$9),ISNUMBER('Inputs'!$B$6),ISNUMBER('Inputs'!$B$7),ISNUMBER('Inputs'!$B$8),ISNUMBER('Inputs'!$B$9),ISNUMBER('Inputs'!$B$10),ISNUMBER('Inputs'!$B$21),ISNUMBER('Inputs'!$B$24),ISNUMBER('Inputs'!$B$28)),(('Results'!C7*(0.5*(((A31+'Inputs'!$B$21)+'Inputs'!$B$9)/SQRT(((A31+'Inputs'!$B$21)+'Inputs'!$B$9)^2+('Inputs'!$B$8/2)^2)-((A31+'Inputs'!$B$21))/SQRT(((A31+'Inputs'!$B$21))^2+('Inputs'!$B$8/2)^2)))-'Results'!B7*(0.5*(((A31+'Inputs'!$B$21+'Inputs'!$B$9+'Inputs'!$B$10)+'Inputs'!$B$7)/SQRT(((A31+'Inputs'!$B$21+'Inputs'!$B$9+'Inputs'!$B$10)+'Inputs'!$B$7)^2+('Inputs'!$B$6/2)^2)-((A31+'Inputs'!$B$21+'Inputs'!$B$9+'Inputs'!$B$10))/SQRT(((A31+'Inputs'!$B$21+'Inputs'!$B$9+'Inputs'!$B$10))^2+('Inputs'!$B$6/2)^2))))*'Results'!$B$8*'Results'!$B$9),""),"")</x:f>
        <x:v>209.08606150874857</x:v>
      </x:c>
      <x:c r="D31" s="18" t="n">
        <x:f>IF('Results'!$B$6="Inputs accepted",'Results'!B12,"")</x:f>
        <x:v>112.38228018798189</x:v>
      </x:c>
      <x:c r="E31" s="18" t="n">
        <x:f>IF('Results'!$B$6="Inputs accepted",'Results'!C12,"")</x:f>
        <x:v>119.21786205905865</x:v>
      </x:c>
      <x:c r="F31" s="18" t="n">
        <x:f>IF('Results'!$B$6="Inputs accepted",'Results'!B14,"")</x:f>
        <x:v>66.9055158034782</x:v>
      </x:c>
      <x:c r="G31" s="18" t="n">
        <x:f>IF('Results'!$B$6="Inputs accepted",'Results'!C14,"")</x:f>
        <x:v>70.64020731289524</x:v>
      </x:c>
      <x:c r="H31" s="2"/>
      <x:c r="I31" s="2"/>
      <x:c r="J31" s="2"/>
      <x:c r="K31" s="2"/>
      <x:c r="L31" s="2"/>
    </x:row>
    <x:row r="32" ht="22" customHeight="1">
      <x:c r="A32" s="18" t="n">
        <x:f>(32-5)*'Inputs'!$B$33/200</x:f>
        <x:v>5.4</x:v>
      </x:c>
      <x:c r="B32" s="18" t="n">
        <x:f>IF('Results'!$B$6="Inputs accepted",IF(AND(ISNUMBER('Results'!B7),ISNUMBER('Results'!C7),ISNUMBER('Results'!$B$8),ISNUMBER('Results'!$B$9),ISNUMBER('Inputs'!$B$6),ISNUMBER('Inputs'!$B$7),ISNUMBER('Inputs'!$B$8),ISNUMBER('Inputs'!$B$9),ISNUMBER('Inputs'!$B$10),ISNUMBER('Inputs'!$B$21),ISNUMBER('Inputs'!$B$24),ISNUMBER('Inputs'!$B$28)),(('Results'!B7*(0.5*(((A32+'Inputs'!$B$21)+'Inputs'!$B$7)/SQRT(((A32+'Inputs'!$B$21)+'Inputs'!$B$7)^2+('Inputs'!$B$6/2)^2)-((A32+'Inputs'!$B$21))/SQRT(((A32+'Inputs'!$B$21))^2+('Inputs'!$B$6/2)^2)))-'Results'!C7*(0.5*(((A32+'Inputs'!$B$21+'Inputs'!$B$7+'Inputs'!$B$10)+'Inputs'!$B$9)/SQRT(((A32+'Inputs'!$B$21+'Inputs'!$B$7+'Inputs'!$B$10)+'Inputs'!$B$9)^2+('Inputs'!$B$8/2)^2)-((A32+'Inputs'!$B$21+'Inputs'!$B$7+'Inputs'!$B$10))/SQRT(((A32+'Inputs'!$B$21+'Inputs'!$B$7+'Inputs'!$B$10))^2+('Inputs'!$B$8/2)^2))))*'Results'!$B$8*'Results'!$B$9),""),"")</x:f>
        <x:v>198.17874218343522</x:v>
      </x:c>
      <x:c r="C32" s="18" t="n">
        <x:f>IF('Results'!$B$6="Inputs accepted",IF(AND(ISNUMBER('Results'!C7),ISNUMBER('Results'!B7),ISNUMBER('Results'!$B$8),ISNUMBER('Results'!$B$9),ISNUMBER('Inputs'!$B$6),ISNUMBER('Inputs'!$B$7),ISNUMBER('Inputs'!$B$8),ISNUMBER('Inputs'!$B$9),ISNUMBER('Inputs'!$B$10),ISNUMBER('Inputs'!$B$21),ISNUMBER('Inputs'!$B$24),ISNUMBER('Inputs'!$B$28)),(('Results'!C7*(0.5*(((A32+'Inputs'!$B$21)+'Inputs'!$B$9)/SQRT(((A32+'Inputs'!$B$21)+'Inputs'!$B$9)^2+('Inputs'!$B$8/2)^2)-((A32+'Inputs'!$B$21))/SQRT(((A32+'Inputs'!$B$21))^2+('Inputs'!$B$8/2)^2)))-'Results'!B7*(0.5*(((A32+'Inputs'!$B$21+'Inputs'!$B$9+'Inputs'!$B$10)+'Inputs'!$B$7)/SQRT(((A32+'Inputs'!$B$21+'Inputs'!$B$9+'Inputs'!$B$10)+'Inputs'!$B$7)^2+('Inputs'!$B$6/2)^2)-((A32+'Inputs'!$B$21+'Inputs'!$B$9+'Inputs'!$B$10))/SQRT(((A32+'Inputs'!$B$21+'Inputs'!$B$9+'Inputs'!$B$10))^2+('Inputs'!$B$6/2)^2))))*'Results'!$B$8*'Results'!$B$9),""),"")</x:f>
        <x:v>191.8181152107815</x:v>
      </x:c>
      <x:c r="D32" s="18" t="n">
        <x:f>IF('Results'!$B$6="Inputs accepted",'Results'!B12,"")</x:f>
        <x:v>112.38228018798189</x:v>
      </x:c>
      <x:c r="E32" s="18" t="n">
        <x:f>IF('Results'!$B$6="Inputs accepted",'Results'!C12,"")</x:f>
        <x:v>119.21786205905865</x:v>
      </x:c>
      <x:c r="F32" s="18" t="n">
        <x:f>IF('Results'!$B$6="Inputs accepted",'Results'!B14,"")</x:f>
        <x:v>66.9055158034782</x:v>
      </x:c>
      <x:c r="G32" s="18" t="n">
        <x:f>IF('Results'!$B$6="Inputs accepted",'Results'!C14,"")</x:f>
        <x:v>70.64020731289524</x:v>
      </x:c>
      <x:c r="H32" s="2"/>
      <x:c r="I32" s="2"/>
      <x:c r="J32" s="2"/>
      <x:c r="K32" s="2"/>
      <x:c r="L32" s="2"/>
    </x:row>
    <x:row r="33" ht="22" customHeight="1">
      <x:c r="A33" s="18" t="n">
        <x:f>(33-5)*'Inputs'!$B$33/200</x:f>
        <x:v>5.6</x:v>
      </x:c>
      <x:c r="B33" s="18" t="n">
        <x:f>IF('Results'!$B$6="Inputs accepted",IF(AND(ISNUMBER('Results'!B7),ISNUMBER('Results'!C7),ISNUMBER('Results'!$B$8),ISNUMBER('Results'!$B$9),ISNUMBER('Inputs'!$B$6),ISNUMBER('Inputs'!$B$7),ISNUMBER('Inputs'!$B$8),ISNUMBER('Inputs'!$B$9),ISNUMBER('Inputs'!$B$10),ISNUMBER('Inputs'!$B$21),ISNUMBER('Inputs'!$B$24),ISNUMBER('Inputs'!$B$28)),(('Results'!B7*(0.5*(((A33+'Inputs'!$B$21)+'Inputs'!$B$7)/SQRT(((A33+'Inputs'!$B$21)+'Inputs'!$B$7)^2+('Inputs'!$B$6/2)^2)-((A33+'Inputs'!$B$21))/SQRT(((A33+'Inputs'!$B$21))^2+('Inputs'!$B$6/2)^2)))-'Results'!C7*(0.5*(((A33+'Inputs'!$B$21+'Inputs'!$B$7+'Inputs'!$B$10)+'Inputs'!$B$9)/SQRT(((A33+'Inputs'!$B$21+'Inputs'!$B$7+'Inputs'!$B$10)+'Inputs'!$B$9)^2+('Inputs'!$B$8/2)^2)-((A33+'Inputs'!$B$21+'Inputs'!$B$7+'Inputs'!$B$10))/SQRT(((A33+'Inputs'!$B$21+'Inputs'!$B$7+'Inputs'!$B$10))^2+('Inputs'!$B$8/2)^2))))*'Results'!$B$8*'Results'!$B$9),""),"")</x:f>
        <x:v>182.13963016376763</x:v>
      </x:c>
      <x:c r="C33" s="18" t="n">
        <x:f>IF('Results'!$B$6="Inputs accepted",IF(AND(ISNUMBER('Results'!C7),ISNUMBER('Results'!B7),ISNUMBER('Results'!$B$8),ISNUMBER('Results'!$B$9),ISNUMBER('Inputs'!$B$6),ISNUMBER('Inputs'!$B$7),ISNUMBER('Inputs'!$B$8),ISNUMBER('Inputs'!$B$9),ISNUMBER('Inputs'!$B$10),ISNUMBER('Inputs'!$B$21),ISNUMBER('Inputs'!$B$24),ISNUMBER('Inputs'!$B$28)),(('Results'!C7*(0.5*(((A33+'Inputs'!$B$21)+'Inputs'!$B$9)/SQRT(((A33+'Inputs'!$B$21)+'Inputs'!$B$9)^2+('Inputs'!$B$8/2)^2)-((A33+'Inputs'!$B$21))/SQRT(((A33+'Inputs'!$B$21))^2+('Inputs'!$B$8/2)^2)))-'Results'!B7*(0.5*(((A33+'Inputs'!$B$21+'Inputs'!$B$9+'Inputs'!$B$10)+'Inputs'!$B$7)/SQRT(((A33+'Inputs'!$B$21+'Inputs'!$B$9+'Inputs'!$B$10)+'Inputs'!$B$7)^2+('Inputs'!$B$6/2)^2)-((A33+'Inputs'!$B$21+'Inputs'!$B$9+'Inputs'!$B$10))/SQRT(((A33+'Inputs'!$B$21+'Inputs'!$B$9+'Inputs'!$B$10))^2+('Inputs'!$B$6/2)^2))))*'Results'!$B$8*'Results'!$B$9),""),"")</x:f>
        <x:v>176.21915930469115</x:v>
      </x:c>
      <x:c r="D33" s="18" t="n">
        <x:f>IF('Results'!$B$6="Inputs accepted",'Results'!B12,"")</x:f>
        <x:v>112.38228018798189</x:v>
      </x:c>
      <x:c r="E33" s="18" t="n">
        <x:f>IF('Results'!$B$6="Inputs accepted",'Results'!C12,"")</x:f>
        <x:v>119.21786205905865</x:v>
      </x:c>
      <x:c r="F33" s="18" t="n">
        <x:f>IF('Results'!$B$6="Inputs accepted",'Results'!B14,"")</x:f>
        <x:v>66.9055158034782</x:v>
      </x:c>
      <x:c r="G33" s="18" t="n">
        <x:f>IF('Results'!$B$6="Inputs accepted",'Results'!C14,"")</x:f>
        <x:v>70.64020731289524</x:v>
      </x:c>
      <x:c r="H33" s="2"/>
      <x:c r="I33" s="2"/>
      <x:c r="J33" s="2"/>
      <x:c r="K33" s="2"/>
      <x:c r="L33" s="2"/>
    </x:row>
    <x:row r="34" ht="22" customHeight="1">
      <x:c r="A34" s="18" t="n">
        <x:f>(34-5)*'Inputs'!$B$33/200</x:f>
        <x:v>5.8</x:v>
      </x:c>
      <x:c r="B34" s="18" t="n">
        <x:f>IF('Results'!$B$6="Inputs accepted",IF(AND(ISNUMBER('Results'!B7),ISNUMBER('Results'!C7),ISNUMBER('Results'!$B$8),ISNUMBER('Results'!$B$9),ISNUMBER('Inputs'!$B$6),ISNUMBER('Inputs'!$B$7),ISNUMBER('Inputs'!$B$8),ISNUMBER('Inputs'!$B$9),ISNUMBER('Inputs'!$B$10),ISNUMBER('Inputs'!$B$21),ISNUMBER('Inputs'!$B$24),ISNUMBER('Inputs'!$B$28)),(('Results'!B7*(0.5*(((A34+'Inputs'!$B$21)+'Inputs'!$B$7)/SQRT(((A34+'Inputs'!$B$21)+'Inputs'!$B$7)^2+('Inputs'!$B$6/2)^2)-((A34+'Inputs'!$B$21))/SQRT(((A34+'Inputs'!$B$21))^2+('Inputs'!$B$6/2)^2)))-'Results'!C7*(0.5*(((A34+'Inputs'!$B$21+'Inputs'!$B$7+'Inputs'!$B$10)+'Inputs'!$B$9)/SQRT(((A34+'Inputs'!$B$21+'Inputs'!$B$7+'Inputs'!$B$10)+'Inputs'!$B$9)^2+('Inputs'!$B$8/2)^2)-((A34+'Inputs'!$B$21+'Inputs'!$B$7+'Inputs'!$B$10))/SQRT(((A34+'Inputs'!$B$21+'Inputs'!$B$7+'Inputs'!$B$10))^2+('Inputs'!$B$8/2)^2))))*'Results'!$B$8*'Results'!$B$9),""),"")</x:f>
        <x:v>167.62922154929822</x:v>
      </x:c>
      <x:c r="C34" s="18" t="n">
        <x:f>IF('Results'!$B$6="Inputs accepted",IF(AND(ISNUMBER('Results'!C7),ISNUMBER('Results'!B7),ISNUMBER('Results'!$B$8),ISNUMBER('Results'!$B$9),ISNUMBER('Inputs'!$B$6),ISNUMBER('Inputs'!$B$7),ISNUMBER('Inputs'!$B$8),ISNUMBER('Inputs'!$B$9),ISNUMBER('Inputs'!$B$10),ISNUMBER('Inputs'!$B$21),ISNUMBER('Inputs'!$B$24),ISNUMBER('Inputs'!$B$28)),(('Results'!C7*(0.5*(((A34+'Inputs'!$B$21)+'Inputs'!$B$9)/SQRT(((A34+'Inputs'!$B$21)+'Inputs'!$B$9)^2+('Inputs'!$B$8/2)^2)-((A34+'Inputs'!$B$21))/SQRT(((A34+'Inputs'!$B$21))^2+('Inputs'!$B$8/2)^2)))-'Results'!B7*(0.5*(((A34+'Inputs'!$B$21+'Inputs'!$B$9+'Inputs'!$B$10)+'Inputs'!$B$7)/SQRT(((A34+'Inputs'!$B$21+'Inputs'!$B$9+'Inputs'!$B$10)+'Inputs'!$B$7)^2+('Inputs'!$B$6/2)^2)-((A34+'Inputs'!$B$21+'Inputs'!$B$9+'Inputs'!$B$10))/SQRT(((A34+'Inputs'!$B$21+'Inputs'!$B$9+'Inputs'!$B$10))^2+('Inputs'!$B$6/2)^2))))*'Results'!$B$8*'Results'!$B$9),""),"")</x:f>
        <x:v>162.11068292772885</x:v>
      </x:c>
      <x:c r="D34" s="18" t="n">
        <x:f>IF('Results'!$B$6="Inputs accepted",'Results'!B12,"")</x:f>
        <x:v>112.38228018798189</x:v>
      </x:c>
      <x:c r="E34" s="18" t="n">
        <x:f>IF('Results'!$B$6="Inputs accepted",'Results'!C12,"")</x:f>
        <x:v>119.21786205905865</x:v>
      </x:c>
      <x:c r="F34" s="18" t="n">
        <x:f>IF('Results'!$B$6="Inputs accepted",'Results'!B14,"")</x:f>
        <x:v>66.9055158034782</x:v>
      </x:c>
      <x:c r="G34" s="18" t="n">
        <x:f>IF('Results'!$B$6="Inputs accepted",'Results'!C14,"")</x:f>
        <x:v>70.64020731289524</x:v>
      </x:c>
      <x:c r="H34" s="2"/>
      <x:c r="I34" s="2"/>
      <x:c r="J34" s="2"/>
      <x:c r="K34" s="2"/>
      <x:c r="L34" s="2"/>
    </x:row>
    <x:row r="35" ht="22" customHeight="1">
      <x:c r="A35" s="18" t="n">
        <x:f>(35-5)*'Inputs'!$B$33/200</x:f>
        <x:v>6</x:v>
      </x:c>
      <x:c r="B35" s="18" t="n">
        <x:f>IF('Results'!$B$6="Inputs accepted",IF(AND(ISNUMBER('Results'!B7),ISNUMBER('Results'!C7),ISNUMBER('Results'!$B$8),ISNUMBER('Results'!$B$9),ISNUMBER('Inputs'!$B$6),ISNUMBER('Inputs'!$B$7),ISNUMBER('Inputs'!$B$8),ISNUMBER('Inputs'!$B$9),ISNUMBER('Inputs'!$B$10),ISNUMBER('Inputs'!$B$21),ISNUMBER('Inputs'!$B$24),ISNUMBER('Inputs'!$B$28)),(('Results'!B7*(0.5*(((A35+'Inputs'!$B$21)+'Inputs'!$B$7)/SQRT(((A35+'Inputs'!$B$21)+'Inputs'!$B$7)^2+('Inputs'!$B$6/2)^2)-((A35+'Inputs'!$B$21))/SQRT(((A35+'Inputs'!$B$21))^2+('Inputs'!$B$6/2)^2)))-'Results'!C7*(0.5*(((A35+'Inputs'!$B$21+'Inputs'!$B$7+'Inputs'!$B$10)+'Inputs'!$B$9)/SQRT(((A35+'Inputs'!$B$21+'Inputs'!$B$7+'Inputs'!$B$10)+'Inputs'!$B$9)^2+('Inputs'!$B$8/2)^2)-((A35+'Inputs'!$B$21+'Inputs'!$B$7+'Inputs'!$B$10))/SQRT(((A35+'Inputs'!$B$21+'Inputs'!$B$7+'Inputs'!$B$10))^2+('Inputs'!$B$8/2)^2))))*'Results'!$B$8*'Results'!$B$9),""),"")</x:f>
        <x:v>154.48512916670273</x:v>
      </x:c>
      <x:c r="C35" s="18" t="n">
        <x:f>IF('Results'!$B$6="Inputs accepted",IF(AND(ISNUMBER('Results'!C7),ISNUMBER('Results'!B7),ISNUMBER('Results'!$B$8),ISNUMBER('Results'!$B$9),ISNUMBER('Inputs'!$B$6),ISNUMBER('Inputs'!$B$7),ISNUMBER('Inputs'!$B$8),ISNUMBER('Inputs'!$B$9),ISNUMBER('Inputs'!$B$10),ISNUMBER('Inputs'!$B$21),ISNUMBER('Inputs'!$B$24),ISNUMBER('Inputs'!$B$28)),(('Results'!C7*(0.5*(((A35+'Inputs'!$B$21)+'Inputs'!$B$9)/SQRT(((A35+'Inputs'!$B$21)+'Inputs'!$B$9)^2+('Inputs'!$B$8/2)^2)-((A35+'Inputs'!$B$21))/SQRT(((A35+'Inputs'!$B$21))^2+('Inputs'!$B$8/2)^2)))-'Results'!B7*(0.5*(((A35+'Inputs'!$B$21+'Inputs'!$B$9+'Inputs'!$B$10)+'Inputs'!$B$7)/SQRT(((A35+'Inputs'!$B$21+'Inputs'!$B$9+'Inputs'!$B$10)+'Inputs'!$B$7)^2+('Inputs'!$B$6/2)^2)-((A35+'Inputs'!$B$21+'Inputs'!$B$9+'Inputs'!$B$10))/SQRT(((A35+'Inputs'!$B$21+'Inputs'!$B$9+'Inputs'!$B$10))^2+('Inputs'!$B$6/2)^2))))*'Results'!$B$8*'Results'!$B$9),""),"")</x:f>
        <x:v>149.33413787344364</x:v>
      </x:c>
      <x:c r="D35" s="18" t="n">
        <x:f>IF('Results'!$B$6="Inputs accepted",'Results'!B12,"")</x:f>
        <x:v>112.38228018798189</x:v>
      </x:c>
      <x:c r="E35" s="18" t="n">
        <x:f>IF('Results'!$B$6="Inputs accepted",'Results'!C12,"")</x:f>
        <x:v>119.21786205905865</x:v>
      </x:c>
      <x:c r="F35" s="18" t="n">
        <x:f>IF('Results'!$B$6="Inputs accepted",'Results'!B14,"")</x:f>
        <x:v>66.9055158034782</x:v>
      </x:c>
      <x:c r="G35" s="18" t="n">
        <x:f>IF('Results'!$B$6="Inputs accepted",'Results'!C14,"")</x:f>
        <x:v>70.64020731289524</x:v>
      </x:c>
      <x:c r="H35" s="2"/>
      <x:c r="I35" s="2"/>
      <x:c r="J35" s="2"/>
      <x:c r="K35" s="2"/>
      <x:c r="L35" s="2"/>
    </x:row>
    <x:row r="36" ht="22" customHeight="1">
      <x:c r="A36" s="18" t="n">
        <x:f>(36-5)*'Inputs'!$B$33/200</x:f>
        <x:v>6.2</x:v>
      </x:c>
      <x:c r="B36" s="18" t="n">
        <x:f>IF('Results'!$B$6="Inputs accepted",IF(AND(ISNUMBER('Results'!B7),ISNUMBER('Results'!C7),ISNUMBER('Results'!$B$8),ISNUMBER('Results'!$B$9),ISNUMBER('Inputs'!$B$6),ISNUMBER('Inputs'!$B$7),ISNUMBER('Inputs'!$B$8),ISNUMBER('Inputs'!$B$9),ISNUMBER('Inputs'!$B$10),ISNUMBER('Inputs'!$B$21),ISNUMBER('Inputs'!$B$24),ISNUMBER('Inputs'!$B$28)),(('Results'!B7*(0.5*(((A36+'Inputs'!$B$21)+'Inputs'!$B$7)/SQRT(((A36+'Inputs'!$B$21)+'Inputs'!$B$7)^2+('Inputs'!$B$6/2)^2)-((A36+'Inputs'!$B$21))/SQRT(((A36+'Inputs'!$B$21))^2+('Inputs'!$B$6/2)^2)))-'Results'!C7*(0.5*(((A36+'Inputs'!$B$21+'Inputs'!$B$7+'Inputs'!$B$10)+'Inputs'!$B$9)/SQRT(((A36+'Inputs'!$B$21+'Inputs'!$B$7+'Inputs'!$B$10)+'Inputs'!$B$9)^2+('Inputs'!$B$8/2)^2)-((A36+'Inputs'!$B$21+'Inputs'!$B$7+'Inputs'!$B$10))/SQRT(((A36+'Inputs'!$B$21+'Inputs'!$B$7+'Inputs'!$B$10))^2+('Inputs'!$B$8/2)^2))))*'Results'!$B$8*'Results'!$B$9),""),"")</x:f>
        <x:v>142.56320533434499</x:v>
      </x:c>
      <x:c r="C36" s="18" t="n">
        <x:f>IF('Results'!$B$6="Inputs accepted",IF(AND(ISNUMBER('Results'!C7),ISNUMBER('Results'!B7),ISNUMBER('Results'!$B$8),ISNUMBER('Results'!$B$9),ISNUMBER('Inputs'!$B$6),ISNUMBER('Inputs'!$B$7),ISNUMBER('Inputs'!$B$8),ISNUMBER('Inputs'!$B$9),ISNUMBER('Inputs'!$B$10),ISNUMBER('Inputs'!$B$21),ISNUMBER('Inputs'!$B$24),ISNUMBER('Inputs'!$B$28)),(('Results'!C7*(0.5*(((A36+'Inputs'!$B$21)+'Inputs'!$B$9)/SQRT(((A36+'Inputs'!$B$21)+'Inputs'!$B$9)^2+('Inputs'!$B$8/2)^2)-((A36+'Inputs'!$B$21))/SQRT(((A36+'Inputs'!$B$21))^2+('Inputs'!$B$8/2)^2)))-'Results'!B7*(0.5*(((A36+'Inputs'!$B$21+'Inputs'!$B$9+'Inputs'!$B$10)+'Inputs'!$B$7)/SQRT(((A36+'Inputs'!$B$21+'Inputs'!$B$9+'Inputs'!$B$10)+'Inputs'!$B$7)^2+('Inputs'!$B$6/2)^2)-((A36+'Inputs'!$B$21+'Inputs'!$B$9+'Inputs'!$B$10))/SQRT(((A36+'Inputs'!$B$21+'Inputs'!$B$9+'Inputs'!$B$10))^2+('Inputs'!$B$6/2)^2))))*'Results'!$B$8*'Results'!$B$9),""),"")</x:f>
        <x:v>137.74879777869666</x:v>
      </x:c>
      <x:c r="D36" s="18" t="n">
        <x:f>IF('Results'!$B$6="Inputs accepted",'Results'!B12,"")</x:f>
        <x:v>112.38228018798189</x:v>
      </x:c>
      <x:c r="E36" s="18" t="n">
        <x:f>IF('Results'!$B$6="Inputs accepted",'Results'!C12,"")</x:f>
        <x:v>119.21786205905865</x:v>
      </x:c>
      <x:c r="F36" s="18" t="n">
        <x:f>IF('Results'!$B$6="Inputs accepted",'Results'!B14,"")</x:f>
        <x:v>66.9055158034782</x:v>
      </x:c>
      <x:c r="G36" s="18" t="n">
        <x:f>IF('Results'!$B$6="Inputs accepted",'Results'!C14,"")</x:f>
        <x:v>70.64020731289524</x:v>
      </x:c>
      <x:c r="H36" s="2"/>
      <x:c r="I36" s="2"/>
      <x:c r="J36" s="2"/>
      <x:c r="K36" s="2"/>
      <x:c r="L36" s="2"/>
    </x:row>
    <x:row r="37" ht="22" customHeight="1">
      <x:c r="A37" s="18" t="n">
        <x:f>(37-5)*'Inputs'!$B$33/200</x:f>
        <x:v>6.4</x:v>
      </x:c>
      <x:c r="B37" s="18" t="n">
        <x:f>IF('Results'!$B$6="Inputs accepted",IF(AND(ISNUMBER('Results'!B7),ISNUMBER('Results'!C7),ISNUMBER('Results'!$B$8),ISNUMBER('Results'!$B$9),ISNUMBER('Inputs'!$B$6),ISNUMBER('Inputs'!$B$7),ISNUMBER('Inputs'!$B$8),ISNUMBER('Inputs'!$B$9),ISNUMBER('Inputs'!$B$10),ISNUMBER('Inputs'!$B$21),ISNUMBER('Inputs'!$B$24),ISNUMBER('Inputs'!$B$28)),(('Results'!B7*(0.5*(((A37+'Inputs'!$B$21)+'Inputs'!$B$7)/SQRT(((A37+'Inputs'!$B$21)+'Inputs'!$B$7)^2+('Inputs'!$B$6/2)^2)-((A37+'Inputs'!$B$21))/SQRT(((A37+'Inputs'!$B$21))^2+('Inputs'!$B$6/2)^2)))-'Results'!C7*(0.5*(((A37+'Inputs'!$B$21+'Inputs'!$B$7+'Inputs'!$B$10)+'Inputs'!$B$9)/SQRT(((A37+'Inputs'!$B$21+'Inputs'!$B$7+'Inputs'!$B$10)+'Inputs'!$B$9)^2+('Inputs'!$B$8/2)^2)-((A37+'Inputs'!$B$21+'Inputs'!$B$7+'Inputs'!$B$10))/SQRT(((A37+'Inputs'!$B$21+'Inputs'!$B$7+'Inputs'!$B$10))^2+('Inputs'!$B$8/2)^2))))*'Results'!$B$8*'Results'!$B$9),""),"")</x:f>
        <x:v>131.73552734907946</x:v>
      </x:c>
      <x:c r="C37" s="18" t="n">
        <x:f>IF('Results'!$B$6="Inputs accepted",IF(AND(ISNUMBER('Results'!C7),ISNUMBER('Results'!B7),ISNUMBER('Results'!$B$8),ISNUMBER('Results'!$B$9),ISNUMBER('Inputs'!$B$6),ISNUMBER('Inputs'!$B$7),ISNUMBER('Inputs'!$B$8),ISNUMBER('Inputs'!$B$9),ISNUMBER('Inputs'!$B$10),ISNUMBER('Inputs'!$B$21),ISNUMBER('Inputs'!$B$24),ISNUMBER('Inputs'!$B$28)),(('Results'!C7*(0.5*(((A37+'Inputs'!$B$21)+'Inputs'!$B$9)/SQRT(((A37+'Inputs'!$B$21)+'Inputs'!$B$9)^2+('Inputs'!$B$8/2)^2)-((A37+'Inputs'!$B$21))/SQRT(((A37+'Inputs'!$B$21))^2+('Inputs'!$B$8/2)^2)))-'Results'!B7*(0.5*(((A37+'Inputs'!$B$21+'Inputs'!$B$9+'Inputs'!$B$10)+'Inputs'!$B$7)/SQRT(((A37+'Inputs'!$B$21+'Inputs'!$B$9+'Inputs'!$B$10)+'Inputs'!$B$7)^2+('Inputs'!$B$6/2)^2)-((A37+'Inputs'!$B$21+'Inputs'!$B$9+'Inputs'!$B$10))/SQRT(((A37+'Inputs'!$B$21+'Inputs'!$B$9+'Inputs'!$B$10))^2+('Inputs'!$B$6/2)^2))))*'Results'!$B$8*'Results'!$B$9),""),"")</x:f>
        <x:v>127.2297892073514</x:v>
      </x:c>
      <x:c r="D37" s="18" t="n">
        <x:f>IF('Results'!$B$6="Inputs accepted",'Results'!B12,"")</x:f>
        <x:v>112.38228018798189</x:v>
      </x:c>
      <x:c r="E37" s="18" t="n">
        <x:f>IF('Results'!$B$6="Inputs accepted",'Results'!C12,"")</x:f>
        <x:v>119.21786205905865</x:v>
      </x:c>
      <x:c r="F37" s="18" t="n">
        <x:f>IF('Results'!$B$6="Inputs accepted",'Results'!B14,"")</x:f>
        <x:v>66.9055158034782</x:v>
      </x:c>
      <x:c r="G37" s="18" t="n">
        <x:f>IF('Results'!$B$6="Inputs accepted",'Results'!C14,"")</x:f>
        <x:v>70.64020731289524</x:v>
      </x:c>
      <x:c r="H37" s="2"/>
      <x:c r="I37" s="2"/>
      <x:c r="J37" s="2"/>
      <x:c r="K37" s="2"/>
      <x:c r="L37" s="2"/>
    </x:row>
    <x:row r="38" ht="22" customHeight="1">
      <x:c r="A38" s="18" t="n">
        <x:f>(38-5)*'Inputs'!$B$33/200</x:f>
        <x:v>6.6</x:v>
      </x:c>
      <x:c r="B38" s="18" t="n">
        <x:f>IF('Results'!$B$6="Inputs accepted",IF(AND(ISNUMBER('Results'!B7),ISNUMBER('Results'!C7),ISNUMBER('Results'!$B$8),ISNUMBER('Results'!$B$9),ISNUMBER('Inputs'!$B$6),ISNUMBER('Inputs'!$B$7),ISNUMBER('Inputs'!$B$8),ISNUMBER('Inputs'!$B$9),ISNUMBER('Inputs'!$B$10),ISNUMBER('Inputs'!$B$21),ISNUMBER('Inputs'!$B$24),ISNUMBER('Inputs'!$B$28)),(('Results'!B7*(0.5*(((A38+'Inputs'!$B$21)+'Inputs'!$B$7)/SQRT(((A38+'Inputs'!$B$21)+'Inputs'!$B$7)^2+('Inputs'!$B$6/2)^2)-((A38+'Inputs'!$B$21))/SQRT(((A38+'Inputs'!$B$21))^2+('Inputs'!$B$6/2)^2)))-'Results'!C7*(0.5*(((A38+'Inputs'!$B$21+'Inputs'!$B$7+'Inputs'!$B$10)+'Inputs'!$B$9)/SQRT(((A38+'Inputs'!$B$21+'Inputs'!$B$7+'Inputs'!$B$10)+'Inputs'!$B$9)^2+('Inputs'!$B$8/2)^2)-((A38+'Inputs'!$B$21+'Inputs'!$B$7+'Inputs'!$B$10))/SQRT(((A38+'Inputs'!$B$21+'Inputs'!$B$7+'Inputs'!$B$10))^2+('Inputs'!$B$8/2)^2))))*'Results'!$B$8*'Results'!$B$9),""),"")</x:f>
        <x:v>121.88856696974331</x:v>
      </x:c>
      <x:c r="C38" s="18" t="n">
        <x:f>IF('Results'!$B$6="Inputs accepted",IF(AND(ISNUMBER('Results'!C7),ISNUMBER('Results'!B7),ISNUMBER('Results'!$B$8),ISNUMBER('Results'!$B$9),ISNUMBER('Inputs'!$B$6),ISNUMBER('Inputs'!$B$7),ISNUMBER('Inputs'!$B$8),ISNUMBER('Inputs'!$B$9),ISNUMBER('Inputs'!$B$10),ISNUMBER('Inputs'!$B$21),ISNUMBER('Inputs'!$B$24),ISNUMBER('Inputs'!$B$28)),(('Results'!C7*(0.5*(((A38+'Inputs'!$B$21)+'Inputs'!$B$9)/SQRT(((A38+'Inputs'!$B$21)+'Inputs'!$B$9)^2+('Inputs'!$B$8/2)^2)-((A38+'Inputs'!$B$21))/SQRT(((A38+'Inputs'!$B$21))^2+('Inputs'!$B$8/2)^2)))-'Results'!B7*(0.5*(((A38+'Inputs'!$B$21+'Inputs'!$B$9+'Inputs'!$B$10)+'Inputs'!$B$7)/SQRT(((A38+'Inputs'!$B$21+'Inputs'!$B$9+'Inputs'!$B$10)+'Inputs'!$B$7)^2+('Inputs'!$B$6/2)^2)-((A38+'Inputs'!$B$21+'Inputs'!$B$9+'Inputs'!$B$10))/SQRT(((A38+'Inputs'!$B$21+'Inputs'!$B$9+'Inputs'!$B$10))^2+('Inputs'!$B$6/2)^2))))*'Results'!$B$8*'Results'!$B$9),""),"")</x:f>
        <x:v>117.66630246624318</x:v>
      </x:c>
      <x:c r="D38" s="18" t="n">
        <x:f>IF('Results'!$B$6="Inputs accepted",'Results'!B12,"")</x:f>
        <x:v>112.38228018798189</x:v>
      </x:c>
      <x:c r="E38" s="18" t="n">
        <x:f>IF('Results'!$B$6="Inputs accepted",'Results'!C12,"")</x:f>
        <x:v>119.21786205905865</x:v>
      </x:c>
      <x:c r="F38" s="18" t="n">
        <x:f>IF('Results'!$B$6="Inputs accepted",'Results'!B14,"")</x:f>
        <x:v>66.9055158034782</x:v>
      </x:c>
      <x:c r="G38" s="18" t="n">
        <x:f>IF('Results'!$B$6="Inputs accepted",'Results'!C14,"")</x:f>
        <x:v>70.64020731289524</x:v>
      </x:c>
      <x:c r="H38" s="2"/>
      <x:c r="I38" s="2"/>
      <x:c r="J38" s="2"/>
      <x:c r="K38" s="2"/>
      <x:c r="L38" s="2"/>
    </x:row>
    <x:row r="39" ht="22" customHeight="1">
      <x:c r="A39" s="18" t="n">
        <x:f>(39-5)*'Inputs'!$B$33/200</x:f>
        <x:v>6.8</x:v>
      </x:c>
      <x:c r="B39" s="18" t="n">
        <x:f>IF('Results'!$B$6="Inputs accepted",IF(AND(ISNUMBER('Results'!B7),ISNUMBER('Results'!C7),ISNUMBER('Results'!$B$8),ISNUMBER('Results'!$B$9),ISNUMBER('Inputs'!$B$6),ISNUMBER('Inputs'!$B$7),ISNUMBER('Inputs'!$B$8),ISNUMBER('Inputs'!$B$9),ISNUMBER('Inputs'!$B$10),ISNUMBER('Inputs'!$B$21),ISNUMBER('Inputs'!$B$24),ISNUMBER('Inputs'!$B$28)),(('Results'!B7*(0.5*(((A39+'Inputs'!$B$21)+'Inputs'!$B$7)/SQRT(((A39+'Inputs'!$B$21)+'Inputs'!$B$7)^2+('Inputs'!$B$6/2)^2)-((A39+'Inputs'!$B$21))/SQRT(((A39+'Inputs'!$B$21))^2+('Inputs'!$B$6/2)^2)))-'Results'!C7*(0.5*(((A39+'Inputs'!$B$21+'Inputs'!$B$7+'Inputs'!$B$10)+'Inputs'!$B$9)/SQRT(((A39+'Inputs'!$B$21+'Inputs'!$B$7+'Inputs'!$B$10)+'Inputs'!$B$9)^2+('Inputs'!$B$8/2)^2)-((A39+'Inputs'!$B$21+'Inputs'!$B$7+'Inputs'!$B$10))/SQRT(((A39+'Inputs'!$B$21+'Inputs'!$B$7+'Inputs'!$B$10))^2+('Inputs'!$B$8/2)^2))))*'Results'!$B$8*'Results'!$B$9),""),"")</x:f>
        <x:v>112.92154190034245</x:v>
      </x:c>
      <x:c r="C39" s="18" t="n">
        <x:f>IF('Results'!$B$6="Inputs accepted",IF(AND(ISNUMBER('Results'!C7),ISNUMBER('Results'!B7),ISNUMBER('Results'!$B$8),ISNUMBER('Results'!$B$9),ISNUMBER('Inputs'!$B$6),ISNUMBER('Inputs'!$B$7),ISNUMBER('Inputs'!$B$8),ISNUMBER('Inputs'!$B$9),ISNUMBER('Inputs'!$B$10),ISNUMBER('Inputs'!$B$21),ISNUMBER('Inputs'!$B$24),ISNUMBER('Inputs'!$B$28)),(('Results'!C7*(0.5*(((A39+'Inputs'!$B$21)+'Inputs'!$B$9)/SQRT(((A39+'Inputs'!$B$21)+'Inputs'!$B$9)^2+('Inputs'!$B$8/2)^2)-((A39+'Inputs'!$B$21))/SQRT(((A39+'Inputs'!$B$21))^2+('Inputs'!$B$8/2)^2)))-'Results'!B7*(0.5*(((A39+'Inputs'!$B$21+'Inputs'!$B$9+'Inputs'!$B$10)+'Inputs'!$B$7)/SQRT(((A39+'Inputs'!$B$21+'Inputs'!$B$9+'Inputs'!$B$10)+'Inputs'!$B$7)^2+('Inputs'!$B$6/2)^2)-((A39+'Inputs'!$B$21+'Inputs'!$B$9+'Inputs'!$B$10))/SQRT(((A39+'Inputs'!$B$21+'Inputs'!$B$9+'Inputs'!$B$10))^2+('Inputs'!$B$6/2)^2))))*'Results'!$B$8*'Results'!$B$9),""),"")</x:f>
        <x:v>108.95998026560167</x:v>
      </x:c>
      <x:c r="D39" s="18" t="n">
        <x:f>IF('Results'!$B$6="Inputs accepted",'Results'!B12,"")</x:f>
        <x:v>112.38228018798189</x:v>
      </x:c>
      <x:c r="E39" s="18" t="n">
        <x:f>IF('Results'!$B$6="Inputs accepted",'Results'!C12,"")</x:f>
        <x:v>119.21786205905865</x:v>
      </x:c>
      <x:c r="F39" s="18" t="n">
        <x:f>IF('Results'!$B$6="Inputs accepted",'Results'!B14,"")</x:f>
        <x:v>66.9055158034782</x:v>
      </x:c>
      <x:c r="G39" s="18" t="n">
        <x:f>IF('Results'!$B$6="Inputs accepted",'Results'!C14,"")</x:f>
        <x:v>70.64020731289524</x:v>
      </x:c>
      <x:c r="H39" s="2"/>
      <x:c r="I39" s="2"/>
      <x:c r="J39" s="2"/>
      <x:c r="K39" s="2"/>
      <x:c r="L39" s="2"/>
    </x:row>
    <x:row r="40" ht="22" customHeight="1">
      <x:c r="A40" s="18" t="n">
        <x:f>(40-5)*'Inputs'!$B$33/200</x:f>
        <x:v>7</x:v>
      </x:c>
      <x:c r="B40" s="18" t="n">
        <x:f>IF('Results'!$B$6="Inputs accepted",IF(AND(ISNUMBER('Results'!B7),ISNUMBER('Results'!C7),ISNUMBER('Results'!$B$8),ISNUMBER('Results'!$B$9),ISNUMBER('Inputs'!$B$6),ISNUMBER('Inputs'!$B$7),ISNUMBER('Inputs'!$B$8),ISNUMBER('Inputs'!$B$9),ISNUMBER('Inputs'!$B$10),ISNUMBER('Inputs'!$B$21),ISNUMBER('Inputs'!$B$24),ISNUMBER('Inputs'!$B$28)),(('Results'!B7*(0.5*(((A40+'Inputs'!$B$21)+'Inputs'!$B$7)/SQRT(((A40+'Inputs'!$B$21)+'Inputs'!$B$7)^2+('Inputs'!$B$6/2)^2)-((A40+'Inputs'!$B$21))/SQRT(((A40+'Inputs'!$B$21))^2+('Inputs'!$B$6/2)^2)))-'Results'!C7*(0.5*(((A40+'Inputs'!$B$21+'Inputs'!$B$7+'Inputs'!$B$10)+'Inputs'!$B$9)/SQRT(((A40+'Inputs'!$B$21+'Inputs'!$B$7+'Inputs'!$B$10)+'Inputs'!$B$9)^2+('Inputs'!$B$8/2)^2)-((A40+'Inputs'!$B$21+'Inputs'!$B$7+'Inputs'!$B$10))/SQRT(((A40+'Inputs'!$B$21+'Inputs'!$B$7+'Inputs'!$B$10))^2+('Inputs'!$B$8/2)^2))))*'Results'!$B$8*'Results'!$B$9),""),"")</x:f>
        <x:v>104.74494114667276</x:v>
      </x:c>
      <x:c r="C40" s="18" t="n">
        <x:f>IF('Results'!$B$6="Inputs accepted",IF(AND(ISNUMBER('Results'!C7),ISNUMBER('Results'!B7),ISNUMBER('Results'!$B$8),ISNUMBER('Results'!$B$9),ISNUMBER('Inputs'!$B$6),ISNUMBER('Inputs'!$B$7),ISNUMBER('Inputs'!$B$8),ISNUMBER('Inputs'!$B$9),ISNUMBER('Inputs'!$B$10),ISNUMBER('Inputs'!$B$21),ISNUMBER('Inputs'!$B$24),ISNUMBER('Inputs'!$B$28)),(('Results'!C7*(0.5*(((A40+'Inputs'!$B$21)+'Inputs'!$B$9)/SQRT(((A40+'Inputs'!$B$21)+'Inputs'!$B$9)^2+('Inputs'!$B$8/2)^2)-((A40+'Inputs'!$B$21))/SQRT(((A40+'Inputs'!$B$21))^2+('Inputs'!$B$8/2)^2)))-'Results'!B7*(0.5*(((A40+'Inputs'!$B$21+'Inputs'!$B$9+'Inputs'!$B$10)+'Inputs'!$B$7)/SQRT(((A40+'Inputs'!$B$21+'Inputs'!$B$9+'Inputs'!$B$10)+'Inputs'!$B$7)^2+('Inputs'!$B$6/2)^2)-((A40+'Inputs'!$B$21+'Inputs'!$B$9+'Inputs'!$B$10))/SQRT(((A40+'Inputs'!$B$21+'Inputs'!$B$9+'Inputs'!$B$10))^2+('Inputs'!$B$6/2)^2))))*'Results'!$B$8*'Results'!$B$9),""),"")</x:f>
        <x:v>101.02347632077345</x:v>
      </x:c>
      <x:c r="D40" s="18" t="n">
        <x:f>IF('Results'!$B$6="Inputs accepted",'Results'!B12,"")</x:f>
        <x:v>112.38228018798189</x:v>
      </x:c>
      <x:c r="E40" s="18" t="n">
        <x:f>IF('Results'!$B$6="Inputs accepted",'Results'!C12,"")</x:f>
        <x:v>119.21786205905865</x:v>
      </x:c>
      <x:c r="F40" s="18" t="n">
        <x:f>IF('Results'!$B$6="Inputs accepted",'Results'!B14,"")</x:f>
        <x:v>66.9055158034782</x:v>
      </x:c>
      <x:c r="G40" s="18" t="n">
        <x:f>IF('Results'!$B$6="Inputs accepted",'Results'!C14,"")</x:f>
        <x:v>70.64020731289524</x:v>
      </x:c>
      <x:c r="H40" s="2"/>
      <x:c r="I40" s="2"/>
      <x:c r="J40" s="2"/>
      <x:c r="K40" s="2"/>
      <x:c r="L40" s="2"/>
    </x:row>
    <x:row r="41" ht="22" customHeight="1">
      <x:c r="A41" s="18" t="n">
        <x:f>(41-5)*'Inputs'!$B$33/200</x:f>
        <x:v>7.2</x:v>
      </x:c>
      <x:c r="B41" s="18" t="n">
        <x:f>IF('Results'!$B$6="Inputs accepted",IF(AND(ISNUMBER('Results'!B7),ISNUMBER('Results'!C7),ISNUMBER('Results'!$B$8),ISNUMBER('Results'!$B$9),ISNUMBER('Inputs'!$B$6),ISNUMBER('Inputs'!$B$7),ISNUMBER('Inputs'!$B$8),ISNUMBER('Inputs'!$B$9),ISNUMBER('Inputs'!$B$10),ISNUMBER('Inputs'!$B$21),ISNUMBER('Inputs'!$B$24),ISNUMBER('Inputs'!$B$28)),(('Results'!B7*(0.5*(((A41+'Inputs'!$B$21)+'Inputs'!$B$7)/SQRT(((A41+'Inputs'!$B$21)+'Inputs'!$B$7)^2+('Inputs'!$B$6/2)^2)-((A41+'Inputs'!$B$21))/SQRT(((A41+'Inputs'!$B$21))^2+('Inputs'!$B$6/2)^2)))-'Results'!C7*(0.5*(((A41+'Inputs'!$B$21+'Inputs'!$B$7+'Inputs'!$B$10)+'Inputs'!$B$9)/SQRT(((A41+'Inputs'!$B$21+'Inputs'!$B$7+'Inputs'!$B$10)+'Inputs'!$B$9)^2+('Inputs'!$B$8/2)^2)-((A41+'Inputs'!$B$21+'Inputs'!$B$7+'Inputs'!$B$10))/SQRT(((A41+'Inputs'!$B$21+'Inputs'!$B$7+'Inputs'!$B$10))^2+('Inputs'!$B$8/2)^2))))*'Results'!$B$8*'Results'!$B$9),""),"")</x:f>
        <x:v>97.27921260782814</x:v>
      </x:c>
      <x:c r="C41" s="18" t="n">
        <x:f>IF('Results'!$B$6="Inputs accepted",IF(AND(ISNUMBER('Results'!C7),ISNUMBER('Results'!B7),ISNUMBER('Results'!$B$8),ISNUMBER('Results'!$B$9),ISNUMBER('Inputs'!$B$6),ISNUMBER('Inputs'!$B$7),ISNUMBER('Inputs'!$B$8),ISNUMBER('Inputs'!$B$9),ISNUMBER('Inputs'!$B$10),ISNUMBER('Inputs'!$B$21),ISNUMBER('Inputs'!$B$24),ISNUMBER('Inputs'!$B$28)),(('Results'!C7*(0.5*(((A41+'Inputs'!$B$21)+'Inputs'!$B$9)/SQRT(((A41+'Inputs'!$B$21)+'Inputs'!$B$9)^2+('Inputs'!$B$8/2)^2)-((A41+'Inputs'!$B$21))/SQRT(((A41+'Inputs'!$B$21))^2+('Inputs'!$B$8/2)^2)))-'Results'!B7*(0.5*(((A41+'Inputs'!$B$21+'Inputs'!$B$9+'Inputs'!$B$10)+'Inputs'!$B$7)/SQRT(((A41+'Inputs'!$B$21+'Inputs'!$B$9+'Inputs'!$B$10)+'Inputs'!$B$7)^2+('Inputs'!$B$6/2)^2)-((A41+'Inputs'!$B$21+'Inputs'!$B$9+'Inputs'!$B$10))/SQRT(((A41+'Inputs'!$B$21+'Inputs'!$B$9+'Inputs'!$B$10))^2+('Inputs'!$B$6/2)^2))))*'Results'!$B$8*'Results'!$B$9),""),"")</x:f>
        <x:v>93.77917254251165</x:v>
      </x:c>
      <x:c r="D41" s="18" t="n">
        <x:f>IF('Results'!$B$6="Inputs accepted",'Results'!B12,"")</x:f>
        <x:v>112.38228018798189</x:v>
      </x:c>
      <x:c r="E41" s="18" t="n">
        <x:f>IF('Results'!$B$6="Inputs accepted",'Results'!C12,"")</x:f>
        <x:v>119.21786205905865</x:v>
      </x:c>
      <x:c r="F41" s="18" t="n">
        <x:f>IF('Results'!$B$6="Inputs accepted",'Results'!B14,"")</x:f>
        <x:v>66.9055158034782</x:v>
      </x:c>
      <x:c r="G41" s="18" t="n">
        <x:f>IF('Results'!$B$6="Inputs accepted",'Results'!C14,"")</x:f>
        <x:v>70.64020731289524</x:v>
      </x:c>
      <x:c r="H41" s="2"/>
      <x:c r="I41" s="2"/>
      <x:c r="J41" s="2"/>
      <x:c r="K41" s="2"/>
      <x:c r="L41" s="2"/>
    </x:row>
    <x:row r="42" ht="22" customHeight="1">
      <x:c r="A42" s="18" t="n">
        <x:f>(42-5)*'Inputs'!$B$33/200</x:f>
        <x:v>7.4</x:v>
      </x:c>
      <x:c r="B42" s="18" t="n">
        <x:f>IF('Results'!$B$6="Inputs accepted",IF(AND(ISNUMBER('Results'!B7),ISNUMBER('Results'!C7),ISNUMBER('Results'!$B$8),ISNUMBER('Results'!$B$9),ISNUMBER('Inputs'!$B$6),ISNUMBER('Inputs'!$B$7),ISNUMBER('Inputs'!$B$8),ISNUMBER('Inputs'!$B$9),ISNUMBER('Inputs'!$B$10),ISNUMBER('Inputs'!$B$21),ISNUMBER('Inputs'!$B$24),ISNUMBER('Inputs'!$B$28)),(('Results'!B7*(0.5*(((A42+'Inputs'!$B$21)+'Inputs'!$B$7)/SQRT(((A42+'Inputs'!$B$21)+'Inputs'!$B$7)^2+('Inputs'!$B$6/2)^2)-((A42+'Inputs'!$B$21))/SQRT(((A42+'Inputs'!$B$21))^2+('Inputs'!$B$6/2)^2)))-'Results'!C7*(0.5*(((A42+'Inputs'!$B$21+'Inputs'!$B$7+'Inputs'!$B$10)+'Inputs'!$B$9)/SQRT(((A42+'Inputs'!$B$21+'Inputs'!$B$7+'Inputs'!$B$10)+'Inputs'!$B$9)^2+('Inputs'!$B$8/2)^2)-((A42+'Inputs'!$B$21+'Inputs'!$B$7+'Inputs'!$B$10))/SQRT(((A42+'Inputs'!$B$21+'Inputs'!$B$7+'Inputs'!$B$10))^2+('Inputs'!$B$8/2)^2))))*'Results'!$B$8*'Results'!$B$9),""),"")</x:f>
        <x:v>90.45359952745744</x:v>
      </x:c>
      <x:c r="C42" s="18" t="n">
        <x:f>IF('Results'!$B$6="Inputs accepted",IF(AND(ISNUMBER('Results'!C7),ISNUMBER('Results'!B7),ISNUMBER('Results'!$B$8),ISNUMBER('Results'!$B$9),ISNUMBER('Inputs'!$B$6),ISNUMBER('Inputs'!$B$7),ISNUMBER('Inputs'!$B$8),ISNUMBER('Inputs'!$B$9),ISNUMBER('Inputs'!$B$10),ISNUMBER('Inputs'!$B$21),ISNUMBER('Inputs'!$B$24),ISNUMBER('Inputs'!$B$28)),(('Results'!C7*(0.5*(((A42+'Inputs'!$B$21)+'Inputs'!$B$9)/SQRT(((A42+'Inputs'!$B$21)+'Inputs'!$B$9)^2+('Inputs'!$B$8/2)^2)-((A42+'Inputs'!$B$21))/SQRT(((A42+'Inputs'!$B$21))^2+('Inputs'!$B$8/2)^2)))-'Results'!B7*(0.5*(((A42+'Inputs'!$B$21+'Inputs'!$B$9+'Inputs'!$B$10)+'Inputs'!$B$7)/SQRT(((A42+'Inputs'!$B$21+'Inputs'!$B$9+'Inputs'!$B$10)+'Inputs'!$B$7)^2+('Inputs'!$B$6/2)^2)-((A42+'Inputs'!$B$21+'Inputs'!$B$9+'Inputs'!$B$10))/SQRT(((A42+'Inputs'!$B$21+'Inputs'!$B$9+'Inputs'!$B$10))^2+('Inputs'!$B$6/2)^2))))*'Results'!$B$8*'Results'!$B$9),""),"")</x:f>
        <x:v>87.15804175467935</x:v>
      </x:c>
      <x:c r="D42" s="18" t="n">
        <x:f>IF('Results'!$B$6="Inputs accepted",'Results'!B12,"")</x:f>
        <x:v>112.38228018798189</x:v>
      </x:c>
      <x:c r="E42" s="18" t="n">
        <x:f>IF('Results'!$B$6="Inputs accepted",'Results'!C12,"")</x:f>
        <x:v>119.21786205905865</x:v>
      </x:c>
      <x:c r="F42" s="18" t="n">
        <x:f>IF('Results'!$B$6="Inputs accepted",'Results'!B14,"")</x:f>
        <x:v>66.9055158034782</x:v>
      </x:c>
      <x:c r="G42" s="18" t="n">
        <x:f>IF('Results'!$B$6="Inputs accepted",'Results'!C14,"")</x:f>
        <x:v>70.64020731289524</x:v>
      </x:c>
      <x:c r="H42" s="2"/>
      <x:c r="I42" s="2"/>
      <x:c r="J42" s="2"/>
      <x:c r="K42" s="2"/>
      <x:c r="L42" s="2"/>
    </x:row>
    <x:row r="43" ht="22" customHeight="1">
      <x:c r="A43" s="18" t="n">
        <x:f>(43-5)*'Inputs'!$B$33/200</x:f>
        <x:v>7.6</x:v>
      </x:c>
      <x:c r="B43" s="18" t="n">
        <x:f>IF('Results'!$B$6="Inputs accepted",IF(AND(ISNUMBER('Results'!B7),ISNUMBER('Results'!C7),ISNUMBER('Results'!$B$8),ISNUMBER('Results'!$B$9),ISNUMBER('Inputs'!$B$6),ISNUMBER('Inputs'!$B$7),ISNUMBER('Inputs'!$B$8),ISNUMBER('Inputs'!$B$9),ISNUMBER('Inputs'!$B$10),ISNUMBER('Inputs'!$B$21),ISNUMBER('Inputs'!$B$24),ISNUMBER('Inputs'!$B$28)),(('Results'!B7*(0.5*(((A43+'Inputs'!$B$21)+'Inputs'!$B$7)/SQRT(((A43+'Inputs'!$B$21)+'Inputs'!$B$7)^2+('Inputs'!$B$6/2)^2)-((A43+'Inputs'!$B$21))/SQRT(((A43+'Inputs'!$B$21))^2+('Inputs'!$B$6/2)^2)))-'Results'!C7*(0.5*(((A43+'Inputs'!$B$21+'Inputs'!$B$7+'Inputs'!$B$10)+'Inputs'!$B$9)/SQRT(((A43+'Inputs'!$B$21+'Inputs'!$B$7+'Inputs'!$B$10)+'Inputs'!$B$9)^2+('Inputs'!$B$8/2)^2)-((A43+'Inputs'!$B$21+'Inputs'!$B$7+'Inputs'!$B$10))/SQRT(((A43+'Inputs'!$B$21+'Inputs'!$B$7+'Inputs'!$B$10))^2+('Inputs'!$B$8/2)^2))))*'Results'!$B$8*'Results'!$B$9),""),"")</x:f>
        <x:v>84.20511186888912</x:v>
      </x:c>
      <x:c r="C43" s="18" t="n">
        <x:f>IF('Results'!$B$6="Inputs accepted",IF(AND(ISNUMBER('Results'!C7),ISNUMBER('Results'!B7),ISNUMBER('Results'!$B$8),ISNUMBER('Results'!$B$9),ISNUMBER('Inputs'!$B$6),ISNUMBER('Inputs'!$B$7),ISNUMBER('Inputs'!$B$8),ISNUMBER('Inputs'!$B$9),ISNUMBER('Inputs'!$B$10),ISNUMBER('Inputs'!$B$21),ISNUMBER('Inputs'!$B$24),ISNUMBER('Inputs'!$B$28)),(('Results'!C7*(0.5*(((A43+'Inputs'!$B$21)+'Inputs'!$B$9)/SQRT(((A43+'Inputs'!$B$21)+'Inputs'!$B$9)^2+('Inputs'!$B$8/2)^2)-((A43+'Inputs'!$B$21))/SQRT(((A43+'Inputs'!$B$21))^2+('Inputs'!$B$8/2)^2)))-'Results'!B7*(0.5*(((A43+'Inputs'!$B$21+'Inputs'!$B$9+'Inputs'!$B$10)+'Inputs'!$B$7)/SQRT(((A43+'Inputs'!$B$21+'Inputs'!$B$9+'Inputs'!$B$10)+'Inputs'!$B$7)^2+('Inputs'!$B$6/2)^2)-((A43+'Inputs'!$B$21+'Inputs'!$B$9+'Inputs'!$B$10))/SQRT(((A43+'Inputs'!$B$21+'Inputs'!$B$9+'Inputs'!$B$10))^2+('Inputs'!$B$6/2)^2))))*'Results'!$B$8*'Results'!$B$9),""),"")</x:f>
        <x:v>81.09864232296846</x:v>
      </x:c>
      <x:c r="D43" s="18" t="n">
        <x:f>IF('Results'!$B$6="Inputs accepted",'Results'!B12,"")</x:f>
        <x:v>112.38228018798189</x:v>
      </x:c>
      <x:c r="E43" s="18" t="n">
        <x:f>IF('Results'!$B$6="Inputs accepted",'Results'!C12,"")</x:f>
        <x:v>119.21786205905865</x:v>
      </x:c>
      <x:c r="F43" s="18" t="n">
        <x:f>IF('Results'!$B$6="Inputs accepted",'Results'!B14,"")</x:f>
        <x:v>66.9055158034782</x:v>
      </x:c>
      <x:c r="G43" s="18" t="n">
        <x:f>IF('Results'!$B$6="Inputs accepted",'Results'!C14,"")</x:f>
        <x:v>70.64020731289524</x:v>
      </x:c>
      <x:c r="H43" s="2"/>
      <x:c r="I43" s="2"/>
      <x:c r="J43" s="2"/>
      <x:c r="K43" s="2"/>
      <x:c r="L43" s="2"/>
    </x:row>
    <x:row r="44" ht="22" customHeight="1">
      <x:c r="A44" s="18" t="n">
        <x:f>(44-5)*'Inputs'!$B$33/200</x:f>
        <x:v>7.8</x:v>
      </x:c>
      <x:c r="B44" s="18" t="n">
        <x:f>IF('Results'!$B$6="Inputs accepted",IF(AND(ISNUMBER('Results'!B7),ISNUMBER('Results'!C7),ISNUMBER('Results'!$B$8),ISNUMBER('Results'!$B$9),ISNUMBER('Inputs'!$B$6),ISNUMBER('Inputs'!$B$7),ISNUMBER('Inputs'!$B$8),ISNUMBER('Inputs'!$B$9),ISNUMBER('Inputs'!$B$10),ISNUMBER('Inputs'!$B$21),ISNUMBER('Inputs'!$B$24),ISNUMBER('Inputs'!$B$28)),(('Results'!B7*(0.5*(((A44+'Inputs'!$B$21)+'Inputs'!$B$7)/SQRT(((A44+'Inputs'!$B$21)+'Inputs'!$B$7)^2+('Inputs'!$B$6/2)^2)-((A44+'Inputs'!$B$21))/SQRT(((A44+'Inputs'!$B$21))^2+('Inputs'!$B$6/2)^2)))-'Results'!C7*(0.5*(((A44+'Inputs'!$B$21+'Inputs'!$B$7+'Inputs'!$B$10)+'Inputs'!$B$9)/SQRT(((A44+'Inputs'!$B$21+'Inputs'!$B$7+'Inputs'!$B$10)+'Inputs'!$B$9)^2+('Inputs'!$B$8/2)^2)-((A44+'Inputs'!$B$21+'Inputs'!$B$7+'Inputs'!$B$10))/SQRT(((A44+'Inputs'!$B$21+'Inputs'!$B$7+'Inputs'!$B$10))^2+('Inputs'!$B$8/2)^2))))*'Results'!$B$8*'Results'!$B$9),""),"")</x:f>
        <x:v>78.47761887102332</x:v>
      </x:c>
      <x:c r="C44" s="18" t="n">
        <x:f>IF('Results'!$B$6="Inputs accepted",IF(AND(ISNUMBER('Results'!C7),ISNUMBER('Results'!B7),ISNUMBER('Results'!$B$8),ISNUMBER('Results'!$B$9),ISNUMBER('Inputs'!$B$6),ISNUMBER('Inputs'!$B$7),ISNUMBER('Inputs'!$B$8),ISNUMBER('Inputs'!$B$9),ISNUMBER('Inputs'!$B$10),ISNUMBER('Inputs'!$B$21),ISNUMBER('Inputs'!$B$24),ISNUMBER('Inputs'!$B$28)),(('Results'!C7*(0.5*(((A44+'Inputs'!$B$21)+'Inputs'!$B$9)/SQRT(((A44+'Inputs'!$B$21)+'Inputs'!$B$9)^2+('Inputs'!$B$8/2)^2)-((A44+'Inputs'!$B$21))/SQRT(((A44+'Inputs'!$B$21))^2+('Inputs'!$B$8/2)^2)))-'Results'!B7*(0.5*(((A44+'Inputs'!$B$21+'Inputs'!$B$9+'Inputs'!$B$10)+'Inputs'!$B$7)/SQRT(((A44+'Inputs'!$B$21+'Inputs'!$B$9+'Inputs'!$B$10)+'Inputs'!$B$7)^2+('Inputs'!$B$6/2)^2)-((A44+'Inputs'!$B$21+'Inputs'!$B$9+'Inputs'!$B$10))/SQRT(((A44+'Inputs'!$B$21+'Inputs'!$B$9+'Inputs'!$B$10))^2+('Inputs'!$B$6/2)^2))))*'Results'!$B$8*'Results'!$B$9),""),"")</x:f>
        <x:v>75.54623126217471</x:v>
      </x:c>
      <x:c r="D44" s="18" t="n">
        <x:f>IF('Results'!$B$6="Inputs accepted",'Results'!B12,"")</x:f>
        <x:v>112.38228018798189</x:v>
      </x:c>
      <x:c r="E44" s="18" t="n">
        <x:f>IF('Results'!$B$6="Inputs accepted",'Results'!C12,"")</x:f>
        <x:v>119.21786205905865</x:v>
      </x:c>
      <x:c r="F44" s="18" t="n">
        <x:f>IF('Results'!$B$6="Inputs accepted",'Results'!B14,"")</x:f>
        <x:v>66.9055158034782</x:v>
      </x:c>
      <x:c r="G44" s="18" t="n">
        <x:f>IF('Results'!$B$6="Inputs accepted",'Results'!C14,"")</x:f>
        <x:v>70.64020731289524</x:v>
      </x:c>
      <x:c r="H44" s="2"/>
      <x:c r="I44" s="2"/>
      <x:c r="J44" s="2"/>
      <x:c r="K44" s="2"/>
      <x:c r="L44" s="2"/>
    </x:row>
    <x:row r="45" ht="22" customHeight="1">
      <x:c r="A45" s="18" t="n">
        <x:f>(45-5)*'Inputs'!$B$33/200</x:f>
        <x:v>8</x:v>
      </x:c>
      <x:c r="B45" s="18" t="n">
        <x:f>IF('Results'!$B$6="Inputs accepted",IF(AND(ISNUMBER('Results'!B7),ISNUMBER('Results'!C7),ISNUMBER('Results'!$B$8),ISNUMBER('Results'!$B$9),ISNUMBER('Inputs'!$B$6),ISNUMBER('Inputs'!$B$7),ISNUMBER('Inputs'!$B$8),ISNUMBER('Inputs'!$B$9),ISNUMBER('Inputs'!$B$10),ISNUMBER('Inputs'!$B$21),ISNUMBER('Inputs'!$B$24),ISNUMBER('Inputs'!$B$28)),(('Results'!B7*(0.5*(((A45+'Inputs'!$B$21)+'Inputs'!$B$7)/SQRT(((A45+'Inputs'!$B$21)+'Inputs'!$B$7)^2+('Inputs'!$B$6/2)^2)-((A45+'Inputs'!$B$21))/SQRT(((A45+'Inputs'!$B$21))^2+('Inputs'!$B$6/2)^2)))-'Results'!C7*(0.5*(((A45+'Inputs'!$B$21+'Inputs'!$B$7+'Inputs'!$B$10)+'Inputs'!$B$9)/SQRT(((A45+'Inputs'!$B$21+'Inputs'!$B$7+'Inputs'!$B$10)+'Inputs'!$B$9)^2+('Inputs'!$B$8/2)^2)-((A45+'Inputs'!$B$21+'Inputs'!$B$7+'Inputs'!$B$10))/SQRT(((A45+'Inputs'!$B$21+'Inputs'!$B$7+'Inputs'!$B$10))^2+('Inputs'!$B$8/2)^2))))*'Results'!$B$8*'Results'!$B$9),""),"")</x:f>
        <x:v>73.22104969471107</x:v>
      </x:c>
      <x:c r="C45" s="18" t="n">
        <x:f>IF('Results'!$B$6="Inputs accepted",IF(AND(ISNUMBER('Results'!C7),ISNUMBER('Results'!B7),ISNUMBER('Results'!$B$8),ISNUMBER('Results'!$B$9),ISNUMBER('Inputs'!$B$6),ISNUMBER('Inputs'!$B$7),ISNUMBER('Inputs'!$B$8),ISNUMBER('Inputs'!$B$9),ISNUMBER('Inputs'!$B$10),ISNUMBER('Inputs'!$B$21),ISNUMBER('Inputs'!$B$24),ISNUMBER('Inputs'!$B$28)),(('Results'!C7*(0.5*(((A45+'Inputs'!$B$21)+'Inputs'!$B$9)/SQRT(((A45+'Inputs'!$B$21)+'Inputs'!$B$9)^2+('Inputs'!$B$8/2)^2)-((A45+'Inputs'!$B$21))/SQRT(((A45+'Inputs'!$B$21))^2+('Inputs'!$B$8/2)^2)))-'Results'!B7*(0.5*(((A45+'Inputs'!$B$21+'Inputs'!$B$9+'Inputs'!$B$10)+'Inputs'!$B$7)/SQRT(((A45+'Inputs'!$B$21+'Inputs'!$B$9+'Inputs'!$B$10)+'Inputs'!$B$7)^2+('Inputs'!$B$6/2)^2)-((A45+'Inputs'!$B$21+'Inputs'!$B$9+'Inputs'!$B$10))/SQRT(((A45+'Inputs'!$B$21+'Inputs'!$B$9+'Inputs'!$B$10))^2+('Inputs'!$B$6/2)^2))))*'Results'!$B$8*'Results'!$B$9),""),"")</x:f>
        <x:v>70.45198302499003</x:v>
      </x:c>
      <x:c r="D45" s="18" t="n">
        <x:f>IF('Results'!$B$6="Inputs accepted",'Results'!B12,"")</x:f>
        <x:v>112.38228018798189</x:v>
      </x:c>
      <x:c r="E45" s="18" t="n">
        <x:f>IF('Results'!$B$6="Inputs accepted",'Results'!C12,"")</x:f>
        <x:v>119.21786205905865</x:v>
      </x:c>
      <x:c r="F45" s="18" t="n">
        <x:f>IF('Results'!$B$6="Inputs accepted",'Results'!B14,"")</x:f>
        <x:v>66.9055158034782</x:v>
      </x:c>
      <x:c r="G45" s="18" t="n">
        <x:f>IF('Results'!$B$6="Inputs accepted",'Results'!C14,"")</x:f>
        <x:v>70.64020731289524</x:v>
      </x:c>
      <x:c r="H45" s="2"/>
      <x:c r="I45" s="2"/>
      <x:c r="J45" s="2"/>
      <x:c r="K45" s="2"/>
      <x:c r="L45" s="2"/>
    </x:row>
    <x:row r="46" ht="22" customHeight="1">
      <x:c r="A46" s="18" t="n">
        <x:f>(46-5)*'Inputs'!$B$33/200</x:f>
        <x:v>8.2</x:v>
      </x:c>
      <x:c r="B46" s="18" t="n">
        <x:f>IF('Results'!$B$6="Inputs accepted",IF(AND(ISNUMBER('Results'!B7),ISNUMBER('Results'!C7),ISNUMBER('Results'!$B$8),ISNUMBER('Results'!$B$9),ISNUMBER('Inputs'!$B$6),ISNUMBER('Inputs'!$B$7),ISNUMBER('Inputs'!$B$8),ISNUMBER('Inputs'!$B$9),ISNUMBER('Inputs'!$B$10),ISNUMBER('Inputs'!$B$21),ISNUMBER('Inputs'!$B$24),ISNUMBER('Inputs'!$B$28)),(('Results'!B7*(0.5*(((A46+'Inputs'!$B$21)+'Inputs'!$B$7)/SQRT(((A46+'Inputs'!$B$21)+'Inputs'!$B$7)^2+('Inputs'!$B$6/2)^2)-((A46+'Inputs'!$B$21))/SQRT(((A46+'Inputs'!$B$21))^2+('Inputs'!$B$6/2)^2)))-'Results'!C7*(0.5*(((A46+'Inputs'!$B$21+'Inputs'!$B$7+'Inputs'!$B$10)+'Inputs'!$B$9)/SQRT(((A46+'Inputs'!$B$21+'Inputs'!$B$7+'Inputs'!$B$10)+'Inputs'!$B$9)^2+('Inputs'!$B$8/2)^2)-((A46+'Inputs'!$B$21+'Inputs'!$B$7+'Inputs'!$B$10))/SQRT(((A46+'Inputs'!$B$21+'Inputs'!$B$7+'Inputs'!$B$10))^2+('Inputs'!$B$8/2)^2))))*'Results'!$B$8*'Results'!$B$9),""),"")</x:f>
        <x:v>68.3906899811868</x:v>
      </x:c>
      <x:c r="C46" s="18" t="n">
        <x:f>IF('Results'!$B$6="Inputs accepted",IF(AND(ISNUMBER('Results'!C7),ISNUMBER('Results'!B7),ISNUMBER('Results'!$B$8),ISNUMBER('Results'!$B$9),ISNUMBER('Inputs'!$B$6),ISNUMBER('Inputs'!$B$7),ISNUMBER('Inputs'!$B$8),ISNUMBER('Inputs'!$B$9),ISNUMBER('Inputs'!$B$10),ISNUMBER('Inputs'!$B$21),ISNUMBER('Inputs'!$B$24),ISNUMBER('Inputs'!$B$28)),(('Results'!C7*(0.5*(((A46+'Inputs'!$B$21)+'Inputs'!$B$9)/SQRT(((A46+'Inputs'!$B$21)+'Inputs'!$B$9)^2+('Inputs'!$B$8/2)^2)-((A46+'Inputs'!$B$21))/SQRT(((A46+'Inputs'!$B$21))^2+('Inputs'!$B$8/2)^2)))-'Results'!B7*(0.5*(((A46+'Inputs'!$B$21+'Inputs'!$B$9+'Inputs'!$B$10)+'Inputs'!$B$7)/SQRT(((A46+'Inputs'!$B$21+'Inputs'!$B$9+'Inputs'!$B$10)+'Inputs'!$B$7)^2+('Inputs'!$B$6/2)^2)-((A46+'Inputs'!$B$21+'Inputs'!$B$9+'Inputs'!$B$10))/SQRT(((A46+'Inputs'!$B$21+'Inputs'!$B$9+'Inputs'!$B$10))^2+('Inputs'!$B$6/2)^2))))*'Results'!$B$8*'Results'!$B$9),""),"")</x:f>
        <x:v>65.7723020650913</x:v>
      </x:c>
      <x:c r="D46" s="18" t="n">
        <x:f>IF('Results'!$B$6="Inputs accepted",'Results'!B12,"")</x:f>
        <x:v>112.38228018798189</x:v>
      </x:c>
      <x:c r="E46" s="18" t="n">
        <x:f>IF('Results'!$B$6="Inputs accepted",'Results'!C12,"")</x:f>
        <x:v>119.21786205905865</x:v>
      </x:c>
      <x:c r="F46" s="18" t="n">
        <x:f>IF('Results'!$B$6="Inputs accepted",'Results'!B14,"")</x:f>
        <x:v>66.9055158034782</x:v>
      </x:c>
      <x:c r="G46" s="18" t="n">
        <x:f>IF('Results'!$B$6="Inputs accepted",'Results'!C14,"")</x:f>
        <x:v>70.64020731289524</x:v>
      </x:c>
      <x:c r="H46" s="2"/>
      <x:c r="I46" s="2"/>
      <x:c r="J46" s="2"/>
      <x:c r="K46" s="2"/>
      <x:c r="L46" s="2"/>
    </x:row>
    <x:row r="47" ht="22" customHeight="1">
      <x:c r="A47" s="18" t="n">
        <x:f>(47-5)*'Inputs'!$B$33/200</x:f>
        <x:v>8.4</x:v>
      </x:c>
      <x:c r="B47" s="18" t="n">
        <x:f>IF('Results'!$B$6="Inputs accepted",IF(AND(ISNUMBER('Results'!B7),ISNUMBER('Results'!C7),ISNUMBER('Results'!$B$8),ISNUMBER('Results'!$B$9),ISNUMBER('Inputs'!$B$6),ISNUMBER('Inputs'!$B$7),ISNUMBER('Inputs'!$B$8),ISNUMBER('Inputs'!$B$9),ISNUMBER('Inputs'!$B$10),ISNUMBER('Inputs'!$B$21),ISNUMBER('Inputs'!$B$24),ISNUMBER('Inputs'!$B$28)),(('Results'!B7*(0.5*(((A47+'Inputs'!$B$21)+'Inputs'!$B$7)/SQRT(((A47+'Inputs'!$B$21)+'Inputs'!$B$7)^2+('Inputs'!$B$6/2)^2)-((A47+'Inputs'!$B$21))/SQRT(((A47+'Inputs'!$B$21))^2+('Inputs'!$B$6/2)^2)))-'Results'!C7*(0.5*(((A47+'Inputs'!$B$21+'Inputs'!$B$7+'Inputs'!$B$10)+'Inputs'!$B$9)/SQRT(((A47+'Inputs'!$B$21+'Inputs'!$B$7+'Inputs'!$B$10)+'Inputs'!$B$9)^2+('Inputs'!$B$8/2)^2)-((A47+'Inputs'!$B$21+'Inputs'!$B$7+'Inputs'!$B$10))/SQRT(((A47+'Inputs'!$B$21+'Inputs'!$B$7+'Inputs'!$B$10))^2+('Inputs'!$B$8/2)^2))))*'Results'!$B$8*'Results'!$B$9),""),"")</x:f>
        <x:v>63.94656318027028</x:v>
      </x:c>
      <x:c r="C47" s="18" t="n">
        <x:f>IF('Results'!$B$6="Inputs accepted",IF(AND(ISNUMBER('Results'!C7),ISNUMBER('Results'!B7),ISNUMBER('Results'!$B$8),ISNUMBER('Results'!$B$9),ISNUMBER('Inputs'!$B$6),ISNUMBER('Inputs'!$B$7),ISNUMBER('Inputs'!$B$8),ISNUMBER('Inputs'!$B$9),ISNUMBER('Inputs'!$B$10),ISNUMBER('Inputs'!$B$21),ISNUMBER('Inputs'!$B$24),ISNUMBER('Inputs'!$B$28)),(('Results'!C7*(0.5*(((A47+'Inputs'!$B$21)+'Inputs'!$B$9)/SQRT(((A47+'Inputs'!$B$21)+'Inputs'!$B$9)^2+('Inputs'!$B$8/2)^2)-((A47+'Inputs'!$B$21))/SQRT(((A47+'Inputs'!$B$21))^2+('Inputs'!$B$8/2)^2)))-'Results'!B7*(0.5*(((A47+'Inputs'!$B$21+'Inputs'!$B$9+'Inputs'!$B$10)+'Inputs'!$B$7)/SQRT(((A47+'Inputs'!$B$21+'Inputs'!$B$9+'Inputs'!$B$10)+'Inputs'!$B$7)^2+('Inputs'!$B$6/2)^2)-((A47+'Inputs'!$B$21+'Inputs'!$B$9+'Inputs'!$B$10))/SQRT(((A47+'Inputs'!$B$21+'Inputs'!$B$9+'Inputs'!$B$10))^2+('Inputs'!$B$6/2)^2))))*'Results'!$B$8*'Results'!$B$9),""),"")</x:f>
        <x:v>61.46821827942006</x:v>
      </x:c>
      <x:c r="D47" s="18" t="n">
        <x:f>IF('Results'!$B$6="Inputs accepted",'Results'!B12,"")</x:f>
        <x:v>112.38228018798189</x:v>
      </x:c>
      <x:c r="E47" s="18" t="n">
        <x:f>IF('Results'!$B$6="Inputs accepted",'Results'!C12,"")</x:f>
        <x:v>119.21786205905865</x:v>
      </x:c>
      <x:c r="F47" s="18" t="n">
        <x:f>IF('Results'!$B$6="Inputs accepted",'Results'!B14,"")</x:f>
        <x:v>66.9055158034782</x:v>
      </x:c>
      <x:c r="G47" s="18" t="n">
        <x:f>IF('Results'!$B$6="Inputs accepted",'Results'!C14,"")</x:f>
        <x:v>70.64020731289524</x:v>
      </x:c>
      <x:c r="H47" s="2"/>
      <x:c r="I47" s="2"/>
      <x:c r="J47" s="2"/>
      <x:c r="K47" s="2"/>
      <x:c r="L47" s="2"/>
    </x:row>
    <x:row r="48" ht="22" customHeight="1">
      <x:c r="A48" s="18" t="n">
        <x:f>(48-5)*'Inputs'!$B$33/200</x:f>
        <x:v>8.6</x:v>
      </x:c>
      <x:c r="B48" s="18" t="n">
        <x:f>IF('Results'!$B$6="Inputs accepted",IF(AND(ISNUMBER('Results'!B7),ISNUMBER('Results'!C7),ISNUMBER('Results'!$B$8),ISNUMBER('Results'!$B$9),ISNUMBER('Inputs'!$B$6),ISNUMBER('Inputs'!$B$7),ISNUMBER('Inputs'!$B$8),ISNUMBER('Inputs'!$B$9),ISNUMBER('Inputs'!$B$10),ISNUMBER('Inputs'!$B$21),ISNUMBER('Inputs'!$B$24),ISNUMBER('Inputs'!$B$28)),(('Results'!B7*(0.5*(((A48+'Inputs'!$B$21)+'Inputs'!$B$7)/SQRT(((A48+'Inputs'!$B$21)+'Inputs'!$B$7)^2+('Inputs'!$B$6/2)^2)-((A48+'Inputs'!$B$21))/SQRT(((A48+'Inputs'!$B$21))^2+('Inputs'!$B$6/2)^2)))-'Results'!C7*(0.5*(((A48+'Inputs'!$B$21+'Inputs'!$B$7+'Inputs'!$B$10)+'Inputs'!$B$9)/SQRT(((A48+'Inputs'!$B$21+'Inputs'!$B$7+'Inputs'!$B$10)+'Inputs'!$B$9)^2+('Inputs'!$B$8/2)^2)-((A48+'Inputs'!$B$21+'Inputs'!$B$7+'Inputs'!$B$10))/SQRT(((A48+'Inputs'!$B$21+'Inputs'!$B$7+'Inputs'!$B$10))^2+('Inputs'!$B$8/2)^2))))*'Results'!$B$8*'Results'!$B$9),""),"")</x:f>
        <x:v>59.852886577757204</x:v>
      </x:c>
      <x:c r="C48" s="18" t="n">
        <x:f>IF('Results'!$B$6="Inputs accepted",IF(AND(ISNUMBER('Results'!C7),ISNUMBER('Results'!B7),ISNUMBER('Results'!$B$8),ISNUMBER('Results'!$B$9),ISNUMBER('Inputs'!$B$6),ISNUMBER('Inputs'!$B$7),ISNUMBER('Inputs'!$B$8),ISNUMBER('Inputs'!$B$9),ISNUMBER('Inputs'!$B$10),ISNUMBER('Inputs'!$B$21),ISNUMBER('Inputs'!$B$24),ISNUMBER('Inputs'!$B$28)),(('Results'!C7*(0.5*(((A48+'Inputs'!$B$21)+'Inputs'!$B$9)/SQRT(((A48+'Inputs'!$B$21)+'Inputs'!$B$9)^2+('Inputs'!$B$8/2)^2)-((A48+'Inputs'!$B$21))/SQRT(((A48+'Inputs'!$B$21))^2+('Inputs'!$B$8/2)^2)))-'Results'!B7*(0.5*(((A48+'Inputs'!$B$21+'Inputs'!$B$9+'Inputs'!$B$10)+'Inputs'!$B$7)/SQRT(((A48+'Inputs'!$B$21+'Inputs'!$B$9+'Inputs'!$B$10)+'Inputs'!$B$7)^2+('Inputs'!$B$6/2)^2)-((A48+'Inputs'!$B$21+'Inputs'!$B$9+'Inputs'!$B$10))/SQRT(((A48+'Inputs'!$B$21+'Inputs'!$B$9+'Inputs'!$B$10))^2+('Inputs'!$B$6/2)^2))))*'Results'!$B$8*'Results'!$B$9),""),"")</x:f>
        <x:v>57.50485548192727</x:v>
      </x:c>
      <x:c r="D48" s="18" t="n">
        <x:f>IF('Results'!$B$6="Inputs accepted",'Results'!B12,"")</x:f>
        <x:v>112.38228018798189</x:v>
      </x:c>
      <x:c r="E48" s="18" t="n">
        <x:f>IF('Results'!$B$6="Inputs accepted",'Results'!C12,"")</x:f>
        <x:v>119.21786205905865</x:v>
      </x:c>
      <x:c r="F48" s="18" t="n">
        <x:f>IF('Results'!$B$6="Inputs accepted",'Results'!B14,"")</x:f>
        <x:v>66.9055158034782</x:v>
      </x:c>
      <x:c r="G48" s="18" t="n">
        <x:f>IF('Results'!$B$6="Inputs accepted",'Results'!C14,"")</x:f>
        <x:v>70.64020731289524</x:v>
      </x:c>
      <x:c r="H48" s="2"/>
      <x:c r="I48" s="2"/>
      <x:c r="J48" s="2"/>
      <x:c r="K48" s="2"/>
      <x:c r="L48" s="2"/>
    </x:row>
    <x:row r="49" ht="22" customHeight="1">
      <x:c r="A49" s="18" t="n">
        <x:f>(49-5)*'Inputs'!$B$33/200</x:f>
        <x:v>8.8</x:v>
      </x:c>
      <x:c r="B49" s="18" t="n">
        <x:f>IF('Results'!$B$6="Inputs accepted",IF(AND(ISNUMBER('Results'!B7),ISNUMBER('Results'!C7),ISNUMBER('Results'!$B$8),ISNUMBER('Results'!$B$9),ISNUMBER('Inputs'!$B$6),ISNUMBER('Inputs'!$B$7),ISNUMBER('Inputs'!$B$8),ISNUMBER('Inputs'!$B$9),ISNUMBER('Inputs'!$B$10),ISNUMBER('Inputs'!$B$21),ISNUMBER('Inputs'!$B$24),ISNUMBER('Inputs'!$B$28)),(('Results'!B7*(0.5*(((A49+'Inputs'!$B$21)+'Inputs'!$B$7)/SQRT(((A49+'Inputs'!$B$21)+'Inputs'!$B$7)^2+('Inputs'!$B$6/2)^2)-((A49+'Inputs'!$B$21))/SQRT(((A49+'Inputs'!$B$21))^2+('Inputs'!$B$6/2)^2)))-'Results'!C7*(0.5*(((A49+'Inputs'!$B$21+'Inputs'!$B$7+'Inputs'!$B$10)+'Inputs'!$B$9)/SQRT(((A49+'Inputs'!$B$21+'Inputs'!$B$7+'Inputs'!$B$10)+'Inputs'!$B$9)^2+('Inputs'!$B$8/2)^2)-((A49+'Inputs'!$B$21+'Inputs'!$B$7+'Inputs'!$B$10))/SQRT(((A49+'Inputs'!$B$21+'Inputs'!$B$7+'Inputs'!$B$10))^2+('Inputs'!$B$8/2)^2))))*'Results'!$B$8*'Results'!$B$9),""),"")</x:f>
        <x:v>56.07759300272936</x:v>
      </x:c>
      <x:c r="C49" s="18" t="n">
        <x:f>IF('Results'!$B$6="Inputs accepted",IF(AND(ISNUMBER('Results'!C7),ISNUMBER('Results'!B7),ISNUMBER('Results'!$B$8),ISNUMBER('Results'!$B$9),ISNUMBER('Inputs'!$B$6),ISNUMBER('Inputs'!$B$7),ISNUMBER('Inputs'!$B$8),ISNUMBER('Inputs'!$B$9),ISNUMBER('Inputs'!$B$10),ISNUMBER('Inputs'!$B$21),ISNUMBER('Inputs'!$B$24),ISNUMBER('Inputs'!$B$28)),(('Results'!C7*(0.5*(((A49+'Inputs'!$B$21)+'Inputs'!$B$9)/SQRT(((A49+'Inputs'!$B$21)+'Inputs'!$B$9)^2+('Inputs'!$B$8/2)^2)-((A49+'Inputs'!$B$21))/SQRT(((A49+'Inputs'!$B$21))^2+('Inputs'!$B$8/2)^2)))-'Results'!B7*(0.5*(((A49+'Inputs'!$B$21+'Inputs'!$B$9+'Inputs'!$B$10)+'Inputs'!$B$7)/SQRT(((A49+'Inputs'!$B$21+'Inputs'!$B$9+'Inputs'!$B$10)+'Inputs'!$B$7)^2+('Inputs'!$B$6/2)^2)-((A49+'Inputs'!$B$21+'Inputs'!$B$9+'Inputs'!$B$10))/SQRT(((A49+'Inputs'!$B$21+'Inputs'!$B$9+'Inputs'!$B$10))^2+('Inputs'!$B$6/2)^2))))*'Results'!$B$8*'Results'!$B$9),""),"")</x:f>
        <x:v>53.85096408881236</x:v>
      </x:c>
      <x:c r="D49" s="18" t="n">
        <x:f>IF('Results'!$B$6="Inputs accepted",'Results'!B12,"")</x:f>
        <x:v>112.38228018798189</x:v>
      </x:c>
      <x:c r="E49" s="18" t="n">
        <x:f>IF('Results'!$B$6="Inputs accepted",'Results'!C12,"")</x:f>
        <x:v>119.21786205905865</x:v>
      </x:c>
      <x:c r="F49" s="18" t="n">
        <x:f>IF('Results'!$B$6="Inputs accepted",'Results'!B14,"")</x:f>
        <x:v>66.9055158034782</x:v>
      </x:c>
      <x:c r="G49" s="18" t="n">
        <x:f>IF('Results'!$B$6="Inputs accepted",'Results'!C14,"")</x:f>
        <x:v>70.64020731289524</x:v>
      </x:c>
      <x:c r="H49" s="2"/>
      <x:c r="I49" s="2"/>
      <x:c r="J49" s="2"/>
      <x:c r="K49" s="2"/>
      <x:c r="L49" s="2"/>
    </x:row>
    <x:row r="50" ht="22" customHeight="1">
      <x:c r="A50" s="18" t="n">
        <x:f>(50-5)*'Inputs'!$B$33/200</x:f>
        <x:v>9</x:v>
      </x:c>
      <x:c r="B50" s="18" t="n">
        <x:f>IF('Results'!$B$6="Inputs accepted",IF(AND(ISNUMBER('Results'!B7),ISNUMBER('Results'!C7),ISNUMBER('Results'!$B$8),ISNUMBER('Results'!$B$9),ISNUMBER('Inputs'!$B$6),ISNUMBER('Inputs'!$B$7),ISNUMBER('Inputs'!$B$8),ISNUMBER('Inputs'!$B$9),ISNUMBER('Inputs'!$B$10),ISNUMBER('Inputs'!$B$21),ISNUMBER('Inputs'!$B$24),ISNUMBER('Inputs'!$B$28)),(('Results'!B7*(0.5*(((A50+'Inputs'!$B$21)+'Inputs'!$B$7)/SQRT(((A50+'Inputs'!$B$21)+'Inputs'!$B$7)^2+('Inputs'!$B$6/2)^2)-((A50+'Inputs'!$B$21))/SQRT(((A50+'Inputs'!$B$21))^2+('Inputs'!$B$6/2)^2)))-'Results'!C7*(0.5*(((A50+'Inputs'!$B$21+'Inputs'!$B$7+'Inputs'!$B$10)+'Inputs'!$B$9)/SQRT(((A50+'Inputs'!$B$21+'Inputs'!$B$7+'Inputs'!$B$10)+'Inputs'!$B$9)^2+('Inputs'!$B$8/2)^2)-((A50+'Inputs'!$B$21+'Inputs'!$B$7+'Inputs'!$B$10))/SQRT(((A50+'Inputs'!$B$21+'Inputs'!$B$7+'Inputs'!$B$10))^2+('Inputs'!$B$8/2)^2))))*'Results'!$B$8*'Results'!$B$9),""),"")</x:f>
        <x:v>52.59191019262185</x:v>
      </x:c>
      <x:c r="C50" s="18" t="n">
        <x:f>IF('Results'!$B$6="Inputs accepted",IF(AND(ISNUMBER('Results'!C7),ISNUMBER('Results'!B7),ISNUMBER('Results'!$B$8),ISNUMBER('Results'!$B$9),ISNUMBER('Inputs'!$B$6),ISNUMBER('Inputs'!$B$7),ISNUMBER('Inputs'!$B$8),ISNUMBER('Inputs'!$B$9),ISNUMBER('Inputs'!$B$10),ISNUMBER('Inputs'!$B$21),ISNUMBER('Inputs'!$B$24),ISNUMBER('Inputs'!$B$28)),(('Results'!C7*(0.5*(((A50+'Inputs'!$B$21)+'Inputs'!$B$9)/SQRT(((A50+'Inputs'!$B$21)+'Inputs'!$B$9)^2+('Inputs'!$B$8/2)^2)-((A50+'Inputs'!$B$21))/SQRT(((A50+'Inputs'!$B$21))^2+('Inputs'!$B$8/2)^2)))-'Results'!B7*(0.5*(((A50+'Inputs'!$B$21+'Inputs'!$B$9+'Inputs'!$B$10)+'Inputs'!$B$7)/SQRT(((A50+'Inputs'!$B$21+'Inputs'!$B$9+'Inputs'!$B$10)+'Inputs'!$B$7)^2+('Inputs'!$B$6/2)^2)-((A50+'Inputs'!$B$21+'Inputs'!$B$9+'Inputs'!$B$10))/SQRT(((A50+'Inputs'!$B$21+'Inputs'!$B$9+'Inputs'!$B$10))^2+('Inputs'!$B$6/2)^2))))*'Results'!$B$8*'Results'!$B$9),""),"")</x:f>
        <x:v>50.4785101702376</x:v>
      </x:c>
      <x:c r="D50" s="18" t="n">
        <x:f>IF('Results'!$B$6="Inputs accepted",'Results'!B12,"")</x:f>
        <x:v>112.38228018798189</x:v>
      </x:c>
      <x:c r="E50" s="18" t="n">
        <x:f>IF('Results'!$B$6="Inputs accepted",'Results'!C12,"")</x:f>
        <x:v>119.21786205905865</x:v>
      </x:c>
      <x:c r="F50" s="18" t="n">
        <x:f>IF('Results'!$B$6="Inputs accepted",'Results'!B14,"")</x:f>
        <x:v>66.9055158034782</x:v>
      </x:c>
      <x:c r="G50" s="18" t="n">
        <x:f>IF('Results'!$B$6="Inputs accepted",'Results'!C14,"")</x:f>
        <x:v>70.64020731289524</x:v>
      </x:c>
      <x:c r="H50" s="2"/>
      <x:c r="I50" s="2"/>
      <x:c r="J50" s="2"/>
      <x:c r="K50" s="2"/>
      <x:c r="L50" s="2"/>
    </x:row>
    <x:row r="51" ht="22" customHeight="1">
      <x:c r="A51" s="18" t="n">
        <x:f>(51-5)*'Inputs'!$B$33/200</x:f>
        <x:v>9.2</x:v>
      </x:c>
      <x:c r="B51" s="18" t="n">
        <x:f>IF('Results'!$B$6="Inputs accepted",IF(AND(ISNUMBER('Results'!B7),ISNUMBER('Results'!C7),ISNUMBER('Results'!$B$8),ISNUMBER('Results'!$B$9),ISNUMBER('Inputs'!$B$6),ISNUMBER('Inputs'!$B$7),ISNUMBER('Inputs'!$B$8),ISNUMBER('Inputs'!$B$9),ISNUMBER('Inputs'!$B$10),ISNUMBER('Inputs'!$B$21),ISNUMBER('Inputs'!$B$24),ISNUMBER('Inputs'!$B$28)),(('Results'!B7*(0.5*(((A51+'Inputs'!$B$21)+'Inputs'!$B$7)/SQRT(((A51+'Inputs'!$B$21)+'Inputs'!$B$7)^2+('Inputs'!$B$6/2)^2)-((A51+'Inputs'!$B$21))/SQRT(((A51+'Inputs'!$B$21))^2+('Inputs'!$B$6/2)^2)))-'Results'!C7*(0.5*(((A51+'Inputs'!$B$21+'Inputs'!$B$7+'Inputs'!$B$10)+'Inputs'!$B$9)/SQRT(((A51+'Inputs'!$B$21+'Inputs'!$B$7+'Inputs'!$B$10)+'Inputs'!$B$9)^2+('Inputs'!$B$8/2)^2)-((A51+'Inputs'!$B$21+'Inputs'!$B$7+'Inputs'!$B$10))/SQRT(((A51+'Inputs'!$B$21+'Inputs'!$B$7+'Inputs'!$B$10))^2+('Inputs'!$B$8/2)^2))))*'Results'!$B$8*'Results'!$B$9),""),"")</x:f>
        <x:v>49.36999071806045</x:v>
      </x:c>
      <x:c r="C51" s="18" t="n">
        <x:f>IF('Results'!$B$6="Inputs accepted",IF(AND(ISNUMBER('Results'!C7),ISNUMBER('Results'!B7),ISNUMBER('Results'!$B$8),ISNUMBER('Results'!$B$9),ISNUMBER('Inputs'!$B$6),ISNUMBER('Inputs'!$B$7),ISNUMBER('Inputs'!$B$8),ISNUMBER('Inputs'!$B$9),ISNUMBER('Inputs'!$B$10),ISNUMBER('Inputs'!$B$21),ISNUMBER('Inputs'!$B$24),ISNUMBER('Inputs'!$B$28)),(('Results'!C7*(0.5*(((A51+'Inputs'!$B$21)+'Inputs'!$B$9)/SQRT(((A51+'Inputs'!$B$21)+'Inputs'!$B$9)^2+('Inputs'!$B$8/2)^2)-((A51+'Inputs'!$B$21))/SQRT(((A51+'Inputs'!$B$21))^2+('Inputs'!$B$8/2)^2)))-'Results'!B7*(0.5*(((A51+'Inputs'!$B$21+'Inputs'!$B$9+'Inputs'!$B$10)+'Inputs'!$B$7)/SQRT(((A51+'Inputs'!$B$21+'Inputs'!$B$9+'Inputs'!$B$10)+'Inputs'!$B$7)^2+('Inputs'!$B$6/2)^2)-((A51+'Inputs'!$B$21+'Inputs'!$B$9+'Inputs'!$B$10))/SQRT(((A51+'Inputs'!$B$21+'Inputs'!$B$9+'Inputs'!$B$10))^2+('Inputs'!$B$6/2)^2))))*'Results'!$B$8*'Results'!$B$9),""),"")</x:f>
        <x:v>47.362313927253226</x:v>
      </x:c>
      <x:c r="D51" s="18" t="n">
        <x:f>IF('Results'!$B$6="Inputs accepted",'Results'!B12,"")</x:f>
        <x:v>112.38228018798189</x:v>
      </x:c>
      <x:c r="E51" s="18" t="n">
        <x:f>IF('Results'!$B$6="Inputs accepted",'Results'!C12,"")</x:f>
        <x:v>119.21786205905865</x:v>
      </x:c>
      <x:c r="F51" s="18" t="n">
        <x:f>IF('Results'!$B$6="Inputs accepted",'Results'!B14,"")</x:f>
        <x:v>66.9055158034782</x:v>
      </x:c>
      <x:c r="G51" s="18" t="n">
        <x:f>IF('Results'!$B$6="Inputs accepted",'Results'!C14,"")</x:f>
        <x:v>70.64020731289524</x:v>
      </x:c>
      <x:c r="H51" s="2"/>
      <x:c r="I51" s="2"/>
      <x:c r="J51" s="2"/>
      <x:c r="K51" s="2"/>
      <x:c r="L51" s="2"/>
    </x:row>
    <x:row r="52" ht="22" customHeight="1">
      <x:c r="A52" s="18" t="n">
        <x:f>(52-5)*'Inputs'!$B$33/200</x:f>
        <x:v>9.4</x:v>
      </x:c>
      <x:c r="B52" s="18" t="n">
        <x:f>IF('Results'!$B$6="Inputs accepted",IF(AND(ISNUMBER('Results'!B7),ISNUMBER('Results'!C7),ISNUMBER('Results'!$B$8),ISNUMBER('Results'!$B$9),ISNUMBER('Inputs'!$B$6),ISNUMBER('Inputs'!$B$7),ISNUMBER('Inputs'!$B$8),ISNUMBER('Inputs'!$B$9),ISNUMBER('Inputs'!$B$10),ISNUMBER('Inputs'!$B$21),ISNUMBER('Inputs'!$B$24),ISNUMBER('Inputs'!$B$28)),(('Results'!B7*(0.5*(((A52+'Inputs'!$B$21)+'Inputs'!$B$7)/SQRT(((A52+'Inputs'!$B$21)+'Inputs'!$B$7)^2+('Inputs'!$B$6/2)^2)-((A52+'Inputs'!$B$21))/SQRT(((A52+'Inputs'!$B$21))^2+('Inputs'!$B$6/2)^2)))-'Results'!C7*(0.5*(((A52+'Inputs'!$B$21+'Inputs'!$B$7+'Inputs'!$B$10)+'Inputs'!$B$9)/SQRT(((A52+'Inputs'!$B$21+'Inputs'!$B$7+'Inputs'!$B$10)+'Inputs'!$B$9)^2+('Inputs'!$B$8/2)^2)-((A52+'Inputs'!$B$21+'Inputs'!$B$7+'Inputs'!$B$10))/SQRT(((A52+'Inputs'!$B$21+'Inputs'!$B$7+'Inputs'!$B$10))^2+('Inputs'!$B$8/2)^2))))*'Results'!$B$8*'Results'!$B$9),""),"")</x:f>
        <x:v>46.38858621229946</x:v>
      </x:c>
      <x:c r="C52" s="18" t="n">
        <x:f>IF('Results'!$B$6="Inputs accepted",IF(AND(ISNUMBER('Results'!C7),ISNUMBER('Results'!B7),ISNUMBER('Results'!$B$8),ISNUMBER('Results'!$B$9),ISNUMBER('Inputs'!$B$6),ISNUMBER('Inputs'!$B$7),ISNUMBER('Inputs'!$B$8),ISNUMBER('Inputs'!$B$9),ISNUMBER('Inputs'!$B$10),ISNUMBER('Inputs'!$B$21),ISNUMBER('Inputs'!$B$24),ISNUMBER('Inputs'!$B$28)),(('Results'!C7*(0.5*(((A52+'Inputs'!$B$21)+'Inputs'!$B$9)/SQRT(((A52+'Inputs'!$B$21)+'Inputs'!$B$9)^2+('Inputs'!$B$8/2)^2)-((A52+'Inputs'!$B$21))/SQRT(((A52+'Inputs'!$B$21))^2+('Inputs'!$B$8/2)^2)))-'Results'!B7*(0.5*(((A52+'Inputs'!$B$21+'Inputs'!$B$9+'Inputs'!$B$10)+'Inputs'!$B$7)/SQRT(((A52+'Inputs'!$B$21+'Inputs'!$B$9+'Inputs'!$B$10)+'Inputs'!$B$7)^2+('Inputs'!$B$6/2)^2)-((A52+'Inputs'!$B$21+'Inputs'!$B$9+'Inputs'!$B$10))/SQRT(((A52+'Inputs'!$B$21+'Inputs'!$B$9+'Inputs'!$B$10))^2+('Inputs'!$B$6/2)^2))))*'Results'!$B$8*'Results'!$B$9),""),"")</x:f>
        <x:v>44.47973147692985</x:v>
      </x:c>
      <x:c r="D52" s="18" t="n">
        <x:f>IF('Results'!$B$6="Inputs accepted",'Results'!B12,"")</x:f>
        <x:v>112.38228018798189</x:v>
      </x:c>
      <x:c r="E52" s="18" t="n">
        <x:f>IF('Results'!$B$6="Inputs accepted",'Results'!C12,"")</x:f>
        <x:v>119.21786205905865</x:v>
      </x:c>
      <x:c r="F52" s="18" t="n">
        <x:f>IF('Results'!$B$6="Inputs accepted",'Results'!B14,"")</x:f>
        <x:v>66.9055158034782</x:v>
      </x:c>
      <x:c r="G52" s="18" t="n">
        <x:f>IF('Results'!$B$6="Inputs accepted",'Results'!C14,"")</x:f>
        <x:v>70.64020731289524</x:v>
      </x:c>
      <x:c r="H52" s="2"/>
      <x:c r="I52" s="2"/>
      <x:c r="J52" s="2"/>
      <x:c r="K52" s="2"/>
      <x:c r="L52" s="2"/>
    </x:row>
    <x:row r="53" ht="22" customHeight="1">
      <x:c r="A53" s="18" t="n">
        <x:f>(53-5)*'Inputs'!$B$33/200</x:f>
        <x:v>9.6</x:v>
      </x:c>
      <x:c r="B53" s="18" t="n">
        <x:f>IF('Results'!$B$6="Inputs accepted",IF(AND(ISNUMBER('Results'!B7),ISNUMBER('Results'!C7),ISNUMBER('Results'!$B$8),ISNUMBER('Results'!$B$9),ISNUMBER('Inputs'!$B$6),ISNUMBER('Inputs'!$B$7),ISNUMBER('Inputs'!$B$8),ISNUMBER('Inputs'!$B$9),ISNUMBER('Inputs'!$B$10),ISNUMBER('Inputs'!$B$21),ISNUMBER('Inputs'!$B$24),ISNUMBER('Inputs'!$B$28)),(('Results'!B7*(0.5*(((A53+'Inputs'!$B$21)+'Inputs'!$B$7)/SQRT(((A53+'Inputs'!$B$21)+'Inputs'!$B$7)^2+('Inputs'!$B$6/2)^2)-((A53+'Inputs'!$B$21))/SQRT(((A53+'Inputs'!$B$21))^2+('Inputs'!$B$6/2)^2)))-'Results'!C7*(0.5*(((A53+'Inputs'!$B$21+'Inputs'!$B$7+'Inputs'!$B$10)+'Inputs'!$B$9)/SQRT(((A53+'Inputs'!$B$21+'Inputs'!$B$7+'Inputs'!$B$10)+'Inputs'!$B$9)^2+('Inputs'!$B$8/2)^2)-((A53+'Inputs'!$B$21+'Inputs'!$B$7+'Inputs'!$B$10))/SQRT(((A53+'Inputs'!$B$21+'Inputs'!$B$7+'Inputs'!$B$10))^2+('Inputs'!$B$8/2)^2))))*'Results'!$B$8*'Results'!$B$9),""),"")</x:f>
        <x:v>43.62676040950952</x:v>
      </x:c>
      <x:c r="C53" s="18" t="n">
        <x:f>IF('Results'!$B$6="Inputs accepted",IF(AND(ISNUMBER('Results'!C7),ISNUMBER('Results'!B7),ISNUMBER('Results'!$B$8),ISNUMBER('Results'!$B$9),ISNUMBER('Inputs'!$B$6),ISNUMBER('Inputs'!$B$7),ISNUMBER('Inputs'!$B$8),ISNUMBER('Inputs'!$B$9),ISNUMBER('Inputs'!$B$10),ISNUMBER('Inputs'!$B$21),ISNUMBER('Inputs'!$B$24),ISNUMBER('Inputs'!$B$28)),(('Results'!C7*(0.5*(((A53+'Inputs'!$B$21)+'Inputs'!$B$9)/SQRT(((A53+'Inputs'!$B$21)+'Inputs'!$B$9)^2+('Inputs'!$B$8/2)^2)-((A53+'Inputs'!$B$21))/SQRT(((A53+'Inputs'!$B$21))^2+('Inputs'!$B$8/2)^2)))-'Results'!B7*(0.5*(((A53+'Inputs'!$B$21+'Inputs'!$B$9+'Inputs'!$B$10)+'Inputs'!$B$7)/SQRT(((A53+'Inputs'!$B$21+'Inputs'!$B$9+'Inputs'!$B$10)+'Inputs'!$B$7)^2+('Inputs'!$B$6/2)^2)-((A53+'Inputs'!$B$21+'Inputs'!$B$9+'Inputs'!$B$10))/SQRT(((A53+'Inputs'!$B$21+'Inputs'!$B$9+'Inputs'!$B$10))^2+('Inputs'!$B$6/2)^2))))*'Results'!$B$8*'Results'!$B$9),""),"")</x:f>
        <x:v>41.81037457143385</x:v>
      </x:c>
      <x:c r="D53" s="18" t="n">
        <x:f>IF('Results'!$B$6="Inputs accepted",'Results'!B12,"")</x:f>
        <x:v>112.38228018798189</x:v>
      </x:c>
      <x:c r="E53" s="18" t="n">
        <x:f>IF('Results'!$B$6="Inputs accepted",'Results'!C12,"")</x:f>
        <x:v>119.21786205905865</x:v>
      </x:c>
      <x:c r="F53" s="18" t="n">
        <x:f>IF('Results'!$B$6="Inputs accepted",'Results'!B14,"")</x:f>
        <x:v>66.9055158034782</x:v>
      </x:c>
      <x:c r="G53" s="18" t="n">
        <x:f>IF('Results'!$B$6="Inputs accepted",'Results'!C14,"")</x:f>
        <x:v>70.64020731289524</x:v>
      </x:c>
      <x:c r="H53" s="2"/>
      <x:c r="I53" s="2"/>
      <x:c r="J53" s="2"/>
      <x:c r="K53" s="2"/>
      <x:c r="L53" s="2"/>
    </x:row>
    <x:row r="54" ht="22" customHeight="1">
      <x:c r="A54" s="18" t="n">
        <x:f>(54-5)*'Inputs'!$B$33/200</x:f>
        <x:v>9.8</x:v>
      </x:c>
      <x:c r="B54" s="18" t="n">
        <x:f>IF('Results'!$B$6="Inputs accepted",IF(AND(ISNUMBER('Results'!B7),ISNUMBER('Results'!C7),ISNUMBER('Results'!$B$8),ISNUMBER('Results'!$B$9),ISNUMBER('Inputs'!$B$6),ISNUMBER('Inputs'!$B$7),ISNUMBER('Inputs'!$B$8),ISNUMBER('Inputs'!$B$9),ISNUMBER('Inputs'!$B$10),ISNUMBER('Inputs'!$B$21),ISNUMBER('Inputs'!$B$24),ISNUMBER('Inputs'!$B$28)),(('Results'!B7*(0.5*(((A54+'Inputs'!$B$21)+'Inputs'!$B$7)/SQRT(((A54+'Inputs'!$B$21)+'Inputs'!$B$7)^2+('Inputs'!$B$6/2)^2)-((A54+'Inputs'!$B$21))/SQRT(((A54+'Inputs'!$B$21))^2+('Inputs'!$B$6/2)^2)))-'Results'!C7*(0.5*(((A54+'Inputs'!$B$21+'Inputs'!$B$7+'Inputs'!$B$10)+'Inputs'!$B$9)/SQRT(((A54+'Inputs'!$B$21+'Inputs'!$B$7+'Inputs'!$B$10)+'Inputs'!$B$9)^2+('Inputs'!$B$8/2)^2)-((A54+'Inputs'!$B$21+'Inputs'!$B$7+'Inputs'!$B$10))/SQRT(((A54+'Inputs'!$B$21+'Inputs'!$B$7+'Inputs'!$B$10))^2+('Inputs'!$B$8/2)^2))))*'Results'!$B$8*'Results'!$B$9),""),"")</x:f>
        <x:v>41.065636174334195</x:v>
      </x:c>
      <x:c r="C54" s="18" t="n">
        <x:f>IF('Results'!$B$6="Inputs accepted",IF(AND(ISNUMBER('Results'!C7),ISNUMBER('Results'!B7),ISNUMBER('Results'!$B$8),ISNUMBER('Results'!$B$9),ISNUMBER('Inputs'!$B$6),ISNUMBER('Inputs'!$B$7),ISNUMBER('Inputs'!$B$8),ISNUMBER('Inputs'!$B$9),ISNUMBER('Inputs'!$B$10),ISNUMBER('Inputs'!$B$21),ISNUMBER('Inputs'!$B$24),ISNUMBER('Inputs'!$B$28)),(('Results'!C7*(0.5*(((A54+'Inputs'!$B$21)+'Inputs'!$B$9)/SQRT(((A54+'Inputs'!$B$21)+'Inputs'!$B$9)^2+('Inputs'!$B$8/2)^2)-((A54+'Inputs'!$B$21))/SQRT(((A54+'Inputs'!$B$21))^2+('Inputs'!$B$8/2)^2)))-'Results'!B7*(0.5*(((A54+'Inputs'!$B$21+'Inputs'!$B$9+'Inputs'!$B$10)+'Inputs'!$B$7)/SQRT(((A54+'Inputs'!$B$21+'Inputs'!$B$9+'Inputs'!$B$10)+'Inputs'!$B$7)^2+('Inputs'!$B$6/2)^2)-((A54+'Inputs'!$B$21+'Inputs'!$B$9+'Inputs'!$B$10))/SQRT(((A54+'Inputs'!$B$21+'Inputs'!$B$9+'Inputs'!$B$10))^2+('Inputs'!$B$6/2)^2))))*'Results'!$B$8*'Results'!$B$9),""),"")</x:f>
        <x:v>39.335863540077966</x:v>
      </x:c>
      <x:c r="D54" s="18" t="n">
        <x:f>IF('Results'!$B$6="Inputs accepted",'Results'!B12,"")</x:f>
        <x:v>112.38228018798189</x:v>
      </x:c>
      <x:c r="E54" s="18" t="n">
        <x:f>IF('Results'!$B$6="Inputs accepted",'Results'!C12,"")</x:f>
        <x:v>119.21786205905865</x:v>
      </x:c>
      <x:c r="F54" s="18" t="n">
        <x:f>IF('Results'!$B$6="Inputs accepted",'Results'!B14,"")</x:f>
        <x:v>66.9055158034782</x:v>
      </x:c>
      <x:c r="G54" s="18" t="n">
        <x:f>IF('Results'!$B$6="Inputs accepted",'Results'!C14,"")</x:f>
        <x:v>70.64020731289524</x:v>
      </x:c>
      <x:c r="H54" s="2"/>
      <x:c r="I54" s="2"/>
      <x:c r="J54" s="2"/>
      <x:c r="K54" s="2"/>
      <x:c r="L54" s="2"/>
    </x:row>
    <x:row r="55" ht="22" customHeight="1">
      <x:c r="A55" s="18" t="n">
        <x:f>(55-5)*'Inputs'!$B$33/200</x:f>
        <x:v>10</x:v>
      </x:c>
      <x:c r="B55" s="18" t="n">
        <x:f>IF('Results'!$B$6="Inputs accepted",IF(AND(ISNUMBER('Results'!B7),ISNUMBER('Results'!C7),ISNUMBER('Results'!$B$8),ISNUMBER('Results'!$B$9),ISNUMBER('Inputs'!$B$6),ISNUMBER('Inputs'!$B$7),ISNUMBER('Inputs'!$B$8),ISNUMBER('Inputs'!$B$9),ISNUMBER('Inputs'!$B$10),ISNUMBER('Inputs'!$B$21),ISNUMBER('Inputs'!$B$24),ISNUMBER('Inputs'!$B$28)),(('Results'!B7*(0.5*(((A55+'Inputs'!$B$21)+'Inputs'!$B$7)/SQRT(((A55+'Inputs'!$B$21)+'Inputs'!$B$7)^2+('Inputs'!$B$6/2)^2)-((A55+'Inputs'!$B$21))/SQRT(((A55+'Inputs'!$B$21))^2+('Inputs'!$B$6/2)^2)))-'Results'!C7*(0.5*(((A55+'Inputs'!$B$21+'Inputs'!$B$7+'Inputs'!$B$10)+'Inputs'!$B$9)/SQRT(((A55+'Inputs'!$B$21+'Inputs'!$B$7+'Inputs'!$B$10)+'Inputs'!$B$9)^2+('Inputs'!$B$8/2)^2)-((A55+'Inputs'!$B$21+'Inputs'!$B$7+'Inputs'!$B$10))/SQRT(((A55+'Inputs'!$B$21+'Inputs'!$B$7+'Inputs'!$B$10))^2+('Inputs'!$B$8/2)^2))))*'Results'!$B$8*'Results'!$B$9),""),"")</x:f>
        <x:v>38.688172306608806</x:v>
      </x:c>
      <x:c r="C55" s="18" t="n">
        <x:f>IF('Results'!$B$6="Inputs accepted",IF(AND(ISNUMBER('Results'!C7),ISNUMBER('Results'!B7),ISNUMBER('Results'!$B$8),ISNUMBER('Results'!$B$9),ISNUMBER('Inputs'!$B$6),ISNUMBER('Inputs'!$B$7),ISNUMBER('Inputs'!$B$8),ISNUMBER('Inputs'!$B$9),ISNUMBER('Inputs'!$B$10),ISNUMBER('Inputs'!$B$21),ISNUMBER('Inputs'!$B$24),ISNUMBER('Inputs'!$B$28)),(('Results'!C7*(0.5*(((A55+'Inputs'!$B$21)+'Inputs'!$B$9)/SQRT(((A55+'Inputs'!$B$21)+'Inputs'!$B$9)^2+('Inputs'!$B$8/2)^2)-((A55+'Inputs'!$B$21))/SQRT(((A55+'Inputs'!$B$21))^2+('Inputs'!$B$8/2)^2)))-'Results'!B7*(0.5*(((A55+'Inputs'!$B$21+'Inputs'!$B$9+'Inputs'!$B$10)+'Inputs'!$B$7)/SQRT(((A55+'Inputs'!$B$21+'Inputs'!$B$9+'Inputs'!$B$10)+'Inputs'!$B$7)^2+('Inputs'!$B$6/2)^2)-((A55+'Inputs'!$B$21+'Inputs'!$B$9+'Inputs'!$B$10))/SQRT(((A55+'Inputs'!$B$21+'Inputs'!$B$9+'Inputs'!$B$10))^2+('Inputs'!$B$6/2)^2))))*'Results'!$B$8*'Results'!$B$9),""),"")</x:f>
        <x:v>37.03960933167161</x:v>
      </x:c>
      <x:c r="D55" s="18" t="n">
        <x:f>IF('Results'!$B$6="Inputs accepted",'Results'!B12,"")</x:f>
        <x:v>112.38228018798189</x:v>
      </x:c>
      <x:c r="E55" s="18" t="n">
        <x:f>IF('Results'!$B$6="Inputs accepted",'Results'!C12,"")</x:f>
        <x:v>119.21786205905865</x:v>
      </x:c>
      <x:c r="F55" s="18" t="n">
        <x:f>IF('Results'!$B$6="Inputs accepted",'Results'!B14,"")</x:f>
        <x:v>66.9055158034782</x:v>
      </x:c>
      <x:c r="G55" s="18" t="n">
        <x:f>IF('Results'!$B$6="Inputs accepted",'Results'!C14,"")</x:f>
        <x:v>70.64020731289524</x:v>
      </x:c>
      <x:c r="H55" s="2"/>
      <x:c r="I55" s="2"/>
      <x:c r="J55" s="2"/>
      <x:c r="K55" s="2"/>
      <x:c r="L55" s="2"/>
    </x:row>
    <x:row r="56" ht="22" customHeight="1">
      <x:c r="A56" s="18" t="n">
        <x:f>(56-5)*'Inputs'!$B$33/200</x:f>
        <x:v>10.2</x:v>
      </x:c>
      <x:c r="B56" s="18" t="n">
        <x:f>IF('Results'!$B$6="Inputs accepted",IF(AND(ISNUMBER('Results'!B7),ISNUMBER('Results'!C7),ISNUMBER('Results'!$B$8),ISNUMBER('Results'!$B$9),ISNUMBER('Inputs'!$B$6),ISNUMBER('Inputs'!$B$7),ISNUMBER('Inputs'!$B$8),ISNUMBER('Inputs'!$B$9),ISNUMBER('Inputs'!$B$10),ISNUMBER('Inputs'!$B$21),ISNUMBER('Inputs'!$B$24),ISNUMBER('Inputs'!$B$28)),(('Results'!B7*(0.5*(((A56+'Inputs'!$B$21)+'Inputs'!$B$7)/SQRT(((A56+'Inputs'!$B$21)+'Inputs'!$B$7)^2+('Inputs'!$B$6/2)^2)-((A56+'Inputs'!$B$21))/SQRT(((A56+'Inputs'!$B$21))^2+('Inputs'!$B$6/2)^2)))-'Results'!C7*(0.5*(((A56+'Inputs'!$B$21+'Inputs'!$B$7+'Inputs'!$B$10)+'Inputs'!$B$9)/SQRT(((A56+'Inputs'!$B$21+'Inputs'!$B$7+'Inputs'!$B$10)+'Inputs'!$B$9)^2+('Inputs'!$B$8/2)^2)-((A56+'Inputs'!$B$21+'Inputs'!$B$7+'Inputs'!$B$10))/SQRT(((A56+'Inputs'!$B$21+'Inputs'!$B$7+'Inputs'!$B$10))^2+('Inputs'!$B$8/2)^2))))*'Results'!$B$8*'Results'!$B$9),""),"")</x:f>
        <x:v>36.47896643597712</x:v>
      </x:c>
      <x:c r="C56" s="18" t="n">
        <x:f>IF('Results'!$B$6="Inputs accepted",IF(AND(ISNUMBER('Results'!C7),ISNUMBER('Results'!B7),ISNUMBER('Results'!$B$8),ISNUMBER('Results'!$B$9),ISNUMBER('Inputs'!$B$6),ISNUMBER('Inputs'!$B$7),ISNUMBER('Inputs'!$B$8),ISNUMBER('Inputs'!$B$9),ISNUMBER('Inputs'!$B$10),ISNUMBER('Inputs'!$B$21),ISNUMBER('Inputs'!$B$24),ISNUMBER('Inputs'!$B$28)),(('Results'!C7*(0.5*(((A56+'Inputs'!$B$21)+'Inputs'!$B$9)/SQRT(((A56+'Inputs'!$B$21)+'Inputs'!$B$9)^2+('Inputs'!$B$8/2)^2)-((A56+'Inputs'!$B$21))/SQRT(((A56+'Inputs'!$B$21))^2+('Inputs'!$B$8/2)^2)))-'Results'!B7*(0.5*(((A56+'Inputs'!$B$21+'Inputs'!$B$9+'Inputs'!$B$10)+'Inputs'!$B$7)/SQRT(((A56+'Inputs'!$B$21+'Inputs'!$B$9+'Inputs'!$B$10)+'Inputs'!$B$7)^2+('Inputs'!$B$6/2)^2)-((A56+'Inputs'!$B$21+'Inputs'!$B$9+'Inputs'!$B$10))/SQRT(((A56+'Inputs'!$B$21+'Inputs'!$B$9+'Inputs'!$B$10))^2+('Inputs'!$B$6/2)^2))))*'Results'!$B$8*'Results'!$B$9),""),"")</x:f>
        <x:v>34.90662105370817</x:v>
      </x:c>
      <x:c r="D56" s="18" t="n">
        <x:f>IF('Results'!$B$6="Inputs accepted",'Results'!B12,"")</x:f>
        <x:v>112.38228018798189</x:v>
      </x:c>
      <x:c r="E56" s="18" t="n">
        <x:f>IF('Results'!$B$6="Inputs accepted",'Results'!C12,"")</x:f>
        <x:v>119.21786205905865</x:v>
      </x:c>
      <x:c r="F56" s="18" t="n">
        <x:f>IF('Results'!$B$6="Inputs accepted",'Results'!B14,"")</x:f>
        <x:v>66.9055158034782</x:v>
      </x:c>
      <x:c r="G56" s="18" t="n">
        <x:f>IF('Results'!$B$6="Inputs accepted",'Results'!C14,"")</x:f>
        <x:v>70.64020731289524</x:v>
      </x:c>
      <x:c r="H56" s="2"/>
      <x:c r="I56" s="2"/>
      <x:c r="J56" s="2"/>
      <x:c r="K56" s="2"/>
      <x:c r="L56" s="2"/>
    </x:row>
    <x:row r="57" ht="22" customHeight="1">
      <x:c r="A57" s="18" t="n">
        <x:f>(57-5)*'Inputs'!$B$33/200</x:f>
        <x:v>10.4</x:v>
      </x:c>
      <x:c r="B57" s="18" t="n">
        <x:f>IF('Results'!$B$6="Inputs accepted",IF(AND(ISNUMBER('Results'!B7),ISNUMBER('Results'!C7),ISNUMBER('Results'!$B$8),ISNUMBER('Results'!$B$9),ISNUMBER('Inputs'!$B$6),ISNUMBER('Inputs'!$B$7),ISNUMBER('Inputs'!$B$8),ISNUMBER('Inputs'!$B$9),ISNUMBER('Inputs'!$B$10),ISNUMBER('Inputs'!$B$21),ISNUMBER('Inputs'!$B$24),ISNUMBER('Inputs'!$B$28)),(('Results'!B7*(0.5*(((A57+'Inputs'!$B$21)+'Inputs'!$B$7)/SQRT(((A57+'Inputs'!$B$21)+'Inputs'!$B$7)^2+('Inputs'!$B$6/2)^2)-((A57+'Inputs'!$B$21))/SQRT(((A57+'Inputs'!$B$21))^2+('Inputs'!$B$6/2)^2)))-'Results'!C7*(0.5*(((A57+'Inputs'!$B$21+'Inputs'!$B$7+'Inputs'!$B$10)+'Inputs'!$B$9)/SQRT(((A57+'Inputs'!$B$21+'Inputs'!$B$7+'Inputs'!$B$10)+'Inputs'!$B$9)^2+('Inputs'!$B$8/2)^2)-((A57+'Inputs'!$B$21+'Inputs'!$B$7+'Inputs'!$B$10))/SQRT(((A57+'Inputs'!$B$21+'Inputs'!$B$7+'Inputs'!$B$10))^2+('Inputs'!$B$8/2)^2))))*'Results'!$B$8*'Results'!$B$9),""),"")</x:f>
        <x:v>34.42408078743685</x:v>
      </x:c>
      <x:c r="C57" s="18" t="n">
        <x:f>IF('Results'!$B$6="Inputs accepted",IF(AND(ISNUMBER('Results'!C7),ISNUMBER('Results'!B7),ISNUMBER('Results'!$B$8),ISNUMBER('Results'!$B$9),ISNUMBER('Inputs'!$B$6),ISNUMBER('Inputs'!$B$7),ISNUMBER('Inputs'!$B$8),ISNUMBER('Inputs'!$B$9),ISNUMBER('Inputs'!$B$10),ISNUMBER('Inputs'!$B$21),ISNUMBER('Inputs'!$B$24),ISNUMBER('Inputs'!$B$28)),(('Results'!C7*(0.5*(((A57+'Inputs'!$B$21)+'Inputs'!$B$9)/SQRT(((A57+'Inputs'!$B$21)+'Inputs'!$B$9)^2+('Inputs'!$B$8/2)^2)-((A57+'Inputs'!$B$21))/SQRT(((A57+'Inputs'!$B$21))^2+('Inputs'!$B$8/2)^2)))-'Results'!B7*(0.5*(((A57+'Inputs'!$B$21+'Inputs'!$B$9+'Inputs'!$B$10)+'Inputs'!$B$7)/SQRT(((A57+'Inputs'!$B$21+'Inputs'!$B$9+'Inputs'!$B$10)+'Inputs'!$B$7)^2+('Inputs'!$B$6/2)^2)-((A57+'Inputs'!$B$21+'Inputs'!$B$9+'Inputs'!$B$10))/SQRT(((A57+'Inputs'!$B$21+'Inputs'!$B$9+'Inputs'!$B$10))^2+('Inputs'!$B$6/2)^2))))*'Results'!$B$8*'Results'!$B$9),""),"")</x:f>
        <x:v>32.92333586100074</x:v>
      </x:c>
      <x:c r="D57" s="18" t="n">
        <x:f>IF('Results'!$B$6="Inputs accepted",'Results'!B12,"")</x:f>
        <x:v>112.38228018798189</x:v>
      </x:c>
      <x:c r="E57" s="18" t="n">
        <x:f>IF('Results'!$B$6="Inputs accepted",'Results'!C12,"")</x:f>
        <x:v>119.21786205905865</x:v>
      </x:c>
      <x:c r="F57" s="18" t="n">
        <x:f>IF('Results'!$B$6="Inputs accepted",'Results'!B14,"")</x:f>
        <x:v>66.9055158034782</x:v>
      </x:c>
      <x:c r="G57" s="18" t="n">
        <x:f>IF('Results'!$B$6="Inputs accepted",'Results'!C14,"")</x:f>
        <x:v>70.64020731289524</x:v>
      </x:c>
      <x:c r="H57" s="2"/>
      <x:c r="I57" s="2"/>
      <x:c r="J57" s="2"/>
      <x:c r="K57" s="2"/>
      <x:c r="L57" s="2"/>
    </x:row>
    <x:row r="58" ht="22" customHeight="1">
      <x:c r="A58" s="18" t="n">
        <x:f>(58-5)*'Inputs'!$B$33/200</x:f>
        <x:v>10.6</x:v>
      </x:c>
      <x:c r="B58" s="18" t="n">
        <x:f>IF('Results'!$B$6="Inputs accepted",IF(AND(ISNUMBER('Results'!B7),ISNUMBER('Results'!C7),ISNUMBER('Results'!$B$8),ISNUMBER('Results'!$B$9),ISNUMBER('Inputs'!$B$6),ISNUMBER('Inputs'!$B$7),ISNUMBER('Inputs'!$B$8),ISNUMBER('Inputs'!$B$9),ISNUMBER('Inputs'!$B$10),ISNUMBER('Inputs'!$B$21),ISNUMBER('Inputs'!$B$24),ISNUMBER('Inputs'!$B$28)),(('Results'!B7*(0.5*(((A58+'Inputs'!$B$21)+'Inputs'!$B$7)/SQRT(((A58+'Inputs'!$B$21)+'Inputs'!$B$7)^2+('Inputs'!$B$6/2)^2)-((A58+'Inputs'!$B$21))/SQRT(((A58+'Inputs'!$B$21))^2+('Inputs'!$B$6/2)^2)))-'Results'!C7*(0.5*(((A58+'Inputs'!$B$21+'Inputs'!$B$7+'Inputs'!$B$10)+'Inputs'!$B$9)/SQRT(((A58+'Inputs'!$B$21+'Inputs'!$B$7+'Inputs'!$B$10)+'Inputs'!$B$9)^2+('Inputs'!$B$8/2)^2)-((A58+'Inputs'!$B$21+'Inputs'!$B$7+'Inputs'!$B$10))/SQRT(((A58+'Inputs'!$B$21+'Inputs'!$B$7+'Inputs'!$B$10))^2+('Inputs'!$B$8/2)^2))))*'Results'!$B$8*'Results'!$B$9),""),"")</x:f>
        <x:v>32.51088800771236</x:v>
      </x:c>
      <x:c r="C58" s="18" t="n">
        <x:f>IF('Results'!$B$6="Inputs accepted",IF(AND(ISNUMBER('Results'!C7),ISNUMBER('Results'!B7),ISNUMBER('Results'!$B$8),ISNUMBER('Results'!$B$9),ISNUMBER('Inputs'!$B$6),ISNUMBER('Inputs'!$B$7),ISNUMBER('Inputs'!$B$8),ISNUMBER('Inputs'!$B$9),ISNUMBER('Inputs'!$B$10),ISNUMBER('Inputs'!$B$21),ISNUMBER('Inputs'!$B$24),ISNUMBER('Inputs'!$B$28)),(('Results'!C7*(0.5*(((A58+'Inputs'!$B$21)+'Inputs'!$B$9)/SQRT(((A58+'Inputs'!$B$21)+'Inputs'!$B$9)^2+('Inputs'!$B$8/2)^2)-((A58+'Inputs'!$B$21))/SQRT(((A58+'Inputs'!$B$21))^2+('Inputs'!$B$8/2)^2)))-'Results'!B7*(0.5*(((A58+'Inputs'!$B$21+'Inputs'!$B$9+'Inputs'!$B$10)+'Inputs'!$B$7)/SQRT(((A58+'Inputs'!$B$21+'Inputs'!$B$9+'Inputs'!$B$10)+'Inputs'!$B$7)^2+('Inputs'!$B$6/2)^2)-((A58+'Inputs'!$B$21+'Inputs'!$B$9+'Inputs'!$B$10))/SQRT(((A58+'Inputs'!$B$21+'Inputs'!$B$9+'Inputs'!$B$10))^2+('Inputs'!$B$6/2)^2))))*'Results'!$B$8*'Results'!$B$9),""),"")</x:f>
        <x:v>31.07746844628171</x:v>
      </x:c>
      <x:c r="D58" s="18" t="n">
        <x:f>IF('Results'!$B$6="Inputs accepted",'Results'!B12,"")</x:f>
        <x:v>112.38228018798189</x:v>
      </x:c>
      <x:c r="E58" s="18" t="n">
        <x:f>IF('Results'!$B$6="Inputs accepted",'Results'!C12,"")</x:f>
        <x:v>119.21786205905865</x:v>
      </x:c>
      <x:c r="F58" s="18" t="n">
        <x:f>IF('Results'!$B$6="Inputs accepted",'Results'!B14,"")</x:f>
        <x:v>66.9055158034782</x:v>
      </x:c>
      <x:c r="G58" s="18" t="n">
        <x:f>IF('Results'!$B$6="Inputs accepted",'Results'!C14,"")</x:f>
        <x:v>70.64020731289524</x:v>
      </x:c>
      <x:c r="H58" s="2"/>
      <x:c r="I58" s="2"/>
      <x:c r="J58" s="2"/>
      <x:c r="K58" s="2"/>
      <x:c r="L58" s="2"/>
    </x:row>
    <x:row r="59" ht="22" customHeight="1">
      <x:c r="A59" s="18" t="n">
        <x:f>(59-5)*'Inputs'!$B$33/200</x:f>
        <x:v>10.8</x:v>
      </x:c>
      <x:c r="B59" s="18" t="n">
        <x:f>IF('Results'!$B$6="Inputs accepted",IF(AND(ISNUMBER('Results'!B7),ISNUMBER('Results'!C7),ISNUMBER('Results'!$B$8),ISNUMBER('Results'!$B$9),ISNUMBER('Inputs'!$B$6),ISNUMBER('Inputs'!$B$7),ISNUMBER('Inputs'!$B$8),ISNUMBER('Inputs'!$B$9),ISNUMBER('Inputs'!$B$10),ISNUMBER('Inputs'!$B$21),ISNUMBER('Inputs'!$B$24),ISNUMBER('Inputs'!$B$28)),(('Results'!B7*(0.5*(((A59+'Inputs'!$B$21)+'Inputs'!$B$7)/SQRT(((A59+'Inputs'!$B$21)+'Inputs'!$B$7)^2+('Inputs'!$B$6/2)^2)-((A59+'Inputs'!$B$21))/SQRT(((A59+'Inputs'!$B$21))^2+('Inputs'!$B$6/2)^2)))-'Results'!C7*(0.5*(((A59+'Inputs'!$B$21+'Inputs'!$B$7+'Inputs'!$B$10)+'Inputs'!$B$9)/SQRT(((A59+'Inputs'!$B$21+'Inputs'!$B$7+'Inputs'!$B$10)+'Inputs'!$B$9)^2+('Inputs'!$B$8/2)^2)-((A59+'Inputs'!$B$21+'Inputs'!$B$7+'Inputs'!$B$10))/SQRT(((A59+'Inputs'!$B$21+'Inputs'!$B$7+'Inputs'!$B$10))^2+('Inputs'!$B$8/2)^2))))*'Results'!$B$8*'Results'!$B$9),""),"")</x:f>
        <x:v>30.72793459944246</x:v>
      </x:c>
      <x:c r="C59" s="18" t="n">
        <x:f>IF('Results'!$B$6="Inputs accepted",IF(AND(ISNUMBER('Results'!C7),ISNUMBER('Results'!B7),ISNUMBER('Results'!$B$8),ISNUMBER('Results'!$B$9),ISNUMBER('Inputs'!$B$6),ISNUMBER('Inputs'!$B$7),ISNUMBER('Inputs'!$B$8),ISNUMBER('Inputs'!$B$9),ISNUMBER('Inputs'!$B$10),ISNUMBER('Inputs'!$B$21),ISNUMBER('Inputs'!$B$24),ISNUMBER('Inputs'!$B$28)),(('Results'!C7*(0.5*(((A59+'Inputs'!$B$21)+'Inputs'!$B$9)/SQRT(((A59+'Inputs'!$B$21)+'Inputs'!$B$9)^2+('Inputs'!$B$8/2)^2)-((A59+'Inputs'!$B$21))/SQRT(((A59+'Inputs'!$B$21))^2+('Inputs'!$B$8/2)^2)))-'Results'!B7*(0.5*(((A59+'Inputs'!$B$21+'Inputs'!$B$9+'Inputs'!$B$10)+'Inputs'!$B$7)/SQRT(((A59+'Inputs'!$B$21+'Inputs'!$B$9+'Inputs'!$B$10)+'Inputs'!$B$7)^2+('Inputs'!$B$6/2)^2)-((A59+'Inputs'!$B$21+'Inputs'!$B$9+'Inputs'!$B$10))/SQRT(((A59+'Inputs'!$B$21+'Inputs'!$B$9+'Inputs'!$B$10))^2+('Inputs'!$B$6/2)^2))))*'Results'!$B$8*'Results'!$B$9),""),"")</x:f>
        <x:v>29.35787773453233</x:v>
      </x:c>
      <x:c r="D59" s="18" t="n">
        <x:f>IF('Results'!$B$6="Inputs accepted",'Results'!B12,"")</x:f>
        <x:v>112.38228018798189</x:v>
      </x:c>
      <x:c r="E59" s="18" t="n">
        <x:f>IF('Results'!$B$6="Inputs accepted",'Results'!C12,"")</x:f>
        <x:v>119.21786205905865</x:v>
      </x:c>
      <x:c r="F59" s="18" t="n">
        <x:f>IF('Results'!$B$6="Inputs accepted",'Results'!B14,"")</x:f>
        <x:v>66.9055158034782</x:v>
      </x:c>
      <x:c r="G59" s="18" t="n">
        <x:f>IF('Results'!$B$6="Inputs accepted",'Results'!C14,"")</x:f>
        <x:v>70.64020731289524</x:v>
      </x:c>
      <x:c r="H59" s="2"/>
      <x:c r="I59" s="2"/>
      <x:c r="J59" s="2"/>
      <x:c r="K59" s="2"/>
      <x:c r="L59" s="2"/>
    </x:row>
    <x:row r="60" ht="22" customHeight="1">
      <x:c r="A60" s="18" t="n">
        <x:f>(60-5)*'Inputs'!$B$33/200</x:f>
        <x:v>11</x:v>
      </x:c>
      <x:c r="B60" s="18" t="n">
        <x:f>IF('Results'!$B$6="Inputs accepted",IF(AND(ISNUMBER('Results'!B7),ISNUMBER('Results'!C7),ISNUMBER('Results'!$B$8),ISNUMBER('Results'!$B$9),ISNUMBER('Inputs'!$B$6),ISNUMBER('Inputs'!$B$7),ISNUMBER('Inputs'!$B$8),ISNUMBER('Inputs'!$B$9),ISNUMBER('Inputs'!$B$10),ISNUMBER('Inputs'!$B$21),ISNUMBER('Inputs'!$B$24),ISNUMBER('Inputs'!$B$28)),(('Results'!B7*(0.5*(((A60+'Inputs'!$B$21)+'Inputs'!$B$7)/SQRT(((A60+'Inputs'!$B$21)+'Inputs'!$B$7)^2+('Inputs'!$B$6/2)^2)-((A60+'Inputs'!$B$21))/SQRT(((A60+'Inputs'!$B$21))^2+('Inputs'!$B$6/2)^2)))-'Results'!C7*(0.5*(((A60+'Inputs'!$B$21+'Inputs'!$B$7+'Inputs'!$B$10)+'Inputs'!$B$9)/SQRT(((A60+'Inputs'!$B$21+'Inputs'!$B$7+'Inputs'!$B$10)+'Inputs'!$B$9)^2+('Inputs'!$B$8/2)^2)-((A60+'Inputs'!$B$21+'Inputs'!$B$7+'Inputs'!$B$10))/SQRT(((A60+'Inputs'!$B$21+'Inputs'!$B$7+'Inputs'!$B$10))^2+('Inputs'!$B$8/2)^2))))*'Results'!$B$8*'Results'!$B$9),""),"")</x:f>
        <x:v>29.064819822104358</x:v>
      </x:c>
      <x:c r="C60" s="18" t="n">
        <x:f>IF('Results'!$B$6="Inputs accepted",IF(AND(ISNUMBER('Results'!C7),ISNUMBER('Results'!B7),ISNUMBER('Results'!$B$8),ISNUMBER('Results'!$B$9),ISNUMBER('Inputs'!$B$6),ISNUMBER('Inputs'!$B$7),ISNUMBER('Inputs'!$B$8),ISNUMBER('Inputs'!$B$9),ISNUMBER('Inputs'!$B$10),ISNUMBER('Inputs'!$B$21),ISNUMBER('Inputs'!$B$24),ISNUMBER('Inputs'!$B$28)),(('Results'!C7*(0.5*(((A60+'Inputs'!$B$21)+'Inputs'!$B$9)/SQRT(((A60+'Inputs'!$B$21)+'Inputs'!$B$9)^2+('Inputs'!$B$8/2)^2)-((A60+'Inputs'!$B$21))/SQRT(((A60+'Inputs'!$B$21))^2+('Inputs'!$B$8/2)^2)))-'Results'!B7*(0.5*(((A60+'Inputs'!$B$21+'Inputs'!$B$9+'Inputs'!$B$10)+'Inputs'!$B$7)/SQRT(((A60+'Inputs'!$B$21+'Inputs'!$B$9+'Inputs'!$B$10)+'Inputs'!$B$7)^2+('Inputs'!$B$6/2)^2)-((A60+'Inputs'!$B$21+'Inputs'!$B$9+'Inputs'!$B$10))/SQRT(((A60+'Inputs'!$B$21+'Inputs'!$B$9+'Inputs'!$B$10))^2+('Inputs'!$B$6/2)^2))))*'Results'!$B$8*'Results'!$B$9),""),"")</x:f>
        <x:v>27.754448687888708</x:v>
      </x:c>
      <x:c r="D60" s="18" t="n">
        <x:f>IF('Results'!$B$6="Inputs accepted",'Results'!B12,"")</x:f>
        <x:v>112.38228018798189</x:v>
      </x:c>
      <x:c r="E60" s="18" t="n">
        <x:f>IF('Results'!$B$6="Inputs accepted",'Results'!C12,"")</x:f>
        <x:v>119.21786205905865</x:v>
      </x:c>
      <x:c r="F60" s="18" t="n">
        <x:f>IF('Results'!$B$6="Inputs accepted",'Results'!B14,"")</x:f>
        <x:v>66.9055158034782</x:v>
      </x:c>
      <x:c r="G60" s="18" t="n">
        <x:f>IF('Results'!$B$6="Inputs accepted",'Results'!C14,"")</x:f>
        <x:v>70.64020731289524</x:v>
      </x:c>
      <x:c r="H60" s="2"/>
      <x:c r="I60" s="2"/>
      <x:c r="J60" s="2"/>
      <x:c r="K60" s="2"/>
      <x:c r="L60" s="2"/>
    </x:row>
    <x:row r="61" ht="22" customHeight="1">
      <x:c r="A61" s="18" t="n">
        <x:f>(61-5)*'Inputs'!$B$33/200</x:f>
        <x:v>11.2</x:v>
      </x:c>
      <x:c r="B61" s="18" t="n">
        <x:f>IF('Results'!$B$6="Inputs accepted",IF(AND(ISNUMBER('Results'!B7),ISNUMBER('Results'!C7),ISNUMBER('Results'!$B$8),ISNUMBER('Results'!$B$9),ISNUMBER('Inputs'!$B$6),ISNUMBER('Inputs'!$B$7),ISNUMBER('Inputs'!$B$8),ISNUMBER('Inputs'!$B$9),ISNUMBER('Inputs'!$B$10),ISNUMBER('Inputs'!$B$21),ISNUMBER('Inputs'!$B$24),ISNUMBER('Inputs'!$B$28)),(('Results'!B7*(0.5*(((A61+'Inputs'!$B$21)+'Inputs'!$B$7)/SQRT(((A61+'Inputs'!$B$21)+'Inputs'!$B$7)^2+('Inputs'!$B$6/2)^2)-((A61+'Inputs'!$B$21))/SQRT(((A61+'Inputs'!$B$21))^2+('Inputs'!$B$6/2)^2)))-'Results'!C7*(0.5*(((A61+'Inputs'!$B$21+'Inputs'!$B$7+'Inputs'!$B$10)+'Inputs'!$B$9)/SQRT(((A61+'Inputs'!$B$21+'Inputs'!$B$7+'Inputs'!$B$10)+'Inputs'!$B$9)^2+('Inputs'!$B$8/2)^2)-((A61+'Inputs'!$B$21+'Inputs'!$B$7+'Inputs'!$B$10))/SQRT(((A61+'Inputs'!$B$21+'Inputs'!$B$7+'Inputs'!$B$10))^2+('Inputs'!$B$8/2)^2))))*'Results'!$B$8*'Results'!$B$9),""),"")</x:f>
        <x:v>27.512088190181984</x:v>
      </x:c>
      <x:c r="C61" s="18" t="n">
        <x:f>IF('Results'!$B$6="Inputs accepted",IF(AND(ISNUMBER('Results'!C7),ISNUMBER('Results'!B7),ISNUMBER('Results'!$B$8),ISNUMBER('Results'!$B$9),ISNUMBER('Inputs'!$B$6),ISNUMBER('Inputs'!$B$7),ISNUMBER('Inputs'!$B$8),ISNUMBER('Inputs'!$B$9),ISNUMBER('Inputs'!$B$10),ISNUMBER('Inputs'!$B$21),ISNUMBER('Inputs'!$B$24),ISNUMBER('Inputs'!$B$28)),(('Results'!C7*(0.5*(((A61+'Inputs'!$B$21)+'Inputs'!$B$9)/SQRT(((A61+'Inputs'!$B$21)+'Inputs'!$B$9)^2+('Inputs'!$B$8/2)^2)-((A61+'Inputs'!$B$21))/SQRT(((A61+'Inputs'!$B$21))^2+('Inputs'!$B$8/2)^2)))-'Results'!B7*(0.5*(((A61+'Inputs'!$B$21+'Inputs'!$B$9+'Inputs'!$B$10)+'Inputs'!$B$7)/SQRT(((A61+'Inputs'!$B$21+'Inputs'!$B$9+'Inputs'!$B$10)+'Inputs'!$B$7)^2+('Inputs'!$B$6/2)^2)-((A61+'Inputs'!$B$21+'Inputs'!$B$9+'Inputs'!$B$10))/SQRT(((A61+'Inputs'!$B$21+'Inputs'!$B$9+'Inputs'!$B$10))^2+('Inputs'!$B$6/2)^2))))*'Results'!$B$8*'Results'!$B$9),""),"")</x:f>
        <x:v>26.25798739358106</x:v>
      </x:c>
      <x:c r="D61" s="18" t="n">
        <x:f>IF('Results'!$B$6="Inputs accepted",'Results'!B12,"")</x:f>
        <x:v>112.38228018798189</x:v>
      </x:c>
      <x:c r="E61" s="18" t="n">
        <x:f>IF('Results'!$B$6="Inputs accepted",'Results'!C12,"")</x:f>
        <x:v>119.21786205905865</x:v>
      </x:c>
      <x:c r="F61" s="18" t="n">
        <x:f>IF('Results'!$B$6="Inputs accepted",'Results'!B14,"")</x:f>
        <x:v>66.9055158034782</x:v>
      </x:c>
      <x:c r="G61" s="18" t="n">
        <x:f>IF('Results'!$B$6="Inputs accepted",'Results'!C14,"")</x:f>
        <x:v>70.64020731289524</x:v>
      </x:c>
      <x:c r="H61" s="2"/>
      <x:c r="I61" s="2"/>
      <x:c r="J61" s="2"/>
      <x:c r="K61" s="2"/>
      <x:c r="L61" s="2"/>
    </x:row>
    <x:row r="62" ht="22" customHeight="1">
      <x:c r="A62" s="18" t="n">
        <x:f>(62-5)*'Inputs'!$B$33/200</x:f>
        <x:v>11.4</x:v>
      </x:c>
      <x:c r="B62" s="18" t="n">
        <x:f>IF('Results'!$B$6="Inputs accepted",IF(AND(ISNUMBER('Results'!B7),ISNUMBER('Results'!C7),ISNUMBER('Results'!$B$8),ISNUMBER('Results'!$B$9),ISNUMBER('Inputs'!$B$6),ISNUMBER('Inputs'!$B$7),ISNUMBER('Inputs'!$B$8),ISNUMBER('Inputs'!$B$9),ISNUMBER('Inputs'!$B$10),ISNUMBER('Inputs'!$B$21),ISNUMBER('Inputs'!$B$24),ISNUMBER('Inputs'!$B$28)),(('Results'!B7*(0.5*(((A62+'Inputs'!$B$21)+'Inputs'!$B$7)/SQRT(((A62+'Inputs'!$B$21)+'Inputs'!$B$7)^2+('Inputs'!$B$6/2)^2)-((A62+'Inputs'!$B$21))/SQRT(((A62+'Inputs'!$B$21))^2+('Inputs'!$B$6/2)^2)))-'Results'!C7*(0.5*(((A62+'Inputs'!$B$21+'Inputs'!$B$7+'Inputs'!$B$10)+'Inputs'!$B$9)/SQRT(((A62+'Inputs'!$B$21+'Inputs'!$B$7+'Inputs'!$B$10)+'Inputs'!$B$9)^2+('Inputs'!$B$8/2)^2)-((A62+'Inputs'!$B$21+'Inputs'!$B$7+'Inputs'!$B$10))/SQRT(((A62+'Inputs'!$B$21+'Inputs'!$B$7+'Inputs'!$B$10))^2+('Inputs'!$B$8/2)^2))))*'Results'!$B$8*'Results'!$B$9),""),"")</x:f>
        <x:v>26.061133935881724</x:v>
      </x:c>
      <x:c r="C62" s="18" t="n">
        <x:f>IF('Results'!$B$6="Inputs accepted",IF(AND(ISNUMBER('Results'!C7),ISNUMBER('Results'!B7),ISNUMBER('Results'!$B$8),ISNUMBER('Results'!$B$9),ISNUMBER('Inputs'!$B$6),ISNUMBER('Inputs'!$B$7),ISNUMBER('Inputs'!$B$8),ISNUMBER('Inputs'!$B$9),ISNUMBER('Inputs'!$B$10),ISNUMBER('Inputs'!$B$21),ISNUMBER('Inputs'!$B$24),ISNUMBER('Inputs'!$B$28)),(('Results'!C7*(0.5*(((A62+'Inputs'!$B$21)+'Inputs'!$B$9)/SQRT(((A62+'Inputs'!$B$21)+'Inputs'!$B$9)^2+('Inputs'!$B$8/2)^2)-((A62+'Inputs'!$B$21))/SQRT(((A62+'Inputs'!$B$21))^2+('Inputs'!$B$8/2)^2)))-'Results'!B7*(0.5*(((A62+'Inputs'!$B$21+'Inputs'!$B$9+'Inputs'!$B$10)+'Inputs'!$B$7)/SQRT(((A62+'Inputs'!$B$21+'Inputs'!$B$9+'Inputs'!$B$10)+'Inputs'!$B$7)^2+('Inputs'!$B$6/2)^2)-((A62+'Inputs'!$B$21+'Inputs'!$B$9+'Inputs'!$B$10))/SQRT(((A62+'Inputs'!$B$21+'Inputs'!$B$9+'Inputs'!$B$10))^2+('Inputs'!$B$6/2)^2))))*'Results'!$B$8*'Results'!$B$9),""),"")</x:f>
        <x:v>24.860127838942248</x:v>
      </x:c>
      <x:c r="D62" s="18" t="n">
        <x:f>IF('Results'!$B$6="Inputs accepted",'Results'!B12,"")</x:f>
        <x:v>112.38228018798189</x:v>
      </x:c>
      <x:c r="E62" s="18" t="n">
        <x:f>IF('Results'!$B$6="Inputs accepted",'Results'!C12,"")</x:f>
        <x:v>119.21786205905865</x:v>
      </x:c>
      <x:c r="F62" s="18" t="n">
        <x:f>IF('Results'!$B$6="Inputs accepted",'Results'!B14,"")</x:f>
        <x:v>66.9055158034782</x:v>
      </x:c>
      <x:c r="G62" s="18" t="n">
        <x:f>IF('Results'!$B$6="Inputs accepted",'Results'!C14,"")</x:f>
        <x:v>70.64020731289524</x:v>
      </x:c>
      <x:c r="H62" s="2"/>
      <x:c r="I62" s="2"/>
      <x:c r="J62" s="2"/>
      <x:c r="K62" s="2"/>
      <x:c r="L62" s="2"/>
    </x:row>
    <x:row r="63" ht="22" customHeight="1">
      <x:c r="A63" s="18" t="n">
        <x:f>(63-5)*'Inputs'!$B$33/200</x:f>
        <x:v>11.6</x:v>
      </x:c>
      <x:c r="B63" s="18" t="n">
        <x:f>IF('Results'!$B$6="Inputs accepted",IF(AND(ISNUMBER('Results'!B7),ISNUMBER('Results'!C7),ISNUMBER('Results'!$B$8),ISNUMBER('Results'!$B$9),ISNUMBER('Inputs'!$B$6),ISNUMBER('Inputs'!$B$7),ISNUMBER('Inputs'!$B$8),ISNUMBER('Inputs'!$B$9),ISNUMBER('Inputs'!$B$10),ISNUMBER('Inputs'!$B$21),ISNUMBER('Inputs'!$B$24),ISNUMBER('Inputs'!$B$28)),(('Results'!B7*(0.5*(((A63+'Inputs'!$B$21)+'Inputs'!$B$7)/SQRT(((A63+'Inputs'!$B$21)+'Inputs'!$B$7)^2+('Inputs'!$B$6/2)^2)-((A63+'Inputs'!$B$21))/SQRT(((A63+'Inputs'!$B$21))^2+('Inputs'!$B$6/2)^2)))-'Results'!C7*(0.5*(((A63+'Inputs'!$B$21+'Inputs'!$B$7+'Inputs'!$B$10)+'Inputs'!$B$9)/SQRT(((A63+'Inputs'!$B$21+'Inputs'!$B$7+'Inputs'!$B$10)+'Inputs'!$B$9)^2+('Inputs'!$B$8/2)^2)-((A63+'Inputs'!$B$21+'Inputs'!$B$7+'Inputs'!$B$10))/SQRT(((A63+'Inputs'!$B$21+'Inputs'!$B$7+'Inputs'!$B$10))^2+('Inputs'!$B$8/2)^2))))*'Results'!$B$8*'Results'!$B$9),""),"")</x:f>
        <x:v>24.70411600959167</x:v>
      </x:c>
      <x:c r="C63" s="18" t="n">
        <x:f>IF('Results'!$B$6="Inputs accepted",IF(AND(ISNUMBER('Results'!C7),ISNUMBER('Results'!B7),ISNUMBER('Results'!$B$8),ISNUMBER('Results'!$B$9),ISNUMBER('Inputs'!$B$6),ISNUMBER('Inputs'!$B$7),ISNUMBER('Inputs'!$B$8),ISNUMBER('Inputs'!$B$9),ISNUMBER('Inputs'!$B$10),ISNUMBER('Inputs'!$B$21),ISNUMBER('Inputs'!$B$24),ISNUMBER('Inputs'!$B$28)),(('Results'!C7*(0.5*(((A63+'Inputs'!$B$21)+'Inputs'!$B$9)/SQRT(((A63+'Inputs'!$B$21)+'Inputs'!$B$9)^2+('Inputs'!$B$8/2)^2)-((A63+'Inputs'!$B$21))/SQRT(((A63+'Inputs'!$B$21))^2+('Inputs'!$B$8/2)^2)))-'Results'!B7*(0.5*(((A63+'Inputs'!$B$21+'Inputs'!$B$9+'Inputs'!$B$10)+'Inputs'!$B$7)/SQRT(((A63+'Inputs'!$B$21+'Inputs'!$B$9+'Inputs'!$B$10)+'Inputs'!$B$7)^2+('Inputs'!$B$6/2)^2)-((A63+'Inputs'!$B$21+'Inputs'!$B$9+'Inputs'!$B$10))/SQRT(((A63+'Inputs'!$B$21+'Inputs'!$B$9+'Inputs'!$B$10))^2+('Inputs'!$B$6/2)^2))))*'Results'!$B$8*'Results'!$B$9),""),"")</x:f>
        <x:v>23.55324897886663</x:v>
      </x:c>
      <x:c r="D63" s="18" t="n">
        <x:f>IF('Results'!$B$6="Inputs accepted",'Results'!B12,"")</x:f>
        <x:v>112.38228018798189</x:v>
      </x:c>
      <x:c r="E63" s="18" t="n">
        <x:f>IF('Results'!$B$6="Inputs accepted",'Results'!C12,"")</x:f>
        <x:v>119.21786205905865</x:v>
      </x:c>
      <x:c r="F63" s="18" t="n">
        <x:f>IF('Results'!$B$6="Inputs accepted",'Results'!B14,"")</x:f>
        <x:v>66.9055158034782</x:v>
      </x:c>
      <x:c r="G63" s="18" t="n">
        <x:f>IF('Results'!$B$6="Inputs accepted",'Results'!C14,"")</x:f>
        <x:v>70.64020731289524</x:v>
      </x:c>
      <x:c r="H63" s="2"/>
      <x:c r="I63" s="2"/>
      <x:c r="J63" s="2"/>
      <x:c r="K63" s="2"/>
      <x:c r="L63" s="2"/>
    </x:row>
    <x:row r="64" ht="22" customHeight="1">
      <x:c r="A64" s="18" t="n">
        <x:f>(64-5)*'Inputs'!$B$33/200</x:f>
        <x:v>11.8</x:v>
      </x:c>
      <x:c r="B64" s="18" t="n">
        <x:f>IF('Results'!$B$6="Inputs accepted",IF(AND(ISNUMBER('Results'!B7),ISNUMBER('Results'!C7),ISNUMBER('Results'!$B$8),ISNUMBER('Results'!$B$9),ISNUMBER('Inputs'!$B$6),ISNUMBER('Inputs'!$B$7),ISNUMBER('Inputs'!$B$8),ISNUMBER('Inputs'!$B$9),ISNUMBER('Inputs'!$B$10),ISNUMBER('Inputs'!$B$21),ISNUMBER('Inputs'!$B$24),ISNUMBER('Inputs'!$B$28)),(('Results'!B7*(0.5*(((A64+'Inputs'!$B$21)+'Inputs'!$B$7)/SQRT(((A64+'Inputs'!$B$21)+'Inputs'!$B$7)^2+('Inputs'!$B$6/2)^2)-((A64+'Inputs'!$B$21))/SQRT(((A64+'Inputs'!$B$21))^2+('Inputs'!$B$6/2)^2)))-'Results'!C7*(0.5*(((A64+'Inputs'!$B$21+'Inputs'!$B$7+'Inputs'!$B$10)+'Inputs'!$B$9)/SQRT(((A64+'Inputs'!$B$21+'Inputs'!$B$7+'Inputs'!$B$10)+'Inputs'!$B$9)^2+('Inputs'!$B$8/2)^2)-((A64+'Inputs'!$B$21+'Inputs'!$B$7+'Inputs'!$B$10))/SQRT(((A64+'Inputs'!$B$21+'Inputs'!$B$7+'Inputs'!$B$10))^2+('Inputs'!$B$8/2)^2))))*'Results'!$B$8*'Results'!$B$9),""),"")</x:f>
        <x:v>23.43388237055497</x:v>
      </x:c>
      <x:c r="C64" s="18" t="n">
        <x:f>IF('Results'!$B$6="Inputs accepted",IF(AND(ISNUMBER('Results'!C7),ISNUMBER('Results'!B7),ISNUMBER('Results'!$B$8),ISNUMBER('Results'!$B$9),ISNUMBER('Inputs'!$B$6),ISNUMBER('Inputs'!$B$7),ISNUMBER('Inputs'!$B$8),ISNUMBER('Inputs'!$B$9),ISNUMBER('Inputs'!$B$10),ISNUMBER('Inputs'!$B$21),ISNUMBER('Inputs'!$B$24),ISNUMBER('Inputs'!$B$28)),(('Results'!C7*(0.5*(((A64+'Inputs'!$B$21)+'Inputs'!$B$9)/SQRT(((A64+'Inputs'!$B$21)+'Inputs'!$B$9)^2+('Inputs'!$B$8/2)^2)-((A64+'Inputs'!$B$21))/SQRT(((A64+'Inputs'!$B$21))^2+('Inputs'!$B$8/2)^2)))-'Results'!B7*(0.5*(((A64+'Inputs'!$B$21+'Inputs'!$B$9+'Inputs'!$B$10)+'Inputs'!$B$7)/SQRT(((A64+'Inputs'!$B$21+'Inputs'!$B$9+'Inputs'!$B$10)+'Inputs'!$B$7)^2+('Inputs'!$B$6/2)^2)-((A64+'Inputs'!$B$21+'Inputs'!$B$9+'Inputs'!$B$10))/SQRT(((A64+'Inputs'!$B$21+'Inputs'!$B$9+'Inputs'!$B$10))^2+('Inputs'!$B$6/2)^2))))*'Results'!$B$8*'Results'!$B$9),""),"")</x:f>
        <x:v>22.33040087641277</x:v>
      </x:c>
      <x:c r="D64" s="18" t="n">
        <x:f>IF('Results'!$B$6="Inputs accepted",'Results'!B12,"")</x:f>
        <x:v>112.38228018798189</x:v>
      </x:c>
      <x:c r="E64" s="18" t="n">
        <x:f>IF('Results'!$B$6="Inputs accepted",'Results'!C12,"")</x:f>
        <x:v>119.21786205905865</x:v>
      </x:c>
      <x:c r="F64" s="18" t="n">
        <x:f>IF('Results'!$B$6="Inputs accepted",'Results'!B14,"")</x:f>
        <x:v>66.9055158034782</x:v>
      </x:c>
      <x:c r="G64" s="18" t="n">
        <x:f>IF('Results'!$B$6="Inputs accepted",'Results'!C14,"")</x:f>
        <x:v>70.64020731289524</x:v>
      </x:c>
      <x:c r="H64" s="2"/>
      <x:c r="I64" s="2"/>
      <x:c r="J64" s="2"/>
      <x:c r="K64" s="2"/>
      <x:c r="L64" s="2"/>
    </x:row>
    <x:row r="65" ht="22" customHeight="1">
      <x:c r="A65" s="18" t="n">
        <x:f>(65-5)*'Inputs'!$B$33/200</x:f>
        <x:v>12</x:v>
      </x:c>
      <x:c r="B65" s="18" t="n">
        <x:f>IF('Results'!$B$6="Inputs accepted",IF(AND(ISNUMBER('Results'!B7),ISNUMBER('Results'!C7),ISNUMBER('Results'!$B$8),ISNUMBER('Results'!$B$9),ISNUMBER('Inputs'!$B$6),ISNUMBER('Inputs'!$B$7),ISNUMBER('Inputs'!$B$8),ISNUMBER('Inputs'!$B$9),ISNUMBER('Inputs'!$B$10),ISNUMBER('Inputs'!$B$21),ISNUMBER('Inputs'!$B$24),ISNUMBER('Inputs'!$B$28)),(('Results'!B7*(0.5*(((A65+'Inputs'!$B$21)+'Inputs'!$B$7)/SQRT(((A65+'Inputs'!$B$21)+'Inputs'!$B$7)^2+('Inputs'!$B$6/2)^2)-((A65+'Inputs'!$B$21))/SQRT(((A65+'Inputs'!$B$21))^2+('Inputs'!$B$6/2)^2)))-'Results'!C7*(0.5*(((A65+'Inputs'!$B$21+'Inputs'!$B$7+'Inputs'!$B$10)+'Inputs'!$B$9)/SQRT(((A65+'Inputs'!$B$21+'Inputs'!$B$7+'Inputs'!$B$10)+'Inputs'!$B$9)^2+('Inputs'!$B$8/2)^2)-((A65+'Inputs'!$B$21+'Inputs'!$B$7+'Inputs'!$B$10))/SQRT(((A65+'Inputs'!$B$21+'Inputs'!$B$7+'Inputs'!$B$10))^2+('Inputs'!$B$8/2)^2))))*'Results'!$B$8*'Results'!$B$9),""),"")</x:f>
        <x:v>22.24390247623583</x:v>
      </x:c>
      <x:c r="C65" s="18" t="n">
        <x:f>IF('Results'!$B$6="Inputs accepted",IF(AND(ISNUMBER('Results'!C7),ISNUMBER('Results'!B7),ISNUMBER('Results'!$B$8),ISNUMBER('Results'!$B$9),ISNUMBER('Inputs'!$B$6),ISNUMBER('Inputs'!$B$7),ISNUMBER('Inputs'!$B$8),ISNUMBER('Inputs'!$B$9),ISNUMBER('Inputs'!$B$10),ISNUMBER('Inputs'!$B$21),ISNUMBER('Inputs'!$B$24),ISNUMBER('Inputs'!$B$28)),(('Results'!C7*(0.5*(((A65+'Inputs'!$B$21)+'Inputs'!$B$9)/SQRT(((A65+'Inputs'!$B$21)+'Inputs'!$B$9)^2+('Inputs'!$B$8/2)^2)-((A65+'Inputs'!$B$21))/SQRT(((A65+'Inputs'!$B$21))^2+('Inputs'!$B$8/2)^2)))-'Results'!B7*(0.5*(((A65+'Inputs'!$B$21+'Inputs'!$B$9+'Inputs'!$B$10)+'Inputs'!$B$7)/SQRT(((A65+'Inputs'!$B$21+'Inputs'!$B$9+'Inputs'!$B$10)+'Inputs'!$B$7)^2+('Inputs'!$B$6/2)^2)-((A65+'Inputs'!$B$21+'Inputs'!$B$9+'Inputs'!$B$10))/SQRT(((A65+'Inputs'!$B$21+'Inputs'!$B$9+'Inputs'!$B$10))^2+('Inputs'!$B$6/2)^2))))*'Results'!$B$8*'Results'!$B$9),""),"")</x:f>
        <x:v>21.185238849793514</x:v>
      </x:c>
      <x:c r="D65" s="18" t="n">
        <x:f>IF('Results'!$B$6="Inputs accepted",'Results'!B12,"")</x:f>
        <x:v>112.38228018798189</x:v>
      </x:c>
      <x:c r="E65" s="18" t="n">
        <x:f>IF('Results'!$B$6="Inputs accepted",'Results'!C12,"")</x:f>
        <x:v>119.21786205905865</x:v>
      </x:c>
      <x:c r="F65" s="18" t="n">
        <x:f>IF('Results'!$B$6="Inputs accepted",'Results'!B14,"")</x:f>
        <x:v>66.9055158034782</x:v>
      </x:c>
      <x:c r="G65" s="18" t="n">
        <x:f>IF('Results'!$B$6="Inputs accepted",'Results'!C14,"")</x:f>
        <x:v>70.64020731289524</x:v>
      </x:c>
      <x:c r="H65" s="2"/>
      <x:c r="I65" s="2"/>
      <x:c r="J65" s="2"/>
      <x:c r="K65" s="2"/>
      <x:c r="L65" s="2"/>
    </x:row>
    <x:row r="66" ht="22" customHeight="1">
      <x:c r="A66" s="18" t="n">
        <x:f>(66-5)*'Inputs'!$B$33/200</x:f>
        <x:v>12.2</x:v>
      </x:c>
      <x:c r="B66" s="18" t="n">
        <x:f>IF('Results'!$B$6="Inputs accepted",IF(AND(ISNUMBER('Results'!B7),ISNUMBER('Results'!C7),ISNUMBER('Results'!$B$8),ISNUMBER('Results'!$B$9),ISNUMBER('Inputs'!$B$6),ISNUMBER('Inputs'!$B$7),ISNUMBER('Inputs'!$B$8),ISNUMBER('Inputs'!$B$9),ISNUMBER('Inputs'!$B$10),ISNUMBER('Inputs'!$B$21),ISNUMBER('Inputs'!$B$24),ISNUMBER('Inputs'!$B$28)),(('Results'!B7*(0.5*(((A66+'Inputs'!$B$21)+'Inputs'!$B$7)/SQRT(((A66+'Inputs'!$B$21)+'Inputs'!$B$7)^2+('Inputs'!$B$6/2)^2)-((A66+'Inputs'!$B$21))/SQRT(((A66+'Inputs'!$B$21))^2+('Inputs'!$B$6/2)^2)))-'Results'!C7*(0.5*(((A66+'Inputs'!$B$21+'Inputs'!$B$7+'Inputs'!$B$10)+'Inputs'!$B$9)/SQRT(((A66+'Inputs'!$B$21+'Inputs'!$B$7+'Inputs'!$B$10)+'Inputs'!$B$9)^2+('Inputs'!$B$8/2)^2)-((A66+'Inputs'!$B$21+'Inputs'!$B$7+'Inputs'!$B$10))/SQRT(((A66+'Inputs'!$B$21+'Inputs'!$B$7+'Inputs'!$B$10))^2+('Inputs'!$B$8/2)^2))))*'Results'!$B$8*'Results'!$B$9),""),"")</x:f>
        <x:v>21.128207014543523</x:v>
      </x:c>
      <x:c r="C66" s="18" t="n">
        <x:f>IF('Results'!$B$6="Inputs accepted",IF(AND(ISNUMBER('Results'!C7),ISNUMBER('Results'!B7),ISNUMBER('Results'!$B$8),ISNUMBER('Results'!$B$9),ISNUMBER('Inputs'!$B$6),ISNUMBER('Inputs'!$B$7),ISNUMBER('Inputs'!$B$8),ISNUMBER('Inputs'!$B$9),ISNUMBER('Inputs'!$B$10),ISNUMBER('Inputs'!$B$21),ISNUMBER('Inputs'!$B$24),ISNUMBER('Inputs'!$B$28)),(('Results'!C7*(0.5*(((A66+'Inputs'!$B$21)+'Inputs'!$B$9)/SQRT(((A66+'Inputs'!$B$21)+'Inputs'!$B$9)^2+('Inputs'!$B$8/2)^2)-((A66+'Inputs'!$B$21))/SQRT(((A66+'Inputs'!$B$21))^2+('Inputs'!$B$8/2)^2)))-'Results'!B7*(0.5*(((A66+'Inputs'!$B$21+'Inputs'!$B$9+'Inputs'!$B$10)+'Inputs'!$B$7)/SQRT(((A66+'Inputs'!$B$21+'Inputs'!$B$9+'Inputs'!$B$10)+'Inputs'!$B$7)^2+('Inputs'!$B$6/2)^2)-((A66+'Inputs'!$B$21+'Inputs'!$B$9+'Inputs'!$B$10))/SQRT(((A66+'Inputs'!$B$21+'Inputs'!$B$9+'Inputs'!$B$10))^2+('Inputs'!$B$6/2)^2))))*'Results'!$B$8*'Results'!$B$9),""),"")</x:f>
        <x:v>20.111964691669872</x:v>
      </x:c>
      <x:c r="D66" s="18" t="n">
        <x:f>IF('Results'!$B$6="Inputs accepted",'Results'!B12,"")</x:f>
        <x:v>112.38228018798189</x:v>
      </x:c>
      <x:c r="E66" s="18" t="n">
        <x:f>IF('Results'!$B$6="Inputs accepted",'Results'!C12,"")</x:f>
        <x:v>119.21786205905865</x:v>
      </x:c>
      <x:c r="F66" s="18" t="n">
        <x:f>IF('Results'!$B$6="Inputs accepted",'Results'!B14,"")</x:f>
        <x:v>66.9055158034782</x:v>
      </x:c>
      <x:c r="G66" s="18" t="n">
        <x:f>IF('Results'!$B$6="Inputs accepted",'Results'!C14,"")</x:f>
        <x:v>70.64020731289524</x:v>
      </x:c>
      <x:c r="H66" s="2"/>
      <x:c r="I66" s="2"/>
      <x:c r="J66" s="2"/>
      <x:c r="K66" s="2"/>
      <x:c r="L66" s="2"/>
    </x:row>
    <x:row r="67" ht="22" customHeight="1">
      <x:c r="A67" s="18" t="n">
        <x:f>(67-5)*'Inputs'!$B$33/200</x:f>
        <x:v>12.4</x:v>
      </x:c>
      <x:c r="B67" s="18" t="n">
        <x:f>IF('Results'!$B$6="Inputs accepted",IF(AND(ISNUMBER('Results'!B7),ISNUMBER('Results'!C7),ISNUMBER('Results'!$B$8),ISNUMBER('Results'!$B$9),ISNUMBER('Inputs'!$B$6),ISNUMBER('Inputs'!$B$7),ISNUMBER('Inputs'!$B$8),ISNUMBER('Inputs'!$B$9),ISNUMBER('Inputs'!$B$10),ISNUMBER('Inputs'!$B$21),ISNUMBER('Inputs'!$B$24),ISNUMBER('Inputs'!$B$28)),(('Results'!B7*(0.5*(((A67+'Inputs'!$B$21)+'Inputs'!$B$7)/SQRT(((A67+'Inputs'!$B$21)+'Inputs'!$B$7)^2+('Inputs'!$B$6/2)^2)-((A67+'Inputs'!$B$21))/SQRT(((A67+'Inputs'!$B$21))^2+('Inputs'!$B$6/2)^2)))-'Results'!C7*(0.5*(((A67+'Inputs'!$B$21+'Inputs'!$B$7+'Inputs'!$B$10)+'Inputs'!$B$9)/SQRT(((A67+'Inputs'!$B$21+'Inputs'!$B$7+'Inputs'!$B$10)+'Inputs'!$B$9)^2+('Inputs'!$B$8/2)^2)-((A67+'Inputs'!$B$21+'Inputs'!$B$7+'Inputs'!$B$10))/SQRT(((A67+'Inputs'!$B$21+'Inputs'!$B$7+'Inputs'!$B$10))^2+('Inputs'!$B$8/2)^2))))*'Results'!$B$8*'Results'!$B$9),""),"")</x:f>
        <x:v>20.08133404130333</x:v>
      </x:c>
      <x:c r="C67" s="18" t="n">
        <x:f>IF('Results'!$B$6="Inputs accepted",IF(AND(ISNUMBER('Results'!C7),ISNUMBER('Results'!B7),ISNUMBER('Results'!$B$8),ISNUMBER('Results'!$B$9),ISNUMBER('Inputs'!$B$6),ISNUMBER('Inputs'!$B$7),ISNUMBER('Inputs'!$B$8),ISNUMBER('Inputs'!$B$9),ISNUMBER('Inputs'!$B$10),ISNUMBER('Inputs'!$B$21),ISNUMBER('Inputs'!$B$24),ISNUMBER('Inputs'!$B$28)),(('Results'!C7*(0.5*(((A67+'Inputs'!$B$21)+'Inputs'!$B$9)/SQRT(((A67+'Inputs'!$B$21)+'Inputs'!$B$9)^2+('Inputs'!$B$8/2)^2)-((A67+'Inputs'!$B$21))/SQRT(((A67+'Inputs'!$B$21))^2+('Inputs'!$B$8/2)^2)))-'Results'!B7*(0.5*(((A67+'Inputs'!$B$21+'Inputs'!$B$9+'Inputs'!$B$10)+'Inputs'!$B$7)/SQRT(((A67+'Inputs'!$B$21+'Inputs'!$B$9+'Inputs'!$B$10)+'Inputs'!$B$7)^2+('Inputs'!$B$6/2)^2)-((A67+'Inputs'!$B$21+'Inputs'!$B$9+'Inputs'!$B$10))/SQRT(((A67+'Inputs'!$B$21+'Inputs'!$B$9+'Inputs'!$B$10))^2+('Inputs'!$B$6/2)^2))))*'Results'!$B$8*'Results'!$B$9),""),"")</x:f>
        <x:v>19.1052741422587</x:v>
      </x:c>
      <x:c r="D67" s="18" t="n">
        <x:f>IF('Results'!$B$6="Inputs accepted",'Results'!B12,"")</x:f>
        <x:v>112.38228018798189</x:v>
      </x:c>
      <x:c r="E67" s="18" t="n">
        <x:f>IF('Results'!$B$6="Inputs accepted",'Results'!C12,"")</x:f>
        <x:v>119.21786205905865</x:v>
      </x:c>
      <x:c r="F67" s="18" t="n">
        <x:f>IF('Results'!$B$6="Inputs accepted",'Results'!B14,"")</x:f>
        <x:v>66.9055158034782</x:v>
      </x:c>
      <x:c r="G67" s="18" t="n">
        <x:f>IF('Results'!$B$6="Inputs accepted",'Results'!C14,"")</x:f>
        <x:v>70.64020731289524</x:v>
      </x:c>
      <x:c r="H67" s="2"/>
      <x:c r="I67" s="2"/>
      <x:c r="J67" s="2"/>
      <x:c r="K67" s="2"/>
      <x:c r="L67" s="2"/>
    </x:row>
    <x:row r="68" ht="22" customHeight="1">
      <x:c r="A68" s="18" t="n">
        <x:f>(68-5)*'Inputs'!$B$33/200</x:f>
        <x:v>12.6</x:v>
      </x:c>
      <x:c r="B68" s="18" t="n">
        <x:f>IF('Results'!$B$6="Inputs accepted",IF(AND(ISNUMBER('Results'!B7),ISNUMBER('Results'!C7),ISNUMBER('Results'!$B$8),ISNUMBER('Results'!$B$9),ISNUMBER('Inputs'!$B$6),ISNUMBER('Inputs'!$B$7),ISNUMBER('Inputs'!$B$8),ISNUMBER('Inputs'!$B$9),ISNUMBER('Inputs'!$B$10),ISNUMBER('Inputs'!$B$21),ISNUMBER('Inputs'!$B$24),ISNUMBER('Inputs'!$B$28)),(('Results'!B7*(0.5*(((A68+'Inputs'!$B$21)+'Inputs'!$B$7)/SQRT(((A68+'Inputs'!$B$21)+'Inputs'!$B$7)^2+('Inputs'!$B$6/2)^2)-((A68+'Inputs'!$B$21))/SQRT(((A68+'Inputs'!$B$21))^2+('Inputs'!$B$6/2)^2)))-'Results'!C7*(0.5*(((A68+'Inputs'!$B$21+'Inputs'!$B$7+'Inputs'!$B$10)+'Inputs'!$B$9)/SQRT(((A68+'Inputs'!$B$21+'Inputs'!$B$7+'Inputs'!$B$10)+'Inputs'!$B$9)^2+('Inputs'!$B$8/2)^2)-((A68+'Inputs'!$B$21+'Inputs'!$B$7+'Inputs'!$B$10))/SQRT(((A68+'Inputs'!$B$21+'Inputs'!$B$7+'Inputs'!$B$10))^2+('Inputs'!$B$8/2)^2))))*'Results'!$B$8*'Results'!$B$9),""),"")</x:f>
        <x:v>19.098280788268596</x:v>
      </x:c>
      <x:c r="C68" s="18" t="n">
        <x:f>IF('Results'!$B$6="Inputs accepted",IF(AND(ISNUMBER('Results'!C7),ISNUMBER('Results'!B7),ISNUMBER('Results'!$B$8),ISNUMBER('Results'!$B$9),ISNUMBER('Inputs'!$B$6),ISNUMBER('Inputs'!$B$7),ISNUMBER('Inputs'!$B$8),ISNUMBER('Inputs'!$B$9),ISNUMBER('Inputs'!$B$10),ISNUMBER('Inputs'!$B$21),ISNUMBER('Inputs'!$B$24),ISNUMBER('Inputs'!$B$28)),(('Results'!C7*(0.5*(((A68+'Inputs'!$B$21)+'Inputs'!$B$9)/SQRT(((A68+'Inputs'!$B$21)+'Inputs'!$B$9)^2+('Inputs'!$B$8/2)^2)-((A68+'Inputs'!$B$21))/SQRT(((A68+'Inputs'!$B$21))^2+('Inputs'!$B$8/2)^2)))-'Results'!B7*(0.5*(((A68+'Inputs'!$B$21+'Inputs'!$B$9+'Inputs'!$B$10)+'Inputs'!$B$7)/SQRT(((A68+'Inputs'!$B$21+'Inputs'!$B$9+'Inputs'!$B$10)+'Inputs'!$B$7)^2+('Inputs'!$B$6/2)^2)-((A68+'Inputs'!$B$21+'Inputs'!$B$9+'Inputs'!$B$10))/SQRT(((A68+'Inputs'!$B$21+'Inputs'!$B$9+'Inputs'!$B$10))^2+('Inputs'!$B$6/2)^2))))*'Results'!$B$8*'Results'!$B$9),""),"")</x:f>
        <x:v>18.160309898373107</x:v>
      </x:c>
      <x:c r="D68" s="18" t="n">
        <x:f>IF('Results'!$B$6="Inputs accepted",'Results'!B12,"")</x:f>
        <x:v>112.38228018798189</x:v>
      </x:c>
      <x:c r="E68" s="18" t="n">
        <x:f>IF('Results'!$B$6="Inputs accepted",'Results'!C12,"")</x:f>
        <x:v>119.21786205905865</x:v>
      </x:c>
      <x:c r="F68" s="18" t="n">
        <x:f>IF('Results'!$B$6="Inputs accepted",'Results'!B14,"")</x:f>
        <x:v>66.9055158034782</x:v>
      </x:c>
      <x:c r="G68" s="18" t="n">
        <x:f>IF('Results'!$B$6="Inputs accepted",'Results'!C14,"")</x:f>
        <x:v>70.64020731289524</x:v>
      </x:c>
      <x:c r="H68" s="2"/>
      <x:c r="I68" s="2"/>
      <x:c r="J68" s="2"/>
      <x:c r="K68" s="2"/>
      <x:c r="L68" s="2"/>
    </x:row>
    <x:row r="69" ht="22" customHeight="1">
      <x:c r="A69" s="18" t="n">
        <x:f>(69-5)*'Inputs'!$B$33/200</x:f>
        <x:v>12.8</x:v>
      </x:c>
      <x:c r="B69" s="18" t="n">
        <x:f>IF('Results'!$B$6="Inputs accepted",IF(AND(ISNUMBER('Results'!B7),ISNUMBER('Results'!C7),ISNUMBER('Results'!$B$8),ISNUMBER('Results'!$B$9),ISNUMBER('Inputs'!$B$6),ISNUMBER('Inputs'!$B$7),ISNUMBER('Inputs'!$B$8),ISNUMBER('Inputs'!$B$9),ISNUMBER('Inputs'!$B$10),ISNUMBER('Inputs'!$B$21),ISNUMBER('Inputs'!$B$24),ISNUMBER('Inputs'!$B$28)),(('Results'!B7*(0.5*(((A69+'Inputs'!$B$21)+'Inputs'!$B$7)/SQRT(((A69+'Inputs'!$B$21)+'Inputs'!$B$7)^2+('Inputs'!$B$6/2)^2)-((A69+'Inputs'!$B$21))/SQRT(((A69+'Inputs'!$B$21))^2+('Inputs'!$B$6/2)^2)))-'Results'!C7*(0.5*(((A69+'Inputs'!$B$21+'Inputs'!$B$7+'Inputs'!$B$10)+'Inputs'!$B$9)/SQRT(((A69+'Inputs'!$B$21+'Inputs'!$B$7+'Inputs'!$B$10)+'Inputs'!$B$9)^2+('Inputs'!$B$8/2)^2)-((A69+'Inputs'!$B$21+'Inputs'!$B$7+'Inputs'!$B$10))/SQRT(((A69+'Inputs'!$B$21+'Inputs'!$B$7+'Inputs'!$B$10))^2+('Inputs'!$B$8/2)^2))))*'Results'!$B$8*'Results'!$B$9),""),"")</x:f>
        <x:v>18.174460496634033</x:v>
      </x:c>
      <x:c r="C69" s="18" t="n">
        <x:f>IF('Results'!$B$6="Inputs accepted",IF(AND(ISNUMBER('Results'!C7),ISNUMBER('Results'!B7),ISNUMBER('Results'!$B$8),ISNUMBER('Results'!$B$9),ISNUMBER('Inputs'!$B$6),ISNUMBER('Inputs'!$B$7),ISNUMBER('Inputs'!$B$8),ISNUMBER('Inputs'!$B$9),ISNUMBER('Inputs'!$B$10),ISNUMBER('Inputs'!$B$21),ISNUMBER('Inputs'!$B$24),ISNUMBER('Inputs'!$B$28)),(('Results'!C7*(0.5*(((A69+'Inputs'!$B$21)+'Inputs'!$B$9)/SQRT(((A69+'Inputs'!$B$21)+'Inputs'!$B$9)^2+('Inputs'!$B$8/2)^2)-((A69+'Inputs'!$B$21))/SQRT(((A69+'Inputs'!$B$21))^2+('Inputs'!$B$8/2)^2)))-'Results'!B7*(0.5*(((A69+'Inputs'!$B$21+'Inputs'!$B$9+'Inputs'!$B$10)+'Inputs'!$B$7)/SQRT(((A69+'Inputs'!$B$21+'Inputs'!$B$9+'Inputs'!$B$10)+'Inputs'!$B$7)^2+('Inputs'!$B$6/2)^2)-((A69+'Inputs'!$B$21+'Inputs'!$B$9+'Inputs'!$B$10))/SQRT(((A69+'Inputs'!$B$21+'Inputs'!$B$9+'Inputs'!$B$10))^2+('Inputs'!$B$6/2)^2))))*'Results'!$B$8*'Results'!$B$9),""),"")</x:f>
        <x:v>17.272619528175866</x:v>
      </x:c>
      <x:c r="D69" s="18" t="n">
        <x:f>IF('Results'!$B$6="Inputs accepted",'Results'!B12,"")</x:f>
        <x:v>112.38228018798189</x:v>
      </x:c>
      <x:c r="E69" s="18" t="n">
        <x:f>IF('Results'!$B$6="Inputs accepted",'Results'!C12,"")</x:f>
        <x:v>119.21786205905865</x:v>
      </x:c>
      <x:c r="F69" s="18" t="n">
        <x:f>IF('Results'!$B$6="Inputs accepted",'Results'!B14,"")</x:f>
        <x:v>66.9055158034782</x:v>
      </x:c>
      <x:c r="G69" s="18" t="n">
        <x:f>IF('Results'!$B$6="Inputs accepted",'Results'!C14,"")</x:f>
        <x:v>70.64020731289524</x:v>
      </x:c>
      <x:c r="H69" s="2"/>
      <x:c r="I69" s="2"/>
      <x:c r="J69" s="2"/>
      <x:c r="K69" s="2"/>
      <x:c r="L69" s="2"/>
    </x:row>
    <x:row r="70" ht="22" customHeight="1">
      <x:c r="A70" s="18" t="n">
        <x:f>(70-5)*'Inputs'!$B$33/200</x:f>
        <x:v>13</x:v>
      </x:c>
      <x:c r="B70" s="18" t="n">
        <x:f>IF('Results'!$B$6="Inputs accepted",IF(AND(ISNUMBER('Results'!B7),ISNUMBER('Results'!C7),ISNUMBER('Results'!$B$8),ISNUMBER('Results'!$B$9),ISNUMBER('Inputs'!$B$6),ISNUMBER('Inputs'!$B$7),ISNUMBER('Inputs'!$B$8),ISNUMBER('Inputs'!$B$9),ISNUMBER('Inputs'!$B$10),ISNUMBER('Inputs'!$B$21),ISNUMBER('Inputs'!$B$24),ISNUMBER('Inputs'!$B$28)),(('Results'!B7*(0.5*(((A70+'Inputs'!$B$21)+'Inputs'!$B$7)/SQRT(((A70+'Inputs'!$B$21)+'Inputs'!$B$7)^2+('Inputs'!$B$6/2)^2)-((A70+'Inputs'!$B$21))/SQRT(((A70+'Inputs'!$B$21))^2+('Inputs'!$B$6/2)^2)))-'Results'!C7*(0.5*(((A70+'Inputs'!$B$21+'Inputs'!$B$7+'Inputs'!$B$10)+'Inputs'!$B$9)/SQRT(((A70+'Inputs'!$B$21+'Inputs'!$B$7+'Inputs'!$B$10)+'Inputs'!$B$9)^2+('Inputs'!$B$8/2)^2)-((A70+'Inputs'!$B$21+'Inputs'!$B$7+'Inputs'!$B$10))/SQRT(((A70+'Inputs'!$B$21+'Inputs'!$B$7+'Inputs'!$B$10))^2+('Inputs'!$B$8/2)^2))))*'Results'!$B$8*'Results'!$B$9),""),"")</x:f>
        <x:v>17.305663709210062</x:v>
      </x:c>
      <x:c r="C70" s="18" t="n">
        <x:f>IF('Results'!$B$6="Inputs accepted",IF(AND(ISNUMBER('Results'!C7),ISNUMBER('Results'!B7),ISNUMBER('Results'!$B$8),ISNUMBER('Results'!$B$9),ISNUMBER('Inputs'!$B$6),ISNUMBER('Inputs'!$B$7),ISNUMBER('Inputs'!$B$8),ISNUMBER('Inputs'!$B$9),ISNUMBER('Inputs'!$B$10),ISNUMBER('Inputs'!$B$21),ISNUMBER('Inputs'!$B$24),ISNUMBER('Inputs'!$B$28)),(('Results'!C7*(0.5*(((A70+'Inputs'!$B$21)+'Inputs'!$B$9)/SQRT(((A70+'Inputs'!$B$21)+'Inputs'!$B$9)^2+('Inputs'!$B$8/2)^2)-((A70+'Inputs'!$B$21))/SQRT(((A70+'Inputs'!$B$21))^2+('Inputs'!$B$8/2)^2)))-'Results'!B7*(0.5*(((A70+'Inputs'!$B$21+'Inputs'!$B$9+'Inputs'!$B$10)+'Inputs'!$B$7)/SQRT(((A70+'Inputs'!$B$21+'Inputs'!$B$9+'Inputs'!$B$10)+'Inputs'!$B$7)^2+('Inputs'!$B$6/2)^2)-((A70+'Inputs'!$B$21+'Inputs'!$B$9+'Inputs'!$B$10))/SQRT(((A70+'Inputs'!$B$21+'Inputs'!$B$9+'Inputs'!$B$10))^2+('Inputs'!$B$6/2)^2))))*'Results'!$B$8*'Results'!$B$9),""),"")</x:f>
        <x:v>16.438117737870556</x:v>
      </x:c>
      <x:c r="D70" s="18" t="n">
        <x:f>IF('Results'!$B$6="Inputs accepted",'Results'!B12,"")</x:f>
        <x:v>112.38228018798189</x:v>
      </x:c>
      <x:c r="E70" s="18" t="n">
        <x:f>IF('Results'!$B$6="Inputs accepted",'Results'!C12,"")</x:f>
        <x:v>119.21786205905865</x:v>
      </x:c>
      <x:c r="F70" s="18" t="n">
        <x:f>IF('Results'!$B$6="Inputs accepted",'Results'!B14,"")</x:f>
        <x:v>66.9055158034782</x:v>
      </x:c>
      <x:c r="G70" s="18" t="n">
        <x:f>IF('Results'!$B$6="Inputs accepted",'Results'!C14,"")</x:f>
        <x:v>70.64020731289524</x:v>
      </x:c>
      <x:c r="H70" s="2"/>
      <x:c r="I70" s="2"/>
      <x:c r="J70" s="2"/>
      <x:c r="K70" s="2"/>
      <x:c r="L70" s="2"/>
    </x:row>
    <x:row r="71" ht="22" customHeight="1">
      <x:c r="A71" s="18" t="n">
        <x:f>(71-5)*'Inputs'!$B$33/200</x:f>
        <x:v>13.2</x:v>
      </x:c>
      <x:c r="B71" s="18" t="n">
        <x:f>IF('Results'!$B$6="Inputs accepted",IF(AND(ISNUMBER('Results'!B7),ISNUMBER('Results'!C7),ISNUMBER('Results'!$B$8),ISNUMBER('Results'!$B$9),ISNUMBER('Inputs'!$B$6),ISNUMBER('Inputs'!$B$7),ISNUMBER('Inputs'!$B$8),ISNUMBER('Inputs'!$B$9),ISNUMBER('Inputs'!$B$10),ISNUMBER('Inputs'!$B$21),ISNUMBER('Inputs'!$B$24),ISNUMBER('Inputs'!$B$28)),(('Results'!B7*(0.5*(((A71+'Inputs'!$B$21)+'Inputs'!$B$7)/SQRT(((A71+'Inputs'!$B$21)+'Inputs'!$B$7)^2+('Inputs'!$B$6/2)^2)-((A71+'Inputs'!$B$21))/SQRT(((A71+'Inputs'!$B$21))^2+('Inputs'!$B$6/2)^2)))-'Results'!C7*(0.5*(((A71+'Inputs'!$B$21+'Inputs'!$B$7+'Inputs'!$B$10)+'Inputs'!$B$9)/SQRT(((A71+'Inputs'!$B$21+'Inputs'!$B$7+'Inputs'!$B$10)+'Inputs'!$B$9)^2+('Inputs'!$B$8/2)^2)-((A71+'Inputs'!$B$21+'Inputs'!$B$7+'Inputs'!$B$10))/SQRT(((A71+'Inputs'!$B$21+'Inputs'!$B$7+'Inputs'!$B$10))^2+('Inputs'!$B$8/2)^2))))*'Results'!$B$8*'Results'!$B$9),""),"")</x:f>
        <x:v>16.488023522695354</x:v>
      </x:c>
      <x:c r="C71" s="18" t="n">
        <x:f>IF('Results'!$B$6="Inputs accepted",IF(AND(ISNUMBER('Results'!C7),ISNUMBER('Results'!B7),ISNUMBER('Results'!$B$8),ISNUMBER('Results'!$B$9),ISNUMBER('Inputs'!$B$6),ISNUMBER('Inputs'!$B$7),ISNUMBER('Inputs'!$B$8),ISNUMBER('Inputs'!$B$9),ISNUMBER('Inputs'!$B$10),ISNUMBER('Inputs'!$B$21),ISNUMBER('Inputs'!$B$24),ISNUMBER('Inputs'!$B$28)),(('Results'!C7*(0.5*(((A71+'Inputs'!$B$21)+'Inputs'!$B$9)/SQRT(((A71+'Inputs'!$B$21)+'Inputs'!$B$9)^2+('Inputs'!$B$8/2)^2)-((A71+'Inputs'!$B$21))/SQRT(((A71+'Inputs'!$B$21))^2+('Inputs'!$B$8/2)^2)))-'Results'!B7*(0.5*(((A71+'Inputs'!$B$21+'Inputs'!$B$9+'Inputs'!$B$10)+'Inputs'!$B$7)/SQRT(((A71+'Inputs'!$B$21+'Inputs'!$B$9+'Inputs'!$B$10)+'Inputs'!$B$7)^2+('Inputs'!$B$6/2)^2)-((A71+'Inputs'!$B$21+'Inputs'!$B$9+'Inputs'!$B$10))/SQRT(((A71+'Inputs'!$B$21+'Inputs'!$B$9+'Inputs'!$B$10))^2+('Inputs'!$B$6/2)^2))))*'Results'!$B$8*'Results'!$B$9),""),"")</x:f>
        <x:v>15.653052503301673</x:v>
      </x:c>
      <x:c r="D71" s="18" t="n">
        <x:f>IF('Results'!$B$6="Inputs accepted",'Results'!B12,"")</x:f>
        <x:v>112.38228018798189</x:v>
      </x:c>
      <x:c r="E71" s="18" t="n">
        <x:f>IF('Results'!$B$6="Inputs accepted",'Results'!C12,"")</x:f>
        <x:v>119.21786205905865</x:v>
      </x:c>
      <x:c r="F71" s="18" t="n">
        <x:f>IF('Results'!$B$6="Inputs accepted",'Results'!B14,"")</x:f>
        <x:v>66.9055158034782</x:v>
      </x:c>
      <x:c r="G71" s="18" t="n">
        <x:f>IF('Results'!$B$6="Inputs accepted",'Results'!C14,"")</x:f>
        <x:v>70.64020731289524</x:v>
      </x:c>
      <x:c r="H71" s="2"/>
      <x:c r="I71" s="2"/>
      <x:c r="J71" s="2"/>
      <x:c r="K71" s="2"/>
      <x:c r="L71" s="2"/>
    </x:row>
    <x:row r="72" ht="22" customHeight="1">
      <x:c r="A72" s="18" t="n">
        <x:f>(72-5)*'Inputs'!$B$33/200</x:f>
        <x:v>13.4</x:v>
      </x:c>
      <x:c r="B72" s="18" t="n">
        <x:f>IF('Results'!$B$6="Inputs accepted",IF(AND(ISNUMBER('Results'!B7),ISNUMBER('Results'!C7),ISNUMBER('Results'!$B$8),ISNUMBER('Results'!$B$9),ISNUMBER('Inputs'!$B$6),ISNUMBER('Inputs'!$B$7),ISNUMBER('Inputs'!$B$8),ISNUMBER('Inputs'!$B$9),ISNUMBER('Inputs'!$B$10),ISNUMBER('Inputs'!$B$21),ISNUMBER('Inputs'!$B$24),ISNUMBER('Inputs'!$B$28)),(('Results'!B7*(0.5*(((A72+'Inputs'!$B$21)+'Inputs'!$B$7)/SQRT(((A72+'Inputs'!$B$21)+'Inputs'!$B$7)^2+('Inputs'!$B$6/2)^2)-((A72+'Inputs'!$B$21))/SQRT(((A72+'Inputs'!$B$21))^2+('Inputs'!$B$6/2)^2)))-'Results'!C7*(0.5*(((A72+'Inputs'!$B$21+'Inputs'!$B$7+'Inputs'!$B$10)+'Inputs'!$B$9)/SQRT(((A72+'Inputs'!$B$21+'Inputs'!$B$7+'Inputs'!$B$10)+'Inputs'!$B$9)^2+('Inputs'!$B$8/2)^2)-((A72+'Inputs'!$B$21+'Inputs'!$B$7+'Inputs'!$B$10))/SQRT(((A72+'Inputs'!$B$21+'Inputs'!$B$7+'Inputs'!$B$10))^2+('Inputs'!$B$8/2)^2))))*'Results'!$B$8*'Results'!$B$9),""),"")</x:f>
        <x:v>15.717984360970547</x:v>
      </x:c>
      <x:c r="C72" s="18" t="n">
        <x:f>IF('Results'!$B$6="Inputs accepted",IF(AND(ISNUMBER('Results'!C7),ISNUMBER('Results'!B7),ISNUMBER('Results'!$B$8),ISNUMBER('Results'!$B$9),ISNUMBER('Inputs'!$B$6),ISNUMBER('Inputs'!$B$7),ISNUMBER('Inputs'!$B$8),ISNUMBER('Inputs'!$B$9),ISNUMBER('Inputs'!$B$10),ISNUMBER('Inputs'!$B$21),ISNUMBER('Inputs'!$B$24),ISNUMBER('Inputs'!$B$28)),(('Results'!C7*(0.5*(((A72+'Inputs'!$B$21)+'Inputs'!$B$9)/SQRT(((A72+'Inputs'!$B$21)+'Inputs'!$B$9)^2+('Inputs'!$B$8/2)^2)-((A72+'Inputs'!$B$21))/SQRT(((A72+'Inputs'!$B$21))^2+('Inputs'!$B$8/2)^2)))-'Results'!B7*(0.5*(((A72+'Inputs'!$B$21+'Inputs'!$B$9+'Inputs'!$B$10)+'Inputs'!$B$7)/SQRT(((A72+'Inputs'!$B$21+'Inputs'!$B$9+'Inputs'!$B$10)+'Inputs'!$B$7)^2+('Inputs'!$B$6/2)^2)-((A72+'Inputs'!$B$21+'Inputs'!$B$9+'Inputs'!$B$10))/SQRT(((A72+'Inputs'!$B$21+'Inputs'!$B$9+'Inputs'!$B$10))^2+('Inputs'!$B$6/2)^2))))*'Results'!$B$8*'Results'!$B$9),""),"")</x:f>
        <x:v>14.913974637574976</x:v>
      </x:c>
      <x:c r="D72" s="18" t="n">
        <x:f>IF('Results'!$B$6="Inputs accepted",'Results'!B12,"")</x:f>
        <x:v>112.38228018798189</x:v>
      </x:c>
      <x:c r="E72" s="18" t="n">
        <x:f>IF('Results'!$B$6="Inputs accepted",'Results'!C12,"")</x:f>
        <x:v>119.21786205905865</x:v>
      </x:c>
      <x:c r="F72" s="18" t="n">
        <x:f>IF('Results'!$B$6="Inputs accepted",'Results'!B14,"")</x:f>
        <x:v>66.9055158034782</x:v>
      </x:c>
      <x:c r="G72" s="18" t="n">
        <x:f>IF('Results'!$B$6="Inputs accepted",'Results'!C14,"")</x:f>
        <x:v>70.64020731289524</x:v>
      </x:c>
      <x:c r="H72" s="2"/>
      <x:c r="I72" s="2"/>
      <x:c r="J72" s="2"/>
      <x:c r="K72" s="2"/>
      <x:c r="L72" s="2"/>
    </x:row>
    <x:row r="73" ht="22" customHeight="1">
      <x:c r="A73" s="18" t="n">
        <x:f>(73-5)*'Inputs'!$B$33/200</x:f>
        <x:v>13.6</x:v>
      </x:c>
      <x:c r="B73" s="18" t="n">
        <x:f>IF('Results'!$B$6="Inputs accepted",IF(AND(ISNUMBER('Results'!B7),ISNUMBER('Results'!C7),ISNUMBER('Results'!$B$8),ISNUMBER('Results'!$B$9),ISNUMBER('Inputs'!$B$6),ISNUMBER('Inputs'!$B$7),ISNUMBER('Inputs'!$B$8),ISNUMBER('Inputs'!$B$9),ISNUMBER('Inputs'!$B$10),ISNUMBER('Inputs'!$B$21),ISNUMBER('Inputs'!$B$24),ISNUMBER('Inputs'!$B$28)),(('Results'!B7*(0.5*(((A73+'Inputs'!$B$21)+'Inputs'!$B$7)/SQRT(((A73+'Inputs'!$B$21)+'Inputs'!$B$7)^2+('Inputs'!$B$6/2)^2)-((A73+'Inputs'!$B$21))/SQRT(((A73+'Inputs'!$B$21))^2+('Inputs'!$B$6/2)^2)))-'Results'!C7*(0.5*(((A73+'Inputs'!$B$21+'Inputs'!$B$7+'Inputs'!$B$10)+'Inputs'!$B$9)/SQRT(((A73+'Inputs'!$B$21+'Inputs'!$B$7+'Inputs'!$B$10)+'Inputs'!$B$9)^2+('Inputs'!$B$8/2)^2)-((A73+'Inputs'!$B$21+'Inputs'!$B$7+'Inputs'!$B$10))/SQRT(((A73+'Inputs'!$B$21+'Inputs'!$B$7+'Inputs'!$B$10))^2+('Inputs'!$B$8/2)^2))))*'Results'!$B$8*'Results'!$B$9),""),"")</x:f>
        <x:v>14.992273882514308</x:v>
      </x:c>
      <x:c r="C73" s="18" t="n">
        <x:f>IF('Results'!$B$6="Inputs accepted",IF(AND(ISNUMBER('Results'!C7),ISNUMBER('Results'!B7),ISNUMBER('Results'!$B$8),ISNUMBER('Results'!$B$9),ISNUMBER('Inputs'!$B$6),ISNUMBER('Inputs'!$B$7),ISNUMBER('Inputs'!$B$8),ISNUMBER('Inputs'!$B$9),ISNUMBER('Inputs'!$B$10),ISNUMBER('Inputs'!$B$21),ISNUMBER('Inputs'!$B$24),ISNUMBER('Inputs'!$B$28)),(('Results'!C7*(0.5*(((A73+'Inputs'!$B$21)+'Inputs'!$B$9)/SQRT(((A73+'Inputs'!$B$21)+'Inputs'!$B$9)^2+('Inputs'!$B$8/2)^2)-((A73+'Inputs'!$B$21))/SQRT(((A73+'Inputs'!$B$21))^2+('Inputs'!$B$8/2)^2)))-'Results'!B7*(0.5*(((A73+'Inputs'!$B$21+'Inputs'!$B$9+'Inputs'!$B$10)+'Inputs'!$B$7)/SQRT(((A73+'Inputs'!$B$21+'Inputs'!$B$9+'Inputs'!$B$10)+'Inputs'!$B$7)^2+('Inputs'!$B$6/2)^2)-((A73+'Inputs'!$B$21+'Inputs'!$B$9+'Inputs'!$B$10))/SQRT(((A73+'Inputs'!$B$21+'Inputs'!$B$9+'Inputs'!$B$10))^2+('Inputs'!$B$6/2)^2))))*'Results'!$B$8*'Results'!$B$9),""),"")</x:f>
        <x:v>14.217710416813329</x:v>
      </x:c>
      <x:c r="D73" s="18" t="n">
        <x:f>IF('Results'!$B$6="Inputs accepted",'Results'!B12,"")</x:f>
        <x:v>112.38228018798189</x:v>
      </x:c>
      <x:c r="E73" s="18" t="n">
        <x:f>IF('Results'!$B$6="Inputs accepted",'Results'!C12,"")</x:f>
        <x:v>119.21786205905865</x:v>
      </x:c>
      <x:c r="F73" s="18" t="n">
        <x:f>IF('Results'!$B$6="Inputs accepted",'Results'!B14,"")</x:f>
        <x:v>66.9055158034782</x:v>
      </x:c>
      <x:c r="G73" s="18" t="n">
        <x:f>IF('Results'!$B$6="Inputs accepted",'Results'!C14,"")</x:f>
        <x:v>70.64020731289524</x:v>
      </x:c>
      <x:c r="H73" s="2"/>
      <x:c r="I73" s="2"/>
      <x:c r="J73" s="2"/>
      <x:c r="K73" s="2"/>
      <x:c r="L73" s="2"/>
    </x:row>
    <x:row r="74" ht="22" customHeight="1">
      <x:c r="A74" s="18" t="n">
        <x:f>(74-5)*'Inputs'!$B$33/200</x:f>
        <x:v>13.8</x:v>
      </x:c>
      <x:c r="B74" s="18" t="n">
        <x:f>IF('Results'!$B$6="Inputs accepted",IF(AND(ISNUMBER('Results'!B7),ISNUMBER('Results'!C7),ISNUMBER('Results'!$B$8),ISNUMBER('Results'!$B$9),ISNUMBER('Inputs'!$B$6),ISNUMBER('Inputs'!$B$7),ISNUMBER('Inputs'!$B$8),ISNUMBER('Inputs'!$B$9),ISNUMBER('Inputs'!$B$10),ISNUMBER('Inputs'!$B$21),ISNUMBER('Inputs'!$B$24),ISNUMBER('Inputs'!$B$28)),(('Results'!B7*(0.5*(((A74+'Inputs'!$B$21)+'Inputs'!$B$7)/SQRT(((A74+'Inputs'!$B$21)+'Inputs'!$B$7)^2+('Inputs'!$B$6/2)^2)-((A74+'Inputs'!$B$21))/SQRT(((A74+'Inputs'!$B$21))^2+('Inputs'!$B$6/2)^2)))-'Results'!C7*(0.5*(((A74+'Inputs'!$B$21+'Inputs'!$B$7+'Inputs'!$B$10)+'Inputs'!$B$9)/SQRT(((A74+'Inputs'!$B$21+'Inputs'!$B$7+'Inputs'!$B$10)+'Inputs'!$B$9)^2+('Inputs'!$B$8/2)^2)-((A74+'Inputs'!$B$21+'Inputs'!$B$7+'Inputs'!$B$10))/SQRT(((A74+'Inputs'!$B$21+'Inputs'!$B$7+'Inputs'!$B$10))^2+('Inputs'!$B$8/2)^2))))*'Results'!$B$8*'Results'!$B$9),""),"")</x:f>
        <x:v>14.307877680477983</x:v>
      </x:c>
      <x:c r="C74" s="18" t="n">
        <x:f>IF('Results'!$B$6="Inputs accepted",IF(AND(ISNUMBER('Results'!C7),ISNUMBER('Results'!B7),ISNUMBER('Results'!$B$8),ISNUMBER('Results'!$B$9),ISNUMBER('Inputs'!$B$6),ISNUMBER('Inputs'!$B$7),ISNUMBER('Inputs'!$B$8),ISNUMBER('Inputs'!$B$9),ISNUMBER('Inputs'!$B$10),ISNUMBER('Inputs'!$B$21),ISNUMBER('Inputs'!$B$24),ISNUMBER('Inputs'!$B$28)),(('Results'!C7*(0.5*(((A74+'Inputs'!$B$21)+'Inputs'!$B$9)/SQRT(((A74+'Inputs'!$B$21)+'Inputs'!$B$9)^2+('Inputs'!$B$8/2)^2)-((A74+'Inputs'!$B$21))/SQRT(((A74+'Inputs'!$B$21))^2+('Inputs'!$B$8/2)^2)))-'Results'!B7*(0.5*(((A74+'Inputs'!$B$21+'Inputs'!$B$9+'Inputs'!$B$10)+'Inputs'!$B$7)/SQRT(((A74+'Inputs'!$B$21+'Inputs'!$B$9+'Inputs'!$B$10)+'Inputs'!$B$7)^2+('Inputs'!$B$6/2)^2)-((A74+'Inputs'!$B$21+'Inputs'!$B$9+'Inputs'!$B$10))/SQRT(((A74+'Inputs'!$B$21+'Inputs'!$B$9+'Inputs'!$B$10))^2+('Inputs'!$B$6/2)^2))))*'Results'!$B$8*'Results'!$B$9),""),"")</x:f>
        <x:v>13.561336930563904</x:v>
      </x:c>
      <x:c r="D74" s="18" t="n">
        <x:f>IF('Results'!$B$6="Inputs accepted",'Results'!B12,"")</x:f>
        <x:v>112.38228018798189</x:v>
      </x:c>
      <x:c r="E74" s="18" t="n">
        <x:f>IF('Results'!$B$6="Inputs accepted",'Results'!C12,"")</x:f>
        <x:v>119.21786205905865</x:v>
      </x:c>
      <x:c r="F74" s="18" t="n">
        <x:f>IF('Results'!$B$6="Inputs accepted",'Results'!B14,"")</x:f>
        <x:v>66.9055158034782</x:v>
      </x:c>
      <x:c r="G74" s="18" t="n">
        <x:f>IF('Results'!$B$6="Inputs accepted",'Results'!C14,"")</x:f>
        <x:v>70.64020731289524</x:v>
      </x:c>
      <x:c r="H74" s="2"/>
      <x:c r="I74" s="2"/>
      <x:c r="J74" s="2"/>
      <x:c r="K74" s="2"/>
      <x:c r="L74" s="2"/>
    </x:row>
    <x:row r="75" ht="22" customHeight="1">
      <x:c r="A75" s="18" t="n">
        <x:f>(75-5)*'Inputs'!$B$33/200</x:f>
        <x:v>14</x:v>
      </x:c>
      <x:c r="B75" s="18" t="n">
        <x:f>IF('Results'!$B$6="Inputs accepted",IF(AND(ISNUMBER('Results'!B7),ISNUMBER('Results'!C7),ISNUMBER('Results'!$B$8),ISNUMBER('Results'!$B$9),ISNUMBER('Inputs'!$B$6),ISNUMBER('Inputs'!$B$7),ISNUMBER('Inputs'!$B$8),ISNUMBER('Inputs'!$B$9),ISNUMBER('Inputs'!$B$10),ISNUMBER('Inputs'!$B$21),ISNUMBER('Inputs'!$B$24),ISNUMBER('Inputs'!$B$28)),(('Results'!B7*(0.5*(((A75+'Inputs'!$B$21)+'Inputs'!$B$7)/SQRT(((A75+'Inputs'!$B$21)+'Inputs'!$B$7)^2+('Inputs'!$B$6/2)^2)-((A75+'Inputs'!$B$21))/SQRT(((A75+'Inputs'!$B$21))^2+('Inputs'!$B$6/2)^2)))-'Results'!C7*(0.5*(((A75+'Inputs'!$B$21+'Inputs'!$B$7+'Inputs'!$B$10)+'Inputs'!$B$9)/SQRT(((A75+'Inputs'!$B$21+'Inputs'!$B$7+'Inputs'!$B$10)+'Inputs'!$B$9)^2+('Inputs'!$B$8/2)^2)-((A75+'Inputs'!$B$21+'Inputs'!$B$7+'Inputs'!$B$10))/SQRT(((A75+'Inputs'!$B$21+'Inputs'!$B$7+'Inputs'!$B$10))^2+('Inputs'!$B$8/2)^2))))*'Results'!$B$8*'Results'!$B$9),""),"")</x:f>
        <x:v>13.66201647390091</x:v>
      </x:c>
      <x:c r="C75" s="18" t="n">
        <x:f>IF('Results'!$B$6="Inputs accepted",IF(AND(ISNUMBER('Results'!C7),ISNUMBER('Results'!B7),ISNUMBER('Results'!$B$8),ISNUMBER('Results'!$B$9),ISNUMBER('Inputs'!$B$6),ISNUMBER('Inputs'!$B$7),ISNUMBER('Inputs'!$B$8),ISNUMBER('Inputs'!$B$9),ISNUMBER('Inputs'!$B$10),ISNUMBER('Inputs'!$B$21),ISNUMBER('Inputs'!$B$24),ISNUMBER('Inputs'!$B$28)),(('Results'!C7*(0.5*(((A75+'Inputs'!$B$21)+'Inputs'!$B$9)/SQRT(((A75+'Inputs'!$B$21)+'Inputs'!$B$9)^2+('Inputs'!$B$8/2)^2)-((A75+'Inputs'!$B$21))/SQRT(((A75+'Inputs'!$B$21))^2+('Inputs'!$B$8/2)^2)))-'Results'!B7*(0.5*(((A75+'Inputs'!$B$21+'Inputs'!$B$9+'Inputs'!$B$10)+'Inputs'!$B$7)/SQRT(((A75+'Inputs'!$B$21+'Inputs'!$B$9+'Inputs'!$B$10)+'Inputs'!$B$7)^2+('Inputs'!$B$6/2)^2)-((A75+'Inputs'!$B$21+'Inputs'!$B$9+'Inputs'!$B$10))/SQRT(((A75+'Inputs'!$B$21+'Inputs'!$B$9+'Inputs'!$B$10))^2+('Inputs'!$B$6/2)^2))))*'Results'!$B$8*'Results'!$B$9),""),"")</x:f>
        <x:v>12.942159862414046</x:v>
      </x:c>
      <x:c r="D75" s="18" t="n">
        <x:f>IF('Results'!$B$6="Inputs accepted",'Results'!B12,"")</x:f>
        <x:v>112.38228018798189</x:v>
      </x:c>
      <x:c r="E75" s="18" t="n">
        <x:f>IF('Results'!$B$6="Inputs accepted",'Results'!C12,"")</x:f>
        <x:v>119.21786205905865</x:v>
      </x:c>
      <x:c r="F75" s="18" t="n">
        <x:f>IF('Results'!$B$6="Inputs accepted",'Results'!B14,"")</x:f>
        <x:v>66.9055158034782</x:v>
      </x:c>
      <x:c r="G75" s="18" t="n">
        <x:f>IF('Results'!$B$6="Inputs accepted",'Results'!C14,"")</x:f>
        <x:v>70.64020731289524</x:v>
      </x:c>
      <x:c r="H75" s="2"/>
      <x:c r="I75" s="2"/>
      <x:c r="J75" s="2"/>
      <x:c r="K75" s="2"/>
      <x:c r="L75" s="2"/>
    </x:row>
    <x:row r="76" ht="22" customHeight="1">
      <x:c r="A76" s="18" t="n">
        <x:f>(76-5)*'Inputs'!$B$33/200</x:f>
        <x:v>14.2</x:v>
      </x:c>
      <x:c r="B76" s="18" t="n">
        <x:f>IF('Results'!$B$6="Inputs accepted",IF(AND(ISNUMBER('Results'!B7),ISNUMBER('Results'!C7),ISNUMBER('Results'!$B$8),ISNUMBER('Results'!$B$9),ISNUMBER('Inputs'!$B$6),ISNUMBER('Inputs'!$B$7),ISNUMBER('Inputs'!$B$8),ISNUMBER('Inputs'!$B$9),ISNUMBER('Inputs'!$B$10),ISNUMBER('Inputs'!$B$21),ISNUMBER('Inputs'!$B$24),ISNUMBER('Inputs'!$B$28)),(('Results'!B7*(0.5*(((A76+'Inputs'!$B$21)+'Inputs'!$B$7)/SQRT(((A76+'Inputs'!$B$21)+'Inputs'!$B$7)^2+('Inputs'!$B$6/2)^2)-((A76+'Inputs'!$B$21))/SQRT(((A76+'Inputs'!$B$21))^2+('Inputs'!$B$6/2)^2)))-'Results'!C7*(0.5*(((A76+'Inputs'!$B$21+'Inputs'!$B$7+'Inputs'!$B$10)+'Inputs'!$B$9)/SQRT(((A76+'Inputs'!$B$21+'Inputs'!$B$7+'Inputs'!$B$10)+'Inputs'!$B$9)^2+('Inputs'!$B$8/2)^2)-((A76+'Inputs'!$B$21+'Inputs'!$B$7+'Inputs'!$B$10))/SQRT(((A76+'Inputs'!$B$21+'Inputs'!$B$7+'Inputs'!$B$10))^2+('Inputs'!$B$8/2)^2))))*'Results'!$B$8*'Results'!$B$9),""),"")</x:f>
        <x:v>13.052125523466032</x:v>
      </x:c>
      <x:c r="C76" s="18" t="n">
        <x:f>IF('Results'!$B$6="Inputs accepted",IF(AND(ISNUMBER('Results'!C7),ISNUMBER('Results'!B7),ISNUMBER('Results'!$B$8),ISNUMBER('Results'!$B$9),ISNUMBER('Inputs'!$B$6),ISNUMBER('Inputs'!$B$7),ISNUMBER('Inputs'!$B$8),ISNUMBER('Inputs'!$B$9),ISNUMBER('Inputs'!$B$10),ISNUMBER('Inputs'!$B$21),ISNUMBER('Inputs'!$B$24),ISNUMBER('Inputs'!$B$28)),(('Results'!C7*(0.5*(((A76+'Inputs'!$B$21)+'Inputs'!$B$9)/SQRT(((A76+'Inputs'!$B$21)+'Inputs'!$B$9)^2+('Inputs'!$B$8/2)^2)-((A76+'Inputs'!$B$21))/SQRT(((A76+'Inputs'!$B$21))^2+('Inputs'!$B$8/2)^2)))-'Results'!B7*(0.5*(((A76+'Inputs'!$B$21+'Inputs'!$B$9+'Inputs'!$B$10)+'Inputs'!$B$7)/SQRT(((A76+'Inputs'!$B$21+'Inputs'!$B$9+'Inputs'!$B$10)+'Inputs'!$B$7)^2+('Inputs'!$B$6/2)^2)-((A76+'Inputs'!$B$21+'Inputs'!$B$9+'Inputs'!$B$10))/SQRT(((A76+'Inputs'!$B$21+'Inputs'!$B$9+'Inputs'!$B$10))^2+('Inputs'!$B$6/2)^2))))*'Results'!$B$8*'Results'!$B$9),""),"")</x:f>
        <x:v>12.35769344049278</x:v>
      </x:c>
      <x:c r="D76" s="18" t="n">
        <x:f>IF('Results'!$B$6="Inputs accepted",'Results'!B12,"")</x:f>
        <x:v>112.38228018798189</x:v>
      </x:c>
      <x:c r="E76" s="18" t="n">
        <x:f>IF('Results'!$B$6="Inputs accepted",'Results'!C12,"")</x:f>
        <x:v>119.21786205905865</x:v>
      </x:c>
      <x:c r="F76" s="18" t="n">
        <x:f>IF('Results'!$B$6="Inputs accepted",'Results'!B14,"")</x:f>
        <x:v>66.9055158034782</x:v>
      </x:c>
      <x:c r="G76" s="18" t="n">
        <x:f>IF('Results'!$B$6="Inputs accepted",'Results'!C14,"")</x:f>
        <x:v>70.64020731289524</x:v>
      </x:c>
      <x:c r="H76" s="2"/>
      <x:c r="I76" s="2"/>
      <x:c r="J76" s="2"/>
      <x:c r="K76" s="2"/>
      <x:c r="L76" s="2"/>
    </x:row>
    <x:row r="77" ht="22" customHeight="1">
      <x:c r="A77" s="18" t="n">
        <x:f>(77-5)*'Inputs'!$B$33/200</x:f>
        <x:v>14.4</x:v>
      </x:c>
      <x:c r="B77" s="18" t="n">
        <x:f>IF('Results'!$B$6="Inputs accepted",IF(AND(ISNUMBER('Results'!B7),ISNUMBER('Results'!C7),ISNUMBER('Results'!$B$8),ISNUMBER('Results'!$B$9),ISNUMBER('Inputs'!$B$6),ISNUMBER('Inputs'!$B$7),ISNUMBER('Inputs'!$B$8),ISNUMBER('Inputs'!$B$9),ISNUMBER('Inputs'!$B$10),ISNUMBER('Inputs'!$B$21),ISNUMBER('Inputs'!$B$24),ISNUMBER('Inputs'!$B$28)),(('Results'!B7*(0.5*(((A77+'Inputs'!$B$21)+'Inputs'!$B$7)/SQRT(((A77+'Inputs'!$B$21)+'Inputs'!$B$7)^2+('Inputs'!$B$6/2)^2)-((A77+'Inputs'!$B$21))/SQRT(((A77+'Inputs'!$B$21))^2+('Inputs'!$B$6/2)^2)))-'Results'!C7*(0.5*(((A77+'Inputs'!$B$21+'Inputs'!$B$7+'Inputs'!$B$10)+'Inputs'!$B$9)/SQRT(((A77+'Inputs'!$B$21+'Inputs'!$B$7+'Inputs'!$B$10)+'Inputs'!$B$9)^2+('Inputs'!$B$8/2)^2)-((A77+'Inputs'!$B$21+'Inputs'!$B$7+'Inputs'!$B$10))/SQRT(((A77+'Inputs'!$B$21+'Inputs'!$B$7+'Inputs'!$B$10))^2+('Inputs'!$B$8/2)^2))))*'Results'!$B$8*'Results'!$B$9),""),"")</x:f>
        <x:v>12.475836035769763</x:v>
      </x:c>
      <x:c r="C77" s="18" t="n">
        <x:f>IF('Results'!$B$6="Inputs accepted",IF(AND(ISNUMBER('Results'!C7),ISNUMBER('Results'!B7),ISNUMBER('Results'!$B$8),ISNUMBER('Results'!$B$9),ISNUMBER('Inputs'!$B$6),ISNUMBER('Inputs'!$B$7),ISNUMBER('Inputs'!$B$8),ISNUMBER('Inputs'!$B$9),ISNUMBER('Inputs'!$B$10),ISNUMBER('Inputs'!$B$21),ISNUMBER('Inputs'!$B$24),ISNUMBER('Inputs'!$B$28)),(('Results'!C7*(0.5*(((A77+'Inputs'!$B$21)+'Inputs'!$B$9)/SQRT(((A77+'Inputs'!$B$21)+'Inputs'!$B$9)^2+('Inputs'!$B$8/2)^2)-((A77+'Inputs'!$B$21))/SQRT(((A77+'Inputs'!$B$21))^2+('Inputs'!$B$8/2)^2)))-'Results'!B7*(0.5*(((A77+'Inputs'!$B$21+'Inputs'!$B$9+'Inputs'!$B$10)+'Inputs'!$B$7)/SQRT(((A77+'Inputs'!$B$21+'Inputs'!$B$9+'Inputs'!$B$10)+'Inputs'!$B$7)^2+('Inputs'!$B$6/2)^2)-((A77+'Inputs'!$B$21+'Inputs'!$B$9+'Inputs'!$B$10))/SQRT(((A77+'Inputs'!$B$21+'Inputs'!$B$9+'Inputs'!$B$10))^2+('Inputs'!$B$6/2)^2))))*'Results'!$B$8*'Results'!$B$9),""),"")</x:f>
        <x:v>11.80564232740927</x:v>
      </x:c>
      <x:c r="D77" s="18" t="n">
        <x:f>IF('Results'!$B$6="Inputs accepted",'Results'!B12,"")</x:f>
        <x:v>112.38228018798189</x:v>
      </x:c>
      <x:c r="E77" s="18" t="n">
        <x:f>IF('Results'!$B$6="Inputs accepted",'Results'!C12,"")</x:f>
        <x:v>119.21786205905865</x:v>
      </x:c>
      <x:c r="F77" s="18" t="n">
        <x:f>IF('Results'!$B$6="Inputs accepted",'Results'!B14,"")</x:f>
        <x:v>66.9055158034782</x:v>
      </x:c>
      <x:c r="G77" s="18" t="n">
        <x:f>IF('Results'!$B$6="Inputs accepted",'Results'!C14,"")</x:f>
        <x:v>70.64020731289524</x:v>
      </x:c>
      <x:c r="H77" s="2"/>
      <x:c r="I77" s="2"/>
      <x:c r="J77" s="2"/>
      <x:c r="K77" s="2"/>
      <x:c r="L77" s="2"/>
    </x:row>
    <x:row r="78" ht="22" customHeight="1">
      <x:c r="A78" s="18" t="n">
        <x:f>(78-5)*'Inputs'!$B$33/200</x:f>
        <x:v>14.6</x:v>
      </x:c>
      <x:c r="B78" s="18" t="n">
        <x:f>IF('Results'!$B$6="Inputs accepted",IF(AND(ISNUMBER('Results'!B7),ISNUMBER('Results'!C7),ISNUMBER('Results'!$B$8),ISNUMBER('Results'!$B$9),ISNUMBER('Inputs'!$B$6),ISNUMBER('Inputs'!$B$7),ISNUMBER('Inputs'!$B$8),ISNUMBER('Inputs'!$B$9),ISNUMBER('Inputs'!$B$10),ISNUMBER('Inputs'!$B$21),ISNUMBER('Inputs'!$B$24),ISNUMBER('Inputs'!$B$28)),(('Results'!B7*(0.5*(((A78+'Inputs'!$B$21)+'Inputs'!$B$7)/SQRT(((A78+'Inputs'!$B$21)+'Inputs'!$B$7)^2+('Inputs'!$B$6/2)^2)-((A78+'Inputs'!$B$21))/SQRT(((A78+'Inputs'!$B$21))^2+('Inputs'!$B$6/2)^2)))-'Results'!C7*(0.5*(((A78+'Inputs'!$B$21+'Inputs'!$B$7+'Inputs'!$B$10)+'Inputs'!$B$9)/SQRT(((A78+'Inputs'!$B$21+'Inputs'!$B$7+'Inputs'!$B$10)+'Inputs'!$B$9)^2+('Inputs'!$B$8/2)^2)-((A78+'Inputs'!$B$21+'Inputs'!$B$7+'Inputs'!$B$10))/SQRT(((A78+'Inputs'!$B$21+'Inputs'!$B$7+'Inputs'!$B$10))^2+('Inputs'!$B$8/2)^2))))*'Results'!$B$8*'Results'!$B$9),""),"")</x:f>
        <x:v>11.930958347121877</x:v>
      </x:c>
      <x:c r="C78" s="18" t="n">
        <x:f>IF('Results'!$B$6="Inputs accepted",IF(AND(ISNUMBER('Results'!C7),ISNUMBER('Results'!B7),ISNUMBER('Results'!$B$8),ISNUMBER('Results'!$B$9),ISNUMBER('Inputs'!$B$6),ISNUMBER('Inputs'!$B$7),ISNUMBER('Inputs'!$B$8),ISNUMBER('Inputs'!$B$9),ISNUMBER('Inputs'!$B$10),ISNUMBER('Inputs'!$B$21),ISNUMBER('Inputs'!$B$24),ISNUMBER('Inputs'!$B$28)),(('Results'!C7*(0.5*(((A78+'Inputs'!$B$21)+'Inputs'!$B$9)/SQRT(((A78+'Inputs'!$B$21)+'Inputs'!$B$9)^2+('Inputs'!$B$8/2)^2)-((A78+'Inputs'!$B$21))/SQRT(((A78+'Inputs'!$B$21))^2+('Inputs'!$B$8/2)^2)))-'Results'!B7*(0.5*(((A78+'Inputs'!$B$21+'Inputs'!$B$9+'Inputs'!$B$10)+'Inputs'!$B$7)/SQRT(((A78+'Inputs'!$B$21+'Inputs'!$B$9+'Inputs'!$B$10)+'Inputs'!$B$7)^2+('Inputs'!$B$6/2)^2)-((A78+'Inputs'!$B$21+'Inputs'!$B$9+'Inputs'!$B$10))/SQRT(((A78+'Inputs'!$B$21+'Inputs'!$B$9+'Inputs'!$B$10))^2+('Inputs'!$B$6/2)^2))))*'Results'!$B$8*'Results'!$B$9),""),"")</x:f>
        <x:v>11.283885245603987</x:v>
      </x:c>
      <x:c r="D78" s="18" t="n">
        <x:f>IF('Results'!$B$6="Inputs accepted",'Results'!B12,"")</x:f>
        <x:v>112.38228018798189</x:v>
      </x:c>
      <x:c r="E78" s="18" t="n">
        <x:f>IF('Results'!$B$6="Inputs accepted",'Results'!C12,"")</x:f>
        <x:v>119.21786205905865</x:v>
      </x:c>
      <x:c r="F78" s="18" t="n">
        <x:f>IF('Results'!$B$6="Inputs accepted",'Results'!B14,"")</x:f>
        <x:v>66.9055158034782</x:v>
      </x:c>
      <x:c r="G78" s="18" t="n">
        <x:f>IF('Results'!$B$6="Inputs accepted",'Results'!C14,"")</x:f>
        <x:v>70.64020731289524</x:v>
      </x:c>
      <x:c r="H78" s="2"/>
      <x:c r="I78" s="2"/>
      <x:c r="J78" s="2"/>
      <x:c r="K78" s="2"/>
      <x:c r="L78" s="2"/>
    </x:row>
    <x:row r="79" ht="22" customHeight="1">
      <x:c r="A79" s="18" t="n">
        <x:f>(79-5)*'Inputs'!$B$33/200</x:f>
        <x:v>14.8</x:v>
      </x:c>
      <x:c r="B79" s="18" t="n">
        <x:f>IF('Results'!$B$6="Inputs accepted",IF(AND(ISNUMBER('Results'!B7),ISNUMBER('Results'!C7),ISNUMBER('Results'!$B$8),ISNUMBER('Results'!$B$9),ISNUMBER('Inputs'!$B$6),ISNUMBER('Inputs'!$B$7),ISNUMBER('Inputs'!$B$8),ISNUMBER('Inputs'!$B$9),ISNUMBER('Inputs'!$B$10),ISNUMBER('Inputs'!$B$21),ISNUMBER('Inputs'!$B$24),ISNUMBER('Inputs'!$B$28)),(('Results'!B7*(0.5*(((A79+'Inputs'!$B$21)+'Inputs'!$B$7)/SQRT(((A79+'Inputs'!$B$21)+'Inputs'!$B$7)^2+('Inputs'!$B$6/2)^2)-((A79+'Inputs'!$B$21))/SQRT(((A79+'Inputs'!$B$21))^2+('Inputs'!$B$6/2)^2)))-'Results'!C7*(0.5*(((A79+'Inputs'!$B$21+'Inputs'!$B$7+'Inputs'!$B$10)+'Inputs'!$B$9)/SQRT(((A79+'Inputs'!$B$21+'Inputs'!$B$7+'Inputs'!$B$10)+'Inputs'!$B$9)^2+('Inputs'!$B$8/2)^2)-((A79+'Inputs'!$B$21+'Inputs'!$B$7+'Inputs'!$B$10))/SQRT(((A79+'Inputs'!$B$21+'Inputs'!$B$7+'Inputs'!$B$10))^2+('Inputs'!$B$8/2)^2))))*'Results'!$B$8*'Results'!$B$9),""),"")</x:f>
        <x:v>11.41546670136044</x:v>
      </x:c>
      <x:c r="C79" s="18" t="n">
        <x:f>IF('Results'!$B$6="Inputs accepted",IF(AND(ISNUMBER('Results'!C7),ISNUMBER('Results'!B7),ISNUMBER('Results'!$B$8),ISNUMBER('Results'!$B$9),ISNUMBER('Inputs'!$B$6),ISNUMBER('Inputs'!$B$7),ISNUMBER('Inputs'!$B$8),ISNUMBER('Inputs'!$B$9),ISNUMBER('Inputs'!$B$10),ISNUMBER('Inputs'!$B$21),ISNUMBER('Inputs'!$B$24),ISNUMBER('Inputs'!$B$28)),(('Results'!C7*(0.5*(((A79+'Inputs'!$B$21)+'Inputs'!$B$9)/SQRT(((A79+'Inputs'!$B$21)+'Inputs'!$B$9)^2+('Inputs'!$B$8/2)^2)-((A79+'Inputs'!$B$21))/SQRT(((A79+'Inputs'!$B$21))^2+('Inputs'!$B$8/2)^2)))-'Results'!B7*(0.5*(((A79+'Inputs'!$B$21+'Inputs'!$B$9+'Inputs'!$B$10)+'Inputs'!$B$7)/SQRT(((A79+'Inputs'!$B$21+'Inputs'!$B$9+'Inputs'!$B$10)+'Inputs'!$B$7)^2+('Inputs'!$B$6/2)^2)-((A79+'Inputs'!$B$21+'Inputs'!$B$9+'Inputs'!$B$10))/SQRT(((A79+'Inputs'!$B$21+'Inputs'!$B$9+'Inputs'!$B$10))^2+('Inputs'!$B$6/2)^2))))*'Results'!$B$8*'Results'!$B$9),""),"")</x:f>
        <x:v>10.79046015701402</x:v>
      </x:c>
      <x:c r="D79" s="18" t="n">
        <x:f>IF('Results'!$B$6="Inputs accepted",'Results'!B12,"")</x:f>
        <x:v>112.38228018798189</x:v>
      </x:c>
      <x:c r="E79" s="18" t="n">
        <x:f>IF('Results'!$B$6="Inputs accepted",'Results'!C12,"")</x:f>
        <x:v>119.21786205905865</x:v>
      </x:c>
      <x:c r="F79" s="18" t="n">
        <x:f>IF('Results'!$B$6="Inputs accepted",'Results'!B14,"")</x:f>
        <x:v>66.9055158034782</x:v>
      </x:c>
      <x:c r="G79" s="18" t="n">
        <x:f>IF('Results'!$B$6="Inputs accepted",'Results'!C14,"")</x:f>
        <x:v>70.64020731289524</x:v>
      </x:c>
      <x:c r="H79" s="2"/>
      <x:c r="I79" s="2"/>
      <x:c r="J79" s="2"/>
      <x:c r="K79" s="2"/>
      <x:c r="L79" s="2"/>
    </x:row>
    <x:row r="80" ht="22" customHeight="1">
      <x:c r="A80" s="18" t="n">
        <x:f>(80-5)*'Inputs'!$B$33/200</x:f>
        <x:v>15</x:v>
      </x:c>
      <x:c r="B80" s="18" t="n">
        <x:f>IF('Results'!$B$6="Inputs accepted",IF(AND(ISNUMBER('Results'!B7),ISNUMBER('Results'!C7),ISNUMBER('Results'!$B$8),ISNUMBER('Results'!$B$9),ISNUMBER('Inputs'!$B$6),ISNUMBER('Inputs'!$B$7),ISNUMBER('Inputs'!$B$8),ISNUMBER('Inputs'!$B$9),ISNUMBER('Inputs'!$B$10),ISNUMBER('Inputs'!$B$21),ISNUMBER('Inputs'!$B$24),ISNUMBER('Inputs'!$B$28)),(('Results'!B7*(0.5*(((A80+'Inputs'!$B$21)+'Inputs'!$B$7)/SQRT(((A80+'Inputs'!$B$21)+'Inputs'!$B$7)^2+('Inputs'!$B$6/2)^2)-((A80+'Inputs'!$B$21))/SQRT(((A80+'Inputs'!$B$21))^2+('Inputs'!$B$6/2)^2)))-'Results'!C7*(0.5*(((A80+'Inputs'!$B$21+'Inputs'!$B$7+'Inputs'!$B$10)+'Inputs'!$B$9)/SQRT(((A80+'Inputs'!$B$21+'Inputs'!$B$7+'Inputs'!$B$10)+'Inputs'!$B$9)^2+('Inputs'!$B$8/2)^2)-((A80+'Inputs'!$B$21+'Inputs'!$B$7+'Inputs'!$B$10))/SQRT(((A80+'Inputs'!$B$21+'Inputs'!$B$7+'Inputs'!$B$10))^2+('Inputs'!$B$8/2)^2))))*'Results'!$B$8*'Results'!$B$9),""),"")</x:f>
        <x:v>10.927485457125558</x:v>
      </x:c>
      <x:c r="C80" s="18" t="n">
        <x:f>IF('Results'!$B$6="Inputs accepted",IF(AND(ISNUMBER('Results'!C7),ISNUMBER('Results'!B7),ISNUMBER('Results'!$B$8),ISNUMBER('Results'!$B$9),ISNUMBER('Inputs'!$B$6),ISNUMBER('Inputs'!$B$7),ISNUMBER('Inputs'!$B$8),ISNUMBER('Inputs'!$B$9),ISNUMBER('Inputs'!$B$10),ISNUMBER('Inputs'!$B$21),ISNUMBER('Inputs'!$B$24),ISNUMBER('Inputs'!$B$28)),(('Results'!C7*(0.5*(((A80+'Inputs'!$B$21)+'Inputs'!$B$9)/SQRT(((A80+'Inputs'!$B$21)+'Inputs'!$B$9)^2+('Inputs'!$B$8/2)^2)-((A80+'Inputs'!$B$21))/SQRT(((A80+'Inputs'!$B$21))^2+('Inputs'!$B$8/2)^2)))-'Results'!B7*(0.5*(((A80+'Inputs'!$B$21+'Inputs'!$B$9+'Inputs'!$B$10)+'Inputs'!$B$7)/SQRT(((A80+'Inputs'!$B$21+'Inputs'!$B$9+'Inputs'!$B$10)+'Inputs'!$B$7)^2+('Inputs'!$B$6/2)^2)-((A80+'Inputs'!$B$21+'Inputs'!$B$9+'Inputs'!$B$10))/SQRT(((A80+'Inputs'!$B$21+'Inputs'!$B$9+'Inputs'!$B$10))^2+('Inputs'!$B$6/2)^2))))*'Results'!$B$8*'Results'!$B$9),""),"")</x:f>
        <x:v>10.32355083643172</x:v>
      </x:c>
      <x:c r="D80" s="18" t="n">
        <x:f>IF('Results'!$B$6="Inputs accepted",'Results'!B12,"")</x:f>
        <x:v>112.38228018798189</x:v>
      </x:c>
      <x:c r="E80" s="18" t="n">
        <x:f>IF('Results'!$B$6="Inputs accepted",'Results'!C12,"")</x:f>
        <x:v>119.21786205905865</x:v>
      </x:c>
      <x:c r="F80" s="18" t="n">
        <x:f>IF('Results'!$B$6="Inputs accepted",'Results'!B14,"")</x:f>
        <x:v>66.9055158034782</x:v>
      </x:c>
      <x:c r="G80" s="18" t="n">
        <x:f>IF('Results'!$B$6="Inputs accepted",'Results'!C14,"")</x:f>
        <x:v>70.64020731289524</x:v>
      </x:c>
      <x:c r="H80" s="2"/>
      <x:c r="I80" s="2"/>
      <x:c r="J80" s="2"/>
      <x:c r="K80" s="2"/>
      <x:c r="L80" s="2"/>
    </x:row>
    <x:row r="81" ht="22" customHeight="1">
      <x:c r="A81" s="18" t="n">
        <x:f>(81-5)*'Inputs'!$B$33/200</x:f>
        <x:v>15.2</x:v>
      </x:c>
      <x:c r="B81" s="18" t="n">
        <x:f>IF('Results'!$B$6="Inputs accepted",IF(AND(ISNUMBER('Results'!B7),ISNUMBER('Results'!C7),ISNUMBER('Results'!$B$8),ISNUMBER('Results'!$B$9),ISNUMBER('Inputs'!$B$6),ISNUMBER('Inputs'!$B$7),ISNUMBER('Inputs'!$B$8),ISNUMBER('Inputs'!$B$9),ISNUMBER('Inputs'!$B$10),ISNUMBER('Inputs'!$B$21),ISNUMBER('Inputs'!$B$24),ISNUMBER('Inputs'!$B$28)),(('Results'!B7*(0.5*(((A81+'Inputs'!$B$21)+'Inputs'!$B$7)/SQRT(((A81+'Inputs'!$B$21)+'Inputs'!$B$7)^2+('Inputs'!$B$6/2)^2)-((A81+'Inputs'!$B$21))/SQRT(((A81+'Inputs'!$B$21))^2+('Inputs'!$B$6/2)^2)))-'Results'!C7*(0.5*(((A81+'Inputs'!$B$21+'Inputs'!$B$7+'Inputs'!$B$10)+'Inputs'!$B$9)/SQRT(((A81+'Inputs'!$B$21+'Inputs'!$B$7+'Inputs'!$B$10)+'Inputs'!$B$9)^2+('Inputs'!$B$8/2)^2)-((A81+'Inputs'!$B$21+'Inputs'!$B$7+'Inputs'!$B$10))/SQRT(((A81+'Inputs'!$B$21+'Inputs'!$B$7+'Inputs'!$B$10))^2+('Inputs'!$B$8/2)^2))))*'Results'!$B$8*'Results'!$B$9),""),"")</x:f>
        <x:v>10.465276578200244</x:v>
      </x:c>
      <x:c r="C81" s="18" t="n">
        <x:f>IF('Results'!$B$6="Inputs accepted",IF(AND(ISNUMBER('Results'!C7),ISNUMBER('Results'!B7),ISNUMBER('Results'!$B$8),ISNUMBER('Results'!$B$9),ISNUMBER('Inputs'!$B$6),ISNUMBER('Inputs'!$B$7),ISNUMBER('Inputs'!$B$8),ISNUMBER('Inputs'!$B$9),ISNUMBER('Inputs'!$B$10),ISNUMBER('Inputs'!$B$21),ISNUMBER('Inputs'!$B$24),ISNUMBER('Inputs'!$B$28)),(('Results'!C7*(0.5*(((A81+'Inputs'!$B$21)+'Inputs'!$B$9)/SQRT(((A81+'Inputs'!$B$21)+'Inputs'!$B$9)^2+('Inputs'!$B$8/2)^2)-((A81+'Inputs'!$B$21))/SQRT(((A81+'Inputs'!$B$21))^2+('Inputs'!$B$8/2)^2)))-'Results'!B7*(0.5*(((A81+'Inputs'!$B$21+'Inputs'!$B$9+'Inputs'!$B$10)+'Inputs'!$B$7)/SQRT(((A81+'Inputs'!$B$21+'Inputs'!$B$9+'Inputs'!$B$10)+'Inputs'!$B$7)^2+('Inputs'!$B$6/2)^2)-((A81+'Inputs'!$B$21+'Inputs'!$B$9+'Inputs'!$B$10))/SQRT(((A81+'Inputs'!$B$21+'Inputs'!$B$9+'Inputs'!$B$10))^2+('Inputs'!$B$6/2)^2))))*'Results'!$B$8*'Results'!$B$9),""),"")</x:f>
        <x:v>9.881474695677213</x:v>
      </x:c>
      <x:c r="D81" s="18" t="n">
        <x:f>IF('Results'!$B$6="Inputs accepted",'Results'!B12,"")</x:f>
        <x:v>112.38228018798189</x:v>
      </x:c>
      <x:c r="E81" s="18" t="n">
        <x:f>IF('Results'!$B$6="Inputs accepted",'Results'!C12,"")</x:f>
        <x:v>119.21786205905865</x:v>
      </x:c>
      <x:c r="F81" s="18" t="n">
        <x:f>IF('Results'!$B$6="Inputs accepted",'Results'!B14,"")</x:f>
        <x:v>66.9055158034782</x:v>
      </x:c>
      <x:c r="G81" s="18" t="n">
        <x:f>IF('Results'!$B$6="Inputs accepted",'Results'!C14,"")</x:f>
        <x:v>70.64020731289524</x:v>
      </x:c>
      <x:c r="H81" s="2"/>
      <x:c r="I81" s="2"/>
      <x:c r="J81" s="2"/>
      <x:c r="K81" s="2"/>
      <x:c r="L81" s="2"/>
    </x:row>
    <x:row r="82" ht="22" customHeight="1">
      <x:c r="A82" s="18" t="n">
        <x:f>(82-5)*'Inputs'!$B$33/200</x:f>
        <x:v>15.4</x:v>
      </x:c>
      <x:c r="B82" s="18" t="n">
        <x:f>IF('Results'!$B$6="Inputs accepted",IF(AND(ISNUMBER('Results'!B7),ISNUMBER('Results'!C7),ISNUMBER('Results'!$B$8),ISNUMBER('Results'!$B$9),ISNUMBER('Inputs'!$B$6),ISNUMBER('Inputs'!$B$7),ISNUMBER('Inputs'!$B$8),ISNUMBER('Inputs'!$B$9),ISNUMBER('Inputs'!$B$10),ISNUMBER('Inputs'!$B$21),ISNUMBER('Inputs'!$B$24),ISNUMBER('Inputs'!$B$28)),(('Results'!B7*(0.5*(((A82+'Inputs'!$B$21)+'Inputs'!$B$7)/SQRT(((A82+'Inputs'!$B$21)+'Inputs'!$B$7)^2+('Inputs'!$B$6/2)^2)-((A82+'Inputs'!$B$21))/SQRT(((A82+'Inputs'!$B$21))^2+('Inputs'!$B$6/2)^2)))-'Results'!C7*(0.5*(((A82+'Inputs'!$B$21+'Inputs'!$B$7+'Inputs'!$B$10)+'Inputs'!$B$9)/SQRT(((A82+'Inputs'!$B$21+'Inputs'!$B$7+'Inputs'!$B$10)+'Inputs'!$B$9)^2+('Inputs'!$B$8/2)^2)-((A82+'Inputs'!$B$21+'Inputs'!$B$7+'Inputs'!$B$10))/SQRT(((A82+'Inputs'!$B$21+'Inputs'!$B$7+'Inputs'!$B$10))^2+('Inputs'!$B$8/2)^2))))*'Results'!$B$8*'Results'!$B$9),""),"")</x:f>
        <x:v>10.027228276808039</x:v>
      </x:c>
      <x:c r="C82" s="18" t="n">
        <x:f>IF('Results'!$B$6="Inputs accepted",IF(AND(ISNUMBER('Results'!C7),ISNUMBER('Results'!B7),ISNUMBER('Results'!$B$8),ISNUMBER('Results'!$B$9),ISNUMBER('Inputs'!$B$6),ISNUMBER('Inputs'!$B$7),ISNUMBER('Inputs'!$B$8),ISNUMBER('Inputs'!$B$9),ISNUMBER('Inputs'!$B$10),ISNUMBER('Inputs'!$B$21),ISNUMBER('Inputs'!$B$24),ISNUMBER('Inputs'!$B$28)),(('Results'!C7*(0.5*(((A82+'Inputs'!$B$21)+'Inputs'!$B$9)/SQRT(((A82+'Inputs'!$B$21)+'Inputs'!$B$9)^2+('Inputs'!$B$8/2)^2)-((A82+'Inputs'!$B$21))/SQRT(((A82+'Inputs'!$B$21))^2+('Inputs'!$B$8/2)^2)))-'Results'!B7*(0.5*(((A82+'Inputs'!$B$21+'Inputs'!$B$9+'Inputs'!$B$10)+'Inputs'!$B$7)/SQRT(((A82+'Inputs'!$B$21+'Inputs'!$B$9+'Inputs'!$B$10)+'Inputs'!$B$7)^2+('Inputs'!$B$6/2)^2)-((A82+'Inputs'!$B$21+'Inputs'!$B$9+'Inputs'!$B$10))/SQRT(((A82+'Inputs'!$B$21+'Inputs'!$B$9+'Inputs'!$B$10))^2+('Inputs'!$B$6/2)^2))))*'Results'!$B$8*'Results'!$B$9),""),"")</x:f>
        <x:v>9.462671731611643</x:v>
      </x:c>
      <x:c r="D82" s="18" t="n">
        <x:f>IF('Results'!$B$6="Inputs accepted",'Results'!B12,"")</x:f>
        <x:v>112.38228018798189</x:v>
      </x:c>
      <x:c r="E82" s="18" t="n">
        <x:f>IF('Results'!$B$6="Inputs accepted",'Results'!C12,"")</x:f>
        <x:v>119.21786205905865</x:v>
      </x:c>
      <x:c r="F82" s="18" t="n">
        <x:f>IF('Results'!$B$6="Inputs accepted",'Results'!B14,"")</x:f>
        <x:v>66.9055158034782</x:v>
      </x:c>
      <x:c r="G82" s="18" t="n">
        <x:f>IF('Results'!$B$6="Inputs accepted",'Results'!C14,"")</x:f>
        <x:v>70.64020731289524</x:v>
      </x:c>
      <x:c r="H82" s="2"/>
      <x:c r="I82" s="2"/>
      <x:c r="J82" s="2"/>
      <x:c r="K82" s="2"/>
      <x:c r="L82" s="2"/>
    </x:row>
    <x:row r="83" ht="22" customHeight="1">
      <x:c r="A83" s="18" t="n">
        <x:f>(83-5)*'Inputs'!$B$33/200</x:f>
        <x:v>15.6</x:v>
      </x:c>
      <x:c r="B83" s="18" t="n">
        <x:f>IF('Results'!$B$6="Inputs accepted",IF(AND(ISNUMBER('Results'!B7),ISNUMBER('Results'!C7),ISNUMBER('Results'!$B$8),ISNUMBER('Results'!$B$9),ISNUMBER('Inputs'!$B$6),ISNUMBER('Inputs'!$B$7),ISNUMBER('Inputs'!$B$8),ISNUMBER('Inputs'!$B$9),ISNUMBER('Inputs'!$B$10),ISNUMBER('Inputs'!$B$21),ISNUMBER('Inputs'!$B$24),ISNUMBER('Inputs'!$B$28)),(('Results'!B7*(0.5*(((A83+'Inputs'!$B$21)+'Inputs'!$B$7)/SQRT(((A83+'Inputs'!$B$21)+'Inputs'!$B$7)^2+('Inputs'!$B$6/2)^2)-((A83+'Inputs'!$B$21))/SQRT(((A83+'Inputs'!$B$21))^2+('Inputs'!$B$6/2)^2)))-'Results'!C7*(0.5*(((A83+'Inputs'!$B$21+'Inputs'!$B$7+'Inputs'!$B$10)+'Inputs'!$B$9)/SQRT(((A83+'Inputs'!$B$21+'Inputs'!$B$7+'Inputs'!$B$10)+'Inputs'!$B$9)^2+('Inputs'!$B$8/2)^2)-((A83+'Inputs'!$B$21+'Inputs'!$B$7+'Inputs'!$B$10))/SQRT(((A83+'Inputs'!$B$21+'Inputs'!$B$7+'Inputs'!$B$10))^2+('Inputs'!$B$8/2)^2))))*'Results'!$B$8*'Results'!$B$9),""),"")</x:f>
        <x:v>9.611844693862057</x:v>
      </x:c>
      <x:c r="C83" s="18" t="n">
        <x:f>IF('Results'!$B$6="Inputs accepted",IF(AND(ISNUMBER('Results'!C7),ISNUMBER('Results'!B7),ISNUMBER('Results'!$B$8),ISNUMBER('Results'!$B$9),ISNUMBER('Inputs'!$B$6),ISNUMBER('Inputs'!$B$7),ISNUMBER('Inputs'!$B$8),ISNUMBER('Inputs'!$B$9),ISNUMBER('Inputs'!$B$10),ISNUMBER('Inputs'!$B$21),ISNUMBER('Inputs'!$B$24),ISNUMBER('Inputs'!$B$28)),(('Results'!C7*(0.5*(((A83+'Inputs'!$B$21)+'Inputs'!$B$9)/SQRT(((A83+'Inputs'!$B$21)+'Inputs'!$B$9)^2+('Inputs'!$B$8/2)^2)-((A83+'Inputs'!$B$21))/SQRT(((A83+'Inputs'!$B$21))^2+('Inputs'!$B$8/2)^2)))-'Results'!B7*(0.5*(((A83+'Inputs'!$B$21+'Inputs'!$B$9+'Inputs'!$B$10)+'Inputs'!$B$7)/SQRT(((A83+'Inputs'!$B$21+'Inputs'!$B$9+'Inputs'!$B$10)+'Inputs'!$B$7)^2+('Inputs'!$B$6/2)^2)-((A83+'Inputs'!$B$21+'Inputs'!$B$9+'Inputs'!$B$10))/SQRT(((A83+'Inputs'!$B$21+'Inputs'!$B$9+'Inputs'!$B$10))^2+('Inputs'!$B$6/2)^2))))*'Results'!$B$8*'Results'!$B$9),""),"")</x:f>
        <x:v>9.065694484789798</x:v>
      </x:c>
      <x:c r="D83" s="18" t="n">
        <x:f>IF('Results'!$B$6="Inputs accepted",'Results'!B12,"")</x:f>
        <x:v>112.38228018798189</x:v>
      </x:c>
      <x:c r="E83" s="18" t="n">
        <x:f>IF('Results'!$B$6="Inputs accepted",'Results'!C12,"")</x:f>
        <x:v>119.21786205905865</x:v>
      </x:c>
      <x:c r="F83" s="18" t="n">
        <x:f>IF('Results'!$B$6="Inputs accepted",'Results'!B14,"")</x:f>
        <x:v>66.9055158034782</x:v>
      </x:c>
      <x:c r="G83" s="18" t="n">
        <x:f>IF('Results'!$B$6="Inputs accepted",'Results'!C14,"")</x:f>
        <x:v>70.64020731289524</x:v>
      </x:c>
      <x:c r="H83" s="2"/>
      <x:c r="I83" s="2"/>
      <x:c r="J83" s="2"/>
      <x:c r="K83" s="2"/>
      <x:c r="L83" s="2"/>
    </x:row>
    <x:row r="84" ht="22" customHeight="1">
      <x:c r="A84" s="18" t="n">
        <x:f>(84-5)*'Inputs'!$B$33/200</x:f>
        <x:v>15.8</x:v>
      </x:c>
      <x:c r="B84" s="18" t="n">
        <x:f>IF('Results'!$B$6="Inputs accepted",IF(AND(ISNUMBER('Results'!B7),ISNUMBER('Results'!C7),ISNUMBER('Results'!$B$8),ISNUMBER('Results'!$B$9),ISNUMBER('Inputs'!$B$6),ISNUMBER('Inputs'!$B$7),ISNUMBER('Inputs'!$B$8),ISNUMBER('Inputs'!$B$9),ISNUMBER('Inputs'!$B$10),ISNUMBER('Inputs'!$B$21),ISNUMBER('Inputs'!$B$24),ISNUMBER('Inputs'!$B$28)),(('Results'!B7*(0.5*(((A84+'Inputs'!$B$21)+'Inputs'!$B$7)/SQRT(((A84+'Inputs'!$B$21)+'Inputs'!$B$7)^2+('Inputs'!$B$6/2)^2)-((A84+'Inputs'!$B$21))/SQRT(((A84+'Inputs'!$B$21))^2+('Inputs'!$B$6/2)^2)))-'Results'!C7*(0.5*(((A84+'Inputs'!$B$21+'Inputs'!$B$7+'Inputs'!$B$10)+'Inputs'!$B$9)/SQRT(((A84+'Inputs'!$B$21+'Inputs'!$B$7+'Inputs'!$B$10)+'Inputs'!$B$9)^2+('Inputs'!$B$8/2)^2)-((A84+'Inputs'!$B$21+'Inputs'!$B$7+'Inputs'!$B$10))/SQRT(((A84+'Inputs'!$B$21+'Inputs'!$B$7+'Inputs'!$B$10))^2+('Inputs'!$B$8/2)^2))))*'Results'!$B$8*'Results'!$B$9),""),"")</x:f>
        <x:v>9.217736512868418</x:v>
      </x:c>
      <x:c r="C84" s="18" t="n">
        <x:f>IF('Results'!$B$6="Inputs accepted",IF(AND(ISNUMBER('Results'!C7),ISNUMBER('Results'!B7),ISNUMBER('Results'!$B$8),ISNUMBER('Results'!$B$9),ISNUMBER('Inputs'!$B$6),ISNUMBER('Inputs'!$B$7),ISNUMBER('Inputs'!$B$8),ISNUMBER('Inputs'!$B$9),ISNUMBER('Inputs'!$B$10),ISNUMBER('Inputs'!$B$21),ISNUMBER('Inputs'!$B$24),ISNUMBER('Inputs'!$B$28)),(('Results'!C7*(0.5*(((A84+'Inputs'!$B$21)+'Inputs'!$B$9)/SQRT(((A84+'Inputs'!$B$21)+'Inputs'!$B$9)^2+('Inputs'!$B$8/2)^2)-((A84+'Inputs'!$B$21))/SQRT(((A84+'Inputs'!$B$21))^2+('Inputs'!$B$8/2)^2)))-'Results'!B7*(0.5*(((A84+'Inputs'!$B$21+'Inputs'!$B$9+'Inputs'!$B$10)+'Inputs'!$B$7)/SQRT(((A84+'Inputs'!$B$21+'Inputs'!$B$9+'Inputs'!$B$10)+'Inputs'!$B$7)^2+('Inputs'!$B$6/2)^2)-((A84+'Inputs'!$B$21+'Inputs'!$B$9+'Inputs'!$B$10))/SQRT(((A84+'Inputs'!$B$21+'Inputs'!$B$9+'Inputs'!$B$10))^2+('Inputs'!$B$6/2)^2))))*'Results'!$B$8*'Results'!$B$9),""),"")</x:f>
        <x:v>8.689198907966592</x:v>
      </x:c>
      <x:c r="D84" s="18" t="n">
        <x:f>IF('Results'!$B$6="Inputs accepted",'Results'!B12,"")</x:f>
        <x:v>112.38228018798189</x:v>
      </x:c>
      <x:c r="E84" s="18" t="n">
        <x:f>IF('Results'!$B$6="Inputs accepted",'Results'!C12,"")</x:f>
        <x:v>119.21786205905865</x:v>
      </x:c>
      <x:c r="F84" s="18" t="n">
        <x:f>IF('Results'!$B$6="Inputs accepted",'Results'!B14,"")</x:f>
        <x:v>66.9055158034782</x:v>
      </x:c>
      <x:c r="G84" s="18" t="n">
        <x:f>IF('Results'!$B$6="Inputs accepted",'Results'!C14,"")</x:f>
        <x:v>70.64020731289524</x:v>
      </x:c>
      <x:c r="H84" s="2"/>
      <x:c r="I84" s="2"/>
      <x:c r="J84" s="2"/>
      <x:c r="K84" s="2"/>
      <x:c r="L84" s="2"/>
    </x:row>
    <x:row r="85" ht="22" customHeight="1">
      <x:c r="A85" s="18" t="n">
        <x:f>(85-5)*'Inputs'!$B$33/200</x:f>
        <x:v>16</x:v>
      </x:c>
      <x:c r="B85" s="18" t="n">
        <x:f>IF('Results'!$B$6="Inputs accepted",IF(AND(ISNUMBER('Results'!B7),ISNUMBER('Results'!C7),ISNUMBER('Results'!$B$8),ISNUMBER('Results'!$B$9),ISNUMBER('Inputs'!$B$6),ISNUMBER('Inputs'!$B$7),ISNUMBER('Inputs'!$B$8),ISNUMBER('Inputs'!$B$9),ISNUMBER('Inputs'!$B$10),ISNUMBER('Inputs'!$B$21),ISNUMBER('Inputs'!$B$24),ISNUMBER('Inputs'!$B$28)),(('Results'!B7*(0.5*(((A85+'Inputs'!$B$21)+'Inputs'!$B$7)/SQRT(((A85+'Inputs'!$B$21)+'Inputs'!$B$7)^2+('Inputs'!$B$6/2)^2)-((A85+'Inputs'!$B$21))/SQRT(((A85+'Inputs'!$B$21))^2+('Inputs'!$B$6/2)^2)))-'Results'!C7*(0.5*(((A85+'Inputs'!$B$21+'Inputs'!$B$7+'Inputs'!$B$10)+'Inputs'!$B$9)/SQRT(((A85+'Inputs'!$B$21+'Inputs'!$B$7+'Inputs'!$B$10)+'Inputs'!$B$9)^2+('Inputs'!$B$8/2)^2)-((A85+'Inputs'!$B$21+'Inputs'!$B$7+'Inputs'!$B$10))/SQRT(((A85+'Inputs'!$B$21+'Inputs'!$B$7+'Inputs'!$B$10))^2+('Inputs'!$B$8/2)^2))))*'Results'!$B$8*'Results'!$B$9),""),"")</x:f>
        <x:v>8.84361241517694</x:v>
      </x:c>
      <x:c r="C85" s="18" t="n">
        <x:f>IF('Results'!$B$6="Inputs accepted",IF(AND(ISNUMBER('Results'!C7),ISNUMBER('Results'!B7),ISNUMBER('Results'!$B$8),ISNUMBER('Results'!$B$9),ISNUMBER('Inputs'!$B$6),ISNUMBER('Inputs'!$B$7),ISNUMBER('Inputs'!$B$8),ISNUMBER('Inputs'!$B$9),ISNUMBER('Inputs'!$B$10),ISNUMBER('Inputs'!$B$21),ISNUMBER('Inputs'!$B$24),ISNUMBER('Inputs'!$B$28)),(('Results'!C7*(0.5*(((A85+'Inputs'!$B$21)+'Inputs'!$B$9)/SQRT(((A85+'Inputs'!$B$21)+'Inputs'!$B$9)^2+('Inputs'!$B$8/2)^2)-((A85+'Inputs'!$B$21))/SQRT(((A85+'Inputs'!$B$21))^2+('Inputs'!$B$8/2)^2)))-'Results'!B7*(0.5*(((A85+'Inputs'!$B$21+'Inputs'!$B$9+'Inputs'!$B$10)+'Inputs'!$B$7)/SQRT(((A85+'Inputs'!$B$21+'Inputs'!$B$9+'Inputs'!$B$10)+'Inputs'!$B$7)^2+('Inputs'!$B$6/2)^2)-((A85+'Inputs'!$B$21+'Inputs'!$B$9+'Inputs'!$B$10))/SQRT(((A85+'Inputs'!$B$21+'Inputs'!$B$9+'Inputs'!$B$10))^2+('Inputs'!$B$6/2)^2))))*'Results'!$B$8*'Results'!$B$9),""),"")</x:f>
        <x:v>8.331936054399506</x:v>
      </x:c>
      <x:c r="D85" s="18" t="n">
        <x:f>IF('Results'!$B$6="Inputs accepted",'Results'!B12,"")</x:f>
        <x:v>112.38228018798189</x:v>
      </x:c>
      <x:c r="E85" s="18" t="n">
        <x:f>IF('Results'!$B$6="Inputs accepted",'Results'!C12,"")</x:f>
        <x:v>119.21786205905865</x:v>
      </x:c>
      <x:c r="F85" s="18" t="n">
        <x:f>IF('Results'!$B$6="Inputs accepted",'Results'!B14,"")</x:f>
        <x:v>66.9055158034782</x:v>
      </x:c>
      <x:c r="G85" s="18" t="n">
        <x:f>IF('Results'!$B$6="Inputs accepted",'Results'!C14,"")</x:f>
        <x:v>70.64020731289524</x:v>
      </x:c>
      <x:c r="H85" s="2"/>
      <x:c r="I85" s="2"/>
      <x:c r="J85" s="2"/>
      <x:c r="K85" s="2"/>
      <x:c r="L85" s="2"/>
    </x:row>
    <x:row r="86" ht="22" customHeight="1">
      <x:c r="A86" s="18" t="n">
        <x:f>(86-5)*'Inputs'!$B$33/200</x:f>
        <x:v>16.2</x:v>
      </x:c>
      <x:c r="B86" s="18" t="n">
        <x:f>IF('Results'!$B$6="Inputs accepted",IF(AND(ISNUMBER('Results'!B7),ISNUMBER('Results'!C7),ISNUMBER('Results'!$B$8),ISNUMBER('Results'!$B$9),ISNUMBER('Inputs'!$B$6),ISNUMBER('Inputs'!$B$7),ISNUMBER('Inputs'!$B$8),ISNUMBER('Inputs'!$B$9),ISNUMBER('Inputs'!$B$10),ISNUMBER('Inputs'!$B$21),ISNUMBER('Inputs'!$B$24),ISNUMBER('Inputs'!$B$28)),(('Results'!B7*(0.5*(((A86+'Inputs'!$B$21)+'Inputs'!$B$7)/SQRT(((A86+'Inputs'!$B$21)+'Inputs'!$B$7)^2+('Inputs'!$B$6/2)^2)-((A86+'Inputs'!$B$21))/SQRT(((A86+'Inputs'!$B$21))^2+('Inputs'!$B$6/2)^2)))-'Results'!C7*(0.5*(((A86+'Inputs'!$B$21+'Inputs'!$B$7+'Inputs'!$B$10)+'Inputs'!$B$9)/SQRT(((A86+'Inputs'!$B$21+'Inputs'!$B$7+'Inputs'!$B$10)+'Inputs'!$B$9)^2+('Inputs'!$B$8/2)^2)-((A86+'Inputs'!$B$21+'Inputs'!$B$7+'Inputs'!$B$10))/SQRT(((A86+'Inputs'!$B$21+'Inputs'!$B$7+'Inputs'!$B$10))^2+('Inputs'!$B$8/2)^2))))*'Results'!$B$8*'Results'!$B$9),""),"")</x:f>
        <x:v>8.488271294242784</x:v>
      </x:c>
      <x:c r="C86" s="18" t="n">
        <x:f>IF('Results'!$B$6="Inputs accepted",IF(AND(ISNUMBER('Results'!C7),ISNUMBER('Results'!B7),ISNUMBER('Results'!$B$8),ISNUMBER('Results'!$B$9),ISNUMBER('Inputs'!$B$6),ISNUMBER('Inputs'!$B$7),ISNUMBER('Inputs'!$B$8),ISNUMBER('Inputs'!$B$9),ISNUMBER('Inputs'!$B$10),ISNUMBER('Inputs'!$B$21),ISNUMBER('Inputs'!$B$24),ISNUMBER('Inputs'!$B$28)),(('Results'!C7*(0.5*(((A86+'Inputs'!$B$21)+'Inputs'!$B$9)/SQRT(((A86+'Inputs'!$B$21)+'Inputs'!$B$9)^2+('Inputs'!$B$8/2)^2)-((A86+'Inputs'!$B$21))/SQRT(((A86+'Inputs'!$B$21))^2+('Inputs'!$B$8/2)^2)))-'Results'!B7*(0.5*(((A86+'Inputs'!$B$21+'Inputs'!$B$9+'Inputs'!$B$10)+'Inputs'!$B$7)/SQRT(((A86+'Inputs'!$B$21+'Inputs'!$B$9+'Inputs'!$B$10)+'Inputs'!$B$7)^2+('Inputs'!$B$6/2)^2)-((A86+'Inputs'!$B$21+'Inputs'!$B$9+'Inputs'!$B$10))/SQRT(((A86+'Inputs'!$B$21+'Inputs'!$B$9+'Inputs'!$B$10))^2+('Inputs'!$B$6/2)^2))))*'Results'!$B$8*'Results'!$B$9),""),"")</x:f>
        <x:v>7.992744505628097</x:v>
      </x:c>
      <x:c r="D86" s="18" t="n">
        <x:f>IF('Results'!$B$6="Inputs accepted",'Results'!B12,"")</x:f>
        <x:v>112.38228018798189</x:v>
      </x:c>
      <x:c r="E86" s="18" t="n">
        <x:f>IF('Results'!$B$6="Inputs accepted",'Results'!C12,"")</x:f>
        <x:v>119.21786205905865</x:v>
      </x:c>
      <x:c r="F86" s="18" t="n">
        <x:f>IF('Results'!$B$6="Inputs accepted",'Results'!B14,"")</x:f>
        <x:v>66.9055158034782</x:v>
      </x:c>
      <x:c r="G86" s="18" t="n">
        <x:f>IF('Results'!$B$6="Inputs accepted",'Results'!C14,"")</x:f>
        <x:v>70.64020731289524</x:v>
      </x:c>
      <x:c r="H86" s="2"/>
      <x:c r="I86" s="2"/>
      <x:c r="J86" s="2"/>
      <x:c r="K86" s="2"/>
      <x:c r="L86" s="2"/>
    </x:row>
    <x:row r="87" ht="22" customHeight="1">
      <x:c r="A87" s="18" t="n">
        <x:f>(87-5)*'Inputs'!$B$33/200</x:f>
        <x:v>16.4</x:v>
      </x:c>
      <x:c r="B87" s="18" t="n">
        <x:f>IF('Results'!$B$6="Inputs accepted",IF(AND(ISNUMBER('Results'!B7),ISNUMBER('Results'!C7),ISNUMBER('Results'!$B$8),ISNUMBER('Results'!$B$9),ISNUMBER('Inputs'!$B$6),ISNUMBER('Inputs'!$B$7),ISNUMBER('Inputs'!$B$8),ISNUMBER('Inputs'!$B$9),ISNUMBER('Inputs'!$B$10),ISNUMBER('Inputs'!$B$21),ISNUMBER('Inputs'!$B$24),ISNUMBER('Inputs'!$B$28)),(('Results'!B7*(0.5*(((A87+'Inputs'!$B$21)+'Inputs'!$B$7)/SQRT(((A87+'Inputs'!$B$21)+'Inputs'!$B$7)^2+('Inputs'!$B$6/2)^2)-((A87+'Inputs'!$B$21))/SQRT(((A87+'Inputs'!$B$21))^2+('Inputs'!$B$6/2)^2)))-'Results'!C7*(0.5*(((A87+'Inputs'!$B$21+'Inputs'!$B$7+'Inputs'!$B$10)+'Inputs'!$B$9)/SQRT(((A87+'Inputs'!$B$21+'Inputs'!$B$7+'Inputs'!$B$10)+'Inputs'!$B$9)^2+('Inputs'!$B$8/2)^2)-((A87+'Inputs'!$B$21+'Inputs'!$B$7+'Inputs'!$B$10))/SQRT(((A87+'Inputs'!$B$21+'Inputs'!$B$7+'Inputs'!$B$10))^2+('Inputs'!$B$8/2)^2))))*'Results'!$B$8*'Results'!$B$9),""),"")</x:f>
        <x:v>8.150595155171214</x:v>
      </x:c>
      <x:c r="C87" s="18" t="n">
        <x:f>IF('Results'!$B$6="Inputs accepted",IF(AND(ISNUMBER('Results'!C7),ISNUMBER('Results'!B7),ISNUMBER('Results'!$B$8),ISNUMBER('Results'!$B$9),ISNUMBER('Inputs'!$B$6),ISNUMBER('Inputs'!$B$7),ISNUMBER('Inputs'!$B$8),ISNUMBER('Inputs'!$B$9),ISNUMBER('Inputs'!$B$10),ISNUMBER('Inputs'!$B$21),ISNUMBER('Inputs'!$B$24),ISNUMBER('Inputs'!$B$28)),(('Results'!C7*(0.5*(((A87+'Inputs'!$B$21)+'Inputs'!$B$9)/SQRT(((A87+'Inputs'!$B$21)+'Inputs'!$B$9)^2+('Inputs'!$B$8/2)^2)-((A87+'Inputs'!$B$21))/SQRT(((A87+'Inputs'!$B$21))^2+('Inputs'!$B$8/2)^2)))-'Results'!B7*(0.5*(((A87+'Inputs'!$B$21+'Inputs'!$B$9+'Inputs'!$B$10)+'Inputs'!$B$7)/SQRT(((A87+'Inputs'!$B$21+'Inputs'!$B$9+'Inputs'!$B$10)+'Inputs'!$B$7)^2+('Inputs'!$B$6/2)^2)-((A87+'Inputs'!$B$21+'Inputs'!$B$9+'Inputs'!$B$10))/SQRT(((A87+'Inputs'!$B$21+'Inputs'!$B$9+'Inputs'!$B$10))^2+('Inputs'!$B$6/2)^2))))*'Results'!$B$8*'Results'!$B$9),""),"")</x:f>
        <x:v>7.670543466815554</x:v>
      </x:c>
      <x:c r="D87" s="18" t="n">
        <x:f>IF('Results'!$B$6="Inputs accepted",'Results'!B12,"")</x:f>
        <x:v>112.38228018798189</x:v>
      </x:c>
      <x:c r="E87" s="18" t="n">
        <x:f>IF('Results'!$B$6="Inputs accepted",'Results'!C12,"")</x:f>
        <x:v>119.21786205905865</x:v>
      </x:c>
      <x:c r="F87" s="18" t="n">
        <x:f>IF('Results'!$B$6="Inputs accepted",'Results'!B14,"")</x:f>
        <x:v>66.9055158034782</x:v>
      </x:c>
      <x:c r="G87" s="18" t="n">
        <x:f>IF('Results'!$B$6="Inputs accepted",'Results'!C14,"")</x:f>
        <x:v>70.64020731289524</x:v>
      </x:c>
      <x:c r="H87" s="2"/>
      <x:c r="I87" s="2"/>
      <x:c r="J87" s="2"/>
      <x:c r="K87" s="2"/>
      <x:c r="L87" s="2"/>
    </x:row>
    <x:row r="88" ht="22" customHeight="1">
      <x:c r="A88" s="18" t="n">
        <x:f>(88-5)*'Inputs'!$B$33/200</x:f>
        <x:v>16.6</x:v>
      </x:c>
      <x:c r="B88" s="18" t="n">
        <x:f>IF('Results'!$B$6="Inputs accepted",IF(AND(ISNUMBER('Results'!B7),ISNUMBER('Results'!C7),ISNUMBER('Results'!$B$8),ISNUMBER('Results'!$B$9),ISNUMBER('Inputs'!$B$6),ISNUMBER('Inputs'!$B$7),ISNUMBER('Inputs'!$B$8),ISNUMBER('Inputs'!$B$9),ISNUMBER('Inputs'!$B$10),ISNUMBER('Inputs'!$B$21),ISNUMBER('Inputs'!$B$24),ISNUMBER('Inputs'!$B$28)),(('Results'!B7*(0.5*(((A88+'Inputs'!$B$21)+'Inputs'!$B$7)/SQRT(((A88+'Inputs'!$B$21)+'Inputs'!$B$7)^2+('Inputs'!$B$6/2)^2)-((A88+'Inputs'!$B$21))/SQRT(((A88+'Inputs'!$B$21))^2+('Inputs'!$B$6/2)^2)))-'Results'!C7*(0.5*(((A88+'Inputs'!$B$21+'Inputs'!$B$7+'Inputs'!$B$10)+'Inputs'!$B$9)/SQRT(((A88+'Inputs'!$B$21+'Inputs'!$B$7+'Inputs'!$B$10)+'Inputs'!$B$9)^2+('Inputs'!$B$8/2)^2)-((A88+'Inputs'!$B$21+'Inputs'!$B$7+'Inputs'!$B$10))/SQRT(((A88+'Inputs'!$B$21+'Inputs'!$B$7+'Inputs'!$B$10))^2+('Inputs'!$B$8/2)^2))))*'Results'!$B$8*'Results'!$B$9),""),"")</x:f>
        <x:v>7.829542633631636</x:v>
      </x:c>
      <x:c r="C88" s="18" t="n">
        <x:f>IF('Results'!$B$6="Inputs accepted",IF(AND(ISNUMBER('Results'!C7),ISNUMBER('Results'!B7),ISNUMBER('Results'!$B$8),ISNUMBER('Results'!$B$9),ISNUMBER('Inputs'!$B$6),ISNUMBER('Inputs'!$B$7),ISNUMBER('Inputs'!$B$8),ISNUMBER('Inputs'!$B$9),ISNUMBER('Inputs'!$B$10),ISNUMBER('Inputs'!$B$21),ISNUMBER('Inputs'!$B$24),ISNUMBER('Inputs'!$B$28)),(('Results'!C7*(0.5*(((A88+'Inputs'!$B$21)+'Inputs'!$B$9)/SQRT(((A88+'Inputs'!$B$21)+'Inputs'!$B$9)^2+('Inputs'!$B$8/2)^2)-((A88+'Inputs'!$B$21))/SQRT(((A88+'Inputs'!$B$21))^2+('Inputs'!$B$8/2)^2)))-'Results'!B7*(0.5*(((A88+'Inputs'!$B$21+'Inputs'!$B$9+'Inputs'!$B$10)+'Inputs'!$B$7)/SQRT(((A88+'Inputs'!$B$21+'Inputs'!$B$9+'Inputs'!$B$10)+'Inputs'!$B$7)^2+('Inputs'!$B$6/2)^2)-((A88+'Inputs'!$B$21+'Inputs'!$B$9+'Inputs'!$B$10))/SQRT(((A88+'Inputs'!$B$21+'Inputs'!$B$9+'Inputs'!$B$10))^2+('Inputs'!$B$6/2)^2))))*'Results'!$B$8*'Results'!$B$9),""),"")</x:f>
        <x:v>7.364326465365532</x:v>
      </x:c>
      <x:c r="D88" s="18" t="n">
        <x:f>IF('Results'!$B$6="Inputs accepted",'Results'!B12,"")</x:f>
        <x:v>112.38228018798189</x:v>
      </x:c>
      <x:c r="E88" s="18" t="n">
        <x:f>IF('Results'!$B$6="Inputs accepted",'Results'!C12,"")</x:f>
        <x:v>119.21786205905865</x:v>
      </x:c>
      <x:c r="F88" s="18" t="n">
        <x:f>IF('Results'!$B$6="Inputs accepted",'Results'!B14,"")</x:f>
        <x:v>66.9055158034782</x:v>
      </x:c>
      <x:c r="G88" s="18" t="n">
        <x:f>IF('Results'!$B$6="Inputs accepted",'Results'!C14,"")</x:f>
        <x:v>70.64020731289524</x:v>
      </x:c>
      <x:c r="H88" s="2"/>
      <x:c r="I88" s="2"/>
      <x:c r="J88" s="2"/>
      <x:c r="K88" s="2"/>
      <x:c r="L88" s="2"/>
    </x:row>
    <x:row r="89" ht="22" customHeight="1">
      <x:c r="A89" s="18" t="n">
        <x:f>(89-5)*'Inputs'!$B$33/200</x:f>
        <x:v>16.8</x:v>
      </x:c>
      <x:c r="B89" s="18" t="n">
        <x:f>IF('Results'!$B$6="Inputs accepted",IF(AND(ISNUMBER('Results'!B7),ISNUMBER('Results'!C7),ISNUMBER('Results'!$B$8),ISNUMBER('Results'!$B$9),ISNUMBER('Inputs'!$B$6),ISNUMBER('Inputs'!$B$7),ISNUMBER('Inputs'!$B$8),ISNUMBER('Inputs'!$B$9),ISNUMBER('Inputs'!$B$10),ISNUMBER('Inputs'!$B$21),ISNUMBER('Inputs'!$B$24),ISNUMBER('Inputs'!$B$28)),(('Results'!B7*(0.5*(((A89+'Inputs'!$B$21)+'Inputs'!$B$7)/SQRT(((A89+'Inputs'!$B$21)+'Inputs'!$B$7)^2+('Inputs'!$B$6/2)^2)-((A89+'Inputs'!$B$21))/SQRT(((A89+'Inputs'!$B$21))^2+('Inputs'!$B$6/2)^2)))-'Results'!C7*(0.5*(((A89+'Inputs'!$B$21+'Inputs'!$B$7+'Inputs'!$B$10)+'Inputs'!$B$9)/SQRT(((A89+'Inputs'!$B$21+'Inputs'!$B$7+'Inputs'!$B$10)+'Inputs'!$B$9)^2+('Inputs'!$B$8/2)^2)-((A89+'Inputs'!$B$21+'Inputs'!$B$7+'Inputs'!$B$10))/SQRT(((A89+'Inputs'!$B$21+'Inputs'!$B$7+'Inputs'!$B$10))^2+('Inputs'!$B$8/2)^2))))*'Results'!$B$8*'Results'!$B$9),""),"")</x:f>
        <x:v>7.524143075018029</x:v>
      </x:c>
      <x:c r="C89" s="18" t="n">
        <x:f>IF('Results'!$B$6="Inputs accepted",IF(AND(ISNUMBER('Results'!C7),ISNUMBER('Results'!B7),ISNUMBER('Results'!$B$8),ISNUMBER('Results'!$B$9),ISNUMBER('Inputs'!$B$6),ISNUMBER('Inputs'!$B$7),ISNUMBER('Inputs'!$B$8),ISNUMBER('Inputs'!$B$9),ISNUMBER('Inputs'!$B$10),ISNUMBER('Inputs'!$B$21),ISNUMBER('Inputs'!$B$24),ISNUMBER('Inputs'!$B$28)),(('Results'!C7*(0.5*(((A89+'Inputs'!$B$21)+'Inputs'!$B$9)/SQRT(((A89+'Inputs'!$B$21)+'Inputs'!$B$9)^2+('Inputs'!$B$8/2)^2)-((A89+'Inputs'!$B$21))/SQRT(((A89+'Inputs'!$B$21))^2+('Inputs'!$B$8/2)^2)))-'Results'!B7*(0.5*(((A89+'Inputs'!$B$21+'Inputs'!$B$9+'Inputs'!$B$10)+'Inputs'!$B$7)/SQRT(((A89+'Inputs'!$B$21+'Inputs'!$B$9+'Inputs'!$B$10)+'Inputs'!$B$7)^2+('Inputs'!$B$6/2)^2)-((A89+'Inputs'!$B$21+'Inputs'!$B$9+'Inputs'!$B$10))/SQRT(((A89+'Inputs'!$B$21+'Inputs'!$B$9+'Inputs'!$B$10))^2+('Inputs'!$B$6/2)^2))))*'Results'!$B$8*'Results'!$B$9),""),"")</x:f>
        <x:v>7.073155595157225</x:v>
      </x:c>
      <x:c r="D89" s="18" t="n">
        <x:f>IF('Results'!$B$6="Inputs accepted",'Results'!B12,"")</x:f>
        <x:v>112.38228018798189</x:v>
      </x:c>
      <x:c r="E89" s="18" t="n">
        <x:f>IF('Results'!$B$6="Inputs accepted",'Results'!C12,"")</x:f>
        <x:v>119.21786205905865</x:v>
      </x:c>
      <x:c r="F89" s="18" t="n">
        <x:f>IF('Results'!$B$6="Inputs accepted",'Results'!B14,"")</x:f>
        <x:v>66.9055158034782</x:v>
      </x:c>
      <x:c r="G89" s="18" t="n">
        <x:f>IF('Results'!$B$6="Inputs accepted",'Results'!C14,"")</x:f>
        <x:v>70.64020731289524</x:v>
      </x:c>
      <x:c r="H89" s="2"/>
      <x:c r="I89" s="2"/>
      <x:c r="J89" s="2"/>
      <x:c r="K89" s="2"/>
      <x:c r="L89" s="2"/>
    </x:row>
    <x:row r="90" ht="22" customHeight="1">
      <x:c r="A90" s="18" t="n">
        <x:f>(90-5)*'Inputs'!$B$33/200</x:f>
        <x:v>17</x:v>
      </x:c>
      <x:c r="B90" s="18" t="n">
        <x:f>IF('Results'!$B$6="Inputs accepted",IF(AND(ISNUMBER('Results'!B7),ISNUMBER('Results'!C7),ISNUMBER('Results'!$B$8),ISNUMBER('Results'!$B$9),ISNUMBER('Inputs'!$B$6),ISNUMBER('Inputs'!$B$7),ISNUMBER('Inputs'!$B$8),ISNUMBER('Inputs'!$B$9),ISNUMBER('Inputs'!$B$10),ISNUMBER('Inputs'!$B$21),ISNUMBER('Inputs'!$B$24),ISNUMBER('Inputs'!$B$28)),(('Results'!B7*(0.5*(((A90+'Inputs'!$B$21)+'Inputs'!$B$7)/SQRT(((A90+'Inputs'!$B$21)+'Inputs'!$B$7)^2+('Inputs'!$B$6/2)^2)-((A90+'Inputs'!$B$21))/SQRT(((A90+'Inputs'!$B$21))^2+('Inputs'!$B$6/2)^2)))-'Results'!C7*(0.5*(((A90+'Inputs'!$B$21+'Inputs'!$B$7+'Inputs'!$B$10)+'Inputs'!$B$9)/SQRT(((A90+'Inputs'!$B$21+'Inputs'!$B$7+'Inputs'!$B$10)+'Inputs'!$B$9)^2+('Inputs'!$B$8/2)^2)-((A90+'Inputs'!$B$21+'Inputs'!$B$7+'Inputs'!$B$10))/SQRT(((A90+'Inputs'!$B$21+'Inputs'!$B$7+'Inputs'!$B$10))^2+('Inputs'!$B$8/2)^2))))*'Results'!$B$8*'Results'!$B$9),""),"")</x:f>
        <x:v>7.233491120917114</x:v>
      </x:c>
      <x:c r="C90" s="18" t="n">
        <x:f>IF('Results'!$B$6="Inputs accepted",IF(AND(ISNUMBER('Results'!C7),ISNUMBER('Results'!B7),ISNUMBER('Results'!$B$8),ISNUMBER('Results'!$B$9),ISNUMBER('Inputs'!$B$6),ISNUMBER('Inputs'!$B$7),ISNUMBER('Inputs'!$B$8),ISNUMBER('Inputs'!$B$9),ISNUMBER('Inputs'!$B$10),ISNUMBER('Inputs'!$B$21),ISNUMBER('Inputs'!$B$24),ISNUMBER('Inputs'!$B$28)),(('Results'!C7*(0.5*(((A90+'Inputs'!$B$21)+'Inputs'!$B$9)/SQRT(((A90+'Inputs'!$B$21)+'Inputs'!$B$9)^2+('Inputs'!$B$8/2)^2)-((A90+'Inputs'!$B$21))/SQRT(((A90+'Inputs'!$B$21))^2+('Inputs'!$B$8/2)^2)))-'Results'!B7*(0.5*(((A90+'Inputs'!$B$21+'Inputs'!$B$9+'Inputs'!$B$10)+'Inputs'!$B$7)/SQRT(((A90+'Inputs'!$B$21+'Inputs'!$B$9+'Inputs'!$B$10)+'Inputs'!$B$7)^2+('Inputs'!$B$6/2)^2)-((A90+'Inputs'!$B$21+'Inputs'!$B$9+'Inputs'!$B$10))/SQRT(((A90+'Inputs'!$B$21+'Inputs'!$B$9+'Inputs'!$B$10))^2+('Inputs'!$B$6/2)^2))))*'Results'!$B$8*'Results'!$B$9),""),"")</x:f>
        <x:v>6.796156254779176</x:v>
      </x:c>
      <x:c r="D90" s="18" t="n">
        <x:f>IF('Results'!$B$6="Inputs accepted",'Results'!B12,"")</x:f>
        <x:v>112.38228018798189</x:v>
      </x:c>
      <x:c r="E90" s="18" t="n">
        <x:f>IF('Results'!$B$6="Inputs accepted",'Results'!C12,"")</x:f>
        <x:v>119.21786205905865</x:v>
      </x:c>
      <x:c r="F90" s="18" t="n">
        <x:f>IF('Results'!$B$6="Inputs accepted",'Results'!B14,"")</x:f>
        <x:v>66.9055158034782</x:v>
      </x:c>
      <x:c r="G90" s="18" t="n">
        <x:f>IF('Results'!$B$6="Inputs accepted",'Results'!C14,"")</x:f>
        <x:v>70.64020731289524</x:v>
      </x:c>
      <x:c r="H90" s="2"/>
      <x:c r="I90" s="2"/>
      <x:c r="J90" s="2"/>
      <x:c r="K90" s="2"/>
      <x:c r="L90" s="2"/>
    </x:row>
    <x:row r="91" ht="22" customHeight="1">
      <x:c r="A91" s="18" t="n">
        <x:f>(91-5)*'Inputs'!$B$33/200</x:f>
        <x:v>17.2</x:v>
      </x:c>
      <x:c r="B91" s="18" t="n">
        <x:f>IF('Results'!$B$6="Inputs accepted",IF(AND(ISNUMBER('Results'!B7),ISNUMBER('Results'!C7),ISNUMBER('Results'!$B$8),ISNUMBER('Results'!$B$9),ISNUMBER('Inputs'!$B$6),ISNUMBER('Inputs'!$B$7),ISNUMBER('Inputs'!$B$8),ISNUMBER('Inputs'!$B$9),ISNUMBER('Inputs'!$B$10),ISNUMBER('Inputs'!$B$21),ISNUMBER('Inputs'!$B$24),ISNUMBER('Inputs'!$B$28)),(('Results'!B7*(0.5*(((A91+'Inputs'!$B$21)+'Inputs'!$B$7)/SQRT(((A91+'Inputs'!$B$21)+'Inputs'!$B$7)^2+('Inputs'!$B$6/2)^2)-((A91+'Inputs'!$B$21))/SQRT(((A91+'Inputs'!$B$21))^2+('Inputs'!$B$6/2)^2)))-'Results'!C7*(0.5*(((A91+'Inputs'!$B$21+'Inputs'!$B$7+'Inputs'!$B$10)+'Inputs'!$B$9)/SQRT(((A91+'Inputs'!$B$21+'Inputs'!$B$7+'Inputs'!$B$10)+'Inputs'!$B$9)^2+('Inputs'!$B$8/2)^2)-((A91+'Inputs'!$B$21+'Inputs'!$B$7+'Inputs'!$B$10))/SQRT(((A91+'Inputs'!$B$21+'Inputs'!$B$7+'Inputs'!$B$10))^2+('Inputs'!$B$8/2)^2))))*'Results'!$B$8*'Results'!$B$9),""),"")</x:f>
        <x:v>6.956741755257378</x:v>
      </x:c>
      <x:c r="C91" s="18" t="n">
        <x:f>IF('Results'!$B$6="Inputs accepted",IF(AND(ISNUMBER('Results'!C7),ISNUMBER('Results'!B7),ISNUMBER('Results'!$B$8),ISNUMBER('Results'!$B$9),ISNUMBER('Inputs'!$B$6),ISNUMBER('Inputs'!$B$7),ISNUMBER('Inputs'!$B$8),ISNUMBER('Inputs'!$B$9),ISNUMBER('Inputs'!$B$10),ISNUMBER('Inputs'!$B$21),ISNUMBER('Inputs'!$B$24),ISNUMBER('Inputs'!$B$28)),(('Results'!C7*(0.5*(((A91+'Inputs'!$B$21)+'Inputs'!$B$9)/SQRT(((A91+'Inputs'!$B$21)+'Inputs'!$B$9)^2+('Inputs'!$B$8/2)^2)-((A91+'Inputs'!$B$21))/SQRT(((A91+'Inputs'!$B$21))^2+('Inputs'!$B$8/2)^2)))-'Results'!B7*(0.5*(((A91+'Inputs'!$B$21+'Inputs'!$B$9+'Inputs'!$B$10)+'Inputs'!$B$7)/SQRT(((A91+'Inputs'!$B$21+'Inputs'!$B$9+'Inputs'!$B$10)+'Inputs'!$B$7)^2+('Inputs'!$B$6/2)^2)-((A91+'Inputs'!$B$21+'Inputs'!$B$9+'Inputs'!$B$10))/SQRT(((A91+'Inputs'!$B$21+'Inputs'!$B$9+'Inputs'!$B$10))^2+('Inputs'!$B$6/2)^2))))*'Results'!$B$8*'Results'!$B$9),""),"")</x:f>
        <x:v>6.532512333324103</x:v>
      </x:c>
      <x:c r="D91" s="18" t="n">
        <x:f>IF('Results'!$B$6="Inputs accepted",'Results'!B12,"")</x:f>
        <x:v>112.38228018798189</x:v>
      </x:c>
      <x:c r="E91" s="18" t="n">
        <x:f>IF('Results'!$B$6="Inputs accepted",'Results'!C12,"")</x:f>
        <x:v>119.21786205905865</x:v>
      </x:c>
      <x:c r="F91" s="18" t="n">
        <x:f>IF('Results'!$B$6="Inputs accepted",'Results'!B14,"")</x:f>
        <x:v>66.9055158034782</x:v>
      </x:c>
      <x:c r="G91" s="18" t="n">
        <x:f>IF('Results'!$B$6="Inputs accepted",'Results'!C14,"")</x:f>
        <x:v>70.64020731289524</x:v>
      </x:c>
      <x:c r="H91" s="2"/>
      <x:c r="I91" s="2"/>
      <x:c r="J91" s="2"/>
      <x:c r="K91" s="2"/>
      <x:c r="L91" s="2"/>
    </x:row>
    <x:row r="92" ht="22" customHeight="1">
      <x:c r="A92" s="18" t="n">
        <x:f>(92-5)*'Inputs'!$B$33/200</x:f>
        <x:v>17.4</x:v>
      </x:c>
      <x:c r="B92" s="18" t="n">
        <x:f>IF('Results'!$B$6="Inputs accepted",IF(AND(ISNUMBER('Results'!B7),ISNUMBER('Results'!C7),ISNUMBER('Results'!$B$8),ISNUMBER('Results'!$B$9),ISNUMBER('Inputs'!$B$6),ISNUMBER('Inputs'!$B$7),ISNUMBER('Inputs'!$B$8),ISNUMBER('Inputs'!$B$9),ISNUMBER('Inputs'!$B$10),ISNUMBER('Inputs'!$B$21),ISNUMBER('Inputs'!$B$24),ISNUMBER('Inputs'!$B$28)),(('Results'!B7*(0.5*(((A92+'Inputs'!$B$21)+'Inputs'!$B$7)/SQRT(((A92+'Inputs'!$B$21)+'Inputs'!$B$7)^2+('Inputs'!$B$6/2)^2)-((A92+'Inputs'!$B$21))/SQRT(((A92+'Inputs'!$B$21))^2+('Inputs'!$B$6/2)^2)))-'Results'!C7*(0.5*(((A92+'Inputs'!$B$21+'Inputs'!$B$7+'Inputs'!$B$10)+'Inputs'!$B$9)/SQRT(((A92+'Inputs'!$B$21+'Inputs'!$B$7+'Inputs'!$B$10)+'Inputs'!$B$9)^2+('Inputs'!$B$8/2)^2)-((A92+'Inputs'!$B$21+'Inputs'!$B$7+'Inputs'!$B$10))/SQRT(((A92+'Inputs'!$B$21+'Inputs'!$B$7+'Inputs'!$B$10))^2+('Inputs'!$B$8/2)^2))))*'Results'!$B$8*'Results'!$B$9),""),"")</x:f>
        <x:v>6.693105767461949</x:v>
      </x:c>
      <x:c r="C92" s="18" t="n">
        <x:f>IF('Results'!$B$6="Inputs accepted",IF(AND(ISNUMBER('Results'!C7),ISNUMBER('Results'!B7),ISNUMBER('Results'!$B$8),ISNUMBER('Results'!$B$9),ISNUMBER('Inputs'!$B$6),ISNUMBER('Inputs'!$B$7),ISNUMBER('Inputs'!$B$8),ISNUMBER('Inputs'!$B$9),ISNUMBER('Inputs'!$B$10),ISNUMBER('Inputs'!$B$21),ISNUMBER('Inputs'!$B$24),ISNUMBER('Inputs'!$B$28)),(('Results'!C7*(0.5*(((A92+'Inputs'!$B$21)+'Inputs'!$B$9)/SQRT(((A92+'Inputs'!$B$21)+'Inputs'!$B$9)^2+('Inputs'!$B$8/2)^2)-((A92+'Inputs'!$B$21))/SQRT(((A92+'Inputs'!$B$21))^2+('Inputs'!$B$8/2)^2)))-'Results'!B7*(0.5*(((A92+'Inputs'!$B$21+'Inputs'!$B$9+'Inputs'!$B$10)+'Inputs'!$B$7)/SQRT(((A92+'Inputs'!$B$21+'Inputs'!$B$9+'Inputs'!$B$10)+'Inputs'!$B$7)^2+('Inputs'!$B$6/2)^2)-((A92+'Inputs'!$B$21+'Inputs'!$B$9+'Inputs'!$B$10))/SQRT(((A92+'Inputs'!$B$21+'Inputs'!$B$9+'Inputs'!$B$10))^2+('Inputs'!$B$6/2)^2))))*'Results'!$B$8*'Results'!$B$9),""),"")</x:f>
        <x:v>6.281461802140875</x:v>
      </x:c>
      <x:c r="D92" s="18" t="n">
        <x:f>IF('Results'!$B$6="Inputs accepted",'Results'!B12,"")</x:f>
        <x:v>112.38228018798189</x:v>
      </x:c>
      <x:c r="E92" s="18" t="n">
        <x:f>IF('Results'!$B$6="Inputs accepted",'Results'!C12,"")</x:f>
        <x:v>119.21786205905865</x:v>
      </x:c>
      <x:c r="F92" s="18" t="n">
        <x:f>IF('Results'!$B$6="Inputs accepted",'Results'!B14,"")</x:f>
        <x:v>66.9055158034782</x:v>
      </x:c>
      <x:c r="G92" s="18" t="n">
        <x:f>IF('Results'!$B$6="Inputs accepted",'Results'!C14,"")</x:f>
        <x:v>70.64020731289524</x:v>
      </x:c>
      <x:c r="H92" s="2"/>
      <x:c r="I92" s="2"/>
      <x:c r="J92" s="2"/>
      <x:c r="K92" s="2"/>
      <x:c r="L92" s="2"/>
    </x:row>
    <x:row r="93" ht="22" customHeight="1">
      <x:c r="A93" s="18" t="n">
        <x:f>(93-5)*'Inputs'!$B$33/200</x:f>
        <x:v>17.6</x:v>
      </x:c>
      <x:c r="B93" s="18" t="n">
        <x:f>IF('Results'!$B$6="Inputs accepted",IF(AND(ISNUMBER('Results'!B7),ISNUMBER('Results'!C7),ISNUMBER('Results'!$B$8),ISNUMBER('Results'!$B$9),ISNUMBER('Inputs'!$B$6),ISNUMBER('Inputs'!$B$7),ISNUMBER('Inputs'!$B$8),ISNUMBER('Inputs'!$B$9),ISNUMBER('Inputs'!$B$10),ISNUMBER('Inputs'!$B$21),ISNUMBER('Inputs'!$B$24),ISNUMBER('Inputs'!$B$28)),(('Results'!B7*(0.5*(((A93+'Inputs'!$B$21)+'Inputs'!$B$7)/SQRT(((A93+'Inputs'!$B$21)+'Inputs'!$B$7)^2+('Inputs'!$B$6/2)^2)-((A93+'Inputs'!$B$21))/SQRT(((A93+'Inputs'!$B$21))^2+('Inputs'!$B$6/2)^2)))-'Results'!C7*(0.5*(((A93+'Inputs'!$B$21+'Inputs'!$B$7+'Inputs'!$B$10)+'Inputs'!$B$9)/SQRT(((A93+'Inputs'!$B$21+'Inputs'!$B$7+'Inputs'!$B$10)+'Inputs'!$B$9)^2+('Inputs'!$B$8/2)^2)-((A93+'Inputs'!$B$21+'Inputs'!$B$7+'Inputs'!$B$10))/SQRT(((A93+'Inputs'!$B$21+'Inputs'!$B$7+'Inputs'!$B$10))^2+('Inputs'!$B$8/2)^2))))*'Results'!$B$8*'Results'!$B$9),""),"")</x:f>
        <x:v>6.4418455941221096</x:v>
      </x:c>
      <x:c r="C93" s="18" t="n">
        <x:f>IF('Results'!$B$6="Inputs accepted",IF(AND(ISNUMBER('Results'!C7),ISNUMBER('Results'!B7),ISNUMBER('Results'!$B$8),ISNUMBER('Results'!$B$9),ISNUMBER('Inputs'!$B$6),ISNUMBER('Inputs'!$B$7),ISNUMBER('Inputs'!$B$8),ISNUMBER('Inputs'!$B$9),ISNUMBER('Inputs'!$B$10),ISNUMBER('Inputs'!$B$21),ISNUMBER('Inputs'!$B$24),ISNUMBER('Inputs'!$B$28)),(('Results'!C7*(0.5*(((A93+'Inputs'!$B$21)+'Inputs'!$B$9)/SQRT(((A93+'Inputs'!$B$21)+'Inputs'!$B$9)^2+('Inputs'!$B$8/2)^2)-((A93+'Inputs'!$B$21))/SQRT(((A93+'Inputs'!$B$21))^2+('Inputs'!$B$8/2)^2)))-'Results'!B7*(0.5*(((A93+'Inputs'!$B$21+'Inputs'!$B$9+'Inputs'!$B$10)+'Inputs'!$B$7)/SQRT(((A93+'Inputs'!$B$21+'Inputs'!$B$9+'Inputs'!$B$10)+'Inputs'!$B$7)^2+('Inputs'!$B$6/2)^2)-((A93+'Inputs'!$B$21+'Inputs'!$B$9+'Inputs'!$B$10))/SQRT(((A93+'Inputs'!$B$21+'Inputs'!$B$9+'Inputs'!$B$10))^2+('Inputs'!$B$6/2)^2))))*'Results'!$B$8*'Results'!$B$9),""),"")</x:f>
        <x:v>6.042292675029814</x:v>
      </x:c>
      <x:c r="D93" s="18" t="n">
        <x:f>IF('Results'!$B$6="Inputs accepted",'Results'!B12,"")</x:f>
        <x:v>112.38228018798189</x:v>
      </x:c>
      <x:c r="E93" s="18" t="n">
        <x:f>IF('Results'!$B$6="Inputs accepted",'Results'!C12,"")</x:f>
        <x:v>119.21786205905865</x:v>
      </x:c>
      <x:c r="F93" s="18" t="n">
        <x:f>IF('Results'!$B$6="Inputs accepted",'Results'!B14,"")</x:f>
        <x:v>66.9055158034782</x:v>
      </x:c>
      <x:c r="G93" s="18" t="n">
        <x:f>IF('Results'!$B$6="Inputs accepted",'Results'!C14,"")</x:f>
        <x:v>70.64020731289524</x:v>
      </x:c>
      <x:c r="H93" s="2"/>
      <x:c r="I93" s="2"/>
      <x:c r="J93" s="2"/>
      <x:c r="K93" s="2"/>
      <x:c r="L93" s="2"/>
    </x:row>
    <x:row r="94" ht="22" customHeight="1">
      <x:c r="A94" s="18" t="n">
        <x:f>(94-5)*'Inputs'!$B$33/200</x:f>
        <x:v>17.8</x:v>
      </x:c>
      <x:c r="B94" s="18" t="n">
        <x:f>IF('Results'!$B$6="Inputs accepted",IF(AND(ISNUMBER('Results'!B7),ISNUMBER('Results'!C7),ISNUMBER('Results'!$B$8),ISNUMBER('Results'!$B$9),ISNUMBER('Inputs'!$B$6),ISNUMBER('Inputs'!$B$7),ISNUMBER('Inputs'!$B$8),ISNUMBER('Inputs'!$B$9),ISNUMBER('Inputs'!$B$10),ISNUMBER('Inputs'!$B$21),ISNUMBER('Inputs'!$B$24),ISNUMBER('Inputs'!$B$28)),(('Results'!B7*(0.5*(((A94+'Inputs'!$B$21)+'Inputs'!$B$7)/SQRT(((A94+'Inputs'!$B$21)+'Inputs'!$B$7)^2+('Inputs'!$B$6/2)^2)-((A94+'Inputs'!$B$21))/SQRT(((A94+'Inputs'!$B$21))^2+('Inputs'!$B$6/2)^2)))-'Results'!C7*(0.5*(((A94+'Inputs'!$B$21+'Inputs'!$B$7+'Inputs'!$B$10)+'Inputs'!$B$9)/SQRT(((A94+'Inputs'!$B$21+'Inputs'!$B$7+'Inputs'!$B$10)+'Inputs'!$B$9)^2+('Inputs'!$B$8/2)^2)-((A94+'Inputs'!$B$21+'Inputs'!$B$7+'Inputs'!$B$10))/SQRT(((A94+'Inputs'!$B$21+'Inputs'!$B$7+'Inputs'!$B$10))^2+('Inputs'!$B$8/2)^2))))*'Results'!$B$8*'Results'!$B$9),""),"")</x:f>
        <x:v>6.202271504638365</x:v>
      </x:c>
      <x:c r="C94" s="18" t="n">
        <x:f>IF('Results'!$B$6="Inputs accepted",IF(AND(ISNUMBER('Results'!C7),ISNUMBER('Results'!B7),ISNUMBER('Results'!$B$8),ISNUMBER('Results'!$B$9),ISNUMBER('Inputs'!$B$6),ISNUMBER('Inputs'!$B$7),ISNUMBER('Inputs'!$B$8),ISNUMBER('Inputs'!$B$9),ISNUMBER('Inputs'!$B$10),ISNUMBER('Inputs'!$B$21),ISNUMBER('Inputs'!$B$24),ISNUMBER('Inputs'!$B$28)),(('Results'!C7*(0.5*(((A94+'Inputs'!$B$21)+'Inputs'!$B$9)/SQRT(((A94+'Inputs'!$B$21)+'Inputs'!$B$9)^2+('Inputs'!$B$8/2)^2)-((A94+'Inputs'!$B$21))/SQRT(((A94+'Inputs'!$B$21))^2+('Inputs'!$B$8/2)^2)))-'Results'!B7*(0.5*(((A94+'Inputs'!$B$21+'Inputs'!$B$9+'Inputs'!$B$10)+'Inputs'!$B$7)/SQRT(((A94+'Inputs'!$B$21+'Inputs'!$B$9+'Inputs'!$B$10)+'Inputs'!$B$7)^2+('Inputs'!$B$6/2)^2)-((A94+'Inputs'!$B$21+'Inputs'!$B$9+'Inputs'!$B$10))/SQRT(((A94+'Inputs'!$B$21+'Inputs'!$B$9+'Inputs'!$B$10))^2+('Inputs'!$B$6/2)^2))))*'Results'!$B$8*'Results'!$B$9),""),"")</x:f>
        <x:v>5.8143393032040995</x:v>
      </x:c>
      <x:c r="D94" s="18" t="n">
        <x:f>IF('Results'!$B$6="Inputs accepted",'Results'!B12,"")</x:f>
        <x:v>112.38228018798189</x:v>
      </x:c>
      <x:c r="E94" s="18" t="n">
        <x:f>IF('Results'!$B$6="Inputs accepted",'Results'!C12,"")</x:f>
        <x:v>119.21786205905865</x:v>
      </x:c>
      <x:c r="F94" s="18" t="n">
        <x:f>IF('Results'!$B$6="Inputs accepted",'Results'!B14,"")</x:f>
        <x:v>66.9055158034782</x:v>
      </x:c>
      <x:c r="G94" s="18" t="n">
        <x:f>IF('Results'!$B$6="Inputs accepted",'Results'!C14,"")</x:f>
        <x:v>70.64020731289524</x:v>
      </x:c>
      <x:c r="H94" s="2"/>
      <x:c r="I94" s="2"/>
      <x:c r="J94" s="2"/>
      <x:c r="K94" s="2"/>
      <x:c r="L94" s="2"/>
    </x:row>
    <x:row r="95" ht="22" customHeight="1">
      <x:c r="A95" s="18" t="n">
        <x:f>(95-5)*'Inputs'!$B$33/200</x:f>
        <x:v>18</x:v>
      </x:c>
      <x:c r="B95" s="18" t="n">
        <x:f>IF('Results'!$B$6="Inputs accepted",IF(AND(ISNUMBER('Results'!B7),ISNUMBER('Results'!C7),ISNUMBER('Results'!$B$8),ISNUMBER('Results'!$B$9),ISNUMBER('Inputs'!$B$6),ISNUMBER('Inputs'!$B$7),ISNUMBER('Inputs'!$B$8),ISNUMBER('Inputs'!$B$9),ISNUMBER('Inputs'!$B$10),ISNUMBER('Inputs'!$B$21),ISNUMBER('Inputs'!$B$24),ISNUMBER('Inputs'!$B$28)),(('Results'!B7*(0.5*(((A95+'Inputs'!$B$21)+'Inputs'!$B$7)/SQRT(((A95+'Inputs'!$B$21)+'Inputs'!$B$7)^2+('Inputs'!$B$6/2)^2)-((A95+'Inputs'!$B$21))/SQRT(((A95+'Inputs'!$B$21))^2+('Inputs'!$B$6/2)^2)))-'Results'!C7*(0.5*(((A95+'Inputs'!$B$21+'Inputs'!$B$7+'Inputs'!$B$10)+'Inputs'!$B$9)/SQRT(((A95+'Inputs'!$B$21+'Inputs'!$B$7+'Inputs'!$B$10)+'Inputs'!$B$9)^2+('Inputs'!$B$8/2)^2)-((A95+'Inputs'!$B$21+'Inputs'!$B$7+'Inputs'!$B$10))/SQRT(((A95+'Inputs'!$B$21+'Inputs'!$B$7+'Inputs'!$B$10))^2+('Inputs'!$B$8/2)^2))))*'Results'!$B$8*'Results'!$B$9),""),"")</x:f>
        <x:v>5.973738099624114</x:v>
      </x:c>
      <x:c r="C95" s="18" t="n">
        <x:f>IF('Results'!$B$6="Inputs accepted",IF(AND(ISNUMBER('Results'!C7),ISNUMBER('Results'!B7),ISNUMBER('Results'!$B$8),ISNUMBER('Results'!$B$9),ISNUMBER('Inputs'!$B$6),ISNUMBER('Inputs'!$B$7),ISNUMBER('Inputs'!$B$8),ISNUMBER('Inputs'!$B$9),ISNUMBER('Inputs'!$B$10),ISNUMBER('Inputs'!$B$21),ISNUMBER('Inputs'!$B$24),ISNUMBER('Inputs'!$B$28)),(('Results'!C7*(0.5*(((A95+'Inputs'!$B$21)+'Inputs'!$B$9)/SQRT(((A95+'Inputs'!$B$21)+'Inputs'!$B$9)^2+('Inputs'!$B$8/2)^2)-((A95+'Inputs'!$B$21))/SQRT(((A95+'Inputs'!$B$21))^2+('Inputs'!$B$8/2)^2)))-'Results'!B7*(0.5*(((A95+'Inputs'!$B$21+'Inputs'!$B$9+'Inputs'!$B$10)+'Inputs'!$B$7)/SQRT(((A95+'Inputs'!$B$21+'Inputs'!$B$9+'Inputs'!$B$10)+'Inputs'!$B$7)^2+('Inputs'!$B$6/2)^2)-((A95+'Inputs'!$B$21+'Inputs'!$B$9+'Inputs'!$B$10))/SQRT(((A95+'Inputs'!$B$21+'Inputs'!$B$9+'Inputs'!$B$10))^2+('Inputs'!$B$6/2)^2))))*'Results'!$B$8*'Results'!$B$9),""),"")</x:f>
        <x:v>5.59697897460519</x:v>
      </x:c>
      <x:c r="D95" s="18" t="n">
        <x:f>IF('Results'!$B$6="Inputs accepted",'Results'!B12,"")</x:f>
        <x:v>112.38228018798189</x:v>
      </x:c>
      <x:c r="E95" s="18" t="n">
        <x:f>IF('Results'!$B$6="Inputs accepted",'Results'!C12,"")</x:f>
        <x:v>119.21786205905865</x:v>
      </x:c>
      <x:c r="F95" s="18" t="n">
        <x:f>IF('Results'!$B$6="Inputs accepted",'Results'!B14,"")</x:f>
        <x:v>66.9055158034782</x:v>
      </x:c>
      <x:c r="G95" s="18" t="n">
        <x:f>IF('Results'!$B$6="Inputs accepted",'Results'!C14,"")</x:f>
        <x:v>70.64020731289524</x:v>
      </x:c>
      <x:c r="H95" s="2"/>
      <x:c r="I95" s="2"/>
      <x:c r="J95" s="2"/>
      <x:c r="K95" s="2"/>
      <x:c r="L95" s="2"/>
    </x:row>
    <x:row r="96" ht="22" customHeight="1">
      <x:c r="A96" s="18" t="n">
        <x:f>(96-5)*'Inputs'!$B$33/200</x:f>
        <x:v>18.2</x:v>
      </x:c>
      <x:c r="B96" s="18" t="n">
        <x:f>IF('Results'!$B$6="Inputs accepted",IF(AND(ISNUMBER('Results'!B7),ISNUMBER('Results'!C7),ISNUMBER('Results'!$B$8),ISNUMBER('Results'!$B$9),ISNUMBER('Inputs'!$B$6),ISNUMBER('Inputs'!$B$7),ISNUMBER('Inputs'!$B$8),ISNUMBER('Inputs'!$B$9),ISNUMBER('Inputs'!$B$10),ISNUMBER('Inputs'!$B$21),ISNUMBER('Inputs'!$B$24),ISNUMBER('Inputs'!$B$28)),(('Results'!B7*(0.5*(((A96+'Inputs'!$B$21)+'Inputs'!$B$7)/SQRT(((A96+'Inputs'!$B$21)+'Inputs'!$B$7)^2+('Inputs'!$B$6/2)^2)-((A96+'Inputs'!$B$21))/SQRT(((A96+'Inputs'!$B$21))^2+('Inputs'!$B$6/2)^2)))-'Results'!C7*(0.5*(((A96+'Inputs'!$B$21+'Inputs'!$B$7+'Inputs'!$B$10)+'Inputs'!$B$9)/SQRT(((A96+'Inputs'!$B$21+'Inputs'!$B$7+'Inputs'!$B$10)+'Inputs'!$B$9)^2+('Inputs'!$B$8/2)^2)-((A96+'Inputs'!$B$21+'Inputs'!$B$7+'Inputs'!$B$10))/SQRT(((A96+'Inputs'!$B$21+'Inputs'!$B$7+'Inputs'!$B$10))^2+('Inputs'!$B$8/2)^2))))*'Results'!$B$8*'Results'!$B$9),""),"")</x:f>
        <x:v>5.755641093969301</x:v>
      </x:c>
      <x:c r="C96" s="18" t="n">
        <x:f>IF('Results'!$B$6="Inputs accepted",IF(AND(ISNUMBER('Results'!C7),ISNUMBER('Results'!B7),ISNUMBER('Results'!$B$8),ISNUMBER('Results'!$B$9),ISNUMBER('Inputs'!$B$6),ISNUMBER('Inputs'!$B$7),ISNUMBER('Inputs'!$B$8),ISNUMBER('Inputs'!$B$9),ISNUMBER('Inputs'!$B$10),ISNUMBER('Inputs'!$B$21),ISNUMBER('Inputs'!$B$24),ISNUMBER('Inputs'!$B$28)),(('Results'!C7*(0.5*(((A96+'Inputs'!$B$21)+'Inputs'!$B$9)/SQRT(((A96+'Inputs'!$B$21)+'Inputs'!$B$9)^2+('Inputs'!$B$8/2)^2)-((A96+'Inputs'!$B$21))/SQRT(((A96+'Inputs'!$B$21))^2+('Inputs'!$B$8/2)^2)))-'Results'!B7*(0.5*(((A96+'Inputs'!$B$21+'Inputs'!$B$9+'Inputs'!$B$10)+'Inputs'!$B$7)/SQRT(((A96+'Inputs'!$B$21+'Inputs'!$B$9+'Inputs'!$B$10)+'Inputs'!$B$7)^2+('Inputs'!$B$6/2)^2)-((A96+'Inputs'!$B$21+'Inputs'!$B$9+'Inputs'!$B$10))/SQRT(((A96+'Inputs'!$B$21+'Inputs'!$B$9+'Inputs'!$B$10))^2+('Inputs'!$B$6/2)^2))))*'Results'!$B$8*'Results'!$B$9),""),"")</x:f>
        <x:v>5.389628790187994</x:v>
      </x:c>
      <x:c r="D96" s="18" t="n">
        <x:f>IF('Results'!$B$6="Inputs accepted",'Results'!B12,"")</x:f>
        <x:v>112.38228018798189</x:v>
      </x:c>
      <x:c r="E96" s="18" t="n">
        <x:f>IF('Results'!$B$6="Inputs accepted",'Results'!C12,"")</x:f>
        <x:v>119.21786205905865</x:v>
      </x:c>
      <x:c r="F96" s="18" t="n">
        <x:f>IF('Results'!$B$6="Inputs accepted",'Results'!B14,"")</x:f>
        <x:v>66.9055158034782</x:v>
      </x:c>
      <x:c r="G96" s="18" t="n">
        <x:f>IF('Results'!$B$6="Inputs accepted",'Results'!C14,"")</x:f>
        <x:v>70.64020731289524</x:v>
      </x:c>
      <x:c r="H96" s="2"/>
      <x:c r="I96" s="2"/>
      <x:c r="J96" s="2"/>
      <x:c r="K96" s="2"/>
      <x:c r="L96" s="2"/>
    </x:row>
    <x:row r="97" ht="22" customHeight="1">
      <x:c r="A97" s="18" t="n">
        <x:f>(97-5)*'Inputs'!$B$33/200</x:f>
        <x:v>18.4</x:v>
      </x:c>
      <x:c r="B97" s="18" t="n">
        <x:f>IF('Results'!$B$6="Inputs accepted",IF(AND(ISNUMBER('Results'!B7),ISNUMBER('Results'!C7),ISNUMBER('Results'!$B$8),ISNUMBER('Results'!$B$9),ISNUMBER('Inputs'!$B$6),ISNUMBER('Inputs'!$B$7),ISNUMBER('Inputs'!$B$8),ISNUMBER('Inputs'!$B$9),ISNUMBER('Inputs'!$B$10),ISNUMBER('Inputs'!$B$21),ISNUMBER('Inputs'!$B$24),ISNUMBER('Inputs'!$B$28)),(('Results'!B7*(0.5*(((A97+'Inputs'!$B$21)+'Inputs'!$B$7)/SQRT(((A97+'Inputs'!$B$21)+'Inputs'!$B$7)^2+('Inputs'!$B$6/2)^2)-((A97+'Inputs'!$B$21))/SQRT(((A97+'Inputs'!$B$21))^2+('Inputs'!$B$6/2)^2)))-'Results'!C7*(0.5*(((A97+'Inputs'!$B$21+'Inputs'!$B$7+'Inputs'!$B$10)+'Inputs'!$B$9)/SQRT(((A97+'Inputs'!$B$21+'Inputs'!$B$7+'Inputs'!$B$10)+'Inputs'!$B$9)^2+('Inputs'!$B$8/2)^2)-((A97+'Inputs'!$B$21+'Inputs'!$B$7+'Inputs'!$B$10))/SQRT(((A97+'Inputs'!$B$21+'Inputs'!$B$7+'Inputs'!$B$10))^2+('Inputs'!$B$8/2)^2))))*'Results'!$B$8*'Results'!$B$9),""),"")</x:f>
        <x:v>5.547414359231188</x:v>
      </x:c>
      <x:c r="C97" s="18" t="n">
        <x:f>IF('Results'!$B$6="Inputs accepted",IF(AND(ISNUMBER('Results'!C7),ISNUMBER('Results'!B7),ISNUMBER('Results'!$B$8),ISNUMBER('Results'!$B$9),ISNUMBER('Inputs'!$B$6),ISNUMBER('Inputs'!$B$7),ISNUMBER('Inputs'!$B$8),ISNUMBER('Inputs'!$B$9),ISNUMBER('Inputs'!$B$10),ISNUMBER('Inputs'!$B$21),ISNUMBER('Inputs'!$B$24),ISNUMBER('Inputs'!$B$28)),(('Results'!C7*(0.5*(((A97+'Inputs'!$B$21)+'Inputs'!$B$9)/SQRT(((A97+'Inputs'!$B$21)+'Inputs'!$B$9)^2+('Inputs'!$B$8/2)^2)-((A97+'Inputs'!$B$21))/SQRT(((A97+'Inputs'!$B$21))^2+('Inputs'!$B$8/2)^2)))-'Results'!B7*(0.5*(((A97+'Inputs'!$B$21+'Inputs'!$B$9+'Inputs'!$B$10)+'Inputs'!$B$7)/SQRT(((A97+'Inputs'!$B$21+'Inputs'!$B$9+'Inputs'!$B$10)+'Inputs'!$B$7)^2+('Inputs'!$B$6/2)^2)-((A97+'Inputs'!$B$21+'Inputs'!$B$9+'Inputs'!$B$10))/SQRT(((A97+'Inputs'!$B$21+'Inputs'!$B$9+'Inputs'!$B$10))^2+('Inputs'!$B$6/2)^2))))*'Results'!$B$8*'Results'!$B$9),""),"")</x:f>
        <x:v>5.191742792493233</x:v>
      </x:c>
      <x:c r="D97" s="18" t="n">
        <x:f>IF('Results'!$B$6="Inputs accepted",'Results'!B12,"")</x:f>
        <x:v>112.38228018798189</x:v>
      </x:c>
      <x:c r="E97" s="18" t="n">
        <x:f>IF('Results'!$B$6="Inputs accepted",'Results'!C12,"")</x:f>
        <x:v>119.21786205905865</x:v>
      </x:c>
      <x:c r="F97" s="18" t="n">
        <x:f>IF('Results'!$B$6="Inputs accepted",'Results'!B14,"")</x:f>
        <x:v>66.9055158034782</x:v>
      </x:c>
      <x:c r="G97" s="18" t="n">
        <x:f>IF('Results'!$B$6="Inputs accepted",'Results'!C14,"")</x:f>
        <x:v>70.64020731289524</x:v>
      </x:c>
      <x:c r="H97" s="2"/>
      <x:c r="I97" s="2"/>
      <x:c r="J97" s="2"/>
      <x:c r="K97" s="2"/>
      <x:c r="L97" s="2"/>
    </x:row>
    <x:row r="98" ht="22" customHeight="1">
      <x:c r="A98" s="18" t="n">
        <x:f>(98-5)*'Inputs'!$B$33/200</x:f>
        <x:v>18.6</x:v>
      </x:c>
      <x:c r="B98" s="18" t="n">
        <x:f>IF('Results'!$B$6="Inputs accepted",IF(AND(ISNUMBER('Results'!B7),ISNUMBER('Results'!C7),ISNUMBER('Results'!$B$8),ISNUMBER('Results'!$B$9),ISNUMBER('Inputs'!$B$6),ISNUMBER('Inputs'!$B$7),ISNUMBER('Inputs'!$B$8),ISNUMBER('Inputs'!$B$9),ISNUMBER('Inputs'!$B$10),ISNUMBER('Inputs'!$B$21),ISNUMBER('Inputs'!$B$24),ISNUMBER('Inputs'!$B$28)),(('Results'!B7*(0.5*(((A98+'Inputs'!$B$21)+'Inputs'!$B$7)/SQRT(((A98+'Inputs'!$B$21)+'Inputs'!$B$7)^2+('Inputs'!$B$6/2)^2)-((A98+'Inputs'!$B$21))/SQRT(((A98+'Inputs'!$B$21))^2+('Inputs'!$B$6/2)^2)))-'Results'!C7*(0.5*(((A98+'Inputs'!$B$21+'Inputs'!$B$7+'Inputs'!$B$10)+'Inputs'!$B$9)/SQRT(((A98+'Inputs'!$B$21+'Inputs'!$B$7+'Inputs'!$B$10)+'Inputs'!$B$9)^2+('Inputs'!$B$8/2)^2)-((A98+'Inputs'!$B$21+'Inputs'!$B$7+'Inputs'!$B$10))/SQRT(((A98+'Inputs'!$B$21+'Inputs'!$B$7+'Inputs'!$B$10))^2+('Inputs'!$B$8/2)^2))))*'Results'!$B$8*'Results'!$B$9),""),"")</x:f>
        <x:v>5.348527202371885</x:v>
      </x:c>
      <x:c r="C98" s="18" t="n">
        <x:f>IF('Results'!$B$6="Inputs accepted",IF(AND(ISNUMBER('Results'!C7),ISNUMBER('Results'!B7),ISNUMBER('Results'!$B$8),ISNUMBER('Results'!$B$9),ISNUMBER('Inputs'!$B$6),ISNUMBER('Inputs'!$B$7),ISNUMBER('Inputs'!$B$8),ISNUMBER('Inputs'!$B$9),ISNUMBER('Inputs'!$B$10),ISNUMBER('Inputs'!$B$21),ISNUMBER('Inputs'!$B$24),ISNUMBER('Inputs'!$B$28)),(('Results'!C7*(0.5*(((A98+'Inputs'!$B$21)+'Inputs'!$B$9)/SQRT(((A98+'Inputs'!$B$21)+'Inputs'!$B$9)^2+('Inputs'!$B$8/2)^2)-((A98+'Inputs'!$B$21))/SQRT(((A98+'Inputs'!$B$21))^2+('Inputs'!$B$8/2)^2)))-'Results'!B7*(0.5*(((A98+'Inputs'!$B$21+'Inputs'!$B$9+'Inputs'!$B$10)+'Inputs'!$B$7)/SQRT(((A98+'Inputs'!$B$21+'Inputs'!$B$9+'Inputs'!$B$10)+'Inputs'!$B$7)^2+('Inputs'!$B$6/2)^2)-((A98+'Inputs'!$B$21+'Inputs'!$B$9+'Inputs'!$B$10))/SQRT(((A98+'Inputs'!$B$21+'Inputs'!$B$9+'Inputs'!$B$10))^2+('Inputs'!$B$6/2)^2))))*'Results'!$B$8*'Results'!$B$9),""),"")</x:f>
        <x:v>5.00280932411747</x:v>
      </x:c>
      <x:c r="D98" s="18" t="n">
        <x:f>IF('Results'!$B$6="Inputs accepted",'Results'!B12,"")</x:f>
        <x:v>112.38228018798189</x:v>
      </x:c>
      <x:c r="E98" s="18" t="n">
        <x:f>IF('Results'!$B$6="Inputs accepted",'Results'!C12,"")</x:f>
        <x:v>119.21786205905865</x:v>
      </x:c>
      <x:c r="F98" s="18" t="n">
        <x:f>IF('Results'!$B$6="Inputs accepted",'Results'!B14,"")</x:f>
        <x:v>66.9055158034782</x:v>
      </x:c>
      <x:c r="G98" s="18" t="n">
        <x:f>IF('Results'!$B$6="Inputs accepted",'Results'!C14,"")</x:f>
        <x:v>70.64020731289524</x:v>
      </x:c>
      <x:c r="H98" s="2"/>
      <x:c r="I98" s="2"/>
      <x:c r="J98" s="2"/>
      <x:c r="K98" s="2"/>
      <x:c r="L98" s="2"/>
    </x:row>
    <x:row r="99" ht="22" customHeight="1">
      <x:c r="A99" s="18" t="n">
        <x:f>(99-5)*'Inputs'!$B$33/200</x:f>
        <x:v>18.8</x:v>
      </x:c>
      <x:c r="B99" s="18" t="n">
        <x:f>IF('Results'!$B$6="Inputs accepted",IF(AND(ISNUMBER('Results'!B7),ISNUMBER('Results'!C7),ISNUMBER('Results'!$B$8),ISNUMBER('Results'!$B$9),ISNUMBER('Inputs'!$B$6),ISNUMBER('Inputs'!$B$7),ISNUMBER('Inputs'!$B$8),ISNUMBER('Inputs'!$B$9),ISNUMBER('Inputs'!$B$10),ISNUMBER('Inputs'!$B$21),ISNUMBER('Inputs'!$B$24),ISNUMBER('Inputs'!$B$28)),(('Results'!B7*(0.5*(((A99+'Inputs'!$B$21)+'Inputs'!$B$7)/SQRT(((A99+'Inputs'!$B$21)+'Inputs'!$B$7)^2+('Inputs'!$B$6/2)^2)-((A99+'Inputs'!$B$21))/SQRT(((A99+'Inputs'!$B$21))^2+('Inputs'!$B$6/2)^2)))-'Results'!C7*(0.5*(((A99+'Inputs'!$B$21+'Inputs'!$B$7+'Inputs'!$B$10)+'Inputs'!$B$9)/SQRT(((A99+'Inputs'!$B$21+'Inputs'!$B$7+'Inputs'!$B$10)+'Inputs'!$B$9)^2+('Inputs'!$B$8/2)^2)-((A99+'Inputs'!$B$21+'Inputs'!$B$7+'Inputs'!$B$10))/SQRT(((A99+'Inputs'!$B$21+'Inputs'!$B$7+'Inputs'!$B$10))^2+('Inputs'!$B$8/2)^2))))*'Results'!$B$8*'Results'!$B$9),""),"")</x:f>
        <x:v>5.158481860188452</x:v>
      </x:c>
      <x:c r="C99" s="18" t="n">
        <x:f>IF('Results'!$B$6="Inputs accepted",IF(AND(ISNUMBER('Results'!C7),ISNUMBER('Results'!B7),ISNUMBER('Results'!$B$8),ISNUMBER('Results'!$B$9),ISNUMBER('Inputs'!$B$6),ISNUMBER('Inputs'!$B$7),ISNUMBER('Inputs'!$B$8),ISNUMBER('Inputs'!$B$9),ISNUMBER('Inputs'!$B$10),ISNUMBER('Inputs'!$B$21),ISNUMBER('Inputs'!$B$24),ISNUMBER('Inputs'!$B$28)),(('Results'!C7*(0.5*(((A99+'Inputs'!$B$21)+'Inputs'!$B$9)/SQRT(((A99+'Inputs'!$B$21)+'Inputs'!$B$9)^2+('Inputs'!$B$8/2)^2)-((A99+'Inputs'!$B$21))/SQRT(((A99+'Inputs'!$B$21))^2+('Inputs'!$B$8/2)^2)))-'Results'!B7*(0.5*(((A99+'Inputs'!$B$21+'Inputs'!$B$9+'Inputs'!$B$10)+'Inputs'!$B$7)/SQRT(((A99+'Inputs'!$B$21+'Inputs'!$B$9+'Inputs'!$B$10)+'Inputs'!$B$7)^2+('Inputs'!$B$6/2)^2)-((A99+'Inputs'!$B$21+'Inputs'!$B$9+'Inputs'!$B$10))/SQRT(((A99+'Inputs'!$B$21+'Inputs'!$B$9+'Inputs'!$B$10))^2+('Inputs'!$B$6/2)^2))))*'Results'!$B$8*'Results'!$B$9),""),"")</x:f>
        <x:v>4.822348595962713</x:v>
      </x:c>
      <x:c r="D99" s="18" t="n">
        <x:f>IF('Results'!$B$6="Inputs accepted",'Results'!B12,"")</x:f>
        <x:v>112.38228018798189</x:v>
      </x:c>
      <x:c r="E99" s="18" t="n">
        <x:f>IF('Results'!$B$6="Inputs accepted",'Results'!C12,"")</x:f>
        <x:v>119.21786205905865</x:v>
      </x:c>
      <x:c r="F99" s="18" t="n">
        <x:f>IF('Results'!$B$6="Inputs accepted",'Results'!B14,"")</x:f>
        <x:v>66.9055158034782</x:v>
      </x:c>
      <x:c r="G99" s="18" t="n">
        <x:f>IF('Results'!$B$6="Inputs accepted",'Results'!C14,"")</x:f>
        <x:v>70.64020731289524</x:v>
      </x:c>
      <x:c r="H99" s="2"/>
      <x:c r="I99" s="2"/>
      <x:c r="J99" s="2"/>
      <x:c r="K99" s="2"/>
      <x:c r="L99" s="2"/>
    </x:row>
    <x:row r="100" ht="22" customHeight="1">
      <x:c r="A100" s="18" t="n">
        <x:f>(100-5)*'Inputs'!$B$33/200</x:f>
        <x:v>19</x:v>
      </x:c>
      <x:c r="B100" s="18" t="n">
        <x:f>IF('Results'!$B$6="Inputs accepted",IF(AND(ISNUMBER('Results'!B7),ISNUMBER('Results'!C7),ISNUMBER('Results'!$B$8),ISNUMBER('Results'!$B$9),ISNUMBER('Inputs'!$B$6),ISNUMBER('Inputs'!$B$7),ISNUMBER('Inputs'!$B$8),ISNUMBER('Inputs'!$B$9),ISNUMBER('Inputs'!$B$10),ISNUMBER('Inputs'!$B$21),ISNUMBER('Inputs'!$B$24),ISNUMBER('Inputs'!$B$28)),(('Results'!B7*(0.5*(((A100+'Inputs'!$B$21)+'Inputs'!$B$7)/SQRT(((A100+'Inputs'!$B$21)+'Inputs'!$B$7)^2+('Inputs'!$B$6/2)^2)-((A100+'Inputs'!$B$21))/SQRT(((A100+'Inputs'!$B$21))^2+('Inputs'!$B$6/2)^2)))-'Results'!C7*(0.5*(((A100+'Inputs'!$B$21+'Inputs'!$B$7+'Inputs'!$B$10)+'Inputs'!$B$9)/SQRT(((A100+'Inputs'!$B$21+'Inputs'!$B$7+'Inputs'!$B$10)+'Inputs'!$B$9)^2+('Inputs'!$B$8/2)^2)-((A100+'Inputs'!$B$21+'Inputs'!$B$7+'Inputs'!$B$10))/SQRT(((A100+'Inputs'!$B$21+'Inputs'!$B$7+'Inputs'!$B$10))^2+('Inputs'!$B$8/2)^2))))*'Results'!$B$8*'Results'!$B$9),""),"")</x:f>
        <x:v>4.9768111906294985</x:v>
      </x:c>
      <x:c r="C100" s="18" t="n">
        <x:f>IF('Results'!$B$6="Inputs accepted",IF(AND(ISNUMBER('Results'!C7),ISNUMBER('Results'!B7),ISNUMBER('Results'!$B$8),ISNUMBER('Results'!$B$9),ISNUMBER('Inputs'!$B$6),ISNUMBER('Inputs'!$B$7),ISNUMBER('Inputs'!$B$8),ISNUMBER('Inputs'!$B$9),ISNUMBER('Inputs'!$B$10),ISNUMBER('Inputs'!$B$21),ISNUMBER('Inputs'!$B$24),ISNUMBER('Inputs'!$B$28)),(('Results'!C7*(0.5*(((A100+'Inputs'!$B$21)+'Inputs'!$B$9)/SQRT(((A100+'Inputs'!$B$21)+'Inputs'!$B$9)^2+('Inputs'!$B$8/2)^2)-((A100+'Inputs'!$B$21))/SQRT(((A100+'Inputs'!$B$21))^2+('Inputs'!$B$8/2)^2)))-'Results'!B7*(0.5*(((A100+'Inputs'!$B$21+'Inputs'!$B$9+'Inputs'!$B$10)+'Inputs'!$B$7)/SQRT(((A100+'Inputs'!$B$21+'Inputs'!$B$9+'Inputs'!$B$10)+'Inputs'!$B$7)^2+('Inputs'!$B$6/2)^2)-((A100+'Inputs'!$B$21+'Inputs'!$B$9+'Inputs'!$B$10))/SQRT(((A100+'Inputs'!$B$21+'Inputs'!$B$9+'Inputs'!$B$10))^2+('Inputs'!$B$6/2)^2))))*'Results'!$B$8*'Results'!$B$9),""),"")</x:f>
        <x:v>4.6499104469470005</x:v>
      </x:c>
      <x:c r="D100" s="18" t="n">
        <x:f>IF('Results'!$B$6="Inputs accepted",'Results'!B12,"")</x:f>
        <x:v>112.38228018798189</x:v>
      </x:c>
      <x:c r="E100" s="18" t="n">
        <x:f>IF('Results'!$B$6="Inputs accepted",'Results'!C12,"")</x:f>
        <x:v>119.21786205905865</x:v>
      </x:c>
      <x:c r="F100" s="18" t="n">
        <x:f>IF('Results'!$B$6="Inputs accepted",'Results'!B14,"")</x:f>
        <x:v>66.9055158034782</x:v>
      </x:c>
      <x:c r="G100" s="18" t="n">
        <x:f>IF('Results'!$B$6="Inputs accepted",'Results'!C14,"")</x:f>
        <x:v>70.64020731289524</x:v>
      </x:c>
      <x:c r="H100" s="2"/>
      <x:c r="I100" s="2"/>
      <x:c r="J100" s="2"/>
      <x:c r="K100" s="2"/>
      <x:c r="L100" s="2"/>
    </x:row>
    <x:row r="101" ht="22" customHeight="1">
      <x:c r="A101" s="18" t="n">
        <x:f>(101-5)*'Inputs'!$B$33/200</x:f>
        <x:v>19.2</x:v>
      </x:c>
      <x:c r="B101" s="18" t="n">
        <x:f>IF('Results'!$B$6="Inputs accepted",IF(AND(ISNUMBER('Results'!B7),ISNUMBER('Results'!C7),ISNUMBER('Results'!$B$8),ISNUMBER('Results'!$B$9),ISNUMBER('Inputs'!$B$6),ISNUMBER('Inputs'!$B$7),ISNUMBER('Inputs'!$B$8),ISNUMBER('Inputs'!$B$9),ISNUMBER('Inputs'!$B$10),ISNUMBER('Inputs'!$B$21),ISNUMBER('Inputs'!$B$24),ISNUMBER('Inputs'!$B$28)),(('Results'!B7*(0.5*(((A101+'Inputs'!$B$21)+'Inputs'!$B$7)/SQRT(((A101+'Inputs'!$B$21)+'Inputs'!$B$7)^2+('Inputs'!$B$6/2)^2)-((A101+'Inputs'!$B$21))/SQRT(((A101+'Inputs'!$B$21))^2+('Inputs'!$B$6/2)^2)))-'Results'!C7*(0.5*(((A101+'Inputs'!$B$21+'Inputs'!$B$7+'Inputs'!$B$10)+'Inputs'!$B$9)/SQRT(((A101+'Inputs'!$B$21+'Inputs'!$B$7+'Inputs'!$B$10)+'Inputs'!$B$9)^2+('Inputs'!$B$8/2)^2)-((A101+'Inputs'!$B$21+'Inputs'!$B$7+'Inputs'!$B$10))/SQRT(((A101+'Inputs'!$B$21+'Inputs'!$B$7+'Inputs'!$B$10))^2+('Inputs'!$B$8/2)^2))))*'Results'!$B$8*'Results'!$B$9),""),"")</x:f>
        <x:v>4.803076544070394</x:v>
      </x:c>
      <x:c r="C101" s="18" t="n">
        <x:f>IF('Results'!$B$6="Inputs accepted",IF(AND(ISNUMBER('Results'!C7),ISNUMBER('Results'!B7),ISNUMBER('Results'!$B$8),ISNUMBER('Results'!$B$9),ISNUMBER('Inputs'!$B$6),ISNUMBER('Inputs'!$B$7),ISNUMBER('Inputs'!$B$8),ISNUMBER('Inputs'!$B$9),ISNUMBER('Inputs'!$B$10),ISNUMBER('Inputs'!$B$21),ISNUMBER('Inputs'!$B$24),ISNUMBER('Inputs'!$B$28)),(('Results'!C7*(0.5*(((A101+'Inputs'!$B$21)+'Inputs'!$B$9)/SQRT(((A101+'Inputs'!$B$21)+'Inputs'!$B$9)^2+('Inputs'!$B$8/2)^2)-((A101+'Inputs'!$B$21))/SQRT(((A101+'Inputs'!$B$21))^2+('Inputs'!$B$8/2)^2)))-'Results'!B7*(0.5*(((A101+'Inputs'!$B$21+'Inputs'!$B$9+'Inputs'!$B$10)+'Inputs'!$B$7)/SQRT(((A101+'Inputs'!$B$21+'Inputs'!$B$9+'Inputs'!$B$10)+'Inputs'!$B$7)^2+('Inputs'!$B$6/2)^2)-((A101+'Inputs'!$B$21+'Inputs'!$B$9+'Inputs'!$B$10))/SQRT(((A101+'Inputs'!$B$21+'Inputs'!$B$9+'Inputs'!$B$10))^2+('Inputs'!$B$6/2)^2))))*'Results'!$B$8*'Results'!$B$9),""),"")</x:f>
        <x:v>4.485072278691279</x:v>
      </x:c>
      <x:c r="D101" s="18" t="n">
        <x:f>IF('Results'!$B$6="Inputs accepted",'Results'!B12,"")</x:f>
        <x:v>112.38228018798189</x:v>
      </x:c>
      <x:c r="E101" s="18" t="n">
        <x:f>IF('Results'!$B$6="Inputs accepted",'Results'!C12,"")</x:f>
        <x:v>119.21786205905865</x:v>
      </x:c>
      <x:c r="F101" s="18" t="n">
        <x:f>IF('Results'!$B$6="Inputs accepted",'Results'!B14,"")</x:f>
        <x:v>66.9055158034782</x:v>
      </x:c>
      <x:c r="G101" s="18" t="n">
        <x:f>IF('Results'!$B$6="Inputs accepted",'Results'!C14,"")</x:f>
        <x:v>70.64020731289524</x:v>
      </x:c>
      <x:c r="H101" s="2"/>
      <x:c r="I101" s="2"/>
      <x:c r="J101" s="2"/>
      <x:c r="K101" s="2"/>
      <x:c r="L101" s="2"/>
    </x:row>
    <x:row r="102" ht="22" customHeight="1">
      <x:c r="A102" s="18" t="n">
        <x:f>(102-5)*'Inputs'!$B$33/200</x:f>
        <x:v>19.4</x:v>
      </x:c>
      <x:c r="B102" s="18" t="n">
        <x:f>IF('Results'!$B$6="Inputs accepted",IF(AND(ISNUMBER('Results'!B7),ISNUMBER('Results'!C7),ISNUMBER('Results'!$B$8),ISNUMBER('Results'!$B$9),ISNUMBER('Inputs'!$B$6),ISNUMBER('Inputs'!$B$7),ISNUMBER('Inputs'!$B$8),ISNUMBER('Inputs'!$B$9),ISNUMBER('Inputs'!$B$10),ISNUMBER('Inputs'!$B$21),ISNUMBER('Inputs'!$B$24),ISNUMBER('Inputs'!$B$28)),(('Results'!B7*(0.5*(((A102+'Inputs'!$B$21)+'Inputs'!$B$7)/SQRT(((A102+'Inputs'!$B$21)+'Inputs'!$B$7)^2+('Inputs'!$B$6/2)^2)-((A102+'Inputs'!$B$21))/SQRT(((A102+'Inputs'!$B$21))^2+('Inputs'!$B$6/2)^2)))-'Results'!C7*(0.5*(((A102+'Inputs'!$B$21+'Inputs'!$B$7+'Inputs'!$B$10)+'Inputs'!$B$9)/SQRT(((A102+'Inputs'!$B$21+'Inputs'!$B$7+'Inputs'!$B$10)+'Inputs'!$B$9)^2+('Inputs'!$B$8/2)^2)-((A102+'Inputs'!$B$21+'Inputs'!$B$7+'Inputs'!$B$10))/SQRT(((A102+'Inputs'!$B$21+'Inputs'!$B$7+'Inputs'!$B$10))^2+('Inputs'!$B$8/2)^2))))*'Results'!$B$8*'Results'!$B$9),""),"")</x:f>
        <x:v>4.636865799108362</x:v>
      </x:c>
      <x:c r="C102" s="18" t="n">
        <x:f>IF('Results'!$B$6="Inputs accepted",IF(AND(ISNUMBER('Results'!C7),ISNUMBER('Results'!B7),ISNUMBER('Results'!$B$8),ISNUMBER('Results'!$B$9),ISNUMBER('Inputs'!$B$6),ISNUMBER('Inputs'!$B$7),ISNUMBER('Inputs'!$B$8),ISNUMBER('Inputs'!$B$9),ISNUMBER('Inputs'!$B$10),ISNUMBER('Inputs'!$B$21),ISNUMBER('Inputs'!$B$24),ISNUMBER('Inputs'!$B$28)),(('Results'!C7*(0.5*(((A102+'Inputs'!$B$21)+'Inputs'!$B$9)/SQRT(((A102+'Inputs'!$B$21)+'Inputs'!$B$9)^2+('Inputs'!$B$8/2)^2)-((A102+'Inputs'!$B$21))/SQRT(((A102+'Inputs'!$B$21))^2+('Inputs'!$B$8/2)^2)))-'Results'!B7*(0.5*(((A102+'Inputs'!$B$21+'Inputs'!$B$9+'Inputs'!$B$10)+'Inputs'!$B$7)/SQRT(((A102+'Inputs'!$B$21+'Inputs'!$B$9+'Inputs'!$B$10)+'Inputs'!$B$7)^2+('Inputs'!$B$6/2)^2)-((A102+'Inputs'!$B$21+'Inputs'!$B$9+'Inputs'!$B$10))/SQRT(((A102+'Inputs'!$B$21+'Inputs'!$B$9+'Inputs'!$B$10))^2+('Inputs'!$B$6/2)^2))))*'Results'!$B$8*'Results'!$B$9),""),"")</x:f>
        <x:v>4.327437150147295</x:v>
      </x:c>
      <x:c r="D102" s="18" t="n">
        <x:f>IF('Results'!$B$6="Inputs accepted",'Results'!B12,"")</x:f>
        <x:v>112.38228018798189</x:v>
      </x:c>
      <x:c r="E102" s="18" t="n">
        <x:f>IF('Results'!$B$6="Inputs accepted",'Results'!C12,"")</x:f>
        <x:v>119.21786205905865</x:v>
      </x:c>
      <x:c r="F102" s="18" t="n">
        <x:f>IF('Results'!$B$6="Inputs accepted",'Results'!B14,"")</x:f>
        <x:v>66.9055158034782</x:v>
      </x:c>
      <x:c r="G102" s="18" t="n">
        <x:f>IF('Results'!$B$6="Inputs accepted",'Results'!C14,"")</x:f>
        <x:v>70.64020731289524</x:v>
      </x:c>
      <x:c r="H102" s="2"/>
      <x:c r="I102" s="2"/>
      <x:c r="J102" s="2"/>
      <x:c r="K102" s="2"/>
      <x:c r="L102" s="2"/>
    </x:row>
    <x:row r="103" ht="22" customHeight="1">
      <x:c r="A103" s="18" t="n">
        <x:f>(103-5)*'Inputs'!$B$33/200</x:f>
        <x:v>19.6</x:v>
      </x:c>
      <x:c r="B103" s="18" t="n">
        <x:f>IF('Results'!$B$6="Inputs accepted",IF(AND(ISNUMBER('Results'!B7),ISNUMBER('Results'!C7),ISNUMBER('Results'!$B$8),ISNUMBER('Results'!$B$9),ISNUMBER('Inputs'!$B$6),ISNUMBER('Inputs'!$B$7),ISNUMBER('Inputs'!$B$8),ISNUMBER('Inputs'!$B$9),ISNUMBER('Inputs'!$B$10),ISNUMBER('Inputs'!$B$21),ISNUMBER('Inputs'!$B$24),ISNUMBER('Inputs'!$B$28)),(('Results'!B7*(0.5*(((A103+'Inputs'!$B$21)+'Inputs'!$B$7)/SQRT(((A103+'Inputs'!$B$21)+'Inputs'!$B$7)^2+('Inputs'!$B$6/2)^2)-((A103+'Inputs'!$B$21))/SQRT(((A103+'Inputs'!$B$21))^2+('Inputs'!$B$6/2)^2)))-'Results'!C7*(0.5*(((A103+'Inputs'!$B$21+'Inputs'!$B$7+'Inputs'!$B$10)+'Inputs'!$B$9)/SQRT(((A103+'Inputs'!$B$21+'Inputs'!$B$7+'Inputs'!$B$10)+'Inputs'!$B$9)^2+('Inputs'!$B$8/2)^2)-((A103+'Inputs'!$B$21+'Inputs'!$B$7+'Inputs'!$B$10))/SQRT(((A103+'Inputs'!$B$21+'Inputs'!$B$7+'Inputs'!$B$10))^2+('Inputs'!$B$8/2)^2))))*'Results'!$B$8*'Results'!$B$9),""),"")</x:f>
        <x:v>4.477791548964003</x:v>
      </x:c>
      <x:c r="C103" s="18" t="n">
        <x:f>IF('Results'!$B$6="Inputs accepted",IF(AND(ISNUMBER('Results'!C7),ISNUMBER('Results'!B7),ISNUMBER('Results'!$B$8),ISNUMBER('Results'!$B$9),ISNUMBER('Inputs'!$B$6),ISNUMBER('Inputs'!$B$7),ISNUMBER('Inputs'!$B$8),ISNUMBER('Inputs'!$B$9),ISNUMBER('Inputs'!$B$10),ISNUMBER('Inputs'!$B$21),ISNUMBER('Inputs'!$B$24),ISNUMBER('Inputs'!$B$28)),(('Results'!C7*(0.5*(((A103+'Inputs'!$B$21)+'Inputs'!$B$9)/SQRT(((A103+'Inputs'!$B$21)+'Inputs'!$B$9)^2+('Inputs'!$B$8/2)^2)-((A103+'Inputs'!$B$21))/SQRT(((A103+'Inputs'!$B$21))^2+('Inputs'!$B$8/2)^2)))-'Results'!B7*(0.5*(((A103+'Inputs'!$B$21+'Inputs'!$B$9+'Inputs'!$B$10)+'Inputs'!$B$7)/SQRT(((A103+'Inputs'!$B$21+'Inputs'!$B$9+'Inputs'!$B$10)+'Inputs'!$B$7)^2+('Inputs'!$B$6/2)^2)-((A103+'Inputs'!$B$21+'Inputs'!$B$9+'Inputs'!$B$10))/SQRT(((A103+'Inputs'!$B$21+'Inputs'!$B$9+'Inputs'!$B$10))^2+('Inputs'!$B$6/2)^2))))*'Results'!$B$8*'Results'!$B$9),""),"")</x:f>
        <x:v>4.17663201862085</x:v>
      </x:c>
      <x:c r="D103" s="18" t="n">
        <x:f>IF('Results'!$B$6="Inputs accepted",'Results'!B12,"")</x:f>
        <x:v>112.38228018798189</x:v>
      </x:c>
      <x:c r="E103" s="18" t="n">
        <x:f>IF('Results'!$B$6="Inputs accepted",'Results'!C12,"")</x:f>
        <x:v>119.21786205905865</x:v>
      </x:c>
      <x:c r="F103" s="18" t="n">
        <x:f>IF('Results'!$B$6="Inputs accepted",'Results'!B14,"")</x:f>
        <x:v>66.9055158034782</x:v>
      </x:c>
      <x:c r="G103" s="18" t="n">
        <x:f>IF('Results'!$B$6="Inputs accepted",'Results'!C14,"")</x:f>
        <x:v>70.64020731289524</x:v>
      </x:c>
      <x:c r="H103" s="2"/>
      <x:c r="I103" s="2"/>
      <x:c r="J103" s="2"/>
      <x:c r="K103" s="2"/>
      <x:c r="L103" s="2"/>
    </x:row>
    <x:row r="104" ht="22" customHeight="1">
      <x:c r="A104" s="18" t="n">
        <x:f>(104-5)*'Inputs'!$B$33/200</x:f>
        <x:v>19.8</x:v>
      </x:c>
      <x:c r="B104" s="18" t="n">
        <x:f>IF('Results'!$B$6="Inputs accepted",IF(AND(ISNUMBER('Results'!B7),ISNUMBER('Results'!C7),ISNUMBER('Results'!$B$8),ISNUMBER('Results'!$B$9),ISNUMBER('Inputs'!$B$6),ISNUMBER('Inputs'!$B$7),ISNUMBER('Inputs'!$B$8),ISNUMBER('Inputs'!$B$9),ISNUMBER('Inputs'!$B$10),ISNUMBER('Inputs'!$B$21),ISNUMBER('Inputs'!$B$24),ISNUMBER('Inputs'!$B$28)),(('Results'!B7*(0.5*(((A104+'Inputs'!$B$21)+'Inputs'!$B$7)/SQRT(((A104+'Inputs'!$B$21)+'Inputs'!$B$7)^2+('Inputs'!$B$6/2)^2)-((A104+'Inputs'!$B$21))/SQRT(((A104+'Inputs'!$B$21))^2+('Inputs'!$B$6/2)^2)))-'Results'!C7*(0.5*(((A104+'Inputs'!$B$21+'Inputs'!$B$7+'Inputs'!$B$10)+'Inputs'!$B$9)/SQRT(((A104+'Inputs'!$B$21+'Inputs'!$B$7+'Inputs'!$B$10)+'Inputs'!$B$9)^2+('Inputs'!$B$8/2)^2)-((A104+'Inputs'!$B$21+'Inputs'!$B$7+'Inputs'!$B$10))/SQRT(((A104+'Inputs'!$B$21+'Inputs'!$B$7+'Inputs'!$B$10))^2+('Inputs'!$B$8/2)^2))))*'Results'!$B$8*'Results'!$B$9),""),"")</x:f>
        <x:v>4.325489425762281</x:v>
      </x:c>
      <x:c r="C104" s="18" t="n">
        <x:f>IF('Results'!$B$6="Inputs accepted",IF(AND(ISNUMBER('Results'!C7),ISNUMBER('Results'!B7),ISNUMBER('Results'!$B$8),ISNUMBER('Results'!$B$9),ISNUMBER('Inputs'!$B$6),ISNUMBER('Inputs'!$B$7),ISNUMBER('Inputs'!$B$8),ISNUMBER('Inputs'!$B$9),ISNUMBER('Inputs'!$B$10),ISNUMBER('Inputs'!$B$21),ISNUMBER('Inputs'!$B$24),ISNUMBER('Inputs'!$B$28)),(('Results'!C7*(0.5*(((A104+'Inputs'!$B$21)+'Inputs'!$B$9)/SQRT(((A104+'Inputs'!$B$21)+'Inputs'!$B$9)^2+('Inputs'!$B$8/2)^2)-((A104+'Inputs'!$B$21))/SQRT(((A104+'Inputs'!$B$21))^2+('Inputs'!$B$8/2)^2)))-'Results'!B7*(0.5*(((A104+'Inputs'!$B$21+'Inputs'!$B$9+'Inputs'!$B$10)+'Inputs'!$B$7)/SQRT(((A104+'Inputs'!$B$21+'Inputs'!$B$9+'Inputs'!$B$10)+'Inputs'!$B$7)^2+('Inputs'!$B$6/2)^2)-((A104+'Inputs'!$B$21+'Inputs'!$B$9+'Inputs'!$B$10))/SQRT(((A104+'Inputs'!$B$21+'Inputs'!$B$9+'Inputs'!$B$10))^2+('Inputs'!$B$6/2)^2))))*'Results'!$B$8*'Results'!$B$9),""),"")</x:f>
        <x:v>4.032306114799076</x:v>
      </x:c>
      <x:c r="D104" s="18" t="n">
        <x:f>IF('Results'!$B$6="Inputs accepted",'Results'!B12,"")</x:f>
        <x:v>112.38228018798189</x:v>
      </x:c>
      <x:c r="E104" s="18" t="n">
        <x:f>IF('Results'!$B$6="Inputs accepted",'Results'!C12,"")</x:f>
        <x:v>119.21786205905865</x:v>
      </x:c>
      <x:c r="F104" s="18" t="n">
        <x:f>IF('Results'!$B$6="Inputs accepted",'Results'!B14,"")</x:f>
        <x:v>66.9055158034782</x:v>
      </x:c>
      <x:c r="G104" s="18" t="n">
        <x:f>IF('Results'!$B$6="Inputs accepted",'Results'!C14,"")</x:f>
        <x:v>70.64020731289524</x:v>
      </x:c>
      <x:c r="H104" s="2"/>
      <x:c r="I104" s="2"/>
      <x:c r="J104" s="2"/>
      <x:c r="K104" s="2"/>
      <x:c r="L104" s="2"/>
    </x:row>
    <x:row r="105" ht="22" customHeight="1">
      <x:c r="A105" s="18" t="n">
        <x:f>(105-5)*'Inputs'!$B$33/200</x:f>
        <x:v>20</x:v>
      </x:c>
      <x:c r="B105" s="18" t="n">
        <x:f>IF('Results'!$B$6="Inputs accepted",IF(AND(ISNUMBER('Results'!B7),ISNUMBER('Results'!C7),ISNUMBER('Results'!$B$8),ISNUMBER('Results'!$B$9),ISNUMBER('Inputs'!$B$6),ISNUMBER('Inputs'!$B$7),ISNUMBER('Inputs'!$B$8),ISNUMBER('Inputs'!$B$9),ISNUMBER('Inputs'!$B$10),ISNUMBER('Inputs'!$B$21),ISNUMBER('Inputs'!$B$24),ISNUMBER('Inputs'!$B$28)),(('Results'!B7*(0.5*(((A105+'Inputs'!$B$21)+'Inputs'!$B$7)/SQRT(((A105+'Inputs'!$B$21)+'Inputs'!$B$7)^2+('Inputs'!$B$6/2)^2)-((A105+'Inputs'!$B$21))/SQRT(((A105+'Inputs'!$B$21))^2+('Inputs'!$B$6/2)^2)))-'Results'!C7*(0.5*(((A105+'Inputs'!$B$21+'Inputs'!$B$7+'Inputs'!$B$10)+'Inputs'!$B$9)/SQRT(((A105+'Inputs'!$B$21+'Inputs'!$B$7+'Inputs'!$B$10)+'Inputs'!$B$9)^2+('Inputs'!$B$8/2)^2)-((A105+'Inputs'!$B$21+'Inputs'!$B$7+'Inputs'!$B$10))/SQRT(((A105+'Inputs'!$B$21+'Inputs'!$B$7+'Inputs'!$B$10))^2+('Inputs'!$B$8/2)^2))))*'Results'!$B$8*'Results'!$B$9),""),"")</x:f>
        <x:v>4.179616551237702</x:v>
      </x:c>
      <x:c r="C105" s="18" t="n">
        <x:f>IF('Results'!$B$6="Inputs accepted",IF(AND(ISNUMBER('Results'!C7),ISNUMBER('Results'!B7),ISNUMBER('Results'!$B$8),ISNUMBER('Results'!$B$9),ISNUMBER('Inputs'!$B$6),ISNUMBER('Inputs'!$B$7),ISNUMBER('Inputs'!$B$8),ISNUMBER('Inputs'!$B$9),ISNUMBER('Inputs'!$B$10),ISNUMBER('Inputs'!$B$21),ISNUMBER('Inputs'!$B$24),ISNUMBER('Inputs'!$B$28)),(('Results'!C7*(0.5*(((A105+'Inputs'!$B$21)+'Inputs'!$B$9)/SQRT(((A105+'Inputs'!$B$21)+'Inputs'!$B$9)^2+('Inputs'!$B$8/2)^2)-((A105+'Inputs'!$B$21))/SQRT(((A105+'Inputs'!$B$21))^2+('Inputs'!$B$8/2)^2)))-'Results'!B7*(0.5*(((A105+'Inputs'!$B$21+'Inputs'!$B$9+'Inputs'!$B$10)+'Inputs'!$B$7)/SQRT(((A105+'Inputs'!$B$21+'Inputs'!$B$9+'Inputs'!$B$10)+'Inputs'!$B$7)^2+('Inputs'!$B$6/2)^2)-((A105+'Inputs'!$B$21+'Inputs'!$B$9+'Inputs'!$B$10))/SQRT(((A105+'Inputs'!$B$21+'Inputs'!$B$9+'Inputs'!$B$10))^2+('Inputs'!$B$6/2)^2))))*'Results'!$B$8*'Results'!$B$9),""),"")</x:f>
        <x:v>3.8941294406316254</x:v>
      </x:c>
      <x:c r="D105" s="18" t="n">
        <x:f>IF('Results'!$B$6="Inputs accepted",'Results'!B12,"")</x:f>
        <x:v>112.38228018798189</x:v>
      </x:c>
      <x:c r="E105" s="18" t="n">
        <x:f>IF('Results'!$B$6="Inputs accepted",'Results'!C12,"")</x:f>
        <x:v>119.21786205905865</x:v>
      </x:c>
      <x:c r="F105" s="18" t="n">
        <x:f>IF('Results'!$B$6="Inputs accepted",'Results'!B14,"")</x:f>
        <x:v>66.9055158034782</x:v>
      </x:c>
      <x:c r="G105" s="18" t="n">
        <x:f>IF('Results'!$B$6="Inputs accepted",'Results'!C14,"")</x:f>
        <x:v>70.64020731289524</x:v>
      </x:c>
      <x:c r="H105" s="2"/>
      <x:c r="I105" s="2"/>
      <x:c r="J105" s="2"/>
      <x:c r="K105" s="2"/>
      <x:c r="L105" s="2"/>
    </x:row>
    <x:row r="106" ht="22" customHeight="1">
      <x:c r="A106" s="18" t="n">
        <x:f>(106-5)*'Inputs'!$B$33/200</x:f>
        <x:v>20.2</x:v>
      </x:c>
      <x:c r="B106" s="18" t="n">
        <x:f>IF('Results'!$B$6="Inputs accepted",IF(AND(ISNUMBER('Results'!B7),ISNUMBER('Results'!C7),ISNUMBER('Results'!$B$8),ISNUMBER('Results'!$B$9),ISNUMBER('Inputs'!$B$6),ISNUMBER('Inputs'!$B$7),ISNUMBER('Inputs'!$B$8),ISNUMBER('Inputs'!$B$9),ISNUMBER('Inputs'!$B$10),ISNUMBER('Inputs'!$B$21),ISNUMBER('Inputs'!$B$24),ISNUMBER('Inputs'!$B$28)),(('Results'!B7*(0.5*(((A106+'Inputs'!$B$21)+'Inputs'!$B$7)/SQRT(((A106+'Inputs'!$B$21)+'Inputs'!$B$7)^2+('Inputs'!$B$6/2)^2)-((A106+'Inputs'!$B$21))/SQRT(((A106+'Inputs'!$B$21))^2+('Inputs'!$B$6/2)^2)))-'Results'!C7*(0.5*(((A106+'Inputs'!$B$21+'Inputs'!$B$7+'Inputs'!$B$10)+'Inputs'!$B$9)/SQRT(((A106+'Inputs'!$B$21+'Inputs'!$B$7+'Inputs'!$B$10)+'Inputs'!$B$9)^2+('Inputs'!$B$8/2)^2)-((A106+'Inputs'!$B$21+'Inputs'!$B$7+'Inputs'!$B$10))/SQRT(((A106+'Inputs'!$B$21+'Inputs'!$B$7+'Inputs'!$B$10))^2+('Inputs'!$B$8/2)^2))))*'Results'!$B$8*'Results'!$B$9),""),"")</x:f>
        <x:v>4.039850103340775</x:v>
      </x:c>
      <x:c r="C106" s="18" t="n">
        <x:f>IF('Results'!$B$6="Inputs accepted",IF(AND(ISNUMBER('Results'!C7),ISNUMBER('Results'!B7),ISNUMBER('Results'!$B$8),ISNUMBER('Results'!$B$9),ISNUMBER('Inputs'!$B$6),ISNUMBER('Inputs'!$B$7),ISNUMBER('Inputs'!$B$8),ISNUMBER('Inputs'!$B$9),ISNUMBER('Inputs'!$B$10),ISNUMBER('Inputs'!$B$21),ISNUMBER('Inputs'!$B$24),ISNUMBER('Inputs'!$B$28)),(('Results'!C7*(0.5*(((A106+'Inputs'!$B$21)+'Inputs'!$B$9)/SQRT(((A106+'Inputs'!$B$21)+'Inputs'!$B$9)^2+('Inputs'!$B$8/2)^2)-((A106+'Inputs'!$B$21))/SQRT(((A106+'Inputs'!$B$21))^2+('Inputs'!$B$8/2)^2)))-'Results'!B7*(0.5*(((A106+'Inputs'!$B$21+'Inputs'!$B$9+'Inputs'!$B$10)+'Inputs'!$B$7)/SQRT(((A106+'Inputs'!$B$21+'Inputs'!$B$9+'Inputs'!$B$10)+'Inputs'!$B$7)^2+('Inputs'!$B$6/2)^2)-((A106+'Inputs'!$B$21+'Inputs'!$B$9+'Inputs'!$B$10))/SQRT(((A106+'Inputs'!$B$21+'Inputs'!$B$9+'Inputs'!$B$10))^2+('Inputs'!$B$6/2)^2))))*'Results'!$B$8*'Results'!$B$9),""),"")</x:f>
        <x:v>3.761791379823517</x:v>
      </x:c>
      <x:c r="D106" s="18" t="n">
        <x:f>IF('Results'!$B$6="Inputs accepted",'Results'!B12,"")</x:f>
        <x:v>112.38228018798189</x:v>
      </x:c>
      <x:c r="E106" s="18" t="n">
        <x:f>IF('Results'!$B$6="Inputs accepted",'Results'!C12,"")</x:f>
        <x:v>119.21786205905865</x:v>
      </x:c>
      <x:c r="F106" s="18" t="n">
        <x:f>IF('Results'!$B$6="Inputs accepted",'Results'!B14,"")</x:f>
        <x:v>66.9055158034782</x:v>
      </x:c>
      <x:c r="G106" s="18" t="n">
        <x:f>IF('Results'!$B$6="Inputs accepted",'Results'!C14,"")</x:f>
        <x:v>70.64020731289524</x:v>
      </x:c>
      <x:c r="H106" s="2"/>
      <x:c r="I106" s="2"/>
      <x:c r="J106" s="2"/>
      <x:c r="K106" s="2"/>
      <x:c r="L106" s="2"/>
    </x:row>
    <x:row r="107" ht="22" customHeight="1">
      <x:c r="A107" s="18" t="n">
        <x:f>(107-5)*'Inputs'!$B$33/200</x:f>
        <x:v>20.4</x:v>
      </x:c>
      <x:c r="B107" s="18" t="n">
        <x:f>IF('Results'!$B$6="Inputs accepted",IF(AND(ISNUMBER('Results'!B7),ISNUMBER('Results'!C7),ISNUMBER('Results'!$B$8),ISNUMBER('Results'!$B$9),ISNUMBER('Inputs'!$B$6),ISNUMBER('Inputs'!$B$7),ISNUMBER('Inputs'!$B$8),ISNUMBER('Inputs'!$B$9),ISNUMBER('Inputs'!$B$10),ISNUMBER('Inputs'!$B$21),ISNUMBER('Inputs'!$B$24),ISNUMBER('Inputs'!$B$28)),(('Results'!B7*(0.5*(((A107+'Inputs'!$B$21)+'Inputs'!$B$7)/SQRT(((A107+'Inputs'!$B$21)+'Inputs'!$B$7)^2+('Inputs'!$B$6/2)^2)-((A107+'Inputs'!$B$21))/SQRT(((A107+'Inputs'!$B$21))^2+('Inputs'!$B$6/2)^2)))-'Results'!C7*(0.5*(((A107+'Inputs'!$B$21+'Inputs'!$B$7+'Inputs'!$B$10)+'Inputs'!$B$9)/SQRT(((A107+'Inputs'!$B$21+'Inputs'!$B$7+'Inputs'!$B$10)+'Inputs'!$B$9)^2+('Inputs'!$B$8/2)^2)-((A107+'Inputs'!$B$21+'Inputs'!$B$7+'Inputs'!$B$10))/SQRT(((A107+'Inputs'!$B$21+'Inputs'!$B$7+'Inputs'!$B$10))^2+('Inputs'!$B$8/2)^2))))*'Results'!$B$8*'Results'!$B$9),""),"")</x:f>
        <x:v>3.905885989250415</x:v>
      </x:c>
      <x:c r="C107" s="18" t="n">
        <x:f>IF('Results'!$B$6="Inputs accepted",IF(AND(ISNUMBER('Results'!C7),ISNUMBER('Results'!B7),ISNUMBER('Results'!$B$8),ISNUMBER('Results'!$B$9),ISNUMBER('Inputs'!$B$6),ISNUMBER('Inputs'!$B$7),ISNUMBER('Inputs'!$B$8),ISNUMBER('Inputs'!$B$9),ISNUMBER('Inputs'!$B$10),ISNUMBER('Inputs'!$B$21),ISNUMBER('Inputs'!$B$24),ISNUMBER('Inputs'!$B$28)),(('Results'!C7*(0.5*(((A107+'Inputs'!$B$21)+'Inputs'!$B$9)/SQRT(((A107+'Inputs'!$B$21)+'Inputs'!$B$9)^2+('Inputs'!$B$8/2)^2)-((A107+'Inputs'!$B$21))/SQRT(((A107+'Inputs'!$B$21))^2+('Inputs'!$B$8/2)^2)))-'Results'!B7*(0.5*(((A107+'Inputs'!$B$21+'Inputs'!$B$9+'Inputs'!$B$10)+'Inputs'!$B$7)/SQRT(((A107+'Inputs'!$B$21+'Inputs'!$B$9+'Inputs'!$B$10)+'Inputs'!$B$7)^2+('Inputs'!$B$6/2)^2)-((A107+'Inputs'!$B$21+'Inputs'!$B$9+'Inputs'!$B$10))/SQRT(((A107+'Inputs'!$B$21+'Inputs'!$B$9+'Inputs'!$B$10))^2+('Inputs'!$B$6/2)^2))))*'Results'!$B$8*'Results'!$B$9),""),"")</x:f>
        <x:v>3.6349994116983364</x:v>
      </x:c>
      <x:c r="D107" s="18" t="n">
        <x:f>IF('Results'!$B$6="Inputs accepted",'Results'!B12,"")</x:f>
        <x:v>112.38228018798189</x:v>
      </x:c>
      <x:c r="E107" s="18" t="n">
        <x:f>IF('Results'!$B$6="Inputs accepted",'Results'!C12,"")</x:f>
        <x:v>119.21786205905865</x:v>
      </x:c>
      <x:c r="F107" s="18" t="n">
        <x:f>IF('Results'!$B$6="Inputs accepted",'Results'!B14,"")</x:f>
        <x:v>66.9055158034782</x:v>
      </x:c>
      <x:c r="G107" s="18" t="n">
        <x:f>IF('Results'!$B$6="Inputs accepted",'Results'!C14,"")</x:f>
        <x:v>70.64020731289524</x:v>
      </x:c>
      <x:c r="H107" s="2"/>
      <x:c r="I107" s="2"/>
      <x:c r="J107" s="2"/>
      <x:c r="K107" s="2"/>
      <x:c r="L107" s="2"/>
    </x:row>
    <x:row r="108" ht="22" customHeight="1">
      <x:c r="A108" s="18" t="n">
        <x:f>(108-5)*'Inputs'!$B$33/200</x:f>
        <x:v>20.6</x:v>
      </x:c>
      <x:c r="B108" s="18" t="n">
        <x:f>IF('Results'!$B$6="Inputs accepted",IF(AND(ISNUMBER('Results'!B7),ISNUMBER('Results'!C7),ISNUMBER('Results'!$B$8),ISNUMBER('Results'!$B$9),ISNUMBER('Inputs'!$B$6),ISNUMBER('Inputs'!$B$7),ISNUMBER('Inputs'!$B$8),ISNUMBER('Inputs'!$B$9),ISNUMBER('Inputs'!$B$10),ISNUMBER('Inputs'!$B$21),ISNUMBER('Inputs'!$B$24),ISNUMBER('Inputs'!$B$28)),(('Results'!B7*(0.5*(((A108+'Inputs'!$B$21)+'Inputs'!$B$7)/SQRT(((A108+'Inputs'!$B$21)+'Inputs'!$B$7)^2+('Inputs'!$B$6/2)^2)-((A108+'Inputs'!$B$21))/SQRT(((A108+'Inputs'!$B$21))^2+('Inputs'!$B$6/2)^2)))-'Results'!C7*(0.5*(((A108+'Inputs'!$B$21+'Inputs'!$B$7+'Inputs'!$B$10)+'Inputs'!$B$9)/SQRT(((A108+'Inputs'!$B$21+'Inputs'!$B$7+'Inputs'!$B$10)+'Inputs'!$B$9)^2+('Inputs'!$B$8/2)^2)-((A108+'Inputs'!$B$21+'Inputs'!$B$7+'Inputs'!$B$10))/SQRT(((A108+'Inputs'!$B$21+'Inputs'!$B$7+'Inputs'!$B$10))^2+('Inputs'!$B$8/2)^2))))*'Results'!$B$8*'Results'!$B$9),""),"")</x:f>
        <x:v>3.777437616092054</x:v>
      </x:c>
      <x:c r="C108" s="18" t="n">
        <x:f>IF('Results'!$B$6="Inputs accepted",IF(AND(ISNUMBER('Results'!C7),ISNUMBER('Results'!B7),ISNUMBER('Results'!$B$8),ISNUMBER('Results'!$B$9),ISNUMBER('Inputs'!$B$6),ISNUMBER('Inputs'!$B$7),ISNUMBER('Inputs'!$B$8),ISNUMBER('Inputs'!$B$9),ISNUMBER('Inputs'!$B$10),ISNUMBER('Inputs'!$B$21),ISNUMBER('Inputs'!$B$24),ISNUMBER('Inputs'!$B$28)),(('Results'!C7*(0.5*(((A108+'Inputs'!$B$21)+'Inputs'!$B$9)/SQRT(((A108+'Inputs'!$B$21)+'Inputs'!$B$9)^2+('Inputs'!$B$8/2)^2)-((A108+'Inputs'!$B$21))/SQRT(((A108+'Inputs'!$B$21))^2+('Inputs'!$B$8/2)^2)))-'Results'!B7*(0.5*(((A108+'Inputs'!$B$21+'Inputs'!$B$9+'Inputs'!$B$10)+'Inputs'!$B$7)/SQRT(((A108+'Inputs'!$B$21+'Inputs'!$B$9+'Inputs'!$B$10)+'Inputs'!$B$7)^2+('Inputs'!$B$6/2)^2)-((A108+'Inputs'!$B$21+'Inputs'!$B$9+'Inputs'!$B$10))/SQRT(((A108+'Inputs'!$B$21+'Inputs'!$B$9+'Inputs'!$B$10))^2+('Inputs'!$B$6/2)^2))))*'Results'!$B$8*'Results'!$B$9),""),"")</x:f>
        <x:v>3.5134779199665216</x:v>
      </x:c>
      <x:c r="D108" s="18" t="n">
        <x:f>IF('Results'!$B$6="Inputs accepted",'Results'!B12,"")</x:f>
        <x:v>112.38228018798189</x:v>
      </x:c>
      <x:c r="E108" s="18" t="n">
        <x:f>IF('Results'!$B$6="Inputs accepted",'Results'!C12,"")</x:f>
        <x:v>119.21786205905865</x:v>
      </x:c>
      <x:c r="F108" s="18" t="n">
        <x:f>IF('Results'!$B$6="Inputs accepted",'Results'!B14,"")</x:f>
        <x:v>66.9055158034782</x:v>
      </x:c>
      <x:c r="G108" s="18" t="n">
        <x:f>IF('Results'!$B$6="Inputs accepted",'Results'!C14,"")</x:f>
        <x:v>70.64020731289524</x:v>
      </x:c>
      <x:c r="H108" s="2"/>
      <x:c r="I108" s="2"/>
      <x:c r="J108" s="2"/>
      <x:c r="K108" s="2"/>
      <x:c r="L108" s="2"/>
    </x:row>
    <x:row r="109" ht="22" customHeight="1">
      <x:c r="A109" s="18" t="n">
        <x:f>(109-5)*'Inputs'!$B$33/200</x:f>
        <x:v>20.8</x:v>
      </x:c>
      <x:c r="B109" s="18" t="n">
        <x:f>IF('Results'!$B$6="Inputs accepted",IF(AND(ISNUMBER('Results'!B7),ISNUMBER('Results'!C7),ISNUMBER('Results'!$B$8),ISNUMBER('Results'!$B$9),ISNUMBER('Inputs'!$B$6),ISNUMBER('Inputs'!$B$7),ISNUMBER('Inputs'!$B$8),ISNUMBER('Inputs'!$B$9),ISNUMBER('Inputs'!$B$10),ISNUMBER('Inputs'!$B$21),ISNUMBER('Inputs'!$B$24),ISNUMBER('Inputs'!$B$28)),(('Results'!B7*(0.5*(((A109+'Inputs'!$B$21)+'Inputs'!$B$7)/SQRT(((A109+'Inputs'!$B$21)+'Inputs'!$B$7)^2+('Inputs'!$B$6/2)^2)-((A109+'Inputs'!$B$21))/SQRT(((A109+'Inputs'!$B$21))^2+('Inputs'!$B$6/2)^2)))-'Results'!C7*(0.5*(((A109+'Inputs'!$B$21+'Inputs'!$B$7+'Inputs'!$B$10)+'Inputs'!$B$9)/SQRT(((A109+'Inputs'!$B$21+'Inputs'!$B$7+'Inputs'!$B$10)+'Inputs'!$B$9)^2+('Inputs'!$B$8/2)^2)-((A109+'Inputs'!$B$21+'Inputs'!$B$7+'Inputs'!$B$10))/SQRT(((A109+'Inputs'!$B$21+'Inputs'!$B$7+'Inputs'!$B$10))^2+('Inputs'!$B$8/2)^2))))*'Results'!$B$8*'Results'!$B$9),""),"")</x:f>
        <x:v>3.654234751494669</x:v>
      </x:c>
      <x:c r="C109" s="18" t="n">
        <x:f>IF('Results'!$B$6="Inputs accepted",IF(AND(ISNUMBER('Results'!C7),ISNUMBER('Results'!B7),ISNUMBER('Results'!$B$8),ISNUMBER('Results'!$B$9),ISNUMBER('Inputs'!$B$6),ISNUMBER('Inputs'!$B$7),ISNUMBER('Inputs'!$B$8),ISNUMBER('Inputs'!$B$9),ISNUMBER('Inputs'!$B$10),ISNUMBER('Inputs'!$B$21),ISNUMBER('Inputs'!$B$24),ISNUMBER('Inputs'!$B$28)),(('Results'!C7*(0.5*(((A109+'Inputs'!$B$21)+'Inputs'!$B$9)/SQRT(((A109+'Inputs'!$B$21)+'Inputs'!$B$9)^2+('Inputs'!$B$8/2)^2)-((A109+'Inputs'!$B$21))/SQRT(((A109+'Inputs'!$B$21))^2+('Inputs'!$B$8/2)^2)))-'Results'!B7*(0.5*(((A109+'Inputs'!$B$21+'Inputs'!$B$9+'Inputs'!$B$10)+'Inputs'!$B$7)/SQRT(((A109+'Inputs'!$B$21+'Inputs'!$B$9+'Inputs'!$B$10)+'Inputs'!$B$7)^2+('Inputs'!$B$6/2)^2)-((A109+'Inputs'!$B$21+'Inputs'!$B$9+'Inputs'!$B$10))/SQRT(((A109+'Inputs'!$B$21+'Inputs'!$B$9+'Inputs'!$B$10))^2+('Inputs'!$B$6/2)^2))))*'Results'!$B$8*'Results'!$B$9),""),"")</x:f>
        <x:v>3.3969670887449124</x:v>
      </x:c>
      <x:c r="D109" s="18" t="n">
        <x:f>IF('Results'!$B$6="Inputs accepted",'Results'!B12,"")</x:f>
        <x:v>112.38228018798189</x:v>
      </x:c>
      <x:c r="E109" s="18" t="n">
        <x:f>IF('Results'!$B$6="Inputs accepted",'Results'!C12,"")</x:f>
        <x:v>119.21786205905865</x:v>
      </x:c>
      <x:c r="F109" s="18" t="n">
        <x:f>IF('Results'!$B$6="Inputs accepted",'Results'!B14,"")</x:f>
        <x:v>66.9055158034782</x:v>
      </x:c>
      <x:c r="G109" s="18" t="n">
        <x:f>IF('Results'!$B$6="Inputs accepted",'Results'!C14,"")</x:f>
        <x:v>70.64020731289524</x:v>
      </x:c>
      <x:c r="H109" s="2"/>
      <x:c r="I109" s="2"/>
      <x:c r="J109" s="2"/>
      <x:c r="K109" s="2"/>
      <x:c r="L109" s="2"/>
    </x:row>
    <x:row r="110" ht="22" customHeight="1">
      <x:c r="A110" s="18" t="n">
        <x:f>(110-5)*'Inputs'!$B$33/200</x:f>
        <x:v>21</x:v>
      </x:c>
      <x:c r="B110" s="18" t="n">
        <x:f>IF('Results'!$B$6="Inputs accepted",IF(AND(ISNUMBER('Results'!B7),ISNUMBER('Results'!C7),ISNUMBER('Results'!$B$8),ISNUMBER('Results'!$B$9),ISNUMBER('Inputs'!$B$6),ISNUMBER('Inputs'!$B$7),ISNUMBER('Inputs'!$B$8),ISNUMBER('Inputs'!$B$9),ISNUMBER('Inputs'!$B$10),ISNUMBER('Inputs'!$B$21),ISNUMBER('Inputs'!$B$24),ISNUMBER('Inputs'!$B$28)),(('Results'!B7*(0.5*(((A110+'Inputs'!$B$21)+'Inputs'!$B$7)/SQRT(((A110+'Inputs'!$B$21)+'Inputs'!$B$7)^2+('Inputs'!$B$6/2)^2)-((A110+'Inputs'!$B$21))/SQRT(((A110+'Inputs'!$B$21))^2+('Inputs'!$B$6/2)^2)))-'Results'!C7*(0.5*(((A110+'Inputs'!$B$21+'Inputs'!$B$7+'Inputs'!$B$10)+'Inputs'!$B$9)/SQRT(((A110+'Inputs'!$B$21+'Inputs'!$B$7+'Inputs'!$B$10)+'Inputs'!$B$9)^2+('Inputs'!$B$8/2)^2)-((A110+'Inputs'!$B$21+'Inputs'!$B$7+'Inputs'!$B$10))/SQRT(((A110+'Inputs'!$B$21+'Inputs'!$B$7+'Inputs'!$B$10))^2+('Inputs'!$B$8/2)^2))))*'Results'!$B$8*'Results'!$B$9),""),"")</x:f>
        <x:v>3.5360224667136753</x:v>
      </x:c>
      <x:c r="C110" s="18" t="n">
        <x:f>IF('Results'!$B$6="Inputs accepted",IF(AND(ISNUMBER('Results'!C7),ISNUMBER('Results'!B7),ISNUMBER('Results'!$B$8),ISNUMBER('Results'!$B$9),ISNUMBER('Inputs'!$B$6),ISNUMBER('Inputs'!$B$7),ISNUMBER('Inputs'!$B$8),ISNUMBER('Inputs'!$B$9),ISNUMBER('Inputs'!$B$10),ISNUMBER('Inputs'!$B$21),ISNUMBER('Inputs'!$B$24),ISNUMBER('Inputs'!$B$28)),(('Results'!C7*(0.5*(((A110+'Inputs'!$B$21)+'Inputs'!$B$9)/SQRT(((A110+'Inputs'!$B$21)+'Inputs'!$B$9)^2+('Inputs'!$B$8/2)^2)-((A110+'Inputs'!$B$21))/SQRT(((A110+'Inputs'!$B$21))^2+('Inputs'!$B$8/2)^2)))-'Results'!B7*(0.5*(((A110+'Inputs'!$B$21+'Inputs'!$B$9+'Inputs'!$B$10)+'Inputs'!$B$7)/SQRT(((A110+'Inputs'!$B$21+'Inputs'!$B$9+'Inputs'!$B$10)+'Inputs'!$B$7)^2+('Inputs'!$B$6/2)^2)-((A110+'Inputs'!$B$21+'Inputs'!$B$9+'Inputs'!$B$10))/SQRT(((A110+'Inputs'!$B$21+'Inputs'!$B$9+'Inputs'!$B$10))^2+('Inputs'!$B$6/2)^2))))*'Results'!$B$8*'Results'!$B$9),""),"")</x:f>
        <x:v>3.2852218787509337</x:v>
      </x:c>
      <x:c r="D110" s="18" t="n">
        <x:f>IF('Results'!$B$6="Inputs accepted",'Results'!B12,"")</x:f>
        <x:v>112.38228018798189</x:v>
      </x:c>
      <x:c r="E110" s="18" t="n">
        <x:f>IF('Results'!$B$6="Inputs accepted",'Results'!C12,"")</x:f>
        <x:v>119.21786205905865</x:v>
      </x:c>
      <x:c r="F110" s="18" t="n">
        <x:f>IF('Results'!$B$6="Inputs accepted",'Results'!B14,"")</x:f>
        <x:v>66.9055158034782</x:v>
      </x:c>
      <x:c r="G110" s="18" t="n">
        <x:f>IF('Results'!$B$6="Inputs accepted",'Results'!C14,"")</x:f>
        <x:v>70.64020731289524</x:v>
      </x:c>
      <x:c r="H110" s="2"/>
      <x:c r="I110" s="2"/>
      <x:c r="J110" s="2"/>
      <x:c r="K110" s="2"/>
      <x:c r="L110" s="2"/>
    </x:row>
    <x:row r="111" ht="22" customHeight="1">
      <x:c r="A111" s="18" t="n">
        <x:f>(111-5)*'Inputs'!$B$33/200</x:f>
        <x:v>21.2</x:v>
      </x:c>
      <x:c r="B111" s="18" t="n">
        <x:f>IF('Results'!$B$6="Inputs accepted",IF(AND(ISNUMBER('Results'!B7),ISNUMBER('Results'!C7),ISNUMBER('Results'!$B$8),ISNUMBER('Results'!$B$9),ISNUMBER('Inputs'!$B$6),ISNUMBER('Inputs'!$B$7),ISNUMBER('Inputs'!$B$8),ISNUMBER('Inputs'!$B$9),ISNUMBER('Inputs'!$B$10),ISNUMBER('Inputs'!$B$21),ISNUMBER('Inputs'!$B$24),ISNUMBER('Inputs'!$B$28)),(('Results'!B7*(0.5*(((A111+'Inputs'!$B$21)+'Inputs'!$B$7)/SQRT(((A111+'Inputs'!$B$21)+'Inputs'!$B$7)^2+('Inputs'!$B$6/2)^2)-((A111+'Inputs'!$B$21))/SQRT(((A111+'Inputs'!$B$21))^2+('Inputs'!$B$6/2)^2)))-'Results'!C7*(0.5*(((A111+'Inputs'!$B$21+'Inputs'!$B$7+'Inputs'!$B$10)+'Inputs'!$B$9)/SQRT(((A111+'Inputs'!$B$21+'Inputs'!$B$7+'Inputs'!$B$10)+'Inputs'!$B$9)^2+('Inputs'!$B$8/2)^2)-((A111+'Inputs'!$B$21+'Inputs'!$B$7+'Inputs'!$B$10))/SQRT(((A111+'Inputs'!$B$21+'Inputs'!$B$7+'Inputs'!$B$10))^2+('Inputs'!$B$8/2)^2))))*'Results'!$B$8*'Results'!$B$9),""),"")</x:f>
        <x:v>3.4225601557974095</x:v>
      </x:c>
      <x:c r="C111" s="18" t="n">
        <x:f>IF('Results'!$B$6="Inputs accepted",IF(AND(ISNUMBER('Results'!C7),ISNUMBER('Results'!B7),ISNUMBER('Results'!$B$8),ISNUMBER('Results'!$B$9),ISNUMBER('Inputs'!$B$6),ISNUMBER('Inputs'!$B$7),ISNUMBER('Inputs'!$B$8),ISNUMBER('Inputs'!$B$9),ISNUMBER('Inputs'!$B$10),ISNUMBER('Inputs'!$B$21),ISNUMBER('Inputs'!$B$24),ISNUMBER('Inputs'!$B$28)),(('Results'!C7*(0.5*(((A111+'Inputs'!$B$21)+'Inputs'!$B$9)/SQRT(((A111+'Inputs'!$B$21)+'Inputs'!$B$9)^2+('Inputs'!$B$8/2)^2)-((A111+'Inputs'!$B$21))/SQRT(((A111+'Inputs'!$B$21))^2+('Inputs'!$B$8/2)^2)))-'Results'!B7*(0.5*(((A111+'Inputs'!$B$21+'Inputs'!$B$9+'Inputs'!$B$10)+'Inputs'!$B$7)/SQRT(((A111+'Inputs'!$B$21+'Inputs'!$B$9+'Inputs'!$B$10)+'Inputs'!$B$7)^2+('Inputs'!$B$6/2)^2)-((A111+'Inputs'!$B$21+'Inputs'!$B$9+'Inputs'!$B$10))/SQRT(((A111+'Inputs'!$B$21+'Inputs'!$B$9+'Inputs'!$B$10))^2+('Inputs'!$B$6/2)^2))))*'Results'!$B$8*'Results'!$B$9),""),"")</x:f>
        <x:v>3.1780110773286845</x:v>
      </x:c>
      <x:c r="D111" s="18" t="n">
        <x:f>IF('Results'!$B$6="Inputs accepted",'Results'!B12,"")</x:f>
        <x:v>112.38228018798189</x:v>
      </x:c>
      <x:c r="E111" s="18" t="n">
        <x:f>IF('Results'!$B$6="Inputs accepted",'Results'!C12,"")</x:f>
        <x:v>119.21786205905865</x:v>
      </x:c>
      <x:c r="F111" s="18" t="n">
        <x:f>IF('Results'!$B$6="Inputs accepted",'Results'!B14,"")</x:f>
        <x:v>66.9055158034782</x:v>
      </x:c>
      <x:c r="G111" s="18" t="n">
        <x:f>IF('Results'!$B$6="Inputs accepted",'Results'!C14,"")</x:f>
        <x:v>70.64020731289524</x:v>
      </x:c>
      <x:c r="H111" s="2"/>
      <x:c r="I111" s="2"/>
      <x:c r="J111" s="2"/>
      <x:c r="K111" s="2"/>
      <x:c r="L111" s="2"/>
    </x:row>
    <x:row r="112" ht="22" customHeight="1">
      <x:c r="A112" s="18" t="n">
        <x:f>(112-5)*'Inputs'!$B$33/200</x:f>
        <x:v>21.4</x:v>
      </x:c>
      <x:c r="B112" s="18" t="n">
        <x:f>IF('Results'!$B$6="Inputs accepted",IF(AND(ISNUMBER('Results'!B7),ISNUMBER('Results'!C7),ISNUMBER('Results'!$B$8),ISNUMBER('Results'!$B$9),ISNUMBER('Inputs'!$B$6),ISNUMBER('Inputs'!$B$7),ISNUMBER('Inputs'!$B$8),ISNUMBER('Inputs'!$B$9),ISNUMBER('Inputs'!$B$10),ISNUMBER('Inputs'!$B$21),ISNUMBER('Inputs'!$B$24),ISNUMBER('Inputs'!$B$28)),(('Results'!B7*(0.5*(((A112+'Inputs'!$B$21)+'Inputs'!$B$7)/SQRT(((A112+'Inputs'!$B$21)+'Inputs'!$B$7)^2+('Inputs'!$B$6/2)^2)-((A112+'Inputs'!$B$21))/SQRT(((A112+'Inputs'!$B$21))^2+('Inputs'!$B$6/2)^2)))-'Results'!C7*(0.5*(((A112+'Inputs'!$B$21+'Inputs'!$B$7+'Inputs'!$B$10)+'Inputs'!$B$9)/SQRT(((A112+'Inputs'!$B$21+'Inputs'!$B$7+'Inputs'!$B$10)+'Inputs'!$B$9)^2+('Inputs'!$B$8/2)^2)-((A112+'Inputs'!$B$21+'Inputs'!$B$7+'Inputs'!$B$10))/SQRT(((A112+'Inputs'!$B$21+'Inputs'!$B$7+'Inputs'!$B$10))^2+('Inputs'!$B$8/2)^2))))*'Results'!$B$8*'Results'!$B$9),""),"")</x:f>
        <x:v>3.3136206247521574</x:v>
      </x:c>
      <x:c r="C112" s="18" t="n">
        <x:f>IF('Results'!$B$6="Inputs accepted",IF(AND(ISNUMBER('Results'!C7),ISNUMBER('Results'!B7),ISNUMBER('Results'!$B$8),ISNUMBER('Results'!$B$9),ISNUMBER('Inputs'!$B$6),ISNUMBER('Inputs'!$B$7),ISNUMBER('Inputs'!$B$8),ISNUMBER('Inputs'!$B$9),ISNUMBER('Inputs'!$B$10),ISNUMBER('Inputs'!$B$21),ISNUMBER('Inputs'!$B$24),ISNUMBER('Inputs'!$B$28)),(('Results'!C7*(0.5*(((A112+'Inputs'!$B$21)+'Inputs'!$B$9)/SQRT(((A112+'Inputs'!$B$21)+'Inputs'!$B$9)^2+('Inputs'!$B$8/2)^2)-((A112+'Inputs'!$B$21))/SQRT(((A112+'Inputs'!$B$21))^2+('Inputs'!$B$8/2)^2)))-'Results'!B7*(0.5*(((A112+'Inputs'!$B$21+'Inputs'!$B$9+'Inputs'!$B$10)+'Inputs'!$B$7)/SQRT(((A112+'Inputs'!$B$21+'Inputs'!$B$9+'Inputs'!$B$10)+'Inputs'!$B$7)^2+('Inputs'!$B$6/2)^2)-((A112+'Inputs'!$B$21+'Inputs'!$B$9+'Inputs'!$B$10))/SQRT(((A112+'Inputs'!$B$21+'Inputs'!$B$9+'Inputs'!$B$10))^2+('Inputs'!$B$6/2)^2))))*'Results'!$B$8*'Results'!$B$9),""),"")</x:f>
        <x:v>3.07511641642631</x:v>
      </x:c>
      <x:c r="D112" s="18" t="n">
        <x:f>IF('Results'!$B$6="Inputs accepted",'Results'!B12,"")</x:f>
        <x:v>112.38228018798189</x:v>
      </x:c>
      <x:c r="E112" s="18" t="n">
        <x:f>IF('Results'!$B$6="Inputs accepted",'Results'!C12,"")</x:f>
        <x:v>119.21786205905865</x:v>
      </x:c>
      <x:c r="F112" s="18" t="n">
        <x:f>IF('Results'!$B$6="Inputs accepted",'Results'!B14,"")</x:f>
        <x:v>66.9055158034782</x:v>
      </x:c>
      <x:c r="G112" s="18" t="n">
        <x:f>IF('Results'!$B$6="Inputs accepted",'Results'!C14,"")</x:f>
        <x:v>70.64020731289524</x:v>
      </x:c>
      <x:c r="H112" s="2"/>
      <x:c r="I112" s="2"/>
      <x:c r="J112" s="2"/>
      <x:c r="K112" s="2"/>
      <x:c r="L112" s="2"/>
    </x:row>
    <x:row r="113" ht="22" customHeight="1">
      <x:c r="A113" s="18" t="n">
        <x:f>(113-5)*'Inputs'!$B$33/200</x:f>
        <x:v>21.6</x:v>
      </x:c>
      <x:c r="B113" s="18" t="n">
        <x:f>IF('Results'!$B$6="Inputs accepted",IF(AND(ISNUMBER('Results'!B7),ISNUMBER('Results'!C7),ISNUMBER('Results'!$B$8),ISNUMBER('Results'!$B$9),ISNUMBER('Inputs'!$B$6),ISNUMBER('Inputs'!$B$7),ISNUMBER('Inputs'!$B$8),ISNUMBER('Inputs'!$B$9),ISNUMBER('Inputs'!$B$10),ISNUMBER('Inputs'!$B$21),ISNUMBER('Inputs'!$B$24),ISNUMBER('Inputs'!$B$28)),(('Results'!B7*(0.5*(((A113+'Inputs'!$B$21)+'Inputs'!$B$7)/SQRT(((A113+'Inputs'!$B$21)+'Inputs'!$B$7)^2+('Inputs'!$B$6/2)^2)-((A113+'Inputs'!$B$21))/SQRT(((A113+'Inputs'!$B$21))^2+('Inputs'!$B$6/2)^2)))-'Results'!C7*(0.5*(((A113+'Inputs'!$B$21+'Inputs'!$B$7+'Inputs'!$B$10)+'Inputs'!$B$9)/SQRT(((A113+'Inputs'!$B$21+'Inputs'!$B$7+'Inputs'!$B$10)+'Inputs'!$B$9)^2+('Inputs'!$B$8/2)^2)-((A113+'Inputs'!$B$21+'Inputs'!$B$7+'Inputs'!$B$10))/SQRT(((A113+'Inputs'!$B$21+'Inputs'!$B$7+'Inputs'!$B$10))^2+('Inputs'!$B$8/2)^2))))*'Results'!$B$8*'Results'!$B$9),""),"")</x:f>
        <x:v>3.20898924521962</x:v>
      </x:c>
      <x:c r="C113" s="18" t="n">
        <x:f>IF('Results'!$B$6="Inputs accepted",IF(AND(ISNUMBER('Results'!C7),ISNUMBER('Results'!B7),ISNUMBER('Results'!$B$8),ISNUMBER('Results'!$B$9),ISNUMBER('Inputs'!$B$6),ISNUMBER('Inputs'!$B$7),ISNUMBER('Inputs'!$B$8),ISNUMBER('Inputs'!$B$9),ISNUMBER('Inputs'!$B$10),ISNUMBER('Inputs'!$B$21),ISNUMBER('Inputs'!$B$24),ISNUMBER('Inputs'!$B$28)),(('Results'!C7*(0.5*(((A113+'Inputs'!$B$21)+'Inputs'!$B$9)/SQRT(((A113+'Inputs'!$B$21)+'Inputs'!$B$9)^2+('Inputs'!$B$8/2)^2)-((A113+'Inputs'!$B$21))/SQRT(((A113+'Inputs'!$B$21))^2+('Inputs'!$B$8/2)^2)))-'Results'!B7*(0.5*(((A113+'Inputs'!$B$21+'Inputs'!$B$9+'Inputs'!$B$10)+'Inputs'!$B$7)/SQRT(((A113+'Inputs'!$B$21+'Inputs'!$B$9+'Inputs'!$B$10)+'Inputs'!$B$7)^2+('Inputs'!$B$6/2)^2)-((A113+'Inputs'!$B$21+'Inputs'!$B$9+'Inputs'!$B$10))/SQRT(((A113+'Inputs'!$B$21+'Inputs'!$B$9+'Inputs'!$B$10))^2+('Inputs'!$B$6/2)^2))))*'Results'!$B$8*'Results'!$B$9),""),"")</x:f>
        <x:v>2.976331753190627</x:v>
      </x:c>
      <x:c r="D113" s="18" t="n">
        <x:f>IF('Results'!$B$6="Inputs accepted",'Results'!B12,"")</x:f>
        <x:v>112.38228018798189</x:v>
      </x:c>
      <x:c r="E113" s="18" t="n">
        <x:f>IF('Results'!$B$6="Inputs accepted",'Results'!C12,"")</x:f>
        <x:v>119.21786205905865</x:v>
      </x:c>
      <x:c r="F113" s="18" t="n">
        <x:f>IF('Results'!$B$6="Inputs accepted",'Results'!B14,"")</x:f>
        <x:v>66.9055158034782</x:v>
      </x:c>
      <x:c r="G113" s="18" t="n">
        <x:f>IF('Results'!$B$6="Inputs accepted",'Results'!C14,"")</x:f>
        <x:v>70.64020731289524</x:v>
      </x:c>
      <x:c r="H113" s="2"/>
      <x:c r="I113" s="2"/>
      <x:c r="J113" s="2"/>
      <x:c r="K113" s="2"/>
      <x:c r="L113" s="2"/>
    </x:row>
    <x:row r="114" ht="22" customHeight="1">
      <x:c r="A114" s="18" t="n">
        <x:f>(114-5)*'Inputs'!$B$33/200</x:f>
        <x:v>21.8</x:v>
      </x:c>
      <x:c r="B114" s="18" t="n">
        <x:f>IF('Results'!$B$6="Inputs accepted",IF(AND(ISNUMBER('Results'!B7),ISNUMBER('Results'!C7),ISNUMBER('Results'!$B$8),ISNUMBER('Results'!$B$9),ISNUMBER('Inputs'!$B$6),ISNUMBER('Inputs'!$B$7),ISNUMBER('Inputs'!$B$8),ISNUMBER('Inputs'!$B$9),ISNUMBER('Inputs'!$B$10),ISNUMBER('Inputs'!$B$21),ISNUMBER('Inputs'!$B$24),ISNUMBER('Inputs'!$B$28)),(('Results'!B7*(0.5*(((A114+'Inputs'!$B$21)+'Inputs'!$B$7)/SQRT(((A114+'Inputs'!$B$21)+'Inputs'!$B$7)^2+('Inputs'!$B$6/2)^2)-((A114+'Inputs'!$B$21))/SQRT(((A114+'Inputs'!$B$21))^2+('Inputs'!$B$6/2)^2)))-'Results'!C7*(0.5*(((A114+'Inputs'!$B$21+'Inputs'!$B$7+'Inputs'!$B$10)+'Inputs'!$B$9)/SQRT(((A114+'Inputs'!$B$21+'Inputs'!$B$7+'Inputs'!$B$10)+'Inputs'!$B$9)^2+('Inputs'!$B$8/2)^2)-((A114+'Inputs'!$B$21+'Inputs'!$B$7+'Inputs'!$B$10))/SQRT(((A114+'Inputs'!$B$21+'Inputs'!$B$7+'Inputs'!$B$10))^2+('Inputs'!$B$8/2)^2))))*'Results'!$B$8*'Results'!$B$9),""),"")</x:f>
        <x:v>3.10846316764686</x:v>
      </x:c>
      <x:c r="C114" s="18" t="n">
        <x:f>IF('Results'!$B$6="Inputs accepted",IF(AND(ISNUMBER('Results'!C7),ISNUMBER('Results'!B7),ISNUMBER('Results'!$B$8),ISNUMBER('Results'!$B$9),ISNUMBER('Inputs'!$B$6),ISNUMBER('Inputs'!$B$7),ISNUMBER('Inputs'!$B$8),ISNUMBER('Inputs'!$B$9),ISNUMBER('Inputs'!$B$10),ISNUMBER('Inputs'!$B$21),ISNUMBER('Inputs'!$B$24),ISNUMBER('Inputs'!$B$28)),(('Results'!C7*(0.5*(((A114+'Inputs'!$B$21)+'Inputs'!$B$9)/SQRT(((A114+'Inputs'!$B$21)+'Inputs'!$B$9)^2+('Inputs'!$B$8/2)^2)-((A114+'Inputs'!$B$21))/SQRT(((A114+'Inputs'!$B$21))^2+('Inputs'!$B$8/2)^2)))-'Results'!B7*(0.5*(((A114+'Inputs'!$B$21+'Inputs'!$B$9+'Inputs'!$B$10)+'Inputs'!$B$7)/SQRT(((A114+'Inputs'!$B$21+'Inputs'!$B$9+'Inputs'!$B$10)+'Inputs'!$B$7)^2+('Inputs'!$B$6/2)^2)-((A114+'Inputs'!$B$21+'Inputs'!$B$9+'Inputs'!$B$10))/SQRT(((A114+'Inputs'!$B$21+'Inputs'!$B$9+'Inputs'!$B$10))^2+('Inputs'!$B$6/2)^2))))*'Results'!$B$8*'Results'!$B$9),""),"")</x:f>
        <x:v>2.88146230829723</x:v>
      </x:c>
      <x:c r="D114" s="18" t="n">
        <x:f>IF('Results'!$B$6="Inputs accepted",'Results'!B12,"")</x:f>
        <x:v>112.38228018798189</x:v>
      </x:c>
      <x:c r="E114" s="18" t="n">
        <x:f>IF('Results'!$B$6="Inputs accepted",'Results'!C12,"")</x:f>
        <x:v>119.21786205905865</x:v>
      </x:c>
      <x:c r="F114" s="18" t="n">
        <x:f>IF('Results'!$B$6="Inputs accepted",'Results'!B14,"")</x:f>
        <x:v>66.9055158034782</x:v>
      </x:c>
      <x:c r="G114" s="18" t="n">
        <x:f>IF('Results'!$B$6="Inputs accepted",'Results'!C14,"")</x:f>
        <x:v>70.64020731289524</x:v>
      </x:c>
      <x:c r="H114" s="2"/>
      <x:c r="I114" s="2"/>
      <x:c r="J114" s="2"/>
      <x:c r="K114" s="2"/>
      <x:c r="L114" s="2"/>
    </x:row>
    <x:row r="115" ht="22" customHeight="1">
      <x:c r="A115" s="18" t="n">
        <x:f>(115-5)*'Inputs'!$B$33/200</x:f>
        <x:v>22</x:v>
      </x:c>
      <x:c r="B115" s="18" t="n">
        <x:f>IF('Results'!$B$6="Inputs accepted",IF(AND(ISNUMBER('Results'!B7),ISNUMBER('Results'!C7),ISNUMBER('Results'!$B$8),ISNUMBER('Results'!$B$9),ISNUMBER('Inputs'!$B$6),ISNUMBER('Inputs'!$B$7),ISNUMBER('Inputs'!$B$8),ISNUMBER('Inputs'!$B$9),ISNUMBER('Inputs'!$B$10),ISNUMBER('Inputs'!$B$21),ISNUMBER('Inputs'!$B$24),ISNUMBER('Inputs'!$B$28)),(('Results'!B7*(0.5*(((A115+'Inputs'!$B$21)+'Inputs'!$B$7)/SQRT(((A115+'Inputs'!$B$21)+'Inputs'!$B$7)^2+('Inputs'!$B$6/2)^2)-((A115+'Inputs'!$B$21))/SQRT(((A115+'Inputs'!$B$21))^2+('Inputs'!$B$6/2)^2)))-'Results'!C7*(0.5*(((A115+'Inputs'!$B$21+'Inputs'!$B$7+'Inputs'!$B$10)+'Inputs'!$B$9)/SQRT(((A115+'Inputs'!$B$21+'Inputs'!$B$7+'Inputs'!$B$10)+'Inputs'!$B$9)^2+('Inputs'!$B$8/2)^2)-((A115+'Inputs'!$B$21+'Inputs'!$B$7+'Inputs'!$B$10))/SQRT(((A115+'Inputs'!$B$21+'Inputs'!$B$7+'Inputs'!$B$10))^2+('Inputs'!$B$8/2)^2))))*'Results'!$B$8*'Results'!$B$9),""),"")</x:f>
        <x:v>3.0118505893378837</x:v>
      </x:c>
      <x:c r="C115" s="18" t="n">
        <x:f>IF('Results'!$B$6="Inputs accepted",IF(AND(ISNUMBER('Results'!C7),ISNUMBER('Results'!B7),ISNUMBER('Results'!$B$8),ISNUMBER('Results'!$B$9),ISNUMBER('Inputs'!$B$6),ISNUMBER('Inputs'!$B$7),ISNUMBER('Inputs'!$B$8),ISNUMBER('Inputs'!$B$9),ISNUMBER('Inputs'!$B$10),ISNUMBER('Inputs'!$B$21),ISNUMBER('Inputs'!$B$24),ISNUMBER('Inputs'!$B$28)),(('Results'!C7*(0.5*(((A115+'Inputs'!$B$21)+'Inputs'!$B$9)/SQRT(((A115+'Inputs'!$B$21)+'Inputs'!$B$9)^2+('Inputs'!$B$8/2)^2)-((A115+'Inputs'!$B$21))/SQRT(((A115+'Inputs'!$B$21))^2+('Inputs'!$B$8/2)^2)))-'Results'!B7*(0.5*(((A115+'Inputs'!$B$21+'Inputs'!$B$9+'Inputs'!$B$10)+'Inputs'!$B$7)/SQRT(((A115+'Inputs'!$B$21+'Inputs'!$B$9+'Inputs'!$B$10)+'Inputs'!$B$7)^2+('Inputs'!$B$6/2)^2)-((A115+'Inputs'!$B$21+'Inputs'!$B$9+'Inputs'!$B$10))/SQRT(((A115+'Inputs'!$B$21+'Inputs'!$B$9+'Inputs'!$B$10))^2+('Inputs'!$B$6/2)^2))))*'Results'!$B$8*'Results'!$B$9),""),"")</x:f>
        <x:v>2.7903239575334746</x:v>
      </x:c>
      <x:c r="D115" s="18" t="n">
        <x:f>IF('Results'!$B$6="Inputs accepted",'Results'!B12,"")</x:f>
        <x:v>112.38228018798189</x:v>
      </x:c>
      <x:c r="E115" s="18" t="n">
        <x:f>IF('Results'!$B$6="Inputs accepted",'Results'!C12,"")</x:f>
        <x:v>119.21786205905865</x:v>
      </x:c>
      <x:c r="F115" s="18" t="n">
        <x:f>IF('Results'!$B$6="Inputs accepted",'Results'!B14,"")</x:f>
        <x:v>66.9055158034782</x:v>
      </x:c>
      <x:c r="G115" s="18" t="n">
        <x:f>IF('Results'!$B$6="Inputs accepted",'Results'!C14,"")</x:f>
        <x:v>70.64020731289524</x:v>
      </x:c>
      <x:c r="H115" s="2"/>
      <x:c r="I115" s="2"/>
      <x:c r="J115" s="2"/>
      <x:c r="K115" s="2"/>
      <x:c r="L115" s="2"/>
    </x:row>
    <x:row r="116" ht="22" customHeight="1">
      <x:c r="A116" s="18" t="n">
        <x:f>(116-5)*'Inputs'!$B$33/200</x:f>
        <x:v>22.2</x:v>
      </x:c>
      <x:c r="B116" s="18" t="n">
        <x:f>IF('Results'!$B$6="Inputs accepted",IF(AND(ISNUMBER('Results'!B7),ISNUMBER('Results'!C7),ISNUMBER('Results'!$B$8),ISNUMBER('Results'!$B$9),ISNUMBER('Inputs'!$B$6),ISNUMBER('Inputs'!$B$7),ISNUMBER('Inputs'!$B$8),ISNUMBER('Inputs'!$B$9),ISNUMBER('Inputs'!$B$10),ISNUMBER('Inputs'!$B$21),ISNUMBER('Inputs'!$B$24),ISNUMBER('Inputs'!$B$28)),(('Results'!B7*(0.5*(((A116+'Inputs'!$B$21)+'Inputs'!$B$7)/SQRT(((A116+'Inputs'!$B$21)+'Inputs'!$B$7)^2+('Inputs'!$B$6/2)^2)-((A116+'Inputs'!$B$21))/SQRT(((A116+'Inputs'!$B$21))^2+('Inputs'!$B$6/2)^2)))-'Results'!C7*(0.5*(((A116+'Inputs'!$B$21+'Inputs'!$B$7+'Inputs'!$B$10)+'Inputs'!$B$9)/SQRT(((A116+'Inputs'!$B$21+'Inputs'!$B$7+'Inputs'!$B$10)+'Inputs'!$B$9)^2+('Inputs'!$B$8/2)^2)-((A116+'Inputs'!$B$21+'Inputs'!$B$7+'Inputs'!$B$10))/SQRT(((A116+'Inputs'!$B$21+'Inputs'!$B$7+'Inputs'!$B$10))^2+('Inputs'!$B$8/2)^2))))*'Results'!$B$8*'Results'!$B$9),""),"")</x:f>
        <x:v>2.9189700731984956</x:v>
      </x:c>
      <x:c r="C116" s="18" t="n">
        <x:f>IF('Results'!$B$6="Inputs accepted",IF(AND(ISNUMBER('Results'!C7),ISNUMBER('Results'!B7),ISNUMBER('Results'!$B$8),ISNUMBER('Results'!$B$9),ISNUMBER('Inputs'!$B$6),ISNUMBER('Inputs'!$B$7),ISNUMBER('Inputs'!$B$8),ISNUMBER('Inputs'!$B$9),ISNUMBER('Inputs'!$B$10),ISNUMBER('Inputs'!$B$21),ISNUMBER('Inputs'!$B$24),ISNUMBER('Inputs'!$B$28)),(('Results'!C7*(0.5*(((A116+'Inputs'!$B$21)+'Inputs'!$B$9)/SQRT(((A116+'Inputs'!$B$21)+'Inputs'!$B$9)^2+('Inputs'!$B$8/2)^2)-((A116+'Inputs'!$B$21))/SQRT(((A116+'Inputs'!$B$21))^2+('Inputs'!$B$8/2)^2)))-'Results'!B7*(0.5*(((A116+'Inputs'!$B$21+'Inputs'!$B$9+'Inputs'!$B$10)+'Inputs'!$B$7)/SQRT(((A116+'Inputs'!$B$21+'Inputs'!$B$9+'Inputs'!$B$10)+'Inputs'!$B$7)^2+('Inputs'!$B$6/2)^2)-((A116+'Inputs'!$B$21+'Inputs'!$B$9+'Inputs'!$B$10))/SQRT(((A116+'Inputs'!$B$21+'Inputs'!$B$9+'Inputs'!$B$10))^2+('Inputs'!$B$6/2)^2))))*'Results'!$B$8*'Results'!$B$9),""),"")</x:f>
        <x:v>2.7027425725634586</x:v>
      </x:c>
      <x:c r="D116" s="18" t="n">
        <x:f>IF('Results'!$B$6="Inputs accepted",'Results'!B12,"")</x:f>
        <x:v>112.38228018798189</x:v>
      </x:c>
      <x:c r="E116" s="18" t="n">
        <x:f>IF('Results'!$B$6="Inputs accepted",'Results'!C12,"")</x:f>
        <x:v>119.21786205905865</x:v>
      </x:c>
      <x:c r="F116" s="18" t="n">
        <x:f>IF('Results'!$B$6="Inputs accepted",'Results'!B14,"")</x:f>
        <x:v>66.9055158034782</x:v>
      </x:c>
      <x:c r="G116" s="18" t="n">
        <x:f>IF('Results'!$B$6="Inputs accepted",'Results'!C14,"")</x:f>
        <x:v>70.64020731289524</x:v>
      </x:c>
      <x:c r="H116" s="2"/>
      <x:c r="I116" s="2"/>
      <x:c r="J116" s="2"/>
      <x:c r="K116" s="2"/>
      <x:c r="L116" s="2"/>
    </x:row>
    <x:row r="117" ht="22" customHeight="1">
      <x:c r="A117" s="18" t="n">
        <x:f>(117-5)*'Inputs'!$B$33/200</x:f>
        <x:v>22.4</x:v>
      </x:c>
      <x:c r="B117" s="18" t="n">
        <x:f>IF('Results'!$B$6="Inputs accepted",IF(AND(ISNUMBER('Results'!B7),ISNUMBER('Results'!C7),ISNUMBER('Results'!$B$8),ISNUMBER('Results'!$B$9),ISNUMBER('Inputs'!$B$6),ISNUMBER('Inputs'!$B$7),ISNUMBER('Inputs'!$B$8),ISNUMBER('Inputs'!$B$9),ISNUMBER('Inputs'!$B$10),ISNUMBER('Inputs'!$B$21),ISNUMBER('Inputs'!$B$24),ISNUMBER('Inputs'!$B$28)),(('Results'!B7*(0.5*(((A117+'Inputs'!$B$21)+'Inputs'!$B$7)/SQRT(((A117+'Inputs'!$B$21)+'Inputs'!$B$7)^2+('Inputs'!$B$6/2)^2)-((A117+'Inputs'!$B$21))/SQRT(((A117+'Inputs'!$B$21))^2+('Inputs'!$B$6/2)^2)))-'Results'!C7*(0.5*(((A117+'Inputs'!$B$21+'Inputs'!$B$7+'Inputs'!$B$10)+'Inputs'!$B$9)/SQRT(((A117+'Inputs'!$B$21+'Inputs'!$B$7+'Inputs'!$B$10)+'Inputs'!$B$9)^2+('Inputs'!$B$8/2)^2)-((A117+'Inputs'!$B$21+'Inputs'!$B$7+'Inputs'!$B$10))/SQRT(((A117+'Inputs'!$B$21+'Inputs'!$B$7+'Inputs'!$B$10))^2+('Inputs'!$B$8/2)^2))))*'Results'!$B$8*'Results'!$B$9),""),"")</x:f>
        <x:v>2.829649913280255</x:v>
      </x:c>
      <x:c r="C117" s="18" t="n">
        <x:f>IF('Results'!$B$6="Inputs accepted",IF(AND(ISNUMBER('Results'!C7),ISNUMBER('Results'!B7),ISNUMBER('Results'!$B$8),ISNUMBER('Results'!$B$9),ISNUMBER('Inputs'!$B$6),ISNUMBER('Inputs'!$B$7),ISNUMBER('Inputs'!$B$8),ISNUMBER('Inputs'!$B$9),ISNUMBER('Inputs'!$B$10),ISNUMBER('Inputs'!$B$21),ISNUMBER('Inputs'!$B$24),ISNUMBER('Inputs'!$B$28)),(('Results'!C7*(0.5*(((A117+'Inputs'!$B$21)+'Inputs'!$B$9)/SQRT(((A117+'Inputs'!$B$21)+'Inputs'!$B$9)^2+('Inputs'!$B$8/2)^2)-((A117+'Inputs'!$B$21))/SQRT(((A117+'Inputs'!$B$21))^2+('Inputs'!$B$8/2)^2)))-'Results'!B7*(0.5*(((A117+'Inputs'!$B$21+'Inputs'!$B$9+'Inputs'!$B$10)+'Inputs'!$B$7)/SQRT(((A117+'Inputs'!$B$21+'Inputs'!$B$9+'Inputs'!$B$10)+'Inputs'!$B$7)^2+('Inputs'!$B$6/2)^2)-((A117+'Inputs'!$B$21+'Inputs'!$B$9+'Inputs'!$B$10))/SQRT(((A117+'Inputs'!$B$21+'Inputs'!$B$9+'Inputs'!$B$10))^2+('Inputs'!$B$6/2)^2))))*'Results'!$B$8*'Results'!$B$9),""),"")</x:f>
        <x:v>2.618553407088965</x:v>
      </x:c>
      <x:c r="D117" s="18" t="n">
        <x:f>IF('Results'!$B$6="Inputs accepted",'Results'!B12,"")</x:f>
        <x:v>112.38228018798189</x:v>
      </x:c>
      <x:c r="E117" s="18" t="n">
        <x:f>IF('Results'!$B$6="Inputs accepted",'Results'!C12,"")</x:f>
        <x:v>119.21786205905865</x:v>
      </x:c>
      <x:c r="F117" s="18" t="n">
        <x:f>IF('Results'!$B$6="Inputs accepted",'Results'!B14,"")</x:f>
        <x:v>66.9055158034782</x:v>
      </x:c>
      <x:c r="G117" s="18" t="n">
        <x:f>IF('Results'!$B$6="Inputs accepted",'Results'!C14,"")</x:f>
        <x:v>70.64020731289524</x:v>
      </x:c>
      <x:c r="H117" s="2"/>
      <x:c r="I117" s="2"/>
      <x:c r="J117" s="2"/>
      <x:c r="K117" s="2"/>
      <x:c r="L117" s="2"/>
    </x:row>
    <x:row r="118" ht="22" customHeight="1">
      <x:c r="A118" s="18" t="n">
        <x:f>(118-5)*'Inputs'!$B$33/200</x:f>
        <x:v>22.6</x:v>
      </x:c>
      <x:c r="B118" s="18" t="n">
        <x:f>IF('Results'!$B$6="Inputs accepted",IF(AND(ISNUMBER('Results'!B7),ISNUMBER('Results'!C7),ISNUMBER('Results'!$B$8),ISNUMBER('Results'!$B$9),ISNUMBER('Inputs'!$B$6),ISNUMBER('Inputs'!$B$7),ISNUMBER('Inputs'!$B$8),ISNUMBER('Inputs'!$B$9),ISNUMBER('Inputs'!$B$10),ISNUMBER('Inputs'!$B$21),ISNUMBER('Inputs'!$B$24),ISNUMBER('Inputs'!$B$28)),(('Results'!B7*(0.5*(((A118+'Inputs'!$B$21)+'Inputs'!$B$7)/SQRT(((A118+'Inputs'!$B$21)+'Inputs'!$B$7)^2+('Inputs'!$B$6/2)^2)-((A118+'Inputs'!$B$21))/SQRT(((A118+'Inputs'!$B$21))^2+('Inputs'!$B$6/2)^2)))-'Results'!C7*(0.5*(((A118+'Inputs'!$B$21+'Inputs'!$B$7+'Inputs'!$B$10)+'Inputs'!$B$9)/SQRT(((A118+'Inputs'!$B$21+'Inputs'!$B$7+'Inputs'!$B$10)+'Inputs'!$B$9)^2+('Inputs'!$B$8/2)^2)-((A118+'Inputs'!$B$21+'Inputs'!$B$7+'Inputs'!$B$10))/SQRT(((A118+'Inputs'!$B$21+'Inputs'!$B$7+'Inputs'!$B$10))^2+('Inputs'!$B$8/2)^2))))*'Results'!$B$8*'Results'!$B$9),""),"")</x:f>
        <x:v>2.7437275436196322</x:v>
      </x:c>
      <x:c r="C118" s="18" t="n">
        <x:f>IF('Results'!$B$6="Inputs accepted",IF(AND(ISNUMBER('Results'!C7),ISNUMBER('Results'!B7),ISNUMBER('Results'!$B$8),ISNUMBER('Results'!$B$9),ISNUMBER('Inputs'!$B$6),ISNUMBER('Inputs'!$B$7),ISNUMBER('Inputs'!$B$8),ISNUMBER('Inputs'!$B$9),ISNUMBER('Inputs'!$B$10),ISNUMBER('Inputs'!$B$21),ISNUMBER('Inputs'!$B$24),ISNUMBER('Inputs'!$B$28)),(('Results'!C7*(0.5*(((A118+'Inputs'!$B$21)+'Inputs'!$B$9)/SQRT(((A118+'Inputs'!$B$21)+'Inputs'!$B$9)^2+('Inputs'!$B$8/2)^2)-((A118+'Inputs'!$B$21))/SQRT(((A118+'Inputs'!$B$21))^2+('Inputs'!$B$8/2)^2)))-'Results'!B7*(0.5*(((A118+'Inputs'!$B$21+'Inputs'!$B$9+'Inputs'!$B$10)+'Inputs'!$B$7)/SQRT(((A118+'Inputs'!$B$21+'Inputs'!$B$9+'Inputs'!$B$10)+'Inputs'!$B$7)^2+('Inputs'!$B$6/2)^2)-((A118+'Inputs'!$B$21+'Inputs'!$B$9+'Inputs'!$B$10))/SQRT(((A118+'Inputs'!$B$21+'Inputs'!$B$9+'Inputs'!$B$10))^2+('Inputs'!$B$6/2)^2))))*'Results'!$B$8*'Results'!$B$9),""),"")</x:f>
        <x:v>2.5376005250021962</x:v>
      </x:c>
      <x:c r="D118" s="18" t="n">
        <x:f>IF('Results'!$B$6="Inputs accepted",'Results'!B12,"")</x:f>
        <x:v>112.38228018798189</x:v>
      </x:c>
      <x:c r="E118" s="18" t="n">
        <x:f>IF('Results'!$B$6="Inputs accepted",'Results'!C12,"")</x:f>
        <x:v>119.21786205905865</x:v>
      </x:c>
      <x:c r="F118" s="18" t="n">
        <x:f>IF('Results'!$B$6="Inputs accepted",'Results'!B14,"")</x:f>
        <x:v>66.9055158034782</x:v>
      </x:c>
      <x:c r="G118" s="18" t="n">
        <x:f>IF('Results'!$B$6="Inputs accepted",'Results'!C14,"")</x:f>
        <x:v>70.64020731289524</x:v>
      </x:c>
      <x:c r="H118" s="2"/>
      <x:c r="I118" s="2"/>
      <x:c r="J118" s="2"/>
      <x:c r="K118" s="2"/>
      <x:c r="L118" s="2"/>
    </x:row>
    <x:row r="119" ht="22" customHeight="1">
      <x:c r="A119" s="18" t="n">
        <x:f>(119-5)*'Inputs'!$B$33/200</x:f>
        <x:v>22.8</x:v>
      </x:c>
      <x:c r="B119" s="18" t="n">
        <x:f>IF('Results'!$B$6="Inputs accepted",IF(AND(ISNUMBER('Results'!B7),ISNUMBER('Results'!C7),ISNUMBER('Results'!$B$8),ISNUMBER('Results'!$B$9),ISNUMBER('Inputs'!$B$6),ISNUMBER('Inputs'!$B$7),ISNUMBER('Inputs'!$B$8),ISNUMBER('Inputs'!$B$9),ISNUMBER('Inputs'!$B$10),ISNUMBER('Inputs'!$B$21),ISNUMBER('Inputs'!$B$24),ISNUMBER('Inputs'!$B$28)),(('Results'!B7*(0.5*(((A119+'Inputs'!$B$21)+'Inputs'!$B$7)/SQRT(((A119+'Inputs'!$B$21)+'Inputs'!$B$7)^2+('Inputs'!$B$6/2)^2)-((A119+'Inputs'!$B$21))/SQRT(((A119+'Inputs'!$B$21))^2+('Inputs'!$B$6/2)^2)))-'Results'!C7*(0.5*(((A119+'Inputs'!$B$21+'Inputs'!$B$7+'Inputs'!$B$10)+'Inputs'!$B$9)/SQRT(((A119+'Inputs'!$B$21+'Inputs'!$B$7+'Inputs'!$B$10)+'Inputs'!$B$9)^2+('Inputs'!$B$8/2)^2)-((A119+'Inputs'!$B$21+'Inputs'!$B$7+'Inputs'!$B$10))/SQRT(((A119+'Inputs'!$B$21+'Inputs'!$B$7+'Inputs'!$B$10))^2+('Inputs'!$B$8/2)^2))))*'Results'!$B$8*'Results'!$B$9),""),"")</x:f>
        <x:v>2.6610489870881255</x:v>
      </x:c>
      <x:c r="C119" s="18" t="n">
        <x:f>IF('Results'!$B$6="Inputs accepted",IF(AND(ISNUMBER('Results'!C7),ISNUMBER('Results'!B7),ISNUMBER('Results'!$B$8),ISNUMBER('Results'!$B$9),ISNUMBER('Inputs'!$B$6),ISNUMBER('Inputs'!$B$7),ISNUMBER('Inputs'!$B$8),ISNUMBER('Inputs'!$B$9),ISNUMBER('Inputs'!$B$10),ISNUMBER('Inputs'!$B$21),ISNUMBER('Inputs'!$B$24),ISNUMBER('Inputs'!$B$28)),(('Results'!C7*(0.5*(((A119+'Inputs'!$B$21)+'Inputs'!$B$9)/SQRT(((A119+'Inputs'!$B$21)+'Inputs'!$B$9)^2+('Inputs'!$B$8/2)^2)-((A119+'Inputs'!$B$21))/SQRT(((A119+'Inputs'!$B$21))^2+('Inputs'!$B$8/2)^2)))-'Results'!B7*(0.5*(((A119+'Inputs'!$B$21+'Inputs'!$B$9+'Inputs'!$B$10)+'Inputs'!$B$7)/SQRT(((A119+'Inputs'!$B$21+'Inputs'!$B$9+'Inputs'!$B$10)+'Inputs'!$B$7)^2+('Inputs'!$B$6/2)^2)-((A119+'Inputs'!$B$21+'Inputs'!$B$9+'Inputs'!$B$10))/SQRT(((A119+'Inputs'!$B$21+'Inputs'!$B$9+'Inputs'!$B$10))^2+('Inputs'!$B$6/2)^2))))*'Results'!$B$8*'Results'!$B$9),""),"")</x:f>
        <x:v>2.4597362673381404</x:v>
      </x:c>
      <x:c r="D119" s="18" t="n">
        <x:f>IF('Results'!$B$6="Inputs accepted",'Results'!B12,"")</x:f>
        <x:v>112.38228018798189</x:v>
      </x:c>
      <x:c r="E119" s="18" t="n">
        <x:f>IF('Results'!$B$6="Inputs accepted",'Results'!C12,"")</x:f>
        <x:v>119.21786205905865</x:v>
      </x:c>
      <x:c r="F119" s="18" t="n">
        <x:f>IF('Results'!$B$6="Inputs accepted",'Results'!B14,"")</x:f>
        <x:v>66.9055158034782</x:v>
      </x:c>
      <x:c r="G119" s="18" t="n">
        <x:f>IF('Results'!$B$6="Inputs accepted",'Results'!C14,"")</x:f>
        <x:v>70.64020731289524</x:v>
      </x:c>
      <x:c r="H119" s="2"/>
      <x:c r="I119" s="2"/>
      <x:c r="J119" s="2"/>
      <x:c r="K119" s="2"/>
      <x:c r="L119" s="2"/>
    </x:row>
    <x:row r="120" ht="22" customHeight="1">
      <x:c r="A120" s="18" t="n">
        <x:f>(120-5)*'Inputs'!$B$33/200</x:f>
        <x:v>23</x:v>
      </x:c>
      <x:c r="B120" s="18" t="n">
        <x:f>IF('Results'!$B$6="Inputs accepted",IF(AND(ISNUMBER('Results'!B7),ISNUMBER('Results'!C7),ISNUMBER('Results'!$B$8),ISNUMBER('Results'!$B$9),ISNUMBER('Inputs'!$B$6),ISNUMBER('Inputs'!$B$7),ISNUMBER('Inputs'!$B$8),ISNUMBER('Inputs'!$B$9),ISNUMBER('Inputs'!$B$10),ISNUMBER('Inputs'!$B$21),ISNUMBER('Inputs'!$B$24),ISNUMBER('Inputs'!$B$28)),(('Results'!B7*(0.5*(((A120+'Inputs'!$B$21)+'Inputs'!$B$7)/SQRT(((A120+'Inputs'!$B$21)+'Inputs'!$B$7)^2+('Inputs'!$B$6/2)^2)-((A120+'Inputs'!$B$21))/SQRT(((A120+'Inputs'!$B$21))^2+('Inputs'!$B$6/2)^2)))-'Results'!C7*(0.5*(((A120+'Inputs'!$B$21+'Inputs'!$B$7+'Inputs'!$B$10)+'Inputs'!$B$9)/SQRT(((A120+'Inputs'!$B$21+'Inputs'!$B$7+'Inputs'!$B$10)+'Inputs'!$B$9)^2+('Inputs'!$B$8/2)^2)-((A120+'Inputs'!$B$21+'Inputs'!$B$7+'Inputs'!$B$10))/SQRT(((A120+'Inputs'!$B$21+'Inputs'!$B$7+'Inputs'!$B$10))^2+('Inputs'!$B$8/2)^2))))*'Results'!$B$8*'Results'!$B$9),""),"")</x:f>
        <x:v>2.5814683413098467</x:v>
      </x:c>
      <x:c r="C120" s="18" t="n">
        <x:f>IF('Results'!$B$6="Inputs accepted",IF(AND(ISNUMBER('Results'!C7),ISNUMBER('Results'!B7),ISNUMBER('Results'!$B$8),ISNUMBER('Results'!$B$9),ISNUMBER('Inputs'!$B$6),ISNUMBER('Inputs'!$B$7),ISNUMBER('Inputs'!$B$8),ISNUMBER('Inputs'!$B$9),ISNUMBER('Inputs'!$B$10),ISNUMBER('Inputs'!$B$21),ISNUMBER('Inputs'!$B$24),ISNUMBER('Inputs'!$B$28)),(('Results'!C7*(0.5*(((A120+'Inputs'!$B$21)+'Inputs'!$B$9)/SQRT(((A120+'Inputs'!$B$21)+'Inputs'!$B$9)^2+('Inputs'!$B$8/2)^2)-((A120+'Inputs'!$B$21))/SQRT(((A120+'Inputs'!$B$21))^2+('Inputs'!$B$8/2)^2)))-'Results'!B7*(0.5*(((A120+'Inputs'!$B$21+'Inputs'!$B$9+'Inputs'!$B$10)+'Inputs'!$B$7)/SQRT(((A120+'Inputs'!$B$21+'Inputs'!$B$9+'Inputs'!$B$10)+'Inputs'!$B$7)^2+('Inputs'!$B$6/2)^2)-((A120+'Inputs'!$B$21+'Inputs'!$B$9+'Inputs'!$B$10))/SQRT(((A120+'Inputs'!$B$21+'Inputs'!$B$9+'Inputs'!$B$10))^2+('Inputs'!$B$6/2)^2))))*'Results'!$B$8*'Results'!$B$9),""),"")</x:f>
        <x:v>2.384820755167504</x:v>
      </x:c>
      <x:c r="D120" s="18" t="n">
        <x:f>IF('Results'!$B$6="Inputs accepted",'Results'!B12,"")</x:f>
        <x:v>112.38228018798189</x:v>
      </x:c>
      <x:c r="E120" s="18" t="n">
        <x:f>IF('Results'!$B$6="Inputs accepted",'Results'!C12,"")</x:f>
        <x:v>119.21786205905865</x:v>
      </x:c>
      <x:c r="F120" s="18" t="n">
        <x:f>IF('Results'!$B$6="Inputs accepted",'Results'!B14,"")</x:f>
        <x:v>66.9055158034782</x:v>
      </x:c>
      <x:c r="G120" s="18" t="n">
        <x:f>IF('Results'!$B$6="Inputs accepted",'Results'!C14,"")</x:f>
        <x:v>70.64020731289524</x:v>
      </x:c>
      <x:c r="H120" s="2"/>
      <x:c r="I120" s="2"/>
      <x:c r="J120" s="2"/>
      <x:c r="K120" s="2"/>
      <x:c r="L120" s="2"/>
    </x:row>
    <x:row r="121" ht="22" customHeight="1">
      <x:c r="A121" s="18" t="n">
        <x:f>(121-5)*'Inputs'!$B$33/200</x:f>
        <x:v>23.2</x:v>
      </x:c>
      <x:c r="B121" s="18" t="n">
        <x:f>IF('Results'!$B$6="Inputs accepted",IF(AND(ISNUMBER('Results'!B7),ISNUMBER('Results'!C7),ISNUMBER('Results'!$B$8),ISNUMBER('Results'!$B$9),ISNUMBER('Inputs'!$B$6),ISNUMBER('Inputs'!$B$7),ISNUMBER('Inputs'!$B$8),ISNUMBER('Inputs'!$B$9),ISNUMBER('Inputs'!$B$10),ISNUMBER('Inputs'!$B$21),ISNUMBER('Inputs'!$B$24),ISNUMBER('Inputs'!$B$28)),(('Results'!B7*(0.5*(((A121+'Inputs'!$B$21)+'Inputs'!$B$7)/SQRT(((A121+'Inputs'!$B$21)+'Inputs'!$B$7)^2+('Inputs'!$B$6/2)^2)-((A121+'Inputs'!$B$21))/SQRT(((A121+'Inputs'!$B$21))^2+('Inputs'!$B$6/2)^2)))-'Results'!C7*(0.5*(((A121+'Inputs'!$B$21+'Inputs'!$B$7+'Inputs'!$B$10)+'Inputs'!$B$9)/SQRT(((A121+'Inputs'!$B$21+'Inputs'!$B$7+'Inputs'!$B$10)+'Inputs'!$B$9)^2+('Inputs'!$B$8/2)^2)-((A121+'Inputs'!$B$21+'Inputs'!$B$7+'Inputs'!$B$10))/SQRT(((A121+'Inputs'!$B$21+'Inputs'!$B$7+'Inputs'!$B$10))^2+('Inputs'!$B$8/2)^2))))*'Results'!$B$8*'Results'!$B$9),""),"")</x:f>
        <x:v>2.504847298864585</x:v>
      </x:c>
      <x:c r="C121" s="18" t="n">
        <x:f>IF('Results'!$B$6="Inputs accepted",IF(AND(ISNUMBER('Results'!C7),ISNUMBER('Results'!B7),ISNUMBER('Results'!$B$8),ISNUMBER('Results'!$B$9),ISNUMBER('Inputs'!$B$6),ISNUMBER('Inputs'!$B$7),ISNUMBER('Inputs'!$B$8),ISNUMBER('Inputs'!$B$9),ISNUMBER('Inputs'!$B$10),ISNUMBER('Inputs'!$B$21),ISNUMBER('Inputs'!$B$24),ISNUMBER('Inputs'!$B$28)),(('Results'!C7*(0.5*(((A121+'Inputs'!$B$21)+'Inputs'!$B$9)/SQRT(((A121+'Inputs'!$B$21)+'Inputs'!$B$9)^2+('Inputs'!$B$8/2)^2)-((A121+'Inputs'!$B$21))/SQRT(((A121+'Inputs'!$B$21))^2+('Inputs'!$B$8/2)^2)))-'Results'!B7*(0.5*(((A121+'Inputs'!$B$21+'Inputs'!$B$9+'Inputs'!$B$10)+'Inputs'!$B$7)/SQRT(((A121+'Inputs'!$B$21+'Inputs'!$B$9+'Inputs'!$B$10)+'Inputs'!$B$7)^2+('Inputs'!$B$6/2)^2)-((A121+'Inputs'!$B$21+'Inputs'!$B$9+'Inputs'!$B$10))/SQRT(((A121+'Inputs'!$B$21+'Inputs'!$B$9+'Inputs'!$B$10))^2+('Inputs'!$B$6/2)^2))))*'Results'!$B$8*'Results'!$B$9),""),"")</x:f>
        <x:v>2.3127214257266893</x:v>
      </x:c>
      <x:c r="D121" s="18" t="n">
        <x:f>IF('Results'!$B$6="Inputs accepted",'Results'!B12,"")</x:f>
        <x:v>112.38228018798189</x:v>
      </x:c>
      <x:c r="E121" s="18" t="n">
        <x:f>IF('Results'!$B$6="Inputs accepted",'Results'!C12,"")</x:f>
        <x:v>119.21786205905865</x:v>
      </x:c>
      <x:c r="F121" s="18" t="n">
        <x:f>IF('Results'!$B$6="Inputs accepted",'Results'!B14,"")</x:f>
        <x:v>66.9055158034782</x:v>
      </x:c>
      <x:c r="G121" s="18" t="n">
        <x:f>IF('Results'!$B$6="Inputs accepted",'Results'!C14,"")</x:f>
        <x:v>70.64020731289524</x:v>
      </x:c>
      <x:c r="H121" s="2"/>
      <x:c r="I121" s="2"/>
      <x:c r="J121" s="2"/>
      <x:c r="K121" s="2"/>
      <x:c r="L121" s="2"/>
    </x:row>
    <x:row r="122" ht="22" customHeight="1">
      <x:c r="A122" s="18" t="n">
        <x:f>(122-5)*'Inputs'!$B$33/200</x:f>
        <x:v>23.4</x:v>
      </x:c>
      <x:c r="B122" s="18" t="n">
        <x:f>IF('Results'!$B$6="Inputs accepted",IF(AND(ISNUMBER('Results'!B7),ISNUMBER('Results'!C7),ISNUMBER('Results'!$B$8),ISNUMBER('Results'!$B$9),ISNUMBER('Inputs'!$B$6),ISNUMBER('Inputs'!$B$7),ISNUMBER('Inputs'!$B$8),ISNUMBER('Inputs'!$B$9),ISNUMBER('Inputs'!$B$10),ISNUMBER('Inputs'!$B$21),ISNUMBER('Inputs'!$B$24),ISNUMBER('Inputs'!$B$28)),(('Results'!B7*(0.5*(((A122+'Inputs'!$B$21)+'Inputs'!$B$7)/SQRT(((A122+'Inputs'!$B$21)+'Inputs'!$B$7)^2+('Inputs'!$B$6/2)^2)-((A122+'Inputs'!$B$21))/SQRT(((A122+'Inputs'!$B$21))^2+('Inputs'!$B$6/2)^2)))-'Results'!C7*(0.5*(((A122+'Inputs'!$B$21+'Inputs'!$B$7+'Inputs'!$B$10)+'Inputs'!$B$9)/SQRT(((A122+'Inputs'!$B$21+'Inputs'!$B$7+'Inputs'!$B$10)+'Inputs'!$B$9)^2+('Inputs'!$B$8/2)^2)-((A122+'Inputs'!$B$21+'Inputs'!$B$7+'Inputs'!$B$10))/SQRT(((A122+'Inputs'!$B$21+'Inputs'!$B$7+'Inputs'!$B$10))^2+('Inputs'!$B$8/2)^2))))*'Results'!$B$8*'Results'!$B$9),""),"")</x:f>
        <x:v>2.431054699291724</x:v>
      </x:c>
      <x:c r="C122" s="18" t="n">
        <x:f>IF('Results'!$B$6="Inputs accepted",IF(AND(ISNUMBER('Results'!C7),ISNUMBER('Results'!B7),ISNUMBER('Results'!$B$8),ISNUMBER('Results'!$B$9),ISNUMBER('Inputs'!$B$6),ISNUMBER('Inputs'!$B$7),ISNUMBER('Inputs'!$B$8),ISNUMBER('Inputs'!$B$9),ISNUMBER('Inputs'!$B$10),ISNUMBER('Inputs'!$B$21),ISNUMBER('Inputs'!$B$24),ISNUMBER('Inputs'!$B$28)),(('Results'!C7*(0.5*(((A122+'Inputs'!$B$21)+'Inputs'!$B$9)/SQRT(((A122+'Inputs'!$B$21)+'Inputs'!$B$9)^2+('Inputs'!$B$8/2)^2)-((A122+'Inputs'!$B$21))/SQRT(((A122+'Inputs'!$B$21))^2+('Inputs'!$B$8/2)^2)))-'Results'!B7*(0.5*(((A122+'Inputs'!$B$21+'Inputs'!$B$9+'Inputs'!$B$10)+'Inputs'!$B$7)/SQRT(((A122+'Inputs'!$B$21+'Inputs'!$B$9+'Inputs'!$B$10)+'Inputs'!$B$7)^2+('Inputs'!$B$6/2)^2)-((A122+'Inputs'!$B$21+'Inputs'!$B$9+'Inputs'!$B$10))/SQRT(((A122+'Inputs'!$B$21+'Inputs'!$B$9+'Inputs'!$B$10))^2+('Inputs'!$B$6/2)^2))))*'Results'!$B$8*'Results'!$B$9),""),"")</x:f>
        <x:v>2.243312599372371</x:v>
      </x:c>
      <x:c r="D122" s="18" t="n">
        <x:f>IF('Results'!$B$6="Inputs accepted",'Results'!B12,"")</x:f>
        <x:v>112.38228018798189</x:v>
      </x:c>
      <x:c r="E122" s="18" t="n">
        <x:f>IF('Results'!$B$6="Inputs accepted",'Results'!C12,"")</x:f>
        <x:v>119.21786205905865</x:v>
      </x:c>
      <x:c r="F122" s="18" t="n">
        <x:f>IF('Results'!$B$6="Inputs accepted",'Results'!B14,"")</x:f>
        <x:v>66.9055158034782</x:v>
      </x:c>
      <x:c r="G122" s="18" t="n">
        <x:f>IF('Results'!$B$6="Inputs accepted",'Results'!C14,"")</x:f>
        <x:v>70.64020731289524</x:v>
      </x:c>
      <x:c r="H122" s="2"/>
      <x:c r="I122" s="2"/>
      <x:c r="J122" s="2"/>
      <x:c r="K122" s="2"/>
      <x:c r="L122" s="2"/>
    </x:row>
    <x:row r="123" ht="22" customHeight="1">
      <x:c r="A123" s="18" t="n">
        <x:f>(123-5)*'Inputs'!$B$33/200</x:f>
        <x:v>23.6</x:v>
      </x:c>
      <x:c r="B123" s="18" t="n">
        <x:f>IF('Results'!$B$6="Inputs accepted",IF(AND(ISNUMBER('Results'!B7),ISNUMBER('Results'!C7),ISNUMBER('Results'!$B$8),ISNUMBER('Results'!$B$9),ISNUMBER('Inputs'!$B$6),ISNUMBER('Inputs'!$B$7),ISNUMBER('Inputs'!$B$8),ISNUMBER('Inputs'!$B$9),ISNUMBER('Inputs'!$B$10),ISNUMBER('Inputs'!$B$21),ISNUMBER('Inputs'!$B$24),ISNUMBER('Inputs'!$B$28)),(('Results'!B7*(0.5*(((A123+'Inputs'!$B$21)+'Inputs'!$B$7)/SQRT(((A123+'Inputs'!$B$21)+'Inputs'!$B$7)^2+('Inputs'!$B$6/2)^2)-((A123+'Inputs'!$B$21))/SQRT(((A123+'Inputs'!$B$21))^2+('Inputs'!$B$6/2)^2)))-'Results'!C7*(0.5*(((A123+'Inputs'!$B$21+'Inputs'!$B$7+'Inputs'!$B$10)+'Inputs'!$B$9)/SQRT(((A123+'Inputs'!$B$21+'Inputs'!$B$7+'Inputs'!$B$10)+'Inputs'!$B$9)^2+('Inputs'!$B$8/2)^2)-((A123+'Inputs'!$B$21+'Inputs'!$B$7+'Inputs'!$B$10))/SQRT(((A123+'Inputs'!$B$21+'Inputs'!$B$7+'Inputs'!$B$10))^2+('Inputs'!$B$8/2)^2))))*'Results'!$B$8*'Results'!$B$9),""),"")</x:f>
        <x:v>2.359966110550476</x:v>
      </x:c>
      <x:c r="C123" s="18" t="n">
        <x:f>IF('Results'!$B$6="Inputs accepted",IF(AND(ISNUMBER('Results'!C7),ISNUMBER('Results'!B7),ISNUMBER('Results'!$B$8),ISNUMBER('Results'!$B$9),ISNUMBER('Inputs'!$B$6),ISNUMBER('Inputs'!$B$7),ISNUMBER('Inputs'!$B$8),ISNUMBER('Inputs'!$B$9),ISNUMBER('Inputs'!$B$10),ISNUMBER('Inputs'!$B$21),ISNUMBER('Inputs'!$B$24),ISNUMBER('Inputs'!$B$28)),(('Results'!C7*(0.5*(((A123+'Inputs'!$B$21)+'Inputs'!$B$9)/SQRT(((A123+'Inputs'!$B$21)+'Inputs'!$B$9)^2+('Inputs'!$B$8/2)^2)-((A123+'Inputs'!$B$21))/SQRT(((A123+'Inputs'!$B$21))^2+('Inputs'!$B$8/2)^2)))-'Results'!B7*(0.5*(((A123+'Inputs'!$B$21+'Inputs'!$B$9+'Inputs'!$B$10)+'Inputs'!$B$7)/SQRT(((A123+'Inputs'!$B$21+'Inputs'!$B$9+'Inputs'!$B$10)+'Inputs'!$B$7)^2+('Inputs'!$B$6/2)^2)-((A123+'Inputs'!$B$21+'Inputs'!$B$9+'Inputs'!$B$10))/SQRT(((A123+'Inputs'!$B$21+'Inputs'!$B$9+'Inputs'!$B$10))^2+('Inputs'!$B$6/2)^2))))*'Results'!$B$8*'Results'!$B$9),""),"")</x:f>
        <x:v>2.176475075083045</x:v>
      </x:c>
      <x:c r="D123" s="18" t="n">
        <x:f>IF('Results'!$B$6="Inputs accepted",'Results'!B12,"")</x:f>
        <x:v>112.38228018798189</x:v>
      </x:c>
      <x:c r="E123" s="18" t="n">
        <x:f>IF('Results'!$B$6="Inputs accepted",'Results'!C12,"")</x:f>
        <x:v>119.21786205905865</x:v>
      </x:c>
      <x:c r="F123" s="18" t="n">
        <x:f>IF('Results'!$B$6="Inputs accepted",'Results'!B14,"")</x:f>
        <x:v>66.9055158034782</x:v>
      </x:c>
      <x:c r="G123" s="18" t="n">
        <x:f>IF('Results'!$B$6="Inputs accepted",'Results'!C14,"")</x:f>
        <x:v>70.64020731289524</x:v>
      </x:c>
      <x:c r="H123" s="2"/>
      <x:c r="I123" s="2"/>
      <x:c r="J123" s="2"/>
      <x:c r="K123" s="2"/>
      <x:c r="L123" s="2"/>
    </x:row>
    <x:row r="124" ht="22" customHeight="1">
      <x:c r="A124" s="18" t="n">
        <x:f>(124-5)*'Inputs'!$B$33/200</x:f>
        <x:v>23.8</x:v>
      </x:c>
      <x:c r="B124" s="18" t="n">
        <x:f>IF('Results'!$B$6="Inputs accepted",IF(AND(ISNUMBER('Results'!B7),ISNUMBER('Results'!C7),ISNUMBER('Results'!$B$8),ISNUMBER('Results'!$B$9),ISNUMBER('Inputs'!$B$6),ISNUMBER('Inputs'!$B$7),ISNUMBER('Inputs'!$B$8),ISNUMBER('Inputs'!$B$9),ISNUMBER('Inputs'!$B$10),ISNUMBER('Inputs'!$B$21),ISNUMBER('Inputs'!$B$24),ISNUMBER('Inputs'!$B$28)),(('Results'!B7*(0.5*(((A124+'Inputs'!$B$21)+'Inputs'!$B$7)/SQRT(((A124+'Inputs'!$B$21)+'Inputs'!$B$7)^2+('Inputs'!$B$6/2)^2)-((A124+'Inputs'!$B$21))/SQRT(((A124+'Inputs'!$B$21))^2+('Inputs'!$B$6/2)^2)))-'Results'!C7*(0.5*(((A124+'Inputs'!$B$21+'Inputs'!$B$7+'Inputs'!$B$10)+'Inputs'!$B$9)/SQRT(((A124+'Inputs'!$B$21+'Inputs'!$B$7+'Inputs'!$B$10)+'Inputs'!$B$9)^2+('Inputs'!$B$8/2)^2)-((A124+'Inputs'!$B$21+'Inputs'!$B$7+'Inputs'!$B$10))/SQRT(((A124+'Inputs'!$B$21+'Inputs'!$B$7+'Inputs'!$B$10))^2+('Inputs'!$B$8/2)^2))))*'Results'!$B$8*'Results'!$B$9),""),"")</x:f>
        <x:v>2.291463437825134</x:v>
      </x:c>
      <x:c r="C124" s="18" t="n">
        <x:f>IF('Results'!$B$6="Inputs accepted",IF(AND(ISNUMBER('Results'!C7),ISNUMBER('Results'!B7),ISNUMBER('Results'!$B$8),ISNUMBER('Results'!$B$9),ISNUMBER('Inputs'!$B$6),ISNUMBER('Inputs'!$B$7),ISNUMBER('Inputs'!$B$8),ISNUMBER('Inputs'!$B$9),ISNUMBER('Inputs'!$B$10),ISNUMBER('Inputs'!$B$21),ISNUMBER('Inputs'!$B$24),ISNUMBER('Inputs'!$B$28)),(('Results'!C7*(0.5*(((A124+'Inputs'!$B$21)+'Inputs'!$B$9)/SQRT(((A124+'Inputs'!$B$21)+'Inputs'!$B$9)^2+('Inputs'!$B$8/2)^2)-((A124+'Inputs'!$B$21))/SQRT(((A124+'Inputs'!$B$21))^2+('Inputs'!$B$8/2)^2)))-'Results'!B7*(0.5*(((A124+'Inputs'!$B$21+'Inputs'!$B$9+'Inputs'!$B$10)+'Inputs'!$B$7)/SQRT(((A124+'Inputs'!$B$21+'Inputs'!$B$9+'Inputs'!$B$10)+'Inputs'!$B$7)^2+('Inputs'!$B$6/2)^2)-((A124+'Inputs'!$B$21+'Inputs'!$B$9+'Inputs'!$B$10))/SQRT(((A124+'Inputs'!$B$21+'Inputs'!$B$9+'Inputs'!$B$10))^2+('Inputs'!$B$6/2)^2))))*'Results'!$B$8*'Results'!$B$9),""),"")</x:f>
        <x:v>2.112095752457628</x:v>
      </x:c>
      <x:c r="D124" s="18" t="n">
        <x:f>IF('Results'!$B$6="Inputs accepted",'Results'!B12,"")</x:f>
        <x:v>112.38228018798189</x:v>
      </x:c>
      <x:c r="E124" s="18" t="n">
        <x:f>IF('Results'!$B$6="Inputs accepted",'Results'!C12,"")</x:f>
        <x:v>119.21786205905865</x:v>
      </x:c>
      <x:c r="F124" s="18" t="n">
        <x:f>IF('Results'!$B$6="Inputs accepted",'Results'!B14,"")</x:f>
        <x:v>66.9055158034782</x:v>
      </x:c>
      <x:c r="G124" s="18" t="n">
        <x:f>IF('Results'!$B$6="Inputs accepted",'Results'!C14,"")</x:f>
        <x:v>70.64020731289524</x:v>
      </x:c>
      <x:c r="H124" s="2"/>
      <x:c r="I124" s="2"/>
      <x:c r="J124" s="2"/>
      <x:c r="K124" s="2"/>
      <x:c r="L124" s="2"/>
    </x:row>
    <x:row r="125" ht="22" customHeight="1">
      <x:c r="A125" s="18" t="n">
        <x:f>(125-5)*'Inputs'!$B$33/200</x:f>
        <x:v>24</x:v>
      </x:c>
      <x:c r="B125" s="18" t="n">
        <x:f>IF('Results'!$B$6="Inputs accepted",IF(AND(ISNUMBER('Results'!B7),ISNUMBER('Results'!C7),ISNUMBER('Results'!$B$8),ISNUMBER('Results'!$B$9),ISNUMBER('Inputs'!$B$6),ISNUMBER('Inputs'!$B$7),ISNUMBER('Inputs'!$B$8),ISNUMBER('Inputs'!$B$9),ISNUMBER('Inputs'!$B$10),ISNUMBER('Inputs'!$B$21),ISNUMBER('Inputs'!$B$24),ISNUMBER('Inputs'!$B$28)),(('Results'!B7*(0.5*(((A125+'Inputs'!$B$21)+'Inputs'!$B$7)/SQRT(((A125+'Inputs'!$B$21)+'Inputs'!$B$7)^2+('Inputs'!$B$6/2)^2)-((A125+'Inputs'!$B$21))/SQRT(((A125+'Inputs'!$B$21))^2+('Inputs'!$B$6/2)^2)))-'Results'!C7*(0.5*(((A125+'Inputs'!$B$21+'Inputs'!$B$7+'Inputs'!$B$10)+'Inputs'!$B$9)/SQRT(((A125+'Inputs'!$B$21+'Inputs'!$B$7+'Inputs'!$B$10)+'Inputs'!$B$9)^2+('Inputs'!$B$8/2)^2)-((A125+'Inputs'!$B$21+'Inputs'!$B$7+'Inputs'!$B$10))/SQRT(((A125+'Inputs'!$B$21+'Inputs'!$B$7+'Inputs'!$B$10))^2+('Inputs'!$B$8/2)^2))))*'Results'!$B$8*'Results'!$B$9),""),"")</x:f>
        <x:v>2.225434557681717</x:v>
      </x:c>
      <x:c r="C125" s="18" t="n">
        <x:f>IF('Results'!$B$6="Inputs accepted",IF(AND(ISNUMBER('Results'!C7),ISNUMBER('Results'!B7),ISNUMBER('Results'!$B$8),ISNUMBER('Results'!$B$9),ISNUMBER('Inputs'!$B$6),ISNUMBER('Inputs'!$B$7),ISNUMBER('Inputs'!$B$8),ISNUMBER('Inputs'!$B$9),ISNUMBER('Inputs'!$B$10),ISNUMBER('Inputs'!$B$21),ISNUMBER('Inputs'!$B$24),ISNUMBER('Inputs'!$B$28)),(('Results'!C7*(0.5*(((A125+'Inputs'!$B$21)+'Inputs'!$B$9)/SQRT(((A125+'Inputs'!$B$21)+'Inputs'!$B$9)^2+('Inputs'!$B$8/2)^2)-((A125+'Inputs'!$B$21))/SQRT(((A125+'Inputs'!$B$21))^2+('Inputs'!$B$8/2)^2)))-'Results'!B7*(0.5*(((A125+'Inputs'!$B$21+'Inputs'!$B$9+'Inputs'!$B$10)+'Inputs'!$B$7)/SQRT(((A125+'Inputs'!$B$21+'Inputs'!$B$9+'Inputs'!$B$10)+'Inputs'!$B$7)^2+('Inputs'!$B$6/2)^2)-((A125+'Inputs'!$B$21+'Inputs'!$B$9+'Inputs'!$B$10))/SQRT(((A125+'Inputs'!$B$21+'Inputs'!$B$9+'Inputs'!$B$10))^2+('Inputs'!$B$6/2)^2))))*'Results'!$B$8*'Results'!$B$9),""),"")</x:f>
        <x:v>2.05006727827515</x:v>
      </x:c>
      <x:c r="D125" s="18" t="n">
        <x:f>IF('Results'!$B$6="Inputs accepted",'Results'!B12,"")</x:f>
        <x:v>112.38228018798189</x:v>
      </x:c>
      <x:c r="E125" s="18" t="n">
        <x:f>IF('Results'!$B$6="Inputs accepted",'Results'!C12,"")</x:f>
        <x:v>119.21786205905865</x:v>
      </x:c>
      <x:c r="F125" s="18" t="n">
        <x:f>IF('Results'!$B$6="Inputs accepted",'Results'!B14,"")</x:f>
        <x:v>66.9055158034782</x:v>
      </x:c>
      <x:c r="G125" s="18" t="n">
        <x:f>IF('Results'!$B$6="Inputs accepted",'Results'!C14,"")</x:f>
        <x:v>70.64020731289524</x:v>
      </x:c>
      <x:c r="H125" s="2"/>
      <x:c r="I125" s="2"/>
      <x:c r="J125" s="2"/>
      <x:c r="K125" s="2"/>
      <x:c r="L125" s="2"/>
    </x:row>
    <x:row r="126" ht="22" customHeight="1">
      <x:c r="A126" s="18" t="n">
        <x:f>(126-5)*'Inputs'!$B$33/200</x:f>
        <x:v>24.2</x:v>
      </x:c>
      <x:c r="B126" s="18" t="n">
        <x:f>IF('Results'!$B$6="Inputs accepted",IF(AND(ISNUMBER('Results'!B7),ISNUMBER('Results'!C7),ISNUMBER('Results'!$B$8),ISNUMBER('Results'!$B$9),ISNUMBER('Inputs'!$B$6),ISNUMBER('Inputs'!$B$7),ISNUMBER('Inputs'!$B$8),ISNUMBER('Inputs'!$B$9),ISNUMBER('Inputs'!$B$10),ISNUMBER('Inputs'!$B$21),ISNUMBER('Inputs'!$B$24),ISNUMBER('Inputs'!$B$28)),(('Results'!B7*(0.5*(((A126+'Inputs'!$B$21)+'Inputs'!$B$7)/SQRT(((A126+'Inputs'!$B$21)+'Inputs'!$B$7)^2+('Inputs'!$B$6/2)^2)-((A126+'Inputs'!$B$21))/SQRT(((A126+'Inputs'!$B$21))^2+('Inputs'!$B$6/2)^2)))-'Results'!C7*(0.5*(((A126+'Inputs'!$B$21+'Inputs'!$B$7+'Inputs'!$B$10)+'Inputs'!$B$9)/SQRT(((A126+'Inputs'!$B$21+'Inputs'!$B$7+'Inputs'!$B$10)+'Inputs'!$B$9)^2+('Inputs'!$B$8/2)^2)-((A126+'Inputs'!$B$21+'Inputs'!$B$7+'Inputs'!$B$10))/SQRT(((A126+'Inputs'!$B$21+'Inputs'!$B$7+'Inputs'!$B$10))^2+('Inputs'!$B$8/2)^2))))*'Results'!$B$8*'Results'!$B$9),""),"")</x:f>
        <x:v>2.1617729758020494</x:v>
      </x:c>
      <x:c r="C126" s="18" t="n">
        <x:f>IF('Results'!$B$6="Inputs accepted",IF(AND(ISNUMBER('Results'!C7),ISNUMBER('Results'!B7),ISNUMBER('Results'!$B$8),ISNUMBER('Results'!$B$9),ISNUMBER('Inputs'!$B$6),ISNUMBER('Inputs'!$B$7),ISNUMBER('Inputs'!$B$8),ISNUMBER('Inputs'!$B$9),ISNUMBER('Inputs'!$B$10),ISNUMBER('Inputs'!$B$21),ISNUMBER('Inputs'!$B$24),ISNUMBER('Inputs'!$B$28)),(('Results'!C7*(0.5*(((A126+'Inputs'!$B$21)+'Inputs'!$B$9)/SQRT(((A126+'Inputs'!$B$21)+'Inputs'!$B$9)^2+('Inputs'!$B$8/2)^2)-((A126+'Inputs'!$B$21))/SQRT(((A126+'Inputs'!$B$21))^2+('Inputs'!$B$8/2)^2)))-'Results'!B7*(0.5*(((A126+'Inputs'!$B$21+'Inputs'!$B$9+'Inputs'!$B$10)+'Inputs'!$B$7)/SQRT(((A126+'Inputs'!$B$21+'Inputs'!$B$9+'Inputs'!$B$10)+'Inputs'!$B$7)^2+('Inputs'!$B$6/2)^2)-((A126+'Inputs'!$B$21+'Inputs'!$B$9+'Inputs'!$B$10))/SQRT(((A126+'Inputs'!$B$21+'Inputs'!$B$9+'Inputs'!$B$10))^2+('Inputs'!$B$6/2)^2))))*'Results'!$B$8*'Results'!$B$9),""),"")</x:f>
        <x:v>1.990287715893908</x:v>
      </x:c>
      <x:c r="D126" s="18" t="n">
        <x:f>IF('Results'!$B$6="Inputs accepted",'Results'!B12,"")</x:f>
        <x:v>112.38228018798189</x:v>
      </x:c>
      <x:c r="E126" s="18" t="n">
        <x:f>IF('Results'!$B$6="Inputs accepted",'Results'!C12,"")</x:f>
        <x:v>119.21786205905865</x:v>
      </x:c>
      <x:c r="F126" s="18" t="n">
        <x:f>IF('Results'!$B$6="Inputs accepted",'Results'!B14,"")</x:f>
        <x:v>66.9055158034782</x:v>
      </x:c>
      <x:c r="G126" s="18" t="n">
        <x:f>IF('Results'!$B$6="Inputs accepted",'Results'!C14,"")</x:f>
        <x:v>70.64020731289524</x:v>
      </x:c>
      <x:c r="H126" s="2"/>
      <x:c r="I126" s="2"/>
      <x:c r="J126" s="2"/>
      <x:c r="K126" s="2"/>
      <x:c r="L126" s="2"/>
    </x:row>
    <x:row r="127" ht="22" customHeight="1">
      <x:c r="A127" s="18" t="n">
        <x:f>(127-5)*'Inputs'!$B$33/200</x:f>
        <x:v>24.4</x:v>
      </x:c>
      <x:c r="B127" s="18" t="n">
        <x:f>IF('Results'!$B$6="Inputs accepted",IF(AND(ISNUMBER('Results'!B7),ISNUMBER('Results'!C7),ISNUMBER('Results'!$B$8),ISNUMBER('Results'!$B$9),ISNUMBER('Inputs'!$B$6),ISNUMBER('Inputs'!$B$7),ISNUMBER('Inputs'!$B$8),ISNUMBER('Inputs'!$B$9),ISNUMBER('Inputs'!$B$10),ISNUMBER('Inputs'!$B$21),ISNUMBER('Inputs'!$B$24),ISNUMBER('Inputs'!$B$28)),(('Results'!B7*(0.5*(((A127+'Inputs'!$B$21)+'Inputs'!$B$7)/SQRT(((A127+'Inputs'!$B$21)+'Inputs'!$B$7)^2+('Inputs'!$B$6/2)^2)-((A127+'Inputs'!$B$21))/SQRT(((A127+'Inputs'!$B$21))^2+('Inputs'!$B$6/2)^2)))-'Results'!C7*(0.5*(((A127+'Inputs'!$B$21+'Inputs'!$B$7+'Inputs'!$B$10)+'Inputs'!$B$9)/SQRT(((A127+'Inputs'!$B$21+'Inputs'!$B$7+'Inputs'!$B$10)+'Inputs'!$B$9)^2+('Inputs'!$B$8/2)^2)-((A127+'Inputs'!$B$21+'Inputs'!$B$7+'Inputs'!$B$10))/SQRT(((A127+'Inputs'!$B$21+'Inputs'!$B$7+'Inputs'!$B$10))^2+('Inputs'!$B$8/2)^2))))*'Results'!$B$8*'Results'!$B$9),""),"")</x:f>
        <x:v>2.100377506580739</x:v>
      </x:c>
      <x:c r="C127" s="18" t="n">
        <x:f>IF('Results'!$B$6="Inputs accepted",IF(AND(ISNUMBER('Results'!C7),ISNUMBER('Results'!B7),ISNUMBER('Results'!$B$8),ISNUMBER('Results'!$B$9),ISNUMBER('Inputs'!$B$6),ISNUMBER('Inputs'!$B$7),ISNUMBER('Inputs'!$B$8),ISNUMBER('Inputs'!$B$9),ISNUMBER('Inputs'!$B$10),ISNUMBER('Inputs'!$B$21),ISNUMBER('Inputs'!$B$24),ISNUMBER('Inputs'!$B$28)),(('Results'!C7*(0.5*(((A127+'Inputs'!$B$21)+'Inputs'!$B$9)/SQRT(((A127+'Inputs'!$B$21)+'Inputs'!$B$9)^2+('Inputs'!$B$8/2)^2)-((A127+'Inputs'!$B$21))/SQRT(((A127+'Inputs'!$B$21))^2+('Inputs'!$B$8/2)^2)))-'Results'!B7*(0.5*(((A127+'Inputs'!$B$21+'Inputs'!$B$9+'Inputs'!$B$10)+'Inputs'!$B$7)/SQRT(((A127+'Inputs'!$B$21+'Inputs'!$B$9+'Inputs'!$B$10)+'Inputs'!$B$7)^2+('Inputs'!$B$6/2)^2)-((A127+'Inputs'!$B$21+'Inputs'!$B$9+'Inputs'!$B$10))/SQRT(((A127+'Inputs'!$B$21+'Inputs'!$B$9+'Inputs'!$B$10))^2+('Inputs'!$B$6/2)^2))))*'Results'!$B$8*'Results'!$B$9),""),"")</x:f>
        <x:v>1.9326602358248883</x:v>
      </x:c>
      <x:c r="D127" s="18" t="n">
        <x:f>IF('Results'!$B$6="Inputs accepted",'Results'!B12,"")</x:f>
        <x:v>112.38228018798189</x:v>
      </x:c>
      <x:c r="E127" s="18" t="n">
        <x:f>IF('Results'!$B$6="Inputs accepted",'Results'!C12,"")</x:f>
        <x:v>119.21786205905865</x:v>
      </x:c>
      <x:c r="F127" s="18" t="n">
        <x:f>IF('Results'!$B$6="Inputs accepted",'Results'!B14,"")</x:f>
        <x:v>66.9055158034782</x:v>
      </x:c>
      <x:c r="G127" s="18" t="n">
        <x:f>IF('Results'!$B$6="Inputs accepted",'Results'!C14,"")</x:f>
        <x:v>70.64020731289524</x:v>
      </x:c>
      <x:c r="H127" s="2"/>
      <x:c r="I127" s="2"/>
      <x:c r="J127" s="2"/>
      <x:c r="K127" s="2"/>
      <x:c r="L127" s="2"/>
    </x:row>
    <x:row r="128" ht="22" customHeight="1">
      <x:c r="A128" s="18" t="n">
        <x:f>(128-5)*'Inputs'!$B$33/200</x:f>
        <x:v>24.6</x:v>
      </x:c>
      <x:c r="B128" s="18" t="n">
        <x:f>IF('Results'!$B$6="Inputs accepted",IF(AND(ISNUMBER('Results'!B7),ISNUMBER('Results'!C7),ISNUMBER('Results'!$B$8),ISNUMBER('Results'!$B$9),ISNUMBER('Inputs'!$B$6),ISNUMBER('Inputs'!$B$7),ISNUMBER('Inputs'!$B$8),ISNUMBER('Inputs'!$B$9),ISNUMBER('Inputs'!$B$10),ISNUMBER('Inputs'!$B$21),ISNUMBER('Inputs'!$B$24),ISNUMBER('Inputs'!$B$28)),(('Results'!B7*(0.5*(((A128+'Inputs'!$B$21)+'Inputs'!$B$7)/SQRT(((A128+'Inputs'!$B$21)+'Inputs'!$B$7)^2+('Inputs'!$B$6/2)^2)-((A128+'Inputs'!$B$21))/SQRT(((A128+'Inputs'!$B$21))^2+('Inputs'!$B$6/2)^2)))-'Results'!C7*(0.5*(((A128+'Inputs'!$B$21+'Inputs'!$B$7+'Inputs'!$B$10)+'Inputs'!$B$9)/SQRT(((A128+'Inputs'!$B$21+'Inputs'!$B$7+'Inputs'!$B$10)+'Inputs'!$B$9)^2+('Inputs'!$B$8/2)^2)-((A128+'Inputs'!$B$21+'Inputs'!$B$7+'Inputs'!$B$10))/SQRT(((A128+'Inputs'!$B$21+'Inputs'!$B$7+'Inputs'!$B$10))^2+('Inputs'!$B$8/2)^2))))*'Results'!$B$8*'Results'!$B$9),""),"")</x:f>
        <x:v>2.0411519730883367</x:v>
      </x:c>
      <x:c r="C128" s="18" t="n">
        <x:f>IF('Results'!$B$6="Inputs accepted",IF(AND(ISNUMBER('Results'!C7),ISNUMBER('Results'!B7),ISNUMBER('Results'!$B$8),ISNUMBER('Results'!$B$9),ISNUMBER('Inputs'!$B$6),ISNUMBER('Inputs'!$B$7),ISNUMBER('Inputs'!$B$8),ISNUMBER('Inputs'!$B$9),ISNUMBER('Inputs'!$B$10),ISNUMBER('Inputs'!$B$21),ISNUMBER('Inputs'!$B$24),ISNUMBER('Inputs'!$B$28)),(('Results'!C7*(0.5*(((A128+'Inputs'!$B$21)+'Inputs'!$B$9)/SQRT(((A128+'Inputs'!$B$21)+'Inputs'!$B$9)^2+('Inputs'!$B$8/2)^2)-((A128+'Inputs'!$B$21))/SQRT(((A128+'Inputs'!$B$21))^2+('Inputs'!$B$8/2)^2)))-'Results'!B7*(0.5*(((A128+'Inputs'!$B$21+'Inputs'!$B$9+'Inputs'!$B$10)+'Inputs'!$B$7)/SQRT(((A128+'Inputs'!$B$21+'Inputs'!$B$9+'Inputs'!$B$10)+'Inputs'!$B$7)^2+('Inputs'!$B$6/2)^2)-((A128+'Inputs'!$B$21+'Inputs'!$B$9+'Inputs'!$B$10))/SQRT(((A128+'Inputs'!$B$21+'Inputs'!$B$9+'Inputs'!$B$10))^2+('Inputs'!$B$6/2)^2))))*'Results'!$B$8*'Results'!$B$9),""),"")</x:f>
        <x:v>1.8770928260280828</x:v>
      </x:c>
      <x:c r="D128" s="18" t="n">
        <x:f>IF('Results'!$B$6="Inputs accepted",'Results'!B12,"")</x:f>
        <x:v>112.38228018798189</x:v>
      </x:c>
      <x:c r="E128" s="18" t="n">
        <x:f>IF('Results'!$B$6="Inputs accepted",'Results'!C12,"")</x:f>
        <x:v>119.21786205905865</x:v>
      </x:c>
      <x:c r="F128" s="18" t="n">
        <x:f>IF('Results'!$B$6="Inputs accepted",'Results'!B14,"")</x:f>
        <x:v>66.9055158034782</x:v>
      </x:c>
      <x:c r="G128" s="18" t="n">
        <x:f>IF('Results'!$B$6="Inputs accepted",'Results'!C14,"")</x:f>
        <x:v>70.64020731289524</x:v>
      </x:c>
      <x:c r="H128" s="2"/>
      <x:c r="I128" s="2"/>
      <x:c r="J128" s="2"/>
      <x:c r="K128" s="2"/>
      <x:c r="L128" s="2"/>
    </x:row>
    <x:row r="129" ht="22" customHeight="1">
      <x:c r="A129" s="18" t="n">
        <x:f>(129-5)*'Inputs'!$B$33/200</x:f>
        <x:v>24.8</x:v>
      </x:c>
      <x:c r="B129" s="18" t="n">
        <x:f>IF('Results'!$B$6="Inputs accepted",IF(AND(ISNUMBER('Results'!B7),ISNUMBER('Results'!C7),ISNUMBER('Results'!$B$8),ISNUMBER('Results'!$B$9),ISNUMBER('Inputs'!$B$6),ISNUMBER('Inputs'!$B$7),ISNUMBER('Inputs'!$B$8),ISNUMBER('Inputs'!$B$9),ISNUMBER('Inputs'!$B$10),ISNUMBER('Inputs'!$B$21),ISNUMBER('Inputs'!$B$24),ISNUMBER('Inputs'!$B$28)),(('Results'!B7*(0.5*(((A129+'Inputs'!$B$21)+'Inputs'!$B$7)/SQRT(((A129+'Inputs'!$B$21)+'Inputs'!$B$7)^2+('Inputs'!$B$6/2)^2)-((A129+'Inputs'!$B$21))/SQRT(((A129+'Inputs'!$B$21))^2+('Inputs'!$B$6/2)^2)))-'Results'!C7*(0.5*(((A129+'Inputs'!$B$21+'Inputs'!$B$7+'Inputs'!$B$10)+'Inputs'!$B$9)/SQRT(((A129+'Inputs'!$B$21+'Inputs'!$B$7+'Inputs'!$B$10)+'Inputs'!$B$9)^2+('Inputs'!$B$8/2)^2)-((A129+'Inputs'!$B$21+'Inputs'!$B$7+'Inputs'!$B$10))/SQRT(((A129+'Inputs'!$B$21+'Inputs'!$B$7+'Inputs'!$B$10))^2+('Inputs'!$B$8/2)^2))))*'Results'!$B$8*'Results'!$B$9),""),"")</x:f>
        <x:v>1.9840049259373007</x:v>
      </x:c>
      <x:c r="C129" s="18" t="n">
        <x:f>IF('Results'!$B$6="Inputs accepted",IF(AND(ISNUMBER('Results'!C7),ISNUMBER('Results'!B7),ISNUMBER('Results'!$B$8),ISNUMBER('Results'!$B$9),ISNUMBER('Inputs'!$B$6),ISNUMBER('Inputs'!$B$7),ISNUMBER('Inputs'!$B$8),ISNUMBER('Inputs'!$B$9),ISNUMBER('Inputs'!$B$10),ISNUMBER('Inputs'!$B$21),ISNUMBER('Inputs'!$B$24),ISNUMBER('Inputs'!$B$28)),(('Results'!C7*(0.5*(((A129+'Inputs'!$B$21)+'Inputs'!$B$9)/SQRT(((A129+'Inputs'!$B$21)+'Inputs'!$B$9)^2+('Inputs'!$B$8/2)^2)-((A129+'Inputs'!$B$21))/SQRT(((A129+'Inputs'!$B$21))^2+('Inputs'!$B$8/2)^2)))-'Results'!B7*(0.5*(((A129+'Inputs'!$B$21+'Inputs'!$B$9+'Inputs'!$B$10)+'Inputs'!$B$7)/SQRT(((A129+'Inputs'!$B$21+'Inputs'!$B$9+'Inputs'!$B$10)+'Inputs'!$B$7)^2+('Inputs'!$B$6/2)^2)-((A129+'Inputs'!$B$21+'Inputs'!$B$9+'Inputs'!$B$10))/SQRT(((A129+'Inputs'!$B$21+'Inputs'!$B$9+'Inputs'!$B$10))^2+('Inputs'!$B$6/2)^2))))*'Results'!$B$8*'Results'!$B$9),""),"")</x:f>
        <x:v>1.8234980205101892</x:v>
      </x:c>
      <x:c r="D129" s="18" t="n">
        <x:f>IF('Results'!$B$6="Inputs accepted",'Results'!B12,"")</x:f>
        <x:v>112.38228018798189</x:v>
      </x:c>
      <x:c r="E129" s="18" t="n">
        <x:f>IF('Results'!$B$6="Inputs accepted",'Results'!C12,"")</x:f>
        <x:v>119.21786205905865</x:v>
      </x:c>
      <x:c r="F129" s="18" t="n">
        <x:f>IF('Results'!$B$6="Inputs accepted",'Results'!B14,"")</x:f>
        <x:v>66.9055158034782</x:v>
      </x:c>
      <x:c r="G129" s="18" t="n">
        <x:f>IF('Results'!$B$6="Inputs accepted",'Results'!C14,"")</x:f>
        <x:v>70.64020731289524</x:v>
      </x:c>
      <x:c r="H129" s="2"/>
      <x:c r="I129" s="2"/>
      <x:c r="J129" s="2"/>
      <x:c r="K129" s="2"/>
      <x:c r="L129" s="2"/>
    </x:row>
    <x:row r="130" ht="22" customHeight="1">
      <x:c r="A130" s="18" t="n">
        <x:f>(130-5)*'Inputs'!$B$33/200</x:f>
        <x:v>25</x:v>
      </x:c>
      <x:c r="B130" s="18" t="n">
        <x:f>IF('Results'!$B$6="Inputs accepted",IF(AND(ISNUMBER('Results'!B7),ISNUMBER('Results'!C7),ISNUMBER('Results'!$B$8),ISNUMBER('Results'!$B$9),ISNUMBER('Inputs'!$B$6),ISNUMBER('Inputs'!$B$7),ISNUMBER('Inputs'!$B$8),ISNUMBER('Inputs'!$B$9),ISNUMBER('Inputs'!$B$10),ISNUMBER('Inputs'!$B$21),ISNUMBER('Inputs'!$B$24),ISNUMBER('Inputs'!$B$28)),(('Results'!B7*(0.5*(((A130+'Inputs'!$B$21)+'Inputs'!$B$7)/SQRT(((A130+'Inputs'!$B$21)+'Inputs'!$B$7)^2+('Inputs'!$B$6/2)^2)-((A130+'Inputs'!$B$21))/SQRT(((A130+'Inputs'!$B$21))^2+('Inputs'!$B$6/2)^2)))-'Results'!C7*(0.5*(((A130+'Inputs'!$B$21+'Inputs'!$B$7+'Inputs'!$B$10)+'Inputs'!$B$9)/SQRT(((A130+'Inputs'!$B$21+'Inputs'!$B$7+'Inputs'!$B$10)+'Inputs'!$B$9)^2+('Inputs'!$B$8/2)^2)-((A130+'Inputs'!$B$21+'Inputs'!$B$7+'Inputs'!$B$10))/SQRT(((A130+'Inputs'!$B$21+'Inputs'!$B$7+'Inputs'!$B$10))^2+('Inputs'!$B$8/2)^2))))*'Results'!$B$8*'Results'!$B$9),""),"")</x:f>
        <x:v>1.9288493797645943</x:v>
      </x:c>
      <x:c r="C130" s="18" t="n">
        <x:f>IF('Results'!$B$6="Inputs accepted",IF(AND(ISNUMBER('Results'!C7),ISNUMBER('Results'!B7),ISNUMBER('Results'!$B$8),ISNUMBER('Results'!$B$9),ISNUMBER('Inputs'!$B$6),ISNUMBER('Inputs'!$B$7),ISNUMBER('Inputs'!$B$8),ISNUMBER('Inputs'!$B$9),ISNUMBER('Inputs'!$B$10),ISNUMBER('Inputs'!$B$21),ISNUMBER('Inputs'!$B$24),ISNUMBER('Inputs'!$B$28)),(('Results'!C7*(0.5*(((A130+'Inputs'!$B$21)+'Inputs'!$B$9)/SQRT(((A130+'Inputs'!$B$21)+'Inputs'!$B$9)^2+('Inputs'!$B$8/2)^2)-((A130+'Inputs'!$B$21))/SQRT(((A130+'Inputs'!$B$21))^2+('Inputs'!$B$8/2)^2)))-'Results'!B7*(0.5*(((A130+'Inputs'!$B$21+'Inputs'!$B$9+'Inputs'!$B$10)+'Inputs'!$B$7)/SQRT(((A130+'Inputs'!$B$21+'Inputs'!$B$9+'Inputs'!$B$10)+'Inputs'!$B$7)^2+('Inputs'!$B$6/2)^2)-((A130+'Inputs'!$B$21+'Inputs'!$B$9+'Inputs'!$B$10))/SQRT(((A130+'Inputs'!$B$21+'Inputs'!$B$9+'Inputs'!$B$10))^2+('Inputs'!$B$6/2)^2))))*'Results'!$B$8*'Results'!$B$9),""),"")</x:f>
        <x:v>1.771792644977104</x:v>
      </x:c>
      <x:c r="D130" s="18" t="n">
        <x:f>IF('Results'!$B$6="Inputs accepted",'Results'!B12,"")</x:f>
        <x:v>112.38228018798189</x:v>
      </x:c>
      <x:c r="E130" s="18" t="n">
        <x:f>IF('Results'!$B$6="Inputs accepted",'Results'!C12,"")</x:f>
        <x:v>119.21786205905865</x:v>
      </x:c>
      <x:c r="F130" s="18" t="n">
        <x:f>IF('Results'!$B$6="Inputs accepted",'Results'!B14,"")</x:f>
        <x:v>66.9055158034782</x:v>
      </x:c>
      <x:c r="G130" s="18" t="n">
        <x:f>IF('Results'!$B$6="Inputs accepted",'Results'!C14,"")</x:f>
        <x:v>70.64020731289524</x:v>
      </x:c>
      <x:c r="H130" s="2"/>
      <x:c r="I130" s="2"/>
      <x:c r="J130" s="2"/>
      <x:c r="K130" s="2"/>
      <x:c r="L130" s="2"/>
    </x:row>
    <x:row r="131" ht="22" customHeight="1">
      <x:c r="A131" s="18" t="n">
        <x:f>(131-5)*'Inputs'!$B$33/200</x:f>
        <x:v>25.2</x:v>
      </x:c>
      <x:c r="B131" s="18" t="n">
        <x:f>IF('Results'!$B$6="Inputs accepted",IF(AND(ISNUMBER('Results'!B7),ISNUMBER('Results'!C7),ISNUMBER('Results'!$B$8),ISNUMBER('Results'!$B$9),ISNUMBER('Inputs'!$B$6),ISNUMBER('Inputs'!$B$7),ISNUMBER('Inputs'!$B$8),ISNUMBER('Inputs'!$B$9),ISNUMBER('Inputs'!$B$10),ISNUMBER('Inputs'!$B$21),ISNUMBER('Inputs'!$B$24),ISNUMBER('Inputs'!$B$28)),(('Results'!B7*(0.5*(((A131+'Inputs'!$B$21)+'Inputs'!$B$7)/SQRT(((A131+'Inputs'!$B$21)+'Inputs'!$B$7)^2+('Inputs'!$B$6/2)^2)-((A131+'Inputs'!$B$21))/SQRT(((A131+'Inputs'!$B$21))^2+('Inputs'!$B$6/2)^2)))-'Results'!C7*(0.5*(((A131+'Inputs'!$B$21+'Inputs'!$B$7+'Inputs'!$B$10)+'Inputs'!$B$9)/SQRT(((A131+'Inputs'!$B$21+'Inputs'!$B$7+'Inputs'!$B$10)+'Inputs'!$B$9)^2+('Inputs'!$B$8/2)^2)-((A131+'Inputs'!$B$21+'Inputs'!$B$7+'Inputs'!$B$10))/SQRT(((A131+'Inputs'!$B$21+'Inputs'!$B$7+'Inputs'!$B$10))^2+('Inputs'!$B$8/2)^2))))*'Results'!$B$8*'Results'!$B$9),""),"")</x:f>
        <x:v>1.87560256610702</x:v>
      </x:c>
      <x:c r="C131" s="18" t="n">
        <x:f>IF('Results'!$B$6="Inputs accepted",IF(AND(ISNUMBER('Results'!C7),ISNUMBER('Results'!B7),ISNUMBER('Results'!$B$8),ISNUMBER('Results'!$B$9),ISNUMBER('Inputs'!$B$6),ISNUMBER('Inputs'!$B$7),ISNUMBER('Inputs'!$B$8),ISNUMBER('Inputs'!$B$9),ISNUMBER('Inputs'!$B$10),ISNUMBER('Inputs'!$B$21),ISNUMBER('Inputs'!$B$24),ISNUMBER('Inputs'!$B$28)),(('Results'!C7*(0.5*(((A131+'Inputs'!$B$21)+'Inputs'!$B$9)/SQRT(((A131+'Inputs'!$B$21)+'Inputs'!$B$9)^2+('Inputs'!$B$8/2)^2)-((A131+'Inputs'!$B$21))/SQRT(((A131+'Inputs'!$B$21))^2+('Inputs'!$B$8/2)^2)))-'Results'!B7*(0.5*(((A131+'Inputs'!$B$21+'Inputs'!$B$9+'Inputs'!$B$10)+'Inputs'!$B$7)/SQRT(((A131+'Inputs'!$B$21+'Inputs'!$B$9+'Inputs'!$B$10)+'Inputs'!$B$7)^2+('Inputs'!$B$6/2)^2)-((A131+'Inputs'!$B$21+'Inputs'!$B$9+'Inputs'!$B$10))/SQRT(((A131+'Inputs'!$B$21+'Inputs'!$B$9+'Inputs'!$B$10))^2+('Inputs'!$B$6/2)^2))))*'Results'!$B$8*'Results'!$B$9),""),"")</x:f>
        <x:v>1.7218975783528174</x:v>
      </x:c>
      <x:c r="D131" s="18" t="n">
        <x:f>IF('Results'!$B$6="Inputs accepted",'Results'!B12,"")</x:f>
        <x:v>112.38228018798189</x:v>
      </x:c>
      <x:c r="E131" s="18" t="n">
        <x:f>IF('Results'!$B$6="Inputs accepted",'Results'!C12,"")</x:f>
        <x:v>119.21786205905865</x:v>
      </x:c>
      <x:c r="F131" s="18" t="n">
        <x:f>IF('Results'!$B$6="Inputs accepted",'Results'!B14,"")</x:f>
        <x:v>66.9055158034782</x:v>
      </x:c>
      <x:c r="G131" s="18" t="n">
        <x:f>IF('Results'!$B$6="Inputs accepted",'Results'!C14,"")</x:f>
        <x:v>70.64020731289524</x:v>
      </x:c>
      <x:c r="H131" s="2"/>
      <x:c r="I131" s="2"/>
      <x:c r="J131" s="2"/>
      <x:c r="K131" s="2"/>
      <x:c r="L131" s="2"/>
    </x:row>
    <x:row r="132" ht="22" customHeight="1">
      <x:c r="A132" s="18" t="n">
        <x:f>(132-5)*'Inputs'!$B$33/200</x:f>
        <x:v>25.4</x:v>
      </x:c>
      <x:c r="B132" s="18" t="n">
        <x:f>IF('Results'!$B$6="Inputs accepted",IF(AND(ISNUMBER('Results'!B7),ISNUMBER('Results'!C7),ISNUMBER('Results'!$B$8),ISNUMBER('Results'!$B$9),ISNUMBER('Inputs'!$B$6),ISNUMBER('Inputs'!$B$7),ISNUMBER('Inputs'!$B$8),ISNUMBER('Inputs'!$B$9),ISNUMBER('Inputs'!$B$10),ISNUMBER('Inputs'!$B$21),ISNUMBER('Inputs'!$B$24),ISNUMBER('Inputs'!$B$28)),(('Results'!B7*(0.5*(((A132+'Inputs'!$B$21)+'Inputs'!$B$7)/SQRT(((A132+'Inputs'!$B$21)+'Inputs'!$B$7)^2+('Inputs'!$B$6/2)^2)-((A132+'Inputs'!$B$21))/SQRT(((A132+'Inputs'!$B$21))^2+('Inputs'!$B$6/2)^2)))-'Results'!C7*(0.5*(((A132+'Inputs'!$B$21+'Inputs'!$B$7+'Inputs'!$B$10)+'Inputs'!$B$9)/SQRT(((A132+'Inputs'!$B$21+'Inputs'!$B$7+'Inputs'!$B$10)+'Inputs'!$B$9)^2+('Inputs'!$B$8/2)^2)-((A132+'Inputs'!$B$21+'Inputs'!$B$7+'Inputs'!$B$10))/SQRT(((A132+'Inputs'!$B$21+'Inputs'!$B$7+'Inputs'!$B$10))^2+('Inputs'!$B$8/2)^2))))*'Results'!$B$8*'Results'!$B$9),""),"")</x:f>
        <x:v>1.8241857015365917</x:v>
      </x:c>
      <x:c r="C132" s="18" t="n">
        <x:f>IF('Results'!$B$6="Inputs accepted",IF(AND(ISNUMBER('Results'!C7),ISNUMBER('Results'!B7),ISNUMBER('Results'!$B$8),ISNUMBER('Results'!$B$9),ISNUMBER('Inputs'!$B$6),ISNUMBER('Inputs'!$B$7),ISNUMBER('Inputs'!$B$8),ISNUMBER('Inputs'!$B$9),ISNUMBER('Inputs'!$B$10),ISNUMBER('Inputs'!$B$21),ISNUMBER('Inputs'!$B$24),ISNUMBER('Inputs'!$B$28)),(('Results'!C7*(0.5*(((A132+'Inputs'!$B$21)+'Inputs'!$B$9)/SQRT(((A132+'Inputs'!$B$21)+'Inputs'!$B$9)^2+('Inputs'!$B$8/2)^2)-((A132+'Inputs'!$B$21))/SQRT(((A132+'Inputs'!$B$21))^2+('Inputs'!$B$8/2)^2)))-'Results'!B7*(0.5*(((A132+'Inputs'!$B$21+'Inputs'!$B$9+'Inputs'!$B$10)+'Inputs'!$B$7)/SQRT(((A132+'Inputs'!$B$21+'Inputs'!$B$9+'Inputs'!$B$10)+'Inputs'!$B$7)^2+('Inputs'!$B$6/2)^2)-((A132+'Inputs'!$B$21+'Inputs'!$B$9+'Inputs'!$B$10))/SQRT(((A132+'Inputs'!$B$21+'Inputs'!$B$9+'Inputs'!$B$10))^2+('Inputs'!$B$6/2)^2))))*'Results'!$B$8*'Results'!$B$9),""),"")</x:f>
        <x:v>1.6737375290664815</x:v>
      </x:c>
      <x:c r="D132" s="18" t="n">
        <x:f>IF('Results'!$B$6="Inputs accepted",'Results'!B12,"")</x:f>
        <x:v>112.38228018798189</x:v>
      </x:c>
      <x:c r="E132" s="18" t="n">
        <x:f>IF('Results'!$B$6="Inputs accepted",'Results'!C12,"")</x:f>
        <x:v>119.21786205905865</x:v>
      </x:c>
      <x:c r="F132" s="18" t="n">
        <x:f>IF('Results'!$B$6="Inputs accepted",'Results'!B14,"")</x:f>
        <x:v>66.9055158034782</x:v>
      </x:c>
      <x:c r="G132" s="18" t="n">
        <x:f>IF('Results'!$B$6="Inputs accepted",'Results'!C14,"")</x:f>
        <x:v>70.64020731289524</x:v>
      </x:c>
      <x:c r="H132" s="2"/>
      <x:c r="I132" s="2"/>
      <x:c r="J132" s="2"/>
      <x:c r="K132" s="2"/>
      <x:c r="L132" s="2"/>
    </x:row>
    <x:row r="133" ht="22" customHeight="1">
      <x:c r="A133" s="18" t="n">
        <x:f>(133-5)*'Inputs'!$B$33/200</x:f>
        <x:v>25.6</x:v>
      </x:c>
      <x:c r="B133" s="18" t="n">
        <x:f>IF('Results'!$B$6="Inputs accepted",IF(AND(ISNUMBER('Results'!B7),ISNUMBER('Results'!C7),ISNUMBER('Results'!$B$8),ISNUMBER('Results'!$B$9),ISNUMBER('Inputs'!$B$6),ISNUMBER('Inputs'!$B$7),ISNUMBER('Inputs'!$B$8),ISNUMBER('Inputs'!$B$9),ISNUMBER('Inputs'!$B$10),ISNUMBER('Inputs'!$B$21),ISNUMBER('Inputs'!$B$24),ISNUMBER('Inputs'!$B$28)),(('Results'!B7*(0.5*(((A133+'Inputs'!$B$21)+'Inputs'!$B$7)/SQRT(((A133+'Inputs'!$B$21)+'Inputs'!$B$7)^2+('Inputs'!$B$6/2)^2)-((A133+'Inputs'!$B$21))/SQRT(((A133+'Inputs'!$B$21))^2+('Inputs'!$B$6/2)^2)))-'Results'!C7*(0.5*(((A133+'Inputs'!$B$21+'Inputs'!$B$7+'Inputs'!$B$10)+'Inputs'!$B$9)/SQRT(((A133+'Inputs'!$B$21+'Inputs'!$B$7+'Inputs'!$B$10)+'Inputs'!$B$9)^2+('Inputs'!$B$8/2)^2)-((A133+'Inputs'!$B$21+'Inputs'!$B$7+'Inputs'!$B$10))/SQRT(((A133+'Inputs'!$B$21+'Inputs'!$B$7+'Inputs'!$B$10))^2+('Inputs'!$B$8/2)^2))))*'Results'!$B$8*'Results'!$B$9),""),"")</x:f>
        <x:v>1.7745237700343872</x:v>
      </x:c>
      <x:c r="C133" s="18" t="n">
        <x:f>IF('Results'!$B$6="Inputs accepted",IF(AND(ISNUMBER('Results'!C7),ISNUMBER('Results'!B7),ISNUMBER('Results'!$B$8),ISNUMBER('Results'!$B$9),ISNUMBER('Inputs'!$B$6),ISNUMBER('Inputs'!$B$7),ISNUMBER('Inputs'!$B$8),ISNUMBER('Inputs'!$B$9),ISNUMBER('Inputs'!$B$10),ISNUMBER('Inputs'!$B$21),ISNUMBER('Inputs'!$B$24),ISNUMBER('Inputs'!$B$28)),(('Results'!C7*(0.5*(((A133+'Inputs'!$B$21)+'Inputs'!$B$9)/SQRT(((A133+'Inputs'!$B$21)+'Inputs'!$B$9)^2+('Inputs'!$B$8/2)^2)-((A133+'Inputs'!$B$21))/SQRT(((A133+'Inputs'!$B$21))^2+('Inputs'!$B$8/2)^2)))-'Results'!B7*(0.5*(((A133+'Inputs'!$B$21+'Inputs'!$B$9+'Inputs'!$B$10)+'Inputs'!$B$7)/SQRT(((A133+'Inputs'!$B$21+'Inputs'!$B$9+'Inputs'!$B$10)+'Inputs'!$B$7)^2+('Inputs'!$B$6/2)^2)-((A133+'Inputs'!$B$21+'Inputs'!$B$9+'Inputs'!$B$10))/SQRT(((A133+'Inputs'!$B$21+'Inputs'!$B$9+'Inputs'!$B$10))^2+('Inputs'!$B$6/2)^2))))*'Results'!$B$8*'Results'!$B$9),""),"")</x:f>
        <x:v>1.6272408251170387</x:v>
      </x:c>
      <x:c r="D133" s="18" t="n">
        <x:f>IF('Results'!$B$6="Inputs accepted",'Results'!B12,"")</x:f>
        <x:v>112.38228018798189</x:v>
      </x:c>
      <x:c r="E133" s="18" t="n">
        <x:f>IF('Results'!$B$6="Inputs accepted",'Results'!C12,"")</x:f>
        <x:v>119.21786205905865</x:v>
      </x:c>
      <x:c r="F133" s="18" t="n">
        <x:f>IF('Results'!$B$6="Inputs accepted",'Results'!B14,"")</x:f>
        <x:v>66.9055158034782</x:v>
      </x:c>
      <x:c r="G133" s="18" t="n">
        <x:f>IF('Results'!$B$6="Inputs accepted",'Results'!C14,"")</x:f>
        <x:v>70.64020731289524</x:v>
      </x:c>
      <x:c r="H133" s="2"/>
      <x:c r="I133" s="2"/>
      <x:c r="J133" s="2"/>
      <x:c r="K133" s="2"/>
      <x:c r="L133" s="2"/>
    </x:row>
    <x:row r="134" ht="22" customHeight="1">
      <x:c r="A134" s="18" t="n">
        <x:f>(134-5)*'Inputs'!$B$33/200</x:f>
        <x:v>25.8</x:v>
      </x:c>
      <x:c r="B134" s="18" t="n">
        <x:f>IF('Results'!$B$6="Inputs accepted",IF(AND(ISNUMBER('Results'!B7),ISNUMBER('Results'!C7),ISNUMBER('Results'!$B$8),ISNUMBER('Results'!$B$9),ISNUMBER('Inputs'!$B$6),ISNUMBER('Inputs'!$B$7),ISNUMBER('Inputs'!$B$8),ISNUMBER('Inputs'!$B$9),ISNUMBER('Inputs'!$B$10),ISNUMBER('Inputs'!$B$21),ISNUMBER('Inputs'!$B$24),ISNUMBER('Inputs'!$B$28)),(('Results'!B7*(0.5*(((A134+'Inputs'!$B$21)+'Inputs'!$B$7)/SQRT(((A134+'Inputs'!$B$21)+'Inputs'!$B$7)^2+('Inputs'!$B$6/2)^2)-((A134+'Inputs'!$B$21))/SQRT(((A134+'Inputs'!$B$21))^2+('Inputs'!$B$6/2)^2)))-'Results'!C7*(0.5*(((A134+'Inputs'!$B$21+'Inputs'!$B$7+'Inputs'!$B$10)+'Inputs'!$B$9)/SQRT(((A134+'Inputs'!$B$21+'Inputs'!$B$7+'Inputs'!$B$10)+'Inputs'!$B$9)^2+('Inputs'!$B$8/2)^2)-((A134+'Inputs'!$B$21+'Inputs'!$B$7+'Inputs'!$B$10))/SQRT(((A134+'Inputs'!$B$21+'Inputs'!$B$7+'Inputs'!$B$10))^2+('Inputs'!$B$8/2)^2))))*'Results'!$B$8*'Results'!$B$9),""),"")</x:f>
        <x:v>1.7265453186239117</x:v>
      </x:c>
      <x:c r="C134" s="18" t="n">
        <x:f>IF('Results'!$B$6="Inputs accepted",IF(AND(ISNUMBER('Results'!C7),ISNUMBER('Results'!B7),ISNUMBER('Results'!$B$8),ISNUMBER('Results'!$B$9),ISNUMBER('Inputs'!$B$6),ISNUMBER('Inputs'!$B$7),ISNUMBER('Inputs'!$B$8),ISNUMBER('Inputs'!$B$9),ISNUMBER('Inputs'!$B$10),ISNUMBER('Inputs'!$B$21),ISNUMBER('Inputs'!$B$24),ISNUMBER('Inputs'!$B$28)),(('Results'!C7*(0.5*(((A134+'Inputs'!$B$21)+'Inputs'!$B$9)/SQRT(((A134+'Inputs'!$B$21)+'Inputs'!$B$9)^2+('Inputs'!$B$8/2)^2)-((A134+'Inputs'!$B$21))/SQRT(((A134+'Inputs'!$B$21))^2+('Inputs'!$B$8/2)^2)))-'Results'!B7*(0.5*(((A134+'Inputs'!$B$21+'Inputs'!$B$9+'Inputs'!$B$10)+'Inputs'!$B$7)/SQRT(((A134+'Inputs'!$B$21+'Inputs'!$B$9+'Inputs'!$B$10)+'Inputs'!$B$7)^2+('Inputs'!$B$6/2)^2)-((A134+'Inputs'!$B$21+'Inputs'!$B$9+'Inputs'!$B$10))/SQRT(((A134+'Inputs'!$B$21+'Inputs'!$B$9+'Inputs'!$B$10))^2+('Inputs'!$B$6/2)^2))))*'Results'!$B$8*'Results'!$B$9),""),"")</x:f>
        <x:v>1.5823392169652368</x:v>
      </x:c>
      <x:c r="D134" s="18" t="n">
        <x:f>IF('Results'!$B$6="Inputs accepted",'Results'!B12,"")</x:f>
        <x:v>112.38228018798189</x:v>
      </x:c>
      <x:c r="E134" s="18" t="n">
        <x:f>IF('Results'!$B$6="Inputs accepted",'Results'!C12,"")</x:f>
        <x:v>119.21786205905865</x:v>
      </x:c>
      <x:c r="F134" s="18" t="n">
        <x:f>IF('Results'!$B$6="Inputs accepted",'Results'!B14,"")</x:f>
        <x:v>66.9055158034782</x:v>
      </x:c>
      <x:c r="G134" s="18" t="n">
        <x:f>IF('Results'!$B$6="Inputs accepted",'Results'!C14,"")</x:f>
        <x:v>70.64020731289524</x:v>
      </x:c>
      <x:c r="H134" s="2"/>
      <x:c r="I134" s="2"/>
      <x:c r="J134" s="2"/>
      <x:c r="K134" s="2"/>
      <x:c r="L134" s="2"/>
    </x:row>
    <x:row r="135" ht="22" customHeight="1">
      <x:c r="A135" s="18" t="n">
        <x:f>(135-5)*'Inputs'!$B$33/200</x:f>
        <x:v>26</x:v>
      </x:c>
      <x:c r="B135" s="18" t="n">
        <x:f>IF('Results'!$B$6="Inputs accepted",IF(AND(ISNUMBER('Results'!B7),ISNUMBER('Results'!C7),ISNUMBER('Results'!$B$8),ISNUMBER('Results'!$B$9),ISNUMBER('Inputs'!$B$6),ISNUMBER('Inputs'!$B$7),ISNUMBER('Inputs'!$B$8),ISNUMBER('Inputs'!$B$9),ISNUMBER('Inputs'!$B$10),ISNUMBER('Inputs'!$B$21),ISNUMBER('Inputs'!$B$24),ISNUMBER('Inputs'!$B$28)),(('Results'!B7*(0.5*(((A135+'Inputs'!$B$21)+'Inputs'!$B$7)/SQRT(((A135+'Inputs'!$B$21)+'Inputs'!$B$7)^2+('Inputs'!$B$6/2)^2)-((A135+'Inputs'!$B$21))/SQRT(((A135+'Inputs'!$B$21))^2+('Inputs'!$B$6/2)^2)))-'Results'!C7*(0.5*(((A135+'Inputs'!$B$21+'Inputs'!$B$7+'Inputs'!$B$10)+'Inputs'!$B$9)/SQRT(((A135+'Inputs'!$B$21+'Inputs'!$B$7+'Inputs'!$B$10)+'Inputs'!$B$9)^2+('Inputs'!$B$8/2)^2)-((A135+'Inputs'!$B$21+'Inputs'!$B$7+'Inputs'!$B$10))/SQRT(((A135+'Inputs'!$B$21+'Inputs'!$B$7+'Inputs'!$B$10))^2+('Inputs'!$B$8/2)^2))))*'Results'!$B$8*'Results'!$B$9),""),"")</x:f>
        <x:v>1.6801822653843894</x:v>
      </x:c>
      <x:c r="C135" s="18" t="n">
        <x:f>IF('Results'!$B$6="Inputs accepted",IF(AND(ISNUMBER('Results'!C7),ISNUMBER('Results'!B7),ISNUMBER('Results'!$B$8),ISNUMBER('Results'!$B$9),ISNUMBER('Inputs'!$B$6),ISNUMBER('Inputs'!$B$7),ISNUMBER('Inputs'!$B$8),ISNUMBER('Inputs'!$B$9),ISNUMBER('Inputs'!$B$10),ISNUMBER('Inputs'!$B$21),ISNUMBER('Inputs'!$B$24),ISNUMBER('Inputs'!$B$28)),(('Results'!C7*(0.5*(((A135+'Inputs'!$B$21)+'Inputs'!$B$9)/SQRT(((A135+'Inputs'!$B$21)+'Inputs'!$B$9)^2+('Inputs'!$B$8/2)^2)-((A135+'Inputs'!$B$21))/SQRT(((A135+'Inputs'!$B$21))^2+('Inputs'!$B$8/2)^2)))-'Results'!B7*(0.5*(((A135+'Inputs'!$B$21+'Inputs'!$B$9+'Inputs'!$B$10)+'Inputs'!$B$7)/SQRT(((A135+'Inputs'!$B$21+'Inputs'!$B$9+'Inputs'!$B$10)+'Inputs'!$B$7)^2+('Inputs'!$B$6/2)^2)-((A135+'Inputs'!$B$21+'Inputs'!$B$9+'Inputs'!$B$10))/SQRT(((A135+'Inputs'!$B$21+'Inputs'!$B$9+'Inputs'!$B$10))^2+('Inputs'!$B$6/2)^2))))*'Results'!$B$8*'Results'!$B$9),""),"")</x:f>
        <x:v>1.5389676924012512</x:v>
      </x:c>
      <x:c r="D135" s="18" t="n">
        <x:f>IF('Results'!$B$6="Inputs accepted",'Results'!B12,"")</x:f>
        <x:v>112.38228018798189</x:v>
      </x:c>
      <x:c r="E135" s="18" t="n">
        <x:f>IF('Results'!$B$6="Inputs accepted",'Results'!C12,"")</x:f>
        <x:v>119.21786205905865</x:v>
      </x:c>
      <x:c r="F135" s="18" t="n">
        <x:f>IF('Results'!$B$6="Inputs accepted",'Results'!B14,"")</x:f>
        <x:v>66.9055158034782</x:v>
      </x:c>
      <x:c r="G135" s="18" t="n">
        <x:f>IF('Results'!$B$6="Inputs accepted",'Results'!C14,"")</x:f>
        <x:v>70.64020731289524</x:v>
      </x:c>
      <x:c r="H135" s="2"/>
      <x:c r="I135" s="2"/>
      <x:c r="J135" s="2"/>
      <x:c r="K135" s="2"/>
      <x:c r="L135" s="2"/>
    </x:row>
    <x:row r="136" ht="22" customHeight="1">
      <x:c r="A136" s="18" t="n">
        <x:f>(136-5)*'Inputs'!$B$33/200</x:f>
        <x:v>26.2</x:v>
      </x:c>
      <x:c r="B136" s="18" t="n">
        <x:f>IF('Results'!$B$6="Inputs accepted",IF(AND(ISNUMBER('Results'!B7),ISNUMBER('Results'!C7),ISNUMBER('Results'!$B$8),ISNUMBER('Results'!$B$9),ISNUMBER('Inputs'!$B$6),ISNUMBER('Inputs'!$B$7),ISNUMBER('Inputs'!$B$8),ISNUMBER('Inputs'!$B$9),ISNUMBER('Inputs'!$B$10),ISNUMBER('Inputs'!$B$21),ISNUMBER('Inputs'!$B$24),ISNUMBER('Inputs'!$B$28)),(('Results'!B7*(0.5*(((A136+'Inputs'!$B$21)+'Inputs'!$B$7)/SQRT(((A136+'Inputs'!$B$21)+'Inputs'!$B$7)^2+('Inputs'!$B$6/2)^2)-((A136+'Inputs'!$B$21))/SQRT(((A136+'Inputs'!$B$21))^2+('Inputs'!$B$6/2)^2)))-'Results'!C7*(0.5*(((A136+'Inputs'!$B$21+'Inputs'!$B$7+'Inputs'!$B$10)+'Inputs'!$B$9)/SQRT(((A136+'Inputs'!$B$21+'Inputs'!$B$7+'Inputs'!$B$10)+'Inputs'!$B$9)^2+('Inputs'!$B$8/2)^2)-((A136+'Inputs'!$B$21+'Inputs'!$B$7+'Inputs'!$B$10))/SQRT(((A136+'Inputs'!$B$21+'Inputs'!$B$7+'Inputs'!$B$10))^2+('Inputs'!$B$8/2)^2))))*'Results'!$B$8*'Results'!$B$9),""),"")</x:f>
        <x:v>1.6353697190057468</x:v>
      </x:c>
      <x:c r="C136" s="18" t="n">
        <x:f>IF('Results'!$B$6="Inputs accepted",IF(AND(ISNUMBER('Results'!C7),ISNUMBER('Results'!B7),ISNUMBER('Results'!$B$8),ISNUMBER('Results'!$B$9),ISNUMBER('Inputs'!$B$6),ISNUMBER('Inputs'!$B$7),ISNUMBER('Inputs'!$B$8),ISNUMBER('Inputs'!$B$9),ISNUMBER('Inputs'!$B$10),ISNUMBER('Inputs'!$B$21),ISNUMBER('Inputs'!$B$24),ISNUMBER('Inputs'!$B$28)),(('Results'!C7*(0.5*(((A136+'Inputs'!$B$21)+'Inputs'!$B$9)/SQRT(((A136+'Inputs'!$B$21)+'Inputs'!$B$9)^2+('Inputs'!$B$8/2)^2)-((A136+'Inputs'!$B$21))/SQRT(((A136+'Inputs'!$B$21))^2+('Inputs'!$B$8/2)^2)))-'Results'!B7*(0.5*(((A136+'Inputs'!$B$21+'Inputs'!$B$9+'Inputs'!$B$10)+'Inputs'!$B$7)/SQRT(((A136+'Inputs'!$B$21+'Inputs'!$B$9+'Inputs'!$B$10)+'Inputs'!$B$7)^2+('Inputs'!$B$6/2)^2)-((A136+'Inputs'!$B$21+'Inputs'!$B$9+'Inputs'!$B$10))/SQRT(((A136+'Inputs'!$B$21+'Inputs'!$B$9+'Inputs'!$B$10))^2+('Inputs'!$B$6/2)^2))))*'Results'!$B$8*'Results'!$B$9),""),"")</x:f>
        <x:v>1.4970643025742558</x:v>
      </x:c>
      <x:c r="D136" s="18" t="n">
        <x:f>IF('Results'!$B$6="Inputs accepted",'Results'!B12,"")</x:f>
        <x:v>112.38228018798189</x:v>
      </x:c>
      <x:c r="E136" s="18" t="n">
        <x:f>IF('Results'!$B$6="Inputs accepted",'Results'!C12,"")</x:f>
        <x:v>119.21786205905865</x:v>
      </x:c>
      <x:c r="F136" s="18" t="n">
        <x:f>IF('Results'!$B$6="Inputs accepted",'Results'!B14,"")</x:f>
        <x:v>66.9055158034782</x:v>
      </x:c>
      <x:c r="G136" s="18" t="n">
        <x:f>IF('Results'!$B$6="Inputs accepted",'Results'!C14,"")</x:f>
        <x:v>70.64020731289524</x:v>
      </x:c>
      <x:c r="H136" s="2"/>
      <x:c r="I136" s="2"/>
      <x:c r="J136" s="2"/>
      <x:c r="K136" s="2"/>
      <x:c r="L136" s="2"/>
    </x:row>
    <x:row r="137" ht="22" customHeight="1">
      <x:c r="A137" s="18" t="n">
        <x:f>(137-5)*'Inputs'!$B$33/200</x:f>
        <x:v>26.4</x:v>
      </x:c>
      <x:c r="B137" s="18" t="n">
        <x:f>IF('Results'!$B$6="Inputs accepted",IF(AND(ISNUMBER('Results'!B7),ISNUMBER('Results'!C7),ISNUMBER('Results'!$B$8),ISNUMBER('Results'!$B$9),ISNUMBER('Inputs'!$B$6),ISNUMBER('Inputs'!$B$7),ISNUMBER('Inputs'!$B$8),ISNUMBER('Inputs'!$B$9),ISNUMBER('Inputs'!$B$10),ISNUMBER('Inputs'!$B$21),ISNUMBER('Inputs'!$B$24),ISNUMBER('Inputs'!$B$28)),(('Results'!B7*(0.5*(((A137+'Inputs'!$B$21)+'Inputs'!$B$7)/SQRT(((A137+'Inputs'!$B$21)+'Inputs'!$B$7)^2+('Inputs'!$B$6/2)^2)-((A137+'Inputs'!$B$21))/SQRT(((A137+'Inputs'!$B$21))^2+('Inputs'!$B$6/2)^2)))-'Results'!C7*(0.5*(((A137+'Inputs'!$B$21+'Inputs'!$B$7+'Inputs'!$B$10)+'Inputs'!$B$9)/SQRT(((A137+'Inputs'!$B$21+'Inputs'!$B$7+'Inputs'!$B$10)+'Inputs'!$B$9)^2+('Inputs'!$B$8/2)^2)-((A137+'Inputs'!$B$21+'Inputs'!$B$7+'Inputs'!$B$10))/SQRT(((A137+'Inputs'!$B$21+'Inputs'!$B$7+'Inputs'!$B$10))^2+('Inputs'!$B$8/2)^2))))*'Results'!$B$8*'Results'!$B$9),""),"")</x:f>
        <x:v>1.5920458091392553</x:v>
      </x:c>
      <x:c r="C137" s="18" t="n">
        <x:f>IF('Results'!$B$6="Inputs accepted",IF(AND(ISNUMBER('Results'!C7),ISNUMBER('Results'!B7),ISNUMBER('Results'!$B$8),ISNUMBER('Results'!$B$9),ISNUMBER('Inputs'!$B$6),ISNUMBER('Inputs'!$B$7),ISNUMBER('Inputs'!$B$8),ISNUMBER('Inputs'!$B$9),ISNUMBER('Inputs'!$B$10),ISNUMBER('Inputs'!$B$21),ISNUMBER('Inputs'!$B$24),ISNUMBER('Inputs'!$B$28)),(('Results'!C7*(0.5*(((A137+'Inputs'!$B$21)+'Inputs'!$B$9)/SQRT(((A137+'Inputs'!$B$21)+'Inputs'!$B$9)^2+('Inputs'!$B$8/2)^2)-((A137+'Inputs'!$B$21))/SQRT(((A137+'Inputs'!$B$21))^2+('Inputs'!$B$8/2)^2)))-'Results'!B7*(0.5*(((A137+'Inputs'!$B$21+'Inputs'!$B$9+'Inputs'!$B$10)+'Inputs'!$B$7)/SQRT(((A137+'Inputs'!$B$21+'Inputs'!$B$9+'Inputs'!$B$10)+'Inputs'!$B$7)^2+('Inputs'!$B$6/2)^2)-((A137+'Inputs'!$B$21+'Inputs'!$B$9+'Inputs'!$B$10))/SQRT(((A137+'Inputs'!$B$21+'Inputs'!$B$9+'Inputs'!$B$10))^2+('Inputs'!$B$6/2)^2))))*'Results'!$B$8*'Results'!$B$9),""),"")</x:f>
        <x:v>1.456569998461799</x:v>
      </x:c>
      <x:c r="D137" s="18" t="n">
        <x:f>IF('Results'!$B$6="Inputs accepted",'Results'!B12,"")</x:f>
        <x:v>112.38228018798189</x:v>
      </x:c>
      <x:c r="E137" s="18" t="n">
        <x:f>IF('Results'!$B$6="Inputs accepted",'Results'!C12,"")</x:f>
        <x:v>119.21786205905865</x:v>
      </x:c>
      <x:c r="F137" s="18" t="n">
        <x:f>IF('Results'!$B$6="Inputs accepted",'Results'!B14,"")</x:f>
        <x:v>66.9055158034782</x:v>
      </x:c>
      <x:c r="G137" s="18" t="n">
        <x:f>IF('Results'!$B$6="Inputs accepted",'Results'!C14,"")</x:f>
        <x:v>70.64020731289524</x:v>
      </x:c>
      <x:c r="H137" s="2"/>
      <x:c r="I137" s="2"/>
      <x:c r="J137" s="2"/>
      <x:c r="K137" s="2"/>
      <x:c r="L137" s="2"/>
    </x:row>
    <x:row r="138" ht="22" customHeight="1">
      <x:c r="A138" s="18" t="n">
        <x:f>(138-5)*'Inputs'!$B$33/200</x:f>
        <x:v>26.6</x:v>
      </x:c>
      <x:c r="B138" s="18" t="n">
        <x:f>IF('Results'!$B$6="Inputs accepted",IF(AND(ISNUMBER('Results'!B7),ISNUMBER('Results'!C7),ISNUMBER('Results'!$B$8),ISNUMBER('Results'!$B$9),ISNUMBER('Inputs'!$B$6),ISNUMBER('Inputs'!$B$7),ISNUMBER('Inputs'!$B$8),ISNUMBER('Inputs'!$B$9),ISNUMBER('Inputs'!$B$10),ISNUMBER('Inputs'!$B$21),ISNUMBER('Inputs'!$B$24),ISNUMBER('Inputs'!$B$28)),(('Results'!B7*(0.5*(((A138+'Inputs'!$B$21)+'Inputs'!$B$7)/SQRT(((A138+'Inputs'!$B$21)+'Inputs'!$B$7)^2+('Inputs'!$B$6/2)^2)-((A138+'Inputs'!$B$21))/SQRT(((A138+'Inputs'!$B$21))^2+('Inputs'!$B$6/2)^2)))-'Results'!C7*(0.5*(((A138+'Inputs'!$B$21+'Inputs'!$B$7+'Inputs'!$B$10)+'Inputs'!$B$9)/SQRT(((A138+'Inputs'!$B$21+'Inputs'!$B$7+'Inputs'!$B$10)+'Inputs'!$B$9)^2+('Inputs'!$B$8/2)^2)-((A138+'Inputs'!$B$21+'Inputs'!$B$7+'Inputs'!$B$10))/SQRT(((A138+'Inputs'!$B$21+'Inputs'!$B$7+'Inputs'!$B$10))^2+('Inputs'!$B$8/2)^2))))*'Results'!$B$8*'Results'!$B$9),""),"")</x:f>
        <x:v>1.5501515268031019</x:v>
      </x:c>
      <x:c r="C138" s="18" t="n">
        <x:f>IF('Results'!$B$6="Inputs accepted",IF(AND(ISNUMBER('Results'!C7),ISNUMBER('Results'!B7),ISNUMBER('Results'!$B$8),ISNUMBER('Results'!$B$9),ISNUMBER('Inputs'!$B$6),ISNUMBER('Inputs'!$B$7),ISNUMBER('Inputs'!$B$8),ISNUMBER('Inputs'!$B$9),ISNUMBER('Inputs'!$B$10),ISNUMBER('Inputs'!$B$21),ISNUMBER('Inputs'!$B$24),ISNUMBER('Inputs'!$B$28)),(('Results'!C7*(0.5*(((A138+'Inputs'!$B$21)+'Inputs'!$B$9)/SQRT(((A138+'Inputs'!$B$21)+'Inputs'!$B$9)^2+('Inputs'!$B$8/2)^2)-((A138+'Inputs'!$B$21))/SQRT(((A138+'Inputs'!$B$21))^2+('Inputs'!$B$8/2)^2)))-'Results'!B7*(0.5*(((A138+'Inputs'!$B$21+'Inputs'!$B$9+'Inputs'!$B$10)+'Inputs'!$B$7)/SQRT(((A138+'Inputs'!$B$21+'Inputs'!$B$9+'Inputs'!$B$10)+'Inputs'!$B$7)^2+('Inputs'!$B$6/2)^2)-((A138+'Inputs'!$B$21+'Inputs'!$B$9+'Inputs'!$B$10))/SQRT(((A138+'Inputs'!$B$21+'Inputs'!$B$9+'Inputs'!$B$10))^2+('Inputs'!$B$6/2)^2))))*'Results'!$B$8*'Results'!$B$9),""),"")</x:f>
        <x:v>1.417428477059746</x:v>
      </x:c>
      <x:c r="D138" s="18" t="n">
        <x:f>IF('Results'!$B$6="Inputs accepted",'Results'!B12,"")</x:f>
        <x:v>112.38228018798189</x:v>
      </x:c>
      <x:c r="E138" s="18" t="n">
        <x:f>IF('Results'!$B$6="Inputs accepted",'Results'!C12,"")</x:f>
        <x:v>119.21786205905865</x:v>
      </x:c>
      <x:c r="F138" s="18" t="n">
        <x:f>IF('Results'!$B$6="Inputs accepted",'Results'!B14,"")</x:f>
        <x:v>66.9055158034782</x:v>
      </x:c>
      <x:c r="G138" s="18" t="n">
        <x:f>IF('Results'!$B$6="Inputs accepted",'Results'!C14,"")</x:f>
        <x:v>70.64020731289524</x:v>
      </x:c>
      <x:c r="H138" s="2"/>
      <x:c r="I138" s="2"/>
      <x:c r="J138" s="2"/>
      <x:c r="K138" s="2"/>
      <x:c r="L138" s="2"/>
    </x:row>
    <x:row r="139" ht="22" customHeight="1">
      <x:c r="A139" s="18" t="n">
        <x:f>(139-5)*'Inputs'!$B$33/200</x:f>
        <x:v>26.8</x:v>
      </x:c>
      <x:c r="B139" s="18" t="n">
        <x:f>IF('Results'!$B$6="Inputs accepted",IF(AND(ISNUMBER('Results'!B7),ISNUMBER('Results'!C7),ISNUMBER('Results'!$B$8),ISNUMBER('Results'!$B$9),ISNUMBER('Inputs'!$B$6),ISNUMBER('Inputs'!$B$7),ISNUMBER('Inputs'!$B$8),ISNUMBER('Inputs'!$B$9),ISNUMBER('Inputs'!$B$10),ISNUMBER('Inputs'!$B$21),ISNUMBER('Inputs'!$B$24),ISNUMBER('Inputs'!$B$28)),(('Results'!B7*(0.5*(((A139+'Inputs'!$B$21)+'Inputs'!$B$7)/SQRT(((A139+'Inputs'!$B$21)+'Inputs'!$B$7)^2+('Inputs'!$B$6/2)^2)-((A139+'Inputs'!$B$21))/SQRT(((A139+'Inputs'!$B$21))^2+('Inputs'!$B$6/2)^2)))-'Results'!C7*(0.5*(((A139+'Inputs'!$B$21+'Inputs'!$B$7+'Inputs'!$B$10)+'Inputs'!$B$9)/SQRT(((A139+'Inputs'!$B$21+'Inputs'!$B$7+'Inputs'!$B$10)+'Inputs'!$B$9)^2+('Inputs'!$B$8/2)^2)-((A139+'Inputs'!$B$21+'Inputs'!$B$7+'Inputs'!$B$10))/SQRT(((A139+'Inputs'!$B$21+'Inputs'!$B$7+'Inputs'!$B$10))^2+('Inputs'!$B$8/2)^2))))*'Results'!$B$8*'Results'!$B$9),""),"")</x:f>
        <x:v>1.509630574221779</x:v>
      </x:c>
      <x:c r="C139" s="18" t="n">
        <x:f>IF('Results'!$B$6="Inputs accepted",IF(AND(ISNUMBER('Results'!C7),ISNUMBER('Results'!B7),ISNUMBER('Results'!$B$8),ISNUMBER('Results'!$B$9),ISNUMBER('Inputs'!$B$6),ISNUMBER('Inputs'!$B$7),ISNUMBER('Inputs'!$B$8),ISNUMBER('Inputs'!$B$9),ISNUMBER('Inputs'!$B$10),ISNUMBER('Inputs'!$B$21),ISNUMBER('Inputs'!$B$24),ISNUMBER('Inputs'!$B$28)),(('Results'!C7*(0.5*(((A139+'Inputs'!$B$21)+'Inputs'!$B$9)/SQRT(((A139+'Inputs'!$B$21)+'Inputs'!$B$9)^2+('Inputs'!$B$8/2)^2)-((A139+'Inputs'!$B$21))/SQRT(((A139+'Inputs'!$B$21))^2+('Inputs'!$B$8/2)^2)))-'Results'!B7*(0.5*(((A139+'Inputs'!$B$21+'Inputs'!$B$9+'Inputs'!$B$10)+'Inputs'!$B$7)/SQRT(((A139+'Inputs'!$B$21+'Inputs'!$B$9+'Inputs'!$B$10)+'Inputs'!$B$7)^2+('Inputs'!$B$6/2)^2)-((A139+'Inputs'!$B$21+'Inputs'!$B$9+'Inputs'!$B$10))/SQRT(((A139+'Inputs'!$B$21+'Inputs'!$B$9+'Inputs'!$B$10))^2+('Inputs'!$B$6/2)^2))))*'Results'!$B$8*'Results'!$B$9),""),"")</x:f>
        <x:v>1.3795860366925017</x:v>
      </x:c>
      <x:c r="D139" s="18" t="n">
        <x:f>IF('Results'!$B$6="Inputs accepted",'Results'!B12,"")</x:f>
        <x:v>112.38228018798189</x:v>
      </x:c>
      <x:c r="E139" s="18" t="n">
        <x:f>IF('Results'!$B$6="Inputs accepted",'Results'!C12,"")</x:f>
        <x:v>119.21786205905865</x:v>
      </x:c>
      <x:c r="F139" s="18" t="n">
        <x:f>IF('Results'!$B$6="Inputs accepted",'Results'!B14,"")</x:f>
        <x:v>66.9055158034782</x:v>
      </x:c>
      <x:c r="G139" s="18" t="n">
        <x:f>IF('Results'!$B$6="Inputs accepted",'Results'!C14,"")</x:f>
        <x:v>70.64020731289524</x:v>
      </x:c>
      <x:c r="H139" s="2"/>
      <x:c r="I139" s="2"/>
      <x:c r="J139" s="2"/>
      <x:c r="K139" s="2"/>
      <x:c r="L139" s="2"/>
    </x:row>
    <x:row r="140" ht="22" customHeight="1">
      <x:c r="A140" s="18" t="n">
        <x:f>(140-5)*'Inputs'!$B$33/200</x:f>
        <x:v>27</x:v>
      </x:c>
      <x:c r="B140" s="18" t="n">
        <x:f>IF('Results'!$B$6="Inputs accepted",IF(AND(ISNUMBER('Results'!B7),ISNUMBER('Results'!C7),ISNUMBER('Results'!$B$8),ISNUMBER('Results'!$B$9),ISNUMBER('Inputs'!$B$6),ISNUMBER('Inputs'!$B$7),ISNUMBER('Inputs'!$B$8),ISNUMBER('Inputs'!$B$9),ISNUMBER('Inputs'!$B$10),ISNUMBER('Inputs'!$B$21),ISNUMBER('Inputs'!$B$24),ISNUMBER('Inputs'!$B$28)),(('Results'!B7*(0.5*(((A140+'Inputs'!$B$21)+'Inputs'!$B$7)/SQRT(((A140+'Inputs'!$B$21)+'Inputs'!$B$7)^2+('Inputs'!$B$6/2)^2)-((A140+'Inputs'!$B$21))/SQRT(((A140+'Inputs'!$B$21))^2+('Inputs'!$B$6/2)^2)))-'Results'!C7*(0.5*(((A140+'Inputs'!$B$21+'Inputs'!$B$7+'Inputs'!$B$10)+'Inputs'!$B$9)/SQRT(((A140+'Inputs'!$B$21+'Inputs'!$B$7+'Inputs'!$B$10)+'Inputs'!$B$9)^2+('Inputs'!$B$8/2)^2)-((A140+'Inputs'!$B$21+'Inputs'!$B$7+'Inputs'!$B$10))/SQRT(((A140+'Inputs'!$B$21+'Inputs'!$B$7+'Inputs'!$B$10))^2+('Inputs'!$B$8/2)^2))))*'Results'!$B$8*'Results'!$B$9),""),"")</x:f>
        <x:v>1.470429223455264</x:v>
      </x:c>
      <x:c r="C140" s="18" t="n">
        <x:f>IF('Results'!$B$6="Inputs accepted",IF(AND(ISNUMBER('Results'!C7),ISNUMBER('Results'!B7),ISNUMBER('Results'!$B$8),ISNUMBER('Results'!$B$9),ISNUMBER('Inputs'!$B$6),ISNUMBER('Inputs'!$B$7),ISNUMBER('Inputs'!$B$8),ISNUMBER('Inputs'!$B$9),ISNUMBER('Inputs'!$B$10),ISNUMBER('Inputs'!$B$21),ISNUMBER('Inputs'!$B$24),ISNUMBER('Inputs'!$B$28)),(('Results'!C7*(0.5*(((A140+'Inputs'!$B$21)+'Inputs'!$B$9)/SQRT(((A140+'Inputs'!$B$21)+'Inputs'!$B$9)^2+('Inputs'!$B$8/2)^2)-((A140+'Inputs'!$B$21))/SQRT(((A140+'Inputs'!$B$21))^2+('Inputs'!$B$8/2)^2)))-'Results'!B7*(0.5*(((A140+'Inputs'!$B$21+'Inputs'!$B$9+'Inputs'!$B$10)+'Inputs'!$B$7)/SQRT(((A140+'Inputs'!$B$21+'Inputs'!$B$9+'Inputs'!$B$10)+'Inputs'!$B$7)^2+('Inputs'!$B$6/2)^2)-((A140+'Inputs'!$B$21+'Inputs'!$B$9+'Inputs'!$B$10))/SQRT(((A140+'Inputs'!$B$21+'Inputs'!$B$9+'Inputs'!$B$10))^2+('Inputs'!$B$6/2)^2))))*'Results'!$B$8*'Results'!$B$9),""),"")</x:f>
        <x:v>1.3429914408182915</x:v>
      </x:c>
      <x:c r="D140" s="18" t="n">
        <x:f>IF('Results'!$B$6="Inputs accepted",'Results'!B12,"")</x:f>
        <x:v>112.38228018798189</x:v>
      </x:c>
      <x:c r="E140" s="18" t="n">
        <x:f>IF('Results'!$B$6="Inputs accepted",'Results'!C12,"")</x:f>
        <x:v>119.21786205905865</x:v>
      </x:c>
      <x:c r="F140" s="18" t="n">
        <x:f>IF('Results'!$B$6="Inputs accepted",'Results'!B14,"")</x:f>
        <x:v>66.9055158034782</x:v>
      </x:c>
      <x:c r="G140" s="18" t="n">
        <x:f>IF('Results'!$B$6="Inputs accepted",'Results'!C14,"")</x:f>
        <x:v>70.64020731289524</x:v>
      </x:c>
      <x:c r="H140" s="2"/>
      <x:c r="I140" s="2"/>
      <x:c r="J140" s="2"/>
      <x:c r="K140" s="2"/>
      <x:c r="L140" s="2"/>
    </x:row>
    <x:row r="141" ht="22" customHeight="1">
      <x:c r="A141" s="18" t="n">
        <x:f>(141-5)*'Inputs'!$B$33/200</x:f>
        <x:v>27.2</x:v>
      </x:c>
      <x:c r="B141" s="18" t="n">
        <x:f>IF('Results'!$B$6="Inputs accepted",IF(AND(ISNUMBER('Results'!B7),ISNUMBER('Results'!C7),ISNUMBER('Results'!$B$8),ISNUMBER('Results'!$B$9),ISNUMBER('Inputs'!$B$6),ISNUMBER('Inputs'!$B$7),ISNUMBER('Inputs'!$B$8),ISNUMBER('Inputs'!$B$9),ISNUMBER('Inputs'!$B$10),ISNUMBER('Inputs'!$B$21),ISNUMBER('Inputs'!$B$24),ISNUMBER('Inputs'!$B$28)),(('Results'!B7*(0.5*(((A141+'Inputs'!$B$21)+'Inputs'!$B$7)/SQRT(((A141+'Inputs'!$B$21)+'Inputs'!$B$7)^2+('Inputs'!$B$6/2)^2)-((A141+'Inputs'!$B$21))/SQRT(((A141+'Inputs'!$B$21))^2+('Inputs'!$B$6/2)^2)))-'Results'!C7*(0.5*(((A141+'Inputs'!$B$21+'Inputs'!$B$7+'Inputs'!$B$10)+'Inputs'!$B$9)/SQRT(((A141+'Inputs'!$B$21+'Inputs'!$B$7+'Inputs'!$B$10)+'Inputs'!$B$9)^2+('Inputs'!$B$8/2)^2)-((A141+'Inputs'!$B$21+'Inputs'!$B$7+'Inputs'!$B$10))/SQRT(((A141+'Inputs'!$B$21+'Inputs'!$B$7+'Inputs'!$B$10))^2+('Inputs'!$B$8/2)^2))))*'Results'!$B$8*'Results'!$B$9),""),"")</x:f>
        <x:v>1.432496183254163</x:v>
      </x:c>
      <x:c r="C141" s="18" t="n">
        <x:f>IF('Results'!$B$6="Inputs accepted",IF(AND(ISNUMBER('Results'!C7),ISNUMBER('Results'!B7),ISNUMBER('Results'!$B$8),ISNUMBER('Results'!$B$9),ISNUMBER('Inputs'!$B$6),ISNUMBER('Inputs'!$B$7),ISNUMBER('Inputs'!$B$8),ISNUMBER('Inputs'!$B$9),ISNUMBER('Inputs'!$B$10),ISNUMBER('Inputs'!$B$21),ISNUMBER('Inputs'!$B$24),ISNUMBER('Inputs'!$B$28)),(('Results'!C7*(0.5*(((A141+'Inputs'!$B$21)+'Inputs'!$B$9)/SQRT(((A141+'Inputs'!$B$21)+'Inputs'!$B$9)^2+('Inputs'!$B$8/2)^2)-((A141+'Inputs'!$B$21))/SQRT(((A141+'Inputs'!$B$21))^2+('Inputs'!$B$8/2)^2)))-'Results'!B7*(0.5*(((A141+'Inputs'!$B$21+'Inputs'!$B$9+'Inputs'!$B$10)+'Inputs'!$B$7)/SQRT(((A141+'Inputs'!$B$21+'Inputs'!$B$9+'Inputs'!$B$10)+'Inputs'!$B$7)^2+('Inputs'!$B$6/2)^2)-((A141+'Inputs'!$B$21+'Inputs'!$B$9+'Inputs'!$B$10))/SQRT(((A141+'Inputs'!$B$21+'Inputs'!$B$9+'Inputs'!$B$10))^2+('Inputs'!$B$6/2)^2))))*'Results'!$B$8*'Results'!$B$9),""),"")</x:f>
        <x:v>1.3075957897830723</x:v>
      </x:c>
      <x:c r="D141" s="18" t="n">
        <x:f>IF('Results'!$B$6="Inputs accepted",'Results'!B12,"")</x:f>
        <x:v>112.38228018798189</x:v>
      </x:c>
      <x:c r="E141" s="18" t="n">
        <x:f>IF('Results'!$B$6="Inputs accepted",'Results'!C12,"")</x:f>
        <x:v>119.21786205905865</x:v>
      </x:c>
      <x:c r="F141" s="18" t="n">
        <x:f>IF('Results'!$B$6="Inputs accepted",'Results'!B14,"")</x:f>
        <x:v>66.9055158034782</x:v>
      </x:c>
      <x:c r="G141" s="18" t="n">
        <x:f>IF('Results'!$B$6="Inputs accepted",'Results'!C14,"")</x:f>
        <x:v>70.64020731289524</x:v>
      </x:c>
      <x:c r="H141" s="2"/>
      <x:c r="I141" s="2"/>
      <x:c r="J141" s="2"/>
      <x:c r="K141" s="2"/>
      <x:c r="L141" s="2"/>
    </x:row>
    <x:row r="142" ht="22" customHeight="1">
      <x:c r="A142" s="18" t="n">
        <x:f>(142-5)*'Inputs'!$B$33/200</x:f>
        <x:v>27.4</x:v>
      </x:c>
      <x:c r="B142" s="18" t="n">
        <x:f>IF('Results'!$B$6="Inputs accepted",IF(AND(ISNUMBER('Results'!B7),ISNUMBER('Results'!C7),ISNUMBER('Results'!$B$8),ISNUMBER('Results'!$B$9),ISNUMBER('Inputs'!$B$6),ISNUMBER('Inputs'!$B$7),ISNUMBER('Inputs'!$B$8),ISNUMBER('Inputs'!$B$9),ISNUMBER('Inputs'!$B$10),ISNUMBER('Inputs'!$B$21),ISNUMBER('Inputs'!$B$24),ISNUMBER('Inputs'!$B$28)),(('Results'!B7*(0.5*(((A142+'Inputs'!$B$21)+'Inputs'!$B$7)/SQRT(((A142+'Inputs'!$B$21)+'Inputs'!$B$7)^2+('Inputs'!$B$6/2)^2)-((A142+'Inputs'!$B$21))/SQRT(((A142+'Inputs'!$B$21))^2+('Inputs'!$B$6/2)^2)))-'Results'!C7*(0.5*(((A142+'Inputs'!$B$21+'Inputs'!$B$7+'Inputs'!$B$10)+'Inputs'!$B$9)/SQRT(((A142+'Inputs'!$B$21+'Inputs'!$B$7+'Inputs'!$B$10)+'Inputs'!$B$9)^2+('Inputs'!$B$8/2)^2)-((A142+'Inputs'!$B$21+'Inputs'!$B$7+'Inputs'!$B$10))/SQRT(((A142+'Inputs'!$B$21+'Inputs'!$B$7+'Inputs'!$B$10))^2+('Inputs'!$B$8/2)^2))))*'Results'!$B$8*'Results'!$B$9),""),"")</x:f>
        <x:v>1.3957824736337427</x:v>
      </x:c>
      <x:c r="C142" s="18" t="n">
        <x:f>IF('Results'!$B$6="Inputs accepted",IF(AND(ISNUMBER('Results'!C7),ISNUMBER('Results'!B7),ISNUMBER('Results'!$B$8),ISNUMBER('Results'!$B$9),ISNUMBER('Inputs'!$B$6),ISNUMBER('Inputs'!$B$7),ISNUMBER('Inputs'!$B$8),ISNUMBER('Inputs'!$B$9),ISNUMBER('Inputs'!$B$10),ISNUMBER('Inputs'!$B$21),ISNUMBER('Inputs'!$B$24),ISNUMBER('Inputs'!$B$28)),(('Results'!C7*(0.5*(((A142+'Inputs'!$B$21)+'Inputs'!$B$9)/SQRT(((A142+'Inputs'!$B$21)+'Inputs'!$B$9)^2+('Inputs'!$B$8/2)^2)-((A142+'Inputs'!$B$21))/SQRT(((A142+'Inputs'!$B$21))^2+('Inputs'!$B$8/2)^2)))-'Results'!B7*(0.5*(((A142+'Inputs'!$B$21+'Inputs'!$B$9+'Inputs'!$B$10)+'Inputs'!$B$7)/SQRT(((A142+'Inputs'!$B$21+'Inputs'!$B$9+'Inputs'!$B$10)+'Inputs'!$B$7)^2+('Inputs'!$B$6/2)^2)-((A142+'Inputs'!$B$21+'Inputs'!$B$9+'Inputs'!$B$10))/SQRT(((A142+'Inputs'!$B$21+'Inputs'!$B$9+'Inputs'!$B$10))^2+('Inputs'!$B$6/2)^2))))*'Results'!$B$8*'Results'!$B$9),""),"")</x:f>
        <x:v>1.273352400033448</x:v>
      </x:c>
      <x:c r="D142" s="18" t="n">
        <x:f>IF('Results'!$B$6="Inputs accepted",'Results'!B12,"")</x:f>
        <x:v>112.38228018798189</x:v>
      </x:c>
      <x:c r="E142" s="18" t="n">
        <x:f>IF('Results'!$B$6="Inputs accepted",'Results'!C12,"")</x:f>
        <x:v>119.21786205905865</x:v>
      </x:c>
      <x:c r="F142" s="18" t="n">
        <x:f>IF('Results'!$B$6="Inputs accepted",'Results'!B14,"")</x:f>
        <x:v>66.9055158034782</x:v>
      </x:c>
      <x:c r="G142" s="18" t="n">
        <x:f>IF('Results'!$B$6="Inputs accepted",'Results'!C14,"")</x:f>
        <x:v>70.64020731289524</x:v>
      </x:c>
      <x:c r="H142" s="2"/>
      <x:c r="I142" s="2"/>
      <x:c r="J142" s="2"/>
      <x:c r="K142" s="2"/>
      <x:c r="L142" s="2"/>
    </x:row>
    <x:row r="143" ht="22" customHeight="1">
      <x:c r="A143" s="18" t="n">
        <x:f>(143-5)*'Inputs'!$B$33/200</x:f>
        <x:v>27.6</x:v>
      </x:c>
      <x:c r="B143" s="18" t="n">
        <x:f>IF('Results'!$B$6="Inputs accepted",IF(AND(ISNUMBER('Results'!B7),ISNUMBER('Results'!C7),ISNUMBER('Results'!$B$8),ISNUMBER('Results'!$B$9),ISNUMBER('Inputs'!$B$6),ISNUMBER('Inputs'!$B$7),ISNUMBER('Inputs'!$B$8),ISNUMBER('Inputs'!$B$9),ISNUMBER('Inputs'!$B$10),ISNUMBER('Inputs'!$B$21),ISNUMBER('Inputs'!$B$24),ISNUMBER('Inputs'!$B$28)),(('Results'!B7*(0.5*(((A143+'Inputs'!$B$21)+'Inputs'!$B$7)/SQRT(((A143+'Inputs'!$B$21)+'Inputs'!$B$7)^2+('Inputs'!$B$6/2)^2)-((A143+'Inputs'!$B$21))/SQRT(((A143+'Inputs'!$B$21))^2+('Inputs'!$B$6/2)^2)))-'Results'!C7*(0.5*(((A143+'Inputs'!$B$21+'Inputs'!$B$7+'Inputs'!$B$10)+'Inputs'!$B$9)/SQRT(((A143+'Inputs'!$B$21+'Inputs'!$B$7+'Inputs'!$B$10)+'Inputs'!$B$9)^2+('Inputs'!$B$8/2)^2)-((A143+'Inputs'!$B$21+'Inputs'!$B$7+'Inputs'!$B$10))/SQRT(((A143+'Inputs'!$B$21+'Inputs'!$B$7+'Inputs'!$B$10))^2+('Inputs'!$B$8/2)^2))))*'Results'!$B$8*'Results'!$B$9),""),"")</x:f>
        <x:v>1.3602413076570878</x:v>
      </x:c>
      <x:c r="C143" s="18" t="n">
        <x:f>IF('Results'!$B$6="Inputs accepted",IF(AND(ISNUMBER('Results'!C7),ISNUMBER('Results'!B7),ISNUMBER('Results'!$B$8),ISNUMBER('Results'!$B$9),ISNUMBER('Inputs'!$B$6),ISNUMBER('Inputs'!$B$7),ISNUMBER('Inputs'!$B$8),ISNUMBER('Inputs'!$B$9),ISNUMBER('Inputs'!$B$10),ISNUMBER('Inputs'!$B$21),ISNUMBER('Inputs'!$B$24),ISNUMBER('Inputs'!$B$28)),(('Results'!C7*(0.5*(((A143+'Inputs'!$B$21)+'Inputs'!$B$9)/SQRT(((A143+'Inputs'!$B$21)+'Inputs'!$B$9)^2+('Inputs'!$B$8/2)^2)-((A143+'Inputs'!$B$21))/SQRT(((A143+'Inputs'!$B$21))^2+('Inputs'!$B$8/2)^2)))-'Results'!B7*(0.5*(((A143+'Inputs'!$B$21+'Inputs'!$B$9+'Inputs'!$B$10)+'Inputs'!$B$7)/SQRT(((A143+'Inputs'!$B$21+'Inputs'!$B$9+'Inputs'!$B$10)+'Inputs'!$B$7)^2+('Inputs'!$B$6/2)^2)-((A143+'Inputs'!$B$21+'Inputs'!$B$9+'Inputs'!$B$10))/SQRT(((A143+'Inputs'!$B$21+'Inputs'!$B$9+'Inputs'!$B$10))^2+('Inputs'!$B$6/2)^2))))*'Results'!$B$8*'Results'!$B$9),""),"")</x:f>
        <x:v>1.240216690293433</x:v>
      </x:c>
      <x:c r="D143" s="18" t="n">
        <x:f>IF('Results'!$B$6="Inputs accepted",'Results'!B12,"")</x:f>
        <x:v>112.38228018798189</x:v>
      </x:c>
      <x:c r="E143" s="18" t="n">
        <x:f>IF('Results'!$B$6="Inputs accepted",'Results'!C12,"")</x:f>
        <x:v>119.21786205905865</x:v>
      </x:c>
      <x:c r="F143" s="18" t="n">
        <x:f>IF('Results'!$B$6="Inputs accepted",'Results'!B14,"")</x:f>
        <x:v>66.9055158034782</x:v>
      </x:c>
      <x:c r="G143" s="18" t="n">
        <x:f>IF('Results'!$B$6="Inputs accepted",'Results'!C14,"")</x:f>
        <x:v>70.64020731289524</x:v>
      </x:c>
      <x:c r="H143" s="2"/>
      <x:c r="I143" s="2"/>
      <x:c r="J143" s="2"/>
      <x:c r="K143" s="2"/>
      <x:c r="L143" s="2"/>
    </x:row>
    <x:row r="144" ht="22" customHeight="1">
      <x:c r="A144" s="18" t="n">
        <x:f>(144-5)*'Inputs'!$B$33/200</x:f>
        <x:v>27.8</x:v>
      </x:c>
      <x:c r="B144" s="18" t="n">
        <x:f>IF('Results'!$B$6="Inputs accepted",IF(AND(ISNUMBER('Results'!B7),ISNUMBER('Results'!C7),ISNUMBER('Results'!$B$8),ISNUMBER('Results'!$B$9),ISNUMBER('Inputs'!$B$6),ISNUMBER('Inputs'!$B$7),ISNUMBER('Inputs'!$B$8),ISNUMBER('Inputs'!$B$9),ISNUMBER('Inputs'!$B$10),ISNUMBER('Inputs'!$B$21),ISNUMBER('Inputs'!$B$24),ISNUMBER('Inputs'!$B$28)),(('Results'!B7*(0.5*(((A144+'Inputs'!$B$21)+'Inputs'!$B$7)/SQRT(((A144+'Inputs'!$B$21)+'Inputs'!$B$7)^2+('Inputs'!$B$6/2)^2)-((A144+'Inputs'!$B$21))/SQRT(((A144+'Inputs'!$B$21))^2+('Inputs'!$B$6/2)^2)))-'Results'!C7*(0.5*(((A144+'Inputs'!$B$21+'Inputs'!$B$7+'Inputs'!$B$10)+'Inputs'!$B$9)/SQRT(((A144+'Inputs'!$B$21+'Inputs'!$B$7+'Inputs'!$B$10)+'Inputs'!$B$9)^2+('Inputs'!$B$8/2)^2)-((A144+'Inputs'!$B$21+'Inputs'!$B$7+'Inputs'!$B$10))/SQRT(((A144+'Inputs'!$B$21+'Inputs'!$B$7+'Inputs'!$B$10))^2+('Inputs'!$B$8/2)^2))))*'Results'!$B$8*'Results'!$B$9),""),"")</x:f>
        <x:v>1.32582797995324</x:v>
      </x:c>
      <x:c r="C144" s="18" t="n">
        <x:f>IF('Results'!$B$6="Inputs accepted",IF(AND(ISNUMBER('Results'!C7),ISNUMBER('Results'!B7),ISNUMBER('Results'!$B$8),ISNUMBER('Results'!$B$9),ISNUMBER('Inputs'!$B$6),ISNUMBER('Inputs'!$B$7),ISNUMBER('Inputs'!$B$8),ISNUMBER('Inputs'!$B$9),ISNUMBER('Inputs'!$B$10),ISNUMBER('Inputs'!$B$21),ISNUMBER('Inputs'!$B$24),ISNUMBER('Inputs'!$B$28)),(('Results'!C7*(0.5*(((A144+'Inputs'!$B$21)+'Inputs'!$B$9)/SQRT(((A144+'Inputs'!$B$21)+'Inputs'!$B$9)^2+('Inputs'!$B$8/2)^2)-((A144+'Inputs'!$B$21))/SQRT(((A144+'Inputs'!$B$21))^2+('Inputs'!$B$8/2)^2)))-'Results'!B7*(0.5*(((A144+'Inputs'!$B$21+'Inputs'!$B$9+'Inputs'!$B$10)+'Inputs'!$B$7)/SQRT(((A144+'Inputs'!$B$21+'Inputs'!$B$9+'Inputs'!$B$10)+'Inputs'!$B$7)^2+('Inputs'!$B$6/2)^2)-((A144+'Inputs'!$B$21+'Inputs'!$B$9+'Inputs'!$B$10))/SQRT(((A144+'Inputs'!$B$21+'Inputs'!$B$9+'Inputs'!$B$10))^2+('Inputs'!$B$6/2)^2))))*'Results'!$B$8*'Results'!$B$9),""),"")</x:f>
        <x:v>1.208146074245633</x:v>
      </x:c>
      <x:c r="D144" s="18" t="n">
        <x:f>IF('Results'!$B$6="Inputs accepted",'Results'!B12,"")</x:f>
        <x:v>112.38228018798189</x:v>
      </x:c>
      <x:c r="E144" s="18" t="n">
        <x:f>IF('Results'!$B$6="Inputs accepted",'Results'!C12,"")</x:f>
        <x:v>119.21786205905865</x:v>
      </x:c>
      <x:c r="F144" s="18" t="n">
        <x:f>IF('Results'!$B$6="Inputs accepted",'Results'!B14,"")</x:f>
        <x:v>66.9055158034782</x:v>
      </x:c>
      <x:c r="G144" s="18" t="n">
        <x:f>IF('Results'!$B$6="Inputs accepted",'Results'!C14,"")</x:f>
        <x:v>70.64020731289524</x:v>
      </x:c>
      <x:c r="H144" s="2"/>
      <x:c r="I144" s="2"/>
      <x:c r="J144" s="2"/>
      <x:c r="K144" s="2"/>
      <x:c r="L144" s="2"/>
    </x:row>
    <x:row r="145" ht="22" customHeight="1">
      <x:c r="A145" s="18" t="n">
        <x:f>(145-5)*'Inputs'!$B$33/200</x:f>
        <x:v>28</x:v>
      </x:c>
      <x:c r="B145" s="18" t="n">
        <x:f>IF('Results'!$B$6="Inputs accepted",IF(AND(ISNUMBER('Results'!B7),ISNUMBER('Results'!C7),ISNUMBER('Results'!$B$8),ISNUMBER('Results'!$B$9),ISNUMBER('Inputs'!$B$6),ISNUMBER('Inputs'!$B$7),ISNUMBER('Inputs'!$B$8),ISNUMBER('Inputs'!$B$9),ISNUMBER('Inputs'!$B$10),ISNUMBER('Inputs'!$B$21),ISNUMBER('Inputs'!$B$24),ISNUMBER('Inputs'!$B$28)),(('Results'!B7*(0.5*(((A145+'Inputs'!$B$21)+'Inputs'!$B$7)/SQRT(((A145+'Inputs'!$B$21)+'Inputs'!$B$7)^2+('Inputs'!$B$6/2)^2)-((A145+'Inputs'!$B$21))/SQRT(((A145+'Inputs'!$B$21))^2+('Inputs'!$B$6/2)^2)))-'Results'!C7*(0.5*(((A145+'Inputs'!$B$21+'Inputs'!$B$7+'Inputs'!$B$10)+'Inputs'!$B$9)/SQRT(((A145+'Inputs'!$B$21+'Inputs'!$B$7+'Inputs'!$B$10)+'Inputs'!$B$9)^2+('Inputs'!$B$8/2)^2)-((A145+'Inputs'!$B$21+'Inputs'!$B$7+'Inputs'!$B$10))/SQRT(((A145+'Inputs'!$B$21+'Inputs'!$B$7+'Inputs'!$B$10))^2+('Inputs'!$B$8/2)^2))))*'Results'!$B$8*'Results'!$B$9),""),"")</x:f>
        <x:v>1.2924997615971705</x:v>
      </x:c>
      <x:c r="C145" s="18" t="n">
        <x:f>IF('Results'!$B$6="Inputs accepted",IF(AND(ISNUMBER('Results'!C7),ISNUMBER('Results'!B7),ISNUMBER('Results'!$B$8),ISNUMBER('Results'!$B$9),ISNUMBER('Inputs'!$B$6),ISNUMBER('Inputs'!$B$7),ISNUMBER('Inputs'!$B$8),ISNUMBER('Inputs'!$B$9),ISNUMBER('Inputs'!$B$10),ISNUMBER('Inputs'!$B$21),ISNUMBER('Inputs'!$B$24),ISNUMBER('Inputs'!$B$28)),(('Results'!C7*(0.5*(((A145+'Inputs'!$B$21)+'Inputs'!$B$9)/SQRT(((A145+'Inputs'!$B$21)+'Inputs'!$B$9)^2+('Inputs'!$B$8/2)^2)-((A145+'Inputs'!$B$21))/SQRT(((A145+'Inputs'!$B$21))^2+('Inputs'!$B$8/2)^2)))-'Results'!B7*(0.5*(((A145+'Inputs'!$B$21+'Inputs'!$B$9+'Inputs'!$B$10)+'Inputs'!$B$7)/SQRT(((A145+'Inputs'!$B$21+'Inputs'!$B$9+'Inputs'!$B$10)+'Inputs'!$B$7)^2+('Inputs'!$B$6/2)^2)-((A145+'Inputs'!$B$21+'Inputs'!$B$9+'Inputs'!$B$10))/SQRT(((A145+'Inputs'!$B$21+'Inputs'!$B$9+'Inputs'!$B$10))^2+('Inputs'!$B$6/2)^2))))*'Results'!$B$8*'Results'!$B$9),""),"")</x:f>
        <x:v>1.177099859357679</x:v>
      </x:c>
      <x:c r="D145" s="18" t="n">
        <x:f>IF('Results'!$B$6="Inputs accepted",'Results'!B12,"")</x:f>
        <x:v>112.38228018798189</x:v>
      </x:c>
      <x:c r="E145" s="18" t="n">
        <x:f>IF('Results'!$B$6="Inputs accepted",'Results'!C12,"")</x:f>
        <x:v>119.21786205905865</x:v>
      </x:c>
      <x:c r="F145" s="18" t="n">
        <x:f>IF('Results'!$B$6="Inputs accepted",'Results'!B14,"")</x:f>
        <x:v>66.9055158034782</x:v>
      </x:c>
      <x:c r="G145" s="18" t="n">
        <x:f>IF('Results'!$B$6="Inputs accepted",'Results'!C14,"")</x:f>
        <x:v>70.64020731289524</x:v>
      </x:c>
      <x:c r="H145" s="2"/>
      <x:c r="I145" s="2"/>
      <x:c r="J145" s="2"/>
      <x:c r="K145" s="2"/>
      <x:c r="L145" s="2"/>
    </x:row>
    <x:row r="146" ht="22" customHeight="1">
      <x:c r="A146" s="18" t="n">
        <x:f>(146-5)*'Inputs'!$B$33/200</x:f>
        <x:v>28.2</x:v>
      </x:c>
      <x:c r="B146" s="18" t="n">
        <x:f>IF('Results'!$B$6="Inputs accepted",IF(AND(ISNUMBER('Results'!B7),ISNUMBER('Results'!C7),ISNUMBER('Results'!$B$8),ISNUMBER('Results'!$B$9),ISNUMBER('Inputs'!$B$6),ISNUMBER('Inputs'!$B$7),ISNUMBER('Inputs'!$B$8),ISNUMBER('Inputs'!$B$9),ISNUMBER('Inputs'!$B$10),ISNUMBER('Inputs'!$B$21),ISNUMBER('Inputs'!$B$24),ISNUMBER('Inputs'!$B$28)),(('Results'!B7*(0.5*(((A146+'Inputs'!$B$21)+'Inputs'!$B$7)/SQRT(((A146+'Inputs'!$B$21)+'Inputs'!$B$7)^2+('Inputs'!$B$6/2)^2)-((A146+'Inputs'!$B$21))/SQRT(((A146+'Inputs'!$B$21))^2+('Inputs'!$B$6/2)^2)))-'Results'!C7*(0.5*(((A146+'Inputs'!$B$21+'Inputs'!$B$7+'Inputs'!$B$10)+'Inputs'!$B$9)/SQRT(((A146+'Inputs'!$B$21+'Inputs'!$B$7+'Inputs'!$B$10)+'Inputs'!$B$9)^2+('Inputs'!$B$8/2)^2)-((A146+'Inputs'!$B$21+'Inputs'!$B$7+'Inputs'!$B$10))/SQRT(((A146+'Inputs'!$B$21+'Inputs'!$B$7+'Inputs'!$B$10))^2+('Inputs'!$B$8/2)^2))))*'Results'!$B$8*'Results'!$B$9),""),"")</x:f>
        <x:v>1.260215800895248</x:v>
      </x:c>
      <x:c r="C146" s="18" t="n">
        <x:f>IF('Results'!$B$6="Inputs accepted",IF(AND(ISNUMBER('Results'!C7),ISNUMBER('Results'!B7),ISNUMBER('Results'!$B$8),ISNUMBER('Results'!$B$9),ISNUMBER('Inputs'!$B$6),ISNUMBER('Inputs'!$B$7),ISNUMBER('Inputs'!$B$8),ISNUMBER('Inputs'!$B$9),ISNUMBER('Inputs'!$B$10),ISNUMBER('Inputs'!$B$21),ISNUMBER('Inputs'!$B$24),ISNUMBER('Inputs'!$B$28)),(('Results'!C7*(0.5*(((A146+'Inputs'!$B$21)+'Inputs'!$B$9)/SQRT(((A146+'Inputs'!$B$21)+'Inputs'!$B$9)^2+('Inputs'!$B$8/2)^2)-((A146+'Inputs'!$B$21))/SQRT(((A146+'Inputs'!$B$21))^2+('Inputs'!$B$8/2)^2)))-'Results'!B7*(0.5*(((A146+'Inputs'!$B$21+'Inputs'!$B$9+'Inputs'!$B$10)+'Inputs'!$B$7)/SQRT(((A146+'Inputs'!$B$21+'Inputs'!$B$9+'Inputs'!$B$10)+'Inputs'!$B$7)^2+('Inputs'!$B$6/2)^2)-((A146+'Inputs'!$B$21+'Inputs'!$B$9+'Inputs'!$B$10))/SQRT(((A146+'Inputs'!$B$21+'Inputs'!$B$9+'Inputs'!$B$10))^2+('Inputs'!$B$6/2)^2))))*'Results'!$B$8*'Results'!$B$9),""),"")</x:f>
        <x:v>1.147039151409432</x:v>
      </x:c>
      <x:c r="D146" s="18" t="n">
        <x:f>IF('Results'!$B$6="Inputs accepted",'Results'!B12,"")</x:f>
        <x:v>112.38228018798189</x:v>
      </x:c>
      <x:c r="E146" s="18" t="n">
        <x:f>IF('Results'!$B$6="Inputs accepted",'Results'!C12,"")</x:f>
        <x:v>119.21786205905865</x:v>
      </x:c>
      <x:c r="F146" s="18" t="n">
        <x:f>IF('Results'!$B$6="Inputs accepted",'Results'!B14,"")</x:f>
        <x:v>66.9055158034782</x:v>
      </x:c>
      <x:c r="G146" s="18" t="n">
        <x:f>IF('Results'!$B$6="Inputs accepted",'Results'!C14,"")</x:f>
        <x:v>70.64020731289524</x:v>
      </x:c>
      <x:c r="H146" s="2"/>
      <x:c r="I146" s="2"/>
      <x:c r="J146" s="2"/>
      <x:c r="K146" s="2"/>
      <x:c r="L146" s="2"/>
    </x:row>
    <x:row r="147" ht="22" customHeight="1">
      <x:c r="A147" s="18" t="n">
        <x:f>(147-5)*'Inputs'!$B$33/200</x:f>
        <x:v>28.4</x:v>
      </x:c>
      <x:c r="B147" s="18" t="n">
        <x:f>IF('Results'!$B$6="Inputs accepted",IF(AND(ISNUMBER('Results'!B7),ISNUMBER('Results'!C7),ISNUMBER('Results'!$B$8),ISNUMBER('Results'!$B$9),ISNUMBER('Inputs'!$B$6),ISNUMBER('Inputs'!$B$7),ISNUMBER('Inputs'!$B$8),ISNUMBER('Inputs'!$B$9),ISNUMBER('Inputs'!$B$10),ISNUMBER('Inputs'!$B$21),ISNUMBER('Inputs'!$B$24),ISNUMBER('Inputs'!$B$28)),(('Results'!B7*(0.5*(((A147+'Inputs'!$B$21)+'Inputs'!$B$7)/SQRT(((A147+'Inputs'!$B$21)+'Inputs'!$B$7)^2+('Inputs'!$B$6/2)^2)-((A147+'Inputs'!$B$21))/SQRT(((A147+'Inputs'!$B$21))^2+('Inputs'!$B$6/2)^2)))-'Results'!C7*(0.5*(((A147+'Inputs'!$B$21+'Inputs'!$B$7+'Inputs'!$B$10)+'Inputs'!$B$9)/SQRT(((A147+'Inputs'!$B$21+'Inputs'!$B$7+'Inputs'!$B$10)+'Inputs'!$B$9)^2+('Inputs'!$B$8/2)^2)-((A147+'Inputs'!$B$21+'Inputs'!$B$7+'Inputs'!$B$10))/SQRT(((A147+'Inputs'!$B$21+'Inputs'!$B$7+'Inputs'!$B$10))^2+('Inputs'!$B$8/2)^2))))*'Results'!$B$8*'Results'!$B$9),""),"")</x:f>
        <x:v>1.2289370297435596</x:v>
      </x:c>
      <x:c r="C147" s="18" t="n">
        <x:f>IF('Results'!$B$6="Inputs accepted",IF(AND(ISNUMBER('Results'!C7),ISNUMBER('Results'!B7),ISNUMBER('Results'!$B$8),ISNUMBER('Results'!$B$9),ISNUMBER('Inputs'!$B$6),ISNUMBER('Inputs'!$B$7),ISNUMBER('Inputs'!$B$8),ISNUMBER('Inputs'!$B$9),ISNUMBER('Inputs'!$B$10),ISNUMBER('Inputs'!$B$21),ISNUMBER('Inputs'!$B$24),ISNUMBER('Inputs'!$B$28)),(('Results'!C7*(0.5*(((A147+'Inputs'!$B$21)+'Inputs'!$B$9)/SQRT(((A147+'Inputs'!$B$21)+'Inputs'!$B$9)^2+('Inputs'!$B$8/2)^2)-((A147+'Inputs'!$B$21))/SQRT(((A147+'Inputs'!$B$21))^2+('Inputs'!$B$8/2)^2)))-'Results'!B7*(0.5*(((A147+'Inputs'!$B$21+'Inputs'!$B$9+'Inputs'!$B$10)+'Inputs'!$B$7)/SQRT(((A147+'Inputs'!$B$21+'Inputs'!$B$9+'Inputs'!$B$10)+'Inputs'!$B$7)^2+('Inputs'!$B$6/2)^2)-((A147+'Inputs'!$B$21+'Inputs'!$B$9+'Inputs'!$B$10))/SQRT(((A147+'Inputs'!$B$21+'Inputs'!$B$9+'Inputs'!$B$10))^2+('Inputs'!$B$6/2)^2))))*'Results'!$B$8*'Results'!$B$9),""),"")</x:f>
        <x:v>1.117926764400824</x:v>
      </x:c>
      <x:c r="D147" s="18" t="n">
        <x:f>IF('Results'!$B$6="Inputs accepted",'Results'!B12,"")</x:f>
        <x:v>112.38228018798189</x:v>
      </x:c>
      <x:c r="E147" s="18" t="n">
        <x:f>IF('Results'!$B$6="Inputs accepted",'Results'!C12,"")</x:f>
        <x:v>119.21786205905865</x:v>
      </x:c>
      <x:c r="F147" s="18" t="n">
        <x:f>IF('Results'!$B$6="Inputs accepted",'Results'!B14,"")</x:f>
        <x:v>66.9055158034782</x:v>
      </x:c>
      <x:c r="G147" s="18" t="n">
        <x:f>IF('Results'!$B$6="Inputs accepted",'Results'!C14,"")</x:f>
        <x:v>70.64020731289524</x:v>
      </x:c>
      <x:c r="H147" s="2"/>
      <x:c r="I147" s="2"/>
      <x:c r="J147" s="2"/>
      <x:c r="K147" s="2"/>
      <x:c r="L147" s="2"/>
    </x:row>
    <x:row r="148" ht="22" customHeight="1">
      <x:c r="A148" s="18" t="n">
        <x:f>(148-5)*'Inputs'!$B$33/200</x:f>
        <x:v>28.6</x:v>
      </x:c>
      <x:c r="B148" s="18" t="n">
        <x:f>IF('Results'!$B$6="Inputs accepted",IF(AND(ISNUMBER('Results'!B7),ISNUMBER('Results'!C7),ISNUMBER('Results'!$B$8),ISNUMBER('Results'!$B$9),ISNUMBER('Inputs'!$B$6),ISNUMBER('Inputs'!$B$7),ISNUMBER('Inputs'!$B$8),ISNUMBER('Inputs'!$B$9),ISNUMBER('Inputs'!$B$10),ISNUMBER('Inputs'!$B$21),ISNUMBER('Inputs'!$B$24),ISNUMBER('Inputs'!$B$28)),(('Results'!B7*(0.5*(((A148+'Inputs'!$B$21)+'Inputs'!$B$7)/SQRT(((A148+'Inputs'!$B$21)+'Inputs'!$B$7)^2+('Inputs'!$B$6/2)^2)-((A148+'Inputs'!$B$21))/SQRT(((A148+'Inputs'!$B$21))^2+('Inputs'!$B$6/2)^2)))-'Results'!C7*(0.5*(((A148+'Inputs'!$B$21+'Inputs'!$B$7+'Inputs'!$B$10)+'Inputs'!$B$9)/SQRT(((A148+'Inputs'!$B$21+'Inputs'!$B$7+'Inputs'!$B$10)+'Inputs'!$B$9)^2+('Inputs'!$B$8/2)^2)-((A148+'Inputs'!$B$21+'Inputs'!$B$7+'Inputs'!$B$10))/SQRT(((A148+'Inputs'!$B$21+'Inputs'!$B$7+'Inputs'!$B$10))^2+('Inputs'!$B$8/2)^2))))*'Results'!$B$8*'Results'!$B$9),""),"")</x:f>
        <x:v>1.1986260752150701</x:v>
      </x:c>
      <x:c r="C148" s="18" t="n">
        <x:f>IF('Results'!$B$6="Inputs accepted",IF(AND(ISNUMBER('Results'!C7),ISNUMBER('Results'!B7),ISNUMBER('Results'!$B$8),ISNUMBER('Results'!$B$9),ISNUMBER('Inputs'!$B$6),ISNUMBER('Inputs'!$B$7),ISNUMBER('Inputs'!$B$8),ISNUMBER('Inputs'!$B$9),ISNUMBER('Inputs'!$B$10),ISNUMBER('Inputs'!$B$21),ISNUMBER('Inputs'!$B$24),ISNUMBER('Inputs'!$B$28)),(('Results'!C7*(0.5*(((A148+'Inputs'!$B$21)+'Inputs'!$B$9)/SQRT(((A148+'Inputs'!$B$21)+'Inputs'!$B$9)^2+('Inputs'!$B$8/2)^2)-((A148+'Inputs'!$B$21))/SQRT(((A148+'Inputs'!$B$21))^2+('Inputs'!$B$8/2)^2)))-'Results'!B7*(0.5*(((A148+'Inputs'!$B$21+'Inputs'!$B$9+'Inputs'!$B$10)+'Inputs'!$B$7)/SQRT(((A148+'Inputs'!$B$21+'Inputs'!$B$9+'Inputs'!$B$10)+'Inputs'!$B$7)^2+('Inputs'!$B$6/2)^2)-((A148+'Inputs'!$B$21+'Inputs'!$B$9+'Inputs'!$B$10))/SQRT(((A148+'Inputs'!$B$21+'Inputs'!$B$9+'Inputs'!$B$10))^2+('Inputs'!$B$6/2)^2))))*'Results'!$B$8*'Results'!$B$9),""),"")</x:f>
        <x:v>1.0897271355069953</x:v>
      </x:c>
      <x:c r="D148" s="18" t="n">
        <x:f>IF('Results'!$B$6="Inputs accepted",'Results'!B12,"")</x:f>
        <x:v>112.38228018798189</x:v>
      </x:c>
      <x:c r="E148" s="18" t="n">
        <x:f>IF('Results'!$B$6="Inputs accepted",'Results'!C12,"")</x:f>
        <x:v>119.21786205905865</x:v>
      </x:c>
      <x:c r="F148" s="18" t="n">
        <x:f>IF('Results'!$B$6="Inputs accepted",'Results'!B14,"")</x:f>
        <x:v>66.9055158034782</x:v>
      </x:c>
      <x:c r="G148" s="18" t="n">
        <x:f>IF('Results'!$B$6="Inputs accepted",'Results'!C14,"")</x:f>
        <x:v>70.64020731289524</x:v>
      </x:c>
      <x:c r="H148" s="2"/>
      <x:c r="I148" s="2"/>
      <x:c r="J148" s="2"/>
      <x:c r="K148" s="2"/>
      <x:c r="L148" s="2"/>
    </x:row>
    <x:row r="149" ht="22" customHeight="1">
      <x:c r="A149" s="18" t="n">
        <x:f>(149-5)*'Inputs'!$B$33/200</x:f>
        <x:v>28.8</x:v>
      </x:c>
      <x:c r="B149" s="18" t="n">
        <x:f>IF('Results'!$B$6="Inputs accepted",IF(AND(ISNUMBER('Results'!B7),ISNUMBER('Results'!C7),ISNUMBER('Results'!$B$8),ISNUMBER('Results'!$B$9),ISNUMBER('Inputs'!$B$6),ISNUMBER('Inputs'!$B$7),ISNUMBER('Inputs'!$B$8),ISNUMBER('Inputs'!$B$9),ISNUMBER('Inputs'!$B$10),ISNUMBER('Inputs'!$B$21),ISNUMBER('Inputs'!$B$24),ISNUMBER('Inputs'!$B$28)),(('Results'!B7*(0.5*(((A149+'Inputs'!$B$21)+'Inputs'!$B$7)/SQRT(((A149+'Inputs'!$B$21)+'Inputs'!$B$7)^2+('Inputs'!$B$6/2)^2)-((A149+'Inputs'!$B$21))/SQRT(((A149+'Inputs'!$B$21))^2+('Inputs'!$B$6/2)^2)))-'Results'!C7*(0.5*(((A149+'Inputs'!$B$21+'Inputs'!$B$7+'Inputs'!$B$10)+'Inputs'!$B$9)/SQRT(((A149+'Inputs'!$B$21+'Inputs'!$B$7+'Inputs'!$B$10)+'Inputs'!$B$9)^2+('Inputs'!$B$8/2)^2)-((A149+'Inputs'!$B$21+'Inputs'!$B$7+'Inputs'!$B$10))/SQRT(((A149+'Inputs'!$B$21+'Inputs'!$B$7+'Inputs'!$B$10))^2+('Inputs'!$B$8/2)^2))))*'Results'!$B$8*'Results'!$B$9),""),"")</x:f>
        <x:v>1.1692471760194965</x:v>
      </x:c>
      <x:c r="C149" s="18" t="n">
        <x:f>IF('Results'!$B$6="Inputs accepted",IF(AND(ISNUMBER('Results'!C7),ISNUMBER('Results'!B7),ISNUMBER('Results'!$B$8),ISNUMBER('Results'!$B$9),ISNUMBER('Inputs'!$B$6),ISNUMBER('Inputs'!$B$7),ISNUMBER('Inputs'!$B$8),ISNUMBER('Inputs'!$B$9),ISNUMBER('Inputs'!$B$10),ISNUMBER('Inputs'!$B$21),ISNUMBER('Inputs'!$B$24),ISNUMBER('Inputs'!$B$28)),(('Results'!C7*(0.5*(((A149+'Inputs'!$B$21)+'Inputs'!$B$9)/SQRT(((A149+'Inputs'!$B$21)+'Inputs'!$B$9)^2+('Inputs'!$B$8/2)^2)-((A149+'Inputs'!$B$21))/SQRT(((A149+'Inputs'!$B$21))^2+('Inputs'!$B$8/2)^2)))-'Results'!B7*(0.5*(((A149+'Inputs'!$B$21+'Inputs'!$B$9+'Inputs'!$B$10)+'Inputs'!$B$7)/SQRT(((A149+'Inputs'!$B$21+'Inputs'!$B$9+'Inputs'!$B$10)+'Inputs'!$B$7)^2+('Inputs'!$B$6/2)^2)-((A149+'Inputs'!$B$21+'Inputs'!$B$9+'Inputs'!$B$10))/SQRT(((A149+'Inputs'!$B$21+'Inputs'!$B$9+'Inputs'!$B$10))^2+('Inputs'!$B$6/2)^2))))*'Results'!$B$8*'Results'!$B$9),""),"")</x:f>
        <x:v>1.0624062447349258</x:v>
      </x:c>
      <x:c r="D149" s="18" t="n">
        <x:f>IF('Results'!$B$6="Inputs accepted",'Results'!B12,"")</x:f>
        <x:v>112.38228018798189</x:v>
      </x:c>
      <x:c r="E149" s="18" t="n">
        <x:f>IF('Results'!$B$6="Inputs accepted",'Results'!C12,"")</x:f>
        <x:v>119.21786205905865</x:v>
      </x:c>
      <x:c r="F149" s="18" t="n">
        <x:f>IF('Results'!$B$6="Inputs accepted",'Results'!B14,"")</x:f>
        <x:v>66.9055158034782</x:v>
      </x:c>
      <x:c r="G149" s="18" t="n">
        <x:f>IF('Results'!$B$6="Inputs accepted",'Results'!C14,"")</x:f>
        <x:v>70.64020731289524</x:v>
      </x:c>
      <x:c r="H149" s="2"/>
      <x:c r="I149" s="2"/>
      <x:c r="J149" s="2"/>
      <x:c r="K149" s="2"/>
      <x:c r="L149" s="2"/>
    </x:row>
    <x:row r="150" ht="22" customHeight="1">
      <x:c r="A150" s="18" t="n">
        <x:f>(150-5)*'Inputs'!$B$33/200</x:f>
        <x:v>29</x:v>
      </x:c>
      <x:c r="B150" s="18" t="n">
        <x:f>IF('Results'!$B$6="Inputs accepted",IF(AND(ISNUMBER('Results'!B7),ISNUMBER('Results'!C7),ISNUMBER('Results'!$B$8),ISNUMBER('Results'!$B$9),ISNUMBER('Inputs'!$B$6),ISNUMBER('Inputs'!$B$7),ISNUMBER('Inputs'!$B$8),ISNUMBER('Inputs'!$B$9),ISNUMBER('Inputs'!$B$10),ISNUMBER('Inputs'!$B$21),ISNUMBER('Inputs'!$B$24),ISNUMBER('Inputs'!$B$28)),(('Results'!B7*(0.5*(((A150+'Inputs'!$B$21)+'Inputs'!$B$7)/SQRT(((A150+'Inputs'!$B$21)+'Inputs'!$B$7)^2+('Inputs'!$B$6/2)^2)-((A150+'Inputs'!$B$21))/SQRT(((A150+'Inputs'!$B$21))^2+('Inputs'!$B$6/2)^2)))-'Results'!C7*(0.5*(((A150+'Inputs'!$B$21+'Inputs'!$B$7+'Inputs'!$B$10)+'Inputs'!$B$9)/SQRT(((A150+'Inputs'!$B$21+'Inputs'!$B$7+'Inputs'!$B$10)+'Inputs'!$B$9)^2+('Inputs'!$B$8/2)^2)-((A150+'Inputs'!$B$21+'Inputs'!$B$7+'Inputs'!$B$10))/SQRT(((A150+'Inputs'!$B$21+'Inputs'!$B$7+'Inputs'!$B$10))^2+('Inputs'!$B$8/2)^2))))*'Results'!$B$8*'Results'!$B$9),""),"")</x:f>
        <x:v>1.1407661036002115</x:v>
      </x:c>
      <x:c r="C150" s="18" t="n">
        <x:f>IF('Results'!$B$6="Inputs accepted",IF(AND(ISNUMBER('Results'!C7),ISNUMBER('Results'!B7),ISNUMBER('Results'!$B$8),ISNUMBER('Results'!$B$9),ISNUMBER('Inputs'!$B$6),ISNUMBER('Inputs'!$B$7),ISNUMBER('Inputs'!$B$8),ISNUMBER('Inputs'!$B$9),ISNUMBER('Inputs'!$B$10),ISNUMBER('Inputs'!$B$21),ISNUMBER('Inputs'!$B$24),ISNUMBER('Inputs'!$B$28)),(('Results'!C7*(0.5*(((A150+'Inputs'!$B$21)+'Inputs'!$B$9)/SQRT(((A150+'Inputs'!$B$21)+'Inputs'!$B$9)^2+('Inputs'!$B$8/2)^2)-((A150+'Inputs'!$B$21))/SQRT(((A150+'Inputs'!$B$21))^2+('Inputs'!$B$8/2)^2)))-'Results'!B7*(0.5*(((A150+'Inputs'!$B$21+'Inputs'!$B$9+'Inputs'!$B$10)+'Inputs'!$B$7)/SQRT(((A150+'Inputs'!$B$21+'Inputs'!$B$9+'Inputs'!$B$10)+'Inputs'!$B$7)^2+('Inputs'!$B$6/2)^2)-((A150+'Inputs'!$B$21+'Inputs'!$B$9+'Inputs'!$B$10))/SQRT(((A150+'Inputs'!$B$21+'Inputs'!$B$9+'Inputs'!$B$10))^2+('Inputs'!$B$6/2)^2))))*'Results'!$B$8*'Results'!$B$9),""),"")</x:f>
        <x:v>1.0359315390563182</x:v>
      </x:c>
      <x:c r="D150" s="18" t="n">
        <x:f>IF('Results'!$B$6="Inputs accepted",'Results'!B12,"")</x:f>
        <x:v>112.38228018798189</x:v>
      </x:c>
      <x:c r="E150" s="18" t="n">
        <x:f>IF('Results'!$B$6="Inputs accepted",'Results'!C12,"")</x:f>
        <x:v>119.21786205905865</x:v>
      </x:c>
      <x:c r="F150" s="18" t="n">
        <x:f>IF('Results'!$B$6="Inputs accepted",'Results'!B14,"")</x:f>
        <x:v>66.9055158034782</x:v>
      </x:c>
      <x:c r="G150" s="18" t="n">
        <x:f>IF('Results'!$B$6="Inputs accepted",'Results'!C14,"")</x:f>
        <x:v>70.64020731289524</x:v>
      </x:c>
      <x:c r="H150" s="2"/>
      <x:c r="I150" s="2"/>
      <x:c r="J150" s="2"/>
      <x:c r="K150" s="2"/>
      <x:c r="L150" s="2"/>
    </x:row>
    <x:row r="151" ht="22" customHeight="1">
      <x:c r="A151" s="18" t="n">
        <x:f>(151-5)*'Inputs'!$B$33/200</x:f>
        <x:v>29.2</x:v>
      </x:c>
      <x:c r="B151" s="18" t="n">
        <x:f>IF('Results'!$B$6="Inputs accepted",IF(AND(ISNUMBER('Results'!B7),ISNUMBER('Results'!C7),ISNUMBER('Results'!$B$8),ISNUMBER('Results'!$B$9),ISNUMBER('Inputs'!$B$6),ISNUMBER('Inputs'!$B$7),ISNUMBER('Inputs'!$B$8),ISNUMBER('Inputs'!$B$9),ISNUMBER('Inputs'!$B$10),ISNUMBER('Inputs'!$B$21),ISNUMBER('Inputs'!$B$24),ISNUMBER('Inputs'!$B$28)),(('Results'!B7*(0.5*(((A151+'Inputs'!$B$21)+'Inputs'!$B$7)/SQRT(((A151+'Inputs'!$B$21)+'Inputs'!$B$7)^2+('Inputs'!$B$6/2)^2)-((A151+'Inputs'!$B$21))/SQRT(((A151+'Inputs'!$B$21))^2+('Inputs'!$B$6/2)^2)))-'Results'!C7*(0.5*(((A151+'Inputs'!$B$21+'Inputs'!$B$7+'Inputs'!$B$10)+'Inputs'!$B$9)/SQRT(((A151+'Inputs'!$B$21+'Inputs'!$B$7+'Inputs'!$B$10)+'Inputs'!$B$9)^2+('Inputs'!$B$8/2)^2)-((A151+'Inputs'!$B$21+'Inputs'!$B$7+'Inputs'!$B$10))/SQRT(((A151+'Inputs'!$B$21+'Inputs'!$B$7+'Inputs'!$B$10))^2+('Inputs'!$B$8/2)^2))))*'Results'!$B$8*'Results'!$B$9),""),"")</x:f>
        <x:v>1.1131500875027713</x:v>
      </x:c>
      <x:c r="C151" s="18" t="n">
        <x:f>IF('Results'!$B$6="Inputs accepted",IF(AND(ISNUMBER('Results'!C7),ISNUMBER('Results'!B7),ISNUMBER('Results'!$B$8),ISNUMBER('Results'!$B$9),ISNUMBER('Inputs'!$B$6),ISNUMBER('Inputs'!$B$7),ISNUMBER('Inputs'!$B$8),ISNUMBER('Inputs'!$B$9),ISNUMBER('Inputs'!$B$10),ISNUMBER('Inputs'!$B$21),ISNUMBER('Inputs'!$B$24),ISNUMBER('Inputs'!$B$28)),(('Results'!C7*(0.5*(((A151+'Inputs'!$B$21)+'Inputs'!$B$9)/SQRT(((A151+'Inputs'!$B$21)+'Inputs'!$B$9)^2+('Inputs'!$B$8/2)^2)-((A151+'Inputs'!$B$21))/SQRT(((A151+'Inputs'!$B$21))^2+('Inputs'!$B$8/2)^2)))-'Results'!B7*(0.5*(((A151+'Inputs'!$B$21+'Inputs'!$B$9+'Inputs'!$B$10)+'Inputs'!$B$7)/SQRT(((A151+'Inputs'!$B$21+'Inputs'!$B$9+'Inputs'!$B$10)+'Inputs'!$B$7)^2+('Inputs'!$B$6/2)^2)-((A151+'Inputs'!$B$21+'Inputs'!$B$9+'Inputs'!$B$10))/SQRT(((A151+'Inputs'!$B$21+'Inputs'!$B$9+'Inputs'!$B$10))^2+('Inputs'!$B$6/2)^2))))*'Results'!$B$8*'Results'!$B$9),""),"")</x:f>
        <x:v>1.0102718606591656</x:v>
      </x:c>
      <x:c r="D151" s="18" t="n">
        <x:f>IF('Results'!$B$6="Inputs accepted",'Results'!B12,"")</x:f>
        <x:v>112.38228018798189</x:v>
      </x:c>
      <x:c r="E151" s="18" t="n">
        <x:f>IF('Results'!$B$6="Inputs accepted",'Results'!C12,"")</x:f>
        <x:v>119.21786205905865</x:v>
      </x:c>
      <x:c r="F151" s="18" t="n">
        <x:f>IF('Results'!$B$6="Inputs accepted",'Results'!B14,"")</x:f>
        <x:v>66.9055158034782</x:v>
      </x:c>
      <x:c r="G151" s="18" t="n">
        <x:f>IF('Results'!$B$6="Inputs accepted",'Results'!C14,"")</x:f>
        <x:v>70.64020731289524</x:v>
      </x:c>
      <x:c r="H151" s="2"/>
      <x:c r="I151" s="2"/>
      <x:c r="J151" s="2"/>
      <x:c r="K151" s="2"/>
      <x:c r="L151" s="2"/>
    </x:row>
    <x:row r="152" ht="22" customHeight="1">
      <x:c r="A152" s="18" t="n">
        <x:f>(152-5)*'Inputs'!$B$33/200</x:f>
        <x:v>29.4</x:v>
      </x:c>
      <x:c r="B152" s="18" t="n">
        <x:f>IF('Results'!$B$6="Inputs accepted",IF(AND(ISNUMBER('Results'!B7),ISNUMBER('Results'!C7),ISNUMBER('Results'!$B$8),ISNUMBER('Results'!$B$9),ISNUMBER('Inputs'!$B$6),ISNUMBER('Inputs'!$B$7),ISNUMBER('Inputs'!$B$8),ISNUMBER('Inputs'!$B$9),ISNUMBER('Inputs'!$B$10),ISNUMBER('Inputs'!$B$21),ISNUMBER('Inputs'!$B$24),ISNUMBER('Inputs'!$B$28)),(('Results'!B7*(0.5*(((A152+'Inputs'!$B$21)+'Inputs'!$B$7)/SQRT(((A152+'Inputs'!$B$21)+'Inputs'!$B$7)^2+('Inputs'!$B$6/2)^2)-((A152+'Inputs'!$B$21))/SQRT(((A152+'Inputs'!$B$21))^2+('Inputs'!$B$6/2)^2)))-'Results'!C7*(0.5*(((A152+'Inputs'!$B$21+'Inputs'!$B$7+'Inputs'!$B$10)+'Inputs'!$B$9)/SQRT(((A152+'Inputs'!$B$21+'Inputs'!$B$7+'Inputs'!$B$10)+'Inputs'!$B$9)^2+('Inputs'!$B$8/2)^2)-((A152+'Inputs'!$B$21+'Inputs'!$B$7+'Inputs'!$B$10))/SQRT(((A152+'Inputs'!$B$21+'Inputs'!$B$7+'Inputs'!$B$10))^2+('Inputs'!$B$8/2)^2))))*'Results'!$B$8*'Results'!$B$9),""),"")</x:f>
        <x:v>1.0863677448510272</x:v>
      </x:c>
      <x:c r="C152" s="18" t="n">
        <x:f>IF('Results'!$B$6="Inputs accepted",IF(AND(ISNUMBER('Results'!C7),ISNUMBER('Results'!B7),ISNUMBER('Results'!$B$8),ISNUMBER('Results'!$B$9),ISNUMBER('Inputs'!$B$6),ISNUMBER('Inputs'!$B$7),ISNUMBER('Inputs'!$B$8),ISNUMBER('Inputs'!$B$9),ISNUMBER('Inputs'!$B$10),ISNUMBER('Inputs'!$B$21),ISNUMBER('Inputs'!$B$24),ISNUMBER('Inputs'!$B$28)),(('Results'!C7*(0.5*(((A152+'Inputs'!$B$21)+'Inputs'!$B$9)/SQRT(((A152+'Inputs'!$B$21)+'Inputs'!$B$9)^2+('Inputs'!$B$8/2)^2)-((A152+'Inputs'!$B$21))/SQRT(((A152+'Inputs'!$B$21))^2+('Inputs'!$B$8/2)^2)))-'Results'!B7*(0.5*(((A152+'Inputs'!$B$21+'Inputs'!$B$9+'Inputs'!$B$10)+'Inputs'!$B$7)/SQRT(((A152+'Inputs'!$B$21+'Inputs'!$B$9+'Inputs'!$B$10)+'Inputs'!$B$7)^2+('Inputs'!$B$6/2)^2)-((A152+'Inputs'!$B$21+'Inputs'!$B$9+'Inputs'!$B$10))/SQRT(((A152+'Inputs'!$B$21+'Inputs'!$B$9+'Inputs'!$B$10))^2+('Inputs'!$B$6/2)^2))))*'Results'!$B$8*'Results'!$B$9),""),"")</x:f>
        <x:v>0.9853973791638283</x:v>
      </x:c>
      <x:c r="D152" s="18" t="n">
        <x:f>IF('Results'!$B$6="Inputs accepted",'Results'!B12,"")</x:f>
        <x:v>112.38228018798189</x:v>
      </x:c>
      <x:c r="E152" s="18" t="n">
        <x:f>IF('Results'!$B$6="Inputs accepted",'Results'!C12,"")</x:f>
        <x:v>119.21786205905865</x:v>
      </x:c>
      <x:c r="F152" s="18" t="n">
        <x:f>IF('Results'!$B$6="Inputs accepted",'Results'!B14,"")</x:f>
        <x:v>66.9055158034782</x:v>
      </x:c>
      <x:c r="G152" s="18" t="n">
        <x:f>IF('Results'!$B$6="Inputs accepted",'Results'!C14,"")</x:f>
        <x:v>70.64020731289524</x:v>
      </x:c>
      <x:c r="H152" s="2"/>
      <x:c r="I152" s="2"/>
      <x:c r="J152" s="2"/>
      <x:c r="K152" s="2"/>
      <x:c r="L152" s="2"/>
    </x:row>
    <x:row r="153" ht="22" customHeight="1">
      <x:c r="A153" s="18" t="n">
        <x:f>(153-5)*'Inputs'!$B$33/200</x:f>
        <x:v>29.6</x:v>
      </x:c>
      <x:c r="B153" s="18" t="n">
        <x:f>IF('Results'!$B$6="Inputs accepted",IF(AND(ISNUMBER('Results'!B7),ISNUMBER('Results'!C7),ISNUMBER('Results'!$B$8),ISNUMBER('Results'!$B$9),ISNUMBER('Inputs'!$B$6),ISNUMBER('Inputs'!$B$7),ISNUMBER('Inputs'!$B$8),ISNUMBER('Inputs'!$B$9),ISNUMBER('Inputs'!$B$10),ISNUMBER('Inputs'!$B$21),ISNUMBER('Inputs'!$B$24),ISNUMBER('Inputs'!$B$28)),(('Results'!B7*(0.5*(((A153+'Inputs'!$B$21)+'Inputs'!$B$7)/SQRT(((A153+'Inputs'!$B$21)+'Inputs'!$B$7)^2+('Inputs'!$B$6/2)^2)-((A153+'Inputs'!$B$21))/SQRT(((A153+'Inputs'!$B$21))^2+('Inputs'!$B$6/2)^2)))-'Results'!C7*(0.5*(((A153+'Inputs'!$B$21+'Inputs'!$B$7+'Inputs'!$B$10)+'Inputs'!$B$9)/SQRT(((A153+'Inputs'!$B$21+'Inputs'!$B$7+'Inputs'!$B$10)+'Inputs'!$B$9)^2+('Inputs'!$B$8/2)^2)-((A153+'Inputs'!$B$21+'Inputs'!$B$7+'Inputs'!$B$10))/SQRT(((A153+'Inputs'!$B$21+'Inputs'!$B$7+'Inputs'!$B$10))^2+('Inputs'!$B$8/2)^2))))*'Results'!$B$8*'Results'!$B$9),""),"")</x:f>
        <x:v>1.0603890135992338</x:v>
      </x:c>
      <x:c r="C153" s="18" t="n">
        <x:f>IF('Results'!$B$6="Inputs accepted",IF(AND(ISNUMBER('Results'!C7),ISNUMBER('Results'!B7),ISNUMBER('Results'!$B$8),ISNUMBER('Results'!$B$9),ISNUMBER('Inputs'!$B$6),ISNUMBER('Inputs'!$B$7),ISNUMBER('Inputs'!$B$8),ISNUMBER('Inputs'!$B$9),ISNUMBER('Inputs'!$B$10),ISNUMBER('Inputs'!$B$21),ISNUMBER('Inputs'!$B$24),ISNUMBER('Inputs'!$B$28)),(('Results'!C7*(0.5*(((A153+'Inputs'!$B$21)+'Inputs'!$B$9)/SQRT(((A153+'Inputs'!$B$21)+'Inputs'!$B$9)^2+('Inputs'!$B$8/2)^2)-((A153+'Inputs'!$B$21))/SQRT(((A153+'Inputs'!$B$21))^2+('Inputs'!$B$8/2)^2)))-'Results'!B7*(0.5*(((A153+'Inputs'!$B$21+'Inputs'!$B$9+'Inputs'!$B$10)+'Inputs'!$B$7)/SQRT(((A153+'Inputs'!$B$21+'Inputs'!$B$9+'Inputs'!$B$10)+'Inputs'!$B$7)^2+('Inputs'!$B$6/2)^2)-((A153+'Inputs'!$B$21+'Inputs'!$B$9+'Inputs'!$B$10))/SQRT(((A153+'Inputs'!$B$21+'Inputs'!$B$9+'Inputs'!$B$10))^2+('Inputs'!$B$6/2)^2))))*'Results'!$B$8*'Results'!$B$9),""),"")</x:f>
        <x:v>0.9612795274789177</x:v>
      </x:c>
      <x:c r="D153" s="18" t="n">
        <x:f>IF('Results'!$B$6="Inputs accepted",'Results'!B12,"")</x:f>
        <x:v>112.38228018798189</x:v>
      </x:c>
      <x:c r="E153" s="18" t="n">
        <x:f>IF('Results'!$B$6="Inputs accepted",'Results'!C12,"")</x:f>
        <x:v>119.21786205905865</x:v>
      </x:c>
      <x:c r="F153" s="18" t="n">
        <x:f>IF('Results'!$B$6="Inputs accepted",'Results'!B14,"")</x:f>
        <x:v>66.9055158034782</x:v>
      </x:c>
      <x:c r="G153" s="18" t="n">
        <x:f>IF('Results'!$B$6="Inputs accepted",'Results'!C14,"")</x:f>
        <x:v>70.64020731289524</x:v>
      </x:c>
      <x:c r="H153" s="2"/>
      <x:c r="I153" s="2"/>
      <x:c r="J153" s="2"/>
      <x:c r="K153" s="2"/>
      <x:c r="L153" s="2"/>
    </x:row>
    <x:row r="154" ht="22" customHeight="1">
      <x:c r="A154" s="18" t="n">
        <x:f>(154-5)*'Inputs'!$B$33/200</x:f>
        <x:v>29.8</x:v>
      </x:c>
      <x:c r="B154" s="18" t="n">
        <x:f>IF('Results'!$B$6="Inputs accepted",IF(AND(ISNUMBER('Results'!B7),ISNUMBER('Results'!C7),ISNUMBER('Results'!$B$8),ISNUMBER('Results'!$B$9),ISNUMBER('Inputs'!$B$6),ISNUMBER('Inputs'!$B$7),ISNUMBER('Inputs'!$B$8),ISNUMBER('Inputs'!$B$9),ISNUMBER('Inputs'!$B$10),ISNUMBER('Inputs'!$B$21),ISNUMBER('Inputs'!$B$24),ISNUMBER('Inputs'!$B$28)),(('Results'!B7*(0.5*(((A154+'Inputs'!$B$21)+'Inputs'!$B$7)/SQRT(((A154+'Inputs'!$B$21)+'Inputs'!$B$7)^2+('Inputs'!$B$6/2)^2)-((A154+'Inputs'!$B$21))/SQRT(((A154+'Inputs'!$B$21))^2+('Inputs'!$B$6/2)^2)))-'Results'!C7*(0.5*(((A154+'Inputs'!$B$21+'Inputs'!$B$7+'Inputs'!$B$10)+'Inputs'!$B$9)/SQRT(((A154+'Inputs'!$B$21+'Inputs'!$B$7+'Inputs'!$B$10)+'Inputs'!$B$9)^2+('Inputs'!$B$8/2)^2)-((A154+'Inputs'!$B$21+'Inputs'!$B$7+'Inputs'!$B$10))/SQRT(((A154+'Inputs'!$B$21+'Inputs'!$B$7+'Inputs'!$B$10))^2+('Inputs'!$B$8/2)^2))))*'Results'!$B$8*'Results'!$B$9),""),"")</x:f>
        <x:v>1.0351850893979464</x:v>
      </x:c>
      <x:c r="C154" s="18" t="n">
        <x:f>IF('Results'!$B$6="Inputs accepted",IF(AND(ISNUMBER('Results'!C7),ISNUMBER('Results'!B7),ISNUMBER('Results'!$B$8),ISNUMBER('Results'!$B$9),ISNUMBER('Inputs'!$B$6),ISNUMBER('Inputs'!$B$7),ISNUMBER('Inputs'!$B$8),ISNUMBER('Inputs'!$B$9),ISNUMBER('Inputs'!$B$10),ISNUMBER('Inputs'!$B$21),ISNUMBER('Inputs'!$B$24),ISNUMBER('Inputs'!$B$28)),(('Results'!C7*(0.5*(((A154+'Inputs'!$B$21)+'Inputs'!$B$9)/SQRT(((A154+'Inputs'!$B$21)+'Inputs'!$B$9)^2+('Inputs'!$B$8/2)^2)-((A154+'Inputs'!$B$21))/SQRT(((A154+'Inputs'!$B$21))^2+('Inputs'!$B$8/2)^2)))-'Results'!B7*(0.5*(((A154+'Inputs'!$B$21+'Inputs'!$B$9+'Inputs'!$B$10)+'Inputs'!$B$7)/SQRT(((A154+'Inputs'!$B$21+'Inputs'!$B$9+'Inputs'!$B$10)+'Inputs'!$B$7)^2+('Inputs'!$B$6/2)^2)-((A154+'Inputs'!$B$21+'Inputs'!$B$9+'Inputs'!$B$10))/SQRT(((A154+'Inputs'!$B$21+'Inputs'!$B$9+'Inputs'!$B$10))^2+('Inputs'!$B$6/2)^2))))*'Results'!$B$8*'Results'!$B$9),""),"")</x:f>
        <x:v>0.9378909411433325</x:v>
      </x:c>
      <x:c r="D154" s="18" t="n">
        <x:f>IF('Results'!$B$6="Inputs accepted",'Results'!B12,"")</x:f>
        <x:v>112.38228018798189</x:v>
      </x:c>
      <x:c r="E154" s="18" t="n">
        <x:f>IF('Results'!$B$6="Inputs accepted",'Results'!C12,"")</x:f>
        <x:v>119.21786205905865</x:v>
      </x:c>
      <x:c r="F154" s="18" t="n">
        <x:f>IF('Results'!$B$6="Inputs accepted",'Results'!B14,"")</x:f>
        <x:v>66.9055158034782</x:v>
      </x:c>
      <x:c r="G154" s="18" t="n">
        <x:f>IF('Results'!$B$6="Inputs accepted",'Results'!C14,"")</x:f>
        <x:v>70.64020731289524</x:v>
      </x:c>
      <x:c r="H154" s="2"/>
      <x:c r="I154" s="2"/>
      <x:c r="J154" s="2"/>
      <x:c r="K154" s="2"/>
      <x:c r="L154" s="2"/>
    </x:row>
    <x:row r="155" ht="22" customHeight="1">
      <x:c r="A155" s="18" t="n">
        <x:f>(155-5)*'Inputs'!$B$33/200</x:f>
        <x:v>30</x:v>
      </x:c>
      <x:c r="B155" s="18" t="n">
        <x:f>IF('Results'!$B$6="Inputs accepted",IF(AND(ISNUMBER('Results'!B7),ISNUMBER('Results'!C7),ISNUMBER('Results'!$B$8),ISNUMBER('Results'!$B$9),ISNUMBER('Inputs'!$B$6),ISNUMBER('Inputs'!$B$7),ISNUMBER('Inputs'!$B$8),ISNUMBER('Inputs'!$B$9),ISNUMBER('Inputs'!$B$10),ISNUMBER('Inputs'!$B$21),ISNUMBER('Inputs'!$B$24),ISNUMBER('Inputs'!$B$28)),(('Results'!B7*(0.5*(((A155+'Inputs'!$B$21)+'Inputs'!$B$7)/SQRT(((A155+'Inputs'!$B$21)+'Inputs'!$B$7)^2+('Inputs'!$B$6/2)^2)-((A155+'Inputs'!$B$21))/SQRT(((A155+'Inputs'!$B$21))^2+('Inputs'!$B$6/2)^2)))-'Results'!C7*(0.5*(((A155+'Inputs'!$B$21+'Inputs'!$B$7+'Inputs'!$B$10)+'Inputs'!$B$9)/SQRT(((A155+'Inputs'!$B$21+'Inputs'!$B$7+'Inputs'!$B$10)+'Inputs'!$B$9)^2+('Inputs'!$B$8/2)^2)-((A155+'Inputs'!$B$21+'Inputs'!$B$7+'Inputs'!$B$10))/SQRT(((A155+'Inputs'!$B$21+'Inputs'!$B$7+'Inputs'!$B$10))^2+('Inputs'!$B$8/2)^2))))*'Results'!$B$8*'Results'!$B$9),""),"")</x:f>
        <x:v>1.0107283658110697</x:v>
      </x:c>
      <x:c r="C155" s="18" t="n">
        <x:f>IF('Results'!$B$6="Inputs accepted",IF(AND(ISNUMBER('Results'!C7),ISNUMBER('Results'!B7),ISNUMBER('Results'!$B$8),ISNUMBER('Results'!$B$9),ISNUMBER('Inputs'!$B$6),ISNUMBER('Inputs'!$B$7),ISNUMBER('Inputs'!$B$8),ISNUMBER('Inputs'!$B$9),ISNUMBER('Inputs'!$B$10),ISNUMBER('Inputs'!$B$21),ISNUMBER('Inputs'!$B$24),ISNUMBER('Inputs'!$B$28)),(('Results'!C7*(0.5*(((A155+'Inputs'!$B$21)+'Inputs'!$B$9)/SQRT(((A155+'Inputs'!$B$21)+'Inputs'!$B$9)^2+('Inputs'!$B$8/2)^2)-((A155+'Inputs'!$B$21))/SQRT(((A155+'Inputs'!$B$21))^2+('Inputs'!$B$8/2)^2)))-'Results'!B7*(0.5*(((A155+'Inputs'!$B$21+'Inputs'!$B$9+'Inputs'!$B$10)+'Inputs'!$B$7)/SQRT(((A155+'Inputs'!$B$21+'Inputs'!$B$9+'Inputs'!$B$10)+'Inputs'!$B$7)^2+('Inputs'!$B$6/2)^2)-((A155+'Inputs'!$B$21+'Inputs'!$B$9+'Inputs'!$B$10))/SQRT(((A155+'Inputs'!$B$21+'Inputs'!$B$9+'Inputs'!$B$10))^2+('Inputs'!$B$6/2)^2))))*'Results'!$B$8*'Results'!$B$9),""),"")</x:f>
        <x:v>0.915205400897653</x:v>
      </x:c>
      <x:c r="D155" s="18" t="n">
        <x:f>IF('Results'!$B$6="Inputs accepted",'Results'!B12,"")</x:f>
        <x:v>112.38228018798189</x:v>
      </x:c>
      <x:c r="E155" s="18" t="n">
        <x:f>IF('Results'!$B$6="Inputs accepted",'Results'!C12,"")</x:f>
        <x:v>119.21786205905865</x:v>
      </x:c>
      <x:c r="F155" s="18" t="n">
        <x:f>IF('Results'!$B$6="Inputs accepted",'Results'!B14,"")</x:f>
        <x:v>66.9055158034782</x:v>
      </x:c>
      <x:c r="G155" s="18" t="n">
        <x:f>IF('Results'!$B$6="Inputs accepted",'Results'!C14,"")</x:f>
        <x:v>70.64020731289524</x:v>
      </x:c>
      <x:c r="H155" s="2"/>
      <x:c r="I155" s="2"/>
      <x:c r="J155" s="2"/>
      <x:c r="K155" s="2"/>
      <x:c r="L155" s="2"/>
    </x:row>
    <x:row r="156" ht="22" customHeight="1">
      <x:c r="A156" s="18" t="n">
        <x:f>(156-5)*'Inputs'!$B$33/200</x:f>
        <x:v>30.2</x:v>
      </x:c>
      <x:c r="B156" s="18" t="n">
        <x:f>IF('Results'!$B$6="Inputs accepted",IF(AND(ISNUMBER('Results'!B7),ISNUMBER('Results'!C7),ISNUMBER('Results'!$B$8),ISNUMBER('Results'!$B$9),ISNUMBER('Inputs'!$B$6),ISNUMBER('Inputs'!$B$7),ISNUMBER('Inputs'!$B$8),ISNUMBER('Inputs'!$B$9),ISNUMBER('Inputs'!$B$10),ISNUMBER('Inputs'!$B$21),ISNUMBER('Inputs'!$B$24),ISNUMBER('Inputs'!$B$28)),(('Results'!B7*(0.5*(((A156+'Inputs'!$B$21)+'Inputs'!$B$7)/SQRT(((A156+'Inputs'!$B$21)+'Inputs'!$B$7)^2+('Inputs'!$B$6/2)^2)-((A156+'Inputs'!$B$21))/SQRT(((A156+'Inputs'!$B$21))^2+('Inputs'!$B$6/2)^2)))-'Results'!C7*(0.5*(((A156+'Inputs'!$B$21+'Inputs'!$B$7+'Inputs'!$B$10)+'Inputs'!$B$9)/SQRT(((A156+'Inputs'!$B$21+'Inputs'!$B$7+'Inputs'!$B$10)+'Inputs'!$B$9)^2+('Inputs'!$B$8/2)^2)-((A156+'Inputs'!$B$21+'Inputs'!$B$7+'Inputs'!$B$10))/SQRT(((A156+'Inputs'!$B$21+'Inputs'!$B$7+'Inputs'!$B$10))^2+('Inputs'!$B$8/2)^2))))*'Results'!$B$8*'Results'!$B$9),""),"")</x:f>
        <x:v>0.9869923777343221</x:v>
      </x:c>
      <x:c r="C156" s="18" t="n">
        <x:f>IF('Results'!$B$6="Inputs accepted",IF(AND(ISNUMBER('Results'!C7),ISNUMBER('Results'!B7),ISNUMBER('Results'!$B$8),ISNUMBER('Results'!$B$9),ISNUMBER('Inputs'!$B$6),ISNUMBER('Inputs'!$B$7),ISNUMBER('Inputs'!$B$8),ISNUMBER('Inputs'!$B$9),ISNUMBER('Inputs'!$B$10),ISNUMBER('Inputs'!$B$21),ISNUMBER('Inputs'!$B$24),ISNUMBER('Inputs'!$B$28)),(('Results'!C7*(0.5*(((A156+'Inputs'!$B$21)+'Inputs'!$B$9)/SQRT(((A156+'Inputs'!$B$21)+'Inputs'!$B$9)^2+('Inputs'!$B$8/2)^2)-((A156+'Inputs'!$B$21))/SQRT(((A156+'Inputs'!$B$21))^2+('Inputs'!$B$8/2)^2)))-'Results'!B7*(0.5*(((A156+'Inputs'!$B$21+'Inputs'!$B$9+'Inputs'!$B$10)+'Inputs'!$B$7)/SQRT(((A156+'Inputs'!$B$21+'Inputs'!$B$9+'Inputs'!$B$10)+'Inputs'!$B$7)^2+('Inputs'!$B$6/2)^2)-((A156+'Inputs'!$B$21+'Inputs'!$B$9+'Inputs'!$B$10))/SQRT(((A156+'Inputs'!$B$21+'Inputs'!$B$9+'Inputs'!$B$10))^2+('Inputs'!$B$6/2)^2))))*'Results'!$B$8*'Results'!$B$9),""),"")</x:f>
        <x:v>0.8931977783433425</x:v>
      </x:c>
      <x:c r="D156" s="18" t="n">
        <x:f>IF('Results'!$B$6="Inputs accepted",'Results'!B12,"")</x:f>
        <x:v>112.38228018798189</x:v>
      </x:c>
      <x:c r="E156" s="18" t="n">
        <x:f>IF('Results'!$B$6="Inputs accepted",'Results'!C12,"")</x:f>
        <x:v>119.21786205905865</x:v>
      </x:c>
      <x:c r="F156" s="18" t="n">
        <x:f>IF('Results'!$B$6="Inputs accepted",'Results'!B14,"")</x:f>
        <x:v>66.9055158034782</x:v>
      </x:c>
      <x:c r="G156" s="18" t="n">
        <x:f>IF('Results'!$B$6="Inputs accepted",'Results'!C14,"")</x:f>
        <x:v>70.64020731289524</x:v>
      </x:c>
      <x:c r="H156" s="2"/>
      <x:c r="I156" s="2"/>
      <x:c r="J156" s="2"/>
      <x:c r="K156" s="2"/>
      <x:c r="L156" s="2"/>
    </x:row>
    <x:row r="157" ht="22" customHeight="1">
      <x:c r="A157" s="18" t="n">
        <x:f>(157-5)*'Inputs'!$B$33/200</x:f>
        <x:v>30.4</x:v>
      </x:c>
      <x:c r="B157" s="18" t="n">
        <x:f>IF('Results'!$B$6="Inputs accepted",IF(AND(ISNUMBER('Results'!B7),ISNUMBER('Results'!C7),ISNUMBER('Results'!$B$8),ISNUMBER('Results'!$B$9),ISNUMBER('Inputs'!$B$6),ISNUMBER('Inputs'!$B$7),ISNUMBER('Inputs'!$B$8),ISNUMBER('Inputs'!$B$9),ISNUMBER('Inputs'!$B$10),ISNUMBER('Inputs'!$B$21),ISNUMBER('Inputs'!$B$24),ISNUMBER('Inputs'!$B$28)),(('Results'!B7*(0.5*(((A157+'Inputs'!$B$21)+'Inputs'!$B$7)/SQRT(((A157+'Inputs'!$B$21)+'Inputs'!$B$7)^2+('Inputs'!$B$6/2)^2)-((A157+'Inputs'!$B$21))/SQRT(((A157+'Inputs'!$B$21))^2+('Inputs'!$B$6/2)^2)))-'Results'!C7*(0.5*(((A157+'Inputs'!$B$21+'Inputs'!$B$7+'Inputs'!$B$10)+'Inputs'!$B$9)/SQRT(((A157+'Inputs'!$B$21+'Inputs'!$B$7+'Inputs'!$B$10)+'Inputs'!$B$9)^2+('Inputs'!$B$8/2)^2)-((A157+'Inputs'!$B$21+'Inputs'!$B$7+'Inputs'!$B$10))/SQRT(((A157+'Inputs'!$B$21+'Inputs'!$B$7+'Inputs'!$B$10))^2+('Inputs'!$B$8/2)^2))))*'Results'!$B$8*'Results'!$B$9),""),"")</x:f>
        <x:v>0.9639517477776849</x:v>
      </x:c>
      <x:c r="C157" s="18" t="n">
        <x:f>IF('Results'!$B$6="Inputs accepted",IF(AND(ISNUMBER('Results'!C7),ISNUMBER('Results'!B7),ISNUMBER('Results'!$B$8),ISNUMBER('Results'!$B$9),ISNUMBER('Inputs'!$B$6),ISNUMBER('Inputs'!$B$7),ISNUMBER('Inputs'!$B$8),ISNUMBER('Inputs'!$B$9),ISNUMBER('Inputs'!$B$10),ISNUMBER('Inputs'!$B$21),ISNUMBER('Inputs'!$B$24),ISNUMBER('Inputs'!$B$28)),(('Results'!C7*(0.5*(((A157+'Inputs'!$B$21)+'Inputs'!$B$9)/SQRT(((A157+'Inputs'!$B$21)+'Inputs'!$B$9)^2+('Inputs'!$B$8/2)^2)-((A157+'Inputs'!$B$21))/SQRT(((A157+'Inputs'!$B$21))^2+('Inputs'!$B$8/2)^2)))-'Results'!B7*(0.5*(((A157+'Inputs'!$B$21+'Inputs'!$B$9+'Inputs'!$B$10)+'Inputs'!$B$7)/SQRT(((A157+'Inputs'!$B$21+'Inputs'!$B$9+'Inputs'!$B$10)+'Inputs'!$B$7)^2+('Inputs'!$B$6/2)^2)-((A157+'Inputs'!$B$21+'Inputs'!$B$9+'Inputs'!$B$10))/SQRT(((A157+'Inputs'!$B$21+'Inputs'!$B$9+'Inputs'!$B$10))^2+('Inputs'!$B$6/2)^2))))*'Results'!$B$8*'Results'!$B$9),""),"")</x:f>
        <x:v>0.8718439844568879</x:v>
      </x:c>
      <x:c r="D157" s="18" t="n">
        <x:f>IF('Results'!$B$6="Inputs accepted",'Results'!B12,"")</x:f>
        <x:v>112.38228018798189</x:v>
      </x:c>
      <x:c r="E157" s="18" t="n">
        <x:f>IF('Results'!$B$6="Inputs accepted",'Results'!C12,"")</x:f>
        <x:v>119.21786205905865</x:v>
      </x:c>
      <x:c r="F157" s="18" t="n">
        <x:f>IF('Results'!$B$6="Inputs accepted",'Results'!B14,"")</x:f>
        <x:v>66.9055158034782</x:v>
      </x:c>
      <x:c r="G157" s="18" t="n">
        <x:f>IF('Results'!$B$6="Inputs accepted",'Results'!C14,"")</x:f>
        <x:v>70.64020731289524</x:v>
      </x:c>
      <x:c r="H157" s="2"/>
      <x:c r="I157" s="2"/>
      <x:c r="J157" s="2"/>
      <x:c r="K157" s="2"/>
      <x:c r="L157" s="2"/>
    </x:row>
    <x:row r="158" ht="22" customHeight="1">
      <x:c r="A158" s="18" t="n">
        <x:f>(158-5)*'Inputs'!$B$33/200</x:f>
        <x:v>30.6</x:v>
      </x:c>
      <x:c r="B158" s="18" t="n">
        <x:f>IF('Results'!$B$6="Inputs accepted",IF(AND(ISNUMBER('Results'!B7),ISNUMBER('Results'!C7),ISNUMBER('Results'!$B$8),ISNUMBER('Results'!$B$9),ISNUMBER('Inputs'!$B$6),ISNUMBER('Inputs'!$B$7),ISNUMBER('Inputs'!$B$8),ISNUMBER('Inputs'!$B$9),ISNUMBER('Inputs'!$B$10),ISNUMBER('Inputs'!$B$21),ISNUMBER('Inputs'!$B$24),ISNUMBER('Inputs'!$B$28)),(('Results'!B7*(0.5*(((A158+'Inputs'!$B$21)+'Inputs'!$B$7)/SQRT(((A158+'Inputs'!$B$21)+'Inputs'!$B$7)^2+('Inputs'!$B$6/2)^2)-((A158+'Inputs'!$B$21))/SQRT(((A158+'Inputs'!$B$21))^2+('Inputs'!$B$6/2)^2)))-'Results'!C7*(0.5*(((A158+'Inputs'!$B$21+'Inputs'!$B$7+'Inputs'!$B$10)+'Inputs'!$B$9)/SQRT(((A158+'Inputs'!$B$21+'Inputs'!$B$7+'Inputs'!$B$10)+'Inputs'!$B$9)^2+('Inputs'!$B$8/2)^2)-((A158+'Inputs'!$B$21+'Inputs'!$B$7+'Inputs'!$B$10))/SQRT(((A158+'Inputs'!$B$21+'Inputs'!$B$7+'Inputs'!$B$10))^2+('Inputs'!$B$8/2)^2))))*'Results'!$B$8*'Results'!$B$9),""),"")</x:f>
        <x:v>0.9415821354779134</x:v>
      </x:c>
      <x:c r="C158" s="18" t="n">
        <x:f>IF('Results'!$B$6="Inputs accepted",IF(AND(ISNUMBER('Results'!C7),ISNUMBER('Results'!B7),ISNUMBER('Results'!$B$8),ISNUMBER('Results'!$B$9),ISNUMBER('Inputs'!$B$6),ISNUMBER('Inputs'!$B$7),ISNUMBER('Inputs'!$B$8),ISNUMBER('Inputs'!$B$9),ISNUMBER('Inputs'!$B$10),ISNUMBER('Inputs'!$B$21),ISNUMBER('Inputs'!$B$24),ISNUMBER('Inputs'!$B$28)),(('Results'!C7*(0.5*(((A158+'Inputs'!$B$21)+'Inputs'!$B$9)/SQRT(((A158+'Inputs'!$B$21)+'Inputs'!$B$9)^2+('Inputs'!$B$8/2)^2)-((A158+'Inputs'!$B$21))/SQRT(((A158+'Inputs'!$B$21))^2+('Inputs'!$B$8/2)^2)))-'Results'!B7*(0.5*(((A158+'Inputs'!$B$21+'Inputs'!$B$9+'Inputs'!$B$10)+'Inputs'!$B$7)/SQRT(((A158+'Inputs'!$B$21+'Inputs'!$B$9+'Inputs'!$B$10)+'Inputs'!$B$7)^2+('Inputs'!$B$6/2)^2)-((A158+'Inputs'!$B$21+'Inputs'!$B$9+'Inputs'!$B$10))/SQRT(((A158+'Inputs'!$B$21+'Inputs'!$B$9+'Inputs'!$B$10))^2+('Inputs'!$B$6/2)^2))))*'Results'!$B$8*'Results'!$B$9),""),"")</x:f>
        <x:v>0.8511209208319377</x:v>
      </x:c>
      <x:c r="D158" s="18" t="n">
        <x:f>IF('Results'!$B$6="Inputs accepted",'Results'!B12,"")</x:f>
        <x:v>112.38228018798189</x:v>
      </x:c>
      <x:c r="E158" s="18" t="n">
        <x:f>IF('Results'!$B$6="Inputs accepted",'Results'!C12,"")</x:f>
        <x:v>119.21786205905865</x:v>
      </x:c>
      <x:c r="F158" s="18" t="n">
        <x:f>IF('Results'!$B$6="Inputs accepted",'Results'!B14,"")</x:f>
        <x:v>66.9055158034782</x:v>
      </x:c>
      <x:c r="G158" s="18" t="n">
        <x:f>IF('Results'!$B$6="Inputs accepted",'Results'!C14,"")</x:f>
        <x:v>70.64020731289524</x:v>
      </x:c>
      <x:c r="H158" s="2"/>
      <x:c r="I158" s="2"/>
      <x:c r="J158" s="2"/>
      <x:c r="K158" s="2"/>
      <x:c r="L158" s="2"/>
    </x:row>
    <x:row r="159" ht="22" customHeight="1">
      <x:c r="A159" s="18" t="n">
        <x:f>(159-5)*'Inputs'!$B$33/200</x:f>
        <x:v>30.8</x:v>
      </x:c>
      <x:c r="B159" s="18" t="n">
        <x:f>IF('Results'!$B$6="Inputs accepted",IF(AND(ISNUMBER('Results'!B7),ISNUMBER('Results'!C7),ISNUMBER('Results'!$B$8),ISNUMBER('Results'!$B$9),ISNUMBER('Inputs'!$B$6),ISNUMBER('Inputs'!$B$7),ISNUMBER('Inputs'!$B$8),ISNUMBER('Inputs'!$B$9),ISNUMBER('Inputs'!$B$10),ISNUMBER('Inputs'!$B$21),ISNUMBER('Inputs'!$B$24),ISNUMBER('Inputs'!$B$28)),(('Results'!B7*(0.5*(((A159+'Inputs'!$B$21)+'Inputs'!$B$7)/SQRT(((A159+'Inputs'!$B$21)+'Inputs'!$B$7)^2+('Inputs'!$B$6/2)^2)-((A159+'Inputs'!$B$21))/SQRT(((A159+'Inputs'!$B$21))^2+('Inputs'!$B$6/2)^2)))-'Results'!C7*(0.5*(((A159+'Inputs'!$B$21+'Inputs'!$B$7+'Inputs'!$B$10)+'Inputs'!$B$9)/SQRT(((A159+'Inputs'!$B$21+'Inputs'!$B$7+'Inputs'!$B$10)+'Inputs'!$B$9)^2+('Inputs'!$B$8/2)^2)-((A159+'Inputs'!$B$21+'Inputs'!$B$7+'Inputs'!$B$10))/SQRT(((A159+'Inputs'!$B$21+'Inputs'!$B$7+'Inputs'!$B$10))^2+('Inputs'!$B$8/2)^2))))*'Results'!$B$8*'Results'!$B$9),""),"")</x:f>
        <x:v>0.9198601891640668</x:v>
      </x:c>
      <x:c r="C159" s="18" t="n">
        <x:f>IF('Results'!$B$6="Inputs accepted",IF(AND(ISNUMBER('Results'!C7),ISNUMBER('Results'!B7),ISNUMBER('Results'!$B$8),ISNUMBER('Results'!$B$9),ISNUMBER('Inputs'!$B$6),ISNUMBER('Inputs'!$B$7),ISNUMBER('Inputs'!$B$8),ISNUMBER('Inputs'!$B$9),ISNUMBER('Inputs'!$B$10),ISNUMBER('Inputs'!$B$21),ISNUMBER('Inputs'!$B$24),ISNUMBER('Inputs'!$B$28)),(('Results'!C7*(0.5*(((A159+'Inputs'!$B$21)+'Inputs'!$B$9)/SQRT(((A159+'Inputs'!$B$21)+'Inputs'!$B$9)^2+('Inputs'!$B$8/2)^2)-((A159+'Inputs'!$B$21))/SQRT(((A159+'Inputs'!$B$21))^2+('Inputs'!$B$8/2)^2)))-'Results'!B7*(0.5*(((A159+'Inputs'!$B$21+'Inputs'!$B$9+'Inputs'!$B$10)+'Inputs'!$B$7)/SQRT(((A159+'Inputs'!$B$21+'Inputs'!$B$9+'Inputs'!$B$10)+'Inputs'!$B$7)^2+('Inputs'!$B$6/2)^2)-((A159+'Inputs'!$B$21+'Inputs'!$B$9+'Inputs'!$B$10))/SQRT(((A159+'Inputs'!$B$21+'Inputs'!$B$9+'Inputs'!$B$10))^2+('Inputs'!$B$6/2)^2))))*'Results'!$B$8*'Results'!$B$9),""),"")</x:f>
        <x:v>0.8310064334778386</x:v>
      </x:c>
      <x:c r="D159" s="18" t="n">
        <x:f>IF('Results'!$B$6="Inputs accepted",'Results'!B12,"")</x:f>
        <x:v>112.38228018798189</x:v>
      </x:c>
      <x:c r="E159" s="18" t="n">
        <x:f>IF('Results'!$B$6="Inputs accepted",'Results'!C12,"")</x:f>
        <x:v>119.21786205905865</x:v>
      </x:c>
      <x:c r="F159" s="18" t="n">
        <x:f>IF('Results'!$B$6="Inputs accepted",'Results'!B14,"")</x:f>
        <x:v>66.9055158034782</x:v>
      </x:c>
      <x:c r="G159" s="18" t="n">
        <x:f>IF('Results'!$B$6="Inputs accepted",'Results'!C14,"")</x:f>
        <x:v>70.64020731289524</x:v>
      </x:c>
      <x:c r="H159" s="2"/>
      <x:c r="I159" s="2"/>
      <x:c r="J159" s="2"/>
      <x:c r="K159" s="2"/>
      <x:c r="L159" s="2"/>
    </x:row>
    <x:row r="160" ht="22" customHeight="1">
      <x:c r="A160" s="18" t="n">
        <x:f>(160-5)*'Inputs'!$B$33/200</x:f>
        <x:v>31</x:v>
      </x:c>
      <x:c r="B160" s="18" t="n">
        <x:f>IF('Results'!$B$6="Inputs accepted",IF(AND(ISNUMBER('Results'!B7),ISNUMBER('Results'!C7),ISNUMBER('Results'!$B$8),ISNUMBER('Results'!$B$9),ISNUMBER('Inputs'!$B$6),ISNUMBER('Inputs'!$B$7),ISNUMBER('Inputs'!$B$8),ISNUMBER('Inputs'!$B$9),ISNUMBER('Inputs'!$B$10),ISNUMBER('Inputs'!$B$21),ISNUMBER('Inputs'!$B$24),ISNUMBER('Inputs'!$B$28)),(('Results'!B7*(0.5*(((A160+'Inputs'!$B$21)+'Inputs'!$B$7)/SQRT(((A160+'Inputs'!$B$21)+'Inputs'!$B$7)^2+('Inputs'!$B$6/2)^2)-((A160+'Inputs'!$B$21))/SQRT(((A160+'Inputs'!$B$21))^2+('Inputs'!$B$6/2)^2)))-'Results'!C7*(0.5*(((A160+'Inputs'!$B$21+'Inputs'!$B$7+'Inputs'!$B$10)+'Inputs'!$B$9)/SQRT(((A160+'Inputs'!$B$21+'Inputs'!$B$7+'Inputs'!$B$10)+'Inputs'!$B$9)^2+('Inputs'!$B$8/2)^2)-((A160+'Inputs'!$B$21+'Inputs'!$B$7+'Inputs'!$B$10))/SQRT(((A160+'Inputs'!$B$21+'Inputs'!$B$7+'Inputs'!$B$10))^2+('Inputs'!$B$8/2)^2))))*'Results'!$B$8*'Results'!$B$9),""),"")</x:f>
        <x:v>0.8987635003089727</x:v>
      </x:c>
      <x:c r="C160" s="18" t="n">
        <x:f>IF('Results'!$B$6="Inputs accepted",IF(AND(ISNUMBER('Results'!C7),ISNUMBER('Results'!B7),ISNUMBER('Results'!$B$8),ISNUMBER('Results'!$B$9),ISNUMBER('Inputs'!$B$6),ISNUMBER('Inputs'!$B$7),ISNUMBER('Inputs'!$B$8),ISNUMBER('Inputs'!$B$9),ISNUMBER('Inputs'!$B$10),ISNUMBER('Inputs'!$B$21),ISNUMBER('Inputs'!$B$24),ISNUMBER('Inputs'!$B$28)),(('Results'!C7*(0.5*(((A160+'Inputs'!$B$21)+'Inputs'!$B$9)/SQRT(((A160+'Inputs'!$B$21)+'Inputs'!$B$9)^2+('Inputs'!$B$8/2)^2)-((A160+'Inputs'!$B$21))/SQRT(((A160+'Inputs'!$B$21))^2+('Inputs'!$B$8/2)^2)))-'Results'!B7*(0.5*(((A160+'Inputs'!$B$21+'Inputs'!$B$9+'Inputs'!$B$10)+'Inputs'!$B$7)/SQRT(((A160+'Inputs'!$B$21+'Inputs'!$B$9+'Inputs'!$B$10)+'Inputs'!$B$7)^2+('Inputs'!$B$6/2)^2)-((A160+'Inputs'!$B$21+'Inputs'!$B$9+'Inputs'!$B$10))/SQRT(((A160+'Inputs'!$B$21+'Inputs'!$B$9+'Inputs'!$B$10))^2+('Inputs'!$B$6/2)^2))))*'Results'!$B$8*'Results'!$B$9),""),"")</x:f>
        <x:v>0.8114792690117714</x:v>
      </x:c>
      <x:c r="D160" s="18" t="n">
        <x:f>IF('Results'!$B$6="Inputs accepted",'Results'!B12,"")</x:f>
        <x:v>112.38228018798189</x:v>
      </x:c>
      <x:c r="E160" s="18" t="n">
        <x:f>IF('Results'!$B$6="Inputs accepted",'Results'!C12,"")</x:f>
        <x:v>119.21786205905865</x:v>
      </x:c>
      <x:c r="F160" s="18" t="n">
        <x:f>IF('Results'!$B$6="Inputs accepted",'Results'!B14,"")</x:f>
        <x:v>66.9055158034782</x:v>
      </x:c>
      <x:c r="G160" s="18" t="n">
        <x:f>IF('Results'!$B$6="Inputs accepted",'Results'!C14,"")</x:f>
        <x:v>70.64020731289524</x:v>
      </x:c>
      <x:c r="H160" s="2"/>
      <x:c r="I160" s="2"/>
      <x:c r="J160" s="2"/>
      <x:c r="K160" s="2"/>
      <x:c r="L160" s="2"/>
    </x:row>
    <x:row r="161" ht="22" customHeight="1">
      <x:c r="A161" s="18" t="n">
        <x:f>(161-5)*'Inputs'!$B$33/200</x:f>
        <x:v>31.2</x:v>
      </x:c>
      <x:c r="B161" s="18" t="n">
        <x:f>IF('Results'!$B$6="Inputs accepted",IF(AND(ISNUMBER('Results'!B7),ISNUMBER('Results'!C7),ISNUMBER('Results'!$B$8),ISNUMBER('Results'!$B$9),ISNUMBER('Inputs'!$B$6),ISNUMBER('Inputs'!$B$7),ISNUMBER('Inputs'!$B$8),ISNUMBER('Inputs'!$B$9),ISNUMBER('Inputs'!$B$10),ISNUMBER('Inputs'!$B$21),ISNUMBER('Inputs'!$B$24),ISNUMBER('Inputs'!$B$28)),(('Results'!B7*(0.5*(((A161+'Inputs'!$B$21)+'Inputs'!$B$7)/SQRT(((A161+'Inputs'!$B$21)+'Inputs'!$B$7)^2+('Inputs'!$B$6/2)^2)-((A161+'Inputs'!$B$21))/SQRT(((A161+'Inputs'!$B$21))^2+('Inputs'!$B$6/2)^2)))-'Results'!C7*(0.5*(((A161+'Inputs'!$B$21+'Inputs'!$B$7+'Inputs'!$B$10)+'Inputs'!$B$9)/SQRT(((A161+'Inputs'!$B$21+'Inputs'!$B$7+'Inputs'!$B$10)+'Inputs'!$B$9)^2+('Inputs'!$B$8/2)^2)-((A161+'Inputs'!$B$21+'Inputs'!$B$7+'Inputs'!$B$10))/SQRT(((A161+'Inputs'!$B$21+'Inputs'!$B$7+'Inputs'!$B$10))^2+('Inputs'!$B$8/2)^2))))*'Results'!$B$8*'Results'!$B$9),""),"")</x:f>
        <x:v>0.8782705602472578</x:v>
      </x:c>
      <x:c r="C161" s="18" t="n">
        <x:f>IF('Results'!$B$6="Inputs accepted",IF(AND(ISNUMBER('Results'!C7),ISNUMBER('Results'!B7),ISNUMBER('Results'!$B$8),ISNUMBER('Results'!$B$9),ISNUMBER('Inputs'!$B$6),ISNUMBER('Inputs'!$B$7),ISNUMBER('Inputs'!$B$8),ISNUMBER('Inputs'!$B$9),ISNUMBER('Inputs'!$B$10),ISNUMBER('Inputs'!$B$21),ISNUMBER('Inputs'!$B$24),ISNUMBER('Inputs'!$B$28)),(('Results'!C7*(0.5*(((A161+'Inputs'!$B$21)+'Inputs'!$B$9)/SQRT(((A161+'Inputs'!$B$21)+'Inputs'!$B$9)^2+('Inputs'!$B$8/2)^2)-((A161+'Inputs'!$B$21))/SQRT(((A161+'Inputs'!$B$21))^2+('Inputs'!$B$8/2)^2)))-'Results'!B7*(0.5*(((A161+'Inputs'!$B$21+'Inputs'!$B$9+'Inputs'!$B$10)+'Inputs'!$B$7)/SQRT(((A161+'Inputs'!$B$21+'Inputs'!$B$9+'Inputs'!$B$10)+'Inputs'!$B$7)^2+('Inputs'!$B$6/2)^2)-((A161+'Inputs'!$B$21+'Inputs'!$B$9+'Inputs'!$B$10))/SQRT(((A161+'Inputs'!$B$21+'Inputs'!$B$9+'Inputs'!$B$10))^2+('Inputs'!$B$6/2)^2))))*'Results'!$B$8*'Results'!$B$9),""),"")</x:f>
        <x:v>0.7925190331310367</x:v>
      </x:c>
      <x:c r="D161" s="18" t="n">
        <x:f>IF('Results'!$B$6="Inputs accepted",'Results'!B12,"")</x:f>
        <x:v>112.38228018798189</x:v>
      </x:c>
      <x:c r="E161" s="18" t="n">
        <x:f>IF('Results'!$B$6="Inputs accepted",'Results'!C12,"")</x:f>
        <x:v>119.21786205905865</x:v>
      </x:c>
      <x:c r="F161" s="18" t="n">
        <x:f>IF('Results'!$B$6="Inputs accepted",'Results'!B14,"")</x:f>
        <x:v>66.9055158034782</x:v>
      </x:c>
      <x:c r="G161" s="18" t="n">
        <x:f>IF('Results'!$B$6="Inputs accepted",'Results'!C14,"")</x:f>
        <x:v>70.64020731289524</x:v>
      </x:c>
      <x:c r="H161" s="2"/>
      <x:c r="I161" s="2"/>
      <x:c r="J161" s="2"/>
      <x:c r="K161" s="2"/>
      <x:c r="L161" s="2"/>
    </x:row>
    <x:row r="162" ht="22" customHeight="1">
      <x:c r="A162" s="18" t="n">
        <x:f>(162-5)*'Inputs'!$B$33/200</x:f>
        <x:v>31.4</x:v>
      </x:c>
      <x:c r="B162" s="18" t="n">
        <x:f>IF('Results'!$B$6="Inputs accepted",IF(AND(ISNUMBER('Results'!B7),ISNUMBER('Results'!C7),ISNUMBER('Results'!$B$8),ISNUMBER('Results'!$B$9),ISNUMBER('Inputs'!$B$6),ISNUMBER('Inputs'!$B$7),ISNUMBER('Inputs'!$B$8),ISNUMBER('Inputs'!$B$9),ISNUMBER('Inputs'!$B$10),ISNUMBER('Inputs'!$B$21),ISNUMBER('Inputs'!$B$24),ISNUMBER('Inputs'!$B$28)),(('Results'!B7*(0.5*(((A162+'Inputs'!$B$21)+'Inputs'!$B$7)/SQRT(((A162+'Inputs'!$B$21)+'Inputs'!$B$7)^2+('Inputs'!$B$6/2)^2)-((A162+'Inputs'!$B$21))/SQRT(((A162+'Inputs'!$B$21))^2+('Inputs'!$B$6/2)^2)))-'Results'!C7*(0.5*(((A162+'Inputs'!$B$21+'Inputs'!$B$7+'Inputs'!$B$10)+'Inputs'!$B$9)/SQRT(((A162+'Inputs'!$B$21+'Inputs'!$B$7+'Inputs'!$B$10)+'Inputs'!$B$9)^2+('Inputs'!$B$8/2)^2)-((A162+'Inputs'!$B$21+'Inputs'!$B$7+'Inputs'!$B$10))/SQRT(((A162+'Inputs'!$B$21+'Inputs'!$B$7+'Inputs'!$B$10))^2+('Inputs'!$B$8/2)^2))))*'Results'!$B$8*'Results'!$B$9),""),"")</x:f>
        <x:v>0.8583607191122153</x:v>
      </x:c>
      <x:c r="C162" s="18" t="n">
        <x:f>IF('Results'!$B$6="Inputs accepted",IF(AND(ISNUMBER('Results'!C7),ISNUMBER('Results'!B7),ISNUMBER('Results'!$B$8),ISNUMBER('Results'!$B$9),ISNUMBER('Inputs'!$B$6),ISNUMBER('Inputs'!$B$7),ISNUMBER('Inputs'!$B$8),ISNUMBER('Inputs'!$B$9),ISNUMBER('Inputs'!$B$10),ISNUMBER('Inputs'!$B$21),ISNUMBER('Inputs'!$B$24),ISNUMBER('Inputs'!$B$28)),(('Results'!C7*(0.5*(((A162+'Inputs'!$B$21)+'Inputs'!$B$9)/SQRT(((A162+'Inputs'!$B$21)+'Inputs'!$B$9)^2+('Inputs'!$B$8/2)^2)-((A162+'Inputs'!$B$21))/SQRT(((A162+'Inputs'!$B$21))^2+('Inputs'!$B$8/2)^2)))-'Results'!B7*(0.5*(((A162+'Inputs'!$B$21+'Inputs'!$B$9+'Inputs'!$B$10)+'Inputs'!$B$7)/SQRT(((A162+'Inputs'!$B$21+'Inputs'!$B$9+'Inputs'!$B$10)+'Inputs'!$B$7)^2+('Inputs'!$B$6/2)^2)-((A162+'Inputs'!$B$21+'Inputs'!$B$9+'Inputs'!$B$10))/SQRT(((A162+'Inputs'!$B$21+'Inputs'!$B$9+'Inputs'!$B$10))^2+('Inputs'!$B$6/2)^2))))*'Results'!$B$8*'Results'!$B$9),""),"")</x:f>
        <x:v>0.7741061512219303</x:v>
      </x:c>
      <x:c r="D162" s="18" t="n">
        <x:f>IF('Results'!$B$6="Inputs accepted",'Results'!B12,"")</x:f>
        <x:v>112.38228018798189</x:v>
      </x:c>
      <x:c r="E162" s="18" t="n">
        <x:f>IF('Results'!$B$6="Inputs accepted",'Results'!C12,"")</x:f>
        <x:v>119.21786205905865</x:v>
      </x:c>
      <x:c r="F162" s="18" t="n">
        <x:f>IF('Results'!$B$6="Inputs accepted",'Results'!B14,"")</x:f>
        <x:v>66.9055158034782</x:v>
      </x:c>
      <x:c r="G162" s="18" t="n">
        <x:f>IF('Results'!$B$6="Inputs accepted",'Results'!C14,"")</x:f>
        <x:v>70.64020731289524</x:v>
      </x:c>
      <x:c r="H162" s="2"/>
      <x:c r="I162" s="2"/>
      <x:c r="J162" s="2"/>
      <x:c r="K162" s="2"/>
      <x:c r="L162" s="2"/>
    </x:row>
    <x:row r="163" ht="22" customHeight="1">
      <x:c r="A163" s="18" t="n">
        <x:f>(163-5)*'Inputs'!$B$33/200</x:f>
        <x:v>31.6</x:v>
      </x:c>
      <x:c r="B163" s="18" t="n">
        <x:f>IF('Results'!$B$6="Inputs accepted",IF(AND(ISNUMBER('Results'!B7),ISNUMBER('Results'!C7),ISNUMBER('Results'!$B$8),ISNUMBER('Results'!$B$9),ISNUMBER('Inputs'!$B$6),ISNUMBER('Inputs'!$B$7),ISNUMBER('Inputs'!$B$8),ISNUMBER('Inputs'!$B$9),ISNUMBER('Inputs'!$B$10),ISNUMBER('Inputs'!$B$21),ISNUMBER('Inputs'!$B$24),ISNUMBER('Inputs'!$B$28)),(('Results'!B7*(0.5*(((A163+'Inputs'!$B$21)+'Inputs'!$B$7)/SQRT(((A163+'Inputs'!$B$21)+'Inputs'!$B$7)^2+('Inputs'!$B$6/2)^2)-((A163+'Inputs'!$B$21))/SQRT(((A163+'Inputs'!$B$21))^2+('Inputs'!$B$6/2)^2)))-'Results'!C7*(0.5*(((A163+'Inputs'!$B$21+'Inputs'!$B$7+'Inputs'!$B$10)+'Inputs'!$B$9)/SQRT(((A163+'Inputs'!$B$21+'Inputs'!$B$7+'Inputs'!$B$10)+'Inputs'!$B$9)^2+('Inputs'!$B$8/2)^2)-((A163+'Inputs'!$B$21+'Inputs'!$B$7+'Inputs'!$B$10))/SQRT(((A163+'Inputs'!$B$21+'Inputs'!$B$7+'Inputs'!$B$10))^2+('Inputs'!$B$8/2)^2))))*'Results'!$B$8*'Results'!$B$9),""),"")</x:f>
        <x:v>0.8390141468684449</x:v>
      </x:c>
      <x:c r="C163" s="18" t="n">
        <x:f>IF('Results'!$B$6="Inputs accepted",IF(AND(ISNUMBER('Results'!C7),ISNUMBER('Results'!B7),ISNUMBER('Results'!$B$8),ISNUMBER('Results'!$B$9),ISNUMBER('Inputs'!$B$6),ISNUMBER('Inputs'!$B$7),ISNUMBER('Inputs'!$B$8),ISNUMBER('Inputs'!$B$9),ISNUMBER('Inputs'!$B$10),ISNUMBER('Inputs'!$B$21),ISNUMBER('Inputs'!$B$24),ISNUMBER('Inputs'!$B$28)),(('Results'!C7*(0.5*(((A163+'Inputs'!$B$21)+'Inputs'!$B$9)/SQRT(((A163+'Inputs'!$B$21)+'Inputs'!$B$9)^2+('Inputs'!$B$8/2)^2)-((A163+'Inputs'!$B$21))/SQRT(((A163+'Inputs'!$B$21))^2+('Inputs'!$B$8/2)^2)))-'Results'!B7*(0.5*(((A163+'Inputs'!$B$21+'Inputs'!$B$9+'Inputs'!$B$10)+'Inputs'!$B$7)/SQRT(((A163+'Inputs'!$B$21+'Inputs'!$B$9+'Inputs'!$B$10)+'Inputs'!$B$7)^2+('Inputs'!$B$6/2)^2)-((A163+'Inputs'!$B$21+'Inputs'!$B$9+'Inputs'!$B$10))/SQRT(((A163+'Inputs'!$B$21+'Inputs'!$B$9+'Inputs'!$B$10))^2+('Inputs'!$B$6/2)^2))))*'Results'!$B$8*'Results'!$B$9),""),"")</x:f>
        <x:v>0.7562218309861074</x:v>
      </x:c>
      <x:c r="D163" s="18" t="n">
        <x:f>IF('Results'!$B$6="Inputs accepted",'Results'!B12,"")</x:f>
        <x:v>112.38228018798189</x:v>
      </x:c>
      <x:c r="E163" s="18" t="n">
        <x:f>IF('Results'!$B$6="Inputs accepted",'Results'!C12,"")</x:f>
        <x:v>119.21786205905865</x:v>
      </x:c>
      <x:c r="F163" s="18" t="n">
        <x:f>IF('Results'!$B$6="Inputs accepted",'Results'!B14,"")</x:f>
        <x:v>66.9055158034782</x:v>
      </x:c>
      <x:c r="G163" s="18" t="n">
        <x:f>IF('Results'!$B$6="Inputs accepted",'Results'!C14,"")</x:f>
        <x:v>70.64020731289524</x:v>
      </x:c>
      <x:c r="H163" s="2"/>
      <x:c r="I163" s="2"/>
      <x:c r="J163" s="2"/>
      <x:c r="K163" s="2"/>
      <x:c r="L163" s="2"/>
    </x:row>
    <x:row r="164" ht="22" customHeight="1">
      <x:c r="A164" s="18" t="n">
        <x:f>(164-5)*'Inputs'!$B$33/200</x:f>
        <x:v>31.8</x:v>
      </x:c>
      <x:c r="B164" s="18" t="n">
        <x:f>IF('Results'!$B$6="Inputs accepted",IF(AND(ISNUMBER('Results'!B7),ISNUMBER('Results'!C7),ISNUMBER('Results'!$B$8),ISNUMBER('Results'!$B$9),ISNUMBER('Inputs'!$B$6),ISNUMBER('Inputs'!$B$7),ISNUMBER('Inputs'!$B$8),ISNUMBER('Inputs'!$B$9),ISNUMBER('Inputs'!$B$10),ISNUMBER('Inputs'!$B$21),ISNUMBER('Inputs'!$B$24),ISNUMBER('Inputs'!$B$28)),(('Results'!B7*(0.5*(((A164+'Inputs'!$B$21)+'Inputs'!$B$7)/SQRT(((A164+'Inputs'!$B$21)+'Inputs'!$B$7)^2+('Inputs'!$B$6/2)^2)-((A164+'Inputs'!$B$21))/SQRT(((A164+'Inputs'!$B$21))^2+('Inputs'!$B$6/2)^2)))-'Results'!C7*(0.5*(((A164+'Inputs'!$B$21+'Inputs'!$B$7+'Inputs'!$B$10)+'Inputs'!$B$9)/SQRT(((A164+'Inputs'!$B$21+'Inputs'!$B$7+'Inputs'!$B$10)+'Inputs'!$B$9)^2+('Inputs'!$B$8/2)^2)-((A164+'Inputs'!$B$21+'Inputs'!$B$7+'Inputs'!$B$10))/SQRT(((A164+'Inputs'!$B$21+'Inputs'!$B$7+'Inputs'!$B$10))^2+('Inputs'!$B$8/2)^2))))*'Results'!$B$8*'Results'!$B$9),""),"")</x:f>
        <x:v>0.8202117963138243</x:v>
      </x:c>
      <x:c r="C164" s="18" t="n">
        <x:f>IF('Results'!$B$6="Inputs accepted",IF(AND(ISNUMBER('Results'!C7),ISNUMBER('Results'!B7),ISNUMBER('Results'!$B$8),ISNUMBER('Results'!$B$9),ISNUMBER('Inputs'!$B$6),ISNUMBER('Inputs'!$B$7),ISNUMBER('Inputs'!$B$8),ISNUMBER('Inputs'!$B$9),ISNUMBER('Inputs'!$B$10),ISNUMBER('Inputs'!$B$21),ISNUMBER('Inputs'!$B$24),ISNUMBER('Inputs'!$B$28)),(('Results'!C7*(0.5*(((A164+'Inputs'!$B$21)+'Inputs'!$B$9)/SQRT(((A164+'Inputs'!$B$21)+'Inputs'!$B$9)^2+('Inputs'!$B$8/2)^2)-((A164+'Inputs'!$B$21))/SQRT(((A164+'Inputs'!$B$21))^2+('Inputs'!$B$8/2)^2)))-'Results'!B7*(0.5*(((A164+'Inputs'!$B$21+'Inputs'!$B$9+'Inputs'!$B$10)+'Inputs'!$B$7)/SQRT(((A164+'Inputs'!$B$21+'Inputs'!$B$9+'Inputs'!$B$10)+'Inputs'!$B$7)^2+('Inputs'!$B$6/2)^2)-((A164+'Inputs'!$B$21+'Inputs'!$B$9+'Inputs'!$B$10))/SQRT(((A164+'Inputs'!$B$21+'Inputs'!$B$9+'Inputs'!$B$10))^2+('Inputs'!$B$6/2)^2))))*'Results'!$B$8*'Results'!$B$9),""),"")</x:f>
        <x:v>0.738848026962859</x:v>
      </x:c>
      <x:c r="D164" s="18" t="n">
        <x:f>IF('Results'!$B$6="Inputs accepted",'Results'!B12,"")</x:f>
        <x:v>112.38228018798189</x:v>
      </x:c>
      <x:c r="E164" s="18" t="n">
        <x:f>IF('Results'!$B$6="Inputs accepted",'Results'!C12,"")</x:f>
        <x:v>119.21786205905865</x:v>
      </x:c>
      <x:c r="F164" s="18" t="n">
        <x:f>IF('Results'!$B$6="Inputs accepted",'Results'!B14,"")</x:f>
        <x:v>66.9055158034782</x:v>
      </x:c>
      <x:c r="G164" s="18" t="n">
        <x:f>IF('Results'!$B$6="Inputs accepted",'Results'!C14,"")</x:f>
        <x:v>70.64020731289524</x:v>
      </x:c>
      <x:c r="H164" s="2"/>
      <x:c r="I164" s="2"/>
      <x:c r="J164" s="2"/>
      <x:c r="K164" s="2"/>
      <x:c r="L164" s="2"/>
    </x:row>
    <x:row r="165" ht="22" customHeight="1">
      <x:c r="A165" s="18" t="n">
        <x:f>(165-5)*'Inputs'!$B$33/200</x:f>
        <x:v>32</x:v>
      </x:c>
      <x:c r="B165" s="18" t="n">
        <x:f>IF('Results'!$B$6="Inputs accepted",IF(AND(ISNUMBER('Results'!B7),ISNUMBER('Results'!C7),ISNUMBER('Results'!$B$8),ISNUMBER('Results'!$B$9),ISNUMBER('Inputs'!$B$6),ISNUMBER('Inputs'!$B$7),ISNUMBER('Inputs'!$B$8),ISNUMBER('Inputs'!$B$9),ISNUMBER('Inputs'!$B$10),ISNUMBER('Inputs'!$B$21),ISNUMBER('Inputs'!$B$24),ISNUMBER('Inputs'!$B$28)),(('Results'!B7*(0.5*(((A165+'Inputs'!$B$21)+'Inputs'!$B$7)/SQRT(((A165+'Inputs'!$B$21)+'Inputs'!$B$7)^2+('Inputs'!$B$6/2)^2)-((A165+'Inputs'!$B$21))/SQRT(((A165+'Inputs'!$B$21))^2+('Inputs'!$B$6/2)^2)))-'Results'!C7*(0.5*(((A165+'Inputs'!$B$21+'Inputs'!$B$7+'Inputs'!$B$10)+'Inputs'!$B$9)/SQRT(((A165+'Inputs'!$B$21+'Inputs'!$B$7+'Inputs'!$B$10)+'Inputs'!$B$9)^2+('Inputs'!$B$8/2)^2)-((A165+'Inputs'!$B$21+'Inputs'!$B$7+'Inputs'!$B$10))/SQRT(((A165+'Inputs'!$B$21+'Inputs'!$B$7+'Inputs'!$B$10))^2+('Inputs'!$B$8/2)^2))))*'Results'!$B$8*'Results'!$B$9),""),"")</x:f>
        <x:v>0.8019353679680541</x:v>
      </x:c>
      <x:c r="C165" s="18" t="n">
        <x:f>IF('Results'!$B$6="Inputs accepted",IF(AND(ISNUMBER('Results'!C7),ISNUMBER('Results'!B7),ISNUMBER('Results'!$B$8),ISNUMBER('Results'!$B$9),ISNUMBER('Inputs'!$B$6),ISNUMBER('Inputs'!$B$7),ISNUMBER('Inputs'!$B$8),ISNUMBER('Inputs'!$B$9),ISNUMBER('Inputs'!$B$10),ISNUMBER('Inputs'!$B$21),ISNUMBER('Inputs'!$B$24),ISNUMBER('Inputs'!$B$28)),(('Results'!C7*(0.5*(((A165+'Inputs'!$B$21)+'Inputs'!$B$9)/SQRT(((A165+'Inputs'!$B$21)+'Inputs'!$B$9)^2+('Inputs'!$B$8/2)^2)-((A165+'Inputs'!$B$21))/SQRT(((A165+'Inputs'!$B$21))^2+('Inputs'!$B$8/2)^2)))-'Results'!B7*(0.5*(((A165+'Inputs'!$B$21+'Inputs'!$B$9+'Inputs'!$B$10)+'Inputs'!$B$7)/SQRT(((A165+'Inputs'!$B$21+'Inputs'!$B$9+'Inputs'!$B$10)+'Inputs'!$B$7)^2+('Inputs'!$B$6/2)^2)-((A165+'Inputs'!$B$21+'Inputs'!$B$9+'Inputs'!$B$10))/SQRT(((A165+'Inputs'!$B$21+'Inputs'!$B$9+'Inputs'!$B$10))^2+('Inputs'!$B$6/2)^2))))*'Results'!$B$8*'Results'!$B$9),""),"")</x:f>
        <x:v>0.7219674068674573</x:v>
      </x:c>
      <x:c r="D165" s="18" t="n">
        <x:f>IF('Results'!$B$6="Inputs accepted",'Results'!B12,"")</x:f>
        <x:v>112.38228018798189</x:v>
      </x:c>
      <x:c r="E165" s="18" t="n">
        <x:f>IF('Results'!$B$6="Inputs accepted",'Results'!C12,"")</x:f>
        <x:v>119.21786205905865</x:v>
      </x:c>
      <x:c r="F165" s="18" t="n">
        <x:f>IF('Results'!$B$6="Inputs accepted",'Results'!B14,"")</x:f>
        <x:v>66.9055158034782</x:v>
      </x:c>
      <x:c r="G165" s="18" t="n">
        <x:f>IF('Results'!$B$6="Inputs accepted",'Results'!C14,"")</x:f>
        <x:v>70.64020731289524</x:v>
      </x:c>
      <x:c r="H165" s="2"/>
      <x:c r="I165" s="2"/>
      <x:c r="J165" s="2"/>
      <x:c r="K165" s="2"/>
      <x:c r="L165" s="2"/>
    </x:row>
    <x:row r="166" ht="22" customHeight="1">
      <x:c r="A166" s="18" t="n">
        <x:f>(166-5)*'Inputs'!$B$33/200</x:f>
        <x:v>32.2</x:v>
      </x:c>
      <x:c r="B166" s="18" t="n">
        <x:f>IF('Results'!$B$6="Inputs accepted",IF(AND(ISNUMBER('Results'!B7),ISNUMBER('Results'!C7),ISNUMBER('Results'!$B$8),ISNUMBER('Results'!$B$9),ISNUMBER('Inputs'!$B$6),ISNUMBER('Inputs'!$B$7),ISNUMBER('Inputs'!$B$8),ISNUMBER('Inputs'!$B$9),ISNUMBER('Inputs'!$B$10),ISNUMBER('Inputs'!$B$21),ISNUMBER('Inputs'!$B$24),ISNUMBER('Inputs'!$B$28)),(('Results'!B7*(0.5*(((A166+'Inputs'!$B$21)+'Inputs'!$B$7)/SQRT(((A166+'Inputs'!$B$21)+'Inputs'!$B$7)^2+('Inputs'!$B$6/2)^2)-((A166+'Inputs'!$B$21))/SQRT(((A166+'Inputs'!$B$21))^2+('Inputs'!$B$6/2)^2)))-'Results'!C7*(0.5*(((A166+'Inputs'!$B$21+'Inputs'!$B$7+'Inputs'!$B$10)+'Inputs'!$B$9)/SQRT(((A166+'Inputs'!$B$21+'Inputs'!$B$7+'Inputs'!$B$10)+'Inputs'!$B$9)^2+('Inputs'!$B$8/2)^2)-((A166+'Inputs'!$B$21+'Inputs'!$B$7+'Inputs'!$B$10))/SQRT(((A166+'Inputs'!$B$21+'Inputs'!$B$7+'Inputs'!$B$10))^2+('Inputs'!$B$8/2)^2))))*'Results'!$B$8*'Results'!$B$9),""),"")</x:f>
        <x:v>0.7841672766998998</x:v>
      </x:c>
      <x:c r="C166" s="18" t="n">
        <x:f>IF('Results'!$B$6="Inputs accepted",IF(AND(ISNUMBER('Results'!C7),ISNUMBER('Results'!B7),ISNUMBER('Results'!$B$8),ISNUMBER('Results'!$B$9),ISNUMBER('Inputs'!$B$6),ISNUMBER('Inputs'!$B$7),ISNUMBER('Inputs'!$B$8),ISNUMBER('Inputs'!$B$9),ISNUMBER('Inputs'!$B$10),ISNUMBER('Inputs'!$B$21),ISNUMBER('Inputs'!$B$24),ISNUMBER('Inputs'!$B$28)),(('Results'!C7*(0.5*(((A166+'Inputs'!$B$21)+'Inputs'!$B$9)/SQRT(((A166+'Inputs'!$B$21)+'Inputs'!$B$9)^2+('Inputs'!$B$8/2)^2)-((A166+'Inputs'!$B$21))/SQRT(((A166+'Inputs'!$B$21))^2+('Inputs'!$B$8/2)^2)))-'Results'!B7*(0.5*(((A166+'Inputs'!$B$21+'Inputs'!$B$9+'Inputs'!$B$10)+'Inputs'!$B$7)/SQRT(((A166+'Inputs'!$B$21+'Inputs'!$B$9+'Inputs'!$B$10)+'Inputs'!$B$7)^2+('Inputs'!$B$6/2)^2)-((A166+'Inputs'!$B$21+'Inputs'!$B$9+'Inputs'!$B$10))/SQRT(((A166+'Inputs'!$B$21+'Inputs'!$B$9+'Inputs'!$B$10))^2+('Inputs'!$B$6/2)^2))))*'Results'!$B$8*'Results'!$B$9),""),"")</x:f>
        <x:v>0.7055633196021407</x:v>
      </x:c>
      <x:c r="D166" s="18" t="n">
        <x:f>IF('Results'!$B$6="Inputs accepted",'Results'!B12,"")</x:f>
        <x:v>112.38228018798189</x:v>
      </x:c>
      <x:c r="E166" s="18" t="n">
        <x:f>IF('Results'!$B$6="Inputs accepted",'Results'!C12,"")</x:f>
        <x:v>119.21786205905865</x:v>
      </x:c>
      <x:c r="F166" s="18" t="n">
        <x:f>IF('Results'!$B$6="Inputs accepted",'Results'!B14,"")</x:f>
        <x:v>66.9055158034782</x:v>
      </x:c>
      <x:c r="G166" s="18" t="n">
        <x:f>IF('Results'!$B$6="Inputs accepted",'Results'!C14,"")</x:f>
        <x:v>70.64020731289524</x:v>
      </x:c>
      <x:c r="H166" s="2"/>
      <x:c r="I166" s="2"/>
      <x:c r="J166" s="2"/>
      <x:c r="K166" s="2"/>
      <x:c r="L166" s="2"/>
    </x:row>
    <x:row r="167" ht="22" customHeight="1">
      <x:c r="A167" s="18" t="n">
        <x:f>(167-5)*'Inputs'!$B$33/200</x:f>
        <x:v>32.4</x:v>
      </x:c>
      <x:c r="B167" s="18" t="n">
        <x:f>IF('Results'!$B$6="Inputs accepted",IF(AND(ISNUMBER('Results'!B7),ISNUMBER('Results'!C7),ISNUMBER('Results'!$B$8),ISNUMBER('Results'!$B$9),ISNUMBER('Inputs'!$B$6),ISNUMBER('Inputs'!$B$7),ISNUMBER('Inputs'!$B$8),ISNUMBER('Inputs'!$B$9),ISNUMBER('Inputs'!$B$10),ISNUMBER('Inputs'!$B$21),ISNUMBER('Inputs'!$B$24),ISNUMBER('Inputs'!$B$28)),(('Results'!B7*(0.5*(((A167+'Inputs'!$B$21)+'Inputs'!$B$7)/SQRT(((A167+'Inputs'!$B$21)+'Inputs'!$B$7)^2+('Inputs'!$B$6/2)^2)-((A167+'Inputs'!$B$21))/SQRT(((A167+'Inputs'!$B$21))^2+('Inputs'!$B$6/2)^2)))-'Results'!C7*(0.5*(((A167+'Inputs'!$B$21+'Inputs'!$B$7+'Inputs'!$B$10)+'Inputs'!$B$9)/SQRT(((A167+'Inputs'!$B$21+'Inputs'!$B$7+'Inputs'!$B$10)+'Inputs'!$B$9)^2+('Inputs'!$B$8/2)^2)-((A167+'Inputs'!$B$21+'Inputs'!$B$7+'Inputs'!$B$10))/SQRT(((A167+'Inputs'!$B$21+'Inputs'!$B$7+'Inputs'!$B$10))^2+('Inputs'!$B$8/2)^2))))*'Results'!$B$8*'Results'!$B$9),""),"")</x:f>
        <x:v>0.7668906200350504</x:v>
      </x:c>
      <x:c r="C167" s="18" t="n">
        <x:f>IF('Results'!$B$6="Inputs accepted",IF(AND(ISNUMBER('Results'!C7),ISNUMBER('Results'!B7),ISNUMBER('Results'!$B$8),ISNUMBER('Results'!$B$9),ISNUMBER('Inputs'!$B$6),ISNUMBER('Inputs'!$B$7),ISNUMBER('Inputs'!$B$8),ISNUMBER('Inputs'!$B$9),ISNUMBER('Inputs'!$B$10),ISNUMBER('Inputs'!$B$21),ISNUMBER('Inputs'!$B$24),ISNUMBER('Inputs'!$B$28)),(('Results'!C7*(0.5*(((A167+'Inputs'!$B$21)+'Inputs'!$B$9)/SQRT(((A167+'Inputs'!$B$21)+'Inputs'!$B$9)^2+('Inputs'!$B$8/2)^2)-((A167+'Inputs'!$B$21))/SQRT(((A167+'Inputs'!$B$21))^2+('Inputs'!$B$8/2)^2)))-'Results'!B7*(0.5*(((A167+'Inputs'!$B$21+'Inputs'!$B$9+'Inputs'!$B$10)+'Inputs'!$B$7)/SQRT(((A167+'Inputs'!$B$21+'Inputs'!$B$9+'Inputs'!$B$10)+'Inputs'!$B$7)^2+('Inputs'!$B$6/2)^2)-((A167+'Inputs'!$B$21+'Inputs'!$B$9+'Inputs'!$B$10))/SQRT(((A167+'Inputs'!$B$21+'Inputs'!$B$9+'Inputs'!$B$10))^2+('Inputs'!$B$6/2)^2))))*'Results'!$B$8*'Results'!$B$9),""),"")</x:f>
        <x:v>0.6896197648843436</x:v>
      </x:c>
      <x:c r="D167" s="18" t="n">
        <x:f>IF('Results'!$B$6="Inputs accepted",'Results'!B12,"")</x:f>
        <x:v>112.38228018798189</x:v>
      </x:c>
      <x:c r="E167" s="18" t="n">
        <x:f>IF('Results'!$B$6="Inputs accepted",'Results'!C12,"")</x:f>
        <x:v>119.21786205905865</x:v>
      </x:c>
      <x:c r="F167" s="18" t="n">
        <x:f>IF('Results'!$B$6="Inputs accepted",'Results'!B14,"")</x:f>
        <x:v>66.9055158034782</x:v>
      </x:c>
      <x:c r="G167" s="18" t="n">
        <x:f>IF('Results'!$B$6="Inputs accepted",'Results'!C14,"")</x:f>
        <x:v>70.64020731289524</x:v>
      </x:c>
      <x:c r="H167" s="2"/>
      <x:c r="I167" s="2"/>
      <x:c r="J167" s="2"/>
      <x:c r="K167" s="2"/>
      <x:c r="L167" s="2"/>
    </x:row>
    <x:row r="168" ht="22" customHeight="1">
      <x:c r="A168" s="18" t="n">
        <x:f>(168-5)*'Inputs'!$B$33/200</x:f>
        <x:v>32.6</x:v>
      </x:c>
      <x:c r="B168" s="18" t="n">
        <x:f>IF('Results'!$B$6="Inputs accepted",IF(AND(ISNUMBER('Results'!B7),ISNUMBER('Results'!C7),ISNUMBER('Results'!$B$8),ISNUMBER('Results'!$B$9),ISNUMBER('Inputs'!$B$6),ISNUMBER('Inputs'!$B$7),ISNUMBER('Inputs'!$B$8),ISNUMBER('Inputs'!$B$9),ISNUMBER('Inputs'!$B$10),ISNUMBER('Inputs'!$B$21),ISNUMBER('Inputs'!$B$24),ISNUMBER('Inputs'!$B$28)),(('Results'!B7*(0.5*(((A168+'Inputs'!$B$21)+'Inputs'!$B$7)/SQRT(((A168+'Inputs'!$B$21)+'Inputs'!$B$7)^2+('Inputs'!$B$6/2)^2)-((A168+'Inputs'!$B$21))/SQRT(((A168+'Inputs'!$B$21))^2+('Inputs'!$B$6/2)^2)))-'Results'!C7*(0.5*(((A168+'Inputs'!$B$21+'Inputs'!$B$7+'Inputs'!$B$10)+'Inputs'!$B$9)/SQRT(((A168+'Inputs'!$B$21+'Inputs'!$B$7+'Inputs'!$B$10)+'Inputs'!$B$9)^2+('Inputs'!$B$8/2)^2)-((A168+'Inputs'!$B$21+'Inputs'!$B$7+'Inputs'!$B$10))/SQRT(((A168+'Inputs'!$B$21+'Inputs'!$B$7+'Inputs'!$B$10))^2+('Inputs'!$B$8/2)^2))))*'Results'!$B$8*'Results'!$B$9),""),"")</x:f>
        <x:v>0.7500891480314528</x:v>
      </x:c>
      <x:c r="C168" s="18" t="n">
        <x:f>IF('Results'!$B$6="Inputs accepted",IF(AND(ISNUMBER('Results'!C7),ISNUMBER('Results'!B7),ISNUMBER('Results'!$B$8),ISNUMBER('Results'!$B$9),ISNUMBER('Inputs'!$B$6),ISNUMBER('Inputs'!$B$7),ISNUMBER('Inputs'!$B$8),ISNUMBER('Inputs'!$B$9),ISNUMBER('Inputs'!$B$10),ISNUMBER('Inputs'!$B$21),ISNUMBER('Inputs'!$B$24),ISNUMBER('Inputs'!$B$28)),(('Results'!C7*(0.5*(((A168+'Inputs'!$B$21)+'Inputs'!$B$9)/SQRT(((A168+'Inputs'!$B$21)+'Inputs'!$B$9)^2+('Inputs'!$B$8/2)^2)-((A168+'Inputs'!$B$21))/SQRT(((A168+'Inputs'!$B$21))^2+('Inputs'!$B$8/2)^2)))-'Results'!B7*(0.5*(((A168+'Inputs'!$B$21+'Inputs'!$B$9+'Inputs'!$B$10)+'Inputs'!$B$7)/SQRT(((A168+'Inputs'!$B$21+'Inputs'!$B$9+'Inputs'!$B$10)+'Inputs'!$B$7)^2+('Inputs'!$B$6/2)^2)-((A168+'Inputs'!$B$21+'Inputs'!$B$9+'Inputs'!$B$10))/SQRT(((A168+'Inputs'!$B$21+'Inputs'!$B$9+'Inputs'!$B$10))^2+('Inputs'!$B$6/2)^2))))*'Results'!$B$8*'Results'!$B$9),""),"")</x:f>
        <x:v>0.6741213643830377</x:v>
      </x:c>
      <x:c r="D168" s="18" t="n">
        <x:f>IF('Results'!$B$6="Inputs accepted",'Results'!B12,"")</x:f>
        <x:v>112.38228018798189</x:v>
      </x:c>
      <x:c r="E168" s="18" t="n">
        <x:f>IF('Results'!$B$6="Inputs accepted",'Results'!C12,"")</x:f>
        <x:v>119.21786205905865</x:v>
      </x:c>
      <x:c r="F168" s="18" t="n">
        <x:f>IF('Results'!$B$6="Inputs accepted",'Results'!B14,"")</x:f>
        <x:v>66.9055158034782</x:v>
      </x:c>
      <x:c r="G168" s="18" t="n">
        <x:f>IF('Results'!$B$6="Inputs accepted",'Results'!C14,"")</x:f>
        <x:v>70.64020731289524</x:v>
      </x:c>
      <x:c r="H168" s="2"/>
      <x:c r="I168" s="2"/>
      <x:c r="J168" s="2"/>
      <x:c r="K168" s="2"/>
      <x:c r="L168" s="2"/>
    </x:row>
    <x:row r="169" ht="22" customHeight="1">
      <x:c r="A169" s="18" t="n">
        <x:f>(169-5)*'Inputs'!$B$33/200</x:f>
        <x:v>32.8</x:v>
      </x:c>
      <x:c r="B169" s="18" t="n">
        <x:f>IF('Results'!$B$6="Inputs accepted",IF(AND(ISNUMBER('Results'!B7),ISNUMBER('Results'!C7),ISNUMBER('Results'!$B$8),ISNUMBER('Results'!$B$9),ISNUMBER('Inputs'!$B$6),ISNUMBER('Inputs'!$B$7),ISNUMBER('Inputs'!$B$8),ISNUMBER('Inputs'!$B$9),ISNUMBER('Inputs'!$B$10),ISNUMBER('Inputs'!$B$21),ISNUMBER('Inputs'!$B$24),ISNUMBER('Inputs'!$B$28)),(('Results'!B7*(0.5*(((A169+'Inputs'!$B$21)+'Inputs'!$B$7)/SQRT(((A169+'Inputs'!$B$21)+'Inputs'!$B$7)^2+('Inputs'!$B$6/2)^2)-((A169+'Inputs'!$B$21))/SQRT(((A169+'Inputs'!$B$21))^2+('Inputs'!$B$6/2)^2)))-'Results'!C7*(0.5*(((A169+'Inputs'!$B$21+'Inputs'!$B$7+'Inputs'!$B$10)+'Inputs'!$B$9)/SQRT(((A169+'Inputs'!$B$21+'Inputs'!$B$7+'Inputs'!$B$10)+'Inputs'!$B$9)^2+('Inputs'!$B$8/2)^2)-((A169+'Inputs'!$B$21+'Inputs'!$B$7+'Inputs'!$B$10))/SQRT(((A169+'Inputs'!$B$21+'Inputs'!$B$7+'Inputs'!$B$10))^2+('Inputs'!$B$8/2)^2))))*'Results'!$B$8*'Results'!$B$9),""),"")</x:f>
        <x:v>0.7337472346462818</x:v>
      </x:c>
      <x:c r="C169" s="18" t="n">
        <x:f>IF('Results'!$B$6="Inputs accepted",IF(AND(ISNUMBER('Results'!C7),ISNUMBER('Results'!B7),ISNUMBER('Results'!$B$8),ISNUMBER('Results'!$B$9),ISNUMBER('Inputs'!$B$6),ISNUMBER('Inputs'!$B$7),ISNUMBER('Inputs'!$B$8),ISNUMBER('Inputs'!$B$9),ISNUMBER('Inputs'!$B$10),ISNUMBER('Inputs'!$B$21),ISNUMBER('Inputs'!$B$24),ISNUMBER('Inputs'!$B$28)),(('Results'!C7*(0.5*(((A169+'Inputs'!$B$21)+'Inputs'!$B$9)/SQRT(((A169+'Inputs'!$B$21)+'Inputs'!$B$9)^2+('Inputs'!$B$8/2)^2)-((A169+'Inputs'!$B$21))/SQRT(((A169+'Inputs'!$B$21))^2+('Inputs'!$B$8/2)^2)))-'Results'!B7*(0.5*(((A169+'Inputs'!$B$21+'Inputs'!$B$9+'Inputs'!$B$10)+'Inputs'!$B$7)/SQRT(((A169+'Inputs'!$B$21+'Inputs'!$B$9+'Inputs'!$B$10)+'Inputs'!$B$7)^2+('Inputs'!$B$6/2)^2)-((A169+'Inputs'!$B$21+'Inputs'!$B$9+'Inputs'!$B$10))/SQRT(((A169+'Inputs'!$B$21+'Inputs'!$B$9+'Inputs'!$B$10))^2+('Inputs'!$B$6/2)^2))))*'Results'!$B$8*'Results'!$B$9),""),"")</x:f>
        <x:v>0.6590533342892803</x:v>
      </x:c>
      <x:c r="D169" s="18" t="n">
        <x:f>IF('Results'!$B$6="Inputs accepted",'Results'!B12,"")</x:f>
        <x:v>112.38228018798189</x:v>
      </x:c>
      <x:c r="E169" s="18" t="n">
        <x:f>IF('Results'!$B$6="Inputs accepted",'Results'!C12,"")</x:f>
        <x:v>119.21786205905865</x:v>
      </x:c>
      <x:c r="F169" s="18" t="n">
        <x:f>IF('Results'!$B$6="Inputs accepted",'Results'!B14,"")</x:f>
        <x:v>66.9055158034782</x:v>
      </x:c>
      <x:c r="G169" s="18" t="n">
        <x:f>IF('Results'!$B$6="Inputs accepted",'Results'!C14,"")</x:f>
        <x:v>70.64020731289524</x:v>
      </x:c>
      <x:c r="H169" s="2"/>
      <x:c r="I169" s="2"/>
      <x:c r="J169" s="2"/>
      <x:c r="K169" s="2"/>
      <x:c r="L169" s="2"/>
    </x:row>
    <x:row r="170" ht="22" customHeight="1">
      <x:c r="A170" s="18" t="n">
        <x:f>(170-5)*'Inputs'!$B$33/200</x:f>
        <x:v>33</x:v>
      </x:c>
      <x:c r="B170" s="18" t="n">
        <x:f>IF('Results'!$B$6="Inputs accepted",IF(AND(ISNUMBER('Results'!B7),ISNUMBER('Results'!C7),ISNUMBER('Results'!$B$8),ISNUMBER('Results'!$B$9),ISNUMBER('Inputs'!$B$6),ISNUMBER('Inputs'!$B$7),ISNUMBER('Inputs'!$B$8),ISNUMBER('Inputs'!$B$9),ISNUMBER('Inputs'!$B$10),ISNUMBER('Inputs'!$B$21),ISNUMBER('Inputs'!$B$24),ISNUMBER('Inputs'!$B$28)),(('Results'!B7*(0.5*(((A170+'Inputs'!$B$21)+'Inputs'!$B$7)/SQRT(((A170+'Inputs'!$B$21)+'Inputs'!$B$7)^2+('Inputs'!$B$6/2)^2)-((A170+'Inputs'!$B$21))/SQRT(((A170+'Inputs'!$B$21))^2+('Inputs'!$B$6/2)^2)))-'Results'!C7*(0.5*(((A170+'Inputs'!$B$21+'Inputs'!$B$7+'Inputs'!$B$10)+'Inputs'!$B$9)/SQRT(((A170+'Inputs'!$B$21+'Inputs'!$B$7+'Inputs'!$B$10)+'Inputs'!$B$9)^2+('Inputs'!$B$8/2)^2)-((A170+'Inputs'!$B$21+'Inputs'!$B$7+'Inputs'!$B$10))/SQRT(((A170+'Inputs'!$B$21+'Inputs'!$B$7+'Inputs'!$B$10))^2+('Inputs'!$B$8/2)^2))))*'Results'!$B$8*'Results'!$B$9),""),"")</x:f>
        <x:v>0.7178498504970467</x:v>
      </x:c>
      <x:c r="C170" s="18" t="n">
        <x:f>IF('Results'!$B$6="Inputs accepted",IF(AND(ISNUMBER('Results'!C7),ISNUMBER('Results'!B7),ISNUMBER('Results'!$B$8),ISNUMBER('Results'!$B$9),ISNUMBER('Inputs'!$B$6),ISNUMBER('Inputs'!$B$7),ISNUMBER('Inputs'!$B$8),ISNUMBER('Inputs'!$B$9),ISNUMBER('Inputs'!$B$10),ISNUMBER('Inputs'!$B$21),ISNUMBER('Inputs'!$B$24),ISNUMBER('Inputs'!$B$28)),(('Results'!C7*(0.5*(((A170+'Inputs'!$B$21)+'Inputs'!$B$9)/SQRT(((A170+'Inputs'!$B$21)+'Inputs'!$B$9)^2+('Inputs'!$B$8/2)^2)-((A170+'Inputs'!$B$21))/SQRT(((A170+'Inputs'!$B$21))^2+('Inputs'!$B$8/2)^2)))-'Results'!B7*(0.5*(((A170+'Inputs'!$B$21+'Inputs'!$B$9+'Inputs'!$B$10)+'Inputs'!$B$7)/SQRT(((A170+'Inputs'!$B$21+'Inputs'!$B$9+'Inputs'!$B$10)+'Inputs'!$B$7)^2+('Inputs'!$B$6/2)^2)-((A170+'Inputs'!$B$21+'Inputs'!$B$9+'Inputs'!$B$10))/SQRT(((A170+'Inputs'!$B$21+'Inputs'!$B$9+'Inputs'!$B$10))^2+('Inputs'!$B$6/2)^2))))*'Results'!$B$8*'Results'!$B$9),""),"")</x:f>
        <x:v>0.6444014592277814</x:v>
      </x:c>
      <x:c r="D170" s="18" t="n">
        <x:f>IF('Results'!$B$6="Inputs accepted",'Results'!B12,"")</x:f>
        <x:v>112.38228018798189</x:v>
      </x:c>
      <x:c r="E170" s="18" t="n">
        <x:f>IF('Results'!$B$6="Inputs accepted",'Results'!C12,"")</x:f>
        <x:v>119.21786205905865</x:v>
      </x:c>
      <x:c r="F170" s="18" t="n">
        <x:f>IF('Results'!$B$6="Inputs accepted",'Results'!B14,"")</x:f>
        <x:v>66.9055158034782</x:v>
      </x:c>
      <x:c r="G170" s="18" t="n">
        <x:f>IF('Results'!$B$6="Inputs accepted",'Results'!C14,"")</x:f>
        <x:v>70.64020731289524</x:v>
      </x:c>
      <x:c r="H170" s="2"/>
      <x:c r="I170" s="2"/>
      <x:c r="J170" s="2"/>
      <x:c r="K170" s="2"/>
      <x:c r="L170" s="2"/>
    </x:row>
    <x:row r="171" ht="22" customHeight="1">
      <x:c r="A171" s="18" t="n">
        <x:f>(171-5)*'Inputs'!$B$33/200</x:f>
        <x:v>33.2</x:v>
      </x:c>
      <x:c r="B171" s="18" t="n">
        <x:f>IF('Results'!$B$6="Inputs accepted",IF(AND(ISNUMBER('Results'!B7),ISNUMBER('Results'!C7),ISNUMBER('Results'!$B$8),ISNUMBER('Results'!$B$9),ISNUMBER('Inputs'!$B$6),ISNUMBER('Inputs'!$B$7),ISNUMBER('Inputs'!$B$8),ISNUMBER('Inputs'!$B$9),ISNUMBER('Inputs'!$B$10),ISNUMBER('Inputs'!$B$21),ISNUMBER('Inputs'!$B$24),ISNUMBER('Inputs'!$B$28)),(('Results'!B7*(0.5*(((A171+'Inputs'!$B$21)+'Inputs'!$B$7)/SQRT(((A171+'Inputs'!$B$21)+'Inputs'!$B$7)^2+('Inputs'!$B$6/2)^2)-((A171+'Inputs'!$B$21))/SQRT(((A171+'Inputs'!$B$21))^2+('Inputs'!$B$6/2)^2)))-'Results'!C7*(0.5*(((A171+'Inputs'!$B$21+'Inputs'!$B$7+'Inputs'!$B$10)+'Inputs'!$B$9)/SQRT(((A171+'Inputs'!$B$21+'Inputs'!$B$7+'Inputs'!$B$10)+'Inputs'!$B$9)^2+('Inputs'!$B$8/2)^2)-((A171+'Inputs'!$B$21+'Inputs'!$B$7+'Inputs'!$B$10))/SQRT(((A171+'Inputs'!$B$21+'Inputs'!$B$7+'Inputs'!$B$10))^2+('Inputs'!$B$8/2)^2))))*'Results'!$B$8*'Results'!$B$9),""),"")</x:f>
        <x:v>0.7023825369718253</x:v>
      </x:c>
      <x:c r="C171" s="18" t="n">
        <x:f>IF('Results'!$B$6="Inputs accepted",IF(AND(ISNUMBER('Results'!C7),ISNUMBER('Results'!B7),ISNUMBER('Results'!$B$8),ISNUMBER('Results'!$B$9),ISNUMBER('Inputs'!$B$6),ISNUMBER('Inputs'!$B$7),ISNUMBER('Inputs'!$B$8),ISNUMBER('Inputs'!$B$9),ISNUMBER('Inputs'!$B$10),ISNUMBER('Inputs'!$B$21),ISNUMBER('Inputs'!$B$24),ISNUMBER('Inputs'!$B$28)),(('Results'!C7*(0.5*(((A171+'Inputs'!$B$21)+'Inputs'!$B$9)/SQRT(((A171+'Inputs'!$B$21)+'Inputs'!$B$9)^2+('Inputs'!$B$8/2)^2)-((A171+'Inputs'!$B$21))/SQRT(((A171+'Inputs'!$B$21))^2+('Inputs'!$B$8/2)^2)))-'Results'!B7*(0.5*(((A171+'Inputs'!$B$21+'Inputs'!$B$9+'Inputs'!$B$10)+'Inputs'!$B$7)/SQRT(((A171+'Inputs'!$B$21+'Inputs'!$B$9+'Inputs'!$B$10)+'Inputs'!$B$7)^2+('Inputs'!$B$6/2)^2)-((A171+'Inputs'!$B$21+'Inputs'!$B$9+'Inputs'!$B$10))/SQRT(((A171+'Inputs'!$B$21+'Inputs'!$B$9+'Inputs'!$B$10))^2+('Inputs'!$B$6/2)^2))))*'Results'!$B$8*'Results'!$B$9),""),"")</x:f>
        <x:v>0.6301520674655897</x:v>
      </x:c>
      <x:c r="D171" s="18" t="n">
        <x:f>IF('Results'!$B$6="Inputs accepted",'Results'!B12,"")</x:f>
        <x:v>112.38228018798189</x:v>
      </x:c>
      <x:c r="E171" s="18" t="n">
        <x:f>IF('Results'!$B$6="Inputs accepted",'Results'!C12,"")</x:f>
        <x:v>119.21786205905865</x:v>
      </x:c>
      <x:c r="F171" s="18" t="n">
        <x:f>IF('Results'!$B$6="Inputs accepted",'Results'!B14,"")</x:f>
        <x:v>66.9055158034782</x:v>
      </x:c>
      <x:c r="G171" s="18" t="n">
        <x:f>IF('Results'!$B$6="Inputs accepted",'Results'!C14,"")</x:f>
        <x:v>70.64020731289524</x:v>
      </x:c>
      <x:c r="H171" s="2"/>
      <x:c r="I171" s="2"/>
      <x:c r="J171" s="2"/>
      <x:c r="K171" s="2"/>
      <x:c r="L171" s="2"/>
    </x:row>
    <x:row r="172" ht="22" customHeight="1">
      <x:c r="A172" s="18" t="n">
        <x:f>(172-5)*'Inputs'!$B$33/200</x:f>
        <x:v>33.4</x:v>
      </x:c>
      <x:c r="B172" s="18" t="n">
        <x:f>IF('Results'!$B$6="Inputs accepted",IF(AND(ISNUMBER('Results'!B7),ISNUMBER('Results'!C7),ISNUMBER('Results'!$B$8),ISNUMBER('Results'!$B$9),ISNUMBER('Inputs'!$B$6),ISNUMBER('Inputs'!$B$7),ISNUMBER('Inputs'!$B$8),ISNUMBER('Inputs'!$B$9),ISNUMBER('Inputs'!$B$10),ISNUMBER('Inputs'!$B$21),ISNUMBER('Inputs'!$B$24),ISNUMBER('Inputs'!$B$28)),(('Results'!B7*(0.5*(((A172+'Inputs'!$B$21)+'Inputs'!$B$7)/SQRT(((A172+'Inputs'!$B$21)+'Inputs'!$B$7)^2+('Inputs'!$B$6/2)^2)-((A172+'Inputs'!$B$21))/SQRT(((A172+'Inputs'!$B$21))^2+('Inputs'!$B$6/2)^2)))-'Results'!C7*(0.5*(((A172+'Inputs'!$B$21+'Inputs'!$B$7+'Inputs'!$B$10)+'Inputs'!$B$9)/SQRT(((A172+'Inputs'!$B$21+'Inputs'!$B$7+'Inputs'!$B$10)+'Inputs'!$B$9)^2+('Inputs'!$B$8/2)^2)-((A172+'Inputs'!$B$21+'Inputs'!$B$7+'Inputs'!$B$10))/SQRT(((A172+'Inputs'!$B$21+'Inputs'!$B$7+'Inputs'!$B$10))^2+('Inputs'!$B$8/2)^2))))*'Results'!$B$8*'Results'!$B$9),""),"")</x:f>
        <x:v>0.6873313815725292</x:v>
      </x:c>
      <x:c r="C172" s="18" t="n">
        <x:f>IF('Results'!$B$6="Inputs accepted",IF(AND(ISNUMBER('Results'!C7),ISNUMBER('Results'!B7),ISNUMBER('Results'!$B$8),ISNUMBER('Results'!$B$9),ISNUMBER('Inputs'!$B$6),ISNUMBER('Inputs'!$B$7),ISNUMBER('Inputs'!$B$8),ISNUMBER('Inputs'!$B$9),ISNUMBER('Inputs'!$B$10),ISNUMBER('Inputs'!$B$21),ISNUMBER('Inputs'!$B$24),ISNUMBER('Inputs'!$B$28)),(('Results'!C7*(0.5*(((A172+'Inputs'!$B$21)+'Inputs'!$B$9)/SQRT(((A172+'Inputs'!$B$21)+'Inputs'!$B$9)^2+('Inputs'!$B$8/2)^2)-((A172+'Inputs'!$B$21))/SQRT(((A172+'Inputs'!$B$21))^2+('Inputs'!$B$8/2)^2)))-'Results'!B7*(0.5*(((A172+'Inputs'!$B$21+'Inputs'!$B$9+'Inputs'!$B$10)+'Inputs'!$B$7)/SQRT(((A172+'Inputs'!$B$21+'Inputs'!$B$9+'Inputs'!$B$10)+'Inputs'!$B$7)^2+('Inputs'!$B$6/2)^2)-((A172+'Inputs'!$B$21+'Inputs'!$B$9+'Inputs'!$B$10))/SQRT(((A172+'Inputs'!$B$21+'Inputs'!$B$9+'Inputs'!$B$10))^2+('Inputs'!$B$6/2)^2))))*'Results'!$B$8*'Results'!$B$9),""),"")</x:f>
        <x:v>0.6162920073058619</x:v>
      </x:c>
      <x:c r="D172" s="18" t="n">
        <x:f>IF('Results'!$B$6="Inputs accepted",'Results'!B12,"")</x:f>
        <x:v>112.38228018798189</x:v>
      </x:c>
      <x:c r="E172" s="18" t="n">
        <x:f>IF('Results'!$B$6="Inputs accepted",'Results'!C12,"")</x:f>
        <x:v>119.21786205905865</x:v>
      </x:c>
      <x:c r="F172" s="18" t="n">
        <x:f>IF('Results'!$B$6="Inputs accepted",'Results'!B14,"")</x:f>
        <x:v>66.9055158034782</x:v>
      </x:c>
      <x:c r="G172" s="18" t="n">
        <x:f>IF('Results'!$B$6="Inputs accepted",'Results'!C14,"")</x:f>
        <x:v>70.64020731289524</x:v>
      </x:c>
      <x:c r="H172" s="2"/>
      <x:c r="I172" s="2"/>
      <x:c r="J172" s="2"/>
      <x:c r="K172" s="2"/>
      <x:c r="L172" s="2"/>
    </x:row>
    <x:row r="173" ht="22" customHeight="1">
      <x:c r="A173" s="18" t="n">
        <x:f>(173-5)*'Inputs'!$B$33/200</x:f>
        <x:v>33.6</x:v>
      </x:c>
      <x:c r="B173" s="18" t="n">
        <x:f>IF('Results'!$B$6="Inputs accepted",IF(AND(ISNUMBER('Results'!B7),ISNUMBER('Results'!C7),ISNUMBER('Results'!$B$8),ISNUMBER('Results'!$B$9),ISNUMBER('Inputs'!$B$6),ISNUMBER('Inputs'!$B$7),ISNUMBER('Inputs'!$B$8),ISNUMBER('Inputs'!$B$9),ISNUMBER('Inputs'!$B$10),ISNUMBER('Inputs'!$B$21),ISNUMBER('Inputs'!$B$24),ISNUMBER('Inputs'!$B$28)),(('Results'!B7*(0.5*(((A173+'Inputs'!$B$21)+'Inputs'!$B$7)/SQRT(((A173+'Inputs'!$B$21)+'Inputs'!$B$7)^2+('Inputs'!$B$6/2)^2)-((A173+'Inputs'!$B$21))/SQRT(((A173+'Inputs'!$B$21))^2+('Inputs'!$B$6/2)^2)))-'Results'!C7*(0.5*(((A173+'Inputs'!$B$21+'Inputs'!$B$7+'Inputs'!$B$10)+'Inputs'!$B$9)/SQRT(((A173+'Inputs'!$B$21+'Inputs'!$B$7+'Inputs'!$B$10)+'Inputs'!$B$9)^2+('Inputs'!$B$8/2)^2)-((A173+'Inputs'!$B$21+'Inputs'!$B$7+'Inputs'!$B$10))/SQRT(((A173+'Inputs'!$B$21+'Inputs'!$B$7+'Inputs'!$B$10))^2+('Inputs'!$B$8/2)^2))))*'Results'!$B$8*'Results'!$B$9),""),"")</x:f>
        <x:v>0.6726829944725295</x:v>
      </x:c>
      <x:c r="C173" s="18" t="n">
        <x:f>IF('Results'!$B$6="Inputs accepted",IF(AND(ISNUMBER('Results'!C7),ISNUMBER('Results'!B7),ISNUMBER('Results'!$B$8),ISNUMBER('Results'!$B$9),ISNUMBER('Inputs'!$B$6),ISNUMBER('Inputs'!$B$7),ISNUMBER('Inputs'!$B$8),ISNUMBER('Inputs'!$B$9),ISNUMBER('Inputs'!$B$10),ISNUMBER('Inputs'!$B$21),ISNUMBER('Inputs'!$B$24),ISNUMBER('Inputs'!$B$28)),(('Results'!C7*(0.5*(((A173+'Inputs'!$B$21)+'Inputs'!$B$9)/SQRT(((A173+'Inputs'!$B$21)+'Inputs'!$B$9)^2+('Inputs'!$B$8/2)^2)-((A173+'Inputs'!$B$21))/SQRT(((A173+'Inputs'!$B$21))^2+('Inputs'!$B$8/2)^2)))-'Results'!B7*(0.5*(((A173+'Inputs'!$B$21+'Inputs'!$B$9+'Inputs'!$B$10)+'Inputs'!$B$7)/SQRT(((A173+'Inputs'!$B$21+'Inputs'!$B$9+'Inputs'!$B$10)+'Inputs'!$B$7)^2+('Inputs'!$B$6/2)^2)-((A173+'Inputs'!$B$21+'Inputs'!$B$9+'Inputs'!$B$10))/SQRT(((A173+'Inputs'!$B$21+'Inputs'!$B$9+'Inputs'!$B$10))^2+('Inputs'!$B$6/2)^2))))*'Results'!$B$8*'Results'!$B$9),""),"")</x:f>
        <x:v>0.602808624649133</x:v>
      </x:c>
      <x:c r="D173" s="18" t="n">
        <x:f>IF('Results'!$B$6="Inputs accepted",'Results'!B12,"")</x:f>
        <x:v>112.38228018798189</x:v>
      </x:c>
      <x:c r="E173" s="18" t="n">
        <x:f>IF('Results'!$B$6="Inputs accepted",'Results'!C12,"")</x:f>
        <x:v>119.21786205905865</x:v>
      </x:c>
      <x:c r="F173" s="18" t="n">
        <x:f>IF('Results'!$B$6="Inputs accepted",'Results'!B14,"")</x:f>
        <x:v>66.9055158034782</x:v>
      </x:c>
      <x:c r="G173" s="18" t="n">
        <x:f>IF('Results'!$B$6="Inputs accepted",'Results'!C14,"")</x:f>
        <x:v>70.64020731289524</x:v>
      </x:c>
      <x:c r="H173" s="2"/>
      <x:c r="I173" s="2"/>
      <x:c r="J173" s="2"/>
      <x:c r="K173" s="2"/>
      <x:c r="L173" s="2"/>
    </x:row>
    <x:row r="174" ht="22" customHeight="1">
      <x:c r="A174" s="18" t="n">
        <x:f>(174-5)*'Inputs'!$B$33/200</x:f>
        <x:v>33.8</x:v>
      </x:c>
      <x:c r="B174" s="18" t="n">
        <x:f>IF('Results'!$B$6="Inputs accepted",IF(AND(ISNUMBER('Results'!B7),ISNUMBER('Results'!C7),ISNUMBER('Results'!$B$8),ISNUMBER('Results'!$B$9),ISNUMBER('Inputs'!$B$6),ISNUMBER('Inputs'!$B$7),ISNUMBER('Inputs'!$B$8),ISNUMBER('Inputs'!$B$9),ISNUMBER('Inputs'!$B$10),ISNUMBER('Inputs'!$B$21),ISNUMBER('Inputs'!$B$24),ISNUMBER('Inputs'!$B$28)),(('Results'!B7*(0.5*(((A174+'Inputs'!$B$21)+'Inputs'!$B$7)/SQRT(((A174+'Inputs'!$B$21)+'Inputs'!$B$7)^2+('Inputs'!$B$6/2)^2)-((A174+'Inputs'!$B$21))/SQRT(((A174+'Inputs'!$B$21))^2+('Inputs'!$B$6/2)^2)))-'Results'!C7*(0.5*(((A174+'Inputs'!$B$21+'Inputs'!$B$7+'Inputs'!$B$10)+'Inputs'!$B$9)/SQRT(((A174+'Inputs'!$B$21+'Inputs'!$B$7+'Inputs'!$B$10)+'Inputs'!$B$9)^2+('Inputs'!$B$8/2)^2)-((A174+'Inputs'!$B$21+'Inputs'!$B$7+'Inputs'!$B$10))/SQRT(((A174+'Inputs'!$B$21+'Inputs'!$B$7+'Inputs'!$B$10))^2+('Inputs'!$B$8/2)^2))))*'Results'!$B$8*'Results'!$B$9),""),"")</x:f>
        <x:v>0.6584244861910814</x:v>
      </x:c>
      <x:c r="C174" s="18" t="n">
        <x:f>IF('Results'!$B$6="Inputs accepted",IF(AND(ISNUMBER('Results'!C7),ISNUMBER('Results'!B7),ISNUMBER('Results'!$B$8),ISNUMBER('Results'!$B$9),ISNUMBER('Inputs'!$B$6),ISNUMBER('Inputs'!$B$7),ISNUMBER('Inputs'!$B$8),ISNUMBER('Inputs'!$B$9),ISNUMBER('Inputs'!$B$10),ISNUMBER('Inputs'!$B$21),ISNUMBER('Inputs'!$B$24),ISNUMBER('Inputs'!$B$28)),(('Results'!C7*(0.5*(((A174+'Inputs'!$B$21)+'Inputs'!$B$9)/SQRT(((A174+'Inputs'!$B$21)+'Inputs'!$B$9)^2+('Inputs'!$B$8/2)^2)-((A174+'Inputs'!$B$21))/SQRT(((A174+'Inputs'!$B$21))^2+('Inputs'!$B$8/2)^2)))-'Results'!B7*(0.5*(((A174+'Inputs'!$B$21+'Inputs'!$B$9+'Inputs'!$B$10)+'Inputs'!$B$7)/SQRT(((A174+'Inputs'!$B$21+'Inputs'!$B$9+'Inputs'!$B$10)+'Inputs'!$B$7)^2+('Inputs'!$B$6/2)^2)-((A174+'Inputs'!$B$21+'Inputs'!$B$9+'Inputs'!$B$10))/SQRT(((A174+'Inputs'!$B$21+'Inputs'!$B$9+'Inputs'!$B$10))^2+('Inputs'!$B$6/2)^2))))*'Results'!$B$8*'Results'!$B$9),""),"")</x:f>
        <x:v>0.589689741627776</x:v>
      </x:c>
      <x:c r="D174" s="18" t="n">
        <x:f>IF('Results'!$B$6="Inputs accepted",'Results'!B12,"")</x:f>
        <x:v>112.38228018798189</x:v>
      </x:c>
      <x:c r="E174" s="18" t="n">
        <x:f>IF('Results'!$B$6="Inputs accepted",'Results'!C12,"")</x:f>
        <x:v>119.21786205905865</x:v>
      </x:c>
      <x:c r="F174" s="18" t="n">
        <x:f>IF('Results'!$B$6="Inputs accepted",'Results'!B14,"")</x:f>
        <x:v>66.9055158034782</x:v>
      </x:c>
      <x:c r="G174" s="18" t="n">
        <x:f>IF('Results'!$B$6="Inputs accepted",'Results'!C14,"")</x:f>
        <x:v>70.64020731289524</x:v>
      </x:c>
      <x:c r="H174" s="2"/>
      <x:c r="I174" s="2"/>
      <x:c r="J174" s="2"/>
      <x:c r="K174" s="2"/>
      <x:c r="L174" s="2"/>
    </x:row>
    <x:row r="175" ht="22" customHeight="1">
      <x:c r="A175" s="18" t="n">
        <x:f>(175-5)*'Inputs'!$B$33/200</x:f>
        <x:v>34</x:v>
      </x:c>
      <x:c r="B175" s="18" t="n">
        <x:f>IF('Results'!$B$6="Inputs accepted",IF(AND(ISNUMBER('Results'!B7),ISNUMBER('Results'!C7),ISNUMBER('Results'!$B$8),ISNUMBER('Results'!$B$9),ISNUMBER('Inputs'!$B$6),ISNUMBER('Inputs'!$B$7),ISNUMBER('Inputs'!$B$8),ISNUMBER('Inputs'!$B$9),ISNUMBER('Inputs'!$B$10),ISNUMBER('Inputs'!$B$21),ISNUMBER('Inputs'!$B$24),ISNUMBER('Inputs'!$B$28)),(('Results'!B7*(0.5*(((A175+'Inputs'!$B$21)+'Inputs'!$B$7)/SQRT(((A175+'Inputs'!$B$21)+'Inputs'!$B$7)^2+('Inputs'!$B$6/2)^2)-((A175+'Inputs'!$B$21))/SQRT(((A175+'Inputs'!$B$21))^2+('Inputs'!$B$6/2)^2)))-'Results'!C7*(0.5*(((A175+'Inputs'!$B$21+'Inputs'!$B$7+'Inputs'!$B$10)+'Inputs'!$B$9)/SQRT(((A175+'Inputs'!$B$21+'Inputs'!$B$7+'Inputs'!$B$10)+'Inputs'!$B$9)^2+('Inputs'!$B$8/2)^2)-((A175+'Inputs'!$B$21+'Inputs'!$B$7+'Inputs'!$B$10))/SQRT(((A175+'Inputs'!$B$21+'Inputs'!$B$7+'Inputs'!$B$10))^2+('Inputs'!$B$8/2)^2))))*'Results'!$B$8*'Results'!$B$9),""),"")</x:f>
        <x:v>0.6445434463263512</x:v>
      </x:c>
      <x:c r="C175" s="18" t="n">
        <x:f>IF('Results'!$B$6="Inputs accepted",IF(AND(ISNUMBER('Results'!C7),ISNUMBER('Results'!B7),ISNUMBER('Results'!$B$8),ISNUMBER('Results'!$B$9),ISNUMBER('Inputs'!$B$6),ISNUMBER('Inputs'!$B$7),ISNUMBER('Inputs'!$B$8),ISNUMBER('Inputs'!$B$9),ISNUMBER('Inputs'!$B$10),ISNUMBER('Inputs'!$B$21),ISNUMBER('Inputs'!$B$24),ISNUMBER('Inputs'!$B$28)),(('Results'!C7*(0.5*(((A175+'Inputs'!$B$21)+'Inputs'!$B$9)/SQRT(((A175+'Inputs'!$B$21)+'Inputs'!$B$9)^2+('Inputs'!$B$8/2)^2)-((A175+'Inputs'!$B$21))/SQRT(((A175+'Inputs'!$B$21))^2+('Inputs'!$B$8/2)^2)))-'Results'!B7*(0.5*(((A175+'Inputs'!$B$21+'Inputs'!$B$9+'Inputs'!$B$10)+'Inputs'!$B$7)/SQRT(((A175+'Inputs'!$B$21+'Inputs'!$B$9+'Inputs'!$B$10)+'Inputs'!$B$7)^2+('Inputs'!$B$6/2)^2)-((A175+'Inputs'!$B$21+'Inputs'!$B$9+'Inputs'!$B$10))/SQRT(((A175+'Inputs'!$B$21+'Inputs'!$B$9+'Inputs'!$B$10))^2+('Inputs'!$B$6/2)^2))))*'Results'!$B$8*'Results'!$B$9),""),"")</x:f>
        <x:v>0.5769236362572133</x:v>
      </x:c>
      <x:c r="D175" s="18" t="n">
        <x:f>IF('Results'!$B$6="Inputs accepted",'Results'!B12,"")</x:f>
        <x:v>112.38228018798189</x:v>
      </x:c>
      <x:c r="E175" s="18" t="n">
        <x:f>IF('Results'!$B$6="Inputs accepted",'Results'!C12,"")</x:f>
        <x:v>119.21786205905865</x:v>
      </x:c>
      <x:c r="F175" s="18" t="n">
        <x:f>IF('Results'!$B$6="Inputs accepted",'Results'!B14,"")</x:f>
        <x:v>66.9055158034782</x:v>
      </x:c>
      <x:c r="G175" s="18" t="n">
        <x:f>IF('Results'!$B$6="Inputs accepted",'Results'!C14,"")</x:f>
        <x:v>70.64020731289524</x:v>
      </x:c>
      <x:c r="H175" s="2"/>
      <x:c r="I175" s="2"/>
      <x:c r="J175" s="2"/>
      <x:c r="K175" s="2"/>
      <x:c r="L175" s="2"/>
    </x:row>
    <x:row r="176" ht="22" customHeight="1">
      <x:c r="A176" s="18" t="n">
        <x:f>(176-5)*'Inputs'!$B$33/200</x:f>
        <x:v>34.2</x:v>
      </x:c>
      <x:c r="B176" s="18" t="n">
        <x:f>IF('Results'!$B$6="Inputs accepted",IF(AND(ISNUMBER('Results'!B7),ISNUMBER('Results'!C7),ISNUMBER('Results'!$B$8),ISNUMBER('Results'!$B$9),ISNUMBER('Inputs'!$B$6),ISNUMBER('Inputs'!$B$7),ISNUMBER('Inputs'!$B$8),ISNUMBER('Inputs'!$B$9),ISNUMBER('Inputs'!$B$10),ISNUMBER('Inputs'!$B$21),ISNUMBER('Inputs'!$B$24),ISNUMBER('Inputs'!$B$28)),(('Results'!B7*(0.5*(((A176+'Inputs'!$B$21)+'Inputs'!$B$7)/SQRT(((A176+'Inputs'!$B$21)+'Inputs'!$B$7)^2+('Inputs'!$B$6/2)^2)-((A176+'Inputs'!$B$21))/SQRT(((A176+'Inputs'!$B$21))^2+('Inputs'!$B$6/2)^2)))-'Results'!C7*(0.5*(((A176+'Inputs'!$B$21+'Inputs'!$B$7+'Inputs'!$B$10)+'Inputs'!$B$9)/SQRT(((A176+'Inputs'!$B$21+'Inputs'!$B$7+'Inputs'!$B$10)+'Inputs'!$B$9)^2+('Inputs'!$B$8/2)^2)-((A176+'Inputs'!$B$21+'Inputs'!$B$7+'Inputs'!$B$10))/SQRT(((A176+'Inputs'!$B$21+'Inputs'!$B$7+'Inputs'!$B$10))^2+('Inputs'!$B$8/2)^2))))*'Results'!$B$8*'Results'!$B$9),""),"")</x:f>
        <x:v>0.6310279233062899</x:v>
      </x:c>
      <x:c r="C176" s="18" t="n">
        <x:f>IF('Results'!$B$6="Inputs accepted",IF(AND(ISNUMBER('Results'!C7),ISNUMBER('Results'!B7),ISNUMBER('Results'!$B$8),ISNUMBER('Results'!$B$9),ISNUMBER('Inputs'!$B$6),ISNUMBER('Inputs'!$B$7),ISNUMBER('Inputs'!$B$8),ISNUMBER('Inputs'!$B$9),ISNUMBER('Inputs'!$B$10),ISNUMBER('Inputs'!$B$21),ISNUMBER('Inputs'!$B$24),ISNUMBER('Inputs'!$B$28)),(('Results'!C7*(0.5*(((A176+'Inputs'!$B$21)+'Inputs'!$B$9)/SQRT(((A176+'Inputs'!$B$21)+'Inputs'!$B$9)^2+('Inputs'!$B$8/2)^2)-((A176+'Inputs'!$B$21))/SQRT(((A176+'Inputs'!$B$21))^2+('Inputs'!$B$8/2)^2)))-'Results'!B7*(0.5*(((A176+'Inputs'!$B$21+'Inputs'!$B$9+'Inputs'!$B$10)+'Inputs'!$B$7)/SQRT(((A176+'Inputs'!$B$21+'Inputs'!$B$9+'Inputs'!$B$10)+'Inputs'!$B$7)^2+('Inputs'!$B$6/2)^2)-((A176+'Inputs'!$B$21+'Inputs'!$B$9+'Inputs'!$B$10))/SQRT(((A176+'Inputs'!$B$21+'Inputs'!$B$9+'Inputs'!$B$10))^2+('Inputs'!$B$6/2)^2))))*'Results'!$B$8*'Results'!$B$9),""),"")</x:f>
        <x:v>0.564499023065075</x:v>
      </x:c>
      <x:c r="D176" s="18" t="n">
        <x:f>IF('Results'!$B$6="Inputs accepted",'Results'!B12,"")</x:f>
        <x:v>112.38228018798189</x:v>
      </x:c>
      <x:c r="E176" s="18" t="n">
        <x:f>IF('Results'!$B$6="Inputs accepted",'Results'!C12,"")</x:f>
        <x:v>119.21786205905865</x:v>
      </x:c>
      <x:c r="F176" s="18" t="n">
        <x:f>IF('Results'!$B$6="Inputs accepted",'Results'!B14,"")</x:f>
        <x:v>66.9055158034782</x:v>
      </x:c>
      <x:c r="G176" s="18" t="n">
        <x:f>IF('Results'!$B$6="Inputs accepted",'Results'!C14,"")</x:f>
        <x:v>70.64020731289524</x:v>
      </x:c>
      <x:c r="H176" s="2"/>
      <x:c r="I176" s="2"/>
      <x:c r="J176" s="2"/>
      <x:c r="K176" s="2"/>
      <x:c r="L176" s="2"/>
    </x:row>
    <x:row r="177" ht="22" customHeight="1">
      <x:c r="A177" s="18" t="n">
        <x:f>(177-5)*'Inputs'!$B$33/200</x:f>
        <x:v>34.4</x:v>
      </x:c>
      <x:c r="B177" s="18" t="n">
        <x:f>IF('Results'!$B$6="Inputs accepted",IF(AND(ISNUMBER('Results'!B7),ISNUMBER('Results'!C7),ISNUMBER('Results'!$B$8),ISNUMBER('Results'!$B$9),ISNUMBER('Inputs'!$B$6),ISNUMBER('Inputs'!$B$7),ISNUMBER('Inputs'!$B$8),ISNUMBER('Inputs'!$B$9),ISNUMBER('Inputs'!$B$10),ISNUMBER('Inputs'!$B$21),ISNUMBER('Inputs'!$B$24),ISNUMBER('Inputs'!$B$28)),(('Results'!B7*(0.5*(((A177+'Inputs'!$B$21)+'Inputs'!$B$7)/SQRT(((A177+'Inputs'!$B$21)+'Inputs'!$B$7)^2+('Inputs'!$B$6/2)^2)-((A177+'Inputs'!$B$21))/SQRT(((A177+'Inputs'!$B$21))^2+('Inputs'!$B$6/2)^2)))-'Results'!C7*(0.5*(((A177+'Inputs'!$B$21+'Inputs'!$B$7+'Inputs'!$B$10)+'Inputs'!$B$9)/SQRT(((A177+'Inputs'!$B$21+'Inputs'!$B$7+'Inputs'!$B$10)+'Inputs'!$B$9)^2+('Inputs'!$B$8/2)^2)-((A177+'Inputs'!$B$21+'Inputs'!$B$7+'Inputs'!$B$10))/SQRT(((A177+'Inputs'!$B$21+'Inputs'!$B$7+'Inputs'!$B$10))^2+('Inputs'!$B$8/2)^2))))*'Results'!$B$8*'Results'!$B$9),""),"")</x:f>
        <x:v>0.6178664051135211</x:v>
      </x:c>
      <x:c r="C177" s="18" t="n">
        <x:f>IF('Results'!$B$6="Inputs accepted",IF(AND(ISNUMBER('Results'!C7),ISNUMBER('Results'!B7),ISNUMBER('Results'!$B$8),ISNUMBER('Results'!$B$9),ISNUMBER('Inputs'!$B$6),ISNUMBER('Inputs'!$B$7),ISNUMBER('Inputs'!$B$8),ISNUMBER('Inputs'!$B$9),ISNUMBER('Inputs'!$B$10),ISNUMBER('Inputs'!$B$21),ISNUMBER('Inputs'!$B$24),ISNUMBER('Inputs'!$B$28)),(('Results'!C7*(0.5*(((A177+'Inputs'!$B$21)+'Inputs'!$B$9)/SQRT(((A177+'Inputs'!$B$21)+'Inputs'!$B$9)^2+('Inputs'!$B$8/2)^2)-((A177+'Inputs'!$B$21))/SQRT(((A177+'Inputs'!$B$21))^2+('Inputs'!$B$8/2)^2)))-'Results'!B7*(0.5*(((A177+'Inputs'!$B$21+'Inputs'!$B$9+'Inputs'!$B$10)+'Inputs'!$B$7)/SQRT(((A177+'Inputs'!$B$21+'Inputs'!$B$9+'Inputs'!$B$10)+'Inputs'!$B$7)^2+('Inputs'!$B$6/2)^2)-((A177+'Inputs'!$B$21+'Inputs'!$B$9+'Inputs'!$B$10))/SQRT(((A177+'Inputs'!$B$21+'Inputs'!$B$9+'Inputs'!$B$10))^2+('Inputs'!$B$6/2)^2))))*'Results'!$B$8*'Results'!$B$9),""),"")</x:f>
        <x:v>0.5524050346567434</x:v>
      </x:c>
      <x:c r="D177" s="18" t="n">
        <x:f>IF('Results'!$B$6="Inputs accepted",'Results'!B12,"")</x:f>
        <x:v>112.38228018798189</x:v>
      </x:c>
      <x:c r="E177" s="18" t="n">
        <x:f>IF('Results'!$B$6="Inputs accepted",'Results'!C12,"")</x:f>
        <x:v>119.21786205905865</x:v>
      </x:c>
      <x:c r="F177" s="18" t="n">
        <x:f>IF('Results'!$B$6="Inputs accepted",'Results'!B14,"")</x:f>
        <x:v>66.9055158034782</x:v>
      </x:c>
      <x:c r="G177" s="18" t="n">
        <x:f>IF('Results'!$B$6="Inputs accepted",'Results'!C14,"")</x:f>
        <x:v>70.64020731289524</x:v>
      </x:c>
      <x:c r="H177" s="2"/>
      <x:c r="I177" s="2"/>
      <x:c r="J177" s="2"/>
      <x:c r="K177" s="2"/>
      <x:c r="L177" s="2"/>
    </x:row>
    <x:row r="178" ht="22" customHeight="1">
      <x:c r="A178" s="18" t="n">
        <x:f>(178-5)*'Inputs'!$B$33/200</x:f>
        <x:v>34.6</x:v>
      </x:c>
      <x:c r="B178" s="18" t="n">
        <x:f>IF('Results'!$B$6="Inputs accepted",IF(AND(ISNUMBER('Results'!B7),ISNUMBER('Results'!C7),ISNUMBER('Results'!$B$8),ISNUMBER('Results'!$B$9),ISNUMBER('Inputs'!$B$6),ISNUMBER('Inputs'!$B$7),ISNUMBER('Inputs'!$B$8),ISNUMBER('Inputs'!$B$9),ISNUMBER('Inputs'!$B$10),ISNUMBER('Inputs'!$B$21),ISNUMBER('Inputs'!$B$24),ISNUMBER('Inputs'!$B$28)),(('Results'!B7*(0.5*(((A178+'Inputs'!$B$21)+'Inputs'!$B$7)/SQRT(((A178+'Inputs'!$B$21)+'Inputs'!$B$7)^2+('Inputs'!$B$6/2)^2)-((A178+'Inputs'!$B$21))/SQRT(((A178+'Inputs'!$B$21))^2+('Inputs'!$B$6/2)^2)))-'Results'!C7*(0.5*(((A178+'Inputs'!$B$21+'Inputs'!$B$7+'Inputs'!$B$10)+'Inputs'!$B$9)/SQRT(((A178+'Inputs'!$B$21+'Inputs'!$B$7+'Inputs'!$B$10)+'Inputs'!$B$9)^2+('Inputs'!$B$8/2)^2)-((A178+'Inputs'!$B$21+'Inputs'!$B$7+'Inputs'!$B$10))/SQRT(((A178+'Inputs'!$B$21+'Inputs'!$B$7+'Inputs'!$B$10))^2+('Inputs'!$B$8/2)^2))))*'Results'!$B$8*'Results'!$B$9),""),"")</x:f>
        <x:v>0.6050478008841584</x:v>
      </x:c>
      <x:c r="C178" s="18" t="n">
        <x:f>IF('Results'!$B$6="Inputs accepted",IF(AND(ISNUMBER('Results'!C7),ISNUMBER('Results'!B7),ISNUMBER('Results'!$B$8),ISNUMBER('Results'!$B$9),ISNUMBER('Inputs'!$B$6),ISNUMBER('Inputs'!$B$7),ISNUMBER('Inputs'!$B$8),ISNUMBER('Inputs'!$B$9),ISNUMBER('Inputs'!$B$10),ISNUMBER('Inputs'!$B$21),ISNUMBER('Inputs'!$B$24),ISNUMBER('Inputs'!$B$28)),(('Results'!C7*(0.5*(((A178+'Inputs'!$B$21)+'Inputs'!$B$9)/SQRT(((A178+'Inputs'!$B$21)+'Inputs'!$B$9)^2+('Inputs'!$B$8/2)^2)-((A178+'Inputs'!$B$21))/SQRT(((A178+'Inputs'!$B$21))^2+('Inputs'!$B$8/2)^2)))-'Results'!B7*(0.5*(((A178+'Inputs'!$B$21+'Inputs'!$B$9+'Inputs'!$B$10)+'Inputs'!$B$7)/SQRT(((A178+'Inputs'!$B$21+'Inputs'!$B$9+'Inputs'!$B$10)+'Inputs'!$B$7)^2+('Inputs'!$B$6/2)^2)-((A178+'Inputs'!$B$21+'Inputs'!$B$9+'Inputs'!$B$10))/SQRT(((A178+'Inputs'!$B$21+'Inputs'!$B$9+'Inputs'!$B$10))^2+('Inputs'!$B$6/2)^2))))*'Results'!$B$8*'Results'!$B$9),""),"")</x:f>
        <x:v>0.5406312041184795</x:v>
      </x:c>
      <x:c r="D178" s="18" t="n">
        <x:f>IF('Results'!$B$6="Inputs accepted",'Results'!B12,"")</x:f>
        <x:v>112.38228018798189</x:v>
      </x:c>
      <x:c r="E178" s="18" t="n">
        <x:f>IF('Results'!$B$6="Inputs accepted",'Results'!C12,"")</x:f>
        <x:v>119.21786205905865</x:v>
      </x:c>
      <x:c r="F178" s="18" t="n">
        <x:f>IF('Results'!$B$6="Inputs accepted",'Results'!B14,"")</x:f>
        <x:v>66.9055158034782</x:v>
      </x:c>
      <x:c r="G178" s="18" t="n">
        <x:f>IF('Results'!$B$6="Inputs accepted",'Results'!C14,"")</x:f>
        <x:v>70.64020731289524</x:v>
      </x:c>
      <x:c r="H178" s="2"/>
      <x:c r="I178" s="2"/>
      <x:c r="J178" s="2"/>
      <x:c r="K178" s="2"/>
      <x:c r="L178" s="2"/>
    </x:row>
    <x:row r="179" ht="22" customHeight="1">
      <x:c r="A179" s="18" t="n">
        <x:f>(179-5)*'Inputs'!$B$33/200</x:f>
        <x:v>34.8</x:v>
      </x:c>
      <x:c r="B179" s="18" t="n">
        <x:f>IF('Results'!$B$6="Inputs accepted",IF(AND(ISNUMBER('Results'!B7),ISNUMBER('Results'!C7),ISNUMBER('Results'!$B$8),ISNUMBER('Results'!$B$9),ISNUMBER('Inputs'!$B$6),ISNUMBER('Inputs'!$B$7),ISNUMBER('Inputs'!$B$8),ISNUMBER('Inputs'!$B$9),ISNUMBER('Inputs'!$B$10),ISNUMBER('Inputs'!$B$21),ISNUMBER('Inputs'!$B$24),ISNUMBER('Inputs'!$B$28)),(('Results'!B7*(0.5*(((A179+'Inputs'!$B$21)+'Inputs'!$B$7)/SQRT(((A179+'Inputs'!$B$21)+'Inputs'!$B$7)^2+('Inputs'!$B$6/2)^2)-((A179+'Inputs'!$B$21))/SQRT(((A179+'Inputs'!$B$21))^2+('Inputs'!$B$6/2)^2)))-'Results'!C7*(0.5*(((A179+'Inputs'!$B$21+'Inputs'!$B$7+'Inputs'!$B$10)+'Inputs'!$B$9)/SQRT(((A179+'Inputs'!$B$21+'Inputs'!$B$7+'Inputs'!$B$10)+'Inputs'!$B$9)^2+('Inputs'!$B$8/2)^2)-((A179+'Inputs'!$B$21+'Inputs'!$B$7+'Inputs'!$B$10))/SQRT(((A179+'Inputs'!$B$21+'Inputs'!$B$7+'Inputs'!$B$10))^2+('Inputs'!$B$8/2)^2))))*'Results'!$B$8*'Results'!$B$9),""),"")</x:f>
        <x:v>0.5925614233939749</x:v>
      </x:c>
      <x:c r="C179" s="18" t="n">
        <x:f>IF('Results'!$B$6="Inputs accepted",IF(AND(ISNUMBER('Results'!C7),ISNUMBER('Results'!B7),ISNUMBER('Results'!$B$8),ISNUMBER('Results'!$B$9),ISNUMBER('Inputs'!$B$6),ISNUMBER('Inputs'!$B$7),ISNUMBER('Inputs'!$B$8),ISNUMBER('Inputs'!$B$9),ISNUMBER('Inputs'!$B$10),ISNUMBER('Inputs'!$B$21),ISNUMBER('Inputs'!$B$24),ISNUMBER('Inputs'!$B$28)),(('Results'!C7*(0.5*(((A179+'Inputs'!$B$21)+'Inputs'!$B$9)/SQRT(((A179+'Inputs'!$B$21)+'Inputs'!$B$9)^2+('Inputs'!$B$8/2)^2)-((A179+'Inputs'!$B$21))/SQRT(((A179+'Inputs'!$B$21))^2+('Inputs'!$B$8/2)^2)))-'Results'!B7*(0.5*(((A179+'Inputs'!$B$21+'Inputs'!$B$9+'Inputs'!$B$10)+'Inputs'!$B$7)/SQRT(((A179+'Inputs'!$B$21+'Inputs'!$B$9+'Inputs'!$B$10)+'Inputs'!$B$7)^2+('Inputs'!$B$6/2)^2)-((A179+'Inputs'!$B$21+'Inputs'!$B$9+'Inputs'!$B$10))/SQRT(((A179+'Inputs'!$B$21+'Inputs'!$B$9+'Inputs'!$B$10))^2+('Inputs'!$B$6/2)^2))))*'Results'!$B$8*'Results'!$B$9),""),"")</x:f>
        <x:v>0.5291674482739738</x:v>
      </x:c>
      <x:c r="D179" s="18" t="n">
        <x:f>IF('Results'!$B$6="Inputs accepted",'Results'!B12,"")</x:f>
        <x:v>112.38228018798189</x:v>
      </x:c>
      <x:c r="E179" s="18" t="n">
        <x:f>IF('Results'!$B$6="Inputs accepted",'Results'!C12,"")</x:f>
        <x:v>119.21786205905865</x:v>
      </x:c>
      <x:c r="F179" s="18" t="n">
        <x:f>IF('Results'!$B$6="Inputs accepted",'Results'!B14,"")</x:f>
        <x:v>66.9055158034782</x:v>
      </x:c>
      <x:c r="G179" s="18" t="n">
        <x:f>IF('Results'!$B$6="Inputs accepted",'Results'!C14,"")</x:f>
        <x:v>70.64020731289524</x:v>
      </x:c>
      <x:c r="H179" s="2"/>
      <x:c r="I179" s="2"/>
      <x:c r="J179" s="2"/>
      <x:c r="K179" s="2"/>
      <x:c r="L179" s="2"/>
    </x:row>
    <x:row r="180" ht="22" customHeight="1">
      <x:c r="A180" s="18" t="n">
        <x:f>(180-5)*'Inputs'!$B$33/200</x:f>
        <x:v>35</x:v>
      </x:c>
      <x:c r="B180" s="18" t="n">
        <x:f>IF('Results'!$B$6="Inputs accepted",IF(AND(ISNUMBER('Results'!B7),ISNUMBER('Results'!C7),ISNUMBER('Results'!$B$8),ISNUMBER('Results'!$B$9),ISNUMBER('Inputs'!$B$6),ISNUMBER('Inputs'!$B$7),ISNUMBER('Inputs'!$B$8),ISNUMBER('Inputs'!$B$9),ISNUMBER('Inputs'!$B$10),ISNUMBER('Inputs'!$B$21),ISNUMBER('Inputs'!$B$24),ISNUMBER('Inputs'!$B$28)),(('Results'!B7*(0.5*(((A180+'Inputs'!$B$21)+'Inputs'!$B$7)/SQRT(((A180+'Inputs'!$B$21)+'Inputs'!$B$7)^2+('Inputs'!$B$6/2)^2)-((A180+'Inputs'!$B$21))/SQRT(((A180+'Inputs'!$B$21))^2+('Inputs'!$B$6/2)^2)))-'Results'!C7*(0.5*(((A180+'Inputs'!$B$21+'Inputs'!$B$7+'Inputs'!$B$10)+'Inputs'!$B$9)/SQRT(((A180+'Inputs'!$B$21+'Inputs'!$B$7+'Inputs'!$B$10)+'Inputs'!$B$9)^2+('Inputs'!$B$8/2)^2)-((A180+'Inputs'!$B$21+'Inputs'!$B$7+'Inputs'!$B$10))/SQRT(((A180+'Inputs'!$B$21+'Inputs'!$B$7+'Inputs'!$B$10))^2+('Inputs'!$B$8/2)^2))))*'Results'!$B$8*'Results'!$B$9),""),"")</x:f>
        <x:v>0.5803969723513076</x:v>
      </x:c>
      <x:c r="C180" s="18" t="n">
        <x:f>IF('Results'!$B$6="Inputs accepted",IF(AND(ISNUMBER('Results'!C7),ISNUMBER('Results'!B7),ISNUMBER('Results'!$B$8),ISNUMBER('Results'!$B$9),ISNUMBER('Inputs'!$B$6),ISNUMBER('Inputs'!$B$7),ISNUMBER('Inputs'!$B$8),ISNUMBER('Inputs'!$B$9),ISNUMBER('Inputs'!$B$10),ISNUMBER('Inputs'!$B$21),ISNUMBER('Inputs'!$B$24),ISNUMBER('Inputs'!$B$28)),(('Results'!C7*(0.5*(((A180+'Inputs'!$B$21)+'Inputs'!$B$9)/SQRT(((A180+'Inputs'!$B$21)+'Inputs'!$B$9)^2+('Inputs'!$B$8/2)^2)-((A180+'Inputs'!$B$21))/SQRT(((A180+'Inputs'!$B$21))^2+('Inputs'!$B$8/2)^2)))-'Results'!B7*(0.5*(((A180+'Inputs'!$B$21+'Inputs'!$B$9+'Inputs'!$B$10)+'Inputs'!$B$7)/SQRT(((A180+'Inputs'!$B$21+'Inputs'!$B$9+'Inputs'!$B$10)+'Inputs'!$B$7)^2+('Inputs'!$B$6/2)^2)-((A180+'Inputs'!$B$21+'Inputs'!$B$9+'Inputs'!$B$10))/SQRT(((A180+'Inputs'!$B$21+'Inputs'!$B$9+'Inputs'!$B$10))^2+('Inputs'!$B$6/2)^2))))*'Results'!$B$8*'Results'!$B$9),""),"")</x:f>
        <x:v>0.5180040517146449</x:v>
      </x:c>
      <x:c r="D180" s="18" t="n">
        <x:f>IF('Results'!$B$6="Inputs accepted",'Results'!B12,"")</x:f>
        <x:v>112.38228018798189</x:v>
      </x:c>
      <x:c r="E180" s="18" t="n">
        <x:f>IF('Results'!$B$6="Inputs accepted",'Results'!C12,"")</x:f>
        <x:v>119.21786205905865</x:v>
      </x:c>
      <x:c r="F180" s="18" t="n">
        <x:f>IF('Results'!$B$6="Inputs accepted",'Results'!B14,"")</x:f>
        <x:v>66.9055158034782</x:v>
      </x:c>
      <x:c r="G180" s="18" t="n">
        <x:f>IF('Results'!$B$6="Inputs accepted",'Results'!C14,"")</x:f>
        <x:v>70.64020731289524</x:v>
      </x:c>
      <x:c r="H180" s="2"/>
      <x:c r="I180" s="2"/>
      <x:c r="J180" s="2"/>
      <x:c r="K180" s="2"/>
      <x:c r="L180" s="2"/>
    </x:row>
    <x:row r="181" ht="22" customHeight="1">
      <x:c r="A181" s="18" t="n">
        <x:f>(181-5)*'Inputs'!$B$33/200</x:f>
        <x:v>35.2</x:v>
      </x:c>
      <x:c r="B181" s="18" t="n">
        <x:f>IF('Results'!$B$6="Inputs accepted",IF(AND(ISNUMBER('Results'!B7),ISNUMBER('Results'!C7),ISNUMBER('Results'!$B$8),ISNUMBER('Results'!$B$9),ISNUMBER('Inputs'!$B$6),ISNUMBER('Inputs'!$B$7),ISNUMBER('Inputs'!$B$8),ISNUMBER('Inputs'!$B$9),ISNUMBER('Inputs'!$B$10),ISNUMBER('Inputs'!$B$21),ISNUMBER('Inputs'!$B$24),ISNUMBER('Inputs'!$B$28)),(('Results'!B7*(0.5*(((A181+'Inputs'!$B$21)+'Inputs'!$B$7)/SQRT(((A181+'Inputs'!$B$21)+'Inputs'!$B$7)^2+('Inputs'!$B$6/2)^2)-((A181+'Inputs'!$B$21))/SQRT(((A181+'Inputs'!$B$21))^2+('Inputs'!$B$6/2)^2)))-'Results'!C7*(0.5*(((A181+'Inputs'!$B$21+'Inputs'!$B$7+'Inputs'!$B$10)+'Inputs'!$B$9)/SQRT(((A181+'Inputs'!$B$21+'Inputs'!$B$7+'Inputs'!$B$10)+'Inputs'!$B$9)^2+('Inputs'!$B$8/2)^2)-((A181+'Inputs'!$B$21+'Inputs'!$B$7+'Inputs'!$B$10))/SQRT(((A181+'Inputs'!$B$21+'Inputs'!$B$7+'Inputs'!$B$10))^2+('Inputs'!$B$8/2)^2))))*'Results'!$B$8*'Results'!$B$9),""),"")</x:f>
        <x:v>0.5685445184640181</x:v>
      </x:c>
      <x:c r="C181" s="18" t="n">
        <x:f>IF('Results'!$B$6="Inputs accepted",IF(AND(ISNUMBER('Results'!C7),ISNUMBER('Results'!B7),ISNUMBER('Results'!$B$8),ISNUMBER('Results'!$B$9),ISNUMBER('Inputs'!$B$6),ISNUMBER('Inputs'!$B$7),ISNUMBER('Inputs'!$B$8),ISNUMBER('Inputs'!$B$9),ISNUMBER('Inputs'!$B$10),ISNUMBER('Inputs'!$B$21),ISNUMBER('Inputs'!$B$24),ISNUMBER('Inputs'!$B$28)),(('Results'!C7*(0.5*(((A181+'Inputs'!$B$21)+'Inputs'!$B$9)/SQRT(((A181+'Inputs'!$B$21)+'Inputs'!$B$9)^2+('Inputs'!$B$8/2)^2)-((A181+'Inputs'!$B$21))/SQRT(((A181+'Inputs'!$B$21))^2+('Inputs'!$B$8/2)^2)))-'Results'!B7*(0.5*(((A181+'Inputs'!$B$21+'Inputs'!$B$9+'Inputs'!$B$10)+'Inputs'!$B$7)/SQRT(((A181+'Inputs'!$B$21+'Inputs'!$B$9+'Inputs'!$B$10)+'Inputs'!$B$7)^2+('Inputs'!$B$6/2)^2)-((A181+'Inputs'!$B$21+'Inputs'!$B$9+'Inputs'!$B$10))/SQRT(((A181+'Inputs'!$B$21+'Inputs'!$B$9+'Inputs'!$B$10))^2+('Inputs'!$B$6/2)^2))))*'Results'!$B$8*'Results'!$B$9),""),"")</x:f>
        <x:v>0.5071316515732123</x:v>
      </x:c>
      <x:c r="D181" s="18" t="n">
        <x:f>IF('Results'!$B$6="Inputs accepted",'Results'!B12,"")</x:f>
        <x:v>112.38228018798189</x:v>
      </x:c>
      <x:c r="E181" s="18" t="n">
        <x:f>IF('Results'!$B$6="Inputs accepted",'Results'!C12,"")</x:f>
        <x:v>119.21786205905865</x:v>
      </x:c>
      <x:c r="F181" s="18" t="n">
        <x:f>IF('Results'!$B$6="Inputs accepted",'Results'!B14,"")</x:f>
        <x:v>66.9055158034782</x:v>
      </x:c>
      <x:c r="G181" s="18" t="n">
        <x:f>IF('Results'!$B$6="Inputs accepted",'Results'!C14,"")</x:f>
        <x:v>70.64020731289524</x:v>
      </x:c>
      <x:c r="H181" s="2"/>
      <x:c r="I181" s="2"/>
      <x:c r="J181" s="2"/>
      <x:c r="K181" s="2"/>
      <x:c r="L181" s="2"/>
    </x:row>
    <x:row r="182" ht="22" customHeight="1">
      <x:c r="A182" s="18" t="n">
        <x:f>(182-5)*'Inputs'!$B$33/200</x:f>
        <x:v>35.4</x:v>
      </x:c>
      <x:c r="B182" s="18" t="n">
        <x:f>IF('Results'!$B$6="Inputs accepted",IF(AND(ISNUMBER('Results'!B7),ISNUMBER('Results'!C7),ISNUMBER('Results'!$B$8),ISNUMBER('Results'!$B$9),ISNUMBER('Inputs'!$B$6),ISNUMBER('Inputs'!$B$7),ISNUMBER('Inputs'!$B$8),ISNUMBER('Inputs'!$B$9),ISNUMBER('Inputs'!$B$10),ISNUMBER('Inputs'!$B$21),ISNUMBER('Inputs'!$B$24),ISNUMBER('Inputs'!$B$28)),(('Results'!B7*(0.5*(((A182+'Inputs'!$B$21)+'Inputs'!$B$7)/SQRT(((A182+'Inputs'!$B$21)+'Inputs'!$B$7)^2+('Inputs'!$B$6/2)^2)-((A182+'Inputs'!$B$21))/SQRT(((A182+'Inputs'!$B$21))^2+('Inputs'!$B$6/2)^2)))-'Results'!C7*(0.5*(((A182+'Inputs'!$B$21+'Inputs'!$B$7+'Inputs'!$B$10)+'Inputs'!$B$9)/SQRT(((A182+'Inputs'!$B$21+'Inputs'!$B$7+'Inputs'!$B$10)+'Inputs'!$B$9)^2+('Inputs'!$B$8/2)^2)-((A182+'Inputs'!$B$21+'Inputs'!$B$7+'Inputs'!$B$10))/SQRT(((A182+'Inputs'!$B$21+'Inputs'!$B$7+'Inputs'!$B$10))^2+('Inputs'!$B$8/2)^2))))*'Results'!$B$8*'Results'!$B$9),""),"")</x:f>
        <x:v>0.5569944882361272</x:v>
      </x:c>
      <x:c r="C182" s="18" t="n">
        <x:f>IF('Results'!$B$6="Inputs accepted",IF(AND(ISNUMBER('Results'!C7),ISNUMBER('Results'!B7),ISNUMBER('Results'!$B$8),ISNUMBER('Results'!$B$9),ISNUMBER('Inputs'!$B$6),ISNUMBER('Inputs'!$B$7),ISNUMBER('Inputs'!$B$8),ISNUMBER('Inputs'!$B$9),ISNUMBER('Inputs'!$B$10),ISNUMBER('Inputs'!$B$21),ISNUMBER('Inputs'!$B$24),ISNUMBER('Inputs'!$B$28)),(('Results'!C7*(0.5*(((A182+'Inputs'!$B$21)+'Inputs'!$B$9)/SQRT(((A182+'Inputs'!$B$21)+'Inputs'!$B$9)^2+('Inputs'!$B$8/2)^2)-((A182+'Inputs'!$B$21))/SQRT(((A182+'Inputs'!$B$21))^2+('Inputs'!$B$8/2)^2)))-'Results'!B7*(0.5*(((A182+'Inputs'!$B$21+'Inputs'!$B$9+'Inputs'!$B$10)+'Inputs'!$B$7)/SQRT(((A182+'Inputs'!$B$21+'Inputs'!$B$9+'Inputs'!$B$10)+'Inputs'!$B$7)^2+('Inputs'!$B$6/2)^2)-((A182+'Inputs'!$B$21+'Inputs'!$B$9+'Inputs'!$B$10))/SQRT(((A182+'Inputs'!$B$21+'Inputs'!$B$9+'Inputs'!$B$10))^2+('Inputs'!$B$6/2)^2))))*'Results'!$B$8*'Results'!$B$9),""),"")</x:f>
        <x:v>0.49654122299716613</x:v>
      </x:c>
      <x:c r="D182" s="18" t="n">
        <x:f>IF('Results'!$B$6="Inputs accepted",'Results'!B12,"")</x:f>
        <x:v>112.38228018798189</x:v>
      </x:c>
      <x:c r="E182" s="18" t="n">
        <x:f>IF('Results'!$B$6="Inputs accepted",'Results'!C12,"")</x:f>
        <x:v>119.21786205905865</x:v>
      </x:c>
      <x:c r="F182" s="18" t="n">
        <x:f>IF('Results'!$B$6="Inputs accepted",'Results'!B14,"")</x:f>
        <x:v>66.9055158034782</x:v>
      </x:c>
      <x:c r="G182" s="18" t="n">
        <x:f>IF('Results'!$B$6="Inputs accepted",'Results'!C14,"")</x:f>
        <x:v>70.64020731289524</x:v>
      </x:c>
      <x:c r="H182" s="2"/>
      <x:c r="I182" s="2"/>
      <x:c r="J182" s="2"/>
      <x:c r="K182" s="2"/>
      <x:c r="L182" s="2"/>
    </x:row>
    <x:row r="183" ht="22" customHeight="1">
      <x:c r="A183" s="18" t="n">
        <x:f>(183-5)*'Inputs'!$B$33/200</x:f>
        <x:v>35.6</x:v>
      </x:c>
      <x:c r="B183" s="18" t="n">
        <x:f>IF('Results'!$B$6="Inputs accepted",IF(AND(ISNUMBER('Results'!B7),ISNUMBER('Results'!C7),ISNUMBER('Results'!$B$8),ISNUMBER('Results'!$B$9),ISNUMBER('Inputs'!$B$6),ISNUMBER('Inputs'!$B$7),ISNUMBER('Inputs'!$B$8),ISNUMBER('Inputs'!$B$9),ISNUMBER('Inputs'!$B$10),ISNUMBER('Inputs'!$B$21),ISNUMBER('Inputs'!$B$24),ISNUMBER('Inputs'!$B$28)),(('Results'!B7*(0.5*(((A183+'Inputs'!$B$21)+'Inputs'!$B$7)/SQRT(((A183+'Inputs'!$B$21)+'Inputs'!$B$7)^2+('Inputs'!$B$6/2)^2)-((A183+'Inputs'!$B$21))/SQRT(((A183+'Inputs'!$B$21))^2+('Inputs'!$B$6/2)^2)))-'Results'!C7*(0.5*(((A183+'Inputs'!$B$21+'Inputs'!$B$7+'Inputs'!$B$10)+'Inputs'!$B$9)/SQRT(((A183+'Inputs'!$B$21+'Inputs'!$B$7+'Inputs'!$B$10)+'Inputs'!$B$9)^2+('Inputs'!$B$8/2)^2)-((A183+'Inputs'!$B$21+'Inputs'!$B$7+'Inputs'!$B$10))/SQRT(((A183+'Inputs'!$B$21+'Inputs'!$B$7+'Inputs'!$B$10))^2+('Inputs'!$B$8/2)^2))))*'Results'!$B$8*'Results'!$B$9),""),"")</x:f>
        <x:v>0.5457376494754035</x:v>
      </x:c>
      <x:c r="C183" s="18" t="n">
        <x:f>IF('Results'!$B$6="Inputs accepted",IF(AND(ISNUMBER('Results'!C7),ISNUMBER('Results'!B7),ISNUMBER('Results'!$B$8),ISNUMBER('Results'!$B$9),ISNUMBER('Inputs'!$B$6),ISNUMBER('Inputs'!$B$7),ISNUMBER('Inputs'!$B$8),ISNUMBER('Inputs'!$B$9),ISNUMBER('Inputs'!$B$10),ISNUMBER('Inputs'!$B$21),ISNUMBER('Inputs'!$B$24),ISNUMBER('Inputs'!$B$28)),(('Results'!C7*(0.5*(((A183+'Inputs'!$B$21)+'Inputs'!$B$9)/SQRT(((A183+'Inputs'!$B$21)+'Inputs'!$B$9)^2+('Inputs'!$B$8/2)^2)-((A183+'Inputs'!$B$21))/SQRT(((A183+'Inputs'!$B$21))^2+('Inputs'!$B$8/2)^2)))-'Results'!B7*(0.5*(((A183+'Inputs'!$B$21+'Inputs'!$B$9+'Inputs'!$B$10)+'Inputs'!$B$7)/SQRT(((A183+'Inputs'!$B$21+'Inputs'!$B$9+'Inputs'!$B$10)+'Inputs'!$B$7)^2+('Inputs'!$B$6/2)^2)-((A183+'Inputs'!$B$21+'Inputs'!$B$9+'Inputs'!$B$10))/SQRT(((A183+'Inputs'!$B$21+'Inputs'!$B$9+'Inputs'!$B$10))^2+('Inputs'!$B$6/2)^2))))*'Results'!$B$8*'Results'!$B$9),""),"")</x:f>
        <x:v>0.486224065304606</x:v>
      </x:c>
      <x:c r="D183" s="18" t="n">
        <x:f>IF('Results'!$B$6="Inputs accepted",'Results'!B12,"")</x:f>
        <x:v>112.38228018798189</x:v>
      </x:c>
      <x:c r="E183" s="18" t="n">
        <x:f>IF('Results'!$B$6="Inputs accepted",'Results'!C12,"")</x:f>
        <x:v>119.21786205905865</x:v>
      </x:c>
      <x:c r="F183" s="18" t="n">
        <x:f>IF('Results'!$B$6="Inputs accepted",'Results'!B14,"")</x:f>
        <x:v>66.9055158034782</x:v>
      </x:c>
      <x:c r="G183" s="18" t="n">
        <x:f>IF('Results'!$B$6="Inputs accepted",'Results'!C14,"")</x:f>
        <x:v>70.64020731289524</x:v>
      </x:c>
      <x:c r="H183" s="2"/>
      <x:c r="I183" s="2"/>
      <x:c r="J183" s="2"/>
      <x:c r="K183" s="2"/>
      <x:c r="L183" s="2"/>
    </x:row>
    <x:row r="184" ht="22" customHeight="1">
      <x:c r="A184" s="18" t="n">
        <x:f>(184-5)*'Inputs'!$B$33/200</x:f>
        <x:v>35.8</x:v>
      </x:c>
      <x:c r="B184" s="18" t="n">
        <x:f>IF('Results'!$B$6="Inputs accepted",IF(AND(ISNUMBER('Results'!B7),ISNUMBER('Results'!C7),ISNUMBER('Results'!$B$8),ISNUMBER('Results'!$B$9),ISNUMBER('Inputs'!$B$6),ISNUMBER('Inputs'!$B$7),ISNUMBER('Inputs'!$B$8),ISNUMBER('Inputs'!$B$9),ISNUMBER('Inputs'!$B$10),ISNUMBER('Inputs'!$B$21),ISNUMBER('Inputs'!$B$24),ISNUMBER('Inputs'!$B$28)),(('Results'!B7*(0.5*(((A184+'Inputs'!$B$21)+'Inputs'!$B$7)/SQRT(((A184+'Inputs'!$B$21)+'Inputs'!$B$7)^2+('Inputs'!$B$6/2)^2)-((A184+'Inputs'!$B$21))/SQRT(((A184+'Inputs'!$B$21))^2+('Inputs'!$B$6/2)^2)))-'Results'!C7*(0.5*(((A184+'Inputs'!$B$21+'Inputs'!$B$7+'Inputs'!$B$10)+'Inputs'!$B$9)/SQRT(((A184+'Inputs'!$B$21+'Inputs'!$B$7+'Inputs'!$B$10)+'Inputs'!$B$9)^2+('Inputs'!$B$8/2)^2)-((A184+'Inputs'!$B$21+'Inputs'!$B$7+'Inputs'!$B$10))/SQRT(((A184+'Inputs'!$B$21+'Inputs'!$B$7+'Inputs'!$B$10))^2+('Inputs'!$B$8/2)^2))))*'Results'!$B$8*'Results'!$B$9),""),"")</x:f>
        <x:v>0.5347650974404309</x:v>
      </x:c>
      <x:c r="C184" s="18" t="n">
        <x:f>IF('Results'!$B$6="Inputs accepted",IF(AND(ISNUMBER('Results'!C7),ISNUMBER('Results'!B7),ISNUMBER('Results'!$B$8),ISNUMBER('Results'!$B$9),ISNUMBER('Inputs'!$B$6),ISNUMBER('Inputs'!$B$7),ISNUMBER('Inputs'!$B$8),ISNUMBER('Inputs'!$B$9),ISNUMBER('Inputs'!$B$10),ISNUMBER('Inputs'!$B$21),ISNUMBER('Inputs'!$B$24),ISNUMBER('Inputs'!$B$28)),(('Results'!C7*(0.5*(((A184+'Inputs'!$B$21)+'Inputs'!$B$9)/SQRT(((A184+'Inputs'!$B$21)+'Inputs'!$B$9)^2+('Inputs'!$B$8/2)^2)-((A184+'Inputs'!$B$21))/SQRT(((A184+'Inputs'!$B$21))^2+('Inputs'!$B$8/2)^2)))-'Results'!B7*(0.5*(((A184+'Inputs'!$B$21+'Inputs'!$B$9+'Inputs'!$B$10)+'Inputs'!$B$7)/SQRT(((A184+'Inputs'!$B$21+'Inputs'!$B$9+'Inputs'!$B$10)+'Inputs'!$B$7)^2+('Inputs'!$B$6/2)^2)-((A184+'Inputs'!$B$21+'Inputs'!$B$9+'Inputs'!$B$10))/SQRT(((A184+'Inputs'!$B$21+'Inputs'!$B$9+'Inputs'!$B$10))^2+('Inputs'!$B$6/2)^2))))*'Results'!$B$8*'Results'!$B$9),""),"")</x:f>
        <x:v>0.47617178875352484</x:v>
      </x:c>
      <x:c r="D184" s="18" t="n">
        <x:f>IF('Results'!$B$6="Inputs accepted",'Results'!B12,"")</x:f>
        <x:v>112.38228018798189</x:v>
      </x:c>
      <x:c r="E184" s="18" t="n">
        <x:f>IF('Results'!$B$6="Inputs accepted",'Results'!C12,"")</x:f>
        <x:v>119.21786205905865</x:v>
      </x:c>
      <x:c r="F184" s="18" t="n">
        <x:f>IF('Results'!$B$6="Inputs accepted",'Results'!B14,"")</x:f>
        <x:v>66.9055158034782</x:v>
      </x:c>
      <x:c r="G184" s="18" t="n">
        <x:f>IF('Results'!$B$6="Inputs accepted",'Results'!C14,"")</x:f>
        <x:v>70.64020731289524</x:v>
      </x:c>
      <x:c r="H184" s="2"/>
      <x:c r="I184" s="2"/>
      <x:c r="J184" s="2"/>
      <x:c r="K184" s="2"/>
      <x:c r="L184" s="2"/>
    </x:row>
    <x:row r="185" ht="22" customHeight="1">
      <x:c r="A185" s="18" t="n">
        <x:f>(185-5)*'Inputs'!$B$33/200</x:f>
        <x:v>36</x:v>
      </x:c>
      <x:c r="B185" s="18" t="n">
        <x:f>IF('Results'!$B$6="Inputs accepted",IF(AND(ISNUMBER('Results'!B7),ISNUMBER('Results'!C7),ISNUMBER('Results'!$B$8),ISNUMBER('Results'!$B$9),ISNUMBER('Inputs'!$B$6),ISNUMBER('Inputs'!$B$7),ISNUMBER('Inputs'!$B$8),ISNUMBER('Inputs'!$B$9),ISNUMBER('Inputs'!$B$10),ISNUMBER('Inputs'!$B$21),ISNUMBER('Inputs'!$B$24),ISNUMBER('Inputs'!$B$28)),(('Results'!B7*(0.5*(((A185+'Inputs'!$B$21)+'Inputs'!$B$7)/SQRT(((A185+'Inputs'!$B$21)+'Inputs'!$B$7)^2+('Inputs'!$B$6/2)^2)-((A185+'Inputs'!$B$21))/SQRT(((A185+'Inputs'!$B$21))^2+('Inputs'!$B$6/2)^2)))-'Results'!C7*(0.5*(((A185+'Inputs'!$B$21+'Inputs'!$B$7+'Inputs'!$B$10)+'Inputs'!$B$9)/SQRT(((A185+'Inputs'!$B$21+'Inputs'!$B$7+'Inputs'!$B$10)+'Inputs'!$B$9)^2+('Inputs'!$B$8/2)^2)-((A185+'Inputs'!$B$21+'Inputs'!$B$7+'Inputs'!$B$10))/SQRT(((A185+'Inputs'!$B$21+'Inputs'!$B$7+'Inputs'!$B$10))^2+('Inputs'!$B$8/2)^2))))*'Results'!$B$8*'Results'!$B$9),""),"")</x:f>
        <x:v>0.5240682416427578</x:v>
      </x:c>
      <x:c r="C185" s="18" t="n">
        <x:f>IF('Results'!$B$6="Inputs accepted",IF(AND(ISNUMBER('Results'!C7),ISNUMBER('Results'!B7),ISNUMBER('Results'!$B$8),ISNUMBER('Results'!$B$9),ISNUMBER('Inputs'!$B$6),ISNUMBER('Inputs'!$B$7),ISNUMBER('Inputs'!$B$8),ISNUMBER('Inputs'!$B$9),ISNUMBER('Inputs'!$B$10),ISNUMBER('Inputs'!$B$21),ISNUMBER('Inputs'!$B$24),ISNUMBER('Inputs'!$B$28)),(('Results'!C7*(0.5*(((A185+'Inputs'!$B$21)+'Inputs'!$B$9)/SQRT(((A185+'Inputs'!$B$21)+'Inputs'!$B$9)^2+('Inputs'!$B$8/2)^2)-((A185+'Inputs'!$B$21))/SQRT(((A185+'Inputs'!$B$21))^2+('Inputs'!$B$8/2)^2)))-'Results'!B7*(0.5*(((A185+'Inputs'!$B$21+'Inputs'!$B$9+'Inputs'!$B$10)+'Inputs'!$B$7)/SQRT(((A185+'Inputs'!$B$21+'Inputs'!$B$9+'Inputs'!$B$10)+'Inputs'!$B$7)^2+('Inputs'!$B$6/2)^2)-((A185+'Inputs'!$B$21+'Inputs'!$B$9+'Inputs'!$B$10))/SQRT(((A185+'Inputs'!$B$21+'Inputs'!$B$9+'Inputs'!$B$10))^2+('Inputs'!$B$6/2)^2))))*'Results'!$B$8*'Results'!$B$9),""),"")</x:f>
        <x:v>0.4663763019393606</x:v>
      </x:c>
      <x:c r="D185" s="18" t="n">
        <x:f>IF('Results'!$B$6="Inputs accepted",'Results'!B12,"")</x:f>
        <x:v>112.38228018798189</x:v>
      </x:c>
      <x:c r="E185" s="18" t="n">
        <x:f>IF('Results'!$B$6="Inputs accepted",'Results'!C12,"")</x:f>
        <x:v>119.21786205905865</x:v>
      </x:c>
      <x:c r="F185" s="18" t="n">
        <x:f>IF('Results'!$B$6="Inputs accepted",'Results'!B14,"")</x:f>
        <x:v>66.9055158034782</x:v>
      </x:c>
      <x:c r="G185" s="18" t="n">
        <x:f>IF('Results'!$B$6="Inputs accepted",'Results'!C14,"")</x:f>
        <x:v>70.64020731289524</x:v>
      </x:c>
      <x:c r="H185" s="2"/>
      <x:c r="I185" s="2"/>
      <x:c r="J185" s="2"/>
      <x:c r="K185" s="2"/>
      <x:c r="L185" s="2"/>
    </x:row>
    <x:row r="186" ht="22" customHeight="1">
      <x:c r="A186" s="18" t="n">
        <x:f>(186-5)*'Inputs'!$B$33/200</x:f>
        <x:v>36.2</x:v>
      </x:c>
      <x:c r="B186" s="18" t="n">
        <x:f>IF('Results'!$B$6="Inputs accepted",IF(AND(ISNUMBER('Results'!B7),ISNUMBER('Results'!C7),ISNUMBER('Results'!$B$8),ISNUMBER('Results'!$B$9),ISNUMBER('Inputs'!$B$6),ISNUMBER('Inputs'!$B$7),ISNUMBER('Inputs'!$B$8),ISNUMBER('Inputs'!$B$9),ISNUMBER('Inputs'!$B$10),ISNUMBER('Inputs'!$B$21),ISNUMBER('Inputs'!$B$24),ISNUMBER('Inputs'!$B$28)),(('Results'!B7*(0.5*(((A186+'Inputs'!$B$21)+'Inputs'!$B$7)/SQRT(((A186+'Inputs'!$B$21)+'Inputs'!$B$7)^2+('Inputs'!$B$6/2)^2)-((A186+'Inputs'!$B$21))/SQRT(((A186+'Inputs'!$B$21))^2+('Inputs'!$B$6/2)^2)))-'Results'!C7*(0.5*(((A186+'Inputs'!$B$21+'Inputs'!$B$7+'Inputs'!$B$10)+'Inputs'!$B$9)/SQRT(((A186+'Inputs'!$B$21+'Inputs'!$B$7+'Inputs'!$B$10)+'Inputs'!$B$9)^2+('Inputs'!$B$8/2)^2)-((A186+'Inputs'!$B$21+'Inputs'!$B$7+'Inputs'!$B$10))/SQRT(((A186+'Inputs'!$B$21+'Inputs'!$B$7+'Inputs'!$B$10))^2+('Inputs'!$B$8/2)^2))))*'Results'!$B$8*'Results'!$B$9),""),"")</x:f>
        <x:v>0.5136387932251982</x:v>
      </x:c>
      <x:c r="C186" s="18" t="n">
        <x:f>IF('Results'!$B$6="Inputs accepted",IF(AND(ISNUMBER('Results'!C7),ISNUMBER('Results'!B7),ISNUMBER('Results'!$B$8),ISNUMBER('Results'!$B$9),ISNUMBER('Inputs'!$B$6),ISNUMBER('Inputs'!$B$7),ISNUMBER('Inputs'!$B$8),ISNUMBER('Inputs'!$B$9),ISNUMBER('Inputs'!$B$10),ISNUMBER('Inputs'!$B$21),ISNUMBER('Inputs'!$B$24),ISNUMBER('Inputs'!$B$28)),(('Results'!C7*(0.5*(((A186+'Inputs'!$B$21)+'Inputs'!$B$9)/SQRT(((A186+'Inputs'!$B$21)+'Inputs'!$B$9)^2+('Inputs'!$B$8/2)^2)-((A186+'Inputs'!$B$21))/SQRT(((A186+'Inputs'!$B$21))^2+('Inputs'!$B$8/2)^2)))-'Results'!B7*(0.5*(((A186+'Inputs'!$B$21+'Inputs'!$B$9+'Inputs'!$B$10)+'Inputs'!$B$7)/SQRT(((A186+'Inputs'!$B$21+'Inputs'!$B$9+'Inputs'!$B$10)+'Inputs'!$B$7)^2+('Inputs'!$B$6/2)^2)-((A186+'Inputs'!$B$21+'Inputs'!$B$9+'Inputs'!$B$10))/SQRT(((A186+'Inputs'!$B$21+'Inputs'!$B$9+'Inputs'!$B$10))^2+('Inputs'!$B$6/2)^2))))*'Results'!$B$8*'Results'!$B$9),""),"")</x:f>
        <x:v>0.4568297997453199</x:v>
      </x:c>
      <x:c r="D186" s="18" t="n">
        <x:f>IF('Results'!$B$6="Inputs accepted",'Results'!B12,"")</x:f>
        <x:v>112.38228018798189</x:v>
      </x:c>
      <x:c r="E186" s="18" t="n">
        <x:f>IF('Results'!$B$6="Inputs accepted",'Results'!C12,"")</x:f>
        <x:v>119.21786205905865</x:v>
      </x:c>
      <x:c r="F186" s="18" t="n">
        <x:f>IF('Results'!$B$6="Inputs accepted",'Results'!B14,"")</x:f>
        <x:v>66.9055158034782</x:v>
      </x:c>
      <x:c r="G186" s="18" t="n">
        <x:f>IF('Results'!$B$6="Inputs accepted",'Results'!C14,"")</x:f>
        <x:v>70.64020731289524</x:v>
      </x:c>
      <x:c r="H186" s="2"/>
      <x:c r="I186" s="2"/>
      <x:c r="J186" s="2"/>
      <x:c r="K186" s="2"/>
      <x:c r="L186" s="2"/>
    </x:row>
    <x:row r="187" ht="22" customHeight="1">
      <x:c r="A187" s="18" t="n">
        <x:f>(187-5)*'Inputs'!$B$33/200</x:f>
        <x:v>36.4</x:v>
      </x:c>
      <x:c r="B187" s="18" t="n">
        <x:f>IF('Results'!$B$6="Inputs accepted",IF(AND(ISNUMBER('Results'!B7),ISNUMBER('Results'!C7),ISNUMBER('Results'!$B$8),ISNUMBER('Results'!$B$9),ISNUMBER('Inputs'!$B$6),ISNUMBER('Inputs'!$B$7),ISNUMBER('Inputs'!$B$8),ISNUMBER('Inputs'!$B$9),ISNUMBER('Inputs'!$B$10),ISNUMBER('Inputs'!$B$21),ISNUMBER('Inputs'!$B$24),ISNUMBER('Inputs'!$B$28)),(('Results'!B7*(0.5*(((A187+'Inputs'!$B$21)+'Inputs'!$B$7)/SQRT(((A187+'Inputs'!$B$21)+'Inputs'!$B$7)^2+('Inputs'!$B$6/2)^2)-((A187+'Inputs'!$B$21))/SQRT(((A187+'Inputs'!$B$21))^2+('Inputs'!$B$6/2)^2)))-'Results'!C7*(0.5*(((A187+'Inputs'!$B$21+'Inputs'!$B$7+'Inputs'!$B$10)+'Inputs'!$B$9)/SQRT(((A187+'Inputs'!$B$21+'Inputs'!$B$7+'Inputs'!$B$10)+'Inputs'!$B$9)^2+('Inputs'!$B$8/2)^2)-((A187+'Inputs'!$B$21+'Inputs'!$B$7+'Inputs'!$B$10))/SQRT(((A187+'Inputs'!$B$21+'Inputs'!$B$7+'Inputs'!$B$10))^2+('Inputs'!$B$8/2)^2))))*'Results'!$B$8*'Results'!$B$9),""),"")</x:f>
        <x:v>0.5034687529026891</x:v>
      </x:c>
      <x:c r="C187" s="18" t="n">
        <x:f>IF('Results'!$B$6="Inputs accepted",IF(AND(ISNUMBER('Results'!C7),ISNUMBER('Results'!B7),ISNUMBER('Results'!$B$8),ISNUMBER('Results'!$B$9),ISNUMBER('Inputs'!$B$6),ISNUMBER('Inputs'!$B$7),ISNUMBER('Inputs'!$B$8),ISNUMBER('Inputs'!$B$9),ISNUMBER('Inputs'!$B$10),ISNUMBER('Inputs'!$B$21),ISNUMBER('Inputs'!$B$24),ISNUMBER('Inputs'!$B$28)),(('Results'!C7*(0.5*(((A187+'Inputs'!$B$21)+'Inputs'!$B$9)/SQRT(((A187+'Inputs'!$B$21)+'Inputs'!$B$9)^2+('Inputs'!$B$8/2)^2)-((A187+'Inputs'!$B$21))/SQRT(((A187+'Inputs'!$B$21))^2+('Inputs'!$B$8/2)^2)))-'Results'!B7*(0.5*(((A187+'Inputs'!$B$21+'Inputs'!$B$9+'Inputs'!$B$10)+'Inputs'!$B$7)/SQRT(((A187+'Inputs'!$B$21+'Inputs'!$B$9+'Inputs'!$B$10)+'Inputs'!$B$7)^2+('Inputs'!$B$6/2)^2)-((A187+'Inputs'!$B$21+'Inputs'!$B$9+'Inputs'!$B$10))/SQRT(((A187+'Inputs'!$B$21+'Inputs'!$B$9+'Inputs'!$B$10))^2+('Inputs'!$B$6/2)^2))))*'Results'!$B$8*'Results'!$B$9),""),"")</x:f>
        <x:v>0.44752475183099183</x:v>
      </x:c>
      <x:c r="D187" s="18" t="n">
        <x:f>IF('Results'!$B$6="Inputs accepted",'Results'!B12,"")</x:f>
        <x:v>112.38228018798189</x:v>
      </x:c>
      <x:c r="E187" s="18" t="n">
        <x:f>IF('Results'!$B$6="Inputs accepted",'Results'!C12,"")</x:f>
        <x:v>119.21786205905865</x:v>
      </x:c>
      <x:c r="F187" s="18" t="n">
        <x:f>IF('Results'!$B$6="Inputs accepted",'Results'!B14,"")</x:f>
        <x:v>66.9055158034782</x:v>
      </x:c>
      <x:c r="G187" s="18" t="n">
        <x:f>IF('Results'!$B$6="Inputs accepted",'Results'!C14,"")</x:f>
        <x:v>70.64020731289524</x:v>
      </x:c>
      <x:c r="H187" s="2"/>
      <x:c r="I187" s="2"/>
      <x:c r="J187" s="2"/>
      <x:c r="K187" s="2"/>
      <x:c r="L187" s="2"/>
    </x:row>
    <x:row r="188" ht="22" customHeight="1">
      <x:c r="A188" s="18" t="n">
        <x:f>(188-5)*'Inputs'!$B$33/200</x:f>
        <x:v>36.6</x:v>
      </x:c>
      <x:c r="B188" s="18" t="n">
        <x:f>IF('Results'!$B$6="Inputs accepted",IF(AND(ISNUMBER('Results'!B7),ISNUMBER('Results'!C7),ISNUMBER('Results'!$B$8),ISNUMBER('Results'!$B$9),ISNUMBER('Inputs'!$B$6),ISNUMBER('Inputs'!$B$7),ISNUMBER('Inputs'!$B$8),ISNUMBER('Inputs'!$B$9),ISNUMBER('Inputs'!$B$10),ISNUMBER('Inputs'!$B$21),ISNUMBER('Inputs'!$B$24),ISNUMBER('Inputs'!$B$28)),(('Results'!B7*(0.5*(((A188+'Inputs'!$B$21)+'Inputs'!$B$7)/SQRT(((A188+'Inputs'!$B$21)+'Inputs'!$B$7)^2+('Inputs'!$B$6/2)^2)-((A188+'Inputs'!$B$21))/SQRT(((A188+'Inputs'!$B$21))^2+('Inputs'!$B$6/2)^2)))-'Results'!C7*(0.5*(((A188+'Inputs'!$B$21+'Inputs'!$B$7+'Inputs'!$B$10)+'Inputs'!$B$9)/SQRT(((A188+'Inputs'!$B$21+'Inputs'!$B$7+'Inputs'!$B$10)+'Inputs'!$B$9)^2+('Inputs'!$B$8/2)^2)-((A188+'Inputs'!$B$21+'Inputs'!$B$7+'Inputs'!$B$10))/SQRT(((A188+'Inputs'!$B$21+'Inputs'!$B$7+'Inputs'!$B$10))^2+('Inputs'!$B$8/2)^2))))*'Results'!$B$8*'Results'!$B$9),""),"")</x:f>
        <x:v>0.49355039947903007</x:v>
      </x:c>
      <x:c r="C188" s="18" t="n">
        <x:f>IF('Results'!$B$6="Inputs accepted",IF(AND(ISNUMBER('Results'!C7),ISNUMBER('Results'!B7),ISNUMBER('Results'!$B$8),ISNUMBER('Results'!$B$9),ISNUMBER('Inputs'!$B$6),ISNUMBER('Inputs'!$B$7),ISNUMBER('Inputs'!$B$8),ISNUMBER('Inputs'!$B$9),ISNUMBER('Inputs'!$B$10),ISNUMBER('Inputs'!$B$21),ISNUMBER('Inputs'!$B$24),ISNUMBER('Inputs'!$B$28)),(('Results'!C7*(0.5*(((A188+'Inputs'!$B$21)+'Inputs'!$B$9)/SQRT(((A188+'Inputs'!$B$21)+'Inputs'!$B$9)^2+('Inputs'!$B$8/2)^2)-((A188+'Inputs'!$B$21))/SQRT(((A188+'Inputs'!$B$21))^2+('Inputs'!$B$8/2)^2)))-'Results'!B7*(0.5*(((A188+'Inputs'!$B$21+'Inputs'!$B$9+'Inputs'!$B$10)+'Inputs'!$B$7)/SQRT(((A188+'Inputs'!$B$21+'Inputs'!$B$9+'Inputs'!$B$10)+'Inputs'!$B$7)^2+('Inputs'!$B$6/2)^2)-((A188+'Inputs'!$B$21+'Inputs'!$B$9+'Inputs'!$B$10))/SQRT(((A188+'Inputs'!$B$21+'Inputs'!$B$9+'Inputs'!$B$10))^2+('Inputs'!$B$6/2)^2))))*'Results'!$B$8*'Results'!$B$9),""),"")</x:f>
        <x:v>0.438453891675174</x:v>
      </x:c>
      <x:c r="D188" s="18" t="n">
        <x:f>IF('Results'!$B$6="Inputs accepted",'Results'!B12,"")</x:f>
        <x:v>112.38228018798189</x:v>
      </x:c>
      <x:c r="E188" s="18" t="n">
        <x:f>IF('Results'!$B$6="Inputs accepted",'Results'!C12,"")</x:f>
        <x:v>119.21786205905865</x:v>
      </x:c>
      <x:c r="F188" s="18" t="n">
        <x:f>IF('Results'!$B$6="Inputs accepted",'Results'!B14,"")</x:f>
        <x:v>66.9055158034782</x:v>
      </x:c>
      <x:c r="G188" s="18" t="n">
        <x:f>IF('Results'!$B$6="Inputs accepted",'Results'!C14,"")</x:f>
        <x:v>70.64020731289524</x:v>
      </x:c>
      <x:c r="H188" s="2"/>
      <x:c r="I188" s="2"/>
      <x:c r="J188" s="2"/>
      <x:c r="K188" s="2"/>
      <x:c r="L188" s="2"/>
    </x:row>
    <x:row r="189" ht="22" customHeight="1">
      <x:c r="A189" s="18" t="n">
        <x:f>(189-5)*'Inputs'!$B$33/200</x:f>
        <x:v>36.8</x:v>
      </x:c>
      <x:c r="B189" s="18" t="n">
        <x:f>IF('Results'!$B$6="Inputs accepted",IF(AND(ISNUMBER('Results'!B7),ISNUMBER('Results'!C7),ISNUMBER('Results'!$B$8),ISNUMBER('Results'!$B$9),ISNUMBER('Inputs'!$B$6),ISNUMBER('Inputs'!$B$7),ISNUMBER('Inputs'!$B$8),ISNUMBER('Inputs'!$B$9),ISNUMBER('Inputs'!$B$10),ISNUMBER('Inputs'!$B$21),ISNUMBER('Inputs'!$B$24),ISNUMBER('Inputs'!$B$28)),(('Results'!B7*(0.5*(((A189+'Inputs'!$B$21)+'Inputs'!$B$7)/SQRT(((A189+'Inputs'!$B$21)+'Inputs'!$B$7)^2+('Inputs'!$B$6/2)^2)-((A189+'Inputs'!$B$21))/SQRT(((A189+'Inputs'!$B$21))^2+('Inputs'!$B$6/2)^2)))-'Results'!C7*(0.5*(((A189+'Inputs'!$B$21+'Inputs'!$B$7+'Inputs'!$B$10)+'Inputs'!$B$9)/SQRT(((A189+'Inputs'!$B$21+'Inputs'!$B$7+'Inputs'!$B$10)+'Inputs'!$B$9)^2+('Inputs'!$B$8/2)^2)-((A189+'Inputs'!$B$21+'Inputs'!$B$7+'Inputs'!$B$10))/SQRT(((A189+'Inputs'!$B$21+'Inputs'!$B$7+'Inputs'!$B$10))^2+('Inputs'!$B$8/2)^2))))*'Results'!$B$8*'Results'!$B$9),""),"")</x:f>
        <x:v>0.4838762788218787</x:v>
      </x:c>
      <x:c r="C189" s="18" t="n">
        <x:f>IF('Results'!$B$6="Inputs accepted",IF(AND(ISNUMBER('Results'!C7),ISNUMBER('Results'!B7),ISNUMBER('Results'!$B$8),ISNUMBER('Results'!$B$9),ISNUMBER('Inputs'!$B$6),ISNUMBER('Inputs'!$B$7),ISNUMBER('Inputs'!$B$8),ISNUMBER('Inputs'!$B$9),ISNUMBER('Inputs'!$B$10),ISNUMBER('Inputs'!$B$21),ISNUMBER('Inputs'!$B$24),ISNUMBER('Inputs'!$B$28)),(('Results'!C7*(0.5*(((A189+'Inputs'!$B$21)+'Inputs'!$B$9)/SQRT(((A189+'Inputs'!$B$21)+'Inputs'!$B$9)^2+('Inputs'!$B$8/2)^2)-((A189+'Inputs'!$B$21))/SQRT(((A189+'Inputs'!$B$21))^2+('Inputs'!$B$8/2)^2)))-'Results'!B7*(0.5*(((A189+'Inputs'!$B$21+'Inputs'!$B$9+'Inputs'!$B$10)+'Inputs'!$B$7)/SQRT(((A189+'Inputs'!$B$21+'Inputs'!$B$9+'Inputs'!$B$10)+'Inputs'!$B$7)^2+('Inputs'!$B$6/2)^2)-((A189+'Inputs'!$B$21+'Inputs'!$B$9+'Inputs'!$B$10))/SQRT(((A189+'Inputs'!$B$21+'Inputs'!$B$9+'Inputs'!$B$10))^2+('Inputs'!$B$6/2)^2))))*'Results'!$B$8*'Results'!$B$9),""),"")</x:f>
        <x:v>0.42961020605539063</x:v>
      </x:c>
      <x:c r="D189" s="18" t="n">
        <x:f>IF('Results'!$B$6="Inputs accepted",'Results'!B12,"")</x:f>
        <x:v>112.38228018798189</x:v>
      </x:c>
      <x:c r="E189" s="18" t="n">
        <x:f>IF('Results'!$B$6="Inputs accepted",'Results'!C12,"")</x:f>
        <x:v>119.21786205905865</x:v>
      </x:c>
      <x:c r="F189" s="18" t="n">
        <x:f>IF('Results'!$B$6="Inputs accepted",'Results'!B14,"")</x:f>
        <x:v>66.9055158034782</x:v>
      </x:c>
      <x:c r="G189" s="18" t="n">
        <x:f>IF('Results'!$B$6="Inputs accepted",'Results'!C14,"")</x:f>
        <x:v>70.64020731289524</x:v>
      </x:c>
      <x:c r="H189" s="2"/>
      <x:c r="I189" s="2"/>
      <x:c r="J189" s="2"/>
      <x:c r="K189" s="2"/>
      <x:c r="L189" s="2"/>
    </x:row>
    <x:row r="190" ht="22" customHeight="1">
      <x:c r="A190" s="18" t="n">
        <x:f>(190-5)*'Inputs'!$B$33/200</x:f>
        <x:v>37</x:v>
      </x:c>
      <x:c r="B190" s="18" t="n">
        <x:f>IF('Results'!$B$6="Inputs accepted",IF(AND(ISNUMBER('Results'!B7),ISNUMBER('Results'!C7),ISNUMBER('Results'!$B$8),ISNUMBER('Results'!$B$9),ISNUMBER('Inputs'!$B$6),ISNUMBER('Inputs'!$B$7),ISNUMBER('Inputs'!$B$8),ISNUMBER('Inputs'!$B$9),ISNUMBER('Inputs'!$B$10),ISNUMBER('Inputs'!$B$21),ISNUMBER('Inputs'!$B$24),ISNUMBER('Inputs'!$B$28)),(('Results'!B7*(0.5*(((A190+'Inputs'!$B$21)+'Inputs'!$B$7)/SQRT(((A190+'Inputs'!$B$21)+'Inputs'!$B$7)^2+('Inputs'!$B$6/2)^2)-((A190+'Inputs'!$B$21))/SQRT(((A190+'Inputs'!$B$21))^2+('Inputs'!$B$6/2)^2)))-'Results'!C7*(0.5*(((A190+'Inputs'!$B$21+'Inputs'!$B$7+'Inputs'!$B$10)+'Inputs'!$B$9)/SQRT(((A190+'Inputs'!$B$21+'Inputs'!$B$7+'Inputs'!$B$10)+'Inputs'!$B$9)^2+('Inputs'!$B$8/2)^2)-((A190+'Inputs'!$B$21+'Inputs'!$B$7+'Inputs'!$B$10))/SQRT(((A190+'Inputs'!$B$21+'Inputs'!$B$7+'Inputs'!$B$10))^2+('Inputs'!$B$8/2)^2))))*'Results'!$B$8*'Results'!$B$9),""),"")</x:f>
        <x:v>0.4744391933667556</x:v>
      </x:c>
      <x:c r="C190" s="18" t="n">
        <x:f>IF('Results'!$B$6="Inputs accepted",IF(AND(ISNUMBER('Results'!C7),ISNUMBER('Results'!B7),ISNUMBER('Results'!$B$8),ISNUMBER('Results'!$B$9),ISNUMBER('Inputs'!$B$6),ISNUMBER('Inputs'!$B$7),ISNUMBER('Inputs'!$B$8),ISNUMBER('Inputs'!$B$9),ISNUMBER('Inputs'!$B$10),ISNUMBER('Inputs'!$B$21),ISNUMBER('Inputs'!$B$24),ISNUMBER('Inputs'!$B$28)),(('Results'!C7*(0.5*(((A190+'Inputs'!$B$21)+'Inputs'!$B$9)/SQRT(((A190+'Inputs'!$B$21)+'Inputs'!$B$9)^2+('Inputs'!$B$8/2)^2)-((A190+'Inputs'!$B$21))/SQRT(((A190+'Inputs'!$B$21))^2+('Inputs'!$B$8/2)^2)))-'Results'!B7*(0.5*(((A190+'Inputs'!$B$21+'Inputs'!$B$9+'Inputs'!$B$10)+'Inputs'!$B$7)/SQRT(((A190+'Inputs'!$B$21+'Inputs'!$B$9+'Inputs'!$B$10)+'Inputs'!$B$7)^2+('Inputs'!$B$6/2)^2)-((A190+'Inputs'!$B$21+'Inputs'!$B$9+'Inputs'!$B$10))/SQRT(((A190+'Inputs'!$B$21+'Inputs'!$B$9+'Inputs'!$B$10))^2+('Inputs'!$B$6/2)^2))))*'Results'!$B$8*'Results'!$B$9),""),"")</x:f>
        <x:v>0.4209869250360805</x:v>
      </x:c>
      <x:c r="D190" s="18" t="n">
        <x:f>IF('Results'!$B$6="Inputs accepted",'Results'!B12,"")</x:f>
        <x:v>112.38228018798189</x:v>
      </x:c>
      <x:c r="E190" s="18" t="n">
        <x:f>IF('Results'!$B$6="Inputs accepted",'Results'!C12,"")</x:f>
        <x:v>119.21786205905865</x:v>
      </x:c>
      <x:c r="F190" s="18" t="n">
        <x:f>IF('Results'!$B$6="Inputs accepted",'Results'!B14,"")</x:f>
        <x:v>66.9055158034782</x:v>
      </x:c>
      <x:c r="G190" s="18" t="n">
        <x:f>IF('Results'!$B$6="Inputs accepted",'Results'!C14,"")</x:f>
        <x:v>70.64020731289524</x:v>
      </x:c>
      <x:c r="H190" s="2"/>
      <x:c r="I190" s="2"/>
      <x:c r="J190" s="2"/>
      <x:c r="K190" s="2"/>
      <x:c r="L190" s="2"/>
    </x:row>
    <x:row r="191" ht="22" customHeight="1">
      <x:c r="A191" s="18" t="n">
        <x:f>(191-5)*'Inputs'!$B$33/200</x:f>
        <x:v>37.2</x:v>
      </x:c>
      <x:c r="B191" s="18" t="n">
        <x:f>IF('Results'!$B$6="Inputs accepted",IF(AND(ISNUMBER('Results'!B7),ISNUMBER('Results'!C7),ISNUMBER('Results'!$B$8),ISNUMBER('Results'!$B$9),ISNUMBER('Inputs'!$B$6),ISNUMBER('Inputs'!$B$7),ISNUMBER('Inputs'!$B$8),ISNUMBER('Inputs'!$B$9),ISNUMBER('Inputs'!$B$10),ISNUMBER('Inputs'!$B$21),ISNUMBER('Inputs'!$B$24),ISNUMBER('Inputs'!$B$28)),(('Results'!B7*(0.5*(((A191+'Inputs'!$B$21)+'Inputs'!$B$7)/SQRT(((A191+'Inputs'!$B$21)+'Inputs'!$B$7)^2+('Inputs'!$B$6/2)^2)-((A191+'Inputs'!$B$21))/SQRT(((A191+'Inputs'!$B$21))^2+('Inputs'!$B$6/2)^2)))-'Results'!C7*(0.5*(((A191+'Inputs'!$B$21+'Inputs'!$B$7+'Inputs'!$B$10)+'Inputs'!$B$9)/SQRT(((A191+'Inputs'!$B$21+'Inputs'!$B$7+'Inputs'!$B$10)+'Inputs'!$B$9)^2+('Inputs'!$B$8/2)^2)-((A191+'Inputs'!$B$21+'Inputs'!$B$7+'Inputs'!$B$10))/SQRT(((A191+'Inputs'!$B$21+'Inputs'!$B$7+'Inputs'!$B$10))^2+('Inputs'!$B$8/2)^2))))*'Results'!$B$8*'Results'!$B$9),""),"")</x:f>
        <x:v>0.46523219206689576</x:v>
      </x:c>
      <x:c r="C191" s="18" t="n">
        <x:f>IF('Results'!$B$6="Inputs accepted",IF(AND(ISNUMBER('Results'!C7),ISNUMBER('Results'!B7),ISNUMBER('Results'!$B$8),ISNUMBER('Results'!$B$9),ISNUMBER('Inputs'!$B$6),ISNUMBER('Inputs'!$B$7),ISNUMBER('Inputs'!$B$8),ISNUMBER('Inputs'!$B$9),ISNUMBER('Inputs'!$B$10),ISNUMBER('Inputs'!$B$21),ISNUMBER('Inputs'!$B$24),ISNUMBER('Inputs'!$B$28)),(('Results'!C7*(0.5*(((A191+'Inputs'!$B$21)+'Inputs'!$B$9)/SQRT(((A191+'Inputs'!$B$21)+'Inputs'!$B$9)^2+('Inputs'!$B$8/2)^2)-((A191+'Inputs'!$B$21))/SQRT(((A191+'Inputs'!$B$21))^2+('Inputs'!$B$8/2)^2)))-'Results'!B7*(0.5*(((A191+'Inputs'!$B$21+'Inputs'!$B$9+'Inputs'!$B$10)+'Inputs'!$B$7)/SQRT(((A191+'Inputs'!$B$21+'Inputs'!$B$9+'Inputs'!$B$10)+'Inputs'!$B$7)^2+('Inputs'!$B$6/2)^2)-((A191+'Inputs'!$B$21+'Inputs'!$B$9+'Inputs'!$B$10))/SQRT(((A191+'Inputs'!$B$21+'Inputs'!$B$9+'Inputs'!$B$10))^2+('Inputs'!$B$6/2)^2))))*'Results'!$B$8*'Results'!$B$9),""),"")</x:f>
        <x:v>0.4125775123836548</x:v>
      </x:c>
      <x:c r="D191" s="18" t="n">
        <x:f>IF('Results'!$B$6="Inputs accepted",'Results'!B12,"")</x:f>
        <x:v>112.38228018798189</x:v>
      </x:c>
      <x:c r="E191" s="18" t="n">
        <x:f>IF('Results'!$B$6="Inputs accepted",'Results'!C12,"")</x:f>
        <x:v>119.21786205905865</x:v>
      </x:c>
      <x:c r="F191" s="18" t="n">
        <x:f>IF('Results'!$B$6="Inputs accepted",'Results'!B14,"")</x:f>
        <x:v>66.9055158034782</x:v>
      </x:c>
      <x:c r="G191" s="18" t="n">
        <x:f>IF('Results'!$B$6="Inputs accepted",'Results'!C14,"")</x:f>
        <x:v>70.64020731289524</x:v>
      </x:c>
      <x:c r="H191" s="2"/>
      <x:c r="I191" s="2"/>
      <x:c r="J191" s="2"/>
      <x:c r="K191" s="2"/>
      <x:c r="L191" s="2"/>
    </x:row>
    <x:row r="192" ht="22" customHeight="1">
      <x:c r="A192" s="18" t="n">
        <x:f>(192-5)*'Inputs'!$B$33/200</x:f>
        <x:v>37.4</x:v>
      </x:c>
      <x:c r="B192" s="18" t="n">
        <x:f>IF('Results'!$B$6="Inputs accepted",IF(AND(ISNUMBER('Results'!B7),ISNUMBER('Results'!C7),ISNUMBER('Results'!$B$8),ISNUMBER('Results'!$B$9),ISNUMBER('Inputs'!$B$6),ISNUMBER('Inputs'!$B$7),ISNUMBER('Inputs'!$B$8),ISNUMBER('Inputs'!$B$9),ISNUMBER('Inputs'!$B$10),ISNUMBER('Inputs'!$B$21),ISNUMBER('Inputs'!$B$24),ISNUMBER('Inputs'!$B$28)),(('Results'!B7*(0.5*(((A192+'Inputs'!$B$21)+'Inputs'!$B$7)/SQRT(((A192+'Inputs'!$B$21)+'Inputs'!$B$7)^2+('Inputs'!$B$6/2)^2)-((A192+'Inputs'!$B$21))/SQRT(((A192+'Inputs'!$B$21))^2+('Inputs'!$B$6/2)^2)))-'Results'!C7*(0.5*(((A192+'Inputs'!$B$21+'Inputs'!$B$7+'Inputs'!$B$10)+'Inputs'!$B$9)/SQRT(((A192+'Inputs'!$B$21+'Inputs'!$B$7+'Inputs'!$B$10)+'Inputs'!$B$9)^2+('Inputs'!$B$8/2)^2)-((A192+'Inputs'!$B$21+'Inputs'!$B$7+'Inputs'!$B$10))/SQRT(((A192+'Inputs'!$B$21+'Inputs'!$B$7+'Inputs'!$B$10))^2+('Inputs'!$B$8/2)^2))))*'Results'!$B$8*'Results'!$B$9),""),"")</x:f>
        <x:v>0.4562485607926507</x:v>
      </x:c>
      <x:c r="C192" s="18" t="n">
        <x:f>IF('Results'!$B$6="Inputs accepted",IF(AND(ISNUMBER('Results'!C7),ISNUMBER('Results'!B7),ISNUMBER('Results'!$B$8),ISNUMBER('Results'!$B$9),ISNUMBER('Inputs'!$B$6),ISNUMBER('Inputs'!$B$7),ISNUMBER('Inputs'!$B$8),ISNUMBER('Inputs'!$B$9),ISNUMBER('Inputs'!$B$10),ISNUMBER('Inputs'!$B$21),ISNUMBER('Inputs'!$B$24),ISNUMBER('Inputs'!$B$28)),(('Results'!C7*(0.5*(((A192+'Inputs'!$B$21)+'Inputs'!$B$9)/SQRT(((A192+'Inputs'!$B$21)+'Inputs'!$B$9)^2+('Inputs'!$B$8/2)^2)-((A192+'Inputs'!$B$21))/SQRT(((A192+'Inputs'!$B$21))^2+('Inputs'!$B$8/2)^2)))-'Results'!B7*(0.5*(((A192+'Inputs'!$B$21+'Inputs'!$B$9+'Inputs'!$B$10)+'Inputs'!$B$7)/SQRT(((A192+'Inputs'!$B$21+'Inputs'!$B$9+'Inputs'!$B$10)+'Inputs'!$B$7)^2+('Inputs'!$B$6/2)^2)-((A192+'Inputs'!$B$21+'Inputs'!$B$9+'Inputs'!$B$10))/SQRT(((A192+'Inputs'!$B$21+'Inputs'!$B$9+'Inputs'!$B$10))^2+('Inputs'!$B$6/2)^2))))*'Results'!$B$8*'Results'!$B$9),""),"")</x:f>
        <x:v>0.40437565641174905</x:v>
      </x:c>
      <x:c r="D192" s="18" t="n">
        <x:f>IF('Results'!$B$6="Inputs accepted",'Results'!B12,"")</x:f>
        <x:v>112.38228018798189</x:v>
      </x:c>
      <x:c r="E192" s="18" t="n">
        <x:f>IF('Results'!$B$6="Inputs accepted",'Results'!C12,"")</x:f>
        <x:v>119.21786205905865</x:v>
      </x:c>
      <x:c r="F192" s="18" t="n">
        <x:f>IF('Results'!$B$6="Inputs accepted",'Results'!B14,"")</x:f>
        <x:v>66.9055158034782</x:v>
      </x:c>
      <x:c r="G192" s="18" t="n">
        <x:f>IF('Results'!$B$6="Inputs accepted",'Results'!C14,"")</x:f>
        <x:v>70.64020731289524</x:v>
      </x:c>
      <x:c r="H192" s="2"/>
      <x:c r="I192" s="2"/>
      <x:c r="J192" s="2"/>
      <x:c r="K192" s="2"/>
      <x:c r="L192" s="2"/>
    </x:row>
    <x:row r="193" ht="22" customHeight="1">
      <x:c r="A193" s="18" t="n">
        <x:f>(193-5)*'Inputs'!$B$33/200</x:f>
        <x:v>37.6</x:v>
      </x:c>
      <x:c r="B193" s="18" t="n">
        <x:f>IF('Results'!$B$6="Inputs accepted",IF(AND(ISNUMBER('Results'!B7),ISNUMBER('Results'!C7),ISNUMBER('Results'!$B$8),ISNUMBER('Results'!$B$9),ISNUMBER('Inputs'!$B$6),ISNUMBER('Inputs'!$B$7),ISNUMBER('Inputs'!$B$8),ISNUMBER('Inputs'!$B$9),ISNUMBER('Inputs'!$B$10),ISNUMBER('Inputs'!$B$21),ISNUMBER('Inputs'!$B$24),ISNUMBER('Inputs'!$B$28)),(('Results'!B7*(0.5*(((A193+'Inputs'!$B$21)+'Inputs'!$B$7)/SQRT(((A193+'Inputs'!$B$21)+'Inputs'!$B$7)^2+('Inputs'!$B$6/2)^2)-((A193+'Inputs'!$B$21))/SQRT(((A193+'Inputs'!$B$21))^2+('Inputs'!$B$6/2)^2)))-'Results'!C7*(0.5*(((A193+'Inputs'!$B$21+'Inputs'!$B$7+'Inputs'!$B$10)+'Inputs'!$B$9)/SQRT(((A193+'Inputs'!$B$21+'Inputs'!$B$7+'Inputs'!$B$10)+'Inputs'!$B$9)^2+('Inputs'!$B$8/2)^2)-((A193+'Inputs'!$B$21+'Inputs'!$B$7+'Inputs'!$B$10))/SQRT(((A193+'Inputs'!$B$21+'Inputs'!$B$7+'Inputs'!$B$10))^2+('Inputs'!$B$8/2)^2))))*'Results'!$B$8*'Results'!$B$9),""),"")</x:f>
        <x:v>0.447481813128162</x:v>
      </x:c>
      <x:c r="C193" s="18" t="n">
        <x:f>IF('Results'!$B$6="Inputs accepted",IF(AND(ISNUMBER('Results'!C7),ISNUMBER('Results'!B7),ISNUMBER('Results'!$B$8),ISNUMBER('Results'!$B$9),ISNUMBER('Inputs'!$B$6),ISNUMBER('Inputs'!$B$7),ISNUMBER('Inputs'!$B$8),ISNUMBER('Inputs'!$B$9),ISNUMBER('Inputs'!$B$10),ISNUMBER('Inputs'!$B$21),ISNUMBER('Inputs'!$B$24),ISNUMBER('Inputs'!$B$28)),(('Results'!C7*(0.5*(((A193+'Inputs'!$B$21)+'Inputs'!$B$9)/SQRT(((A193+'Inputs'!$B$21)+'Inputs'!$B$9)^2+('Inputs'!$B$8/2)^2)-((A193+'Inputs'!$B$21))/SQRT(((A193+'Inputs'!$B$21))^2+('Inputs'!$B$8/2)^2)))-'Results'!B7*(0.5*(((A193+'Inputs'!$B$21+'Inputs'!$B$9+'Inputs'!$B$10)+'Inputs'!$B$7)/SQRT(((A193+'Inputs'!$B$21+'Inputs'!$B$9+'Inputs'!$B$10)+'Inputs'!$B$7)^2+('Inputs'!$B$6/2)^2)-((A193+'Inputs'!$B$21+'Inputs'!$B$9+'Inputs'!$B$10))/SQRT(((A193+'Inputs'!$B$21+'Inputs'!$B$9+'Inputs'!$B$10))^2+('Inputs'!$B$6/2)^2))))*'Results'!$B$8*'Results'!$B$9),""),"")</x:f>
        <x:v>0.39637526120716876</x:v>
      </x:c>
      <x:c r="D193" s="18" t="n">
        <x:f>IF('Results'!$B$6="Inputs accepted",'Results'!B12,"")</x:f>
        <x:v>112.38228018798189</x:v>
      </x:c>
      <x:c r="E193" s="18" t="n">
        <x:f>IF('Results'!$B$6="Inputs accepted",'Results'!C12,"")</x:f>
        <x:v>119.21786205905865</x:v>
      </x:c>
      <x:c r="F193" s="18" t="n">
        <x:f>IF('Results'!$B$6="Inputs accepted",'Results'!B14,"")</x:f>
        <x:v>66.9055158034782</x:v>
      </x:c>
      <x:c r="G193" s="18" t="n">
        <x:f>IF('Results'!$B$6="Inputs accepted",'Results'!C14,"")</x:f>
        <x:v>70.64020731289524</x:v>
      </x:c>
      <x:c r="H193" s="2"/>
      <x:c r="I193" s="2"/>
      <x:c r="J193" s="2"/>
      <x:c r="K193" s="2"/>
      <x:c r="L193" s="2"/>
    </x:row>
    <x:row r="194" ht="22" customHeight="1">
      <x:c r="A194" s="18" t="n">
        <x:f>(194-5)*'Inputs'!$B$33/200</x:f>
        <x:v>37.8</x:v>
      </x:c>
      <x:c r="B194" s="18" t="n">
        <x:f>IF('Results'!$B$6="Inputs accepted",IF(AND(ISNUMBER('Results'!B7),ISNUMBER('Results'!C7),ISNUMBER('Results'!$B$8),ISNUMBER('Results'!$B$9),ISNUMBER('Inputs'!$B$6),ISNUMBER('Inputs'!$B$7),ISNUMBER('Inputs'!$B$8),ISNUMBER('Inputs'!$B$9),ISNUMBER('Inputs'!$B$10),ISNUMBER('Inputs'!$B$21),ISNUMBER('Inputs'!$B$24),ISNUMBER('Inputs'!$B$28)),(('Results'!B7*(0.5*(((A194+'Inputs'!$B$21)+'Inputs'!$B$7)/SQRT(((A194+'Inputs'!$B$21)+'Inputs'!$B$7)^2+('Inputs'!$B$6/2)^2)-((A194+'Inputs'!$B$21))/SQRT(((A194+'Inputs'!$B$21))^2+('Inputs'!$B$6/2)^2)))-'Results'!C7*(0.5*(((A194+'Inputs'!$B$21+'Inputs'!$B$7+'Inputs'!$B$10)+'Inputs'!$B$9)/SQRT(((A194+'Inputs'!$B$21+'Inputs'!$B$7+'Inputs'!$B$10)+'Inputs'!$B$9)^2+('Inputs'!$B$8/2)^2)-((A194+'Inputs'!$B$21+'Inputs'!$B$7+'Inputs'!$B$10))/SQRT(((A194+'Inputs'!$B$21+'Inputs'!$B$7+'Inputs'!$B$10))^2+('Inputs'!$B$8/2)^2))))*'Results'!$B$8*'Results'!$B$9),""),"")</x:f>
        <x:v>0.4389256815958506</x:v>
      </x:c>
      <x:c r="C194" s="18" t="n">
        <x:f>IF('Results'!$B$6="Inputs accepted",IF(AND(ISNUMBER('Results'!C7),ISNUMBER('Results'!B7),ISNUMBER('Results'!$B$8),ISNUMBER('Results'!$B$9),ISNUMBER('Inputs'!$B$6),ISNUMBER('Inputs'!$B$7),ISNUMBER('Inputs'!$B$8),ISNUMBER('Inputs'!$B$9),ISNUMBER('Inputs'!$B$10),ISNUMBER('Inputs'!$B$21),ISNUMBER('Inputs'!$B$24),ISNUMBER('Inputs'!$B$28)),(('Results'!C7*(0.5*(((A194+'Inputs'!$B$21)+'Inputs'!$B$9)/SQRT(((A194+'Inputs'!$B$21)+'Inputs'!$B$9)^2+('Inputs'!$B$8/2)^2)-((A194+'Inputs'!$B$21))/SQRT(((A194+'Inputs'!$B$21))^2+('Inputs'!$B$8/2)^2)))-'Results'!B7*(0.5*(((A194+'Inputs'!$B$21+'Inputs'!$B$9+'Inputs'!$B$10)+'Inputs'!$B$7)/SQRT(((A194+'Inputs'!$B$21+'Inputs'!$B$9+'Inputs'!$B$10)+'Inputs'!$B$7)^2+('Inputs'!$B$6/2)^2)-((A194+'Inputs'!$B$21+'Inputs'!$B$9+'Inputs'!$B$10))/SQRT(((A194+'Inputs'!$B$21+'Inputs'!$B$9+'Inputs'!$B$10))^2+('Inputs'!$B$6/2)^2))))*'Results'!$B$8*'Results'!$B$9),""),"")</x:f>
        <x:v>0.38857043826564064</x:v>
      </x:c>
      <x:c r="D194" s="18" t="n">
        <x:f>IF('Results'!$B$6="Inputs accepted",'Results'!B12,"")</x:f>
        <x:v>112.38228018798189</x:v>
      </x:c>
      <x:c r="E194" s="18" t="n">
        <x:f>IF('Results'!$B$6="Inputs accepted",'Results'!C12,"")</x:f>
        <x:v>119.21786205905865</x:v>
      </x:c>
      <x:c r="F194" s="18" t="n">
        <x:f>IF('Results'!$B$6="Inputs accepted",'Results'!B14,"")</x:f>
        <x:v>66.9055158034782</x:v>
      </x:c>
      <x:c r="G194" s="18" t="n">
        <x:f>IF('Results'!$B$6="Inputs accepted",'Results'!C14,"")</x:f>
        <x:v>70.64020731289524</x:v>
      </x:c>
      <x:c r="H194" s="2"/>
      <x:c r="I194" s="2"/>
      <x:c r="J194" s="2"/>
      <x:c r="K194" s="2"/>
      <x:c r="L194" s="2"/>
    </x:row>
    <x:row r="195" ht="22" customHeight="1">
      <x:c r="A195" s="18" t="n">
        <x:f>(195-5)*'Inputs'!$B$33/200</x:f>
        <x:v>38</x:v>
      </x:c>
      <x:c r="B195" s="18" t="n">
        <x:f>IF('Results'!$B$6="Inputs accepted",IF(AND(ISNUMBER('Results'!B7),ISNUMBER('Results'!C7),ISNUMBER('Results'!$B$8),ISNUMBER('Results'!$B$9),ISNUMBER('Inputs'!$B$6),ISNUMBER('Inputs'!$B$7),ISNUMBER('Inputs'!$B$8),ISNUMBER('Inputs'!$B$9),ISNUMBER('Inputs'!$B$10),ISNUMBER('Inputs'!$B$21),ISNUMBER('Inputs'!$B$24),ISNUMBER('Inputs'!$B$28)),(('Results'!B7*(0.5*(((A195+'Inputs'!$B$21)+'Inputs'!$B$7)/SQRT(((A195+'Inputs'!$B$21)+'Inputs'!$B$7)^2+('Inputs'!$B$6/2)^2)-((A195+'Inputs'!$B$21))/SQRT(((A195+'Inputs'!$B$21))^2+('Inputs'!$B$6/2)^2)))-'Results'!C7*(0.5*(((A195+'Inputs'!$B$21+'Inputs'!$B$7+'Inputs'!$B$10)+'Inputs'!$B$9)/SQRT(((A195+'Inputs'!$B$21+'Inputs'!$B$7+'Inputs'!$B$10)+'Inputs'!$B$9)^2+('Inputs'!$B$8/2)^2)-((A195+'Inputs'!$B$21+'Inputs'!$B$7+'Inputs'!$B$10))/SQRT(((A195+'Inputs'!$B$21+'Inputs'!$B$7+'Inputs'!$B$10))^2+('Inputs'!$B$8/2)^2))))*'Results'!$B$8*'Results'!$B$9),""),"")</x:f>
        <x:v>0.43057410924543593</x:v>
      </x:c>
      <x:c r="C195" s="18" t="n">
        <x:f>IF('Results'!$B$6="Inputs accepted",IF(AND(ISNUMBER('Results'!C7),ISNUMBER('Results'!B7),ISNUMBER('Results'!$B$8),ISNUMBER('Results'!$B$9),ISNUMBER('Inputs'!$B$6),ISNUMBER('Inputs'!$B$7),ISNUMBER('Inputs'!$B$8),ISNUMBER('Inputs'!$B$9),ISNUMBER('Inputs'!$B$10),ISNUMBER('Inputs'!$B$21),ISNUMBER('Inputs'!$B$24),ISNUMBER('Inputs'!$B$28)),(('Results'!C7*(0.5*(((A195+'Inputs'!$B$21)+'Inputs'!$B$9)/SQRT(((A195+'Inputs'!$B$21)+'Inputs'!$B$9)^2+('Inputs'!$B$8/2)^2)-((A195+'Inputs'!$B$21))/SQRT(((A195+'Inputs'!$B$21))^2+('Inputs'!$B$8/2)^2)))-'Results'!B7*(0.5*(((A195+'Inputs'!$B$21+'Inputs'!$B$9+'Inputs'!$B$10)+'Inputs'!$B$7)/SQRT(((A195+'Inputs'!$B$21+'Inputs'!$B$9+'Inputs'!$B$10)+'Inputs'!$B$7)^2+('Inputs'!$B$6/2)^2)-((A195+'Inputs'!$B$21+'Inputs'!$B$9+'Inputs'!$B$10))/SQRT(((A195+'Inputs'!$B$21+'Inputs'!$B$9+'Inputs'!$B$10))^2+('Inputs'!$B$6/2)^2))))*'Results'!$B$8*'Results'!$B$9),""),"")</x:f>
        <x:v>0.38095549847666055</x:v>
      </x:c>
      <x:c r="D195" s="18" t="n">
        <x:f>IF('Results'!$B$6="Inputs accepted",'Results'!B12,"")</x:f>
        <x:v>112.38228018798189</x:v>
      </x:c>
      <x:c r="E195" s="18" t="n">
        <x:f>IF('Results'!$B$6="Inputs accepted",'Results'!C12,"")</x:f>
        <x:v>119.21786205905865</x:v>
      </x:c>
      <x:c r="F195" s="18" t="n">
        <x:f>IF('Results'!$B$6="Inputs accepted",'Results'!B14,"")</x:f>
        <x:v>66.9055158034782</x:v>
      </x:c>
      <x:c r="G195" s="18" t="n">
        <x:f>IF('Results'!$B$6="Inputs accepted",'Results'!C14,"")</x:f>
        <x:v>70.64020731289524</x:v>
      </x:c>
      <x:c r="H195" s="2"/>
      <x:c r="I195" s="2"/>
      <x:c r="J195" s="2"/>
      <x:c r="K195" s="2"/>
      <x:c r="L195" s="2"/>
    </x:row>
    <x:row r="196" ht="22" customHeight="1">
      <x:c r="A196" s="18" t="n">
        <x:f>(196-5)*'Inputs'!$B$33/200</x:f>
        <x:v>38.2</x:v>
      </x:c>
      <x:c r="B196" s="18" t="n">
        <x:f>IF('Results'!$B$6="Inputs accepted",IF(AND(ISNUMBER('Results'!B7),ISNUMBER('Results'!C7),ISNUMBER('Results'!$B$8),ISNUMBER('Results'!$B$9),ISNUMBER('Inputs'!$B$6),ISNUMBER('Inputs'!$B$7),ISNUMBER('Inputs'!$B$8),ISNUMBER('Inputs'!$B$9),ISNUMBER('Inputs'!$B$10),ISNUMBER('Inputs'!$B$21),ISNUMBER('Inputs'!$B$24),ISNUMBER('Inputs'!$B$28)),(('Results'!B7*(0.5*(((A196+'Inputs'!$B$21)+'Inputs'!$B$7)/SQRT(((A196+'Inputs'!$B$21)+'Inputs'!$B$7)^2+('Inputs'!$B$6/2)^2)-((A196+'Inputs'!$B$21))/SQRT(((A196+'Inputs'!$B$21))^2+('Inputs'!$B$6/2)^2)))-'Results'!C7*(0.5*(((A196+'Inputs'!$B$21+'Inputs'!$B$7+'Inputs'!$B$10)+'Inputs'!$B$9)/SQRT(((A196+'Inputs'!$B$21+'Inputs'!$B$7+'Inputs'!$B$10)+'Inputs'!$B$9)^2+('Inputs'!$B$8/2)^2)-((A196+'Inputs'!$B$21+'Inputs'!$B$7+'Inputs'!$B$10))/SQRT(((A196+'Inputs'!$B$21+'Inputs'!$B$7+'Inputs'!$B$10))^2+('Inputs'!$B$8/2)^2))))*'Results'!$B$8*'Results'!$B$9),""),"")</x:f>
        <x:v>0.4224212416052559</x:v>
      </x:c>
      <x:c r="C196" s="18" t="n">
        <x:f>IF('Results'!$B$6="Inputs accepted",IF(AND(ISNUMBER('Results'!C7),ISNUMBER('Results'!B7),ISNUMBER('Results'!$B$8),ISNUMBER('Results'!$B$9),ISNUMBER('Inputs'!$B$6),ISNUMBER('Inputs'!$B$7),ISNUMBER('Inputs'!$B$8),ISNUMBER('Inputs'!$B$9),ISNUMBER('Inputs'!$B$10),ISNUMBER('Inputs'!$B$21),ISNUMBER('Inputs'!$B$24),ISNUMBER('Inputs'!$B$28)),(('Results'!C7*(0.5*(((A196+'Inputs'!$B$21)+'Inputs'!$B$9)/SQRT(((A196+'Inputs'!$B$21)+'Inputs'!$B$9)^2+('Inputs'!$B$8/2)^2)-((A196+'Inputs'!$B$21))/SQRT(((A196+'Inputs'!$B$21))^2+('Inputs'!$B$8/2)^2)))-'Results'!B7*(0.5*(((A196+'Inputs'!$B$21+'Inputs'!$B$9+'Inputs'!$B$10)+'Inputs'!$B$7)/SQRT(((A196+'Inputs'!$B$21+'Inputs'!$B$9+'Inputs'!$B$10)+'Inputs'!$B$7)^2+('Inputs'!$B$6/2)^2)-((A196+'Inputs'!$B$21+'Inputs'!$B$9+'Inputs'!$B$10))/SQRT(((A196+'Inputs'!$B$21+'Inputs'!$B$9+'Inputs'!$B$10))^2+('Inputs'!$B$6/2)^2))))*'Results'!$B$8*'Results'!$B$9),""),"")</x:f>
        <x:v>0.3735249444549746</x:v>
      </x:c>
      <x:c r="D196" s="18" t="n">
        <x:f>IF('Results'!$B$6="Inputs accepted",'Results'!B12,"")</x:f>
        <x:v>112.38228018798189</x:v>
      </x:c>
      <x:c r="E196" s="18" t="n">
        <x:f>IF('Results'!$B$6="Inputs accepted",'Results'!C12,"")</x:f>
        <x:v>119.21786205905865</x:v>
      </x:c>
      <x:c r="F196" s="18" t="n">
        <x:f>IF('Results'!$B$6="Inputs accepted",'Results'!B14,"")</x:f>
        <x:v>66.9055158034782</x:v>
      </x:c>
      <x:c r="G196" s="18" t="n">
        <x:f>IF('Results'!$B$6="Inputs accepted",'Results'!C14,"")</x:f>
        <x:v>70.64020731289524</x:v>
      </x:c>
      <x:c r="H196" s="2"/>
      <x:c r="I196" s="2"/>
      <x:c r="J196" s="2"/>
      <x:c r="K196" s="2"/>
      <x:c r="L196" s="2"/>
    </x:row>
    <x:row r="197" ht="22" customHeight="1">
      <x:c r="A197" s="18" t="n">
        <x:f>(197-5)*'Inputs'!$B$33/200</x:f>
        <x:v>38.4</x:v>
      </x:c>
      <x:c r="B197" s="18" t="n">
        <x:f>IF('Results'!$B$6="Inputs accepted",IF(AND(ISNUMBER('Results'!B7),ISNUMBER('Results'!C7),ISNUMBER('Results'!$B$8),ISNUMBER('Results'!$B$9),ISNUMBER('Inputs'!$B$6),ISNUMBER('Inputs'!$B$7),ISNUMBER('Inputs'!$B$8),ISNUMBER('Inputs'!$B$9),ISNUMBER('Inputs'!$B$10),ISNUMBER('Inputs'!$B$21),ISNUMBER('Inputs'!$B$24),ISNUMBER('Inputs'!$B$28)),(('Results'!B7*(0.5*(((A197+'Inputs'!$B$21)+'Inputs'!$B$7)/SQRT(((A197+'Inputs'!$B$21)+'Inputs'!$B$7)^2+('Inputs'!$B$6/2)^2)-((A197+'Inputs'!$B$21))/SQRT(((A197+'Inputs'!$B$21))^2+('Inputs'!$B$6/2)^2)))-'Results'!C7*(0.5*(((A197+'Inputs'!$B$21+'Inputs'!$B$7+'Inputs'!$B$10)+'Inputs'!$B$9)/SQRT(((A197+'Inputs'!$B$21+'Inputs'!$B$7+'Inputs'!$B$10)+'Inputs'!$B$9)^2+('Inputs'!$B$8/2)^2)-((A197+'Inputs'!$B$21+'Inputs'!$B$7+'Inputs'!$B$10))/SQRT(((A197+'Inputs'!$B$21+'Inputs'!$B$7+'Inputs'!$B$10))^2+('Inputs'!$B$8/2)^2))))*'Results'!$B$8*'Results'!$B$9),""),"")</x:f>
        <x:v>0.4144614189756181</x:v>
      </x:c>
      <x:c r="C197" s="18" t="n">
        <x:f>IF('Results'!$B$6="Inputs accepted",IF(AND(ISNUMBER('Results'!C7),ISNUMBER('Results'!B7),ISNUMBER('Results'!$B$8),ISNUMBER('Results'!$B$9),ISNUMBER('Inputs'!$B$6),ISNUMBER('Inputs'!$B$7),ISNUMBER('Inputs'!$B$8),ISNUMBER('Inputs'!$B$9),ISNUMBER('Inputs'!$B$10),ISNUMBER('Inputs'!$B$21),ISNUMBER('Inputs'!$B$24),ISNUMBER('Inputs'!$B$28)),(('Results'!C7*(0.5*(((A197+'Inputs'!$B$21)+'Inputs'!$B$9)/SQRT(((A197+'Inputs'!$B$21)+'Inputs'!$B$9)^2+('Inputs'!$B$8/2)^2)-((A197+'Inputs'!$B$21))/SQRT(((A197+'Inputs'!$B$21))^2+('Inputs'!$B$8/2)^2)))-'Results'!B7*(0.5*(((A197+'Inputs'!$B$21+'Inputs'!$B$9+'Inputs'!$B$10)+'Inputs'!$B$7)/SQRT(((A197+'Inputs'!$B$21+'Inputs'!$B$9+'Inputs'!$B$10)+'Inputs'!$B$7)^2+('Inputs'!$B$6/2)^2)-((A197+'Inputs'!$B$21+'Inputs'!$B$9+'Inputs'!$B$10))/SQRT(((A197+'Inputs'!$B$21+'Inputs'!$B$9+'Inputs'!$B$10))^2+('Inputs'!$B$6/2)^2))))*'Results'!$B$8*'Results'!$B$9),""),"")</x:f>
        <x:v>0.366273463199201</x:v>
      </x:c>
      <x:c r="D197" s="18" t="n">
        <x:f>IF('Results'!$B$6="Inputs accepted",'Results'!B12,"")</x:f>
        <x:v>112.38228018798189</x:v>
      </x:c>
      <x:c r="E197" s="18" t="n">
        <x:f>IF('Results'!$B$6="Inputs accepted",'Results'!C12,"")</x:f>
        <x:v>119.21786205905865</x:v>
      </x:c>
      <x:c r="F197" s="18" t="n">
        <x:f>IF('Results'!$B$6="Inputs accepted",'Results'!B14,"")</x:f>
        <x:v>66.9055158034782</x:v>
      </x:c>
      <x:c r="G197" s="18" t="n">
        <x:f>IF('Results'!$B$6="Inputs accepted",'Results'!C14,"")</x:f>
        <x:v>70.64020731289524</x:v>
      </x:c>
      <x:c r="H197" s="2"/>
      <x:c r="I197" s="2"/>
      <x:c r="J197" s="2"/>
      <x:c r="K197" s="2"/>
      <x:c r="L197" s="2"/>
    </x:row>
    <x:row r="198" ht="22" customHeight="1">
      <x:c r="A198" s="18" t="n">
        <x:f>(198-5)*'Inputs'!$B$33/200</x:f>
        <x:v>38.6</x:v>
      </x:c>
      <x:c r="B198" s="18" t="n">
        <x:f>IF('Results'!$B$6="Inputs accepted",IF(AND(ISNUMBER('Results'!B7),ISNUMBER('Results'!C7),ISNUMBER('Results'!$B$8),ISNUMBER('Results'!$B$9),ISNUMBER('Inputs'!$B$6),ISNUMBER('Inputs'!$B$7),ISNUMBER('Inputs'!$B$8),ISNUMBER('Inputs'!$B$9),ISNUMBER('Inputs'!$B$10),ISNUMBER('Inputs'!$B$21),ISNUMBER('Inputs'!$B$24),ISNUMBER('Inputs'!$B$28)),(('Results'!B7*(0.5*(((A198+'Inputs'!$B$21)+'Inputs'!$B$7)/SQRT(((A198+'Inputs'!$B$21)+'Inputs'!$B$7)^2+('Inputs'!$B$6/2)^2)-((A198+'Inputs'!$B$21))/SQRT(((A198+'Inputs'!$B$21))^2+('Inputs'!$B$6/2)^2)))-'Results'!C7*(0.5*(((A198+'Inputs'!$B$21+'Inputs'!$B$7+'Inputs'!$B$10)+'Inputs'!$B$9)/SQRT(((A198+'Inputs'!$B$21+'Inputs'!$B$7+'Inputs'!$B$10)+'Inputs'!$B$9)^2+('Inputs'!$B$8/2)^2)-((A198+'Inputs'!$B$21+'Inputs'!$B$7+'Inputs'!$B$10))/SQRT(((A198+'Inputs'!$B$21+'Inputs'!$B$7+'Inputs'!$B$10))^2+('Inputs'!$B$8/2)^2))))*'Results'!$B$8*'Results'!$B$9),""),"")</x:f>
        <x:v>0.40668916905434455</x:v>
      </x:c>
      <x:c r="C198" s="18" t="n">
        <x:f>IF('Results'!$B$6="Inputs accepted",IF(AND(ISNUMBER('Results'!C7),ISNUMBER('Results'!B7),ISNUMBER('Results'!$B$8),ISNUMBER('Results'!$B$9),ISNUMBER('Inputs'!$B$6),ISNUMBER('Inputs'!$B$7),ISNUMBER('Inputs'!$B$8),ISNUMBER('Inputs'!$B$9),ISNUMBER('Inputs'!$B$10),ISNUMBER('Inputs'!$B$21),ISNUMBER('Inputs'!$B$24),ISNUMBER('Inputs'!$B$28)),(('Results'!C7*(0.5*(((A198+'Inputs'!$B$21)+'Inputs'!$B$9)/SQRT(((A198+'Inputs'!$B$21)+'Inputs'!$B$9)^2+('Inputs'!$B$8/2)^2)-((A198+'Inputs'!$B$21))/SQRT(((A198+'Inputs'!$B$21))^2+('Inputs'!$B$8/2)^2)))-'Results'!B7*(0.5*(((A198+'Inputs'!$B$21+'Inputs'!$B$9+'Inputs'!$B$10)+'Inputs'!$B$7)/SQRT(((A198+'Inputs'!$B$21+'Inputs'!$B$9+'Inputs'!$B$10)+'Inputs'!$B$7)^2+('Inputs'!$B$6/2)^2)-((A198+'Inputs'!$B$21+'Inputs'!$B$9+'Inputs'!$B$10))/SQRT(((A198+'Inputs'!$B$21+'Inputs'!$B$9+'Inputs'!$B$10))^2+('Inputs'!$B$6/2)^2))))*'Results'!$B$8*'Results'!$B$9),""),"")</x:f>
        <x:v>0.3591959190687014</x:v>
      </x:c>
      <x:c r="D198" s="18" t="n">
        <x:f>IF('Results'!$B$6="Inputs accepted",'Results'!B12,"")</x:f>
        <x:v>112.38228018798189</x:v>
      </x:c>
      <x:c r="E198" s="18" t="n">
        <x:f>IF('Results'!$B$6="Inputs accepted",'Results'!C12,"")</x:f>
        <x:v>119.21786205905865</x:v>
      </x:c>
      <x:c r="F198" s="18" t="n">
        <x:f>IF('Results'!$B$6="Inputs accepted",'Results'!B14,"")</x:f>
        <x:v>66.9055158034782</x:v>
      </x:c>
      <x:c r="G198" s="18" t="n">
        <x:f>IF('Results'!$B$6="Inputs accepted",'Results'!C14,"")</x:f>
        <x:v>70.64020731289524</x:v>
      </x:c>
      <x:c r="H198" s="2"/>
      <x:c r="I198" s="2"/>
      <x:c r="J198" s="2"/>
      <x:c r="K198" s="2"/>
      <x:c r="L198" s="2"/>
    </x:row>
    <x:row r="199" ht="22" customHeight="1">
      <x:c r="A199" s="18" t="n">
        <x:f>(199-5)*'Inputs'!$B$33/200</x:f>
        <x:v>38.8</x:v>
      </x:c>
      <x:c r="B199" s="18" t="n">
        <x:f>IF('Results'!$B$6="Inputs accepted",IF(AND(ISNUMBER('Results'!B7),ISNUMBER('Results'!C7),ISNUMBER('Results'!$B$8),ISNUMBER('Results'!$B$9),ISNUMBER('Inputs'!$B$6),ISNUMBER('Inputs'!$B$7),ISNUMBER('Inputs'!$B$8),ISNUMBER('Inputs'!$B$9),ISNUMBER('Inputs'!$B$10),ISNUMBER('Inputs'!$B$21),ISNUMBER('Inputs'!$B$24),ISNUMBER('Inputs'!$B$28)),(('Results'!B7*(0.5*(((A199+'Inputs'!$B$21)+'Inputs'!$B$7)/SQRT(((A199+'Inputs'!$B$21)+'Inputs'!$B$7)^2+('Inputs'!$B$6/2)^2)-((A199+'Inputs'!$B$21))/SQRT(((A199+'Inputs'!$B$21))^2+('Inputs'!$B$6/2)^2)))-'Results'!C7*(0.5*(((A199+'Inputs'!$B$21+'Inputs'!$B$7+'Inputs'!$B$10)+'Inputs'!$B$9)/SQRT(((A199+'Inputs'!$B$21+'Inputs'!$B$7+'Inputs'!$B$10)+'Inputs'!$B$9)^2+('Inputs'!$B$8/2)^2)-((A199+'Inputs'!$B$21+'Inputs'!$B$7+'Inputs'!$B$10))/SQRT(((A199+'Inputs'!$B$21+'Inputs'!$B$7+'Inputs'!$B$10))^2+('Inputs'!$B$8/2)^2))))*'Results'!$B$8*'Results'!$B$9),""),"")</x:f>
        <x:v>0.3990991998896901</x:v>
      </x:c>
      <x:c r="C199" s="18" t="n">
        <x:f>IF('Results'!$B$6="Inputs accepted",IF(AND(ISNUMBER('Results'!C7),ISNUMBER('Results'!B7),ISNUMBER('Results'!$B$8),ISNUMBER('Results'!$B$9),ISNUMBER('Inputs'!$B$6),ISNUMBER('Inputs'!$B$7),ISNUMBER('Inputs'!$B$8),ISNUMBER('Inputs'!$B$9),ISNUMBER('Inputs'!$B$10),ISNUMBER('Inputs'!$B$21),ISNUMBER('Inputs'!$B$24),ISNUMBER('Inputs'!$B$28)),(('Results'!C7*(0.5*(((A199+'Inputs'!$B$21)+'Inputs'!$B$9)/SQRT(((A199+'Inputs'!$B$21)+'Inputs'!$B$9)^2+('Inputs'!$B$8/2)^2)-((A199+'Inputs'!$B$21))/SQRT(((A199+'Inputs'!$B$21))^2+('Inputs'!$B$8/2)^2)))-'Results'!B7*(0.5*(((A199+'Inputs'!$B$21+'Inputs'!$B$9+'Inputs'!$B$10)+'Inputs'!$B$7)/SQRT(((A199+'Inputs'!$B$21+'Inputs'!$B$9+'Inputs'!$B$10)+'Inputs'!$B$7)^2+('Inputs'!$B$6/2)^2)-((A199+'Inputs'!$B$21+'Inputs'!$B$9+'Inputs'!$B$10))/SQRT(((A199+'Inputs'!$B$21+'Inputs'!$B$9+'Inputs'!$B$10))^2+('Inputs'!$B$6/2)^2))))*'Results'!$B$8*'Results'!$B$9),""),"")</x:f>
        <x:v>0.3522873470741681</x:v>
      </x:c>
      <x:c r="D199" s="18" t="n">
        <x:f>IF('Results'!$B$6="Inputs accepted",'Results'!B12,"")</x:f>
        <x:v>112.38228018798189</x:v>
      </x:c>
      <x:c r="E199" s="18" t="n">
        <x:f>IF('Results'!$B$6="Inputs accepted",'Results'!C12,"")</x:f>
        <x:v>119.21786205905865</x:v>
      </x:c>
      <x:c r="F199" s="18" t="n">
        <x:f>IF('Results'!$B$6="Inputs accepted",'Results'!B14,"")</x:f>
        <x:v>66.9055158034782</x:v>
      </x:c>
      <x:c r="G199" s="18" t="n">
        <x:f>IF('Results'!$B$6="Inputs accepted",'Results'!C14,"")</x:f>
        <x:v>70.64020731289524</x:v>
      </x:c>
      <x:c r="H199" s="2"/>
      <x:c r="I199" s="2"/>
      <x:c r="J199" s="2"/>
      <x:c r="K199" s="2"/>
      <x:c r="L199" s="2"/>
    </x:row>
    <x:row r="200" ht="22" customHeight="1">
      <x:c r="A200" s="18" t="n">
        <x:f>(200-5)*'Inputs'!$B$33/200</x:f>
        <x:v>39</x:v>
      </x:c>
      <x:c r="B200" s="18" t="n">
        <x:f>IF('Results'!$B$6="Inputs accepted",IF(AND(ISNUMBER('Results'!B7),ISNUMBER('Results'!C7),ISNUMBER('Results'!$B$8),ISNUMBER('Results'!$B$9),ISNUMBER('Inputs'!$B$6),ISNUMBER('Inputs'!$B$7),ISNUMBER('Inputs'!$B$8),ISNUMBER('Inputs'!$B$9),ISNUMBER('Inputs'!$B$10),ISNUMBER('Inputs'!$B$21),ISNUMBER('Inputs'!$B$24),ISNUMBER('Inputs'!$B$28)),(('Results'!B7*(0.5*(((A200+'Inputs'!$B$21)+'Inputs'!$B$7)/SQRT(((A200+'Inputs'!$B$21)+'Inputs'!$B$7)^2+('Inputs'!$B$6/2)^2)-((A200+'Inputs'!$B$21))/SQRT(((A200+'Inputs'!$B$21))^2+('Inputs'!$B$6/2)^2)))-'Results'!C7*(0.5*(((A200+'Inputs'!$B$21+'Inputs'!$B$7+'Inputs'!$B$10)+'Inputs'!$B$9)/SQRT(((A200+'Inputs'!$B$21+'Inputs'!$B$7+'Inputs'!$B$10)+'Inputs'!$B$9)^2+('Inputs'!$B$8/2)^2)-((A200+'Inputs'!$B$21+'Inputs'!$B$7+'Inputs'!$B$10))/SQRT(((A200+'Inputs'!$B$21+'Inputs'!$B$7+'Inputs'!$B$10))^2+('Inputs'!$B$8/2)^2))))*'Results'!$B$8*'Results'!$B$9),""),"")</x:f>
        <x:v>0.39168639309296277</x:v>
      </x:c>
      <x:c r="C200" s="18" t="n">
        <x:f>IF('Results'!$B$6="Inputs accepted",IF(AND(ISNUMBER('Results'!C7),ISNUMBER('Results'!B7),ISNUMBER('Results'!$B$8),ISNUMBER('Results'!$B$9),ISNUMBER('Inputs'!$B$6),ISNUMBER('Inputs'!$B$7),ISNUMBER('Inputs'!$B$8),ISNUMBER('Inputs'!$B$9),ISNUMBER('Inputs'!$B$10),ISNUMBER('Inputs'!$B$21),ISNUMBER('Inputs'!$B$24),ISNUMBER('Inputs'!$B$28)),(('Results'!C7*(0.5*(((A200+'Inputs'!$B$21)+'Inputs'!$B$9)/SQRT(((A200+'Inputs'!$B$21)+'Inputs'!$B$9)^2+('Inputs'!$B$8/2)^2)-((A200+'Inputs'!$B$21))/SQRT(((A200+'Inputs'!$B$21))^2+('Inputs'!$B$8/2)^2)))-'Results'!B7*(0.5*(((A200+'Inputs'!$B$21+'Inputs'!$B$9+'Inputs'!$B$10)+'Inputs'!$B$7)/SQRT(((A200+'Inputs'!$B$21+'Inputs'!$B$9+'Inputs'!$B$10)+'Inputs'!$B$7)^2+('Inputs'!$B$6/2)^2)-((A200+'Inputs'!$B$21+'Inputs'!$B$9+'Inputs'!$B$10))/SQRT(((A200+'Inputs'!$B$21+'Inputs'!$B$9+'Inputs'!$B$10))^2+('Inputs'!$B$6/2)^2))))*'Results'!$B$8*'Results'!$B$9),""),"")</x:f>
        <x:v>0.34554294641506333</x:v>
      </x:c>
      <x:c r="D200" s="18" t="n">
        <x:f>IF('Results'!$B$6="Inputs accepted",'Results'!B12,"")</x:f>
        <x:v>112.38228018798189</x:v>
      </x:c>
      <x:c r="E200" s="18" t="n">
        <x:f>IF('Results'!$B$6="Inputs accepted",'Results'!C12,"")</x:f>
        <x:v>119.21786205905865</x:v>
      </x:c>
      <x:c r="F200" s="18" t="n">
        <x:f>IF('Results'!$B$6="Inputs accepted",'Results'!B14,"")</x:f>
        <x:v>66.9055158034782</x:v>
      </x:c>
      <x:c r="G200" s="18" t="n">
        <x:f>IF('Results'!$B$6="Inputs accepted",'Results'!C14,"")</x:f>
        <x:v>70.64020731289524</x:v>
      </x:c>
      <x:c r="H200" s="2"/>
      <x:c r="I200" s="2"/>
      <x:c r="J200" s="2"/>
      <x:c r="K200" s="2"/>
      <x:c r="L200" s="2"/>
    </x:row>
    <x:row r="201" ht="22" customHeight="1">
      <x:c r="A201" s="18" t="n">
        <x:f>(201-5)*'Inputs'!$B$33/200</x:f>
        <x:v>39.2</x:v>
      </x:c>
      <x:c r="B201" s="18" t="n">
        <x:f>IF('Results'!$B$6="Inputs accepted",IF(AND(ISNUMBER('Results'!B7),ISNUMBER('Results'!C7),ISNUMBER('Results'!$B$8),ISNUMBER('Results'!$B$9),ISNUMBER('Inputs'!$B$6),ISNUMBER('Inputs'!$B$7),ISNUMBER('Inputs'!$B$8),ISNUMBER('Inputs'!$B$9),ISNUMBER('Inputs'!$B$10),ISNUMBER('Inputs'!$B$21),ISNUMBER('Inputs'!$B$24),ISNUMBER('Inputs'!$B$28)),(('Results'!B7*(0.5*(((A201+'Inputs'!$B$21)+'Inputs'!$B$7)/SQRT(((A201+'Inputs'!$B$21)+'Inputs'!$B$7)^2+('Inputs'!$B$6/2)^2)-((A201+'Inputs'!$B$21))/SQRT(((A201+'Inputs'!$B$21))^2+('Inputs'!$B$6/2)^2)))-'Results'!C7*(0.5*(((A201+'Inputs'!$B$21+'Inputs'!$B$7+'Inputs'!$B$10)+'Inputs'!$B$9)/SQRT(((A201+'Inputs'!$B$21+'Inputs'!$B$7+'Inputs'!$B$10)+'Inputs'!$B$9)^2+('Inputs'!$B$8/2)^2)-((A201+'Inputs'!$B$21+'Inputs'!$B$7+'Inputs'!$B$10))/SQRT(((A201+'Inputs'!$B$21+'Inputs'!$B$7+'Inputs'!$B$10))^2+('Inputs'!$B$8/2)^2))))*'Results'!$B$8*'Results'!$B$9),""),"")</x:f>
        <x:v>0.38444579738144563</x:v>
      </x:c>
      <x:c r="C201" s="18" t="n">
        <x:f>IF('Results'!$B$6="Inputs accepted",IF(AND(ISNUMBER('Results'!C7),ISNUMBER('Results'!B7),ISNUMBER('Results'!$B$8),ISNUMBER('Results'!$B$9),ISNUMBER('Inputs'!$B$6),ISNUMBER('Inputs'!$B$7),ISNUMBER('Inputs'!$B$8),ISNUMBER('Inputs'!$B$9),ISNUMBER('Inputs'!$B$10),ISNUMBER('Inputs'!$B$21),ISNUMBER('Inputs'!$B$24),ISNUMBER('Inputs'!$B$28)),(('Results'!C7*(0.5*(((A201+'Inputs'!$B$21)+'Inputs'!$B$9)/SQRT(((A201+'Inputs'!$B$21)+'Inputs'!$B$9)^2+('Inputs'!$B$8/2)^2)-((A201+'Inputs'!$B$21))/SQRT(((A201+'Inputs'!$B$21))^2+('Inputs'!$B$8/2)^2)))-'Results'!B7*(0.5*(((A201+'Inputs'!$B$21+'Inputs'!$B$9+'Inputs'!$B$10)+'Inputs'!$B$7)/SQRT(((A201+'Inputs'!$B$21+'Inputs'!$B$9+'Inputs'!$B$10)+'Inputs'!$B$7)^2+('Inputs'!$B$6/2)^2)-((A201+'Inputs'!$B$21+'Inputs'!$B$9+'Inputs'!$B$10))/SQRT(((A201+'Inputs'!$B$21+'Inputs'!$B$9+'Inputs'!$B$10))^2+('Inputs'!$B$6/2)^2))))*'Results'!$B$8*'Results'!$B$9),""),"")</x:f>
        <x:v>0.3389580743348638</x:v>
      </x:c>
      <x:c r="D201" s="18" t="n">
        <x:f>IF('Results'!$B$6="Inputs accepted",'Results'!B12,"")</x:f>
        <x:v>112.38228018798189</x:v>
      </x:c>
      <x:c r="E201" s="18" t="n">
        <x:f>IF('Results'!$B$6="Inputs accepted",'Results'!C12,"")</x:f>
        <x:v>119.21786205905865</x:v>
      </x:c>
      <x:c r="F201" s="18" t="n">
        <x:f>IF('Results'!$B$6="Inputs accepted",'Results'!B14,"")</x:f>
        <x:v>66.9055158034782</x:v>
      </x:c>
      <x:c r="G201" s="18" t="n">
        <x:f>IF('Results'!$B$6="Inputs accepted",'Results'!C14,"")</x:f>
        <x:v>70.64020731289524</x:v>
      </x:c>
      <x:c r="H201" s="2"/>
      <x:c r="I201" s="2"/>
      <x:c r="J201" s="2"/>
      <x:c r="K201" s="2"/>
      <x:c r="L201" s="2"/>
    </x:row>
    <x:row r="202" ht="22" customHeight="1">
      <x:c r="A202" s="18" t="n">
        <x:f>(202-5)*'Inputs'!$B$33/200</x:f>
        <x:v>39.4</x:v>
      </x:c>
      <x:c r="B202" s="18" t="n">
        <x:f>IF('Results'!$B$6="Inputs accepted",IF(AND(ISNUMBER('Results'!B7),ISNUMBER('Results'!C7),ISNUMBER('Results'!$B$8),ISNUMBER('Results'!$B$9),ISNUMBER('Inputs'!$B$6),ISNUMBER('Inputs'!$B$7),ISNUMBER('Inputs'!$B$8),ISNUMBER('Inputs'!$B$9),ISNUMBER('Inputs'!$B$10),ISNUMBER('Inputs'!$B$21),ISNUMBER('Inputs'!$B$24),ISNUMBER('Inputs'!$B$28)),(('Results'!B7*(0.5*(((A202+'Inputs'!$B$21)+'Inputs'!$B$7)/SQRT(((A202+'Inputs'!$B$21)+'Inputs'!$B$7)^2+('Inputs'!$B$6/2)^2)-((A202+'Inputs'!$B$21))/SQRT(((A202+'Inputs'!$B$21))^2+('Inputs'!$B$6/2)^2)))-'Results'!C7*(0.5*(((A202+'Inputs'!$B$21+'Inputs'!$B$7+'Inputs'!$B$10)+'Inputs'!$B$9)/SQRT(((A202+'Inputs'!$B$21+'Inputs'!$B$7+'Inputs'!$B$10)+'Inputs'!$B$9)^2+('Inputs'!$B$8/2)^2)-((A202+'Inputs'!$B$21+'Inputs'!$B$7+'Inputs'!$B$10))/SQRT(((A202+'Inputs'!$B$21+'Inputs'!$B$7+'Inputs'!$B$10))^2+('Inputs'!$B$8/2)^2))))*'Results'!$B$8*'Results'!$B$9),""),"")</x:f>
        <x:v>0.3773726223464806</x:v>
      </x:c>
      <x:c r="C202" s="18" t="n">
        <x:f>IF('Results'!$B$6="Inputs accepted",IF(AND(ISNUMBER('Results'!C7),ISNUMBER('Results'!B7),ISNUMBER('Results'!$B$8),ISNUMBER('Results'!$B$9),ISNUMBER('Inputs'!$B$6),ISNUMBER('Inputs'!$B$7),ISNUMBER('Inputs'!$B$8),ISNUMBER('Inputs'!$B$9),ISNUMBER('Inputs'!$B$10),ISNUMBER('Inputs'!$B$21),ISNUMBER('Inputs'!$B$24),ISNUMBER('Inputs'!$B$28)),(('Results'!C7*(0.5*(((A202+'Inputs'!$B$21)+'Inputs'!$B$9)/SQRT(((A202+'Inputs'!$B$21)+'Inputs'!$B$9)^2+('Inputs'!$B$8/2)^2)-((A202+'Inputs'!$B$21))/SQRT(((A202+'Inputs'!$B$21))^2+('Inputs'!$B$8/2)^2)))-'Results'!B7*(0.5*(((A202+'Inputs'!$B$21+'Inputs'!$B$9+'Inputs'!$B$10)+'Inputs'!$B$7)/SQRT(((A202+'Inputs'!$B$21+'Inputs'!$B$9+'Inputs'!$B$10)+'Inputs'!$B$7)^2+('Inputs'!$B$6/2)^2)-((A202+'Inputs'!$B$21+'Inputs'!$B$9+'Inputs'!$B$10))/SQRT(((A202+'Inputs'!$B$21+'Inputs'!$B$9+'Inputs'!$B$10))^2+('Inputs'!$B$6/2)^2))))*'Results'!$B$8*'Results'!$B$9),""),"")</x:f>
        <x:v>0.33252824018984556</x:v>
      </x:c>
      <x:c r="D202" s="18" t="n">
        <x:f>IF('Results'!$B$6="Inputs accepted",'Results'!B12,"")</x:f>
        <x:v>112.38228018798189</x:v>
      </x:c>
      <x:c r="E202" s="18" t="n">
        <x:f>IF('Results'!$B$6="Inputs accepted",'Results'!C12,"")</x:f>
        <x:v>119.21786205905865</x:v>
      </x:c>
      <x:c r="F202" s="18" t="n">
        <x:f>IF('Results'!$B$6="Inputs accepted",'Results'!B14,"")</x:f>
        <x:v>66.9055158034782</x:v>
      </x:c>
      <x:c r="G202" s="18" t="n">
        <x:f>IF('Results'!$B$6="Inputs accepted",'Results'!C14,"")</x:f>
        <x:v>70.64020731289524</x:v>
      </x:c>
      <x:c r="H202" s="2"/>
      <x:c r="I202" s="2"/>
      <x:c r="J202" s="2"/>
      <x:c r="K202" s="2"/>
      <x:c r="L202" s="2"/>
    </x:row>
    <x:row r="203" ht="22" customHeight="1">
      <x:c r="A203" s="18" t="n">
        <x:f>(203-5)*'Inputs'!$B$33/200</x:f>
        <x:v>39.6</x:v>
      </x:c>
      <x:c r="B203" s="18" t="n">
        <x:f>IF('Results'!$B$6="Inputs accepted",IF(AND(ISNUMBER('Results'!B7),ISNUMBER('Results'!C7),ISNUMBER('Results'!$B$8),ISNUMBER('Results'!$B$9),ISNUMBER('Inputs'!$B$6),ISNUMBER('Inputs'!$B$7),ISNUMBER('Inputs'!$B$8),ISNUMBER('Inputs'!$B$9),ISNUMBER('Inputs'!$B$10),ISNUMBER('Inputs'!$B$21),ISNUMBER('Inputs'!$B$24),ISNUMBER('Inputs'!$B$28)),(('Results'!B7*(0.5*(((A203+'Inputs'!$B$21)+'Inputs'!$B$7)/SQRT(((A203+'Inputs'!$B$21)+'Inputs'!$B$7)^2+('Inputs'!$B$6/2)^2)-((A203+'Inputs'!$B$21))/SQRT(((A203+'Inputs'!$B$21))^2+('Inputs'!$B$6/2)^2)))-'Results'!C7*(0.5*(((A203+'Inputs'!$B$21+'Inputs'!$B$7+'Inputs'!$B$10)+'Inputs'!$B$9)/SQRT(((A203+'Inputs'!$B$21+'Inputs'!$B$7+'Inputs'!$B$10)+'Inputs'!$B$9)^2+('Inputs'!$B$8/2)^2)-((A203+'Inputs'!$B$21+'Inputs'!$B$7+'Inputs'!$B$10))/SQRT(((A203+'Inputs'!$B$21+'Inputs'!$B$7+'Inputs'!$B$10))^2+('Inputs'!$B$8/2)^2))))*'Results'!$B$8*'Results'!$B$9),""),"")</x:f>
        <x:v>0.37046223252339916</x:v>
      </x:c>
      <x:c r="C203" s="18" t="n">
        <x:f>IF('Results'!$B$6="Inputs accepted",IF(AND(ISNUMBER('Results'!C7),ISNUMBER('Results'!B7),ISNUMBER('Results'!$B$8),ISNUMBER('Results'!$B$9),ISNUMBER('Inputs'!$B$6),ISNUMBER('Inputs'!$B$7),ISNUMBER('Inputs'!$B$8),ISNUMBER('Inputs'!$B$9),ISNUMBER('Inputs'!$B$10),ISNUMBER('Inputs'!$B$21),ISNUMBER('Inputs'!$B$24),ISNUMBER('Inputs'!$B$28)),(('Results'!C7*(0.5*(((A203+'Inputs'!$B$21)+'Inputs'!$B$9)/SQRT(((A203+'Inputs'!$B$21)+'Inputs'!$B$9)^2+('Inputs'!$B$8/2)^2)-((A203+'Inputs'!$B$21))/SQRT(((A203+'Inputs'!$B$21))^2+('Inputs'!$B$8/2)^2)))-'Results'!B7*(0.5*(((A203+'Inputs'!$B$21+'Inputs'!$B$9+'Inputs'!$B$10)+'Inputs'!$B$7)/SQRT(((A203+'Inputs'!$B$21+'Inputs'!$B$9+'Inputs'!$B$10)+'Inputs'!$B$7)^2+('Inputs'!$B$6/2)^2)-((A203+'Inputs'!$B$21+'Inputs'!$B$9+'Inputs'!$B$10))/SQRT(((A203+'Inputs'!$B$21+'Inputs'!$B$9+'Inputs'!$B$10))^2+('Inputs'!$B$6/2)^2))))*'Results'!$B$8*'Results'!$B$9),""),"")</x:f>
        <x:v>0.326249099807975</x:v>
      </x:c>
      <x:c r="D203" s="18" t="n">
        <x:f>IF('Results'!$B$6="Inputs accepted",'Results'!B12,"")</x:f>
        <x:v>112.38228018798189</x:v>
      </x:c>
      <x:c r="E203" s="18" t="n">
        <x:f>IF('Results'!$B$6="Inputs accepted",'Results'!C12,"")</x:f>
        <x:v>119.21786205905865</x:v>
      </x:c>
      <x:c r="F203" s="18" t="n">
        <x:f>IF('Results'!$B$6="Inputs accepted",'Results'!B14,"")</x:f>
        <x:v>66.9055158034782</x:v>
      </x:c>
      <x:c r="G203" s="18" t="n">
        <x:f>IF('Results'!$B$6="Inputs accepted",'Results'!C14,"")</x:f>
        <x:v>70.64020731289524</x:v>
      </x:c>
      <x:c r="H203" s="2"/>
      <x:c r="I203" s="2"/>
      <x:c r="J203" s="2"/>
      <x:c r="K203" s="2"/>
      <x:c r="L203" s="2"/>
    </x:row>
    <x:row r="204" ht="22" customHeight="1">
      <x:c r="A204" s="18" t="n">
        <x:f>(204-5)*'Inputs'!$B$33/200</x:f>
        <x:v>39.8</x:v>
      </x:c>
      <x:c r="B204" s="18" t="n">
        <x:f>IF('Results'!$B$6="Inputs accepted",IF(AND(ISNUMBER('Results'!B7),ISNUMBER('Results'!C7),ISNUMBER('Results'!$B$8),ISNUMBER('Results'!$B$9),ISNUMBER('Inputs'!$B$6),ISNUMBER('Inputs'!$B$7),ISNUMBER('Inputs'!$B$8),ISNUMBER('Inputs'!$B$9),ISNUMBER('Inputs'!$B$10),ISNUMBER('Inputs'!$B$21),ISNUMBER('Inputs'!$B$24),ISNUMBER('Inputs'!$B$28)),(('Results'!B7*(0.5*(((A204+'Inputs'!$B$21)+'Inputs'!$B$7)/SQRT(((A204+'Inputs'!$B$21)+'Inputs'!$B$7)^2+('Inputs'!$B$6/2)^2)-((A204+'Inputs'!$B$21))/SQRT(((A204+'Inputs'!$B$21))^2+('Inputs'!$B$6/2)^2)))-'Results'!C7*(0.5*(((A204+'Inputs'!$B$21+'Inputs'!$B$7+'Inputs'!$B$10)+'Inputs'!$B$9)/SQRT(((A204+'Inputs'!$B$21+'Inputs'!$B$7+'Inputs'!$B$10)+'Inputs'!$B$9)^2+('Inputs'!$B$8/2)^2)-((A204+'Inputs'!$B$21+'Inputs'!$B$7+'Inputs'!$B$10))/SQRT(((A204+'Inputs'!$B$21+'Inputs'!$B$7+'Inputs'!$B$10))^2+('Inputs'!$B$8/2)^2))))*'Results'!$B$8*'Results'!$B$9),""),"")</x:f>
        <x:v>0.36371014167838867</x:v>
      </x:c>
      <x:c r="C204" s="18" t="n">
        <x:f>IF('Results'!$B$6="Inputs accepted",IF(AND(ISNUMBER('Results'!C7),ISNUMBER('Results'!B7),ISNUMBER('Results'!$B$8),ISNUMBER('Results'!$B$9),ISNUMBER('Inputs'!$B$6),ISNUMBER('Inputs'!$B$7),ISNUMBER('Inputs'!$B$8),ISNUMBER('Inputs'!$B$9),ISNUMBER('Inputs'!$B$10),ISNUMBER('Inputs'!$B$21),ISNUMBER('Inputs'!$B$24),ISNUMBER('Inputs'!$B$28)),(('Results'!C7*(0.5*(((A204+'Inputs'!$B$21)+'Inputs'!$B$9)/SQRT(((A204+'Inputs'!$B$21)+'Inputs'!$B$9)^2+('Inputs'!$B$8/2)^2)-((A204+'Inputs'!$B$21))/SQRT(((A204+'Inputs'!$B$21))^2+('Inputs'!$B$8/2)^2)))-'Results'!B7*(0.5*(((A204+'Inputs'!$B$21+'Inputs'!$B$9+'Inputs'!$B$10)+'Inputs'!$B$7)/SQRT(((A204+'Inputs'!$B$21+'Inputs'!$B$9+'Inputs'!$B$10)+'Inputs'!$B$7)^2+('Inputs'!$B$6/2)^2)-((A204+'Inputs'!$B$21+'Inputs'!$B$9+'Inputs'!$B$10))/SQRT(((A204+'Inputs'!$B$21+'Inputs'!$B$9+'Inputs'!$B$10))^2+('Inputs'!$B$6/2)^2))))*'Results'!$B$8*'Results'!$B$9),""),"")</x:f>
        <x:v>0.32011645005435535</x:v>
      </x:c>
      <x:c r="D204" s="18" t="n">
        <x:f>IF('Results'!$B$6="Inputs accepted",'Results'!B12,"")</x:f>
        <x:v>112.38228018798189</x:v>
      </x:c>
      <x:c r="E204" s="18" t="n">
        <x:f>IF('Results'!$B$6="Inputs accepted",'Results'!C12,"")</x:f>
        <x:v>119.21786205905865</x:v>
      </x:c>
      <x:c r="F204" s="18" t="n">
        <x:f>IF('Results'!$B$6="Inputs accepted",'Results'!B14,"")</x:f>
        <x:v>66.9055158034782</x:v>
      </x:c>
      <x:c r="G204" s="18" t="n">
        <x:f>IF('Results'!$B$6="Inputs accepted",'Results'!C14,"")</x:f>
        <x:v>70.64020731289524</x:v>
      </x:c>
      <x:c r="H204" s="2"/>
      <x:c r="I204" s="2"/>
      <x:c r="J204" s="2"/>
      <x:c r="K204" s="2"/>
      <x:c r="L204" s="2"/>
    </x:row>
    <x:row r="205" ht="22" customHeight="1">
      <x:c r="A205" s="18" t="n">
        <x:f>(205-5)*'Inputs'!$B$33/200</x:f>
        <x:v>40</x:v>
      </x:c>
      <x:c r="B205" s="18" t="n">
        <x:f>IF('Results'!$B$6="Inputs accepted",IF(AND(ISNUMBER('Results'!B7),ISNUMBER('Results'!C7),ISNUMBER('Results'!$B$8),ISNUMBER('Results'!$B$9),ISNUMBER('Inputs'!$B$6),ISNUMBER('Inputs'!$B$7),ISNUMBER('Inputs'!$B$8),ISNUMBER('Inputs'!$B$9),ISNUMBER('Inputs'!$B$10),ISNUMBER('Inputs'!$B$21),ISNUMBER('Inputs'!$B$24),ISNUMBER('Inputs'!$B$28)),(('Results'!B7*(0.5*(((A205+'Inputs'!$B$21)+'Inputs'!$B$7)/SQRT(((A205+'Inputs'!$B$21)+'Inputs'!$B$7)^2+('Inputs'!$B$6/2)^2)-((A205+'Inputs'!$B$21))/SQRT(((A205+'Inputs'!$B$21))^2+('Inputs'!$B$6/2)^2)))-'Results'!C7*(0.5*(((A205+'Inputs'!$B$21+'Inputs'!$B$7+'Inputs'!$B$10)+'Inputs'!$B$9)/SQRT(((A205+'Inputs'!$B$21+'Inputs'!$B$7+'Inputs'!$B$10)+'Inputs'!$B$9)^2+('Inputs'!$B$8/2)^2)-((A205+'Inputs'!$B$21+'Inputs'!$B$7+'Inputs'!$B$10))/SQRT(((A205+'Inputs'!$B$21+'Inputs'!$B$7+'Inputs'!$B$10))^2+('Inputs'!$B$8/2)^2))))*'Results'!$B$8*'Results'!$B$9),""),"")</x:f>
        <x:v>0.35711200734114973</x:v>
      </x:c>
      <x:c r="C205" s="18" t="n">
        <x:f>IF('Results'!$B$6="Inputs accepted",IF(AND(ISNUMBER('Results'!C7),ISNUMBER('Results'!B7),ISNUMBER('Results'!$B$8),ISNUMBER('Results'!$B$9),ISNUMBER('Inputs'!$B$6),ISNUMBER('Inputs'!$B$7),ISNUMBER('Inputs'!$B$8),ISNUMBER('Inputs'!$B$9),ISNUMBER('Inputs'!$B$10),ISNUMBER('Inputs'!$B$21),ISNUMBER('Inputs'!$B$24),ISNUMBER('Inputs'!$B$28)),(('Results'!C7*(0.5*(((A205+'Inputs'!$B$21)+'Inputs'!$B$9)/SQRT(((A205+'Inputs'!$B$21)+'Inputs'!$B$9)^2+('Inputs'!$B$8/2)^2)-((A205+'Inputs'!$B$21))/SQRT(((A205+'Inputs'!$B$21))^2+('Inputs'!$B$8/2)^2)))-'Results'!B7*(0.5*(((A205+'Inputs'!$B$21+'Inputs'!$B$9+'Inputs'!$B$10)+'Inputs'!$B$7)/SQRT(((A205+'Inputs'!$B$21+'Inputs'!$B$9+'Inputs'!$B$10)+'Inputs'!$B$7)^2+('Inputs'!$B$6/2)^2)-((A205+'Inputs'!$B$21+'Inputs'!$B$9+'Inputs'!$B$10))/SQRT(((A205+'Inputs'!$B$21+'Inputs'!$B$9+'Inputs'!$B$10))^2+('Inputs'!$B$6/2)^2))))*'Results'!$B$8*'Results'!$B$9),""),"")</x:f>
        <x:v>0.31412622363170345</x:v>
      </x:c>
      <x:c r="D205" s="18" t="n">
        <x:f>IF('Results'!$B$6="Inputs accepted",'Results'!B12,"")</x:f>
        <x:v>112.38228018798189</x:v>
      </x:c>
      <x:c r="E205" s="18" t="n">
        <x:f>IF('Results'!$B$6="Inputs accepted",'Results'!C12,"")</x:f>
        <x:v>119.21786205905865</x:v>
      </x:c>
      <x:c r="F205" s="18" t="n">
        <x:f>IF('Results'!$B$6="Inputs accepted",'Results'!B14,"")</x:f>
        <x:v>66.9055158034782</x:v>
      </x:c>
      <x:c r="G205" s="18" t="n">
        <x:f>IF('Results'!$B$6="Inputs accepted",'Results'!C14,"")</x:f>
        <x:v>70.64020731289524</x:v>
      </x:c>
      <x:c r="H205" s="2"/>
      <x:c r="I205" s="2"/>
      <x:c r="J205" s="2"/>
      <x:c r="K205" s="2"/>
      <x:c r="L205" s="2"/>
    </x:row>
    <x:row r="206" ht="22" customHeight="1">
      <x:c r="A206" s="2"/>
      <x:c r="B206" s="2"/>
      <x:c r="C206" s="2"/>
      <x:c r="D206" s="2"/>
      <x:c r="E206" s="2"/>
      <x:c r="F206" s="2"/>
      <x:c r="G206" s="2"/>
      <x:c r="H206" s="2"/>
      <x:c r="I206" s="2"/>
      <x:c r="J206" s="2"/>
      <x:c r="K206" s="2"/>
      <x:c r="L206" s="2"/>
    </x:row>
    <x:row r="207" ht="22" customHeight="1">
      <x:c r="A207" s="2"/>
      <x:c r="B207" s="2"/>
      <x:c r="C207" s="2"/>
      <x:c r="D207" s="2"/>
      <x:c r="E207" s="2"/>
      <x:c r="F207" s="2"/>
      <x:c r="G207" s="2"/>
      <x:c r="H207" s="2"/>
      <x:c r="I207" s="2"/>
      <x:c r="J207" s="2"/>
      <x:c r="K207" s="2"/>
      <x:c r="L207" s="2"/>
    </x:row>
    <x:row r="208" ht="22" customHeight="1">
      <x:c r="A208" s="2"/>
      <x:c r="B208" s="2"/>
      <x:c r="C208" s="2"/>
      <x:c r="D208" s="2"/>
      <x:c r="E208" s="2"/>
      <x:c r="F208" s="2"/>
      <x:c r="G208" s="2"/>
      <x:c r="H208" s="2"/>
      <x:c r="I208" s="2"/>
      <x:c r="J208" s="2"/>
      <x:c r="K208" s="2"/>
      <x:c r="L208" s="2"/>
    </x:row>
    <x:row r="209" ht="22" customHeight="1">
      <x:c r="A209" s="2"/>
      <x:c r="B209" s="2"/>
      <x:c r="C209" s="2"/>
      <x:c r="D209" s="2"/>
      <x:c r="E209" s="2"/>
      <x:c r="F209" s="2"/>
      <x:c r="G209" s="2"/>
      <x:c r="H209" s="2"/>
      <x:c r="I209" s="2"/>
      <x:c r="J209" s="2"/>
      <x:c r="K209" s="2"/>
      <x:c r="L209" s="2"/>
    </x:row>
    <x:row r="210" ht="22" customHeight="1">
      <x:c r="A210" s="2"/>
      <x:c r="B210" s="2"/>
      <x:c r="C210" s="2"/>
      <x:c r="D210" s="2"/>
      <x:c r="E210" s="2"/>
      <x:c r="F210" s="2"/>
      <x:c r="G210" s="2"/>
      <x:c r="H210" s="2"/>
      <x:c r="I210" s="2"/>
      <x:c r="J210" s="2"/>
      <x:c r="K210" s="2"/>
      <x:c r="L210" s="2"/>
    </x:row>
    <x:row r="211" ht="22" customHeight="1">
      <x:c r="A211" s="2"/>
      <x:c r="B211" s="2"/>
      <x:c r="C211" s="2"/>
      <x:c r="D211" s="2"/>
      <x:c r="E211" s="2"/>
      <x:c r="F211" s="2"/>
      <x:c r="G211" s="2"/>
      <x:c r="H211" s="2"/>
      <x:c r="I211" s="2"/>
      <x:c r="J211" s="2"/>
      <x:c r="K211" s="2"/>
      <x:c r="L211" s="2"/>
    </x:row>
    <x:row r="212" ht="22" customHeight="1">
      <x:c r="A212" s="2"/>
      <x:c r="B212" s="2"/>
      <x:c r="C212" s="2"/>
      <x:c r="D212" s="2"/>
      <x:c r="E212" s="2"/>
      <x:c r="F212" s="2"/>
      <x:c r="G212" s="2"/>
      <x:c r="H212" s="2"/>
      <x:c r="I212" s="2"/>
      <x:c r="J212" s="2"/>
      <x:c r="K212" s="2"/>
      <x:c r="L212" s="2"/>
    </x:row>
    <x:row r="213" ht="22" customHeight="1">
      <x:c r="A213" s="2"/>
      <x:c r="B213" s="2"/>
      <x:c r="C213" s="2"/>
      <x:c r="D213" s="2"/>
      <x:c r="E213" s="2"/>
      <x:c r="F213" s="2"/>
      <x:c r="G213" s="2"/>
      <x:c r="H213" s="2"/>
      <x:c r="I213" s="2"/>
      <x:c r="J213" s="2"/>
      <x:c r="K213" s="2"/>
      <x:c r="L213" s="2"/>
    </x:row>
    <x:row r="214" ht="22" customHeight="1">
      <x:c r="A214" s="2"/>
      <x:c r="B214" s="2"/>
      <x:c r="C214" s="2"/>
      <x:c r="D214" s="2"/>
      <x:c r="E214" s="2"/>
      <x:c r="F214" s="2"/>
      <x:c r="G214" s="2"/>
      <x:c r="H214" s="2"/>
      <x:c r="I214" s="2"/>
      <x:c r="J214" s="2"/>
      <x:c r="K214" s="2"/>
      <x:c r="L214" s="2"/>
    </x:row>
    <x:row r="215" ht="22" customHeight="1">
      <x:c r="A215" s="2"/>
      <x:c r="B215" s="2"/>
      <x:c r="C215" s="2"/>
      <x:c r="D215" s="2"/>
      <x:c r="E215" s="2"/>
      <x:c r="F215" s="2"/>
      <x:c r="G215" s="2"/>
      <x:c r="H215" s="2"/>
      <x:c r="I215" s="2"/>
      <x:c r="J215" s="2"/>
      <x:c r="K215" s="2"/>
      <x:c r="L215" s="2"/>
    </x:row>
    <x:row r="216" ht="22" customHeight="1">
      <x:c r="A216" s="2"/>
      <x:c r="B216" s="2"/>
      <x:c r="C216" s="2"/>
      <x:c r="D216" s="2"/>
      <x:c r="E216" s="2"/>
      <x:c r="F216" s="2"/>
      <x:c r="G216" s="2"/>
      <x:c r="H216" s="2"/>
      <x:c r="I216" s="2"/>
      <x:c r="J216" s="2"/>
      <x:c r="K216" s="2"/>
      <x:c r="L216" s="2"/>
    </x:row>
  </x:sheetData>
  <x:pageMargins left="0.7" right="0.7" top="0.75" bottom="0.75" header="0.3" footer="0.3"/>
  <x:drawing xmlns:r="http://schemas.openxmlformats.org/officeDocument/2006/relationships" r:id="Rb9a95ab8bea54bf7"/>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s>
  <x:sheetData>
    <x:row r="1" ht="22" customHeight="1">
      <x:c r="A1" s="3" t="str">
        <x:v>Normal B-H recoil model</x:v>
      </x:c>
      <x:c r="B1" s="2"/>
      <x:c r="C1" s="2"/>
      <x:c r="D1" s="2"/>
      <x:c r="E1" s="2"/>
      <x:c r="F1" s="2"/>
      <x:c r="G1" s="2"/>
      <x:c r="H1" s="2"/>
      <x:c r="I1" s="2"/>
      <x:c r="J1" s="2"/>
      <x:c r="K1" s="2"/>
      <x:c r="L1" s="2"/>
    </x:row>
    <x:row r="2" ht="22" customHeight="1">
      <x:c r="A2" s="4" t="str">
        <x:v>Illustrative effective assembly Pc. No intrinsic demagnetization knee is inferred. H in kA/m; B in tesla.</x:v>
      </x:c>
      <x:c r="B2" s="2"/>
      <x:c r="C2" s="2"/>
      <x:c r="D2" s="2"/>
      <x:c r="E2" s="2"/>
      <x:c r="F2" s="2"/>
      <x:c r="G2" s="2"/>
      <x:c r="H2" s="2"/>
      <x:c r="I2" s="2"/>
      <x:c r="J2" s="2"/>
      <x:c r="K2" s="2"/>
      <x:c r="L2" s="2"/>
    </x:row>
    <x:row r="3" ht="22" customHeight="1">
      <x:c r="A3" s="2"/>
      <x:c r="B3" s="2"/>
      <x:c r="C3" s="2"/>
      <x:c r="D3" s="2"/>
      <x:c r="E3" s="2"/>
      <x:c r="F3" s="2"/>
      <x:c r="G3" s="2"/>
      <x:c r="H3" s="2"/>
      <x:c r="I3" s="2"/>
      <x:c r="J3" s="2"/>
      <x:c r="K3" s="2"/>
      <x:c r="L3" s="2"/>
    </x:row>
    <x:row r="4" ht="30" customHeight="1">
      <x:c r="A4" s="7" t="str">
        <x:v>Quantity</x:v>
      </x:c>
      <x:c r="B4" s="7" t="str">
        <x:v>Magnet 1</x:v>
      </x:c>
      <x:c r="C4" s="7" t="str">
        <x:v>Magnet 2</x:v>
      </x:c>
      <x:c r="D4" s="2"/>
      <x:c r="E4" s="2"/>
      <x:c r="F4" s="2"/>
      <x:c r="G4" s="2"/>
      <x:c r="H4" s="2"/>
      <x:c r="I4" s="2"/>
      <x:c r="J4" s="2"/>
      <x:c r="K4" s="2"/>
      <x:c r="L4" s="2"/>
    </x:row>
    <x:row r="5" ht="34" customHeight="1">
      <x:c r="A5" s="2" t="str">
        <x:v>Effective Pc</x:v>
      </x:c>
      <x:c r="B5" s="19" t="n">
        <x:f>IF('Results'!$B$6&lt;&gt;"Inputs accepted","",'Inputs'!$B$41)</x:f>
        <x:v>0.5</x:v>
      </x:c>
      <x:c r="C5" s="19" t="n">
        <x:f>IF('Results'!$B$6&lt;&gt;"Inputs accepted","",'Inputs'!$B$42)</x:f>
        <x:v>0.5</x:v>
      </x:c>
      <x:c r="D5" s="2"/>
      <x:c r="E5" s="2"/>
      <x:c r="F5" s="2"/>
      <x:c r="G5" s="2"/>
      <x:c r="H5" s="2"/>
      <x:c r="I5" s="2"/>
      <x:c r="J5" s="2"/>
      <x:c r="K5" s="2"/>
      <x:c r="L5" s="2"/>
    </x:row>
    <x:row r="6" ht="34" customHeight="1">
      <x:c r="A6" s="2" t="str">
        <x:v>Initial polarization J (T)</x:v>
      </x:c>
      <x:c r="B6" s="19" t="n">
        <x:f>IF('Results'!$B$6&lt;&gt;"Inputs accepted","",'Results'!B7*'Results'!$B$8/10000)</x:f>
        <x:v>1.0643683572898999</x:v>
      </x:c>
      <x:c r="C6" s="19" t="n">
        <x:f>IF('Results'!$B$6&lt;&gt;"Inputs accepted","",'Results'!C7*'Results'!$B$8/10000)</x:f>
        <x:v>1.0430809901441018</x:v>
      </x:c>
      <x:c r="D6" s="2"/>
      <x:c r="E6" s="2"/>
      <x:c r="F6" s="2"/>
      <x:c r="G6" s="2"/>
      <x:c r="H6" s="2"/>
      <x:c r="I6" s="2"/>
      <x:c r="J6" s="2"/>
      <x:c r="K6" s="2"/>
      <x:c r="L6" s="2"/>
    </x:row>
    <x:row r="7" ht="34" customHeight="1">
      <x:c r="A7" s="2" t="str">
        <x:v>Inferred recoil intercept Br* (T)</x:v>
      </x:c>
      <x:c r="B7" s="19" t="n">
        <x:f>IF('Results'!$B$6&lt;&gt;"Inputs accepted","",B6*(B5+'Inputs'!$B$43)/(B5+1))</x:f>
        <x:v>1.0998473025328965</x:v>
      </x:c>
      <x:c r="C7" s="19" t="n">
        <x:f>IF('Results'!$B$6&lt;&gt;"Inputs accepted","",C6*(C5+'Inputs'!$B$43)/(C5+1))</x:f>
        <x:v>1.0778503564822386</x:v>
      </x:c>
      <x:c r="D7" s="2"/>
      <x:c r="E7" s="2"/>
      <x:c r="F7" s="2"/>
      <x:c r="G7" s="2"/>
      <x:c r="H7" s="2"/>
      <x:c r="I7" s="2"/>
      <x:c r="J7" s="2"/>
      <x:c r="K7" s="2"/>
      <x:c r="L7" s="2"/>
    </x:row>
    <x:row r="8" ht="34" customHeight="1">
      <x:c r="A8" s="2" t="str">
        <x:v>Initial operating H (kA/m)</x:v>
      </x:c>
      <x:c r="B8" s="19" t="n">
        <x:f>IF('Results'!$B$6&lt;&gt;"Inputs accepted","",-B6/(4*PI()*0.0000001*(B5+1))/1000)</x:f>
        <x:v>-564.6649511109605</x:v>
      </x:c>
      <x:c r="C8" s="19" t="n">
        <x:f>IF('Results'!$B$6&lt;&gt;"Inputs accepted","",-C6/(4*PI()*0.0000001*(C5+1))/1000)</x:f>
        <x:v>-553.3716520887413</x:v>
      </x:c>
      <x:c r="D8" s="2"/>
      <x:c r="E8" s="2"/>
      <x:c r="F8" s="2"/>
      <x:c r="G8" s="2"/>
      <x:c r="H8" s="2"/>
      <x:c r="I8" s="2"/>
      <x:c r="J8" s="2"/>
      <x:c r="K8" s="2"/>
      <x:c r="L8" s="2"/>
    </x:row>
    <x:row r="9" ht="34" customHeight="1">
      <x:c r="A9" s="2" t="str">
        <x:v>Initial operating B (T)</x:v>
      </x:c>
      <x:c r="B9" s="19" t="n">
        <x:f>IF('Results'!$B$6&lt;&gt;"Inputs accepted","",B6*B5/(B5+1))</x:f>
        <x:v>0.3547894524299666</x:v>
      </x:c>
      <x:c r="C9" s="19" t="n">
        <x:f>IF('Results'!$B$6&lt;&gt;"Inputs accepted","",C6*C5/(C5+1))</x:f>
        <x:v>0.34769366338136726</x:v>
      </x:c>
      <x:c r="D9" s="2"/>
      <x:c r="E9" s="2"/>
      <x:c r="F9" s="2"/>
      <x:c r="G9" s="2"/>
      <x:c r="H9" s="2"/>
      <x:c r="I9" s="2"/>
      <x:c r="J9" s="2"/>
      <x:c r="K9" s="2"/>
      <x:c r="L9" s="2"/>
    </x:row>
    <x:row r="10" ht="34" customHeight="1">
      <x:c r="A10" s="2" t="str">
        <x:v>Common q at switch loss</x:v>
      </x:c>
      <x:c r="B10" s="19" t="n">
        <x:f>IF('Results'!$B$6&lt;&gt;"Inputs accepted","",IF(AND(ISNUMBER('Results'!B31),'Results'!B31&gt;0,'Results'!B31&lt;1),'Results'!B31,""))</x:f>
        <x:v>0.1793229638561326</x:v>
      </x:c>
      <x:c r="C10" s="19" t="n">
        <x:f>IF('Results'!$B$6&lt;&gt;"Inputs accepted","",IF(AND(ISNUMBER('Results'!C31),'Results'!C31&gt;0,'Results'!C31&lt;1),'Results'!C31,""))</x:f>
        <x:v>0.19566922137947063</x:v>
      </x:c>
      <x:c r="D10" s="2"/>
      <x:c r="E10" s="2"/>
      <x:c r="F10" s="2"/>
      <x:c r="G10" s="2"/>
      <x:c r="H10" s="2"/>
      <x:c r="I10" s="2"/>
      <x:c r="J10" s="2"/>
      <x:c r="K10" s="2"/>
      <x:c r="L10" s="2"/>
    </x:row>
    <x:row r="11" ht="34" customHeight="1">
      <x:c r="A11" s="2" t="str">
        <x:v>Loss operating H (kA/m)</x:v>
      </x:c>
      <x:c r="B11" s="19" t="n">
        <x:f>IF('Results'!$B$6&lt;&gt;"Inputs accepted","",IF(B10="","",B8*B10))</x:f>
        <x:v>-101.25739261889565</x:v>
      </x:c>
      <x:c r="C11" s="19" t="n">
        <x:f>IF('Results'!$B$6&lt;&gt;"Inputs accepted","",IF(C10="","",C8*C10))</x:f>
        <x:v>-108.27780029767531</x:v>
      </x:c>
      <x:c r="D11" s="2"/>
      <x:c r="E11" s="2"/>
      <x:c r="F11" s="2"/>
      <x:c r="G11" s="2"/>
      <x:c r="H11" s="2"/>
      <x:c r="I11" s="2"/>
      <x:c r="J11" s="2"/>
      <x:c r="K11" s="2"/>
      <x:c r="L11" s="2"/>
    </x:row>
    <x:row r="12" ht="34" customHeight="1">
      <x:c r="A12" s="2" t="str">
        <x:v>Loss operating B (T)</x:v>
      </x:c>
      <x:c r="B12" s="19" t="n">
        <x:f>IF('Results'!$B$6&lt;&gt;"Inputs accepted","",IF(B10="","",B9*B10))</x:f>
        <x:v>0.06362189615463598</x:v>
      </x:c>
      <x:c r="C12" s="19" t="n">
        <x:f>IF('Results'!$B$6&lt;&gt;"Inputs accepted","",IF(C10="","",C9*C10))</x:f>
        <x:v>0.0680329483924079</x:v>
      </x:c>
      <x:c r="D12" s="2"/>
      <x:c r="E12" s="2"/>
      <x:c r="F12" s="2"/>
      <x:c r="G12" s="2"/>
      <x:c r="H12" s="2"/>
      <x:c r="I12" s="2"/>
      <x:c r="J12" s="2"/>
      <x:c r="K12" s="2"/>
      <x:c r="L12" s="2"/>
    </x:row>
    <x:row r="13" ht="34" customHeight="1">
      <x:c r="A13" s="2" t="str">
        <x:v>Aged recoil intercept (T)</x:v>
      </x:c>
      <x:c r="B13" s="19" t="n">
        <x:f>IF('Results'!$B$6&lt;&gt;"Inputs accepted","",IF(B10="","",B7*B10))</x:f>
        <x:v>0.19722787807937156</x:v>
      </x:c>
      <x:c r="C13" s="19" t="n">
        <x:f>IF('Results'!$B$6&lt;&gt;"Inputs accepted","",IF(C10="","",C7*C10))</x:f>
        <x:v>0.21090214001646448</x:v>
      </x:c>
      <x:c r="D13" s="2"/>
      <x:c r="E13" s="2"/>
      <x:c r="F13" s="2"/>
      <x:c r="G13" s="2"/>
      <x:c r="H13" s="2"/>
      <x:c r="I13" s="2"/>
      <x:c r="J13" s="2"/>
      <x:c r="K13" s="2"/>
      <x:c r="L13" s="2"/>
    </x:row>
    <x:row r="14" ht="22" customHeight="1">
      <x:c r="A14" s="2"/>
      <x:c r="B14" s="2"/>
      <x:c r="C14" s="2"/>
      <x:c r="D14" s="2"/>
      <x:c r="E14" s="2"/>
      <x:c r="F14" s="2"/>
      <x:c r="G14" s="2"/>
      <x:c r="H14" s="2"/>
      <x:c r="I14" s="2"/>
      <x:c r="J14" s="2"/>
      <x:c r="K14" s="2"/>
      <x:c r="L14" s="2"/>
    </x:row>
    <x:row r="15" ht="22" customHeight="1">
      <x:c r="A15" s="2"/>
      <x:c r="B15" s="2"/>
      <x:c r="C15" s="2"/>
      <x:c r="D15" s="2"/>
      <x:c r="E15" s="2"/>
      <x:c r="F15" s="2"/>
      <x:c r="G15" s="2"/>
      <x:c r="H15" s="2"/>
      <x:c r="I15" s="2"/>
      <x:c r="J15" s="2"/>
      <x:c r="K15" s="2"/>
      <x:c r="L15" s="2"/>
    </x:row>
    <x:row r="16" ht="22" customHeight="1">
      <x:c r="A16" s="2"/>
      <x:c r="B16" s="2"/>
      <x:c r="C16" s="2"/>
      <x:c r="D16" s="2"/>
      <x:c r="E16" s="2"/>
      <x:c r="F16" s="2"/>
      <x:c r="G16" s="2"/>
      <x:c r="H16" s="2"/>
      <x:c r="I16" s="2"/>
      <x:c r="J16" s="2"/>
      <x:c r="K16" s="2"/>
      <x:c r="L16" s="2"/>
    </x:row>
    <x:row r="17" ht="30" customHeight="1">
      <x:c r="A17" s="7" t="str">
        <x:v>H (kA/m)</x:v>
      </x:c>
      <x:c r="B17" s="7" t="str">
        <x:v>M1 initial recoil (T)</x:v>
      </x:c>
      <x:c r="C17" s="7" t="str">
        <x:v>M2 initial recoil (T)</x:v>
      </x:c>
      <x:c r="D17" s="7" t="str">
        <x:v>M1 at switch loss (T)</x:v>
      </x:c>
      <x:c r="E17" s="7" t="str">
        <x:v>M2 at switch loss (T)</x:v>
      </x:c>
      <x:c r="F17" s="7" t="str">
        <x:v>M1 load line (T)</x:v>
      </x:c>
      <x:c r="G17" s="7" t="str">
        <x:v>M2 load line (T)</x:v>
      </x:c>
      <x:c r="H17" s="7" t="str">
        <x:v>M1 loss point (T)</x:v>
      </x:c>
      <x:c r="I17" s="7" t="str">
        <x:v>M2 loss point (T)</x:v>
      </x:c>
      <x:c r="J17" s="2"/>
      <x:c r="K17" s="2"/>
      <x:c r="L17" s="2"/>
    </x:row>
    <x:row r="18" ht="22" customHeight="1">
      <x:c r="A18" s="19" t="n">
        <x:f>IF('Results'!$B$6&lt;&gt;"Inputs accepted",0,-MAX($B$7,$C$7)/(4*PI()*0.0000001*'Inputs'!$B$43)/1000*(118-18)/100)</x:f>
        <x:v>-833.5530230685606</x:v>
      </x:c>
      <x:c r="B18" s="19" t="n">
        <x:f>IF('Results'!$B$6&lt;&gt;"Inputs accepted","",IF(OR('Results'!$B$6&lt;&gt;"Inputs accepted",$B$7=""),"",IF($B$7+4*PI()*0.0000001*'Inputs'!$B$43*A18*1000&lt;0,"",$B$7+4*PI()*0.0000001*'Inputs'!$B$43*A18*1000)))</x:f>
        <x:v>0</x:v>
      </x:c>
      <x:c r="C18" s="19" t="str">
        <x:f>IF('Results'!$B$6&lt;&gt;"Inputs accepted","",IF(OR('Results'!$B$6&lt;&gt;"Inputs accepted",$C$7=""),"",IF($C$7+4*PI()*0.0000001*'Inputs'!$B$43*A18*1000&lt;0,"",$C$7+4*PI()*0.0000001*'Inputs'!$B$43*A18*1000)))</x:f>
      </x:c>
      <x:c r="D18" s="19" t="str">
        <x:f>IF('Results'!$B$6&lt;&gt;"Inputs accepted","",IF(OR('Results'!$B$6&lt;&gt;"Inputs accepted",$B$13=""),"",IF($B$13+4*PI()*0.0000001*'Inputs'!$B$43*A18*1000&lt;0,"",$B$13+4*PI()*0.0000001*'Inputs'!$B$43*A18*1000)))</x:f>
      </x:c>
      <x:c r="E18" s="19" t="str">
        <x:f>IF('Results'!$B$6&lt;&gt;"Inputs accepted","",IF(OR('Results'!$B$6&lt;&gt;"Inputs accepted",$C$13=""),"",IF($C$13+4*PI()*0.0000001*'Inputs'!$B$43*A18*1000&lt;0,"",$C$13+4*PI()*0.0000001*'Inputs'!$B$43*A18*1000)))</x:f>
      </x:c>
      <x:c r="F18" s="19" t="n">
        <x:f>IF('Results'!$B$6&lt;&gt;"Inputs accepted","",IF('Results'!$B$6="Inputs accepted",-4*PI()*0.0000001*$B$5*A18*1000,""))</x:f>
        <x:v>0.5237368107299506</x:v>
      </x:c>
      <x:c r="G18" s="19" t="n">
        <x:f>IF('Results'!$B$6&lt;&gt;"Inputs accepted","",IF('Results'!$B$6="Inputs accepted",-4*PI()*0.0000001*$C$5*A18*1000,""))</x:f>
        <x:v>0.5237368107299506</x:v>
      </x:c>
      <x:c r="H18" s="19" t="str">
        <x:f>""</x:f>
      </x:c>
      <x:c r="I18" s="19" t="str">
        <x:f>""</x:f>
      </x:c>
      <x:c r="J18" s="2"/>
      <x:c r="K18" s="2"/>
      <x:c r="L18" s="2"/>
    </x:row>
    <x:row r="19" ht="22" customHeight="1">
      <x:c r="A19" s="19" t="n">
        <x:f>IF('Results'!$B$6&lt;&gt;"Inputs accepted",0,-MAX($B$7,$C$7)/(4*PI()*0.0000001*'Inputs'!$B$43)/1000*(118-19)/100)</x:f>
        <x:v>-825.217492837875</x:v>
      </x:c>
      <x:c r="B19" s="19" t="n">
        <x:f>IF('Results'!$B$6&lt;&gt;"Inputs accepted","",IF(OR('Results'!$B$6&lt;&gt;"Inputs accepted",$B$7=""),"",IF($B$7+4*PI()*0.0000001*'Inputs'!$B$43*A19*1000&lt;0,"",$B$7+4*PI()*0.0000001*'Inputs'!$B$43*A19*1000)))</x:f>
        <x:v>0.01099847302532897</x:v>
      </x:c>
      <x:c r="C19" s="19" t="str">
        <x:f>IF('Results'!$B$6&lt;&gt;"Inputs accepted","",IF(OR('Results'!$B$6&lt;&gt;"Inputs accepted",$C$7=""),"",IF($C$7+4*PI()*0.0000001*'Inputs'!$B$43*A19*1000&lt;0,"",$C$7+4*PI()*0.0000001*'Inputs'!$B$43*A19*1000)))</x:f>
      </x:c>
      <x:c r="D19" s="19" t="str">
        <x:f>IF('Results'!$B$6&lt;&gt;"Inputs accepted","",IF(OR('Results'!$B$6&lt;&gt;"Inputs accepted",$B$13=""),"",IF($B$13+4*PI()*0.0000001*'Inputs'!$B$43*A19*1000&lt;0,"",$B$13+4*PI()*0.0000001*'Inputs'!$B$43*A19*1000)))</x:f>
      </x:c>
      <x:c r="E19" s="19" t="str">
        <x:f>IF('Results'!$B$6&lt;&gt;"Inputs accepted","",IF(OR('Results'!$B$6&lt;&gt;"Inputs accepted",$C$13=""),"",IF($C$13+4*PI()*0.0000001*'Inputs'!$B$43*A19*1000&lt;0,"",$C$13+4*PI()*0.0000001*'Inputs'!$B$43*A19*1000)))</x:f>
      </x:c>
      <x:c r="F19" s="19" t="n">
        <x:f>IF('Results'!$B$6&lt;&gt;"Inputs accepted","",IF('Results'!$B$6="Inputs accepted",-4*PI()*0.0000001*$B$5*A19*1000,""))</x:f>
        <x:v>0.5184994426226512</x:v>
      </x:c>
      <x:c r="G19" s="19" t="n">
        <x:f>IF('Results'!$B$6&lt;&gt;"Inputs accepted","",IF('Results'!$B$6="Inputs accepted",-4*PI()*0.0000001*$C$5*A19*1000,""))</x:f>
        <x:v>0.5184994426226512</x:v>
      </x:c>
      <x:c r="H19" s="19" t="str">
        <x:f>""</x:f>
      </x:c>
      <x:c r="I19" s="19" t="str">
        <x:f>""</x:f>
      </x:c>
      <x:c r="J19" s="2"/>
      <x:c r="K19" s="2"/>
      <x:c r="L19" s="2"/>
    </x:row>
    <x:row r="20" ht="22" customHeight="1">
      <x:c r="A20" s="19" t="n">
        <x:f>IF('Results'!$B$6&lt;&gt;"Inputs accepted",0,-MAX($B$7,$C$7)/(4*PI()*0.0000001*'Inputs'!$B$43)/1000*(118-20)/100)</x:f>
        <x:v>-816.8819626071894</x:v>
      </x:c>
      <x:c r="B20" s="19" t="n">
        <x:f>IF('Results'!$B$6&lt;&gt;"Inputs accepted","",IF(OR('Results'!$B$6&lt;&gt;"Inputs accepted",$B$7=""),"",IF($B$7+4*PI()*0.0000001*'Inputs'!$B$43*A20*1000&lt;0,"",$B$7+4*PI()*0.0000001*'Inputs'!$B$43*A20*1000)))</x:f>
        <x:v>0.02199694605065816</x:v>
      </x:c>
      <x:c r="C20" s="19" t="n">
        <x:f>IF('Results'!$B$6&lt;&gt;"Inputs accepted","",IF(OR('Results'!$B$6&lt;&gt;"Inputs accepted",$C$7=""),"",IF($C$7+4*PI()*0.0000001*'Inputs'!$B$43*A20*1000&lt;0,"",$C$7+4*PI()*0.0000001*'Inputs'!$B$43*A20*1000)))</x:f>
        <x:v>2.220446049250313e-16</x:v>
      </x:c>
      <x:c r="D20" s="19" t="str">
        <x:f>IF('Results'!$B$6&lt;&gt;"Inputs accepted","",IF(OR('Results'!$B$6&lt;&gt;"Inputs accepted",$B$13=""),"",IF($B$13+4*PI()*0.0000001*'Inputs'!$B$43*A20*1000&lt;0,"",$B$13+4*PI()*0.0000001*'Inputs'!$B$43*A20*1000)))</x:f>
      </x:c>
      <x:c r="E20" s="19" t="str">
        <x:f>IF('Results'!$B$6&lt;&gt;"Inputs accepted","",IF(OR('Results'!$B$6&lt;&gt;"Inputs accepted",$C$13=""),"",IF($C$13+4*PI()*0.0000001*'Inputs'!$B$43*A20*1000&lt;0,"",$C$13+4*PI()*0.0000001*'Inputs'!$B$43*A20*1000)))</x:f>
      </x:c>
      <x:c r="F20" s="19" t="n">
        <x:f>IF('Results'!$B$6&lt;&gt;"Inputs accepted","",IF('Results'!$B$6="Inputs accepted",-4*PI()*0.0000001*$B$5*A20*1000,""))</x:f>
        <x:v>0.5132620745153517</x:v>
      </x:c>
      <x:c r="G20" s="19" t="n">
        <x:f>IF('Results'!$B$6&lt;&gt;"Inputs accepted","",IF('Results'!$B$6="Inputs accepted",-4*PI()*0.0000001*$C$5*A20*1000,""))</x:f>
        <x:v>0.5132620745153517</x:v>
      </x:c>
      <x:c r="H20" s="19" t="str">
        <x:f>""</x:f>
      </x:c>
      <x:c r="I20" s="19" t="str">
        <x:f>""</x:f>
      </x:c>
      <x:c r="J20" s="2"/>
      <x:c r="K20" s="2"/>
      <x:c r="L20" s="2"/>
    </x:row>
    <x:row r="21" ht="22" customHeight="1">
      <x:c r="A21" s="19" t="n">
        <x:f>IF('Results'!$B$6&lt;&gt;"Inputs accepted",0,-MAX($B$7,$C$7)/(4*PI()*0.0000001*'Inputs'!$B$43)/1000*(118-21)/100)</x:f>
        <x:v>-808.5464323765038</x:v>
      </x:c>
      <x:c r="B21" s="19" t="n">
        <x:f>IF('Results'!$B$6&lt;&gt;"Inputs accepted","",IF(OR('Results'!$B$6&lt;&gt;"Inputs accepted",$B$7=""),"",IF($B$7+4*PI()*0.0000001*'Inputs'!$B$43*A21*1000&lt;0,"",$B$7+4*PI()*0.0000001*'Inputs'!$B$43*A21*1000)))</x:f>
        <x:v>0.03299541907598691</x:v>
      </x:c>
      <x:c r="C21" s="19" t="n">
        <x:f>IF('Results'!$B$6&lt;&gt;"Inputs accepted","",IF(OR('Results'!$B$6&lt;&gt;"Inputs accepted",$C$7=""),"",IF($C$7+4*PI()*0.0000001*'Inputs'!$B$43*A21*1000&lt;0,"",$C$7+4*PI()*0.0000001*'Inputs'!$B$43*A21*1000)))</x:f>
        <x:v>0.01099847302532897</x:v>
      </x:c>
      <x:c r="D21" s="19" t="str">
        <x:f>IF('Results'!$B$6&lt;&gt;"Inputs accepted","",IF(OR('Results'!$B$6&lt;&gt;"Inputs accepted",$B$13=""),"",IF($B$13+4*PI()*0.0000001*'Inputs'!$B$43*A21*1000&lt;0,"",$B$13+4*PI()*0.0000001*'Inputs'!$B$43*A21*1000)))</x:f>
      </x:c>
      <x:c r="E21" s="19" t="str">
        <x:f>IF('Results'!$B$6&lt;&gt;"Inputs accepted","",IF(OR('Results'!$B$6&lt;&gt;"Inputs accepted",$C$13=""),"",IF($C$13+4*PI()*0.0000001*'Inputs'!$B$43*A21*1000&lt;0,"",$C$13+4*PI()*0.0000001*'Inputs'!$B$43*A21*1000)))</x:f>
      </x:c>
      <x:c r="F21" s="19" t="n">
        <x:f>IF('Results'!$B$6&lt;&gt;"Inputs accepted","",IF('Results'!$B$6="Inputs accepted",-4*PI()*0.0000001*$B$5*A21*1000,""))</x:f>
        <x:v>0.5080247064080522</x:v>
      </x:c>
      <x:c r="G21" s="19" t="n">
        <x:f>IF('Results'!$B$6&lt;&gt;"Inputs accepted","",IF('Results'!$B$6="Inputs accepted",-4*PI()*0.0000001*$C$5*A21*1000,""))</x:f>
        <x:v>0.5080247064080522</x:v>
      </x:c>
      <x:c r="H21" s="19" t="str">
        <x:f>""</x:f>
      </x:c>
      <x:c r="I21" s="19" t="str">
        <x:f>""</x:f>
      </x:c>
      <x:c r="J21" s="2"/>
      <x:c r="K21" s="2"/>
      <x:c r="L21" s="2"/>
    </x:row>
    <x:row r="22" ht="22" customHeight="1">
      <x:c r="A22" s="19" t="n">
        <x:f>IF('Results'!$B$6&lt;&gt;"Inputs accepted",0,-MAX($B$7,$C$7)/(4*PI()*0.0000001*'Inputs'!$B$43)/1000*(118-22)/100)</x:f>
        <x:v>-800.2109021458181</x:v>
      </x:c>
      <x:c r="B22" s="19" t="n">
        <x:f>IF('Results'!$B$6&lt;&gt;"Inputs accepted","",IF(OR('Results'!$B$6&lt;&gt;"Inputs accepted",$B$7=""),"",IF($B$7+4*PI()*0.0000001*'Inputs'!$B$43*A22*1000&lt;0,"",$B$7+4*PI()*0.0000001*'Inputs'!$B$43*A22*1000)))</x:f>
        <x:v>0.0439938921013161</x:v>
      </x:c>
      <x:c r="C22" s="19" t="n">
        <x:f>IF('Results'!$B$6&lt;&gt;"Inputs accepted","",IF(OR('Results'!$B$6&lt;&gt;"Inputs accepted",$C$7=""),"",IF($C$7+4*PI()*0.0000001*'Inputs'!$B$43*A22*1000&lt;0,"",$C$7+4*PI()*0.0000001*'Inputs'!$B$43*A22*1000)))</x:f>
        <x:v>0.02199694605065816</x:v>
      </x:c>
      <x:c r="D22" s="19" t="str">
        <x:f>IF('Results'!$B$6&lt;&gt;"Inputs accepted","",IF(OR('Results'!$B$6&lt;&gt;"Inputs accepted",$B$13=""),"",IF($B$13+4*PI()*0.0000001*'Inputs'!$B$43*A22*1000&lt;0,"",$B$13+4*PI()*0.0000001*'Inputs'!$B$43*A22*1000)))</x:f>
      </x:c>
      <x:c r="E22" s="19" t="str">
        <x:f>IF('Results'!$B$6&lt;&gt;"Inputs accepted","",IF(OR('Results'!$B$6&lt;&gt;"Inputs accepted",$C$13=""),"",IF($C$13+4*PI()*0.0000001*'Inputs'!$B$43*A22*1000&lt;0,"",$C$13+4*PI()*0.0000001*'Inputs'!$B$43*A22*1000)))</x:f>
      </x:c>
      <x:c r="F22" s="19" t="n">
        <x:f>IF('Results'!$B$6&lt;&gt;"Inputs accepted","",IF('Results'!$B$6="Inputs accepted",-4*PI()*0.0000001*$B$5*A22*1000,""))</x:f>
        <x:v>0.5027873383007526</x:v>
      </x:c>
      <x:c r="G22" s="19" t="n">
        <x:f>IF('Results'!$B$6&lt;&gt;"Inputs accepted","",IF('Results'!$B$6="Inputs accepted",-4*PI()*0.0000001*$C$5*A22*1000,""))</x:f>
        <x:v>0.5027873383007526</x:v>
      </x:c>
      <x:c r="H22" s="19" t="str">
        <x:f>""</x:f>
      </x:c>
      <x:c r="I22" s="19" t="str">
        <x:f>""</x:f>
      </x:c>
      <x:c r="J22" s="2"/>
      <x:c r="K22" s="2"/>
      <x:c r="L22" s="2"/>
    </x:row>
    <x:row r="23" ht="22" customHeight="1">
      <x:c r="A23" s="19" t="n">
        <x:f>IF('Results'!$B$6&lt;&gt;"Inputs accepted",0,-MAX($B$7,$C$7)/(4*PI()*0.0000001*'Inputs'!$B$43)/1000*(118-23)/100)</x:f>
        <x:v>-791.8753719151325</x:v>
      </x:c>
      <x:c r="B23" s="19" t="n">
        <x:f>IF('Results'!$B$6&lt;&gt;"Inputs accepted","",IF(OR('Results'!$B$6&lt;&gt;"Inputs accepted",$B$7=""),"",IF($B$7+4*PI()*0.0000001*'Inputs'!$B$43*A23*1000&lt;0,"",$B$7+4*PI()*0.0000001*'Inputs'!$B$43*A23*1000)))</x:f>
        <x:v>0.05499236512664485</x:v>
      </x:c>
      <x:c r="C23" s="19" t="n">
        <x:f>IF('Results'!$B$6&lt;&gt;"Inputs accepted","",IF(OR('Results'!$B$6&lt;&gt;"Inputs accepted",$C$7=""),"",IF($C$7+4*PI()*0.0000001*'Inputs'!$B$43*A23*1000&lt;0,"",$C$7+4*PI()*0.0000001*'Inputs'!$B$43*A23*1000)))</x:f>
        <x:v>0.03299541907598691</x:v>
      </x:c>
      <x:c r="D23" s="19" t="str">
        <x:f>IF('Results'!$B$6&lt;&gt;"Inputs accepted","",IF(OR('Results'!$B$6&lt;&gt;"Inputs accepted",$B$13=""),"",IF($B$13+4*PI()*0.0000001*'Inputs'!$B$43*A23*1000&lt;0,"",$B$13+4*PI()*0.0000001*'Inputs'!$B$43*A23*1000)))</x:f>
      </x:c>
      <x:c r="E23" s="19" t="str">
        <x:f>IF('Results'!$B$6&lt;&gt;"Inputs accepted","",IF(OR('Results'!$B$6&lt;&gt;"Inputs accepted",$C$13=""),"",IF($C$13+4*PI()*0.0000001*'Inputs'!$B$43*A23*1000&lt;0,"",$C$13+4*PI()*0.0000001*'Inputs'!$B$43*A23*1000)))</x:f>
      </x:c>
      <x:c r="F23" s="19" t="n">
        <x:f>IF('Results'!$B$6&lt;&gt;"Inputs accepted","",IF('Results'!$B$6="Inputs accepted",-4*PI()*0.0000001*$B$5*A23*1000,""))</x:f>
        <x:v>0.49754997019345315</x:v>
      </x:c>
      <x:c r="G23" s="19" t="n">
        <x:f>IF('Results'!$B$6&lt;&gt;"Inputs accepted","",IF('Results'!$B$6="Inputs accepted",-4*PI()*0.0000001*$C$5*A23*1000,""))</x:f>
        <x:v>0.49754997019345315</x:v>
      </x:c>
      <x:c r="H23" s="19" t="str">
        <x:f>""</x:f>
      </x:c>
      <x:c r="I23" s="19" t="str">
        <x:f>""</x:f>
      </x:c>
      <x:c r="J23" s="2"/>
      <x:c r="K23" s="2"/>
      <x:c r="L23" s="2"/>
    </x:row>
    <x:row r="24" ht="22" customHeight="1">
      <x:c r="A24" s="19" t="n">
        <x:f>IF('Results'!$B$6&lt;&gt;"Inputs accepted",0,-MAX($B$7,$C$7)/(4*PI()*0.0000001*'Inputs'!$B$43)/1000*(118-24)/100)</x:f>
        <x:v>-783.539841684447</x:v>
      </x:c>
      <x:c r="B24" s="19" t="n">
        <x:f>IF('Results'!$B$6&lt;&gt;"Inputs accepted","",IF(OR('Results'!$B$6&lt;&gt;"Inputs accepted",$B$7=""),"",IF($B$7+4*PI()*0.0000001*'Inputs'!$B$43*A24*1000&lt;0,"",$B$7+4*PI()*0.0000001*'Inputs'!$B$43*A24*1000)))</x:f>
        <x:v>0.06599083815197382</x:v>
      </x:c>
      <x:c r="C24" s="19" t="n">
        <x:f>IF('Results'!$B$6&lt;&gt;"Inputs accepted","",IF(OR('Results'!$B$6&lt;&gt;"Inputs accepted",$C$7=""),"",IF($C$7+4*PI()*0.0000001*'Inputs'!$B$43*A24*1000&lt;0,"",$C$7+4*PI()*0.0000001*'Inputs'!$B$43*A24*1000)))</x:f>
        <x:v>0.04399389210131588</x:v>
      </x:c>
      <x:c r="D24" s="19" t="str">
        <x:f>IF('Results'!$B$6&lt;&gt;"Inputs accepted","",IF(OR('Results'!$B$6&lt;&gt;"Inputs accepted",$B$13=""),"",IF($B$13+4*PI()*0.0000001*'Inputs'!$B$43*A24*1000&lt;0,"",$B$13+4*PI()*0.0000001*'Inputs'!$B$43*A24*1000)))</x:f>
      </x:c>
      <x:c r="E24" s="19" t="str">
        <x:f>IF('Results'!$B$6&lt;&gt;"Inputs accepted","",IF(OR('Results'!$B$6&lt;&gt;"Inputs accepted",$C$13=""),"",IF($C$13+4*PI()*0.0000001*'Inputs'!$B$43*A24*1000&lt;0,"",$C$13+4*PI()*0.0000001*'Inputs'!$B$43*A24*1000)))</x:f>
      </x:c>
      <x:c r="F24" s="19" t="n">
        <x:f>IF('Results'!$B$6&lt;&gt;"Inputs accepted","",IF('Results'!$B$6="Inputs accepted",-4*PI()*0.0000001*$B$5*A24*1000,""))</x:f>
        <x:v>0.4923126020861537</x:v>
      </x:c>
      <x:c r="G24" s="19" t="n">
        <x:f>IF('Results'!$B$6&lt;&gt;"Inputs accepted","",IF('Results'!$B$6="Inputs accepted",-4*PI()*0.0000001*$C$5*A24*1000,""))</x:f>
        <x:v>0.4923126020861537</x:v>
      </x:c>
      <x:c r="H24" s="19" t="str">
        <x:f>""</x:f>
      </x:c>
      <x:c r="I24" s="19" t="str">
        <x:f>""</x:f>
      </x:c>
      <x:c r="J24" s="2"/>
      <x:c r="K24" s="2"/>
      <x:c r="L24" s="2"/>
    </x:row>
    <x:row r="25" ht="22" customHeight="1">
      <x:c r="A25" s="19" t="n">
        <x:f>IF('Results'!$B$6&lt;&gt;"Inputs accepted",0,-MAX($B$7,$C$7)/(4*PI()*0.0000001*'Inputs'!$B$43)/1000*(118-25)/100)</x:f>
        <x:v>-775.2043114537613</x:v>
      </x:c>
      <x:c r="B25" s="19" t="n">
        <x:f>IF('Results'!$B$6&lt;&gt;"Inputs accepted","",IF(OR('Results'!$B$6&lt;&gt;"Inputs accepted",$B$7=""),"",IF($B$7+4*PI()*0.0000001*'Inputs'!$B$43*A25*1000&lt;0,"",$B$7+4*PI()*0.0000001*'Inputs'!$B$43*A25*1000)))</x:f>
        <x:v>0.07698931117730301</x:v>
      </x:c>
      <x:c r="C25" s="19" t="n">
        <x:f>IF('Results'!$B$6&lt;&gt;"Inputs accepted","",IF(OR('Results'!$B$6&lt;&gt;"Inputs accepted",$C$7=""),"",IF($C$7+4*PI()*0.0000001*'Inputs'!$B$43*A25*1000&lt;0,"",$C$7+4*PI()*0.0000001*'Inputs'!$B$43*A25*1000)))</x:f>
        <x:v>0.05499236512664507</x:v>
      </x:c>
      <x:c r="D25" s="19" t="str">
        <x:f>IF('Results'!$B$6&lt;&gt;"Inputs accepted","",IF(OR('Results'!$B$6&lt;&gt;"Inputs accepted",$B$13=""),"",IF($B$13+4*PI()*0.0000001*'Inputs'!$B$43*A25*1000&lt;0,"",$B$13+4*PI()*0.0000001*'Inputs'!$B$43*A25*1000)))</x:f>
      </x:c>
      <x:c r="E25" s="19" t="str">
        <x:f>IF('Results'!$B$6&lt;&gt;"Inputs accepted","",IF(OR('Results'!$B$6&lt;&gt;"Inputs accepted",$C$13=""),"",IF($C$13+4*PI()*0.0000001*'Inputs'!$B$43*A25*1000&lt;0,"",$C$13+4*PI()*0.0000001*'Inputs'!$B$43*A25*1000)))</x:f>
      </x:c>
      <x:c r="F25" s="19" t="n">
        <x:f>IF('Results'!$B$6&lt;&gt;"Inputs accepted","",IF('Results'!$B$6="Inputs accepted",-4*PI()*0.0000001*$B$5*A25*1000,""))</x:f>
        <x:v>0.4870752339788541</x:v>
      </x:c>
      <x:c r="G25" s="19" t="n">
        <x:f>IF('Results'!$B$6&lt;&gt;"Inputs accepted","",IF('Results'!$B$6="Inputs accepted",-4*PI()*0.0000001*$C$5*A25*1000,""))</x:f>
        <x:v>0.4870752339788541</x:v>
      </x:c>
      <x:c r="H25" s="19" t="str">
        <x:f>""</x:f>
      </x:c>
      <x:c r="I25" s="19" t="str">
        <x:f>""</x:f>
      </x:c>
      <x:c r="J25" s="2"/>
      <x:c r="K25" s="2"/>
      <x:c r="L25" s="2"/>
    </x:row>
    <x:row r="26" ht="22" customHeight="1">
      <x:c r="A26" s="19" t="n">
        <x:f>IF('Results'!$B$6&lt;&gt;"Inputs accepted",0,-MAX($B$7,$C$7)/(4*PI()*0.0000001*'Inputs'!$B$43)/1000*(118-26)/100)</x:f>
        <x:v>-766.8687812230758</x:v>
      </x:c>
      <x:c r="B26" s="19" t="n">
        <x:f>IF('Results'!$B$6&lt;&gt;"Inputs accepted","",IF(OR('Results'!$B$6&lt;&gt;"Inputs accepted",$B$7=""),"",IF($B$7+4*PI()*0.0000001*'Inputs'!$B$43*A26*1000&lt;0,"",$B$7+4*PI()*0.0000001*'Inputs'!$B$43*A26*1000)))</x:f>
        <x:v>0.08798778420263176</x:v>
      </x:c>
      <x:c r="C26" s="19" t="n">
        <x:f>IF('Results'!$B$6&lt;&gt;"Inputs accepted","",IF(OR('Results'!$B$6&lt;&gt;"Inputs accepted",$C$7=""),"",IF($C$7+4*PI()*0.0000001*'Inputs'!$B$43*A26*1000&lt;0,"",$C$7+4*PI()*0.0000001*'Inputs'!$B$43*A26*1000)))</x:f>
        <x:v>0.06599083815197382</x:v>
      </x:c>
      <x:c r="D26" s="19" t="str">
        <x:f>IF('Results'!$B$6&lt;&gt;"Inputs accepted","",IF(OR('Results'!$B$6&lt;&gt;"Inputs accepted",$B$13=""),"",IF($B$13+4*PI()*0.0000001*'Inputs'!$B$43*A26*1000&lt;0,"",$B$13+4*PI()*0.0000001*'Inputs'!$B$43*A26*1000)))</x:f>
      </x:c>
      <x:c r="E26" s="19" t="str">
        <x:f>IF('Results'!$B$6&lt;&gt;"Inputs accepted","",IF(OR('Results'!$B$6&lt;&gt;"Inputs accepted",$C$13=""),"",IF($C$13+4*PI()*0.0000001*'Inputs'!$B$43*A26*1000&lt;0,"",$C$13+4*PI()*0.0000001*'Inputs'!$B$43*A26*1000)))</x:f>
      </x:c>
      <x:c r="F26" s="19" t="n">
        <x:f>IF('Results'!$B$6&lt;&gt;"Inputs accepted","",IF('Results'!$B$6="Inputs accepted",-4*PI()*0.0000001*$B$5*A26*1000,""))</x:f>
        <x:v>0.48183786587155464</x:v>
      </x:c>
      <x:c r="G26" s="19" t="n">
        <x:f>IF('Results'!$B$6&lt;&gt;"Inputs accepted","",IF('Results'!$B$6="Inputs accepted",-4*PI()*0.0000001*$C$5*A26*1000,""))</x:f>
        <x:v>0.48183786587155464</x:v>
      </x:c>
      <x:c r="H26" s="19" t="str">
        <x:f>""</x:f>
      </x:c>
      <x:c r="I26" s="19" t="str">
        <x:f>""</x:f>
      </x:c>
      <x:c r="J26" s="2"/>
      <x:c r="K26" s="2"/>
      <x:c r="L26" s="2"/>
    </x:row>
    <x:row r="27" ht="22" customHeight="1">
      <x:c r="A27" s="19" t="n">
        <x:f>IF('Results'!$B$6&lt;&gt;"Inputs accepted",0,-MAX($B$7,$C$7)/(4*PI()*0.0000001*'Inputs'!$B$43)/1000*(118-27)/100)</x:f>
        <x:v>-758.5332509923901</x:v>
      </x:c>
      <x:c r="B27" s="19" t="n">
        <x:f>IF('Results'!$B$6&lt;&gt;"Inputs accepted","",IF(OR('Results'!$B$6&lt;&gt;"Inputs accepted",$B$7=""),"",IF($B$7+4*PI()*0.0000001*'Inputs'!$B$43*A27*1000&lt;0,"",$B$7+4*PI()*0.0000001*'Inputs'!$B$43*A27*1000)))</x:f>
        <x:v>0.09898625722796095</x:v>
      </x:c>
      <x:c r="C27" s="19" t="n">
        <x:f>IF('Results'!$B$6&lt;&gt;"Inputs accepted","",IF(OR('Results'!$B$6&lt;&gt;"Inputs accepted",$C$7=""),"",IF($C$7+4*PI()*0.0000001*'Inputs'!$B$43*A27*1000&lt;0,"",$C$7+4*PI()*0.0000001*'Inputs'!$B$43*A27*1000)))</x:f>
        <x:v>0.07698931117730301</x:v>
      </x:c>
      <x:c r="D27" s="19" t="str">
        <x:f>IF('Results'!$B$6&lt;&gt;"Inputs accepted","",IF(OR('Results'!$B$6&lt;&gt;"Inputs accepted",$B$13=""),"",IF($B$13+4*PI()*0.0000001*'Inputs'!$B$43*A27*1000&lt;0,"",$B$13+4*PI()*0.0000001*'Inputs'!$B$43*A27*1000)))</x:f>
      </x:c>
      <x:c r="E27" s="19" t="str">
        <x:f>IF('Results'!$B$6&lt;&gt;"Inputs accepted","",IF(OR('Results'!$B$6&lt;&gt;"Inputs accepted",$C$13=""),"",IF($C$13+4*PI()*0.0000001*'Inputs'!$B$43*A27*1000&lt;0,"",$C$13+4*PI()*0.0000001*'Inputs'!$B$43*A27*1000)))</x:f>
      </x:c>
      <x:c r="F27" s="19" t="n">
        <x:f>IF('Results'!$B$6&lt;&gt;"Inputs accepted","",IF('Results'!$B$6="Inputs accepted",-4*PI()*0.0000001*$B$5*A27*1000,""))</x:f>
        <x:v>0.4766004977642551</x:v>
      </x:c>
      <x:c r="G27" s="19" t="n">
        <x:f>IF('Results'!$B$6&lt;&gt;"Inputs accepted","",IF('Results'!$B$6="Inputs accepted",-4*PI()*0.0000001*$C$5*A27*1000,""))</x:f>
        <x:v>0.4766004977642551</x:v>
      </x:c>
      <x:c r="H27" s="19" t="str">
        <x:f>""</x:f>
      </x:c>
      <x:c r="I27" s="19" t="str">
        <x:f>""</x:f>
      </x:c>
      <x:c r="J27" s="2"/>
      <x:c r="K27" s="2"/>
      <x:c r="L27" s="2"/>
    </x:row>
    <x:row r="28" ht="22" customHeight="1">
      <x:c r="A28" s="19" t="n">
        <x:f>IF('Results'!$B$6&lt;&gt;"Inputs accepted",0,-MAX($B$7,$C$7)/(4*PI()*0.0000001*'Inputs'!$B$43)/1000*(118-28)/100)</x:f>
        <x:v>-750.1977207617045</x:v>
      </x:c>
      <x:c r="B28" s="19" t="n">
        <x:f>IF('Results'!$B$6&lt;&gt;"Inputs accepted","",IF(OR('Results'!$B$6&lt;&gt;"Inputs accepted",$B$7=""),"",IF($B$7+4*PI()*0.0000001*'Inputs'!$B$43*A28*1000&lt;0,"",$B$7+4*PI()*0.0000001*'Inputs'!$B$43*A28*1000)))</x:f>
        <x:v>0.10998473025328981</x:v>
      </x:c>
      <x:c r="C28" s="19" t="n">
        <x:f>IF('Results'!$B$6&lt;&gt;"Inputs accepted","",IF(OR('Results'!$B$6&lt;&gt;"Inputs accepted",$C$7=""),"",IF($C$7+4*PI()*0.0000001*'Inputs'!$B$43*A28*1000&lt;0,"",$C$7+4*PI()*0.0000001*'Inputs'!$B$43*A28*1000)))</x:f>
        <x:v>0.08798778420263187</x:v>
      </x:c>
      <x:c r="D28" s="19" t="str">
        <x:f>IF('Results'!$B$6&lt;&gt;"Inputs accepted","",IF(OR('Results'!$B$6&lt;&gt;"Inputs accepted",$B$13=""),"",IF($B$13+4*PI()*0.0000001*'Inputs'!$B$43*A28*1000&lt;0,"",$B$13+4*PI()*0.0000001*'Inputs'!$B$43*A28*1000)))</x:f>
      </x:c>
      <x:c r="E28" s="19" t="str">
        <x:f>IF('Results'!$B$6&lt;&gt;"Inputs accepted","",IF(OR('Results'!$B$6&lt;&gt;"Inputs accepted",$C$13=""),"",IF($C$13+4*PI()*0.0000001*'Inputs'!$B$43*A28*1000&lt;0,"",$C$13+4*PI()*0.0000001*'Inputs'!$B$43*A28*1000)))</x:f>
      </x:c>
      <x:c r="F28" s="19" t="n">
        <x:f>IF('Results'!$B$6&lt;&gt;"Inputs accepted","",IF('Results'!$B$6="Inputs accepted",-4*PI()*0.0000001*$B$5*A28*1000,""))</x:f>
        <x:v>0.4713631296569556</x:v>
      </x:c>
      <x:c r="G28" s="19" t="n">
        <x:f>IF('Results'!$B$6&lt;&gt;"Inputs accepted","",IF('Results'!$B$6="Inputs accepted",-4*PI()*0.0000001*$C$5*A28*1000,""))</x:f>
        <x:v>0.4713631296569556</x:v>
      </x:c>
      <x:c r="H28" s="19" t="str">
        <x:f>""</x:f>
      </x:c>
      <x:c r="I28" s="19" t="str">
        <x:f>""</x:f>
      </x:c>
      <x:c r="J28" s="2"/>
      <x:c r="K28" s="2"/>
      <x:c r="L28" s="2"/>
    </x:row>
    <x:row r="29" ht="22" customHeight="1">
      <x:c r="A29" s="19" t="n">
        <x:f>IF('Results'!$B$6&lt;&gt;"Inputs accepted",0,-MAX($B$7,$C$7)/(4*PI()*0.0000001*'Inputs'!$B$43)/1000*(118-29)/100)</x:f>
        <x:v>-741.862190531019</x:v>
      </x:c>
      <x:c r="B29" s="19" t="n">
        <x:f>IF('Results'!$B$6&lt;&gt;"Inputs accepted","",IF(OR('Results'!$B$6&lt;&gt;"Inputs accepted",$B$7=""),"",IF($B$7+4*PI()*0.0000001*'Inputs'!$B$43*A29*1000&lt;0,"",$B$7+4*PI()*0.0000001*'Inputs'!$B$43*A29*1000)))</x:f>
        <x:v>0.12098320327861867</x:v>
      </x:c>
      <x:c r="C29" s="19" t="n">
        <x:f>IF('Results'!$B$6&lt;&gt;"Inputs accepted","",IF(OR('Results'!$B$6&lt;&gt;"Inputs accepted",$C$7=""),"",IF($C$7+4*PI()*0.0000001*'Inputs'!$B$43*A29*1000&lt;0,"",$C$7+4*PI()*0.0000001*'Inputs'!$B$43*A29*1000)))</x:f>
        <x:v>0.09898625722796073</x:v>
      </x:c>
      <x:c r="D29" s="19" t="str">
        <x:f>IF('Results'!$B$6&lt;&gt;"Inputs accepted","",IF(OR('Results'!$B$6&lt;&gt;"Inputs accepted",$B$13=""),"",IF($B$13+4*PI()*0.0000001*'Inputs'!$B$43*A29*1000&lt;0,"",$B$13+4*PI()*0.0000001*'Inputs'!$B$43*A29*1000)))</x:f>
      </x:c>
      <x:c r="E29" s="19" t="str">
        <x:f>IF('Results'!$B$6&lt;&gt;"Inputs accepted","",IF(OR('Results'!$B$6&lt;&gt;"Inputs accepted",$C$13=""),"",IF($C$13+4*PI()*0.0000001*'Inputs'!$B$43*A29*1000&lt;0,"",$C$13+4*PI()*0.0000001*'Inputs'!$B$43*A29*1000)))</x:f>
      </x:c>
      <x:c r="F29" s="19" t="n">
        <x:f>IF('Results'!$B$6&lt;&gt;"Inputs accepted","",IF('Results'!$B$6="Inputs accepted",-4*PI()*0.0000001*$B$5*A29*1000,""))</x:f>
        <x:v>0.4661257615496561</x:v>
      </x:c>
      <x:c r="G29" s="19" t="n">
        <x:f>IF('Results'!$B$6&lt;&gt;"Inputs accepted","",IF('Results'!$B$6="Inputs accepted",-4*PI()*0.0000001*$C$5*A29*1000,""))</x:f>
        <x:v>0.4661257615496561</x:v>
      </x:c>
      <x:c r="H29" s="19" t="str">
        <x:f>""</x:f>
      </x:c>
      <x:c r="I29" s="19" t="str">
        <x:f>""</x:f>
      </x:c>
      <x:c r="J29" s="2"/>
      <x:c r="K29" s="2"/>
      <x:c r="L29" s="2"/>
    </x:row>
    <x:row r="30" ht="22" customHeight="1">
      <x:c r="A30" s="19" t="n">
        <x:f>IF('Results'!$B$6&lt;&gt;"Inputs accepted",0,-MAX($B$7,$C$7)/(4*PI()*0.0000001*'Inputs'!$B$43)/1000*(118-30)/100)</x:f>
        <x:v>-733.5266603003333</x:v>
      </x:c>
      <x:c r="B30" s="19" t="n">
        <x:f>IF('Results'!$B$6&lt;&gt;"Inputs accepted","",IF(OR('Results'!$B$6&lt;&gt;"Inputs accepted",$B$7=""),"",IF($B$7+4*PI()*0.0000001*'Inputs'!$B$43*A30*1000&lt;0,"",$B$7+4*PI()*0.0000001*'Inputs'!$B$43*A30*1000)))</x:f>
        <x:v>0.13198167630394764</x:v>
      </x:c>
      <x:c r="C30" s="19" t="n">
        <x:f>IF('Results'!$B$6&lt;&gt;"Inputs accepted","",IF(OR('Results'!$B$6&lt;&gt;"Inputs accepted",$C$7=""),"",IF($C$7+4*PI()*0.0000001*'Inputs'!$B$43*A30*1000&lt;0,"",$C$7+4*PI()*0.0000001*'Inputs'!$B$43*A30*1000)))</x:f>
        <x:v>0.1099847302532897</x:v>
      </x:c>
      <x:c r="D30" s="19" t="str">
        <x:f>IF('Results'!$B$6&lt;&gt;"Inputs accepted","",IF(OR('Results'!$B$6&lt;&gt;"Inputs accepted",$B$13=""),"",IF($B$13+4*PI()*0.0000001*'Inputs'!$B$43*A30*1000&lt;0,"",$B$13+4*PI()*0.0000001*'Inputs'!$B$43*A30*1000)))</x:f>
      </x:c>
      <x:c r="E30" s="19" t="str">
        <x:f>IF('Results'!$B$6&lt;&gt;"Inputs accepted","",IF(OR('Results'!$B$6&lt;&gt;"Inputs accepted",$C$13=""),"",IF($C$13+4*PI()*0.0000001*'Inputs'!$B$43*A30*1000&lt;0,"",$C$13+4*PI()*0.0000001*'Inputs'!$B$43*A30*1000)))</x:f>
      </x:c>
      <x:c r="F30" s="19" t="n">
        <x:f>IF('Results'!$B$6&lt;&gt;"Inputs accepted","",IF('Results'!$B$6="Inputs accepted",-4*PI()*0.0000001*$B$5*A30*1000,""))</x:f>
        <x:v>0.4608883934423566</x:v>
      </x:c>
      <x:c r="G30" s="19" t="n">
        <x:f>IF('Results'!$B$6&lt;&gt;"Inputs accepted","",IF('Results'!$B$6="Inputs accepted",-4*PI()*0.0000001*$C$5*A30*1000,""))</x:f>
        <x:v>0.4608883934423566</x:v>
      </x:c>
      <x:c r="H30" s="19" t="str">
        <x:f>""</x:f>
      </x:c>
      <x:c r="I30" s="19" t="str">
        <x:f>""</x:f>
      </x:c>
      <x:c r="J30" s="2"/>
      <x:c r="K30" s="2"/>
      <x:c r="L30" s="2"/>
    </x:row>
    <x:row r="31" ht="22" customHeight="1">
      <x:c r="A31" s="19" t="n">
        <x:f>IF('Results'!$B$6&lt;&gt;"Inputs accepted",0,-MAX($B$7,$C$7)/(4*PI()*0.0000001*'Inputs'!$B$43)/1000*(118-31)/100)</x:f>
        <x:v>-725.1911300696478</x:v>
      </x:c>
      <x:c r="B31" s="19" t="n">
        <x:f>IF('Results'!$B$6&lt;&gt;"Inputs accepted","",IF(OR('Results'!$B$6&lt;&gt;"Inputs accepted",$B$7=""),"",IF($B$7+4*PI()*0.0000001*'Inputs'!$B$43*A31*1000&lt;0,"",$B$7+4*PI()*0.0000001*'Inputs'!$B$43*A31*1000)))</x:f>
        <x:v>0.1429801493292766</x:v>
      </x:c>
      <x:c r="C31" s="19" t="n">
        <x:f>IF('Results'!$B$6&lt;&gt;"Inputs accepted","",IF(OR('Results'!$B$6&lt;&gt;"Inputs accepted",$C$7=""),"",IF($C$7+4*PI()*0.0000001*'Inputs'!$B$43*A31*1000&lt;0,"",$C$7+4*PI()*0.0000001*'Inputs'!$B$43*A31*1000)))</x:f>
        <x:v>0.12098320327861867</x:v>
      </x:c>
      <x:c r="D31" s="19" t="str">
        <x:f>IF('Results'!$B$6&lt;&gt;"Inputs accepted","",IF(OR('Results'!$B$6&lt;&gt;"Inputs accepted",$B$13=""),"",IF($B$13+4*PI()*0.0000001*'Inputs'!$B$43*A31*1000&lt;0,"",$B$13+4*PI()*0.0000001*'Inputs'!$B$43*A31*1000)))</x:f>
      </x:c>
      <x:c r="E31" s="19" t="str">
        <x:f>IF('Results'!$B$6&lt;&gt;"Inputs accepted","",IF(OR('Results'!$B$6&lt;&gt;"Inputs accepted",$C$13=""),"",IF($C$13+4*PI()*0.0000001*'Inputs'!$B$43*A31*1000&lt;0,"",$C$13+4*PI()*0.0000001*'Inputs'!$B$43*A31*1000)))</x:f>
      </x:c>
      <x:c r="F31" s="19" t="n">
        <x:f>IF('Results'!$B$6&lt;&gt;"Inputs accepted","",IF('Results'!$B$6="Inputs accepted",-4*PI()*0.0000001*$B$5*A31*1000,""))</x:f>
        <x:v>0.45565102533505714</x:v>
      </x:c>
      <x:c r="G31" s="19" t="n">
        <x:f>IF('Results'!$B$6&lt;&gt;"Inputs accepted","",IF('Results'!$B$6="Inputs accepted",-4*PI()*0.0000001*$C$5*A31*1000,""))</x:f>
        <x:v>0.45565102533505714</x:v>
      </x:c>
      <x:c r="H31" s="19" t="str">
        <x:f>""</x:f>
      </x:c>
      <x:c r="I31" s="19" t="str">
        <x:f>""</x:f>
      </x:c>
      <x:c r="J31" s="2"/>
      <x:c r="K31" s="2"/>
      <x:c r="L31" s="2"/>
    </x:row>
    <x:row r="32" ht="22" customHeight="1">
      <x:c r="A32" s="19" t="n">
        <x:f>IF('Results'!$B$6&lt;&gt;"Inputs accepted",0,-MAX($B$7,$C$7)/(4*PI()*0.0000001*'Inputs'!$B$43)/1000*(118-32)/100)</x:f>
        <x:v>-716.8555998389621</x:v>
      </x:c>
      <x:c r="B32" s="19" t="n">
        <x:f>IF('Results'!$B$6&lt;&gt;"Inputs accepted","",IF(OR('Results'!$B$6&lt;&gt;"Inputs accepted",$B$7=""),"",IF($B$7+4*PI()*0.0000001*'Inputs'!$B$43*A32*1000&lt;0,"",$B$7+4*PI()*0.0000001*'Inputs'!$B$43*A32*1000)))</x:f>
        <x:v>0.15397862235460558</x:v>
      </x:c>
      <x:c r="C32" s="19" t="n">
        <x:f>IF('Results'!$B$6&lt;&gt;"Inputs accepted","",IF(OR('Results'!$B$6&lt;&gt;"Inputs accepted",$C$7=""),"",IF($C$7+4*PI()*0.0000001*'Inputs'!$B$43*A32*1000&lt;0,"",$C$7+4*PI()*0.0000001*'Inputs'!$B$43*A32*1000)))</x:f>
        <x:v>0.13198167630394764</x:v>
      </x:c>
      <x:c r="D32" s="19" t="str">
        <x:f>IF('Results'!$B$6&lt;&gt;"Inputs accepted","",IF(OR('Results'!$B$6&lt;&gt;"Inputs accepted",$B$13=""),"",IF($B$13+4*PI()*0.0000001*'Inputs'!$B$43*A32*1000&lt;0,"",$B$13+4*PI()*0.0000001*'Inputs'!$B$43*A32*1000)))</x:f>
      </x:c>
      <x:c r="E32" s="19" t="str">
        <x:f>IF('Results'!$B$6&lt;&gt;"Inputs accepted","",IF(OR('Results'!$B$6&lt;&gt;"Inputs accepted",$C$13=""),"",IF($C$13+4*PI()*0.0000001*'Inputs'!$B$43*A32*1000&lt;0,"",$C$13+4*PI()*0.0000001*'Inputs'!$B$43*A32*1000)))</x:f>
      </x:c>
      <x:c r="F32" s="19" t="n">
        <x:f>IF('Results'!$B$6&lt;&gt;"Inputs accepted","",IF('Results'!$B$6="Inputs accepted",-4*PI()*0.0000001*$B$5*A32*1000,""))</x:f>
        <x:v>0.4504136572277576</x:v>
      </x:c>
      <x:c r="G32" s="19" t="n">
        <x:f>IF('Results'!$B$6&lt;&gt;"Inputs accepted","",IF('Results'!$B$6="Inputs accepted",-4*PI()*0.0000001*$C$5*A32*1000,""))</x:f>
        <x:v>0.4504136572277576</x:v>
      </x:c>
      <x:c r="H32" s="19" t="str">
        <x:f>""</x:f>
      </x:c>
      <x:c r="I32" s="19" t="str">
        <x:f>""</x:f>
      </x:c>
      <x:c r="J32" s="2"/>
      <x:c r="K32" s="2"/>
      <x:c r="L32" s="2"/>
    </x:row>
    <x:row r="33" ht="22" customHeight="1">
      <x:c r="A33" s="19" t="n">
        <x:f>IF('Results'!$B$6&lt;&gt;"Inputs accepted",0,-MAX($B$7,$C$7)/(4*PI()*0.0000001*'Inputs'!$B$43)/1000*(118-33)/100)</x:f>
        <x:v>-708.5200696082766</x:v>
      </x:c>
      <x:c r="B33" s="19" t="n">
        <x:f>IF('Results'!$B$6&lt;&gt;"Inputs accepted","",IF(OR('Results'!$B$6&lt;&gt;"Inputs accepted",$B$7=""),"",IF($B$7+4*PI()*0.0000001*'Inputs'!$B$43*A33*1000&lt;0,"",$B$7+4*PI()*0.0000001*'Inputs'!$B$43*A33*1000)))</x:f>
        <x:v>0.16497709537993444</x:v>
      </x:c>
      <x:c r="C33" s="19" t="n">
        <x:f>IF('Results'!$B$6&lt;&gt;"Inputs accepted","",IF(OR('Results'!$B$6&lt;&gt;"Inputs accepted",$C$7=""),"",IF($C$7+4*PI()*0.0000001*'Inputs'!$B$43*A33*1000&lt;0,"",$C$7+4*PI()*0.0000001*'Inputs'!$B$43*A33*1000)))</x:f>
        <x:v>0.1429801493292765</x:v>
      </x:c>
      <x:c r="D33" s="19" t="str">
        <x:f>IF('Results'!$B$6&lt;&gt;"Inputs accepted","",IF(OR('Results'!$B$6&lt;&gt;"Inputs accepted",$B$13=""),"",IF($B$13+4*PI()*0.0000001*'Inputs'!$B$43*A33*1000&lt;0,"",$B$13+4*PI()*0.0000001*'Inputs'!$B$43*A33*1000)))</x:f>
      </x:c>
      <x:c r="E33" s="19" t="str">
        <x:f>IF('Results'!$B$6&lt;&gt;"Inputs accepted","",IF(OR('Results'!$B$6&lt;&gt;"Inputs accepted",$C$13=""),"",IF($C$13+4*PI()*0.0000001*'Inputs'!$B$43*A33*1000&lt;0,"",$C$13+4*PI()*0.0000001*'Inputs'!$B$43*A33*1000)))</x:f>
      </x:c>
      <x:c r="F33" s="19" t="n">
        <x:f>IF('Results'!$B$6&lt;&gt;"Inputs accepted","",IF('Results'!$B$6="Inputs accepted",-4*PI()*0.0000001*$B$5*A33*1000,""))</x:f>
        <x:v>0.44517628912045815</x:v>
      </x:c>
      <x:c r="G33" s="19" t="n">
        <x:f>IF('Results'!$B$6&lt;&gt;"Inputs accepted","",IF('Results'!$B$6="Inputs accepted",-4*PI()*0.0000001*$C$5*A33*1000,""))</x:f>
        <x:v>0.44517628912045815</x:v>
      </x:c>
      <x:c r="H33" s="19" t="str">
        <x:f>""</x:f>
      </x:c>
      <x:c r="I33" s="19" t="str">
        <x:f>""</x:f>
      </x:c>
      <x:c r="J33" s="2"/>
      <x:c r="K33" s="2"/>
      <x:c r="L33" s="2"/>
    </x:row>
    <x:row r="34" ht="22" customHeight="1">
      <x:c r="A34" s="19" t="n">
        <x:f>IF('Results'!$B$6&lt;&gt;"Inputs accepted",0,-MAX($B$7,$C$7)/(4*PI()*0.0000001*'Inputs'!$B$43)/1000*(118-34)/100)</x:f>
        <x:v>-700.1845393775908</x:v>
      </x:c>
      <x:c r="B34" s="19" t="n">
        <x:f>IF('Results'!$B$6&lt;&gt;"Inputs accepted","",IF(OR('Results'!$B$6&lt;&gt;"Inputs accepted",$B$7=""),"",IF($B$7+4*PI()*0.0000001*'Inputs'!$B$43*A34*1000&lt;0,"",$B$7+4*PI()*0.0000001*'Inputs'!$B$43*A34*1000)))</x:f>
        <x:v>0.17597556840526363</x:v>
      </x:c>
      <x:c r="C34" s="19" t="n">
        <x:f>IF('Results'!$B$6&lt;&gt;"Inputs accepted","",IF(OR('Results'!$B$6&lt;&gt;"Inputs accepted",$C$7=""),"",IF($C$7+4*PI()*0.0000001*'Inputs'!$B$43*A34*1000&lt;0,"",$C$7+4*PI()*0.0000001*'Inputs'!$B$43*A34*1000)))</x:f>
        <x:v>0.1539786223546057</x:v>
      </x:c>
      <x:c r="D34" s="19" t="str">
        <x:f>IF('Results'!$B$6&lt;&gt;"Inputs accepted","",IF(OR('Results'!$B$6&lt;&gt;"Inputs accepted",$B$13=""),"",IF($B$13+4*PI()*0.0000001*'Inputs'!$B$43*A34*1000&lt;0,"",$B$13+4*PI()*0.0000001*'Inputs'!$B$43*A34*1000)))</x:f>
      </x:c>
      <x:c r="E34" s="19" t="str">
        <x:f>IF('Results'!$B$6&lt;&gt;"Inputs accepted","",IF(OR('Results'!$B$6&lt;&gt;"Inputs accepted",$C$13=""),"",IF($C$13+4*PI()*0.0000001*'Inputs'!$B$43*A34*1000&lt;0,"",$C$13+4*PI()*0.0000001*'Inputs'!$B$43*A34*1000)))</x:f>
      </x:c>
      <x:c r="F34" s="19" t="n">
        <x:f>IF('Results'!$B$6&lt;&gt;"Inputs accepted","",IF('Results'!$B$6="Inputs accepted",-4*PI()*0.0000001*$B$5*A34*1000,""))</x:f>
        <x:v>0.4399389210131585</x:v>
      </x:c>
      <x:c r="G34" s="19" t="n">
        <x:f>IF('Results'!$B$6&lt;&gt;"Inputs accepted","",IF('Results'!$B$6="Inputs accepted",-4*PI()*0.0000001*$C$5*A34*1000,""))</x:f>
        <x:v>0.4399389210131585</x:v>
      </x:c>
      <x:c r="H34" s="19" t="str">
        <x:f>""</x:f>
      </x:c>
      <x:c r="I34" s="19" t="str">
        <x:f>""</x:f>
      </x:c>
      <x:c r="J34" s="2"/>
      <x:c r="K34" s="2"/>
      <x:c r="L34" s="2"/>
    </x:row>
    <x:row r="35" ht="22" customHeight="1">
      <x:c r="A35" s="19" t="n">
        <x:f>IF('Results'!$B$6&lt;&gt;"Inputs accepted",0,-MAX($B$7,$C$7)/(4*PI()*0.0000001*'Inputs'!$B$43)/1000*(118-35)/100)</x:f>
        <x:v>-691.8490091469052</x:v>
      </x:c>
      <x:c r="B35" s="19" t="n">
        <x:f>IF('Results'!$B$6&lt;&gt;"Inputs accepted","",IF(OR('Results'!$B$6&lt;&gt;"Inputs accepted",$B$7=""),"",IF($B$7+4*PI()*0.0000001*'Inputs'!$B$43*A35*1000&lt;0,"",$B$7+4*PI()*0.0000001*'Inputs'!$B$43*A35*1000)))</x:f>
        <x:v>0.1869740414305926</x:v>
      </x:c>
      <x:c r="C35" s="19" t="n">
        <x:f>IF('Results'!$B$6&lt;&gt;"Inputs accepted","",IF(OR('Results'!$B$6&lt;&gt;"Inputs accepted",$C$7=""),"",IF($C$7+4*PI()*0.0000001*'Inputs'!$B$43*A35*1000&lt;0,"",$C$7+4*PI()*0.0000001*'Inputs'!$B$43*A35*1000)))</x:f>
        <x:v>0.16497709537993466</x:v>
      </x:c>
      <x:c r="D35" s="19" t="str">
        <x:f>IF('Results'!$B$6&lt;&gt;"Inputs accepted","",IF(OR('Results'!$B$6&lt;&gt;"Inputs accepted",$B$13=""),"",IF($B$13+4*PI()*0.0000001*'Inputs'!$B$43*A35*1000&lt;0,"",$B$13+4*PI()*0.0000001*'Inputs'!$B$43*A35*1000)))</x:f>
      </x:c>
      <x:c r="E35" s="19" t="str">
        <x:f>IF('Results'!$B$6&lt;&gt;"Inputs accepted","",IF(OR('Results'!$B$6&lt;&gt;"Inputs accepted",$C$13=""),"",IF($C$13+4*PI()*0.0000001*'Inputs'!$B$43*A35*1000&lt;0,"",$C$13+4*PI()*0.0000001*'Inputs'!$B$43*A35*1000)))</x:f>
      </x:c>
      <x:c r="F35" s="19" t="n">
        <x:f>IF('Results'!$B$6&lt;&gt;"Inputs accepted","",IF('Results'!$B$6="Inputs accepted",-4*PI()*0.0000001*$B$5*A35*1000,""))</x:f>
        <x:v>0.43470155290585905</x:v>
      </x:c>
      <x:c r="G35" s="19" t="n">
        <x:f>IF('Results'!$B$6&lt;&gt;"Inputs accepted","",IF('Results'!$B$6="Inputs accepted",-4*PI()*0.0000001*$C$5*A35*1000,""))</x:f>
        <x:v>0.43470155290585905</x:v>
      </x:c>
      <x:c r="H35" s="19" t="str">
        <x:f>""</x:f>
      </x:c>
      <x:c r="I35" s="19" t="str">
        <x:f>""</x:f>
      </x:c>
      <x:c r="J35" s="2"/>
      <x:c r="K35" s="2"/>
      <x:c r="L35" s="2"/>
    </x:row>
    <x:row r="36" ht="22" customHeight="1">
      <x:c r="A36" s="19" t="n">
        <x:f>IF('Results'!$B$6&lt;&gt;"Inputs accepted",0,-MAX($B$7,$C$7)/(4*PI()*0.0000001*'Inputs'!$B$43)/1000*(118-36)/100)</x:f>
        <x:v>-683.5134789162198</x:v>
      </x:c>
      <x:c r="B36" s="19" t="n">
        <x:f>IF('Results'!$B$6&lt;&gt;"Inputs accepted","",IF(OR('Results'!$B$6&lt;&gt;"Inputs accepted",$B$7=""),"",IF($B$7+4*PI()*0.0000001*'Inputs'!$B$43*A36*1000&lt;0,"",$B$7+4*PI()*0.0000001*'Inputs'!$B$43*A36*1000)))</x:f>
        <x:v>0.19797251445592134</x:v>
      </x:c>
      <x:c r="C36" s="19" t="n">
        <x:f>IF('Results'!$B$6&lt;&gt;"Inputs accepted","",IF(OR('Results'!$B$6&lt;&gt;"Inputs accepted",$C$7=""),"",IF($C$7+4*PI()*0.0000001*'Inputs'!$B$43*A36*1000&lt;0,"",$C$7+4*PI()*0.0000001*'Inputs'!$B$43*A36*1000)))</x:f>
        <x:v>0.1759755684052634</x:v>
      </x:c>
      <x:c r="D36" s="19" t="str">
        <x:f>IF('Results'!$B$6&lt;&gt;"Inputs accepted","",IF(OR('Results'!$B$6&lt;&gt;"Inputs accepted",$B$13=""),"",IF($B$13+4*PI()*0.0000001*'Inputs'!$B$43*A36*1000&lt;0,"",$B$13+4*PI()*0.0000001*'Inputs'!$B$43*A36*1000)))</x:f>
      </x:c>
      <x:c r="E36" s="19" t="str">
        <x:f>IF('Results'!$B$6&lt;&gt;"Inputs accepted","",IF(OR('Results'!$B$6&lt;&gt;"Inputs accepted",$C$13=""),"",IF($C$13+4*PI()*0.0000001*'Inputs'!$B$43*A36*1000&lt;0,"",$C$13+4*PI()*0.0000001*'Inputs'!$B$43*A36*1000)))</x:f>
      </x:c>
      <x:c r="F36" s="19" t="n">
        <x:f>IF('Results'!$B$6&lt;&gt;"Inputs accepted","",IF('Results'!$B$6="Inputs accepted",-4*PI()*0.0000001*$B$5*A36*1000,""))</x:f>
        <x:v>0.42946418479855963</x:v>
      </x:c>
      <x:c r="G36" s="19" t="n">
        <x:f>IF('Results'!$B$6&lt;&gt;"Inputs accepted","",IF('Results'!$B$6="Inputs accepted",-4*PI()*0.0000001*$C$5*A36*1000,""))</x:f>
        <x:v>0.42946418479855963</x:v>
      </x:c>
      <x:c r="H36" s="19" t="str">
        <x:f>""</x:f>
      </x:c>
      <x:c r="I36" s="19" t="str">
        <x:f>""</x:f>
      </x:c>
      <x:c r="J36" s="2"/>
      <x:c r="K36" s="2"/>
      <x:c r="L36" s="2"/>
    </x:row>
    <x:row r="37" ht="22" customHeight="1">
      <x:c r="A37" s="19" t="n">
        <x:f>IF('Results'!$B$6&lt;&gt;"Inputs accepted",0,-MAX($B$7,$C$7)/(4*PI()*0.0000001*'Inputs'!$B$43)/1000*(118-37)/100)</x:f>
        <x:v>-675.177948685534</x:v>
      </x:c>
      <x:c r="B37" s="19" t="n">
        <x:f>IF('Results'!$B$6&lt;&gt;"Inputs accepted","",IF(OR('Results'!$B$6&lt;&gt;"Inputs accepted",$B$7=""),"",IF($B$7+4*PI()*0.0000001*'Inputs'!$B$43*A37*1000&lt;0,"",$B$7+4*PI()*0.0000001*'Inputs'!$B$43*A37*1000)))</x:f>
        <x:v>0.20897098748125043</x:v>
      </x:c>
      <x:c r="C37" s="19" t="n">
        <x:f>IF('Results'!$B$6&lt;&gt;"Inputs accepted","",IF(OR('Results'!$B$6&lt;&gt;"Inputs accepted",$C$7=""),"",IF($C$7+4*PI()*0.0000001*'Inputs'!$B$43*A37*1000&lt;0,"",$C$7+4*PI()*0.0000001*'Inputs'!$B$43*A37*1000)))</x:f>
        <x:v>0.18697404143059249</x:v>
      </x:c>
      <x:c r="D37" s="19" t="str">
        <x:f>IF('Results'!$B$6&lt;&gt;"Inputs accepted","",IF(OR('Results'!$B$6&lt;&gt;"Inputs accepted",$B$13=""),"",IF($B$13+4*PI()*0.0000001*'Inputs'!$B$43*A37*1000&lt;0,"",$B$13+4*PI()*0.0000001*'Inputs'!$B$43*A37*1000)))</x:f>
      </x:c>
      <x:c r="E37" s="19" t="str">
        <x:f>IF('Results'!$B$6&lt;&gt;"Inputs accepted","",IF(OR('Results'!$B$6&lt;&gt;"Inputs accepted",$C$13=""),"",IF($C$13+4*PI()*0.0000001*'Inputs'!$B$43*A37*1000&lt;0,"",$C$13+4*PI()*0.0000001*'Inputs'!$B$43*A37*1000)))</x:f>
      </x:c>
      <x:c r="F37" s="19" t="n">
        <x:f>IF('Results'!$B$6&lt;&gt;"Inputs accepted","",IF('Results'!$B$6="Inputs accepted",-4*PI()*0.0000001*$B$5*A37*1000,""))</x:f>
        <x:v>0.42422681669126</x:v>
      </x:c>
      <x:c r="G37" s="19" t="n">
        <x:f>IF('Results'!$B$6&lt;&gt;"Inputs accepted","",IF('Results'!$B$6="Inputs accepted",-4*PI()*0.0000001*$C$5*A37*1000,""))</x:f>
        <x:v>0.42422681669126</x:v>
      </x:c>
      <x:c r="H37" s="19" t="str">
        <x:f>""</x:f>
      </x:c>
      <x:c r="I37" s="19" t="str">
        <x:f>""</x:f>
      </x:c>
      <x:c r="J37" s="2"/>
      <x:c r="K37" s="2"/>
      <x:c r="L37" s="2"/>
    </x:row>
    <x:row r="38" ht="22" customHeight="1">
      <x:c r="A38" s="19" t="n">
        <x:f>IF('Results'!$B$6&lt;&gt;"Inputs accepted",0,-MAX($B$7,$C$7)/(4*PI()*0.0000001*'Inputs'!$B$43)/1000*(118-38)/100)</x:f>
        <x:v>-666.8424184548485</x:v>
      </x:c>
      <x:c r="B38" s="19" t="n">
        <x:f>IF('Results'!$B$6&lt;&gt;"Inputs accepted","",IF(OR('Results'!$B$6&lt;&gt;"Inputs accepted",$B$7=""),"",IF($B$7+4*PI()*0.0000001*'Inputs'!$B$43*A38*1000&lt;0,"",$B$7+4*PI()*0.0000001*'Inputs'!$B$43*A38*1000)))</x:f>
        <x:v>0.21996946050657928</x:v>
      </x:c>
      <x:c r="C38" s="19" t="n">
        <x:f>IF('Results'!$B$6&lt;&gt;"Inputs accepted","",IF(OR('Results'!$B$6&lt;&gt;"Inputs accepted",$C$7=""),"",IF($C$7+4*PI()*0.0000001*'Inputs'!$B$43*A38*1000&lt;0,"",$C$7+4*PI()*0.0000001*'Inputs'!$B$43*A38*1000)))</x:f>
        <x:v>0.19797251445592134</x:v>
      </x:c>
      <x:c r="D38" s="19" t="str">
        <x:f>IF('Results'!$B$6&lt;&gt;"Inputs accepted","",IF(OR('Results'!$B$6&lt;&gt;"Inputs accepted",$B$13=""),"",IF($B$13+4*PI()*0.0000001*'Inputs'!$B$43*A38*1000&lt;0,"",$B$13+4*PI()*0.0000001*'Inputs'!$B$43*A38*1000)))</x:f>
      </x:c>
      <x:c r="E38" s="19" t="str">
        <x:f>IF('Results'!$B$6&lt;&gt;"Inputs accepted","",IF(OR('Results'!$B$6&lt;&gt;"Inputs accepted",$C$13=""),"",IF($C$13+4*PI()*0.0000001*'Inputs'!$B$43*A38*1000&lt;0,"",$C$13+4*PI()*0.0000001*'Inputs'!$B$43*A38*1000)))</x:f>
      </x:c>
      <x:c r="F38" s="19" t="n">
        <x:f>IF('Results'!$B$6&lt;&gt;"Inputs accepted","",IF('Results'!$B$6="Inputs accepted",-4*PI()*0.0000001*$B$5*A38*1000,""))</x:f>
        <x:v>0.41898944858396053</x:v>
      </x:c>
      <x:c r="G38" s="19" t="n">
        <x:f>IF('Results'!$B$6&lt;&gt;"Inputs accepted","",IF('Results'!$B$6="Inputs accepted",-4*PI()*0.0000001*$C$5*A38*1000,""))</x:f>
        <x:v>0.41898944858396053</x:v>
      </x:c>
      <x:c r="H38" s="19" t="str">
        <x:f>""</x:f>
      </x:c>
      <x:c r="I38" s="19" t="str">
        <x:f>""</x:f>
      </x:c>
      <x:c r="J38" s="2"/>
      <x:c r="K38" s="2"/>
      <x:c r="L38" s="2"/>
    </x:row>
    <x:row r="39" ht="22" customHeight="1">
      <x:c r="A39" s="19" t="n">
        <x:f>IF('Results'!$B$6&lt;&gt;"Inputs accepted",0,-MAX($B$7,$C$7)/(4*PI()*0.0000001*'Inputs'!$B$43)/1000*(118-39)/100)</x:f>
        <x:v>-658.5068882241628</x:v>
      </x:c>
      <x:c r="B39" s="19" t="n">
        <x:f>IF('Results'!$B$6&lt;&gt;"Inputs accepted","",IF(OR('Results'!$B$6&lt;&gt;"Inputs accepted",$B$7=""),"",IF($B$7+4*PI()*0.0000001*'Inputs'!$B$43*A39*1000&lt;0,"",$B$7+4*PI()*0.0000001*'Inputs'!$B$43*A39*1000)))</x:f>
        <x:v>0.23096793353190848</x:v>
      </x:c>
      <x:c r="C39" s="19" t="n">
        <x:f>IF('Results'!$B$6&lt;&gt;"Inputs accepted","",IF(OR('Results'!$B$6&lt;&gt;"Inputs accepted",$C$7=""),"",IF($C$7+4*PI()*0.0000001*'Inputs'!$B$43*A39*1000&lt;0,"",$C$7+4*PI()*0.0000001*'Inputs'!$B$43*A39*1000)))</x:f>
        <x:v>0.20897098748125054</x:v>
      </x:c>
      <x:c r="D39" s="19" t="str">
        <x:f>IF('Results'!$B$6&lt;&gt;"Inputs accepted","",IF(OR('Results'!$B$6&lt;&gt;"Inputs accepted",$B$13=""),"",IF($B$13+4*PI()*0.0000001*'Inputs'!$B$43*A39*1000&lt;0,"",$B$13+4*PI()*0.0000001*'Inputs'!$B$43*A39*1000)))</x:f>
      </x:c>
      <x:c r="E39" s="19" t="str">
        <x:f>IF('Results'!$B$6&lt;&gt;"Inputs accepted","",IF(OR('Results'!$B$6&lt;&gt;"Inputs accepted",$C$13=""),"",IF($C$13+4*PI()*0.0000001*'Inputs'!$B$43*A39*1000&lt;0,"",$C$13+4*PI()*0.0000001*'Inputs'!$B$43*A39*1000)))</x:f>
      </x:c>
      <x:c r="F39" s="19" t="n">
        <x:f>IF('Results'!$B$6&lt;&gt;"Inputs accepted","",IF('Results'!$B$6="Inputs accepted",-4*PI()*0.0000001*$B$5*A39*1000,""))</x:f>
        <x:v>0.413752080476661</x:v>
      </x:c>
      <x:c r="G39" s="19" t="n">
        <x:f>IF('Results'!$B$6&lt;&gt;"Inputs accepted","",IF('Results'!$B$6="Inputs accepted",-4*PI()*0.0000001*$C$5*A39*1000,""))</x:f>
        <x:v>0.413752080476661</x:v>
      </x:c>
      <x:c r="H39" s="19" t="str">
        <x:f>""</x:f>
      </x:c>
      <x:c r="I39" s="19" t="str">
        <x:f>""</x:f>
      </x:c>
      <x:c r="J39" s="2"/>
      <x:c r="K39" s="2"/>
      <x:c r="L39" s="2"/>
    </x:row>
    <x:row r="40" ht="22" customHeight="1">
      <x:c r="A40" s="19" t="n">
        <x:f>IF('Results'!$B$6&lt;&gt;"Inputs accepted",0,-MAX($B$7,$C$7)/(4*PI()*0.0000001*'Inputs'!$B$43)/1000*(118-40)/100)</x:f>
        <x:v>-650.1713579934773</x:v>
      </x:c>
      <x:c r="B40" s="19" t="n">
        <x:f>IF('Results'!$B$6&lt;&gt;"Inputs accepted","",IF(OR('Results'!$B$6&lt;&gt;"Inputs accepted",$B$7=""),"",IF($B$7+4*PI()*0.0000001*'Inputs'!$B$43*A40*1000&lt;0,"",$B$7+4*PI()*0.0000001*'Inputs'!$B$43*A40*1000)))</x:f>
        <x:v>0.24196640655723733</x:v>
      </x:c>
      <x:c r="C40" s="19" t="n">
        <x:f>IF('Results'!$B$6&lt;&gt;"Inputs accepted","",IF(OR('Results'!$B$6&lt;&gt;"Inputs accepted",$C$7=""),"",IF($C$7+4*PI()*0.0000001*'Inputs'!$B$43*A40*1000&lt;0,"",$C$7+4*PI()*0.0000001*'Inputs'!$B$43*A40*1000)))</x:f>
        <x:v>0.2199694605065794</x:v>
      </x:c>
      <x:c r="D40" s="19" t="str">
        <x:f>IF('Results'!$B$6&lt;&gt;"Inputs accepted","",IF(OR('Results'!$B$6&lt;&gt;"Inputs accepted",$B$13=""),"",IF($B$13+4*PI()*0.0000001*'Inputs'!$B$43*A40*1000&lt;0,"",$B$13+4*PI()*0.0000001*'Inputs'!$B$43*A40*1000)))</x:f>
      </x:c>
      <x:c r="E40" s="19" t="str">
        <x:f>IF('Results'!$B$6&lt;&gt;"Inputs accepted","",IF(OR('Results'!$B$6&lt;&gt;"Inputs accepted",$C$13=""),"",IF($C$13+4*PI()*0.0000001*'Inputs'!$B$43*A40*1000&lt;0,"",$C$13+4*PI()*0.0000001*'Inputs'!$B$43*A40*1000)))</x:f>
      </x:c>
      <x:c r="F40" s="19" t="n">
        <x:f>IF('Results'!$B$6&lt;&gt;"Inputs accepted","",IF('Results'!$B$6="Inputs accepted",-4*PI()*0.0000001*$B$5*A40*1000,""))</x:f>
        <x:v>0.40851471236936154</x:v>
      </x:c>
      <x:c r="G40" s="19" t="n">
        <x:f>IF('Results'!$B$6&lt;&gt;"Inputs accepted","",IF('Results'!$B$6="Inputs accepted",-4*PI()*0.0000001*$C$5*A40*1000,""))</x:f>
        <x:v>0.40851471236936154</x:v>
      </x:c>
      <x:c r="H40" s="19" t="str">
        <x:f>""</x:f>
      </x:c>
      <x:c r="I40" s="19" t="str">
        <x:f>""</x:f>
      </x:c>
      <x:c r="J40" s="2"/>
      <x:c r="K40" s="2"/>
      <x:c r="L40" s="2"/>
    </x:row>
    <x:row r="41" ht="22" customHeight="1">
      <x:c r="A41" s="19" t="n">
        <x:f>IF('Results'!$B$6&lt;&gt;"Inputs accepted",0,-MAX($B$7,$C$7)/(4*PI()*0.0000001*'Inputs'!$B$43)/1000*(118-41)/100)</x:f>
        <x:v>-641.8358277627917</x:v>
      </x:c>
      <x:c r="B41" s="19" t="n">
        <x:f>IF('Results'!$B$6&lt;&gt;"Inputs accepted","",IF(OR('Results'!$B$6&lt;&gt;"Inputs accepted",$B$7=""),"",IF($B$7+4*PI()*0.0000001*'Inputs'!$B$43*A41*1000&lt;0,"",$B$7+4*PI()*0.0000001*'Inputs'!$B$43*A41*1000)))</x:f>
        <x:v>0.2529648795825662</x:v>
      </x:c>
      <x:c r="C41" s="19" t="n">
        <x:f>IF('Results'!$B$6&lt;&gt;"Inputs accepted","",IF(OR('Results'!$B$6&lt;&gt;"Inputs accepted",$C$7=""),"",IF($C$7+4*PI()*0.0000001*'Inputs'!$B$43*A41*1000&lt;0,"",$C$7+4*PI()*0.0000001*'Inputs'!$B$43*A41*1000)))</x:f>
        <x:v>0.23096793353190825</x:v>
      </x:c>
      <x:c r="D41" s="19" t="str">
        <x:f>IF('Results'!$B$6&lt;&gt;"Inputs accepted","",IF(OR('Results'!$B$6&lt;&gt;"Inputs accepted",$B$13=""),"",IF($B$13+4*PI()*0.0000001*'Inputs'!$B$43*A41*1000&lt;0,"",$B$13+4*PI()*0.0000001*'Inputs'!$B$43*A41*1000)))</x:f>
      </x:c>
      <x:c r="E41" s="19" t="str">
        <x:f>IF('Results'!$B$6&lt;&gt;"Inputs accepted","",IF(OR('Results'!$B$6&lt;&gt;"Inputs accepted",$C$13=""),"",IF($C$13+4*PI()*0.0000001*'Inputs'!$B$43*A41*1000&lt;0,"",$C$13+4*PI()*0.0000001*'Inputs'!$B$43*A41*1000)))</x:f>
      </x:c>
      <x:c r="F41" s="19" t="n">
        <x:f>IF('Results'!$B$6&lt;&gt;"Inputs accepted","",IF('Results'!$B$6="Inputs accepted",-4*PI()*0.0000001*$B$5*A41*1000,""))</x:f>
        <x:v>0.4032773442620621</x:v>
      </x:c>
      <x:c r="G41" s="19" t="n">
        <x:f>IF('Results'!$B$6&lt;&gt;"Inputs accepted","",IF('Results'!$B$6="Inputs accepted",-4*PI()*0.0000001*$C$5*A41*1000,""))</x:f>
        <x:v>0.4032773442620621</x:v>
      </x:c>
      <x:c r="H41" s="19" t="str">
        <x:f>""</x:f>
      </x:c>
      <x:c r="I41" s="19" t="str">
        <x:f>""</x:f>
      </x:c>
      <x:c r="J41" s="2"/>
      <x:c r="K41" s="2"/>
      <x:c r="L41" s="2"/>
    </x:row>
    <x:row r="42" ht="22" customHeight="1">
      <x:c r="A42" s="19" t="n">
        <x:f>IF('Results'!$B$6&lt;&gt;"Inputs accepted",0,-MAX($B$7,$C$7)/(4*PI()*0.0000001*'Inputs'!$B$43)/1000*(118-42)/100)</x:f>
        <x:v>-633.5002975321061</x:v>
      </x:c>
      <x:c r="B42" s="19" t="n">
        <x:f>IF('Results'!$B$6&lt;&gt;"Inputs accepted","",IF(OR('Results'!$B$6&lt;&gt;"Inputs accepted",$B$7=""),"",IF($B$7+4*PI()*0.0000001*'Inputs'!$B$43*A42*1000&lt;0,"",$B$7+4*PI()*0.0000001*'Inputs'!$B$43*A42*1000)))</x:f>
        <x:v>0.26396335260789516</x:v>
      </x:c>
      <x:c r="C42" s="19" t="n">
        <x:f>IF('Results'!$B$6&lt;&gt;"Inputs accepted","",IF(OR('Results'!$B$6&lt;&gt;"Inputs accepted",$C$7=""),"",IF($C$7+4*PI()*0.0000001*'Inputs'!$B$43*A42*1000&lt;0,"",$C$7+4*PI()*0.0000001*'Inputs'!$B$43*A42*1000)))</x:f>
        <x:v>0.24196640655723722</x:v>
      </x:c>
      <x:c r="D42" s="19" t="str">
        <x:f>IF('Results'!$B$6&lt;&gt;"Inputs accepted","",IF(OR('Results'!$B$6&lt;&gt;"Inputs accepted",$B$13=""),"",IF($B$13+4*PI()*0.0000001*'Inputs'!$B$43*A42*1000&lt;0,"",$B$13+4*PI()*0.0000001*'Inputs'!$B$43*A42*1000)))</x:f>
      </x:c>
      <x:c r="E42" s="19" t="str">
        <x:f>IF('Results'!$B$6&lt;&gt;"Inputs accepted","",IF(OR('Results'!$B$6&lt;&gt;"Inputs accepted",$C$13=""),"",IF($C$13+4*PI()*0.0000001*'Inputs'!$B$43*A42*1000&lt;0,"",$C$13+4*PI()*0.0000001*'Inputs'!$B$43*A42*1000)))</x:f>
      </x:c>
      <x:c r="F42" s="19" t="n">
        <x:f>IF('Results'!$B$6&lt;&gt;"Inputs accepted","",IF('Results'!$B$6="Inputs accepted",-4*PI()*0.0000001*$B$5*A42*1000,""))</x:f>
        <x:v>0.39803997615476255</x:v>
      </x:c>
      <x:c r="G42" s="19" t="n">
        <x:f>IF('Results'!$B$6&lt;&gt;"Inputs accepted","",IF('Results'!$B$6="Inputs accepted",-4*PI()*0.0000001*$C$5*A42*1000,""))</x:f>
        <x:v>0.39803997615476255</x:v>
      </x:c>
      <x:c r="H42" s="19" t="str">
        <x:f>""</x:f>
      </x:c>
      <x:c r="I42" s="19" t="str">
        <x:f>""</x:f>
      </x:c>
      <x:c r="J42" s="2"/>
      <x:c r="K42" s="2"/>
      <x:c r="L42" s="2"/>
    </x:row>
    <x:row r="43" ht="22" customHeight="1">
      <x:c r="A43" s="19" t="n">
        <x:f>IF('Results'!$B$6&lt;&gt;"Inputs accepted",0,-MAX($B$7,$C$7)/(4*PI()*0.0000001*'Inputs'!$B$43)/1000*(118-43)/100)</x:f>
        <x:v>-625.1647673014204</x:v>
      </x:c>
      <x:c r="B43" s="19" t="n">
        <x:f>IF('Results'!$B$6&lt;&gt;"Inputs accepted","",IF(OR('Results'!$B$6&lt;&gt;"Inputs accepted",$B$7=""),"",IF($B$7+4*PI()*0.0000001*'Inputs'!$B$43*A43*1000&lt;0,"",$B$7+4*PI()*0.0000001*'Inputs'!$B$43*A43*1000)))</x:f>
        <x:v>0.27496182563322424</x:v>
      </x:c>
      <x:c r="C43" s="19" t="n">
        <x:f>IF('Results'!$B$6&lt;&gt;"Inputs accepted","",IF(OR('Results'!$B$6&lt;&gt;"Inputs accepted",$C$7=""),"",IF($C$7+4*PI()*0.0000001*'Inputs'!$B$43*A43*1000&lt;0,"",$C$7+4*PI()*0.0000001*'Inputs'!$B$43*A43*1000)))</x:f>
        <x:v>0.2529648795825663</x:v>
      </x:c>
      <x:c r="D43" s="19" t="str">
        <x:f>IF('Results'!$B$6&lt;&gt;"Inputs accepted","",IF(OR('Results'!$B$6&lt;&gt;"Inputs accepted",$B$13=""),"",IF($B$13+4*PI()*0.0000001*'Inputs'!$B$43*A43*1000&lt;0,"",$B$13+4*PI()*0.0000001*'Inputs'!$B$43*A43*1000)))</x:f>
      </x:c>
      <x:c r="E43" s="19" t="str">
        <x:f>IF('Results'!$B$6&lt;&gt;"Inputs accepted","",IF(OR('Results'!$B$6&lt;&gt;"Inputs accepted",$C$13=""),"",IF($C$13+4*PI()*0.0000001*'Inputs'!$B$43*A43*1000&lt;0,"",$C$13+4*PI()*0.0000001*'Inputs'!$B$43*A43*1000)))</x:f>
      </x:c>
      <x:c r="F43" s="19" t="n">
        <x:f>IF('Results'!$B$6&lt;&gt;"Inputs accepted","",IF('Results'!$B$6="Inputs accepted",-4*PI()*0.0000001*$B$5*A43*1000,""))</x:f>
        <x:v>0.39280260804746303</x:v>
      </x:c>
      <x:c r="G43" s="19" t="n">
        <x:f>IF('Results'!$B$6&lt;&gt;"Inputs accepted","",IF('Results'!$B$6="Inputs accepted",-4*PI()*0.0000001*$C$5*A43*1000,""))</x:f>
        <x:v>0.39280260804746303</x:v>
      </x:c>
      <x:c r="H43" s="19" t="str">
        <x:f>""</x:f>
      </x:c>
      <x:c r="I43" s="19" t="str">
        <x:f>""</x:f>
      </x:c>
      <x:c r="J43" s="2"/>
      <x:c r="K43" s="2"/>
      <x:c r="L43" s="2"/>
    </x:row>
    <x:row r="44" ht="22" customHeight="1">
      <x:c r="A44" s="19" t="n">
        <x:f>IF('Results'!$B$6&lt;&gt;"Inputs accepted",0,-MAX($B$7,$C$7)/(4*PI()*0.0000001*'Inputs'!$B$43)/1000*(118-44)/100)</x:f>
        <x:v>-616.8292370707348</x:v>
      </x:c>
      <x:c r="B44" s="19" t="n">
        <x:f>IF('Results'!$B$6&lt;&gt;"Inputs accepted","",IF(OR('Results'!$B$6&lt;&gt;"Inputs accepted",$B$7=""),"",IF($B$7+4*PI()*0.0000001*'Inputs'!$B$43*A44*1000&lt;0,"",$B$7+4*PI()*0.0000001*'Inputs'!$B$43*A44*1000)))</x:f>
        <x:v>0.2859602986585532</x:v>
      </x:c>
      <x:c r="C44" s="19" t="n">
        <x:f>IF('Results'!$B$6&lt;&gt;"Inputs accepted","",IF(OR('Results'!$B$6&lt;&gt;"Inputs accepted",$C$7=""),"",IF($C$7+4*PI()*0.0000001*'Inputs'!$B$43*A44*1000&lt;0,"",$C$7+4*PI()*0.0000001*'Inputs'!$B$43*A44*1000)))</x:f>
        <x:v>0.2639633526078953</x:v>
      </x:c>
      <x:c r="D44" s="19" t="str">
        <x:f>IF('Results'!$B$6&lt;&gt;"Inputs accepted","",IF(OR('Results'!$B$6&lt;&gt;"Inputs accepted",$B$13=""),"",IF($B$13+4*PI()*0.0000001*'Inputs'!$B$43*A44*1000&lt;0,"",$B$13+4*PI()*0.0000001*'Inputs'!$B$43*A44*1000)))</x:f>
      </x:c>
      <x:c r="E44" s="19" t="str">
        <x:f>IF('Results'!$B$6&lt;&gt;"Inputs accepted","",IF(OR('Results'!$B$6&lt;&gt;"Inputs accepted",$C$13=""),"",IF($C$13+4*PI()*0.0000001*'Inputs'!$B$43*A44*1000&lt;0,"",$C$13+4*PI()*0.0000001*'Inputs'!$B$43*A44*1000)))</x:f>
      </x:c>
      <x:c r="F44" s="19" t="n">
        <x:f>IF('Results'!$B$6&lt;&gt;"Inputs accepted","",IF('Results'!$B$6="Inputs accepted",-4*PI()*0.0000001*$B$5*A44*1000,""))</x:f>
        <x:v>0.3875652399401635</x:v>
      </x:c>
      <x:c r="G44" s="19" t="n">
        <x:f>IF('Results'!$B$6&lt;&gt;"Inputs accepted","",IF('Results'!$B$6="Inputs accepted",-4*PI()*0.0000001*$C$5*A44*1000,""))</x:f>
        <x:v>0.3875652399401635</x:v>
      </x:c>
      <x:c r="H44" s="19" t="str">
        <x:f>""</x:f>
      </x:c>
      <x:c r="I44" s="19" t="str">
        <x:f>""</x:f>
      </x:c>
      <x:c r="J44" s="2"/>
      <x:c r="K44" s="2"/>
      <x:c r="L44" s="2"/>
    </x:row>
    <x:row r="45" ht="22" customHeight="1">
      <x:c r="A45" s="19" t="n">
        <x:f>IF('Results'!$B$6&lt;&gt;"Inputs accepted",0,-MAX($B$7,$C$7)/(4*PI()*0.0000001*'Inputs'!$B$43)/1000*(118-45)/100)</x:f>
        <x:v>-608.4937068400493</x:v>
      </x:c>
      <x:c r="B45" s="19" t="n">
        <x:f>IF('Results'!$B$6&lt;&gt;"Inputs accepted","",IF(OR('Results'!$B$6&lt;&gt;"Inputs accepted",$B$7=""),"",IF($B$7+4*PI()*0.0000001*'Inputs'!$B$43*A45*1000&lt;0,"",$B$7+4*PI()*0.0000001*'Inputs'!$B$43*A45*1000)))</x:f>
        <x:v>0.2969587716838821</x:v>
      </x:c>
      <x:c r="C45" s="19" t="n">
        <x:f>IF('Results'!$B$6&lt;&gt;"Inputs accepted","",IF(OR('Results'!$B$6&lt;&gt;"Inputs accepted",$C$7=""),"",IF($C$7+4*PI()*0.0000001*'Inputs'!$B$43*A45*1000&lt;0,"",$C$7+4*PI()*0.0000001*'Inputs'!$B$43*A45*1000)))</x:f>
        <x:v>0.27496182563322413</x:v>
      </x:c>
      <x:c r="D45" s="19" t="str">
        <x:f>IF('Results'!$B$6&lt;&gt;"Inputs accepted","",IF(OR('Results'!$B$6&lt;&gt;"Inputs accepted",$B$13=""),"",IF($B$13+4*PI()*0.0000001*'Inputs'!$B$43*A45*1000&lt;0,"",$B$13+4*PI()*0.0000001*'Inputs'!$B$43*A45*1000)))</x:f>
      </x:c>
      <x:c r="E45" s="19" t="str">
        <x:f>IF('Results'!$B$6&lt;&gt;"Inputs accepted","",IF(OR('Results'!$B$6&lt;&gt;"Inputs accepted",$C$13=""),"",IF($C$13+4*PI()*0.0000001*'Inputs'!$B$43*A45*1000&lt;0,"",$C$13+4*PI()*0.0000001*'Inputs'!$B$43*A45*1000)))</x:f>
      </x:c>
      <x:c r="F45" s="19" t="n">
        <x:f>IF('Results'!$B$6&lt;&gt;"Inputs accepted","",IF('Results'!$B$6="Inputs accepted",-4*PI()*0.0000001*$B$5*A45*1000,""))</x:f>
        <x:v>0.38232787183286404</x:v>
      </x:c>
      <x:c r="G45" s="19" t="n">
        <x:f>IF('Results'!$B$6&lt;&gt;"Inputs accepted","",IF('Results'!$B$6="Inputs accepted",-4*PI()*0.0000001*$C$5*A45*1000,""))</x:f>
        <x:v>0.38232787183286404</x:v>
      </x:c>
      <x:c r="H45" s="19" t="str">
        <x:f>""</x:f>
      </x:c>
      <x:c r="I45" s="19" t="str">
        <x:f>""</x:f>
      </x:c>
      <x:c r="J45" s="2"/>
      <x:c r="K45" s="2"/>
      <x:c r="L45" s="2"/>
    </x:row>
    <x:row r="46" ht="22" customHeight="1">
      <x:c r="A46" s="19" t="n">
        <x:f>IF('Results'!$B$6&lt;&gt;"Inputs accepted",0,-MAX($B$7,$C$7)/(4*PI()*0.0000001*'Inputs'!$B$43)/1000*(118-46)/100)</x:f>
        <x:v>-600.1581766093636</x:v>
      </x:c>
      <x:c r="B46" s="19" t="n">
        <x:f>IF('Results'!$B$6&lt;&gt;"Inputs accepted","",IF(OR('Results'!$B$6&lt;&gt;"Inputs accepted",$B$7=""),"",IF($B$7+4*PI()*0.0000001*'Inputs'!$B$43*A46*1000&lt;0,"",$B$7+4*PI()*0.0000001*'Inputs'!$B$43*A46*1000)))</x:f>
        <x:v>0.30795724470921104</x:v>
      </x:c>
      <x:c r="C46" s="19" t="n">
        <x:f>IF('Results'!$B$6&lt;&gt;"Inputs accepted","",IF(OR('Results'!$B$6&lt;&gt;"Inputs accepted",$C$7=""),"",IF($C$7+4*PI()*0.0000001*'Inputs'!$B$43*A46*1000&lt;0,"",$C$7+4*PI()*0.0000001*'Inputs'!$B$43*A46*1000)))</x:f>
        <x:v>0.2859602986585531</x:v>
      </x:c>
      <x:c r="D46" s="19" t="str">
        <x:f>IF('Results'!$B$6&lt;&gt;"Inputs accepted","",IF(OR('Results'!$B$6&lt;&gt;"Inputs accepted",$B$13=""),"",IF($B$13+4*PI()*0.0000001*'Inputs'!$B$43*A46*1000&lt;0,"",$B$13+4*PI()*0.0000001*'Inputs'!$B$43*A46*1000)))</x:f>
      </x:c>
      <x:c r="E46" s="19" t="str">
        <x:f>IF('Results'!$B$6&lt;&gt;"Inputs accepted","",IF(OR('Results'!$B$6&lt;&gt;"Inputs accepted",$C$13=""),"",IF($C$13+4*PI()*0.0000001*'Inputs'!$B$43*A46*1000&lt;0,"",$C$13+4*PI()*0.0000001*'Inputs'!$B$43*A46*1000)))</x:f>
      </x:c>
      <x:c r="F46" s="19" t="n">
        <x:f>IF('Results'!$B$6&lt;&gt;"Inputs accepted","",IF('Results'!$B$6="Inputs accepted",-4*PI()*0.0000001*$B$5*A46*1000,""))</x:f>
        <x:v>0.37709050372556446</x:v>
      </x:c>
      <x:c r="G46" s="19" t="n">
        <x:f>IF('Results'!$B$6&lt;&gt;"Inputs accepted","",IF('Results'!$B$6="Inputs accepted",-4*PI()*0.0000001*$C$5*A46*1000,""))</x:f>
        <x:v>0.37709050372556446</x:v>
      </x:c>
      <x:c r="H46" s="19" t="str">
        <x:f>""</x:f>
      </x:c>
      <x:c r="I46" s="19" t="str">
        <x:f>""</x:f>
      </x:c>
      <x:c r="J46" s="2"/>
      <x:c r="K46" s="2"/>
      <x:c r="L46" s="2"/>
    </x:row>
    <x:row r="47" ht="22" customHeight="1">
      <x:c r="A47" s="19" t="n">
        <x:f>IF('Results'!$B$6&lt;&gt;"Inputs accepted",0,-MAX($B$7,$C$7)/(4*PI()*0.0000001*'Inputs'!$B$43)/1000*(118-47)/100)</x:f>
        <x:v>-591.8226463786781</x:v>
      </x:c>
      <x:c r="B47" s="19" t="n">
        <x:f>IF('Results'!$B$6&lt;&gt;"Inputs accepted","",IF(OR('Results'!$B$6&lt;&gt;"Inputs accepted",$B$7=""),"",IF($B$7+4*PI()*0.0000001*'Inputs'!$B$43*A47*1000&lt;0,"",$B$7+4*PI()*0.0000001*'Inputs'!$B$43*A47*1000)))</x:f>
        <x:v>0.3189557177345399</x:v>
      </x:c>
      <x:c r="C47" s="19" t="n">
        <x:f>IF('Results'!$B$6&lt;&gt;"Inputs accepted","",IF(OR('Results'!$B$6&lt;&gt;"Inputs accepted",$C$7=""),"",IF($C$7+4*PI()*0.0000001*'Inputs'!$B$43*A47*1000&lt;0,"",$C$7+4*PI()*0.0000001*'Inputs'!$B$43*A47*1000)))</x:f>
        <x:v>0.29695877168388196</x:v>
      </x:c>
      <x:c r="D47" s="19" t="str">
        <x:f>IF('Results'!$B$6&lt;&gt;"Inputs accepted","",IF(OR('Results'!$B$6&lt;&gt;"Inputs accepted",$B$13=""),"",IF($B$13+4*PI()*0.0000001*'Inputs'!$B$43*A47*1000&lt;0,"",$B$13+4*PI()*0.0000001*'Inputs'!$B$43*A47*1000)))</x:f>
      </x:c>
      <x:c r="E47" s="19" t="str">
        <x:f>IF('Results'!$B$6&lt;&gt;"Inputs accepted","",IF(OR('Results'!$B$6&lt;&gt;"Inputs accepted",$C$13=""),"",IF($C$13+4*PI()*0.0000001*'Inputs'!$B$43*A47*1000&lt;0,"",$C$13+4*PI()*0.0000001*'Inputs'!$B$43*A47*1000)))</x:f>
      </x:c>
      <x:c r="F47" s="19" t="n">
        <x:f>IF('Results'!$B$6&lt;&gt;"Inputs accepted","",IF('Results'!$B$6="Inputs accepted",-4*PI()*0.0000001*$B$5*A47*1000,""))</x:f>
        <x:v>0.37185313561826505</x:v>
      </x:c>
      <x:c r="G47" s="19" t="n">
        <x:f>IF('Results'!$B$6&lt;&gt;"Inputs accepted","",IF('Results'!$B$6="Inputs accepted",-4*PI()*0.0000001*$C$5*A47*1000,""))</x:f>
        <x:v>0.37185313561826505</x:v>
      </x:c>
      <x:c r="H47" s="19" t="str">
        <x:f>""</x:f>
      </x:c>
      <x:c r="I47" s="19" t="str">
        <x:f>""</x:f>
      </x:c>
      <x:c r="J47" s="2"/>
      <x:c r="K47" s="2"/>
      <x:c r="L47" s="2"/>
    </x:row>
    <x:row r="48" ht="22" customHeight="1">
      <x:c r="A48" s="19" t="n">
        <x:f>IF('Results'!$B$6&lt;&gt;"Inputs accepted",0,-MAX($B$7,$C$7)/(4*PI()*0.0000001*'Inputs'!$B$43)/1000*(118-48)/100)</x:f>
        <x:v>-583.4871161479924</x:v>
      </x:c>
      <x:c r="B48" s="19" t="n">
        <x:f>IF('Results'!$B$6&lt;&gt;"Inputs accepted","",IF(OR('Results'!$B$6&lt;&gt;"Inputs accepted",$B$7=""),"",IF($B$7+4*PI()*0.0000001*'Inputs'!$B$43*A48*1000&lt;0,"",$B$7+4*PI()*0.0000001*'Inputs'!$B$43*A48*1000)))</x:f>
        <x:v>0.3299541907598691</x:v>
      </x:c>
      <x:c r="C48" s="19" t="n">
        <x:f>IF('Results'!$B$6&lt;&gt;"Inputs accepted","",IF(OR('Results'!$B$6&lt;&gt;"Inputs accepted",$C$7=""),"",IF($C$7+4*PI()*0.0000001*'Inputs'!$B$43*A48*1000&lt;0,"",$C$7+4*PI()*0.0000001*'Inputs'!$B$43*A48*1000)))</x:f>
        <x:v>0.30795724470921115</x:v>
      </x:c>
      <x:c r="D48" s="19" t="str">
        <x:f>IF('Results'!$B$6&lt;&gt;"Inputs accepted","",IF(OR('Results'!$B$6&lt;&gt;"Inputs accepted",$B$13=""),"",IF($B$13+4*PI()*0.0000001*'Inputs'!$B$43*A48*1000&lt;0,"",$B$13+4*PI()*0.0000001*'Inputs'!$B$43*A48*1000)))</x:f>
      </x:c>
      <x:c r="E48" s="19" t="str">
        <x:f>IF('Results'!$B$6&lt;&gt;"Inputs accepted","",IF(OR('Results'!$B$6&lt;&gt;"Inputs accepted",$C$13=""),"",IF($C$13+4*PI()*0.0000001*'Inputs'!$B$43*A48*1000&lt;0,"",$C$13+4*PI()*0.0000001*'Inputs'!$B$43*A48*1000)))</x:f>
      </x:c>
      <x:c r="F48" s="19" t="n">
        <x:f>IF('Results'!$B$6&lt;&gt;"Inputs accepted","",IF('Results'!$B$6="Inputs accepted",-4*PI()*0.0000001*$B$5*A48*1000,""))</x:f>
        <x:v>0.3666157675109655</x:v>
      </x:c>
      <x:c r="G48" s="19" t="n">
        <x:f>IF('Results'!$B$6&lt;&gt;"Inputs accepted","",IF('Results'!$B$6="Inputs accepted",-4*PI()*0.0000001*$C$5*A48*1000,""))</x:f>
        <x:v>0.3666157675109655</x:v>
      </x:c>
      <x:c r="H48" s="19" t="str">
        <x:f>""</x:f>
      </x:c>
      <x:c r="I48" s="19" t="str">
        <x:f>""</x:f>
      </x:c>
      <x:c r="J48" s="2"/>
      <x:c r="K48" s="2"/>
      <x:c r="L48" s="2"/>
    </x:row>
    <x:row r="49" ht="22" customHeight="1">
      <x:c r="A49" s="19" t="n">
        <x:f>IF('Results'!$B$6&lt;&gt;"Inputs accepted",0,-MAX($B$7,$C$7)/(4*PI()*0.0000001*'Inputs'!$B$43)/1000*(118-49)/100)</x:f>
        <x:v>-575.1515859173068</x:v>
      </x:c>
      <x:c r="B49" s="19" t="n">
        <x:f>IF('Results'!$B$6&lt;&gt;"Inputs accepted","",IF(OR('Results'!$B$6&lt;&gt;"Inputs accepted",$B$7=""),"",IF($B$7+4*PI()*0.0000001*'Inputs'!$B$43*A49*1000&lt;0,"",$B$7+4*PI()*0.0000001*'Inputs'!$B$43*A49*1000)))</x:f>
        <x:v>0.34095266378519806</x:v>
      </x:c>
      <x:c r="C49" s="19" t="n">
        <x:f>IF('Results'!$B$6&lt;&gt;"Inputs accepted","",IF(OR('Results'!$B$6&lt;&gt;"Inputs accepted",$C$7=""),"",IF($C$7+4*PI()*0.0000001*'Inputs'!$B$43*A49*1000&lt;0,"",$C$7+4*PI()*0.0000001*'Inputs'!$B$43*A49*1000)))</x:f>
        <x:v>0.3189557177345401</x:v>
      </x:c>
      <x:c r="D49" s="19" t="str">
        <x:f>IF('Results'!$B$6&lt;&gt;"Inputs accepted","",IF(OR('Results'!$B$6&lt;&gt;"Inputs accepted",$B$13=""),"",IF($B$13+4*PI()*0.0000001*'Inputs'!$B$43*A49*1000&lt;0,"",$B$13+4*PI()*0.0000001*'Inputs'!$B$43*A49*1000)))</x:f>
      </x:c>
      <x:c r="E49" s="19" t="str">
        <x:f>IF('Results'!$B$6&lt;&gt;"Inputs accepted","",IF(OR('Results'!$B$6&lt;&gt;"Inputs accepted",$C$13=""),"",IF($C$13+4*PI()*0.0000001*'Inputs'!$B$43*A49*1000&lt;0,"",$C$13+4*PI()*0.0000001*'Inputs'!$B$43*A49*1000)))</x:f>
      </x:c>
      <x:c r="F49" s="19" t="n">
        <x:f>IF('Results'!$B$6&lt;&gt;"Inputs accepted","",IF('Results'!$B$6="Inputs accepted",-4*PI()*0.0000001*$B$5*A49*1000,""))</x:f>
        <x:v>0.36137839940366595</x:v>
      </x:c>
      <x:c r="G49" s="19" t="n">
        <x:f>IF('Results'!$B$6&lt;&gt;"Inputs accepted","",IF('Results'!$B$6="Inputs accepted",-4*PI()*0.0000001*$C$5*A49*1000,""))</x:f>
        <x:v>0.36137839940366595</x:v>
      </x:c>
      <x:c r="H49" s="19" t="str">
        <x:f>""</x:f>
      </x:c>
      <x:c r="I49" s="19" t="str">
        <x:f>""</x:f>
      </x:c>
      <x:c r="J49" s="2"/>
      <x:c r="K49" s="2"/>
      <x:c r="L49" s="2"/>
    </x:row>
    <x:row r="50" ht="22" customHeight="1">
      <x:c r="A50" s="19" t="n">
        <x:f>IF('Results'!$B$6&lt;&gt;"Inputs accepted",0,-MAX($B$7,$C$7)/(4*PI()*0.0000001*'Inputs'!$B$43)/1000*(118-50)/100)</x:f>
        <x:v>-566.8160556866212</x:v>
      </x:c>
      <x:c r="B50" s="19" t="n">
        <x:f>IF('Results'!$B$6&lt;&gt;"Inputs accepted","",IF(OR('Results'!$B$6&lt;&gt;"Inputs accepted",$B$7=""),"",IF($B$7+4*PI()*0.0000001*'Inputs'!$B$43*A50*1000&lt;0,"",$B$7+4*PI()*0.0000001*'Inputs'!$B$43*A50*1000)))</x:f>
        <x:v>0.3519511368105269</x:v>
      </x:c>
      <x:c r="C50" s="19" t="n">
        <x:f>IF('Results'!$B$6&lt;&gt;"Inputs accepted","",IF(OR('Results'!$B$6&lt;&gt;"Inputs accepted",$C$7=""),"",IF($C$7+4*PI()*0.0000001*'Inputs'!$B$43*A50*1000&lt;0,"",$C$7+4*PI()*0.0000001*'Inputs'!$B$43*A50*1000)))</x:f>
        <x:v>0.329954190759869</x:v>
      </x:c>
      <x:c r="D50" s="19" t="str">
        <x:f>IF('Results'!$B$6&lt;&gt;"Inputs accepted","",IF(OR('Results'!$B$6&lt;&gt;"Inputs accepted",$B$13=""),"",IF($B$13+4*PI()*0.0000001*'Inputs'!$B$43*A50*1000&lt;0,"",$B$13+4*PI()*0.0000001*'Inputs'!$B$43*A50*1000)))</x:f>
      </x:c>
      <x:c r="E50" s="19" t="str">
        <x:f>IF('Results'!$B$6&lt;&gt;"Inputs accepted","",IF(OR('Results'!$B$6&lt;&gt;"Inputs accepted",$C$13=""),"",IF($C$13+4*PI()*0.0000001*'Inputs'!$B$43*A50*1000&lt;0,"",$C$13+4*PI()*0.0000001*'Inputs'!$B$43*A50*1000)))</x:f>
      </x:c>
      <x:c r="F50" s="19" t="n">
        <x:f>IF('Results'!$B$6&lt;&gt;"Inputs accepted","",IF('Results'!$B$6="Inputs accepted",-4*PI()*0.0000001*$B$5*A50*1000,""))</x:f>
        <x:v>0.3561410312963665</x:v>
      </x:c>
      <x:c r="G50" s="19" t="n">
        <x:f>IF('Results'!$B$6&lt;&gt;"Inputs accepted","",IF('Results'!$B$6="Inputs accepted",-4*PI()*0.0000001*$C$5*A50*1000,""))</x:f>
        <x:v>0.3561410312963665</x:v>
      </x:c>
      <x:c r="H50" s="19" t="str">
        <x:f>""</x:f>
      </x:c>
      <x:c r="I50" s="19" t="str">
        <x:f>""</x:f>
      </x:c>
      <x:c r="J50" s="2"/>
      <x:c r="K50" s="2"/>
      <x:c r="L50" s="2"/>
    </x:row>
    <x:row r="51" ht="22" customHeight="1">
      <x:c r="A51" s="19" t="n">
        <x:f>IF('Results'!$B$6&lt;&gt;"Inputs accepted",0,-MAX($B$7,$C$7)/(4*PI()*0.0000001*'Inputs'!$B$43)/1000*(118-51)/100)</x:f>
        <x:v>-558.4805254559357</x:v>
      </x:c>
      <x:c r="B51" s="19" t="n">
        <x:f>IF('Results'!$B$6&lt;&gt;"Inputs accepted","",IF(OR('Results'!$B$6&lt;&gt;"Inputs accepted",$B$7=""),"",IF($B$7+4*PI()*0.0000001*'Inputs'!$B$43*A51*1000&lt;0,"",$B$7+4*PI()*0.0000001*'Inputs'!$B$43*A51*1000)))</x:f>
        <x:v>0.3629496098358558</x:v>
      </x:c>
      <x:c r="C51" s="19" t="n">
        <x:f>IF('Results'!$B$6&lt;&gt;"Inputs accepted","",IF(OR('Results'!$B$6&lt;&gt;"Inputs accepted",$C$7=""),"",IF($C$7+4*PI()*0.0000001*'Inputs'!$B$43*A51*1000&lt;0,"",$C$7+4*PI()*0.0000001*'Inputs'!$B$43*A51*1000)))</x:f>
        <x:v>0.34095266378519784</x:v>
      </x:c>
      <x:c r="D51" s="19" t="str">
        <x:f>IF('Results'!$B$6&lt;&gt;"Inputs accepted","",IF(OR('Results'!$B$6&lt;&gt;"Inputs accepted",$B$13=""),"",IF($B$13+4*PI()*0.0000001*'Inputs'!$B$43*A51*1000&lt;0,"",$B$13+4*PI()*0.0000001*'Inputs'!$B$43*A51*1000)))</x:f>
      </x:c>
      <x:c r="E51" s="19" t="str">
        <x:f>IF('Results'!$B$6&lt;&gt;"Inputs accepted","",IF(OR('Results'!$B$6&lt;&gt;"Inputs accepted",$C$13=""),"",IF($C$13+4*PI()*0.0000001*'Inputs'!$B$43*A51*1000&lt;0,"",$C$13+4*PI()*0.0000001*'Inputs'!$B$43*A51*1000)))</x:f>
      </x:c>
      <x:c r="F51" s="19" t="n">
        <x:f>IF('Results'!$B$6&lt;&gt;"Inputs accepted","",IF('Results'!$B$6="Inputs accepted",-4*PI()*0.0000001*$B$5*A51*1000,""))</x:f>
        <x:v>0.35090366318906696</x:v>
      </x:c>
      <x:c r="G51" s="19" t="n">
        <x:f>IF('Results'!$B$6&lt;&gt;"Inputs accepted","",IF('Results'!$B$6="Inputs accepted",-4*PI()*0.0000001*$C$5*A51*1000,""))</x:f>
        <x:v>0.35090366318906696</x:v>
      </x:c>
      <x:c r="H51" s="19" t="str">
        <x:f>""</x:f>
      </x:c>
      <x:c r="I51" s="19" t="str">
        <x:f>""</x:f>
      </x:c>
      <x:c r="J51" s="2"/>
      <x:c r="K51" s="2"/>
      <x:c r="L51" s="2"/>
    </x:row>
    <x:row r="52" ht="22" customHeight="1">
      <x:c r="A52" s="19" t="n">
        <x:f>IF('Results'!$B$6&lt;&gt;"Inputs accepted",0,-MAX($B$7,$C$7)/(4*PI()*0.0000001*'Inputs'!$B$43)/1000*(118-52)/100)</x:f>
        <x:v>-550.14499522525</x:v>
      </x:c>
      <x:c r="B52" s="19" t="n">
        <x:f>IF('Results'!$B$6&lt;&gt;"Inputs accepted","",IF(OR('Results'!$B$6&lt;&gt;"Inputs accepted",$B$7=""),"",IF($B$7+4*PI()*0.0000001*'Inputs'!$B$43*A52*1000&lt;0,"",$B$7+4*PI()*0.0000001*'Inputs'!$B$43*A52*1000)))</x:f>
        <x:v>0.37394808286118486</x:v>
      </x:c>
      <x:c r="C52" s="19" t="n">
        <x:f>IF('Results'!$B$6&lt;&gt;"Inputs accepted","",IF(OR('Results'!$B$6&lt;&gt;"Inputs accepted",$C$7=""),"",IF($C$7+4*PI()*0.0000001*'Inputs'!$B$43*A52*1000&lt;0,"",$C$7+4*PI()*0.0000001*'Inputs'!$B$43*A52*1000)))</x:f>
        <x:v>0.3519511368105269</x:v>
      </x:c>
      <x:c r="D52" s="19" t="str">
        <x:f>IF('Results'!$B$6&lt;&gt;"Inputs accepted","",IF(OR('Results'!$B$6&lt;&gt;"Inputs accepted",$B$13=""),"",IF($B$13+4*PI()*0.0000001*'Inputs'!$B$43*A52*1000&lt;0,"",$B$13+4*PI()*0.0000001*'Inputs'!$B$43*A52*1000)))</x:f>
      </x:c>
      <x:c r="E52" s="19" t="str">
        <x:f>IF('Results'!$B$6&lt;&gt;"Inputs accepted","",IF(OR('Results'!$B$6&lt;&gt;"Inputs accepted",$C$13=""),"",IF($C$13+4*PI()*0.0000001*'Inputs'!$B$43*A52*1000&lt;0,"",$C$13+4*PI()*0.0000001*'Inputs'!$B$43*A52*1000)))</x:f>
      </x:c>
      <x:c r="F52" s="19" t="n">
        <x:f>IF('Results'!$B$6&lt;&gt;"Inputs accepted","",IF('Results'!$B$6="Inputs accepted",-4*PI()*0.0000001*$B$5*A52*1000,""))</x:f>
        <x:v>0.34566629508176744</x:v>
      </x:c>
      <x:c r="G52" s="19" t="n">
        <x:f>IF('Results'!$B$6&lt;&gt;"Inputs accepted","",IF('Results'!$B$6="Inputs accepted",-4*PI()*0.0000001*$C$5*A52*1000,""))</x:f>
        <x:v>0.34566629508176744</x:v>
      </x:c>
      <x:c r="H52" s="19" t="str">
        <x:f>""</x:f>
      </x:c>
      <x:c r="I52" s="19" t="str">
        <x:f>""</x:f>
      </x:c>
      <x:c r="J52" s="2"/>
      <x:c r="K52" s="2"/>
      <x:c r="L52" s="2"/>
    </x:row>
    <x:row r="53" ht="22" customHeight="1">
      <x:c r="A53" s="19" t="n">
        <x:f>IF('Results'!$B$6&lt;&gt;"Inputs accepted",0,-MAX($B$7,$C$7)/(4*PI()*0.0000001*'Inputs'!$B$43)/1000*(118-53)/100)</x:f>
        <x:v>-541.8094649945645</x:v>
      </x:c>
      <x:c r="B53" s="19" t="n">
        <x:f>IF('Results'!$B$6&lt;&gt;"Inputs accepted","",IF(OR('Results'!$B$6&lt;&gt;"Inputs accepted",$B$7=""),"",IF($B$7+4*PI()*0.0000001*'Inputs'!$B$43*A53*1000&lt;0,"",$B$7+4*PI()*0.0000001*'Inputs'!$B$43*A53*1000)))</x:f>
        <x:v>0.38494655588651383</x:v>
      </x:c>
      <x:c r="C53" s="19" t="n">
        <x:f>IF('Results'!$B$6&lt;&gt;"Inputs accepted","",IF(OR('Results'!$B$6&lt;&gt;"Inputs accepted",$C$7=""),"",IF($C$7+4*PI()*0.0000001*'Inputs'!$B$43*A53*1000&lt;0,"",$C$7+4*PI()*0.0000001*'Inputs'!$B$43*A53*1000)))</x:f>
        <x:v>0.3629496098358559</x:v>
      </x:c>
      <x:c r="D53" s="19" t="str">
        <x:f>IF('Results'!$B$6&lt;&gt;"Inputs accepted","",IF(OR('Results'!$B$6&lt;&gt;"Inputs accepted",$B$13=""),"",IF($B$13+4*PI()*0.0000001*'Inputs'!$B$43*A53*1000&lt;0,"",$B$13+4*PI()*0.0000001*'Inputs'!$B$43*A53*1000)))</x:f>
      </x:c>
      <x:c r="E53" s="19" t="str">
        <x:f>IF('Results'!$B$6&lt;&gt;"Inputs accepted","",IF(OR('Results'!$B$6&lt;&gt;"Inputs accepted",$C$13=""),"",IF($C$13+4*PI()*0.0000001*'Inputs'!$B$43*A53*1000&lt;0,"",$C$13+4*PI()*0.0000001*'Inputs'!$B$43*A53*1000)))</x:f>
      </x:c>
      <x:c r="F53" s="19" t="n">
        <x:f>IF('Results'!$B$6&lt;&gt;"Inputs accepted","",IF('Results'!$B$6="Inputs accepted",-4*PI()*0.0000001*$B$5*A53*1000,""))</x:f>
        <x:v>0.34042892697446797</x:v>
      </x:c>
      <x:c r="G53" s="19" t="n">
        <x:f>IF('Results'!$B$6&lt;&gt;"Inputs accepted","",IF('Results'!$B$6="Inputs accepted",-4*PI()*0.0000001*$C$5*A53*1000,""))</x:f>
        <x:v>0.34042892697446797</x:v>
      </x:c>
      <x:c r="H53" s="19" t="str">
        <x:f>""</x:f>
      </x:c>
      <x:c r="I53" s="19" t="str">
        <x:f>""</x:f>
      </x:c>
      <x:c r="J53" s="2"/>
      <x:c r="K53" s="2"/>
      <x:c r="L53" s="2"/>
    </x:row>
    <x:row r="54" ht="22" customHeight="1">
      <x:c r="A54" s="19" t="n">
        <x:f>IF('Results'!$B$6&lt;&gt;"Inputs accepted",0,-MAX($B$7,$C$7)/(4*PI()*0.0000001*'Inputs'!$B$43)/1000*(118-54)/100)</x:f>
        <x:v>-533.4739347638788</x:v>
      </x:c>
      <x:c r="B54" s="19" t="n">
        <x:f>IF('Results'!$B$6&lt;&gt;"Inputs accepted","",IF(OR('Results'!$B$6&lt;&gt;"Inputs accepted",$B$7=""),"",IF($B$7+4*PI()*0.0000001*'Inputs'!$B$43*A54*1000&lt;0,"",$B$7+4*PI()*0.0000001*'Inputs'!$B$43*A54*1000)))</x:f>
        <x:v>0.3959450289118428</x:v>
      </x:c>
      <x:c r="C54" s="19" t="n">
        <x:f>IF('Results'!$B$6&lt;&gt;"Inputs accepted","",IF(OR('Results'!$B$6&lt;&gt;"Inputs accepted",$C$7=""),"",IF($C$7+4*PI()*0.0000001*'Inputs'!$B$43*A54*1000&lt;0,"",$C$7+4*PI()*0.0000001*'Inputs'!$B$43*A54*1000)))</x:f>
        <x:v>0.37394808286118486</x:v>
      </x:c>
      <x:c r="D54" s="19" t="str">
        <x:f>IF('Results'!$B$6&lt;&gt;"Inputs accepted","",IF(OR('Results'!$B$6&lt;&gt;"Inputs accepted",$B$13=""),"",IF($B$13+4*PI()*0.0000001*'Inputs'!$B$43*A54*1000&lt;0,"",$B$13+4*PI()*0.0000001*'Inputs'!$B$43*A54*1000)))</x:f>
      </x:c>
      <x:c r="E54" s="19" t="str">
        <x:f>IF('Results'!$B$6&lt;&gt;"Inputs accepted","",IF(OR('Results'!$B$6&lt;&gt;"Inputs accepted",$C$13=""),"",IF($C$13+4*PI()*0.0000001*'Inputs'!$B$43*A54*1000&lt;0,"",$C$13+4*PI()*0.0000001*'Inputs'!$B$43*A54*1000)))</x:f>
      </x:c>
      <x:c r="F54" s="19" t="n">
        <x:f>IF('Results'!$B$6&lt;&gt;"Inputs accepted","",IF('Results'!$B$6="Inputs accepted",-4*PI()*0.0000001*$B$5*A54*1000,""))</x:f>
        <x:v>0.33519155886716845</x:v>
      </x:c>
      <x:c r="G54" s="19" t="n">
        <x:f>IF('Results'!$B$6&lt;&gt;"Inputs accepted","",IF('Results'!$B$6="Inputs accepted",-4*PI()*0.0000001*$C$5*A54*1000,""))</x:f>
        <x:v>0.33519155886716845</x:v>
      </x:c>
      <x:c r="H54" s="19" t="str">
        <x:f>""</x:f>
      </x:c>
      <x:c r="I54" s="19" t="str">
        <x:f>""</x:f>
      </x:c>
      <x:c r="J54" s="2"/>
      <x:c r="K54" s="2"/>
      <x:c r="L54" s="2"/>
    </x:row>
    <x:row r="55" ht="22" customHeight="1">
      <x:c r="A55" s="19" t="n">
        <x:f>IF('Results'!$B$6&lt;&gt;"Inputs accepted",0,-MAX($B$7,$C$7)/(4*PI()*0.0000001*'Inputs'!$B$43)/1000*(118-55)/100)</x:f>
        <x:v>-525.1384045331931</x:v>
      </x:c>
      <x:c r="B55" s="19" t="n">
        <x:f>IF('Results'!$B$6&lt;&gt;"Inputs accepted","",IF(OR('Results'!$B$6&lt;&gt;"Inputs accepted",$B$7=""),"",IF($B$7+4*PI()*0.0000001*'Inputs'!$B$43*A55*1000&lt;0,"",$B$7+4*PI()*0.0000001*'Inputs'!$B$43*A55*1000)))</x:f>
        <x:v>0.40694350193717177</x:v>
      </x:c>
      <x:c r="C55" s="19" t="n">
        <x:f>IF('Results'!$B$6&lt;&gt;"Inputs accepted","",IF(OR('Results'!$B$6&lt;&gt;"Inputs accepted",$C$7=""),"",IF($C$7+4*PI()*0.0000001*'Inputs'!$B$43*A55*1000&lt;0,"",$C$7+4*PI()*0.0000001*'Inputs'!$B$43*A55*1000)))</x:f>
        <x:v>0.38494655588651383</x:v>
      </x:c>
      <x:c r="D55" s="19" t="str">
        <x:f>IF('Results'!$B$6&lt;&gt;"Inputs accepted","",IF(OR('Results'!$B$6&lt;&gt;"Inputs accepted",$B$13=""),"",IF($B$13+4*PI()*0.0000001*'Inputs'!$B$43*A55*1000&lt;0,"",$B$13+4*PI()*0.0000001*'Inputs'!$B$43*A55*1000)))</x:f>
      </x:c>
      <x:c r="E55" s="19" t="str">
        <x:f>IF('Results'!$B$6&lt;&gt;"Inputs accepted","",IF(OR('Results'!$B$6&lt;&gt;"Inputs accepted",$C$13=""),"",IF($C$13+4*PI()*0.0000001*'Inputs'!$B$43*A55*1000&lt;0,"",$C$13+4*PI()*0.0000001*'Inputs'!$B$43*A55*1000)))</x:f>
      </x:c>
      <x:c r="F55" s="19" t="n">
        <x:f>IF('Results'!$B$6&lt;&gt;"Inputs accepted","",IF('Results'!$B$6="Inputs accepted",-4*PI()*0.0000001*$B$5*A55*1000,""))</x:f>
        <x:v>0.32995419075986887</x:v>
      </x:c>
      <x:c r="G55" s="19" t="n">
        <x:f>IF('Results'!$B$6&lt;&gt;"Inputs accepted","",IF('Results'!$B$6="Inputs accepted",-4*PI()*0.0000001*$C$5*A55*1000,""))</x:f>
        <x:v>0.32995419075986887</x:v>
      </x:c>
      <x:c r="H55" s="19" t="str">
        <x:f>""</x:f>
      </x:c>
      <x:c r="I55" s="19" t="str">
        <x:f>""</x:f>
      </x:c>
      <x:c r="J55" s="2"/>
      <x:c r="K55" s="2"/>
      <x:c r="L55" s="2"/>
    </x:row>
    <x:row r="56" ht="22" customHeight="1">
      <x:c r="A56" s="19" t="n">
        <x:f>IF('Results'!$B$6&lt;&gt;"Inputs accepted",0,-MAX($B$7,$C$7)/(4*PI()*0.0000001*'Inputs'!$B$43)/1000*(118-56)/100)</x:f>
        <x:v>-516.8028743025076</x:v>
      </x:c>
      <x:c r="B56" s="19" t="n">
        <x:f>IF('Results'!$B$6&lt;&gt;"Inputs accepted","",IF(OR('Results'!$B$6&lt;&gt;"Inputs accepted",$B$7=""),"",IF($B$7+4*PI()*0.0000001*'Inputs'!$B$43*A56*1000&lt;0,"",$B$7+4*PI()*0.0000001*'Inputs'!$B$43*A56*1000)))</x:f>
        <x:v>0.41794197496250074</x:v>
      </x:c>
      <x:c r="C56" s="19" t="n">
        <x:f>IF('Results'!$B$6&lt;&gt;"Inputs accepted","",IF(OR('Results'!$B$6&lt;&gt;"Inputs accepted",$C$7=""),"",IF($C$7+4*PI()*0.0000001*'Inputs'!$B$43*A56*1000&lt;0,"",$C$7+4*PI()*0.0000001*'Inputs'!$B$43*A56*1000)))</x:f>
        <x:v>0.3959450289118428</x:v>
      </x:c>
      <x:c r="D56" s="19" t="str">
        <x:f>IF('Results'!$B$6&lt;&gt;"Inputs accepted","",IF(OR('Results'!$B$6&lt;&gt;"Inputs accepted",$B$13=""),"",IF($B$13+4*PI()*0.0000001*'Inputs'!$B$43*A56*1000&lt;0,"",$B$13+4*PI()*0.0000001*'Inputs'!$B$43*A56*1000)))</x:f>
      </x:c>
      <x:c r="E56" s="19" t="str">
        <x:f>IF('Results'!$B$6&lt;&gt;"Inputs accepted","",IF(OR('Results'!$B$6&lt;&gt;"Inputs accepted",$C$13=""),"",IF($C$13+4*PI()*0.0000001*'Inputs'!$B$43*A56*1000&lt;0,"",$C$13+4*PI()*0.0000001*'Inputs'!$B$43*A56*1000)))</x:f>
      </x:c>
      <x:c r="F56" s="19" t="n">
        <x:f>IF('Results'!$B$6&lt;&gt;"Inputs accepted","",IF('Results'!$B$6="Inputs accepted",-4*PI()*0.0000001*$B$5*A56*1000,""))</x:f>
        <x:v>0.32471682265256946</x:v>
      </x:c>
      <x:c r="G56" s="19" t="n">
        <x:f>IF('Results'!$B$6&lt;&gt;"Inputs accepted","",IF('Results'!$B$6="Inputs accepted",-4*PI()*0.0000001*$C$5*A56*1000,""))</x:f>
        <x:v>0.32471682265256946</x:v>
      </x:c>
      <x:c r="H56" s="19" t="str">
        <x:f>""</x:f>
      </x:c>
      <x:c r="I56" s="19" t="str">
        <x:f>""</x:f>
      </x:c>
      <x:c r="J56" s="2"/>
      <x:c r="K56" s="2"/>
      <x:c r="L56" s="2"/>
    </x:row>
    <x:row r="57" ht="22" customHeight="1">
      <x:c r="A57" s="19" t="n">
        <x:f>IF('Results'!$B$6&lt;&gt;"Inputs accepted",0,-MAX($B$7,$C$7)/(4*PI()*0.0000001*'Inputs'!$B$43)/1000*(118-57)/100)</x:f>
        <x:v>-508.4673440718219</x:v>
      </x:c>
      <x:c r="B57" s="19" t="n">
        <x:f>IF('Results'!$B$6&lt;&gt;"Inputs accepted","",IF(OR('Results'!$B$6&lt;&gt;"Inputs accepted",$B$7=""),"",IF($B$7+4*PI()*0.0000001*'Inputs'!$B$43*A57*1000&lt;0,"",$B$7+4*PI()*0.0000001*'Inputs'!$B$43*A57*1000)))</x:f>
        <x:v>0.4289404479878298</x:v>
      </x:c>
      <x:c r="C57" s="19" t="n">
        <x:f>IF('Results'!$B$6&lt;&gt;"Inputs accepted","",IF(OR('Results'!$B$6&lt;&gt;"Inputs accepted",$C$7=""),"",IF($C$7+4*PI()*0.0000001*'Inputs'!$B$43*A57*1000&lt;0,"",$C$7+4*PI()*0.0000001*'Inputs'!$B$43*A57*1000)))</x:f>
        <x:v>0.4069435019371719</x:v>
      </x:c>
      <x:c r="D57" s="19" t="str">
        <x:f>IF('Results'!$B$6&lt;&gt;"Inputs accepted","",IF(OR('Results'!$B$6&lt;&gt;"Inputs accepted",$B$13=""),"",IF($B$13+4*PI()*0.0000001*'Inputs'!$B$43*A57*1000&lt;0,"",$B$13+4*PI()*0.0000001*'Inputs'!$B$43*A57*1000)))</x:f>
      </x:c>
      <x:c r="E57" s="19" t="str">
        <x:f>IF('Results'!$B$6&lt;&gt;"Inputs accepted","",IF(OR('Results'!$B$6&lt;&gt;"Inputs accepted",$C$13=""),"",IF($C$13+4*PI()*0.0000001*'Inputs'!$B$43*A57*1000&lt;0,"",$C$13+4*PI()*0.0000001*'Inputs'!$B$43*A57*1000)))</x:f>
      </x:c>
      <x:c r="F57" s="19" t="n">
        <x:f>IF('Results'!$B$6&lt;&gt;"Inputs accepted","",IF('Results'!$B$6="Inputs accepted",-4*PI()*0.0000001*$B$5*A57*1000,""))</x:f>
        <x:v>0.3194794545452699</x:v>
      </x:c>
      <x:c r="G57" s="19" t="n">
        <x:f>IF('Results'!$B$6&lt;&gt;"Inputs accepted","",IF('Results'!$B$6="Inputs accepted",-4*PI()*0.0000001*$C$5*A57*1000,""))</x:f>
        <x:v>0.3194794545452699</x:v>
      </x:c>
      <x:c r="H57" s="19" t="str">
        <x:f>""</x:f>
      </x:c>
      <x:c r="I57" s="19" t="str">
        <x:f>""</x:f>
      </x:c>
      <x:c r="J57" s="2"/>
      <x:c r="K57" s="2"/>
      <x:c r="L57" s="2"/>
    </x:row>
    <x:row r="58" ht="22" customHeight="1">
      <x:c r="A58" s="19" t="n">
        <x:f>IF('Results'!$B$6&lt;&gt;"Inputs accepted",0,-MAX($B$7,$C$7)/(4*PI()*0.0000001*'Inputs'!$B$43)/1000*(118-58)/100)</x:f>
        <x:v>-500.13181384113636</x:v>
      </x:c>
      <x:c r="B58" s="19" t="n">
        <x:f>IF('Results'!$B$6&lt;&gt;"Inputs accepted","",IF(OR('Results'!$B$6&lt;&gt;"Inputs accepted",$B$7=""),"",IF($B$7+4*PI()*0.0000001*'Inputs'!$B$43*A58*1000&lt;0,"",$B$7+4*PI()*0.0000001*'Inputs'!$B$43*A58*1000)))</x:f>
        <x:v>0.4399389210131587</x:v>
      </x:c>
      <x:c r="C58" s="19" t="n">
        <x:f>IF('Results'!$B$6&lt;&gt;"Inputs accepted","",IF(OR('Results'!$B$6&lt;&gt;"Inputs accepted",$C$7=""),"",IF($C$7+4*PI()*0.0000001*'Inputs'!$B$43*A58*1000&lt;0,"",$C$7+4*PI()*0.0000001*'Inputs'!$B$43*A58*1000)))</x:f>
        <x:v>0.41794197496250074</x:v>
      </x:c>
      <x:c r="D58" s="19" t="str">
        <x:f>IF('Results'!$B$6&lt;&gt;"Inputs accepted","",IF(OR('Results'!$B$6&lt;&gt;"Inputs accepted",$B$13=""),"",IF($B$13+4*PI()*0.0000001*'Inputs'!$B$43*A58*1000&lt;0,"",$B$13+4*PI()*0.0000001*'Inputs'!$B$43*A58*1000)))</x:f>
      </x:c>
      <x:c r="E58" s="19" t="str">
        <x:f>IF('Results'!$B$6&lt;&gt;"Inputs accepted","",IF(OR('Results'!$B$6&lt;&gt;"Inputs accepted",$C$13=""),"",IF($C$13+4*PI()*0.0000001*'Inputs'!$B$43*A58*1000&lt;0,"",$C$13+4*PI()*0.0000001*'Inputs'!$B$43*A58*1000)))</x:f>
      </x:c>
      <x:c r="F58" s="19" t="n">
        <x:f>IF('Results'!$B$6&lt;&gt;"Inputs accepted","",IF('Results'!$B$6="Inputs accepted",-4*PI()*0.0000001*$B$5*A58*1000,""))</x:f>
        <x:v>0.3142420864379704</x:v>
      </x:c>
      <x:c r="G58" s="19" t="n">
        <x:f>IF('Results'!$B$6&lt;&gt;"Inputs accepted","",IF('Results'!$B$6="Inputs accepted",-4*PI()*0.0000001*$C$5*A58*1000,""))</x:f>
        <x:v>0.3142420864379704</x:v>
      </x:c>
      <x:c r="H58" s="19" t="str">
        <x:f>""</x:f>
      </x:c>
      <x:c r="I58" s="19" t="str">
        <x:f>""</x:f>
      </x:c>
      <x:c r="J58" s="2"/>
      <x:c r="K58" s="2"/>
      <x:c r="L58" s="2"/>
    </x:row>
    <x:row r="59" ht="22" customHeight="1">
      <x:c r="A59" s="19" t="n">
        <x:f>IF('Results'!$B$6&lt;&gt;"Inputs accepted",0,-MAX($B$7,$C$7)/(4*PI()*0.0000001*'Inputs'!$B$43)/1000*(118-59)/100)</x:f>
        <x:v>-491.79628361045076</x:v>
      </x:c>
      <x:c r="B59" s="19" t="n">
        <x:f>IF('Results'!$B$6&lt;&gt;"Inputs accepted","",IF(OR('Results'!$B$6&lt;&gt;"Inputs accepted",$B$7=""),"",IF($B$7+4*PI()*0.0000001*'Inputs'!$B$43*A59*1000&lt;0,"",$B$7+4*PI()*0.0000001*'Inputs'!$B$43*A59*1000)))</x:f>
        <x:v>0.45093739403848765</x:v>
      </x:c>
      <x:c r="C59" s="19" t="n">
        <x:f>IF('Results'!$B$6&lt;&gt;"Inputs accepted","",IF(OR('Results'!$B$6&lt;&gt;"Inputs accepted",$C$7=""),"",IF($C$7+4*PI()*0.0000001*'Inputs'!$B$43*A59*1000&lt;0,"",$C$7+4*PI()*0.0000001*'Inputs'!$B$43*A59*1000)))</x:f>
        <x:v>0.4289404479878297</x:v>
      </x:c>
      <x:c r="D59" s="19" t="str">
        <x:f>IF('Results'!$B$6&lt;&gt;"Inputs accepted","",IF(OR('Results'!$B$6&lt;&gt;"Inputs accepted",$B$13=""),"",IF($B$13+4*PI()*0.0000001*'Inputs'!$B$43*A59*1000&lt;0,"",$B$13+4*PI()*0.0000001*'Inputs'!$B$43*A59*1000)))</x:f>
      </x:c>
      <x:c r="E59" s="19" t="str">
        <x:f>IF('Results'!$B$6&lt;&gt;"Inputs accepted","",IF(OR('Results'!$B$6&lt;&gt;"Inputs accepted",$C$13=""),"",IF($C$13+4*PI()*0.0000001*'Inputs'!$B$43*A59*1000&lt;0,"",$C$13+4*PI()*0.0000001*'Inputs'!$B$43*A59*1000)))</x:f>
      </x:c>
      <x:c r="F59" s="19" t="n">
        <x:f>IF('Results'!$B$6&lt;&gt;"Inputs accepted","",IF('Results'!$B$6="Inputs accepted",-4*PI()*0.0000001*$B$5*A59*1000,""))</x:f>
        <x:v>0.3090047183306709</x:v>
      </x:c>
      <x:c r="G59" s="19" t="n">
        <x:f>IF('Results'!$B$6&lt;&gt;"Inputs accepted","",IF('Results'!$B$6="Inputs accepted",-4*PI()*0.0000001*$C$5*A59*1000,""))</x:f>
        <x:v>0.3090047183306709</x:v>
      </x:c>
      <x:c r="H59" s="19" t="str">
        <x:f>""</x:f>
      </x:c>
      <x:c r="I59" s="19" t="str">
        <x:f>""</x:f>
      </x:c>
      <x:c r="J59" s="2"/>
      <x:c r="K59" s="2"/>
      <x:c r="L59" s="2"/>
    </x:row>
    <x:row r="60" ht="22" customHeight="1">
      <x:c r="A60" s="19" t="n">
        <x:f>IF('Results'!$B$6&lt;&gt;"Inputs accepted",0,-MAX($B$7,$C$7)/(4*PI()*0.0000001*'Inputs'!$B$43)/1000*(118-60)/100)</x:f>
        <x:v>-483.46075337976515</x:v>
      </x:c>
      <x:c r="B60" s="19" t="n">
        <x:f>IF('Results'!$B$6&lt;&gt;"Inputs accepted","",IF(OR('Results'!$B$6&lt;&gt;"Inputs accepted",$B$7=""),"",IF($B$7+4*PI()*0.0000001*'Inputs'!$B$43*A60*1000&lt;0,"",$B$7+4*PI()*0.0000001*'Inputs'!$B$43*A60*1000)))</x:f>
        <x:v>0.4619358670638165</x:v>
      </x:c>
      <x:c r="C60" s="19" t="n">
        <x:f>IF('Results'!$B$6&lt;&gt;"Inputs accepted","",IF(OR('Results'!$B$6&lt;&gt;"Inputs accepted",$C$7=""),"",IF($C$7+4*PI()*0.0000001*'Inputs'!$B$43*A60*1000&lt;0,"",$C$7+4*PI()*0.0000001*'Inputs'!$B$43*A60*1000)))</x:f>
        <x:v>0.43993892101315857</x:v>
      </x:c>
      <x:c r="D60" s="19" t="str">
        <x:f>IF('Results'!$B$6&lt;&gt;"Inputs accepted","",IF(OR('Results'!$B$6&lt;&gt;"Inputs accepted",$B$13=""),"",IF($B$13+4*PI()*0.0000001*'Inputs'!$B$43*A60*1000&lt;0,"",$B$13+4*PI()*0.0000001*'Inputs'!$B$43*A60*1000)))</x:f>
      </x:c>
      <x:c r="E60" s="19" t="str">
        <x:f>IF('Results'!$B$6&lt;&gt;"Inputs accepted","",IF(OR('Results'!$B$6&lt;&gt;"Inputs accepted",$C$13=""),"",IF($C$13+4*PI()*0.0000001*'Inputs'!$B$43*A60*1000&lt;0,"",$C$13+4*PI()*0.0000001*'Inputs'!$B$43*A60*1000)))</x:f>
      </x:c>
      <x:c r="F60" s="19" t="n">
        <x:f>IF('Results'!$B$6&lt;&gt;"Inputs accepted","",IF('Results'!$B$6="Inputs accepted",-4*PI()*0.0000001*$B$5*A60*1000,""))</x:f>
        <x:v>0.30376735022337137</x:v>
      </x:c>
      <x:c r="G60" s="19" t="n">
        <x:f>IF('Results'!$B$6&lt;&gt;"Inputs accepted","",IF('Results'!$B$6="Inputs accepted",-4*PI()*0.0000001*$C$5*A60*1000,""))</x:f>
        <x:v>0.30376735022337137</x:v>
      </x:c>
      <x:c r="H60" s="19" t="str">
        <x:f>""</x:f>
      </x:c>
      <x:c r="I60" s="19" t="str">
        <x:f>""</x:f>
      </x:c>
      <x:c r="J60" s="2"/>
      <x:c r="K60" s="2"/>
      <x:c r="L60" s="2"/>
    </x:row>
    <x:row r="61" ht="22" customHeight="1">
      <x:c r="A61" s="19" t="n">
        <x:f>IF('Results'!$B$6&lt;&gt;"Inputs accepted",0,-MAX($B$7,$C$7)/(4*PI()*0.0000001*'Inputs'!$B$43)/1000*(118-61)/100)</x:f>
        <x:v>-475.12522314907955</x:v>
      </x:c>
      <x:c r="B61" s="19" t="n">
        <x:f>IF('Results'!$B$6&lt;&gt;"Inputs accepted","",IF(OR('Results'!$B$6&lt;&gt;"Inputs accepted",$B$7=""),"",IF($B$7+4*PI()*0.0000001*'Inputs'!$B$43*A61*1000&lt;0,"",$B$7+4*PI()*0.0000001*'Inputs'!$B$43*A61*1000)))</x:f>
        <x:v>0.4729343400891456</x:v>
      </x:c>
      <x:c r="C61" s="19" t="n">
        <x:f>IF('Results'!$B$6&lt;&gt;"Inputs accepted","",IF(OR('Results'!$B$6&lt;&gt;"Inputs accepted",$C$7=""),"",IF($C$7+4*PI()*0.0000001*'Inputs'!$B$43*A61*1000&lt;0,"",$C$7+4*PI()*0.0000001*'Inputs'!$B$43*A61*1000)))</x:f>
        <x:v>0.45093739403848765</x:v>
      </x:c>
      <x:c r="D61" s="19" t="str">
        <x:f>IF('Results'!$B$6&lt;&gt;"Inputs accepted","",IF(OR('Results'!$B$6&lt;&gt;"Inputs accepted",$B$13=""),"",IF($B$13+4*PI()*0.0000001*'Inputs'!$B$43*A61*1000&lt;0,"",$B$13+4*PI()*0.0000001*'Inputs'!$B$43*A61*1000)))</x:f>
      </x:c>
      <x:c r="E61" s="19" t="str">
        <x:f>IF('Results'!$B$6&lt;&gt;"Inputs accepted","",IF(OR('Results'!$B$6&lt;&gt;"Inputs accepted",$C$13=""),"",IF($C$13+4*PI()*0.0000001*'Inputs'!$B$43*A61*1000&lt;0,"",$C$13+4*PI()*0.0000001*'Inputs'!$B$43*A61*1000)))</x:f>
      </x:c>
      <x:c r="F61" s="19" t="n">
        <x:f>IF('Results'!$B$6&lt;&gt;"Inputs accepted","",IF('Results'!$B$6="Inputs accepted",-4*PI()*0.0000001*$B$5*A61*1000,""))</x:f>
        <x:v>0.2985299821160719</x:v>
      </x:c>
      <x:c r="G61" s="19" t="n">
        <x:f>IF('Results'!$B$6&lt;&gt;"Inputs accepted","",IF('Results'!$B$6="Inputs accepted",-4*PI()*0.0000001*$C$5*A61*1000,""))</x:f>
        <x:v>0.2985299821160719</x:v>
      </x:c>
      <x:c r="H61" s="19" t="str">
        <x:f>""</x:f>
      </x:c>
      <x:c r="I61" s="19" t="str">
        <x:f>""</x:f>
      </x:c>
      <x:c r="J61" s="2"/>
      <x:c r="K61" s="2"/>
      <x:c r="L61" s="2"/>
    </x:row>
    <x:row r="62" ht="22" customHeight="1">
      <x:c r="A62" s="19" t="n">
        <x:f>IF('Results'!$B$6&lt;&gt;"Inputs accepted",0,-MAX($B$7,$C$7)/(4*PI()*0.0000001*'Inputs'!$B$43)/1000*(118-62)/100)</x:f>
        <x:v>-466.78969291839394</x:v>
      </x:c>
      <x:c r="B62" s="19" t="n">
        <x:f>IF('Results'!$B$6&lt;&gt;"Inputs accepted","",IF(OR('Results'!$B$6&lt;&gt;"Inputs accepted",$B$7=""),"",IF($B$7+4*PI()*0.0000001*'Inputs'!$B$43*A62*1000&lt;0,"",$B$7+4*PI()*0.0000001*'Inputs'!$B$43*A62*1000)))</x:f>
        <x:v>0.48393281311447456</x:v>
      </x:c>
      <x:c r="C62" s="19" t="n">
        <x:f>IF('Results'!$B$6&lt;&gt;"Inputs accepted","",IF(OR('Results'!$B$6&lt;&gt;"Inputs accepted",$C$7=""),"",IF($C$7+4*PI()*0.0000001*'Inputs'!$B$43*A62*1000&lt;0,"",$C$7+4*PI()*0.0000001*'Inputs'!$B$43*A62*1000)))</x:f>
        <x:v>0.4619358670638166</x:v>
      </x:c>
      <x:c r="D62" s="19" t="str">
        <x:f>IF('Results'!$B$6&lt;&gt;"Inputs accepted","",IF(OR('Results'!$B$6&lt;&gt;"Inputs accepted",$B$13=""),"",IF($B$13+4*PI()*0.0000001*'Inputs'!$B$43*A62*1000&lt;0,"",$B$13+4*PI()*0.0000001*'Inputs'!$B$43*A62*1000)))</x:f>
      </x:c>
      <x:c r="E62" s="19" t="str">
        <x:f>IF('Results'!$B$6&lt;&gt;"Inputs accepted","",IF(OR('Results'!$B$6&lt;&gt;"Inputs accepted",$C$13=""),"",IF($C$13+4*PI()*0.0000001*'Inputs'!$B$43*A62*1000&lt;0,"",$C$13+4*PI()*0.0000001*'Inputs'!$B$43*A62*1000)))</x:f>
      </x:c>
      <x:c r="F62" s="19" t="n">
        <x:f>IF('Results'!$B$6&lt;&gt;"Inputs accepted","",IF('Results'!$B$6="Inputs accepted",-4*PI()*0.0000001*$B$5*A62*1000,""))</x:f>
        <x:v>0.2932926140087724</x:v>
      </x:c>
      <x:c r="G62" s="19" t="n">
        <x:f>IF('Results'!$B$6&lt;&gt;"Inputs accepted","",IF('Results'!$B$6="Inputs accepted",-4*PI()*0.0000001*$C$5*A62*1000,""))</x:f>
        <x:v>0.2932926140087724</x:v>
      </x:c>
      <x:c r="H62" s="19" t="str">
        <x:f>""</x:f>
      </x:c>
      <x:c r="I62" s="19" t="str">
        <x:f>""</x:f>
      </x:c>
      <x:c r="J62" s="2"/>
      <x:c r="K62" s="2"/>
      <x:c r="L62" s="2"/>
    </x:row>
    <x:row r="63" ht="22" customHeight="1">
      <x:c r="A63" s="19" t="n">
        <x:f>IF('Results'!$B$6&lt;&gt;"Inputs accepted",0,-MAX($B$7,$C$7)/(4*PI()*0.0000001*'Inputs'!$B$43)/1000*(118-63)/100)</x:f>
        <x:v>-458.4541626877083</x:v>
      </x:c>
      <x:c r="B63" s="19" t="n">
        <x:f>IF('Results'!$B$6&lt;&gt;"Inputs accepted","",IF(OR('Results'!$B$6&lt;&gt;"Inputs accepted",$B$7=""),"",IF($B$7+4*PI()*0.0000001*'Inputs'!$B$43*A63*1000&lt;0,"",$B$7+4*PI()*0.0000001*'Inputs'!$B$43*A63*1000)))</x:f>
        <x:v>0.49493128613980353</x:v>
      </x:c>
      <x:c r="C63" s="19" t="n">
        <x:f>IF('Results'!$B$6&lt;&gt;"Inputs accepted","",IF(OR('Results'!$B$6&lt;&gt;"Inputs accepted",$C$7=""),"",IF($C$7+4*PI()*0.0000001*'Inputs'!$B$43*A63*1000&lt;0,"",$C$7+4*PI()*0.0000001*'Inputs'!$B$43*A63*1000)))</x:f>
        <x:v>0.4729343400891456</x:v>
      </x:c>
      <x:c r="D63" s="19" t="str">
        <x:f>IF('Results'!$B$6&lt;&gt;"Inputs accepted","",IF(OR('Results'!$B$6&lt;&gt;"Inputs accepted",$B$13=""),"",IF($B$13+4*PI()*0.0000001*'Inputs'!$B$43*A63*1000&lt;0,"",$B$13+4*PI()*0.0000001*'Inputs'!$B$43*A63*1000)))</x:f>
      </x:c>
      <x:c r="E63" s="19" t="str">
        <x:f>IF('Results'!$B$6&lt;&gt;"Inputs accepted","",IF(OR('Results'!$B$6&lt;&gt;"Inputs accepted",$C$13=""),"",IF($C$13+4*PI()*0.0000001*'Inputs'!$B$43*A63*1000&lt;0,"",$C$13+4*PI()*0.0000001*'Inputs'!$B$43*A63*1000)))</x:f>
      </x:c>
      <x:c r="F63" s="19" t="n">
        <x:f>IF('Results'!$B$6&lt;&gt;"Inputs accepted","",IF('Results'!$B$6="Inputs accepted",-4*PI()*0.0000001*$B$5*A63*1000,""))</x:f>
        <x:v>0.28805524590147286</x:v>
      </x:c>
      <x:c r="G63" s="19" t="n">
        <x:f>IF('Results'!$B$6&lt;&gt;"Inputs accepted","",IF('Results'!$B$6="Inputs accepted",-4*PI()*0.0000001*$C$5*A63*1000,""))</x:f>
        <x:v>0.28805524590147286</x:v>
      </x:c>
      <x:c r="H63" s="19" t="str">
        <x:f>""</x:f>
      </x:c>
      <x:c r="I63" s="19" t="str">
        <x:f>""</x:f>
      </x:c>
      <x:c r="J63" s="2"/>
      <x:c r="K63" s="2"/>
      <x:c r="L63" s="2"/>
    </x:row>
    <x:row r="64" ht="22" customHeight="1">
      <x:c r="A64" s="19" t="n">
        <x:f>IF('Results'!$B$6&lt;&gt;"Inputs accepted",0,-MAX($B$7,$C$7)/(4*PI()*0.0000001*'Inputs'!$B$43)/1000*(118-64)/100)</x:f>
        <x:v>-450.1186324570228</x:v>
      </x:c>
      <x:c r="B64" s="19" t="n">
        <x:f>IF('Results'!$B$6&lt;&gt;"Inputs accepted","",IF(OR('Results'!$B$6&lt;&gt;"Inputs accepted",$B$7=""),"",IF($B$7+4*PI()*0.0000001*'Inputs'!$B$43*A64*1000&lt;0,"",$B$7+4*PI()*0.0000001*'Inputs'!$B$43*A64*1000)))</x:f>
        <x:v>0.5059297591651323</x:v>
      </x:c>
      <x:c r="C64" s="19" t="n">
        <x:f>IF('Results'!$B$6&lt;&gt;"Inputs accepted","",IF(OR('Results'!$B$6&lt;&gt;"Inputs accepted",$C$7=""),"",IF($C$7+4*PI()*0.0000001*'Inputs'!$B$43*A64*1000&lt;0,"",$C$7+4*PI()*0.0000001*'Inputs'!$B$43*A64*1000)))</x:f>
        <x:v>0.48393281311447434</x:v>
      </x:c>
      <x:c r="D64" s="19" t="str">
        <x:f>IF('Results'!$B$6&lt;&gt;"Inputs accepted","",IF(OR('Results'!$B$6&lt;&gt;"Inputs accepted",$B$13=""),"",IF($B$13+4*PI()*0.0000001*'Inputs'!$B$43*A64*1000&lt;0,"",$B$13+4*PI()*0.0000001*'Inputs'!$B$43*A64*1000)))</x:f>
      </x:c>
      <x:c r="E64" s="19" t="str">
        <x:f>IF('Results'!$B$6&lt;&gt;"Inputs accepted","",IF(OR('Results'!$B$6&lt;&gt;"Inputs accepted",$C$13=""),"",IF($C$13+4*PI()*0.0000001*'Inputs'!$B$43*A64*1000&lt;0,"",$C$13+4*PI()*0.0000001*'Inputs'!$B$43*A64*1000)))</x:f>
      </x:c>
      <x:c r="F64" s="19" t="n">
        <x:f>IF('Results'!$B$6&lt;&gt;"Inputs accepted","",IF('Results'!$B$6="Inputs accepted",-4*PI()*0.0000001*$B$5*A64*1000,""))</x:f>
        <x:v>0.2828178777941734</x:v>
      </x:c>
      <x:c r="G64" s="19" t="n">
        <x:f>IF('Results'!$B$6&lt;&gt;"Inputs accepted","",IF('Results'!$B$6="Inputs accepted",-4*PI()*0.0000001*$C$5*A64*1000,""))</x:f>
        <x:v>0.2828178777941734</x:v>
      </x:c>
      <x:c r="H64" s="19" t="str">
        <x:f>""</x:f>
      </x:c>
      <x:c r="I64" s="19" t="str">
        <x:f>""</x:f>
      </x:c>
      <x:c r="J64" s="2"/>
      <x:c r="K64" s="2"/>
      <x:c r="L64" s="2"/>
    </x:row>
    <x:row r="65" ht="22" customHeight="1">
      <x:c r="A65" s="19" t="n">
        <x:f>IF('Results'!$B$6&lt;&gt;"Inputs accepted",0,-MAX($B$7,$C$7)/(4*PI()*0.0000001*'Inputs'!$B$43)/1000*(118-65)/100)</x:f>
        <x:v>-441.7831022263371</x:v>
      </x:c>
      <x:c r="B65" s="19" t="n">
        <x:f>IF('Results'!$B$6&lt;&gt;"Inputs accepted","",IF(OR('Results'!$B$6&lt;&gt;"Inputs accepted",$B$7=""),"",IF($B$7+4*PI()*0.0000001*'Inputs'!$B$43*A65*1000&lt;0,"",$B$7+4*PI()*0.0000001*'Inputs'!$B$43*A65*1000)))</x:f>
        <x:v>0.5169282321904615</x:v>
      </x:c>
      <x:c r="C65" s="19" t="n">
        <x:f>IF('Results'!$B$6&lt;&gt;"Inputs accepted","",IF(OR('Results'!$B$6&lt;&gt;"Inputs accepted",$C$7=""),"",IF($C$7+4*PI()*0.0000001*'Inputs'!$B$43*A65*1000&lt;0,"",$C$7+4*PI()*0.0000001*'Inputs'!$B$43*A65*1000)))</x:f>
        <x:v>0.49493128613980353</x:v>
      </x:c>
      <x:c r="D65" s="19" t="str">
        <x:f>IF('Results'!$B$6&lt;&gt;"Inputs accepted","",IF(OR('Results'!$B$6&lt;&gt;"Inputs accepted",$B$13=""),"",IF($B$13+4*PI()*0.0000001*'Inputs'!$B$43*A65*1000&lt;0,"",$B$13+4*PI()*0.0000001*'Inputs'!$B$43*A65*1000)))</x:f>
      </x:c>
      <x:c r="E65" s="19" t="str">
        <x:f>IF('Results'!$B$6&lt;&gt;"Inputs accepted","",IF(OR('Results'!$B$6&lt;&gt;"Inputs accepted",$C$13=""),"",IF($C$13+4*PI()*0.0000001*'Inputs'!$B$43*A65*1000&lt;0,"",$C$13+4*PI()*0.0000001*'Inputs'!$B$43*A65*1000)))</x:f>
      </x:c>
      <x:c r="F65" s="19" t="n">
        <x:f>IF('Results'!$B$6&lt;&gt;"Inputs accepted","",IF('Results'!$B$6="Inputs accepted",-4*PI()*0.0000001*$B$5*A65*1000,""))</x:f>
        <x:v>0.27758050968687387</x:v>
      </x:c>
      <x:c r="G65" s="19" t="n">
        <x:f>IF('Results'!$B$6&lt;&gt;"Inputs accepted","",IF('Results'!$B$6="Inputs accepted",-4*PI()*0.0000001*$C$5*A65*1000,""))</x:f>
        <x:v>0.27758050968687387</x:v>
      </x:c>
      <x:c r="H65" s="19" t="str">
        <x:f>""</x:f>
      </x:c>
      <x:c r="I65" s="19" t="str">
        <x:f>""</x:f>
      </x:c>
      <x:c r="J65" s="2"/>
      <x:c r="K65" s="2"/>
      <x:c r="L65" s="2"/>
    </x:row>
    <x:row r="66" ht="22" customHeight="1">
      <x:c r="A66" s="19" t="n">
        <x:f>IF('Results'!$B$6&lt;&gt;"Inputs accepted",0,-MAX($B$7,$C$7)/(4*PI()*0.0000001*'Inputs'!$B$43)/1000*(118-66)/100)</x:f>
        <x:v>-433.4475719956515</x:v>
      </x:c>
      <x:c r="B66" s="19" t="n">
        <x:f>IF('Results'!$B$6&lt;&gt;"Inputs accepted","",IF(OR('Results'!$B$6&lt;&gt;"Inputs accepted",$B$7=""),"",IF($B$7+4*PI()*0.0000001*'Inputs'!$B$43*A66*1000&lt;0,"",$B$7+4*PI()*0.0000001*'Inputs'!$B$43*A66*1000)))</x:f>
        <x:v>0.5279267052157904</x:v>
      </x:c>
      <x:c r="C66" s="19" t="n">
        <x:f>IF('Results'!$B$6&lt;&gt;"Inputs accepted","",IF(OR('Results'!$B$6&lt;&gt;"Inputs accepted",$C$7=""),"",IF($C$7+4*PI()*0.0000001*'Inputs'!$B$43*A66*1000&lt;0,"",$C$7+4*PI()*0.0000001*'Inputs'!$B$43*A66*1000)))</x:f>
        <x:v>0.5059297591651325</x:v>
      </x:c>
      <x:c r="D66" s="19" t="str">
        <x:f>IF('Results'!$B$6&lt;&gt;"Inputs accepted","",IF(OR('Results'!$B$6&lt;&gt;"Inputs accepted",$B$13=""),"",IF($B$13+4*PI()*0.0000001*'Inputs'!$B$43*A66*1000&lt;0,"",$B$13+4*PI()*0.0000001*'Inputs'!$B$43*A66*1000)))</x:f>
      </x:c>
      <x:c r="E66" s="19" t="str">
        <x:f>IF('Results'!$B$6&lt;&gt;"Inputs accepted","",IF(OR('Results'!$B$6&lt;&gt;"Inputs accepted",$C$13=""),"",IF($C$13+4*PI()*0.0000001*'Inputs'!$B$43*A66*1000&lt;0,"",$C$13+4*PI()*0.0000001*'Inputs'!$B$43*A66*1000)))</x:f>
      </x:c>
      <x:c r="F66" s="19" t="n">
        <x:f>IF('Results'!$B$6&lt;&gt;"Inputs accepted","",IF('Results'!$B$6="Inputs accepted",-4*PI()*0.0000001*$B$5*A66*1000,""))</x:f>
        <x:v>0.2723431415795744</x:v>
      </x:c>
      <x:c r="G66" s="19" t="n">
        <x:f>IF('Results'!$B$6&lt;&gt;"Inputs accepted","",IF('Results'!$B$6="Inputs accepted",-4*PI()*0.0000001*$C$5*A66*1000,""))</x:f>
        <x:v>0.2723431415795744</x:v>
      </x:c>
      <x:c r="H66" s="19" t="str">
        <x:f>""</x:f>
      </x:c>
      <x:c r="I66" s="19" t="str">
        <x:f>""</x:f>
      </x:c>
      <x:c r="J66" s="2"/>
      <x:c r="K66" s="2"/>
      <x:c r="L66" s="2"/>
    </x:row>
    <x:row r="67" ht="22" customHeight="1">
      <x:c r="A67" s="19" t="n">
        <x:f>IF('Results'!$B$6&lt;&gt;"Inputs accepted",0,-MAX($B$7,$C$7)/(4*PI()*0.0000001*'Inputs'!$B$43)/1000*(118-67)/100)</x:f>
        <x:v>-425.1120417649659</x:v>
      </x:c>
      <x:c r="B67" s="19" t="n">
        <x:f>IF('Results'!$B$6&lt;&gt;"Inputs accepted","",IF(OR('Results'!$B$6&lt;&gt;"Inputs accepted",$B$7=""),"",IF($B$7+4*PI()*0.0000001*'Inputs'!$B$43*A67*1000&lt;0,"",$B$7+4*PI()*0.0000001*'Inputs'!$B$43*A67*1000)))</x:f>
        <x:v>0.5389251782411193</x:v>
      </x:c>
      <x:c r="C67" s="19" t="n">
        <x:f>IF('Results'!$B$6&lt;&gt;"Inputs accepted","",IF(OR('Results'!$B$6&lt;&gt;"Inputs accepted",$C$7=""),"",IF($C$7+4*PI()*0.0000001*'Inputs'!$B$43*A67*1000&lt;0,"",$C$7+4*PI()*0.0000001*'Inputs'!$B$43*A67*1000)))</x:f>
        <x:v>0.5169282321904614</x:v>
      </x:c>
      <x:c r="D67" s="19" t="str">
        <x:f>IF('Results'!$B$6&lt;&gt;"Inputs accepted","",IF(OR('Results'!$B$6&lt;&gt;"Inputs accepted",$B$13=""),"",IF($B$13+4*PI()*0.0000001*'Inputs'!$B$43*A67*1000&lt;0,"",$B$13+4*PI()*0.0000001*'Inputs'!$B$43*A67*1000)))</x:f>
      </x:c>
      <x:c r="E67" s="19" t="str">
        <x:f>IF('Results'!$B$6&lt;&gt;"Inputs accepted","",IF(OR('Results'!$B$6&lt;&gt;"Inputs accepted",$C$13=""),"",IF($C$13+4*PI()*0.0000001*'Inputs'!$B$43*A67*1000&lt;0,"",$C$13+4*PI()*0.0000001*'Inputs'!$B$43*A67*1000)))</x:f>
      </x:c>
      <x:c r="F67" s="19" t="n">
        <x:f>IF('Results'!$B$6&lt;&gt;"Inputs accepted","",IF('Results'!$B$6="Inputs accepted",-4*PI()*0.0000001*$B$5*A67*1000,""))</x:f>
        <x:v>0.2671057734722748</x:v>
      </x:c>
      <x:c r="G67" s="19" t="n">
        <x:f>IF('Results'!$B$6&lt;&gt;"Inputs accepted","",IF('Results'!$B$6="Inputs accepted",-4*PI()*0.0000001*$C$5*A67*1000,""))</x:f>
        <x:v>0.2671057734722748</x:v>
      </x:c>
      <x:c r="H67" s="19" t="str">
        <x:f>""</x:f>
      </x:c>
      <x:c r="I67" s="19" t="str">
        <x:f>""</x:f>
      </x:c>
      <x:c r="J67" s="2"/>
      <x:c r="K67" s="2"/>
      <x:c r="L67" s="2"/>
    </x:row>
    <x:row r="68" ht="22" customHeight="1">
      <x:c r="A68" s="19" t="n">
        <x:f>IF('Results'!$B$6&lt;&gt;"Inputs accepted",0,-MAX($B$7,$C$7)/(4*PI()*0.0000001*'Inputs'!$B$43)/1000*(118-68)/100)</x:f>
        <x:v>-416.7765115342803</x:v>
      </x:c>
      <x:c r="B68" s="19" t="n">
        <x:f>IF('Results'!$B$6&lt;&gt;"Inputs accepted","",IF(OR('Results'!$B$6&lt;&gt;"Inputs accepted",$B$7=""),"",IF($B$7+4*PI()*0.0000001*'Inputs'!$B$43*A68*1000&lt;0,"",$B$7+4*PI()*0.0000001*'Inputs'!$B$43*A68*1000)))</x:f>
        <x:v>0.5499236512664483</x:v>
      </x:c>
      <x:c r="C68" s="19" t="n">
        <x:f>IF('Results'!$B$6&lt;&gt;"Inputs accepted","",IF(OR('Results'!$B$6&lt;&gt;"Inputs accepted",$C$7=""),"",IF($C$7+4*PI()*0.0000001*'Inputs'!$B$43*A68*1000&lt;0,"",$C$7+4*PI()*0.0000001*'Inputs'!$B$43*A68*1000)))</x:f>
        <x:v>0.5279267052157903</x:v>
      </x:c>
      <x:c r="D68" s="19" t="str">
        <x:f>IF('Results'!$B$6&lt;&gt;"Inputs accepted","",IF(OR('Results'!$B$6&lt;&gt;"Inputs accepted",$B$13=""),"",IF($B$13+4*PI()*0.0000001*'Inputs'!$B$43*A68*1000&lt;0,"",$B$13+4*PI()*0.0000001*'Inputs'!$B$43*A68*1000)))</x:f>
      </x:c>
      <x:c r="E68" s="19" t="str">
        <x:f>IF('Results'!$B$6&lt;&gt;"Inputs accepted","",IF(OR('Results'!$B$6&lt;&gt;"Inputs accepted",$C$13=""),"",IF($C$13+4*PI()*0.0000001*'Inputs'!$B$43*A68*1000&lt;0,"",$C$13+4*PI()*0.0000001*'Inputs'!$B$43*A68*1000)))</x:f>
      </x:c>
      <x:c r="F68" s="19" t="n">
        <x:f>IF('Results'!$B$6&lt;&gt;"Inputs accepted","",IF('Results'!$B$6="Inputs accepted",-4*PI()*0.0000001*$B$5*A68*1000,""))</x:f>
        <x:v>0.2618684053649753</x:v>
      </x:c>
      <x:c r="G68" s="19" t="n">
        <x:f>IF('Results'!$B$6&lt;&gt;"Inputs accepted","",IF('Results'!$B$6="Inputs accepted",-4*PI()*0.0000001*$C$5*A68*1000,""))</x:f>
        <x:v>0.2618684053649753</x:v>
      </x:c>
      <x:c r="H68" s="19" t="str">
        <x:f>""</x:f>
      </x:c>
      <x:c r="I68" s="19" t="str">
        <x:f>""</x:f>
      </x:c>
      <x:c r="J68" s="2"/>
      <x:c r="K68" s="2"/>
      <x:c r="L68" s="2"/>
    </x:row>
    <x:row r="69" ht="22" customHeight="1">
      <x:c r="A69" s="19" t="n">
        <x:f>IF('Results'!$B$6&lt;&gt;"Inputs accepted",0,-MAX($B$7,$C$7)/(4*PI()*0.0000001*'Inputs'!$B$43)/1000*(118-69)/100)</x:f>
        <x:v>-408.4409813035947</x:v>
      </x:c>
      <x:c r="B69" s="19" t="n">
        <x:f>IF('Results'!$B$6&lt;&gt;"Inputs accepted","",IF(OR('Results'!$B$6&lt;&gt;"Inputs accepted",$B$7=""),"",IF($B$7+4*PI()*0.0000001*'Inputs'!$B$43*A69*1000&lt;0,"",$B$7+4*PI()*0.0000001*'Inputs'!$B$43*A69*1000)))</x:f>
        <x:v>0.5609221242917773</x:v>
      </x:c>
      <x:c r="C69" s="19" t="n">
        <x:f>IF('Results'!$B$6&lt;&gt;"Inputs accepted","",IF(OR('Results'!$B$6&lt;&gt;"Inputs accepted",$C$7=""),"",IF($C$7+4*PI()*0.0000001*'Inputs'!$B$43*A69*1000&lt;0,"",$C$7+4*PI()*0.0000001*'Inputs'!$B$43*A69*1000)))</x:f>
        <x:v>0.5389251782411194</x:v>
      </x:c>
      <x:c r="D69" s="19" t="str">
        <x:f>IF('Results'!$B$6&lt;&gt;"Inputs accepted","",IF(OR('Results'!$B$6&lt;&gt;"Inputs accepted",$B$13=""),"",IF($B$13+4*PI()*0.0000001*'Inputs'!$B$43*A69*1000&lt;0,"",$B$13+4*PI()*0.0000001*'Inputs'!$B$43*A69*1000)))</x:f>
      </x:c>
      <x:c r="E69" s="19" t="str">
        <x:f>IF('Results'!$B$6&lt;&gt;"Inputs accepted","",IF(OR('Results'!$B$6&lt;&gt;"Inputs accepted",$C$13=""),"",IF($C$13+4*PI()*0.0000001*'Inputs'!$B$43*A69*1000&lt;0,"",$C$13+4*PI()*0.0000001*'Inputs'!$B$43*A69*1000)))</x:f>
      </x:c>
      <x:c r="F69" s="19" t="n">
        <x:f>IF('Results'!$B$6&lt;&gt;"Inputs accepted","",IF('Results'!$B$6="Inputs accepted",-4*PI()*0.0000001*$B$5*A69*1000,""))</x:f>
        <x:v>0.25663103725767583</x:v>
      </x:c>
      <x:c r="G69" s="19" t="n">
        <x:f>IF('Results'!$B$6&lt;&gt;"Inputs accepted","",IF('Results'!$B$6="Inputs accepted",-4*PI()*0.0000001*$C$5*A69*1000,""))</x:f>
        <x:v>0.25663103725767583</x:v>
      </x:c>
      <x:c r="H69" s="19" t="str">
        <x:f>""</x:f>
      </x:c>
      <x:c r="I69" s="19" t="str">
        <x:f>""</x:f>
      </x:c>
      <x:c r="J69" s="2"/>
      <x:c r="K69" s="2"/>
      <x:c r="L69" s="2"/>
    </x:row>
    <x:row r="70" ht="22" customHeight="1">
      <x:c r="A70" s="19" t="n">
        <x:f>IF('Results'!$B$6&lt;&gt;"Inputs accepted",0,-MAX($B$7,$C$7)/(4*PI()*0.0000001*'Inputs'!$B$43)/1000*(118-70)/100)</x:f>
        <x:v>-400.10545107290903</x:v>
      </x:c>
      <x:c r="B70" s="19" t="n">
        <x:f>IF('Results'!$B$6&lt;&gt;"Inputs accepted","",IF(OR('Results'!$B$6&lt;&gt;"Inputs accepted",$B$7=""),"",IF($B$7+4*PI()*0.0000001*'Inputs'!$B$43*A70*1000&lt;0,"",$B$7+4*PI()*0.0000001*'Inputs'!$B$43*A70*1000)))</x:f>
        <x:v>0.5719205973171063</x:v>
      </x:c>
      <x:c r="C70" s="19" t="n">
        <x:f>IF('Results'!$B$6&lt;&gt;"Inputs accepted","",IF(OR('Results'!$B$6&lt;&gt;"Inputs accepted",$C$7=""),"",IF($C$7+4*PI()*0.0000001*'Inputs'!$B$43*A70*1000&lt;0,"",$C$7+4*PI()*0.0000001*'Inputs'!$B$43*A70*1000)))</x:f>
        <x:v>0.5499236512664484</x:v>
      </x:c>
      <x:c r="D70" s="19" t="str">
        <x:f>IF('Results'!$B$6&lt;&gt;"Inputs accepted","",IF(OR('Results'!$B$6&lt;&gt;"Inputs accepted",$B$13=""),"",IF($B$13+4*PI()*0.0000001*'Inputs'!$B$43*A70*1000&lt;0,"",$B$13+4*PI()*0.0000001*'Inputs'!$B$43*A70*1000)))</x:f>
      </x:c>
      <x:c r="E70" s="19" t="str">
        <x:f>IF('Results'!$B$6&lt;&gt;"Inputs accepted","",IF(OR('Results'!$B$6&lt;&gt;"Inputs accepted",$C$13=""),"",IF($C$13+4*PI()*0.0000001*'Inputs'!$B$43*A70*1000&lt;0,"",$C$13+4*PI()*0.0000001*'Inputs'!$B$43*A70*1000)))</x:f>
      </x:c>
      <x:c r="F70" s="19" t="n">
        <x:f>IF('Results'!$B$6&lt;&gt;"Inputs accepted","",IF('Results'!$B$6="Inputs accepted",-4*PI()*0.0000001*$B$5*A70*1000,""))</x:f>
        <x:v>0.2513936691503763</x:v>
      </x:c>
      <x:c r="G70" s="19" t="n">
        <x:f>IF('Results'!$B$6&lt;&gt;"Inputs accepted","",IF('Results'!$B$6="Inputs accepted",-4*PI()*0.0000001*$C$5*A70*1000,""))</x:f>
        <x:v>0.2513936691503763</x:v>
      </x:c>
      <x:c r="H70" s="19" t="str">
        <x:f>""</x:f>
      </x:c>
      <x:c r="I70" s="19" t="str">
        <x:f>""</x:f>
      </x:c>
      <x:c r="J70" s="2"/>
      <x:c r="K70" s="2"/>
      <x:c r="L70" s="2"/>
    </x:row>
    <x:row r="71" ht="22" customHeight="1">
      <x:c r="A71" s="19" t="n">
        <x:f>IF('Results'!$B$6&lt;&gt;"Inputs accepted",0,-MAX($B$7,$C$7)/(4*PI()*0.0000001*'Inputs'!$B$43)/1000*(118-71)/100)</x:f>
        <x:v>-391.7699208422235</x:v>
      </x:c>
      <x:c r="B71" s="19" t="n">
        <x:f>IF('Results'!$B$6&lt;&gt;"Inputs accepted","",IF(OR('Results'!$B$6&lt;&gt;"Inputs accepted",$B$7=""),"",IF($B$7+4*PI()*0.0000001*'Inputs'!$B$43*A71*1000&lt;0,"",$B$7+4*PI()*0.0000001*'Inputs'!$B$43*A71*1000)))</x:f>
        <x:v>0.5829190703424352</x:v>
      </x:c>
      <x:c r="C71" s="19" t="n">
        <x:f>IF('Results'!$B$6&lt;&gt;"Inputs accepted","",IF(OR('Results'!$B$6&lt;&gt;"Inputs accepted",$C$7=""),"",IF($C$7+4*PI()*0.0000001*'Inputs'!$B$43*A71*1000&lt;0,"",$C$7+4*PI()*0.0000001*'Inputs'!$B$43*A71*1000)))</x:f>
        <x:v>0.5609221242917772</x:v>
      </x:c>
      <x:c r="D71" s="19" t="str">
        <x:f>IF('Results'!$B$6&lt;&gt;"Inputs accepted","",IF(OR('Results'!$B$6&lt;&gt;"Inputs accepted",$B$13=""),"",IF($B$13+4*PI()*0.0000001*'Inputs'!$B$43*A71*1000&lt;0,"",$B$13+4*PI()*0.0000001*'Inputs'!$B$43*A71*1000)))</x:f>
      </x:c>
      <x:c r="E71" s="19" t="str">
        <x:f>IF('Results'!$B$6&lt;&gt;"Inputs accepted","",IF(OR('Results'!$B$6&lt;&gt;"Inputs accepted",$C$13=""),"",IF($C$13+4*PI()*0.0000001*'Inputs'!$B$43*A71*1000&lt;0,"",$C$13+4*PI()*0.0000001*'Inputs'!$B$43*A71*1000)))</x:f>
      </x:c>
      <x:c r="F71" s="19" t="n">
        <x:f>IF('Results'!$B$6&lt;&gt;"Inputs accepted","",IF('Results'!$B$6="Inputs accepted",-4*PI()*0.0000001*$B$5*A71*1000,""))</x:f>
        <x:v>0.24615630104307684</x:v>
      </x:c>
      <x:c r="G71" s="19" t="n">
        <x:f>IF('Results'!$B$6&lt;&gt;"Inputs accepted","",IF('Results'!$B$6="Inputs accepted",-4*PI()*0.0000001*$C$5*A71*1000,""))</x:f>
        <x:v>0.24615630104307684</x:v>
      </x:c>
      <x:c r="H71" s="19" t="str">
        <x:f>""</x:f>
      </x:c>
      <x:c r="I71" s="19" t="str">
        <x:f>""</x:f>
      </x:c>
      <x:c r="J71" s="2"/>
      <x:c r="K71" s="2"/>
      <x:c r="L71" s="2"/>
    </x:row>
    <x:row r="72" ht="22" customHeight="1">
      <x:c r="A72" s="19" t="n">
        <x:f>IF('Results'!$B$6&lt;&gt;"Inputs accepted",0,-MAX($B$7,$C$7)/(4*PI()*0.0000001*'Inputs'!$B$43)/1000*(118-72)/100)</x:f>
        <x:v>-383.4343906115379</x:v>
      </x:c>
      <x:c r="B72" s="19" t="n">
        <x:f>IF('Results'!$B$6&lt;&gt;"Inputs accepted","",IF(OR('Results'!$B$6&lt;&gt;"Inputs accepted",$B$7=""),"",IF($B$7+4*PI()*0.0000001*'Inputs'!$B$43*A72*1000&lt;0,"",$B$7+4*PI()*0.0000001*'Inputs'!$B$43*A72*1000)))</x:f>
        <x:v>0.5939175433677641</x:v>
      </x:c>
      <x:c r="C72" s="19" t="n">
        <x:f>IF('Results'!$B$6&lt;&gt;"Inputs accepted","",IF(OR('Results'!$B$6&lt;&gt;"Inputs accepted",$C$7=""),"",IF($C$7+4*PI()*0.0000001*'Inputs'!$B$43*A72*1000&lt;0,"",$C$7+4*PI()*0.0000001*'Inputs'!$B$43*A72*1000)))</x:f>
        <x:v>0.5719205973171062</x:v>
      </x:c>
      <x:c r="D72" s="19" t="str">
        <x:f>IF('Results'!$B$6&lt;&gt;"Inputs accepted","",IF(OR('Results'!$B$6&lt;&gt;"Inputs accepted",$B$13=""),"",IF($B$13+4*PI()*0.0000001*'Inputs'!$B$43*A72*1000&lt;0,"",$B$13+4*PI()*0.0000001*'Inputs'!$B$43*A72*1000)))</x:f>
      </x:c>
      <x:c r="E72" s="19" t="str">
        <x:f>IF('Results'!$B$6&lt;&gt;"Inputs accepted","",IF(OR('Results'!$B$6&lt;&gt;"Inputs accepted",$C$13=""),"",IF($C$13+4*PI()*0.0000001*'Inputs'!$B$43*A72*1000&lt;0,"",$C$13+4*PI()*0.0000001*'Inputs'!$B$43*A72*1000)))</x:f>
      </x:c>
      <x:c r="F72" s="19" t="n">
        <x:f>IF('Results'!$B$6&lt;&gt;"Inputs accepted","",IF('Results'!$B$6="Inputs accepted",-4*PI()*0.0000001*$B$5*A72*1000,""))</x:f>
        <x:v>0.24091893293577732</x:v>
      </x:c>
      <x:c r="G72" s="19" t="n">
        <x:f>IF('Results'!$B$6&lt;&gt;"Inputs accepted","",IF('Results'!$B$6="Inputs accepted",-4*PI()*0.0000001*$C$5*A72*1000,""))</x:f>
        <x:v>0.24091893293577732</x:v>
      </x:c>
      <x:c r="H72" s="19" t="str">
        <x:f>""</x:f>
      </x:c>
      <x:c r="I72" s="19" t="str">
        <x:f>""</x:f>
      </x:c>
      <x:c r="J72" s="2"/>
      <x:c r="K72" s="2"/>
      <x:c r="L72" s="2"/>
    </x:row>
    <x:row r="73" ht="22" customHeight="1">
      <x:c r="A73" s="19" t="n">
        <x:f>IF('Results'!$B$6&lt;&gt;"Inputs accepted",0,-MAX($B$7,$C$7)/(4*PI()*0.0000001*'Inputs'!$B$43)/1000*(118-73)/100)</x:f>
        <x:v>-375.0988603808523</x:v>
      </x:c>
      <x:c r="B73" s="19" t="n">
        <x:f>IF('Results'!$B$6&lt;&gt;"Inputs accepted","",IF(OR('Results'!$B$6&lt;&gt;"Inputs accepted",$B$7=""),"",IF($B$7+4*PI()*0.0000001*'Inputs'!$B$43*A73*1000&lt;0,"",$B$7+4*PI()*0.0000001*'Inputs'!$B$43*A73*1000)))</x:f>
        <x:v>0.6049160163930931</x:v>
      </x:c>
      <x:c r="C73" s="19" t="n">
        <x:f>IF('Results'!$B$6&lt;&gt;"Inputs accepted","",IF(OR('Results'!$B$6&lt;&gt;"Inputs accepted",$C$7=""),"",IF($C$7+4*PI()*0.0000001*'Inputs'!$B$43*A73*1000&lt;0,"",$C$7+4*PI()*0.0000001*'Inputs'!$B$43*A73*1000)))</x:f>
        <x:v>0.5829190703424352</x:v>
      </x:c>
      <x:c r="D73" s="19" t="str">
        <x:f>IF('Results'!$B$6&lt;&gt;"Inputs accepted","",IF(OR('Results'!$B$6&lt;&gt;"Inputs accepted",$B$13=""),"",IF($B$13+4*PI()*0.0000001*'Inputs'!$B$43*A73*1000&lt;0,"",$B$13+4*PI()*0.0000001*'Inputs'!$B$43*A73*1000)))</x:f>
      </x:c>
      <x:c r="E73" s="19" t="str">
        <x:f>IF('Results'!$B$6&lt;&gt;"Inputs accepted","",IF(OR('Results'!$B$6&lt;&gt;"Inputs accepted",$C$13=""),"",IF($C$13+4*PI()*0.0000001*'Inputs'!$B$43*A73*1000&lt;0,"",$C$13+4*PI()*0.0000001*'Inputs'!$B$43*A73*1000)))</x:f>
      </x:c>
      <x:c r="F73" s="19" t="n">
        <x:f>IF('Results'!$B$6&lt;&gt;"Inputs accepted","",IF('Results'!$B$6="Inputs accepted",-4*PI()*0.0000001*$B$5*A73*1000,""))</x:f>
        <x:v>0.2356815648284778</x:v>
      </x:c>
      <x:c r="G73" s="19" t="n">
        <x:f>IF('Results'!$B$6&lt;&gt;"Inputs accepted","",IF('Results'!$B$6="Inputs accepted",-4*PI()*0.0000001*$C$5*A73*1000,""))</x:f>
        <x:v>0.2356815648284778</x:v>
      </x:c>
      <x:c r="H73" s="19" t="str">
        <x:f>""</x:f>
      </x:c>
      <x:c r="I73" s="19" t="str">
        <x:f>""</x:f>
      </x:c>
      <x:c r="J73" s="2"/>
      <x:c r="K73" s="2"/>
      <x:c r="L73" s="2"/>
    </x:row>
    <x:row r="74" ht="22" customHeight="1">
      <x:c r="A74" s="19" t="n">
        <x:f>IF('Results'!$B$6&lt;&gt;"Inputs accepted",0,-MAX($B$7,$C$7)/(4*PI()*0.0000001*'Inputs'!$B$43)/1000*(118-74)/100)</x:f>
        <x:v>-366.76333015016667</x:v>
      </x:c>
      <x:c r="B74" s="19" t="n">
        <x:f>IF('Results'!$B$6&lt;&gt;"Inputs accepted","",IF(OR('Results'!$B$6&lt;&gt;"Inputs accepted",$B$7=""),"",IF($B$7+4*PI()*0.0000001*'Inputs'!$B$43*A74*1000&lt;0,"",$B$7+4*PI()*0.0000001*'Inputs'!$B$43*A74*1000)))</x:f>
        <x:v>0.6159144894184221</x:v>
      </x:c>
      <x:c r="C74" s="19" t="n">
        <x:f>IF('Results'!$B$6&lt;&gt;"Inputs accepted","",IF(OR('Results'!$B$6&lt;&gt;"Inputs accepted",$C$7=""),"",IF($C$7+4*PI()*0.0000001*'Inputs'!$B$43*A74*1000&lt;0,"",$C$7+4*PI()*0.0000001*'Inputs'!$B$43*A74*1000)))</x:f>
        <x:v>0.5939175433677641</x:v>
      </x:c>
      <x:c r="D74" s="19" t="str">
        <x:f>IF('Results'!$B$6&lt;&gt;"Inputs accepted","",IF(OR('Results'!$B$6&lt;&gt;"Inputs accepted",$B$13=""),"",IF($B$13+4*PI()*0.0000001*'Inputs'!$B$43*A74*1000&lt;0,"",$B$13+4*PI()*0.0000001*'Inputs'!$B$43*A74*1000)))</x:f>
      </x:c>
      <x:c r="E74" s="19" t="str">
        <x:f>IF('Results'!$B$6&lt;&gt;"Inputs accepted","",IF(OR('Results'!$B$6&lt;&gt;"Inputs accepted",$C$13=""),"",IF($C$13+4*PI()*0.0000001*'Inputs'!$B$43*A74*1000&lt;0,"",$C$13+4*PI()*0.0000001*'Inputs'!$B$43*A74*1000)))</x:f>
      </x:c>
      <x:c r="F74" s="19" t="n">
        <x:f>IF('Results'!$B$6&lt;&gt;"Inputs accepted","",IF('Results'!$B$6="Inputs accepted",-4*PI()*0.0000001*$B$5*A74*1000,""))</x:f>
        <x:v>0.2304441967211783</x:v>
      </x:c>
      <x:c r="G74" s="19" t="n">
        <x:f>IF('Results'!$B$6&lt;&gt;"Inputs accepted","",IF('Results'!$B$6="Inputs accepted",-4*PI()*0.0000001*$C$5*A74*1000,""))</x:f>
        <x:v>0.2304441967211783</x:v>
      </x:c>
      <x:c r="H74" s="19" t="str">
        <x:f>""</x:f>
      </x:c>
      <x:c r="I74" s="19" t="str">
        <x:f>""</x:f>
      </x:c>
      <x:c r="J74" s="2"/>
      <x:c r="K74" s="2"/>
      <x:c r="L74" s="2"/>
    </x:row>
    <x:row r="75" ht="22" customHeight="1">
      <x:c r="A75" s="19" t="n">
        <x:f>IF('Results'!$B$6&lt;&gt;"Inputs accepted",0,-MAX($B$7,$C$7)/(4*PI()*0.0000001*'Inputs'!$B$43)/1000*(118-75)/100)</x:f>
        <x:v>-358.42779991948106</x:v>
      </x:c>
      <x:c r="B75" s="19" t="n">
        <x:f>IF('Results'!$B$6&lt;&gt;"Inputs accepted","",IF(OR('Results'!$B$6&lt;&gt;"Inputs accepted",$B$7=""),"",IF($B$7+4*PI()*0.0000001*'Inputs'!$B$43*A75*1000&lt;0,"",$B$7+4*PI()*0.0000001*'Inputs'!$B$43*A75*1000)))</x:f>
        <x:v>0.626912962443751</x:v>
      </x:c>
      <x:c r="C75" s="19" t="n">
        <x:f>IF('Results'!$B$6&lt;&gt;"Inputs accepted","",IF(OR('Results'!$B$6&lt;&gt;"Inputs accepted",$C$7=""),"",IF($C$7+4*PI()*0.0000001*'Inputs'!$B$43*A75*1000&lt;0,"",$C$7+4*PI()*0.0000001*'Inputs'!$B$43*A75*1000)))</x:f>
        <x:v>0.6049160163930931</x:v>
      </x:c>
      <x:c r="D75" s="19" t="str">
        <x:f>IF('Results'!$B$6&lt;&gt;"Inputs accepted","",IF(OR('Results'!$B$6&lt;&gt;"Inputs accepted",$B$13=""),"",IF($B$13+4*PI()*0.0000001*'Inputs'!$B$43*A75*1000&lt;0,"",$B$13+4*PI()*0.0000001*'Inputs'!$B$43*A75*1000)))</x:f>
      </x:c>
      <x:c r="E75" s="19" t="str">
        <x:f>IF('Results'!$B$6&lt;&gt;"Inputs accepted","",IF(OR('Results'!$B$6&lt;&gt;"Inputs accepted",$C$13=""),"",IF($C$13+4*PI()*0.0000001*'Inputs'!$B$43*A75*1000&lt;0,"",$C$13+4*PI()*0.0000001*'Inputs'!$B$43*A75*1000)))</x:f>
      </x:c>
      <x:c r="F75" s="19" t="n">
        <x:f>IF('Results'!$B$6&lt;&gt;"Inputs accepted","",IF('Results'!$B$6="Inputs accepted",-4*PI()*0.0000001*$B$5*A75*1000,""))</x:f>
        <x:v>0.2252068286138788</x:v>
      </x:c>
      <x:c r="G75" s="19" t="n">
        <x:f>IF('Results'!$B$6&lt;&gt;"Inputs accepted","",IF('Results'!$B$6="Inputs accepted",-4*PI()*0.0000001*$C$5*A75*1000,""))</x:f>
        <x:v>0.2252068286138788</x:v>
      </x:c>
      <x:c r="H75" s="19" t="str">
        <x:f>""</x:f>
      </x:c>
      <x:c r="I75" s="19" t="str">
        <x:f>""</x:f>
      </x:c>
      <x:c r="J75" s="2"/>
      <x:c r="K75" s="2"/>
      <x:c r="L75" s="2"/>
    </x:row>
    <x:row r="76" ht="22" customHeight="1">
      <x:c r="A76" s="19" t="n">
        <x:f>IF('Results'!$B$6&lt;&gt;"Inputs accepted",0,-MAX($B$7,$C$7)/(4*PI()*0.0000001*'Inputs'!$B$43)/1000*(118-76)/100)</x:f>
        <x:v>-350.0922696887954</x:v>
      </x:c>
      <x:c r="B76" s="19" t="n">
        <x:f>IF('Results'!$B$6&lt;&gt;"Inputs accepted","",IF(OR('Results'!$B$6&lt;&gt;"Inputs accepted",$B$7=""),"",IF($B$7+4*PI()*0.0000001*'Inputs'!$B$43*A76*1000&lt;0,"",$B$7+4*PI()*0.0000001*'Inputs'!$B$43*A76*1000)))</x:f>
        <x:v>0.63791143546908</x:v>
      </x:c>
      <x:c r="C76" s="19" t="n">
        <x:f>IF('Results'!$B$6&lt;&gt;"Inputs accepted","",IF(OR('Results'!$B$6&lt;&gt;"Inputs accepted",$C$7=""),"",IF($C$7+4*PI()*0.0000001*'Inputs'!$B$43*A76*1000&lt;0,"",$C$7+4*PI()*0.0000001*'Inputs'!$B$43*A76*1000)))</x:f>
        <x:v>0.6159144894184221</x:v>
      </x:c>
      <x:c r="D76" s="19" t="str">
        <x:f>IF('Results'!$B$6&lt;&gt;"Inputs accepted","",IF(OR('Results'!$B$6&lt;&gt;"Inputs accepted",$B$13=""),"",IF($B$13+4*PI()*0.0000001*'Inputs'!$B$43*A76*1000&lt;0,"",$B$13+4*PI()*0.0000001*'Inputs'!$B$43*A76*1000)))</x:f>
      </x:c>
      <x:c r="E76" s="19" t="str">
        <x:f>IF('Results'!$B$6&lt;&gt;"Inputs accepted","",IF(OR('Results'!$B$6&lt;&gt;"Inputs accepted",$C$13=""),"",IF($C$13+4*PI()*0.0000001*'Inputs'!$B$43*A76*1000&lt;0,"",$C$13+4*PI()*0.0000001*'Inputs'!$B$43*A76*1000)))</x:f>
      </x:c>
      <x:c r="F76" s="19" t="n">
        <x:f>IF('Results'!$B$6&lt;&gt;"Inputs accepted","",IF('Results'!$B$6="Inputs accepted",-4*PI()*0.0000001*$B$5*A76*1000,""))</x:f>
        <x:v>0.21996946050657926</x:v>
      </x:c>
      <x:c r="G76" s="19" t="n">
        <x:f>IF('Results'!$B$6&lt;&gt;"Inputs accepted","",IF('Results'!$B$6="Inputs accepted",-4*PI()*0.0000001*$C$5*A76*1000,""))</x:f>
        <x:v>0.21996946050657926</x:v>
      </x:c>
      <x:c r="H76" s="19" t="str">
        <x:f>""</x:f>
      </x:c>
      <x:c r="I76" s="19" t="str">
        <x:f>""</x:f>
      </x:c>
      <x:c r="J76" s="2"/>
      <x:c r="K76" s="2"/>
      <x:c r="L76" s="2"/>
    </x:row>
    <x:row r="77" ht="22" customHeight="1">
      <x:c r="A77" s="19" t="n">
        <x:f>IF('Results'!$B$6&lt;&gt;"Inputs accepted",0,-MAX($B$7,$C$7)/(4*PI()*0.0000001*'Inputs'!$B$43)/1000*(118-77)/100)</x:f>
        <x:v>-341.7567394581099</x:v>
      </x:c>
      <x:c r="B77" s="19" t="n">
        <x:f>IF('Results'!$B$6&lt;&gt;"Inputs accepted","",IF(OR('Results'!$B$6&lt;&gt;"Inputs accepted",$B$7=""),"",IF($B$7+4*PI()*0.0000001*'Inputs'!$B$43*A77*1000&lt;0,"",$B$7+4*PI()*0.0000001*'Inputs'!$B$43*A77*1000)))</x:f>
        <x:v>0.648909908494409</x:v>
      </x:c>
      <x:c r="C77" s="19" t="n">
        <x:f>IF('Results'!$B$6&lt;&gt;"Inputs accepted","",IF(OR('Results'!$B$6&lt;&gt;"Inputs accepted",$C$7=""),"",IF($C$7+4*PI()*0.0000001*'Inputs'!$B$43*A77*1000&lt;0,"",$C$7+4*PI()*0.0000001*'Inputs'!$B$43*A77*1000)))</x:f>
        <x:v>0.626912962443751</x:v>
      </x:c>
      <x:c r="D77" s="19" t="str">
        <x:f>IF('Results'!$B$6&lt;&gt;"Inputs accepted","",IF(OR('Results'!$B$6&lt;&gt;"Inputs accepted",$B$13=""),"",IF($B$13+4*PI()*0.0000001*'Inputs'!$B$43*A77*1000&lt;0,"",$B$13+4*PI()*0.0000001*'Inputs'!$B$43*A77*1000)))</x:f>
      </x:c>
      <x:c r="E77" s="19" t="str">
        <x:f>IF('Results'!$B$6&lt;&gt;"Inputs accepted","",IF(OR('Results'!$B$6&lt;&gt;"Inputs accepted",$C$13=""),"",IF($C$13+4*PI()*0.0000001*'Inputs'!$B$43*A77*1000&lt;0,"",$C$13+4*PI()*0.0000001*'Inputs'!$B$43*A77*1000)))</x:f>
      </x:c>
      <x:c r="F77" s="19" t="n">
        <x:f>IF('Results'!$B$6&lt;&gt;"Inputs accepted","",IF('Results'!$B$6="Inputs accepted",-4*PI()*0.0000001*$B$5*A77*1000,""))</x:f>
        <x:v>0.21473209239927982</x:v>
      </x:c>
      <x:c r="G77" s="19" t="n">
        <x:f>IF('Results'!$B$6&lt;&gt;"Inputs accepted","",IF('Results'!$B$6="Inputs accepted",-4*PI()*0.0000001*$C$5*A77*1000,""))</x:f>
        <x:v>0.21473209239927982</x:v>
      </x:c>
      <x:c r="H77" s="19" t="str">
        <x:f>""</x:f>
      </x:c>
      <x:c r="I77" s="19" t="str">
        <x:f>""</x:f>
      </x:c>
      <x:c r="J77" s="2"/>
      <x:c r="K77" s="2"/>
      <x:c r="L77" s="2"/>
    </x:row>
    <x:row r="78" ht="22" customHeight="1">
      <x:c r="A78" s="19" t="n">
        <x:f>IF('Results'!$B$6&lt;&gt;"Inputs accepted",0,-MAX($B$7,$C$7)/(4*PI()*0.0000001*'Inputs'!$B$43)/1000*(118-78)/100)</x:f>
        <x:v>-333.42120922742424</x:v>
      </x:c>
      <x:c r="B78" s="19" t="n">
        <x:f>IF('Results'!$B$6&lt;&gt;"Inputs accepted","",IF(OR('Results'!$B$6&lt;&gt;"Inputs accepted",$B$7=""),"",IF($B$7+4*PI()*0.0000001*'Inputs'!$B$43*A78*1000&lt;0,"",$B$7+4*PI()*0.0000001*'Inputs'!$B$43*A78*1000)))</x:f>
        <x:v>0.659908381519738</x:v>
      </x:c>
      <x:c r="C78" s="19" t="n">
        <x:f>IF('Results'!$B$6&lt;&gt;"Inputs accepted","",IF(OR('Results'!$B$6&lt;&gt;"Inputs accepted",$C$7=""),"",IF($C$7+4*PI()*0.0000001*'Inputs'!$B$43*A78*1000&lt;0,"",$C$7+4*PI()*0.0000001*'Inputs'!$B$43*A78*1000)))</x:f>
        <x:v>0.63791143546908</x:v>
      </x:c>
      <x:c r="D78" s="19" t="str">
        <x:f>IF('Results'!$B$6&lt;&gt;"Inputs accepted","",IF(OR('Results'!$B$6&lt;&gt;"Inputs accepted",$B$13=""),"",IF($B$13+4*PI()*0.0000001*'Inputs'!$B$43*A78*1000&lt;0,"",$B$13+4*PI()*0.0000001*'Inputs'!$B$43*A78*1000)))</x:f>
      </x:c>
      <x:c r="E78" s="19" t="str">
        <x:f>IF('Results'!$B$6&lt;&gt;"Inputs accepted","",IF(OR('Results'!$B$6&lt;&gt;"Inputs accepted",$C$13=""),"",IF($C$13+4*PI()*0.0000001*'Inputs'!$B$43*A78*1000&lt;0,"",$C$13+4*PI()*0.0000001*'Inputs'!$B$43*A78*1000)))</x:f>
      </x:c>
      <x:c r="F78" s="19" t="n">
        <x:f>IF('Results'!$B$6&lt;&gt;"Inputs accepted","",IF('Results'!$B$6="Inputs accepted",-4*PI()*0.0000001*$B$5*A78*1000,""))</x:f>
        <x:v>0.20949472429198027</x:v>
      </x:c>
      <x:c r="G78" s="19" t="n">
        <x:f>IF('Results'!$B$6&lt;&gt;"Inputs accepted","",IF('Results'!$B$6="Inputs accepted",-4*PI()*0.0000001*$C$5*A78*1000,""))</x:f>
        <x:v>0.20949472429198027</x:v>
      </x:c>
      <x:c r="H78" s="19" t="str">
        <x:f>""</x:f>
      </x:c>
      <x:c r="I78" s="19" t="str">
        <x:f>""</x:f>
      </x:c>
      <x:c r="J78" s="2"/>
      <x:c r="K78" s="2"/>
      <x:c r="L78" s="2"/>
    </x:row>
    <x:row r="79" ht="22" customHeight="1">
      <x:c r="A79" s="19" t="n">
        <x:f>IF('Results'!$B$6&lt;&gt;"Inputs accepted",0,-MAX($B$7,$C$7)/(4*PI()*0.0000001*'Inputs'!$B$43)/1000*(118-79)/100)</x:f>
        <x:v>-325.08567899673864</x:v>
      </x:c>
      <x:c r="B79" s="19" t="n">
        <x:f>IF('Results'!$B$6&lt;&gt;"Inputs accepted","",IF(OR('Results'!$B$6&lt;&gt;"Inputs accepted",$B$7=""),"",IF($B$7+4*PI()*0.0000001*'Inputs'!$B$43*A79*1000&lt;0,"",$B$7+4*PI()*0.0000001*'Inputs'!$B$43*A79*1000)))</x:f>
        <x:v>0.6709068545450669</x:v>
      </x:c>
      <x:c r="C79" s="19" t="n">
        <x:f>IF('Results'!$B$6&lt;&gt;"Inputs accepted","",IF(OR('Results'!$B$6&lt;&gt;"Inputs accepted",$C$7=""),"",IF($C$7+4*PI()*0.0000001*'Inputs'!$B$43*A79*1000&lt;0,"",$C$7+4*PI()*0.0000001*'Inputs'!$B$43*A79*1000)))</x:f>
        <x:v>0.648909908494409</x:v>
      </x:c>
      <x:c r="D79" s="19" t="str">
        <x:f>IF('Results'!$B$6&lt;&gt;"Inputs accepted","",IF(OR('Results'!$B$6&lt;&gt;"Inputs accepted",$B$13=""),"",IF($B$13+4*PI()*0.0000001*'Inputs'!$B$43*A79*1000&lt;0,"",$B$13+4*PI()*0.0000001*'Inputs'!$B$43*A79*1000)))</x:f>
      </x:c>
      <x:c r="E79" s="19" t="str">
        <x:f>IF('Results'!$B$6&lt;&gt;"Inputs accepted","",IF(OR('Results'!$B$6&lt;&gt;"Inputs accepted",$C$13=""),"",IF($C$13+4*PI()*0.0000001*'Inputs'!$B$43*A79*1000&lt;0,"",$C$13+4*PI()*0.0000001*'Inputs'!$B$43*A79*1000)))</x:f>
      </x:c>
      <x:c r="F79" s="19" t="n">
        <x:f>IF('Results'!$B$6&lt;&gt;"Inputs accepted","",IF('Results'!$B$6="Inputs accepted",-4*PI()*0.0000001*$B$5*A79*1000,""))</x:f>
        <x:v>0.20425735618468077</x:v>
      </x:c>
      <x:c r="G79" s="19" t="n">
        <x:f>IF('Results'!$B$6&lt;&gt;"Inputs accepted","",IF('Results'!$B$6="Inputs accepted",-4*PI()*0.0000001*$C$5*A79*1000,""))</x:f>
        <x:v>0.20425735618468077</x:v>
      </x:c>
      <x:c r="H79" s="19" t="str">
        <x:f>""</x:f>
      </x:c>
      <x:c r="I79" s="19" t="str">
        <x:f>""</x:f>
      </x:c>
      <x:c r="J79" s="2"/>
      <x:c r="K79" s="2"/>
      <x:c r="L79" s="2"/>
    </x:row>
    <x:row r="80" ht="22" customHeight="1">
      <x:c r="A80" s="19" t="n">
        <x:f>IF('Results'!$B$6&lt;&gt;"Inputs accepted",0,-MAX($B$7,$C$7)/(4*PI()*0.0000001*'Inputs'!$B$43)/1000*(118-80)/100)</x:f>
        <x:v>-316.75014876605303</x:v>
      </x:c>
      <x:c r="B80" s="19" t="n">
        <x:f>IF('Results'!$B$6&lt;&gt;"Inputs accepted","",IF(OR('Results'!$B$6&lt;&gt;"Inputs accepted",$B$7=""),"",IF($B$7+4*PI()*0.0000001*'Inputs'!$B$43*A80*1000&lt;0,"",$B$7+4*PI()*0.0000001*'Inputs'!$B$43*A80*1000)))</x:f>
        <x:v>0.6819053275703959</x:v>
      </x:c>
      <x:c r="C80" s="19" t="n">
        <x:f>IF('Results'!$B$6&lt;&gt;"Inputs accepted","",IF(OR('Results'!$B$6&lt;&gt;"Inputs accepted",$C$7=""),"",IF($C$7+4*PI()*0.0000001*'Inputs'!$B$43*A80*1000&lt;0,"",$C$7+4*PI()*0.0000001*'Inputs'!$B$43*A80*1000)))</x:f>
        <x:v>0.659908381519738</x:v>
      </x:c>
      <x:c r="D80" s="19" t="str">
        <x:f>IF('Results'!$B$6&lt;&gt;"Inputs accepted","",IF(OR('Results'!$B$6&lt;&gt;"Inputs accepted",$B$13=""),"",IF($B$13+4*PI()*0.0000001*'Inputs'!$B$43*A80*1000&lt;0,"",$B$13+4*PI()*0.0000001*'Inputs'!$B$43*A80*1000)))</x:f>
      </x:c>
      <x:c r="E80" s="19" t="str">
        <x:f>IF('Results'!$B$6&lt;&gt;"Inputs accepted","",IF(OR('Results'!$B$6&lt;&gt;"Inputs accepted",$C$13=""),"",IF($C$13+4*PI()*0.0000001*'Inputs'!$B$43*A80*1000&lt;0,"",$C$13+4*PI()*0.0000001*'Inputs'!$B$43*A80*1000)))</x:f>
      </x:c>
      <x:c r="F80" s="19" t="n">
        <x:f>IF('Results'!$B$6&lt;&gt;"Inputs accepted","",IF('Results'!$B$6="Inputs accepted",-4*PI()*0.0000001*$B$5*A80*1000,""))</x:f>
        <x:v>0.19901998807738128</x:v>
      </x:c>
      <x:c r="G80" s="19" t="n">
        <x:f>IF('Results'!$B$6&lt;&gt;"Inputs accepted","",IF('Results'!$B$6="Inputs accepted",-4*PI()*0.0000001*$C$5*A80*1000,""))</x:f>
        <x:v>0.19901998807738128</x:v>
      </x:c>
      <x:c r="H80" s="19" t="str">
        <x:f>""</x:f>
      </x:c>
      <x:c r="I80" s="19" t="str">
        <x:f>""</x:f>
      </x:c>
      <x:c r="J80" s="2"/>
      <x:c r="K80" s="2"/>
      <x:c r="L80" s="2"/>
    </x:row>
    <x:row r="81" ht="22" customHeight="1">
      <x:c r="A81" s="19" t="n">
        <x:f>IF('Results'!$B$6&lt;&gt;"Inputs accepted",0,-MAX($B$7,$C$7)/(4*PI()*0.0000001*'Inputs'!$B$43)/1000*(118-81)/100)</x:f>
        <x:v>-308.4146185353674</x:v>
      </x:c>
      <x:c r="B81" s="19" t="n">
        <x:f>IF('Results'!$B$6&lt;&gt;"Inputs accepted","",IF(OR('Results'!$B$6&lt;&gt;"Inputs accepted",$B$7=""),"",IF($B$7+4*PI()*0.0000001*'Inputs'!$B$43*A81*1000&lt;0,"",$B$7+4*PI()*0.0000001*'Inputs'!$B$43*A81*1000)))</x:f>
        <x:v>0.6929038005957249</x:v>
      </x:c>
      <x:c r="C81" s="19" t="n">
        <x:f>IF('Results'!$B$6&lt;&gt;"Inputs accepted","",IF(OR('Results'!$B$6&lt;&gt;"Inputs accepted",$C$7=""),"",IF($C$7+4*PI()*0.0000001*'Inputs'!$B$43*A81*1000&lt;0,"",$C$7+4*PI()*0.0000001*'Inputs'!$B$43*A81*1000)))</x:f>
        <x:v>0.6709068545450669</x:v>
      </x:c>
      <x:c r="D81" s="19" t="str">
        <x:f>IF('Results'!$B$6&lt;&gt;"Inputs accepted","",IF(OR('Results'!$B$6&lt;&gt;"Inputs accepted",$B$13=""),"",IF($B$13+4*PI()*0.0000001*'Inputs'!$B$43*A81*1000&lt;0,"",$B$13+4*PI()*0.0000001*'Inputs'!$B$43*A81*1000)))</x:f>
      </x:c>
      <x:c r="E81" s="19" t="str">
        <x:f>IF('Results'!$B$6&lt;&gt;"Inputs accepted","",IF(OR('Results'!$B$6&lt;&gt;"Inputs accepted",$C$13=""),"",IF($C$13+4*PI()*0.0000001*'Inputs'!$B$43*A81*1000&lt;0,"",$C$13+4*PI()*0.0000001*'Inputs'!$B$43*A81*1000)))</x:f>
      </x:c>
      <x:c r="F81" s="19" t="n">
        <x:f>IF('Results'!$B$6&lt;&gt;"Inputs accepted","",IF('Results'!$B$6="Inputs accepted",-4*PI()*0.0000001*$B$5*A81*1000,""))</x:f>
        <x:v>0.19378261997008175</x:v>
      </x:c>
      <x:c r="G81" s="19" t="n">
        <x:f>IF('Results'!$B$6&lt;&gt;"Inputs accepted","",IF('Results'!$B$6="Inputs accepted",-4*PI()*0.0000001*$C$5*A81*1000,""))</x:f>
        <x:v>0.19378261997008175</x:v>
      </x:c>
      <x:c r="H81" s="19" t="str">
        <x:f>""</x:f>
      </x:c>
      <x:c r="I81" s="19" t="str">
        <x:f>""</x:f>
      </x:c>
      <x:c r="J81" s="2"/>
      <x:c r="K81" s="2"/>
      <x:c r="L81" s="2"/>
    </x:row>
    <x:row r="82" ht="22" customHeight="1">
      <x:c r="A82" s="19" t="n">
        <x:f>IF('Results'!$B$6&lt;&gt;"Inputs accepted",0,-MAX($B$7,$C$7)/(4*PI()*0.0000001*'Inputs'!$B$43)/1000*(118-82)/100)</x:f>
        <x:v>-300.0790883046818</x:v>
      </x:c>
      <x:c r="B82" s="19" t="n">
        <x:f>IF('Results'!$B$6&lt;&gt;"Inputs accepted","",IF(OR('Results'!$B$6&lt;&gt;"Inputs accepted",$B$7=""),"",IF($B$7+4*PI()*0.0000001*'Inputs'!$B$43*A82*1000&lt;0,"",$B$7+4*PI()*0.0000001*'Inputs'!$B$43*A82*1000)))</x:f>
        <x:v>0.7039022736210538</x:v>
      </x:c>
      <x:c r="C82" s="19" t="n">
        <x:f>IF('Results'!$B$6&lt;&gt;"Inputs accepted","",IF(OR('Results'!$B$6&lt;&gt;"Inputs accepted",$C$7=""),"",IF($C$7+4*PI()*0.0000001*'Inputs'!$B$43*A82*1000&lt;0,"",$C$7+4*PI()*0.0000001*'Inputs'!$B$43*A82*1000)))</x:f>
        <x:v>0.6819053275703959</x:v>
      </x:c>
      <x:c r="D82" s="19" t="str">
        <x:f>IF('Results'!$B$6&lt;&gt;"Inputs accepted","",IF(OR('Results'!$B$6&lt;&gt;"Inputs accepted",$B$13=""),"",IF($B$13+4*PI()*0.0000001*'Inputs'!$B$43*A82*1000&lt;0,"",$B$13+4*PI()*0.0000001*'Inputs'!$B$43*A82*1000)))</x:f>
      </x:c>
      <x:c r="E82" s="19" t="str">
        <x:f>IF('Results'!$B$6&lt;&gt;"Inputs accepted","",IF(OR('Results'!$B$6&lt;&gt;"Inputs accepted",$C$13=""),"",IF($C$13+4*PI()*0.0000001*'Inputs'!$B$43*A82*1000&lt;0,"",$C$13+4*PI()*0.0000001*'Inputs'!$B$43*A82*1000)))</x:f>
      </x:c>
      <x:c r="F82" s="19" t="n">
        <x:f>IF('Results'!$B$6&lt;&gt;"Inputs accepted","",IF('Results'!$B$6="Inputs accepted",-4*PI()*0.0000001*$B$5*A82*1000,""))</x:f>
        <x:v>0.18854525186278223</x:v>
      </x:c>
      <x:c r="G82" s="19" t="n">
        <x:f>IF('Results'!$B$6&lt;&gt;"Inputs accepted","",IF('Results'!$B$6="Inputs accepted",-4*PI()*0.0000001*$C$5*A82*1000,""))</x:f>
        <x:v>0.18854525186278223</x:v>
      </x:c>
      <x:c r="H82" s="19" t="str">
        <x:f>""</x:f>
      </x:c>
      <x:c r="I82" s="19" t="str">
        <x:f>""</x:f>
      </x:c>
      <x:c r="J82" s="2"/>
      <x:c r="K82" s="2"/>
      <x:c r="L82" s="2"/>
    </x:row>
    <x:row r="83" ht="22" customHeight="1">
      <x:c r="A83" s="19" t="n">
        <x:f>IF('Results'!$B$6&lt;&gt;"Inputs accepted",0,-MAX($B$7,$C$7)/(4*PI()*0.0000001*'Inputs'!$B$43)/1000*(118-83)/100)</x:f>
        <x:v>-291.7435580739962</x:v>
      </x:c>
      <x:c r="B83" s="19" t="n">
        <x:f>IF('Results'!$B$6&lt;&gt;"Inputs accepted","",IF(OR('Results'!$B$6&lt;&gt;"Inputs accepted",$B$7=""),"",IF($B$7+4*PI()*0.0000001*'Inputs'!$B$43*A83*1000&lt;0,"",$B$7+4*PI()*0.0000001*'Inputs'!$B$43*A83*1000)))</x:f>
        <x:v>0.7149007466463828</x:v>
      </x:c>
      <x:c r="C83" s="19" t="n">
        <x:f>IF('Results'!$B$6&lt;&gt;"Inputs accepted","",IF(OR('Results'!$B$6&lt;&gt;"Inputs accepted",$C$7=""),"",IF($C$7+4*PI()*0.0000001*'Inputs'!$B$43*A83*1000&lt;0,"",$C$7+4*PI()*0.0000001*'Inputs'!$B$43*A83*1000)))</x:f>
        <x:v>0.6929038005957249</x:v>
      </x:c>
      <x:c r="D83" s="19" t="str">
        <x:f>IF('Results'!$B$6&lt;&gt;"Inputs accepted","",IF(OR('Results'!$B$6&lt;&gt;"Inputs accepted",$B$13=""),"",IF($B$13+4*PI()*0.0000001*'Inputs'!$B$43*A83*1000&lt;0,"",$B$13+4*PI()*0.0000001*'Inputs'!$B$43*A83*1000)))</x:f>
      </x:c>
      <x:c r="E83" s="19" t="str">
        <x:f>IF('Results'!$B$6&lt;&gt;"Inputs accepted","",IF(OR('Results'!$B$6&lt;&gt;"Inputs accepted",$C$13=""),"",IF($C$13+4*PI()*0.0000001*'Inputs'!$B$43*A83*1000&lt;0,"",$C$13+4*PI()*0.0000001*'Inputs'!$B$43*A83*1000)))</x:f>
      </x:c>
      <x:c r="F83" s="19" t="n">
        <x:f>IF('Results'!$B$6&lt;&gt;"Inputs accepted","",IF('Results'!$B$6="Inputs accepted",-4*PI()*0.0000001*$B$5*A83*1000,""))</x:f>
        <x:v>0.18330788375548274</x:v>
      </x:c>
      <x:c r="G83" s="19" t="n">
        <x:f>IF('Results'!$B$6&lt;&gt;"Inputs accepted","",IF('Results'!$B$6="Inputs accepted",-4*PI()*0.0000001*$C$5*A83*1000,""))</x:f>
        <x:v>0.18330788375548274</x:v>
      </x:c>
      <x:c r="H83" s="19" t="str">
        <x:f>""</x:f>
      </x:c>
      <x:c r="I83" s="19" t="str">
        <x:f>""</x:f>
      </x:c>
      <x:c r="J83" s="2"/>
      <x:c r="K83" s="2"/>
      <x:c r="L83" s="2"/>
    </x:row>
    <x:row r="84" ht="22" customHeight="1">
      <x:c r="A84" s="19" t="n">
        <x:f>IF('Results'!$B$6&lt;&gt;"Inputs accepted",0,-MAX($B$7,$C$7)/(4*PI()*0.0000001*'Inputs'!$B$43)/1000*(118-84)/100)</x:f>
        <x:v>-283.4080278433106</x:v>
      </x:c>
      <x:c r="B84" s="19" t="n">
        <x:f>IF('Results'!$B$6&lt;&gt;"Inputs accepted","",IF(OR('Results'!$B$6&lt;&gt;"Inputs accepted",$B$7=""),"",IF($B$7+4*PI()*0.0000001*'Inputs'!$B$43*A84*1000&lt;0,"",$B$7+4*PI()*0.0000001*'Inputs'!$B$43*A84*1000)))</x:f>
        <x:v>0.7258992196717118</x:v>
      </x:c>
      <x:c r="C84" s="19" t="n">
        <x:f>IF('Results'!$B$6&lt;&gt;"Inputs accepted","",IF(OR('Results'!$B$6&lt;&gt;"Inputs accepted",$C$7=""),"",IF($C$7+4*PI()*0.0000001*'Inputs'!$B$43*A84*1000&lt;0,"",$C$7+4*PI()*0.0000001*'Inputs'!$B$43*A84*1000)))</x:f>
        <x:v>0.7039022736210538</x:v>
      </x:c>
      <x:c r="D84" s="19" t="str">
        <x:f>IF('Results'!$B$6&lt;&gt;"Inputs accepted","",IF(OR('Results'!$B$6&lt;&gt;"Inputs accepted",$B$13=""),"",IF($B$13+4*PI()*0.0000001*'Inputs'!$B$43*A84*1000&lt;0,"",$B$13+4*PI()*0.0000001*'Inputs'!$B$43*A84*1000)))</x:f>
      </x:c>
      <x:c r="E84" s="19" t="str">
        <x:f>IF('Results'!$B$6&lt;&gt;"Inputs accepted","",IF(OR('Results'!$B$6&lt;&gt;"Inputs accepted",$C$13=""),"",IF($C$13+4*PI()*0.0000001*'Inputs'!$B$43*A84*1000&lt;0,"",$C$13+4*PI()*0.0000001*'Inputs'!$B$43*A84*1000)))</x:f>
      </x:c>
      <x:c r="F84" s="19" t="n">
        <x:f>IF('Results'!$B$6&lt;&gt;"Inputs accepted","",IF('Results'!$B$6="Inputs accepted",-4*PI()*0.0000001*$B$5*A84*1000,""))</x:f>
        <x:v>0.17807051564818324</x:v>
      </x:c>
      <x:c r="G84" s="19" t="n">
        <x:f>IF('Results'!$B$6&lt;&gt;"Inputs accepted","",IF('Results'!$B$6="Inputs accepted",-4*PI()*0.0000001*$C$5*A84*1000,""))</x:f>
        <x:v>0.17807051564818324</x:v>
      </x:c>
      <x:c r="H84" s="19" t="str">
        <x:f>""</x:f>
      </x:c>
      <x:c r="I84" s="19" t="str">
        <x:f>""</x:f>
      </x:c>
      <x:c r="J84" s="2"/>
      <x:c r="K84" s="2"/>
      <x:c r="L84" s="2"/>
    </x:row>
    <x:row r="85" ht="22" customHeight="1">
      <x:c r="A85" s="19" t="n">
        <x:f>IF('Results'!$B$6&lt;&gt;"Inputs accepted",0,-MAX($B$7,$C$7)/(4*PI()*0.0000001*'Inputs'!$B$43)/1000*(118-85)/100)</x:f>
        <x:v>-275.072497612625</x:v>
      </x:c>
      <x:c r="B85" s="19" t="n">
        <x:f>IF('Results'!$B$6&lt;&gt;"Inputs accepted","",IF(OR('Results'!$B$6&lt;&gt;"Inputs accepted",$B$7=""),"",IF($B$7+4*PI()*0.0000001*'Inputs'!$B$43*A85*1000&lt;0,"",$B$7+4*PI()*0.0000001*'Inputs'!$B$43*A85*1000)))</x:f>
        <x:v>0.7368976926970408</x:v>
      </x:c>
      <x:c r="C85" s="19" t="n">
        <x:f>IF('Results'!$B$6&lt;&gt;"Inputs accepted","",IF(OR('Results'!$B$6&lt;&gt;"Inputs accepted",$C$7=""),"",IF($C$7+4*PI()*0.0000001*'Inputs'!$B$43*A85*1000&lt;0,"",$C$7+4*PI()*0.0000001*'Inputs'!$B$43*A85*1000)))</x:f>
        <x:v>0.7149007466463828</x:v>
      </x:c>
      <x:c r="D85" s="19" t="str">
        <x:f>IF('Results'!$B$6&lt;&gt;"Inputs accepted","",IF(OR('Results'!$B$6&lt;&gt;"Inputs accepted",$B$13=""),"",IF($B$13+4*PI()*0.0000001*'Inputs'!$B$43*A85*1000&lt;0,"",$B$13+4*PI()*0.0000001*'Inputs'!$B$43*A85*1000)))</x:f>
      </x:c>
      <x:c r="E85" s="19" t="str">
        <x:f>IF('Results'!$B$6&lt;&gt;"Inputs accepted","",IF(OR('Results'!$B$6&lt;&gt;"Inputs accepted",$C$13=""),"",IF($C$13+4*PI()*0.0000001*'Inputs'!$B$43*A85*1000&lt;0,"",$C$13+4*PI()*0.0000001*'Inputs'!$B$43*A85*1000)))</x:f>
      </x:c>
      <x:c r="F85" s="19" t="n">
        <x:f>IF('Results'!$B$6&lt;&gt;"Inputs accepted","",IF('Results'!$B$6="Inputs accepted",-4*PI()*0.0000001*$B$5*A85*1000,""))</x:f>
        <x:v>0.17283314754088372</x:v>
      </x:c>
      <x:c r="G85" s="19" t="n">
        <x:f>IF('Results'!$B$6&lt;&gt;"Inputs accepted","",IF('Results'!$B$6="Inputs accepted",-4*PI()*0.0000001*$C$5*A85*1000,""))</x:f>
        <x:v>0.17283314754088372</x:v>
      </x:c>
      <x:c r="H85" s="19" t="str">
        <x:f>""</x:f>
      </x:c>
      <x:c r="I85" s="19" t="str">
        <x:f>""</x:f>
      </x:c>
      <x:c r="J85" s="2"/>
      <x:c r="K85" s="2"/>
      <x:c r="L85" s="2"/>
    </x:row>
    <x:row r="86" ht="22" customHeight="1">
      <x:c r="A86" s="19" t="n">
        <x:f>IF('Results'!$B$6&lt;&gt;"Inputs accepted",0,-MAX($B$7,$C$7)/(4*PI()*0.0000001*'Inputs'!$B$43)/1000*(118-86)/100)</x:f>
        <x:v>-266.7369673819394</x:v>
      </x:c>
      <x:c r="B86" s="19" t="n">
        <x:f>IF('Results'!$B$6&lt;&gt;"Inputs accepted","",IF(OR('Results'!$B$6&lt;&gt;"Inputs accepted",$B$7=""),"",IF($B$7+4*PI()*0.0000001*'Inputs'!$B$43*A86*1000&lt;0,"",$B$7+4*PI()*0.0000001*'Inputs'!$B$43*A86*1000)))</x:f>
        <x:v>0.7478961657223697</x:v>
      </x:c>
      <x:c r="C86" s="19" t="n">
        <x:f>IF('Results'!$B$6&lt;&gt;"Inputs accepted","",IF(OR('Results'!$B$6&lt;&gt;"Inputs accepted",$C$7=""),"",IF($C$7+4*PI()*0.0000001*'Inputs'!$B$43*A86*1000&lt;0,"",$C$7+4*PI()*0.0000001*'Inputs'!$B$43*A86*1000)))</x:f>
        <x:v>0.7258992196717118</x:v>
      </x:c>
      <x:c r="D86" s="19" t="str">
        <x:f>IF('Results'!$B$6&lt;&gt;"Inputs accepted","",IF(OR('Results'!$B$6&lt;&gt;"Inputs accepted",$B$13=""),"",IF($B$13+4*PI()*0.0000001*'Inputs'!$B$43*A86*1000&lt;0,"",$B$13+4*PI()*0.0000001*'Inputs'!$B$43*A86*1000)))</x:f>
      </x:c>
      <x:c r="E86" s="19" t="str">
        <x:f>IF('Results'!$B$6&lt;&gt;"Inputs accepted","",IF(OR('Results'!$B$6&lt;&gt;"Inputs accepted",$C$13=""),"",IF($C$13+4*PI()*0.0000001*'Inputs'!$B$43*A86*1000&lt;0,"",$C$13+4*PI()*0.0000001*'Inputs'!$B$43*A86*1000)))</x:f>
      </x:c>
      <x:c r="F86" s="19" t="n">
        <x:f>IF('Results'!$B$6&lt;&gt;"Inputs accepted","",IF('Results'!$B$6="Inputs accepted",-4*PI()*0.0000001*$B$5*A86*1000,""))</x:f>
        <x:v>0.16759577943358422</x:v>
      </x:c>
      <x:c r="G86" s="19" t="n">
        <x:f>IF('Results'!$B$6&lt;&gt;"Inputs accepted","",IF('Results'!$B$6="Inputs accepted",-4*PI()*0.0000001*$C$5*A86*1000,""))</x:f>
        <x:v>0.16759577943358422</x:v>
      </x:c>
      <x:c r="H86" s="19" t="str">
        <x:f>""</x:f>
      </x:c>
      <x:c r="I86" s="19" t="str">
        <x:f>""</x:f>
      </x:c>
      <x:c r="J86" s="2"/>
      <x:c r="K86" s="2"/>
      <x:c r="L86" s="2"/>
    </x:row>
    <x:row r="87" ht="22" customHeight="1">
      <x:c r="A87" s="19" t="n">
        <x:f>IF('Results'!$B$6&lt;&gt;"Inputs accepted",0,-MAX($B$7,$C$7)/(4*PI()*0.0000001*'Inputs'!$B$43)/1000*(118-87)/100)</x:f>
        <x:v>-258.4014371512538</x:v>
      </x:c>
      <x:c r="B87" s="19" t="n">
        <x:f>IF('Results'!$B$6&lt;&gt;"Inputs accepted","",IF(OR('Results'!$B$6&lt;&gt;"Inputs accepted",$B$7=""),"",IF($B$7+4*PI()*0.0000001*'Inputs'!$B$43*A87*1000&lt;0,"",$B$7+4*PI()*0.0000001*'Inputs'!$B$43*A87*1000)))</x:f>
        <x:v>0.7588946387476987</x:v>
      </x:c>
      <x:c r="C87" s="19" t="n">
        <x:f>IF('Results'!$B$6&lt;&gt;"Inputs accepted","",IF(OR('Results'!$B$6&lt;&gt;"Inputs accepted",$C$7=""),"",IF($C$7+4*PI()*0.0000001*'Inputs'!$B$43*A87*1000&lt;0,"",$C$7+4*PI()*0.0000001*'Inputs'!$B$43*A87*1000)))</x:f>
        <x:v>0.7368976926970408</x:v>
      </x:c>
      <x:c r="D87" s="19" t="str">
        <x:f>IF('Results'!$B$6&lt;&gt;"Inputs accepted","",IF(OR('Results'!$B$6&lt;&gt;"Inputs accepted",$B$13=""),"",IF($B$13+4*PI()*0.0000001*'Inputs'!$B$43*A87*1000&lt;0,"",$B$13+4*PI()*0.0000001*'Inputs'!$B$43*A87*1000)))</x:f>
      </x:c>
      <x:c r="E87" s="19" t="str">
        <x:f>IF('Results'!$B$6&lt;&gt;"Inputs accepted","",IF(OR('Results'!$B$6&lt;&gt;"Inputs accepted",$C$13=""),"",IF($C$13+4*PI()*0.0000001*'Inputs'!$B$43*A87*1000&lt;0,"",$C$13+4*PI()*0.0000001*'Inputs'!$B$43*A87*1000)))</x:f>
      </x:c>
      <x:c r="F87" s="19" t="n">
        <x:f>IF('Results'!$B$6&lt;&gt;"Inputs accepted","",IF('Results'!$B$6="Inputs accepted",-4*PI()*0.0000001*$B$5*A87*1000,""))</x:f>
        <x:v>0.16235841132628473</x:v>
      </x:c>
      <x:c r="G87" s="19" t="n">
        <x:f>IF('Results'!$B$6&lt;&gt;"Inputs accepted","",IF('Results'!$B$6="Inputs accepted",-4*PI()*0.0000001*$C$5*A87*1000,""))</x:f>
        <x:v>0.16235841132628473</x:v>
      </x:c>
      <x:c r="H87" s="19" t="str">
        <x:f>""</x:f>
      </x:c>
      <x:c r="I87" s="19" t="str">
        <x:f>""</x:f>
      </x:c>
      <x:c r="J87" s="2"/>
      <x:c r="K87" s="2"/>
      <x:c r="L87" s="2"/>
    </x:row>
    <x:row r="88" ht="22" customHeight="1">
      <x:c r="A88" s="19" t="n">
        <x:f>IF('Results'!$B$6&lt;&gt;"Inputs accepted",0,-MAX($B$7,$C$7)/(4*PI()*0.0000001*'Inputs'!$B$43)/1000*(118-88)/100)</x:f>
        <x:v>-250.06590692056818</x:v>
      </x:c>
      <x:c r="B88" s="19" t="n">
        <x:f>IF('Results'!$B$6&lt;&gt;"Inputs accepted","",IF(OR('Results'!$B$6&lt;&gt;"Inputs accepted",$B$7=""),"",IF($B$7+4*PI()*0.0000001*'Inputs'!$B$43*A88*1000&lt;0,"",$B$7+4*PI()*0.0000001*'Inputs'!$B$43*A88*1000)))</x:f>
        <x:v>0.7698931117730277</x:v>
      </x:c>
      <x:c r="C88" s="19" t="n">
        <x:f>IF('Results'!$B$6&lt;&gt;"Inputs accepted","",IF(OR('Results'!$B$6&lt;&gt;"Inputs accepted",$C$7=""),"",IF($C$7+4*PI()*0.0000001*'Inputs'!$B$43*A88*1000&lt;0,"",$C$7+4*PI()*0.0000001*'Inputs'!$B$43*A88*1000)))</x:f>
        <x:v>0.7478961657223697</x:v>
      </x:c>
      <x:c r="D88" s="19" t="str">
        <x:f>IF('Results'!$B$6&lt;&gt;"Inputs accepted","",IF(OR('Results'!$B$6&lt;&gt;"Inputs accepted",$B$13=""),"",IF($B$13+4*PI()*0.0000001*'Inputs'!$B$43*A88*1000&lt;0,"",$B$13+4*PI()*0.0000001*'Inputs'!$B$43*A88*1000)))</x:f>
      </x:c>
      <x:c r="E88" s="19" t="str">
        <x:f>IF('Results'!$B$6&lt;&gt;"Inputs accepted","",IF(OR('Results'!$B$6&lt;&gt;"Inputs accepted",$C$13=""),"",IF($C$13+4*PI()*0.0000001*'Inputs'!$B$43*A88*1000&lt;0,"",$C$13+4*PI()*0.0000001*'Inputs'!$B$43*A88*1000)))</x:f>
      </x:c>
      <x:c r="F88" s="19" t="n">
        <x:f>IF('Results'!$B$6&lt;&gt;"Inputs accepted","",IF('Results'!$B$6="Inputs accepted",-4*PI()*0.0000001*$B$5*A88*1000,""))</x:f>
        <x:v>0.1571210432189852</x:v>
      </x:c>
      <x:c r="G88" s="19" t="n">
        <x:f>IF('Results'!$B$6&lt;&gt;"Inputs accepted","",IF('Results'!$B$6="Inputs accepted",-4*PI()*0.0000001*$C$5*A88*1000,""))</x:f>
        <x:v>0.1571210432189852</x:v>
      </x:c>
      <x:c r="H88" s="19" t="str">
        <x:f>""</x:f>
      </x:c>
      <x:c r="I88" s="19" t="str">
        <x:f>""</x:f>
      </x:c>
      <x:c r="J88" s="2"/>
      <x:c r="K88" s="2"/>
      <x:c r="L88" s="2"/>
    </x:row>
    <x:row r="89" ht="22" customHeight="1">
      <x:c r="A89" s="19" t="n">
        <x:f>IF('Results'!$B$6&lt;&gt;"Inputs accepted",0,-MAX($B$7,$C$7)/(4*PI()*0.0000001*'Inputs'!$B$43)/1000*(118-89)/100)</x:f>
        <x:v>-241.73037668988258</x:v>
      </x:c>
      <x:c r="B89" s="19" t="n">
        <x:f>IF('Results'!$B$6&lt;&gt;"Inputs accepted","",IF(OR('Results'!$B$6&lt;&gt;"Inputs accepted",$B$7=""),"",IF($B$7+4*PI()*0.0000001*'Inputs'!$B$43*A89*1000&lt;0,"",$B$7+4*PI()*0.0000001*'Inputs'!$B$43*A89*1000)))</x:f>
        <x:v>0.7808915847983565</x:v>
      </x:c>
      <x:c r="C89" s="19" t="n">
        <x:f>IF('Results'!$B$6&lt;&gt;"Inputs accepted","",IF(OR('Results'!$B$6&lt;&gt;"Inputs accepted",$C$7=""),"",IF($C$7+4*PI()*0.0000001*'Inputs'!$B$43*A89*1000&lt;0,"",$C$7+4*PI()*0.0000001*'Inputs'!$B$43*A89*1000)))</x:f>
        <x:v>0.7588946387476986</x:v>
      </x:c>
      <x:c r="D89" s="19" t="str">
        <x:f>IF('Results'!$B$6&lt;&gt;"Inputs accepted","",IF(OR('Results'!$B$6&lt;&gt;"Inputs accepted",$B$13=""),"",IF($B$13+4*PI()*0.0000001*'Inputs'!$B$43*A89*1000&lt;0,"",$B$13+4*PI()*0.0000001*'Inputs'!$B$43*A89*1000)))</x:f>
      </x:c>
      <x:c r="E89" s="19" t="str">
        <x:f>IF('Results'!$B$6&lt;&gt;"Inputs accepted","",IF(OR('Results'!$B$6&lt;&gt;"Inputs accepted",$C$13=""),"",IF($C$13+4*PI()*0.0000001*'Inputs'!$B$43*A89*1000&lt;0,"",$C$13+4*PI()*0.0000001*'Inputs'!$B$43*A89*1000)))</x:f>
      </x:c>
      <x:c r="F89" s="19" t="n">
        <x:f>IF('Results'!$B$6&lt;&gt;"Inputs accepted","",IF('Results'!$B$6="Inputs accepted",-4*PI()*0.0000001*$B$5*A89*1000,""))</x:f>
        <x:v>0.15188367511168568</x:v>
      </x:c>
      <x:c r="G89" s="19" t="n">
        <x:f>IF('Results'!$B$6&lt;&gt;"Inputs accepted","",IF('Results'!$B$6="Inputs accepted",-4*PI()*0.0000001*$C$5*A89*1000,""))</x:f>
        <x:v>0.15188367511168568</x:v>
      </x:c>
      <x:c r="H89" s="19" t="str">
        <x:f>""</x:f>
      </x:c>
      <x:c r="I89" s="19" t="str">
        <x:f>""</x:f>
      </x:c>
      <x:c r="J89" s="2"/>
      <x:c r="K89" s="2"/>
      <x:c r="L89" s="2"/>
    </x:row>
    <x:row r="90" ht="22" customHeight="1">
      <x:c r="A90" s="19" t="n">
        <x:f>IF('Results'!$B$6&lt;&gt;"Inputs accepted",0,-MAX($B$7,$C$7)/(4*PI()*0.0000001*'Inputs'!$B$43)/1000*(118-90)/100)</x:f>
        <x:v>-233.39484645919697</x:v>
      </x:c>
      <x:c r="B90" s="19" t="n">
        <x:f>IF('Results'!$B$6&lt;&gt;"Inputs accepted","",IF(OR('Results'!$B$6&lt;&gt;"Inputs accepted",$B$7=""),"",IF($B$7+4*PI()*0.0000001*'Inputs'!$B$43*A90*1000&lt;0,"",$B$7+4*PI()*0.0000001*'Inputs'!$B$43*A90*1000)))</x:f>
        <x:v>0.7918900578236856</x:v>
      </x:c>
      <x:c r="C90" s="19" t="n">
        <x:f>IF('Results'!$B$6&lt;&gt;"Inputs accepted","",IF(OR('Results'!$B$6&lt;&gt;"Inputs accepted",$C$7=""),"",IF($C$7+4*PI()*0.0000001*'Inputs'!$B$43*A90*1000&lt;0,"",$C$7+4*PI()*0.0000001*'Inputs'!$B$43*A90*1000)))</x:f>
        <x:v>0.7698931117730277</x:v>
      </x:c>
      <x:c r="D90" s="19" t="str">
        <x:f>IF('Results'!$B$6&lt;&gt;"Inputs accepted","",IF(OR('Results'!$B$6&lt;&gt;"Inputs accepted",$B$13=""),"",IF($B$13+4*PI()*0.0000001*'Inputs'!$B$43*A90*1000&lt;0,"",$B$13+4*PI()*0.0000001*'Inputs'!$B$43*A90*1000)))</x:f>
      </x:c>
      <x:c r="E90" s="19" t="str">
        <x:f>IF('Results'!$B$6&lt;&gt;"Inputs accepted","",IF(OR('Results'!$B$6&lt;&gt;"Inputs accepted",$C$13=""),"",IF($C$13+4*PI()*0.0000001*'Inputs'!$B$43*A90*1000&lt;0,"",$C$13+4*PI()*0.0000001*'Inputs'!$B$43*A90*1000)))</x:f>
      </x:c>
      <x:c r="F90" s="19" t="n">
        <x:f>IF('Results'!$B$6&lt;&gt;"Inputs accepted","",IF('Results'!$B$6="Inputs accepted",-4*PI()*0.0000001*$B$5*A90*1000,""))</x:f>
        <x:v>0.1466463070043862</x:v>
      </x:c>
      <x:c r="G90" s="19" t="n">
        <x:f>IF('Results'!$B$6&lt;&gt;"Inputs accepted","",IF('Results'!$B$6="Inputs accepted",-4*PI()*0.0000001*$C$5*A90*1000,""))</x:f>
        <x:v>0.1466463070043862</x:v>
      </x:c>
      <x:c r="H90" s="19" t="str">
        <x:f>""</x:f>
      </x:c>
      <x:c r="I90" s="19" t="str">
        <x:f>""</x:f>
      </x:c>
      <x:c r="J90" s="2"/>
      <x:c r="K90" s="2"/>
      <x:c r="L90" s="2"/>
    </x:row>
    <x:row r="91" ht="22" customHeight="1">
      <x:c r="A91" s="19" t="n">
        <x:f>IF('Results'!$B$6&lt;&gt;"Inputs accepted",0,-MAX($B$7,$C$7)/(4*PI()*0.0000001*'Inputs'!$B$43)/1000*(118-91)/100)</x:f>
        <x:v>-225.0593162285114</x:v>
      </x:c>
      <x:c r="B91" s="19" t="n">
        <x:f>IF('Results'!$B$6&lt;&gt;"Inputs accepted","",IF(OR('Results'!$B$6&lt;&gt;"Inputs accepted",$B$7=""),"",IF($B$7+4*PI()*0.0000001*'Inputs'!$B$43*A91*1000&lt;0,"",$B$7+4*PI()*0.0000001*'Inputs'!$B$43*A91*1000)))</x:f>
        <x:v>0.8028885308490143</x:v>
      </x:c>
      <x:c r="C91" s="19" t="n">
        <x:f>IF('Results'!$B$6&lt;&gt;"Inputs accepted","",IF(OR('Results'!$B$6&lt;&gt;"Inputs accepted",$C$7=""),"",IF($C$7+4*PI()*0.0000001*'Inputs'!$B$43*A91*1000&lt;0,"",$C$7+4*PI()*0.0000001*'Inputs'!$B$43*A91*1000)))</x:f>
        <x:v>0.7808915847983564</x:v>
      </x:c>
      <x:c r="D91" s="19" t="str">
        <x:f>IF('Results'!$B$6&lt;&gt;"Inputs accepted","",IF(OR('Results'!$B$6&lt;&gt;"Inputs accepted",$B$13=""),"",IF($B$13+4*PI()*0.0000001*'Inputs'!$B$43*A91*1000&lt;0,"",$B$13+4*PI()*0.0000001*'Inputs'!$B$43*A91*1000)))</x:f>
      </x:c>
      <x:c r="E91" s="19" t="str">
        <x:f>IF('Results'!$B$6&lt;&gt;"Inputs accepted","",IF(OR('Results'!$B$6&lt;&gt;"Inputs accepted",$C$13=""),"",IF($C$13+4*PI()*0.0000001*'Inputs'!$B$43*A91*1000&lt;0,"",$C$13+4*PI()*0.0000001*'Inputs'!$B$43*A91*1000)))</x:f>
      </x:c>
      <x:c r="F91" s="19" t="n">
        <x:f>IF('Results'!$B$6&lt;&gt;"Inputs accepted","",IF('Results'!$B$6="Inputs accepted",-4*PI()*0.0000001*$B$5*A91*1000,""))</x:f>
        <x:v>0.1414089388970867</x:v>
      </x:c>
      <x:c r="G91" s="19" t="n">
        <x:f>IF('Results'!$B$6&lt;&gt;"Inputs accepted","",IF('Results'!$B$6="Inputs accepted",-4*PI()*0.0000001*$C$5*A91*1000,""))</x:f>
        <x:v>0.1414089388970867</x:v>
      </x:c>
      <x:c r="H91" s="19" t="str">
        <x:f>""</x:f>
      </x:c>
      <x:c r="I91" s="19" t="str">
        <x:f>""</x:f>
      </x:c>
      <x:c r="J91" s="2"/>
      <x:c r="K91" s="2"/>
      <x:c r="L91" s="2"/>
    </x:row>
    <x:row r="92" ht="22" customHeight="1">
      <x:c r="A92" s="19" t="n">
        <x:f>IF('Results'!$B$6&lt;&gt;"Inputs accepted",0,-MAX($B$7,$C$7)/(4*PI()*0.0000001*'Inputs'!$B$43)/1000*(118-92)/100)</x:f>
        <x:v>-216.72378599782576</x:v>
      </x:c>
      <x:c r="B92" s="19" t="n">
        <x:f>IF('Results'!$B$6&lt;&gt;"Inputs accepted","",IF(OR('Results'!$B$6&lt;&gt;"Inputs accepted",$B$7=""),"",IF($B$7+4*PI()*0.0000001*'Inputs'!$B$43*A92*1000&lt;0,"",$B$7+4*PI()*0.0000001*'Inputs'!$B$43*A92*1000)))</x:f>
        <x:v>0.8138870038743435</x:v>
      </x:c>
      <x:c r="C92" s="19" t="n">
        <x:f>IF('Results'!$B$6&lt;&gt;"Inputs accepted","",IF(OR('Results'!$B$6&lt;&gt;"Inputs accepted",$C$7=""),"",IF($C$7+4*PI()*0.0000001*'Inputs'!$B$43*A92*1000&lt;0,"",$C$7+4*PI()*0.0000001*'Inputs'!$B$43*A92*1000)))</x:f>
        <x:v>0.7918900578236856</x:v>
      </x:c>
      <x:c r="D92" s="19" t="str">
        <x:f>IF('Results'!$B$6&lt;&gt;"Inputs accepted","",IF(OR('Results'!$B$6&lt;&gt;"Inputs accepted",$B$13=""),"",IF($B$13+4*PI()*0.0000001*'Inputs'!$B$43*A92*1000&lt;0,"",$B$13+4*PI()*0.0000001*'Inputs'!$B$43*A92*1000)))</x:f>
      </x:c>
      <x:c r="E92" s="19" t="str">
        <x:f>IF('Results'!$B$6&lt;&gt;"Inputs accepted","",IF(OR('Results'!$B$6&lt;&gt;"Inputs accepted",$C$13=""),"",IF($C$13+4*PI()*0.0000001*'Inputs'!$B$43*A92*1000&lt;0,"",$C$13+4*PI()*0.0000001*'Inputs'!$B$43*A92*1000)))</x:f>
      </x:c>
      <x:c r="F92" s="19" t="n">
        <x:f>IF('Results'!$B$6&lt;&gt;"Inputs accepted","",IF('Results'!$B$6="Inputs accepted",-4*PI()*0.0000001*$B$5*A92*1000,""))</x:f>
        <x:v>0.1361715707897872</x:v>
      </x:c>
      <x:c r="G92" s="19" t="n">
        <x:f>IF('Results'!$B$6&lt;&gt;"Inputs accepted","",IF('Results'!$B$6="Inputs accepted",-4*PI()*0.0000001*$C$5*A92*1000,""))</x:f>
        <x:v>0.1361715707897872</x:v>
      </x:c>
      <x:c r="H92" s="19" t="str">
        <x:f>""</x:f>
      </x:c>
      <x:c r="I92" s="19" t="str">
        <x:f>""</x:f>
      </x:c>
      <x:c r="J92" s="2"/>
      <x:c r="K92" s="2"/>
      <x:c r="L92" s="2"/>
    </x:row>
    <x:row r="93" ht="22" customHeight="1">
      <x:c r="A93" s="19" t="n">
        <x:f>IF('Results'!$B$6&lt;&gt;"Inputs accepted",0,-MAX($B$7,$C$7)/(4*PI()*0.0000001*'Inputs'!$B$43)/1000*(118-93)/100)</x:f>
        <x:v>-208.38825576714015</x:v>
      </x:c>
      <x:c r="B93" s="19" t="n">
        <x:f>IF('Results'!$B$6&lt;&gt;"Inputs accepted","",IF(OR('Results'!$B$6&lt;&gt;"Inputs accepted",$B$7=""),"",IF($B$7+4*PI()*0.0000001*'Inputs'!$B$43*A93*1000&lt;0,"",$B$7+4*PI()*0.0000001*'Inputs'!$B$43*A93*1000)))</x:f>
        <x:v>0.8248854768996724</x:v>
      </x:c>
      <x:c r="C93" s="19" t="n">
        <x:f>IF('Results'!$B$6&lt;&gt;"Inputs accepted","",IF(OR('Results'!$B$6&lt;&gt;"Inputs accepted",$C$7=""),"",IF($C$7+4*PI()*0.0000001*'Inputs'!$B$43*A93*1000&lt;0,"",$C$7+4*PI()*0.0000001*'Inputs'!$B$43*A93*1000)))</x:f>
        <x:v>0.8028885308490145</x:v>
      </x:c>
      <x:c r="D93" s="19" t="str">
        <x:f>IF('Results'!$B$6&lt;&gt;"Inputs accepted","",IF(OR('Results'!$B$6&lt;&gt;"Inputs accepted",$B$13=""),"",IF($B$13+4*PI()*0.0000001*'Inputs'!$B$43*A93*1000&lt;0,"",$B$13+4*PI()*0.0000001*'Inputs'!$B$43*A93*1000)))</x:f>
      </x:c>
      <x:c r="E93" s="19" t="str">
        <x:f>IF('Results'!$B$6&lt;&gt;"Inputs accepted","",IF(OR('Results'!$B$6&lt;&gt;"Inputs accepted",$C$13=""),"",IF($C$13+4*PI()*0.0000001*'Inputs'!$B$43*A93*1000&lt;0,"",$C$13+4*PI()*0.0000001*'Inputs'!$B$43*A93*1000)))</x:f>
      </x:c>
      <x:c r="F93" s="19" t="n">
        <x:f>IF('Results'!$B$6&lt;&gt;"Inputs accepted","",IF('Results'!$B$6="Inputs accepted",-4*PI()*0.0000001*$B$5*A93*1000,""))</x:f>
        <x:v>0.13093420268248765</x:v>
      </x:c>
      <x:c r="G93" s="19" t="n">
        <x:f>IF('Results'!$B$6&lt;&gt;"Inputs accepted","",IF('Results'!$B$6="Inputs accepted",-4*PI()*0.0000001*$C$5*A93*1000,""))</x:f>
        <x:v>0.13093420268248765</x:v>
      </x:c>
      <x:c r="H93" s="19" t="str">
        <x:f>""</x:f>
      </x:c>
      <x:c r="I93" s="19" t="str">
        <x:f>""</x:f>
      </x:c>
      <x:c r="J93" s="2"/>
      <x:c r="K93" s="2"/>
      <x:c r="L93" s="2"/>
    </x:row>
    <x:row r="94" ht="22" customHeight="1">
      <x:c r="A94" s="19" t="n">
        <x:f>IF('Results'!$B$6&lt;&gt;"Inputs accepted",0,-MAX($B$7,$C$7)/(4*PI()*0.0000001*'Inputs'!$B$43)/1000*(118-94)/100)</x:f>
        <x:v>-200.05272553645452</x:v>
      </x:c>
      <x:c r="B94" s="19" t="n">
        <x:f>IF('Results'!$B$6&lt;&gt;"Inputs accepted","",IF(OR('Results'!$B$6&lt;&gt;"Inputs accepted",$B$7=""),"",IF($B$7+4*PI()*0.0000001*'Inputs'!$B$43*A94*1000&lt;0,"",$B$7+4*PI()*0.0000001*'Inputs'!$B$43*A94*1000)))</x:f>
        <x:v>0.8358839499250015</x:v>
      </x:c>
      <x:c r="C94" s="19" t="n">
        <x:f>IF('Results'!$B$6&lt;&gt;"Inputs accepted","",IF(OR('Results'!$B$6&lt;&gt;"Inputs accepted",$C$7=""),"",IF($C$7+4*PI()*0.0000001*'Inputs'!$B$43*A94*1000&lt;0,"",$C$7+4*PI()*0.0000001*'Inputs'!$B$43*A94*1000)))</x:f>
        <x:v>0.8138870038743435</x:v>
      </x:c>
      <x:c r="D94" s="19" t="str">
        <x:f>IF('Results'!$B$6&lt;&gt;"Inputs accepted","",IF(OR('Results'!$B$6&lt;&gt;"Inputs accepted",$B$13=""),"",IF($B$13+4*PI()*0.0000001*'Inputs'!$B$43*A94*1000&lt;0,"",$B$13+4*PI()*0.0000001*'Inputs'!$B$43*A94*1000)))</x:f>
      </x:c>
      <x:c r="E94" s="19" t="str">
        <x:f>IF('Results'!$B$6&lt;&gt;"Inputs accepted","",IF(OR('Results'!$B$6&lt;&gt;"Inputs accepted",$C$13=""),"",IF($C$13+4*PI()*0.0000001*'Inputs'!$B$43*A94*1000&lt;0,"",$C$13+4*PI()*0.0000001*'Inputs'!$B$43*A94*1000)))</x:f>
      </x:c>
      <x:c r="F94" s="19" t="n">
        <x:f>IF('Results'!$B$6&lt;&gt;"Inputs accepted","",IF('Results'!$B$6="Inputs accepted",-4*PI()*0.0000001*$B$5*A94*1000,""))</x:f>
        <x:v>0.12569683457518815</x:v>
      </x:c>
      <x:c r="G94" s="19" t="n">
        <x:f>IF('Results'!$B$6&lt;&gt;"Inputs accepted","",IF('Results'!$B$6="Inputs accepted",-4*PI()*0.0000001*$C$5*A94*1000,""))</x:f>
        <x:v>0.12569683457518815</x:v>
      </x:c>
      <x:c r="H94" s="19" t="str">
        <x:f>""</x:f>
      </x:c>
      <x:c r="I94" s="19" t="str">
        <x:f>""</x:f>
      </x:c>
      <x:c r="J94" s="2"/>
      <x:c r="K94" s="2"/>
      <x:c r="L94" s="2"/>
    </x:row>
    <x:row r="95" ht="22" customHeight="1">
      <x:c r="A95" s="19" t="n">
        <x:f>IF('Results'!$B$6&lt;&gt;"Inputs accepted",0,-MAX($B$7,$C$7)/(4*PI()*0.0000001*'Inputs'!$B$43)/1000*(118-95)/100)</x:f>
        <x:v>-191.71719530576894</x:v>
      </x:c>
      <x:c r="B95" s="19" t="n">
        <x:f>IF('Results'!$B$6&lt;&gt;"Inputs accepted","",IF(OR('Results'!$B$6&lt;&gt;"Inputs accepted",$B$7=""),"",IF($B$7+4*PI()*0.0000001*'Inputs'!$B$43*A95*1000&lt;0,"",$B$7+4*PI()*0.0000001*'Inputs'!$B$43*A95*1000)))</x:f>
        <x:v>0.8468824229503303</x:v>
      </x:c>
      <x:c r="C95" s="19" t="n">
        <x:f>IF('Results'!$B$6&lt;&gt;"Inputs accepted","",IF(OR('Results'!$B$6&lt;&gt;"Inputs accepted",$C$7=""),"",IF($C$7+4*PI()*0.0000001*'Inputs'!$B$43*A95*1000&lt;0,"",$C$7+4*PI()*0.0000001*'Inputs'!$B$43*A95*1000)))</x:f>
        <x:v>0.8248854768996724</x:v>
      </x:c>
      <x:c r="D95" s="19" t="str">
        <x:f>IF('Results'!$B$6&lt;&gt;"Inputs accepted","",IF(OR('Results'!$B$6&lt;&gt;"Inputs accepted",$B$13=""),"",IF($B$13+4*PI()*0.0000001*'Inputs'!$B$43*A95*1000&lt;0,"",$B$13+4*PI()*0.0000001*'Inputs'!$B$43*A95*1000)))</x:f>
      </x:c>
      <x:c r="E95" s="19" t="str">
        <x:f>IF('Results'!$B$6&lt;&gt;"Inputs accepted","",IF(OR('Results'!$B$6&lt;&gt;"Inputs accepted",$C$13=""),"",IF($C$13+4*PI()*0.0000001*'Inputs'!$B$43*A95*1000&lt;0,"",$C$13+4*PI()*0.0000001*'Inputs'!$B$43*A95*1000)))</x:f>
      </x:c>
      <x:c r="F95" s="19" t="n">
        <x:f>IF('Results'!$B$6&lt;&gt;"Inputs accepted","",IF('Results'!$B$6="Inputs accepted",-4*PI()*0.0000001*$B$5*A95*1000,""))</x:f>
        <x:v>0.12045946646788866</x:v>
      </x:c>
      <x:c r="G95" s="19" t="n">
        <x:f>IF('Results'!$B$6&lt;&gt;"Inputs accepted","",IF('Results'!$B$6="Inputs accepted",-4*PI()*0.0000001*$C$5*A95*1000,""))</x:f>
        <x:v>0.12045946646788866</x:v>
      </x:c>
      <x:c r="H95" s="19" t="str">
        <x:f>""</x:f>
      </x:c>
      <x:c r="I95" s="19" t="str">
        <x:f>""</x:f>
      </x:c>
      <x:c r="J95" s="2"/>
      <x:c r="K95" s="2"/>
      <x:c r="L95" s="2"/>
    </x:row>
    <x:row r="96" ht="22" customHeight="1">
      <x:c r="A96" s="19" t="n">
        <x:f>IF('Results'!$B$6&lt;&gt;"Inputs accepted",0,-MAX($B$7,$C$7)/(4*PI()*0.0000001*'Inputs'!$B$43)/1000*(118-96)/100)</x:f>
        <x:v>-183.38166507508333</x:v>
      </x:c>
      <x:c r="B96" s="19" t="n">
        <x:f>IF('Results'!$B$6&lt;&gt;"Inputs accepted","",IF(OR('Results'!$B$6&lt;&gt;"Inputs accepted",$B$7=""),"",IF($B$7+4*PI()*0.0000001*'Inputs'!$B$43*A96*1000&lt;0,"",$B$7+4*PI()*0.0000001*'Inputs'!$B$43*A96*1000)))</x:f>
        <x:v>0.8578808959756593</x:v>
      </x:c>
      <x:c r="C96" s="19" t="n">
        <x:f>IF('Results'!$B$6&lt;&gt;"Inputs accepted","",IF(OR('Results'!$B$6&lt;&gt;"Inputs accepted",$C$7=""),"",IF($C$7+4*PI()*0.0000001*'Inputs'!$B$43*A96*1000&lt;0,"",$C$7+4*PI()*0.0000001*'Inputs'!$B$43*A96*1000)))</x:f>
        <x:v>0.8358839499250014</x:v>
      </x:c>
      <x:c r="D96" s="19" t="str">
        <x:f>IF('Results'!$B$6&lt;&gt;"Inputs accepted","",IF(OR('Results'!$B$6&lt;&gt;"Inputs accepted",$B$13=""),"",IF($B$13+4*PI()*0.0000001*'Inputs'!$B$43*A96*1000&lt;0,"",$B$13+4*PI()*0.0000001*'Inputs'!$B$43*A96*1000)))</x:f>
      </x:c>
      <x:c r="E96" s="19" t="str">
        <x:f>IF('Results'!$B$6&lt;&gt;"Inputs accepted","",IF(OR('Results'!$B$6&lt;&gt;"Inputs accepted",$C$13=""),"",IF($C$13+4*PI()*0.0000001*'Inputs'!$B$43*A96*1000&lt;0,"",$C$13+4*PI()*0.0000001*'Inputs'!$B$43*A96*1000)))</x:f>
      </x:c>
      <x:c r="F96" s="19" t="n">
        <x:f>IF('Results'!$B$6&lt;&gt;"Inputs accepted","",IF('Results'!$B$6="Inputs accepted",-4*PI()*0.0000001*$B$5*A96*1000,""))</x:f>
        <x:v>0.11522209836058915</x:v>
      </x:c>
      <x:c r="G96" s="19" t="n">
        <x:f>IF('Results'!$B$6&lt;&gt;"Inputs accepted","",IF('Results'!$B$6="Inputs accepted",-4*PI()*0.0000001*$C$5*A96*1000,""))</x:f>
        <x:v>0.11522209836058915</x:v>
      </x:c>
      <x:c r="H96" s="19" t="str">
        <x:f>""</x:f>
      </x:c>
      <x:c r="I96" s="19" t="str">
        <x:f>""</x:f>
      </x:c>
      <x:c r="J96" s="2"/>
      <x:c r="K96" s="2"/>
      <x:c r="L96" s="2"/>
    </x:row>
    <x:row r="97" ht="22" customHeight="1">
      <x:c r="A97" s="19" t="n">
        <x:f>IF('Results'!$B$6&lt;&gt;"Inputs accepted",0,-MAX($B$7,$C$7)/(4*PI()*0.0000001*'Inputs'!$B$43)/1000*(118-97)/100)</x:f>
        <x:v>-175.0461348443977</x:v>
      </x:c>
      <x:c r="B97" s="19" t="n">
        <x:f>IF('Results'!$B$6&lt;&gt;"Inputs accepted","",IF(OR('Results'!$B$6&lt;&gt;"Inputs accepted",$B$7=""),"",IF($B$7+4*PI()*0.0000001*'Inputs'!$B$43*A97*1000&lt;0,"",$B$7+4*PI()*0.0000001*'Inputs'!$B$43*A97*1000)))</x:f>
        <x:v>0.8688793690009883</x:v>
      </x:c>
      <x:c r="C97" s="19" t="n">
        <x:f>IF('Results'!$B$6&lt;&gt;"Inputs accepted","",IF(OR('Results'!$B$6&lt;&gt;"Inputs accepted",$C$7=""),"",IF($C$7+4*PI()*0.0000001*'Inputs'!$B$43*A97*1000&lt;0,"",$C$7+4*PI()*0.0000001*'Inputs'!$B$43*A97*1000)))</x:f>
        <x:v>0.8468824229503303</x:v>
      </x:c>
      <x:c r="D97" s="19" t="str">
        <x:f>IF('Results'!$B$6&lt;&gt;"Inputs accepted","",IF(OR('Results'!$B$6&lt;&gt;"Inputs accepted",$B$13=""),"",IF($B$13+4*PI()*0.0000001*'Inputs'!$B$43*A97*1000&lt;0,"",$B$13+4*PI()*0.0000001*'Inputs'!$B$43*A97*1000)))</x:f>
      </x:c>
      <x:c r="E97" s="19" t="str">
        <x:f>IF('Results'!$B$6&lt;&gt;"Inputs accepted","",IF(OR('Results'!$B$6&lt;&gt;"Inputs accepted",$C$13=""),"",IF($C$13+4*PI()*0.0000001*'Inputs'!$B$43*A97*1000&lt;0,"",$C$13+4*PI()*0.0000001*'Inputs'!$B$43*A97*1000)))</x:f>
      </x:c>
      <x:c r="F97" s="19" t="n">
        <x:f>IF('Results'!$B$6&lt;&gt;"Inputs accepted","",IF('Results'!$B$6="Inputs accepted",-4*PI()*0.0000001*$B$5*A97*1000,""))</x:f>
        <x:v>0.10998473025328963</x:v>
      </x:c>
      <x:c r="G97" s="19" t="n">
        <x:f>IF('Results'!$B$6&lt;&gt;"Inputs accepted","",IF('Results'!$B$6="Inputs accepted",-4*PI()*0.0000001*$C$5*A97*1000,""))</x:f>
        <x:v>0.10998473025328963</x:v>
      </x:c>
      <x:c r="H97" s="19" t="str">
        <x:f>""</x:f>
      </x:c>
      <x:c r="I97" s="19" t="str">
        <x:f>""</x:f>
      </x:c>
      <x:c r="J97" s="2"/>
      <x:c r="K97" s="2"/>
      <x:c r="L97" s="2"/>
    </x:row>
    <x:row r="98" ht="22" customHeight="1">
      <x:c r="A98" s="19" t="n">
        <x:f>IF('Results'!$B$6&lt;&gt;"Inputs accepted",0,-MAX($B$7,$C$7)/(4*PI()*0.0000001*'Inputs'!$B$43)/1000*(118-98)/100)</x:f>
        <x:v>-166.71060461371212</x:v>
      </x:c>
      <x:c r="B98" s="19" t="n">
        <x:f>IF('Results'!$B$6&lt;&gt;"Inputs accepted","",IF(OR('Results'!$B$6&lt;&gt;"Inputs accepted",$B$7=""),"",IF($B$7+4*PI()*0.0000001*'Inputs'!$B$43*A98*1000&lt;0,"",$B$7+4*PI()*0.0000001*'Inputs'!$B$43*A98*1000)))</x:f>
        <x:v>0.8798778420263172</x:v>
      </x:c>
      <x:c r="C98" s="19" t="n">
        <x:f>IF('Results'!$B$6&lt;&gt;"Inputs accepted","",IF(OR('Results'!$B$6&lt;&gt;"Inputs accepted",$C$7=""),"",IF($C$7+4*PI()*0.0000001*'Inputs'!$B$43*A98*1000&lt;0,"",$C$7+4*PI()*0.0000001*'Inputs'!$B$43*A98*1000)))</x:f>
        <x:v>0.8578808959756593</x:v>
      </x:c>
      <x:c r="D98" s="19" t="str">
        <x:f>IF('Results'!$B$6&lt;&gt;"Inputs accepted","",IF(OR('Results'!$B$6&lt;&gt;"Inputs accepted",$B$13=""),"",IF($B$13+4*PI()*0.0000001*'Inputs'!$B$43*A98*1000&lt;0,"",$B$13+4*PI()*0.0000001*'Inputs'!$B$43*A98*1000)))</x:f>
      </x:c>
      <x:c r="E98" s="19" t="str">
        <x:f>IF('Results'!$B$6&lt;&gt;"Inputs accepted","",IF(OR('Results'!$B$6&lt;&gt;"Inputs accepted",$C$13=""),"",IF($C$13+4*PI()*0.0000001*'Inputs'!$B$43*A98*1000&lt;0,"",$C$13+4*PI()*0.0000001*'Inputs'!$B$43*A98*1000)))</x:f>
      </x:c>
      <x:c r="F98" s="19" t="n">
        <x:f>IF('Results'!$B$6&lt;&gt;"Inputs accepted","",IF('Results'!$B$6="Inputs accepted",-4*PI()*0.0000001*$B$5*A98*1000,""))</x:f>
        <x:v>0.10474736214599013</x:v>
      </x:c>
      <x:c r="G98" s="19" t="n">
        <x:f>IF('Results'!$B$6&lt;&gt;"Inputs accepted","",IF('Results'!$B$6="Inputs accepted",-4*PI()*0.0000001*$C$5*A98*1000,""))</x:f>
        <x:v>0.10474736214599013</x:v>
      </x:c>
      <x:c r="H98" s="19" t="str">
        <x:f>""</x:f>
      </x:c>
      <x:c r="I98" s="19" t="str">
        <x:f>""</x:f>
      </x:c>
      <x:c r="J98" s="2"/>
      <x:c r="K98" s="2"/>
      <x:c r="L98" s="2"/>
    </x:row>
    <x:row r="99" ht="22" customHeight="1">
      <x:c r="A99" s="19" t="n">
        <x:f>IF('Results'!$B$6&lt;&gt;"Inputs accepted",0,-MAX($B$7,$C$7)/(4*PI()*0.0000001*'Inputs'!$B$43)/1000*(118-99)/100)</x:f>
        <x:v>-158.37507438302652</x:v>
      </x:c>
      <x:c r="B99" s="19" t="n">
        <x:f>IF('Results'!$B$6&lt;&gt;"Inputs accepted","",IF(OR('Results'!$B$6&lt;&gt;"Inputs accepted",$B$7=""),"",IF($B$7+4*PI()*0.0000001*'Inputs'!$B$43*A99*1000&lt;0,"",$B$7+4*PI()*0.0000001*'Inputs'!$B$43*A99*1000)))</x:f>
        <x:v>0.8908763150516462</x:v>
      </x:c>
      <x:c r="C99" s="19" t="n">
        <x:f>IF('Results'!$B$6&lt;&gt;"Inputs accepted","",IF(OR('Results'!$B$6&lt;&gt;"Inputs accepted",$C$7=""),"",IF($C$7+4*PI()*0.0000001*'Inputs'!$B$43*A99*1000&lt;0,"",$C$7+4*PI()*0.0000001*'Inputs'!$B$43*A99*1000)))</x:f>
        <x:v>0.8688793690009883</x:v>
      </x:c>
      <x:c r="D99" s="19" t="str">
        <x:f>IF('Results'!$B$6&lt;&gt;"Inputs accepted","",IF(OR('Results'!$B$6&lt;&gt;"Inputs accepted",$B$13=""),"",IF($B$13+4*PI()*0.0000001*'Inputs'!$B$43*A99*1000&lt;0,"",$B$13+4*PI()*0.0000001*'Inputs'!$B$43*A99*1000)))</x:f>
      </x:c>
      <x:c r="E99" s="19" t="n">
        <x:f>IF('Results'!$B$6&lt;&gt;"Inputs accepted","",IF(OR('Results'!$B$6&lt;&gt;"Inputs accepted",$C$13=""),"",IF($C$13+4*PI()*0.0000001*'Inputs'!$B$43*A99*1000&lt;0,"",$C$13+4*PI()*0.0000001*'Inputs'!$B$43*A99*1000)))</x:f>
        <x:v>0.0019311525352141423</x:v>
      </x:c>
      <x:c r="F99" s="19" t="n">
        <x:f>IF('Results'!$B$6&lt;&gt;"Inputs accepted","",IF('Results'!$B$6="Inputs accepted",-4*PI()*0.0000001*$B$5*A99*1000,""))</x:f>
        <x:v>0.09950999403869064</x:v>
      </x:c>
      <x:c r="G99" s="19" t="n">
        <x:f>IF('Results'!$B$6&lt;&gt;"Inputs accepted","",IF('Results'!$B$6="Inputs accepted",-4*PI()*0.0000001*$C$5*A99*1000,""))</x:f>
        <x:v>0.09950999403869064</x:v>
      </x:c>
      <x:c r="H99" s="19" t="str">
        <x:f>""</x:f>
      </x:c>
      <x:c r="I99" s="19" t="str">
        <x:f>""</x:f>
      </x:c>
      <x:c r="J99" s="2"/>
      <x:c r="K99" s="2"/>
      <x:c r="L99" s="2"/>
    </x:row>
    <x:row r="100" ht="22" customHeight="1">
      <x:c r="A100" s="19" t="n">
        <x:f>IF('Results'!$B$6&lt;&gt;"Inputs accepted",0,-MAX($B$7,$C$7)/(4*PI()*0.0000001*'Inputs'!$B$43)/1000*(118-100)/100)</x:f>
        <x:v>-150.0395441523409</x:v>
      </x:c>
      <x:c r="B100" s="19" t="n">
        <x:f>IF('Results'!$B$6&lt;&gt;"Inputs accepted","",IF(OR('Results'!$B$6&lt;&gt;"Inputs accepted",$B$7=""),"",IF($B$7+4*PI()*0.0000001*'Inputs'!$B$43*A100*1000&lt;0,"",$B$7+4*PI()*0.0000001*'Inputs'!$B$43*A100*1000)))</x:f>
        <x:v>0.9018747880769752</x:v>
      </x:c>
      <x:c r="C100" s="19" t="n">
        <x:f>IF('Results'!$B$6&lt;&gt;"Inputs accepted","",IF(OR('Results'!$B$6&lt;&gt;"Inputs accepted",$C$7=""),"",IF($C$7+4*PI()*0.0000001*'Inputs'!$B$43*A100*1000&lt;0,"",$C$7+4*PI()*0.0000001*'Inputs'!$B$43*A100*1000)))</x:f>
        <x:v>0.8798778420263172</x:v>
      </x:c>
      <x:c r="D100" s="19" t="str">
        <x:f>IF('Results'!$B$6&lt;&gt;"Inputs accepted","",IF(OR('Results'!$B$6&lt;&gt;"Inputs accepted",$B$13=""),"",IF($B$13+4*PI()*0.0000001*'Inputs'!$B$43*A100*1000&lt;0,"",$B$13+4*PI()*0.0000001*'Inputs'!$B$43*A100*1000)))</x:f>
      </x:c>
      <x:c r="E100" s="19" t="n">
        <x:f>IF('Results'!$B$6&lt;&gt;"Inputs accepted","",IF(OR('Results'!$B$6&lt;&gt;"Inputs accepted",$C$13=""),"",IF($C$13+4*PI()*0.0000001*'Inputs'!$B$43*A100*1000&lt;0,"",$C$13+4*PI()*0.0000001*'Inputs'!$B$43*A100*1000)))</x:f>
        <x:v>0.012929625560543112</x:v>
      </x:c>
      <x:c r="F100" s="19" t="n">
        <x:f>IF('Results'!$B$6&lt;&gt;"Inputs accepted","",IF('Results'!$B$6="Inputs accepted",-4*PI()*0.0000001*$B$5*A100*1000,""))</x:f>
        <x:v>0.09427262593139112</x:v>
      </x:c>
      <x:c r="G100" s="19" t="n">
        <x:f>IF('Results'!$B$6&lt;&gt;"Inputs accepted","",IF('Results'!$B$6="Inputs accepted",-4*PI()*0.0000001*$C$5*A100*1000,""))</x:f>
        <x:v>0.09427262593139112</x:v>
      </x:c>
      <x:c r="H100" s="19" t="str">
        <x:f>""</x:f>
      </x:c>
      <x:c r="I100" s="19" t="str">
        <x:f>""</x:f>
      </x:c>
      <x:c r="J100" s="2"/>
      <x:c r="K100" s="2"/>
      <x:c r="L100" s="2"/>
    </x:row>
    <x:row r="101" ht="22" customHeight="1">
      <x:c r="A101" s="19" t="n">
        <x:f>IF('Results'!$B$6&lt;&gt;"Inputs accepted",0,-MAX($B$7,$C$7)/(4*PI()*0.0000001*'Inputs'!$B$43)/1000*(118-101)/100)</x:f>
        <x:v>-141.7040139216553</x:v>
      </x:c>
      <x:c r="B101" s="19" t="n">
        <x:f>IF('Results'!$B$6&lt;&gt;"Inputs accepted","",IF(OR('Results'!$B$6&lt;&gt;"Inputs accepted",$B$7=""),"",IF($B$7+4*PI()*0.0000001*'Inputs'!$B$43*A101*1000&lt;0,"",$B$7+4*PI()*0.0000001*'Inputs'!$B$43*A101*1000)))</x:f>
        <x:v>0.9128732611023042</x:v>
      </x:c>
      <x:c r="C101" s="19" t="n">
        <x:f>IF('Results'!$B$6&lt;&gt;"Inputs accepted","",IF(OR('Results'!$B$6&lt;&gt;"Inputs accepted",$C$7=""),"",IF($C$7+4*PI()*0.0000001*'Inputs'!$B$43*A101*1000&lt;0,"",$C$7+4*PI()*0.0000001*'Inputs'!$B$43*A101*1000)))</x:f>
        <x:v>0.8908763150516462</x:v>
      </x:c>
      <x:c r="D101" s="19" t="n">
        <x:f>IF('Results'!$B$6&lt;&gt;"Inputs accepted","",IF(OR('Results'!$B$6&lt;&gt;"Inputs accepted",$B$13=""),"",IF($B$13+4*PI()*0.0000001*'Inputs'!$B$43*A101*1000&lt;0,"",$B$13+4*PI()*0.0000001*'Inputs'!$B$43*A101*1000)))</x:f>
        <x:v>0.010253836648779158</x:v>
      </x:c>
      <x:c r="E101" s="19" t="n">
        <x:f>IF('Results'!$B$6&lt;&gt;"Inputs accepted","",IF(OR('Results'!$B$6&lt;&gt;"Inputs accepted",$C$13=""),"",IF($C$13+4*PI()*0.0000001*'Inputs'!$B$43*A101*1000&lt;0,"",$C$13+4*PI()*0.0000001*'Inputs'!$B$43*A101*1000)))</x:f>
        <x:v>0.023928098585872082</x:v>
      </x:c>
      <x:c r="F101" s="19" t="n">
        <x:f>IF('Results'!$B$6&lt;&gt;"Inputs accepted","",IF('Results'!$B$6="Inputs accepted",-4*PI()*0.0000001*$B$5*A101*1000,""))</x:f>
        <x:v>0.08903525782409162</x:v>
      </x:c>
      <x:c r="G101" s="19" t="n">
        <x:f>IF('Results'!$B$6&lt;&gt;"Inputs accepted","",IF('Results'!$B$6="Inputs accepted",-4*PI()*0.0000001*$C$5*A101*1000,""))</x:f>
        <x:v>0.08903525782409162</x:v>
      </x:c>
      <x:c r="H101" s="19" t="str">
        <x:f>""</x:f>
      </x:c>
      <x:c r="I101" s="19" t="str">
        <x:f>""</x:f>
      </x:c>
      <x:c r="J101" s="2"/>
      <x:c r="K101" s="2"/>
      <x:c r="L101" s="2"/>
    </x:row>
    <x:row r="102" ht="22" customHeight="1">
      <x:c r="A102" s="19" t="n">
        <x:f>IF('Results'!$B$6&lt;&gt;"Inputs accepted",0,-MAX($B$7,$C$7)/(4*PI()*0.0000001*'Inputs'!$B$43)/1000*(118-102)/100)</x:f>
        <x:v>-133.3684836909697</x:v>
      </x:c>
      <x:c r="B102" s="19" t="n">
        <x:f>IF('Results'!$B$6&lt;&gt;"Inputs accepted","",IF(OR('Results'!$B$6&lt;&gt;"Inputs accepted",$B$7=""),"",IF($B$7+4*PI()*0.0000001*'Inputs'!$B$43*A102*1000&lt;0,"",$B$7+4*PI()*0.0000001*'Inputs'!$B$43*A102*1000)))</x:f>
        <x:v>0.9238717341276331</x:v>
      </x:c>
      <x:c r="C102" s="19" t="n">
        <x:f>IF('Results'!$B$6&lt;&gt;"Inputs accepted","",IF(OR('Results'!$B$6&lt;&gt;"Inputs accepted",$C$7=""),"",IF($C$7+4*PI()*0.0000001*'Inputs'!$B$43*A102*1000&lt;0,"",$C$7+4*PI()*0.0000001*'Inputs'!$B$43*A102*1000)))</x:f>
        <x:v>0.9018747880769752</x:v>
      </x:c>
      <x:c r="D102" s="19" t="n">
        <x:f>IF('Results'!$B$6&lt;&gt;"Inputs accepted","",IF(OR('Results'!$B$6&lt;&gt;"Inputs accepted",$B$13=""),"",IF($B$13+4*PI()*0.0000001*'Inputs'!$B$43*A102*1000&lt;0,"",$B$13+4*PI()*0.0000001*'Inputs'!$B$43*A102*1000)))</x:f>
        <x:v>0.021252309674108127</x:v>
      </x:c>
      <x:c r="E102" s="19" t="n">
        <x:f>IF('Results'!$B$6&lt;&gt;"Inputs accepted","",IF(OR('Results'!$B$6&lt;&gt;"Inputs accepted",$C$13=""),"",IF($C$13+4*PI()*0.0000001*'Inputs'!$B$43*A102*1000&lt;0,"",$C$13+4*PI()*0.0000001*'Inputs'!$B$43*A102*1000)))</x:f>
        <x:v>0.03492657161120105</x:v>
      </x:c>
      <x:c r="F102" s="19" t="n">
        <x:f>IF('Results'!$B$6&lt;&gt;"Inputs accepted","",IF('Results'!$B$6="Inputs accepted",-4*PI()*0.0000001*$B$5*A102*1000,""))</x:f>
        <x:v>0.08379788971679211</x:v>
      </x:c>
      <x:c r="G102" s="19" t="n">
        <x:f>IF('Results'!$B$6&lt;&gt;"Inputs accepted","",IF('Results'!$B$6="Inputs accepted",-4*PI()*0.0000001*$C$5*A102*1000,""))</x:f>
        <x:v>0.08379788971679211</x:v>
      </x:c>
      <x:c r="H102" s="19" t="str">
        <x:f>""</x:f>
      </x:c>
      <x:c r="I102" s="19" t="str">
        <x:f>""</x:f>
      </x:c>
      <x:c r="J102" s="2"/>
      <x:c r="K102" s="2"/>
      <x:c r="L102" s="2"/>
    </x:row>
    <x:row r="103" ht="22" customHeight="1">
      <x:c r="A103" s="19" t="n">
        <x:f>IF('Results'!$B$6&lt;&gt;"Inputs accepted",0,-MAX($B$7,$C$7)/(4*PI()*0.0000001*'Inputs'!$B$43)/1000*(118-103)/100)</x:f>
        <x:v>-125.03295346028409</x:v>
      </x:c>
      <x:c r="B103" s="19" t="n">
        <x:f>IF('Results'!$B$6&lt;&gt;"Inputs accepted","",IF(OR('Results'!$B$6&lt;&gt;"Inputs accepted",$B$7=""),"",IF($B$7+4*PI()*0.0000001*'Inputs'!$B$43*A103*1000&lt;0,"",$B$7+4*PI()*0.0000001*'Inputs'!$B$43*A103*1000)))</x:f>
        <x:v>0.9348702071529621</x:v>
      </x:c>
      <x:c r="C103" s="19" t="n">
        <x:f>IF('Results'!$B$6&lt;&gt;"Inputs accepted","",IF(OR('Results'!$B$6&lt;&gt;"Inputs accepted",$C$7=""),"",IF($C$7+4*PI()*0.0000001*'Inputs'!$B$43*A103*1000&lt;0,"",$C$7+4*PI()*0.0000001*'Inputs'!$B$43*A103*1000)))</x:f>
        <x:v>0.9128732611023042</x:v>
      </x:c>
      <x:c r="D103" s="19" t="n">
        <x:f>IF('Results'!$B$6&lt;&gt;"Inputs accepted","",IF(OR('Results'!$B$6&lt;&gt;"Inputs accepted",$B$13=""),"",IF($B$13+4*PI()*0.0000001*'Inputs'!$B$43*A103*1000&lt;0,"",$B$13+4*PI()*0.0000001*'Inputs'!$B$43*A103*1000)))</x:f>
        <x:v>0.0322507826994371</x:v>
      </x:c>
      <x:c r="E103" s="19" t="n">
        <x:f>IF('Results'!$B$6&lt;&gt;"Inputs accepted","",IF(OR('Results'!$B$6&lt;&gt;"Inputs accepted",$C$13=""),"",IF($C$13+4*PI()*0.0000001*'Inputs'!$B$43*A103*1000&lt;0,"",$C$13+4*PI()*0.0000001*'Inputs'!$B$43*A103*1000)))</x:f>
        <x:v>0.04592504463653002</x:v>
      </x:c>
      <x:c r="F103" s="19" t="n">
        <x:f>IF('Results'!$B$6&lt;&gt;"Inputs accepted","",IF('Results'!$B$6="Inputs accepted",-4*PI()*0.0000001*$B$5*A103*1000,""))</x:f>
        <x:v>0.0785605216094926</x:v>
      </x:c>
      <x:c r="G103" s="19" t="n">
        <x:f>IF('Results'!$B$6&lt;&gt;"Inputs accepted","",IF('Results'!$B$6="Inputs accepted",-4*PI()*0.0000001*$C$5*A103*1000,""))</x:f>
        <x:v>0.0785605216094926</x:v>
      </x:c>
      <x:c r="H103" s="19" t="str">
        <x:f>""</x:f>
      </x:c>
      <x:c r="I103" s="19" t="str">
        <x:f>""</x:f>
      </x:c>
      <x:c r="J103" s="2"/>
      <x:c r="K103" s="2"/>
      <x:c r="L103" s="2"/>
    </x:row>
    <x:row r="104" ht="22" customHeight="1">
      <x:c r="A104" s="19" t="n">
        <x:f>IF('Results'!$B$6&lt;&gt;"Inputs accepted",0,-MAX($B$7,$C$7)/(4*PI()*0.0000001*'Inputs'!$B$43)/1000*(118-104)/100)</x:f>
        <x:v>-116.69742322959848</x:v>
      </x:c>
      <x:c r="B104" s="19" t="n">
        <x:f>IF('Results'!$B$6&lt;&gt;"Inputs accepted","",IF(OR('Results'!$B$6&lt;&gt;"Inputs accepted",$B$7=""),"",IF($B$7+4*PI()*0.0000001*'Inputs'!$B$43*A104*1000&lt;0,"",$B$7+4*PI()*0.0000001*'Inputs'!$B$43*A104*1000)))</x:f>
        <x:v>0.9458686801782911</x:v>
      </x:c>
      <x:c r="C104" s="19" t="n">
        <x:f>IF('Results'!$B$6&lt;&gt;"Inputs accepted","",IF(OR('Results'!$B$6&lt;&gt;"Inputs accepted",$C$7=""),"",IF($C$7+4*PI()*0.0000001*'Inputs'!$B$43*A104*1000&lt;0,"",$C$7+4*PI()*0.0000001*'Inputs'!$B$43*A104*1000)))</x:f>
        <x:v>0.9238717341276331</x:v>
      </x:c>
      <x:c r="D104" s="19" t="n">
        <x:f>IF('Results'!$B$6&lt;&gt;"Inputs accepted","",IF(OR('Results'!$B$6&lt;&gt;"Inputs accepted",$B$13=""),"",IF($B$13+4*PI()*0.0000001*'Inputs'!$B$43*A104*1000&lt;0,"",$B$13+4*PI()*0.0000001*'Inputs'!$B$43*A104*1000)))</x:f>
        <x:v>0.04324925572476607</x:v>
      </x:c>
      <x:c r="E104" s="19" t="n">
        <x:f>IF('Results'!$B$6&lt;&gt;"Inputs accepted","",IF(OR('Results'!$B$6&lt;&gt;"Inputs accepted",$C$13=""),"",IF($C$13+4*PI()*0.0000001*'Inputs'!$B$43*A104*1000&lt;0,"",$C$13+4*PI()*0.0000001*'Inputs'!$B$43*A104*1000)))</x:f>
        <x:v>0.05692351766185899</x:v>
      </x:c>
      <x:c r="F104" s="19" t="n">
        <x:f>IF('Results'!$B$6&lt;&gt;"Inputs accepted","",IF('Results'!$B$6="Inputs accepted",-4*PI()*0.0000001*$B$5*A104*1000,""))</x:f>
        <x:v>0.0733231535021931</x:v>
      </x:c>
      <x:c r="G104" s="19" t="n">
        <x:f>IF('Results'!$B$6&lt;&gt;"Inputs accepted","",IF('Results'!$B$6="Inputs accepted",-4*PI()*0.0000001*$C$5*A104*1000,""))</x:f>
        <x:v>0.0733231535021931</x:v>
      </x:c>
      <x:c r="H104" s="19" t="str">
        <x:f>""</x:f>
      </x:c>
      <x:c r="I104" s="19" t="str">
        <x:f>""</x:f>
      </x:c>
      <x:c r="J104" s="2"/>
      <x:c r="K104" s="2"/>
      <x:c r="L104" s="2"/>
    </x:row>
    <x:row r="105" ht="22" customHeight="1">
      <x:c r="A105" s="19" t="n">
        <x:f>IF('Results'!$B$6&lt;&gt;"Inputs accepted",0,-MAX($B$7,$C$7)/(4*PI()*0.0000001*'Inputs'!$B$43)/1000*(118-105)/100)</x:f>
        <x:v>-108.36189299891288</x:v>
      </x:c>
      <x:c r="B105" s="19" t="n">
        <x:f>IF('Results'!$B$6&lt;&gt;"Inputs accepted","",IF(OR('Results'!$B$6&lt;&gt;"Inputs accepted",$B$7=""),"",IF($B$7+4*PI()*0.0000001*'Inputs'!$B$43*A105*1000&lt;0,"",$B$7+4*PI()*0.0000001*'Inputs'!$B$43*A105*1000)))</x:f>
        <x:v>0.95686715320362</x:v>
      </x:c>
      <x:c r="C105" s="19" t="n">
        <x:f>IF('Results'!$B$6&lt;&gt;"Inputs accepted","",IF(OR('Results'!$B$6&lt;&gt;"Inputs accepted",$C$7=""),"",IF($C$7+4*PI()*0.0000001*'Inputs'!$B$43*A105*1000&lt;0,"",$C$7+4*PI()*0.0000001*'Inputs'!$B$43*A105*1000)))</x:f>
        <x:v>0.9348702071529621</x:v>
      </x:c>
      <x:c r="D105" s="19" t="n">
        <x:f>IF('Results'!$B$6&lt;&gt;"Inputs accepted","",IF(OR('Results'!$B$6&lt;&gt;"Inputs accepted",$B$13=""),"",IF($B$13+4*PI()*0.0000001*'Inputs'!$B$43*A105*1000&lt;0,"",$B$13+4*PI()*0.0000001*'Inputs'!$B$43*A105*1000)))</x:f>
        <x:v>0.05424772875009504</x:v>
      </x:c>
      <x:c r="E105" s="19" t="n">
        <x:f>IF('Results'!$B$6&lt;&gt;"Inputs accepted","",IF(OR('Results'!$B$6&lt;&gt;"Inputs accepted",$C$13=""),"",IF($C$13+4*PI()*0.0000001*'Inputs'!$B$43*A105*1000&lt;0,"",$C$13+4*PI()*0.0000001*'Inputs'!$B$43*A105*1000)))</x:f>
        <x:v>0.06792199068718796</x:v>
      </x:c>
      <x:c r="F105" s="19" t="n">
        <x:f>IF('Results'!$B$6&lt;&gt;"Inputs accepted","",IF('Results'!$B$6="Inputs accepted",-4*PI()*0.0000001*$B$5*A105*1000,""))</x:f>
        <x:v>0.0680857853948936</x:v>
      </x:c>
      <x:c r="G105" s="19" t="n">
        <x:f>IF('Results'!$B$6&lt;&gt;"Inputs accepted","",IF('Results'!$B$6="Inputs accepted",-4*PI()*0.0000001*$C$5*A105*1000,""))</x:f>
        <x:v>0.0680857853948936</x:v>
      </x:c>
      <x:c r="H105" s="19" t="str">
        <x:f>""</x:f>
      </x:c>
      <x:c r="I105" s="19" t="str">
        <x:f>""</x:f>
      </x:c>
      <x:c r="J105" s="2"/>
      <x:c r="K105" s="2"/>
      <x:c r="L105" s="2"/>
    </x:row>
    <x:row r="106" ht="22" customHeight="1">
      <x:c r="A106" s="19" t="n">
        <x:f>IF('Results'!$B$6&lt;&gt;"Inputs accepted",0,-MAX($B$7,$C$7)/(4*PI()*0.0000001*'Inputs'!$B$43)/1000*(118-106)/100)</x:f>
        <x:v>-100.02636276822726</x:v>
      </x:c>
      <x:c r="B106" s="19" t="n">
        <x:f>IF('Results'!$B$6&lt;&gt;"Inputs accepted","",IF(OR('Results'!$B$6&lt;&gt;"Inputs accepted",$B$7=""),"",IF($B$7+4*PI()*0.0000001*'Inputs'!$B$43*A106*1000&lt;0,"",$B$7+4*PI()*0.0000001*'Inputs'!$B$43*A106*1000)))</x:f>
        <x:v>0.967865626228949</x:v>
      </x:c>
      <x:c r="C106" s="19" t="n">
        <x:f>IF('Results'!$B$6&lt;&gt;"Inputs accepted","",IF(OR('Results'!$B$6&lt;&gt;"Inputs accepted",$C$7=""),"",IF($C$7+4*PI()*0.0000001*'Inputs'!$B$43*A106*1000&lt;0,"",$C$7+4*PI()*0.0000001*'Inputs'!$B$43*A106*1000)))</x:f>
        <x:v>0.9458686801782911</x:v>
      </x:c>
      <x:c r="D106" s="19" t="n">
        <x:f>IF('Results'!$B$6&lt;&gt;"Inputs accepted","",IF(OR('Results'!$B$6&lt;&gt;"Inputs accepted",$B$13=""),"",IF($B$13+4*PI()*0.0000001*'Inputs'!$B$43*A106*1000&lt;0,"",$B$13+4*PI()*0.0000001*'Inputs'!$B$43*A106*1000)))</x:f>
        <x:v>0.065246201775424</x:v>
      </x:c>
      <x:c r="E106" s="19" t="n">
        <x:f>IF('Results'!$B$6&lt;&gt;"Inputs accepted","",IF(OR('Results'!$B$6&lt;&gt;"Inputs accepted",$C$13=""),"",IF($C$13+4*PI()*0.0000001*'Inputs'!$B$43*A106*1000&lt;0,"",$C$13+4*PI()*0.0000001*'Inputs'!$B$43*A106*1000)))</x:f>
        <x:v>0.07892046371251693</x:v>
      </x:c>
      <x:c r="F106" s="19" t="n">
        <x:f>IF('Results'!$B$6&lt;&gt;"Inputs accepted","",IF('Results'!$B$6="Inputs accepted",-4*PI()*0.0000001*$B$5*A106*1000,""))</x:f>
        <x:v>0.06284841728759408</x:v>
      </x:c>
      <x:c r="G106" s="19" t="n">
        <x:f>IF('Results'!$B$6&lt;&gt;"Inputs accepted","",IF('Results'!$B$6="Inputs accepted",-4*PI()*0.0000001*$C$5*A106*1000,""))</x:f>
        <x:v>0.06284841728759408</x:v>
      </x:c>
      <x:c r="H106" s="19" t="str">
        <x:f>""</x:f>
      </x:c>
      <x:c r="I106" s="19" t="str">
        <x:f>""</x:f>
      </x:c>
      <x:c r="J106" s="2"/>
      <x:c r="K106" s="2"/>
      <x:c r="L106" s="2"/>
    </x:row>
    <x:row r="107" ht="22" customHeight="1">
      <x:c r="A107" s="19" t="n">
        <x:f>IF('Results'!$B$6&lt;&gt;"Inputs accepted",0,-MAX($B$7,$C$7)/(4*PI()*0.0000001*'Inputs'!$B$43)/1000*(118-107)/100)</x:f>
        <x:v>-91.69083253754167</x:v>
      </x:c>
      <x:c r="B107" s="19" t="n">
        <x:f>IF('Results'!$B$6&lt;&gt;"Inputs accepted","",IF(OR('Results'!$B$6&lt;&gt;"Inputs accepted",$B$7=""),"",IF($B$7+4*PI()*0.0000001*'Inputs'!$B$43*A107*1000&lt;0,"",$B$7+4*PI()*0.0000001*'Inputs'!$B$43*A107*1000)))</x:f>
        <x:v>0.9788640992542779</x:v>
      </x:c>
      <x:c r="C107" s="19" t="n">
        <x:f>IF('Results'!$B$6&lt;&gt;"Inputs accepted","",IF(OR('Results'!$B$6&lt;&gt;"Inputs accepted",$C$7=""),"",IF($C$7+4*PI()*0.0000001*'Inputs'!$B$43*A107*1000&lt;0,"",$C$7+4*PI()*0.0000001*'Inputs'!$B$43*A107*1000)))</x:f>
        <x:v>0.9568671532036199</x:v>
      </x:c>
      <x:c r="D107" s="19" t="n">
        <x:f>IF('Results'!$B$6&lt;&gt;"Inputs accepted","",IF(OR('Results'!$B$6&lt;&gt;"Inputs accepted",$B$13=""),"",IF($B$13+4*PI()*0.0000001*'Inputs'!$B$43*A107*1000&lt;0,"",$B$13+4*PI()*0.0000001*'Inputs'!$B$43*A107*1000)))</x:f>
        <x:v>0.07624467480075295</x:v>
      </x:c>
      <x:c r="E107" s="19" t="n">
        <x:f>IF('Results'!$B$6&lt;&gt;"Inputs accepted","",IF(OR('Results'!$B$6&lt;&gt;"Inputs accepted",$C$13=""),"",IF($C$13+4*PI()*0.0000001*'Inputs'!$B$43*A107*1000&lt;0,"",$C$13+4*PI()*0.0000001*'Inputs'!$B$43*A107*1000)))</x:f>
        <x:v>0.08991893673784587</x:v>
      </x:c>
      <x:c r="F107" s="19" t="n">
        <x:f>IF('Results'!$B$6&lt;&gt;"Inputs accepted","",IF('Results'!$B$6="Inputs accepted",-4*PI()*0.0000001*$B$5*A107*1000,""))</x:f>
        <x:v>0.057611049180294575</x:v>
      </x:c>
      <x:c r="G107" s="19" t="n">
        <x:f>IF('Results'!$B$6&lt;&gt;"Inputs accepted","",IF('Results'!$B$6="Inputs accepted",-4*PI()*0.0000001*$C$5*A107*1000,""))</x:f>
        <x:v>0.057611049180294575</x:v>
      </x:c>
      <x:c r="H107" s="19" t="str">
        <x:f>""</x:f>
      </x:c>
      <x:c r="I107" s="19" t="str">
        <x:f>""</x:f>
      </x:c>
      <x:c r="J107" s="2"/>
      <x:c r="K107" s="2"/>
      <x:c r="L107" s="2"/>
    </x:row>
    <x:row r="108" ht="22" customHeight="1">
      <x:c r="A108" s="19" t="n">
        <x:f>IF('Results'!$B$6&lt;&gt;"Inputs accepted",0,-MAX($B$7,$C$7)/(4*PI()*0.0000001*'Inputs'!$B$43)/1000*(118-108)/100)</x:f>
        <x:v>-83.35530230685606</x:v>
      </x:c>
      <x:c r="B108" s="19" t="n">
        <x:f>IF('Results'!$B$6&lt;&gt;"Inputs accepted","",IF(OR('Results'!$B$6&lt;&gt;"Inputs accepted",$B$7=""),"",IF($B$7+4*PI()*0.0000001*'Inputs'!$B$43*A108*1000&lt;0,"",$B$7+4*PI()*0.0000001*'Inputs'!$B$43*A108*1000)))</x:f>
        <x:v>0.9898625722796068</x:v>
      </x:c>
      <x:c r="C108" s="19" t="n">
        <x:f>IF('Results'!$B$6&lt;&gt;"Inputs accepted","",IF(OR('Results'!$B$6&lt;&gt;"Inputs accepted",$C$7=""),"",IF($C$7+4*PI()*0.0000001*'Inputs'!$B$43*A108*1000&lt;0,"",$C$7+4*PI()*0.0000001*'Inputs'!$B$43*A108*1000)))</x:f>
        <x:v>0.9678656262289489</x:v>
      </x:c>
      <x:c r="D108" s="19" t="n">
        <x:f>IF('Results'!$B$6&lt;&gt;"Inputs accepted","",IF(OR('Results'!$B$6&lt;&gt;"Inputs accepted",$B$13=""),"",IF($B$13+4*PI()*0.0000001*'Inputs'!$B$43*A108*1000&lt;0,"",$B$13+4*PI()*0.0000001*'Inputs'!$B$43*A108*1000)))</x:f>
        <x:v>0.0872431478260819</x:v>
      </x:c>
      <x:c r="E108" s="19" t="n">
        <x:f>IF('Results'!$B$6&lt;&gt;"Inputs accepted","",IF(OR('Results'!$B$6&lt;&gt;"Inputs accepted",$C$13=""),"",IF($C$13+4*PI()*0.0000001*'Inputs'!$B$43*A108*1000&lt;0,"",$C$13+4*PI()*0.0000001*'Inputs'!$B$43*A108*1000)))</x:f>
        <x:v>0.10091740976317483</x:v>
      </x:c>
      <x:c r="F108" s="19" t="n">
        <x:f>IF('Results'!$B$6&lt;&gt;"Inputs accepted","",IF('Results'!$B$6="Inputs accepted",-4*PI()*0.0000001*$B$5*A108*1000,""))</x:f>
        <x:v>0.05237368107299507</x:v>
      </x:c>
      <x:c r="G108" s="19" t="n">
        <x:f>IF('Results'!$B$6&lt;&gt;"Inputs accepted","",IF('Results'!$B$6="Inputs accepted",-4*PI()*0.0000001*$C$5*A108*1000,""))</x:f>
        <x:v>0.05237368107299507</x:v>
      </x:c>
      <x:c r="H108" s="19" t="str">
        <x:f>""</x:f>
      </x:c>
      <x:c r="I108" s="19" t="str">
        <x:f>""</x:f>
      </x:c>
      <x:c r="J108" s="2"/>
      <x:c r="K108" s="2"/>
      <x:c r="L108" s="2"/>
    </x:row>
    <x:row r="109" ht="22" customHeight="1">
      <x:c r="A109" s="19" t="n">
        <x:f>IF('Results'!$B$6&lt;&gt;"Inputs accepted",0,-MAX($B$7,$C$7)/(4*PI()*0.0000001*'Inputs'!$B$43)/1000*(118-109)/100)</x:f>
        <x:v>-75.01977207617045</x:v>
      </x:c>
      <x:c r="B109" s="19" t="n">
        <x:f>IF('Results'!$B$6&lt;&gt;"Inputs accepted","",IF(OR('Results'!$B$6&lt;&gt;"Inputs accepted",$B$7=""),"",IF($B$7+4*PI()*0.0000001*'Inputs'!$B$43*A109*1000&lt;0,"",$B$7+4*PI()*0.0000001*'Inputs'!$B$43*A109*1000)))</x:f>
        <x:v>1.0008610453049358</x:v>
      </x:c>
      <x:c r="C109" s="19" t="n">
        <x:f>IF('Results'!$B$6&lt;&gt;"Inputs accepted","",IF(OR('Results'!$B$6&lt;&gt;"Inputs accepted",$C$7=""),"",IF($C$7+4*PI()*0.0000001*'Inputs'!$B$43*A109*1000&lt;0,"",$C$7+4*PI()*0.0000001*'Inputs'!$B$43*A109*1000)))</x:f>
        <x:v>0.9788640992542779</x:v>
      </x:c>
      <x:c r="D109" s="19" t="n">
        <x:f>IF('Results'!$B$6&lt;&gt;"Inputs accepted","",IF(OR('Results'!$B$6&lt;&gt;"Inputs accepted",$B$13=""),"",IF($B$13+4*PI()*0.0000001*'Inputs'!$B$43*A109*1000&lt;0,"",$B$13+4*PI()*0.0000001*'Inputs'!$B$43*A109*1000)))</x:f>
        <x:v>0.09824162085141087</x:v>
      </x:c>
      <x:c r="E109" s="19" t="n">
        <x:f>IF('Results'!$B$6&lt;&gt;"Inputs accepted","",IF(OR('Results'!$B$6&lt;&gt;"Inputs accepted",$C$13=""),"",IF($C$13+4*PI()*0.0000001*'Inputs'!$B$43*A109*1000&lt;0,"",$C$13+4*PI()*0.0000001*'Inputs'!$B$43*A109*1000)))</x:f>
        <x:v>0.1119158827885038</x:v>
      </x:c>
      <x:c r="F109" s="19" t="n">
        <x:f>IF('Results'!$B$6&lt;&gt;"Inputs accepted","",IF('Results'!$B$6="Inputs accepted",-4*PI()*0.0000001*$B$5*A109*1000,""))</x:f>
        <x:v>0.04713631296569556</x:v>
      </x:c>
      <x:c r="G109" s="19" t="n">
        <x:f>IF('Results'!$B$6&lt;&gt;"Inputs accepted","",IF('Results'!$B$6="Inputs accepted",-4*PI()*0.0000001*$C$5*A109*1000,""))</x:f>
        <x:v>0.04713631296569556</x:v>
      </x:c>
      <x:c r="H109" s="19" t="str">
        <x:f>""</x:f>
      </x:c>
      <x:c r="I109" s="19" t="str">
        <x:f>""</x:f>
      </x:c>
      <x:c r="J109" s="2"/>
      <x:c r="K109" s="2"/>
      <x:c r="L109" s="2"/>
    </x:row>
    <x:row r="110" ht="22" customHeight="1">
      <x:c r="A110" s="19" t="n">
        <x:f>IF('Results'!$B$6&lt;&gt;"Inputs accepted",0,-MAX($B$7,$C$7)/(4*PI()*0.0000001*'Inputs'!$B$43)/1000*(118-110)/100)</x:f>
        <x:v>-66.68424184548485</x:v>
      </x:c>
      <x:c r="B110" s="19" t="n">
        <x:f>IF('Results'!$B$6&lt;&gt;"Inputs accepted","",IF(OR('Results'!$B$6&lt;&gt;"Inputs accepted",$B$7=""),"",IF($B$7+4*PI()*0.0000001*'Inputs'!$B$43*A110*1000&lt;0,"",$B$7+4*PI()*0.0000001*'Inputs'!$B$43*A110*1000)))</x:f>
        <x:v>1.0118595183302648</x:v>
      </x:c>
      <x:c r="C110" s="19" t="n">
        <x:f>IF('Results'!$B$6&lt;&gt;"Inputs accepted","",IF(OR('Results'!$B$6&lt;&gt;"Inputs accepted",$C$7=""),"",IF($C$7+4*PI()*0.0000001*'Inputs'!$B$43*A110*1000&lt;0,"",$C$7+4*PI()*0.0000001*'Inputs'!$B$43*A110*1000)))</x:f>
        <x:v>0.9898625722796068</x:v>
      </x:c>
      <x:c r="D110" s="19" t="n">
        <x:f>IF('Results'!$B$6&lt;&gt;"Inputs accepted","",IF(OR('Results'!$B$6&lt;&gt;"Inputs accepted",$B$13=""),"",IF($B$13+4*PI()*0.0000001*'Inputs'!$B$43*A110*1000&lt;0,"",$B$13+4*PI()*0.0000001*'Inputs'!$B$43*A110*1000)))</x:f>
        <x:v>0.10924009387673984</x:v>
      </x:c>
      <x:c r="E110" s="19" t="n">
        <x:f>IF('Results'!$B$6&lt;&gt;"Inputs accepted","",IF(OR('Results'!$B$6&lt;&gt;"Inputs accepted",$C$13=""),"",IF($C$13+4*PI()*0.0000001*'Inputs'!$B$43*A110*1000&lt;0,"",$C$13+4*PI()*0.0000001*'Inputs'!$B$43*A110*1000)))</x:f>
        <x:v>0.12291435581383277</x:v>
      </x:c>
      <x:c r="F110" s="19" t="n">
        <x:f>IF('Results'!$B$6&lt;&gt;"Inputs accepted","",IF('Results'!$B$6="Inputs accepted",-4*PI()*0.0000001*$B$5*A110*1000,""))</x:f>
        <x:v>0.041898944858396056</x:v>
      </x:c>
      <x:c r="G110" s="19" t="n">
        <x:f>IF('Results'!$B$6&lt;&gt;"Inputs accepted","",IF('Results'!$B$6="Inputs accepted",-4*PI()*0.0000001*$C$5*A110*1000,""))</x:f>
        <x:v>0.041898944858396056</x:v>
      </x:c>
      <x:c r="H110" s="19" t="str">
        <x:f>""</x:f>
      </x:c>
      <x:c r="I110" s="19" t="str">
        <x:f>""</x:f>
      </x:c>
      <x:c r="J110" s="2"/>
      <x:c r="K110" s="2"/>
      <x:c r="L110" s="2"/>
    </x:row>
    <x:row r="111" ht="22" customHeight="1">
      <x:c r="A111" s="19" t="n">
        <x:f>IF('Results'!$B$6&lt;&gt;"Inputs accepted",0,-MAX($B$7,$C$7)/(4*PI()*0.0000001*'Inputs'!$B$43)/1000*(118-111)/100)</x:f>
        <x:v>-58.34871161479924</x:v>
      </x:c>
      <x:c r="B111" s="19" t="n">
        <x:f>IF('Results'!$B$6&lt;&gt;"Inputs accepted","",IF(OR('Results'!$B$6&lt;&gt;"Inputs accepted",$B$7=""),"",IF($B$7+4*PI()*0.0000001*'Inputs'!$B$43*A111*1000&lt;0,"",$B$7+4*PI()*0.0000001*'Inputs'!$B$43*A111*1000)))</x:f>
        <x:v>1.0228579913555937</x:v>
      </x:c>
      <x:c r="C111" s="19" t="n">
        <x:f>IF('Results'!$B$6&lt;&gt;"Inputs accepted","",IF(OR('Results'!$B$6&lt;&gt;"Inputs accepted",$C$7=""),"",IF($C$7+4*PI()*0.0000001*'Inputs'!$B$43*A111*1000&lt;0,"",$C$7+4*PI()*0.0000001*'Inputs'!$B$43*A111*1000)))</x:f>
        <x:v>1.0008610453049358</x:v>
      </x:c>
      <x:c r="D111" s="19" t="n">
        <x:f>IF('Results'!$B$6&lt;&gt;"Inputs accepted","",IF(OR('Results'!$B$6&lt;&gt;"Inputs accepted",$B$13=""),"",IF($B$13+4*PI()*0.0000001*'Inputs'!$B$43*A111*1000&lt;0,"",$B$13+4*PI()*0.0000001*'Inputs'!$B$43*A111*1000)))</x:f>
        <x:v>0.12023856690206881</x:v>
      </x:c>
      <x:c r="E111" s="19" t="n">
        <x:f>IF('Results'!$B$6&lt;&gt;"Inputs accepted","",IF(OR('Results'!$B$6&lt;&gt;"Inputs accepted",$C$13=""),"",IF($C$13+4*PI()*0.0000001*'Inputs'!$B$43*A111*1000&lt;0,"",$C$13+4*PI()*0.0000001*'Inputs'!$B$43*A111*1000)))</x:f>
        <x:v>0.13391282883916172</x:v>
      </x:c>
      <x:c r="F111" s="19" t="n">
        <x:f>IF('Results'!$B$6&lt;&gt;"Inputs accepted","",IF('Results'!$B$6="Inputs accepted",-4*PI()*0.0000001*$B$5*A111*1000,""))</x:f>
        <x:v>0.03666157675109655</x:v>
      </x:c>
      <x:c r="G111" s="19" t="n">
        <x:f>IF('Results'!$B$6&lt;&gt;"Inputs accepted","",IF('Results'!$B$6="Inputs accepted",-4*PI()*0.0000001*$C$5*A111*1000,""))</x:f>
        <x:v>0.03666157675109655</x:v>
      </x:c>
      <x:c r="H111" s="19" t="str">
        <x:f>""</x:f>
      </x:c>
      <x:c r="I111" s="19" t="str">
        <x:f>""</x:f>
      </x:c>
      <x:c r="J111" s="2"/>
      <x:c r="K111" s="2"/>
      <x:c r="L111" s="2"/>
    </x:row>
    <x:row r="112" ht="22" customHeight="1">
      <x:c r="A112" s="19" t="n">
        <x:f>IF('Results'!$B$6&lt;&gt;"Inputs accepted",0,-MAX($B$7,$C$7)/(4*PI()*0.0000001*'Inputs'!$B$43)/1000*(118-112)/100)</x:f>
        <x:v>-50.01318138411363</x:v>
      </x:c>
      <x:c r="B112" s="19" t="n">
        <x:f>IF('Results'!$B$6&lt;&gt;"Inputs accepted","",IF(OR('Results'!$B$6&lt;&gt;"Inputs accepted",$B$7=""),"",IF($B$7+4*PI()*0.0000001*'Inputs'!$B$43*A112*1000&lt;0,"",$B$7+4*PI()*0.0000001*'Inputs'!$B$43*A112*1000)))</x:f>
        <x:v>1.0338564643809227</x:v>
      </x:c>
      <x:c r="C112" s="19" t="n">
        <x:f>IF('Results'!$B$6&lt;&gt;"Inputs accepted","",IF(OR('Results'!$B$6&lt;&gt;"Inputs accepted",$C$7=""),"",IF($C$7+4*PI()*0.0000001*'Inputs'!$B$43*A112*1000&lt;0,"",$C$7+4*PI()*0.0000001*'Inputs'!$B$43*A112*1000)))</x:f>
        <x:v>1.0118595183302648</x:v>
      </x:c>
      <x:c r="D112" s="19" t="n">
        <x:f>IF('Results'!$B$6&lt;&gt;"Inputs accepted","",IF(OR('Results'!$B$6&lt;&gt;"Inputs accepted",$B$13=""),"",IF($B$13+4*PI()*0.0000001*'Inputs'!$B$43*A112*1000&lt;0,"",$B$13+4*PI()*0.0000001*'Inputs'!$B$43*A112*1000)))</x:f>
        <x:v>0.13123703992739777</x:v>
      </x:c>
      <x:c r="E112" s="19" t="n">
        <x:f>IF('Results'!$B$6&lt;&gt;"Inputs accepted","",IF(OR('Results'!$B$6&lt;&gt;"Inputs accepted",$C$13=""),"",IF($C$13+4*PI()*0.0000001*'Inputs'!$B$43*A112*1000&lt;0,"",$C$13+4*PI()*0.0000001*'Inputs'!$B$43*A112*1000)))</x:f>
        <x:v>0.1449113018644907</x:v>
      </x:c>
      <x:c r="F112" s="19" t="n">
        <x:f>IF('Results'!$B$6&lt;&gt;"Inputs accepted","",IF('Results'!$B$6="Inputs accepted",-4*PI()*0.0000001*$B$5*A112*1000,""))</x:f>
        <x:v>0.03142420864379704</x:v>
      </x:c>
      <x:c r="G112" s="19" t="n">
        <x:f>IF('Results'!$B$6&lt;&gt;"Inputs accepted","",IF('Results'!$B$6="Inputs accepted",-4*PI()*0.0000001*$C$5*A112*1000,""))</x:f>
        <x:v>0.03142420864379704</x:v>
      </x:c>
      <x:c r="H112" s="19" t="str">
        <x:f>""</x:f>
      </x:c>
      <x:c r="I112" s="19" t="str">
        <x:f>""</x:f>
      </x:c>
      <x:c r="J112" s="2"/>
      <x:c r="K112" s="2"/>
      <x:c r="L112" s="2"/>
    </x:row>
    <x:row r="113" ht="22" customHeight="1">
      <x:c r="A113" s="19" t="n">
        <x:f>IF('Results'!$B$6&lt;&gt;"Inputs accepted",0,-MAX($B$7,$C$7)/(4*PI()*0.0000001*'Inputs'!$B$43)/1000*(118-113)/100)</x:f>
        <x:v>-41.67765115342803</x:v>
      </x:c>
      <x:c r="B113" s="19" t="n">
        <x:f>IF('Results'!$B$6&lt;&gt;"Inputs accepted","",IF(OR('Results'!$B$6&lt;&gt;"Inputs accepted",$B$7=""),"",IF($B$7+4*PI()*0.0000001*'Inputs'!$B$43*A113*1000&lt;0,"",$B$7+4*PI()*0.0000001*'Inputs'!$B$43*A113*1000)))</x:f>
        <x:v>1.0448549374062517</x:v>
      </x:c>
      <x:c r="C113" s="19" t="n">
        <x:f>IF('Results'!$B$6&lt;&gt;"Inputs accepted","",IF(OR('Results'!$B$6&lt;&gt;"Inputs accepted",$C$7=""),"",IF($C$7+4*PI()*0.0000001*'Inputs'!$B$43*A113*1000&lt;0,"",$C$7+4*PI()*0.0000001*'Inputs'!$B$43*A113*1000)))</x:f>
        <x:v>1.0228579913555937</x:v>
      </x:c>
      <x:c r="D113" s="19" t="n">
        <x:f>IF('Results'!$B$6&lt;&gt;"Inputs accepted","",IF(OR('Results'!$B$6&lt;&gt;"Inputs accepted",$B$13=""),"",IF($B$13+4*PI()*0.0000001*'Inputs'!$B$43*A113*1000&lt;0,"",$B$13+4*PI()*0.0000001*'Inputs'!$B$43*A113*1000)))</x:f>
        <x:v>0.14223551295272674</x:v>
      </x:c>
      <x:c r="E113" s="19" t="n">
        <x:f>IF('Results'!$B$6&lt;&gt;"Inputs accepted","",IF(OR('Results'!$B$6&lt;&gt;"Inputs accepted",$C$13=""),"",IF($C$13+4*PI()*0.0000001*'Inputs'!$B$43*A113*1000&lt;0,"",$C$13+4*PI()*0.0000001*'Inputs'!$B$43*A113*1000)))</x:f>
        <x:v>0.15590977488981966</x:v>
      </x:c>
      <x:c r="F113" s="19" t="n">
        <x:f>IF('Results'!$B$6&lt;&gt;"Inputs accepted","",IF('Results'!$B$6="Inputs accepted",-4*PI()*0.0000001*$B$5*A113*1000,""))</x:f>
        <x:v>0.026186840536497533</x:v>
      </x:c>
      <x:c r="G113" s="19" t="n">
        <x:f>IF('Results'!$B$6&lt;&gt;"Inputs accepted","",IF('Results'!$B$6="Inputs accepted",-4*PI()*0.0000001*$C$5*A113*1000,""))</x:f>
        <x:v>0.026186840536497533</x:v>
      </x:c>
      <x:c r="H113" s="19" t="str">
        <x:f>""</x:f>
      </x:c>
      <x:c r="I113" s="19" t="str">
        <x:f>""</x:f>
      </x:c>
      <x:c r="J113" s="2"/>
      <x:c r="K113" s="2"/>
      <x:c r="L113" s="2"/>
    </x:row>
    <x:row r="114" ht="22" customHeight="1">
      <x:c r="A114" s="19" t="n">
        <x:f>IF('Results'!$B$6&lt;&gt;"Inputs accepted",0,-MAX($B$7,$C$7)/(4*PI()*0.0000001*'Inputs'!$B$43)/1000*(118-114)/100)</x:f>
        <x:v>-33.342120922742424</x:v>
      </x:c>
      <x:c r="B114" s="19" t="n">
        <x:f>IF('Results'!$B$6&lt;&gt;"Inputs accepted","",IF(OR('Results'!$B$6&lt;&gt;"Inputs accepted",$B$7=""),"",IF($B$7+4*PI()*0.0000001*'Inputs'!$B$43*A114*1000&lt;0,"",$B$7+4*PI()*0.0000001*'Inputs'!$B$43*A114*1000)))</x:f>
        <x:v>1.0558534104315807</x:v>
      </x:c>
      <x:c r="C114" s="19" t="n">
        <x:f>IF('Results'!$B$6&lt;&gt;"Inputs accepted","",IF(OR('Results'!$B$6&lt;&gt;"Inputs accepted",$C$7=""),"",IF($C$7+4*PI()*0.0000001*'Inputs'!$B$43*A114*1000&lt;0,"",$C$7+4*PI()*0.0000001*'Inputs'!$B$43*A114*1000)))</x:f>
        <x:v>1.0338564643809227</x:v>
      </x:c>
      <x:c r="D114" s="19" t="n">
        <x:f>IF('Results'!$B$6&lt;&gt;"Inputs accepted","",IF(OR('Results'!$B$6&lt;&gt;"Inputs accepted",$B$13=""),"",IF($B$13+4*PI()*0.0000001*'Inputs'!$B$43*A114*1000&lt;0,"",$B$13+4*PI()*0.0000001*'Inputs'!$B$43*A114*1000)))</x:f>
        <x:v>0.1532339859780557</x:v>
      </x:c>
      <x:c r="E114" s="19" t="n">
        <x:f>IF('Results'!$B$6&lt;&gt;"Inputs accepted","",IF(OR('Results'!$B$6&lt;&gt;"Inputs accepted",$C$13=""),"",IF($C$13+4*PI()*0.0000001*'Inputs'!$B$43*A114*1000&lt;0,"",$C$13+4*PI()*0.0000001*'Inputs'!$B$43*A114*1000)))</x:f>
        <x:v>0.16690824791514863</x:v>
      </x:c>
      <x:c r="F114" s="19" t="n">
        <x:f>IF('Results'!$B$6&lt;&gt;"Inputs accepted","",IF('Results'!$B$6="Inputs accepted",-4*PI()*0.0000001*$B$5*A114*1000,""))</x:f>
        <x:v>0.020949472429198028</x:v>
      </x:c>
      <x:c r="G114" s="19" t="n">
        <x:f>IF('Results'!$B$6&lt;&gt;"Inputs accepted","",IF('Results'!$B$6="Inputs accepted",-4*PI()*0.0000001*$C$5*A114*1000,""))</x:f>
        <x:v>0.020949472429198028</x:v>
      </x:c>
      <x:c r="H114" s="19" t="str">
        <x:f>""</x:f>
      </x:c>
      <x:c r="I114" s="19" t="str">
        <x:f>""</x:f>
      </x:c>
      <x:c r="J114" s="2"/>
      <x:c r="K114" s="2"/>
      <x:c r="L114" s="2"/>
    </x:row>
    <x:row r="115" ht="22" customHeight="1">
      <x:c r="A115" s="19" t="n">
        <x:f>IF('Results'!$B$6&lt;&gt;"Inputs accepted",0,-MAX($B$7,$C$7)/(4*PI()*0.0000001*'Inputs'!$B$43)/1000*(118-115)/100)</x:f>
        <x:v>-25.006590692056815</x:v>
      </x:c>
      <x:c r="B115" s="19" t="n">
        <x:f>IF('Results'!$B$6&lt;&gt;"Inputs accepted","",IF(OR('Results'!$B$6&lt;&gt;"Inputs accepted",$B$7=""),"",IF($B$7+4*PI()*0.0000001*'Inputs'!$B$43*A115*1000&lt;0,"",$B$7+4*PI()*0.0000001*'Inputs'!$B$43*A115*1000)))</x:f>
        <x:v>1.0668518834569096</x:v>
      </x:c>
      <x:c r="C115" s="19" t="n">
        <x:f>IF('Results'!$B$6&lt;&gt;"Inputs accepted","",IF(OR('Results'!$B$6&lt;&gt;"Inputs accepted",$C$7=""),"",IF($C$7+4*PI()*0.0000001*'Inputs'!$B$43*A115*1000&lt;0,"",$C$7+4*PI()*0.0000001*'Inputs'!$B$43*A115*1000)))</x:f>
        <x:v>1.0448549374062517</x:v>
      </x:c>
      <x:c r="D115" s="19" t="n">
        <x:f>IF('Results'!$B$6&lt;&gt;"Inputs accepted","",IF(OR('Results'!$B$6&lt;&gt;"Inputs accepted",$B$13=""),"",IF($B$13+4*PI()*0.0000001*'Inputs'!$B$43*A115*1000&lt;0,"",$B$13+4*PI()*0.0000001*'Inputs'!$B$43*A115*1000)))</x:f>
        <x:v>0.16423245900338468</x:v>
      </x:c>
      <x:c r="E115" s="19" t="n">
        <x:f>IF('Results'!$B$6&lt;&gt;"Inputs accepted","",IF(OR('Results'!$B$6&lt;&gt;"Inputs accepted",$C$13=""),"",IF($C$13+4*PI()*0.0000001*'Inputs'!$B$43*A115*1000&lt;0,"",$C$13+4*PI()*0.0000001*'Inputs'!$B$43*A115*1000)))</x:f>
        <x:v>0.1779067209404776</x:v>
      </x:c>
      <x:c r="F115" s="19" t="n">
        <x:f>IF('Results'!$B$6&lt;&gt;"Inputs accepted","",IF('Results'!$B$6="Inputs accepted",-4*PI()*0.0000001*$B$5*A115*1000,""))</x:f>
        <x:v>0.01571210432189852</x:v>
      </x:c>
      <x:c r="G115" s="19" t="n">
        <x:f>IF('Results'!$B$6&lt;&gt;"Inputs accepted","",IF('Results'!$B$6="Inputs accepted",-4*PI()*0.0000001*$C$5*A115*1000,""))</x:f>
        <x:v>0.01571210432189852</x:v>
      </x:c>
      <x:c r="H115" s="19" t="str">
        <x:f>""</x:f>
      </x:c>
      <x:c r="I115" s="19" t="str">
        <x:f>""</x:f>
      </x:c>
      <x:c r="J115" s="2"/>
      <x:c r="K115" s="2"/>
      <x:c r="L115" s="2"/>
    </x:row>
    <x:row r="116" ht="22" customHeight="1">
      <x:c r="A116" s="19" t="n">
        <x:f>IF('Results'!$B$6&lt;&gt;"Inputs accepted",0,-MAX($B$7,$C$7)/(4*PI()*0.0000001*'Inputs'!$B$43)/1000*(118-116)/100)</x:f>
        <x:v>-16.671060461371212</x:v>
      </x:c>
      <x:c r="B116" s="19" t="n">
        <x:f>IF('Results'!$B$6&lt;&gt;"Inputs accepted","",IF(OR('Results'!$B$6&lt;&gt;"Inputs accepted",$B$7=""),"",IF($B$7+4*PI()*0.0000001*'Inputs'!$B$43*A116*1000&lt;0,"",$B$7+4*PI()*0.0000001*'Inputs'!$B$43*A116*1000)))</x:f>
        <x:v>1.0778503564822386</x:v>
      </x:c>
      <x:c r="C116" s="19" t="n">
        <x:f>IF('Results'!$B$6&lt;&gt;"Inputs accepted","",IF(OR('Results'!$B$6&lt;&gt;"Inputs accepted",$C$7=""),"",IF($C$7+4*PI()*0.0000001*'Inputs'!$B$43*A116*1000&lt;0,"",$C$7+4*PI()*0.0000001*'Inputs'!$B$43*A116*1000)))</x:f>
        <x:v>1.0558534104315807</x:v>
      </x:c>
      <x:c r="D116" s="19" t="n">
        <x:f>IF('Results'!$B$6&lt;&gt;"Inputs accepted","",IF(OR('Results'!$B$6&lt;&gt;"Inputs accepted",$B$13=""),"",IF($B$13+4*PI()*0.0000001*'Inputs'!$B$43*A116*1000&lt;0,"",$B$13+4*PI()*0.0000001*'Inputs'!$B$43*A116*1000)))</x:f>
        <x:v>0.17523093202871362</x:v>
      </x:c>
      <x:c r="E116" s="19" t="n">
        <x:f>IF('Results'!$B$6&lt;&gt;"Inputs accepted","",IF(OR('Results'!$B$6&lt;&gt;"Inputs accepted",$C$13=""),"",IF($C$13+4*PI()*0.0000001*'Inputs'!$B$43*A116*1000&lt;0,"",$C$13+4*PI()*0.0000001*'Inputs'!$B$43*A116*1000)))</x:f>
        <x:v>0.18890519396580654</x:v>
      </x:c>
      <x:c r="F116" s="19" t="n">
        <x:f>IF('Results'!$B$6&lt;&gt;"Inputs accepted","",IF('Results'!$B$6="Inputs accepted",-4*PI()*0.0000001*$B$5*A116*1000,""))</x:f>
        <x:v>0.010474736214599014</x:v>
      </x:c>
      <x:c r="G116" s="19" t="n">
        <x:f>IF('Results'!$B$6&lt;&gt;"Inputs accepted","",IF('Results'!$B$6="Inputs accepted",-4*PI()*0.0000001*$C$5*A116*1000,""))</x:f>
        <x:v>0.010474736214599014</x:v>
      </x:c>
      <x:c r="H116" s="19" t="str">
        <x:f>""</x:f>
      </x:c>
      <x:c r="I116" s="19" t="str">
        <x:f>""</x:f>
      </x:c>
      <x:c r="J116" s="2"/>
      <x:c r="K116" s="2"/>
      <x:c r="L116" s="2"/>
    </x:row>
    <x:row r="117" ht="22" customHeight="1">
      <x:c r="A117" s="19" t="n">
        <x:f>IF('Results'!$B$6&lt;&gt;"Inputs accepted",0,-MAX($B$7,$C$7)/(4*PI()*0.0000001*'Inputs'!$B$43)/1000*(118-117)/100)</x:f>
        <x:v>-8.335530230685606</x:v>
      </x:c>
      <x:c r="B117" s="19" t="n">
        <x:f>IF('Results'!$B$6&lt;&gt;"Inputs accepted","",IF(OR('Results'!$B$6&lt;&gt;"Inputs accepted",$B$7=""),"",IF($B$7+4*PI()*0.0000001*'Inputs'!$B$43*A117*1000&lt;0,"",$B$7+4*PI()*0.0000001*'Inputs'!$B$43*A117*1000)))</x:f>
        <x:v>1.0888488295075676</x:v>
      </x:c>
      <x:c r="C117" s="19" t="n">
        <x:f>IF('Results'!$B$6&lt;&gt;"Inputs accepted","",IF(OR('Results'!$B$6&lt;&gt;"Inputs accepted",$C$7=""),"",IF($C$7+4*PI()*0.0000001*'Inputs'!$B$43*A117*1000&lt;0,"",$C$7+4*PI()*0.0000001*'Inputs'!$B$43*A117*1000)))</x:f>
        <x:v>1.0668518834569096</x:v>
      </x:c>
      <x:c r="D117" s="19" t="n">
        <x:f>IF('Results'!$B$6&lt;&gt;"Inputs accepted","",IF(OR('Results'!$B$6&lt;&gt;"Inputs accepted",$B$13=""),"",IF($B$13+4*PI()*0.0000001*'Inputs'!$B$43*A117*1000&lt;0,"",$B$13+4*PI()*0.0000001*'Inputs'!$B$43*A117*1000)))</x:f>
        <x:v>0.1862294050540426</x:v>
      </x:c>
      <x:c r="E117" s="19" t="n">
        <x:f>IF('Results'!$B$6&lt;&gt;"Inputs accepted","",IF(OR('Results'!$B$6&lt;&gt;"Inputs accepted",$C$13=""),"",IF($C$13+4*PI()*0.0000001*'Inputs'!$B$43*A117*1000&lt;0,"",$C$13+4*PI()*0.0000001*'Inputs'!$B$43*A117*1000)))</x:f>
        <x:v>0.19990366699113551</x:v>
      </x:c>
      <x:c r="F117" s="19" t="n">
        <x:f>IF('Results'!$B$6&lt;&gt;"Inputs accepted","",IF('Results'!$B$6="Inputs accepted",-4*PI()*0.0000001*$B$5*A117*1000,""))</x:f>
        <x:v>0.005237368107299507</x:v>
      </x:c>
      <x:c r="G117" s="19" t="n">
        <x:f>IF('Results'!$B$6&lt;&gt;"Inputs accepted","",IF('Results'!$B$6="Inputs accepted",-4*PI()*0.0000001*$C$5*A117*1000,""))</x:f>
        <x:v>0.005237368107299507</x:v>
      </x:c>
      <x:c r="H117" s="19" t="str">
        <x:f>""</x:f>
      </x:c>
      <x:c r="I117" s="19" t="str">
        <x:f>""</x:f>
      </x:c>
      <x:c r="J117" s="2"/>
      <x:c r="K117" s="2"/>
      <x:c r="L117" s="2"/>
    </x:row>
    <x:row r="118" ht="22" customHeight="1">
      <x:c r="A118" s="19" t="n">
        <x:f>IF('Results'!$B$6&lt;&gt;"Inputs accepted",0,-MAX($B$7,$C$7)/(4*PI()*0.0000001*'Inputs'!$B$43)/1000*(118-118)/100)</x:f>
        <x:v>0</x:v>
      </x:c>
      <x:c r="B118" s="19" t="n">
        <x:f>IF('Results'!$B$6&lt;&gt;"Inputs accepted","",IF(OR('Results'!$B$6&lt;&gt;"Inputs accepted",$B$7=""),"",IF($B$7+4*PI()*0.0000001*'Inputs'!$B$43*A118*1000&lt;0,"",$B$7+4*PI()*0.0000001*'Inputs'!$B$43*A118*1000)))</x:f>
        <x:v>1.0998473025328965</x:v>
      </x:c>
      <x:c r="C118" s="19" t="n">
        <x:f>IF('Results'!$B$6&lt;&gt;"Inputs accepted","",IF(OR('Results'!$B$6&lt;&gt;"Inputs accepted",$C$7=""),"",IF($C$7+4*PI()*0.0000001*'Inputs'!$B$43*A118*1000&lt;0,"",$C$7+4*PI()*0.0000001*'Inputs'!$B$43*A118*1000)))</x:f>
        <x:v>1.0778503564822386</x:v>
      </x:c>
      <x:c r="D118" s="19" t="n">
        <x:f>IF('Results'!$B$6&lt;&gt;"Inputs accepted","",IF(OR('Results'!$B$6&lt;&gt;"Inputs accepted",$B$13=""),"",IF($B$13+4*PI()*0.0000001*'Inputs'!$B$43*A118*1000&lt;0,"",$B$13+4*PI()*0.0000001*'Inputs'!$B$43*A118*1000)))</x:f>
        <x:v>0.19722787807937156</x:v>
      </x:c>
      <x:c r="E118" s="19" t="n">
        <x:f>IF('Results'!$B$6&lt;&gt;"Inputs accepted","",IF(OR('Results'!$B$6&lt;&gt;"Inputs accepted",$C$13=""),"",IF($C$13+4*PI()*0.0000001*'Inputs'!$B$43*A118*1000&lt;0,"",$C$13+4*PI()*0.0000001*'Inputs'!$B$43*A118*1000)))</x:f>
        <x:v>0.21090214001646448</x:v>
      </x:c>
      <x:c r="F118" s="19" t="n">
        <x:f>IF('Results'!$B$6&lt;&gt;"Inputs accepted","",IF('Results'!$B$6="Inputs accepted",-4*PI()*0.0000001*$B$5*A118*1000,""))</x:f>
        <x:v>0</x:v>
      </x:c>
      <x:c r="G118" s="19" t="n">
        <x:f>IF('Results'!$B$6&lt;&gt;"Inputs accepted","",IF('Results'!$B$6="Inputs accepted",-4*PI()*0.0000001*$C$5*A118*1000,""))</x:f>
        <x:v>0</x:v>
      </x:c>
      <x:c r="H118" s="19" t="str">
        <x:f>""</x:f>
      </x:c>
      <x:c r="I118" s="19" t="str">
        <x:f>""</x:f>
      </x:c>
      <x:c r="J118" s="2"/>
      <x:c r="K118" s="2"/>
      <x:c r="L118" s="2"/>
    </x:row>
    <x:row r="119" ht="22" customHeight="1">
      <x:c r="A119" s="19" t="n">
        <x:f>IF($B$11="",0,$B$11)</x:f>
        <x:v>-101.25739261889565</x:v>
      </x:c>
      <x:c r="B119" s="19" t="n">
        <x:f>IF('Results'!$B$6&lt;&gt;"Inputs accepted","",IF(OR('Results'!$B$6&lt;&gt;"Inputs accepted",$B$7=""),"",IF($B$7+4*PI()*0.0000001*'Inputs'!$B$43*A119*1000&lt;0,"",$B$7+4*PI()*0.0000001*'Inputs'!$B$43*A119*1000)))</x:f>
        <x:v>0.9662413206081609</x:v>
      </x:c>
      <x:c r="C119" s="19" t="n">
        <x:f>IF('Results'!$B$6&lt;&gt;"Inputs accepted","",IF(OR('Results'!$B$6&lt;&gt;"Inputs accepted",$C$7=""),"",IF($C$7+4*PI()*0.0000001*'Inputs'!$B$43*A119*1000&lt;0,"",$C$7+4*PI()*0.0000001*'Inputs'!$B$43*A119*1000)))</x:f>
        <x:v>0.944244374557503</x:v>
      </x:c>
      <x:c r="D119" s="19" t="n">
        <x:f>IF('Results'!$B$6&lt;&gt;"Inputs accepted","",IF(OR('Results'!$B$6&lt;&gt;"Inputs accepted",$B$13=""),"",IF($B$13+4*PI()*0.0000001*'Inputs'!$B$43*A119*1000&lt;0,"",$B$13+4*PI()*0.0000001*'Inputs'!$B$43*A119*1000)))</x:f>
        <x:v>0.06362189615463598</x:v>
      </x:c>
      <x:c r="E119" s="19" t="n">
        <x:f>IF('Results'!$B$6&lt;&gt;"Inputs accepted","",IF(OR('Results'!$B$6&lt;&gt;"Inputs accepted",$C$13=""),"",IF($C$13+4*PI()*0.0000001*'Inputs'!$B$43*A119*1000&lt;0,"",$C$13+4*PI()*0.0000001*'Inputs'!$B$43*A119*1000)))</x:f>
        <x:v>0.0772961580917289</x:v>
      </x:c>
      <x:c r="F119" s="19" t="n">
        <x:f>IF('Results'!$B$6&lt;&gt;"Inputs accepted","",IF('Results'!$B$6="Inputs accepted",-4*PI()*0.0000001*$B$5*A119*1000,""))</x:f>
        <x:v>0.063621896154636</x:v>
      </x:c>
      <x:c r="G119" s="19" t="n">
        <x:f>IF('Results'!$B$6&lt;&gt;"Inputs accepted","",IF('Results'!$B$6="Inputs accepted",-4*PI()*0.0000001*$C$5*A119*1000,""))</x:f>
        <x:v>0.063621896154636</x:v>
      </x:c>
      <x:c r="H119" s="19" t="n">
        <x:f>IF($B$12="","",$B$12)</x:f>
        <x:v>0.06362189615463598</x:v>
      </x:c>
      <x:c r="I119" s="19" t="str">
        <x:f>""</x:f>
      </x:c>
      <x:c r="J119" s="2"/>
      <x:c r="K119" s="2"/>
      <x:c r="L119" s="2"/>
    </x:row>
    <x:row r="120" ht="22" customHeight="1">
      <x:c r="A120" s="19" t="n">
        <x:f>IF($C$11="",0,$C$11)</x:f>
        <x:v>-108.27780029767531</x:v>
      </x:c>
      <x:c r="B120" s="19" t="n">
        <x:f>IF('Results'!$B$6&lt;&gt;"Inputs accepted","",IF(OR('Results'!$B$6&lt;&gt;"Inputs accepted",$B$7=""),"",IF($B$7+4*PI()*0.0000001*'Inputs'!$B$43*A120*1000&lt;0,"",$B$7+4*PI()*0.0000001*'Inputs'!$B$43*A120*1000)))</x:f>
        <x:v>0.95697811090884</x:v>
      </x:c>
      <x:c r="C120" s="19" t="n">
        <x:f>IF('Results'!$B$6&lt;&gt;"Inputs accepted","",IF(OR('Results'!$B$6&lt;&gt;"Inputs accepted",$C$7=""),"",IF($C$7+4*PI()*0.0000001*'Inputs'!$B$43*A120*1000&lt;0,"",$C$7+4*PI()*0.0000001*'Inputs'!$B$43*A120*1000)))</x:f>
        <x:v>0.9349811648581821</x:v>
      </x:c>
      <x:c r="D120" s="19" t="n">
        <x:f>IF('Results'!$B$6&lt;&gt;"Inputs accepted","",IF(OR('Results'!$B$6&lt;&gt;"Inputs accepted",$B$13=""),"",IF($B$13+4*PI()*0.0000001*'Inputs'!$B$43*A120*1000&lt;0,"",$B$13+4*PI()*0.0000001*'Inputs'!$B$43*A120*1000)))</x:f>
        <x:v>0.05435868645531497</x:v>
      </x:c>
      <x:c r="E120" s="19" t="n">
        <x:f>IF('Results'!$B$6&lt;&gt;"Inputs accepted","",IF(OR('Results'!$B$6&lt;&gt;"Inputs accepted",$C$13=""),"",IF($C$13+4*PI()*0.0000001*'Inputs'!$B$43*A120*1000&lt;0,"",$C$13+4*PI()*0.0000001*'Inputs'!$B$43*A120*1000)))</x:f>
        <x:v>0.0680329483924079</x:v>
      </x:c>
      <x:c r="F120" s="19" t="n">
        <x:f>IF('Results'!$B$6&lt;&gt;"Inputs accepted","",IF('Results'!$B$6="Inputs accepted",-4*PI()*0.0000001*$B$5*A120*1000,""))</x:f>
        <x:v>0.06803294839240791</x:v>
      </x:c>
      <x:c r="G120" s="19" t="n">
        <x:f>IF('Results'!$B$6&lt;&gt;"Inputs accepted","",IF('Results'!$B$6="Inputs accepted",-4*PI()*0.0000001*$C$5*A120*1000,""))</x:f>
        <x:v>0.06803294839240791</x:v>
      </x:c>
      <x:c r="H120" s="19" t="str">
        <x:f>""</x:f>
      </x:c>
      <x:c r="I120" s="19" t="n">
        <x:f>IF($C$12="","",$C$12)</x:f>
        <x:v>0.0680329483924079</x:v>
      </x:c>
      <x:c r="J120" s="2"/>
      <x:c r="K120" s="2"/>
      <x:c r="L120" s="2"/>
    </x:row>
    <x:row r="121" ht="22" customHeight="1">
      <x:c r="A121" s="2"/>
      <x:c r="B121" s="2"/>
      <x:c r="C121" s="2"/>
      <x:c r="D121" s="2"/>
      <x:c r="E121" s="2"/>
      <x:c r="F121" s="2"/>
      <x:c r="G121" s="2"/>
      <x:c r="H121" s="2"/>
      <x:c r="I121" s="2"/>
      <x:c r="J121" s="2"/>
      <x:c r="K121" s="2"/>
      <x:c r="L121" s="2"/>
    </x:row>
    <x:row r="122" ht="22" customHeight="1">
      <x:c r="A122" s="2"/>
      <x:c r="B122" s="2"/>
      <x:c r="C122" s="2"/>
      <x:c r="D122" s="2"/>
      <x:c r="E122" s="2"/>
      <x:c r="F122" s="2"/>
      <x:c r="G122" s="2"/>
      <x:c r="H122" s="2"/>
      <x:c r="I122" s="2"/>
      <x:c r="J122" s="2"/>
      <x:c r="K122" s="2"/>
      <x:c r="L122" s="2"/>
    </x:row>
    <x:row r="123" ht="22" customHeight="1">
      <x:c r="A123" s="2" t="str">
        <x:v>Switch-loss point uses the endpoint gap plus installed tolerance and the nominal operate threshold.</x:v>
      </x:c>
      <x:c r="B123" s="2"/>
      <x:c r="C123" s="2"/>
      <x:c r="D123" s="2"/>
      <x:c r="E123" s="2"/>
      <x:c r="F123" s="2"/>
      <x:c r="G123" s="2"/>
      <x:c r="H123" s="2"/>
      <x:c r="I123" s="2"/>
      <x:c r="J123" s="2"/>
      <x:c r="K123" s="2"/>
      <x:c r="L123" s="2"/>
    </x:row>
    <x:row r="124" ht="22" customHeight="1">
      <x:c r="A124" s="2"/>
      <x:c r="B124" s="2"/>
      <x:c r="C124" s="2"/>
      <x:c r="D124" s="2"/>
      <x:c r="E124" s="2"/>
      <x:c r="F124" s="2"/>
      <x:c r="G124" s="2"/>
      <x:c r="H124" s="2"/>
      <x:c r="I124" s="2"/>
      <x:c r="J124" s="2"/>
      <x:c r="K124" s="2"/>
      <x:c r="L124" s="2"/>
    </x:row>
    <x:row r="125" ht="22" customHeight="1">
      <x:c r="A125" s="2" t="str">
        <x:v>Loss changes the recoil intercept. The switch-loss point therefore lies on an aged curve, not on the initial curve.</x:v>
      </x:c>
      <x:c r="B125" s="2"/>
      <x:c r="C125" s="2"/>
      <x:c r="D125" s="2"/>
      <x:c r="E125" s="2"/>
      <x:c r="F125" s="2"/>
      <x:c r="G125" s="2"/>
      <x:c r="H125" s="2"/>
      <x:c r="I125" s="2"/>
      <x:c r="J125" s="2"/>
      <x:c r="K125" s="2"/>
      <x:c r="L125" s="2"/>
    </x:row>
    <x:row r="126" ht="22" customHeight="1">
      <x:c r="A126" s="2"/>
      <x:c r="B126" s="2"/>
      <x:c r="C126" s="2"/>
      <x:c r="D126" s="2"/>
      <x:c r="E126" s="2"/>
      <x:c r="F126" s="2"/>
      <x:c r="G126" s="2"/>
      <x:c r="H126" s="2"/>
      <x:c r="I126" s="2"/>
      <x:c r="J126" s="2"/>
      <x:c r="K126" s="2"/>
      <x:c r="L126" s="2"/>
    </x:row>
    <x:row r="127" ht="22" customHeight="1">
      <x:c r="A127" s="2" t="str">
        <x:v>Br* is inferred with an assumed effective Pc; it is not a measured lot Br. The source amplitude is based on isolated surface gauss.</x:v>
      </x:c>
      <x:c r="B127" s="2"/>
      <x:c r="C127" s="2"/>
      <x:c r="D127" s="2"/>
      <x:c r="E127" s="2"/>
      <x:c r="F127" s="2"/>
      <x:c r="G127" s="2"/>
      <x:c r="H127" s="2"/>
      <x:c r="I127" s="2"/>
      <x:c r="J127" s="2"/>
      <x:c r="K127" s="2"/>
      <x:c r="L127" s="2"/>
    </x:row>
    <x:row r="128" ht="22" customHeight="1">
      <x:c r="A128" s="2"/>
      <x:c r="B128" s="2"/>
      <x:c r="C128" s="2"/>
      <x:c r="D128" s="2"/>
      <x:c r="E128" s="2"/>
      <x:c r="F128" s="2"/>
      <x:c r="G128" s="2"/>
      <x:c r="H128" s="2"/>
      <x:c r="I128" s="2"/>
      <x:c r="J128" s="2"/>
      <x:c r="K128" s="2"/>
      <x:c r="L128" s="2"/>
    </x:row>
    <x:row r="129" ht="22" customHeight="1">
      <x:c r="A129" s="2" t="str">
        <x:v>A fixed Pc represents an effective loaded operating point only under the fixed source-ratio/common-retention assumption.</x:v>
      </x:c>
      <x:c r="B129" s="2"/>
      <x:c r="C129" s="2"/>
      <x:c r="D129" s="2"/>
      <x:c r="E129" s="2"/>
      <x:c r="F129" s="2"/>
      <x:c r="G129" s="2"/>
      <x:c r="H129" s="2"/>
      <x:c r="I129" s="2"/>
      <x:c r="J129" s="2"/>
      <x:c r="K129" s="2"/>
      <x:c r="L129" s="2"/>
    </x:row>
    <x:row r="130" ht="22" customHeight="1">
      <x:c r="A130" s="2"/>
      <x:c r="B130" s="2"/>
      <x:c r="C130" s="2"/>
      <x:c r="D130" s="2"/>
      <x:c r="E130" s="2"/>
      <x:c r="F130" s="2"/>
      <x:c r="G130" s="2"/>
      <x:c r="H130" s="2"/>
      <x:c r="I130" s="2"/>
      <x:c r="J130" s="2"/>
      <x:c r="K130" s="2"/>
      <x:c r="L130" s="2"/>
    </x:row>
    <x:row r="131" ht="22" customHeight="1">
      <x:c r="A131" s="2" t="str">
        <x:v>Negative-B portions are omitted. No thermal knee, Hcj estimate, or coercivity guarantee is provided.</x:v>
      </x:c>
      <x:c r="B131" s="2"/>
      <x:c r="C131" s="2"/>
      <x:c r="D131" s="2"/>
      <x:c r="E131" s="2"/>
      <x:c r="F131" s="2"/>
      <x:c r="G131" s="2"/>
      <x:c r="H131" s="2"/>
      <x:c r="I131" s="2"/>
      <x:c r="J131" s="2"/>
      <x:c r="K131" s="2"/>
      <x:c r="L131" s="2"/>
    </x:row>
    <x:row r="132" ht="22" customHeight="1">
      <x:c r="A132" s="2"/>
      <x:c r="B132" s="2"/>
      <x:c r="C132" s="2"/>
      <x:c r="D132" s="2"/>
      <x:c r="E132" s="2"/>
      <x:c r="F132" s="2"/>
      <x:c r="G132" s="2"/>
      <x:c r="H132" s="2"/>
      <x:c r="I132" s="2"/>
      <x:c r="J132" s="2"/>
      <x:c r="K132" s="2"/>
      <x:c r="L132" s="2"/>
    </x:row>
    <x:row r="133" ht="22" customHeight="1">
      <x:c r="A133" s="2"/>
      <x:c r="B133" s="2"/>
      <x:c r="C133" s="2"/>
      <x:c r="D133" s="2"/>
      <x:c r="E133" s="2"/>
      <x:c r="F133" s="2"/>
      <x:c r="G133" s="2"/>
      <x:c r="H133" s="2"/>
      <x:c r="I133" s="2"/>
      <x:c r="J133" s="2"/>
      <x:c r="K133" s="2"/>
      <x:c r="L133" s="2"/>
    </x:row>
    <x:row r="134" ht="22" customHeight="1">
      <x:c r="A134" s="2"/>
      <x:c r="B134" s="2"/>
      <x:c r="C134" s="2"/>
      <x:c r="D134" s="2"/>
      <x:c r="E134" s="2"/>
      <x:c r="F134" s="2"/>
      <x:c r="G134" s="2"/>
      <x:c r="H134" s="2"/>
      <x:c r="I134" s="2"/>
      <x:c r="J134" s="2"/>
      <x:c r="K134" s="2"/>
      <x:c r="L134" s="2"/>
    </x:row>
    <x:row r="135" ht="22" customHeight="1">
      <x:c r="A135" s="2"/>
      <x:c r="B135" s="2"/>
      <x:c r="C135" s="2"/>
      <x:c r="D135" s="2"/>
      <x:c r="E135" s="2"/>
      <x:c r="F135" s="2"/>
      <x:c r="G135" s="2"/>
      <x:c r="H135" s="2"/>
      <x:c r="I135" s="2"/>
      <x:c r="J135" s="2"/>
      <x:c r="K135" s="2"/>
      <x:c r="L135" s="2"/>
    </x:row>
  </x:sheetData>
  <x:pageMargins left="0.7" right="0.7" top="0.75" bottom="0.75" header="0.3" footer="0.3"/>
  <x:drawing xmlns:r="http://schemas.openxmlformats.org/officeDocument/2006/relationships" r:id="R10f5cc1d2d03462e"/>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s>
  <x:sheetData>
    <x:row r="1" ht="22" customHeight="1">
      <x:c r="A1" s="3" t="str">
        <x:v>Conditional aging model</x:v>
      </x:c>
      <x:c r="B1" s="2"/>
      <x:c r="C1" s="2"/>
      <x:c r="D1" s="2"/>
      <x:c r="E1" s="2"/>
      <x:c r="F1" s="2"/>
      <x:c r="G1" s="2"/>
      <x:c r="H1" s="2"/>
      <x:c r="I1" s="2"/>
      <x:c r="J1" s="2"/>
    </x:row>
    <x:row r="2" ht="22" customHeight="1">
      <x:c r="A2" s="4" t="str">
        <x:v>No calendar lifetime is established by grade, temperature and initial gauss alone.</x:v>
      </x:c>
      <x:c r="B2" s="2"/>
      <x:c r="C2" s="2"/>
      <x:c r="D2" s="2"/>
      <x:c r="E2" s="2"/>
      <x:c r="F2" s="2"/>
      <x:c r="G2" s="2"/>
      <x:c r="H2" s="2"/>
      <x:c r="I2" s="2"/>
      <x:c r="J2" s="2"/>
    </x:row>
    <x:row r="3" ht="22" customHeight="1">
      <x:c r="A3" s="2"/>
      <x:c r="B3" s="2"/>
      <x:c r="C3" s="2"/>
      <x:c r="D3" s="2"/>
      <x:c r="E3" s="2"/>
      <x:c r="F3" s="2"/>
      <x:c r="G3" s="2"/>
      <x:c r="H3" s="2"/>
      <x:c r="I3" s="2"/>
      <x:c r="J3" s="2"/>
    </x:row>
    <x:row r="4" ht="30" customHeight="1">
      <x:c r="A4" s="7" t="str">
        <x:v>Parameter</x:v>
      </x:c>
      <x:c r="B4" s="7" t="str">
        <x:v>Value</x:v>
      </x:c>
      <x:c r="C4" s="7" t="str">
        <x:v>Meaning</x:v>
      </x:c>
      <x:c r="D4" s="2"/>
      <x:c r="E4" s="2"/>
      <x:c r="F4" s="2"/>
      <x:c r="G4" s="2"/>
      <x:c r="H4" s="2"/>
      <x:c r="I4" s="2"/>
      <x:c r="J4" s="2"/>
    </x:row>
    <x:row r="5" ht="22" customHeight="1">
      <x:c r="A5" s="2" t="str">
        <x:v>Logarithmic coefficient a</x:v>
      </x:c>
      <x:c r="B5" s="22" t="str">
        <x:f>IF(NOT(AND(ISNUMBER('Inputs'!$B$36),ISNUMBER('Inputs'!$B$37),ISNUMBER('Inputs'!$B$38))),"",IF(OR('Inputs'!$B$36="",'Inputs'!$B$37="",'Inputs'!$B$38=""),"",IF(OR('Inputs'!$B$36&lt;=0,'Inputs'!$B$36&gt;1,'Inputs'!$B$37&lt;=0,'Inputs'!$B$38&lt;=0),"",(1-'Inputs'!$B$36)/LN(1+'Inputs'!$B$37/'Inputs'!$B$38))))</x:f>
      </x:c>
      <x:c r="C5" s="2" t="str">
        <x:v>Fractional loss per unit ln(1+t/t0).</x:v>
      </x:c>
      <x:c r="D5" s="2"/>
      <x:c r="E5" s="2"/>
      <x:c r="F5" s="2"/>
      <x:c r="G5" s="2"/>
      <x:c r="H5" s="2"/>
      <x:c r="I5" s="2"/>
      <x:c r="J5" s="2"/>
    </x:row>
    <x:row r="6" ht="22" customHeight="1">
      <x:c r="A6" s="2" t="str">
        <x:v>Input status</x:v>
      </x:c>
      <x:c r="B6" s="2" t="str">
        <x:f>IF(B5="","Enter qualified retention and duration",IF(B5=0,"Zero-loss scenario only","Conditional common-loss scenario"))</x:f>
        <x:v>Enter qualified retention and duration</x:v>
      </x:c>
      <x:c r="C6" s="2"/>
      <x:c r="D6" s="2"/>
      <x:c r="E6" s="2"/>
      <x:c r="F6" s="2"/>
      <x:c r="G6" s="2"/>
      <x:c r="H6" s="2"/>
      <x:c r="I6" s="2"/>
      <x:c r="J6" s="2"/>
    </x:row>
    <x:row r="7" ht="38" customHeight="1">
      <x:c r="A7" s="2" t="str">
        <x:v>Model equation</x:v>
      </x:c>
      <x:c r="B7" s="8" t="str">
        <x:v>q(t) = MAX(0, 1 - a LN(1+t/t0))</x:v>
      </x:c>
      <x:c r="C7" s="2"/>
      <x:c r="D7" s="2"/>
      <x:c r="E7" s="2"/>
      <x:c r="F7" s="2"/>
      <x:c r="G7" s="2"/>
      <x:c r="H7" s="2"/>
      <x:c r="I7" s="2"/>
      <x:c r="J7" s="2"/>
    </x:row>
    <x:row r="8" ht="22" customHeight="1">
      <x:c r="A8" s="2" t="str">
        <x:v>Temperature</x:v>
      </x:c>
      <x:c r="B8" s="2" t="n">
        <x:f>'Inputs'!$B$22</x:f>
        <x:v>60</x:v>
      </x:c>
      <x:c r="C8" s="2" t="str">
        <x:v>Aging evidence must match this operating temperature and assembled magnetic load.</x:v>
      </x:c>
      <x:c r="D8" s="2"/>
      <x:c r="E8" s="2"/>
      <x:c r="F8" s="2"/>
      <x:c r="G8" s="2"/>
      <x:c r="H8" s="2"/>
      <x:c r="I8" s="2"/>
      <x:c r="J8" s="2"/>
    </x:row>
    <x:row r="9" ht="22" customHeight="1">
      <x:c r="A9" s="2" t="str">
        <x:v>Test evidence</x:v>
      </x:c>
      <x:c r="B9" s="2" t="str">
        <x:f>IF('Inputs'!$B$40="","No evidence identifier entered",'Inputs'!$B$40)</x:f>
        <x:v>No evidence identifier entered</x:v>
      </x:c>
      <x:c r="C9" s="2"/>
      <x:c r="D9" s="2"/>
      <x:c r="E9" s="2"/>
      <x:c r="F9" s="2"/>
      <x:c r="G9" s="2"/>
      <x:c r="H9" s="2"/>
      <x:c r="I9" s="2"/>
      <x:c r="J9" s="2"/>
    </x:row>
    <x:row r="10" ht="22" customHeight="1">
      <x:c r="A10" s="2"/>
      <x:c r="B10" s="2"/>
      <x:c r="C10" s="2"/>
      <x:c r="D10" s="2"/>
      <x:c r="E10" s="2"/>
      <x:c r="F10" s="2"/>
      <x:c r="G10" s="2"/>
      <x:c r="H10" s="2"/>
      <x:c r="I10" s="2"/>
      <x:c r="J10" s="2"/>
    </x:row>
    <x:row r="11" ht="38" customHeight="1">
      <x:c r="A11" s="2" t="str">
        <x:v>Qualification limit</x:v>
      </x:c>
      <x:c r="B11" s="8" t="str">
        <x:v>A single retained-field measurement fits a scenario but does not validate the logarithmic law.</x:v>
      </x:c>
      <x:c r="C11" s="2"/>
      <x:c r="D11" s="2"/>
      <x:c r="E11" s="2"/>
      <x:c r="F11" s="2"/>
      <x:c r="G11" s="2"/>
      <x:c r="H11" s="2"/>
      <x:c r="I11" s="2"/>
      <x:c r="J11" s="2"/>
    </x:row>
    <x:row r="12" ht="38" customHeight="1">
      <x:c r="A12" s="2" t="str">
        <x:v>Unequal magnet losses</x:v>
      </x:c>
      <x:c r="B12" s="8" t="str">
        <x:v>Excluded. The remote magnet subtracts, so a single common retention factor cannot represent independently aging magnets.</x:v>
      </x:c>
      <x:c r="C12" s="2"/>
      <x:c r="D12" s="2"/>
      <x:c r="E12" s="2"/>
      <x:c r="F12" s="2"/>
      <x:c r="G12" s="2"/>
      <x:c r="H12" s="2"/>
      <x:c r="I12" s="2"/>
      <x:c r="J12" s="2"/>
    </x:row>
    <x:row r="13" ht="38" customHeight="1">
      <x:c r="A13" s="2" t="str">
        <x:v>Irreversible thermal loss</x:v>
      </x:c>
      <x:c r="B13" s="8" t="str">
        <x:v>Not time aging. Check supplier curves at temperature and the assembly load line before using this model.</x:v>
      </x:c>
      <x:c r="C13" s="2"/>
      <x:c r="D13" s="2"/>
      <x:c r="E13" s="2"/>
      <x:c r="F13" s="2"/>
      <x:c r="G13" s="2"/>
      <x:c r="H13" s="2"/>
      <x:c r="I13" s="2"/>
      <x:c r="J13" s="2"/>
    </x:row>
    <x:row r="14" ht="38" customHeight="1">
      <x:c r="A14" s="2" t="str">
        <x:v>Zero observed loss</x:v>
      </x:c>
      <x:c r="B14" s="8" t="str">
        <x:v>Reports no finite time in the zero-loss model; this is not evidence of infinite service life.</x:v>
      </x:c>
      <x:c r="C14" s="2"/>
      <x:c r="D14" s="2"/>
      <x:c r="E14" s="2"/>
      <x:c r="F14" s="2"/>
      <x:c r="G14" s="2"/>
      <x:c r="H14" s="2"/>
      <x:c r="I14" s="2"/>
      <x:c r="J14" s="2"/>
    </x:row>
    <x:row r="15" ht="22" customHeight="1">
      <x:c r="A15" s="2"/>
      <x:c r="B15" s="2"/>
      <x:c r="C15" s="2"/>
      <x:c r="D15" s="2"/>
      <x:c r="E15" s="2"/>
      <x:c r="F15" s="2"/>
      <x:c r="G15" s="2"/>
      <x:c r="H15" s="2"/>
      <x:c r="I15" s="2"/>
      <x:c r="J15" s="2"/>
    </x:row>
    <x:row r="16" ht="22" customHeight="1">
      <x:c r="A16" s="2"/>
      <x:c r="B16" s="2"/>
      <x:c r="C16" s="2"/>
      <x:c r="D16" s="2"/>
      <x:c r="E16" s="2"/>
      <x:c r="F16" s="2"/>
      <x:c r="G16" s="2"/>
      <x:c r="H16" s="2" t="str">
        <x:v>The chart populates after aging inputs are entered. Blank chart = no qualified aging data.</x:v>
      </x:c>
      <x:c r="I16" s="2"/>
      <x:c r="J16" s="2"/>
    </x:row>
    <x:row r="17" ht="30" customHeight="1">
      <x:c r="A17" s="7" t="str">
        <x:v>Elapsed time (h)</x:v>
      </x:c>
      <x:c r="B17" s="7" t="str">
        <x:v>Retention q</x:v>
      </x:c>
      <x:c r="C17" s="7" t="str">
        <x:v>Max endpoint field (G)</x:v>
      </x:c>
      <x:c r="D17" s="7" t="str">
        <x:v>Min endpoint field (G)</x:v>
      </x:c>
      <x:c r="E17" s="7" t="str">
        <x:v>Max operate bound (G)</x:v>
      </x:c>
      <x:c r="F17" s="7" t="str">
        <x:v>Min operate bound (G)</x:v>
      </x:c>
      <x:c r="G17" s="2"/>
      <x:c r="H17" s="2"/>
      <x:c r="I17" s="2"/>
      <x:c r="J17" s="2"/>
    </x:row>
    <x:row r="18" ht="22" customHeight="1">
      <x:c r="A18" s="24" t="str">
        <x:f>IF($B$5="","",(18-18)*IF(ISNUMBER('Results'!B38),MAX('Inputs'!$B$37,'Results'!B38*1.2),'Inputs'!$B$37)/200)</x:f>
      </x:c>
      <x:c r="B18" s="20" t="str">
        <x:f>IF(A18="","",MAX(0,1-$B$5*LN(1+A18/'Inputs'!$B$38)))</x:f>
      </x:c>
      <x:c r="C18" s="2" t="str">
        <x:f>IF(B18="","",B18*'Results'!B30)</x:f>
      </x:c>
      <x:c r="D18" s="2" t="str">
        <x:f>IF(B18="","",B18*'Results'!C30)</x:f>
      </x:c>
      <x:c r="E18" s="2" t="str">
        <x:f>IF(B18="","",'Results'!B12)</x:f>
      </x:c>
      <x:c r="F18" s="2" t="str">
        <x:f>IF(B18="","",'Results'!C12)</x:f>
      </x:c>
      <x:c r="G18" s="2"/>
      <x:c r="H18" s="2"/>
      <x:c r="I18" s="2"/>
      <x:c r="J18" s="2"/>
    </x:row>
    <x:row r="19" ht="22" customHeight="1">
      <x:c r="A19" s="24" t="str">
        <x:f>IF($B$5="","",(19-18)*IF(ISNUMBER('Results'!B38),MAX('Inputs'!$B$37,'Results'!B38*1.2),'Inputs'!$B$37)/200)</x:f>
      </x:c>
      <x:c r="B19" s="20" t="str">
        <x:f>IF(A19="","",MAX(0,1-$B$5*LN(1+A19/'Inputs'!$B$38)))</x:f>
      </x:c>
      <x:c r="C19" s="2" t="str">
        <x:f>IF(B19="","",B19*'Results'!B30)</x:f>
      </x:c>
      <x:c r="D19" s="2" t="str">
        <x:f>IF(B19="","",B19*'Results'!C30)</x:f>
      </x:c>
      <x:c r="E19" s="2" t="str">
        <x:f>IF(B19="","",'Results'!B12)</x:f>
      </x:c>
      <x:c r="F19" s="2" t="str">
        <x:f>IF(B19="","",'Results'!C12)</x:f>
      </x:c>
      <x:c r="G19" s="2"/>
      <x:c r="H19" s="2"/>
      <x:c r="I19" s="2"/>
      <x:c r="J19" s="2"/>
    </x:row>
    <x:row r="20" ht="22" customHeight="1">
      <x:c r="A20" s="24" t="str">
        <x:f>IF($B$5="","",(20-18)*IF(ISNUMBER('Results'!B38),MAX('Inputs'!$B$37,'Results'!B38*1.2),'Inputs'!$B$37)/200)</x:f>
      </x:c>
      <x:c r="B20" s="20" t="str">
        <x:f>IF(A20="","",MAX(0,1-$B$5*LN(1+A20/'Inputs'!$B$38)))</x:f>
      </x:c>
      <x:c r="C20" s="2" t="str">
        <x:f>IF(B20="","",B20*'Results'!B30)</x:f>
      </x:c>
      <x:c r="D20" s="2" t="str">
        <x:f>IF(B20="","",B20*'Results'!C30)</x:f>
      </x:c>
      <x:c r="E20" s="2" t="str">
        <x:f>IF(B20="","",'Results'!B12)</x:f>
      </x:c>
      <x:c r="F20" s="2" t="str">
        <x:f>IF(B20="","",'Results'!C12)</x:f>
      </x:c>
      <x:c r="G20" s="2"/>
      <x:c r="H20" s="2"/>
      <x:c r="I20" s="2"/>
      <x:c r="J20" s="2"/>
    </x:row>
    <x:row r="21" ht="22" customHeight="1">
      <x:c r="A21" s="24" t="str">
        <x:f>IF($B$5="","",(21-18)*IF(ISNUMBER('Results'!B38),MAX('Inputs'!$B$37,'Results'!B38*1.2),'Inputs'!$B$37)/200)</x:f>
      </x:c>
      <x:c r="B21" s="20" t="str">
        <x:f>IF(A21="","",MAX(0,1-$B$5*LN(1+A21/'Inputs'!$B$38)))</x:f>
      </x:c>
      <x:c r="C21" s="2" t="str">
        <x:f>IF(B21="","",B21*'Results'!B30)</x:f>
      </x:c>
      <x:c r="D21" s="2" t="str">
        <x:f>IF(B21="","",B21*'Results'!C30)</x:f>
      </x:c>
      <x:c r="E21" s="2" t="str">
        <x:f>IF(B21="","",'Results'!B12)</x:f>
      </x:c>
      <x:c r="F21" s="2" t="str">
        <x:f>IF(B21="","",'Results'!C12)</x:f>
      </x:c>
      <x:c r="G21" s="2"/>
      <x:c r="H21" s="2"/>
      <x:c r="I21" s="2"/>
      <x:c r="J21" s="2"/>
    </x:row>
    <x:row r="22" ht="22" customHeight="1">
      <x:c r="A22" s="24" t="str">
        <x:f>IF($B$5="","",(22-18)*IF(ISNUMBER('Results'!B38),MAX('Inputs'!$B$37,'Results'!B38*1.2),'Inputs'!$B$37)/200)</x:f>
      </x:c>
      <x:c r="B22" s="20" t="str">
        <x:f>IF(A22="","",MAX(0,1-$B$5*LN(1+A22/'Inputs'!$B$38)))</x:f>
      </x:c>
      <x:c r="C22" s="2" t="str">
        <x:f>IF(B22="","",B22*'Results'!B30)</x:f>
      </x:c>
      <x:c r="D22" s="2" t="str">
        <x:f>IF(B22="","",B22*'Results'!C30)</x:f>
      </x:c>
      <x:c r="E22" s="2" t="str">
        <x:f>IF(B22="","",'Results'!B12)</x:f>
      </x:c>
      <x:c r="F22" s="2" t="str">
        <x:f>IF(B22="","",'Results'!C12)</x:f>
      </x:c>
      <x:c r="G22" s="2"/>
      <x:c r="H22" s="2"/>
      <x:c r="I22" s="2"/>
      <x:c r="J22" s="2"/>
    </x:row>
    <x:row r="23" ht="22" customHeight="1">
      <x:c r="A23" s="24" t="str">
        <x:f>IF($B$5="","",(23-18)*IF(ISNUMBER('Results'!B38),MAX('Inputs'!$B$37,'Results'!B38*1.2),'Inputs'!$B$37)/200)</x:f>
      </x:c>
      <x:c r="B23" s="20" t="str">
        <x:f>IF(A23="","",MAX(0,1-$B$5*LN(1+A23/'Inputs'!$B$38)))</x:f>
      </x:c>
      <x:c r="C23" s="2" t="str">
        <x:f>IF(B23="","",B23*'Results'!B30)</x:f>
      </x:c>
      <x:c r="D23" s="2" t="str">
        <x:f>IF(B23="","",B23*'Results'!C30)</x:f>
      </x:c>
      <x:c r="E23" s="2" t="str">
        <x:f>IF(B23="","",'Results'!B12)</x:f>
      </x:c>
      <x:c r="F23" s="2" t="str">
        <x:f>IF(B23="","",'Results'!C12)</x:f>
      </x:c>
      <x:c r="G23" s="2"/>
      <x:c r="H23" s="2"/>
      <x:c r="I23" s="2"/>
      <x:c r="J23" s="2"/>
    </x:row>
    <x:row r="24" ht="22" customHeight="1">
      <x:c r="A24" s="24" t="str">
        <x:f>IF($B$5="","",(24-18)*IF(ISNUMBER('Results'!B38),MAX('Inputs'!$B$37,'Results'!B38*1.2),'Inputs'!$B$37)/200)</x:f>
      </x:c>
      <x:c r="B24" s="20" t="str">
        <x:f>IF(A24="","",MAX(0,1-$B$5*LN(1+A24/'Inputs'!$B$38)))</x:f>
      </x:c>
      <x:c r="C24" s="2" t="str">
        <x:f>IF(B24="","",B24*'Results'!B30)</x:f>
      </x:c>
      <x:c r="D24" s="2" t="str">
        <x:f>IF(B24="","",B24*'Results'!C30)</x:f>
      </x:c>
      <x:c r="E24" s="2" t="str">
        <x:f>IF(B24="","",'Results'!B12)</x:f>
      </x:c>
      <x:c r="F24" s="2" t="str">
        <x:f>IF(B24="","",'Results'!C12)</x:f>
      </x:c>
      <x:c r="G24" s="2"/>
      <x:c r="H24" s="2"/>
      <x:c r="I24" s="2"/>
      <x:c r="J24" s="2"/>
    </x:row>
    <x:row r="25" ht="22" customHeight="1">
      <x:c r="A25" s="24" t="str">
        <x:f>IF($B$5="","",(25-18)*IF(ISNUMBER('Results'!B38),MAX('Inputs'!$B$37,'Results'!B38*1.2),'Inputs'!$B$37)/200)</x:f>
      </x:c>
      <x:c r="B25" s="20" t="str">
        <x:f>IF(A25="","",MAX(0,1-$B$5*LN(1+A25/'Inputs'!$B$38)))</x:f>
      </x:c>
      <x:c r="C25" s="2" t="str">
        <x:f>IF(B25="","",B25*'Results'!B30)</x:f>
      </x:c>
      <x:c r="D25" s="2" t="str">
        <x:f>IF(B25="","",B25*'Results'!C30)</x:f>
      </x:c>
      <x:c r="E25" s="2" t="str">
        <x:f>IF(B25="","",'Results'!B12)</x:f>
      </x:c>
      <x:c r="F25" s="2" t="str">
        <x:f>IF(B25="","",'Results'!C12)</x:f>
      </x:c>
      <x:c r="G25" s="2"/>
      <x:c r="H25" s="2"/>
      <x:c r="I25" s="2"/>
      <x:c r="J25" s="2"/>
    </x:row>
    <x:row r="26" ht="22" customHeight="1">
      <x:c r="A26" s="24" t="str">
        <x:f>IF($B$5="","",(26-18)*IF(ISNUMBER('Results'!B38),MAX('Inputs'!$B$37,'Results'!B38*1.2),'Inputs'!$B$37)/200)</x:f>
      </x:c>
      <x:c r="B26" s="20" t="str">
        <x:f>IF(A26="","",MAX(0,1-$B$5*LN(1+A26/'Inputs'!$B$38)))</x:f>
      </x:c>
      <x:c r="C26" s="2" t="str">
        <x:f>IF(B26="","",B26*'Results'!B30)</x:f>
      </x:c>
      <x:c r="D26" s="2" t="str">
        <x:f>IF(B26="","",B26*'Results'!C30)</x:f>
      </x:c>
      <x:c r="E26" s="2" t="str">
        <x:f>IF(B26="","",'Results'!B12)</x:f>
      </x:c>
      <x:c r="F26" s="2" t="str">
        <x:f>IF(B26="","",'Results'!C12)</x:f>
      </x:c>
      <x:c r="G26" s="2"/>
      <x:c r="H26" s="2"/>
      <x:c r="I26" s="2"/>
      <x:c r="J26" s="2"/>
    </x:row>
    <x:row r="27" ht="22" customHeight="1">
      <x:c r="A27" s="24" t="str">
        <x:f>IF($B$5="","",(27-18)*IF(ISNUMBER('Results'!B38),MAX('Inputs'!$B$37,'Results'!B38*1.2),'Inputs'!$B$37)/200)</x:f>
      </x:c>
      <x:c r="B27" s="20" t="str">
        <x:f>IF(A27="","",MAX(0,1-$B$5*LN(1+A27/'Inputs'!$B$38)))</x:f>
      </x:c>
      <x:c r="C27" s="2" t="str">
        <x:f>IF(B27="","",B27*'Results'!B30)</x:f>
      </x:c>
      <x:c r="D27" s="2" t="str">
        <x:f>IF(B27="","",B27*'Results'!C30)</x:f>
      </x:c>
      <x:c r="E27" s="2" t="str">
        <x:f>IF(B27="","",'Results'!B12)</x:f>
      </x:c>
      <x:c r="F27" s="2" t="str">
        <x:f>IF(B27="","",'Results'!C12)</x:f>
      </x:c>
      <x:c r="G27" s="2"/>
      <x:c r="H27" s="2"/>
      <x:c r="I27" s="2"/>
      <x:c r="J27" s="2"/>
    </x:row>
    <x:row r="28" ht="22" customHeight="1">
      <x:c r="A28" s="24" t="str">
        <x:f>IF($B$5="","",(28-18)*IF(ISNUMBER('Results'!B38),MAX('Inputs'!$B$37,'Results'!B38*1.2),'Inputs'!$B$37)/200)</x:f>
      </x:c>
      <x:c r="B28" s="20" t="str">
        <x:f>IF(A28="","",MAX(0,1-$B$5*LN(1+A28/'Inputs'!$B$38)))</x:f>
      </x:c>
      <x:c r="C28" s="2" t="str">
        <x:f>IF(B28="","",B28*'Results'!B30)</x:f>
      </x:c>
      <x:c r="D28" s="2" t="str">
        <x:f>IF(B28="","",B28*'Results'!C30)</x:f>
      </x:c>
      <x:c r="E28" s="2" t="str">
        <x:f>IF(B28="","",'Results'!B12)</x:f>
      </x:c>
      <x:c r="F28" s="2" t="str">
        <x:f>IF(B28="","",'Results'!C12)</x:f>
      </x:c>
      <x:c r="G28" s="2"/>
      <x:c r="H28" s="2"/>
      <x:c r="I28" s="2"/>
      <x:c r="J28" s="2"/>
    </x:row>
    <x:row r="29" ht="22" customHeight="1">
      <x:c r="A29" s="24" t="str">
        <x:f>IF($B$5="","",(29-18)*IF(ISNUMBER('Results'!B38),MAX('Inputs'!$B$37,'Results'!B38*1.2),'Inputs'!$B$37)/200)</x:f>
      </x:c>
      <x:c r="B29" s="20" t="str">
        <x:f>IF(A29="","",MAX(0,1-$B$5*LN(1+A29/'Inputs'!$B$38)))</x:f>
      </x:c>
      <x:c r="C29" s="2" t="str">
        <x:f>IF(B29="","",B29*'Results'!B30)</x:f>
      </x:c>
      <x:c r="D29" s="2" t="str">
        <x:f>IF(B29="","",B29*'Results'!C30)</x:f>
      </x:c>
      <x:c r="E29" s="2" t="str">
        <x:f>IF(B29="","",'Results'!B12)</x:f>
      </x:c>
      <x:c r="F29" s="2" t="str">
        <x:f>IF(B29="","",'Results'!C12)</x:f>
      </x:c>
      <x:c r="G29" s="2"/>
      <x:c r="H29" s="2"/>
      <x:c r="I29" s="2"/>
      <x:c r="J29" s="2"/>
    </x:row>
    <x:row r="30" ht="22" customHeight="1">
      <x:c r="A30" s="24" t="str">
        <x:f>IF($B$5="","",(30-18)*IF(ISNUMBER('Results'!B38),MAX('Inputs'!$B$37,'Results'!B38*1.2),'Inputs'!$B$37)/200)</x:f>
      </x:c>
      <x:c r="B30" s="20" t="str">
        <x:f>IF(A30="","",MAX(0,1-$B$5*LN(1+A30/'Inputs'!$B$38)))</x:f>
      </x:c>
      <x:c r="C30" s="2" t="str">
        <x:f>IF(B30="","",B30*'Results'!B30)</x:f>
      </x:c>
      <x:c r="D30" s="2" t="str">
        <x:f>IF(B30="","",B30*'Results'!C30)</x:f>
      </x:c>
      <x:c r="E30" s="2" t="str">
        <x:f>IF(B30="","",'Results'!B12)</x:f>
      </x:c>
      <x:c r="F30" s="2" t="str">
        <x:f>IF(B30="","",'Results'!C12)</x:f>
      </x:c>
      <x:c r="G30" s="2"/>
      <x:c r="H30" s="2"/>
      <x:c r="I30" s="2"/>
      <x:c r="J30" s="2"/>
    </x:row>
    <x:row r="31" ht="22" customHeight="1">
      <x:c r="A31" s="24" t="str">
        <x:f>IF($B$5="","",(31-18)*IF(ISNUMBER('Results'!B38),MAX('Inputs'!$B$37,'Results'!B38*1.2),'Inputs'!$B$37)/200)</x:f>
      </x:c>
      <x:c r="B31" s="20" t="str">
        <x:f>IF(A31="","",MAX(0,1-$B$5*LN(1+A31/'Inputs'!$B$38)))</x:f>
      </x:c>
      <x:c r="C31" s="2" t="str">
        <x:f>IF(B31="","",B31*'Results'!B30)</x:f>
      </x:c>
      <x:c r="D31" s="2" t="str">
        <x:f>IF(B31="","",B31*'Results'!C30)</x:f>
      </x:c>
      <x:c r="E31" s="2" t="str">
        <x:f>IF(B31="","",'Results'!B12)</x:f>
      </x:c>
      <x:c r="F31" s="2" t="str">
        <x:f>IF(B31="","",'Results'!C12)</x:f>
      </x:c>
      <x:c r="G31" s="2"/>
      <x:c r="H31" s="2"/>
      <x:c r="I31" s="2"/>
      <x:c r="J31" s="2"/>
    </x:row>
    <x:row r="32" ht="22" customHeight="1">
      <x:c r="A32" s="24" t="str">
        <x:f>IF($B$5="","",(32-18)*IF(ISNUMBER('Results'!B38),MAX('Inputs'!$B$37,'Results'!B38*1.2),'Inputs'!$B$37)/200)</x:f>
      </x:c>
      <x:c r="B32" s="20" t="str">
        <x:f>IF(A32="","",MAX(0,1-$B$5*LN(1+A32/'Inputs'!$B$38)))</x:f>
      </x:c>
      <x:c r="C32" s="2" t="str">
        <x:f>IF(B32="","",B32*'Results'!B30)</x:f>
      </x:c>
      <x:c r="D32" s="2" t="str">
        <x:f>IF(B32="","",B32*'Results'!C30)</x:f>
      </x:c>
      <x:c r="E32" s="2" t="str">
        <x:f>IF(B32="","",'Results'!B12)</x:f>
      </x:c>
      <x:c r="F32" s="2" t="str">
        <x:f>IF(B32="","",'Results'!C12)</x:f>
      </x:c>
      <x:c r="G32" s="2"/>
      <x:c r="H32" s="2"/>
      <x:c r="I32" s="2"/>
      <x:c r="J32" s="2"/>
    </x:row>
    <x:row r="33" ht="22" customHeight="1">
      <x:c r="A33" s="24" t="str">
        <x:f>IF($B$5="","",(33-18)*IF(ISNUMBER('Results'!B38),MAX('Inputs'!$B$37,'Results'!B38*1.2),'Inputs'!$B$37)/200)</x:f>
      </x:c>
      <x:c r="B33" s="20" t="str">
        <x:f>IF(A33="","",MAX(0,1-$B$5*LN(1+A33/'Inputs'!$B$38)))</x:f>
      </x:c>
      <x:c r="C33" s="2" t="str">
        <x:f>IF(B33="","",B33*'Results'!B30)</x:f>
      </x:c>
      <x:c r="D33" s="2" t="str">
        <x:f>IF(B33="","",B33*'Results'!C30)</x:f>
      </x:c>
      <x:c r="E33" s="2" t="str">
        <x:f>IF(B33="","",'Results'!B12)</x:f>
      </x:c>
      <x:c r="F33" s="2" t="str">
        <x:f>IF(B33="","",'Results'!C12)</x:f>
      </x:c>
      <x:c r="G33" s="2"/>
      <x:c r="H33" s="2"/>
      <x:c r="I33" s="2"/>
      <x:c r="J33" s="2"/>
    </x:row>
    <x:row r="34" ht="22" customHeight="1">
      <x:c r="A34" s="24" t="str">
        <x:f>IF($B$5="","",(34-18)*IF(ISNUMBER('Results'!B38),MAX('Inputs'!$B$37,'Results'!B38*1.2),'Inputs'!$B$37)/200)</x:f>
      </x:c>
      <x:c r="B34" s="20" t="str">
        <x:f>IF(A34="","",MAX(0,1-$B$5*LN(1+A34/'Inputs'!$B$38)))</x:f>
      </x:c>
      <x:c r="C34" s="2" t="str">
        <x:f>IF(B34="","",B34*'Results'!B30)</x:f>
      </x:c>
      <x:c r="D34" s="2" t="str">
        <x:f>IF(B34="","",B34*'Results'!C30)</x:f>
      </x:c>
      <x:c r="E34" s="2" t="str">
        <x:f>IF(B34="","",'Results'!B12)</x:f>
      </x:c>
      <x:c r="F34" s="2" t="str">
        <x:f>IF(B34="","",'Results'!C12)</x:f>
      </x:c>
      <x:c r="G34" s="2"/>
      <x:c r="H34" s="2"/>
      <x:c r="I34" s="2"/>
      <x:c r="J34" s="2"/>
    </x:row>
    <x:row r="35" ht="22" customHeight="1">
      <x:c r="A35" s="24" t="str">
        <x:f>IF($B$5="","",(35-18)*IF(ISNUMBER('Results'!B38),MAX('Inputs'!$B$37,'Results'!B38*1.2),'Inputs'!$B$37)/200)</x:f>
      </x:c>
      <x:c r="B35" s="20" t="str">
        <x:f>IF(A35="","",MAX(0,1-$B$5*LN(1+A35/'Inputs'!$B$38)))</x:f>
      </x:c>
      <x:c r="C35" s="2" t="str">
        <x:f>IF(B35="","",B35*'Results'!B30)</x:f>
      </x:c>
      <x:c r="D35" s="2" t="str">
        <x:f>IF(B35="","",B35*'Results'!C30)</x:f>
      </x:c>
      <x:c r="E35" s="2" t="str">
        <x:f>IF(B35="","",'Results'!B12)</x:f>
      </x:c>
      <x:c r="F35" s="2" t="str">
        <x:f>IF(B35="","",'Results'!C12)</x:f>
      </x:c>
      <x:c r="G35" s="2"/>
      <x:c r="H35" s="2"/>
      <x:c r="I35" s="2"/>
      <x:c r="J35" s="2"/>
    </x:row>
    <x:row r="36" ht="22" customHeight="1">
      <x:c r="A36" s="24" t="str">
        <x:f>IF($B$5="","",(36-18)*IF(ISNUMBER('Results'!B38),MAX('Inputs'!$B$37,'Results'!B38*1.2),'Inputs'!$B$37)/200)</x:f>
      </x:c>
      <x:c r="B36" s="20" t="str">
        <x:f>IF(A36="","",MAX(0,1-$B$5*LN(1+A36/'Inputs'!$B$38)))</x:f>
      </x:c>
      <x:c r="C36" s="2" t="str">
        <x:f>IF(B36="","",B36*'Results'!B30)</x:f>
      </x:c>
      <x:c r="D36" s="2" t="str">
        <x:f>IF(B36="","",B36*'Results'!C30)</x:f>
      </x:c>
      <x:c r="E36" s="2" t="str">
        <x:f>IF(B36="","",'Results'!B12)</x:f>
      </x:c>
      <x:c r="F36" s="2" t="str">
        <x:f>IF(B36="","",'Results'!C12)</x:f>
      </x:c>
      <x:c r="G36" s="2"/>
      <x:c r="H36" s="2"/>
      <x:c r="I36" s="2"/>
      <x:c r="J36" s="2"/>
    </x:row>
    <x:row r="37" ht="22" customHeight="1">
      <x:c r="A37" s="24" t="str">
        <x:f>IF($B$5="","",(37-18)*IF(ISNUMBER('Results'!B38),MAX('Inputs'!$B$37,'Results'!B38*1.2),'Inputs'!$B$37)/200)</x:f>
      </x:c>
      <x:c r="B37" s="20" t="str">
        <x:f>IF(A37="","",MAX(0,1-$B$5*LN(1+A37/'Inputs'!$B$38)))</x:f>
      </x:c>
      <x:c r="C37" s="2" t="str">
        <x:f>IF(B37="","",B37*'Results'!B30)</x:f>
      </x:c>
      <x:c r="D37" s="2" t="str">
        <x:f>IF(B37="","",B37*'Results'!C30)</x:f>
      </x:c>
      <x:c r="E37" s="2" t="str">
        <x:f>IF(B37="","",'Results'!B12)</x:f>
      </x:c>
      <x:c r="F37" s="2" t="str">
        <x:f>IF(B37="","",'Results'!C12)</x:f>
      </x:c>
      <x:c r="G37" s="2"/>
      <x:c r="H37" s="2"/>
      <x:c r="I37" s="2"/>
      <x:c r="J37" s="2"/>
    </x:row>
    <x:row r="38" ht="22" customHeight="1">
      <x:c r="A38" s="24" t="str">
        <x:f>IF($B$5="","",(38-18)*IF(ISNUMBER('Results'!B38),MAX('Inputs'!$B$37,'Results'!B38*1.2),'Inputs'!$B$37)/200)</x:f>
      </x:c>
      <x:c r="B38" s="20" t="str">
        <x:f>IF(A38="","",MAX(0,1-$B$5*LN(1+A38/'Inputs'!$B$38)))</x:f>
      </x:c>
      <x:c r="C38" s="2" t="str">
        <x:f>IF(B38="","",B38*'Results'!B30)</x:f>
      </x:c>
      <x:c r="D38" s="2" t="str">
        <x:f>IF(B38="","",B38*'Results'!C30)</x:f>
      </x:c>
      <x:c r="E38" s="2" t="str">
        <x:f>IF(B38="","",'Results'!B12)</x:f>
      </x:c>
      <x:c r="F38" s="2" t="str">
        <x:f>IF(B38="","",'Results'!C12)</x:f>
      </x:c>
      <x:c r="G38" s="2"/>
      <x:c r="H38" s="2"/>
      <x:c r="I38" s="2"/>
      <x:c r="J38" s="2"/>
    </x:row>
    <x:row r="39" ht="22" customHeight="1">
      <x:c r="A39" s="24" t="str">
        <x:f>IF($B$5="","",(39-18)*IF(ISNUMBER('Results'!B38),MAX('Inputs'!$B$37,'Results'!B38*1.2),'Inputs'!$B$37)/200)</x:f>
      </x:c>
      <x:c r="B39" s="20" t="str">
        <x:f>IF(A39="","",MAX(0,1-$B$5*LN(1+A39/'Inputs'!$B$38)))</x:f>
      </x:c>
      <x:c r="C39" s="2" t="str">
        <x:f>IF(B39="","",B39*'Results'!B30)</x:f>
      </x:c>
      <x:c r="D39" s="2" t="str">
        <x:f>IF(B39="","",B39*'Results'!C30)</x:f>
      </x:c>
      <x:c r="E39" s="2" t="str">
        <x:f>IF(B39="","",'Results'!B12)</x:f>
      </x:c>
      <x:c r="F39" s="2" t="str">
        <x:f>IF(B39="","",'Results'!C12)</x:f>
      </x:c>
      <x:c r="G39" s="2"/>
      <x:c r="H39" s="2"/>
      <x:c r="I39" s="2"/>
      <x:c r="J39" s="2"/>
    </x:row>
    <x:row r="40" ht="22" customHeight="1">
      <x:c r="A40" s="24" t="str">
        <x:f>IF($B$5="","",(40-18)*IF(ISNUMBER('Results'!B38),MAX('Inputs'!$B$37,'Results'!B38*1.2),'Inputs'!$B$37)/200)</x:f>
      </x:c>
      <x:c r="B40" s="20" t="str">
        <x:f>IF(A40="","",MAX(0,1-$B$5*LN(1+A40/'Inputs'!$B$38)))</x:f>
      </x:c>
      <x:c r="C40" s="2" t="str">
        <x:f>IF(B40="","",B40*'Results'!B30)</x:f>
      </x:c>
      <x:c r="D40" s="2" t="str">
        <x:f>IF(B40="","",B40*'Results'!C30)</x:f>
      </x:c>
      <x:c r="E40" s="2" t="str">
        <x:f>IF(B40="","",'Results'!B12)</x:f>
      </x:c>
      <x:c r="F40" s="2" t="str">
        <x:f>IF(B40="","",'Results'!C12)</x:f>
      </x:c>
      <x:c r="G40" s="2"/>
      <x:c r="H40" s="2"/>
      <x:c r="I40" s="2"/>
      <x:c r="J40" s="2"/>
    </x:row>
    <x:row r="41" ht="22" customHeight="1">
      <x:c r="A41" s="24" t="str">
        <x:f>IF($B$5="","",(41-18)*IF(ISNUMBER('Results'!B38),MAX('Inputs'!$B$37,'Results'!B38*1.2),'Inputs'!$B$37)/200)</x:f>
      </x:c>
      <x:c r="B41" s="20" t="str">
        <x:f>IF(A41="","",MAX(0,1-$B$5*LN(1+A41/'Inputs'!$B$38)))</x:f>
      </x:c>
      <x:c r="C41" s="2" t="str">
        <x:f>IF(B41="","",B41*'Results'!B30)</x:f>
      </x:c>
      <x:c r="D41" s="2" t="str">
        <x:f>IF(B41="","",B41*'Results'!C30)</x:f>
      </x:c>
      <x:c r="E41" s="2" t="str">
        <x:f>IF(B41="","",'Results'!B12)</x:f>
      </x:c>
      <x:c r="F41" s="2" t="str">
        <x:f>IF(B41="","",'Results'!C12)</x:f>
      </x:c>
      <x:c r="G41" s="2"/>
      <x:c r="H41" s="2"/>
      <x:c r="I41" s="2"/>
      <x:c r="J41" s="2"/>
    </x:row>
    <x:row r="42" ht="22" customHeight="1">
      <x:c r="A42" s="24" t="str">
        <x:f>IF($B$5="","",(42-18)*IF(ISNUMBER('Results'!B38),MAX('Inputs'!$B$37,'Results'!B38*1.2),'Inputs'!$B$37)/200)</x:f>
      </x:c>
      <x:c r="B42" s="20" t="str">
        <x:f>IF(A42="","",MAX(0,1-$B$5*LN(1+A42/'Inputs'!$B$38)))</x:f>
      </x:c>
      <x:c r="C42" s="2" t="str">
        <x:f>IF(B42="","",B42*'Results'!B30)</x:f>
      </x:c>
      <x:c r="D42" s="2" t="str">
        <x:f>IF(B42="","",B42*'Results'!C30)</x:f>
      </x:c>
      <x:c r="E42" s="2" t="str">
        <x:f>IF(B42="","",'Results'!B12)</x:f>
      </x:c>
      <x:c r="F42" s="2" t="str">
        <x:f>IF(B42="","",'Results'!C12)</x:f>
      </x:c>
      <x:c r="G42" s="2"/>
      <x:c r="H42" s="2"/>
      <x:c r="I42" s="2"/>
      <x:c r="J42" s="2"/>
    </x:row>
    <x:row r="43" ht="22" customHeight="1">
      <x:c r="A43" s="24" t="str">
        <x:f>IF($B$5="","",(43-18)*IF(ISNUMBER('Results'!B38),MAX('Inputs'!$B$37,'Results'!B38*1.2),'Inputs'!$B$37)/200)</x:f>
      </x:c>
      <x:c r="B43" s="20" t="str">
        <x:f>IF(A43="","",MAX(0,1-$B$5*LN(1+A43/'Inputs'!$B$38)))</x:f>
      </x:c>
      <x:c r="C43" s="2" t="str">
        <x:f>IF(B43="","",B43*'Results'!B30)</x:f>
      </x:c>
      <x:c r="D43" s="2" t="str">
        <x:f>IF(B43="","",B43*'Results'!C30)</x:f>
      </x:c>
      <x:c r="E43" s="2" t="str">
        <x:f>IF(B43="","",'Results'!B12)</x:f>
      </x:c>
      <x:c r="F43" s="2" t="str">
        <x:f>IF(B43="","",'Results'!C12)</x:f>
      </x:c>
      <x:c r="G43" s="2"/>
      <x:c r="H43" s="2"/>
      <x:c r="I43" s="2"/>
      <x:c r="J43" s="2"/>
    </x:row>
    <x:row r="44" ht="22" customHeight="1">
      <x:c r="A44" s="24" t="str">
        <x:f>IF($B$5="","",(44-18)*IF(ISNUMBER('Results'!B38),MAX('Inputs'!$B$37,'Results'!B38*1.2),'Inputs'!$B$37)/200)</x:f>
      </x:c>
      <x:c r="B44" s="20" t="str">
        <x:f>IF(A44="","",MAX(0,1-$B$5*LN(1+A44/'Inputs'!$B$38)))</x:f>
      </x:c>
      <x:c r="C44" s="2" t="str">
        <x:f>IF(B44="","",B44*'Results'!B30)</x:f>
      </x:c>
      <x:c r="D44" s="2" t="str">
        <x:f>IF(B44="","",B44*'Results'!C30)</x:f>
      </x:c>
      <x:c r="E44" s="2" t="str">
        <x:f>IF(B44="","",'Results'!B12)</x:f>
      </x:c>
      <x:c r="F44" s="2" t="str">
        <x:f>IF(B44="","",'Results'!C12)</x:f>
      </x:c>
      <x:c r="G44" s="2"/>
      <x:c r="H44" s="2"/>
      <x:c r="I44" s="2"/>
      <x:c r="J44" s="2"/>
    </x:row>
    <x:row r="45" ht="22" customHeight="1">
      <x:c r="A45" s="24" t="str">
        <x:f>IF($B$5="","",(45-18)*IF(ISNUMBER('Results'!B38),MAX('Inputs'!$B$37,'Results'!B38*1.2),'Inputs'!$B$37)/200)</x:f>
      </x:c>
      <x:c r="B45" s="20" t="str">
        <x:f>IF(A45="","",MAX(0,1-$B$5*LN(1+A45/'Inputs'!$B$38)))</x:f>
      </x:c>
      <x:c r="C45" s="2" t="str">
        <x:f>IF(B45="","",B45*'Results'!B30)</x:f>
      </x:c>
      <x:c r="D45" s="2" t="str">
        <x:f>IF(B45="","",B45*'Results'!C30)</x:f>
      </x:c>
      <x:c r="E45" s="2" t="str">
        <x:f>IF(B45="","",'Results'!B12)</x:f>
      </x:c>
      <x:c r="F45" s="2" t="str">
        <x:f>IF(B45="","",'Results'!C12)</x:f>
      </x:c>
      <x:c r="G45" s="2"/>
      <x:c r="H45" s="2"/>
      <x:c r="I45" s="2"/>
      <x:c r="J45" s="2"/>
    </x:row>
    <x:row r="46" ht="22" customHeight="1">
      <x:c r="A46" s="24" t="str">
        <x:f>IF($B$5="","",(46-18)*IF(ISNUMBER('Results'!B38),MAX('Inputs'!$B$37,'Results'!B38*1.2),'Inputs'!$B$37)/200)</x:f>
      </x:c>
      <x:c r="B46" s="20" t="str">
        <x:f>IF(A46="","",MAX(0,1-$B$5*LN(1+A46/'Inputs'!$B$38)))</x:f>
      </x:c>
      <x:c r="C46" s="2" t="str">
        <x:f>IF(B46="","",B46*'Results'!B30)</x:f>
      </x:c>
      <x:c r="D46" s="2" t="str">
        <x:f>IF(B46="","",B46*'Results'!C30)</x:f>
      </x:c>
      <x:c r="E46" s="2" t="str">
        <x:f>IF(B46="","",'Results'!B12)</x:f>
      </x:c>
      <x:c r="F46" s="2" t="str">
        <x:f>IF(B46="","",'Results'!C12)</x:f>
      </x:c>
      <x:c r="G46" s="2"/>
      <x:c r="H46" s="2"/>
      <x:c r="I46" s="2"/>
      <x:c r="J46" s="2"/>
    </x:row>
    <x:row r="47" ht="22" customHeight="1">
      <x:c r="A47" s="24" t="str">
        <x:f>IF($B$5="","",(47-18)*IF(ISNUMBER('Results'!B38),MAX('Inputs'!$B$37,'Results'!B38*1.2),'Inputs'!$B$37)/200)</x:f>
      </x:c>
      <x:c r="B47" s="20" t="str">
        <x:f>IF(A47="","",MAX(0,1-$B$5*LN(1+A47/'Inputs'!$B$38)))</x:f>
      </x:c>
      <x:c r="C47" s="2" t="str">
        <x:f>IF(B47="","",B47*'Results'!B30)</x:f>
      </x:c>
      <x:c r="D47" s="2" t="str">
        <x:f>IF(B47="","",B47*'Results'!C30)</x:f>
      </x:c>
      <x:c r="E47" s="2" t="str">
        <x:f>IF(B47="","",'Results'!B12)</x:f>
      </x:c>
      <x:c r="F47" s="2" t="str">
        <x:f>IF(B47="","",'Results'!C12)</x:f>
      </x:c>
      <x:c r="G47" s="2"/>
      <x:c r="H47" s="2"/>
      <x:c r="I47" s="2"/>
      <x:c r="J47" s="2"/>
    </x:row>
    <x:row r="48" ht="22" customHeight="1">
      <x:c r="A48" s="24" t="str">
        <x:f>IF($B$5="","",(48-18)*IF(ISNUMBER('Results'!B38),MAX('Inputs'!$B$37,'Results'!B38*1.2),'Inputs'!$B$37)/200)</x:f>
      </x:c>
      <x:c r="B48" s="20" t="str">
        <x:f>IF(A48="","",MAX(0,1-$B$5*LN(1+A48/'Inputs'!$B$38)))</x:f>
      </x:c>
      <x:c r="C48" s="2" t="str">
        <x:f>IF(B48="","",B48*'Results'!B30)</x:f>
      </x:c>
      <x:c r="D48" s="2" t="str">
        <x:f>IF(B48="","",B48*'Results'!C30)</x:f>
      </x:c>
      <x:c r="E48" s="2" t="str">
        <x:f>IF(B48="","",'Results'!B12)</x:f>
      </x:c>
      <x:c r="F48" s="2" t="str">
        <x:f>IF(B48="","",'Results'!C12)</x:f>
      </x:c>
      <x:c r="G48" s="2"/>
      <x:c r="H48" s="2"/>
      <x:c r="I48" s="2"/>
      <x:c r="J48" s="2"/>
    </x:row>
    <x:row r="49" ht="22" customHeight="1">
      <x:c r="A49" s="24" t="str">
        <x:f>IF($B$5="","",(49-18)*IF(ISNUMBER('Results'!B38),MAX('Inputs'!$B$37,'Results'!B38*1.2),'Inputs'!$B$37)/200)</x:f>
      </x:c>
      <x:c r="B49" s="20" t="str">
        <x:f>IF(A49="","",MAX(0,1-$B$5*LN(1+A49/'Inputs'!$B$38)))</x:f>
      </x:c>
      <x:c r="C49" s="2" t="str">
        <x:f>IF(B49="","",B49*'Results'!B30)</x:f>
      </x:c>
      <x:c r="D49" s="2" t="str">
        <x:f>IF(B49="","",B49*'Results'!C30)</x:f>
      </x:c>
      <x:c r="E49" s="2" t="str">
        <x:f>IF(B49="","",'Results'!B12)</x:f>
      </x:c>
      <x:c r="F49" s="2" t="str">
        <x:f>IF(B49="","",'Results'!C12)</x:f>
      </x:c>
      <x:c r="G49" s="2"/>
      <x:c r="H49" s="2"/>
      <x:c r="I49" s="2"/>
      <x:c r="J49" s="2"/>
    </x:row>
    <x:row r="50" ht="22" customHeight="1">
      <x:c r="A50" s="24" t="str">
        <x:f>IF($B$5="","",(50-18)*IF(ISNUMBER('Results'!B38),MAX('Inputs'!$B$37,'Results'!B38*1.2),'Inputs'!$B$37)/200)</x:f>
      </x:c>
      <x:c r="B50" s="20" t="str">
        <x:f>IF(A50="","",MAX(0,1-$B$5*LN(1+A50/'Inputs'!$B$38)))</x:f>
      </x:c>
      <x:c r="C50" s="2" t="str">
        <x:f>IF(B50="","",B50*'Results'!B30)</x:f>
      </x:c>
      <x:c r="D50" s="2" t="str">
        <x:f>IF(B50="","",B50*'Results'!C30)</x:f>
      </x:c>
      <x:c r="E50" s="2" t="str">
        <x:f>IF(B50="","",'Results'!B12)</x:f>
      </x:c>
      <x:c r="F50" s="2" t="str">
        <x:f>IF(B50="","",'Results'!C12)</x:f>
      </x:c>
      <x:c r="G50" s="2"/>
      <x:c r="H50" s="2"/>
      <x:c r="I50" s="2"/>
      <x:c r="J50" s="2"/>
    </x:row>
    <x:row r="51" ht="22" customHeight="1">
      <x:c r="A51" s="24" t="str">
        <x:f>IF($B$5="","",(51-18)*IF(ISNUMBER('Results'!B38),MAX('Inputs'!$B$37,'Results'!B38*1.2),'Inputs'!$B$37)/200)</x:f>
      </x:c>
      <x:c r="B51" s="20" t="str">
        <x:f>IF(A51="","",MAX(0,1-$B$5*LN(1+A51/'Inputs'!$B$38)))</x:f>
      </x:c>
      <x:c r="C51" s="2" t="str">
        <x:f>IF(B51="","",B51*'Results'!B30)</x:f>
      </x:c>
      <x:c r="D51" s="2" t="str">
        <x:f>IF(B51="","",B51*'Results'!C30)</x:f>
      </x:c>
      <x:c r="E51" s="2" t="str">
        <x:f>IF(B51="","",'Results'!B12)</x:f>
      </x:c>
      <x:c r="F51" s="2" t="str">
        <x:f>IF(B51="","",'Results'!C12)</x:f>
      </x:c>
      <x:c r="G51" s="2"/>
      <x:c r="H51" s="2"/>
      <x:c r="I51" s="2"/>
      <x:c r="J51" s="2"/>
    </x:row>
    <x:row r="52" ht="22" customHeight="1">
      <x:c r="A52" s="24" t="str">
        <x:f>IF($B$5="","",(52-18)*IF(ISNUMBER('Results'!B38),MAX('Inputs'!$B$37,'Results'!B38*1.2),'Inputs'!$B$37)/200)</x:f>
      </x:c>
      <x:c r="B52" s="20" t="str">
        <x:f>IF(A52="","",MAX(0,1-$B$5*LN(1+A52/'Inputs'!$B$38)))</x:f>
      </x:c>
      <x:c r="C52" s="2" t="str">
        <x:f>IF(B52="","",B52*'Results'!B30)</x:f>
      </x:c>
      <x:c r="D52" s="2" t="str">
        <x:f>IF(B52="","",B52*'Results'!C30)</x:f>
      </x:c>
      <x:c r="E52" s="2" t="str">
        <x:f>IF(B52="","",'Results'!B12)</x:f>
      </x:c>
      <x:c r="F52" s="2" t="str">
        <x:f>IF(B52="","",'Results'!C12)</x:f>
      </x:c>
      <x:c r="G52" s="2"/>
      <x:c r="H52" s="2"/>
      <x:c r="I52" s="2"/>
      <x:c r="J52" s="2"/>
    </x:row>
    <x:row r="53" ht="22" customHeight="1">
      <x:c r="A53" s="24" t="str">
        <x:f>IF($B$5="","",(53-18)*IF(ISNUMBER('Results'!B38),MAX('Inputs'!$B$37,'Results'!B38*1.2),'Inputs'!$B$37)/200)</x:f>
      </x:c>
      <x:c r="B53" s="20" t="str">
        <x:f>IF(A53="","",MAX(0,1-$B$5*LN(1+A53/'Inputs'!$B$38)))</x:f>
      </x:c>
      <x:c r="C53" s="2" t="str">
        <x:f>IF(B53="","",B53*'Results'!B30)</x:f>
      </x:c>
      <x:c r="D53" s="2" t="str">
        <x:f>IF(B53="","",B53*'Results'!C30)</x:f>
      </x:c>
      <x:c r="E53" s="2" t="str">
        <x:f>IF(B53="","",'Results'!B12)</x:f>
      </x:c>
      <x:c r="F53" s="2" t="str">
        <x:f>IF(B53="","",'Results'!C12)</x:f>
      </x:c>
      <x:c r="G53" s="2"/>
      <x:c r="H53" s="2"/>
      <x:c r="I53" s="2"/>
      <x:c r="J53" s="2"/>
    </x:row>
    <x:row r="54" ht="22" customHeight="1">
      <x:c r="A54" s="24" t="str">
        <x:f>IF($B$5="","",(54-18)*IF(ISNUMBER('Results'!B38),MAX('Inputs'!$B$37,'Results'!B38*1.2),'Inputs'!$B$37)/200)</x:f>
      </x:c>
      <x:c r="B54" s="20" t="str">
        <x:f>IF(A54="","",MAX(0,1-$B$5*LN(1+A54/'Inputs'!$B$38)))</x:f>
      </x:c>
      <x:c r="C54" s="2" t="str">
        <x:f>IF(B54="","",B54*'Results'!B30)</x:f>
      </x:c>
      <x:c r="D54" s="2" t="str">
        <x:f>IF(B54="","",B54*'Results'!C30)</x:f>
      </x:c>
      <x:c r="E54" s="2" t="str">
        <x:f>IF(B54="","",'Results'!B12)</x:f>
      </x:c>
      <x:c r="F54" s="2" t="str">
        <x:f>IF(B54="","",'Results'!C12)</x:f>
      </x:c>
      <x:c r="G54" s="2"/>
      <x:c r="H54" s="2"/>
      <x:c r="I54" s="2"/>
      <x:c r="J54" s="2"/>
    </x:row>
    <x:row r="55" ht="22" customHeight="1">
      <x:c r="A55" s="24" t="str">
        <x:f>IF($B$5="","",(55-18)*IF(ISNUMBER('Results'!B38),MAX('Inputs'!$B$37,'Results'!B38*1.2),'Inputs'!$B$37)/200)</x:f>
      </x:c>
      <x:c r="B55" s="20" t="str">
        <x:f>IF(A55="","",MAX(0,1-$B$5*LN(1+A55/'Inputs'!$B$38)))</x:f>
      </x:c>
      <x:c r="C55" s="2" t="str">
        <x:f>IF(B55="","",B55*'Results'!B30)</x:f>
      </x:c>
      <x:c r="D55" s="2" t="str">
        <x:f>IF(B55="","",B55*'Results'!C30)</x:f>
      </x:c>
      <x:c r="E55" s="2" t="str">
        <x:f>IF(B55="","",'Results'!B12)</x:f>
      </x:c>
      <x:c r="F55" s="2" t="str">
        <x:f>IF(B55="","",'Results'!C12)</x:f>
      </x:c>
      <x:c r="G55" s="2"/>
      <x:c r="H55" s="2"/>
      <x:c r="I55" s="2"/>
      <x:c r="J55" s="2"/>
    </x:row>
    <x:row r="56" ht="22" customHeight="1">
      <x:c r="A56" s="24" t="str">
        <x:f>IF($B$5="","",(56-18)*IF(ISNUMBER('Results'!B38),MAX('Inputs'!$B$37,'Results'!B38*1.2),'Inputs'!$B$37)/200)</x:f>
      </x:c>
      <x:c r="B56" s="20" t="str">
        <x:f>IF(A56="","",MAX(0,1-$B$5*LN(1+A56/'Inputs'!$B$38)))</x:f>
      </x:c>
      <x:c r="C56" s="2" t="str">
        <x:f>IF(B56="","",B56*'Results'!B30)</x:f>
      </x:c>
      <x:c r="D56" s="2" t="str">
        <x:f>IF(B56="","",B56*'Results'!C30)</x:f>
      </x:c>
      <x:c r="E56" s="2" t="str">
        <x:f>IF(B56="","",'Results'!B12)</x:f>
      </x:c>
      <x:c r="F56" s="2" t="str">
        <x:f>IF(B56="","",'Results'!C12)</x:f>
      </x:c>
      <x:c r="G56" s="2"/>
      <x:c r="H56" s="2"/>
      <x:c r="I56" s="2"/>
      <x:c r="J56" s="2"/>
    </x:row>
    <x:row r="57" ht="22" customHeight="1">
      <x:c r="A57" s="24" t="str">
        <x:f>IF($B$5="","",(57-18)*IF(ISNUMBER('Results'!B38),MAX('Inputs'!$B$37,'Results'!B38*1.2),'Inputs'!$B$37)/200)</x:f>
      </x:c>
      <x:c r="B57" s="20" t="str">
        <x:f>IF(A57="","",MAX(0,1-$B$5*LN(1+A57/'Inputs'!$B$38)))</x:f>
      </x:c>
      <x:c r="C57" s="2" t="str">
        <x:f>IF(B57="","",B57*'Results'!B30)</x:f>
      </x:c>
      <x:c r="D57" s="2" t="str">
        <x:f>IF(B57="","",B57*'Results'!C30)</x:f>
      </x:c>
      <x:c r="E57" s="2" t="str">
        <x:f>IF(B57="","",'Results'!B12)</x:f>
      </x:c>
      <x:c r="F57" s="2" t="str">
        <x:f>IF(B57="","",'Results'!C12)</x:f>
      </x:c>
      <x:c r="G57" s="2"/>
      <x:c r="H57" s="2"/>
      <x:c r="I57" s="2"/>
      <x:c r="J57" s="2"/>
    </x:row>
    <x:row r="58" ht="22" customHeight="1">
      <x:c r="A58" s="24" t="str">
        <x:f>IF($B$5="","",(58-18)*IF(ISNUMBER('Results'!B38),MAX('Inputs'!$B$37,'Results'!B38*1.2),'Inputs'!$B$37)/200)</x:f>
      </x:c>
      <x:c r="B58" s="20" t="str">
        <x:f>IF(A58="","",MAX(0,1-$B$5*LN(1+A58/'Inputs'!$B$38)))</x:f>
      </x:c>
      <x:c r="C58" s="2" t="str">
        <x:f>IF(B58="","",B58*'Results'!B30)</x:f>
      </x:c>
      <x:c r="D58" s="2" t="str">
        <x:f>IF(B58="","",B58*'Results'!C30)</x:f>
      </x:c>
      <x:c r="E58" s="2" t="str">
        <x:f>IF(B58="","",'Results'!B12)</x:f>
      </x:c>
      <x:c r="F58" s="2" t="str">
        <x:f>IF(B58="","",'Results'!C12)</x:f>
      </x:c>
      <x:c r="G58" s="2"/>
      <x:c r="H58" s="2"/>
      <x:c r="I58" s="2"/>
      <x:c r="J58" s="2"/>
    </x:row>
    <x:row r="59" ht="22" customHeight="1">
      <x:c r="A59" s="24" t="str">
        <x:f>IF($B$5="","",(59-18)*IF(ISNUMBER('Results'!B38),MAX('Inputs'!$B$37,'Results'!B38*1.2),'Inputs'!$B$37)/200)</x:f>
      </x:c>
      <x:c r="B59" s="20" t="str">
        <x:f>IF(A59="","",MAX(0,1-$B$5*LN(1+A59/'Inputs'!$B$38)))</x:f>
      </x:c>
      <x:c r="C59" s="2" t="str">
        <x:f>IF(B59="","",B59*'Results'!B30)</x:f>
      </x:c>
      <x:c r="D59" s="2" t="str">
        <x:f>IF(B59="","",B59*'Results'!C30)</x:f>
      </x:c>
      <x:c r="E59" s="2" t="str">
        <x:f>IF(B59="","",'Results'!B12)</x:f>
      </x:c>
      <x:c r="F59" s="2" t="str">
        <x:f>IF(B59="","",'Results'!C12)</x:f>
      </x:c>
      <x:c r="G59" s="2"/>
      <x:c r="H59" s="2"/>
      <x:c r="I59" s="2"/>
      <x:c r="J59" s="2"/>
    </x:row>
    <x:row r="60" ht="22" customHeight="1">
      <x:c r="A60" s="24" t="str">
        <x:f>IF($B$5="","",(60-18)*IF(ISNUMBER('Results'!B38),MAX('Inputs'!$B$37,'Results'!B38*1.2),'Inputs'!$B$37)/200)</x:f>
      </x:c>
      <x:c r="B60" s="20" t="str">
        <x:f>IF(A60="","",MAX(0,1-$B$5*LN(1+A60/'Inputs'!$B$38)))</x:f>
      </x:c>
      <x:c r="C60" s="2" t="str">
        <x:f>IF(B60="","",B60*'Results'!B30)</x:f>
      </x:c>
      <x:c r="D60" s="2" t="str">
        <x:f>IF(B60="","",B60*'Results'!C30)</x:f>
      </x:c>
      <x:c r="E60" s="2" t="str">
        <x:f>IF(B60="","",'Results'!B12)</x:f>
      </x:c>
      <x:c r="F60" s="2" t="str">
        <x:f>IF(B60="","",'Results'!C12)</x:f>
      </x:c>
      <x:c r="G60" s="2"/>
      <x:c r="H60" s="2"/>
      <x:c r="I60" s="2"/>
      <x:c r="J60" s="2"/>
    </x:row>
    <x:row r="61" ht="22" customHeight="1">
      <x:c r="A61" s="24" t="str">
        <x:f>IF($B$5="","",(61-18)*IF(ISNUMBER('Results'!B38),MAX('Inputs'!$B$37,'Results'!B38*1.2),'Inputs'!$B$37)/200)</x:f>
      </x:c>
      <x:c r="B61" s="20" t="str">
        <x:f>IF(A61="","",MAX(0,1-$B$5*LN(1+A61/'Inputs'!$B$38)))</x:f>
      </x:c>
      <x:c r="C61" s="2" t="str">
        <x:f>IF(B61="","",B61*'Results'!B30)</x:f>
      </x:c>
      <x:c r="D61" s="2" t="str">
        <x:f>IF(B61="","",B61*'Results'!C30)</x:f>
      </x:c>
      <x:c r="E61" s="2" t="str">
        <x:f>IF(B61="","",'Results'!B12)</x:f>
      </x:c>
      <x:c r="F61" s="2" t="str">
        <x:f>IF(B61="","",'Results'!C12)</x:f>
      </x:c>
      <x:c r="G61" s="2"/>
      <x:c r="H61" s="2"/>
      <x:c r="I61" s="2"/>
      <x:c r="J61" s="2"/>
    </x:row>
    <x:row r="62" ht="22" customHeight="1">
      <x:c r="A62" s="24" t="str">
        <x:f>IF($B$5="","",(62-18)*IF(ISNUMBER('Results'!B38),MAX('Inputs'!$B$37,'Results'!B38*1.2),'Inputs'!$B$37)/200)</x:f>
      </x:c>
      <x:c r="B62" s="20" t="str">
        <x:f>IF(A62="","",MAX(0,1-$B$5*LN(1+A62/'Inputs'!$B$38)))</x:f>
      </x:c>
      <x:c r="C62" s="2" t="str">
        <x:f>IF(B62="","",B62*'Results'!B30)</x:f>
      </x:c>
      <x:c r="D62" s="2" t="str">
        <x:f>IF(B62="","",B62*'Results'!C30)</x:f>
      </x:c>
      <x:c r="E62" s="2" t="str">
        <x:f>IF(B62="","",'Results'!B12)</x:f>
      </x:c>
      <x:c r="F62" s="2" t="str">
        <x:f>IF(B62="","",'Results'!C12)</x:f>
      </x:c>
      <x:c r="G62" s="2"/>
      <x:c r="H62" s="2"/>
      <x:c r="I62" s="2"/>
      <x:c r="J62" s="2"/>
    </x:row>
    <x:row r="63" ht="22" customHeight="1">
      <x:c r="A63" s="24" t="str">
        <x:f>IF($B$5="","",(63-18)*IF(ISNUMBER('Results'!B38),MAX('Inputs'!$B$37,'Results'!B38*1.2),'Inputs'!$B$37)/200)</x:f>
      </x:c>
      <x:c r="B63" s="20" t="str">
        <x:f>IF(A63="","",MAX(0,1-$B$5*LN(1+A63/'Inputs'!$B$38)))</x:f>
      </x:c>
      <x:c r="C63" s="2" t="str">
        <x:f>IF(B63="","",B63*'Results'!B30)</x:f>
      </x:c>
      <x:c r="D63" s="2" t="str">
        <x:f>IF(B63="","",B63*'Results'!C30)</x:f>
      </x:c>
      <x:c r="E63" s="2" t="str">
        <x:f>IF(B63="","",'Results'!B12)</x:f>
      </x:c>
      <x:c r="F63" s="2" t="str">
        <x:f>IF(B63="","",'Results'!C12)</x:f>
      </x:c>
      <x:c r="G63" s="2"/>
      <x:c r="H63" s="2"/>
      <x:c r="I63" s="2"/>
      <x:c r="J63" s="2"/>
    </x:row>
    <x:row r="64" ht="22" customHeight="1">
      <x:c r="A64" s="24" t="str">
        <x:f>IF($B$5="","",(64-18)*IF(ISNUMBER('Results'!B38),MAX('Inputs'!$B$37,'Results'!B38*1.2),'Inputs'!$B$37)/200)</x:f>
      </x:c>
      <x:c r="B64" s="20" t="str">
        <x:f>IF(A64="","",MAX(0,1-$B$5*LN(1+A64/'Inputs'!$B$38)))</x:f>
      </x:c>
      <x:c r="C64" s="2" t="str">
        <x:f>IF(B64="","",B64*'Results'!B30)</x:f>
      </x:c>
      <x:c r="D64" s="2" t="str">
        <x:f>IF(B64="","",B64*'Results'!C30)</x:f>
      </x:c>
      <x:c r="E64" s="2" t="str">
        <x:f>IF(B64="","",'Results'!B12)</x:f>
      </x:c>
      <x:c r="F64" s="2" t="str">
        <x:f>IF(B64="","",'Results'!C12)</x:f>
      </x:c>
      <x:c r="G64" s="2"/>
      <x:c r="H64" s="2"/>
      <x:c r="I64" s="2"/>
      <x:c r="J64" s="2"/>
    </x:row>
    <x:row r="65" ht="22" customHeight="1">
      <x:c r="A65" s="24" t="str">
        <x:f>IF($B$5="","",(65-18)*IF(ISNUMBER('Results'!B38),MAX('Inputs'!$B$37,'Results'!B38*1.2),'Inputs'!$B$37)/200)</x:f>
      </x:c>
      <x:c r="B65" s="20" t="str">
        <x:f>IF(A65="","",MAX(0,1-$B$5*LN(1+A65/'Inputs'!$B$38)))</x:f>
      </x:c>
      <x:c r="C65" s="2" t="str">
        <x:f>IF(B65="","",B65*'Results'!B30)</x:f>
      </x:c>
      <x:c r="D65" s="2" t="str">
        <x:f>IF(B65="","",B65*'Results'!C30)</x:f>
      </x:c>
      <x:c r="E65" s="2" t="str">
        <x:f>IF(B65="","",'Results'!B12)</x:f>
      </x:c>
      <x:c r="F65" s="2" t="str">
        <x:f>IF(B65="","",'Results'!C12)</x:f>
      </x:c>
      <x:c r="G65" s="2"/>
      <x:c r="H65" s="2"/>
      <x:c r="I65" s="2"/>
      <x:c r="J65" s="2"/>
    </x:row>
    <x:row r="66" ht="22" customHeight="1">
      <x:c r="A66" s="24" t="str">
        <x:f>IF($B$5="","",(66-18)*IF(ISNUMBER('Results'!B38),MAX('Inputs'!$B$37,'Results'!B38*1.2),'Inputs'!$B$37)/200)</x:f>
      </x:c>
      <x:c r="B66" s="20" t="str">
        <x:f>IF(A66="","",MAX(0,1-$B$5*LN(1+A66/'Inputs'!$B$38)))</x:f>
      </x:c>
      <x:c r="C66" s="2" t="str">
        <x:f>IF(B66="","",B66*'Results'!B30)</x:f>
      </x:c>
      <x:c r="D66" s="2" t="str">
        <x:f>IF(B66="","",B66*'Results'!C30)</x:f>
      </x:c>
      <x:c r="E66" s="2" t="str">
        <x:f>IF(B66="","",'Results'!B12)</x:f>
      </x:c>
      <x:c r="F66" s="2" t="str">
        <x:f>IF(B66="","",'Results'!C12)</x:f>
      </x:c>
      <x:c r="G66" s="2"/>
      <x:c r="H66" s="2"/>
      <x:c r="I66" s="2"/>
      <x:c r="J66" s="2"/>
    </x:row>
    <x:row r="67" ht="22" customHeight="1">
      <x:c r="A67" s="24" t="str">
        <x:f>IF($B$5="","",(67-18)*IF(ISNUMBER('Results'!B38),MAX('Inputs'!$B$37,'Results'!B38*1.2),'Inputs'!$B$37)/200)</x:f>
      </x:c>
      <x:c r="B67" s="20" t="str">
        <x:f>IF(A67="","",MAX(0,1-$B$5*LN(1+A67/'Inputs'!$B$38)))</x:f>
      </x:c>
      <x:c r="C67" s="2" t="str">
        <x:f>IF(B67="","",B67*'Results'!B30)</x:f>
      </x:c>
      <x:c r="D67" s="2" t="str">
        <x:f>IF(B67="","",B67*'Results'!C30)</x:f>
      </x:c>
      <x:c r="E67" s="2" t="str">
        <x:f>IF(B67="","",'Results'!B12)</x:f>
      </x:c>
      <x:c r="F67" s="2" t="str">
        <x:f>IF(B67="","",'Results'!C12)</x:f>
      </x:c>
      <x:c r="G67" s="2"/>
      <x:c r="H67" s="2"/>
      <x:c r="I67" s="2"/>
      <x:c r="J67" s="2"/>
    </x:row>
    <x:row r="68" ht="22" customHeight="1">
      <x:c r="A68" s="24" t="str">
        <x:f>IF($B$5="","",(68-18)*IF(ISNUMBER('Results'!B38),MAX('Inputs'!$B$37,'Results'!B38*1.2),'Inputs'!$B$37)/200)</x:f>
      </x:c>
      <x:c r="B68" s="20" t="str">
        <x:f>IF(A68="","",MAX(0,1-$B$5*LN(1+A68/'Inputs'!$B$38)))</x:f>
      </x:c>
      <x:c r="C68" s="2" t="str">
        <x:f>IF(B68="","",B68*'Results'!B30)</x:f>
      </x:c>
      <x:c r="D68" s="2" t="str">
        <x:f>IF(B68="","",B68*'Results'!C30)</x:f>
      </x:c>
      <x:c r="E68" s="2" t="str">
        <x:f>IF(B68="","",'Results'!B12)</x:f>
      </x:c>
      <x:c r="F68" s="2" t="str">
        <x:f>IF(B68="","",'Results'!C12)</x:f>
      </x:c>
      <x:c r="G68" s="2"/>
      <x:c r="H68" s="2"/>
      <x:c r="I68" s="2"/>
      <x:c r="J68" s="2"/>
    </x:row>
    <x:row r="69" ht="22" customHeight="1">
      <x:c r="A69" s="24" t="str">
        <x:f>IF($B$5="","",(69-18)*IF(ISNUMBER('Results'!B38),MAX('Inputs'!$B$37,'Results'!B38*1.2),'Inputs'!$B$37)/200)</x:f>
      </x:c>
      <x:c r="B69" s="20" t="str">
        <x:f>IF(A69="","",MAX(0,1-$B$5*LN(1+A69/'Inputs'!$B$38)))</x:f>
      </x:c>
      <x:c r="C69" s="2" t="str">
        <x:f>IF(B69="","",B69*'Results'!B30)</x:f>
      </x:c>
      <x:c r="D69" s="2" t="str">
        <x:f>IF(B69="","",B69*'Results'!C30)</x:f>
      </x:c>
      <x:c r="E69" s="2" t="str">
        <x:f>IF(B69="","",'Results'!B12)</x:f>
      </x:c>
      <x:c r="F69" s="2" t="str">
        <x:f>IF(B69="","",'Results'!C12)</x:f>
      </x:c>
      <x:c r="G69" s="2"/>
      <x:c r="H69" s="2"/>
      <x:c r="I69" s="2"/>
      <x:c r="J69" s="2"/>
    </x:row>
    <x:row r="70" ht="22" customHeight="1">
      <x:c r="A70" s="24" t="str">
        <x:f>IF($B$5="","",(70-18)*IF(ISNUMBER('Results'!B38),MAX('Inputs'!$B$37,'Results'!B38*1.2),'Inputs'!$B$37)/200)</x:f>
      </x:c>
      <x:c r="B70" s="20" t="str">
        <x:f>IF(A70="","",MAX(0,1-$B$5*LN(1+A70/'Inputs'!$B$38)))</x:f>
      </x:c>
      <x:c r="C70" s="2" t="str">
        <x:f>IF(B70="","",B70*'Results'!B30)</x:f>
      </x:c>
      <x:c r="D70" s="2" t="str">
        <x:f>IF(B70="","",B70*'Results'!C30)</x:f>
      </x:c>
      <x:c r="E70" s="2" t="str">
        <x:f>IF(B70="","",'Results'!B12)</x:f>
      </x:c>
      <x:c r="F70" s="2" t="str">
        <x:f>IF(B70="","",'Results'!C12)</x:f>
      </x:c>
      <x:c r="G70" s="2"/>
      <x:c r="H70" s="2"/>
      <x:c r="I70" s="2"/>
      <x:c r="J70" s="2"/>
    </x:row>
    <x:row r="71" ht="22" customHeight="1">
      <x:c r="A71" s="24" t="str">
        <x:f>IF($B$5="","",(71-18)*IF(ISNUMBER('Results'!B38),MAX('Inputs'!$B$37,'Results'!B38*1.2),'Inputs'!$B$37)/200)</x:f>
      </x:c>
      <x:c r="B71" s="20" t="str">
        <x:f>IF(A71="","",MAX(0,1-$B$5*LN(1+A71/'Inputs'!$B$38)))</x:f>
      </x:c>
      <x:c r="C71" s="2" t="str">
        <x:f>IF(B71="","",B71*'Results'!B30)</x:f>
      </x:c>
      <x:c r="D71" s="2" t="str">
        <x:f>IF(B71="","",B71*'Results'!C30)</x:f>
      </x:c>
      <x:c r="E71" s="2" t="str">
        <x:f>IF(B71="","",'Results'!B12)</x:f>
      </x:c>
      <x:c r="F71" s="2" t="str">
        <x:f>IF(B71="","",'Results'!C12)</x:f>
      </x:c>
      <x:c r="G71" s="2"/>
      <x:c r="H71" s="2"/>
      <x:c r="I71" s="2"/>
      <x:c r="J71" s="2"/>
    </x:row>
    <x:row r="72" ht="22" customHeight="1">
      <x:c r="A72" s="24" t="str">
        <x:f>IF($B$5="","",(72-18)*IF(ISNUMBER('Results'!B38),MAX('Inputs'!$B$37,'Results'!B38*1.2),'Inputs'!$B$37)/200)</x:f>
      </x:c>
      <x:c r="B72" s="20" t="str">
        <x:f>IF(A72="","",MAX(0,1-$B$5*LN(1+A72/'Inputs'!$B$38)))</x:f>
      </x:c>
      <x:c r="C72" s="2" t="str">
        <x:f>IF(B72="","",B72*'Results'!B30)</x:f>
      </x:c>
      <x:c r="D72" s="2" t="str">
        <x:f>IF(B72="","",B72*'Results'!C30)</x:f>
      </x:c>
      <x:c r="E72" s="2" t="str">
        <x:f>IF(B72="","",'Results'!B12)</x:f>
      </x:c>
      <x:c r="F72" s="2" t="str">
        <x:f>IF(B72="","",'Results'!C12)</x:f>
      </x:c>
      <x:c r="G72" s="2"/>
      <x:c r="H72" s="2"/>
      <x:c r="I72" s="2"/>
      <x:c r="J72" s="2"/>
    </x:row>
    <x:row r="73" ht="22" customHeight="1">
      <x:c r="A73" s="24" t="str">
        <x:f>IF($B$5="","",(73-18)*IF(ISNUMBER('Results'!B38),MAX('Inputs'!$B$37,'Results'!B38*1.2),'Inputs'!$B$37)/200)</x:f>
      </x:c>
      <x:c r="B73" s="20" t="str">
        <x:f>IF(A73="","",MAX(0,1-$B$5*LN(1+A73/'Inputs'!$B$38)))</x:f>
      </x:c>
      <x:c r="C73" s="2" t="str">
        <x:f>IF(B73="","",B73*'Results'!B30)</x:f>
      </x:c>
      <x:c r="D73" s="2" t="str">
        <x:f>IF(B73="","",B73*'Results'!C30)</x:f>
      </x:c>
      <x:c r="E73" s="2" t="str">
        <x:f>IF(B73="","",'Results'!B12)</x:f>
      </x:c>
      <x:c r="F73" s="2" t="str">
        <x:f>IF(B73="","",'Results'!C12)</x:f>
      </x:c>
      <x:c r="G73" s="2"/>
      <x:c r="H73" s="2"/>
      <x:c r="I73" s="2"/>
      <x:c r="J73" s="2"/>
    </x:row>
    <x:row r="74" ht="22" customHeight="1">
      <x:c r="A74" s="24" t="str">
        <x:f>IF($B$5="","",(74-18)*IF(ISNUMBER('Results'!B38),MAX('Inputs'!$B$37,'Results'!B38*1.2),'Inputs'!$B$37)/200)</x:f>
      </x:c>
      <x:c r="B74" s="20" t="str">
        <x:f>IF(A74="","",MAX(0,1-$B$5*LN(1+A74/'Inputs'!$B$38)))</x:f>
      </x:c>
      <x:c r="C74" s="2" t="str">
        <x:f>IF(B74="","",B74*'Results'!B30)</x:f>
      </x:c>
      <x:c r="D74" s="2" t="str">
        <x:f>IF(B74="","",B74*'Results'!C30)</x:f>
      </x:c>
      <x:c r="E74" s="2" t="str">
        <x:f>IF(B74="","",'Results'!B12)</x:f>
      </x:c>
      <x:c r="F74" s="2" t="str">
        <x:f>IF(B74="","",'Results'!C12)</x:f>
      </x:c>
      <x:c r="G74" s="2"/>
      <x:c r="H74" s="2"/>
      <x:c r="I74" s="2"/>
      <x:c r="J74" s="2"/>
    </x:row>
    <x:row r="75" ht="22" customHeight="1">
      <x:c r="A75" s="24" t="str">
        <x:f>IF($B$5="","",(75-18)*IF(ISNUMBER('Results'!B38),MAX('Inputs'!$B$37,'Results'!B38*1.2),'Inputs'!$B$37)/200)</x:f>
      </x:c>
      <x:c r="B75" s="20" t="str">
        <x:f>IF(A75="","",MAX(0,1-$B$5*LN(1+A75/'Inputs'!$B$38)))</x:f>
      </x:c>
      <x:c r="C75" s="2" t="str">
        <x:f>IF(B75="","",B75*'Results'!B30)</x:f>
      </x:c>
      <x:c r="D75" s="2" t="str">
        <x:f>IF(B75="","",B75*'Results'!C30)</x:f>
      </x:c>
      <x:c r="E75" s="2" t="str">
        <x:f>IF(B75="","",'Results'!B12)</x:f>
      </x:c>
      <x:c r="F75" s="2" t="str">
        <x:f>IF(B75="","",'Results'!C12)</x:f>
      </x:c>
      <x:c r="G75" s="2"/>
      <x:c r="H75" s="2"/>
      <x:c r="I75" s="2"/>
      <x:c r="J75" s="2"/>
    </x:row>
    <x:row r="76" ht="22" customHeight="1">
      <x:c r="A76" s="24" t="str">
        <x:f>IF($B$5="","",(76-18)*IF(ISNUMBER('Results'!B38),MAX('Inputs'!$B$37,'Results'!B38*1.2),'Inputs'!$B$37)/200)</x:f>
      </x:c>
      <x:c r="B76" s="20" t="str">
        <x:f>IF(A76="","",MAX(0,1-$B$5*LN(1+A76/'Inputs'!$B$38)))</x:f>
      </x:c>
      <x:c r="C76" s="2" t="str">
        <x:f>IF(B76="","",B76*'Results'!B30)</x:f>
      </x:c>
      <x:c r="D76" s="2" t="str">
        <x:f>IF(B76="","",B76*'Results'!C30)</x:f>
      </x:c>
      <x:c r="E76" s="2" t="str">
        <x:f>IF(B76="","",'Results'!B12)</x:f>
      </x:c>
      <x:c r="F76" s="2" t="str">
        <x:f>IF(B76="","",'Results'!C12)</x:f>
      </x:c>
      <x:c r="G76" s="2"/>
      <x:c r="H76" s="2"/>
      <x:c r="I76" s="2"/>
      <x:c r="J76" s="2"/>
    </x:row>
    <x:row r="77" ht="22" customHeight="1">
      <x:c r="A77" s="24" t="str">
        <x:f>IF($B$5="","",(77-18)*IF(ISNUMBER('Results'!B38),MAX('Inputs'!$B$37,'Results'!B38*1.2),'Inputs'!$B$37)/200)</x:f>
      </x:c>
      <x:c r="B77" s="20" t="str">
        <x:f>IF(A77="","",MAX(0,1-$B$5*LN(1+A77/'Inputs'!$B$38)))</x:f>
      </x:c>
      <x:c r="C77" s="2" t="str">
        <x:f>IF(B77="","",B77*'Results'!B30)</x:f>
      </x:c>
      <x:c r="D77" s="2" t="str">
        <x:f>IF(B77="","",B77*'Results'!C30)</x:f>
      </x:c>
      <x:c r="E77" s="2" t="str">
        <x:f>IF(B77="","",'Results'!B12)</x:f>
      </x:c>
      <x:c r="F77" s="2" t="str">
        <x:f>IF(B77="","",'Results'!C12)</x:f>
      </x:c>
      <x:c r="G77" s="2"/>
      <x:c r="H77" s="2"/>
      <x:c r="I77" s="2"/>
      <x:c r="J77" s="2"/>
    </x:row>
    <x:row r="78" ht="22" customHeight="1">
      <x:c r="A78" s="24" t="str">
        <x:f>IF($B$5="","",(78-18)*IF(ISNUMBER('Results'!B38),MAX('Inputs'!$B$37,'Results'!B38*1.2),'Inputs'!$B$37)/200)</x:f>
      </x:c>
      <x:c r="B78" s="20" t="str">
        <x:f>IF(A78="","",MAX(0,1-$B$5*LN(1+A78/'Inputs'!$B$38)))</x:f>
      </x:c>
      <x:c r="C78" s="2" t="str">
        <x:f>IF(B78="","",B78*'Results'!B30)</x:f>
      </x:c>
      <x:c r="D78" s="2" t="str">
        <x:f>IF(B78="","",B78*'Results'!C30)</x:f>
      </x:c>
      <x:c r="E78" s="2" t="str">
        <x:f>IF(B78="","",'Results'!B12)</x:f>
      </x:c>
      <x:c r="F78" s="2" t="str">
        <x:f>IF(B78="","",'Results'!C12)</x:f>
      </x:c>
      <x:c r="G78" s="2"/>
      <x:c r="H78" s="2"/>
      <x:c r="I78" s="2"/>
      <x:c r="J78" s="2"/>
    </x:row>
    <x:row r="79" ht="22" customHeight="1">
      <x:c r="A79" s="24" t="str">
        <x:f>IF($B$5="","",(79-18)*IF(ISNUMBER('Results'!B38),MAX('Inputs'!$B$37,'Results'!B38*1.2),'Inputs'!$B$37)/200)</x:f>
      </x:c>
      <x:c r="B79" s="20" t="str">
        <x:f>IF(A79="","",MAX(0,1-$B$5*LN(1+A79/'Inputs'!$B$38)))</x:f>
      </x:c>
      <x:c r="C79" s="2" t="str">
        <x:f>IF(B79="","",B79*'Results'!B30)</x:f>
      </x:c>
      <x:c r="D79" s="2" t="str">
        <x:f>IF(B79="","",B79*'Results'!C30)</x:f>
      </x:c>
      <x:c r="E79" s="2" t="str">
        <x:f>IF(B79="","",'Results'!B12)</x:f>
      </x:c>
      <x:c r="F79" s="2" t="str">
        <x:f>IF(B79="","",'Results'!C12)</x:f>
      </x:c>
      <x:c r="G79" s="2"/>
      <x:c r="H79" s="2"/>
      <x:c r="I79" s="2"/>
      <x:c r="J79" s="2"/>
    </x:row>
    <x:row r="80" ht="22" customHeight="1">
      <x:c r="A80" s="24" t="str">
        <x:f>IF($B$5="","",(80-18)*IF(ISNUMBER('Results'!B38),MAX('Inputs'!$B$37,'Results'!B38*1.2),'Inputs'!$B$37)/200)</x:f>
      </x:c>
      <x:c r="B80" s="20" t="str">
        <x:f>IF(A80="","",MAX(0,1-$B$5*LN(1+A80/'Inputs'!$B$38)))</x:f>
      </x:c>
      <x:c r="C80" s="2" t="str">
        <x:f>IF(B80="","",B80*'Results'!B30)</x:f>
      </x:c>
      <x:c r="D80" s="2" t="str">
        <x:f>IF(B80="","",B80*'Results'!C30)</x:f>
      </x:c>
      <x:c r="E80" s="2" t="str">
        <x:f>IF(B80="","",'Results'!B12)</x:f>
      </x:c>
      <x:c r="F80" s="2" t="str">
        <x:f>IF(B80="","",'Results'!C12)</x:f>
      </x:c>
      <x:c r="G80" s="2"/>
      <x:c r="H80" s="2"/>
      <x:c r="I80" s="2"/>
      <x:c r="J80" s="2"/>
    </x:row>
    <x:row r="81" ht="22" customHeight="1">
      <x:c r="A81" s="24" t="str">
        <x:f>IF($B$5="","",(81-18)*IF(ISNUMBER('Results'!B38),MAX('Inputs'!$B$37,'Results'!B38*1.2),'Inputs'!$B$37)/200)</x:f>
      </x:c>
      <x:c r="B81" s="20" t="str">
        <x:f>IF(A81="","",MAX(0,1-$B$5*LN(1+A81/'Inputs'!$B$38)))</x:f>
      </x:c>
      <x:c r="C81" s="2" t="str">
        <x:f>IF(B81="","",B81*'Results'!B30)</x:f>
      </x:c>
      <x:c r="D81" s="2" t="str">
        <x:f>IF(B81="","",B81*'Results'!C30)</x:f>
      </x:c>
      <x:c r="E81" s="2" t="str">
        <x:f>IF(B81="","",'Results'!B12)</x:f>
      </x:c>
      <x:c r="F81" s="2" t="str">
        <x:f>IF(B81="","",'Results'!C12)</x:f>
      </x:c>
      <x:c r="G81" s="2"/>
      <x:c r="H81" s="2"/>
      <x:c r="I81" s="2"/>
      <x:c r="J81" s="2"/>
    </x:row>
    <x:row r="82" ht="22" customHeight="1">
      <x:c r="A82" s="24" t="str">
        <x:f>IF($B$5="","",(82-18)*IF(ISNUMBER('Results'!B38),MAX('Inputs'!$B$37,'Results'!B38*1.2),'Inputs'!$B$37)/200)</x:f>
      </x:c>
      <x:c r="B82" s="20" t="str">
        <x:f>IF(A82="","",MAX(0,1-$B$5*LN(1+A82/'Inputs'!$B$38)))</x:f>
      </x:c>
      <x:c r="C82" s="2" t="str">
        <x:f>IF(B82="","",B82*'Results'!B30)</x:f>
      </x:c>
      <x:c r="D82" s="2" t="str">
        <x:f>IF(B82="","",B82*'Results'!C30)</x:f>
      </x:c>
      <x:c r="E82" s="2" t="str">
        <x:f>IF(B82="","",'Results'!B12)</x:f>
      </x:c>
      <x:c r="F82" s="2" t="str">
        <x:f>IF(B82="","",'Results'!C12)</x:f>
      </x:c>
      <x:c r="G82" s="2"/>
      <x:c r="H82" s="2"/>
      <x:c r="I82" s="2"/>
      <x:c r="J82" s="2"/>
    </x:row>
    <x:row r="83" ht="22" customHeight="1">
      <x:c r="A83" s="24" t="str">
        <x:f>IF($B$5="","",(83-18)*IF(ISNUMBER('Results'!B38),MAX('Inputs'!$B$37,'Results'!B38*1.2),'Inputs'!$B$37)/200)</x:f>
      </x:c>
      <x:c r="B83" s="20" t="str">
        <x:f>IF(A83="","",MAX(0,1-$B$5*LN(1+A83/'Inputs'!$B$38)))</x:f>
      </x:c>
      <x:c r="C83" s="2" t="str">
        <x:f>IF(B83="","",B83*'Results'!B30)</x:f>
      </x:c>
      <x:c r="D83" s="2" t="str">
        <x:f>IF(B83="","",B83*'Results'!C30)</x:f>
      </x:c>
      <x:c r="E83" s="2" t="str">
        <x:f>IF(B83="","",'Results'!B12)</x:f>
      </x:c>
      <x:c r="F83" s="2" t="str">
        <x:f>IF(B83="","",'Results'!C12)</x:f>
      </x:c>
      <x:c r="G83" s="2"/>
      <x:c r="H83" s="2"/>
      <x:c r="I83" s="2"/>
      <x:c r="J83" s="2"/>
    </x:row>
    <x:row r="84" ht="22" customHeight="1">
      <x:c r="A84" s="24" t="str">
        <x:f>IF($B$5="","",(84-18)*IF(ISNUMBER('Results'!B38),MAX('Inputs'!$B$37,'Results'!B38*1.2),'Inputs'!$B$37)/200)</x:f>
      </x:c>
      <x:c r="B84" s="20" t="str">
        <x:f>IF(A84="","",MAX(0,1-$B$5*LN(1+A84/'Inputs'!$B$38)))</x:f>
      </x:c>
      <x:c r="C84" s="2" t="str">
        <x:f>IF(B84="","",B84*'Results'!B30)</x:f>
      </x:c>
      <x:c r="D84" s="2" t="str">
        <x:f>IF(B84="","",B84*'Results'!C30)</x:f>
      </x:c>
      <x:c r="E84" s="2" t="str">
        <x:f>IF(B84="","",'Results'!B12)</x:f>
      </x:c>
      <x:c r="F84" s="2" t="str">
        <x:f>IF(B84="","",'Results'!C12)</x:f>
      </x:c>
      <x:c r="G84" s="2"/>
      <x:c r="H84" s="2"/>
      <x:c r="I84" s="2"/>
      <x:c r="J84" s="2"/>
    </x:row>
    <x:row r="85" ht="22" customHeight="1">
      <x:c r="A85" s="24" t="str">
        <x:f>IF($B$5="","",(85-18)*IF(ISNUMBER('Results'!B38),MAX('Inputs'!$B$37,'Results'!B38*1.2),'Inputs'!$B$37)/200)</x:f>
      </x:c>
      <x:c r="B85" s="20" t="str">
        <x:f>IF(A85="","",MAX(0,1-$B$5*LN(1+A85/'Inputs'!$B$38)))</x:f>
      </x:c>
      <x:c r="C85" s="2" t="str">
        <x:f>IF(B85="","",B85*'Results'!B30)</x:f>
      </x:c>
      <x:c r="D85" s="2" t="str">
        <x:f>IF(B85="","",B85*'Results'!C30)</x:f>
      </x:c>
      <x:c r="E85" s="2" t="str">
        <x:f>IF(B85="","",'Results'!B12)</x:f>
      </x:c>
      <x:c r="F85" s="2" t="str">
        <x:f>IF(B85="","",'Results'!C12)</x:f>
      </x:c>
      <x:c r="G85" s="2"/>
      <x:c r="H85" s="2"/>
      <x:c r="I85" s="2"/>
      <x:c r="J85" s="2"/>
    </x:row>
    <x:row r="86" ht="22" customHeight="1">
      <x:c r="A86" s="24" t="str">
        <x:f>IF($B$5="","",(86-18)*IF(ISNUMBER('Results'!B38),MAX('Inputs'!$B$37,'Results'!B38*1.2),'Inputs'!$B$37)/200)</x:f>
      </x:c>
      <x:c r="B86" s="20" t="str">
        <x:f>IF(A86="","",MAX(0,1-$B$5*LN(1+A86/'Inputs'!$B$38)))</x:f>
      </x:c>
      <x:c r="C86" s="2" t="str">
        <x:f>IF(B86="","",B86*'Results'!B30)</x:f>
      </x:c>
      <x:c r="D86" s="2" t="str">
        <x:f>IF(B86="","",B86*'Results'!C30)</x:f>
      </x:c>
      <x:c r="E86" s="2" t="str">
        <x:f>IF(B86="","",'Results'!B12)</x:f>
      </x:c>
      <x:c r="F86" s="2" t="str">
        <x:f>IF(B86="","",'Results'!C12)</x:f>
      </x:c>
      <x:c r="G86" s="2"/>
      <x:c r="H86" s="2"/>
      <x:c r="I86" s="2"/>
      <x:c r="J86" s="2"/>
    </x:row>
    <x:row r="87" ht="22" customHeight="1">
      <x:c r="A87" s="24" t="str">
        <x:f>IF($B$5="","",(87-18)*IF(ISNUMBER('Results'!B38),MAX('Inputs'!$B$37,'Results'!B38*1.2),'Inputs'!$B$37)/200)</x:f>
      </x:c>
      <x:c r="B87" s="20" t="str">
        <x:f>IF(A87="","",MAX(0,1-$B$5*LN(1+A87/'Inputs'!$B$38)))</x:f>
      </x:c>
      <x:c r="C87" s="2" t="str">
        <x:f>IF(B87="","",B87*'Results'!B30)</x:f>
      </x:c>
      <x:c r="D87" s="2" t="str">
        <x:f>IF(B87="","",B87*'Results'!C30)</x:f>
      </x:c>
      <x:c r="E87" s="2" t="str">
        <x:f>IF(B87="","",'Results'!B12)</x:f>
      </x:c>
      <x:c r="F87" s="2" t="str">
        <x:f>IF(B87="","",'Results'!C12)</x:f>
      </x:c>
      <x:c r="G87" s="2"/>
      <x:c r="H87" s="2"/>
      <x:c r="I87" s="2"/>
      <x:c r="J87" s="2"/>
    </x:row>
    <x:row r="88" ht="22" customHeight="1">
      <x:c r="A88" s="24" t="str">
        <x:f>IF($B$5="","",(88-18)*IF(ISNUMBER('Results'!B38),MAX('Inputs'!$B$37,'Results'!B38*1.2),'Inputs'!$B$37)/200)</x:f>
      </x:c>
      <x:c r="B88" s="20" t="str">
        <x:f>IF(A88="","",MAX(0,1-$B$5*LN(1+A88/'Inputs'!$B$38)))</x:f>
      </x:c>
      <x:c r="C88" s="2" t="str">
        <x:f>IF(B88="","",B88*'Results'!B30)</x:f>
      </x:c>
      <x:c r="D88" s="2" t="str">
        <x:f>IF(B88="","",B88*'Results'!C30)</x:f>
      </x:c>
      <x:c r="E88" s="2" t="str">
        <x:f>IF(B88="","",'Results'!B12)</x:f>
      </x:c>
      <x:c r="F88" s="2" t="str">
        <x:f>IF(B88="","",'Results'!C12)</x:f>
      </x:c>
      <x:c r="G88" s="2"/>
      <x:c r="H88" s="2"/>
      <x:c r="I88" s="2"/>
      <x:c r="J88" s="2"/>
    </x:row>
    <x:row r="89" ht="22" customHeight="1">
      <x:c r="A89" s="24" t="str">
        <x:f>IF($B$5="","",(89-18)*IF(ISNUMBER('Results'!B38),MAX('Inputs'!$B$37,'Results'!B38*1.2),'Inputs'!$B$37)/200)</x:f>
      </x:c>
      <x:c r="B89" s="20" t="str">
        <x:f>IF(A89="","",MAX(0,1-$B$5*LN(1+A89/'Inputs'!$B$38)))</x:f>
      </x:c>
      <x:c r="C89" s="2" t="str">
        <x:f>IF(B89="","",B89*'Results'!B30)</x:f>
      </x:c>
      <x:c r="D89" s="2" t="str">
        <x:f>IF(B89="","",B89*'Results'!C30)</x:f>
      </x:c>
      <x:c r="E89" s="2" t="str">
        <x:f>IF(B89="","",'Results'!B12)</x:f>
      </x:c>
      <x:c r="F89" s="2" t="str">
        <x:f>IF(B89="","",'Results'!C12)</x:f>
      </x:c>
      <x:c r="G89" s="2"/>
      <x:c r="H89" s="2"/>
      <x:c r="I89" s="2"/>
      <x:c r="J89" s="2"/>
    </x:row>
    <x:row r="90" ht="22" customHeight="1">
      <x:c r="A90" s="24" t="str">
        <x:f>IF($B$5="","",(90-18)*IF(ISNUMBER('Results'!B38),MAX('Inputs'!$B$37,'Results'!B38*1.2),'Inputs'!$B$37)/200)</x:f>
      </x:c>
      <x:c r="B90" s="20" t="str">
        <x:f>IF(A90="","",MAX(0,1-$B$5*LN(1+A90/'Inputs'!$B$38)))</x:f>
      </x:c>
      <x:c r="C90" s="2" t="str">
        <x:f>IF(B90="","",B90*'Results'!B30)</x:f>
      </x:c>
      <x:c r="D90" s="2" t="str">
        <x:f>IF(B90="","",B90*'Results'!C30)</x:f>
      </x:c>
      <x:c r="E90" s="2" t="str">
        <x:f>IF(B90="","",'Results'!B12)</x:f>
      </x:c>
      <x:c r="F90" s="2" t="str">
        <x:f>IF(B90="","",'Results'!C12)</x:f>
      </x:c>
      <x:c r="G90" s="2"/>
      <x:c r="H90" s="2"/>
      <x:c r="I90" s="2"/>
      <x:c r="J90" s="2"/>
    </x:row>
    <x:row r="91" ht="22" customHeight="1">
      <x:c r="A91" s="24" t="str">
        <x:f>IF($B$5="","",(91-18)*IF(ISNUMBER('Results'!B38),MAX('Inputs'!$B$37,'Results'!B38*1.2),'Inputs'!$B$37)/200)</x:f>
      </x:c>
      <x:c r="B91" s="20" t="str">
        <x:f>IF(A91="","",MAX(0,1-$B$5*LN(1+A91/'Inputs'!$B$38)))</x:f>
      </x:c>
      <x:c r="C91" s="2" t="str">
        <x:f>IF(B91="","",B91*'Results'!B30)</x:f>
      </x:c>
      <x:c r="D91" s="2" t="str">
        <x:f>IF(B91="","",B91*'Results'!C30)</x:f>
      </x:c>
      <x:c r="E91" s="2" t="str">
        <x:f>IF(B91="","",'Results'!B12)</x:f>
      </x:c>
      <x:c r="F91" s="2" t="str">
        <x:f>IF(B91="","",'Results'!C12)</x:f>
      </x:c>
      <x:c r="G91" s="2"/>
      <x:c r="H91" s="2"/>
      <x:c r="I91" s="2"/>
      <x:c r="J91" s="2"/>
    </x:row>
    <x:row r="92" ht="22" customHeight="1">
      <x:c r="A92" s="24" t="str">
        <x:f>IF($B$5="","",(92-18)*IF(ISNUMBER('Results'!B38),MAX('Inputs'!$B$37,'Results'!B38*1.2),'Inputs'!$B$37)/200)</x:f>
      </x:c>
      <x:c r="B92" s="20" t="str">
        <x:f>IF(A92="","",MAX(0,1-$B$5*LN(1+A92/'Inputs'!$B$38)))</x:f>
      </x:c>
      <x:c r="C92" s="2" t="str">
        <x:f>IF(B92="","",B92*'Results'!B30)</x:f>
      </x:c>
      <x:c r="D92" s="2" t="str">
        <x:f>IF(B92="","",B92*'Results'!C30)</x:f>
      </x:c>
      <x:c r="E92" s="2" t="str">
        <x:f>IF(B92="","",'Results'!B12)</x:f>
      </x:c>
      <x:c r="F92" s="2" t="str">
        <x:f>IF(B92="","",'Results'!C12)</x:f>
      </x:c>
      <x:c r="G92" s="2"/>
      <x:c r="H92" s="2"/>
      <x:c r="I92" s="2"/>
      <x:c r="J92" s="2"/>
    </x:row>
    <x:row r="93" ht="22" customHeight="1">
      <x:c r="A93" s="24" t="str">
        <x:f>IF($B$5="","",(93-18)*IF(ISNUMBER('Results'!B38),MAX('Inputs'!$B$37,'Results'!B38*1.2),'Inputs'!$B$37)/200)</x:f>
      </x:c>
      <x:c r="B93" s="20" t="str">
        <x:f>IF(A93="","",MAX(0,1-$B$5*LN(1+A93/'Inputs'!$B$38)))</x:f>
      </x:c>
      <x:c r="C93" s="2" t="str">
        <x:f>IF(B93="","",B93*'Results'!B30)</x:f>
      </x:c>
      <x:c r="D93" s="2" t="str">
        <x:f>IF(B93="","",B93*'Results'!C30)</x:f>
      </x:c>
      <x:c r="E93" s="2" t="str">
        <x:f>IF(B93="","",'Results'!B12)</x:f>
      </x:c>
      <x:c r="F93" s="2" t="str">
        <x:f>IF(B93="","",'Results'!C12)</x:f>
      </x:c>
      <x:c r="G93" s="2"/>
      <x:c r="H93" s="2"/>
      <x:c r="I93" s="2"/>
      <x:c r="J93" s="2"/>
    </x:row>
    <x:row r="94" ht="22" customHeight="1">
      <x:c r="A94" s="24" t="str">
        <x:f>IF($B$5="","",(94-18)*IF(ISNUMBER('Results'!B38),MAX('Inputs'!$B$37,'Results'!B38*1.2),'Inputs'!$B$37)/200)</x:f>
      </x:c>
      <x:c r="B94" s="20" t="str">
        <x:f>IF(A94="","",MAX(0,1-$B$5*LN(1+A94/'Inputs'!$B$38)))</x:f>
      </x:c>
      <x:c r="C94" s="2" t="str">
        <x:f>IF(B94="","",B94*'Results'!B30)</x:f>
      </x:c>
      <x:c r="D94" s="2" t="str">
        <x:f>IF(B94="","",B94*'Results'!C30)</x:f>
      </x:c>
      <x:c r="E94" s="2" t="str">
        <x:f>IF(B94="","",'Results'!B12)</x:f>
      </x:c>
      <x:c r="F94" s="2" t="str">
        <x:f>IF(B94="","",'Results'!C12)</x:f>
      </x:c>
      <x:c r="G94" s="2"/>
      <x:c r="H94" s="2"/>
      <x:c r="I94" s="2"/>
      <x:c r="J94" s="2"/>
    </x:row>
    <x:row r="95" ht="22" customHeight="1">
      <x:c r="A95" s="24" t="str">
        <x:f>IF($B$5="","",(95-18)*IF(ISNUMBER('Results'!B38),MAX('Inputs'!$B$37,'Results'!B38*1.2),'Inputs'!$B$37)/200)</x:f>
      </x:c>
      <x:c r="B95" s="20" t="str">
        <x:f>IF(A95="","",MAX(0,1-$B$5*LN(1+A95/'Inputs'!$B$38)))</x:f>
      </x:c>
      <x:c r="C95" s="2" t="str">
        <x:f>IF(B95="","",B95*'Results'!B30)</x:f>
      </x:c>
      <x:c r="D95" s="2" t="str">
        <x:f>IF(B95="","",B95*'Results'!C30)</x:f>
      </x:c>
      <x:c r="E95" s="2" t="str">
        <x:f>IF(B95="","",'Results'!B12)</x:f>
      </x:c>
      <x:c r="F95" s="2" t="str">
        <x:f>IF(B95="","",'Results'!C12)</x:f>
      </x:c>
      <x:c r="G95" s="2"/>
      <x:c r="H95" s="2"/>
      <x:c r="I95" s="2"/>
      <x:c r="J95" s="2"/>
    </x:row>
    <x:row r="96" ht="22" customHeight="1">
      <x:c r="A96" s="24" t="str">
        <x:f>IF($B$5="","",(96-18)*IF(ISNUMBER('Results'!B38),MAX('Inputs'!$B$37,'Results'!B38*1.2),'Inputs'!$B$37)/200)</x:f>
      </x:c>
      <x:c r="B96" s="20" t="str">
        <x:f>IF(A96="","",MAX(0,1-$B$5*LN(1+A96/'Inputs'!$B$38)))</x:f>
      </x:c>
      <x:c r="C96" s="2" t="str">
        <x:f>IF(B96="","",B96*'Results'!B30)</x:f>
      </x:c>
      <x:c r="D96" s="2" t="str">
        <x:f>IF(B96="","",B96*'Results'!C30)</x:f>
      </x:c>
      <x:c r="E96" s="2" t="str">
        <x:f>IF(B96="","",'Results'!B12)</x:f>
      </x:c>
      <x:c r="F96" s="2" t="str">
        <x:f>IF(B96="","",'Results'!C12)</x:f>
      </x:c>
      <x:c r="G96" s="2"/>
      <x:c r="H96" s="2"/>
      <x:c r="I96" s="2"/>
      <x:c r="J96" s="2"/>
    </x:row>
    <x:row r="97" ht="22" customHeight="1">
      <x:c r="A97" s="24" t="str">
        <x:f>IF($B$5="","",(97-18)*IF(ISNUMBER('Results'!B38),MAX('Inputs'!$B$37,'Results'!B38*1.2),'Inputs'!$B$37)/200)</x:f>
      </x:c>
      <x:c r="B97" s="20" t="str">
        <x:f>IF(A97="","",MAX(0,1-$B$5*LN(1+A97/'Inputs'!$B$38)))</x:f>
      </x:c>
      <x:c r="C97" s="2" t="str">
        <x:f>IF(B97="","",B97*'Results'!B30)</x:f>
      </x:c>
      <x:c r="D97" s="2" t="str">
        <x:f>IF(B97="","",B97*'Results'!C30)</x:f>
      </x:c>
      <x:c r="E97" s="2" t="str">
        <x:f>IF(B97="","",'Results'!B12)</x:f>
      </x:c>
      <x:c r="F97" s="2" t="str">
        <x:f>IF(B97="","",'Results'!C12)</x:f>
      </x:c>
      <x:c r="G97" s="2"/>
      <x:c r="H97" s="2"/>
      <x:c r="I97" s="2"/>
      <x:c r="J97" s="2"/>
    </x:row>
    <x:row r="98" ht="22" customHeight="1">
      <x:c r="A98" s="24" t="str">
        <x:f>IF($B$5="","",(98-18)*IF(ISNUMBER('Results'!B38),MAX('Inputs'!$B$37,'Results'!B38*1.2),'Inputs'!$B$37)/200)</x:f>
      </x:c>
      <x:c r="B98" s="20" t="str">
        <x:f>IF(A98="","",MAX(0,1-$B$5*LN(1+A98/'Inputs'!$B$38)))</x:f>
      </x:c>
      <x:c r="C98" s="2" t="str">
        <x:f>IF(B98="","",B98*'Results'!B30)</x:f>
      </x:c>
      <x:c r="D98" s="2" t="str">
        <x:f>IF(B98="","",B98*'Results'!C30)</x:f>
      </x:c>
      <x:c r="E98" s="2" t="str">
        <x:f>IF(B98="","",'Results'!B12)</x:f>
      </x:c>
      <x:c r="F98" s="2" t="str">
        <x:f>IF(B98="","",'Results'!C12)</x:f>
      </x:c>
      <x:c r="G98" s="2"/>
      <x:c r="H98" s="2"/>
      <x:c r="I98" s="2"/>
      <x:c r="J98" s="2"/>
    </x:row>
    <x:row r="99" ht="22" customHeight="1">
      <x:c r="A99" s="24" t="str">
        <x:f>IF($B$5="","",(99-18)*IF(ISNUMBER('Results'!B38),MAX('Inputs'!$B$37,'Results'!B38*1.2),'Inputs'!$B$37)/200)</x:f>
      </x:c>
      <x:c r="B99" s="20" t="str">
        <x:f>IF(A99="","",MAX(0,1-$B$5*LN(1+A99/'Inputs'!$B$38)))</x:f>
      </x:c>
      <x:c r="C99" s="2" t="str">
        <x:f>IF(B99="","",B99*'Results'!B30)</x:f>
      </x:c>
      <x:c r="D99" s="2" t="str">
        <x:f>IF(B99="","",B99*'Results'!C30)</x:f>
      </x:c>
      <x:c r="E99" s="2" t="str">
        <x:f>IF(B99="","",'Results'!B12)</x:f>
      </x:c>
      <x:c r="F99" s="2" t="str">
        <x:f>IF(B99="","",'Results'!C12)</x:f>
      </x:c>
      <x:c r="G99" s="2"/>
      <x:c r="H99" s="2"/>
      <x:c r="I99" s="2"/>
      <x:c r="J99" s="2"/>
    </x:row>
    <x:row r="100" ht="22" customHeight="1">
      <x:c r="A100" s="24" t="str">
        <x:f>IF($B$5="","",(100-18)*IF(ISNUMBER('Results'!B38),MAX('Inputs'!$B$37,'Results'!B38*1.2),'Inputs'!$B$37)/200)</x:f>
      </x:c>
      <x:c r="B100" s="20" t="str">
        <x:f>IF(A100="","",MAX(0,1-$B$5*LN(1+A100/'Inputs'!$B$38)))</x:f>
      </x:c>
      <x:c r="C100" s="2" t="str">
        <x:f>IF(B100="","",B100*'Results'!B30)</x:f>
      </x:c>
      <x:c r="D100" s="2" t="str">
        <x:f>IF(B100="","",B100*'Results'!C30)</x:f>
      </x:c>
      <x:c r="E100" s="2" t="str">
        <x:f>IF(B100="","",'Results'!B12)</x:f>
      </x:c>
      <x:c r="F100" s="2" t="str">
        <x:f>IF(B100="","",'Results'!C12)</x:f>
      </x:c>
      <x:c r="G100" s="2"/>
      <x:c r="H100" s="2"/>
      <x:c r="I100" s="2"/>
      <x:c r="J100" s="2"/>
    </x:row>
    <x:row r="101" ht="22" customHeight="1">
      <x:c r="A101" s="24" t="str">
        <x:f>IF($B$5="","",(101-18)*IF(ISNUMBER('Results'!B38),MAX('Inputs'!$B$37,'Results'!B38*1.2),'Inputs'!$B$37)/200)</x:f>
      </x:c>
      <x:c r="B101" s="20" t="str">
        <x:f>IF(A101="","",MAX(0,1-$B$5*LN(1+A101/'Inputs'!$B$38)))</x:f>
      </x:c>
      <x:c r="C101" s="2" t="str">
        <x:f>IF(B101="","",B101*'Results'!B30)</x:f>
      </x:c>
      <x:c r="D101" s="2" t="str">
        <x:f>IF(B101="","",B101*'Results'!C30)</x:f>
      </x:c>
      <x:c r="E101" s="2" t="str">
        <x:f>IF(B101="","",'Results'!B12)</x:f>
      </x:c>
      <x:c r="F101" s="2" t="str">
        <x:f>IF(B101="","",'Results'!C12)</x:f>
      </x:c>
      <x:c r="G101" s="2"/>
      <x:c r="H101" s="2"/>
      <x:c r="I101" s="2"/>
      <x:c r="J101" s="2"/>
    </x:row>
    <x:row r="102" ht="22" customHeight="1">
      <x:c r="A102" s="24" t="str">
        <x:f>IF($B$5="","",(102-18)*IF(ISNUMBER('Results'!B38),MAX('Inputs'!$B$37,'Results'!B38*1.2),'Inputs'!$B$37)/200)</x:f>
      </x:c>
      <x:c r="B102" s="20" t="str">
        <x:f>IF(A102="","",MAX(0,1-$B$5*LN(1+A102/'Inputs'!$B$38)))</x:f>
      </x:c>
      <x:c r="C102" s="2" t="str">
        <x:f>IF(B102="","",B102*'Results'!B30)</x:f>
      </x:c>
      <x:c r="D102" s="2" t="str">
        <x:f>IF(B102="","",B102*'Results'!C30)</x:f>
      </x:c>
      <x:c r="E102" s="2" t="str">
        <x:f>IF(B102="","",'Results'!B12)</x:f>
      </x:c>
      <x:c r="F102" s="2" t="str">
        <x:f>IF(B102="","",'Results'!C12)</x:f>
      </x:c>
      <x:c r="G102" s="2"/>
      <x:c r="H102" s="2"/>
      <x:c r="I102" s="2"/>
      <x:c r="J102" s="2"/>
    </x:row>
    <x:row r="103" ht="22" customHeight="1">
      <x:c r="A103" s="24" t="str">
        <x:f>IF($B$5="","",(103-18)*IF(ISNUMBER('Results'!B38),MAX('Inputs'!$B$37,'Results'!B38*1.2),'Inputs'!$B$37)/200)</x:f>
      </x:c>
      <x:c r="B103" s="20" t="str">
        <x:f>IF(A103="","",MAX(0,1-$B$5*LN(1+A103/'Inputs'!$B$38)))</x:f>
      </x:c>
      <x:c r="C103" s="2" t="str">
        <x:f>IF(B103="","",B103*'Results'!B30)</x:f>
      </x:c>
      <x:c r="D103" s="2" t="str">
        <x:f>IF(B103="","",B103*'Results'!C30)</x:f>
      </x:c>
      <x:c r="E103" s="2" t="str">
        <x:f>IF(B103="","",'Results'!B12)</x:f>
      </x:c>
      <x:c r="F103" s="2" t="str">
        <x:f>IF(B103="","",'Results'!C12)</x:f>
      </x:c>
      <x:c r="G103" s="2"/>
      <x:c r="H103" s="2"/>
      <x:c r="I103" s="2"/>
      <x:c r="J103" s="2"/>
    </x:row>
    <x:row r="104" ht="22" customHeight="1">
      <x:c r="A104" s="24" t="str">
        <x:f>IF($B$5="","",(104-18)*IF(ISNUMBER('Results'!B38),MAX('Inputs'!$B$37,'Results'!B38*1.2),'Inputs'!$B$37)/200)</x:f>
      </x:c>
      <x:c r="B104" s="20" t="str">
        <x:f>IF(A104="","",MAX(0,1-$B$5*LN(1+A104/'Inputs'!$B$38)))</x:f>
      </x:c>
      <x:c r="C104" s="2" t="str">
        <x:f>IF(B104="","",B104*'Results'!B30)</x:f>
      </x:c>
      <x:c r="D104" s="2" t="str">
        <x:f>IF(B104="","",B104*'Results'!C30)</x:f>
      </x:c>
      <x:c r="E104" s="2" t="str">
        <x:f>IF(B104="","",'Results'!B12)</x:f>
      </x:c>
      <x:c r="F104" s="2" t="str">
        <x:f>IF(B104="","",'Results'!C12)</x:f>
      </x:c>
      <x:c r="G104" s="2"/>
      <x:c r="H104" s="2"/>
      <x:c r="I104" s="2"/>
      <x:c r="J104" s="2"/>
    </x:row>
    <x:row r="105" ht="22" customHeight="1">
      <x:c r="A105" s="24" t="str">
        <x:f>IF($B$5="","",(105-18)*IF(ISNUMBER('Results'!B38),MAX('Inputs'!$B$37,'Results'!B38*1.2),'Inputs'!$B$37)/200)</x:f>
      </x:c>
      <x:c r="B105" s="20" t="str">
        <x:f>IF(A105="","",MAX(0,1-$B$5*LN(1+A105/'Inputs'!$B$38)))</x:f>
      </x:c>
      <x:c r="C105" s="2" t="str">
        <x:f>IF(B105="","",B105*'Results'!B30)</x:f>
      </x:c>
      <x:c r="D105" s="2" t="str">
        <x:f>IF(B105="","",B105*'Results'!C30)</x:f>
      </x:c>
      <x:c r="E105" s="2" t="str">
        <x:f>IF(B105="","",'Results'!B12)</x:f>
      </x:c>
      <x:c r="F105" s="2" t="str">
        <x:f>IF(B105="","",'Results'!C12)</x:f>
      </x:c>
      <x:c r="G105" s="2"/>
      <x:c r="H105" s="2"/>
      <x:c r="I105" s="2"/>
      <x:c r="J105" s="2"/>
    </x:row>
    <x:row r="106" ht="22" customHeight="1">
      <x:c r="A106" s="24" t="str">
        <x:f>IF($B$5="","",(106-18)*IF(ISNUMBER('Results'!B38),MAX('Inputs'!$B$37,'Results'!B38*1.2),'Inputs'!$B$37)/200)</x:f>
      </x:c>
      <x:c r="B106" s="20" t="str">
        <x:f>IF(A106="","",MAX(0,1-$B$5*LN(1+A106/'Inputs'!$B$38)))</x:f>
      </x:c>
      <x:c r="C106" s="2" t="str">
        <x:f>IF(B106="","",B106*'Results'!B30)</x:f>
      </x:c>
      <x:c r="D106" s="2" t="str">
        <x:f>IF(B106="","",B106*'Results'!C30)</x:f>
      </x:c>
      <x:c r="E106" s="2" t="str">
        <x:f>IF(B106="","",'Results'!B12)</x:f>
      </x:c>
      <x:c r="F106" s="2" t="str">
        <x:f>IF(B106="","",'Results'!C12)</x:f>
      </x:c>
      <x:c r="G106" s="2"/>
      <x:c r="H106" s="2"/>
      <x:c r="I106" s="2"/>
      <x:c r="J106" s="2"/>
    </x:row>
    <x:row r="107" ht="22" customHeight="1">
      <x:c r="A107" s="24" t="str">
        <x:f>IF($B$5="","",(107-18)*IF(ISNUMBER('Results'!B38),MAX('Inputs'!$B$37,'Results'!B38*1.2),'Inputs'!$B$37)/200)</x:f>
      </x:c>
      <x:c r="B107" s="20" t="str">
        <x:f>IF(A107="","",MAX(0,1-$B$5*LN(1+A107/'Inputs'!$B$38)))</x:f>
      </x:c>
      <x:c r="C107" s="2" t="str">
        <x:f>IF(B107="","",B107*'Results'!B30)</x:f>
      </x:c>
      <x:c r="D107" s="2" t="str">
        <x:f>IF(B107="","",B107*'Results'!C30)</x:f>
      </x:c>
      <x:c r="E107" s="2" t="str">
        <x:f>IF(B107="","",'Results'!B12)</x:f>
      </x:c>
      <x:c r="F107" s="2" t="str">
        <x:f>IF(B107="","",'Results'!C12)</x:f>
      </x:c>
      <x:c r="G107" s="2"/>
      <x:c r="H107" s="2"/>
      <x:c r="I107" s="2"/>
      <x:c r="J107" s="2"/>
    </x:row>
    <x:row r="108" ht="22" customHeight="1">
      <x:c r="A108" s="24" t="str">
        <x:f>IF($B$5="","",(108-18)*IF(ISNUMBER('Results'!B38),MAX('Inputs'!$B$37,'Results'!B38*1.2),'Inputs'!$B$37)/200)</x:f>
      </x:c>
      <x:c r="B108" s="20" t="str">
        <x:f>IF(A108="","",MAX(0,1-$B$5*LN(1+A108/'Inputs'!$B$38)))</x:f>
      </x:c>
      <x:c r="C108" s="2" t="str">
        <x:f>IF(B108="","",B108*'Results'!B30)</x:f>
      </x:c>
      <x:c r="D108" s="2" t="str">
        <x:f>IF(B108="","",B108*'Results'!C30)</x:f>
      </x:c>
      <x:c r="E108" s="2" t="str">
        <x:f>IF(B108="","",'Results'!B12)</x:f>
      </x:c>
      <x:c r="F108" s="2" t="str">
        <x:f>IF(B108="","",'Results'!C12)</x:f>
      </x:c>
      <x:c r="G108" s="2"/>
      <x:c r="H108" s="2"/>
      <x:c r="I108" s="2"/>
      <x:c r="J108" s="2"/>
    </x:row>
    <x:row r="109" ht="22" customHeight="1">
      <x:c r="A109" s="24" t="str">
        <x:f>IF($B$5="","",(109-18)*IF(ISNUMBER('Results'!B38),MAX('Inputs'!$B$37,'Results'!B38*1.2),'Inputs'!$B$37)/200)</x:f>
      </x:c>
      <x:c r="B109" s="20" t="str">
        <x:f>IF(A109="","",MAX(0,1-$B$5*LN(1+A109/'Inputs'!$B$38)))</x:f>
      </x:c>
      <x:c r="C109" s="2" t="str">
        <x:f>IF(B109="","",B109*'Results'!B30)</x:f>
      </x:c>
      <x:c r="D109" s="2" t="str">
        <x:f>IF(B109="","",B109*'Results'!C30)</x:f>
      </x:c>
      <x:c r="E109" s="2" t="str">
        <x:f>IF(B109="","",'Results'!B12)</x:f>
      </x:c>
      <x:c r="F109" s="2" t="str">
        <x:f>IF(B109="","",'Results'!C12)</x:f>
      </x:c>
      <x:c r="G109" s="2"/>
      <x:c r="H109" s="2"/>
      <x:c r="I109" s="2"/>
      <x:c r="J109" s="2"/>
    </x:row>
    <x:row r="110" ht="22" customHeight="1">
      <x:c r="A110" s="24" t="str">
        <x:f>IF($B$5="","",(110-18)*IF(ISNUMBER('Results'!B38),MAX('Inputs'!$B$37,'Results'!B38*1.2),'Inputs'!$B$37)/200)</x:f>
      </x:c>
      <x:c r="B110" s="20" t="str">
        <x:f>IF(A110="","",MAX(0,1-$B$5*LN(1+A110/'Inputs'!$B$38)))</x:f>
      </x:c>
      <x:c r="C110" s="2" t="str">
        <x:f>IF(B110="","",B110*'Results'!B30)</x:f>
      </x:c>
      <x:c r="D110" s="2" t="str">
        <x:f>IF(B110="","",B110*'Results'!C30)</x:f>
      </x:c>
      <x:c r="E110" s="2" t="str">
        <x:f>IF(B110="","",'Results'!B12)</x:f>
      </x:c>
      <x:c r="F110" s="2" t="str">
        <x:f>IF(B110="","",'Results'!C12)</x:f>
      </x:c>
      <x:c r="G110" s="2"/>
      <x:c r="H110" s="2"/>
      <x:c r="I110" s="2"/>
      <x:c r="J110" s="2"/>
    </x:row>
    <x:row r="111" ht="22" customHeight="1">
      <x:c r="A111" s="24" t="str">
        <x:f>IF($B$5="","",(111-18)*IF(ISNUMBER('Results'!B38),MAX('Inputs'!$B$37,'Results'!B38*1.2),'Inputs'!$B$37)/200)</x:f>
      </x:c>
      <x:c r="B111" s="20" t="str">
        <x:f>IF(A111="","",MAX(0,1-$B$5*LN(1+A111/'Inputs'!$B$38)))</x:f>
      </x:c>
      <x:c r="C111" s="2" t="str">
        <x:f>IF(B111="","",B111*'Results'!B30)</x:f>
      </x:c>
      <x:c r="D111" s="2" t="str">
        <x:f>IF(B111="","",B111*'Results'!C30)</x:f>
      </x:c>
      <x:c r="E111" s="2" t="str">
        <x:f>IF(B111="","",'Results'!B12)</x:f>
      </x:c>
      <x:c r="F111" s="2" t="str">
        <x:f>IF(B111="","",'Results'!C12)</x:f>
      </x:c>
      <x:c r="G111" s="2"/>
      <x:c r="H111" s="2"/>
      <x:c r="I111" s="2"/>
      <x:c r="J111" s="2"/>
    </x:row>
    <x:row r="112" ht="22" customHeight="1">
      <x:c r="A112" s="24" t="str">
        <x:f>IF($B$5="","",(112-18)*IF(ISNUMBER('Results'!B38),MAX('Inputs'!$B$37,'Results'!B38*1.2),'Inputs'!$B$37)/200)</x:f>
      </x:c>
      <x:c r="B112" s="20" t="str">
        <x:f>IF(A112="","",MAX(0,1-$B$5*LN(1+A112/'Inputs'!$B$38)))</x:f>
      </x:c>
      <x:c r="C112" s="2" t="str">
        <x:f>IF(B112="","",B112*'Results'!B30)</x:f>
      </x:c>
      <x:c r="D112" s="2" t="str">
        <x:f>IF(B112="","",B112*'Results'!C30)</x:f>
      </x:c>
      <x:c r="E112" s="2" t="str">
        <x:f>IF(B112="","",'Results'!B12)</x:f>
      </x:c>
      <x:c r="F112" s="2" t="str">
        <x:f>IF(B112="","",'Results'!C12)</x:f>
      </x:c>
      <x:c r="G112" s="2"/>
      <x:c r="H112" s="2"/>
      <x:c r="I112" s="2"/>
      <x:c r="J112" s="2"/>
    </x:row>
    <x:row r="113" ht="22" customHeight="1">
      <x:c r="A113" s="24" t="str">
        <x:f>IF($B$5="","",(113-18)*IF(ISNUMBER('Results'!B38),MAX('Inputs'!$B$37,'Results'!B38*1.2),'Inputs'!$B$37)/200)</x:f>
      </x:c>
      <x:c r="B113" s="20" t="str">
        <x:f>IF(A113="","",MAX(0,1-$B$5*LN(1+A113/'Inputs'!$B$38)))</x:f>
      </x:c>
      <x:c r="C113" s="2" t="str">
        <x:f>IF(B113="","",B113*'Results'!B30)</x:f>
      </x:c>
      <x:c r="D113" s="2" t="str">
        <x:f>IF(B113="","",B113*'Results'!C30)</x:f>
      </x:c>
      <x:c r="E113" s="2" t="str">
        <x:f>IF(B113="","",'Results'!B12)</x:f>
      </x:c>
      <x:c r="F113" s="2" t="str">
        <x:f>IF(B113="","",'Results'!C12)</x:f>
      </x:c>
      <x:c r="G113" s="2"/>
      <x:c r="H113" s="2"/>
      <x:c r="I113" s="2"/>
      <x:c r="J113" s="2"/>
    </x:row>
    <x:row r="114" ht="22" customHeight="1">
      <x:c r="A114" s="24" t="str">
        <x:f>IF($B$5="","",(114-18)*IF(ISNUMBER('Results'!B38),MAX('Inputs'!$B$37,'Results'!B38*1.2),'Inputs'!$B$37)/200)</x:f>
      </x:c>
      <x:c r="B114" s="20" t="str">
        <x:f>IF(A114="","",MAX(0,1-$B$5*LN(1+A114/'Inputs'!$B$38)))</x:f>
      </x:c>
      <x:c r="C114" s="2" t="str">
        <x:f>IF(B114="","",B114*'Results'!B30)</x:f>
      </x:c>
      <x:c r="D114" s="2" t="str">
        <x:f>IF(B114="","",B114*'Results'!C30)</x:f>
      </x:c>
      <x:c r="E114" s="2" t="str">
        <x:f>IF(B114="","",'Results'!B12)</x:f>
      </x:c>
      <x:c r="F114" s="2" t="str">
        <x:f>IF(B114="","",'Results'!C12)</x:f>
      </x:c>
      <x:c r="G114" s="2"/>
      <x:c r="H114" s="2"/>
      <x:c r="I114" s="2"/>
      <x:c r="J114" s="2"/>
    </x:row>
    <x:row r="115" ht="22" customHeight="1">
      <x:c r="A115" s="24" t="str">
        <x:f>IF($B$5="","",(115-18)*IF(ISNUMBER('Results'!B38),MAX('Inputs'!$B$37,'Results'!B38*1.2),'Inputs'!$B$37)/200)</x:f>
      </x:c>
      <x:c r="B115" s="20" t="str">
        <x:f>IF(A115="","",MAX(0,1-$B$5*LN(1+A115/'Inputs'!$B$38)))</x:f>
      </x:c>
      <x:c r="C115" s="2" t="str">
        <x:f>IF(B115="","",B115*'Results'!B30)</x:f>
      </x:c>
      <x:c r="D115" s="2" t="str">
        <x:f>IF(B115="","",B115*'Results'!C30)</x:f>
      </x:c>
      <x:c r="E115" s="2" t="str">
        <x:f>IF(B115="","",'Results'!B12)</x:f>
      </x:c>
      <x:c r="F115" s="2" t="str">
        <x:f>IF(B115="","",'Results'!C12)</x:f>
      </x:c>
      <x:c r="G115" s="2"/>
      <x:c r="H115" s="2"/>
      <x:c r="I115" s="2"/>
      <x:c r="J115" s="2"/>
    </x:row>
    <x:row r="116" ht="22" customHeight="1">
      <x:c r="A116" s="24" t="str">
        <x:f>IF($B$5="","",(116-18)*IF(ISNUMBER('Results'!B38),MAX('Inputs'!$B$37,'Results'!B38*1.2),'Inputs'!$B$37)/200)</x:f>
      </x:c>
      <x:c r="B116" s="20" t="str">
        <x:f>IF(A116="","",MAX(0,1-$B$5*LN(1+A116/'Inputs'!$B$38)))</x:f>
      </x:c>
      <x:c r="C116" s="2" t="str">
        <x:f>IF(B116="","",B116*'Results'!B30)</x:f>
      </x:c>
      <x:c r="D116" s="2" t="str">
        <x:f>IF(B116="","",B116*'Results'!C30)</x:f>
      </x:c>
      <x:c r="E116" s="2" t="str">
        <x:f>IF(B116="","",'Results'!B12)</x:f>
      </x:c>
      <x:c r="F116" s="2" t="str">
        <x:f>IF(B116="","",'Results'!C12)</x:f>
      </x:c>
      <x:c r="G116" s="2"/>
      <x:c r="H116" s="2"/>
      <x:c r="I116" s="2"/>
      <x:c r="J116" s="2"/>
    </x:row>
    <x:row r="117" ht="22" customHeight="1">
      <x:c r="A117" s="24" t="str">
        <x:f>IF($B$5="","",(117-18)*IF(ISNUMBER('Results'!B38),MAX('Inputs'!$B$37,'Results'!B38*1.2),'Inputs'!$B$37)/200)</x:f>
      </x:c>
      <x:c r="B117" s="20" t="str">
        <x:f>IF(A117="","",MAX(0,1-$B$5*LN(1+A117/'Inputs'!$B$38)))</x:f>
      </x:c>
      <x:c r="C117" s="2" t="str">
        <x:f>IF(B117="","",B117*'Results'!B30)</x:f>
      </x:c>
      <x:c r="D117" s="2" t="str">
        <x:f>IF(B117="","",B117*'Results'!C30)</x:f>
      </x:c>
      <x:c r="E117" s="2" t="str">
        <x:f>IF(B117="","",'Results'!B12)</x:f>
      </x:c>
      <x:c r="F117" s="2" t="str">
        <x:f>IF(B117="","",'Results'!C12)</x:f>
      </x:c>
      <x:c r="G117" s="2"/>
      <x:c r="H117" s="2"/>
      <x:c r="I117" s="2"/>
      <x:c r="J117" s="2"/>
    </x:row>
    <x:row r="118" ht="22" customHeight="1">
      <x:c r="A118" s="24" t="str">
        <x:f>IF($B$5="","",(118-18)*IF(ISNUMBER('Results'!B38),MAX('Inputs'!$B$37,'Results'!B38*1.2),'Inputs'!$B$37)/200)</x:f>
      </x:c>
      <x:c r="B118" s="20" t="str">
        <x:f>IF(A118="","",MAX(0,1-$B$5*LN(1+A118/'Inputs'!$B$38)))</x:f>
      </x:c>
      <x:c r="C118" s="2" t="str">
        <x:f>IF(B118="","",B118*'Results'!B30)</x:f>
      </x:c>
      <x:c r="D118" s="2" t="str">
        <x:f>IF(B118="","",B118*'Results'!C30)</x:f>
      </x:c>
      <x:c r="E118" s="2" t="str">
        <x:f>IF(B118="","",'Results'!B12)</x:f>
      </x:c>
      <x:c r="F118" s="2" t="str">
        <x:f>IF(B118="","",'Results'!C12)</x:f>
      </x:c>
      <x:c r="G118" s="2"/>
      <x:c r="H118" s="2"/>
      <x:c r="I118" s="2"/>
      <x:c r="J118" s="2"/>
    </x:row>
    <x:row r="119" ht="22" customHeight="1">
      <x:c r="A119" s="24" t="str">
        <x:f>IF($B$5="","",(119-18)*IF(ISNUMBER('Results'!B38),MAX('Inputs'!$B$37,'Results'!B38*1.2),'Inputs'!$B$37)/200)</x:f>
      </x:c>
      <x:c r="B119" s="20" t="str">
        <x:f>IF(A119="","",MAX(0,1-$B$5*LN(1+A119/'Inputs'!$B$38)))</x:f>
      </x:c>
      <x:c r="C119" s="2" t="str">
        <x:f>IF(B119="","",B119*'Results'!B30)</x:f>
      </x:c>
      <x:c r="D119" s="2" t="str">
        <x:f>IF(B119="","",B119*'Results'!C30)</x:f>
      </x:c>
      <x:c r="E119" s="2" t="str">
        <x:f>IF(B119="","",'Results'!B12)</x:f>
      </x:c>
      <x:c r="F119" s="2" t="str">
        <x:f>IF(B119="","",'Results'!C12)</x:f>
      </x:c>
      <x:c r="G119" s="2"/>
      <x:c r="H119" s="2"/>
      <x:c r="I119" s="2"/>
      <x:c r="J119" s="2"/>
    </x:row>
    <x:row r="120" ht="22" customHeight="1">
      <x:c r="A120" s="24" t="str">
        <x:f>IF($B$5="","",(120-18)*IF(ISNUMBER('Results'!B38),MAX('Inputs'!$B$37,'Results'!B38*1.2),'Inputs'!$B$37)/200)</x:f>
      </x:c>
      <x:c r="B120" s="20" t="str">
        <x:f>IF(A120="","",MAX(0,1-$B$5*LN(1+A120/'Inputs'!$B$38)))</x:f>
      </x:c>
      <x:c r="C120" s="2" t="str">
        <x:f>IF(B120="","",B120*'Results'!B30)</x:f>
      </x:c>
      <x:c r="D120" s="2" t="str">
        <x:f>IF(B120="","",B120*'Results'!C30)</x:f>
      </x:c>
      <x:c r="E120" s="2" t="str">
        <x:f>IF(B120="","",'Results'!B12)</x:f>
      </x:c>
      <x:c r="F120" s="2" t="str">
        <x:f>IF(B120="","",'Results'!C12)</x:f>
      </x:c>
      <x:c r="G120" s="2"/>
      <x:c r="H120" s="2"/>
      <x:c r="I120" s="2"/>
      <x:c r="J120" s="2"/>
    </x:row>
    <x:row r="121" ht="22" customHeight="1">
      <x:c r="A121" s="24" t="str">
        <x:f>IF($B$5="","",(121-18)*IF(ISNUMBER('Results'!B38),MAX('Inputs'!$B$37,'Results'!B38*1.2),'Inputs'!$B$37)/200)</x:f>
      </x:c>
      <x:c r="B121" s="20" t="str">
        <x:f>IF(A121="","",MAX(0,1-$B$5*LN(1+A121/'Inputs'!$B$38)))</x:f>
      </x:c>
      <x:c r="C121" s="2" t="str">
        <x:f>IF(B121="","",B121*'Results'!B30)</x:f>
      </x:c>
      <x:c r="D121" s="2" t="str">
        <x:f>IF(B121="","",B121*'Results'!C30)</x:f>
      </x:c>
      <x:c r="E121" s="2" t="str">
        <x:f>IF(B121="","",'Results'!B12)</x:f>
      </x:c>
      <x:c r="F121" s="2" t="str">
        <x:f>IF(B121="","",'Results'!C12)</x:f>
      </x:c>
      <x:c r="G121" s="2"/>
      <x:c r="H121" s="2"/>
      <x:c r="I121" s="2"/>
      <x:c r="J121" s="2"/>
    </x:row>
    <x:row r="122" ht="22" customHeight="1">
      <x:c r="A122" s="24" t="str">
        <x:f>IF($B$5="","",(122-18)*IF(ISNUMBER('Results'!B38),MAX('Inputs'!$B$37,'Results'!B38*1.2),'Inputs'!$B$37)/200)</x:f>
      </x:c>
      <x:c r="B122" s="20" t="str">
        <x:f>IF(A122="","",MAX(0,1-$B$5*LN(1+A122/'Inputs'!$B$38)))</x:f>
      </x:c>
      <x:c r="C122" s="2" t="str">
        <x:f>IF(B122="","",B122*'Results'!B30)</x:f>
      </x:c>
      <x:c r="D122" s="2" t="str">
        <x:f>IF(B122="","",B122*'Results'!C30)</x:f>
      </x:c>
      <x:c r="E122" s="2" t="str">
        <x:f>IF(B122="","",'Results'!B12)</x:f>
      </x:c>
      <x:c r="F122" s="2" t="str">
        <x:f>IF(B122="","",'Results'!C12)</x:f>
      </x:c>
      <x:c r="G122" s="2"/>
      <x:c r="H122" s="2"/>
      <x:c r="I122" s="2"/>
      <x:c r="J122" s="2"/>
    </x:row>
    <x:row r="123" ht="22" customHeight="1">
      <x:c r="A123" s="24" t="str">
        <x:f>IF($B$5="","",(123-18)*IF(ISNUMBER('Results'!B38),MAX('Inputs'!$B$37,'Results'!B38*1.2),'Inputs'!$B$37)/200)</x:f>
      </x:c>
      <x:c r="B123" s="20" t="str">
        <x:f>IF(A123="","",MAX(0,1-$B$5*LN(1+A123/'Inputs'!$B$38)))</x:f>
      </x:c>
      <x:c r="C123" s="2" t="str">
        <x:f>IF(B123="","",B123*'Results'!B30)</x:f>
      </x:c>
      <x:c r="D123" s="2" t="str">
        <x:f>IF(B123="","",B123*'Results'!C30)</x:f>
      </x:c>
      <x:c r="E123" s="2" t="str">
        <x:f>IF(B123="","",'Results'!B12)</x:f>
      </x:c>
      <x:c r="F123" s="2" t="str">
        <x:f>IF(B123="","",'Results'!C12)</x:f>
      </x:c>
      <x:c r="G123" s="2"/>
      <x:c r="H123" s="2"/>
      <x:c r="I123" s="2"/>
      <x:c r="J123" s="2"/>
    </x:row>
    <x:row r="124" ht="22" customHeight="1">
      <x:c r="A124" s="24" t="str">
        <x:f>IF($B$5="","",(124-18)*IF(ISNUMBER('Results'!B38),MAX('Inputs'!$B$37,'Results'!B38*1.2),'Inputs'!$B$37)/200)</x:f>
      </x:c>
      <x:c r="B124" s="20" t="str">
        <x:f>IF(A124="","",MAX(0,1-$B$5*LN(1+A124/'Inputs'!$B$38)))</x:f>
      </x:c>
      <x:c r="C124" s="2" t="str">
        <x:f>IF(B124="","",B124*'Results'!B30)</x:f>
      </x:c>
      <x:c r="D124" s="2" t="str">
        <x:f>IF(B124="","",B124*'Results'!C30)</x:f>
      </x:c>
      <x:c r="E124" s="2" t="str">
        <x:f>IF(B124="","",'Results'!B12)</x:f>
      </x:c>
      <x:c r="F124" s="2" t="str">
        <x:f>IF(B124="","",'Results'!C12)</x:f>
      </x:c>
      <x:c r="G124" s="2"/>
      <x:c r="H124" s="2"/>
      <x:c r="I124" s="2"/>
      <x:c r="J124" s="2"/>
    </x:row>
    <x:row r="125" ht="22" customHeight="1">
      <x:c r="A125" s="24" t="str">
        <x:f>IF($B$5="","",(125-18)*IF(ISNUMBER('Results'!B38),MAX('Inputs'!$B$37,'Results'!B38*1.2),'Inputs'!$B$37)/200)</x:f>
      </x:c>
      <x:c r="B125" s="20" t="str">
        <x:f>IF(A125="","",MAX(0,1-$B$5*LN(1+A125/'Inputs'!$B$38)))</x:f>
      </x:c>
      <x:c r="C125" s="2" t="str">
        <x:f>IF(B125="","",B125*'Results'!B30)</x:f>
      </x:c>
      <x:c r="D125" s="2" t="str">
        <x:f>IF(B125="","",B125*'Results'!C30)</x:f>
      </x:c>
      <x:c r="E125" s="2" t="str">
        <x:f>IF(B125="","",'Results'!B12)</x:f>
      </x:c>
      <x:c r="F125" s="2" t="str">
        <x:f>IF(B125="","",'Results'!C12)</x:f>
      </x:c>
      <x:c r="G125" s="2"/>
      <x:c r="H125" s="2"/>
      <x:c r="I125" s="2"/>
      <x:c r="J125" s="2"/>
    </x:row>
    <x:row r="126" ht="22" customHeight="1">
      <x:c r="A126" s="24" t="str">
        <x:f>IF($B$5="","",(126-18)*IF(ISNUMBER('Results'!B38),MAX('Inputs'!$B$37,'Results'!B38*1.2),'Inputs'!$B$37)/200)</x:f>
      </x:c>
      <x:c r="B126" s="20" t="str">
        <x:f>IF(A126="","",MAX(0,1-$B$5*LN(1+A126/'Inputs'!$B$38)))</x:f>
      </x:c>
      <x:c r="C126" s="2" t="str">
        <x:f>IF(B126="","",B126*'Results'!B30)</x:f>
      </x:c>
      <x:c r="D126" s="2" t="str">
        <x:f>IF(B126="","",B126*'Results'!C30)</x:f>
      </x:c>
      <x:c r="E126" s="2" t="str">
        <x:f>IF(B126="","",'Results'!B12)</x:f>
      </x:c>
      <x:c r="F126" s="2" t="str">
        <x:f>IF(B126="","",'Results'!C12)</x:f>
      </x:c>
      <x:c r="G126" s="2"/>
      <x:c r="H126" s="2"/>
      <x:c r="I126" s="2"/>
      <x:c r="J126" s="2"/>
    </x:row>
    <x:row r="127" ht="22" customHeight="1">
      <x:c r="A127" s="24" t="str">
        <x:f>IF($B$5="","",(127-18)*IF(ISNUMBER('Results'!B38),MAX('Inputs'!$B$37,'Results'!B38*1.2),'Inputs'!$B$37)/200)</x:f>
      </x:c>
      <x:c r="B127" s="20" t="str">
        <x:f>IF(A127="","",MAX(0,1-$B$5*LN(1+A127/'Inputs'!$B$38)))</x:f>
      </x:c>
      <x:c r="C127" s="2" t="str">
        <x:f>IF(B127="","",B127*'Results'!B30)</x:f>
      </x:c>
      <x:c r="D127" s="2" t="str">
        <x:f>IF(B127="","",B127*'Results'!C30)</x:f>
      </x:c>
      <x:c r="E127" s="2" t="str">
        <x:f>IF(B127="","",'Results'!B12)</x:f>
      </x:c>
      <x:c r="F127" s="2" t="str">
        <x:f>IF(B127="","",'Results'!C12)</x:f>
      </x:c>
      <x:c r="G127" s="2"/>
      <x:c r="H127" s="2"/>
      <x:c r="I127" s="2"/>
      <x:c r="J127" s="2"/>
    </x:row>
    <x:row r="128" ht="22" customHeight="1">
      <x:c r="A128" s="24" t="str">
        <x:f>IF($B$5="","",(128-18)*IF(ISNUMBER('Results'!B38),MAX('Inputs'!$B$37,'Results'!B38*1.2),'Inputs'!$B$37)/200)</x:f>
      </x:c>
      <x:c r="B128" s="20" t="str">
        <x:f>IF(A128="","",MAX(0,1-$B$5*LN(1+A128/'Inputs'!$B$38)))</x:f>
      </x:c>
      <x:c r="C128" s="2" t="str">
        <x:f>IF(B128="","",B128*'Results'!B30)</x:f>
      </x:c>
      <x:c r="D128" s="2" t="str">
        <x:f>IF(B128="","",B128*'Results'!C30)</x:f>
      </x:c>
      <x:c r="E128" s="2" t="str">
        <x:f>IF(B128="","",'Results'!B12)</x:f>
      </x:c>
      <x:c r="F128" s="2" t="str">
        <x:f>IF(B128="","",'Results'!C12)</x:f>
      </x:c>
      <x:c r="G128" s="2"/>
      <x:c r="H128" s="2"/>
      <x:c r="I128" s="2"/>
      <x:c r="J128" s="2"/>
    </x:row>
    <x:row r="129" ht="22" customHeight="1">
      <x:c r="A129" s="24" t="str">
        <x:f>IF($B$5="","",(129-18)*IF(ISNUMBER('Results'!B38),MAX('Inputs'!$B$37,'Results'!B38*1.2),'Inputs'!$B$37)/200)</x:f>
      </x:c>
      <x:c r="B129" s="20" t="str">
        <x:f>IF(A129="","",MAX(0,1-$B$5*LN(1+A129/'Inputs'!$B$38)))</x:f>
      </x:c>
      <x:c r="C129" s="2" t="str">
        <x:f>IF(B129="","",B129*'Results'!B30)</x:f>
      </x:c>
      <x:c r="D129" s="2" t="str">
        <x:f>IF(B129="","",B129*'Results'!C30)</x:f>
      </x:c>
      <x:c r="E129" s="2" t="str">
        <x:f>IF(B129="","",'Results'!B12)</x:f>
      </x:c>
      <x:c r="F129" s="2" t="str">
        <x:f>IF(B129="","",'Results'!C12)</x:f>
      </x:c>
      <x:c r="G129" s="2"/>
      <x:c r="H129" s="2"/>
      <x:c r="I129" s="2"/>
      <x:c r="J129" s="2"/>
    </x:row>
    <x:row r="130" ht="22" customHeight="1">
      <x:c r="A130" s="24" t="str">
        <x:f>IF($B$5="","",(130-18)*IF(ISNUMBER('Results'!B38),MAX('Inputs'!$B$37,'Results'!B38*1.2),'Inputs'!$B$37)/200)</x:f>
      </x:c>
      <x:c r="B130" s="20" t="str">
        <x:f>IF(A130="","",MAX(0,1-$B$5*LN(1+A130/'Inputs'!$B$38)))</x:f>
      </x:c>
      <x:c r="C130" s="2" t="str">
        <x:f>IF(B130="","",B130*'Results'!B30)</x:f>
      </x:c>
      <x:c r="D130" s="2" t="str">
        <x:f>IF(B130="","",B130*'Results'!C30)</x:f>
      </x:c>
      <x:c r="E130" s="2" t="str">
        <x:f>IF(B130="","",'Results'!B12)</x:f>
      </x:c>
      <x:c r="F130" s="2" t="str">
        <x:f>IF(B130="","",'Results'!C12)</x:f>
      </x:c>
      <x:c r="G130" s="2"/>
      <x:c r="H130" s="2"/>
      <x:c r="I130" s="2"/>
      <x:c r="J130" s="2"/>
    </x:row>
    <x:row r="131" ht="22" customHeight="1">
      <x:c r="A131" s="24" t="str">
        <x:f>IF($B$5="","",(131-18)*IF(ISNUMBER('Results'!B38),MAX('Inputs'!$B$37,'Results'!B38*1.2),'Inputs'!$B$37)/200)</x:f>
      </x:c>
      <x:c r="B131" s="20" t="str">
        <x:f>IF(A131="","",MAX(0,1-$B$5*LN(1+A131/'Inputs'!$B$38)))</x:f>
      </x:c>
      <x:c r="C131" s="2" t="str">
        <x:f>IF(B131="","",B131*'Results'!B30)</x:f>
      </x:c>
      <x:c r="D131" s="2" t="str">
        <x:f>IF(B131="","",B131*'Results'!C30)</x:f>
      </x:c>
      <x:c r="E131" s="2" t="str">
        <x:f>IF(B131="","",'Results'!B12)</x:f>
      </x:c>
      <x:c r="F131" s="2" t="str">
        <x:f>IF(B131="","",'Results'!C12)</x:f>
      </x:c>
      <x:c r="G131" s="2"/>
      <x:c r="H131" s="2"/>
      <x:c r="I131" s="2"/>
      <x:c r="J131" s="2"/>
    </x:row>
    <x:row r="132" ht="22" customHeight="1">
      <x:c r="A132" s="24" t="str">
        <x:f>IF($B$5="","",(132-18)*IF(ISNUMBER('Results'!B38),MAX('Inputs'!$B$37,'Results'!B38*1.2),'Inputs'!$B$37)/200)</x:f>
      </x:c>
      <x:c r="B132" s="20" t="str">
        <x:f>IF(A132="","",MAX(0,1-$B$5*LN(1+A132/'Inputs'!$B$38)))</x:f>
      </x:c>
      <x:c r="C132" s="2" t="str">
        <x:f>IF(B132="","",B132*'Results'!B30)</x:f>
      </x:c>
      <x:c r="D132" s="2" t="str">
        <x:f>IF(B132="","",B132*'Results'!C30)</x:f>
      </x:c>
      <x:c r="E132" s="2" t="str">
        <x:f>IF(B132="","",'Results'!B12)</x:f>
      </x:c>
      <x:c r="F132" s="2" t="str">
        <x:f>IF(B132="","",'Results'!C12)</x:f>
      </x:c>
      <x:c r="G132" s="2"/>
      <x:c r="H132" s="2"/>
      <x:c r="I132" s="2"/>
      <x:c r="J132" s="2"/>
    </x:row>
    <x:row r="133" ht="22" customHeight="1">
      <x:c r="A133" s="24" t="str">
        <x:f>IF($B$5="","",(133-18)*IF(ISNUMBER('Results'!B38),MAX('Inputs'!$B$37,'Results'!B38*1.2),'Inputs'!$B$37)/200)</x:f>
      </x:c>
      <x:c r="B133" s="20" t="str">
        <x:f>IF(A133="","",MAX(0,1-$B$5*LN(1+A133/'Inputs'!$B$38)))</x:f>
      </x:c>
      <x:c r="C133" s="2" t="str">
        <x:f>IF(B133="","",B133*'Results'!B30)</x:f>
      </x:c>
      <x:c r="D133" s="2" t="str">
        <x:f>IF(B133="","",B133*'Results'!C30)</x:f>
      </x:c>
      <x:c r="E133" s="2" t="str">
        <x:f>IF(B133="","",'Results'!B12)</x:f>
      </x:c>
      <x:c r="F133" s="2" t="str">
        <x:f>IF(B133="","",'Results'!C12)</x:f>
      </x:c>
      <x:c r="G133" s="2"/>
      <x:c r="H133" s="2"/>
      <x:c r="I133" s="2"/>
      <x:c r="J133" s="2"/>
    </x:row>
    <x:row r="134" ht="22" customHeight="1">
      <x:c r="A134" s="24" t="str">
        <x:f>IF($B$5="","",(134-18)*IF(ISNUMBER('Results'!B38),MAX('Inputs'!$B$37,'Results'!B38*1.2),'Inputs'!$B$37)/200)</x:f>
      </x:c>
      <x:c r="B134" s="20" t="str">
        <x:f>IF(A134="","",MAX(0,1-$B$5*LN(1+A134/'Inputs'!$B$38)))</x:f>
      </x:c>
      <x:c r="C134" s="2" t="str">
        <x:f>IF(B134="","",B134*'Results'!B30)</x:f>
      </x:c>
      <x:c r="D134" s="2" t="str">
        <x:f>IF(B134="","",B134*'Results'!C30)</x:f>
      </x:c>
      <x:c r="E134" s="2" t="str">
        <x:f>IF(B134="","",'Results'!B12)</x:f>
      </x:c>
      <x:c r="F134" s="2" t="str">
        <x:f>IF(B134="","",'Results'!C12)</x:f>
      </x:c>
      <x:c r="G134" s="2"/>
      <x:c r="H134" s="2"/>
      <x:c r="I134" s="2"/>
      <x:c r="J134" s="2"/>
    </x:row>
    <x:row r="135" ht="22" customHeight="1">
      <x:c r="A135" s="24" t="str">
        <x:f>IF($B$5="","",(135-18)*IF(ISNUMBER('Results'!B38),MAX('Inputs'!$B$37,'Results'!B38*1.2),'Inputs'!$B$37)/200)</x:f>
      </x:c>
      <x:c r="B135" s="20" t="str">
        <x:f>IF(A135="","",MAX(0,1-$B$5*LN(1+A135/'Inputs'!$B$38)))</x:f>
      </x:c>
      <x:c r="C135" s="2" t="str">
        <x:f>IF(B135="","",B135*'Results'!B30)</x:f>
      </x:c>
      <x:c r="D135" s="2" t="str">
        <x:f>IF(B135="","",B135*'Results'!C30)</x:f>
      </x:c>
      <x:c r="E135" s="2" t="str">
        <x:f>IF(B135="","",'Results'!B12)</x:f>
      </x:c>
      <x:c r="F135" s="2" t="str">
        <x:f>IF(B135="","",'Results'!C12)</x:f>
      </x:c>
      <x:c r="G135" s="2"/>
      <x:c r="H135" s="2"/>
      <x:c r="I135" s="2"/>
      <x:c r="J135" s="2"/>
    </x:row>
    <x:row r="136" ht="22" customHeight="1">
      <x:c r="A136" s="24" t="str">
        <x:f>IF($B$5="","",(136-18)*IF(ISNUMBER('Results'!B38),MAX('Inputs'!$B$37,'Results'!B38*1.2),'Inputs'!$B$37)/200)</x:f>
      </x:c>
      <x:c r="B136" s="20" t="str">
        <x:f>IF(A136="","",MAX(0,1-$B$5*LN(1+A136/'Inputs'!$B$38)))</x:f>
      </x:c>
      <x:c r="C136" s="2" t="str">
        <x:f>IF(B136="","",B136*'Results'!B30)</x:f>
      </x:c>
      <x:c r="D136" s="2" t="str">
        <x:f>IF(B136="","",B136*'Results'!C30)</x:f>
      </x:c>
      <x:c r="E136" s="2" t="str">
        <x:f>IF(B136="","",'Results'!B12)</x:f>
      </x:c>
      <x:c r="F136" s="2" t="str">
        <x:f>IF(B136="","",'Results'!C12)</x:f>
      </x:c>
      <x:c r="G136" s="2"/>
      <x:c r="H136" s="2"/>
      <x:c r="I136" s="2"/>
      <x:c r="J136" s="2"/>
    </x:row>
    <x:row r="137" ht="22" customHeight="1">
      <x:c r="A137" s="24" t="str">
        <x:f>IF($B$5="","",(137-18)*IF(ISNUMBER('Results'!B38),MAX('Inputs'!$B$37,'Results'!B38*1.2),'Inputs'!$B$37)/200)</x:f>
      </x:c>
      <x:c r="B137" s="20" t="str">
        <x:f>IF(A137="","",MAX(0,1-$B$5*LN(1+A137/'Inputs'!$B$38)))</x:f>
      </x:c>
      <x:c r="C137" s="2" t="str">
        <x:f>IF(B137="","",B137*'Results'!B30)</x:f>
      </x:c>
      <x:c r="D137" s="2" t="str">
        <x:f>IF(B137="","",B137*'Results'!C30)</x:f>
      </x:c>
      <x:c r="E137" s="2" t="str">
        <x:f>IF(B137="","",'Results'!B12)</x:f>
      </x:c>
      <x:c r="F137" s="2" t="str">
        <x:f>IF(B137="","",'Results'!C12)</x:f>
      </x:c>
      <x:c r="G137" s="2"/>
      <x:c r="H137" s="2"/>
      <x:c r="I137" s="2"/>
      <x:c r="J137" s="2"/>
    </x:row>
    <x:row r="138" ht="22" customHeight="1">
      <x:c r="A138" s="24" t="str">
        <x:f>IF($B$5="","",(138-18)*IF(ISNUMBER('Results'!B38),MAX('Inputs'!$B$37,'Results'!B38*1.2),'Inputs'!$B$37)/200)</x:f>
      </x:c>
      <x:c r="B138" s="20" t="str">
        <x:f>IF(A138="","",MAX(0,1-$B$5*LN(1+A138/'Inputs'!$B$38)))</x:f>
      </x:c>
      <x:c r="C138" s="2" t="str">
        <x:f>IF(B138="","",B138*'Results'!B30)</x:f>
      </x:c>
      <x:c r="D138" s="2" t="str">
        <x:f>IF(B138="","",B138*'Results'!C30)</x:f>
      </x:c>
      <x:c r="E138" s="2" t="str">
        <x:f>IF(B138="","",'Results'!B12)</x:f>
      </x:c>
      <x:c r="F138" s="2" t="str">
        <x:f>IF(B138="","",'Results'!C12)</x:f>
      </x:c>
      <x:c r="G138" s="2"/>
      <x:c r="H138" s="2"/>
      <x:c r="I138" s="2"/>
      <x:c r="J138" s="2"/>
    </x:row>
    <x:row r="139" ht="22" customHeight="1">
      <x:c r="A139" s="24" t="str">
        <x:f>IF($B$5="","",(139-18)*IF(ISNUMBER('Results'!B38),MAX('Inputs'!$B$37,'Results'!B38*1.2),'Inputs'!$B$37)/200)</x:f>
      </x:c>
      <x:c r="B139" s="20" t="str">
        <x:f>IF(A139="","",MAX(0,1-$B$5*LN(1+A139/'Inputs'!$B$38)))</x:f>
      </x:c>
      <x:c r="C139" s="2" t="str">
        <x:f>IF(B139="","",B139*'Results'!B30)</x:f>
      </x:c>
      <x:c r="D139" s="2" t="str">
        <x:f>IF(B139="","",B139*'Results'!C30)</x:f>
      </x:c>
      <x:c r="E139" s="2" t="str">
        <x:f>IF(B139="","",'Results'!B12)</x:f>
      </x:c>
      <x:c r="F139" s="2" t="str">
        <x:f>IF(B139="","",'Results'!C12)</x:f>
      </x:c>
      <x:c r="G139" s="2"/>
      <x:c r="H139" s="2"/>
      <x:c r="I139" s="2"/>
      <x:c r="J139" s="2"/>
    </x:row>
    <x:row r="140" ht="22" customHeight="1">
      <x:c r="A140" s="24" t="str">
        <x:f>IF($B$5="","",(140-18)*IF(ISNUMBER('Results'!B38),MAX('Inputs'!$B$37,'Results'!B38*1.2),'Inputs'!$B$37)/200)</x:f>
      </x:c>
      <x:c r="B140" s="20" t="str">
        <x:f>IF(A140="","",MAX(0,1-$B$5*LN(1+A140/'Inputs'!$B$38)))</x:f>
      </x:c>
      <x:c r="C140" s="2" t="str">
        <x:f>IF(B140="","",B140*'Results'!B30)</x:f>
      </x:c>
      <x:c r="D140" s="2" t="str">
        <x:f>IF(B140="","",B140*'Results'!C30)</x:f>
      </x:c>
      <x:c r="E140" s="2" t="str">
        <x:f>IF(B140="","",'Results'!B12)</x:f>
      </x:c>
      <x:c r="F140" s="2" t="str">
        <x:f>IF(B140="","",'Results'!C12)</x:f>
      </x:c>
      <x:c r="G140" s="2"/>
      <x:c r="H140" s="2"/>
      <x:c r="I140" s="2"/>
      <x:c r="J140" s="2"/>
    </x:row>
    <x:row r="141" ht="22" customHeight="1">
      <x:c r="A141" s="24" t="str">
        <x:f>IF($B$5="","",(141-18)*IF(ISNUMBER('Results'!B38),MAX('Inputs'!$B$37,'Results'!B38*1.2),'Inputs'!$B$37)/200)</x:f>
      </x:c>
      <x:c r="B141" s="20" t="str">
        <x:f>IF(A141="","",MAX(0,1-$B$5*LN(1+A141/'Inputs'!$B$38)))</x:f>
      </x:c>
      <x:c r="C141" s="2" t="str">
        <x:f>IF(B141="","",B141*'Results'!B30)</x:f>
      </x:c>
      <x:c r="D141" s="2" t="str">
        <x:f>IF(B141="","",B141*'Results'!C30)</x:f>
      </x:c>
      <x:c r="E141" s="2" t="str">
        <x:f>IF(B141="","",'Results'!B12)</x:f>
      </x:c>
      <x:c r="F141" s="2" t="str">
        <x:f>IF(B141="","",'Results'!C12)</x:f>
      </x:c>
      <x:c r="G141" s="2"/>
      <x:c r="H141" s="2"/>
      <x:c r="I141" s="2"/>
      <x:c r="J141" s="2"/>
    </x:row>
    <x:row r="142" ht="22" customHeight="1">
      <x:c r="A142" s="24" t="str">
        <x:f>IF($B$5="","",(142-18)*IF(ISNUMBER('Results'!B38),MAX('Inputs'!$B$37,'Results'!B38*1.2),'Inputs'!$B$37)/200)</x:f>
      </x:c>
      <x:c r="B142" s="20" t="str">
        <x:f>IF(A142="","",MAX(0,1-$B$5*LN(1+A142/'Inputs'!$B$38)))</x:f>
      </x:c>
      <x:c r="C142" s="2" t="str">
        <x:f>IF(B142="","",B142*'Results'!B30)</x:f>
      </x:c>
      <x:c r="D142" s="2" t="str">
        <x:f>IF(B142="","",B142*'Results'!C30)</x:f>
      </x:c>
      <x:c r="E142" s="2" t="str">
        <x:f>IF(B142="","",'Results'!B12)</x:f>
      </x:c>
      <x:c r="F142" s="2" t="str">
        <x:f>IF(B142="","",'Results'!C12)</x:f>
      </x:c>
      <x:c r="G142" s="2"/>
      <x:c r="H142" s="2"/>
      <x:c r="I142" s="2"/>
      <x:c r="J142" s="2"/>
    </x:row>
    <x:row r="143" ht="22" customHeight="1">
      <x:c r="A143" s="24" t="str">
        <x:f>IF($B$5="","",(143-18)*IF(ISNUMBER('Results'!B38),MAX('Inputs'!$B$37,'Results'!B38*1.2),'Inputs'!$B$37)/200)</x:f>
      </x:c>
      <x:c r="B143" s="20" t="str">
        <x:f>IF(A143="","",MAX(0,1-$B$5*LN(1+A143/'Inputs'!$B$38)))</x:f>
      </x:c>
      <x:c r="C143" s="2" t="str">
        <x:f>IF(B143="","",B143*'Results'!B30)</x:f>
      </x:c>
      <x:c r="D143" s="2" t="str">
        <x:f>IF(B143="","",B143*'Results'!C30)</x:f>
      </x:c>
      <x:c r="E143" s="2" t="str">
        <x:f>IF(B143="","",'Results'!B12)</x:f>
      </x:c>
      <x:c r="F143" s="2" t="str">
        <x:f>IF(B143="","",'Results'!C12)</x:f>
      </x:c>
      <x:c r="G143" s="2"/>
      <x:c r="H143" s="2"/>
      <x:c r="I143" s="2"/>
      <x:c r="J143" s="2"/>
    </x:row>
    <x:row r="144" ht="22" customHeight="1">
      <x:c r="A144" s="24" t="str">
        <x:f>IF($B$5="","",(144-18)*IF(ISNUMBER('Results'!B38),MAX('Inputs'!$B$37,'Results'!B38*1.2),'Inputs'!$B$37)/200)</x:f>
      </x:c>
      <x:c r="B144" s="20" t="str">
        <x:f>IF(A144="","",MAX(0,1-$B$5*LN(1+A144/'Inputs'!$B$38)))</x:f>
      </x:c>
      <x:c r="C144" s="2" t="str">
        <x:f>IF(B144="","",B144*'Results'!B30)</x:f>
      </x:c>
      <x:c r="D144" s="2" t="str">
        <x:f>IF(B144="","",B144*'Results'!C30)</x:f>
      </x:c>
      <x:c r="E144" s="2" t="str">
        <x:f>IF(B144="","",'Results'!B12)</x:f>
      </x:c>
      <x:c r="F144" s="2" t="str">
        <x:f>IF(B144="","",'Results'!C12)</x:f>
      </x:c>
      <x:c r="G144" s="2"/>
      <x:c r="H144" s="2"/>
      <x:c r="I144" s="2"/>
      <x:c r="J144" s="2"/>
    </x:row>
    <x:row r="145" ht="22" customHeight="1">
      <x:c r="A145" s="24" t="str">
        <x:f>IF($B$5="","",(145-18)*IF(ISNUMBER('Results'!B38),MAX('Inputs'!$B$37,'Results'!B38*1.2),'Inputs'!$B$37)/200)</x:f>
      </x:c>
      <x:c r="B145" s="20" t="str">
        <x:f>IF(A145="","",MAX(0,1-$B$5*LN(1+A145/'Inputs'!$B$38)))</x:f>
      </x:c>
      <x:c r="C145" s="2" t="str">
        <x:f>IF(B145="","",B145*'Results'!B30)</x:f>
      </x:c>
      <x:c r="D145" s="2" t="str">
        <x:f>IF(B145="","",B145*'Results'!C30)</x:f>
      </x:c>
      <x:c r="E145" s="2" t="str">
        <x:f>IF(B145="","",'Results'!B12)</x:f>
      </x:c>
      <x:c r="F145" s="2" t="str">
        <x:f>IF(B145="","",'Results'!C12)</x:f>
      </x:c>
      <x:c r="G145" s="2"/>
      <x:c r="H145" s="2"/>
      <x:c r="I145" s="2"/>
      <x:c r="J145" s="2"/>
    </x:row>
    <x:row r="146" ht="22" customHeight="1">
      <x:c r="A146" s="24" t="str">
        <x:f>IF($B$5="","",(146-18)*IF(ISNUMBER('Results'!B38),MAX('Inputs'!$B$37,'Results'!B38*1.2),'Inputs'!$B$37)/200)</x:f>
      </x:c>
      <x:c r="B146" s="20" t="str">
        <x:f>IF(A146="","",MAX(0,1-$B$5*LN(1+A146/'Inputs'!$B$38)))</x:f>
      </x:c>
      <x:c r="C146" s="2" t="str">
        <x:f>IF(B146="","",B146*'Results'!B30)</x:f>
      </x:c>
      <x:c r="D146" s="2" t="str">
        <x:f>IF(B146="","",B146*'Results'!C30)</x:f>
      </x:c>
      <x:c r="E146" s="2" t="str">
        <x:f>IF(B146="","",'Results'!B12)</x:f>
      </x:c>
      <x:c r="F146" s="2" t="str">
        <x:f>IF(B146="","",'Results'!C12)</x:f>
      </x:c>
      <x:c r="G146" s="2"/>
      <x:c r="H146" s="2"/>
      <x:c r="I146" s="2"/>
      <x:c r="J146" s="2"/>
    </x:row>
    <x:row r="147" ht="22" customHeight="1">
      <x:c r="A147" s="24" t="str">
        <x:f>IF($B$5="","",(147-18)*IF(ISNUMBER('Results'!B38),MAX('Inputs'!$B$37,'Results'!B38*1.2),'Inputs'!$B$37)/200)</x:f>
      </x:c>
      <x:c r="B147" s="20" t="str">
        <x:f>IF(A147="","",MAX(0,1-$B$5*LN(1+A147/'Inputs'!$B$38)))</x:f>
      </x:c>
      <x:c r="C147" s="2" t="str">
        <x:f>IF(B147="","",B147*'Results'!B30)</x:f>
      </x:c>
      <x:c r="D147" s="2" t="str">
        <x:f>IF(B147="","",B147*'Results'!C30)</x:f>
      </x:c>
      <x:c r="E147" s="2" t="str">
        <x:f>IF(B147="","",'Results'!B12)</x:f>
      </x:c>
      <x:c r="F147" s="2" t="str">
        <x:f>IF(B147="","",'Results'!C12)</x:f>
      </x:c>
      <x:c r="G147" s="2"/>
      <x:c r="H147" s="2"/>
      <x:c r="I147" s="2"/>
      <x:c r="J147" s="2"/>
    </x:row>
    <x:row r="148" ht="22" customHeight="1">
      <x:c r="A148" s="24" t="str">
        <x:f>IF($B$5="","",(148-18)*IF(ISNUMBER('Results'!B38),MAX('Inputs'!$B$37,'Results'!B38*1.2),'Inputs'!$B$37)/200)</x:f>
      </x:c>
      <x:c r="B148" s="20" t="str">
        <x:f>IF(A148="","",MAX(0,1-$B$5*LN(1+A148/'Inputs'!$B$38)))</x:f>
      </x:c>
      <x:c r="C148" s="2" t="str">
        <x:f>IF(B148="","",B148*'Results'!B30)</x:f>
      </x:c>
      <x:c r="D148" s="2" t="str">
        <x:f>IF(B148="","",B148*'Results'!C30)</x:f>
      </x:c>
      <x:c r="E148" s="2" t="str">
        <x:f>IF(B148="","",'Results'!B12)</x:f>
      </x:c>
      <x:c r="F148" s="2" t="str">
        <x:f>IF(B148="","",'Results'!C12)</x:f>
      </x:c>
      <x:c r="G148" s="2"/>
      <x:c r="H148" s="2"/>
      <x:c r="I148" s="2"/>
      <x:c r="J148" s="2"/>
    </x:row>
    <x:row r="149" ht="22" customHeight="1">
      <x:c r="A149" s="24" t="str">
        <x:f>IF($B$5="","",(149-18)*IF(ISNUMBER('Results'!B38),MAX('Inputs'!$B$37,'Results'!B38*1.2),'Inputs'!$B$37)/200)</x:f>
      </x:c>
      <x:c r="B149" s="20" t="str">
        <x:f>IF(A149="","",MAX(0,1-$B$5*LN(1+A149/'Inputs'!$B$38)))</x:f>
      </x:c>
      <x:c r="C149" s="2" t="str">
        <x:f>IF(B149="","",B149*'Results'!B30)</x:f>
      </x:c>
      <x:c r="D149" s="2" t="str">
        <x:f>IF(B149="","",B149*'Results'!C30)</x:f>
      </x:c>
      <x:c r="E149" s="2" t="str">
        <x:f>IF(B149="","",'Results'!B12)</x:f>
      </x:c>
      <x:c r="F149" s="2" t="str">
        <x:f>IF(B149="","",'Results'!C12)</x:f>
      </x:c>
      <x:c r="G149" s="2"/>
      <x:c r="H149" s="2"/>
      <x:c r="I149" s="2"/>
      <x:c r="J149" s="2"/>
    </x:row>
    <x:row r="150" ht="22" customHeight="1">
      <x:c r="A150" s="24" t="str">
        <x:f>IF($B$5="","",(150-18)*IF(ISNUMBER('Results'!B38),MAX('Inputs'!$B$37,'Results'!B38*1.2),'Inputs'!$B$37)/200)</x:f>
      </x:c>
      <x:c r="B150" s="20" t="str">
        <x:f>IF(A150="","",MAX(0,1-$B$5*LN(1+A150/'Inputs'!$B$38)))</x:f>
      </x:c>
      <x:c r="C150" s="2" t="str">
        <x:f>IF(B150="","",B150*'Results'!B30)</x:f>
      </x:c>
      <x:c r="D150" s="2" t="str">
        <x:f>IF(B150="","",B150*'Results'!C30)</x:f>
      </x:c>
      <x:c r="E150" s="2" t="str">
        <x:f>IF(B150="","",'Results'!B12)</x:f>
      </x:c>
      <x:c r="F150" s="2" t="str">
        <x:f>IF(B150="","",'Results'!C12)</x:f>
      </x:c>
      <x:c r="G150" s="2"/>
      <x:c r="H150" s="2"/>
      <x:c r="I150" s="2"/>
      <x:c r="J150" s="2"/>
    </x:row>
    <x:row r="151" ht="22" customHeight="1">
      <x:c r="A151" s="24" t="str">
        <x:f>IF($B$5="","",(151-18)*IF(ISNUMBER('Results'!B38),MAX('Inputs'!$B$37,'Results'!B38*1.2),'Inputs'!$B$37)/200)</x:f>
      </x:c>
      <x:c r="B151" s="20" t="str">
        <x:f>IF(A151="","",MAX(0,1-$B$5*LN(1+A151/'Inputs'!$B$38)))</x:f>
      </x:c>
      <x:c r="C151" s="2" t="str">
        <x:f>IF(B151="","",B151*'Results'!B30)</x:f>
      </x:c>
      <x:c r="D151" s="2" t="str">
        <x:f>IF(B151="","",B151*'Results'!C30)</x:f>
      </x:c>
      <x:c r="E151" s="2" t="str">
        <x:f>IF(B151="","",'Results'!B12)</x:f>
      </x:c>
      <x:c r="F151" s="2" t="str">
        <x:f>IF(B151="","",'Results'!C12)</x:f>
      </x:c>
      <x:c r="G151" s="2"/>
      <x:c r="H151" s="2"/>
      <x:c r="I151" s="2"/>
      <x:c r="J151" s="2"/>
    </x:row>
    <x:row r="152" ht="22" customHeight="1">
      <x:c r="A152" s="24" t="str">
        <x:f>IF($B$5="","",(152-18)*IF(ISNUMBER('Results'!B38),MAX('Inputs'!$B$37,'Results'!B38*1.2),'Inputs'!$B$37)/200)</x:f>
      </x:c>
      <x:c r="B152" s="20" t="str">
        <x:f>IF(A152="","",MAX(0,1-$B$5*LN(1+A152/'Inputs'!$B$38)))</x:f>
      </x:c>
      <x:c r="C152" s="2" t="str">
        <x:f>IF(B152="","",B152*'Results'!B30)</x:f>
      </x:c>
      <x:c r="D152" s="2" t="str">
        <x:f>IF(B152="","",B152*'Results'!C30)</x:f>
      </x:c>
      <x:c r="E152" s="2" t="str">
        <x:f>IF(B152="","",'Results'!B12)</x:f>
      </x:c>
      <x:c r="F152" s="2" t="str">
        <x:f>IF(B152="","",'Results'!C12)</x:f>
      </x:c>
      <x:c r="G152" s="2"/>
      <x:c r="H152" s="2"/>
      <x:c r="I152" s="2"/>
      <x:c r="J152" s="2"/>
    </x:row>
    <x:row r="153" ht="22" customHeight="1">
      <x:c r="A153" s="24" t="str">
        <x:f>IF($B$5="","",(153-18)*IF(ISNUMBER('Results'!B38),MAX('Inputs'!$B$37,'Results'!B38*1.2),'Inputs'!$B$37)/200)</x:f>
      </x:c>
      <x:c r="B153" s="20" t="str">
        <x:f>IF(A153="","",MAX(0,1-$B$5*LN(1+A153/'Inputs'!$B$38)))</x:f>
      </x:c>
      <x:c r="C153" s="2" t="str">
        <x:f>IF(B153="","",B153*'Results'!B30)</x:f>
      </x:c>
      <x:c r="D153" s="2" t="str">
        <x:f>IF(B153="","",B153*'Results'!C30)</x:f>
      </x:c>
      <x:c r="E153" s="2" t="str">
        <x:f>IF(B153="","",'Results'!B12)</x:f>
      </x:c>
      <x:c r="F153" s="2" t="str">
        <x:f>IF(B153="","",'Results'!C12)</x:f>
      </x:c>
      <x:c r="G153" s="2"/>
      <x:c r="H153" s="2"/>
      <x:c r="I153" s="2"/>
      <x:c r="J153" s="2"/>
    </x:row>
    <x:row r="154" ht="22" customHeight="1">
      <x:c r="A154" s="24" t="str">
        <x:f>IF($B$5="","",(154-18)*IF(ISNUMBER('Results'!B38),MAX('Inputs'!$B$37,'Results'!B38*1.2),'Inputs'!$B$37)/200)</x:f>
      </x:c>
      <x:c r="B154" s="20" t="str">
        <x:f>IF(A154="","",MAX(0,1-$B$5*LN(1+A154/'Inputs'!$B$38)))</x:f>
      </x:c>
      <x:c r="C154" s="2" t="str">
        <x:f>IF(B154="","",B154*'Results'!B30)</x:f>
      </x:c>
      <x:c r="D154" s="2" t="str">
        <x:f>IF(B154="","",B154*'Results'!C30)</x:f>
      </x:c>
      <x:c r="E154" s="2" t="str">
        <x:f>IF(B154="","",'Results'!B12)</x:f>
      </x:c>
      <x:c r="F154" s="2" t="str">
        <x:f>IF(B154="","",'Results'!C12)</x:f>
      </x:c>
      <x:c r="G154" s="2"/>
      <x:c r="H154" s="2"/>
      <x:c r="I154" s="2"/>
      <x:c r="J154" s="2"/>
    </x:row>
    <x:row r="155" ht="22" customHeight="1">
      <x:c r="A155" s="24" t="str">
        <x:f>IF($B$5="","",(155-18)*IF(ISNUMBER('Results'!B38),MAX('Inputs'!$B$37,'Results'!B38*1.2),'Inputs'!$B$37)/200)</x:f>
      </x:c>
      <x:c r="B155" s="20" t="str">
        <x:f>IF(A155="","",MAX(0,1-$B$5*LN(1+A155/'Inputs'!$B$38)))</x:f>
      </x:c>
      <x:c r="C155" s="2" t="str">
        <x:f>IF(B155="","",B155*'Results'!B30)</x:f>
      </x:c>
      <x:c r="D155" s="2" t="str">
        <x:f>IF(B155="","",B155*'Results'!C30)</x:f>
      </x:c>
      <x:c r="E155" s="2" t="str">
        <x:f>IF(B155="","",'Results'!B12)</x:f>
      </x:c>
      <x:c r="F155" s="2" t="str">
        <x:f>IF(B155="","",'Results'!C12)</x:f>
      </x:c>
      <x:c r="G155" s="2"/>
      <x:c r="H155" s="2"/>
      <x:c r="I155" s="2"/>
      <x:c r="J155" s="2"/>
    </x:row>
    <x:row r="156" ht="22" customHeight="1">
      <x:c r="A156" s="24" t="str">
        <x:f>IF($B$5="","",(156-18)*IF(ISNUMBER('Results'!B38),MAX('Inputs'!$B$37,'Results'!B38*1.2),'Inputs'!$B$37)/200)</x:f>
      </x:c>
      <x:c r="B156" s="20" t="str">
        <x:f>IF(A156="","",MAX(0,1-$B$5*LN(1+A156/'Inputs'!$B$38)))</x:f>
      </x:c>
      <x:c r="C156" s="2" t="str">
        <x:f>IF(B156="","",B156*'Results'!B30)</x:f>
      </x:c>
      <x:c r="D156" s="2" t="str">
        <x:f>IF(B156="","",B156*'Results'!C30)</x:f>
      </x:c>
      <x:c r="E156" s="2" t="str">
        <x:f>IF(B156="","",'Results'!B12)</x:f>
      </x:c>
      <x:c r="F156" s="2" t="str">
        <x:f>IF(B156="","",'Results'!C12)</x:f>
      </x:c>
      <x:c r="G156" s="2"/>
      <x:c r="H156" s="2"/>
      <x:c r="I156" s="2"/>
      <x:c r="J156" s="2"/>
    </x:row>
    <x:row r="157" ht="22" customHeight="1">
      <x:c r="A157" s="24" t="str">
        <x:f>IF($B$5="","",(157-18)*IF(ISNUMBER('Results'!B38),MAX('Inputs'!$B$37,'Results'!B38*1.2),'Inputs'!$B$37)/200)</x:f>
      </x:c>
      <x:c r="B157" s="20" t="str">
        <x:f>IF(A157="","",MAX(0,1-$B$5*LN(1+A157/'Inputs'!$B$38)))</x:f>
      </x:c>
      <x:c r="C157" s="2" t="str">
        <x:f>IF(B157="","",B157*'Results'!B30)</x:f>
      </x:c>
      <x:c r="D157" s="2" t="str">
        <x:f>IF(B157="","",B157*'Results'!C30)</x:f>
      </x:c>
      <x:c r="E157" s="2" t="str">
        <x:f>IF(B157="","",'Results'!B12)</x:f>
      </x:c>
      <x:c r="F157" s="2" t="str">
        <x:f>IF(B157="","",'Results'!C12)</x:f>
      </x:c>
      <x:c r="G157" s="2"/>
      <x:c r="H157" s="2"/>
      <x:c r="I157" s="2"/>
      <x:c r="J157" s="2"/>
    </x:row>
    <x:row r="158" ht="22" customHeight="1">
      <x:c r="A158" s="24" t="str">
        <x:f>IF($B$5="","",(158-18)*IF(ISNUMBER('Results'!B38),MAX('Inputs'!$B$37,'Results'!B38*1.2),'Inputs'!$B$37)/200)</x:f>
      </x:c>
      <x:c r="B158" s="20" t="str">
        <x:f>IF(A158="","",MAX(0,1-$B$5*LN(1+A158/'Inputs'!$B$38)))</x:f>
      </x:c>
      <x:c r="C158" s="2" t="str">
        <x:f>IF(B158="","",B158*'Results'!B30)</x:f>
      </x:c>
      <x:c r="D158" s="2" t="str">
        <x:f>IF(B158="","",B158*'Results'!C30)</x:f>
      </x:c>
      <x:c r="E158" s="2" t="str">
        <x:f>IF(B158="","",'Results'!B12)</x:f>
      </x:c>
      <x:c r="F158" s="2" t="str">
        <x:f>IF(B158="","",'Results'!C12)</x:f>
      </x:c>
      <x:c r="G158" s="2"/>
      <x:c r="H158" s="2"/>
      <x:c r="I158" s="2"/>
      <x:c r="J158" s="2"/>
    </x:row>
    <x:row r="159" ht="22" customHeight="1">
      <x:c r="A159" s="24" t="str">
        <x:f>IF($B$5="","",(159-18)*IF(ISNUMBER('Results'!B38),MAX('Inputs'!$B$37,'Results'!B38*1.2),'Inputs'!$B$37)/200)</x:f>
      </x:c>
      <x:c r="B159" s="20" t="str">
        <x:f>IF(A159="","",MAX(0,1-$B$5*LN(1+A159/'Inputs'!$B$38)))</x:f>
      </x:c>
      <x:c r="C159" s="2" t="str">
        <x:f>IF(B159="","",B159*'Results'!B30)</x:f>
      </x:c>
      <x:c r="D159" s="2" t="str">
        <x:f>IF(B159="","",B159*'Results'!C30)</x:f>
      </x:c>
      <x:c r="E159" s="2" t="str">
        <x:f>IF(B159="","",'Results'!B12)</x:f>
      </x:c>
      <x:c r="F159" s="2" t="str">
        <x:f>IF(B159="","",'Results'!C12)</x:f>
      </x:c>
      <x:c r="G159" s="2"/>
      <x:c r="H159" s="2"/>
      <x:c r="I159" s="2"/>
      <x:c r="J159" s="2"/>
    </x:row>
    <x:row r="160" ht="22" customHeight="1">
      <x:c r="A160" s="24" t="str">
        <x:f>IF($B$5="","",(160-18)*IF(ISNUMBER('Results'!B38),MAX('Inputs'!$B$37,'Results'!B38*1.2),'Inputs'!$B$37)/200)</x:f>
      </x:c>
      <x:c r="B160" s="20" t="str">
        <x:f>IF(A160="","",MAX(0,1-$B$5*LN(1+A160/'Inputs'!$B$38)))</x:f>
      </x:c>
      <x:c r="C160" s="2" t="str">
        <x:f>IF(B160="","",B160*'Results'!B30)</x:f>
      </x:c>
      <x:c r="D160" s="2" t="str">
        <x:f>IF(B160="","",B160*'Results'!C30)</x:f>
      </x:c>
      <x:c r="E160" s="2" t="str">
        <x:f>IF(B160="","",'Results'!B12)</x:f>
      </x:c>
      <x:c r="F160" s="2" t="str">
        <x:f>IF(B160="","",'Results'!C12)</x:f>
      </x:c>
      <x:c r="G160" s="2"/>
      <x:c r="H160" s="2"/>
      <x:c r="I160" s="2"/>
      <x:c r="J160" s="2"/>
    </x:row>
    <x:row r="161" ht="22" customHeight="1">
      <x:c r="A161" s="24" t="str">
        <x:f>IF($B$5="","",(161-18)*IF(ISNUMBER('Results'!B38),MAX('Inputs'!$B$37,'Results'!B38*1.2),'Inputs'!$B$37)/200)</x:f>
      </x:c>
      <x:c r="B161" s="20" t="str">
        <x:f>IF(A161="","",MAX(0,1-$B$5*LN(1+A161/'Inputs'!$B$38)))</x:f>
      </x:c>
      <x:c r="C161" s="2" t="str">
        <x:f>IF(B161="","",B161*'Results'!B30)</x:f>
      </x:c>
      <x:c r="D161" s="2" t="str">
        <x:f>IF(B161="","",B161*'Results'!C30)</x:f>
      </x:c>
      <x:c r="E161" s="2" t="str">
        <x:f>IF(B161="","",'Results'!B12)</x:f>
      </x:c>
      <x:c r="F161" s="2" t="str">
        <x:f>IF(B161="","",'Results'!C12)</x:f>
      </x:c>
      <x:c r="G161" s="2"/>
      <x:c r="H161" s="2"/>
      <x:c r="I161" s="2"/>
      <x:c r="J161" s="2"/>
    </x:row>
    <x:row r="162" ht="22" customHeight="1">
      <x:c r="A162" s="24" t="str">
        <x:f>IF($B$5="","",(162-18)*IF(ISNUMBER('Results'!B38),MAX('Inputs'!$B$37,'Results'!B38*1.2),'Inputs'!$B$37)/200)</x:f>
      </x:c>
      <x:c r="B162" s="20" t="str">
        <x:f>IF(A162="","",MAX(0,1-$B$5*LN(1+A162/'Inputs'!$B$38)))</x:f>
      </x:c>
      <x:c r="C162" s="2" t="str">
        <x:f>IF(B162="","",B162*'Results'!B30)</x:f>
      </x:c>
      <x:c r="D162" s="2" t="str">
        <x:f>IF(B162="","",B162*'Results'!C30)</x:f>
      </x:c>
      <x:c r="E162" s="2" t="str">
        <x:f>IF(B162="","",'Results'!B12)</x:f>
      </x:c>
      <x:c r="F162" s="2" t="str">
        <x:f>IF(B162="","",'Results'!C12)</x:f>
      </x:c>
      <x:c r="G162" s="2"/>
      <x:c r="H162" s="2"/>
      <x:c r="I162" s="2"/>
      <x:c r="J162" s="2"/>
    </x:row>
    <x:row r="163" ht="22" customHeight="1">
      <x:c r="A163" s="24" t="str">
        <x:f>IF($B$5="","",(163-18)*IF(ISNUMBER('Results'!B38),MAX('Inputs'!$B$37,'Results'!B38*1.2),'Inputs'!$B$37)/200)</x:f>
      </x:c>
      <x:c r="B163" s="20" t="str">
        <x:f>IF(A163="","",MAX(0,1-$B$5*LN(1+A163/'Inputs'!$B$38)))</x:f>
      </x:c>
      <x:c r="C163" s="2" t="str">
        <x:f>IF(B163="","",B163*'Results'!B30)</x:f>
      </x:c>
      <x:c r="D163" s="2" t="str">
        <x:f>IF(B163="","",B163*'Results'!C30)</x:f>
      </x:c>
      <x:c r="E163" s="2" t="str">
        <x:f>IF(B163="","",'Results'!B12)</x:f>
      </x:c>
      <x:c r="F163" s="2" t="str">
        <x:f>IF(B163="","",'Results'!C12)</x:f>
      </x:c>
      <x:c r="G163" s="2"/>
      <x:c r="H163" s="2"/>
      <x:c r="I163" s="2"/>
      <x:c r="J163" s="2"/>
    </x:row>
    <x:row r="164" ht="22" customHeight="1">
      <x:c r="A164" s="24" t="str">
        <x:f>IF($B$5="","",(164-18)*IF(ISNUMBER('Results'!B38),MAX('Inputs'!$B$37,'Results'!B38*1.2),'Inputs'!$B$37)/200)</x:f>
      </x:c>
      <x:c r="B164" s="20" t="str">
        <x:f>IF(A164="","",MAX(0,1-$B$5*LN(1+A164/'Inputs'!$B$38)))</x:f>
      </x:c>
      <x:c r="C164" s="2" t="str">
        <x:f>IF(B164="","",B164*'Results'!B30)</x:f>
      </x:c>
      <x:c r="D164" s="2" t="str">
        <x:f>IF(B164="","",B164*'Results'!C30)</x:f>
      </x:c>
      <x:c r="E164" s="2" t="str">
        <x:f>IF(B164="","",'Results'!B12)</x:f>
      </x:c>
      <x:c r="F164" s="2" t="str">
        <x:f>IF(B164="","",'Results'!C12)</x:f>
      </x:c>
      <x:c r="G164" s="2"/>
      <x:c r="H164" s="2"/>
      <x:c r="I164" s="2"/>
      <x:c r="J164" s="2"/>
    </x:row>
    <x:row r="165" ht="22" customHeight="1">
      <x:c r="A165" s="24" t="str">
        <x:f>IF($B$5="","",(165-18)*IF(ISNUMBER('Results'!B38),MAX('Inputs'!$B$37,'Results'!B38*1.2),'Inputs'!$B$37)/200)</x:f>
      </x:c>
      <x:c r="B165" s="20" t="str">
        <x:f>IF(A165="","",MAX(0,1-$B$5*LN(1+A165/'Inputs'!$B$38)))</x:f>
      </x:c>
      <x:c r="C165" s="2" t="str">
        <x:f>IF(B165="","",B165*'Results'!B30)</x:f>
      </x:c>
      <x:c r="D165" s="2" t="str">
        <x:f>IF(B165="","",B165*'Results'!C30)</x:f>
      </x:c>
      <x:c r="E165" s="2" t="str">
        <x:f>IF(B165="","",'Results'!B12)</x:f>
      </x:c>
      <x:c r="F165" s="2" t="str">
        <x:f>IF(B165="","",'Results'!C12)</x:f>
      </x:c>
      <x:c r="G165" s="2"/>
      <x:c r="H165" s="2"/>
      <x:c r="I165" s="2"/>
      <x:c r="J165" s="2"/>
    </x:row>
    <x:row r="166" ht="22" customHeight="1">
      <x:c r="A166" s="24" t="str">
        <x:f>IF($B$5="","",(166-18)*IF(ISNUMBER('Results'!B38),MAX('Inputs'!$B$37,'Results'!B38*1.2),'Inputs'!$B$37)/200)</x:f>
      </x:c>
      <x:c r="B166" s="20" t="str">
        <x:f>IF(A166="","",MAX(0,1-$B$5*LN(1+A166/'Inputs'!$B$38)))</x:f>
      </x:c>
      <x:c r="C166" s="2" t="str">
        <x:f>IF(B166="","",B166*'Results'!B30)</x:f>
      </x:c>
      <x:c r="D166" s="2" t="str">
        <x:f>IF(B166="","",B166*'Results'!C30)</x:f>
      </x:c>
      <x:c r="E166" s="2" t="str">
        <x:f>IF(B166="","",'Results'!B12)</x:f>
      </x:c>
      <x:c r="F166" s="2" t="str">
        <x:f>IF(B166="","",'Results'!C12)</x:f>
      </x:c>
      <x:c r="G166" s="2"/>
      <x:c r="H166" s="2"/>
      <x:c r="I166" s="2"/>
      <x:c r="J166" s="2"/>
    </x:row>
    <x:row r="167" ht="22" customHeight="1">
      <x:c r="A167" s="24" t="str">
        <x:f>IF($B$5="","",(167-18)*IF(ISNUMBER('Results'!B38),MAX('Inputs'!$B$37,'Results'!B38*1.2),'Inputs'!$B$37)/200)</x:f>
      </x:c>
      <x:c r="B167" s="20" t="str">
        <x:f>IF(A167="","",MAX(0,1-$B$5*LN(1+A167/'Inputs'!$B$38)))</x:f>
      </x:c>
      <x:c r="C167" s="2" t="str">
        <x:f>IF(B167="","",B167*'Results'!B30)</x:f>
      </x:c>
      <x:c r="D167" s="2" t="str">
        <x:f>IF(B167="","",B167*'Results'!C30)</x:f>
      </x:c>
      <x:c r="E167" s="2" t="str">
        <x:f>IF(B167="","",'Results'!B12)</x:f>
      </x:c>
      <x:c r="F167" s="2" t="str">
        <x:f>IF(B167="","",'Results'!C12)</x:f>
      </x:c>
      <x:c r="G167" s="2"/>
      <x:c r="H167" s="2"/>
      <x:c r="I167" s="2"/>
      <x:c r="J167" s="2"/>
    </x:row>
    <x:row r="168" ht="22" customHeight="1">
      <x:c r="A168" s="24" t="str">
        <x:f>IF($B$5="","",(168-18)*IF(ISNUMBER('Results'!B38),MAX('Inputs'!$B$37,'Results'!B38*1.2),'Inputs'!$B$37)/200)</x:f>
      </x:c>
      <x:c r="B168" s="20" t="str">
        <x:f>IF(A168="","",MAX(0,1-$B$5*LN(1+A168/'Inputs'!$B$38)))</x:f>
      </x:c>
      <x:c r="C168" s="2" t="str">
        <x:f>IF(B168="","",B168*'Results'!B30)</x:f>
      </x:c>
      <x:c r="D168" s="2" t="str">
        <x:f>IF(B168="","",B168*'Results'!C30)</x:f>
      </x:c>
      <x:c r="E168" s="2" t="str">
        <x:f>IF(B168="","",'Results'!B12)</x:f>
      </x:c>
      <x:c r="F168" s="2" t="str">
        <x:f>IF(B168="","",'Results'!C12)</x:f>
      </x:c>
      <x:c r="G168" s="2"/>
      <x:c r="H168" s="2"/>
      <x:c r="I168" s="2"/>
      <x:c r="J168" s="2"/>
    </x:row>
    <x:row r="169" ht="22" customHeight="1">
      <x:c r="A169" s="24" t="str">
        <x:f>IF($B$5="","",(169-18)*IF(ISNUMBER('Results'!B38),MAX('Inputs'!$B$37,'Results'!B38*1.2),'Inputs'!$B$37)/200)</x:f>
      </x:c>
      <x:c r="B169" s="20" t="str">
        <x:f>IF(A169="","",MAX(0,1-$B$5*LN(1+A169/'Inputs'!$B$38)))</x:f>
      </x:c>
      <x:c r="C169" s="2" t="str">
        <x:f>IF(B169="","",B169*'Results'!B30)</x:f>
      </x:c>
      <x:c r="D169" s="2" t="str">
        <x:f>IF(B169="","",B169*'Results'!C30)</x:f>
      </x:c>
      <x:c r="E169" s="2" t="str">
        <x:f>IF(B169="","",'Results'!B12)</x:f>
      </x:c>
      <x:c r="F169" s="2" t="str">
        <x:f>IF(B169="","",'Results'!C12)</x:f>
      </x:c>
      <x:c r="G169" s="2"/>
      <x:c r="H169" s="2"/>
      <x:c r="I169" s="2"/>
      <x:c r="J169" s="2"/>
    </x:row>
    <x:row r="170" ht="22" customHeight="1">
      <x:c r="A170" s="24" t="str">
        <x:f>IF($B$5="","",(170-18)*IF(ISNUMBER('Results'!B38),MAX('Inputs'!$B$37,'Results'!B38*1.2),'Inputs'!$B$37)/200)</x:f>
      </x:c>
      <x:c r="B170" s="20" t="str">
        <x:f>IF(A170="","",MAX(0,1-$B$5*LN(1+A170/'Inputs'!$B$38)))</x:f>
      </x:c>
      <x:c r="C170" s="2" t="str">
        <x:f>IF(B170="","",B170*'Results'!B30)</x:f>
      </x:c>
      <x:c r="D170" s="2" t="str">
        <x:f>IF(B170="","",B170*'Results'!C30)</x:f>
      </x:c>
      <x:c r="E170" s="2" t="str">
        <x:f>IF(B170="","",'Results'!B12)</x:f>
      </x:c>
      <x:c r="F170" s="2" t="str">
        <x:f>IF(B170="","",'Results'!C12)</x:f>
      </x:c>
      <x:c r="G170" s="2"/>
      <x:c r="H170" s="2"/>
      <x:c r="I170" s="2"/>
      <x:c r="J170" s="2"/>
    </x:row>
    <x:row r="171" ht="22" customHeight="1">
      <x:c r="A171" s="24" t="str">
        <x:f>IF($B$5="","",(171-18)*IF(ISNUMBER('Results'!B38),MAX('Inputs'!$B$37,'Results'!B38*1.2),'Inputs'!$B$37)/200)</x:f>
      </x:c>
      <x:c r="B171" s="20" t="str">
        <x:f>IF(A171="","",MAX(0,1-$B$5*LN(1+A171/'Inputs'!$B$38)))</x:f>
      </x:c>
      <x:c r="C171" s="2" t="str">
        <x:f>IF(B171="","",B171*'Results'!B30)</x:f>
      </x:c>
      <x:c r="D171" s="2" t="str">
        <x:f>IF(B171="","",B171*'Results'!C30)</x:f>
      </x:c>
      <x:c r="E171" s="2" t="str">
        <x:f>IF(B171="","",'Results'!B12)</x:f>
      </x:c>
      <x:c r="F171" s="2" t="str">
        <x:f>IF(B171="","",'Results'!C12)</x:f>
      </x:c>
      <x:c r="G171" s="2"/>
      <x:c r="H171" s="2"/>
      <x:c r="I171" s="2"/>
      <x:c r="J171" s="2"/>
    </x:row>
    <x:row r="172" ht="22" customHeight="1">
      <x:c r="A172" s="24" t="str">
        <x:f>IF($B$5="","",(172-18)*IF(ISNUMBER('Results'!B38),MAX('Inputs'!$B$37,'Results'!B38*1.2),'Inputs'!$B$37)/200)</x:f>
      </x:c>
      <x:c r="B172" s="20" t="str">
        <x:f>IF(A172="","",MAX(0,1-$B$5*LN(1+A172/'Inputs'!$B$38)))</x:f>
      </x:c>
      <x:c r="C172" s="2" t="str">
        <x:f>IF(B172="","",B172*'Results'!B30)</x:f>
      </x:c>
      <x:c r="D172" s="2" t="str">
        <x:f>IF(B172="","",B172*'Results'!C30)</x:f>
      </x:c>
      <x:c r="E172" s="2" t="str">
        <x:f>IF(B172="","",'Results'!B12)</x:f>
      </x:c>
      <x:c r="F172" s="2" t="str">
        <x:f>IF(B172="","",'Results'!C12)</x:f>
      </x:c>
      <x:c r="G172" s="2"/>
      <x:c r="H172" s="2"/>
      <x:c r="I172" s="2"/>
      <x:c r="J172" s="2"/>
    </x:row>
    <x:row r="173" ht="22" customHeight="1">
      <x:c r="A173" s="24" t="str">
        <x:f>IF($B$5="","",(173-18)*IF(ISNUMBER('Results'!B38),MAX('Inputs'!$B$37,'Results'!B38*1.2),'Inputs'!$B$37)/200)</x:f>
      </x:c>
      <x:c r="B173" s="20" t="str">
        <x:f>IF(A173="","",MAX(0,1-$B$5*LN(1+A173/'Inputs'!$B$38)))</x:f>
      </x:c>
      <x:c r="C173" s="2" t="str">
        <x:f>IF(B173="","",B173*'Results'!B30)</x:f>
      </x:c>
      <x:c r="D173" s="2" t="str">
        <x:f>IF(B173="","",B173*'Results'!C30)</x:f>
      </x:c>
      <x:c r="E173" s="2" t="str">
        <x:f>IF(B173="","",'Results'!B12)</x:f>
      </x:c>
      <x:c r="F173" s="2" t="str">
        <x:f>IF(B173="","",'Results'!C12)</x:f>
      </x:c>
      <x:c r="G173" s="2"/>
      <x:c r="H173" s="2"/>
      <x:c r="I173" s="2"/>
      <x:c r="J173" s="2"/>
    </x:row>
    <x:row r="174" ht="22" customHeight="1">
      <x:c r="A174" s="24" t="str">
        <x:f>IF($B$5="","",(174-18)*IF(ISNUMBER('Results'!B38),MAX('Inputs'!$B$37,'Results'!B38*1.2),'Inputs'!$B$37)/200)</x:f>
      </x:c>
      <x:c r="B174" s="20" t="str">
        <x:f>IF(A174="","",MAX(0,1-$B$5*LN(1+A174/'Inputs'!$B$38)))</x:f>
      </x:c>
      <x:c r="C174" s="2" t="str">
        <x:f>IF(B174="","",B174*'Results'!B30)</x:f>
      </x:c>
      <x:c r="D174" s="2" t="str">
        <x:f>IF(B174="","",B174*'Results'!C30)</x:f>
      </x:c>
      <x:c r="E174" s="2" t="str">
        <x:f>IF(B174="","",'Results'!B12)</x:f>
      </x:c>
      <x:c r="F174" s="2" t="str">
        <x:f>IF(B174="","",'Results'!C12)</x:f>
      </x:c>
      <x:c r="G174" s="2"/>
      <x:c r="H174" s="2"/>
      <x:c r="I174" s="2"/>
      <x:c r="J174" s="2"/>
    </x:row>
    <x:row r="175" ht="22" customHeight="1">
      <x:c r="A175" s="24" t="str">
        <x:f>IF($B$5="","",(175-18)*IF(ISNUMBER('Results'!B38),MAX('Inputs'!$B$37,'Results'!B38*1.2),'Inputs'!$B$37)/200)</x:f>
      </x:c>
      <x:c r="B175" s="20" t="str">
        <x:f>IF(A175="","",MAX(0,1-$B$5*LN(1+A175/'Inputs'!$B$38)))</x:f>
      </x:c>
      <x:c r="C175" s="2" t="str">
        <x:f>IF(B175="","",B175*'Results'!B30)</x:f>
      </x:c>
      <x:c r="D175" s="2" t="str">
        <x:f>IF(B175="","",B175*'Results'!C30)</x:f>
      </x:c>
      <x:c r="E175" s="2" t="str">
        <x:f>IF(B175="","",'Results'!B12)</x:f>
      </x:c>
      <x:c r="F175" s="2" t="str">
        <x:f>IF(B175="","",'Results'!C12)</x:f>
      </x:c>
      <x:c r="G175" s="2"/>
      <x:c r="H175" s="2"/>
      <x:c r="I175" s="2"/>
      <x:c r="J175" s="2"/>
    </x:row>
    <x:row r="176" ht="22" customHeight="1">
      <x:c r="A176" s="24" t="str">
        <x:f>IF($B$5="","",(176-18)*IF(ISNUMBER('Results'!B38),MAX('Inputs'!$B$37,'Results'!B38*1.2),'Inputs'!$B$37)/200)</x:f>
      </x:c>
      <x:c r="B176" s="20" t="str">
        <x:f>IF(A176="","",MAX(0,1-$B$5*LN(1+A176/'Inputs'!$B$38)))</x:f>
      </x:c>
      <x:c r="C176" s="2" t="str">
        <x:f>IF(B176="","",B176*'Results'!B30)</x:f>
      </x:c>
      <x:c r="D176" s="2" t="str">
        <x:f>IF(B176="","",B176*'Results'!C30)</x:f>
      </x:c>
      <x:c r="E176" s="2" t="str">
        <x:f>IF(B176="","",'Results'!B12)</x:f>
      </x:c>
      <x:c r="F176" s="2" t="str">
        <x:f>IF(B176="","",'Results'!C12)</x:f>
      </x:c>
      <x:c r="G176" s="2"/>
      <x:c r="H176" s="2"/>
      <x:c r="I176" s="2"/>
      <x:c r="J176" s="2"/>
    </x:row>
    <x:row r="177" ht="22" customHeight="1">
      <x:c r="A177" s="24" t="str">
        <x:f>IF($B$5="","",(177-18)*IF(ISNUMBER('Results'!B38),MAX('Inputs'!$B$37,'Results'!B38*1.2),'Inputs'!$B$37)/200)</x:f>
      </x:c>
      <x:c r="B177" s="20" t="str">
        <x:f>IF(A177="","",MAX(0,1-$B$5*LN(1+A177/'Inputs'!$B$38)))</x:f>
      </x:c>
      <x:c r="C177" s="2" t="str">
        <x:f>IF(B177="","",B177*'Results'!B30)</x:f>
      </x:c>
      <x:c r="D177" s="2" t="str">
        <x:f>IF(B177="","",B177*'Results'!C30)</x:f>
      </x:c>
      <x:c r="E177" s="2" t="str">
        <x:f>IF(B177="","",'Results'!B12)</x:f>
      </x:c>
      <x:c r="F177" s="2" t="str">
        <x:f>IF(B177="","",'Results'!C12)</x:f>
      </x:c>
      <x:c r="G177" s="2"/>
      <x:c r="H177" s="2"/>
      <x:c r="I177" s="2"/>
      <x:c r="J177" s="2"/>
    </x:row>
    <x:row r="178" ht="22" customHeight="1">
      <x:c r="A178" s="24" t="str">
        <x:f>IF($B$5="","",(178-18)*IF(ISNUMBER('Results'!B38),MAX('Inputs'!$B$37,'Results'!B38*1.2),'Inputs'!$B$37)/200)</x:f>
      </x:c>
      <x:c r="B178" s="20" t="str">
        <x:f>IF(A178="","",MAX(0,1-$B$5*LN(1+A178/'Inputs'!$B$38)))</x:f>
      </x:c>
      <x:c r="C178" s="2" t="str">
        <x:f>IF(B178="","",B178*'Results'!B30)</x:f>
      </x:c>
      <x:c r="D178" s="2" t="str">
        <x:f>IF(B178="","",B178*'Results'!C30)</x:f>
      </x:c>
      <x:c r="E178" s="2" t="str">
        <x:f>IF(B178="","",'Results'!B12)</x:f>
      </x:c>
      <x:c r="F178" s="2" t="str">
        <x:f>IF(B178="","",'Results'!C12)</x:f>
      </x:c>
      <x:c r="G178" s="2"/>
      <x:c r="H178" s="2"/>
      <x:c r="I178" s="2"/>
      <x:c r="J178" s="2"/>
    </x:row>
    <x:row r="179" ht="22" customHeight="1">
      <x:c r="A179" s="24" t="str">
        <x:f>IF($B$5="","",(179-18)*IF(ISNUMBER('Results'!B38),MAX('Inputs'!$B$37,'Results'!B38*1.2),'Inputs'!$B$37)/200)</x:f>
      </x:c>
      <x:c r="B179" s="20" t="str">
        <x:f>IF(A179="","",MAX(0,1-$B$5*LN(1+A179/'Inputs'!$B$38)))</x:f>
      </x:c>
      <x:c r="C179" s="2" t="str">
        <x:f>IF(B179="","",B179*'Results'!B30)</x:f>
      </x:c>
      <x:c r="D179" s="2" t="str">
        <x:f>IF(B179="","",B179*'Results'!C30)</x:f>
      </x:c>
      <x:c r="E179" s="2" t="str">
        <x:f>IF(B179="","",'Results'!B12)</x:f>
      </x:c>
      <x:c r="F179" s="2" t="str">
        <x:f>IF(B179="","",'Results'!C12)</x:f>
      </x:c>
      <x:c r="G179" s="2"/>
      <x:c r="H179" s="2"/>
      <x:c r="I179" s="2"/>
      <x:c r="J179" s="2"/>
    </x:row>
    <x:row r="180" ht="22" customHeight="1">
      <x:c r="A180" s="24" t="str">
        <x:f>IF($B$5="","",(180-18)*IF(ISNUMBER('Results'!B38),MAX('Inputs'!$B$37,'Results'!B38*1.2),'Inputs'!$B$37)/200)</x:f>
      </x:c>
      <x:c r="B180" s="20" t="str">
        <x:f>IF(A180="","",MAX(0,1-$B$5*LN(1+A180/'Inputs'!$B$38)))</x:f>
      </x:c>
      <x:c r="C180" s="2" t="str">
        <x:f>IF(B180="","",B180*'Results'!B30)</x:f>
      </x:c>
      <x:c r="D180" s="2" t="str">
        <x:f>IF(B180="","",B180*'Results'!C30)</x:f>
      </x:c>
      <x:c r="E180" s="2" t="str">
        <x:f>IF(B180="","",'Results'!B12)</x:f>
      </x:c>
      <x:c r="F180" s="2" t="str">
        <x:f>IF(B180="","",'Results'!C12)</x:f>
      </x:c>
      <x:c r="G180" s="2"/>
      <x:c r="H180" s="2"/>
      <x:c r="I180" s="2"/>
      <x:c r="J180" s="2"/>
    </x:row>
    <x:row r="181" ht="22" customHeight="1">
      <x:c r="A181" s="24" t="str">
        <x:f>IF($B$5="","",(181-18)*IF(ISNUMBER('Results'!B38),MAX('Inputs'!$B$37,'Results'!B38*1.2),'Inputs'!$B$37)/200)</x:f>
      </x:c>
      <x:c r="B181" s="20" t="str">
        <x:f>IF(A181="","",MAX(0,1-$B$5*LN(1+A181/'Inputs'!$B$38)))</x:f>
      </x:c>
      <x:c r="C181" s="2" t="str">
        <x:f>IF(B181="","",B181*'Results'!B30)</x:f>
      </x:c>
      <x:c r="D181" s="2" t="str">
        <x:f>IF(B181="","",B181*'Results'!C30)</x:f>
      </x:c>
      <x:c r="E181" s="2" t="str">
        <x:f>IF(B181="","",'Results'!B12)</x:f>
      </x:c>
      <x:c r="F181" s="2" t="str">
        <x:f>IF(B181="","",'Results'!C12)</x:f>
      </x:c>
      <x:c r="G181" s="2"/>
      <x:c r="H181" s="2"/>
      <x:c r="I181" s="2"/>
      <x:c r="J181" s="2"/>
    </x:row>
    <x:row r="182" ht="22" customHeight="1">
      <x:c r="A182" s="24" t="str">
        <x:f>IF($B$5="","",(182-18)*IF(ISNUMBER('Results'!B38),MAX('Inputs'!$B$37,'Results'!B38*1.2),'Inputs'!$B$37)/200)</x:f>
      </x:c>
      <x:c r="B182" s="20" t="str">
        <x:f>IF(A182="","",MAX(0,1-$B$5*LN(1+A182/'Inputs'!$B$38)))</x:f>
      </x:c>
      <x:c r="C182" s="2" t="str">
        <x:f>IF(B182="","",B182*'Results'!B30)</x:f>
      </x:c>
      <x:c r="D182" s="2" t="str">
        <x:f>IF(B182="","",B182*'Results'!C30)</x:f>
      </x:c>
      <x:c r="E182" s="2" t="str">
        <x:f>IF(B182="","",'Results'!B12)</x:f>
      </x:c>
      <x:c r="F182" s="2" t="str">
        <x:f>IF(B182="","",'Results'!C12)</x:f>
      </x:c>
      <x:c r="G182" s="2"/>
      <x:c r="H182" s="2"/>
      <x:c r="I182" s="2"/>
      <x:c r="J182" s="2"/>
    </x:row>
    <x:row r="183" ht="22" customHeight="1">
      <x:c r="A183" s="24" t="str">
        <x:f>IF($B$5="","",(183-18)*IF(ISNUMBER('Results'!B38),MAX('Inputs'!$B$37,'Results'!B38*1.2),'Inputs'!$B$37)/200)</x:f>
      </x:c>
      <x:c r="B183" s="20" t="str">
        <x:f>IF(A183="","",MAX(0,1-$B$5*LN(1+A183/'Inputs'!$B$38)))</x:f>
      </x:c>
      <x:c r="C183" s="2" t="str">
        <x:f>IF(B183="","",B183*'Results'!B30)</x:f>
      </x:c>
      <x:c r="D183" s="2" t="str">
        <x:f>IF(B183="","",B183*'Results'!C30)</x:f>
      </x:c>
      <x:c r="E183" s="2" t="str">
        <x:f>IF(B183="","",'Results'!B12)</x:f>
      </x:c>
      <x:c r="F183" s="2" t="str">
        <x:f>IF(B183="","",'Results'!C12)</x:f>
      </x:c>
      <x:c r="G183" s="2"/>
      <x:c r="H183" s="2"/>
      <x:c r="I183" s="2"/>
      <x:c r="J183" s="2"/>
    </x:row>
    <x:row r="184" ht="22" customHeight="1">
      <x:c r="A184" s="24" t="str">
        <x:f>IF($B$5="","",(184-18)*IF(ISNUMBER('Results'!B38),MAX('Inputs'!$B$37,'Results'!B38*1.2),'Inputs'!$B$37)/200)</x:f>
      </x:c>
      <x:c r="B184" s="20" t="str">
        <x:f>IF(A184="","",MAX(0,1-$B$5*LN(1+A184/'Inputs'!$B$38)))</x:f>
      </x:c>
      <x:c r="C184" s="2" t="str">
        <x:f>IF(B184="","",B184*'Results'!B30)</x:f>
      </x:c>
      <x:c r="D184" s="2" t="str">
        <x:f>IF(B184="","",B184*'Results'!C30)</x:f>
      </x:c>
      <x:c r="E184" s="2" t="str">
        <x:f>IF(B184="","",'Results'!B12)</x:f>
      </x:c>
      <x:c r="F184" s="2" t="str">
        <x:f>IF(B184="","",'Results'!C12)</x:f>
      </x:c>
      <x:c r="G184" s="2"/>
      <x:c r="H184" s="2"/>
      <x:c r="I184" s="2"/>
      <x:c r="J184" s="2"/>
    </x:row>
    <x:row r="185" ht="22" customHeight="1">
      <x:c r="A185" s="24" t="str">
        <x:f>IF($B$5="","",(185-18)*IF(ISNUMBER('Results'!B38),MAX('Inputs'!$B$37,'Results'!B38*1.2),'Inputs'!$B$37)/200)</x:f>
      </x:c>
      <x:c r="B185" s="20" t="str">
        <x:f>IF(A185="","",MAX(0,1-$B$5*LN(1+A185/'Inputs'!$B$38)))</x:f>
      </x:c>
      <x:c r="C185" s="2" t="str">
        <x:f>IF(B185="","",B185*'Results'!B30)</x:f>
      </x:c>
      <x:c r="D185" s="2" t="str">
        <x:f>IF(B185="","",B185*'Results'!C30)</x:f>
      </x:c>
      <x:c r="E185" s="2" t="str">
        <x:f>IF(B185="","",'Results'!B12)</x:f>
      </x:c>
      <x:c r="F185" s="2" t="str">
        <x:f>IF(B185="","",'Results'!C12)</x:f>
      </x:c>
      <x:c r="G185" s="2"/>
      <x:c r="H185" s="2"/>
      <x:c r="I185" s="2"/>
      <x:c r="J185" s="2"/>
    </x:row>
    <x:row r="186" ht="22" customHeight="1">
      <x:c r="A186" s="24" t="str">
        <x:f>IF($B$5="","",(186-18)*IF(ISNUMBER('Results'!B38),MAX('Inputs'!$B$37,'Results'!B38*1.2),'Inputs'!$B$37)/200)</x:f>
      </x:c>
      <x:c r="B186" s="20" t="str">
        <x:f>IF(A186="","",MAX(0,1-$B$5*LN(1+A186/'Inputs'!$B$38)))</x:f>
      </x:c>
      <x:c r="C186" s="2" t="str">
        <x:f>IF(B186="","",B186*'Results'!B30)</x:f>
      </x:c>
      <x:c r="D186" s="2" t="str">
        <x:f>IF(B186="","",B186*'Results'!C30)</x:f>
      </x:c>
      <x:c r="E186" s="2" t="str">
        <x:f>IF(B186="","",'Results'!B12)</x:f>
      </x:c>
      <x:c r="F186" s="2" t="str">
        <x:f>IF(B186="","",'Results'!C12)</x:f>
      </x:c>
      <x:c r="G186" s="2"/>
      <x:c r="H186" s="2"/>
      <x:c r="I186" s="2"/>
      <x:c r="J186" s="2"/>
    </x:row>
    <x:row r="187" ht="22" customHeight="1">
      <x:c r="A187" s="24" t="str">
        <x:f>IF($B$5="","",(187-18)*IF(ISNUMBER('Results'!B38),MAX('Inputs'!$B$37,'Results'!B38*1.2),'Inputs'!$B$37)/200)</x:f>
      </x:c>
      <x:c r="B187" s="20" t="str">
        <x:f>IF(A187="","",MAX(0,1-$B$5*LN(1+A187/'Inputs'!$B$38)))</x:f>
      </x:c>
      <x:c r="C187" s="2" t="str">
        <x:f>IF(B187="","",B187*'Results'!B30)</x:f>
      </x:c>
      <x:c r="D187" s="2" t="str">
        <x:f>IF(B187="","",B187*'Results'!C30)</x:f>
      </x:c>
      <x:c r="E187" s="2" t="str">
        <x:f>IF(B187="","",'Results'!B12)</x:f>
      </x:c>
      <x:c r="F187" s="2" t="str">
        <x:f>IF(B187="","",'Results'!C12)</x:f>
      </x:c>
      <x:c r="G187" s="2"/>
      <x:c r="H187" s="2"/>
      <x:c r="I187" s="2"/>
      <x:c r="J187" s="2"/>
    </x:row>
    <x:row r="188" ht="22" customHeight="1">
      <x:c r="A188" s="24" t="str">
        <x:f>IF($B$5="","",(188-18)*IF(ISNUMBER('Results'!B38),MAX('Inputs'!$B$37,'Results'!B38*1.2),'Inputs'!$B$37)/200)</x:f>
      </x:c>
      <x:c r="B188" s="20" t="str">
        <x:f>IF(A188="","",MAX(0,1-$B$5*LN(1+A188/'Inputs'!$B$38)))</x:f>
      </x:c>
      <x:c r="C188" s="2" t="str">
        <x:f>IF(B188="","",B188*'Results'!B30)</x:f>
      </x:c>
      <x:c r="D188" s="2" t="str">
        <x:f>IF(B188="","",B188*'Results'!C30)</x:f>
      </x:c>
      <x:c r="E188" s="2" t="str">
        <x:f>IF(B188="","",'Results'!B12)</x:f>
      </x:c>
      <x:c r="F188" s="2" t="str">
        <x:f>IF(B188="","",'Results'!C12)</x:f>
      </x:c>
      <x:c r="G188" s="2"/>
      <x:c r="H188" s="2"/>
      <x:c r="I188" s="2"/>
      <x:c r="J188" s="2"/>
    </x:row>
    <x:row r="189" ht="22" customHeight="1">
      <x:c r="A189" s="24" t="str">
        <x:f>IF($B$5="","",(189-18)*IF(ISNUMBER('Results'!B38),MAX('Inputs'!$B$37,'Results'!B38*1.2),'Inputs'!$B$37)/200)</x:f>
      </x:c>
      <x:c r="B189" s="20" t="str">
        <x:f>IF(A189="","",MAX(0,1-$B$5*LN(1+A189/'Inputs'!$B$38)))</x:f>
      </x:c>
      <x:c r="C189" s="2" t="str">
        <x:f>IF(B189="","",B189*'Results'!B30)</x:f>
      </x:c>
      <x:c r="D189" s="2" t="str">
        <x:f>IF(B189="","",B189*'Results'!C30)</x:f>
      </x:c>
      <x:c r="E189" s="2" t="str">
        <x:f>IF(B189="","",'Results'!B12)</x:f>
      </x:c>
      <x:c r="F189" s="2" t="str">
        <x:f>IF(B189="","",'Results'!C12)</x:f>
      </x:c>
      <x:c r="G189" s="2"/>
      <x:c r="H189" s="2"/>
      <x:c r="I189" s="2"/>
      <x:c r="J189" s="2"/>
    </x:row>
    <x:row r="190" ht="22" customHeight="1">
      <x:c r="A190" s="24" t="str">
        <x:f>IF($B$5="","",(190-18)*IF(ISNUMBER('Results'!B38),MAX('Inputs'!$B$37,'Results'!B38*1.2),'Inputs'!$B$37)/200)</x:f>
      </x:c>
      <x:c r="B190" s="20" t="str">
        <x:f>IF(A190="","",MAX(0,1-$B$5*LN(1+A190/'Inputs'!$B$38)))</x:f>
      </x:c>
      <x:c r="C190" s="2" t="str">
        <x:f>IF(B190="","",B190*'Results'!B30)</x:f>
      </x:c>
      <x:c r="D190" s="2" t="str">
        <x:f>IF(B190="","",B190*'Results'!C30)</x:f>
      </x:c>
      <x:c r="E190" s="2" t="str">
        <x:f>IF(B190="","",'Results'!B12)</x:f>
      </x:c>
      <x:c r="F190" s="2" t="str">
        <x:f>IF(B190="","",'Results'!C12)</x:f>
      </x:c>
      <x:c r="G190" s="2"/>
      <x:c r="H190" s="2"/>
      <x:c r="I190" s="2"/>
      <x:c r="J190" s="2"/>
    </x:row>
    <x:row r="191" ht="22" customHeight="1">
      <x:c r="A191" s="24" t="str">
        <x:f>IF($B$5="","",(191-18)*IF(ISNUMBER('Results'!B38),MAX('Inputs'!$B$37,'Results'!B38*1.2),'Inputs'!$B$37)/200)</x:f>
      </x:c>
      <x:c r="B191" s="20" t="str">
        <x:f>IF(A191="","",MAX(0,1-$B$5*LN(1+A191/'Inputs'!$B$38)))</x:f>
      </x:c>
      <x:c r="C191" s="2" t="str">
        <x:f>IF(B191="","",B191*'Results'!B30)</x:f>
      </x:c>
      <x:c r="D191" s="2" t="str">
        <x:f>IF(B191="","",B191*'Results'!C30)</x:f>
      </x:c>
      <x:c r="E191" s="2" t="str">
        <x:f>IF(B191="","",'Results'!B12)</x:f>
      </x:c>
      <x:c r="F191" s="2" t="str">
        <x:f>IF(B191="","",'Results'!C12)</x:f>
      </x:c>
      <x:c r="G191" s="2"/>
      <x:c r="H191" s="2"/>
      <x:c r="I191" s="2"/>
      <x:c r="J191" s="2"/>
    </x:row>
    <x:row r="192" ht="22" customHeight="1">
      <x:c r="A192" s="24" t="str">
        <x:f>IF($B$5="","",(192-18)*IF(ISNUMBER('Results'!B38),MAX('Inputs'!$B$37,'Results'!B38*1.2),'Inputs'!$B$37)/200)</x:f>
      </x:c>
      <x:c r="B192" s="20" t="str">
        <x:f>IF(A192="","",MAX(0,1-$B$5*LN(1+A192/'Inputs'!$B$38)))</x:f>
      </x:c>
      <x:c r="C192" s="2" t="str">
        <x:f>IF(B192="","",B192*'Results'!B30)</x:f>
      </x:c>
      <x:c r="D192" s="2" t="str">
        <x:f>IF(B192="","",B192*'Results'!C30)</x:f>
      </x:c>
      <x:c r="E192" s="2" t="str">
        <x:f>IF(B192="","",'Results'!B12)</x:f>
      </x:c>
      <x:c r="F192" s="2" t="str">
        <x:f>IF(B192="","",'Results'!C12)</x:f>
      </x:c>
      <x:c r="G192" s="2"/>
      <x:c r="H192" s="2"/>
      <x:c r="I192" s="2"/>
      <x:c r="J192" s="2"/>
    </x:row>
    <x:row r="193" ht="22" customHeight="1">
      <x:c r="A193" s="24" t="str">
        <x:f>IF($B$5="","",(193-18)*IF(ISNUMBER('Results'!B38),MAX('Inputs'!$B$37,'Results'!B38*1.2),'Inputs'!$B$37)/200)</x:f>
      </x:c>
      <x:c r="B193" s="20" t="str">
        <x:f>IF(A193="","",MAX(0,1-$B$5*LN(1+A193/'Inputs'!$B$38)))</x:f>
      </x:c>
      <x:c r="C193" s="2" t="str">
        <x:f>IF(B193="","",B193*'Results'!B30)</x:f>
      </x:c>
      <x:c r="D193" s="2" t="str">
        <x:f>IF(B193="","",B193*'Results'!C30)</x:f>
      </x:c>
      <x:c r="E193" s="2" t="str">
        <x:f>IF(B193="","",'Results'!B12)</x:f>
      </x:c>
      <x:c r="F193" s="2" t="str">
        <x:f>IF(B193="","",'Results'!C12)</x:f>
      </x:c>
      <x:c r="G193" s="2"/>
      <x:c r="H193" s="2"/>
      <x:c r="I193" s="2"/>
      <x:c r="J193" s="2"/>
    </x:row>
    <x:row r="194" ht="22" customHeight="1">
      <x:c r="A194" s="24" t="str">
        <x:f>IF($B$5="","",(194-18)*IF(ISNUMBER('Results'!B38),MAX('Inputs'!$B$37,'Results'!B38*1.2),'Inputs'!$B$37)/200)</x:f>
      </x:c>
      <x:c r="B194" s="20" t="str">
        <x:f>IF(A194="","",MAX(0,1-$B$5*LN(1+A194/'Inputs'!$B$38)))</x:f>
      </x:c>
      <x:c r="C194" s="2" t="str">
        <x:f>IF(B194="","",B194*'Results'!B30)</x:f>
      </x:c>
      <x:c r="D194" s="2" t="str">
        <x:f>IF(B194="","",B194*'Results'!C30)</x:f>
      </x:c>
      <x:c r="E194" s="2" t="str">
        <x:f>IF(B194="","",'Results'!B12)</x:f>
      </x:c>
      <x:c r="F194" s="2" t="str">
        <x:f>IF(B194="","",'Results'!C12)</x:f>
      </x:c>
      <x:c r="G194" s="2"/>
      <x:c r="H194" s="2"/>
      <x:c r="I194" s="2"/>
      <x:c r="J194" s="2"/>
    </x:row>
    <x:row r="195" ht="22" customHeight="1">
      <x:c r="A195" s="24" t="str">
        <x:f>IF($B$5="","",(195-18)*IF(ISNUMBER('Results'!B38),MAX('Inputs'!$B$37,'Results'!B38*1.2),'Inputs'!$B$37)/200)</x:f>
      </x:c>
      <x:c r="B195" s="20" t="str">
        <x:f>IF(A195="","",MAX(0,1-$B$5*LN(1+A195/'Inputs'!$B$38)))</x:f>
      </x:c>
      <x:c r="C195" s="2" t="str">
        <x:f>IF(B195="","",B195*'Results'!B30)</x:f>
      </x:c>
      <x:c r="D195" s="2" t="str">
        <x:f>IF(B195="","",B195*'Results'!C30)</x:f>
      </x:c>
      <x:c r="E195" s="2" t="str">
        <x:f>IF(B195="","",'Results'!B12)</x:f>
      </x:c>
      <x:c r="F195" s="2" t="str">
        <x:f>IF(B195="","",'Results'!C12)</x:f>
      </x:c>
      <x:c r="G195" s="2"/>
      <x:c r="H195" s="2"/>
      <x:c r="I195" s="2"/>
      <x:c r="J195" s="2"/>
    </x:row>
    <x:row r="196" ht="22" customHeight="1">
      <x:c r="A196" s="24" t="str">
        <x:f>IF($B$5="","",(196-18)*IF(ISNUMBER('Results'!B38),MAX('Inputs'!$B$37,'Results'!B38*1.2),'Inputs'!$B$37)/200)</x:f>
      </x:c>
      <x:c r="B196" s="20" t="str">
        <x:f>IF(A196="","",MAX(0,1-$B$5*LN(1+A196/'Inputs'!$B$38)))</x:f>
      </x:c>
      <x:c r="C196" s="2" t="str">
        <x:f>IF(B196="","",B196*'Results'!B30)</x:f>
      </x:c>
      <x:c r="D196" s="2" t="str">
        <x:f>IF(B196="","",B196*'Results'!C30)</x:f>
      </x:c>
      <x:c r="E196" s="2" t="str">
        <x:f>IF(B196="","",'Results'!B12)</x:f>
      </x:c>
      <x:c r="F196" s="2" t="str">
        <x:f>IF(B196="","",'Results'!C12)</x:f>
      </x:c>
      <x:c r="G196" s="2"/>
      <x:c r="H196" s="2"/>
      <x:c r="I196" s="2"/>
      <x:c r="J196" s="2"/>
    </x:row>
    <x:row r="197" ht="22" customHeight="1">
      <x:c r="A197" s="24" t="str">
        <x:f>IF($B$5="","",(197-18)*IF(ISNUMBER('Results'!B38),MAX('Inputs'!$B$37,'Results'!B38*1.2),'Inputs'!$B$37)/200)</x:f>
      </x:c>
      <x:c r="B197" s="20" t="str">
        <x:f>IF(A197="","",MAX(0,1-$B$5*LN(1+A197/'Inputs'!$B$38)))</x:f>
      </x:c>
      <x:c r="C197" s="2" t="str">
        <x:f>IF(B197="","",B197*'Results'!B30)</x:f>
      </x:c>
      <x:c r="D197" s="2" t="str">
        <x:f>IF(B197="","",B197*'Results'!C30)</x:f>
      </x:c>
      <x:c r="E197" s="2" t="str">
        <x:f>IF(B197="","",'Results'!B12)</x:f>
      </x:c>
      <x:c r="F197" s="2" t="str">
        <x:f>IF(B197="","",'Results'!C12)</x:f>
      </x:c>
      <x:c r="G197" s="2"/>
      <x:c r="H197" s="2"/>
      <x:c r="I197" s="2"/>
      <x:c r="J197" s="2"/>
    </x:row>
    <x:row r="198" ht="22" customHeight="1">
      <x:c r="A198" s="24" t="str">
        <x:f>IF($B$5="","",(198-18)*IF(ISNUMBER('Results'!B38),MAX('Inputs'!$B$37,'Results'!B38*1.2),'Inputs'!$B$37)/200)</x:f>
      </x:c>
      <x:c r="B198" s="20" t="str">
        <x:f>IF(A198="","",MAX(0,1-$B$5*LN(1+A198/'Inputs'!$B$38)))</x:f>
      </x:c>
      <x:c r="C198" s="2" t="str">
        <x:f>IF(B198="","",B198*'Results'!B30)</x:f>
      </x:c>
      <x:c r="D198" s="2" t="str">
        <x:f>IF(B198="","",B198*'Results'!C30)</x:f>
      </x:c>
      <x:c r="E198" s="2" t="str">
        <x:f>IF(B198="","",'Results'!B12)</x:f>
      </x:c>
      <x:c r="F198" s="2" t="str">
        <x:f>IF(B198="","",'Results'!C12)</x:f>
      </x:c>
      <x:c r="G198" s="2"/>
      <x:c r="H198" s="2"/>
      <x:c r="I198" s="2"/>
      <x:c r="J198" s="2"/>
    </x:row>
    <x:row r="199" ht="22" customHeight="1">
      <x:c r="A199" s="24" t="str">
        <x:f>IF($B$5="","",(199-18)*IF(ISNUMBER('Results'!B38),MAX('Inputs'!$B$37,'Results'!B38*1.2),'Inputs'!$B$37)/200)</x:f>
      </x:c>
      <x:c r="B199" s="20" t="str">
        <x:f>IF(A199="","",MAX(0,1-$B$5*LN(1+A199/'Inputs'!$B$38)))</x:f>
      </x:c>
      <x:c r="C199" s="2" t="str">
        <x:f>IF(B199="","",B199*'Results'!B30)</x:f>
      </x:c>
      <x:c r="D199" s="2" t="str">
        <x:f>IF(B199="","",B199*'Results'!C30)</x:f>
      </x:c>
      <x:c r="E199" s="2" t="str">
        <x:f>IF(B199="","",'Results'!B12)</x:f>
      </x:c>
      <x:c r="F199" s="2" t="str">
        <x:f>IF(B199="","",'Results'!C12)</x:f>
      </x:c>
      <x:c r="G199" s="2"/>
      <x:c r="H199" s="2"/>
      <x:c r="I199" s="2"/>
      <x:c r="J199" s="2"/>
    </x:row>
    <x:row r="200" ht="22" customHeight="1">
      <x:c r="A200" s="24" t="str">
        <x:f>IF($B$5="","",(200-18)*IF(ISNUMBER('Results'!B38),MAX('Inputs'!$B$37,'Results'!B38*1.2),'Inputs'!$B$37)/200)</x:f>
      </x:c>
      <x:c r="B200" s="20" t="str">
        <x:f>IF(A200="","",MAX(0,1-$B$5*LN(1+A200/'Inputs'!$B$38)))</x:f>
      </x:c>
      <x:c r="C200" s="2" t="str">
        <x:f>IF(B200="","",B200*'Results'!B30)</x:f>
      </x:c>
      <x:c r="D200" s="2" t="str">
        <x:f>IF(B200="","",B200*'Results'!C30)</x:f>
      </x:c>
      <x:c r="E200" s="2" t="str">
        <x:f>IF(B200="","",'Results'!B12)</x:f>
      </x:c>
      <x:c r="F200" s="2" t="str">
        <x:f>IF(B200="","",'Results'!C12)</x:f>
      </x:c>
      <x:c r="G200" s="2"/>
      <x:c r="H200" s="2"/>
      <x:c r="I200" s="2"/>
      <x:c r="J200" s="2"/>
    </x:row>
    <x:row r="201" ht="22" customHeight="1">
      <x:c r="A201" s="24" t="str">
        <x:f>IF($B$5="","",(201-18)*IF(ISNUMBER('Results'!B38),MAX('Inputs'!$B$37,'Results'!B38*1.2),'Inputs'!$B$37)/200)</x:f>
      </x:c>
      <x:c r="B201" s="20" t="str">
        <x:f>IF(A201="","",MAX(0,1-$B$5*LN(1+A201/'Inputs'!$B$38)))</x:f>
      </x:c>
      <x:c r="C201" s="2" t="str">
        <x:f>IF(B201="","",B201*'Results'!B30)</x:f>
      </x:c>
      <x:c r="D201" s="2" t="str">
        <x:f>IF(B201="","",B201*'Results'!C30)</x:f>
      </x:c>
      <x:c r="E201" s="2" t="str">
        <x:f>IF(B201="","",'Results'!B12)</x:f>
      </x:c>
      <x:c r="F201" s="2" t="str">
        <x:f>IF(B201="","",'Results'!C12)</x:f>
      </x:c>
      <x:c r="G201" s="2"/>
      <x:c r="H201" s="2"/>
      <x:c r="I201" s="2"/>
      <x:c r="J201" s="2"/>
    </x:row>
    <x:row r="202" ht="22" customHeight="1">
      <x:c r="A202" s="24" t="str">
        <x:f>IF($B$5="","",(202-18)*IF(ISNUMBER('Results'!B38),MAX('Inputs'!$B$37,'Results'!B38*1.2),'Inputs'!$B$37)/200)</x:f>
      </x:c>
      <x:c r="B202" s="20" t="str">
        <x:f>IF(A202="","",MAX(0,1-$B$5*LN(1+A202/'Inputs'!$B$38)))</x:f>
      </x:c>
      <x:c r="C202" s="2" t="str">
        <x:f>IF(B202="","",B202*'Results'!B30)</x:f>
      </x:c>
      <x:c r="D202" s="2" t="str">
        <x:f>IF(B202="","",B202*'Results'!C30)</x:f>
      </x:c>
      <x:c r="E202" s="2" t="str">
        <x:f>IF(B202="","",'Results'!B12)</x:f>
      </x:c>
      <x:c r="F202" s="2" t="str">
        <x:f>IF(B202="","",'Results'!C12)</x:f>
      </x:c>
      <x:c r="G202" s="2"/>
      <x:c r="H202" s="2"/>
      <x:c r="I202" s="2"/>
      <x:c r="J202" s="2"/>
    </x:row>
    <x:row r="203" ht="22" customHeight="1">
      <x:c r="A203" s="24" t="str">
        <x:f>IF($B$5="","",(203-18)*IF(ISNUMBER('Results'!B38),MAX('Inputs'!$B$37,'Results'!B38*1.2),'Inputs'!$B$37)/200)</x:f>
      </x:c>
      <x:c r="B203" s="20" t="str">
        <x:f>IF(A203="","",MAX(0,1-$B$5*LN(1+A203/'Inputs'!$B$38)))</x:f>
      </x:c>
      <x:c r="C203" s="2" t="str">
        <x:f>IF(B203="","",B203*'Results'!B30)</x:f>
      </x:c>
      <x:c r="D203" s="2" t="str">
        <x:f>IF(B203="","",B203*'Results'!C30)</x:f>
      </x:c>
      <x:c r="E203" s="2" t="str">
        <x:f>IF(B203="","",'Results'!B12)</x:f>
      </x:c>
      <x:c r="F203" s="2" t="str">
        <x:f>IF(B203="","",'Results'!C12)</x:f>
      </x:c>
      <x:c r="G203" s="2"/>
      <x:c r="H203" s="2"/>
      <x:c r="I203" s="2"/>
      <x:c r="J203" s="2"/>
    </x:row>
    <x:row r="204" ht="22" customHeight="1">
      <x:c r="A204" s="24" t="str">
        <x:f>IF($B$5="","",(204-18)*IF(ISNUMBER('Results'!B38),MAX('Inputs'!$B$37,'Results'!B38*1.2),'Inputs'!$B$37)/200)</x:f>
      </x:c>
      <x:c r="B204" s="20" t="str">
        <x:f>IF(A204="","",MAX(0,1-$B$5*LN(1+A204/'Inputs'!$B$38)))</x:f>
      </x:c>
      <x:c r="C204" s="2" t="str">
        <x:f>IF(B204="","",B204*'Results'!B30)</x:f>
      </x:c>
      <x:c r="D204" s="2" t="str">
        <x:f>IF(B204="","",B204*'Results'!C30)</x:f>
      </x:c>
      <x:c r="E204" s="2" t="str">
        <x:f>IF(B204="","",'Results'!B12)</x:f>
      </x:c>
      <x:c r="F204" s="2" t="str">
        <x:f>IF(B204="","",'Results'!C12)</x:f>
      </x:c>
      <x:c r="G204" s="2"/>
      <x:c r="H204" s="2"/>
      <x:c r="I204" s="2"/>
      <x:c r="J204" s="2"/>
    </x:row>
    <x:row r="205" ht="22" customHeight="1">
      <x:c r="A205" s="24" t="str">
        <x:f>IF($B$5="","",(205-18)*IF(ISNUMBER('Results'!B38),MAX('Inputs'!$B$37,'Results'!B38*1.2),'Inputs'!$B$37)/200)</x:f>
      </x:c>
      <x:c r="B205" s="20" t="str">
        <x:f>IF(A205="","",MAX(0,1-$B$5*LN(1+A205/'Inputs'!$B$38)))</x:f>
      </x:c>
      <x:c r="C205" s="2" t="str">
        <x:f>IF(B205="","",B205*'Results'!B30)</x:f>
      </x:c>
      <x:c r="D205" s="2" t="str">
        <x:f>IF(B205="","",B205*'Results'!C30)</x:f>
      </x:c>
      <x:c r="E205" s="2" t="str">
        <x:f>IF(B205="","",'Results'!B12)</x:f>
      </x:c>
      <x:c r="F205" s="2" t="str">
        <x:f>IF(B205="","",'Results'!C12)</x:f>
      </x:c>
      <x:c r="G205" s="2"/>
      <x:c r="H205" s="2"/>
      <x:c r="I205" s="2"/>
      <x:c r="J205" s="2"/>
    </x:row>
    <x:row r="206" ht="22" customHeight="1">
      <x:c r="A206" s="24" t="str">
        <x:f>IF($B$5="","",(206-18)*IF(ISNUMBER('Results'!B38),MAX('Inputs'!$B$37,'Results'!B38*1.2),'Inputs'!$B$37)/200)</x:f>
      </x:c>
      <x:c r="B206" s="20" t="str">
        <x:f>IF(A206="","",MAX(0,1-$B$5*LN(1+A206/'Inputs'!$B$38)))</x:f>
      </x:c>
      <x:c r="C206" s="2" t="str">
        <x:f>IF(B206="","",B206*'Results'!B30)</x:f>
      </x:c>
      <x:c r="D206" s="2" t="str">
        <x:f>IF(B206="","",B206*'Results'!C30)</x:f>
      </x:c>
      <x:c r="E206" s="2" t="str">
        <x:f>IF(B206="","",'Results'!B12)</x:f>
      </x:c>
      <x:c r="F206" s="2" t="str">
        <x:f>IF(B206="","",'Results'!C12)</x:f>
      </x:c>
      <x:c r="G206" s="2"/>
      <x:c r="H206" s="2"/>
      <x:c r="I206" s="2"/>
      <x:c r="J206" s="2"/>
    </x:row>
    <x:row r="207" ht="22" customHeight="1">
      <x:c r="A207" s="24" t="str">
        <x:f>IF($B$5="","",(207-18)*IF(ISNUMBER('Results'!B38),MAX('Inputs'!$B$37,'Results'!B38*1.2),'Inputs'!$B$37)/200)</x:f>
      </x:c>
      <x:c r="B207" s="20" t="str">
        <x:f>IF(A207="","",MAX(0,1-$B$5*LN(1+A207/'Inputs'!$B$38)))</x:f>
      </x:c>
      <x:c r="C207" s="2" t="str">
        <x:f>IF(B207="","",B207*'Results'!B30)</x:f>
      </x:c>
      <x:c r="D207" s="2" t="str">
        <x:f>IF(B207="","",B207*'Results'!C30)</x:f>
      </x:c>
      <x:c r="E207" s="2" t="str">
        <x:f>IF(B207="","",'Results'!B12)</x:f>
      </x:c>
      <x:c r="F207" s="2" t="str">
        <x:f>IF(B207="","",'Results'!C12)</x:f>
      </x:c>
      <x:c r="G207" s="2"/>
      <x:c r="H207" s="2"/>
      <x:c r="I207" s="2"/>
      <x:c r="J207" s="2"/>
    </x:row>
    <x:row r="208" ht="22" customHeight="1">
      <x:c r="A208" s="24" t="str">
        <x:f>IF($B$5="","",(208-18)*IF(ISNUMBER('Results'!B38),MAX('Inputs'!$B$37,'Results'!B38*1.2),'Inputs'!$B$37)/200)</x:f>
      </x:c>
      <x:c r="B208" s="20" t="str">
        <x:f>IF(A208="","",MAX(0,1-$B$5*LN(1+A208/'Inputs'!$B$38)))</x:f>
      </x:c>
      <x:c r="C208" s="2" t="str">
        <x:f>IF(B208="","",B208*'Results'!B30)</x:f>
      </x:c>
      <x:c r="D208" s="2" t="str">
        <x:f>IF(B208="","",B208*'Results'!C30)</x:f>
      </x:c>
      <x:c r="E208" s="2" t="str">
        <x:f>IF(B208="","",'Results'!B12)</x:f>
      </x:c>
      <x:c r="F208" s="2" t="str">
        <x:f>IF(B208="","",'Results'!C12)</x:f>
      </x:c>
      <x:c r="G208" s="2"/>
      <x:c r="H208" s="2"/>
      <x:c r="I208" s="2"/>
      <x:c r="J208" s="2"/>
    </x:row>
    <x:row r="209" ht="22" customHeight="1">
      <x:c r="A209" s="24" t="str">
        <x:f>IF($B$5="","",(209-18)*IF(ISNUMBER('Results'!B38),MAX('Inputs'!$B$37,'Results'!B38*1.2),'Inputs'!$B$37)/200)</x:f>
      </x:c>
      <x:c r="B209" s="20" t="str">
        <x:f>IF(A209="","",MAX(0,1-$B$5*LN(1+A209/'Inputs'!$B$38)))</x:f>
      </x:c>
      <x:c r="C209" s="2" t="str">
        <x:f>IF(B209="","",B209*'Results'!B30)</x:f>
      </x:c>
      <x:c r="D209" s="2" t="str">
        <x:f>IF(B209="","",B209*'Results'!C30)</x:f>
      </x:c>
      <x:c r="E209" s="2" t="str">
        <x:f>IF(B209="","",'Results'!B12)</x:f>
      </x:c>
      <x:c r="F209" s="2" t="str">
        <x:f>IF(B209="","",'Results'!C12)</x:f>
      </x:c>
      <x:c r="G209" s="2"/>
      <x:c r="H209" s="2"/>
      <x:c r="I209" s="2"/>
      <x:c r="J209" s="2"/>
    </x:row>
    <x:row r="210" ht="22" customHeight="1">
      <x:c r="A210" s="24" t="str">
        <x:f>IF($B$5="","",(210-18)*IF(ISNUMBER('Results'!B38),MAX('Inputs'!$B$37,'Results'!B38*1.2),'Inputs'!$B$37)/200)</x:f>
      </x:c>
      <x:c r="B210" s="20" t="str">
        <x:f>IF(A210="","",MAX(0,1-$B$5*LN(1+A210/'Inputs'!$B$38)))</x:f>
      </x:c>
      <x:c r="C210" s="2" t="str">
        <x:f>IF(B210="","",B210*'Results'!B30)</x:f>
      </x:c>
      <x:c r="D210" s="2" t="str">
        <x:f>IF(B210="","",B210*'Results'!C30)</x:f>
      </x:c>
      <x:c r="E210" s="2" t="str">
        <x:f>IF(B210="","",'Results'!B12)</x:f>
      </x:c>
      <x:c r="F210" s="2" t="str">
        <x:f>IF(B210="","",'Results'!C12)</x:f>
      </x:c>
      <x:c r="G210" s="2"/>
      <x:c r="H210" s="2"/>
      <x:c r="I210" s="2"/>
      <x:c r="J210" s="2"/>
    </x:row>
    <x:row r="211" ht="22" customHeight="1">
      <x:c r="A211" s="24" t="str">
        <x:f>IF($B$5="","",(211-18)*IF(ISNUMBER('Results'!B38),MAX('Inputs'!$B$37,'Results'!B38*1.2),'Inputs'!$B$37)/200)</x:f>
      </x:c>
      <x:c r="B211" s="20" t="str">
        <x:f>IF(A211="","",MAX(0,1-$B$5*LN(1+A211/'Inputs'!$B$38)))</x:f>
      </x:c>
      <x:c r="C211" s="2" t="str">
        <x:f>IF(B211="","",B211*'Results'!B30)</x:f>
      </x:c>
      <x:c r="D211" s="2" t="str">
        <x:f>IF(B211="","",B211*'Results'!C30)</x:f>
      </x:c>
      <x:c r="E211" s="2" t="str">
        <x:f>IF(B211="","",'Results'!B12)</x:f>
      </x:c>
      <x:c r="F211" s="2" t="str">
        <x:f>IF(B211="","",'Results'!C12)</x:f>
      </x:c>
      <x:c r="G211" s="2"/>
      <x:c r="H211" s="2"/>
      <x:c r="I211" s="2"/>
      <x:c r="J211" s="2"/>
    </x:row>
    <x:row r="212" ht="22" customHeight="1">
      <x:c r="A212" s="24" t="str">
        <x:f>IF($B$5="","",(212-18)*IF(ISNUMBER('Results'!B38),MAX('Inputs'!$B$37,'Results'!B38*1.2),'Inputs'!$B$37)/200)</x:f>
      </x:c>
      <x:c r="B212" s="20" t="str">
        <x:f>IF(A212="","",MAX(0,1-$B$5*LN(1+A212/'Inputs'!$B$38)))</x:f>
      </x:c>
      <x:c r="C212" s="2" t="str">
        <x:f>IF(B212="","",B212*'Results'!B30)</x:f>
      </x:c>
      <x:c r="D212" s="2" t="str">
        <x:f>IF(B212="","",B212*'Results'!C30)</x:f>
      </x:c>
      <x:c r="E212" s="2" t="str">
        <x:f>IF(B212="","",'Results'!B12)</x:f>
      </x:c>
      <x:c r="F212" s="2" t="str">
        <x:f>IF(B212="","",'Results'!C12)</x:f>
      </x:c>
      <x:c r="G212" s="2"/>
      <x:c r="H212" s="2"/>
      <x:c r="I212" s="2"/>
      <x:c r="J212" s="2"/>
    </x:row>
    <x:row r="213" ht="22" customHeight="1">
      <x:c r="A213" s="24" t="str">
        <x:f>IF($B$5="","",(213-18)*IF(ISNUMBER('Results'!B38),MAX('Inputs'!$B$37,'Results'!B38*1.2),'Inputs'!$B$37)/200)</x:f>
      </x:c>
      <x:c r="B213" s="20" t="str">
        <x:f>IF(A213="","",MAX(0,1-$B$5*LN(1+A213/'Inputs'!$B$38)))</x:f>
      </x:c>
      <x:c r="C213" s="2" t="str">
        <x:f>IF(B213="","",B213*'Results'!B30)</x:f>
      </x:c>
      <x:c r="D213" s="2" t="str">
        <x:f>IF(B213="","",B213*'Results'!C30)</x:f>
      </x:c>
      <x:c r="E213" s="2" t="str">
        <x:f>IF(B213="","",'Results'!B12)</x:f>
      </x:c>
      <x:c r="F213" s="2" t="str">
        <x:f>IF(B213="","",'Results'!C12)</x:f>
      </x:c>
      <x:c r="G213" s="2"/>
      <x:c r="H213" s="2"/>
      <x:c r="I213" s="2"/>
      <x:c r="J213" s="2"/>
    </x:row>
    <x:row r="214" ht="22" customHeight="1">
      <x:c r="A214" s="24" t="str">
        <x:f>IF($B$5="","",(214-18)*IF(ISNUMBER('Results'!B38),MAX('Inputs'!$B$37,'Results'!B38*1.2),'Inputs'!$B$37)/200)</x:f>
      </x:c>
      <x:c r="B214" s="20" t="str">
        <x:f>IF(A214="","",MAX(0,1-$B$5*LN(1+A214/'Inputs'!$B$38)))</x:f>
      </x:c>
      <x:c r="C214" s="2" t="str">
        <x:f>IF(B214="","",B214*'Results'!B30)</x:f>
      </x:c>
      <x:c r="D214" s="2" t="str">
        <x:f>IF(B214="","",B214*'Results'!C30)</x:f>
      </x:c>
      <x:c r="E214" s="2" t="str">
        <x:f>IF(B214="","",'Results'!B12)</x:f>
      </x:c>
      <x:c r="F214" s="2" t="str">
        <x:f>IF(B214="","",'Results'!C12)</x:f>
      </x:c>
      <x:c r="G214" s="2"/>
      <x:c r="H214" s="2"/>
      <x:c r="I214" s="2"/>
      <x:c r="J214" s="2"/>
    </x:row>
    <x:row r="215" ht="22" customHeight="1">
      <x:c r="A215" s="24" t="str">
        <x:f>IF($B$5="","",(215-18)*IF(ISNUMBER('Results'!B38),MAX('Inputs'!$B$37,'Results'!B38*1.2),'Inputs'!$B$37)/200)</x:f>
      </x:c>
      <x:c r="B215" s="20" t="str">
        <x:f>IF(A215="","",MAX(0,1-$B$5*LN(1+A215/'Inputs'!$B$38)))</x:f>
      </x:c>
      <x:c r="C215" s="2" t="str">
        <x:f>IF(B215="","",B215*'Results'!B30)</x:f>
      </x:c>
      <x:c r="D215" s="2" t="str">
        <x:f>IF(B215="","",B215*'Results'!C30)</x:f>
      </x:c>
      <x:c r="E215" s="2" t="str">
        <x:f>IF(B215="","",'Results'!B12)</x:f>
      </x:c>
      <x:c r="F215" s="2" t="str">
        <x:f>IF(B215="","",'Results'!C12)</x:f>
      </x:c>
      <x:c r="G215" s="2"/>
      <x:c r="H215" s="2"/>
      <x:c r="I215" s="2"/>
      <x:c r="J215" s="2"/>
    </x:row>
    <x:row r="216" ht="22" customHeight="1">
      <x:c r="A216" s="24" t="str">
        <x:f>IF($B$5="","",(216-18)*IF(ISNUMBER('Results'!B38),MAX('Inputs'!$B$37,'Results'!B38*1.2),'Inputs'!$B$37)/200)</x:f>
      </x:c>
      <x:c r="B216" s="20" t="str">
        <x:f>IF(A216="","",MAX(0,1-$B$5*LN(1+A216/'Inputs'!$B$38)))</x:f>
      </x:c>
      <x:c r="C216" s="2" t="str">
        <x:f>IF(B216="","",B216*'Results'!B30)</x:f>
      </x:c>
      <x:c r="D216" s="2" t="str">
        <x:f>IF(B216="","",B216*'Results'!C30)</x:f>
      </x:c>
      <x:c r="E216" s="2" t="str">
        <x:f>IF(B216="","",'Results'!B12)</x:f>
      </x:c>
      <x:c r="F216" s="2" t="str">
        <x:f>IF(B216="","",'Results'!C12)</x:f>
      </x:c>
      <x:c r="G216" s="2"/>
      <x:c r="H216" s="2"/>
      <x:c r="I216" s="2"/>
      <x:c r="J216" s="2"/>
    </x:row>
    <x:row r="217" ht="22" customHeight="1">
      <x:c r="A217" s="24" t="str">
        <x:f>IF($B$5="","",(217-18)*IF(ISNUMBER('Results'!B38),MAX('Inputs'!$B$37,'Results'!B38*1.2),'Inputs'!$B$37)/200)</x:f>
      </x:c>
      <x:c r="B217" s="20" t="str">
        <x:f>IF(A217="","",MAX(0,1-$B$5*LN(1+A217/'Inputs'!$B$38)))</x:f>
      </x:c>
      <x:c r="C217" s="2" t="str">
        <x:f>IF(B217="","",B217*'Results'!B30)</x:f>
      </x:c>
      <x:c r="D217" s="2" t="str">
        <x:f>IF(B217="","",B217*'Results'!C30)</x:f>
      </x:c>
      <x:c r="E217" s="2" t="str">
        <x:f>IF(B217="","",'Results'!B12)</x:f>
      </x:c>
      <x:c r="F217" s="2" t="str">
        <x:f>IF(B217="","",'Results'!C12)</x:f>
      </x:c>
      <x:c r="G217" s="2"/>
      <x:c r="H217" s="2"/>
      <x:c r="I217" s="2"/>
      <x:c r="J217" s="2"/>
    </x:row>
    <x:row r="218">
      <x:c r="A218" s="25" t="str">
        <x:f>IF($B$5="","",(218-18)*IF(ISNUMBER('Results'!B38),MAX('Inputs'!$B$37,'Results'!B38*1.2),'Inputs'!$B$37)/200)</x:f>
      </x:c>
      <x:c r="B218" s="23" t="str">
        <x:f>IF(A218="","",MAX(0,1-$B$5*LN(1+A218/'Inputs'!$B$38)))</x:f>
      </x:c>
      <x:c r="C218" t="str">
        <x:f>IF(B218="","",B218*'Results'!B30)</x:f>
      </x:c>
      <x:c r="D218" t="str">
        <x:f>IF(B218="","",B218*'Results'!C30)</x:f>
      </x:c>
      <x:c r="E218" t="str">
        <x:f>IF(B218="","",'Results'!B12)</x:f>
      </x:c>
      <x:c r="F218" t="str">
        <x:f>IF(B218="","",'Results'!C12)</x:f>
      </x:c>
    </x:row>
  </x:sheetData>
  <x:mergeCells>
    <x:mergeCell ref="B6:F6"/>
    <x:mergeCell ref="B9:F9"/>
    <x:mergeCell ref="B7:F7"/>
    <x:mergeCell ref="B11:F11"/>
    <x:mergeCell ref="B12:F12"/>
    <x:mergeCell ref="B13:F13"/>
    <x:mergeCell ref="B14:F14"/>
  </x:mergeCells>
  <x:pageMargins left="0.7" right="0.7" top="0.75" bottom="0.75" header="0.3" footer="0.3"/>
  <x:drawing xmlns:r="http://schemas.openxmlformats.org/officeDocument/2006/relationships" r:id="R58a983b51073489c"/>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30" hidden="0" customWidth="1"/>
    <x:col min="6" max="6" width="16" hidden="0" customWidth="1"/>
    <x:col min="7" max="7" width="16" hidden="0" customWidth="1"/>
    <x:col min="8" max="8" width="16" hidden="0" customWidth="1"/>
    <x:col min="9" max="9" width="16" hidden="0" customWidth="1"/>
    <x:col min="10" max="10" width="16" hidden="0" customWidth="1"/>
    <x:col min="11" max="11" width="30" hidden="0" customWidth="1"/>
    <x:col min="12" max="12" width="16" hidden="0" customWidth="1"/>
    <x:col min="13" max="13" width="16" hidden="0" customWidth="1"/>
    <x:col min="14" max="14" width="16" hidden="0" customWidth="1"/>
    <x:col min="15" max="15" width="16" hidden="0" customWidth="1"/>
    <x:col min="16" max="16" width="16" hidden="0" customWidth="1"/>
    <x:col min="17" max="17" width="30" hidden="0" customWidth="1"/>
    <x:col min="18" max="18" width="16" hidden="0" customWidth="1"/>
    <x:col min="19" max="19" width="16" hidden="0" customWidth="1"/>
    <x:col min="20" max="20" width="16" hidden="0" customWidth="1"/>
    <x:col min="21" max="21" width="16" hidden="0" customWidth="1"/>
    <x:col min="22" max="22" width="16" hidden="0" customWidth="1"/>
    <x:col min="23" max="23" width="30" hidden="0" customWidth="1"/>
    <x:col min="24" max="24" width="16" hidden="0" customWidth="1"/>
    <x:col min="25" max="25" width="16" hidden="0" customWidth="1"/>
    <x:col min="26" max="26" width="16" hidden="0" customWidth="1"/>
    <x:col min="27" max="27" width="16" hidden="0" customWidth="1"/>
    <x:col min="28" max="28" width="16" hidden="0" customWidth="1"/>
    <x:col min="29" max="29" width="30" hidden="0" customWidth="1"/>
    <x:col min="30" max="30" width="16" hidden="0" customWidth="1"/>
    <x:col min="31" max="31" width="16" hidden="0" customWidth="1"/>
    <x:col min="32" max="32" width="16" hidden="0" customWidth="1"/>
    <x:col min="33" max="33" width="16" hidden="0" customWidth="1"/>
    <x:col min="34" max="34" width="16" hidden="0" customWidth="1"/>
    <x:col min="35" max="35" width="30" hidden="0" customWidth="1"/>
    <x:col min="36" max="36" width="16" hidden="0" customWidth="1"/>
    <x:col min="37" max="37" width="16" hidden="0" customWidth="1"/>
    <x:col min="38" max="38" width="16" hidden="0" customWidth="1"/>
    <x:col min="39" max="39" width="16" hidden="0" customWidth="1"/>
    <x:col min="40" max="40" width="16" hidden="0" customWidth="1"/>
    <x:col min="41" max="41" width="30" hidden="0" customWidth="1"/>
    <x:col min="42" max="42" width="16" hidden="0" customWidth="1"/>
    <x:col min="43" max="43" width="16" hidden="0" customWidth="1"/>
    <x:col min="44" max="44" width="16" hidden="0" customWidth="1"/>
    <x:col min="45" max="45" width="16" hidden="0" customWidth="1"/>
    <x:col min="46" max="46" width="16" hidden="0" customWidth="1"/>
    <x:col min="47" max="47" width="30" hidden="0" customWidth="1"/>
    <x:col min="48" max="48" width="16" hidden="0" customWidth="1"/>
    <x:col min="49" max="49" width="16" hidden="0" customWidth="1"/>
    <x:col min="50" max="50" width="16" hidden="0" customWidth="1"/>
    <x:col min="51" max="51" width="16" hidden="0" customWidth="1"/>
    <x:col min="52" max="52" width="16" hidden="0" customWidth="1"/>
    <x:col min="53" max="53" width="30" hidden="0" customWidth="1"/>
    <x:col min="54" max="54" width="16" hidden="0" customWidth="1"/>
    <x:col min="55" max="55" width="16" hidden="0" customWidth="1"/>
    <x:col min="56" max="56" width="16" hidden="0" customWidth="1"/>
    <x:col min="57" max="57" width="16" hidden="0" customWidth="1"/>
    <x:col min="58" max="58" width="16" hidden="0" customWidth="1"/>
    <x:col min="59" max="59" width="30" hidden="0" customWidth="1"/>
    <x:col min="60" max="60" width="16" hidden="0" customWidth="1"/>
  </x:cols>
  <x:sheetData>
    <x:row r="1" ht="22" customHeight="1">
      <x:c r="A1" s="3" t="str">
        <x:v>Distance root calculations</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c r="AT1" s="2"/>
      <x:c r="AU1" s="2"/>
      <x:c r="AV1" s="2"/>
      <x:c r="AW1" s="2"/>
      <x:c r="AX1" s="2"/>
      <x:c r="AY1" s="2"/>
      <x:c r="AZ1" s="2"/>
      <x:c r="BA1" s="2"/>
      <x:c r="BB1" s="2"/>
      <x:c r="BC1" s="2"/>
      <x:c r="BD1" s="2"/>
      <x:c r="BE1" s="2"/>
      <x:c r="BF1" s="2"/>
      <x:c r="BG1" s="2"/>
      <x:c r="BH1" s="2"/>
    </x:row>
    <x:row r="2" ht="22" customHeight="1">
      <x:c r="A2" s="4" t="str">
        <x:v>32 bisections per crossing; numerical resolution is not physical measurement accuracy.</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2"/>
      <x:c r="AW2" s="2"/>
      <x:c r="AX2" s="2"/>
      <x:c r="AY2" s="2"/>
      <x:c r="AZ2" s="2"/>
      <x:c r="BA2" s="2"/>
      <x:c r="BB2" s="2"/>
      <x:c r="BC2" s="2"/>
      <x:c r="BD2" s="2"/>
      <x:c r="BE2" s="2"/>
      <x:c r="BF2" s="2"/>
      <x:c r="BG2" s="2"/>
      <x:c r="BH2" s="2"/>
    </x:row>
    <x:row r="3" ht="22"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2"/>
      <x:c r="AW3" s="2"/>
      <x:c r="AX3" s="2"/>
      <x:c r="AY3" s="2"/>
      <x:c r="AZ3" s="2"/>
      <x:c r="BA3" s="2"/>
      <x:c r="BB3" s="2"/>
      <x:c r="BC3" s="2"/>
      <x:c r="BD3" s="2"/>
      <x:c r="BE3" s="2"/>
      <x:c r="BF3" s="2"/>
      <x:c r="BG3" s="2"/>
      <x:c r="BH3" s="2"/>
    </x:row>
    <x:row r="4" ht="22" customHeight="1">
      <x:c r="A4" s="2" t="str">
        <x:v>max ON nominal</x:v>
      </x:c>
      <x:c r="B4" s="2"/>
      <x:c r="C4" s="2"/>
      <x:c r="D4" s="2"/>
      <x:c r="E4" s="2"/>
      <x:c r="F4" s="2"/>
      <x:c r="G4" s="2" t="str">
        <x:v>max ON lower gap</x:v>
      </x:c>
      <x:c r="H4" s="2"/>
      <x:c r="I4" s="2"/>
      <x:c r="J4" s="2"/>
      <x:c r="K4" s="2"/>
      <x:c r="L4" s="2"/>
      <x:c r="M4" s="2" t="str">
        <x:v>max ON upper gap</x:v>
      </x:c>
      <x:c r="N4" s="2"/>
      <x:c r="O4" s="2"/>
      <x:c r="P4" s="2"/>
      <x:c r="Q4" s="2"/>
      <x:c r="R4" s="2"/>
      <x:c r="S4" s="2" t="str">
        <x:v>max OFF nominal</x:v>
      </x:c>
      <x:c r="T4" s="2"/>
      <x:c r="U4" s="2"/>
      <x:c r="V4" s="2"/>
      <x:c r="W4" s="2"/>
      <x:c r="X4" s="2"/>
      <x:c r="Y4" s="2" t="str">
        <x:v>max OFF bound</x:v>
      </x:c>
      <x:c r="Z4" s="2"/>
      <x:c r="AA4" s="2"/>
      <x:c r="AB4" s="2"/>
      <x:c r="AC4" s="2"/>
      <x:c r="AD4" s="2"/>
      <x:c r="AE4" s="2" t="str">
        <x:v>min ON nominal</x:v>
      </x:c>
      <x:c r="AF4" s="2"/>
      <x:c r="AG4" s="2"/>
      <x:c r="AH4" s="2"/>
      <x:c r="AI4" s="2"/>
      <x:c r="AJ4" s="2"/>
      <x:c r="AK4" s="2" t="str">
        <x:v>min ON lower gap</x:v>
      </x:c>
      <x:c r="AL4" s="2"/>
      <x:c r="AM4" s="2"/>
      <x:c r="AN4" s="2"/>
      <x:c r="AO4" s="2"/>
      <x:c r="AP4" s="2"/>
      <x:c r="AQ4" s="2" t="str">
        <x:v>min ON upper gap</x:v>
      </x:c>
      <x:c r="AR4" s="2"/>
      <x:c r="AS4" s="2"/>
      <x:c r="AT4" s="2"/>
      <x:c r="AU4" s="2"/>
      <x:c r="AV4" s="2"/>
      <x:c r="AW4" s="2" t="str">
        <x:v>min OFF nominal</x:v>
      </x:c>
      <x:c r="AX4" s="2"/>
      <x:c r="AY4" s="2"/>
      <x:c r="AZ4" s="2"/>
      <x:c r="BA4" s="2"/>
      <x:c r="BB4" s="2"/>
      <x:c r="BC4" s="2" t="str">
        <x:v>min OFF bound</x:v>
      </x:c>
      <x:c r="BD4" s="2"/>
      <x:c r="BE4" s="2"/>
      <x:c r="BF4" s="2"/>
      <x:c r="BG4" s="2"/>
      <x:c r="BH4" s="2"/>
    </x:row>
    <x:row r="5" ht="22" customHeight="1">
      <x:c r="A5" s="2" t="str">
        <x:v>Lower gap</x:v>
      </x:c>
      <x:c r="B5" s="2" t="str">
        <x:v>Upper gap</x:v>
      </x:c>
      <x:c r="C5" s="2" t="str">
        <x:v>Mid gap</x:v>
      </x:c>
      <x:c r="D5" s="2" t="str">
        <x:v>Signed field (G)</x:v>
      </x:c>
      <x:c r="E5" s="2" t="str">
        <x:v>Root status</x:v>
      </x:c>
      <x:c r="F5" s="2"/>
      <x:c r="G5" s="2" t="str">
        <x:v>Lower gap</x:v>
      </x:c>
      <x:c r="H5" s="2" t="str">
        <x:v>Upper gap</x:v>
      </x:c>
      <x:c r="I5" s="2" t="str">
        <x:v>Mid gap</x:v>
      </x:c>
      <x:c r="J5" s="2" t="str">
        <x:v>Signed field (G)</x:v>
      </x:c>
      <x:c r="K5" s="2" t="str">
        <x:v>Root status</x:v>
      </x:c>
      <x:c r="L5" s="2"/>
      <x:c r="M5" s="2" t="str">
        <x:v>Lower gap</x:v>
      </x:c>
      <x:c r="N5" s="2" t="str">
        <x:v>Upper gap</x:v>
      </x:c>
      <x:c r="O5" s="2" t="str">
        <x:v>Mid gap</x:v>
      </x:c>
      <x:c r="P5" s="2" t="str">
        <x:v>Signed field (G)</x:v>
      </x:c>
      <x:c r="Q5" s="2" t="str">
        <x:v>Root status</x:v>
      </x:c>
      <x:c r="R5" s="2"/>
      <x:c r="S5" s="2" t="str">
        <x:v>Lower gap</x:v>
      </x:c>
      <x:c r="T5" s="2" t="str">
        <x:v>Upper gap</x:v>
      </x:c>
      <x:c r="U5" s="2" t="str">
        <x:v>Mid gap</x:v>
      </x:c>
      <x:c r="V5" s="2" t="str">
        <x:v>Signed field (G)</x:v>
      </x:c>
      <x:c r="W5" s="2" t="str">
        <x:v>Root status</x:v>
      </x:c>
      <x:c r="X5" s="2"/>
      <x:c r="Y5" s="2" t="str">
        <x:v>Lower gap</x:v>
      </x:c>
      <x:c r="Z5" s="2" t="str">
        <x:v>Upper gap</x:v>
      </x:c>
      <x:c r="AA5" s="2" t="str">
        <x:v>Mid gap</x:v>
      </x:c>
      <x:c r="AB5" s="2" t="str">
        <x:v>Signed field (G)</x:v>
      </x:c>
      <x:c r="AC5" s="2" t="str">
        <x:v>Root status</x:v>
      </x:c>
      <x:c r="AD5" s="2"/>
      <x:c r="AE5" s="2" t="str">
        <x:v>Lower gap</x:v>
      </x:c>
      <x:c r="AF5" s="2" t="str">
        <x:v>Upper gap</x:v>
      </x:c>
      <x:c r="AG5" s="2" t="str">
        <x:v>Mid gap</x:v>
      </x:c>
      <x:c r="AH5" s="2" t="str">
        <x:v>Signed field (G)</x:v>
      </x:c>
      <x:c r="AI5" s="2" t="str">
        <x:v>Root status</x:v>
      </x:c>
      <x:c r="AJ5" s="2"/>
      <x:c r="AK5" s="2" t="str">
        <x:v>Lower gap</x:v>
      </x:c>
      <x:c r="AL5" s="2" t="str">
        <x:v>Upper gap</x:v>
      </x:c>
      <x:c r="AM5" s="2" t="str">
        <x:v>Mid gap</x:v>
      </x:c>
      <x:c r="AN5" s="2" t="str">
        <x:v>Signed field (G)</x:v>
      </x:c>
      <x:c r="AO5" s="2" t="str">
        <x:v>Root status</x:v>
      </x:c>
      <x:c r="AP5" s="2"/>
      <x:c r="AQ5" s="2" t="str">
        <x:v>Lower gap</x:v>
      </x:c>
      <x:c r="AR5" s="2" t="str">
        <x:v>Upper gap</x:v>
      </x:c>
      <x:c r="AS5" s="2" t="str">
        <x:v>Mid gap</x:v>
      </x:c>
      <x:c r="AT5" s="2" t="str">
        <x:v>Signed field (G)</x:v>
      </x:c>
      <x:c r="AU5" s="2" t="str">
        <x:v>Root status</x:v>
      </x:c>
      <x:c r="AV5" s="2"/>
      <x:c r="AW5" s="2" t="str">
        <x:v>Lower gap</x:v>
      </x:c>
      <x:c r="AX5" s="2" t="str">
        <x:v>Upper gap</x:v>
      </x:c>
      <x:c r="AY5" s="2" t="str">
        <x:v>Mid gap</x:v>
      </x:c>
      <x:c r="AZ5" s="2" t="str">
        <x:v>Signed field (G)</x:v>
      </x:c>
      <x:c r="BA5" s="2" t="str">
        <x:v>Root status</x:v>
      </x:c>
      <x:c r="BB5" s="2"/>
      <x:c r="BC5" s="2" t="str">
        <x:v>Lower gap</x:v>
      </x:c>
      <x:c r="BD5" s="2" t="str">
        <x:v>Upper gap</x:v>
      </x:c>
      <x:c r="BE5" s="2" t="str">
        <x:v>Mid gap</x:v>
      </x:c>
      <x:c r="BF5" s="2" t="str">
        <x:v>Signed field (G)</x:v>
      </x:c>
      <x:c r="BG5" s="2" t="str">
        <x:v>Root status</x:v>
      </x:c>
      <x:c r="BH5" s="2"/>
    </x:row>
    <x:row r="6" ht="22" customHeight="1">
      <x:c r="A6" s="22" t="n">
        <x:f>0</x:f>
        <x:v>0</x:v>
      </x:c>
      <x:c r="B6" s="22" t="n">
        <x:f>'Inputs'!$B$33</x:f>
        <x:v>40</x:v>
      </x:c>
      <x:c r="C6" s="22" t="n">
        <x:f>(A6+B6)/2</x:f>
        <x:v>20</x:v>
      </x:c>
      <x:c r="D6" s="22" t="n">
        <x:f>IF(AND(ISNUMBER('Results'!B7),ISNUMBER('Results'!C7),ISNUMBER('Results'!$B$8),ISNUMBER('Results'!$B$9),ISNUMBER('Inputs'!$B$6),ISNUMBER('Inputs'!$B$7),ISNUMBER('Inputs'!$B$8),ISNUMBER('Inputs'!$B$9),ISNUMBER('Inputs'!$B$10),ISNUMBER('Inputs'!$B$21),ISNUMBER('Inputs'!$B$24),ISNUMBER('Inputs'!$B$28)),(('Results'!B7*(0.5*(((C6+'Inputs'!$B$21)+'Inputs'!$B$7)/SQRT(((C6+'Inputs'!$B$21)+'Inputs'!$B$7)^2+('Inputs'!$B$6/2)^2)-((C6+'Inputs'!$B$21))/SQRT(((C6+'Inputs'!$B$21))^2+('Inputs'!$B$6/2)^2)))-'Results'!C7*(0.5*(((C6+'Inputs'!$B$21+'Inputs'!$B$7+'Inputs'!$B$10)+'Inputs'!$B$9)/SQRT(((C6+'Inputs'!$B$21+'Inputs'!$B$7+'Inputs'!$B$10)+'Inputs'!$B$9)^2+('Inputs'!$B$8/2)^2)-((C6+'Inputs'!$B$21+'Inputs'!$B$7+'Inputs'!$B$10))/SQRT(((C6+'Inputs'!$B$21+'Inputs'!$B$7+'Inputs'!$B$10))^2+('Inputs'!$B$8/2)^2))))*'Results'!$B$8*'Results'!$B$9),"")</x:f>
        <x:v>4.179616551237702</x:v>
      </x:c>
      <x:c r="E6" s="26" t="str">
        <x:f>IF('Results'!$B$6&lt;&gt;"Inputs accepted","Not evaluated",IF(IF(AND(ISNUMBER('Results'!B7),ISNUMBER('Results'!C7),ISNUMBER('Results'!$B$8),ISNUMBER('Results'!$B$9),ISNUMBER('Inputs'!$B$6),ISNUMBER('Inputs'!$B$7),ISNUMBER('Inputs'!$B$8),ISNUMBER('Inputs'!$B$9),ISNUMBER('Inputs'!$B$10),ISNUMBER('Inputs'!$B$21),ISNUMBER('Inputs'!$B$24),ISNUMBER('Inputs'!$B$28)),(('Results'!B7*(0.5*(((0+'Inputs'!$B$21)+'Inputs'!$B$7)/SQRT(((0+'Inputs'!$B$21)+'Inputs'!$B$7)^2+('Inputs'!$B$6/2)^2)-((0+'Inputs'!$B$21))/SQRT(((0+'Inputs'!$B$21))^2+('Inputs'!$B$6/2)^2)))-'Results'!C7*(0.5*(((0+'Inputs'!$B$21+'Inputs'!$B$7+'Inputs'!$B$10)+'Inputs'!$B$9)/SQRT(((0+'Inputs'!$B$21+'Inputs'!$B$7+'Inputs'!$B$10)+'Inputs'!$B$9)^2+('Inputs'!$B$8/2)^2)-((0+'Inputs'!$B$21+'Inputs'!$B$7+'Inputs'!$B$10))/SQRT(((0+'Inputs'!$B$21+'Inputs'!$B$7+'Inputs'!$B$10))^2+('Inputs'!$B$8/2)^2))))*'Results'!$B$8*'Results'!$B$9),"")&lt;'Results'!B10,"Cannot switch at contact",IF(IF(AND(ISNUMBER('Results'!B7),ISNUMBER('Results'!C7),ISNUMBER('Results'!$B$8),ISNUMBER('Results'!$B$9),ISNUMBER('Inputs'!$B$6),ISNUMBER('Inputs'!$B$7),ISNUMBER('Inputs'!$B$8),ISNUMBER('Inputs'!$B$9),ISNUMBER('Inputs'!$B$10),ISNUMBER('Inputs'!$B$21),ISNUMBER('Inputs'!$B$24),ISNUMBER('Inputs'!$B$28)),(('Results'!B7*(0.5*((('Inputs'!$B$33+'Inputs'!$B$21)+'Inputs'!$B$7)/SQRT((('Inputs'!$B$33+'Inputs'!$B$21)+'Inputs'!$B$7)^2+('Inputs'!$B$6/2)^2)-(('Inputs'!$B$33+'Inputs'!$B$21))/SQRT((('Inputs'!$B$33+'Inputs'!$B$21))^2+('Inputs'!$B$6/2)^2)))-'Results'!C7*(0.5*((('Inputs'!$B$33+'Inputs'!$B$21+'Inputs'!$B$7+'Inputs'!$B$10)+'Inputs'!$B$9)/SQRT((('Inputs'!$B$33+'Inputs'!$B$21+'Inputs'!$B$7+'Inputs'!$B$10)+'Inputs'!$B$9)^2+('Inputs'!$B$8/2)^2)-(('Inputs'!$B$33+'Inputs'!$B$21+'Inputs'!$B$7+'Inputs'!$B$10))/SQRT((('Inputs'!$B$33+'Inputs'!$B$21+'Inputs'!$B$7+'Inputs'!$B$10))^2+('Inputs'!$B$8/2)^2))))*'Results'!$B$8*'Results'!$B$9),"")&gt;'Results'!B10,"Increase search limit","Crossing bracketed")))</x:f>
        <x:v>Crossing bracketed</x:v>
      </x:c>
      <x:c r="F6" s="22"/>
      <x:c r="G6" s="22" t="n">
        <x:f>0</x:f>
        <x:v>0</x:v>
      </x:c>
      <x:c r="H6" s="22" t="n">
        <x:f>'Inputs'!$B$33</x:f>
        <x:v>40</x:v>
      </x:c>
      <x:c r="I6" s="22" t="n">
        <x:f>(G6+H6)/2</x:f>
        <x:v>20</x:v>
      </x:c>
      <x:c r="J6" s="22" t="n">
        <x:f>IF(AND(ISNUMBER('Results'!B7),ISNUMBER('Results'!C7),ISNUMBER('Results'!$B$8),ISNUMBER('Results'!$B$9),ISNUMBER('Inputs'!$B$6),ISNUMBER('Inputs'!$B$7),ISNUMBER('Inputs'!$B$8),ISNUMBER('Inputs'!$B$9),ISNUMBER('Inputs'!$B$10),ISNUMBER('Inputs'!$B$21),ISNUMBER('Inputs'!$B$24),ISNUMBER('Inputs'!$B$28)),((('Results'!B7*(1-'Inputs'!$B$24)*(0.5*(((I6+'Inputs'!$B$21)+'Inputs'!$B$7)/SQRT(((I6+'Inputs'!$B$21)+'Inputs'!$B$7)^2+('Inputs'!$B$6/2)^2)-((I6+'Inputs'!$B$21))/SQRT(((I6+'Inputs'!$B$21))^2+('Inputs'!$B$6/2)^2)))-'Results'!C7*(1+'Inputs'!$B$24)*(0.5*(((I6+'Inputs'!$B$21+'Inputs'!$B$7+'Inputs'!$B$10)+'Inputs'!$B$9)/SQRT(((I6+'Inputs'!$B$21+'Inputs'!$B$7+'Inputs'!$B$10)+'Inputs'!$B$9)^2+('Inputs'!$B$8/2)^2)-((I6+'Inputs'!$B$21+'Inputs'!$B$7+'Inputs'!$B$10))/SQRT(((I6+'Inputs'!$B$21+'Inputs'!$B$7+'Inputs'!$B$10))^2+('Inputs'!$B$8/2)^2))))*'Results'!$B$8*'Results'!$B$9)-'Inputs'!$B$28*ABS((('Results'!B7*(1-'Inputs'!$B$24)*(0.5*(((I6+'Inputs'!$B$21)+'Inputs'!$B$7)/SQRT(((I6+'Inputs'!$B$21)+'Inputs'!$B$7)^2+('Inputs'!$B$6/2)^2)-((I6+'Inputs'!$B$21))/SQRT(((I6+'Inputs'!$B$21))^2+('Inputs'!$B$6/2)^2)))-'Results'!C7*(1+'Inputs'!$B$24)*(0.5*(((I6+'Inputs'!$B$21+'Inputs'!$B$7+'Inputs'!$B$10)+'Inputs'!$B$9)/SQRT(((I6+'Inputs'!$B$21+'Inputs'!$B$7+'Inputs'!$B$10)+'Inputs'!$B$9)^2+('Inputs'!$B$8/2)^2)-((I6+'Inputs'!$B$21+'Inputs'!$B$7+'Inputs'!$B$10))/SQRT(((I6+'Inputs'!$B$21+'Inputs'!$B$7+'Inputs'!$B$10))^2+('Inputs'!$B$8/2)^2))))*'Results'!$B$8*'Results'!$B$9))),"")</x:f>
        <x:v>3.701360342747541</x:v>
      </x:c>
      <x:c r="K6" s="26" t="str">
        <x:f>IF('Results'!$B$6&lt;&gt;"Inputs accepted","Not evaluated",IF(IF(AND(ISNUMBER('Results'!B7),ISNUMBER('Results'!C7),ISNUMBER('Results'!$B$8),ISNUMBER('Results'!$B$9),ISNUMBER('Inputs'!$B$6),ISNUMBER('Inputs'!$B$7),ISNUMBER('Inputs'!$B$8),ISNUMBER('Inputs'!$B$9),ISNUMBER('Inputs'!$B$10),ISNUMBER('Inputs'!$B$21),ISNUMBER('Inputs'!$B$24),ISNUMBER('Inputs'!$B$28)),((('Results'!B7*(1-'Inputs'!$B$24)*(0.5*(((0+'Inputs'!$B$21)+'Inputs'!$B$7)/SQRT(((0+'Inputs'!$B$21)+'Inputs'!$B$7)^2+('Inputs'!$B$6/2)^2)-((0+'Inputs'!$B$21))/SQRT(((0+'Inputs'!$B$21))^2+('Inputs'!$B$6/2)^2)))-'Results'!C7*(1+'Inputs'!$B$24)*(0.5*(((0+'Inputs'!$B$21+'Inputs'!$B$7+'Inputs'!$B$10)+'Inputs'!$B$9)/SQRT(((0+'Inputs'!$B$21+'Inputs'!$B$7+'Inputs'!$B$10)+'Inputs'!$B$9)^2+('Inputs'!$B$8/2)^2)-((0+'Inputs'!$B$21+'Inputs'!$B$7+'Inputs'!$B$10))/SQRT(((0+'Inputs'!$B$21+'Inputs'!$B$7+'Inputs'!$B$10))^2+('Inputs'!$B$8/2)^2))))*'Results'!$B$8*'Results'!$B$9)-'Inputs'!$B$28*ABS((('Results'!B7*(1-'Inputs'!$B$24)*(0.5*(((0+'Inputs'!$B$21)+'Inputs'!$B$7)/SQRT(((0+'Inputs'!$B$21)+'Inputs'!$B$7)^2+('Inputs'!$B$6/2)^2)-((0+'Inputs'!$B$21))/SQRT(((0+'Inputs'!$B$21))^2+('Inputs'!$B$6/2)^2)))-'Results'!C7*(1+'Inputs'!$B$24)*(0.5*(((0+'Inputs'!$B$21+'Inputs'!$B$7+'Inputs'!$B$10)+'Inputs'!$B$9)/SQRT(((0+'Inputs'!$B$21+'Inputs'!$B$7+'Inputs'!$B$10)+'Inputs'!$B$9)^2+('Inputs'!$B$8/2)^2)-((0+'Inputs'!$B$21+'Inputs'!$B$7+'Inputs'!$B$10))/SQRT(((0+'Inputs'!$B$21+'Inputs'!$B$7+'Inputs'!$B$10))^2+('Inputs'!$B$8/2)^2))))*'Results'!$B$8*'Results'!$B$9))),"")&lt;'Results'!B12,"Cannot switch at contact",IF(IF(AND(ISNUMBER('Results'!B7),ISNUMBER('Results'!C7),ISNUMBER('Results'!$B$8),ISNUMBER('Results'!$B$9),ISNUMBER('Inputs'!$B$6),ISNUMBER('Inputs'!$B$7),ISNUMBER('Inputs'!$B$8),ISNUMBER('Inputs'!$B$9),ISNUMBER('Inputs'!$B$10),ISNUMBER('Inputs'!$B$21),ISNUMBER('Inputs'!$B$24),ISNUMBER('Inputs'!$B$28)),((('Results'!B7*(1-'Inputs'!$B$24)*(0.5*((('Inputs'!$B$33+'Inputs'!$B$21)+'Inputs'!$B$7)/SQRT((('Inputs'!$B$33+'Inputs'!$B$21)+'Inputs'!$B$7)^2+('Inputs'!$B$6/2)^2)-(('Inputs'!$B$33+'Inputs'!$B$21))/SQRT((('Inputs'!$B$33+'Inputs'!$B$21))^2+('Inputs'!$B$6/2)^2)))-'Results'!C7*(1+'Inputs'!$B$24)*(0.5*((('Inputs'!$B$33+'Inputs'!$B$21+'Inputs'!$B$7+'Inputs'!$B$10)+'Inputs'!$B$9)/SQRT((('Inputs'!$B$33+'Inputs'!$B$21+'Inputs'!$B$7+'Inputs'!$B$10)+'Inputs'!$B$9)^2+('Inputs'!$B$8/2)^2)-(('Inputs'!$B$33+'Inputs'!$B$21+'Inputs'!$B$7+'Inputs'!$B$10))/SQRT((('Inputs'!$B$33+'Inputs'!$B$21+'Inputs'!$B$7+'Inputs'!$B$10))^2+('Inputs'!$B$8/2)^2))))*'Results'!$B$8*'Results'!$B$9)-'Inputs'!$B$28*ABS((('Results'!B7*(1-'Inputs'!$B$24)*(0.5*((('Inputs'!$B$33+'Inputs'!$B$21)+'Inputs'!$B$7)/SQRT((('Inputs'!$B$33+'Inputs'!$B$21)+'Inputs'!$B$7)^2+('Inputs'!$B$6/2)^2)-(('Inputs'!$B$33+'Inputs'!$B$21))/SQRT((('Inputs'!$B$33+'Inputs'!$B$21))^2+('Inputs'!$B$6/2)^2)))-'Results'!C7*(1+'Inputs'!$B$24)*(0.5*((('Inputs'!$B$33+'Inputs'!$B$21+'Inputs'!$B$7+'Inputs'!$B$10)+'Inputs'!$B$9)/SQRT((('Inputs'!$B$33+'Inputs'!$B$21+'Inputs'!$B$7+'Inputs'!$B$10)+'Inputs'!$B$9)^2+('Inputs'!$B$8/2)^2)-(('Inputs'!$B$33+'Inputs'!$B$21+'Inputs'!$B$7+'Inputs'!$B$10))/SQRT((('Inputs'!$B$33+'Inputs'!$B$21+'Inputs'!$B$7+'Inputs'!$B$10))^2+('Inputs'!$B$8/2)^2))))*'Results'!$B$8*'Results'!$B$9))),"")&gt;'Results'!B12,"Increase search limit","Crossing bracketed")))</x:f>
        <x:v>Crossing bracketed</x:v>
      </x:c>
      <x:c r="L6" s="22"/>
      <x:c r="M6" s="22" t="n">
        <x:f>0</x:f>
        <x:v>0</x:v>
      </x:c>
      <x:c r="N6" s="22" t="n">
        <x:f>'Inputs'!$B$33</x:f>
        <x:v>40</x:v>
      </x:c>
      <x:c r="O6" s="22" t="n">
        <x:f>(M6+N6)/2</x:f>
        <x:v>20</x:v>
      </x:c>
      <x:c r="P6" s="22" t="n">
        <x:f>IF(AND(ISNUMBER('Results'!B7),ISNUMBER('Results'!C7),ISNUMBER('Results'!$B$8),ISNUMBER('Results'!$B$9),ISNUMBER('Inputs'!$B$6),ISNUMBER('Inputs'!$B$7),ISNUMBER('Inputs'!$B$8),ISNUMBER('Inputs'!$B$9),ISNUMBER('Inputs'!$B$10),ISNUMBER('Inputs'!$B$21),ISNUMBER('Inputs'!$B$24),ISNUMBER('Inputs'!$B$28)),((('Results'!B7*(1+'Inputs'!$B$24)*(0.5*(((O6+'Inputs'!$B$21)+'Inputs'!$B$7)/SQRT(((O6+'Inputs'!$B$21)+'Inputs'!$B$7)^2+('Inputs'!$B$6/2)^2)-((O6+'Inputs'!$B$21))/SQRT(((O6+'Inputs'!$B$21))^2+('Inputs'!$B$6/2)^2)))-'Results'!C7*(1-'Inputs'!$B$24)*(0.5*(((O6+'Inputs'!$B$21+'Inputs'!$B$7+'Inputs'!$B$10)+'Inputs'!$B$9)/SQRT(((O6+'Inputs'!$B$21+'Inputs'!$B$7+'Inputs'!$B$10)+'Inputs'!$B$9)^2+('Inputs'!$B$8/2)^2)-((O6+'Inputs'!$B$21+'Inputs'!$B$7+'Inputs'!$B$10))/SQRT(((O6+'Inputs'!$B$21+'Inputs'!$B$7+'Inputs'!$B$10))^2+('Inputs'!$B$8/2)^2))))*'Results'!$B$8*'Results'!$B$9)+'Inputs'!$B$28*ABS((('Results'!B7*(1+'Inputs'!$B$24)*(0.5*(((O6+'Inputs'!$B$21)+'Inputs'!$B$7)/SQRT(((O6+'Inputs'!$B$21)+'Inputs'!$B$7)^2+('Inputs'!$B$6/2)^2)-((O6+'Inputs'!$B$21))/SQRT(((O6+'Inputs'!$B$21))^2+('Inputs'!$B$6/2)^2)))-'Results'!C7*(1-'Inputs'!$B$24)*(0.5*(((O6+'Inputs'!$B$21+'Inputs'!$B$7+'Inputs'!$B$10)+'Inputs'!$B$9)/SQRT(((O6+'Inputs'!$B$21+'Inputs'!$B$7+'Inputs'!$B$10)+'Inputs'!$B$9)^2+('Inputs'!$B$8/2)^2)-((O6+'Inputs'!$B$21+'Inputs'!$B$7+'Inputs'!$B$10))/SQRT(((O6+'Inputs'!$B$21+'Inputs'!$B$7+'Inputs'!$B$10))^2+('Inputs'!$B$8/2)^2))))*'Results'!$B$8*'Results'!$B$9))),"")</x:f>
        <x:v>4.686217536667682</x:v>
      </x:c>
      <x:c r="Q6" s="26" t="str">
        <x:f>IF('Results'!$B$6&lt;&gt;"Inputs accepted","Not evaluated",IF(IF(AND(ISNUMBER('Results'!B7),ISNUMBER('Results'!C7),ISNUMBER('Results'!$B$8),ISNUMBER('Results'!$B$9),ISNUMBER('Inputs'!$B$6),ISNUMBER('Inputs'!$B$7),ISNUMBER('Inputs'!$B$8),ISNUMBER('Inputs'!$B$9),ISNUMBER('Inputs'!$B$10),ISNUMBER('Inputs'!$B$21),ISNUMBER('Inputs'!$B$24),ISNUMBER('Inputs'!$B$28)),((('Results'!B7*(1+'Inputs'!$B$24)*(0.5*(((0+'Inputs'!$B$21)+'Inputs'!$B$7)/SQRT(((0+'Inputs'!$B$21)+'Inputs'!$B$7)^2+('Inputs'!$B$6/2)^2)-((0+'Inputs'!$B$21))/SQRT(((0+'Inputs'!$B$21))^2+('Inputs'!$B$6/2)^2)))-'Results'!C7*(1-'Inputs'!$B$24)*(0.5*(((0+'Inputs'!$B$21+'Inputs'!$B$7+'Inputs'!$B$10)+'Inputs'!$B$9)/SQRT(((0+'Inputs'!$B$21+'Inputs'!$B$7+'Inputs'!$B$10)+'Inputs'!$B$9)^2+('Inputs'!$B$8/2)^2)-((0+'Inputs'!$B$21+'Inputs'!$B$7+'Inputs'!$B$10))/SQRT(((0+'Inputs'!$B$21+'Inputs'!$B$7+'Inputs'!$B$10))^2+('Inputs'!$B$8/2)^2))))*'Results'!$B$8*'Results'!$B$9)+'Inputs'!$B$28*ABS((('Results'!B7*(1+'Inputs'!$B$24)*(0.5*(((0+'Inputs'!$B$21)+'Inputs'!$B$7)/SQRT(((0+'Inputs'!$B$21)+'Inputs'!$B$7)^2+('Inputs'!$B$6/2)^2)-((0+'Inputs'!$B$21))/SQRT(((0+'Inputs'!$B$21))^2+('Inputs'!$B$6/2)^2)))-'Results'!C7*(1-'Inputs'!$B$24)*(0.5*(((0+'Inputs'!$B$21+'Inputs'!$B$7+'Inputs'!$B$10)+'Inputs'!$B$9)/SQRT(((0+'Inputs'!$B$21+'Inputs'!$B$7+'Inputs'!$B$10)+'Inputs'!$B$9)^2+('Inputs'!$B$8/2)^2)-((0+'Inputs'!$B$21+'Inputs'!$B$7+'Inputs'!$B$10))/SQRT(((0+'Inputs'!$B$21+'Inputs'!$B$7+'Inputs'!$B$10))^2+('Inputs'!$B$8/2)^2))))*'Results'!$B$8*'Results'!$B$9))),"")&lt;'Results'!B11,"Cannot switch at contact",IF(IF(AND(ISNUMBER('Results'!B7),ISNUMBER('Results'!C7),ISNUMBER('Results'!$B$8),ISNUMBER('Results'!$B$9),ISNUMBER('Inputs'!$B$6),ISNUMBER('Inputs'!$B$7),ISNUMBER('Inputs'!$B$8),ISNUMBER('Inputs'!$B$9),ISNUMBER('Inputs'!$B$10),ISNUMBER('Inputs'!$B$21),ISNUMBER('Inputs'!$B$24),ISNUMBER('Inputs'!$B$28)),((('Results'!B7*(1+'Inputs'!$B$24)*(0.5*((('Inputs'!$B$33+'Inputs'!$B$21)+'Inputs'!$B$7)/SQRT((('Inputs'!$B$33+'Inputs'!$B$21)+'Inputs'!$B$7)^2+('Inputs'!$B$6/2)^2)-(('Inputs'!$B$33+'Inputs'!$B$21))/SQRT((('Inputs'!$B$33+'Inputs'!$B$21))^2+('Inputs'!$B$6/2)^2)))-'Results'!C7*(1-'Inputs'!$B$24)*(0.5*((('Inputs'!$B$33+'Inputs'!$B$21+'Inputs'!$B$7+'Inputs'!$B$10)+'Inputs'!$B$9)/SQRT((('Inputs'!$B$33+'Inputs'!$B$21+'Inputs'!$B$7+'Inputs'!$B$10)+'Inputs'!$B$9)^2+('Inputs'!$B$8/2)^2)-(('Inputs'!$B$33+'Inputs'!$B$21+'Inputs'!$B$7+'Inputs'!$B$10))/SQRT((('Inputs'!$B$33+'Inputs'!$B$21+'Inputs'!$B$7+'Inputs'!$B$10))^2+('Inputs'!$B$8/2)^2))))*'Results'!$B$8*'Results'!$B$9)+'Inputs'!$B$28*ABS((('Results'!B7*(1+'Inputs'!$B$24)*(0.5*((('Inputs'!$B$33+'Inputs'!$B$21)+'Inputs'!$B$7)/SQRT((('Inputs'!$B$33+'Inputs'!$B$21)+'Inputs'!$B$7)^2+('Inputs'!$B$6/2)^2)-(('Inputs'!$B$33+'Inputs'!$B$21))/SQRT((('Inputs'!$B$33+'Inputs'!$B$21))^2+('Inputs'!$B$6/2)^2)))-'Results'!C7*(1-'Inputs'!$B$24)*(0.5*((('Inputs'!$B$33+'Inputs'!$B$21+'Inputs'!$B$7+'Inputs'!$B$10)+'Inputs'!$B$9)/SQRT((('Inputs'!$B$33+'Inputs'!$B$21+'Inputs'!$B$7+'Inputs'!$B$10)+'Inputs'!$B$9)^2+('Inputs'!$B$8/2)^2)-(('Inputs'!$B$33+'Inputs'!$B$21+'Inputs'!$B$7+'Inputs'!$B$10))/SQRT((('Inputs'!$B$33+'Inputs'!$B$21+'Inputs'!$B$7+'Inputs'!$B$10))^2+('Inputs'!$B$8/2)^2))))*'Results'!$B$8*'Results'!$B$9))),"")&gt;'Results'!B11,"Increase search limit","Crossing bracketed")))</x:f>
        <x:v>Crossing bracketed</x:v>
      </x:c>
      <x:c r="R6" s="22"/>
      <x:c r="S6" s="22" t="n">
        <x:f>0</x:f>
        <x:v>0</x:v>
      </x:c>
      <x:c r="T6" s="22" t="n">
        <x:f>'Inputs'!$B$33</x:f>
        <x:v>40</x:v>
      </x:c>
      <x:c r="U6" s="22" t="n">
        <x:f>(S6+T6)/2</x:f>
        <x:v>20</x:v>
      </x:c>
      <x:c r="V6" s="22" t="n">
        <x:f>IF(AND(ISNUMBER('Results'!B7),ISNUMBER('Results'!C7),ISNUMBER('Results'!$B$8),ISNUMBER('Results'!$B$9),ISNUMBER('Inputs'!$B$6),ISNUMBER('Inputs'!$B$7),ISNUMBER('Inputs'!$B$8),ISNUMBER('Inputs'!$B$9),ISNUMBER('Inputs'!$B$10),ISNUMBER('Inputs'!$B$21),ISNUMBER('Inputs'!$B$24),ISNUMBER('Inputs'!$B$28)),(('Results'!B7*(0.5*(((U6+'Inputs'!$B$21)+'Inputs'!$B$7)/SQRT(((U6+'Inputs'!$B$21)+'Inputs'!$B$7)^2+('Inputs'!$B$6/2)^2)-((U6+'Inputs'!$B$21))/SQRT(((U6+'Inputs'!$B$21))^2+('Inputs'!$B$6/2)^2)))-'Results'!C7*(0.5*(((U6+'Inputs'!$B$21+'Inputs'!$B$7+'Inputs'!$B$10)+'Inputs'!$B$9)/SQRT(((U6+'Inputs'!$B$21+'Inputs'!$B$7+'Inputs'!$B$10)+'Inputs'!$B$9)^2+('Inputs'!$B$8/2)^2)-((U6+'Inputs'!$B$21+'Inputs'!$B$7+'Inputs'!$B$10))/SQRT(((U6+'Inputs'!$B$21+'Inputs'!$B$7+'Inputs'!$B$10))^2+('Inputs'!$B$8/2)^2))))*'Results'!$B$8*'Results'!$B$9),"")</x:f>
        <x:v>4.179616551237702</x:v>
      </x:c>
      <x:c r="W6" s="26" t="str">
        <x:f>IF('Results'!$B$6&lt;&gt;"Inputs accepted","Not evaluated",IF(IF(AND(ISNUMBER('Results'!B7),ISNUMBER('Results'!C7),ISNUMBER('Results'!$B$8),ISNUMBER('Results'!$B$9),ISNUMBER('Inputs'!$B$6),ISNUMBER('Inputs'!$B$7),ISNUMBER('Inputs'!$B$8),ISNUMBER('Inputs'!$B$9),ISNUMBER('Inputs'!$B$10),ISNUMBER('Inputs'!$B$21),ISNUMBER('Inputs'!$B$24),ISNUMBER('Inputs'!$B$28)),(('Results'!B7*(0.5*(((0+'Inputs'!$B$21)+'Inputs'!$B$7)/SQRT(((0+'Inputs'!$B$21)+'Inputs'!$B$7)^2+('Inputs'!$B$6/2)^2)-((0+'Inputs'!$B$21))/SQRT(((0+'Inputs'!$B$21))^2+('Inputs'!$B$6/2)^2)))-'Results'!C7*(0.5*(((0+'Inputs'!$B$21+'Inputs'!$B$7+'Inputs'!$B$10)+'Inputs'!$B$9)/SQRT(((0+'Inputs'!$B$21+'Inputs'!$B$7+'Inputs'!$B$10)+'Inputs'!$B$9)^2+('Inputs'!$B$8/2)^2)-((0+'Inputs'!$B$21+'Inputs'!$B$7+'Inputs'!$B$10))/SQRT(((0+'Inputs'!$B$21+'Inputs'!$B$7+'Inputs'!$B$10))^2+('Inputs'!$B$8/2)^2))))*'Results'!$B$8*'Results'!$B$9),"")&lt;'Results'!B13,"Cannot switch at contact",IF(IF(AND(ISNUMBER('Results'!B7),ISNUMBER('Results'!C7),ISNUMBER('Results'!$B$8),ISNUMBER('Results'!$B$9),ISNUMBER('Inputs'!$B$6),ISNUMBER('Inputs'!$B$7),ISNUMBER('Inputs'!$B$8),ISNUMBER('Inputs'!$B$9),ISNUMBER('Inputs'!$B$10),ISNUMBER('Inputs'!$B$21),ISNUMBER('Inputs'!$B$24),ISNUMBER('Inputs'!$B$28)),(('Results'!B7*(0.5*((('Inputs'!$B$33+'Inputs'!$B$21)+'Inputs'!$B$7)/SQRT((('Inputs'!$B$33+'Inputs'!$B$21)+'Inputs'!$B$7)^2+('Inputs'!$B$6/2)^2)-(('Inputs'!$B$33+'Inputs'!$B$21))/SQRT((('Inputs'!$B$33+'Inputs'!$B$21))^2+('Inputs'!$B$6/2)^2)))-'Results'!C7*(0.5*((('Inputs'!$B$33+'Inputs'!$B$21+'Inputs'!$B$7+'Inputs'!$B$10)+'Inputs'!$B$9)/SQRT((('Inputs'!$B$33+'Inputs'!$B$21+'Inputs'!$B$7+'Inputs'!$B$10)+'Inputs'!$B$9)^2+('Inputs'!$B$8/2)^2)-(('Inputs'!$B$33+'Inputs'!$B$21+'Inputs'!$B$7+'Inputs'!$B$10))/SQRT((('Inputs'!$B$33+'Inputs'!$B$21+'Inputs'!$B$7+'Inputs'!$B$10))^2+('Inputs'!$B$8/2)^2))))*'Results'!$B$8*'Results'!$B$9),"")&gt;'Results'!B13,"Increase search limit","Crossing bracketed")))</x:f>
        <x:v>Crossing bracketed</x:v>
      </x:c>
      <x:c r="X6" s="22"/>
      <x:c r="Y6" s="22" t="n">
        <x:f>0</x:f>
        <x:v>0</x:v>
      </x:c>
      <x:c r="Z6" s="22" t="n">
        <x:f>'Inputs'!$B$33</x:f>
        <x:v>40</x:v>
      </x:c>
      <x:c r="AA6" s="22" t="n">
        <x:f>(Y6+Z6)/2</x:f>
        <x:v>20</x:v>
      </x:c>
      <x:c r="AB6" s="22" t="n">
        <x:f>IF(AND(ISNUMBER('Results'!B7),ISNUMBER('Results'!C7),ISNUMBER('Results'!$B$8),ISNUMBER('Results'!$B$9),ISNUMBER('Inputs'!$B$6),ISNUMBER('Inputs'!$B$7),ISNUMBER('Inputs'!$B$8),ISNUMBER('Inputs'!$B$9),ISNUMBER('Inputs'!$B$10),ISNUMBER('Inputs'!$B$21),ISNUMBER('Inputs'!$B$24),ISNUMBER('Inputs'!$B$28)),((('Results'!B7*(1+'Inputs'!$B$24)*(0.5*(((AA6+'Inputs'!$B$21)+'Inputs'!$B$7)/SQRT(((AA6+'Inputs'!$B$21)+'Inputs'!$B$7)^2+('Inputs'!$B$6/2)^2)-((AA6+'Inputs'!$B$21))/SQRT(((AA6+'Inputs'!$B$21))^2+('Inputs'!$B$6/2)^2)))-'Results'!C7*(1-'Inputs'!$B$24)*(0.5*(((AA6+'Inputs'!$B$21+'Inputs'!$B$7+'Inputs'!$B$10)+'Inputs'!$B$9)/SQRT(((AA6+'Inputs'!$B$21+'Inputs'!$B$7+'Inputs'!$B$10)+'Inputs'!$B$9)^2+('Inputs'!$B$8/2)^2)-((AA6+'Inputs'!$B$21+'Inputs'!$B$7+'Inputs'!$B$10))/SQRT(((AA6+'Inputs'!$B$21+'Inputs'!$B$7+'Inputs'!$B$10))^2+('Inputs'!$B$8/2)^2))))*'Results'!$B$8*'Results'!$B$9)+'Inputs'!$B$28*ABS((('Results'!B7*(1+'Inputs'!$B$24)*(0.5*(((AA6+'Inputs'!$B$21)+'Inputs'!$B$7)/SQRT(((AA6+'Inputs'!$B$21)+'Inputs'!$B$7)^2+('Inputs'!$B$6/2)^2)-((AA6+'Inputs'!$B$21))/SQRT(((AA6+'Inputs'!$B$21))^2+('Inputs'!$B$6/2)^2)))-'Results'!C7*(1-'Inputs'!$B$24)*(0.5*(((AA6+'Inputs'!$B$21+'Inputs'!$B$7+'Inputs'!$B$10)+'Inputs'!$B$9)/SQRT(((AA6+'Inputs'!$B$21+'Inputs'!$B$7+'Inputs'!$B$10)+'Inputs'!$B$9)^2+('Inputs'!$B$8/2)^2)-((AA6+'Inputs'!$B$21+'Inputs'!$B$7+'Inputs'!$B$10))/SQRT(((AA6+'Inputs'!$B$21+'Inputs'!$B$7+'Inputs'!$B$10))^2+('Inputs'!$B$8/2)^2))))*'Results'!$B$8*'Results'!$B$9))),"")</x:f>
        <x:v>4.686217536667682</x:v>
      </x:c>
      <x:c r="AC6" s="26" t="str">
        <x:f>IF('Results'!$B$6&lt;&gt;"Inputs accepted","Not evaluated",IF(IF(AND(ISNUMBER('Results'!B7),ISNUMBER('Results'!C7),ISNUMBER('Results'!$B$8),ISNUMBER('Results'!$B$9),ISNUMBER('Inputs'!$B$6),ISNUMBER('Inputs'!$B$7),ISNUMBER('Inputs'!$B$8),ISNUMBER('Inputs'!$B$9),ISNUMBER('Inputs'!$B$10),ISNUMBER('Inputs'!$B$21),ISNUMBER('Inputs'!$B$24),ISNUMBER('Inputs'!$B$28)),((('Results'!B7*(1+'Inputs'!$B$24)*(0.5*(((0+'Inputs'!$B$21)+'Inputs'!$B$7)/SQRT(((0+'Inputs'!$B$21)+'Inputs'!$B$7)^2+('Inputs'!$B$6/2)^2)-((0+'Inputs'!$B$21))/SQRT(((0+'Inputs'!$B$21))^2+('Inputs'!$B$6/2)^2)))-'Results'!C7*(1-'Inputs'!$B$24)*(0.5*(((0+'Inputs'!$B$21+'Inputs'!$B$7+'Inputs'!$B$10)+'Inputs'!$B$9)/SQRT(((0+'Inputs'!$B$21+'Inputs'!$B$7+'Inputs'!$B$10)+'Inputs'!$B$9)^2+('Inputs'!$B$8/2)^2)-((0+'Inputs'!$B$21+'Inputs'!$B$7+'Inputs'!$B$10))/SQRT(((0+'Inputs'!$B$21+'Inputs'!$B$7+'Inputs'!$B$10))^2+('Inputs'!$B$8/2)^2))))*'Results'!$B$8*'Results'!$B$9)+'Inputs'!$B$28*ABS((('Results'!B7*(1+'Inputs'!$B$24)*(0.5*(((0+'Inputs'!$B$21)+'Inputs'!$B$7)/SQRT(((0+'Inputs'!$B$21)+'Inputs'!$B$7)^2+('Inputs'!$B$6/2)^2)-((0+'Inputs'!$B$21))/SQRT(((0+'Inputs'!$B$21))^2+('Inputs'!$B$6/2)^2)))-'Results'!C7*(1-'Inputs'!$B$24)*(0.5*(((0+'Inputs'!$B$21+'Inputs'!$B$7+'Inputs'!$B$10)+'Inputs'!$B$9)/SQRT(((0+'Inputs'!$B$21+'Inputs'!$B$7+'Inputs'!$B$10)+'Inputs'!$B$9)^2+('Inputs'!$B$8/2)^2)-((0+'Inputs'!$B$21+'Inputs'!$B$7+'Inputs'!$B$10))/SQRT(((0+'Inputs'!$B$21+'Inputs'!$B$7+'Inputs'!$B$10))^2+('Inputs'!$B$8/2)^2))))*'Results'!$B$8*'Results'!$B$9))),"")&lt;'Results'!B14,"Cannot switch at contact",IF(IF(AND(ISNUMBER('Results'!B7),ISNUMBER('Results'!C7),ISNUMBER('Results'!$B$8),ISNUMBER('Results'!$B$9),ISNUMBER('Inputs'!$B$6),ISNUMBER('Inputs'!$B$7),ISNUMBER('Inputs'!$B$8),ISNUMBER('Inputs'!$B$9),ISNUMBER('Inputs'!$B$10),ISNUMBER('Inputs'!$B$21),ISNUMBER('Inputs'!$B$24),ISNUMBER('Inputs'!$B$28)),((('Results'!B7*(1+'Inputs'!$B$24)*(0.5*((('Inputs'!$B$33+'Inputs'!$B$21)+'Inputs'!$B$7)/SQRT((('Inputs'!$B$33+'Inputs'!$B$21)+'Inputs'!$B$7)^2+('Inputs'!$B$6/2)^2)-(('Inputs'!$B$33+'Inputs'!$B$21))/SQRT((('Inputs'!$B$33+'Inputs'!$B$21))^2+('Inputs'!$B$6/2)^2)))-'Results'!C7*(1-'Inputs'!$B$24)*(0.5*((('Inputs'!$B$33+'Inputs'!$B$21+'Inputs'!$B$7+'Inputs'!$B$10)+'Inputs'!$B$9)/SQRT((('Inputs'!$B$33+'Inputs'!$B$21+'Inputs'!$B$7+'Inputs'!$B$10)+'Inputs'!$B$9)^2+('Inputs'!$B$8/2)^2)-(('Inputs'!$B$33+'Inputs'!$B$21+'Inputs'!$B$7+'Inputs'!$B$10))/SQRT((('Inputs'!$B$33+'Inputs'!$B$21+'Inputs'!$B$7+'Inputs'!$B$10))^2+('Inputs'!$B$8/2)^2))))*'Results'!$B$8*'Results'!$B$9)+'Inputs'!$B$28*ABS((('Results'!B7*(1+'Inputs'!$B$24)*(0.5*((('Inputs'!$B$33+'Inputs'!$B$21)+'Inputs'!$B$7)/SQRT((('Inputs'!$B$33+'Inputs'!$B$21)+'Inputs'!$B$7)^2+('Inputs'!$B$6/2)^2)-(('Inputs'!$B$33+'Inputs'!$B$21))/SQRT((('Inputs'!$B$33+'Inputs'!$B$21))^2+('Inputs'!$B$6/2)^2)))-'Results'!C7*(1-'Inputs'!$B$24)*(0.5*((('Inputs'!$B$33+'Inputs'!$B$21+'Inputs'!$B$7+'Inputs'!$B$10)+'Inputs'!$B$9)/SQRT((('Inputs'!$B$33+'Inputs'!$B$21+'Inputs'!$B$7+'Inputs'!$B$10)+'Inputs'!$B$9)^2+('Inputs'!$B$8/2)^2)-(('Inputs'!$B$33+'Inputs'!$B$21+'Inputs'!$B$7+'Inputs'!$B$10))/SQRT((('Inputs'!$B$33+'Inputs'!$B$21+'Inputs'!$B$7+'Inputs'!$B$10))^2+('Inputs'!$B$8/2)^2))))*'Results'!$B$8*'Results'!$B$9))),"")&gt;'Results'!B14,"Increase search limit","Crossing bracketed")))</x:f>
        <x:v>Crossing bracketed</x:v>
      </x:c>
      <x:c r="AD6" s="22"/>
      <x:c r="AE6" s="22" t="n">
        <x:f>0</x:f>
        <x:v>0</x:v>
      </x:c>
      <x:c r="AF6" s="22" t="n">
        <x:f>'Inputs'!$B$33</x:f>
        <x:v>40</x:v>
      </x:c>
      <x:c r="AG6" s="22" t="n">
        <x:f>(AE6+AF6)/2</x:f>
        <x:v>20</x:v>
      </x:c>
      <x:c r="AH6" s="22" t="n">
        <x:f>IF(AND(ISNUMBER('Results'!C7),ISNUMBER('Results'!B7),ISNUMBER('Results'!$B$8),ISNUMBER('Results'!$B$9),ISNUMBER('Inputs'!$B$6),ISNUMBER('Inputs'!$B$7),ISNUMBER('Inputs'!$B$8),ISNUMBER('Inputs'!$B$9),ISNUMBER('Inputs'!$B$10),ISNUMBER('Inputs'!$B$21),ISNUMBER('Inputs'!$B$24),ISNUMBER('Inputs'!$B$28)),(('Results'!C7*(0.5*(((AG6+'Inputs'!$B$21)+'Inputs'!$B$9)/SQRT(((AG6+'Inputs'!$B$21)+'Inputs'!$B$9)^2+('Inputs'!$B$8/2)^2)-((AG6+'Inputs'!$B$21))/SQRT(((AG6+'Inputs'!$B$21))^2+('Inputs'!$B$8/2)^2)))-'Results'!B7*(0.5*(((AG6+'Inputs'!$B$21+'Inputs'!$B$9+'Inputs'!$B$10)+'Inputs'!$B$7)/SQRT(((AG6+'Inputs'!$B$21+'Inputs'!$B$9+'Inputs'!$B$10)+'Inputs'!$B$7)^2+('Inputs'!$B$6/2)^2)-((AG6+'Inputs'!$B$21+'Inputs'!$B$9+'Inputs'!$B$10))/SQRT(((AG6+'Inputs'!$B$21+'Inputs'!$B$9+'Inputs'!$B$10))^2+('Inputs'!$B$6/2)^2))))*'Results'!$B$8*'Results'!$B$9),"")</x:f>
        <x:v>3.8941294406316254</x:v>
      </x:c>
      <x:c r="AI6" s="26" t="str">
        <x:f>IF('Results'!$B$6&lt;&gt;"Inputs accepted","Not evaluated",IF(IF(AND(ISNUMBER('Results'!C7),ISNUMBER('Results'!B7),ISNUMBER('Results'!$B$8),ISNUMBER('Results'!$B$9),ISNUMBER('Inputs'!$B$6),ISNUMBER('Inputs'!$B$7),ISNUMBER('Inputs'!$B$8),ISNUMBER('Inputs'!$B$9),ISNUMBER('Inputs'!$B$10),ISNUMBER('Inputs'!$B$21),ISNUMBER('Inputs'!$B$24),ISNUMBER('Inputs'!$B$28)),(('Results'!C7*(0.5*(((0+'Inputs'!$B$21)+'Inputs'!$B$9)/SQRT(((0+'Inputs'!$B$21)+'Inputs'!$B$9)^2+('Inputs'!$B$8/2)^2)-((0+'Inputs'!$B$21))/SQRT(((0+'Inputs'!$B$21))^2+('Inputs'!$B$8/2)^2)))-'Results'!B7*(0.5*(((0+'Inputs'!$B$21+'Inputs'!$B$9+'Inputs'!$B$10)+'Inputs'!$B$7)/SQRT(((0+'Inputs'!$B$21+'Inputs'!$B$9+'Inputs'!$B$10)+'Inputs'!$B$7)^2+('Inputs'!$B$6/2)^2)-((0+'Inputs'!$B$21+'Inputs'!$B$9+'Inputs'!$B$10))/SQRT(((0+'Inputs'!$B$21+'Inputs'!$B$9+'Inputs'!$B$10))^2+('Inputs'!$B$6/2)^2))))*'Results'!$B$8*'Results'!$B$9),"")&lt;'Results'!C10,"Cannot switch at contact",IF(IF(AND(ISNUMBER('Results'!C7),ISNUMBER('Results'!B7),ISNUMBER('Results'!$B$8),ISNUMBER('Results'!$B$9),ISNUMBER('Inputs'!$B$6),ISNUMBER('Inputs'!$B$7),ISNUMBER('Inputs'!$B$8),ISNUMBER('Inputs'!$B$9),ISNUMBER('Inputs'!$B$10),ISNUMBER('Inputs'!$B$21),ISNUMBER('Inputs'!$B$24),ISNUMBER('Inputs'!$B$28)),(('Results'!C7*(0.5*((('Inputs'!$B$33+'Inputs'!$B$21)+'Inputs'!$B$9)/SQRT((('Inputs'!$B$33+'Inputs'!$B$21)+'Inputs'!$B$9)^2+('Inputs'!$B$8/2)^2)-(('Inputs'!$B$33+'Inputs'!$B$21))/SQRT((('Inputs'!$B$33+'Inputs'!$B$21))^2+('Inputs'!$B$8/2)^2)))-'Results'!B7*(0.5*((('Inputs'!$B$33+'Inputs'!$B$21+'Inputs'!$B$9+'Inputs'!$B$10)+'Inputs'!$B$7)/SQRT((('Inputs'!$B$33+'Inputs'!$B$21+'Inputs'!$B$9+'Inputs'!$B$10)+'Inputs'!$B$7)^2+('Inputs'!$B$6/2)^2)-(('Inputs'!$B$33+'Inputs'!$B$21+'Inputs'!$B$9+'Inputs'!$B$10))/SQRT((('Inputs'!$B$33+'Inputs'!$B$21+'Inputs'!$B$9+'Inputs'!$B$10))^2+('Inputs'!$B$6/2)^2))))*'Results'!$B$8*'Results'!$B$9),"")&gt;'Results'!C10,"Increase search limit","Crossing bracketed")))</x:f>
        <x:v>Crossing bracketed</x:v>
      </x:c>
      <x:c r="AJ6" s="22"/>
      <x:c r="AK6" s="22" t="n">
        <x:f>0</x:f>
        <x:v>0</x:v>
      </x:c>
      <x:c r="AL6" s="22" t="n">
        <x:f>'Inputs'!$B$33</x:f>
        <x:v>40</x:v>
      </x:c>
      <x:c r="AM6" s="22" t="n">
        <x:f>(AK6+AL6)/2</x:f>
        <x:v>20</x:v>
      </x:c>
      <x:c r="AN6" s="22" t="n">
        <x:f>IF(AND(ISNUMBER('Results'!C7),ISNUMBER('Results'!B7),ISNUMBER('Results'!$B$8),ISNUMBER('Results'!$B$9),ISNUMBER('Inputs'!$B$6),ISNUMBER('Inputs'!$B$7),ISNUMBER('Inputs'!$B$8),ISNUMBER('Inputs'!$B$9),ISNUMBER('Inputs'!$B$10),ISNUMBER('Inputs'!$B$21),ISNUMBER('Inputs'!$B$24),ISNUMBER('Inputs'!$B$28)),((('Results'!C7*(1-'Inputs'!$B$24)*(0.5*(((AM6+'Inputs'!$B$21)+'Inputs'!$B$9)/SQRT(((AM6+'Inputs'!$B$21)+'Inputs'!$B$9)^2+('Inputs'!$B$8/2)^2)-((AM6+'Inputs'!$B$21))/SQRT(((AM6+'Inputs'!$B$21))^2+('Inputs'!$B$8/2)^2)))-'Results'!B7*(1+'Inputs'!$B$24)*(0.5*(((AM6+'Inputs'!$B$21+'Inputs'!$B$9+'Inputs'!$B$10)+'Inputs'!$B$7)/SQRT(((AM6+'Inputs'!$B$21+'Inputs'!$B$9+'Inputs'!$B$10)+'Inputs'!$B$7)^2+('Inputs'!$B$6/2)^2)-((AM6+'Inputs'!$B$21+'Inputs'!$B$9+'Inputs'!$B$10))/SQRT(((AM6+'Inputs'!$B$21+'Inputs'!$B$9+'Inputs'!$B$10))^2+('Inputs'!$B$6/2)^2))))*'Results'!$B$8*'Results'!$B$9)-'Inputs'!$B$28*ABS((('Results'!C7*(1-'Inputs'!$B$24)*(0.5*(((AM6+'Inputs'!$B$21)+'Inputs'!$B$9)/SQRT(((AM6+'Inputs'!$B$21)+'Inputs'!$B$9)^2+('Inputs'!$B$8/2)^2)-((AM6+'Inputs'!$B$21))/SQRT(((AM6+'Inputs'!$B$21))^2+('Inputs'!$B$8/2)^2)))-'Results'!B7*(1+'Inputs'!$B$24)*(0.5*(((AM6+'Inputs'!$B$21+'Inputs'!$B$9+'Inputs'!$B$10)+'Inputs'!$B$7)/SQRT(((AM6+'Inputs'!$B$21+'Inputs'!$B$9+'Inputs'!$B$10)+'Inputs'!$B$7)^2+('Inputs'!$B$6/2)^2)-((AM6+'Inputs'!$B$21+'Inputs'!$B$9+'Inputs'!$B$10))/SQRT(((AM6+'Inputs'!$B$21+'Inputs'!$B$9+'Inputs'!$B$10))^2+('Inputs'!$B$6/2)^2))))*'Results'!$B$8*'Results'!$B$9))),"")</x:f>
        <x:v>3.4316970944782885</x:v>
      </x:c>
      <x:c r="AO6" s="26" t="str">
        <x:f>IF('Results'!$B$6&lt;&gt;"Inputs accepted","Not evaluated",IF(IF(AND(ISNUMBER('Results'!C7),ISNUMBER('Results'!B7),ISNUMBER('Results'!$B$8),ISNUMBER('Results'!$B$9),ISNUMBER('Inputs'!$B$6),ISNUMBER('Inputs'!$B$7),ISNUMBER('Inputs'!$B$8),ISNUMBER('Inputs'!$B$9),ISNUMBER('Inputs'!$B$10),ISNUMBER('Inputs'!$B$21),ISNUMBER('Inputs'!$B$24),ISNUMBER('Inputs'!$B$28)),((('Results'!C7*(1-'Inputs'!$B$24)*(0.5*(((0+'Inputs'!$B$21)+'Inputs'!$B$9)/SQRT(((0+'Inputs'!$B$21)+'Inputs'!$B$9)^2+('Inputs'!$B$8/2)^2)-((0+'Inputs'!$B$21))/SQRT(((0+'Inputs'!$B$21))^2+('Inputs'!$B$8/2)^2)))-'Results'!B7*(1+'Inputs'!$B$24)*(0.5*(((0+'Inputs'!$B$21+'Inputs'!$B$9+'Inputs'!$B$10)+'Inputs'!$B$7)/SQRT(((0+'Inputs'!$B$21+'Inputs'!$B$9+'Inputs'!$B$10)+'Inputs'!$B$7)^2+('Inputs'!$B$6/2)^2)-((0+'Inputs'!$B$21+'Inputs'!$B$9+'Inputs'!$B$10))/SQRT(((0+'Inputs'!$B$21+'Inputs'!$B$9+'Inputs'!$B$10))^2+('Inputs'!$B$6/2)^2))))*'Results'!$B$8*'Results'!$B$9)-'Inputs'!$B$28*ABS((('Results'!C7*(1-'Inputs'!$B$24)*(0.5*(((0+'Inputs'!$B$21)+'Inputs'!$B$9)/SQRT(((0+'Inputs'!$B$21)+'Inputs'!$B$9)^2+('Inputs'!$B$8/2)^2)-((0+'Inputs'!$B$21))/SQRT(((0+'Inputs'!$B$21))^2+('Inputs'!$B$8/2)^2)))-'Results'!B7*(1+'Inputs'!$B$24)*(0.5*(((0+'Inputs'!$B$21+'Inputs'!$B$9+'Inputs'!$B$10)+'Inputs'!$B$7)/SQRT(((0+'Inputs'!$B$21+'Inputs'!$B$9+'Inputs'!$B$10)+'Inputs'!$B$7)^2+('Inputs'!$B$6/2)^2)-((0+'Inputs'!$B$21+'Inputs'!$B$9+'Inputs'!$B$10))/SQRT(((0+'Inputs'!$B$21+'Inputs'!$B$9+'Inputs'!$B$10))^2+('Inputs'!$B$6/2)^2))))*'Results'!$B$8*'Results'!$B$9))),"")&lt;'Results'!C12,"Cannot switch at contact",IF(IF(AND(ISNUMBER('Results'!C7),ISNUMBER('Results'!B7),ISNUMBER('Results'!$B$8),ISNUMBER('Results'!$B$9),ISNUMBER('Inputs'!$B$6),ISNUMBER('Inputs'!$B$7),ISNUMBER('Inputs'!$B$8),ISNUMBER('Inputs'!$B$9),ISNUMBER('Inputs'!$B$10),ISNUMBER('Inputs'!$B$21),ISNUMBER('Inputs'!$B$24),ISNUMBER('Inputs'!$B$28)),((('Results'!C7*(1-'Inputs'!$B$24)*(0.5*((('Inputs'!$B$33+'Inputs'!$B$21)+'Inputs'!$B$9)/SQRT((('Inputs'!$B$33+'Inputs'!$B$21)+'Inputs'!$B$9)^2+('Inputs'!$B$8/2)^2)-(('Inputs'!$B$33+'Inputs'!$B$21))/SQRT((('Inputs'!$B$33+'Inputs'!$B$21))^2+('Inputs'!$B$8/2)^2)))-'Results'!B7*(1+'Inputs'!$B$24)*(0.5*((('Inputs'!$B$33+'Inputs'!$B$21+'Inputs'!$B$9+'Inputs'!$B$10)+'Inputs'!$B$7)/SQRT((('Inputs'!$B$33+'Inputs'!$B$21+'Inputs'!$B$9+'Inputs'!$B$10)+'Inputs'!$B$7)^2+('Inputs'!$B$6/2)^2)-(('Inputs'!$B$33+'Inputs'!$B$21+'Inputs'!$B$9+'Inputs'!$B$10))/SQRT((('Inputs'!$B$33+'Inputs'!$B$21+'Inputs'!$B$9+'Inputs'!$B$10))^2+('Inputs'!$B$6/2)^2))))*'Results'!$B$8*'Results'!$B$9)-'Inputs'!$B$28*ABS((('Results'!C7*(1-'Inputs'!$B$24)*(0.5*((('Inputs'!$B$33+'Inputs'!$B$21)+'Inputs'!$B$9)/SQRT((('Inputs'!$B$33+'Inputs'!$B$21)+'Inputs'!$B$9)^2+('Inputs'!$B$8/2)^2)-(('Inputs'!$B$33+'Inputs'!$B$21))/SQRT((('Inputs'!$B$33+'Inputs'!$B$21))^2+('Inputs'!$B$8/2)^2)))-'Results'!B7*(1+'Inputs'!$B$24)*(0.5*((('Inputs'!$B$33+'Inputs'!$B$21+'Inputs'!$B$9+'Inputs'!$B$10)+'Inputs'!$B$7)/SQRT((('Inputs'!$B$33+'Inputs'!$B$21+'Inputs'!$B$9+'Inputs'!$B$10)+'Inputs'!$B$7)^2+('Inputs'!$B$6/2)^2)-(('Inputs'!$B$33+'Inputs'!$B$21+'Inputs'!$B$9+'Inputs'!$B$10))/SQRT((('Inputs'!$B$33+'Inputs'!$B$21+'Inputs'!$B$9+'Inputs'!$B$10))^2+('Inputs'!$B$6/2)^2))))*'Results'!$B$8*'Results'!$B$9))),"")&gt;'Results'!C12,"Increase search limit","Crossing bracketed")))</x:f>
        <x:v>Crossing bracketed</x:v>
      </x:c>
      <x:c r="AP6" s="22"/>
      <x:c r="AQ6" s="22" t="n">
        <x:f>0</x:f>
        <x:v>0</x:v>
      </x:c>
      <x:c r="AR6" s="22" t="n">
        <x:f>'Inputs'!$B$33</x:f>
        <x:v>40</x:v>
      </x:c>
      <x:c r="AS6" s="22" t="n">
        <x:f>(AQ6+AR6)/2</x:f>
        <x:v>20</x:v>
      </x:c>
      <x:c r="AT6" s="22" t="n">
        <x:f>IF(AND(ISNUMBER('Results'!C7),ISNUMBER('Results'!B7),ISNUMBER('Results'!$B$8),ISNUMBER('Results'!$B$9),ISNUMBER('Inputs'!$B$6),ISNUMBER('Inputs'!$B$7),ISNUMBER('Inputs'!$B$8),ISNUMBER('Inputs'!$B$9),ISNUMBER('Inputs'!$B$10),ISNUMBER('Inputs'!$B$21),ISNUMBER('Inputs'!$B$24),ISNUMBER('Inputs'!$B$28)),((('Results'!C7*(1+'Inputs'!$B$24)*(0.5*(((AS6+'Inputs'!$B$21)+'Inputs'!$B$9)/SQRT(((AS6+'Inputs'!$B$21)+'Inputs'!$B$9)^2+('Inputs'!$B$8/2)^2)-((AS6+'Inputs'!$B$21))/SQRT(((AS6+'Inputs'!$B$21))^2+('Inputs'!$B$8/2)^2)))-'Results'!B7*(1-'Inputs'!$B$24)*(0.5*(((AS6+'Inputs'!$B$21+'Inputs'!$B$9+'Inputs'!$B$10)+'Inputs'!$B$7)/SQRT(((AS6+'Inputs'!$B$21+'Inputs'!$B$9+'Inputs'!$B$10)+'Inputs'!$B$7)^2+('Inputs'!$B$6/2)^2)-((AS6+'Inputs'!$B$21+'Inputs'!$B$9+'Inputs'!$B$10))/SQRT(((AS6+'Inputs'!$B$21+'Inputs'!$B$9+'Inputs'!$B$10))^2+('Inputs'!$B$6/2)^2))))*'Results'!$B$8*'Results'!$B$9)+'Inputs'!$B$28*ABS((('Results'!C7*(1+'Inputs'!$B$24)*(0.5*(((AS6+'Inputs'!$B$21)+'Inputs'!$B$9)/SQRT(((AS6+'Inputs'!$B$21)+'Inputs'!$B$9)^2+('Inputs'!$B$8/2)^2)-((AS6+'Inputs'!$B$21))/SQRT(((AS6+'Inputs'!$B$21))^2+('Inputs'!$B$8/2)^2)))-'Results'!B7*(1-'Inputs'!$B$24)*(0.5*(((AS6+'Inputs'!$B$21+'Inputs'!$B$9+'Inputs'!$B$10)+'Inputs'!$B$7)/SQRT(((AS6+'Inputs'!$B$21+'Inputs'!$B$9+'Inputs'!$B$10)+'Inputs'!$B$7)^2+('Inputs'!$B$6/2)^2)-((AS6+'Inputs'!$B$21+'Inputs'!$B$9+'Inputs'!$B$10))/SQRT(((AS6+'Inputs'!$B$21+'Inputs'!$B$9+'Inputs'!$B$10))^2+('Inputs'!$B$6/2)^2))))*'Results'!$B$8*'Results'!$B$9))),"")</x:f>
        <x:v>4.384743457745148</x:v>
      </x:c>
      <x:c r="AU6" s="26" t="str">
        <x:f>IF('Results'!$B$6&lt;&gt;"Inputs accepted","Not evaluated",IF(IF(AND(ISNUMBER('Results'!C7),ISNUMBER('Results'!B7),ISNUMBER('Results'!$B$8),ISNUMBER('Results'!$B$9),ISNUMBER('Inputs'!$B$6),ISNUMBER('Inputs'!$B$7),ISNUMBER('Inputs'!$B$8),ISNUMBER('Inputs'!$B$9),ISNUMBER('Inputs'!$B$10),ISNUMBER('Inputs'!$B$21),ISNUMBER('Inputs'!$B$24),ISNUMBER('Inputs'!$B$28)),((('Results'!C7*(1+'Inputs'!$B$24)*(0.5*(((0+'Inputs'!$B$21)+'Inputs'!$B$9)/SQRT(((0+'Inputs'!$B$21)+'Inputs'!$B$9)^2+('Inputs'!$B$8/2)^2)-((0+'Inputs'!$B$21))/SQRT(((0+'Inputs'!$B$21))^2+('Inputs'!$B$8/2)^2)))-'Results'!B7*(1-'Inputs'!$B$24)*(0.5*(((0+'Inputs'!$B$21+'Inputs'!$B$9+'Inputs'!$B$10)+'Inputs'!$B$7)/SQRT(((0+'Inputs'!$B$21+'Inputs'!$B$9+'Inputs'!$B$10)+'Inputs'!$B$7)^2+('Inputs'!$B$6/2)^2)-((0+'Inputs'!$B$21+'Inputs'!$B$9+'Inputs'!$B$10))/SQRT(((0+'Inputs'!$B$21+'Inputs'!$B$9+'Inputs'!$B$10))^2+('Inputs'!$B$6/2)^2))))*'Results'!$B$8*'Results'!$B$9)+'Inputs'!$B$28*ABS((('Results'!C7*(1+'Inputs'!$B$24)*(0.5*(((0+'Inputs'!$B$21)+'Inputs'!$B$9)/SQRT(((0+'Inputs'!$B$21)+'Inputs'!$B$9)^2+('Inputs'!$B$8/2)^2)-((0+'Inputs'!$B$21))/SQRT(((0+'Inputs'!$B$21))^2+('Inputs'!$B$8/2)^2)))-'Results'!B7*(1-'Inputs'!$B$24)*(0.5*(((0+'Inputs'!$B$21+'Inputs'!$B$9+'Inputs'!$B$10)+'Inputs'!$B$7)/SQRT(((0+'Inputs'!$B$21+'Inputs'!$B$9+'Inputs'!$B$10)+'Inputs'!$B$7)^2+('Inputs'!$B$6/2)^2)-((0+'Inputs'!$B$21+'Inputs'!$B$9+'Inputs'!$B$10))/SQRT(((0+'Inputs'!$B$21+'Inputs'!$B$9+'Inputs'!$B$10))^2+('Inputs'!$B$6/2)^2))))*'Results'!$B$8*'Results'!$B$9))),"")&lt;'Results'!C11,"Cannot switch at contact",IF(IF(AND(ISNUMBER('Results'!C7),ISNUMBER('Results'!B7),ISNUMBER('Results'!$B$8),ISNUMBER('Results'!$B$9),ISNUMBER('Inputs'!$B$6),ISNUMBER('Inputs'!$B$7),ISNUMBER('Inputs'!$B$8),ISNUMBER('Inputs'!$B$9),ISNUMBER('Inputs'!$B$10),ISNUMBER('Inputs'!$B$21),ISNUMBER('Inputs'!$B$24),ISNUMBER('Inputs'!$B$28)),((('Results'!C7*(1+'Inputs'!$B$24)*(0.5*((('Inputs'!$B$33+'Inputs'!$B$21)+'Inputs'!$B$9)/SQRT((('Inputs'!$B$33+'Inputs'!$B$21)+'Inputs'!$B$9)^2+('Inputs'!$B$8/2)^2)-(('Inputs'!$B$33+'Inputs'!$B$21))/SQRT((('Inputs'!$B$33+'Inputs'!$B$21))^2+('Inputs'!$B$8/2)^2)))-'Results'!B7*(1-'Inputs'!$B$24)*(0.5*((('Inputs'!$B$33+'Inputs'!$B$21+'Inputs'!$B$9+'Inputs'!$B$10)+'Inputs'!$B$7)/SQRT((('Inputs'!$B$33+'Inputs'!$B$21+'Inputs'!$B$9+'Inputs'!$B$10)+'Inputs'!$B$7)^2+('Inputs'!$B$6/2)^2)-(('Inputs'!$B$33+'Inputs'!$B$21+'Inputs'!$B$9+'Inputs'!$B$10))/SQRT((('Inputs'!$B$33+'Inputs'!$B$21+'Inputs'!$B$9+'Inputs'!$B$10))^2+('Inputs'!$B$6/2)^2))))*'Results'!$B$8*'Results'!$B$9)+'Inputs'!$B$28*ABS((('Results'!C7*(1+'Inputs'!$B$24)*(0.5*((('Inputs'!$B$33+'Inputs'!$B$21)+'Inputs'!$B$9)/SQRT((('Inputs'!$B$33+'Inputs'!$B$21)+'Inputs'!$B$9)^2+('Inputs'!$B$8/2)^2)-(('Inputs'!$B$33+'Inputs'!$B$21))/SQRT((('Inputs'!$B$33+'Inputs'!$B$21))^2+('Inputs'!$B$8/2)^2)))-'Results'!B7*(1-'Inputs'!$B$24)*(0.5*((('Inputs'!$B$33+'Inputs'!$B$21+'Inputs'!$B$9+'Inputs'!$B$10)+'Inputs'!$B$7)/SQRT((('Inputs'!$B$33+'Inputs'!$B$21+'Inputs'!$B$9+'Inputs'!$B$10)+'Inputs'!$B$7)^2+('Inputs'!$B$6/2)^2)-(('Inputs'!$B$33+'Inputs'!$B$21+'Inputs'!$B$9+'Inputs'!$B$10))/SQRT((('Inputs'!$B$33+'Inputs'!$B$21+'Inputs'!$B$9+'Inputs'!$B$10))^2+('Inputs'!$B$6/2)^2))))*'Results'!$B$8*'Results'!$B$9))),"")&gt;'Results'!C11,"Increase search limit","Crossing bracketed")))</x:f>
        <x:v>Crossing bracketed</x:v>
      </x:c>
      <x:c r="AV6" s="22"/>
      <x:c r="AW6" s="22" t="n">
        <x:f>0</x:f>
        <x:v>0</x:v>
      </x:c>
      <x:c r="AX6" s="22" t="n">
        <x:f>'Inputs'!$B$33</x:f>
        <x:v>40</x:v>
      </x:c>
      <x:c r="AY6" s="22" t="n">
        <x:f>(AW6+AX6)/2</x:f>
        <x:v>20</x:v>
      </x:c>
      <x:c r="AZ6" s="22" t="n">
        <x:f>IF(AND(ISNUMBER('Results'!C7),ISNUMBER('Results'!B7),ISNUMBER('Results'!$B$8),ISNUMBER('Results'!$B$9),ISNUMBER('Inputs'!$B$6),ISNUMBER('Inputs'!$B$7),ISNUMBER('Inputs'!$B$8),ISNUMBER('Inputs'!$B$9),ISNUMBER('Inputs'!$B$10),ISNUMBER('Inputs'!$B$21),ISNUMBER('Inputs'!$B$24),ISNUMBER('Inputs'!$B$28)),(('Results'!C7*(0.5*(((AY6+'Inputs'!$B$21)+'Inputs'!$B$9)/SQRT(((AY6+'Inputs'!$B$21)+'Inputs'!$B$9)^2+('Inputs'!$B$8/2)^2)-((AY6+'Inputs'!$B$21))/SQRT(((AY6+'Inputs'!$B$21))^2+('Inputs'!$B$8/2)^2)))-'Results'!B7*(0.5*(((AY6+'Inputs'!$B$21+'Inputs'!$B$9+'Inputs'!$B$10)+'Inputs'!$B$7)/SQRT(((AY6+'Inputs'!$B$21+'Inputs'!$B$9+'Inputs'!$B$10)+'Inputs'!$B$7)^2+('Inputs'!$B$6/2)^2)-((AY6+'Inputs'!$B$21+'Inputs'!$B$9+'Inputs'!$B$10))/SQRT(((AY6+'Inputs'!$B$21+'Inputs'!$B$9+'Inputs'!$B$10))^2+('Inputs'!$B$6/2)^2))))*'Results'!$B$8*'Results'!$B$9),"")</x:f>
        <x:v>3.8941294406316254</x:v>
      </x:c>
      <x:c r="BA6" s="26" t="str">
        <x:f>IF('Results'!$B$6&lt;&gt;"Inputs accepted","Not evaluated",IF(IF(AND(ISNUMBER('Results'!C7),ISNUMBER('Results'!B7),ISNUMBER('Results'!$B$8),ISNUMBER('Results'!$B$9),ISNUMBER('Inputs'!$B$6),ISNUMBER('Inputs'!$B$7),ISNUMBER('Inputs'!$B$8),ISNUMBER('Inputs'!$B$9),ISNUMBER('Inputs'!$B$10),ISNUMBER('Inputs'!$B$21),ISNUMBER('Inputs'!$B$24),ISNUMBER('Inputs'!$B$28)),(('Results'!C7*(0.5*(((0+'Inputs'!$B$21)+'Inputs'!$B$9)/SQRT(((0+'Inputs'!$B$21)+'Inputs'!$B$9)^2+('Inputs'!$B$8/2)^2)-((0+'Inputs'!$B$21))/SQRT(((0+'Inputs'!$B$21))^2+('Inputs'!$B$8/2)^2)))-'Results'!B7*(0.5*(((0+'Inputs'!$B$21+'Inputs'!$B$9+'Inputs'!$B$10)+'Inputs'!$B$7)/SQRT(((0+'Inputs'!$B$21+'Inputs'!$B$9+'Inputs'!$B$10)+'Inputs'!$B$7)^2+('Inputs'!$B$6/2)^2)-((0+'Inputs'!$B$21+'Inputs'!$B$9+'Inputs'!$B$10))/SQRT(((0+'Inputs'!$B$21+'Inputs'!$B$9+'Inputs'!$B$10))^2+('Inputs'!$B$6/2)^2))))*'Results'!$B$8*'Results'!$B$9),"")&lt;'Results'!C13,"Cannot switch at contact",IF(IF(AND(ISNUMBER('Results'!C7),ISNUMBER('Results'!B7),ISNUMBER('Results'!$B$8),ISNUMBER('Results'!$B$9),ISNUMBER('Inputs'!$B$6),ISNUMBER('Inputs'!$B$7),ISNUMBER('Inputs'!$B$8),ISNUMBER('Inputs'!$B$9),ISNUMBER('Inputs'!$B$10),ISNUMBER('Inputs'!$B$21),ISNUMBER('Inputs'!$B$24),ISNUMBER('Inputs'!$B$28)),(('Results'!C7*(0.5*((('Inputs'!$B$33+'Inputs'!$B$21)+'Inputs'!$B$9)/SQRT((('Inputs'!$B$33+'Inputs'!$B$21)+'Inputs'!$B$9)^2+('Inputs'!$B$8/2)^2)-(('Inputs'!$B$33+'Inputs'!$B$21))/SQRT((('Inputs'!$B$33+'Inputs'!$B$21))^2+('Inputs'!$B$8/2)^2)))-'Results'!B7*(0.5*((('Inputs'!$B$33+'Inputs'!$B$21+'Inputs'!$B$9+'Inputs'!$B$10)+'Inputs'!$B$7)/SQRT((('Inputs'!$B$33+'Inputs'!$B$21+'Inputs'!$B$9+'Inputs'!$B$10)+'Inputs'!$B$7)^2+('Inputs'!$B$6/2)^2)-(('Inputs'!$B$33+'Inputs'!$B$21+'Inputs'!$B$9+'Inputs'!$B$10))/SQRT((('Inputs'!$B$33+'Inputs'!$B$21+'Inputs'!$B$9+'Inputs'!$B$10))^2+('Inputs'!$B$6/2)^2))))*'Results'!$B$8*'Results'!$B$9),"")&gt;'Results'!C13,"Increase search limit","Crossing bracketed")))</x:f>
        <x:v>Crossing bracketed</x:v>
      </x:c>
      <x:c r="BB6" s="22"/>
      <x:c r="BC6" s="22" t="n">
        <x:f>0</x:f>
        <x:v>0</x:v>
      </x:c>
      <x:c r="BD6" s="22" t="n">
        <x:f>'Inputs'!$B$33</x:f>
        <x:v>40</x:v>
      </x:c>
      <x:c r="BE6" s="22" t="n">
        <x:f>(BC6+BD6)/2</x:f>
        <x:v>20</x:v>
      </x:c>
      <x:c r="BF6" s="22" t="n">
        <x:f>IF(AND(ISNUMBER('Results'!C7),ISNUMBER('Results'!B7),ISNUMBER('Results'!$B$8),ISNUMBER('Results'!$B$9),ISNUMBER('Inputs'!$B$6),ISNUMBER('Inputs'!$B$7),ISNUMBER('Inputs'!$B$8),ISNUMBER('Inputs'!$B$9),ISNUMBER('Inputs'!$B$10),ISNUMBER('Inputs'!$B$21),ISNUMBER('Inputs'!$B$24),ISNUMBER('Inputs'!$B$28)),((('Results'!C7*(1+'Inputs'!$B$24)*(0.5*(((BE6+'Inputs'!$B$21)+'Inputs'!$B$9)/SQRT(((BE6+'Inputs'!$B$21)+'Inputs'!$B$9)^2+('Inputs'!$B$8/2)^2)-((BE6+'Inputs'!$B$21))/SQRT(((BE6+'Inputs'!$B$21))^2+('Inputs'!$B$8/2)^2)))-'Results'!B7*(1-'Inputs'!$B$24)*(0.5*(((BE6+'Inputs'!$B$21+'Inputs'!$B$9+'Inputs'!$B$10)+'Inputs'!$B$7)/SQRT(((BE6+'Inputs'!$B$21+'Inputs'!$B$9+'Inputs'!$B$10)+'Inputs'!$B$7)^2+('Inputs'!$B$6/2)^2)-((BE6+'Inputs'!$B$21+'Inputs'!$B$9+'Inputs'!$B$10))/SQRT(((BE6+'Inputs'!$B$21+'Inputs'!$B$9+'Inputs'!$B$10))^2+('Inputs'!$B$6/2)^2))))*'Results'!$B$8*'Results'!$B$9)+'Inputs'!$B$28*ABS((('Results'!C7*(1+'Inputs'!$B$24)*(0.5*(((BE6+'Inputs'!$B$21)+'Inputs'!$B$9)/SQRT(((BE6+'Inputs'!$B$21)+'Inputs'!$B$9)^2+('Inputs'!$B$8/2)^2)-((BE6+'Inputs'!$B$21))/SQRT(((BE6+'Inputs'!$B$21))^2+('Inputs'!$B$8/2)^2)))-'Results'!B7*(1-'Inputs'!$B$24)*(0.5*(((BE6+'Inputs'!$B$21+'Inputs'!$B$9+'Inputs'!$B$10)+'Inputs'!$B$7)/SQRT(((BE6+'Inputs'!$B$21+'Inputs'!$B$9+'Inputs'!$B$10)+'Inputs'!$B$7)^2+('Inputs'!$B$6/2)^2)-((BE6+'Inputs'!$B$21+'Inputs'!$B$9+'Inputs'!$B$10))/SQRT(((BE6+'Inputs'!$B$21+'Inputs'!$B$9+'Inputs'!$B$10))^2+('Inputs'!$B$6/2)^2))))*'Results'!$B$8*'Results'!$B$9))),"")</x:f>
        <x:v>4.384743457745148</x:v>
      </x:c>
      <x:c r="BG6" s="26" t="str">
        <x:f>IF('Results'!$B$6&lt;&gt;"Inputs accepted","Not evaluated",IF(IF(AND(ISNUMBER('Results'!C7),ISNUMBER('Results'!B7),ISNUMBER('Results'!$B$8),ISNUMBER('Results'!$B$9),ISNUMBER('Inputs'!$B$6),ISNUMBER('Inputs'!$B$7),ISNUMBER('Inputs'!$B$8),ISNUMBER('Inputs'!$B$9),ISNUMBER('Inputs'!$B$10),ISNUMBER('Inputs'!$B$21),ISNUMBER('Inputs'!$B$24),ISNUMBER('Inputs'!$B$28)),((('Results'!C7*(1+'Inputs'!$B$24)*(0.5*(((0+'Inputs'!$B$21)+'Inputs'!$B$9)/SQRT(((0+'Inputs'!$B$21)+'Inputs'!$B$9)^2+('Inputs'!$B$8/2)^2)-((0+'Inputs'!$B$21))/SQRT(((0+'Inputs'!$B$21))^2+('Inputs'!$B$8/2)^2)))-'Results'!B7*(1-'Inputs'!$B$24)*(0.5*(((0+'Inputs'!$B$21+'Inputs'!$B$9+'Inputs'!$B$10)+'Inputs'!$B$7)/SQRT(((0+'Inputs'!$B$21+'Inputs'!$B$9+'Inputs'!$B$10)+'Inputs'!$B$7)^2+('Inputs'!$B$6/2)^2)-((0+'Inputs'!$B$21+'Inputs'!$B$9+'Inputs'!$B$10))/SQRT(((0+'Inputs'!$B$21+'Inputs'!$B$9+'Inputs'!$B$10))^2+('Inputs'!$B$6/2)^2))))*'Results'!$B$8*'Results'!$B$9)+'Inputs'!$B$28*ABS((('Results'!C7*(1+'Inputs'!$B$24)*(0.5*(((0+'Inputs'!$B$21)+'Inputs'!$B$9)/SQRT(((0+'Inputs'!$B$21)+'Inputs'!$B$9)^2+('Inputs'!$B$8/2)^2)-((0+'Inputs'!$B$21))/SQRT(((0+'Inputs'!$B$21))^2+('Inputs'!$B$8/2)^2)))-'Results'!B7*(1-'Inputs'!$B$24)*(0.5*(((0+'Inputs'!$B$21+'Inputs'!$B$9+'Inputs'!$B$10)+'Inputs'!$B$7)/SQRT(((0+'Inputs'!$B$21+'Inputs'!$B$9+'Inputs'!$B$10)+'Inputs'!$B$7)^2+('Inputs'!$B$6/2)^2)-((0+'Inputs'!$B$21+'Inputs'!$B$9+'Inputs'!$B$10))/SQRT(((0+'Inputs'!$B$21+'Inputs'!$B$9+'Inputs'!$B$10))^2+('Inputs'!$B$6/2)^2))))*'Results'!$B$8*'Results'!$B$9))),"")&lt;'Results'!C14,"Cannot switch at contact",IF(IF(AND(ISNUMBER('Results'!C7),ISNUMBER('Results'!B7),ISNUMBER('Results'!$B$8),ISNUMBER('Results'!$B$9),ISNUMBER('Inputs'!$B$6),ISNUMBER('Inputs'!$B$7),ISNUMBER('Inputs'!$B$8),ISNUMBER('Inputs'!$B$9),ISNUMBER('Inputs'!$B$10),ISNUMBER('Inputs'!$B$21),ISNUMBER('Inputs'!$B$24),ISNUMBER('Inputs'!$B$28)),((('Results'!C7*(1+'Inputs'!$B$24)*(0.5*((('Inputs'!$B$33+'Inputs'!$B$21)+'Inputs'!$B$9)/SQRT((('Inputs'!$B$33+'Inputs'!$B$21)+'Inputs'!$B$9)^2+('Inputs'!$B$8/2)^2)-(('Inputs'!$B$33+'Inputs'!$B$21))/SQRT((('Inputs'!$B$33+'Inputs'!$B$21))^2+('Inputs'!$B$8/2)^2)))-'Results'!B7*(1-'Inputs'!$B$24)*(0.5*((('Inputs'!$B$33+'Inputs'!$B$21+'Inputs'!$B$9+'Inputs'!$B$10)+'Inputs'!$B$7)/SQRT((('Inputs'!$B$33+'Inputs'!$B$21+'Inputs'!$B$9+'Inputs'!$B$10)+'Inputs'!$B$7)^2+('Inputs'!$B$6/2)^2)-(('Inputs'!$B$33+'Inputs'!$B$21+'Inputs'!$B$9+'Inputs'!$B$10))/SQRT((('Inputs'!$B$33+'Inputs'!$B$21+'Inputs'!$B$9+'Inputs'!$B$10))^2+('Inputs'!$B$6/2)^2))))*'Results'!$B$8*'Results'!$B$9)+'Inputs'!$B$28*ABS((('Results'!C7*(1+'Inputs'!$B$24)*(0.5*((('Inputs'!$B$33+'Inputs'!$B$21)+'Inputs'!$B$9)/SQRT((('Inputs'!$B$33+'Inputs'!$B$21)+'Inputs'!$B$9)^2+('Inputs'!$B$8/2)^2)-(('Inputs'!$B$33+'Inputs'!$B$21))/SQRT((('Inputs'!$B$33+'Inputs'!$B$21))^2+('Inputs'!$B$8/2)^2)))-'Results'!B7*(1-'Inputs'!$B$24)*(0.5*((('Inputs'!$B$33+'Inputs'!$B$21+'Inputs'!$B$9+'Inputs'!$B$10)+'Inputs'!$B$7)/SQRT((('Inputs'!$B$33+'Inputs'!$B$21+'Inputs'!$B$9+'Inputs'!$B$10)+'Inputs'!$B$7)^2+('Inputs'!$B$6/2)^2)-(('Inputs'!$B$33+'Inputs'!$B$21+'Inputs'!$B$9+'Inputs'!$B$10))/SQRT((('Inputs'!$B$33+'Inputs'!$B$21+'Inputs'!$B$9+'Inputs'!$B$10))^2+('Inputs'!$B$6/2)^2))))*'Results'!$B$8*'Results'!$B$9))),"")&gt;'Results'!C14,"Increase search limit","Crossing bracketed")))</x:f>
        <x:v>Crossing bracketed</x:v>
      </x:c>
      <x:c r="BH6" s="22"/>
    </x:row>
    <x:row r="7" ht="22" customHeight="1">
      <x:c r="A7" s="22" t="n">
        <x:f>IF(D6&gt;='Results'!B10,C6,A6)</x:f>
        <x:v>0</x:v>
      </x:c>
      <x:c r="B7" s="22" t="n">
        <x:f>IF(D6&gt;='Results'!B10,B6,C6)</x:f>
        <x:v>20</x:v>
      </x:c>
      <x:c r="C7" s="22" t="n">
        <x:f>(A7+B7)/2</x:f>
        <x:v>10</x:v>
      </x:c>
      <x:c r="D7" s="22" t="n">
        <x:f>IF(AND(ISNUMBER('Results'!B7),ISNUMBER('Results'!C7),ISNUMBER('Results'!$B$8),ISNUMBER('Results'!$B$9),ISNUMBER('Inputs'!$B$6),ISNUMBER('Inputs'!$B$7),ISNUMBER('Inputs'!$B$8),ISNUMBER('Inputs'!$B$9),ISNUMBER('Inputs'!$B$10),ISNUMBER('Inputs'!$B$21),ISNUMBER('Inputs'!$B$24),ISNUMBER('Inputs'!$B$28)),(('Results'!B7*(0.5*(((C7+'Inputs'!$B$21)+'Inputs'!$B$7)/SQRT(((C7+'Inputs'!$B$21)+'Inputs'!$B$7)^2+('Inputs'!$B$6/2)^2)-((C7+'Inputs'!$B$21))/SQRT(((C7+'Inputs'!$B$21))^2+('Inputs'!$B$6/2)^2)))-'Results'!C7*(0.5*(((C7+'Inputs'!$B$21+'Inputs'!$B$7+'Inputs'!$B$10)+'Inputs'!$B$9)/SQRT(((C7+'Inputs'!$B$21+'Inputs'!$B$7+'Inputs'!$B$10)+'Inputs'!$B$9)^2+('Inputs'!$B$8/2)^2)-((C7+'Inputs'!$B$21+'Inputs'!$B$7+'Inputs'!$B$10))/SQRT(((C7+'Inputs'!$B$21+'Inputs'!$B$7+'Inputs'!$B$10))^2+('Inputs'!$B$8/2)^2))))*'Results'!$B$8*'Results'!$B$9),"")</x:f>
        <x:v>38.688172306608806</x:v>
      </x:c>
      <x:c r="E7" s="22"/>
      <x:c r="F7" s="22"/>
      <x:c r="G7" s="22" t="n">
        <x:f>IF(J6&gt;='Results'!B12,I6,G6)</x:f>
        <x:v>0</x:v>
      </x:c>
      <x:c r="H7" s="22" t="n">
        <x:f>IF(J6&gt;='Results'!B12,H6,I6)</x:f>
        <x:v>20</x:v>
      </x:c>
      <x:c r="I7" s="22" t="n">
        <x:f>(G7+H7)/2</x:f>
        <x:v>10</x:v>
      </x:c>
      <x:c r="J7" s="22" t="n">
        <x:f>IF(AND(ISNUMBER('Results'!B7),ISNUMBER('Results'!C7),ISNUMBER('Results'!$B$8),ISNUMBER('Results'!$B$9),ISNUMBER('Inputs'!$B$6),ISNUMBER('Inputs'!$B$7),ISNUMBER('Inputs'!$B$8),ISNUMBER('Inputs'!$B$9),ISNUMBER('Inputs'!$B$10),ISNUMBER('Inputs'!$B$21),ISNUMBER('Inputs'!$B$24),ISNUMBER('Inputs'!$B$28)),((('Results'!B7*(1-'Inputs'!$B$24)*(0.5*(((I7+'Inputs'!$B$21)+'Inputs'!$B$7)/SQRT(((I7+'Inputs'!$B$21)+'Inputs'!$B$7)^2+('Inputs'!$B$6/2)^2)-((I7+'Inputs'!$B$21))/SQRT(((I7+'Inputs'!$B$21))^2+('Inputs'!$B$6/2)^2)))-'Results'!C7*(1+'Inputs'!$B$24)*(0.5*(((I7+'Inputs'!$B$21+'Inputs'!$B$7+'Inputs'!$B$10)+'Inputs'!$B$9)/SQRT(((I7+'Inputs'!$B$21+'Inputs'!$B$7+'Inputs'!$B$10)+'Inputs'!$B$9)^2+('Inputs'!$B$8/2)^2)-((I7+'Inputs'!$B$21+'Inputs'!$B$7+'Inputs'!$B$10))/SQRT(((I7+'Inputs'!$B$21+'Inputs'!$B$7+'Inputs'!$B$10))^2+('Inputs'!$B$8/2)^2))))*'Results'!$B$8*'Results'!$B$9)-'Inputs'!$B$28*ABS((('Results'!B7*(1-'Inputs'!$B$24)*(0.5*(((I7+'Inputs'!$B$21)+'Inputs'!$B$7)/SQRT(((I7+'Inputs'!$B$21)+'Inputs'!$B$7)^2+('Inputs'!$B$6/2)^2)-((I7+'Inputs'!$B$21))/SQRT(((I7+'Inputs'!$B$21))^2+('Inputs'!$B$6/2)^2)))-'Results'!C7*(1+'Inputs'!$B$24)*(0.5*(((I7+'Inputs'!$B$21+'Inputs'!$B$7+'Inputs'!$B$10)+'Inputs'!$B$9)/SQRT(((I7+'Inputs'!$B$21+'Inputs'!$B$7+'Inputs'!$B$10)+'Inputs'!$B$9)^2+('Inputs'!$B$8/2)^2)-((I7+'Inputs'!$B$21+'Inputs'!$B$7+'Inputs'!$B$10))/SQRT(((I7+'Inputs'!$B$21+'Inputs'!$B$7+'Inputs'!$B$10))^2+('Inputs'!$B$8/2)^2))))*'Results'!$B$8*'Results'!$B$9))),"")</x:f>
        <x:v>35.196023406021006</x:v>
      </x:c>
      <x:c r="K7" s="22"/>
      <x:c r="L7" s="22"/>
      <x:c r="M7" s="22" t="n">
        <x:f>IF(P6&gt;='Results'!B11,O6,M6)</x:f>
        <x:v>0</x:v>
      </x:c>
      <x:c r="N7" s="22" t="n">
        <x:f>IF(P6&gt;='Results'!B11,N6,O6)</x:f>
        <x:v>20</x:v>
      </x:c>
      <x:c r="O7" s="22" t="n">
        <x:f>(M7+N7)/2</x:f>
        <x:v>10</x:v>
      </x:c>
      <x:c r="P7" s="22" t="n">
        <x:f>IF(AND(ISNUMBER('Results'!B7),ISNUMBER('Results'!C7),ISNUMBER('Results'!$B$8),ISNUMBER('Results'!$B$9),ISNUMBER('Inputs'!$B$6),ISNUMBER('Inputs'!$B$7),ISNUMBER('Inputs'!$B$8),ISNUMBER('Inputs'!$B$9),ISNUMBER('Inputs'!$B$10),ISNUMBER('Inputs'!$B$21),ISNUMBER('Inputs'!$B$24),ISNUMBER('Inputs'!$B$28)),((('Results'!B7*(1+'Inputs'!$B$24)*(0.5*(((O7+'Inputs'!$B$21)+'Inputs'!$B$7)/SQRT(((O7+'Inputs'!$B$21)+'Inputs'!$B$7)^2+('Inputs'!$B$6/2)^2)-((O7+'Inputs'!$B$21))/SQRT(((O7+'Inputs'!$B$21))^2+('Inputs'!$B$6/2)^2)))-'Results'!C7*(1-'Inputs'!$B$24)*(0.5*(((O7+'Inputs'!$B$21+'Inputs'!$B$7+'Inputs'!$B$10)+'Inputs'!$B$9)/SQRT(((O7+'Inputs'!$B$21+'Inputs'!$B$7+'Inputs'!$B$10)+'Inputs'!$B$9)^2+('Inputs'!$B$8/2)^2)-((O7+'Inputs'!$B$21+'Inputs'!$B$7+'Inputs'!$B$10))/SQRT(((O7+'Inputs'!$B$21+'Inputs'!$B$7+'Inputs'!$B$10))^2+('Inputs'!$B$8/2)^2))))*'Results'!$B$8*'Results'!$B$9)+'Inputs'!$B$28*ABS((('Results'!B7*(1+'Inputs'!$B$24)*(0.5*(((O7+'Inputs'!$B$21)+'Inputs'!$B$7)/SQRT(((O7+'Inputs'!$B$21)+'Inputs'!$B$7)^2+('Inputs'!$B$6/2)^2)-((O7+'Inputs'!$B$21))/SQRT(((O7+'Inputs'!$B$21))^2+('Inputs'!$B$6/2)^2)))-'Results'!C7*(1-'Inputs'!$B$24)*(0.5*(((O7+'Inputs'!$B$21+'Inputs'!$B$7+'Inputs'!$B$10)+'Inputs'!$B$9)/SQRT(((O7+'Inputs'!$B$21+'Inputs'!$B$7+'Inputs'!$B$10)+'Inputs'!$B$9)^2+('Inputs'!$B$8/2)^2)-((O7+'Inputs'!$B$21+'Inputs'!$B$7+'Inputs'!$B$10))/SQRT(((O7+'Inputs'!$B$21+'Inputs'!$B$7+'Inputs'!$B$10))^2+('Inputs'!$B$8/2)^2))))*'Results'!$B$8*'Results'!$B$9))),"")</x:f>
        <x:v>42.344293868802644</x:v>
      </x:c>
      <x:c r="Q7" s="22"/>
      <x:c r="R7" s="22"/>
      <x:c r="S7" s="22" t="n">
        <x:f>IF(V6&gt;='Results'!B13,U6,S6)</x:f>
        <x:v>0</x:v>
      </x:c>
      <x:c r="T7" s="22" t="n">
        <x:f>IF(V6&gt;='Results'!B13,T6,U6)</x:f>
        <x:v>20</x:v>
      </x:c>
      <x:c r="U7" s="22" t="n">
        <x:f>(S7+T7)/2</x:f>
        <x:v>10</x:v>
      </x:c>
      <x:c r="V7" s="22" t="n">
        <x:f>IF(AND(ISNUMBER('Results'!B7),ISNUMBER('Results'!C7),ISNUMBER('Results'!$B$8),ISNUMBER('Results'!$B$9),ISNUMBER('Inputs'!$B$6),ISNUMBER('Inputs'!$B$7),ISNUMBER('Inputs'!$B$8),ISNUMBER('Inputs'!$B$9),ISNUMBER('Inputs'!$B$10),ISNUMBER('Inputs'!$B$21),ISNUMBER('Inputs'!$B$24),ISNUMBER('Inputs'!$B$28)),(('Results'!B7*(0.5*(((U7+'Inputs'!$B$21)+'Inputs'!$B$7)/SQRT(((U7+'Inputs'!$B$21)+'Inputs'!$B$7)^2+('Inputs'!$B$6/2)^2)-((U7+'Inputs'!$B$21))/SQRT(((U7+'Inputs'!$B$21))^2+('Inputs'!$B$6/2)^2)))-'Results'!C7*(0.5*(((U7+'Inputs'!$B$21+'Inputs'!$B$7+'Inputs'!$B$10)+'Inputs'!$B$9)/SQRT(((U7+'Inputs'!$B$21+'Inputs'!$B$7+'Inputs'!$B$10)+'Inputs'!$B$9)^2+('Inputs'!$B$8/2)^2)-((U7+'Inputs'!$B$21+'Inputs'!$B$7+'Inputs'!$B$10))/SQRT(((U7+'Inputs'!$B$21+'Inputs'!$B$7+'Inputs'!$B$10))^2+('Inputs'!$B$8/2)^2))))*'Results'!$B$8*'Results'!$B$9),"")</x:f>
        <x:v>38.688172306608806</x:v>
      </x:c>
      <x:c r="W7" s="22"/>
      <x:c r="X7" s="22"/>
      <x:c r="Y7" s="22" t="n">
        <x:f>IF(AB6&gt;='Results'!B14,AA6,Y6)</x:f>
        <x:v>0</x:v>
      </x:c>
      <x:c r="Z7" s="22" t="n">
        <x:f>IF(AB6&gt;='Results'!B14,Z6,AA6)</x:f>
        <x:v>20</x:v>
      </x:c>
      <x:c r="AA7" s="22" t="n">
        <x:f>(Y7+Z7)/2</x:f>
        <x:v>10</x:v>
      </x:c>
      <x:c r="AB7" s="22" t="n">
        <x:f>IF(AND(ISNUMBER('Results'!B7),ISNUMBER('Results'!C7),ISNUMBER('Results'!$B$8),ISNUMBER('Results'!$B$9),ISNUMBER('Inputs'!$B$6),ISNUMBER('Inputs'!$B$7),ISNUMBER('Inputs'!$B$8),ISNUMBER('Inputs'!$B$9),ISNUMBER('Inputs'!$B$10),ISNUMBER('Inputs'!$B$21),ISNUMBER('Inputs'!$B$24),ISNUMBER('Inputs'!$B$28)),((('Results'!B7*(1+'Inputs'!$B$24)*(0.5*(((AA7+'Inputs'!$B$21)+'Inputs'!$B$7)/SQRT(((AA7+'Inputs'!$B$21)+'Inputs'!$B$7)^2+('Inputs'!$B$6/2)^2)-((AA7+'Inputs'!$B$21))/SQRT(((AA7+'Inputs'!$B$21))^2+('Inputs'!$B$6/2)^2)))-'Results'!C7*(1-'Inputs'!$B$24)*(0.5*(((AA7+'Inputs'!$B$21+'Inputs'!$B$7+'Inputs'!$B$10)+'Inputs'!$B$9)/SQRT(((AA7+'Inputs'!$B$21+'Inputs'!$B$7+'Inputs'!$B$10)+'Inputs'!$B$9)^2+('Inputs'!$B$8/2)^2)-((AA7+'Inputs'!$B$21+'Inputs'!$B$7+'Inputs'!$B$10))/SQRT(((AA7+'Inputs'!$B$21+'Inputs'!$B$7+'Inputs'!$B$10))^2+('Inputs'!$B$8/2)^2))))*'Results'!$B$8*'Results'!$B$9)+'Inputs'!$B$28*ABS((('Results'!B7*(1+'Inputs'!$B$24)*(0.5*(((AA7+'Inputs'!$B$21)+'Inputs'!$B$7)/SQRT(((AA7+'Inputs'!$B$21)+'Inputs'!$B$7)^2+('Inputs'!$B$6/2)^2)-((AA7+'Inputs'!$B$21))/SQRT(((AA7+'Inputs'!$B$21))^2+('Inputs'!$B$6/2)^2)))-'Results'!C7*(1-'Inputs'!$B$24)*(0.5*(((AA7+'Inputs'!$B$21+'Inputs'!$B$7+'Inputs'!$B$10)+'Inputs'!$B$9)/SQRT(((AA7+'Inputs'!$B$21+'Inputs'!$B$7+'Inputs'!$B$10)+'Inputs'!$B$9)^2+('Inputs'!$B$8/2)^2)-((AA7+'Inputs'!$B$21+'Inputs'!$B$7+'Inputs'!$B$10))/SQRT(((AA7+'Inputs'!$B$21+'Inputs'!$B$7+'Inputs'!$B$10))^2+('Inputs'!$B$8/2)^2))))*'Results'!$B$8*'Results'!$B$9))),"")</x:f>
        <x:v>42.344293868802644</x:v>
      </x:c>
      <x:c r="AC7" s="22"/>
      <x:c r="AD7" s="22"/>
      <x:c r="AE7" s="22" t="n">
        <x:f>IF(AH6&gt;='Results'!C10,AG6,AE6)</x:f>
        <x:v>0</x:v>
      </x:c>
      <x:c r="AF7" s="22" t="n">
        <x:f>IF(AH6&gt;='Results'!C10,AF6,AG6)</x:f>
        <x:v>20</x:v>
      </x:c>
      <x:c r="AG7" s="22" t="n">
        <x:f>(AE7+AF7)/2</x:f>
        <x:v>10</x:v>
      </x:c>
      <x:c r="AH7" s="22" t="n">
        <x:f>IF(AND(ISNUMBER('Results'!C7),ISNUMBER('Results'!B7),ISNUMBER('Results'!$B$8),ISNUMBER('Results'!$B$9),ISNUMBER('Inputs'!$B$6),ISNUMBER('Inputs'!$B$7),ISNUMBER('Inputs'!$B$8),ISNUMBER('Inputs'!$B$9),ISNUMBER('Inputs'!$B$10),ISNUMBER('Inputs'!$B$21),ISNUMBER('Inputs'!$B$24),ISNUMBER('Inputs'!$B$28)),(('Results'!C7*(0.5*(((AG7+'Inputs'!$B$21)+'Inputs'!$B$9)/SQRT(((AG7+'Inputs'!$B$21)+'Inputs'!$B$9)^2+('Inputs'!$B$8/2)^2)-((AG7+'Inputs'!$B$21))/SQRT(((AG7+'Inputs'!$B$21))^2+('Inputs'!$B$8/2)^2)))-'Results'!B7*(0.5*(((AG7+'Inputs'!$B$21+'Inputs'!$B$9+'Inputs'!$B$10)+'Inputs'!$B$7)/SQRT(((AG7+'Inputs'!$B$21+'Inputs'!$B$9+'Inputs'!$B$10)+'Inputs'!$B$7)^2+('Inputs'!$B$6/2)^2)-((AG7+'Inputs'!$B$21+'Inputs'!$B$9+'Inputs'!$B$10))/SQRT(((AG7+'Inputs'!$B$21+'Inputs'!$B$9+'Inputs'!$B$10))^2+('Inputs'!$B$6/2)^2))))*'Results'!$B$8*'Results'!$B$9),"")</x:f>
        <x:v>37.03960933167161</x:v>
      </x:c>
      <x:c r="AI7" s="22"/>
      <x:c r="AJ7" s="22"/>
      <x:c r="AK7" s="22" t="n">
        <x:f>IF(AN6&gt;='Results'!C12,AM6,AK6)</x:f>
        <x:v>0</x:v>
      </x:c>
      <x:c r="AL7" s="22" t="n">
        <x:f>IF(AN6&gt;='Results'!C12,AL6,AM6)</x:f>
        <x:v>20</x:v>
      </x:c>
      <x:c r="AM7" s="22" t="n">
        <x:f>(AK7+AL7)/2</x:f>
        <x:v>10</x:v>
      </x:c>
      <x:c r="AN7" s="22" t="n">
        <x:f>IF(AND(ISNUMBER('Results'!C7),ISNUMBER('Results'!B7),ISNUMBER('Results'!$B$8),ISNUMBER('Results'!$B$9),ISNUMBER('Inputs'!$B$6),ISNUMBER('Inputs'!$B$7),ISNUMBER('Inputs'!$B$8),ISNUMBER('Inputs'!$B$9),ISNUMBER('Inputs'!$B$10),ISNUMBER('Inputs'!$B$21),ISNUMBER('Inputs'!$B$24),ISNUMBER('Inputs'!$B$28)),((('Results'!C7*(1-'Inputs'!$B$24)*(0.5*(((AM7+'Inputs'!$B$21)+'Inputs'!$B$9)/SQRT(((AM7+'Inputs'!$B$21)+'Inputs'!$B$9)^2+('Inputs'!$B$8/2)^2)-((AM7+'Inputs'!$B$21))/SQRT(((AM7+'Inputs'!$B$21))^2+('Inputs'!$B$8/2)^2)))-'Results'!B7*(1+'Inputs'!$B$24)*(0.5*(((AM7+'Inputs'!$B$21+'Inputs'!$B$9+'Inputs'!$B$10)+'Inputs'!$B$7)/SQRT(((AM7+'Inputs'!$B$21+'Inputs'!$B$9+'Inputs'!$B$10)+'Inputs'!$B$7)^2+('Inputs'!$B$6/2)^2)-((AM7+'Inputs'!$B$21+'Inputs'!$B$9+'Inputs'!$B$10))/SQRT(((AM7+'Inputs'!$B$21+'Inputs'!$B$9+'Inputs'!$B$10))^2+('Inputs'!$B$6/2)^2))))*'Results'!$B$8*'Results'!$B$9)-'Inputs'!$B$28*ABS((('Results'!C7*(1-'Inputs'!$B$24)*(0.5*(((AM7+'Inputs'!$B$21)+'Inputs'!$B$9)/SQRT(((AM7+'Inputs'!$B$21)+'Inputs'!$B$9)^2+('Inputs'!$B$8/2)^2)-((AM7+'Inputs'!$B$21))/SQRT(((AM7+'Inputs'!$B$21))^2+('Inputs'!$B$8/2)^2)))-'Results'!B7*(1+'Inputs'!$B$24)*(0.5*(((AM7+'Inputs'!$B$21+'Inputs'!$B$9+'Inputs'!$B$10)+'Inputs'!$B$7)/SQRT(((AM7+'Inputs'!$B$21+'Inputs'!$B$9+'Inputs'!$B$10)+'Inputs'!$B$7)^2+('Inputs'!$B$6/2)^2)-((AM7+'Inputs'!$B$21+'Inputs'!$B$9+'Inputs'!$B$10))/SQRT(((AM7+'Inputs'!$B$21+'Inputs'!$B$9+'Inputs'!$B$10))^2+('Inputs'!$B$6/2)^2))))*'Results'!$B$8*'Results'!$B$9))),"")</x:f>
        <x:v>33.64442219448851</x:v>
      </x:c>
      <x:c r="AO7" s="22"/>
      <x:c r="AP7" s="22"/>
      <x:c r="AQ7" s="22" t="n">
        <x:f>IF(AT6&gt;='Results'!C11,AS6,AQ6)</x:f>
        <x:v>0</x:v>
      </x:c>
      <x:c r="AR7" s="22" t="n">
        <x:f>IF(AT6&gt;='Results'!C11,AR6,AS6)</x:f>
        <x:v>20</x:v>
      </x:c>
      <x:c r="AS7" s="22" t="n">
        <x:f>(AQ7+AR7)/2</x:f>
        <x:v>10</x:v>
      </x:c>
      <x:c r="AT7" s="22" t="n">
        <x:f>IF(AND(ISNUMBER('Results'!C7),ISNUMBER('Results'!B7),ISNUMBER('Results'!$B$8),ISNUMBER('Results'!$B$9),ISNUMBER('Inputs'!$B$6),ISNUMBER('Inputs'!$B$7),ISNUMBER('Inputs'!$B$8),ISNUMBER('Inputs'!$B$9),ISNUMBER('Inputs'!$B$10),ISNUMBER('Inputs'!$B$21),ISNUMBER('Inputs'!$B$24),ISNUMBER('Inputs'!$B$28)),((('Results'!C7*(1+'Inputs'!$B$24)*(0.5*(((AS7+'Inputs'!$B$21)+'Inputs'!$B$9)/SQRT(((AS7+'Inputs'!$B$21)+'Inputs'!$B$9)^2+('Inputs'!$B$8/2)^2)-((AS7+'Inputs'!$B$21))/SQRT(((AS7+'Inputs'!$B$21))^2+('Inputs'!$B$8/2)^2)))-'Results'!B7*(1-'Inputs'!$B$24)*(0.5*(((AS7+'Inputs'!$B$21+'Inputs'!$B$9+'Inputs'!$B$10)+'Inputs'!$B$7)/SQRT(((AS7+'Inputs'!$B$21+'Inputs'!$B$9+'Inputs'!$B$10)+'Inputs'!$B$7)^2+('Inputs'!$B$6/2)^2)-((AS7+'Inputs'!$B$21+'Inputs'!$B$9+'Inputs'!$B$10))/SQRT(((AS7+'Inputs'!$B$21+'Inputs'!$B$9+'Inputs'!$B$10))^2+('Inputs'!$B$6/2)^2))))*'Results'!$B$8*'Results'!$B$9)+'Inputs'!$B$28*ABS((('Results'!C7*(1+'Inputs'!$B$24)*(0.5*(((AS7+'Inputs'!$B$21)+'Inputs'!$B$9)/SQRT(((AS7+'Inputs'!$B$21)+'Inputs'!$B$9)^2+('Inputs'!$B$8/2)^2)-((AS7+'Inputs'!$B$21))/SQRT(((AS7+'Inputs'!$B$21))^2+('Inputs'!$B$8/2)^2)))-'Results'!B7*(1-'Inputs'!$B$24)*(0.5*(((AS7+'Inputs'!$B$21+'Inputs'!$B$9+'Inputs'!$B$10)+'Inputs'!$B$7)/SQRT(((AS7+'Inputs'!$B$21+'Inputs'!$B$9+'Inputs'!$B$10)+'Inputs'!$B$7)^2+('Inputs'!$B$6/2)^2)-((AS7+'Inputs'!$B$21+'Inputs'!$B$9+'Inputs'!$B$10))/SQRT(((AS7+'Inputs'!$B$21+'Inputs'!$B$9+'Inputs'!$B$10))^2+('Inputs'!$B$6/2)^2))))*'Results'!$B$8*'Results'!$B$9))),"")</x:f>
        <x:v>40.597239276286224</x:v>
      </x:c>
      <x:c r="AU7" s="22"/>
      <x:c r="AV7" s="22"/>
      <x:c r="AW7" s="22" t="n">
        <x:f>IF(AZ6&gt;='Results'!C13,AY6,AW6)</x:f>
        <x:v>0</x:v>
      </x:c>
      <x:c r="AX7" s="22" t="n">
        <x:f>IF(AZ6&gt;='Results'!C13,AX6,AY6)</x:f>
        <x:v>20</x:v>
      </x:c>
      <x:c r="AY7" s="22" t="n">
        <x:f>(AW7+AX7)/2</x:f>
        <x:v>10</x:v>
      </x:c>
      <x:c r="AZ7" s="22" t="n">
        <x:f>IF(AND(ISNUMBER('Results'!C7),ISNUMBER('Results'!B7),ISNUMBER('Results'!$B$8),ISNUMBER('Results'!$B$9),ISNUMBER('Inputs'!$B$6),ISNUMBER('Inputs'!$B$7),ISNUMBER('Inputs'!$B$8),ISNUMBER('Inputs'!$B$9),ISNUMBER('Inputs'!$B$10),ISNUMBER('Inputs'!$B$21),ISNUMBER('Inputs'!$B$24),ISNUMBER('Inputs'!$B$28)),(('Results'!C7*(0.5*(((AY7+'Inputs'!$B$21)+'Inputs'!$B$9)/SQRT(((AY7+'Inputs'!$B$21)+'Inputs'!$B$9)^2+('Inputs'!$B$8/2)^2)-((AY7+'Inputs'!$B$21))/SQRT(((AY7+'Inputs'!$B$21))^2+('Inputs'!$B$8/2)^2)))-'Results'!B7*(0.5*(((AY7+'Inputs'!$B$21+'Inputs'!$B$9+'Inputs'!$B$10)+'Inputs'!$B$7)/SQRT(((AY7+'Inputs'!$B$21+'Inputs'!$B$9+'Inputs'!$B$10)+'Inputs'!$B$7)^2+('Inputs'!$B$6/2)^2)-((AY7+'Inputs'!$B$21+'Inputs'!$B$9+'Inputs'!$B$10))/SQRT(((AY7+'Inputs'!$B$21+'Inputs'!$B$9+'Inputs'!$B$10))^2+('Inputs'!$B$6/2)^2))))*'Results'!$B$8*'Results'!$B$9),"")</x:f>
        <x:v>37.03960933167161</x:v>
      </x:c>
      <x:c r="BA7" s="22"/>
      <x:c r="BB7" s="22"/>
      <x:c r="BC7" s="22" t="n">
        <x:f>IF(BF6&gt;='Results'!C14,BE6,BC6)</x:f>
        <x:v>0</x:v>
      </x:c>
      <x:c r="BD7" s="22" t="n">
        <x:f>IF(BF6&gt;='Results'!C14,BD6,BE6)</x:f>
        <x:v>20</x:v>
      </x:c>
      <x:c r="BE7" s="22" t="n">
        <x:f>(BC7+BD7)/2</x:f>
        <x:v>10</x:v>
      </x:c>
      <x:c r="BF7" s="22" t="n">
        <x:f>IF(AND(ISNUMBER('Results'!C7),ISNUMBER('Results'!B7),ISNUMBER('Results'!$B$8),ISNUMBER('Results'!$B$9),ISNUMBER('Inputs'!$B$6),ISNUMBER('Inputs'!$B$7),ISNUMBER('Inputs'!$B$8),ISNUMBER('Inputs'!$B$9),ISNUMBER('Inputs'!$B$10),ISNUMBER('Inputs'!$B$21),ISNUMBER('Inputs'!$B$24),ISNUMBER('Inputs'!$B$28)),((('Results'!C7*(1+'Inputs'!$B$24)*(0.5*(((BE7+'Inputs'!$B$21)+'Inputs'!$B$9)/SQRT(((BE7+'Inputs'!$B$21)+'Inputs'!$B$9)^2+('Inputs'!$B$8/2)^2)-((BE7+'Inputs'!$B$21))/SQRT(((BE7+'Inputs'!$B$21))^2+('Inputs'!$B$8/2)^2)))-'Results'!B7*(1-'Inputs'!$B$24)*(0.5*(((BE7+'Inputs'!$B$21+'Inputs'!$B$9+'Inputs'!$B$10)+'Inputs'!$B$7)/SQRT(((BE7+'Inputs'!$B$21+'Inputs'!$B$9+'Inputs'!$B$10)+'Inputs'!$B$7)^2+('Inputs'!$B$6/2)^2)-((BE7+'Inputs'!$B$21+'Inputs'!$B$9+'Inputs'!$B$10))/SQRT(((BE7+'Inputs'!$B$21+'Inputs'!$B$9+'Inputs'!$B$10))^2+('Inputs'!$B$6/2)^2))))*'Results'!$B$8*'Results'!$B$9)+'Inputs'!$B$28*ABS((('Results'!C7*(1+'Inputs'!$B$24)*(0.5*(((BE7+'Inputs'!$B$21)+'Inputs'!$B$9)/SQRT(((BE7+'Inputs'!$B$21)+'Inputs'!$B$9)^2+('Inputs'!$B$8/2)^2)-((BE7+'Inputs'!$B$21))/SQRT(((BE7+'Inputs'!$B$21))^2+('Inputs'!$B$8/2)^2)))-'Results'!B7*(1-'Inputs'!$B$24)*(0.5*(((BE7+'Inputs'!$B$21+'Inputs'!$B$9+'Inputs'!$B$10)+'Inputs'!$B$7)/SQRT(((BE7+'Inputs'!$B$21+'Inputs'!$B$9+'Inputs'!$B$10)+'Inputs'!$B$7)^2+('Inputs'!$B$6/2)^2)-((BE7+'Inputs'!$B$21+'Inputs'!$B$9+'Inputs'!$B$10))/SQRT(((BE7+'Inputs'!$B$21+'Inputs'!$B$9+'Inputs'!$B$10))^2+('Inputs'!$B$6/2)^2))))*'Results'!$B$8*'Results'!$B$9))),"")</x:f>
        <x:v>40.597239276286224</x:v>
      </x:c>
      <x:c r="BG7" s="22"/>
      <x:c r="BH7" s="22"/>
    </x:row>
    <x:row r="8" ht="22" customHeight="1">
      <x:c r="A8" s="22" t="n">
        <x:f>IF(D7&gt;='Results'!B10,C7,A7)</x:f>
        <x:v>0</x:v>
      </x:c>
      <x:c r="B8" s="22" t="n">
        <x:f>IF(D7&gt;='Results'!B10,B7,C7)</x:f>
        <x:v>10</x:v>
      </x:c>
      <x:c r="C8" s="22" t="n">
        <x:f>(A8+B8)/2</x:f>
        <x:v>5</x:v>
      </x:c>
      <x:c r="D8" s="22" t="n">
        <x:f>IF(AND(ISNUMBER('Results'!B7),ISNUMBER('Results'!C7),ISNUMBER('Results'!$B$8),ISNUMBER('Results'!$B$9),ISNUMBER('Inputs'!$B$6),ISNUMBER('Inputs'!$B$7),ISNUMBER('Inputs'!$B$8),ISNUMBER('Inputs'!$B$9),ISNUMBER('Inputs'!$B$10),ISNUMBER('Inputs'!$B$21),ISNUMBER('Inputs'!$B$24),ISNUMBER('Inputs'!$B$28)),(('Results'!B7*(0.5*(((C8+'Inputs'!$B$21)+'Inputs'!$B$7)/SQRT(((C8+'Inputs'!$B$21)+'Inputs'!$B$7)^2+('Inputs'!$B$6/2)^2)-((C8+'Inputs'!$B$21))/SQRT(((C8+'Inputs'!$B$21))^2+('Inputs'!$B$6/2)^2)))-'Results'!C7*(0.5*(((C8+'Inputs'!$B$21+'Inputs'!$B$7+'Inputs'!$B$10)+'Inputs'!$B$9)/SQRT(((C8+'Inputs'!$B$21+'Inputs'!$B$7+'Inputs'!$B$10)+'Inputs'!$B$9)^2+('Inputs'!$B$8/2)^2)-((C8+'Inputs'!$B$21+'Inputs'!$B$7+'Inputs'!$B$10))/SQRT(((C8+'Inputs'!$B$21+'Inputs'!$B$7+'Inputs'!$B$10))^2+('Inputs'!$B$8/2)^2))))*'Results'!$B$8*'Results'!$B$9),"")</x:f>
        <x:v>235.5971190401791</x:v>
      </x:c>
      <x:c r="E8" s="22"/>
      <x:c r="F8" s="22"/>
      <x:c r="G8" s="22" t="n">
        <x:f>IF(J7&gt;='Results'!B12,I7,G7)</x:f>
        <x:v>0</x:v>
      </x:c>
      <x:c r="H8" s="22" t="n">
        <x:f>IF(J7&gt;='Results'!B12,H7,I7)</x:f>
        <x:v>10</x:v>
      </x:c>
      <x:c r="I8" s="22" t="n">
        <x:f>(G8+H8)/2</x:f>
        <x:v>5</x:v>
      </x:c>
      <x:c r="J8" s="22" t="n">
        <x:f>IF(AND(ISNUMBER('Results'!B7),ISNUMBER('Results'!C7),ISNUMBER('Results'!$B$8),ISNUMBER('Results'!$B$9),ISNUMBER('Inputs'!$B$6),ISNUMBER('Inputs'!$B$7),ISNUMBER('Inputs'!$B$8),ISNUMBER('Inputs'!$B$9),ISNUMBER('Inputs'!$B$10),ISNUMBER('Inputs'!$B$21),ISNUMBER('Inputs'!$B$24),ISNUMBER('Inputs'!$B$28)),((('Results'!B7*(1-'Inputs'!$B$24)*(0.5*(((I8+'Inputs'!$B$21)+'Inputs'!$B$7)/SQRT(((I8+'Inputs'!$B$21)+'Inputs'!$B$7)^2+('Inputs'!$B$6/2)^2)-((I8+'Inputs'!$B$21))/SQRT(((I8+'Inputs'!$B$21))^2+('Inputs'!$B$6/2)^2)))-'Results'!C7*(1+'Inputs'!$B$24)*(0.5*(((I8+'Inputs'!$B$21+'Inputs'!$B$7+'Inputs'!$B$10)+'Inputs'!$B$9)/SQRT(((I8+'Inputs'!$B$21+'Inputs'!$B$7+'Inputs'!$B$10)+'Inputs'!$B$9)^2+('Inputs'!$B$8/2)^2)-((I8+'Inputs'!$B$21+'Inputs'!$B$7+'Inputs'!$B$10))/SQRT(((I8+'Inputs'!$B$21+'Inputs'!$B$7+'Inputs'!$B$10))^2+('Inputs'!$B$8/2)^2))))*'Results'!$B$8*'Results'!$B$9)-'Inputs'!$B$28*ABS((('Results'!B7*(1-'Inputs'!$B$24)*(0.5*(((I8+'Inputs'!$B$21)+'Inputs'!$B$7)/SQRT(((I8+'Inputs'!$B$21)+'Inputs'!$B$7)^2+('Inputs'!$B$6/2)^2)-((I8+'Inputs'!$B$21))/SQRT(((I8+'Inputs'!$B$21))^2+('Inputs'!$B$6/2)^2)))-'Results'!C7*(1+'Inputs'!$B$24)*(0.5*(((I8+'Inputs'!$B$21+'Inputs'!$B$7+'Inputs'!$B$10)+'Inputs'!$B$9)/SQRT(((I8+'Inputs'!$B$21+'Inputs'!$B$7+'Inputs'!$B$10)+'Inputs'!$B$9)^2+('Inputs'!$B$8/2)^2)-((I8+'Inputs'!$B$21+'Inputs'!$B$7+'Inputs'!$B$10))/SQRT(((I8+'Inputs'!$B$21+'Inputs'!$B$7+'Inputs'!$B$10))^2+('Inputs'!$B$8/2)^2))))*'Results'!$B$8*'Results'!$B$9))),"")</x:f>
        <x:v>216.83811234954774</x:v>
      </x:c>
      <x:c r="K8" s="22"/>
      <x:c r="L8" s="22"/>
      <x:c r="M8" s="22" t="n">
        <x:f>IF(P7&gt;='Results'!B11,O7,M7)</x:f>
        <x:v>0</x:v>
      </x:c>
      <x:c r="N8" s="22" t="n">
        <x:f>IF(P7&gt;='Results'!B11,N7,O7)</x:f>
        <x:v>10</x:v>
      </x:c>
      <x:c r="O8" s="22" t="n">
        <x:f>(M8+N8)/2</x:f>
        <x:v>5</x:v>
      </x:c>
      <x:c r="P8" s="22" t="n">
        <x:f>IF(AND(ISNUMBER('Results'!B7),ISNUMBER('Results'!C7),ISNUMBER('Results'!$B$8),ISNUMBER('Results'!$B$9),ISNUMBER('Inputs'!$B$6),ISNUMBER('Inputs'!$B$7),ISNUMBER('Inputs'!$B$8),ISNUMBER('Inputs'!$B$9),ISNUMBER('Inputs'!$B$10),ISNUMBER('Inputs'!$B$21),ISNUMBER('Inputs'!$B$24),ISNUMBER('Inputs'!$B$28)),((('Results'!B7*(1+'Inputs'!$B$24)*(0.5*(((O8+'Inputs'!$B$21)+'Inputs'!$B$7)/SQRT(((O8+'Inputs'!$B$21)+'Inputs'!$B$7)^2+('Inputs'!$B$6/2)^2)-((O8+'Inputs'!$B$21))/SQRT(((O8+'Inputs'!$B$21))^2+('Inputs'!$B$6/2)^2)))-'Results'!C7*(1-'Inputs'!$B$24)*(0.5*(((O8+'Inputs'!$B$21+'Inputs'!$B$7+'Inputs'!$B$10)+'Inputs'!$B$9)/SQRT(((O8+'Inputs'!$B$21+'Inputs'!$B$7+'Inputs'!$B$10)+'Inputs'!$B$9)^2+('Inputs'!$B$8/2)^2)-((O8+'Inputs'!$B$21+'Inputs'!$B$7+'Inputs'!$B$10))/SQRT(((O8+'Inputs'!$B$21+'Inputs'!$B$7+'Inputs'!$B$10))^2+('Inputs'!$B$8/2)^2))))*'Results'!$B$8*'Results'!$B$9)+'Inputs'!$B$28*ABS((('Results'!B7*(1+'Inputs'!$B$24)*(0.5*(((O8+'Inputs'!$B$21)+'Inputs'!$B$7)/SQRT(((O8+'Inputs'!$B$21)+'Inputs'!$B$7)^2+('Inputs'!$B$6/2)^2)-((O8+'Inputs'!$B$21))/SQRT(((O8+'Inputs'!$B$21))^2+('Inputs'!$B$6/2)^2)))-'Results'!C7*(1-'Inputs'!$B$24)*(0.5*(((O8+'Inputs'!$B$21+'Inputs'!$B$7+'Inputs'!$B$10)+'Inputs'!$B$9)/SQRT(((O8+'Inputs'!$B$21+'Inputs'!$B$7+'Inputs'!$B$10)+'Inputs'!$B$9)^2+('Inputs'!$B$8/2)^2)-((O8+'Inputs'!$B$21+'Inputs'!$B$7+'Inputs'!$B$10))/SQRT(((O8+'Inputs'!$B$21+'Inputs'!$B$7+'Inputs'!$B$10))^2+('Inputs'!$B$8/2)^2))))*'Results'!$B$8*'Results'!$B$9))),"")</x:f>
        <x:v>255.0907731769813</x:v>
      </x:c>
      <x:c r="Q8" s="22"/>
      <x:c r="R8" s="22"/>
      <x:c r="S8" s="22" t="n">
        <x:f>IF(V7&gt;='Results'!B13,U7,S7)</x:f>
        <x:v>0</x:v>
      </x:c>
      <x:c r="T8" s="22" t="n">
        <x:f>IF(V7&gt;='Results'!B13,T7,U7)</x:f>
        <x:v>10</x:v>
      </x:c>
      <x:c r="U8" s="22" t="n">
        <x:f>(S8+T8)/2</x:f>
        <x:v>5</x:v>
      </x:c>
      <x:c r="V8" s="22" t="n">
        <x:f>IF(AND(ISNUMBER('Results'!B7),ISNUMBER('Results'!C7),ISNUMBER('Results'!$B$8),ISNUMBER('Results'!$B$9),ISNUMBER('Inputs'!$B$6),ISNUMBER('Inputs'!$B$7),ISNUMBER('Inputs'!$B$8),ISNUMBER('Inputs'!$B$9),ISNUMBER('Inputs'!$B$10),ISNUMBER('Inputs'!$B$21),ISNUMBER('Inputs'!$B$24),ISNUMBER('Inputs'!$B$28)),(('Results'!B7*(0.5*(((U8+'Inputs'!$B$21)+'Inputs'!$B$7)/SQRT(((U8+'Inputs'!$B$21)+'Inputs'!$B$7)^2+('Inputs'!$B$6/2)^2)-((U8+'Inputs'!$B$21))/SQRT(((U8+'Inputs'!$B$21))^2+('Inputs'!$B$6/2)^2)))-'Results'!C7*(0.5*(((U8+'Inputs'!$B$21+'Inputs'!$B$7+'Inputs'!$B$10)+'Inputs'!$B$9)/SQRT(((U8+'Inputs'!$B$21+'Inputs'!$B$7+'Inputs'!$B$10)+'Inputs'!$B$9)^2+('Inputs'!$B$8/2)^2)-((U8+'Inputs'!$B$21+'Inputs'!$B$7+'Inputs'!$B$10))/SQRT(((U8+'Inputs'!$B$21+'Inputs'!$B$7+'Inputs'!$B$10))^2+('Inputs'!$B$8/2)^2))))*'Results'!$B$8*'Results'!$B$9),"")</x:f>
        <x:v>235.5971190401791</x:v>
      </x:c>
      <x:c r="W8" s="22"/>
      <x:c r="X8" s="22"/>
      <x:c r="Y8" s="22" t="n">
        <x:f>IF(AB7&gt;='Results'!B14,AA7,Y7)</x:f>
        <x:v>0</x:v>
      </x:c>
      <x:c r="Z8" s="22" t="n">
        <x:f>IF(AB7&gt;='Results'!B14,Z7,AA7)</x:f>
        <x:v>10</x:v>
      </x:c>
      <x:c r="AA8" s="22" t="n">
        <x:f>(Y8+Z8)/2</x:f>
        <x:v>5</x:v>
      </x:c>
      <x:c r="AB8" s="22" t="n">
        <x:f>IF(AND(ISNUMBER('Results'!B7),ISNUMBER('Results'!C7),ISNUMBER('Results'!$B$8),ISNUMBER('Results'!$B$9),ISNUMBER('Inputs'!$B$6),ISNUMBER('Inputs'!$B$7),ISNUMBER('Inputs'!$B$8),ISNUMBER('Inputs'!$B$9),ISNUMBER('Inputs'!$B$10),ISNUMBER('Inputs'!$B$21),ISNUMBER('Inputs'!$B$24),ISNUMBER('Inputs'!$B$28)),((('Results'!B7*(1+'Inputs'!$B$24)*(0.5*(((AA8+'Inputs'!$B$21)+'Inputs'!$B$7)/SQRT(((AA8+'Inputs'!$B$21)+'Inputs'!$B$7)^2+('Inputs'!$B$6/2)^2)-((AA8+'Inputs'!$B$21))/SQRT(((AA8+'Inputs'!$B$21))^2+('Inputs'!$B$6/2)^2)))-'Results'!C7*(1-'Inputs'!$B$24)*(0.5*(((AA8+'Inputs'!$B$21+'Inputs'!$B$7+'Inputs'!$B$10)+'Inputs'!$B$9)/SQRT(((AA8+'Inputs'!$B$21+'Inputs'!$B$7+'Inputs'!$B$10)+'Inputs'!$B$9)^2+('Inputs'!$B$8/2)^2)-((AA8+'Inputs'!$B$21+'Inputs'!$B$7+'Inputs'!$B$10))/SQRT(((AA8+'Inputs'!$B$21+'Inputs'!$B$7+'Inputs'!$B$10))^2+('Inputs'!$B$8/2)^2))))*'Results'!$B$8*'Results'!$B$9)+'Inputs'!$B$28*ABS((('Results'!B7*(1+'Inputs'!$B$24)*(0.5*(((AA8+'Inputs'!$B$21)+'Inputs'!$B$7)/SQRT(((AA8+'Inputs'!$B$21)+'Inputs'!$B$7)^2+('Inputs'!$B$6/2)^2)-((AA8+'Inputs'!$B$21))/SQRT(((AA8+'Inputs'!$B$21))^2+('Inputs'!$B$6/2)^2)))-'Results'!C7*(1-'Inputs'!$B$24)*(0.5*(((AA8+'Inputs'!$B$21+'Inputs'!$B$7+'Inputs'!$B$10)+'Inputs'!$B$9)/SQRT(((AA8+'Inputs'!$B$21+'Inputs'!$B$7+'Inputs'!$B$10)+'Inputs'!$B$9)^2+('Inputs'!$B$8/2)^2)-((AA8+'Inputs'!$B$21+'Inputs'!$B$7+'Inputs'!$B$10))/SQRT(((AA8+'Inputs'!$B$21+'Inputs'!$B$7+'Inputs'!$B$10))^2+('Inputs'!$B$8/2)^2))))*'Results'!$B$8*'Results'!$B$9))),"")</x:f>
        <x:v>255.0907731769813</x:v>
      </x:c>
      <x:c r="AC8" s="22"/>
      <x:c r="AD8" s="22"/>
      <x:c r="AE8" s="22" t="n">
        <x:f>IF(AH7&gt;='Results'!C10,AG7,AE7)</x:f>
        <x:v>0</x:v>
      </x:c>
      <x:c r="AF8" s="22" t="n">
        <x:f>IF(AH7&gt;='Results'!C10,AF7,AG7)</x:f>
        <x:v>10</x:v>
      </x:c>
      <x:c r="AG8" s="22" t="n">
        <x:f>(AE8+AF8)/2</x:f>
        <x:v>5</x:v>
      </x:c>
      <x:c r="AH8" s="22" t="n">
        <x:f>IF(AND(ISNUMBER('Results'!C7),ISNUMBER('Results'!B7),ISNUMBER('Results'!$B$8),ISNUMBER('Results'!$B$9),ISNUMBER('Inputs'!$B$6),ISNUMBER('Inputs'!$B$7),ISNUMBER('Inputs'!$B$8),ISNUMBER('Inputs'!$B$9),ISNUMBER('Inputs'!$B$10),ISNUMBER('Inputs'!$B$21),ISNUMBER('Inputs'!$B$24),ISNUMBER('Inputs'!$B$28)),(('Results'!C7*(0.5*(((AG8+'Inputs'!$B$21)+'Inputs'!$B$9)/SQRT(((AG8+'Inputs'!$B$21)+'Inputs'!$B$9)^2+('Inputs'!$B$8/2)^2)-((AG8+'Inputs'!$B$21))/SQRT(((AG8+'Inputs'!$B$21))^2+('Inputs'!$B$8/2)^2)))-'Results'!B7*(0.5*(((AG8+'Inputs'!$B$21+'Inputs'!$B$9+'Inputs'!$B$10)+'Inputs'!$B$7)/SQRT(((AG8+'Inputs'!$B$21+'Inputs'!$B$9+'Inputs'!$B$10)+'Inputs'!$B$7)^2+('Inputs'!$B$6/2)^2)-((AG8+'Inputs'!$B$21+'Inputs'!$B$9+'Inputs'!$B$10))/SQRT(((AG8+'Inputs'!$B$21+'Inputs'!$B$9+'Inputs'!$B$10))^2+('Inputs'!$B$6/2)^2))))*'Results'!$B$8*'Results'!$B$9),"")</x:f>
        <x:v>228.2237615980539</x:v>
      </x:c>
      <x:c r="AI8" s="22"/>
      <x:c r="AJ8" s="22"/>
      <x:c r="AK8" s="22" t="n">
        <x:f>IF(AN7&gt;='Results'!C12,AM7,AK7)</x:f>
        <x:v>0</x:v>
      </x:c>
      <x:c r="AL8" s="22" t="n">
        <x:f>IF(AN7&gt;='Results'!C12,AL7,AM7)</x:f>
        <x:v>10</x:v>
      </x:c>
      <x:c r="AM8" s="22" t="n">
        <x:f>(AK8+AL8)/2</x:f>
        <x:v>5</x:v>
      </x:c>
      <x:c r="AN8" s="22" t="n">
        <x:f>IF(AND(ISNUMBER('Results'!C7),ISNUMBER('Results'!B7),ISNUMBER('Results'!$B$8),ISNUMBER('Results'!$B$9),ISNUMBER('Inputs'!$B$6),ISNUMBER('Inputs'!$B$7),ISNUMBER('Inputs'!$B$8),ISNUMBER('Inputs'!$B$9),ISNUMBER('Inputs'!$B$10),ISNUMBER('Inputs'!$B$21),ISNUMBER('Inputs'!$B$24),ISNUMBER('Inputs'!$B$28)),((('Results'!C7*(1-'Inputs'!$B$24)*(0.5*(((AM8+'Inputs'!$B$21)+'Inputs'!$B$9)/SQRT(((AM8+'Inputs'!$B$21)+'Inputs'!$B$9)^2+('Inputs'!$B$8/2)^2)-((AM8+'Inputs'!$B$21))/SQRT(((AM8+'Inputs'!$B$21))^2+('Inputs'!$B$8/2)^2)))-'Results'!B7*(1+'Inputs'!$B$24)*(0.5*(((AM8+'Inputs'!$B$21+'Inputs'!$B$9+'Inputs'!$B$10)+'Inputs'!$B$7)/SQRT(((AM8+'Inputs'!$B$21+'Inputs'!$B$9+'Inputs'!$B$10)+'Inputs'!$B$7)^2+('Inputs'!$B$6/2)^2)-((AM8+'Inputs'!$B$21+'Inputs'!$B$9+'Inputs'!$B$10))/SQRT(((AM8+'Inputs'!$B$21+'Inputs'!$B$9+'Inputs'!$B$10))^2+('Inputs'!$B$6/2)^2))))*'Results'!$B$8*'Results'!$B$9)-'Inputs'!$B$28*ABS((('Results'!C7*(1-'Inputs'!$B$24)*(0.5*(((AM8+'Inputs'!$B$21)+'Inputs'!$B$9)/SQRT(((AM8+'Inputs'!$B$21)+'Inputs'!$B$9)^2+('Inputs'!$B$8/2)^2)-((AM8+'Inputs'!$B$21))/SQRT(((AM8+'Inputs'!$B$21))^2+('Inputs'!$B$8/2)^2)))-'Results'!B7*(1+'Inputs'!$B$24)*(0.5*(((AM8+'Inputs'!$B$21+'Inputs'!$B$9+'Inputs'!$B$10)+'Inputs'!$B$7)/SQRT(((AM8+'Inputs'!$B$21+'Inputs'!$B$9+'Inputs'!$B$10)+'Inputs'!$B$7)^2+('Inputs'!$B$6/2)^2)-((AM8+'Inputs'!$B$21+'Inputs'!$B$9+'Inputs'!$B$10))/SQRT(((AM8+'Inputs'!$B$21+'Inputs'!$B$9+'Inputs'!$B$10))^2+('Inputs'!$B$6/2)^2))))*'Results'!$B$8*'Results'!$B$9))),"")</x:f>
        <x:v>209.92243890813614</x:v>
      </x:c>
      <x:c r="AO8" s="22"/>
      <x:c r="AP8" s="22"/>
      <x:c r="AQ8" s="22" t="n">
        <x:f>IF(AT7&gt;='Results'!C11,AS7,AQ7)</x:f>
        <x:v>0</x:v>
      </x:c>
      <x:c r="AR8" s="22" t="n">
        <x:f>IF(AT7&gt;='Results'!C11,AR7,AS7)</x:f>
        <x:v>10</x:v>
      </x:c>
      <x:c r="AS8" s="22" t="n">
        <x:f>(AQ8+AR8)/2</x:f>
        <x:v>5</x:v>
      </x:c>
      <x:c r="AT8" s="22" t="n">
        <x:f>IF(AND(ISNUMBER('Results'!C7),ISNUMBER('Results'!B7),ISNUMBER('Results'!$B$8),ISNUMBER('Results'!$B$9),ISNUMBER('Inputs'!$B$6),ISNUMBER('Inputs'!$B$7),ISNUMBER('Inputs'!$B$8),ISNUMBER('Inputs'!$B$9),ISNUMBER('Inputs'!$B$10),ISNUMBER('Inputs'!$B$21),ISNUMBER('Inputs'!$B$24),ISNUMBER('Inputs'!$B$28)),((('Results'!C7*(1+'Inputs'!$B$24)*(0.5*(((AS8+'Inputs'!$B$21)+'Inputs'!$B$9)/SQRT(((AS8+'Inputs'!$B$21)+'Inputs'!$B$9)^2+('Inputs'!$B$8/2)^2)-((AS8+'Inputs'!$B$21))/SQRT(((AS8+'Inputs'!$B$21))^2+('Inputs'!$B$8/2)^2)))-'Results'!B7*(1-'Inputs'!$B$24)*(0.5*(((AS8+'Inputs'!$B$21+'Inputs'!$B$9+'Inputs'!$B$10)+'Inputs'!$B$7)/SQRT(((AS8+'Inputs'!$B$21+'Inputs'!$B$9+'Inputs'!$B$10)+'Inputs'!$B$7)^2+('Inputs'!$B$6/2)^2)-((AS8+'Inputs'!$B$21+'Inputs'!$B$9+'Inputs'!$B$10))/SQRT(((AS8+'Inputs'!$B$21+'Inputs'!$B$9+'Inputs'!$B$10))^2+('Inputs'!$B$6/2)^2))))*'Results'!$B$8*'Results'!$B$9)+'Inputs'!$B$28*ABS((('Results'!C7*(1+'Inputs'!$B$24)*(0.5*(((AS8+'Inputs'!$B$21)+'Inputs'!$B$9)/SQRT(((AS8+'Inputs'!$B$21)+'Inputs'!$B$9)^2+('Inputs'!$B$8/2)^2)-((AS8+'Inputs'!$B$21))/SQRT(((AS8+'Inputs'!$B$21))^2+('Inputs'!$B$8/2)^2)))-'Results'!B7*(1-'Inputs'!$B$24)*(0.5*(((AS8+'Inputs'!$B$21+'Inputs'!$B$9+'Inputs'!$B$10)+'Inputs'!$B$7)/SQRT(((AS8+'Inputs'!$B$21+'Inputs'!$B$9+'Inputs'!$B$10)+'Inputs'!$B$7)^2+('Inputs'!$B$6/2)^2)-((AS8+'Inputs'!$B$21+'Inputs'!$B$9+'Inputs'!$B$10))/SQRT(((AS8+'Inputs'!$B$21+'Inputs'!$B$9+'Inputs'!$B$10))^2+('Inputs'!$B$6/2)^2))))*'Results'!$B$8*'Results'!$B$9))),"")</x:f>
        <x:v>247.25036161534172</x:v>
      </x:c>
      <x:c r="AU8" s="22"/>
      <x:c r="AV8" s="22"/>
      <x:c r="AW8" s="22" t="n">
        <x:f>IF(AZ7&gt;='Results'!C13,AY7,AW7)</x:f>
        <x:v>0</x:v>
      </x:c>
      <x:c r="AX8" s="22" t="n">
        <x:f>IF(AZ7&gt;='Results'!C13,AX7,AY7)</x:f>
        <x:v>10</x:v>
      </x:c>
      <x:c r="AY8" s="22" t="n">
        <x:f>(AW8+AX8)/2</x:f>
        <x:v>5</x:v>
      </x:c>
      <x:c r="AZ8" s="22" t="n">
        <x:f>IF(AND(ISNUMBER('Results'!C7),ISNUMBER('Results'!B7),ISNUMBER('Results'!$B$8),ISNUMBER('Results'!$B$9),ISNUMBER('Inputs'!$B$6),ISNUMBER('Inputs'!$B$7),ISNUMBER('Inputs'!$B$8),ISNUMBER('Inputs'!$B$9),ISNUMBER('Inputs'!$B$10),ISNUMBER('Inputs'!$B$21),ISNUMBER('Inputs'!$B$24),ISNUMBER('Inputs'!$B$28)),(('Results'!C7*(0.5*(((AY8+'Inputs'!$B$21)+'Inputs'!$B$9)/SQRT(((AY8+'Inputs'!$B$21)+'Inputs'!$B$9)^2+('Inputs'!$B$8/2)^2)-((AY8+'Inputs'!$B$21))/SQRT(((AY8+'Inputs'!$B$21))^2+('Inputs'!$B$8/2)^2)))-'Results'!B7*(0.5*(((AY8+'Inputs'!$B$21+'Inputs'!$B$9+'Inputs'!$B$10)+'Inputs'!$B$7)/SQRT(((AY8+'Inputs'!$B$21+'Inputs'!$B$9+'Inputs'!$B$10)+'Inputs'!$B$7)^2+('Inputs'!$B$6/2)^2)-((AY8+'Inputs'!$B$21+'Inputs'!$B$9+'Inputs'!$B$10))/SQRT(((AY8+'Inputs'!$B$21+'Inputs'!$B$9+'Inputs'!$B$10))^2+('Inputs'!$B$6/2)^2))))*'Results'!$B$8*'Results'!$B$9),"")</x:f>
        <x:v>228.2237615980539</x:v>
      </x:c>
      <x:c r="BA8" s="22"/>
      <x:c r="BB8" s="22"/>
      <x:c r="BC8" s="22" t="n">
        <x:f>IF(BF7&gt;='Results'!C14,BE7,BC7)</x:f>
        <x:v>0</x:v>
      </x:c>
      <x:c r="BD8" s="22" t="n">
        <x:f>IF(BF7&gt;='Results'!C14,BD7,BE7)</x:f>
        <x:v>10</x:v>
      </x:c>
      <x:c r="BE8" s="22" t="n">
        <x:f>(BC8+BD8)/2</x:f>
        <x:v>5</x:v>
      </x:c>
      <x:c r="BF8" s="22" t="n">
        <x:f>IF(AND(ISNUMBER('Results'!C7),ISNUMBER('Results'!B7),ISNUMBER('Results'!$B$8),ISNUMBER('Results'!$B$9),ISNUMBER('Inputs'!$B$6),ISNUMBER('Inputs'!$B$7),ISNUMBER('Inputs'!$B$8),ISNUMBER('Inputs'!$B$9),ISNUMBER('Inputs'!$B$10),ISNUMBER('Inputs'!$B$21),ISNUMBER('Inputs'!$B$24),ISNUMBER('Inputs'!$B$28)),((('Results'!C7*(1+'Inputs'!$B$24)*(0.5*(((BE8+'Inputs'!$B$21)+'Inputs'!$B$9)/SQRT(((BE8+'Inputs'!$B$21)+'Inputs'!$B$9)^2+('Inputs'!$B$8/2)^2)-((BE8+'Inputs'!$B$21))/SQRT(((BE8+'Inputs'!$B$21))^2+('Inputs'!$B$8/2)^2)))-'Results'!B7*(1-'Inputs'!$B$24)*(0.5*(((BE8+'Inputs'!$B$21+'Inputs'!$B$9+'Inputs'!$B$10)+'Inputs'!$B$7)/SQRT(((BE8+'Inputs'!$B$21+'Inputs'!$B$9+'Inputs'!$B$10)+'Inputs'!$B$7)^2+('Inputs'!$B$6/2)^2)-((BE8+'Inputs'!$B$21+'Inputs'!$B$9+'Inputs'!$B$10))/SQRT(((BE8+'Inputs'!$B$21+'Inputs'!$B$9+'Inputs'!$B$10))^2+('Inputs'!$B$6/2)^2))))*'Results'!$B$8*'Results'!$B$9)+'Inputs'!$B$28*ABS((('Results'!C7*(1+'Inputs'!$B$24)*(0.5*(((BE8+'Inputs'!$B$21)+'Inputs'!$B$9)/SQRT(((BE8+'Inputs'!$B$21)+'Inputs'!$B$9)^2+('Inputs'!$B$8/2)^2)-((BE8+'Inputs'!$B$21))/SQRT(((BE8+'Inputs'!$B$21))^2+('Inputs'!$B$8/2)^2)))-'Results'!B7*(1-'Inputs'!$B$24)*(0.5*(((BE8+'Inputs'!$B$21+'Inputs'!$B$9+'Inputs'!$B$10)+'Inputs'!$B$7)/SQRT(((BE8+'Inputs'!$B$21+'Inputs'!$B$9+'Inputs'!$B$10)+'Inputs'!$B$7)^2+('Inputs'!$B$6/2)^2)-((BE8+'Inputs'!$B$21+'Inputs'!$B$9+'Inputs'!$B$10))/SQRT(((BE8+'Inputs'!$B$21+'Inputs'!$B$9+'Inputs'!$B$10))^2+('Inputs'!$B$6/2)^2))))*'Results'!$B$8*'Results'!$B$9))),"")</x:f>
        <x:v>247.25036161534172</x:v>
      </x:c>
      <x:c r="BG8" s="22"/>
      <x:c r="BH8" s="22"/>
    </x:row>
    <x:row r="9" ht="22" customHeight="1">
      <x:c r="A9" s="22" t="n">
        <x:f>IF(D8&gt;='Results'!B10,C8,A8)</x:f>
        <x:v>5</x:v>
      </x:c>
      <x:c r="B9" s="22" t="n">
        <x:f>IF(D8&gt;='Results'!B10,B8,C8)</x:f>
        <x:v>10</x:v>
      </x:c>
      <x:c r="C9" s="22" t="n">
        <x:f>(A9+B9)/2</x:f>
        <x:v>7.5</x:v>
      </x:c>
      <x:c r="D9" s="22" t="n">
        <x:f>IF(AND(ISNUMBER('Results'!B7),ISNUMBER('Results'!C7),ISNUMBER('Results'!$B$8),ISNUMBER('Results'!$B$9),ISNUMBER('Inputs'!$B$6),ISNUMBER('Inputs'!$B$7),ISNUMBER('Inputs'!$B$8),ISNUMBER('Inputs'!$B$9),ISNUMBER('Inputs'!$B$10),ISNUMBER('Inputs'!$B$21),ISNUMBER('Inputs'!$B$24),ISNUMBER('Inputs'!$B$28)),(('Results'!B7*(0.5*(((C9+'Inputs'!$B$21)+'Inputs'!$B$7)/SQRT(((C9+'Inputs'!$B$21)+'Inputs'!$B$7)^2+('Inputs'!$B$6/2)^2)-((C9+'Inputs'!$B$21))/SQRT(((C9+'Inputs'!$B$21))^2+('Inputs'!$B$6/2)^2)))-'Results'!C7*(0.5*(((C9+'Inputs'!$B$21+'Inputs'!$B$7+'Inputs'!$B$10)+'Inputs'!$B$9)/SQRT(((C9+'Inputs'!$B$21+'Inputs'!$B$7+'Inputs'!$B$10)+'Inputs'!$B$9)^2+('Inputs'!$B$8/2)^2)-((C9+'Inputs'!$B$21+'Inputs'!$B$7+'Inputs'!$B$10))/SQRT(((C9+'Inputs'!$B$21+'Inputs'!$B$7+'Inputs'!$B$10))^2+('Inputs'!$B$8/2)^2))))*'Results'!$B$8*'Results'!$B$9),"")</x:f>
        <x:v>87.26087409287507</x:v>
      </x:c>
      <x:c r="E9" s="22"/>
      <x:c r="F9" s="22"/>
      <x:c r="G9" s="22" t="n">
        <x:f>IF(J8&gt;='Results'!B12,I8,G8)</x:f>
        <x:v>5</x:v>
      </x:c>
      <x:c r="H9" s="22" t="n">
        <x:f>IF(J8&gt;='Results'!B12,H8,I8)</x:f>
        <x:v>10</x:v>
      </x:c>
      <x:c r="I9" s="22" t="n">
        <x:f>(G9+H9)/2</x:f>
        <x:v>7.5</x:v>
      </x:c>
      <x:c r="J9" s="22" t="n">
        <x:f>IF(AND(ISNUMBER('Results'!B7),ISNUMBER('Results'!C7),ISNUMBER('Results'!$B$8),ISNUMBER('Results'!$B$9),ISNUMBER('Inputs'!$B$6),ISNUMBER('Inputs'!$B$7),ISNUMBER('Inputs'!$B$8),ISNUMBER('Inputs'!$B$9),ISNUMBER('Inputs'!$B$10),ISNUMBER('Inputs'!$B$21),ISNUMBER('Inputs'!$B$24),ISNUMBER('Inputs'!$B$28)),((('Results'!B7*(1-'Inputs'!$B$24)*(0.5*(((I9+'Inputs'!$B$21)+'Inputs'!$B$7)/SQRT(((I9+'Inputs'!$B$21)+'Inputs'!$B$7)^2+('Inputs'!$B$6/2)^2)-((I9+'Inputs'!$B$21))/SQRT(((I9+'Inputs'!$B$21))^2+('Inputs'!$B$6/2)^2)))-'Results'!C7*(1+'Inputs'!$B$24)*(0.5*(((I9+'Inputs'!$B$21+'Inputs'!$B$7+'Inputs'!$B$10)+'Inputs'!$B$9)/SQRT(((I9+'Inputs'!$B$21+'Inputs'!$B$7+'Inputs'!$B$10)+'Inputs'!$B$9)^2+('Inputs'!$B$8/2)^2)-((I9+'Inputs'!$B$21+'Inputs'!$B$7+'Inputs'!$B$10))/SQRT(((I9+'Inputs'!$B$21+'Inputs'!$B$7+'Inputs'!$B$10))^2+('Inputs'!$B$8/2)^2))))*'Results'!$B$8*'Results'!$B$9)-'Inputs'!$B$28*ABS((('Results'!B7*(1-'Inputs'!$B$24)*(0.5*(((I9+'Inputs'!$B$21)+'Inputs'!$B$7)/SQRT(((I9+'Inputs'!$B$21)+'Inputs'!$B$7)^2+('Inputs'!$B$6/2)^2)-((I9+'Inputs'!$B$21))/SQRT(((I9+'Inputs'!$B$21))^2+('Inputs'!$B$6/2)^2)))-'Results'!C7*(1+'Inputs'!$B$24)*(0.5*(((I9+'Inputs'!$B$21+'Inputs'!$B$7+'Inputs'!$B$10)+'Inputs'!$B$9)/SQRT(((I9+'Inputs'!$B$21+'Inputs'!$B$7+'Inputs'!$B$10)+'Inputs'!$B$9)^2+('Inputs'!$B$8/2)^2)-((I9+'Inputs'!$B$21+'Inputs'!$B$7+'Inputs'!$B$10))/SQRT(((I9+'Inputs'!$B$21+'Inputs'!$B$7+'Inputs'!$B$10))^2+('Inputs'!$B$8/2)^2))))*'Results'!$B$8*'Results'!$B$9))),"")</x:f>
        <x:v>79.87256185649363</x:v>
      </x:c>
      <x:c r="K9" s="22"/>
      <x:c r="L9" s="22"/>
      <x:c r="M9" s="22" t="n">
        <x:f>IF(P8&gt;='Results'!B11,O8,M8)</x:f>
        <x:v>5</x:v>
      </x:c>
      <x:c r="N9" s="22" t="n">
        <x:f>IF(P8&gt;='Results'!B11,N8,O8)</x:f>
        <x:v>10</x:v>
      </x:c>
      <x:c r="O9" s="22" t="n">
        <x:f>(M9+N9)/2</x:f>
        <x:v>7.5</x:v>
      </x:c>
      <x:c r="P9" s="22" t="n">
        <x:f>IF(AND(ISNUMBER('Results'!B7),ISNUMBER('Results'!C7),ISNUMBER('Results'!$B$8),ISNUMBER('Results'!$B$9),ISNUMBER('Inputs'!$B$6),ISNUMBER('Inputs'!$B$7),ISNUMBER('Inputs'!$B$8),ISNUMBER('Inputs'!$B$9),ISNUMBER('Inputs'!$B$10),ISNUMBER('Inputs'!$B$21),ISNUMBER('Inputs'!$B$24),ISNUMBER('Inputs'!$B$28)),((('Results'!B7*(1+'Inputs'!$B$24)*(0.5*(((O9+'Inputs'!$B$21)+'Inputs'!$B$7)/SQRT(((O9+'Inputs'!$B$21)+'Inputs'!$B$7)^2+('Inputs'!$B$6/2)^2)-((O9+'Inputs'!$B$21))/SQRT(((O9+'Inputs'!$B$21))^2+('Inputs'!$B$6/2)^2)))-'Results'!C7*(1-'Inputs'!$B$24)*(0.5*(((O9+'Inputs'!$B$21+'Inputs'!$B$7+'Inputs'!$B$10)+'Inputs'!$B$9)/SQRT(((O9+'Inputs'!$B$21+'Inputs'!$B$7+'Inputs'!$B$10)+'Inputs'!$B$9)^2+('Inputs'!$B$8/2)^2)-((O9+'Inputs'!$B$21+'Inputs'!$B$7+'Inputs'!$B$10))/SQRT(((O9+'Inputs'!$B$21+'Inputs'!$B$7+'Inputs'!$B$10))^2+('Inputs'!$B$8/2)^2))))*'Results'!$B$8*'Results'!$B$9)+'Inputs'!$B$28*ABS((('Results'!B7*(1+'Inputs'!$B$24)*(0.5*(((O9+'Inputs'!$B$21)+'Inputs'!$B$7)/SQRT(((O9+'Inputs'!$B$21)+'Inputs'!$B$7)^2+('Inputs'!$B$6/2)^2)-((O9+'Inputs'!$B$21))/SQRT(((O9+'Inputs'!$B$21))^2+('Inputs'!$B$6/2)^2)))-'Results'!C7*(1-'Inputs'!$B$24)*(0.5*(((O9+'Inputs'!$B$21+'Inputs'!$B$7+'Inputs'!$B$10)+'Inputs'!$B$9)/SQRT(((O9+'Inputs'!$B$21+'Inputs'!$B$7+'Inputs'!$B$10)+'Inputs'!$B$9)^2+('Inputs'!$B$8/2)^2)-((O9+'Inputs'!$B$21+'Inputs'!$B$7+'Inputs'!$B$10))/SQRT(((O9+'Inputs'!$B$21+'Inputs'!$B$7+'Inputs'!$B$10))^2+('Inputs'!$B$8/2)^2))))*'Results'!$B$8*'Results'!$B$9))),"")</x:f>
        <x:v>94.96763564838676</x:v>
      </x:c>
      <x:c r="Q9" s="22"/>
      <x:c r="R9" s="22"/>
      <x:c r="S9" s="22" t="n">
        <x:f>IF(V8&gt;='Results'!B13,U8,S8)</x:f>
        <x:v>5</x:v>
      </x:c>
      <x:c r="T9" s="22" t="n">
        <x:f>IF(V8&gt;='Results'!B13,T8,U8)</x:f>
        <x:v>10</x:v>
      </x:c>
      <x:c r="U9" s="22" t="n">
        <x:f>(S9+T9)/2</x:f>
        <x:v>7.5</x:v>
      </x:c>
      <x:c r="V9" s="22" t="n">
        <x:f>IF(AND(ISNUMBER('Results'!B7),ISNUMBER('Results'!C7),ISNUMBER('Results'!$B$8),ISNUMBER('Results'!$B$9),ISNUMBER('Inputs'!$B$6),ISNUMBER('Inputs'!$B$7),ISNUMBER('Inputs'!$B$8),ISNUMBER('Inputs'!$B$9),ISNUMBER('Inputs'!$B$10),ISNUMBER('Inputs'!$B$21),ISNUMBER('Inputs'!$B$24),ISNUMBER('Inputs'!$B$28)),(('Results'!B7*(0.5*(((U9+'Inputs'!$B$21)+'Inputs'!$B$7)/SQRT(((U9+'Inputs'!$B$21)+'Inputs'!$B$7)^2+('Inputs'!$B$6/2)^2)-((U9+'Inputs'!$B$21))/SQRT(((U9+'Inputs'!$B$21))^2+('Inputs'!$B$6/2)^2)))-'Results'!C7*(0.5*(((U9+'Inputs'!$B$21+'Inputs'!$B$7+'Inputs'!$B$10)+'Inputs'!$B$9)/SQRT(((U9+'Inputs'!$B$21+'Inputs'!$B$7+'Inputs'!$B$10)+'Inputs'!$B$9)^2+('Inputs'!$B$8/2)^2)-((U9+'Inputs'!$B$21+'Inputs'!$B$7+'Inputs'!$B$10))/SQRT(((U9+'Inputs'!$B$21+'Inputs'!$B$7+'Inputs'!$B$10))^2+('Inputs'!$B$8/2)^2))))*'Results'!$B$8*'Results'!$B$9),"")</x:f>
        <x:v>87.26087409287507</x:v>
      </x:c>
      <x:c r="W9" s="22"/>
      <x:c r="X9" s="22"/>
      <x:c r="Y9" s="22" t="n">
        <x:f>IF(AB8&gt;='Results'!B14,AA8,Y8)</x:f>
        <x:v>5</x:v>
      </x:c>
      <x:c r="Z9" s="22" t="n">
        <x:f>IF(AB8&gt;='Results'!B14,Z8,AA8)</x:f>
        <x:v>10</x:v>
      </x:c>
      <x:c r="AA9" s="22" t="n">
        <x:f>(Y9+Z9)/2</x:f>
        <x:v>7.5</x:v>
      </x:c>
      <x:c r="AB9" s="22" t="n">
        <x:f>IF(AND(ISNUMBER('Results'!B7),ISNUMBER('Results'!C7),ISNUMBER('Results'!$B$8),ISNUMBER('Results'!$B$9),ISNUMBER('Inputs'!$B$6),ISNUMBER('Inputs'!$B$7),ISNUMBER('Inputs'!$B$8),ISNUMBER('Inputs'!$B$9),ISNUMBER('Inputs'!$B$10),ISNUMBER('Inputs'!$B$21),ISNUMBER('Inputs'!$B$24),ISNUMBER('Inputs'!$B$28)),((('Results'!B7*(1+'Inputs'!$B$24)*(0.5*(((AA9+'Inputs'!$B$21)+'Inputs'!$B$7)/SQRT(((AA9+'Inputs'!$B$21)+'Inputs'!$B$7)^2+('Inputs'!$B$6/2)^2)-((AA9+'Inputs'!$B$21))/SQRT(((AA9+'Inputs'!$B$21))^2+('Inputs'!$B$6/2)^2)))-'Results'!C7*(1-'Inputs'!$B$24)*(0.5*(((AA9+'Inputs'!$B$21+'Inputs'!$B$7+'Inputs'!$B$10)+'Inputs'!$B$9)/SQRT(((AA9+'Inputs'!$B$21+'Inputs'!$B$7+'Inputs'!$B$10)+'Inputs'!$B$9)^2+('Inputs'!$B$8/2)^2)-((AA9+'Inputs'!$B$21+'Inputs'!$B$7+'Inputs'!$B$10))/SQRT(((AA9+'Inputs'!$B$21+'Inputs'!$B$7+'Inputs'!$B$10))^2+('Inputs'!$B$8/2)^2))))*'Results'!$B$8*'Results'!$B$9)+'Inputs'!$B$28*ABS((('Results'!B7*(1+'Inputs'!$B$24)*(0.5*(((AA9+'Inputs'!$B$21)+'Inputs'!$B$7)/SQRT(((AA9+'Inputs'!$B$21)+'Inputs'!$B$7)^2+('Inputs'!$B$6/2)^2)-((AA9+'Inputs'!$B$21))/SQRT(((AA9+'Inputs'!$B$21))^2+('Inputs'!$B$6/2)^2)))-'Results'!C7*(1-'Inputs'!$B$24)*(0.5*(((AA9+'Inputs'!$B$21+'Inputs'!$B$7+'Inputs'!$B$10)+'Inputs'!$B$9)/SQRT(((AA9+'Inputs'!$B$21+'Inputs'!$B$7+'Inputs'!$B$10)+'Inputs'!$B$9)^2+('Inputs'!$B$8/2)^2)-((AA9+'Inputs'!$B$21+'Inputs'!$B$7+'Inputs'!$B$10))/SQRT(((AA9+'Inputs'!$B$21+'Inputs'!$B$7+'Inputs'!$B$10))^2+('Inputs'!$B$8/2)^2))))*'Results'!$B$8*'Results'!$B$9))),"")</x:f>
        <x:v>94.96763564838676</x:v>
      </x:c>
      <x:c r="AC9" s="22"/>
      <x:c r="AD9" s="22"/>
      <x:c r="AE9" s="22" t="n">
        <x:f>IF(AH8&gt;='Results'!C10,AG8,AE8)</x:f>
        <x:v>5</x:v>
      </x:c>
      <x:c r="AF9" s="22" t="n">
        <x:f>IF(AH8&gt;='Results'!C10,AF8,AG8)</x:f>
        <x:v>10</x:v>
      </x:c>
      <x:c r="AG9" s="22" t="n">
        <x:f>(AE9+AF9)/2</x:f>
        <x:v>7.5</x:v>
      </x:c>
      <x:c r="AH9" s="22" t="n">
        <x:f>IF(AND(ISNUMBER('Results'!C7),ISNUMBER('Results'!B7),ISNUMBER('Results'!$B$8),ISNUMBER('Results'!$B$9),ISNUMBER('Inputs'!$B$6),ISNUMBER('Inputs'!$B$7),ISNUMBER('Inputs'!$B$8),ISNUMBER('Inputs'!$B$9),ISNUMBER('Inputs'!$B$10),ISNUMBER('Inputs'!$B$21),ISNUMBER('Inputs'!$B$24),ISNUMBER('Inputs'!$B$28)),(('Results'!C7*(0.5*(((AG9+'Inputs'!$B$21)+'Inputs'!$B$9)/SQRT(((AG9+'Inputs'!$B$21)+'Inputs'!$B$9)^2+('Inputs'!$B$8/2)^2)-((AG9+'Inputs'!$B$21))/SQRT(((AG9+'Inputs'!$B$21))^2+('Inputs'!$B$8/2)^2)))-'Results'!B7*(0.5*(((AG9+'Inputs'!$B$21+'Inputs'!$B$9+'Inputs'!$B$10)+'Inputs'!$B$7)/SQRT(((AG9+'Inputs'!$B$21+'Inputs'!$B$9+'Inputs'!$B$10)+'Inputs'!$B$7)^2+('Inputs'!$B$6/2)^2)-((AG9+'Inputs'!$B$21+'Inputs'!$B$9+'Inputs'!$B$10))/SQRT(((AG9+'Inputs'!$B$21+'Inputs'!$B$9+'Inputs'!$B$10))^2+('Inputs'!$B$6/2)^2))))*'Results'!$B$8*'Results'!$B$9),"")</x:f>
        <x:v>84.06169441474118</x:v>
      </x:c>
      <x:c r="AI9" s="22"/>
      <x:c r="AJ9" s="22"/>
      <x:c r="AK9" s="22" t="n">
        <x:f>IF(AN8&gt;='Results'!C12,AM8,AK8)</x:f>
        <x:v>5</x:v>
      </x:c>
      <x:c r="AL9" s="22" t="n">
        <x:f>IF(AN8&gt;='Results'!C12,AL8,AM8)</x:f>
        <x:v>10</x:v>
      </x:c>
      <x:c r="AM9" s="22" t="n">
        <x:f>(AK9+AL9)/2</x:f>
        <x:v>7.5</x:v>
      </x:c>
      <x:c r="AN9" s="22" t="n">
        <x:f>IF(AND(ISNUMBER('Results'!C7),ISNUMBER('Results'!B7),ISNUMBER('Results'!$B$8),ISNUMBER('Results'!$B$9),ISNUMBER('Inputs'!$B$6),ISNUMBER('Inputs'!$B$7),ISNUMBER('Inputs'!$B$8),ISNUMBER('Inputs'!$B$9),ISNUMBER('Inputs'!$B$10),ISNUMBER('Inputs'!$B$21),ISNUMBER('Inputs'!$B$24),ISNUMBER('Inputs'!$B$28)),((('Results'!C7*(1-'Inputs'!$B$24)*(0.5*(((AM9+'Inputs'!$B$21)+'Inputs'!$B$9)/SQRT(((AM9+'Inputs'!$B$21)+'Inputs'!$B$9)^2+('Inputs'!$B$8/2)^2)-((AM9+'Inputs'!$B$21))/SQRT(((AM9+'Inputs'!$B$21))^2+('Inputs'!$B$8/2)^2)))-'Results'!B7*(1+'Inputs'!$B$24)*(0.5*(((AM9+'Inputs'!$B$21+'Inputs'!$B$9+'Inputs'!$B$10)+'Inputs'!$B$7)/SQRT(((AM9+'Inputs'!$B$21+'Inputs'!$B$9+'Inputs'!$B$10)+'Inputs'!$B$7)^2+('Inputs'!$B$6/2)^2)-((AM9+'Inputs'!$B$21+'Inputs'!$B$9+'Inputs'!$B$10))/SQRT(((AM9+'Inputs'!$B$21+'Inputs'!$B$9+'Inputs'!$B$10))^2+('Inputs'!$B$6/2)^2))))*'Results'!$B$8*'Results'!$B$9)-'Inputs'!$B$28*ABS((('Results'!C7*(1-'Inputs'!$B$24)*(0.5*(((AM9+'Inputs'!$B$21)+'Inputs'!$B$9)/SQRT(((AM9+'Inputs'!$B$21)+'Inputs'!$B$9)^2+('Inputs'!$B$8/2)^2)-((AM9+'Inputs'!$B$21))/SQRT(((AM9+'Inputs'!$B$21))^2+('Inputs'!$B$8/2)^2)))-'Results'!B7*(1+'Inputs'!$B$24)*(0.5*(((AM9+'Inputs'!$B$21+'Inputs'!$B$9+'Inputs'!$B$10)+'Inputs'!$B$7)/SQRT(((AM9+'Inputs'!$B$21+'Inputs'!$B$9+'Inputs'!$B$10)+'Inputs'!$B$7)^2+('Inputs'!$B$6/2)^2)-((AM9+'Inputs'!$B$21+'Inputs'!$B$9+'Inputs'!$B$10))/SQRT(((AM9+'Inputs'!$B$21+'Inputs'!$B$9+'Inputs'!$B$10))^2+('Inputs'!$B$6/2)^2))))*'Results'!$B$8*'Results'!$B$9))),"")</x:f>
        <x:v>76.86622125117196</x:v>
      </x:c>
      <x:c r="AO9" s="22"/>
      <x:c r="AP9" s="22"/>
      <x:c r="AQ9" s="22" t="n">
        <x:f>IF(AT8&gt;='Results'!C11,AS8,AQ8)</x:f>
        <x:v>5</x:v>
      </x:c>
      <x:c r="AR9" s="22" t="n">
        <x:f>IF(AT8&gt;='Results'!C11,AR8,AS8)</x:f>
        <x:v>10</x:v>
      </x:c>
      <x:c r="AS9" s="22" t="n">
        <x:f>(AQ9+AR9)/2</x:f>
        <x:v>7.5</x:v>
      </x:c>
      <x:c r="AT9" s="22" t="n">
        <x:f>IF(AND(ISNUMBER('Results'!C7),ISNUMBER('Results'!B7),ISNUMBER('Results'!$B$8),ISNUMBER('Results'!$B$9),ISNUMBER('Inputs'!$B$6),ISNUMBER('Inputs'!$B$7),ISNUMBER('Inputs'!$B$8),ISNUMBER('Inputs'!$B$9),ISNUMBER('Inputs'!$B$10),ISNUMBER('Inputs'!$B$21),ISNUMBER('Inputs'!$B$24),ISNUMBER('Inputs'!$B$28)),((('Results'!C7*(1+'Inputs'!$B$24)*(0.5*(((AS9+'Inputs'!$B$21)+'Inputs'!$B$9)/SQRT(((AS9+'Inputs'!$B$21)+'Inputs'!$B$9)^2+('Inputs'!$B$8/2)^2)-((AS9+'Inputs'!$B$21))/SQRT(((AS9+'Inputs'!$B$21))^2+('Inputs'!$B$8/2)^2)))-'Results'!B7*(1-'Inputs'!$B$24)*(0.5*(((AS9+'Inputs'!$B$21+'Inputs'!$B$9+'Inputs'!$B$10)+'Inputs'!$B$7)/SQRT(((AS9+'Inputs'!$B$21+'Inputs'!$B$9+'Inputs'!$B$10)+'Inputs'!$B$7)^2+('Inputs'!$B$6/2)^2)-((AS9+'Inputs'!$B$21+'Inputs'!$B$9+'Inputs'!$B$10))/SQRT(((AS9+'Inputs'!$B$21+'Inputs'!$B$9+'Inputs'!$B$10))^2+('Inputs'!$B$6/2)^2))))*'Results'!$B$8*'Results'!$B$9)+'Inputs'!$B$28*ABS((('Results'!C7*(1+'Inputs'!$B$24)*(0.5*(((AS9+'Inputs'!$B$21)+'Inputs'!$B$9)/SQRT(((AS9+'Inputs'!$B$21)+'Inputs'!$B$9)^2+('Inputs'!$B$8/2)^2)-((AS9+'Inputs'!$B$21))/SQRT(((AS9+'Inputs'!$B$21))^2+('Inputs'!$B$8/2)^2)))-'Results'!B7*(1-'Inputs'!$B$24)*(0.5*(((AS9+'Inputs'!$B$21+'Inputs'!$B$9+'Inputs'!$B$10)+'Inputs'!$B$7)/SQRT(((AS9+'Inputs'!$B$21+'Inputs'!$B$9+'Inputs'!$B$10)+'Inputs'!$B$7)^2+('Inputs'!$B$6/2)^2)-((AS9+'Inputs'!$B$21+'Inputs'!$B$9+'Inputs'!$B$10))/SQRT(((AS9+'Inputs'!$B$21+'Inputs'!$B$9+'Inputs'!$B$10))^2+('Inputs'!$B$6/2)^2))))*'Results'!$B$8*'Results'!$B$9))),"")</x:f>
        <x:v>91.57215583545063</x:v>
      </x:c>
      <x:c r="AU9" s="22"/>
      <x:c r="AV9" s="22"/>
      <x:c r="AW9" s="22" t="n">
        <x:f>IF(AZ8&gt;='Results'!C13,AY8,AW8)</x:f>
        <x:v>5</x:v>
      </x:c>
      <x:c r="AX9" s="22" t="n">
        <x:f>IF(AZ8&gt;='Results'!C13,AX8,AY8)</x:f>
        <x:v>10</x:v>
      </x:c>
      <x:c r="AY9" s="22" t="n">
        <x:f>(AW9+AX9)/2</x:f>
        <x:v>7.5</x:v>
      </x:c>
      <x:c r="AZ9" s="22" t="n">
        <x:f>IF(AND(ISNUMBER('Results'!C7),ISNUMBER('Results'!B7),ISNUMBER('Results'!$B$8),ISNUMBER('Results'!$B$9),ISNUMBER('Inputs'!$B$6),ISNUMBER('Inputs'!$B$7),ISNUMBER('Inputs'!$B$8),ISNUMBER('Inputs'!$B$9),ISNUMBER('Inputs'!$B$10),ISNUMBER('Inputs'!$B$21),ISNUMBER('Inputs'!$B$24),ISNUMBER('Inputs'!$B$28)),(('Results'!C7*(0.5*(((AY9+'Inputs'!$B$21)+'Inputs'!$B$9)/SQRT(((AY9+'Inputs'!$B$21)+'Inputs'!$B$9)^2+('Inputs'!$B$8/2)^2)-((AY9+'Inputs'!$B$21))/SQRT(((AY9+'Inputs'!$B$21))^2+('Inputs'!$B$8/2)^2)))-'Results'!B7*(0.5*(((AY9+'Inputs'!$B$21+'Inputs'!$B$9+'Inputs'!$B$10)+'Inputs'!$B$7)/SQRT(((AY9+'Inputs'!$B$21+'Inputs'!$B$9+'Inputs'!$B$10)+'Inputs'!$B$7)^2+('Inputs'!$B$6/2)^2)-((AY9+'Inputs'!$B$21+'Inputs'!$B$9+'Inputs'!$B$10))/SQRT(((AY9+'Inputs'!$B$21+'Inputs'!$B$9+'Inputs'!$B$10))^2+('Inputs'!$B$6/2)^2))))*'Results'!$B$8*'Results'!$B$9),"")</x:f>
        <x:v>84.06169441474118</x:v>
      </x:c>
      <x:c r="BA9" s="22"/>
      <x:c r="BB9" s="22"/>
      <x:c r="BC9" s="22" t="n">
        <x:f>IF(BF8&gt;='Results'!C14,BE8,BC8)</x:f>
        <x:v>5</x:v>
      </x:c>
      <x:c r="BD9" s="22" t="n">
        <x:f>IF(BF8&gt;='Results'!C14,BD8,BE8)</x:f>
        <x:v>10</x:v>
      </x:c>
      <x:c r="BE9" s="22" t="n">
        <x:f>(BC9+BD9)/2</x:f>
        <x:v>7.5</x:v>
      </x:c>
      <x:c r="BF9" s="22" t="n">
        <x:f>IF(AND(ISNUMBER('Results'!C7),ISNUMBER('Results'!B7),ISNUMBER('Results'!$B$8),ISNUMBER('Results'!$B$9),ISNUMBER('Inputs'!$B$6),ISNUMBER('Inputs'!$B$7),ISNUMBER('Inputs'!$B$8),ISNUMBER('Inputs'!$B$9),ISNUMBER('Inputs'!$B$10),ISNUMBER('Inputs'!$B$21),ISNUMBER('Inputs'!$B$24),ISNUMBER('Inputs'!$B$28)),((('Results'!C7*(1+'Inputs'!$B$24)*(0.5*(((BE9+'Inputs'!$B$21)+'Inputs'!$B$9)/SQRT(((BE9+'Inputs'!$B$21)+'Inputs'!$B$9)^2+('Inputs'!$B$8/2)^2)-((BE9+'Inputs'!$B$21))/SQRT(((BE9+'Inputs'!$B$21))^2+('Inputs'!$B$8/2)^2)))-'Results'!B7*(1-'Inputs'!$B$24)*(0.5*(((BE9+'Inputs'!$B$21+'Inputs'!$B$9+'Inputs'!$B$10)+'Inputs'!$B$7)/SQRT(((BE9+'Inputs'!$B$21+'Inputs'!$B$9+'Inputs'!$B$10)+'Inputs'!$B$7)^2+('Inputs'!$B$6/2)^2)-((BE9+'Inputs'!$B$21+'Inputs'!$B$9+'Inputs'!$B$10))/SQRT(((BE9+'Inputs'!$B$21+'Inputs'!$B$9+'Inputs'!$B$10))^2+('Inputs'!$B$6/2)^2))))*'Results'!$B$8*'Results'!$B$9)+'Inputs'!$B$28*ABS((('Results'!C7*(1+'Inputs'!$B$24)*(0.5*(((BE9+'Inputs'!$B$21)+'Inputs'!$B$9)/SQRT(((BE9+'Inputs'!$B$21)+'Inputs'!$B$9)^2+('Inputs'!$B$8/2)^2)-((BE9+'Inputs'!$B$21))/SQRT(((BE9+'Inputs'!$B$21))^2+('Inputs'!$B$8/2)^2)))-'Results'!B7*(1-'Inputs'!$B$24)*(0.5*(((BE9+'Inputs'!$B$21+'Inputs'!$B$9+'Inputs'!$B$10)+'Inputs'!$B$7)/SQRT(((BE9+'Inputs'!$B$21+'Inputs'!$B$9+'Inputs'!$B$10)+'Inputs'!$B$7)^2+('Inputs'!$B$6/2)^2)-((BE9+'Inputs'!$B$21+'Inputs'!$B$9+'Inputs'!$B$10))/SQRT(((BE9+'Inputs'!$B$21+'Inputs'!$B$9+'Inputs'!$B$10))^2+('Inputs'!$B$6/2)^2))))*'Results'!$B$8*'Results'!$B$9))),"")</x:f>
        <x:v>91.57215583545063</x:v>
      </x:c>
      <x:c r="BG9" s="22"/>
      <x:c r="BH9" s="22"/>
    </x:row>
    <x:row r="10" ht="22" customHeight="1">
      <x:c r="A10" s="22" t="n">
        <x:f>IF(D9&gt;='Results'!B10,C9,A9)</x:f>
        <x:v>5</x:v>
      </x:c>
      <x:c r="B10" s="22" t="n">
        <x:f>IF(D9&gt;='Results'!B10,B9,C9)</x:f>
        <x:v>7.5</x:v>
      </x:c>
      <x:c r="C10" s="22" t="n">
        <x:f>(A10+B10)/2</x:f>
        <x:v>6.25</x:v>
      </x:c>
      <x:c r="D10" s="22" t="n">
        <x:f>IF(AND(ISNUMBER('Results'!B7),ISNUMBER('Results'!C7),ISNUMBER('Results'!$B$8),ISNUMBER('Results'!$B$9),ISNUMBER('Inputs'!$B$6),ISNUMBER('Inputs'!$B$7),ISNUMBER('Inputs'!$B$8),ISNUMBER('Inputs'!$B$9),ISNUMBER('Inputs'!$B$10),ISNUMBER('Inputs'!$B$21),ISNUMBER('Inputs'!$B$24),ISNUMBER('Inputs'!$B$28)),(('Results'!B7*(0.5*(((C10+'Inputs'!$B$21)+'Inputs'!$B$7)/SQRT(((C10+'Inputs'!$B$21)+'Inputs'!$B$7)^2+('Inputs'!$B$6/2)^2)-((C10+'Inputs'!$B$21))/SQRT(((C10+'Inputs'!$B$21))^2+('Inputs'!$B$6/2)^2)))-'Results'!C7*(0.5*(((C10+'Inputs'!$B$21+'Inputs'!$B$7+'Inputs'!$B$10)+'Inputs'!$B$9)/SQRT(((C10+'Inputs'!$B$21+'Inputs'!$B$7+'Inputs'!$B$10)+'Inputs'!$B$9)^2+('Inputs'!$B$8/2)^2)-((C10+'Inputs'!$B$21+'Inputs'!$B$7+'Inputs'!$B$10))/SQRT(((C10+'Inputs'!$B$21+'Inputs'!$B$7+'Inputs'!$B$10))^2+('Inputs'!$B$8/2)^2))))*'Results'!$B$8*'Results'!$B$9),"")</x:f>
        <x:v>139.75836767629383</x:v>
      </x:c>
      <x:c r="E10" s="22"/>
      <x:c r="F10" s="22"/>
      <x:c r="G10" s="22" t="n">
        <x:f>IF(J9&gt;='Results'!B12,I9,G9)</x:f>
        <x:v>5</x:v>
      </x:c>
      <x:c r="H10" s="22" t="n">
        <x:f>IF(J9&gt;='Results'!B12,H9,I9)</x:f>
        <x:v>7.5</x:v>
      </x:c>
      <x:c r="I10" s="22" t="n">
        <x:f>(G10+H10)/2</x:f>
        <x:v>6.25</x:v>
      </x:c>
      <x:c r="J10" s="22" t="n">
        <x:f>IF(AND(ISNUMBER('Results'!B7),ISNUMBER('Results'!C7),ISNUMBER('Results'!$B$8),ISNUMBER('Results'!$B$9),ISNUMBER('Inputs'!$B$6),ISNUMBER('Inputs'!$B$7),ISNUMBER('Inputs'!$B$8),ISNUMBER('Inputs'!$B$9),ISNUMBER('Inputs'!$B$10),ISNUMBER('Inputs'!$B$21),ISNUMBER('Inputs'!$B$24),ISNUMBER('Inputs'!$B$28)),((('Results'!B7*(1-'Inputs'!$B$24)*(0.5*(((I10+'Inputs'!$B$21)+'Inputs'!$B$7)/SQRT(((I10+'Inputs'!$B$21)+'Inputs'!$B$7)^2+('Inputs'!$B$6/2)^2)-((I10+'Inputs'!$B$21))/SQRT(((I10+'Inputs'!$B$21))^2+('Inputs'!$B$6/2)^2)))-'Results'!C7*(1+'Inputs'!$B$24)*(0.5*(((I10+'Inputs'!$B$21+'Inputs'!$B$7+'Inputs'!$B$10)+'Inputs'!$B$9)/SQRT(((I10+'Inputs'!$B$21+'Inputs'!$B$7+'Inputs'!$B$10)+'Inputs'!$B$9)^2+('Inputs'!$B$8/2)^2)-((I10+'Inputs'!$B$21+'Inputs'!$B$7+'Inputs'!$B$10))/SQRT(((I10+'Inputs'!$B$21+'Inputs'!$B$7+'Inputs'!$B$10))^2+('Inputs'!$B$8/2)^2))))*'Results'!$B$8*'Results'!$B$9)-'Inputs'!$B$28*ABS((('Results'!B7*(1-'Inputs'!$B$24)*(0.5*(((I10+'Inputs'!$B$21)+'Inputs'!$B$7)/SQRT(((I10+'Inputs'!$B$21)+'Inputs'!$B$7)^2+('Inputs'!$B$6/2)^2)-((I10+'Inputs'!$B$21))/SQRT(((I10+'Inputs'!$B$21))^2+('Inputs'!$B$6/2)^2)))-'Results'!C7*(1+'Inputs'!$B$24)*(0.5*(((I10+'Inputs'!$B$21+'Inputs'!$B$7+'Inputs'!$B$10)+'Inputs'!$B$9)/SQRT(((I10+'Inputs'!$B$21+'Inputs'!$B$7+'Inputs'!$B$10)+'Inputs'!$B$9)^2+('Inputs'!$B$8/2)^2)-((I10+'Inputs'!$B$21+'Inputs'!$B$7+'Inputs'!$B$10))/SQRT(((I10+'Inputs'!$B$21+'Inputs'!$B$7+'Inputs'!$B$10))^2+('Inputs'!$B$8/2)^2))))*'Results'!$B$8*'Results'!$B$9))),"")</x:f>
        <x:v>128.29106326281047</x:v>
      </x:c>
      <x:c r="K10" s="22"/>
      <x:c r="L10" s="22"/>
      <x:c r="M10" s="22" t="n">
        <x:f>IF(P9&gt;='Results'!B11,O9,M9)</x:f>
        <x:v>7.5</x:v>
      </x:c>
      <x:c r="N10" s="22" t="n">
        <x:f>IF(P9&gt;='Results'!B11,N9,O9)</x:f>
        <x:v>10</x:v>
      </x:c>
      <x:c r="O10" s="22" t="n">
        <x:f>(M10+N10)/2</x:f>
        <x:v>8.75</x:v>
      </x:c>
      <x:c r="P10" s="22" t="n">
        <x:f>IF(AND(ISNUMBER('Results'!B7),ISNUMBER('Results'!C7),ISNUMBER('Results'!$B$8),ISNUMBER('Results'!$B$9),ISNUMBER('Inputs'!$B$6),ISNUMBER('Inputs'!$B$7),ISNUMBER('Inputs'!$B$8),ISNUMBER('Inputs'!$B$9),ISNUMBER('Inputs'!$B$10),ISNUMBER('Inputs'!$B$21),ISNUMBER('Inputs'!$B$24),ISNUMBER('Inputs'!$B$28)),((('Results'!B7*(1+'Inputs'!$B$24)*(0.5*(((O10+'Inputs'!$B$21)+'Inputs'!$B$7)/SQRT(((O10+'Inputs'!$B$21)+'Inputs'!$B$7)^2+('Inputs'!$B$6/2)^2)-((O10+'Inputs'!$B$21))/SQRT(((O10+'Inputs'!$B$21))^2+('Inputs'!$B$6/2)^2)))-'Results'!C7*(1-'Inputs'!$B$24)*(0.5*(((O10+'Inputs'!$B$21+'Inputs'!$B$7+'Inputs'!$B$10)+'Inputs'!$B$9)/SQRT(((O10+'Inputs'!$B$21+'Inputs'!$B$7+'Inputs'!$B$10)+'Inputs'!$B$9)^2+('Inputs'!$B$8/2)^2)-((O10+'Inputs'!$B$21+'Inputs'!$B$7+'Inputs'!$B$10))/SQRT(((O10+'Inputs'!$B$21+'Inputs'!$B$7+'Inputs'!$B$10))^2+('Inputs'!$B$8/2)^2))))*'Results'!$B$8*'Results'!$B$9)+'Inputs'!$B$28*ABS((('Results'!B7*(1+'Inputs'!$B$24)*(0.5*(((O10+'Inputs'!$B$21)+'Inputs'!$B$7)/SQRT(((O10+'Inputs'!$B$21)+'Inputs'!$B$7)^2+('Inputs'!$B$6/2)^2)-((O10+'Inputs'!$B$21))/SQRT(((O10+'Inputs'!$B$21))^2+('Inputs'!$B$6/2)^2)))-'Results'!C7*(1-'Inputs'!$B$24)*(0.5*(((O10+'Inputs'!$B$21+'Inputs'!$B$7+'Inputs'!$B$10)+'Inputs'!$B$9)/SQRT(((O10+'Inputs'!$B$21+'Inputs'!$B$7+'Inputs'!$B$10)+'Inputs'!$B$9)^2+('Inputs'!$B$8/2)^2)-((O10+'Inputs'!$B$21+'Inputs'!$B$7+'Inputs'!$B$10))/SQRT(((O10+'Inputs'!$B$21+'Inputs'!$B$7+'Inputs'!$B$10))^2+('Inputs'!$B$8/2)^2))))*'Results'!$B$8*'Results'!$B$9))),"")</x:f>
        <x:v>62.20000899128419</x:v>
      </x:c>
      <x:c r="Q10" s="22"/>
      <x:c r="R10" s="22"/>
      <x:c r="S10" s="22" t="n">
        <x:f>IF(V9&gt;='Results'!B13,U9,S9)</x:f>
        <x:v>7.5</x:v>
      </x:c>
      <x:c r="T10" s="22" t="n">
        <x:f>IF(V9&gt;='Results'!B13,T9,U9)</x:f>
        <x:v>10</x:v>
      </x:c>
      <x:c r="U10" s="22" t="n">
        <x:f>(S10+T10)/2</x:f>
        <x:v>8.75</x:v>
      </x:c>
      <x:c r="V10" s="22" t="n">
        <x:f>IF(AND(ISNUMBER('Results'!B7),ISNUMBER('Results'!C7),ISNUMBER('Results'!$B$8),ISNUMBER('Results'!$B$9),ISNUMBER('Inputs'!$B$6),ISNUMBER('Inputs'!$B$7),ISNUMBER('Inputs'!$B$8),ISNUMBER('Inputs'!$B$9),ISNUMBER('Inputs'!$B$10),ISNUMBER('Inputs'!$B$21),ISNUMBER('Inputs'!$B$24),ISNUMBER('Inputs'!$B$28)),(('Results'!B7*(0.5*(((U10+'Inputs'!$B$21)+'Inputs'!$B$7)/SQRT(((U10+'Inputs'!$B$21)+'Inputs'!$B$7)^2+('Inputs'!$B$6/2)^2)-((U10+'Inputs'!$B$21))/SQRT(((U10+'Inputs'!$B$21))^2+('Inputs'!$B$6/2)^2)))-'Results'!C7*(0.5*(((U10+'Inputs'!$B$21+'Inputs'!$B$7+'Inputs'!$B$10)+'Inputs'!$B$9)/SQRT(((U10+'Inputs'!$B$21+'Inputs'!$B$7+'Inputs'!$B$10)+'Inputs'!$B$9)^2+('Inputs'!$B$8/2)^2)-((U10+'Inputs'!$B$21+'Inputs'!$B$7+'Inputs'!$B$10))/SQRT(((U10+'Inputs'!$B$21+'Inputs'!$B$7+'Inputs'!$B$10))^2+('Inputs'!$B$8/2)^2))))*'Results'!$B$8*'Results'!$B$9),"")</x:f>
        <x:v>56.993194135960174</x:v>
      </x:c>
      <x:c r="W10" s="22"/>
      <x:c r="X10" s="22"/>
      <x:c r="Y10" s="22" t="n">
        <x:f>IF(AB9&gt;='Results'!B14,AA9,Y9)</x:f>
        <x:v>7.5</x:v>
      </x:c>
      <x:c r="Z10" s="22" t="n">
        <x:f>IF(AB9&gt;='Results'!B14,Z9,AA9)</x:f>
        <x:v>10</x:v>
      </x:c>
      <x:c r="AA10" s="22" t="n">
        <x:f>(Y10+Z10)/2</x:f>
        <x:v>8.75</x:v>
      </x:c>
      <x:c r="AB10" s="22" t="n">
        <x:f>IF(AND(ISNUMBER('Results'!B7),ISNUMBER('Results'!C7),ISNUMBER('Results'!$B$8),ISNUMBER('Results'!$B$9),ISNUMBER('Inputs'!$B$6),ISNUMBER('Inputs'!$B$7),ISNUMBER('Inputs'!$B$8),ISNUMBER('Inputs'!$B$9),ISNUMBER('Inputs'!$B$10),ISNUMBER('Inputs'!$B$21),ISNUMBER('Inputs'!$B$24),ISNUMBER('Inputs'!$B$28)),((('Results'!B7*(1+'Inputs'!$B$24)*(0.5*(((AA10+'Inputs'!$B$21)+'Inputs'!$B$7)/SQRT(((AA10+'Inputs'!$B$21)+'Inputs'!$B$7)^2+('Inputs'!$B$6/2)^2)-((AA10+'Inputs'!$B$21))/SQRT(((AA10+'Inputs'!$B$21))^2+('Inputs'!$B$6/2)^2)))-'Results'!C7*(1-'Inputs'!$B$24)*(0.5*(((AA10+'Inputs'!$B$21+'Inputs'!$B$7+'Inputs'!$B$10)+'Inputs'!$B$9)/SQRT(((AA10+'Inputs'!$B$21+'Inputs'!$B$7+'Inputs'!$B$10)+'Inputs'!$B$9)^2+('Inputs'!$B$8/2)^2)-((AA10+'Inputs'!$B$21+'Inputs'!$B$7+'Inputs'!$B$10))/SQRT(((AA10+'Inputs'!$B$21+'Inputs'!$B$7+'Inputs'!$B$10))^2+('Inputs'!$B$8/2)^2))))*'Results'!$B$8*'Results'!$B$9)+'Inputs'!$B$28*ABS((('Results'!B7*(1+'Inputs'!$B$24)*(0.5*(((AA10+'Inputs'!$B$21)+'Inputs'!$B$7)/SQRT(((AA10+'Inputs'!$B$21)+'Inputs'!$B$7)^2+('Inputs'!$B$6/2)^2)-((AA10+'Inputs'!$B$21))/SQRT(((AA10+'Inputs'!$B$21))^2+('Inputs'!$B$6/2)^2)))-'Results'!C7*(1-'Inputs'!$B$24)*(0.5*(((AA10+'Inputs'!$B$21+'Inputs'!$B$7+'Inputs'!$B$10)+'Inputs'!$B$9)/SQRT(((AA10+'Inputs'!$B$21+'Inputs'!$B$7+'Inputs'!$B$10)+'Inputs'!$B$9)^2+('Inputs'!$B$8/2)^2)-((AA10+'Inputs'!$B$21+'Inputs'!$B$7+'Inputs'!$B$10))/SQRT(((AA10+'Inputs'!$B$21+'Inputs'!$B$7+'Inputs'!$B$10))^2+('Inputs'!$B$8/2)^2))))*'Results'!$B$8*'Results'!$B$9))),"")</x:f>
        <x:v>62.20000899128419</x:v>
      </x:c>
      <x:c r="AC10" s="22"/>
      <x:c r="AD10" s="22"/>
      <x:c r="AE10" s="22" t="n">
        <x:f>IF(AH9&gt;='Results'!C10,AG9,AE9)</x:f>
        <x:v>5</x:v>
      </x:c>
      <x:c r="AF10" s="22" t="n">
        <x:f>IF(AH9&gt;='Results'!C10,AF9,AG9)</x:f>
        <x:v>7.5</x:v>
      </x:c>
      <x:c r="AG10" s="22" t="n">
        <x:f>(AE10+AF10)/2</x:f>
        <x:v>6.25</x:v>
      </x:c>
      <x:c r="AH10" s="22" t="n">
        <x:f>IF(AND(ISNUMBER('Results'!C7),ISNUMBER('Results'!B7),ISNUMBER('Results'!$B$8),ISNUMBER('Results'!$B$9),ISNUMBER('Inputs'!$B$6),ISNUMBER('Inputs'!$B$7),ISNUMBER('Inputs'!$B$8),ISNUMBER('Inputs'!$B$9),ISNUMBER('Inputs'!$B$10),ISNUMBER('Inputs'!$B$21),ISNUMBER('Inputs'!$B$24),ISNUMBER('Inputs'!$B$28)),(('Results'!C7*(0.5*(((AG10+'Inputs'!$B$21)+'Inputs'!$B$9)/SQRT(((AG10+'Inputs'!$B$21)+'Inputs'!$B$9)^2+('Inputs'!$B$8/2)^2)-((AG10+'Inputs'!$B$21))/SQRT(((AG10+'Inputs'!$B$21))^2+('Inputs'!$B$8/2)^2)))-'Results'!B7*(0.5*(((AG10+'Inputs'!$B$21+'Inputs'!$B$9+'Inputs'!$B$10)+'Inputs'!$B$7)/SQRT(((AG10+'Inputs'!$B$21+'Inputs'!$B$9+'Inputs'!$B$10)+'Inputs'!$B$7)^2+('Inputs'!$B$6/2)^2)-((AG10+'Inputs'!$B$21+'Inputs'!$B$9+'Inputs'!$B$10))/SQRT(((AG10+'Inputs'!$B$21+'Inputs'!$B$9+'Inputs'!$B$10))^2+('Inputs'!$B$6/2)^2))))*'Results'!$B$8*'Results'!$B$9),"")</x:f>
        <x:v>135.02363289700972</x:v>
      </x:c>
      <x:c r="AI10" s="22"/>
      <x:c r="AJ10" s="22"/>
      <x:c r="AK10" s="22" t="n">
        <x:f>IF(AN9&gt;='Results'!C12,AM9,AK9)</x:f>
        <x:v>5</x:v>
      </x:c>
      <x:c r="AL10" s="22" t="n">
        <x:f>IF(AN9&gt;='Results'!C12,AL9,AM9)</x:f>
        <x:v>7.5</x:v>
      </x:c>
      <x:c r="AM10" s="22" t="n">
        <x:f>(AK10+AL10)/2</x:f>
        <x:v>6.25</x:v>
      </x:c>
      <x:c r="AN10" s="22" t="n">
        <x:f>IF(AND(ISNUMBER('Results'!C7),ISNUMBER('Results'!B7),ISNUMBER('Results'!$B$8),ISNUMBER('Results'!$B$9),ISNUMBER('Inputs'!$B$6),ISNUMBER('Inputs'!$B$7),ISNUMBER('Inputs'!$B$8),ISNUMBER('Inputs'!$B$9),ISNUMBER('Inputs'!$B$10),ISNUMBER('Inputs'!$B$21),ISNUMBER('Inputs'!$B$24),ISNUMBER('Inputs'!$B$28)),((('Results'!C7*(1-'Inputs'!$B$24)*(0.5*(((AM10+'Inputs'!$B$21)+'Inputs'!$B$9)/SQRT(((AM10+'Inputs'!$B$21)+'Inputs'!$B$9)^2+('Inputs'!$B$8/2)^2)-((AM10+'Inputs'!$B$21))/SQRT(((AM10+'Inputs'!$B$21))^2+('Inputs'!$B$8/2)^2)))-'Results'!B7*(1+'Inputs'!$B$24)*(0.5*(((AM10+'Inputs'!$B$21+'Inputs'!$B$9+'Inputs'!$B$10)+'Inputs'!$B$7)/SQRT(((AM10+'Inputs'!$B$21+'Inputs'!$B$9+'Inputs'!$B$10)+'Inputs'!$B$7)^2+('Inputs'!$B$6/2)^2)-((AM10+'Inputs'!$B$21+'Inputs'!$B$9+'Inputs'!$B$10))/SQRT(((AM10+'Inputs'!$B$21+'Inputs'!$B$9+'Inputs'!$B$10))^2+('Inputs'!$B$6/2)^2))))*'Results'!$B$8*'Results'!$B$9)-'Inputs'!$B$28*ABS((('Results'!C7*(1-'Inputs'!$B$24)*(0.5*(((AM10+'Inputs'!$B$21)+'Inputs'!$B$9)/SQRT(((AM10+'Inputs'!$B$21)+'Inputs'!$B$9)^2+('Inputs'!$B$8/2)^2)-((AM10+'Inputs'!$B$21))/SQRT(((AM10+'Inputs'!$B$21))^2+('Inputs'!$B$8/2)^2)))-'Results'!B7*(1+'Inputs'!$B$24)*(0.5*(((AM10+'Inputs'!$B$21+'Inputs'!$B$9+'Inputs'!$B$10)+'Inputs'!$B$7)/SQRT(((AM10+'Inputs'!$B$21+'Inputs'!$B$9+'Inputs'!$B$10)+'Inputs'!$B$7)^2+('Inputs'!$B$6/2)^2)-((AM10+'Inputs'!$B$21+'Inputs'!$B$9+'Inputs'!$B$10))/SQRT(((AM10+'Inputs'!$B$21+'Inputs'!$B$9+'Inputs'!$B$10))^2+('Inputs'!$B$6/2)^2))))*'Results'!$B$8*'Results'!$B$9))),"")</x:f>
        <x:v>123.84580116199452</x:v>
      </x:c>
      <x:c r="AO10" s="22"/>
      <x:c r="AP10" s="22"/>
      <x:c r="AQ10" s="22" t="n">
        <x:f>IF(AT9&gt;='Results'!C11,AS9,AQ9)</x:f>
        <x:v>7.5</x:v>
      </x:c>
      <x:c r="AR10" s="22" t="n">
        <x:f>IF(AT9&gt;='Results'!C11,AR9,AS9)</x:f>
        <x:v>10</x:v>
      </x:c>
      <x:c r="AS10" s="22" t="n">
        <x:f>(AQ10+AR10)/2</x:f>
        <x:v>8.75</x:v>
      </x:c>
      <x:c r="AT10" s="22" t="n">
        <x:f>IF(AND(ISNUMBER('Results'!C7),ISNUMBER('Results'!B7),ISNUMBER('Results'!$B$8),ISNUMBER('Results'!$B$9),ISNUMBER('Inputs'!$B$6),ISNUMBER('Inputs'!$B$7),ISNUMBER('Inputs'!$B$8),ISNUMBER('Inputs'!$B$9),ISNUMBER('Inputs'!$B$10),ISNUMBER('Inputs'!$B$21),ISNUMBER('Inputs'!$B$24),ISNUMBER('Inputs'!$B$28)),((('Results'!C7*(1+'Inputs'!$B$24)*(0.5*(((AS10+'Inputs'!$B$21)+'Inputs'!$B$9)/SQRT(((AS10+'Inputs'!$B$21)+'Inputs'!$B$9)^2+('Inputs'!$B$8/2)^2)-((AS10+'Inputs'!$B$21))/SQRT(((AS10+'Inputs'!$B$21))^2+('Inputs'!$B$8/2)^2)))-'Results'!B7*(1-'Inputs'!$B$24)*(0.5*(((AS10+'Inputs'!$B$21+'Inputs'!$B$9+'Inputs'!$B$10)+'Inputs'!$B$7)/SQRT(((AS10+'Inputs'!$B$21+'Inputs'!$B$9+'Inputs'!$B$10)+'Inputs'!$B$7)^2+('Inputs'!$B$6/2)^2)-((AS10+'Inputs'!$B$21+'Inputs'!$B$9+'Inputs'!$B$10))/SQRT(((AS10+'Inputs'!$B$21+'Inputs'!$B$9+'Inputs'!$B$10))^2+('Inputs'!$B$6/2)^2))))*'Results'!$B$8*'Results'!$B$9)+'Inputs'!$B$28*ABS((('Results'!C7*(1+'Inputs'!$B$24)*(0.5*(((AS10+'Inputs'!$B$21)+'Inputs'!$B$9)/SQRT(((AS10+'Inputs'!$B$21)+'Inputs'!$B$9)^2+('Inputs'!$B$8/2)^2)-((AS10+'Inputs'!$B$21))/SQRT(((AS10+'Inputs'!$B$21))^2+('Inputs'!$B$8/2)^2)))-'Results'!B7*(1-'Inputs'!$B$24)*(0.5*(((AS10+'Inputs'!$B$21+'Inputs'!$B$9+'Inputs'!$B$10)+'Inputs'!$B$7)/SQRT(((AS10+'Inputs'!$B$21+'Inputs'!$B$9+'Inputs'!$B$10)+'Inputs'!$B$7)^2+('Inputs'!$B$6/2)^2)-((AS10+'Inputs'!$B$21+'Inputs'!$B$9+'Inputs'!$B$10))/SQRT(((AS10+'Inputs'!$B$21+'Inputs'!$B$9+'Inputs'!$B$10))^2+('Inputs'!$B$6/2)^2))))*'Results'!$B$8*'Results'!$B$9))),"")</x:f>
        <x:v>59.807313720504375</x:v>
      </x:c>
      <x:c r="AU10" s="22"/>
      <x:c r="AV10" s="22"/>
      <x:c r="AW10" s="22" t="n">
        <x:f>IF(AZ9&gt;='Results'!C13,AY9,AW9)</x:f>
        <x:v>7.5</x:v>
      </x:c>
      <x:c r="AX10" s="22" t="n">
        <x:f>IF(AZ9&gt;='Results'!C13,AX9,AY9)</x:f>
        <x:v>10</x:v>
      </x:c>
      <x:c r="AY10" s="22" t="n">
        <x:f>(AW10+AX10)/2</x:f>
        <x:v>8.75</x:v>
      </x:c>
      <x:c r="AZ10" s="22" t="n">
        <x:f>IF(AND(ISNUMBER('Results'!C7),ISNUMBER('Results'!B7),ISNUMBER('Results'!$B$8),ISNUMBER('Results'!$B$9),ISNUMBER('Inputs'!$B$6),ISNUMBER('Inputs'!$B$7),ISNUMBER('Inputs'!$B$8),ISNUMBER('Inputs'!$B$9),ISNUMBER('Inputs'!$B$10),ISNUMBER('Inputs'!$B$21),ISNUMBER('Inputs'!$B$24),ISNUMBER('Inputs'!$B$28)),(('Results'!C7*(0.5*(((AY10+'Inputs'!$B$21)+'Inputs'!$B$9)/SQRT(((AY10+'Inputs'!$B$21)+'Inputs'!$B$9)^2+('Inputs'!$B$8/2)^2)-((AY10+'Inputs'!$B$21))/SQRT(((AY10+'Inputs'!$B$21))^2+('Inputs'!$B$8/2)^2)))-'Results'!B7*(0.5*(((AY10+'Inputs'!$B$21+'Inputs'!$B$9+'Inputs'!$B$10)+'Inputs'!$B$7)/SQRT(((AY10+'Inputs'!$B$21+'Inputs'!$B$9+'Inputs'!$B$10)+'Inputs'!$B$7)^2+('Inputs'!$B$6/2)^2)-((AY10+'Inputs'!$B$21+'Inputs'!$B$9+'Inputs'!$B$10))/SQRT(((AY10+'Inputs'!$B$21+'Inputs'!$B$9+'Inputs'!$B$10))^2+('Inputs'!$B$6/2)^2))))*'Results'!$B$8*'Results'!$B$9),"")</x:f>
        <x:v>54.73700849332442</x:v>
      </x:c>
      <x:c r="BA10" s="22"/>
      <x:c r="BB10" s="22"/>
      <x:c r="BC10" s="22" t="n">
        <x:f>IF(BF9&gt;='Results'!C14,BE9,BC9)</x:f>
        <x:v>7.5</x:v>
      </x:c>
      <x:c r="BD10" s="22" t="n">
        <x:f>IF(BF9&gt;='Results'!C14,BD9,BE9)</x:f>
        <x:v>10</x:v>
      </x:c>
      <x:c r="BE10" s="22" t="n">
        <x:f>(BC10+BD10)/2</x:f>
        <x:v>8.75</x:v>
      </x:c>
      <x:c r="BF10" s="22" t="n">
        <x:f>IF(AND(ISNUMBER('Results'!C7),ISNUMBER('Results'!B7),ISNUMBER('Results'!$B$8),ISNUMBER('Results'!$B$9),ISNUMBER('Inputs'!$B$6),ISNUMBER('Inputs'!$B$7),ISNUMBER('Inputs'!$B$8),ISNUMBER('Inputs'!$B$9),ISNUMBER('Inputs'!$B$10),ISNUMBER('Inputs'!$B$21),ISNUMBER('Inputs'!$B$24),ISNUMBER('Inputs'!$B$28)),((('Results'!C7*(1+'Inputs'!$B$24)*(0.5*(((BE10+'Inputs'!$B$21)+'Inputs'!$B$9)/SQRT(((BE10+'Inputs'!$B$21)+'Inputs'!$B$9)^2+('Inputs'!$B$8/2)^2)-((BE10+'Inputs'!$B$21))/SQRT(((BE10+'Inputs'!$B$21))^2+('Inputs'!$B$8/2)^2)))-'Results'!B7*(1-'Inputs'!$B$24)*(0.5*(((BE10+'Inputs'!$B$21+'Inputs'!$B$9+'Inputs'!$B$10)+'Inputs'!$B$7)/SQRT(((BE10+'Inputs'!$B$21+'Inputs'!$B$9+'Inputs'!$B$10)+'Inputs'!$B$7)^2+('Inputs'!$B$6/2)^2)-((BE10+'Inputs'!$B$21+'Inputs'!$B$9+'Inputs'!$B$10))/SQRT(((BE10+'Inputs'!$B$21+'Inputs'!$B$9+'Inputs'!$B$10))^2+('Inputs'!$B$6/2)^2))))*'Results'!$B$8*'Results'!$B$9)+'Inputs'!$B$28*ABS((('Results'!C7*(1+'Inputs'!$B$24)*(0.5*(((BE10+'Inputs'!$B$21)+'Inputs'!$B$9)/SQRT(((BE10+'Inputs'!$B$21)+'Inputs'!$B$9)^2+('Inputs'!$B$8/2)^2)-((BE10+'Inputs'!$B$21))/SQRT(((BE10+'Inputs'!$B$21))^2+('Inputs'!$B$8/2)^2)))-'Results'!B7*(1-'Inputs'!$B$24)*(0.5*(((BE10+'Inputs'!$B$21+'Inputs'!$B$9+'Inputs'!$B$10)+'Inputs'!$B$7)/SQRT(((BE10+'Inputs'!$B$21+'Inputs'!$B$9+'Inputs'!$B$10)+'Inputs'!$B$7)^2+('Inputs'!$B$6/2)^2)-((BE10+'Inputs'!$B$21+'Inputs'!$B$9+'Inputs'!$B$10))/SQRT(((BE10+'Inputs'!$B$21+'Inputs'!$B$9+'Inputs'!$B$10))^2+('Inputs'!$B$6/2)^2))))*'Results'!$B$8*'Results'!$B$9))),"")</x:f>
        <x:v>59.807313720504375</x:v>
      </x:c>
      <x:c r="BG10" s="22"/>
      <x:c r="BH10" s="22"/>
    </x:row>
    <x:row r="11" ht="22" customHeight="1">
      <x:c r="A11" s="22" t="n">
        <x:f>IF(D10&gt;='Results'!B10,C10,A10)</x:f>
        <x:v>6.25</x:v>
      </x:c>
      <x:c r="B11" s="22" t="n">
        <x:f>IF(D10&gt;='Results'!B10,B10,C10)</x:f>
        <x:v>7.5</x:v>
      </x:c>
      <x:c r="C11" s="22" t="n">
        <x:f>(A11+B11)/2</x:f>
        <x:v>6.875</x:v>
      </x:c>
      <x:c r="D11" s="22" t="n">
        <x:f>IF(AND(ISNUMBER('Results'!B7),ISNUMBER('Results'!C7),ISNUMBER('Results'!$B$8),ISNUMBER('Results'!$B$9),ISNUMBER('Inputs'!$B$6),ISNUMBER('Inputs'!$B$7),ISNUMBER('Inputs'!$B$8),ISNUMBER('Inputs'!$B$9),ISNUMBER('Inputs'!$B$10),ISNUMBER('Inputs'!$B$21),ISNUMBER('Inputs'!$B$24),ISNUMBER('Inputs'!$B$28)),(('Results'!B7*(0.5*(((C11+'Inputs'!$B$21)+'Inputs'!$B$7)/SQRT(((C11+'Inputs'!$B$21)+'Inputs'!$B$7)^2+('Inputs'!$B$6/2)^2)-((C11+'Inputs'!$B$21))/SQRT(((C11+'Inputs'!$B$21))^2+('Inputs'!$B$6/2)^2)))-'Results'!C7*(0.5*(((C11+'Inputs'!$B$21+'Inputs'!$B$7+'Inputs'!$B$10)+'Inputs'!$B$9)/SQRT(((C11+'Inputs'!$B$21+'Inputs'!$B$7+'Inputs'!$B$10)+'Inputs'!$B$9)^2+('Inputs'!$B$8/2)^2)-((C11+'Inputs'!$B$21+'Inputs'!$B$7+'Inputs'!$B$10))/SQRT(((C11+'Inputs'!$B$21+'Inputs'!$B$7+'Inputs'!$B$10))^2+('Inputs'!$B$8/2)^2))))*'Results'!$B$8*'Results'!$B$9),"")</x:f>
        <x:v>109.76716618558028</x:v>
      </x:c>
      <x:c r="E11" s="22"/>
      <x:c r="F11" s="22"/>
      <x:c r="G11" s="22" t="n">
        <x:f>IF(J10&gt;='Results'!B12,I10,G10)</x:f>
        <x:v>6.25</x:v>
      </x:c>
      <x:c r="H11" s="22" t="n">
        <x:f>IF(J10&gt;='Results'!B12,H10,I10)</x:f>
        <x:v>7.5</x:v>
      </x:c>
      <x:c r="I11" s="22" t="n">
        <x:f>(G11+H11)/2</x:f>
        <x:v>6.875</x:v>
      </x:c>
      <x:c r="J11" s="22" t="n">
        <x:f>IF(AND(ISNUMBER('Results'!B7),ISNUMBER('Results'!C7),ISNUMBER('Results'!$B$8),ISNUMBER('Results'!$B$9),ISNUMBER('Inputs'!$B$6),ISNUMBER('Inputs'!$B$7),ISNUMBER('Inputs'!$B$8),ISNUMBER('Inputs'!$B$9),ISNUMBER('Inputs'!$B$10),ISNUMBER('Inputs'!$B$21),ISNUMBER('Inputs'!$B$24),ISNUMBER('Inputs'!$B$28)),((('Results'!B7*(1-'Inputs'!$B$24)*(0.5*(((I11+'Inputs'!$B$21)+'Inputs'!$B$7)/SQRT(((I11+'Inputs'!$B$21)+'Inputs'!$B$7)^2+('Inputs'!$B$6/2)^2)-((I11+'Inputs'!$B$21))/SQRT(((I11+'Inputs'!$B$21))^2+('Inputs'!$B$6/2)^2)))-'Results'!C7*(1+'Inputs'!$B$24)*(0.5*(((I11+'Inputs'!$B$21+'Inputs'!$B$7+'Inputs'!$B$10)+'Inputs'!$B$9)/SQRT(((I11+'Inputs'!$B$21+'Inputs'!$B$7+'Inputs'!$B$10)+'Inputs'!$B$9)^2+('Inputs'!$B$8/2)^2)-((I11+'Inputs'!$B$21+'Inputs'!$B$7+'Inputs'!$B$10))/SQRT(((I11+'Inputs'!$B$21+'Inputs'!$B$7+'Inputs'!$B$10))^2+('Inputs'!$B$8/2)^2))))*'Results'!$B$8*'Results'!$B$9)-'Inputs'!$B$28*ABS((('Results'!B7*(1-'Inputs'!$B$24)*(0.5*(((I11+'Inputs'!$B$21)+'Inputs'!$B$7)/SQRT(((I11+'Inputs'!$B$21)+'Inputs'!$B$7)^2+('Inputs'!$B$6/2)^2)-((I11+'Inputs'!$B$21))/SQRT(((I11+'Inputs'!$B$21))^2+('Inputs'!$B$6/2)^2)))-'Results'!C7*(1+'Inputs'!$B$24)*(0.5*(((I11+'Inputs'!$B$21+'Inputs'!$B$7+'Inputs'!$B$10)+'Inputs'!$B$9)/SQRT(((I11+'Inputs'!$B$21+'Inputs'!$B$7+'Inputs'!$B$10)+'Inputs'!$B$9)^2+('Inputs'!$B$8/2)^2)-((I11+'Inputs'!$B$21+'Inputs'!$B$7+'Inputs'!$B$10))/SQRT(((I11+'Inputs'!$B$21+'Inputs'!$B$7+'Inputs'!$B$10))^2+('Inputs'!$B$8/2)^2))))*'Results'!$B$8*'Results'!$B$9))),"")</x:f>
        <x:v>100.61911209704529</x:v>
      </x:c>
      <x:c r="K11" s="22"/>
      <x:c r="L11" s="22"/>
      <x:c r="M11" s="22" t="n">
        <x:f>IF(P10&gt;='Results'!B11,O10,M10)</x:f>
        <x:v>7.5</x:v>
      </x:c>
      <x:c r="N11" s="22" t="n">
        <x:f>IF(P10&gt;='Results'!B11,N10,O10)</x:f>
        <x:v>8.75</x:v>
      </x:c>
      <x:c r="O11" s="22" t="n">
        <x:f>(M11+N11)/2</x:f>
        <x:v>8.125</x:v>
      </x:c>
      <x:c r="P11" s="22" t="n">
        <x:f>IF(AND(ISNUMBER('Results'!B7),ISNUMBER('Results'!C7),ISNUMBER('Results'!$B$8),ISNUMBER('Results'!$B$9),ISNUMBER('Inputs'!$B$6),ISNUMBER('Inputs'!$B$7),ISNUMBER('Inputs'!$B$8),ISNUMBER('Inputs'!$B$9),ISNUMBER('Inputs'!$B$10),ISNUMBER('Inputs'!$B$21),ISNUMBER('Inputs'!$B$24),ISNUMBER('Inputs'!$B$28)),((('Results'!B7*(1+'Inputs'!$B$24)*(0.5*(((O11+'Inputs'!$B$21)+'Inputs'!$B$7)/SQRT(((O11+'Inputs'!$B$21)+'Inputs'!$B$7)^2+('Inputs'!$B$6/2)^2)-((O11+'Inputs'!$B$21))/SQRT(((O11+'Inputs'!$B$21))^2+('Inputs'!$B$6/2)^2)))-'Results'!C7*(1-'Inputs'!$B$24)*(0.5*(((O11+'Inputs'!$B$21+'Inputs'!$B$7+'Inputs'!$B$10)+'Inputs'!$B$9)/SQRT(((O11+'Inputs'!$B$21+'Inputs'!$B$7+'Inputs'!$B$10)+'Inputs'!$B$9)^2+('Inputs'!$B$8/2)^2)-((O11+'Inputs'!$B$21+'Inputs'!$B$7+'Inputs'!$B$10))/SQRT(((O11+'Inputs'!$B$21+'Inputs'!$B$7+'Inputs'!$B$10))^2+('Inputs'!$B$8/2)^2))))*'Results'!$B$8*'Results'!$B$9)+'Inputs'!$B$28*ABS((('Results'!B7*(1+'Inputs'!$B$24)*(0.5*(((O11+'Inputs'!$B$21)+'Inputs'!$B$7)/SQRT(((O11+'Inputs'!$B$21)+'Inputs'!$B$7)^2+('Inputs'!$B$6/2)^2)-((O11+'Inputs'!$B$21))/SQRT(((O11+'Inputs'!$B$21))^2+('Inputs'!$B$6/2)^2)))-'Results'!C7*(1-'Inputs'!$B$24)*(0.5*(((O11+'Inputs'!$B$21+'Inputs'!$B$7+'Inputs'!$B$10)+'Inputs'!$B$9)/SQRT(((O11+'Inputs'!$B$21+'Inputs'!$B$7+'Inputs'!$B$10)+'Inputs'!$B$9)^2+('Inputs'!$B$8/2)^2)-((O11+'Inputs'!$B$21+'Inputs'!$B$7+'Inputs'!$B$10))/SQRT(((O11+'Inputs'!$B$21+'Inputs'!$B$7+'Inputs'!$B$10))^2+('Inputs'!$B$8/2)^2))))*'Results'!$B$8*'Results'!$B$9))),"")</x:f>
        <x:v>76.45630004441446</x:v>
      </x:c>
      <x:c r="Q11" s="22"/>
      <x:c r="R11" s="22"/>
      <x:c r="S11" s="22" t="n">
        <x:f>IF(V10&gt;='Results'!B13,U10,S10)</x:f>
        <x:v>7.5</x:v>
      </x:c>
      <x:c r="T11" s="22" t="n">
        <x:f>IF(V10&gt;='Results'!B13,T10,U10)</x:f>
        <x:v>8.75</x:v>
      </x:c>
      <x:c r="U11" s="22" t="n">
        <x:f>(S11+T11)/2</x:f>
        <x:v>8.125</x:v>
      </x:c>
      <x:c r="V11" s="22" t="n">
        <x:f>IF(AND(ISNUMBER('Results'!B7),ISNUMBER('Results'!C7),ISNUMBER('Results'!$B$8),ISNUMBER('Results'!$B$9),ISNUMBER('Inputs'!$B$6),ISNUMBER('Inputs'!$B$7),ISNUMBER('Inputs'!$B$8),ISNUMBER('Inputs'!$B$9),ISNUMBER('Inputs'!$B$10),ISNUMBER('Inputs'!$B$21),ISNUMBER('Inputs'!$B$24),ISNUMBER('Inputs'!$B$28)),(('Results'!B7*(0.5*(((U11+'Inputs'!$B$21)+'Inputs'!$B$7)/SQRT(((U11+'Inputs'!$B$21)+'Inputs'!$B$7)^2+('Inputs'!$B$6/2)^2)-((U11+'Inputs'!$B$21))/SQRT(((U11+'Inputs'!$B$21))^2+('Inputs'!$B$6/2)^2)))-'Results'!C7*(0.5*(((U11+'Inputs'!$B$21+'Inputs'!$B$7+'Inputs'!$B$10)+'Inputs'!$B$9)/SQRT(((U11+'Inputs'!$B$21+'Inputs'!$B$7+'Inputs'!$B$10)+'Inputs'!$B$9)^2+('Inputs'!$B$8/2)^2)-((U11+'Inputs'!$B$21+'Inputs'!$B$7+'Inputs'!$B$10))/SQRT(((U11+'Inputs'!$B$21+'Inputs'!$B$7+'Inputs'!$B$10))^2+('Inputs'!$B$8/2)^2))))*'Results'!$B$8*'Results'!$B$9),"")</x:f>
        <x:v>70.15476285760793</x:v>
      </x:c>
      <x:c r="W11" s="22"/>
      <x:c r="X11" s="22"/>
      <x:c r="Y11" s="22" t="n">
        <x:f>IF(AB10&gt;='Results'!B14,AA10,Y10)</x:f>
        <x:v>7.5</x:v>
      </x:c>
      <x:c r="Z11" s="22" t="n">
        <x:f>IF(AB10&gt;='Results'!B14,Z10,AA10)</x:f>
        <x:v>8.75</x:v>
      </x:c>
      <x:c r="AA11" s="22" t="n">
        <x:f>(Y11+Z11)/2</x:f>
        <x:v>8.125</x:v>
      </x:c>
      <x:c r="AB11" s="22" t="n">
        <x:f>IF(AND(ISNUMBER('Results'!B7),ISNUMBER('Results'!C7),ISNUMBER('Results'!$B$8),ISNUMBER('Results'!$B$9),ISNUMBER('Inputs'!$B$6),ISNUMBER('Inputs'!$B$7),ISNUMBER('Inputs'!$B$8),ISNUMBER('Inputs'!$B$9),ISNUMBER('Inputs'!$B$10),ISNUMBER('Inputs'!$B$21),ISNUMBER('Inputs'!$B$24),ISNUMBER('Inputs'!$B$28)),((('Results'!B7*(1+'Inputs'!$B$24)*(0.5*(((AA11+'Inputs'!$B$21)+'Inputs'!$B$7)/SQRT(((AA11+'Inputs'!$B$21)+'Inputs'!$B$7)^2+('Inputs'!$B$6/2)^2)-((AA11+'Inputs'!$B$21))/SQRT(((AA11+'Inputs'!$B$21))^2+('Inputs'!$B$6/2)^2)))-'Results'!C7*(1-'Inputs'!$B$24)*(0.5*(((AA11+'Inputs'!$B$21+'Inputs'!$B$7+'Inputs'!$B$10)+'Inputs'!$B$9)/SQRT(((AA11+'Inputs'!$B$21+'Inputs'!$B$7+'Inputs'!$B$10)+'Inputs'!$B$9)^2+('Inputs'!$B$8/2)^2)-((AA11+'Inputs'!$B$21+'Inputs'!$B$7+'Inputs'!$B$10))/SQRT(((AA11+'Inputs'!$B$21+'Inputs'!$B$7+'Inputs'!$B$10))^2+('Inputs'!$B$8/2)^2))))*'Results'!$B$8*'Results'!$B$9)+'Inputs'!$B$28*ABS((('Results'!B7*(1+'Inputs'!$B$24)*(0.5*(((AA11+'Inputs'!$B$21)+'Inputs'!$B$7)/SQRT(((AA11+'Inputs'!$B$21)+'Inputs'!$B$7)^2+('Inputs'!$B$6/2)^2)-((AA11+'Inputs'!$B$21))/SQRT(((AA11+'Inputs'!$B$21))^2+('Inputs'!$B$6/2)^2)))-'Results'!C7*(1-'Inputs'!$B$24)*(0.5*(((AA11+'Inputs'!$B$21+'Inputs'!$B$7+'Inputs'!$B$10)+'Inputs'!$B$9)/SQRT(((AA11+'Inputs'!$B$21+'Inputs'!$B$7+'Inputs'!$B$10)+'Inputs'!$B$9)^2+('Inputs'!$B$8/2)^2)-((AA11+'Inputs'!$B$21+'Inputs'!$B$7+'Inputs'!$B$10))/SQRT(((AA11+'Inputs'!$B$21+'Inputs'!$B$7+'Inputs'!$B$10))^2+('Inputs'!$B$8/2)^2))))*'Results'!$B$8*'Results'!$B$9))),"")</x:f>
        <x:v>76.45630004441446</x:v>
      </x:c>
      <x:c r="AC11" s="22"/>
      <x:c r="AD11" s="22"/>
      <x:c r="AE11" s="22" t="n">
        <x:f>IF(AH10&gt;='Results'!C10,AG10,AE10)</x:f>
        <x:v>6.25</x:v>
      </x:c>
      <x:c r="AF11" s="22" t="n">
        <x:f>IF(AH10&gt;='Results'!C10,AF10,AG10)</x:f>
        <x:v>7.5</x:v>
      </x:c>
      <x:c r="AG11" s="22" t="n">
        <x:f>(AE11+AF11)/2</x:f>
        <x:v>6.875</x:v>
      </x:c>
      <x:c r="AH11" s="22" t="n">
        <x:f>IF(AND(ISNUMBER('Results'!C7),ISNUMBER('Results'!B7),ISNUMBER('Results'!$B$8),ISNUMBER('Results'!$B$9),ISNUMBER('Inputs'!$B$6),ISNUMBER('Inputs'!$B$7),ISNUMBER('Inputs'!$B$8),ISNUMBER('Inputs'!$B$9),ISNUMBER('Inputs'!$B$10),ISNUMBER('Inputs'!$B$21),ISNUMBER('Inputs'!$B$24),ISNUMBER('Inputs'!$B$28)),(('Results'!C7*(0.5*(((AG11+'Inputs'!$B$21)+'Inputs'!$B$9)/SQRT(((AG11+'Inputs'!$B$21)+'Inputs'!$B$9)^2+('Inputs'!$B$8/2)^2)-((AG11+'Inputs'!$B$21))/SQRT(((AG11+'Inputs'!$B$21))^2+('Inputs'!$B$8/2)^2)))-'Results'!B7*(0.5*(((AG11+'Inputs'!$B$21+'Inputs'!$B$9+'Inputs'!$B$10)+'Inputs'!$B$7)/SQRT(((AG11+'Inputs'!$B$21+'Inputs'!$B$9+'Inputs'!$B$10)+'Inputs'!$B$7)^2+('Inputs'!$B$6/2)^2)-((AG11+'Inputs'!$B$21+'Inputs'!$B$9+'Inputs'!$B$10))/SQRT(((AG11+'Inputs'!$B$21+'Inputs'!$B$9+'Inputs'!$B$10))^2+('Inputs'!$B$6/2)^2))))*'Results'!$B$8*'Results'!$B$9),"")</x:f>
        <x:v>105.89794700202695</x:v>
      </x:c>
      <x:c r="AI11" s="22"/>
      <x:c r="AJ11" s="22"/>
      <x:c r="AK11" s="22" t="n">
        <x:f>IF(AN10&gt;='Results'!C12,AM10,AK10)</x:f>
        <x:v>6.25</x:v>
      </x:c>
      <x:c r="AL11" s="22" t="n">
        <x:f>IF(AN10&gt;='Results'!C12,AL10,AM10)</x:f>
        <x:v>7.5</x:v>
      </x:c>
      <x:c r="AM11" s="22" t="n">
        <x:f>(AK11+AL11)/2</x:f>
        <x:v>6.875</x:v>
      </x:c>
      <x:c r="AN11" s="22" t="n">
        <x:f>IF(AND(ISNUMBER('Results'!C7),ISNUMBER('Results'!B7),ISNUMBER('Results'!$B$8),ISNUMBER('Results'!$B$9),ISNUMBER('Inputs'!$B$6),ISNUMBER('Inputs'!$B$7),ISNUMBER('Inputs'!$B$8),ISNUMBER('Inputs'!$B$9),ISNUMBER('Inputs'!$B$10),ISNUMBER('Inputs'!$B$21),ISNUMBER('Inputs'!$B$24),ISNUMBER('Inputs'!$B$28)),((('Results'!C7*(1-'Inputs'!$B$24)*(0.5*(((AM11+'Inputs'!$B$21)+'Inputs'!$B$9)/SQRT(((AM11+'Inputs'!$B$21)+'Inputs'!$B$9)^2+('Inputs'!$B$8/2)^2)-((AM11+'Inputs'!$B$21))/SQRT(((AM11+'Inputs'!$B$21))^2+('Inputs'!$B$8/2)^2)))-'Results'!B7*(1+'Inputs'!$B$24)*(0.5*(((AM11+'Inputs'!$B$21+'Inputs'!$B$9+'Inputs'!$B$10)+'Inputs'!$B$7)/SQRT(((AM11+'Inputs'!$B$21+'Inputs'!$B$9+'Inputs'!$B$10)+'Inputs'!$B$7)^2+('Inputs'!$B$6/2)^2)-((AM11+'Inputs'!$B$21+'Inputs'!$B$9+'Inputs'!$B$10))/SQRT(((AM11+'Inputs'!$B$21+'Inputs'!$B$9+'Inputs'!$B$10))^2+('Inputs'!$B$6/2)^2))))*'Results'!$B$8*'Results'!$B$9)-'Inputs'!$B$28*ABS((('Results'!C7*(1-'Inputs'!$B$24)*(0.5*(((AM11+'Inputs'!$B$21)+'Inputs'!$B$9)/SQRT(((AM11+'Inputs'!$B$21)+'Inputs'!$B$9)^2+('Inputs'!$B$8/2)^2)-((AM11+'Inputs'!$B$21))/SQRT(((AM11+'Inputs'!$B$21))^2+('Inputs'!$B$8/2)^2)))-'Results'!B7*(1+'Inputs'!$B$24)*(0.5*(((AM11+'Inputs'!$B$21+'Inputs'!$B$9+'Inputs'!$B$10)+'Inputs'!$B$7)/SQRT(((AM11+'Inputs'!$B$21+'Inputs'!$B$9+'Inputs'!$B$10)+'Inputs'!$B$7)^2+('Inputs'!$B$6/2)^2)-((AM11+'Inputs'!$B$21+'Inputs'!$B$9+'Inputs'!$B$10))/SQRT(((AM11+'Inputs'!$B$21+'Inputs'!$B$9+'Inputs'!$B$10))^2+('Inputs'!$B$6/2)^2))))*'Results'!$B$8*'Results'!$B$9))),"")</x:f>
        <x:v>96.98474414691773</x:v>
      </x:c>
      <x:c r="AO11" s="22"/>
      <x:c r="AP11" s="22"/>
      <x:c r="AQ11" s="22" t="n">
        <x:f>IF(AT10&gt;='Results'!C11,AS10,AQ10)</x:f>
        <x:v>7.5</x:v>
      </x:c>
      <x:c r="AR11" s="22" t="n">
        <x:f>IF(AT10&gt;='Results'!C11,AR10,AS10)</x:f>
        <x:v>8.75</x:v>
      </x:c>
      <x:c r="AS11" s="22" t="n">
        <x:f>(AQ11+AR11)/2</x:f>
        <x:v>8.125</x:v>
      </x:c>
      <x:c r="AT11" s="22" t="n">
        <x:f>IF(AND(ISNUMBER('Results'!C7),ISNUMBER('Results'!B7),ISNUMBER('Results'!$B$8),ISNUMBER('Results'!$B$9),ISNUMBER('Inputs'!$B$6),ISNUMBER('Inputs'!$B$7),ISNUMBER('Inputs'!$B$8),ISNUMBER('Inputs'!$B$9),ISNUMBER('Inputs'!$B$10),ISNUMBER('Inputs'!$B$21),ISNUMBER('Inputs'!$B$24),ISNUMBER('Inputs'!$B$28)),((('Results'!C7*(1+'Inputs'!$B$24)*(0.5*(((AS11+'Inputs'!$B$21)+'Inputs'!$B$9)/SQRT(((AS11+'Inputs'!$B$21)+'Inputs'!$B$9)^2+('Inputs'!$B$8/2)^2)-((AS11+'Inputs'!$B$21))/SQRT(((AS11+'Inputs'!$B$21))^2+('Inputs'!$B$8/2)^2)))-'Results'!B7*(1-'Inputs'!$B$24)*(0.5*(((AS11+'Inputs'!$B$21+'Inputs'!$B$9+'Inputs'!$B$10)+'Inputs'!$B$7)/SQRT(((AS11+'Inputs'!$B$21+'Inputs'!$B$9+'Inputs'!$B$10)+'Inputs'!$B$7)^2+('Inputs'!$B$6/2)^2)-((AS11+'Inputs'!$B$21+'Inputs'!$B$9+'Inputs'!$B$10))/SQRT(((AS11+'Inputs'!$B$21+'Inputs'!$B$9+'Inputs'!$B$10))^2+('Inputs'!$B$6/2)^2))))*'Results'!$B$8*'Results'!$B$9)+'Inputs'!$B$28*ABS((('Results'!C7*(1+'Inputs'!$B$24)*(0.5*(((AS11+'Inputs'!$B$21)+'Inputs'!$B$9)/SQRT(((AS11+'Inputs'!$B$21)+'Inputs'!$B$9)^2+('Inputs'!$B$8/2)^2)-((AS11+'Inputs'!$B$21))/SQRT(((AS11+'Inputs'!$B$21))^2+('Inputs'!$B$8/2)^2)))-'Results'!B7*(1-'Inputs'!$B$24)*(0.5*(((AS11+'Inputs'!$B$21+'Inputs'!$B$9+'Inputs'!$B$10)+'Inputs'!$B$7)/SQRT(((AS11+'Inputs'!$B$21+'Inputs'!$B$9+'Inputs'!$B$10)+'Inputs'!$B$7)^2+('Inputs'!$B$6/2)^2)-((AS11+'Inputs'!$B$21+'Inputs'!$B$9+'Inputs'!$B$10))/SQRT(((AS11+'Inputs'!$B$21+'Inputs'!$B$9+'Inputs'!$B$10))^2+('Inputs'!$B$6/2)^2))))*'Results'!$B$8*'Results'!$B$9))),"")</x:f>
        <x:v>73.619830509849</x:v>
      </x:c>
      <x:c r="AU11" s="22"/>
      <x:c r="AV11" s="22"/>
      <x:c r="AW11" s="22" t="n">
        <x:f>IF(AZ10&gt;='Results'!C13,AY10,AW10)</x:f>
        <x:v>7.5</x:v>
      </x:c>
      <x:c r="AX11" s="22" t="n">
        <x:f>IF(AZ10&gt;='Results'!C13,AX10,AY10)</x:f>
        <x:v>8.75</x:v>
      </x:c>
      <x:c r="AY11" s="22" t="n">
        <x:f>(AW11+AX11)/2</x:f>
        <x:v>8.125</x:v>
      </x:c>
      <x:c r="AZ11" s="22" t="n">
        <x:f>IF(AND(ISNUMBER('Results'!C7),ISNUMBER('Results'!B7),ISNUMBER('Results'!$B$8),ISNUMBER('Results'!$B$9),ISNUMBER('Inputs'!$B$6),ISNUMBER('Inputs'!$B$7),ISNUMBER('Inputs'!$B$8),ISNUMBER('Inputs'!$B$9),ISNUMBER('Inputs'!$B$10),ISNUMBER('Inputs'!$B$21),ISNUMBER('Inputs'!$B$24),ISNUMBER('Inputs'!$B$28)),(('Results'!C7*(0.5*(((AY11+'Inputs'!$B$21)+'Inputs'!$B$9)/SQRT(((AY11+'Inputs'!$B$21)+'Inputs'!$B$9)^2+('Inputs'!$B$8/2)^2)-((AY11+'Inputs'!$B$21))/SQRT(((AY11+'Inputs'!$B$21))^2+('Inputs'!$B$8/2)^2)))-'Results'!B7*(0.5*(((AY11+'Inputs'!$B$21+'Inputs'!$B$9+'Inputs'!$B$10)+'Inputs'!$B$7)/SQRT(((AY11+'Inputs'!$B$21+'Inputs'!$B$9+'Inputs'!$B$10)+'Inputs'!$B$7)^2+('Inputs'!$B$6/2)^2)-((AY11+'Inputs'!$B$21+'Inputs'!$B$9+'Inputs'!$B$10))/SQRT(((AY11+'Inputs'!$B$21+'Inputs'!$B$9+'Inputs'!$B$10))^2+('Inputs'!$B$6/2)^2))))*'Results'!$B$8*'Results'!$B$9),"")</x:f>
        <x:v>67.48116853954501</x:v>
      </x:c>
      <x:c r="BA11" s="22"/>
      <x:c r="BB11" s="22"/>
      <x:c r="BC11" s="22" t="n">
        <x:f>IF(BF10&gt;='Results'!C14,BE10,BC10)</x:f>
        <x:v>7.5</x:v>
      </x:c>
      <x:c r="BD11" s="22" t="n">
        <x:f>IF(BF10&gt;='Results'!C14,BD10,BE10)</x:f>
        <x:v>8.75</x:v>
      </x:c>
      <x:c r="BE11" s="22" t="n">
        <x:f>(BC11+BD11)/2</x:f>
        <x:v>8.125</x:v>
      </x:c>
      <x:c r="BF11" s="22" t="n">
        <x:f>IF(AND(ISNUMBER('Results'!C7),ISNUMBER('Results'!B7),ISNUMBER('Results'!$B$8),ISNUMBER('Results'!$B$9),ISNUMBER('Inputs'!$B$6),ISNUMBER('Inputs'!$B$7),ISNUMBER('Inputs'!$B$8),ISNUMBER('Inputs'!$B$9),ISNUMBER('Inputs'!$B$10),ISNUMBER('Inputs'!$B$21),ISNUMBER('Inputs'!$B$24),ISNUMBER('Inputs'!$B$28)),((('Results'!C7*(1+'Inputs'!$B$24)*(0.5*(((BE11+'Inputs'!$B$21)+'Inputs'!$B$9)/SQRT(((BE11+'Inputs'!$B$21)+'Inputs'!$B$9)^2+('Inputs'!$B$8/2)^2)-((BE11+'Inputs'!$B$21))/SQRT(((BE11+'Inputs'!$B$21))^2+('Inputs'!$B$8/2)^2)))-'Results'!B7*(1-'Inputs'!$B$24)*(0.5*(((BE11+'Inputs'!$B$21+'Inputs'!$B$9+'Inputs'!$B$10)+'Inputs'!$B$7)/SQRT(((BE11+'Inputs'!$B$21+'Inputs'!$B$9+'Inputs'!$B$10)+'Inputs'!$B$7)^2+('Inputs'!$B$6/2)^2)-((BE11+'Inputs'!$B$21+'Inputs'!$B$9+'Inputs'!$B$10))/SQRT(((BE11+'Inputs'!$B$21+'Inputs'!$B$9+'Inputs'!$B$10))^2+('Inputs'!$B$6/2)^2))))*'Results'!$B$8*'Results'!$B$9)+'Inputs'!$B$28*ABS((('Results'!C7*(1+'Inputs'!$B$24)*(0.5*(((BE11+'Inputs'!$B$21)+'Inputs'!$B$9)/SQRT(((BE11+'Inputs'!$B$21)+'Inputs'!$B$9)^2+('Inputs'!$B$8/2)^2)-((BE11+'Inputs'!$B$21))/SQRT(((BE11+'Inputs'!$B$21))^2+('Inputs'!$B$8/2)^2)))-'Results'!B7*(1-'Inputs'!$B$24)*(0.5*(((BE11+'Inputs'!$B$21+'Inputs'!$B$9+'Inputs'!$B$10)+'Inputs'!$B$7)/SQRT(((BE11+'Inputs'!$B$21+'Inputs'!$B$9+'Inputs'!$B$10)+'Inputs'!$B$7)^2+('Inputs'!$B$6/2)^2)-((BE11+'Inputs'!$B$21+'Inputs'!$B$9+'Inputs'!$B$10))/SQRT(((BE11+'Inputs'!$B$21+'Inputs'!$B$9+'Inputs'!$B$10))^2+('Inputs'!$B$6/2)^2))))*'Results'!$B$8*'Results'!$B$9))),"")</x:f>
        <x:v>73.619830509849</x:v>
      </x:c>
      <x:c r="BG11" s="22"/>
      <x:c r="BH11" s="22"/>
    </x:row>
    <x:row r="12" ht="22" customHeight="1">
      <x:c r="A12" s="22" t="n">
        <x:f>IF(D11&gt;='Results'!B10,C11,A11)</x:f>
        <x:v>6.875</x:v>
      </x:c>
      <x:c r="B12" s="22" t="n">
        <x:f>IF(D11&gt;='Results'!B10,B11,C11)</x:f>
        <x:v>7.5</x:v>
      </x:c>
      <x:c r="C12" s="22" t="n">
        <x:f>(A12+B12)/2</x:f>
        <x:v>7.1875</x:v>
      </x:c>
      <x:c r="D12" s="22" t="n">
        <x:f>IF(AND(ISNUMBER('Results'!B7),ISNUMBER('Results'!C7),ISNUMBER('Results'!$B$8),ISNUMBER('Results'!$B$9),ISNUMBER('Inputs'!$B$6),ISNUMBER('Inputs'!$B$7),ISNUMBER('Inputs'!$B$8),ISNUMBER('Inputs'!$B$9),ISNUMBER('Inputs'!$B$10),ISNUMBER('Inputs'!$B$21),ISNUMBER('Inputs'!$B$24),ISNUMBER('Inputs'!$B$28)),(('Results'!B7*(0.5*(((C12+'Inputs'!$B$21)+'Inputs'!$B$7)/SQRT(((C12+'Inputs'!$B$21)+'Inputs'!$B$7)^2+('Inputs'!$B$6/2)^2)-((C12+'Inputs'!$B$21))/SQRT(((C12+'Inputs'!$B$21))^2+('Inputs'!$B$6/2)^2)))-'Results'!C7*(0.5*(((C12+'Inputs'!$B$21+'Inputs'!$B$7+'Inputs'!$B$10)+'Inputs'!$B$9)/SQRT(((C12+'Inputs'!$B$21+'Inputs'!$B$7+'Inputs'!$B$10)+'Inputs'!$B$9)^2+('Inputs'!$B$8/2)^2)-((C12+'Inputs'!$B$21+'Inputs'!$B$7+'Inputs'!$B$10))/SQRT(((C12+'Inputs'!$B$21+'Inputs'!$B$7+'Inputs'!$B$10))^2+('Inputs'!$B$8/2)^2))))*'Results'!$B$8*'Results'!$B$9),"")</x:f>
        <x:v>97.7263741264831</x:v>
      </x:c>
      <x:c r="E12" s="22"/>
      <x:c r="F12" s="22"/>
      <x:c r="G12" s="22" t="n">
        <x:f>IF(J11&gt;='Results'!B12,I11,G11)</x:f>
        <x:v>6.25</x:v>
      </x:c>
      <x:c r="H12" s="22" t="n">
        <x:f>IF(J11&gt;='Results'!B12,H11,I11)</x:f>
        <x:v>6.875</x:v>
      </x:c>
      <x:c r="I12" s="22" t="n">
        <x:f>(G12+H12)/2</x:f>
        <x:v>6.5625</x:v>
      </x:c>
      <x:c r="J12" s="22" t="n">
        <x:f>IF(AND(ISNUMBER('Results'!B7),ISNUMBER('Results'!C7),ISNUMBER('Results'!$B$8),ISNUMBER('Results'!$B$9),ISNUMBER('Inputs'!$B$6),ISNUMBER('Inputs'!$B$7),ISNUMBER('Inputs'!$B$8),ISNUMBER('Inputs'!$B$9),ISNUMBER('Inputs'!$B$10),ISNUMBER('Inputs'!$B$21),ISNUMBER('Inputs'!$B$24),ISNUMBER('Inputs'!$B$28)),((('Results'!B7*(1-'Inputs'!$B$24)*(0.5*(((I12+'Inputs'!$B$21)+'Inputs'!$B$7)/SQRT(((I12+'Inputs'!$B$21)+'Inputs'!$B$7)^2+('Inputs'!$B$6/2)^2)-((I12+'Inputs'!$B$21))/SQRT(((I12+'Inputs'!$B$21))^2+('Inputs'!$B$6/2)^2)))-'Results'!C7*(1+'Inputs'!$B$24)*(0.5*(((I12+'Inputs'!$B$21+'Inputs'!$B$7+'Inputs'!$B$10)+'Inputs'!$B$9)/SQRT(((I12+'Inputs'!$B$21+'Inputs'!$B$7+'Inputs'!$B$10)+'Inputs'!$B$9)^2+('Inputs'!$B$8/2)^2)-((I12+'Inputs'!$B$21+'Inputs'!$B$7+'Inputs'!$B$10))/SQRT(((I12+'Inputs'!$B$21+'Inputs'!$B$7+'Inputs'!$B$10))^2+('Inputs'!$B$8/2)^2))))*'Results'!$B$8*'Results'!$B$9)-'Inputs'!$B$28*ABS((('Results'!B7*(1-'Inputs'!$B$24)*(0.5*(((I12+'Inputs'!$B$21)+'Inputs'!$B$7)/SQRT(((I12+'Inputs'!$B$21)+'Inputs'!$B$7)^2+('Inputs'!$B$6/2)^2)-((I12+'Inputs'!$B$21))/SQRT(((I12+'Inputs'!$B$21))^2+('Inputs'!$B$6/2)^2)))-'Results'!C7*(1+'Inputs'!$B$24)*(0.5*(((I12+'Inputs'!$B$21+'Inputs'!$B$7+'Inputs'!$B$10)+'Inputs'!$B$9)/SQRT(((I12+'Inputs'!$B$21+'Inputs'!$B$7+'Inputs'!$B$10)+'Inputs'!$B$9)^2+('Inputs'!$B$8/2)^2)-((I12+'Inputs'!$B$21+'Inputs'!$B$7+'Inputs'!$B$10))/SQRT(((I12+'Inputs'!$B$21+'Inputs'!$B$7+'Inputs'!$B$10))^2+('Inputs'!$B$8/2)^2))))*'Results'!$B$8*'Results'!$B$9))),"")</x:f>
        <x:v>113.4390652419968</x:v>
      </x:c>
      <x:c r="K12" s="22"/>
      <x:c r="L12" s="22"/>
      <x:c r="M12" s="22" t="n">
        <x:f>IF(P11&gt;='Results'!B11,O11,M11)</x:f>
        <x:v>7.5</x:v>
      </x:c>
      <x:c r="N12" s="22" t="n">
        <x:f>IF(P11&gt;='Results'!B11,N11,O11)</x:f>
        <x:v>8.125</x:v>
      </x:c>
      <x:c r="O12" s="22" t="n">
        <x:f>(M12+N12)/2</x:f>
        <x:v>7.8125</x:v>
      </x:c>
      <x:c r="P12" s="22" t="n">
        <x:f>IF(AND(ISNUMBER('Results'!B7),ISNUMBER('Results'!C7),ISNUMBER('Results'!$B$8),ISNUMBER('Results'!$B$9),ISNUMBER('Inputs'!$B$6),ISNUMBER('Inputs'!$B$7),ISNUMBER('Inputs'!$B$8),ISNUMBER('Inputs'!$B$9),ISNUMBER('Inputs'!$B$10),ISNUMBER('Inputs'!$B$21),ISNUMBER('Inputs'!$B$24),ISNUMBER('Inputs'!$B$28)),((('Results'!B7*(1+'Inputs'!$B$24)*(0.5*(((O12+'Inputs'!$B$21)+'Inputs'!$B$7)/SQRT(((O12+'Inputs'!$B$21)+'Inputs'!$B$7)^2+('Inputs'!$B$6/2)^2)-((O12+'Inputs'!$B$21))/SQRT(((O12+'Inputs'!$B$21))^2+('Inputs'!$B$6/2)^2)))-'Results'!C7*(1-'Inputs'!$B$24)*(0.5*(((O12+'Inputs'!$B$21+'Inputs'!$B$7+'Inputs'!$B$10)+'Inputs'!$B$9)/SQRT(((O12+'Inputs'!$B$21+'Inputs'!$B$7+'Inputs'!$B$10)+'Inputs'!$B$9)^2+('Inputs'!$B$8/2)^2)-((O12+'Inputs'!$B$21+'Inputs'!$B$7+'Inputs'!$B$10))/SQRT(((O12+'Inputs'!$B$21+'Inputs'!$B$7+'Inputs'!$B$10))^2+('Inputs'!$B$8/2)^2))))*'Results'!$B$8*'Results'!$B$9)+'Inputs'!$B$28*ABS((('Results'!B7*(1+'Inputs'!$B$24)*(0.5*(((O12+'Inputs'!$B$21)+'Inputs'!$B$7)/SQRT(((O12+'Inputs'!$B$21)+'Inputs'!$B$7)^2+('Inputs'!$B$6/2)^2)-((O12+'Inputs'!$B$21))/SQRT(((O12+'Inputs'!$B$21))^2+('Inputs'!$B$6/2)^2)))-'Results'!C7*(1-'Inputs'!$B$24)*(0.5*(((O12+'Inputs'!$B$21+'Inputs'!$B$7+'Inputs'!$B$10)+'Inputs'!$B$9)/SQRT(((O12+'Inputs'!$B$21+'Inputs'!$B$7+'Inputs'!$B$10)+'Inputs'!$B$9)^2+('Inputs'!$B$8/2)^2)-((O12+'Inputs'!$B$21+'Inputs'!$B$7+'Inputs'!$B$10))/SQRT(((O12+'Inputs'!$B$21+'Inputs'!$B$7+'Inputs'!$B$10))^2+('Inputs'!$B$8/2)^2))))*'Results'!$B$8*'Results'!$B$9))),"")</x:f>
        <x:v>85.09508519107749</x:v>
      </x:c>
      <x:c r="Q12" s="22"/>
      <x:c r="R12" s="22"/>
      <x:c r="S12" s="22" t="n">
        <x:f>IF(V11&gt;='Results'!B13,U11,S11)</x:f>
        <x:v>7.5</x:v>
      </x:c>
      <x:c r="T12" s="22" t="n">
        <x:f>IF(V11&gt;='Results'!B13,T11,U11)</x:f>
        <x:v>8.125</x:v>
      </x:c>
      <x:c r="U12" s="22" t="n">
        <x:f>(S12+T12)/2</x:f>
        <x:v>7.8125</x:v>
      </x:c>
      <x:c r="V12" s="22" t="n">
        <x:f>IF(AND(ISNUMBER('Results'!B7),ISNUMBER('Results'!C7),ISNUMBER('Results'!$B$8),ISNUMBER('Results'!$B$9),ISNUMBER('Inputs'!$B$6),ISNUMBER('Inputs'!$B$7),ISNUMBER('Inputs'!$B$8),ISNUMBER('Inputs'!$B$9),ISNUMBER('Inputs'!$B$10),ISNUMBER('Inputs'!$B$21),ISNUMBER('Inputs'!$B$24),ISNUMBER('Inputs'!$B$28)),(('Results'!B7*(0.5*(((U12+'Inputs'!$B$21)+'Inputs'!$B$7)/SQRT(((U12+'Inputs'!$B$21)+'Inputs'!$B$7)^2+('Inputs'!$B$6/2)^2)-((U12+'Inputs'!$B$21))/SQRT(((U12+'Inputs'!$B$21))^2+('Inputs'!$B$6/2)^2)))-'Results'!C7*(0.5*(((U12+'Inputs'!$B$21+'Inputs'!$B$7+'Inputs'!$B$10)+'Inputs'!$B$9)/SQRT(((U12+'Inputs'!$B$21+'Inputs'!$B$7+'Inputs'!$B$10)+'Inputs'!$B$9)^2+('Inputs'!$B$8/2)^2)-((U12+'Inputs'!$B$21+'Inputs'!$B$7+'Inputs'!$B$10))/SQRT(((U12+'Inputs'!$B$21+'Inputs'!$B$7+'Inputs'!$B$10))^2+('Inputs'!$B$8/2)^2))))*'Results'!$B$8*'Results'!$B$9),"")</x:f>
        <x:v>78.13577621330211</x:v>
      </x:c>
      <x:c r="W12" s="22"/>
      <x:c r="X12" s="22"/>
      <x:c r="Y12" s="22" t="n">
        <x:f>IF(AB11&gt;='Results'!B14,AA11,Y11)</x:f>
        <x:v>8.125</x:v>
      </x:c>
      <x:c r="Z12" s="22" t="n">
        <x:f>IF(AB11&gt;='Results'!B14,Z11,AA11)</x:f>
        <x:v>8.75</x:v>
      </x:c>
      <x:c r="AA12" s="22" t="n">
        <x:f>(Y12+Z12)/2</x:f>
        <x:v>8.4375</x:v>
      </x:c>
      <x:c r="AB12" s="22" t="n">
        <x:f>IF(AND(ISNUMBER('Results'!B7),ISNUMBER('Results'!C7),ISNUMBER('Results'!$B$8),ISNUMBER('Results'!$B$9),ISNUMBER('Inputs'!$B$6),ISNUMBER('Inputs'!$B$7),ISNUMBER('Inputs'!$B$8),ISNUMBER('Inputs'!$B$9),ISNUMBER('Inputs'!$B$10),ISNUMBER('Inputs'!$B$21),ISNUMBER('Inputs'!$B$24),ISNUMBER('Inputs'!$B$28)),((('Results'!B7*(1+'Inputs'!$B$24)*(0.5*(((AA12+'Inputs'!$B$21)+'Inputs'!$B$7)/SQRT(((AA12+'Inputs'!$B$21)+'Inputs'!$B$7)^2+('Inputs'!$B$6/2)^2)-((AA12+'Inputs'!$B$21))/SQRT(((AA12+'Inputs'!$B$21))^2+('Inputs'!$B$6/2)^2)))-'Results'!C7*(1-'Inputs'!$B$24)*(0.5*(((AA12+'Inputs'!$B$21+'Inputs'!$B$7+'Inputs'!$B$10)+'Inputs'!$B$9)/SQRT(((AA12+'Inputs'!$B$21+'Inputs'!$B$7+'Inputs'!$B$10)+'Inputs'!$B$9)^2+('Inputs'!$B$8/2)^2)-((AA12+'Inputs'!$B$21+'Inputs'!$B$7+'Inputs'!$B$10))/SQRT(((AA12+'Inputs'!$B$21+'Inputs'!$B$7+'Inputs'!$B$10))^2+('Inputs'!$B$8/2)^2))))*'Results'!$B$8*'Results'!$B$9)+'Inputs'!$B$28*ABS((('Results'!B7*(1+'Inputs'!$B$24)*(0.5*(((AA12+'Inputs'!$B$21)+'Inputs'!$B$7)/SQRT(((AA12+'Inputs'!$B$21)+'Inputs'!$B$7)^2+('Inputs'!$B$6/2)^2)-((AA12+'Inputs'!$B$21))/SQRT(((AA12+'Inputs'!$B$21))^2+('Inputs'!$B$6/2)^2)))-'Results'!C7*(1-'Inputs'!$B$24)*(0.5*(((AA12+'Inputs'!$B$21+'Inputs'!$B$7+'Inputs'!$B$10)+'Inputs'!$B$9)/SQRT(((AA12+'Inputs'!$B$21+'Inputs'!$B$7+'Inputs'!$B$10)+'Inputs'!$B$9)^2+('Inputs'!$B$8/2)^2)-((AA12+'Inputs'!$B$21+'Inputs'!$B$7+'Inputs'!$B$10))/SQRT(((AA12+'Inputs'!$B$21+'Inputs'!$B$7+'Inputs'!$B$10))^2+('Inputs'!$B$8/2)^2))))*'Results'!$B$8*'Results'!$B$9))),"")</x:f>
        <x:v>68.87421828094156</x:v>
      </x:c>
      <x:c r="AC12" s="22"/>
      <x:c r="AD12" s="22"/>
      <x:c r="AE12" s="22" t="n">
        <x:f>IF(AH11&gt;='Results'!C10,AG11,AE11)</x:f>
        <x:v>6.875</x:v>
      </x:c>
      <x:c r="AF12" s="22" t="n">
        <x:f>IF(AH11&gt;='Results'!C10,AF11,AG11)</x:f>
        <x:v>7.5</x:v>
      </x:c>
      <x:c r="AG12" s="22" t="n">
        <x:f>(AE12+AF12)/2</x:f>
        <x:v>7.1875</x:v>
      </x:c>
      <x:c r="AH12" s="22" t="n">
        <x:f>IF(AND(ISNUMBER('Results'!C7),ISNUMBER('Results'!B7),ISNUMBER('Results'!$B$8),ISNUMBER('Results'!$B$9),ISNUMBER('Inputs'!$B$6),ISNUMBER('Inputs'!$B$7),ISNUMBER('Inputs'!$B$8),ISNUMBER('Inputs'!$B$9),ISNUMBER('Inputs'!$B$10),ISNUMBER('Inputs'!$B$21),ISNUMBER('Inputs'!$B$24),ISNUMBER('Inputs'!$B$28)),(('Results'!C7*(0.5*(((AG12+'Inputs'!$B$21)+'Inputs'!$B$9)/SQRT(((AG12+'Inputs'!$B$21)+'Inputs'!$B$9)^2+('Inputs'!$B$8/2)^2)-((AG12+'Inputs'!$B$21))/SQRT(((AG12+'Inputs'!$B$21))^2+('Inputs'!$B$8/2)^2)))-'Results'!B7*(0.5*(((AG12+'Inputs'!$B$21+'Inputs'!$B$9+'Inputs'!$B$10)+'Inputs'!$B$7)/SQRT(((AG12+'Inputs'!$B$21+'Inputs'!$B$9+'Inputs'!$B$10)+'Inputs'!$B$7)^2+('Inputs'!$B$6/2)^2)-((AG12+'Inputs'!$B$21+'Inputs'!$B$9+'Inputs'!$B$10))/SQRT(((AG12+'Inputs'!$B$21+'Inputs'!$B$9+'Inputs'!$B$10))^2+('Inputs'!$B$6/2)^2))))*'Results'!$B$8*'Results'!$B$9),"")</x:f>
        <x:v>94.21300836517604</x:v>
      </x:c>
      <x:c r="AI12" s="22"/>
      <x:c r="AJ12" s="22"/>
      <x:c r="AK12" s="22" t="n">
        <x:f>IF(AN11&gt;='Results'!C12,AM11,AK11)</x:f>
        <x:v>6.25</x:v>
      </x:c>
      <x:c r="AL12" s="22" t="n">
        <x:f>IF(AN11&gt;='Results'!C12,AL11,AM11)</x:f>
        <x:v>6.875</x:v>
      </x:c>
      <x:c r="AM12" s="22" t="n">
        <x:f>(AK12+AL12)/2</x:f>
        <x:v>6.5625</x:v>
      </x:c>
      <x:c r="AN12" s="22" t="n">
        <x:f>IF(AND(ISNUMBER('Results'!C7),ISNUMBER('Results'!B7),ISNUMBER('Results'!$B$8),ISNUMBER('Results'!$B$9),ISNUMBER('Inputs'!$B$6),ISNUMBER('Inputs'!$B$7),ISNUMBER('Inputs'!$B$8),ISNUMBER('Inputs'!$B$9),ISNUMBER('Inputs'!$B$10),ISNUMBER('Inputs'!$B$21),ISNUMBER('Inputs'!$B$24),ISNUMBER('Inputs'!$B$28)),((('Results'!C7*(1-'Inputs'!$B$24)*(0.5*(((AM12+'Inputs'!$B$21)+'Inputs'!$B$9)/SQRT(((AM12+'Inputs'!$B$21)+'Inputs'!$B$9)^2+('Inputs'!$B$8/2)^2)-((AM12+'Inputs'!$B$21))/SQRT(((AM12+'Inputs'!$B$21))^2+('Inputs'!$B$8/2)^2)))-'Results'!B7*(1+'Inputs'!$B$24)*(0.5*(((AM12+'Inputs'!$B$21+'Inputs'!$B$9+'Inputs'!$B$10)+'Inputs'!$B$7)/SQRT(((AM12+'Inputs'!$B$21+'Inputs'!$B$9+'Inputs'!$B$10)+'Inputs'!$B$7)^2+('Inputs'!$B$6/2)^2)-((AM12+'Inputs'!$B$21+'Inputs'!$B$9+'Inputs'!$B$10))/SQRT(((AM12+'Inputs'!$B$21+'Inputs'!$B$9+'Inputs'!$B$10))^2+('Inputs'!$B$6/2)^2))))*'Results'!$B$8*'Results'!$B$9)-'Inputs'!$B$28*ABS((('Results'!C7*(1-'Inputs'!$B$24)*(0.5*(((AM12+'Inputs'!$B$21)+'Inputs'!$B$9)/SQRT(((AM12+'Inputs'!$B$21)+'Inputs'!$B$9)^2+('Inputs'!$B$8/2)^2)-((AM12+'Inputs'!$B$21))/SQRT(((AM12+'Inputs'!$B$21))^2+('Inputs'!$B$8/2)^2)))-'Results'!B7*(1+'Inputs'!$B$24)*(0.5*(((AM12+'Inputs'!$B$21+'Inputs'!$B$9+'Inputs'!$B$10)+'Inputs'!$B$7)/SQRT(((AM12+'Inputs'!$B$21+'Inputs'!$B$9+'Inputs'!$B$10)+'Inputs'!$B$7)^2+('Inputs'!$B$6/2)^2)-((AM12+'Inputs'!$B$21+'Inputs'!$B$9+'Inputs'!$B$10))/SQRT(((AM12+'Inputs'!$B$21+'Inputs'!$B$9+'Inputs'!$B$10))^2+('Inputs'!$B$6/2)^2))))*'Results'!$B$8*'Results'!$B$9))),"")</x:f>
        <x:v>109.42578106751039</x:v>
      </x:c>
      <x:c r="AO12" s="22"/>
      <x:c r="AP12" s="22"/>
      <x:c r="AQ12" s="22" t="n">
        <x:f>IF(AT11&gt;='Results'!C11,AS11,AQ11)</x:f>
        <x:v>7.5</x:v>
      </x:c>
      <x:c r="AR12" s="22" t="n">
        <x:f>IF(AT11&gt;='Results'!C11,AR11,AS11)</x:f>
        <x:v>8.125</x:v>
      </x:c>
      <x:c r="AS12" s="22" t="n">
        <x:f>(AQ12+AR12)/2</x:f>
        <x:v>7.8125</x:v>
      </x:c>
      <x:c r="AT12" s="22" t="n">
        <x:f>IF(AND(ISNUMBER('Results'!C7),ISNUMBER('Results'!B7),ISNUMBER('Results'!$B$8),ISNUMBER('Results'!$B$9),ISNUMBER('Inputs'!$B$6),ISNUMBER('Inputs'!$B$7),ISNUMBER('Inputs'!$B$8),ISNUMBER('Inputs'!$B$9),ISNUMBER('Inputs'!$B$10),ISNUMBER('Inputs'!$B$21),ISNUMBER('Inputs'!$B$24),ISNUMBER('Inputs'!$B$28)),((('Results'!C7*(1+'Inputs'!$B$24)*(0.5*(((AS12+'Inputs'!$B$21)+'Inputs'!$B$9)/SQRT(((AS12+'Inputs'!$B$21)+'Inputs'!$B$9)^2+('Inputs'!$B$8/2)^2)-((AS12+'Inputs'!$B$21))/SQRT(((AS12+'Inputs'!$B$21))^2+('Inputs'!$B$8/2)^2)))-'Results'!B7*(1-'Inputs'!$B$24)*(0.5*(((AS12+'Inputs'!$B$21+'Inputs'!$B$9+'Inputs'!$B$10)+'Inputs'!$B$7)/SQRT(((AS12+'Inputs'!$B$21+'Inputs'!$B$9+'Inputs'!$B$10)+'Inputs'!$B$7)^2+('Inputs'!$B$6/2)^2)-((AS12+'Inputs'!$B$21+'Inputs'!$B$9+'Inputs'!$B$10))/SQRT(((AS12+'Inputs'!$B$21+'Inputs'!$B$9+'Inputs'!$B$10))^2+('Inputs'!$B$6/2)^2))))*'Results'!$B$8*'Results'!$B$9)+'Inputs'!$B$28*ABS((('Results'!C7*(1+'Inputs'!$B$24)*(0.5*(((AS12+'Inputs'!$B$21)+'Inputs'!$B$9)/SQRT(((AS12+'Inputs'!$B$21)+'Inputs'!$B$9)^2+('Inputs'!$B$8/2)^2)-((AS12+'Inputs'!$B$21))/SQRT(((AS12+'Inputs'!$B$21))^2+('Inputs'!$B$8/2)^2)))-'Results'!B7*(1-'Inputs'!$B$24)*(0.5*(((AS12+'Inputs'!$B$21+'Inputs'!$B$9+'Inputs'!$B$10)+'Inputs'!$B$7)/SQRT(((AS12+'Inputs'!$B$21+'Inputs'!$B$9+'Inputs'!$B$10)+'Inputs'!$B$7)^2+('Inputs'!$B$6/2)^2)-((AS12+'Inputs'!$B$21+'Inputs'!$B$9+'Inputs'!$B$10))/SQRT(((AS12+'Inputs'!$B$21+'Inputs'!$B$9+'Inputs'!$B$10))^2+('Inputs'!$B$6/2)^2))))*'Results'!$B$8*'Results'!$B$9))),"")</x:f>
        <x:v>81.99563130929133</x:v>
      </x:c>
      <x:c r="AU12" s="22"/>
      <x:c r="AV12" s="22"/>
      <x:c r="AW12" s="22" t="n">
        <x:f>IF(AZ11&gt;='Results'!C13,AY11,AW11)</x:f>
        <x:v>7.5</x:v>
      </x:c>
      <x:c r="AX12" s="22" t="n">
        <x:f>IF(AZ11&gt;='Results'!C13,AX11,AY11)</x:f>
        <x:v>8.125</x:v>
      </x:c>
      <x:c r="AY12" s="22" t="n">
        <x:f>(AW12+AX12)/2</x:f>
        <x:v>7.8125</x:v>
      </x:c>
      <x:c r="AZ12" s="22" t="n">
        <x:f>IF(AND(ISNUMBER('Results'!C7),ISNUMBER('Results'!B7),ISNUMBER('Results'!$B$8),ISNUMBER('Results'!$B$9),ISNUMBER('Inputs'!$B$6),ISNUMBER('Inputs'!$B$7),ISNUMBER('Inputs'!$B$8),ISNUMBER('Inputs'!$B$9),ISNUMBER('Inputs'!$B$10),ISNUMBER('Inputs'!$B$21),ISNUMBER('Inputs'!$B$24),ISNUMBER('Inputs'!$B$28)),(('Results'!C7*(0.5*(((AY12+'Inputs'!$B$21)+'Inputs'!$B$9)/SQRT(((AY12+'Inputs'!$B$21)+'Inputs'!$B$9)^2+('Inputs'!$B$8/2)^2)-((AY12+'Inputs'!$B$21))/SQRT(((AY12+'Inputs'!$B$21))^2+('Inputs'!$B$8/2)^2)))-'Results'!B7*(0.5*(((AY12+'Inputs'!$B$21+'Inputs'!$B$9+'Inputs'!$B$10)+'Inputs'!$B$7)/SQRT(((AY12+'Inputs'!$B$21+'Inputs'!$B$9+'Inputs'!$B$10)+'Inputs'!$B$7)^2+('Inputs'!$B$6/2)^2)-((AY12+'Inputs'!$B$21+'Inputs'!$B$9+'Inputs'!$B$10))/SQRT(((AY12+'Inputs'!$B$21+'Inputs'!$B$9+'Inputs'!$B$10))^2+('Inputs'!$B$6/2)^2))))*'Results'!$B$8*'Results'!$B$9),"")</x:f>
        <x:v>75.21489530714626</x:v>
      </x:c>
      <x:c r="BA12" s="22"/>
      <x:c r="BB12" s="22"/>
      <x:c r="BC12" s="22" t="n">
        <x:f>IF(BF11&gt;='Results'!C14,BE11,BC11)</x:f>
        <x:v>8.125</x:v>
      </x:c>
      <x:c r="BD12" s="22" t="n">
        <x:f>IF(BF11&gt;='Results'!C14,BD11,BE11)</x:f>
        <x:v>8.75</x:v>
      </x:c>
      <x:c r="BE12" s="22" t="n">
        <x:f>(BC12+BD12)/2</x:f>
        <x:v>8.4375</x:v>
      </x:c>
      <x:c r="BF12" s="22" t="n">
        <x:f>IF(AND(ISNUMBER('Results'!C7),ISNUMBER('Results'!B7),ISNUMBER('Results'!$B$8),ISNUMBER('Results'!$B$9),ISNUMBER('Inputs'!$B$6),ISNUMBER('Inputs'!$B$7),ISNUMBER('Inputs'!$B$8),ISNUMBER('Inputs'!$B$9),ISNUMBER('Inputs'!$B$10),ISNUMBER('Inputs'!$B$21),ISNUMBER('Inputs'!$B$24),ISNUMBER('Inputs'!$B$28)),((('Results'!C7*(1+'Inputs'!$B$24)*(0.5*(((BE12+'Inputs'!$B$21)+'Inputs'!$B$9)/SQRT(((BE12+'Inputs'!$B$21)+'Inputs'!$B$9)^2+('Inputs'!$B$8/2)^2)-((BE12+'Inputs'!$B$21))/SQRT(((BE12+'Inputs'!$B$21))^2+('Inputs'!$B$8/2)^2)))-'Results'!B7*(1-'Inputs'!$B$24)*(0.5*(((BE12+'Inputs'!$B$21+'Inputs'!$B$9+'Inputs'!$B$10)+'Inputs'!$B$7)/SQRT(((BE12+'Inputs'!$B$21+'Inputs'!$B$9+'Inputs'!$B$10)+'Inputs'!$B$7)^2+('Inputs'!$B$6/2)^2)-((BE12+'Inputs'!$B$21+'Inputs'!$B$9+'Inputs'!$B$10))/SQRT(((BE12+'Inputs'!$B$21+'Inputs'!$B$9+'Inputs'!$B$10))^2+('Inputs'!$B$6/2)^2))))*'Results'!$B$8*'Results'!$B$9)+'Inputs'!$B$28*ABS((('Results'!C7*(1+'Inputs'!$B$24)*(0.5*(((BE12+'Inputs'!$B$21)+'Inputs'!$B$9)/SQRT(((BE12+'Inputs'!$B$21)+'Inputs'!$B$9)^2+('Inputs'!$B$8/2)^2)-((BE12+'Inputs'!$B$21))/SQRT(((BE12+'Inputs'!$B$21))^2+('Inputs'!$B$8/2)^2)))-'Results'!B7*(1-'Inputs'!$B$24)*(0.5*(((BE12+'Inputs'!$B$21+'Inputs'!$B$9+'Inputs'!$B$10)+'Inputs'!$B$7)/SQRT(((BE12+'Inputs'!$B$21+'Inputs'!$B$9+'Inputs'!$B$10)+'Inputs'!$B$7)^2+('Inputs'!$B$6/2)^2)-((BE12+'Inputs'!$B$21+'Inputs'!$B$9+'Inputs'!$B$10))/SQRT(((BE12+'Inputs'!$B$21+'Inputs'!$B$9+'Inputs'!$B$10))^2+('Inputs'!$B$6/2)^2))))*'Results'!$B$8*'Results'!$B$9))),"")</x:f>
        <x:v>66.27209077430823</x:v>
      </x:c>
      <x:c r="BG12" s="22"/>
      <x:c r="BH12" s="22"/>
    </x:row>
    <x:row r="13" ht="22" customHeight="1">
      <x:c r="A13" s="22" t="n">
        <x:f>IF(D12&gt;='Results'!B10,C12,A12)</x:f>
        <x:v>6.875</x:v>
      </x:c>
      <x:c r="B13" s="22" t="n">
        <x:f>IF(D12&gt;='Results'!B10,B12,C12)</x:f>
        <x:v>7.1875</x:v>
      </x:c>
      <x:c r="C13" s="22" t="n">
        <x:f>(A13+B13)/2</x:f>
        <x:v>7.03125</x:v>
      </x:c>
      <x:c r="D13" s="22" t="n">
        <x:f>IF(AND(ISNUMBER('Results'!B7),ISNUMBER('Results'!C7),ISNUMBER('Results'!$B$8),ISNUMBER('Results'!$B$9),ISNUMBER('Inputs'!$B$6),ISNUMBER('Inputs'!$B$7),ISNUMBER('Inputs'!$B$8),ISNUMBER('Inputs'!$B$9),ISNUMBER('Inputs'!$B$10),ISNUMBER('Inputs'!$B$21),ISNUMBER('Inputs'!$B$24),ISNUMBER('Inputs'!$B$28)),(('Results'!B7*(0.5*(((C13+'Inputs'!$B$21)+'Inputs'!$B$7)/SQRT(((C13+'Inputs'!$B$21)+'Inputs'!$B$7)^2+('Inputs'!$B$6/2)^2)-((C13+'Inputs'!$B$21))/SQRT(((C13+'Inputs'!$B$21))^2+('Inputs'!$B$6/2)^2)))-'Results'!C7*(0.5*(((C13+'Inputs'!$B$21+'Inputs'!$B$7+'Inputs'!$B$10)+'Inputs'!$B$9)/SQRT(((C13+'Inputs'!$B$21+'Inputs'!$B$7+'Inputs'!$B$10)+'Inputs'!$B$9)^2+('Inputs'!$B$8/2)^2)-((C13+'Inputs'!$B$21+'Inputs'!$B$7+'Inputs'!$B$10))/SQRT(((C13+'Inputs'!$B$21+'Inputs'!$B$7+'Inputs'!$B$10))^2+('Inputs'!$B$8/2)^2))))*'Results'!$B$8*'Results'!$B$9),"")</x:f>
        <x:v>103.53345694346095</x:v>
      </x:c>
      <x:c r="E13" s="22"/>
      <x:c r="F13" s="22"/>
      <x:c r="G13" s="22" t="n">
        <x:f>IF(J12&gt;='Results'!B12,I12,G12)</x:f>
        <x:v>6.5625</x:v>
      </x:c>
      <x:c r="H13" s="22" t="n">
        <x:f>IF(J12&gt;='Results'!B12,H12,I12)</x:f>
        <x:v>6.875</x:v>
      </x:c>
      <x:c r="I13" s="22" t="n">
        <x:f>(G13+H13)/2</x:f>
        <x:v>6.71875</x:v>
      </x:c>
      <x:c r="J13" s="22" t="n">
        <x:f>IF(AND(ISNUMBER('Results'!B7),ISNUMBER('Results'!C7),ISNUMBER('Results'!$B$8),ISNUMBER('Results'!$B$9),ISNUMBER('Inputs'!$B$6),ISNUMBER('Inputs'!$B$7),ISNUMBER('Inputs'!$B$8),ISNUMBER('Inputs'!$B$9),ISNUMBER('Inputs'!$B$10),ISNUMBER('Inputs'!$B$21),ISNUMBER('Inputs'!$B$24),ISNUMBER('Inputs'!$B$28)),((('Results'!B7*(1-'Inputs'!$B$24)*(0.5*(((I13+'Inputs'!$B$21)+'Inputs'!$B$7)/SQRT(((I13+'Inputs'!$B$21)+'Inputs'!$B$7)^2+('Inputs'!$B$6/2)^2)-((I13+'Inputs'!$B$21))/SQRT(((I13+'Inputs'!$B$21))^2+('Inputs'!$B$6/2)^2)))-'Results'!C7*(1+'Inputs'!$B$24)*(0.5*(((I13+'Inputs'!$B$21+'Inputs'!$B$7+'Inputs'!$B$10)+'Inputs'!$B$9)/SQRT(((I13+'Inputs'!$B$21+'Inputs'!$B$7+'Inputs'!$B$10)+'Inputs'!$B$9)^2+('Inputs'!$B$8/2)^2)-((I13+'Inputs'!$B$21+'Inputs'!$B$7+'Inputs'!$B$10))/SQRT(((I13+'Inputs'!$B$21+'Inputs'!$B$7+'Inputs'!$B$10))^2+('Inputs'!$B$8/2)^2))))*'Results'!$B$8*'Results'!$B$9)-'Inputs'!$B$28*ABS((('Results'!B7*(1-'Inputs'!$B$24)*(0.5*(((I13+'Inputs'!$B$21)+'Inputs'!$B$7)/SQRT(((I13+'Inputs'!$B$21)+'Inputs'!$B$7)^2+('Inputs'!$B$6/2)^2)-((I13+'Inputs'!$B$21))/SQRT(((I13+'Inputs'!$B$21))^2+('Inputs'!$B$6/2)^2)))-'Results'!C7*(1+'Inputs'!$B$24)*(0.5*(((I13+'Inputs'!$B$21+'Inputs'!$B$7+'Inputs'!$B$10)+'Inputs'!$B$9)/SQRT(((I13+'Inputs'!$B$21+'Inputs'!$B$7+'Inputs'!$B$10)+'Inputs'!$B$9)^2+('Inputs'!$B$8/2)^2)-((I13+'Inputs'!$B$21+'Inputs'!$B$7+'Inputs'!$B$10))/SQRT(((I13+'Inputs'!$B$21+'Inputs'!$B$7+'Inputs'!$B$10))^2+('Inputs'!$B$8/2)^2))))*'Results'!$B$8*'Results'!$B$9))),"")</x:f>
        <x:v>106.796059594131</x:v>
      </x:c>
      <x:c r="K13" s="22"/>
      <x:c r="L13" s="22"/>
      <x:c r="M13" s="22" t="n">
        <x:f>IF(P12&gt;='Results'!B11,O12,M12)</x:f>
        <x:v>7.8125</x:v>
      </x:c>
      <x:c r="N13" s="22" t="n">
        <x:f>IF(P12&gt;='Results'!B11,N12,O12)</x:f>
        <x:v>8.125</x:v>
      </x:c>
      <x:c r="O13" s="22" t="n">
        <x:f>(M13+N13)/2</x:f>
        <x:v>7.96875</x:v>
      </x:c>
      <x:c r="P13" s="22" t="n">
        <x:f>IF(AND(ISNUMBER('Results'!B7),ISNUMBER('Results'!C7),ISNUMBER('Results'!$B$8),ISNUMBER('Results'!$B$9),ISNUMBER('Inputs'!$B$6),ISNUMBER('Inputs'!$B$7),ISNUMBER('Inputs'!$B$8),ISNUMBER('Inputs'!$B$9),ISNUMBER('Inputs'!$B$10),ISNUMBER('Inputs'!$B$21),ISNUMBER('Inputs'!$B$24),ISNUMBER('Inputs'!$B$28)),((('Results'!B7*(1+'Inputs'!$B$24)*(0.5*(((O13+'Inputs'!$B$21)+'Inputs'!$B$7)/SQRT(((O13+'Inputs'!$B$21)+'Inputs'!$B$7)^2+('Inputs'!$B$6/2)^2)-((O13+'Inputs'!$B$21))/SQRT(((O13+'Inputs'!$B$21))^2+('Inputs'!$B$6/2)^2)))-'Results'!C7*(1-'Inputs'!$B$24)*(0.5*(((O13+'Inputs'!$B$21+'Inputs'!$B$7+'Inputs'!$B$10)+'Inputs'!$B$9)/SQRT(((O13+'Inputs'!$B$21+'Inputs'!$B$7+'Inputs'!$B$10)+'Inputs'!$B$9)^2+('Inputs'!$B$8/2)^2)-((O13+'Inputs'!$B$21+'Inputs'!$B$7+'Inputs'!$B$10))/SQRT(((O13+'Inputs'!$B$21+'Inputs'!$B$7+'Inputs'!$B$10))^2+('Inputs'!$B$8/2)^2))))*'Results'!$B$8*'Results'!$B$9)+'Inputs'!$B$28*ABS((('Results'!B7*(1+'Inputs'!$B$24)*(0.5*(((O13+'Inputs'!$B$21)+'Inputs'!$B$7)/SQRT(((O13+'Inputs'!$B$21)+'Inputs'!$B$7)^2+('Inputs'!$B$6/2)^2)-((O13+'Inputs'!$B$21))/SQRT(((O13+'Inputs'!$B$21))^2+('Inputs'!$B$6/2)^2)))-'Results'!C7*(1-'Inputs'!$B$24)*(0.5*(((O13+'Inputs'!$B$21+'Inputs'!$B$7+'Inputs'!$B$10)+'Inputs'!$B$9)/SQRT(((O13+'Inputs'!$B$21+'Inputs'!$B$7+'Inputs'!$B$10)+'Inputs'!$B$9)^2+('Inputs'!$B$8/2)^2)-((O13+'Inputs'!$B$21+'Inputs'!$B$7+'Inputs'!$B$10))/SQRT(((O13+'Inputs'!$B$21+'Inputs'!$B$7+'Inputs'!$B$10))^2+('Inputs'!$B$8/2)^2))))*'Results'!$B$8*'Results'!$B$9))),"")</x:f>
        <x:v>80.63326388563775</x:v>
      </x:c>
      <x:c r="Q13" s="22"/>
      <x:c r="R13" s="22"/>
      <x:c r="S13" s="22" t="n">
        <x:f>IF(V12&gt;='Results'!B13,U12,S12)</x:f>
        <x:v>7.8125</x:v>
      </x:c>
      <x:c r="T13" s="22" t="n">
        <x:f>IF(V12&gt;='Results'!B13,T12,U12)</x:f>
        <x:v>8.125</x:v>
      </x:c>
      <x:c r="U13" s="22" t="n">
        <x:f>(S13+T13)/2</x:f>
        <x:v>7.96875</x:v>
      </x:c>
      <x:c r="V13" s="22" t="n">
        <x:f>IF(AND(ISNUMBER('Results'!B7),ISNUMBER('Results'!C7),ISNUMBER('Results'!$B$8),ISNUMBER('Results'!$B$9),ISNUMBER('Inputs'!$B$6),ISNUMBER('Inputs'!$B$7),ISNUMBER('Inputs'!$B$8),ISNUMBER('Inputs'!$B$9),ISNUMBER('Inputs'!$B$10),ISNUMBER('Inputs'!$B$21),ISNUMBER('Inputs'!$B$24),ISNUMBER('Inputs'!$B$28)),(('Results'!B7*(0.5*(((U13+'Inputs'!$B$21)+'Inputs'!$B$7)/SQRT(((U13+'Inputs'!$B$21)+'Inputs'!$B$7)^2+('Inputs'!$B$6/2)^2)-((U13+'Inputs'!$B$21))/SQRT(((U13+'Inputs'!$B$21))^2+('Inputs'!$B$6/2)^2)))-'Results'!C7*(0.5*(((U13+'Inputs'!$B$21+'Inputs'!$B$7+'Inputs'!$B$10)+'Inputs'!$B$9)/SQRT(((U13+'Inputs'!$B$21+'Inputs'!$B$7+'Inputs'!$B$10)+'Inputs'!$B$9)^2+('Inputs'!$B$8/2)^2)-((U13+'Inputs'!$B$21+'Inputs'!$B$7+'Inputs'!$B$10))/SQRT(((U13+'Inputs'!$B$21+'Inputs'!$B$7+'Inputs'!$B$10))^2+('Inputs'!$B$8/2)^2))))*'Results'!$B$8*'Results'!$B$9),"")</x:f>
        <x:v>74.01321617616344</x:v>
      </x:c>
      <x:c r="W13" s="22"/>
      <x:c r="X13" s="22"/>
      <x:c r="Y13" s="22" t="n">
        <x:f>IF(AB12&gt;='Results'!B14,AA12,Y12)</x:f>
        <x:v>8.4375</x:v>
      </x:c>
      <x:c r="Z13" s="22" t="n">
        <x:f>IF(AB12&gt;='Results'!B14,Z12,AA12)</x:f>
        <x:v>8.75</x:v>
      </x:c>
      <x:c r="AA13" s="22" t="n">
        <x:f>(Y13+Z13)/2</x:f>
        <x:v>8.59375</x:v>
      </x:c>
      <x:c r="AB13" s="22" t="n">
        <x:f>IF(AND(ISNUMBER('Results'!B7),ISNUMBER('Results'!C7),ISNUMBER('Results'!$B$8),ISNUMBER('Results'!$B$9),ISNUMBER('Inputs'!$B$6),ISNUMBER('Inputs'!$B$7),ISNUMBER('Inputs'!$B$8),ISNUMBER('Inputs'!$B$9),ISNUMBER('Inputs'!$B$10),ISNUMBER('Inputs'!$B$21),ISNUMBER('Inputs'!$B$24),ISNUMBER('Inputs'!$B$28)),((('Results'!B7*(1+'Inputs'!$B$24)*(0.5*(((AA13+'Inputs'!$B$21)+'Inputs'!$B$7)/SQRT(((AA13+'Inputs'!$B$21)+'Inputs'!$B$7)^2+('Inputs'!$B$6/2)^2)-((AA13+'Inputs'!$B$21))/SQRT(((AA13+'Inputs'!$B$21))^2+('Inputs'!$B$6/2)^2)))-'Results'!C7*(1-'Inputs'!$B$24)*(0.5*(((AA13+'Inputs'!$B$21+'Inputs'!$B$7+'Inputs'!$B$10)+'Inputs'!$B$9)/SQRT(((AA13+'Inputs'!$B$21+'Inputs'!$B$7+'Inputs'!$B$10)+'Inputs'!$B$9)^2+('Inputs'!$B$8/2)^2)-((AA13+'Inputs'!$B$21+'Inputs'!$B$7+'Inputs'!$B$10))/SQRT(((AA13+'Inputs'!$B$21+'Inputs'!$B$7+'Inputs'!$B$10))^2+('Inputs'!$B$8/2)^2))))*'Results'!$B$8*'Results'!$B$9)+'Inputs'!$B$28*ABS((('Results'!B7*(1+'Inputs'!$B$24)*(0.5*(((AA13+'Inputs'!$B$21)+'Inputs'!$B$7)/SQRT(((AA13+'Inputs'!$B$21)+'Inputs'!$B$7)^2+('Inputs'!$B$6/2)^2)-((AA13+'Inputs'!$B$21))/SQRT(((AA13+'Inputs'!$B$21))^2+('Inputs'!$B$6/2)^2)))-'Results'!C7*(1-'Inputs'!$B$24)*(0.5*(((AA13+'Inputs'!$B$21+'Inputs'!$B$7+'Inputs'!$B$10)+'Inputs'!$B$9)/SQRT(((AA13+'Inputs'!$B$21+'Inputs'!$B$7+'Inputs'!$B$10)+'Inputs'!$B$9)^2+('Inputs'!$B$8/2)^2)-((AA13+'Inputs'!$B$21+'Inputs'!$B$7+'Inputs'!$B$10))/SQRT(((AA13+'Inputs'!$B$21+'Inputs'!$B$7+'Inputs'!$B$10))^2+('Inputs'!$B$8/2)^2))))*'Results'!$B$8*'Results'!$B$9))),"")</x:f>
        <x:v>65.43196828742806</x:v>
      </x:c>
      <x:c r="AC13" s="22"/>
      <x:c r="AD13" s="22"/>
      <x:c r="AE13" s="22" t="n">
        <x:f>IF(AH12&gt;='Results'!C10,AG12,AE12)</x:f>
        <x:v>6.875</x:v>
      </x:c>
      <x:c r="AF13" s="22" t="n">
        <x:f>IF(AH12&gt;='Results'!C10,AF12,AG12)</x:f>
        <x:v>7.1875</x:v>
      </x:c>
      <x:c r="AG13" s="22" t="n">
        <x:f>(AE13+AF13)/2</x:f>
        <x:v>7.03125</x:v>
      </x:c>
      <x:c r="AH13" s="22" t="n">
        <x:f>IF(AND(ISNUMBER('Results'!C7),ISNUMBER('Results'!B7),ISNUMBER('Results'!$B$8),ISNUMBER('Results'!$B$9),ISNUMBER('Inputs'!$B$6),ISNUMBER('Inputs'!$B$7),ISNUMBER('Inputs'!$B$8),ISNUMBER('Inputs'!$B$9),ISNUMBER('Inputs'!$B$10),ISNUMBER('Inputs'!$B$21),ISNUMBER('Inputs'!$B$24),ISNUMBER('Inputs'!$B$28)),(('Results'!C7*(0.5*(((AG13+'Inputs'!$B$21)+'Inputs'!$B$9)/SQRT(((AG13+'Inputs'!$B$21)+'Inputs'!$B$9)^2+('Inputs'!$B$8/2)^2)-((AG13+'Inputs'!$B$21))/SQRT(((AG13+'Inputs'!$B$21))^2+('Inputs'!$B$8/2)^2)))-'Results'!B7*(0.5*(((AG13+'Inputs'!$B$21+'Inputs'!$B$9+'Inputs'!$B$10)+'Inputs'!$B$7)/SQRT(((AG13+'Inputs'!$B$21+'Inputs'!$B$9+'Inputs'!$B$10)+'Inputs'!$B$7)^2+('Inputs'!$B$6/2)^2)-((AG13+'Inputs'!$B$21+'Inputs'!$B$9+'Inputs'!$B$10))/SQRT(((AG13+'Inputs'!$B$21+'Inputs'!$B$9+'Inputs'!$B$10))^2+('Inputs'!$B$6/2)^2))))*'Results'!$B$8*'Results'!$B$9),"")</x:f>
        <x:v>99.84777434868643</x:v>
      </x:c>
      <x:c r="AI13" s="22"/>
      <x:c r="AJ13" s="22"/>
      <x:c r="AK13" s="22" t="n">
        <x:f>IF(AN12&gt;='Results'!C12,AM12,AK12)</x:f>
        <x:v>6.25</x:v>
      </x:c>
      <x:c r="AL13" s="22" t="n">
        <x:f>IF(AN12&gt;='Results'!C12,AL12,AM12)</x:f>
        <x:v>6.5625</x:v>
      </x:c>
      <x:c r="AM13" s="22" t="n">
        <x:f>(AK13+AL13)/2</x:f>
        <x:v>6.40625</x:v>
      </x:c>
      <x:c r="AN13" s="22" t="n">
        <x:f>IF(AND(ISNUMBER('Results'!C7),ISNUMBER('Results'!B7),ISNUMBER('Results'!$B$8),ISNUMBER('Results'!$B$9),ISNUMBER('Inputs'!$B$6),ISNUMBER('Inputs'!$B$7),ISNUMBER('Inputs'!$B$8),ISNUMBER('Inputs'!$B$9),ISNUMBER('Inputs'!$B$10),ISNUMBER('Inputs'!$B$21),ISNUMBER('Inputs'!$B$24),ISNUMBER('Inputs'!$B$28)),((('Results'!C7*(1-'Inputs'!$B$24)*(0.5*(((AM13+'Inputs'!$B$21)+'Inputs'!$B$9)/SQRT(((AM13+'Inputs'!$B$21)+'Inputs'!$B$9)^2+('Inputs'!$B$8/2)^2)-((AM13+'Inputs'!$B$21))/SQRT(((AM13+'Inputs'!$B$21))^2+('Inputs'!$B$8/2)^2)))-'Results'!B7*(1+'Inputs'!$B$24)*(0.5*(((AM13+'Inputs'!$B$21+'Inputs'!$B$9+'Inputs'!$B$10)+'Inputs'!$B$7)/SQRT(((AM13+'Inputs'!$B$21+'Inputs'!$B$9+'Inputs'!$B$10)+'Inputs'!$B$7)^2+('Inputs'!$B$6/2)^2)-((AM13+'Inputs'!$B$21+'Inputs'!$B$9+'Inputs'!$B$10))/SQRT(((AM13+'Inputs'!$B$21+'Inputs'!$B$9+'Inputs'!$B$10))^2+('Inputs'!$B$6/2)^2))))*'Results'!$B$8*'Results'!$B$9)-'Inputs'!$B$28*ABS((('Results'!C7*(1-'Inputs'!$B$24)*(0.5*(((AM13+'Inputs'!$B$21)+'Inputs'!$B$9)/SQRT(((AM13+'Inputs'!$B$21)+'Inputs'!$B$9)^2+('Inputs'!$B$8/2)^2)-((AM13+'Inputs'!$B$21))/SQRT(((AM13+'Inputs'!$B$21))^2+('Inputs'!$B$8/2)^2)))-'Results'!B7*(1+'Inputs'!$B$24)*(0.5*(((AM13+'Inputs'!$B$21+'Inputs'!$B$9+'Inputs'!$B$10)+'Inputs'!$B$7)/SQRT(((AM13+'Inputs'!$B$21+'Inputs'!$B$9+'Inputs'!$B$10)+'Inputs'!$B$7)^2+('Inputs'!$B$6/2)^2)-((AM13+'Inputs'!$B$21+'Inputs'!$B$9+'Inputs'!$B$10))/SQRT(((AM13+'Inputs'!$B$21+'Inputs'!$B$9+'Inputs'!$B$10))^2+('Inputs'!$B$6/2)^2))))*'Results'!$B$8*'Results'!$B$9))),"")</x:f>
        <x:v>116.36697860868436</x:v>
      </x:c>
      <x:c r="AO13" s="22"/>
      <x:c r="AP13" s="22"/>
      <x:c r="AQ13" s="22" t="n">
        <x:f>IF(AT12&gt;='Results'!C11,AS12,AQ12)</x:f>
        <x:v>7.5</x:v>
      </x:c>
      <x:c r="AR13" s="22" t="n">
        <x:f>IF(AT12&gt;='Results'!C11,AR12,AS12)</x:f>
        <x:v>7.8125</x:v>
      </x:c>
      <x:c r="AS13" s="22" t="n">
        <x:f>(AQ13+AR13)/2</x:f>
        <x:v>7.65625</x:v>
      </x:c>
      <x:c r="AT13" s="22" t="n">
        <x:f>IF(AND(ISNUMBER('Results'!C7),ISNUMBER('Results'!B7),ISNUMBER('Results'!$B$8),ISNUMBER('Results'!$B$9),ISNUMBER('Inputs'!$B$6),ISNUMBER('Inputs'!$B$7),ISNUMBER('Inputs'!$B$8),ISNUMBER('Inputs'!$B$9),ISNUMBER('Inputs'!$B$10),ISNUMBER('Inputs'!$B$21),ISNUMBER('Inputs'!$B$24),ISNUMBER('Inputs'!$B$28)),((('Results'!C7*(1+'Inputs'!$B$24)*(0.5*(((AS13+'Inputs'!$B$21)+'Inputs'!$B$9)/SQRT(((AS13+'Inputs'!$B$21)+'Inputs'!$B$9)^2+('Inputs'!$B$8/2)^2)-((AS13+'Inputs'!$B$21))/SQRT(((AS13+'Inputs'!$B$21))^2+('Inputs'!$B$8/2)^2)))-'Results'!B7*(1-'Inputs'!$B$24)*(0.5*(((AS13+'Inputs'!$B$21+'Inputs'!$B$9+'Inputs'!$B$10)+'Inputs'!$B$7)/SQRT(((AS13+'Inputs'!$B$21+'Inputs'!$B$9+'Inputs'!$B$10)+'Inputs'!$B$7)^2+('Inputs'!$B$6/2)^2)-((AS13+'Inputs'!$B$21+'Inputs'!$B$9+'Inputs'!$B$10))/SQRT(((AS13+'Inputs'!$B$21+'Inputs'!$B$9+'Inputs'!$B$10))^2+('Inputs'!$B$6/2)^2))))*'Results'!$B$8*'Results'!$B$9)+'Inputs'!$B$28*ABS((('Results'!C7*(1+'Inputs'!$B$24)*(0.5*(((AS13+'Inputs'!$B$21)+'Inputs'!$B$9)/SQRT(((AS13+'Inputs'!$B$21)+'Inputs'!$B$9)^2+('Inputs'!$B$8/2)^2)-((AS13+'Inputs'!$B$21))/SQRT(((AS13+'Inputs'!$B$21))^2+('Inputs'!$B$8/2)^2)))-'Results'!B7*(1-'Inputs'!$B$24)*(0.5*(((AS13+'Inputs'!$B$21+'Inputs'!$B$9+'Inputs'!$B$10)+'Inputs'!$B$7)/SQRT(((AS13+'Inputs'!$B$21+'Inputs'!$B$9+'Inputs'!$B$10)+'Inputs'!$B$7)^2+('Inputs'!$B$6/2)^2)-((AS13+'Inputs'!$B$21+'Inputs'!$B$9+'Inputs'!$B$10))/SQRT(((AS13+'Inputs'!$B$21+'Inputs'!$B$9+'Inputs'!$B$10))^2+('Inputs'!$B$6/2)^2))))*'Results'!$B$8*'Results'!$B$9))),"")</x:f>
        <x:v>86.62178417840283</x:v>
      </x:c>
      <x:c r="AU13" s="22"/>
      <x:c r="AV13" s="22"/>
      <x:c r="AW13" s="22" t="n">
        <x:f>IF(AZ12&gt;='Results'!C13,AY12,AW12)</x:f>
        <x:v>7.5</x:v>
      </x:c>
      <x:c r="AX13" s="22" t="n">
        <x:f>IF(AZ12&gt;='Results'!C13,AX12,AY12)</x:f>
        <x:v>7.8125</x:v>
      </x:c>
      <x:c r="AY13" s="22" t="n">
        <x:f>(AW13+AX13)/2</x:f>
        <x:v>7.65625</x:v>
      </x:c>
      <x:c r="AZ13" s="22" t="n">
        <x:f>IF(AND(ISNUMBER('Results'!C7),ISNUMBER('Results'!B7),ISNUMBER('Results'!$B$8),ISNUMBER('Results'!$B$9),ISNUMBER('Inputs'!$B$6),ISNUMBER('Inputs'!$B$7),ISNUMBER('Inputs'!$B$8),ISNUMBER('Inputs'!$B$9),ISNUMBER('Inputs'!$B$10),ISNUMBER('Inputs'!$B$21),ISNUMBER('Inputs'!$B$24),ISNUMBER('Inputs'!$B$28)),(('Results'!C7*(0.5*(((AY13+'Inputs'!$B$21)+'Inputs'!$B$9)/SQRT(((AY13+'Inputs'!$B$21)+'Inputs'!$B$9)^2+('Inputs'!$B$8/2)^2)-((AY13+'Inputs'!$B$21))/SQRT(((AY13+'Inputs'!$B$21))^2+('Inputs'!$B$8/2)^2)))-'Results'!B7*(0.5*(((AY13+'Inputs'!$B$21+'Inputs'!$B$9+'Inputs'!$B$10)+'Inputs'!$B$7)/SQRT(((AY13+'Inputs'!$B$21+'Inputs'!$B$9+'Inputs'!$B$10)+'Inputs'!$B$7)^2+('Inputs'!$B$6/2)^2)-((AY13+'Inputs'!$B$21+'Inputs'!$B$9+'Inputs'!$B$10))/SQRT(((AY13+'Inputs'!$B$21+'Inputs'!$B$9+'Inputs'!$B$10))^2+('Inputs'!$B$6/2)^2))))*'Results'!$B$8*'Results'!$B$9),"")</x:f>
        <x:v>79.48799451871253</x:v>
      </x:c>
      <x:c r="BA13" s="22"/>
      <x:c r="BB13" s="22"/>
      <x:c r="BC13" s="22" t="n">
        <x:f>IF(BF12&gt;='Results'!C14,BE12,BC12)</x:f>
        <x:v>8.125</x:v>
      </x:c>
      <x:c r="BD13" s="22" t="n">
        <x:f>IF(BF12&gt;='Results'!C14,BD12,BE12)</x:f>
        <x:v>8.4375</x:v>
      </x:c>
      <x:c r="BE13" s="22" t="n">
        <x:f>(BC13+BD13)/2</x:f>
        <x:v>8.28125</x:v>
      </x:c>
      <x:c r="BF13" s="22" t="n">
        <x:f>IF(AND(ISNUMBER('Results'!C7),ISNUMBER('Results'!B7),ISNUMBER('Results'!$B$8),ISNUMBER('Results'!$B$9),ISNUMBER('Inputs'!$B$6),ISNUMBER('Inputs'!$B$7),ISNUMBER('Inputs'!$B$8),ISNUMBER('Inputs'!$B$9),ISNUMBER('Inputs'!$B$10),ISNUMBER('Inputs'!$B$21),ISNUMBER('Inputs'!$B$24),ISNUMBER('Inputs'!$B$28)),((('Results'!C7*(1+'Inputs'!$B$24)*(0.5*(((BE13+'Inputs'!$B$21)+'Inputs'!$B$9)/SQRT(((BE13+'Inputs'!$B$21)+'Inputs'!$B$9)^2+('Inputs'!$B$8/2)^2)-((BE13+'Inputs'!$B$21))/SQRT(((BE13+'Inputs'!$B$21))^2+('Inputs'!$B$8/2)^2)))-'Results'!B7*(1-'Inputs'!$B$24)*(0.5*(((BE13+'Inputs'!$B$21+'Inputs'!$B$9+'Inputs'!$B$10)+'Inputs'!$B$7)/SQRT(((BE13+'Inputs'!$B$21+'Inputs'!$B$9+'Inputs'!$B$10)+'Inputs'!$B$7)^2+('Inputs'!$B$6/2)^2)-((BE13+'Inputs'!$B$21+'Inputs'!$B$9+'Inputs'!$B$10))/SQRT(((BE13+'Inputs'!$B$21+'Inputs'!$B$9+'Inputs'!$B$10))^2+('Inputs'!$B$6/2)^2))))*'Results'!$B$8*'Results'!$B$9)+'Inputs'!$B$28*ABS((('Results'!C7*(1+'Inputs'!$B$24)*(0.5*(((BE13+'Inputs'!$B$21)+'Inputs'!$B$9)/SQRT(((BE13+'Inputs'!$B$21)+'Inputs'!$B$9)^2+('Inputs'!$B$8/2)^2)-((BE13+'Inputs'!$B$21))/SQRT(((BE13+'Inputs'!$B$21))^2+('Inputs'!$B$8/2)^2)))-'Results'!B7*(1-'Inputs'!$B$24)*(0.5*(((BE13+'Inputs'!$B$21+'Inputs'!$B$9+'Inputs'!$B$10)+'Inputs'!$B$7)/SQRT(((BE13+'Inputs'!$B$21+'Inputs'!$B$9+'Inputs'!$B$10)+'Inputs'!$B$7)^2+('Inputs'!$B$6/2)^2)-((BE13+'Inputs'!$B$21+'Inputs'!$B$9+'Inputs'!$B$10))/SQRT(((BE13+'Inputs'!$B$21+'Inputs'!$B$9+'Inputs'!$B$10))^2+('Inputs'!$B$6/2)^2))))*'Results'!$B$8*'Results'!$B$9))),"")</x:f>
        <x:v>69.82710730912292</x:v>
      </x:c>
      <x:c r="BG13" s="22"/>
      <x:c r="BH13" s="22"/>
    </x:row>
    <x:row r="14" ht="22" customHeight="1">
      <x:c r="A14" s="22" t="n">
        <x:f>IF(D13&gt;='Results'!B10,C13,A13)</x:f>
        <x:v>7.03125</x:v>
      </x:c>
      <x:c r="B14" s="22" t="n">
        <x:f>IF(D13&gt;='Results'!B10,B13,C13)</x:f>
        <x:v>7.1875</x:v>
      </x:c>
      <x:c r="C14" s="22" t="n">
        <x:f>(A14+B14)/2</x:f>
        <x:v>7.109375</x:v>
      </x:c>
      <x:c r="D14" s="22" t="n">
        <x:f>IF(AND(ISNUMBER('Results'!B7),ISNUMBER('Results'!C7),ISNUMBER('Results'!$B$8),ISNUMBER('Results'!$B$9),ISNUMBER('Inputs'!$B$6),ISNUMBER('Inputs'!$B$7),ISNUMBER('Inputs'!$B$8),ISNUMBER('Inputs'!$B$9),ISNUMBER('Inputs'!$B$10),ISNUMBER('Inputs'!$B$21),ISNUMBER('Inputs'!$B$24),ISNUMBER('Inputs'!$B$28)),(('Results'!B7*(0.5*(((C14+'Inputs'!$B$21)+'Inputs'!$B$7)/SQRT(((C14+'Inputs'!$B$21)+'Inputs'!$B$7)^2+('Inputs'!$B$6/2)^2)-((C14+'Inputs'!$B$21))/SQRT(((C14+'Inputs'!$B$21))^2+('Inputs'!$B$6/2)^2)))-'Results'!C7*(0.5*(((C14+'Inputs'!$B$21+'Inputs'!$B$7+'Inputs'!$B$10)+'Inputs'!$B$9)/SQRT(((C14+'Inputs'!$B$21+'Inputs'!$B$7+'Inputs'!$B$10)+'Inputs'!$B$9)^2+('Inputs'!$B$8/2)^2)-((C14+'Inputs'!$B$21+'Inputs'!$B$7+'Inputs'!$B$10))/SQRT(((C14+'Inputs'!$B$21+'Inputs'!$B$7+'Inputs'!$B$10))^2+('Inputs'!$B$8/2)^2))))*'Results'!$B$8*'Results'!$B$9),"")</x:f>
        <x:v>100.57875457545448</x:v>
      </x:c>
      <x:c r="E14" s="22"/>
      <x:c r="F14" s="22"/>
      <x:c r="G14" s="22" t="n">
        <x:f>IF(J13&gt;='Results'!B12,I13,G13)</x:f>
        <x:v>6.5625</x:v>
      </x:c>
      <x:c r="H14" s="22" t="n">
        <x:f>IF(J13&gt;='Results'!B12,H13,I13)</x:f>
        <x:v>6.71875</x:v>
      </x:c>
      <x:c r="I14" s="22" t="n">
        <x:f>(G14+H14)/2</x:f>
        <x:v>6.640625</x:v>
      </x:c>
      <x:c r="J14" s="22" t="n">
        <x:f>IF(AND(ISNUMBER('Results'!B7),ISNUMBER('Results'!C7),ISNUMBER('Results'!$B$8),ISNUMBER('Results'!$B$9),ISNUMBER('Inputs'!$B$6),ISNUMBER('Inputs'!$B$7),ISNUMBER('Inputs'!$B$8),ISNUMBER('Inputs'!$B$9),ISNUMBER('Inputs'!$B$10),ISNUMBER('Inputs'!$B$21),ISNUMBER('Inputs'!$B$24),ISNUMBER('Inputs'!$B$28)),((('Results'!B7*(1-'Inputs'!$B$24)*(0.5*(((I14+'Inputs'!$B$21)+'Inputs'!$B$7)/SQRT(((I14+'Inputs'!$B$21)+'Inputs'!$B$7)^2+('Inputs'!$B$6/2)^2)-((I14+'Inputs'!$B$21))/SQRT(((I14+'Inputs'!$B$21))^2+('Inputs'!$B$6/2)^2)))-'Results'!C7*(1+'Inputs'!$B$24)*(0.5*(((I14+'Inputs'!$B$21+'Inputs'!$B$7+'Inputs'!$B$10)+'Inputs'!$B$9)/SQRT(((I14+'Inputs'!$B$21+'Inputs'!$B$7+'Inputs'!$B$10)+'Inputs'!$B$9)^2+('Inputs'!$B$8/2)^2)-((I14+'Inputs'!$B$21+'Inputs'!$B$7+'Inputs'!$B$10))/SQRT(((I14+'Inputs'!$B$21+'Inputs'!$B$7+'Inputs'!$B$10))^2+('Inputs'!$B$8/2)^2))))*'Results'!$B$8*'Results'!$B$9)-'Inputs'!$B$28*ABS((('Results'!B7*(1-'Inputs'!$B$24)*(0.5*(((I14+'Inputs'!$B$21)+'Inputs'!$B$7)/SQRT(((I14+'Inputs'!$B$21)+'Inputs'!$B$7)^2+('Inputs'!$B$6/2)^2)-((I14+'Inputs'!$B$21))/SQRT(((I14+'Inputs'!$B$21))^2+('Inputs'!$B$6/2)^2)))-'Results'!C7*(1+'Inputs'!$B$24)*(0.5*(((I14+'Inputs'!$B$21+'Inputs'!$B$7+'Inputs'!$B$10)+'Inputs'!$B$9)/SQRT(((I14+'Inputs'!$B$21+'Inputs'!$B$7+'Inputs'!$B$10)+'Inputs'!$B$9)^2+('Inputs'!$B$8/2)^2)-((I14+'Inputs'!$B$21+'Inputs'!$B$7+'Inputs'!$B$10))/SQRT(((I14+'Inputs'!$B$21+'Inputs'!$B$7+'Inputs'!$B$10))^2+('Inputs'!$B$8/2)^2))))*'Results'!$B$8*'Results'!$B$9))),"")</x:f>
        <x:v>110.05683426021892</x:v>
      </x:c>
      <x:c r="K14" s="22"/>
      <x:c r="L14" s="22"/>
      <x:c r="M14" s="22" t="n">
        <x:f>IF(P13&gt;='Results'!B11,O13,M13)</x:f>
        <x:v>7.8125</x:v>
      </x:c>
      <x:c r="N14" s="22" t="n">
        <x:f>IF(P13&gt;='Results'!B11,N13,O13)</x:f>
        <x:v>7.96875</x:v>
      </x:c>
      <x:c r="O14" s="22" t="n">
        <x:f>(M14+N14)/2</x:f>
        <x:v>7.890625</x:v>
      </x:c>
      <x:c r="P14" s="22" t="n">
        <x:f>IF(AND(ISNUMBER('Results'!B7),ISNUMBER('Results'!C7),ISNUMBER('Results'!$B$8),ISNUMBER('Results'!$B$9),ISNUMBER('Inputs'!$B$6),ISNUMBER('Inputs'!$B$7),ISNUMBER('Inputs'!$B$8),ISNUMBER('Inputs'!$B$9),ISNUMBER('Inputs'!$B$10),ISNUMBER('Inputs'!$B$21),ISNUMBER('Inputs'!$B$24),ISNUMBER('Inputs'!$B$28)),((('Results'!B7*(1+'Inputs'!$B$24)*(0.5*(((O14+'Inputs'!$B$21)+'Inputs'!$B$7)/SQRT(((O14+'Inputs'!$B$21)+'Inputs'!$B$7)^2+('Inputs'!$B$6/2)^2)-((O14+'Inputs'!$B$21))/SQRT(((O14+'Inputs'!$B$21))^2+('Inputs'!$B$6/2)^2)))-'Results'!C7*(1-'Inputs'!$B$24)*(0.5*(((O14+'Inputs'!$B$21+'Inputs'!$B$7+'Inputs'!$B$10)+'Inputs'!$B$9)/SQRT(((O14+'Inputs'!$B$21+'Inputs'!$B$7+'Inputs'!$B$10)+'Inputs'!$B$9)^2+('Inputs'!$B$8/2)^2)-((O14+'Inputs'!$B$21+'Inputs'!$B$7+'Inputs'!$B$10))/SQRT(((O14+'Inputs'!$B$21+'Inputs'!$B$7+'Inputs'!$B$10))^2+('Inputs'!$B$8/2)^2))))*'Results'!$B$8*'Results'!$B$9)+'Inputs'!$B$28*ABS((('Results'!B7*(1+'Inputs'!$B$24)*(0.5*(((O14+'Inputs'!$B$21)+'Inputs'!$B$7)/SQRT(((O14+'Inputs'!$B$21)+'Inputs'!$B$7)^2+('Inputs'!$B$6/2)^2)-((O14+'Inputs'!$B$21))/SQRT(((O14+'Inputs'!$B$21))^2+('Inputs'!$B$6/2)^2)))-'Results'!C7*(1-'Inputs'!$B$24)*(0.5*(((O14+'Inputs'!$B$21+'Inputs'!$B$7+'Inputs'!$B$10)+'Inputs'!$B$9)/SQRT(((O14+'Inputs'!$B$21+'Inputs'!$B$7+'Inputs'!$B$10)+'Inputs'!$B$9)^2+('Inputs'!$B$8/2)^2)-((O14+'Inputs'!$B$21+'Inputs'!$B$7+'Inputs'!$B$10))/SQRT(((O14+'Inputs'!$B$21+'Inputs'!$B$7+'Inputs'!$B$10))^2+('Inputs'!$B$8/2)^2))))*'Results'!$B$8*'Results'!$B$9))),"")</x:f>
        <x:v>82.82717403935398</x:v>
      </x:c>
      <x:c r="Q14" s="22"/>
      <x:c r="R14" s="22"/>
      <x:c r="S14" s="22" t="n">
        <x:f>IF(V13&gt;='Results'!B13,U13,S13)</x:f>
        <x:v>7.8125</x:v>
      </x:c>
      <x:c r="T14" s="22" t="n">
        <x:f>IF(V13&gt;='Results'!B13,T13,U13)</x:f>
        <x:v>7.96875</x:v>
      </x:c>
      <x:c r="U14" s="22" t="n">
        <x:f>(S14+T14)/2</x:f>
        <x:v>7.890625</x:v>
      </x:c>
      <x:c r="V14" s="22" t="n">
        <x:f>IF(AND(ISNUMBER('Results'!B7),ISNUMBER('Results'!C7),ISNUMBER('Results'!$B$8),ISNUMBER('Results'!$B$9),ISNUMBER('Inputs'!$B$6),ISNUMBER('Inputs'!$B$7),ISNUMBER('Inputs'!$B$8),ISNUMBER('Inputs'!$B$9),ISNUMBER('Inputs'!$B$10),ISNUMBER('Inputs'!$B$21),ISNUMBER('Inputs'!$B$24),ISNUMBER('Inputs'!$B$28)),(('Results'!B7*(0.5*(((U14+'Inputs'!$B$21)+'Inputs'!$B$7)/SQRT(((U14+'Inputs'!$B$21)+'Inputs'!$B$7)^2+('Inputs'!$B$6/2)^2)-((U14+'Inputs'!$B$21))/SQRT(((U14+'Inputs'!$B$21))^2+('Inputs'!$B$6/2)^2)))-'Results'!C7*(0.5*(((U14+'Inputs'!$B$21+'Inputs'!$B$7+'Inputs'!$B$10)+'Inputs'!$B$9)/SQRT(((U14+'Inputs'!$B$21+'Inputs'!$B$7+'Inputs'!$B$10)+'Inputs'!$B$9)^2+('Inputs'!$B$8/2)^2)-((U14+'Inputs'!$B$21+'Inputs'!$B$7+'Inputs'!$B$10))/SQRT(((U14+'Inputs'!$B$21+'Inputs'!$B$7+'Inputs'!$B$10))^2+('Inputs'!$B$8/2)^2))))*'Results'!$B$8*'Results'!$B$9),"")</x:f>
        <x:v>76.04018826589699</x:v>
      </x:c>
      <x:c r="W14" s="22"/>
      <x:c r="X14" s="22"/>
      <x:c r="Y14" s="22" t="n">
        <x:f>IF(AB13&gt;='Results'!B14,AA13,Y13)</x:f>
        <x:v>8.4375</x:v>
      </x:c>
      <x:c r="Z14" s="22" t="n">
        <x:f>IF(AB13&gt;='Results'!B14,Z13,AA13)</x:f>
        <x:v>8.59375</x:v>
      </x:c>
      <x:c r="AA14" s="22" t="n">
        <x:f>(Y14+Z14)/2</x:f>
        <x:v>8.515625</x:v>
      </x:c>
      <x:c r="AB14" s="22" t="n">
        <x:f>IF(AND(ISNUMBER('Results'!B7),ISNUMBER('Results'!C7),ISNUMBER('Results'!$B$8),ISNUMBER('Results'!$B$9),ISNUMBER('Inputs'!$B$6),ISNUMBER('Inputs'!$B$7),ISNUMBER('Inputs'!$B$8),ISNUMBER('Inputs'!$B$9),ISNUMBER('Inputs'!$B$10),ISNUMBER('Inputs'!$B$21),ISNUMBER('Inputs'!$B$24),ISNUMBER('Inputs'!$B$28)),((('Results'!B7*(1+'Inputs'!$B$24)*(0.5*(((AA14+'Inputs'!$B$21)+'Inputs'!$B$7)/SQRT(((AA14+'Inputs'!$B$21)+'Inputs'!$B$7)^2+('Inputs'!$B$6/2)^2)-((AA14+'Inputs'!$B$21))/SQRT(((AA14+'Inputs'!$B$21))^2+('Inputs'!$B$6/2)^2)))-'Results'!C7*(1-'Inputs'!$B$24)*(0.5*(((AA14+'Inputs'!$B$21+'Inputs'!$B$7+'Inputs'!$B$10)+'Inputs'!$B$9)/SQRT(((AA14+'Inputs'!$B$21+'Inputs'!$B$7+'Inputs'!$B$10)+'Inputs'!$B$9)^2+('Inputs'!$B$8/2)^2)-((AA14+'Inputs'!$B$21+'Inputs'!$B$7+'Inputs'!$B$10))/SQRT(((AA14+'Inputs'!$B$21+'Inputs'!$B$7+'Inputs'!$B$10))^2+('Inputs'!$B$8/2)^2))))*'Results'!$B$8*'Results'!$B$9)+'Inputs'!$B$28*ABS((('Results'!B7*(1+'Inputs'!$B$24)*(0.5*(((AA14+'Inputs'!$B$21)+'Inputs'!$B$7)/SQRT(((AA14+'Inputs'!$B$21)+'Inputs'!$B$7)^2+('Inputs'!$B$6/2)^2)-((AA14+'Inputs'!$B$21))/SQRT(((AA14+'Inputs'!$B$21))^2+('Inputs'!$B$6/2)^2)))-'Results'!C7*(1-'Inputs'!$B$24)*(0.5*(((AA14+'Inputs'!$B$21+'Inputs'!$B$7+'Inputs'!$B$10)+'Inputs'!$B$9)/SQRT(((AA14+'Inputs'!$B$21+'Inputs'!$B$7+'Inputs'!$B$10)+'Inputs'!$B$9)^2+('Inputs'!$B$8/2)^2)-((AA14+'Inputs'!$B$21+'Inputs'!$B$7+'Inputs'!$B$10))/SQRT(((AA14+'Inputs'!$B$21+'Inputs'!$B$7+'Inputs'!$B$10))^2+('Inputs'!$B$8/2)^2))))*'Results'!$B$8*'Results'!$B$9))),"")</x:f>
        <x:v>67.12581979468308</x:v>
      </x:c>
      <x:c r="AC14" s="22"/>
      <x:c r="AD14" s="22"/>
      <x:c r="AE14" s="22" t="n">
        <x:f>IF(AH13&gt;='Results'!C10,AG13,AE13)</x:f>
        <x:v>6.875</x:v>
      </x:c>
      <x:c r="AF14" s="22" t="n">
        <x:f>IF(AH13&gt;='Results'!C10,AF13,AG13)</x:f>
        <x:v>7.03125</x:v>
      </x:c>
      <x:c r="AG14" s="22" t="n">
        <x:f>(AE14+AF14)/2</x:f>
        <x:v>6.953125</x:v>
      </x:c>
      <x:c r="AH14" s="22" t="n">
        <x:f>IF(AND(ISNUMBER('Results'!C7),ISNUMBER('Results'!B7),ISNUMBER('Results'!$B$8),ISNUMBER('Results'!$B$9),ISNUMBER('Inputs'!$B$6),ISNUMBER('Inputs'!$B$7),ISNUMBER('Inputs'!$B$8),ISNUMBER('Inputs'!$B$9),ISNUMBER('Inputs'!$B$10),ISNUMBER('Inputs'!$B$21),ISNUMBER('Inputs'!$B$24),ISNUMBER('Inputs'!$B$28)),(('Results'!C7*(0.5*(((AG14+'Inputs'!$B$21)+'Inputs'!$B$9)/SQRT(((AG14+'Inputs'!$B$21)+'Inputs'!$B$9)^2+('Inputs'!$B$8/2)^2)-((AG14+'Inputs'!$B$21))/SQRT(((AG14+'Inputs'!$B$21))^2+('Inputs'!$B$8/2)^2)))-'Results'!B7*(0.5*(((AG14+'Inputs'!$B$21+'Inputs'!$B$9+'Inputs'!$B$10)+'Inputs'!$B$7)/SQRT(((AG14+'Inputs'!$B$21+'Inputs'!$B$9+'Inputs'!$B$10)+'Inputs'!$B$7)^2+('Inputs'!$B$6/2)^2)-((AG14+'Inputs'!$B$21+'Inputs'!$B$9+'Inputs'!$B$10))/SQRT(((AG14+'Inputs'!$B$21+'Inputs'!$B$9+'Inputs'!$B$10))^2+('Inputs'!$B$6/2)^2))))*'Results'!$B$8*'Results'!$B$9),"")</x:f>
        <x:v>102.8187714739522</x:v>
      </x:c>
      <x:c r="AI14" s="22"/>
      <x:c r="AJ14" s="22"/>
      <x:c r="AK14" s="22" t="n">
        <x:f>IF(AN13&gt;='Results'!C12,AM13,AK13)</x:f>
        <x:v>6.25</x:v>
      </x:c>
      <x:c r="AL14" s="22" t="n">
        <x:f>IF(AN13&gt;='Results'!C12,AL13,AM13)</x:f>
        <x:v>6.40625</x:v>
      </x:c>
      <x:c r="AM14" s="22" t="n">
        <x:f>(AK14+AL14)/2</x:f>
        <x:v>6.328125</x:v>
      </x:c>
      <x:c r="AN14" s="22" t="n">
        <x:f>IF(AND(ISNUMBER('Results'!C7),ISNUMBER('Results'!B7),ISNUMBER('Results'!$B$8),ISNUMBER('Results'!$B$9),ISNUMBER('Inputs'!$B$6),ISNUMBER('Inputs'!$B$7),ISNUMBER('Inputs'!$B$8),ISNUMBER('Inputs'!$B$9),ISNUMBER('Inputs'!$B$10),ISNUMBER('Inputs'!$B$21),ISNUMBER('Inputs'!$B$24),ISNUMBER('Inputs'!$B$28)),((('Results'!C7*(1-'Inputs'!$B$24)*(0.5*(((AM14+'Inputs'!$B$21)+'Inputs'!$B$9)/SQRT(((AM14+'Inputs'!$B$21)+'Inputs'!$B$9)^2+('Inputs'!$B$8/2)^2)-((AM14+'Inputs'!$B$21))/SQRT(((AM14+'Inputs'!$B$21))^2+('Inputs'!$B$8/2)^2)))-'Results'!B7*(1+'Inputs'!$B$24)*(0.5*(((AM14+'Inputs'!$B$21+'Inputs'!$B$9+'Inputs'!$B$10)+'Inputs'!$B$7)/SQRT(((AM14+'Inputs'!$B$21+'Inputs'!$B$9+'Inputs'!$B$10)+'Inputs'!$B$7)^2+('Inputs'!$B$6/2)^2)-((AM14+'Inputs'!$B$21+'Inputs'!$B$9+'Inputs'!$B$10))/SQRT(((AM14+'Inputs'!$B$21+'Inputs'!$B$9+'Inputs'!$B$10))^2+('Inputs'!$B$6/2)^2))))*'Results'!$B$8*'Results'!$B$9)-'Inputs'!$B$28*ABS((('Results'!C7*(1-'Inputs'!$B$24)*(0.5*(((AM14+'Inputs'!$B$21)+'Inputs'!$B$9)/SQRT(((AM14+'Inputs'!$B$21)+'Inputs'!$B$9)^2+('Inputs'!$B$8/2)^2)-((AM14+'Inputs'!$B$21))/SQRT(((AM14+'Inputs'!$B$21))^2+('Inputs'!$B$8/2)^2)))-'Results'!B7*(1+'Inputs'!$B$24)*(0.5*(((AM14+'Inputs'!$B$21+'Inputs'!$B$9+'Inputs'!$B$10)+'Inputs'!$B$7)/SQRT(((AM14+'Inputs'!$B$21+'Inputs'!$B$9+'Inputs'!$B$10)+'Inputs'!$B$7)^2+('Inputs'!$B$6/2)^2)-((AM14+'Inputs'!$B$21+'Inputs'!$B$9+'Inputs'!$B$10))/SQRT(((AM14+'Inputs'!$B$21+'Inputs'!$B$9+'Inputs'!$B$10))^2+('Inputs'!$B$6/2)^2))))*'Results'!$B$8*'Results'!$B$9))),"")</x:f>
        <x:v>120.03628346727892</x:v>
      </x:c>
      <x:c r="AO14" s="22"/>
      <x:c r="AP14" s="22"/>
      <x:c r="AQ14" s="22" t="n">
        <x:f>IF(AT13&gt;='Results'!C11,AS13,AQ13)</x:f>
        <x:v>7.5</x:v>
      </x:c>
      <x:c r="AR14" s="22" t="n">
        <x:f>IF(AT13&gt;='Results'!C11,AR13,AS13)</x:f>
        <x:v>7.65625</x:v>
      </x:c>
      <x:c r="AS14" s="22" t="n">
        <x:f>(AQ14+AR14)/2</x:f>
        <x:v>7.578125</x:v>
      </x:c>
      <x:c r="AT14" s="22" t="n">
        <x:f>IF(AND(ISNUMBER('Results'!C7),ISNUMBER('Results'!B7),ISNUMBER('Results'!$B$8),ISNUMBER('Results'!$B$9),ISNUMBER('Inputs'!$B$6),ISNUMBER('Inputs'!$B$7),ISNUMBER('Inputs'!$B$8),ISNUMBER('Inputs'!$B$9),ISNUMBER('Inputs'!$B$10),ISNUMBER('Inputs'!$B$21),ISNUMBER('Inputs'!$B$24),ISNUMBER('Inputs'!$B$28)),((('Results'!C7*(1+'Inputs'!$B$24)*(0.5*(((AS14+'Inputs'!$B$21)+'Inputs'!$B$9)/SQRT(((AS14+'Inputs'!$B$21)+'Inputs'!$B$9)^2+('Inputs'!$B$8/2)^2)-((AS14+'Inputs'!$B$21))/SQRT(((AS14+'Inputs'!$B$21))^2+('Inputs'!$B$8/2)^2)))-'Results'!B7*(1-'Inputs'!$B$24)*(0.5*(((AS14+'Inputs'!$B$21+'Inputs'!$B$9+'Inputs'!$B$10)+'Inputs'!$B$7)/SQRT(((AS14+'Inputs'!$B$21+'Inputs'!$B$9+'Inputs'!$B$10)+'Inputs'!$B$7)^2+('Inputs'!$B$6/2)^2)-((AS14+'Inputs'!$B$21+'Inputs'!$B$9+'Inputs'!$B$10))/SQRT(((AS14+'Inputs'!$B$21+'Inputs'!$B$9+'Inputs'!$B$10))^2+('Inputs'!$B$6/2)^2))))*'Results'!$B$8*'Results'!$B$9)+'Inputs'!$B$28*ABS((('Results'!C7*(1+'Inputs'!$B$24)*(0.5*(((AS14+'Inputs'!$B$21)+'Inputs'!$B$9)/SQRT(((AS14+'Inputs'!$B$21)+'Inputs'!$B$9)^2+('Inputs'!$B$8/2)^2)-((AS14+'Inputs'!$B$21))/SQRT(((AS14+'Inputs'!$B$21))^2+('Inputs'!$B$8/2)^2)))-'Results'!B7*(1-'Inputs'!$B$24)*(0.5*(((AS14+'Inputs'!$B$21+'Inputs'!$B$9+'Inputs'!$B$10)+'Inputs'!$B$7)/SQRT(((AS14+'Inputs'!$B$21+'Inputs'!$B$9+'Inputs'!$B$10)+'Inputs'!$B$7)^2+('Inputs'!$B$6/2)^2)-((AS14+'Inputs'!$B$21+'Inputs'!$B$9+'Inputs'!$B$10))/SQRT(((AS14+'Inputs'!$B$21+'Inputs'!$B$9+'Inputs'!$B$10))^2+('Inputs'!$B$6/2)^2))))*'Results'!$B$8*'Results'!$B$9))),"")</x:f>
        <x:v>89.05482116019331</x:v>
      </x:c>
      <x:c r="AU14" s="22"/>
      <x:c r="AV14" s="22"/>
      <x:c r="AW14" s="22" t="n">
        <x:f>IF(AZ13&gt;='Results'!C13,AY13,AW13)</x:f>
        <x:v>7.5</x:v>
      </x:c>
      <x:c r="AX14" s="22" t="n">
        <x:f>IF(AZ13&gt;='Results'!C13,AX13,AY13)</x:f>
        <x:v>7.65625</x:v>
      </x:c>
      <x:c r="AY14" s="22" t="n">
        <x:f>(AW14+AX14)/2</x:f>
        <x:v>7.578125</x:v>
      </x:c>
      <x:c r="AZ14" s="22" t="n">
        <x:f>IF(AND(ISNUMBER('Results'!C7),ISNUMBER('Results'!B7),ISNUMBER('Results'!$B$8),ISNUMBER('Results'!$B$9),ISNUMBER('Inputs'!$B$6),ISNUMBER('Inputs'!$B$7),ISNUMBER('Inputs'!$B$8),ISNUMBER('Inputs'!$B$9),ISNUMBER('Inputs'!$B$10),ISNUMBER('Inputs'!$B$21),ISNUMBER('Inputs'!$B$24),ISNUMBER('Inputs'!$B$28)),(('Results'!C7*(0.5*(((AY14+'Inputs'!$B$21)+'Inputs'!$B$9)/SQRT(((AY14+'Inputs'!$B$21)+'Inputs'!$B$9)^2+('Inputs'!$B$8/2)^2)-((AY14+'Inputs'!$B$21))/SQRT(((AY14+'Inputs'!$B$21))^2+('Inputs'!$B$8/2)^2)))-'Results'!B7*(0.5*(((AY14+'Inputs'!$B$21+'Inputs'!$B$9+'Inputs'!$B$10)+'Inputs'!$B$7)/SQRT(((AY14+'Inputs'!$B$21+'Inputs'!$B$9+'Inputs'!$B$10)+'Inputs'!$B$7)^2+('Inputs'!$B$6/2)^2)-((AY14+'Inputs'!$B$21+'Inputs'!$B$9+'Inputs'!$B$10))/SQRT(((AY14+'Inputs'!$B$21+'Inputs'!$B$9+'Inputs'!$B$10))^2+('Inputs'!$B$6/2)^2))))*'Results'!$B$8*'Results'!$B$9),"")</x:f>
        <x:v>81.73576276160213</x:v>
      </x:c>
      <x:c r="BA14" s="22"/>
      <x:c r="BB14" s="22"/>
      <x:c r="BC14" s="22" t="n">
        <x:f>IF(BF13&gt;='Results'!C14,BE13,BC13)</x:f>
        <x:v>8.125</x:v>
      </x:c>
      <x:c r="BD14" s="22" t="n">
        <x:f>IF(BF13&gt;='Results'!C14,BD13,BE13)</x:f>
        <x:v>8.28125</x:v>
      </x:c>
      <x:c r="BE14" s="22" t="n">
        <x:f>(BC14+BD14)/2</x:f>
        <x:v>8.203125</x:v>
      </x:c>
      <x:c r="BF14" s="22" t="n">
        <x:f>IF(AND(ISNUMBER('Results'!C7),ISNUMBER('Results'!B7),ISNUMBER('Results'!$B$8),ISNUMBER('Results'!$B$9),ISNUMBER('Inputs'!$B$6),ISNUMBER('Inputs'!$B$7),ISNUMBER('Inputs'!$B$8),ISNUMBER('Inputs'!$B$9),ISNUMBER('Inputs'!$B$10),ISNUMBER('Inputs'!$B$21),ISNUMBER('Inputs'!$B$24),ISNUMBER('Inputs'!$B$28)),((('Results'!C7*(1+'Inputs'!$B$24)*(0.5*(((BE14+'Inputs'!$B$21)+'Inputs'!$B$9)/SQRT(((BE14+'Inputs'!$B$21)+'Inputs'!$B$9)^2+('Inputs'!$B$8/2)^2)-((BE14+'Inputs'!$B$21))/SQRT(((BE14+'Inputs'!$B$21))^2+('Inputs'!$B$8/2)^2)))-'Results'!B7*(1-'Inputs'!$B$24)*(0.5*(((BE14+'Inputs'!$B$21+'Inputs'!$B$9+'Inputs'!$B$10)+'Inputs'!$B$7)/SQRT(((BE14+'Inputs'!$B$21+'Inputs'!$B$9+'Inputs'!$B$10)+'Inputs'!$B$7)^2+('Inputs'!$B$6/2)^2)-((BE14+'Inputs'!$B$21+'Inputs'!$B$9+'Inputs'!$B$10))/SQRT(((BE14+'Inputs'!$B$21+'Inputs'!$B$9+'Inputs'!$B$10))^2+('Inputs'!$B$6/2)^2))))*'Results'!$B$8*'Results'!$B$9)+'Inputs'!$B$28*ABS((('Results'!C7*(1+'Inputs'!$B$24)*(0.5*(((BE14+'Inputs'!$B$21)+'Inputs'!$B$9)/SQRT(((BE14+'Inputs'!$B$21)+'Inputs'!$B$9)^2+('Inputs'!$B$8/2)^2)-((BE14+'Inputs'!$B$21))/SQRT(((BE14+'Inputs'!$B$21))^2+('Inputs'!$B$8/2)^2)))-'Results'!B7*(1-'Inputs'!$B$24)*(0.5*(((BE14+'Inputs'!$B$21+'Inputs'!$B$9+'Inputs'!$B$10)+'Inputs'!$B$7)/SQRT(((BE14+'Inputs'!$B$21+'Inputs'!$B$9+'Inputs'!$B$10)+'Inputs'!$B$7)^2+('Inputs'!$B$6/2)^2)-((BE14+'Inputs'!$B$21+'Inputs'!$B$9+'Inputs'!$B$10))/SQRT(((BE14+'Inputs'!$B$21+'Inputs'!$B$9+'Inputs'!$B$10))^2+('Inputs'!$B$6/2)^2))))*'Results'!$B$8*'Results'!$B$9))),"")</x:f>
        <x:v>71.692613867209</x:v>
      </x:c>
      <x:c r="BG14" s="22"/>
      <x:c r="BH14" s="22"/>
    </x:row>
    <x:row r="15" ht="22" customHeight="1">
      <x:c r="A15" s="22" t="n">
        <x:f>IF(D14&gt;='Results'!B10,C14,A14)</x:f>
        <x:v>7.109375</x:v>
      </x:c>
      <x:c r="B15" s="22" t="n">
        <x:f>IF(D14&gt;='Results'!B10,B14,C14)</x:f>
        <x:v>7.1875</x:v>
      </x:c>
      <x:c r="C15" s="22" t="n">
        <x:f>(A15+B15)/2</x:f>
        <x:v>7.1484375</x:v>
      </x:c>
      <x:c r="D15" s="22" t="n">
        <x:f>IF(AND(ISNUMBER('Results'!B7),ISNUMBER('Results'!C7),ISNUMBER('Results'!$B$8),ISNUMBER('Results'!$B$9),ISNUMBER('Inputs'!$B$6),ISNUMBER('Inputs'!$B$7),ISNUMBER('Inputs'!$B$8),ISNUMBER('Inputs'!$B$9),ISNUMBER('Inputs'!$B$10),ISNUMBER('Inputs'!$B$21),ISNUMBER('Inputs'!$B$24),ISNUMBER('Inputs'!$B$28)),(('Results'!B7*(0.5*(((C15+'Inputs'!$B$21)+'Inputs'!$B$7)/SQRT(((C15+'Inputs'!$B$21)+'Inputs'!$B$7)^2+('Inputs'!$B$6/2)^2)-((C15+'Inputs'!$B$21))/SQRT(((C15+'Inputs'!$B$21))^2+('Inputs'!$B$6/2)^2)))-'Results'!C7*(0.5*(((C15+'Inputs'!$B$21+'Inputs'!$B$7+'Inputs'!$B$10)+'Inputs'!$B$9)/SQRT(((C15+'Inputs'!$B$21+'Inputs'!$B$7+'Inputs'!$B$10)+'Inputs'!$B$9)^2+('Inputs'!$B$8/2)^2)-((C15+'Inputs'!$B$21+'Inputs'!$B$7+'Inputs'!$B$10))/SQRT(((C15+'Inputs'!$B$21+'Inputs'!$B$7+'Inputs'!$B$10))^2+('Inputs'!$B$8/2)^2))))*'Results'!$B$8*'Results'!$B$9),"")</x:f>
        <x:v>99.1400343324781</x:v>
      </x:c>
      <x:c r="E15" s="22"/>
      <x:c r="F15" s="22"/>
      <x:c r="G15" s="22" t="n">
        <x:f>IF(J14&gt;='Results'!B12,I14,G14)</x:f>
        <x:v>6.5625</x:v>
      </x:c>
      <x:c r="H15" s="22" t="n">
        <x:f>IF(J14&gt;='Results'!B12,H14,I14)</x:f>
        <x:v>6.640625</x:v>
      </x:c>
      <x:c r="I15" s="22" t="n">
        <x:f>(G15+H15)/2</x:f>
        <x:v>6.6015625</x:v>
      </x:c>
      <x:c r="J15" s="22" t="n">
        <x:f>IF(AND(ISNUMBER('Results'!B7),ISNUMBER('Results'!C7),ISNUMBER('Results'!$B$8),ISNUMBER('Results'!$B$9),ISNUMBER('Inputs'!$B$6),ISNUMBER('Inputs'!$B$7),ISNUMBER('Inputs'!$B$8),ISNUMBER('Inputs'!$B$9),ISNUMBER('Inputs'!$B$10),ISNUMBER('Inputs'!$B$21),ISNUMBER('Inputs'!$B$24),ISNUMBER('Inputs'!$B$28)),((('Results'!B7*(1-'Inputs'!$B$24)*(0.5*(((I15+'Inputs'!$B$21)+'Inputs'!$B$7)/SQRT(((I15+'Inputs'!$B$21)+'Inputs'!$B$7)^2+('Inputs'!$B$6/2)^2)-((I15+'Inputs'!$B$21))/SQRT(((I15+'Inputs'!$B$21))^2+('Inputs'!$B$6/2)^2)))-'Results'!C7*(1+'Inputs'!$B$24)*(0.5*(((I15+'Inputs'!$B$21+'Inputs'!$B$7+'Inputs'!$B$10)+'Inputs'!$B$9)/SQRT(((I15+'Inputs'!$B$21+'Inputs'!$B$7+'Inputs'!$B$10)+'Inputs'!$B$9)^2+('Inputs'!$B$8/2)^2)-((I15+'Inputs'!$B$21+'Inputs'!$B$7+'Inputs'!$B$10))/SQRT(((I15+'Inputs'!$B$21+'Inputs'!$B$7+'Inputs'!$B$10))^2+('Inputs'!$B$8/2)^2))))*'Results'!$B$8*'Results'!$B$9)-'Inputs'!$B$28*ABS((('Results'!B7*(1-'Inputs'!$B$24)*(0.5*(((I15+'Inputs'!$B$21)+'Inputs'!$B$7)/SQRT(((I15+'Inputs'!$B$21)+'Inputs'!$B$7)^2+('Inputs'!$B$6/2)^2)-((I15+'Inputs'!$B$21))/SQRT(((I15+'Inputs'!$B$21))^2+('Inputs'!$B$6/2)^2)))-'Results'!C7*(1+'Inputs'!$B$24)*(0.5*(((I15+'Inputs'!$B$21+'Inputs'!$B$7+'Inputs'!$B$10)+'Inputs'!$B$9)/SQRT(((I15+'Inputs'!$B$21+'Inputs'!$B$7+'Inputs'!$B$10)+'Inputs'!$B$9)^2+('Inputs'!$B$8/2)^2)-((I15+'Inputs'!$B$21+'Inputs'!$B$7+'Inputs'!$B$10))/SQRT(((I15+'Inputs'!$B$21+'Inputs'!$B$7+'Inputs'!$B$10))^2+('Inputs'!$B$8/2)^2))))*'Results'!$B$8*'Results'!$B$9))),"")</x:f>
        <x:v>111.73244619756753</x:v>
      </x:c>
      <x:c r="K15" s="22"/>
      <x:c r="L15" s="22"/>
      <x:c r="M15" s="22" t="n">
        <x:f>IF(P14&gt;='Results'!B11,O14,M14)</x:f>
        <x:v>7.8125</x:v>
      </x:c>
      <x:c r="N15" s="22" t="n">
        <x:f>IF(P14&gt;='Results'!B11,N14,O14)</x:f>
        <x:v>7.890625</x:v>
      </x:c>
      <x:c r="O15" s="22" t="n">
        <x:f>(M15+N15)/2</x:f>
        <x:v>7.8515625</x:v>
      </x:c>
      <x:c r="P15" s="22" t="n">
        <x:f>IF(AND(ISNUMBER('Results'!B7),ISNUMBER('Results'!C7),ISNUMBER('Results'!$B$8),ISNUMBER('Results'!$B$9),ISNUMBER('Inputs'!$B$6),ISNUMBER('Inputs'!$B$7),ISNUMBER('Inputs'!$B$8),ISNUMBER('Inputs'!$B$9),ISNUMBER('Inputs'!$B$10),ISNUMBER('Inputs'!$B$21),ISNUMBER('Inputs'!$B$24),ISNUMBER('Inputs'!$B$28)),((('Results'!B7*(1+'Inputs'!$B$24)*(0.5*(((O15+'Inputs'!$B$21)+'Inputs'!$B$7)/SQRT(((O15+'Inputs'!$B$21)+'Inputs'!$B$7)^2+('Inputs'!$B$6/2)^2)-((O15+'Inputs'!$B$21))/SQRT(((O15+'Inputs'!$B$21))^2+('Inputs'!$B$6/2)^2)))-'Results'!C7*(1-'Inputs'!$B$24)*(0.5*(((O15+'Inputs'!$B$21+'Inputs'!$B$7+'Inputs'!$B$10)+'Inputs'!$B$9)/SQRT(((O15+'Inputs'!$B$21+'Inputs'!$B$7+'Inputs'!$B$10)+'Inputs'!$B$9)^2+('Inputs'!$B$8/2)^2)-((O15+'Inputs'!$B$21+'Inputs'!$B$7+'Inputs'!$B$10))/SQRT(((O15+'Inputs'!$B$21+'Inputs'!$B$7+'Inputs'!$B$10))^2+('Inputs'!$B$8/2)^2))))*'Results'!$B$8*'Results'!$B$9)+'Inputs'!$B$28*ABS((('Results'!B7*(1+'Inputs'!$B$24)*(0.5*(((O15+'Inputs'!$B$21)+'Inputs'!$B$7)/SQRT(((O15+'Inputs'!$B$21)+'Inputs'!$B$7)^2+('Inputs'!$B$6/2)^2)-((O15+'Inputs'!$B$21))/SQRT(((O15+'Inputs'!$B$21))^2+('Inputs'!$B$6/2)^2)))-'Results'!C7*(1-'Inputs'!$B$24)*(0.5*(((O15+'Inputs'!$B$21+'Inputs'!$B$7+'Inputs'!$B$10)+'Inputs'!$B$9)/SQRT(((O15+'Inputs'!$B$21+'Inputs'!$B$7+'Inputs'!$B$10)+'Inputs'!$B$9)^2+('Inputs'!$B$8/2)^2)-((O15+'Inputs'!$B$21+'Inputs'!$B$7+'Inputs'!$B$10))/SQRT(((O15+'Inputs'!$B$21+'Inputs'!$B$7+'Inputs'!$B$10))^2+('Inputs'!$B$8/2)^2))))*'Results'!$B$8*'Results'!$B$9))),"")</x:f>
        <x:v>83.95169857168544</x:v>
      </x:c>
      <x:c r="Q15" s="22"/>
      <x:c r="R15" s="22"/>
      <x:c r="S15" s="22" t="n">
        <x:f>IF(V14&gt;='Results'!B13,U14,S14)</x:f>
        <x:v>7.8125</x:v>
      </x:c>
      <x:c r="T15" s="22" t="n">
        <x:f>IF(V14&gt;='Results'!B13,T14,U14)</x:f>
        <x:v>7.890625</x:v>
      </x:c>
      <x:c r="U15" s="22" t="n">
        <x:f>(S15+T15)/2</x:f>
        <x:v>7.8515625</x:v>
      </x:c>
      <x:c r="V15" s="22" t="n">
        <x:f>IF(AND(ISNUMBER('Results'!B7),ISNUMBER('Results'!C7),ISNUMBER('Results'!$B$8),ISNUMBER('Results'!$B$9),ISNUMBER('Inputs'!$B$6),ISNUMBER('Inputs'!$B$7),ISNUMBER('Inputs'!$B$8),ISNUMBER('Inputs'!$B$9),ISNUMBER('Inputs'!$B$10),ISNUMBER('Inputs'!$B$21),ISNUMBER('Inputs'!$B$24),ISNUMBER('Inputs'!$B$28)),(('Results'!B7*(0.5*(((U15+'Inputs'!$B$21)+'Inputs'!$B$7)/SQRT(((U15+'Inputs'!$B$21)+'Inputs'!$B$7)^2+('Inputs'!$B$6/2)^2)-((U15+'Inputs'!$B$21))/SQRT(((U15+'Inputs'!$B$21))^2+('Inputs'!$B$6/2)^2)))-'Results'!C7*(0.5*(((U15+'Inputs'!$B$21+'Inputs'!$B$7+'Inputs'!$B$10)+'Inputs'!$B$9)/SQRT(((U15+'Inputs'!$B$21+'Inputs'!$B$7+'Inputs'!$B$10)+'Inputs'!$B$9)^2+('Inputs'!$B$8/2)^2)-((U15+'Inputs'!$B$21+'Inputs'!$B$7+'Inputs'!$B$10))/SQRT(((U15+'Inputs'!$B$21+'Inputs'!$B$7+'Inputs'!$B$10))^2+('Inputs'!$B$8/2)^2))))*'Results'!$B$8*'Results'!$B$9),"")</x:f>
        <x:v>77.07923714970333</x:v>
      </x:c>
      <x:c r="W15" s="22"/>
      <x:c r="X15" s="22"/>
      <x:c r="Y15" s="22" t="n">
        <x:f>IF(AB14&gt;='Results'!B14,AA14,Y14)</x:f>
        <x:v>8.515625</x:v>
      </x:c>
      <x:c r="Z15" s="22" t="n">
        <x:f>IF(AB14&gt;='Results'!B14,Z14,AA14)</x:f>
        <x:v>8.59375</x:v>
      </x:c>
      <x:c r="AA15" s="22" t="n">
        <x:f>(Y15+Z15)/2</x:f>
        <x:v>8.5546875</x:v>
      </x:c>
      <x:c r="AB15" s="22" t="n">
        <x:f>IF(AND(ISNUMBER('Results'!B7),ISNUMBER('Results'!C7),ISNUMBER('Results'!$B$8),ISNUMBER('Results'!$B$9),ISNUMBER('Inputs'!$B$6),ISNUMBER('Inputs'!$B$7),ISNUMBER('Inputs'!$B$8),ISNUMBER('Inputs'!$B$9),ISNUMBER('Inputs'!$B$10),ISNUMBER('Inputs'!$B$21),ISNUMBER('Inputs'!$B$24),ISNUMBER('Inputs'!$B$28)),((('Results'!B7*(1+'Inputs'!$B$24)*(0.5*(((AA15+'Inputs'!$B$21)+'Inputs'!$B$7)/SQRT(((AA15+'Inputs'!$B$21)+'Inputs'!$B$7)^2+('Inputs'!$B$6/2)^2)-((AA15+'Inputs'!$B$21))/SQRT(((AA15+'Inputs'!$B$21))^2+('Inputs'!$B$6/2)^2)))-'Results'!C7*(1-'Inputs'!$B$24)*(0.5*(((AA15+'Inputs'!$B$21+'Inputs'!$B$7+'Inputs'!$B$10)+'Inputs'!$B$9)/SQRT(((AA15+'Inputs'!$B$21+'Inputs'!$B$7+'Inputs'!$B$10)+'Inputs'!$B$9)^2+('Inputs'!$B$8/2)^2)-((AA15+'Inputs'!$B$21+'Inputs'!$B$7+'Inputs'!$B$10))/SQRT(((AA15+'Inputs'!$B$21+'Inputs'!$B$7+'Inputs'!$B$10))^2+('Inputs'!$B$8/2)^2))))*'Results'!$B$8*'Results'!$B$9)+'Inputs'!$B$28*ABS((('Results'!B7*(1+'Inputs'!$B$24)*(0.5*(((AA15+'Inputs'!$B$21)+'Inputs'!$B$7)/SQRT(((AA15+'Inputs'!$B$21)+'Inputs'!$B$7)^2+('Inputs'!$B$6/2)^2)-((AA15+'Inputs'!$B$21))/SQRT(((AA15+'Inputs'!$B$21))^2+('Inputs'!$B$6/2)^2)))-'Results'!C7*(1-'Inputs'!$B$24)*(0.5*(((AA15+'Inputs'!$B$21+'Inputs'!$B$7+'Inputs'!$B$10)+'Inputs'!$B$9)/SQRT(((AA15+'Inputs'!$B$21+'Inputs'!$B$7+'Inputs'!$B$10)+'Inputs'!$B$9)^2+('Inputs'!$B$8/2)^2)-((AA15+'Inputs'!$B$21+'Inputs'!$B$7+'Inputs'!$B$10))/SQRT(((AA15+'Inputs'!$B$21+'Inputs'!$B$7+'Inputs'!$B$10))^2+('Inputs'!$B$8/2)^2))))*'Results'!$B$8*'Results'!$B$9))),"")</x:f>
        <x:v>66.27220233528593</x:v>
      </x:c>
      <x:c r="AC15" s="22"/>
      <x:c r="AD15" s="22"/>
      <x:c r="AE15" s="22" t="n">
        <x:f>IF(AH14&gt;='Results'!C10,AG14,AE14)</x:f>
        <x:v>6.875</x:v>
      </x:c>
      <x:c r="AF15" s="22" t="n">
        <x:f>IF(AH14&gt;='Results'!C10,AF14,AG14)</x:f>
        <x:v>6.953125</x:v>
      </x:c>
      <x:c r="AG15" s="22" t="n">
        <x:f>(AE15+AF15)/2</x:f>
        <x:v>6.9140625</x:v>
      </x:c>
      <x:c r="AH15" s="22" t="n">
        <x:f>IF(AND(ISNUMBER('Results'!C7),ISNUMBER('Results'!B7),ISNUMBER('Results'!$B$8),ISNUMBER('Results'!$B$9),ISNUMBER('Inputs'!$B$6),ISNUMBER('Inputs'!$B$7),ISNUMBER('Inputs'!$B$8),ISNUMBER('Inputs'!$B$9),ISNUMBER('Inputs'!$B$10),ISNUMBER('Inputs'!$B$21),ISNUMBER('Inputs'!$B$24),ISNUMBER('Inputs'!$B$28)),(('Results'!C7*(0.5*(((AG15+'Inputs'!$B$21)+'Inputs'!$B$9)/SQRT(((AG15+'Inputs'!$B$21)+'Inputs'!$B$9)^2+('Inputs'!$B$8/2)^2)-((AG15+'Inputs'!$B$21))/SQRT(((AG15+'Inputs'!$B$21))^2+('Inputs'!$B$8/2)^2)))-'Results'!B7*(0.5*(((AG15+'Inputs'!$B$21+'Inputs'!$B$9+'Inputs'!$B$10)+'Inputs'!$B$7)/SQRT(((AG15+'Inputs'!$B$21+'Inputs'!$B$9+'Inputs'!$B$10)+'Inputs'!$B$7)^2+('Inputs'!$B$6/2)^2)-((AG15+'Inputs'!$B$21+'Inputs'!$B$9+'Inputs'!$B$10))/SQRT(((AG15+'Inputs'!$B$21+'Inputs'!$B$9+'Inputs'!$B$10))^2+('Inputs'!$B$6/2)^2))))*'Results'!$B$8*'Results'!$B$9),"")</x:f>
        <x:v>104.34455554846352</x:v>
      </x:c>
      <x:c r="AI15" s="22"/>
      <x:c r="AJ15" s="22"/>
      <x:c r="AK15" s="22" t="n">
        <x:f>IF(AN14&gt;='Results'!C12,AM14,AK14)</x:f>
        <x:v>6.328125</x:v>
      </x:c>
      <x:c r="AL15" s="22" t="n">
        <x:f>IF(AN14&gt;='Results'!C12,AL14,AM14)</x:f>
        <x:v>6.40625</x:v>
      </x:c>
      <x:c r="AM15" s="22" t="n">
        <x:f>(AK15+AL15)/2</x:f>
        <x:v>6.3671875</x:v>
      </x:c>
      <x:c r="AN15" s="22" t="n">
        <x:f>IF(AND(ISNUMBER('Results'!C7),ISNUMBER('Results'!B7),ISNUMBER('Results'!$B$8),ISNUMBER('Results'!$B$9),ISNUMBER('Inputs'!$B$6),ISNUMBER('Inputs'!$B$7),ISNUMBER('Inputs'!$B$8),ISNUMBER('Inputs'!$B$9),ISNUMBER('Inputs'!$B$10),ISNUMBER('Inputs'!$B$21),ISNUMBER('Inputs'!$B$24),ISNUMBER('Inputs'!$B$28)),((('Results'!C7*(1-'Inputs'!$B$24)*(0.5*(((AM15+'Inputs'!$B$21)+'Inputs'!$B$9)/SQRT(((AM15+'Inputs'!$B$21)+'Inputs'!$B$9)^2+('Inputs'!$B$8/2)^2)-((AM15+'Inputs'!$B$21))/SQRT(((AM15+'Inputs'!$B$21))^2+('Inputs'!$B$8/2)^2)))-'Results'!B7*(1+'Inputs'!$B$24)*(0.5*(((AM15+'Inputs'!$B$21+'Inputs'!$B$9+'Inputs'!$B$10)+'Inputs'!$B$7)/SQRT(((AM15+'Inputs'!$B$21+'Inputs'!$B$9+'Inputs'!$B$10)+'Inputs'!$B$7)^2+('Inputs'!$B$6/2)^2)-((AM15+'Inputs'!$B$21+'Inputs'!$B$9+'Inputs'!$B$10))/SQRT(((AM15+'Inputs'!$B$21+'Inputs'!$B$9+'Inputs'!$B$10))^2+('Inputs'!$B$6/2)^2))))*'Results'!$B$8*'Results'!$B$9)-'Inputs'!$B$28*ABS((('Results'!C7*(1-'Inputs'!$B$24)*(0.5*(((AM15+'Inputs'!$B$21)+'Inputs'!$B$9)/SQRT(((AM15+'Inputs'!$B$21)+'Inputs'!$B$9)^2+('Inputs'!$B$8/2)^2)-((AM15+'Inputs'!$B$21))/SQRT(((AM15+'Inputs'!$B$21))^2+('Inputs'!$B$8/2)^2)))-'Results'!B7*(1+'Inputs'!$B$24)*(0.5*(((AM15+'Inputs'!$B$21+'Inputs'!$B$9+'Inputs'!$B$10)+'Inputs'!$B$7)/SQRT(((AM15+'Inputs'!$B$21+'Inputs'!$B$9+'Inputs'!$B$10)+'Inputs'!$B$7)^2+('Inputs'!$B$6/2)^2)-((AM15+'Inputs'!$B$21+'Inputs'!$B$9+'Inputs'!$B$10))/SQRT(((AM15+'Inputs'!$B$21+'Inputs'!$B$9+'Inputs'!$B$10))^2+('Inputs'!$B$6/2)^2))))*'Results'!$B$8*'Results'!$B$9))),"")</x:f>
        <x:v>118.18447794544146</x:v>
      </x:c>
      <x:c r="AO15" s="22"/>
      <x:c r="AP15" s="22"/>
      <x:c r="AQ15" s="22" t="n">
        <x:f>IF(AT14&gt;='Results'!C11,AS14,AQ14)</x:f>
        <x:v>7.5</x:v>
      </x:c>
      <x:c r="AR15" s="22" t="n">
        <x:f>IF(AT14&gt;='Results'!C11,AR14,AS14)</x:f>
        <x:v>7.578125</x:v>
      </x:c>
      <x:c r="AS15" s="22" t="n">
        <x:f>(AQ15+AR15)/2</x:f>
        <x:v>7.5390625</x:v>
      </x:c>
      <x:c r="AT15" s="22" t="n">
        <x:f>IF(AND(ISNUMBER('Results'!C7),ISNUMBER('Results'!B7),ISNUMBER('Results'!$B$8),ISNUMBER('Results'!$B$9),ISNUMBER('Inputs'!$B$6),ISNUMBER('Inputs'!$B$7),ISNUMBER('Inputs'!$B$8),ISNUMBER('Inputs'!$B$9),ISNUMBER('Inputs'!$B$10),ISNUMBER('Inputs'!$B$21),ISNUMBER('Inputs'!$B$24),ISNUMBER('Inputs'!$B$28)),((('Results'!C7*(1+'Inputs'!$B$24)*(0.5*(((AS15+'Inputs'!$B$21)+'Inputs'!$B$9)/SQRT(((AS15+'Inputs'!$B$21)+'Inputs'!$B$9)^2+('Inputs'!$B$8/2)^2)-((AS15+'Inputs'!$B$21))/SQRT(((AS15+'Inputs'!$B$21))^2+('Inputs'!$B$8/2)^2)))-'Results'!B7*(1-'Inputs'!$B$24)*(0.5*(((AS15+'Inputs'!$B$21+'Inputs'!$B$9+'Inputs'!$B$10)+'Inputs'!$B$7)/SQRT(((AS15+'Inputs'!$B$21+'Inputs'!$B$9+'Inputs'!$B$10)+'Inputs'!$B$7)^2+('Inputs'!$B$6/2)^2)-((AS15+'Inputs'!$B$21+'Inputs'!$B$9+'Inputs'!$B$10))/SQRT(((AS15+'Inputs'!$B$21+'Inputs'!$B$9+'Inputs'!$B$10))^2+('Inputs'!$B$6/2)^2))))*'Results'!$B$8*'Results'!$B$9)+'Inputs'!$B$28*ABS((('Results'!C7*(1+'Inputs'!$B$24)*(0.5*(((AS15+'Inputs'!$B$21)+'Inputs'!$B$9)/SQRT(((AS15+'Inputs'!$B$21)+'Inputs'!$B$9)^2+('Inputs'!$B$8/2)^2)-((AS15+'Inputs'!$B$21))/SQRT(((AS15+'Inputs'!$B$21))^2+('Inputs'!$B$8/2)^2)))-'Results'!B7*(1-'Inputs'!$B$24)*(0.5*(((AS15+'Inputs'!$B$21+'Inputs'!$B$9+'Inputs'!$B$10)+'Inputs'!$B$7)/SQRT(((AS15+'Inputs'!$B$21+'Inputs'!$B$9+'Inputs'!$B$10)+'Inputs'!$B$7)^2+('Inputs'!$B$6/2)^2)-((AS15+'Inputs'!$B$21+'Inputs'!$B$9+'Inputs'!$B$10))/SQRT(((AS15+'Inputs'!$B$21+'Inputs'!$B$9+'Inputs'!$B$10))^2+('Inputs'!$B$6/2)^2))))*'Results'!$B$8*'Results'!$B$9))),"")</x:f>
        <x:v>90.30274060402425</x:v>
      </x:c>
      <x:c r="AU15" s="22"/>
      <x:c r="AV15" s="22"/>
      <x:c r="AW15" s="22" t="n">
        <x:f>IF(AZ14&gt;='Results'!C13,AY14,AW14)</x:f>
        <x:v>7.578125</x:v>
      </x:c>
      <x:c r="AX15" s="22" t="n">
        <x:f>IF(AZ14&gt;='Results'!C13,AX14,AY14)</x:f>
        <x:v>7.65625</x:v>
      </x:c>
      <x:c r="AY15" s="22" t="n">
        <x:f>(AW15+AX15)/2</x:f>
        <x:v>7.6171875</x:v>
      </x:c>
      <x:c r="AZ15" s="22" t="n">
        <x:f>IF(AND(ISNUMBER('Results'!C7),ISNUMBER('Results'!B7),ISNUMBER('Results'!$B$8),ISNUMBER('Results'!$B$9),ISNUMBER('Inputs'!$B$6),ISNUMBER('Inputs'!$B$7),ISNUMBER('Inputs'!$B$8),ISNUMBER('Inputs'!$B$9),ISNUMBER('Inputs'!$B$10),ISNUMBER('Inputs'!$B$21),ISNUMBER('Inputs'!$B$24),ISNUMBER('Inputs'!$B$28)),(('Results'!C7*(0.5*(((AY15+'Inputs'!$B$21)+'Inputs'!$B$9)/SQRT(((AY15+'Inputs'!$B$21)+'Inputs'!$B$9)^2+('Inputs'!$B$8/2)^2)-((AY15+'Inputs'!$B$21))/SQRT(((AY15+'Inputs'!$B$21))^2+('Inputs'!$B$8/2)^2)))-'Results'!B7*(0.5*(((AY15+'Inputs'!$B$21+'Inputs'!$B$9+'Inputs'!$B$10)+'Inputs'!$B$7)/SQRT(((AY15+'Inputs'!$B$21+'Inputs'!$B$9+'Inputs'!$B$10)+'Inputs'!$B$7)^2+('Inputs'!$B$6/2)^2)-((AY15+'Inputs'!$B$21+'Inputs'!$B$9+'Inputs'!$B$10))/SQRT(((AY15+'Inputs'!$B$21+'Inputs'!$B$9+'Inputs'!$B$10))^2+('Inputs'!$B$6/2)^2))))*'Results'!$B$8*'Results'!$B$9),"")</x:f>
        <x:v>80.60230180300674</x:v>
      </x:c>
      <x:c r="BA15" s="22"/>
      <x:c r="BB15" s="22"/>
      <x:c r="BC15" s="22" t="n">
        <x:f>IF(BF14&gt;='Results'!C14,BE14,BC14)</x:f>
        <x:v>8.203125</x:v>
      </x:c>
      <x:c r="BD15" s="22" t="n">
        <x:f>IF(BF14&gt;='Results'!C14,BD14,BE14)</x:f>
        <x:v>8.28125</x:v>
      </x:c>
      <x:c r="BE15" s="22" t="n">
        <x:f>(BC15+BD15)/2</x:f>
        <x:v>8.2421875</x:v>
      </x:c>
      <x:c r="BF15" s="22" t="n">
        <x:f>IF(AND(ISNUMBER('Results'!C7),ISNUMBER('Results'!B7),ISNUMBER('Results'!$B$8),ISNUMBER('Results'!$B$9),ISNUMBER('Inputs'!$B$6),ISNUMBER('Inputs'!$B$7),ISNUMBER('Inputs'!$B$8),ISNUMBER('Inputs'!$B$9),ISNUMBER('Inputs'!$B$10),ISNUMBER('Inputs'!$B$21),ISNUMBER('Inputs'!$B$24),ISNUMBER('Inputs'!$B$28)),((('Results'!C7*(1+'Inputs'!$B$24)*(0.5*(((BE15+'Inputs'!$B$21)+'Inputs'!$B$9)/SQRT(((BE15+'Inputs'!$B$21)+'Inputs'!$B$9)^2+('Inputs'!$B$8/2)^2)-((BE15+'Inputs'!$B$21))/SQRT(((BE15+'Inputs'!$B$21))^2+('Inputs'!$B$8/2)^2)))-'Results'!B7*(1-'Inputs'!$B$24)*(0.5*(((BE15+'Inputs'!$B$21+'Inputs'!$B$9+'Inputs'!$B$10)+'Inputs'!$B$7)/SQRT(((BE15+'Inputs'!$B$21+'Inputs'!$B$9+'Inputs'!$B$10)+'Inputs'!$B$7)^2+('Inputs'!$B$6/2)^2)-((BE15+'Inputs'!$B$21+'Inputs'!$B$9+'Inputs'!$B$10))/SQRT(((BE15+'Inputs'!$B$21+'Inputs'!$B$9+'Inputs'!$B$10))^2+('Inputs'!$B$6/2)^2))))*'Results'!$B$8*'Results'!$B$9)+'Inputs'!$B$28*ABS((('Results'!C7*(1+'Inputs'!$B$24)*(0.5*(((BE15+'Inputs'!$B$21)+'Inputs'!$B$9)/SQRT(((BE15+'Inputs'!$B$21)+'Inputs'!$B$9)^2+('Inputs'!$B$8/2)^2)-((BE15+'Inputs'!$B$21))/SQRT(((BE15+'Inputs'!$B$21))^2+('Inputs'!$B$8/2)^2)))-'Results'!B7*(1-'Inputs'!$B$24)*(0.5*(((BE15+'Inputs'!$B$21+'Inputs'!$B$9+'Inputs'!$B$10)+'Inputs'!$B$7)/SQRT(((BE15+'Inputs'!$B$21+'Inputs'!$B$9+'Inputs'!$B$10)+'Inputs'!$B$7)^2+('Inputs'!$B$6/2)^2)-((BE15+'Inputs'!$B$21+'Inputs'!$B$9+'Inputs'!$B$10))/SQRT(((BE15+'Inputs'!$B$21+'Inputs'!$B$9+'Inputs'!$B$10))^2+('Inputs'!$B$6/2)^2))))*'Results'!$B$8*'Results'!$B$9))),"")</x:f>
        <x:v>70.75229339769975</x:v>
      </x:c>
      <x:c r="BG15" s="22"/>
      <x:c r="BH15" s="22"/>
    </x:row>
    <x:row r="16" ht="22" customHeight="1">
      <x:c r="A16" s="22" t="n">
        <x:f>IF(D15&gt;='Results'!B10,C15,A15)</x:f>
        <x:v>7.1484375</x:v>
      </x:c>
      <x:c r="B16" s="22" t="n">
        <x:f>IF(D15&gt;='Results'!B10,B15,C15)</x:f>
        <x:v>7.1875</x:v>
      </x:c>
      <x:c r="C16" s="22" t="n">
        <x:f>(A16+B16)/2</x:f>
        <x:v>7.16796875</x:v>
      </x:c>
      <x:c r="D16" s="22" t="n">
        <x:f>IF(AND(ISNUMBER('Results'!B7),ISNUMBER('Results'!C7),ISNUMBER('Results'!$B$8),ISNUMBER('Results'!$B$9),ISNUMBER('Inputs'!$B$6),ISNUMBER('Inputs'!$B$7),ISNUMBER('Inputs'!$B$8),ISNUMBER('Inputs'!$B$9),ISNUMBER('Inputs'!$B$10),ISNUMBER('Inputs'!$B$21),ISNUMBER('Inputs'!$B$24),ISNUMBER('Inputs'!$B$28)),(('Results'!B7*(0.5*(((C16+'Inputs'!$B$21)+'Inputs'!$B$7)/SQRT(((C16+'Inputs'!$B$21)+'Inputs'!$B$7)^2+('Inputs'!$B$6/2)^2)-((C16+'Inputs'!$B$21))/SQRT(((C16+'Inputs'!$B$21))^2+('Inputs'!$B$6/2)^2)))-'Results'!C7*(0.5*(((C16+'Inputs'!$B$21+'Inputs'!$B$7+'Inputs'!$B$10)+'Inputs'!$B$9)/SQRT(((C16+'Inputs'!$B$21+'Inputs'!$B$7+'Inputs'!$B$10)+'Inputs'!$B$9)^2+('Inputs'!$B$8/2)^2)-((C16+'Inputs'!$B$21+'Inputs'!$B$7+'Inputs'!$B$10))/SQRT(((C16+'Inputs'!$B$21+'Inputs'!$B$7+'Inputs'!$B$10))^2+('Inputs'!$B$8/2)^2))))*'Results'!$B$8*'Results'!$B$9),"")</x:f>
        <x:v>98.43010360811721</x:v>
      </x:c>
      <x:c r="E16" s="22"/>
      <x:c r="F16" s="22"/>
      <x:c r="G16" s="22" t="n">
        <x:f>IF(J15&gt;='Results'!B12,I15,G15)</x:f>
        <x:v>6.5625</x:v>
      </x:c>
      <x:c r="H16" s="22" t="n">
        <x:f>IF(J15&gt;='Results'!B12,H15,I15)</x:f>
        <x:v>6.6015625</x:v>
      </x:c>
      <x:c r="I16" s="22" t="n">
        <x:f>(G16+H16)/2</x:f>
        <x:v>6.58203125</x:v>
      </x:c>
      <x:c r="J16" s="22" t="n">
        <x:f>IF(AND(ISNUMBER('Results'!B7),ISNUMBER('Results'!C7),ISNUMBER('Results'!$B$8),ISNUMBER('Results'!$B$9),ISNUMBER('Inputs'!$B$6),ISNUMBER('Inputs'!$B$7),ISNUMBER('Inputs'!$B$8),ISNUMBER('Inputs'!$B$9),ISNUMBER('Inputs'!$B$10),ISNUMBER('Inputs'!$B$21),ISNUMBER('Inputs'!$B$24),ISNUMBER('Inputs'!$B$28)),((('Results'!B7*(1-'Inputs'!$B$24)*(0.5*(((I16+'Inputs'!$B$21)+'Inputs'!$B$7)/SQRT(((I16+'Inputs'!$B$21)+'Inputs'!$B$7)^2+('Inputs'!$B$6/2)^2)-((I16+'Inputs'!$B$21))/SQRT(((I16+'Inputs'!$B$21))^2+('Inputs'!$B$6/2)^2)))-'Results'!C7*(1+'Inputs'!$B$24)*(0.5*(((I16+'Inputs'!$B$21+'Inputs'!$B$7+'Inputs'!$B$10)+'Inputs'!$B$9)/SQRT(((I16+'Inputs'!$B$21+'Inputs'!$B$7+'Inputs'!$B$10)+'Inputs'!$B$9)^2+('Inputs'!$B$8/2)^2)-((I16+'Inputs'!$B$21+'Inputs'!$B$7+'Inputs'!$B$10))/SQRT(((I16+'Inputs'!$B$21+'Inputs'!$B$7+'Inputs'!$B$10))^2+('Inputs'!$B$8/2)^2))))*'Results'!$B$8*'Results'!$B$9)-'Inputs'!$B$28*ABS((('Results'!B7*(1-'Inputs'!$B$24)*(0.5*(((I16+'Inputs'!$B$21)+'Inputs'!$B$7)/SQRT(((I16+'Inputs'!$B$21)+'Inputs'!$B$7)^2+('Inputs'!$B$6/2)^2)-((I16+'Inputs'!$B$21))/SQRT(((I16+'Inputs'!$B$21))^2+('Inputs'!$B$6/2)^2)))-'Results'!C7*(1+'Inputs'!$B$24)*(0.5*(((I16+'Inputs'!$B$21+'Inputs'!$B$7+'Inputs'!$B$10)+'Inputs'!$B$9)/SQRT(((I16+'Inputs'!$B$21+'Inputs'!$B$7+'Inputs'!$B$10)+'Inputs'!$B$9)^2+('Inputs'!$B$8/2)^2)-((I16+'Inputs'!$B$21+'Inputs'!$B$7+'Inputs'!$B$10))/SQRT(((I16+'Inputs'!$B$21+'Inputs'!$B$7+'Inputs'!$B$10))^2+('Inputs'!$B$8/2)^2))))*'Results'!$B$8*'Results'!$B$9))),"")</x:f>
        <x:v>112.58183882234721</x:v>
      </x:c>
      <x:c r="K16" s="22"/>
      <x:c r="L16" s="22"/>
      <x:c r="M16" s="22" t="n">
        <x:f>IF(P15&gt;='Results'!B11,O15,M15)</x:f>
        <x:v>7.8125</x:v>
      </x:c>
      <x:c r="N16" s="22" t="n">
        <x:f>IF(P15&gt;='Results'!B11,N15,O15)</x:f>
        <x:v>7.8515625</x:v>
      </x:c>
      <x:c r="O16" s="22" t="n">
        <x:f>(M16+N16)/2</x:f>
        <x:v>7.83203125</x:v>
      </x:c>
      <x:c r="P16" s="22" t="n">
        <x:f>IF(AND(ISNUMBER('Results'!B7),ISNUMBER('Results'!C7),ISNUMBER('Results'!$B$8),ISNUMBER('Results'!$B$9),ISNUMBER('Inputs'!$B$6),ISNUMBER('Inputs'!$B$7),ISNUMBER('Inputs'!$B$8),ISNUMBER('Inputs'!$B$9),ISNUMBER('Inputs'!$B$10),ISNUMBER('Inputs'!$B$21),ISNUMBER('Inputs'!$B$24),ISNUMBER('Inputs'!$B$28)),((('Results'!B7*(1+'Inputs'!$B$24)*(0.5*(((O16+'Inputs'!$B$21)+'Inputs'!$B$7)/SQRT(((O16+'Inputs'!$B$21)+'Inputs'!$B$7)^2+('Inputs'!$B$6/2)^2)-((O16+'Inputs'!$B$21))/SQRT(((O16+'Inputs'!$B$21))^2+('Inputs'!$B$6/2)^2)))-'Results'!C7*(1-'Inputs'!$B$24)*(0.5*(((O16+'Inputs'!$B$21+'Inputs'!$B$7+'Inputs'!$B$10)+'Inputs'!$B$9)/SQRT(((O16+'Inputs'!$B$21+'Inputs'!$B$7+'Inputs'!$B$10)+'Inputs'!$B$9)^2+('Inputs'!$B$8/2)^2)-((O16+'Inputs'!$B$21+'Inputs'!$B$7+'Inputs'!$B$10))/SQRT(((O16+'Inputs'!$B$21+'Inputs'!$B$7+'Inputs'!$B$10))^2+('Inputs'!$B$8/2)^2))))*'Results'!$B$8*'Results'!$B$9)+'Inputs'!$B$28*ABS((('Results'!B7*(1+'Inputs'!$B$24)*(0.5*(((O16+'Inputs'!$B$21)+'Inputs'!$B$7)/SQRT(((O16+'Inputs'!$B$21)+'Inputs'!$B$7)^2+('Inputs'!$B$6/2)^2)-((O16+'Inputs'!$B$21))/SQRT(((O16+'Inputs'!$B$21))^2+('Inputs'!$B$6/2)^2)))-'Results'!C7*(1-'Inputs'!$B$24)*(0.5*(((O16+'Inputs'!$B$21+'Inputs'!$B$7+'Inputs'!$B$10)+'Inputs'!$B$9)/SQRT(((O16+'Inputs'!$B$21+'Inputs'!$B$7+'Inputs'!$B$10)+'Inputs'!$B$9)^2+('Inputs'!$B$8/2)^2)-((O16+'Inputs'!$B$21+'Inputs'!$B$7+'Inputs'!$B$10))/SQRT(((O16+'Inputs'!$B$21+'Inputs'!$B$7+'Inputs'!$B$10))^2+('Inputs'!$B$8/2)^2))))*'Results'!$B$8*'Results'!$B$9))),"")</x:f>
        <x:v>84.5210110682</x:v>
      </x:c>
      <x:c r="Q16" s="22"/>
      <x:c r="R16" s="22"/>
      <x:c r="S16" s="22" t="n">
        <x:f>IF(V15&gt;='Results'!B13,U15,S15)</x:f>
        <x:v>7.8125</x:v>
      </x:c>
      <x:c r="T16" s="22" t="n">
        <x:f>IF(V15&gt;='Results'!B13,T15,U15)</x:f>
        <x:v>7.8515625</x:v>
      </x:c>
      <x:c r="U16" s="22" t="n">
        <x:f>(S16+T16)/2</x:f>
        <x:v>7.83203125</x:v>
      </x:c>
      <x:c r="V16" s="22" t="n">
        <x:f>IF(AND(ISNUMBER('Results'!B7),ISNUMBER('Results'!C7),ISNUMBER('Results'!$B$8),ISNUMBER('Results'!$B$9),ISNUMBER('Inputs'!$B$6),ISNUMBER('Inputs'!$B$7),ISNUMBER('Inputs'!$B$8),ISNUMBER('Inputs'!$B$9),ISNUMBER('Inputs'!$B$10),ISNUMBER('Inputs'!$B$21),ISNUMBER('Inputs'!$B$24),ISNUMBER('Inputs'!$B$28)),(('Results'!B7*(0.5*(((U16+'Inputs'!$B$21)+'Inputs'!$B$7)/SQRT(((U16+'Inputs'!$B$21)+'Inputs'!$B$7)^2+('Inputs'!$B$6/2)^2)-((U16+'Inputs'!$B$21))/SQRT(((U16+'Inputs'!$B$21))^2+('Inputs'!$B$6/2)^2)))-'Results'!C7*(0.5*(((U16+'Inputs'!$B$21+'Inputs'!$B$7+'Inputs'!$B$10)+'Inputs'!$B$9)/SQRT(((U16+'Inputs'!$B$21+'Inputs'!$B$7+'Inputs'!$B$10)+'Inputs'!$B$9)^2+('Inputs'!$B$8/2)^2)-((U16+'Inputs'!$B$21+'Inputs'!$B$7+'Inputs'!$B$10))/SQRT(((U16+'Inputs'!$B$21+'Inputs'!$B$7+'Inputs'!$B$10))^2+('Inputs'!$B$8/2)^2))))*'Results'!$B$8*'Results'!$B$9),"")</x:f>
        <x:v>77.60529898855907</x:v>
      </x:c>
      <x:c r="W16" s="22"/>
      <x:c r="X16" s="22"/>
      <x:c r="Y16" s="22" t="n">
        <x:f>IF(AB15&gt;='Results'!B14,AA15,Y15)</x:f>
        <x:v>8.515625</x:v>
      </x:c>
      <x:c r="Z16" s="22" t="n">
        <x:f>IF(AB15&gt;='Results'!B14,Z15,AA15)</x:f>
        <x:v>8.5546875</x:v>
      </x:c>
      <x:c r="AA16" s="22" t="n">
        <x:f>(Y16+Z16)/2</x:f>
        <x:v>8.53515625</x:v>
      </x:c>
      <x:c r="AB16" s="22" t="n">
        <x:f>IF(AND(ISNUMBER('Results'!B7),ISNUMBER('Results'!C7),ISNUMBER('Results'!$B$8),ISNUMBER('Results'!$B$9),ISNUMBER('Inputs'!$B$6),ISNUMBER('Inputs'!$B$7),ISNUMBER('Inputs'!$B$8),ISNUMBER('Inputs'!$B$9),ISNUMBER('Inputs'!$B$10),ISNUMBER('Inputs'!$B$21),ISNUMBER('Inputs'!$B$24),ISNUMBER('Inputs'!$B$28)),((('Results'!B7*(1+'Inputs'!$B$24)*(0.5*(((AA16+'Inputs'!$B$21)+'Inputs'!$B$7)/SQRT(((AA16+'Inputs'!$B$21)+'Inputs'!$B$7)^2+('Inputs'!$B$6/2)^2)-((AA16+'Inputs'!$B$21))/SQRT(((AA16+'Inputs'!$B$21))^2+('Inputs'!$B$6/2)^2)))-'Results'!C7*(1-'Inputs'!$B$24)*(0.5*(((AA16+'Inputs'!$B$21+'Inputs'!$B$7+'Inputs'!$B$10)+'Inputs'!$B$9)/SQRT(((AA16+'Inputs'!$B$21+'Inputs'!$B$7+'Inputs'!$B$10)+'Inputs'!$B$9)^2+('Inputs'!$B$8/2)^2)-((AA16+'Inputs'!$B$21+'Inputs'!$B$7+'Inputs'!$B$10))/SQRT(((AA16+'Inputs'!$B$21+'Inputs'!$B$7+'Inputs'!$B$10))^2+('Inputs'!$B$8/2)^2))))*'Results'!$B$8*'Results'!$B$9)+'Inputs'!$B$28*ABS((('Results'!B7*(1+'Inputs'!$B$24)*(0.5*(((AA16+'Inputs'!$B$21)+'Inputs'!$B$7)/SQRT(((AA16+'Inputs'!$B$21)+'Inputs'!$B$7)^2+('Inputs'!$B$6/2)^2)-((AA16+'Inputs'!$B$21))/SQRT(((AA16+'Inputs'!$B$21))^2+('Inputs'!$B$6/2)^2)))-'Results'!C7*(1-'Inputs'!$B$24)*(0.5*(((AA16+'Inputs'!$B$21+'Inputs'!$B$7+'Inputs'!$B$10)+'Inputs'!$B$9)/SQRT(((AA16+'Inputs'!$B$21+'Inputs'!$B$7+'Inputs'!$B$10)+'Inputs'!$B$9)^2+('Inputs'!$B$8/2)^2)-((AA16+'Inputs'!$B$21+'Inputs'!$B$7+'Inputs'!$B$10))/SQRT(((AA16+'Inputs'!$B$21+'Inputs'!$B$7+'Inputs'!$B$10))^2+('Inputs'!$B$8/2)^2))))*'Results'!$B$8*'Results'!$B$9))),"")</x:f>
        <x:v>66.69732251503002</x:v>
      </x:c>
      <x:c r="AC16" s="22"/>
      <x:c r="AD16" s="22"/>
      <x:c r="AE16" s="22" t="n">
        <x:f>IF(AH15&gt;='Results'!C10,AG15,AE15)</x:f>
        <x:v>6.9140625</x:v>
      </x:c>
      <x:c r="AF16" s="22" t="n">
        <x:f>IF(AH15&gt;='Results'!C10,AF15,AG15)</x:f>
        <x:v>6.953125</x:v>
      </x:c>
      <x:c r="AG16" s="22" t="n">
        <x:f>(AE16+AF16)/2</x:f>
        <x:v>6.93359375</x:v>
      </x:c>
      <x:c r="AH16" s="22" t="n">
        <x:f>IF(AND(ISNUMBER('Results'!C7),ISNUMBER('Results'!B7),ISNUMBER('Results'!$B$8),ISNUMBER('Results'!$B$9),ISNUMBER('Inputs'!$B$6),ISNUMBER('Inputs'!$B$7),ISNUMBER('Inputs'!$B$8),ISNUMBER('Inputs'!$B$9),ISNUMBER('Inputs'!$B$10),ISNUMBER('Inputs'!$B$21),ISNUMBER('Inputs'!$B$24),ISNUMBER('Inputs'!$B$28)),(('Results'!C7*(0.5*(((AG16+'Inputs'!$B$21)+'Inputs'!$B$9)/SQRT(((AG16+'Inputs'!$B$21)+'Inputs'!$B$9)^2+('Inputs'!$B$8/2)^2)-((AG16+'Inputs'!$B$21))/SQRT(((AG16+'Inputs'!$B$21))^2+('Inputs'!$B$8/2)^2)))-'Results'!B7*(0.5*(((AG16+'Inputs'!$B$21+'Inputs'!$B$9+'Inputs'!$B$10)+'Inputs'!$B$7)/SQRT(((AG16+'Inputs'!$B$21+'Inputs'!$B$9+'Inputs'!$B$10)+'Inputs'!$B$7)^2+('Inputs'!$B$6/2)^2)-((AG16+'Inputs'!$B$21+'Inputs'!$B$9+'Inputs'!$B$10))/SQRT(((AG16+'Inputs'!$B$21+'Inputs'!$B$9+'Inputs'!$B$10))^2+('Inputs'!$B$6/2)^2))))*'Results'!$B$8*'Results'!$B$9),"")</x:f>
        <x:v>103.57824826769483</x:v>
      </x:c>
      <x:c r="AI16" s="22"/>
      <x:c r="AJ16" s="22"/>
      <x:c r="AK16" s="22" t="n">
        <x:f>IF(AN15&gt;='Results'!C12,AM15,AK15)</x:f>
        <x:v>6.328125</x:v>
      </x:c>
      <x:c r="AL16" s="22" t="n">
        <x:f>IF(AN15&gt;='Results'!C12,AL15,AM15)</x:f>
        <x:v>6.3671875</x:v>
      </x:c>
      <x:c r="AM16" s="22" t="n">
        <x:f>(AK16+AL16)/2</x:f>
        <x:v>6.34765625</x:v>
      </x:c>
      <x:c r="AN16" s="22" t="n">
        <x:f>IF(AND(ISNUMBER('Results'!C7),ISNUMBER('Results'!B7),ISNUMBER('Results'!$B$8),ISNUMBER('Results'!$B$9),ISNUMBER('Inputs'!$B$6),ISNUMBER('Inputs'!$B$7),ISNUMBER('Inputs'!$B$8),ISNUMBER('Inputs'!$B$9),ISNUMBER('Inputs'!$B$10),ISNUMBER('Inputs'!$B$21),ISNUMBER('Inputs'!$B$24),ISNUMBER('Inputs'!$B$28)),((('Results'!C7*(1-'Inputs'!$B$24)*(0.5*(((AM16+'Inputs'!$B$21)+'Inputs'!$B$9)/SQRT(((AM16+'Inputs'!$B$21)+'Inputs'!$B$9)^2+('Inputs'!$B$8/2)^2)-((AM16+'Inputs'!$B$21))/SQRT(((AM16+'Inputs'!$B$21))^2+('Inputs'!$B$8/2)^2)))-'Results'!B7*(1+'Inputs'!$B$24)*(0.5*(((AM16+'Inputs'!$B$21+'Inputs'!$B$9+'Inputs'!$B$10)+'Inputs'!$B$7)/SQRT(((AM16+'Inputs'!$B$21+'Inputs'!$B$9+'Inputs'!$B$10)+'Inputs'!$B$7)^2+('Inputs'!$B$6/2)^2)-((AM16+'Inputs'!$B$21+'Inputs'!$B$9+'Inputs'!$B$10))/SQRT(((AM16+'Inputs'!$B$21+'Inputs'!$B$9+'Inputs'!$B$10))^2+('Inputs'!$B$6/2)^2))))*'Results'!$B$8*'Results'!$B$9)-'Inputs'!$B$28*ABS((('Results'!C7*(1-'Inputs'!$B$24)*(0.5*(((AM16+'Inputs'!$B$21)+'Inputs'!$B$9)/SQRT(((AM16+'Inputs'!$B$21)+'Inputs'!$B$9)^2+('Inputs'!$B$8/2)^2)-((AM16+'Inputs'!$B$21))/SQRT(((AM16+'Inputs'!$B$21))^2+('Inputs'!$B$8/2)^2)))-'Results'!B7*(1+'Inputs'!$B$24)*(0.5*(((AM16+'Inputs'!$B$21+'Inputs'!$B$9+'Inputs'!$B$10)+'Inputs'!$B$7)/SQRT(((AM16+'Inputs'!$B$21+'Inputs'!$B$9+'Inputs'!$B$10)+'Inputs'!$B$7)^2+('Inputs'!$B$6/2)^2)-((AM16+'Inputs'!$B$21+'Inputs'!$B$9+'Inputs'!$B$10))/SQRT(((AM16+'Inputs'!$B$21+'Inputs'!$B$9+'Inputs'!$B$10))^2+('Inputs'!$B$6/2)^2))))*'Results'!$B$8*'Results'!$B$9))),"")</x:f>
        <x:v>119.10604642425604</x:v>
      </x:c>
      <x:c r="AO16" s="22"/>
      <x:c r="AP16" s="22"/>
      <x:c r="AQ16" s="22" t="n">
        <x:f>IF(AT15&gt;='Results'!C11,AS15,AQ15)</x:f>
        <x:v>7.5390625</x:v>
      </x:c>
      <x:c r="AR16" s="22" t="n">
        <x:f>IF(AT15&gt;='Results'!C11,AR15,AS15)</x:f>
        <x:v>7.578125</x:v>
      </x:c>
      <x:c r="AS16" s="22" t="n">
        <x:f>(AQ16+AR16)/2</x:f>
        <x:v>7.55859375</x:v>
      </x:c>
      <x:c r="AT16" s="22" t="n">
        <x:f>IF(AND(ISNUMBER('Results'!C7),ISNUMBER('Results'!B7),ISNUMBER('Results'!$B$8),ISNUMBER('Results'!$B$9),ISNUMBER('Inputs'!$B$6),ISNUMBER('Inputs'!$B$7),ISNUMBER('Inputs'!$B$8),ISNUMBER('Inputs'!$B$9),ISNUMBER('Inputs'!$B$10),ISNUMBER('Inputs'!$B$21),ISNUMBER('Inputs'!$B$24),ISNUMBER('Inputs'!$B$28)),((('Results'!C7*(1+'Inputs'!$B$24)*(0.5*(((AS16+'Inputs'!$B$21)+'Inputs'!$B$9)/SQRT(((AS16+'Inputs'!$B$21)+'Inputs'!$B$9)^2+('Inputs'!$B$8/2)^2)-((AS16+'Inputs'!$B$21))/SQRT(((AS16+'Inputs'!$B$21))^2+('Inputs'!$B$8/2)^2)))-'Results'!B7*(1-'Inputs'!$B$24)*(0.5*(((AS16+'Inputs'!$B$21+'Inputs'!$B$9+'Inputs'!$B$10)+'Inputs'!$B$7)/SQRT(((AS16+'Inputs'!$B$21+'Inputs'!$B$9+'Inputs'!$B$10)+'Inputs'!$B$7)^2+('Inputs'!$B$6/2)^2)-((AS16+'Inputs'!$B$21+'Inputs'!$B$9+'Inputs'!$B$10))/SQRT(((AS16+'Inputs'!$B$21+'Inputs'!$B$9+'Inputs'!$B$10))^2+('Inputs'!$B$6/2)^2))))*'Results'!$B$8*'Results'!$B$9)+'Inputs'!$B$28*ABS((('Results'!C7*(1+'Inputs'!$B$24)*(0.5*(((AS16+'Inputs'!$B$21)+'Inputs'!$B$9)/SQRT(((AS16+'Inputs'!$B$21)+'Inputs'!$B$9)^2+('Inputs'!$B$8/2)^2)-((AS16+'Inputs'!$B$21))/SQRT(((AS16+'Inputs'!$B$21))^2+('Inputs'!$B$8/2)^2)))-'Results'!B7*(1-'Inputs'!$B$24)*(0.5*(((AS16+'Inputs'!$B$21+'Inputs'!$B$9+'Inputs'!$B$10)+'Inputs'!$B$7)/SQRT(((AS16+'Inputs'!$B$21+'Inputs'!$B$9+'Inputs'!$B$10)+'Inputs'!$B$7)^2+('Inputs'!$B$6/2)^2)-((AS16+'Inputs'!$B$21+'Inputs'!$B$9+'Inputs'!$B$10))/SQRT(((AS16+'Inputs'!$B$21+'Inputs'!$B$9+'Inputs'!$B$10))^2+('Inputs'!$B$6/2)^2))))*'Results'!$B$8*'Results'!$B$9))),"")</x:f>
        <x:v>89.67612061210902</x:v>
      </x:c>
      <x:c r="AU16" s="22"/>
      <x:c r="AV16" s="22"/>
      <x:c r="AW16" s="22" t="n">
        <x:f>IF(AZ15&gt;='Results'!C13,AY15,AW15)</x:f>
        <x:v>7.578125</x:v>
      </x:c>
      <x:c r="AX16" s="22" t="n">
        <x:f>IF(AZ15&gt;='Results'!C13,AX15,AY15)</x:f>
        <x:v>7.6171875</x:v>
      </x:c>
      <x:c r="AY16" s="22" t="n">
        <x:f>(AW16+AX16)/2</x:f>
        <x:v>7.59765625</x:v>
      </x:c>
      <x:c r="AZ16" s="22" t="n">
        <x:f>IF(AND(ISNUMBER('Results'!C7),ISNUMBER('Results'!B7),ISNUMBER('Results'!$B$8),ISNUMBER('Results'!$B$9),ISNUMBER('Inputs'!$B$6),ISNUMBER('Inputs'!$B$7),ISNUMBER('Inputs'!$B$8),ISNUMBER('Inputs'!$B$9),ISNUMBER('Inputs'!$B$10),ISNUMBER('Inputs'!$B$21),ISNUMBER('Inputs'!$B$24),ISNUMBER('Inputs'!$B$28)),(('Results'!C7*(0.5*(((AY16+'Inputs'!$B$21)+'Inputs'!$B$9)/SQRT(((AY16+'Inputs'!$B$21)+'Inputs'!$B$9)^2+('Inputs'!$B$8/2)^2)-((AY16+'Inputs'!$B$21))/SQRT(((AY16+'Inputs'!$B$21))^2+('Inputs'!$B$8/2)^2)))-'Results'!B7*(0.5*(((AY16+'Inputs'!$B$21+'Inputs'!$B$9+'Inputs'!$B$10)+'Inputs'!$B$7)/SQRT(((AY16+'Inputs'!$B$21+'Inputs'!$B$9+'Inputs'!$B$10)+'Inputs'!$B$7)^2+('Inputs'!$B$6/2)^2)-((AY16+'Inputs'!$B$21+'Inputs'!$B$9+'Inputs'!$B$10))/SQRT(((AY16+'Inputs'!$B$21+'Inputs'!$B$9+'Inputs'!$B$10))^2+('Inputs'!$B$6/2)^2))))*'Results'!$B$8*'Results'!$B$9),"")</x:f>
        <x:v>81.16661421200209</x:v>
      </x:c>
      <x:c r="BA16" s="22"/>
      <x:c r="BB16" s="22"/>
      <x:c r="BC16" s="22" t="n">
        <x:f>IF(BF15&gt;='Results'!C14,BE15,BC15)</x:f>
        <x:v>8.2421875</x:v>
      </x:c>
      <x:c r="BD16" s="22" t="n">
        <x:f>IF(BF15&gt;='Results'!C14,BD15,BE15)</x:f>
        <x:v>8.28125</x:v>
      </x:c>
      <x:c r="BE16" s="22" t="n">
        <x:f>(BC16+BD16)/2</x:f>
        <x:v>8.26171875</x:v>
      </x:c>
      <x:c r="BF16" s="22" t="n">
        <x:f>IF(AND(ISNUMBER('Results'!C7),ISNUMBER('Results'!B7),ISNUMBER('Results'!$B$8),ISNUMBER('Results'!$B$9),ISNUMBER('Inputs'!$B$6),ISNUMBER('Inputs'!$B$7),ISNUMBER('Inputs'!$B$8),ISNUMBER('Inputs'!$B$9),ISNUMBER('Inputs'!$B$10),ISNUMBER('Inputs'!$B$21),ISNUMBER('Inputs'!$B$24),ISNUMBER('Inputs'!$B$28)),((('Results'!C7*(1+'Inputs'!$B$24)*(0.5*(((BE16+'Inputs'!$B$21)+'Inputs'!$B$9)/SQRT(((BE16+'Inputs'!$B$21)+'Inputs'!$B$9)^2+('Inputs'!$B$8/2)^2)-((BE16+'Inputs'!$B$21))/SQRT(((BE16+'Inputs'!$B$21))^2+('Inputs'!$B$8/2)^2)))-'Results'!B7*(1-'Inputs'!$B$24)*(0.5*(((BE16+'Inputs'!$B$21+'Inputs'!$B$9+'Inputs'!$B$10)+'Inputs'!$B$7)/SQRT(((BE16+'Inputs'!$B$21+'Inputs'!$B$9+'Inputs'!$B$10)+'Inputs'!$B$7)^2+('Inputs'!$B$6/2)^2)-((BE16+'Inputs'!$B$21+'Inputs'!$B$9+'Inputs'!$B$10))/SQRT(((BE16+'Inputs'!$B$21+'Inputs'!$B$9+'Inputs'!$B$10))^2+('Inputs'!$B$6/2)^2))))*'Results'!$B$8*'Results'!$B$9)+'Inputs'!$B$28*ABS((('Results'!C7*(1+'Inputs'!$B$24)*(0.5*(((BE16+'Inputs'!$B$21)+'Inputs'!$B$9)/SQRT(((BE16+'Inputs'!$B$21)+'Inputs'!$B$9)^2+('Inputs'!$B$8/2)^2)-((BE16+'Inputs'!$B$21))/SQRT(((BE16+'Inputs'!$B$21))^2+('Inputs'!$B$8/2)^2)))-'Results'!B7*(1-'Inputs'!$B$24)*(0.5*(((BE16+'Inputs'!$B$21+'Inputs'!$B$9+'Inputs'!$B$10)+'Inputs'!$B$7)/SQRT(((BE16+'Inputs'!$B$21+'Inputs'!$B$9+'Inputs'!$B$10)+'Inputs'!$B$7)^2+('Inputs'!$B$6/2)^2)-((BE16+'Inputs'!$B$21+'Inputs'!$B$9+'Inputs'!$B$10))/SQRT(((BE16+'Inputs'!$B$21+'Inputs'!$B$9+'Inputs'!$B$10))^2+('Inputs'!$B$6/2)^2))))*'Results'!$B$8*'Results'!$B$9))),"")</x:f>
        <x:v>70.28782653242789</x:v>
      </x:c>
      <x:c r="BG16" s="22"/>
      <x:c r="BH16" s="22"/>
    </x:row>
    <x:row r="17" ht="22" customHeight="1">
      <x:c r="A17" s="22" t="n">
        <x:f>IF(D16&gt;='Results'!B10,C16,A16)</x:f>
        <x:v>7.16796875</x:v>
      </x:c>
      <x:c r="B17" s="22" t="n">
        <x:f>IF(D16&gt;='Results'!B10,B16,C16)</x:f>
        <x:v>7.1875</x:v>
      </x:c>
      <x:c r="C17" s="22" t="n">
        <x:f>(A17+B17)/2</x:f>
        <x:v>7.177734375</x:v>
      </x:c>
      <x:c r="D17" s="22" t="n">
        <x:f>IF(AND(ISNUMBER('Results'!B7),ISNUMBER('Results'!C7),ISNUMBER('Results'!$B$8),ISNUMBER('Results'!$B$9),ISNUMBER('Inputs'!$B$6),ISNUMBER('Inputs'!$B$7),ISNUMBER('Inputs'!$B$8),ISNUMBER('Inputs'!$B$9),ISNUMBER('Inputs'!$B$10),ISNUMBER('Inputs'!$B$21),ISNUMBER('Inputs'!$B$24),ISNUMBER('Inputs'!$B$28)),(('Results'!B7*(0.5*(((C17+'Inputs'!$B$21)+'Inputs'!$B$7)/SQRT(((C17+'Inputs'!$B$21)+'Inputs'!$B$7)^2+('Inputs'!$B$6/2)^2)-((C17+'Inputs'!$B$21))/SQRT(((C17+'Inputs'!$B$21))^2+('Inputs'!$B$6/2)^2)))-'Results'!C7*(0.5*(((C17+'Inputs'!$B$21+'Inputs'!$B$7+'Inputs'!$B$10)+'Inputs'!$B$9)/SQRT(((C17+'Inputs'!$B$21+'Inputs'!$B$7+'Inputs'!$B$10)+'Inputs'!$B$9)^2+('Inputs'!$B$8/2)^2)-((C17+'Inputs'!$B$21+'Inputs'!$B$7+'Inputs'!$B$10))/SQRT(((C17+'Inputs'!$B$21+'Inputs'!$B$7+'Inputs'!$B$10))^2+('Inputs'!$B$8/2)^2))))*'Results'!$B$8*'Results'!$B$9),"")</x:f>
        <x:v>98.07746765782166</x:v>
      </x:c>
      <x:c r="E17" s="22"/>
      <x:c r="F17" s="22"/>
      <x:c r="G17" s="22" t="n">
        <x:f>IF(J16&gt;='Results'!B12,I16,G16)</x:f>
        <x:v>6.58203125</x:v>
      </x:c>
      <x:c r="H17" s="22" t="n">
        <x:f>IF(J16&gt;='Results'!B12,H16,I16)</x:f>
        <x:v>6.6015625</x:v>
      </x:c>
      <x:c r="I17" s="22" t="n">
        <x:f>(G17+H17)/2</x:f>
        <x:v>6.591796875</x:v>
      </x:c>
      <x:c r="J17" s="22" t="n">
        <x:f>IF(AND(ISNUMBER('Results'!B7),ISNUMBER('Results'!C7),ISNUMBER('Results'!$B$8),ISNUMBER('Results'!$B$9),ISNUMBER('Inputs'!$B$6),ISNUMBER('Inputs'!$B$7),ISNUMBER('Inputs'!$B$8),ISNUMBER('Inputs'!$B$9),ISNUMBER('Inputs'!$B$10),ISNUMBER('Inputs'!$B$21),ISNUMBER('Inputs'!$B$24),ISNUMBER('Inputs'!$B$28)),((('Results'!B7*(1-'Inputs'!$B$24)*(0.5*(((I17+'Inputs'!$B$21)+'Inputs'!$B$7)/SQRT(((I17+'Inputs'!$B$21)+'Inputs'!$B$7)^2+('Inputs'!$B$6/2)^2)-((I17+'Inputs'!$B$21))/SQRT(((I17+'Inputs'!$B$21))^2+('Inputs'!$B$6/2)^2)))-'Results'!C7*(1+'Inputs'!$B$24)*(0.5*(((I17+'Inputs'!$B$21+'Inputs'!$B$7+'Inputs'!$B$10)+'Inputs'!$B$9)/SQRT(((I17+'Inputs'!$B$21+'Inputs'!$B$7+'Inputs'!$B$10)+'Inputs'!$B$9)^2+('Inputs'!$B$8/2)^2)-((I17+'Inputs'!$B$21+'Inputs'!$B$7+'Inputs'!$B$10))/SQRT(((I17+'Inputs'!$B$21+'Inputs'!$B$7+'Inputs'!$B$10))^2+('Inputs'!$B$8/2)^2))))*'Results'!$B$8*'Results'!$B$9)-'Inputs'!$B$28*ABS((('Results'!B7*(1-'Inputs'!$B$24)*(0.5*(((I17+'Inputs'!$B$21)+'Inputs'!$B$7)/SQRT(((I17+'Inputs'!$B$21)+'Inputs'!$B$7)^2+('Inputs'!$B$6/2)^2)-((I17+'Inputs'!$B$21))/SQRT(((I17+'Inputs'!$B$21))^2+('Inputs'!$B$6/2)^2)))-'Results'!C7*(1+'Inputs'!$B$24)*(0.5*(((I17+'Inputs'!$B$21+'Inputs'!$B$7+'Inputs'!$B$10)+'Inputs'!$B$9)/SQRT(((I17+'Inputs'!$B$21+'Inputs'!$B$7+'Inputs'!$B$10)+'Inputs'!$B$9)^2+('Inputs'!$B$8/2)^2)-((I17+'Inputs'!$B$21+'Inputs'!$B$7+'Inputs'!$B$10))/SQRT(((I17+'Inputs'!$B$21+'Inputs'!$B$7+'Inputs'!$B$10))^2+('Inputs'!$B$8/2)^2))))*'Results'!$B$8*'Results'!$B$9))),"")</x:f>
        <x:v>112.15616844890337</x:v>
      </x:c>
      <x:c r="K17" s="22"/>
      <x:c r="L17" s="22"/>
      <x:c r="M17" s="22" t="n">
        <x:f>IF(P16&gt;='Results'!B11,O16,M16)</x:f>
        <x:v>7.8125</x:v>
      </x:c>
      <x:c r="N17" s="22" t="n">
        <x:f>IF(P16&gt;='Results'!B11,N16,O16)</x:f>
        <x:v>7.83203125</x:v>
      </x:c>
      <x:c r="O17" s="22" t="n">
        <x:f>(M17+N17)/2</x:f>
        <x:v>7.822265625</x:v>
      </x:c>
      <x:c r="P17" s="22" t="n">
        <x:f>IF(AND(ISNUMBER('Results'!B7),ISNUMBER('Results'!C7),ISNUMBER('Results'!$B$8),ISNUMBER('Results'!$B$9),ISNUMBER('Inputs'!$B$6),ISNUMBER('Inputs'!$B$7),ISNUMBER('Inputs'!$B$8),ISNUMBER('Inputs'!$B$9),ISNUMBER('Inputs'!$B$10),ISNUMBER('Inputs'!$B$21),ISNUMBER('Inputs'!$B$24),ISNUMBER('Inputs'!$B$28)),((('Results'!B7*(1+'Inputs'!$B$24)*(0.5*(((O17+'Inputs'!$B$21)+'Inputs'!$B$7)/SQRT(((O17+'Inputs'!$B$21)+'Inputs'!$B$7)^2+('Inputs'!$B$6/2)^2)-((O17+'Inputs'!$B$21))/SQRT(((O17+'Inputs'!$B$21))^2+('Inputs'!$B$6/2)^2)))-'Results'!C7*(1-'Inputs'!$B$24)*(0.5*(((O17+'Inputs'!$B$21+'Inputs'!$B$7+'Inputs'!$B$10)+'Inputs'!$B$9)/SQRT(((O17+'Inputs'!$B$21+'Inputs'!$B$7+'Inputs'!$B$10)+'Inputs'!$B$9)^2+('Inputs'!$B$8/2)^2)-((O17+'Inputs'!$B$21+'Inputs'!$B$7+'Inputs'!$B$10))/SQRT(((O17+'Inputs'!$B$21+'Inputs'!$B$7+'Inputs'!$B$10))^2+('Inputs'!$B$8/2)^2))))*'Results'!$B$8*'Results'!$B$9)+'Inputs'!$B$28*ABS((('Results'!B7*(1+'Inputs'!$B$24)*(0.5*(((O17+'Inputs'!$B$21)+'Inputs'!$B$7)/SQRT(((O17+'Inputs'!$B$21)+'Inputs'!$B$7)^2+('Inputs'!$B$6/2)^2)-((O17+'Inputs'!$B$21))/SQRT(((O17+'Inputs'!$B$21))^2+('Inputs'!$B$6/2)^2)))-'Results'!C7*(1-'Inputs'!$B$24)*(0.5*(((O17+'Inputs'!$B$21+'Inputs'!$B$7+'Inputs'!$B$10)+'Inputs'!$B$9)/SQRT(((O17+'Inputs'!$B$21+'Inputs'!$B$7+'Inputs'!$B$10)+'Inputs'!$B$9)^2+('Inputs'!$B$8/2)^2)-((O17+'Inputs'!$B$21+'Inputs'!$B$7+'Inputs'!$B$10))/SQRT(((O17+'Inputs'!$B$21+'Inputs'!$B$7+'Inputs'!$B$10))^2+('Inputs'!$B$8/2)^2))))*'Results'!$B$8*'Results'!$B$9))),"")</x:f>
        <x:v>84.80745001696981</x:v>
      </x:c>
      <x:c r="Q17" s="22"/>
      <x:c r="R17" s="22"/>
      <x:c r="S17" s="22" t="n">
        <x:f>IF(V16&gt;='Results'!B13,U16,S16)</x:f>
        <x:v>7.83203125</x:v>
      </x:c>
      <x:c r="T17" s="22" t="n">
        <x:f>IF(V16&gt;='Results'!B13,T16,U16)</x:f>
        <x:v>7.8515625</x:v>
      </x:c>
      <x:c r="U17" s="22" t="n">
        <x:f>(S17+T17)/2</x:f>
        <x:v>7.841796875</x:v>
      </x:c>
      <x:c r="V17" s="22" t="n">
        <x:f>IF(AND(ISNUMBER('Results'!B7),ISNUMBER('Results'!C7),ISNUMBER('Results'!$B$8),ISNUMBER('Results'!$B$9),ISNUMBER('Inputs'!$B$6),ISNUMBER('Inputs'!$B$7),ISNUMBER('Inputs'!$B$8),ISNUMBER('Inputs'!$B$9),ISNUMBER('Inputs'!$B$10),ISNUMBER('Inputs'!$B$21),ISNUMBER('Inputs'!$B$24),ISNUMBER('Inputs'!$B$28)),(('Results'!B7*(0.5*(((U17+'Inputs'!$B$21)+'Inputs'!$B$7)/SQRT(((U17+'Inputs'!$B$21)+'Inputs'!$B$7)^2+('Inputs'!$B$6/2)^2)-((U17+'Inputs'!$B$21))/SQRT(((U17+'Inputs'!$B$21))^2+('Inputs'!$B$6/2)^2)))-'Results'!C7*(0.5*(((U17+'Inputs'!$B$21+'Inputs'!$B$7+'Inputs'!$B$10)+'Inputs'!$B$9)/SQRT(((U17+'Inputs'!$B$21+'Inputs'!$B$7+'Inputs'!$B$10)+'Inputs'!$B$9)^2+('Inputs'!$B$8/2)^2)-((U17+'Inputs'!$B$21+'Inputs'!$B$7+'Inputs'!$B$10))/SQRT(((U17+'Inputs'!$B$21+'Inputs'!$B$7+'Inputs'!$B$10))^2+('Inputs'!$B$8/2)^2))))*'Results'!$B$8*'Results'!$B$9),"")</x:f>
        <x:v>77.34171884190877</x:v>
      </x:c>
      <x:c r="W17" s="22"/>
      <x:c r="X17" s="22"/>
      <x:c r="Y17" s="22" t="n">
        <x:f>IF(AB16&gt;='Results'!B14,AA16,Y16)</x:f>
        <x:v>8.515625</x:v>
      </x:c>
      <x:c r="Z17" s="22" t="n">
        <x:f>IF(AB16&gt;='Results'!B14,Z16,AA16)</x:f>
        <x:v>8.53515625</x:v>
      </x:c>
      <x:c r="AA17" s="22" t="n">
        <x:f>(Y17+Z17)/2</x:f>
        <x:v>8.525390625</x:v>
      </x:c>
      <x:c r="AB17" s="22" t="n">
        <x:f>IF(AND(ISNUMBER('Results'!B7),ISNUMBER('Results'!C7),ISNUMBER('Results'!$B$8),ISNUMBER('Results'!$B$9),ISNUMBER('Inputs'!$B$6),ISNUMBER('Inputs'!$B$7),ISNUMBER('Inputs'!$B$8),ISNUMBER('Inputs'!$B$9),ISNUMBER('Inputs'!$B$10),ISNUMBER('Inputs'!$B$21),ISNUMBER('Inputs'!$B$24),ISNUMBER('Inputs'!$B$28)),((('Results'!B7*(1+'Inputs'!$B$24)*(0.5*(((AA17+'Inputs'!$B$21)+'Inputs'!$B$7)/SQRT(((AA17+'Inputs'!$B$21)+'Inputs'!$B$7)^2+('Inputs'!$B$6/2)^2)-((AA17+'Inputs'!$B$21))/SQRT(((AA17+'Inputs'!$B$21))^2+('Inputs'!$B$6/2)^2)))-'Results'!C7*(1-'Inputs'!$B$24)*(0.5*(((AA17+'Inputs'!$B$21+'Inputs'!$B$7+'Inputs'!$B$10)+'Inputs'!$B$9)/SQRT(((AA17+'Inputs'!$B$21+'Inputs'!$B$7+'Inputs'!$B$10)+'Inputs'!$B$9)^2+('Inputs'!$B$8/2)^2)-((AA17+'Inputs'!$B$21+'Inputs'!$B$7+'Inputs'!$B$10))/SQRT(((AA17+'Inputs'!$B$21+'Inputs'!$B$7+'Inputs'!$B$10))^2+('Inputs'!$B$8/2)^2))))*'Results'!$B$8*'Results'!$B$9)+'Inputs'!$B$28*ABS((('Results'!B7*(1+'Inputs'!$B$24)*(0.5*(((AA17+'Inputs'!$B$21)+'Inputs'!$B$7)/SQRT(((AA17+'Inputs'!$B$21)+'Inputs'!$B$7)^2+('Inputs'!$B$6/2)^2)-((AA17+'Inputs'!$B$21))/SQRT(((AA17+'Inputs'!$B$21))^2+('Inputs'!$B$6/2)^2)))-'Results'!C7*(1-'Inputs'!$B$24)*(0.5*(((AA17+'Inputs'!$B$21+'Inputs'!$B$7+'Inputs'!$B$10)+'Inputs'!$B$9)/SQRT(((AA17+'Inputs'!$B$21+'Inputs'!$B$7+'Inputs'!$B$10)+'Inputs'!$B$9)^2+('Inputs'!$B$8/2)^2)-((AA17+'Inputs'!$B$21+'Inputs'!$B$7+'Inputs'!$B$10))/SQRT(((AA17+'Inputs'!$B$21+'Inputs'!$B$7+'Inputs'!$B$10))^2+('Inputs'!$B$8/2)^2))))*'Results'!$B$8*'Results'!$B$9))),"")</x:f>
        <x:v>66.91114704626331</x:v>
      </x:c>
      <x:c r="AC17" s="22"/>
      <x:c r="AD17" s="22"/>
      <x:c r="AE17" s="22" t="n">
        <x:f>IF(AH16&gt;='Results'!C10,AG16,AE16)</x:f>
        <x:v>6.9140625</x:v>
      </x:c>
      <x:c r="AF17" s="22" t="n">
        <x:f>IF(AH16&gt;='Results'!C10,AF16,AG16)</x:f>
        <x:v>6.93359375</x:v>
      </x:c>
      <x:c r="AG17" s="22" t="n">
        <x:f>(AE17+AF17)/2</x:f>
        <x:v>6.923828125</x:v>
      </x:c>
      <x:c r="AH17" s="22" t="n">
        <x:f>IF(AND(ISNUMBER('Results'!C7),ISNUMBER('Results'!B7),ISNUMBER('Results'!$B$8),ISNUMBER('Results'!$B$9),ISNUMBER('Inputs'!$B$6),ISNUMBER('Inputs'!$B$7),ISNUMBER('Inputs'!$B$8),ISNUMBER('Inputs'!$B$9),ISNUMBER('Inputs'!$B$10),ISNUMBER('Inputs'!$B$21),ISNUMBER('Inputs'!$B$24),ISNUMBER('Inputs'!$B$28)),(('Results'!C7*(0.5*(((AG17+'Inputs'!$B$21)+'Inputs'!$B$9)/SQRT(((AG17+'Inputs'!$B$21)+'Inputs'!$B$9)^2+('Inputs'!$B$8/2)^2)-((AG17+'Inputs'!$B$21))/SQRT(((AG17+'Inputs'!$B$21))^2+('Inputs'!$B$8/2)^2)))-'Results'!B7*(0.5*(((AG17+'Inputs'!$B$21+'Inputs'!$B$9+'Inputs'!$B$10)+'Inputs'!$B$7)/SQRT(((AG17+'Inputs'!$B$21+'Inputs'!$B$9+'Inputs'!$B$10)+'Inputs'!$B$7)^2+('Inputs'!$B$6/2)^2)-((AG17+'Inputs'!$B$21+'Inputs'!$B$9+'Inputs'!$B$10))/SQRT(((AG17+'Inputs'!$B$21+'Inputs'!$B$9+'Inputs'!$B$10))^2+('Inputs'!$B$6/2)^2))))*'Results'!$B$8*'Results'!$B$9),"")</x:f>
        <x:v>103.96054366934126</x:v>
      </x:c>
      <x:c r="AI17" s="22"/>
      <x:c r="AJ17" s="22"/>
      <x:c r="AK17" s="22" t="n">
        <x:f>IF(AN16&gt;='Results'!C12,AM16,AK16)</x:f>
        <x:v>6.328125</x:v>
      </x:c>
      <x:c r="AL17" s="22" t="n">
        <x:f>IF(AN16&gt;='Results'!C12,AL16,AM16)</x:f>
        <x:v>6.34765625</x:v>
      </x:c>
      <x:c r="AM17" s="22" t="n">
        <x:f>(AK17+AL17)/2</x:f>
        <x:v>6.337890625</x:v>
      </x:c>
      <x:c r="AN17" s="22" t="n">
        <x:f>IF(AND(ISNUMBER('Results'!C7),ISNUMBER('Results'!B7),ISNUMBER('Results'!$B$8),ISNUMBER('Results'!$B$9),ISNUMBER('Inputs'!$B$6),ISNUMBER('Inputs'!$B$7),ISNUMBER('Inputs'!$B$8),ISNUMBER('Inputs'!$B$9),ISNUMBER('Inputs'!$B$10),ISNUMBER('Inputs'!$B$21),ISNUMBER('Inputs'!$B$24),ISNUMBER('Inputs'!$B$28)),((('Results'!C7*(1-'Inputs'!$B$24)*(0.5*(((AM17+'Inputs'!$B$21)+'Inputs'!$B$9)/SQRT(((AM17+'Inputs'!$B$21)+'Inputs'!$B$9)^2+('Inputs'!$B$8/2)^2)-((AM17+'Inputs'!$B$21))/SQRT(((AM17+'Inputs'!$B$21))^2+('Inputs'!$B$8/2)^2)))-'Results'!B7*(1+'Inputs'!$B$24)*(0.5*(((AM17+'Inputs'!$B$21+'Inputs'!$B$9+'Inputs'!$B$10)+'Inputs'!$B$7)/SQRT(((AM17+'Inputs'!$B$21+'Inputs'!$B$9+'Inputs'!$B$10)+'Inputs'!$B$7)^2+('Inputs'!$B$6/2)^2)-((AM17+'Inputs'!$B$21+'Inputs'!$B$9+'Inputs'!$B$10))/SQRT(((AM17+'Inputs'!$B$21+'Inputs'!$B$9+'Inputs'!$B$10))^2+('Inputs'!$B$6/2)^2))))*'Results'!$B$8*'Results'!$B$9)-'Inputs'!$B$28*ABS((('Results'!C7*(1-'Inputs'!$B$24)*(0.5*(((AM17+'Inputs'!$B$21)+'Inputs'!$B$9)/SQRT(((AM17+'Inputs'!$B$21)+'Inputs'!$B$9)^2+('Inputs'!$B$8/2)^2)-((AM17+'Inputs'!$B$21))/SQRT(((AM17+'Inputs'!$B$21))^2+('Inputs'!$B$8/2)^2)))-'Results'!B7*(1+'Inputs'!$B$24)*(0.5*(((AM17+'Inputs'!$B$21+'Inputs'!$B$9+'Inputs'!$B$10)+'Inputs'!$B$7)/SQRT(((AM17+'Inputs'!$B$21+'Inputs'!$B$9+'Inputs'!$B$10)+'Inputs'!$B$7)^2+('Inputs'!$B$6/2)^2)-((AM17+'Inputs'!$B$21+'Inputs'!$B$9+'Inputs'!$B$10))/SQRT(((AM17+'Inputs'!$B$21+'Inputs'!$B$9+'Inputs'!$B$10))^2+('Inputs'!$B$6/2)^2))))*'Results'!$B$8*'Results'!$B$9))),"")</x:f>
        <x:v>119.57007556525693</x:v>
      </x:c>
      <x:c r="AO17" s="22"/>
      <x:c r="AP17" s="22"/>
      <x:c r="AQ17" s="22" t="n">
        <x:f>IF(AT16&gt;='Results'!C11,AS16,AQ16)</x:f>
        <x:v>7.5390625</x:v>
      </x:c>
      <x:c r="AR17" s="22" t="n">
        <x:f>IF(AT16&gt;='Results'!C11,AR16,AS16)</x:f>
        <x:v>7.55859375</x:v>
      </x:c>
      <x:c r="AS17" s="22" t="n">
        <x:f>(AQ17+AR17)/2</x:f>
        <x:v>7.548828125</x:v>
      </x:c>
      <x:c r="AT17" s="22" t="n">
        <x:f>IF(AND(ISNUMBER('Results'!C7),ISNUMBER('Results'!B7),ISNUMBER('Results'!$B$8),ISNUMBER('Results'!$B$9),ISNUMBER('Inputs'!$B$6),ISNUMBER('Inputs'!$B$7),ISNUMBER('Inputs'!$B$8),ISNUMBER('Inputs'!$B$9),ISNUMBER('Inputs'!$B$10),ISNUMBER('Inputs'!$B$21),ISNUMBER('Inputs'!$B$24),ISNUMBER('Inputs'!$B$28)),((('Results'!C7*(1+'Inputs'!$B$24)*(0.5*(((AS17+'Inputs'!$B$21)+'Inputs'!$B$9)/SQRT(((AS17+'Inputs'!$B$21)+'Inputs'!$B$9)^2+('Inputs'!$B$8/2)^2)-((AS17+'Inputs'!$B$21))/SQRT(((AS17+'Inputs'!$B$21))^2+('Inputs'!$B$8/2)^2)))-'Results'!B7*(1-'Inputs'!$B$24)*(0.5*(((AS17+'Inputs'!$B$21+'Inputs'!$B$9+'Inputs'!$B$10)+'Inputs'!$B$7)/SQRT(((AS17+'Inputs'!$B$21+'Inputs'!$B$9+'Inputs'!$B$10)+'Inputs'!$B$7)^2+('Inputs'!$B$6/2)^2)-((AS17+'Inputs'!$B$21+'Inputs'!$B$9+'Inputs'!$B$10))/SQRT(((AS17+'Inputs'!$B$21+'Inputs'!$B$9+'Inputs'!$B$10))^2+('Inputs'!$B$6/2)^2))))*'Results'!$B$8*'Results'!$B$9)+'Inputs'!$B$28*ABS((('Results'!C7*(1+'Inputs'!$B$24)*(0.5*(((AS17+'Inputs'!$B$21)+'Inputs'!$B$9)/SQRT(((AS17+'Inputs'!$B$21)+'Inputs'!$B$9)^2+('Inputs'!$B$8/2)^2)-((AS17+'Inputs'!$B$21))/SQRT(((AS17+'Inputs'!$B$21))^2+('Inputs'!$B$8/2)^2)))-'Results'!B7*(1-'Inputs'!$B$24)*(0.5*(((AS17+'Inputs'!$B$21+'Inputs'!$B$9+'Inputs'!$B$10)+'Inputs'!$B$7)/SQRT(((AS17+'Inputs'!$B$21+'Inputs'!$B$9+'Inputs'!$B$10)+'Inputs'!$B$7)^2+('Inputs'!$B$6/2)^2)-((AS17+'Inputs'!$B$21+'Inputs'!$B$9+'Inputs'!$B$10))/SQRT(((AS17+'Inputs'!$B$21+'Inputs'!$B$9+'Inputs'!$B$10))^2+('Inputs'!$B$6/2)^2))))*'Results'!$B$8*'Results'!$B$9))),"")</x:f>
        <x:v>89.98876222595318</x:v>
      </x:c>
      <x:c r="AU17" s="22"/>
      <x:c r="AV17" s="22"/>
      <x:c r="AW17" s="22" t="n">
        <x:f>IF(AZ16&gt;='Results'!C13,AY16,AW16)</x:f>
        <x:v>7.578125</x:v>
      </x:c>
      <x:c r="AX17" s="22" t="n">
        <x:f>IF(AZ16&gt;='Results'!C13,AX16,AY16)</x:f>
        <x:v>7.59765625</x:v>
      </x:c>
      <x:c r="AY17" s="22" t="n">
        <x:f>(AW17+AX17)/2</x:f>
        <x:v>7.587890625</x:v>
      </x:c>
      <x:c r="AZ17" s="22" t="n">
        <x:f>IF(AND(ISNUMBER('Results'!C7),ISNUMBER('Results'!B7),ISNUMBER('Results'!$B$8),ISNUMBER('Results'!$B$9),ISNUMBER('Inputs'!$B$6),ISNUMBER('Inputs'!$B$7),ISNUMBER('Inputs'!$B$8),ISNUMBER('Inputs'!$B$9),ISNUMBER('Inputs'!$B$10),ISNUMBER('Inputs'!$B$21),ISNUMBER('Inputs'!$B$24),ISNUMBER('Inputs'!$B$28)),(('Results'!C7*(0.5*(((AY17+'Inputs'!$B$21)+'Inputs'!$B$9)/SQRT(((AY17+'Inputs'!$B$21)+'Inputs'!$B$9)^2+('Inputs'!$B$8/2)^2)-((AY17+'Inputs'!$B$21))/SQRT(((AY17+'Inputs'!$B$21))^2+('Inputs'!$B$8/2)^2)))-'Results'!B7*(0.5*(((AY17+'Inputs'!$B$21+'Inputs'!$B$9+'Inputs'!$B$10)+'Inputs'!$B$7)/SQRT(((AY17+'Inputs'!$B$21+'Inputs'!$B$9+'Inputs'!$B$10)+'Inputs'!$B$7)^2+('Inputs'!$B$6/2)^2)-((AY17+'Inputs'!$B$21+'Inputs'!$B$9+'Inputs'!$B$10))/SQRT(((AY17+'Inputs'!$B$21+'Inputs'!$B$9+'Inputs'!$B$10))^2+('Inputs'!$B$6/2)^2))))*'Results'!$B$8*'Results'!$B$9),"")</x:f>
        <x:v>81.45058095737967</x:v>
      </x:c>
      <x:c r="BA17" s="22"/>
      <x:c r="BB17" s="22"/>
      <x:c r="BC17" s="22" t="n">
        <x:f>IF(BF16&gt;='Results'!C14,BE16,BC16)</x:f>
        <x:v>8.2421875</x:v>
      </x:c>
      <x:c r="BD17" s="22" t="n">
        <x:f>IF(BF16&gt;='Results'!C14,BD16,BE16)</x:f>
        <x:v>8.26171875</x:v>
      </x:c>
      <x:c r="BE17" s="22" t="n">
        <x:f>(BC17+BD17)/2</x:f>
        <x:v>8.251953125</x:v>
      </x:c>
      <x:c r="BF17" s="22" t="n">
        <x:f>IF(AND(ISNUMBER('Results'!C7),ISNUMBER('Results'!B7),ISNUMBER('Results'!$B$8),ISNUMBER('Results'!$B$9),ISNUMBER('Inputs'!$B$6),ISNUMBER('Inputs'!$B$7),ISNUMBER('Inputs'!$B$8),ISNUMBER('Inputs'!$B$9),ISNUMBER('Inputs'!$B$10),ISNUMBER('Inputs'!$B$21),ISNUMBER('Inputs'!$B$24),ISNUMBER('Inputs'!$B$28)),((('Results'!C7*(1+'Inputs'!$B$24)*(0.5*(((BE17+'Inputs'!$B$21)+'Inputs'!$B$9)/SQRT(((BE17+'Inputs'!$B$21)+'Inputs'!$B$9)^2+('Inputs'!$B$8/2)^2)-((BE17+'Inputs'!$B$21))/SQRT(((BE17+'Inputs'!$B$21))^2+('Inputs'!$B$8/2)^2)))-'Results'!B7*(1-'Inputs'!$B$24)*(0.5*(((BE17+'Inputs'!$B$21+'Inputs'!$B$9+'Inputs'!$B$10)+'Inputs'!$B$7)/SQRT(((BE17+'Inputs'!$B$21+'Inputs'!$B$9+'Inputs'!$B$10)+'Inputs'!$B$7)^2+('Inputs'!$B$6/2)^2)-((BE17+'Inputs'!$B$21+'Inputs'!$B$9+'Inputs'!$B$10))/SQRT(((BE17+'Inputs'!$B$21+'Inputs'!$B$9+'Inputs'!$B$10))^2+('Inputs'!$B$6/2)^2))))*'Results'!$B$8*'Results'!$B$9)+'Inputs'!$B$28*ABS((('Results'!C7*(1+'Inputs'!$B$24)*(0.5*(((BE17+'Inputs'!$B$21)+'Inputs'!$B$9)/SQRT(((BE17+'Inputs'!$B$21)+'Inputs'!$B$9)^2+('Inputs'!$B$8/2)^2)-((BE17+'Inputs'!$B$21))/SQRT(((BE17+'Inputs'!$B$21))^2+('Inputs'!$B$8/2)^2)))-'Results'!B7*(1-'Inputs'!$B$24)*(0.5*(((BE17+'Inputs'!$B$21+'Inputs'!$B$9+'Inputs'!$B$10)+'Inputs'!$B$7)/SQRT(((BE17+'Inputs'!$B$21+'Inputs'!$B$9+'Inputs'!$B$10)+'Inputs'!$B$7)^2+('Inputs'!$B$6/2)^2)-((BE17+'Inputs'!$B$21+'Inputs'!$B$9+'Inputs'!$B$10))/SQRT(((BE17+'Inputs'!$B$21+'Inputs'!$B$9+'Inputs'!$B$10))^2+('Inputs'!$B$6/2)^2))))*'Results'!$B$8*'Results'!$B$9))),"")</x:f>
        <x:v>70.51958927788691</x:v>
      </x:c>
      <x:c r="BG17" s="22"/>
      <x:c r="BH17" s="22"/>
    </x:row>
    <x:row r="18" ht="22" customHeight="1">
      <x:c r="A18" s="22" t="n">
        <x:f>IF(D17&gt;='Results'!B10,C17,A17)</x:f>
        <x:v>7.16796875</x:v>
      </x:c>
      <x:c r="B18" s="22" t="n">
        <x:f>IF(D17&gt;='Results'!B10,B17,C17)</x:f>
        <x:v>7.177734375</x:v>
      </x:c>
      <x:c r="C18" s="22" t="n">
        <x:f>(A18+B18)/2</x:f>
        <x:v>7.1728515625</x:v>
      </x:c>
      <x:c r="D18" s="22" t="n">
        <x:f>IF(AND(ISNUMBER('Results'!B7),ISNUMBER('Results'!C7),ISNUMBER('Results'!$B$8),ISNUMBER('Results'!$B$9),ISNUMBER('Inputs'!$B$6),ISNUMBER('Inputs'!$B$7),ISNUMBER('Inputs'!$B$8),ISNUMBER('Inputs'!$B$9),ISNUMBER('Inputs'!$B$10),ISNUMBER('Inputs'!$B$21),ISNUMBER('Inputs'!$B$24),ISNUMBER('Inputs'!$B$28)),(('Results'!B7*(0.5*(((C18+'Inputs'!$B$21)+'Inputs'!$B$7)/SQRT(((C18+'Inputs'!$B$21)+'Inputs'!$B$7)^2+('Inputs'!$B$6/2)^2)-((C18+'Inputs'!$B$21))/SQRT(((C18+'Inputs'!$B$21))^2+('Inputs'!$B$6/2)^2)))-'Results'!C7*(0.5*(((C18+'Inputs'!$B$21+'Inputs'!$B$7+'Inputs'!$B$10)+'Inputs'!$B$9)/SQRT(((C18+'Inputs'!$B$21+'Inputs'!$B$7+'Inputs'!$B$10)+'Inputs'!$B$9)^2+('Inputs'!$B$8/2)^2)-((C18+'Inputs'!$B$21+'Inputs'!$B$7+'Inputs'!$B$10))/SQRT(((C18+'Inputs'!$B$21+'Inputs'!$B$7+'Inputs'!$B$10))^2+('Inputs'!$B$8/2)^2))))*'Results'!$B$8*'Results'!$B$9),"")</x:f>
        <x:v>98.25359233911881</x:v>
      </x:c>
      <x:c r="E18" s="22"/>
      <x:c r="F18" s="22"/>
      <x:c r="G18" s="22" t="n">
        <x:f>IF(J17&gt;='Results'!B12,I17,G17)</x:f>
        <x:v>6.58203125</x:v>
      </x:c>
      <x:c r="H18" s="22" t="n">
        <x:f>IF(J17&gt;='Results'!B12,H17,I17)</x:f>
        <x:v>6.591796875</x:v>
      </x:c>
      <x:c r="I18" s="22" t="n">
        <x:f>(G18+H18)/2</x:f>
        <x:v>6.5869140625</x:v>
      </x:c>
      <x:c r="J18" s="22" t="n">
        <x:f>IF(AND(ISNUMBER('Results'!B7),ISNUMBER('Results'!C7),ISNUMBER('Results'!$B$8),ISNUMBER('Results'!$B$9),ISNUMBER('Inputs'!$B$6),ISNUMBER('Inputs'!$B$7),ISNUMBER('Inputs'!$B$8),ISNUMBER('Inputs'!$B$9),ISNUMBER('Inputs'!$B$10),ISNUMBER('Inputs'!$B$21),ISNUMBER('Inputs'!$B$24),ISNUMBER('Inputs'!$B$28)),((('Results'!B7*(1-'Inputs'!$B$24)*(0.5*(((I18+'Inputs'!$B$21)+'Inputs'!$B$7)/SQRT(((I18+'Inputs'!$B$21)+'Inputs'!$B$7)^2+('Inputs'!$B$6/2)^2)-((I18+'Inputs'!$B$21))/SQRT(((I18+'Inputs'!$B$21))^2+('Inputs'!$B$6/2)^2)))-'Results'!C7*(1+'Inputs'!$B$24)*(0.5*(((I18+'Inputs'!$B$21+'Inputs'!$B$7+'Inputs'!$B$10)+'Inputs'!$B$9)/SQRT(((I18+'Inputs'!$B$21+'Inputs'!$B$7+'Inputs'!$B$10)+'Inputs'!$B$9)^2+('Inputs'!$B$8/2)^2)-((I18+'Inputs'!$B$21+'Inputs'!$B$7+'Inputs'!$B$10))/SQRT(((I18+'Inputs'!$B$21+'Inputs'!$B$7+'Inputs'!$B$10))^2+('Inputs'!$B$8/2)^2))))*'Results'!$B$8*'Results'!$B$9)-'Inputs'!$B$28*ABS((('Results'!B7*(1-'Inputs'!$B$24)*(0.5*(((I18+'Inputs'!$B$21)+'Inputs'!$B$7)/SQRT(((I18+'Inputs'!$B$21)+'Inputs'!$B$7)^2+('Inputs'!$B$6/2)^2)-((I18+'Inputs'!$B$21))/SQRT(((I18+'Inputs'!$B$21))^2+('Inputs'!$B$6/2)^2)))-'Results'!C7*(1+'Inputs'!$B$24)*(0.5*(((I18+'Inputs'!$B$21+'Inputs'!$B$7+'Inputs'!$B$10)+'Inputs'!$B$9)/SQRT(((I18+'Inputs'!$B$21+'Inputs'!$B$7+'Inputs'!$B$10)+'Inputs'!$B$9)^2+('Inputs'!$B$8/2)^2)-((I18+'Inputs'!$B$21+'Inputs'!$B$7+'Inputs'!$B$10))/SQRT(((I18+'Inputs'!$B$21+'Inputs'!$B$7+'Inputs'!$B$10))^2+('Inputs'!$B$8/2)^2))))*'Results'!$B$8*'Results'!$B$9))),"")</x:f>
        <x:v>112.36875947728795</x:v>
      </x:c>
      <x:c r="K18" s="22"/>
      <x:c r="L18" s="22"/>
      <x:c r="M18" s="22" t="n">
        <x:f>IF(P17&gt;='Results'!B11,O17,M17)</x:f>
        <x:v>7.8125</x:v>
      </x:c>
      <x:c r="N18" s="22" t="n">
        <x:f>IF(P17&gt;='Results'!B11,N17,O17)</x:f>
        <x:v>7.822265625</x:v>
      </x:c>
      <x:c r="O18" s="22" t="n">
        <x:f>(M18+N18)/2</x:f>
        <x:v>7.8173828125</x:v>
      </x:c>
      <x:c r="P18" s="22" t="n">
        <x:f>IF(AND(ISNUMBER('Results'!B7),ISNUMBER('Results'!C7),ISNUMBER('Results'!$B$8),ISNUMBER('Results'!$B$9),ISNUMBER('Inputs'!$B$6),ISNUMBER('Inputs'!$B$7),ISNUMBER('Inputs'!$B$8),ISNUMBER('Inputs'!$B$9),ISNUMBER('Inputs'!$B$10),ISNUMBER('Inputs'!$B$21),ISNUMBER('Inputs'!$B$24),ISNUMBER('Inputs'!$B$28)),((('Results'!B7*(1+'Inputs'!$B$24)*(0.5*(((O18+'Inputs'!$B$21)+'Inputs'!$B$7)/SQRT(((O18+'Inputs'!$B$21)+'Inputs'!$B$7)^2+('Inputs'!$B$6/2)^2)-((O18+'Inputs'!$B$21))/SQRT(((O18+'Inputs'!$B$21))^2+('Inputs'!$B$6/2)^2)))-'Results'!C7*(1-'Inputs'!$B$24)*(0.5*(((O18+'Inputs'!$B$21+'Inputs'!$B$7+'Inputs'!$B$10)+'Inputs'!$B$9)/SQRT(((O18+'Inputs'!$B$21+'Inputs'!$B$7+'Inputs'!$B$10)+'Inputs'!$B$9)^2+('Inputs'!$B$8/2)^2)-((O18+'Inputs'!$B$21+'Inputs'!$B$7+'Inputs'!$B$10))/SQRT(((O18+'Inputs'!$B$21+'Inputs'!$B$7+'Inputs'!$B$10))^2+('Inputs'!$B$8/2)^2))))*'Results'!$B$8*'Results'!$B$9)+'Inputs'!$B$28*ABS((('Results'!B7*(1+'Inputs'!$B$24)*(0.5*(((O18+'Inputs'!$B$21)+'Inputs'!$B$7)/SQRT(((O18+'Inputs'!$B$21)+'Inputs'!$B$7)^2+('Inputs'!$B$6/2)^2)-((O18+'Inputs'!$B$21))/SQRT(((O18+'Inputs'!$B$21))^2+('Inputs'!$B$6/2)^2)))-'Results'!C7*(1-'Inputs'!$B$24)*(0.5*(((O18+'Inputs'!$B$21+'Inputs'!$B$7+'Inputs'!$B$10)+'Inputs'!$B$9)/SQRT(((O18+'Inputs'!$B$21+'Inputs'!$B$7+'Inputs'!$B$10)+'Inputs'!$B$9)^2+('Inputs'!$B$8/2)^2)-((O18+'Inputs'!$B$21+'Inputs'!$B$7+'Inputs'!$B$10))/SQRT(((O18+'Inputs'!$B$21+'Inputs'!$B$7+'Inputs'!$B$10))^2+('Inputs'!$B$8/2)^2))))*'Results'!$B$8*'Results'!$B$9))),"")</x:f>
        <x:v>84.95111771043062</x:v>
      </x:c>
      <x:c r="Q18" s="22"/>
      <x:c r="R18" s="22"/>
      <x:c r="S18" s="22" t="n">
        <x:f>IF(V17&gt;='Results'!B13,U17,S17)</x:f>
        <x:v>7.841796875</x:v>
      </x:c>
      <x:c r="T18" s="22" t="n">
        <x:f>IF(V17&gt;='Results'!B13,T17,U17)</x:f>
        <x:v>7.8515625</x:v>
      </x:c>
      <x:c r="U18" s="22" t="n">
        <x:f>(S18+T18)/2</x:f>
        <x:v>7.8466796875</x:v>
      </x:c>
      <x:c r="V18" s="22" t="n">
        <x:f>IF(AND(ISNUMBER('Results'!B7),ISNUMBER('Results'!C7),ISNUMBER('Results'!$B$8),ISNUMBER('Results'!$B$9),ISNUMBER('Inputs'!$B$6),ISNUMBER('Inputs'!$B$7),ISNUMBER('Inputs'!$B$8),ISNUMBER('Inputs'!$B$9),ISNUMBER('Inputs'!$B$10),ISNUMBER('Inputs'!$B$21),ISNUMBER('Inputs'!$B$24),ISNUMBER('Inputs'!$B$28)),(('Results'!B7*(0.5*(((U18+'Inputs'!$B$21)+'Inputs'!$B$7)/SQRT(((U18+'Inputs'!$B$21)+'Inputs'!$B$7)^2+('Inputs'!$B$6/2)^2)-((U18+'Inputs'!$B$21))/SQRT(((U18+'Inputs'!$B$21))^2+('Inputs'!$B$6/2)^2)))-'Results'!C7*(0.5*(((U18+'Inputs'!$B$21+'Inputs'!$B$7+'Inputs'!$B$10)+'Inputs'!$B$9)/SQRT(((U18+'Inputs'!$B$21+'Inputs'!$B$7+'Inputs'!$B$10)+'Inputs'!$B$9)^2+('Inputs'!$B$8/2)^2)-((U18+'Inputs'!$B$21+'Inputs'!$B$7+'Inputs'!$B$10))/SQRT(((U18+'Inputs'!$B$21+'Inputs'!$B$7+'Inputs'!$B$10))^2+('Inputs'!$B$8/2)^2))))*'Results'!$B$8*'Results'!$B$9),"")</x:f>
        <x:v>77.21034102437906</x:v>
      </x:c>
      <x:c r="W18" s="22"/>
      <x:c r="X18" s="22"/>
      <x:c r="Y18" s="22" t="n">
        <x:f>IF(AB17&gt;='Results'!B14,AA17,Y17)</x:f>
        <x:v>8.525390625</x:v>
      </x:c>
      <x:c r="Z18" s="22" t="n">
        <x:f>IF(AB17&gt;='Results'!B14,Z17,AA17)</x:f>
        <x:v>8.53515625</x:v>
      </x:c>
      <x:c r="AA18" s="22" t="n">
        <x:f>(Y18+Z18)/2</x:f>
        <x:v>8.5302734375</x:v>
      </x:c>
      <x:c r="AB18" s="22" t="n">
        <x:f>IF(AND(ISNUMBER('Results'!B7),ISNUMBER('Results'!C7),ISNUMBER('Results'!$B$8),ISNUMBER('Results'!$B$9),ISNUMBER('Inputs'!$B$6),ISNUMBER('Inputs'!$B$7),ISNUMBER('Inputs'!$B$8),ISNUMBER('Inputs'!$B$9),ISNUMBER('Inputs'!$B$10),ISNUMBER('Inputs'!$B$21),ISNUMBER('Inputs'!$B$24),ISNUMBER('Inputs'!$B$28)),((('Results'!B7*(1+'Inputs'!$B$24)*(0.5*(((AA18+'Inputs'!$B$21)+'Inputs'!$B$7)/SQRT(((AA18+'Inputs'!$B$21)+'Inputs'!$B$7)^2+('Inputs'!$B$6/2)^2)-((AA18+'Inputs'!$B$21))/SQRT(((AA18+'Inputs'!$B$21))^2+('Inputs'!$B$6/2)^2)))-'Results'!C7*(1-'Inputs'!$B$24)*(0.5*(((AA18+'Inputs'!$B$21+'Inputs'!$B$7+'Inputs'!$B$10)+'Inputs'!$B$9)/SQRT(((AA18+'Inputs'!$B$21+'Inputs'!$B$7+'Inputs'!$B$10)+'Inputs'!$B$9)^2+('Inputs'!$B$8/2)^2)-((AA18+'Inputs'!$B$21+'Inputs'!$B$7+'Inputs'!$B$10))/SQRT(((AA18+'Inputs'!$B$21+'Inputs'!$B$7+'Inputs'!$B$10))^2+('Inputs'!$B$8/2)^2))))*'Results'!$B$8*'Results'!$B$9)+'Inputs'!$B$28*ABS((('Results'!B7*(1+'Inputs'!$B$24)*(0.5*(((AA18+'Inputs'!$B$21)+'Inputs'!$B$7)/SQRT(((AA18+'Inputs'!$B$21)+'Inputs'!$B$7)^2+('Inputs'!$B$6/2)^2)-((AA18+'Inputs'!$B$21))/SQRT(((AA18+'Inputs'!$B$21))^2+('Inputs'!$B$6/2)^2)))-'Results'!C7*(1-'Inputs'!$B$24)*(0.5*(((AA18+'Inputs'!$B$21+'Inputs'!$B$7+'Inputs'!$B$10)+'Inputs'!$B$9)/SQRT(((AA18+'Inputs'!$B$21+'Inputs'!$B$7+'Inputs'!$B$10)+'Inputs'!$B$9)^2+('Inputs'!$B$8/2)^2)-((AA18+'Inputs'!$B$21+'Inputs'!$B$7+'Inputs'!$B$10))/SQRT(((AA18+'Inputs'!$B$21+'Inputs'!$B$7+'Inputs'!$B$10))^2+('Inputs'!$B$8/2)^2))))*'Results'!$B$8*'Results'!$B$9))),"")</x:f>
        <x:v>66.80412900070358</x:v>
      </x:c>
      <x:c r="AC18" s="22"/>
      <x:c r="AD18" s="22"/>
      <x:c r="AE18" s="22" t="n">
        <x:f>IF(AH17&gt;='Results'!C10,AG17,AE17)</x:f>
        <x:v>6.9140625</x:v>
      </x:c>
      <x:c r="AF18" s="22" t="n">
        <x:f>IF(AH17&gt;='Results'!C10,AF17,AG17)</x:f>
        <x:v>6.923828125</x:v>
      </x:c>
      <x:c r="AG18" s="22" t="n">
        <x:f>(AE18+AF18)/2</x:f>
        <x:v>6.9189453125</x:v>
      </x:c>
      <x:c r="AH18" s="22" t="n">
        <x:f>IF(AND(ISNUMBER('Results'!C7),ISNUMBER('Results'!B7),ISNUMBER('Results'!$B$8),ISNUMBER('Results'!$B$9),ISNUMBER('Inputs'!$B$6),ISNUMBER('Inputs'!$B$7),ISNUMBER('Inputs'!$B$8),ISNUMBER('Inputs'!$B$9),ISNUMBER('Inputs'!$B$10),ISNUMBER('Inputs'!$B$21),ISNUMBER('Inputs'!$B$24),ISNUMBER('Inputs'!$B$28)),(('Results'!C7*(0.5*(((AG18+'Inputs'!$B$21)+'Inputs'!$B$9)/SQRT(((AG18+'Inputs'!$B$21)+'Inputs'!$B$9)^2+('Inputs'!$B$8/2)^2)-((AG18+'Inputs'!$B$21))/SQRT(((AG18+'Inputs'!$B$21))^2+('Inputs'!$B$8/2)^2)))-'Results'!B7*(0.5*(((AG18+'Inputs'!$B$21+'Inputs'!$B$9+'Inputs'!$B$10)+'Inputs'!$B$7)/SQRT(((AG18+'Inputs'!$B$21+'Inputs'!$B$9+'Inputs'!$B$10)+'Inputs'!$B$7)^2+('Inputs'!$B$6/2)^2)-((AG18+'Inputs'!$B$21+'Inputs'!$B$9+'Inputs'!$B$10))/SQRT(((AG18+'Inputs'!$B$21+'Inputs'!$B$9+'Inputs'!$B$10))^2+('Inputs'!$B$6/2)^2))))*'Results'!$B$8*'Results'!$B$9),"")</x:f>
        <x:v>104.15233449295056</x:v>
      </x:c>
      <x:c r="AI18" s="22"/>
      <x:c r="AJ18" s="22"/>
      <x:c r="AK18" s="22" t="n">
        <x:f>IF(AN17&gt;='Results'!C12,AM17,AK17)</x:f>
        <x:v>6.337890625</x:v>
      </x:c>
      <x:c r="AL18" s="22" t="n">
        <x:f>IF(AN17&gt;='Results'!C12,AL17,AM17)</x:f>
        <x:v>6.34765625</x:v>
      </x:c>
      <x:c r="AM18" s="22" t="n">
        <x:f>(AK18+AL18)/2</x:f>
        <x:v>6.3427734375</x:v>
      </x:c>
      <x:c r="AN18" s="22" t="n">
        <x:f>IF(AND(ISNUMBER('Results'!C7),ISNUMBER('Results'!B7),ISNUMBER('Results'!$B$8),ISNUMBER('Results'!$B$9),ISNUMBER('Inputs'!$B$6),ISNUMBER('Inputs'!$B$7),ISNUMBER('Inputs'!$B$8),ISNUMBER('Inputs'!$B$9),ISNUMBER('Inputs'!$B$10),ISNUMBER('Inputs'!$B$21),ISNUMBER('Inputs'!$B$24),ISNUMBER('Inputs'!$B$28)),((('Results'!C7*(1-'Inputs'!$B$24)*(0.5*(((AM18+'Inputs'!$B$21)+'Inputs'!$B$9)/SQRT(((AM18+'Inputs'!$B$21)+'Inputs'!$B$9)^2+('Inputs'!$B$8/2)^2)-((AM18+'Inputs'!$B$21))/SQRT(((AM18+'Inputs'!$B$21))^2+('Inputs'!$B$8/2)^2)))-'Results'!B7*(1+'Inputs'!$B$24)*(0.5*(((AM18+'Inputs'!$B$21+'Inputs'!$B$9+'Inputs'!$B$10)+'Inputs'!$B$7)/SQRT(((AM18+'Inputs'!$B$21+'Inputs'!$B$9+'Inputs'!$B$10)+'Inputs'!$B$7)^2+('Inputs'!$B$6/2)^2)-((AM18+'Inputs'!$B$21+'Inputs'!$B$9+'Inputs'!$B$10))/SQRT(((AM18+'Inputs'!$B$21+'Inputs'!$B$9+'Inputs'!$B$10))^2+('Inputs'!$B$6/2)^2))))*'Results'!$B$8*'Results'!$B$9)-'Inputs'!$B$28*ABS((('Results'!C7*(1-'Inputs'!$B$24)*(0.5*(((AM18+'Inputs'!$B$21)+'Inputs'!$B$9)/SQRT(((AM18+'Inputs'!$B$21)+'Inputs'!$B$9)^2+('Inputs'!$B$8/2)^2)-((AM18+'Inputs'!$B$21))/SQRT(((AM18+'Inputs'!$B$21))^2+('Inputs'!$B$8/2)^2)))-'Results'!B7*(1+'Inputs'!$B$24)*(0.5*(((AM18+'Inputs'!$B$21+'Inputs'!$B$9+'Inputs'!$B$10)+'Inputs'!$B$7)/SQRT(((AM18+'Inputs'!$B$21+'Inputs'!$B$9+'Inputs'!$B$10)+'Inputs'!$B$7)^2+('Inputs'!$B$6/2)^2)-((AM18+'Inputs'!$B$21+'Inputs'!$B$9+'Inputs'!$B$10))/SQRT(((AM18+'Inputs'!$B$21+'Inputs'!$B$9+'Inputs'!$B$10))^2+('Inputs'!$B$6/2)^2))))*'Results'!$B$8*'Results'!$B$9))),"")</x:f>
        <x:v>119.33778937852539</x:v>
      </x:c>
      <x:c r="AO18" s="22"/>
      <x:c r="AP18" s="22"/>
      <x:c r="AQ18" s="22" t="n">
        <x:f>IF(AT17&gt;='Results'!C11,AS17,AQ17)</x:f>
        <x:v>7.548828125</x:v>
      </x:c>
      <x:c r="AR18" s="22" t="n">
        <x:f>IF(AT17&gt;='Results'!C11,AR17,AS17)</x:f>
        <x:v>7.55859375</x:v>
      </x:c>
      <x:c r="AS18" s="22" t="n">
        <x:f>(AQ18+AR18)/2</x:f>
        <x:v>7.5537109375</x:v>
      </x:c>
      <x:c r="AT18" s="22" t="n">
        <x:f>IF(AND(ISNUMBER('Results'!C7),ISNUMBER('Results'!B7),ISNUMBER('Results'!$B$8),ISNUMBER('Results'!$B$9),ISNUMBER('Inputs'!$B$6),ISNUMBER('Inputs'!$B$7),ISNUMBER('Inputs'!$B$8),ISNUMBER('Inputs'!$B$9),ISNUMBER('Inputs'!$B$10),ISNUMBER('Inputs'!$B$21),ISNUMBER('Inputs'!$B$24),ISNUMBER('Inputs'!$B$28)),((('Results'!C7*(1+'Inputs'!$B$24)*(0.5*(((AS18+'Inputs'!$B$21)+'Inputs'!$B$9)/SQRT(((AS18+'Inputs'!$B$21)+'Inputs'!$B$9)^2+('Inputs'!$B$8/2)^2)-((AS18+'Inputs'!$B$21))/SQRT(((AS18+'Inputs'!$B$21))^2+('Inputs'!$B$8/2)^2)))-'Results'!B7*(1-'Inputs'!$B$24)*(0.5*(((AS18+'Inputs'!$B$21+'Inputs'!$B$9+'Inputs'!$B$10)+'Inputs'!$B$7)/SQRT(((AS18+'Inputs'!$B$21+'Inputs'!$B$9+'Inputs'!$B$10)+'Inputs'!$B$7)^2+('Inputs'!$B$6/2)^2)-((AS18+'Inputs'!$B$21+'Inputs'!$B$9+'Inputs'!$B$10))/SQRT(((AS18+'Inputs'!$B$21+'Inputs'!$B$9+'Inputs'!$B$10))^2+('Inputs'!$B$6/2)^2))))*'Results'!$B$8*'Results'!$B$9)+'Inputs'!$B$28*ABS((('Results'!C7*(1+'Inputs'!$B$24)*(0.5*(((AS18+'Inputs'!$B$21)+'Inputs'!$B$9)/SQRT(((AS18+'Inputs'!$B$21)+'Inputs'!$B$9)^2+('Inputs'!$B$8/2)^2)-((AS18+'Inputs'!$B$21))/SQRT(((AS18+'Inputs'!$B$21))^2+('Inputs'!$B$8/2)^2)))-'Results'!B7*(1-'Inputs'!$B$24)*(0.5*(((AS18+'Inputs'!$B$21+'Inputs'!$B$9+'Inputs'!$B$10)+'Inputs'!$B$7)/SQRT(((AS18+'Inputs'!$B$21+'Inputs'!$B$9+'Inputs'!$B$10)+'Inputs'!$B$7)^2+('Inputs'!$B$6/2)^2)-((AS18+'Inputs'!$B$21+'Inputs'!$B$9+'Inputs'!$B$10))/SQRT(((AS18+'Inputs'!$B$21+'Inputs'!$B$9+'Inputs'!$B$10))^2+('Inputs'!$B$6/2)^2))))*'Results'!$B$8*'Results'!$B$9))),"")</x:f>
        <x:v>89.83227473927728</x:v>
      </x:c>
      <x:c r="AU18" s="22"/>
      <x:c r="AV18" s="22"/>
      <x:c r="AW18" s="22" t="n">
        <x:f>IF(AZ17&gt;='Results'!C13,AY17,AW17)</x:f>
        <x:v>7.578125</x:v>
      </x:c>
      <x:c r="AX18" s="22" t="n">
        <x:f>IF(AZ17&gt;='Results'!C13,AX17,AY17)</x:f>
        <x:v>7.587890625</x:v>
      </x:c>
      <x:c r="AY18" s="22" t="n">
        <x:f>(AW18+AX18)/2</x:f>
        <x:v>7.5830078125</x:v>
      </x:c>
      <x:c r="AZ18" s="22" t="n">
        <x:f>IF(AND(ISNUMBER('Results'!C7),ISNUMBER('Results'!B7),ISNUMBER('Results'!$B$8),ISNUMBER('Results'!$B$9),ISNUMBER('Inputs'!$B$6),ISNUMBER('Inputs'!$B$7),ISNUMBER('Inputs'!$B$8),ISNUMBER('Inputs'!$B$9),ISNUMBER('Inputs'!$B$10),ISNUMBER('Inputs'!$B$21),ISNUMBER('Inputs'!$B$24),ISNUMBER('Inputs'!$B$28)),(('Results'!C7*(0.5*(((AY18+'Inputs'!$B$21)+'Inputs'!$B$9)/SQRT(((AY18+'Inputs'!$B$21)+'Inputs'!$B$9)^2+('Inputs'!$B$8/2)^2)-((AY18+'Inputs'!$B$21))/SQRT(((AY18+'Inputs'!$B$21))^2+('Inputs'!$B$8/2)^2)))-'Results'!B7*(0.5*(((AY18+'Inputs'!$B$21+'Inputs'!$B$9+'Inputs'!$B$10)+'Inputs'!$B$7)/SQRT(((AY18+'Inputs'!$B$21+'Inputs'!$B$9+'Inputs'!$B$10)+'Inputs'!$B$7)^2+('Inputs'!$B$6/2)^2)-((AY18+'Inputs'!$B$21+'Inputs'!$B$9+'Inputs'!$B$10))/SQRT(((AY18+'Inputs'!$B$21+'Inputs'!$B$9+'Inputs'!$B$10))^2+('Inputs'!$B$6/2)^2))))*'Results'!$B$8*'Results'!$B$9),"")</x:f>
        <x:v>81.59301959880983</x:v>
      </x:c>
      <x:c r="BA18" s="22"/>
      <x:c r="BB18" s="22"/>
      <x:c r="BC18" s="22" t="n">
        <x:f>IF(BF17&gt;='Results'!C14,BE17,BC17)</x:f>
        <x:v>8.2421875</x:v>
      </x:c>
      <x:c r="BD18" s="22" t="n">
        <x:f>IF(BF17&gt;='Results'!C14,BD17,BE17)</x:f>
        <x:v>8.251953125</x:v>
      </x:c>
      <x:c r="BE18" s="22" t="n">
        <x:f>(BC18+BD18)/2</x:f>
        <x:v>8.2470703125</x:v>
      </x:c>
      <x:c r="BF18" s="22" t="n">
        <x:f>IF(AND(ISNUMBER('Results'!C7),ISNUMBER('Results'!B7),ISNUMBER('Results'!$B$8),ISNUMBER('Results'!$B$9),ISNUMBER('Inputs'!$B$6),ISNUMBER('Inputs'!$B$7),ISNUMBER('Inputs'!$B$8),ISNUMBER('Inputs'!$B$9),ISNUMBER('Inputs'!$B$10),ISNUMBER('Inputs'!$B$21),ISNUMBER('Inputs'!$B$24),ISNUMBER('Inputs'!$B$28)),((('Results'!C7*(1+'Inputs'!$B$24)*(0.5*(((BE18+'Inputs'!$B$21)+'Inputs'!$B$9)/SQRT(((BE18+'Inputs'!$B$21)+'Inputs'!$B$9)^2+('Inputs'!$B$8/2)^2)-((BE18+'Inputs'!$B$21))/SQRT(((BE18+'Inputs'!$B$21))^2+('Inputs'!$B$8/2)^2)))-'Results'!B7*(1-'Inputs'!$B$24)*(0.5*(((BE18+'Inputs'!$B$21+'Inputs'!$B$9+'Inputs'!$B$10)+'Inputs'!$B$7)/SQRT(((BE18+'Inputs'!$B$21+'Inputs'!$B$9+'Inputs'!$B$10)+'Inputs'!$B$7)^2+('Inputs'!$B$6/2)^2)-((BE18+'Inputs'!$B$21+'Inputs'!$B$9+'Inputs'!$B$10))/SQRT(((BE18+'Inputs'!$B$21+'Inputs'!$B$9+'Inputs'!$B$10))^2+('Inputs'!$B$6/2)^2))))*'Results'!$B$8*'Results'!$B$9)+'Inputs'!$B$28*ABS((('Results'!C7*(1+'Inputs'!$B$24)*(0.5*(((BE18+'Inputs'!$B$21)+'Inputs'!$B$9)/SQRT(((BE18+'Inputs'!$B$21)+'Inputs'!$B$9)^2+('Inputs'!$B$8/2)^2)-((BE18+'Inputs'!$B$21))/SQRT(((BE18+'Inputs'!$B$21))^2+('Inputs'!$B$8/2)^2)))-'Results'!B7*(1-'Inputs'!$B$24)*(0.5*(((BE18+'Inputs'!$B$21+'Inputs'!$B$9+'Inputs'!$B$10)+'Inputs'!$B$7)/SQRT(((BE18+'Inputs'!$B$21+'Inputs'!$B$9+'Inputs'!$B$10)+'Inputs'!$B$7)^2+('Inputs'!$B$6/2)^2)-((BE18+'Inputs'!$B$21+'Inputs'!$B$9+'Inputs'!$B$10))/SQRT(((BE18+'Inputs'!$B$21+'Inputs'!$B$9+'Inputs'!$B$10))^2+('Inputs'!$B$6/2)^2))))*'Results'!$B$8*'Results'!$B$9))),"")</x:f>
        <x:v>70.63582338569059</x:v>
      </x:c>
      <x:c r="BG18" s="22"/>
      <x:c r="BH18" s="22"/>
    </x:row>
    <x:row r="19" ht="22" customHeight="1">
      <x:c r="A19" s="22" t="n">
        <x:f>IF(D18&gt;='Results'!B10,C18,A18)</x:f>
        <x:v>7.1728515625</x:v>
      </x:c>
      <x:c r="B19" s="22" t="n">
        <x:f>IF(D18&gt;='Results'!B10,B18,C18)</x:f>
        <x:v>7.177734375</x:v>
      </x:c>
      <x:c r="C19" s="22" t="n">
        <x:f>(A19+B19)/2</x:f>
        <x:v>7.17529296875</x:v>
      </x:c>
      <x:c r="D19" s="22" t="n">
        <x:f>IF(AND(ISNUMBER('Results'!B7),ISNUMBER('Results'!C7),ISNUMBER('Results'!$B$8),ISNUMBER('Results'!$B$9),ISNUMBER('Inputs'!$B$6),ISNUMBER('Inputs'!$B$7),ISNUMBER('Inputs'!$B$8),ISNUMBER('Inputs'!$B$9),ISNUMBER('Inputs'!$B$10),ISNUMBER('Inputs'!$B$21),ISNUMBER('Inputs'!$B$24),ISNUMBER('Inputs'!$B$28)),(('Results'!B7*(0.5*(((C19+'Inputs'!$B$21)+'Inputs'!$B$7)/SQRT(((C19+'Inputs'!$B$21)+'Inputs'!$B$7)^2+('Inputs'!$B$6/2)^2)-((C19+'Inputs'!$B$21))/SQRT(((C19+'Inputs'!$B$21))^2+('Inputs'!$B$6/2)^2)))-'Results'!C7*(0.5*(((C19+'Inputs'!$B$21+'Inputs'!$B$7+'Inputs'!$B$10)+'Inputs'!$B$9)/SQRT(((C19+'Inputs'!$B$21+'Inputs'!$B$7+'Inputs'!$B$10)+'Inputs'!$B$9)^2+('Inputs'!$B$8/2)^2)-((C19+'Inputs'!$B$21+'Inputs'!$B$7+'Inputs'!$B$10))/SQRT(((C19+'Inputs'!$B$21+'Inputs'!$B$7+'Inputs'!$B$10))^2+('Inputs'!$B$8/2)^2))))*'Results'!$B$8*'Results'!$B$9),"")</x:f>
        <x:v>98.16548173655097</x:v>
      </x:c>
      <x:c r="E19" s="22"/>
      <x:c r="F19" s="22"/>
      <x:c r="G19" s="22" t="n">
        <x:f>IF(J18&gt;='Results'!B12,I18,G18)</x:f>
        <x:v>6.58203125</x:v>
      </x:c>
      <x:c r="H19" s="22" t="n">
        <x:f>IF(J18&gt;='Results'!B12,H18,I18)</x:f>
        <x:v>6.5869140625</x:v>
      </x:c>
      <x:c r="I19" s="22" t="n">
        <x:f>(G19+H19)/2</x:f>
        <x:v>6.58447265625</x:v>
      </x:c>
      <x:c r="J19" s="22" t="n">
        <x:f>IF(AND(ISNUMBER('Results'!B7),ISNUMBER('Results'!C7),ISNUMBER('Results'!$B$8),ISNUMBER('Results'!$B$9),ISNUMBER('Inputs'!$B$6),ISNUMBER('Inputs'!$B$7),ISNUMBER('Inputs'!$B$8),ISNUMBER('Inputs'!$B$9),ISNUMBER('Inputs'!$B$10),ISNUMBER('Inputs'!$B$21),ISNUMBER('Inputs'!$B$24),ISNUMBER('Inputs'!$B$28)),((('Results'!B7*(1-'Inputs'!$B$24)*(0.5*(((I19+'Inputs'!$B$21)+'Inputs'!$B$7)/SQRT(((I19+'Inputs'!$B$21)+'Inputs'!$B$7)^2+('Inputs'!$B$6/2)^2)-((I19+'Inputs'!$B$21))/SQRT(((I19+'Inputs'!$B$21))^2+('Inputs'!$B$6/2)^2)))-'Results'!C7*(1+'Inputs'!$B$24)*(0.5*(((I19+'Inputs'!$B$21+'Inputs'!$B$7+'Inputs'!$B$10)+'Inputs'!$B$9)/SQRT(((I19+'Inputs'!$B$21+'Inputs'!$B$7+'Inputs'!$B$10)+'Inputs'!$B$9)^2+('Inputs'!$B$8/2)^2)-((I19+'Inputs'!$B$21+'Inputs'!$B$7+'Inputs'!$B$10))/SQRT(((I19+'Inputs'!$B$21+'Inputs'!$B$7+'Inputs'!$B$10))^2+('Inputs'!$B$8/2)^2))))*'Results'!$B$8*'Results'!$B$9)-'Inputs'!$B$28*ABS((('Results'!B7*(1-'Inputs'!$B$24)*(0.5*(((I19+'Inputs'!$B$21)+'Inputs'!$B$7)/SQRT(((I19+'Inputs'!$B$21)+'Inputs'!$B$7)^2+('Inputs'!$B$6/2)^2)-((I19+'Inputs'!$B$21))/SQRT(((I19+'Inputs'!$B$21))^2+('Inputs'!$B$6/2)^2)))-'Results'!C7*(1+'Inputs'!$B$24)*(0.5*(((I19+'Inputs'!$B$21+'Inputs'!$B$7+'Inputs'!$B$10)+'Inputs'!$B$9)/SQRT(((I19+'Inputs'!$B$21+'Inputs'!$B$7+'Inputs'!$B$10)+'Inputs'!$B$9)^2+('Inputs'!$B$8/2)^2)-((I19+'Inputs'!$B$21+'Inputs'!$B$7+'Inputs'!$B$10))/SQRT(((I19+'Inputs'!$B$21+'Inputs'!$B$7+'Inputs'!$B$10))^2+('Inputs'!$B$8/2)^2))))*'Results'!$B$8*'Results'!$B$9))),"")</x:f>
        <x:v>112.4752380296447</x:v>
      </x:c>
      <x:c r="K19" s="22"/>
      <x:c r="L19" s="22"/>
      <x:c r="M19" s="22" t="n">
        <x:f>IF(P18&gt;='Results'!B11,O18,M18)</x:f>
        <x:v>7.8173828125</x:v>
      </x:c>
      <x:c r="N19" s="22" t="n">
        <x:f>IF(P18&gt;='Results'!B11,N18,O18)</x:f>
        <x:v>7.822265625</x:v>
      </x:c>
      <x:c r="O19" s="22" t="n">
        <x:f>(M19+N19)/2</x:f>
        <x:v>7.81982421875</x:v>
      </x:c>
      <x:c r="P19" s="22" t="n">
        <x:f>IF(AND(ISNUMBER('Results'!B7),ISNUMBER('Results'!C7),ISNUMBER('Results'!$B$8),ISNUMBER('Results'!$B$9),ISNUMBER('Inputs'!$B$6),ISNUMBER('Inputs'!$B$7),ISNUMBER('Inputs'!$B$8),ISNUMBER('Inputs'!$B$9),ISNUMBER('Inputs'!$B$10),ISNUMBER('Inputs'!$B$21),ISNUMBER('Inputs'!$B$24),ISNUMBER('Inputs'!$B$28)),((('Results'!B7*(1+'Inputs'!$B$24)*(0.5*(((O19+'Inputs'!$B$21)+'Inputs'!$B$7)/SQRT(((O19+'Inputs'!$B$21)+'Inputs'!$B$7)^2+('Inputs'!$B$6/2)^2)-((O19+'Inputs'!$B$21))/SQRT(((O19+'Inputs'!$B$21))^2+('Inputs'!$B$6/2)^2)))-'Results'!C7*(1-'Inputs'!$B$24)*(0.5*(((O19+'Inputs'!$B$21+'Inputs'!$B$7+'Inputs'!$B$10)+'Inputs'!$B$9)/SQRT(((O19+'Inputs'!$B$21+'Inputs'!$B$7+'Inputs'!$B$10)+'Inputs'!$B$9)^2+('Inputs'!$B$8/2)^2)-((O19+'Inputs'!$B$21+'Inputs'!$B$7+'Inputs'!$B$10))/SQRT(((O19+'Inputs'!$B$21+'Inputs'!$B$7+'Inputs'!$B$10))^2+('Inputs'!$B$8/2)^2))))*'Results'!$B$8*'Results'!$B$9)+'Inputs'!$B$28*ABS((('Results'!B7*(1+'Inputs'!$B$24)*(0.5*(((O19+'Inputs'!$B$21)+'Inputs'!$B$7)/SQRT(((O19+'Inputs'!$B$21)+'Inputs'!$B$7)^2+('Inputs'!$B$6/2)^2)-((O19+'Inputs'!$B$21))/SQRT(((O19+'Inputs'!$B$21))^2+('Inputs'!$B$6/2)^2)))-'Results'!C7*(1-'Inputs'!$B$24)*(0.5*(((O19+'Inputs'!$B$21+'Inputs'!$B$7+'Inputs'!$B$10)+'Inputs'!$B$9)/SQRT(((O19+'Inputs'!$B$21+'Inputs'!$B$7+'Inputs'!$B$10)+'Inputs'!$B$9)^2+('Inputs'!$B$8/2)^2)-((O19+'Inputs'!$B$21+'Inputs'!$B$7+'Inputs'!$B$10))/SQRT(((O19+'Inputs'!$B$21+'Inputs'!$B$7+'Inputs'!$B$10))^2+('Inputs'!$B$8/2)^2))))*'Results'!$B$8*'Results'!$B$9))),"")</x:f>
        <x:v>84.87924643605788</x:v>
      </x:c>
      <x:c r="Q19" s="22"/>
      <x:c r="R19" s="22"/>
      <x:c r="S19" s="22" t="n">
        <x:f>IF(V18&gt;='Results'!B13,U18,S18)</x:f>
        <x:v>7.841796875</x:v>
      </x:c>
      <x:c r="T19" s="22" t="n">
        <x:f>IF(V18&gt;='Results'!B13,T18,U18)</x:f>
        <x:v>7.8466796875</x:v>
      </x:c>
      <x:c r="U19" s="22" t="n">
        <x:f>(S19+T19)/2</x:f>
        <x:v>7.84423828125</x:v>
      </x:c>
      <x:c r="V19" s="22" t="n">
        <x:f>IF(AND(ISNUMBER('Results'!B7),ISNUMBER('Results'!C7),ISNUMBER('Results'!$B$8),ISNUMBER('Results'!$B$9),ISNUMBER('Inputs'!$B$6),ISNUMBER('Inputs'!$B$7),ISNUMBER('Inputs'!$B$8),ISNUMBER('Inputs'!$B$9),ISNUMBER('Inputs'!$B$10),ISNUMBER('Inputs'!$B$21),ISNUMBER('Inputs'!$B$24),ISNUMBER('Inputs'!$B$28)),(('Results'!B7*(0.5*(((U19+'Inputs'!$B$21)+'Inputs'!$B$7)/SQRT(((U19+'Inputs'!$B$21)+'Inputs'!$B$7)^2+('Inputs'!$B$6/2)^2)-((U19+'Inputs'!$B$21))/SQRT(((U19+'Inputs'!$B$21))^2+('Inputs'!$B$6/2)^2)))-'Results'!C7*(0.5*(((U19+'Inputs'!$B$21+'Inputs'!$B$7+'Inputs'!$B$10)+'Inputs'!$B$9)/SQRT(((U19+'Inputs'!$B$21+'Inputs'!$B$7+'Inputs'!$B$10)+'Inputs'!$B$9)^2+('Inputs'!$B$8/2)^2)-((U19+'Inputs'!$B$21+'Inputs'!$B$7+'Inputs'!$B$10))/SQRT(((U19+'Inputs'!$B$21+'Inputs'!$B$7+'Inputs'!$B$10))^2+('Inputs'!$B$8/2)^2))))*'Results'!$B$8*'Results'!$B$9),"")</x:f>
        <x:v>77.27599564843696</x:v>
      </x:c>
      <x:c r="W19" s="22"/>
      <x:c r="X19" s="22"/>
      <x:c r="Y19" s="22" t="n">
        <x:f>IF(AB18&gt;='Results'!B14,AA18,Y18)</x:f>
        <x:v>8.525390625</x:v>
      </x:c>
      <x:c r="Z19" s="22" t="n">
        <x:f>IF(AB18&gt;='Results'!B14,Z18,AA18)</x:f>
        <x:v>8.5302734375</x:v>
      </x:c>
      <x:c r="AA19" s="22" t="n">
        <x:f>(Y19+Z19)/2</x:f>
        <x:v>8.52783203125</x:v>
      </x:c>
      <x:c r="AB19" s="22" t="n">
        <x:f>IF(AND(ISNUMBER('Results'!B7),ISNUMBER('Results'!C7),ISNUMBER('Results'!$B$8),ISNUMBER('Results'!$B$9),ISNUMBER('Inputs'!$B$6),ISNUMBER('Inputs'!$B$7),ISNUMBER('Inputs'!$B$8),ISNUMBER('Inputs'!$B$9),ISNUMBER('Inputs'!$B$10),ISNUMBER('Inputs'!$B$21),ISNUMBER('Inputs'!$B$24),ISNUMBER('Inputs'!$B$28)),((('Results'!B7*(1+'Inputs'!$B$24)*(0.5*(((AA19+'Inputs'!$B$21)+'Inputs'!$B$7)/SQRT(((AA19+'Inputs'!$B$21)+'Inputs'!$B$7)^2+('Inputs'!$B$6/2)^2)-((AA19+'Inputs'!$B$21))/SQRT(((AA19+'Inputs'!$B$21))^2+('Inputs'!$B$6/2)^2)))-'Results'!C7*(1-'Inputs'!$B$24)*(0.5*(((AA19+'Inputs'!$B$21+'Inputs'!$B$7+'Inputs'!$B$10)+'Inputs'!$B$9)/SQRT(((AA19+'Inputs'!$B$21+'Inputs'!$B$7+'Inputs'!$B$10)+'Inputs'!$B$9)^2+('Inputs'!$B$8/2)^2)-((AA19+'Inputs'!$B$21+'Inputs'!$B$7+'Inputs'!$B$10))/SQRT(((AA19+'Inputs'!$B$21+'Inputs'!$B$7+'Inputs'!$B$10))^2+('Inputs'!$B$8/2)^2))))*'Results'!$B$8*'Results'!$B$9)+'Inputs'!$B$28*ABS((('Results'!B7*(1+'Inputs'!$B$24)*(0.5*(((AA19+'Inputs'!$B$21)+'Inputs'!$B$7)/SQRT(((AA19+'Inputs'!$B$21)+'Inputs'!$B$7)^2+('Inputs'!$B$6/2)^2)-((AA19+'Inputs'!$B$21))/SQRT(((AA19+'Inputs'!$B$21))^2+('Inputs'!$B$6/2)^2)))-'Results'!C7*(1-'Inputs'!$B$24)*(0.5*(((AA19+'Inputs'!$B$21+'Inputs'!$B$7+'Inputs'!$B$10)+'Inputs'!$B$9)/SQRT(((AA19+'Inputs'!$B$21+'Inputs'!$B$7+'Inputs'!$B$10)+'Inputs'!$B$9)^2+('Inputs'!$B$8/2)^2)-((AA19+'Inputs'!$B$21+'Inputs'!$B$7+'Inputs'!$B$10))/SQRT(((AA19+'Inputs'!$B$21+'Inputs'!$B$7+'Inputs'!$B$10))^2+('Inputs'!$B$8/2)^2))))*'Results'!$B$8*'Results'!$B$9))),"")</x:f>
        <x:v>66.857611547647</x:v>
      </x:c>
      <x:c r="AC19" s="22"/>
      <x:c r="AD19" s="22"/>
      <x:c r="AE19" s="22" t="n">
        <x:f>IF(AH18&gt;='Results'!C10,AG18,AE18)</x:f>
        <x:v>6.9189453125</x:v>
      </x:c>
      <x:c r="AF19" s="22" t="n">
        <x:f>IF(AH18&gt;='Results'!C10,AF18,AG18)</x:f>
        <x:v>6.923828125</x:v>
      </x:c>
      <x:c r="AG19" s="22" t="n">
        <x:f>(AE19+AF19)/2</x:f>
        <x:v>6.92138671875</x:v>
      </x:c>
      <x:c r="AH19" s="22" t="n">
        <x:f>IF(AND(ISNUMBER('Results'!C7),ISNUMBER('Results'!B7),ISNUMBER('Results'!$B$8),ISNUMBER('Results'!$B$9),ISNUMBER('Inputs'!$B$6),ISNUMBER('Inputs'!$B$7),ISNUMBER('Inputs'!$B$8),ISNUMBER('Inputs'!$B$9),ISNUMBER('Inputs'!$B$10),ISNUMBER('Inputs'!$B$21),ISNUMBER('Inputs'!$B$24),ISNUMBER('Inputs'!$B$28)),(('Results'!C7*(0.5*(((AG19+'Inputs'!$B$21)+'Inputs'!$B$9)/SQRT(((AG19+'Inputs'!$B$21)+'Inputs'!$B$9)^2+('Inputs'!$B$8/2)^2)-((AG19+'Inputs'!$B$21))/SQRT(((AG19+'Inputs'!$B$21))^2+('Inputs'!$B$8/2)^2)))-'Results'!B7*(0.5*(((AG19+'Inputs'!$B$21+'Inputs'!$B$9+'Inputs'!$B$10)+'Inputs'!$B$7)/SQRT(((AG19+'Inputs'!$B$21+'Inputs'!$B$9+'Inputs'!$B$10)+'Inputs'!$B$7)^2+('Inputs'!$B$6/2)^2)-((AG19+'Inputs'!$B$21+'Inputs'!$B$9+'Inputs'!$B$10))/SQRT(((AG19+'Inputs'!$B$21+'Inputs'!$B$9+'Inputs'!$B$10))^2+('Inputs'!$B$6/2)^2))))*'Results'!$B$8*'Results'!$B$9),"")</x:f>
        <x:v>104.05638537181511</x:v>
      </x:c>
      <x:c r="AI19" s="22"/>
      <x:c r="AJ19" s="22"/>
      <x:c r="AK19" s="22" t="n">
        <x:f>IF(AN18&gt;='Results'!C12,AM18,AK18)</x:f>
        <x:v>6.3427734375</x:v>
      </x:c>
      <x:c r="AL19" s="22" t="n">
        <x:f>IF(AN18&gt;='Results'!C12,AL18,AM18)</x:f>
        <x:v>6.34765625</x:v>
      </x:c>
      <x:c r="AM19" s="22" t="n">
        <x:f>(AK19+AL19)/2</x:f>
        <x:v>6.34521484375</x:v>
      </x:c>
      <x:c r="AN19" s="22" t="n">
        <x:f>IF(AND(ISNUMBER('Results'!C7),ISNUMBER('Results'!B7),ISNUMBER('Results'!$B$8),ISNUMBER('Results'!$B$9),ISNUMBER('Inputs'!$B$6),ISNUMBER('Inputs'!$B$7),ISNUMBER('Inputs'!$B$8),ISNUMBER('Inputs'!$B$9),ISNUMBER('Inputs'!$B$10),ISNUMBER('Inputs'!$B$21),ISNUMBER('Inputs'!$B$24),ISNUMBER('Inputs'!$B$28)),((('Results'!C7*(1-'Inputs'!$B$24)*(0.5*(((AM19+'Inputs'!$B$21)+'Inputs'!$B$9)/SQRT(((AM19+'Inputs'!$B$21)+'Inputs'!$B$9)^2+('Inputs'!$B$8/2)^2)-((AM19+'Inputs'!$B$21))/SQRT(((AM19+'Inputs'!$B$21))^2+('Inputs'!$B$8/2)^2)))-'Results'!B7*(1+'Inputs'!$B$24)*(0.5*(((AM19+'Inputs'!$B$21+'Inputs'!$B$9+'Inputs'!$B$10)+'Inputs'!$B$7)/SQRT(((AM19+'Inputs'!$B$21+'Inputs'!$B$9+'Inputs'!$B$10)+'Inputs'!$B$7)^2+('Inputs'!$B$6/2)^2)-((AM19+'Inputs'!$B$21+'Inputs'!$B$9+'Inputs'!$B$10))/SQRT(((AM19+'Inputs'!$B$21+'Inputs'!$B$9+'Inputs'!$B$10))^2+('Inputs'!$B$6/2)^2))))*'Results'!$B$8*'Results'!$B$9)-'Inputs'!$B$28*ABS((('Results'!C7*(1-'Inputs'!$B$24)*(0.5*(((AM19+'Inputs'!$B$21)+'Inputs'!$B$9)/SQRT(((AM19+'Inputs'!$B$21)+'Inputs'!$B$9)^2+('Inputs'!$B$8/2)^2)-((AM19+'Inputs'!$B$21))/SQRT(((AM19+'Inputs'!$B$21))^2+('Inputs'!$B$8/2)^2)))-'Results'!B7*(1+'Inputs'!$B$24)*(0.5*(((AM19+'Inputs'!$B$21+'Inputs'!$B$9+'Inputs'!$B$10)+'Inputs'!$B$7)/SQRT(((AM19+'Inputs'!$B$21+'Inputs'!$B$9+'Inputs'!$B$10)+'Inputs'!$B$7)^2+('Inputs'!$B$6/2)^2)-((AM19+'Inputs'!$B$21+'Inputs'!$B$9+'Inputs'!$B$10))/SQRT(((AM19+'Inputs'!$B$21+'Inputs'!$B$9+'Inputs'!$B$10))^2+('Inputs'!$B$6/2)^2))))*'Results'!$B$8*'Results'!$B$9))),"")</x:f>
        <x:v>119.22185008821236</x:v>
      </x:c>
      <x:c r="AO19" s="22"/>
      <x:c r="AP19" s="22"/>
      <x:c r="AQ19" s="22" t="n">
        <x:f>IF(AT18&gt;='Results'!C11,AS18,AQ18)</x:f>
        <x:v>7.548828125</x:v>
      </x:c>
      <x:c r="AR19" s="22" t="n">
        <x:f>IF(AT18&gt;='Results'!C11,AR18,AS18)</x:f>
        <x:v>7.5537109375</x:v>
      </x:c>
      <x:c r="AS19" s="22" t="n">
        <x:f>(AQ19+AR19)/2</x:f>
        <x:v>7.55126953125</x:v>
      </x:c>
      <x:c r="AT19" s="22" t="n">
        <x:f>IF(AND(ISNUMBER('Results'!C7),ISNUMBER('Results'!B7),ISNUMBER('Results'!$B$8),ISNUMBER('Results'!$B$9),ISNUMBER('Inputs'!$B$6),ISNUMBER('Inputs'!$B$7),ISNUMBER('Inputs'!$B$8),ISNUMBER('Inputs'!$B$9),ISNUMBER('Inputs'!$B$10),ISNUMBER('Inputs'!$B$21),ISNUMBER('Inputs'!$B$24),ISNUMBER('Inputs'!$B$28)),((('Results'!C7*(1+'Inputs'!$B$24)*(0.5*(((AS19+'Inputs'!$B$21)+'Inputs'!$B$9)/SQRT(((AS19+'Inputs'!$B$21)+'Inputs'!$B$9)^2+('Inputs'!$B$8/2)^2)-((AS19+'Inputs'!$B$21))/SQRT(((AS19+'Inputs'!$B$21))^2+('Inputs'!$B$8/2)^2)))-'Results'!B7*(1-'Inputs'!$B$24)*(0.5*(((AS19+'Inputs'!$B$21+'Inputs'!$B$9+'Inputs'!$B$10)+'Inputs'!$B$7)/SQRT(((AS19+'Inputs'!$B$21+'Inputs'!$B$9+'Inputs'!$B$10)+'Inputs'!$B$7)^2+('Inputs'!$B$6/2)^2)-((AS19+'Inputs'!$B$21+'Inputs'!$B$9+'Inputs'!$B$10))/SQRT(((AS19+'Inputs'!$B$21+'Inputs'!$B$9+'Inputs'!$B$10))^2+('Inputs'!$B$6/2)^2))))*'Results'!$B$8*'Results'!$B$9)+'Inputs'!$B$28*ABS((('Results'!C7*(1+'Inputs'!$B$24)*(0.5*(((AS19+'Inputs'!$B$21)+'Inputs'!$B$9)/SQRT(((AS19+'Inputs'!$B$21)+'Inputs'!$B$9)^2+('Inputs'!$B$8/2)^2)-((AS19+'Inputs'!$B$21))/SQRT(((AS19+'Inputs'!$B$21))^2+('Inputs'!$B$8/2)^2)))-'Results'!B7*(1-'Inputs'!$B$24)*(0.5*(((AS19+'Inputs'!$B$21+'Inputs'!$B$9+'Inputs'!$B$10)+'Inputs'!$B$7)/SQRT(((AS19+'Inputs'!$B$21+'Inputs'!$B$9+'Inputs'!$B$10)+'Inputs'!$B$7)^2+('Inputs'!$B$6/2)^2)-((AS19+'Inputs'!$B$21+'Inputs'!$B$9+'Inputs'!$B$10))/SQRT(((AS19+'Inputs'!$B$21+'Inputs'!$B$9+'Inputs'!$B$10))^2+('Inputs'!$B$6/2)^2))))*'Results'!$B$8*'Results'!$B$9))),"")</x:f>
        <x:v>89.91047676079637</x:v>
      </x:c>
      <x:c r="AU19" s="22"/>
      <x:c r="AV19" s="22"/>
      <x:c r="AW19" s="22" t="n">
        <x:f>IF(AZ18&gt;='Results'!C13,AY18,AW18)</x:f>
        <x:v>7.578125</x:v>
      </x:c>
      <x:c r="AX19" s="22" t="n">
        <x:f>IF(AZ18&gt;='Results'!C13,AX18,AY18)</x:f>
        <x:v>7.5830078125</x:v>
      </x:c>
      <x:c r="AY19" s="22" t="n">
        <x:f>(AW19+AX19)/2</x:f>
        <x:v>7.58056640625</x:v>
      </x:c>
      <x:c r="AZ19" s="22" t="n">
        <x:f>IF(AND(ISNUMBER('Results'!C7),ISNUMBER('Results'!B7),ISNUMBER('Results'!$B$8),ISNUMBER('Results'!$B$9),ISNUMBER('Inputs'!$B$6),ISNUMBER('Inputs'!$B$7),ISNUMBER('Inputs'!$B$8),ISNUMBER('Inputs'!$B$9),ISNUMBER('Inputs'!$B$10),ISNUMBER('Inputs'!$B$21),ISNUMBER('Inputs'!$B$24),ISNUMBER('Inputs'!$B$28)),(('Results'!C7*(0.5*(((AY19+'Inputs'!$B$21)+'Inputs'!$B$9)/SQRT(((AY19+'Inputs'!$B$21)+'Inputs'!$B$9)^2+('Inputs'!$B$8/2)^2)-((AY19+'Inputs'!$B$21))/SQRT(((AY19+'Inputs'!$B$21))^2+('Inputs'!$B$8/2)^2)))-'Results'!B7*(0.5*(((AY19+'Inputs'!$B$21+'Inputs'!$B$9+'Inputs'!$B$10)+'Inputs'!$B$7)/SQRT(((AY19+'Inputs'!$B$21+'Inputs'!$B$9+'Inputs'!$B$10)+'Inputs'!$B$7)^2+('Inputs'!$B$6/2)^2)-((AY19+'Inputs'!$B$21+'Inputs'!$B$9+'Inputs'!$B$10))/SQRT(((AY19+'Inputs'!$B$21+'Inputs'!$B$9+'Inputs'!$B$10))^2+('Inputs'!$B$6/2)^2))))*'Results'!$B$8*'Results'!$B$9),"")</x:f>
        <x:v>81.66435306763098</x:v>
      </x:c>
      <x:c r="BA19" s="22"/>
      <x:c r="BB19" s="22"/>
      <x:c r="BC19" s="22" t="n">
        <x:f>IF(BF18&gt;='Results'!C14,BE18,BC18)</x:f>
        <x:v>8.2421875</x:v>
      </x:c>
      <x:c r="BD19" s="22" t="n">
        <x:f>IF(BF18&gt;='Results'!C14,BD18,BE18)</x:f>
        <x:v>8.2470703125</x:v>
      </x:c>
      <x:c r="BE19" s="22" t="n">
        <x:f>(BC19+BD19)/2</x:f>
        <x:v>8.24462890625</x:v>
      </x:c>
      <x:c r="BF19" s="22" t="n">
        <x:f>IF(AND(ISNUMBER('Results'!C7),ISNUMBER('Results'!B7),ISNUMBER('Results'!$B$8),ISNUMBER('Results'!$B$9),ISNUMBER('Inputs'!$B$6),ISNUMBER('Inputs'!$B$7),ISNUMBER('Inputs'!$B$8),ISNUMBER('Inputs'!$B$9),ISNUMBER('Inputs'!$B$10),ISNUMBER('Inputs'!$B$21),ISNUMBER('Inputs'!$B$24),ISNUMBER('Inputs'!$B$28)),((('Results'!C7*(1+'Inputs'!$B$24)*(0.5*(((BE19+'Inputs'!$B$21)+'Inputs'!$B$9)/SQRT(((BE19+'Inputs'!$B$21)+'Inputs'!$B$9)^2+('Inputs'!$B$8/2)^2)-((BE19+'Inputs'!$B$21))/SQRT(((BE19+'Inputs'!$B$21))^2+('Inputs'!$B$8/2)^2)))-'Results'!B7*(1-'Inputs'!$B$24)*(0.5*(((BE19+'Inputs'!$B$21+'Inputs'!$B$9+'Inputs'!$B$10)+'Inputs'!$B$7)/SQRT(((BE19+'Inputs'!$B$21+'Inputs'!$B$9+'Inputs'!$B$10)+'Inputs'!$B$7)^2+('Inputs'!$B$6/2)^2)-((BE19+'Inputs'!$B$21+'Inputs'!$B$9+'Inputs'!$B$10))/SQRT(((BE19+'Inputs'!$B$21+'Inputs'!$B$9+'Inputs'!$B$10))^2+('Inputs'!$B$6/2)^2))))*'Results'!$B$8*'Results'!$B$9)+'Inputs'!$B$28*ABS((('Results'!C7*(1+'Inputs'!$B$24)*(0.5*(((BE19+'Inputs'!$B$21)+'Inputs'!$B$9)/SQRT(((BE19+'Inputs'!$B$21)+'Inputs'!$B$9)^2+('Inputs'!$B$8/2)^2)-((BE19+'Inputs'!$B$21))/SQRT(((BE19+'Inputs'!$B$21))^2+('Inputs'!$B$8/2)^2)))-'Results'!B7*(1-'Inputs'!$B$24)*(0.5*(((BE19+'Inputs'!$B$21+'Inputs'!$B$9+'Inputs'!$B$10)+'Inputs'!$B$7)/SQRT(((BE19+'Inputs'!$B$21+'Inputs'!$B$9+'Inputs'!$B$10)+'Inputs'!$B$7)^2+('Inputs'!$B$6/2)^2)-((BE19+'Inputs'!$B$21+'Inputs'!$B$9+'Inputs'!$B$10))/SQRT(((BE19+'Inputs'!$B$21+'Inputs'!$B$9+'Inputs'!$B$10))^2+('Inputs'!$B$6/2)^2))))*'Results'!$B$8*'Results'!$B$9))),"")</x:f>
        <x:v>70.694028868549</x:v>
      </x:c>
      <x:c r="BG19" s="22"/>
      <x:c r="BH19" s="22"/>
    </x:row>
    <x:row r="20" ht="22" customHeight="1">
      <x:c r="A20" s="22" t="n">
        <x:f>IF(D19&gt;='Results'!B10,C19,A19)</x:f>
        <x:v>7.17529296875</x:v>
      </x:c>
      <x:c r="B20" s="22" t="n">
        <x:f>IF(D19&gt;='Results'!B10,B19,C19)</x:f>
        <x:v>7.177734375</x:v>
      </x:c>
      <x:c r="C20" s="22" t="n">
        <x:f>(A20+B20)/2</x:f>
        <x:v>7.176513671875</x:v>
      </x:c>
      <x:c r="D20" s="22" t="n">
        <x:f>IF(AND(ISNUMBER('Results'!B7),ISNUMBER('Results'!C7),ISNUMBER('Results'!$B$8),ISNUMBER('Results'!$B$9),ISNUMBER('Inputs'!$B$6),ISNUMBER('Inputs'!$B$7),ISNUMBER('Inputs'!$B$8),ISNUMBER('Inputs'!$B$9),ISNUMBER('Inputs'!$B$10),ISNUMBER('Inputs'!$B$21),ISNUMBER('Inputs'!$B$24),ISNUMBER('Inputs'!$B$28)),(('Results'!B7*(0.5*(((C20+'Inputs'!$B$21)+'Inputs'!$B$7)/SQRT(((C20+'Inputs'!$B$21)+'Inputs'!$B$7)^2+('Inputs'!$B$6/2)^2)-((C20+'Inputs'!$B$21))/SQRT(((C20+'Inputs'!$B$21))^2+('Inputs'!$B$6/2)^2)))-'Results'!C7*(0.5*(((C20+'Inputs'!$B$21+'Inputs'!$B$7+'Inputs'!$B$10)+'Inputs'!$B$9)/SQRT(((C20+'Inputs'!$B$21+'Inputs'!$B$7+'Inputs'!$B$10)+'Inputs'!$B$9)^2+('Inputs'!$B$8/2)^2)-((C20+'Inputs'!$B$21+'Inputs'!$B$7+'Inputs'!$B$10))/SQRT(((C20+'Inputs'!$B$21+'Inputs'!$B$7+'Inputs'!$B$10))^2+('Inputs'!$B$8/2)^2))))*'Results'!$B$8*'Results'!$B$9),"")</x:f>
        <x:v>98.12146263939177</x:v>
      </x:c>
      <x:c r="E20" s="22"/>
      <x:c r="F20" s="22"/>
      <x:c r="G20" s="22" t="n">
        <x:f>IF(J19&gt;='Results'!B12,I19,G19)</x:f>
        <x:v>6.58447265625</x:v>
      </x:c>
      <x:c r="H20" s="22" t="n">
        <x:f>IF(J19&gt;='Results'!B12,H19,I19)</x:f>
        <x:v>6.5869140625</x:v>
      </x:c>
      <x:c r="I20" s="22" t="n">
        <x:f>(G20+H20)/2</x:f>
        <x:v>6.585693359375</x:v>
      </x:c>
      <x:c r="J20" s="22" t="n">
        <x:f>IF(AND(ISNUMBER('Results'!B7),ISNUMBER('Results'!C7),ISNUMBER('Results'!$B$8),ISNUMBER('Results'!$B$9),ISNUMBER('Inputs'!$B$6),ISNUMBER('Inputs'!$B$7),ISNUMBER('Inputs'!$B$8),ISNUMBER('Inputs'!$B$9),ISNUMBER('Inputs'!$B$10),ISNUMBER('Inputs'!$B$21),ISNUMBER('Inputs'!$B$24),ISNUMBER('Inputs'!$B$28)),((('Results'!B7*(1-'Inputs'!$B$24)*(0.5*(((I20+'Inputs'!$B$21)+'Inputs'!$B$7)/SQRT(((I20+'Inputs'!$B$21)+'Inputs'!$B$7)^2+('Inputs'!$B$6/2)^2)-((I20+'Inputs'!$B$21))/SQRT(((I20+'Inputs'!$B$21))^2+('Inputs'!$B$6/2)^2)))-'Results'!C7*(1+'Inputs'!$B$24)*(0.5*(((I20+'Inputs'!$B$21+'Inputs'!$B$7+'Inputs'!$B$10)+'Inputs'!$B$9)/SQRT(((I20+'Inputs'!$B$21+'Inputs'!$B$7+'Inputs'!$B$10)+'Inputs'!$B$9)^2+('Inputs'!$B$8/2)^2)-((I20+'Inputs'!$B$21+'Inputs'!$B$7+'Inputs'!$B$10))/SQRT(((I20+'Inputs'!$B$21+'Inputs'!$B$7+'Inputs'!$B$10))^2+('Inputs'!$B$8/2)^2))))*'Results'!$B$8*'Results'!$B$9)-'Inputs'!$B$28*ABS((('Results'!B7*(1-'Inputs'!$B$24)*(0.5*(((I20+'Inputs'!$B$21)+'Inputs'!$B$7)/SQRT(((I20+'Inputs'!$B$21)+'Inputs'!$B$7)^2+('Inputs'!$B$6/2)^2)-((I20+'Inputs'!$B$21))/SQRT(((I20+'Inputs'!$B$21))^2+('Inputs'!$B$6/2)^2)))-'Results'!C7*(1+'Inputs'!$B$24)*(0.5*(((I20+'Inputs'!$B$21+'Inputs'!$B$7+'Inputs'!$B$10)+'Inputs'!$B$9)/SQRT(((I20+'Inputs'!$B$21+'Inputs'!$B$7+'Inputs'!$B$10)+'Inputs'!$B$9)^2+('Inputs'!$B$8/2)^2)-((I20+'Inputs'!$B$21+'Inputs'!$B$7+'Inputs'!$B$10))/SQRT(((I20+'Inputs'!$B$21+'Inputs'!$B$7+'Inputs'!$B$10))^2+('Inputs'!$B$8/2)^2))))*'Results'!$B$8*'Results'!$B$9))),"")</x:f>
        <x:v>112.42198348350573</x:v>
      </x:c>
      <x:c r="K20" s="22"/>
      <x:c r="L20" s="22"/>
      <x:c r="M20" s="22" t="n">
        <x:f>IF(P19&gt;='Results'!B11,O19,M19)</x:f>
        <x:v>7.81982421875</x:v>
      </x:c>
      <x:c r="N20" s="22" t="n">
        <x:f>IF(P19&gt;='Results'!B11,N19,O19)</x:f>
        <x:v>7.822265625</x:v>
      </x:c>
      <x:c r="O20" s="22" t="n">
        <x:f>(M20+N20)/2</x:f>
        <x:v>7.821044921875</x:v>
      </x:c>
      <x:c r="P20" s="22" t="n">
        <x:f>IF(AND(ISNUMBER('Results'!B7),ISNUMBER('Results'!C7),ISNUMBER('Results'!$B$8),ISNUMBER('Results'!$B$9),ISNUMBER('Inputs'!$B$6),ISNUMBER('Inputs'!$B$7),ISNUMBER('Inputs'!$B$8),ISNUMBER('Inputs'!$B$9),ISNUMBER('Inputs'!$B$10),ISNUMBER('Inputs'!$B$21),ISNUMBER('Inputs'!$B$24),ISNUMBER('Inputs'!$B$28)),((('Results'!B7*(1+'Inputs'!$B$24)*(0.5*(((O20+'Inputs'!$B$21)+'Inputs'!$B$7)/SQRT(((O20+'Inputs'!$B$21)+'Inputs'!$B$7)^2+('Inputs'!$B$6/2)^2)-((O20+'Inputs'!$B$21))/SQRT(((O20+'Inputs'!$B$21))^2+('Inputs'!$B$6/2)^2)))-'Results'!C7*(1-'Inputs'!$B$24)*(0.5*(((O20+'Inputs'!$B$21+'Inputs'!$B$7+'Inputs'!$B$10)+'Inputs'!$B$9)/SQRT(((O20+'Inputs'!$B$21+'Inputs'!$B$7+'Inputs'!$B$10)+'Inputs'!$B$9)^2+('Inputs'!$B$8/2)^2)-((O20+'Inputs'!$B$21+'Inputs'!$B$7+'Inputs'!$B$10))/SQRT(((O20+'Inputs'!$B$21+'Inputs'!$B$7+'Inputs'!$B$10))^2+('Inputs'!$B$8/2)^2))))*'Results'!$B$8*'Results'!$B$9)+'Inputs'!$B$28*ABS((('Results'!B7*(1+'Inputs'!$B$24)*(0.5*(((O20+'Inputs'!$B$21)+'Inputs'!$B$7)/SQRT(((O20+'Inputs'!$B$21)+'Inputs'!$B$7)^2+('Inputs'!$B$6/2)^2)-((O20+'Inputs'!$B$21))/SQRT(((O20+'Inputs'!$B$21))^2+('Inputs'!$B$6/2)^2)))-'Results'!C7*(1-'Inputs'!$B$24)*(0.5*(((O20+'Inputs'!$B$21+'Inputs'!$B$7+'Inputs'!$B$10)+'Inputs'!$B$9)/SQRT(((O20+'Inputs'!$B$21+'Inputs'!$B$7+'Inputs'!$B$10)+'Inputs'!$B$9)^2+('Inputs'!$B$8/2)^2)-((O20+'Inputs'!$B$21+'Inputs'!$B$7+'Inputs'!$B$10))/SQRT(((O20+'Inputs'!$B$21+'Inputs'!$B$7+'Inputs'!$B$10))^2+('Inputs'!$B$8/2)^2))))*'Results'!$B$8*'Results'!$B$9))),"")</x:f>
        <x:v>84.84333887531608</x:v>
      </x:c>
      <x:c r="Q20" s="22"/>
      <x:c r="R20" s="22"/>
      <x:c r="S20" s="22" t="n">
        <x:f>IF(V19&gt;='Results'!B13,U19,S19)</x:f>
        <x:v>7.84423828125</x:v>
      </x:c>
      <x:c r="T20" s="22" t="n">
        <x:f>IF(V19&gt;='Results'!B13,T19,U19)</x:f>
        <x:v>7.8466796875</x:v>
      </x:c>
      <x:c r="U20" s="22" t="n">
        <x:f>(S20+T20)/2</x:f>
        <x:v>7.845458984375</x:v>
      </x:c>
      <x:c r="V20" s="22" t="n">
        <x:f>IF(AND(ISNUMBER('Results'!B7),ISNUMBER('Results'!C7),ISNUMBER('Results'!$B$8),ISNUMBER('Results'!$B$9),ISNUMBER('Inputs'!$B$6),ISNUMBER('Inputs'!$B$7),ISNUMBER('Inputs'!$B$8),ISNUMBER('Inputs'!$B$9),ISNUMBER('Inputs'!$B$10),ISNUMBER('Inputs'!$B$21),ISNUMBER('Inputs'!$B$24),ISNUMBER('Inputs'!$B$28)),(('Results'!B7*(0.5*(((U20+'Inputs'!$B$21)+'Inputs'!$B$7)/SQRT(((U20+'Inputs'!$B$21)+'Inputs'!$B$7)^2+('Inputs'!$B$6/2)^2)-((U20+'Inputs'!$B$21))/SQRT(((U20+'Inputs'!$B$21))^2+('Inputs'!$B$6/2)^2)))-'Results'!C7*(0.5*(((U20+'Inputs'!$B$21+'Inputs'!$B$7+'Inputs'!$B$10)+'Inputs'!$B$9)/SQRT(((U20+'Inputs'!$B$21+'Inputs'!$B$7+'Inputs'!$B$10)+'Inputs'!$B$9)^2+('Inputs'!$B$8/2)^2)-((U20+'Inputs'!$B$21+'Inputs'!$B$7+'Inputs'!$B$10))/SQRT(((U20+'Inputs'!$B$21+'Inputs'!$B$7+'Inputs'!$B$10))^2+('Inputs'!$B$8/2)^2))))*'Results'!$B$8*'Results'!$B$9),"")</x:f>
        <x:v>77.24315977046722</x:v>
      </x:c>
      <x:c r="W20" s="22"/>
      <x:c r="X20" s="22"/>
      <x:c r="Y20" s="22" t="n">
        <x:f>IF(AB19&gt;='Results'!B14,AA19,Y19)</x:f>
        <x:v>8.525390625</x:v>
      </x:c>
      <x:c r="Z20" s="22" t="n">
        <x:f>IF(AB19&gt;='Results'!B14,Z19,AA19)</x:f>
        <x:v>8.52783203125</x:v>
      </x:c>
      <x:c r="AA20" s="22" t="n">
        <x:f>(Y20+Z20)/2</x:f>
        <x:v>8.526611328125</x:v>
      </x:c>
      <x:c r="AB20" s="22" t="n">
        <x:f>IF(AND(ISNUMBER('Results'!B7),ISNUMBER('Results'!C7),ISNUMBER('Results'!$B$8),ISNUMBER('Results'!$B$9),ISNUMBER('Inputs'!$B$6),ISNUMBER('Inputs'!$B$7),ISNUMBER('Inputs'!$B$8),ISNUMBER('Inputs'!$B$9),ISNUMBER('Inputs'!$B$10),ISNUMBER('Inputs'!$B$21),ISNUMBER('Inputs'!$B$24),ISNUMBER('Inputs'!$B$28)),((('Results'!B7*(1+'Inputs'!$B$24)*(0.5*(((AA20+'Inputs'!$B$21)+'Inputs'!$B$7)/SQRT(((AA20+'Inputs'!$B$21)+'Inputs'!$B$7)^2+('Inputs'!$B$6/2)^2)-((AA20+'Inputs'!$B$21))/SQRT(((AA20+'Inputs'!$B$21))^2+('Inputs'!$B$6/2)^2)))-'Results'!C7*(1-'Inputs'!$B$24)*(0.5*(((AA20+'Inputs'!$B$21+'Inputs'!$B$7+'Inputs'!$B$10)+'Inputs'!$B$9)/SQRT(((AA20+'Inputs'!$B$21+'Inputs'!$B$7+'Inputs'!$B$10)+'Inputs'!$B$9)^2+('Inputs'!$B$8/2)^2)-((AA20+'Inputs'!$B$21+'Inputs'!$B$7+'Inputs'!$B$10))/SQRT(((AA20+'Inputs'!$B$21+'Inputs'!$B$7+'Inputs'!$B$10))^2+('Inputs'!$B$8/2)^2))))*'Results'!$B$8*'Results'!$B$9)+'Inputs'!$B$28*ABS((('Results'!B7*(1+'Inputs'!$B$24)*(0.5*(((AA20+'Inputs'!$B$21)+'Inputs'!$B$7)/SQRT(((AA20+'Inputs'!$B$21)+'Inputs'!$B$7)^2+('Inputs'!$B$6/2)^2)-((AA20+'Inputs'!$B$21))/SQRT(((AA20+'Inputs'!$B$21))^2+('Inputs'!$B$6/2)^2)))-'Results'!C7*(1-'Inputs'!$B$24)*(0.5*(((AA20+'Inputs'!$B$21+'Inputs'!$B$7+'Inputs'!$B$10)+'Inputs'!$B$9)/SQRT(((AA20+'Inputs'!$B$21+'Inputs'!$B$7+'Inputs'!$B$10)+'Inputs'!$B$9)^2+('Inputs'!$B$8/2)^2)-((AA20+'Inputs'!$B$21+'Inputs'!$B$7+'Inputs'!$B$10))/SQRT(((AA20+'Inputs'!$B$21+'Inputs'!$B$7+'Inputs'!$B$10))^2+('Inputs'!$B$8/2)^2))))*'Results'!$B$8*'Results'!$B$9))),"")</x:f>
        <x:v>66.88437267413548</x:v>
      </x:c>
      <x:c r="AC20" s="22"/>
      <x:c r="AD20" s="22"/>
      <x:c r="AE20" s="22" t="n">
        <x:f>IF(AH19&gt;='Results'!C10,AG19,AE19)</x:f>
        <x:v>6.92138671875</x:v>
      </x:c>
      <x:c r="AF20" s="22" t="n">
        <x:f>IF(AH19&gt;='Results'!C10,AF19,AG19)</x:f>
        <x:v>6.923828125</x:v>
      </x:c>
      <x:c r="AG20" s="22" t="n">
        <x:f>(AE20+AF20)/2</x:f>
        <x:v>6.922607421875</x:v>
      </x:c>
      <x:c r="AH20" s="22" t="n">
        <x:f>IF(AND(ISNUMBER('Results'!C7),ISNUMBER('Results'!B7),ISNUMBER('Results'!$B$8),ISNUMBER('Results'!$B$9),ISNUMBER('Inputs'!$B$6),ISNUMBER('Inputs'!$B$7),ISNUMBER('Inputs'!$B$8),ISNUMBER('Inputs'!$B$9),ISNUMBER('Inputs'!$B$10),ISNUMBER('Inputs'!$B$21),ISNUMBER('Inputs'!$B$24),ISNUMBER('Inputs'!$B$28)),(('Results'!C7*(0.5*(((AG20+'Inputs'!$B$21)+'Inputs'!$B$9)/SQRT(((AG20+'Inputs'!$B$21)+'Inputs'!$B$9)^2+('Inputs'!$B$8/2)^2)-((AG20+'Inputs'!$B$21))/SQRT(((AG20+'Inputs'!$B$21))^2+('Inputs'!$B$8/2)^2)))-'Results'!B7*(0.5*(((AG20+'Inputs'!$B$21+'Inputs'!$B$9+'Inputs'!$B$10)+'Inputs'!$B$7)/SQRT(((AG20+'Inputs'!$B$21+'Inputs'!$B$9+'Inputs'!$B$10)+'Inputs'!$B$7)^2+('Inputs'!$B$6/2)^2)-((AG20+'Inputs'!$B$21+'Inputs'!$B$9+'Inputs'!$B$10))/SQRT(((AG20+'Inputs'!$B$21+'Inputs'!$B$9+'Inputs'!$B$10))^2+('Inputs'!$B$6/2)^2))))*'Results'!$B$8*'Results'!$B$9),"")</x:f>
        <x:v>104.00845110194177</x:v>
      </x:c>
      <x:c r="AI20" s="22"/>
      <x:c r="AJ20" s="22"/>
      <x:c r="AK20" s="22" t="n">
        <x:f>IF(AN19&gt;='Results'!C12,AM19,AK19)</x:f>
        <x:v>6.34521484375</x:v>
      </x:c>
      <x:c r="AL20" s="22" t="n">
        <x:f>IF(AN19&gt;='Results'!C12,AL19,AM19)</x:f>
        <x:v>6.34765625</x:v>
      </x:c>
      <x:c r="AM20" s="22" t="n">
        <x:f>(AK20+AL20)/2</x:f>
        <x:v>6.346435546875</x:v>
      </x:c>
      <x:c r="AN20" s="22" t="n">
        <x:f>IF(AND(ISNUMBER('Results'!C7),ISNUMBER('Results'!B7),ISNUMBER('Results'!$B$8),ISNUMBER('Results'!$B$9),ISNUMBER('Inputs'!$B$6),ISNUMBER('Inputs'!$B$7),ISNUMBER('Inputs'!$B$8),ISNUMBER('Inputs'!$B$9),ISNUMBER('Inputs'!$B$10),ISNUMBER('Inputs'!$B$21),ISNUMBER('Inputs'!$B$24),ISNUMBER('Inputs'!$B$28)),((('Results'!C7*(1-'Inputs'!$B$24)*(0.5*(((AM20+'Inputs'!$B$21)+'Inputs'!$B$9)/SQRT(((AM20+'Inputs'!$B$21)+'Inputs'!$B$9)^2+('Inputs'!$B$8/2)^2)-((AM20+'Inputs'!$B$21))/SQRT(((AM20+'Inputs'!$B$21))^2+('Inputs'!$B$8/2)^2)))-'Results'!B7*(1+'Inputs'!$B$24)*(0.5*(((AM20+'Inputs'!$B$21+'Inputs'!$B$9+'Inputs'!$B$10)+'Inputs'!$B$7)/SQRT(((AM20+'Inputs'!$B$21+'Inputs'!$B$9+'Inputs'!$B$10)+'Inputs'!$B$7)^2+('Inputs'!$B$6/2)^2)-((AM20+'Inputs'!$B$21+'Inputs'!$B$9+'Inputs'!$B$10))/SQRT(((AM20+'Inputs'!$B$21+'Inputs'!$B$9+'Inputs'!$B$10))^2+('Inputs'!$B$6/2)^2))))*'Results'!$B$8*'Results'!$B$9)-'Inputs'!$B$28*ABS((('Results'!C7*(1-'Inputs'!$B$24)*(0.5*(((AM20+'Inputs'!$B$21)+'Inputs'!$B$9)/SQRT(((AM20+'Inputs'!$B$21)+'Inputs'!$B$9)^2+('Inputs'!$B$8/2)^2)-((AM20+'Inputs'!$B$21))/SQRT(((AM20+'Inputs'!$B$21))^2+('Inputs'!$B$8/2)^2)))-'Results'!B7*(1+'Inputs'!$B$24)*(0.5*(((AM20+'Inputs'!$B$21+'Inputs'!$B$9+'Inputs'!$B$10)+'Inputs'!$B$7)/SQRT(((AM20+'Inputs'!$B$21+'Inputs'!$B$9+'Inputs'!$B$10)+'Inputs'!$B$7)^2+('Inputs'!$B$6/2)^2)-((AM20+'Inputs'!$B$21+'Inputs'!$B$9+'Inputs'!$B$10))/SQRT(((AM20+'Inputs'!$B$21+'Inputs'!$B$9+'Inputs'!$B$10))^2+('Inputs'!$B$6/2)^2))))*'Results'!$B$8*'Results'!$B$9))),"")</x:f>
        <x:v>119.16393131428536</x:v>
      </x:c>
      <x:c r="AO20" s="22"/>
      <x:c r="AP20" s="22"/>
      <x:c r="AQ20" s="22" t="n">
        <x:f>IF(AT19&gt;='Results'!C11,AS19,AQ19)</x:f>
        <x:v>7.548828125</x:v>
      </x:c>
      <x:c r="AR20" s="22" t="n">
        <x:f>IF(AT19&gt;='Results'!C11,AR19,AS19)</x:f>
        <x:v>7.55126953125</x:v>
      </x:c>
      <x:c r="AS20" s="22" t="n">
        <x:f>(AQ20+AR20)/2</x:f>
        <x:v>7.550048828125</x:v>
      </x:c>
      <x:c r="AT20" s="22" t="n">
        <x:f>IF(AND(ISNUMBER('Results'!C7),ISNUMBER('Results'!B7),ISNUMBER('Results'!$B$8),ISNUMBER('Results'!$B$9),ISNUMBER('Inputs'!$B$6),ISNUMBER('Inputs'!$B$7),ISNUMBER('Inputs'!$B$8),ISNUMBER('Inputs'!$B$9),ISNUMBER('Inputs'!$B$10),ISNUMBER('Inputs'!$B$21),ISNUMBER('Inputs'!$B$24),ISNUMBER('Inputs'!$B$28)),((('Results'!C7*(1+'Inputs'!$B$24)*(0.5*(((AS20+'Inputs'!$B$21)+'Inputs'!$B$9)/SQRT(((AS20+'Inputs'!$B$21)+'Inputs'!$B$9)^2+('Inputs'!$B$8/2)^2)-((AS20+'Inputs'!$B$21))/SQRT(((AS20+'Inputs'!$B$21))^2+('Inputs'!$B$8/2)^2)))-'Results'!B7*(1-'Inputs'!$B$24)*(0.5*(((AS20+'Inputs'!$B$21+'Inputs'!$B$9+'Inputs'!$B$10)+'Inputs'!$B$7)/SQRT(((AS20+'Inputs'!$B$21+'Inputs'!$B$9+'Inputs'!$B$10)+'Inputs'!$B$7)^2+('Inputs'!$B$6/2)^2)-((AS20+'Inputs'!$B$21+'Inputs'!$B$9+'Inputs'!$B$10))/SQRT(((AS20+'Inputs'!$B$21+'Inputs'!$B$9+'Inputs'!$B$10))^2+('Inputs'!$B$6/2)^2))))*'Results'!$B$8*'Results'!$B$9)+'Inputs'!$B$28*ABS((('Results'!C7*(1+'Inputs'!$B$24)*(0.5*(((AS20+'Inputs'!$B$21)+'Inputs'!$B$9)/SQRT(((AS20+'Inputs'!$B$21)+'Inputs'!$B$9)^2+('Inputs'!$B$8/2)^2)-((AS20+'Inputs'!$B$21))/SQRT(((AS20+'Inputs'!$B$21))^2+('Inputs'!$B$8/2)^2)))-'Results'!B7*(1-'Inputs'!$B$24)*(0.5*(((AS20+'Inputs'!$B$21+'Inputs'!$B$9+'Inputs'!$B$10)+'Inputs'!$B$7)/SQRT(((AS20+'Inputs'!$B$21+'Inputs'!$B$9+'Inputs'!$B$10)+'Inputs'!$B$7)^2+('Inputs'!$B$6/2)^2)-((AS20+'Inputs'!$B$21+'Inputs'!$B$9+'Inputs'!$B$10))/SQRT(((AS20+'Inputs'!$B$21+'Inputs'!$B$9+'Inputs'!$B$10))^2+('Inputs'!$B$6/2)^2))))*'Results'!$B$8*'Results'!$B$9))),"")</x:f>
        <x:v>89.94960905642695</x:v>
      </x:c>
      <x:c r="AU20" s="22"/>
      <x:c r="AV20" s="22"/>
      <x:c r="AW20" s="22" t="n">
        <x:f>IF(AZ19&gt;='Results'!C13,AY19,AW19)</x:f>
        <x:v>7.58056640625</x:v>
      </x:c>
      <x:c r="AX20" s="22" t="n">
        <x:f>IF(AZ19&gt;='Results'!C13,AX19,AY19)</x:f>
        <x:v>7.5830078125</x:v>
      </x:c>
      <x:c r="AY20" s="22" t="n">
        <x:f>(AW20+AX20)/2</x:f>
        <x:v>7.581787109375</x:v>
      </x:c>
      <x:c r="AZ20" s="22" t="n">
        <x:f>IF(AND(ISNUMBER('Results'!C7),ISNUMBER('Results'!B7),ISNUMBER('Results'!$B$8),ISNUMBER('Results'!$B$9),ISNUMBER('Inputs'!$B$6),ISNUMBER('Inputs'!$B$7),ISNUMBER('Inputs'!$B$8),ISNUMBER('Inputs'!$B$9),ISNUMBER('Inputs'!$B$10),ISNUMBER('Inputs'!$B$21),ISNUMBER('Inputs'!$B$24),ISNUMBER('Inputs'!$B$28)),(('Results'!C7*(0.5*(((AY20+'Inputs'!$B$21)+'Inputs'!$B$9)/SQRT(((AY20+'Inputs'!$B$21)+'Inputs'!$B$9)^2+('Inputs'!$B$8/2)^2)-((AY20+'Inputs'!$B$21))/SQRT(((AY20+'Inputs'!$B$21))^2+('Inputs'!$B$8/2)^2)))-'Results'!B7*(0.5*(((AY20+'Inputs'!$B$21+'Inputs'!$B$9+'Inputs'!$B$10)+'Inputs'!$B$7)/SQRT(((AY20+'Inputs'!$B$21+'Inputs'!$B$9+'Inputs'!$B$10)+'Inputs'!$B$7)^2+('Inputs'!$B$6/2)^2)-((AY20+'Inputs'!$B$21+'Inputs'!$B$9+'Inputs'!$B$10))/SQRT(((AY20+'Inputs'!$B$21+'Inputs'!$B$9+'Inputs'!$B$10))^2+('Inputs'!$B$6/2)^2))))*'Results'!$B$8*'Results'!$B$9),"")</x:f>
        <x:v>81.62867681100914</x:v>
      </x:c>
      <x:c r="BA20" s="22"/>
      <x:c r="BB20" s="22"/>
      <x:c r="BC20" s="22" t="n">
        <x:f>IF(BF19&gt;='Results'!C14,BE19,BC19)</x:f>
        <x:v>8.24462890625</x:v>
      </x:c>
      <x:c r="BD20" s="22" t="n">
        <x:f>IF(BF19&gt;='Results'!C14,BD19,BE19)</x:f>
        <x:v>8.2470703125</x:v>
      </x:c>
      <x:c r="BE20" s="22" t="n">
        <x:f>(BC20+BD20)/2</x:f>
        <x:v>8.245849609375</x:v>
      </x:c>
      <x:c r="BF20" s="22" t="n">
        <x:f>IF(AND(ISNUMBER('Results'!C7),ISNUMBER('Results'!B7),ISNUMBER('Results'!$B$8),ISNUMBER('Results'!$B$9),ISNUMBER('Inputs'!$B$6),ISNUMBER('Inputs'!$B$7),ISNUMBER('Inputs'!$B$8),ISNUMBER('Inputs'!$B$9),ISNUMBER('Inputs'!$B$10),ISNUMBER('Inputs'!$B$21),ISNUMBER('Inputs'!$B$24),ISNUMBER('Inputs'!$B$28)),((('Results'!C7*(1+'Inputs'!$B$24)*(0.5*(((BE20+'Inputs'!$B$21)+'Inputs'!$B$9)/SQRT(((BE20+'Inputs'!$B$21)+'Inputs'!$B$9)^2+('Inputs'!$B$8/2)^2)-((BE20+'Inputs'!$B$21))/SQRT(((BE20+'Inputs'!$B$21))^2+('Inputs'!$B$8/2)^2)))-'Results'!B7*(1-'Inputs'!$B$24)*(0.5*(((BE20+'Inputs'!$B$21+'Inputs'!$B$9+'Inputs'!$B$10)+'Inputs'!$B$7)/SQRT(((BE20+'Inputs'!$B$21+'Inputs'!$B$9+'Inputs'!$B$10)+'Inputs'!$B$7)^2+('Inputs'!$B$6/2)^2)-((BE20+'Inputs'!$B$21+'Inputs'!$B$9+'Inputs'!$B$10))/SQRT(((BE20+'Inputs'!$B$21+'Inputs'!$B$9+'Inputs'!$B$10))^2+('Inputs'!$B$6/2)^2))))*'Results'!$B$8*'Results'!$B$9)+'Inputs'!$B$28*ABS((('Results'!C7*(1+'Inputs'!$B$24)*(0.5*(((BE20+'Inputs'!$B$21)+'Inputs'!$B$9)/SQRT(((BE20+'Inputs'!$B$21)+'Inputs'!$B$9)^2+('Inputs'!$B$8/2)^2)-((BE20+'Inputs'!$B$21))/SQRT(((BE20+'Inputs'!$B$21))^2+('Inputs'!$B$8/2)^2)))-'Results'!B7*(1-'Inputs'!$B$24)*(0.5*(((BE20+'Inputs'!$B$21+'Inputs'!$B$9+'Inputs'!$B$10)+'Inputs'!$B$7)/SQRT(((BE20+'Inputs'!$B$21+'Inputs'!$B$9+'Inputs'!$B$10)+'Inputs'!$B$7)^2+('Inputs'!$B$6/2)^2)-((BE20+'Inputs'!$B$21+'Inputs'!$B$9+'Inputs'!$B$10))/SQRT(((BE20+'Inputs'!$B$21+'Inputs'!$B$9+'Inputs'!$B$10))^2+('Inputs'!$B$6/2)^2))))*'Results'!$B$8*'Results'!$B$9))),"")</x:f>
        <x:v>70.66491875072651</x:v>
      </x:c>
      <x:c r="BG20" s="22"/>
      <x:c r="BH20" s="22"/>
    </x:row>
    <x:row r="21" ht="22" customHeight="1">
      <x:c r="A21" s="22" t="n">
        <x:f>IF(D20&gt;='Results'!B10,C20,A20)</x:f>
        <x:v>7.176513671875</x:v>
      </x:c>
      <x:c r="B21" s="22" t="n">
        <x:f>IF(D20&gt;='Results'!B10,B20,C20)</x:f>
        <x:v>7.177734375</x:v>
      </x:c>
      <x:c r="C21" s="22" t="n">
        <x:f>(A21+B21)/2</x:f>
        <x:v>7.1771240234375</x:v>
      </x:c>
      <x:c r="D21" s="22" t="n">
        <x:f>IF(AND(ISNUMBER('Results'!B7),ISNUMBER('Results'!C7),ISNUMBER('Results'!$B$8),ISNUMBER('Results'!$B$9),ISNUMBER('Inputs'!$B$6),ISNUMBER('Inputs'!$B$7),ISNUMBER('Inputs'!$B$8),ISNUMBER('Inputs'!$B$9),ISNUMBER('Inputs'!$B$10),ISNUMBER('Inputs'!$B$21),ISNUMBER('Inputs'!$B$24),ISNUMBER('Inputs'!$B$28)),(('Results'!B7*(0.5*(((C21+'Inputs'!$B$21)+'Inputs'!$B$7)/SQRT(((C21+'Inputs'!$B$21)+'Inputs'!$B$7)^2+('Inputs'!$B$6/2)^2)-((C21+'Inputs'!$B$21))/SQRT(((C21+'Inputs'!$B$21))^2+('Inputs'!$B$6/2)^2)))-'Results'!C7*(0.5*(((C21+'Inputs'!$B$21+'Inputs'!$B$7+'Inputs'!$B$10)+'Inputs'!$B$9)/SQRT(((C21+'Inputs'!$B$21+'Inputs'!$B$7+'Inputs'!$B$10)+'Inputs'!$B$9)^2+('Inputs'!$B$8/2)^2)-((C21+'Inputs'!$B$21+'Inputs'!$B$7+'Inputs'!$B$10))/SQRT(((C21+'Inputs'!$B$21+'Inputs'!$B$7+'Inputs'!$B$10))^2+('Inputs'!$B$8/2)^2))))*'Results'!$B$8*'Results'!$B$9),"")</x:f>
        <x:v>98.09946213511662</x:v>
      </x:c>
      <x:c r="E21" s="22"/>
      <x:c r="F21" s="22"/>
      <x:c r="G21" s="22" t="n">
        <x:f>IF(J20&gt;='Results'!B12,I20,G20)</x:f>
        <x:v>6.585693359375</x:v>
      </x:c>
      <x:c r="H21" s="22" t="n">
        <x:f>IF(J20&gt;='Results'!B12,H20,I20)</x:f>
        <x:v>6.5869140625</x:v>
      </x:c>
      <x:c r="I21" s="22" t="n">
        <x:f>(G21+H21)/2</x:f>
        <x:v>6.5863037109375</x:v>
      </x:c>
      <x:c r="J21" s="22" t="n">
        <x:f>IF(AND(ISNUMBER('Results'!B7),ISNUMBER('Results'!C7),ISNUMBER('Results'!$B$8),ISNUMBER('Results'!$B$9),ISNUMBER('Inputs'!$B$6),ISNUMBER('Inputs'!$B$7),ISNUMBER('Inputs'!$B$8),ISNUMBER('Inputs'!$B$9),ISNUMBER('Inputs'!$B$10),ISNUMBER('Inputs'!$B$21),ISNUMBER('Inputs'!$B$24),ISNUMBER('Inputs'!$B$28)),((('Results'!B7*(1-'Inputs'!$B$24)*(0.5*(((I21+'Inputs'!$B$21)+'Inputs'!$B$7)/SQRT(((I21+'Inputs'!$B$21)+'Inputs'!$B$7)^2+('Inputs'!$B$6/2)^2)-((I21+'Inputs'!$B$21))/SQRT(((I21+'Inputs'!$B$21))^2+('Inputs'!$B$6/2)^2)))-'Results'!C7*(1+'Inputs'!$B$24)*(0.5*(((I21+'Inputs'!$B$21+'Inputs'!$B$7+'Inputs'!$B$10)+'Inputs'!$B$9)/SQRT(((I21+'Inputs'!$B$21+'Inputs'!$B$7+'Inputs'!$B$10)+'Inputs'!$B$9)^2+('Inputs'!$B$8/2)^2)-((I21+'Inputs'!$B$21+'Inputs'!$B$7+'Inputs'!$B$10))/SQRT(((I21+'Inputs'!$B$21+'Inputs'!$B$7+'Inputs'!$B$10))^2+('Inputs'!$B$8/2)^2))))*'Results'!$B$8*'Results'!$B$9)-'Inputs'!$B$28*ABS((('Results'!B7*(1-'Inputs'!$B$24)*(0.5*(((I21+'Inputs'!$B$21)+'Inputs'!$B$7)/SQRT(((I21+'Inputs'!$B$21)+'Inputs'!$B$7)^2+('Inputs'!$B$6/2)^2)-((I21+'Inputs'!$B$21))/SQRT(((I21+'Inputs'!$B$21))^2+('Inputs'!$B$6/2)^2)))-'Results'!C7*(1+'Inputs'!$B$24)*(0.5*(((I21+'Inputs'!$B$21+'Inputs'!$B$7+'Inputs'!$B$10)+'Inputs'!$B$9)/SQRT(((I21+'Inputs'!$B$21+'Inputs'!$B$7+'Inputs'!$B$10)+'Inputs'!$B$9)^2+('Inputs'!$B$8/2)^2)-((I21+'Inputs'!$B$21+'Inputs'!$B$7+'Inputs'!$B$10))/SQRT(((I21+'Inputs'!$B$21+'Inputs'!$B$7+'Inputs'!$B$10))^2+('Inputs'!$B$8/2)^2))))*'Results'!$B$8*'Results'!$B$9))),"")</x:f>
        <x:v>112.39536766416634</x:v>
      </x:c>
      <x:c r="K21" s="22"/>
      <x:c r="L21" s="22"/>
      <x:c r="M21" s="22" t="n">
        <x:f>IF(P20&gt;='Results'!B11,O20,M20)</x:f>
        <x:v>7.821044921875</x:v>
      </x:c>
      <x:c r="N21" s="22" t="n">
        <x:f>IF(P20&gt;='Results'!B11,N20,O20)</x:f>
        <x:v>7.822265625</x:v>
      </x:c>
      <x:c r="O21" s="22" t="n">
        <x:f>(M21+N21)/2</x:f>
        <x:v>7.8216552734375</x:v>
      </x:c>
      <x:c r="P21" s="22" t="n">
        <x:f>IF(AND(ISNUMBER('Results'!B7),ISNUMBER('Results'!C7),ISNUMBER('Results'!$B$8),ISNUMBER('Results'!$B$9),ISNUMBER('Inputs'!$B$6),ISNUMBER('Inputs'!$B$7),ISNUMBER('Inputs'!$B$8),ISNUMBER('Inputs'!$B$9),ISNUMBER('Inputs'!$B$10),ISNUMBER('Inputs'!$B$21),ISNUMBER('Inputs'!$B$24),ISNUMBER('Inputs'!$B$28)),((('Results'!B7*(1+'Inputs'!$B$24)*(0.5*(((O21+'Inputs'!$B$21)+'Inputs'!$B$7)/SQRT(((O21+'Inputs'!$B$21)+'Inputs'!$B$7)^2+('Inputs'!$B$6/2)^2)-((O21+'Inputs'!$B$21))/SQRT(((O21+'Inputs'!$B$21))^2+('Inputs'!$B$6/2)^2)))-'Results'!C7*(1-'Inputs'!$B$24)*(0.5*(((O21+'Inputs'!$B$21+'Inputs'!$B$7+'Inputs'!$B$10)+'Inputs'!$B$9)/SQRT(((O21+'Inputs'!$B$21+'Inputs'!$B$7+'Inputs'!$B$10)+'Inputs'!$B$9)^2+('Inputs'!$B$8/2)^2)-((O21+'Inputs'!$B$21+'Inputs'!$B$7+'Inputs'!$B$10))/SQRT(((O21+'Inputs'!$B$21+'Inputs'!$B$7+'Inputs'!$B$10))^2+('Inputs'!$B$8/2)^2))))*'Results'!$B$8*'Results'!$B$9)+'Inputs'!$B$28*ABS((('Results'!B7*(1+'Inputs'!$B$24)*(0.5*(((O21+'Inputs'!$B$21)+'Inputs'!$B$7)/SQRT(((O21+'Inputs'!$B$21)+'Inputs'!$B$7)^2+('Inputs'!$B$6/2)^2)-((O21+'Inputs'!$B$21))/SQRT(((O21+'Inputs'!$B$21))^2+('Inputs'!$B$6/2)^2)))-'Results'!C7*(1-'Inputs'!$B$24)*(0.5*(((O21+'Inputs'!$B$21+'Inputs'!$B$7+'Inputs'!$B$10)+'Inputs'!$B$9)/SQRT(((O21+'Inputs'!$B$21+'Inputs'!$B$7+'Inputs'!$B$10)+'Inputs'!$B$9)^2+('Inputs'!$B$8/2)^2)-((O21+'Inputs'!$B$21+'Inputs'!$B$7+'Inputs'!$B$10))/SQRT(((O21+'Inputs'!$B$21+'Inputs'!$B$7+'Inputs'!$B$10))^2+('Inputs'!$B$8/2)^2))))*'Results'!$B$8*'Results'!$B$9))),"")</x:f>
        <x:v>84.82539210905774</x:v>
      </x:c>
      <x:c r="Q21" s="22"/>
      <x:c r="R21" s="22"/>
      <x:c r="S21" s="22" t="n">
        <x:f>IF(V20&gt;='Results'!B13,U20,S20)</x:f>
        <x:v>7.84423828125</x:v>
      </x:c>
      <x:c r="T21" s="22" t="n">
        <x:f>IF(V20&gt;='Results'!B13,T20,U20)</x:f>
        <x:v>7.845458984375</x:v>
      </x:c>
      <x:c r="U21" s="22" t="n">
        <x:f>(S21+T21)/2</x:f>
        <x:v>7.8448486328125</x:v>
      </x:c>
      <x:c r="V21" s="22" t="n">
        <x:f>IF(AND(ISNUMBER('Results'!B7),ISNUMBER('Results'!C7),ISNUMBER('Results'!$B$8),ISNUMBER('Results'!$B$9),ISNUMBER('Inputs'!$B$6),ISNUMBER('Inputs'!$B$7),ISNUMBER('Inputs'!$B$8),ISNUMBER('Inputs'!$B$9),ISNUMBER('Inputs'!$B$10),ISNUMBER('Inputs'!$B$21),ISNUMBER('Inputs'!$B$24),ISNUMBER('Inputs'!$B$28)),(('Results'!B7*(0.5*(((U21+'Inputs'!$B$21)+'Inputs'!$B$7)/SQRT(((U21+'Inputs'!$B$21)+'Inputs'!$B$7)^2+('Inputs'!$B$6/2)^2)-((U21+'Inputs'!$B$21))/SQRT(((U21+'Inputs'!$B$21))^2+('Inputs'!$B$6/2)^2)))-'Results'!C7*(0.5*(((U21+'Inputs'!$B$21+'Inputs'!$B$7+'Inputs'!$B$10)+'Inputs'!$B$9)/SQRT(((U21+'Inputs'!$B$21+'Inputs'!$B$7+'Inputs'!$B$10)+'Inputs'!$B$9)^2+('Inputs'!$B$8/2)^2)-((U21+'Inputs'!$B$21+'Inputs'!$B$7+'Inputs'!$B$10))/SQRT(((U21+'Inputs'!$B$21+'Inputs'!$B$7+'Inputs'!$B$10))^2+('Inputs'!$B$8/2)^2))))*'Results'!$B$8*'Results'!$B$9),"")</x:f>
        <x:v>77.25957556731186</x:v>
      </x:c>
      <x:c r="W21" s="22"/>
      <x:c r="X21" s="22"/>
      <x:c r="Y21" s="22" t="n">
        <x:f>IF(AB20&gt;='Results'!B14,AA20,Y20)</x:f>
        <x:v>8.525390625</x:v>
      </x:c>
      <x:c r="Z21" s="22" t="n">
        <x:f>IF(AB20&gt;='Results'!B14,Z20,AA20)</x:f>
        <x:v>8.526611328125</x:v>
      </x:c>
      <x:c r="AA21" s="22" t="n">
        <x:f>(Y21+Z21)/2</x:f>
        <x:v>8.5260009765625</x:v>
      </x:c>
      <x:c r="AB21" s="22" t="n">
        <x:f>IF(AND(ISNUMBER('Results'!B7),ISNUMBER('Results'!C7),ISNUMBER('Results'!$B$8),ISNUMBER('Results'!$B$9),ISNUMBER('Inputs'!$B$6),ISNUMBER('Inputs'!$B$7),ISNUMBER('Inputs'!$B$8),ISNUMBER('Inputs'!$B$9),ISNUMBER('Inputs'!$B$10),ISNUMBER('Inputs'!$B$21),ISNUMBER('Inputs'!$B$24),ISNUMBER('Inputs'!$B$28)),((('Results'!B7*(1+'Inputs'!$B$24)*(0.5*(((AA21+'Inputs'!$B$21)+'Inputs'!$B$7)/SQRT(((AA21+'Inputs'!$B$21)+'Inputs'!$B$7)^2+('Inputs'!$B$6/2)^2)-((AA21+'Inputs'!$B$21))/SQRT(((AA21+'Inputs'!$B$21))^2+('Inputs'!$B$6/2)^2)))-'Results'!C7*(1-'Inputs'!$B$24)*(0.5*(((AA21+'Inputs'!$B$21+'Inputs'!$B$7+'Inputs'!$B$10)+'Inputs'!$B$9)/SQRT(((AA21+'Inputs'!$B$21+'Inputs'!$B$7+'Inputs'!$B$10)+'Inputs'!$B$9)^2+('Inputs'!$B$8/2)^2)-((AA21+'Inputs'!$B$21+'Inputs'!$B$7+'Inputs'!$B$10))/SQRT(((AA21+'Inputs'!$B$21+'Inputs'!$B$7+'Inputs'!$B$10))^2+('Inputs'!$B$8/2)^2))))*'Results'!$B$8*'Results'!$B$9)+'Inputs'!$B$28*ABS((('Results'!B7*(1+'Inputs'!$B$24)*(0.5*(((AA21+'Inputs'!$B$21)+'Inputs'!$B$7)/SQRT(((AA21+'Inputs'!$B$21)+'Inputs'!$B$7)^2+('Inputs'!$B$6/2)^2)-((AA21+'Inputs'!$B$21))/SQRT(((AA21+'Inputs'!$B$21))^2+('Inputs'!$B$6/2)^2)))-'Results'!C7*(1-'Inputs'!$B$24)*(0.5*(((AA21+'Inputs'!$B$21+'Inputs'!$B$7+'Inputs'!$B$10)+'Inputs'!$B$9)/SQRT(((AA21+'Inputs'!$B$21+'Inputs'!$B$7+'Inputs'!$B$10)+'Inputs'!$B$9)^2+('Inputs'!$B$8/2)^2)-((AA21+'Inputs'!$B$21+'Inputs'!$B$7+'Inputs'!$B$10))/SQRT(((AA21+'Inputs'!$B$21+'Inputs'!$B$7+'Inputs'!$B$10))^2+('Inputs'!$B$8/2)^2))))*'Results'!$B$8*'Results'!$B$9))),"")</x:f>
        <x:v>66.89775820401132</x:v>
      </x:c>
      <x:c r="AC21" s="22"/>
      <x:c r="AD21" s="22"/>
      <x:c r="AE21" s="22" t="n">
        <x:f>IF(AH20&gt;='Results'!C10,AG20,AE20)</x:f>
        <x:v>6.92138671875</x:v>
      </x:c>
      <x:c r="AF21" s="22" t="n">
        <x:f>IF(AH20&gt;='Results'!C10,AF20,AG20)</x:f>
        <x:v>6.922607421875</x:v>
      </x:c>
      <x:c r="AG21" s="22" t="n">
        <x:f>(AE21+AF21)/2</x:f>
        <x:v>6.9219970703125</x:v>
      </x:c>
      <x:c r="AH21" s="22" t="n">
        <x:f>IF(AND(ISNUMBER('Results'!C7),ISNUMBER('Results'!B7),ISNUMBER('Results'!$B$8),ISNUMBER('Results'!$B$9),ISNUMBER('Inputs'!$B$6),ISNUMBER('Inputs'!$B$7),ISNUMBER('Inputs'!$B$8),ISNUMBER('Inputs'!$B$9),ISNUMBER('Inputs'!$B$10),ISNUMBER('Inputs'!$B$21),ISNUMBER('Inputs'!$B$24),ISNUMBER('Inputs'!$B$28)),(('Results'!C7*(0.5*(((AG21+'Inputs'!$B$21)+'Inputs'!$B$9)/SQRT(((AG21+'Inputs'!$B$21)+'Inputs'!$B$9)^2+('Inputs'!$B$8/2)^2)-((AG21+'Inputs'!$B$21))/SQRT(((AG21+'Inputs'!$B$21))^2+('Inputs'!$B$8/2)^2)))-'Results'!B7*(0.5*(((AG21+'Inputs'!$B$21+'Inputs'!$B$9+'Inputs'!$B$10)+'Inputs'!$B$7)/SQRT(((AG21+'Inputs'!$B$21+'Inputs'!$B$9+'Inputs'!$B$10)+'Inputs'!$B$7)^2+('Inputs'!$B$6/2)^2)-((AG21+'Inputs'!$B$21+'Inputs'!$B$9+'Inputs'!$B$10))/SQRT(((AG21+'Inputs'!$B$21+'Inputs'!$B$9+'Inputs'!$B$10))^2+('Inputs'!$B$6/2)^2))))*'Results'!$B$8*'Results'!$B$9),"")</x:f>
        <x:v>104.03241488113323</x:v>
      </x:c>
      <x:c r="AI21" s="22"/>
      <x:c r="AJ21" s="22"/>
      <x:c r="AK21" s="22" t="n">
        <x:f>IF(AN20&gt;='Results'!C12,AM20,AK20)</x:f>
        <x:v>6.34521484375</x:v>
      </x:c>
      <x:c r="AL21" s="22" t="n">
        <x:f>IF(AN20&gt;='Results'!C12,AL20,AM20)</x:f>
        <x:v>6.346435546875</x:v>
      </x:c>
      <x:c r="AM21" s="22" t="n">
        <x:f>(AK21+AL21)/2</x:f>
        <x:v>6.3458251953125</x:v>
      </x:c>
      <x:c r="AN21" s="22" t="n">
        <x:f>IF(AND(ISNUMBER('Results'!C7),ISNUMBER('Results'!B7),ISNUMBER('Results'!$B$8),ISNUMBER('Results'!$B$9),ISNUMBER('Inputs'!$B$6),ISNUMBER('Inputs'!$B$7),ISNUMBER('Inputs'!$B$8),ISNUMBER('Inputs'!$B$9),ISNUMBER('Inputs'!$B$10),ISNUMBER('Inputs'!$B$21),ISNUMBER('Inputs'!$B$24),ISNUMBER('Inputs'!$B$28)),((('Results'!C7*(1-'Inputs'!$B$24)*(0.5*(((AM21+'Inputs'!$B$21)+'Inputs'!$B$9)/SQRT(((AM21+'Inputs'!$B$21)+'Inputs'!$B$9)^2+('Inputs'!$B$8/2)^2)-((AM21+'Inputs'!$B$21))/SQRT(((AM21+'Inputs'!$B$21))^2+('Inputs'!$B$8/2)^2)))-'Results'!B7*(1+'Inputs'!$B$24)*(0.5*(((AM21+'Inputs'!$B$21+'Inputs'!$B$9+'Inputs'!$B$10)+'Inputs'!$B$7)/SQRT(((AM21+'Inputs'!$B$21+'Inputs'!$B$9+'Inputs'!$B$10)+'Inputs'!$B$7)^2+('Inputs'!$B$6/2)^2)-((AM21+'Inputs'!$B$21+'Inputs'!$B$9+'Inputs'!$B$10))/SQRT(((AM21+'Inputs'!$B$21+'Inputs'!$B$9+'Inputs'!$B$10))^2+('Inputs'!$B$6/2)^2))))*'Results'!$B$8*'Results'!$B$9)-'Inputs'!$B$28*ABS((('Results'!C7*(1-'Inputs'!$B$24)*(0.5*(((AM21+'Inputs'!$B$21)+'Inputs'!$B$9)/SQRT(((AM21+'Inputs'!$B$21)+'Inputs'!$B$9)^2+('Inputs'!$B$8/2)^2)-((AM21+'Inputs'!$B$21))/SQRT(((AM21+'Inputs'!$B$21))^2+('Inputs'!$B$8/2)^2)))-'Results'!B7*(1+'Inputs'!$B$24)*(0.5*(((AM21+'Inputs'!$B$21+'Inputs'!$B$9+'Inputs'!$B$10)+'Inputs'!$B$7)/SQRT(((AM21+'Inputs'!$B$21+'Inputs'!$B$9+'Inputs'!$B$10)+'Inputs'!$B$7)^2+('Inputs'!$B$6/2)^2)-((AM21+'Inputs'!$B$21+'Inputs'!$B$9+'Inputs'!$B$10))/SQRT(((AM21+'Inputs'!$B$21+'Inputs'!$B$9+'Inputs'!$B$10))^2+('Inputs'!$B$6/2)^2))))*'Results'!$B$8*'Results'!$B$9))),"")</x:f>
        <x:v>119.1928864643453</x:v>
      </x:c>
      <x:c r="AO21" s="22"/>
      <x:c r="AP21" s="22"/>
      <x:c r="AQ21" s="22" t="n">
        <x:f>IF(AT20&gt;='Results'!C11,AS20,AQ20)</x:f>
        <x:v>7.550048828125</x:v>
      </x:c>
      <x:c r="AR21" s="22" t="n">
        <x:f>IF(AT20&gt;='Results'!C11,AR20,AS20)</x:f>
        <x:v>7.55126953125</x:v>
      </x:c>
      <x:c r="AS21" s="22" t="n">
        <x:f>(AQ21+AR21)/2</x:f>
        <x:v>7.5506591796875</x:v>
      </x:c>
      <x:c r="AT21" s="22" t="n">
        <x:f>IF(AND(ISNUMBER('Results'!C7),ISNUMBER('Results'!B7),ISNUMBER('Results'!$B$8),ISNUMBER('Results'!$B$9),ISNUMBER('Inputs'!$B$6),ISNUMBER('Inputs'!$B$7),ISNUMBER('Inputs'!$B$8),ISNUMBER('Inputs'!$B$9),ISNUMBER('Inputs'!$B$10),ISNUMBER('Inputs'!$B$21),ISNUMBER('Inputs'!$B$24),ISNUMBER('Inputs'!$B$28)),((('Results'!C7*(1+'Inputs'!$B$24)*(0.5*(((AS21+'Inputs'!$B$21)+'Inputs'!$B$9)/SQRT(((AS21+'Inputs'!$B$21)+'Inputs'!$B$9)^2+('Inputs'!$B$8/2)^2)-((AS21+'Inputs'!$B$21))/SQRT(((AS21+'Inputs'!$B$21))^2+('Inputs'!$B$8/2)^2)))-'Results'!B7*(1-'Inputs'!$B$24)*(0.5*(((AS21+'Inputs'!$B$21+'Inputs'!$B$9+'Inputs'!$B$10)+'Inputs'!$B$7)/SQRT(((AS21+'Inputs'!$B$21+'Inputs'!$B$9+'Inputs'!$B$10)+'Inputs'!$B$7)^2+('Inputs'!$B$6/2)^2)-((AS21+'Inputs'!$B$21+'Inputs'!$B$9+'Inputs'!$B$10))/SQRT(((AS21+'Inputs'!$B$21+'Inputs'!$B$9+'Inputs'!$B$10))^2+('Inputs'!$B$6/2)^2))))*'Results'!$B$8*'Results'!$B$9)+'Inputs'!$B$28*ABS((('Results'!C7*(1+'Inputs'!$B$24)*(0.5*(((AS21+'Inputs'!$B$21)+'Inputs'!$B$9)/SQRT(((AS21+'Inputs'!$B$21)+'Inputs'!$B$9)^2+('Inputs'!$B$8/2)^2)-((AS21+'Inputs'!$B$21))/SQRT(((AS21+'Inputs'!$B$21))^2+('Inputs'!$B$8/2)^2)))-'Results'!B7*(1-'Inputs'!$B$24)*(0.5*(((AS21+'Inputs'!$B$21+'Inputs'!$B$9+'Inputs'!$B$10)+'Inputs'!$B$7)/SQRT(((AS21+'Inputs'!$B$21+'Inputs'!$B$9+'Inputs'!$B$10)+'Inputs'!$B$7)^2+('Inputs'!$B$6/2)^2)-((AS21+'Inputs'!$B$21+'Inputs'!$B$9+'Inputs'!$B$10))/SQRT(((AS21+'Inputs'!$B$21+'Inputs'!$B$9+'Inputs'!$B$10))^2+('Inputs'!$B$6/2)^2))))*'Results'!$B$8*'Results'!$B$9))),"")</x:f>
        <x:v>89.93004030018669</x:v>
      </x:c>
      <x:c r="AU21" s="22"/>
      <x:c r="AV21" s="22"/>
      <x:c r="AW21" s="22" t="n">
        <x:f>IF(AZ20&gt;='Results'!C13,AY20,AW20)</x:f>
        <x:v>7.581787109375</x:v>
      </x:c>
      <x:c r="AX21" s="22" t="n">
        <x:f>IF(AZ20&gt;='Results'!C13,AX20,AY20)</x:f>
        <x:v>7.5830078125</x:v>
      </x:c>
      <x:c r="AY21" s="22" t="n">
        <x:f>(AW21+AX21)/2</x:f>
        <x:v>7.5823974609375</x:v>
      </x:c>
      <x:c r="AZ21" s="22" t="n">
        <x:f>IF(AND(ISNUMBER('Results'!C7),ISNUMBER('Results'!B7),ISNUMBER('Results'!$B$8),ISNUMBER('Results'!$B$9),ISNUMBER('Inputs'!$B$6),ISNUMBER('Inputs'!$B$7),ISNUMBER('Inputs'!$B$8),ISNUMBER('Inputs'!$B$9),ISNUMBER('Inputs'!$B$10),ISNUMBER('Inputs'!$B$21),ISNUMBER('Inputs'!$B$24),ISNUMBER('Inputs'!$B$28)),(('Results'!C7*(0.5*(((AY21+'Inputs'!$B$21)+'Inputs'!$B$9)/SQRT(((AY21+'Inputs'!$B$21)+'Inputs'!$B$9)^2+('Inputs'!$B$8/2)^2)-((AY21+'Inputs'!$B$21))/SQRT(((AY21+'Inputs'!$B$21))^2+('Inputs'!$B$8/2)^2)))-'Results'!B7*(0.5*(((AY21+'Inputs'!$B$21+'Inputs'!$B$9+'Inputs'!$B$10)+'Inputs'!$B$7)/SQRT(((AY21+'Inputs'!$B$21+'Inputs'!$B$9+'Inputs'!$B$10)+'Inputs'!$B$7)^2+('Inputs'!$B$6/2)^2)-((AY21+'Inputs'!$B$21+'Inputs'!$B$9+'Inputs'!$B$10))/SQRT(((AY21+'Inputs'!$B$21+'Inputs'!$B$9+'Inputs'!$B$10))^2+('Inputs'!$B$6/2)^2))))*'Results'!$B$8*'Results'!$B$9),"")</x:f>
        <x:v>81.61084582509663</x:v>
      </x:c>
      <x:c r="BA21" s="22"/>
      <x:c r="BB21" s="22"/>
      <x:c r="BC21" s="22" t="n">
        <x:f>IF(BF20&gt;='Results'!C14,BE20,BC20)</x:f>
        <x:v>8.245849609375</x:v>
      </x:c>
      <x:c r="BD21" s="22" t="n">
        <x:f>IF(BF20&gt;='Results'!C14,BD20,BE20)</x:f>
        <x:v>8.2470703125</x:v>
      </x:c>
      <x:c r="BE21" s="22" t="n">
        <x:f>(BC21+BD21)/2</x:f>
        <x:v>8.2464599609375</x:v>
      </x:c>
      <x:c r="BF21" s="22" t="n">
        <x:f>IF(AND(ISNUMBER('Results'!C7),ISNUMBER('Results'!B7),ISNUMBER('Results'!$B$8),ISNUMBER('Results'!$B$9),ISNUMBER('Inputs'!$B$6),ISNUMBER('Inputs'!$B$7),ISNUMBER('Inputs'!$B$8),ISNUMBER('Inputs'!$B$9),ISNUMBER('Inputs'!$B$10),ISNUMBER('Inputs'!$B$21),ISNUMBER('Inputs'!$B$24),ISNUMBER('Inputs'!$B$28)),((('Results'!C7*(1+'Inputs'!$B$24)*(0.5*(((BE21+'Inputs'!$B$21)+'Inputs'!$B$9)/SQRT(((BE21+'Inputs'!$B$21)+'Inputs'!$B$9)^2+('Inputs'!$B$8/2)^2)-((BE21+'Inputs'!$B$21))/SQRT(((BE21+'Inputs'!$B$21))^2+('Inputs'!$B$8/2)^2)))-'Results'!B7*(1-'Inputs'!$B$24)*(0.5*(((BE21+'Inputs'!$B$21+'Inputs'!$B$9+'Inputs'!$B$10)+'Inputs'!$B$7)/SQRT(((BE21+'Inputs'!$B$21+'Inputs'!$B$9+'Inputs'!$B$10)+'Inputs'!$B$7)^2+('Inputs'!$B$6/2)^2)-((BE21+'Inputs'!$B$21+'Inputs'!$B$9+'Inputs'!$B$10))/SQRT(((BE21+'Inputs'!$B$21+'Inputs'!$B$9+'Inputs'!$B$10))^2+('Inputs'!$B$6/2)^2))))*'Results'!$B$8*'Results'!$B$9)+'Inputs'!$B$28*ABS((('Results'!C7*(1+'Inputs'!$B$24)*(0.5*(((BE21+'Inputs'!$B$21)+'Inputs'!$B$9)/SQRT(((BE21+'Inputs'!$B$21)+'Inputs'!$B$9)^2+('Inputs'!$B$8/2)^2)-((BE21+'Inputs'!$B$21))/SQRT(((BE21+'Inputs'!$B$21))^2+('Inputs'!$B$8/2)^2)))-'Results'!B7*(1-'Inputs'!$B$24)*(0.5*(((BE21+'Inputs'!$B$21+'Inputs'!$B$9+'Inputs'!$B$10)+'Inputs'!$B$7)/SQRT(((BE21+'Inputs'!$B$21+'Inputs'!$B$9+'Inputs'!$B$10)+'Inputs'!$B$7)^2+('Inputs'!$B$6/2)^2)-((BE21+'Inputs'!$B$21+'Inputs'!$B$9+'Inputs'!$B$10))/SQRT(((BE21+'Inputs'!$B$21+'Inputs'!$B$9+'Inputs'!$B$10))^2+('Inputs'!$B$6/2)^2))))*'Results'!$B$8*'Results'!$B$9))),"")</x:f>
        <x:v>70.65036922465886</x:v>
      </x:c>
      <x:c r="BG21" s="22"/>
      <x:c r="BH21" s="22"/>
    </x:row>
    <x:row r="22" ht="22" customHeight="1">
      <x:c r="A22" s="22" t="n">
        <x:f>IF(D21&gt;='Results'!B10,C21,A21)</x:f>
        <x:v>7.1771240234375</x:v>
      </x:c>
      <x:c r="B22" s="22" t="n">
        <x:f>IF(D21&gt;='Results'!B10,B21,C21)</x:f>
        <x:v>7.177734375</x:v>
      </x:c>
      <x:c r="C22" s="22" t="n">
        <x:f>(A22+B22)/2</x:f>
        <x:v>7.17742919921875</x:v>
      </x:c>
      <x:c r="D22" s="22" t="n">
        <x:f>IF(AND(ISNUMBER('Results'!B7),ISNUMBER('Results'!C7),ISNUMBER('Results'!$B$8),ISNUMBER('Results'!$B$9),ISNUMBER('Inputs'!$B$6),ISNUMBER('Inputs'!$B$7),ISNUMBER('Inputs'!$B$8),ISNUMBER('Inputs'!$B$9),ISNUMBER('Inputs'!$B$10),ISNUMBER('Inputs'!$B$21),ISNUMBER('Inputs'!$B$24),ISNUMBER('Inputs'!$B$28)),(('Results'!B7*(0.5*(((C22+'Inputs'!$B$21)+'Inputs'!$B$7)/SQRT(((C22+'Inputs'!$B$21)+'Inputs'!$B$7)^2+('Inputs'!$B$6/2)^2)-((C22+'Inputs'!$B$21))/SQRT(((C22+'Inputs'!$B$21))^2+('Inputs'!$B$6/2)^2)))-'Results'!C7*(0.5*(((C22+'Inputs'!$B$21+'Inputs'!$B$7+'Inputs'!$B$10)+'Inputs'!$B$9)/SQRT(((C22+'Inputs'!$B$21+'Inputs'!$B$7+'Inputs'!$B$10)+'Inputs'!$B$9)^2+('Inputs'!$B$8/2)^2)-((C22+'Inputs'!$B$21+'Inputs'!$B$7+'Inputs'!$B$10))/SQRT(((C22+'Inputs'!$B$21+'Inputs'!$B$7+'Inputs'!$B$10))^2+('Inputs'!$B$8/2)^2))))*'Results'!$B$8*'Results'!$B$9),"")</x:f>
        <x:v>98.08846414321783</x:v>
      </x:c>
      <x:c r="E22" s="22"/>
      <x:c r="F22" s="22"/>
      <x:c r="G22" s="22" t="n">
        <x:f>IF(J21&gt;='Results'!B12,I21,G21)</x:f>
        <x:v>6.5863037109375</x:v>
      </x:c>
      <x:c r="H22" s="22" t="n">
        <x:f>IF(J21&gt;='Results'!B12,H21,I21)</x:f>
        <x:v>6.5869140625</x:v>
      </x:c>
      <x:c r="I22" s="22" t="n">
        <x:f>(G22+H22)/2</x:f>
        <x:v>6.58660888671875</x:v>
      </x:c>
      <x:c r="J22" s="22" t="n">
        <x:f>IF(AND(ISNUMBER('Results'!B7),ISNUMBER('Results'!C7),ISNUMBER('Results'!$B$8),ISNUMBER('Results'!$B$9),ISNUMBER('Inputs'!$B$6),ISNUMBER('Inputs'!$B$7),ISNUMBER('Inputs'!$B$8),ISNUMBER('Inputs'!$B$9),ISNUMBER('Inputs'!$B$10),ISNUMBER('Inputs'!$B$21),ISNUMBER('Inputs'!$B$24),ISNUMBER('Inputs'!$B$28)),((('Results'!B7*(1-'Inputs'!$B$24)*(0.5*(((I22+'Inputs'!$B$21)+'Inputs'!$B$7)/SQRT(((I22+'Inputs'!$B$21)+'Inputs'!$B$7)^2+('Inputs'!$B$6/2)^2)-((I22+'Inputs'!$B$21))/SQRT(((I22+'Inputs'!$B$21))^2+('Inputs'!$B$6/2)^2)))-'Results'!C7*(1+'Inputs'!$B$24)*(0.5*(((I22+'Inputs'!$B$21+'Inputs'!$B$7+'Inputs'!$B$10)+'Inputs'!$B$9)/SQRT(((I22+'Inputs'!$B$21+'Inputs'!$B$7+'Inputs'!$B$10)+'Inputs'!$B$9)^2+('Inputs'!$B$8/2)^2)-((I22+'Inputs'!$B$21+'Inputs'!$B$7+'Inputs'!$B$10))/SQRT(((I22+'Inputs'!$B$21+'Inputs'!$B$7+'Inputs'!$B$10))^2+('Inputs'!$B$8/2)^2))))*'Results'!$B$8*'Results'!$B$9)-'Inputs'!$B$28*ABS((('Results'!B7*(1-'Inputs'!$B$24)*(0.5*(((I22+'Inputs'!$B$21)+'Inputs'!$B$7)/SQRT(((I22+'Inputs'!$B$21)+'Inputs'!$B$7)^2+('Inputs'!$B$6/2)^2)-((I22+'Inputs'!$B$21))/SQRT(((I22+'Inputs'!$B$21))^2+('Inputs'!$B$6/2)^2)))-'Results'!C7*(1+'Inputs'!$B$24)*(0.5*(((I22+'Inputs'!$B$21+'Inputs'!$B$7+'Inputs'!$B$10)+'Inputs'!$B$9)/SQRT(((I22+'Inputs'!$B$21+'Inputs'!$B$7+'Inputs'!$B$10)+'Inputs'!$B$9)^2+('Inputs'!$B$8/2)^2)-((I22+'Inputs'!$B$21+'Inputs'!$B$7+'Inputs'!$B$10))/SQRT(((I22+'Inputs'!$B$21+'Inputs'!$B$7+'Inputs'!$B$10))^2+('Inputs'!$B$8/2)^2))))*'Results'!$B$8*'Results'!$B$9))),"")</x:f>
        <x:v>112.38206261682679</x:v>
      </x:c>
      <x:c r="K22" s="22"/>
      <x:c r="L22" s="22"/>
      <x:c r="M22" s="22" t="n">
        <x:f>IF(P21&gt;='Results'!B11,O21,M21)</x:f>
        <x:v>7.8216552734375</x:v>
      </x:c>
      <x:c r="N22" s="22" t="n">
        <x:f>IF(P21&gt;='Results'!B11,N21,O21)</x:f>
        <x:v>7.822265625</x:v>
      </x:c>
      <x:c r="O22" s="22" t="n">
        <x:f>(M22+N22)/2</x:f>
        <x:v>7.82196044921875</x:v>
      </x:c>
      <x:c r="P22" s="22" t="n">
        <x:f>IF(AND(ISNUMBER('Results'!B7),ISNUMBER('Results'!C7),ISNUMBER('Results'!$B$8),ISNUMBER('Results'!$B$9),ISNUMBER('Inputs'!$B$6),ISNUMBER('Inputs'!$B$7),ISNUMBER('Inputs'!$B$8),ISNUMBER('Inputs'!$B$9),ISNUMBER('Inputs'!$B$10),ISNUMBER('Inputs'!$B$21),ISNUMBER('Inputs'!$B$24),ISNUMBER('Inputs'!$B$28)),((('Results'!B7*(1+'Inputs'!$B$24)*(0.5*(((O22+'Inputs'!$B$21)+'Inputs'!$B$7)/SQRT(((O22+'Inputs'!$B$21)+'Inputs'!$B$7)^2+('Inputs'!$B$6/2)^2)-((O22+'Inputs'!$B$21))/SQRT(((O22+'Inputs'!$B$21))^2+('Inputs'!$B$6/2)^2)))-'Results'!C7*(1-'Inputs'!$B$24)*(0.5*(((O22+'Inputs'!$B$21+'Inputs'!$B$7+'Inputs'!$B$10)+'Inputs'!$B$9)/SQRT(((O22+'Inputs'!$B$21+'Inputs'!$B$7+'Inputs'!$B$10)+'Inputs'!$B$9)^2+('Inputs'!$B$8/2)^2)-((O22+'Inputs'!$B$21+'Inputs'!$B$7+'Inputs'!$B$10))/SQRT(((O22+'Inputs'!$B$21+'Inputs'!$B$7+'Inputs'!$B$10))^2+('Inputs'!$B$8/2)^2))))*'Results'!$B$8*'Results'!$B$9)+'Inputs'!$B$28*ABS((('Results'!B7*(1+'Inputs'!$B$24)*(0.5*(((O22+'Inputs'!$B$21)+'Inputs'!$B$7)/SQRT(((O22+'Inputs'!$B$21)+'Inputs'!$B$7)^2+('Inputs'!$B$6/2)^2)-((O22+'Inputs'!$B$21))/SQRT(((O22+'Inputs'!$B$21))^2+('Inputs'!$B$6/2)^2)))-'Results'!C7*(1-'Inputs'!$B$24)*(0.5*(((O22+'Inputs'!$B$21+'Inputs'!$B$7+'Inputs'!$B$10)+'Inputs'!$B$9)/SQRT(((O22+'Inputs'!$B$21+'Inputs'!$B$7+'Inputs'!$B$10)+'Inputs'!$B$9)^2+('Inputs'!$B$8/2)^2)-((O22+'Inputs'!$B$21+'Inputs'!$B$7+'Inputs'!$B$10))/SQRT(((O22+'Inputs'!$B$21+'Inputs'!$B$7+'Inputs'!$B$10))^2+('Inputs'!$B$8/2)^2))))*'Results'!$B$8*'Results'!$B$9))),"")</x:f>
        <x:v>84.8164204788318</x:v>
      </x:c>
      <x:c r="Q22" s="22"/>
      <x:c r="R22" s="22"/>
      <x:c r="S22" s="22" t="n">
        <x:f>IF(V21&gt;='Results'!B13,U21,S21)</x:f>
        <x:v>7.84423828125</x:v>
      </x:c>
      <x:c r="T22" s="22" t="n">
        <x:f>IF(V21&gt;='Results'!B13,T21,U21)</x:f>
        <x:v>7.8448486328125</x:v>
      </x:c>
      <x:c r="U22" s="22" t="n">
        <x:f>(S22+T22)/2</x:f>
        <x:v>7.84454345703125</x:v>
      </x:c>
      <x:c r="V22" s="22" t="n">
        <x:f>IF(AND(ISNUMBER('Results'!B7),ISNUMBER('Results'!C7),ISNUMBER('Results'!$B$8),ISNUMBER('Results'!$B$9),ISNUMBER('Inputs'!$B$6),ISNUMBER('Inputs'!$B$7),ISNUMBER('Inputs'!$B$8),ISNUMBER('Inputs'!$B$9),ISNUMBER('Inputs'!$B$10),ISNUMBER('Inputs'!$B$21),ISNUMBER('Inputs'!$B$24),ISNUMBER('Inputs'!$B$28)),(('Results'!B7*(0.5*(((U22+'Inputs'!$B$21)+'Inputs'!$B$7)/SQRT(((U22+'Inputs'!$B$21)+'Inputs'!$B$7)^2+('Inputs'!$B$6/2)^2)-((U22+'Inputs'!$B$21))/SQRT(((U22+'Inputs'!$B$21))^2+('Inputs'!$B$6/2)^2)))-'Results'!C7*(0.5*(((U22+'Inputs'!$B$21+'Inputs'!$B$7+'Inputs'!$B$10)+'Inputs'!$B$9)/SQRT(((U22+'Inputs'!$B$21+'Inputs'!$B$7+'Inputs'!$B$10)+'Inputs'!$B$9)^2+('Inputs'!$B$8/2)^2)-((U22+'Inputs'!$B$21+'Inputs'!$B$7+'Inputs'!$B$10))/SQRT(((U22+'Inputs'!$B$21+'Inputs'!$B$7+'Inputs'!$B$10))^2+('Inputs'!$B$8/2)^2))))*'Results'!$B$8*'Results'!$B$9),"")</x:f>
        <x:v>77.26778507225873</x:v>
      </x:c>
      <x:c r="W22" s="22"/>
      <x:c r="X22" s="22"/>
      <x:c r="Y22" s="22" t="n">
        <x:f>IF(AB21&gt;='Results'!B14,AA21,Y21)</x:f>
        <x:v>8.525390625</x:v>
      </x:c>
      <x:c r="Z22" s="22" t="n">
        <x:f>IF(AB21&gt;='Results'!B14,Z21,AA21)</x:f>
        <x:v>8.5260009765625</x:v>
      </x:c>
      <x:c r="AA22" s="22" t="n">
        <x:f>(Y22+Z22)/2</x:f>
        <x:v>8.52569580078125</x:v>
      </x:c>
      <x:c r="AB22" s="22" t="n">
        <x:f>IF(AND(ISNUMBER('Results'!B7),ISNUMBER('Results'!C7),ISNUMBER('Results'!$B$8),ISNUMBER('Results'!$B$9),ISNUMBER('Inputs'!$B$6),ISNUMBER('Inputs'!$B$7),ISNUMBER('Inputs'!$B$8),ISNUMBER('Inputs'!$B$9),ISNUMBER('Inputs'!$B$10),ISNUMBER('Inputs'!$B$21),ISNUMBER('Inputs'!$B$24),ISNUMBER('Inputs'!$B$28)),((('Results'!B7*(1+'Inputs'!$B$24)*(0.5*(((AA22+'Inputs'!$B$21)+'Inputs'!$B$7)/SQRT(((AA22+'Inputs'!$B$21)+'Inputs'!$B$7)^2+('Inputs'!$B$6/2)^2)-((AA22+'Inputs'!$B$21))/SQRT(((AA22+'Inputs'!$B$21))^2+('Inputs'!$B$6/2)^2)))-'Results'!C7*(1-'Inputs'!$B$24)*(0.5*(((AA22+'Inputs'!$B$21+'Inputs'!$B$7+'Inputs'!$B$10)+'Inputs'!$B$9)/SQRT(((AA22+'Inputs'!$B$21+'Inputs'!$B$7+'Inputs'!$B$10)+'Inputs'!$B$9)^2+('Inputs'!$B$8/2)^2)-((AA22+'Inputs'!$B$21+'Inputs'!$B$7+'Inputs'!$B$10))/SQRT(((AA22+'Inputs'!$B$21+'Inputs'!$B$7+'Inputs'!$B$10))^2+('Inputs'!$B$8/2)^2))))*'Results'!$B$8*'Results'!$B$9)+'Inputs'!$B$28*ABS((('Results'!B7*(1+'Inputs'!$B$24)*(0.5*(((AA22+'Inputs'!$B$21)+'Inputs'!$B$7)/SQRT(((AA22+'Inputs'!$B$21)+'Inputs'!$B$7)^2+('Inputs'!$B$6/2)^2)-((AA22+'Inputs'!$B$21))/SQRT(((AA22+'Inputs'!$B$21))^2+('Inputs'!$B$6/2)^2)))-'Results'!C7*(1-'Inputs'!$B$24)*(0.5*(((AA22+'Inputs'!$B$21+'Inputs'!$B$7+'Inputs'!$B$10)+'Inputs'!$B$9)/SQRT(((AA22+'Inputs'!$B$21+'Inputs'!$B$7+'Inputs'!$B$10)+'Inputs'!$B$9)^2+('Inputs'!$B$8/2)^2)-((AA22+'Inputs'!$B$21+'Inputs'!$B$7+'Inputs'!$B$10))/SQRT(((AA22+'Inputs'!$B$21+'Inputs'!$B$7+'Inputs'!$B$10))^2+('Inputs'!$B$8/2)^2))))*'Results'!$B$8*'Results'!$B$9))),"")</x:f>
        <x:v>66.90445221102947</x:v>
      </x:c>
      <x:c r="AC22" s="22"/>
      <x:c r="AD22" s="22"/>
      <x:c r="AE22" s="22" t="n">
        <x:f>IF(AH21&gt;='Results'!C10,AG21,AE21)</x:f>
        <x:v>6.9219970703125</x:v>
      </x:c>
      <x:c r="AF22" s="22" t="n">
        <x:f>IF(AH21&gt;='Results'!C10,AF21,AG21)</x:f>
        <x:v>6.922607421875</x:v>
      </x:c>
      <x:c r="AG22" s="22" t="n">
        <x:f>(AE22+AF22)/2</x:f>
        <x:v>6.92230224609375</x:v>
      </x:c>
      <x:c r="AH22" s="22" t="n">
        <x:f>IF(AND(ISNUMBER('Results'!C7),ISNUMBER('Results'!B7),ISNUMBER('Results'!$B$8),ISNUMBER('Results'!$B$9),ISNUMBER('Inputs'!$B$6),ISNUMBER('Inputs'!$B$7),ISNUMBER('Inputs'!$B$8),ISNUMBER('Inputs'!$B$9),ISNUMBER('Inputs'!$B$10),ISNUMBER('Inputs'!$B$21),ISNUMBER('Inputs'!$B$24),ISNUMBER('Inputs'!$B$28)),(('Results'!C7*(0.5*(((AG22+'Inputs'!$B$21)+'Inputs'!$B$9)/SQRT(((AG22+'Inputs'!$B$21)+'Inputs'!$B$9)^2+('Inputs'!$B$8/2)^2)-((AG22+'Inputs'!$B$21))/SQRT(((AG22+'Inputs'!$B$21))^2+('Inputs'!$B$8/2)^2)))-'Results'!B7*(0.5*(((AG22+'Inputs'!$B$21+'Inputs'!$B$9+'Inputs'!$B$10)+'Inputs'!$B$7)/SQRT(((AG22+'Inputs'!$B$21+'Inputs'!$B$9+'Inputs'!$B$10)+'Inputs'!$B$7)^2+('Inputs'!$B$6/2)^2)-((AG22+'Inputs'!$B$21+'Inputs'!$B$9+'Inputs'!$B$10))/SQRT(((AG22+'Inputs'!$B$21+'Inputs'!$B$9+'Inputs'!$B$10))^2+('Inputs'!$B$6/2)^2))))*'Results'!$B$8*'Results'!$B$9),"")</x:f>
        <x:v>104.02043215273805</x:v>
      </x:c>
      <x:c r="AI22" s="22"/>
      <x:c r="AJ22" s="22"/>
      <x:c r="AK22" s="22" t="n">
        <x:f>IF(AN21&gt;='Results'!C12,AM21,AK21)</x:f>
        <x:v>6.34521484375</x:v>
      </x:c>
      <x:c r="AL22" s="22" t="n">
        <x:f>IF(AN21&gt;='Results'!C12,AL21,AM21)</x:f>
        <x:v>6.3458251953125</x:v>
      </x:c>
      <x:c r="AM22" s="22" t="n">
        <x:f>(AK22+AL22)/2</x:f>
        <x:v>6.34552001953125</x:v>
      </x:c>
      <x:c r="AN22" s="22" t="n">
        <x:f>IF(AND(ISNUMBER('Results'!C7),ISNUMBER('Results'!B7),ISNUMBER('Results'!$B$8),ISNUMBER('Results'!$B$9),ISNUMBER('Inputs'!$B$6),ISNUMBER('Inputs'!$B$7),ISNUMBER('Inputs'!$B$8),ISNUMBER('Inputs'!$B$9),ISNUMBER('Inputs'!$B$10),ISNUMBER('Inputs'!$B$21),ISNUMBER('Inputs'!$B$24),ISNUMBER('Inputs'!$B$28)),((('Results'!C7*(1-'Inputs'!$B$24)*(0.5*(((AM22+'Inputs'!$B$21)+'Inputs'!$B$9)/SQRT(((AM22+'Inputs'!$B$21)+'Inputs'!$B$9)^2+('Inputs'!$B$8/2)^2)-((AM22+'Inputs'!$B$21))/SQRT(((AM22+'Inputs'!$B$21))^2+('Inputs'!$B$8/2)^2)))-'Results'!B7*(1+'Inputs'!$B$24)*(0.5*(((AM22+'Inputs'!$B$21+'Inputs'!$B$9+'Inputs'!$B$10)+'Inputs'!$B$7)/SQRT(((AM22+'Inputs'!$B$21+'Inputs'!$B$9+'Inputs'!$B$10)+'Inputs'!$B$7)^2+('Inputs'!$B$6/2)^2)-((AM22+'Inputs'!$B$21+'Inputs'!$B$9+'Inputs'!$B$10))/SQRT(((AM22+'Inputs'!$B$21+'Inputs'!$B$9+'Inputs'!$B$10))^2+('Inputs'!$B$6/2)^2))))*'Results'!$B$8*'Results'!$B$9)-'Inputs'!$B$28*ABS((('Results'!C7*(1-'Inputs'!$B$24)*(0.5*(((AM22+'Inputs'!$B$21)+'Inputs'!$B$9)/SQRT(((AM22+'Inputs'!$B$21)+'Inputs'!$B$9)^2+('Inputs'!$B$8/2)^2)-((AM22+'Inputs'!$B$21))/SQRT(((AM22+'Inputs'!$B$21))^2+('Inputs'!$B$8/2)^2)))-'Results'!B7*(1+'Inputs'!$B$24)*(0.5*(((AM22+'Inputs'!$B$21+'Inputs'!$B$9+'Inputs'!$B$10)+'Inputs'!$B$7)/SQRT(((AM22+'Inputs'!$B$21+'Inputs'!$B$9+'Inputs'!$B$10)+'Inputs'!$B$7)^2+('Inputs'!$B$6/2)^2)-((AM22+'Inputs'!$B$21+'Inputs'!$B$9+'Inputs'!$B$10))/SQRT(((AM22+'Inputs'!$B$21+'Inputs'!$B$9+'Inputs'!$B$10))^2+('Inputs'!$B$6/2)^2))))*'Results'!$B$8*'Results'!$B$9))),"")</x:f>
        <x:v>119.20736721687473</x:v>
      </x:c>
      <x:c r="AO22" s="22"/>
      <x:c r="AP22" s="22"/>
      <x:c r="AQ22" s="22" t="n">
        <x:f>IF(AT21&gt;='Results'!C11,AS21,AQ21)</x:f>
        <x:v>7.5506591796875</x:v>
      </x:c>
      <x:c r="AR22" s="22" t="n">
        <x:f>IF(AT21&gt;='Results'!C11,AR21,AS21)</x:f>
        <x:v>7.55126953125</x:v>
      </x:c>
      <x:c r="AS22" s="22" t="n">
        <x:f>(AQ22+AR22)/2</x:f>
        <x:v>7.55096435546875</x:v>
      </x:c>
      <x:c r="AT22" s="22" t="n">
        <x:f>IF(AND(ISNUMBER('Results'!C7),ISNUMBER('Results'!B7),ISNUMBER('Results'!$B$8),ISNUMBER('Results'!$B$9),ISNUMBER('Inputs'!$B$6),ISNUMBER('Inputs'!$B$7),ISNUMBER('Inputs'!$B$8),ISNUMBER('Inputs'!$B$9),ISNUMBER('Inputs'!$B$10),ISNUMBER('Inputs'!$B$21),ISNUMBER('Inputs'!$B$24),ISNUMBER('Inputs'!$B$28)),((('Results'!C7*(1+'Inputs'!$B$24)*(0.5*(((AS22+'Inputs'!$B$21)+'Inputs'!$B$9)/SQRT(((AS22+'Inputs'!$B$21)+'Inputs'!$B$9)^2+('Inputs'!$B$8/2)^2)-((AS22+'Inputs'!$B$21))/SQRT(((AS22+'Inputs'!$B$21))^2+('Inputs'!$B$8/2)^2)))-'Results'!B7*(1-'Inputs'!$B$24)*(0.5*(((AS22+'Inputs'!$B$21+'Inputs'!$B$9+'Inputs'!$B$10)+'Inputs'!$B$7)/SQRT(((AS22+'Inputs'!$B$21+'Inputs'!$B$9+'Inputs'!$B$10)+'Inputs'!$B$7)^2+('Inputs'!$B$6/2)^2)-((AS22+'Inputs'!$B$21+'Inputs'!$B$9+'Inputs'!$B$10))/SQRT(((AS22+'Inputs'!$B$21+'Inputs'!$B$9+'Inputs'!$B$10))^2+('Inputs'!$B$6/2)^2))))*'Results'!$B$8*'Results'!$B$9)+'Inputs'!$B$28*ABS((('Results'!C7*(1+'Inputs'!$B$24)*(0.5*(((AS22+'Inputs'!$B$21)+'Inputs'!$B$9)/SQRT(((AS22+'Inputs'!$B$21)+'Inputs'!$B$9)^2+('Inputs'!$B$8/2)^2)-((AS22+'Inputs'!$B$21))/SQRT(((AS22+'Inputs'!$B$21))^2+('Inputs'!$B$8/2)^2)))-'Results'!B7*(1-'Inputs'!$B$24)*(0.5*(((AS22+'Inputs'!$B$21+'Inputs'!$B$9+'Inputs'!$B$10)+'Inputs'!$B$7)/SQRT(((AS22+'Inputs'!$B$21+'Inputs'!$B$9+'Inputs'!$B$10)+'Inputs'!$B$7)^2+('Inputs'!$B$6/2)^2)-((AS22+'Inputs'!$B$21+'Inputs'!$B$9+'Inputs'!$B$10))/SQRT(((AS22+'Inputs'!$B$21+'Inputs'!$B$9+'Inputs'!$B$10))^2+('Inputs'!$B$6/2)^2))))*'Results'!$B$8*'Results'!$B$9))),"")</x:f>
        <x:v>89.92025787848705</x:v>
      </x:c>
      <x:c r="AU22" s="22"/>
      <x:c r="AV22" s="22"/>
      <x:c r="AW22" s="22" t="n">
        <x:f>IF(AZ21&gt;='Results'!C13,AY21,AW21)</x:f>
        <x:v>7.5823974609375</x:v>
      </x:c>
      <x:c r="AX22" s="22" t="n">
        <x:f>IF(AZ21&gt;='Results'!C13,AX21,AY21)</x:f>
        <x:v>7.5830078125</x:v>
      </x:c>
      <x:c r="AY22" s="22" t="n">
        <x:f>(AW22+AX22)/2</x:f>
        <x:v>7.58270263671875</x:v>
      </x:c>
      <x:c r="AZ22" s="22" t="n">
        <x:f>IF(AND(ISNUMBER('Results'!C7),ISNUMBER('Results'!B7),ISNUMBER('Results'!$B$8),ISNUMBER('Results'!$B$9),ISNUMBER('Inputs'!$B$6),ISNUMBER('Inputs'!$B$7),ISNUMBER('Inputs'!$B$8),ISNUMBER('Inputs'!$B$9),ISNUMBER('Inputs'!$B$10),ISNUMBER('Inputs'!$B$21),ISNUMBER('Inputs'!$B$24),ISNUMBER('Inputs'!$B$28)),(('Results'!C7*(0.5*(((AY22+'Inputs'!$B$21)+'Inputs'!$B$9)/SQRT(((AY22+'Inputs'!$B$21)+'Inputs'!$B$9)^2+('Inputs'!$B$8/2)^2)-((AY22+'Inputs'!$B$21))/SQRT(((AY22+'Inputs'!$B$21))^2+('Inputs'!$B$8/2)^2)))-'Results'!B7*(0.5*(((AY22+'Inputs'!$B$21+'Inputs'!$B$9+'Inputs'!$B$10)+'Inputs'!$B$7)/SQRT(((AY22+'Inputs'!$B$21+'Inputs'!$B$9+'Inputs'!$B$10)+'Inputs'!$B$7)^2+('Inputs'!$B$6/2)^2)-((AY22+'Inputs'!$B$21+'Inputs'!$B$9+'Inputs'!$B$10))/SQRT(((AY22+'Inputs'!$B$21+'Inputs'!$B$9+'Inputs'!$B$10))^2+('Inputs'!$B$6/2)^2))))*'Results'!$B$8*'Results'!$B$9),"")</x:f>
        <x:v>81.60193211709483</x:v>
      </x:c>
      <x:c r="BA22" s="22"/>
      <x:c r="BB22" s="22"/>
      <x:c r="BC22" s="22" t="n">
        <x:f>IF(BF21&gt;='Results'!C14,BE21,BC21)</x:f>
        <x:v>8.2464599609375</x:v>
      </x:c>
      <x:c r="BD22" s="22" t="n">
        <x:f>IF(BF21&gt;='Results'!C14,BD21,BE21)</x:f>
        <x:v>8.2470703125</x:v>
      </x:c>
      <x:c r="BE22" s="22" t="n">
        <x:f>(BC22+BD22)/2</x:f>
        <x:v>8.24676513671875</x:v>
      </x:c>
      <x:c r="BF22" s="22" t="n">
        <x:f>IF(AND(ISNUMBER('Results'!C7),ISNUMBER('Results'!B7),ISNUMBER('Results'!$B$8),ISNUMBER('Results'!$B$9),ISNUMBER('Inputs'!$B$6),ISNUMBER('Inputs'!$B$7),ISNUMBER('Inputs'!$B$8),ISNUMBER('Inputs'!$B$9),ISNUMBER('Inputs'!$B$10),ISNUMBER('Inputs'!$B$21),ISNUMBER('Inputs'!$B$24),ISNUMBER('Inputs'!$B$28)),((('Results'!C7*(1+'Inputs'!$B$24)*(0.5*(((BE22+'Inputs'!$B$21)+'Inputs'!$B$9)/SQRT(((BE22+'Inputs'!$B$21)+'Inputs'!$B$9)^2+('Inputs'!$B$8/2)^2)-((BE22+'Inputs'!$B$21))/SQRT(((BE22+'Inputs'!$B$21))^2+('Inputs'!$B$8/2)^2)))-'Results'!B7*(1-'Inputs'!$B$24)*(0.5*(((BE22+'Inputs'!$B$21+'Inputs'!$B$9+'Inputs'!$B$10)+'Inputs'!$B$7)/SQRT(((BE22+'Inputs'!$B$21+'Inputs'!$B$9+'Inputs'!$B$10)+'Inputs'!$B$7)^2+('Inputs'!$B$6/2)^2)-((BE22+'Inputs'!$B$21+'Inputs'!$B$9+'Inputs'!$B$10))/SQRT(((BE22+'Inputs'!$B$21+'Inputs'!$B$9+'Inputs'!$B$10))^2+('Inputs'!$B$6/2)^2))))*'Results'!$B$8*'Results'!$B$9)+'Inputs'!$B$28*ABS((('Results'!C7*(1+'Inputs'!$B$24)*(0.5*(((BE22+'Inputs'!$B$21)+'Inputs'!$B$9)/SQRT(((BE22+'Inputs'!$B$21)+'Inputs'!$B$9)^2+('Inputs'!$B$8/2)^2)-((BE22+'Inputs'!$B$21))/SQRT(((BE22+'Inputs'!$B$21))^2+('Inputs'!$B$8/2)^2)))-'Results'!B7*(1-'Inputs'!$B$24)*(0.5*(((BE22+'Inputs'!$B$21+'Inputs'!$B$9+'Inputs'!$B$10)+'Inputs'!$B$7)/SQRT(((BE22+'Inputs'!$B$21+'Inputs'!$B$9+'Inputs'!$B$10)+'Inputs'!$B$7)^2+('Inputs'!$B$6/2)^2)-((BE22+'Inputs'!$B$21+'Inputs'!$B$9+'Inputs'!$B$10))/SQRT(((BE22+'Inputs'!$B$21+'Inputs'!$B$9+'Inputs'!$B$10))^2+('Inputs'!$B$6/2)^2))))*'Results'!$B$8*'Results'!$B$9))),"")</x:f>
        <x:v>70.64309584435708</x:v>
      </x:c>
      <x:c r="BG22" s="22"/>
      <x:c r="BH22" s="22"/>
    </x:row>
    <x:row r="23" ht="22" customHeight="1">
      <x:c r="A23" s="22" t="n">
        <x:f>IF(D22&gt;='Results'!B10,C22,A22)</x:f>
        <x:v>7.17742919921875</x:v>
      </x:c>
      <x:c r="B23" s="22" t="n">
        <x:f>IF(D22&gt;='Results'!B10,B22,C22)</x:f>
        <x:v>7.177734375</x:v>
      </x:c>
      <x:c r="C23" s="22" t="n">
        <x:f>(A23+B23)/2</x:f>
        <x:v>7.177581787109375</x:v>
      </x:c>
      <x:c r="D23" s="22" t="n">
        <x:f>IF(AND(ISNUMBER('Results'!B7),ISNUMBER('Results'!C7),ISNUMBER('Results'!$B$8),ISNUMBER('Results'!$B$9),ISNUMBER('Inputs'!$B$6),ISNUMBER('Inputs'!$B$7),ISNUMBER('Inputs'!$B$8),ISNUMBER('Inputs'!$B$9),ISNUMBER('Inputs'!$B$10),ISNUMBER('Inputs'!$B$21),ISNUMBER('Inputs'!$B$24),ISNUMBER('Inputs'!$B$28)),(('Results'!B7*(0.5*(((C23+'Inputs'!$B$21)+'Inputs'!$B$7)/SQRT(((C23+'Inputs'!$B$21)+'Inputs'!$B$7)^2+('Inputs'!$B$6/2)^2)-((C23+'Inputs'!$B$21))/SQRT(((C23+'Inputs'!$B$21))^2+('Inputs'!$B$6/2)^2)))-'Results'!C7*(0.5*(((C23+'Inputs'!$B$21+'Inputs'!$B$7+'Inputs'!$B$10)+'Inputs'!$B$9)/SQRT(((C23+'Inputs'!$B$21+'Inputs'!$B$7+'Inputs'!$B$10)+'Inputs'!$B$9)^2+('Inputs'!$B$8/2)^2)-((C23+'Inputs'!$B$21+'Inputs'!$B$7+'Inputs'!$B$10))/SQRT(((C23+'Inputs'!$B$21+'Inputs'!$B$7+'Inputs'!$B$10))^2+('Inputs'!$B$8/2)^2))))*'Results'!$B$8*'Results'!$B$9),"")</x:f>
        <x:v>98.08296571222255</x:v>
      </x:c>
      <x:c r="E23" s="22"/>
      <x:c r="F23" s="22"/>
      <x:c r="G23" s="22" t="n">
        <x:f>IF(J22&gt;='Results'!B12,I22,G22)</x:f>
        <x:v>6.5863037109375</x:v>
      </x:c>
      <x:c r="H23" s="22" t="n">
        <x:f>IF(J22&gt;='Results'!B12,H22,I22)</x:f>
        <x:v>6.58660888671875</x:v>
      </x:c>
      <x:c r="I23" s="22" t="n">
        <x:f>(G23+H23)/2</x:f>
        <x:v>6.586456298828125</x:v>
      </x:c>
      <x:c r="J23" s="22" t="n">
        <x:f>IF(AND(ISNUMBER('Results'!B7),ISNUMBER('Results'!C7),ISNUMBER('Results'!$B$8),ISNUMBER('Results'!$B$9),ISNUMBER('Inputs'!$B$6),ISNUMBER('Inputs'!$B$7),ISNUMBER('Inputs'!$B$8),ISNUMBER('Inputs'!$B$9),ISNUMBER('Inputs'!$B$10),ISNUMBER('Inputs'!$B$21),ISNUMBER('Inputs'!$B$24),ISNUMBER('Inputs'!$B$28)),((('Results'!B7*(1-'Inputs'!$B$24)*(0.5*(((I23+'Inputs'!$B$21)+'Inputs'!$B$7)/SQRT(((I23+'Inputs'!$B$21)+'Inputs'!$B$7)^2+('Inputs'!$B$6/2)^2)-((I23+'Inputs'!$B$21))/SQRT(((I23+'Inputs'!$B$21))^2+('Inputs'!$B$6/2)^2)))-'Results'!C7*(1+'Inputs'!$B$24)*(0.5*(((I23+'Inputs'!$B$21+'Inputs'!$B$7+'Inputs'!$B$10)+'Inputs'!$B$9)/SQRT(((I23+'Inputs'!$B$21+'Inputs'!$B$7+'Inputs'!$B$10)+'Inputs'!$B$9)^2+('Inputs'!$B$8/2)^2)-((I23+'Inputs'!$B$21+'Inputs'!$B$7+'Inputs'!$B$10))/SQRT(((I23+'Inputs'!$B$21+'Inputs'!$B$7+'Inputs'!$B$10))^2+('Inputs'!$B$8/2)^2))))*'Results'!$B$8*'Results'!$B$9)-'Inputs'!$B$28*ABS((('Results'!B7*(1-'Inputs'!$B$24)*(0.5*(((I23+'Inputs'!$B$21)+'Inputs'!$B$7)/SQRT(((I23+'Inputs'!$B$21)+'Inputs'!$B$7)^2+('Inputs'!$B$6/2)^2)-((I23+'Inputs'!$B$21))/SQRT(((I23+'Inputs'!$B$21))^2+('Inputs'!$B$6/2)^2)))-'Results'!C7*(1+'Inputs'!$B$24)*(0.5*(((I23+'Inputs'!$B$21+'Inputs'!$B$7+'Inputs'!$B$10)+'Inputs'!$B$9)/SQRT(((I23+'Inputs'!$B$21+'Inputs'!$B$7+'Inputs'!$B$10)+'Inputs'!$B$9)^2+('Inputs'!$B$8/2)^2)-((I23+'Inputs'!$B$21+'Inputs'!$B$7+'Inputs'!$B$10))/SQRT(((I23+'Inputs'!$B$21+'Inputs'!$B$7+'Inputs'!$B$10))^2+('Inputs'!$B$8/2)^2))))*'Results'!$B$8*'Results'!$B$9))),"")</x:f>
        <x:v>112.38871490200115</x:v>
      </x:c>
      <x:c r="K23" s="22"/>
      <x:c r="L23" s="22"/>
      <x:c r="M23" s="22" t="n">
        <x:f>IF(P22&gt;='Results'!B11,O22,M22)</x:f>
        <x:v>7.8216552734375</x:v>
      </x:c>
      <x:c r="N23" s="22" t="n">
        <x:f>IF(P22&gt;='Results'!B11,N22,O22)</x:f>
        <x:v>7.82196044921875</x:v>
      </x:c>
      <x:c r="O23" s="22" t="n">
        <x:f>(M23+N23)/2</x:f>
        <x:v>7.821807861328125</x:v>
      </x:c>
      <x:c r="P23" s="22" t="n">
        <x:f>IF(AND(ISNUMBER('Results'!B7),ISNUMBER('Results'!C7),ISNUMBER('Results'!$B$8),ISNUMBER('Results'!$B$9),ISNUMBER('Inputs'!$B$6),ISNUMBER('Inputs'!$B$7),ISNUMBER('Inputs'!$B$8),ISNUMBER('Inputs'!$B$9),ISNUMBER('Inputs'!$B$10),ISNUMBER('Inputs'!$B$21),ISNUMBER('Inputs'!$B$24),ISNUMBER('Inputs'!$B$28)),((('Results'!B7*(1+'Inputs'!$B$24)*(0.5*(((O23+'Inputs'!$B$21)+'Inputs'!$B$7)/SQRT(((O23+'Inputs'!$B$21)+'Inputs'!$B$7)^2+('Inputs'!$B$6/2)^2)-((O23+'Inputs'!$B$21))/SQRT(((O23+'Inputs'!$B$21))^2+('Inputs'!$B$6/2)^2)))-'Results'!C7*(1-'Inputs'!$B$24)*(0.5*(((O23+'Inputs'!$B$21+'Inputs'!$B$7+'Inputs'!$B$10)+'Inputs'!$B$9)/SQRT(((O23+'Inputs'!$B$21+'Inputs'!$B$7+'Inputs'!$B$10)+'Inputs'!$B$9)^2+('Inputs'!$B$8/2)^2)-((O23+'Inputs'!$B$21+'Inputs'!$B$7+'Inputs'!$B$10))/SQRT(((O23+'Inputs'!$B$21+'Inputs'!$B$7+'Inputs'!$B$10))^2+('Inputs'!$B$8/2)^2))))*'Results'!$B$8*'Results'!$B$9)+'Inputs'!$B$28*ABS((('Results'!B7*(1+'Inputs'!$B$24)*(0.5*(((O23+'Inputs'!$B$21)+'Inputs'!$B$7)/SQRT(((O23+'Inputs'!$B$21)+'Inputs'!$B$7)^2+('Inputs'!$B$6/2)^2)-((O23+'Inputs'!$B$21))/SQRT(((O23+'Inputs'!$B$21))^2+('Inputs'!$B$6/2)^2)))-'Results'!C7*(1-'Inputs'!$B$24)*(0.5*(((O23+'Inputs'!$B$21+'Inputs'!$B$7+'Inputs'!$B$10)+'Inputs'!$B$9)/SQRT(((O23+'Inputs'!$B$21+'Inputs'!$B$7+'Inputs'!$B$10)+'Inputs'!$B$9)^2+('Inputs'!$B$8/2)^2)-((O23+'Inputs'!$B$21+'Inputs'!$B$7+'Inputs'!$B$10))/SQRT(((O23+'Inputs'!$B$21+'Inputs'!$B$7+'Inputs'!$B$10))^2+('Inputs'!$B$8/2)^2))))*'Results'!$B$8*'Results'!$B$9))),"")</x:f>
        <x:v>84.820906147888</x:v>
      </x:c>
      <x:c r="Q23" s="22"/>
      <x:c r="R23" s="22"/>
      <x:c r="S23" s="22" t="n">
        <x:f>IF(V22&gt;='Results'!B13,U22,S22)</x:f>
        <x:v>7.84454345703125</x:v>
      </x:c>
      <x:c r="T23" s="22" t="n">
        <x:f>IF(V22&gt;='Results'!B13,T22,U22)</x:f>
        <x:v>7.8448486328125</x:v>
      </x:c>
      <x:c r="U23" s="22" t="n">
        <x:f>(S23+T23)/2</x:f>
        <x:v>7.844696044921875</x:v>
      </x:c>
      <x:c r="V23" s="22" t="n">
        <x:f>IF(AND(ISNUMBER('Results'!B7),ISNUMBER('Results'!C7),ISNUMBER('Results'!$B$8),ISNUMBER('Results'!$B$9),ISNUMBER('Inputs'!$B$6),ISNUMBER('Inputs'!$B$7),ISNUMBER('Inputs'!$B$8),ISNUMBER('Inputs'!$B$9),ISNUMBER('Inputs'!$B$10),ISNUMBER('Inputs'!$B$21),ISNUMBER('Inputs'!$B$24),ISNUMBER('Inputs'!$B$28)),(('Results'!B7*(0.5*(((U23+'Inputs'!$B$21)+'Inputs'!$B$7)/SQRT(((U23+'Inputs'!$B$21)+'Inputs'!$B$7)^2+('Inputs'!$B$6/2)^2)-((U23+'Inputs'!$B$21))/SQRT(((U23+'Inputs'!$B$21))^2+('Inputs'!$B$6/2)^2)))-'Results'!C7*(0.5*(((U23+'Inputs'!$B$21+'Inputs'!$B$7+'Inputs'!$B$10)+'Inputs'!$B$9)/SQRT(((U23+'Inputs'!$B$21+'Inputs'!$B$7+'Inputs'!$B$10)+'Inputs'!$B$9)^2+('Inputs'!$B$8/2)^2)-((U23+'Inputs'!$B$21+'Inputs'!$B$7+'Inputs'!$B$10))/SQRT(((U23+'Inputs'!$B$21+'Inputs'!$B$7+'Inputs'!$B$10))^2+('Inputs'!$B$8/2)^2))))*'Results'!$B$8*'Results'!$B$9),"")</x:f>
        <x:v>77.26368018589062</x:v>
      </x:c>
      <x:c r="W23" s="22"/>
      <x:c r="X23" s="22"/>
      <x:c r="Y23" s="22" t="n">
        <x:f>IF(AB22&gt;='Results'!B14,AA22,Y22)</x:f>
        <x:v>8.525390625</x:v>
      </x:c>
      <x:c r="Z23" s="22" t="n">
        <x:f>IF(AB22&gt;='Results'!B14,Z22,AA22)</x:f>
        <x:v>8.52569580078125</x:v>
      </x:c>
      <x:c r="AA23" s="22" t="n">
        <x:f>(Y23+Z23)/2</x:f>
        <x:v>8.525543212890625</x:v>
      </x:c>
      <x:c r="AB23" s="22" t="n">
        <x:f>IF(AND(ISNUMBER('Results'!B7),ISNUMBER('Results'!C7),ISNUMBER('Results'!$B$8),ISNUMBER('Results'!$B$9),ISNUMBER('Inputs'!$B$6),ISNUMBER('Inputs'!$B$7),ISNUMBER('Inputs'!$B$8),ISNUMBER('Inputs'!$B$9),ISNUMBER('Inputs'!$B$10),ISNUMBER('Inputs'!$B$21),ISNUMBER('Inputs'!$B$24),ISNUMBER('Inputs'!$B$28)),((('Results'!B7*(1+'Inputs'!$B$24)*(0.5*(((AA23+'Inputs'!$B$21)+'Inputs'!$B$7)/SQRT(((AA23+'Inputs'!$B$21)+'Inputs'!$B$7)^2+('Inputs'!$B$6/2)^2)-((AA23+'Inputs'!$B$21))/SQRT(((AA23+'Inputs'!$B$21))^2+('Inputs'!$B$6/2)^2)))-'Results'!C7*(1-'Inputs'!$B$24)*(0.5*(((AA23+'Inputs'!$B$21+'Inputs'!$B$7+'Inputs'!$B$10)+'Inputs'!$B$9)/SQRT(((AA23+'Inputs'!$B$21+'Inputs'!$B$7+'Inputs'!$B$10)+'Inputs'!$B$9)^2+('Inputs'!$B$8/2)^2)-((AA23+'Inputs'!$B$21+'Inputs'!$B$7+'Inputs'!$B$10))/SQRT(((AA23+'Inputs'!$B$21+'Inputs'!$B$7+'Inputs'!$B$10))^2+('Inputs'!$B$8/2)^2))))*'Results'!$B$8*'Results'!$B$9)+'Inputs'!$B$28*ABS((('Results'!B7*(1+'Inputs'!$B$24)*(0.5*(((AA23+'Inputs'!$B$21)+'Inputs'!$B$7)/SQRT(((AA23+'Inputs'!$B$21)+'Inputs'!$B$7)^2+('Inputs'!$B$6/2)^2)-((AA23+'Inputs'!$B$21))/SQRT(((AA23+'Inputs'!$B$21))^2+('Inputs'!$B$6/2)^2)))-'Results'!C7*(1-'Inputs'!$B$24)*(0.5*(((AA23+'Inputs'!$B$21+'Inputs'!$B$7+'Inputs'!$B$10)+'Inputs'!$B$9)/SQRT(((AA23+'Inputs'!$B$21+'Inputs'!$B$7+'Inputs'!$B$10)+'Inputs'!$B$9)^2+('Inputs'!$B$8/2)^2)-((AA23+'Inputs'!$B$21+'Inputs'!$B$7+'Inputs'!$B$10))/SQRT(((AA23+'Inputs'!$B$21+'Inputs'!$B$7+'Inputs'!$B$10))^2+('Inputs'!$B$8/2)^2))))*'Results'!$B$8*'Results'!$B$9))),"")</x:f>
        <x:v>66.90779952511338</x:v>
      </x:c>
      <x:c r="AC23" s="22"/>
      <x:c r="AD23" s="22"/>
      <x:c r="AE23" s="22" t="n">
        <x:f>IF(AH22&gt;='Results'!C10,AG22,AE22)</x:f>
        <x:v>6.92230224609375</x:v>
      </x:c>
      <x:c r="AF23" s="22" t="n">
        <x:f>IF(AH22&gt;='Results'!C10,AF22,AG22)</x:f>
        <x:v>6.922607421875</x:v>
      </x:c>
      <x:c r="AG23" s="22" t="n">
        <x:f>(AE23+AF23)/2</x:f>
        <x:v>6.922454833984375</x:v>
      </x:c>
      <x:c r="AH23" s="22" t="n">
        <x:f>IF(AND(ISNUMBER('Results'!C7),ISNUMBER('Results'!B7),ISNUMBER('Results'!$B$8),ISNUMBER('Results'!$B$9),ISNUMBER('Inputs'!$B$6),ISNUMBER('Inputs'!$B$7),ISNUMBER('Inputs'!$B$8),ISNUMBER('Inputs'!$B$9),ISNUMBER('Inputs'!$B$10),ISNUMBER('Inputs'!$B$21),ISNUMBER('Inputs'!$B$24),ISNUMBER('Inputs'!$B$28)),(('Results'!C7*(0.5*(((AG23+'Inputs'!$B$21)+'Inputs'!$B$9)/SQRT(((AG23+'Inputs'!$B$21)+'Inputs'!$B$9)^2+('Inputs'!$B$8/2)^2)-((AG23+'Inputs'!$B$21))/SQRT(((AG23+'Inputs'!$B$21))^2+('Inputs'!$B$8/2)^2)))-'Results'!B7*(0.5*(((AG23+'Inputs'!$B$21+'Inputs'!$B$9+'Inputs'!$B$10)+'Inputs'!$B$7)/SQRT(((AG23+'Inputs'!$B$21+'Inputs'!$B$9+'Inputs'!$B$10)+'Inputs'!$B$7)^2+('Inputs'!$B$6/2)^2)-((AG23+'Inputs'!$B$21+'Inputs'!$B$9+'Inputs'!$B$10))/SQRT(((AG23+'Inputs'!$B$21+'Inputs'!$B$9+'Inputs'!$B$10))^2+('Inputs'!$B$6/2)^2))))*'Results'!$B$8*'Results'!$B$9),"")</x:f>
        <x:v>104.014441417656</x:v>
      </x:c>
      <x:c r="AI23" s="22"/>
      <x:c r="AJ23" s="22"/>
      <x:c r="AK23" s="22" t="n">
        <x:f>IF(AN22&gt;='Results'!C12,AM22,AK22)</x:f>
        <x:v>6.34521484375</x:v>
      </x:c>
      <x:c r="AL23" s="22" t="n">
        <x:f>IF(AN22&gt;='Results'!C12,AL22,AM22)</x:f>
        <x:v>6.34552001953125</x:v>
      </x:c>
      <x:c r="AM23" s="22" t="n">
        <x:f>(AK23+AL23)/2</x:f>
        <x:v>6.345367431640625</x:v>
      </x:c>
      <x:c r="AN23" s="22" t="n">
        <x:f>IF(AND(ISNUMBER('Results'!C7),ISNUMBER('Results'!B7),ISNUMBER('Results'!$B$8),ISNUMBER('Results'!$B$9),ISNUMBER('Inputs'!$B$6),ISNUMBER('Inputs'!$B$7),ISNUMBER('Inputs'!$B$8),ISNUMBER('Inputs'!$B$9),ISNUMBER('Inputs'!$B$10),ISNUMBER('Inputs'!$B$21),ISNUMBER('Inputs'!$B$24),ISNUMBER('Inputs'!$B$28)),((('Results'!C7*(1-'Inputs'!$B$24)*(0.5*(((AM23+'Inputs'!$B$21)+'Inputs'!$B$9)/SQRT(((AM23+'Inputs'!$B$21)+'Inputs'!$B$9)^2+('Inputs'!$B$8/2)^2)-((AM23+'Inputs'!$B$21))/SQRT(((AM23+'Inputs'!$B$21))^2+('Inputs'!$B$8/2)^2)))-'Results'!B7*(1+'Inputs'!$B$24)*(0.5*(((AM23+'Inputs'!$B$21+'Inputs'!$B$9+'Inputs'!$B$10)+'Inputs'!$B$7)/SQRT(((AM23+'Inputs'!$B$21+'Inputs'!$B$9+'Inputs'!$B$10)+'Inputs'!$B$7)^2+('Inputs'!$B$6/2)^2)-((AM23+'Inputs'!$B$21+'Inputs'!$B$9+'Inputs'!$B$10))/SQRT(((AM23+'Inputs'!$B$21+'Inputs'!$B$9+'Inputs'!$B$10))^2+('Inputs'!$B$6/2)^2))))*'Results'!$B$8*'Results'!$B$9)-'Inputs'!$B$28*ABS((('Results'!C7*(1-'Inputs'!$B$24)*(0.5*(((AM23+'Inputs'!$B$21)+'Inputs'!$B$9)/SQRT(((AM23+'Inputs'!$B$21)+'Inputs'!$B$9)^2+('Inputs'!$B$8/2)^2)-((AM23+'Inputs'!$B$21))/SQRT(((AM23+'Inputs'!$B$21))^2+('Inputs'!$B$8/2)^2)))-'Results'!B7*(1+'Inputs'!$B$24)*(0.5*(((AM23+'Inputs'!$B$21+'Inputs'!$B$9+'Inputs'!$B$10)+'Inputs'!$B$7)/SQRT(((AM23+'Inputs'!$B$21+'Inputs'!$B$9+'Inputs'!$B$10)+'Inputs'!$B$7)^2+('Inputs'!$B$6/2)^2)-((AM23+'Inputs'!$B$21+'Inputs'!$B$9+'Inputs'!$B$10))/SQRT(((AM23+'Inputs'!$B$21+'Inputs'!$B$9+'Inputs'!$B$10))^2+('Inputs'!$B$6/2)^2))))*'Results'!$B$8*'Results'!$B$9))),"")</x:f>
        <x:v>119.21460838767162</x:v>
      </x:c>
      <x:c r="AO23" s="22"/>
      <x:c r="AP23" s="22"/>
      <x:c r="AQ23" s="22" t="n">
        <x:f>IF(AT22&gt;='Results'!C11,AS22,AQ22)</x:f>
        <x:v>7.55096435546875</x:v>
      </x:c>
      <x:c r="AR23" s="22" t="n">
        <x:f>IF(AT22&gt;='Results'!C11,AR22,AS22)</x:f>
        <x:v>7.55126953125</x:v>
      </x:c>
      <x:c r="AS23" s="22" t="n">
        <x:f>(AQ23+AR23)/2</x:f>
        <x:v>7.551116943359375</x:v>
      </x:c>
      <x:c r="AT23" s="22" t="n">
        <x:f>IF(AND(ISNUMBER('Results'!C7),ISNUMBER('Results'!B7),ISNUMBER('Results'!$B$8),ISNUMBER('Results'!$B$9),ISNUMBER('Inputs'!$B$6),ISNUMBER('Inputs'!$B$7),ISNUMBER('Inputs'!$B$8),ISNUMBER('Inputs'!$B$9),ISNUMBER('Inputs'!$B$10),ISNUMBER('Inputs'!$B$21),ISNUMBER('Inputs'!$B$24),ISNUMBER('Inputs'!$B$28)),((('Results'!C7*(1+'Inputs'!$B$24)*(0.5*(((AS23+'Inputs'!$B$21)+'Inputs'!$B$9)/SQRT(((AS23+'Inputs'!$B$21)+'Inputs'!$B$9)^2+('Inputs'!$B$8/2)^2)-((AS23+'Inputs'!$B$21))/SQRT(((AS23+'Inputs'!$B$21))^2+('Inputs'!$B$8/2)^2)))-'Results'!B7*(1-'Inputs'!$B$24)*(0.5*(((AS23+'Inputs'!$B$21+'Inputs'!$B$9+'Inputs'!$B$10)+'Inputs'!$B$7)/SQRT(((AS23+'Inputs'!$B$21+'Inputs'!$B$9+'Inputs'!$B$10)+'Inputs'!$B$7)^2+('Inputs'!$B$6/2)^2)-((AS23+'Inputs'!$B$21+'Inputs'!$B$9+'Inputs'!$B$10))/SQRT(((AS23+'Inputs'!$B$21+'Inputs'!$B$9+'Inputs'!$B$10))^2+('Inputs'!$B$6/2)^2))))*'Results'!$B$8*'Results'!$B$9)+'Inputs'!$B$28*ABS((('Results'!C7*(1+'Inputs'!$B$24)*(0.5*(((AS23+'Inputs'!$B$21)+'Inputs'!$B$9)/SQRT(((AS23+'Inputs'!$B$21)+'Inputs'!$B$9)^2+('Inputs'!$B$8/2)^2)-((AS23+'Inputs'!$B$21))/SQRT(((AS23+'Inputs'!$B$21))^2+('Inputs'!$B$8/2)^2)))-'Results'!B7*(1-'Inputs'!$B$24)*(0.5*(((AS23+'Inputs'!$B$21+'Inputs'!$B$9+'Inputs'!$B$10)+'Inputs'!$B$7)/SQRT(((AS23+'Inputs'!$B$21+'Inputs'!$B$9+'Inputs'!$B$10)+'Inputs'!$B$7)^2+('Inputs'!$B$6/2)^2)-((AS23+'Inputs'!$B$21+'Inputs'!$B$9+'Inputs'!$B$10))/SQRT(((AS23+'Inputs'!$B$21+'Inputs'!$B$9+'Inputs'!$B$10))^2+('Inputs'!$B$6/2)^2))))*'Results'!$B$8*'Results'!$B$9))),"")</x:f>
        <x:v>89.91536715665166</x:v>
      </x:c>
      <x:c r="AU23" s="22"/>
      <x:c r="AV23" s="22"/>
      <x:c r="AW23" s="22" t="n">
        <x:f>IF(AZ22&gt;='Results'!C13,AY22,AW22)</x:f>
        <x:v>7.58270263671875</x:v>
      </x:c>
      <x:c r="AX23" s="22" t="n">
        <x:f>IF(AZ22&gt;='Results'!C13,AX22,AY22)</x:f>
        <x:v>7.5830078125</x:v>
      </x:c>
      <x:c r="AY23" s="22" t="n">
        <x:f>(AW23+AX23)/2</x:f>
        <x:v>7.582855224609375</x:v>
      </x:c>
      <x:c r="AZ23" s="22" t="n">
        <x:f>IF(AND(ISNUMBER('Results'!C7),ISNUMBER('Results'!B7),ISNUMBER('Results'!$B$8),ISNUMBER('Results'!$B$9),ISNUMBER('Inputs'!$B$6),ISNUMBER('Inputs'!$B$7),ISNUMBER('Inputs'!$B$8),ISNUMBER('Inputs'!$B$9),ISNUMBER('Inputs'!$B$10),ISNUMBER('Inputs'!$B$21),ISNUMBER('Inputs'!$B$24),ISNUMBER('Inputs'!$B$28)),(('Results'!C7*(0.5*(((AY23+'Inputs'!$B$21)+'Inputs'!$B$9)/SQRT(((AY23+'Inputs'!$B$21)+'Inputs'!$B$9)^2+('Inputs'!$B$8/2)^2)-((AY23+'Inputs'!$B$21))/SQRT(((AY23+'Inputs'!$B$21))^2+('Inputs'!$B$8/2)^2)))-'Results'!B7*(0.5*(((AY23+'Inputs'!$B$21+'Inputs'!$B$9+'Inputs'!$B$10)+'Inputs'!$B$7)/SQRT(((AY23+'Inputs'!$B$21+'Inputs'!$B$9+'Inputs'!$B$10)+'Inputs'!$B$7)^2+('Inputs'!$B$6/2)^2)-((AY23+'Inputs'!$B$21+'Inputs'!$B$9+'Inputs'!$B$10))/SQRT(((AY23+'Inputs'!$B$21+'Inputs'!$B$9+'Inputs'!$B$10))^2+('Inputs'!$B$6/2)^2))))*'Results'!$B$8*'Results'!$B$9),"")</x:f>
        <x:v>81.59747570924883</x:v>
      </x:c>
      <x:c r="BA23" s="22"/>
      <x:c r="BB23" s="22"/>
      <x:c r="BC23" s="22" t="n">
        <x:f>IF(BF22&gt;='Results'!C14,BE22,BC22)</x:f>
        <x:v>8.24676513671875</x:v>
      </x:c>
      <x:c r="BD23" s="22" t="n">
        <x:f>IF(BF22&gt;='Results'!C14,BD22,BE22)</x:f>
        <x:v>8.2470703125</x:v>
      </x:c>
      <x:c r="BE23" s="22" t="n">
        <x:f>(BC23+BD23)/2</x:f>
        <x:v>8.246917724609375</x:v>
      </x:c>
      <x:c r="BF23" s="22" t="n">
        <x:f>IF(AND(ISNUMBER('Results'!C7),ISNUMBER('Results'!B7),ISNUMBER('Results'!$B$8),ISNUMBER('Results'!$B$9),ISNUMBER('Inputs'!$B$6),ISNUMBER('Inputs'!$B$7),ISNUMBER('Inputs'!$B$8),ISNUMBER('Inputs'!$B$9),ISNUMBER('Inputs'!$B$10),ISNUMBER('Inputs'!$B$21),ISNUMBER('Inputs'!$B$24),ISNUMBER('Inputs'!$B$28)),((('Results'!C7*(1+'Inputs'!$B$24)*(0.5*(((BE23+'Inputs'!$B$21)+'Inputs'!$B$9)/SQRT(((BE23+'Inputs'!$B$21)+'Inputs'!$B$9)^2+('Inputs'!$B$8/2)^2)-((BE23+'Inputs'!$B$21))/SQRT(((BE23+'Inputs'!$B$21))^2+('Inputs'!$B$8/2)^2)))-'Results'!B7*(1-'Inputs'!$B$24)*(0.5*(((BE23+'Inputs'!$B$21+'Inputs'!$B$9+'Inputs'!$B$10)+'Inputs'!$B$7)/SQRT(((BE23+'Inputs'!$B$21+'Inputs'!$B$9+'Inputs'!$B$10)+'Inputs'!$B$7)^2+('Inputs'!$B$6/2)^2)-((BE23+'Inputs'!$B$21+'Inputs'!$B$9+'Inputs'!$B$10))/SQRT(((BE23+'Inputs'!$B$21+'Inputs'!$B$9+'Inputs'!$B$10))^2+('Inputs'!$B$6/2)^2))))*'Results'!$B$8*'Results'!$B$9)+'Inputs'!$B$28*ABS((('Results'!C7*(1+'Inputs'!$B$24)*(0.5*(((BE23+'Inputs'!$B$21)+'Inputs'!$B$9)/SQRT(((BE23+'Inputs'!$B$21)+'Inputs'!$B$9)^2+('Inputs'!$B$8/2)^2)-((BE23+'Inputs'!$B$21))/SQRT(((BE23+'Inputs'!$B$21))^2+('Inputs'!$B$8/2)^2)))-'Results'!B7*(1-'Inputs'!$B$24)*(0.5*(((BE23+'Inputs'!$B$21+'Inputs'!$B$9+'Inputs'!$B$10)+'Inputs'!$B$7)/SQRT(((BE23+'Inputs'!$B$21+'Inputs'!$B$9+'Inputs'!$B$10)+'Inputs'!$B$7)^2+('Inputs'!$B$6/2)^2)-((BE23+'Inputs'!$B$21+'Inputs'!$B$9+'Inputs'!$B$10))/SQRT(((BE23+'Inputs'!$B$21+'Inputs'!$B$9+'Inputs'!$B$10))^2+('Inputs'!$B$6/2)^2))))*'Results'!$B$8*'Results'!$B$9))),"")</x:f>
        <x:v>70.63945949982721</x:v>
      </x:c>
      <x:c r="BG23" s="22"/>
      <x:c r="BH23" s="22"/>
    </x:row>
    <x:row r="24" ht="22" customHeight="1">
      <x:c r="A24" s="22" t="n">
        <x:f>IF(D23&gt;='Results'!B10,C23,A23)</x:f>
        <x:v>7.177581787109375</x:v>
      </x:c>
      <x:c r="B24" s="22" t="n">
        <x:f>IF(D23&gt;='Results'!B10,B23,C23)</x:f>
        <x:v>7.177734375</x:v>
      </x:c>
      <x:c r="C24" s="22" t="n">
        <x:f>(A24+B24)/2</x:f>
        <x:v>7.1776580810546875</x:v>
      </x:c>
      <x:c r="D24" s="22" t="n">
        <x:f>IF(AND(ISNUMBER('Results'!B7),ISNUMBER('Results'!C7),ISNUMBER('Results'!$B$8),ISNUMBER('Results'!$B$9),ISNUMBER('Inputs'!$B$6),ISNUMBER('Inputs'!$B$7),ISNUMBER('Inputs'!$B$8),ISNUMBER('Inputs'!$B$9),ISNUMBER('Inputs'!$B$10),ISNUMBER('Inputs'!$B$21),ISNUMBER('Inputs'!$B$24),ISNUMBER('Inputs'!$B$28)),(('Results'!B7*(0.5*(((C24+'Inputs'!$B$21)+'Inputs'!$B$7)/SQRT(((C24+'Inputs'!$B$21)+'Inputs'!$B$7)^2+('Inputs'!$B$6/2)^2)-((C24+'Inputs'!$B$21))/SQRT(((C24+'Inputs'!$B$21))^2+('Inputs'!$B$6/2)^2)))-'Results'!C7*(0.5*(((C24+'Inputs'!$B$21+'Inputs'!$B$7+'Inputs'!$B$10)+'Inputs'!$B$9)/SQRT(((C24+'Inputs'!$B$21+'Inputs'!$B$7+'Inputs'!$B$10)+'Inputs'!$B$9)^2+('Inputs'!$B$8/2)^2)-((C24+'Inputs'!$B$21+'Inputs'!$B$7+'Inputs'!$B$10))/SQRT(((C24+'Inputs'!$B$21+'Inputs'!$B$7+'Inputs'!$B$10))^2+('Inputs'!$B$8/2)^2))))*'Results'!$B$8*'Results'!$B$9),"")</x:f>
        <x:v>98.08021663794817</x:v>
      </x:c>
      <x:c r="E24" s="22"/>
      <x:c r="F24" s="22"/>
      <x:c r="G24" s="22" t="n">
        <x:f>IF(J23&gt;='Results'!B12,I23,G23)</x:f>
        <x:v>6.586456298828125</x:v>
      </x:c>
      <x:c r="H24" s="22" t="n">
        <x:f>IF(J23&gt;='Results'!B12,H23,I23)</x:f>
        <x:v>6.58660888671875</x:v>
      </x:c>
      <x:c r="I24" s="22" t="n">
        <x:f>(G24+H24)/2</x:f>
        <x:v>6.5865325927734375</x:v>
      </x:c>
      <x:c r="J24" s="22" t="n">
        <x:f>IF(AND(ISNUMBER('Results'!B7),ISNUMBER('Results'!C7),ISNUMBER('Results'!$B$8),ISNUMBER('Results'!$B$9),ISNUMBER('Inputs'!$B$6),ISNUMBER('Inputs'!$B$7),ISNUMBER('Inputs'!$B$8),ISNUMBER('Inputs'!$B$9),ISNUMBER('Inputs'!$B$10),ISNUMBER('Inputs'!$B$21),ISNUMBER('Inputs'!$B$24),ISNUMBER('Inputs'!$B$28)),((('Results'!B7*(1-'Inputs'!$B$24)*(0.5*(((I24+'Inputs'!$B$21)+'Inputs'!$B$7)/SQRT(((I24+'Inputs'!$B$21)+'Inputs'!$B$7)^2+('Inputs'!$B$6/2)^2)-((I24+'Inputs'!$B$21))/SQRT(((I24+'Inputs'!$B$21))^2+('Inputs'!$B$6/2)^2)))-'Results'!C7*(1+'Inputs'!$B$24)*(0.5*(((I24+'Inputs'!$B$21+'Inputs'!$B$7+'Inputs'!$B$10)+'Inputs'!$B$9)/SQRT(((I24+'Inputs'!$B$21+'Inputs'!$B$7+'Inputs'!$B$10)+'Inputs'!$B$9)^2+('Inputs'!$B$8/2)^2)-((I24+'Inputs'!$B$21+'Inputs'!$B$7+'Inputs'!$B$10))/SQRT(((I24+'Inputs'!$B$21+'Inputs'!$B$7+'Inputs'!$B$10))^2+('Inputs'!$B$8/2)^2))))*'Results'!$B$8*'Results'!$B$9)-'Inputs'!$B$28*ABS((('Results'!B7*(1-'Inputs'!$B$24)*(0.5*(((I24+'Inputs'!$B$21)+'Inputs'!$B$7)/SQRT(((I24+'Inputs'!$B$21)+'Inputs'!$B$7)^2+('Inputs'!$B$6/2)^2)-((I24+'Inputs'!$B$21))/SQRT(((I24+'Inputs'!$B$21))^2+('Inputs'!$B$6/2)^2)))-'Results'!C7*(1+'Inputs'!$B$24)*(0.5*(((I24+'Inputs'!$B$21+'Inputs'!$B$7+'Inputs'!$B$10)+'Inputs'!$B$9)/SQRT(((I24+'Inputs'!$B$21+'Inputs'!$B$7+'Inputs'!$B$10)+'Inputs'!$B$9)^2+('Inputs'!$B$8/2)^2)-((I24+'Inputs'!$B$21+'Inputs'!$B$7+'Inputs'!$B$10))/SQRT(((I24+'Inputs'!$B$21+'Inputs'!$B$7+'Inputs'!$B$10))^2+('Inputs'!$B$8/2)^2))))*'Results'!$B$8*'Results'!$B$9))),"")</x:f>
        <x:v>112.38538869979308</x:v>
      </x:c>
      <x:c r="K24" s="22"/>
      <x:c r="L24" s="22"/>
      <x:c r="M24" s="22" t="n">
        <x:f>IF(P23&gt;='Results'!B11,O23,M23)</x:f>
        <x:v>7.821807861328125</x:v>
      </x:c>
      <x:c r="N24" s="22" t="n">
        <x:f>IF(P23&gt;='Results'!B11,N23,O23)</x:f>
        <x:v>7.82196044921875</x:v>
      </x:c>
      <x:c r="O24" s="22" t="n">
        <x:f>(M24+N24)/2</x:f>
        <x:v>7.8218841552734375</x:v>
      </x:c>
      <x:c r="P24" s="22" t="n">
        <x:f>IF(AND(ISNUMBER('Results'!B7),ISNUMBER('Results'!C7),ISNUMBER('Results'!$B$8),ISNUMBER('Results'!$B$9),ISNUMBER('Inputs'!$B$6),ISNUMBER('Inputs'!$B$7),ISNUMBER('Inputs'!$B$8),ISNUMBER('Inputs'!$B$9),ISNUMBER('Inputs'!$B$10),ISNUMBER('Inputs'!$B$21),ISNUMBER('Inputs'!$B$24),ISNUMBER('Inputs'!$B$28)),((('Results'!B7*(1+'Inputs'!$B$24)*(0.5*(((O24+'Inputs'!$B$21)+'Inputs'!$B$7)/SQRT(((O24+'Inputs'!$B$21)+'Inputs'!$B$7)^2+('Inputs'!$B$6/2)^2)-((O24+'Inputs'!$B$21))/SQRT(((O24+'Inputs'!$B$21))^2+('Inputs'!$B$6/2)^2)))-'Results'!C7*(1-'Inputs'!$B$24)*(0.5*(((O24+'Inputs'!$B$21+'Inputs'!$B$7+'Inputs'!$B$10)+'Inputs'!$B$9)/SQRT(((O24+'Inputs'!$B$21+'Inputs'!$B$7+'Inputs'!$B$10)+'Inputs'!$B$9)^2+('Inputs'!$B$8/2)^2)-((O24+'Inputs'!$B$21+'Inputs'!$B$7+'Inputs'!$B$10))/SQRT(((O24+'Inputs'!$B$21+'Inputs'!$B$7+'Inputs'!$B$10))^2+('Inputs'!$B$8/2)^2))))*'Results'!$B$8*'Results'!$B$9)+'Inputs'!$B$28*ABS((('Results'!B7*(1+'Inputs'!$B$24)*(0.5*(((O24+'Inputs'!$B$21)+'Inputs'!$B$7)/SQRT(((O24+'Inputs'!$B$21)+'Inputs'!$B$7)^2+('Inputs'!$B$6/2)^2)-((O24+'Inputs'!$B$21))/SQRT(((O24+'Inputs'!$B$21))^2+('Inputs'!$B$6/2)^2)))-'Results'!C7*(1-'Inputs'!$B$24)*(0.5*(((O24+'Inputs'!$B$21+'Inputs'!$B$7+'Inputs'!$B$10)+'Inputs'!$B$9)/SQRT(((O24+'Inputs'!$B$21+'Inputs'!$B$7+'Inputs'!$B$10)+'Inputs'!$B$9)^2+('Inputs'!$B$8/2)^2)-((O24+'Inputs'!$B$21+'Inputs'!$B$7+'Inputs'!$B$10))/SQRT(((O24+'Inputs'!$B$21+'Inputs'!$B$7+'Inputs'!$B$10))^2+('Inputs'!$B$8/2)^2))))*'Results'!$B$8*'Results'!$B$9))),"")</x:f>
        <x:v>84.81866327684654</x:v>
      </x:c>
      <x:c r="Q24" s="22"/>
      <x:c r="R24" s="22"/>
      <x:c r="S24" s="22" t="n">
        <x:f>IF(V23&gt;='Results'!B13,U23,S23)</x:f>
        <x:v>7.844696044921875</x:v>
      </x:c>
      <x:c r="T24" s="22" t="n">
        <x:f>IF(V23&gt;='Results'!B13,T23,U23)</x:f>
        <x:v>7.8448486328125</x:v>
      </x:c>
      <x:c r="U24" s="22" t="n">
        <x:f>(S24+T24)/2</x:f>
        <x:v>7.8447723388671875</x:v>
      </x:c>
      <x:c r="V24" s="22" t="n">
        <x:f>IF(AND(ISNUMBER('Results'!B7),ISNUMBER('Results'!C7),ISNUMBER('Results'!$B$8),ISNUMBER('Results'!$B$9),ISNUMBER('Inputs'!$B$6),ISNUMBER('Inputs'!$B$7),ISNUMBER('Inputs'!$B$8),ISNUMBER('Inputs'!$B$9),ISNUMBER('Inputs'!$B$10),ISNUMBER('Inputs'!$B$21),ISNUMBER('Inputs'!$B$24),ISNUMBER('Inputs'!$B$28)),(('Results'!B7*(0.5*(((U24+'Inputs'!$B$21)+'Inputs'!$B$7)/SQRT(((U24+'Inputs'!$B$21)+'Inputs'!$B$7)^2+('Inputs'!$B$6/2)^2)-((U24+'Inputs'!$B$21))/SQRT(((U24+'Inputs'!$B$21))^2+('Inputs'!$B$6/2)^2)))-'Results'!C7*(0.5*(((U24+'Inputs'!$B$21+'Inputs'!$B$7+'Inputs'!$B$10)+'Inputs'!$B$9)/SQRT(((U24+'Inputs'!$B$21+'Inputs'!$B$7+'Inputs'!$B$10)+'Inputs'!$B$9)^2+('Inputs'!$B$8/2)^2)-((U24+'Inputs'!$B$21+'Inputs'!$B$7+'Inputs'!$B$10))/SQRT(((U24+'Inputs'!$B$21+'Inputs'!$B$7+'Inputs'!$B$10))^2+('Inputs'!$B$8/2)^2))))*'Results'!$B$8*'Results'!$B$9),"")</x:f>
        <x:v>77.26162784312876</x:v>
      </x:c>
      <x:c r="W24" s="22"/>
      <x:c r="X24" s="22"/>
      <x:c r="Y24" s="22" t="n">
        <x:f>IF(AB23&gt;='Results'!B14,AA23,Y23)</x:f>
        <x:v>8.525543212890625</x:v>
      </x:c>
      <x:c r="Z24" s="22" t="n">
        <x:f>IF(AB23&gt;='Results'!B14,Z23,AA23)</x:f>
        <x:v>8.52569580078125</x:v>
      </x:c>
      <x:c r="AA24" s="22" t="n">
        <x:f>(Y24+Z24)/2</x:f>
        <x:v>8.525619506835938</x:v>
      </x:c>
      <x:c r="AB24" s="22" t="n">
        <x:f>IF(AND(ISNUMBER('Results'!B7),ISNUMBER('Results'!C7),ISNUMBER('Results'!$B$8),ISNUMBER('Results'!$B$9),ISNUMBER('Inputs'!$B$6),ISNUMBER('Inputs'!$B$7),ISNUMBER('Inputs'!$B$8),ISNUMBER('Inputs'!$B$9),ISNUMBER('Inputs'!$B$10),ISNUMBER('Inputs'!$B$21),ISNUMBER('Inputs'!$B$24),ISNUMBER('Inputs'!$B$28)),((('Results'!B7*(1+'Inputs'!$B$24)*(0.5*(((AA24+'Inputs'!$B$21)+'Inputs'!$B$7)/SQRT(((AA24+'Inputs'!$B$21)+'Inputs'!$B$7)^2+('Inputs'!$B$6/2)^2)-((AA24+'Inputs'!$B$21))/SQRT(((AA24+'Inputs'!$B$21))^2+('Inputs'!$B$6/2)^2)))-'Results'!C7*(1-'Inputs'!$B$24)*(0.5*(((AA24+'Inputs'!$B$21+'Inputs'!$B$7+'Inputs'!$B$10)+'Inputs'!$B$9)/SQRT(((AA24+'Inputs'!$B$21+'Inputs'!$B$7+'Inputs'!$B$10)+'Inputs'!$B$9)^2+('Inputs'!$B$8/2)^2)-((AA24+'Inputs'!$B$21+'Inputs'!$B$7+'Inputs'!$B$10))/SQRT(((AA24+'Inputs'!$B$21+'Inputs'!$B$7+'Inputs'!$B$10))^2+('Inputs'!$B$8/2)^2))))*'Results'!$B$8*'Results'!$B$9)+'Inputs'!$B$28*ABS((('Results'!B7*(1+'Inputs'!$B$24)*(0.5*(((AA24+'Inputs'!$B$21)+'Inputs'!$B$7)/SQRT(((AA24+'Inputs'!$B$21)+'Inputs'!$B$7)^2+('Inputs'!$B$6/2)^2)-((AA24+'Inputs'!$B$21))/SQRT(((AA24+'Inputs'!$B$21))^2+('Inputs'!$B$6/2)^2)))-'Results'!C7*(1-'Inputs'!$B$24)*(0.5*(((AA24+'Inputs'!$B$21+'Inputs'!$B$7+'Inputs'!$B$10)+'Inputs'!$B$9)/SQRT(((AA24+'Inputs'!$B$21+'Inputs'!$B$7+'Inputs'!$B$10)+'Inputs'!$B$9)^2+('Inputs'!$B$8/2)^2)-((AA24+'Inputs'!$B$21+'Inputs'!$B$7+'Inputs'!$B$10))/SQRT(((AA24+'Inputs'!$B$21+'Inputs'!$B$7+'Inputs'!$B$10))^2+('Inputs'!$B$8/2)^2))))*'Results'!$B$8*'Results'!$B$9))),"")</x:f>
        <x:v>66.90612584218853</x:v>
      </x:c>
      <x:c r="AC24" s="22"/>
      <x:c r="AD24" s="22"/>
      <x:c r="AE24" s="22" t="n">
        <x:f>IF(AH23&gt;='Results'!C10,AG23,AE23)</x:f>
        <x:v>6.922454833984375</x:v>
      </x:c>
      <x:c r="AF24" s="22" t="n">
        <x:f>IF(AH23&gt;='Results'!C10,AF23,AG23)</x:f>
        <x:v>6.922607421875</x:v>
      </x:c>
      <x:c r="AG24" s="22" t="n">
        <x:f>(AE24+AF24)/2</x:f>
        <x:v>6.9225311279296875</x:v>
      </x:c>
      <x:c r="AH24" s="22" t="n">
        <x:f>IF(AND(ISNUMBER('Results'!C7),ISNUMBER('Results'!B7),ISNUMBER('Results'!$B$8),ISNUMBER('Results'!$B$9),ISNUMBER('Inputs'!$B$6),ISNUMBER('Inputs'!$B$7),ISNUMBER('Inputs'!$B$8),ISNUMBER('Inputs'!$B$9),ISNUMBER('Inputs'!$B$10),ISNUMBER('Inputs'!$B$21),ISNUMBER('Inputs'!$B$24),ISNUMBER('Inputs'!$B$28)),(('Results'!C7*(0.5*(((AG24+'Inputs'!$B$21)+'Inputs'!$B$9)/SQRT(((AG24+'Inputs'!$B$21)+'Inputs'!$B$9)^2+('Inputs'!$B$8/2)^2)-((AG24+'Inputs'!$B$21))/SQRT(((AG24+'Inputs'!$B$21))^2+('Inputs'!$B$8/2)^2)))-'Results'!B7*(0.5*(((AG24+'Inputs'!$B$21+'Inputs'!$B$9+'Inputs'!$B$10)+'Inputs'!$B$7)/SQRT(((AG24+'Inputs'!$B$21+'Inputs'!$B$9+'Inputs'!$B$10)+'Inputs'!$B$7)^2+('Inputs'!$B$6/2)^2)-((AG24+'Inputs'!$B$21+'Inputs'!$B$9+'Inputs'!$B$10))/SQRT(((AG24+'Inputs'!$B$21+'Inputs'!$B$9+'Inputs'!$B$10))^2+('Inputs'!$B$6/2)^2))))*'Results'!$B$8*'Results'!$B$9),"")</x:f>
        <x:v>104.01144620737978</x:v>
      </x:c>
      <x:c r="AI24" s="22"/>
      <x:c r="AJ24" s="22"/>
      <x:c r="AK24" s="22" t="n">
        <x:f>IF(AN23&gt;='Results'!C12,AM23,AK23)</x:f>
        <x:v>6.34521484375</x:v>
      </x:c>
      <x:c r="AL24" s="22" t="n">
        <x:f>IF(AN23&gt;='Results'!C12,AL23,AM23)</x:f>
        <x:v>6.345367431640625</x:v>
      </x:c>
      <x:c r="AM24" s="22" t="n">
        <x:f>(AK24+AL24)/2</x:f>
        <x:v>6.3452911376953125</x:v>
      </x:c>
      <x:c r="AN24" s="22" t="n">
        <x:f>IF(AND(ISNUMBER('Results'!C7),ISNUMBER('Results'!B7),ISNUMBER('Results'!$B$8),ISNUMBER('Results'!$B$9),ISNUMBER('Inputs'!$B$6),ISNUMBER('Inputs'!$B$7),ISNUMBER('Inputs'!$B$8),ISNUMBER('Inputs'!$B$9),ISNUMBER('Inputs'!$B$10),ISNUMBER('Inputs'!$B$21),ISNUMBER('Inputs'!$B$24),ISNUMBER('Inputs'!$B$28)),((('Results'!C7*(1-'Inputs'!$B$24)*(0.5*(((AM24+'Inputs'!$B$21)+'Inputs'!$B$9)/SQRT(((AM24+'Inputs'!$B$21)+'Inputs'!$B$9)^2+('Inputs'!$B$8/2)^2)-((AM24+'Inputs'!$B$21))/SQRT(((AM24+'Inputs'!$B$21))^2+('Inputs'!$B$8/2)^2)))-'Results'!B7*(1+'Inputs'!$B$24)*(0.5*(((AM24+'Inputs'!$B$21+'Inputs'!$B$9+'Inputs'!$B$10)+'Inputs'!$B$7)/SQRT(((AM24+'Inputs'!$B$21+'Inputs'!$B$9+'Inputs'!$B$10)+'Inputs'!$B$7)^2+('Inputs'!$B$6/2)^2)-((AM24+'Inputs'!$B$21+'Inputs'!$B$9+'Inputs'!$B$10))/SQRT(((AM24+'Inputs'!$B$21+'Inputs'!$B$9+'Inputs'!$B$10))^2+('Inputs'!$B$6/2)^2))))*'Results'!$B$8*'Results'!$B$9)-'Inputs'!$B$28*ABS((('Results'!C7*(1-'Inputs'!$B$24)*(0.5*(((AM24+'Inputs'!$B$21)+'Inputs'!$B$9)/SQRT(((AM24+'Inputs'!$B$21)+'Inputs'!$B$9)^2+('Inputs'!$B$8/2)^2)-((AM24+'Inputs'!$B$21))/SQRT(((AM24+'Inputs'!$B$21))^2+('Inputs'!$B$8/2)^2)))-'Results'!B7*(1+'Inputs'!$B$24)*(0.5*(((AM24+'Inputs'!$B$21+'Inputs'!$B$9+'Inputs'!$B$10)+'Inputs'!$B$7)/SQRT(((AM24+'Inputs'!$B$21+'Inputs'!$B$9+'Inputs'!$B$10)+'Inputs'!$B$7)^2+('Inputs'!$B$6/2)^2)-((AM24+'Inputs'!$B$21+'Inputs'!$B$9+'Inputs'!$B$10))/SQRT(((AM24+'Inputs'!$B$21+'Inputs'!$B$9+'Inputs'!$B$10))^2+('Inputs'!$B$6/2)^2))))*'Results'!$B$8*'Results'!$B$9))),"")</x:f>
        <x:v>119.21822917172074</x:v>
      </x:c>
      <x:c r="AO24" s="22"/>
      <x:c r="AP24" s="22"/>
      <x:c r="AQ24" s="22" t="n">
        <x:f>IF(AT23&gt;='Results'!C11,AS23,AQ23)</x:f>
        <x:v>7.551116943359375</x:v>
      </x:c>
      <x:c r="AR24" s="22" t="n">
        <x:f>IF(AT23&gt;='Results'!C11,AR23,AS23)</x:f>
        <x:v>7.55126953125</x:v>
      </x:c>
      <x:c r="AS24" s="22" t="n">
        <x:f>(AQ24+AR24)/2</x:f>
        <x:v>7.5511932373046875</x:v>
      </x:c>
      <x:c r="AT24" s="22" t="n">
        <x:f>IF(AND(ISNUMBER('Results'!C7),ISNUMBER('Results'!B7),ISNUMBER('Results'!$B$8),ISNUMBER('Results'!$B$9),ISNUMBER('Inputs'!$B$6),ISNUMBER('Inputs'!$B$7),ISNUMBER('Inputs'!$B$8),ISNUMBER('Inputs'!$B$9),ISNUMBER('Inputs'!$B$10),ISNUMBER('Inputs'!$B$21),ISNUMBER('Inputs'!$B$24),ISNUMBER('Inputs'!$B$28)),((('Results'!C7*(1+'Inputs'!$B$24)*(0.5*(((AS24+'Inputs'!$B$21)+'Inputs'!$B$9)/SQRT(((AS24+'Inputs'!$B$21)+'Inputs'!$B$9)^2+('Inputs'!$B$8/2)^2)-((AS24+'Inputs'!$B$21))/SQRT(((AS24+'Inputs'!$B$21))^2+('Inputs'!$B$8/2)^2)))-'Results'!B7*(1-'Inputs'!$B$24)*(0.5*(((AS24+'Inputs'!$B$21+'Inputs'!$B$9+'Inputs'!$B$10)+'Inputs'!$B$7)/SQRT(((AS24+'Inputs'!$B$21+'Inputs'!$B$9+'Inputs'!$B$10)+'Inputs'!$B$7)^2+('Inputs'!$B$6/2)^2)-((AS24+'Inputs'!$B$21+'Inputs'!$B$9+'Inputs'!$B$10))/SQRT(((AS24+'Inputs'!$B$21+'Inputs'!$B$9+'Inputs'!$B$10))^2+('Inputs'!$B$6/2)^2))))*'Results'!$B$8*'Results'!$B$9)+'Inputs'!$B$28*ABS((('Results'!C7*(1+'Inputs'!$B$24)*(0.5*(((AS24+'Inputs'!$B$21)+'Inputs'!$B$9)/SQRT(((AS24+'Inputs'!$B$21)+'Inputs'!$B$9)^2+('Inputs'!$B$8/2)^2)-((AS24+'Inputs'!$B$21))/SQRT(((AS24+'Inputs'!$B$21))^2+('Inputs'!$B$8/2)^2)))-'Results'!B7*(1-'Inputs'!$B$24)*(0.5*(((AS24+'Inputs'!$B$21+'Inputs'!$B$9+'Inputs'!$B$10)+'Inputs'!$B$7)/SQRT(((AS24+'Inputs'!$B$21+'Inputs'!$B$9+'Inputs'!$B$10)+'Inputs'!$B$7)^2+('Inputs'!$B$6/2)^2)-((AS24+'Inputs'!$B$21+'Inputs'!$B$9+'Inputs'!$B$10))/SQRT(((AS24+'Inputs'!$B$21+'Inputs'!$B$9+'Inputs'!$B$10))^2+('Inputs'!$B$6/2)^2))))*'Results'!$B$8*'Results'!$B$9))),"")</x:f>
        <x:v>89.91292191797798</x:v>
      </x:c>
      <x:c r="AU24" s="22"/>
      <x:c r="AV24" s="22"/>
      <x:c r="AW24" s="22" t="n">
        <x:f>IF(AZ23&gt;='Results'!C13,AY23,AW23)</x:f>
        <x:v>7.58270263671875</x:v>
      </x:c>
      <x:c r="AX24" s="22" t="n">
        <x:f>IF(AZ23&gt;='Results'!C13,AX23,AY23)</x:f>
        <x:v>7.582855224609375</x:v>
      </x:c>
      <x:c r="AY24" s="22" t="n">
        <x:f>(AW24+AX24)/2</x:f>
        <x:v>7.5827789306640625</x:v>
      </x:c>
      <x:c r="AZ24" s="22" t="n">
        <x:f>IF(AND(ISNUMBER('Results'!C7),ISNUMBER('Results'!B7),ISNUMBER('Results'!$B$8),ISNUMBER('Results'!$B$9),ISNUMBER('Inputs'!$B$6),ISNUMBER('Inputs'!$B$7),ISNUMBER('Inputs'!$B$8),ISNUMBER('Inputs'!$B$9),ISNUMBER('Inputs'!$B$10),ISNUMBER('Inputs'!$B$21),ISNUMBER('Inputs'!$B$24),ISNUMBER('Inputs'!$B$28)),(('Results'!C7*(0.5*(((AY24+'Inputs'!$B$21)+'Inputs'!$B$9)/SQRT(((AY24+'Inputs'!$B$21)+'Inputs'!$B$9)^2+('Inputs'!$B$8/2)^2)-((AY24+'Inputs'!$B$21))/SQRT(((AY24+'Inputs'!$B$21))^2+('Inputs'!$B$8/2)^2)))-'Results'!B7*(0.5*(((AY24+'Inputs'!$B$21+'Inputs'!$B$9+'Inputs'!$B$10)+'Inputs'!$B$7)/SQRT(((AY24+'Inputs'!$B$21+'Inputs'!$B$9+'Inputs'!$B$10)+'Inputs'!$B$7)^2+('Inputs'!$B$6/2)^2)-((AY24+'Inputs'!$B$21+'Inputs'!$B$9+'Inputs'!$B$10))/SQRT(((AY24+'Inputs'!$B$21+'Inputs'!$B$9+'Inputs'!$B$10))^2+('Inputs'!$B$6/2)^2))))*'Results'!$B$8*'Results'!$B$9),"")</x:f>
        <x:v>81.59970387599483</x:v>
      </x:c>
      <x:c r="BA24" s="22"/>
      <x:c r="BB24" s="22"/>
      <x:c r="BC24" s="22" t="n">
        <x:f>IF(BF23&gt;='Results'!C14,BE23,BC23)</x:f>
        <x:v>8.24676513671875</x:v>
      </x:c>
      <x:c r="BD24" s="22" t="n">
        <x:f>IF(BF23&gt;='Results'!C14,BD23,BE23)</x:f>
        <x:v>8.246917724609375</x:v>
      </x:c>
      <x:c r="BE24" s="22" t="n">
        <x:f>(BC24+BD24)/2</x:f>
        <x:v>8.246841430664062</x:v>
      </x:c>
      <x:c r="BF24" s="22" t="n">
        <x:f>IF(AND(ISNUMBER('Results'!C7),ISNUMBER('Results'!B7),ISNUMBER('Results'!$B$8),ISNUMBER('Results'!$B$9),ISNUMBER('Inputs'!$B$6),ISNUMBER('Inputs'!$B$7),ISNUMBER('Inputs'!$B$8),ISNUMBER('Inputs'!$B$9),ISNUMBER('Inputs'!$B$10),ISNUMBER('Inputs'!$B$21),ISNUMBER('Inputs'!$B$24),ISNUMBER('Inputs'!$B$28)),((('Results'!C7*(1+'Inputs'!$B$24)*(0.5*(((BE24+'Inputs'!$B$21)+'Inputs'!$B$9)/SQRT(((BE24+'Inputs'!$B$21)+'Inputs'!$B$9)^2+('Inputs'!$B$8/2)^2)-((BE24+'Inputs'!$B$21))/SQRT(((BE24+'Inputs'!$B$21))^2+('Inputs'!$B$8/2)^2)))-'Results'!B7*(1-'Inputs'!$B$24)*(0.5*(((BE24+'Inputs'!$B$21+'Inputs'!$B$9+'Inputs'!$B$10)+'Inputs'!$B$7)/SQRT(((BE24+'Inputs'!$B$21+'Inputs'!$B$9+'Inputs'!$B$10)+'Inputs'!$B$7)^2+('Inputs'!$B$6/2)^2)-((BE24+'Inputs'!$B$21+'Inputs'!$B$9+'Inputs'!$B$10))/SQRT(((BE24+'Inputs'!$B$21+'Inputs'!$B$9+'Inputs'!$B$10))^2+('Inputs'!$B$6/2)^2))))*'Results'!$B$8*'Results'!$B$9)+'Inputs'!$B$28*ABS((('Results'!C7*(1+'Inputs'!$B$24)*(0.5*(((BE24+'Inputs'!$B$21)+'Inputs'!$B$9)/SQRT(((BE24+'Inputs'!$B$21)+'Inputs'!$B$9)^2+('Inputs'!$B$8/2)^2)-((BE24+'Inputs'!$B$21))/SQRT(((BE24+'Inputs'!$B$21))^2+('Inputs'!$B$8/2)^2)))-'Results'!B7*(1-'Inputs'!$B$24)*(0.5*(((BE24+'Inputs'!$B$21+'Inputs'!$B$9+'Inputs'!$B$10)+'Inputs'!$B$7)/SQRT(((BE24+'Inputs'!$B$21+'Inputs'!$B$9+'Inputs'!$B$10)+'Inputs'!$B$7)^2+('Inputs'!$B$6/2)^2)-((BE24+'Inputs'!$B$21+'Inputs'!$B$9+'Inputs'!$B$10))/SQRT(((BE24+'Inputs'!$B$21+'Inputs'!$B$9+'Inputs'!$B$10))^2+('Inputs'!$B$6/2)^2))))*'Results'!$B$8*'Results'!$B$9))),"")</x:f>
        <x:v>70.64127764329106</x:v>
      </x:c>
      <x:c r="BG24" s="22"/>
      <x:c r="BH24" s="22"/>
    </x:row>
    <x:row r="25" ht="22" customHeight="1">
      <x:c r="A25" s="22" t="n">
        <x:f>IF(D24&gt;='Results'!B10,C24,A24)</x:f>
        <x:v>7.177581787109375</x:v>
      </x:c>
      <x:c r="B25" s="22" t="n">
        <x:f>IF(D24&gt;='Results'!B10,B24,C24)</x:f>
        <x:v>7.1776580810546875</x:v>
      </x:c>
      <x:c r="C25" s="22" t="n">
        <x:f>(A25+B25)/2</x:f>
        <x:v>7.177619934082031</x:v>
      </x:c>
      <x:c r="D25" s="22" t="n">
        <x:f>IF(AND(ISNUMBER('Results'!B7),ISNUMBER('Results'!C7),ISNUMBER('Results'!$B$8),ISNUMBER('Results'!$B$9),ISNUMBER('Inputs'!$B$6),ISNUMBER('Inputs'!$B$7),ISNUMBER('Inputs'!$B$8),ISNUMBER('Inputs'!$B$9),ISNUMBER('Inputs'!$B$10),ISNUMBER('Inputs'!$B$21),ISNUMBER('Inputs'!$B$24),ISNUMBER('Inputs'!$B$28)),(('Results'!B7*(0.5*(((C25+'Inputs'!$B$21)+'Inputs'!$B$7)/SQRT(((C25+'Inputs'!$B$21)+'Inputs'!$B$7)^2+('Inputs'!$B$6/2)^2)-((C25+'Inputs'!$B$21))/SQRT(((C25+'Inputs'!$B$21))^2+('Inputs'!$B$6/2)^2)))-'Results'!C7*(0.5*(((C25+'Inputs'!$B$21+'Inputs'!$B$7+'Inputs'!$B$10)+'Inputs'!$B$9)/SQRT(((C25+'Inputs'!$B$21+'Inputs'!$B$7+'Inputs'!$B$10)+'Inputs'!$B$9)^2+('Inputs'!$B$8/2)^2)-((C25+'Inputs'!$B$21+'Inputs'!$B$7+'Inputs'!$B$10))/SQRT(((C25+'Inputs'!$B$21+'Inputs'!$B$7+'Inputs'!$B$10))^2+('Inputs'!$B$8/2)^2))))*'Results'!$B$8*'Results'!$B$9),"")</x:f>
        <x:v>98.08159116331731</x:v>
      </x:c>
      <x:c r="E25" s="22"/>
      <x:c r="F25" s="22"/>
      <x:c r="G25" s="22" t="n">
        <x:f>IF(J24&gt;='Results'!B12,I24,G24)</x:f>
        <x:v>6.5865325927734375</x:v>
      </x:c>
      <x:c r="H25" s="22" t="n">
        <x:f>IF(J24&gt;='Results'!B12,H24,I24)</x:f>
        <x:v>6.58660888671875</x:v>
      </x:c>
      <x:c r="I25" s="22" t="n">
        <x:f>(G25+H25)/2</x:f>
        <x:v>6.586570739746094</x:v>
      </x:c>
      <x:c r="J25" s="22" t="n">
        <x:f>IF(AND(ISNUMBER('Results'!B7),ISNUMBER('Results'!C7),ISNUMBER('Results'!$B$8),ISNUMBER('Results'!$B$9),ISNUMBER('Inputs'!$B$6),ISNUMBER('Inputs'!$B$7),ISNUMBER('Inputs'!$B$8),ISNUMBER('Inputs'!$B$9),ISNUMBER('Inputs'!$B$10),ISNUMBER('Inputs'!$B$21),ISNUMBER('Inputs'!$B$24),ISNUMBER('Inputs'!$B$28)),((('Results'!B7*(1-'Inputs'!$B$24)*(0.5*(((I25+'Inputs'!$B$21)+'Inputs'!$B$7)/SQRT(((I25+'Inputs'!$B$21)+'Inputs'!$B$7)^2+('Inputs'!$B$6/2)^2)-((I25+'Inputs'!$B$21))/SQRT(((I25+'Inputs'!$B$21))^2+('Inputs'!$B$6/2)^2)))-'Results'!C7*(1+'Inputs'!$B$24)*(0.5*(((I25+'Inputs'!$B$21+'Inputs'!$B$7+'Inputs'!$B$10)+'Inputs'!$B$9)/SQRT(((I25+'Inputs'!$B$21+'Inputs'!$B$7+'Inputs'!$B$10)+'Inputs'!$B$9)^2+('Inputs'!$B$8/2)^2)-((I25+'Inputs'!$B$21+'Inputs'!$B$7+'Inputs'!$B$10))/SQRT(((I25+'Inputs'!$B$21+'Inputs'!$B$7+'Inputs'!$B$10))^2+('Inputs'!$B$8/2)^2))))*'Results'!$B$8*'Results'!$B$9)-'Inputs'!$B$28*ABS((('Results'!B7*(1-'Inputs'!$B$24)*(0.5*(((I25+'Inputs'!$B$21)+'Inputs'!$B$7)/SQRT(((I25+'Inputs'!$B$21)+'Inputs'!$B$7)^2+('Inputs'!$B$6/2)^2)-((I25+'Inputs'!$B$21))/SQRT(((I25+'Inputs'!$B$21))^2+('Inputs'!$B$6/2)^2)))-'Results'!C7*(1+'Inputs'!$B$24)*(0.5*(((I25+'Inputs'!$B$21+'Inputs'!$B$7+'Inputs'!$B$10)+'Inputs'!$B$9)/SQRT(((I25+'Inputs'!$B$21+'Inputs'!$B$7+'Inputs'!$B$10)+'Inputs'!$B$9)^2+('Inputs'!$B$8/2)^2)-((I25+'Inputs'!$B$21+'Inputs'!$B$7+'Inputs'!$B$10))/SQRT(((I25+'Inputs'!$B$21+'Inputs'!$B$7+'Inputs'!$B$10))^2+('Inputs'!$B$8/2)^2))))*'Results'!$B$8*'Results'!$B$9))),"")</x:f>
        <x:v>112.38372564340526</x:v>
      </x:c>
      <x:c r="K25" s="22"/>
      <x:c r="L25" s="22"/>
      <x:c r="M25" s="22" t="n">
        <x:f>IF(P24&gt;='Results'!B11,O24,M24)</x:f>
        <x:v>7.8218841552734375</x:v>
      </x:c>
      <x:c r="N25" s="22" t="n">
        <x:f>IF(P24&gt;='Results'!B11,N24,O24)</x:f>
        <x:v>7.82196044921875</x:v>
      </x:c>
      <x:c r="O25" s="22" t="n">
        <x:f>(M25+N25)/2</x:f>
        <x:v>7.821922302246094</x:v>
      </x:c>
      <x:c r="P25" s="22" t="n">
        <x:f>IF(AND(ISNUMBER('Results'!B7),ISNUMBER('Results'!C7),ISNUMBER('Results'!$B$8),ISNUMBER('Results'!$B$9),ISNUMBER('Inputs'!$B$6),ISNUMBER('Inputs'!$B$7),ISNUMBER('Inputs'!$B$8),ISNUMBER('Inputs'!$B$9),ISNUMBER('Inputs'!$B$10),ISNUMBER('Inputs'!$B$21),ISNUMBER('Inputs'!$B$24),ISNUMBER('Inputs'!$B$28)),((('Results'!B7*(1+'Inputs'!$B$24)*(0.5*(((O25+'Inputs'!$B$21)+'Inputs'!$B$7)/SQRT(((O25+'Inputs'!$B$21)+'Inputs'!$B$7)^2+('Inputs'!$B$6/2)^2)-((O25+'Inputs'!$B$21))/SQRT(((O25+'Inputs'!$B$21))^2+('Inputs'!$B$6/2)^2)))-'Results'!C7*(1-'Inputs'!$B$24)*(0.5*(((O25+'Inputs'!$B$21+'Inputs'!$B$7+'Inputs'!$B$10)+'Inputs'!$B$9)/SQRT(((O25+'Inputs'!$B$21+'Inputs'!$B$7+'Inputs'!$B$10)+'Inputs'!$B$9)^2+('Inputs'!$B$8/2)^2)-((O25+'Inputs'!$B$21+'Inputs'!$B$7+'Inputs'!$B$10))/SQRT(((O25+'Inputs'!$B$21+'Inputs'!$B$7+'Inputs'!$B$10))^2+('Inputs'!$B$8/2)^2))))*'Results'!$B$8*'Results'!$B$9)+'Inputs'!$B$28*ABS((('Results'!B7*(1+'Inputs'!$B$24)*(0.5*(((O25+'Inputs'!$B$21)+'Inputs'!$B$7)/SQRT(((O25+'Inputs'!$B$21)+'Inputs'!$B$7)^2+('Inputs'!$B$6/2)^2)-((O25+'Inputs'!$B$21))/SQRT(((O25+'Inputs'!$B$21))^2+('Inputs'!$B$6/2)^2)))-'Results'!C7*(1-'Inputs'!$B$24)*(0.5*(((O25+'Inputs'!$B$21+'Inputs'!$B$7+'Inputs'!$B$10)+'Inputs'!$B$9)/SQRT(((O25+'Inputs'!$B$21+'Inputs'!$B$7+'Inputs'!$B$10)+'Inputs'!$B$9)^2+('Inputs'!$B$8/2)^2)-((O25+'Inputs'!$B$21+'Inputs'!$B$7+'Inputs'!$B$10))/SQRT(((O25+'Inputs'!$B$21+'Inputs'!$B$7+'Inputs'!$B$10))^2+('Inputs'!$B$8/2)^2))))*'Results'!$B$8*'Results'!$B$9))),"")</x:f>
        <x:v>84.8175418687107</x:v>
      </x:c>
      <x:c r="Q25" s="22"/>
      <x:c r="R25" s="22"/>
      <x:c r="S25" s="22" t="n">
        <x:f>IF(V24&gt;='Results'!B13,U24,S24)</x:f>
        <x:v>7.844696044921875</x:v>
      </x:c>
      <x:c r="T25" s="22" t="n">
        <x:f>IF(V24&gt;='Results'!B13,T24,U24)</x:f>
        <x:v>7.8447723388671875</x:v>
      </x:c>
      <x:c r="U25" s="22" t="n">
        <x:f>(S25+T25)/2</x:f>
        <x:v>7.844734191894531</x:v>
      </x:c>
      <x:c r="V25" s="22" t="n">
        <x:f>IF(AND(ISNUMBER('Results'!B7),ISNUMBER('Results'!C7),ISNUMBER('Results'!$B$8),ISNUMBER('Results'!$B$9),ISNUMBER('Inputs'!$B$6),ISNUMBER('Inputs'!$B$7),ISNUMBER('Inputs'!$B$8),ISNUMBER('Inputs'!$B$9),ISNUMBER('Inputs'!$B$10),ISNUMBER('Inputs'!$B$21),ISNUMBER('Inputs'!$B$24),ISNUMBER('Inputs'!$B$28)),(('Results'!B7*(0.5*(((U25+'Inputs'!$B$21)+'Inputs'!$B$7)/SQRT(((U25+'Inputs'!$B$21)+'Inputs'!$B$7)^2+('Inputs'!$B$6/2)^2)-((U25+'Inputs'!$B$21))/SQRT(((U25+'Inputs'!$B$21))^2+('Inputs'!$B$6/2)^2)))-'Results'!C7*(0.5*(((U25+'Inputs'!$B$21+'Inputs'!$B$7+'Inputs'!$B$10)+'Inputs'!$B$9)/SQRT(((U25+'Inputs'!$B$21+'Inputs'!$B$7+'Inputs'!$B$10)+'Inputs'!$B$9)^2+('Inputs'!$B$8/2)^2)-((U25+'Inputs'!$B$21+'Inputs'!$B$7+'Inputs'!$B$10))/SQRT(((U25+'Inputs'!$B$21+'Inputs'!$B$7+'Inputs'!$B$10))^2+('Inputs'!$B$8/2)^2))))*'Results'!$B$8*'Results'!$B$9),"")</x:f>
        <x:v>77.26265400614062</x:v>
      </x:c>
      <x:c r="W25" s="22"/>
      <x:c r="X25" s="22"/>
      <x:c r="Y25" s="22" t="n">
        <x:f>IF(AB24&gt;='Results'!B14,AA24,Y24)</x:f>
        <x:v>8.525619506835938</x:v>
      </x:c>
      <x:c r="Z25" s="22" t="n">
        <x:f>IF(AB24&gt;='Results'!B14,Z24,AA24)</x:f>
        <x:v>8.52569580078125</x:v>
      </x:c>
      <x:c r="AA25" s="22" t="n">
        <x:f>(Y25+Z25)/2</x:f>
        <x:v>8.525657653808594</x:v>
      </x:c>
      <x:c r="AB25" s="22" t="n">
        <x:f>IF(AND(ISNUMBER('Results'!B7),ISNUMBER('Results'!C7),ISNUMBER('Results'!$B$8),ISNUMBER('Results'!$B$9),ISNUMBER('Inputs'!$B$6),ISNUMBER('Inputs'!$B$7),ISNUMBER('Inputs'!$B$8),ISNUMBER('Inputs'!$B$9),ISNUMBER('Inputs'!$B$10),ISNUMBER('Inputs'!$B$21),ISNUMBER('Inputs'!$B$24),ISNUMBER('Inputs'!$B$28)),((('Results'!B7*(1+'Inputs'!$B$24)*(0.5*(((AA25+'Inputs'!$B$21)+'Inputs'!$B$7)/SQRT(((AA25+'Inputs'!$B$21)+'Inputs'!$B$7)^2+('Inputs'!$B$6/2)^2)-((AA25+'Inputs'!$B$21))/SQRT(((AA25+'Inputs'!$B$21))^2+('Inputs'!$B$6/2)^2)))-'Results'!C7*(1-'Inputs'!$B$24)*(0.5*(((AA25+'Inputs'!$B$21+'Inputs'!$B$7+'Inputs'!$B$10)+'Inputs'!$B$9)/SQRT(((AA25+'Inputs'!$B$21+'Inputs'!$B$7+'Inputs'!$B$10)+'Inputs'!$B$9)^2+('Inputs'!$B$8/2)^2)-((AA25+'Inputs'!$B$21+'Inputs'!$B$7+'Inputs'!$B$10))/SQRT(((AA25+'Inputs'!$B$21+'Inputs'!$B$7+'Inputs'!$B$10))^2+('Inputs'!$B$8/2)^2))))*'Results'!$B$8*'Results'!$B$9)+'Inputs'!$B$28*ABS((('Results'!B7*(1+'Inputs'!$B$24)*(0.5*(((AA25+'Inputs'!$B$21)+'Inputs'!$B$7)/SQRT(((AA25+'Inputs'!$B$21)+'Inputs'!$B$7)^2+('Inputs'!$B$6/2)^2)-((AA25+'Inputs'!$B$21))/SQRT(((AA25+'Inputs'!$B$21))^2+('Inputs'!$B$6/2)^2)))-'Results'!C7*(1-'Inputs'!$B$24)*(0.5*(((AA25+'Inputs'!$B$21+'Inputs'!$B$7+'Inputs'!$B$10)+'Inputs'!$B$9)/SQRT(((AA25+'Inputs'!$B$21+'Inputs'!$B$7+'Inputs'!$B$10)+'Inputs'!$B$9)^2+('Inputs'!$B$8/2)^2)-((AA25+'Inputs'!$B$21+'Inputs'!$B$7+'Inputs'!$B$10))/SQRT(((AA25+'Inputs'!$B$21+'Inputs'!$B$7+'Inputs'!$B$10))^2+('Inputs'!$B$8/2)^2))))*'Results'!$B$8*'Results'!$B$9))),"")</x:f>
        <x:v>66.90528902013875</x:v>
      </x:c>
      <x:c r="AC25" s="22"/>
      <x:c r="AD25" s="22"/>
      <x:c r="AE25" s="22" t="n">
        <x:f>IF(AH24&gt;='Results'!C10,AG24,AE24)</x:f>
        <x:v>6.9225311279296875</x:v>
      </x:c>
      <x:c r="AF25" s="22" t="n">
        <x:f>IF(AH24&gt;='Results'!C10,AF24,AG24)</x:f>
        <x:v>6.922607421875</x:v>
      </x:c>
      <x:c r="AG25" s="22" t="n">
        <x:f>(AE25+AF25)/2</x:f>
        <x:v>6.922569274902344</x:v>
      </x:c>
      <x:c r="AH25" s="22" t="n">
        <x:f>IF(AND(ISNUMBER('Results'!C7),ISNUMBER('Results'!B7),ISNUMBER('Results'!$B$8),ISNUMBER('Results'!$B$9),ISNUMBER('Inputs'!$B$6),ISNUMBER('Inputs'!$B$7),ISNUMBER('Inputs'!$B$8),ISNUMBER('Inputs'!$B$9),ISNUMBER('Inputs'!$B$10),ISNUMBER('Inputs'!$B$21),ISNUMBER('Inputs'!$B$24),ISNUMBER('Inputs'!$B$28)),(('Results'!C7*(0.5*(((AG25+'Inputs'!$B$21)+'Inputs'!$B$9)/SQRT(((AG25+'Inputs'!$B$21)+'Inputs'!$B$9)^2+('Inputs'!$B$8/2)^2)-((AG25+'Inputs'!$B$21))/SQRT(((AG25+'Inputs'!$B$21))^2+('Inputs'!$B$8/2)^2)))-'Results'!B7*(0.5*(((AG25+'Inputs'!$B$21+'Inputs'!$B$9+'Inputs'!$B$10)+'Inputs'!$B$7)/SQRT(((AG25+'Inputs'!$B$21+'Inputs'!$B$9+'Inputs'!$B$10)+'Inputs'!$B$7)^2+('Inputs'!$B$6/2)^2)-((AG25+'Inputs'!$B$21+'Inputs'!$B$9+'Inputs'!$B$10))/SQRT(((AG25+'Inputs'!$B$21+'Inputs'!$B$9+'Inputs'!$B$10))^2+('Inputs'!$B$6/2)^2))))*'Results'!$B$8*'Results'!$B$9),"")</x:f>
        <x:v>104.00994864155811</x:v>
      </x:c>
      <x:c r="AI25" s="22"/>
      <x:c r="AJ25" s="22"/>
      <x:c r="AK25" s="22" t="n">
        <x:f>IF(AN24&gt;='Results'!C12,AM24,AK24)</x:f>
        <x:v>6.3452911376953125</x:v>
      </x:c>
      <x:c r="AL25" s="22" t="n">
        <x:f>IF(AN24&gt;='Results'!C12,AL24,AM24)</x:f>
        <x:v>6.345367431640625</x:v>
      </x:c>
      <x:c r="AM25" s="22" t="n">
        <x:f>(AK25+AL25)/2</x:f>
        <x:v>6.345329284667969</x:v>
      </x:c>
      <x:c r="AN25" s="22" t="n">
        <x:f>IF(AND(ISNUMBER('Results'!C7),ISNUMBER('Results'!B7),ISNUMBER('Results'!$B$8),ISNUMBER('Results'!$B$9),ISNUMBER('Inputs'!$B$6),ISNUMBER('Inputs'!$B$7),ISNUMBER('Inputs'!$B$8),ISNUMBER('Inputs'!$B$9),ISNUMBER('Inputs'!$B$10),ISNUMBER('Inputs'!$B$21),ISNUMBER('Inputs'!$B$24),ISNUMBER('Inputs'!$B$28)),((('Results'!C7*(1-'Inputs'!$B$24)*(0.5*(((AM25+'Inputs'!$B$21)+'Inputs'!$B$9)/SQRT(((AM25+'Inputs'!$B$21)+'Inputs'!$B$9)^2+('Inputs'!$B$8/2)^2)-((AM25+'Inputs'!$B$21))/SQRT(((AM25+'Inputs'!$B$21))^2+('Inputs'!$B$8/2)^2)))-'Results'!B7*(1+'Inputs'!$B$24)*(0.5*(((AM25+'Inputs'!$B$21+'Inputs'!$B$9+'Inputs'!$B$10)+'Inputs'!$B$7)/SQRT(((AM25+'Inputs'!$B$21+'Inputs'!$B$9+'Inputs'!$B$10)+'Inputs'!$B$7)^2+('Inputs'!$B$6/2)^2)-((AM25+'Inputs'!$B$21+'Inputs'!$B$9+'Inputs'!$B$10))/SQRT(((AM25+'Inputs'!$B$21+'Inputs'!$B$9+'Inputs'!$B$10))^2+('Inputs'!$B$6/2)^2))))*'Results'!$B$8*'Results'!$B$9)-'Inputs'!$B$28*ABS((('Results'!C7*(1-'Inputs'!$B$24)*(0.5*(((AM25+'Inputs'!$B$21)+'Inputs'!$B$9)/SQRT(((AM25+'Inputs'!$B$21)+'Inputs'!$B$9)^2+('Inputs'!$B$8/2)^2)-((AM25+'Inputs'!$B$21))/SQRT(((AM25+'Inputs'!$B$21))^2+('Inputs'!$B$8/2)^2)))-'Results'!B7*(1+'Inputs'!$B$24)*(0.5*(((AM25+'Inputs'!$B$21+'Inputs'!$B$9+'Inputs'!$B$10)+'Inputs'!$B$7)/SQRT(((AM25+'Inputs'!$B$21+'Inputs'!$B$9+'Inputs'!$B$10)+'Inputs'!$B$7)^2+('Inputs'!$B$6/2)^2)-((AM25+'Inputs'!$B$21+'Inputs'!$B$9+'Inputs'!$B$10))/SQRT(((AM25+'Inputs'!$B$21+'Inputs'!$B$9+'Inputs'!$B$10))^2+('Inputs'!$B$6/2)^2))))*'Results'!$B$8*'Results'!$B$9))),"")</x:f>
        <x:v>119.2164187631403</x:v>
      </x:c>
      <x:c r="AO25" s="22"/>
      <x:c r="AP25" s="22"/>
      <x:c r="AQ25" s="22" t="n">
        <x:f>IF(AT24&gt;='Results'!C11,AS24,AQ24)</x:f>
        <x:v>7.5511932373046875</x:v>
      </x:c>
      <x:c r="AR25" s="22" t="n">
        <x:f>IF(AT24&gt;='Results'!C11,AR24,AS24)</x:f>
        <x:v>7.55126953125</x:v>
      </x:c>
      <x:c r="AS25" s="22" t="n">
        <x:f>(AQ25+AR25)/2</x:f>
        <x:v>7.551231384277344</x:v>
      </x:c>
      <x:c r="AT25" s="22" t="n">
        <x:f>IF(AND(ISNUMBER('Results'!C7),ISNUMBER('Results'!B7),ISNUMBER('Results'!$B$8),ISNUMBER('Results'!$B$9),ISNUMBER('Inputs'!$B$6),ISNUMBER('Inputs'!$B$7),ISNUMBER('Inputs'!$B$8),ISNUMBER('Inputs'!$B$9),ISNUMBER('Inputs'!$B$10),ISNUMBER('Inputs'!$B$21),ISNUMBER('Inputs'!$B$24),ISNUMBER('Inputs'!$B$28)),((('Results'!C7*(1+'Inputs'!$B$24)*(0.5*(((AS25+'Inputs'!$B$21)+'Inputs'!$B$9)/SQRT(((AS25+'Inputs'!$B$21)+'Inputs'!$B$9)^2+('Inputs'!$B$8/2)^2)-((AS25+'Inputs'!$B$21))/SQRT(((AS25+'Inputs'!$B$21))^2+('Inputs'!$B$8/2)^2)))-'Results'!B7*(1-'Inputs'!$B$24)*(0.5*(((AS25+'Inputs'!$B$21+'Inputs'!$B$9+'Inputs'!$B$10)+'Inputs'!$B$7)/SQRT(((AS25+'Inputs'!$B$21+'Inputs'!$B$9+'Inputs'!$B$10)+'Inputs'!$B$7)^2+('Inputs'!$B$6/2)^2)-((AS25+'Inputs'!$B$21+'Inputs'!$B$9+'Inputs'!$B$10))/SQRT(((AS25+'Inputs'!$B$21+'Inputs'!$B$9+'Inputs'!$B$10))^2+('Inputs'!$B$6/2)^2))))*'Results'!$B$8*'Results'!$B$9)+'Inputs'!$B$28*ABS((('Results'!C7*(1+'Inputs'!$B$24)*(0.5*(((AS25+'Inputs'!$B$21)+'Inputs'!$B$9)/SQRT(((AS25+'Inputs'!$B$21)+'Inputs'!$B$9)^2+('Inputs'!$B$8/2)^2)-((AS25+'Inputs'!$B$21))/SQRT(((AS25+'Inputs'!$B$21))^2+('Inputs'!$B$8/2)^2)))-'Results'!B7*(1-'Inputs'!$B$24)*(0.5*(((AS25+'Inputs'!$B$21+'Inputs'!$B$9+'Inputs'!$B$10)+'Inputs'!$B$7)/SQRT(((AS25+'Inputs'!$B$21+'Inputs'!$B$9+'Inputs'!$B$10)+'Inputs'!$B$7)^2+('Inputs'!$B$6/2)^2)-((AS25+'Inputs'!$B$21+'Inputs'!$B$9+'Inputs'!$B$10))/SQRT(((AS25+'Inputs'!$B$21+'Inputs'!$B$9+'Inputs'!$B$10))^2+('Inputs'!$B$6/2)^2))))*'Results'!$B$8*'Results'!$B$9))),"")</x:f>
        <x:v>89.91169932920167</x:v>
      </x:c>
      <x:c r="AU25" s="22"/>
      <x:c r="AV25" s="22"/>
      <x:c r="AW25" s="22" t="n">
        <x:f>IF(AZ24&gt;='Results'!C13,AY24,AW24)</x:f>
        <x:v>7.58270263671875</x:v>
      </x:c>
      <x:c r="AX25" s="22" t="n">
        <x:f>IF(AZ24&gt;='Results'!C13,AX24,AY24)</x:f>
        <x:v>7.5827789306640625</x:v>
      </x:c>
      <x:c r="AY25" s="22" t="n">
        <x:f>(AW25+AX25)/2</x:f>
        <x:v>7.582740783691406</x:v>
      </x:c>
      <x:c r="AZ25" s="22" t="n">
        <x:f>IF(AND(ISNUMBER('Results'!C7),ISNUMBER('Results'!B7),ISNUMBER('Results'!$B$8),ISNUMBER('Results'!$B$9),ISNUMBER('Inputs'!$B$6),ISNUMBER('Inputs'!$B$7),ISNUMBER('Inputs'!$B$8),ISNUMBER('Inputs'!$B$9),ISNUMBER('Inputs'!$B$10),ISNUMBER('Inputs'!$B$21),ISNUMBER('Inputs'!$B$24),ISNUMBER('Inputs'!$B$28)),(('Results'!C7*(0.5*(((AY25+'Inputs'!$B$21)+'Inputs'!$B$9)/SQRT(((AY25+'Inputs'!$B$21)+'Inputs'!$B$9)^2+('Inputs'!$B$8/2)^2)-((AY25+'Inputs'!$B$21))/SQRT(((AY25+'Inputs'!$B$21))^2+('Inputs'!$B$8/2)^2)))-'Results'!B7*(0.5*(((AY25+'Inputs'!$B$21+'Inputs'!$B$9+'Inputs'!$B$10)+'Inputs'!$B$7)/SQRT(((AY25+'Inputs'!$B$21+'Inputs'!$B$9+'Inputs'!$B$10)+'Inputs'!$B$7)^2+('Inputs'!$B$6/2)^2)-((AY25+'Inputs'!$B$21+'Inputs'!$B$9+'Inputs'!$B$10))/SQRT(((AY25+'Inputs'!$B$21+'Inputs'!$B$9+'Inputs'!$B$10))^2+('Inputs'!$B$6/2)^2))))*'Results'!$B$8*'Results'!$B$9),"")</x:f>
        <x:v>81.60081798724984</x:v>
      </x:c>
      <x:c r="BA25" s="22"/>
      <x:c r="BB25" s="22"/>
      <x:c r="BC25" s="22" t="n">
        <x:f>IF(BF24&gt;='Results'!C14,BE24,BC24)</x:f>
        <x:v>8.246841430664062</x:v>
      </x:c>
      <x:c r="BD25" s="22" t="n">
        <x:f>IF(BF24&gt;='Results'!C14,BD24,BE24)</x:f>
        <x:v>8.246917724609375</x:v>
      </x:c>
      <x:c r="BE25" s="22" t="n">
        <x:f>(BC25+BD25)/2</x:f>
        <x:v>8.246879577636719</x:v>
      </x:c>
      <x:c r="BF25" s="22" t="n">
        <x:f>IF(AND(ISNUMBER('Results'!C7),ISNUMBER('Results'!B7),ISNUMBER('Results'!$B$8),ISNUMBER('Results'!$B$9),ISNUMBER('Inputs'!$B$6),ISNUMBER('Inputs'!$B$7),ISNUMBER('Inputs'!$B$8),ISNUMBER('Inputs'!$B$9),ISNUMBER('Inputs'!$B$10),ISNUMBER('Inputs'!$B$21),ISNUMBER('Inputs'!$B$24),ISNUMBER('Inputs'!$B$28)),((('Results'!C7*(1+'Inputs'!$B$24)*(0.5*(((BE25+'Inputs'!$B$21)+'Inputs'!$B$9)/SQRT(((BE25+'Inputs'!$B$21)+'Inputs'!$B$9)^2+('Inputs'!$B$8/2)^2)-((BE25+'Inputs'!$B$21))/SQRT(((BE25+'Inputs'!$B$21))^2+('Inputs'!$B$8/2)^2)))-'Results'!B7*(1-'Inputs'!$B$24)*(0.5*(((BE25+'Inputs'!$B$21+'Inputs'!$B$9+'Inputs'!$B$10)+'Inputs'!$B$7)/SQRT(((BE25+'Inputs'!$B$21+'Inputs'!$B$9+'Inputs'!$B$10)+'Inputs'!$B$7)^2+('Inputs'!$B$6/2)^2)-((BE25+'Inputs'!$B$21+'Inputs'!$B$9+'Inputs'!$B$10))/SQRT(((BE25+'Inputs'!$B$21+'Inputs'!$B$9+'Inputs'!$B$10))^2+('Inputs'!$B$6/2)^2))))*'Results'!$B$8*'Results'!$B$9)+'Inputs'!$B$28*ABS((('Results'!C7*(1+'Inputs'!$B$24)*(0.5*(((BE25+'Inputs'!$B$21)+'Inputs'!$B$9)/SQRT(((BE25+'Inputs'!$B$21)+'Inputs'!$B$9)^2+('Inputs'!$B$8/2)^2)-((BE25+'Inputs'!$B$21))/SQRT(((BE25+'Inputs'!$B$21))^2+('Inputs'!$B$8/2)^2)))-'Results'!B7*(1-'Inputs'!$B$24)*(0.5*(((BE25+'Inputs'!$B$21+'Inputs'!$B$9+'Inputs'!$B$10)+'Inputs'!$B$7)/SQRT(((BE25+'Inputs'!$B$21+'Inputs'!$B$9+'Inputs'!$B$10)+'Inputs'!$B$7)^2+('Inputs'!$B$6/2)^2)-((BE25+'Inputs'!$B$21+'Inputs'!$B$9+'Inputs'!$B$10))/SQRT(((BE25+'Inputs'!$B$21+'Inputs'!$B$9+'Inputs'!$B$10))^2+('Inputs'!$B$6/2)^2))))*'Results'!$B$8*'Results'!$B$9))),"")</x:f>
        <x:v>70.64036856435922</x:v>
      </x:c>
      <x:c r="BG25" s="22"/>
      <x:c r="BH25" s="22"/>
    </x:row>
    <x:row r="26" ht="22" customHeight="1">
      <x:c r="A26" s="22" t="n">
        <x:f>IF(D25&gt;='Results'!B10,C25,A25)</x:f>
        <x:v>7.177619934082031</x:v>
      </x:c>
      <x:c r="B26" s="22" t="n">
        <x:f>IF(D25&gt;='Results'!B10,B25,C25)</x:f>
        <x:v>7.1776580810546875</x:v>
      </x:c>
      <x:c r="C26" s="22" t="n">
        <x:f>(A26+B26)/2</x:f>
        <x:v>7.177639007568359</x:v>
      </x:c>
      <x:c r="D26" s="22" t="n">
        <x:f>IF(AND(ISNUMBER('Results'!B7),ISNUMBER('Results'!C7),ISNUMBER('Results'!$B$8),ISNUMBER('Results'!$B$9),ISNUMBER('Inputs'!$B$6),ISNUMBER('Inputs'!$B$7),ISNUMBER('Inputs'!$B$8),ISNUMBER('Inputs'!$B$9),ISNUMBER('Inputs'!$B$10),ISNUMBER('Inputs'!$B$21),ISNUMBER('Inputs'!$B$24),ISNUMBER('Inputs'!$B$28)),(('Results'!B7*(0.5*(((C26+'Inputs'!$B$21)+'Inputs'!$B$7)/SQRT(((C26+'Inputs'!$B$21)+'Inputs'!$B$7)^2+('Inputs'!$B$6/2)^2)-((C26+'Inputs'!$B$21))/SQRT(((C26+'Inputs'!$B$21))^2+('Inputs'!$B$6/2)^2)))-'Results'!C7*(0.5*(((C26+'Inputs'!$B$21+'Inputs'!$B$7+'Inputs'!$B$10)+'Inputs'!$B$9)/SQRT(((C26+'Inputs'!$B$21+'Inputs'!$B$7+'Inputs'!$B$10)+'Inputs'!$B$9)^2+('Inputs'!$B$8/2)^2)-((C26+'Inputs'!$B$21+'Inputs'!$B$7+'Inputs'!$B$10))/SQRT(((C26+'Inputs'!$B$21+'Inputs'!$B$7+'Inputs'!$B$10))^2+('Inputs'!$B$8/2)^2))))*'Results'!$B$8*'Results'!$B$9),"")</x:f>
        <x:v>98.0809038976917</x:v>
      </x:c>
      <x:c r="E26" s="22"/>
      <x:c r="F26" s="22"/>
      <x:c r="G26" s="22" t="n">
        <x:f>IF(J25&gt;='Results'!B12,I25,G25)</x:f>
        <x:v>6.586570739746094</x:v>
      </x:c>
      <x:c r="H26" s="22" t="n">
        <x:f>IF(J25&gt;='Results'!B12,H25,I25)</x:f>
        <x:v>6.58660888671875</x:v>
      </x:c>
      <x:c r="I26" s="22" t="n">
        <x:f>(G26+H26)/2</x:f>
        <x:v>6.586589813232422</x:v>
      </x:c>
      <x:c r="J26" s="22" t="n">
        <x:f>IF(AND(ISNUMBER('Results'!B7),ISNUMBER('Results'!C7),ISNUMBER('Results'!$B$8),ISNUMBER('Results'!$B$9),ISNUMBER('Inputs'!$B$6),ISNUMBER('Inputs'!$B$7),ISNUMBER('Inputs'!$B$8),ISNUMBER('Inputs'!$B$9),ISNUMBER('Inputs'!$B$10),ISNUMBER('Inputs'!$B$21),ISNUMBER('Inputs'!$B$24),ISNUMBER('Inputs'!$B$28)),((('Results'!B7*(1-'Inputs'!$B$24)*(0.5*(((I26+'Inputs'!$B$21)+'Inputs'!$B$7)/SQRT(((I26+'Inputs'!$B$21)+'Inputs'!$B$7)^2+('Inputs'!$B$6/2)^2)-((I26+'Inputs'!$B$21))/SQRT(((I26+'Inputs'!$B$21))^2+('Inputs'!$B$6/2)^2)))-'Results'!C7*(1+'Inputs'!$B$24)*(0.5*(((I26+'Inputs'!$B$21+'Inputs'!$B$7+'Inputs'!$B$10)+'Inputs'!$B$9)/SQRT(((I26+'Inputs'!$B$21+'Inputs'!$B$7+'Inputs'!$B$10)+'Inputs'!$B$9)^2+('Inputs'!$B$8/2)^2)-((I26+'Inputs'!$B$21+'Inputs'!$B$7+'Inputs'!$B$10))/SQRT(((I26+'Inputs'!$B$21+'Inputs'!$B$7+'Inputs'!$B$10))^2+('Inputs'!$B$8/2)^2))))*'Results'!$B$8*'Results'!$B$9)-'Inputs'!$B$28*ABS((('Results'!B7*(1-'Inputs'!$B$24)*(0.5*(((I26+'Inputs'!$B$21)+'Inputs'!$B$7)/SQRT(((I26+'Inputs'!$B$21)+'Inputs'!$B$7)^2+('Inputs'!$B$6/2)^2)-((I26+'Inputs'!$B$21))/SQRT(((I26+'Inputs'!$B$21))^2+('Inputs'!$B$6/2)^2)))-'Results'!C7*(1+'Inputs'!$B$24)*(0.5*(((I26+'Inputs'!$B$21+'Inputs'!$B$7+'Inputs'!$B$10)+'Inputs'!$B$9)/SQRT(((I26+'Inputs'!$B$21+'Inputs'!$B$7+'Inputs'!$B$10)+'Inputs'!$B$9)^2+('Inputs'!$B$8/2)^2)-((I26+'Inputs'!$B$21+'Inputs'!$B$7+'Inputs'!$B$10))/SQRT(((I26+'Inputs'!$B$21+'Inputs'!$B$7+'Inputs'!$B$10))^2+('Inputs'!$B$8/2)^2))))*'Results'!$B$8*'Results'!$B$9))),"")</x:f>
        <x:v>112.3828941263902</x:v>
      </x:c>
      <x:c r="K26" s="22"/>
      <x:c r="L26" s="22"/>
      <x:c r="M26" s="22" t="n">
        <x:f>IF(P25&gt;='Results'!B11,O25,M25)</x:f>
        <x:v>7.821922302246094</x:v>
      </x:c>
      <x:c r="N26" s="22" t="n">
        <x:f>IF(P25&gt;='Results'!B11,N25,O25)</x:f>
        <x:v>7.82196044921875</x:v>
      </x:c>
      <x:c r="O26" s="22" t="n">
        <x:f>(M26+N26)/2</x:f>
        <x:v>7.821941375732422</x:v>
      </x:c>
      <x:c r="P26" s="22" t="n">
        <x:f>IF(AND(ISNUMBER('Results'!B7),ISNUMBER('Results'!C7),ISNUMBER('Results'!$B$8),ISNUMBER('Results'!$B$9),ISNUMBER('Inputs'!$B$6),ISNUMBER('Inputs'!$B$7),ISNUMBER('Inputs'!$B$8),ISNUMBER('Inputs'!$B$9),ISNUMBER('Inputs'!$B$10),ISNUMBER('Inputs'!$B$21),ISNUMBER('Inputs'!$B$24),ISNUMBER('Inputs'!$B$28)),((('Results'!B7*(1+'Inputs'!$B$24)*(0.5*(((O26+'Inputs'!$B$21)+'Inputs'!$B$7)/SQRT(((O26+'Inputs'!$B$21)+'Inputs'!$B$7)^2+('Inputs'!$B$6/2)^2)-((O26+'Inputs'!$B$21))/SQRT(((O26+'Inputs'!$B$21))^2+('Inputs'!$B$6/2)^2)))-'Results'!C7*(1-'Inputs'!$B$24)*(0.5*(((O26+'Inputs'!$B$21+'Inputs'!$B$7+'Inputs'!$B$10)+'Inputs'!$B$9)/SQRT(((O26+'Inputs'!$B$21+'Inputs'!$B$7+'Inputs'!$B$10)+'Inputs'!$B$9)^2+('Inputs'!$B$8/2)^2)-((O26+'Inputs'!$B$21+'Inputs'!$B$7+'Inputs'!$B$10))/SQRT(((O26+'Inputs'!$B$21+'Inputs'!$B$7+'Inputs'!$B$10))^2+('Inputs'!$B$8/2)^2))))*'Results'!$B$8*'Results'!$B$9)+'Inputs'!$B$28*ABS((('Results'!B7*(1+'Inputs'!$B$24)*(0.5*(((O26+'Inputs'!$B$21)+'Inputs'!$B$7)/SQRT(((O26+'Inputs'!$B$21)+'Inputs'!$B$7)^2+('Inputs'!$B$6/2)^2)-((O26+'Inputs'!$B$21))/SQRT(((O26+'Inputs'!$B$21))^2+('Inputs'!$B$6/2)^2)))-'Results'!C7*(1-'Inputs'!$B$24)*(0.5*(((O26+'Inputs'!$B$21+'Inputs'!$B$7+'Inputs'!$B$10)+'Inputs'!$B$9)/SQRT(((O26+'Inputs'!$B$21+'Inputs'!$B$7+'Inputs'!$B$10)+'Inputs'!$B$9)^2+('Inputs'!$B$8/2)^2)-((O26+'Inputs'!$B$21+'Inputs'!$B$7+'Inputs'!$B$10))/SQRT(((O26+'Inputs'!$B$21+'Inputs'!$B$7+'Inputs'!$B$10))^2+('Inputs'!$B$8/2)^2))))*'Results'!$B$8*'Results'!$B$9))),"")</x:f>
        <x:v>84.81698117148962</x:v>
      </x:c>
      <x:c r="Q26" s="22"/>
      <x:c r="R26" s="22"/>
      <x:c r="S26" s="22" t="n">
        <x:f>IF(V25&gt;='Results'!B13,U25,S25)</x:f>
        <x:v>7.844696044921875</x:v>
      </x:c>
      <x:c r="T26" s="22" t="n">
        <x:f>IF(V25&gt;='Results'!B13,T25,U25)</x:f>
        <x:v>7.844734191894531</x:v>
      </x:c>
      <x:c r="U26" s="22" t="n">
        <x:f>(S26+T26)/2</x:f>
        <x:v>7.844715118408203</x:v>
      </x:c>
      <x:c r="V26" s="22" t="n">
        <x:f>IF(AND(ISNUMBER('Results'!B7),ISNUMBER('Results'!C7),ISNUMBER('Results'!$B$8),ISNUMBER('Results'!$B$9),ISNUMBER('Inputs'!$B$6),ISNUMBER('Inputs'!$B$7),ISNUMBER('Inputs'!$B$8),ISNUMBER('Inputs'!$B$9),ISNUMBER('Inputs'!$B$10),ISNUMBER('Inputs'!$B$21),ISNUMBER('Inputs'!$B$24),ISNUMBER('Inputs'!$B$28)),(('Results'!B7*(0.5*(((U26+'Inputs'!$B$21)+'Inputs'!$B$7)/SQRT(((U26+'Inputs'!$B$21)+'Inputs'!$B$7)^2+('Inputs'!$B$6/2)^2)-((U26+'Inputs'!$B$21))/SQRT(((U26+'Inputs'!$B$21))^2+('Inputs'!$B$6/2)^2)))-'Results'!C7*(0.5*(((U26+'Inputs'!$B$21+'Inputs'!$B$7+'Inputs'!$B$10)+'Inputs'!$B$9)/SQRT(((U26+'Inputs'!$B$21+'Inputs'!$B$7+'Inputs'!$B$10)+'Inputs'!$B$9)^2+('Inputs'!$B$8/2)^2)-((U26+'Inputs'!$B$21+'Inputs'!$B$7+'Inputs'!$B$10))/SQRT(((U26+'Inputs'!$B$21+'Inputs'!$B$7+'Inputs'!$B$10))^2+('Inputs'!$B$8/2)^2))))*'Results'!$B$8*'Results'!$B$9),"")</x:f>
        <x:v>77.26316709392472</x:v>
      </x:c>
      <x:c r="W26" s="22"/>
      <x:c r="X26" s="22"/>
      <x:c r="Y26" s="22" t="n">
        <x:f>IF(AB25&gt;='Results'!B14,AA25,Y25)</x:f>
        <x:v>8.525619506835938</x:v>
      </x:c>
      <x:c r="Z26" s="22" t="n">
        <x:f>IF(AB25&gt;='Results'!B14,Z25,AA25)</x:f>
        <x:v>8.525657653808594</x:v>
      </x:c>
      <x:c r="AA26" s="22" t="n">
        <x:f>(Y26+Z26)/2</x:f>
        <x:v>8.525638580322266</x:v>
      </x:c>
      <x:c r="AB26" s="22" t="n">
        <x:f>IF(AND(ISNUMBER('Results'!B7),ISNUMBER('Results'!C7),ISNUMBER('Results'!$B$8),ISNUMBER('Results'!$B$9),ISNUMBER('Inputs'!$B$6),ISNUMBER('Inputs'!$B$7),ISNUMBER('Inputs'!$B$8),ISNUMBER('Inputs'!$B$9),ISNUMBER('Inputs'!$B$10),ISNUMBER('Inputs'!$B$21),ISNUMBER('Inputs'!$B$24),ISNUMBER('Inputs'!$B$28)),((('Results'!B7*(1+'Inputs'!$B$24)*(0.5*(((AA26+'Inputs'!$B$21)+'Inputs'!$B$7)/SQRT(((AA26+'Inputs'!$B$21)+'Inputs'!$B$7)^2+('Inputs'!$B$6/2)^2)-((AA26+'Inputs'!$B$21))/SQRT(((AA26+'Inputs'!$B$21))^2+('Inputs'!$B$6/2)^2)))-'Results'!C7*(1-'Inputs'!$B$24)*(0.5*(((AA26+'Inputs'!$B$21+'Inputs'!$B$7+'Inputs'!$B$10)+'Inputs'!$B$9)/SQRT(((AA26+'Inputs'!$B$21+'Inputs'!$B$7+'Inputs'!$B$10)+'Inputs'!$B$9)^2+('Inputs'!$B$8/2)^2)-((AA26+'Inputs'!$B$21+'Inputs'!$B$7+'Inputs'!$B$10))/SQRT(((AA26+'Inputs'!$B$21+'Inputs'!$B$7+'Inputs'!$B$10))^2+('Inputs'!$B$8/2)^2))))*'Results'!$B$8*'Results'!$B$9)+'Inputs'!$B$28*ABS((('Results'!B7*(1+'Inputs'!$B$24)*(0.5*(((AA26+'Inputs'!$B$21)+'Inputs'!$B$7)/SQRT(((AA26+'Inputs'!$B$21)+'Inputs'!$B$7)^2+('Inputs'!$B$6/2)^2)-((AA26+'Inputs'!$B$21))/SQRT(((AA26+'Inputs'!$B$21))^2+('Inputs'!$B$6/2)^2)))-'Results'!C7*(1-'Inputs'!$B$24)*(0.5*(((AA26+'Inputs'!$B$21+'Inputs'!$B$7+'Inputs'!$B$10)+'Inputs'!$B$9)/SQRT(((AA26+'Inputs'!$B$21+'Inputs'!$B$7+'Inputs'!$B$10)+'Inputs'!$B$9)^2+('Inputs'!$B$8/2)^2)-((AA26+'Inputs'!$B$21+'Inputs'!$B$7+'Inputs'!$B$10))/SQRT(((AA26+'Inputs'!$B$21+'Inputs'!$B$7+'Inputs'!$B$10))^2+('Inputs'!$B$8/2)^2))))*'Results'!$B$8*'Results'!$B$9))),"")</x:f>
        <x:v>66.90570742954583</x:v>
      </x:c>
      <x:c r="AC26" s="22"/>
      <x:c r="AD26" s="22"/>
      <x:c r="AE26" s="22" t="n">
        <x:f>IF(AH25&gt;='Results'!C10,AG25,AE25)</x:f>
        <x:v>6.922569274902344</x:v>
      </x:c>
      <x:c r="AF26" s="22" t="n">
        <x:f>IF(AH25&gt;='Results'!C10,AF25,AG25)</x:f>
        <x:v>6.922607421875</x:v>
      </x:c>
      <x:c r="AG26" s="22" t="n">
        <x:f>(AE26+AF26)/2</x:f>
        <x:v>6.922588348388672</x:v>
      </x:c>
      <x:c r="AH26" s="22" t="n">
        <x:f>IF(AND(ISNUMBER('Results'!C7),ISNUMBER('Results'!B7),ISNUMBER('Results'!$B$8),ISNUMBER('Results'!$B$9),ISNUMBER('Inputs'!$B$6),ISNUMBER('Inputs'!$B$7),ISNUMBER('Inputs'!$B$8),ISNUMBER('Inputs'!$B$9),ISNUMBER('Inputs'!$B$10),ISNUMBER('Inputs'!$B$21),ISNUMBER('Inputs'!$B$24),ISNUMBER('Inputs'!$B$28)),(('Results'!C7*(0.5*(((AG26+'Inputs'!$B$21)+'Inputs'!$B$9)/SQRT(((AG26+'Inputs'!$B$21)+'Inputs'!$B$9)^2+('Inputs'!$B$8/2)^2)-((AG26+'Inputs'!$B$21))/SQRT(((AG26+'Inputs'!$B$21))^2+('Inputs'!$B$8/2)^2)))-'Results'!B7*(0.5*(((AG26+'Inputs'!$B$21+'Inputs'!$B$9+'Inputs'!$B$10)+'Inputs'!$B$7)/SQRT(((AG26+'Inputs'!$B$21+'Inputs'!$B$9+'Inputs'!$B$10)+'Inputs'!$B$7)^2+('Inputs'!$B$6/2)^2)-((AG26+'Inputs'!$B$21+'Inputs'!$B$9+'Inputs'!$B$10))/SQRT(((AG26+'Inputs'!$B$21+'Inputs'!$B$9+'Inputs'!$B$10))^2+('Inputs'!$B$6/2)^2))))*'Results'!$B$8*'Results'!$B$9),"")</x:f>
        <x:v>104.00919986847275</x:v>
      </x:c>
      <x:c r="AI26" s="22"/>
      <x:c r="AJ26" s="22"/>
      <x:c r="AK26" s="22" t="n">
        <x:f>IF(AN25&gt;='Results'!C12,AM25,AK25)</x:f>
        <x:v>6.3452911376953125</x:v>
      </x:c>
      <x:c r="AL26" s="22" t="n">
        <x:f>IF(AN25&gt;='Results'!C12,AL25,AM25)</x:f>
        <x:v>6.345329284667969</x:v>
      </x:c>
      <x:c r="AM26" s="22" t="n">
        <x:f>(AK26+AL26)/2</x:f>
        <x:v>6.345310211181641</x:v>
      </x:c>
      <x:c r="AN26" s="22" t="n">
        <x:f>IF(AND(ISNUMBER('Results'!C7),ISNUMBER('Results'!B7),ISNUMBER('Results'!$B$8),ISNUMBER('Results'!$B$9),ISNUMBER('Inputs'!$B$6),ISNUMBER('Inputs'!$B$7),ISNUMBER('Inputs'!$B$8),ISNUMBER('Inputs'!$B$9),ISNUMBER('Inputs'!$B$10),ISNUMBER('Inputs'!$B$21),ISNUMBER('Inputs'!$B$24),ISNUMBER('Inputs'!$B$28)),((('Results'!C7*(1-'Inputs'!$B$24)*(0.5*(((AM26+'Inputs'!$B$21)+'Inputs'!$B$9)/SQRT(((AM26+'Inputs'!$B$21)+'Inputs'!$B$9)^2+('Inputs'!$B$8/2)^2)-((AM26+'Inputs'!$B$21))/SQRT(((AM26+'Inputs'!$B$21))^2+('Inputs'!$B$8/2)^2)))-'Results'!B7*(1+'Inputs'!$B$24)*(0.5*(((AM26+'Inputs'!$B$21+'Inputs'!$B$9+'Inputs'!$B$10)+'Inputs'!$B$7)/SQRT(((AM26+'Inputs'!$B$21+'Inputs'!$B$9+'Inputs'!$B$10)+'Inputs'!$B$7)^2+('Inputs'!$B$6/2)^2)-((AM26+'Inputs'!$B$21+'Inputs'!$B$9+'Inputs'!$B$10))/SQRT(((AM26+'Inputs'!$B$21+'Inputs'!$B$9+'Inputs'!$B$10))^2+('Inputs'!$B$6/2)^2))))*'Results'!$B$8*'Results'!$B$9)-'Inputs'!$B$28*ABS((('Results'!C7*(1-'Inputs'!$B$24)*(0.5*(((AM26+'Inputs'!$B$21)+'Inputs'!$B$9)/SQRT(((AM26+'Inputs'!$B$21)+'Inputs'!$B$9)^2+('Inputs'!$B$8/2)^2)-((AM26+'Inputs'!$B$21))/SQRT(((AM26+'Inputs'!$B$21))^2+('Inputs'!$B$8/2)^2)))-'Results'!B7*(1+'Inputs'!$B$24)*(0.5*(((AM26+'Inputs'!$B$21+'Inputs'!$B$9+'Inputs'!$B$10)+'Inputs'!$B$7)/SQRT(((AM26+'Inputs'!$B$21+'Inputs'!$B$9+'Inputs'!$B$10)+'Inputs'!$B$7)^2+('Inputs'!$B$6/2)^2)-((AM26+'Inputs'!$B$21+'Inputs'!$B$9+'Inputs'!$B$10))/SQRT(((AM26+'Inputs'!$B$21+'Inputs'!$B$9+'Inputs'!$B$10))^2+('Inputs'!$B$6/2)^2))))*'Results'!$B$8*'Results'!$B$9))),"")</x:f>
        <x:v>119.21732396329216</x:v>
      </x:c>
      <x:c r="AO26" s="22"/>
      <x:c r="AP26" s="22"/>
      <x:c r="AQ26" s="22" t="n">
        <x:f>IF(AT25&gt;='Results'!C11,AS25,AQ25)</x:f>
        <x:v>7.5511932373046875</x:v>
      </x:c>
      <x:c r="AR26" s="22" t="n">
        <x:f>IF(AT25&gt;='Results'!C11,AR25,AS25)</x:f>
        <x:v>7.551231384277344</x:v>
      </x:c>
      <x:c r="AS26" s="22" t="n">
        <x:f>(AQ26+AR26)/2</x:f>
        <x:v>7.551212310791016</x:v>
      </x:c>
      <x:c r="AT26" s="22" t="n">
        <x:f>IF(AND(ISNUMBER('Results'!C7),ISNUMBER('Results'!B7),ISNUMBER('Results'!$B$8),ISNUMBER('Results'!$B$9),ISNUMBER('Inputs'!$B$6),ISNUMBER('Inputs'!$B$7),ISNUMBER('Inputs'!$B$8),ISNUMBER('Inputs'!$B$9),ISNUMBER('Inputs'!$B$10),ISNUMBER('Inputs'!$B$21),ISNUMBER('Inputs'!$B$24),ISNUMBER('Inputs'!$B$28)),((('Results'!C7*(1+'Inputs'!$B$24)*(0.5*(((AS26+'Inputs'!$B$21)+'Inputs'!$B$9)/SQRT(((AS26+'Inputs'!$B$21)+'Inputs'!$B$9)^2+('Inputs'!$B$8/2)^2)-((AS26+'Inputs'!$B$21))/SQRT(((AS26+'Inputs'!$B$21))^2+('Inputs'!$B$8/2)^2)))-'Results'!B7*(1-'Inputs'!$B$24)*(0.5*(((AS26+'Inputs'!$B$21+'Inputs'!$B$9+'Inputs'!$B$10)+'Inputs'!$B$7)/SQRT(((AS26+'Inputs'!$B$21+'Inputs'!$B$9+'Inputs'!$B$10)+'Inputs'!$B$7)^2+('Inputs'!$B$6/2)^2)-((AS26+'Inputs'!$B$21+'Inputs'!$B$9+'Inputs'!$B$10))/SQRT(((AS26+'Inputs'!$B$21+'Inputs'!$B$9+'Inputs'!$B$10))^2+('Inputs'!$B$6/2)^2))))*'Results'!$B$8*'Results'!$B$9)+'Inputs'!$B$28*ABS((('Results'!C7*(1+'Inputs'!$B$24)*(0.5*(((AS26+'Inputs'!$B$21)+'Inputs'!$B$9)/SQRT(((AS26+'Inputs'!$B$21)+'Inputs'!$B$9)^2+('Inputs'!$B$8/2)^2)-((AS26+'Inputs'!$B$21))/SQRT(((AS26+'Inputs'!$B$21))^2+('Inputs'!$B$8/2)^2)))-'Results'!B7*(1-'Inputs'!$B$24)*(0.5*(((AS26+'Inputs'!$B$21+'Inputs'!$B$9+'Inputs'!$B$10)+'Inputs'!$B$7)/SQRT(((AS26+'Inputs'!$B$21+'Inputs'!$B$9+'Inputs'!$B$10)+'Inputs'!$B$7)^2+('Inputs'!$B$6/2)^2)-((AS26+'Inputs'!$B$21+'Inputs'!$B$9+'Inputs'!$B$10))/SQRT(((AS26+'Inputs'!$B$21+'Inputs'!$B$9+'Inputs'!$B$10))^2+('Inputs'!$B$6/2)^2))))*'Results'!$B$8*'Results'!$B$9))),"")</x:f>
        <x:v>89.91231062104238</x:v>
      </x:c>
      <x:c r="AU26" s="22"/>
      <x:c r="AV26" s="22"/>
      <x:c r="AW26" s="22" t="n">
        <x:f>IF(AZ25&gt;='Results'!C13,AY25,AW25)</x:f>
        <x:v>7.58270263671875</x:v>
      </x:c>
      <x:c r="AX26" s="22" t="n">
        <x:f>IF(AZ25&gt;='Results'!C13,AX25,AY25)</x:f>
        <x:v>7.582740783691406</x:v>
      </x:c>
      <x:c r="AY26" s="22" t="n">
        <x:f>(AW26+AX26)/2</x:f>
        <x:v>7.582721710205078</x:v>
      </x:c>
      <x:c r="AZ26" s="22" t="n">
        <x:f>IF(AND(ISNUMBER('Results'!C7),ISNUMBER('Results'!B7),ISNUMBER('Results'!$B$8),ISNUMBER('Results'!$B$9),ISNUMBER('Inputs'!$B$6),ISNUMBER('Inputs'!$B$7),ISNUMBER('Inputs'!$B$8),ISNUMBER('Inputs'!$B$9),ISNUMBER('Inputs'!$B$10),ISNUMBER('Inputs'!$B$21),ISNUMBER('Inputs'!$B$24),ISNUMBER('Inputs'!$B$28)),(('Results'!C7*(0.5*(((AY26+'Inputs'!$B$21)+'Inputs'!$B$9)/SQRT(((AY26+'Inputs'!$B$21)+'Inputs'!$B$9)^2+('Inputs'!$B$8/2)^2)-((AY26+'Inputs'!$B$21))/SQRT(((AY26+'Inputs'!$B$21))^2+('Inputs'!$B$8/2)^2)))-'Results'!B7*(0.5*(((AY26+'Inputs'!$B$21+'Inputs'!$B$9+'Inputs'!$B$10)+'Inputs'!$B$7)/SQRT(((AY26+'Inputs'!$B$21+'Inputs'!$B$9+'Inputs'!$B$10)+'Inputs'!$B$7)^2+('Inputs'!$B$6/2)^2)-((AY26+'Inputs'!$B$21+'Inputs'!$B$9+'Inputs'!$B$10))/SQRT(((AY26+'Inputs'!$B$21+'Inputs'!$B$9+'Inputs'!$B$10))^2+('Inputs'!$B$6/2)^2))))*'Results'!$B$8*'Results'!$B$9),"")</x:f>
        <x:v>81.60137504984743</x:v>
      </x:c>
      <x:c r="BA26" s="22"/>
      <x:c r="BB26" s="22"/>
      <x:c r="BC26" s="22" t="n">
        <x:f>IF(BF25&gt;='Results'!C14,BE25,BC25)</x:f>
        <x:v>8.246879577636719</x:v>
      </x:c>
      <x:c r="BD26" s="22" t="n">
        <x:f>IF(BF25&gt;='Results'!C14,BD25,BE25)</x:f>
        <x:v>8.246917724609375</x:v>
      </x:c>
      <x:c r="BE26" s="22" t="n">
        <x:f>(BC26+BD26)/2</x:f>
        <x:v>8.246898651123047</x:v>
      </x:c>
      <x:c r="BF26" s="22" t="n">
        <x:f>IF(AND(ISNUMBER('Results'!C7),ISNUMBER('Results'!B7),ISNUMBER('Results'!$B$8),ISNUMBER('Results'!$B$9),ISNUMBER('Inputs'!$B$6),ISNUMBER('Inputs'!$B$7),ISNUMBER('Inputs'!$B$8),ISNUMBER('Inputs'!$B$9),ISNUMBER('Inputs'!$B$10),ISNUMBER('Inputs'!$B$21),ISNUMBER('Inputs'!$B$24),ISNUMBER('Inputs'!$B$28)),((('Results'!C7*(1+'Inputs'!$B$24)*(0.5*(((BE26+'Inputs'!$B$21)+'Inputs'!$B$9)/SQRT(((BE26+'Inputs'!$B$21)+'Inputs'!$B$9)^2+('Inputs'!$B$8/2)^2)-((BE26+'Inputs'!$B$21))/SQRT(((BE26+'Inputs'!$B$21))^2+('Inputs'!$B$8/2)^2)))-'Results'!B7*(1-'Inputs'!$B$24)*(0.5*(((BE26+'Inputs'!$B$21+'Inputs'!$B$9+'Inputs'!$B$10)+'Inputs'!$B$7)/SQRT(((BE26+'Inputs'!$B$21+'Inputs'!$B$9+'Inputs'!$B$10)+'Inputs'!$B$7)^2+('Inputs'!$B$6/2)^2)-((BE26+'Inputs'!$B$21+'Inputs'!$B$9+'Inputs'!$B$10))/SQRT(((BE26+'Inputs'!$B$21+'Inputs'!$B$9+'Inputs'!$B$10))^2+('Inputs'!$B$6/2)^2))))*'Results'!$B$8*'Results'!$B$9)+'Inputs'!$B$28*ABS((('Results'!C7*(1+'Inputs'!$B$24)*(0.5*(((BE26+'Inputs'!$B$21)+'Inputs'!$B$9)/SQRT(((BE26+'Inputs'!$B$21)+'Inputs'!$B$9)^2+('Inputs'!$B$8/2)^2)-((BE26+'Inputs'!$B$21))/SQRT(((BE26+'Inputs'!$B$21))^2+('Inputs'!$B$8/2)^2)))-'Results'!B7*(1-'Inputs'!$B$24)*(0.5*(((BE26+'Inputs'!$B$21+'Inputs'!$B$9+'Inputs'!$B$10)+'Inputs'!$B$7)/SQRT(((BE26+'Inputs'!$B$21+'Inputs'!$B$9+'Inputs'!$B$10)+'Inputs'!$B$7)^2+('Inputs'!$B$6/2)^2)-((BE26+'Inputs'!$B$21+'Inputs'!$B$9+'Inputs'!$B$10))/SQRT(((BE26+'Inputs'!$B$21+'Inputs'!$B$9+'Inputs'!$B$10))^2+('Inputs'!$B$6/2)^2))))*'Results'!$B$8*'Results'!$B$9))),"")</x:f>
        <x:v>70.63991403029362</x:v>
      </x:c>
      <x:c r="BG26" s="22"/>
      <x:c r="BH26" s="22"/>
    </x:row>
    <x:row r="27" ht="22" customHeight="1">
      <x:c r="A27" s="22" t="n">
        <x:f>IF(D26&gt;='Results'!B10,C26,A26)</x:f>
        <x:v>7.177619934082031</x:v>
      </x:c>
      <x:c r="B27" s="22" t="n">
        <x:f>IF(D26&gt;='Results'!B10,B26,C26)</x:f>
        <x:v>7.177639007568359</x:v>
      </x:c>
      <x:c r="C27" s="22" t="n">
        <x:f>(A27+B27)/2</x:f>
        <x:v>7.177629470825195</x:v>
      </x:c>
      <x:c r="D27" s="22" t="n">
        <x:f>IF(AND(ISNUMBER('Results'!B7),ISNUMBER('Results'!C7),ISNUMBER('Results'!$B$8),ISNUMBER('Results'!$B$9),ISNUMBER('Inputs'!$B$6),ISNUMBER('Inputs'!$B$7),ISNUMBER('Inputs'!$B$8),ISNUMBER('Inputs'!$B$9),ISNUMBER('Inputs'!$B$10),ISNUMBER('Inputs'!$B$21),ISNUMBER('Inputs'!$B$24),ISNUMBER('Inputs'!$B$28)),(('Results'!B7*(0.5*(((C27+'Inputs'!$B$21)+'Inputs'!$B$7)/SQRT(((C27+'Inputs'!$B$21)+'Inputs'!$B$7)^2+('Inputs'!$B$6/2)^2)-((C27+'Inputs'!$B$21))/SQRT(((C27+'Inputs'!$B$21))^2+('Inputs'!$B$6/2)^2)))-'Results'!C7*(0.5*(((C27+'Inputs'!$B$21+'Inputs'!$B$7+'Inputs'!$B$10)+'Inputs'!$B$9)/SQRT(((C27+'Inputs'!$B$21+'Inputs'!$B$7+'Inputs'!$B$10)+'Inputs'!$B$9)^2+('Inputs'!$B$8/2)^2)-((C27+'Inputs'!$B$21+'Inputs'!$B$7+'Inputs'!$B$10))/SQRT(((C27+'Inputs'!$B$21+'Inputs'!$B$7+'Inputs'!$B$10))^2+('Inputs'!$B$8/2)^2))))*'Results'!$B$8*'Results'!$B$9),"")</x:f>
        <x:v>98.08124752976859</x:v>
      </x:c>
      <x:c r="E27" s="22"/>
      <x:c r="F27" s="22"/>
      <x:c r="G27" s="22" t="n">
        <x:f>IF(J26&gt;='Results'!B12,I26,G26)</x:f>
        <x:v>6.586589813232422</x:v>
      </x:c>
      <x:c r="H27" s="22" t="n">
        <x:f>IF(J26&gt;='Results'!B12,H26,I26)</x:f>
        <x:v>6.58660888671875</x:v>
      </x:c>
      <x:c r="I27" s="22" t="n">
        <x:f>(G27+H27)/2</x:f>
        <x:v>6.586599349975586</x:v>
      </x:c>
      <x:c r="J27" s="22" t="n">
        <x:f>IF(AND(ISNUMBER('Results'!B7),ISNUMBER('Results'!C7),ISNUMBER('Results'!$B$8),ISNUMBER('Results'!$B$9),ISNUMBER('Inputs'!$B$6),ISNUMBER('Inputs'!$B$7),ISNUMBER('Inputs'!$B$8),ISNUMBER('Inputs'!$B$9),ISNUMBER('Inputs'!$B$10),ISNUMBER('Inputs'!$B$21),ISNUMBER('Inputs'!$B$24),ISNUMBER('Inputs'!$B$28)),((('Results'!B7*(1-'Inputs'!$B$24)*(0.5*(((I27+'Inputs'!$B$21)+'Inputs'!$B$7)/SQRT(((I27+'Inputs'!$B$21)+'Inputs'!$B$7)^2+('Inputs'!$B$6/2)^2)-((I27+'Inputs'!$B$21))/SQRT(((I27+'Inputs'!$B$21))^2+('Inputs'!$B$6/2)^2)))-'Results'!C7*(1+'Inputs'!$B$24)*(0.5*(((I27+'Inputs'!$B$21+'Inputs'!$B$7+'Inputs'!$B$10)+'Inputs'!$B$9)/SQRT(((I27+'Inputs'!$B$21+'Inputs'!$B$7+'Inputs'!$B$10)+'Inputs'!$B$9)^2+('Inputs'!$B$8/2)^2)-((I27+'Inputs'!$B$21+'Inputs'!$B$7+'Inputs'!$B$10))/SQRT(((I27+'Inputs'!$B$21+'Inputs'!$B$7+'Inputs'!$B$10))^2+('Inputs'!$B$8/2)^2))))*'Results'!$B$8*'Results'!$B$9)-'Inputs'!$B$28*ABS((('Results'!B7*(1-'Inputs'!$B$24)*(0.5*(((I27+'Inputs'!$B$21)+'Inputs'!$B$7)/SQRT(((I27+'Inputs'!$B$21)+'Inputs'!$B$7)^2+('Inputs'!$B$6/2)^2)-((I27+'Inputs'!$B$21))/SQRT(((I27+'Inputs'!$B$21))^2+('Inputs'!$B$6/2)^2)))-'Results'!C7*(1+'Inputs'!$B$24)*(0.5*(((I27+'Inputs'!$B$21+'Inputs'!$B$7+'Inputs'!$B$10)+'Inputs'!$B$9)/SQRT(((I27+'Inputs'!$B$21+'Inputs'!$B$7+'Inputs'!$B$10)+'Inputs'!$B$9)^2+('Inputs'!$B$8/2)^2)-((I27+'Inputs'!$B$21+'Inputs'!$B$7+'Inputs'!$B$10))/SQRT(((I27+'Inputs'!$B$21+'Inputs'!$B$7+'Inputs'!$B$10))^2+('Inputs'!$B$8/2)^2))))*'Results'!$B$8*'Results'!$B$9))),"")</x:f>
        <x:v>112.38247837067668</x:v>
      </x:c>
      <x:c r="K27" s="22"/>
      <x:c r="L27" s="22"/>
      <x:c r="M27" s="22" t="n">
        <x:f>IF(P26&gt;='Results'!B11,O26,M26)</x:f>
        <x:v>7.821922302246094</x:v>
      </x:c>
      <x:c r="N27" s="22" t="n">
        <x:f>IF(P26&gt;='Results'!B11,N26,O26)</x:f>
        <x:v>7.821941375732422</x:v>
      </x:c>
      <x:c r="O27" s="22" t="n">
        <x:f>(M27+N27)/2</x:f>
        <x:v>7.821931838989258</x:v>
      </x:c>
      <x:c r="P27" s="22" t="n">
        <x:f>IF(AND(ISNUMBER('Results'!B7),ISNUMBER('Results'!C7),ISNUMBER('Results'!$B$8),ISNUMBER('Results'!$B$9),ISNUMBER('Inputs'!$B$6),ISNUMBER('Inputs'!$B$7),ISNUMBER('Inputs'!$B$8),ISNUMBER('Inputs'!$B$9),ISNUMBER('Inputs'!$B$10),ISNUMBER('Inputs'!$B$21),ISNUMBER('Inputs'!$B$24),ISNUMBER('Inputs'!$B$28)),((('Results'!B7*(1+'Inputs'!$B$24)*(0.5*(((O27+'Inputs'!$B$21)+'Inputs'!$B$7)/SQRT(((O27+'Inputs'!$B$21)+'Inputs'!$B$7)^2+('Inputs'!$B$6/2)^2)-((O27+'Inputs'!$B$21))/SQRT(((O27+'Inputs'!$B$21))^2+('Inputs'!$B$6/2)^2)))-'Results'!C7*(1-'Inputs'!$B$24)*(0.5*(((O27+'Inputs'!$B$21+'Inputs'!$B$7+'Inputs'!$B$10)+'Inputs'!$B$9)/SQRT(((O27+'Inputs'!$B$21+'Inputs'!$B$7+'Inputs'!$B$10)+'Inputs'!$B$9)^2+('Inputs'!$B$8/2)^2)-((O27+'Inputs'!$B$21+'Inputs'!$B$7+'Inputs'!$B$10))/SQRT(((O27+'Inputs'!$B$21+'Inputs'!$B$7+'Inputs'!$B$10))^2+('Inputs'!$B$8/2)^2))))*'Results'!$B$8*'Results'!$B$9)+'Inputs'!$B$28*ABS((('Results'!B7*(1+'Inputs'!$B$24)*(0.5*(((O27+'Inputs'!$B$21)+'Inputs'!$B$7)/SQRT(((O27+'Inputs'!$B$21)+'Inputs'!$B$7)^2+('Inputs'!$B$6/2)^2)-((O27+'Inputs'!$B$21))/SQRT(((O27+'Inputs'!$B$21))^2+('Inputs'!$B$6/2)^2)))-'Results'!C7*(1-'Inputs'!$B$24)*(0.5*(((O27+'Inputs'!$B$21+'Inputs'!$B$7+'Inputs'!$B$10)+'Inputs'!$B$9)/SQRT(((O27+'Inputs'!$B$21+'Inputs'!$B$7+'Inputs'!$B$10)+'Inputs'!$B$9)^2+('Inputs'!$B$8/2)^2)-((O27+'Inputs'!$B$21+'Inputs'!$B$7+'Inputs'!$B$10))/SQRT(((O27+'Inputs'!$B$21+'Inputs'!$B$7+'Inputs'!$B$10))^2+('Inputs'!$B$8/2)^2))))*'Results'!$B$8*'Results'!$B$9))),"")</x:f>
        <x:v>84.81726151953012</x:v>
      </x:c>
      <x:c r="Q27" s="22"/>
      <x:c r="R27" s="22"/>
      <x:c r="S27" s="22" t="n">
        <x:f>IF(V26&gt;='Results'!B13,U26,S26)</x:f>
        <x:v>7.844696044921875</x:v>
      </x:c>
      <x:c r="T27" s="22" t="n">
        <x:f>IF(V26&gt;='Results'!B13,T26,U26)</x:f>
        <x:v>7.844715118408203</x:v>
      </x:c>
      <x:c r="U27" s="22" t="n">
        <x:f>(S27+T27)/2</x:f>
        <x:v>7.844705581665039</x:v>
      </x:c>
      <x:c r="V27" s="22" t="n">
        <x:f>IF(AND(ISNUMBER('Results'!B7),ISNUMBER('Results'!C7),ISNUMBER('Results'!$B$8),ISNUMBER('Results'!$B$9),ISNUMBER('Inputs'!$B$6),ISNUMBER('Inputs'!$B$7),ISNUMBER('Inputs'!$B$8),ISNUMBER('Inputs'!$B$9),ISNUMBER('Inputs'!$B$10),ISNUMBER('Inputs'!$B$21),ISNUMBER('Inputs'!$B$24),ISNUMBER('Inputs'!$B$28)),(('Results'!B7*(0.5*(((U27+'Inputs'!$B$21)+'Inputs'!$B$7)/SQRT(((U27+'Inputs'!$B$21)+'Inputs'!$B$7)^2+('Inputs'!$B$6/2)^2)-((U27+'Inputs'!$B$21))/SQRT(((U27+'Inputs'!$B$21))^2+('Inputs'!$B$6/2)^2)))-'Results'!C7*(0.5*(((U27+'Inputs'!$B$21+'Inputs'!$B$7+'Inputs'!$B$10)+'Inputs'!$B$9)/SQRT(((U27+'Inputs'!$B$21+'Inputs'!$B$7+'Inputs'!$B$10)+'Inputs'!$B$9)^2+('Inputs'!$B$8/2)^2)-((U27+'Inputs'!$B$21+'Inputs'!$B$7+'Inputs'!$B$10))/SQRT(((U27+'Inputs'!$B$21+'Inputs'!$B$7+'Inputs'!$B$10))^2+('Inputs'!$B$8/2)^2))))*'Results'!$B$8*'Results'!$B$9),"")</x:f>
        <x:v>77.26342363938528</x:v>
      </x:c>
      <x:c r="W27" s="22"/>
      <x:c r="X27" s="22"/>
      <x:c r="Y27" s="22" t="n">
        <x:f>IF(AB26&gt;='Results'!B14,AA26,Y26)</x:f>
        <x:v>8.525638580322266</x:v>
      </x:c>
      <x:c r="Z27" s="22" t="n">
        <x:f>IF(AB26&gt;='Results'!B14,Z26,AA26)</x:f>
        <x:v>8.525657653808594</x:v>
      </x:c>
      <x:c r="AA27" s="22" t="n">
        <x:f>(Y27+Z27)/2</x:f>
        <x:v>8.52564811706543</x:v>
      </x:c>
      <x:c r="AB27" s="22" t="n">
        <x:f>IF(AND(ISNUMBER('Results'!B7),ISNUMBER('Results'!C7),ISNUMBER('Results'!$B$8),ISNUMBER('Results'!$B$9),ISNUMBER('Inputs'!$B$6),ISNUMBER('Inputs'!$B$7),ISNUMBER('Inputs'!$B$8),ISNUMBER('Inputs'!$B$9),ISNUMBER('Inputs'!$B$10),ISNUMBER('Inputs'!$B$21),ISNUMBER('Inputs'!$B$24),ISNUMBER('Inputs'!$B$28)),((('Results'!B7*(1+'Inputs'!$B$24)*(0.5*(((AA27+'Inputs'!$B$21)+'Inputs'!$B$7)/SQRT(((AA27+'Inputs'!$B$21)+'Inputs'!$B$7)^2+('Inputs'!$B$6/2)^2)-((AA27+'Inputs'!$B$21))/SQRT(((AA27+'Inputs'!$B$21))^2+('Inputs'!$B$6/2)^2)))-'Results'!C7*(1-'Inputs'!$B$24)*(0.5*(((AA27+'Inputs'!$B$21+'Inputs'!$B$7+'Inputs'!$B$10)+'Inputs'!$B$9)/SQRT(((AA27+'Inputs'!$B$21+'Inputs'!$B$7+'Inputs'!$B$10)+'Inputs'!$B$9)^2+('Inputs'!$B$8/2)^2)-((AA27+'Inputs'!$B$21+'Inputs'!$B$7+'Inputs'!$B$10))/SQRT(((AA27+'Inputs'!$B$21+'Inputs'!$B$7+'Inputs'!$B$10))^2+('Inputs'!$B$8/2)^2))))*'Results'!$B$8*'Results'!$B$9)+'Inputs'!$B$28*ABS((('Results'!B7*(1+'Inputs'!$B$24)*(0.5*(((AA27+'Inputs'!$B$21)+'Inputs'!$B$7)/SQRT(((AA27+'Inputs'!$B$21)+'Inputs'!$B$7)^2+('Inputs'!$B$6/2)^2)-((AA27+'Inputs'!$B$21))/SQRT(((AA27+'Inputs'!$B$21))^2+('Inputs'!$B$6/2)^2)))-'Results'!C7*(1-'Inputs'!$B$24)*(0.5*(((AA27+'Inputs'!$B$21+'Inputs'!$B$7+'Inputs'!$B$10)+'Inputs'!$B$9)/SQRT(((AA27+'Inputs'!$B$21+'Inputs'!$B$7+'Inputs'!$B$10)+'Inputs'!$B$9)^2+('Inputs'!$B$8/2)^2)-((AA27+'Inputs'!$B$21+'Inputs'!$B$7+'Inputs'!$B$10))/SQRT(((AA27+'Inputs'!$B$21+'Inputs'!$B$7+'Inputs'!$B$10))^2+('Inputs'!$B$8/2)^2))))*'Results'!$B$8*'Results'!$B$9))),"")</x:f>
        <x:v>66.90549822443765</x:v>
      </x:c>
      <x:c r="AC27" s="22"/>
      <x:c r="AD27" s="22"/>
      <x:c r="AE27" s="22" t="n">
        <x:f>IF(AH26&gt;='Results'!C10,AG26,AE26)</x:f>
        <x:v>6.922588348388672</x:v>
      </x:c>
      <x:c r="AF27" s="22" t="n">
        <x:f>IF(AH26&gt;='Results'!C10,AF26,AG26)</x:f>
        <x:v>6.922607421875</x:v>
      </x:c>
      <x:c r="AG27" s="22" t="n">
        <x:f>(AE27+AF27)/2</x:f>
        <x:v>6.922597885131836</x:v>
      </x:c>
      <x:c r="AH27" s="22" t="n">
        <x:f>IF(AND(ISNUMBER('Results'!C7),ISNUMBER('Results'!B7),ISNUMBER('Results'!$B$8),ISNUMBER('Results'!$B$9),ISNUMBER('Inputs'!$B$6),ISNUMBER('Inputs'!$B$7),ISNUMBER('Inputs'!$B$8),ISNUMBER('Inputs'!$B$9),ISNUMBER('Inputs'!$B$10),ISNUMBER('Inputs'!$B$21),ISNUMBER('Inputs'!$B$24),ISNUMBER('Inputs'!$B$28)),(('Results'!C7*(0.5*(((AG27+'Inputs'!$B$21)+'Inputs'!$B$9)/SQRT(((AG27+'Inputs'!$B$21)+'Inputs'!$B$9)^2+('Inputs'!$B$8/2)^2)-((AG27+'Inputs'!$B$21))/SQRT(((AG27+'Inputs'!$B$21))^2+('Inputs'!$B$8/2)^2)))-'Results'!B7*(0.5*(((AG27+'Inputs'!$B$21+'Inputs'!$B$9+'Inputs'!$B$10)+'Inputs'!$B$7)/SQRT(((AG27+'Inputs'!$B$21+'Inputs'!$B$9+'Inputs'!$B$10)+'Inputs'!$B$7)^2+('Inputs'!$B$6/2)^2)-((AG27+'Inputs'!$B$21+'Inputs'!$B$9+'Inputs'!$B$10))/SQRT(((AG27+'Inputs'!$B$21+'Inputs'!$B$9+'Inputs'!$B$10))^2+('Inputs'!$B$6/2)^2))))*'Results'!$B$8*'Results'!$B$9),"")</x:f>
        <x:v>104.00882548439031</x:v>
      </x:c>
      <x:c r="AI27" s="22"/>
      <x:c r="AJ27" s="22"/>
      <x:c r="AK27" s="22" t="n">
        <x:f>IF(AN26&gt;='Results'!C12,AM26,AK26)</x:f>
        <x:v>6.3452911376953125</x:v>
      </x:c>
      <x:c r="AL27" s="22" t="n">
        <x:f>IF(AN26&gt;='Results'!C12,AL26,AM26)</x:f>
        <x:v>6.345310211181641</x:v>
      </x:c>
      <x:c r="AM27" s="22" t="n">
        <x:f>(AK27+AL27)/2</x:f>
        <x:v>6.345300674438477</x:v>
      </x:c>
      <x:c r="AN27" s="22" t="n">
        <x:f>IF(AND(ISNUMBER('Results'!C7),ISNUMBER('Results'!B7),ISNUMBER('Results'!$B$8),ISNUMBER('Results'!$B$9),ISNUMBER('Inputs'!$B$6),ISNUMBER('Inputs'!$B$7),ISNUMBER('Inputs'!$B$8),ISNUMBER('Inputs'!$B$9),ISNUMBER('Inputs'!$B$10),ISNUMBER('Inputs'!$B$21),ISNUMBER('Inputs'!$B$24),ISNUMBER('Inputs'!$B$28)),((('Results'!C7*(1-'Inputs'!$B$24)*(0.5*(((AM27+'Inputs'!$B$21)+'Inputs'!$B$9)/SQRT(((AM27+'Inputs'!$B$21)+'Inputs'!$B$9)^2+('Inputs'!$B$8/2)^2)-((AM27+'Inputs'!$B$21))/SQRT(((AM27+'Inputs'!$B$21))^2+('Inputs'!$B$8/2)^2)))-'Results'!B7*(1+'Inputs'!$B$24)*(0.5*(((AM27+'Inputs'!$B$21+'Inputs'!$B$9+'Inputs'!$B$10)+'Inputs'!$B$7)/SQRT(((AM27+'Inputs'!$B$21+'Inputs'!$B$9+'Inputs'!$B$10)+'Inputs'!$B$7)^2+('Inputs'!$B$6/2)^2)-((AM27+'Inputs'!$B$21+'Inputs'!$B$9+'Inputs'!$B$10))/SQRT(((AM27+'Inputs'!$B$21+'Inputs'!$B$9+'Inputs'!$B$10))^2+('Inputs'!$B$6/2)^2))))*'Results'!$B$8*'Results'!$B$9)-'Inputs'!$B$28*ABS((('Results'!C7*(1-'Inputs'!$B$24)*(0.5*(((AM27+'Inputs'!$B$21)+'Inputs'!$B$9)/SQRT(((AM27+'Inputs'!$B$21)+'Inputs'!$B$9)^2+('Inputs'!$B$8/2)^2)-((AM27+'Inputs'!$B$21))/SQRT(((AM27+'Inputs'!$B$21))^2+('Inputs'!$B$8/2)^2)))-'Results'!B7*(1+'Inputs'!$B$24)*(0.5*(((AM27+'Inputs'!$B$21+'Inputs'!$B$9+'Inputs'!$B$10)+'Inputs'!$B$7)/SQRT(((AM27+'Inputs'!$B$21+'Inputs'!$B$9+'Inputs'!$B$10)+'Inputs'!$B$7)^2+('Inputs'!$B$6/2)^2)-((AM27+'Inputs'!$B$21+'Inputs'!$B$9+'Inputs'!$B$10))/SQRT(((AM27+'Inputs'!$B$21+'Inputs'!$B$9+'Inputs'!$B$10))^2+('Inputs'!$B$6/2)^2))))*'Results'!$B$8*'Results'!$B$9))),"")</x:f>
        <x:v>119.21777656647238</x:v>
      </x:c>
      <x:c r="AO27" s="22"/>
      <x:c r="AP27" s="22"/>
      <x:c r="AQ27" s="22" t="n">
        <x:f>IF(AT26&gt;='Results'!C11,AS26,AQ26)</x:f>
        <x:v>7.5511932373046875</x:v>
      </x:c>
      <x:c r="AR27" s="22" t="n">
        <x:f>IF(AT26&gt;='Results'!C11,AR26,AS26)</x:f>
        <x:v>7.551212310791016</x:v>
      </x:c>
      <x:c r="AS27" s="22" t="n">
        <x:f>(AQ27+AR27)/2</x:f>
        <x:v>7.551202774047852</x:v>
      </x:c>
      <x:c r="AT27" s="22" t="n">
        <x:f>IF(AND(ISNUMBER('Results'!C7),ISNUMBER('Results'!B7),ISNUMBER('Results'!$B$8),ISNUMBER('Results'!$B$9),ISNUMBER('Inputs'!$B$6),ISNUMBER('Inputs'!$B$7),ISNUMBER('Inputs'!$B$8),ISNUMBER('Inputs'!$B$9),ISNUMBER('Inputs'!$B$10),ISNUMBER('Inputs'!$B$21),ISNUMBER('Inputs'!$B$24),ISNUMBER('Inputs'!$B$28)),((('Results'!C7*(1+'Inputs'!$B$24)*(0.5*(((AS27+'Inputs'!$B$21)+'Inputs'!$B$9)/SQRT(((AS27+'Inputs'!$B$21)+'Inputs'!$B$9)^2+('Inputs'!$B$8/2)^2)-((AS27+'Inputs'!$B$21))/SQRT(((AS27+'Inputs'!$B$21))^2+('Inputs'!$B$8/2)^2)))-'Results'!B7*(1-'Inputs'!$B$24)*(0.5*(((AS27+'Inputs'!$B$21+'Inputs'!$B$9+'Inputs'!$B$10)+'Inputs'!$B$7)/SQRT(((AS27+'Inputs'!$B$21+'Inputs'!$B$9+'Inputs'!$B$10)+'Inputs'!$B$7)^2+('Inputs'!$B$6/2)^2)-((AS27+'Inputs'!$B$21+'Inputs'!$B$9+'Inputs'!$B$10))/SQRT(((AS27+'Inputs'!$B$21+'Inputs'!$B$9+'Inputs'!$B$10))^2+('Inputs'!$B$6/2)^2))))*'Results'!$B$8*'Results'!$B$9)+'Inputs'!$B$28*ABS((('Results'!C7*(1+'Inputs'!$B$24)*(0.5*(((AS27+'Inputs'!$B$21)+'Inputs'!$B$9)/SQRT(((AS27+'Inputs'!$B$21)+'Inputs'!$B$9)^2+('Inputs'!$B$8/2)^2)-((AS27+'Inputs'!$B$21))/SQRT(((AS27+'Inputs'!$B$21))^2+('Inputs'!$B$8/2)^2)))-'Results'!B7*(1-'Inputs'!$B$24)*(0.5*(((AS27+'Inputs'!$B$21+'Inputs'!$B$9+'Inputs'!$B$10)+'Inputs'!$B$7)/SQRT(((AS27+'Inputs'!$B$21+'Inputs'!$B$9+'Inputs'!$B$10)+'Inputs'!$B$7)^2+('Inputs'!$B$6/2)^2)-((AS27+'Inputs'!$B$21+'Inputs'!$B$9+'Inputs'!$B$10))/SQRT(((AS27+'Inputs'!$B$21+'Inputs'!$B$9+'Inputs'!$B$10))^2+('Inputs'!$B$6/2)^2))))*'Results'!$B$8*'Results'!$B$9))),"")</x:f>
        <x:v>89.91261626887362</x:v>
      </x:c>
      <x:c r="AU27" s="22"/>
      <x:c r="AV27" s="22"/>
      <x:c r="AW27" s="22" t="n">
        <x:f>IF(AZ26&gt;='Results'!C13,AY26,AW26)</x:f>
        <x:v>7.582721710205078</x:v>
      </x:c>
      <x:c r="AX27" s="22" t="n">
        <x:f>IF(AZ26&gt;='Results'!C13,AX26,AY26)</x:f>
        <x:v>7.582740783691406</x:v>
      </x:c>
      <x:c r="AY27" s="22" t="n">
        <x:f>(AW27+AX27)/2</x:f>
        <x:v>7.582731246948242</x:v>
      </x:c>
      <x:c r="AZ27" s="22" t="n">
        <x:f>IF(AND(ISNUMBER('Results'!C7),ISNUMBER('Results'!B7),ISNUMBER('Results'!$B$8),ISNUMBER('Results'!$B$9),ISNUMBER('Inputs'!$B$6),ISNUMBER('Inputs'!$B$7),ISNUMBER('Inputs'!$B$8),ISNUMBER('Inputs'!$B$9),ISNUMBER('Inputs'!$B$10),ISNUMBER('Inputs'!$B$21),ISNUMBER('Inputs'!$B$24),ISNUMBER('Inputs'!$B$28)),(('Results'!C7*(0.5*(((AY27+'Inputs'!$B$21)+'Inputs'!$B$9)/SQRT(((AY27+'Inputs'!$B$21)+'Inputs'!$B$9)^2+('Inputs'!$B$8/2)^2)-((AY27+'Inputs'!$B$21))/SQRT(((AY27+'Inputs'!$B$21))^2+('Inputs'!$B$8/2)^2)))-'Results'!B7*(0.5*(((AY27+'Inputs'!$B$21+'Inputs'!$B$9+'Inputs'!$B$10)+'Inputs'!$B$7)/SQRT(((AY27+'Inputs'!$B$21+'Inputs'!$B$9+'Inputs'!$B$10)+'Inputs'!$B$7)^2+('Inputs'!$B$6/2)^2)-((AY27+'Inputs'!$B$21+'Inputs'!$B$9+'Inputs'!$B$10))/SQRT(((AY27+'Inputs'!$B$21+'Inputs'!$B$9+'Inputs'!$B$10))^2+('Inputs'!$B$6/2)^2))))*'Results'!$B$8*'Results'!$B$9),"")</x:f>
        <x:v>81.60109651796819</x:v>
      </x:c>
      <x:c r="BA27" s="22"/>
      <x:c r="BB27" s="22"/>
      <x:c r="BC27" s="22" t="n">
        <x:f>IF(BF26&gt;='Results'!C14,BE26,BC26)</x:f>
        <x:v>8.246879577636719</x:v>
      </x:c>
      <x:c r="BD27" s="22" t="n">
        <x:f>IF(BF26&gt;='Results'!C14,BD26,BE26)</x:f>
        <x:v>8.246898651123047</x:v>
      </x:c>
      <x:c r="BE27" s="22" t="n">
        <x:f>(BC27+BD27)/2</x:f>
        <x:v>8.246889114379883</x:v>
      </x:c>
      <x:c r="BF27" s="22" t="n">
        <x:f>IF(AND(ISNUMBER('Results'!C7),ISNUMBER('Results'!B7),ISNUMBER('Results'!$B$8),ISNUMBER('Results'!$B$9),ISNUMBER('Inputs'!$B$6),ISNUMBER('Inputs'!$B$7),ISNUMBER('Inputs'!$B$8),ISNUMBER('Inputs'!$B$9),ISNUMBER('Inputs'!$B$10),ISNUMBER('Inputs'!$B$21),ISNUMBER('Inputs'!$B$24),ISNUMBER('Inputs'!$B$28)),((('Results'!C7*(1+'Inputs'!$B$24)*(0.5*(((BE27+'Inputs'!$B$21)+'Inputs'!$B$9)/SQRT(((BE27+'Inputs'!$B$21)+'Inputs'!$B$9)^2+('Inputs'!$B$8/2)^2)-((BE27+'Inputs'!$B$21))/SQRT(((BE27+'Inputs'!$B$21))^2+('Inputs'!$B$8/2)^2)))-'Results'!B7*(1-'Inputs'!$B$24)*(0.5*(((BE27+'Inputs'!$B$21+'Inputs'!$B$9+'Inputs'!$B$10)+'Inputs'!$B$7)/SQRT(((BE27+'Inputs'!$B$21+'Inputs'!$B$9+'Inputs'!$B$10)+'Inputs'!$B$7)^2+('Inputs'!$B$6/2)^2)-((BE27+'Inputs'!$B$21+'Inputs'!$B$9+'Inputs'!$B$10))/SQRT(((BE27+'Inputs'!$B$21+'Inputs'!$B$9+'Inputs'!$B$10))^2+('Inputs'!$B$6/2)^2))))*'Results'!$B$8*'Results'!$B$9)+'Inputs'!$B$28*ABS((('Results'!C7*(1+'Inputs'!$B$24)*(0.5*(((BE27+'Inputs'!$B$21)+'Inputs'!$B$9)/SQRT(((BE27+'Inputs'!$B$21)+'Inputs'!$B$9)^2+('Inputs'!$B$8/2)^2)-((BE27+'Inputs'!$B$21))/SQRT(((BE27+'Inputs'!$B$21))^2+('Inputs'!$B$8/2)^2)))-'Results'!B7*(1-'Inputs'!$B$24)*(0.5*(((BE27+'Inputs'!$B$21+'Inputs'!$B$9+'Inputs'!$B$10)+'Inputs'!$B$7)/SQRT(((BE27+'Inputs'!$B$21+'Inputs'!$B$9+'Inputs'!$B$10)+'Inputs'!$B$7)^2+('Inputs'!$B$6/2)^2)-((BE27+'Inputs'!$B$21+'Inputs'!$B$9+'Inputs'!$B$10))/SQRT(((BE27+'Inputs'!$B$21+'Inputs'!$B$9+'Inputs'!$B$10))^2+('Inputs'!$B$6/2)^2))))*'Results'!$B$8*'Results'!$B$9))),"")</x:f>
        <x:v>70.64014129687699</x:v>
      </x:c>
      <x:c r="BG27" s="22"/>
      <x:c r="BH27" s="22"/>
    </x:row>
    <x:row r="28" ht="22" customHeight="1">
      <x:c r="A28" s="22" t="n">
        <x:f>IF(D27&gt;='Results'!B10,C27,A27)</x:f>
        <x:v>7.177629470825195</x:v>
      </x:c>
      <x:c r="B28" s="22" t="n">
        <x:f>IF(D27&gt;='Results'!B10,B27,C27)</x:f>
        <x:v>7.177639007568359</x:v>
      </x:c>
      <x:c r="C28" s="22" t="n">
        <x:f>(A28+B28)/2</x:f>
        <x:v>7.177634239196777</x:v>
      </x:c>
      <x:c r="D28" s="22" t="n">
        <x:f>IF(AND(ISNUMBER('Results'!B7),ISNUMBER('Results'!C7),ISNUMBER('Results'!$B$8),ISNUMBER('Results'!$B$9),ISNUMBER('Inputs'!$B$6),ISNUMBER('Inputs'!$B$7),ISNUMBER('Inputs'!$B$8),ISNUMBER('Inputs'!$B$9),ISNUMBER('Inputs'!$B$10),ISNUMBER('Inputs'!$B$21),ISNUMBER('Inputs'!$B$24),ISNUMBER('Inputs'!$B$28)),(('Results'!B7*(0.5*(((C28+'Inputs'!$B$21)+'Inputs'!$B$7)/SQRT(((C28+'Inputs'!$B$21)+'Inputs'!$B$7)^2+('Inputs'!$B$6/2)^2)-((C28+'Inputs'!$B$21))/SQRT(((C28+'Inputs'!$B$21))^2+('Inputs'!$B$6/2)^2)))-'Results'!C7*(0.5*(((C28+'Inputs'!$B$21+'Inputs'!$B$7+'Inputs'!$B$10)+'Inputs'!$B$9)/SQRT(((C28+'Inputs'!$B$21+'Inputs'!$B$7+'Inputs'!$B$10)+'Inputs'!$B$9)^2+('Inputs'!$B$8/2)^2)-((C28+'Inputs'!$B$21+'Inputs'!$B$7+'Inputs'!$B$10))/SQRT(((C28+'Inputs'!$B$21+'Inputs'!$B$7+'Inputs'!$B$10))^2+('Inputs'!$B$8/2)^2))))*'Results'!$B$8*'Results'!$B$9),"")</x:f>
        <x:v>98.08107571354552</x:v>
      </x:c>
      <x:c r="E28" s="22"/>
      <x:c r="F28" s="22"/>
      <x:c r="G28" s="22" t="n">
        <x:f>IF(J27&gt;='Results'!B12,I27,G27)</x:f>
        <x:v>6.586599349975586</x:v>
      </x:c>
      <x:c r="H28" s="22" t="n">
        <x:f>IF(J27&gt;='Results'!B12,H27,I27)</x:f>
        <x:v>6.58660888671875</x:v>
      </x:c>
      <x:c r="I28" s="22" t="n">
        <x:f>(G28+H28)/2</x:f>
        <x:v>6.586604118347168</x:v>
      </x:c>
      <x:c r="J28" s="22" t="n">
        <x:f>IF(AND(ISNUMBER('Results'!B7),ISNUMBER('Results'!C7),ISNUMBER('Results'!$B$8),ISNUMBER('Results'!$B$9),ISNUMBER('Inputs'!$B$6),ISNUMBER('Inputs'!$B$7),ISNUMBER('Inputs'!$B$8),ISNUMBER('Inputs'!$B$9),ISNUMBER('Inputs'!$B$10),ISNUMBER('Inputs'!$B$21),ISNUMBER('Inputs'!$B$24),ISNUMBER('Inputs'!$B$28)),((('Results'!B7*(1-'Inputs'!$B$24)*(0.5*(((I28+'Inputs'!$B$21)+'Inputs'!$B$7)/SQRT(((I28+'Inputs'!$B$21)+'Inputs'!$B$7)^2+('Inputs'!$B$6/2)^2)-((I28+'Inputs'!$B$21))/SQRT(((I28+'Inputs'!$B$21))^2+('Inputs'!$B$6/2)^2)))-'Results'!C7*(1+'Inputs'!$B$24)*(0.5*(((I28+'Inputs'!$B$21+'Inputs'!$B$7+'Inputs'!$B$10)+'Inputs'!$B$9)/SQRT(((I28+'Inputs'!$B$21+'Inputs'!$B$7+'Inputs'!$B$10)+'Inputs'!$B$9)^2+('Inputs'!$B$8/2)^2)-((I28+'Inputs'!$B$21+'Inputs'!$B$7+'Inputs'!$B$10))/SQRT(((I28+'Inputs'!$B$21+'Inputs'!$B$7+'Inputs'!$B$10))^2+('Inputs'!$B$8/2)^2))))*'Results'!$B$8*'Results'!$B$9)-'Inputs'!$B$28*ABS((('Results'!B7*(1-'Inputs'!$B$24)*(0.5*(((I28+'Inputs'!$B$21)+'Inputs'!$B$7)/SQRT(((I28+'Inputs'!$B$21)+'Inputs'!$B$7)^2+('Inputs'!$B$6/2)^2)-((I28+'Inputs'!$B$21))/SQRT(((I28+'Inputs'!$B$21))^2+('Inputs'!$B$6/2)^2)))-'Results'!C7*(1+'Inputs'!$B$24)*(0.5*(((I28+'Inputs'!$B$21+'Inputs'!$B$7+'Inputs'!$B$10)+'Inputs'!$B$9)/SQRT(((I28+'Inputs'!$B$21+'Inputs'!$B$7+'Inputs'!$B$10)+'Inputs'!$B$9)^2+('Inputs'!$B$8/2)^2)-((I28+'Inputs'!$B$21+'Inputs'!$B$7+'Inputs'!$B$10))/SQRT(((I28+'Inputs'!$B$21+'Inputs'!$B$7+'Inputs'!$B$10))^2+('Inputs'!$B$8/2)^2))))*'Results'!$B$8*'Results'!$B$9))),"")</x:f>
        <x:v>112.38227049351865</x:v>
      </x:c>
      <x:c r="K28" s="22"/>
      <x:c r="L28" s="22"/>
      <x:c r="M28" s="22" t="n">
        <x:f>IF(P27&gt;='Results'!B11,O27,M27)</x:f>
        <x:v>7.821922302246094</x:v>
      </x:c>
      <x:c r="N28" s="22" t="n">
        <x:f>IF(P27&gt;='Results'!B11,N27,O27)</x:f>
        <x:v>7.821931838989258</x:v>
      </x:c>
      <x:c r="O28" s="22" t="n">
        <x:f>(M28+N28)/2</x:f>
        <x:v>7.821927070617676</x:v>
      </x:c>
      <x:c r="P28" s="22" t="n">
        <x:f>IF(AND(ISNUMBER('Results'!B7),ISNUMBER('Results'!C7),ISNUMBER('Results'!$B$8),ISNUMBER('Results'!$B$9),ISNUMBER('Inputs'!$B$6),ISNUMBER('Inputs'!$B$7),ISNUMBER('Inputs'!$B$8),ISNUMBER('Inputs'!$B$9),ISNUMBER('Inputs'!$B$10),ISNUMBER('Inputs'!$B$21),ISNUMBER('Inputs'!$B$24),ISNUMBER('Inputs'!$B$28)),((('Results'!B7*(1+'Inputs'!$B$24)*(0.5*(((O28+'Inputs'!$B$21)+'Inputs'!$B$7)/SQRT(((O28+'Inputs'!$B$21)+'Inputs'!$B$7)^2+('Inputs'!$B$6/2)^2)-((O28+'Inputs'!$B$21))/SQRT(((O28+'Inputs'!$B$21))^2+('Inputs'!$B$6/2)^2)))-'Results'!C7*(1-'Inputs'!$B$24)*(0.5*(((O28+'Inputs'!$B$21+'Inputs'!$B$7+'Inputs'!$B$10)+'Inputs'!$B$9)/SQRT(((O28+'Inputs'!$B$21+'Inputs'!$B$7+'Inputs'!$B$10)+'Inputs'!$B$9)^2+('Inputs'!$B$8/2)^2)-((O28+'Inputs'!$B$21+'Inputs'!$B$7+'Inputs'!$B$10))/SQRT(((O28+'Inputs'!$B$21+'Inputs'!$B$7+'Inputs'!$B$10))^2+('Inputs'!$B$8/2)^2))))*'Results'!$B$8*'Results'!$B$9)+'Inputs'!$B$28*ABS((('Results'!B7*(1+'Inputs'!$B$24)*(0.5*(((O28+'Inputs'!$B$21)+'Inputs'!$B$7)/SQRT(((O28+'Inputs'!$B$21)+'Inputs'!$B$7)^2+('Inputs'!$B$6/2)^2)-((O28+'Inputs'!$B$21))/SQRT(((O28+'Inputs'!$B$21))^2+('Inputs'!$B$6/2)^2)))-'Results'!C7*(1-'Inputs'!$B$24)*(0.5*(((O28+'Inputs'!$B$21+'Inputs'!$B$7+'Inputs'!$B$10)+'Inputs'!$B$9)/SQRT(((O28+'Inputs'!$B$21+'Inputs'!$B$7+'Inputs'!$B$10)+'Inputs'!$B$9)^2+('Inputs'!$B$8/2)^2)-((O28+'Inputs'!$B$21+'Inputs'!$B$7+'Inputs'!$B$10))/SQRT(((O28+'Inputs'!$B$21+'Inputs'!$B$7+'Inputs'!$B$10))^2+('Inputs'!$B$8/2)^2))))*'Results'!$B$8*'Results'!$B$9))),"")</x:f>
        <x:v>84.81740169397753</x:v>
      </x:c>
      <x:c r="Q28" s="22"/>
      <x:c r="R28" s="22"/>
      <x:c r="S28" s="22" t="n">
        <x:f>IF(V27&gt;='Results'!B13,U27,S27)</x:f>
        <x:v>7.844696044921875</x:v>
      </x:c>
      <x:c r="T28" s="22" t="n">
        <x:f>IF(V27&gt;='Results'!B13,T27,U27)</x:f>
        <x:v>7.844705581665039</x:v>
      </x:c>
      <x:c r="U28" s="22" t="n">
        <x:f>(S28+T28)/2</x:f>
        <x:v>7.844700813293457</x:v>
      </x:c>
      <x:c r="V28" s="22" t="n">
        <x:f>IF(AND(ISNUMBER('Results'!B7),ISNUMBER('Results'!C7),ISNUMBER('Results'!$B$8),ISNUMBER('Results'!$B$9),ISNUMBER('Inputs'!$B$6),ISNUMBER('Inputs'!$B$7),ISNUMBER('Inputs'!$B$8),ISNUMBER('Inputs'!$B$9),ISNUMBER('Inputs'!$B$10),ISNUMBER('Inputs'!$B$21),ISNUMBER('Inputs'!$B$24),ISNUMBER('Inputs'!$B$28)),(('Results'!B7*(0.5*(((U28+'Inputs'!$B$21)+'Inputs'!$B$7)/SQRT(((U28+'Inputs'!$B$21)+'Inputs'!$B$7)^2+('Inputs'!$B$6/2)^2)-((U28+'Inputs'!$B$21))/SQRT(((U28+'Inputs'!$B$21))^2+('Inputs'!$B$6/2)^2)))-'Results'!C7*(0.5*(((U28+'Inputs'!$B$21+'Inputs'!$B$7+'Inputs'!$B$10)+'Inputs'!$B$9)/SQRT(((U28+'Inputs'!$B$21+'Inputs'!$B$7+'Inputs'!$B$10)+'Inputs'!$B$9)^2+('Inputs'!$B$8/2)^2)-((U28+'Inputs'!$B$21+'Inputs'!$B$7+'Inputs'!$B$10))/SQRT(((U28+'Inputs'!$B$21+'Inputs'!$B$7+'Inputs'!$B$10))^2+('Inputs'!$B$8/2)^2))))*'Results'!$B$8*'Results'!$B$9),"")</x:f>
        <x:v>77.26355191250776</x:v>
      </x:c>
      <x:c r="W28" s="22"/>
      <x:c r="X28" s="22"/>
      <x:c r="Y28" s="22" t="n">
        <x:f>IF(AB27&gt;='Results'!B14,AA27,Y27)</x:f>
        <x:v>8.525638580322266</x:v>
      </x:c>
      <x:c r="Z28" s="22" t="n">
        <x:f>IF(AB27&gt;='Results'!B14,Z27,AA27)</x:f>
        <x:v>8.52564811706543</x:v>
      </x:c>
      <x:c r="AA28" s="22" t="n">
        <x:f>(Y28+Z28)/2</x:f>
        <x:v>8.525643348693848</x:v>
      </x:c>
      <x:c r="AB28" s="22" t="n">
        <x:f>IF(AND(ISNUMBER('Results'!B7),ISNUMBER('Results'!C7),ISNUMBER('Results'!$B$8),ISNUMBER('Results'!$B$9),ISNUMBER('Inputs'!$B$6),ISNUMBER('Inputs'!$B$7),ISNUMBER('Inputs'!$B$8),ISNUMBER('Inputs'!$B$9),ISNUMBER('Inputs'!$B$10),ISNUMBER('Inputs'!$B$21),ISNUMBER('Inputs'!$B$24),ISNUMBER('Inputs'!$B$28)),((('Results'!B7*(1+'Inputs'!$B$24)*(0.5*(((AA28+'Inputs'!$B$21)+'Inputs'!$B$7)/SQRT(((AA28+'Inputs'!$B$21)+'Inputs'!$B$7)^2+('Inputs'!$B$6/2)^2)-((AA28+'Inputs'!$B$21))/SQRT(((AA28+'Inputs'!$B$21))^2+('Inputs'!$B$6/2)^2)))-'Results'!C7*(1-'Inputs'!$B$24)*(0.5*(((AA28+'Inputs'!$B$21+'Inputs'!$B$7+'Inputs'!$B$10)+'Inputs'!$B$9)/SQRT(((AA28+'Inputs'!$B$21+'Inputs'!$B$7+'Inputs'!$B$10)+'Inputs'!$B$9)^2+('Inputs'!$B$8/2)^2)-((AA28+'Inputs'!$B$21+'Inputs'!$B$7+'Inputs'!$B$10))/SQRT(((AA28+'Inputs'!$B$21+'Inputs'!$B$7+'Inputs'!$B$10))^2+('Inputs'!$B$8/2)^2))))*'Results'!$B$8*'Results'!$B$9)+'Inputs'!$B$28*ABS((('Results'!B7*(1+'Inputs'!$B$24)*(0.5*(((AA28+'Inputs'!$B$21)+'Inputs'!$B$7)/SQRT(((AA28+'Inputs'!$B$21)+'Inputs'!$B$7)^2+('Inputs'!$B$6/2)^2)-((AA28+'Inputs'!$B$21))/SQRT(((AA28+'Inputs'!$B$21))^2+('Inputs'!$B$6/2)^2)))-'Results'!C7*(1-'Inputs'!$B$24)*(0.5*(((AA28+'Inputs'!$B$21+'Inputs'!$B$7+'Inputs'!$B$10)+'Inputs'!$B$9)/SQRT(((AA28+'Inputs'!$B$21+'Inputs'!$B$7+'Inputs'!$B$10)+'Inputs'!$B$9)^2+('Inputs'!$B$8/2)^2)-((AA28+'Inputs'!$B$21+'Inputs'!$B$7+'Inputs'!$B$10))/SQRT(((AA28+'Inputs'!$B$21+'Inputs'!$B$7+'Inputs'!$B$10))^2+('Inputs'!$B$8/2)^2))))*'Results'!$B$8*'Results'!$B$9))),"")</x:f>
        <x:v>66.90560282689184</x:v>
      </x:c>
      <x:c r="AC28" s="22"/>
      <x:c r="AD28" s="22"/>
      <x:c r="AE28" s="22" t="n">
        <x:f>IF(AH27&gt;='Results'!C10,AG27,AE27)</x:f>
        <x:v>6.922597885131836</x:v>
      </x:c>
      <x:c r="AF28" s="22" t="n">
        <x:f>IF(AH27&gt;='Results'!C10,AF27,AG27)</x:f>
        <x:v>6.922607421875</x:v>
      </x:c>
      <x:c r="AG28" s="22" t="n">
        <x:f>(AE28+AF28)/2</x:f>
        <x:v>6.922602653503418</x:v>
      </x:c>
      <x:c r="AH28" s="22" t="n">
        <x:f>IF(AND(ISNUMBER('Results'!C7),ISNUMBER('Results'!B7),ISNUMBER('Results'!$B$8),ISNUMBER('Results'!$B$9),ISNUMBER('Inputs'!$B$6),ISNUMBER('Inputs'!$B$7),ISNUMBER('Inputs'!$B$8),ISNUMBER('Inputs'!$B$9),ISNUMBER('Inputs'!$B$10),ISNUMBER('Inputs'!$B$21),ISNUMBER('Inputs'!$B$24),ISNUMBER('Inputs'!$B$28)),(('Results'!C7*(0.5*(((AG28+'Inputs'!$B$21)+'Inputs'!$B$9)/SQRT(((AG28+'Inputs'!$B$21)+'Inputs'!$B$9)^2+('Inputs'!$B$8/2)^2)-((AG28+'Inputs'!$B$21))/SQRT(((AG28+'Inputs'!$B$21))^2+('Inputs'!$B$8/2)^2)))-'Results'!B7*(0.5*(((AG28+'Inputs'!$B$21+'Inputs'!$B$9+'Inputs'!$B$10)+'Inputs'!$B$7)/SQRT(((AG28+'Inputs'!$B$21+'Inputs'!$B$9+'Inputs'!$B$10)+'Inputs'!$B$7)^2+('Inputs'!$B$6/2)^2)-((AG28+'Inputs'!$B$21+'Inputs'!$B$9+'Inputs'!$B$10))/SQRT(((AG28+'Inputs'!$B$21+'Inputs'!$B$9+'Inputs'!$B$10))^2+('Inputs'!$B$6/2)^2))))*'Results'!$B$8*'Results'!$B$9),"")</x:f>
        <x:v>104.00863829296087</x:v>
      </x:c>
      <x:c r="AI28" s="22"/>
      <x:c r="AJ28" s="22"/>
      <x:c r="AK28" s="22" t="n">
        <x:f>IF(AN27&gt;='Results'!C12,AM27,AK27)</x:f>
        <x:v>6.3452911376953125</x:v>
      </x:c>
      <x:c r="AL28" s="22" t="n">
        <x:f>IF(AN27&gt;='Results'!C12,AL27,AM27)</x:f>
        <x:v>6.345300674438477</x:v>
      </x:c>
      <x:c r="AM28" s="22" t="n">
        <x:f>(AK28+AL28)/2</x:f>
        <x:v>6.3452959060668945</x:v>
      </x:c>
      <x:c r="AN28" s="22" t="n">
        <x:f>IF(AND(ISNUMBER('Results'!C7),ISNUMBER('Results'!B7),ISNUMBER('Results'!$B$8),ISNUMBER('Results'!$B$9),ISNUMBER('Inputs'!$B$6),ISNUMBER('Inputs'!$B$7),ISNUMBER('Inputs'!$B$8),ISNUMBER('Inputs'!$B$9),ISNUMBER('Inputs'!$B$10),ISNUMBER('Inputs'!$B$21),ISNUMBER('Inputs'!$B$24),ISNUMBER('Inputs'!$B$28)),((('Results'!C7*(1-'Inputs'!$B$24)*(0.5*(((AM28+'Inputs'!$B$21)+'Inputs'!$B$9)/SQRT(((AM28+'Inputs'!$B$21)+'Inputs'!$B$9)^2+('Inputs'!$B$8/2)^2)-((AM28+'Inputs'!$B$21))/SQRT(((AM28+'Inputs'!$B$21))^2+('Inputs'!$B$8/2)^2)))-'Results'!B7*(1+'Inputs'!$B$24)*(0.5*(((AM28+'Inputs'!$B$21+'Inputs'!$B$9+'Inputs'!$B$10)+'Inputs'!$B$7)/SQRT(((AM28+'Inputs'!$B$21+'Inputs'!$B$9+'Inputs'!$B$10)+'Inputs'!$B$7)^2+('Inputs'!$B$6/2)^2)-((AM28+'Inputs'!$B$21+'Inputs'!$B$9+'Inputs'!$B$10))/SQRT(((AM28+'Inputs'!$B$21+'Inputs'!$B$9+'Inputs'!$B$10))^2+('Inputs'!$B$6/2)^2))))*'Results'!$B$8*'Results'!$B$9)-'Inputs'!$B$28*ABS((('Results'!C7*(1-'Inputs'!$B$24)*(0.5*(((AM28+'Inputs'!$B$21)+'Inputs'!$B$9)/SQRT(((AM28+'Inputs'!$B$21)+'Inputs'!$B$9)^2+('Inputs'!$B$8/2)^2)-((AM28+'Inputs'!$B$21))/SQRT(((AM28+'Inputs'!$B$21))^2+('Inputs'!$B$8/2)^2)))-'Results'!B7*(1+'Inputs'!$B$24)*(0.5*(((AM28+'Inputs'!$B$21+'Inputs'!$B$9+'Inputs'!$B$10)+'Inputs'!$B$7)/SQRT(((AM28+'Inputs'!$B$21+'Inputs'!$B$9+'Inputs'!$B$10)+'Inputs'!$B$7)^2+('Inputs'!$B$6/2)^2)-((AM28+'Inputs'!$B$21+'Inputs'!$B$9+'Inputs'!$B$10))/SQRT(((AM28+'Inputs'!$B$21+'Inputs'!$B$9+'Inputs'!$B$10))^2+('Inputs'!$B$6/2)^2))))*'Results'!$B$8*'Results'!$B$9))),"")</x:f>
        <x:v>119.21800286883769</x:v>
      </x:c>
      <x:c r="AO28" s="22"/>
      <x:c r="AP28" s="22"/>
      <x:c r="AQ28" s="22" t="n">
        <x:f>IF(AT27&gt;='Results'!C11,AS27,AQ27)</x:f>
        <x:v>7.551202774047852</x:v>
      </x:c>
      <x:c r="AR28" s="22" t="n">
        <x:f>IF(AT27&gt;='Results'!C11,AR27,AS27)</x:f>
        <x:v>7.551212310791016</x:v>
      </x:c>
      <x:c r="AS28" s="22" t="n">
        <x:f>(AQ28+AR28)/2</x:f>
        <x:v>7.551207542419434</x:v>
      </x:c>
      <x:c r="AT28" s="22" t="n">
        <x:f>IF(AND(ISNUMBER('Results'!C7),ISNUMBER('Results'!B7),ISNUMBER('Results'!$B$8),ISNUMBER('Results'!$B$9),ISNUMBER('Inputs'!$B$6),ISNUMBER('Inputs'!$B$7),ISNUMBER('Inputs'!$B$8),ISNUMBER('Inputs'!$B$9),ISNUMBER('Inputs'!$B$10),ISNUMBER('Inputs'!$B$21),ISNUMBER('Inputs'!$B$24),ISNUMBER('Inputs'!$B$28)),((('Results'!C7*(1+'Inputs'!$B$24)*(0.5*(((AS28+'Inputs'!$B$21)+'Inputs'!$B$9)/SQRT(((AS28+'Inputs'!$B$21)+'Inputs'!$B$9)^2+('Inputs'!$B$8/2)^2)-((AS28+'Inputs'!$B$21))/SQRT(((AS28+'Inputs'!$B$21))^2+('Inputs'!$B$8/2)^2)))-'Results'!B7*(1-'Inputs'!$B$24)*(0.5*(((AS28+'Inputs'!$B$21+'Inputs'!$B$9+'Inputs'!$B$10)+'Inputs'!$B$7)/SQRT(((AS28+'Inputs'!$B$21+'Inputs'!$B$9+'Inputs'!$B$10)+'Inputs'!$B$7)^2+('Inputs'!$B$6/2)^2)-((AS28+'Inputs'!$B$21+'Inputs'!$B$9+'Inputs'!$B$10))/SQRT(((AS28+'Inputs'!$B$21+'Inputs'!$B$9+'Inputs'!$B$10))^2+('Inputs'!$B$6/2)^2))))*'Results'!$B$8*'Results'!$B$9)+'Inputs'!$B$28*ABS((('Results'!C7*(1+'Inputs'!$B$24)*(0.5*(((AS28+'Inputs'!$B$21)+'Inputs'!$B$9)/SQRT(((AS28+'Inputs'!$B$21)+'Inputs'!$B$9)^2+('Inputs'!$B$8/2)^2)-((AS28+'Inputs'!$B$21))/SQRT(((AS28+'Inputs'!$B$21))^2+('Inputs'!$B$8/2)^2)))-'Results'!B7*(1-'Inputs'!$B$24)*(0.5*(((AS28+'Inputs'!$B$21+'Inputs'!$B$9+'Inputs'!$B$10)+'Inputs'!$B$7)/SQRT(((AS28+'Inputs'!$B$21+'Inputs'!$B$9+'Inputs'!$B$10)+'Inputs'!$B$7)^2+('Inputs'!$B$6/2)^2)-((AS28+'Inputs'!$B$21+'Inputs'!$B$9+'Inputs'!$B$10))/SQRT(((AS28+'Inputs'!$B$21+'Inputs'!$B$9+'Inputs'!$B$10))^2+('Inputs'!$B$6/2)^2))))*'Results'!$B$8*'Results'!$B$9))),"")</x:f>
        <x:v>89.91246344479933</x:v>
      </x:c>
      <x:c r="AU28" s="22"/>
      <x:c r="AV28" s="22"/>
      <x:c r="AW28" s="22" t="n">
        <x:f>IF(AZ27&gt;='Results'!C13,AY27,AW27)</x:f>
        <x:v>7.582721710205078</x:v>
      </x:c>
      <x:c r="AX28" s="22" t="n">
        <x:f>IF(AZ27&gt;='Results'!C13,AX27,AY27)</x:f>
        <x:v>7.582731246948242</x:v>
      </x:c>
      <x:c r="AY28" s="22" t="n">
        <x:f>(AW28+AX28)/2</x:f>
        <x:v>7.58272647857666</x:v>
      </x:c>
      <x:c r="AZ28" s="22" t="n">
        <x:f>IF(AND(ISNUMBER('Results'!C7),ISNUMBER('Results'!B7),ISNUMBER('Results'!$B$8),ISNUMBER('Results'!$B$9),ISNUMBER('Inputs'!$B$6),ISNUMBER('Inputs'!$B$7),ISNUMBER('Inputs'!$B$8),ISNUMBER('Inputs'!$B$9),ISNUMBER('Inputs'!$B$10),ISNUMBER('Inputs'!$B$21),ISNUMBER('Inputs'!$B$24),ISNUMBER('Inputs'!$B$28)),(('Results'!C7*(0.5*(((AY28+'Inputs'!$B$21)+'Inputs'!$B$9)/SQRT(((AY28+'Inputs'!$B$21)+'Inputs'!$B$9)^2+('Inputs'!$B$8/2)^2)-((AY28+'Inputs'!$B$21))/SQRT(((AY28+'Inputs'!$B$21))^2+('Inputs'!$B$8/2)^2)))-'Results'!B7*(0.5*(((AY28+'Inputs'!$B$21+'Inputs'!$B$9+'Inputs'!$B$10)+'Inputs'!$B$7)/SQRT(((AY28+'Inputs'!$B$21+'Inputs'!$B$9+'Inputs'!$B$10)+'Inputs'!$B$7)^2+('Inputs'!$B$6/2)^2)-((AY28+'Inputs'!$B$21+'Inputs'!$B$9+'Inputs'!$B$10))/SQRT(((AY28+'Inputs'!$B$21+'Inputs'!$B$9+'Inputs'!$B$10))^2+('Inputs'!$B$6/2)^2))))*'Results'!$B$8*'Results'!$B$9),"")</x:f>
        <x:v>81.6012357837627</x:v>
      </x:c>
      <x:c r="BA28" s="22"/>
      <x:c r="BB28" s="22"/>
      <x:c r="BC28" s="22" t="n">
        <x:f>IF(BF27&gt;='Results'!C14,BE27,BC27)</x:f>
        <x:v>8.246879577636719</x:v>
      </x:c>
      <x:c r="BD28" s="22" t="n">
        <x:f>IF(BF27&gt;='Results'!C14,BD27,BE27)</x:f>
        <x:v>8.246889114379883</x:v>
      </x:c>
      <x:c r="BE28" s="22" t="n">
        <x:f>(BC28+BD28)/2</x:f>
        <x:v>8.2468843460083</x:v>
      </x:c>
      <x:c r="BF28" s="22" t="n">
        <x:f>IF(AND(ISNUMBER('Results'!C7),ISNUMBER('Results'!B7),ISNUMBER('Results'!$B$8),ISNUMBER('Results'!$B$9),ISNUMBER('Inputs'!$B$6),ISNUMBER('Inputs'!$B$7),ISNUMBER('Inputs'!$B$8),ISNUMBER('Inputs'!$B$9),ISNUMBER('Inputs'!$B$10),ISNUMBER('Inputs'!$B$21),ISNUMBER('Inputs'!$B$24),ISNUMBER('Inputs'!$B$28)),((('Results'!C7*(1+'Inputs'!$B$24)*(0.5*(((BE28+'Inputs'!$B$21)+'Inputs'!$B$9)/SQRT(((BE28+'Inputs'!$B$21)+'Inputs'!$B$9)^2+('Inputs'!$B$8/2)^2)-((BE28+'Inputs'!$B$21))/SQRT(((BE28+'Inputs'!$B$21))^2+('Inputs'!$B$8/2)^2)))-'Results'!B7*(1-'Inputs'!$B$24)*(0.5*(((BE28+'Inputs'!$B$21+'Inputs'!$B$9+'Inputs'!$B$10)+'Inputs'!$B$7)/SQRT(((BE28+'Inputs'!$B$21+'Inputs'!$B$9+'Inputs'!$B$10)+'Inputs'!$B$7)^2+('Inputs'!$B$6/2)^2)-((BE28+'Inputs'!$B$21+'Inputs'!$B$9+'Inputs'!$B$10))/SQRT(((BE28+'Inputs'!$B$21+'Inputs'!$B$9+'Inputs'!$B$10))^2+('Inputs'!$B$6/2)^2))))*'Results'!$B$8*'Results'!$B$9)+'Inputs'!$B$28*ABS((('Results'!C7*(1+'Inputs'!$B$24)*(0.5*(((BE28+'Inputs'!$B$21)+'Inputs'!$B$9)/SQRT(((BE28+'Inputs'!$B$21)+'Inputs'!$B$9)^2+('Inputs'!$B$8/2)^2)-((BE28+'Inputs'!$B$21))/SQRT(((BE28+'Inputs'!$B$21))^2+('Inputs'!$B$8/2)^2)))-'Results'!B7*(1-'Inputs'!$B$24)*(0.5*(((BE28+'Inputs'!$B$21+'Inputs'!$B$9+'Inputs'!$B$10)+'Inputs'!$B$7)/SQRT(((BE28+'Inputs'!$B$21+'Inputs'!$B$9+'Inputs'!$B$10)+'Inputs'!$B$7)^2+('Inputs'!$B$6/2)^2)-((BE28+'Inputs'!$B$21+'Inputs'!$B$9+'Inputs'!$B$10))/SQRT(((BE28+'Inputs'!$B$21+'Inputs'!$B$9+'Inputs'!$B$10))^2+('Inputs'!$B$6/2)^2))))*'Results'!$B$8*'Results'!$B$9))),"")</x:f>
        <x:v>70.64025493050453</x:v>
      </x:c>
      <x:c r="BG28" s="22"/>
      <x:c r="BH28" s="22"/>
    </x:row>
    <x:row r="29" ht="22" customHeight="1">
      <x:c r="A29" s="22" t="n">
        <x:f>IF(D28&gt;='Results'!B10,C28,A28)</x:f>
        <x:v>7.177629470825195</x:v>
      </x:c>
      <x:c r="B29" s="22" t="n">
        <x:f>IF(D28&gt;='Results'!B10,B28,C28)</x:f>
        <x:v>7.177634239196777</x:v>
      </x:c>
      <x:c r="C29" s="22" t="n">
        <x:f>(A29+B29)/2</x:f>
        <x:v>7.177631855010986</x:v>
      </x:c>
      <x:c r="D29" s="22" t="n">
        <x:f>IF(AND(ISNUMBER('Results'!B7),ISNUMBER('Results'!C7),ISNUMBER('Results'!$B$8),ISNUMBER('Results'!$B$9),ISNUMBER('Inputs'!$B$6),ISNUMBER('Inputs'!$B$7),ISNUMBER('Inputs'!$B$8),ISNUMBER('Inputs'!$B$9),ISNUMBER('Inputs'!$B$10),ISNUMBER('Inputs'!$B$21),ISNUMBER('Inputs'!$B$24),ISNUMBER('Inputs'!$B$28)),(('Results'!B7*(0.5*(((C29+'Inputs'!$B$21)+'Inputs'!$B$7)/SQRT(((C29+'Inputs'!$B$21)+'Inputs'!$B$7)^2+('Inputs'!$B$6/2)^2)-((C29+'Inputs'!$B$21))/SQRT(((C29+'Inputs'!$B$21))^2+('Inputs'!$B$6/2)^2)))-'Results'!C7*(0.5*(((C29+'Inputs'!$B$21+'Inputs'!$B$7+'Inputs'!$B$10)+'Inputs'!$B$9)/SQRT(((C29+'Inputs'!$B$21+'Inputs'!$B$7+'Inputs'!$B$10)+'Inputs'!$B$9)^2+('Inputs'!$B$8/2)^2)-((C29+'Inputs'!$B$21+'Inputs'!$B$7+'Inputs'!$B$10))/SQRT(((C29+'Inputs'!$B$21+'Inputs'!$B$7+'Inputs'!$B$10))^2+('Inputs'!$B$8/2)^2))))*'Results'!$B$8*'Results'!$B$9),"")</x:f>
        <x:v>98.08116162161109</x:v>
      </x:c>
      <x:c r="E29" s="22"/>
      <x:c r="F29" s="22"/>
      <x:c r="G29" s="22" t="n">
        <x:f>IF(J28&gt;='Results'!B12,I28,G28)</x:f>
        <x:v>6.586599349975586</x:v>
      </x:c>
      <x:c r="H29" s="22" t="n">
        <x:f>IF(J28&gt;='Results'!B12,H28,I28)</x:f>
        <x:v>6.586604118347168</x:v>
      </x:c>
      <x:c r="I29" s="22" t="n">
        <x:f>(G29+H29)/2</x:f>
        <x:v>6.586601734161377</x:v>
      </x:c>
      <x:c r="J29" s="22" t="n">
        <x:f>IF(AND(ISNUMBER('Results'!B7),ISNUMBER('Results'!C7),ISNUMBER('Results'!$B$8),ISNUMBER('Results'!$B$9),ISNUMBER('Inputs'!$B$6),ISNUMBER('Inputs'!$B$7),ISNUMBER('Inputs'!$B$8),ISNUMBER('Inputs'!$B$9),ISNUMBER('Inputs'!$B$10),ISNUMBER('Inputs'!$B$21),ISNUMBER('Inputs'!$B$24),ISNUMBER('Inputs'!$B$28)),((('Results'!B7*(1-'Inputs'!$B$24)*(0.5*(((I29+'Inputs'!$B$21)+'Inputs'!$B$7)/SQRT(((I29+'Inputs'!$B$21)+'Inputs'!$B$7)^2+('Inputs'!$B$6/2)^2)-((I29+'Inputs'!$B$21))/SQRT(((I29+'Inputs'!$B$21))^2+('Inputs'!$B$6/2)^2)))-'Results'!C7*(1+'Inputs'!$B$24)*(0.5*(((I29+'Inputs'!$B$21+'Inputs'!$B$7+'Inputs'!$B$10)+'Inputs'!$B$9)/SQRT(((I29+'Inputs'!$B$21+'Inputs'!$B$7+'Inputs'!$B$10)+'Inputs'!$B$9)^2+('Inputs'!$B$8/2)^2)-((I29+'Inputs'!$B$21+'Inputs'!$B$7+'Inputs'!$B$10))/SQRT(((I29+'Inputs'!$B$21+'Inputs'!$B$7+'Inputs'!$B$10))^2+('Inputs'!$B$8/2)^2))))*'Results'!$B$8*'Results'!$B$9)-'Inputs'!$B$28*ABS((('Results'!B7*(1-'Inputs'!$B$24)*(0.5*(((I29+'Inputs'!$B$21)+'Inputs'!$B$7)/SQRT(((I29+'Inputs'!$B$21)+'Inputs'!$B$7)^2+('Inputs'!$B$6/2)^2)-((I29+'Inputs'!$B$21))/SQRT(((I29+'Inputs'!$B$21))^2+('Inputs'!$B$6/2)^2)))-'Results'!C7*(1+'Inputs'!$B$24)*(0.5*(((I29+'Inputs'!$B$21+'Inputs'!$B$7+'Inputs'!$B$10)+'Inputs'!$B$9)/SQRT(((I29+'Inputs'!$B$21+'Inputs'!$B$7+'Inputs'!$B$10)+'Inputs'!$B$9)^2+('Inputs'!$B$8/2)^2)-((I29+'Inputs'!$B$21+'Inputs'!$B$7+'Inputs'!$B$10))/SQRT(((I29+'Inputs'!$B$21+'Inputs'!$B$7+'Inputs'!$B$10))^2+('Inputs'!$B$8/2)^2))))*'Results'!$B$8*'Results'!$B$9))),"")</x:f>
        <x:v>112.38237443203954</x:v>
      </x:c>
      <x:c r="K29" s="22"/>
      <x:c r="L29" s="22"/>
      <x:c r="M29" s="22" t="n">
        <x:f>IF(P28&gt;='Results'!B11,O28,M28)</x:f>
        <x:v>7.821927070617676</x:v>
      </x:c>
      <x:c r="N29" s="22" t="n">
        <x:f>IF(P28&gt;='Results'!B11,N28,O28)</x:f>
        <x:v>7.821931838989258</x:v>
      </x:c>
      <x:c r="O29" s="22" t="n">
        <x:f>(M29+N29)/2</x:f>
        <x:v>7.821929454803467</x:v>
      </x:c>
      <x:c r="P29" s="22" t="n">
        <x:f>IF(AND(ISNUMBER('Results'!B7),ISNUMBER('Results'!C7),ISNUMBER('Results'!$B$8),ISNUMBER('Results'!$B$9),ISNUMBER('Inputs'!$B$6),ISNUMBER('Inputs'!$B$7),ISNUMBER('Inputs'!$B$8),ISNUMBER('Inputs'!$B$9),ISNUMBER('Inputs'!$B$10),ISNUMBER('Inputs'!$B$21),ISNUMBER('Inputs'!$B$24),ISNUMBER('Inputs'!$B$28)),((('Results'!B7*(1+'Inputs'!$B$24)*(0.5*(((O29+'Inputs'!$B$21)+'Inputs'!$B$7)/SQRT(((O29+'Inputs'!$B$21)+'Inputs'!$B$7)^2+('Inputs'!$B$6/2)^2)-((O29+'Inputs'!$B$21))/SQRT(((O29+'Inputs'!$B$21))^2+('Inputs'!$B$6/2)^2)))-'Results'!C7*(1-'Inputs'!$B$24)*(0.5*(((O29+'Inputs'!$B$21+'Inputs'!$B$7+'Inputs'!$B$10)+'Inputs'!$B$9)/SQRT(((O29+'Inputs'!$B$21+'Inputs'!$B$7+'Inputs'!$B$10)+'Inputs'!$B$9)^2+('Inputs'!$B$8/2)^2)-((O29+'Inputs'!$B$21+'Inputs'!$B$7+'Inputs'!$B$10))/SQRT(((O29+'Inputs'!$B$21+'Inputs'!$B$7+'Inputs'!$B$10))^2+('Inputs'!$B$8/2)^2))))*'Results'!$B$8*'Results'!$B$9)+'Inputs'!$B$28*ABS((('Results'!B7*(1+'Inputs'!$B$24)*(0.5*(((O29+'Inputs'!$B$21)+'Inputs'!$B$7)/SQRT(((O29+'Inputs'!$B$21)+'Inputs'!$B$7)^2+('Inputs'!$B$6/2)^2)-((O29+'Inputs'!$B$21))/SQRT(((O29+'Inputs'!$B$21))^2+('Inputs'!$B$6/2)^2)))-'Results'!C7*(1-'Inputs'!$B$24)*(0.5*(((O29+'Inputs'!$B$21+'Inputs'!$B$7+'Inputs'!$B$10)+'Inputs'!$B$9)/SQRT(((O29+'Inputs'!$B$21+'Inputs'!$B$7+'Inputs'!$B$10)+'Inputs'!$B$9)^2+('Inputs'!$B$8/2)^2)-((O29+'Inputs'!$B$21+'Inputs'!$B$7+'Inputs'!$B$10))/SQRT(((O29+'Inputs'!$B$21+'Inputs'!$B$7+'Inputs'!$B$10))^2+('Inputs'!$B$8/2)^2))))*'Results'!$B$8*'Results'!$B$9))),"")</x:f>
        <x:v>84.81733160671925</x:v>
      </x:c>
      <x:c r="Q29" s="22"/>
      <x:c r="R29" s="22"/>
      <x:c r="S29" s="22" t="n">
        <x:f>IF(V28&gt;='Results'!B13,U28,S28)</x:f>
        <x:v>7.844700813293457</x:v>
      </x:c>
      <x:c r="T29" s="22" t="n">
        <x:f>IF(V28&gt;='Results'!B13,T28,U28)</x:f>
        <x:v>7.844705581665039</x:v>
      </x:c>
      <x:c r="U29" s="22" t="n">
        <x:f>(S29+T29)/2</x:f>
        <x:v>7.844703197479248</x:v>
      </x:c>
      <x:c r="V29" s="22" t="n">
        <x:f>IF(AND(ISNUMBER('Results'!B7),ISNUMBER('Results'!C7),ISNUMBER('Results'!$B$8),ISNUMBER('Results'!$B$9),ISNUMBER('Inputs'!$B$6),ISNUMBER('Inputs'!$B$7),ISNUMBER('Inputs'!$B$8),ISNUMBER('Inputs'!$B$9),ISNUMBER('Inputs'!$B$10),ISNUMBER('Inputs'!$B$21),ISNUMBER('Inputs'!$B$24),ISNUMBER('Inputs'!$B$28)),(('Results'!B7*(0.5*(((U29+'Inputs'!$B$21)+'Inputs'!$B$7)/SQRT(((U29+'Inputs'!$B$21)+'Inputs'!$B$7)^2+('Inputs'!$B$6/2)^2)-((U29+'Inputs'!$B$21))/SQRT(((U29+'Inputs'!$B$21))^2+('Inputs'!$B$6/2)^2)))-'Results'!C7*(0.5*(((U29+'Inputs'!$B$21+'Inputs'!$B$7+'Inputs'!$B$10)+'Inputs'!$B$9)/SQRT(((U29+'Inputs'!$B$21+'Inputs'!$B$7+'Inputs'!$B$10)+'Inputs'!$B$9)^2+('Inputs'!$B$8/2)^2)-((U29+'Inputs'!$B$21+'Inputs'!$B$7+'Inputs'!$B$10))/SQRT(((U29+'Inputs'!$B$21+'Inputs'!$B$7+'Inputs'!$B$10))^2+('Inputs'!$B$8/2)^2))))*'Results'!$B$8*'Results'!$B$9),"")</x:f>
        <x:v>77.26348777591392</x:v>
      </x:c>
      <x:c r="W29" s="22"/>
      <x:c r="X29" s="22"/>
      <x:c r="Y29" s="22" t="n">
        <x:f>IF(AB28&gt;='Results'!B14,AA28,Y28)</x:f>
        <x:v>8.525643348693848</x:v>
      </x:c>
      <x:c r="Z29" s="22" t="n">
        <x:f>IF(AB28&gt;='Results'!B14,Z28,AA28)</x:f>
        <x:v>8.52564811706543</x:v>
      </x:c>
      <x:c r="AA29" s="22" t="n">
        <x:f>(Y29+Z29)/2</x:f>
        <x:v>8.525645732879639</x:v>
      </x:c>
      <x:c r="AB29" s="22" t="n">
        <x:f>IF(AND(ISNUMBER('Results'!B7),ISNUMBER('Results'!C7),ISNUMBER('Results'!$B$8),ISNUMBER('Results'!$B$9),ISNUMBER('Inputs'!$B$6),ISNUMBER('Inputs'!$B$7),ISNUMBER('Inputs'!$B$8),ISNUMBER('Inputs'!$B$9),ISNUMBER('Inputs'!$B$10),ISNUMBER('Inputs'!$B$21),ISNUMBER('Inputs'!$B$24),ISNUMBER('Inputs'!$B$28)),((('Results'!B7*(1+'Inputs'!$B$24)*(0.5*(((AA29+'Inputs'!$B$21)+'Inputs'!$B$7)/SQRT(((AA29+'Inputs'!$B$21)+'Inputs'!$B$7)^2+('Inputs'!$B$6/2)^2)-((AA29+'Inputs'!$B$21))/SQRT(((AA29+'Inputs'!$B$21))^2+('Inputs'!$B$6/2)^2)))-'Results'!C7*(1-'Inputs'!$B$24)*(0.5*(((AA29+'Inputs'!$B$21+'Inputs'!$B$7+'Inputs'!$B$10)+'Inputs'!$B$9)/SQRT(((AA29+'Inputs'!$B$21+'Inputs'!$B$7+'Inputs'!$B$10)+'Inputs'!$B$9)^2+('Inputs'!$B$8/2)^2)-((AA29+'Inputs'!$B$21+'Inputs'!$B$7+'Inputs'!$B$10))/SQRT(((AA29+'Inputs'!$B$21+'Inputs'!$B$7+'Inputs'!$B$10))^2+('Inputs'!$B$8/2)^2))))*'Results'!$B$8*'Results'!$B$9)+'Inputs'!$B$28*ABS((('Results'!B7*(1+'Inputs'!$B$24)*(0.5*(((AA29+'Inputs'!$B$21)+'Inputs'!$B$7)/SQRT(((AA29+'Inputs'!$B$21)+'Inputs'!$B$7)^2+('Inputs'!$B$6/2)^2)-((AA29+'Inputs'!$B$21))/SQRT(((AA29+'Inputs'!$B$21))^2+('Inputs'!$B$6/2)^2)))-'Results'!C7*(1-'Inputs'!$B$24)*(0.5*(((AA29+'Inputs'!$B$21+'Inputs'!$B$7+'Inputs'!$B$10)+'Inputs'!$B$9)/SQRT(((AA29+'Inputs'!$B$21+'Inputs'!$B$7+'Inputs'!$B$10)+'Inputs'!$B$9)^2+('Inputs'!$B$8/2)^2)-((AA29+'Inputs'!$B$21+'Inputs'!$B$7+'Inputs'!$B$10))/SQRT(((AA29+'Inputs'!$B$21+'Inputs'!$B$7+'Inputs'!$B$10))^2+('Inputs'!$B$8/2)^2))))*'Results'!$B$8*'Results'!$B$9))),"")</x:f>
        <x:v>66.90555052563855</x:v>
      </x:c>
      <x:c r="AC29" s="22"/>
      <x:c r="AD29" s="22"/>
      <x:c r="AE29" s="22" t="n">
        <x:f>IF(AH28&gt;='Results'!C10,AG28,AE28)</x:f>
        <x:v>6.922597885131836</x:v>
      </x:c>
      <x:c r="AF29" s="22" t="n">
        <x:f>IF(AH28&gt;='Results'!C10,AF28,AG28)</x:f>
        <x:v>6.922602653503418</x:v>
      </x:c>
      <x:c r="AG29" s="22" t="n">
        <x:f>(AE29+AF29)/2</x:f>
        <x:v>6.922600269317627</x:v>
      </x:c>
      <x:c r="AH29" s="22" t="n">
        <x:f>IF(AND(ISNUMBER('Results'!C7),ISNUMBER('Results'!B7),ISNUMBER('Results'!$B$8),ISNUMBER('Results'!$B$9),ISNUMBER('Inputs'!$B$6),ISNUMBER('Inputs'!$B$7),ISNUMBER('Inputs'!$B$8),ISNUMBER('Inputs'!$B$9),ISNUMBER('Inputs'!$B$10),ISNUMBER('Inputs'!$B$21),ISNUMBER('Inputs'!$B$24),ISNUMBER('Inputs'!$B$28)),(('Results'!C7*(0.5*(((AG29+'Inputs'!$B$21)+'Inputs'!$B$9)/SQRT(((AG29+'Inputs'!$B$21)+'Inputs'!$B$9)^2+('Inputs'!$B$8/2)^2)-((AG29+'Inputs'!$B$21))/SQRT(((AG29+'Inputs'!$B$21))^2+('Inputs'!$B$8/2)^2)))-'Results'!B7*(0.5*(((AG29+'Inputs'!$B$21+'Inputs'!$B$9+'Inputs'!$B$10)+'Inputs'!$B$7)/SQRT(((AG29+'Inputs'!$B$21+'Inputs'!$B$9+'Inputs'!$B$10)+'Inputs'!$B$7)^2+('Inputs'!$B$6/2)^2)-((AG29+'Inputs'!$B$21+'Inputs'!$B$9+'Inputs'!$B$10))/SQRT(((AG29+'Inputs'!$B$21+'Inputs'!$B$9+'Inputs'!$B$10))^2+('Inputs'!$B$6/2)^2))))*'Results'!$B$8*'Results'!$B$9),"")</x:f>
        <x:v>104.0087318886242</x:v>
      </x:c>
      <x:c r="AI29" s="22"/>
      <x:c r="AJ29" s="22"/>
      <x:c r="AK29" s="22" t="n">
        <x:f>IF(AN28&gt;='Results'!C12,AM28,AK28)</x:f>
        <x:v>6.3452959060668945</x:v>
      </x:c>
      <x:c r="AL29" s="22" t="n">
        <x:f>IF(AN28&gt;='Results'!C12,AL28,AM28)</x:f>
        <x:v>6.345300674438477</x:v>
      </x:c>
      <x:c r="AM29" s="22" t="n">
        <x:f>(AK29+AL29)/2</x:f>
        <x:v>6.3452982902526855</x:v>
      </x:c>
      <x:c r="AN29" s="22" t="n">
        <x:f>IF(AND(ISNUMBER('Results'!C7),ISNUMBER('Results'!B7),ISNUMBER('Results'!$B$8),ISNUMBER('Results'!$B$9),ISNUMBER('Inputs'!$B$6),ISNUMBER('Inputs'!$B$7),ISNUMBER('Inputs'!$B$8),ISNUMBER('Inputs'!$B$9),ISNUMBER('Inputs'!$B$10),ISNUMBER('Inputs'!$B$21),ISNUMBER('Inputs'!$B$24),ISNUMBER('Inputs'!$B$28)),((('Results'!C7*(1-'Inputs'!$B$24)*(0.5*(((AM29+'Inputs'!$B$21)+'Inputs'!$B$9)/SQRT(((AM29+'Inputs'!$B$21)+'Inputs'!$B$9)^2+('Inputs'!$B$8/2)^2)-((AM29+'Inputs'!$B$21))/SQRT(((AM29+'Inputs'!$B$21))^2+('Inputs'!$B$8/2)^2)))-'Results'!B7*(1+'Inputs'!$B$24)*(0.5*(((AM29+'Inputs'!$B$21+'Inputs'!$B$9+'Inputs'!$B$10)+'Inputs'!$B$7)/SQRT(((AM29+'Inputs'!$B$21+'Inputs'!$B$9+'Inputs'!$B$10)+'Inputs'!$B$7)^2+('Inputs'!$B$6/2)^2)-((AM29+'Inputs'!$B$21+'Inputs'!$B$9+'Inputs'!$B$10))/SQRT(((AM29+'Inputs'!$B$21+'Inputs'!$B$9+'Inputs'!$B$10))^2+('Inputs'!$B$6/2)^2))))*'Results'!$B$8*'Results'!$B$9)-'Inputs'!$B$28*ABS((('Results'!C7*(1-'Inputs'!$B$24)*(0.5*(((AM29+'Inputs'!$B$21)+'Inputs'!$B$9)/SQRT(((AM29+'Inputs'!$B$21)+'Inputs'!$B$9)^2+('Inputs'!$B$8/2)^2)-((AM29+'Inputs'!$B$21))/SQRT(((AM29+'Inputs'!$B$21))^2+('Inputs'!$B$8/2)^2)))-'Results'!B7*(1+'Inputs'!$B$24)*(0.5*(((AM29+'Inputs'!$B$21+'Inputs'!$B$9+'Inputs'!$B$10)+'Inputs'!$B$7)/SQRT(((AM29+'Inputs'!$B$21+'Inputs'!$B$9+'Inputs'!$B$10)+'Inputs'!$B$7)^2+('Inputs'!$B$6/2)^2)-((AM29+'Inputs'!$B$21+'Inputs'!$B$9+'Inputs'!$B$10))/SQRT(((AM29+'Inputs'!$B$21+'Inputs'!$B$9+'Inputs'!$B$10))^2+('Inputs'!$B$6/2)^2))))*'Results'!$B$8*'Results'!$B$9))),"")</x:f>
        <x:v>119.21788971758926</x:v>
      </x:c>
      <x:c r="AO29" s="22"/>
      <x:c r="AP29" s="22"/>
      <x:c r="AQ29" s="22" t="n">
        <x:f>IF(AT28&gt;='Results'!C11,AS28,AQ28)</x:f>
        <x:v>7.551202774047852</x:v>
      </x:c>
      <x:c r="AR29" s="22" t="n">
        <x:f>IF(AT28&gt;='Results'!C11,AR28,AS28)</x:f>
        <x:v>7.551207542419434</x:v>
      </x:c>
      <x:c r="AS29" s="22" t="n">
        <x:f>(AQ29+AR29)/2</x:f>
        <x:v>7.551205158233643</x:v>
      </x:c>
      <x:c r="AT29" s="22" t="n">
        <x:f>IF(AND(ISNUMBER('Results'!C7),ISNUMBER('Results'!B7),ISNUMBER('Results'!$B$8),ISNUMBER('Results'!$B$9),ISNUMBER('Inputs'!$B$6),ISNUMBER('Inputs'!$B$7),ISNUMBER('Inputs'!$B$8),ISNUMBER('Inputs'!$B$9),ISNUMBER('Inputs'!$B$10),ISNUMBER('Inputs'!$B$21),ISNUMBER('Inputs'!$B$24),ISNUMBER('Inputs'!$B$28)),((('Results'!C7*(1+'Inputs'!$B$24)*(0.5*(((AS29+'Inputs'!$B$21)+'Inputs'!$B$9)/SQRT(((AS29+'Inputs'!$B$21)+'Inputs'!$B$9)^2+('Inputs'!$B$8/2)^2)-((AS29+'Inputs'!$B$21))/SQRT(((AS29+'Inputs'!$B$21))^2+('Inputs'!$B$8/2)^2)))-'Results'!B7*(1-'Inputs'!$B$24)*(0.5*(((AS29+'Inputs'!$B$21+'Inputs'!$B$9+'Inputs'!$B$10)+'Inputs'!$B$7)/SQRT(((AS29+'Inputs'!$B$21+'Inputs'!$B$9+'Inputs'!$B$10)+'Inputs'!$B$7)^2+('Inputs'!$B$6/2)^2)-((AS29+'Inputs'!$B$21+'Inputs'!$B$9+'Inputs'!$B$10))/SQRT(((AS29+'Inputs'!$B$21+'Inputs'!$B$9+'Inputs'!$B$10))^2+('Inputs'!$B$6/2)^2))))*'Results'!$B$8*'Results'!$B$9)+'Inputs'!$B$28*ABS((('Results'!C7*(1+'Inputs'!$B$24)*(0.5*(((AS29+'Inputs'!$B$21)+'Inputs'!$B$9)/SQRT(((AS29+'Inputs'!$B$21)+'Inputs'!$B$9)^2+('Inputs'!$B$8/2)^2)-((AS29+'Inputs'!$B$21))/SQRT(((AS29+'Inputs'!$B$21))^2+('Inputs'!$B$8/2)^2)))-'Results'!B7*(1-'Inputs'!$B$24)*(0.5*(((AS29+'Inputs'!$B$21+'Inputs'!$B$9+'Inputs'!$B$10)+'Inputs'!$B$7)/SQRT(((AS29+'Inputs'!$B$21+'Inputs'!$B$9+'Inputs'!$B$10)+'Inputs'!$B$7)^2+('Inputs'!$B$6/2)^2)-((AS29+'Inputs'!$B$21+'Inputs'!$B$9+'Inputs'!$B$10))/SQRT(((AS29+'Inputs'!$B$21+'Inputs'!$B$9+'Inputs'!$B$10))^2+('Inputs'!$B$6/2)^2))))*'Results'!$B$8*'Results'!$B$9))),"")</x:f>
        <x:v>89.91253985679819</x:v>
      </x:c>
      <x:c r="AU29" s="22"/>
      <x:c r="AV29" s="22"/>
      <x:c r="AW29" s="22" t="n">
        <x:f>IF(AZ28&gt;='Results'!C13,AY28,AW28)</x:f>
        <x:v>7.58272647857666</x:v>
      </x:c>
      <x:c r="AX29" s="22" t="n">
        <x:f>IF(AZ28&gt;='Results'!C13,AX28,AY28)</x:f>
        <x:v>7.582731246948242</x:v>
      </x:c>
      <x:c r="AY29" s="22" t="n">
        <x:f>(AW29+AX29)/2</x:f>
        <x:v>7.582728862762451</x:v>
      </x:c>
      <x:c r="AZ29" s="22" t="n">
        <x:f>IF(AND(ISNUMBER('Results'!C7),ISNUMBER('Results'!B7),ISNUMBER('Results'!$B$8),ISNUMBER('Results'!$B$9),ISNUMBER('Inputs'!$B$6),ISNUMBER('Inputs'!$B$7),ISNUMBER('Inputs'!$B$8),ISNUMBER('Inputs'!$B$9),ISNUMBER('Inputs'!$B$10),ISNUMBER('Inputs'!$B$21),ISNUMBER('Inputs'!$B$24),ISNUMBER('Inputs'!$B$28)),(('Results'!C7*(0.5*(((AY29+'Inputs'!$B$21)+'Inputs'!$B$9)/SQRT(((AY29+'Inputs'!$B$21)+'Inputs'!$B$9)^2+('Inputs'!$B$8/2)^2)-((AY29+'Inputs'!$B$21))/SQRT(((AY29+'Inputs'!$B$21))^2+('Inputs'!$B$8/2)^2)))-'Results'!B7*(0.5*(((AY29+'Inputs'!$B$21+'Inputs'!$B$9+'Inputs'!$B$10)+'Inputs'!$B$7)/SQRT(((AY29+'Inputs'!$B$21+'Inputs'!$B$9+'Inputs'!$B$10)+'Inputs'!$B$7)^2+('Inputs'!$B$6/2)^2)-((AY29+'Inputs'!$B$21+'Inputs'!$B$9+'Inputs'!$B$10))/SQRT(((AY29+'Inputs'!$B$21+'Inputs'!$B$9+'Inputs'!$B$10))^2+('Inputs'!$B$6/2)^2))))*'Results'!$B$8*'Results'!$B$9),"")</x:f>
        <x:v>81.60116615082883</x:v>
      </x:c>
      <x:c r="BA29" s="22"/>
      <x:c r="BB29" s="22"/>
      <x:c r="BC29" s="22" t="n">
        <x:f>IF(BF28&gt;='Results'!C14,BE28,BC28)</x:f>
        <x:v>8.2468843460083</x:v>
      </x:c>
      <x:c r="BD29" s="22" t="n">
        <x:f>IF(BF28&gt;='Results'!C14,BD28,BE28)</x:f>
        <x:v>8.246889114379883</x:v>
      </x:c>
      <x:c r="BE29" s="22" t="n">
        <x:f>(BC29+BD29)/2</x:f>
        <x:v>8.246886730194092</x:v>
      </x:c>
      <x:c r="BF29" s="22" t="n">
        <x:f>IF(AND(ISNUMBER('Results'!C7),ISNUMBER('Results'!B7),ISNUMBER('Results'!$B$8),ISNUMBER('Results'!$B$9),ISNUMBER('Inputs'!$B$6),ISNUMBER('Inputs'!$B$7),ISNUMBER('Inputs'!$B$8),ISNUMBER('Inputs'!$B$9),ISNUMBER('Inputs'!$B$10),ISNUMBER('Inputs'!$B$21),ISNUMBER('Inputs'!$B$24),ISNUMBER('Inputs'!$B$28)),((('Results'!C7*(1+'Inputs'!$B$24)*(0.5*(((BE29+'Inputs'!$B$21)+'Inputs'!$B$9)/SQRT(((BE29+'Inputs'!$B$21)+'Inputs'!$B$9)^2+('Inputs'!$B$8/2)^2)-((BE29+'Inputs'!$B$21))/SQRT(((BE29+'Inputs'!$B$21))^2+('Inputs'!$B$8/2)^2)))-'Results'!B7*(1-'Inputs'!$B$24)*(0.5*(((BE29+'Inputs'!$B$21+'Inputs'!$B$9+'Inputs'!$B$10)+'Inputs'!$B$7)/SQRT(((BE29+'Inputs'!$B$21+'Inputs'!$B$9+'Inputs'!$B$10)+'Inputs'!$B$7)^2+('Inputs'!$B$6/2)^2)-((BE29+'Inputs'!$B$21+'Inputs'!$B$9+'Inputs'!$B$10))/SQRT(((BE29+'Inputs'!$B$21+'Inputs'!$B$9+'Inputs'!$B$10))^2+('Inputs'!$B$6/2)^2))))*'Results'!$B$8*'Results'!$B$9)+'Inputs'!$B$28*ABS((('Results'!C7*(1+'Inputs'!$B$24)*(0.5*(((BE29+'Inputs'!$B$21)+'Inputs'!$B$9)/SQRT(((BE29+'Inputs'!$B$21)+'Inputs'!$B$9)^2+('Inputs'!$B$8/2)^2)-((BE29+'Inputs'!$B$21))/SQRT(((BE29+'Inputs'!$B$21))^2+('Inputs'!$B$8/2)^2)))-'Results'!B7*(1-'Inputs'!$B$24)*(0.5*(((BE29+'Inputs'!$B$21+'Inputs'!$B$9+'Inputs'!$B$10)+'Inputs'!$B$7)/SQRT(((BE29+'Inputs'!$B$21+'Inputs'!$B$9+'Inputs'!$B$10)+'Inputs'!$B$7)^2+('Inputs'!$B$6/2)^2)-((BE29+'Inputs'!$B$21+'Inputs'!$B$9+'Inputs'!$B$10))/SQRT(((BE29+'Inputs'!$B$21+'Inputs'!$B$9+'Inputs'!$B$10))^2+('Inputs'!$B$6/2)^2))))*'Results'!$B$8*'Results'!$B$9))),"")</x:f>
        <x:v>70.64019811366306</x:v>
      </x:c>
      <x:c r="BG29" s="22"/>
      <x:c r="BH29" s="22"/>
    </x:row>
    <x:row r="30" ht="22" customHeight="1">
      <x:c r="A30" s="22" t="n">
        <x:f>IF(D29&gt;='Results'!B10,C29,A29)</x:f>
        <x:v>7.177631855010986</x:v>
      </x:c>
      <x:c r="B30" s="22" t="n">
        <x:f>IF(D29&gt;='Results'!B10,B29,C29)</x:f>
        <x:v>7.177634239196777</x:v>
      </x:c>
      <x:c r="C30" s="22" t="n">
        <x:f>(A30+B30)/2</x:f>
        <x:v>7.177633047103882</x:v>
      </x:c>
      <x:c r="D30" s="22" t="n">
        <x:f>IF(AND(ISNUMBER('Results'!B7),ISNUMBER('Results'!C7),ISNUMBER('Results'!$B$8),ISNUMBER('Results'!$B$9),ISNUMBER('Inputs'!$B$6),ISNUMBER('Inputs'!$B$7),ISNUMBER('Inputs'!$B$8),ISNUMBER('Inputs'!$B$9),ISNUMBER('Inputs'!$B$10),ISNUMBER('Inputs'!$B$21),ISNUMBER('Inputs'!$B$24),ISNUMBER('Inputs'!$B$28)),(('Results'!B7*(0.5*(((C30+'Inputs'!$B$21)+'Inputs'!$B$7)/SQRT(((C30+'Inputs'!$B$21)+'Inputs'!$B$7)^2+('Inputs'!$B$6/2)^2)-((C30+'Inputs'!$B$21))/SQRT(((C30+'Inputs'!$B$21))^2+('Inputs'!$B$6/2)^2)))-'Results'!C7*(0.5*(((C30+'Inputs'!$B$21+'Inputs'!$B$7+'Inputs'!$B$10)+'Inputs'!$B$9)/SQRT(((C30+'Inputs'!$B$21+'Inputs'!$B$7+'Inputs'!$B$10)+'Inputs'!$B$9)^2+('Inputs'!$B$8/2)^2)-((C30+'Inputs'!$B$21+'Inputs'!$B$7+'Inputs'!$B$10))/SQRT(((C30+'Inputs'!$B$21+'Inputs'!$B$7+'Inputs'!$B$10))^2+('Inputs'!$B$8/2)^2))))*'Results'!$B$8*'Results'!$B$9),"")</x:f>
        <x:v>98.08111866756674</x:v>
      </x:c>
      <x:c r="E30" s="22"/>
      <x:c r="F30" s="22"/>
      <x:c r="G30" s="22" t="n">
        <x:f>IF(J29&gt;='Results'!B12,I29,G29)</x:f>
        <x:v>6.586601734161377</x:v>
      </x:c>
      <x:c r="H30" s="22" t="n">
        <x:f>IF(J29&gt;='Results'!B12,H29,I29)</x:f>
        <x:v>6.586604118347168</x:v>
      </x:c>
      <x:c r="I30" s="22" t="n">
        <x:f>(G30+H30)/2</x:f>
        <x:v>6.5866029262542725</x:v>
      </x:c>
      <x:c r="J30" s="22" t="n">
        <x:f>IF(AND(ISNUMBER('Results'!B7),ISNUMBER('Results'!C7),ISNUMBER('Results'!$B$8),ISNUMBER('Results'!$B$9),ISNUMBER('Inputs'!$B$6),ISNUMBER('Inputs'!$B$7),ISNUMBER('Inputs'!$B$8),ISNUMBER('Inputs'!$B$9),ISNUMBER('Inputs'!$B$10),ISNUMBER('Inputs'!$B$21),ISNUMBER('Inputs'!$B$24),ISNUMBER('Inputs'!$B$28)),((('Results'!B7*(1-'Inputs'!$B$24)*(0.5*(((I30+'Inputs'!$B$21)+'Inputs'!$B$7)/SQRT(((I30+'Inputs'!$B$21)+'Inputs'!$B$7)^2+('Inputs'!$B$6/2)^2)-((I30+'Inputs'!$B$21))/SQRT(((I30+'Inputs'!$B$21))^2+('Inputs'!$B$6/2)^2)))-'Results'!C7*(1+'Inputs'!$B$24)*(0.5*(((I30+'Inputs'!$B$21+'Inputs'!$B$7+'Inputs'!$B$10)+'Inputs'!$B$9)/SQRT(((I30+'Inputs'!$B$21+'Inputs'!$B$7+'Inputs'!$B$10)+'Inputs'!$B$9)^2+('Inputs'!$B$8/2)^2)-((I30+'Inputs'!$B$21+'Inputs'!$B$7+'Inputs'!$B$10))/SQRT(((I30+'Inputs'!$B$21+'Inputs'!$B$7+'Inputs'!$B$10))^2+('Inputs'!$B$8/2)^2))))*'Results'!$B$8*'Results'!$B$9)-'Inputs'!$B$28*ABS((('Results'!B7*(1-'Inputs'!$B$24)*(0.5*(((I30+'Inputs'!$B$21)+'Inputs'!$B$7)/SQRT(((I30+'Inputs'!$B$21)+'Inputs'!$B$7)^2+('Inputs'!$B$6/2)^2)-((I30+'Inputs'!$B$21))/SQRT(((I30+'Inputs'!$B$21))^2+('Inputs'!$B$6/2)^2)))-'Results'!C7*(1+'Inputs'!$B$24)*(0.5*(((I30+'Inputs'!$B$21+'Inputs'!$B$7+'Inputs'!$B$10)+'Inputs'!$B$9)/SQRT(((I30+'Inputs'!$B$21+'Inputs'!$B$7+'Inputs'!$B$10)+'Inputs'!$B$9)^2+('Inputs'!$B$8/2)^2)-((I30+'Inputs'!$B$21+'Inputs'!$B$7+'Inputs'!$B$10))/SQRT(((I30+'Inputs'!$B$21+'Inputs'!$B$7+'Inputs'!$B$10))^2+('Inputs'!$B$8/2)^2))))*'Results'!$B$8*'Results'!$B$9))),"")</x:f>
        <x:v>112.3823224627651</x:v>
      </x:c>
      <x:c r="K30" s="22"/>
      <x:c r="L30" s="22"/>
      <x:c r="M30" s="22" t="n">
        <x:f>IF(P29&gt;='Results'!B11,O29,M29)</x:f>
        <x:v>7.821927070617676</x:v>
      </x:c>
      <x:c r="N30" s="22" t="n">
        <x:f>IF(P29&gt;='Results'!B11,N29,O29)</x:f>
        <x:v>7.821929454803467</x:v>
      </x:c>
      <x:c r="O30" s="22" t="n">
        <x:f>(M30+N30)/2</x:f>
        <x:v>7.821928262710571</x:v>
      </x:c>
      <x:c r="P30" s="22" t="n">
        <x:f>IF(AND(ISNUMBER('Results'!B7),ISNUMBER('Results'!C7),ISNUMBER('Results'!$B$8),ISNUMBER('Results'!$B$9),ISNUMBER('Inputs'!$B$6),ISNUMBER('Inputs'!$B$7),ISNUMBER('Inputs'!$B$8),ISNUMBER('Inputs'!$B$9),ISNUMBER('Inputs'!$B$10),ISNUMBER('Inputs'!$B$21),ISNUMBER('Inputs'!$B$24),ISNUMBER('Inputs'!$B$28)),((('Results'!B7*(1+'Inputs'!$B$24)*(0.5*(((O30+'Inputs'!$B$21)+'Inputs'!$B$7)/SQRT(((O30+'Inputs'!$B$21)+'Inputs'!$B$7)^2+('Inputs'!$B$6/2)^2)-((O30+'Inputs'!$B$21))/SQRT(((O30+'Inputs'!$B$21))^2+('Inputs'!$B$6/2)^2)))-'Results'!C7*(1-'Inputs'!$B$24)*(0.5*(((O30+'Inputs'!$B$21+'Inputs'!$B$7+'Inputs'!$B$10)+'Inputs'!$B$9)/SQRT(((O30+'Inputs'!$B$21+'Inputs'!$B$7+'Inputs'!$B$10)+'Inputs'!$B$9)^2+('Inputs'!$B$8/2)^2)-((O30+'Inputs'!$B$21+'Inputs'!$B$7+'Inputs'!$B$10))/SQRT(((O30+'Inputs'!$B$21+'Inputs'!$B$7+'Inputs'!$B$10))^2+('Inputs'!$B$8/2)^2))))*'Results'!$B$8*'Results'!$B$9)+'Inputs'!$B$28*ABS((('Results'!B7*(1+'Inputs'!$B$24)*(0.5*(((O30+'Inputs'!$B$21)+'Inputs'!$B$7)/SQRT(((O30+'Inputs'!$B$21)+'Inputs'!$B$7)^2+('Inputs'!$B$6/2)^2)-((O30+'Inputs'!$B$21))/SQRT(((O30+'Inputs'!$B$21))^2+('Inputs'!$B$6/2)^2)))-'Results'!C7*(1-'Inputs'!$B$24)*(0.5*(((O30+'Inputs'!$B$21+'Inputs'!$B$7+'Inputs'!$B$10)+'Inputs'!$B$9)/SQRT(((O30+'Inputs'!$B$21+'Inputs'!$B$7+'Inputs'!$B$10)+'Inputs'!$B$9)^2+('Inputs'!$B$8/2)^2)-((O30+'Inputs'!$B$21+'Inputs'!$B$7+'Inputs'!$B$10))/SQRT(((O30+'Inputs'!$B$21+'Inputs'!$B$7+'Inputs'!$B$10))^2+('Inputs'!$B$8/2)^2))))*'Results'!$B$8*'Results'!$B$9))),"")</x:f>
        <x:v>84.81736665033971</x:v>
      </x:c>
      <x:c r="Q30" s="22"/>
      <x:c r="R30" s="22"/>
      <x:c r="S30" s="22" t="n">
        <x:f>IF(V29&gt;='Results'!B13,U29,S29)</x:f>
        <x:v>7.844700813293457</x:v>
      </x:c>
      <x:c r="T30" s="22" t="n">
        <x:f>IF(V29&gt;='Results'!B13,T29,U29)</x:f>
        <x:v>7.844703197479248</x:v>
      </x:c>
      <x:c r="U30" s="22" t="n">
        <x:f>(S30+T30)/2</x:f>
        <x:v>7.8447020053863525</x:v>
      </x:c>
      <x:c r="V30" s="22" t="n">
        <x:f>IF(AND(ISNUMBER('Results'!B7),ISNUMBER('Results'!C7),ISNUMBER('Results'!$B$8),ISNUMBER('Results'!$B$9),ISNUMBER('Inputs'!$B$6),ISNUMBER('Inputs'!$B$7),ISNUMBER('Inputs'!$B$8),ISNUMBER('Inputs'!$B$9),ISNUMBER('Inputs'!$B$10),ISNUMBER('Inputs'!$B$21),ISNUMBER('Inputs'!$B$24),ISNUMBER('Inputs'!$B$28)),(('Results'!B7*(0.5*(((U30+'Inputs'!$B$21)+'Inputs'!$B$7)/SQRT(((U30+'Inputs'!$B$21)+'Inputs'!$B$7)^2+('Inputs'!$B$6/2)^2)-((U30+'Inputs'!$B$21))/SQRT(((U30+'Inputs'!$B$21))^2+('Inputs'!$B$6/2)^2)))-'Results'!C7*(0.5*(((U30+'Inputs'!$B$21+'Inputs'!$B$7+'Inputs'!$B$10)+'Inputs'!$B$9)/SQRT(((U30+'Inputs'!$B$21+'Inputs'!$B$7+'Inputs'!$B$10)+'Inputs'!$B$9)^2+('Inputs'!$B$8/2)^2)-((U30+'Inputs'!$B$21+'Inputs'!$B$7+'Inputs'!$B$10))/SQRT(((U30+'Inputs'!$B$21+'Inputs'!$B$7+'Inputs'!$B$10))^2+('Inputs'!$B$8/2)^2))))*'Results'!$B$8*'Results'!$B$9),"")</x:f>
        <x:v>77.26351984420253</x:v>
      </x:c>
      <x:c r="W30" s="22"/>
      <x:c r="X30" s="22"/>
      <x:c r="Y30" s="22" t="n">
        <x:f>IF(AB29&gt;='Results'!B14,AA29,Y29)</x:f>
        <x:v>8.525645732879639</x:v>
      </x:c>
      <x:c r="Z30" s="22" t="n">
        <x:f>IF(AB29&gt;='Results'!B14,Z29,AA29)</x:f>
        <x:v>8.52564811706543</x:v>
      </x:c>
      <x:c r="AA30" s="22" t="n">
        <x:f>(Y30+Z30)/2</x:f>
        <x:v>8.525646924972534</x:v>
      </x:c>
      <x:c r="AB30" s="22" t="n">
        <x:f>IF(AND(ISNUMBER('Results'!B7),ISNUMBER('Results'!C7),ISNUMBER('Results'!$B$8),ISNUMBER('Results'!$B$9),ISNUMBER('Inputs'!$B$6),ISNUMBER('Inputs'!$B$7),ISNUMBER('Inputs'!$B$8),ISNUMBER('Inputs'!$B$9),ISNUMBER('Inputs'!$B$10),ISNUMBER('Inputs'!$B$21),ISNUMBER('Inputs'!$B$24),ISNUMBER('Inputs'!$B$28)),((('Results'!B7*(1+'Inputs'!$B$24)*(0.5*(((AA30+'Inputs'!$B$21)+'Inputs'!$B$7)/SQRT(((AA30+'Inputs'!$B$21)+'Inputs'!$B$7)^2+('Inputs'!$B$6/2)^2)-((AA30+'Inputs'!$B$21))/SQRT(((AA30+'Inputs'!$B$21))^2+('Inputs'!$B$6/2)^2)))-'Results'!C7*(1-'Inputs'!$B$24)*(0.5*(((AA30+'Inputs'!$B$21+'Inputs'!$B$7+'Inputs'!$B$10)+'Inputs'!$B$9)/SQRT(((AA30+'Inputs'!$B$21+'Inputs'!$B$7+'Inputs'!$B$10)+'Inputs'!$B$9)^2+('Inputs'!$B$8/2)^2)-((AA30+'Inputs'!$B$21+'Inputs'!$B$7+'Inputs'!$B$10))/SQRT(((AA30+'Inputs'!$B$21+'Inputs'!$B$7+'Inputs'!$B$10))^2+('Inputs'!$B$8/2)^2))))*'Results'!$B$8*'Results'!$B$9)+'Inputs'!$B$28*ABS((('Results'!B7*(1+'Inputs'!$B$24)*(0.5*(((AA30+'Inputs'!$B$21)+'Inputs'!$B$7)/SQRT(((AA30+'Inputs'!$B$21)+'Inputs'!$B$7)^2+('Inputs'!$B$6/2)^2)-((AA30+'Inputs'!$B$21))/SQRT(((AA30+'Inputs'!$B$21))^2+('Inputs'!$B$6/2)^2)))-'Results'!C7*(1-'Inputs'!$B$24)*(0.5*(((AA30+'Inputs'!$B$21+'Inputs'!$B$7+'Inputs'!$B$10)+'Inputs'!$B$9)/SQRT(((AA30+'Inputs'!$B$21+'Inputs'!$B$7+'Inputs'!$B$10)+'Inputs'!$B$9)^2+('Inputs'!$B$8/2)^2)-((AA30+'Inputs'!$B$21+'Inputs'!$B$7+'Inputs'!$B$10))/SQRT(((AA30+'Inputs'!$B$21+'Inputs'!$B$7+'Inputs'!$B$10))^2+('Inputs'!$B$8/2)^2))))*'Results'!$B$8*'Results'!$B$9))),"")</x:f>
        <x:v>66.9055243750317</x:v>
      </x:c>
      <x:c r="AC30" s="22"/>
      <x:c r="AD30" s="22"/>
      <x:c r="AE30" s="22" t="n">
        <x:f>IF(AH29&gt;='Results'!C10,AG29,AE29)</x:f>
        <x:v>6.922597885131836</x:v>
      </x:c>
      <x:c r="AF30" s="22" t="n">
        <x:f>IF(AH29&gt;='Results'!C10,AF29,AG29)</x:f>
        <x:v>6.922600269317627</x:v>
      </x:c>
      <x:c r="AG30" s="22" t="n">
        <x:f>(AE30+AF30)/2</x:f>
        <x:v>6.9225990772247314</x:v>
      </x:c>
      <x:c r="AH30" s="22" t="n">
        <x:f>IF(AND(ISNUMBER('Results'!C7),ISNUMBER('Results'!B7),ISNUMBER('Results'!$B$8),ISNUMBER('Results'!$B$9),ISNUMBER('Inputs'!$B$6),ISNUMBER('Inputs'!$B$7),ISNUMBER('Inputs'!$B$8),ISNUMBER('Inputs'!$B$9),ISNUMBER('Inputs'!$B$10),ISNUMBER('Inputs'!$B$21),ISNUMBER('Inputs'!$B$24),ISNUMBER('Inputs'!$B$28)),(('Results'!C7*(0.5*(((AG30+'Inputs'!$B$21)+'Inputs'!$B$9)/SQRT(((AG30+'Inputs'!$B$21)+'Inputs'!$B$9)^2+('Inputs'!$B$8/2)^2)-((AG30+'Inputs'!$B$21))/SQRT(((AG30+'Inputs'!$B$21))^2+('Inputs'!$B$8/2)^2)))-'Results'!B7*(0.5*(((AG30+'Inputs'!$B$21+'Inputs'!$B$9+'Inputs'!$B$10)+'Inputs'!$B$7)/SQRT(((AG30+'Inputs'!$B$21+'Inputs'!$B$9+'Inputs'!$B$10)+'Inputs'!$B$7)^2+('Inputs'!$B$6/2)^2)-((AG30+'Inputs'!$B$21+'Inputs'!$B$9+'Inputs'!$B$10))/SQRT(((AG30+'Inputs'!$B$21+'Inputs'!$B$9+'Inputs'!$B$10))^2+('Inputs'!$B$6/2)^2))))*'Results'!$B$8*'Results'!$B$9),"")</x:f>
        <x:v>104.00877868649427</x:v>
      </x:c>
      <x:c r="AI30" s="22"/>
      <x:c r="AJ30" s="22"/>
      <x:c r="AK30" s="22" t="n">
        <x:f>IF(AN29&gt;='Results'!C12,AM29,AK29)</x:f>
        <x:v>6.3452982902526855</x:v>
      </x:c>
      <x:c r="AL30" s="22" t="n">
        <x:f>IF(AN29&gt;='Results'!C12,AL29,AM29)</x:f>
        <x:v>6.345300674438477</x:v>
      </x:c>
      <x:c r="AM30" s="22" t="n">
        <x:f>(AK30+AL30)/2</x:f>
        <x:v>6.345299482345581</x:v>
      </x:c>
      <x:c r="AN30" s="22" t="n">
        <x:f>IF(AND(ISNUMBER('Results'!C7),ISNUMBER('Results'!B7),ISNUMBER('Results'!$B$8),ISNUMBER('Results'!$B$9),ISNUMBER('Inputs'!$B$6),ISNUMBER('Inputs'!$B$7),ISNUMBER('Inputs'!$B$8),ISNUMBER('Inputs'!$B$9),ISNUMBER('Inputs'!$B$10),ISNUMBER('Inputs'!$B$21),ISNUMBER('Inputs'!$B$24),ISNUMBER('Inputs'!$B$28)),((('Results'!C7*(1-'Inputs'!$B$24)*(0.5*(((AM30+'Inputs'!$B$21)+'Inputs'!$B$9)/SQRT(((AM30+'Inputs'!$B$21)+'Inputs'!$B$9)^2+('Inputs'!$B$8/2)^2)-((AM30+'Inputs'!$B$21))/SQRT(((AM30+'Inputs'!$B$21))^2+('Inputs'!$B$8/2)^2)))-'Results'!B7*(1+'Inputs'!$B$24)*(0.5*(((AM30+'Inputs'!$B$21+'Inputs'!$B$9+'Inputs'!$B$10)+'Inputs'!$B$7)/SQRT(((AM30+'Inputs'!$B$21+'Inputs'!$B$9+'Inputs'!$B$10)+'Inputs'!$B$7)^2+('Inputs'!$B$6/2)^2)-((AM30+'Inputs'!$B$21+'Inputs'!$B$9+'Inputs'!$B$10))/SQRT(((AM30+'Inputs'!$B$21+'Inputs'!$B$9+'Inputs'!$B$10))^2+('Inputs'!$B$6/2)^2))))*'Results'!$B$8*'Results'!$B$9)-'Inputs'!$B$28*ABS((('Results'!C7*(1-'Inputs'!$B$24)*(0.5*(((AM30+'Inputs'!$B$21)+'Inputs'!$B$9)/SQRT(((AM30+'Inputs'!$B$21)+'Inputs'!$B$9)^2+('Inputs'!$B$8/2)^2)-((AM30+'Inputs'!$B$21))/SQRT(((AM30+'Inputs'!$B$21))^2+('Inputs'!$B$8/2)^2)))-'Results'!B7*(1+'Inputs'!$B$24)*(0.5*(((AM30+'Inputs'!$B$21+'Inputs'!$B$9+'Inputs'!$B$10)+'Inputs'!$B$7)/SQRT(((AM30+'Inputs'!$B$21+'Inputs'!$B$9+'Inputs'!$B$10)+'Inputs'!$B$7)^2+('Inputs'!$B$6/2)^2)-((AM30+'Inputs'!$B$21+'Inputs'!$B$9+'Inputs'!$B$10))/SQRT(((AM30+'Inputs'!$B$21+'Inputs'!$B$9+'Inputs'!$B$10))^2+('Inputs'!$B$6/2)^2))))*'Results'!$B$8*'Results'!$B$9))),"")</x:f>
        <x:v>119.21783314201421</x:v>
      </x:c>
      <x:c r="AO30" s="22"/>
      <x:c r="AP30" s="22"/>
      <x:c r="AQ30" s="22" t="n">
        <x:f>IF(AT29&gt;='Results'!C11,AS29,AQ29)</x:f>
        <x:v>7.551205158233643</x:v>
      </x:c>
      <x:c r="AR30" s="22" t="n">
        <x:f>IF(AT29&gt;='Results'!C11,AR29,AS29)</x:f>
        <x:v>7.551207542419434</x:v>
      </x:c>
      <x:c r="AS30" s="22" t="n">
        <x:f>(AQ30+AR30)/2</x:f>
        <x:v>7.551206350326538</x:v>
      </x:c>
      <x:c r="AT30" s="22" t="n">
        <x:f>IF(AND(ISNUMBER('Results'!C7),ISNUMBER('Results'!B7),ISNUMBER('Results'!$B$8),ISNUMBER('Results'!$B$9),ISNUMBER('Inputs'!$B$6),ISNUMBER('Inputs'!$B$7),ISNUMBER('Inputs'!$B$8),ISNUMBER('Inputs'!$B$9),ISNUMBER('Inputs'!$B$10),ISNUMBER('Inputs'!$B$21),ISNUMBER('Inputs'!$B$24),ISNUMBER('Inputs'!$B$28)),((('Results'!C7*(1+'Inputs'!$B$24)*(0.5*(((AS30+'Inputs'!$B$21)+'Inputs'!$B$9)/SQRT(((AS30+'Inputs'!$B$21)+'Inputs'!$B$9)^2+('Inputs'!$B$8/2)^2)-((AS30+'Inputs'!$B$21))/SQRT(((AS30+'Inputs'!$B$21))^2+('Inputs'!$B$8/2)^2)))-'Results'!B7*(1-'Inputs'!$B$24)*(0.5*(((AS30+'Inputs'!$B$21+'Inputs'!$B$9+'Inputs'!$B$10)+'Inputs'!$B$7)/SQRT(((AS30+'Inputs'!$B$21+'Inputs'!$B$9+'Inputs'!$B$10)+'Inputs'!$B$7)^2+('Inputs'!$B$6/2)^2)-((AS30+'Inputs'!$B$21+'Inputs'!$B$9+'Inputs'!$B$10))/SQRT(((AS30+'Inputs'!$B$21+'Inputs'!$B$9+'Inputs'!$B$10))^2+('Inputs'!$B$6/2)^2))))*'Results'!$B$8*'Results'!$B$9)+'Inputs'!$B$28*ABS((('Results'!C7*(1+'Inputs'!$B$24)*(0.5*(((AS30+'Inputs'!$B$21)+'Inputs'!$B$9)/SQRT(((AS30+'Inputs'!$B$21)+'Inputs'!$B$9)^2+('Inputs'!$B$8/2)^2)-((AS30+'Inputs'!$B$21))/SQRT(((AS30+'Inputs'!$B$21))^2+('Inputs'!$B$8/2)^2)))-'Results'!B7*(1-'Inputs'!$B$24)*(0.5*(((AS30+'Inputs'!$B$21+'Inputs'!$B$9+'Inputs'!$B$10)+'Inputs'!$B$7)/SQRT(((AS30+'Inputs'!$B$21+'Inputs'!$B$9+'Inputs'!$B$10)+'Inputs'!$B$7)^2+('Inputs'!$B$6/2)^2)-((AS30+'Inputs'!$B$21+'Inputs'!$B$9+'Inputs'!$B$10))/SQRT(((AS30+'Inputs'!$B$21+'Inputs'!$B$9+'Inputs'!$B$10))^2+('Inputs'!$B$6/2)^2))))*'Results'!$B$8*'Results'!$B$9))),"")</x:f>
        <x:v>89.9125016507891</x:v>
      </x:c>
      <x:c r="AU30" s="22"/>
      <x:c r="AV30" s="22"/>
      <x:c r="AW30" s="22" t="n">
        <x:f>IF(AZ29&gt;='Results'!C13,AY29,AW29)</x:f>
        <x:v>7.58272647857666</x:v>
      </x:c>
      <x:c r="AX30" s="22" t="n">
        <x:f>IF(AZ29&gt;='Results'!C13,AX29,AY29)</x:f>
        <x:v>7.582728862762451</x:v>
      </x:c>
      <x:c r="AY30" s="22" t="n">
        <x:f>(AW30+AX30)/2</x:f>
        <x:v>7.582727670669556</x:v>
      </x:c>
      <x:c r="AZ30" s="22" t="n">
        <x:f>IF(AND(ISNUMBER('Results'!C7),ISNUMBER('Results'!B7),ISNUMBER('Results'!$B$8),ISNUMBER('Results'!$B$9),ISNUMBER('Inputs'!$B$6),ISNUMBER('Inputs'!$B$7),ISNUMBER('Inputs'!$B$8),ISNUMBER('Inputs'!$B$9),ISNUMBER('Inputs'!$B$10),ISNUMBER('Inputs'!$B$21),ISNUMBER('Inputs'!$B$24),ISNUMBER('Inputs'!$B$28)),(('Results'!C7*(0.5*(((AY30+'Inputs'!$B$21)+'Inputs'!$B$9)/SQRT(((AY30+'Inputs'!$B$21)+'Inputs'!$B$9)^2+('Inputs'!$B$8/2)^2)-((AY30+'Inputs'!$B$21))/SQRT(((AY30+'Inputs'!$B$21))^2+('Inputs'!$B$8/2)^2)))-'Results'!B7*(0.5*(((AY30+'Inputs'!$B$21+'Inputs'!$B$9+'Inputs'!$B$10)+'Inputs'!$B$7)/SQRT(((AY30+'Inputs'!$B$21+'Inputs'!$B$9+'Inputs'!$B$10)+'Inputs'!$B$7)^2+('Inputs'!$B$6/2)^2)-((AY30+'Inputs'!$B$21+'Inputs'!$B$9+'Inputs'!$B$10))/SQRT(((AY30+'Inputs'!$B$21+'Inputs'!$B$9+'Inputs'!$B$10))^2+('Inputs'!$B$6/2)^2))))*'Results'!$B$8*'Results'!$B$9),"")</x:f>
        <x:v>81.60120096728626</x:v>
      </x:c>
      <x:c r="BA30" s="22"/>
      <x:c r="BB30" s="22"/>
      <x:c r="BC30" s="22" t="n">
        <x:f>IF(BF29&gt;='Results'!C14,BE29,BC29)</x:f>
        <x:v>8.2468843460083</x:v>
      </x:c>
      <x:c r="BD30" s="22" t="n">
        <x:f>IF(BF29&gt;='Results'!C14,BD29,BE29)</x:f>
        <x:v>8.246886730194092</x:v>
      </x:c>
      <x:c r="BE30" s="22" t="n">
        <x:f>(BC30+BD30)/2</x:f>
        <x:v>8.246885538101196</x:v>
      </x:c>
      <x:c r="BF30" s="22" t="n">
        <x:f>IF(AND(ISNUMBER('Results'!C7),ISNUMBER('Results'!B7),ISNUMBER('Results'!$B$8),ISNUMBER('Results'!$B$9),ISNUMBER('Inputs'!$B$6),ISNUMBER('Inputs'!$B$7),ISNUMBER('Inputs'!$B$8),ISNUMBER('Inputs'!$B$9),ISNUMBER('Inputs'!$B$10),ISNUMBER('Inputs'!$B$21),ISNUMBER('Inputs'!$B$24),ISNUMBER('Inputs'!$B$28)),((('Results'!C7*(1+'Inputs'!$B$24)*(0.5*(((BE30+'Inputs'!$B$21)+'Inputs'!$B$9)/SQRT(((BE30+'Inputs'!$B$21)+'Inputs'!$B$9)^2+('Inputs'!$B$8/2)^2)-((BE30+'Inputs'!$B$21))/SQRT(((BE30+'Inputs'!$B$21))^2+('Inputs'!$B$8/2)^2)))-'Results'!B7*(1-'Inputs'!$B$24)*(0.5*(((BE30+'Inputs'!$B$21+'Inputs'!$B$9+'Inputs'!$B$10)+'Inputs'!$B$7)/SQRT(((BE30+'Inputs'!$B$21+'Inputs'!$B$9+'Inputs'!$B$10)+'Inputs'!$B$7)^2+('Inputs'!$B$6/2)^2)-((BE30+'Inputs'!$B$21+'Inputs'!$B$9+'Inputs'!$B$10))/SQRT(((BE30+'Inputs'!$B$21+'Inputs'!$B$9+'Inputs'!$B$10))^2+('Inputs'!$B$6/2)^2))))*'Results'!$B$8*'Results'!$B$9)+'Inputs'!$B$28*ABS((('Results'!C7*(1+'Inputs'!$B$24)*(0.5*(((BE30+'Inputs'!$B$21)+'Inputs'!$B$9)/SQRT(((BE30+'Inputs'!$B$21)+'Inputs'!$B$9)^2+('Inputs'!$B$8/2)^2)-((BE30+'Inputs'!$B$21))/SQRT(((BE30+'Inputs'!$B$21))^2+('Inputs'!$B$8/2)^2)))-'Results'!B7*(1-'Inputs'!$B$24)*(0.5*(((BE30+'Inputs'!$B$21+'Inputs'!$B$9+'Inputs'!$B$10)+'Inputs'!$B$7)/SQRT(((BE30+'Inputs'!$B$21+'Inputs'!$B$9+'Inputs'!$B$10)+'Inputs'!$B$7)^2+('Inputs'!$B$6/2)^2)-((BE30+'Inputs'!$B$21+'Inputs'!$B$9+'Inputs'!$B$10))/SQRT(((BE30+'Inputs'!$B$21+'Inputs'!$B$9+'Inputs'!$B$10))^2+('Inputs'!$B$6/2)^2))))*'Results'!$B$8*'Results'!$B$9))),"")</x:f>
        <x:v>70.64022652207726</x:v>
      </x:c>
      <x:c r="BG30" s="22"/>
      <x:c r="BH30" s="22"/>
    </x:row>
    <x:row r="31" ht="22" customHeight="1">
      <x:c r="A31" s="22" t="n">
        <x:f>IF(D30&gt;='Results'!B10,C30,A30)</x:f>
        <x:v>7.177631855010986</x:v>
      </x:c>
      <x:c r="B31" s="22" t="n">
        <x:f>IF(D30&gt;='Results'!B10,B30,C30)</x:f>
        <x:v>7.177633047103882</x:v>
      </x:c>
      <x:c r="C31" s="22" t="n">
        <x:f>(A31+B31)/2</x:f>
        <x:v>7.177632451057434</x:v>
      </x:c>
      <x:c r="D31" s="22" t="n">
        <x:f>IF(AND(ISNUMBER('Results'!B7),ISNUMBER('Results'!C7),ISNUMBER('Results'!$B$8),ISNUMBER('Results'!$B$9),ISNUMBER('Inputs'!$B$6),ISNUMBER('Inputs'!$B$7),ISNUMBER('Inputs'!$B$8),ISNUMBER('Inputs'!$B$9),ISNUMBER('Inputs'!$B$10),ISNUMBER('Inputs'!$B$21),ISNUMBER('Inputs'!$B$24),ISNUMBER('Inputs'!$B$28)),(('Results'!B7*(0.5*(((C31+'Inputs'!$B$21)+'Inputs'!$B$7)/SQRT(((C31+'Inputs'!$B$21)+'Inputs'!$B$7)^2+('Inputs'!$B$6/2)^2)-((C31+'Inputs'!$B$21))/SQRT(((C31+'Inputs'!$B$21))^2+('Inputs'!$B$6/2)^2)))-'Results'!C7*(0.5*(((C31+'Inputs'!$B$21+'Inputs'!$B$7+'Inputs'!$B$10)+'Inputs'!$B$9)/SQRT(((C31+'Inputs'!$B$21+'Inputs'!$B$7+'Inputs'!$B$10)+'Inputs'!$B$9)^2+('Inputs'!$B$8/2)^2)-((C31+'Inputs'!$B$21+'Inputs'!$B$7+'Inputs'!$B$10))/SQRT(((C31+'Inputs'!$B$21+'Inputs'!$B$7+'Inputs'!$B$10))^2+('Inputs'!$B$8/2)^2))))*'Results'!$B$8*'Results'!$B$9),"")</x:f>
        <x:v>98.08114014458654</x:v>
      </x:c>
      <x:c r="E31" s="22"/>
      <x:c r="F31" s="22"/>
      <x:c r="G31" s="22" t="n">
        <x:f>IF(J30&gt;='Results'!B12,I30,G30)</x:f>
        <x:v>6.5866029262542725</x:v>
      </x:c>
      <x:c r="H31" s="22" t="n">
        <x:f>IF(J30&gt;='Results'!B12,H30,I30)</x:f>
        <x:v>6.586604118347168</x:v>
      </x:c>
      <x:c r="I31" s="22" t="n">
        <x:f>(G31+H31)/2</x:f>
        <x:v>6.58660352230072</x:v>
      </x:c>
      <x:c r="J31" s="22" t="n">
        <x:f>IF(AND(ISNUMBER('Results'!B7),ISNUMBER('Results'!C7),ISNUMBER('Results'!$B$8),ISNUMBER('Results'!$B$9),ISNUMBER('Inputs'!$B$6),ISNUMBER('Inputs'!$B$7),ISNUMBER('Inputs'!$B$8),ISNUMBER('Inputs'!$B$9),ISNUMBER('Inputs'!$B$10),ISNUMBER('Inputs'!$B$21),ISNUMBER('Inputs'!$B$24),ISNUMBER('Inputs'!$B$28)),((('Results'!B7*(1-'Inputs'!$B$24)*(0.5*(((I31+'Inputs'!$B$21)+'Inputs'!$B$7)/SQRT(((I31+'Inputs'!$B$21)+'Inputs'!$B$7)^2+('Inputs'!$B$6/2)^2)-((I31+'Inputs'!$B$21))/SQRT(((I31+'Inputs'!$B$21))^2+('Inputs'!$B$6/2)^2)))-'Results'!C7*(1+'Inputs'!$B$24)*(0.5*(((I31+'Inputs'!$B$21+'Inputs'!$B$7+'Inputs'!$B$10)+'Inputs'!$B$9)/SQRT(((I31+'Inputs'!$B$21+'Inputs'!$B$7+'Inputs'!$B$10)+'Inputs'!$B$9)^2+('Inputs'!$B$8/2)^2)-((I31+'Inputs'!$B$21+'Inputs'!$B$7+'Inputs'!$B$10))/SQRT(((I31+'Inputs'!$B$21+'Inputs'!$B$7+'Inputs'!$B$10))^2+('Inputs'!$B$8/2)^2))))*'Results'!$B$8*'Results'!$B$9)-'Inputs'!$B$28*ABS((('Results'!B7*(1-'Inputs'!$B$24)*(0.5*(((I31+'Inputs'!$B$21)+'Inputs'!$B$7)/SQRT(((I31+'Inputs'!$B$21)+'Inputs'!$B$7)^2+('Inputs'!$B$6/2)^2)-((I31+'Inputs'!$B$21))/SQRT(((I31+'Inputs'!$B$21))^2+('Inputs'!$B$6/2)^2)))-'Results'!C7*(1+'Inputs'!$B$24)*(0.5*(((I31+'Inputs'!$B$21+'Inputs'!$B$7+'Inputs'!$B$10)+'Inputs'!$B$9)/SQRT(((I31+'Inputs'!$B$21+'Inputs'!$B$7+'Inputs'!$B$10)+'Inputs'!$B$9)^2+('Inputs'!$B$8/2)^2)-((I31+'Inputs'!$B$21+'Inputs'!$B$7+'Inputs'!$B$10))/SQRT(((I31+'Inputs'!$B$21+'Inputs'!$B$7+'Inputs'!$B$10))^2+('Inputs'!$B$8/2)^2))))*'Results'!$B$8*'Results'!$B$9))),"")</x:f>
        <x:v>112.38229647813861</x:v>
      </x:c>
      <x:c r="K31" s="22"/>
      <x:c r="L31" s="22"/>
      <x:c r="M31" s="22" t="n">
        <x:f>IF(P30&gt;='Results'!B11,O30,M30)</x:f>
        <x:v>7.821927070617676</x:v>
      </x:c>
      <x:c r="N31" s="22" t="n">
        <x:f>IF(P30&gt;='Results'!B11,N30,O30)</x:f>
        <x:v>7.821928262710571</x:v>
      </x:c>
      <x:c r="O31" s="22" t="n">
        <x:f>(M31+N31)/2</x:f>
        <x:v>7.8219276666641235</x:v>
      </x:c>
      <x:c r="P31" s="22" t="n">
        <x:f>IF(AND(ISNUMBER('Results'!B7),ISNUMBER('Results'!C7),ISNUMBER('Results'!$B$8),ISNUMBER('Results'!$B$9),ISNUMBER('Inputs'!$B$6),ISNUMBER('Inputs'!$B$7),ISNUMBER('Inputs'!$B$8),ISNUMBER('Inputs'!$B$9),ISNUMBER('Inputs'!$B$10),ISNUMBER('Inputs'!$B$21),ISNUMBER('Inputs'!$B$24),ISNUMBER('Inputs'!$B$28)),((('Results'!B7*(1+'Inputs'!$B$24)*(0.5*(((O31+'Inputs'!$B$21)+'Inputs'!$B$7)/SQRT(((O31+'Inputs'!$B$21)+'Inputs'!$B$7)^2+('Inputs'!$B$6/2)^2)-((O31+'Inputs'!$B$21))/SQRT(((O31+'Inputs'!$B$21))^2+('Inputs'!$B$6/2)^2)))-'Results'!C7*(1-'Inputs'!$B$24)*(0.5*(((O31+'Inputs'!$B$21+'Inputs'!$B$7+'Inputs'!$B$10)+'Inputs'!$B$9)/SQRT(((O31+'Inputs'!$B$21+'Inputs'!$B$7+'Inputs'!$B$10)+'Inputs'!$B$9)^2+('Inputs'!$B$8/2)^2)-((O31+'Inputs'!$B$21+'Inputs'!$B$7+'Inputs'!$B$10))/SQRT(((O31+'Inputs'!$B$21+'Inputs'!$B$7+'Inputs'!$B$10))^2+('Inputs'!$B$8/2)^2))))*'Results'!$B$8*'Results'!$B$9)+'Inputs'!$B$28*ABS((('Results'!B7*(1+'Inputs'!$B$24)*(0.5*(((O31+'Inputs'!$B$21)+'Inputs'!$B$7)/SQRT(((O31+'Inputs'!$B$21)+'Inputs'!$B$7)^2+('Inputs'!$B$6/2)^2)-((O31+'Inputs'!$B$21))/SQRT(((O31+'Inputs'!$B$21))^2+('Inputs'!$B$6/2)^2)))-'Results'!C7*(1-'Inputs'!$B$24)*(0.5*(((O31+'Inputs'!$B$21+'Inputs'!$B$7+'Inputs'!$B$10)+'Inputs'!$B$9)/SQRT(((O31+'Inputs'!$B$21+'Inputs'!$B$7+'Inputs'!$B$10)+'Inputs'!$B$9)^2+('Inputs'!$B$8/2)^2)-((O31+'Inputs'!$B$21+'Inputs'!$B$7+'Inputs'!$B$10))/SQRT(((O31+'Inputs'!$B$21+'Inputs'!$B$7+'Inputs'!$B$10))^2+('Inputs'!$B$8/2)^2))))*'Results'!$B$8*'Results'!$B$9))),"")</x:f>
        <x:v>84.8173841721567</x:v>
      </x:c>
      <x:c r="Q31" s="22"/>
      <x:c r="R31" s="22"/>
      <x:c r="S31" s="22" t="n">
        <x:f>IF(V30&gt;='Results'!B13,U30,S30)</x:f>
        <x:v>7.8447020053863525</x:v>
      </x:c>
      <x:c r="T31" s="22" t="n">
        <x:f>IF(V30&gt;='Results'!B13,T30,U30)</x:f>
        <x:v>7.844703197479248</x:v>
      </x:c>
      <x:c r="U31" s="22" t="n">
        <x:f>(S31+T31)/2</x:f>
        <x:v>7.8447026014328</x:v>
      </x:c>
      <x:c r="V31" s="22" t="n">
        <x:f>IF(AND(ISNUMBER('Results'!B7),ISNUMBER('Results'!C7),ISNUMBER('Results'!$B$8),ISNUMBER('Results'!$B$9),ISNUMBER('Inputs'!$B$6),ISNUMBER('Inputs'!$B$7),ISNUMBER('Inputs'!$B$8),ISNUMBER('Inputs'!$B$9),ISNUMBER('Inputs'!$B$10),ISNUMBER('Inputs'!$B$21),ISNUMBER('Inputs'!$B$24),ISNUMBER('Inputs'!$B$28)),(('Results'!B7*(0.5*(((U31+'Inputs'!$B$21)+'Inputs'!$B$7)/SQRT(((U31+'Inputs'!$B$21)+'Inputs'!$B$7)^2+('Inputs'!$B$6/2)^2)-((U31+'Inputs'!$B$21))/SQRT(((U31+'Inputs'!$B$21))^2+('Inputs'!$B$6/2)^2)))-'Results'!C7*(0.5*(((U31+'Inputs'!$B$21+'Inputs'!$B$7+'Inputs'!$B$10)+'Inputs'!$B$9)/SQRT(((U31+'Inputs'!$B$21+'Inputs'!$B$7+'Inputs'!$B$10)+'Inputs'!$B$9)^2+('Inputs'!$B$8/2)^2)-((U31+'Inputs'!$B$21+'Inputs'!$B$7+'Inputs'!$B$10))/SQRT(((U31+'Inputs'!$B$21+'Inputs'!$B$7+'Inputs'!$B$10))^2+('Inputs'!$B$8/2)^2))))*'Results'!$B$8*'Results'!$B$9),"")</x:f>
        <x:v>77.26350381005614</x:v>
      </x:c>
      <x:c r="W31" s="22"/>
      <x:c r="X31" s="22"/>
      <x:c r="Y31" s="22" t="n">
        <x:f>IF(AB30&gt;='Results'!B14,AA30,Y30)</x:f>
        <x:v>8.525646924972534</x:v>
      </x:c>
      <x:c r="Z31" s="22" t="n">
        <x:f>IF(AB30&gt;='Results'!B14,Z30,AA30)</x:f>
        <x:v>8.52564811706543</x:v>
      </x:c>
      <x:c r="AA31" s="22" t="n">
        <x:f>(Y31+Z31)/2</x:f>
        <x:v>8.525647521018982</x:v>
      </x:c>
      <x:c r="AB31" s="22" t="n">
        <x:f>IF(AND(ISNUMBER('Results'!B7),ISNUMBER('Results'!C7),ISNUMBER('Results'!$B$8),ISNUMBER('Results'!$B$9),ISNUMBER('Inputs'!$B$6),ISNUMBER('Inputs'!$B$7),ISNUMBER('Inputs'!$B$8),ISNUMBER('Inputs'!$B$9),ISNUMBER('Inputs'!$B$10),ISNUMBER('Inputs'!$B$21),ISNUMBER('Inputs'!$B$24),ISNUMBER('Inputs'!$B$28)),((('Results'!B7*(1+'Inputs'!$B$24)*(0.5*(((AA31+'Inputs'!$B$21)+'Inputs'!$B$7)/SQRT(((AA31+'Inputs'!$B$21)+'Inputs'!$B$7)^2+('Inputs'!$B$6/2)^2)-((AA31+'Inputs'!$B$21))/SQRT(((AA31+'Inputs'!$B$21))^2+('Inputs'!$B$6/2)^2)))-'Results'!C7*(1-'Inputs'!$B$24)*(0.5*(((AA31+'Inputs'!$B$21+'Inputs'!$B$7+'Inputs'!$B$10)+'Inputs'!$B$9)/SQRT(((AA31+'Inputs'!$B$21+'Inputs'!$B$7+'Inputs'!$B$10)+'Inputs'!$B$9)^2+('Inputs'!$B$8/2)^2)-((AA31+'Inputs'!$B$21+'Inputs'!$B$7+'Inputs'!$B$10))/SQRT(((AA31+'Inputs'!$B$21+'Inputs'!$B$7+'Inputs'!$B$10))^2+('Inputs'!$B$8/2)^2))))*'Results'!$B$8*'Results'!$B$9)+'Inputs'!$B$28*ABS((('Results'!B7*(1+'Inputs'!$B$24)*(0.5*(((AA31+'Inputs'!$B$21)+'Inputs'!$B$7)/SQRT(((AA31+'Inputs'!$B$21)+'Inputs'!$B$7)^2+('Inputs'!$B$6/2)^2)-((AA31+'Inputs'!$B$21))/SQRT(((AA31+'Inputs'!$B$21))^2+('Inputs'!$B$6/2)^2)))-'Results'!C7*(1-'Inputs'!$B$24)*(0.5*(((AA31+'Inputs'!$B$21+'Inputs'!$B$7+'Inputs'!$B$10)+'Inputs'!$B$9)/SQRT(((AA31+'Inputs'!$B$21+'Inputs'!$B$7+'Inputs'!$B$10)+'Inputs'!$B$9)^2+('Inputs'!$B$8/2)^2)-((AA31+'Inputs'!$B$21+'Inputs'!$B$7+'Inputs'!$B$10))/SQRT(((AA31+'Inputs'!$B$21+'Inputs'!$B$7+'Inputs'!$B$10))^2+('Inputs'!$B$8/2)^2))))*'Results'!$B$8*'Results'!$B$9))),"")</x:f>
        <x:v>66.90551129973463</x:v>
      </x:c>
      <x:c r="AC31" s="22"/>
      <x:c r="AD31" s="22"/>
      <x:c r="AE31" s="22" t="n">
        <x:f>IF(AH30&gt;='Results'!C10,AG30,AE30)</x:f>
        <x:v>6.9225990772247314</x:v>
      </x:c>
      <x:c r="AF31" s="22" t="n">
        <x:f>IF(AH30&gt;='Results'!C10,AF30,AG30)</x:f>
        <x:v>6.922600269317627</x:v>
      </x:c>
      <x:c r="AG31" s="22" t="n">
        <x:f>(AE31+AF31)/2</x:f>
        <x:v>6.922599673271179</x:v>
      </x:c>
      <x:c r="AH31" s="22" t="n">
        <x:f>IF(AND(ISNUMBER('Results'!C7),ISNUMBER('Results'!B7),ISNUMBER('Results'!$B$8),ISNUMBER('Results'!$B$9),ISNUMBER('Inputs'!$B$6),ISNUMBER('Inputs'!$B$7),ISNUMBER('Inputs'!$B$8),ISNUMBER('Inputs'!$B$9),ISNUMBER('Inputs'!$B$10),ISNUMBER('Inputs'!$B$21),ISNUMBER('Inputs'!$B$24),ISNUMBER('Inputs'!$B$28)),(('Results'!C7*(0.5*(((AG31+'Inputs'!$B$21)+'Inputs'!$B$9)/SQRT(((AG31+'Inputs'!$B$21)+'Inputs'!$B$9)^2+('Inputs'!$B$8/2)^2)-((AG31+'Inputs'!$B$21))/SQRT(((AG31+'Inputs'!$B$21))^2+('Inputs'!$B$8/2)^2)))-'Results'!B7*(0.5*(((AG31+'Inputs'!$B$21+'Inputs'!$B$9+'Inputs'!$B$10)+'Inputs'!$B$7)/SQRT(((AG31+'Inputs'!$B$21+'Inputs'!$B$9+'Inputs'!$B$10)+'Inputs'!$B$7)^2+('Inputs'!$B$6/2)^2)-((AG31+'Inputs'!$B$21+'Inputs'!$B$9+'Inputs'!$B$10))/SQRT(((AG31+'Inputs'!$B$21+'Inputs'!$B$9+'Inputs'!$B$10))^2+('Inputs'!$B$6/2)^2))))*'Results'!$B$8*'Results'!$B$9),"")</x:f>
        <x:v>104.00875528755489</x:v>
      </x:c>
      <x:c r="AI31" s="22"/>
      <x:c r="AJ31" s="22"/>
      <x:c r="AK31" s="22" t="n">
        <x:f>IF(AN30&gt;='Results'!C12,AM30,AK30)</x:f>
        <x:v>6.3452982902526855</x:v>
      </x:c>
      <x:c r="AL31" s="22" t="n">
        <x:f>IF(AN30&gt;='Results'!C12,AL30,AM30)</x:f>
        <x:v>6.345299482345581</x:v>
      </x:c>
      <x:c r="AM31" s="22" t="n">
        <x:f>(AK31+AL31)/2</x:f>
        <x:v>6.345298886299133</x:v>
      </x:c>
      <x:c r="AN31" s="22" t="n">
        <x:f>IF(AND(ISNUMBER('Results'!C7),ISNUMBER('Results'!B7),ISNUMBER('Results'!$B$8),ISNUMBER('Results'!$B$9),ISNUMBER('Inputs'!$B$6),ISNUMBER('Inputs'!$B$7),ISNUMBER('Inputs'!$B$8),ISNUMBER('Inputs'!$B$9),ISNUMBER('Inputs'!$B$10),ISNUMBER('Inputs'!$B$21),ISNUMBER('Inputs'!$B$24),ISNUMBER('Inputs'!$B$28)),((('Results'!C7*(1-'Inputs'!$B$24)*(0.5*(((AM31+'Inputs'!$B$21)+'Inputs'!$B$9)/SQRT(((AM31+'Inputs'!$B$21)+'Inputs'!$B$9)^2+('Inputs'!$B$8/2)^2)-((AM31+'Inputs'!$B$21))/SQRT(((AM31+'Inputs'!$B$21))^2+('Inputs'!$B$8/2)^2)))-'Results'!B7*(1+'Inputs'!$B$24)*(0.5*(((AM31+'Inputs'!$B$21+'Inputs'!$B$9+'Inputs'!$B$10)+'Inputs'!$B$7)/SQRT(((AM31+'Inputs'!$B$21+'Inputs'!$B$9+'Inputs'!$B$10)+'Inputs'!$B$7)^2+('Inputs'!$B$6/2)^2)-((AM31+'Inputs'!$B$21+'Inputs'!$B$9+'Inputs'!$B$10))/SQRT(((AM31+'Inputs'!$B$21+'Inputs'!$B$9+'Inputs'!$B$10))^2+('Inputs'!$B$6/2)^2))))*'Results'!$B$8*'Results'!$B$9)-'Inputs'!$B$28*ABS((('Results'!C7*(1-'Inputs'!$B$24)*(0.5*(((AM31+'Inputs'!$B$21)+'Inputs'!$B$9)/SQRT(((AM31+'Inputs'!$B$21)+'Inputs'!$B$9)^2+('Inputs'!$B$8/2)^2)-((AM31+'Inputs'!$B$21))/SQRT(((AM31+'Inputs'!$B$21))^2+('Inputs'!$B$8/2)^2)))-'Results'!B7*(1+'Inputs'!$B$24)*(0.5*(((AM31+'Inputs'!$B$21+'Inputs'!$B$9+'Inputs'!$B$10)+'Inputs'!$B$7)/SQRT(((AM31+'Inputs'!$B$21+'Inputs'!$B$9+'Inputs'!$B$10)+'Inputs'!$B$7)^2+('Inputs'!$B$6/2)^2)-((AM31+'Inputs'!$B$21+'Inputs'!$B$9+'Inputs'!$B$10))/SQRT(((AM31+'Inputs'!$B$21+'Inputs'!$B$9+'Inputs'!$B$10))^2+('Inputs'!$B$6/2)^2))))*'Results'!$B$8*'Results'!$B$9))),"")</x:f>
        <x:v>119.21786142979836</x:v>
      </x:c>
      <x:c r="AO31" s="22"/>
      <x:c r="AP31" s="22"/>
      <x:c r="AQ31" s="22" t="n">
        <x:f>IF(AT30&gt;='Results'!C11,AS30,AQ30)</x:f>
        <x:v>7.551206350326538</x:v>
      </x:c>
      <x:c r="AR31" s="22" t="n">
        <x:f>IF(AT30&gt;='Results'!C11,AR30,AS30)</x:f>
        <x:v>7.551207542419434</x:v>
      </x:c>
      <x:c r="AS31" s="22" t="n">
        <x:f>(AQ31+AR31)/2</x:f>
        <x:v>7.551206946372986</x:v>
      </x:c>
      <x:c r="AT31" s="22" t="n">
        <x:f>IF(AND(ISNUMBER('Results'!C7),ISNUMBER('Results'!B7),ISNUMBER('Results'!$B$8),ISNUMBER('Results'!$B$9),ISNUMBER('Inputs'!$B$6),ISNUMBER('Inputs'!$B$7),ISNUMBER('Inputs'!$B$8),ISNUMBER('Inputs'!$B$9),ISNUMBER('Inputs'!$B$10),ISNUMBER('Inputs'!$B$21),ISNUMBER('Inputs'!$B$24),ISNUMBER('Inputs'!$B$28)),((('Results'!C7*(1+'Inputs'!$B$24)*(0.5*(((AS31+'Inputs'!$B$21)+'Inputs'!$B$9)/SQRT(((AS31+'Inputs'!$B$21)+'Inputs'!$B$9)^2+('Inputs'!$B$8/2)^2)-((AS31+'Inputs'!$B$21))/SQRT(((AS31+'Inputs'!$B$21))^2+('Inputs'!$B$8/2)^2)))-'Results'!B7*(1-'Inputs'!$B$24)*(0.5*(((AS31+'Inputs'!$B$21+'Inputs'!$B$9+'Inputs'!$B$10)+'Inputs'!$B$7)/SQRT(((AS31+'Inputs'!$B$21+'Inputs'!$B$9+'Inputs'!$B$10)+'Inputs'!$B$7)^2+('Inputs'!$B$6/2)^2)-((AS31+'Inputs'!$B$21+'Inputs'!$B$9+'Inputs'!$B$10))/SQRT(((AS31+'Inputs'!$B$21+'Inputs'!$B$9+'Inputs'!$B$10))^2+('Inputs'!$B$6/2)^2))))*'Results'!$B$8*'Results'!$B$9)+'Inputs'!$B$28*ABS((('Results'!C7*(1+'Inputs'!$B$24)*(0.5*(((AS31+'Inputs'!$B$21)+'Inputs'!$B$9)/SQRT(((AS31+'Inputs'!$B$21)+'Inputs'!$B$9)^2+('Inputs'!$B$8/2)^2)-((AS31+'Inputs'!$B$21))/SQRT(((AS31+'Inputs'!$B$21))^2+('Inputs'!$B$8/2)^2)))-'Results'!B7*(1-'Inputs'!$B$24)*(0.5*(((AS31+'Inputs'!$B$21+'Inputs'!$B$9+'Inputs'!$B$10)+'Inputs'!$B$7)/SQRT(((AS31+'Inputs'!$B$21+'Inputs'!$B$9+'Inputs'!$B$10)+'Inputs'!$B$7)^2+('Inputs'!$B$6/2)^2)-((AS31+'Inputs'!$B$21+'Inputs'!$B$9+'Inputs'!$B$10))/SQRT(((AS31+'Inputs'!$B$21+'Inputs'!$B$9+'Inputs'!$B$10))^2+('Inputs'!$B$6/2)^2))))*'Results'!$B$8*'Results'!$B$9))),"")</x:f>
        <x:v>89.91248254779202</x:v>
      </x:c>
      <x:c r="AU31" s="22"/>
      <x:c r="AV31" s="22"/>
      <x:c r="AW31" s="22" t="n">
        <x:f>IF(AZ30&gt;='Results'!C13,AY30,AW30)</x:f>
        <x:v>7.582727670669556</x:v>
      </x:c>
      <x:c r="AX31" s="22" t="n">
        <x:f>IF(AZ30&gt;='Results'!C13,AX30,AY30)</x:f>
        <x:v>7.582728862762451</x:v>
      </x:c>
      <x:c r="AY31" s="22" t="n">
        <x:f>(AW31+AX31)/2</x:f>
        <x:v>7.582728266716003</x:v>
      </x:c>
      <x:c r="AZ31" s="22" t="n">
        <x:f>IF(AND(ISNUMBER('Results'!C7),ISNUMBER('Results'!B7),ISNUMBER('Results'!$B$8),ISNUMBER('Results'!$B$9),ISNUMBER('Inputs'!$B$6),ISNUMBER('Inputs'!$B$7),ISNUMBER('Inputs'!$B$8),ISNUMBER('Inputs'!$B$9),ISNUMBER('Inputs'!$B$10),ISNUMBER('Inputs'!$B$21),ISNUMBER('Inputs'!$B$24),ISNUMBER('Inputs'!$B$28)),(('Results'!C7*(0.5*(((AY31+'Inputs'!$B$21)+'Inputs'!$B$9)/SQRT(((AY31+'Inputs'!$B$21)+'Inputs'!$B$9)^2+('Inputs'!$B$8/2)^2)-((AY31+'Inputs'!$B$21))/SQRT(((AY31+'Inputs'!$B$21))^2+('Inputs'!$B$8/2)^2)))-'Results'!B7*(0.5*(((AY31+'Inputs'!$B$21+'Inputs'!$B$9+'Inputs'!$B$10)+'Inputs'!$B$7)/SQRT(((AY31+'Inputs'!$B$21+'Inputs'!$B$9+'Inputs'!$B$10)+'Inputs'!$B$7)^2+('Inputs'!$B$6/2)^2)-((AY31+'Inputs'!$B$21+'Inputs'!$B$9+'Inputs'!$B$10))/SQRT(((AY31+'Inputs'!$B$21+'Inputs'!$B$9+'Inputs'!$B$10))^2+('Inputs'!$B$6/2)^2))))*'Results'!$B$8*'Results'!$B$9),"")</x:f>
        <x:v>81.60118355905696</x:v>
      </x:c>
      <x:c r="BA31" s="22"/>
      <x:c r="BB31" s="22"/>
      <x:c r="BC31" s="22" t="n">
        <x:f>IF(BF30&gt;='Results'!C14,BE30,BC30)</x:f>
        <x:v>8.246885538101196</x:v>
      </x:c>
      <x:c r="BD31" s="22" t="n">
        <x:f>IF(BF30&gt;='Results'!C14,BD30,BE30)</x:f>
        <x:v>8.246886730194092</x:v>
      </x:c>
      <x:c r="BE31" s="22" t="n">
        <x:f>(BC31+BD31)/2</x:f>
        <x:v>8.246886134147644</x:v>
      </x:c>
      <x:c r="BF31" s="22" t="n">
        <x:f>IF(AND(ISNUMBER('Results'!C7),ISNUMBER('Results'!B7),ISNUMBER('Results'!$B$8),ISNUMBER('Results'!$B$9),ISNUMBER('Inputs'!$B$6),ISNUMBER('Inputs'!$B$7),ISNUMBER('Inputs'!$B$8),ISNUMBER('Inputs'!$B$9),ISNUMBER('Inputs'!$B$10),ISNUMBER('Inputs'!$B$21),ISNUMBER('Inputs'!$B$24),ISNUMBER('Inputs'!$B$28)),((('Results'!C7*(1+'Inputs'!$B$24)*(0.5*(((BE31+'Inputs'!$B$21)+'Inputs'!$B$9)/SQRT(((BE31+'Inputs'!$B$21)+'Inputs'!$B$9)^2+('Inputs'!$B$8/2)^2)-((BE31+'Inputs'!$B$21))/SQRT(((BE31+'Inputs'!$B$21))^2+('Inputs'!$B$8/2)^2)))-'Results'!B7*(1-'Inputs'!$B$24)*(0.5*(((BE31+'Inputs'!$B$21+'Inputs'!$B$9+'Inputs'!$B$10)+'Inputs'!$B$7)/SQRT(((BE31+'Inputs'!$B$21+'Inputs'!$B$9+'Inputs'!$B$10)+'Inputs'!$B$7)^2+('Inputs'!$B$6/2)^2)-((BE31+'Inputs'!$B$21+'Inputs'!$B$9+'Inputs'!$B$10))/SQRT(((BE31+'Inputs'!$B$21+'Inputs'!$B$9+'Inputs'!$B$10))^2+('Inputs'!$B$6/2)^2))))*'Results'!$B$8*'Results'!$B$9)+'Inputs'!$B$28*ABS((('Results'!C7*(1+'Inputs'!$B$24)*(0.5*(((BE31+'Inputs'!$B$21)+'Inputs'!$B$9)/SQRT(((BE31+'Inputs'!$B$21)+'Inputs'!$B$9)^2+('Inputs'!$B$8/2)^2)-((BE31+'Inputs'!$B$21))/SQRT(((BE31+'Inputs'!$B$21))^2+('Inputs'!$B$8/2)^2)))-'Results'!B7*(1-'Inputs'!$B$24)*(0.5*(((BE31+'Inputs'!$B$21+'Inputs'!$B$9+'Inputs'!$B$10)+'Inputs'!$B$7)/SQRT(((BE31+'Inputs'!$B$21+'Inputs'!$B$9+'Inputs'!$B$10)+'Inputs'!$B$7)^2+('Inputs'!$B$6/2)^2)-((BE31+'Inputs'!$B$21+'Inputs'!$B$9+'Inputs'!$B$10))/SQRT(((BE31+'Inputs'!$B$21+'Inputs'!$B$9+'Inputs'!$B$10))^2+('Inputs'!$B$6/2)^2))))*'Results'!$B$8*'Results'!$B$9))),"")</x:f>
        <x:v>70.6402123178686</x:v>
      </x:c>
      <x:c r="BG31" s="22"/>
      <x:c r="BH31" s="22"/>
    </x:row>
    <x:row r="32" ht="22" customHeight="1">
      <x:c r="A32" s="22" t="n">
        <x:f>IF(D31&gt;='Results'!B10,C31,A31)</x:f>
        <x:v>7.177631855010986</x:v>
      </x:c>
      <x:c r="B32" s="22" t="n">
        <x:f>IF(D31&gt;='Results'!B10,B31,C31)</x:f>
        <x:v>7.177632451057434</x:v>
      </x:c>
      <x:c r="C32" s="22" t="n">
        <x:f>(A32+B32)/2</x:f>
        <x:v>7.17763215303421</x:v>
      </x:c>
      <x:c r="D32" s="22" t="n">
        <x:f>IF(AND(ISNUMBER('Results'!B7),ISNUMBER('Results'!C7),ISNUMBER('Results'!$B$8),ISNUMBER('Results'!$B$9),ISNUMBER('Inputs'!$B$6),ISNUMBER('Inputs'!$B$7),ISNUMBER('Inputs'!$B$8),ISNUMBER('Inputs'!$B$9),ISNUMBER('Inputs'!$B$10),ISNUMBER('Inputs'!$B$21),ISNUMBER('Inputs'!$B$24),ISNUMBER('Inputs'!$B$28)),(('Results'!B7*(0.5*(((C32+'Inputs'!$B$21)+'Inputs'!$B$7)/SQRT(((C32+'Inputs'!$B$21)+'Inputs'!$B$7)^2+('Inputs'!$B$6/2)^2)-((C32+'Inputs'!$B$21))/SQRT(((C32+'Inputs'!$B$21))^2+('Inputs'!$B$6/2)^2)))-'Results'!C7*(0.5*(((C32+'Inputs'!$B$21+'Inputs'!$B$7+'Inputs'!$B$10)+'Inputs'!$B$9)/SQRT(((C32+'Inputs'!$B$21+'Inputs'!$B$7+'Inputs'!$B$10)+'Inputs'!$B$9)^2+('Inputs'!$B$8/2)^2)-((C32+'Inputs'!$B$21+'Inputs'!$B$7+'Inputs'!$B$10))/SQRT(((C32+'Inputs'!$B$21+'Inputs'!$B$7+'Inputs'!$B$10))^2+('Inputs'!$B$8/2)^2))))*'Results'!$B$8*'Results'!$B$9),"")</x:f>
        <x:v>98.08115088309735</x:v>
      </x:c>
      <x:c r="E32" s="22"/>
      <x:c r="F32" s="22"/>
      <x:c r="G32" s="22" t="n">
        <x:f>IF(J31&gt;='Results'!B12,I31,G31)</x:f>
        <x:v>6.58660352230072</x:v>
      </x:c>
      <x:c r="H32" s="22" t="n">
        <x:f>IF(J31&gt;='Results'!B12,H31,I31)</x:f>
        <x:v>6.586604118347168</x:v>
      </x:c>
      <x:c r="I32" s="22" t="n">
        <x:f>(G32+H32)/2</x:f>
        <x:v>6.586603820323944</x:v>
      </x:c>
      <x:c r="J32" s="22" t="n">
        <x:f>IF(AND(ISNUMBER('Results'!B7),ISNUMBER('Results'!C7),ISNUMBER('Results'!$B$8),ISNUMBER('Results'!$B$9),ISNUMBER('Inputs'!$B$6),ISNUMBER('Inputs'!$B$7),ISNUMBER('Inputs'!$B$8),ISNUMBER('Inputs'!$B$9),ISNUMBER('Inputs'!$B$10),ISNUMBER('Inputs'!$B$21),ISNUMBER('Inputs'!$B$24),ISNUMBER('Inputs'!$B$28)),((('Results'!B7*(1-'Inputs'!$B$24)*(0.5*(((I32+'Inputs'!$B$21)+'Inputs'!$B$7)/SQRT(((I32+'Inputs'!$B$21)+'Inputs'!$B$7)^2+('Inputs'!$B$6/2)^2)-((I32+'Inputs'!$B$21))/SQRT(((I32+'Inputs'!$B$21))^2+('Inputs'!$B$6/2)^2)))-'Results'!C7*(1+'Inputs'!$B$24)*(0.5*(((I32+'Inputs'!$B$21+'Inputs'!$B$7+'Inputs'!$B$10)+'Inputs'!$B$9)/SQRT(((I32+'Inputs'!$B$21+'Inputs'!$B$7+'Inputs'!$B$10)+'Inputs'!$B$9)^2+('Inputs'!$B$8/2)^2)-((I32+'Inputs'!$B$21+'Inputs'!$B$7+'Inputs'!$B$10))/SQRT(((I32+'Inputs'!$B$21+'Inputs'!$B$7+'Inputs'!$B$10))^2+('Inputs'!$B$8/2)^2))))*'Results'!$B$8*'Results'!$B$9)-'Inputs'!$B$28*ABS((('Results'!B7*(1-'Inputs'!$B$24)*(0.5*(((I32+'Inputs'!$B$21)+'Inputs'!$B$7)/SQRT(((I32+'Inputs'!$B$21)+'Inputs'!$B$7)^2+('Inputs'!$B$6/2)^2)-((I32+'Inputs'!$B$21))/SQRT(((I32+'Inputs'!$B$21))^2+('Inputs'!$B$6/2)^2)))-'Results'!C7*(1+'Inputs'!$B$24)*(0.5*(((I32+'Inputs'!$B$21+'Inputs'!$B$7+'Inputs'!$B$10)+'Inputs'!$B$9)/SQRT(((I32+'Inputs'!$B$21+'Inputs'!$B$7+'Inputs'!$B$10)+'Inputs'!$B$9)^2+('Inputs'!$B$8/2)^2)-((I32+'Inputs'!$B$21+'Inputs'!$B$7+'Inputs'!$B$10))/SQRT(((I32+'Inputs'!$B$21+'Inputs'!$B$7+'Inputs'!$B$10))^2+('Inputs'!$B$8/2)^2))))*'Results'!$B$8*'Results'!$B$9))),"")</x:f>
        <x:v>112.38228348582695</x:v>
      </x:c>
      <x:c r="K32" s="22"/>
      <x:c r="L32" s="22"/>
      <x:c r="M32" s="22" t="n">
        <x:f>IF(P31&gt;='Results'!B11,O31,M31)</x:f>
        <x:v>7.8219276666641235</x:v>
      </x:c>
      <x:c r="N32" s="22" t="n">
        <x:f>IF(P31&gt;='Results'!B11,N31,O31)</x:f>
        <x:v>7.821928262710571</x:v>
      </x:c>
      <x:c r="O32" s="22" t="n">
        <x:f>(M32+N32)/2</x:f>
        <x:v>7.821927964687347</x:v>
      </x:c>
      <x:c r="P32" s="22" t="n">
        <x:f>IF(AND(ISNUMBER('Results'!B7),ISNUMBER('Results'!C7),ISNUMBER('Results'!$B$8),ISNUMBER('Results'!$B$9),ISNUMBER('Inputs'!$B$6),ISNUMBER('Inputs'!$B$7),ISNUMBER('Inputs'!$B$8),ISNUMBER('Inputs'!$B$9),ISNUMBER('Inputs'!$B$10),ISNUMBER('Inputs'!$B$21),ISNUMBER('Inputs'!$B$24),ISNUMBER('Inputs'!$B$28)),((('Results'!B7*(1+'Inputs'!$B$24)*(0.5*(((O32+'Inputs'!$B$21)+'Inputs'!$B$7)/SQRT(((O32+'Inputs'!$B$21)+'Inputs'!$B$7)^2+('Inputs'!$B$6/2)^2)-((O32+'Inputs'!$B$21))/SQRT(((O32+'Inputs'!$B$21))^2+('Inputs'!$B$6/2)^2)))-'Results'!C7*(1-'Inputs'!$B$24)*(0.5*(((O32+'Inputs'!$B$21+'Inputs'!$B$7+'Inputs'!$B$10)+'Inputs'!$B$9)/SQRT(((O32+'Inputs'!$B$21+'Inputs'!$B$7+'Inputs'!$B$10)+'Inputs'!$B$9)^2+('Inputs'!$B$8/2)^2)-((O32+'Inputs'!$B$21+'Inputs'!$B$7+'Inputs'!$B$10))/SQRT(((O32+'Inputs'!$B$21+'Inputs'!$B$7+'Inputs'!$B$10))^2+('Inputs'!$B$8/2)^2))))*'Results'!$B$8*'Results'!$B$9)+'Inputs'!$B$28*ABS((('Results'!B7*(1+'Inputs'!$B$24)*(0.5*(((O32+'Inputs'!$B$21)+'Inputs'!$B$7)/SQRT(((O32+'Inputs'!$B$21)+'Inputs'!$B$7)^2+('Inputs'!$B$6/2)^2)-((O32+'Inputs'!$B$21))/SQRT(((O32+'Inputs'!$B$21))^2+('Inputs'!$B$6/2)^2)))-'Results'!C7*(1-'Inputs'!$B$24)*(0.5*(((O32+'Inputs'!$B$21+'Inputs'!$B$7+'Inputs'!$B$10)+'Inputs'!$B$9)/SQRT(((O32+'Inputs'!$B$21+'Inputs'!$B$7+'Inputs'!$B$10)+'Inputs'!$B$9)^2+('Inputs'!$B$8/2)^2)-((O32+'Inputs'!$B$21+'Inputs'!$B$7+'Inputs'!$B$10))/SQRT(((O32+'Inputs'!$B$21+'Inputs'!$B$7+'Inputs'!$B$10))^2+('Inputs'!$B$8/2)^2))))*'Results'!$B$8*'Results'!$B$9))),"")</x:f>
        <x:v>84.81737541124723</x:v>
      </x:c>
      <x:c r="Q32" s="22"/>
      <x:c r="R32" s="22"/>
      <x:c r="S32" s="22" t="n">
        <x:f>IF(V31&gt;='Results'!B13,U31,S31)</x:f>
        <x:v>7.8447026014328</x:v>
      </x:c>
      <x:c r="T32" s="22" t="n">
        <x:f>IF(V31&gt;='Results'!B13,T31,U31)</x:f>
        <x:v>7.844703197479248</x:v>
      </x:c>
      <x:c r="U32" s="22" t="n">
        <x:f>(S32+T32)/2</x:f>
        <x:v>7.844702899456024</x:v>
      </x:c>
      <x:c r="V32" s="22" t="n">
        <x:f>IF(AND(ISNUMBER('Results'!B7),ISNUMBER('Results'!C7),ISNUMBER('Results'!$B$8),ISNUMBER('Results'!$B$9),ISNUMBER('Inputs'!$B$6),ISNUMBER('Inputs'!$B$7),ISNUMBER('Inputs'!$B$8),ISNUMBER('Inputs'!$B$9),ISNUMBER('Inputs'!$B$10),ISNUMBER('Inputs'!$B$21),ISNUMBER('Inputs'!$B$24),ISNUMBER('Inputs'!$B$28)),(('Results'!B7*(0.5*(((U32+'Inputs'!$B$21)+'Inputs'!$B$7)/SQRT(((U32+'Inputs'!$B$21)+'Inputs'!$B$7)^2+('Inputs'!$B$6/2)^2)-((U32+'Inputs'!$B$21))/SQRT(((U32+'Inputs'!$B$21))^2+('Inputs'!$B$6/2)^2)))-'Results'!C7*(0.5*(((U32+'Inputs'!$B$21+'Inputs'!$B$7+'Inputs'!$B$10)+'Inputs'!$B$9)/SQRT(((U32+'Inputs'!$B$21+'Inputs'!$B$7+'Inputs'!$B$10)+'Inputs'!$B$9)^2+('Inputs'!$B$8/2)^2)-((U32+'Inputs'!$B$21+'Inputs'!$B$7+'Inputs'!$B$10))/SQRT(((U32+'Inputs'!$B$21+'Inputs'!$B$7+'Inputs'!$B$10))^2+('Inputs'!$B$8/2)^2))))*'Results'!$B$8*'Results'!$B$9),"")</x:f>
        <x:v>77.26349579298413</x:v>
      </x:c>
      <x:c r="W32" s="22"/>
      <x:c r="X32" s="22"/>
      <x:c r="Y32" s="22" t="n">
        <x:f>IF(AB31&gt;='Results'!B14,AA31,Y31)</x:f>
        <x:v>8.525646924972534</x:v>
      </x:c>
      <x:c r="Z32" s="22" t="n">
        <x:f>IF(AB31&gt;='Results'!B14,Z31,AA31)</x:f>
        <x:v>8.525647521018982</x:v>
      </x:c>
      <x:c r="AA32" s="22" t="n">
        <x:f>(Y32+Z32)/2</x:f>
        <x:v>8.525647222995758</x:v>
      </x:c>
      <x:c r="AB32" s="22" t="n">
        <x:f>IF(AND(ISNUMBER('Results'!B7),ISNUMBER('Results'!C7),ISNUMBER('Results'!$B$8),ISNUMBER('Results'!$B$9),ISNUMBER('Inputs'!$B$6),ISNUMBER('Inputs'!$B$7),ISNUMBER('Inputs'!$B$8),ISNUMBER('Inputs'!$B$9),ISNUMBER('Inputs'!$B$10),ISNUMBER('Inputs'!$B$21),ISNUMBER('Inputs'!$B$24),ISNUMBER('Inputs'!$B$28)),((('Results'!B7*(1+'Inputs'!$B$24)*(0.5*(((AA32+'Inputs'!$B$21)+'Inputs'!$B$7)/SQRT(((AA32+'Inputs'!$B$21)+'Inputs'!$B$7)^2+('Inputs'!$B$6/2)^2)-((AA32+'Inputs'!$B$21))/SQRT(((AA32+'Inputs'!$B$21))^2+('Inputs'!$B$6/2)^2)))-'Results'!C7*(1-'Inputs'!$B$24)*(0.5*(((AA32+'Inputs'!$B$21+'Inputs'!$B$7+'Inputs'!$B$10)+'Inputs'!$B$9)/SQRT(((AA32+'Inputs'!$B$21+'Inputs'!$B$7+'Inputs'!$B$10)+'Inputs'!$B$9)^2+('Inputs'!$B$8/2)^2)-((AA32+'Inputs'!$B$21+'Inputs'!$B$7+'Inputs'!$B$10))/SQRT(((AA32+'Inputs'!$B$21+'Inputs'!$B$7+'Inputs'!$B$10))^2+('Inputs'!$B$8/2)^2))))*'Results'!$B$8*'Results'!$B$9)+'Inputs'!$B$28*ABS((('Results'!B7*(1+'Inputs'!$B$24)*(0.5*(((AA32+'Inputs'!$B$21)+'Inputs'!$B$7)/SQRT(((AA32+'Inputs'!$B$21)+'Inputs'!$B$7)^2+('Inputs'!$B$6/2)^2)-((AA32+'Inputs'!$B$21))/SQRT(((AA32+'Inputs'!$B$21))^2+('Inputs'!$B$6/2)^2)))-'Results'!C7*(1-'Inputs'!$B$24)*(0.5*(((AA32+'Inputs'!$B$21+'Inputs'!$B$7+'Inputs'!$B$10)+'Inputs'!$B$9)/SQRT(((AA32+'Inputs'!$B$21+'Inputs'!$B$7+'Inputs'!$B$10)+'Inputs'!$B$9)^2+('Inputs'!$B$8/2)^2)-((AA32+'Inputs'!$B$21+'Inputs'!$B$7+'Inputs'!$B$10))/SQRT(((AA32+'Inputs'!$B$21+'Inputs'!$B$7+'Inputs'!$B$10))^2+('Inputs'!$B$8/2)^2))))*'Results'!$B$8*'Results'!$B$9))),"")</x:f>
        <x:v>66.90551783738408</x:v>
      </x:c>
      <x:c r="AC32" s="22"/>
      <x:c r="AD32" s="22"/>
      <x:c r="AE32" s="22" t="n">
        <x:f>IF(AH31&gt;='Results'!C10,AG31,AE31)</x:f>
        <x:v>6.922599673271179</x:v>
      </x:c>
      <x:c r="AF32" s="22" t="n">
        <x:f>IF(AH31&gt;='Results'!C10,AF31,AG31)</x:f>
        <x:v>6.922600269317627</x:v>
      </x:c>
      <x:c r="AG32" s="22" t="n">
        <x:f>(AE32+AF32)/2</x:f>
        <x:v>6.922599971294403</x:v>
      </x:c>
      <x:c r="AH32" s="22" t="n">
        <x:f>IF(AND(ISNUMBER('Results'!C7),ISNUMBER('Results'!B7),ISNUMBER('Results'!$B$8),ISNUMBER('Results'!$B$9),ISNUMBER('Inputs'!$B$6),ISNUMBER('Inputs'!$B$7),ISNUMBER('Inputs'!$B$8),ISNUMBER('Inputs'!$B$9),ISNUMBER('Inputs'!$B$10),ISNUMBER('Inputs'!$B$21),ISNUMBER('Inputs'!$B$24),ISNUMBER('Inputs'!$B$28)),(('Results'!C7*(0.5*(((AG32+'Inputs'!$B$21)+'Inputs'!$B$9)/SQRT(((AG32+'Inputs'!$B$21)+'Inputs'!$B$9)^2+('Inputs'!$B$8/2)^2)-((AG32+'Inputs'!$B$21))/SQRT(((AG32+'Inputs'!$B$21))^2+('Inputs'!$B$8/2)^2)))-'Results'!B7*(0.5*(((AG32+'Inputs'!$B$21+'Inputs'!$B$9+'Inputs'!$B$10)+'Inputs'!$B$7)/SQRT(((AG32+'Inputs'!$B$21+'Inputs'!$B$9+'Inputs'!$B$10)+'Inputs'!$B$7)^2+('Inputs'!$B$6/2)^2)-((AG32+'Inputs'!$B$21+'Inputs'!$B$9+'Inputs'!$B$10))/SQRT(((AG32+'Inputs'!$B$21+'Inputs'!$B$9+'Inputs'!$B$10))^2+('Inputs'!$B$6/2)^2))))*'Results'!$B$8*'Results'!$B$9),"")</x:f>
        <x:v>104.00874358808841</x:v>
      </x:c>
      <x:c r="AI32" s="22"/>
      <x:c r="AJ32" s="22"/>
      <x:c r="AK32" s="22" t="n">
        <x:f>IF(AN31&gt;='Results'!C12,AM31,AK31)</x:f>
        <x:v>6.3452982902526855</x:v>
      </x:c>
      <x:c r="AL32" s="22" t="n">
        <x:f>IF(AN31&gt;='Results'!C12,AL31,AM31)</x:f>
        <x:v>6.345298886299133</x:v>
      </x:c>
      <x:c r="AM32" s="22" t="n">
        <x:f>(AK32+AL32)/2</x:f>
        <x:v>6.345298588275909</x:v>
      </x:c>
      <x:c r="AN32" s="22" t="n">
        <x:f>IF(AND(ISNUMBER('Results'!C7),ISNUMBER('Results'!B7),ISNUMBER('Results'!$B$8),ISNUMBER('Results'!$B$9),ISNUMBER('Inputs'!$B$6),ISNUMBER('Inputs'!$B$7),ISNUMBER('Inputs'!$B$8),ISNUMBER('Inputs'!$B$9),ISNUMBER('Inputs'!$B$10),ISNUMBER('Inputs'!$B$21),ISNUMBER('Inputs'!$B$24),ISNUMBER('Inputs'!$B$28)),((('Results'!C7*(1-'Inputs'!$B$24)*(0.5*(((AM32+'Inputs'!$B$21)+'Inputs'!$B$9)/SQRT(((AM32+'Inputs'!$B$21)+'Inputs'!$B$9)^2+('Inputs'!$B$8/2)^2)-((AM32+'Inputs'!$B$21))/SQRT(((AM32+'Inputs'!$B$21))^2+('Inputs'!$B$8/2)^2)))-'Results'!B7*(1+'Inputs'!$B$24)*(0.5*(((AM32+'Inputs'!$B$21+'Inputs'!$B$9+'Inputs'!$B$10)+'Inputs'!$B$7)/SQRT(((AM32+'Inputs'!$B$21+'Inputs'!$B$9+'Inputs'!$B$10)+'Inputs'!$B$7)^2+('Inputs'!$B$6/2)^2)-((AM32+'Inputs'!$B$21+'Inputs'!$B$9+'Inputs'!$B$10))/SQRT(((AM32+'Inputs'!$B$21+'Inputs'!$B$9+'Inputs'!$B$10))^2+('Inputs'!$B$6/2)^2))))*'Results'!$B$8*'Results'!$B$9)-'Inputs'!$B$28*ABS((('Results'!C7*(1-'Inputs'!$B$24)*(0.5*(((AM32+'Inputs'!$B$21)+'Inputs'!$B$9)/SQRT(((AM32+'Inputs'!$B$21)+'Inputs'!$B$9)^2+('Inputs'!$B$8/2)^2)-((AM32+'Inputs'!$B$21))/SQRT(((AM32+'Inputs'!$B$21))^2+('Inputs'!$B$8/2)^2)))-'Results'!B7*(1+'Inputs'!$B$24)*(0.5*(((AM32+'Inputs'!$B$21+'Inputs'!$B$9+'Inputs'!$B$10)+'Inputs'!$B$7)/SQRT(((AM32+'Inputs'!$B$21+'Inputs'!$B$9+'Inputs'!$B$10)+'Inputs'!$B$7)^2+('Inputs'!$B$6/2)^2)-((AM32+'Inputs'!$B$21+'Inputs'!$B$9+'Inputs'!$B$10))/SQRT(((AM32+'Inputs'!$B$21+'Inputs'!$B$9+'Inputs'!$B$10))^2+('Inputs'!$B$6/2)^2))))*'Results'!$B$8*'Results'!$B$9))),"")</x:f>
        <x:v>119.21787557369383</x:v>
      </x:c>
      <x:c r="AO32" s="22"/>
      <x:c r="AP32" s="22"/>
      <x:c r="AQ32" s="22" t="n">
        <x:f>IF(AT31&gt;='Results'!C11,AS31,AQ31)</x:f>
        <x:v>7.551206350326538</x:v>
      </x:c>
      <x:c r="AR32" s="22" t="n">
        <x:f>IF(AT31&gt;='Results'!C11,AR31,AS31)</x:f>
        <x:v>7.551206946372986</x:v>
      </x:c>
      <x:c r="AS32" s="22" t="n">
        <x:f>(AQ32+AR32)/2</x:f>
        <x:v>7.551206648349762</x:v>
      </x:c>
      <x:c r="AT32" s="22" t="n">
        <x:f>IF(AND(ISNUMBER('Results'!C7),ISNUMBER('Results'!B7),ISNUMBER('Results'!$B$8),ISNUMBER('Results'!$B$9),ISNUMBER('Inputs'!$B$6),ISNUMBER('Inputs'!$B$7),ISNUMBER('Inputs'!$B$8),ISNUMBER('Inputs'!$B$9),ISNUMBER('Inputs'!$B$10),ISNUMBER('Inputs'!$B$21),ISNUMBER('Inputs'!$B$24),ISNUMBER('Inputs'!$B$28)),((('Results'!C7*(1+'Inputs'!$B$24)*(0.5*(((AS32+'Inputs'!$B$21)+'Inputs'!$B$9)/SQRT(((AS32+'Inputs'!$B$21)+'Inputs'!$B$9)^2+('Inputs'!$B$8/2)^2)-((AS32+'Inputs'!$B$21))/SQRT(((AS32+'Inputs'!$B$21))^2+('Inputs'!$B$8/2)^2)))-'Results'!B7*(1-'Inputs'!$B$24)*(0.5*(((AS32+'Inputs'!$B$21+'Inputs'!$B$9+'Inputs'!$B$10)+'Inputs'!$B$7)/SQRT(((AS32+'Inputs'!$B$21+'Inputs'!$B$9+'Inputs'!$B$10)+'Inputs'!$B$7)^2+('Inputs'!$B$6/2)^2)-((AS32+'Inputs'!$B$21+'Inputs'!$B$9+'Inputs'!$B$10))/SQRT(((AS32+'Inputs'!$B$21+'Inputs'!$B$9+'Inputs'!$B$10))^2+('Inputs'!$B$6/2)^2))))*'Results'!$B$8*'Results'!$B$9)+'Inputs'!$B$28*ABS((('Results'!C7*(1+'Inputs'!$B$24)*(0.5*(((AS32+'Inputs'!$B$21)+'Inputs'!$B$9)/SQRT(((AS32+'Inputs'!$B$21)+'Inputs'!$B$9)^2+('Inputs'!$B$8/2)^2)-((AS32+'Inputs'!$B$21))/SQRT(((AS32+'Inputs'!$B$21))^2+('Inputs'!$B$8/2)^2)))-'Results'!B7*(1-'Inputs'!$B$24)*(0.5*(((AS32+'Inputs'!$B$21+'Inputs'!$B$9+'Inputs'!$B$10)+'Inputs'!$B$7)/SQRT(((AS32+'Inputs'!$B$21+'Inputs'!$B$9+'Inputs'!$B$10)+'Inputs'!$B$7)^2+('Inputs'!$B$6/2)^2)-((AS32+'Inputs'!$B$21+'Inputs'!$B$9+'Inputs'!$B$10))/SQRT(((AS32+'Inputs'!$B$21+'Inputs'!$B$9+'Inputs'!$B$10))^2+('Inputs'!$B$6/2)^2))))*'Results'!$B$8*'Results'!$B$9))),"")</x:f>
        <x:v>89.91249209928904</x:v>
      </x:c>
      <x:c r="AU32" s="22"/>
      <x:c r="AV32" s="22"/>
      <x:c r="AW32" s="22" t="n">
        <x:f>IF(AZ31&gt;='Results'!C13,AY31,AW31)</x:f>
        <x:v>7.582727670669556</x:v>
      </x:c>
      <x:c r="AX32" s="22" t="n">
        <x:f>IF(AZ31&gt;='Results'!C13,AX31,AY31)</x:f>
        <x:v>7.582728266716003</x:v>
      </x:c>
      <x:c r="AY32" s="22" t="n">
        <x:f>(AW32+AX32)/2</x:f>
        <x:v>7.5827279686927795</x:v>
      </x:c>
      <x:c r="AZ32" s="22" t="n">
        <x:f>IF(AND(ISNUMBER('Results'!C7),ISNUMBER('Results'!B7),ISNUMBER('Results'!$B$8),ISNUMBER('Results'!$B$9),ISNUMBER('Inputs'!$B$6),ISNUMBER('Inputs'!$B$7),ISNUMBER('Inputs'!$B$8),ISNUMBER('Inputs'!$B$9),ISNUMBER('Inputs'!$B$10),ISNUMBER('Inputs'!$B$21),ISNUMBER('Inputs'!$B$24),ISNUMBER('Inputs'!$B$28)),(('Results'!C7*(0.5*(((AY32+'Inputs'!$B$21)+'Inputs'!$B$9)/SQRT(((AY32+'Inputs'!$B$21)+'Inputs'!$B$9)^2+('Inputs'!$B$8/2)^2)-((AY32+'Inputs'!$B$21))/SQRT(((AY32+'Inputs'!$B$21))^2+('Inputs'!$B$8/2)^2)))-'Results'!B7*(0.5*(((AY32+'Inputs'!$B$21+'Inputs'!$B$9+'Inputs'!$B$10)+'Inputs'!$B$7)/SQRT(((AY32+'Inputs'!$B$21+'Inputs'!$B$9+'Inputs'!$B$10)+'Inputs'!$B$7)^2+('Inputs'!$B$6/2)^2)-((AY32+'Inputs'!$B$21+'Inputs'!$B$9+'Inputs'!$B$10))/SQRT(((AY32+'Inputs'!$B$21+'Inputs'!$B$9+'Inputs'!$B$10))^2+('Inputs'!$B$6/2)^2))))*'Results'!$B$8*'Results'!$B$9),"")</x:f>
        <x:v>81.60119226316957</x:v>
      </x:c>
      <x:c r="BA32" s="22"/>
      <x:c r="BB32" s="22"/>
      <x:c r="BC32" s="22" t="n">
        <x:f>IF(BF31&gt;='Results'!C14,BE31,BC31)</x:f>
        <x:v>8.246886134147644</x:v>
      </x:c>
      <x:c r="BD32" s="22" t="n">
        <x:f>IF(BF31&gt;='Results'!C14,BD31,BE31)</x:f>
        <x:v>8.246886730194092</x:v>
      </x:c>
      <x:c r="BE32" s="22" t="n">
        <x:f>(BC32+BD32)/2</x:f>
        <x:v>8.246886432170868</x:v>
      </x:c>
      <x:c r="BF32" s="22" t="n">
        <x:f>IF(AND(ISNUMBER('Results'!C7),ISNUMBER('Results'!B7),ISNUMBER('Results'!$B$8),ISNUMBER('Results'!$B$9),ISNUMBER('Inputs'!$B$6),ISNUMBER('Inputs'!$B$7),ISNUMBER('Inputs'!$B$8),ISNUMBER('Inputs'!$B$9),ISNUMBER('Inputs'!$B$10),ISNUMBER('Inputs'!$B$21),ISNUMBER('Inputs'!$B$24),ISNUMBER('Inputs'!$B$28)),((('Results'!C7*(1+'Inputs'!$B$24)*(0.5*(((BE32+'Inputs'!$B$21)+'Inputs'!$B$9)/SQRT(((BE32+'Inputs'!$B$21)+'Inputs'!$B$9)^2+('Inputs'!$B$8/2)^2)-((BE32+'Inputs'!$B$21))/SQRT(((BE32+'Inputs'!$B$21))^2+('Inputs'!$B$8/2)^2)))-'Results'!B7*(1-'Inputs'!$B$24)*(0.5*(((BE32+'Inputs'!$B$21+'Inputs'!$B$9+'Inputs'!$B$10)+'Inputs'!$B$7)/SQRT(((BE32+'Inputs'!$B$21+'Inputs'!$B$9+'Inputs'!$B$10)+'Inputs'!$B$7)^2+('Inputs'!$B$6/2)^2)-((BE32+'Inputs'!$B$21+'Inputs'!$B$9+'Inputs'!$B$10))/SQRT(((BE32+'Inputs'!$B$21+'Inputs'!$B$9+'Inputs'!$B$10))^2+('Inputs'!$B$6/2)^2))))*'Results'!$B$8*'Results'!$B$9)+'Inputs'!$B$28*ABS((('Results'!C7*(1+'Inputs'!$B$24)*(0.5*(((BE32+'Inputs'!$B$21)+'Inputs'!$B$9)/SQRT(((BE32+'Inputs'!$B$21)+'Inputs'!$B$9)^2+('Inputs'!$B$8/2)^2)-((BE32+'Inputs'!$B$21))/SQRT(((BE32+'Inputs'!$B$21))^2+('Inputs'!$B$8/2)^2)))-'Results'!B7*(1-'Inputs'!$B$24)*(0.5*(((BE32+'Inputs'!$B$21+'Inputs'!$B$9+'Inputs'!$B$10)+'Inputs'!$B$7)/SQRT(((BE32+'Inputs'!$B$21+'Inputs'!$B$9+'Inputs'!$B$10)+'Inputs'!$B$7)^2+('Inputs'!$B$6/2)^2)-((BE32+'Inputs'!$B$21+'Inputs'!$B$9+'Inputs'!$B$10))/SQRT(((BE32+'Inputs'!$B$21+'Inputs'!$B$9+'Inputs'!$B$10))^2+('Inputs'!$B$6/2)^2))))*'Results'!$B$8*'Results'!$B$9))),"")</x:f>
        <x:v>70.6402052157649</x:v>
      </x:c>
      <x:c r="BG32" s="22"/>
      <x:c r="BH32" s="22"/>
    </x:row>
    <x:row r="33" ht="22" customHeight="1">
      <x:c r="A33" s="22" t="n">
        <x:f>IF(D32&gt;='Results'!B10,C32,A32)</x:f>
        <x:v>7.17763215303421</x:v>
      </x:c>
      <x:c r="B33" s="22" t="n">
        <x:f>IF(D32&gt;='Results'!B10,B32,C32)</x:f>
        <x:v>7.177632451057434</x:v>
      </x:c>
      <x:c r="C33" s="22" t="n">
        <x:f>(A33+B33)/2</x:f>
        <x:v>7.177632302045822</x:v>
      </x:c>
      <x:c r="D33" s="22" t="n">
        <x:f>IF(AND(ISNUMBER('Results'!B7),ISNUMBER('Results'!C7),ISNUMBER('Results'!$B$8),ISNUMBER('Results'!$B$9),ISNUMBER('Inputs'!$B$6),ISNUMBER('Inputs'!$B$7),ISNUMBER('Inputs'!$B$8),ISNUMBER('Inputs'!$B$9),ISNUMBER('Inputs'!$B$10),ISNUMBER('Inputs'!$B$21),ISNUMBER('Inputs'!$B$24),ISNUMBER('Inputs'!$B$28)),(('Results'!B7*(0.5*(((C33+'Inputs'!$B$21)+'Inputs'!$B$7)/SQRT(((C33+'Inputs'!$B$21)+'Inputs'!$B$7)^2+('Inputs'!$B$6/2)^2)-((C33+'Inputs'!$B$21))/SQRT(((C33+'Inputs'!$B$21))^2+('Inputs'!$B$6/2)^2)))-'Results'!C7*(0.5*(((C33+'Inputs'!$B$21+'Inputs'!$B$7+'Inputs'!$B$10)+'Inputs'!$B$9)/SQRT(((C33+'Inputs'!$B$21+'Inputs'!$B$7+'Inputs'!$B$10)+'Inputs'!$B$9)^2+('Inputs'!$B$8/2)^2)-((C33+'Inputs'!$B$21+'Inputs'!$B$7+'Inputs'!$B$10))/SQRT(((C33+'Inputs'!$B$21+'Inputs'!$B$7+'Inputs'!$B$10))^2+('Inputs'!$B$8/2)^2))))*'Results'!$B$8*'Results'!$B$9),"")</x:f>
        <x:v>98.08114551384136</x:v>
      </x:c>
      <x:c r="E33" s="22"/>
      <x:c r="F33" s="22"/>
      <x:c r="G33" s="22" t="n">
        <x:f>IF(J32&gt;='Results'!B12,I32,G32)</x:f>
        <x:v>6.586603820323944</x:v>
      </x:c>
      <x:c r="H33" s="22" t="n">
        <x:f>IF(J32&gt;='Results'!B12,H32,I32)</x:f>
        <x:v>6.586604118347168</x:v>
      </x:c>
      <x:c r="I33" s="22" t="n">
        <x:f>(G33+H33)/2</x:f>
        <x:v>6.586603969335556</x:v>
      </x:c>
      <x:c r="J33" s="22" t="n">
        <x:f>IF(AND(ISNUMBER('Results'!B7),ISNUMBER('Results'!C7),ISNUMBER('Results'!$B$8),ISNUMBER('Results'!$B$9),ISNUMBER('Inputs'!$B$6),ISNUMBER('Inputs'!$B$7),ISNUMBER('Inputs'!$B$8),ISNUMBER('Inputs'!$B$9),ISNUMBER('Inputs'!$B$10),ISNUMBER('Inputs'!$B$21),ISNUMBER('Inputs'!$B$24),ISNUMBER('Inputs'!$B$28)),((('Results'!B7*(1-'Inputs'!$B$24)*(0.5*(((I33+'Inputs'!$B$21)+'Inputs'!$B$7)/SQRT(((I33+'Inputs'!$B$21)+'Inputs'!$B$7)^2+('Inputs'!$B$6/2)^2)-((I33+'Inputs'!$B$21))/SQRT(((I33+'Inputs'!$B$21))^2+('Inputs'!$B$6/2)^2)))-'Results'!C7*(1+'Inputs'!$B$24)*(0.5*(((I33+'Inputs'!$B$21+'Inputs'!$B$7+'Inputs'!$B$10)+'Inputs'!$B$9)/SQRT(((I33+'Inputs'!$B$21+'Inputs'!$B$7+'Inputs'!$B$10)+'Inputs'!$B$9)^2+('Inputs'!$B$8/2)^2)-((I33+'Inputs'!$B$21+'Inputs'!$B$7+'Inputs'!$B$10))/SQRT(((I33+'Inputs'!$B$21+'Inputs'!$B$7+'Inputs'!$B$10))^2+('Inputs'!$B$8/2)^2))))*'Results'!$B$8*'Results'!$B$9)-'Inputs'!$B$28*ABS((('Results'!B7*(1-'Inputs'!$B$24)*(0.5*(((I33+'Inputs'!$B$21)+'Inputs'!$B$7)/SQRT(((I33+'Inputs'!$B$21)+'Inputs'!$B$7)^2+('Inputs'!$B$6/2)^2)-((I33+'Inputs'!$B$21))/SQRT(((I33+'Inputs'!$B$21))^2+('Inputs'!$B$6/2)^2)))-'Results'!C7*(1+'Inputs'!$B$24)*(0.5*(((I33+'Inputs'!$B$21+'Inputs'!$B$7+'Inputs'!$B$10)+'Inputs'!$B$9)/SQRT(((I33+'Inputs'!$B$21+'Inputs'!$B$7+'Inputs'!$B$10)+'Inputs'!$B$9)^2+('Inputs'!$B$8/2)^2)-((I33+'Inputs'!$B$21+'Inputs'!$B$7+'Inputs'!$B$10))/SQRT(((I33+'Inputs'!$B$21+'Inputs'!$B$7+'Inputs'!$B$10))^2+('Inputs'!$B$8/2)^2))))*'Results'!$B$8*'Results'!$B$9))),"")</x:f>
        <x:v>112.38227698967337</x:v>
      </x:c>
      <x:c r="K33" s="22"/>
      <x:c r="L33" s="22"/>
      <x:c r="M33" s="22" t="n">
        <x:f>IF(P32&gt;='Results'!B11,O32,M32)</x:f>
        <x:v>7.821927964687347</x:v>
      </x:c>
      <x:c r="N33" s="22" t="n">
        <x:f>IF(P32&gt;='Results'!B11,N32,O32)</x:f>
        <x:v>7.821928262710571</x:v>
      </x:c>
      <x:c r="O33" s="22" t="n">
        <x:f>(M33+N33)/2</x:f>
        <x:v>7.821928113698959</x:v>
      </x:c>
      <x:c r="P33" s="22" t="n">
        <x:f>IF(AND(ISNUMBER('Results'!B7),ISNUMBER('Results'!C7),ISNUMBER('Results'!$B$8),ISNUMBER('Results'!$B$9),ISNUMBER('Inputs'!$B$6),ISNUMBER('Inputs'!$B$7),ISNUMBER('Inputs'!$B$8),ISNUMBER('Inputs'!$B$9),ISNUMBER('Inputs'!$B$10),ISNUMBER('Inputs'!$B$21),ISNUMBER('Inputs'!$B$24),ISNUMBER('Inputs'!$B$28)),((('Results'!B7*(1+'Inputs'!$B$24)*(0.5*(((O33+'Inputs'!$B$21)+'Inputs'!$B$7)/SQRT(((O33+'Inputs'!$B$21)+'Inputs'!$B$7)^2+('Inputs'!$B$6/2)^2)-((O33+'Inputs'!$B$21))/SQRT(((O33+'Inputs'!$B$21))^2+('Inputs'!$B$6/2)^2)))-'Results'!C7*(1-'Inputs'!$B$24)*(0.5*(((O33+'Inputs'!$B$21+'Inputs'!$B$7+'Inputs'!$B$10)+'Inputs'!$B$9)/SQRT(((O33+'Inputs'!$B$21+'Inputs'!$B$7+'Inputs'!$B$10)+'Inputs'!$B$9)^2+('Inputs'!$B$8/2)^2)-((O33+'Inputs'!$B$21+'Inputs'!$B$7+'Inputs'!$B$10))/SQRT(((O33+'Inputs'!$B$21+'Inputs'!$B$7+'Inputs'!$B$10))^2+('Inputs'!$B$8/2)^2))))*'Results'!$B$8*'Results'!$B$9)+'Inputs'!$B$28*ABS((('Results'!B7*(1+'Inputs'!$B$24)*(0.5*(((O33+'Inputs'!$B$21)+'Inputs'!$B$7)/SQRT(((O33+'Inputs'!$B$21)+'Inputs'!$B$7)^2+('Inputs'!$B$6/2)^2)-((O33+'Inputs'!$B$21))/SQRT(((O33+'Inputs'!$B$21))^2+('Inputs'!$B$6/2)^2)))-'Results'!C7*(1-'Inputs'!$B$24)*(0.5*(((O33+'Inputs'!$B$21+'Inputs'!$B$7+'Inputs'!$B$10)+'Inputs'!$B$9)/SQRT(((O33+'Inputs'!$B$21+'Inputs'!$B$7+'Inputs'!$B$10)+'Inputs'!$B$9)^2+('Inputs'!$B$8/2)^2)-((O33+'Inputs'!$B$21+'Inputs'!$B$7+'Inputs'!$B$10))/SQRT(((O33+'Inputs'!$B$21+'Inputs'!$B$7+'Inputs'!$B$10))^2+('Inputs'!$B$8/2)^2))))*'Results'!$B$8*'Results'!$B$9))),"")</x:f>
        <x:v>84.81737103079415</x:v>
      </x:c>
      <x:c r="Q33" s="22"/>
      <x:c r="R33" s="22"/>
      <x:c r="S33" s="22" t="n">
        <x:f>IF(V32&gt;='Results'!B13,U32,S32)</x:f>
        <x:v>7.844702899456024</x:v>
      </x:c>
      <x:c r="T33" s="22" t="n">
        <x:f>IF(V32&gt;='Results'!B13,T32,U32)</x:f>
        <x:v>7.844703197479248</x:v>
      </x:c>
      <x:c r="U33" s="22" t="n">
        <x:f>(S33+T33)/2</x:f>
        <x:v>7.844703048467636</x:v>
      </x:c>
      <x:c r="V33" s="22" t="n">
        <x:f>IF(AND(ISNUMBER('Results'!B7),ISNUMBER('Results'!C7),ISNUMBER('Results'!$B$8),ISNUMBER('Results'!$B$9),ISNUMBER('Inputs'!$B$6),ISNUMBER('Inputs'!$B$7),ISNUMBER('Inputs'!$B$8),ISNUMBER('Inputs'!$B$9),ISNUMBER('Inputs'!$B$10),ISNUMBER('Inputs'!$B$21),ISNUMBER('Inputs'!$B$24),ISNUMBER('Inputs'!$B$28)),(('Results'!B7*(0.5*(((U33+'Inputs'!$B$21)+'Inputs'!$B$7)/SQRT(((U33+'Inputs'!$B$21)+'Inputs'!$B$7)^2+('Inputs'!$B$6/2)^2)-((U33+'Inputs'!$B$21))/SQRT(((U33+'Inputs'!$B$21))^2+('Inputs'!$B$6/2)^2)))-'Results'!C7*(0.5*(((U33+'Inputs'!$B$21+'Inputs'!$B$7+'Inputs'!$B$10)+'Inputs'!$B$9)/SQRT(((U33+'Inputs'!$B$21+'Inputs'!$B$7+'Inputs'!$B$10)+'Inputs'!$B$9)^2+('Inputs'!$B$8/2)^2)-((U33+'Inputs'!$B$21+'Inputs'!$B$7+'Inputs'!$B$10))/SQRT(((U33+'Inputs'!$B$21+'Inputs'!$B$7+'Inputs'!$B$10))^2+('Inputs'!$B$8/2)^2))))*'Results'!$B$8*'Results'!$B$9),"")</x:f>
        <x:v>77.26349178444961</x:v>
      </x:c>
      <x:c r="W33" s="22"/>
      <x:c r="X33" s="22"/>
      <x:c r="Y33" s="22" t="n">
        <x:f>IF(AB32&gt;='Results'!B14,AA32,Y32)</x:f>
        <x:v>8.525647222995758</x:v>
      </x:c>
      <x:c r="Z33" s="22" t="n">
        <x:f>IF(AB32&gt;='Results'!B14,Z32,AA32)</x:f>
        <x:v>8.525647521018982</x:v>
      </x:c>
      <x:c r="AA33" s="22" t="n">
        <x:f>(Y33+Z33)/2</x:f>
        <x:v>8.52564737200737</x:v>
      </x:c>
      <x:c r="AB33" s="22" t="n">
        <x:f>IF(AND(ISNUMBER('Results'!B7),ISNUMBER('Results'!C7),ISNUMBER('Results'!$B$8),ISNUMBER('Results'!$B$9),ISNUMBER('Inputs'!$B$6),ISNUMBER('Inputs'!$B$7),ISNUMBER('Inputs'!$B$8),ISNUMBER('Inputs'!$B$9),ISNUMBER('Inputs'!$B$10),ISNUMBER('Inputs'!$B$21),ISNUMBER('Inputs'!$B$24),ISNUMBER('Inputs'!$B$28)),((('Results'!B7*(1+'Inputs'!$B$24)*(0.5*(((AA33+'Inputs'!$B$21)+'Inputs'!$B$7)/SQRT(((AA33+'Inputs'!$B$21)+'Inputs'!$B$7)^2+('Inputs'!$B$6/2)^2)-((AA33+'Inputs'!$B$21))/SQRT(((AA33+'Inputs'!$B$21))^2+('Inputs'!$B$6/2)^2)))-'Results'!C7*(1-'Inputs'!$B$24)*(0.5*(((AA33+'Inputs'!$B$21+'Inputs'!$B$7+'Inputs'!$B$10)+'Inputs'!$B$9)/SQRT(((AA33+'Inputs'!$B$21+'Inputs'!$B$7+'Inputs'!$B$10)+'Inputs'!$B$9)^2+('Inputs'!$B$8/2)^2)-((AA33+'Inputs'!$B$21+'Inputs'!$B$7+'Inputs'!$B$10))/SQRT(((AA33+'Inputs'!$B$21+'Inputs'!$B$7+'Inputs'!$B$10))^2+('Inputs'!$B$8/2)^2))))*'Results'!$B$8*'Results'!$B$9)+'Inputs'!$B$28*ABS((('Results'!B7*(1+'Inputs'!$B$24)*(0.5*(((AA33+'Inputs'!$B$21)+'Inputs'!$B$7)/SQRT(((AA33+'Inputs'!$B$21)+'Inputs'!$B$7)^2+('Inputs'!$B$6/2)^2)-((AA33+'Inputs'!$B$21))/SQRT(((AA33+'Inputs'!$B$21))^2+('Inputs'!$B$6/2)^2)))-'Results'!C7*(1-'Inputs'!$B$24)*(0.5*(((AA33+'Inputs'!$B$21+'Inputs'!$B$7+'Inputs'!$B$10)+'Inputs'!$B$9)/SQRT(((AA33+'Inputs'!$B$21+'Inputs'!$B$7+'Inputs'!$B$10)+'Inputs'!$B$9)^2+('Inputs'!$B$8/2)^2)-((AA33+'Inputs'!$B$21+'Inputs'!$B$7+'Inputs'!$B$10))/SQRT(((AA33+'Inputs'!$B$21+'Inputs'!$B$7+'Inputs'!$B$10))^2+('Inputs'!$B$8/2)^2))))*'Results'!$B$8*'Results'!$B$9))),"")</x:f>
        <x:v>66.90551456855907</x:v>
      </x:c>
      <x:c r="AC33" s="22"/>
      <x:c r="AD33" s="22"/>
      <x:c r="AE33" s="22" t="n">
        <x:f>IF(AH32&gt;='Results'!C10,AG32,AE32)</x:f>
        <x:v>6.922599971294403</x:v>
      </x:c>
      <x:c r="AF33" s="22" t="n">
        <x:f>IF(AH32&gt;='Results'!C10,AF32,AG32)</x:f>
        <x:v>6.922600269317627</x:v>
      </x:c>
      <x:c r="AG33" s="22" t="n">
        <x:f>(AE33+AF33)/2</x:f>
        <x:v>6.922600120306015</x:v>
      </x:c>
      <x:c r="AH33" s="22" t="n">
        <x:f>IF(AND(ISNUMBER('Results'!C7),ISNUMBER('Results'!B7),ISNUMBER('Results'!$B$8),ISNUMBER('Results'!$B$9),ISNUMBER('Inputs'!$B$6),ISNUMBER('Inputs'!$B$7),ISNUMBER('Inputs'!$B$8),ISNUMBER('Inputs'!$B$9),ISNUMBER('Inputs'!$B$10),ISNUMBER('Inputs'!$B$21),ISNUMBER('Inputs'!$B$24),ISNUMBER('Inputs'!$B$28)),(('Results'!C7*(0.5*(((AG33+'Inputs'!$B$21)+'Inputs'!$B$9)/SQRT(((AG33+'Inputs'!$B$21)+'Inputs'!$B$9)^2+('Inputs'!$B$8/2)^2)-((AG33+'Inputs'!$B$21))/SQRT(((AG33+'Inputs'!$B$21))^2+('Inputs'!$B$8/2)^2)))-'Results'!B7*(0.5*(((AG33+'Inputs'!$B$21+'Inputs'!$B$9+'Inputs'!$B$10)+'Inputs'!$B$7)/SQRT(((AG33+'Inputs'!$B$21+'Inputs'!$B$9+'Inputs'!$B$10)+'Inputs'!$B$7)^2+('Inputs'!$B$6/2)^2)-((AG33+'Inputs'!$B$21+'Inputs'!$B$9+'Inputs'!$B$10))/SQRT(((AG33+'Inputs'!$B$21+'Inputs'!$B$9+'Inputs'!$B$10))^2+('Inputs'!$B$6/2)^2))))*'Results'!$B$8*'Results'!$B$9),"")</x:f>
        <x:v>104.00873773835747</x:v>
      </x:c>
      <x:c r="AI33" s="22"/>
      <x:c r="AJ33" s="22"/>
      <x:c r="AK33" s="22" t="n">
        <x:f>IF(AN32&gt;='Results'!C12,AM32,AK32)</x:f>
        <x:v>6.345298588275909</x:v>
      </x:c>
      <x:c r="AL33" s="22" t="n">
        <x:f>IF(AN32&gt;='Results'!C12,AL32,AM32)</x:f>
        <x:v>6.345298886299133</x:v>
      </x:c>
      <x:c r="AM33" s="22" t="n">
        <x:f>(AK33+AL33)/2</x:f>
        <x:v>6.345298737287521</x:v>
      </x:c>
      <x:c r="AN33" s="22" t="n">
        <x:f>IF(AND(ISNUMBER('Results'!C7),ISNUMBER('Results'!B7),ISNUMBER('Results'!$B$8),ISNUMBER('Results'!$B$9),ISNUMBER('Inputs'!$B$6),ISNUMBER('Inputs'!$B$7),ISNUMBER('Inputs'!$B$8),ISNUMBER('Inputs'!$B$9),ISNUMBER('Inputs'!$B$10),ISNUMBER('Inputs'!$B$21),ISNUMBER('Inputs'!$B$24),ISNUMBER('Inputs'!$B$28)),((('Results'!C7*(1-'Inputs'!$B$24)*(0.5*(((AM33+'Inputs'!$B$21)+'Inputs'!$B$9)/SQRT(((AM33+'Inputs'!$B$21)+'Inputs'!$B$9)^2+('Inputs'!$B$8/2)^2)-((AM33+'Inputs'!$B$21))/SQRT(((AM33+'Inputs'!$B$21))^2+('Inputs'!$B$8/2)^2)))-'Results'!B7*(1+'Inputs'!$B$24)*(0.5*(((AM33+'Inputs'!$B$21+'Inputs'!$B$9+'Inputs'!$B$10)+'Inputs'!$B$7)/SQRT(((AM33+'Inputs'!$B$21+'Inputs'!$B$9+'Inputs'!$B$10)+'Inputs'!$B$7)^2+('Inputs'!$B$6/2)^2)-((AM33+'Inputs'!$B$21+'Inputs'!$B$9+'Inputs'!$B$10))/SQRT(((AM33+'Inputs'!$B$21+'Inputs'!$B$9+'Inputs'!$B$10))^2+('Inputs'!$B$6/2)^2))))*'Results'!$B$8*'Results'!$B$9)-'Inputs'!$B$28*ABS((('Results'!C7*(1-'Inputs'!$B$24)*(0.5*(((AM33+'Inputs'!$B$21)+'Inputs'!$B$9)/SQRT(((AM33+'Inputs'!$B$21)+'Inputs'!$B$9)^2+('Inputs'!$B$8/2)^2)-((AM33+'Inputs'!$B$21))/SQRT(((AM33+'Inputs'!$B$21))^2+('Inputs'!$B$8/2)^2)))-'Results'!B7*(1+'Inputs'!$B$24)*(0.5*(((AM33+'Inputs'!$B$21+'Inputs'!$B$9+'Inputs'!$B$10)+'Inputs'!$B$7)/SQRT(((AM33+'Inputs'!$B$21+'Inputs'!$B$9+'Inputs'!$B$10)+'Inputs'!$B$7)^2+('Inputs'!$B$6/2)^2)-((AM33+'Inputs'!$B$21+'Inputs'!$B$9+'Inputs'!$B$10))/SQRT(((AM33+'Inputs'!$B$21+'Inputs'!$B$9+'Inputs'!$B$10))^2+('Inputs'!$B$6/2)^2))))*'Results'!$B$8*'Results'!$B$9))),"")</x:f>
        <x:v>119.21786850174527</x:v>
      </x:c>
      <x:c r="AO33" s="22"/>
      <x:c r="AP33" s="22"/>
      <x:c r="AQ33" s="22" t="n">
        <x:f>IF(AT32&gt;='Results'!C11,AS32,AQ32)</x:f>
        <x:v>7.551206648349762</x:v>
      </x:c>
      <x:c r="AR33" s="22" t="n">
        <x:f>IF(AT32&gt;='Results'!C11,AR32,AS32)</x:f>
        <x:v>7.551206946372986</x:v>
      </x:c>
      <x:c r="AS33" s="22" t="n">
        <x:f>(AQ33+AR33)/2</x:f>
        <x:v>7.551206797361374</x:v>
      </x:c>
      <x:c r="AT33" s="22" t="n">
        <x:f>IF(AND(ISNUMBER('Results'!C7),ISNUMBER('Results'!B7),ISNUMBER('Results'!$B$8),ISNUMBER('Results'!$B$9),ISNUMBER('Inputs'!$B$6),ISNUMBER('Inputs'!$B$7),ISNUMBER('Inputs'!$B$8),ISNUMBER('Inputs'!$B$9),ISNUMBER('Inputs'!$B$10),ISNUMBER('Inputs'!$B$21),ISNUMBER('Inputs'!$B$24),ISNUMBER('Inputs'!$B$28)),((('Results'!C7*(1+'Inputs'!$B$24)*(0.5*(((AS33+'Inputs'!$B$21)+'Inputs'!$B$9)/SQRT(((AS33+'Inputs'!$B$21)+'Inputs'!$B$9)^2+('Inputs'!$B$8/2)^2)-((AS33+'Inputs'!$B$21))/SQRT(((AS33+'Inputs'!$B$21))^2+('Inputs'!$B$8/2)^2)))-'Results'!B7*(1-'Inputs'!$B$24)*(0.5*(((AS33+'Inputs'!$B$21+'Inputs'!$B$9+'Inputs'!$B$10)+'Inputs'!$B$7)/SQRT(((AS33+'Inputs'!$B$21+'Inputs'!$B$9+'Inputs'!$B$10)+'Inputs'!$B$7)^2+('Inputs'!$B$6/2)^2)-((AS33+'Inputs'!$B$21+'Inputs'!$B$9+'Inputs'!$B$10))/SQRT(((AS33+'Inputs'!$B$21+'Inputs'!$B$9+'Inputs'!$B$10))^2+('Inputs'!$B$6/2)^2))))*'Results'!$B$8*'Results'!$B$9)+'Inputs'!$B$28*ABS((('Results'!C7*(1+'Inputs'!$B$24)*(0.5*(((AS33+'Inputs'!$B$21)+'Inputs'!$B$9)/SQRT(((AS33+'Inputs'!$B$21)+'Inputs'!$B$9)^2+('Inputs'!$B$8/2)^2)-((AS33+'Inputs'!$B$21))/SQRT(((AS33+'Inputs'!$B$21))^2+('Inputs'!$B$8/2)^2)))-'Results'!B7*(1-'Inputs'!$B$24)*(0.5*(((AS33+'Inputs'!$B$21+'Inputs'!$B$9+'Inputs'!$B$10)+'Inputs'!$B$7)/SQRT(((AS33+'Inputs'!$B$21+'Inputs'!$B$9+'Inputs'!$B$10)+'Inputs'!$B$7)^2+('Inputs'!$B$6/2)^2)-((AS33+'Inputs'!$B$21+'Inputs'!$B$9+'Inputs'!$B$10))/SQRT(((AS33+'Inputs'!$B$21+'Inputs'!$B$9+'Inputs'!$B$10))^2+('Inputs'!$B$6/2)^2))))*'Results'!$B$8*'Results'!$B$9))),"")</x:f>
        <x:v>89.9124873235396</x:v>
      </x:c>
      <x:c r="AU33" s="22"/>
      <x:c r="AV33" s="22"/>
      <x:c r="AW33" s="22" t="n">
        <x:f>IF(AZ32&gt;='Results'!C13,AY32,AW32)</x:f>
        <x:v>7.5827279686927795</x:v>
      </x:c>
      <x:c r="AX33" s="22" t="n">
        <x:f>IF(AZ32&gt;='Results'!C13,AX32,AY32)</x:f>
        <x:v>7.582728266716003</x:v>
      </x:c>
      <x:c r="AY33" s="22" t="n">
        <x:f>(AW33+AX33)/2</x:f>
        <x:v>7.5827281177043915</x:v>
      </x:c>
      <x:c r="AZ33" s="22" t="n">
        <x:f>IF(AND(ISNUMBER('Results'!C7),ISNUMBER('Results'!B7),ISNUMBER('Results'!$B$8),ISNUMBER('Results'!$B$9),ISNUMBER('Inputs'!$B$6),ISNUMBER('Inputs'!$B$7),ISNUMBER('Inputs'!$B$8),ISNUMBER('Inputs'!$B$9),ISNUMBER('Inputs'!$B$10),ISNUMBER('Inputs'!$B$21),ISNUMBER('Inputs'!$B$24),ISNUMBER('Inputs'!$B$28)),(('Results'!C7*(0.5*(((AY33+'Inputs'!$B$21)+'Inputs'!$B$9)/SQRT(((AY33+'Inputs'!$B$21)+'Inputs'!$B$9)^2+('Inputs'!$B$8/2)^2)-((AY33+'Inputs'!$B$21))/SQRT(((AY33+'Inputs'!$B$21))^2+('Inputs'!$B$8/2)^2)))-'Results'!B7*(0.5*(((AY33+'Inputs'!$B$21+'Inputs'!$B$9+'Inputs'!$B$10)+'Inputs'!$B$7)/SQRT(((AY33+'Inputs'!$B$21+'Inputs'!$B$9+'Inputs'!$B$10)+'Inputs'!$B$7)^2+('Inputs'!$B$6/2)^2)-((AY33+'Inputs'!$B$21+'Inputs'!$B$9+'Inputs'!$B$10))/SQRT(((AY33+'Inputs'!$B$21+'Inputs'!$B$9+'Inputs'!$B$10))^2+('Inputs'!$B$6/2)^2))))*'Results'!$B$8*'Results'!$B$9),"")</x:f>
        <x:v>81.60118791111357</x:v>
      </x:c>
      <x:c r="BA33" s="22"/>
      <x:c r="BB33" s="22"/>
      <x:c r="BC33" s="22" t="n">
        <x:f>IF(BF32&gt;='Results'!C14,BE32,BC32)</x:f>
        <x:v>8.246886134147644</x:v>
      </x:c>
      <x:c r="BD33" s="22" t="n">
        <x:f>IF(BF32&gt;='Results'!C14,BD32,BE32)</x:f>
        <x:v>8.246886432170868</x:v>
      </x:c>
      <x:c r="BE33" s="22" t="n">
        <x:f>(BC33+BD33)/2</x:f>
        <x:v>8.246886283159256</x:v>
      </x:c>
      <x:c r="BF33" s="22" t="n">
        <x:f>IF(AND(ISNUMBER('Results'!C7),ISNUMBER('Results'!B7),ISNUMBER('Results'!$B$8),ISNUMBER('Results'!$B$9),ISNUMBER('Inputs'!$B$6),ISNUMBER('Inputs'!$B$7),ISNUMBER('Inputs'!$B$8),ISNUMBER('Inputs'!$B$9),ISNUMBER('Inputs'!$B$10),ISNUMBER('Inputs'!$B$21),ISNUMBER('Inputs'!$B$24),ISNUMBER('Inputs'!$B$28)),((('Results'!C7*(1+'Inputs'!$B$24)*(0.5*(((BE33+'Inputs'!$B$21)+'Inputs'!$B$9)/SQRT(((BE33+'Inputs'!$B$21)+'Inputs'!$B$9)^2+('Inputs'!$B$8/2)^2)-((BE33+'Inputs'!$B$21))/SQRT(((BE33+'Inputs'!$B$21))^2+('Inputs'!$B$8/2)^2)))-'Results'!B7*(1-'Inputs'!$B$24)*(0.5*(((BE33+'Inputs'!$B$21+'Inputs'!$B$9+'Inputs'!$B$10)+'Inputs'!$B$7)/SQRT(((BE33+'Inputs'!$B$21+'Inputs'!$B$9+'Inputs'!$B$10)+'Inputs'!$B$7)^2+('Inputs'!$B$6/2)^2)-((BE33+'Inputs'!$B$21+'Inputs'!$B$9+'Inputs'!$B$10))/SQRT(((BE33+'Inputs'!$B$21+'Inputs'!$B$9+'Inputs'!$B$10))^2+('Inputs'!$B$6/2)^2))))*'Results'!$B$8*'Results'!$B$9)+'Inputs'!$B$28*ABS((('Results'!C7*(1+'Inputs'!$B$24)*(0.5*(((BE33+'Inputs'!$B$21)+'Inputs'!$B$9)/SQRT(((BE33+'Inputs'!$B$21)+'Inputs'!$B$9)^2+('Inputs'!$B$8/2)^2)-((BE33+'Inputs'!$B$21))/SQRT(((BE33+'Inputs'!$B$21))^2+('Inputs'!$B$8/2)^2)))-'Results'!B7*(1-'Inputs'!$B$24)*(0.5*(((BE33+'Inputs'!$B$21+'Inputs'!$B$9+'Inputs'!$B$10)+'Inputs'!$B$7)/SQRT(((BE33+'Inputs'!$B$21+'Inputs'!$B$9+'Inputs'!$B$10)+'Inputs'!$B$7)^2+('Inputs'!$B$6/2)^2)-((BE33+'Inputs'!$B$21+'Inputs'!$B$9+'Inputs'!$B$10))/SQRT(((BE33+'Inputs'!$B$21+'Inputs'!$B$9+'Inputs'!$B$10))^2+('Inputs'!$B$6/2)^2))))*'Results'!$B$8*'Results'!$B$9))),"")</x:f>
        <x:v>70.64020876681674</x:v>
      </x:c>
      <x:c r="BG33" s="22"/>
      <x:c r="BH33" s="22"/>
    </x:row>
    <x:row r="34" ht="22" customHeight="1">
      <x:c r="A34" s="22" t="n">
        <x:f>IF(D33&gt;='Results'!B10,C33,A33)</x:f>
        <x:v>7.177632302045822</x:v>
      </x:c>
      <x:c r="B34" s="22" t="n">
        <x:f>IF(D33&gt;='Results'!B10,B33,C33)</x:f>
        <x:v>7.177632451057434</x:v>
      </x:c>
      <x:c r="C34" s="22" t="n">
        <x:f>(A34+B34)/2</x:f>
        <x:v>7.177632376551628</x:v>
      </x:c>
      <x:c r="D34" s="22" t="n">
        <x:f>IF(AND(ISNUMBER('Results'!B7),ISNUMBER('Results'!C7),ISNUMBER('Results'!$B$8),ISNUMBER('Results'!$B$9),ISNUMBER('Inputs'!$B$6),ISNUMBER('Inputs'!$B$7),ISNUMBER('Inputs'!$B$8),ISNUMBER('Inputs'!$B$9),ISNUMBER('Inputs'!$B$10),ISNUMBER('Inputs'!$B$21),ISNUMBER('Inputs'!$B$24),ISNUMBER('Inputs'!$B$28)),(('Results'!B7*(0.5*(((C34+'Inputs'!$B$21)+'Inputs'!$B$7)/SQRT(((C34+'Inputs'!$B$21)+'Inputs'!$B$7)^2+('Inputs'!$B$6/2)^2)-((C34+'Inputs'!$B$21))/SQRT(((C34+'Inputs'!$B$21))^2+('Inputs'!$B$6/2)^2)))-'Results'!C7*(0.5*(((C34+'Inputs'!$B$21+'Inputs'!$B$7+'Inputs'!$B$10)+'Inputs'!$B$9)/SQRT(((C34+'Inputs'!$B$21+'Inputs'!$B$7+'Inputs'!$B$10)+'Inputs'!$B$9)^2+('Inputs'!$B$8/2)^2)-((C34+'Inputs'!$B$21+'Inputs'!$B$7+'Inputs'!$B$10))/SQRT(((C34+'Inputs'!$B$21+'Inputs'!$B$7+'Inputs'!$B$10))^2+('Inputs'!$B$8/2)^2))))*'Results'!$B$8*'Results'!$B$9),"")</x:f>
        <x:v>98.08114282921423</x:v>
      </x:c>
      <x:c r="E34" s="22"/>
      <x:c r="F34" s="22"/>
      <x:c r="G34" s="22" t="n">
        <x:f>IF(J33&gt;='Results'!B12,I33,G33)</x:f>
        <x:v>6.586603820323944</x:v>
      </x:c>
      <x:c r="H34" s="22" t="n">
        <x:f>IF(J33&gt;='Results'!B12,H33,I33)</x:f>
        <x:v>6.586603969335556</x:v>
      </x:c>
      <x:c r="I34" s="22" t="n">
        <x:f>(G34+H34)/2</x:f>
        <x:v>6.58660389482975</x:v>
      </x:c>
      <x:c r="J34" s="22" t="n">
        <x:f>IF(AND(ISNUMBER('Results'!B7),ISNUMBER('Results'!C7),ISNUMBER('Results'!$B$8),ISNUMBER('Results'!$B$9),ISNUMBER('Inputs'!$B$6),ISNUMBER('Inputs'!$B$7),ISNUMBER('Inputs'!$B$8),ISNUMBER('Inputs'!$B$9),ISNUMBER('Inputs'!$B$10),ISNUMBER('Inputs'!$B$21),ISNUMBER('Inputs'!$B$24),ISNUMBER('Inputs'!$B$28)),((('Results'!B7*(1-'Inputs'!$B$24)*(0.5*(((I34+'Inputs'!$B$21)+'Inputs'!$B$7)/SQRT(((I34+'Inputs'!$B$21)+'Inputs'!$B$7)^2+('Inputs'!$B$6/2)^2)-((I34+'Inputs'!$B$21))/SQRT(((I34+'Inputs'!$B$21))^2+('Inputs'!$B$6/2)^2)))-'Results'!C7*(1+'Inputs'!$B$24)*(0.5*(((I34+'Inputs'!$B$21+'Inputs'!$B$7+'Inputs'!$B$10)+'Inputs'!$B$9)/SQRT(((I34+'Inputs'!$B$21+'Inputs'!$B$7+'Inputs'!$B$10)+'Inputs'!$B$9)^2+('Inputs'!$B$8/2)^2)-((I34+'Inputs'!$B$21+'Inputs'!$B$7+'Inputs'!$B$10))/SQRT(((I34+'Inputs'!$B$21+'Inputs'!$B$7+'Inputs'!$B$10))^2+('Inputs'!$B$8/2)^2))))*'Results'!$B$8*'Results'!$B$9)-'Inputs'!$B$28*ABS((('Results'!B7*(1-'Inputs'!$B$24)*(0.5*(((I34+'Inputs'!$B$21)+'Inputs'!$B$7)/SQRT(((I34+'Inputs'!$B$21)+'Inputs'!$B$7)^2+('Inputs'!$B$6/2)^2)-((I34+'Inputs'!$B$21))/SQRT(((I34+'Inputs'!$B$21))^2+('Inputs'!$B$6/2)^2)))-'Results'!C7*(1+'Inputs'!$B$24)*(0.5*(((I34+'Inputs'!$B$21+'Inputs'!$B$7+'Inputs'!$B$10)+'Inputs'!$B$9)/SQRT(((I34+'Inputs'!$B$21+'Inputs'!$B$7+'Inputs'!$B$10)+'Inputs'!$B$9)^2+('Inputs'!$B$8/2)^2)-((I34+'Inputs'!$B$21+'Inputs'!$B$7+'Inputs'!$B$10))/SQRT(((I34+'Inputs'!$B$21+'Inputs'!$B$7+'Inputs'!$B$10))^2+('Inputs'!$B$8/2)^2))))*'Results'!$B$8*'Results'!$B$9))),"")</x:f>
        <x:v>112.38228023774991</x:v>
      </x:c>
      <x:c r="K34" s="22"/>
      <x:c r="L34" s="22"/>
      <x:c r="M34" s="22" t="n">
        <x:f>IF(P33&gt;='Results'!B11,O33,M33)</x:f>
        <x:v>7.821928113698959</x:v>
      </x:c>
      <x:c r="N34" s="22" t="n">
        <x:f>IF(P33&gt;='Results'!B11,N33,O33)</x:f>
        <x:v>7.821928262710571</x:v>
      </x:c>
      <x:c r="O34" s="22" t="n">
        <x:f>(M34+N34)/2</x:f>
        <x:v>7.821928188204765</x:v>
      </x:c>
      <x:c r="P34" s="22" t="n">
        <x:f>IF(AND(ISNUMBER('Results'!B7),ISNUMBER('Results'!C7),ISNUMBER('Results'!$B$8),ISNUMBER('Results'!$B$9),ISNUMBER('Inputs'!$B$6),ISNUMBER('Inputs'!$B$7),ISNUMBER('Inputs'!$B$8),ISNUMBER('Inputs'!$B$9),ISNUMBER('Inputs'!$B$10),ISNUMBER('Inputs'!$B$21),ISNUMBER('Inputs'!$B$24),ISNUMBER('Inputs'!$B$28)),((('Results'!B7*(1+'Inputs'!$B$24)*(0.5*(((O34+'Inputs'!$B$21)+'Inputs'!$B$7)/SQRT(((O34+'Inputs'!$B$21)+'Inputs'!$B$7)^2+('Inputs'!$B$6/2)^2)-((O34+'Inputs'!$B$21))/SQRT(((O34+'Inputs'!$B$21))^2+('Inputs'!$B$6/2)^2)))-'Results'!C7*(1-'Inputs'!$B$24)*(0.5*(((O34+'Inputs'!$B$21+'Inputs'!$B$7+'Inputs'!$B$10)+'Inputs'!$B$9)/SQRT(((O34+'Inputs'!$B$21+'Inputs'!$B$7+'Inputs'!$B$10)+'Inputs'!$B$9)^2+('Inputs'!$B$8/2)^2)-((O34+'Inputs'!$B$21+'Inputs'!$B$7+'Inputs'!$B$10))/SQRT(((O34+'Inputs'!$B$21+'Inputs'!$B$7+'Inputs'!$B$10))^2+('Inputs'!$B$8/2)^2))))*'Results'!$B$8*'Results'!$B$9)+'Inputs'!$B$28*ABS((('Results'!B7*(1+'Inputs'!$B$24)*(0.5*(((O34+'Inputs'!$B$21)+'Inputs'!$B$7)/SQRT(((O34+'Inputs'!$B$21)+'Inputs'!$B$7)^2+('Inputs'!$B$6/2)^2)-((O34+'Inputs'!$B$21))/SQRT(((O34+'Inputs'!$B$21))^2+('Inputs'!$B$6/2)^2)))-'Results'!C7*(1-'Inputs'!$B$24)*(0.5*(((O34+'Inputs'!$B$21+'Inputs'!$B$7+'Inputs'!$B$10)+'Inputs'!$B$9)/SQRT(((O34+'Inputs'!$B$21+'Inputs'!$B$7+'Inputs'!$B$10)+'Inputs'!$B$9)^2+('Inputs'!$B$8/2)^2)-((O34+'Inputs'!$B$21+'Inputs'!$B$7+'Inputs'!$B$10))/SQRT(((O34+'Inputs'!$B$21+'Inputs'!$B$7+'Inputs'!$B$10))^2+('Inputs'!$B$8/2)^2))))*'Results'!$B$8*'Results'!$B$9))),"")</x:f>
        <x:v>84.81736884056754</x:v>
      </x:c>
      <x:c r="Q34" s="22"/>
      <x:c r="R34" s="22"/>
      <x:c r="S34" s="22" t="n">
        <x:f>IF(V33&gt;='Results'!B13,U33,S33)</x:f>
        <x:v>7.844703048467636</x:v>
      </x:c>
      <x:c r="T34" s="22" t="n">
        <x:f>IF(V33&gt;='Results'!B13,T33,U33)</x:f>
        <x:v>7.844703197479248</x:v>
      </x:c>
      <x:c r="U34" s="22" t="n">
        <x:f>(S34+T34)/2</x:f>
        <x:v>7.844703122973442</x:v>
      </x:c>
      <x:c r="V34" s="22" t="n">
        <x:f>IF(AND(ISNUMBER('Results'!B7),ISNUMBER('Results'!C7),ISNUMBER('Results'!$B$8),ISNUMBER('Results'!$B$9),ISNUMBER('Inputs'!$B$6),ISNUMBER('Inputs'!$B$7),ISNUMBER('Inputs'!$B$8),ISNUMBER('Inputs'!$B$9),ISNUMBER('Inputs'!$B$10),ISNUMBER('Inputs'!$B$21),ISNUMBER('Inputs'!$B$24),ISNUMBER('Inputs'!$B$28)),(('Results'!B7*(0.5*(((U34+'Inputs'!$B$21)+'Inputs'!$B$7)/SQRT(((U34+'Inputs'!$B$21)+'Inputs'!$B$7)^2+('Inputs'!$B$6/2)^2)-((U34+'Inputs'!$B$21))/SQRT(((U34+'Inputs'!$B$21))^2+('Inputs'!$B$6/2)^2)))-'Results'!C7*(0.5*(((U34+'Inputs'!$B$21+'Inputs'!$B$7+'Inputs'!$B$10)+'Inputs'!$B$9)/SQRT(((U34+'Inputs'!$B$21+'Inputs'!$B$7+'Inputs'!$B$10)+'Inputs'!$B$9)^2+('Inputs'!$B$8/2)^2)-((U34+'Inputs'!$B$21+'Inputs'!$B$7+'Inputs'!$B$10))/SQRT(((U34+'Inputs'!$B$21+'Inputs'!$B$7+'Inputs'!$B$10))^2+('Inputs'!$B$8/2)^2))))*'Results'!$B$8*'Results'!$B$9),"")</x:f>
        <x:v>77.26348978018206</x:v>
      </x:c>
      <x:c r="W34" s="22"/>
      <x:c r="X34" s="22"/>
      <x:c r="Y34" s="22" t="n">
        <x:f>IF(AB33&gt;='Results'!B14,AA33,Y33)</x:f>
        <x:v>8.525647222995758</x:v>
      </x:c>
      <x:c r="Z34" s="22" t="n">
        <x:f>IF(AB33&gt;='Results'!B14,Z33,AA33)</x:f>
        <x:v>8.52564737200737</x:v>
      </x:c>
      <x:c r="AA34" s="22" t="n">
        <x:f>(Y34+Z34)/2</x:f>
        <x:v>8.525647297501564</x:v>
      </x:c>
      <x:c r="AB34" s="22" t="n">
        <x:f>IF(AND(ISNUMBER('Results'!B7),ISNUMBER('Results'!C7),ISNUMBER('Results'!$B$8),ISNUMBER('Results'!$B$9),ISNUMBER('Inputs'!$B$6),ISNUMBER('Inputs'!$B$7),ISNUMBER('Inputs'!$B$8),ISNUMBER('Inputs'!$B$9),ISNUMBER('Inputs'!$B$10),ISNUMBER('Inputs'!$B$21),ISNUMBER('Inputs'!$B$24),ISNUMBER('Inputs'!$B$28)),((('Results'!B7*(1+'Inputs'!$B$24)*(0.5*(((AA34+'Inputs'!$B$21)+'Inputs'!$B$7)/SQRT(((AA34+'Inputs'!$B$21)+'Inputs'!$B$7)^2+('Inputs'!$B$6/2)^2)-((AA34+'Inputs'!$B$21))/SQRT(((AA34+'Inputs'!$B$21))^2+('Inputs'!$B$6/2)^2)))-'Results'!C7*(1-'Inputs'!$B$24)*(0.5*(((AA34+'Inputs'!$B$21+'Inputs'!$B$7+'Inputs'!$B$10)+'Inputs'!$B$9)/SQRT(((AA34+'Inputs'!$B$21+'Inputs'!$B$7+'Inputs'!$B$10)+'Inputs'!$B$9)^2+('Inputs'!$B$8/2)^2)-((AA34+'Inputs'!$B$21+'Inputs'!$B$7+'Inputs'!$B$10))/SQRT(((AA34+'Inputs'!$B$21+'Inputs'!$B$7+'Inputs'!$B$10))^2+('Inputs'!$B$8/2)^2))))*'Results'!$B$8*'Results'!$B$9)+'Inputs'!$B$28*ABS((('Results'!B7*(1+'Inputs'!$B$24)*(0.5*(((AA34+'Inputs'!$B$21)+'Inputs'!$B$7)/SQRT(((AA34+'Inputs'!$B$21)+'Inputs'!$B$7)^2+('Inputs'!$B$6/2)^2)-((AA34+'Inputs'!$B$21))/SQRT(((AA34+'Inputs'!$B$21))^2+('Inputs'!$B$6/2)^2)))-'Results'!C7*(1-'Inputs'!$B$24)*(0.5*(((AA34+'Inputs'!$B$21+'Inputs'!$B$7+'Inputs'!$B$10)+'Inputs'!$B$9)/SQRT(((AA34+'Inputs'!$B$21+'Inputs'!$B$7+'Inputs'!$B$10)+'Inputs'!$B$9)^2+('Inputs'!$B$8/2)^2)-((AA34+'Inputs'!$B$21+'Inputs'!$B$7+'Inputs'!$B$10))/SQRT(((AA34+'Inputs'!$B$21+'Inputs'!$B$7+'Inputs'!$B$10))^2+('Inputs'!$B$8/2)^2))))*'Results'!$B$8*'Results'!$B$9))),"")</x:f>
        <x:v>66.90551620297063</x:v>
      </x:c>
      <x:c r="AC34" s="22"/>
      <x:c r="AD34" s="22"/>
      <x:c r="AE34" s="22" t="n">
        <x:f>IF(AH33&gt;='Results'!C10,AG33,AE33)</x:f>
        <x:v>6.922599971294403</x:v>
      </x:c>
      <x:c r="AF34" s="22" t="n">
        <x:f>IF(AH33&gt;='Results'!C10,AF33,AG33)</x:f>
        <x:v>6.922600120306015</x:v>
      </x:c>
      <x:c r="AG34" s="22" t="n">
        <x:f>(AE34+AF34)/2</x:f>
        <x:v>6.922600045800209</x:v>
      </x:c>
      <x:c r="AH34" s="22" t="n">
        <x:f>IF(AND(ISNUMBER('Results'!C7),ISNUMBER('Results'!B7),ISNUMBER('Results'!$B$8),ISNUMBER('Results'!$B$9),ISNUMBER('Inputs'!$B$6),ISNUMBER('Inputs'!$B$7),ISNUMBER('Inputs'!$B$8),ISNUMBER('Inputs'!$B$9),ISNUMBER('Inputs'!$B$10),ISNUMBER('Inputs'!$B$21),ISNUMBER('Inputs'!$B$24),ISNUMBER('Inputs'!$B$28)),(('Results'!C7*(0.5*(((AG34+'Inputs'!$B$21)+'Inputs'!$B$9)/SQRT(((AG34+'Inputs'!$B$21)+'Inputs'!$B$9)^2+('Inputs'!$B$8/2)^2)-((AG34+'Inputs'!$B$21))/SQRT(((AG34+'Inputs'!$B$21))^2+('Inputs'!$B$8/2)^2)))-'Results'!B7*(0.5*(((AG34+'Inputs'!$B$21+'Inputs'!$B$9+'Inputs'!$B$10)+'Inputs'!$B$7)/SQRT(((AG34+'Inputs'!$B$21+'Inputs'!$B$9+'Inputs'!$B$10)+'Inputs'!$B$7)^2+('Inputs'!$B$6/2)^2)-((AG34+'Inputs'!$B$21+'Inputs'!$B$9+'Inputs'!$B$10))/SQRT(((AG34+'Inputs'!$B$21+'Inputs'!$B$9+'Inputs'!$B$10))^2+('Inputs'!$B$6/2)^2))))*'Results'!$B$8*'Results'!$B$9),"")</x:f>
        <x:v>104.00874066322353</x:v>
      </x:c>
      <x:c r="AI34" s="22"/>
      <x:c r="AJ34" s="22"/>
      <x:c r="AK34" s="22" t="n">
        <x:f>IF(AN33&gt;='Results'!C12,AM33,AK33)</x:f>
        <x:v>6.345298737287521</x:v>
      </x:c>
      <x:c r="AL34" s="22" t="n">
        <x:f>IF(AN33&gt;='Results'!C12,AL33,AM33)</x:f>
        <x:v>6.345298886299133</x:v>
      </x:c>
      <x:c r="AM34" s="22" t="n">
        <x:f>(AK34+AL34)/2</x:f>
        <x:v>6.345298811793327</x:v>
      </x:c>
      <x:c r="AN34" s="22" t="n">
        <x:f>IF(AND(ISNUMBER('Results'!C7),ISNUMBER('Results'!B7),ISNUMBER('Results'!$B$8),ISNUMBER('Results'!$B$9),ISNUMBER('Inputs'!$B$6),ISNUMBER('Inputs'!$B$7),ISNUMBER('Inputs'!$B$8),ISNUMBER('Inputs'!$B$9),ISNUMBER('Inputs'!$B$10),ISNUMBER('Inputs'!$B$21),ISNUMBER('Inputs'!$B$24),ISNUMBER('Inputs'!$B$28)),((('Results'!C7*(1-'Inputs'!$B$24)*(0.5*(((AM34+'Inputs'!$B$21)+'Inputs'!$B$9)/SQRT(((AM34+'Inputs'!$B$21)+'Inputs'!$B$9)^2+('Inputs'!$B$8/2)^2)-((AM34+'Inputs'!$B$21))/SQRT(((AM34+'Inputs'!$B$21))^2+('Inputs'!$B$8/2)^2)))-'Results'!B7*(1+'Inputs'!$B$24)*(0.5*(((AM34+'Inputs'!$B$21+'Inputs'!$B$9+'Inputs'!$B$10)+'Inputs'!$B$7)/SQRT(((AM34+'Inputs'!$B$21+'Inputs'!$B$9+'Inputs'!$B$10)+'Inputs'!$B$7)^2+('Inputs'!$B$6/2)^2)-((AM34+'Inputs'!$B$21+'Inputs'!$B$9+'Inputs'!$B$10))/SQRT(((AM34+'Inputs'!$B$21+'Inputs'!$B$9+'Inputs'!$B$10))^2+('Inputs'!$B$6/2)^2))))*'Results'!$B$8*'Results'!$B$9)-'Inputs'!$B$28*ABS((('Results'!C7*(1-'Inputs'!$B$24)*(0.5*(((AM34+'Inputs'!$B$21)+'Inputs'!$B$9)/SQRT(((AM34+'Inputs'!$B$21)+'Inputs'!$B$9)^2+('Inputs'!$B$8/2)^2)-((AM34+'Inputs'!$B$21))/SQRT(((AM34+'Inputs'!$B$21))^2+('Inputs'!$B$8/2)^2)))-'Results'!B7*(1+'Inputs'!$B$24)*(0.5*(((AM34+'Inputs'!$B$21+'Inputs'!$B$9+'Inputs'!$B$10)+'Inputs'!$B$7)/SQRT(((AM34+'Inputs'!$B$21+'Inputs'!$B$9+'Inputs'!$B$10)+'Inputs'!$B$7)^2+('Inputs'!$B$6/2)^2)-((AM34+'Inputs'!$B$21+'Inputs'!$B$9+'Inputs'!$B$10))/SQRT(((AM34+'Inputs'!$B$21+'Inputs'!$B$9+'Inputs'!$B$10))^2+('Inputs'!$B$6/2)^2))))*'Results'!$B$8*'Results'!$B$9))),"")</x:f>
        <x:v>119.21786496577178</x:v>
      </x:c>
      <x:c r="AO34" s="22"/>
      <x:c r="AP34" s="22"/>
      <x:c r="AQ34" s="22" t="n">
        <x:f>IF(AT33&gt;='Results'!C11,AS33,AQ33)</x:f>
        <x:v>7.551206797361374</x:v>
      </x:c>
      <x:c r="AR34" s="22" t="n">
        <x:f>IF(AT33&gt;='Results'!C11,AR33,AS33)</x:f>
        <x:v>7.551206946372986</x:v>
      </x:c>
      <x:c r="AS34" s="22" t="n">
        <x:f>(AQ34+AR34)/2</x:f>
        <x:v>7.55120687186718</x:v>
      </x:c>
      <x:c r="AT34" s="22" t="n">
        <x:f>IF(AND(ISNUMBER('Results'!C7),ISNUMBER('Results'!B7),ISNUMBER('Results'!$B$8),ISNUMBER('Results'!$B$9),ISNUMBER('Inputs'!$B$6),ISNUMBER('Inputs'!$B$7),ISNUMBER('Inputs'!$B$8),ISNUMBER('Inputs'!$B$9),ISNUMBER('Inputs'!$B$10),ISNUMBER('Inputs'!$B$21),ISNUMBER('Inputs'!$B$24),ISNUMBER('Inputs'!$B$28)),((('Results'!C7*(1+'Inputs'!$B$24)*(0.5*(((AS34+'Inputs'!$B$21)+'Inputs'!$B$9)/SQRT(((AS34+'Inputs'!$B$21)+'Inputs'!$B$9)^2+('Inputs'!$B$8/2)^2)-((AS34+'Inputs'!$B$21))/SQRT(((AS34+'Inputs'!$B$21))^2+('Inputs'!$B$8/2)^2)))-'Results'!B7*(1-'Inputs'!$B$24)*(0.5*(((AS34+'Inputs'!$B$21+'Inputs'!$B$9+'Inputs'!$B$10)+'Inputs'!$B$7)/SQRT(((AS34+'Inputs'!$B$21+'Inputs'!$B$9+'Inputs'!$B$10)+'Inputs'!$B$7)^2+('Inputs'!$B$6/2)^2)-((AS34+'Inputs'!$B$21+'Inputs'!$B$9+'Inputs'!$B$10))/SQRT(((AS34+'Inputs'!$B$21+'Inputs'!$B$9+'Inputs'!$B$10))^2+('Inputs'!$B$6/2)^2))))*'Results'!$B$8*'Results'!$B$9)+'Inputs'!$B$28*ABS((('Results'!C7*(1+'Inputs'!$B$24)*(0.5*(((AS34+'Inputs'!$B$21)+'Inputs'!$B$9)/SQRT(((AS34+'Inputs'!$B$21)+'Inputs'!$B$9)^2+('Inputs'!$B$8/2)^2)-((AS34+'Inputs'!$B$21))/SQRT(((AS34+'Inputs'!$B$21))^2+('Inputs'!$B$8/2)^2)))-'Results'!B7*(1-'Inputs'!$B$24)*(0.5*(((AS34+'Inputs'!$B$21+'Inputs'!$B$9+'Inputs'!$B$10)+'Inputs'!$B$7)/SQRT(((AS34+'Inputs'!$B$21+'Inputs'!$B$9+'Inputs'!$B$10)+'Inputs'!$B$7)^2+('Inputs'!$B$6/2)^2)-((AS34+'Inputs'!$B$21+'Inputs'!$B$9+'Inputs'!$B$10))/SQRT(((AS34+'Inputs'!$B$21+'Inputs'!$B$9+'Inputs'!$B$10))^2+('Inputs'!$B$6/2)^2))))*'Results'!$B$8*'Results'!$B$9))),"")</x:f>
        <x:v>89.91248493566644</x:v>
      </x:c>
      <x:c r="AU34" s="22"/>
      <x:c r="AV34" s="22"/>
      <x:c r="AW34" s="22" t="n">
        <x:f>IF(AZ33&gt;='Results'!C13,AY33,AW33)</x:f>
        <x:v>7.5827281177043915</x:v>
      </x:c>
      <x:c r="AX34" s="22" t="n">
        <x:f>IF(AZ33&gt;='Results'!C13,AX33,AY33)</x:f>
        <x:v>7.582728266716003</x:v>
      </x:c>
      <x:c r="AY34" s="22" t="n">
        <x:f>(AW34+AX34)/2</x:f>
        <x:v>7.5827281922101974</x:v>
      </x:c>
      <x:c r="AZ34" s="22" t="n">
        <x:f>IF(AND(ISNUMBER('Results'!C7),ISNUMBER('Results'!B7),ISNUMBER('Results'!$B$8),ISNUMBER('Results'!$B$9),ISNUMBER('Inputs'!$B$6),ISNUMBER('Inputs'!$B$7),ISNUMBER('Inputs'!$B$8),ISNUMBER('Inputs'!$B$9),ISNUMBER('Inputs'!$B$10),ISNUMBER('Inputs'!$B$21),ISNUMBER('Inputs'!$B$24),ISNUMBER('Inputs'!$B$28)),(('Results'!C7*(0.5*(((AY34+'Inputs'!$B$21)+'Inputs'!$B$9)/SQRT(((AY34+'Inputs'!$B$21)+'Inputs'!$B$9)^2+('Inputs'!$B$8/2)^2)-((AY34+'Inputs'!$B$21))/SQRT(((AY34+'Inputs'!$B$21))^2+('Inputs'!$B$8/2)^2)))-'Results'!B7*(0.5*(((AY34+'Inputs'!$B$21+'Inputs'!$B$9+'Inputs'!$B$10)+'Inputs'!$B$7)/SQRT(((AY34+'Inputs'!$B$21+'Inputs'!$B$9+'Inputs'!$B$10)+'Inputs'!$B$7)^2+('Inputs'!$B$6/2)^2)-((AY34+'Inputs'!$B$21+'Inputs'!$B$9+'Inputs'!$B$10))/SQRT(((AY34+'Inputs'!$B$21+'Inputs'!$B$9+'Inputs'!$B$10))^2+('Inputs'!$B$6/2)^2))))*'Results'!$B$8*'Results'!$B$9),"")</x:f>
        <x:v>81.6011857350847</x:v>
      </x:c>
      <x:c r="BA34" s="22"/>
      <x:c r="BB34" s="22"/>
      <x:c r="BC34" s="22" t="n">
        <x:f>IF(BF33&gt;='Results'!C14,BE33,BC33)</x:f>
        <x:v>8.246886283159256</x:v>
      </x:c>
      <x:c r="BD34" s="22" t="n">
        <x:f>IF(BF33&gt;='Results'!C14,BD33,BE33)</x:f>
        <x:v>8.246886432170868</x:v>
      </x:c>
      <x:c r="BE34" s="22" t="n">
        <x:f>(BC34+BD34)/2</x:f>
        <x:v>8.246886357665062</x:v>
      </x:c>
      <x:c r="BF34" s="22" t="n">
        <x:f>IF(AND(ISNUMBER('Results'!C7),ISNUMBER('Results'!B7),ISNUMBER('Results'!$B$8),ISNUMBER('Results'!$B$9),ISNUMBER('Inputs'!$B$6),ISNUMBER('Inputs'!$B$7),ISNUMBER('Inputs'!$B$8),ISNUMBER('Inputs'!$B$9),ISNUMBER('Inputs'!$B$10),ISNUMBER('Inputs'!$B$21),ISNUMBER('Inputs'!$B$24),ISNUMBER('Inputs'!$B$28)),((('Results'!C7*(1+'Inputs'!$B$24)*(0.5*(((BE34+'Inputs'!$B$21)+'Inputs'!$B$9)/SQRT(((BE34+'Inputs'!$B$21)+'Inputs'!$B$9)^2+('Inputs'!$B$8/2)^2)-((BE34+'Inputs'!$B$21))/SQRT(((BE34+'Inputs'!$B$21))^2+('Inputs'!$B$8/2)^2)))-'Results'!B7*(1-'Inputs'!$B$24)*(0.5*(((BE34+'Inputs'!$B$21+'Inputs'!$B$9+'Inputs'!$B$10)+'Inputs'!$B$7)/SQRT(((BE34+'Inputs'!$B$21+'Inputs'!$B$9+'Inputs'!$B$10)+'Inputs'!$B$7)^2+('Inputs'!$B$6/2)^2)-((BE34+'Inputs'!$B$21+'Inputs'!$B$9+'Inputs'!$B$10))/SQRT(((BE34+'Inputs'!$B$21+'Inputs'!$B$9+'Inputs'!$B$10))^2+('Inputs'!$B$6/2)^2))))*'Results'!$B$8*'Results'!$B$9)+'Inputs'!$B$28*ABS((('Results'!C7*(1+'Inputs'!$B$24)*(0.5*(((BE34+'Inputs'!$B$21)+'Inputs'!$B$9)/SQRT(((BE34+'Inputs'!$B$21)+'Inputs'!$B$9)^2+('Inputs'!$B$8/2)^2)-((BE34+'Inputs'!$B$21))/SQRT(((BE34+'Inputs'!$B$21))^2+('Inputs'!$B$8/2)^2)))-'Results'!B7*(1-'Inputs'!$B$24)*(0.5*(((BE34+'Inputs'!$B$21+'Inputs'!$B$9+'Inputs'!$B$10)+'Inputs'!$B$7)/SQRT(((BE34+'Inputs'!$B$21+'Inputs'!$B$9+'Inputs'!$B$10)+'Inputs'!$B$7)^2+('Inputs'!$B$6/2)^2)-((BE34+'Inputs'!$B$21+'Inputs'!$B$9+'Inputs'!$B$10))/SQRT(((BE34+'Inputs'!$B$21+'Inputs'!$B$9+'Inputs'!$B$10))^2+('Inputs'!$B$6/2)^2))))*'Results'!$B$8*'Results'!$B$9))),"")</x:f>
        <x:v>70.64020699129175</x:v>
      </x:c>
      <x:c r="BG34" s="22"/>
      <x:c r="BH34" s="22"/>
    </x:row>
    <x:row r="35" ht="22" customHeight="1">
      <x:c r="A35" s="22" t="n">
        <x:f>IF(D34&gt;='Results'!B10,C34,A34)</x:f>
        <x:v>7.177632302045822</x:v>
      </x:c>
      <x:c r="B35" s="22" t="n">
        <x:f>IF(D34&gt;='Results'!B10,B34,C34)</x:f>
        <x:v>7.177632376551628</x:v>
      </x:c>
      <x:c r="C35" s="22" t="n">
        <x:f>(A35+B35)/2</x:f>
        <x:v>7.177632339298725</x:v>
      </x:c>
      <x:c r="D35" s="22" t="n">
        <x:f>IF(AND(ISNUMBER('Results'!B7),ISNUMBER('Results'!C7),ISNUMBER('Results'!$B$8),ISNUMBER('Results'!$B$9),ISNUMBER('Inputs'!$B$6),ISNUMBER('Inputs'!$B$7),ISNUMBER('Inputs'!$B$8),ISNUMBER('Inputs'!$B$9),ISNUMBER('Inputs'!$B$10),ISNUMBER('Inputs'!$B$21),ISNUMBER('Inputs'!$B$24),ISNUMBER('Inputs'!$B$28)),(('Results'!B7*(0.5*(((C35+'Inputs'!$B$21)+'Inputs'!$B$7)/SQRT(((C35+'Inputs'!$B$21)+'Inputs'!$B$7)^2+('Inputs'!$B$6/2)^2)-((C35+'Inputs'!$B$21))/SQRT(((C35+'Inputs'!$B$21))^2+('Inputs'!$B$6/2)^2)))-'Results'!C7*(0.5*(((C35+'Inputs'!$B$21+'Inputs'!$B$7+'Inputs'!$B$10)+'Inputs'!$B$9)/SQRT(((C35+'Inputs'!$B$21+'Inputs'!$B$7+'Inputs'!$B$10)+'Inputs'!$B$9)^2+('Inputs'!$B$8/2)^2)-((C35+'Inputs'!$B$21+'Inputs'!$B$7+'Inputs'!$B$10))/SQRT(((C35+'Inputs'!$B$21+'Inputs'!$B$7+'Inputs'!$B$10))^2+('Inputs'!$B$8/2)^2))))*'Results'!$B$8*'Results'!$B$9),"")</x:f>
        <x:v>98.0811441715281</x:v>
      </x:c>
      <x:c r="E35" s="22"/>
      <x:c r="F35" s="22"/>
      <x:c r="G35" s="22" t="n">
        <x:f>IF(J34&gt;='Results'!B12,I34,G34)</x:f>
        <x:v>6.58660389482975</x:v>
      </x:c>
      <x:c r="H35" s="22" t="n">
        <x:f>IF(J34&gt;='Results'!B12,H34,I34)</x:f>
        <x:v>6.586603969335556</x:v>
      </x:c>
      <x:c r="I35" s="22" t="n">
        <x:f>(G35+H35)/2</x:f>
        <x:v>6.586603932082653</x:v>
      </x:c>
      <x:c r="J35" s="22" t="n">
        <x:f>IF(AND(ISNUMBER('Results'!B7),ISNUMBER('Results'!C7),ISNUMBER('Results'!$B$8),ISNUMBER('Results'!$B$9),ISNUMBER('Inputs'!$B$6),ISNUMBER('Inputs'!$B$7),ISNUMBER('Inputs'!$B$8),ISNUMBER('Inputs'!$B$9),ISNUMBER('Inputs'!$B$10),ISNUMBER('Inputs'!$B$21),ISNUMBER('Inputs'!$B$24),ISNUMBER('Inputs'!$B$28)),((('Results'!B7*(1-'Inputs'!$B$24)*(0.5*(((I35+'Inputs'!$B$21)+'Inputs'!$B$7)/SQRT(((I35+'Inputs'!$B$21)+'Inputs'!$B$7)^2+('Inputs'!$B$6/2)^2)-((I35+'Inputs'!$B$21))/SQRT(((I35+'Inputs'!$B$21))^2+('Inputs'!$B$6/2)^2)))-'Results'!C7*(1+'Inputs'!$B$24)*(0.5*(((I35+'Inputs'!$B$21+'Inputs'!$B$7+'Inputs'!$B$10)+'Inputs'!$B$9)/SQRT(((I35+'Inputs'!$B$21+'Inputs'!$B$7+'Inputs'!$B$10)+'Inputs'!$B$9)^2+('Inputs'!$B$8/2)^2)-((I35+'Inputs'!$B$21+'Inputs'!$B$7+'Inputs'!$B$10))/SQRT(((I35+'Inputs'!$B$21+'Inputs'!$B$7+'Inputs'!$B$10))^2+('Inputs'!$B$8/2)^2))))*'Results'!$B$8*'Results'!$B$9)-'Inputs'!$B$28*ABS((('Results'!B7*(1-'Inputs'!$B$24)*(0.5*(((I35+'Inputs'!$B$21)+'Inputs'!$B$7)/SQRT(((I35+'Inputs'!$B$21)+'Inputs'!$B$7)^2+('Inputs'!$B$6/2)^2)-((I35+'Inputs'!$B$21))/SQRT(((I35+'Inputs'!$B$21))^2+('Inputs'!$B$6/2)^2)))-'Results'!C7*(1+'Inputs'!$B$24)*(0.5*(((I35+'Inputs'!$B$21+'Inputs'!$B$7+'Inputs'!$B$10)+'Inputs'!$B$9)/SQRT(((I35+'Inputs'!$B$21+'Inputs'!$B$7+'Inputs'!$B$10)+'Inputs'!$B$9)^2+('Inputs'!$B$8/2)^2)-((I35+'Inputs'!$B$21+'Inputs'!$B$7+'Inputs'!$B$10))/SQRT(((I35+'Inputs'!$B$21+'Inputs'!$B$7+'Inputs'!$B$10))^2+('Inputs'!$B$8/2)^2))))*'Results'!$B$8*'Results'!$B$9))),"")</x:f>
        <x:v>112.38227861371135</x:v>
      </x:c>
      <x:c r="K35" s="22"/>
      <x:c r="L35" s="22"/>
      <x:c r="M35" s="22" t="n">
        <x:f>IF(P34&gt;='Results'!B11,O34,M34)</x:f>
        <x:v>7.821928188204765</x:v>
      </x:c>
      <x:c r="N35" s="22" t="n">
        <x:f>IF(P34&gt;='Results'!B11,N34,O34)</x:f>
        <x:v>7.821928262710571</x:v>
      </x:c>
      <x:c r="O35" s="22" t="n">
        <x:f>(M35+N35)/2</x:f>
        <x:v>7.821928225457668</x:v>
      </x:c>
      <x:c r="P35" s="22" t="n">
        <x:f>IF(AND(ISNUMBER('Results'!B7),ISNUMBER('Results'!C7),ISNUMBER('Results'!$B$8),ISNUMBER('Results'!$B$9),ISNUMBER('Inputs'!$B$6),ISNUMBER('Inputs'!$B$7),ISNUMBER('Inputs'!$B$8),ISNUMBER('Inputs'!$B$9),ISNUMBER('Inputs'!$B$10),ISNUMBER('Inputs'!$B$21),ISNUMBER('Inputs'!$B$24),ISNUMBER('Inputs'!$B$28)),((('Results'!B7*(1+'Inputs'!$B$24)*(0.5*(((O35+'Inputs'!$B$21)+'Inputs'!$B$7)/SQRT(((O35+'Inputs'!$B$21)+'Inputs'!$B$7)^2+('Inputs'!$B$6/2)^2)-((O35+'Inputs'!$B$21))/SQRT(((O35+'Inputs'!$B$21))^2+('Inputs'!$B$6/2)^2)))-'Results'!C7*(1-'Inputs'!$B$24)*(0.5*(((O35+'Inputs'!$B$21+'Inputs'!$B$7+'Inputs'!$B$10)+'Inputs'!$B$9)/SQRT(((O35+'Inputs'!$B$21+'Inputs'!$B$7+'Inputs'!$B$10)+'Inputs'!$B$9)^2+('Inputs'!$B$8/2)^2)-((O35+'Inputs'!$B$21+'Inputs'!$B$7+'Inputs'!$B$10))/SQRT(((O35+'Inputs'!$B$21+'Inputs'!$B$7+'Inputs'!$B$10))^2+('Inputs'!$B$8/2)^2))))*'Results'!$B$8*'Results'!$B$9)+'Inputs'!$B$28*ABS((('Results'!B7*(1+'Inputs'!$B$24)*(0.5*(((O35+'Inputs'!$B$21)+'Inputs'!$B$7)/SQRT(((O35+'Inputs'!$B$21)+'Inputs'!$B$7)^2+('Inputs'!$B$6/2)^2)-((O35+'Inputs'!$B$21))/SQRT(((O35+'Inputs'!$B$21))^2+('Inputs'!$B$6/2)^2)))-'Results'!C7*(1-'Inputs'!$B$24)*(0.5*(((O35+'Inputs'!$B$21+'Inputs'!$B$7+'Inputs'!$B$10)+'Inputs'!$B$9)/SQRT(((O35+'Inputs'!$B$21+'Inputs'!$B$7+'Inputs'!$B$10)+'Inputs'!$B$9)^2+('Inputs'!$B$8/2)^2)-((O35+'Inputs'!$B$21+'Inputs'!$B$7+'Inputs'!$B$10))/SQRT(((O35+'Inputs'!$B$21+'Inputs'!$B$7+'Inputs'!$B$10))^2+('Inputs'!$B$8/2)^2))))*'Results'!$B$8*'Results'!$B$9))),"")</x:f>
        <x:v>84.81736774545456</x:v>
      </x:c>
      <x:c r="Q35" s="22"/>
      <x:c r="R35" s="22"/>
      <x:c r="S35" s="22" t="n">
        <x:f>IF(V34&gt;='Results'!B13,U34,S34)</x:f>
        <x:v>7.844703048467636</x:v>
      </x:c>
      <x:c r="T35" s="22" t="n">
        <x:f>IF(V34&gt;='Results'!B13,T34,U34)</x:f>
        <x:v>7.844703122973442</x:v>
      </x:c>
      <x:c r="U35" s="22" t="n">
        <x:f>(S35+T35)/2</x:f>
        <x:v>7.844703085720539</x:v>
      </x:c>
      <x:c r="V35" s="22" t="n">
        <x:f>IF(AND(ISNUMBER('Results'!B7),ISNUMBER('Results'!C7),ISNUMBER('Results'!$B$8),ISNUMBER('Results'!$B$9),ISNUMBER('Inputs'!$B$6),ISNUMBER('Inputs'!$B$7),ISNUMBER('Inputs'!$B$8),ISNUMBER('Inputs'!$B$9),ISNUMBER('Inputs'!$B$10),ISNUMBER('Inputs'!$B$21),ISNUMBER('Inputs'!$B$24),ISNUMBER('Inputs'!$B$28)),(('Results'!B7*(0.5*(((U35+'Inputs'!$B$21)+'Inputs'!$B$7)/SQRT(((U35+'Inputs'!$B$21)+'Inputs'!$B$7)^2+('Inputs'!$B$6/2)^2)-((U35+'Inputs'!$B$21))/SQRT(((U35+'Inputs'!$B$21))^2+('Inputs'!$B$6/2)^2)))-'Results'!C7*(0.5*(((U35+'Inputs'!$B$21+'Inputs'!$B$7+'Inputs'!$B$10)+'Inputs'!$B$9)/SQRT(((U35+'Inputs'!$B$21+'Inputs'!$B$7+'Inputs'!$B$10)+'Inputs'!$B$9)^2+('Inputs'!$B$8/2)^2)-((U35+'Inputs'!$B$21+'Inputs'!$B$7+'Inputs'!$B$10))/SQRT(((U35+'Inputs'!$B$21+'Inputs'!$B$7+'Inputs'!$B$10))^2+('Inputs'!$B$8/2)^2))))*'Results'!$B$8*'Results'!$B$9),"")</x:f>
        <x:v>77.26349078231554</x:v>
      </x:c>
      <x:c r="W35" s="22"/>
      <x:c r="X35" s="22"/>
      <x:c r="Y35" s="22" t="n">
        <x:f>IF(AB34&gt;='Results'!B14,AA34,Y34)</x:f>
        <x:v>8.525647297501564</x:v>
      </x:c>
      <x:c r="Z35" s="22" t="n">
        <x:f>IF(AB34&gt;='Results'!B14,Z34,AA34)</x:f>
        <x:v>8.52564737200737</x:v>
      </x:c>
      <x:c r="AA35" s="22" t="n">
        <x:f>(Y35+Z35)/2</x:f>
        <x:v>8.525647334754467</x:v>
      </x:c>
      <x:c r="AB35" s="22" t="n">
        <x:f>IF(AND(ISNUMBER('Results'!B7),ISNUMBER('Results'!C7),ISNUMBER('Results'!$B$8),ISNUMBER('Results'!$B$9),ISNUMBER('Inputs'!$B$6),ISNUMBER('Inputs'!$B$7),ISNUMBER('Inputs'!$B$8),ISNUMBER('Inputs'!$B$9),ISNUMBER('Inputs'!$B$10),ISNUMBER('Inputs'!$B$21),ISNUMBER('Inputs'!$B$24),ISNUMBER('Inputs'!$B$28)),((('Results'!B7*(1+'Inputs'!$B$24)*(0.5*(((AA35+'Inputs'!$B$21)+'Inputs'!$B$7)/SQRT(((AA35+'Inputs'!$B$21)+'Inputs'!$B$7)^2+('Inputs'!$B$6/2)^2)-((AA35+'Inputs'!$B$21))/SQRT(((AA35+'Inputs'!$B$21))^2+('Inputs'!$B$6/2)^2)))-'Results'!C7*(1-'Inputs'!$B$24)*(0.5*(((AA35+'Inputs'!$B$21+'Inputs'!$B$7+'Inputs'!$B$10)+'Inputs'!$B$9)/SQRT(((AA35+'Inputs'!$B$21+'Inputs'!$B$7+'Inputs'!$B$10)+'Inputs'!$B$9)^2+('Inputs'!$B$8/2)^2)-((AA35+'Inputs'!$B$21+'Inputs'!$B$7+'Inputs'!$B$10))/SQRT(((AA35+'Inputs'!$B$21+'Inputs'!$B$7+'Inputs'!$B$10))^2+('Inputs'!$B$8/2)^2))))*'Results'!$B$8*'Results'!$B$9)+'Inputs'!$B$28*ABS((('Results'!B7*(1+'Inputs'!$B$24)*(0.5*(((AA35+'Inputs'!$B$21)+'Inputs'!$B$7)/SQRT(((AA35+'Inputs'!$B$21)+'Inputs'!$B$7)^2+('Inputs'!$B$6/2)^2)-((AA35+'Inputs'!$B$21))/SQRT(((AA35+'Inputs'!$B$21))^2+('Inputs'!$B$6/2)^2)))-'Results'!C7*(1-'Inputs'!$B$24)*(0.5*(((AA35+'Inputs'!$B$21+'Inputs'!$B$7+'Inputs'!$B$10)+'Inputs'!$B$9)/SQRT(((AA35+'Inputs'!$B$21+'Inputs'!$B$7+'Inputs'!$B$10)+'Inputs'!$B$9)^2+('Inputs'!$B$8/2)^2)-((AA35+'Inputs'!$B$21+'Inputs'!$B$7+'Inputs'!$B$10))/SQRT(((AA35+'Inputs'!$B$21+'Inputs'!$B$7+'Inputs'!$B$10))^2+('Inputs'!$B$8/2)^2))))*'Results'!$B$8*'Results'!$B$9))),"")</x:f>
        <x:v>66.90551538576455</x:v>
      </x:c>
      <x:c r="AC35" s="22"/>
      <x:c r="AD35" s="22"/>
      <x:c r="AE35" s="22" t="n">
        <x:f>IF(AH34&gt;='Results'!C10,AG34,AE34)</x:f>
        <x:v>6.922599971294403</x:v>
      </x:c>
      <x:c r="AF35" s="22" t="n">
        <x:f>IF(AH34&gt;='Results'!C10,AF34,AG34)</x:f>
        <x:v>6.922600045800209</x:v>
      </x:c>
      <x:c r="AG35" s="22" t="n">
        <x:f>(AE35+AF35)/2</x:f>
        <x:v>6.922600008547306</x:v>
      </x:c>
      <x:c r="AH35" s="22" t="n">
        <x:f>IF(AND(ISNUMBER('Results'!C7),ISNUMBER('Results'!B7),ISNUMBER('Results'!$B$8),ISNUMBER('Results'!$B$9),ISNUMBER('Inputs'!$B$6),ISNUMBER('Inputs'!$B$7),ISNUMBER('Inputs'!$B$8),ISNUMBER('Inputs'!$B$9),ISNUMBER('Inputs'!$B$10),ISNUMBER('Inputs'!$B$21),ISNUMBER('Inputs'!$B$24),ISNUMBER('Inputs'!$B$28)),(('Results'!C7*(0.5*(((AG35+'Inputs'!$B$21)+'Inputs'!$B$9)/SQRT(((AG35+'Inputs'!$B$21)+'Inputs'!$B$9)^2+('Inputs'!$B$8/2)^2)-((AG35+'Inputs'!$B$21))/SQRT(((AG35+'Inputs'!$B$21))^2+('Inputs'!$B$8/2)^2)))-'Results'!B7*(0.5*(((AG35+'Inputs'!$B$21+'Inputs'!$B$9+'Inputs'!$B$10)+'Inputs'!$B$7)/SQRT(((AG35+'Inputs'!$B$21+'Inputs'!$B$9+'Inputs'!$B$10)+'Inputs'!$B$7)^2+('Inputs'!$B$6/2)^2)-((AG35+'Inputs'!$B$21+'Inputs'!$B$9+'Inputs'!$B$10))/SQRT(((AG35+'Inputs'!$B$21+'Inputs'!$B$9+'Inputs'!$B$10))^2+('Inputs'!$B$6/2)^2))))*'Results'!$B$8*'Results'!$B$9),"")</x:f>
        <x:v>104.00874212565657</x:v>
      </x:c>
      <x:c r="AI35" s="22"/>
      <x:c r="AJ35" s="22"/>
      <x:c r="AK35" s="22" t="n">
        <x:f>IF(AN34&gt;='Results'!C12,AM34,AK34)</x:f>
        <x:v>6.345298811793327</x:v>
      </x:c>
      <x:c r="AL35" s="22" t="n">
        <x:f>IF(AN34&gt;='Results'!C12,AL34,AM34)</x:f>
        <x:v>6.345298886299133</x:v>
      </x:c>
      <x:c r="AM35" s="22" t="n">
        <x:f>(AK35+AL35)/2</x:f>
        <x:v>6.34529884904623</x:v>
      </x:c>
      <x:c r="AN35" s="22" t="n">
        <x:f>IF(AND(ISNUMBER('Results'!C7),ISNUMBER('Results'!B7),ISNUMBER('Results'!$B$8),ISNUMBER('Results'!$B$9),ISNUMBER('Inputs'!$B$6),ISNUMBER('Inputs'!$B$7),ISNUMBER('Inputs'!$B$8),ISNUMBER('Inputs'!$B$9),ISNUMBER('Inputs'!$B$10),ISNUMBER('Inputs'!$B$21),ISNUMBER('Inputs'!$B$24),ISNUMBER('Inputs'!$B$28)),((('Results'!C7*(1-'Inputs'!$B$24)*(0.5*(((AM35+'Inputs'!$B$21)+'Inputs'!$B$9)/SQRT(((AM35+'Inputs'!$B$21)+'Inputs'!$B$9)^2+('Inputs'!$B$8/2)^2)-((AM35+'Inputs'!$B$21))/SQRT(((AM35+'Inputs'!$B$21))^2+('Inputs'!$B$8/2)^2)))-'Results'!B7*(1+'Inputs'!$B$24)*(0.5*(((AM35+'Inputs'!$B$21+'Inputs'!$B$9+'Inputs'!$B$10)+'Inputs'!$B$7)/SQRT(((AM35+'Inputs'!$B$21+'Inputs'!$B$9+'Inputs'!$B$10)+'Inputs'!$B$7)^2+('Inputs'!$B$6/2)^2)-((AM35+'Inputs'!$B$21+'Inputs'!$B$9+'Inputs'!$B$10))/SQRT(((AM35+'Inputs'!$B$21+'Inputs'!$B$9+'Inputs'!$B$10))^2+('Inputs'!$B$6/2)^2))))*'Results'!$B$8*'Results'!$B$9)-'Inputs'!$B$28*ABS((('Results'!C7*(1-'Inputs'!$B$24)*(0.5*(((AM35+'Inputs'!$B$21)+'Inputs'!$B$9)/SQRT(((AM35+'Inputs'!$B$21)+'Inputs'!$B$9)^2+('Inputs'!$B$8/2)^2)-((AM35+'Inputs'!$B$21))/SQRT(((AM35+'Inputs'!$B$21))^2+('Inputs'!$B$8/2)^2)))-'Results'!B7*(1+'Inputs'!$B$24)*(0.5*(((AM35+'Inputs'!$B$21+'Inputs'!$B$9+'Inputs'!$B$10)+'Inputs'!$B$7)/SQRT(((AM35+'Inputs'!$B$21+'Inputs'!$B$9+'Inputs'!$B$10)+'Inputs'!$B$7)^2+('Inputs'!$B$6/2)^2)-((AM35+'Inputs'!$B$21+'Inputs'!$B$9+'Inputs'!$B$10))/SQRT(((AM35+'Inputs'!$B$21+'Inputs'!$B$9+'Inputs'!$B$10))^2+('Inputs'!$B$6/2)^2))))*'Results'!$B$8*'Results'!$B$9))),"")</x:f>
        <x:v>119.21786319778502</x:v>
      </x:c>
      <x:c r="AO35" s="22"/>
      <x:c r="AP35" s="22"/>
      <x:c r="AQ35" s="22" t="n">
        <x:f>IF(AT34&gt;='Results'!C11,AS34,AQ34)</x:f>
        <x:v>7.55120687186718</x:v>
      </x:c>
      <x:c r="AR35" s="22" t="n">
        <x:f>IF(AT34&gt;='Results'!C11,AR34,AS34)</x:f>
        <x:v>7.551206946372986</x:v>
      </x:c>
      <x:c r="AS35" s="22" t="n">
        <x:f>(AQ35+AR35)/2</x:f>
        <x:v>7.551206909120083</x:v>
      </x:c>
      <x:c r="AT35" s="22" t="n">
        <x:f>IF(AND(ISNUMBER('Results'!C7),ISNUMBER('Results'!B7),ISNUMBER('Results'!$B$8),ISNUMBER('Results'!$B$9),ISNUMBER('Inputs'!$B$6),ISNUMBER('Inputs'!$B$7),ISNUMBER('Inputs'!$B$8),ISNUMBER('Inputs'!$B$9),ISNUMBER('Inputs'!$B$10),ISNUMBER('Inputs'!$B$21),ISNUMBER('Inputs'!$B$24),ISNUMBER('Inputs'!$B$28)),((('Results'!C7*(1+'Inputs'!$B$24)*(0.5*(((AS35+'Inputs'!$B$21)+'Inputs'!$B$9)/SQRT(((AS35+'Inputs'!$B$21)+'Inputs'!$B$9)^2+('Inputs'!$B$8/2)^2)-((AS35+'Inputs'!$B$21))/SQRT(((AS35+'Inputs'!$B$21))^2+('Inputs'!$B$8/2)^2)))-'Results'!B7*(1-'Inputs'!$B$24)*(0.5*(((AS35+'Inputs'!$B$21+'Inputs'!$B$9+'Inputs'!$B$10)+'Inputs'!$B$7)/SQRT(((AS35+'Inputs'!$B$21+'Inputs'!$B$9+'Inputs'!$B$10)+'Inputs'!$B$7)^2+('Inputs'!$B$6/2)^2)-((AS35+'Inputs'!$B$21+'Inputs'!$B$9+'Inputs'!$B$10))/SQRT(((AS35+'Inputs'!$B$21+'Inputs'!$B$9+'Inputs'!$B$10))^2+('Inputs'!$B$6/2)^2))))*'Results'!$B$8*'Results'!$B$9)+'Inputs'!$B$28*ABS((('Results'!C7*(1+'Inputs'!$B$24)*(0.5*(((AS35+'Inputs'!$B$21)+'Inputs'!$B$9)/SQRT(((AS35+'Inputs'!$B$21)+'Inputs'!$B$9)^2+('Inputs'!$B$8/2)^2)-((AS35+'Inputs'!$B$21))/SQRT(((AS35+'Inputs'!$B$21))^2+('Inputs'!$B$8/2)^2)))-'Results'!B7*(1-'Inputs'!$B$24)*(0.5*(((AS35+'Inputs'!$B$21+'Inputs'!$B$9+'Inputs'!$B$10)+'Inputs'!$B$7)/SQRT(((AS35+'Inputs'!$B$21+'Inputs'!$B$9+'Inputs'!$B$10)+'Inputs'!$B$7)^2+('Inputs'!$B$6/2)^2)-((AS35+'Inputs'!$B$21+'Inputs'!$B$9+'Inputs'!$B$10))/SQRT(((AS35+'Inputs'!$B$21+'Inputs'!$B$9+'Inputs'!$B$10))^2+('Inputs'!$B$6/2)^2))))*'Results'!$B$8*'Results'!$B$9))),"")</x:f>
        <x:v>89.9124837417289</x:v>
      </x:c>
      <x:c r="AU35" s="22"/>
      <x:c r="AV35" s="22"/>
      <x:c r="AW35" s="22" t="n">
        <x:f>IF(AZ34&gt;='Results'!C13,AY34,AW34)</x:f>
        <x:v>7.5827281922101974</x:v>
      </x:c>
      <x:c r="AX35" s="22" t="n">
        <x:f>IF(AZ34&gt;='Results'!C13,AX34,AY34)</x:f>
        <x:v>7.582728266716003</x:v>
      </x:c>
      <x:c r="AY35" s="22" t="n">
        <x:f>(AW35+AX35)/2</x:f>
        <x:v>7.5827282294631</x:v>
      </x:c>
      <x:c r="AZ35" s="22" t="n">
        <x:f>IF(AND(ISNUMBER('Results'!C7),ISNUMBER('Results'!B7),ISNUMBER('Results'!$B$8),ISNUMBER('Results'!$B$9),ISNUMBER('Inputs'!$B$6),ISNUMBER('Inputs'!$B$7),ISNUMBER('Inputs'!$B$8),ISNUMBER('Inputs'!$B$9),ISNUMBER('Inputs'!$B$10),ISNUMBER('Inputs'!$B$21),ISNUMBER('Inputs'!$B$24),ISNUMBER('Inputs'!$B$28)),(('Results'!C7*(0.5*(((AY35+'Inputs'!$B$21)+'Inputs'!$B$9)/SQRT(((AY35+'Inputs'!$B$21)+'Inputs'!$B$9)^2+('Inputs'!$B$8/2)^2)-((AY35+'Inputs'!$B$21))/SQRT(((AY35+'Inputs'!$B$21))^2+('Inputs'!$B$8/2)^2)))-'Results'!B7*(0.5*(((AY35+'Inputs'!$B$21+'Inputs'!$B$9+'Inputs'!$B$10)+'Inputs'!$B$7)/SQRT(((AY35+'Inputs'!$B$21+'Inputs'!$B$9+'Inputs'!$B$10)+'Inputs'!$B$7)^2+('Inputs'!$B$6/2)^2)-((AY35+'Inputs'!$B$21+'Inputs'!$B$9+'Inputs'!$B$10))/SQRT(((AY35+'Inputs'!$B$21+'Inputs'!$B$9+'Inputs'!$B$10))^2+('Inputs'!$B$6/2)^2))))*'Results'!$B$8*'Results'!$B$9),"")</x:f>
        <x:v>81.60118464707084</x:v>
      </x:c>
      <x:c r="BA35" s="22"/>
      <x:c r="BB35" s="22"/>
      <x:c r="BC35" s="22" t="n">
        <x:f>IF(BF34&gt;='Results'!C14,BE34,BC34)</x:f>
        <x:v>8.246886283159256</x:v>
      </x:c>
      <x:c r="BD35" s="22" t="n">
        <x:f>IF(BF34&gt;='Results'!C14,BD34,BE34)</x:f>
        <x:v>8.246886357665062</x:v>
      </x:c>
      <x:c r="BE35" s="22" t="n">
        <x:f>(BC35+BD35)/2</x:f>
        <x:v>8.246886320412159</x:v>
      </x:c>
      <x:c r="BF35" s="22" t="n">
        <x:f>IF(AND(ISNUMBER('Results'!C7),ISNUMBER('Results'!B7),ISNUMBER('Results'!$B$8),ISNUMBER('Results'!$B$9),ISNUMBER('Inputs'!$B$6),ISNUMBER('Inputs'!$B$7),ISNUMBER('Inputs'!$B$8),ISNUMBER('Inputs'!$B$9),ISNUMBER('Inputs'!$B$10),ISNUMBER('Inputs'!$B$21),ISNUMBER('Inputs'!$B$24),ISNUMBER('Inputs'!$B$28)),((('Results'!C7*(1+'Inputs'!$B$24)*(0.5*(((BE35+'Inputs'!$B$21)+'Inputs'!$B$9)/SQRT(((BE35+'Inputs'!$B$21)+'Inputs'!$B$9)^2+('Inputs'!$B$8/2)^2)-((BE35+'Inputs'!$B$21))/SQRT(((BE35+'Inputs'!$B$21))^2+('Inputs'!$B$8/2)^2)))-'Results'!B7*(1-'Inputs'!$B$24)*(0.5*(((BE35+'Inputs'!$B$21+'Inputs'!$B$9+'Inputs'!$B$10)+'Inputs'!$B$7)/SQRT(((BE35+'Inputs'!$B$21+'Inputs'!$B$9+'Inputs'!$B$10)+'Inputs'!$B$7)^2+('Inputs'!$B$6/2)^2)-((BE35+'Inputs'!$B$21+'Inputs'!$B$9+'Inputs'!$B$10))/SQRT(((BE35+'Inputs'!$B$21+'Inputs'!$B$9+'Inputs'!$B$10))^2+('Inputs'!$B$6/2)^2))))*'Results'!$B$8*'Results'!$B$9)+'Inputs'!$B$28*ABS((('Results'!C7*(1+'Inputs'!$B$24)*(0.5*(((BE35+'Inputs'!$B$21)+'Inputs'!$B$9)/SQRT(((BE35+'Inputs'!$B$21)+'Inputs'!$B$9)^2+('Inputs'!$B$8/2)^2)-((BE35+'Inputs'!$B$21))/SQRT(((BE35+'Inputs'!$B$21))^2+('Inputs'!$B$8/2)^2)))-'Results'!B7*(1-'Inputs'!$B$24)*(0.5*(((BE35+'Inputs'!$B$21+'Inputs'!$B$9+'Inputs'!$B$10)+'Inputs'!$B$7)/SQRT(((BE35+'Inputs'!$B$21+'Inputs'!$B$9+'Inputs'!$B$10)+'Inputs'!$B$7)^2+('Inputs'!$B$6/2)^2)-((BE35+'Inputs'!$B$21+'Inputs'!$B$9+'Inputs'!$B$10))/SQRT(((BE35+'Inputs'!$B$21+'Inputs'!$B$9+'Inputs'!$B$10))^2+('Inputs'!$B$6/2)^2))))*'Results'!$B$8*'Results'!$B$9))),"")</x:f>
        <x:v>70.64020787905426</x:v>
      </x:c>
      <x:c r="BG35" s="22"/>
      <x:c r="BH35" s="22"/>
    </x:row>
    <x:row r="36" ht="22" customHeight="1">
      <x:c r="A36" s="22" t="n">
        <x:f>IF(D35&gt;='Results'!B10,C35,A35)</x:f>
        <x:v>7.177632339298725</x:v>
      </x:c>
      <x:c r="B36" s="22" t="n">
        <x:f>IF(D35&gt;='Results'!B10,B35,C35)</x:f>
        <x:v>7.177632376551628</x:v>
      </x:c>
      <x:c r="C36" s="22" t="n">
        <x:f>(A36+B36)/2</x:f>
        <x:v>7.177632357925177</x:v>
      </x:c>
      <x:c r="D36" s="22" t="n">
        <x:f>IF(AND(ISNUMBER('Results'!B7),ISNUMBER('Results'!C7),ISNUMBER('Results'!$B$8),ISNUMBER('Results'!$B$9),ISNUMBER('Inputs'!$B$6),ISNUMBER('Inputs'!$B$7),ISNUMBER('Inputs'!$B$8),ISNUMBER('Inputs'!$B$9),ISNUMBER('Inputs'!$B$10),ISNUMBER('Inputs'!$B$21),ISNUMBER('Inputs'!$B$24),ISNUMBER('Inputs'!$B$28)),(('Results'!B7*(0.5*(((C36+'Inputs'!$B$21)+'Inputs'!$B$7)/SQRT(((C36+'Inputs'!$B$21)+'Inputs'!$B$7)^2+('Inputs'!$B$6/2)^2)-((C36+'Inputs'!$B$21))/SQRT(((C36+'Inputs'!$B$21))^2+('Inputs'!$B$6/2)^2)))-'Results'!C7*(0.5*(((C36+'Inputs'!$B$21+'Inputs'!$B$7+'Inputs'!$B$10)+'Inputs'!$B$9)/SQRT(((C36+'Inputs'!$B$21+'Inputs'!$B$7+'Inputs'!$B$10)+'Inputs'!$B$9)^2+('Inputs'!$B$8/2)^2)-((C36+'Inputs'!$B$21+'Inputs'!$B$7+'Inputs'!$B$10))/SQRT(((C36+'Inputs'!$B$21+'Inputs'!$B$7+'Inputs'!$B$10))^2+('Inputs'!$B$8/2)^2))))*'Results'!$B$8*'Results'!$B$9),"")</x:f>
        <x:v>98.08114350036999</x:v>
      </x:c>
      <x:c r="E36" s="22"/>
      <x:c r="F36" s="22"/>
      <x:c r="G36" s="22" t="n">
        <x:f>IF(J35&gt;='Results'!B12,I35,G35)</x:f>
        <x:v>6.58660389482975</x:v>
      </x:c>
      <x:c r="H36" s="22" t="n">
        <x:f>IF(J35&gt;='Results'!B12,H35,I35)</x:f>
        <x:v>6.586603932082653</x:v>
      </x:c>
      <x:c r="I36" s="22" t="n">
        <x:f>(G36+H36)/2</x:f>
        <x:v>6.5866039134562016</x:v>
      </x:c>
      <x:c r="J36" s="22" t="n">
        <x:f>IF(AND(ISNUMBER('Results'!B7),ISNUMBER('Results'!C7),ISNUMBER('Results'!$B$8),ISNUMBER('Results'!$B$9),ISNUMBER('Inputs'!$B$6),ISNUMBER('Inputs'!$B$7),ISNUMBER('Inputs'!$B$8),ISNUMBER('Inputs'!$B$9),ISNUMBER('Inputs'!$B$10),ISNUMBER('Inputs'!$B$21),ISNUMBER('Inputs'!$B$24),ISNUMBER('Inputs'!$B$28)),((('Results'!B7*(1-'Inputs'!$B$24)*(0.5*(((I36+'Inputs'!$B$21)+'Inputs'!$B$7)/SQRT(((I36+'Inputs'!$B$21)+'Inputs'!$B$7)^2+('Inputs'!$B$6/2)^2)-((I36+'Inputs'!$B$21))/SQRT(((I36+'Inputs'!$B$21))^2+('Inputs'!$B$6/2)^2)))-'Results'!C7*(1+'Inputs'!$B$24)*(0.5*(((I36+'Inputs'!$B$21+'Inputs'!$B$7+'Inputs'!$B$10)+'Inputs'!$B$9)/SQRT(((I36+'Inputs'!$B$21+'Inputs'!$B$7+'Inputs'!$B$10)+'Inputs'!$B$9)^2+('Inputs'!$B$8/2)^2)-((I36+'Inputs'!$B$21+'Inputs'!$B$7+'Inputs'!$B$10))/SQRT(((I36+'Inputs'!$B$21+'Inputs'!$B$7+'Inputs'!$B$10))^2+('Inputs'!$B$8/2)^2))))*'Results'!$B$8*'Results'!$B$9)-'Inputs'!$B$28*ABS((('Results'!B7*(1-'Inputs'!$B$24)*(0.5*(((I36+'Inputs'!$B$21)+'Inputs'!$B$7)/SQRT(((I36+'Inputs'!$B$21)+'Inputs'!$B$7)^2+('Inputs'!$B$6/2)^2)-((I36+'Inputs'!$B$21))/SQRT(((I36+'Inputs'!$B$21))^2+('Inputs'!$B$6/2)^2)))-'Results'!C7*(1+'Inputs'!$B$24)*(0.5*(((I36+'Inputs'!$B$21+'Inputs'!$B$7+'Inputs'!$B$10)+'Inputs'!$B$9)/SQRT(((I36+'Inputs'!$B$21+'Inputs'!$B$7+'Inputs'!$B$10)+'Inputs'!$B$9)^2+('Inputs'!$B$8/2)^2)-((I36+'Inputs'!$B$21+'Inputs'!$B$7+'Inputs'!$B$10))/SQRT(((I36+'Inputs'!$B$21+'Inputs'!$B$7+'Inputs'!$B$10))^2+('Inputs'!$B$8/2)^2))))*'Results'!$B$8*'Results'!$B$9))),"")</x:f>
        <x:v>112.38227942573118</x:v>
      </x:c>
      <x:c r="K36" s="22"/>
      <x:c r="L36" s="22"/>
      <x:c r="M36" s="22" t="n">
        <x:f>IF(P35&gt;='Results'!B11,O35,M35)</x:f>
        <x:v>7.821928225457668</x:v>
      </x:c>
      <x:c r="N36" s="22" t="n">
        <x:f>IF(P35&gt;='Results'!B11,N35,O35)</x:f>
        <x:v>7.821928262710571</x:v>
      </x:c>
      <x:c r="O36" s="22" t="n">
        <x:f>(M36+N36)/2</x:f>
        <x:v>7.82192824408412</x:v>
      </x:c>
      <x:c r="P36" s="22" t="n">
        <x:f>IF(AND(ISNUMBER('Results'!B7),ISNUMBER('Results'!C7),ISNUMBER('Results'!$B$8),ISNUMBER('Results'!$B$9),ISNUMBER('Inputs'!$B$6),ISNUMBER('Inputs'!$B$7),ISNUMBER('Inputs'!$B$8),ISNUMBER('Inputs'!$B$9),ISNUMBER('Inputs'!$B$10),ISNUMBER('Inputs'!$B$21),ISNUMBER('Inputs'!$B$24),ISNUMBER('Inputs'!$B$28)),((('Results'!B7*(1+'Inputs'!$B$24)*(0.5*(((O36+'Inputs'!$B$21)+'Inputs'!$B$7)/SQRT(((O36+'Inputs'!$B$21)+'Inputs'!$B$7)^2+('Inputs'!$B$6/2)^2)-((O36+'Inputs'!$B$21))/SQRT(((O36+'Inputs'!$B$21))^2+('Inputs'!$B$6/2)^2)))-'Results'!C7*(1-'Inputs'!$B$24)*(0.5*(((O36+'Inputs'!$B$21+'Inputs'!$B$7+'Inputs'!$B$10)+'Inputs'!$B$9)/SQRT(((O36+'Inputs'!$B$21+'Inputs'!$B$7+'Inputs'!$B$10)+'Inputs'!$B$9)^2+('Inputs'!$B$8/2)^2)-((O36+'Inputs'!$B$21+'Inputs'!$B$7+'Inputs'!$B$10))/SQRT(((O36+'Inputs'!$B$21+'Inputs'!$B$7+'Inputs'!$B$10))^2+('Inputs'!$B$8/2)^2))))*'Results'!$B$8*'Results'!$B$9)+'Inputs'!$B$28*ABS((('Results'!B7*(1+'Inputs'!$B$24)*(0.5*(((O36+'Inputs'!$B$21)+'Inputs'!$B$7)/SQRT(((O36+'Inputs'!$B$21)+'Inputs'!$B$7)^2+('Inputs'!$B$6/2)^2)-((O36+'Inputs'!$B$21))/SQRT(((O36+'Inputs'!$B$21))^2+('Inputs'!$B$6/2)^2)))-'Results'!C7*(1-'Inputs'!$B$24)*(0.5*(((O36+'Inputs'!$B$21+'Inputs'!$B$7+'Inputs'!$B$10)+'Inputs'!$B$9)/SQRT(((O36+'Inputs'!$B$21+'Inputs'!$B$7+'Inputs'!$B$10)+'Inputs'!$B$9)^2+('Inputs'!$B$8/2)^2)-((O36+'Inputs'!$B$21+'Inputs'!$B$7+'Inputs'!$B$10))/SQRT(((O36+'Inputs'!$B$21+'Inputs'!$B$7+'Inputs'!$B$10))^2+('Inputs'!$B$8/2)^2))))*'Results'!$B$8*'Results'!$B$9))),"")</x:f>
        <x:v>84.81736719789684</x:v>
      </x:c>
      <x:c r="Q36" s="22"/>
      <x:c r="R36" s="22"/>
      <x:c r="S36" s="22" t="n">
        <x:f>IF(V35&gt;='Results'!B13,U35,S35)</x:f>
        <x:v>7.844703048467636</x:v>
      </x:c>
      <x:c r="T36" s="22" t="n">
        <x:f>IF(V35&gt;='Results'!B13,T35,U35)</x:f>
        <x:v>7.844703085720539</x:v>
      </x:c>
      <x:c r="U36" s="22" t="n">
        <x:f>(S36+T36)/2</x:f>
        <x:v>7.844703067094088</x:v>
      </x:c>
      <x:c r="V36" s="22" t="n">
        <x:f>IF(AND(ISNUMBER('Results'!B7),ISNUMBER('Results'!C7),ISNUMBER('Results'!$B$8),ISNUMBER('Results'!$B$9),ISNUMBER('Inputs'!$B$6),ISNUMBER('Inputs'!$B$7),ISNUMBER('Inputs'!$B$8),ISNUMBER('Inputs'!$B$9),ISNUMBER('Inputs'!$B$10),ISNUMBER('Inputs'!$B$21),ISNUMBER('Inputs'!$B$24),ISNUMBER('Inputs'!$B$28)),(('Results'!B7*(0.5*(((U36+'Inputs'!$B$21)+'Inputs'!$B$7)/SQRT(((U36+'Inputs'!$B$21)+'Inputs'!$B$7)^2+('Inputs'!$B$6/2)^2)-((U36+'Inputs'!$B$21))/SQRT(((U36+'Inputs'!$B$21))^2+('Inputs'!$B$6/2)^2)))-'Results'!C7*(0.5*(((U36+'Inputs'!$B$21+'Inputs'!$B$7+'Inputs'!$B$10)+'Inputs'!$B$9)/SQRT(((U36+'Inputs'!$B$21+'Inputs'!$B$7+'Inputs'!$B$10)+'Inputs'!$B$9)^2+('Inputs'!$B$8/2)^2)-((U36+'Inputs'!$B$21+'Inputs'!$B$7+'Inputs'!$B$10))/SQRT(((U36+'Inputs'!$B$21+'Inputs'!$B$7+'Inputs'!$B$10))^2+('Inputs'!$B$8/2)^2))))*'Results'!$B$8*'Results'!$B$9),"")</x:f>
        <x:v>77.2634912833817</x:v>
      </x:c>
      <x:c r="W36" s="22"/>
      <x:c r="X36" s="22"/>
      <x:c r="Y36" s="22" t="n">
        <x:f>IF(AB35&gt;='Results'!B14,AA35,Y35)</x:f>
        <x:v>8.525647297501564</x:v>
      </x:c>
      <x:c r="Z36" s="22" t="n">
        <x:f>IF(AB35&gt;='Results'!B14,Z35,AA35)</x:f>
        <x:v>8.525647334754467</x:v>
      </x:c>
      <x:c r="AA36" s="22" t="n">
        <x:f>(Y36+Z36)/2</x:f>
        <x:v>8.525647316128016</x:v>
      </x:c>
      <x:c r="AB36" s="22" t="n">
        <x:f>IF(AND(ISNUMBER('Results'!B7),ISNUMBER('Results'!C7),ISNUMBER('Results'!$B$8),ISNUMBER('Results'!$B$9),ISNUMBER('Inputs'!$B$6),ISNUMBER('Inputs'!$B$7),ISNUMBER('Inputs'!$B$8),ISNUMBER('Inputs'!$B$9),ISNUMBER('Inputs'!$B$10),ISNUMBER('Inputs'!$B$21),ISNUMBER('Inputs'!$B$24),ISNUMBER('Inputs'!$B$28)),((('Results'!B7*(1+'Inputs'!$B$24)*(0.5*(((AA36+'Inputs'!$B$21)+'Inputs'!$B$7)/SQRT(((AA36+'Inputs'!$B$21)+'Inputs'!$B$7)^2+('Inputs'!$B$6/2)^2)-((AA36+'Inputs'!$B$21))/SQRT(((AA36+'Inputs'!$B$21))^2+('Inputs'!$B$6/2)^2)))-'Results'!C7*(1-'Inputs'!$B$24)*(0.5*(((AA36+'Inputs'!$B$21+'Inputs'!$B$7+'Inputs'!$B$10)+'Inputs'!$B$9)/SQRT(((AA36+'Inputs'!$B$21+'Inputs'!$B$7+'Inputs'!$B$10)+'Inputs'!$B$9)^2+('Inputs'!$B$8/2)^2)-((AA36+'Inputs'!$B$21+'Inputs'!$B$7+'Inputs'!$B$10))/SQRT(((AA36+'Inputs'!$B$21+'Inputs'!$B$7+'Inputs'!$B$10))^2+('Inputs'!$B$8/2)^2))))*'Results'!$B$8*'Results'!$B$9)+'Inputs'!$B$28*ABS((('Results'!B7*(1+'Inputs'!$B$24)*(0.5*(((AA36+'Inputs'!$B$21)+'Inputs'!$B$7)/SQRT(((AA36+'Inputs'!$B$21)+'Inputs'!$B$7)^2+('Inputs'!$B$6/2)^2)-((AA36+'Inputs'!$B$21))/SQRT(((AA36+'Inputs'!$B$21))^2+('Inputs'!$B$6/2)^2)))-'Results'!C7*(1-'Inputs'!$B$24)*(0.5*(((AA36+'Inputs'!$B$21+'Inputs'!$B$7+'Inputs'!$B$10)+'Inputs'!$B$9)/SQRT(((AA36+'Inputs'!$B$21+'Inputs'!$B$7+'Inputs'!$B$10)+'Inputs'!$B$9)^2+('Inputs'!$B$8/2)^2)-((AA36+'Inputs'!$B$21+'Inputs'!$B$7+'Inputs'!$B$10))/SQRT(((AA36+'Inputs'!$B$21+'Inputs'!$B$7+'Inputs'!$B$10))^2+('Inputs'!$B$8/2)^2))))*'Results'!$B$8*'Results'!$B$9))),"")</x:f>
        <x:v>66.90551579436696</x:v>
      </x:c>
      <x:c r="AC36" s="22"/>
      <x:c r="AD36" s="22"/>
      <x:c r="AE36" s="22" t="n">
        <x:f>IF(AH35&gt;='Results'!C10,AG35,AE35)</x:f>
        <x:v>6.922600008547306</x:v>
      </x:c>
      <x:c r="AF36" s="22" t="n">
        <x:f>IF(AH35&gt;='Results'!C10,AF35,AG35)</x:f>
        <x:v>6.922600045800209</x:v>
      </x:c>
      <x:c r="AG36" s="22" t="n">
        <x:f>(AE36+AF36)/2</x:f>
        <x:v>6.9226000271737576</x:v>
      </x:c>
      <x:c r="AH36" s="22" t="n">
        <x:f>IF(AND(ISNUMBER('Results'!C7),ISNUMBER('Results'!B7),ISNUMBER('Results'!$B$8),ISNUMBER('Results'!$B$9),ISNUMBER('Inputs'!$B$6),ISNUMBER('Inputs'!$B$7),ISNUMBER('Inputs'!$B$8),ISNUMBER('Inputs'!$B$9),ISNUMBER('Inputs'!$B$10),ISNUMBER('Inputs'!$B$21),ISNUMBER('Inputs'!$B$24),ISNUMBER('Inputs'!$B$28)),(('Results'!C7*(0.5*(((AG36+'Inputs'!$B$21)+'Inputs'!$B$9)/SQRT(((AG36+'Inputs'!$B$21)+'Inputs'!$B$9)^2+('Inputs'!$B$8/2)^2)-((AG36+'Inputs'!$B$21))/SQRT(((AG36+'Inputs'!$B$21))^2+('Inputs'!$B$8/2)^2)))-'Results'!B7*(0.5*(((AG36+'Inputs'!$B$21+'Inputs'!$B$9+'Inputs'!$B$10)+'Inputs'!$B$7)/SQRT(((AG36+'Inputs'!$B$21+'Inputs'!$B$9+'Inputs'!$B$10)+'Inputs'!$B$7)^2+('Inputs'!$B$6/2)^2)-((AG36+'Inputs'!$B$21+'Inputs'!$B$9+'Inputs'!$B$10))/SQRT(((AG36+'Inputs'!$B$21+'Inputs'!$B$9+'Inputs'!$B$10))^2+('Inputs'!$B$6/2)^2))))*'Results'!$B$8*'Results'!$B$9),"")</x:f>
        <x:v>104.00874139443916</x:v>
      </x:c>
      <x:c r="AI36" s="22"/>
      <x:c r="AJ36" s="22"/>
      <x:c r="AK36" s="22" t="n">
        <x:f>IF(AN35&gt;='Results'!C12,AM35,AK35)</x:f>
        <x:v>6.34529884904623</x:v>
      </x:c>
      <x:c r="AL36" s="22" t="n">
        <x:f>IF(AN35&gt;='Results'!C12,AL35,AM35)</x:f>
        <x:v>6.345298886299133</x:v>
      </x:c>
      <x:c r="AM36" s="22" t="n">
        <x:f>(AK36+AL36)/2</x:f>
        <x:v>6.345298867672682</x:v>
      </x:c>
      <x:c r="AN36" s="22" t="n">
        <x:f>IF(AND(ISNUMBER('Results'!C7),ISNUMBER('Results'!B7),ISNUMBER('Results'!$B$8),ISNUMBER('Results'!$B$9),ISNUMBER('Inputs'!$B$6),ISNUMBER('Inputs'!$B$7),ISNUMBER('Inputs'!$B$8),ISNUMBER('Inputs'!$B$9),ISNUMBER('Inputs'!$B$10),ISNUMBER('Inputs'!$B$21),ISNUMBER('Inputs'!$B$24),ISNUMBER('Inputs'!$B$28)),((('Results'!C7*(1-'Inputs'!$B$24)*(0.5*(((AM36+'Inputs'!$B$21)+'Inputs'!$B$9)/SQRT(((AM36+'Inputs'!$B$21)+'Inputs'!$B$9)^2+('Inputs'!$B$8/2)^2)-((AM36+'Inputs'!$B$21))/SQRT(((AM36+'Inputs'!$B$21))^2+('Inputs'!$B$8/2)^2)))-'Results'!B7*(1+'Inputs'!$B$24)*(0.5*(((AM36+'Inputs'!$B$21+'Inputs'!$B$9+'Inputs'!$B$10)+'Inputs'!$B$7)/SQRT(((AM36+'Inputs'!$B$21+'Inputs'!$B$9+'Inputs'!$B$10)+'Inputs'!$B$7)^2+('Inputs'!$B$6/2)^2)-((AM36+'Inputs'!$B$21+'Inputs'!$B$9+'Inputs'!$B$10))/SQRT(((AM36+'Inputs'!$B$21+'Inputs'!$B$9+'Inputs'!$B$10))^2+('Inputs'!$B$6/2)^2))))*'Results'!$B$8*'Results'!$B$9)-'Inputs'!$B$28*ABS((('Results'!C7*(1-'Inputs'!$B$24)*(0.5*(((AM36+'Inputs'!$B$21)+'Inputs'!$B$9)/SQRT(((AM36+'Inputs'!$B$21)+'Inputs'!$B$9)^2+('Inputs'!$B$8/2)^2)-((AM36+'Inputs'!$B$21))/SQRT(((AM36+'Inputs'!$B$21))^2+('Inputs'!$B$8/2)^2)))-'Results'!B7*(1+'Inputs'!$B$24)*(0.5*(((AM36+'Inputs'!$B$21+'Inputs'!$B$9+'Inputs'!$B$10)+'Inputs'!$B$7)/SQRT(((AM36+'Inputs'!$B$21+'Inputs'!$B$9+'Inputs'!$B$10)+'Inputs'!$B$7)^2+('Inputs'!$B$6/2)^2)-((AM36+'Inputs'!$B$21+'Inputs'!$B$9+'Inputs'!$B$10))/SQRT(((AM36+'Inputs'!$B$21+'Inputs'!$B$9+'Inputs'!$B$10))^2+('Inputs'!$B$6/2)^2))))*'Results'!$B$8*'Results'!$B$9))),"")</x:f>
        <x:v>119.21786231379193</x:v>
      </x:c>
      <x:c r="AO36" s="22"/>
      <x:c r="AP36" s="22"/>
      <x:c r="AQ36" s="22" t="n">
        <x:f>IF(AT35&gt;='Results'!C11,AS35,AQ35)</x:f>
        <x:v>7.55120687186718</x:v>
      </x:c>
      <x:c r="AR36" s="22" t="n">
        <x:f>IF(AT35&gt;='Results'!C11,AR35,AS35)</x:f>
        <x:v>7.551206909120083</x:v>
      </x:c>
      <x:c r="AS36" s="22" t="n">
        <x:f>(AQ36+AR36)/2</x:f>
        <x:v>7.551206890493631</x:v>
      </x:c>
      <x:c r="AT36" s="22" t="n">
        <x:f>IF(AND(ISNUMBER('Results'!C7),ISNUMBER('Results'!B7),ISNUMBER('Results'!$B$8),ISNUMBER('Results'!$B$9),ISNUMBER('Inputs'!$B$6),ISNUMBER('Inputs'!$B$7),ISNUMBER('Inputs'!$B$8),ISNUMBER('Inputs'!$B$9),ISNUMBER('Inputs'!$B$10),ISNUMBER('Inputs'!$B$21),ISNUMBER('Inputs'!$B$24),ISNUMBER('Inputs'!$B$28)),((('Results'!C7*(1+'Inputs'!$B$24)*(0.5*(((AS36+'Inputs'!$B$21)+'Inputs'!$B$9)/SQRT(((AS36+'Inputs'!$B$21)+'Inputs'!$B$9)^2+('Inputs'!$B$8/2)^2)-((AS36+'Inputs'!$B$21))/SQRT(((AS36+'Inputs'!$B$21))^2+('Inputs'!$B$8/2)^2)))-'Results'!B7*(1-'Inputs'!$B$24)*(0.5*(((AS36+'Inputs'!$B$21+'Inputs'!$B$9+'Inputs'!$B$10)+'Inputs'!$B$7)/SQRT(((AS36+'Inputs'!$B$21+'Inputs'!$B$9+'Inputs'!$B$10)+'Inputs'!$B$7)^2+('Inputs'!$B$6/2)^2)-((AS36+'Inputs'!$B$21+'Inputs'!$B$9+'Inputs'!$B$10))/SQRT(((AS36+'Inputs'!$B$21+'Inputs'!$B$9+'Inputs'!$B$10))^2+('Inputs'!$B$6/2)^2))))*'Results'!$B$8*'Results'!$B$9)+'Inputs'!$B$28*ABS((('Results'!C7*(1+'Inputs'!$B$24)*(0.5*(((AS36+'Inputs'!$B$21)+'Inputs'!$B$9)/SQRT(((AS36+'Inputs'!$B$21)+'Inputs'!$B$9)^2+('Inputs'!$B$8/2)^2)-((AS36+'Inputs'!$B$21))/SQRT(((AS36+'Inputs'!$B$21))^2+('Inputs'!$B$8/2)^2)))-'Results'!B7*(1-'Inputs'!$B$24)*(0.5*(((AS36+'Inputs'!$B$21+'Inputs'!$B$9+'Inputs'!$B$10)+'Inputs'!$B$7)/SQRT(((AS36+'Inputs'!$B$21+'Inputs'!$B$9+'Inputs'!$B$10)+'Inputs'!$B$7)^2+('Inputs'!$B$6/2)^2)-((AS36+'Inputs'!$B$21+'Inputs'!$B$9+'Inputs'!$B$10))/SQRT(((AS36+'Inputs'!$B$21+'Inputs'!$B$9+'Inputs'!$B$10))^2+('Inputs'!$B$6/2)^2))))*'Results'!$B$8*'Results'!$B$9))),"")</x:f>
        <x:v>89.91248433869708</x:v>
      </x:c>
      <x:c r="AU36" s="22"/>
      <x:c r="AV36" s="22"/>
      <x:c r="AW36" s="22" t="n">
        <x:f>IF(AZ35&gt;='Results'!C13,AY35,AW35)</x:f>
        <x:v>7.5827282294631</x:v>
      </x:c>
      <x:c r="AX36" s="22" t="n">
        <x:f>IF(AZ35&gt;='Results'!C13,AX35,AY35)</x:f>
        <x:v>7.582728266716003</x:v>
      </x:c>
      <x:c r="AY36" s="22" t="n">
        <x:f>(AW36+AX36)/2</x:f>
        <x:v>7.582728248089552</x:v>
      </x:c>
      <x:c r="AZ36" s="22" t="n">
        <x:f>IF(AND(ISNUMBER('Results'!C7),ISNUMBER('Results'!B7),ISNUMBER('Results'!$B$8),ISNUMBER('Results'!$B$9),ISNUMBER('Inputs'!$B$6),ISNUMBER('Inputs'!$B$7),ISNUMBER('Inputs'!$B$8),ISNUMBER('Inputs'!$B$9),ISNUMBER('Inputs'!$B$10),ISNUMBER('Inputs'!$B$21),ISNUMBER('Inputs'!$B$24),ISNUMBER('Inputs'!$B$28)),(('Results'!C7*(0.5*(((AY36+'Inputs'!$B$21)+'Inputs'!$B$9)/SQRT(((AY36+'Inputs'!$B$21)+'Inputs'!$B$9)^2+('Inputs'!$B$8/2)^2)-((AY36+'Inputs'!$B$21))/SQRT(((AY36+'Inputs'!$B$21))^2+('Inputs'!$B$8/2)^2)))-'Results'!B7*(0.5*(((AY36+'Inputs'!$B$21+'Inputs'!$B$9+'Inputs'!$B$10)+'Inputs'!$B$7)/SQRT(((AY36+'Inputs'!$B$21+'Inputs'!$B$9+'Inputs'!$B$10)+'Inputs'!$B$7)^2+('Inputs'!$B$6/2)^2)-((AY36+'Inputs'!$B$21+'Inputs'!$B$9+'Inputs'!$B$10))/SQRT(((AY36+'Inputs'!$B$21+'Inputs'!$B$9+'Inputs'!$B$10))^2+('Inputs'!$B$6/2)^2))))*'Results'!$B$8*'Results'!$B$9),"")</x:f>
        <x:v>81.6011841030633</x:v>
      </x:c>
      <x:c r="BA36" s="22"/>
      <x:c r="BB36" s="22"/>
      <x:c r="BC36" s="22" t="n">
        <x:f>IF(BF35&gt;='Results'!C14,BE35,BC35)</x:f>
        <x:v>8.246886320412159</x:v>
      </x:c>
      <x:c r="BD36" s="22" t="n">
        <x:f>IF(BF35&gt;='Results'!C14,BD35,BE35)</x:f>
        <x:v>8.246886357665062</x:v>
      </x:c>
      <x:c r="BE36" s="22" t="n">
        <x:f>(BC36+BD36)/2</x:f>
        <x:v>8.24688633903861</x:v>
      </x:c>
      <x:c r="BF36" s="22" t="n">
        <x:f>IF(AND(ISNUMBER('Results'!C7),ISNUMBER('Results'!B7),ISNUMBER('Results'!$B$8),ISNUMBER('Results'!$B$9),ISNUMBER('Inputs'!$B$6),ISNUMBER('Inputs'!$B$7),ISNUMBER('Inputs'!$B$8),ISNUMBER('Inputs'!$B$9),ISNUMBER('Inputs'!$B$10),ISNUMBER('Inputs'!$B$21),ISNUMBER('Inputs'!$B$24),ISNUMBER('Inputs'!$B$28)),((('Results'!C7*(1+'Inputs'!$B$24)*(0.5*(((BE36+'Inputs'!$B$21)+'Inputs'!$B$9)/SQRT(((BE36+'Inputs'!$B$21)+'Inputs'!$B$9)^2+('Inputs'!$B$8/2)^2)-((BE36+'Inputs'!$B$21))/SQRT(((BE36+'Inputs'!$B$21))^2+('Inputs'!$B$8/2)^2)))-'Results'!B7*(1-'Inputs'!$B$24)*(0.5*(((BE36+'Inputs'!$B$21+'Inputs'!$B$9+'Inputs'!$B$10)+'Inputs'!$B$7)/SQRT(((BE36+'Inputs'!$B$21+'Inputs'!$B$9+'Inputs'!$B$10)+'Inputs'!$B$7)^2+('Inputs'!$B$6/2)^2)-((BE36+'Inputs'!$B$21+'Inputs'!$B$9+'Inputs'!$B$10))/SQRT(((BE36+'Inputs'!$B$21+'Inputs'!$B$9+'Inputs'!$B$10))^2+('Inputs'!$B$6/2)^2))))*'Results'!$B$8*'Results'!$B$9)+'Inputs'!$B$28*ABS((('Results'!C7*(1+'Inputs'!$B$24)*(0.5*(((BE36+'Inputs'!$B$21)+'Inputs'!$B$9)/SQRT(((BE36+'Inputs'!$B$21)+'Inputs'!$B$9)^2+('Inputs'!$B$8/2)^2)-((BE36+'Inputs'!$B$21))/SQRT(((BE36+'Inputs'!$B$21))^2+('Inputs'!$B$8/2)^2)))-'Results'!B7*(1-'Inputs'!$B$24)*(0.5*(((BE36+'Inputs'!$B$21+'Inputs'!$B$9+'Inputs'!$B$10)+'Inputs'!$B$7)/SQRT(((BE36+'Inputs'!$B$21+'Inputs'!$B$9+'Inputs'!$B$10)+'Inputs'!$B$7)^2+('Inputs'!$B$6/2)^2)-((BE36+'Inputs'!$B$21+'Inputs'!$B$9+'Inputs'!$B$10))/SQRT(((BE36+'Inputs'!$B$21+'Inputs'!$B$9+'Inputs'!$B$10))^2+('Inputs'!$B$6/2)^2))))*'Results'!$B$8*'Results'!$B$9))),"")</x:f>
        <x:v>70.64020743517237</x:v>
      </x:c>
      <x:c r="BG36" s="22"/>
      <x:c r="BH36" s="22"/>
    </x:row>
    <x:row r="37" ht="22" customHeight="1">
      <x:c r="A37" s="22" t="n">
        <x:f>IF(D36&gt;='Results'!B10,C36,A36)</x:f>
        <x:v>7.177632357925177</x:v>
      </x:c>
      <x:c r="B37" s="22" t="n">
        <x:f>IF(D36&gt;='Results'!B10,B36,C36)</x:f>
        <x:v>7.177632376551628</x:v>
      </x:c>
      <x:c r="C37" s="22" t="n">
        <x:f>(A37+B37)/2</x:f>
        <x:v>7.177632367238402</x:v>
      </x:c>
      <x:c r="D37" s="22" t="n">
        <x:f>IF(AND(ISNUMBER('Results'!B7),ISNUMBER('Results'!C7),ISNUMBER('Results'!$B$8),ISNUMBER('Results'!$B$9),ISNUMBER('Inputs'!$B$6),ISNUMBER('Inputs'!$B$7),ISNUMBER('Inputs'!$B$8),ISNUMBER('Inputs'!$B$9),ISNUMBER('Inputs'!$B$10),ISNUMBER('Inputs'!$B$21),ISNUMBER('Inputs'!$B$24),ISNUMBER('Inputs'!$B$28)),(('Results'!B7*(0.5*(((C37+'Inputs'!$B$21)+'Inputs'!$B$7)/SQRT(((C37+'Inputs'!$B$21)+'Inputs'!$B$7)^2+('Inputs'!$B$6/2)^2)-((C37+'Inputs'!$B$21))/SQRT(((C37+'Inputs'!$B$21))^2+('Inputs'!$B$6/2)^2)))-'Results'!C7*(0.5*(((C37+'Inputs'!$B$21+'Inputs'!$B$7+'Inputs'!$B$10)+'Inputs'!$B$9)/SQRT(((C37+'Inputs'!$B$21+'Inputs'!$B$7+'Inputs'!$B$10)+'Inputs'!$B$9)^2+('Inputs'!$B$8/2)^2)-((C37+'Inputs'!$B$21+'Inputs'!$B$7+'Inputs'!$B$10))/SQRT(((C37+'Inputs'!$B$21+'Inputs'!$B$7+'Inputs'!$B$10))^2+('Inputs'!$B$8/2)^2))))*'Results'!$B$8*'Results'!$B$9),"")</x:f>
        <x:v>98.0811431647927</x:v>
      </x:c>
      <x:c r="E37" s="22"/>
      <x:c r="F37" s="22"/>
      <x:c r="G37" s="22" t="n">
        <x:f>IF(J36&gt;='Results'!B12,I36,G36)</x:f>
        <x:v>6.58660389482975</x:v>
      </x:c>
      <x:c r="H37" s="22" t="n">
        <x:f>IF(J36&gt;='Results'!B12,H36,I36)</x:f>
        <x:v>6.5866039134562016</x:v>
      </x:c>
      <x:c r="I37" s="22" t="n">
        <x:f>(G37+H37)/2</x:f>
        <x:v>6.586603904142976</x:v>
      </x:c>
      <x:c r="J37" s="22" t="n">
        <x:f>IF(AND(ISNUMBER('Results'!B7),ISNUMBER('Results'!C7),ISNUMBER('Results'!$B$8),ISNUMBER('Results'!$B$9),ISNUMBER('Inputs'!$B$6),ISNUMBER('Inputs'!$B$7),ISNUMBER('Inputs'!$B$8),ISNUMBER('Inputs'!$B$9),ISNUMBER('Inputs'!$B$10),ISNUMBER('Inputs'!$B$21),ISNUMBER('Inputs'!$B$24),ISNUMBER('Inputs'!$B$28)),((('Results'!B7*(1-'Inputs'!$B$24)*(0.5*(((I37+'Inputs'!$B$21)+'Inputs'!$B$7)/SQRT(((I37+'Inputs'!$B$21)+'Inputs'!$B$7)^2+('Inputs'!$B$6/2)^2)-((I37+'Inputs'!$B$21))/SQRT(((I37+'Inputs'!$B$21))^2+('Inputs'!$B$6/2)^2)))-'Results'!C7*(1+'Inputs'!$B$24)*(0.5*(((I37+'Inputs'!$B$21+'Inputs'!$B$7+'Inputs'!$B$10)+'Inputs'!$B$9)/SQRT(((I37+'Inputs'!$B$21+'Inputs'!$B$7+'Inputs'!$B$10)+'Inputs'!$B$9)^2+('Inputs'!$B$8/2)^2)-((I37+'Inputs'!$B$21+'Inputs'!$B$7+'Inputs'!$B$10))/SQRT(((I37+'Inputs'!$B$21+'Inputs'!$B$7+'Inputs'!$B$10))^2+('Inputs'!$B$8/2)^2))))*'Results'!$B$8*'Results'!$B$9)-'Inputs'!$B$28*ABS((('Results'!B7*(1-'Inputs'!$B$24)*(0.5*(((I37+'Inputs'!$B$21)+'Inputs'!$B$7)/SQRT(((I37+'Inputs'!$B$21)+'Inputs'!$B$7)^2+('Inputs'!$B$6/2)^2)-((I37+'Inputs'!$B$21))/SQRT(((I37+'Inputs'!$B$21))^2+('Inputs'!$B$6/2)^2)))-'Results'!C7*(1+'Inputs'!$B$24)*(0.5*(((I37+'Inputs'!$B$21+'Inputs'!$B$7+'Inputs'!$B$10)+'Inputs'!$B$9)/SQRT(((I37+'Inputs'!$B$21+'Inputs'!$B$7+'Inputs'!$B$10)+'Inputs'!$B$9)^2+('Inputs'!$B$8/2)^2)-((I37+'Inputs'!$B$21+'Inputs'!$B$7+'Inputs'!$B$10))/SQRT(((I37+'Inputs'!$B$21+'Inputs'!$B$7+'Inputs'!$B$10))^2+('Inputs'!$B$8/2)^2))))*'Results'!$B$8*'Results'!$B$9))),"")</x:f>
        <x:v>112.38227983174164</x:v>
      </x:c>
      <x:c r="K37" s="22"/>
      <x:c r="L37" s="22"/>
      <x:c r="M37" s="22" t="n">
        <x:f>IF(P36&gt;='Results'!B11,O36,M36)</x:f>
        <x:v>7.82192824408412</x:v>
      </x:c>
      <x:c r="N37" s="22" t="n">
        <x:f>IF(P36&gt;='Results'!B11,N36,O36)</x:f>
        <x:v>7.821928262710571</x:v>
      </x:c>
      <x:c r="O37" s="22" t="n">
        <x:f>(M37+N37)/2</x:f>
        <x:v>7.8219282533973455</x:v>
      </x:c>
      <x:c r="P37" s="22" t="n">
        <x:f>IF(AND(ISNUMBER('Results'!B7),ISNUMBER('Results'!C7),ISNUMBER('Results'!$B$8),ISNUMBER('Results'!$B$9),ISNUMBER('Inputs'!$B$6),ISNUMBER('Inputs'!$B$7),ISNUMBER('Inputs'!$B$8),ISNUMBER('Inputs'!$B$9),ISNUMBER('Inputs'!$B$10),ISNUMBER('Inputs'!$B$21),ISNUMBER('Inputs'!$B$24),ISNUMBER('Inputs'!$B$28)),((('Results'!B7*(1+'Inputs'!$B$24)*(0.5*(((O37+'Inputs'!$B$21)+'Inputs'!$B$7)/SQRT(((O37+'Inputs'!$B$21)+'Inputs'!$B$7)^2+('Inputs'!$B$6/2)^2)-((O37+'Inputs'!$B$21))/SQRT(((O37+'Inputs'!$B$21))^2+('Inputs'!$B$6/2)^2)))-'Results'!C7*(1-'Inputs'!$B$24)*(0.5*(((O37+'Inputs'!$B$21+'Inputs'!$B$7+'Inputs'!$B$10)+'Inputs'!$B$9)/SQRT(((O37+'Inputs'!$B$21+'Inputs'!$B$7+'Inputs'!$B$10)+'Inputs'!$B$9)^2+('Inputs'!$B$8/2)^2)-((O37+'Inputs'!$B$21+'Inputs'!$B$7+'Inputs'!$B$10))/SQRT(((O37+'Inputs'!$B$21+'Inputs'!$B$7+'Inputs'!$B$10))^2+('Inputs'!$B$8/2)^2))))*'Results'!$B$8*'Results'!$B$9)+'Inputs'!$B$28*ABS((('Results'!B7*(1+'Inputs'!$B$24)*(0.5*(((O37+'Inputs'!$B$21)+'Inputs'!$B$7)/SQRT(((O37+'Inputs'!$B$21)+'Inputs'!$B$7)^2+('Inputs'!$B$6/2)^2)-((O37+'Inputs'!$B$21))/SQRT(((O37+'Inputs'!$B$21))^2+('Inputs'!$B$6/2)^2)))-'Results'!C7*(1-'Inputs'!$B$24)*(0.5*(((O37+'Inputs'!$B$21+'Inputs'!$B$7+'Inputs'!$B$10)+'Inputs'!$B$9)/SQRT(((O37+'Inputs'!$B$21+'Inputs'!$B$7+'Inputs'!$B$10)+'Inputs'!$B$9)^2+('Inputs'!$B$8/2)^2)-((O37+'Inputs'!$B$21+'Inputs'!$B$7+'Inputs'!$B$10))/SQRT(((O37+'Inputs'!$B$21+'Inputs'!$B$7+'Inputs'!$B$10))^2+('Inputs'!$B$8/2)^2))))*'Results'!$B$8*'Results'!$B$9))),"")</x:f>
        <x:v>84.81736692411768</x:v>
      </x:c>
      <x:c r="Q37" s="22"/>
      <x:c r="R37" s="22"/>
      <x:c r="S37" s="22" t="n">
        <x:f>IF(V36&gt;='Results'!B13,U36,S36)</x:f>
        <x:v>7.844703048467636</x:v>
      </x:c>
      <x:c r="T37" s="22" t="n">
        <x:f>IF(V36&gt;='Results'!B13,T36,U36)</x:f>
        <x:v>7.844703067094088</x:v>
      </x:c>
      <x:c r="U37" s="22" t="n">
        <x:f>(S37+T37)/2</x:f>
        <x:v>7.844703057780862</x:v>
      </x:c>
      <x:c r="V37" s="22" t="n">
        <x:f>IF(AND(ISNUMBER('Results'!B7),ISNUMBER('Results'!C7),ISNUMBER('Results'!$B$8),ISNUMBER('Results'!$B$9),ISNUMBER('Inputs'!$B$6),ISNUMBER('Inputs'!$B$7),ISNUMBER('Inputs'!$B$8),ISNUMBER('Inputs'!$B$9),ISNUMBER('Inputs'!$B$10),ISNUMBER('Inputs'!$B$21),ISNUMBER('Inputs'!$B$24),ISNUMBER('Inputs'!$B$28)),(('Results'!B7*(0.5*(((U37+'Inputs'!$B$21)+'Inputs'!$B$7)/SQRT(((U37+'Inputs'!$B$21)+'Inputs'!$B$7)^2+('Inputs'!$B$6/2)^2)-((U37+'Inputs'!$B$21))/SQRT(((U37+'Inputs'!$B$21))^2+('Inputs'!$B$6/2)^2)))-'Results'!C7*(0.5*(((U37+'Inputs'!$B$21+'Inputs'!$B$7+'Inputs'!$B$10)+'Inputs'!$B$9)/SQRT(((U37+'Inputs'!$B$21+'Inputs'!$B$7+'Inputs'!$B$10)+'Inputs'!$B$9)^2+('Inputs'!$B$8/2)^2)-((U37+'Inputs'!$B$21+'Inputs'!$B$7+'Inputs'!$B$10))/SQRT(((U37+'Inputs'!$B$21+'Inputs'!$B$7+'Inputs'!$B$10))^2+('Inputs'!$B$8/2)^2))))*'Results'!$B$8*'Results'!$B$9),"")</x:f>
        <x:v>77.26349153391625</x:v>
      </x:c>
      <x:c r="W37" s="22"/>
      <x:c r="X37" s="22"/>
      <x:c r="Y37" s="22" t="n">
        <x:f>IF(AB36&gt;='Results'!B14,AA36,Y36)</x:f>
        <x:v>8.525647297501564</x:v>
      </x:c>
      <x:c r="Z37" s="22" t="n">
        <x:f>IF(AB36&gt;='Results'!B14,Z36,AA36)</x:f>
        <x:v>8.525647316128016</x:v>
      </x:c>
      <x:c r="AA37" s="22" t="n">
        <x:f>(Y37+Z37)/2</x:f>
        <x:v>8.52564730681479</x:v>
      </x:c>
      <x:c r="AB37" s="22" t="n">
        <x:f>IF(AND(ISNUMBER('Results'!B7),ISNUMBER('Results'!C7),ISNUMBER('Results'!$B$8),ISNUMBER('Results'!$B$9),ISNUMBER('Inputs'!$B$6),ISNUMBER('Inputs'!$B$7),ISNUMBER('Inputs'!$B$8),ISNUMBER('Inputs'!$B$9),ISNUMBER('Inputs'!$B$10),ISNUMBER('Inputs'!$B$21),ISNUMBER('Inputs'!$B$24),ISNUMBER('Inputs'!$B$28)),((('Results'!B7*(1+'Inputs'!$B$24)*(0.5*(((AA37+'Inputs'!$B$21)+'Inputs'!$B$7)/SQRT(((AA37+'Inputs'!$B$21)+'Inputs'!$B$7)^2+('Inputs'!$B$6/2)^2)-((AA37+'Inputs'!$B$21))/SQRT(((AA37+'Inputs'!$B$21))^2+('Inputs'!$B$6/2)^2)))-'Results'!C7*(1-'Inputs'!$B$24)*(0.5*(((AA37+'Inputs'!$B$21+'Inputs'!$B$7+'Inputs'!$B$10)+'Inputs'!$B$9)/SQRT(((AA37+'Inputs'!$B$21+'Inputs'!$B$7+'Inputs'!$B$10)+'Inputs'!$B$9)^2+('Inputs'!$B$8/2)^2)-((AA37+'Inputs'!$B$21+'Inputs'!$B$7+'Inputs'!$B$10))/SQRT(((AA37+'Inputs'!$B$21+'Inputs'!$B$7+'Inputs'!$B$10))^2+('Inputs'!$B$8/2)^2))))*'Results'!$B$8*'Results'!$B$9)+'Inputs'!$B$28*ABS((('Results'!B7*(1+'Inputs'!$B$24)*(0.5*(((AA37+'Inputs'!$B$21)+'Inputs'!$B$7)/SQRT(((AA37+'Inputs'!$B$21)+'Inputs'!$B$7)^2+('Inputs'!$B$6/2)^2)-((AA37+'Inputs'!$B$21))/SQRT(((AA37+'Inputs'!$B$21))^2+('Inputs'!$B$6/2)^2)))-'Results'!C7*(1-'Inputs'!$B$24)*(0.5*(((AA37+'Inputs'!$B$21+'Inputs'!$B$7+'Inputs'!$B$10)+'Inputs'!$B$9)/SQRT(((AA37+'Inputs'!$B$21+'Inputs'!$B$7+'Inputs'!$B$10)+'Inputs'!$B$9)^2+('Inputs'!$B$8/2)^2)-((AA37+'Inputs'!$B$21+'Inputs'!$B$7+'Inputs'!$B$10))/SQRT(((AA37+'Inputs'!$B$21+'Inputs'!$B$7+'Inputs'!$B$10))^2+('Inputs'!$B$8/2)^2))))*'Results'!$B$8*'Results'!$B$9))),"")</x:f>
        <x:v>66.90551599867065</x:v>
      </x:c>
      <x:c r="AC37" s="22"/>
      <x:c r="AD37" s="22"/>
      <x:c r="AE37" s="22" t="n">
        <x:f>IF(AH36&gt;='Results'!C10,AG36,AE36)</x:f>
        <x:v>6.9226000271737576</x:v>
      </x:c>
      <x:c r="AF37" s="22" t="n">
        <x:f>IF(AH36&gt;='Results'!C10,AF36,AG36)</x:f>
        <x:v>6.922600045800209</x:v>
      </x:c>
      <x:c r="AG37" s="22" t="n">
        <x:f>(AE37+AF37)/2</x:f>
        <x:v>6.922600036486983</x:v>
      </x:c>
      <x:c r="AH37" s="22" t="n">
        <x:f>IF(AND(ISNUMBER('Results'!C7),ISNUMBER('Results'!B7),ISNUMBER('Results'!$B$8),ISNUMBER('Results'!$B$9),ISNUMBER('Inputs'!$B$6),ISNUMBER('Inputs'!$B$7),ISNUMBER('Inputs'!$B$8),ISNUMBER('Inputs'!$B$9),ISNUMBER('Inputs'!$B$10),ISNUMBER('Inputs'!$B$21),ISNUMBER('Inputs'!$B$24),ISNUMBER('Inputs'!$B$28)),(('Results'!C7*(0.5*(((AG37+'Inputs'!$B$21)+'Inputs'!$B$9)/SQRT(((AG37+'Inputs'!$B$21)+'Inputs'!$B$9)^2+('Inputs'!$B$8/2)^2)-((AG37+'Inputs'!$B$21))/SQRT(((AG37+'Inputs'!$B$21))^2+('Inputs'!$B$8/2)^2)))-'Results'!B7*(0.5*(((AG37+'Inputs'!$B$21+'Inputs'!$B$9+'Inputs'!$B$10)+'Inputs'!$B$7)/SQRT(((AG37+'Inputs'!$B$21+'Inputs'!$B$9+'Inputs'!$B$10)+'Inputs'!$B$7)^2+('Inputs'!$B$6/2)^2)-((AG37+'Inputs'!$B$21+'Inputs'!$B$9+'Inputs'!$B$10))/SQRT(((AG37+'Inputs'!$B$21+'Inputs'!$B$9+'Inputs'!$B$10))^2+('Inputs'!$B$6/2)^2))))*'Results'!$B$8*'Results'!$B$9),"")</x:f>
        <x:v>104.00874102883104</x:v>
      </x:c>
      <x:c r="AI37" s="22"/>
      <x:c r="AJ37" s="22"/>
      <x:c r="AK37" s="22" t="n">
        <x:f>IF(AN36&gt;='Results'!C12,AM36,AK36)</x:f>
        <x:v>6.345298867672682</x:v>
      </x:c>
      <x:c r="AL37" s="22" t="n">
        <x:f>IF(AN36&gt;='Results'!C12,AL36,AM36)</x:f>
        <x:v>6.345298886299133</x:v>
      </x:c>
      <x:c r="AM37" s="22" t="n">
        <x:f>(AK37+AL37)/2</x:f>
        <x:v>6.3452988769859076</x:v>
      </x:c>
      <x:c r="AN37" s="22" t="n">
        <x:f>IF(AND(ISNUMBER('Results'!C7),ISNUMBER('Results'!B7),ISNUMBER('Results'!$B$8),ISNUMBER('Results'!$B$9),ISNUMBER('Inputs'!$B$6),ISNUMBER('Inputs'!$B$7),ISNUMBER('Inputs'!$B$8),ISNUMBER('Inputs'!$B$9),ISNUMBER('Inputs'!$B$10),ISNUMBER('Inputs'!$B$21),ISNUMBER('Inputs'!$B$24),ISNUMBER('Inputs'!$B$28)),((('Results'!C7*(1-'Inputs'!$B$24)*(0.5*(((AM37+'Inputs'!$B$21)+'Inputs'!$B$9)/SQRT(((AM37+'Inputs'!$B$21)+'Inputs'!$B$9)^2+('Inputs'!$B$8/2)^2)-((AM37+'Inputs'!$B$21))/SQRT(((AM37+'Inputs'!$B$21))^2+('Inputs'!$B$8/2)^2)))-'Results'!B7*(1+'Inputs'!$B$24)*(0.5*(((AM37+'Inputs'!$B$21+'Inputs'!$B$9+'Inputs'!$B$10)+'Inputs'!$B$7)/SQRT(((AM37+'Inputs'!$B$21+'Inputs'!$B$9+'Inputs'!$B$10)+'Inputs'!$B$7)^2+('Inputs'!$B$6/2)^2)-((AM37+'Inputs'!$B$21+'Inputs'!$B$9+'Inputs'!$B$10))/SQRT(((AM37+'Inputs'!$B$21+'Inputs'!$B$9+'Inputs'!$B$10))^2+('Inputs'!$B$6/2)^2))))*'Results'!$B$8*'Results'!$B$9)-'Inputs'!$B$28*ABS((('Results'!C7*(1-'Inputs'!$B$24)*(0.5*(((AM37+'Inputs'!$B$21)+'Inputs'!$B$9)/SQRT(((AM37+'Inputs'!$B$21)+'Inputs'!$B$9)^2+('Inputs'!$B$8/2)^2)-((AM37+'Inputs'!$B$21))/SQRT(((AM37+'Inputs'!$B$21))^2+('Inputs'!$B$8/2)^2)))-'Results'!B7*(1+'Inputs'!$B$24)*(0.5*(((AM37+'Inputs'!$B$21+'Inputs'!$B$9+'Inputs'!$B$10)+'Inputs'!$B$7)/SQRT(((AM37+'Inputs'!$B$21+'Inputs'!$B$9+'Inputs'!$B$10)+'Inputs'!$B$7)^2+('Inputs'!$B$6/2)^2)-((AM37+'Inputs'!$B$21+'Inputs'!$B$9+'Inputs'!$B$10))/SQRT(((AM37+'Inputs'!$B$21+'Inputs'!$B$9+'Inputs'!$B$10))^2+('Inputs'!$B$6/2)^2))))*'Results'!$B$8*'Results'!$B$9))),"")</x:f>
        <x:v>119.21786187179539</x:v>
      </x:c>
      <x:c r="AO37" s="22"/>
      <x:c r="AP37" s="22"/>
      <x:c r="AQ37" s="22" t="n">
        <x:f>IF(AT36&gt;='Results'!C11,AS36,AQ36)</x:f>
        <x:v>7.55120687186718</x:v>
      </x:c>
      <x:c r="AR37" s="22" t="n">
        <x:f>IF(AT36&gt;='Results'!C11,AR36,AS36)</x:f>
        <x:v>7.551206890493631</x:v>
      </x:c>
      <x:c r="AS37" s="22" t="n">
        <x:f>(AQ37+AR37)/2</x:f>
        <x:v>7.551206881180406</x:v>
      </x:c>
      <x:c r="AT37" s="22" t="n">
        <x:f>IF(AND(ISNUMBER('Results'!C7),ISNUMBER('Results'!B7),ISNUMBER('Results'!$B$8),ISNUMBER('Results'!$B$9),ISNUMBER('Inputs'!$B$6),ISNUMBER('Inputs'!$B$7),ISNUMBER('Inputs'!$B$8),ISNUMBER('Inputs'!$B$9),ISNUMBER('Inputs'!$B$10),ISNUMBER('Inputs'!$B$21),ISNUMBER('Inputs'!$B$24),ISNUMBER('Inputs'!$B$28)),((('Results'!C7*(1+'Inputs'!$B$24)*(0.5*(((AS37+'Inputs'!$B$21)+'Inputs'!$B$9)/SQRT(((AS37+'Inputs'!$B$21)+'Inputs'!$B$9)^2+('Inputs'!$B$8/2)^2)-((AS37+'Inputs'!$B$21))/SQRT(((AS37+'Inputs'!$B$21))^2+('Inputs'!$B$8/2)^2)))-'Results'!B7*(1-'Inputs'!$B$24)*(0.5*(((AS37+'Inputs'!$B$21+'Inputs'!$B$9+'Inputs'!$B$10)+'Inputs'!$B$7)/SQRT(((AS37+'Inputs'!$B$21+'Inputs'!$B$9+'Inputs'!$B$10)+'Inputs'!$B$7)^2+('Inputs'!$B$6/2)^2)-((AS37+'Inputs'!$B$21+'Inputs'!$B$9+'Inputs'!$B$10))/SQRT(((AS37+'Inputs'!$B$21+'Inputs'!$B$9+'Inputs'!$B$10))^2+('Inputs'!$B$6/2)^2))))*'Results'!$B$8*'Results'!$B$9)+'Inputs'!$B$28*ABS((('Results'!C7*(1+'Inputs'!$B$24)*(0.5*(((AS37+'Inputs'!$B$21)+'Inputs'!$B$9)/SQRT(((AS37+'Inputs'!$B$21)+'Inputs'!$B$9)^2+('Inputs'!$B$8/2)^2)-((AS37+'Inputs'!$B$21))/SQRT(((AS37+'Inputs'!$B$21))^2+('Inputs'!$B$8/2)^2)))-'Results'!B7*(1-'Inputs'!$B$24)*(0.5*(((AS37+'Inputs'!$B$21+'Inputs'!$B$9+'Inputs'!$B$10)+'Inputs'!$B$7)/SQRT(((AS37+'Inputs'!$B$21+'Inputs'!$B$9+'Inputs'!$B$10)+'Inputs'!$B$7)^2+('Inputs'!$B$6/2)^2)-((AS37+'Inputs'!$B$21+'Inputs'!$B$9+'Inputs'!$B$10))/SQRT(((AS37+'Inputs'!$B$21+'Inputs'!$B$9+'Inputs'!$B$10))^2+('Inputs'!$B$6/2)^2))))*'Results'!$B$8*'Results'!$B$9))),"")</x:f>
        <x:v>89.91248463718206</x:v>
      </x:c>
      <x:c r="AU37" s="22"/>
      <x:c r="AV37" s="22"/>
      <x:c r="AW37" s="22" t="n">
        <x:f>IF(AZ36&gt;='Results'!C13,AY36,AW36)</x:f>
        <x:v>7.5827282294631</x:v>
      </x:c>
      <x:c r="AX37" s="22" t="n">
        <x:f>IF(AZ36&gt;='Results'!C13,AX36,AY36)</x:f>
        <x:v>7.582728248089552</x:v>
      </x:c>
      <x:c r="AY37" s="22" t="n">
        <x:f>(AW37+AX37)/2</x:f>
        <x:v>7.582728238776326</x:v>
      </x:c>
      <x:c r="AZ37" s="22" t="n">
        <x:f>IF(AND(ISNUMBER('Results'!C7),ISNUMBER('Results'!B7),ISNUMBER('Results'!$B$8),ISNUMBER('Results'!$B$9),ISNUMBER('Inputs'!$B$6),ISNUMBER('Inputs'!$B$7),ISNUMBER('Inputs'!$B$8),ISNUMBER('Inputs'!$B$9),ISNUMBER('Inputs'!$B$10),ISNUMBER('Inputs'!$B$21),ISNUMBER('Inputs'!$B$24),ISNUMBER('Inputs'!$B$28)),(('Results'!C7*(0.5*(((AY37+'Inputs'!$B$21)+'Inputs'!$B$9)/SQRT(((AY37+'Inputs'!$B$21)+'Inputs'!$B$9)^2+('Inputs'!$B$8/2)^2)-((AY37+'Inputs'!$B$21))/SQRT(((AY37+'Inputs'!$B$21))^2+('Inputs'!$B$8/2)^2)))-'Results'!B7*(0.5*(((AY37+'Inputs'!$B$21+'Inputs'!$B$9+'Inputs'!$B$10)+'Inputs'!$B$7)/SQRT(((AY37+'Inputs'!$B$21+'Inputs'!$B$9+'Inputs'!$B$10)+'Inputs'!$B$7)^2+('Inputs'!$B$6/2)^2)-((AY37+'Inputs'!$B$21+'Inputs'!$B$9+'Inputs'!$B$10))/SQRT(((AY37+'Inputs'!$B$21+'Inputs'!$B$9+'Inputs'!$B$10))^2+('Inputs'!$B$6/2)^2))))*'Results'!$B$8*'Results'!$B$9),"")</x:f>
        <x:v>81.60118437506708</x:v>
      </x:c>
      <x:c r="BA37" s="22"/>
      <x:c r="BB37" s="22"/>
      <x:c r="BC37" s="22" t="n">
        <x:f>IF(BF36&gt;='Results'!C14,BE36,BC36)</x:f>
        <x:v>8.24688633903861</x:v>
      </x:c>
      <x:c r="BD37" s="22" t="n">
        <x:f>IF(BF36&gt;='Results'!C14,BD36,BE36)</x:f>
        <x:v>8.246886357665062</x:v>
      </x:c>
      <x:c r="BE37" s="22" t="n">
        <x:f>(BC37+BD37)/2</x:f>
        <x:v>8.246886348351836</x:v>
      </x:c>
      <x:c r="BF37" s="22" t="n">
        <x:f>IF(AND(ISNUMBER('Results'!C7),ISNUMBER('Results'!B7),ISNUMBER('Results'!$B$8),ISNUMBER('Results'!$B$9),ISNUMBER('Inputs'!$B$6),ISNUMBER('Inputs'!$B$7),ISNUMBER('Inputs'!$B$8),ISNUMBER('Inputs'!$B$9),ISNUMBER('Inputs'!$B$10),ISNUMBER('Inputs'!$B$21),ISNUMBER('Inputs'!$B$24),ISNUMBER('Inputs'!$B$28)),((('Results'!C7*(1+'Inputs'!$B$24)*(0.5*(((BE37+'Inputs'!$B$21)+'Inputs'!$B$9)/SQRT(((BE37+'Inputs'!$B$21)+'Inputs'!$B$9)^2+('Inputs'!$B$8/2)^2)-((BE37+'Inputs'!$B$21))/SQRT(((BE37+'Inputs'!$B$21))^2+('Inputs'!$B$8/2)^2)))-'Results'!B7*(1-'Inputs'!$B$24)*(0.5*(((BE37+'Inputs'!$B$21+'Inputs'!$B$9+'Inputs'!$B$10)+'Inputs'!$B$7)/SQRT(((BE37+'Inputs'!$B$21+'Inputs'!$B$9+'Inputs'!$B$10)+'Inputs'!$B$7)^2+('Inputs'!$B$6/2)^2)-((BE37+'Inputs'!$B$21+'Inputs'!$B$9+'Inputs'!$B$10))/SQRT(((BE37+'Inputs'!$B$21+'Inputs'!$B$9+'Inputs'!$B$10))^2+('Inputs'!$B$6/2)^2))))*'Results'!$B$8*'Results'!$B$9)+'Inputs'!$B$28*ABS((('Results'!C7*(1+'Inputs'!$B$24)*(0.5*(((BE37+'Inputs'!$B$21)+'Inputs'!$B$9)/SQRT(((BE37+'Inputs'!$B$21)+'Inputs'!$B$9)^2+('Inputs'!$B$8/2)^2)-((BE37+'Inputs'!$B$21))/SQRT(((BE37+'Inputs'!$B$21))^2+('Inputs'!$B$8/2)^2)))-'Results'!B7*(1-'Inputs'!$B$24)*(0.5*(((BE37+'Inputs'!$B$21+'Inputs'!$B$9+'Inputs'!$B$10)+'Inputs'!$B$7)/SQRT(((BE37+'Inputs'!$B$21+'Inputs'!$B$9+'Inputs'!$B$10)+'Inputs'!$B$7)^2+('Inputs'!$B$6/2)^2)-((BE37+'Inputs'!$B$21+'Inputs'!$B$9+'Inputs'!$B$10))/SQRT(((BE37+'Inputs'!$B$21+'Inputs'!$B$9+'Inputs'!$B$10))^2+('Inputs'!$B$6/2)^2))))*'Results'!$B$8*'Results'!$B$9))),"")</x:f>
        <x:v>70.64020721323114</x:v>
      </x:c>
      <x:c r="BG37" s="22"/>
      <x:c r="BH37" s="22"/>
    </x:row>
    <x:row r="38" ht="22"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c r="AT38" s="2"/>
      <x:c r="AU38" s="2"/>
      <x:c r="AV38" s="2"/>
      <x:c r="AW38" s="2"/>
      <x:c r="AX38" s="2"/>
      <x:c r="AY38" s="2"/>
      <x:c r="AZ38" s="2"/>
      <x:c r="BA38" s="2"/>
      <x:c r="BB38" s="2"/>
      <x:c r="BC38" s="2"/>
      <x:c r="BD38" s="2"/>
      <x:c r="BE38" s="2"/>
      <x:c r="BF38" s="2"/>
      <x:c r="BG38" s="2"/>
      <x:c r="BH38" s="2"/>
    </x:row>
    <x:row r="39" ht="22"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c r="AT39" s="2"/>
      <x:c r="AU39" s="2"/>
      <x:c r="AV39" s="2"/>
      <x:c r="AW39" s="2"/>
      <x:c r="AX39" s="2"/>
      <x:c r="AY39" s="2"/>
      <x:c r="AZ39" s="2"/>
      <x:c r="BA39" s="2"/>
      <x:c r="BB39" s="2"/>
      <x:c r="BC39" s="2"/>
      <x:c r="BD39" s="2"/>
      <x:c r="BE39" s="2"/>
      <x:c r="BF39" s="2"/>
      <x:c r="BG39" s="2"/>
      <x:c r="BH39" s="2"/>
    </x:row>
    <x:row r="40" ht="22"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c r="AT40" s="2"/>
      <x:c r="AU40" s="2"/>
      <x:c r="AV40" s="2"/>
      <x:c r="AW40" s="2"/>
      <x:c r="AX40" s="2"/>
      <x:c r="AY40" s="2"/>
      <x:c r="AZ40" s="2"/>
      <x:c r="BA40" s="2"/>
      <x:c r="BB40" s="2"/>
      <x:c r="BC40" s="2"/>
      <x:c r="BD40" s="2"/>
      <x:c r="BE40" s="2"/>
      <x:c r="BF40" s="2"/>
      <x:c r="BG40" s="2"/>
      <x:c r="BH40" s="2"/>
    </x:row>
    <x:row r="41" ht="22" customHeight="1">
      <x:c r="A41" s="2"/>
      <x:c r="B41" s="2"/>
      <x:c r="C41" s="2"/>
      <x:c r="D41" s="2"/>
      <x:c r="E41" s="2"/>
      <x:c r="F41" s="2"/>
      <x:c r="G41" s="2"/>
      <x:c r="H41" s="2"/>
      <x:c r="I41" s="2"/>
      <x:c r="J41" s="2" t="str">
        <x:v>1 nom monotonic</x:v>
      </x:c>
      <x:c r="K41" s="2" t="str">
        <x:v>1 low monotonic</x:v>
      </x:c>
      <x:c r="L41" s="2" t="str">
        <x:v>1 high monotonic</x:v>
      </x:c>
      <x:c r="M41" s="2" t="str">
        <x:v>2 nom monotonic</x:v>
      </x:c>
      <x:c r="N41" s="2" t="str">
        <x:v>2 low monotonic</x:v>
      </x:c>
      <x:c r="O41" s="2" t="str">
        <x:v>2 high monotonic</x:v>
      </x:c>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c r="AT41" s="2"/>
      <x:c r="AU41" s="2"/>
      <x:c r="AV41" s="2"/>
      <x:c r="AW41" s="2"/>
      <x:c r="AX41" s="2"/>
      <x:c r="AY41" s="2"/>
      <x:c r="AZ41" s="2"/>
      <x:c r="BA41" s="2"/>
      <x:c r="BB41" s="2"/>
      <x:c r="BC41" s="2"/>
      <x:c r="BD41" s="2"/>
      <x:c r="BE41" s="2"/>
      <x:c r="BF41" s="2"/>
      <x:c r="BG41" s="2"/>
      <x:c r="BH41" s="2"/>
    </x:row>
    <x:row r="42" ht="22" customHeight="1">
      <x:c r="A42" s="2"/>
      <x:c r="B42" s="2"/>
      <x:c r="C42" s="2"/>
      <x:c r="D42" s="2"/>
      <x:c r="E42" s="2"/>
      <x:c r="F42" s="2"/>
      <x:c r="G42" s="2"/>
      <x:c r="H42" s="2"/>
      <x:c r="I42" s="2"/>
      <x:c r="J42" s="2"/>
      <x:c r="K42" s="2"/>
      <x:c r="L42" s="2"/>
      <x:c r="M42" s="2"/>
      <x:c r="N42" s="2"/>
      <x:c r="O42" s="2"/>
      <x:c r="P42" s="2" t="str">
        <x:v>Positive-field increase</x:v>
      </x:c>
      <x:c r="Q42" s="2" t="str">
        <x:v>Positive-field increase</x:v>
      </x:c>
      <x:c r="R42" s="2" t="str">
        <x:v>Positive-field increase</x:v>
      </x:c>
      <x:c r="S42" s="2" t="str">
        <x:v>Positive-field increase</x:v>
      </x:c>
      <x:c r="T42" s="2" t="str">
        <x:v>Positive-field increase</x:v>
      </x:c>
      <x:c r="U42" s="2" t="str">
        <x:v>Positive-field increase</x:v>
      </x:c>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c r="AT42" s="2"/>
      <x:c r="AU42" s="2"/>
      <x:c r="AV42" s="2"/>
      <x:c r="AW42" s="2"/>
      <x:c r="AX42" s="2"/>
      <x:c r="AY42" s="2"/>
      <x:c r="AZ42" s="2"/>
      <x:c r="BA42" s="2"/>
      <x:c r="BB42" s="2"/>
      <x:c r="BC42" s="2"/>
      <x:c r="BD42" s="2"/>
      <x:c r="BE42" s="2"/>
      <x:c r="BF42" s="2"/>
      <x:c r="BG42" s="2"/>
      <x:c r="BH42" s="2"/>
    </x:row>
    <x:row r="43" ht="22" customHeight="1">
      <x:c r="A43" s="2"/>
      <x:c r="B43" s="2"/>
      <x:c r="C43" s="2"/>
      <x:c r="D43" s="2"/>
      <x:c r="E43" s="2"/>
      <x:c r="F43" s="2"/>
      <x:c r="G43" s="2"/>
      <x:c r="H43" s="2"/>
      <x:c r="I43" s="2"/>
      <x:c r="J43" s="2" t="n">
        <x:f>IF(AND(ISNUMBER('Results'!B7),ISNUMBER('Results'!C7),ISNUMBER('Results'!$B$8),ISNUMBER('Inputs'!$B$6),ISNUMBER('Inputs'!$B$7),ISNUMBER('Inputs'!$B$8),ISNUMBER('Inputs'!$B$9),ISNUMBER('Inputs'!$B$10),ISNUMBER('Inputs'!$B$21),ISNUMBER('Inputs'!$B$24),ISNUMBER('Inputs'!$B$28)),(('Results'!B7*(0.5*((((43-43)*MAX('Inputs'!$B$33,'Inputs'!$B$29+'Inputs'!$B$31+'Inputs'!$B$32,'Inputs'!$B$30+'Inputs'!$B$31+'Inputs'!$B$32)/1000+'Inputs'!$B$21)+'Inputs'!$B$7)/SQRT((((43-43)*MAX('Inputs'!$B$33,'Inputs'!$B$29+'Inputs'!$B$31+'Inputs'!$B$32,'Inputs'!$B$30+'Inputs'!$B$31+'Inputs'!$B$32)/1000+'Inputs'!$B$21)+'Inputs'!$B$7)^2+('Inputs'!$B$6/2)^2)-(((43-43)*MAX('Inputs'!$B$33,'Inputs'!$B$29+'Inputs'!$B$31+'Inputs'!$B$32,'Inputs'!$B$30+'Inputs'!$B$31+'Inputs'!$B$32)/1000+'Inputs'!$B$21))/SQRT((((43-43)*MAX('Inputs'!$B$33,'Inputs'!$B$29+'Inputs'!$B$31+'Inputs'!$B$32,'Inputs'!$B$30+'Inputs'!$B$31+'Inputs'!$B$32)/1000+'Inputs'!$B$21))^2+('Inputs'!$B$6/2)^2)))-'Results'!C7*(0.5*((((43-43)*MAX('Inputs'!$B$33,'Inputs'!$B$29+'Inputs'!$B$31+'Inputs'!$B$32,'Inputs'!$B$30+'Inputs'!$B$31+'Inputs'!$B$32)/1000+'Inputs'!$B$21+'Inputs'!$B$7+'Inputs'!$B$10)+'Inputs'!$B$9)/SQRT((((43-43)*MAX('Inputs'!$B$33,'Inputs'!$B$29+'Inputs'!$B$31+'Inputs'!$B$32,'Inputs'!$B$30+'Inputs'!$B$31+'Inputs'!$B$32)/1000+'Inputs'!$B$21+'Inputs'!$B$7+'Inputs'!$B$10)+'Inputs'!$B$9)^2+('Inputs'!$B$8/2)^2)-(((43-43)*MAX('Inputs'!$B$33,'Inputs'!$B$29+'Inputs'!$B$31+'Inputs'!$B$32,'Inputs'!$B$30+'Inputs'!$B$31+'Inputs'!$B$32)/1000+'Inputs'!$B$21+'Inputs'!$B$7+'Inputs'!$B$10))/SQRT((((43-43)*MAX('Inputs'!$B$33,'Inputs'!$B$29+'Inputs'!$B$31+'Inputs'!$B$32,'Inputs'!$B$30+'Inputs'!$B$31+'Inputs'!$B$32)/1000+'Inputs'!$B$21+'Inputs'!$B$7+'Inputs'!$B$10))^2+('Inputs'!$B$8/2)^2))))*'Results'!$B$8),"")</x:f>
        <x:v>2030.2716550419032</x:v>
      </x:c>
      <x:c r="K43" s="2" t="n">
        <x:f>IF(AND(ISNUMBER('Results'!B7),ISNUMBER('Results'!C7),ISNUMBER('Results'!$B$8),ISNUMBER('Inputs'!$B$6),ISNUMBER('Inputs'!$B$7),ISNUMBER('Inputs'!$B$8),ISNUMBER('Inputs'!$B$9),ISNUMBER('Inputs'!$B$10),ISNUMBER('Inputs'!$B$21),ISNUMBER('Inputs'!$B$24),ISNUMBER('Inputs'!$B$28)),((('Results'!B7*(1-'Inputs'!$B$24)*(0.5*((((43-43)*MAX('Inputs'!$B$33,'Inputs'!$B$29+'Inputs'!$B$31+'Inputs'!$B$32,'Inputs'!$B$30+'Inputs'!$B$31+'Inputs'!$B$32)/1000+'Inputs'!$B$21)+'Inputs'!$B$7)/SQRT((((43-43)*MAX('Inputs'!$B$33,'Inputs'!$B$29+'Inputs'!$B$31+'Inputs'!$B$32,'Inputs'!$B$30+'Inputs'!$B$31+'Inputs'!$B$32)/1000+'Inputs'!$B$21)+'Inputs'!$B$7)^2+('Inputs'!$B$6/2)^2)-(((43-43)*MAX('Inputs'!$B$33,'Inputs'!$B$29+'Inputs'!$B$31+'Inputs'!$B$32,'Inputs'!$B$30+'Inputs'!$B$31+'Inputs'!$B$32)/1000+'Inputs'!$B$21))/SQRT((((43-43)*MAX('Inputs'!$B$33,'Inputs'!$B$29+'Inputs'!$B$31+'Inputs'!$B$32,'Inputs'!$B$30+'Inputs'!$B$31+'Inputs'!$B$32)/1000+'Inputs'!$B$21))^2+('Inputs'!$B$6/2)^2)))-'Results'!C7*(1+'Inputs'!$B$24)*(0.5*((((43-43)*MAX('Inputs'!$B$33,'Inputs'!$B$29+'Inputs'!$B$31+'Inputs'!$B$32,'Inputs'!$B$30+'Inputs'!$B$31+'Inputs'!$B$32)/1000+'Inputs'!$B$21+'Inputs'!$B$7+'Inputs'!$B$10)+'Inputs'!$B$9)/SQRT((((43-43)*MAX('Inputs'!$B$33,'Inputs'!$B$29+'Inputs'!$B$31+'Inputs'!$B$32,'Inputs'!$B$30+'Inputs'!$B$31+'Inputs'!$B$32)/1000+'Inputs'!$B$21+'Inputs'!$B$7+'Inputs'!$B$10)+'Inputs'!$B$9)^2+('Inputs'!$B$8/2)^2)-(((43-43)*MAX('Inputs'!$B$33,'Inputs'!$B$29+'Inputs'!$B$31+'Inputs'!$B$32,'Inputs'!$B$30+'Inputs'!$B$31+'Inputs'!$B$32)/1000+'Inputs'!$B$21+'Inputs'!$B$7+'Inputs'!$B$10))/SQRT((((43-43)*MAX('Inputs'!$B$33,'Inputs'!$B$29+'Inputs'!$B$31+'Inputs'!$B$32,'Inputs'!$B$30+'Inputs'!$B$31+'Inputs'!$B$32)/1000+'Inputs'!$B$21+'Inputs'!$B$7+'Inputs'!$B$10))^2+('Inputs'!$B$8/2)^2))))*'Results'!$B$8)-'Inputs'!$B$28*ABS((('Results'!B7*(1-'Inputs'!$B$24)*(0.5*((((43-43)*MAX('Inputs'!$B$33,'Inputs'!$B$29+'Inputs'!$B$31+'Inputs'!$B$32,'Inputs'!$B$30+'Inputs'!$B$31+'Inputs'!$B$32)/1000+'Inputs'!$B$21)+'Inputs'!$B$7)/SQRT((((43-43)*MAX('Inputs'!$B$33,'Inputs'!$B$29+'Inputs'!$B$31+'Inputs'!$B$32,'Inputs'!$B$30+'Inputs'!$B$31+'Inputs'!$B$32)/1000+'Inputs'!$B$21)+'Inputs'!$B$7)^2+('Inputs'!$B$6/2)^2)-(((43-43)*MAX('Inputs'!$B$33,'Inputs'!$B$29+'Inputs'!$B$31+'Inputs'!$B$32,'Inputs'!$B$30+'Inputs'!$B$31+'Inputs'!$B$32)/1000+'Inputs'!$B$21))/SQRT((((43-43)*MAX('Inputs'!$B$33,'Inputs'!$B$29+'Inputs'!$B$31+'Inputs'!$B$32,'Inputs'!$B$30+'Inputs'!$B$31+'Inputs'!$B$32)/1000+'Inputs'!$B$21))^2+('Inputs'!$B$6/2)^2)))-'Results'!C7*(1+'Inputs'!$B$24)*(0.5*((((43-43)*MAX('Inputs'!$B$33,'Inputs'!$B$29+'Inputs'!$B$31+'Inputs'!$B$32,'Inputs'!$B$30+'Inputs'!$B$31+'Inputs'!$B$32)/1000+'Inputs'!$B$21+'Inputs'!$B$7+'Inputs'!$B$10)+'Inputs'!$B$9)/SQRT((((43-43)*MAX('Inputs'!$B$33,'Inputs'!$B$29+'Inputs'!$B$31+'Inputs'!$B$32,'Inputs'!$B$30+'Inputs'!$B$31+'Inputs'!$B$32)/1000+'Inputs'!$B$21+'Inputs'!$B$7+'Inputs'!$B$10)+'Inputs'!$B$9)^2+('Inputs'!$B$8/2)^2)-(((43-43)*MAX('Inputs'!$B$33,'Inputs'!$B$29+'Inputs'!$B$31+'Inputs'!$B$32,'Inputs'!$B$30+'Inputs'!$B$31+'Inputs'!$B$32)/1000+'Inputs'!$B$21+'Inputs'!$B$7+'Inputs'!$B$10))/SQRT((((43-43)*MAX('Inputs'!$B$33,'Inputs'!$B$29+'Inputs'!$B$31+'Inputs'!$B$32,'Inputs'!$B$30+'Inputs'!$B$31+'Inputs'!$B$32)/1000+'Inputs'!$B$21+'Inputs'!$B$7+'Inputs'!$B$10))^2+('Inputs'!$B$8/2)^2))))*'Results'!$B$8))),"")</x:f>
        <x:v>1876.8932337356039</x:v>
      </x:c>
      <x:c r="L43" s="2" t="n">
        <x:f>IF(AND(ISNUMBER('Results'!B7),ISNUMBER('Results'!C7),ISNUMBER('Results'!$B$8),ISNUMBER('Inputs'!$B$6),ISNUMBER('Inputs'!$B$7),ISNUMBER('Inputs'!$B$8),ISNUMBER('Inputs'!$B$9),ISNUMBER('Inputs'!$B$10),ISNUMBER('Inputs'!$B$21),ISNUMBER('Inputs'!$B$24),ISNUMBER('Inputs'!$B$28)),((('Results'!B7*(1+'Inputs'!$B$24)*(0.5*((((43-43)*MAX('Inputs'!$B$33,'Inputs'!$B$29+'Inputs'!$B$31+'Inputs'!$B$32,'Inputs'!$B$30+'Inputs'!$B$31+'Inputs'!$B$32)/1000+'Inputs'!$B$21)+'Inputs'!$B$7)/SQRT((((43-43)*MAX('Inputs'!$B$33,'Inputs'!$B$29+'Inputs'!$B$31+'Inputs'!$B$32,'Inputs'!$B$30+'Inputs'!$B$31+'Inputs'!$B$32)/1000+'Inputs'!$B$21)+'Inputs'!$B$7)^2+('Inputs'!$B$6/2)^2)-(((43-43)*MAX('Inputs'!$B$33,'Inputs'!$B$29+'Inputs'!$B$31+'Inputs'!$B$32,'Inputs'!$B$30+'Inputs'!$B$31+'Inputs'!$B$32)/1000+'Inputs'!$B$21))/SQRT((((43-43)*MAX('Inputs'!$B$33,'Inputs'!$B$29+'Inputs'!$B$31+'Inputs'!$B$32,'Inputs'!$B$30+'Inputs'!$B$31+'Inputs'!$B$32)/1000+'Inputs'!$B$21))^2+('Inputs'!$B$6/2)^2)))-'Results'!C7*(1-'Inputs'!$B$24)*(0.5*((((43-43)*MAX('Inputs'!$B$33,'Inputs'!$B$29+'Inputs'!$B$31+'Inputs'!$B$32,'Inputs'!$B$30+'Inputs'!$B$31+'Inputs'!$B$32)/1000+'Inputs'!$B$21+'Inputs'!$B$7+'Inputs'!$B$10)+'Inputs'!$B$9)/SQRT((((43-43)*MAX('Inputs'!$B$33,'Inputs'!$B$29+'Inputs'!$B$31+'Inputs'!$B$32,'Inputs'!$B$30+'Inputs'!$B$31+'Inputs'!$B$32)/1000+'Inputs'!$B$21+'Inputs'!$B$7+'Inputs'!$B$10)+'Inputs'!$B$9)^2+('Inputs'!$B$8/2)^2)-(((43-43)*MAX('Inputs'!$B$33,'Inputs'!$B$29+'Inputs'!$B$31+'Inputs'!$B$32,'Inputs'!$B$30+'Inputs'!$B$31+'Inputs'!$B$32)/1000+'Inputs'!$B$21+'Inputs'!$B$7+'Inputs'!$B$10))/SQRT((((43-43)*MAX('Inputs'!$B$33,'Inputs'!$B$29+'Inputs'!$B$31+'Inputs'!$B$32,'Inputs'!$B$30+'Inputs'!$B$31+'Inputs'!$B$32)/1000+'Inputs'!$B$21+'Inputs'!$B$7+'Inputs'!$B$10))^2+('Inputs'!$B$8/2)^2))))*'Results'!$B$8)+'Inputs'!$B$28*ABS((('Results'!B7*(1+'Inputs'!$B$24)*(0.5*((((43-43)*MAX('Inputs'!$B$33,'Inputs'!$B$29+'Inputs'!$B$31+'Inputs'!$B$32,'Inputs'!$B$30+'Inputs'!$B$31+'Inputs'!$B$32)/1000+'Inputs'!$B$21)+'Inputs'!$B$7)/SQRT((((43-43)*MAX('Inputs'!$B$33,'Inputs'!$B$29+'Inputs'!$B$31+'Inputs'!$B$32,'Inputs'!$B$30+'Inputs'!$B$31+'Inputs'!$B$32)/1000+'Inputs'!$B$21)+'Inputs'!$B$7)^2+('Inputs'!$B$6/2)^2)-(((43-43)*MAX('Inputs'!$B$33,'Inputs'!$B$29+'Inputs'!$B$31+'Inputs'!$B$32,'Inputs'!$B$30+'Inputs'!$B$31+'Inputs'!$B$32)/1000+'Inputs'!$B$21))/SQRT((((43-43)*MAX('Inputs'!$B$33,'Inputs'!$B$29+'Inputs'!$B$31+'Inputs'!$B$32,'Inputs'!$B$30+'Inputs'!$B$31+'Inputs'!$B$32)/1000+'Inputs'!$B$21))^2+('Inputs'!$B$6/2)^2)))-'Results'!C7*(1-'Inputs'!$B$24)*(0.5*((((43-43)*MAX('Inputs'!$B$33,'Inputs'!$B$29+'Inputs'!$B$31+'Inputs'!$B$32,'Inputs'!$B$30+'Inputs'!$B$31+'Inputs'!$B$32)/1000+'Inputs'!$B$21+'Inputs'!$B$7+'Inputs'!$B$10)+'Inputs'!$B$9)/SQRT((((43-43)*MAX('Inputs'!$B$33,'Inputs'!$B$29+'Inputs'!$B$31+'Inputs'!$B$32,'Inputs'!$B$30+'Inputs'!$B$31+'Inputs'!$B$32)/1000+'Inputs'!$B$21+'Inputs'!$B$7+'Inputs'!$B$10)+'Inputs'!$B$9)^2+('Inputs'!$B$8/2)^2)-(((43-43)*MAX('Inputs'!$B$33,'Inputs'!$B$29+'Inputs'!$B$31+'Inputs'!$B$32,'Inputs'!$B$30+'Inputs'!$B$31+'Inputs'!$B$32)/1000+'Inputs'!$B$21+'Inputs'!$B$7+'Inputs'!$B$10))/SQRT((((43-43)*MAX('Inputs'!$B$33,'Inputs'!$B$29+'Inputs'!$B$31+'Inputs'!$B$32,'Inputs'!$B$30+'Inputs'!$B$31+'Inputs'!$B$32)/1000+'Inputs'!$B$21+'Inputs'!$B$7+'Inputs'!$B$10))^2+('Inputs'!$B$8/2)^2))))*'Results'!$B$8))),"")</x:f>
        <x:v>2189.1095330381186</x:v>
      </x:c>
      <x:c r="M43" s="2" t="n">
        <x:f>IF(AND(ISNUMBER('Results'!C7),ISNUMBER('Results'!B7),ISNUMBER('Results'!$B$8),ISNUMBER('Inputs'!$B$6),ISNUMBER('Inputs'!$B$7),ISNUMBER('Inputs'!$B$8),ISNUMBER('Inputs'!$B$9),ISNUMBER('Inputs'!$B$10),ISNUMBER('Inputs'!$B$21),ISNUMBER('Inputs'!$B$24),ISNUMBER('Inputs'!$B$28)),(('Results'!C7*(0.5*((((43-43)*MAX('Inputs'!$B$33,'Inputs'!$B$29+'Inputs'!$B$31+'Inputs'!$B$32,'Inputs'!$B$30+'Inputs'!$B$31+'Inputs'!$B$32)/1000+'Inputs'!$B$21)+'Inputs'!$B$9)/SQRT((((43-43)*MAX('Inputs'!$B$33,'Inputs'!$B$29+'Inputs'!$B$31+'Inputs'!$B$32,'Inputs'!$B$30+'Inputs'!$B$31+'Inputs'!$B$32)/1000+'Inputs'!$B$21)+'Inputs'!$B$9)^2+('Inputs'!$B$8/2)^2)-(((43-43)*MAX('Inputs'!$B$33,'Inputs'!$B$29+'Inputs'!$B$31+'Inputs'!$B$32,'Inputs'!$B$30+'Inputs'!$B$31+'Inputs'!$B$32)/1000+'Inputs'!$B$21))/SQRT((((43-43)*MAX('Inputs'!$B$33,'Inputs'!$B$29+'Inputs'!$B$31+'Inputs'!$B$32,'Inputs'!$B$30+'Inputs'!$B$31+'Inputs'!$B$32)/1000+'Inputs'!$B$21))^2+('Inputs'!$B$8/2)^2)))-'Results'!B7*(0.5*((((43-43)*MAX('Inputs'!$B$33,'Inputs'!$B$29+'Inputs'!$B$31+'Inputs'!$B$32,'Inputs'!$B$30+'Inputs'!$B$31+'Inputs'!$B$32)/1000+'Inputs'!$B$21+'Inputs'!$B$9+'Inputs'!$B$10)+'Inputs'!$B$7)/SQRT((((43-43)*MAX('Inputs'!$B$33,'Inputs'!$B$29+'Inputs'!$B$31+'Inputs'!$B$32,'Inputs'!$B$30+'Inputs'!$B$31+'Inputs'!$B$32)/1000+'Inputs'!$B$21+'Inputs'!$B$9+'Inputs'!$B$10)+'Inputs'!$B$7)^2+('Inputs'!$B$6/2)^2)-(((43-43)*MAX('Inputs'!$B$33,'Inputs'!$B$29+'Inputs'!$B$31+'Inputs'!$B$32,'Inputs'!$B$30+'Inputs'!$B$31+'Inputs'!$B$32)/1000+'Inputs'!$B$21+'Inputs'!$B$9+'Inputs'!$B$10))/SQRT((((43-43)*MAX('Inputs'!$B$33,'Inputs'!$B$29+'Inputs'!$B$31+'Inputs'!$B$32,'Inputs'!$B$30+'Inputs'!$B$31+'Inputs'!$B$32)/1000+'Inputs'!$B$21+'Inputs'!$B$9+'Inputs'!$B$10))^2+('Inputs'!$B$6/2)^2))))*'Results'!$B$8),"")</x:f>
        <x:v>1975.5343418794932</x:v>
      </x:c>
      <x:c r="N43" s="2" t="n">
        <x:f>IF(AND(ISNUMBER('Results'!C7),ISNUMBER('Results'!B7),ISNUMBER('Results'!$B$8),ISNUMBER('Inputs'!$B$6),ISNUMBER('Inputs'!$B$7),ISNUMBER('Inputs'!$B$8),ISNUMBER('Inputs'!$B$9),ISNUMBER('Inputs'!$B$10),ISNUMBER('Inputs'!$B$21),ISNUMBER('Inputs'!$B$24),ISNUMBER('Inputs'!$B$28)),((('Results'!C7*(1-'Inputs'!$B$24)*(0.5*((((43-43)*MAX('Inputs'!$B$33,'Inputs'!$B$29+'Inputs'!$B$31+'Inputs'!$B$32,'Inputs'!$B$30+'Inputs'!$B$31+'Inputs'!$B$32)/1000+'Inputs'!$B$21)+'Inputs'!$B$9)/SQRT((((43-43)*MAX('Inputs'!$B$33,'Inputs'!$B$29+'Inputs'!$B$31+'Inputs'!$B$32,'Inputs'!$B$30+'Inputs'!$B$31+'Inputs'!$B$32)/1000+'Inputs'!$B$21)+'Inputs'!$B$9)^2+('Inputs'!$B$8/2)^2)-(((43-43)*MAX('Inputs'!$B$33,'Inputs'!$B$29+'Inputs'!$B$31+'Inputs'!$B$32,'Inputs'!$B$30+'Inputs'!$B$31+'Inputs'!$B$32)/1000+'Inputs'!$B$21))/SQRT((((43-43)*MAX('Inputs'!$B$33,'Inputs'!$B$29+'Inputs'!$B$31+'Inputs'!$B$32,'Inputs'!$B$30+'Inputs'!$B$31+'Inputs'!$B$32)/1000+'Inputs'!$B$21))^2+('Inputs'!$B$8/2)^2)))-'Results'!B7*(1+'Inputs'!$B$24)*(0.5*((((43-43)*MAX('Inputs'!$B$33,'Inputs'!$B$29+'Inputs'!$B$31+'Inputs'!$B$32,'Inputs'!$B$30+'Inputs'!$B$31+'Inputs'!$B$32)/1000+'Inputs'!$B$21+'Inputs'!$B$9+'Inputs'!$B$10)+'Inputs'!$B$7)/SQRT((((43-43)*MAX('Inputs'!$B$33,'Inputs'!$B$29+'Inputs'!$B$31+'Inputs'!$B$32,'Inputs'!$B$30+'Inputs'!$B$31+'Inputs'!$B$32)/1000+'Inputs'!$B$21+'Inputs'!$B$9+'Inputs'!$B$10)+'Inputs'!$B$7)^2+('Inputs'!$B$6/2)^2)-(((43-43)*MAX('Inputs'!$B$33,'Inputs'!$B$29+'Inputs'!$B$31+'Inputs'!$B$32,'Inputs'!$B$30+'Inputs'!$B$31+'Inputs'!$B$32)/1000+'Inputs'!$B$21+'Inputs'!$B$9+'Inputs'!$B$10))/SQRT((((43-43)*MAX('Inputs'!$B$33,'Inputs'!$B$29+'Inputs'!$B$31+'Inputs'!$B$32,'Inputs'!$B$30+'Inputs'!$B$31+'Inputs'!$B$32)/1000+'Inputs'!$B$21+'Inputs'!$B$9+'Inputs'!$B$10))^2+('Inputs'!$B$6/2)^2))))*'Results'!$B$8)-'Inputs'!$B$28*ABS((('Results'!C7*(1-'Inputs'!$B$24)*(0.5*((((43-43)*MAX('Inputs'!$B$33,'Inputs'!$B$29+'Inputs'!$B$31+'Inputs'!$B$32,'Inputs'!$B$30+'Inputs'!$B$31+'Inputs'!$B$32)/1000+'Inputs'!$B$21)+'Inputs'!$B$9)/SQRT((((43-43)*MAX('Inputs'!$B$33,'Inputs'!$B$29+'Inputs'!$B$31+'Inputs'!$B$32,'Inputs'!$B$30+'Inputs'!$B$31+'Inputs'!$B$32)/1000+'Inputs'!$B$21)+'Inputs'!$B$9)^2+('Inputs'!$B$8/2)^2)-(((43-43)*MAX('Inputs'!$B$33,'Inputs'!$B$29+'Inputs'!$B$31+'Inputs'!$B$32,'Inputs'!$B$30+'Inputs'!$B$31+'Inputs'!$B$32)/1000+'Inputs'!$B$21))/SQRT((((43-43)*MAX('Inputs'!$B$33,'Inputs'!$B$29+'Inputs'!$B$31+'Inputs'!$B$32,'Inputs'!$B$30+'Inputs'!$B$31+'Inputs'!$B$32)/1000+'Inputs'!$B$21))^2+('Inputs'!$B$8/2)^2)))-'Results'!B7*(1+'Inputs'!$B$24)*(0.5*((((43-43)*MAX('Inputs'!$B$33,'Inputs'!$B$29+'Inputs'!$B$31+'Inputs'!$B$32,'Inputs'!$B$30+'Inputs'!$B$31+'Inputs'!$B$32)/1000+'Inputs'!$B$21+'Inputs'!$B$9+'Inputs'!$B$10)+'Inputs'!$B$7)/SQRT((((43-43)*MAX('Inputs'!$B$33,'Inputs'!$B$29+'Inputs'!$B$31+'Inputs'!$B$32,'Inputs'!$B$30+'Inputs'!$B$31+'Inputs'!$B$32)/1000+'Inputs'!$B$21+'Inputs'!$B$9+'Inputs'!$B$10)+'Inputs'!$B$7)^2+('Inputs'!$B$6/2)^2)-(((43-43)*MAX('Inputs'!$B$33,'Inputs'!$B$29+'Inputs'!$B$31+'Inputs'!$B$32,'Inputs'!$B$30+'Inputs'!$B$31+'Inputs'!$B$32)/1000+'Inputs'!$B$21+'Inputs'!$B$9+'Inputs'!$B$10))/SQRT((((43-43)*MAX('Inputs'!$B$33,'Inputs'!$B$29+'Inputs'!$B$31+'Inputs'!$B$32,'Inputs'!$B$30+'Inputs'!$B$31+'Inputs'!$B$32)/1000+'Inputs'!$B$21+'Inputs'!$B$9+'Inputs'!$B$10))^2+('Inputs'!$B$6/2)^2))))*'Results'!$B$8))),"")</x:f>
        <x:v>1825.6615772812288</x:v>
      </x:c>
      <x:c r="O43" s="2" t="n">
        <x:f>IF(AND(ISNUMBER('Results'!C7),ISNUMBER('Results'!B7),ISNUMBER('Results'!$B$8),ISNUMBER('Inputs'!$B$6),ISNUMBER('Inputs'!$B$7),ISNUMBER('Inputs'!$B$8),ISNUMBER('Inputs'!$B$9),ISNUMBER('Inputs'!$B$10),ISNUMBER('Inputs'!$B$21),ISNUMBER('Inputs'!$B$24),ISNUMBER('Inputs'!$B$28)),((('Results'!C7*(1+'Inputs'!$B$24)*(0.5*((((43-43)*MAX('Inputs'!$B$33,'Inputs'!$B$29+'Inputs'!$B$31+'Inputs'!$B$32,'Inputs'!$B$30+'Inputs'!$B$31+'Inputs'!$B$32)/1000+'Inputs'!$B$21)+'Inputs'!$B$9)/SQRT((((43-43)*MAX('Inputs'!$B$33,'Inputs'!$B$29+'Inputs'!$B$31+'Inputs'!$B$32,'Inputs'!$B$30+'Inputs'!$B$31+'Inputs'!$B$32)/1000+'Inputs'!$B$21)+'Inputs'!$B$9)^2+('Inputs'!$B$8/2)^2)-(((43-43)*MAX('Inputs'!$B$33,'Inputs'!$B$29+'Inputs'!$B$31+'Inputs'!$B$32,'Inputs'!$B$30+'Inputs'!$B$31+'Inputs'!$B$32)/1000+'Inputs'!$B$21))/SQRT((((43-43)*MAX('Inputs'!$B$33,'Inputs'!$B$29+'Inputs'!$B$31+'Inputs'!$B$32,'Inputs'!$B$30+'Inputs'!$B$31+'Inputs'!$B$32)/1000+'Inputs'!$B$21))^2+('Inputs'!$B$8/2)^2)))-'Results'!B7*(1-'Inputs'!$B$24)*(0.5*((((43-43)*MAX('Inputs'!$B$33,'Inputs'!$B$29+'Inputs'!$B$31+'Inputs'!$B$32,'Inputs'!$B$30+'Inputs'!$B$31+'Inputs'!$B$32)/1000+'Inputs'!$B$21+'Inputs'!$B$9+'Inputs'!$B$10)+'Inputs'!$B$7)/SQRT((((43-43)*MAX('Inputs'!$B$33,'Inputs'!$B$29+'Inputs'!$B$31+'Inputs'!$B$32,'Inputs'!$B$30+'Inputs'!$B$31+'Inputs'!$B$32)/1000+'Inputs'!$B$21+'Inputs'!$B$9+'Inputs'!$B$10)+'Inputs'!$B$7)^2+('Inputs'!$B$6/2)^2)-(((43-43)*MAX('Inputs'!$B$33,'Inputs'!$B$29+'Inputs'!$B$31+'Inputs'!$B$32,'Inputs'!$B$30+'Inputs'!$B$31+'Inputs'!$B$32)/1000+'Inputs'!$B$21+'Inputs'!$B$9+'Inputs'!$B$10))/SQRT((((43-43)*MAX('Inputs'!$B$33,'Inputs'!$B$29+'Inputs'!$B$31+'Inputs'!$B$32,'Inputs'!$B$30+'Inputs'!$B$31+'Inputs'!$B$32)/1000+'Inputs'!$B$21+'Inputs'!$B$9+'Inputs'!$B$10))^2+('Inputs'!$B$6/2)^2))))*'Results'!$B$8)+'Inputs'!$B$28*ABS((('Results'!C7*(1+'Inputs'!$B$24)*(0.5*((((43-43)*MAX('Inputs'!$B$33,'Inputs'!$B$29+'Inputs'!$B$31+'Inputs'!$B$32,'Inputs'!$B$30+'Inputs'!$B$31+'Inputs'!$B$32)/1000+'Inputs'!$B$21)+'Inputs'!$B$9)/SQRT((((43-43)*MAX('Inputs'!$B$33,'Inputs'!$B$29+'Inputs'!$B$31+'Inputs'!$B$32,'Inputs'!$B$30+'Inputs'!$B$31+'Inputs'!$B$32)/1000+'Inputs'!$B$21)+'Inputs'!$B$9)^2+('Inputs'!$B$8/2)^2)-(((43-43)*MAX('Inputs'!$B$33,'Inputs'!$B$29+'Inputs'!$B$31+'Inputs'!$B$32,'Inputs'!$B$30+'Inputs'!$B$31+'Inputs'!$B$32)/1000+'Inputs'!$B$21))/SQRT((((43-43)*MAX('Inputs'!$B$33,'Inputs'!$B$29+'Inputs'!$B$31+'Inputs'!$B$32,'Inputs'!$B$30+'Inputs'!$B$31+'Inputs'!$B$32)/1000+'Inputs'!$B$21))^2+('Inputs'!$B$8/2)^2)))-'Results'!B7*(1-'Inputs'!$B$24)*(0.5*((((43-43)*MAX('Inputs'!$B$33,'Inputs'!$B$29+'Inputs'!$B$31+'Inputs'!$B$32,'Inputs'!$B$30+'Inputs'!$B$31+'Inputs'!$B$32)/1000+'Inputs'!$B$21+'Inputs'!$B$9+'Inputs'!$B$10)+'Inputs'!$B$7)/SQRT((((43-43)*MAX('Inputs'!$B$33,'Inputs'!$B$29+'Inputs'!$B$31+'Inputs'!$B$32,'Inputs'!$B$30+'Inputs'!$B$31+'Inputs'!$B$32)/1000+'Inputs'!$B$21+'Inputs'!$B$9+'Inputs'!$B$10)+'Inputs'!$B$7)^2+('Inputs'!$B$6/2)^2)-(((43-43)*MAX('Inputs'!$B$33,'Inputs'!$B$29+'Inputs'!$B$31+'Inputs'!$B$32,'Inputs'!$B$30+'Inputs'!$B$31+'Inputs'!$B$32)/1000+'Inputs'!$B$21+'Inputs'!$B$9+'Inputs'!$B$10))/SQRT((((43-43)*MAX('Inputs'!$B$33,'Inputs'!$B$29+'Inputs'!$B$31+'Inputs'!$B$32,'Inputs'!$B$30+'Inputs'!$B$31+'Inputs'!$B$32)/1000+'Inputs'!$B$21+'Inputs'!$B$9+'Inputs'!$B$10))^2+('Inputs'!$B$6/2)^2))))*'Results'!$B$8))),"")</x:f>
        <x:v>2130.785637793999</x:v>
      </x:c>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c r="AT43" s="2"/>
      <x:c r="AU43" s="2"/>
      <x:c r="AV43" s="2"/>
      <x:c r="AW43" s="2"/>
      <x:c r="AX43" s="2"/>
      <x:c r="AY43" s="2"/>
      <x:c r="AZ43" s="2"/>
      <x:c r="BA43" s="2"/>
      <x:c r="BB43" s="2"/>
      <x:c r="BC43" s="2"/>
      <x:c r="BD43" s="2"/>
      <x:c r="BE43" s="2"/>
      <x:c r="BF43" s="2"/>
      <x:c r="BG43" s="2"/>
      <x:c r="BH43" s="2"/>
    </x:row>
    <x:row r="44" ht="22" customHeight="1">
      <x:c r="A44" s="2"/>
      <x:c r="B44" s="2"/>
      <x:c r="C44" s="2"/>
      <x:c r="D44" s="2"/>
      <x:c r="E44" s="2"/>
      <x:c r="F44" s="2"/>
      <x:c r="G44" s="2"/>
      <x:c r="H44" s="2"/>
      <x:c r="I44" s="2"/>
      <x:c r="J44" s="2" t="n">
        <x:f>IF(AND(ISNUMBER('Results'!B7),ISNUMBER('Results'!C7),ISNUMBER('Results'!$B$8),ISNUMBER('Inputs'!$B$6),ISNUMBER('Inputs'!$B$7),ISNUMBER('Inputs'!$B$8),ISNUMBER('Inputs'!$B$9),ISNUMBER('Inputs'!$B$10),ISNUMBER('Inputs'!$B$21),ISNUMBER('Inputs'!$B$24),ISNUMBER('Inputs'!$B$28)),(('Results'!B7*(0.5*((((44-43)*MAX('Inputs'!$B$33,'Inputs'!$B$29+'Inputs'!$B$31+'Inputs'!$B$32,'Inputs'!$B$30+'Inputs'!$B$31+'Inputs'!$B$32)/1000+'Inputs'!$B$21)+'Inputs'!$B$7)/SQRT((((44-43)*MAX('Inputs'!$B$33,'Inputs'!$B$29+'Inputs'!$B$31+'Inputs'!$B$32,'Inputs'!$B$30+'Inputs'!$B$31+'Inputs'!$B$32)/1000+'Inputs'!$B$21)+'Inputs'!$B$7)^2+('Inputs'!$B$6/2)^2)-(((44-43)*MAX('Inputs'!$B$33,'Inputs'!$B$29+'Inputs'!$B$31+'Inputs'!$B$32,'Inputs'!$B$30+'Inputs'!$B$31+'Inputs'!$B$32)/1000+'Inputs'!$B$21))/SQRT((((44-43)*MAX('Inputs'!$B$33,'Inputs'!$B$29+'Inputs'!$B$31+'Inputs'!$B$32,'Inputs'!$B$30+'Inputs'!$B$31+'Inputs'!$B$32)/1000+'Inputs'!$B$21))^2+('Inputs'!$B$6/2)^2)))-'Results'!C7*(0.5*((((44-43)*MAX('Inputs'!$B$33,'Inputs'!$B$29+'Inputs'!$B$31+'Inputs'!$B$32,'Inputs'!$B$30+'Inputs'!$B$31+'Inputs'!$B$32)/1000+'Inputs'!$B$21+'Inputs'!$B$7+'Inputs'!$B$10)+'Inputs'!$B$9)/SQRT((((44-43)*MAX('Inputs'!$B$33,'Inputs'!$B$29+'Inputs'!$B$31+'Inputs'!$B$32,'Inputs'!$B$30+'Inputs'!$B$31+'Inputs'!$B$32)/1000+'Inputs'!$B$21+'Inputs'!$B$7+'Inputs'!$B$10)+'Inputs'!$B$9)^2+('Inputs'!$B$8/2)^2)-(((44-43)*MAX('Inputs'!$B$33,'Inputs'!$B$29+'Inputs'!$B$31+'Inputs'!$B$32,'Inputs'!$B$30+'Inputs'!$B$31+'Inputs'!$B$32)/1000+'Inputs'!$B$21+'Inputs'!$B$7+'Inputs'!$B$10))/SQRT((((44-43)*MAX('Inputs'!$B$33,'Inputs'!$B$29+'Inputs'!$B$31+'Inputs'!$B$32,'Inputs'!$B$30+'Inputs'!$B$31+'Inputs'!$B$32)/1000+'Inputs'!$B$21+'Inputs'!$B$7+'Inputs'!$B$10))^2+('Inputs'!$B$8/2)^2))))*'Results'!$B$8),"")</x:f>
        <x:v>2016.6120437248828</x:v>
      </x:c>
      <x:c r="K44" s="2" t="n">
        <x:f>IF(AND(ISNUMBER('Results'!B7),ISNUMBER('Results'!C7),ISNUMBER('Results'!$B$8),ISNUMBER('Inputs'!$B$6),ISNUMBER('Inputs'!$B$7),ISNUMBER('Inputs'!$B$8),ISNUMBER('Inputs'!$B$9),ISNUMBER('Inputs'!$B$10),ISNUMBER('Inputs'!$B$21),ISNUMBER('Inputs'!$B$24),ISNUMBER('Inputs'!$B$28)),((('Results'!B7*(1-'Inputs'!$B$24)*(0.5*((((44-43)*MAX('Inputs'!$B$33,'Inputs'!$B$29+'Inputs'!$B$31+'Inputs'!$B$32,'Inputs'!$B$30+'Inputs'!$B$31+'Inputs'!$B$32)/1000+'Inputs'!$B$21)+'Inputs'!$B$7)/SQRT((((44-43)*MAX('Inputs'!$B$33,'Inputs'!$B$29+'Inputs'!$B$31+'Inputs'!$B$32,'Inputs'!$B$30+'Inputs'!$B$31+'Inputs'!$B$32)/1000+'Inputs'!$B$21)+'Inputs'!$B$7)^2+('Inputs'!$B$6/2)^2)-(((44-43)*MAX('Inputs'!$B$33,'Inputs'!$B$29+'Inputs'!$B$31+'Inputs'!$B$32,'Inputs'!$B$30+'Inputs'!$B$31+'Inputs'!$B$32)/1000+'Inputs'!$B$21))/SQRT((((44-43)*MAX('Inputs'!$B$33,'Inputs'!$B$29+'Inputs'!$B$31+'Inputs'!$B$32,'Inputs'!$B$30+'Inputs'!$B$31+'Inputs'!$B$32)/1000+'Inputs'!$B$21))^2+('Inputs'!$B$6/2)^2)))-'Results'!C7*(1+'Inputs'!$B$24)*(0.5*((((44-43)*MAX('Inputs'!$B$33,'Inputs'!$B$29+'Inputs'!$B$31+'Inputs'!$B$32,'Inputs'!$B$30+'Inputs'!$B$31+'Inputs'!$B$32)/1000+'Inputs'!$B$21+'Inputs'!$B$7+'Inputs'!$B$10)+'Inputs'!$B$9)/SQRT((((44-43)*MAX('Inputs'!$B$33,'Inputs'!$B$29+'Inputs'!$B$31+'Inputs'!$B$32,'Inputs'!$B$30+'Inputs'!$B$31+'Inputs'!$B$32)/1000+'Inputs'!$B$21+'Inputs'!$B$7+'Inputs'!$B$10)+'Inputs'!$B$9)^2+('Inputs'!$B$8/2)^2)-(((44-43)*MAX('Inputs'!$B$33,'Inputs'!$B$29+'Inputs'!$B$31+'Inputs'!$B$32,'Inputs'!$B$30+'Inputs'!$B$31+'Inputs'!$B$32)/1000+'Inputs'!$B$21+'Inputs'!$B$7+'Inputs'!$B$10))/SQRT((((44-43)*MAX('Inputs'!$B$33,'Inputs'!$B$29+'Inputs'!$B$31+'Inputs'!$B$32,'Inputs'!$B$30+'Inputs'!$B$31+'Inputs'!$B$32)/1000+'Inputs'!$B$21+'Inputs'!$B$7+'Inputs'!$B$10))^2+('Inputs'!$B$8/2)^2))))*'Results'!$B$8)-'Inputs'!$B$28*ABS((('Results'!B7*(1-'Inputs'!$B$24)*(0.5*((((44-43)*MAX('Inputs'!$B$33,'Inputs'!$B$29+'Inputs'!$B$31+'Inputs'!$B$32,'Inputs'!$B$30+'Inputs'!$B$31+'Inputs'!$B$32)/1000+'Inputs'!$B$21)+'Inputs'!$B$7)/SQRT((((44-43)*MAX('Inputs'!$B$33,'Inputs'!$B$29+'Inputs'!$B$31+'Inputs'!$B$32,'Inputs'!$B$30+'Inputs'!$B$31+'Inputs'!$B$32)/1000+'Inputs'!$B$21)+'Inputs'!$B$7)^2+('Inputs'!$B$6/2)^2)-(((44-43)*MAX('Inputs'!$B$33,'Inputs'!$B$29+'Inputs'!$B$31+'Inputs'!$B$32,'Inputs'!$B$30+'Inputs'!$B$31+'Inputs'!$B$32)/1000+'Inputs'!$B$21))/SQRT((((44-43)*MAX('Inputs'!$B$33,'Inputs'!$B$29+'Inputs'!$B$31+'Inputs'!$B$32,'Inputs'!$B$30+'Inputs'!$B$31+'Inputs'!$B$32)/1000+'Inputs'!$B$21))^2+('Inputs'!$B$6/2)^2)))-'Results'!C7*(1+'Inputs'!$B$24)*(0.5*((((44-43)*MAX('Inputs'!$B$33,'Inputs'!$B$29+'Inputs'!$B$31+'Inputs'!$B$32,'Inputs'!$B$30+'Inputs'!$B$31+'Inputs'!$B$32)/1000+'Inputs'!$B$21+'Inputs'!$B$7+'Inputs'!$B$10)+'Inputs'!$B$9)/SQRT((((44-43)*MAX('Inputs'!$B$33,'Inputs'!$B$29+'Inputs'!$B$31+'Inputs'!$B$32,'Inputs'!$B$30+'Inputs'!$B$31+'Inputs'!$B$32)/1000+'Inputs'!$B$21+'Inputs'!$B$7+'Inputs'!$B$10)+'Inputs'!$B$9)^2+('Inputs'!$B$8/2)^2)-(((44-43)*MAX('Inputs'!$B$33,'Inputs'!$B$29+'Inputs'!$B$31+'Inputs'!$B$32,'Inputs'!$B$30+'Inputs'!$B$31+'Inputs'!$B$32)/1000+'Inputs'!$B$21+'Inputs'!$B$7+'Inputs'!$B$10))/SQRT((((44-43)*MAX('Inputs'!$B$33,'Inputs'!$B$29+'Inputs'!$B$31+'Inputs'!$B$32,'Inputs'!$B$30+'Inputs'!$B$31+'Inputs'!$B$32)/1000+'Inputs'!$B$21+'Inputs'!$B$7+'Inputs'!$B$10))^2+('Inputs'!$B$8/2)^2))))*'Results'!$B$8))),"")</x:f>
        <x:v>1864.3953843795077</x:v>
      </x:c>
      <x:c r="L44" s="2" t="n">
        <x:f>IF(AND(ISNUMBER('Results'!B7),ISNUMBER('Results'!C7),ISNUMBER('Results'!$B$8),ISNUMBER('Inputs'!$B$6),ISNUMBER('Inputs'!$B$7),ISNUMBER('Inputs'!$B$8),ISNUMBER('Inputs'!$B$9),ISNUMBER('Inputs'!$B$10),ISNUMBER('Inputs'!$B$21),ISNUMBER('Inputs'!$B$24),ISNUMBER('Inputs'!$B$28)),((('Results'!B7*(1+'Inputs'!$B$24)*(0.5*((((44-43)*MAX('Inputs'!$B$33,'Inputs'!$B$29+'Inputs'!$B$31+'Inputs'!$B$32,'Inputs'!$B$30+'Inputs'!$B$31+'Inputs'!$B$32)/1000+'Inputs'!$B$21)+'Inputs'!$B$7)/SQRT((((44-43)*MAX('Inputs'!$B$33,'Inputs'!$B$29+'Inputs'!$B$31+'Inputs'!$B$32,'Inputs'!$B$30+'Inputs'!$B$31+'Inputs'!$B$32)/1000+'Inputs'!$B$21)+'Inputs'!$B$7)^2+('Inputs'!$B$6/2)^2)-(((44-43)*MAX('Inputs'!$B$33,'Inputs'!$B$29+'Inputs'!$B$31+'Inputs'!$B$32,'Inputs'!$B$30+'Inputs'!$B$31+'Inputs'!$B$32)/1000+'Inputs'!$B$21))/SQRT((((44-43)*MAX('Inputs'!$B$33,'Inputs'!$B$29+'Inputs'!$B$31+'Inputs'!$B$32,'Inputs'!$B$30+'Inputs'!$B$31+'Inputs'!$B$32)/1000+'Inputs'!$B$21))^2+('Inputs'!$B$6/2)^2)))-'Results'!C7*(1-'Inputs'!$B$24)*(0.5*((((44-43)*MAX('Inputs'!$B$33,'Inputs'!$B$29+'Inputs'!$B$31+'Inputs'!$B$32,'Inputs'!$B$30+'Inputs'!$B$31+'Inputs'!$B$32)/1000+'Inputs'!$B$21+'Inputs'!$B$7+'Inputs'!$B$10)+'Inputs'!$B$9)/SQRT((((44-43)*MAX('Inputs'!$B$33,'Inputs'!$B$29+'Inputs'!$B$31+'Inputs'!$B$32,'Inputs'!$B$30+'Inputs'!$B$31+'Inputs'!$B$32)/1000+'Inputs'!$B$21+'Inputs'!$B$7+'Inputs'!$B$10)+'Inputs'!$B$9)^2+('Inputs'!$B$8/2)^2)-(((44-43)*MAX('Inputs'!$B$33,'Inputs'!$B$29+'Inputs'!$B$31+'Inputs'!$B$32,'Inputs'!$B$30+'Inputs'!$B$31+'Inputs'!$B$32)/1000+'Inputs'!$B$21+'Inputs'!$B$7+'Inputs'!$B$10))/SQRT((((44-43)*MAX('Inputs'!$B$33,'Inputs'!$B$29+'Inputs'!$B$31+'Inputs'!$B$32,'Inputs'!$B$30+'Inputs'!$B$31+'Inputs'!$B$32)/1000+'Inputs'!$B$21+'Inputs'!$B$7+'Inputs'!$B$10))^2+('Inputs'!$B$8/2)^2))))*'Results'!$B$8)+'Inputs'!$B$28*ABS((('Results'!B7*(1+'Inputs'!$B$24)*(0.5*((((44-43)*MAX('Inputs'!$B$33,'Inputs'!$B$29+'Inputs'!$B$31+'Inputs'!$B$32,'Inputs'!$B$30+'Inputs'!$B$31+'Inputs'!$B$32)/1000+'Inputs'!$B$21)+'Inputs'!$B$7)/SQRT((((44-43)*MAX('Inputs'!$B$33,'Inputs'!$B$29+'Inputs'!$B$31+'Inputs'!$B$32,'Inputs'!$B$30+'Inputs'!$B$31+'Inputs'!$B$32)/1000+'Inputs'!$B$21)+'Inputs'!$B$7)^2+('Inputs'!$B$6/2)^2)-(((44-43)*MAX('Inputs'!$B$33,'Inputs'!$B$29+'Inputs'!$B$31+'Inputs'!$B$32,'Inputs'!$B$30+'Inputs'!$B$31+'Inputs'!$B$32)/1000+'Inputs'!$B$21))/SQRT((((44-43)*MAX('Inputs'!$B$33,'Inputs'!$B$29+'Inputs'!$B$31+'Inputs'!$B$32,'Inputs'!$B$30+'Inputs'!$B$31+'Inputs'!$B$32)/1000+'Inputs'!$B$21))^2+('Inputs'!$B$6/2)^2)))-'Results'!C7*(1-'Inputs'!$B$24)*(0.5*((((44-43)*MAX('Inputs'!$B$33,'Inputs'!$B$29+'Inputs'!$B$31+'Inputs'!$B$32,'Inputs'!$B$30+'Inputs'!$B$31+'Inputs'!$B$32)/1000+'Inputs'!$B$21+'Inputs'!$B$7+'Inputs'!$B$10)+'Inputs'!$B$9)/SQRT((((44-43)*MAX('Inputs'!$B$33,'Inputs'!$B$29+'Inputs'!$B$31+'Inputs'!$B$32,'Inputs'!$B$30+'Inputs'!$B$31+'Inputs'!$B$32)/1000+'Inputs'!$B$21+'Inputs'!$B$7+'Inputs'!$B$10)+'Inputs'!$B$9)^2+('Inputs'!$B$8/2)^2)-(((44-43)*MAX('Inputs'!$B$33,'Inputs'!$B$29+'Inputs'!$B$31+'Inputs'!$B$32,'Inputs'!$B$30+'Inputs'!$B$31+'Inputs'!$B$32)/1000+'Inputs'!$B$21+'Inputs'!$B$7+'Inputs'!$B$10))/SQRT((((44-43)*MAX('Inputs'!$B$33,'Inputs'!$B$29+'Inputs'!$B$31+'Inputs'!$B$32,'Inputs'!$B$30+'Inputs'!$B$31+'Inputs'!$B$32)/1000+'Inputs'!$B$21+'Inputs'!$B$7+'Inputs'!$B$10))^2+('Inputs'!$B$8/2)^2))))*'Results'!$B$8))),"")</x:f>
        <x:v>2174.237761718588</x:v>
      </x:c>
      <x:c r="M44" s="2" t="n">
        <x:f>IF(AND(ISNUMBER('Results'!C7),ISNUMBER('Results'!B7),ISNUMBER('Results'!$B$8),ISNUMBER('Inputs'!$B$6),ISNUMBER('Inputs'!$B$7),ISNUMBER('Inputs'!$B$8),ISNUMBER('Inputs'!$B$9),ISNUMBER('Inputs'!$B$10),ISNUMBER('Inputs'!$B$21),ISNUMBER('Inputs'!$B$24),ISNUMBER('Inputs'!$B$28)),(('Results'!C7*(0.5*((((44-43)*MAX('Inputs'!$B$33,'Inputs'!$B$29+'Inputs'!$B$31+'Inputs'!$B$32,'Inputs'!$B$30+'Inputs'!$B$31+'Inputs'!$B$32)/1000+'Inputs'!$B$21)+'Inputs'!$B$9)/SQRT((((44-43)*MAX('Inputs'!$B$33,'Inputs'!$B$29+'Inputs'!$B$31+'Inputs'!$B$32,'Inputs'!$B$30+'Inputs'!$B$31+'Inputs'!$B$32)/1000+'Inputs'!$B$21)+'Inputs'!$B$9)^2+('Inputs'!$B$8/2)^2)-(((44-43)*MAX('Inputs'!$B$33,'Inputs'!$B$29+'Inputs'!$B$31+'Inputs'!$B$32,'Inputs'!$B$30+'Inputs'!$B$31+'Inputs'!$B$32)/1000+'Inputs'!$B$21))/SQRT((((44-43)*MAX('Inputs'!$B$33,'Inputs'!$B$29+'Inputs'!$B$31+'Inputs'!$B$32,'Inputs'!$B$30+'Inputs'!$B$31+'Inputs'!$B$32)/1000+'Inputs'!$B$21))^2+('Inputs'!$B$8/2)^2)))-'Results'!B7*(0.5*((((44-43)*MAX('Inputs'!$B$33,'Inputs'!$B$29+'Inputs'!$B$31+'Inputs'!$B$32,'Inputs'!$B$30+'Inputs'!$B$31+'Inputs'!$B$32)/1000+'Inputs'!$B$21+'Inputs'!$B$9+'Inputs'!$B$10)+'Inputs'!$B$7)/SQRT((((44-43)*MAX('Inputs'!$B$33,'Inputs'!$B$29+'Inputs'!$B$31+'Inputs'!$B$32,'Inputs'!$B$30+'Inputs'!$B$31+'Inputs'!$B$32)/1000+'Inputs'!$B$21+'Inputs'!$B$9+'Inputs'!$B$10)+'Inputs'!$B$7)^2+('Inputs'!$B$6/2)^2)-(((44-43)*MAX('Inputs'!$B$33,'Inputs'!$B$29+'Inputs'!$B$31+'Inputs'!$B$32,'Inputs'!$B$30+'Inputs'!$B$31+'Inputs'!$B$32)/1000+'Inputs'!$B$21+'Inputs'!$B$9+'Inputs'!$B$10))/SQRT((((44-43)*MAX('Inputs'!$B$33,'Inputs'!$B$29+'Inputs'!$B$31+'Inputs'!$B$32,'Inputs'!$B$30+'Inputs'!$B$31+'Inputs'!$B$32)/1000+'Inputs'!$B$21+'Inputs'!$B$9+'Inputs'!$B$10))^2+('Inputs'!$B$6/2)^2))))*'Results'!$B$8),"")</x:f>
        <x:v>1962.3810659598646</x:v>
      </x:c>
      <x:c r="N44" s="2" t="n">
        <x:f>IF(AND(ISNUMBER('Results'!C7),ISNUMBER('Results'!B7),ISNUMBER('Results'!$B$8),ISNUMBER('Inputs'!$B$6),ISNUMBER('Inputs'!$B$7),ISNUMBER('Inputs'!$B$8),ISNUMBER('Inputs'!$B$9),ISNUMBER('Inputs'!$B$10),ISNUMBER('Inputs'!$B$21),ISNUMBER('Inputs'!$B$24),ISNUMBER('Inputs'!$B$28)),((('Results'!C7*(1-'Inputs'!$B$24)*(0.5*((((44-43)*MAX('Inputs'!$B$33,'Inputs'!$B$29+'Inputs'!$B$31+'Inputs'!$B$32,'Inputs'!$B$30+'Inputs'!$B$31+'Inputs'!$B$32)/1000+'Inputs'!$B$21)+'Inputs'!$B$9)/SQRT((((44-43)*MAX('Inputs'!$B$33,'Inputs'!$B$29+'Inputs'!$B$31+'Inputs'!$B$32,'Inputs'!$B$30+'Inputs'!$B$31+'Inputs'!$B$32)/1000+'Inputs'!$B$21)+'Inputs'!$B$9)^2+('Inputs'!$B$8/2)^2)-(((44-43)*MAX('Inputs'!$B$33,'Inputs'!$B$29+'Inputs'!$B$31+'Inputs'!$B$32,'Inputs'!$B$30+'Inputs'!$B$31+'Inputs'!$B$32)/1000+'Inputs'!$B$21))/SQRT((((44-43)*MAX('Inputs'!$B$33,'Inputs'!$B$29+'Inputs'!$B$31+'Inputs'!$B$32,'Inputs'!$B$30+'Inputs'!$B$31+'Inputs'!$B$32)/1000+'Inputs'!$B$21))^2+('Inputs'!$B$8/2)^2)))-'Results'!B7*(1+'Inputs'!$B$24)*(0.5*((((44-43)*MAX('Inputs'!$B$33,'Inputs'!$B$29+'Inputs'!$B$31+'Inputs'!$B$32,'Inputs'!$B$30+'Inputs'!$B$31+'Inputs'!$B$32)/1000+'Inputs'!$B$21+'Inputs'!$B$9+'Inputs'!$B$10)+'Inputs'!$B$7)/SQRT((((44-43)*MAX('Inputs'!$B$33,'Inputs'!$B$29+'Inputs'!$B$31+'Inputs'!$B$32,'Inputs'!$B$30+'Inputs'!$B$31+'Inputs'!$B$32)/1000+'Inputs'!$B$21+'Inputs'!$B$9+'Inputs'!$B$10)+'Inputs'!$B$7)^2+('Inputs'!$B$6/2)^2)-(((44-43)*MAX('Inputs'!$B$33,'Inputs'!$B$29+'Inputs'!$B$31+'Inputs'!$B$32,'Inputs'!$B$30+'Inputs'!$B$31+'Inputs'!$B$32)/1000+'Inputs'!$B$21+'Inputs'!$B$9+'Inputs'!$B$10))/SQRT((((44-43)*MAX('Inputs'!$B$33,'Inputs'!$B$29+'Inputs'!$B$31+'Inputs'!$B$32,'Inputs'!$B$30+'Inputs'!$B$31+'Inputs'!$B$32)/1000+'Inputs'!$B$21+'Inputs'!$B$9+'Inputs'!$B$10))^2+('Inputs'!$B$6/2)^2))))*'Results'!$B$8)-'Inputs'!$B$28*ABS((('Results'!C7*(1-'Inputs'!$B$24)*(0.5*((((44-43)*MAX('Inputs'!$B$33,'Inputs'!$B$29+'Inputs'!$B$31+'Inputs'!$B$32,'Inputs'!$B$30+'Inputs'!$B$31+'Inputs'!$B$32)/1000+'Inputs'!$B$21)+'Inputs'!$B$9)/SQRT((((44-43)*MAX('Inputs'!$B$33,'Inputs'!$B$29+'Inputs'!$B$31+'Inputs'!$B$32,'Inputs'!$B$30+'Inputs'!$B$31+'Inputs'!$B$32)/1000+'Inputs'!$B$21)+'Inputs'!$B$9)^2+('Inputs'!$B$8/2)^2)-(((44-43)*MAX('Inputs'!$B$33,'Inputs'!$B$29+'Inputs'!$B$31+'Inputs'!$B$32,'Inputs'!$B$30+'Inputs'!$B$31+'Inputs'!$B$32)/1000+'Inputs'!$B$21))/SQRT((((44-43)*MAX('Inputs'!$B$33,'Inputs'!$B$29+'Inputs'!$B$31+'Inputs'!$B$32,'Inputs'!$B$30+'Inputs'!$B$31+'Inputs'!$B$32)/1000+'Inputs'!$B$21))^2+('Inputs'!$B$8/2)^2)))-'Results'!B7*(1+'Inputs'!$B$24)*(0.5*((((44-43)*MAX('Inputs'!$B$33,'Inputs'!$B$29+'Inputs'!$B$31+'Inputs'!$B$32,'Inputs'!$B$30+'Inputs'!$B$31+'Inputs'!$B$32)/1000+'Inputs'!$B$21+'Inputs'!$B$9+'Inputs'!$B$10)+'Inputs'!$B$7)/SQRT((((44-43)*MAX('Inputs'!$B$33,'Inputs'!$B$29+'Inputs'!$B$31+'Inputs'!$B$32,'Inputs'!$B$30+'Inputs'!$B$31+'Inputs'!$B$32)/1000+'Inputs'!$B$21+'Inputs'!$B$9+'Inputs'!$B$10)+'Inputs'!$B$7)^2+('Inputs'!$B$6/2)^2)-(((44-43)*MAX('Inputs'!$B$33,'Inputs'!$B$29+'Inputs'!$B$31+'Inputs'!$B$32,'Inputs'!$B$30+'Inputs'!$B$31+'Inputs'!$B$32)/1000+'Inputs'!$B$21+'Inputs'!$B$9+'Inputs'!$B$10))/SQRT((((44-43)*MAX('Inputs'!$B$33,'Inputs'!$B$29+'Inputs'!$B$31+'Inputs'!$B$32,'Inputs'!$B$30+'Inputs'!$B$31+'Inputs'!$B$32)/1000+'Inputs'!$B$21+'Inputs'!$B$9+'Inputs'!$B$10))^2+('Inputs'!$B$6/2)^2))))*'Results'!$B$8))),"")</x:f>
        <x:v>1813.6396006450027</x:v>
      </x:c>
      <x:c r="O44" s="2" t="n">
        <x:f>IF(AND(ISNUMBER('Results'!C7),ISNUMBER('Results'!B7),ISNUMBER('Results'!$B$8),ISNUMBER('Inputs'!$B$6),ISNUMBER('Inputs'!$B$7),ISNUMBER('Inputs'!$B$8),ISNUMBER('Inputs'!$B$9),ISNUMBER('Inputs'!$B$10),ISNUMBER('Inputs'!$B$21),ISNUMBER('Inputs'!$B$24),ISNUMBER('Inputs'!$B$28)),((('Results'!C7*(1+'Inputs'!$B$24)*(0.5*((((44-43)*MAX('Inputs'!$B$33,'Inputs'!$B$29+'Inputs'!$B$31+'Inputs'!$B$32,'Inputs'!$B$30+'Inputs'!$B$31+'Inputs'!$B$32)/1000+'Inputs'!$B$21)+'Inputs'!$B$9)/SQRT((((44-43)*MAX('Inputs'!$B$33,'Inputs'!$B$29+'Inputs'!$B$31+'Inputs'!$B$32,'Inputs'!$B$30+'Inputs'!$B$31+'Inputs'!$B$32)/1000+'Inputs'!$B$21)+'Inputs'!$B$9)^2+('Inputs'!$B$8/2)^2)-(((44-43)*MAX('Inputs'!$B$33,'Inputs'!$B$29+'Inputs'!$B$31+'Inputs'!$B$32,'Inputs'!$B$30+'Inputs'!$B$31+'Inputs'!$B$32)/1000+'Inputs'!$B$21))/SQRT((((44-43)*MAX('Inputs'!$B$33,'Inputs'!$B$29+'Inputs'!$B$31+'Inputs'!$B$32,'Inputs'!$B$30+'Inputs'!$B$31+'Inputs'!$B$32)/1000+'Inputs'!$B$21))^2+('Inputs'!$B$8/2)^2)))-'Results'!B7*(1-'Inputs'!$B$24)*(0.5*((((44-43)*MAX('Inputs'!$B$33,'Inputs'!$B$29+'Inputs'!$B$31+'Inputs'!$B$32,'Inputs'!$B$30+'Inputs'!$B$31+'Inputs'!$B$32)/1000+'Inputs'!$B$21+'Inputs'!$B$9+'Inputs'!$B$10)+'Inputs'!$B$7)/SQRT((((44-43)*MAX('Inputs'!$B$33,'Inputs'!$B$29+'Inputs'!$B$31+'Inputs'!$B$32,'Inputs'!$B$30+'Inputs'!$B$31+'Inputs'!$B$32)/1000+'Inputs'!$B$21+'Inputs'!$B$9+'Inputs'!$B$10)+'Inputs'!$B$7)^2+('Inputs'!$B$6/2)^2)-(((44-43)*MAX('Inputs'!$B$33,'Inputs'!$B$29+'Inputs'!$B$31+'Inputs'!$B$32,'Inputs'!$B$30+'Inputs'!$B$31+'Inputs'!$B$32)/1000+'Inputs'!$B$21+'Inputs'!$B$9+'Inputs'!$B$10))/SQRT((((44-43)*MAX('Inputs'!$B$33,'Inputs'!$B$29+'Inputs'!$B$31+'Inputs'!$B$32,'Inputs'!$B$30+'Inputs'!$B$31+'Inputs'!$B$32)/1000+'Inputs'!$B$21+'Inputs'!$B$9+'Inputs'!$B$10))^2+('Inputs'!$B$6/2)^2))))*'Results'!$B$8)+'Inputs'!$B$28*ABS((('Results'!C7*(1+'Inputs'!$B$24)*(0.5*((((44-43)*MAX('Inputs'!$B$33,'Inputs'!$B$29+'Inputs'!$B$31+'Inputs'!$B$32,'Inputs'!$B$30+'Inputs'!$B$31+'Inputs'!$B$32)/1000+'Inputs'!$B$21)+'Inputs'!$B$9)/SQRT((((44-43)*MAX('Inputs'!$B$33,'Inputs'!$B$29+'Inputs'!$B$31+'Inputs'!$B$32,'Inputs'!$B$30+'Inputs'!$B$31+'Inputs'!$B$32)/1000+'Inputs'!$B$21)+'Inputs'!$B$9)^2+('Inputs'!$B$8/2)^2)-(((44-43)*MAX('Inputs'!$B$33,'Inputs'!$B$29+'Inputs'!$B$31+'Inputs'!$B$32,'Inputs'!$B$30+'Inputs'!$B$31+'Inputs'!$B$32)/1000+'Inputs'!$B$21))/SQRT((((44-43)*MAX('Inputs'!$B$33,'Inputs'!$B$29+'Inputs'!$B$31+'Inputs'!$B$32,'Inputs'!$B$30+'Inputs'!$B$31+'Inputs'!$B$32)/1000+'Inputs'!$B$21))^2+('Inputs'!$B$8/2)^2)))-'Results'!B7*(1-'Inputs'!$B$24)*(0.5*((((44-43)*MAX('Inputs'!$B$33,'Inputs'!$B$29+'Inputs'!$B$31+'Inputs'!$B$32,'Inputs'!$B$30+'Inputs'!$B$31+'Inputs'!$B$32)/1000+'Inputs'!$B$21+'Inputs'!$B$9+'Inputs'!$B$10)+'Inputs'!$B$7)/SQRT((((44-43)*MAX('Inputs'!$B$33,'Inputs'!$B$29+'Inputs'!$B$31+'Inputs'!$B$32,'Inputs'!$B$30+'Inputs'!$B$31+'Inputs'!$B$32)/1000+'Inputs'!$B$21+'Inputs'!$B$9+'Inputs'!$B$10)+'Inputs'!$B$7)^2+('Inputs'!$B$6/2)^2)-(((44-43)*MAX('Inputs'!$B$33,'Inputs'!$B$29+'Inputs'!$B$31+'Inputs'!$B$32,'Inputs'!$B$30+'Inputs'!$B$31+'Inputs'!$B$32)/1000+'Inputs'!$B$21+'Inputs'!$B$9+'Inputs'!$B$10))/SQRT((((44-43)*MAX('Inputs'!$B$33,'Inputs'!$B$29+'Inputs'!$B$31+'Inputs'!$B$32,'Inputs'!$B$30+'Inputs'!$B$31+'Inputs'!$B$32)/1000+'Inputs'!$B$21+'Inputs'!$B$9+'Inputs'!$B$10))^2+('Inputs'!$B$6/2)^2))))*'Results'!$B$8))),"")</x:f>
        <x:v>2116.4512062238705</x:v>
      </x:c>
      <x:c r="P44" s="2" t="n">
        <x:f>IF(AND(MAX(J44,J43)&gt;0,J44&gt;J43+0.00000001),1,0)</x:f>
        <x:v>0</x:v>
      </x:c>
      <x:c r="Q44" s="2" t="n">
        <x:f>IF(AND(MAX(K44,K43)&gt;0,K44&gt;K43+0.00000001),1,0)</x:f>
        <x:v>0</x:v>
      </x:c>
      <x:c r="R44" s="2" t="n">
        <x:f>IF(AND(MAX(L44,L43)&gt;0,L44&gt;L43+0.00000001),1,0)</x:f>
        <x:v>0</x:v>
      </x:c>
      <x:c r="S44" s="2" t="n">
        <x:f>IF(AND(MAX(M44,M43)&gt;0,M44&gt;M43+0.00000001),1,0)</x:f>
        <x:v>0</x:v>
      </x:c>
      <x:c r="T44" s="2" t="n">
        <x:f>IF(AND(MAX(N44,N43)&gt;0,N44&gt;N43+0.00000001),1,0)</x:f>
        <x:v>0</x:v>
      </x:c>
      <x:c r="U44" s="2" t="n">
        <x:f>IF(AND(MAX(O44,O43)&gt;0,O44&gt;O43+0.00000001),1,0)</x:f>
        <x:v>0</x:v>
      </x:c>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c r="AT44" s="2"/>
      <x:c r="AU44" s="2"/>
      <x:c r="AV44" s="2"/>
      <x:c r="AW44" s="2"/>
      <x:c r="AX44" s="2"/>
      <x:c r="AY44" s="2"/>
      <x:c r="AZ44" s="2"/>
      <x:c r="BA44" s="2"/>
      <x:c r="BB44" s="2"/>
      <x:c r="BC44" s="2"/>
      <x:c r="BD44" s="2"/>
      <x:c r="BE44" s="2"/>
      <x:c r="BF44" s="2"/>
      <x:c r="BG44" s="2"/>
      <x:c r="BH44" s="2"/>
    </x:row>
    <x:row r="45" ht="22" customHeight="1">
      <x:c r="A45" s="2"/>
      <x:c r="B45" s="2"/>
      <x:c r="C45" s="2"/>
      <x:c r="D45" s="2"/>
      <x:c r="E45" s="2"/>
      <x:c r="F45" s="2"/>
      <x:c r="G45" s="2"/>
      <x:c r="H45" s="2"/>
      <x:c r="I45" s="2"/>
      <x:c r="J45" s="2" t="n">
        <x:f>IF(AND(ISNUMBER('Results'!B7),ISNUMBER('Results'!C7),ISNUMBER('Results'!$B$8),ISNUMBER('Inputs'!$B$6),ISNUMBER('Inputs'!$B$7),ISNUMBER('Inputs'!$B$8),ISNUMBER('Inputs'!$B$9),ISNUMBER('Inputs'!$B$10),ISNUMBER('Inputs'!$B$21),ISNUMBER('Inputs'!$B$24),ISNUMBER('Inputs'!$B$28)),(('Results'!B7*(0.5*((((45-43)*MAX('Inputs'!$B$33,'Inputs'!$B$29+'Inputs'!$B$31+'Inputs'!$B$32,'Inputs'!$B$30+'Inputs'!$B$31+'Inputs'!$B$32)/1000+'Inputs'!$B$21)+'Inputs'!$B$7)/SQRT((((45-43)*MAX('Inputs'!$B$33,'Inputs'!$B$29+'Inputs'!$B$31+'Inputs'!$B$32,'Inputs'!$B$30+'Inputs'!$B$31+'Inputs'!$B$32)/1000+'Inputs'!$B$21)+'Inputs'!$B$7)^2+('Inputs'!$B$6/2)^2)-(((45-43)*MAX('Inputs'!$B$33,'Inputs'!$B$29+'Inputs'!$B$31+'Inputs'!$B$32,'Inputs'!$B$30+'Inputs'!$B$31+'Inputs'!$B$32)/1000+'Inputs'!$B$21))/SQRT((((45-43)*MAX('Inputs'!$B$33,'Inputs'!$B$29+'Inputs'!$B$31+'Inputs'!$B$32,'Inputs'!$B$30+'Inputs'!$B$31+'Inputs'!$B$32)/1000+'Inputs'!$B$21))^2+('Inputs'!$B$6/2)^2)))-'Results'!C7*(0.5*((((45-43)*MAX('Inputs'!$B$33,'Inputs'!$B$29+'Inputs'!$B$31+'Inputs'!$B$32,'Inputs'!$B$30+'Inputs'!$B$31+'Inputs'!$B$32)/1000+'Inputs'!$B$21+'Inputs'!$B$7+'Inputs'!$B$10)+'Inputs'!$B$9)/SQRT((((45-43)*MAX('Inputs'!$B$33,'Inputs'!$B$29+'Inputs'!$B$31+'Inputs'!$B$32,'Inputs'!$B$30+'Inputs'!$B$31+'Inputs'!$B$32)/1000+'Inputs'!$B$21+'Inputs'!$B$7+'Inputs'!$B$10)+'Inputs'!$B$9)^2+('Inputs'!$B$8/2)^2)-(((45-43)*MAX('Inputs'!$B$33,'Inputs'!$B$29+'Inputs'!$B$31+'Inputs'!$B$32,'Inputs'!$B$30+'Inputs'!$B$31+'Inputs'!$B$32)/1000+'Inputs'!$B$21+'Inputs'!$B$7+'Inputs'!$B$10))/SQRT((((45-43)*MAX('Inputs'!$B$33,'Inputs'!$B$29+'Inputs'!$B$31+'Inputs'!$B$32,'Inputs'!$B$30+'Inputs'!$B$31+'Inputs'!$B$32)/1000+'Inputs'!$B$21+'Inputs'!$B$7+'Inputs'!$B$10))^2+('Inputs'!$B$8/2)^2))))*'Results'!$B$8),"")</x:f>
        <x:v>2002.1444080658898</x:v>
      </x:c>
      <x:c r="K45" s="2" t="n">
        <x:f>IF(AND(ISNUMBER('Results'!B7),ISNUMBER('Results'!C7),ISNUMBER('Results'!$B$8),ISNUMBER('Inputs'!$B$6),ISNUMBER('Inputs'!$B$7),ISNUMBER('Inputs'!$B$8),ISNUMBER('Inputs'!$B$9),ISNUMBER('Inputs'!$B$10),ISNUMBER('Inputs'!$B$21),ISNUMBER('Inputs'!$B$24),ISNUMBER('Inputs'!$B$28)),((('Results'!B7*(1-'Inputs'!$B$24)*(0.5*((((45-43)*MAX('Inputs'!$B$33,'Inputs'!$B$29+'Inputs'!$B$31+'Inputs'!$B$32,'Inputs'!$B$30+'Inputs'!$B$31+'Inputs'!$B$32)/1000+'Inputs'!$B$21)+'Inputs'!$B$7)/SQRT((((45-43)*MAX('Inputs'!$B$33,'Inputs'!$B$29+'Inputs'!$B$31+'Inputs'!$B$32,'Inputs'!$B$30+'Inputs'!$B$31+'Inputs'!$B$32)/1000+'Inputs'!$B$21)+'Inputs'!$B$7)^2+('Inputs'!$B$6/2)^2)-(((45-43)*MAX('Inputs'!$B$33,'Inputs'!$B$29+'Inputs'!$B$31+'Inputs'!$B$32,'Inputs'!$B$30+'Inputs'!$B$31+'Inputs'!$B$32)/1000+'Inputs'!$B$21))/SQRT((((45-43)*MAX('Inputs'!$B$33,'Inputs'!$B$29+'Inputs'!$B$31+'Inputs'!$B$32,'Inputs'!$B$30+'Inputs'!$B$31+'Inputs'!$B$32)/1000+'Inputs'!$B$21))^2+('Inputs'!$B$6/2)^2)))-'Results'!C7*(1+'Inputs'!$B$24)*(0.5*((((45-43)*MAX('Inputs'!$B$33,'Inputs'!$B$29+'Inputs'!$B$31+'Inputs'!$B$32,'Inputs'!$B$30+'Inputs'!$B$31+'Inputs'!$B$32)/1000+'Inputs'!$B$21+'Inputs'!$B$7+'Inputs'!$B$10)+'Inputs'!$B$9)/SQRT((((45-43)*MAX('Inputs'!$B$33,'Inputs'!$B$29+'Inputs'!$B$31+'Inputs'!$B$32,'Inputs'!$B$30+'Inputs'!$B$31+'Inputs'!$B$32)/1000+'Inputs'!$B$21+'Inputs'!$B$7+'Inputs'!$B$10)+'Inputs'!$B$9)^2+('Inputs'!$B$8/2)^2)-(((45-43)*MAX('Inputs'!$B$33,'Inputs'!$B$29+'Inputs'!$B$31+'Inputs'!$B$32,'Inputs'!$B$30+'Inputs'!$B$31+'Inputs'!$B$32)/1000+'Inputs'!$B$21+'Inputs'!$B$7+'Inputs'!$B$10))/SQRT((((45-43)*MAX('Inputs'!$B$33,'Inputs'!$B$29+'Inputs'!$B$31+'Inputs'!$B$32,'Inputs'!$B$30+'Inputs'!$B$31+'Inputs'!$B$32)/1000+'Inputs'!$B$21+'Inputs'!$B$7+'Inputs'!$B$10))^2+('Inputs'!$B$8/2)^2))))*'Results'!$B$8)-'Inputs'!$B$28*ABS((('Results'!B7*(1-'Inputs'!$B$24)*(0.5*((((45-43)*MAX('Inputs'!$B$33,'Inputs'!$B$29+'Inputs'!$B$31+'Inputs'!$B$32,'Inputs'!$B$30+'Inputs'!$B$31+'Inputs'!$B$32)/1000+'Inputs'!$B$21)+'Inputs'!$B$7)/SQRT((((45-43)*MAX('Inputs'!$B$33,'Inputs'!$B$29+'Inputs'!$B$31+'Inputs'!$B$32,'Inputs'!$B$30+'Inputs'!$B$31+'Inputs'!$B$32)/1000+'Inputs'!$B$21)+'Inputs'!$B$7)^2+('Inputs'!$B$6/2)^2)-(((45-43)*MAX('Inputs'!$B$33,'Inputs'!$B$29+'Inputs'!$B$31+'Inputs'!$B$32,'Inputs'!$B$30+'Inputs'!$B$31+'Inputs'!$B$32)/1000+'Inputs'!$B$21))/SQRT((((45-43)*MAX('Inputs'!$B$33,'Inputs'!$B$29+'Inputs'!$B$31+'Inputs'!$B$32,'Inputs'!$B$30+'Inputs'!$B$31+'Inputs'!$B$32)/1000+'Inputs'!$B$21))^2+('Inputs'!$B$6/2)^2)))-'Results'!C7*(1+'Inputs'!$B$24)*(0.5*((((45-43)*MAX('Inputs'!$B$33,'Inputs'!$B$29+'Inputs'!$B$31+'Inputs'!$B$32,'Inputs'!$B$30+'Inputs'!$B$31+'Inputs'!$B$32)/1000+'Inputs'!$B$21+'Inputs'!$B$7+'Inputs'!$B$10)+'Inputs'!$B$9)/SQRT((((45-43)*MAX('Inputs'!$B$33,'Inputs'!$B$29+'Inputs'!$B$31+'Inputs'!$B$32,'Inputs'!$B$30+'Inputs'!$B$31+'Inputs'!$B$32)/1000+'Inputs'!$B$21+'Inputs'!$B$7+'Inputs'!$B$10)+'Inputs'!$B$9)^2+('Inputs'!$B$8/2)^2)-(((45-43)*MAX('Inputs'!$B$33,'Inputs'!$B$29+'Inputs'!$B$31+'Inputs'!$B$32,'Inputs'!$B$30+'Inputs'!$B$31+'Inputs'!$B$32)/1000+'Inputs'!$B$21+'Inputs'!$B$7+'Inputs'!$B$10))/SQRT((((45-43)*MAX('Inputs'!$B$33,'Inputs'!$B$29+'Inputs'!$B$31+'Inputs'!$B$32,'Inputs'!$B$30+'Inputs'!$B$31+'Inputs'!$B$32)/1000+'Inputs'!$B$21+'Inputs'!$B$7+'Inputs'!$B$10))^2+('Inputs'!$B$8/2)^2))))*'Results'!$B$8))),"")</x:f>
        <x:v>1851.1408919495918</x:v>
      </x:c>
      <x:c r="L45" s="2" t="n">
        <x:f>IF(AND(ISNUMBER('Results'!B7),ISNUMBER('Results'!C7),ISNUMBER('Results'!$B$8),ISNUMBER('Inputs'!$B$6),ISNUMBER('Inputs'!$B$7),ISNUMBER('Inputs'!$B$8),ISNUMBER('Inputs'!$B$9),ISNUMBER('Inputs'!$B$10),ISNUMBER('Inputs'!$B$21),ISNUMBER('Inputs'!$B$24),ISNUMBER('Inputs'!$B$28)),((('Results'!B7*(1+'Inputs'!$B$24)*(0.5*((((45-43)*MAX('Inputs'!$B$33,'Inputs'!$B$29+'Inputs'!$B$31+'Inputs'!$B$32,'Inputs'!$B$30+'Inputs'!$B$31+'Inputs'!$B$32)/1000+'Inputs'!$B$21)+'Inputs'!$B$7)/SQRT((((45-43)*MAX('Inputs'!$B$33,'Inputs'!$B$29+'Inputs'!$B$31+'Inputs'!$B$32,'Inputs'!$B$30+'Inputs'!$B$31+'Inputs'!$B$32)/1000+'Inputs'!$B$21)+'Inputs'!$B$7)^2+('Inputs'!$B$6/2)^2)-(((45-43)*MAX('Inputs'!$B$33,'Inputs'!$B$29+'Inputs'!$B$31+'Inputs'!$B$32,'Inputs'!$B$30+'Inputs'!$B$31+'Inputs'!$B$32)/1000+'Inputs'!$B$21))/SQRT((((45-43)*MAX('Inputs'!$B$33,'Inputs'!$B$29+'Inputs'!$B$31+'Inputs'!$B$32,'Inputs'!$B$30+'Inputs'!$B$31+'Inputs'!$B$32)/1000+'Inputs'!$B$21))^2+('Inputs'!$B$6/2)^2)))-'Results'!C7*(1-'Inputs'!$B$24)*(0.5*((((45-43)*MAX('Inputs'!$B$33,'Inputs'!$B$29+'Inputs'!$B$31+'Inputs'!$B$32,'Inputs'!$B$30+'Inputs'!$B$31+'Inputs'!$B$32)/1000+'Inputs'!$B$21+'Inputs'!$B$7+'Inputs'!$B$10)+'Inputs'!$B$9)/SQRT((((45-43)*MAX('Inputs'!$B$33,'Inputs'!$B$29+'Inputs'!$B$31+'Inputs'!$B$32,'Inputs'!$B$30+'Inputs'!$B$31+'Inputs'!$B$32)/1000+'Inputs'!$B$21+'Inputs'!$B$7+'Inputs'!$B$10)+'Inputs'!$B$9)^2+('Inputs'!$B$8/2)^2)-(((45-43)*MAX('Inputs'!$B$33,'Inputs'!$B$29+'Inputs'!$B$31+'Inputs'!$B$32,'Inputs'!$B$30+'Inputs'!$B$31+'Inputs'!$B$32)/1000+'Inputs'!$B$21+'Inputs'!$B$7+'Inputs'!$B$10))/SQRT((((45-43)*MAX('Inputs'!$B$33,'Inputs'!$B$29+'Inputs'!$B$31+'Inputs'!$B$32,'Inputs'!$B$30+'Inputs'!$B$31+'Inputs'!$B$32)/1000+'Inputs'!$B$21+'Inputs'!$B$7+'Inputs'!$B$10))^2+('Inputs'!$B$8/2)^2))))*'Results'!$B$8)+'Inputs'!$B$28*ABS((('Results'!B7*(1+'Inputs'!$B$24)*(0.5*((((45-43)*MAX('Inputs'!$B$33,'Inputs'!$B$29+'Inputs'!$B$31+'Inputs'!$B$32,'Inputs'!$B$30+'Inputs'!$B$31+'Inputs'!$B$32)/1000+'Inputs'!$B$21)+'Inputs'!$B$7)/SQRT((((45-43)*MAX('Inputs'!$B$33,'Inputs'!$B$29+'Inputs'!$B$31+'Inputs'!$B$32,'Inputs'!$B$30+'Inputs'!$B$31+'Inputs'!$B$32)/1000+'Inputs'!$B$21)+'Inputs'!$B$7)^2+('Inputs'!$B$6/2)^2)-(((45-43)*MAX('Inputs'!$B$33,'Inputs'!$B$29+'Inputs'!$B$31+'Inputs'!$B$32,'Inputs'!$B$30+'Inputs'!$B$31+'Inputs'!$B$32)/1000+'Inputs'!$B$21))/SQRT((((45-43)*MAX('Inputs'!$B$33,'Inputs'!$B$29+'Inputs'!$B$31+'Inputs'!$B$32,'Inputs'!$B$30+'Inputs'!$B$31+'Inputs'!$B$32)/1000+'Inputs'!$B$21))^2+('Inputs'!$B$6/2)^2)))-'Results'!C7*(1-'Inputs'!$B$24)*(0.5*((((45-43)*MAX('Inputs'!$B$33,'Inputs'!$B$29+'Inputs'!$B$31+'Inputs'!$B$32,'Inputs'!$B$30+'Inputs'!$B$31+'Inputs'!$B$32)/1000+'Inputs'!$B$21+'Inputs'!$B$7+'Inputs'!$B$10)+'Inputs'!$B$9)/SQRT((((45-43)*MAX('Inputs'!$B$33,'Inputs'!$B$29+'Inputs'!$B$31+'Inputs'!$B$32,'Inputs'!$B$30+'Inputs'!$B$31+'Inputs'!$B$32)/1000+'Inputs'!$B$21+'Inputs'!$B$7+'Inputs'!$B$10)+'Inputs'!$B$9)^2+('Inputs'!$B$8/2)^2)-(((45-43)*MAX('Inputs'!$B$33,'Inputs'!$B$29+'Inputs'!$B$31+'Inputs'!$B$32,'Inputs'!$B$30+'Inputs'!$B$31+'Inputs'!$B$32)/1000+'Inputs'!$B$21+'Inputs'!$B$7+'Inputs'!$B$10))/SQRT((((45-43)*MAX('Inputs'!$B$33,'Inputs'!$B$29+'Inputs'!$B$31+'Inputs'!$B$32,'Inputs'!$B$30+'Inputs'!$B$31+'Inputs'!$B$32)/1000+'Inputs'!$B$21+'Inputs'!$B$7+'Inputs'!$B$10))^2+('Inputs'!$B$8/2)^2))))*'Results'!$B$8))),"")</x:f>
        <x:v>2158.5054289940826</x:v>
      </x:c>
      <x:c r="M45" s="2" t="n">
        <x:f>IF(AND(ISNUMBER('Results'!C7),ISNUMBER('Results'!B7),ISNUMBER('Results'!$B$8),ISNUMBER('Inputs'!$B$6),ISNUMBER('Inputs'!$B$7),ISNUMBER('Inputs'!$B$8),ISNUMBER('Inputs'!$B$9),ISNUMBER('Inputs'!$B$10),ISNUMBER('Inputs'!$B$21),ISNUMBER('Inputs'!$B$24),ISNUMBER('Inputs'!$B$28)),(('Results'!C7*(0.5*((((45-43)*MAX('Inputs'!$B$33,'Inputs'!$B$29+'Inputs'!$B$31+'Inputs'!$B$32,'Inputs'!$B$30+'Inputs'!$B$31+'Inputs'!$B$32)/1000+'Inputs'!$B$21)+'Inputs'!$B$9)/SQRT((((45-43)*MAX('Inputs'!$B$33,'Inputs'!$B$29+'Inputs'!$B$31+'Inputs'!$B$32,'Inputs'!$B$30+'Inputs'!$B$31+'Inputs'!$B$32)/1000+'Inputs'!$B$21)+'Inputs'!$B$9)^2+('Inputs'!$B$8/2)^2)-(((45-43)*MAX('Inputs'!$B$33,'Inputs'!$B$29+'Inputs'!$B$31+'Inputs'!$B$32,'Inputs'!$B$30+'Inputs'!$B$31+'Inputs'!$B$32)/1000+'Inputs'!$B$21))/SQRT((((45-43)*MAX('Inputs'!$B$33,'Inputs'!$B$29+'Inputs'!$B$31+'Inputs'!$B$32,'Inputs'!$B$30+'Inputs'!$B$31+'Inputs'!$B$32)/1000+'Inputs'!$B$21))^2+('Inputs'!$B$8/2)^2)))-'Results'!B7*(0.5*((((45-43)*MAX('Inputs'!$B$33,'Inputs'!$B$29+'Inputs'!$B$31+'Inputs'!$B$32,'Inputs'!$B$30+'Inputs'!$B$31+'Inputs'!$B$32)/1000+'Inputs'!$B$21+'Inputs'!$B$9+'Inputs'!$B$10)+'Inputs'!$B$7)/SQRT((((45-43)*MAX('Inputs'!$B$33,'Inputs'!$B$29+'Inputs'!$B$31+'Inputs'!$B$32,'Inputs'!$B$30+'Inputs'!$B$31+'Inputs'!$B$32)/1000+'Inputs'!$B$21+'Inputs'!$B$9+'Inputs'!$B$10)+'Inputs'!$B$7)^2+('Inputs'!$B$6/2)^2)-(((45-43)*MAX('Inputs'!$B$33,'Inputs'!$B$29+'Inputs'!$B$31+'Inputs'!$B$32,'Inputs'!$B$30+'Inputs'!$B$31+'Inputs'!$B$32)/1000+'Inputs'!$B$21+'Inputs'!$B$9+'Inputs'!$B$10))/SQRT((((45-43)*MAX('Inputs'!$B$33,'Inputs'!$B$29+'Inputs'!$B$31+'Inputs'!$B$32,'Inputs'!$B$30+'Inputs'!$B$31+'Inputs'!$B$32)/1000+'Inputs'!$B$21+'Inputs'!$B$9+'Inputs'!$B$10))^2+('Inputs'!$B$6/2)^2))))*'Results'!$B$8),"")</x:f>
        <x:v>1948.431276682065</x:v>
      </x:c>
      <x:c r="N45" s="2" t="n">
        <x:f>IF(AND(ISNUMBER('Results'!C7),ISNUMBER('Results'!B7),ISNUMBER('Results'!$B$8),ISNUMBER('Inputs'!$B$6),ISNUMBER('Inputs'!$B$7),ISNUMBER('Inputs'!$B$8),ISNUMBER('Inputs'!$B$9),ISNUMBER('Inputs'!$B$10),ISNUMBER('Inputs'!$B$21),ISNUMBER('Inputs'!$B$24),ISNUMBER('Inputs'!$B$28)),((('Results'!C7*(1-'Inputs'!$B$24)*(0.5*((((45-43)*MAX('Inputs'!$B$33,'Inputs'!$B$29+'Inputs'!$B$31+'Inputs'!$B$32,'Inputs'!$B$30+'Inputs'!$B$31+'Inputs'!$B$32)/1000+'Inputs'!$B$21)+'Inputs'!$B$9)/SQRT((((45-43)*MAX('Inputs'!$B$33,'Inputs'!$B$29+'Inputs'!$B$31+'Inputs'!$B$32,'Inputs'!$B$30+'Inputs'!$B$31+'Inputs'!$B$32)/1000+'Inputs'!$B$21)+'Inputs'!$B$9)^2+('Inputs'!$B$8/2)^2)-(((45-43)*MAX('Inputs'!$B$33,'Inputs'!$B$29+'Inputs'!$B$31+'Inputs'!$B$32,'Inputs'!$B$30+'Inputs'!$B$31+'Inputs'!$B$32)/1000+'Inputs'!$B$21))/SQRT((((45-43)*MAX('Inputs'!$B$33,'Inputs'!$B$29+'Inputs'!$B$31+'Inputs'!$B$32,'Inputs'!$B$30+'Inputs'!$B$31+'Inputs'!$B$32)/1000+'Inputs'!$B$21))^2+('Inputs'!$B$8/2)^2)))-'Results'!B7*(1+'Inputs'!$B$24)*(0.5*((((45-43)*MAX('Inputs'!$B$33,'Inputs'!$B$29+'Inputs'!$B$31+'Inputs'!$B$32,'Inputs'!$B$30+'Inputs'!$B$31+'Inputs'!$B$32)/1000+'Inputs'!$B$21+'Inputs'!$B$9+'Inputs'!$B$10)+'Inputs'!$B$7)/SQRT((((45-43)*MAX('Inputs'!$B$33,'Inputs'!$B$29+'Inputs'!$B$31+'Inputs'!$B$32,'Inputs'!$B$30+'Inputs'!$B$31+'Inputs'!$B$32)/1000+'Inputs'!$B$21+'Inputs'!$B$9+'Inputs'!$B$10)+'Inputs'!$B$7)^2+('Inputs'!$B$6/2)^2)-(((45-43)*MAX('Inputs'!$B$33,'Inputs'!$B$29+'Inputs'!$B$31+'Inputs'!$B$32,'Inputs'!$B$30+'Inputs'!$B$31+'Inputs'!$B$32)/1000+'Inputs'!$B$21+'Inputs'!$B$9+'Inputs'!$B$10))/SQRT((((45-43)*MAX('Inputs'!$B$33,'Inputs'!$B$29+'Inputs'!$B$31+'Inputs'!$B$32,'Inputs'!$B$30+'Inputs'!$B$31+'Inputs'!$B$32)/1000+'Inputs'!$B$21+'Inputs'!$B$9+'Inputs'!$B$10))^2+('Inputs'!$B$6/2)^2))))*'Results'!$B$8)-'Inputs'!$B$28*ABS((('Results'!C7*(1-'Inputs'!$B$24)*(0.5*((((45-43)*MAX('Inputs'!$B$33,'Inputs'!$B$29+'Inputs'!$B$31+'Inputs'!$B$32,'Inputs'!$B$30+'Inputs'!$B$31+'Inputs'!$B$32)/1000+'Inputs'!$B$21)+'Inputs'!$B$9)/SQRT((((45-43)*MAX('Inputs'!$B$33,'Inputs'!$B$29+'Inputs'!$B$31+'Inputs'!$B$32,'Inputs'!$B$30+'Inputs'!$B$31+'Inputs'!$B$32)/1000+'Inputs'!$B$21)+'Inputs'!$B$9)^2+('Inputs'!$B$8/2)^2)-(((45-43)*MAX('Inputs'!$B$33,'Inputs'!$B$29+'Inputs'!$B$31+'Inputs'!$B$32,'Inputs'!$B$30+'Inputs'!$B$31+'Inputs'!$B$32)/1000+'Inputs'!$B$21))/SQRT((((45-43)*MAX('Inputs'!$B$33,'Inputs'!$B$29+'Inputs'!$B$31+'Inputs'!$B$32,'Inputs'!$B$30+'Inputs'!$B$31+'Inputs'!$B$32)/1000+'Inputs'!$B$21))^2+('Inputs'!$B$8/2)^2)))-'Results'!B7*(1+'Inputs'!$B$24)*(0.5*((((45-43)*MAX('Inputs'!$B$33,'Inputs'!$B$29+'Inputs'!$B$31+'Inputs'!$B$32,'Inputs'!$B$30+'Inputs'!$B$31+'Inputs'!$B$32)/1000+'Inputs'!$B$21+'Inputs'!$B$9+'Inputs'!$B$10)+'Inputs'!$B$7)/SQRT((((45-43)*MAX('Inputs'!$B$33,'Inputs'!$B$29+'Inputs'!$B$31+'Inputs'!$B$32,'Inputs'!$B$30+'Inputs'!$B$31+'Inputs'!$B$32)/1000+'Inputs'!$B$21+'Inputs'!$B$9+'Inputs'!$B$10)+'Inputs'!$B$7)^2+('Inputs'!$B$6/2)^2)-(((45-43)*MAX('Inputs'!$B$33,'Inputs'!$B$29+'Inputs'!$B$31+'Inputs'!$B$32,'Inputs'!$B$30+'Inputs'!$B$31+'Inputs'!$B$32)/1000+'Inputs'!$B$21+'Inputs'!$B$9+'Inputs'!$B$10))/SQRT((((45-43)*MAX('Inputs'!$B$33,'Inputs'!$B$29+'Inputs'!$B$31+'Inputs'!$B$32,'Inputs'!$B$30+'Inputs'!$B$31+'Inputs'!$B$32)/1000+'Inputs'!$B$21+'Inputs'!$B$9+'Inputs'!$B$10))^2+('Inputs'!$B$6/2)^2))))*'Results'!$B$8))),"")</x:f>
        <x:v>1800.8716084279906</x:v>
      </x:c>
      <x:c r="O45" s="2" t="n">
        <x:f>IF(AND(ISNUMBER('Results'!C7),ISNUMBER('Results'!B7),ISNUMBER('Results'!$B$8),ISNUMBER('Inputs'!$B$6),ISNUMBER('Inputs'!$B$7),ISNUMBER('Inputs'!$B$8),ISNUMBER('Inputs'!$B$9),ISNUMBER('Inputs'!$B$10),ISNUMBER('Inputs'!$B$21),ISNUMBER('Inputs'!$B$24),ISNUMBER('Inputs'!$B$28)),((('Results'!C7*(1+'Inputs'!$B$24)*(0.5*((((45-43)*MAX('Inputs'!$B$33,'Inputs'!$B$29+'Inputs'!$B$31+'Inputs'!$B$32,'Inputs'!$B$30+'Inputs'!$B$31+'Inputs'!$B$32)/1000+'Inputs'!$B$21)+'Inputs'!$B$9)/SQRT((((45-43)*MAX('Inputs'!$B$33,'Inputs'!$B$29+'Inputs'!$B$31+'Inputs'!$B$32,'Inputs'!$B$30+'Inputs'!$B$31+'Inputs'!$B$32)/1000+'Inputs'!$B$21)+'Inputs'!$B$9)^2+('Inputs'!$B$8/2)^2)-(((45-43)*MAX('Inputs'!$B$33,'Inputs'!$B$29+'Inputs'!$B$31+'Inputs'!$B$32,'Inputs'!$B$30+'Inputs'!$B$31+'Inputs'!$B$32)/1000+'Inputs'!$B$21))/SQRT((((45-43)*MAX('Inputs'!$B$33,'Inputs'!$B$29+'Inputs'!$B$31+'Inputs'!$B$32,'Inputs'!$B$30+'Inputs'!$B$31+'Inputs'!$B$32)/1000+'Inputs'!$B$21))^2+('Inputs'!$B$8/2)^2)))-'Results'!B7*(1-'Inputs'!$B$24)*(0.5*((((45-43)*MAX('Inputs'!$B$33,'Inputs'!$B$29+'Inputs'!$B$31+'Inputs'!$B$32,'Inputs'!$B$30+'Inputs'!$B$31+'Inputs'!$B$32)/1000+'Inputs'!$B$21+'Inputs'!$B$9+'Inputs'!$B$10)+'Inputs'!$B$7)/SQRT((((45-43)*MAX('Inputs'!$B$33,'Inputs'!$B$29+'Inputs'!$B$31+'Inputs'!$B$32,'Inputs'!$B$30+'Inputs'!$B$31+'Inputs'!$B$32)/1000+'Inputs'!$B$21+'Inputs'!$B$9+'Inputs'!$B$10)+'Inputs'!$B$7)^2+('Inputs'!$B$6/2)^2)-(((45-43)*MAX('Inputs'!$B$33,'Inputs'!$B$29+'Inputs'!$B$31+'Inputs'!$B$32,'Inputs'!$B$30+'Inputs'!$B$31+'Inputs'!$B$32)/1000+'Inputs'!$B$21+'Inputs'!$B$9+'Inputs'!$B$10))/SQRT((((45-43)*MAX('Inputs'!$B$33,'Inputs'!$B$29+'Inputs'!$B$31+'Inputs'!$B$32,'Inputs'!$B$30+'Inputs'!$B$31+'Inputs'!$B$32)/1000+'Inputs'!$B$21+'Inputs'!$B$9+'Inputs'!$B$10))^2+('Inputs'!$B$6/2)^2))))*'Results'!$B$8)+'Inputs'!$B$28*ABS((('Results'!C7*(1+'Inputs'!$B$24)*(0.5*((((45-43)*MAX('Inputs'!$B$33,'Inputs'!$B$29+'Inputs'!$B$31+'Inputs'!$B$32,'Inputs'!$B$30+'Inputs'!$B$31+'Inputs'!$B$32)/1000+'Inputs'!$B$21)+'Inputs'!$B$9)/SQRT((((45-43)*MAX('Inputs'!$B$33,'Inputs'!$B$29+'Inputs'!$B$31+'Inputs'!$B$32,'Inputs'!$B$30+'Inputs'!$B$31+'Inputs'!$B$32)/1000+'Inputs'!$B$21)+'Inputs'!$B$9)^2+('Inputs'!$B$8/2)^2)-(((45-43)*MAX('Inputs'!$B$33,'Inputs'!$B$29+'Inputs'!$B$31+'Inputs'!$B$32,'Inputs'!$B$30+'Inputs'!$B$31+'Inputs'!$B$32)/1000+'Inputs'!$B$21))/SQRT((((45-43)*MAX('Inputs'!$B$33,'Inputs'!$B$29+'Inputs'!$B$31+'Inputs'!$B$32,'Inputs'!$B$30+'Inputs'!$B$31+'Inputs'!$B$32)/1000+'Inputs'!$B$21))^2+('Inputs'!$B$8/2)^2)))-'Results'!B7*(1-'Inputs'!$B$24)*(0.5*((((45-43)*MAX('Inputs'!$B$33,'Inputs'!$B$29+'Inputs'!$B$31+'Inputs'!$B$32,'Inputs'!$B$30+'Inputs'!$B$31+'Inputs'!$B$32)/1000+'Inputs'!$B$21+'Inputs'!$B$9+'Inputs'!$B$10)+'Inputs'!$B$7)/SQRT((((45-43)*MAX('Inputs'!$B$33,'Inputs'!$B$29+'Inputs'!$B$31+'Inputs'!$B$32,'Inputs'!$B$30+'Inputs'!$B$31+'Inputs'!$B$32)/1000+'Inputs'!$B$21+'Inputs'!$B$9+'Inputs'!$B$10)+'Inputs'!$B$7)^2+('Inputs'!$B$6/2)^2)-(((45-43)*MAX('Inputs'!$B$33,'Inputs'!$B$29+'Inputs'!$B$31+'Inputs'!$B$32,'Inputs'!$B$30+'Inputs'!$B$31+'Inputs'!$B$32)/1000+'Inputs'!$B$21+'Inputs'!$B$9+'Inputs'!$B$10))/SQRT((((45-43)*MAX('Inputs'!$B$33,'Inputs'!$B$29+'Inputs'!$B$31+'Inputs'!$B$32,'Inputs'!$B$30+'Inputs'!$B$31+'Inputs'!$B$32)/1000+'Inputs'!$B$21+'Inputs'!$B$9+'Inputs'!$B$10))^2+('Inputs'!$B$6/2)^2))))*'Results'!$B$8))),"")</x:f>
        <x:v>2101.2686401382416</x:v>
      </x:c>
      <x:c r="P45" s="2" t="n">
        <x:f>IF(AND(MAX(J45,J44)&gt;0,J45&gt;J44+0.00000001),1,0)</x:f>
        <x:v>0</x:v>
      </x:c>
      <x:c r="Q45" s="2" t="n">
        <x:f>IF(AND(MAX(K45,K44)&gt;0,K45&gt;K44+0.00000001),1,0)</x:f>
        <x:v>0</x:v>
      </x:c>
      <x:c r="R45" s="2" t="n">
        <x:f>IF(AND(MAX(L45,L44)&gt;0,L45&gt;L44+0.00000001),1,0)</x:f>
        <x:v>0</x:v>
      </x:c>
      <x:c r="S45" s="2" t="n">
        <x:f>IF(AND(MAX(M45,M44)&gt;0,M45&gt;M44+0.00000001),1,0)</x:f>
        <x:v>0</x:v>
      </x:c>
      <x:c r="T45" s="2" t="n">
        <x:f>IF(AND(MAX(N45,N44)&gt;0,N45&gt;N44+0.00000001),1,0)</x:f>
        <x:v>0</x:v>
      </x:c>
      <x:c r="U45" s="2" t="n">
        <x:f>IF(AND(MAX(O45,O44)&gt;0,O45&gt;O44+0.00000001),1,0)</x:f>
        <x:v>0</x:v>
      </x:c>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c r="AT45" s="2"/>
      <x:c r="AU45" s="2"/>
      <x:c r="AV45" s="2"/>
      <x:c r="AW45" s="2"/>
      <x:c r="AX45" s="2"/>
      <x:c r="AY45" s="2"/>
      <x:c r="AZ45" s="2"/>
      <x:c r="BA45" s="2"/>
      <x:c r="BB45" s="2"/>
      <x:c r="BC45" s="2"/>
      <x:c r="BD45" s="2"/>
      <x:c r="BE45" s="2"/>
      <x:c r="BF45" s="2"/>
      <x:c r="BG45" s="2"/>
      <x:c r="BH45" s="2"/>
    </x:row>
    <x:row r="46" ht="22" customHeight="1">
      <x:c r="A46" s="2"/>
      <x:c r="B46" s="2"/>
      <x:c r="C46" s="2"/>
      <x:c r="D46" s="2"/>
      <x:c r="E46" s="2"/>
      <x:c r="F46" s="2"/>
      <x:c r="G46" s="2"/>
      <x:c r="H46" s="2"/>
      <x:c r="I46" s="2"/>
      <x:c r="J46" s="2" t="n">
        <x:f>IF(AND(ISNUMBER('Results'!B7),ISNUMBER('Results'!C7),ISNUMBER('Results'!$B$8),ISNUMBER('Inputs'!$B$6),ISNUMBER('Inputs'!$B$7),ISNUMBER('Inputs'!$B$8),ISNUMBER('Inputs'!$B$9),ISNUMBER('Inputs'!$B$10),ISNUMBER('Inputs'!$B$21),ISNUMBER('Inputs'!$B$24),ISNUMBER('Inputs'!$B$28)),(('Results'!B7*(0.5*((((46-43)*MAX('Inputs'!$B$33,'Inputs'!$B$29+'Inputs'!$B$31+'Inputs'!$B$32,'Inputs'!$B$30+'Inputs'!$B$31+'Inputs'!$B$32)/1000+'Inputs'!$B$21)+'Inputs'!$B$7)/SQRT((((46-43)*MAX('Inputs'!$B$33,'Inputs'!$B$29+'Inputs'!$B$31+'Inputs'!$B$32,'Inputs'!$B$30+'Inputs'!$B$31+'Inputs'!$B$32)/1000+'Inputs'!$B$21)+'Inputs'!$B$7)^2+('Inputs'!$B$6/2)^2)-(((46-43)*MAX('Inputs'!$B$33,'Inputs'!$B$29+'Inputs'!$B$31+'Inputs'!$B$32,'Inputs'!$B$30+'Inputs'!$B$31+'Inputs'!$B$32)/1000+'Inputs'!$B$21))/SQRT((((46-43)*MAX('Inputs'!$B$33,'Inputs'!$B$29+'Inputs'!$B$31+'Inputs'!$B$32,'Inputs'!$B$30+'Inputs'!$B$31+'Inputs'!$B$32)/1000+'Inputs'!$B$21))^2+('Inputs'!$B$6/2)^2)))-'Results'!C7*(0.5*((((46-43)*MAX('Inputs'!$B$33,'Inputs'!$B$29+'Inputs'!$B$31+'Inputs'!$B$32,'Inputs'!$B$30+'Inputs'!$B$31+'Inputs'!$B$32)/1000+'Inputs'!$B$21+'Inputs'!$B$7+'Inputs'!$B$10)+'Inputs'!$B$9)/SQRT((((46-43)*MAX('Inputs'!$B$33,'Inputs'!$B$29+'Inputs'!$B$31+'Inputs'!$B$32,'Inputs'!$B$30+'Inputs'!$B$31+'Inputs'!$B$32)/1000+'Inputs'!$B$21+'Inputs'!$B$7+'Inputs'!$B$10)+'Inputs'!$B$9)^2+('Inputs'!$B$8/2)^2)-(((46-43)*MAX('Inputs'!$B$33,'Inputs'!$B$29+'Inputs'!$B$31+'Inputs'!$B$32,'Inputs'!$B$30+'Inputs'!$B$31+'Inputs'!$B$32)/1000+'Inputs'!$B$21+'Inputs'!$B$7+'Inputs'!$B$10))/SQRT((((46-43)*MAX('Inputs'!$B$33,'Inputs'!$B$29+'Inputs'!$B$31+'Inputs'!$B$32,'Inputs'!$B$30+'Inputs'!$B$31+'Inputs'!$B$32)/1000+'Inputs'!$B$21+'Inputs'!$B$7+'Inputs'!$B$10))^2+('Inputs'!$B$8/2)^2))))*'Results'!$B$8),"")</x:f>
        <x:v>1986.9041582256289</x:v>
      </x:c>
      <x:c r="K46" s="2" t="n">
        <x:f>IF(AND(ISNUMBER('Results'!B7),ISNUMBER('Results'!C7),ISNUMBER('Results'!$B$8),ISNUMBER('Inputs'!$B$6),ISNUMBER('Inputs'!$B$7),ISNUMBER('Inputs'!$B$8),ISNUMBER('Inputs'!$B$9),ISNUMBER('Inputs'!$B$10),ISNUMBER('Inputs'!$B$21),ISNUMBER('Inputs'!$B$24),ISNUMBER('Inputs'!$B$28)),((('Results'!B7*(1-'Inputs'!$B$24)*(0.5*((((46-43)*MAX('Inputs'!$B$33,'Inputs'!$B$29+'Inputs'!$B$31+'Inputs'!$B$32,'Inputs'!$B$30+'Inputs'!$B$31+'Inputs'!$B$32)/1000+'Inputs'!$B$21)+'Inputs'!$B$7)/SQRT((((46-43)*MAX('Inputs'!$B$33,'Inputs'!$B$29+'Inputs'!$B$31+'Inputs'!$B$32,'Inputs'!$B$30+'Inputs'!$B$31+'Inputs'!$B$32)/1000+'Inputs'!$B$21)+'Inputs'!$B$7)^2+('Inputs'!$B$6/2)^2)-(((46-43)*MAX('Inputs'!$B$33,'Inputs'!$B$29+'Inputs'!$B$31+'Inputs'!$B$32,'Inputs'!$B$30+'Inputs'!$B$31+'Inputs'!$B$32)/1000+'Inputs'!$B$21))/SQRT((((46-43)*MAX('Inputs'!$B$33,'Inputs'!$B$29+'Inputs'!$B$31+'Inputs'!$B$32,'Inputs'!$B$30+'Inputs'!$B$31+'Inputs'!$B$32)/1000+'Inputs'!$B$21))^2+('Inputs'!$B$6/2)^2)))-'Results'!C7*(1+'Inputs'!$B$24)*(0.5*((((46-43)*MAX('Inputs'!$B$33,'Inputs'!$B$29+'Inputs'!$B$31+'Inputs'!$B$32,'Inputs'!$B$30+'Inputs'!$B$31+'Inputs'!$B$32)/1000+'Inputs'!$B$21+'Inputs'!$B$7+'Inputs'!$B$10)+'Inputs'!$B$9)/SQRT((((46-43)*MAX('Inputs'!$B$33,'Inputs'!$B$29+'Inputs'!$B$31+'Inputs'!$B$32,'Inputs'!$B$30+'Inputs'!$B$31+'Inputs'!$B$32)/1000+'Inputs'!$B$21+'Inputs'!$B$7+'Inputs'!$B$10)+'Inputs'!$B$9)^2+('Inputs'!$B$8/2)^2)-(((46-43)*MAX('Inputs'!$B$33,'Inputs'!$B$29+'Inputs'!$B$31+'Inputs'!$B$32,'Inputs'!$B$30+'Inputs'!$B$31+'Inputs'!$B$32)/1000+'Inputs'!$B$21+'Inputs'!$B$7+'Inputs'!$B$10))/SQRT((((46-43)*MAX('Inputs'!$B$33,'Inputs'!$B$29+'Inputs'!$B$31+'Inputs'!$B$32,'Inputs'!$B$30+'Inputs'!$B$31+'Inputs'!$B$32)/1000+'Inputs'!$B$21+'Inputs'!$B$7+'Inputs'!$B$10))^2+('Inputs'!$B$8/2)^2))))*'Results'!$B$8)-'Inputs'!$B$28*ABS((('Results'!B7*(1-'Inputs'!$B$24)*(0.5*((((46-43)*MAX('Inputs'!$B$33,'Inputs'!$B$29+'Inputs'!$B$31+'Inputs'!$B$32,'Inputs'!$B$30+'Inputs'!$B$31+'Inputs'!$B$32)/1000+'Inputs'!$B$21)+'Inputs'!$B$7)/SQRT((((46-43)*MAX('Inputs'!$B$33,'Inputs'!$B$29+'Inputs'!$B$31+'Inputs'!$B$32,'Inputs'!$B$30+'Inputs'!$B$31+'Inputs'!$B$32)/1000+'Inputs'!$B$21)+'Inputs'!$B$7)^2+('Inputs'!$B$6/2)^2)-(((46-43)*MAX('Inputs'!$B$33,'Inputs'!$B$29+'Inputs'!$B$31+'Inputs'!$B$32,'Inputs'!$B$30+'Inputs'!$B$31+'Inputs'!$B$32)/1000+'Inputs'!$B$21))/SQRT((((46-43)*MAX('Inputs'!$B$33,'Inputs'!$B$29+'Inputs'!$B$31+'Inputs'!$B$32,'Inputs'!$B$30+'Inputs'!$B$31+'Inputs'!$B$32)/1000+'Inputs'!$B$21))^2+('Inputs'!$B$6/2)^2)))-'Results'!C7*(1+'Inputs'!$B$24)*(0.5*((((46-43)*MAX('Inputs'!$B$33,'Inputs'!$B$29+'Inputs'!$B$31+'Inputs'!$B$32,'Inputs'!$B$30+'Inputs'!$B$31+'Inputs'!$B$32)/1000+'Inputs'!$B$21+'Inputs'!$B$7+'Inputs'!$B$10)+'Inputs'!$B$9)/SQRT((((46-43)*MAX('Inputs'!$B$33,'Inputs'!$B$29+'Inputs'!$B$31+'Inputs'!$B$32,'Inputs'!$B$30+'Inputs'!$B$31+'Inputs'!$B$32)/1000+'Inputs'!$B$21+'Inputs'!$B$7+'Inputs'!$B$10)+'Inputs'!$B$9)^2+('Inputs'!$B$8/2)^2)-(((46-43)*MAX('Inputs'!$B$33,'Inputs'!$B$29+'Inputs'!$B$31+'Inputs'!$B$32,'Inputs'!$B$30+'Inputs'!$B$31+'Inputs'!$B$32)/1000+'Inputs'!$B$21+'Inputs'!$B$7+'Inputs'!$B$10))/SQRT((((46-43)*MAX('Inputs'!$B$33,'Inputs'!$B$29+'Inputs'!$B$31+'Inputs'!$B$32,'Inputs'!$B$30+'Inputs'!$B$31+'Inputs'!$B$32)/1000+'Inputs'!$B$21+'Inputs'!$B$7+'Inputs'!$B$10))^2+('Inputs'!$B$8/2)^2))))*'Results'!$B$8))),"")</x:f>
        <x:v>1837.162818944189</x:v>
      </x:c>
      <x:c r="L46" s="2" t="n">
        <x:f>IF(AND(ISNUMBER('Results'!B7),ISNUMBER('Results'!C7),ISNUMBER('Results'!$B$8),ISNUMBER('Inputs'!$B$6),ISNUMBER('Inputs'!$B$7),ISNUMBER('Inputs'!$B$8),ISNUMBER('Inputs'!$B$9),ISNUMBER('Inputs'!$B$10),ISNUMBER('Inputs'!$B$21),ISNUMBER('Inputs'!$B$24),ISNUMBER('Inputs'!$B$28)),((('Results'!B7*(1+'Inputs'!$B$24)*(0.5*((((46-43)*MAX('Inputs'!$B$33,'Inputs'!$B$29+'Inputs'!$B$31+'Inputs'!$B$32,'Inputs'!$B$30+'Inputs'!$B$31+'Inputs'!$B$32)/1000+'Inputs'!$B$21)+'Inputs'!$B$7)/SQRT((((46-43)*MAX('Inputs'!$B$33,'Inputs'!$B$29+'Inputs'!$B$31+'Inputs'!$B$32,'Inputs'!$B$30+'Inputs'!$B$31+'Inputs'!$B$32)/1000+'Inputs'!$B$21)+'Inputs'!$B$7)^2+('Inputs'!$B$6/2)^2)-(((46-43)*MAX('Inputs'!$B$33,'Inputs'!$B$29+'Inputs'!$B$31+'Inputs'!$B$32,'Inputs'!$B$30+'Inputs'!$B$31+'Inputs'!$B$32)/1000+'Inputs'!$B$21))/SQRT((((46-43)*MAX('Inputs'!$B$33,'Inputs'!$B$29+'Inputs'!$B$31+'Inputs'!$B$32,'Inputs'!$B$30+'Inputs'!$B$31+'Inputs'!$B$32)/1000+'Inputs'!$B$21))^2+('Inputs'!$B$6/2)^2)))-'Results'!C7*(1-'Inputs'!$B$24)*(0.5*((((46-43)*MAX('Inputs'!$B$33,'Inputs'!$B$29+'Inputs'!$B$31+'Inputs'!$B$32,'Inputs'!$B$30+'Inputs'!$B$31+'Inputs'!$B$32)/1000+'Inputs'!$B$21+'Inputs'!$B$7+'Inputs'!$B$10)+'Inputs'!$B$9)/SQRT((((46-43)*MAX('Inputs'!$B$33,'Inputs'!$B$29+'Inputs'!$B$31+'Inputs'!$B$32,'Inputs'!$B$30+'Inputs'!$B$31+'Inputs'!$B$32)/1000+'Inputs'!$B$21+'Inputs'!$B$7+'Inputs'!$B$10)+'Inputs'!$B$9)^2+('Inputs'!$B$8/2)^2)-(((46-43)*MAX('Inputs'!$B$33,'Inputs'!$B$29+'Inputs'!$B$31+'Inputs'!$B$32,'Inputs'!$B$30+'Inputs'!$B$31+'Inputs'!$B$32)/1000+'Inputs'!$B$21+'Inputs'!$B$7+'Inputs'!$B$10))/SQRT((((46-43)*MAX('Inputs'!$B$33,'Inputs'!$B$29+'Inputs'!$B$31+'Inputs'!$B$32,'Inputs'!$B$30+'Inputs'!$B$31+'Inputs'!$B$32)/1000+'Inputs'!$B$21+'Inputs'!$B$7+'Inputs'!$B$10))^2+('Inputs'!$B$8/2)^2))))*'Results'!$B$8)+'Inputs'!$B$28*ABS((('Results'!B7*(1+'Inputs'!$B$24)*(0.5*((((46-43)*MAX('Inputs'!$B$33,'Inputs'!$B$29+'Inputs'!$B$31+'Inputs'!$B$32,'Inputs'!$B$30+'Inputs'!$B$31+'Inputs'!$B$32)/1000+'Inputs'!$B$21)+'Inputs'!$B$7)/SQRT((((46-43)*MAX('Inputs'!$B$33,'Inputs'!$B$29+'Inputs'!$B$31+'Inputs'!$B$32,'Inputs'!$B$30+'Inputs'!$B$31+'Inputs'!$B$32)/1000+'Inputs'!$B$21)+'Inputs'!$B$7)^2+('Inputs'!$B$6/2)^2)-(((46-43)*MAX('Inputs'!$B$33,'Inputs'!$B$29+'Inputs'!$B$31+'Inputs'!$B$32,'Inputs'!$B$30+'Inputs'!$B$31+'Inputs'!$B$32)/1000+'Inputs'!$B$21))/SQRT((((46-43)*MAX('Inputs'!$B$33,'Inputs'!$B$29+'Inputs'!$B$31+'Inputs'!$B$32,'Inputs'!$B$30+'Inputs'!$B$31+'Inputs'!$B$32)/1000+'Inputs'!$B$21))^2+('Inputs'!$B$6/2)^2)))-'Results'!C7*(1-'Inputs'!$B$24)*(0.5*((((46-43)*MAX('Inputs'!$B$33,'Inputs'!$B$29+'Inputs'!$B$31+'Inputs'!$B$32,'Inputs'!$B$30+'Inputs'!$B$31+'Inputs'!$B$32)/1000+'Inputs'!$B$21+'Inputs'!$B$7+'Inputs'!$B$10)+'Inputs'!$B$9)/SQRT((((46-43)*MAX('Inputs'!$B$33,'Inputs'!$B$29+'Inputs'!$B$31+'Inputs'!$B$32,'Inputs'!$B$30+'Inputs'!$B$31+'Inputs'!$B$32)/1000+'Inputs'!$B$21+'Inputs'!$B$7+'Inputs'!$B$10)+'Inputs'!$B$9)^2+('Inputs'!$B$8/2)^2)-(((46-43)*MAX('Inputs'!$B$33,'Inputs'!$B$29+'Inputs'!$B$31+'Inputs'!$B$32,'Inputs'!$B$30+'Inputs'!$B$31+'Inputs'!$B$32)/1000+'Inputs'!$B$21+'Inputs'!$B$7+'Inputs'!$B$10))/SQRT((((46-43)*MAX('Inputs'!$B$33,'Inputs'!$B$29+'Inputs'!$B$31+'Inputs'!$B$32,'Inputs'!$B$30+'Inputs'!$B$31+'Inputs'!$B$32)/1000+'Inputs'!$B$21+'Inputs'!$B$7+'Inputs'!$B$10))^2+('Inputs'!$B$8/2)^2))))*'Results'!$B$8))),"")</x:f>
        <x:v>2141.9503534407686</x:v>
      </x:c>
      <x:c r="M46" s="2" t="n">
        <x:f>IF(AND(ISNUMBER('Results'!C7),ISNUMBER('Results'!B7),ISNUMBER('Results'!$B$8),ISNUMBER('Inputs'!$B$6),ISNUMBER('Inputs'!$B$7),ISNUMBER('Inputs'!$B$8),ISNUMBER('Inputs'!$B$9),ISNUMBER('Inputs'!$B$10),ISNUMBER('Inputs'!$B$21),ISNUMBER('Inputs'!$B$24),ISNUMBER('Inputs'!$B$28)),(('Results'!C7*(0.5*((((46-43)*MAX('Inputs'!$B$33,'Inputs'!$B$29+'Inputs'!$B$31+'Inputs'!$B$32,'Inputs'!$B$30+'Inputs'!$B$31+'Inputs'!$B$32)/1000+'Inputs'!$B$21)+'Inputs'!$B$9)/SQRT((((46-43)*MAX('Inputs'!$B$33,'Inputs'!$B$29+'Inputs'!$B$31+'Inputs'!$B$32,'Inputs'!$B$30+'Inputs'!$B$31+'Inputs'!$B$32)/1000+'Inputs'!$B$21)+'Inputs'!$B$9)^2+('Inputs'!$B$8/2)^2)-(((46-43)*MAX('Inputs'!$B$33,'Inputs'!$B$29+'Inputs'!$B$31+'Inputs'!$B$32,'Inputs'!$B$30+'Inputs'!$B$31+'Inputs'!$B$32)/1000+'Inputs'!$B$21))/SQRT((((46-43)*MAX('Inputs'!$B$33,'Inputs'!$B$29+'Inputs'!$B$31+'Inputs'!$B$32,'Inputs'!$B$30+'Inputs'!$B$31+'Inputs'!$B$32)/1000+'Inputs'!$B$21))^2+('Inputs'!$B$8/2)^2)))-'Results'!B7*(0.5*((((46-43)*MAX('Inputs'!$B$33,'Inputs'!$B$29+'Inputs'!$B$31+'Inputs'!$B$32,'Inputs'!$B$30+'Inputs'!$B$31+'Inputs'!$B$32)/1000+'Inputs'!$B$21+'Inputs'!$B$9+'Inputs'!$B$10)+'Inputs'!$B$7)/SQRT((((46-43)*MAX('Inputs'!$B$33,'Inputs'!$B$29+'Inputs'!$B$31+'Inputs'!$B$32,'Inputs'!$B$30+'Inputs'!$B$31+'Inputs'!$B$32)/1000+'Inputs'!$B$21+'Inputs'!$B$9+'Inputs'!$B$10)+'Inputs'!$B$7)^2+('Inputs'!$B$6/2)^2)-(((46-43)*MAX('Inputs'!$B$33,'Inputs'!$B$29+'Inputs'!$B$31+'Inputs'!$B$32,'Inputs'!$B$30+'Inputs'!$B$31+'Inputs'!$B$32)/1000+'Inputs'!$B$21+'Inputs'!$B$9+'Inputs'!$B$10))/SQRT((((46-43)*MAX('Inputs'!$B$33,'Inputs'!$B$29+'Inputs'!$B$31+'Inputs'!$B$32,'Inputs'!$B$30+'Inputs'!$B$31+'Inputs'!$B$32)/1000+'Inputs'!$B$21+'Inputs'!$B$9+'Inputs'!$B$10))^2+('Inputs'!$B$6/2)^2))))*'Results'!$B$8),"")</x:f>
        <x:v>1933.7197777031865</x:v>
      </x:c>
      <x:c r="N46" s="2" t="n">
        <x:f>IF(AND(ISNUMBER('Results'!C7),ISNUMBER('Results'!B7),ISNUMBER('Results'!$B$8),ISNUMBER('Inputs'!$B$6),ISNUMBER('Inputs'!$B$7),ISNUMBER('Inputs'!$B$8),ISNUMBER('Inputs'!$B$9),ISNUMBER('Inputs'!$B$10),ISNUMBER('Inputs'!$B$21),ISNUMBER('Inputs'!$B$24),ISNUMBER('Inputs'!$B$28)),((('Results'!C7*(1-'Inputs'!$B$24)*(0.5*((((46-43)*MAX('Inputs'!$B$33,'Inputs'!$B$29+'Inputs'!$B$31+'Inputs'!$B$32,'Inputs'!$B$30+'Inputs'!$B$31+'Inputs'!$B$32)/1000+'Inputs'!$B$21)+'Inputs'!$B$9)/SQRT((((46-43)*MAX('Inputs'!$B$33,'Inputs'!$B$29+'Inputs'!$B$31+'Inputs'!$B$32,'Inputs'!$B$30+'Inputs'!$B$31+'Inputs'!$B$32)/1000+'Inputs'!$B$21)+'Inputs'!$B$9)^2+('Inputs'!$B$8/2)^2)-(((46-43)*MAX('Inputs'!$B$33,'Inputs'!$B$29+'Inputs'!$B$31+'Inputs'!$B$32,'Inputs'!$B$30+'Inputs'!$B$31+'Inputs'!$B$32)/1000+'Inputs'!$B$21))/SQRT((((46-43)*MAX('Inputs'!$B$33,'Inputs'!$B$29+'Inputs'!$B$31+'Inputs'!$B$32,'Inputs'!$B$30+'Inputs'!$B$31+'Inputs'!$B$32)/1000+'Inputs'!$B$21))^2+('Inputs'!$B$8/2)^2)))-'Results'!B7*(1+'Inputs'!$B$24)*(0.5*((((46-43)*MAX('Inputs'!$B$33,'Inputs'!$B$29+'Inputs'!$B$31+'Inputs'!$B$32,'Inputs'!$B$30+'Inputs'!$B$31+'Inputs'!$B$32)/1000+'Inputs'!$B$21+'Inputs'!$B$9+'Inputs'!$B$10)+'Inputs'!$B$7)/SQRT((((46-43)*MAX('Inputs'!$B$33,'Inputs'!$B$29+'Inputs'!$B$31+'Inputs'!$B$32,'Inputs'!$B$30+'Inputs'!$B$31+'Inputs'!$B$32)/1000+'Inputs'!$B$21+'Inputs'!$B$9+'Inputs'!$B$10)+'Inputs'!$B$7)^2+('Inputs'!$B$6/2)^2)-(((46-43)*MAX('Inputs'!$B$33,'Inputs'!$B$29+'Inputs'!$B$31+'Inputs'!$B$32,'Inputs'!$B$30+'Inputs'!$B$31+'Inputs'!$B$32)/1000+'Inputs'!$B$21+'Inputs'!$B$9+'Inputs'!$B$10))/SQRT((((46-43)*MAX('Inputs'!$B$33,'Inputs'!$B$29+'Inputs'!$B$31+'Inputs'!$B$32,'Inputs'!$B$30+'Inputs'!$B$31+'Inputs'!$B$32)/1000+'Inputs'!$B$21+'Inputs'!$B$9+'Inputs'!$B$10))^2+('Inputs'!$B$6/2)^2))))*'Results'!$B$8)-'Inputs'!$B$28*ABS((('Results'!C7*(1-'Inputs'!$B$24)*(0.5*((((46-43)*MAX('Inputs'!$B$33,'Inputs'!$B$29+'Inputs'!$B$31+'Inputs'!$B$32,'Inputs'!$B$30+'Inputs'!$B$31+'Inputs'!$B$32)/1000+'Inputs'!$B$21)+'Inputs'!$B$9)/SQRT((((46-43)*MAX('Inputs'!$B$33,'Inputs'!$B$29+'Inputs'!$B$31+'Inputs'!$B$32,'Inputs'!$B$30+'Inputs'!$B$31+'Inputs'!$B$32)/1000+'Inputs'!$B$21)+'Inputs'!$B$9)^2+('Inputs'!$B$8/2)^2)-(((46-43)*MAX('Inputs'!$B$33,'Inputs'!$B$29+'Inputs'!$B$31+'Inputs'!$B$32,'Inputs'!$B$30+'Inputs'!$B$31+'Inputs'!$B$32)/1000+'Inputs'!$B$21))/SQRT((((46-43)*MAX('Inputs'!$B$33,'Inputs'!$B$29+'Inputs'!$B$31+'Inputs'!$B$32,'Inputs'!$B$30+'Inputs'!$B$31+'Inputs'!$B$32)/1000+'Inputs'!$B$21))^2+('Inputs'!$B$8/2)^2)))-'Results'!B7*(1+'Inputs'!$B$24)*(0.5*((((46-43)*MAX('Inputs'!$B$33,'Inputs'!$B$29+'Inputs'!$B$31+'Inputs'!$B$32,'Inputs'!$B$30+'Inputs'!$B$31+'Inputs'!$B$32)/1000+'Inputs'!$B$21+'Inputs'!$B$9+'Inputs'!$B$10)+'Inputs'!$B$7)/SQRT((((46-43)*MAX('Inputs'!$B$33,'Inputs'!$B$29+'Inputs'!$B$31+'Inputs'!$B$32,'Inputs'!$B$30+'Inputs'!$B$31+'Inputs'!$B$32)/1000+'Inputs'!$B$21+'Inputs'!$B$9+'Inputs'!$B$10)+'Inputs'!$B$7)^2+('Inputs'!$B$6/2)^2)-(((46-43)*MAX('Inputs'!$B$33,'Inputs'!$B$29+'Inputs'!$B$31+'Inputs'!$B$32,'Inputs'!$B$30+'Inputs'!$B$31+'Inputs'!$B$32)/1000+'Inputs'!$B$21+'Inputs'!$B$9+'Inputs'!$B$10))/SQRT((((46-43)*MAX('Inputs'!$B$33,'Inputs'!$B$29+'Inputs'!$B$31+'Inputs'!$B$32,'Inputs'!$B$30+'Inputs'!$B$31+'Inputs'!$B$32)/1000+'Inputs'!$B$21+'Inputs'!$B$9+'Inputs'!$B$10))^2+('Inputs'!$B$6/2)^2))))*'Results'!$B$8))),"")</x:f>
        <x:v>1787.3901004254717</x:v>
      </x:c>
      <x:c r="O46" s="2" t="n">
        <x:f>IF(AND(ISNUMBER('Results'!C7),ISNUMBER('Results'!B7),ISNUMBER('Results'!$B$8),ISNUMBER('Inputs'!$B$6),ISNUMBER('Inputs'!$B$7),ISNUMBER('Inputs'!$B$8),ISNUMBER('Inputs'!$B$9),ISNUMBER('Inputs'!$B$10),ISNUMBER('Inputs'!$B$21),ISNUMBER('Inputs'!$B$24),ISNUMBER('Inputs'!$B$28)),((('Results'!C7*(1+'Inputs'!$B$24)*(0.5*((((46-43)*MAX('Inputs'!$B$33,'Inputs'!$B$29+'Inputs'!$B$31+'Inputs'!$B$32,'Inputs'!$B$30+'Inputs'!$B$31+'Inputs'!$B$32)/1000+'Inputs'!$B$21)+'Inputs'!$B$9)/SQRT((((46-43)*MAX('Inputs'!$B$33,'Inputs'!$B$29+'Inputs'!$B$31+'Inputs'!$B$32,'Inputs'!$B$30+'Inputs'!$B$31+'Inputs'!$B$32)/1000+'Inputs'!$B$21)+'Inputs'!$B$9)^2+('Inputs'!$B$8/2)^2)-(((46-43)*MAX('Inputs'!$B$33,'Inputs'!$B$29+'Inputs'!$B$31+'Inputs'!$B$32,'Inputs'!$B$30+'Inputs'!$B$31+'Inputs'!$B$32)/1000+'Inputs'!$B$21))/SQRT((((46-43)*MAX('Inputs'!$B$33,'Inputs'!$B$29+'Inputs'!$B$31+'Inputs'!$B$32,'Inputs'!$B$30+'Inputs'!$B$31+'Inputs'!$B$32)/1000+'Inputs'!$B$21))^2+('Inputs'!$B$8/2)^2)))-'Results'!B7*(1-'Inputs'!$B$24)*(0.5*((((46-43)*MAX('Inputs'!$B$33,'Inputs'!$B$29+'Inputs'!$B$31+'Inputs'!$B$32,'Inputs'!$B$30+'Inputs'!$B$31+'Inputs'!$B$32)/1000+'Inputs'!$B$21+'Inputs'!$B$9+'Inputs'!$B$10)+'Inputs'!$B$7)/SQRT((((46-43)*MAX('Inputs'!$B$33,'Inputs'!$B$29+'Inputs'!$B$31+'Inputs'!$B$32,'Inputs'!$B$30+'Inputs'!$B$31+'Inputs'!$B$32)/1000+'Inputs'!$B$21+'Inputs'!$B$9+'Inputs'!$B$10)+'Inputs'!$B$7)^2+('Inputs'!$B$6/2)^2)-(((46-43)*MAX('Inputs'!$B$33,'Inputs'!$B$29+'Inputs'!$B$31+'Inputs'!$B$32,'Inputs'!$B$30+'Inputs'!$B$31+'Inputs'!$B$32)/1000+'Inputs'!$B$21+'Inputs'!$B$9+'Inputs'!$B$10))/SQRT((((46-43)*MAX('Inputs'!$B$33,'Inputs'!$B$29+'Inputs'!$B$31+'Inputs'!$B$32,'Inputs'!$B$30+'Inputs'!$B$31+'Inputs'!$B$32)/1000+'Inputs'!$B$21+'Inputs'!$B$9+'Inputs'!$B$10))^2+('Inputs'!$B$6/2)^2))))*'Results'!$B$8)+'Inputs'!$B$28*ABS((('Results'!C7*(1+'Inputs'!$B$24)*(0.5*((((46-43)*MAX('Inputs'!$B$33,'Inputs'!$B$29+'Inputs'!$B$31+'Inputs'!$B$32,'Inputs'!$B$30+'Inputs'!$B$31+'Inputs'!$B$32)/1000+'Inputs'!$B$21)+'Inputs'!$B$9)/SQRT((((46-43)*MAX('Inputs'!$B$33,'Inputs'!$B$29+'Inputs'!$B$31+'Inputs'!$B$32,'Inputs'!$B$30+'Inputs'!$B$31+'Inputs'!$B$32)/1000+'Inputs'!$B$21)+'Inputs'!$B$9)^2+('Inputs'!$B$8/2)^2)-(((46-43)*MAX('Inputs'!$B$33,'Inputs'!$B$29+'Inputs'!$B$31+'Inputs'!$B$32,'Inputs'!$B$30+'Inputs'!$B$31+'Inputs'!$B$32)/1000+'Inputs'!$B$21))/SQRT((((46-43)*MAX('Inputs'!$B$33,'Inputs'!$B$29+'Inputs'!$B$31+'Inputs'!$B$32,'Inputs'!$B$30+'Inputs'!$B$31+'Inputs'!$B$32)/1000+'Inputs'!$B$21))^2+('Inputs'!$B$8/2)^2)))-'Results'!B7*(1-'Inputs'!$B$24)*(0.5*((((46-43)*MAX('Inputs'!$B$33,'Inputs'!$B$29+'Inputs'!$B$31+'Inputs'!$B$32,'Inputs'!$B$30+'Inputs'!$B$31+'Inputs'!$B$32)/1000+'Inputs'!$B$21+'Inputs'!$B$9+'Inputs'!$B$10)+'Inputs'!$B$7)/SQRT((((46-43)*MAX('Inputs'!$B$33,'Inputs'!$B$29+'Inputs'!$B$31+'Inputs'!$B$32,'Inputs'!$B$30+'Inputs'!$B$31+'Inputs'!$B$32)/1000+'Inputs'!$B$21+'Inputs'!$B$9+'Inputs'!$B$10)+'Inputs'!$B$7)^2+('Inputs'!$B$6/2)^2)-(((46-43)*MAX('Inputs'!$B$33,'Inputs'!$B$29+'Inputs'!$B$31+'Inputs'!$B$32,'Inputs'!$B$30+'Inputs'!$B$31+'Inputs'!$B$32)/1000+'Inputs'!$B$21+'Inputs'!$B$9+'Inputs'!$B$10))/SQRT((((46-43)*MAX('Inputs'!$B$33,'Inputs'!$B$29+'Inputs'!$B$31+'Inputs'!$B$32,'Inputs'!$B$30+'Inputs'!$B$31+'Inputs'!$B$32)/1000+'Inputs'!$B$21+'Inputs'!$B$9+'Inputs'!$B$10))^2+('Inputs'!$B$6/2)^2))))*'Results'!$B$8))),"")</x:f>
        <x:v>2085.275106390645</x:v>
      </x:c>
      <x:c r="P46" s="2" t="n">
        <x:f>IF(AND(MAX(J46,J45)&gt;0,J46&gt;J45+0.00000001),1,0)</x:f>
        <x:v>0</x:v>
      </x:c>
      <x:c r="Q46" s="2" t="n">
        <x:f>IF(AND(MAX(K46,K45)&gt;0,K46&gt;K45+0.00000001),1,0)</x:f>
        <x:v>0</x:v>
      </x:c>
      <x:c r="R46" s="2" t="n">
        <x:f>IF(AND(MAX(L46,L45)&gt;0,L46&gt;L45+0.00000001),1,0)</x:f>
        <x:v>0</x:v>
      </x:c>
      <x:c r="S46" s="2" t="n">
        <x:f>IF(AND(MAX(M46,M45)&gt;0,M46&gt;M45+0.00000001),1,0)</x:f>
        <x:v>0</x:v>
      </x:c>
      <x:c r="T46" s="2" t="n">
        <x:f>IF(AND(MAX(N46,N45)&gt;0,N46&gt;N45+0.00000001),1,0)</x:f>
        <x:v>0</x:v>
      </x:c>
      <x:c r="U46" s="2" t="n">
        <x:f>IF(AND(MAX(O46,O45)&gt;0,O46&gt;O45+0.00000001),1,0)</x:f>
        <x:v>0</x:v>
      </x:c>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c r="AT46" s="2"/>
      <x:c r="AU46" s="2"/>
      <x:c r="AV46" s="2"/>
      <x:c r="AW46" s="2"/>
      <x:c r="AX46" s="2"/>
      <x:c r="AY46" s="2"/>
      <x:c r="AZ46" s="2"/>
      <x:c r="BA46" s="2"/>
      <x:c r="BB46" s="2"/>
      <x:c r="BC46" s="2"/>
      <x:c r="BD46" s="2"/>
      <x:c r="BE46" s="2"/>
      <x:c r="BF46" s="2"/>
      <x:c r="BG46" s="2"/>
      <x:c r="BH46" s="2"/>
    </x:row>
    <x:row r="47" ht="22" customHeight="1">
      <x:c r="A47" s="2"/>
      <x:c r="B47" s="2"/>
      <x:c r="C47" s="2"/>
      <x:c r="D47" s="2"/>
      <x:c r="E47" s="2"/>
      <x:c r="F47" s="2"/>
      <x:c r="G47" s="2"/>
      <x:c r="H47" s="2"/>
      <x:c r="I47" s="2"/>
      <x:c r="J47" s="2" t="n">
        <x:f>IF(AND(ISNUMBER('Results'!B7),ISNUMBER('Results'!C7),ISNUMBER('Results'!$B$8),ISNUMBER('Inputs'!$B$6),ISNUMBER('Inputs'!$B$7),ISNUMBER('Inputs'!$B$8),ISNUMBER('Inputs'!$B$9),ISNUMBER('Inputs'!$B$10),ISNUMBER('Inputs'!$B$21),ISNUMBER('Inputs'!$B$24),ISNUMBER('Inputs'!$B$28)),(('Results'!B7*(0.5*((((47-43)*MAX('Inputs'!$B$33,'Inputs'!$B$29+'Inputs'!$B$31+'Inputs'!$B$32,'Inputs'!$B$30+'Inputs'!$B$31+'Inputs'!$B$32)/1000+'Inputs'!$B$21)+'Inputs'!$B$7)/SQRT((((47-43)*MAX('Inputs'!$B$33,'Inputs'!$B$29+'Inputs'!$B$31+'Inputs'!$B$32,'Inputs'!$B$30+'Inputs'!$B$31+'Inputs'!$B$32)/1000+'Inputs'!$B$21)+'Inputs'!$B$7)^2+('Inputs'!$B$6/2)^2)-(((47-43)*MAX('Inputs'!$B$33,'Inputs'!$B$29+'Inputs'!$B$31+'Inputs'!$B$32,'Inputs'!$B$30+'Inputs'!$B$31+'Inputs'!$B$32)/1000+'Inputs'!$B$21))/SQRT((((47-43)*MAX('Inputs'!$B$33,'Inputs'!$B$29+'Inputs'!$B$31+'Inputs'!$B$32,'Inputs'!$B$30+'Inputs'!$B$31+'Inputs'!$B$32)/1000+'Inputs'!$B$21))^2+('Inputs'!$B$6/2)^2)))-'Results'!C7*(0.5*((((47-43)*MAX('Inputs'!$B$33,'Inputs'!$B$29+'Inputs'!$B$31+'Inputs'!$B$32,'Inputs'!$B$30+'Inputs'!$B$31+'Inputs'!$B$32)/1000+'Inputs'!$B$21+'Inputs'!$B$7+'Inputs'!$B$10)+'Inputs'!$B$9)/SQRT((((47-43)*MAX('Inputs'!$B$33,'Inputs'!$B$29+'Inputs'!$B$31+'Inputs'!$B$32,'Inputs'!$B$30+'Inputs'!$B$31+'Inputs'!$B$32)/1000+'Inputs'!$B$21+'Inputs'!$B$7+'Inputs'!$B$10)+'Inputs'!$B$9)^2+('Inputs'!$B$8/2)^2)-(((47-43)*MAX('Inputs'!$B$33,'Inputs'!$B$29+'Inputs'!$B$31+'Inputs'!$B$32,'Inputs'!$B$30+'Inputs'!$B$31+'Inputs'!$B$32)/1000+'Inputs'!$B$21+'Inputs'!$B$7+'Inputs'!$B$10))/SQRT((((47-43)*MAX('Inputs'!$B$33,'Inputs'!$B$29+'Inputs'!$B$31+'Inputs'!$B$32,'Inputs'!$B$30+'Inputs'!$B$31+'Inputs'!$B$32)/1000+'Inputs'!$B$21+'Inputs'!$B$7+'Inputs'!$B$10))^2+('Inputs'!$B$8/2)^2))))*'Results'!$B$8),"")</x:f>
        <x:v>1970.9271690686708</x:v>
      </x:c>
      <x:c r="K47" s="2" t="n">
        <x:f>IF(AND(ISNUMBER('Results'!B7),ISNUMBER('Results'!C7),ISNUMBER('Results'!$B$8),ISNUMBER('Inputs'!$B$6),ISNUMBER('Inputs'!$B$7),ISNUMBER('Inputs'!$B$8),ISNUMBER('Inputs'!$B$9),ISNUMBER('Inputs'!$B$10),ISNUMBER('Inputs'!$B$21),ISNUMBER('Inputs'!$B$24),ISNUMBER('Inputs'!$B$28)),((('Results'!B7*(1-'Inputs'!$B$24)*(0.5*((((47-43)*MAX('Inputs'!$B$33,'Inputs'!$B$29+'Inputs'!$B$31+'Inputs'!$B$32,'Inputs'!$B$30+'Inputs'!$B$31+'Inputs'!$B$32)/1000+'Inputs'!$B$21)+'Inputs'!$B$7)/SQRT((((47-43)*MAX('Inputs'!$B$33,'Inputs'!$B$29+'Inputs'!$B$31+'Inputs'!$B$32,'Inputs'!$B$30+'Inputs'!$B$31+'Inputs'!$B$32)/1000+'Inputs'!$B$21)+'Inputs'!$B$7)^2+('Inputs'!$B$6/2)^2)-(((47-43)*MAX('Inputs'!$B$33,'Inputs'!$B$29+'Inputs'!$B$31+'Inputs'!$B$32,'Inputs'!$B$30+'Inputs'!$B$31+'Inputs'!$B$32)/1000+'Inputs'!$B$21))/SQRT((((47-43)*MAX('Inputs'!$B$33,'Inputs'!$B$29+'Inputs'!$B$31+'Inputs'!$B$32,'Inputs'!$B$30+'Inputs'!$B$31+'Inputs'!$B$32)/1000+'Inputs'!$B$21))^2+('Inputs'!$B$6/2)^2)))-'Results'!C7*(1+'Inputs'!$B$24)*(0.5*((((47-43)*MAX('Inputs'!$B$33,'Inputs'!$B$29+'Inputs'!$B$31+'Inputs'!$B$32,'Inputs'!$B$30+'Inputs'!$B$31+'Inputs'!$B$32)/1000+'Inputs'!$B$21+'Inputs'!$B$7+'Inputs'!$B$10)+'Inputs'!$B$9)/SQRT((((47-43)*MAX('Inputs'!$B$33,'Inputs'!$B$29+'Inputs'!$B$31+'Inputs'!$B$32,'Inputs'!$B$30+'Inputs'!$B$31+'Inputs'!$B$32)/1000+'Inputs'!$B$21+'Inputs'!$B$7+'Inputs'!$B$10)+'Inputs'!$B$9)^2+('Inputs'!$B$8/2)^2)-(((47-43)*MAX('Inputs'!$B$33,'Inputs'!$B$29+'Inputs'!$B$31+'Inputs'!$B$32,'Inputs'!$B$30+'Inputs'!$B$31+'Inputs'!$B$32)/1000+'Inputs'!$B$21+'Inputs'!$B$7+'Inputs'!$B$10))/SQRT((((47-43)*MAX('Inputs'!$B$33,'Inputs'!$B$29+'Inputs'!$B$31+'Inputs'!$B$32,'Inputs'!$B$30+'Inputs'!$B$31+'Inputs'!$B$32)/1000+'Inputs'!$B$21+'Inputs'!$B$7+'Inputs'!$B$10))^2+('Inputs'!$B$8/2)^2))))*'Results'!$B$8)-'Inputs'!$B$28*ABS((('Results'!B7*(1-'Inputs'!$B$24)*(0.5*((((47-43)*MAX('Inputs'!$B$33,'Inputs'!$B$29+'Inputs'!$B$31+'Inputs'!$B$32,'Inputs'!$B$30+'Inputs'!$B$31+'Inputs'!$B$32)/1000+'Inputs'!$B$21)+'Inputs'!$B$7)/SQRT((((47-43)*MAX('Inputs'!$B$33,'Inputs'!$B$29+'Inputs'!$B$31+'Inputs'!$B$32,'Inputs'!$B$30+'Inputs'!$B$31+'Inputs'!$B$32)/1000+'Inputs'!$B$21)+'Inputs'!$B$7)^2+('Inputs'!$B$6/2)^2)-(((47-43)*MAX('Inputs'!$B$33,'Inputs'!$B$29+'Inputs'!$B$31+'Inputs'!$B$32,'Inputs'!$B$30+'Inputs'!$B$31+'Inputs'!$B$32)/1000+'Inputs'!$B$21))/SQRT((((47-43)*MAX('Inputs'!$B$33,'Inputs'!$B$29+'Inputs'!$B$31+'Inputs'!$B$32,'Inputs'!$B$30+'Inputs'!$B$31+'Inputs'!$B$32)/1000+'Inputs'!$B$21))^2+('Inputs'!$B$6/2)^2)))-'Results'!C7*(1+'Inputs'!$B$24)*(0.5*((((47-43)*MAX('Inputs'!$B$33,'Inputs'!$B$29+'Inputs'!$B$31+'Inputs'!$B$32,'Inputs'!$B$30+'Inputs'!$B$31+'Inputs'!$B$32)/1000+'Inputs'!$B$21+'Inputs'!$B$7+'Inputs'!$B$10)+'Inputs'!$B$9)/SQRT((((47-43)*MAX('Inputs'!$B$33,'Inputs'!$B$29+'Inputs'!$B$31+'Inputs'!$B$32,'Inputs'!$B$30+'Inputs'!$B$31+'Inputs'!$B$32)/1000+'Inputs'!$B$21+'Inputs'!$B$7+'Inputs'!$B$10)+'Inputs'!$B$9)^2+('Inputs'!$B$8/2)^2)-(((47-43)*MAX('Inputs'!$B$33,'Inputs'!$B$29+'Inputs'!$B$31+'Inputs'!$B$32,'Inputs'!$B$30+'Inputs'!$B$31+'Inputs'!$B$32)/1000+'Inputs'!$B$21+'Inputs'!$B$7+'Inputs'!$B$10))/SQRT((((47-43)*MAX('Inputs'!$B$33,'Inputs'!$B$29+'Inputs'!$B$31+'Inputs'!$B$32,'Inputs'!$B$30+'Inputs'!$B$31+'Inputs'!$B$32)/1000+'Inputs'!$B$21+'Inputs'!$B$7+'Inputs'!$B$10))^2+('Inputs'!$B$8/2)^2))))*'Results'!$B$8))),"")</x:f>
        <x:v>1822.4946584741624</x:v>
      </x:c>
      <x:c r="L47" s="2" t="n">
        <x:f>IF(AND(ISNUMBER('Results'!B7),ISNUMBER('Results'!C7),ISNUMBER('Results'!$B$8),ISNUMBER('Inputs'!$B$6),ISNUMBER('Inputs'!$B$7),ISNUMBER('Inputs'!$B$8),ISNUMBER('Inputs'!$B$9),ISNUMBER('Inputs'!$B$10),ISNUMBER('Inputs'!$B$21),ISNUMBER('Inputs'!$B$24),ISNUMBER('Inputs'!$B$28)),((('Results'!B7*(1+'Inputs'!$B$24)*(0.5*((((47-43)*MAX('Inputs'!$B$33,'Inputs'!$B$29+'Inputs'!$B$31+'Inputs'!$B$32,'Inputs'!$B$30+'Inputs'!$B$31+'Inputs'!$B$32)/1000+'Inputs'!$B$21)+'Inputs'!$B$7)/SQRT((((47-43)*MAX('Inputs'!$B$33,'Inputs'!$B$29+'Inputs'!$B$31+'Inputs'!$B$32,'Inputs'!$B$30+'Inputs'!$B$31+'Inputs'!$B$32)/1000+'Inputs'!$B$21)+'Inputs'!$B$7)^2+('Inputs'!$B$6/2)^2)-(((47-43)*MAX('Inputs'!$B$33,'Inputs'!$B$29+'Inputs'!$B$31+'Inputs'!$B$32,'Inputs'!$B$30+'Inputs'!$B$31+'Inputs'!$B$32)/1000+'Inputs'!$B$21))/SQRT((((47-43)*MAX('Inputs'!$B$33,'Inputs'!$B$29+'Inputs'!$B$31+'Inputs'!$B$32,'Inputs'!$B$30+'Inputs'!$B$31+'Inputs'!$B$32)/1000+'Inputs'!$B$21))^2+('Inputs'!$B$6/2)^2)))-'Results'!C7*(1-'Inputs'!$B$24)*(0.5*((((47-43)*MAX('Inputs'!$B$33,'Inputs'!$B$29+'Inputs'!$B$31+'Inputs'!$B$32,'Inputs'!$B$30+'Inputs'!$B$31+'Inputs'!$B$32)/1000+'Inputs'!$B$21+'Inputs'!$B$7+'Inputs'!$B$10)+'Inputs'!$B$9)/SQRT((((47-43)*MAX('Inputs'!$B$33,'Inputs'!$B$29+'Inputs'!$B$31+'Inputs'!$B$32,'Inputs'!$B$30+'Inputs'!$B$31+'Inputs'!$B$32)/1000+'Inputs'!$B$21+'Inputs'!$B$7+'Inputs'!$B$10)+'Inputs'!$B$9)^2+('Inputs'!$B$8/2)^2)-(((47-43)*MAX('Inputs'!$B$33,'Inputs'!$B$29+'Inputs'!$B$31+'Inputs'!$B$32,'Inputs'!$B$30+'Inputs'!$B$31+'Inputs'!$B$32)/1000+'Inputs'!$B$21+'Inputs'!$B$7+'Inputs'!$B$10))/SQRT((((47-43)*MAX('Inputs'!$B$33,'Inputs'!$B$29+'Inputs'!$B$31+'Inputs'!$B$32,'Inputs'!$B$30+'Inputs'!$B$31+'Inputs'!$B$32)/1000+'Inputs'!$B$21+'Inputs'!$B$7+'Inputs'!$B$10))^2+('Inputs'!$B$8/2)^2))))*'Results'!$B$8)+'Inputs'!$B$28*ABS((('Results'!B7*(1+'Inputs'!$B$24)*(0.5*((((47-43)*MAX('Inputs'!$B$33,'Inputs'!$B$29+'Inputs'!$B$31+'Inputs'!$B$32,'Inputs'!$B$30+'Inputs'!$B$31+'Inputs'!$B$32)/1000+'Inputs'!$B$21)+'Inputs'!$B$7)/SQRT((((47-43)*MAX('Inputs'!$B$33,'Inputs'!$B$29+'Inputs'!$B$31+'Inputs'!$B$32,'Inputs'!$B$30+'Inputs'!$B$31+'Inputs'!$B$32)/1000+'Inputs'!$B$21)+'Inputs'!$B$7)^2+('Inputs'!$B$6/2)^2)-(((47-43)*MAX('Inputs'!$B$33,'Inputs'!$B$29+'Inputs'!$B$31+'Inputs'!$B$32,'Inputs'!$B$30+'Inputs'!$B$31+'Inputs'!$B$32)/1000+'Inputs'!$B$21))/SQRT((((47-43)*MAX('Inputs'!$B$33,'Inputs'!$B$29+'Inputs'!$B$31+'Inputs'!$B$32,'Inputs'!$B$30+'Inputs'!$B$31+'Inputs'!$B$32)/1000+'Inputs'!$B$21))^2+('Inputs'!$B$6/2)^2)))-'Results'!C7*(1-'Inputs'!$B$24)*(0.5*((((47-43)*MAX('Inputs'!$B$33,'Inputs'!$B$29+'Inputs'!$B$31+'Inputs'!$B$32,'Inputs'!$B$30+'Inputs'!$B$31+'Inputs'!$B$32)/1000+'Inputs'!$B$21+'Inputs'!$B$7+'Inputs'!$B$10)+'Inputs'!$B$9)/SQRT((((47-43)*MAX('Inputs'!$B$33,'Inputs'!$B$29+'Inputs'!$B$31+'Inputs'!$B$32,'Inputs'!$B$30+'Inputs'!$B$31+'Inputs'!$B$32)/1000+'Inputs'!$B$21+'Inputs'!$B$7+'Inputs'!$B$10)+'Inputs'!$B$9)^2+('Inputs'!$B$8/2)^2)-(((47-43)*MAX('Inputs'!$B$33,'Inputs'!$B$29+'Inputs'!$B$31+'Inputs'!$B$32,'Inputs'!$B$30+'Inputs'!$B$31+'Inputs'!$B$32)/1000+'Inputs'!$B$21+'Inputs'!$B$7+'Inputs'!$B$10))/SQRT((((47-43)*MAX('Inputs'!$B$33,'Inputs'!$B$29+'Inputs'!$B$31+'Inputs'!$B$32,'Inputs'!$B$30+'Inputs'!$B$31+'Inputs'!$B$32)/1000+'Inputs'!$B$21+'Inputs'!$B$7+'Inputs'!$B$10))^2+('Inputs'!$B$8/2)^2))))*'Results'!$B$8))),"")</x:f>
        <x:v>2124.6108535727662</x:v>
      </x:c>
      <x:c r="M47" s="2" t="n">
        <x:f>IF(AND(ISNUMBER('Results'!C7),ISNUMBER('Results'!B7),ISNUMBER('Results'!$B$8),ISNUMBER('Inputs'!$B$6),ISNUMBER('Inputs'!$B$7),ISNUMBER('Inputs'!$B$8),ISNUMBER('Inputs'!$B$9),ISNUMBER('Inputs'!$B$10),ISNUMBER('Inputs'!$B$21),ISNUMBER('Inputs'!$B$24),ISNUMBER('Inputs'!$B$28)),(('Results'!C7*(0.5*((((47-43)*MAX('Inputs'!$B$33,'Inputs'!$B$29+'Inputs'!$B$31+'Inputs'!$B$32,'Inputs'!$B$30+'Inputs'!$B$31+'Inputs'!$B$32)/1000+'Inputs'!$B$21)+'Inputs'!$B$9)/SQRT((((47-43)*MAX('Inputs'!$B$33,'Inputs'!$B$29+'Inputs'!$B$31+'Inputs'!$B$32,'Inputs'!$B$30+'Inputs'!$B$31+'Inputs'!$B$32)/1000+'Inputs'!$B$21)+'Inputs'!$B$9)^2+('Inputs'!$B$8/2)^2)-(((47-43)*MAX('Inputs'!$B$33,'Inputs'!$B$29+'Inputs'!$B$31+'Inputs'!$B$32,'Inputs'!$B$30+'Inputs'!$B$31+'Inputs'!$B$32)/1000+'Inputs'!$B$21))/SQRT((((47-43)*MAX('Inputs'!$B$33,'Inputs'!$B$29+'Inputs'!$B$31+'Inputs'!$B$32,'Inputs'!$B$30+'Inputs'!$B$31+'Inputs'!$B$32)/1000+'Inputs'!$B$21))^2+('Inputs'!$B$8/2)^2)))-'Results'!B7*(0.5*((((47-43)*MAX('Inputs'!$B$33,'Inputs'!$B$29+'Inputs'!$B$31+'Inputs'!$B$32,'Inputs'!$B$30+'Inputs'!$B$31+'Inputs'!$B$32)/1000+'Inputs'!$B$21+'Inputs'!$B$9+'Inputs'!$B$10)+'Inputs'!$B$7)/SQRT((((47-43)*MAX('Inputs'!$B$33,'Inputs'!$B$29+'Inputs'!$B$31+'Inputs'!$B$32,'Inputs'!$B$30+'Inputs'!$B$31+'Inputs'!$B$32)/1000+'Inputs'!$B$21+'Inputs'!$B$9+'Inputs'!$B$10)+'Inputs'!$B$7)^2+('Inputs'!$B$6/2)^2)-(((47-43)*MAX('Inputs'!$B$33,'Inputs'!$B$29+'Inputs'!$B$31+'Inputs'!$B$32,'Inputs'!$B$30+'Inputs'!$B$31+'Inputs'!$B$32)/1000+'Inputs'!$B$21+'Inputs'!$B$9+'Inputs'!$B$10))/SQRT((((47-43)*MAX('Inputs'!$B$33,'Inputs'!$B$29+'Inputs'!$B$31+'Inputs'!$B$32,'Inputs'!$B$30+'Inputs'!$B$31+'Inputs'!$B$32)/1000+'Inputs'!$B$21+'Inputs'!$B$9+'Inputs'!$B$10))^2+('Inputs'!$B$6/2)^2))))*'Results'!$B$8),"")</x:f>
        <x:v>1918.2818259348994</x:v>
      </x:c>
      <x:c r="N47" s="2" t="n">
        <x:f>IF(AND(ISNUMBER('Results'!C7),ISNUMBER('Results'!B7),ISNUMBER('Results'!$B$8),ISNUMBER('Inputs'!$B$6),ISNUMBER('Inputs'!$B$7),ISNUMBER('Inputs'!$B$8),ISNUMBER('Inputs'!$B$9),ISNUMBER('Inputs'!$B$10),ISNUMBER('Inputs'!$B$21),ISNUMBER('Inputs'!$B$24),ISNUMBER('Inputs'!$B$28)),((('Results'!C7*(1-'Inputs'!$B$24)*(0.5*((((47-43)*MAX('Inputs'!$B$33,'Inputs'!$B$29+'Inputs'!$B$31+'Inputs'!$B$32,'Inputs'!$B$30+'Inputs'!$B$31+'Inputs'!$B$32)/1000+'Inputs'!$B$21)+'Inputs'!$B$9)/SQRT((((47-43)*MAX('Inputs'!$B$33,'Inputs'!$B$29+'Inputs'!$B$31+'Inputs'!$B$32,'Inputs'!$B$30+'Inputs'!$B$31+'Inputs'!$B$32)/1000+'Inputs'!$B$21)+'Inputs'!$B$9)^2+('Inputs'!$B$8/2)^2)-(((47-43)*MAX('Inputs'!$B$33,'Inputs'!$B$29+'Inputs'!$B$31+'Inputs'!$B$32,'Inputs'!$B$30+'Inputs'!$B$31+'Inputs'!$B$32)/1000+'Inputs'!$B$21))/SQRT((((47-43)*MAX('Inputs'!$B$33,'Inputs'!$B$29+'Inputs'!$B$31+'Inputs'!$B$32,'Inputs'!$B$30+'Inputs'!$B$31+'Inputs'!$B$32)/1000+'Inputs'!$B$21))^2+('Inputs'!$B$8/2)^2)))-'Results'!B7*(1+'Inputs'!$B$24)*(0.5*((((47-43)*MAX('Inputs'!$B$33,'Inputs'!$B$29+'Inputs'!$B$31+'Inputs'!$B$32,'Inputs'!$B$30+'Inputs'!$B$31+'Inputs'!$B$32)/1000+'Inputs'!$B$21+'Inputs'!$B$9+'Inputs'!$B$10)+'Inputs'!$B$7)/SQRT((((47-43)*MAX('Inputs'!$B$33,'Inputs'!$B$29+'Inputs'!$B$31+'Inputs'!$B$32,'Inputs'!$B$30+'Inputs'!$B$31+'Inputs'!$B$32)/1000+'Inputs'!$B$21+'Inputs'!$B$9+'Inputs'!$B$10)+'Inputs'!$B$7)^2+('Inputs'!$B$6/2)^2)-(((47-43)*MAX('Inputs'!$B$33,'Inputs'!$B$29+'Inputs'!$B$31+'Inputs'!$B$32,'Inputs'!$B$30+'Inputs'!$B$31+'Inputs'!$B$32)/1000+'Inputs'!$B$21+'Inputs'!$B$9+'Inputs'!$B$10))/SQRT((((47-43)*MAX('Inputs'!$B$33,'Inputs'!$B$29+'Inputs'!$B$31+'Inputs'!$B$32,'Inputs'!$B$30+'Inputs'!$B$31+'Inputs'!$B$32)/1000+'Inputs'!$B$21+'Inputs'!$B$9+'Inputs'!$B$10))^2+('Inputs'!$B$6/2)^2))))*'Results'!$B$8)-'Inputs'!$B$28*ABS((('Results'!C7*(1-'Inputs'!$B$24)*(0.5*((((47-43)*MAX('Inputs'!$B$33,'Inputs'!$B$29+'Inputs'!$B$31+'Inputs'!$B$32,'Inputs'!$B$30+'Inputs'!$B$31+'Inputs'!$B$32)/1000+'Inputs'!$B$21)+'Inputs'!$B$9)/SQRT((((47-43)*MAX('Inputs'!$B$33,'Inputs'!$B$29+'Inputs'!$B$31+'Inputs'!$B$32,'Inputs'!$B$30+'Inputs'!$B$31+'Inputs'!$B$32)/1000+'Inputs'!$B$21)+'Inputs'!$B$9)^2+('Inputs'!$B$8/2)^2)-(((47-43)*MAX('Inputs'!$B$33,'Inputs'!$B$29+'Inputs'!$B$31+'Inputs'!$B$32,'Inputs'!$B$30+'Inputs'!$B$31+'Inputs'!$B$32)/1000+'Inputs'!$B$21))/SQRT((((47-43)*MAX('Inputs'!$B$33,'Inputs'!$B$29+'Inputs'!$B$31+'Inputs'!$B$32,'Inputs'!$B$30+'Inputs'!$B$31+'Inputs'!$B$32)/1000+'Inputs'!$B$21))^2+('Inputs'!$B$8/2)^2)))-'Results'!B7*(1+'Inputs'!$B$24)*(0.5*((((47-43)*MAX('Inputs'!$B$33,'Inputs'!$B$29+'Inputs'!$B$31+'Inputs'!$B$32,'Inputs'!$B$30+'Inputs'!$B$31+'Inputs'!$B$32)/1000+'Inputs'!$B$21+'Inputs'!$B$9+'Inputs'!$B$10)+'Inputs'!$B$7)/SQRT((((47-43)*MAX('Inputs'!$B$33,'Inputs'!$B$29+'Inputs'!$B$31+'Inputs'!$B$32,'Inputs'!$B$30+'Inputs'!$B$31+'Inputs'!$B$32)/1000+'Inputs'!$B$21+'Inputs'!$B$9+'Inputs'!$B$10)+'Inputs'!$B$7)^2+('Inputs'!$B$6/2)^2)-(((47-43)*MAX('Inputs'!$B$33,'Inputs'!$B$29+'Inputs'!$B$31+'Inputs'!$B$32,'Inputs'!$B$30+'Inputs'!$B$31+'Inputs'!$B$32)/1000+'Inputs'!$B$21+'Inputs'!$B$9+'Inputs'!$B$10))/SQRT((((47-43)*MAX('Inputs'!$B$33,'Inputs'!$B$29+'Inputs'!$B$31+'Inputs'!$B$32,'Inputs'!$B$30+'Inputs'!$B$31+'Inputs'!$B$32)/1000+'Inputs'!$B$21+'Inputs'!$B$9+'Inputs'!$B$10))^2+('Inputs'!$B$6/2)^2))))*'Results'!$B$8))),"")</x:f>
        <x:v>1773.227996344605</x:v>
      </x:c>
      <x:c r="O47" s="2" t="n">
        <x:f>IF(AND(ISNUMBER('Results'!C7),ISNUMBER('Results'!B7),ISNUMBER('Results'!$B$8),ISNUMBER('Inputs'!$B$6),ISNUMBER('Inputs'!$B$7),ISNUMBER('Inputs'!$B$8),ISNUMBER('Inputs'!$B$9),ISNUMBER('Inputs'!$B$10),ISNUMBER('Inputs'!$B$21),ISNUMBER('Inputs'!$B$24),ISNUMBER('Inputs'!$B$28)),((('Results'!C7*(1+'Inputs'!$B$24)*(0.5*((((47-43)*MAX('Inputs'!$B$33,'Inputs'!$B$29+'Inputs'!$B$31+'Inputs'!$B$32,'Inputs'!$B$30+'Inputs'!$B$31+'Inputs'!$B$32)/1000+'Inputs'!$B$21)+'Inputs'!$B$9)/SQRT((((47-43)*MAX('Inputs'!$B$33,'Inputs'!$B$29+'Inputs'!$B$31+'Inputs'!$B$32,'Inputs'!$B$30+'Inputs'!$B$31+'Inputs'!$B$32)/1000+'Inputs'!$B$21)+'Inputs'!$B$9)^2+('Inputs'!$B$8/2)^2)-(((47-43)*MAX('Inputs'!$B$33,'Inputs'!$B$29+'Inputs'!$B$31+'Inputs'!$B$32,'Inputs'!$B$30+'Inputs'!$B$31+'Inputs'!$B$32)/1000+'Inputs'!$B$21))/SQRT((((47-43)*MAX('Inputs'!$B$33,'Inputs'!$B$29+'Inputs'!$B$31+'Inputs'!$B$32,'Inputs'!$B$30+'Inputs'!$B$31+'Inputs'!$B$32)/1000+'Inputs'!$B$21))^2+('Inputs'!$B$8/2)^2)))-'Results'!B7*(1-'Inputs'!$B$24)*(0.5*((((47-43)*MAX('Inputs'!$B$33,'Inputs'!$B$29+'Inputs'!$B$31+'Inputs'!$B$32,'Inputs'!$B$30+'Inputs'!$B$31+'Inputs'!$B$32)/1000+'Inputs'!$B$21+'Inputs'!$B$9+'Inputs'!$B$10)+'Inputs'!$B$7)/SQRT((((47-43)*MAX('Inputs'!$B$33,'Inputs'!$B$29+'Inputs'!$B$31+'Inputs'!$B$32,'Inputs'!$B$30+'Inputs'!$B$31+'Inputs'!$B$32)/1000+'Inputs'!$B$21+'Inputs'!$B$9+'Inputs'!$B$10)+'Inputs'!$B$7)^2+('Inputs'!$B$6/2)^2)-(((47-43)*MAX('Inputs'!$B$33,'Inputs'!$B$29+'Inputs'!$B$31+'Inputs'!$B$32,'Inputs'!$B$30+'Inputs'!$B$31+'Inputs'!$B$32)/1000+'Inputs'!$B$21+'Inputs'!$B$9+'Inputs'!$B$10))/SQRT((((47-43)*MAX('Inputs'!$B$33,'Inputs'!$B$29+'Inputs'!$B$31+'Inputs'!$B$32,'Inputs'!$B$30+'Inputs'!$B$31+'Inputs'!$B$32)/1000+'Inputs'!$B$21+'Inputs'!$B$9+'Inputs'!$B$10))^2+('Inputs'!$B$6/2)^2))))*'Results'!$B$8)+'Inputs'!$B$28*ABS((('Results'!C7*(1+'Inputs'!$B$24)*(0.5*((((47-43)*MAX('Inputs'!$B$33,'Inputs'!$B$29+'Inputs'!$B$31+'Inputs'!$B$32,'Inputs'!$B$30+'Inputs'!$B$31+'Inputs'!$B$32)/1000+'Inputs'!$B$21)+'Inputs'!$B$9)/SQRT((((47-43)*MAX('Inputs'!$B$33,'Inputs'!$B$29+'Inputs'!$B$31+'Inputs'!$B$32,'Inputs'!$B$30+'Inputs'!$B$31+'Inputs'!$B$32)/1000+'Inputs'!$B$21)+'Inputs'!$B$9)^2+('Inputs'!$B$8/2)^2)-(((47-43)*MAX('Inputs'!$B$33,'Inputs'!$B$29+'Inputs'!$B$31+'Inputs'!$B$32,'Inputs'!$B$30+'Inputs'!$B$31+'Inputs'!$B$32)/1000+'Inputs'!$B$21))/SQRT((((47-43)*MAX('Inputs'!$B$33,'Inputs'!$B$29+'Inputs'!$B$31+'Inputs'!$B$32,'Inputs'!$B$30+'Inputs'!$B$31+'Inputs'!$B$32)/1000+'Inputs'!$B$21))^2+('Inputs'!$B$8/2)^2)))-'Results'!B7*(1-'Inputs'!$B$24)*(0.5*((((47-43)*MAX('Inputs'!$B$33,'Inputs'!$B$29+'Inputs'!$B$31+'Inputs'!$B$32,'Inputs'!$B$30+'Inputs'!$B$31+'Inputs'!$B$32)/1000+'Inputs'!$B$21+'Inputs'!$B$9+'Inputs'!$B$10)+'Inputs'!$B$7)/SQRT((((47-43)*MAX('Inputs'!$B$33,'Inputs'!$B$29+'Inputs'!$B$31+'Inputs'!$B$32,'Inputs'!$B$30+'Inputs'!$B$31+'Inputs'!$B$32)/1000+'Inputs'!$B$21+'Inputs'!$B$9+'Inputs'!$B$10)+'Inputs'!$B$7)^2+('Inputs'!$B$6/2)^2)-(((47-43)*MAX('Inputs'!$B$33,'Inputs'!$B$29+'Inputs'!$B$31+'Inputs'!$B$32,'Inputs'!$B$30+'Inputs'!$B$31+'Inputs'!$B$32)/1000+'Inputs'!$B$21+'Inputs'!$B$9+'Inputs'!$B$10))/SQRT((((47-43)*MAX('Inputs'!$B$33,'Inputs'!$B$29+'Inputs'!$B$31+'Inputs'!$B$32,'Inputs'!$B$30+'Inputs'!$B$31+'Inputs'!$B$32)/1000+'Inputs'!$B$21+'Inputs'!$B$9+'Inputs'!$B$10))^2+('Inputs'!$B$6/2)^2))))*'Results'!$B$8))),"")</x:f>
        <x:v>2068.508259556094</x:v>
      </x:c>
      <x:c r="P47" s="2" t="n">
        <x:f>IF(AND(MAX(J47,J46)&gt;0,J47&gt;J46+0.00000001),1,0)</x:f>
        <x:v>0</x:v>
      </x:c>
      <x:c r="Q47" s="2" t="n">
        <x:f>IF(AND(MAX(K47,K46)&gt;0,K47&gt;K46+0.00000001),1,0)</x:f>
        <x:v>0</x:v>
      </x:c>
      <x:c r="R47" s="2" t="n">
        <x:f>IF(AND(MAX(L47,L46)&gt;0,L47&gt;L46+0.00000001),1,0)</x:f>
        <x:v>0</x:v>
      </x:c>
      <x:c r="S47" s="2" t="n">
        <x:f>IF(AND(MAX(M47,M46)&gt;0,M47&gt;M46+0.00000001),1,0)</x:f>
        <x:v>0</x:v>
      </x:c>
      <x:c r="T47" s="2" t="n">
        <x:f>IF(AND(MAX(N47,N46)&gt;0,N47&gt;N46+0.00000001),1,0)</x:f>
        <x:v>0</x:v>
      </x:c>
      <x:c r="U47" s="2" t="n">
        <x:f>IF(AND(MAX(O47,O46)&gt;0,O47&gt;O46+0.00000001),1,0)</x:f>
        <x:v>0</x:v>
      </x:c>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c r="AT47" s="2"/>
      <x:c r="AU47" s="2"/>
      <x:c r="AV47" s="2"/>
      <x:c r="AW47" s="2"/>
      <x:c r="AX47" s="2"/>
      <x:c r="AY47" s="2"/>
      <x:c r="AZ47" s="2"/>
      <x:c r="BA47" s="2"/>
      <x:c r="BB47" s="2"/>
      <x:c r="BC47" s="2"/>
      <x:c r="BD47" s="2"/>
      <x:c r="BE47" s="2"/>
      <x:c r="BF47" s="2"/>
      <x:c r="BG47" s="2"/>
      <x:c r="BH47" s="2"/>
    </x:row>
    <x:row r="48" ht="22" customHeight="1">
      <x:c r="A48" s="2"/>
      <x:c r="B48" s="2"/>
      <x:c r="C48" s="2"/>
      <x:c r="D48" s="2"/>
      <x:c r="E48" s="2"/>
      <x:c r="F48" s="2"/>
      <x:c r="G48" s="2"/>
      <x:c r="H48" s="2"/>
      <x:c r="I48" s="2"/>
      <x:c r="J48" s="2" t="n">
        <x:f>IF(AND(ISNUMBER('Results'!B7),ISNUMBER('Results'!C7),ISNUMBER('Results'!$B$8),ISNUMBER('Inputs'!$B$6),ISNUMBER('Inputs'!$B$7),ISNUMBER('Inputs'!$B$8),ISNUMBER('Inputs'!$B$9),ISNUMBER('Inputs'!$B$10),ISNUMBER('Inputs'!$B$21),ISNUMBER('Inputs'!$B$24),ISNUMBER('Inputs'!$B$28)),(('Results'!B7*(0.5*((((48-43)*MAX('Inputs'!$B$33,'Inputs'!$B$29+'Inputs'!$B$31+'Inputs'!$B$32,'Inputs'!$B$30+'Inputs'!$B$31+'Inputs'!$B$32)/1000+'Inputs'!$B$21)+'Inputs'!$B$7)/SQRT((((48-43)*MAX('Inputs'!$B$33,'Inputs'!$B$29+'Inputs'!$B$31+'Inputs'!$B$32,'Inputs'!$B$30+'Inputs'!$B$31+'Inputs'!$B$32)/1000+'Inputs'!$B$21)+'Inputs'!$B$7)^2+('Inputs'!$B$6/2)^2)-(((48-43)*MAX('Inputs'!$B$33,'Inputs'!$B$29+'Inputs'!$B$31+'Inputs'!$B$32,'Inputs'!$B$30+'Inputs'!$B$31+'Inputs'!$B$32)/1000+'Inputs'!$B$21))/SQRT((((48-43)*MAX('Inputs'!$B$33,'Inputs'!$B$29+'Inputs'!$B$31+'Inputs'!$B$32,'Inputs'!$B$30+'Inputs'!$B$31+'Inputs'!$B$32)/1000+'Inputs'!$B$21))^2+('Inputs'!$B$6/2)^2)))-'Results'!C7*(0.5*((((48-43)*MAX('Inputs'!$B$33,'Inputs'!$B$29+'Inputs'!$B$31+'Inputs'!$B$32,'Inputs'!$B$30+'Inputs'!$B$31+'Inputs'!$B$32)/1000+'Inputs'!$B$21+'Inputs'!$B$7+'Inputs'!$B$10)+'Inputs'!$B$9)/SQRT((((48-43)*MAX('Inputs'!$B$33,'Inputs'!$B$29+'Inputs'!$B$31+'Inputs'!$B$32,'Inputs'!$B$30+'Inputs'!$B$31+'Inputs'!$B$32)/1000+'Inputs'!$B$21+'Inputs'!$B$7+'Inputs'!$B$10)+'Inputs'!$B$9)^2+('Inputs'!$B$8/2)^2)-(((48-43)*MAX('Inputs'!$B$33,'Inputs'!$B$29+'Inputs'!$B$31+'Inputs'!$B$32,'Inputs'!$B$30+'Inputs'!$B$31+'Inputs'!$B$32)/1000+'Inputs'!$B$21+'Inputs'!$B$7+'Inputs'!$B$10))/SQRT((((48-43)*MAX('Inputs'!$B$33,'Inputs'!$B$29+'Inputs'!$B$31+'Inputs'!$B$32,'Inputs'!$B$30+'Inputs'!$B$31+'Inputs'!$B$32)/1000+'Inputs'!$B$21+'Inputs'!$B$7+'Inputs'!$B$10))^2+('Inputs'!$B$8/2)^2))))*'Results'!$B$8),"")</x:f>
        <x:v>1954.2496724524137</x:v>
      </x:c>
      <x:c r="K48" s="2" t="n">
        <x:f>IF(AND(ISNUMBER('Results'!B7),ISNUMBER('Results'!C7),ISNUMBER('Results'!$B$8),ISNUMBER('Inputs'!$B$6),ISNUMBER('Inputs'!$B$7),ISNUMBER('Inputs'!$B$8),ISNUMBER('Inputs'!$B$9),ISNUMBER('Inputs'!$B$10),ISNUMBER('Inputs'!$B$21),ISNUMBER('Inputs'!$B$24),ISNUMBER('Inputs'!$B$28)),((('Results'!B7*(1-'Inputs'!$B$24)*(0.5*((((48-43)*MAX('Inputs'!$B$33,'Inputs'!$B$29+'Inputs'!$B$31+'Inputs'!$B$32,'Inputs'!$B$30+'Inputs'!$B$31+'Inputs'!$B$32)/1000+'Inputs'!$B$21)+'Inputs'!$B$7)/SQRT((((48-43)*MAX('Inputs'!$B$33,'Inputs'!$B$29+'Inputs'!$B$31+'Inputs'!$B$32,'Inputs'!$B$30+'Inputs'!$B$31+'Inputs'!$B$32)/1000+'Inputs'!$B$21)+'Inputs'!$B$7)^2+('Inputs'!$B$6/2)^2)-(((48-43)*MAX('Inputs'!$B$33,'Inputs'!$B$29+'Inputs'!$B$31+'Inputs'!$B$32,'Inputs'!$B$30+'Inputs'!$B$31+'Inputs'!$B$32)/1000+'Inputs'!$B$21))/SQRT((((48-43)*MAX('Inputs'!$B$33,'Inputs'!$B$29+'Inputs'!$B$31+'Inputs'!$B$32,'Inputs'!$B$30+'Inputs'!$B$31+'Inputs'!$B$32)/1000+'Inputs'!$B$21))^2+('Inputs'!$B$6/2)^2)))-'Results'!C7*(1+'Inputs'!$B$24)*(0.5*((((48-43)*MAX('Inputs'!$B$33,'Inputs'!$B$29+'Inputs'!$B$31+'Inputs'!$B$32,'Inputs'!$B$30+'Inputs'!$B$31+'Inputs'!$B$32)/1000+'Inputs'!$B$21+'Inputs'!$B$7+'Inputs'!$B$10)+'Inputs'!$B$9)/SQRT((((48-43)*MAX('Inputs'!$B$33,'Inputs'!$B$29+'Inputs'!$B$31+'Inputs'!$B$32,'Inputs'!$B$30+'Inputs'!$B$31+'Inputs'!$B$32)/1000+'Inputs'!$B$21+'Inputs'!$B$7+'Inputs'!$B$10)+'Inputs'!$B$9)^2+('Inputs'!$B$8/2)^2)-(((48-43)*MAX('Inputs'!$B$33,'Inputs'!$B$29+'Inputs'!$B$31+'Inputs'!$B$32,'Inputs'!$B$30+'Inputs'!$B$31+'Inputs'!$B$32)/1000+'Inputs'!$B$21+'Inputs'!$B$7+'Inputs'!$B$10))/SQRT((((48-43)*MAX('Inputs'!$B$33,'Inputs'!$B$29+'Inputs'!$B$31+'Inputs'!$B$32,'Inputs'!$B$30+'Inputs'!$B$31+'Inputs'!$B$32)/1000+'Inputs'!$B$21+'Inputs'!$B$7+'Inputs'!$B$10))^2+('Inputs'!$B$8/2)^2))))*'Results'!$B$8)-'Inputs'!$B$28*ABS((('Results'!B7*(1-'Inputs'!$B$24)*(0.5*((((48-43)*MAX('Inputs'!$B$33,'Inputs'!$B$29+'Inputs'!$B$31+'Inputs'!$B$32,'Inputs'!$B$30+'Inputs'!$B$31+'Inputs'!$B$32)/1000+'Inputs'!$B$21)+'Inputs'!$B$7)/SQRT((((48-43)*MAX('Inputs'!$B$33,'Inputs'!$B$29+'Inputs'!$B$31+'Inputs'!$B$32,'Inputs'!$B$30+'Inputs'!$B$31+'Inputs'!$B$32)/1000+'Inputs'!$B$21)+'Inputs'!$B$7)^2+('Inputs'!$B$6/2)^2)-(((48-43)*MAX('Inputs'!$B$33,'Inputs'!$B$29+'Inputs'!$B$31+'Inputs'!$B$32,'Inputs'!$B$30+'Inputs'!$B$31+'Inputs'!$B$32)/1000+'Inputs'!$B$21))/SQRT((((48-43)*MAX('Inputs'!$B$33,'Inputs'!$B$29+'Inputs'!$B$31+'Inputs'!$B$32,'Inputs'!$B$30+'Inputs'!$B$31+'Inputs'!$B$32)/1000+'Inputs'!$B$21))^2+('Inputs'!$B$6/2)^2)))-'Results'!C7*(1+'Inputs'!$B$24)*(0.5*((((48-43)*MAX('Inputs'!$B$33,'Inputs'!$B$29+'Inputs'!$B$31+'Inputs'!$B$32,'Inputs'!$B$30+'Inputs'!$B$31+'Inputs'!$B$32)/1000+'Inputs'!$B$21+'Inputs'!$B$7+'Inputs'!$B$10)+'Inputs'!$B$9)/SQRT((((48-43)*MAX('Inputs'!$B$33,'Inputs'!$B$29+'Inputs'!$B$31+'Inputs'!$B$32,'Inputs'!$B$30+'Inputs'!$B$31+'Inputs'!$B$32)/1000+'Inputs'!$B$21+'Inputs'!$B$7+'Inputs'!$B$10)+'Inputs'!$B$9)^2+('Inputs'!$B$8/2)^2)-(((48-43)*MAX('Inputs'!$B$33,'Inputs'!$B$29+'Inputs'!$B$31+'Inputs'!$B$32,'Inputs'!$B$30+'Inputs'!$B$31+'Inputs'!$B$32)/1000+'Inputs'!$B$21+'Inputs'!$B$7+'Inputs'!$B$10))/SQRT((((48-43)*MAX('Inputs'!$B$33,'Inputs'!$B$29+'Inputs'!$B$31+'Inputs'!$B$32,'Inputs'!$B$30+'Inputs'!$B$31+'Inputs'!$B$32)/1000+'Inputs'!$B$21+'Inputs'!$B$7+'Inputs'!$B$10))^2+('Inputs'!$B$8/2)^2))))*'Results'!$B$8))),"")</x:f>
        <x:v>1807.1702340124107</x:v>
      </x:c>
      <x:c r="L48" s="2" t="n">
        <x:f>IF(AND(ISNUMBER('Results'!B7),ISNUMBER('Results'!C7),ISNUMBER('Results'!$B$8),ISNUMBER('Inputs'!$B$6),ISNUMBER('Inputs'!$B$7),ISNUMBER('Inputs'!$B$8),ISNUMBER('Inputs'!$B$9),ISNUMBER('Inputs'!$B$10),ISNUMBER('Inputs'!$B$21),ISNUMBER('Inputs'!$B$24),ISNUMBER('Inputs'!$B$28)),((('Results'!B7*(1+'Inputs'!$B$24)*(0.5*((((48-43)*MAX('Inputs'!$B$33,'Inputs'!$B$29+'Inputs'!$B$31+'Inputs'!$B$32,'Inputs'!$B$30+'Inputs'!$B$31+'Inputs'!$B$32)/1000+'Inputs'!$B$21)+'Inputs'!$B$7)/SQRT((((48-43)*MAX('Inputs'!$B$33,'Inputs'!$B$29+'Inputs'!$B$31+'Inputs'!$B$32,'Inputs'!$B$30+'Inputs'!$B$31+'Inputs'!$B$32)/1000+'Inputs'!$B$21)+'Inputs'!$B$7)^2+('Inputs'!$B$6/2)^2)-(((48-43)*MAX('Inputs'!$B$33,'Inputs'!$B$29+'Inputs'!$B$31+'Inputs'!$B$32,'Inputs'!$B$30+'Inputs'!$B$31+'Inputs'!$B$32)/1000+'Inputs'!$B$21))/SQRT((((48-43)*MAX('Inputs'!$B$33,'Inputs'!$B$29+'Inputs'!$B$31+'Inputs'!$B$32,'Inputs'!$B$30+'Inputs'!$B$31+'Inputs'!$B$32)/1000+'Inputs'!$B$21))^2+('Inputs'!$B$6/2)^2)))-'Results'!C7*(1-'Inputs'!$B$24)*(0.5*((((48-43)*MAX('Inputs'!$B$33,'Inputs'!$B$29+'Inputs'!$B$31+'Inputs'!$B$32,'Inputs'!$B$30+'Inputs'!$B$31+'Inputs'!$B$32)/1000+'Inputs'!$B$21+'Inputs'!$B$7+'Inputs'!$B$10)+'Inputs'!$B$9)/SQRT((((48-43)*MAX('Inputs'!$B$33,'Inputs'!$B$29+'Inputs'!$B$31+'Inputs'!$B$32,'Inputs'!$B$30+'Inputs'!$B$31+'Inputs'!$B$32)/1000+'Inputs'!$B$21+'Inputs'!$B$7+'Inputs'!$B$10)+'Inputs'!$B$9)^2+('Inputs'!$B$8/2)^2)-(((48-43)*MAX('Inputs'!$B$33,'Inputs'!$B$29+'Inputs'!$B$31+'Inputs'!$B$32,'Inputs'!$B$30+'Inputs'!$B$31+'Inputs'!$B$32)/1000+'Inputs'!$B$21+'Inputs'!$B$7+'Inputs'!$B$10))/SQRT((((48-43)*MAX('Inputs'!$B$33,'Inputs'!$B$29+'Inputs'!$B$31+'Inputs'!$B$32,'Inputs'!$B$30+'Inputs'!$B$31+'Inputs'!$B$32)/1000+'Inputs'!$B$21+'Inputs'!$B$7+'Inputs'!$B$10))^2+('Inputs'!$B$8/2)^2))))*'Results'!$B$8)+'Inputs'!$B$28*ABS((('Results'!B7*(1+'Inputs'!$B$24)*(0.5*((((48-43)*MAX('Inputs'!$B$33,'Inputs'!$B$29+'Inputs'!$B$31+'Inputs'!$B$32,'Inputs'!$B$30+'Inputs'!$B$31+'Inputs'!$B$32)/1000+'Inputs'!$B$21)+'Inputs'!$B$7)/SQRT((((48-43)*MAX('Inputs'!$B$33,'Inputs'!$B$29+'Inputs'!$B$31+'Inputs'!$B$32,'Inputs'!$B$30+'Inputs'!$B$31+'Inputs'!$B$32)/1000+'Inputs'!$B$21)+'Inputs'!$B$7)^2+('Inputs'!$B$6/2)^2)-(((48-43)*MAX('Inputs'!$B$33,'Inputs'!$B$29+'Inputs'!$B$31+'Inputs'!$B$32,'Inputs'!$B$30+'Inputs'!$B$31+'Inputs'!$B$32)/1000+'Inputs'!$B$21))/SQRT((((48-43)*MAX('Inputs'!$B$33,'Inputs'!$B$29+'Inputs'!$B$31+'Inputs'!$B$32,'Inputs'!$B$30+'Inputs'!$B$31+'Inputs'!$B$32)/1000+'Inputs'!$B$21))^2+('Inputs'!$B$6/2)^2)))-'Results'!C7*(1-'Inputs'!$B$24)*(0.5*((((48-43)*MAX('Inputs'!$B$33,'Inputs'!$B$29+'Inputs'!$B$31+'Inputs'!$B$32,'Inputs'!$B$30+'Inputs'!$B$31+'Inputs'!$B$32)/1000+'Inputs'!$B$21+'Inputs'!$B$7+'Inputs'!$B$10)+'Inputs'!$B$9)/SQRT((((48-43)*MAX('Inputs'!$B$33,'Inputs'!$B$29+'Inputs'!$B$31+'Inputs'!$B$32,'Inputs'!$B$30+'Inputs'!$B$31+'Inputs'!$B$32)/1000+'Inputs'!$B$21+'Inputs'!$B$7+'Inputs'!$B$10)+'Inputs'!$B$9)^2+('Inputs'!$B$8/2)^2)-(((48-43)*MAX('Inputs'!$B$33,'Inputs'!$B$29+'Inputs'!$B$31+'Inputs'!$B$32,'Inputs'!$B$30+'Inputs'!$B$31+'Inputs'!$B$32)/1000+'Inputs'!$B$21+'Inputs'!$B$7+'Inputs'!$B$10))/SQRT((((48-43)*MAX('Inputs'!$B$33,'Inputs'!$B$29+'Inputs'!$B$31+'Inputs'!$B$32,'Inputs'!$B$30+'Inputs'!$B$31+'Inputs'!$B$32)/1000+'Inputs'!$B$21+'Inputs'!$B$7+'Inputs'!$B$10))^2+('Inputs'!$B$8/2)^2))))*'Results'!$B$8))),"")</x:f>
        <x:v>2106.5256324521415</x:v>
      </x:c>
      <x:c r="M48" s="2" t="n">
        <x:f>IF(AND(ISNUMBER('Results'!C7),ISNUMBER('Results'!B7),ISNUMBER('Results'!$B$8),ISNUMBER('Inputs'!$B$6),ISNUMBER('Inputs'!$B$7),ISNUMBER('Inputs'!$B$8),ISNUMBER('Inputs'!$B$9),ISNUMBER('Inputs'!$B$10),ISNUMBER('Inputs'!$B$21),ISNUMBER('Inputs'!$B$24),ISNUMBER('Inputs'!$B$28)),(('Results'!C7*(0.5*((((48-43)*MAX('Inputs'!$B$33,'Inputs'!$B$29+'Inputs'!$B$31+'Inputs'!$B$32,'Inputs'!$B$30+'Inputs'!$B$31+'Inputs'!$B$32)/1000+'Inputs'!$B$21)+'Inputs'!$B$9)/SQRT((((48-43)*MAX('Inputs'!$B$33,'Inputs'!$B$29+'Inputs'!$B$31+'Inputs'!$B$32,'Inputs'!$B$30+'Inputs'!$B$31+'Inputs'!$B$32)/1000+'Inputs'!$B$21)+'Inputs'!$B$9)^2+('Inputs'!$B$8/2)^2)-(((48-43)*MAX('Inputs'!$B$33,'Inputs'!$B$29+'Inputs'!$B$31+'Inputs'!$B$32,'Inputs'!$B$30+'Inputs'!$B$31+'Inputs'!$B$32)/1000+'Inputs'!$B$21))/SQRT((((48-43)*MAX('Inputs'!$B$33,'Inputs'!$B$29+'Inputs'!$B$31+'Inputs'!$B$32,'Inputs'!$B$30+'Inputs'!$B$31+'Inputs'!$B$32)/1000+'Inputs'!$B$21))^2+('Inputs'!$B$8/2)^2)))-'Results'!B7*(0.5*((((48-43)*MAX('Inputs'!$B$33,'Inputs'!$B$29+'Inputs'!$B$31+'Inputs'!$B$32,'Inputs'!$B$30+'Inputs'!$B$31+'Inputs'!$B$32)/1000+'Inputs'!$B$21+'Inputs'!$B$9+'Inputs'!$B$10)+'Inputs'!$B$7)/SQRT((((48-43)*MAX('Inputs'!$B$33,'Inputs'!$B$29+'Inputs'!$B$31+'Inputs'!$B$32,'Inputs'!$B$30+'Inputs'!$B$31+'Inputs'!$B$32)/1000+'Inputs'!$B$21+'Inputs'!$B$9+'Inputs'!$B$10)+'Inputs'!$B$7)^2+('Inputs'!$B$6/2)^2)-(((48-43)*MAX('Inputs'!$B$33,'Inputs'!$B$29+'Inputs'!$B$31+'Inputs'!$B$32,'Inputs'!$B$30+'Inputs'!$B$31+'Inputs'!$B$32)/1000+'Inputs'!$B$21+'Inputs'!$B$9+'Inputs'!$B$10))/SQRT((((48-43)*MAX('Inputs'!$B$33,'Inputs'!$B$29+'Inputs'!$B$31+'Inputs'!$B$32,'Inputs'!$B$30+'Inputs'!$B$31+'Inputs'!$B$32)/1000+'Inputs'!$B$21+'Inputs'!$B$9+'Inputs'!$B$10))^2+('Inputs'!$B$6/2)^2))))*'Results'!$B$8),"")</x:f>
        <x:v>1902.1530260169222</x:v>
      </x:c>
      <x:c r="N48" s="2" t="n">
        <x:f>IF(AND(ISNUMBER('Results'!C7),ISNUMBER('Results'!B7),ISNUMBER('Results'!$B$8),ISNUMBER('Inputs'!$B$6),ISNUMBER('Inputs'!$B$7),ISNUMBER('Inputs'!$B$8),ISNUMBER('Inputs'!$B$9),ISNUMBER('Inputs'!$B$10),ISNUMBER('Inputs'!$B$21),ISNUMBER('Inputs'!$B$24),ISNUMBER('Inputs'!$B$28)),((('Results'!C7*(1-'Inputs'!$B$24)*(0.5*((((48-43)*MAX('Inputs'!$B$33,'Inputs'!$B$29+'Inputs'!$B$31+'Inputs'!$B$32,'Inputs'!$B$30+'Inputs'!$B$31+'Inputs'!$B$32)/1000+'Inputs'!$B$21)+'Inputs'!$B$9)/SQRT((((48-43)*MAX('Inputs'!$B$33,'Inputs'!$B$29+'Inputs'!$B$31+'Inputs'!$B$32,'Inputs'!$B$30+'Inputs'!$B$31+'Inputs'!$B$32)/1000+'Inputs'!$B$21)+'Inputs'!$B$9)^2+('Inputs'!$B$8/2)^2)-(((48-43)*MAX('Inputs'!$B$33,'Inputs'!$B$29+'Inputs'!$B$31+'Inputs'!$B$32,'Inputs'!$B$30+'Inputs'!$B$31+'Inputs'!$B$32)/1000+'Inputs'!$B$21))/SQRT((((48-43)*MAX('Inputs'!$B$33,'Inputs'!$B$29+'Inputs'!$B$31+'Inputs'!$B$32,'Inputs'!$B$30+'Inputs'!$B$31+'Inputs'!$B$32)/1000+'Inputs'!$B$21))^2+('Inputs'!$B$8/2)^2)))-'Results'!B7*(1+'Inputs'!$B$24)*(0.5*((((48-43)*MAX('Inputs'!$B$33,'Inputs'!$B$29+'Inputs'!$B$31+'Inputs'!$B$32,'Inputs'!$B$30+'Inputs'!$B$31+'Inputs'!$B$32)/1000+'Inputs'!$B$21+'Inputs'!$B$9+'Inputs'!$B$10)+'Inputs'!$B$7)/SQRT((((48-43)*MAX('Inputs'!$B$33,'Inputs'!$B$29+'Inputs'!$B$31+'Inputs'!$B$32,'Inputs'!$B$30+'Inputs'!$B$31+'Inputs'!$B$32)/1000+'Inputs'!$B$21+'Inputs'!$B$9+'Inputs'!$B$10)+'Inputs'!$B$7)^2+('Inputs'!$B$6/2)^2)-(((48-43)*MAX('Inputs'!$B$33,'Inputs'!$B$29+'Inputs'!$B$31+'Inputs'!$B$32,'Inputs'!$B$30+'Inputs'!$B$31+'Inputs'!$B$32)/1000+'Inputs'!$B$21+'Inputs'!$B$9+'Inputs'!$B$10))/SQRT((((48-43)*MAX('Inputs'!$B$33,'Inputs'!$B$29+'Inputs'!$B$31+'Inputs'!$B$32,'Inputs'!$B$30+'Inputs'!$B$31+'Inputs'!$B$32)/1000+'Inputs'!$B$21+'Inputs'!$B$9+'Inputs'!$B$10))^2+('Inputs'!$B$6/2)^2))))*'Results'!$B$8)-'Inputs'!$B$28*ABS((('Results'!C7*(1-'Inputs'!$B$24)*(0.5*((((48-43)*MAX('Inputs'!$B$33,'Inputs'!$B$29+'Inputs'!$B$31+'Inputs'!$B$32,'Inputs'!$B$30+'Inputs'!$B$31+'Inputs'!$B$32)/1000+'Inputs'!$B$21)+'Inputs'!$B$9)/SQRT((((48-43)*MAX('Inputs'!$B$33,'Inputs'!$B$29+'Inputs'!$B$31+'Inputs'!$B$32,'Inputs'!$B$30+'Inputs'!$B$31+'Inputs'!$B$32)/1000+'Inputs'!$B$21)+'Inputs'!$B$9)^2+('Inputs'!$B$8/2)^2)-(((48-43)*MAX('Inputs'!$B$33,'Inputs'!$B$29+'Inputs'!$B$31+'Inputs'!$B$32,'Inputs'!$B$30+'Inputs'!$B$31+'Inputs'!$B$32)/1000+'Inputs'!$B$21))/SQRT((((48-43)*MAX('Inputs'!$B$33,'Inputs'!$B$29+'Inputs'!$B$31+'Inputs'!$B$32,'Inputs'!$B$30+'Inputs'!$B$31+'Inputs'!$B$32)/1000+'Inputs'!$B$21))^2+('Inputs'!$B$8/2)^2)))-'Results'!B7*(1+'Inputs'!$B$24)*(0.5*((((48-43)*MAX('Inputs'!$B$33,'Inputs'!$B$29+'Inputs'!$B$31+'Inputs'!$B$32,'Inputs'!$B$30+'Inputs'!$B$31+'Inputs'!$B$32)/1000+'Inputs'!$B$21+'Inputs'!$B$9+'Inputs'!$B$10)+'Inputs'!$B$7)/SQRT((((48-43)*MAX('Inputs'!$B$33,'Inputs'!$B$29+'Inputs'!$B$31+'Inputs'!$B$32,'Inputs'!$B$30+'Inputs'!$B$31+'Inputs'!$B$32)/1000+'Inputs'!$B$21+'Inputs'!$B$9+'Inputs'!$B$10)+'Inputs'!$B$7)^2+('Inputs'!$B$6/2)^2)-(((48-43)*MAX('Inputs'!$B$33,'Inputs'!$B$29+'Inputs'!$B$31+'Inputs'!$B$32,'Inputs'!$B$30+'Inputs'!$B$31+'Inputs'!$B$32)/1000+'Inputs'!$B$21+'Inputs'!$B$9+'Inputs'!$B$10))/SQRT((((48-43)*MAX('Inputs'!$B$33,'Inputs'!$B$29+'Inputs'!$B$31+'Inputs'!$B$32,'Inputs'!$B$30+'Inputs'!$B$31+'Inputs'!$B$32)/1000+'Inputs'!$B$21+'Inputs'!$B$9+'Inputs'!$B$10))^2+('Inputs'!$B$6/2)^2))))*'Results'!$B$8))),"")</x:f>
        <x:v>1758.418537588299</x:v>
      </x:c>
      <x:c r="O48" s="2" t="n">
        <x:f>IF(AND(ISNUMBER('Results'!C7),ISNUMBER('Results'!B7),ISNUMBER('Results'!$B$8),ISNUMBER('Inputs'!$B$6),ISNUMBER('Inputs'!$B$7),ISNUMBER('Inputs'!$B$8),ISNUMBER('Inputs'!$B$9),ISNUMBER('Inputs'!$B$10),ISNUMBER('Inputs'!$B$21),ISNUMBER('Inputs'!$B$24),ISNUMBER('Inputs'!$B$28)),((('Results'!C7*(1+'Inputs'!$B$24)*(0.5*((((48-43)*MAX('Inputs'!$B$33,'Inputs'!$B$29+'Inputs'!$B$31+'Inputs'!$B$32,'Inputs'!$B$30+'Inputs'!$B$31+'Inputs'!$B$32)/1000+'Inputs'!$B$21)+'Inputs'!$B$9)/SQRT((((48-43)*MAX('Inputs'!$B$33,'Inputs'!$B$29+'Inputs'!$B$31+'Inputs'!$B$32,'Inputs'!$B$30+'Inputs'!$B$31+'Inputs'!$B$32)/1000+'Inputs'!$B$21)+'Inputs'!$B$9)^2+('Inputs'!$B$8/2)^2)-(((48-43)*MAX('Inputs'!$B$33,'Inputs'!$B$29+'Inputs'!$B$31+'Inputs'!$B$32,'Inputs'!$B$30+'Inputs'!$B$31+'Inputs'!$B$32)/1000+'Inputs'!$B$21))/SQRT((((48-43)*MAX('Inputs'!$B$33,'Inputs'!$B$29+'Inputs'!$B$31+'Inputs'!$B$32,'Inputs'!$B$30+'Inputs'!$B$31+'Inputs'!$B$32)/1000+'Inputs'!$B$21))^2+('Inputs'!$B$8/2)^2)))-'Results'!B7*(1-'Inputs'!$B$24)*(0.5*((((48-43)*MAX('Inputs'!$B$33,'Inputs'!$B$29+'Inputs'!$B$31+'Inputs'!$B$32,'Inputs'!$B$30+'Inputs'!$B$31+'Inputs'!$B$32)/1000+'Inputs'!$B$21+'Inputs'!$B$9+'Inputs'!$B$10)+'Inputs'!$B$7)/SQRT((((48-43)*MAX('Inputs'!$B$33,'Inputs'!$B$29+'Inputs'!$B$31+'Inputs'!$B$32,'Inputs'!$B$30+'Inputs'!$B$31+'Inputs'!$B$32)/1000+'Inputs'!$B$21+'Inputs'!$B$9+'Inputs'!$B$10)+'Inputs'!$B$7)^2+('Inputs'!$B$6/2)^2)-(((48-43)*MAX('Inputs'!$B$33,'Inputs'!$B$29+'Inputs'!$B$31+'Inputs'!$B$32,'Inputs'!$B$30+'Inputs'!$B$31+'Inputs'!$B$32)/1000+'Inputs'!$B$21+'Inputs'!$B$9+'Inputs'!$B$10))/SQRT((((48-43)*MAX('Inputs'!$B$33,'Inputs'!$B$29+'Inputs'!$B$31+'Inputs'!$B$32,'Inputs'!$B$30+'Inputs'!$B$31+'Inputs'!$B$32)/1000+'Inputs'!$B$21+'Inputs'!$B$9+'Inputs'!$B$10))^2+('Inputs'!$B$6/2)^2))))*'Results'!$B$8)+'Inputs'!$B$28*ABS((('Results'!C7*(1+'Inputs'!$B$24)*(0.5*((((48-43)*MAX('Inputs'!$B$33,'Inputs'!$B$29+'Inputs'!$B$31+'Inputs'!$B$32,'Inputs'!$B$30+'Inputs'!$B$31+'Inputs'!$B$32)/1000+'Inputs'!$B$21)+'Inputs'!$B$9)/SQRT((((48-43)*MAX('Inputs'!$B$33,'Inputs'!$B$29+'Inputs'!$B$31+'Inputs'!$B$32,'Inputs'!$B$30+'Inputs'!$B$31+'Inputs'!$B$32)/1000+'Inputs'!$B$21)+'Inputs'!$B$9)^2+('Inputs'!$B$8/2)^2)-(((48-43)*MAX('Inputs'!$B$33,'Inputs'!$B$29+'Inputs'!$B$31+'Inputs'!$B$32,'Inputs'!$B$30+'Inputs'!$B$31+'Inputs'!$B$32)/1000+'Inputs'!$B$21))/SQRT((((48-43)*MAX('Inputs'!$B$33,'Inputs'!$B$29+'Inputs'!$B$31+'Inputs'!$B$32,'Inputs'!$B$30+'Inputs'!$B$31+'Inputs'!$B$32)/1000+'Inputs'!$B$21))^2+('Inputs'!$B$8/2)^2)))-'Results'!B7*(1-'Inputs'!$B$24)*(0.5*((((48-43)*MAX('Inputs'!$B$33,'Inputs'!$B$29+'Inputs'!$B$31+'Inputs'!$B$32,'Inputs'!$B$30+'Inputs'!$B$31+'Inputs'!$B$32)/1000+'Inputs'!$B$21+'Inputs'!$B$9+'Inputs'!$B$10)+'Inputs'!$B$7)/SQRT((((48-43)*MAX('Inputs'!$B$33,'Inputs'!$B$29+'Inputs'!$B$31+'Inputs'!$B$32,'Inputs'!$B$30+'Inputs'!$B$31+'Inputs'!$B$32)/1000+'Inputs'!$B$21+'Inputs'!$B$9+'Inputs'!$B$10)+'Inputs'!$B$7)^2+('Inputs'!$B$6/2)^2)-(((48-43)*MAX('Inputs'!$B$33,'Inputs'!$B$29+'Inputs'!$B$31+'Inputs'!$B$32,'Inputs'!$B$30+'Inputs'!$B$31+'Inputs'!$B$32)/1000+'Inputs'!$B$21+'Inputs'!$B$9+'Inputs'!$B$10))/SQRT((((48-43)*MAX('Inputs'!$B$33,'Inputs'!$B$29+'Inputs'!$B$31+'Inputs'!$B$32,'Inputs'!$B$30+'Inputs'!$B$31+'Inputs'!$B$32)/1000+'Inputs'!$B$21+'Inputs'!$B$9+'Inputs'!$B$10))^2+('Inputs'!$B$6/2)^2))))*'Results'!$B$8))),"")</x:f>
        <x:v>2051.006128880049</x:v>
      </x:c>
      <x:c r="P48" s="2" t="n">
        <x:f>IF(AND(MAX(J48,J47)&gt;0,J48&gt;J47+0.00000001),1,0)</x:f>
        <x:v>0</x:v>
      </x:c>
      <x:c r="Q48" s="2" t="n">
        <x:f>IF(AND(MAX(K48,K47)&gt;0,K48&gt;K47+0.00000001),1,0)</x:f>
        <x:v>0</x:v>
      </x:c>
      <x:c r="R48" s="2" t="n">
        <x:f>IF(AND(MAX(L48,L47)&gt;0,L48&gt;L47+0.00000001),1,0)</x:f>
        <x:v>0</x:v>
      </x:c>
      <x:c r="S48" s="2" t="n">
        <x:f>IF(AND(MAX(M48,M47)&gt;0,M48&gt;M47+0.00000001),1,0)</x:f>
        <x:v>0</x:v>
      </x:c>
      <x:c r="T48" s="2" t="n">
        <x:f>IF(AND(MAX(N48,N47)&gt;0,N48&gt;N47+0.00000001),1,0)</x:f>
        <x:v>0</x:v>
      </x:c>
      <x:c r="U48" s="2" t="n">
        <x:f>IF(AND(MAX(O48,O47)&gt;0,O48&gt;O47+0.00000001),1,0)</x:f>
        <x:v>0</x:v>
      </x:c>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c r="AT48" s="2"/>
      <x:c r="AU48" s="2"/>
      <x:c r="AV48" s="2"/>
      <x:c r="AW48" s="2"/>
      <x:c r="AX48" s="2"/>
      <x:c r="AY48" s="2"/>
      <x:c r="AZ48" s="2"/>
      <x:c r="BA48" s="2"/>
      <x:c r="BB48" s="2"/>
      <x:c r="BC48" s="2"/>
      <x:c r="BD48" s="2"/>
      <x:c r="BE48" s="2"/>
      <x:c r="BF48" s="2"/>
      <x:c r="BG48" s="2"/>
      <x:c r="BH48" s="2"/>
    </x:row>
    <x:row r="49">
      <x:c r="J49" t="n">
        <x:f>IF(AND(ISNUMBER('Results'!B7),ISNUMBER('Results'!C7),ISNUMBER('Results'!$B$8),ISNUMBER('Inputs'!$B$6),ISNUMBER('Inputs'!$B$7),ISNUMBER('Inputs'!$B$8),ISNUMBER('Inputs'!$B$9),ISNUMBER('Inputs'!$B$10),ISNUMBER('Inputs'!$B$21),ISNUMBER('Inputs'!$B$24),ISNUMBER('Inputs'!$B$28)),(('Results'!B7*(0.5*((((49-43)*MAX('Inputs'!$B$33,'Inputs'!$B$29+'Inputs'!$B$31+'Inputs'!$B$32,'Inputs'!$B$30+'Inputs'!$B$31+'Inputs'!$B$32)/1000+'Inputs'!$B$21)+'Inputs'!$B$7)/SQRT((((49-43)*MAX('Inputs'!$B$33,'Inputs'!$B$29+'Inputs'!$B$31+'Inputs'!$B$32,'Inputs'!$B$30+'Inputs'!$B$31+'Inputs'!$B$32)/1000+'Inputs'!$B$21)+'Inputs'!$B$7)^2+('Inputs'!$B$6/2)^2)-(((49-43)*MAX('Inputs'!$B$33,'Inputs'!$B$29+'Inputs'!$B$31+'Inputs'!$B$32,'Inputs'!$B$30+'Inputs'!$B$31+'Inputs'!$B$32)/1000+'Inputs'!$B$21))/SQRT((((49-43)*MAX('Inputs'!$B$33,'Inputs'!$B$29+'Inputs'!$B$31+'Inputs'!$B$32,'Inputs'!$B$30+'Inputs'!$B$31+'Inputs'!$B$32)/1000+'Inputs'!$B$21))^2+('Inputs'!$B$6/2)^2)))-'Results'!C7*(0.5*((((49-43)*MAX('Inputs'!$B$33,'Inputs'!$B$29+'Inputs'!$B$31+'Inputs'!$B$32,'Inputs'!$B$30+'Inputs'!$B$31+'Inputs'!$B$32)/1000+'Inputs'!$B$21+'Inputs'!$B$7+'Inputs'!$B$10)+'Inputs'!$B$9)/SQRT((((49-43)*MAX('Inputs'!$B$33,'Inputs'!$B$29+'Inputs'!$B$31+'Inputs'!$B$32,'Inputs'!$B$30+'Inputs'!$B$31+'Inputs'!$B$32)/1000+'Inputs'!$B$21+'Inputs'!$B$7+'Inputs'!$B$10)+'Inputs'!$B$9)^2+('Inputs'!$B$8/2)^2)-(((49-43)*MAX('Inputs'!$B$33,'Inputs'!$B$29+'Inputs'!$B$31+'Inputs'!$B$32,'Inputs'!$B$30+'Inputs'!$B$31+'Inputs'!$B$32)/1000+'Inputs'!$B$21+'Inputs'!$B$7+'Inputs'!$B$10))/SQRT((((49-43)*MAX('Inputs'!$B$33,'Inputs'!$B$29+'Inputs'!$B$31+'Inputs'!$B$32,'Inputs'!$B$30+'Inputs'!$B$31+'Inputs'!$B$32)/1000+'Inputs'!$B$21+'Inputs'!$B$7+'Inputs'!$B$10))^2+('Inputs'!$B$8/2)^2))))*'Results'!$B$8),"")</x:f>
        <x:v>1936.9081508596419</x:v>
      </x:c>
      <x:c r="K49" t="n">
        <x:f>IF(AND(ISNUMBER('Results'!B7),ISNUMBER('Results'!C7),ISNUMBER('Results'!$B$8),ISNUMBER('Inputs'!$B$6),ISNUMBER('Inputs'!$B$7),ISNUMBER('Inputs'!$B$8),ISNUMBER('Inputs'!$B$9),ISNUMBER('Inputs'!$B$10),ISNUMBER('Inputs'!$B$21),ISNUMBER('Inputs'!$B$24),ISNUMBER('Inputs'!$B$28)),((('Results'!B7*(1-'Inputs'!$B$24)*(0.5*((((49-43)*MAX('Inputs'!$B$33,'Inputs'!$B$29+'Inputs'!$B$31+'Inputs'!$B$32,'Inputs'!$B$30+'Inputs'!$B$31+'Inputs'!$B$32)/1000+'Inputs'!$B$21)+'Inputs'!$B$7)/SQRT((((49-43)*MAX('Inputs'!$B$33,'Inputs'!$B$29+'Inputs'!$B$31+'Inputs'!$B$32,'Inputs'!$B$30+'Inputs'!$B$31+'Inputs'!$B$32)/1000+'Inputs'!$B$21)+'Inputs'!$B$7)^2+('Inputs'!$B$6/2)^2)-(((49-43)*MAX('Inputs'!$B$33,'Inputs'!$B$29+'Inputs'!$B$31+'Inputs'!$B$32,'Inputs'!$B$30+'Inputs'!$B$31+'Inputs'!$B$32)/1000+'Inputs'!$B$21))/SQRT((((49-43)*MAX('Inputs'!$B$33,'Inputs'!$B$29+'Inputs'!$B$31+'Inputs'!$B$32,'Inputs'!$B$30+'Inputs'!$B$31+'Inputs'!$B$32)/1000+'Inputs'!$B$21))^2+('Inputs'!$B$6/2)^2)))-'Results'!C7*(1+'Inputs'!$B$24)*(0.5*((((49-43)*MAX('Inputs'!$B$33,'Inputs'!$B$29+'Inputs'!$B$31+'Inputs'!$B$32,'Inputs'!$B$30+'Inputs'!$B$31+'Inputs'!$B$32)/1000+'Inputs'!$B$21+'Inputs'!$B$7+'Inputs'!$B$10)+'Inputs'!$B$9)/SQRT((((49-43)*MAX('Inputs'!$B$33,'Inputs'!$B$29+'Inputs'!$B$31+'Inputs'!$B$32,'Inputs'!$B$30+'Inputs'!$B$31+'Inputs'!$B$32)/1000+'Inputs'!$B$21+'Inputs'!$B$7+'Inputs'!$B$10)+'Inputs'!$B$9)^2+('Inputs'!$B$8/2)^2)-(((49-43)*MAX('Inputs'!$B$33,'Inputs'!$B$29+'Inputs'!$B$31+'Inputs'!$B$32,'Inputs'!$B$30+'Inputs'!$B$31+'Inputs'!$B$32)/1000+'Inputs'!$B$21+'Inputs'!$B$7+'Inputs'!$B$10))/SQRT((((49-43)*MAX('Inputs'!$B$33,'Inputs'!$B$29+'Inputs'!$B$31+'Inputs'!$B$32,'Inputs'!$B$30+'Inputs'!$B$31+'Inputs'!$B$32)/1000+'Inputs'!$B$21+'Inputs'!$B$7+'Inputs'!$B$10))^2+('Inputs'!$B$8/2)^2))))*'Results'!$B$8)-'Inputs'!$B$28*ABS((('Results'!B7*(1-'Inputs'!$B$24)*(0.5*((((49-43)*MAX('Inputs'!$B$33,'Inputs'!$B$29+'Inputs'!$B$31+'Inputs'!$B$32,'Inputs'!$B$30+'Inputs'!$B$31+'Inputs'!$B$32)/1000+'Inputs'!$B$21)+'Inputs'!$B$7)/SQRT((((49-43)*MAX('Inputs'!$B$33,'Inputs'!$B$29+'Inputs'!$B$31+'Inputs'!$B$32,'Inputs'!$B$30+'Inputs'!$B$31+'Inputs'!$B$32)/1000+'Inputs'!$B$21)+'Inputs'!$B$7)^2+('Inputs'!$B$6/2)^2)-(((49-43)*MAX('Inputs'!$B$33,'Inputs'!$B$29+'Inputs'!$B$31+'Inputs'!$B$32,'Inputs'!$B$30+'Inputs'!$B$31+'Inputs'!$B$32)/1000+'Inputs'!$B$21))/SQRT((((49-43)*MAX('Inputs'!$B$33,'Inputs'!$B$29+'Inputs'!$B$31+'Inputs'!$B$32,'Inputs'!$B$30+'Inputs'!$B$31+'Inputs'!$B$32)/1000+'Inputs'!$B$21))^2+('Inputs'!$B$6/2)^2)))-'Results'!C7*(1+'Inputs'!$B$24)*(0.5*((((49-43)*MAX('Inputs'!$B$33,'Inputs'!$B$29+'Inputs'!$B$31+'Inputs'!$B$32,'Inputs'!$B$30+'Inputs'!$B$31+'Inputs'!$B$32)/1000+'Inputs'!$B$21+'Inputs'!$B$7+'Inputs'!$B$10)+'Inputs'!$B$9)/SQRT((((49-43)*MAX('Inputs'!$B$33,'Inputs'!$B$29+'Inputs'!$B$31+'Inputs'!$B$32,'Inputs'!$B$30+'Inputs'!$B$31+'Inputs'!$B$32)/1000+'Inputs'!$B$21+'Inputs'!$B$7+'Inputs'!$B$10)+'Inputs'!$B$9)^2+('Inputs'!$B$8/2)^2)-(((49-43)*MAX('Inputs'!$B$33,'Inputs'!$B$29+'Inputs'!$B$31+'Inputs'!$B$32,'Inputs'!$B$30+'Inputs'!$B$31+'Inputs'!$B$32)/1000+'Inputs'!$B$21+'Inputs'!$B$7+'Inputs'!$B$10))/SQRT((((49-43)*MAX('Inputs'!$B$33,'Inputs'!$B$29+'Inputs'!$B$31+'Inputs'!$B$32,'Inputs'!$B$30+'Inputs'!$B$31+'Inputs'!$B$32)/1000+'Inputs'!$B$21+'Inputs'!$B$7+'Inputs'!$B$10))^2+('Inputs'!$B$8/2)^2))))*'Results'!$B$8))),"")</x:f>
        <x:v>1791.2236003951075</x:v>
      </x:c>
      <x:c r="L49" t="n">
        <x:f>IF(AND(ISNUMBER('Results'!B7),ISNUMBER('Results'!C7),ISNUMBER('Results'!$B$8),ISNUMBER('Inputs'!$B$6),ISNUMBER('Inputs'!$B$7),ISNUMBER('Inputs'!$B$8),ISNUMBER('Inputs'!$B$9),ISNUMBER('Inputs'!$B$10),ISNUMBER('Inputs'!$B$21),ISNUMBER('Inputs'!$B$24),ISNUMBER('Inputs'!$B$28)),((('Results'!B7*(1+'Inputs'!$B$24)*(0.5*((((49-43)*MAX('Inputs'!$B$33,'Inputs'!$B$29+'Inputs'!$B$31+'Inputs'!$B$32,'Inputs'!$B$30+'Inputs'!$B$31+'Inputs'!$B$32)/1000+'Inputs'!$B$21)+'Inputs'!$B$7)/SQRT((((49-43)*MAX('Inputs'!$B$33,'Inputs'!$B$29+'Inputs'!$B$31+'Inputs'!$B$32,'Inputs'!$B$30+'Inputs'!$B$31+'Inputs'!$B$32)/1000+'Inputs'!$B$21)+'Inputs'!$B$7)^2+('Inputs'!$B$6/2)^2)-(((49-43)*MAX('Inputs'!$B$33,'Inputs'!$B$29+'Inputs'!$B$31+'Inputs'!$B$32,'Inputs'!$B$30+'Inputs'!$B$31+'Inputs'!$B$32)/1000+'Inputs'!$B$21))/SQRT((((49-43)*MAX('Inputs'!$B$33,'Inputs'!$B$29+'Inputs'!$B$31+'Inputs'!$B$32,'Inputs'!$B$30+'Inputs'!$B$31+'Inputs'!$B$32)/1000+'Inputs'!$B$21))^2+('Inputs'!$B$6/2)^2)))-'Results'!C7*(1-'Inputs'!$B$24)*(0.5*((((49-43)*MAX('Inputs'!$B$33,'Inputs'!$B$29+'Inputs'!$B$31+'Inputs'!$B$32,'Inputs'!$B$30+'Inputs'!$B$31+'Inputs'!$B$32)/1000+'Inputs'!$B$21+'Inputs'!$B$7+'Inputs'!$B$10)+'Inputs'!$B$9)/SQRT((((49-43)*MAX('Inputs'!$B$33,'Inputs'!$B$29+'Inputs'!$B$31+'Inputs'!$B$32,'Inputs'!$B$30+'Inputs'!$B$31+'Inputs'!$B$32)/1000+'Inputs'!$B$21+'Inputs'!$B$7+'Inputs'!$B$10)+'Inputs'!$B$9)^2+('Inputs'!$B$8/2)^2)-(((49-43)*MAX('Inputs'!$B$33,'Inputs'!$B$29+'Inputs'!$B$31+'Inputs'!$B$32,'Inputs'!$B$30+'Inputs'!$B$31+'Inputs'!$B$32)/1000+'Inputs'!$B$21+'Inputs'!$B$7+'Inputs'!$B$10))/SQRT((((49-43)*MAX('Inputs'!$B$33,'Inputs'!$B$29+'Inputs'!$B$31+'Inputs'!$B$32,'Inputs'!$B$30+'Inputs'!$B$31+'Inputs'!$B$32)/1000+'Inputs'!$B$21+'Inputs'!$B$7+'Inputs'!$B$10))^2+('Inputs'!$B$8/2)^2))))*'Results'!$B$8)+'Inputs'!$B$28*ABS((('Results'!B7*(1+'Inputs'!$B$24)*(0.5*((((49-43)*MAX('Inputs'!$B$33,'Inputs'!$B$29+'Inputs'!$B$31+'Inputs'!$B$32,'Inputs'!$B$30+'Inputs'!$B$31+'Inputs'!$B$32)/1000+'Inputs'!$B$21)+'Inputs'!$B$7)/SQRT((((49-43)*MAX('Inputs'!$B$33,'Inputs'!$B$29+'Inputs'!$B$31+'Inputs'!$B$32,'Inputs'!$B$30+'Inputs'!$B$31+'Inputs'!$B$32)/1000+'Inputs'!$B$21)+'Inputs'!$B$7)^2+('Inputs'!$B$6/2)^2)-(((49-43)*MAX('Inputs'!$B$33,'Inputs'!$B$29+'Inputs'!$B$31+'Inputs'!$B$32,'Inputs'!$B$30+'Inputs'!$B$31+'Inputs'!$B$32)/1000+'Inputs'!$B$21))/SQRT((((49-43)*MAX('Inputs'!$B$33,'Inputs'!$B$29+'Inputs'!$B$31+'Inputs'!$B$32,'Inputs'!$B$30+'Inputs'!$B$31+'Inputs'!$B$32)/1000+'Inputs'!$B$21))^2+('Inputs'!$B$6/2)^2)))-'Results'!C7*(1-'Inputs'!$B$24)*(0.5*((((49-43)*MAX('Inputs'!$B$33,'Inputs'!$B$29+'Inputs'!$B$31+'Inputs'!$B$32,'Inputs'!$B$30+'Inputs'!$B$31+'Inputs'!$B$32)/1000+'Inputs'!$B$21+'Inputs'!$B$7+'Inputs'!$B$10)+'Inputs'!$B$9)/SQRT((((49-43)*MAX('Inputs'!$B$33,'Inputs'!$B$29+'Inputs'!$B$31+'Inputs'!$B$32,'Inputs'!$B$30+'Inputs'!$B$31+'Inputs'!$B$32)/1000+'Inputs'!$B$21+'Inputs'!$B$7+'Inputs'!$B$10)+'Inputs'!$B$9)^2+('Inputs'!$B$8/2)^2)-(((49-43)*MAX('Inputs'!$B$33,'Inputs'!$B$29+'Inputs'!$B$31+'Inputs'!$B$32,'Inputs'!$B$30+'Inputs'!$B$31+'Inputs'!$B$32)/1000+'Inputs'!$B$21+'Inputs'!$B$7+'Inputs'!$B$10))/SQRT((((49-43)*MAX('Inputs'!$B$33,'Inputs'!$B$29+'Inputs'!$B$31+'Inputs'!$B$32,'Inputs'!$B$30+'Inputs'!$B$31+'Inputs'!$B$32)/1000+'Inputs'!$B$21+'Inputs'!$B$7+'Inputs'!$B$10))^2+('Inputs'!$B$8/2)^2))))*'Results'!$B$8))),"")</x:f>
        <x:v>2087.7336637369713</x:v>
      </x:c>
      <x:c r="M49" t="n">
        <x:f>IF(AND(ISNUMBER('Results'!C7),ISNUMBER('Results'!B7),ISNUMBER('Results'!$B$8),ISNUMBER('Inputs'!$B$6),ISNUMBER('Inputs'!$B$7),ISNUMBER('Inputs'!$B$8),ISNUMBER('Inputs'!$B$9),ISNUMBER('Inputs'!$B$10),ISNUMBER('Inputs'!$B$21),ISNUMBER('Inputs'!$B$24),ISNUMBER('Inputs'!$B$28)),(('Results'!C7*(0.5*((((49-43)*MAX('Inputs'!$B$33,'Inputs'!$B$29+'Inputs'!$B$31+'Inputs'!$B$32,'Inputs'!$B$30+'Inputs'!$B$31+'Inputs'!$B$32)/1000+'Inputs'!$B$21)+'Inputs'!$B$9)/SQRT((((49-43)*MAX('Inputs'!$B$33,'Inputs'!$B$29+'Inputs'!$B$31+'Inputs'!$B$32,'Inputs'!$B$30+'Inputs'!$B$31+'Inputs'!$B$32)/1000+'Inputs'!$B$21)+'Inputs'!$B$9)^2+('Inputs'!$B$8/2)^2)-(((49-43)*MAX('Inputs'!$B$33,'Inputs'!$B$29+'Inputs'!$B$31+'Inputs'!$B$32,'Inputs'!$B$30+'Inputs'!$B$31+'Inputs'!$B$32)/1000+'Inputs'!$B$21))/SQRT((((49-43)*MAX('Inputs'!$B$33,'Inputs'!$B$29+'Inputs'!$B$31+'Inputs'!$B$32,'Inputs'!$B$30+'Inputs'!$B$31+'Inputs'!$B$32)/1000+'Inputs'!$B$21))^2+('Inputs'!$B$8/2)^2)))-'Results'!B7*(0.5*((((49-43)*MAX('Inputs'!$B$33,'Inputs'!$B$29+'Inputs'!$B$31+'Inputs'!$B$32,'Inputs'!$B$30+'Inputs'!$B$31+'Inputs'!$B$32)/1000+'Inputs'!$B$21+'Inputs'!$B$9+'Inputs'!$B$10)+'Inputs'!$B$7)/SQRT((((49-43)*MAX('Inputs'!$B$33,'Inputs'!$B$29+'Inputs'!$B$31+'Inputs'!$B$32,'Inputs'!$B$30+'Inputs'!$B$31+'Inputs'!$B$32)/1000+'Inputs'!$B$21+'Inputs'!$B$9+'Inputs'!$B$10)+'Inputs'!$B$7)^2+('Inputs'!$B$6/2)^2)-(((49-43)*MAX('Inputs'!$B$33,'Inputs'!$B$29+'Inputs'!$B$31+'Inputs'!$B$32,'Inputs'!$B$30+'Inputs'!$B$31+'Inputs'!$B$32)/1000+'Inputs'!$B$21+'Inputs'!$B$9+'Inputs'!$B$10))/SQRT((((49-43)*MAX('Inputs'!$B$33,'Inputs'!$B$29+'Inputs'!$B$31+'Inputs'!$B$32,'Inputs'!$B$30+'Inputs'!$B$31+'Inputs'!$B$32)/1000+'Inputs'!$B$21+'Inputs'!$B$9+'Inputs'!$B$10))^2+('Inputs'!$B$6/2)^2))))*'Results'!$B$8),"")</x:f>
        <x:v>1885.3692261081128</x:v>
      </x:c>
      <x:c r="N49" t="n">
        <x:f>IF(AND(ISNUMBER('Results'!C7),ISNUMBER('Results'!B7),ISNUMBER('Results'!$B$8),ISNUMBER('Inputs'!$B$6),ISNUMBER('Inputs'!$B$7),ISNUMBER('Inputs'!$B$8),ISNUMBER('Inputs'!$B$9),ISNUMBER('Inputs'!$B$10),ISNUMBER('Inputs'!$B$21),ISNUMBER('Inputs'!$B$24),ISNUMBER('Inputs'!$B$28)),((('Results'!C7*(1-'Inputs'!$B$24)*(0.5*((((49-43)*MAX('Inputs'!$B$33,'Inputs'!$B$29+'Inputs'!$B$31+'Inputs'!$B$32,'Inputs'!$B$30+'Inputs'!$B$31+'Inputs'!$B$32)/1000+'Inputs'!$B$21)+'Inputs'!$B$9)/SQRT((((49-43)*MAX('Inputs'!$B$33,'Inputs'!$B$29+'Inputs'!$B$31+'Inputs'!$B$32,'Inputs'!$B$30+'Inputs'!$B$31+'Inputs'!$B$32)/1000+'Inputs'!$B$21)+'Inputs'!$B$9)^2+('Inputs'!$B$8/2)^2)-(((49-43)*MAX('Inputs'!$B$33,'Inputs'!$B$29+'Inputs'!$B$31+'Inputs'!$B$32,'Inputs'!$B$30+'Inputs'!$B$31+'Inputs'!$B$32)/1000+'Inputs'!$B$21))/SQRT((((49-43)*MAX('Inputs'!$B$33,'Inputs'!$B$29+'Inputs'!$B$31+'Inputs'!$B$32,'Inputs'!$B$30+'Inputs'!$B$31+'Inputs'!$B$32)/1000+'Inputs'!$B$21))^2+('Inputs'!$B$8/2)^2)))-'Results'!B7*(1+'Inputs'!$B$24)*(0.5*((((49-43)*MAX('Inputs'!$B$33,'Inputs'!$B$29+'Inputs'!$B$31+'Inputs'!$B$32,'Inputs'!$B$30+'Inputs'!$B$31+'Inputs'!$B$32)/1000+'Inputs'!$B$21+'Inputs'!$B$9+'Inputs'!$B$10)+'Inputs'!$B$7)/SQRT((((49-43)*MAX('Inputs'!$B$33,'Inputs'!$B$29+'Inputs'!$B$31+'Inputs'!$B$32,'Inputs'!$B$30+'Inputs'!$B$31+'Inputs'!$B$32)/1000+'Inputs'!$B$21+'Inputs'!$B$9+'Inputs'!$B$10)+'Inputs'!$B$7)^2+('Inputs'!$B$6/2)^2)-(((49-43)*MAX('Inputs'!$B$33,'Inputs'!$B$29+'Inputs'!$B$31+'Inputs'!$B$32,'Inputs'!$B$30+'Inputs'!$B$31+'Inputs'!$B$32)/1000+'Inputs'!$B$21+'Inputs'!$B$9+'Inputs'!$B$10))/SQRT((((49-43)*MAX('Inputs'!$B$33,'Inputs'!$B$29+'Inputs'!$B$31+'Inputs'!$B$32,'Inputs'!$B$30+'Inputs'!$B$31+'Inputs'!$B$32)/1000+'Inputs'!$B$21+'Inputs'!$B$9+'Inputs'!$B$10))^2+('Inputs'!$B$6/2)^2))))*'Results'!$B$8)-'Inputs'!$B$28*ABS((('Results'!C7*(1-'Inputs'!$B$24)*(0.5*((((49-43)*MAX('Inputs'!$B$33,'Inputs'!$B$29+'Inputs'!$B$31+'Inputs'!$B$32,'Inputs'!$B$30+'Inputs'!$B$31+'Inputs'!$B$32)/1000+'Inputs'!$B$21)+'Inputs'!$B$9)/SQRT((((49-43)*MAX('Inputs'!$B$33,'Inputs'!$B$29+'Inputs'!$B$31+'Inputs'!$B$32,'Inputs'!$B$30+'Inputs'!$B$31+'Inputs'!$B$32)/1000+'Inputs'!$B$21)+'Inputs'!$B$9)^2+('Inputs'!$B$8/2)^2)-(((49-43)*MAX('Inputs'!$B$33,'Inputs'!$B$29+'Inputs'!$B$31+'Inputs'!$B$32,'Inputs'!$B$30+'Inputs'!$B$31+'Inputs'!$B$32)/1000+'Inputs'!$B$21))/SQRT((((49-43)*MAX('Inputs'!$B$33,'Inputs'!$B$29+'Inputs'!$B$31+'Inputs'!$B$32,'Inputs'!$B$30+'Inputs'!$B$31+'Inputs'!$B$32)/1000+'Inputs'!$B$21))^2+('Inputs'!$B$8/2)^2)))-'Results'!B7*(1+'Inputs'!$B$24)*(0.5*((((49-43)*MAX('Inputs'!$B$33,'Inputs'!$B$29+'Inputs'!$B$31+'Inputs'!$B$32,'Inputs'!$B$30+'Inputs'!$B$31+'Inputs'!$B$32)/1000+'Inputs'!$B$21+'Inputs'!$B$9+'Inputs'!$B$10)+'Inputs'!$B$7)/SQRT((((49-43)*MAX('Inputs'!$B$33,'Inputs'!$B$29+'Inputs'!$B$31+'Inputs'!$B$32,'Inputs'!$B$30+'Inputs'!$B$31+'Inputs'!$B$32)/1000+'Inputs'!$B$21+'Inputs'!$B$9+'Inputs'!$B$10)+'Inputs'!$B$7)^2+('Inputs'!$B$6/2)^2)-(((49-43)*MAX('Inputs'!$B$33,'Inputs'!$B$29+'Inputs'!$B$31+'Inputs'!$B$32,'Inputs'!$B$30+'Inputs'!$B$31+'Inputs'!$B$32)/1000+'Inputs'!$B$21+'Inputs'!$B$9+'Inputs'!$B$10))/SQRT((((49-43)*MAX('Inputs'!$B$33,'Inputs'!$B$29+'Inputs'!$B$31+'Inputs'!$B$32,'Inputs'!$B$30+'Inputs'!$B$31+'Inputs'!$B$32)/1000+'Inputs'!$B$21+'Inputs'!$B$9+'Inputs'!$B$10))^2+('Inputs'!$B$6/2)^2))))*'Results'!$B$8))),"")</x:f>
        <x:v>1742.995190266633</x:v>
      </x:c>
      <x:c r="O49" t="n">
        <x:f>IF(AND(ISNUMBER('Results'!C7),ISNUMBER('Results'!B7),ISNUMBER('Results'!$B$8),ISNUMBER('Inputs'!$B$6),ISNUMBER('Inputs'!$B$7),ISNUMBER('Inputs'!$B$8),ISNUMBER('Inputs'!$B$9),ISNUMBER('Inputs'!$B$10),ISNUMBER('Inputs'!$B$21),ISNUMBER('Inputs'!$B$24),ISNUMBER('Inputs'!$B$28)),((('Results'!C7*(1+'Inputs'!$B$24)*(0.5*((((49-43)*MAX('Inputs'!$B$33,'Inputs'!$B$29+'Inputs'!$B$31+'Inputs'!$B$32,'Inputs'!$B$30+'Inputs'!$B$31+'Inputs'!$B$32)/1000+'Inputs'!$B$21)+'Inputs'!$B$9)/SQRT((((49-43)*MAX('Inputs'!$B$33,'Inputs'!$B$29+'Inputs'!$B$31+'Inputs'!$B$32,'Inputs'!$B$30+'Inputs'!$B$31+'Inputs'!$B$32)/1000+'Inputs'!$B$21)+'Inputs'!$B$9)^2+('Inputs'!$B$8/2)^2)-(((49-43)*MAX('Inputs'!$B$33,'Inputs'!$B$29+'Inputs'!$B$31+'Inputs'!$B$32,'Inputs'!$B$30+'Inputs'!$B$31+'Inputs'!$B$32)/1000+'Inputs'!$B$21))/SQRT((((49-43)*MAX('Inputs'!$B$33,'Inputs'!$B$29+'Inputs'!$B$31+'Inputs'!$B$32,'Inputs'!$B$30+'Inputs'!$B$31+'Inputs'!$B$32)/1000+'Inputs'!$B$21))^2+('Inputs'!$B$8/2)^2)))-'Results'!B7*(1-'Inputs'!$B$24)*(0.5*((((49-43)*MAX('Inputs'!$B$33,'Inputs'!$B$29+'Inputs'!$B$31+'Inputs'!$B$32,'Inputs'!$B$30+'Inputs'!$B$31+'Inputs'!$B$32)/1000+'Inputs'!$B$21+'Inputs'!$B$9+'Inputs'!$B$10)+'Inputs'!$B$7)/SQRT((((49-43)*MAX('Inputs'!$B$33,'Inputs'!$B$29+'Inputs'!$B$31+'Inputs'!$B$32,'Inputs'!$B$30+'Inputs'!$B$31+'Inputs'!$B$32)/1000+'Inputs'!$B$21+'Inputs'!$B$9+'Inputs'!$B$10)+'Inputs'!$B$7)^2+('Inputs'!$B$6/2)^2)-(((49-43)*MAX('Inputs'!$B$33,'Inputs'!$B$29+'Inputs'!$B$31+'Inputs'!$B$32,'Inputs'!$B$30+'Inputs'!$B$31+'Inputs'!$B$32)/1000+'Inputs'!$B$21+'Inputs'!$B$9+'Inputs'!$B$10))/SQRT((((49-43)*MAX('Inputs'!$B$33,'Inputs'!$B$29+'Inputs'!$B$31+'Inputs'!$B$32,'Inputs'!$B$30+'Inputs'!$B$31+'Inputs'!$B$32)/1000+'Inputs'!$B$21+'Inputs'!$B$9+'Inputs'!$B$10))^2+('Inputs'!$B$6/2)^2))))*'Results'!$B$8)+'Inputs'!$B$28*ABS((('Results'!C7*(1+'Inputs'!$B$24)*(0.5*((((49-43)*MAX('Inputs'!$B$33,'Inputs'!$B$29+'Inputs'!$B$31+'Inputs'!$B$32,'Inputs'!$B$30+'Inputs'!$B$31+'Inputs'!$B$32)/1000+'Inputs'!$B$21)+'Inputs'!$B$9)/SQRT((((49-43)*MAX('Inputs'!$B$33,'Inputs'!$B$29+'Inputs'!$B$31+'Inputs'!$B$32,'Inputs'!$B$30+'Inputs'!$B$31+'Inputs'!$B$32)/1000+'Inputs'!$B$21)+'Inputs'!$B$9)^2+('Inputs'!$B$8/2)^2)-(((49-43)*MAX('Inputs'!$B$33,'Inputs'!$B$29+'Inputs'!$B$31+'Inputs'!$B$32,'Inputs'!$B$30+'Inputs'!$B$31+'Inputs'!$B$32)/1000+'Inputs'!$B$21))/SQRT((((49-43)*MAX('Inputs'!$B$33,'Inputs'!$B$29+'Inputs'!$B$31+'Inputs'!$B$32,'Inputs'!$B$30+'Inputs'!$B$31+'Inputs'!$B$32)/1000+'Inputs'!$B$21))^2+('Inputs'!$B$8/2)^2)))-'Results'!B7*(1-'Inputs'!$B$24)*(0.5*((((49-43)*MAX('Inputs'!$B$33,'Inputs'!$B$29+'Inputs'!$B$31+'Inputs'!$B$32,'Inputs'!$B$30+'Inputs'!$B$31+'Inputs'!$B$32)/1000+'Inputs'!$B$21+'Inputs'!$B$9+'Inputs'!$B$10)+'Inputs'!$B$7)/SQRT((((49-43)*MAX('Inputs'!$B$33,'Inputs'!$B$29+'Inputs'!$B$31+'Inputs'!$B$32,'Inputs'!$B$30+'Inputs'!$B$31+'Inputs'!$B$32)/1000+'Inputs'!$B$21+'Inputs'!$B$9+'Inputs'!$B$10)+'Inputs'!$B$7)^2+('Inputs'!$B$6/2)^2)-(((49-43)*MAX('Inputs'!$B$33,'Inputs'!$B$29+'Inputs'!$B$31+'Inputs'!$B$32,'Inputs'!$B$30+'Inputs'!$B$31+'Inputs'!$B$32)/1000+'Inputs'!$B$21+'Inputs'!$B$9+'Inputs'!$B$10))/SQRT((((49-43)*MAX('Inputs'!$B$33,'Inputs'!$B$29+'Inputs'!$B$31+'Inputs'!$B$32,'Inputs'!$B$30+'Inputs'!$B$31+'Inputs'!$B$32)/1000+'Inputs'!$B$21+'Inputs'!$B$9+'Inputs'!$B$10))^2+('Inputs'!$B$6/2)^2))))*'Results'!$B$8))),"")</x:f>
        <x:v>2032.8070066376</x:v>
      </x:c>
      <x:c r="P49" t="n">
        <x:f>IF(AND(MAX(J49,J48)&gt;0,J49&gt;J48+0.00000001),1,0)</x:f>
        <x:v>0</x:v>
      </x:c>
      <x:c r="Q49" t="n">
        <x:f>IF(AND(MAX(K49,K48)&gt;0,K49&gt;K48+0.00000001),1,0)</x:f>
        <x:v>0</x:v>
      </x:c>
      <x:c r="R49" t="n">
        <x:f>IF(AND(MAX(L49,L48)&gt;0,L49&gt;L48+0.00000001),1,0)</x:f>
        <x:v>0</x:v>
      </x:c>
      <x:c r="S49" t="n">
        <x:f>IF(AND(MAX(M49,M48)&gt;0,M49&gt;M48+0.00000001),1,0)</x:f>
        <x:v>0</x:v>
      </x:c>
      <x:c r="T49" t="n">
        <x:f>IF(AND(MAX(N49,N48)&gt;0,N49&gt;N48+0.00000001),1,0)</x:f>
        <x:v>0</x:v>
      </x:c>
      <x:c r="U49" t="n">
        <x:f>IF(AND(MAX(O49,O48)&gt;0,O49&gt;O48+0.00000001),1,0)</x:f>
        <x:v>0</x:v>
      </x:c>
    </x:row>
    <x:row r="50">
      <x:c r="J50" t="n">
        <x:f>IF(AND(ISNUMBER('Results'!B7),ISNUMBER('Results'!C7),ISNUMBER('Results'!$B$8),ISNUMBER('Inputs'!$B$6),ISNUMBER('Inputs'!$B$7),ISNUMBER('Inputs'!$B$8),ISNUMBER('Inputs'!$B$9),ISNUMBER('Inputs'!$B$10),ISNUMBER('Inputs'!$B$21),ISNUMBER('Inputs'!$B$24),ISNUMBER('Inputs'!$B$28)),(('Results'!B7*(0.5*((((50-43)*MAX('Inputs'!$B$33,'Inputs'!$B$29+'Inputs'!$B$31+'Inputs'!$B$32,'Inputs'!$B$30+'Inputs'!$B$31+'Inputs'!$B$32)/1000+'Inputs'!$B$21)+'Inputs'!$B$7)/SQRT((((50-43)*MAX('Inputs'!$B$33,'Inputs'!$B$29+'Inputs'!$B$31+'Inputs'!$B$32,'Inputs'!$B$30+'Inputs'!$B$31+'Inputs'!$B$32)/1000+'Inputs'!$B$21)+'Inputs'!$B$7)^2+('Inputs'!$B$6/2)^2)-(((50-43)*MAX('Inputs'!$B$33,'Inputs'!$B$29+'Inputs'!$B$31+'Inputs'!$B$32,'Inputs'!$B$30+'Inputs'!$B$31+'Inputs'!$B$32)/1000+'Inputs'!$B$21))/SQRT((((50-43)*MAX('Inputs'!$B$33,'Inputs'!$B$29+'Inputs'!$B$31+'Inputs'!$B$32,'Inputs'!$B$30+'Inputs'!$B$31+'Inputs'!$B$32)/1000+'Inputs'!$B$21))^2+('Inputs'!$B$6/2)^2)))-'Results'!C7*(0.5*((((50-43)*MAX('Inputs'!$B$33,'Inputs'!$B$29+'Inputs'!$B$31+'Inputs'!$B$32,'Inputs'!$B$30+'Inputs'!$B$31+'Inputs'!$B$32)/1000+'Inputs'!$B$21+'Inputs'!$B$7+'Inputs'!$B$10)+'Inputs'!$B$9)/SQRT((((50-43)*MAX('Inputs'!$B$33,'Inputs'!$B$29+'Inputs'!$B$31+'Inputs'!$B$32,'Inputs'!$B$30+'Inputs'!$B$31+'Inputs'!$B$32)/1000+'Inputs'!$B$21+'Inputs'!$B$7+'Inputs'!$B$10)+'Inputs'!$B$9)^2+('Inputs'!$B$8/2)^2)-(((50-43)*MAX('Inputs'!$B$33,'Inputs'!$B$29+'Inputs'!$B$31+'Inputs'!$B$32,'Inputs'!$B$30+'Inputs'!$B$31+'Inputs'!$B$32)/1000+'Inputs'!$B$21+'Inputs'!$B$7+'Inputs'!$B$10))/SQRT((((50-43)*MAX('Inputs'!$B$33,'Inputs'!$B$29+'Inputs'!$B$31+'Inputs'!$B$32,'Inputs'!$B$30+'Inputs'!$B$31+'Inputs'!$B$32)/1000+'Inputs'!$B$21+'Inputs'!$B$7+'Inputs'!$B$10))^2+('Inputs'!$B$8/2)^2))))*'Results'!$B$8),"")</x:f>
        <x:v>1918.939232901816</x:v>
      </x:c>
      <x:c r="K50" t="n">
        <x:f>IF(AND(ISNUMBER('Results'!B7),ISNUMBER('Results'!C7),ISNUMBER('Results'!$B$8),ISNUMBER('Inputs'!$B$6),ISNUMBER('Inputs'!$B$7),ISNUMBER('Inputs'!$B$8),ISNUMBER('Inputs'!$B$9),ISNUMBER('Inputs'!$B$10),ISNUMBER('Inputs'!$B$21),ISNUMBER('Inputs'!$B$24),ISNUMBER('Inputs'!$B$28)),((('Results'!B7*(1-'Inputs'!$B$24)*(0.5*((((50-43)*MAX('Inputs'!$B$33,'Inputs'!$B$29+'Inputs'!$B$31+'Inputs'!$B$32,'Inputs'!$B$30+'Inputs'!$B$31+'Inputs'!$B$32)/1000+'Inputs'!$B$21)+'Inputs'!$B$7)/SQRT((((50-43)*MAX('Inputs'!$B$33,'Inputs'!$B$29+'Inputs'!$B$31+'Inputs'!$B$32,'Inputs'!$B$30+'Inputs'!$B$31+'Inputs'!$B$32)/1000+'Inputs'!$B$21)+'Inputs'!$B$7)^2+('Inputs'!$B$6/2)^2)-(((50-43)*MAX('Inputs'!$B$33,'Inputs'!$B$29+'Inputs'!$B$31+'Inputs'!$B$32,'Inputs'!$B$30+'Inputs'!$B$31+'Inputs'!$B$32)/1000+'Inputs'!$B$21))/SQRT((((50-43)*MAX('Inputs'!$B$33,'Inputs'!$B$29+'Inputs'!$B$31+'Inputs'!$B$32,'Inputs'!$B$30+'Inputs'!$B$31+'Inputs'!$B$32)/1000+'Inputs'!$B$21))^2+('Inputs'!$B$6/2)^2)))-'Results'!C7*(1+'Inputs'!$B$24)*(0.5*((((50-43)*MAX('Inputs'!$B$33,'Inputs'!$B$29+'Inputs'!$B$31+'Inputs'!$B$32,'Inputs'!$B$30+'Inputs'!$B$31+'Inputs'!$B$32)/1000+'Inputs'!$B$21+'Inputs'!$B$7+'Inputs'!$B$10)+'Inputs'!$B$9)/SQRT((((50-43)*MAX('Inputs'!$B$33,'Inputs'!$B$29+'Inputs'!$B$31+'Inputs'!$B$32,'Inputs'!$B$30+'Inputs'!$B$31+'Inputs'!$B$32)/1000+'Inputs'!$B$21+'Inputs'!$B$7+'Inputs'!$B$10)+'Inputs'!$B$9)^2+('Inputs'!$B$8/2)^2)-(((50-43)*MAX('Inputs'!$B$33,'Inputs'!$B$29+'Inputs'!$B$31+'Inputs'!$B$32,'Inputs'!$B$30+'Inputs'!$B$31+'Inputs'!$B$32)/1000+'Inputs'!$B$21+'Inputs'!$B$7+'Inputs'!$B$10))/SQRT((((50-43)*MAX('Inputs'!$B$33,'Inputs'!$B$29+'Inputs'!$B$31+'Inputs'!$B$32,'Inputs'!$B$30+'Inputs'!$B$31+'Inputs'!$B$32)/1000+'Inputs'!$B$21+'Inputs'!$B$7+'Inputs'!$B$10))^2+('Inputs'!$B$8/2)^2))))*'Results'!$B$8)-'Inputs'!$B$28*ABS((('Results'!B7*(1-'Inputs'!$B$24)*(0.5*((((50-43)*MAX('Inputs'!$B$33,'Inputs'!$B$29+'Inputs'!$B$31+'Inputs'!$B$32,'Inputs'!$B$30+'Inputs'!$B$31+'Inputs'!$B$32)/1000+'Inputs'!$B$21)+'Inputs'!$B$7)/SQRT((((50-43)*MAX('Inputs'!$B$33,'Inputs'!$B$29+'Inputs'!$B$31+'Inputs'!$B$32,'Inputs'!$B$30+'Inputs'!$B$31+'Inputs'!$B$32)/1000+'Inputs'!$B$21)+'Inputs'!$B$7)^2+('Inputs'!$B$6/2)^2)-(((50-43)*MAX('Inputs'!$B$33,'Inputs'!$B$29+'Inputs'!$B$31+'Inputs'!$B$32,'Inputs'!$B$30+'Inputs'!$B$31+'Inputs'!$B$32)/1000+'Inputs'!$B$21))/SQRT((((50-43)*MAX('Inputs'!$B$33,'Inputs'!$B$29+'Inputs'!$B$31+'Inputs'!$B$32,'Inputs'!$B$30+'Inputs'!$B$31+'Inputs'!$B$32)/1000+'Inputs'!$B$21))^2+('Inputs'!$B$6/2)^2)))-'Results'!C7*(1+'Inputs'!$B$24)*(0.5*((((50-43)*MAX('Inputs'!$B$33,'Inputs'!$B$29+'Inputs'!$B$31+'Inputs'!$B$32,'Inputs'!$B$30+'Inputs'!$B$31+'Inputs'!$B$32)/1000+'Inputs'!$B$21+'Inputs'!$B$7+'Inputs'!$B$10)+'Inputs'!$B$9)/SQRT((((50-43)*MAX('Inputs'!$B$33,'Inputs'!$B$29+'Inputs'!$B$31+'Inputs'!$B$32,'Inputs'!$B$30+'Inputs'!$B$31+'Inputs'!$B$32)/1000+'Inputs'!$B$21+'Inputs'!$B$7+'Inputs'!$B$10)+'Inputs'!$B$9)^2+('Inputs'!$B$8/2)^2)-(((50-43)*MAX('Inputs'!$B$33,'Inputs'!$B$29+'Inputs'!$B$31+'Inputs'!$B$32,'Inputs'!$B$30+'Inputs'!$B$31+'Inputs'!$B$32)/1000+'Inputs'!$B$21+'Inputs'!$B$7+'Inputs'!$B$10))/SQRT((((50-43)*MAX('Inputs'!$B$33,'Inputs'!$B$29+'Inputs'!$B$31+'Inputs'!$B$32,'Inputs'!$B$30+'Inputs'!$B$31+'Inputs'!$B$32)/1000+'Inputs'!$B$21+'Inputs'!$B$7+'Inputs'!$B$10))^2+('Inputs'!$B$8/2)^2))))*'Results'!$B$8))),"")</x:f>
        <x:v>1774.688946565296</x:v>
      </x:c>
      <x:c r="L50" t="n">
        <x:f>IF(AND(ISNUMBER('Results'!B7),ISNUMBER('Results'!C7),ISNUMBER('Results'!$B$8),ISNUMBER('Inputs'!$B$6),ISNUMBER('Inputs'!$B$7),ISNUMBER('Inputs'!$B$8),ISNUMBER('Inputs'!$B$9),ISNUMBER('Inputs'!$B$10),ISNUMBER('Inputs'!$B$21),ISNUMBER('Inputs'!$B$24),ISNUMBER('Inputs'!$B$28)),((('Results'!B7*(1+'Inputs'!$B$24)*(0.5*((((50-43)*MAX('Inputs'!$B$33,'Inputs'!$B$29+'Inputs'!$B$31+'Inputs'!$B$32,'Inputs'!$B$30+'Inputs'!$B$31+'Inputs'!$B$32)/1000+'Inputs'!$B$21)+'Inputs'!$B$7)/SQRT((((50-43)*MAX('Inputs'!$B$33,'Inputs'!$B$29+'Inputs'!$B$31+'Inputs'!$B$32,'Inputs'!$B$30+'Inputs'!$B$31+'Inputs'!$B$32)/1000+'Inputs'!$B$21)+'Inputs'!$B$7)^2+('Inputs'!$B$6/2)^2)-(((50-43)*MAX('Inputs'!$B$33,'Inputs'!$B$29+'Inputs'!$B$31+'Inputs'!$B$32,'Inputs'!$B$30+'Inputs'!$B$31+'Inputs'!$B$32)/1000+'Inputs'!$B$21))/SQRT((((50-43)*MAX('Inputs'!$B$33,'Inputs'!$B$29+'Inputs'!$B$31+'Inputs'!$B$32,'Inputs'!$B$30+'Inputs'!$B$31+'Inputs'!$B$32)/1000+'Inputs'!$B$21))^2+('Inputs'!$B$6/2)^2)))-'Results'!C7*(1-'Inputs'!$B$24)*(0.5*((((50-43)*MAX('Inputs'!$B$33,'Inputs'!$B$29+'Inputs'!$B$31+'Inputs'!$B$32,'Inputs'!$B$30+'Inputs'!$B$31+'Inputs'!$B$32)/1000+'Inputs'!$B$21+'Inputs'!$B$7+'Inputs'!$B$10)+'Inputs'!$B$9)/SQRT((((50-43)*MAX('Inputs'!$B$33,'Inputs'!$B$29+'Inputs'!$B$31+'Inputs'!$B$32,'Inputs'!$B$30+'Inputs'!$B$31+'Inputs'!$B$32)/1000+'Inputs'!$B$21+'Inputs'!$B$7+'Inputs'!$B$10)+'Inputs'!$B$9)^2+('Inputs'!$B$8/2)^2)-(((50-43)*MAX('Inputs'!$B$33,'Inputs'!$B$29+'Inputs'!$B$31+'Inputs'!$B$32,'Inputs'!$B$30+'Inputs'!$B$31+'Inputs'!$B$32)/1000+'Inputs'!$B$21+'Inputs'!$B$7+'Inputs'!$B$10))/SQRT((((50-43)*MAX('Inputs'!$B$33,'Inputs'!$B$29+'Inputs'!$B$31+'Inputs'!$B$32,'Inputs'!$B$30+'Inputs'!$B$31+'Inputs'!$B$32)/1000+'Inputs'!$B$21+'Inputs'!$B$7+'Inputs'!$B$10))^2+('Inputs'!$B$8/2)^2))))*'Results'!$B$8)+'Inputs'!$B$28*ABS((('Results'!B7*(1+'Inputs'!$B$24)*(0.5*((((50-43)*MAX('Inputs'!$B$33,'Inputs'!$B$29+'Inputs'!$B$31+'Inputs'!$B$32,'Inputs'!$B$30+'Inputs'!$B$31+'Inputs'!$B$32)/1000+'Inputs'!$B$21)+'Inputs'!$B$7)/SQRT((((50-43)*MAX('Inputs'!$B$33,'Inputs'!$B$29+'Inputs'!$B$31+'Inputs'!$B$32,'Inputs'!$B$30+'Inputs'!$B$31+'Inputs'!$B$32)/1000+'Inputs'!$B$21)+'Inputs'!$B$7)^2+('Inputs'!$B$6/2)^2)-(((50-43)*MAX('Inputs'!$B$33,'Inputs'!$B$29+'Inputs'!$B$31+'Inputs'!$B$32,'Inputs'!$B$30+'Inputs'!$B$31+'Inputs'!$B$32)/1000+'Inputs'!$B$21))/SQRT((((50-43)*MAX('Inputs'!$B$33,'Inputs'!$B$29+'Inputs'!$B$31+'Inputs'!$B$32,'Inputs'!$B$30+'Inputs'!$B$31+'Inputs'!$B$32)/1000+'Inputs'!$B$21))^2+('Inputs'!$B$6/2)^2)))-'Results'!C7*(1-'Inputs'!$B$24)*(0.5*((((50-43)*MAX('Inputs'!$B$33,'Inputs'!$B$29+'Inputs'!$B$31+'Inputs'!$B$32,'Inputs'!$B$30+'Inputs'!$B$31+'Inputs'!$B$32)/1000+'Inputs'!$B$21+'Inputs'!$B$7+'Inputs'!$B$10)+'Inputs'!$B$9)/SQRT((((50-43)*MAX('Inputs'!$B$33,'Inputs'!$B$29+'Inputs'!$B$31+'Inputs'!$B$32,'Inputs'!$B$30+'Inputs'!$B$31+'Inputs'!$B$32)/1000+'Inputs'!$B$21+'Inputs'!$B$7+'Inputs'!$B$10)+'Inputs'!$B$9)^2+('Inputs'!$B$8/2)^2)-(((50-43)*MAX('Inputs'!$B$33,'Inputs'!$B$29+'Inputs'!$B$31+'Inputs'!$B$32,'Inputs'!$B$30+'Inputs'!$B$31+'Inputs'!$B$32)/1000+'Inputs'!$B$21+'Inputs'!$B$7+'Inputs'!$B$10))/SQRT((((50-43)*MAX('Inputs'!$B$33,'Inputs'!$B$29+'Inputs'!$B$31+'Inputs'!$B$32,'Inputs'!$B$30+'Inputs'!$B$31+'Inputs'!$B$32)/1000+'Inputs'!$B$21+'Inputs'!$B$7+'Inputs'!$B$10))^2+('Inputs'!$B$8/2)^2))))*'Results'!$B$8))),"")</x:f>
        <x:v>2068.2740797321703</x:v>
      </x:c>
      <x:c r="M50" t="n">
        <x:f>IF(AND(ISNUMBER('Results'!C7),ISNUMBER('Results'!B7),ISNUMBER('Results'!$B$8),ISNUMBER('Inputs'!$B$6),ISNUMBER('Inputs'!$B$7),ISNUMBER('Inputs'!$B$8),ISNUMBER('Inputs'!$B$9),ISNUMBER('Inputs'!$B$10),ISNUMBER('Inputs'!$B$21),ISNUMBER('Inputs'!$B$24),ISNUMBER('Inputs'!$B$28)),(('Results'!C7*(0.5*((((50-43)*MAX('Inputs'!$B$33,'Inputs'!$B$29+'Inputs'!$B$31+'Inputs'!$B$32,'Inputs'!$B$30+'Inputs'!$B$31+'Inputs'!$B$32)/1000+'Inputs'!$B$21)+'Inputs'!$B$9)/SQRT((((50-43)*MAX('Inputs'!$B$33,'Inputs'!$B$29+'Inputs'!$B$31+'Inputs'!$B$32,'Inputs'!$B$30+'Inputs'!$B$31+'Inputs'!$B$32)/1000+'Inputs'!$B$21)+'Inputs'!$B$9)^2+('Inputs'!$B$8/2)^2)-(((50-43)*MAX('Inputs'!$B$33,'Inputs'!$B$29+'Inputs'!$B$31+'Inputs'!$B$32,'Inputs'!$B$30+'Inputs'!$B$31+'Inputs'!$B$32)/1000+'Inputs'!$B$21))/SQRT((((50-43)*MAX('Inputs'!$B$33,'Inputs'!$B$29+'Inputs'!$B$31+'Inputs'!$B$32,'Inputs'!$B$30+'Inputs'!$B$31+'Inputs'!$B$32)/1000+'Inputs'!$B$21))^2+('Inputs'!$B$8/2)^2)))-'Results'!B7*(0.5*((((50-43)*MAX('Inputs'!$B$33,'Inputs'!$B$29+'Inputs'!$B$31+'Inputs'!$B$32,'Inputs'!$B$30+'Inputs'!$B$31+'Inputs'!$B$32)/1000+'Inputs'!$B$21+'Inputs'!$B$9+'Inputs'!$B$10)+'Inputs'!$B$7)/SQRT((((50-43)*MAX('Inputs'!$B$33,'Inputs'!$B$29+'Inputs'!$B$31+'Inputs'!$B$32,'Inputs'!$B$30+'Inputs'!$B$31+'Inputs'!$B$32)/1000+'Inputs'!$B$21+'Inputs'!$B$9+'Inputs'!$B$10)+'Inputs'!$B$7)^2+('Inputs'!$B$6/2)^2)-(((50-43)*MAX('Inputs'!$B$33,'Inputs'!$B$29+'Inputs'!$B$31+'Inputs'!$B$32,'Inputs'!$B$30+'Inputs'!$B$31+'Inputs'!$B$32)/1000+'Inputs'!$B$21+'Inputs'!$B$9+'Inputs'!$B$10))/SQRT((((50-43)*MAX('Inputs'!$B$33,'Inputs'!$B$29+'Inputs'!$B$31+'Inputs'!$B$32,'Inputs'!$B$30+'Inputs'!$B$31+'Inputs'!$B$32)/1000+'Inputs'!$B$21+'Inputs'!$B$9+'Inputs'!$B$10))^2+('Inputs'!$B$6/2)^2))))*'Results'!$B$8),"")</x:f>
        <x:v>1867.9664155116297</x:v>
      </x:c>
      <x:c r="N50" t="n">
        <x:f>IF(AND(ISNUMBER('Results'!C7),ISNUMBER('Results'!B7),ISNUMBER('Results'!$B$8),ISNUMBER('Inputs'!$B$6),ISNUMBER('Inputs'!$B$7),ISNUMBER('Inputs'!$B$8),ISNUMBER('Inputs'!$B$9),ISNUMBER('Inputs'!$B$10),ISNUMBER('Inputs'!$B$21),ISNUMBER('Inputs'!$B$24),ISNUMBER('Inputs'!$B$28)),((('Results'!C7*(1-'Inputs'!$B$24)*(0.5*((((50-43)*MAX('Inputs'!$B$33,'Inputs'!$B$29+'Inputs'!$B$31+'Inputs'!$B$32,'Inputs'!$B$30+'Inputs'!$B$31+'Inputs'!$B$32)/1000+'Inputs'!$B$21)+'Inputs'!$B$9)/SQRT((((50-43)*MAX('Inputs'!$B$33,'Inputs'!$B$29+'Inputs'!$B$31+'Inputs'!$B$32,'Inputs'!$B$30+'Inputs'!$B$31+'Inputs'!$B$32)/1000+'Inputs'!$B$21)+'Inputs'!$B$9)^2+('Inputs'!$B$8/2)^2)-(((50-43)*MAX('Inputs'!$B$33,'Inputs'!$B$29+'Inputs'!$B$31+'Inputs'!$B$32,'Inputs'!$B$30+'Inputs'!$B$31+'Inputs'!$B$32)/1000+'Inputs'!$B$21))/SQRT((((50-43)*MAX('Inputs'!$B$33,'Inputs'!$B$29+'Inputs'!$B$31+'Inputs'!$B$32,'Inputs'!$B$30+'Inputs'!$B$31+'Inputs'!$B$32)/1000+'Inputs'!$B$21))^2+('Inputs'!$B$8/2)^2)))-'Results'!B7*(1+'Inputs'!$B$24)*(0.5*((((50-43)*MAX('Inputs'!$B$33,'Inputs'!$B$29+'Inputs'!$B$31+'Inputs'!$B$32,'Inputs'!$B$30+'Inputs'!$B$31+'Inputs'!$B$32)/1000+'Inputs'!$B$21+'Inputs'!$B$9+'Inputs'!$B$10)+'Inputs'!$B$7)/SQRT((((50-43)*MAX('Inputs'!$B$33,'Inputs'!$B$29+'Inputs'!$B$31+'Inputs'!$B$32,'Inputs'!$B$30+'Inputs'!$B$31+'Inputs'!$B$32)/1000+'Inputs'!$B$21+'Inputs'!$B$9+'Inputs'!$B$10)+'Inputs'!$B$7)^2+('Inputs'!$B$6/2)^2)-(((50-43)*MAX('Inputs'!$B$33,'Inputs'!$B$29+'Inputs'!$B$31+'Inputs'!$B$32,'Inputs'!$B$30+'Inputs'!$B$31+'Inputs'!$B$32)/1000+'Inputs'!$B$21+'Inputs'!$B$9+'Inputs'!$B$10))/SQRT((((50-43)*MAX('Inputs'!$B$33,'Inputs'!$B$29+'Inputs'!$B$31+'Inputs'!$B$32,'Inputs'!$B$30+'Inputs'!$B$31+'Inputs'!$B$32)/1000+'Inputs'!$B$21+'Inputs'!$B$9+'Inputs'!$B$10))^2+('Inputs'!$B$6/2)^2))))*'Results'!$B$8)-'Inputs'!$B$28*ABS((('Results'!C7*(1-'Inputs'!$B$24)*(0.5*((((50-43)*MAX('Inputs'!$B$33,'Inputs'!$B$29+'Inputs'!$B$31+'Inputs'!$B$32,'Inputs'!$B$30+'Inputs'!$B$31+'Inputs'!$B$32)/1000+'Inputs'!$B$21)+'Inputs'!$B$9)/SQRT((((50-43)*MAX('Inputs'!$B$33,'Inputs'!$B$29+'Inputs'!$B$31+'Inputs'!$B$32,'Inputs'!$B$30+'Inputs'!$B$31+'Inputs'!$B$32)/1000+'Inputs'!$B$21)+'Inputs'!$B$9)^2+('Inputs'!$B$8/2)^2)-(((50-43)*MAX('Inputs'!$B$33,'Inputs'!$B$29+'Inputs'!$B$31+'Inputs'!$B$32,'Inputs'!$B$30+'Inputs'!$B$31+'Inputs'!$B$32)/1000+'Inputs'!$B$21))/SQRT((((50-43)*MAX('Inputs'!$B$33,'Inputs'!$B$29+'Inputs'!$B$31+'Inputs'!$B$32,'Inputs'!$B$30+'Inputs'!$B$31+'Inputs'!$B$32)/1000+'Inputs'!$B$21))^2+('Inputs'!$B$8/2)^2)))-'Results'!B7*(1+'Inputs'!$B$24)*(0.5*((((50-43)*MAX('Inputs'!$B$33,'Inputs'!$B$29+'Inputs'!$B$31+'Inputs'!$B$32,'Inputs'!$B$30+'Inputs'!$B$31+'Inputs'!$B$32)/1000+'Inputs'!$B$21+'Inputs'!$B$9+'Inputs'!$B$10)+'Inputs'!$B$7)/SQRT((((50-43)*MAX('Inputs'!$B$33,'Inputs'!$B$29+'Inputs'!$B$31+'Inputs'!$B$32,'Inputs'!$B$30+'Inputs'!$B$31+'Inputs'!$B$32)/1000+'Inputs'!$B$21+'Inputs'!$B$9+'Inputs'!$B$10)+'Inputs'!$B$7)^2+('Inputs'!$B$6/2)^2)-(((50-43)*MAX('Inputs'!$B$33,'Inputs'!$B$29+'Inputs'!$B$31+'Inputs'!$B$32,'Inputs'!$B$30+'Inputs'!$B$31+'Inputs'!$B$32)/1000+'Inputs'!$B$21+'Inputs'!$B$9+'Inputs'!$B$10))/SQRT((((50-43)*MAX('Inputs'!$B$33,'Inputs'!$B$29+'Inputs'!$B$31+'Inputs'!$B$32,'Inputs'!$B$30+'Inputs'!$B$31+'Inputs'!$B$32)/1000+'Inputs'!$B$21+'Inputs'!$B$9+'Inputs'!$B$10))^2+('Inputs'!$B$6/2)^2))))*'Results'!$B$8))),"")</x:f>
        <x:v>1726.9915499165372</x:v>
      </x:c>
      <x:c r="O50" t="n">
        <x:f>IF(AND(ISNUMBER('Results'!C7),ISNUMBER('Results'!B7),ISNUMBER('Results'!$B$8),ISNUMBER('Inputs'!$B$6),ISNUMBER('Inputs'!$B$7),ISNUMBER('Inputs'!$B$8),ISNUMBER('Inputs'!$B$9),ISNUMBER('Inputs'!$B$10),ISNUMBER('Inputs'!$B$21),ISNUMBER('Inputs'!$B$24),ISNUMBER('Inputs'!$B$28)),((('Results'!C7*(1+'Inputs'!$B$24)*(0.5*((((50-43)*MAX('Inputs'!$B$33,'Inputs'!$B$29+'Inputs'!$B$31+'Inputs'!$B$32,'Inputs'!$B$30+'Inputs'!$B$31+'Inputs'!$B$32)/1000+'Inputs'!$B$21)+'Inputs'!$B$9)/SQRT((((50-43)*MAX('Inputs'!$B$33,'Inputs'!$B$29+'Inputs'!$B$31+'Inputs'!$B$32,'Inputs'!$B$30+'Inputs'!$B$31+'Inputs'!$B$32)/1000+'Inputs'!$B$21)+'Inputs'!$B$9)^2+('Inputs'!$B$8/2)^2)-(((50-43)*MAX('Inputs'!$B$33,'Inputs'!$B$29+'Inputs'!$B$31+'Inputs'!$B$32,'Inputs'!$B$30+'Inputs'!$B$31+'Inputs'!$B$32)/1000+'Inputs'!$B$21))/SQRT((((50-43)*MAX('Inputs'!$B$33,'Inputs'!$B$29+'Inputs'!$B$31+'Inputs'!$B$32,'Inputs'!$B$30+'Inputs'!$B$31+'Inputs'!$B$32)/1000+'Inputs'!$B$21))^2+('Inputs'!$B$8/2)^2)))-'Results'!B7*(1-'Inputs'!$B$24)*(0.5*((((50-43)*MAX('Inputs'!$B$33,'Inputs'!$B$29+'Inputs'!$B$31+'Inputs'!$B$32,'Inputs'!$B$30+'Inputs'!$B$31+'Inputs'!$B$32)/1000+'Inputs'!$B$21+'Inputs'!$B$9+'Inputs'!$B$10)+'Inputs'!$B$7)/SQRT((((50-43)*MAX('Inputs'!$B$33,'Inputs'!$B$29+'Inputs'!$B$31+'Inputs'!$B$32,'Inputs'!$B$30+'Inputs'!$B$31+'Inputs'!$B$32)/1000+'Inputs'!$B$21+'Inputs'!$B$9+'Inputs'!$B$10)+'Inputs'!$B$7)^2+('Inputs'!$B$6/2)^2)-(((50-43)*MAX('Inputs'!$B$33,'Inputs'!$B$29+'Inputs'!$B$31+'Inputs'!$B$32,'Inputs'!$B$30+'Inputs'!$B$31+'Inputs'!$B$32)/1000+'Inputs'!$B$21+'Inputs'!$B$9+'Inputs'!$B$10))/SQRT((((50-43)*MAX('Inputs'!$B$33,'Inputs'!$B$29+'Inputs'!$B$31+'Inputs'!$B$32,'Inputs'!$B$30+'Inputs'!$B$31+'Inputs'!$B$32)/1000+'Inputs'!$B$21+'Inputs'!$B$9+'Inputs'!$B$10))^2+('Inputs'!$B$6/2)^2))))*'Results'!$B$8)+'Inputs'!$B$28*ABS((('Results'!C7*(1+'Inputs'!$B$24)*(0.5*((((50-43)*MAX('Inputs'!$B$33,'Inputs'!$B$29+'Inputs'!$B$31+'Inputs'!$B$32,'Inputs'!$B$30+'Inputs'!$B$31+'Inputs'!$B$32)/1000+'Inputs'!$B$21)+'Inputs'!$B$9)/SQRT((((50-43)*MAX('Inputs'!$B$33,'Inputs'!$B$29+'Inputs'!$B$31+'Inputs'!$B$32,'Inputs'!$B$30+'Inputs'!$B$31+'Inputs'!$B$32)/1000+'Inputs'!$B$21)+'Inputs'!$B$9)^2+('Inputs'!$B$8/2)^2)-(((50-43)*MAX('Inputs'!$B$33,'Inputs'!$B$29+'Inputs'!$B$31+'Inputs'!$B$32,'Inputs'!$B$30+'Inputs'!$B$31+'Inputs'!$B$32)/1000+'Inputs'!$B$21))/SQRT((((50-43)*MAX('Inputs'!$B$33,'Inputs'!$B$29+'Inputs'!$B$31+'Inputs'!$B$32,'Inputs'!$B$30+'Inputs'!$B$31+'Inputs'!$B$32)/1000+'Inputs'!$B$21))^2+('Inputs'!$B$8/2)^2)))-'Results'!B7*(1-'Inputs'!$B$24)*(0.5*((((50-43)*MAX('Inputs'!$B$33,'Inputs'!$B$29+'Inputs'!$B$31+'Inputs'!$B$32,'Inputs'!$B$30+'Inputs'!$B$31+'Inputs'!$B$32)/1000+'Inputs'!$B$21+'Inputs'!$B$9+'Inputs'!$B$10)+'Inputs'!$B$7)/SQRT((((50-43)*MAX('Inputs'!$B$33,'Inputs'!$B$29+'Inputs'!$B$31+'Inputs'!$B$32,'Inputs'!$B$30+'Inputs'!$B$31+'Inputs'!$B$32)/1000+'Inputs'!$B$21+'Inputs'!$B$9+'Inputs'!$B$10)+'Inputs'!$B$7)^2+('Inputs'!$B$6/2)^2)-(((50-43)*MAX('Inputs'!$B$33,'Inputs'!$B$29+'Inputs'!$B$31+'Inputs'!$B$32,'Inputs'!$B$30+'Inputs'!$B$31+'Inputs'!$B$32)/1000+'Inputs'!$B$21+'Inputs'!$B$9+'Inputs'!$B$10))/SQRT((((50-43)*MAX('Inputs'!$B$33,'Inputs'!$B$29+'Inputs'!$B$31+'Inputs'!$B$32,'Inputs'!$B$30+'Inputs'!$B$31+'Inputs'!$B$32)/1000+'Inputs'!$B$21+'Inputs'!$B$9+'Inputs'!$B$10))^2+('Inputs'!$B$6/2)^2))))*'Results'!$B$8))),"")</x:f>
        <x:v>2013.949338456145</x:v>
      </x:c>
      <x:c r="P50" t="n">
        <x:f>IF(AND(MAX(J50,J49)&gt;0,J50&gt;J49+0.00000001),1,0)</x:f>
        <x:v>0</x:v>
      </x:c>
      <x:c r="Q50" t="n">
        <x:f>IF(AND(MAX(K50,K49)&gt;0,K50&gt;K49+0.00000001),1,0)</x:f>
        <x:v>0</x:v>
      </x:c>
      <x:c r="R50" t="n">
        <x:f>IF(AND(MAX(L50,L49)&gt;0,L50&gt;L49+0.00000001),1,0)</x:f>
        <x:v>0</x:v>
      </x:c>
      <x:c r="S50" t="n">
        <x:f>IF(AND(MAX(M50,M49)&gt;0,M50&gt;M49+0.00000001),1,0)</x:f>
        <x:v>0</x:v>
      </x:c>
      <x:c r="T50" t="n">
        <x:f>IF(AND(MAX(N50,N49)&gt;0,N50&gt;N49+0.00000001),1,0)</x:f>
        <x:v>0</x:v>
      </x:c>
      <x:c r="U50" t="n">
        <x:f>IF(AND(MAX(O50,O49)&gt;0,O50&gt;O49+0.00000001),1,0)</x:f>
        <x:v>0</x:v>
      </x:c>
    </x:row>
    <x:row r="51">
      <x:c r="J51" t="n">
        <x:f>IF(AND(ISNUMBER('Results'!B7),ISNUMBER('Results'!C7),ISNUMBER('Results'!$B$8),ISNUMBER('Inputs'!$B$6),ISNUMBER('Inputs'!$B$7),ISNUMBER('Inputs'!$B$8),ISNUMBER('Inputs'!$B$9),ISNUMBER('Inputs'!$B$10),ISNUMBER('Inputs'!$B$21),ISNUMBER('Inputs'!$B$24),ISNUMBER('Inputs'!$B$28)),(('Results'!B7*(0.5*((((51-43)*MAX('Inputs'!$B$33,'Inputs'!$B$29+'Inputs'!$B$31+'Inputs'!$B$32,'Inputs'!$B$30+'Inputs'!$B$31+'Inputs'!$B$32)/1000+'Inputs'!$B$21)+'Inputs'!$B$7)/SQRT((((51-43)*MAX('Inputs'!$B$33,'Inputs'!$B$29+'Inputs'!$B$31+'Inputs'!$B$32,'Inputs'!$B$30+'Inputs'!$B$31+'Inputs'!$B$32)/1000+'Inputs'!$B$21)+'Inputs'!$B$7)^2+('Inputs'!$B$6/2)^2)-(((51-43)*MAX('Inputs'!$B$33,'Inputs'!$B$29+'Inputs'!$B$31+'Inputs'!$B$32,'Inputs'!$B$30+'Inputs'!$B$31+'Inputs'!$B$32)/1000+'Inputs'!$B$21))/SQRT((((51-43)*MAX('Inputs'!$B$33,'Inputs'!$B$29+'Inputs'!$B$31+'Inputs'!$B$32,'Inputs'!$B$30+'Inputs'!$B$31+'Inputs'!$B$32)/1000+'Inputs'!$B$21))^2+('Inputs'!$B$6/2)^2)))-'Results'!C7*(0.5*((((51-43)*MAX('Inputs'!$B$33,'Inputs'!$B$29+'Inputs'!$B$31+'Inputs'!$B$32,'Inputs'!$B$30+'Inputs'!$B$31+'Inputs'!$B$32)/1000+'Inputs'!$B$21+'Inputs'!$B$7+'Inputs'!$B$10)+'Inputs'!$B$9)/SQRT((((51-43)*MAX('Inputs'!$B$33,'Inputs'!$B$29+'Inputs'!$B$31+'Inputs'!$B$32,'Inputs'!$B$30+'Inputs'!$B$31+'Inputs'!$B$32)/1000+'Inputs'!$B$21+'Inputs'!$B$7+'Inputs'!$B$10)+'Inputs'!$B$9)^2+('Inputs'!$B$8/2)^2)-(((51-43)*MAX('Inputs'!$B$33,'Inputs'!$B$29+'Inputs'!$B$31+'Inputs'!$B$32,'Inputs'!$B$30+'Inputs'!$B$31+'Inputs'!$B$32)/1000+'Inputs'!$B$21+'Inputs'!$B$7+'Inputs'!$B$10))/SQRT((((51-43)*MAX('Inputs'!$B$33,'Inputs'!$B$29+'Inputs'!$B$31+'Inputs'!$B$32,'Inputs'!$B$30+'Inputs'!$B$31+'Inputs'!$B$32)/1000+'Inputs'!$B$21+'Inputs'!$B$7+'Inputs'!$B$10))^2+('Inputs'!$B$8/2)^2))))*'Results'!$B$8),"")</x:f>
        <x:v>1900.379591192887</x:v>
      </x:c>
      <x:c r="K51" t="n">
        <x:f>IF(AND(ISNUMBER('Results'!B7),ISNUMBER('Results'!C7),ISNUMBER('Results'!$B$8),ISNUMBER('Inputs'!$B$6),ISNUMBER('Inputs'!$B$7),ISNUMBER('Inputs'!$B$8),ISNUMBER('Inputs'!$B$9),ISNUMBER('Inputs'!$B$10),ISNUMBER('Inputs'!$B$21),ISNUMBER('Inputs'!$B$24),ISNUMBER('Inputs'!$B$28)),((('Results'!B7*(1-'Inputs'!$B$24)*(0.5*((((51-43)*MAX('Inputs'!$B$33,'Inputs'!$B$29+'Inputs'!$B$31+'Inputs'!$B$32,'Inputs'!$B$30+'Inputs'!$B$31+'Inputs'!$B$32)/1000+'Inputs'!$B$21)+'Inputs'!$B$7)/SQRT((((51-43)*MAX('Inputs'!$B$33,'Inputs'!$B$29+'Inputs'!$B$31+'Inputs'!$B$32,'Inputs'!$B$30+'Inputs'!$B$31+'Inputs'!$B$32)/1000+'Inputs'!$B$21)+'Inputs'!$B$7)^2+('Inputs'!$B$6/2)^2)-(((51-43)*MAX('Inputs'!$B$33,'Inputs'!$B$29+'Inputs'!$B$31+'Inputs'!$B$32,'Inputs'!$B$30+'Inputs'!$B$31+'Inputs'!$B$32)/1000+'Inputs'!$B$21))/SQRT((((51-43)*MAX('Inputs'!$B$33,'Inputs'!$B$29+'Inputs'!$B$31+'Inputs'!$B$32,'Inputs'!$B$30+'Inputs'!$B$31+'Inputs'!$B$32)/1000+'Inputs'!$B$21))^2+('Inputs'!$B$6/2)^2)))-'Results'!C7*(1+'Inputs'!$B$24)*(0.5*((((51-43)*MAX('Inputs'!$B$33,'Inputs'!$B$29+'Inputs'!$B$31+'Inputs'!$B$32,'Inputs'!$B$30+'Inputs'!$B$31+'Inputs'!$B$32)/1000+'Inputs'!$B$21+'Inputs'!$B$7+'Inputs'!$B$10)+'Inputs'!$B$9)/SQRT((((51-43)*MAX('Inputs'!$B$33,'Inputs'!$B$29+'Inputs'!$B$31+'Inputs'!$B$32,'Inputs'!$B$30+'Inputs'!$B$31+'Inputs'!$B$32)/1000+'Inputs'!$B$21+'Inputs'!$B$7+'Inputs'!$B$10)+'Inputs'!$B$9)^2+('Inputs'!$B$8/2)^2)-(((51-43)*MAX('Inputs'!$B$33,'Inputs'!$B$29+'Inputs'!$B$31+'Inputs'!$B$32,'Inputs'!$B$30+'Inputs'!$B$31+'Inputs'!$B$32)/1000+'Inputs'!$B$21+'Inputs'!$B$7+'Inputs'!$B$10))/SQRT((((51-43)*MAX('Inputs'!$B$33,'Inputs'!$B$29+'Inputs'!$B$31+'Inputs'!$B$32,'Inputs'!$B$30+'Inputs'!$B$31+'Inputs'!$B$32)/1000+'Inputs'!$B$21+'Inputs'!$B$7+'Inputs'!$B$10))^2+('Inputs'!$B$8/2)^2))))*'Results'!$B$8)-'Inputs'!$B$28*ABS((('Results'!B7*(1-'Inputs'!$B$24)*(0.5*((((51-43)*MAX('Inputs'!$B$33,'Inputs'!$B$29+'Inputs'!$B$31+'Inputs'!$B$32,'Inputs'!$B$30+'Inputs'!$B$31+'Inputs'!$B$32)/1000+'Inputs'!$B$21)+'Inputs'!$B$7)/SQRT((((51-43)*MAX('Inputs'!$B$33,'Inputs'!$B$29+'Inputs'!$B$31+'Inputs'!$B$32,'Inputs'!$B$30+'Inputs'!$B$31+'Inputs'!$B$32)/1000+'Inputs'!$B$21)+'Inputs'!$B$7)^2+('Inputs'!$B$6/2)^2)-(((51-43)*MAX('Inputs'!$B$33,'Inputs'!$B$29+'Inputs'!$B$31+'Inputs'!$B$32,'Inputs'!$B$30+'Inputs'!$B$31+'Inputs'!$B$32)/1000+'Inputs'!$B$21))/SQRT((((51-43)*MAX('Inputs'!$B$33,'Inputs'!$B$29+'Inputs'!$B$31+'Inputs'!$B$32,'Inputs'!$B$30+'Inputs'!$B$31+'Inputs'!$B$32)/1000+'Inputs'!$B$21))^2+('Inputs'!$B$6/2)^2)))-'Results'!C7*(1+'Inputs'!$B$24)*(0.5*((((51-43)*MAX('Inputs'!$B$33,'Inputs'!$B$29+'Inputs'!$B$31+'Inputs'!$B$32,'Inputs'!$B$30+'Inputs'!$B$31+'Inputs'!$B$32)/1000+'Inputs'!$B$21+'Inputs'!$B$7+'Inputs'!$B$10)+'Inputs'!$B$9)/SQRT((((51-43)*MAX('Inputs'!$B$33,'Inputs'!$B$29+'Inputs'!$B$31+'Inputs'!$B$32,'Inputs'!$B$30+'Inputs'!$B$31+'Inputs'!$B$32)/1000+'Inputs'!$B$21+'Inputs'!$B$7+'Inputs'!$B$10)+'Inputs'!$B$9)^2+('Inputs'!$B$8/2)^2)-(((51-43)*MAX('Inputs'!$B$33,'Inputs'!$B$29+'Inputs'!$B$31+'Inputs'!$B$32,'Inputs'!$B$30+'Inputs'!$B$31+'Inputs'!$B$32)/1000+'Inputs'!$B$21+'Inputs'!$B$7+'Inputs'!$B$10))/SQRT((((51-43)*MAX('Inputs'!$B$33,'Inputs'!$B$29+'Inputs'!$B$31+'Inputs'!$B$32,'Inputs'!$B$30+'Inputs'!$B$31+'Inputs'!$B$32)/1000+'Inputs'!$B$21+'Inputs'!$B$7+'Inputs'!$B$10))^2+('Inputs'!$B$8/2)^2))))*'Results'!$B$8))),"")</x:f>
        <x:v>1757.6005005240518</x:v>
      </x:c>
      <x:c r="L51" t="n">
        <x:f>IF(AND(ISNUMBER('Results'!B7),ISNUMBER('Results'!C7),ISNUMBER('Results'!$B$8),ISNUMBER('Inputs'!$B$6),ISNUMBER('Inputs'!$B$7),ISNUMBER('Inputs'!$B$8),ISNUMBER('Inputs'!$B$9),ISNUMBER('Inputs'!$B$10),ISNUMBER('Inputs'!$B$21),ISNUMBER('Inputs'!$B$24),ISNUMBER('Inputs'!$B$28)),((('Results'!B7*(1+'Inputs'!$B$24)*(0.5*((((51-43)*MAX('Inputs'!$B$33,'Inputs'!$B$29+'Inputs'!$B$31+'Inputs'!$B$32,'Inputs'!$B$30+'Inputs'!$B$31+'Inputs'!$B$32)/1000+'Inputs'!$B$21)+'Inputs'!$B$7)/SQRT((((51-43)*MAX('Inputs'!$B$33,'Inputs'!$B$29+'Inputs'!$B$31+'Inputs'!$B$32,'Inputs'!$B$30+'Inputs'!$B$31+'Inputs'!$B$32)/1000+'Inputs'!$B$21)+'Inputs'!$B$7)^2+('Inputs'!$B$6/2)^2)-(((51-43)*MAX('Inputs'!$B$33,'Inputs'!$B$29+'Inputs'!$B$31+'Inputs'!$B$32,'Inputs'!$B$30+'Inputs'!$B$31+'Inputs'!$B$32)/1000+'Inputs'!$B$21))/SQRT((((51-43)*MAX('Inputs'!$B$33,'Inputs'!$B$29+'Inputs'!$B$31+'Inputs'!$B$32,'Inputs'!$B$30+'Inputs'!$B$31+'Inputs'!$B$32)/1000+'Inputs'!$B$21))^2+('Inputs'!$B$6/2)^2)))-'Results'!C7*(1-'Inputs'!$B$24)*(0.5*((((51-43)*MAX('Inputs'!$B$33,'Inputs'!$B$29+'Inputs'!$B$31+'Inputs'!$B$32,'Inputs'!$B$30+'Inputs'!$B$31+'Inputs'!$B$32)/1000+'Inputs'!$B$21+'Inputs'!$B$7+'Inputs'!$B$10)+'Inputs'!$B$9)/SQRT((((51-43)*MAX('Inputs'!$B$33,'Inputs'!$B$29+'Inputs'!$B$31+'Inputs'!$B$32,'Inputs'!$B$30+'Inputs'!$B$31+'Inputs'!$B$32)/1000+'Inputs'!$B$21+'Inputs'!$B$7+'Inputs'!$B$10)+'Inputs'!$B$9)^2+('Inputs'!$B$8/2)^2)-(((51-43)*MAX('Inputs'!$B$33,'Inputs'!$B$29+'Inputs'!$B$31+'Inputs'!$B$32,'Inputs'!$B$30+'Inputs'!$B$31+'Inputs'!$B$32)/1000+'Inputs'!$B$21+'Inputs'!$B$7+'Inputs'!$B$10))/SQRT((((51-43)*MAX('Inputs'!$B$33,'Inputs'!$B$29+'Inputs'!$B$31+'Inputs'!$B$32,'Inputs'!$B$30+'Inputs'!$B$31+'Inputs'!$B$32)/1000+'Inputs'!$B$21+'Inputs'!$B$7+'Inputs'!$B$10))^2+('Inputs'!$B$8/2)^2))))*'Results'!$B$8)+'Inputs'!$B$28*ABS((('Results'!B7*(1+'Inputs'!$B$24)*(0.5*((((51-43)*MAX('Inputs'!$B$33,'Inputs'!$B$29+'Inputs'!$B$31+'Inputs'!$B$32,'Inputs'!$B$30+'Inputs'!$B$31+'Inputs'!$B$32)/1000+'Inputs'!$B$21)+'Inputs'!$B$7)/SQRT((((51-43)*MAX('Inputs'!$B$33,'Inputs'!$B$29+'Inputs'!$B$31+'Inputs'!$B$32,'Inputs'!$B$30+'Inputs'!$B$31+'Inputs'!$B$32)/1000+'Inputs'!$B$21)+'Inputs'!$B$7)^2+('Inputs'!$B$6/2)^2)-(((51-43)*MAX('Inputs'!$B$33,'Inputs'!$B$29+'Inputs'!$B$31+'Inputs'!$B$32,'Inputs'!$B$30+'Inputs'!$B$31+'Inputs'!$B$32)/1000+'Inputs'!$B$21))/SQRT((((51-43)*MAX('Inputs'!$B$33,'Inputs'!$B$29+'Inputs'!$B$31+'Inputs'!$B$32,'Inputs'!$B$30+'Inputs'!$B$31+'Inputs'!$B$32)/1000+'Inputs'!$B$21))^2+('Inputs'!$B$6/2)^2)))-'Results'!C7*(1-'Inputs'!$B$24)*(0.5*((((51-43)*MAX('Inputs'!$B$33,'Inputs'!$B$29+'Inputs'!$B$31+'Inputs'!$B$32,'Inputs'!$B$30+'Inputs'!$B$31+'Inputs'!$B$32)/1000+'Inputs'!$B$21+'Inputs'!$B$7+'Inputs'!$B$10)+'Inputs'!$B$9)/SQRT((((51-43)*MAX('Inputs'!$B$33,'Inputs'!$B$29+'Inputs'!$B$31+'Inputs'!$B$32,'Inputs'!$B$30+'Inputs'!$B$31+'Inputs'!$B$32)/1000+'Inputs'!$B$21+'Inputs'!$B$7+'Inputs'!$B$10)+'Inputs'!$B$9)^2+('Inputs'!$B$8/2)^2)-(((51-43)*MAX('Inputs'!$B$33,'Inputs'!$B$29+'Inputs'!$B$31+'Inputs'!$B$32,'Inputs'!$B$30+'Inputs'!$B$31+'Inputs'!$B$32)/1000+'Inputs'!$B$21+'Inputs'!$B$7+'Inputs'!$B$10))/SQRT((((51-43)*MAX('Inputs'!$B$33,'Inputs'!$B$29+'Inputs'!$B$31+'Inputs'!$B$32,'Inputs'!$B$30+'Inputs'!$B$31+'Inputs'!$B$32)/1000+'Inputs'!$B$21+'Inputs'!$B$7+'Inputs'!$B$10))^2+('Inputs'!$B$8/2)^2))))*'Results'!$B$8))),"")</x:f>
        <x:v>2048.1860619784793</x:v>
      </x:c>
      <x:c r="M51" t="n">
        <x:f>IF(AND(ISNUMBER('Results'!C7),ISNUMBER('Results'!B7),ISNUMBER('Results'!$B$8),ISNUMBER('Inputs'!$B$6),ISNUMBER('Inputs'!$B$7),ISNUMBER('Inputs'!$B$8),ISNUMBER('Inputs'!$B$9),ISNUMBER('Inputs'!$B$10),ISNUMBER('Inputs'!$B$21),ISNUMBER('Inputs'!$B$24),ISNUMBER('Inputs'!$B$28)),(('Results'!C7*(0.5*((((51-43)*MAX('Inputs'!$B$33,'Inputs'!$B$29+'Inputs'!$B$31+'Inputs'!$B$32,'Inputs'!$B$30+'Inputs'!$B$31+'Inputs'!$B$32)/1000+'Inputs'!$B$21)+'Inputs'!$B$9)/SQRT((((51-43)*MAX('Inputs'!$B$33,'Inputs'!$B$29+'Inputs'!$B$31+'Inputs'!$B$32,'Inputs'!$B$30+'Inputs'!$B$31+'Inputs'!$B$32)/1000+'Inputs'!$B$21)+'Inputs'!$B$9)^2+('Inputs'!$B$8/2)^2)-(((51-43)*MAX('Inputs'!$B$33,'Inputs'!$B$29+'Inputs'!$B$31+'Inputs'!$B$32,'Inputs'!$B$30+'Inputs'!$B$31+'Inputs'!$B$32)/1000+'Inputs'!$B$21))/SQRT((((51-43)*MAX('Inputs'!$B$33,'Inputs'!$B$29+'Inputs'!$B$31+'Inputs'!$B$32,'Inputs'!$B$30+'Inputs'!$B$31+'Inputs'!$B$32)/1000+'Inputs'!$B$21))^2+('Inputs'!$B$8/2)^2)))-'Results'!B7*(0.5*((((51-43)*MAX('Inputs'!$B$33,'Inputs'!$B$29+'Inputs'!$B$31+'Inputs'!$B$32,'Inputs'!$B$30+'Inputs'!$B$31+'Inputs'!$B$32)/1000+'Inputs'!$B$21+'Inputs'!$B$9+'Inputs'!$B$10)+'Inputs'!$B$7)/SQRT((((51-43)*MAX('Inputs'!$B$33,'Inputs'!$B$29+'Inputs'!$B$31+'Inputs'!$B$32,'Inputs'!$B$30+'Inputs'!$B$31+'Inputs'!$B$32)/1000+'Inputs'!$B$21+'Inputs'!$B$9+'Inputs'!$B$10)+'Inputs'!$B$7)^2+('Inputs'!$B$6/2)^2)-(((51-43)*MAX('Inputs'!$B$33,'Inputs'!$B$29+'Inputs'!$B$31+'Inputs'!$B$32,'Inputs'!$B$30+'Inputs'!$B$31+'Inputs'!$B$32)/1000+'Inputs'!$B$21+'Inputs'!$B$9+'Inputs'!$B$10))/SQRT((((51-43)*MAX('Inputs'!$B$33,'Inputs'!$B$29+'Inputs'!$B$31+'Inputs'!$B$32,'Inputs'!$B$30+'Inputs'!$B$31+'Inputs'!$B$32)/1000+'Inputs'!$B$21+'Inputs'!$B$9+'Inputs'!$B$10))^2+('Inputs'!$B$6/2)^2))))*'Results'!$B$8),"")</x:f>
        <x:v>1849.9806246238513</x:v>
      </x:c>
      <x:c r="N51" t="n">
        <x:f>IF(AND(ISNUMBER('Results'!C7),ISNUMBER('Results'!B7),ISNUMBER('Results'!$B$8),ISNUMBER('Inputs'!$B$6),ISNUMBER('Inputs'!$B$7),ISNUMBER('Inputs'!$B$8),ISNUMBER('Inputs'!$B$9),ISNUMBER('Inputs'!$B$10),ISNUMBER('Inputs'!$B$21),ISNUMBER('Inputs'!$B$24),ISNUMBER('Inputs'!$B$28)),((('Results'!C7*(1-'Inputs'!$B$24)*(0.5*((((51-43)*MAX('Inputs'!$B$33,'Inputs'!$B$29+'Inputs'!$B$31+'Inputs'!$B$32,'Inputs'!$B$30+'Inputs'!$B$31+'Inputs'!$B$32)/1000+'Inputs'!$B$21)+'Inputs'!$B$9)/SQRT((((51-43)*MAX('Inputs'!$B$33,'Inputs'!$B$29+'Inputs'!$B$31+'Inputs'!$B$32,'Inputs'!$B$30+'Inputs'!$B$31+'Inputs'!$B$32)/1000+'Inputs'!$B$21)+'Inputs'!$B$9)^2+('Inputs'!$B$8/2)^2)-(((51-43)*MAX('Inputs'!$B$33,'Inputs'!$B$29+'Inputs'!$B$31+'Inputs'!$B$32,'Inputs'!$B$30+'Inputs'!$B$31+'Inputs'!$B$32)/1000+'Inputs'!$B$21))/SQRT((((51-43)*MAX('Inputs'!$B$33,'Inputs'!$B$29+'Inputs'!$B$31+'Inputs'!$B$32,'Inputs'!$B$30+'Inputs'!$B$31+'Inputs'!$B$32)/1000+'Inputs'!$B$21))^2+('Inputs'!$B$8/2)^2)))-'Results'!B7*(1+'Inputs'!$B$24)*(0.5*((((51-43)*MAX('Inputs'!$B$33,'Inputs'!$B$29+'Inputs'!$B$31+'Inputs'!$B$32,'Inputs'!$B$30+'Inputs'!$B$31+'Inputs'!$B$32)/1000+'Inputs'!$B$21+'Inputs'!$B$9+'Inputs'!$B$10)+'Inputs'!$B$7)/SQRT((((51-43)*MAX('Inputs'!$B$33,'Inputs'!$B$29+'Inputs'!$B$31+'Inputs'!$B$32,'Inputs'!$B$30+'Inputs'!$B$31+'Inputs'!$B$32)/1000+'Inputs'!$B$21+'Inputs'!$B$9+'Inputs'!$B$10)+'Inputs'!$B$7)^2+('Inputs'!$B$6/2)^2)-(((51-43)*MAX('Inputs'!$B$33,'Inputs'!$B$29+'Inputs'!$B$31+'Inputs'!$B$32,'Inputs'!$B$30+'Inputs'!$B$31+'Inputs'!$B$32)/1000+'Inputs'!$B$21+'Inputs'!$B$9+'Inputs'!$B$10))/SQRT((((51-43)*MAX('Inputs'!$B$33,'Inputs'!$B$29+'Inputs'!$B$31+'Inputs'!$B$32,'Inputs'!$B$30+'Inputs'!$B$31+'Inputs'!$B$32)/1000+'Inputs'!$B$21+'Inputs'!$B$9+'Inputs'!$B$10))^2+('Inputs'!$B$6/2)^2))))*'Results'!$B$8)-'Inputs'!$B$28*ABS((('Results'!C7*(1-'Inputs'!$B$24)*(0.5*((((51-43)*MAX('Inputs'!$B$33,'Inputs'!$B$29+'Inputs'!$B$31+'Inputs'!$B$32,'Inputs'!$B$30+'Inputs'!$B$31+'Inputs'!$B$32)/1000+'Inputs'!$B$21)+'Inputs'!$B$9)/SQRT((((51-43)*MAX('Inputs'!$B$33,'Inputs'!$B$29+'Inputs'!$B$31+'Inputs'!$B$32,'Inputs'!$B$30+'Inputs'!$B$31+'Inputs'!$B$32)/1000+'Inputs'!$B$21)+'Inputs'!$B$9)^2+('Inputs'!$B$8/2)^2)-(((51-43)*MAX('Inputs'!$B$33,'Inputs'!$B$29+'Inputs'!$B$31+'Inputs'!$B$32,'Inputs'!$B$30+'Inputs'!$B$31+'Inputs'!$B$32)/1000+'Inputs'!$B$21))/SQRT((((51-43)*MAX('Inputs'!$B$33,'Inputs'!$B$29+'Inputs'!$B$31+'Inputs'!$B$32,'Inputs'!$B$30+'Inputs'!$B$31+'Inputs'!$B$32)/1000+'Inputs'!$B$21))^2+('Inputs'!$B$8/2)^2)))-'Results'!B7*(1+'Inputs'!$B$24)*(0.5*((((51-43)*MAX('Inputs'!$B$33,'Inputs'!$B$29+'Inputs'!$B$31+'Inputs'!$B$32,'Inputs'!$B$30+'Inputs'!$B$31+'Inputs'!$B$32)/1000+'Inputs'!$B$21+'Inputs'!$B$9+'Inputs'!$B$10)+'Inputs'!$B$7)/SQRT((((51-43)*MAX('Inputs'!$B$33,'Inputs'!$B$29+'Inputs'!$B$31+'Inputs'!$B$32,'Inputs'!$B$30+'Inputs'!$B$31+'Inputs'!$B$32)/1000+'Inputs'!$B$21+'Inputs'!$B$9+'Inputs'!$B$10)+'Inputs'!$B$7)^2+('Inputs'!$B$6/2)^2)-(((51-43)*MAX('Inputs'!$B$33,'Inputs'!$B$29+'Inputs'!$B$31+'Inputs'!$B$32,'Inputs'!$B$30+'Inputs'!$B$31+'Inputs'!$B$32)/1000+'Inputs'!$B$21+'Inputs'!$B$9+'Inputs'!$B$10))/SQRT((((51-43)*MAX('Inputs'!$B$33,'Inputs'!$B$29+'Inputs'!$B$31+'Inputs'!$B$32,'Inputs'!$B$30+'Inputs'!$B$31+'Inputs'!$B$32)/1000+'Inputs'!$B$21+'Inputs'!$B$9+'Inputs'!$B$10))^2+('Inputs'!$B$6/2)^2))))*'Results'!$B$8))),"")</x:f>
        <x:v>1710.4412483854933</x:v>
      </x:c>
      <x:c r="O51" t="n">
        <x:f>IF(AND(ISNUMBER('Results'!C7),ISNUMBER('Results'!B7),ISNUMBER('Results'!$B$8),ISNUMBER('Inputs'!$B$6),ISNUMBER('Inputs'!$B$7),ISNUMBER('Inputs'!$B$8),ISNUMBER('Inputs'!$B$9),ISNUMBER('Inputs'!$B$10),ISNUMBER('Inputs'!$B$21),ISNUMBER('Inputs'!$B$24),ISNUMBER('Inputs'!$B$28)),((('Results'!C7*(1+'Inputs'!$B$24)*(0.5*((((51-43)*MAX('Inputs'!$B$33,'Inputs'!$B$29+'Inputs'!$B$31+'Inputs'!$B$32,'Inputs'!$B$30+'Inputs'!$B$31+'Inputs'!$B$32)/1000+'Inputs'!$B$21)+'Inputs'!$B$9)/SQRT((((51-43)*MAX('Inputs'!$B$33,'Inputs'!$B$29+'Inputs'!$B$31+'Inputs'!$B$32,'Inputs'!$B$30+'Inputs'!$B$31+'Inputs'!$B$32)/1000+'Inputs'!$B$21)+'Inputs'!$B$9)^2+('Inputs'!$B$8/2)^2)-(((51-43)*MAX('Inputs'!$B$33,'Inputs'!$B$29+'Inputs'!$B$31+'Inputs'!$B$32,'Inputs'!$B$30+'Inputs'!$B$31+'Inputs'!$B$32)/1000+'Inputs'!$B$21))/SQRT((((51-43)*MAX('Inputs'!$B$33,'Inputs'!$B$29+'Inputs'!$B$31+'Inputs'!$B$32,'Inputs'!$B$30+'Inputs'!$B$31+'Inputs'!$B$32)/1000+'Inputs'!$B$21))^2+('Inputs'!$B$8/2)^2)))-'Results'!B7*(1-'Inputs'!$B$24)*(0.5*((((51-43)*MAX('Inputs'!$B$33,'Inputs'!$B$29+'Inputs'!$B$31+'Inputs'!$B$32,'Inputs'!$B$30+'Inputs'!$B$31+'Inputs'!$B$32)/1000+'Inputs'!$B$21+'Inputs'!$B$9+'Inputs'!$B$10)+'Inputs'!$B$7)/SQRT((((51-43)*MAX('Inputs'!$B$33,'Inputs'!$B$29+'Inputs'!$B$31+'Inputs'!$B$32,'Inputs'!$B$30+'Inputs'!$B$31+'Inputs'!$B$32)/1000+'Inputs'!$B$21+'Inputs'!$B$9+'Inputs'!$B$10)+'Inputs'!$B$7)^2+('Inputs'!$B$6/2)^2)-(((51-43)*MAX('Inputs'!$B$33,'Inputs'!$B$29+'Inputs'!$B$31+'Inputs'!$B$32,'Inputs'!$B$30+'Inputs'!$B$31+'Inputs'!$B$32)/1000+'Inputs'!$B$21+'Inputs'!$B$9+'Inputs'!$B$10))/SQRT((((51-43)*MAX('Inputs'!$B$33,'Inputs'!$B$29+'Inputs'!$B$31+'Inputs'!$B$32,'Inputs'!$B$30+'Inputs'!$B$31+'Inputs'!$B$32)/1000+'Inputs'!$B$21+'Inputs'!$B$9+'Inputs'!$B$10))^2+('Inputs'!$B$6/2)^2))))*'Results'!$B$8)+'Inputs'!$B$28*ABS((('Results'!C7*(1+'Inputs'!$B$24)*(0.5*((((51-43)*MAX('Inputs'!$B$33,'Inputs'!$B$29+'Inputs'!$B$31+'Inputs'!$B$32,'Inputs'!$B$30+'Inputs'!$B$31+'Inputs'!$B$32)/1000+'Inputs'!$B$21)+'Inputs'!$B$9)/SQRT((((51-43)*MAX('Inputs'!$B$33,'Inputs'!$B$29+'Inputs'!$B$31+'Inputs'!$B$32,'Inputs'!$B$30+'Inputs'!$B$31+'Inputs'!$B$32)/1000+'Inputs'!$B$21)+'Inputs'!$B$9)^2+('Inputs'!$B$8/2)^2)-(((51-43)*MAX('Inputs'!$B$33,'Inputs'!$B$29+'Inputs'!$B$31+'Inputs'!$B$32,'Inputs'!$B$30+'Inputs'!$B$31+'Inputs'!$B$32)/1000+'Inputs'!$B$21))/SQRT((((51-43)*MAX('Inputs'!$B$33,'Inputs'!$B$29+'Inputs'!$B$31+'Inputs'!$B$32,'Inputs'!$B$30+'Inputs'!$B$31+'Inputs'!$B$32)/1000+'Inputs'!$B$21))^2+('Inputs'!$B$8/2)^2)))-'Results'!B7*(1-'Inputs'!$B$24)*(0.5*((((51-43)*MAX('Inputs'!$B$33,'Inputs'!$B$29+'Inputs'!$B$31+'Inputs'!$B$32,'Inputs'!$B$30+'Inputs'!$B$31+'Inputs'!$B$32)/1000+'Inputs'!$B$21+'Inputs'!$B$9+'Inputs'!$B$10)+'Inputs'!$B$7)/SQRT((((51-43)*MAX('Inputs'!$B$33,'Inputs'!$B$29+'Inputs'!$B$31+'Inputs'!$B$32,'Inputs'!$B$30+'Inputs'!$B$31+'Inputs'!$B$32)/1000+'Inputs'!$B$21+'Inputs'!$B$9+'Inputs'!$B$10)+'Inputs'!$B$7)^2+('Inputs'!$B$6/2)^2)-(((51-43)*MAX('Inputs'!$B$33,'Inputs'!$B$29+'Inputs'!$B$31+'Inputs'!$B$32,'Inputs'!$B$30+'Inputs'!$B$31+'Inputs'!$B$32)/1000+'Inputs'!$B$21+'Inputs'!$B$9+'Inputs'!$B$10))/SQRT((((51-43)*MAX('Inputs'!$B$33,'Inputs'!$B$29+'Inputs'!$B$31+'Inputs'!$B$32,'Inputs'!$B$30+'Inputs'!$B$31+'Inputs'!$B$32)/1000+'Inputs'!$B$21+'Inputs'!$B$9+'Inputs'!$B$10))^2+('Inputs'!$B$6/2)^2))))*'Results'!$B$8))),"")</x:f>
        <x:v>1994.471616126122</x:v>
      </x:c>
      <x:c r="P51" t="n">
        <x:f>IF(AND(MAX(J51,J50)&gt;0,J51&gt;J50+0.00000001),1,0)</x:f>
        <x:v>0</x:v>
      </x:c>
      <x:c r="Q51" t="n">
        <x:f>IF(AND(MAX(K51,K50)&gt;0,K51&gt;K50+0.00000001),1,0)</x:f>
        <x:v>0</x:v>
      </x:c>
      <x:c r="R51" t="n">
        <x:f>IF(AND(MAX(L51,L50)&gt;0,L51&gt;L50+0.00000001),1,0)</x:f>
        <x:v>0</x:v>
      </x:c>
      <x:c r="S51" t="n">
        <x:f>IF(AND(MAX(M51,M50)&gt;0,M51&gt;M50+0.00000001),1,0)</x:f>
        <x:v>0</x:v>
      </x:c>
      <x:c r="T51" t="n">
        <x:f>IF(AND(MAX(N51,N50)&gt;0,N51&gt;N50+0.00000001),1,0)</x:f>
        <x:v>0</x:v>
      </x:c>
      <x:c r="U51" t="n">
        <x:f>IF(AND(MAX(O51,O50)&gt;0,O51&gt;O50+0.00000001),1,0)</x:f>
        <x:v>0</x:v>
      </x:c>
    </x:row>
    <x:row r="52">
      <x:c r="J52" t="n">
        <x:f>IF(AND(ISNUMBER('Results'!B7),ISNUMBER('Results'!C7),ISNUMBER('Results'!$B$8),ISNUMBER('Inputs'!$B$6),ISNUMBER('Inputs'!$B$7),ISNUMBER('Inputs'!$B$8),ISNUMBER('Inputs'!$B$9),ISNUMBER('Inputs'!$B$10),ISNUMBER('Inputs'!$B$21),ISNUMBER('Inputs'!$B$24),ISNUMBER('Inputs'!$B$28)),(('Results'!B7*(0.5*((((52-43)*MAX('Inputs'!$B$33,'Inputs'!$B$29+'Inputs'!$B$31+'Inputs'!$B$32,'Inputs'!$B$30+'Inputs'!$B$31+'Inputs'!$B$32)/1000+'Inputs'!$B$21)+'Inputs'!$B$7)/SQRT((((52-43)*MAX('Inputs'!$B$33,'Inputs'!$B$29+'Inputs'!$B$31+'Inputs'!$B$32,'Inputs'!$B$30+'Inputs'!$B$31+'Inputs'!$B$32)/1000+'Inputs'!$B$21)+'Inputs'!$B$7)^2+('Inputs'!$B$6/2)^2)-(((52-43)*MAX('Inputs'!$B$33,'Inputs'!$B$29+'Inputs'!$B$31+'Inputs'!$B$32,'Inputs'!$B$30+'Inputs'!$B$31+'Inputs'!$B$32)/1000+'Inputs'!$B$21))/SQRT((((52-43)*MAX('Inputs'!$B$33,'Inputs'!$B$29+'Inputs'!$B$31+'Inputs'!$B$32,'Inputs'!$B$30+'Inputs'!$B$31+'Inputs'!$B$32)/1000+'Inputs'!$B$21))^2+('Inputs'!$B$6/2)^2)))-'Results'!C7*(0.5*((((52-43)*MAX('Inputs'!$B$33,'Inputs'!$B$29+'Inputs'!$B$31+'Inputs'!$B$32,'Inputs'!$B$30+'Inputs'!$B$31+'Inputs'!$B$32)/1000+'Inputs'!$B$21+'Inputs'!$B$7+'Inputs'!$B$10)+'Inputs'!$B$9)/SQRT((((52-43)*MAX('Inputs'!$B$33,'Inputs'!$B$29+'Inputs'!$B$31+'Inputs'!$B$32,'Inputs'!$B$30+'Inputs'!$B$31+'Inputs'!$B$32)/1000+'Inputs'!$B$21+'Inputs'!$B$7+'Inputs'!$B$10)+'Inputs'!$B$9)^2+('Inputs'!$B$8/2)^2)-(((52-43)*MAX('Inputs'!$B$33,'Inputs'!$B$29+'Inputs'!$B$31+'Inputs'!$B$32,'Inputs'!$B$30+'Inputs'!$B$31+'Inputs'!$B$32)/1000+'Inputs'!$B$21+'Inputs'!$B$7+'Inputs'!$B$10))/SQRT((((52-43)*MAX('Inputs'!$B$33,'Inputs'!$B$29+'Inputs'!$B$31+'Inputs'!$B$32,'Inputs'!$B$30+'Inputs'!$B$31+'Inputs'!$B$32)/1000+'Inputs'!$B$21+'Inputs'!$B$7+'Inputs'!$B$10))^2+('Inputs'!$B$8/2)^2))))*'Results'!$B$8),"")</x:f>
        <x:v>1881.2658430625045</x:v>
      </x:c>
      <x:c r="K52" t="n">
        <x:f>IF(AND(ISNUMBER('Results'!B7),ISNUMBER('Results'!C7),ISNUMBER('Results'!$B$8),ISNUMBER('Inputs'!$B$6),ISNUMBER('Inputs'!$B$7),ISNUMBER('Inputs'!$B$8),ISNUMBER('Inputs'!$B$9),ISNUMBER('Inputs'!$B$10),ISNUMBER('Inputs'!$B$21),ISNUMBER('Inputs'!$B$24),ISNUMBER('Inputs'!$B$28)),((('Results'!B7*(1-'Inputs'!$B$24)*(0.5*((((52-43)*MAX('Inputs'!$B$33,'Inputs'!$B$29+'Inputs'!$B$31+'Inputs'!$B$32,'Inputs'!$B$30+'Inputs'!$B$31+'Inputs'!$B$32)/1000+'Inputs'!$B$21)+'Inputs'!$B$7)/SQRT((((52-43)*MAX('Inputs'!$B$33,'Inputs'!$B$29+'Inputs'!$B$31+'Inputs'!$B$32,'Inputs'!$B$30+'Inputs'!$B$31+'Inputs'!$B$32)/1000+'Inputs'!$B$21)+'Inputs'!$B$7)^2+('Inputs'!$B$6/2)^2)-(((52-43)*MAX('Inputs'!$B$33,'Inputs'!$B$29+'Inputs'!$B$31+'Inputs'!$B$32,'Inputs'!$B$30+'Inputs'!$B$31+'Inputs'!$B$32)/1000+'Inputs'!$B$21))/SQRT((((52-43)*MAX('Inputs'!$B$33,'Inputs'!$B$29+'Inputs'!$B$31+'Inputs'!$B$32,'Inputs'!$B$30+'Inputs'!$B$31+'Inputs'!$B$32)/1000+'Inputs'!$B$21))^2+('Inputs'!$B$6/2)^2)))-'Results'!C7*(1+'Inputs'!$B$24)*(0.5*((((52-43)*MAX('Inputs'!$B$33,'Inputs'!$B$29+'Inputs'!$B$31+'Inputs'!$B$32,'Inputs'!$B$30+'Inputs'!$B$31+'Inputs'!$B$32)/1000+'Inputs'!$B$21+'Inputs'!$B$7+'Inputs'!$B$10)+'Inputs'!$B$9)/SQRT((((52-43)*MAX('Inputs'!$B$33,'Inputs'!$B$29+'Inputs'!$B$31+'Inputs'!$B$32,'Inputs'!$B$30+'Inputs'!$B$31+'Inputs'!$B$32)/1000+'Inputs'!$B$21+'Inputs'!$B$7+'Inputs'!$B$10)+'Inputs'!$B$9)^2+('Inputs'!$B$8/2)^2)-(((52-43)*MAX('Inputs'!$B$33,'Inputs'!$B$29+'Inputs'!$B$31+'Inputs'!$B$32,'Inputs'!$B$30+'Inputs'!$B$31+'Inputs'!$B$32)/1000+'Inputs'!$B$21+'Inputs'!$B$7+'Inputs'!$B$10))/SQRT((((52-43)*MAX('Inputs'!$B$33,'Inputs'!$B$29+'Inputs'!$B$31+'Inputs'!$B$32,'Inputs'!$B$30+'Inputs'!$B$31+'Inputs'!$B$32)/1000+'Inputs'!$B$21+'Inputs'!$B$7+'Inputs'!$B$10))^2+('Inputs'!$B$8/2)^2))))*'Results'!$B$8)-'Inputs'!$B$28*ABS((('Results'!B7*(1-'Inputs'!$B$24)*(0.5*((((52-43)*MAX('Inputs'!$B$33,'Inputs'!$B$29+'Inputs'!$B$31+'Inputs'!$B$32,'Inputs'!$B$30+'Inputs'!$B$31+'Inputs'!$B$32)/1000+'Inputs'!$B$21)+'Inputs'!$B$7)/SQRT((((52-43)*MAX('Inputs'!$B$33,'Inputs'!$B$29+'Inputs'!$B$31+'Inputs'!$B$32,'Inputs'!$B$30+'Inputs'!$B$31+'Inputs'!$B$32)/1000+'Inputs'!$B$21)+'Inputs'!$B$7)^2+('Inputs'!$B$6/2)^2)-(((52-43)*MAX('Inputs'!$B$33,'Inputs'!$B$29+'Inputs'!$B$31+'Inputs'!$B$32,'Inputs'!$B$30+'Inputs'!$B$31+'Inputs'!$B$32)/1000+'Inputs'!$B$21))/SQRT((((52-43)*MAX('Inputs'!$B$33,'Inputs'!$B$29+'Inputs'!$B$31+'Inputs'!$B$32,'Inputs'!$B$30+'Inputs'!$B$31+'Inputs'!$B$32)/1000+'Inputs'!$B$21))^2+('Inputs'!$B$6/2)^2)))-'Results'!C7*(1+'Inputs'!$B$24)*(0.5*((((52-43)*MAX('Inputs'!$B$33,'Inputs'!$B$29+'Inputs'!$B$31+'Inputs'!$B$32,'Inputs'!$B$30+'Inputs'!$B$31+'Inputs'!$B$32)/1000+'Inputs'!$B$21+'Inputs'!$B$7+'Inputs'!$B$10)+'Inputs'!$B$9)/SQRT((((52-43)*MAX('Inputs'!$B$33,'Inputs'!$B$29+'Inputs'!$B$31+'Inputs'!$B$32,'Inputs'!$B$30+'Inputs'!$B$31+'Inputs'!$B$32)/1000+'Inputs'!$B$21+'Inputs'!$B$7+'Inputs'!$B$10)+'Inputs'!$B$9)^2+('Inputs'!$B$8/2)^2)-(((52-43)*MAX('Inputs'!$B$33,'Inputs'!$B$29+'Inputs'!$B$31+'Inputs'!$B$32,'Inputs'!$B$30+'Inputs'!$B$31+'Inputs'!$B$32)/1000+'Inputs'!$B$21+'Inputs'!$B$7+'Inputs'!$B$10))/SQRT((((52-43)*MAX('Inputs'!$B$33,'Inputs'!$B$29+'Inputs'!$B$31+'Inputs'!$B$32,'Inputs'!$B$30+'Inputs'!$B$31+'Inputs'!$B$32)/1000+'Inputs'!$B$21+'Inputs'!$B$7+'Inputs'!$B$10))^2+('Inputs'!$B$8/2)^2))))*'Results'!$B$8))),"")</x:f>
        <x:v>1739.9924369256116</x:v>
      </x:c>
      <x:c r="L52" t="n">
        <x:f>IF(AND(ISNUMBER('Results'!B7),ISNUMBER('Results'!C7),ISNUMBER('Results'!$B$8),ISNUMBER('Inputs'!$B$6),ISNUMBER('Inputs'!$B$7),ISNUMBER('Inputs'!$B$8),ISNUMBER('Inputs'!$B$9),ISNUMBER('Inputs'!$B$10),ISNUMBER('Inputs'!$B$21),ISNUMBER('Inputs'!$B$24),ISNUMBER('Inputs'!$B$28)),((('Results'!B7*(1+'Inputs'!$B$24)*(0.5*((((52-43)*MAX('Inputs'!$B$33,'Inputs'!$B$29+'Inputs'!$B$31+'Inputs'!$B$32,'Inputs'!$B$30+'Inputs'!$B$31+'Inputs'!$B$32)/1000+'Inputs'!$B$21)+'Inputs'!$B$7)/SQRT((((52-43)*MAX('Inputs'!$B$33,'Inputs'!$B$29+'Inputs'!$B$31+'Inputs'!$B$32,'Inputs'!$B$30+'Inputs'!$B$31+'Inputs'!$B$32)/1000+'Inputs'!$B$21)+'Inputs'!$B$7)^2+('Inputs'!$B$6/2)^2)-(((52-43)*MAX('Inputs'!$B$33,'Inputs'!$B$29+'Inputs'!$B$31+'Inputs'!$B$32,'Inputs'!$B$30+'Inputs'!$B$31+'Inputs'!$B$32)/1000+'Inputs'!$B$21))/SQRT((((52-43)*MAX('Inputs'!$B$33,'Inputs'!$B$29+'Inputs'!$B$31+'Inputs'!$B$32,'Inputs'!$B$30+'Inputs'!$B$31+'Inputs'!$B$32)/1000+'Inputs'!$B$21))^2+('Inputs'!$B$6/2)^2)))-'Results'!C7*(1-'Inputs'!$B$24)*(0.5*((((52-43)*MAX('Inputs'!$B$33,'Inputs'!$B$29+'Inputs'!$B$31+'Inputs'!$B$32,'Inputs'!$B$30+'Inputs'!$B$31+'Inputs'!$B$32)/1000+'Inputs'!$B$21+'Inputs'!$B$7+'Inputs'!$B$10)+'Inputs'!$B$9)/SQRT((((52-43)*MAX('Inputs'!$B$33,'Inputs'!$B$29+'Inputs'!$B$31+'Inputs'!$B$32,'Inputs'!$B$30+'Inputs'!$B$31+'Inputs'!$B$32)/1000+'Inputs'!$B$21+'Inputs'!$B$7+'Inputs'!$B$10)+'Inputs'!$B$9)^2+('Inputs'!$B$8/2)^2)-(((52-43)*MAX('Inputs'!$B$33,'Inputs'!$B$29+'Inputs'!$B$31+'Inputs'!$B$32,'Inputs'!$B$30+'Inputs'!$B$31+'Inputs'!$B$32)/1000+'Inputs'!$B$21+'Inputs'!$B$7+'Inputs'!$B$10))/SQRT((((52-43)*MAX('Inputs'!$B$33,'Inputs'!$B$29+'Inputs'!$B$31+'Inputs'!$B$32,'Inputs'!$B$30+'Inputs'!$B$31+'Inputs'!$B$32)/1000+'Inputs'!$B$21+'Inputs'!$B$7+'Inputs'!$B$10))^2+('Inputs'!$B$8/2)^2))))*'Results'!$B$8)+'Inputs'!$B$28*ABS((('Results'!B7*(1+'Inputs'!$B$24)*(0.5*((((52-43)*MAX('Inputs'!$B$33,'Inputs'!$B$29+'Inputs'!$B$31+'Inputs'!$B$32,'Inputs'!$B$30+'Inputs'!$B$31+'Inputs'!$B$32)/1000+'Inputs'!$B$21)+'Inputs'!$B$7)/SQRT((((52-43)*MAX('Inputs'!$B$33,'Inputs'!$B$29+'Inputs'!$B$31+'Inputs'!$B$32,'Inputs'!$B$30+'Inputs'!$B$31+'Inputs'!$B$32)/1000+'Inputs'!$B$21)+'Inputs'!$B$7)^2+('Inputs'!$B$6/2)^2)-(((52-43)*MAX('Inputs'!$B$33,'Inputs'!$B$29+'Inputs'!$B$31+'Inputs'!$B$32,'Inputs'!$B$30+'Inputs'!$B$31+'Inputs'!$B$32)/1000+'Inputs'!$B$21))/SQRT((((52-43)*MAX('Inputs'!$B$33,'Inputs'!$B$29+'Inputs'!$B$31+'Inputs'!$B$32,'Inputs'!$B$30+'Inputs'!$B$31+'Inputs'!$B$32)/1000+'Inputs'!$B$21))^2+('Inputs'!$B$6/2)^2)))-'Results'!C7*(1-'Inputs'!$B$24)*(0.5*((((52-43)*MAX('Inputs'!$B$33,'Inputs'!$B$29+'Inputs'!$B$31+'Inputs'!$B$32,'Inputs'!$B$30+'Inputs'!$B$31+'Inputs'!$B$32)/1000+'Inputs'!$B$21+'Inputs'!$B$7+'Inputs'!$B$10)+'Inputs'!$B$9)/SQRT((((52-43)*MAX('Inputs'!$B$33,'Inputs'!$B$29+'Inputs'!$B$31+'Inputs'!$B$32,'Inputs'!$B$30+'Inputs'!$B$31+'Inputs'!$B$32)/1000+'Inputs'!$B$21+'Inputs'!$B$7+'Inputs'!$B$10)+'Inputs'!$B$9)^2+('Inputs'!$B$8/2)^2)-(((52-43)*MAX('Inputs'!$B$33,'Inputs'!$B$29+'Inputs'!$B$31+'Inputs'!$B$32,'Inputs'!$B$30+'Inputs'!$B$31+'Inputs'!$B$32)/1000+'Inputs'!$B$21+'Inputs'!$B$7+'Inputs'!$B$10))/SQRT((((52-43)*MAX('Inputs'!$B$33,'Inputs'!$B$29+'Inputs'!$B$31+'Inputs'!$B$32,'Inputs'!$B$30+'Inputs'!$B$31+'Inputs'!$B$32)/1000+'Inputs'!$B$21+'Inputs'!$B$7+'Inputs'!$B$10))^2+('Inputs'!$B$8/2)^2))))*'Results'!$B$8))),"")</x:f>
        <x:v>2027.508734881899</x:v>
      </x:c>
      <x:c r="M52" t="n">
        <x:f>IF(AND(ISNUMBER('Results'!C7),ISNUMBER('Results'!B7),ISNUMBER('Results'!$B$8),ISNUMBER('Inputs'!$B$6),ISNUMBER('Inputs'!$B$7),ISNUMBER('Inputs'!$B$8),ISNUMBER('Inputs'!$B$9),ISNUMBER('Inputs'!$B$10),ISNUMBER('Inputs'!$B$21),ISNUMBER('Inputs'!$B$24),ISNUMBER('Inputs'!$B$28)),(('Results'!C7*(0.5*((((52-43)*MAX('Inputs'!$B$33,'Inputs'!$B$29+'Inputs'!$B$31+'Inputs'!$B$32,'Inputs'!$B$30+'Inputs'!$B$31+'Inputs'!$B$32)/1000+'Inputs'!$B$21)+'Inputs'!$B$9)/SQRT((((52-43)*MAX('Inputs'!$B$33,'Inputs'!$B$29+'Inputs'!$B$31+'Inputs'!$B$32,'Inputs'!$B$30+'Inputs'!$B$31+'Inputs'!$B$32)/1000+'Inputs'!$B$21)+'Inputs'!$B$9)^2+('Inputs'!$B$8/2)^2)-(((52-43)*MAX('Inputs'!$B$33,'Inputs'!$B$29+'Inputs'!$B$31+'Inputs'!$B$32,'Inputs'!$B$30+'Inputs'!$B$31+'Inputs'!$B$32)/1000+'Inputs'!$B$21))/SQRT((((52-43)*MAX('Inputs'!$B$33,'Inputs'!$B$29+'Inputs'!$B$31+'Inputs'!$B$32,'Inputs'!$B$30+'Inputs'!$B$31+'Inputs'!$B$32)/1000+'Inputs'!$B$21))^2+('Inputs'!$B$8/2)^2)))-'Results'!B7*(0.5*((((52-43)*MAX('Inputs'!$B$33,'Inputs'!$B$29+'Inputs'!$B$31+'Inputs'!$B$32,'Inputs'!$B$30+'Inputs'!$B$31+'Inputs'!$B$32)/1000+'Inputs'!$B$21+'Inputs'!$B$9+'Inputs'!$B$10)+'Inputs'!$B$7)/SQRT((((52-43)*MAX('Inputs'!$B$33,'Inputs'!$B$29+'Inputs'!$B$31+'Inputs'!$B$32,'Inputs'!$B$30+'Inputs'!$B$31+'Inputs'!$B$32)/1000+'Inputs'!$B$21+'Inputs'!$B$9+'Inputs'!$B$10)+'Inputs'!$B$7)^2+('Inputs'!$B$6/2)^2)-(((52-43)*MAX('Inputs'!$B$33,'Inputs'!$B$29+'Inputs'!$B$31+'Inputs'!$B$32,'Inputs'!$B$30+'Inputs'!$B$31+'Inputs'!$B$32)/1000+'Inputs'!$B$21+'Inputs'!$B$9+'Inputs'!$B$10))/SQRT((((52-43)*MAX('Inputs'!$B$33,'Inputs'!$B$29+'Inputs'!$B$31+'Inputs'!$B$32,'Inputs'!$B$30+'Inputs'!$B$31+'Inputs'!$B$32)/1000+'Inputs'!$B$21+'Inputs'!$B$9+'Inputs'!$B$10))^2+('Inputs'!$B$6/2)^2))))*'Results'!$B$8),"")</x:f>
        <x:v>1831.4478276664267</x:v>
      </x:c>
      <x:c r="N52" t="n">
        <x:f>IF(AND(ISNUMBER('Results'!C7),ISNUMBER('Results'!B7),ISNUMBER('Results'!$B$8),ISNUMBER('Inputs'!$B$6),ISNUMBER('Inputs'!$B$7),ISNUMBER('Inputs'!$B$8),ISNUMBER('Inputs'!$B$9),ISNUMBER('Inputs'!$B$10),ISNUMBER('Inputs'!$B$21),ISNUMBER('Inputs'!$B$24),ISNUMBER('Inputs'!$B$28)),((('Results'!C7*(1-'Inputs'!$B$24)*(0.5*((((52-43)*MAX('Inputs'!$B$33,'Inputs'!$B$29+'Inputs'!$B$31+'Inputs'!$B$32,'Inputs'!$B$30+'Inputs'!$B$31+'Inputs'!$B$32)/1000+'Inputs'!$B$21)+'Inputs'!$B$9)/SQRT((((52-43)*MAX('Inputs'!$B$33,'Inputs'!$B$29+'Inputs'!$B$31+'Inputs'!$B$32,'Inputs'!$B$30+'Inputs'!$B$31+'Inputs'!$B$32)/1000+'Inputs'!$B$21)+'Inputs'!$B$9)^2+('Inputs'!$B$8/2)^2)-(((52-43)*MAX('Inputs'!$B$33,'Inputs'!$B$29+'Inputs'!$B$31+'Inputs'!$B$32,'Inputs'!$B$30+'Inputs'!$B$31+'Inputs'!$B$32)/1000+'Inputs'!$B$21))/SQRT((((52-43)*MAX('Inputs'!$B$33,'Inputs'!$B$29+'Inputs'!$B$31+'Inputs'!$B$32,'Inputs'!$B$30+'Inputs'!$B$31+'Inputs'!$B$32)/1000+'Inputs'!$B$21))^2+('Inputs'!$B$8/2)^2)))-'Results'!B7*(1+'Inputs'!$B$24)*(0.5*((((52-43)*MAX('Inputs'!$B$33,'Inputs'!$B$29+'Inputs'!$B$31+'Inputs'!$B$32,'Inputs'!$B$30+'Inputs'!$B$31+'Inputs'!$B$32)/1000+'Inputs'!$B$21+'Inputs'!$B$9+'Inputs'!$B$10)+'Inputs'!$B$7)/SQRT((((52-43)*MAX('Inputs'!$B$33,'Inputs'!$B$29+'Inputs'!$B$31+'Inputs'!$B$32,'Inputs'!$B$30+'Inputs'!$B$31+'Inputs'!$B$32)/1000+'Inputs'!$B$21+'Inputs'!$B$9+'Inputs'!$B$10)+'Inputs'!$B$7)^2+('Inputs'!$B$6/2)^2)-(((52-43)*MAX('Inputs'!$B$33,'Inputs'!$B$29+'Inputs'!$B$31+'Inputs'!$B$32,'Inputs'!$B$30+'Inputs'!$B$31+'Inputs'!$B$32)/1000+'Inputs'!$B$21+'Inputs'!$B$9+'Inputs'!$B$10))/SQRT((((52-43)*MAX('Inputs'!$B$33,'Inputs'!$B$29+'Inputs'!$B$31+'Inputs'!$B$32,'Inputs'!$B$30+'Inputs'!$B$31+'Inputs'!$B$32)/1000+'Inputs'!$B$21+'Inputs'!$B$9+'Inputs'!$B$10))^2+('Inputs'!$B$6/2)^2))))*'Results'!$B$8)-'Inputs'!$B$28*ABS((('Results'!C7*(1-'Inputs'!$B$24)*(0.5*((((52-43)*MAX('Inputs'!$B$33,'Inputs'!$B$29+'Inputs'!$B$31+'Inputs'!$B$32,'Inputs'!$B$30+'Inputs'!$B$31+'Inputs'!$B$32)/1000+'Inputs'!$B$21)+'Inputs'!$B$9)/SQRT((((52-43)*MAX('Inputs'!$B$33,'Inputs'!$B$29+'Inputs'!$B$31+'Inputs'!$B$32,'Inputs'!$B$30+'Inputs'!$B$31+'Inputs'!$B$32)/1000+'Inputs'!$B$21)+'Inputs'!$B$9)^2+('Inputs'!$B$8/2)^2)-(((52-43)*MAX('Inputs'!$B$33,'Inputs'!$B$29+'Inputs'!$B$31+'Inputs'!$B$32,'Inputs'!$B$30+'Inputs'!$B$31+'Inputs'!$B$32)/1000+'Inputs'!$B$21))/SQRT((((52-43)*MAX('Inputs'!$B$33,'Inputs'!$B$29+'Inputs'!$B$31+'Inputs'!$B$32,'Inputs'!$B$30+'Inputs'!$B$31+'Inputs'!$B$32)/1000+'Inputs'!$B$21))^2+('Inputs'!$B$8/2)^2)))-'Results'!B7*(1+'Inputs'!$B$24)*(0.5*((((52-43)*MAX('Inputs'!$B$33,'Inputs'!$B$29+'Inputs'!$B$31+'Inputs'!$B$32,'Inputs'!$B$30+'Inputs'!$B$31+'Inputs'!$B$32)/1000+'Inputs'!$B$21+'Inputs'!$B$9+'Inputs'!$B$10)+'Inputs'!$B$7)/SQRT((((52-43)*MAX('Inputs'!$B$33,'Inputs'!$B$29+'Inputs'!$B$31+'Inputs'!$B$32,'Inputs'!$B$30+'Inputs'!$B$31+'Inputs'!$B$32)/1000+'Inputs'!$B$21+'Inputs'!$B$9+'Inputs'!$B$10)+'Inputs'!$B$7)^2+('Inputs'!$B$6/2)^2)-(((52-43)*MAX('Inputs'!$B$33,'Inputs'!$B$29+'Inputs'!$B$31+'Inputs'!$B$32,'Inputs'!$B$30+'Inputs'!$B$31+'Inputs'!$B$32)/1000+'Inputs'!$B$21+'Inputs'!$B$9+'Inputs'!$B$10))/SQRT((((52-43)*MAX('Inputs'!$B$33,'Inputs'!$B$29+'Inputs'!$B$31+'Inputs'!$B$32,'Inputs'!$B$30+'Inputs'!$B$31+'Inputs'!$B$32)/1000+'Inputs'!$B$21+'Inputs'!$B$9+'Inputs'!$B$10))^2+('Inputs'!$B$6/2)^2))))*'Results'!$B$8))),"")</x:f>
        <x:v>1693.3778633068512</x:v>
      </x:c>
      <x:c r="O52" t="n">
        <x:f>IF(AND(ISNUMBER('Results'!C7),ISNUMBER('Results'!B7),ISNUMBER('Results'!$B$8),ISNUMBER('Inputs'!$B$6),ISNUMBER('Inputs'!$B$7),ISNUMBER('Inputs'!$B$8),ISNUMBER('Inputs'!$B$9),ISNUMBER('Inputs'!$B$10),ISNUMBER('Inputs'!$B$21),ISNUMBER('Inputs'!$B$24),ISNUMBER('Inputs'!$B$28)),((('Results'!C7*(1+'Inputs'!$B$24)*(0.5*((((52-43)*MAX('Inputs'!$B$33,'Inputs'!$B$29+'Inputs'!$B$31+'Inputs'!$B$32,'Inputs'!$B$30+'Inputs'!$B$31+'Inputs'!$B$32)/1000+'Inputs'!$B$21)+'Inputs'!$B$9)/SQRT((((52-43)*MAX('Inputs'!$B$33,'Inputs'!$B$29+'Inputs'!$B$31+'Inputs'!$B$32,'Inputs'!$B$30+'Inputs'!$B$31+'Inputs'!$B$32)/1000+'Inputs'!$B$21)+'Inputs'!$B$9)^2+('Inputs'!$B$8/2)^2)-(((52-43)*MAX('Inputs'!$B$33,'Inputs'!$B$29+'Inputs'!$B$31+'Inputs'!$B$32,'Inputs'!$B$30+'Inputs'!$B$31+'Inputs'!$B$32)/1000+'Inputs'!$B$21))/SQRT((((52-43)*MAX('Inputs'!$B$33,'Inputs'!$B$29+'Inputs'!$B$31+'Inputs'!$B$32,'Inputs'!$B$30+'Inputs'!$B$31+'Inputs'!$B$32)/1000+'Inputs'!$B$21))^2+('Inputs'!$B$8/2)^2)))-'Results'!B7*(1-'Inputs'!$B$24)*(0.5*((((52-43)*MAX('Inputs'!$B$33,'Inputs'!$B$29+'Inputs'!$B$31+'Inputs'!$B$32,'Inputs'!$B$30+'Inputs'!$B$31+'Inputs'!$B$32)/1000+'Inputs'!$B$21+'Inputs'!$B$9+'Inputs'!$B$10)+'Inputs'!$B$7)/SQRT((((52-43)*MAX('Inputs'!$B$33,'Inputs'!$B$29+'Inputs'!$B$31+'Inputs'!$B$32,'Inputs'!$B$30+'Inputs'!$B$31+'Inputs'!$B$32)/1000+'Inputs'!$B$21+'Inputs'!$B$9+'Inputs'!$B$10)+'Inputs'!$B$7)^2+('Inputs'!$B$6/2)^2)-(((52-43)*MAX('Inputs'!$B$33,'Inputs'!$B$29+'Inputs'!$B$31+'Inputs'!$B$32,'Inputs'!$B$30+'Inputs'!$B$31+'Inputs'!$B$32)/1000+'Inputs'!$B$21+'Inputs'!$B$9+'Inputs'!$B$10))/SQRT((((52-43)*MAX('Inputs'!$B$33,'Inputs'!$B$29+'Inputs'!$B$31+'Inputs'!$B$32,'Inputs'!$B$30+'Inputs'!$B$31+'Inputs'!$B$32)/1000+'Inputs'!$B$21+'Inputs'!$B$9+'Inputs'!$B$10))^2+('Inputs'!$B$6/2)^2))))*'Results'!$B$8)+'Inputs'!$B$28*ABS((('Results'!C7*(1+'Inputs'!$B$24)*(0.5*((((52-43)*MAX('Inputs'!$B$33,'Inputs'!$B$29+'Inputs'!$B$31+'Inputs'!$B$32,'Inputs'!$B$30+'Inputs'!$B$31+'Inputs'!$B$32)/1000+'Inputs'!$B$21)+'Inputs'!$B$9)/SQRT((((52-43)*MAX('Inputs'!$B$33,'Inputs'!$B$29+'Inputs'!$B$31+'Inputs'!$B$32,'Inputs'!$B$30+'Inputs'!$B$31+'Inputs'!$B$32)/1000+'Inputs'!$B$21)+'Inputs'!$B$9)^2+('Inputs'!$B$8/2)^2)-(((52-43)*MAX('Inputs'!$B$33,'Inputs'!$B$29+'Inputs'!$B$31+'Inputs'!$B$32,'Inputs'!$B$30+'Inputs'!$B$31+'Inputs'!$B$32)/1000+'Inputs'!$B$21))/SQRT((((52-43)*MAX('Inputs'!$B$33,'Inputs'!$B$29+'Inputs'!$B$31+'Inputs'!$B$32,'Inputs'!$B$30+'Inputs'!$B$31+'Inputs'!$B$32)/1000+'Inputs'!$B$21))^2+('Inputs'!$B$8/2)^2)))-'Results'!B7*(1-'Inputs'!$B$24)*(0.5*((((52-43)*MAX('Inputs'!$B$33,'Inputs'!$B$29+'Inputs'!$B$31+'Inputs'!$B$32,'Inputs'!$B$30+'Inputs'!$B$31+'Inputs'!$B$32)/1000+'Inputs'!$B$21+'Inputs'!$B$9+'Inputs'!$B$10)+'Inputs'!$B$7)/SQRT((((52-43)*MAX('Inputs'!$B$33,'Inputs'!$B$29+'Inputs'!$B$31+'Inputs'!$B$32,'Inputs'!$B$30+'Inputs'!$B$31+'Inputs'!$B$32)/1000+'Inputs'!$B$21+'Inputs'!$B$9+'Inputs'!$B$10)+'Inputs'!$B$7)^2+('Inputs'!$B$6/2)^2)-(((52-43)*MAX('Inputs'!$B$33,'Inputs'!$B$29+'Inputs'!$B$31+'Inputs'!$B$32,'Inputs'!$B$30+'Inputs'!$B$31+'Inputs'!$B$32)/1000+'Inputs'!$B$21+'Inputs'!$B$9+'Inputs'!$B$10))/SQRT((((52-43)*MAX('Inputs'!$B$33,'Inputs'!$B$29+'Inputs'!$B$31+'Inputs'!$B$32,'Inputs'!$B$30+'Inputs'!$B$31+'Inputs'!$B$32)/1000+'Inputs'!$B$21+'Inputs'!$B$9+'Inputs'!$B$10))^2+('Inputs'!$B$6/2)^2))))*'Results'!$B$8))),"")</x:f>
        <x:v>1974.412273391924</x:v>
      </x:c>
      <x:c r="P52" t="n">
        <x:f>IF(AND(MAX(J52,J51)&gt;0,J52&gt;J51+0.00000001),1,0)</x:f>
        <x:v>0</x:v>
      </x:c>
      <x:c r="Q52" t="n">
        <x:f>IF(AND(MAX(K52,K51)&gt;0,K52&gt;K51+0.00000001),1,0)</x:f>
        <x:v>0</x:v>
      </x:c>
      <x:c r="R52" t="n">
        <x:f>IF(AND(MAX(L52,L51)&gt;0,L52&gt;L51+0.00000001),1,0)</x:f>
        <x:v>0</x:v>
      </x:c>
      <x:c r="S52" t="n">
        <x:f>IF(AND(MAX(M52,M51)&gt;0,M52&gt;M51+0.00000001),1,0)</x:f>
        <x:v>0</x:v>
      </x:c>
      <x:c r="T52" t="n">
        <x:f>IF(AND(MAX(N52,N51)&gt;0,N52&gt;N51+0.00000001),1,0)</x:f>
        <x:v>0</x:v>
      </x:c>
      <x:c r="U52" t="n">
        <x:f>IF(AND(MAX(O52,O51)&gt;0,O52&gt;O51+0.00000001),1,0)</x:f>
        <x:v>0</x:v>
      </x:c>
    </x:row>
    <x:row r="53">
      <x:c r="J53" t="n">
        <x:f>IF(AND(ISNUMBER('Results'!B7),ISNUMBER('Results'!C7),ISNUMBER('Results'!$B$8),ISNUMBER('Inputs'!$B$6),ISNUMBER('Inputs'!$B$7),ISNUMBER('Inputs'!$B$8),ISNUMBER('Inputs'!$B$9),ISNUMBER('Inputs'!$B$10),ISNUMBER('Inputs'!$B$21),ISNUMBER('Inputs'!$B$24),ISNUMBER('Inputs'!$B$28)),(('Results'!B7*(0.5*((((53-43)*MAX('Inputs'!$B$33,'Inputs'!$B$29+'Inputs'!$B$31+'Inputs'!$B$32,'Inputs'!$B$30+'Inputs'!$B$31+'Inputs'!$B$32)/1000+'Inputs'!$B$21)+'Inputs'!$B$7)/SQRT((((53-43)*MAX('Inputs'!$B$33,'Inputs'!$B$29+'Inputs'!$B$31+'Inputs'!$B$32,'Inputs'!$B$30+'Inputs'!$B$31+'Inputs'!$B$32)/1000+'Inputs'!$B$21)+'Inputs'!$B$7)^2+('Inputs'!$B$6/2)^2)-(((53-43)*MAX('Inputs'!$B$33,'Inputs'!$B$29+'Inputs'!$B$31+'Inputs'!$B$32,'Inputs'!$B$30+'Inputs'!$B$31+'Inputs'!$B$32)/1000+'Inputs'!$B$21))/SQRT((((53-43)*MAX('Inputs'!$B$33,'Inputs'!$B$29+'Inputs'!$B$31+'Inputs'!$B$32,'Inputs'!$B$30+'Inputs'!$B$31+'Inputs'!$B$32)/1000+'Inputs'!$B$21))^2+('Inputs'!$B$6/2)^2)))-'Results'!C7*(0.5*((((53-43)*MAX('Inputs'!$B$33,'Inputs'!$B$29+'Inputs'!$B$31+'Inputs'!$B$32,'Inputs'!$B$30+'Inputs'!$B$31+'Inputs'!$B$32)/1000+'Inputs'!$B$21+'Inputs'!$B$7+'Inputs'!$B$10)+'Inputs'!$B$9)/SQRT((((53-43)*MAX('Inputs'!$B$33,'Inputs'!$B$29+'Inputs'!$B$31+'Inputs'!$B$32,'Inputs'!$B$30+'Inputs'!$B$31+'Inputs'!$B$32)/1000+'Inputs'!$B$21+'Inputs'!$B$7+'Inputs'!$B$10)+'Inputs'!$B$9)^2+('Inputs'!$B$8/2)^2)-(((53-43)*MAX('Inputs'!$B$33,'Inputs'!$B$29+'Inputs'!$B$31+'Inputs'!$B$32,'Inputs'!$B$30+'Inputs'!$B$31+'Inputs'!$B$32)/1000+'Inputs'!$B$21+'Inputs'!$B$7+'Inputs'!$B$10))/SQRT((((53-43)*MAX('Inputs'!$B$33,'Inputs'!$B$29+'Inputs'!$B$31+'Inputs'!$B$32,'Inputs'!$B$30+'Inputs'!$B$31+'Inputs'!$B$32)/1000+'Inputs'!$B$21+'Inputs'!$B$7+'Inputs'!$B$10))^2+('Inputs'!$B$8/2)^2))))*'Results'!$B$8),"")</x:f>
        <x:v>1861.6344545436452</x:v>
      </x:c>
      <x:c r="K53" t="n">
        <x:f>IF(AND(ISNUMBER('Results'!B7),ISNUMBER('Results'!C7),ISNUMBER('Results'!$B$8),ISNUMBER('Inputs'!$B$6),ISNUMBER('Inputs'!$B$7),ISNUMBER('Inputs'!$B$8),ISNUMBER('Inputs'!$B$9),ISNUMBER('Inputs'!$B$10),ISNUMBER('Inputs'!$B$21),ISNUMBER('Inputs'!$B$24),ISNUMBER('Inputs'!$B$28)),((('Results'!B7*(1-'Inputs'!$B$24)*(0.5*((((53-43)*MAX('Inputs'!$B$33,'Inputs'!$B$29+'Inputs'!$B$31+'Inputs'!$B$32,'Inputs'!$B$30+'Inputs'!$B$31+'Inputs'!$B$32)/1000+'Inputs'!$B$21)+'Inputs'!$B$7)/SQRT((((53-43)*MAX('Inputs'!$B$33,'Inputs'!$B$29+'Inputs'!$B$31+'Inputs'!$B$32,'Inputs'!$B$30+'Inputs'!$B$31+'Inputs'!$B$32)/1000+'Inputs'!$B$21)+'Inputs'!$B$7)^2+('Inputs'!$B$6/2)^2)-(((53-43)*MAX('Inputs'!$B$33,'Inputs'!$B$29+'Inputs'!$B$31+'Inputs'!$B$32,'Inputs'!$B$30+'Inputs'!$B$31+'Inputs'!$B$32)/1000+'Inputs'!$B$21))/SQRT((((53-43)*MAX('Inputs'!$B$33,'Inputs'!$B$29+'Inputs'!$B$31+'Inputs'!$B$32,'Inputs'!$B$30+'Inputs'!$B$31+'Inputs'!$B$32)/1000+'Inputs'!$B$21))^2+('Inputs'!$B$6/2)^2)))-'Results'!C7*(1+'Inputs'!$B$24)*(0.5*((((53-43)*MAX('Inputs'!$B$33,'Inputs'!$B$29+'Inputs'!$B$31+'Inputs'!$B$32,'Inputs'!$B$30+'Inputs'!$B$31+'Inputs'!$B$32)/1000+'Inputs'!$B$21+'Inputs'!$B$7+'Inputs'!$B$10)+'Inputs'!$B$9)/SQRT((((53-43)*MAX('Inputs'!$B$33,'Inputs'!$B$29+'Inputs'!$B$31+'Inputs'!$B$32,'Inputs'!$B$30+'Inputs'!$B$31+'Inputs'!$B$32)/1000+'Inputs'!$B$21+'Inputs'!$B$7+'Inputs'!$B$10)+'Inputs'!$B$9)^2+('Inputs'!$B$8/2)^2)-(((53-43)*MAX('Inputs'!$B$33,'Inputs'!$B$29+'Inputs'!$B$31+'Inputs'!$B$32,'Inputs'!$B$30+'Inputs'!$B$31+'Inputs'!$B$32)/1000+'Inputs'!$B$21+'Inputs'!$B$7+'Inputs'!$B$10))/SQRT((((53-43)*MAX('Inputs'!$B$33,'Inputs'!$B$29+'Inputs'!$B$31+'Inputs'!$B$32,'Inputs'!$B$30+'Inputs'!$B$31+'Inputs'!$B$32)/1000+'Inputs'!$B$21+'Inputs'!$B$7+'Inputs'!$B$10))^2+('Inputs'!$B$8/2)^2))))*'Results'!$B$8)-'Inputs'!$B$28*ABS((('Results'!B7*(1-'Inputs'!$B$24)*(0.5*((((53-43)*MAX('Inputs'!$B$33,'Inputs'!$B$29+'Inputs'!$B$31+'Inputs'!$B$32,'Inputs'!$B$30+'Inputs'!$B$31+'Inputs'!$B$32)/1000+'Inputs'!$B$21)+'Inputs'!$B$7)/SQRT((((53-43)*MAX('Inputs'!$B$33,'Inputs'!$B$29+'Inputs'!$B$31+'Inputs'!$B$32,'Inputs'!$B$30+'Inputs'!$B$31+'Inputs'!$B$32)/1000+'Inputs'!$B$21)+'Inputs'!$B$7)^2+('Inputs'!$B$6/2)^2)-(((53-43)*MAX('Inputs'!$B$33,'Inputs'!$B$29+'Inputs'!$B$31+'Inputs'!$B$32,'Inputs'!$B$30+'Inputs'!$B$31+'Inputs'!$B$32)/1000+'Inputs'!$B$21))/SQRT((((53-43)*MAX('Inputs'!$B$33,'Inputs'!$B$29+'Inputs'!$B$31+'Inputs'!$B$32,'Inputs'!$B$30+'Inputs'!$B$31+'Inputs'!$B$32)/1000+'Inputs'!$B$21))^2+('Inputs'!$B$6/2)^2)))-'Results'!C7*(1+'Inputs'!$B$24)*(0.5*((((53-43)*MAX('Inputs'!$B$33,'Inputs'!$B$29+'Inputs'!$B$31+'Inputs'!$B$32,'Inputs'!$B$30+'Inputs'!$B$31+'Inputs'!$B$32)/1000+'Inputs'!$B$21+'Inputs'!$B$7+'Inputs'!$B$10)+'Inputs'!$B$9)/SQRT((((53-43)*MAX('Inputs'!$B$33,'Inputs'!$B$29+'Inputs'!$B$31+'Inputs'!$B$32,'Inputs'!$B$30+'Inputs'!$B$31+'Inputs'!$B$32)/1000+'Inputs'!$B$21+'Inputs'!$B$7+'Inputs'!$B$10)+'Inputs'!$B$9)^2+('Inputs'!$B$8/2)^2)-(((53-43)*MAX('Inputs'!$B$33,'Inputs'!$B$29+'Inputs'!$B$31+'Inputs'!$B$32,'Inputs'!$B$30+'Inputs'!$B$31+'Inputs'!$B$32)/1000+'Inputs'!$B$21+'Inputs'!$B$7+'Inputs'!$B$10))/SQRT((((53-43)*MAX('Inputs'!$B$33,'Inputs'!$B$29+'Inputs'!$B$31+'Inputs'!$B$32,'Inputs'!$B$30+'Inputs'!$B$31+'Inputs'!$B$32)/1000+'Inputs'!$B$21+'Inputs'!$B$7+'Inputs'!$B$10))^2+('Inputs'!$B$8/2)^2))))*'Results'!$B$8))),"")</x:f>
        <x:v>1721.8987877213945</x:v>
      </x:c>
      <x:c r="L53" t="n">
        <x:f>IF(AND(ISNUMBER('Results'!B7),ISNUMBER('Results'!C7),ISNUMBER('Results'!$B$8),ISNUMBER('Inputs'!$B$6),ISNUMBER('Inputs'!$B$7),ISNUMBER('Inputs'!$B$8),ISNUMBER('Inputs'!$B$9),ISNUMBER('Inputs'!$B$10),ISNUMBER('Inputs'!$B$21),ISNUMBER('Inputs'!$B$24),ISNUMBER('Inputs'!$B$28)),((('Results'!B7*(1+'Inputs'!$B$24)*(0.5*((((53-43)*MAX('Inputs'!$B$33,'Inputs'!$B$29+'Inputs'!$B$31+'Inputs'!$B$32,'Inputs'!$B$30+'Inputs'!$B$31+'Inputs'!$B$32)/1000+'Inputs'!$B$21)+'Inputs'!$B$7)/SQRT((((53-43)*MAX('Inputs'!$B$33,'Inputs'!$B$29+'Inputs'!$B$31+'Inputs'!$B$32,'Inputs'!$B$30+'Inputs'!$B$31+'Inputs'!$B$32)/1000+'Inputs'!$B$21)+'Inputs'!$B$7)^2+('Inputs'!$B$6/2)^2)-(((53-43)*MAX('Inputs'!$B$33,'Inputs'!$B$29+'Inputs'!$B$31+'Inputs'!$B$32,'Inputs'!$B$30+'Inputs'!$B$31+'Inputs'!$B$32)/1000+'Inputs'!$B$21))/SQRT((((53-43)*MAX('Inputs'!$B$33,'Inputs'!$B$29+'Inputs'!$B$31+'Inputs'!$B$32,'Inputs'!$B$30+'Inputs'!$B$31+'Inputs'!$B$32)/1000+'Inputs'!$B$21))^2+('Inputs'!$B$6/2)^2)))-'Results'!C7*(1-'Inputs'!$B$24)*(0.5*((((53-43)*MAX('Inputs'!$B$33,'Inputs'!$B$29+'Inputs'!$B$31+'Inputs'!$B$32,'Inputs'!$B$30+'Inputs'!$B$31+'Inputs'!$B$32)/1000+'Inputs'!$B$21+'Inputs'!$B$7+'Inputs'!$B$10)+'Inputs'!$B$9)/SQRT((((53-43)*MAX('Inputs'!$B$33,'Inputs'!$B$29+'Inputs'!$B$31+'Inputs'!$B$32,'Inputs'!$B$30+'Inputs'!$B$31+'Inputs'!$B$32)/1000+'Inputs'!$B$21+'Inputs'!$B$7+'Inputs'!$B$10)+'Inputs'!$B$9)^2+('Inputs'!$B$8/2)^2)-(((53-43)*MAX('Inputs'!$B$33,'Inputs'!$B$29+'Inputs'!$B$31+'Inputs'!$B$32,'Inputs'!$B$30+'Inputs'!$B$31+'Inputs'!$B$32)/1000+'Inputs'!$B$21+'Inputs'!$B$7+'Inputs'!$B$10))/SQRT((((53-43)*MAX('Inputs'!$B$33,'Inputs'!$B$29+'Inputs'!$B$31+'Inputs'!$B$32,'Inputs'!$B$30+'Inputs'!$B$31+'Inputs'!$B$32)/1000+'Inputs'!$B$21+'Inputs'!$B$7+'Inputs'!$B$10))^2+('Inputs'!$B$8/2)^2))))*'Results'!$B$8)+'Inputs'!$B$28*ABS((('Results'!B7*(1+'Inputs'!$B$24)*(0.5*((((53-43)*MAX('Inputs'!$B$33,'Inputs'!$B$29+'Inputs'!$B$31+'Inputs'!$B$32,'Inputs'!$B$30+'Inputs'!$B$31+'Inputs'!$B$32)/1000+'Inputs'!$B$21)+'Inputs'!$B$7)/SQRT((((53-43)*MAX('Inputs'!$B$33,'Inputs'!$B$29+'Inputs'!$B$31+'Inputs'!$B$32,'Inputs'!$B$30+'Inputs'!$B$31+'Inputs'!$B$32)/1000+'Inputs'!$B$21)+'Inputs'!$B$7)^2+('Inputs'!$B$6/2)^2)-(((53-43)*MAX('Inputs'!$B$33,'Inputs'!$B$29+'Inputs'!$B$31+'Inputs'!$B$32,'Inputs'!$B$30+'Inputs'!$B$31+'Inputs'!$B$32)/1000+'Inputs'!$B$21))/SQRT((((53-43)*MAX('Inputs'!$B$33,'Inputs'!$B$29+'Inputs'!$B$31+'Inputs'!$B$32,'Inputs'!$B$30+'Inputs'!$B$31+'Inputs'!$B$32)/1000+'Inputs'!$B$21))^2+('Inputs'!$B$6/2)^2)))-'Results'!C7*(1-'Inputs'!$B$24)*(0.5*((((53-43)*MAX('Inputs'!$B$33,'Inputs'!$B$29+'Inputs'!$B$31+'Inputs'!$B$32,'Inputs'!$B$30+'Inputs'!$B$31+'Inputs'!$B$32)/1000+'Inputs'!$B$21+'Inputs'!$B$7+'Inputs'!$B$10)+'Inputs'!$B$9)/SQRT((((53-43)*MAX('Inputs'!$B$33,'Inputs'!$B$29+'Inputs'!$B$31+'Inputs'!$B$32,'Inputs'!$B$30+'Inputs'!$B$31+'Inputs'!$B$32)/1000+'Inputs'!$B$21+'Inputs'!$B$7+'Inputs'!$B$10)+'Inputs'!$B$9)^2+('Inputs'!$B$8/2)^2)-(((53-43)*MAX('Inputs'!$B$33,'Inputs'!$B$29+'Inputs'!$B$31+'Inputs'!$B$32,'Inputs'!$B$30+'Inputs'!$B$31+'Inputs'!$B$32)/1000+'Inputs'!$B$21+'Inputs'!$B$7+'Inputs'!$B$10))/SQRT((((53-43)*MAX('Inputs'!$B$33,'Inputs'!$B$29+'Inputs'!$B$31+'Inputs'!$B$32,'Inputs'!$B$30+'Inputs'!$B$31+'Inputs'!$B$32)/1000+'Inputs'!$B$21+'Inputs'!$B$7+'Inputs'!$B$10))^2+('Inputs'!$B$8/2)^2))))*'Results'!$B$8))),"")</x:f>
        <x:v>2006.281062849587</x:v>
      </x:c>
      <x:c r="M53" t="n">
        <x:f>IF(AND(ISNUMBER('Results'!C7),ISNUMBER('Results'!B7),ISNUMBER('Results'!$B$8),ISNUMBER('Inputs'!$B$6),ISNUMBER('Inputs'!$B$7),ISNUMBER('Inputs'!$B$8),ISNUMBER('Inputs'!$B$9),ISNUMBER('Inputs'!$B$10),ISNUMBER('Inputs'!$B$21),ISNUMBER('Inputs'!$B$24),ISNUMBER('Inputs'!$B$28)),(('Results'!C7*(0.5*((((53-43)*MAX('Inputs'!$B$33,'Inputs'!$B$29+'Inputs'!$B$31+'Inputs'!$B$32,'Inputs'!$B$30+'Inputs'!$B$31+'Inputs'!$B$32)/1000+'Inputs'!$B$21)+'Inputs'!$B$9)/SQRT((((53-43)*MAX('Inputs'!$B$33,'Inputs'!$B$29+'Inputs'!$B$31+'Inputs'!$B$32,'Inputs'!$B$30+'Inputs'!$B$31+'Inputs'!$B$32)/1000+'Inputs'!$B$21)+'Inputs'!$B$9)^2+('Inputs'!$B$8/2)^2)-(((53-43)*MAX('Inputs'!$B$33,'Inputs'!$B$29+'Inputs'!$B$31+'Inputs'!$B$32,'Inputs'!$B$30+'Inputs'!$B$31+'Inputs'!$B$32)/1000+'Inputs'!$B$21))/SQRT((((53-43)*MAX('Inputs'!$B$33,'Inputs'!$B$29+'Inputs'!$B$31+'Inputs'!$B$32,'Inputs'!$B$30+'Inputs'!$B$31+'Inputs'!$B$32)/1000+'Inputs'!$B$21))^2+('Inputs'!$B$8/2)^2)))-'Results'!B7*(0.5*((((53-43)*MAX('Inputs'!$B$33,'Inputs'!$B$29+'Inputs'!$B$31+'Inputs'!$B$32,'Inputs'!$B$30+'Inputs'!$B$31+'Inputs'!$B$32)/1000+'Inputs'!$B$21+'Inputs'!$B$9+'Inputs'!$B$10)+'Inputs'!$B$7)/SQRT((((53-43)*MAX('Inputs'!$B$33,'Inputs'!$B$29+'Inputs'!$B$31+'Inputs'!$B$32,'Inputs'!$B$30+'Inputs'!$B$31+'Inputs'!$B$32)/1000+'Inputs'!$B$21+'Inputs'!$B$9+'Inputs'!$B$10)+'Inputs'!$B$7)^2+('Inputs'!$B$6/2)^2)-(((53-43)*MAX('Inputs'!$B$33,'Inputs'!$B$29+'Inputs'!$B$31+'Inputs'!$B$32,'Inputs'!$B$30+'Inputs'!$B$31+'Inputs'!$B$32)/1000+'Inputs'!$B$21+'Inputs'!$B$9+'Inputs'!$B$10))/SQRT((((53-43)*MAX('Inputs'!$B$33,'Inputs'!$B$29+'Inputs'!$B$31+'Inputs'!$B$32,'Inputs'!$B$30+'Inputs'!$B$31+'Inputs'!$B$32)/1000+'Inputs'!$B$21+'Inputs'!$B$9+'Inputs'!$B$10))^2+('Inputs'!$B$6/2)^2))))*'Results'!$B$8),"")</x:f>
        <x:v>1812.4038486276895</x:v>
      </x:c>
      <x:c r="N53" t="n">
        <x:f>IF(AND(ISNUMBER('Results'!C7),ISNUMBER('Results'!B7),ISNUMBER('Results'!$B$8),ISNUMBER('Inputs'!$B$6),ISNUMBER('Inputs'!$B$7),ISNUMBER('Inputs'!$B$8),ISNUMBER('Inputs'!$B$9),ISNUMBER('Inputs'!$B$10),ISNUMBER('Inputs'!$B$21),ISNUMBER('Inputs'!$B$24),ISNUMBER('Inputs'!$B$28)),((('Results'!C7*(1-'Inputs'!$B$24)*(0.5*((((53-43)*MAX('Inputs'!$B$33,'Inputs'!$B$29+'Inputs'!$B$31+'Inputs'!$B$32,'Inputs'!$B$30+'Inputs'!$B$31+'Inputs'!$B$32)/1000+'Inputs'!$B$21)+'Inputs'!$B$9)/SQRT((((53-43)*MAX('Inputs'!$B$33,'Inputs'!$B$29+'Inputs'!$B$31+'Inputs'!$B$32,'Inputs'!$B$30+'Inputs'!$B$31+'Inputs'!$B$32)/1000+'Inputs'!$B$21)+'Inputs'!$B$9)^2+('Inputs'!$B$8/2)^2)-(((53-43)*MAX('Inputs'!$B$33,'Inputs'!$B$29+'Inputs'!$B$31+'Inputs'!$B$32,'Inputs'!$B$30+'Inputs'!$B$31+'Inputs'!$B$32)/1000+'Inputs'!$B$21))/SQRT((((53-43)*MAX('Inputs'!$B$33,'Inputs'!$B$29+'Inputs'!$B$31+'Inputs'!$B$32,'Inputs'!$B$30+'Inputs'!$B$31+'Inputs'!$B$32)/1000+'Inputs'!$B$21))^2+('Inputs'!$B$8/2)^2)))-'Results'!B7*(1+'Inputs'!$B$24)*(0.5*((((53-43)*MAX('Inputs'!$B$33,'Inputs'!$B$29+'Inputs'!$B$31+'Inputs'!$B$32,'Inputs'!$B$30+'Inputs'!$B$31+'Inputs'!$B$32)/1000+'Inputs'!$B$21+'Inputs'!$B$9+'Inputs'!$B$10)+'Inputs'!$B$7)/SQRT((((53-43)*MAX('Inputs'!$B$33,'Inputs'!$B$29+'Inputs'!$B$31+'Inputs'!$B$32,'Inputs'!$B$30+'Inputs'!$B$31+'Inputs'!$B$32)/1000+'Inputs'!$B$21+'Inputs'!$B$9+'Inputs'!$B$10)+'Inputs'!$B$7)^2+('Inputs'!$B$6/2)^2)-(((53-43)*MAX('Inputs'!$B$33,'Inputs'!$B$29+'Inputs'!$B$31+'Inputs'!$B$32,'Inputs'!$B$30+'Inputs'!$B$31+'Inputs'!$B$32)/1000+'Inputs'!$B$21+'Inputs'!$B$9+'Inputs'!$B$10))/SQRT((((53-43)*MAX('Inputs'!$B$33,'Inputs'!$B$29+'Inputs'!$B$31+'Inputs'!$B$32,'Inputs'!$B$30+'Inputs'!$B$31+'Inputs'!$B$32)/1000+'Inputs'!$B$21+'Inputs'!$B$9+'Inputs'!$B$10))^2+('Inputs'!$B$6/2)^2))))*'Results'!$B$8)-'Inputs'!$B$28*ABS((('Results'!C7*(1-'Inputs'!$B$24)*(0.5*((((53-43)*MAX('Inputs'!$B$33,'Inputs'!$B$29+'Inputs'!$B$31+'Inputs'!$B$32,'Inputs'!$B$30+'Inputs'!$B$31+'Inputs'!$B$32)/1000+'Inputs'!$B$21)+'Inputs'!$B$9)/SQRT((((53-43)*MAX('Inputs'!$B$33,'Inputs'!$B$29+'Inputs'!$B$31+'Inputs'!$B$32,'Inputs'!$B$30+'Inputs'!$B$31+'Inputs'!$B$32)/1000+'Inputs'!$B$21)+'Inputs'!$B$9)^2+('Inputs'!$B$8/2)^2)-(((53-43)*MAX('Inputs'!$B$33,'Inputs'!$B$29+'Inputs'!$B$31+'Inputs'!$B$32,'Inputs'!$B$30+'Inputs'!$B$31+'Inputs'!$B$32)/1000+'Inputs'!$B$21))/SQRT((((53-43)*MAX('Inputs'!$B$33,'Inputs'!$B$29+'Inputs'!$B$31+'Inputs'!$B$32,'Inputs'!$B$30+'Inputs'!$B$31+'Inputs'!$B$32)/1000+'Inputs'!$B$21))^2+('Inputs'!$B$8/2)^2)))-'Results'!B7*(1+'Inputs'!$B$24)*(0.5*((((53-43)*MAX('Inputs'!$B$33,'Inputs'!$B$29+'Inputs'!$B$31+'Inputs'!$B$32,'Inputs'!$B$30+'Inputs'!$B$31+'Inputs'!$B$32)/1000+'Inputs'!$B$21+'Inputs'!$B$9+'Inputs'!$B$10)+'Inputs'!$B$7)/SQRT((((53-43)*MAX('Inputs'!$B$33,'Inputs'!$B$29+'Inputs'!$B$31+'Inputs'!$B$32,'Inputs'!$B$30+'Inputs'!$B$31+'Inputs'!$B$32)/1000+'Inputs'!$B$21+'Inputs'!$B$9+'Inputs'!$B$10)+'Inputs'!$B$7)^2+('Inputs'!$B$6/2)^2)-(((53-43)*MAX('Inputs'!$B$33,'Inputs'!$B$29+'Inputs'!$B$31+'Inputs'!$B$32,'Inputs'!$B$30+'Inputs'!$B$31+'Inputs'!$B$32)/1000+'Inputs'!$B$21+'Inputs'!$B$9+'Inputs'!$B$10))/SQRT((((53-43)*MAX('Inputs'!$B$33,'Inputs'!$B$29+'Inputs'!$B$31+'Inputs'!$B$32,'Inputs'!$B$30+'Inputs'!$B$31+'Inputs'!$B$32)/1000+'Inputs'!$B$21+'Inputs'!$B$9+'Inputs'!$B$10))^2+('Inputs'!$B$6/2)^2))))*'Results'!$B$8))),"")</x:f>
        <x:v>1675.8348305634618</x:v>
      </x:c>
      <x:c r="O53" t="n">
        <x:f>IF(AND(ISNUMBER('Results'!C7),ISNUMBER('Results'!B7),ISNUMBER('Results'!$B$8),ISNUMBER('Inputs'!$B$6),ISNUMBER('Inputs'!$B$7),ISNUMBER('Inputs'!$B$8),ISNUMBER('Inputs'!$B$9),ISNUMBER('Inputs'!$B$10),ISNUMBER('Inputs'!$B$21),ISNUMBER('Inputs'!$B$24),ISNUMBER('Inputs'!$B$28)),((('Results'!C7*(1+'Inputs'!$B$24)*(0.5*((((53-43)*MAX('Inputs'!$B$33,'Inputs'!$B$29+'Inputs'!$B$31+'Inputs'!$B$32,'Inputs'!$B$30+'Inputs'!$B$31+'Inputs'!$B$32)/1000+'Inputs'!$B$21)+'Inputs'!$B$9)/SQRT((((53-43)*MAX('Inputs'!$B$33,'Inputs'!$B$29+'Inputs'!$B$31+'Inputs'!$B$32,'Inputs'!$B$30+'Inputs'!$B$31+'Inputs'!$B$32)/1000+'Inputs'!$B$21)+'Inputs'!$B$9)^2+('Inputs'!$B$8/2)^2)-(((53-43)*MAX('Inputs'!$B$33,'Inputs'!$B$29+'Inputs'!$B$31+'Inputs'!$B$32,'Inputs'!$B$30+'Inputs'!$B$31+'Inputs'!$B$32)/1000+'Inputs'!$B$21))/SQRT((((53-43)*MAX('Inputs'!$B$33,'Inputs'!$B$29+'Inputs'!$B$31+'Inputs'!$B$32,'Inputs'!$B$30+'Inputs'!$B$31+'Inputs'!$B$32)/1000+'Inputs'!$B$21))^2+('Inputs'!$B$8/2)^2)))-'Results'!B7*(1-'Inputs'!$B$24)*(0.5*((((53-43)*MAX('Inputs'!$B$33,'Inputs'!$B$29+'Inputs'!$B$31+'Inputs'!$B$32,'Inputs'!$B$30+'Inputs'!$B$31+'Inputs'!$B$32)/1000+'Inputs'!$B$21+'Inputs'!$B$9+'Inputs'!$B$10)+'Inputs'!$B$7)/SQRT((((53-43)*MAX('Inputs'!$B$33,'Inputs'!$B$29+'Inputs'!$B$31+'Inputs'!$B$32,'Inputs'!$B$30+'Inputs'!$B$31+'Inputs'!$B$32)/1000+'Inputs'!$B$21+'Inputs'!$B$9+'Inputs'!$B$10)+'Inputs'!$B$7)^2+('Inputs'!$B$6/2)^2)-(((53-43)*MAX('Inputs'!$B$33,'Inputs'!$B$29+'Inputs'!$B$31+'Inputs'!$B$32,'Inputs'!$B$30+'Inputs'!$B$31+'Inputs'!$B$32)/1000+'Inputs'!$B$21+'Inputs'!$B$9+'Inputs'!$B$10))/SQRT((((53-43)*MAX('Inputs'!$B$33,'Inputs'!$B$29+'Inputs'!$B$31+'Inputs'!$B$32,'Inputs'!$B$30+'Inputs'!$B$31+'Inputs'!$B$32)/1000+'Inputs'!$B$21+'Inputs'!$B$9+'Inputs'!$B$10))^2+('Inputs'!$B$6/2)^2))))*'Results'!$B$8)+'Inputs'!$B$28*ABS((('Results'!C7*(1+'Inputs'!$B$24)*(0.5*((((53-43)*MAX('Inputs'!$B$33,'Inputs'!$B$29+'Inputs'!$B$31+'Inputs'!$B$32,'Inputs'!$B$30+'Inputs'!$B$31+'Inputs'!$B$32)/1000+'Inputs'!$B$21)+'Inputs'!$B$9)/SQRT((((53-43)*MAX('Inputs'!$B$33,'Inputs'!$B$29+'Inputs'!$B$31+'Inputs'!$B$32,'Inputs'!$B$30+'Inputs'!$B$31+'Inputs'!$B$32)/1000+'Inputs'!$B$21)+'Inputs'!$B$9)^2+('Inputs'!$B$8/2)^2)-(((53-43)*MAX('Inputs'!$B$33,'Inputs'!$B$29+'Inputs'!$B$31+'Inputs'!$B$32,'Inputs'!$B$30+'Inputs'!$B$31+'Inputs'!$B$32)/1000+'Inputs'!$B$21))/SQRT((((53-43)*MAX('Inputs'!$B$33,'Inputs'!$B$29+'Inputs'!$B$31+'Inputs'!$B$32,'Inputs'!$B$30+'Inputs'!$B$31+'Inputs'!$B$32)/1000+'Inputs'!$B$21))^2+('Inputs'!$B$8/2)^2)))-'Results'!B7*(1-'Inputs'!$B$24)*(0.5*((((53-43)*MAX('Inputs'!$B$33,'Inputs'!$B$29+'Inputs'!$B$31+'Inputs'!$B$32,'Inputs'!$B$30+'Inputs'!$B$31+'Inputs'!$B$32)/1000+'Inputs'!$B$21+'Inputs'!$B$9+'Inputs'!$B$10)+'Inputs'!$B$7)/SQRT((((53-43)*MAX('Inputs'!$B$33,'Inputs'!$B$29+'Inputs'!$B$31+'Inputs'!$B$32,'Inputs'!$B$30+'Inputs'!$B$31+'Inputs'!$B$32)/1000+'Inputs'!$B$21+'Inputs'!$B$9+'Inputs'!$B$10)+'Inputs'!$B$7)^2+('Inputs'!$B$6/2)^2)-(((53-43)*MAX('Inputs'!$B$33,'Inputs'!$B$29+'Inputs'!$B$31+'Inputs'!$B$32,'Inputs'!$B$30+'Inputs'!$B$31+'Inputs'!$B$32)/1000+'Inputs'!$B$21+'Inputs'!$B$9+'Inputs'!$B$10))/SQRT((((53-43)*MAX('Inputs'!$B$33,'Inputs'!$B$29+'Inputs'!$B$31+'Inputs'!$B$32,'Inputs'!$B$30+'Inputs'!$B$31+'Inputs'!$B$32)/1000+'Inputs'!$B$21+'Inputs'!$B$9+'Inputs'!$B$10))^2+('Inputs'!$B$6/2)^2))))*'Results'!$B$8))),"")</x:f>
        <x:v>1953.8095851795858</x:v>
      </x:c>
      <x:c r="P53" t="n">
        <x:f>IF(AND(MAX(J53,J52)&gt;0,J53&gt;J52+0.00000001),1,0)</x:f>
        <x:v>0</x:v>
      </x:c>
      <x:c r="Q53" t="n">
        <x:f>IF(AND(MAX(K53,K52)&gt;0,K53&gt;K52+0.00000001),1,0)</x:f>
        <x:v>0</x:v>
      </x:c>
      <x:c r="R53" t="n">
        <x:f>IF(AND(MAX(L53,L52)&gt;0,L53&gt;L52+0.00000001),1,0)</x:f>
        <x:v>0</x:v>
      </x:c>
      <x:c r="S53" t="n">
        <x:f>IF(AND(MAX(M53,M52)&gt;0,M53&gt;M52+0.00000001),1,0)</x:f>
        <x:v>0</x:v>
      </x:c>
      <x:c r="T53" t="n">
        <x:f>IF(AND(MAX(N53,N52)&gt;0,N53&gt;N52+0.00000001),1,0)</x:f>
        <x:v>0</x:v>
      </x:c>
      <x:c r="U53" t="n">
        <x:f>IF(AND(MAX(O53,O52)&gt;0,O53&gt;O52+0.00000001),1,0)</x:f>
        <x:v>0</x:v>
      </x:c>
    </x:row>
    <x:row r="54">
      <x:c r="J54" t="n">
        <x:f>IF(AND(ISNUMBER('Results'!B7),ISNUMBER('Results'!C7),ISNUMBER('Results'!$B$8),ISNUMBER('Inputs'!$B$6),ISNUMBER('Inputs'!$B$7),ISNUMBER('Inputs'!$B$8),ISNUMBER('Inputs'!$B$9),ISNUMBER('Inputs'!$B$10),ISNUMBER('Inputs'!$B$21),ISNUMBER('Inputs'!$B$24),ISNUMBER('Inputs'!$B$28)),(('Results'!B7*(0.5*((((54-43)*MAX('Inputs'!$B$33,'Inputs'!$B$29+'Inputs'!$B$31+'Inputs'!$B$32,'Inputs'!$B$30+'Inputs'!$B$31+'Inputs'!$B$32)/1000+'Inputs'!$B$21)+'Inputs'!$B$7)/SQRT((((54-43)*MAX('Inputs'!$B$33,'Inputs'!$B$29+'Inputs'!$B$31+'Inputs'!$B$32,'Inputs'!$B$30+'Inputs'!$B$31+'Inputs'!$B$32)/1000+'Inputs'!$B$21)+'Inputs'!$B$7)^2+('Inputs'!$B$6/2)^2)-(((54-43)*MAX('Inputs'!$B$33,'Inputs'!$B$29+'Inputs'!$B$31+'Inputs'!$B$32,'Inputs'!$B$30+'Inputs'!$B$31+'Inputs'!$B$32)/1000+'Inputs'!$B$21))/SQRT((((54-43)*MAX('Inputs'!$B$33,'Inputs'!$B$29+'Inputs'!$B$31+'Inputs'!$B$32,'Inputs'!$B$30+'Inputs'!$B$31+'Inputs'!$B$32)/1000+'Inputs'!$B$21))^2+('Inputs'!$B$6/2)^2)))-'Results'!C7*(0.5*((((54-43)*MAX('Inputs'!$B$33,'Inputs'!$B$29+'Inputs'!$B$31+'Inputs'!$B$32,'Inputs'!$B$30+'Inputs'!$B$31+'Inputs'!$B$32)/1000+'Inputs'!$B$21+'Inputs'!$B$7+'Inputs'!$B$10)+'Inputs'!$B$9)/SQRT((((54-43)*MAX('Inputs'!$B$33,'Inputs'!$B$29+'Inputs'!$B$31+'Inputs'!$B$32,'Inputs'!$B$30+'Inputs'!$B$31+'Inputs'!$B$32)/1000+'Inputs'!$B$21+'Inputs'!$B$7+'Inputs'!$B$10)+'Inputs'!$B$9)^2+('Inputs'!$B$8/2)^2)-(((54-43)*MAX('Inputs'!$B$33,'Inputs'!$B$29+'Inputs'!$B$31+'Inputs'!$B$32,'Inputs'!$B$30+'Inputs'!$B$31+'Inputs'!$B$32)/1000+'Inputs'!$B$21+'Inputs'!$B$7+'Inputs'!$B$10))/SQRT((((54-43)*MAX('Inputs'!$B$33,'Inputs'!$B$29+'Inputs'!$B$31+'Inputs'!$B$32,'Inputs'!$B$30+'Inputs'!$B$31+'Inputs'!$B$32)/1000+'Inputs'!$B$21+'Inputs'!$B$7+'Inputs'!$B$10))^2+('Inputs'!$B$8/2)^2))))*'Results'!$B$8),"")</x:f>
        <x:v>1841.5216480330646</x:v>
      </x:c>
      <x:c r="K54" t="n">
        <x:f>IF(AND(ISNUMBER('Results'!B7),ISNUMBER('Results'!C7),ISNUMBER('Results'!$B$8),ISNUMBER('Inputs'!$B$6),ISNUMBER('Inputs'!$B$7),ISNUMBER('Inputs'!$B$8),ISNUMBER('Inputs'!$B$9),ISNUMBER('Inputs'!$B$10),ISNUMBER('Inputs'!$B$21),ISNUMBER('Inputs'!$B$24),ISNUMBER('Inputs'!$B$28)),((('Results'!B7*(1-'Inputs'!$B$24)*(0.5*((((54-43)*MAX('Inputs'!$B$33,'Inputs'!$B$29+'Inputs'!$B$31+'Inputs'!$B$32,'Inputs'!$B$30+'Inputs'!$B$31+'Inputs'!$B$32)/1000+'Inputs'!$B$21)+'Inputs'!$B$7)/SQRT((((54-43)*MAX('Inputs'!$B$33,'Inputs'!$B$29+'Inputs'!$B$31+'Inputs'!$B$32,'Inputs'!$B$30+'Inputs'!$B$31+'Inputs'!$B$32)/1000+'Inputs'!$B$21)+'Inputs'!$B$7)^2+('Inputs'!$B$6/2)^2)-(((54-43)*MAX('Inputs'!$B$33,'Inputs'!$B$29+'Inputs'!$B$31+'Inputs'!$B$32,'Inputs'!$B$30+'Inputs'!$B$31+'Inputs'!$B$32)/1000+'Inputs'!$B$21))/SQRT((((54-43)*MAX('Inputs'!$B$33,'Inputs'!$B$29+'Inputs'!$B$31+'Inputs'!$B$32,'Inputs'!$B$30+'Inputs'!$B$31+'Inputs'!$B$32)/1000+'Inputs'!$B$21))^2+('Inputs'!$B$6/2)^2)))-'Results'!C7*(1+'Inputs'!$B$24)*(0.5*((((54-43)*MAX('Inputs'!$B$33,'Inputs'!$B$29+'Inputs'!$B$31+'Inputs'!$B$32,'Inputs'!$B$30+'Inputs'!$B$31+'Inputs'!$B$32)/1000+'Inputs'!$B$21+'Inputs'!$B$7+'Inputs'!$B$10)+'Inputs'!$B$9)/SQRT((((54-43)*MAX('Inputs'!$B$33,'Inputs'!$B$29+'Inputs'!$B$31+'Inputs'!$B$32,'Inputs'!$B$30+'Inputs'!$B$31+'Inputs'!$B$32)/1000+'Inputs'!$B$21+'Inputs'!$B$7+'Inputs'!$B$10)+'Inputs'!$B$9)^2+('Inputs'!$B$8/2)^2)-(((54-43)*MAX('Inputs'!$B$33,'Inputs'!$B$29+'Inputs'!$B$31+'Inputs'!$B$32,'Inputs'!$B$30+'Inputs'!$B$31+'Inputs'!$B$32)/1000+'Inputs'!$B$21+'Inputs'!$B$7+'Inputs'!$B$10))/SQRT((((54-43)*MAX('Inputs'!$B$33,'Inputs'!$B$29+'Inputs'!$B$31+'Inputs'!$B$32,'Inputs'!$B$30+'Inputs'!$B$31+'Inputs'!$B$32)/1000+'Inputs'!$B$21+'Inputs'!$B$7+'Inputs'!$B$10))^2+('Inputs'!$B$8/2)^2))))*'Results'!$B$8)-'Inputs'!$B$28*ABS((('Results'!B7*(1-'Inputs'!$B$24)*(0.5*((((54-43)*MAX('Inputs'!$B$33,'Inputs'!$B$29+'Inputs'!$B$31+'Inputs'!$B$32,'Inputs'!$B$30+'Inputs'!$B$31+'Inputs'!$B$32)/1000+'Inputs'!$B$21)+'Inputs'!$B$7)/SQRT((((54-43)*MAX('Inputs'!$B$33,'Inputs'!$B$29+'Inputs'!$B$31+'Inputs'!$B$32,'Inputs'!$B$30+'Inputs'!$B$31+'Inputs'!$B$32)/1000+'Inputs'!$B$21)+'Inputs'!$B$7)^2+('Inputs'!$B$6/2)^2)-(((54-43)*MAX('Inputs'!$B$33,'Inputs'!$B$29+'Inputs'!$B$31+'Inputs'!$B$32,'Inputs'!$B$30+'Inputs'!$B$31+'Inputs'!$B$32)/1000+'Inputs'!$B$21))/SQRT((((54-43)*MAX('Inputs'!$B$33,'Inputs'!$B$29+'Inputs'!$B$31+'Inputs'!$B$32,'Inputs'!$B$30+'Inputs'!$B$31+'Inputs'!$B$32)/1000+'Inputs'!$B$21))^2+('Inputs'!$B$6/2)^2)))-'Results'!C7*(1+'Inputs'!$B$24)*(0.5*((((54-43)*MAX('Inputs'!$B$33,'Inputs'!$B$29+'Inputs'!$B$31+'Inputs'!$B$32,'Inputs'!$B$30+'Inputs'!$B$31+'Inputs'!$B$32)/1000+'Inputs'!$B$21+'Inputs'!$B$7+'Inputs'!$B$10)+'Inputs'!$B$9)/SQRT((((54-43)*MAX('Inputs'!$B$33,'Inputs'!$B$29+'Inputs'!$B$31+'Inputs'!$B$32,'Inputs'!$B$30+'Inputs'!$B$31+'Inputs'!$B$32)/1000+'Inputs'!$B$21+'Inputs'!$B$7+'Inputs'!$B$10)+'Inputs'!$B$9)^2+('Inputs'!$B$8/2)^2)-(((54-43)*MAX('Inputs'!$B$33,'Inputs'!$B$29+'Inputs'!$B$31+'Inputs'!$B$32,'Inputs'!$B$30+'Inputs'!$B$31+'Inputs'!$B$32)/1000+'Inputs'!$B$21+'Inputs'!$B$7+'Inputs'!$B$10))/SQRT((((54-43)*MAX('Inputs'!$B$33,'Inputs'!$B$29+'Inputs'!$B$31+'Inputs'!$B$32,'Inputs'!$B$30+'Inputs'!$B$31+'Inputs'!$B$32)/1000+'Inputs'!$B$21+'Inputs'!$B$7+'Inputs'!$B$10))^2+('Inputs'!$B$8/2)^2))))*'Results'!$B$8))),"")</x:f>
        <x:v>1703.3533562237333</x:v>
      </x:c>
      <x:c r="L54" t="n">
        <x:f>IF(AND(ISNUMBER('Results'!B7),ISNUMBER('Results'!C7),ISNUMBER('Results'!$B$8),ISNUMBER('Inputs'!$B$6),ISNUMBER('Inputs'!$B$7),ISNUMBER('Inputs'!$B$8),ISNUMBER('Inputs'!$B$9),ISNUMBER('Inputs'!$B$10),ISNUMBER('Inputs'!$B$21),ISNUMBER('Inputs'!$B$24),ISNUMBER('Inputs'!$B$28)),((('Results'!B7*(1+'Inputs'!$B$24)*(0.5*((((54-43)*MAX('Inputs'!$B$33,'Inputs'!$B$29+'Inputs'!$B$31+'Inputs'!$B$32,'Inputs'!$B$30+'Inputs'!$B$31+'Inputs'!$B$32)/1000+'Inputs'!$B$21)+'Inputs'!$B$7)/SQRT((((54-43)*MAX('Inputs'!$B$33,'Inputs'!$B$29+'Inputs'!$B$31+'Inputs'!$B$32,'Inputs'!$B$30+'Inputs'!$B$31+'Inputs'!$B$32)/1000+'Inputs'!$B$21)+'Inputs'!$B$7)^2+('Inputs'!$B$6/2)^2)-(((54-43)*MAX('Inputs'!$B$33,'Inputs'!$B$29+'Inputs'!$B$31+'Inputs'!$B$32,'Inputs'!$B$30+'Inputs'!$B$31+'Inputs'!$B$32)/1000+'Inputs'!$B$21))/SQRT((((54-43)*MAX('Inputs'!$B$33,'Inputs'!$B$29+'Inputs'!$B$31+'Inputs'!$B$32,'Inputs'!$B$30+'Inputs'!$B$31+'Inputs'!$B$32)/1000+'Inputs'!$B$21))^2+('Inputs'!$B$6/2)^2)))-'Results'!C7*(1-'Inputs'!$B$24)*(0.5*((((54-43)*MAX('Inputs'!$B$33,'Inputs'!$B$29+'Inputs'!$B$31+'Inputs'!$B$32,'Inputs'!$B$30+'Inputs'!$B$31+'Inputs'!$B$32)/1000+'Inputs'!$B$21+'Inputs'!$B$7+'Inputs'!$B$10)+'Inputs'!$B$9)/SQRT((((54-43)*MAX('Inputs'!$B$33,'Inputs'!$B$29+'Inputs'!$B$31+'Inputs'!$B$32,'Inputs'!$B$30+'Inputs'!$B$31+'Inputs'!$B$32)/1000+'Inputs'!$B$21+'Inputs'!$B$7+'Inputs'!$B$10)+'Inputs'!$B$9)^2+('Inputs'!$B$8/2)^2)-(((54-43)*MAX('Inputs'!$B$33,'Inputs'!$B$29+'Inputs'!$B$31+'Inputs'!$B$32,'Inputs'!$B$30+'Inputs'!$B$31+'Inputs'!$B$32)/1000+'Inputs'!$B$21+'Inputs'!$B$7+'Inputs'!$B$10))/SQRT((((54-43)*MAX('Inputs'!$B$33,'Inputs'!$B$29+'Inputs'!$B$31+'Inputs'!$B$32,'Inputs'!$B$30+'Inputs'!$B$31+'Inputs'!$B$32)/1000+'Inputs'!$B$21+'Inputs'!$B$7+'Inputs'!$B$10))^2+('Inputs'!$B$8/2)^2))))*'Results'!$B$8)+'Inputs'!$B$28*ABS((('Results'!B7*(1+'Inputs'!$B$24)*(0.5*((((54-43)*MAX('Inputs'!$B$33,'Inputs'!$B$29+'Inputs'!$B$31+'Inputs'!$B$32,'Inputs'!$B$30+'Inputs'!$B$31+'Inputs'!$B$32)/1000+'Inputs'!$B$21)+'Inputs'!$B$7)/SQRT((((54-43)*MAX('Inputs'!$B$33,'Inputs'!$B$29+'Inputs'!$B$31+'Inputs'!$B$32,'Inputs'!$B$30+'Inputs'!$B$31+'Inputs'!$B$32)/1000+'Inputs'!$B$21)+'Inputs'!$B$7)^2+('Inputs'!$B$6/2)^2)-(((54-43)*MAX('Inputs'!$B$33,'Inputs'!$B$29+'Inputs'!$B$31+'Inputs'!$B$32,'Inputs'!$B$30+'Inputs'!$B$31+'Inputs'!$B$32)/1000+'Inputs'!$B$21))/SQRT((((54-43)*MAX('Inputs'!$B$33,'Inputs'!$B$29+'Inputs'!$B$31+'Inputs'!$B$32,'Inputs'!$B$30+'Inputs'!$B$31+'Inputs'!$B$32)/1000+'Inputs'!$B$21))^2+('Inputs'!$B$6/2)^2)))-'Results'!C7*(1-'Inputs'!$B$24)*(0.5*((((54-43)*MAX('Inputs'!$B$33,'Inputs'!$B$29+'Inputs'!$B$31+'Inputs'!$B$32,'Inputs'!$B$30+'Inputs'!$B$31+'Inputs'!$B$32)/1000+'Inputs'!$B$21+'Inputs'!$B$7+'Inputs'!$B$10)+'Inputs'!$B$9)/SQRT((((54-43)*MAX('Inputs'!$B$33,'Inputs'!$B$29+'Inputs'!$B$31+'Inputs'!$B$32,'Inputs'!$B$30+'Inputs'!$B$31+'Inputs'!$B$32)/1000+'Inputs'!$B$21+'Inputs'!$B$7+'Inputs'!$B$10)+'Inputs'!$B$9)^2+('Inputs'!$B$8/2)^2)-(((54-43)*MAX('Inputs'!$B$33,'Inputs'!$B$29+'Inputs'!$B$31+'Inputs'!$B$32,'Inputs'!$B$30+'Inputs'!$B$31+'Inputs'!$B$32)/1000+'Inputs'!$B$21+'Inputs'!$B$7+'Inputs'!$B$10))/SQRT((((54-43)*MAX('Inputs'!$B$33,'Inputs'!$B$29+'Inputs'!$B$31+'Inputs'!$B$32,'Inputs'!$B$30+'Inputs'!$B$31+'Inputs'!$B$32)/1000+'Inputs'!$B$21+'Inputs'!$B$7+'Inputs'!$B$10))^2+('Inputs'!$B$8/2)^2))))*'Results'!$B$8))),"")</x:f>
        <x:v>1984.5417513589941</x:v>
      </x:c>
      <x:c r="M54" t="n">
        <x:f>IF(AND(ISNUMBER('Results'!C7),ISNUMBER('Results'!B7),ISNUMBER('Results'!$B$8),ISNUMBER('Inputs'!$B$6),ISNUMBER('Inputs'!$B$7),ISNUMBER('Inputs'!$B$8),ISNUMBER('Inputs'!$B$9),ISNUMBER('Inputs'!$B$10),ISNUMBER('Inputs'!$B$21),ISNUMBER('Inputs'!$B$24),ISNUMBER('Inputs'!$B$28)),(('Results'!C7*(0.5*((((54-43)*MAX('Inputs'!$B$33,'Inputs'!$B$29+'Inputs'!$B$31+'Inputs'!$B$32,'Inputs'!$B$30+'Inputs'!$B$31+'Inputs'!$B$32)/1000+'Inputs'!$B$21)+'Inputs'!$B$9)/SQRT((((54-43)*MAX('Inputs'!$B$33,'Inputs'!$B$29+'Inputs'!$B$31+'Inputs'!$B$32,'Inputs'!$B$30+'Inputs'!$B$31+'Inputs'!$B$32)/1000+'Inputs'!$B$21)+'Inputs'!$B$9)^2+('Inputs'!$B$8/2)^2)-(((54-43)*MAX('Inputs'!$B$33,'Inputs'!$B$29+'Inputs'!$B$31+'Inputs'!$B$32,'Inputs'!$B$30+'Inputs'!$B$31+'Inputs'!$B$32)/1000+'Inputs'!$B$21))/SQRT((((54-43)*MAX('Inputs'!$B$33,'Inputs'!$B$29+'Inputs'!$B$31+'Inputs'!$B$32,'Inputs'!$B$30+'Inputs'!$B$31+'Inputs'!$B$32)/1000+'Inputs'!$B$21))^2+('Inputs'!$B$8/2)^2)))-'Results'!B7*(0.5*((((54-43)*MAX('Inputs'!$B$33,'Inputs'!$B$29+'Inputs'!$B$31+'Inputs'!$B$32,'Inputs'!$B$30+'Inputs'!$B$31+'Inputs'!$B$32)/1000+'Inputs'!$B$21+'Inputs'!$B$9+'Inputs'!$B$10)+'Inputs'!$B$7)/SQRT((((54-43)*MAX('Inputs'!$B$33,'Inputs'!$B$29+'Inputs'!$B$31+'Inputs'!$B$32,'Inputs'!$B$30+'Inputs'!$B$31+'Inputs'!$B$32)/1000+'Inputs'!$B$21+'Inputs'!$B$9+'Inputs'!$B$10)+'Inputs'!$B$7)^2+('Inputs'!$B$6/2)^2)-(((54-43)*MAX('Inputs'!$B$33,'Inputs'!$B$29+'Inputs'!$B$31+'Inputs'!$B$32,'Inputs'!$B$30+'Inputs'!$B$31+'Inputs'!$B$32)/1000+'Inputs'!$B$21+'Inputs'!$B$9+'Inputs'!$B$10))/SQRT((((54-43)*MAX('Inputs'!$B$33,'Inputs'!$B$29+'Inputs'!$B$31+'Inputs'!$B$32,'Inputs'!$B$30+'Inputs'!$B$31+'Inputs'!$B$32)/1000+'Inputs'!$B$21+'Inputs'!$B$9+'Inputs'!$B$10))^2+('Inputs'!$B$6/2)^2))))*'Results'!$B$8),"")</x:f>
        <x:v>1792.884270803768</x:v>
      </x:c>
      <x:c r="N54" t="n">
        <x:f>IF(AND(ISNUMBER('Results'!C7),ISNUMBER('Results'!B7),ISNUMBER('Results'!$B$8),ISNUMBER('Inputs'!$B$6),ISNUMBER('Inputs'!$B$7),ISNUMBER('Inputs'!$B$8),ISNUMBER('Inputs'!$B$9),ISNUMBER('Inputs'!$B$10),ISNUMBER('Inputs'!$B$21),ISNUMBER('Inputs'!$B$24),ISNUMBER('Inputs'!$B$28)),((('Results'!C7*(1-'Inputs'!$B$24)*(0.5*((((54-43)*MAX('Inputs'!$B$33,'Inputs'!$B$29+'Inputs'!$B$31+'Inputs'!$B$32,'Inputs'!$B$30+'Inputs'!$B$31+'Inputs'!$B$32)/1000+'Inputs'!$B$21)+'Inputs'!$B$9)/SQRT((((54-43)*MAX('Inputs'!$B$33,'Inputs'!$B$29+'Inputs'!$B$31+'Inputs'!$B$32,'Inputs'!$B$30+'Inputs'!$B$31+'Inputs'!$B$32)/1000+'Inputs'!$B$21)+'Inputs'!$B$9)^2+('Inputs'!$B$8/2)^2)-(((54-43)*MAX('Inputs'!$B$33,'Inputs'!$B$29+'Inputs'!$B$31+'Inputs'!$B$32,'Inputs'!$B$30+'Inputs'!$B$31+'Inputs'!$B$32)/1000+'Inputs'!$B$21))/SQRT((((54-43)*MAX('Inputs'!$B$33,'Inputs'!$B$29+'Inputs'!$B$31+'Inputs'!$B$32,'Inputs'!$B$30+'Inputs'!$B$31+'Inputs'!$B$32)/1000+'Inputs'!$B$21))^2+('Inputs'!$B$8/2)^2)))-'Results'!B7*(1+'Inputs'!$B$24)*(0.5*((((54-43)*MAX('Inputs'!$B$33,'Inputs'!$B$29+'Inputs'!$B$31+'Inputs'!$B$32,'Inputs'!$B$30+'Inputs'!$B$31+'Inputs'!$B$32)/1000+'Inputs'!$B$21+'Inputs'!$B$9+'Inputs'!$B$10)+'Inputs'!$B$7)/SQRT((((54-43)*MAX('Inputs'!$B$33,'Inputs'!$B$29+'Inputs'!$B$31+'Inputs'!$B$32,'Inputs'!$B$30+'Inputs'!$B$31+'Inputs'!$B$32)/1000+'Inputs'!$B$21+'Inputs'!$B$9+'Inputs'!$B$10)+'Inputs'!$B$7)^2+('Inputs'!$B$6/2)^2)-(((54-43)*MAX('Inputs'!$B$33,'Inputs'!$B$29+'Inputs'!$B$31+'Inputs'!$B$32,'Inputs'!$B$30+'Inputs'!$B$31+'Inputs'!$B$32)/1000+'Inputs'!$B$21+'Inputs'!$B$9+'Inputs'!$B$10))/SQRT((((54-43)*MAX('Inputs'!$B$33,'Inputs'!$B$29+'Inputs'!$B$31+'Inputs'!$B$32,'Inputs'!$B$30+'Inputs'!$B$31+'Inputs'!$B$32)/1000+'Inputs'!$B$21+'Inputs'!$B$9+'Inputs'!$B$10))^2+('Inputs'!$B$6/2)^2))))*'Results'!$B$8)-'Inputs'!$B$28*ABS((('Results'!C7*(1-'Inputs'!$B$24)*(0.5*((((54-43)*MAX('Inputs'!$B$33,'Inputs'!$B$29+'Inputs'!$B$31+'Inputs'!$B$32,'Inputs'!$B$30+'Inputs'!$B$31+'Inputs'!$B$32)/1000+'Inputs'!$B$21)+'Inputs'!$B$9)/SQRT((((54-43)*MAX('Inputs'!$B$33,'Inputs'!$B$29+'Inputs'!$B$31+'Inputs'!$B$32,'Inputs'!$B$30+'Inputs'!$B$31+'Inputs'!$B$32)/1000+'Inputs'!$B$21)+'Inputs'!$B$9)^2+('Inputs'!$B$8/2)^2)-(((54-43)*MAX('Inputs'!$B$33,'Inputs'!$B$29+'Inputs'!$B$31+'Inputs'!$B$32,'Inputs'!$B$30+'Inputs'!$B$31+'Inputs'!$B$32)/1000+'Inputs'!$B$21))/SQRT((((54-43)*MAX('Inputs'!$B$33,'Inputs'!$B$29+'Inputs'!$B$31+'Inputs'!$B$32,'Inputs'!$B$30+'Inputs'!$B$31+'Inputs'!$B$32)/1000+'Inputs'!$B$21))^2+('Inputs'!$B$8/2)^2)))-'Results'!B7*(1+'Inputs'!$B$24)*(0.5*((((54-43)*MAX('Inputs'!$B$33,'Inputs'!$B$29+'Inputs'!$B$31+'Inputs'!$B$32,'Inputs'!$B$30+'Inputs'!$B$31+'Inputs'!$B$32)/1000+'Inputs'!$B$21+'Inputs'!$B$9+'Inputs'!$B$10)+'Inputs'!$B$7)/SQRT((((54-43)*MAX('Inputs'!$B$33,'Inputs'!$B$29+'Inputs'!$B$31+'Inputs'!$B$32,'Inputs'!$B$30+'Inputs'!$B$31+'Inputs'!$B$32)/1000+'Inputs'!$B$21+'Inputs'!$B$9+'Inputs'!$B$10)+'Inputs'!$B$7)^2+('Inputs'!$B$6/2)^2)-(((54-43)*MAX('Inputs'!$B$33,'Inputs'!$B$29+'Inputs'!$B$31+'Inputs'!$B$32,'Inputs'!$B$30+'Inputs'!$B$31+'Inputs'!$B$32)/1000+'Inputs'!$B$21+'Inputs'!$B$9+'Inputs'!$B$10))/SQRT((((54-43)*MAX('Inputs'!$B$33,'Inputs'!$B$29+'Inputs'!$B$31+'Inputs'!$B$32,'Inputs'!$B$30+'Inputs'!$B$31+'Inputs'!$B$32)/1000+'Inputs'!$B$21+'Inputs'!$B$9+'Inputs'!$B$10))^2+('Inputs'!$B$6/2)^2))))*'Results'!$B$8))),"")</x:f>
        <x:v>1657.8453601029503</x:v>
      </x:c>
      <x:c r="O54" t="n">
        <x:f>IF(AND(ISNUMBER('Results'!C7),ISNUMBER('Results'!B7),ISNUMBER('Results'!$B$8),ISNUMBER('Inputs'!$B$6),ISNUMBER('Inputs'!$B$7),ISNUMBER('Inputs'!$B$8),ISNUMBER('Inputs'!$B$9),ISNUMBER('Inputs'!$B$10),ISNUMBER('Inputs'!$B$21),ISNUMBER('Inputs'!$B$24),ISNUMBER('Inputs'!$B$28)),((('Results'!C7*(1+'Inputs'!$B$24)*(0.5*((((54-43)*MAX('Inputs'!$B$33,'Inputs'!$B$29+'Inputs'!$B$31+'Inputs'!$B$32,'Inputs'!$B$30+'Inputs'!$B$31+'Inputs'!$B$32)/1000+'Inputs'!$B$21)+'Inputs'!$B$9)/SQRT((((54-43)*MAX('Inputs'!$B$33,'Inputs'!$B$29+'Inputs'!$B$31+'Inputs'!$B$32,'Inputs'!$B$30+'Inputs'!$B$31+'Inputs'!$B$32)/1000+'Inputs'!$B$21)+'Inputs'!$B$9)^2+('Inputs'!$B$8/2)^2)-(((54-43)*MAX('Inputs'!$B$33,'Inputs'!$B$29+'Inputs'!$B$31+'Inputs'!$B$32,'Inputs'!$B$30+'Inputs'!$B$31+'Inputs'!$B$32)/1000+'Inputs'!$B$21))/SQRT((((54-43)*MAX('Inputs'!$B$33,'Inputs'!$B$29+'Inputs'!$B$31+'Inputs'!$B$32,'Inputs'!$B$30+'Inputs'!$B$31+'Inputs'!$B$32)/1000+'Inputs'!$B$21))^2+('Inputs'!$B$8/2)^2)))-'Results'!B7*(1-'Inputs'!$B$24)*(0.5*((((54-43)*MAX('Inputs'!$B$33,'Inputs'!$B$29+'Inputs'!$B$31+'Inputs'!$B$32,'Inputs'!$B$30+'Inputs'!$B$31+'Inputs'!$B$32)/1000+'Inputs'!$B$21+'Inputs'!$B$9+'Inputs'!$B$10)+'Inputs'!$B$7)/SQRT((((54-43)*MAX('Inputs'!$B$33,'Inputs'!$B$29+'Inputs'!$B$31+'Inputs'!$B$32,'Inputs'!$B$30+'Inputs'!$B$31+'Inputs'!$B$32)/1000+'Inputs'!$B$21+'Inputs'!$B$9+'Inputs'!$B$10)+'Inputs'!$B$7)^2+('Inputs'!$B$6/2)^2)-(((54-43)*MAX('Inputs'!$B$33,'Inputs'!$B$29+'Inputs'!$B$31+'Inputs'!$B$32,'Inputs'!$B$30+'Inputs'!$B$31+'Inputs'!$B$32)/1000+'Inputs'!$B$21+'Inputs'!$B$9+'Inputs'!$B$10))/SQRT((((54-43)*MAX('Inputs'!$B$33,'Inputs'!$B$29+'Inputs'!$B$31+'Inputs'!$B$32,'Inputs'!$B$30+'Inputs'!$B$31+'Inputs'!$B$32)/1000+'Inputs'!$B$21+'Inputs'!$B$9+'Inputs'!$B$10))^2+('Inputs'!$B$6/2)^2))))*'Results'!$B$8)+'Inputs'!$B$28*ABS((('Results'!C7*(1+'Inputs'!$B$24)*(0.5*((((54-43)*MAX('Inputs'!$B$33,'Inputs'!$B$29+'Inputs'!$B$31+'Inputs'!$B$32,'Inputs'!$B$30+'Inputs'!$B$31+'Inputs'!$B$32)/1000+'Inputs'!$B$21)+'Inputs'!$B$9)/SQRT((((54-43)*MAX('Inputs'!$B$33,'Inputs'!$B$29+'Inputs'!$B$31+'Inputs'!$B$32,'Inputs'!$B$30+'Inputs'!$B$31+'Inputs'!$B$32)/1000+'Inputs'!$B$21)+'Inputs'!$B$9)^2+('Inputs'!$B$8/2)^2)-(((54-43)*MAX('Inputs'!$B$33,'Inputs'!$B$29+'Inputs'!$B$31+'Inputs'!$B$32,'Inputs'!$B$30+'Inputs'!$B$31+'Inputs'!$B$32)/1000+'Inputs'!$B$21))/SQRT((((54-43)*MAX('Inputs'!$B$33,'Inputs'!$B$29+'Inputs'!$B$31+'Inputs'!$B$32,'Inputs'!$B$30+'Inputs'!$B$31+'Inputs'!$B$32)/1000+'Inputs'!$B$21))^2+('Inputs'!$B$8/2)^2)))-'Results'!B7*(1-'Inputs'!$B$24)*(0.5*((((54-43)*MAX('Inputs'!$B$33,'Inputs'!$B$29+'Inputs'!$B$31+'Inputs'!$B$32,'Inputs'!$B$30+'Inputs'!$B$31+'Inputs'!$B$32)/1000+'Inputs'!$B$21+'Inputs'!$B$9+'Inputs'!$B$10)+'Inputs'!$B$7)/SQRT((((54-43)*MAX('Inputs'!$B$33,'Inputs'!$B$29+'Inputs'!$B$31+'Inputs'!$B$32,'Inputs'!$B$30+'Inputs'!$B$31+'Inputs'!$B$32)/1000+'Inputs'!$B$21+'Inputs'!$B$9+'Inputs'!$B$10)+'Inputs'!$B$7)^2+('Inputs'!$B$6/2)^2)-(((54-43)*MAX('Inputs'!$B$33,'Inputs'!$B$29+'Inputs'!$B$31+'Inputs'!$B$32,'Inputs'!$B$30+'Inputs'!$B$31+'Inputs'!$B$32)/1000+'Inputs'!$B$21+'Inputs'!$B$9+'Inputs'!$B$10))/SQRT((((54-43)*MAX('Inputs'!$B$33,'Inputs'!$B$29+'Inputs'!$B$31+'Inputs'!$B$32,'Inputs'!$B$30+'Inputs'!$B$31+'Inputs'!$B$32)/1000+'Inputs'!$B$21+'Inputs'!$B$9+'Inputs'!$B$10))^2+('Inputs'!$B$6/2)^2))))*'Results'!$B$8))),"")</x:f>
        <x:v>1932.7015706793886</x:v>
      </x:c>
      <x:c r="P54" t="n">
        <x:f>IF(AND(MAX(J54,J53)&gt;0,J54&gt;J53+0.00000001),1,0)</x:f>
        <x:v>0</x:v>
      </x:c>
      <x:c r="Q54" t="n">
        <x:f>IF(AND(MAX(K54,K53)&gt;0,K54&gt;K53+0.00000001),1,0)</x:f>
        <x:v>0</x:v>
      </x:c>
      <x:c r="R54" t="n">
        <x:f>IF(AND(MAX(L54,L53)&gt;0,L54&gt;L53+0.00000001),1,0)</x:f>
        <x:v>0</x:v>
      </x:c>
      <x:c r="S54" t="n">
        <x:f>IF(AND(MAX(M54,M53)&gt;0,M54&gt;M53+0.00000001),1,0)</x:f>
        <x:v>0</x:v>
      </x:c>
      <x:c r="T54" t="n">
        <x:f>IF(AND(MAX(N54,N53)&gt;0,N54&gt;N53+0.00000001),1,0)</x:f>
        <x:v>0</x:v>
      </x:c>
      <x:c r="U54" t="n">
        <x:f>IF(AND(MAX(O54,O53)&gt;0,O54&gt;O53+0.00000001),1,0)</x:f>
        <x:v>0</x:v>
      </x:c>
    </x:row>
    <x:row r="55">
      <x:c r="J55" t="n">
        <x:f>IF(AND(ISNUMBER('Results'!B7),ISNUMBER('Results'!C7),ISNUMBER('Results'!$B$8),ISNUMBER('Inputs'!$B$6),ISNUMBER('Inputs'!$B$7),ISNUMBER('Inputs'!$B$8),ISNUMBER('Inputs'!$B$9),ISNUMBER('Inputs'!$B$10),ISNUMBER('Inputs'!$B$21),ISNUMBER('Inputs'!$B$24),ISNUMBER('Inputs'!$B$28)),(('Results'!B7*(0.5*((((55-43)*MAX('Inputs'!$B$33,'Inputs'!$B$29+'Inputs'!$B$31+'Inputs'!$B$32,'Inputs'!$B$30+'Inputs'!$B$31+'Inputs'!$B$32)/1000+'Inputs'!$B$21)+'Inputs'!$B$7)/SQRT((((55-43)*MAX('Inputs'!$B$33,'Inputs'!$B$29+'Inputs'!$B$31+'Inputs'!$B$32,'Inputs'!$B$30+'Inputs'!$B$31+'Inputs'!$B$32)/1000+'Inputs'!$B$21)+'Inputs'!$B$7)^2+('Inputs'!$B$6/2)^2)-(((55-43)*MAX('Inputs'!$B$33,'Inputs'!$B$29+'Inputs'!$B$31+'Inputs'!$B$32,'Inputs'!$B$30+'Inputs'!$B$31+'Inputs'!$B$32)/1000+'Inputs'!$B$21))/SQRT((((55-43)*MAX('Inputs'!$B$33,'Inputs'!$B$29+'Inputs'!$B$31+'Inputs'!$B$32,'Inputs'!$B$30+'Inputs'!$B$31+'Inputs'!$B$32)/1000+'Inputs'!$B$21))^2+('Inputs'!$B$6/2)^2)))-'Results'!C7*(0.5*((((55-43)*MAX('Inputs'!$B$33,'Inputs'!$B$29+'Inputs'!$B$31+'Inputs'!$B$32,'Inputs'!$B$30+'Inputs'!$B$31+'Inputs'!$B$32)/1000+'Inputs'!$B$21+'Inputs'!$B$7+'Inputs'!$B$10)+'Inputs'!$B$9)/SQRT((((55-43)*MAX('Inputs'!$B$33,'Inputs'!$B$29+'Inputs'!$B$31+'Inputs'!$B$32,'Inputs'!$B$30+'Inputs'!$B$31+'Inputs'!$B$32)/1000+'Inputs'!$B$21+'Inputs'!$B$7+'Inputs'!$B$10)+'Inputs'!$B$9)^2+('Inputs'!$B$8/2)^2)-(((55-43)*MAX('Inputs'!$B$33,'Inputs'!$B$29+'Inputs'!$B$31+'Inputs'!$B$32,'Inputs'!$B$30+'Inputs'!$B$31+'Inputs'!$B$32)/1000+'Inputs'!$B$21+'Inputs'!$B$7+'Inputs'!$B$10))/SQRT((((55-43)*MAX('Inputs'!$B$33,'Inputs'!$B$29+'Inputs'!$B$31+'Inputs'!$B$32,'Inputs'!$B$30+'Inputs'!$B$31+'Inputs'!$B$32)/1000+'Inputs'!$B$21+'Inputs'!$B$7+'Inputs'!$B$10))^2+('Inputs'!$B$8/2)^2))))*'Results'!$B$8),"")</x:f>
        <x:v>1820.9633139842317</x:v>
      </x:c>
      <x:c r="K55" t="n">
        <x:f>IF(AND(ISNUMBER('Results'!B7),ISNUMBER('Results'!C7),ISNUMBER('Results'!$B$8),ISNUMBER('Inputs'!$B$6),ISNUMBER('Inputs'!$B$7),ISNUMBER('Inputs'!$B$8),ISNUMBER('Inputs'!$B$9),ISNUMBER('Inputs'!$B$10),ISNUMBER('Inputs'!$B$21),ISNUMBER('Inputs'!$B$24),ISNUMBER('Inputs'!$B$28)),((('Results'!B7*(1-'Inputs'!$B$24)*(0.5*((((55-43)*MAX('Inputs'!$B$33,'Inputs'!$B$29+'Inputs'!$B$31+'Inputs'!$B$32,'Inputs'!$B$30+'Inputs'!$B$31+'Inputs'!$B$32)/1000+'Inputs'!$B$21)+'Inputs'!$B$7)/SQRT((((55-43)*MAX('Inputs'!$B$33,'Inputs'!$B$29+'Inputs'!$B$31+'Inputs'!$B$32,'Inputs'!$B$30+'Inputs'!$B$31+'Inputs'!$B$32)/1000+'Inputs'!$B$21)+'Inputs'!$B$7)^2+('Inputs'!$B$6/2)^2)-(((55-43)*MAX('Inputs'!$B$33,'Inputs'!$B$29+'Inputs'!$B$31+'Inputs'!$B$32,'Inputs'!$B$30+'Inputs'!$B$31+'Inputs'!$B$32)/1000+'Inputs'!$B$21))/SQRT((((55-43)*MAX('Inputs'!$B$33,'Inputs'!$B$29+'Inputs'!$B$31+'Inputs'!$B$32,'Inputs'!$B$30+'Inputs'!$B$31+'Inputs'!$B$32)/1000+'Inputs'!$B$21))^2+('Inputs'!$B$6/2)^2)))-'Results'!C7*(1+'Inputs'!$B$24)*(0.5*((((55-43)*MAX('Inputs'!$B$33,'Inputs'!$B$29+'Inputs'!$B$31+'Inputs'!$B$32,'Inputs'!$B$30+'Inputs'!$B$31+'Inputs'!$B$32)/1000+'Inputs'!$B$21+'Inputs'!$B$7+'Inputs'!$B$10)+'Inputs'!$B$9)/SQRT((((55-43)*MAX('Inputs'!$B$33,'Inputs'!$B$29+'Inputs'!$B$31+'Inputs'!$B$32,'Inputs'!$B$30+'Inputs'!$B$31+'Inputs'!$B$32)/1000+'Inputs'!$B$21+'Inputs'!$B$7+'Inputs'!$B$10)+'Inputs'!$B$9)^2+('Inputs'!$B$8/2)^2)-(((55-43)*MAX('Inputs'!$B$33,'Inputs'!$B$29+'Inputs'!$B$31+'Inputs'!$B$32,'Inputs'!$B$30+'Inputs'!$B$31+'Inputs'!$B$32)/1000+'Inputs'!$B$21+'Inputs'!$B$7+'Inputs'!$B$10))/SQRT((((55-43)*MAX('Inputs'!$B$33,'Inputs'!$B$29+'Inputs'!$B$31+'Inputs'!$B$32,'Inputs'!$B$30+'Inputs'!$B$31+'Inputs'!$B$32)/1000+'Inputs'!$B$21+'Inputs'!$B$7+'Inputs'!$B$10))^2+('Inputs'!$B$8/2)^2))))*'Results'!$B$8)-'Inputs'!$B$28*ABS((('Results'!B7*(1-'Inputs'!$B$24)*(0.5*((((55-43)*MAX('Inputs'!$B$33,'Inputs'!$B$29+'Inputs'!$B$31+'Inputs'!$B$32,'Inputs'!$B$30+'Inputs'!$B$31+'Inputs'!$B$32)/1000+'Inputs'!$B$21)+'Inputs'!$B$7)/SQRT((((55-43)*MAX('Inputs'!$B$33,'Inputs'!$B$29+'Inputs'!$B$31+'Inputs'!$B$32,'Inputs'!$B$30+'Inputs'!$B$31+'Inputs'!$B$32)/1000+'Inputs'!$B$21)+'Inputs'!$B$7)^2+('Inputs'!$B$6/2)^2)-(((55-43)*MAX('Inputs'!$B$33,'Inputs'!$B$29+'Inputs'!$B$31+'Inputs'!$B$32,'Inputs'!$B$30+'Inputs'!$B$31+'Inputs'!$B$32)/1000+'Inputs'!$B$21))/SQRT((((55-43)*MAX('Inputs'!$B$33,'Inputs'!$B$29+'Inputs'!$B$31+'Inputs'!$B$32,'Inputs'!$B$30+'Inputs'!$B$31+'Inputs'!$B$32)/1000+'Inputs'!$B$21))^2+('Inputs'!$B$6/2)^2)))-'Results'!C7*(1+'Inputs'!$B$24)*(0.5*((((55-43)*MAX('Inputs'!$B$33,'Inputs'!$B$29+'Inputs'!$B$31+'Inputs'!$B$32,'Inputs'!$B$30+'Inputs'!$B$31+'Inputs'!$B$32)/1000+'Inputs'!$B$21+'Inputs'!$B$7+'Inputs'!$B$10)+'Inputs'!$B$9)/SQRT((((55-43)*MAX('Inputs'!$B$33,'Inputs'!$B$29+'Inputs'!$B$31+'Inputs'!$B$32,'Inputs'!$B$30+'Inputs'!$B$31+'Inputs'!$B$32)/1000+'Inputs'!$B$21+'Inputs'!$B$7+'Inputs'!$B$10)+'Inputs'!$B$9)^2+('Inputs'!$B$8/2)^2)-(((55-43)*MAX('Inputs'!$B$33,'Inputs'!$B$29+'Inputs'!$B$31+'Inputs'!$B$32,'Inputs'!$B$30+'Inputs'!$B$31+'Inputs'!$B$32)/1000+'Inputs'!$B$21+'Inputs'!$B$7+'Inputs'!$B$10))/SQRT((((55-43)*MAX('Inputs'!$B$33,'Inputs'!$B$29+'Inputs'!$B$31+'Inputs'!$B$32,'Inputs'!$B$30+'Inputs'!$B$31+'Inputs'!$B$32)/1000+'Inputs'!$B$21+'Inputs'!$B$7+'Inputs'!$B$10))^2+('Inputs'!$B$8/2)^2))))*'Results'!$B$8))),"")</x:f>
        <x:v>1684.3896349240715</x:v>
      </x:c>
      <x:c r="L55" t="n">
        <x:f>IF(AND(ISNUMBER('Results'!B7),ISNUMBER('Results'!C7),ISNUMBER('Results'!$B$8),ISNUMBER('Inputs'!$B$6),ISNUMBER('Inputs'!$B$7),ISNUMBER('Inputs'!$B$8),ISNUMBER('Inputs'!$B$9),ISNUMBER('Inputs'!$B$10),ISNUMBER('Inputs'!$B$21),ISNUMBER('Inputs'!$B$24),ISNUMBER('Inputs'!$B$28)),((('Results'!B7*(1+'Inputs'!$B$24)*(0.5*((((55-43)*MAX('Inputs'!$B$33,'Inputs'!$B$29+'Inputs'!$B$31+'Inputs'!$B$32,'Inputs'!$B$30+'Inputs'!$B$31+'Inputs'!$B$32)/1000+'Inputs'!$B$21)+'Inputs'!$B$7)/SQRT((((55-43)*MAX('Inputs'!$B$33,'Inputs'!$B$29+'Inputs'!$B$31+'Inputs'!$B$32,'Inputs'!$B$30+'Inputs'!$B$31+'Inputs'!$B$32)/1000+'Inputs'!$B$21)+'Inputs'!$B$7)^2+('Inputs'!$B$6/2)^2)-(((55-43)*MAX('Inputs'!$B$33,'Inputs'!$B$29+'Inputs'!$B$31+'Inputs'!$B$32,'Inputs'!$B$30+'Inputs'!$B$31+'Inputs'!$B$32)/1000+'Inputs'!$B$21))/SQRT((((55-43)*MAX('Inputs'!$B$33,'Inputs'!$B$29+'Inputs'!$B$31+'Inputs'!$B$32,'Inputs'!$B$30+'Inputs'!$B$31+'Inputs'!$B$32)/1000+'Inputs'!$B$21))^2+('Inputs'!$B$6/2)^2)))-'Results'!C7*(1-'Inputs'!$B$24)*(0.5*((((55-43)*MAX('Inputs'!$B$33,'Inputs'!$B$29+'Inputs'!$B$31+'Inputs'!$B$32,'Inputs'!$B$30+'Inputs'!$B$31+'Inputs'!$B$32)/1000+'Inputs'!$B$21+'Inputs'!$B$7+'Inputs'!$B$10)+'Inputs'!$B$9)/SQRT((((55-43)*MAX('Inputs'!$B$33,'Inputs'!$B$29+'Inputs'!$B$31+'Inputs'!$B$32,'Inputs'!$B$30+'Inputs'!$B$31+'Inputs'!$B$32)/1000+'Inputs'!$B$21+'Inputs'!$B$7+'Inputs'!$B$10)+'Inputs'!$B$9)^2+('Inputs'!$B$8/2)^2)-(((55-43)*MAX('Inputs'!$B$33,'Inputs'!$B$29+'Inputs'!$B$31+'Inputs'!$B$32,'Inputs'!$B$30+'Inputs'!$B$31+'Inputs'!$B$32)/1000+'Inputs'!$B$21+'Inputs'!$B$7+'Inputs'!$B$10))/SQRT((((55-43)*MAX('Inputs'!$B$33,'Inputs'!$B$29+'Inputs'!$B$31+'Inputs'!$B$32,'Inputs'!$B$30+'Inputs'!$B$31+'Inputs'!$B$32)/1000+'Inputs'!$B$21+'Inputs'!$B$7+'Inputs'!$B$10))^2+('Inputs'!$B$8/2)^2))))*'Results'!$B$8)+'Inputs'!$B$28*ABS((('Results'!B7*(1+'Inputs'!$B$24)*(0.5*((((55-43)*MAX('Inputs'!$B$33,'Inputs'!$B$29+'Inputs'!$B$31+'Inputs'!$B$32,'Inputs'!$B$30+'Inputs'!$B$31+'Inputs'!$B$32)/1000+'Inputs'!$B$21)+'Inputs'!$B$7)/SQRT((((55-43)*MAX('Inputs'!$B$33,'Inputs'!$B$29+'Inputs'!$B$31+'Inputs'!$B$32,'Inputs'!$B$30+'Inputs'!$B$31+'Inputs'!$B$32)/1000+'Inputs'!$B$21)+'Inputs'!$B$7)^2+('Inputs'!$B$6/2)^2)-(((55-43)*MAX('Inputs'!$B$33,'Inputs'!$B$29+'Inputs'!$B$31+'Inputs'!$B$32,'Inputs'!$B$30+'Inputs'!$B$31+'Inputs'!$B$32)/1000+'Inputs'!$B$21))/SQRT((((55-43)*MAX('Inputs'!$B$33,'Inputs'!$B$29+'Inputs'!$B$31+'Inputs'!$B$32,'Inputs'!$B$30+'Inputs'!$B$31+'Inputs'!$B$32)/1000+'Inputs'!$B$21))^2+('Inputs'!$B$6/2)^2)))-'Results'!C7*(1-'Inputs'!$B$24)*(0.5*((((55-43)*MAX('Inputs'!$B$33,'Inputs'!$B$29+'Inputs'!$B$31+'Inputs'!$B$32,'Inputs'!$B$30+'Inputs'!$B$31+'Inputs'!$B$32)/1000+'Inputs'!$B$21+'Inputs'!$B$7+'Inputs'!$B$10)+'Inputs'!$B$9)/SQRT((((55-43)*MAX('Inputs'!$B$33,'Inputs'!$B$29+'Inputs'!$B$31+'Inputs'!$B$32,'Inputs'!$B$30+'Inputs'!$B$31+'Inputs'!$B$32)/1000+'Inputs'!$B$21+'Inputs'!$B$7+'Inputs'!$B$10)+'Inputs'!$B$9)^2+('Inputs'!$B$8/2)^2)-(((55-43)*MAX('Inputs'!$B$33,'Inputs'!$B$29+'Inputs'!$B$31+'Inputs'!$B$32,'Inputs'!$B$30+'Inputs'!$B$31+'Inputs'!$B$32)/1000+'Inputs'!$B$21+'Inputs'!$B$7+'Inputs'!$B$10))/SQRT((((55-43)*MAX('Inputs'!$B$33,'Inputs'!$B$29+'Inputs'!$B$31+'Inputs'!$B$32,'Inputs'!$B$30+'Inputs'!$B$31+'Inputs'!$B$32)/1000+'Inputs'!$B$21+'Inputs'!$B$7+'Inputs'!$B$10))^2+('Inputs'!$B$8/2)^2))))*'Results'!$B$8))),"")</x:f>
        <x:v>1962.3291523455448</x:v>
      </x:c>
      <x:c r="M55" t="n">
        <x:f>IF(AND(ISNUMBER('Results'!C7),ISNUMBER('Results'!B7),ISNUMBER('Results'!$B$8),ISNUMBER('Inputs'!$B$6),ISNUMBER('Inputs'!$B$7),ISNUMBER('Inputs'!$B$8),ISNUMBER('Inputs'!$B$9),ISNUMBER('Inputs'!$B$10),ISNUMBER('Inputs'!$B$21),ISNUMBER('Inputs'!$B$24),ISNUMBER('Inputs'!$B$28)),(('Results'!C7*(0.5*((((55-43)*MAX('Inputs'!$B$33,'Inputs'!$B$29+'Inputs'!$B$31+'Inputs'!$B$32,'Inputs'!$B$30+'Inputs'!$B$31+'Inputs'!$B$32)/1000+'Inputs'!$B$21)+'Inputs'!$B$9)/SQRT((((55-43)*MAX('Inputs'!$B$33,'Inputs'!$B$29+'Inputs'!$B$31+'Inputs'!$B$32,'Inputs'!$B$30+'Inputs'!$B$31+'Inputs'!$B$32)/1000+'Inputs'!$B$21)+'Inputs'!$B$9)^2+('Inputs'!$B$8/2)^2)-(((55-43)*MAX('Inputs'!$B$33,'Inputs'!$B$29+'Inputs'!$B$31+'Inputs'!$B$32,'Inputs'!$B$30+'Inputs'!$B$31+'Inputs'!$B$32)/1000+'Inputs'!$B$21))/SQRT((((55-43)*MAX('Inputs'!$B$33,'Inputs'!$B$29+'Inputs'!$B$31+'Inputs'!$B$32,'Inputs'!$B$30+'Inputs'!$B$31+'Inputs'!$B$32)/1000+'Inputs'!$B$21))^2+('Inputs'!$B$8/2)^2)))-'Results'!B7*(0.5*((((55-43)*MAX('Inputs'!$B$33,'Inputs'!$B$29+'Inputs'!$B$31+'Inputs'!$B$32,'Inputs'!$B$30+'Inputs'!$B$31+'Inputs'!$B$32)/1000+'Inputs'!$B$21+'Inputs'!$B$9+'Inputs'!$B$10)+'Inputs'!$B$7)/SQRT((((55-43)*MAX('Inputs'!$B$33,'Inputs'!$B$29+'Inputs'!$B$31+'Inputs'!$B$32,'Inputs'!$B$30+'Inputs'!$B$31+'Inputs'!$B$32)/1000+'Inputs'!$B$21+'Inputs'!$B$9+'Inputs'!$B$10)+'Inputs'!$B$7)^2+('Inputs'!$B$6/2)^2)-(((55-43)*MAX('Inputs'!$B$33,'Inputs'!$B$29+'Inputs'!$B$31+'Inputs'!$B$32,'Inputs'!$B$30+'Inputs'!$B$31+'Inputs'!$B$32)/1000+'Inputs'!$B$21+'Inputs'!$B$9+'Inputs'!$B$10))/SQRT((((55-43)*MAX('Inputs'!$B$33,'Inputs'!$B$29+'Inputs'!$B$31+'Inputs'!$B$32,'Inputs'!$B$30+'Inputs'!$B$31+'Inputs'!$B$32)/1000+'Inputs'!$B$21+'Inputs'!$B$9+'Inputs'!$B$10))^2+('Inputs'!$B$6/2)^2))))*'Results'!$B$8),"")</x:f>
        <x:v>1772.9243502917698</x:v>
      </x:c>
      <x:c r="N55" t="n">
        <x:f>IF(AND(ISNUMBER('Results'!C7),ISNUMBER('Results'!B7),ISNUMBER('Results'!$B$8),ISNUMBER('Inputs'!$B$6),ISNUMBER('Inputs'!$B$7),ISNUMBER('Inputs'!$B$8),ISNUMBER('Inputs'!$B$9),ISNUMBER('Inputs'!$B$10),ISNUMBER('Inputs'!$B$21),ISNUMBER('Inputs'!$B$24),ISNUMBER('Inputs'!$B$28)),((('Results'!C7*(1-'Inputs'!$B$24)*(0.5*((((55-43)*MAX('Inputs'!$B$33,'Inputs'!$B$29+'Inputs'!$B$31+'Inputs'!$B$32,'Inputs'!$B$30+'Inputs'!$B$31+'Inputs'!$B$32)/1000+'Inputs'!$B$21)+'Inputs'!$B$9)/SQRT((((55-43)*MAX('Inputs'!$B$33,'Inputs'!$B$29+'Inputs'!$B$31+'Inputs'!$B$32,'Inputs'!$B$30+'Inputs'!$B$31+'Inputs'!$B$32)/1000+'Inputs'!$B$21)+'Inputs'!$B$9)^2+('Inputs'!$B$8/2)^2)-(((55-43)*MAX('Inputs'!$B$33,'Inputs'!$B$29+'Inputs'!$B$31+'Inputs'!$B$32,'Inputs'!$B$30+'Inputs'!$B$31+'Inputs'!$B$32)/1000+'Inputs'!$B$21))/SQRT((((55-43)*MAX('Inputs'!$B$33,'Inputs'!$B$29+'Inputs'!$B$31+'Inputs'!$B$32,'Inputs'!$B$30+'Inputs'!$B$31+'Inputs'!$B$32)/1000+'Inputs'!$B$21))^2+('Inputs'!$B$8/2)^2)))-'Results'!B7*(1+'Inputs'!$B$24)*(0.5*((((55-43)*MAX('Inputs'!$B$33,'Inputs'!$B$29+'Inputs'!$B$31+'Inputs'!$B$32,'Inputs'!$B$30+'Inputs'!$B$31+'Inputs'!$B$32)/1000+'Inputs'!$B$21+'Inputs'!$B$9+'Inputs'!$B$10)+'Inputs'!$B$7)/SQRT((((55-43)*MAX('Inputs'!$B$33,'Inputs'!$B$29+'Inputs'!$B$31+'Inputs'!$B$32,'Inputs'!$B$30+'Inputs'!$B$31+'Inputs'!$B$32)/1000+'Inputs'!$B$21+'Inputs'!$B$9+'Inputs'!$B$10)+'Inputs'!$B$7)^2+('Inputs'!$B$6/2)^2)-(((55-43)*MAX('Inputs'!$B$33,'Inputs'!$B$29+'Inputs'!$B$31+'Inputs'!$B$32,'Inputs'!$B$30+'Inputs'!$B$31+'Inputs'!$B$32)/1000+'Inputs'!$B$21+'Inputs'!$B$9+'Inputs'!$B$10))/SQRT((((55-43)*MAX('Inputs'!$B$33,'Inputs'!$B$29+'Inputs'!$B$31+'Inputs'!$B$32,'Inputs'!$B$30+'Inputs'!$B$31+'Inputs'!$B$32)/1000+'Inputs'!$B$21+'Inputs'!$B$9+'Inputs'!$B$10))^2+('Inputs'!$B$6/2)^2))))*'Results'!$B$8)-'Inputs'!$B$28*ABS((('Results'!C7*(1-'Inputs'!$B$24)*(0.5*((((55-43)*MAX('Inputs'!$B$33,'Inputs'!$B$29+'Inputs'!$B$31+'Inputs'!$B$32,'Inputs'!$B$30+'Inputs'!$B$31+'Inputs'!$B$32)/1000+'Inputs'!$B$21)+'Inputs'!$B$9)/SQRT((((55-43)*MAX('Inputs'!$B$33,'Inputs'!$B$29+'Inputs'!$B$31+'Inputs'!$B$32,'Inputs'!$B$30+'Inputs'!$B$31+'Inputs'!$B$32)/1000+'Inputs'!$B$21)+'Inputs'!$B$9)^2+('Inputs'!$B$8/2)^2)-(((55-43)*MAX('Inputs'!$B$33,'Inputs'!$B$29+'Inputs'!$B$31+'Inputs'!$B$32,'Inputs'!$B$30+'Inputs'!$B$31+'Inputs'!$B$32)/1000+'Inputs'!$B$21))/SQRT((((55-43)*MAX('Inputs'!$B$33,'Inputs'!$B$29+'Inputs'!$B$31+'Inputs'!$B$32,'Inputs'!$B$30+'Inputs'!$B$31+'Inputs'!$B$32)/1000+'Inputs'!$B$21))^2+('Inputs'!$B$8/2)^2)))-'Results'!B7*(1+'Inputs'!$B$24)*(0.5*((((55-43)*MAX('Inputs'!$B$33,'Inputs'!$B$29+'Inputs'!$B$31+'Inputs'!$B$32,'Inputs'!$B$30+'Inputs'!$B$31+'Inputs'!$B$32)/1000+'Inputs'!$B$21+'Inputs'!$B$9+'Inputs'!$B$10)+'Inputs'!$B$7)/SQRT((((55-43)*MAX('Inputs'!$B$33,'Inputs'!$B$29+'Inputs'!$B$31+'Inputs'!$B$32,'Inputs'!$B$30+'Inputs'!$B$31+'Inputs'!$B$32)/1000+'Inputs'!$B$21+'Inputs'!$B$9+'Inputs'!$B$10)+'Inputs'!$B$7)^2+('Inputs'!$B$6/2)^2)-(((55-43)*MAX('Inputs'!$B$33,'Inputs'!$B$29+'Inputs'!$B$31+'Inputs'!$B$32,'Inputs'!$B$30+'Inputs'!$B$31+'Inputs'!$B$32)/1000+'Inputs'!$B$21+'Inputs'!$B$9+'Inputs'!$B$10))/SQRT((((55-43)*MAX('Inputs'!$B$33,'Inputs'!$B$29+'Inputs'!$B$31+'Inputs'!$B$32,'Inputs'!$B$30+'Inputs'!$B$31+'Inputs'!$B$32)/1000+'Inputs'!$B$21+'Inputs'!$B$9+'Inputs'!$B$10))^2+('Inputs'!$B$6/2)^2))))*'Results'!$B$8))),"")</x:f>
        <x:v>1639.442355432608</x:v>
      </x:c>
      <x:c r="O55" t="n">
        <x:f>IF(AND(ISNUMBER('Results'!C7),ISNUMBER('Results'!B7),ISNUMBER('Results'!$B$8),ISNUMBER('Inputs'!$B$6),ISNUMBER('Inputs'!$B$7),ISNUMBER('Inputs'!$B$8),ISNUMBER('Inputs'!$B$9),ISNUMBER('Inputs'!$B$10),ISNUMBER('Inputs'!$B$21),ISNUMBER('Inputs'!$B$24),ISNUMBER('Inputs'!$B$28)),((('Results'!C7*(1+'Inputs'!$B$24)*(0.5*((((55-43)*MAX('Inputs'!$B$33,'Inputs'!$B$29+'Inputs'!$B$31+'Inputs'!$B$32,'Inputs'!$B$30+'Inputs'!$B$31+'Inputs'!$B$32)/1000+'Inputs'!$B$21)+'Inputs'!$B$9)/SQRT((((55-43)*MAX('Inputs'!$B$33,'Inputs'!$B$29+'Inputs'!$B$31+'Inputs'!$B$32,'Inputs'!$B$30+'Inputs'!$B$31+'Inputs'!$B$32)/1000+'Inputs'!$B$21)+'Inputs'!$B$9)^2+('Inputs'!$B$8/2)^2)-(((55-43)*MAX('Inputs'!$B$33,'Inputs'!$B$29+'Inputs'!$B$31+'Inputs'!$B$32,'Inputs'!$B$30+'Inputs'!$B$31+'Inputs'!$B$32)/1000+'Inputs'!$B$21))/SQRT((((55-43)*MAX('Inputs'!$B$33,'Inputs'!$B$29+'Inputs'!$B$31+'Inputs'!$B$32,'Inputs'!$B$30+'Inputs'!$B$31+'Inputs'!$B$32)/1000+'Inputs'!$B$21))^2+('Inputs'!$B$8/2)^2)))-'Results'!B7*(1-'Inputs'!$B$24)*(0.5*((((55-43)*MAX('Inputs'!$B$33,'Inputs'!$B$29+'Inputs'!$B$31+'Inputs'!$B$32,'Inputs'!$B$30+'Inputs'!$B$31+'Inputs'!$B$32)/1000+'Inputs'!$B$21+'Inputs'!$B$9+'Inputs'!$B$10)+'Inputs'!$B$7)/SQRT((((55-43)*MAX('Inputs'!$B$33,'Inputs'!$B$29+'Inputs'!$B$31+'Inputs'!$B$32,'Inputs'!$B$30+'Inputs'!$B$31+'Inputs'!$B$32)/1000+'Inputs'!$B$21+'Inputs'!$B$9+'Inputs'!$B$10)+'Inputs'!$B$7)^2+('Inputs'!$B$6/2)^2)-(((55-43)*MAX('Inputs'!$B$33,'Inputs'!$B$29+'Inputs'!$B$31+'Inputs'!$B$32,'Inputs'!$B$30+'Inputs'!$B$31+'Inputs'!$B$32)/1000+'Inputs'!$B$21+'Inputs'!$B$9+'Inputs'!$B$10))/SQRT((((55-43)*MAX('Inputs'!$B$33,'Inputs'!$B$29+'Inputs'!$B$31+'Inputs'!$B$32,'Inputs'!$B$30+'Inputs'!$B$31+'Inputs'!$B$32)/1000+'Inputs'!$B$21+'Inputs'!$B$9+'Inputs'!$B$10))^2+('Inputs'!$B$6/2)^2))))*'Results'!$B$8)+'Inputs'!$B$28*ABS((('Results'!C7*(1+'Inputs'!$B$24)*(0.5*((((55-43)*MAX('Inputs'!$B$33,'Inputs'!$B$29+'Inputs'!$B$31+'Inputs'!$B$32,'Inputs'!$B$30+'Inputs'!$B$31+'Inputs'!$B$32)/1000+'Inputs'!$B$21)+'Inputs'!$B$9)/SQRT((((55-43)*MAX('Inputs'!$B$33,'Inputs'!$B$29+'Inputs'!$B$31+'Inputs'!$B$32,'Inputs'!$B$30+'Inputs'!$B$31+'Inputs'!$B$32)/1000+'Inputs'!$B$21)+'Inputs'!$B$9)^2+('Inputs'!$B$8/2)^2)-(((55-43)*MAX('Inputs'!$B$33,'Inputs'!$B$29+'Inputs'!$B$31+'Inputs'!$B$32,'Inputs'!$B$30+'Inputs'!$B$31+'Inputs'!$B$32)/1000+'Inputs'!$B$21))/SQRT((((55-43)*MAX('Inputs'!$B$33,'Inputs'!$B$29+'Inputs'!$B$31+'Inputs'!$B$32,'Inputs'!$B$30+'Inputs'!$B$31+'Inputs'!$B$32)/1000+'Inputs'!$B$21))^2+('Inputs'!$B$8/2)^2)))-'Results'!B7*(1-'Inputs'!$B$24)*(0.5*((((55-43)*MAX('Inputs'!$B$33,'Inputs'!$B$29+'Inputs'!$B$31+'Inputs'!$B$32,'Inputs'!$B$30+'Inputs'!$B$31+'Inputs'!$B$32)/1000+'Inputs'!$B$21+'Inputs'!$B$9+'Inputs'!$B$10)+'Inputs'!$B$7)/SQRT((((55-43)*MAX('Inputs'!$B$33,'Inputs'!$B$29+'Inputs'!$B$31+'Inputs'!$B$32,'Inputs'!$B$30+'Inputs'!$B$31+'Inputs'!$B$32)/1000+'Inputs'!$B$21+'Inputs'!$B$9+'Inputs'!$B$10)+'Inputs'!$B$7)^2+('Inputs'!$B$6/2)^2)-(((55-43)*MAX('Inputs'!$B$33,'Inputs'!$B$29+'Inputs'!$B$31+'Inputs'!$B$32,'Inputs'!$B$30+'Inputs'!$B$31+'Inputs'!$B$32)/1000+'Inputs'!$B$21+'Inputs'!$B$9+'Inputs'!$B$10))/SQRT((((55-43)*MAX('Inputs'!$B$33,'Inputs'!$B$29+'Inputs'!$B$31+'Inputs'!$B$32,'Inputs'!$B$30+'Inputs'!$B$31+'Inputs'!$B$32)/1000+'Inputs'!$B$21+'Inputs'!$B$9+'Inputs'!$B$10))^2+('Inputs'!$B$6/2)^2))))*'Results'!$B$8))),"")</x:f>
        <x:v>1911.125900660886</x:v>
      </x:c>
      <x:c r="P55" t="n">
        <x:f>IF(AND(MAX(J55,J54)&gt;0,J55&gt;J54+0.00000001),1,0)</x:f>
        <x:v>0</x:v>
      </x:c>
      <x:c r="Q55" t="n">
        <x:f>IF(AND(MAX(K55,K54)&gt;0,K55&gt;K54+0.00000001),1,0)</x:f>
        <x:v>0</x:v>
      </x:c>
      <x:c r="R55" t="n">
        <x:f>IF(AND(MAX(L55,L54)&gt;0,L55&gt;L54+0.00000001),1,0)</x:f>
        <x:v>0</x:v>
      </x:c>
      <x:c r="S55" t="n">
        <x:f>IF(AND(MAX(M55,M54)&gt;0,M55&gt;M54+0.00000001),1,0)</x:f>
        <x:v>0</x:v>
      </x:c>
      <x:c r="T55" t="n">
        <x:f>IF(AND(MAX(N55,N54)&gt;0,N55&gt;N54+0.00000001),1,0)</x:f>
        <x:v>0</x:v>
      </x:c>
      <x:c r="U55" t="n">
        <x:f>IF(AND(MAX(O55,O54)&gt;0,O55&gt;O54+0.00000001),1,0)</x:f>
        <x:v>0</x:v>
      </x:c>
    </x:row>
    <x:row r="56">
      <x:c r="J56" t="n">
        <x:f>IF(AND(ISNUMBER('Results'!B7),ISNUMBER('Results'!C7),ISNUMBER('Results'!$B$8),ISNUMBER('Inputs'!$B$6),ISNUMBER('Inputs'!$B$7),ISNUMBER('Inputs'!$B$8),ISNUMBER('Inputs'!$B$9),ISNUMBER('Inputs'!$B$10),ISNUMBER('Inputs'!$B$21),ISNUMBER('Inputs'!$B$24),ISNUMBER('Inputs'!$B$28)),(('Results'!B7*(0.5*((((56-43)*MAX('Inputs'!$B$33,'Inputs'!$B$29+'Inputs'!$B$31+'Inputs'!$B$32,'Inputs'!$B$30+'Inputs'!$B$31+'Inputs'!$B$32)/1000+'Inputs'!$B$21)+'Inputs'!$B$7)/SQRT((((56-43)*MAX('Inputs'!$B$33,'Inputs'!$B$29+'Inputs'!$B$31+'Inputs'!$B$32,'Inputs'!$B$30+'Inputs'!$B$31+'Inputs'!$B$32)/1000+'Inputs'!$B$21)+'Inputs'!$B$7)^2+('Inputs'!$B$6/2)^2)-(((56-43)*MAX('Inputs'!$B$33,'Inputs'!$B$29+'Inputs'!$B$31+'Inputs'!$B$32,'Inputs'!$B$30+'Inputs'!$B$31+'Inputs'!$B$32)/1000+'Inputs'!$B$21))/SQRT((((56-43)*MAX('Inputs'!$B$33,'Inputs'!$B$29+'Inputs'!$B$31+'Inputs'!$B$32,'Inputs'!$B$30+'Inputs'!$B$31+'Inputs'!$B$32)/1000+'Inputs'!$B$21))^2+('Inputs'!$B$6/2)^2)))-'Results'!C7*(0.5*((((56-43)*MAX('Inputs'!$B$33,'Inputs'!$B$29+'Inputs'!$B$31+'Inputs'!$B$32,'Inputs'!$B$30+'Inputs'!$B$31+'Inputs'!$B$32)/1000+'Inputs'!$B$21+'Inputs'!$B$7+'Inputs'!$B$10)+'Inputs'!$B$9)/SQRT((((56-43)*MAX('Inputs'!$B$33,'Inputs'!$B$29+'Inputs'!$B$31+'Inputs'!$B$32,'Inputs'!$B$30+'Inputs'!$B$31+'Inputs'!$B$32)/1000+'Inputs'!$B$21+'Inputs'!$B$7+'Inputs'!$B$10)+'Inputs'!$B$9)^2+('Inputs'!$B$8/2)^2)-(((56-43)*MAX('Inputs'!$B$33,'Inputs'!$B$29+'Inputs'!$B$31+'Inputs'!$B$32,'Inputs'!$B$30+'Inputs'!$B$31+'Inputs'!$B$32)/1000+'Inputs'!$B$21+'Inputs'!$B$7+'Inputs'!$B$10))/SQRT((((56-43)*MAX('Inputs'!$B$33,'Inputs'!$B$29+'Inputs'!$B$31+'Inputs'!$B$32,'Inputs'!$B$30+'Inputs'!$B$31+'Inputs'!$B$32)/1000+'Inputs'!$B$21+'Inputs'!$B$7+'Inputs'!$B$10))^2+('Inputs'!$B$8/2)^2))))*'Results'!$B$8),"")</x:f>
        <x:v>1799.994926951903</x:v>
      </x:c>
      <x:c r="K56" t="n">
        <x:f>IF(AND(ISNUMBER('Results'!B7),ISNUMBER('Results'!C7),ISNUMBER('Results'!$B$8),ISNUMBER('Inputs'!$B$6),ISNUMBER('Inputs'!$B$7),ISNUMBER('Inputs'!$B$8),ISNUMBER('Inputs'!$B$9),ISNUMBER('Inputs'!$B$10),ISNUMBER('Inputs'!$B$21),ISNUMBER('Inputs'!$B$24),ISNUMBER('Inputs'!$B$28)),((('Results'!B7*(1-'Inputs'!$B$24)*(0.5*((((56-43)*MAX('Inputs'!$B$33,'Inputs'!$B$29+'Inputs'!$B$31+'Inputs'!$B$32,'Inputs'!$B$30+'Inputs'!$B$31+'Inputs'!$B$32)/1000+'Inputs'!$B$21)+'Inputs'!$B$7)/SQRT((((56-43)*MAX('Inputs'!$B$33,'Inputs'!$B$29+'Inputs'!$B$31+'Inputs'!$B$32,'Inputs'!$B$30+'Inputs'!$B$31+'Inputs'!$B$32)/1000+'Inputs'!$B$21)+'Inputs'!$B$7)^2+('Inputs'!$B$6/2)^2)-(((56-43)*MAX('Inputs'!$B$33,'Inputs'!$B$29+'Inputs'!$B$31+'Inputs'!$B$32,'Inputs'!$B$30+'Inputs'!$B$31+'Inputs'!$B$32)/1000+'Inputs'!$B$21))/SQRT((((56-43)*MAX('Inputs'!$B$33,'Inputs'!$B$29+'Inputs'!$B$31+'Inputs'!$B$32,'Inputs'!$B$30+'Inputs'!$B$31+'Inputs'!$B$32)/1000+'Inputs'!$B$21))^2+('Inputs'!$B$6/2)^2)))-'Results'!C7*(1+'Inputs'!$B$24)*(0.5*((((56-43)*MAX('Inputs'!$B$33,'Inputs'!$B$29+'Inputs'!$B$31+'Inputs'!$B$32,'Inputs'!$B$30+'Inputs'!$B$31+'Inputs'!$B$32)/1000+'Inputs'!$B$21+'Inputs'!$B$7+'Inputs'!$B$10)+'Inputs'!$B$9)/SQRT((((56-43)*MAX('Inputs'!$B$33,'Inputs'!$B$29+'Inputs'!$B$31+'Inputs'!$B$32,'Inputs'!$B$30+'Inputs'!$B$31+'Inputs'!$B$32)/1000+'Inputs'!$B$21+'Inputs'!$B$7+'Inputs'!$B$10)+'Inputs'!$B$9)^2+('Inputs'!$B$8/2)^2)-(((56-43)*MAX('Inputs'!$B$33,'Inputs'!$B$29+'Inputs'!$B$31+'Inputs'!$B$32,'Inputs'!$B$30+'Inputs'!$B$31+'Inputs'!$B$32)/1000+'Inputs'!$B$21+'Inputs'!$B$7+'Inputs'!$B$10))/SQRT((((56-43)*MAX('Inputs'!$B$33,'Inputs'!$B$29+'Inputs'!$B$31+'Inputs'!$B$32,'Inputs'!$B$30+'Inputs'!$B$31+'Inputs'!$B$32)/1000+'Inputs'!$B$21+'Inputs'!$B$7+'Inputs'!$B$10))^2+('Inputs'!$B$8/2)^2))))*'Results'!$B$8)-'Inputs'!$B$28*ABS((('Results'!B7*(1-'Inputs'!$B$24)*(0.5*((((56-43)*MAX('Inputs'!$B$33,'Inputs'!$B$29+'Inputs'!$B$31+'Inputs'!$B$32,'Inputs'!$B$30+'Inputs'!$B$31+'Inputs'!$B$32)/1000+'Inputs'!$B$21)+'Inputs'!$B$7)/SQRT((((56-43)*MAX('Inputs'!$B$33,'Inputs'!$B$29+'Inputs'!$B$31+'Inputs'!$B$32,'Inputs'!$B$30+'Inputs'!$B$31+'Inputs'!$B$32)/1000+'Inputs'!$B$21)+'Inputs'!$B$7)^2+('Inputs'!$B$6/2)^2)-(((56-43)*MAX('Inputs'!$B$33,'Inputs'!$B$29+'Inputs'!$B$31+'Inputs'!$B$32,'Inputs'!$B$30+'Inputs'!$B$31+'Inputs'!$B$32)/1000+'Inputs'!$B$21))/SQRT((((56-43)*MAX('Inputs'!$B$33,'Inputs'!$B$29+'Inputs'!$B$31+'Inputs'!$B$32,'Inputs'!$B$30+'Inputs'!$B$31+'Inputs'!$B$32)/1000+'Inputs'!$B$21))^2+('Inputs'!$B$6/2)^2)))-'Results'!C7*(1+'Inputs'!$B$24)*(0.5*((((56-43)*MAX('Inputs'!$B$33,'Inputs'!$B$29+'Inputs'!$B$31+'Inputs'!$B$32,'Inputs'!$B$30+'Inputs'!$B$31+'Inputs'!$B$32)/1000+'Inputs'!$B$21+'Inputs'!$B$7+'Inputs'!$B$10)+'Inputs'!$B$9)/SQRT((((56-43)*MAX('Inputs'!$B$33,'Inputs'!$B$29+'Inputs'!$B$31+'Inputs'!$B$32,'Inputs'!$B$30+'Inputs'!$B$31+'Inputs'!$B$32)/1000+'Inputs'!$B$21+'Inputs'!$B$7+'Inputs'!$B$10)+'Inputs'!$B$9)^2+('Inputs'!$B$8/2)^2)-(((56-43)*MAX('Inputs'!$B$33,'Inputs'!$B$29+'Inputs'!$B$31+'Inputs'!$B$32,'Inputs'!$B$30+'Inputs'!$B$31+'Inputs'!$B$32)/1000+'Inputs'!$B$21+'Inputs'!$B$7+'Inputs'!$B$10))/SQRT((((56-43)*MAX('Inputs'!$B$33,'Inputs'!$B$29+'Inputs'!$B$31+'Inputs'!$B$32,'Inputs'!$B$30+'Inputs'!$B$31+'Inputs'!$B$32)/1000+'Inputs'!$B$21+'Inputs'!$B$7+'Inputs'!$B$10))^2+('Inputs'!$B$8/2)^2))))*'Results'!$B$8))),"")</x:f>
        <x:v>1665.0407273627009</x:v>
      </x:c>
      <x:c r="L56" t="n">
        <x:f>IF(AND(ISNUMBER('Results'!B7),ISNUMBER('Results'!C7),ISNUMBER('Results'!$B$8),ISNUMBER('Inputs'!$B$6),ISNUMBER('Inputs'!$B$7),ISNUMBER('Inputs'!$B$8),ISNUMBER('Inputs'!$B$9),ISNUMBER('Inputs'!$B$10),ISNUMBER('Inputs'!$B$21),ISNUMBER('Inputs'!$B$24),ISNUMBER('Inputs'!$B$28)),((('Results'!B7*(1+'Inputs'!$B$24)*(0.5*((((56-43)*MAX('Inputs'!$B$33,'Inputs'!$B$29+'Inputs'!$B$31+'Inputs'!$B$32,'Inputs'!$B$30+'Inputs'!$B$31+'Inputs'!$B$32)/1000+'Inputs'!$B$21)+'Inputs'!$B$7)/SQRT((((56-43)*MAX('Inputs'!$B$33,'Inputs'!$B$29+'Inputs'!$B$31+'Inputs'!$B$32,'Inputs'!$B$30+'Inputs'!$B$31+'Inputs'!$B$32)/1000+'Inputs'!$B$21)+'Inputs'!$B$7)^2+('Inputs'!$B$6/2)^2)-(((56-43)*MAX('Inputs'!$B$33,'Inputs'!$B$29+'Inputs'!$B$31+'Inputs'!$B$32,'Inputs'!$B$30+'Inputs'!$B$31+'Inputs'!$B$32)/1000+'Inputs'!$B$21))/SQRT((((56-43)*MAX('Inputs'!$B$33,'Inputs'!$B$29+'Inputs'!$B$31+'Inputs'!$B$32,'Inputs'!$B$30+'Inputs'!$B$31+'Inputs'!$B$32)/1000+'Inputs'!$B$21))^2+('Inputs'!$B$6/2)^2)))-'Results'!C7*(1-'Inputs'!$B$24)*(0.5*((((56-43)*MAX('Inputs'!$B$33,'Inputs'!$B$29+'Inputs'!$B$31+'Inputs'!$B$32,'Inputs'!$B$30+'Inputs'!$B$31+'Inputs'!$B$32)/1000+'Inputs'!$B$21+'Inputs'!$B$7+'Inputs'!$B$10)+'Inputs'!$B$9)/SQRT((((56-43)*MAX('Inputs'!$B$33,'Inputs'!$B$29+'Inputs'!$B$31+'Inputs'!$B$32,'Inputs'!$B$30+'Inputs'!$B$31+'Inputs'!$B$32)/1000+'Inputs'!$B$21+'Inputs'!$B$7+'Inputs'!$B$10)+'Inputs'!$B$9)^2+('Inputs'!$B$8/2)^2)-(((56-43)*MAX('Inputs'!$B$33,'Inputs'!$B$29+'Inputs'!$B$31+'Inputs'!$B$32,'Inputs'!$B$30+'Inputs'!$B$31+'Inputs'!$B$32)/1000+'Inputs'!$B$21+'Inputs'!$B$7+'Inputs'!$B$10))/SQRT((((56-43)*MAX('Inputs'!$B$33,'Inputs'!$B$29+'Inputs'!$B$31+'Inputs'!$B$32,'Inputs'!$B$30+'Inputs'!$B$31+'Inputs'!$B$32)/1000+'Inputs'!$B$21+'Inputs'!$B$7+'Inputs'!$B$10))^2+('Inputs'!$B$8/2)^2))))*'Results'!$B$8)+'Inputs'!$B$28*ABS((('Results'!B7*(1+'Inputs'!$B$24)*(0.5*((((56-43)*MAX('Inputs'!$B$33,'Inputs'!$B$29+'Inputs'!$B$31+'Inputs'!$B$32,'Inputs'!$B$30+'Inputs'!$B$31+'Inputs'!$B$32)/1000+'Inputs'!$B$21)+'Inputs'!$B$7)/SQRT((((56-43)*MAX('Inputs'!$B$33,'Inputs'!$B$29+'Inputs'!$B$31+'Inputs'!$B$32,'Inputs'!$B$30+'Inputs'!$B$31+'Inputs'!$B$32)/1000+'Inputs'!$B$21)+'Inputs'!$B$7)^2+('Inputs'!$B$6/2)^2)-(((56-43)*MAX('Inputs'!$B$33,'Inputs'!$B$29+'Inputs'!$B$31+'Inputs'!$B$32,'Inputs'!$B$30+'Inputs'!$B$31+'Inputs'!$B$32)/1000+'Inputs'!$B$21))/SQRT((((56-43)*MAX('Inputs'!$B$33,'Inputs'!$B$29+'Inputs'!$B$31+'Inputs'!$B$32,'Inputs'!$B$30+'Inputs'!$B$31+'Inputs'!$B$32)/1000+'Inputs'!$B$21))^2+('Inputs'!$B$6/2)^2)))-'Results'!C7*(1-'Inputs'!$B$24)*(0.5*((((56-43)*MAX('Inputs'!$B$33,'Inputs'!$B$29+'Inputs'!$B$31+'Inputs'!$B$32,'Inputs'!$B$30+'Inputs'!$B$31+'Inputs'!$B$32)/1000+'Inputs'!$B$21+'Inputs'!$B$7+'Inputs'!$B$10)+'Inputs'!$B$9)/SQRT((((56-43)*MAX('Inputs'!$B$33,'Inputs'!$B$29+'Inputs'!$B$31+'Inputs'!$B$32,'Inputs'!$B$30+'Inputs'!$B$31+'Inputs'!$B$32)/1000+'Inputs'!$B$21+'Inputs'!$B$7+'Inputs'!$B$10)+'Inputs'!$B$9)^2+('Inputs'!$B$8/2)^2)-(((56-43)*MAX('Inputs'!$B$33,'Inputs'!$B$29+'Inputs'!$B$31+'Inputs'!$B$32,'Inputs'!$B$30+'Inputs'!$B$31+'Inputs'!$B$32)/1000+'Inputs'!$B$21+'Inputs'!$B$7+'Inputs'!$B$10))/SQRT((((56-43)*MAX('Inputs'!$B$33,'Inputs'!$B$29+'Inputs'!$B$31+'Inputs'!$B$32,'Inputs'!$B$30+'Inputs'!$B$31+'Inputs'!$B$32)/1000+'Inputs'!$B$21+'Inputs'!$B$7+'Inputs'!$B$10))^2+('Inputs'!$B$8/2)^2))))*'Results'!$B$8))),"")</x:f>
        <x:v>1939.681174250748</x:v>
      </x:c>
      <x:c r="M56" t="n">
        <x:f>IF(AND(ISNUMBER('Results'!C7),ISNUMBER('Results'!B7),ISNUMBER('Results'!$B$8),ISNUMBER('Inputs'!$B$6),ISNUMBER('Inputs'!$B$7),ISNUMBER('Inputs'!$B$8),ISNUMBER('Inputs'!$B$9),ISNUMBER('Inputs'!$B$10),ISNUMBER('Inputs'!$B$21),ISNUMBER('Inputs'!$B$24),ISNUMBER('Inputs'!$B$28)),(('Results'!C7*(0.5*((((56-43)*MAX('Inputs'!$B$33,'Inputs'!$B$29+'Inputs'!$B$31+'Inputs'!$B$32,'Inputs'!$B$30+'Inputs'!$B$31+'Inputs'!$B$32)/1000+'Inputs'!$B$21)+'Inputs'!$B$9)/SQRT((((56-43)*MAX('Inputs'!$B$33,'Inputs'!$B$29+'Inputs'!$B$31+'Inputs'!$B$32,'Inputs'!$B$30+'Inputs'!$B$31+'Inputs'!$B$32)/1000+'Inputs'!$B$21)+'Inputs'!$B$9)^2+('Inputs'!$B$8/2)^2)-(((56-43)*MAX('Inputs'!$B$33,'Inputs'!$B$29+'Inputs'!$B$31+'Inputs'!$B$32,'Inputs'!$B$30+'Inputs'!$B$31+'Inputs'!$B$32)/1000+'Inputs'!$B$21))/SQRT((((56-43)*MAX('Inputs'!$B$33,'Inputs'!$B$29+'Inputs'!$B$31+'Inputs'!$B$32,'Inputs'!$B$30+'Inputs'!$B$31+'Inputs'!$B$32)/1000+'Inputs'!$B$21))^2+('Inputs'!$B$8/2)^2)))-'Results'!B7*(0.5*((((56-43)*MAX('Inputs'!$B$33,'Inputs'!$B$29+'Inputs'!$B$31+'Inputs'!$B$32,'Inputs'!$B$30+'Inputs'!$B$31+'Inputs'!$B$32)/1000+'Inputs'!$B$21+'Inputs'!$B$9+'Inputs'!$B$10)+'Inputs'!$B$7)/SQRT((((56-43)*MAX('Inputs'!$B$33,'Inputs'!$B$29+'Inputs'!$B$31+'Inputs'!$B$32,'Inputs'!$B$30+'Inputs'!$B$31+'Inputs'!$B$32)/1000+'Inputs'!$B$21+'Inputs'!$B$9+'Inputs'!$B$10)+'Inputs'!$B$7)^2+('Inputs'!$B$6/2)^2)-(((56-43)*MAX('Inputs'!$B$33,'Inputs'!$B$29+'Inputs'!$B$31+'Inputs'!$B$32,'Inputs'!$B$30+'Inputs'!$B$31+'Inputs'!$B$32)/1000+'Inputs'!$B$21+'Inputs'!$B$9+'Inputs'!$B$10))/SQRT((((56-43)*MAX('Inputs'!$B$33,'Inputs'!$B$29+'Inputs'!$B$31+'Inputs'!$B$32,'Inputs'!$B$30+'Inputs'!$B$31+'Inputs'!$B$32)/1000+'Inputs'!$B$21+'Inputs'!$B$9+'Inputs'!$B$10))^2+('Inputs'!$B$6/2)^2))))*'Results'!$B$8),"")</x:f>
        <x:v>1752.5589337477463</x:v>
      </x:c>
      <x:c r="N56" t="n">
        <x:f>IF(AND(ISNUMBER('Results'!C7),ISNUMBER('Results'!B7),ISNUMBER('Results'!$B$8),ISNUMBER('Inputs'!$B$6),ISNUMBER('Inputs'!$B$7),ISNUMBER('Inputs'!$B$8),ISNUMBER('Inputs'!$B$9),ISNUMBER('Inputs'!$B$10),ISNUMBER('Inputs'!$B$21),ISNUMBER('Inputs'!$B$24),ISNUMBER('Inputs'!$B$28)),((('Results'!C7*(1-'Inputs'!$B$24)*(0.5*((((56-43)*MAX('Inputs'!$B$33,'Inputs'!$B$29+'Inputs'!$B$31+'Inputs'!$B$32,'Inputs'!$B$30+'Inputs'!$B$31+'Inputs'!$B$32)/1000+'Inputs'!$B$21)+'Inputs'!$B$9)/SQRT((((56-43)*MAX('Inputs'!$B$33,'Inputs'!$B$29+'Inputs'!$B$31+'Inputs'!$B$32,'Inputs'!$B$30+'Inputs'!$B$31+'Inputs'!$B$32)/1000+'Inputs'!$B$21)+'Inputs'!$B$9)^2+('Inputs'!$B$8/2)^2)-(((56-43)*MAX('Inputs'!$B$33,'Inputs'!$B$29+'Inputs'!$B$31+'Inputs'!$B$32,'Inputs'!$B$30+'Inputs'!$B$31+'Inputs'!$B$32)/1000+'Inputs'!$B$21))/SQRT((((56-43)*MAX('Inputs'!$B$33,'Inputs'!$B$29+'Inputs'!$B$31+'Inputs'!$B$32,'Inputs'!$B$30+'Inputs'!$B$31+'Inputs'!$B$32)/1000+'Inputs'!$B$21))^2+('Inputs'!$B$8/2)^2)))-'Results'!B7*(1+'Inputs'!$B$24)*(0.5*((((56-43)*MAX('Inputs'!$B$33,'Inputs'!$B$29+'Inputs'!$B$31+'Inputs'!$B$32,'Inputs'!$B$30+'Inputs'!$B$31+'Inputs'!$B$32)/1000+'Inputs'!$B$21+'Inputs'!$B$9+'Inputs'!$B$10)+'Inputs'!$B$7)/SQRT((((56-43)*MAX('Inputs'!$B$33,'Inputs'!$B$29+'Inputs'!$B$31+'Inputs'!$B$32,'Inputs'!$B$30+'Inputs'!$B$31+'Inputs'!$B$32)/1000+'Inputs'!$B$21+'Inputs'!$B$9+'Inputs'!$B$10)+'Inputs'!$B$7)^2+('Inputs'!$B$6/2)^2)-(((56-43)*MAX('Inputs'!$B$33,'Inputs'!$B$29+'Inputs'!$B$31+'Inputs'!$B$32,'Inputs'!$B$30+'Inputs'!$B$31+'Inputs'!$B$32)/1000+'Inputs'!$B$21+'Inputs'!$B$9+'Inputs'!$B$10))/SQRT((((56-43)*MAX('Inputs'!$B$33,'Inputs'!$B$29+'Inputs'!$B$31+'Inputs'!$B$32,'Inputs'!$B$30+'Inputs'!$B$31+'Inputs'!$B$32)/1000+'Inputs'!$B$21+'Inputs'!$B$9+'Inputs'!$B$10))^2+('Inputs'!$B$6/2)^2))))*'Results'!$B$8)-'Inputs'!$B$28*ABS((('Results'!C7*(1-'Inputs'!$B$24)*(0.5*((((56-43)*MAX('Inputs'!$B$33,'Inputs'!$B$29+'Inputs'!$B$31+'Inputs'!$B$32,'Inputs'!$B$30+'Inputs'!$B$31+'Inputs'!$B$32)/1000+'Inputs'!$B$21)+'Inputs'!$B$9)/SQRT((((56-43)*MAX('Inputs'!$B$33,'Inputs'!$B$29+'Inputs'!$B$31+'Inputs'!$B$32,'Inputs'!$B$30+'Inputs'!$B$31+'Inputs'!$B$32)/1000+'Inputs'!$B$21)+'Inputs'!$B$9)^2+('Inputs'!$B$8/2)^2)-(((56-43)*MAX('Inputs'!$B$33,'Inputs'!$B$29+'Inputs'!$B$31+'Inputs'!$B$32,'Inputs'!$B$30+'Inputs'!$B$31+'Inputs'!$B$32)/1000+'Inputs'!$B$21))/SQRT((((56-43)*MAX('Inputs'!$B$33,'Inputs'!$B$29+'Inputs'!$B$31+'Inputs'!$B$32,'Inputs'!$B$30+'Inputs'!$B$31+'Inputs'!$B$32)/1000+'Inputs'!$B$21))^2+('Inputs'!$B$8/2)^2)))-'Results'!B7*(1+'Inputs'!$B$24)*(0.5*((((56-43)*MAX('Inputs'!$B$33,'Inputs'!$B$29+'Inputs'!$B$31+'Inputs'!$B$32,'Inputs'!$B$30+'Inputs'!$B$31+'Inputs'!$B$32)/1000+'Inputs'!$B$21+'Inputs'!$B$9+'Inputs'!$B$10)+'Inputs'!$B$7)/SQRT((((56-43)*MAX('Inputs'!$B$33,'Inputs'!$B$29+'Inputs'!$B$31+'Inputs'!$B$32,'Inputs'!$B$30+'Inputs'!$B$31+'Inputs'!$B$32)/1000+'Inputs'!$B$21+'Inputs'!$B$9+'Inputs'!$B$10)+'Inputs'!$B$7)^2+('Inputs'!$B$6/2)^2)-(((56-43)*MAX('Inputs'!$B$33,'Inputs'!$B$29+'Inputs'!$B$31+'Inputs'!$B$32,'Inputs'!$B$30+'Inputs'!$B$31+'Inputs'!$B$32)/1000+'Inputs'!$B$21+'Inputs'!$B$9+'Inputs'!$B$10))/SQRT((((56-43)*MAX('Inputs'!$B$33,'Inputs'!$B$29+'Inputs'!$B$31+'Inputs'!$B$32,'Inputs'!$B$30+'Inputs'!$B$31+'Inputs'!$B$32)/1000+'Inputs'!$B$21+'Inputs'!$B$9+'Inputs'!$B$10))^2+('Inputs'!$B$6/2)^2))))*'Results'!$B$8))),"")</x:f>
        <x:v>1620.6583370849462</x:v>
      </x:c>
      <x:c r="O56" t="n">
        <x:f>IF(AND(ISNUMBER('Results'!C7),ISNUMBER('Results'!B7),ISNUMBER('Results'!$B$8),ISNUMBER('Inputs'!$B$6),ISNUMBER('Inputs'!$B$7),ISNUMBER('Inputs'!$B$8),ISNUMBER('Inputs'!$B$9),ISNUMBER('Inputs'!$B$10),ISNUMBER('Inputs'!$B$21),ISNUMBER('Inputs'!$B$24),ISNUMBER('Inputs'!$B$28)),((('Results'!C7*(1+'Inputs'!$B$24)*(0.5*((((56-43)*MAX('Inputs'!$B$33,'Inputs'!$B$29+'Inputs'!$B$31+'Inputs'!$B$32,'Inputs'!$B$30+'Inputs'!$B$31+'Inputs'!$B$32)/1000+'Inputs'!$B$21)+'Inputs'!$B$9)/SQRT((((56-43)*MAX('Inputs'!$B$33,'Inputs'!$B$29+'Inputs'!$B$31+'Inputs'!$B$32,'Inputs'!$B$30+'Inputs'!$B$31+'Inputs'!$B$32)/1000+'Inputs'!$B$21)+'Inputs'!$B$9)^2+('Inputs'!$B$8/2)^2)-(((56-43)*MAX('Inputs'!$B$33,'Inputs'!$B$29+'Inputs'!$B$31+'Inputs'!$B$32,'Inputs'!$B$30+'Inputs'!$B$31+'Inputs'!$B$32)/1000+'Inputs'!$B$21))/SQRT((((56-43)*MAX('Inputs'!$B$33,'Inputs'!$B$29+'Inputs'!$B$31+'Inputs'!$B$32,'Inputs'!$B$30+'Inputs'!$B$31+'Inputs'!$B$32)/1000+'Inputs'!$B$21))^2+('Inputs'!$B$8/2)^2)))-'Results'!B7*(1-'Inputs'!$B$24)*(0.5*((((56-43)*MAX('Inputs'!$B$33,'Inputs'!$B$29+'Inputs'!$B$31+'Inputs'!$B$32,'Inputs'!$B$30+'Inputs'!$B$31+'Inputs'!$B$32)/1000+'Inputs'!$B$21+'Inputs'!$B$9+'Inputs'!$B$10)+'Inputs'!$B$7)/SQRT((((56-43)*MAX('Inputs'!$B$33,'Inputs'!$B$29+'Inputs'!$B$31+'Inputs'!$B$32,'Inputs'!$B$30+'Inputs'!$B$31+'Inputs'!$B$32)/1000+'Inputs'!$B$21+'Inputs'!$B$9+'Inputs'!$B$10)+'Inputs'!$B$7)^2+('Inputs'!$B$6/2)^2)-(((56-43)*MAX('Inputs'!$B$33,'Inputs'!$B$29+'Inputs'!$B$31+'Inputs'!$B$32,'Inputs'!$B$30+'Inputs'!$B$31+'Inputs'!$B$32)/1000+'Inputs'!$B$21+'Inputs'!$B$9+'Inputs'!$B$10))/SQRT((((56-43)*MAX('Inputs'!$B$33,'Inputs'!$B$29+'Inputs'!$B$31+'Inputs'!$B$32,'Inputs'!$B$30+'Inputs'!$B$31+'Inputs'!$B$32)/1000+'Inputs'!$B$21+'Inputs'!$B$9+'Inputs'!$B$10))^2+('Inputs'!$B$6/2)^2))))*'Results'!$B$8)+'Inputs'!$B$28*ABS((('Results'!C7*(1+'Inputs'!$B$24)*(0.5*((((56-43)*MAX('Inputs'!$B$33,'Inputs'!$B$29+'Inputs'!$B$31+'Inputs'!$B$32,'Inputs'!$B$30+'Inputs'!$B$31+'Inputs'!$B$32)/1000+'Inputs'!$B$21)+'Inputs'!$B$9)/SQRT((((56-43)*MAX('Inputs'!$B$33,'Inputs'!$B$29+'Inputs'!$B$31+'Inputs'!$B$32,'Inputs'!$B$30+'Inputs'!$B$31+'Inputs'!$B$32)/1000+'Inputs'!$B$21)+'Inputs'!$B$9)^2+('Inputs'!$B$8/2)^2)-(((56-43)*MAX('Inputs'!$B$33,'Inputs'!$B$29+'Inputs'!$B$31+'Inputs'!$B$32,'Inputs'!$B$30+'Inputs'!$B$31+'Inputs'!$B$32)/1000+'Inputs'!$B$21))/SQRT((((56-43)*MAX('Inputs'!$B$33,'Inputs'!$B$29+'Inputs'!$B$31+'Inputs'!$B$32,'Inputs'!$B$30+'Inputs'!$B$31+'Inputs'!$B$32)/1000+'Inputs'!$B$21))^2+('Inputs'!$B$8/2)^2)))-'Results'!B7*(1-'Inputs'!$B$24)*(0.5*((((56-43)*MAX('Inputs'!$B$33,'Inputs'!$B$29+'Inputs'!$B$31+'Inputs'!$B$32,'Inputs'!$B$30+'Inputs'!$B$31+'Inputs'!$B$32)/1000+'Inputs'!$B$21+'Inputs'!$B$9+'Inputs'!$B$10)+'Inputs'!$B$7)/SQRT((((56-43)*MAX('Inputs'!$B$33,'Inputs'!$B$29+'Inputs'!$B$31+'Inputs'!$B$32,'Inputs'!$B$30+'Inputs'!$B$31+'Inputs'!$B$32)/1000+'Inputs'!$B$21+'Inputs'!$B$9+'Inputs'!$B$10)+'Inputs'!$B$7)^2+('Inputs'!$B$6/2)^2)-(((56-43)*MAX('Inputs'!$B$33,'Inputs'!$B$29+'Inputs'!$B$31+'Inputs'!$B$32,'Inputs'!$B$30+'Inputs'!$B$31+'Inputs'!$B$32)/1000+'Inputs'!$B$21+'Inputs'!$B$9+'Inputs'!$B$10))/SQRT((((56-43)*MAX('Inputs'!$B$33,'Inputs'!$B$29+'Inputs'!$B$31+'Inputs'!$B$32,'Inputs'!$B$30+'Inputs'!$B$31+'Inputs'!$B$32)/1000+'Inputs'!$B$21+'Inputs'!$B$9+'Inputs'!$B$10))^2+('Inputs'!$B$6/2)^2))))*'Results'!$B$8))),"")</x:f>
        <x:v>1889.1198093553257</x:v>
      </x:c>
      <x:c r="P56" t="n">
        <x:f>IF(AND(MAX(J56,J55)&gt;0,J56&gt;J55+0.00000001),1,0)</x:f>
        <x:v>0</x:v>
      </x:c>
      <x:c r="Q56" t="n">
        <x:f>IF(AND(MAX(K56,K55)&gt;0,K56&gt;K55+0.00000001),1,0)</x:f>
        <x:v>0</x:v>
      </x:c>
      <x:c r="R56" t="n">
        <x:f>IF(AND(MAX(L56,L55)&gt;0,L56&gt;L55+0.00000001),1,0)</x:f>
        <x:v>0</x:v>
      </x:c>
      <x:c r="S56" t="n">
        <x:f>IF(AND(MAX(M56,M55)&gt;0,M56&gt;M55+0.00000001),1,0)</x:f>
        <x:v>0</x:v>
      </x:c>
      <x:c r="T56" t="n">
        <x:f>IF(AND(MAX(N56,N55)&gt;0,N56&gt;N55+0.00000001),1,0)</x:f>
        <x:v>0</x:v>
      </x:c>
      <x:c r="U56" t="n">
        <x:f>IF(AND(MAX(O56,O55)&gt;0,O56&gt;O55+0.00000001),1,0)</x:f>
        <x:v>0</x:v>
      </x:c>
    </x:row>
    <x:row r="57">
      <x:c r="J57" t="n">
        <x:f>IF(AND(ISNUMBER('Results'!B7),ISNUMBER('Results'!C7),ISNUMBER('Results'!$B$8),ISNUMBER('Inputs'!$B$6),ISNUMBER('Inputs'!$B$7),ISNUMBER('Inputs'!$B$8),ISNUMBER('Inputs'!$B$9),ISNUMBER('Inputs'!$B$10),ISNUMBER('Inputs'!$B$21),ISNUMBER('Inputs'!$B$24),ISNUMBER('Inputs'!$B$28)),(('Results'!B7*(0.5*((((57-43)*MAX('Inputs'!$B$33,'Inputs'!$B$29+'Inputs'!$B$31+'Inputs'!$B$32,'Inputs'!$B$30+'Inputs'!$B$31+'Inputs'!$B$32)/1000+'Inputs'!$B$21)+'Inputs'!$B$7)/SQRT((((57-43)*MAX('Inputs'!$B$33,'Inputs'!$B$29+'Inputs'!$B$31+'Inputs'!$B$32,'Inputs'!$B$30+'Inputs'!$B$31+'Inputs'!$B$32)/1000+'Inputs'!$B$21)+'Inputs'!$B$7)^2+('Inputs'!$B$6/2)^2)-(((57-43)*MAX('Inputs'!$B$33,'Inputs'!$B$29+'Inputs'!$B$31+'Inputs'!$B$32,'Inputs'!$B$30+'Inputs'!$B$31+'Inputs'!$B$32)/1000+'Inputs'!$B$21))/SQRT((((57-43)*MAX('Inputs'!$B$33,'Inputs'!$B$29+'Inputs'!$B$31+'Inputs'!$B$32,'Inputs'!$B$30+'Inputs'!$B$31+'Inputs'!$B$32)/1000+'Inputs'!$B$21))^2+('Inputs'!$B$6/2)^2)))-'Results'!C7*(0.5*((((57-43)*MAX('Inputs'!$B$33,'Inputs'!$B$29+'Inputs'!$B$31+'Inputs'!$B$32,'Inputs'!$B$30+'Inputs'!$B$31+'Inputs'!$B$32)/1000+'Inputs'!$B$21+'Inputs'!$B$7+'Inputs'!$B$10)+'Inputs'!$B$9)/SQRT((((57-43)*MAX('Inputs'!$B$33,'Inputs'!$B$29+'Inputs'!$B$31+'Inputs'!$B$32,'Inputs'!$B$30+'Inputs'!$B$31+'Inputs'!$B$32)/1000+'Inputs'!$B$21+'Inputs'!$B$7+'Inputs'!$B$10)+'Inputs'!$B$9)^2+('Inputs'!$B$8/2)^2)-(((57-43)*MAX('Inputs'!$B$33,'Inputs'!$B$29+'Inputs'!$B$31+'Inputs'!$B$32,'Inputs'!$B$30+'Inputs'!$B$31+'Inputs'!$B$32)/1000+'Inputs'!$B$21+'Inputs'!$B$7+'Inputs'!$B$10))/SQRT((((57-43)*MAX('Inputs'!$B$33,'Inputs'!$B$29+'Inputs'!$B$31+'Inputs'!$B$32,'Inputs'!$B$30+'Inputs'!$B$31+'Inputs'!$B$32)/1000+'Inputs'!$B$21+'Inputs'!$B$7+'Inputs'!$B$10))^2+('Inputs'!$B$8/2)^2))))*'Results'!$B$8),"")</x:f>
        <x:v>1778.6514662657794</x:v>
      </x:c>
      <x:c r="K57" t="n">
        <x:f>IF(AND(ISNUMBER('Results'!B7),ISNUMBER('Results'!C7),ISNUMBER('Results'!$B$8),ISNUMBER('Inputs'!$B$6),ISNUMBER('Inputs'!$B$7),ISNUMBER('Inputs'!$B$8),ISNUMBER('Inputs'!$B$9),ISNUMBER('Inputs'!$B$10),ISNUMBER('Inputs'!$B$21),ISNUMBER('Inputs'!$B$24),ISNUMBER('Inputs'!$B$28)),((('Results'!B7*(1-'Inputs'!$B$24)*(0.5*((((57-43)*MAX('Inputs'!$B$33,'Inputs'!$B$29+'Inputs'!$B$31+'Inputs'!$B$32,'Inputs'!$B$30+'Inputs'!$B$31+'Inputs'!$B$32)/1000+'Inputs'!$B$21)+'Inputs'!$B$7)/SQRT((((57-43)*MAX('Inputs'!$B$33,'Inputs'!$B$29+'Inputs'!$B$31+'Inputs'!$B$32,'Inputs'!$B$30+'Inputs'!$B$31+'Inputs'!$B$32)/1000+'Inputs'!$B$21)+'Inputs'!$B$7)^2+('Inputs'!$B$6/2)^2)-(((57-43)*MAX('Inputs'!$B$33,'Inputs'!$B$29+'Inputs'!$B$31+'Inputs'!$B$32,'Inputs'!$B$30+'Inputs'!$B$31+'Inputs'!$B$32)/1000+'Inputs'!$B$21))/SQRT((((57-43)*MAX('Inputs'!$B$33,'Inputs'!$B$29+'Inputs'!$B$31+'Inputs'!$B$32,'Inputs'!$B$30+'Inputs'!$B$31+'Inputs'!$B$32)/1000+'Inputs'!$B$21))^2+('Inputs'!$B$6/2)^2)))-'Results'!C7*(1+'Inputs'!$B$24)*(0.5*((((57-43)*MAX('Inputs'!$B$33,'Inputs'!$B$29+'Inputs'!$B$31+'Inputs'!$B$32,'Inputs'!$B$30+'Inputs'!$B$31+'Inputs'!$B$32)/1000+'Inputs'!$B$21+'Inputs'!$B$7+'Inputs'!$B$10)+'Inputs'!$B$9)/SQRT((((57-43)*MAX('Inputs'!$B$33,'Inputs'!$B$29+'Inputs'!$B$31+'Inputs'!$B$32,'Inputs'!$B$30+'Inputs'!$B$31+'Inputs'!$B$32)/1000+'Inputs'!$B$21+'Inputs'!$B$7+'Inputs'!$B$10)+'Inputs'!$B$9)^2+('Inputs'!$B$8/2)^2)-(((57-43)*MAX('Inputs'!$B$33,'Inputs'!$B$29+'Inputs'!$B$31+'Inputs'!$B$32,'Inputs'!$B$30+'Inputs'!$B$31+'Inputs'!$B$32)/1000+'Inputs'!$B$21+'Inputs'!$B$7+'Inputs'!$B$10))/SQRT((((57-43)*MAX('Inputs'!$B$33,'Inputs'!$B$29+'Inputs'!$B$31+'Inputs'!$B$32,'Inputs'!$B$30+'Inputs'!$B$31+'Inputs'!$B$32)/1000+'Inputs'!$B$21+'Inputs'!$B$7+'Inputs'!$B$10))^2+('Inputs'!$B$8/2)^2))))*'Results'!$B$8)-'Inputs'!$B$28*ABS((('Results'!B7*(1-'Inputs'!$B$24)*(0.5*((((57-43)*MAX('Inputs'!$B$33,'Inputs'!$B$29+'Inputs'!$B$31+'Inputs'!$B$32,'Inputs'!$B$30+'Inputs'!$B$31+'Inputs'!$B$32)/1000+'Inputs'!$B$21)+'Inputs'!$B$7)/SQRT((((57-43)*MAX('Inputs'!$B$33,'Inputs'!$B$29+'Inputs'!$B$31+'Inputs'!$B$32,'Inputs'!$B$30+'Inputs'!$B$31+'Inputs'!$B$32)/1000+'Inputs'!$B$21)+'Inputs'!$B$7)^2+('Inputs'!$B$6/2)^2)-(((57-43)*MAX('Inputs'!$B$33,'Inputs'!$B$29+'Inputs'!$B$31+'Inputs'!$B$32,'Inputs'!$B$30+'Inputs'!$B$31+'Inputs'!$B$32)/1000+'Inputs'!$B$21))/SQRT((((57-43)*MAX('Inputs'!$B$33,'Inputs'!$B$29+'Inputs'!$B$31+'Inputs'!$B$32,'Inputs'!$B$30+'Inputs'!$B$31+'Inputs'!$B$32)/1000+'Inputs'!$B$21))^2+('Inputs'!$B$6/2)^2)))-'Results'!C7*(1+'Inputs'!$B$24)*(0.5*((((57-43)*MAX('Inputs'!$B$33,'Inputs'!$B$29+'Inputs'!$B$31+'Inputs'!$B$32,'Inputs'!$B$30+'Inputs'!$B$31+'Inputs'!$B$32)/1000+'Inputs'!$B$21+'Inputs'!$B$7+'Inputs'!$B$10)+'Inputs'!$B$9)/SQRT((((57-43)*MAX('Inputs'!$B$33,'Inputs'!$B$29+'Inputs'!$B$31+'Inputs'!$B$32,'Inputs'!$B$30+'Inputs'!$B$31+'Inputs'!$B$32)/1000+'Inputs'!$B$21+'Inputs'!$B$7+'Inputs'!$B$10)+'Inputs'!$B$9)^2+('Inputs'!$B$8/2)^2)-(((57-43)*MAX('Inputs'!$B$33,'Inputs'!$B$29+'Inputs'!$B$31+'Inputs'!$B$32,'Inputs'!$B$30+'Inputs'!$B$31+'Inputs'!$B$32)/1000+'Inputs'!$B$21+'Inputs'!$B$7+'Inputs'!$B$10))/SQRT((((57-43)*MAX('Inputs'!$B$33,'Inputs'!$B$29+'Inputs'!$B$31+'Inputs'!$B$32,'Inputs'!$B$30+'Inputs'!$B$31+'Inputs'!$B$32)/1000+'Inputs'!$B$21+'Inputs'!$B$7+'Inputs'!$B$10))^2+('Inputs'!$B$8/2)^2))))*'Results'!$B$8))),"")</x:f>
        <x:v>1645.3392743082559</x:v>
      </x:c>
      <x:c r="L57" t="n">
        <x:f>IF(AND(ISNUMBER('Results'!B7),ISNUMBER('Results'!C7),ISNUMBER('Results'!$B$8),ISNUMBER('Inputs'!$B$6),ISNUMBER('Inputs'!$B$7),ISNUMBER('Inputs'!$B$8),ISNUMBER('Inputs'!$B$9),ISNUMBER('Inputs'!$B$10),ISNUMBER('Inputs'!$B$21),ISNUMBER('Inputs'!$B$24),ISNUMBER('Inputs'!$B$28)),((('Results'!B7*(1+'Inputs'!$B$24)*(0.5*((((57-43)*MAX('Inputs'!$B$33,'Inputs'!$B$29+'Inputs'!$B$31+'Inputs'!$B$32,'Inputs'!$B$30+'Inputs'!$B$31+'Inputs'!$B$32)/1000+'Inputs'!$B$21)+'Inputs'!$B$7)/SQRT((((57-43)*MAX('Inputs'!$B$33,'Inputs'!$B$29+'Inputs'!$B$31+'Inputs'!$B$32,'Inputs'!$B$30+'Inputs'!$B$31+'Inputs'!$B$32)/1000+'Inputs'!$B$21)+'Inputs'!$B$7)^2+('Inputs'!$B$6/2)^2)-(((57-43)*MAX('Inputs'!$B$33,'Inputs'!$B$29+'Inputs'!$B$31+'Inputs'!$B$32,'Inputs'!$B$30+'Inputs'!$B$31+'Inputs'!$B$32)/1000+'Inputs'!$B$21))/SQRT((((57-43)*MAX('Inputs'!$B$33,'Inputs'!$B$29+'Inputs'!$B$31+'Inputs'!$B$32,'Inputs'!$B$30+'Inputs'!$B$31+'Inputs'!$B$32)/1000+'Inputs'!$B$21))^2+('Inputs'!$B$6/2)^2)))-'Results'!C7*(1-'Inputs'!$B$24)*(0.5*((((57-43)*MAX('Inputs'!$B$33,'Inputs'!$B$29+'Inputs'!$B$31+'Inputs'!$B$32,'Inputs'!$B$30+'Inputs'!$B$31+'Inputs'!$B$32)/1000+'Inputs'!$B$21+'Inputs'!$B$7+'Inputs'!$B$10)+'Inputs'!$B$9)/SQRT((((57-43)*MAX('Inputs'!$B$33,'Inputs'!$B$29+'Inputs'!$B$31+'Inputs'!$B$32,'Inputs'!$B$30+'Inputs'!$B$31+'Inputs'!$B$32)/1000+'Inputs'!$B$21+'Inputs'!$B$7+'Inputs'!$B$10)+'Inputs'!$B$9)^2+('Inputs'!$B$8/2)^2)-(((57-43)*MAX('Inputs'!$B$33,'Inputs'!$B$29+'Inputs'!$B$31+'Inputs'!$B$32,'Inputs'!$B$30+'Inputs'!$B$31+'Inputs'!$B$32)/1000+'Inputs'!$B$21+'Inputs'!$B$7+'Inputs'!$B$10))/SQRT((((57-43)*MAX('Inputs'!$B$33,'Inputs'!$B$29+'Inputs'!$B$31+'Inputs'!$B$32,'Inputs'!$B$30+'Inputs'!$B$31+'Inputs'!$B$32)/1000+'Inputs'!$B$21+'Inputs'!$B$7+'Inputs'!$B$10))^2+('Inputs'!$B$8/2)^2))))*'Results'!$B$8)+'Inputs'!$B$28*ABS((('Results'!B7*(1+'Inputs'!$B$24)*(0.5*((((57-43)*MAX('Inputs'!$B$33,'Inputs'!$B$29+'Inputs'!$B$31+'Inputs'!$B$32,'Inputs'!$B$30+'Inputs'!$B$31+'Inputs'!$B$32)/1000+'Inputs'!$B$21)+'Inputs'!$B$7)/SQRT((((57-43)*MAX('Inputs'!$B$33,'Inputs'!$B$29+'Inputs'!$B$31+'Inputs'!$B$32,'Inputs'!$B$30+'Inputs'!$B$31+'Inputs'!$B$32)/1000+'Inputs'!$B$21)+'Inputs'!$B$7)^2+('Inputs'!$B$6/2)^2)-(((57-43)*MAX('Inputs'!$B$33,'Inputs'!$B$29+'Inputs'!$B$31+'Inputs'!$B$32,'Inputs'!$B$30+'Inputs'!$B$31+'Inputs'!$B$32)/1000+'Inputs'!$B$21))/SQRT((((57-43)*MAX('Inputs'!$B$33,'Inputs'!$B$29+'Inputs'!$B$31+'Inputs'!$B$32,'Inputs'!$B$30+'Inputs'!$B$31+'Inputs'!$B$32)/1000+'Inputs'!$B$21))^2+('Inputs'!$B$6/2)^2)))-'Results'!C7*(1-'Inputs'!$B$24)*(0.5*((((57-43)*MAX('Inputs'!$B$33,'Inputs'!$B$29+'Inputs'!$B$31+'Inputs'!$B$32,'Inputs'!$B$30+'Inputs'!$B$31+'Inputs'!$B$32)/1000+'Inputs'!$B$21+'Inputs'!$B$7+'Inputs'!$B$10)+'Inputs'!$B$9)/SQRT((((57-43)*MAX('Inputs'!$B$33,'Inputs'!$B$29+'Inputs'!$B$31+'Inputs'!$B$32,'Inputs'!$B$30+'Inputs'!$B$31+'Inputs'!$B$32)/1000+'Inputs'!$B$21+'Inputs'!$B$7+'Inputs'!$B$10)+'Inputs'!$B$9)^2+('Inputs'!$B$8/2)^2)-(((57-43)*MAX('Inputs'!$B$33,'Inputs'!$B$29+'Inputs'!$B$31+'Inputs'!$B$32,'Inputs'!$B$30+'Inputs'!$B$31+'Inputs'!$B$32)/1000+'Inputs'!$B$21+'Inputs'!$B$7+'Inputs'!$B$10))/SQRT((((57-43)*MAX('Inputs'!$B$33,'Inputs'!$B$29+'Inputs'!$B$31+'Inputs'!$B$32,'Inputs'!$B$30+'Inputs'!$B$31+'Inputs'!$B$32)/1000+'Inputs'!$B$21+'Inputs'!$B$7+'Inputs'!$B$10))^2+('Inputs'!$B$8/2)^2))))*'Results'!$B$8))),"")</x:f>
        <x:v>1916.6351970279595</x:v>
      </x:c>
      <x:c r="M57" t="n">
        <x:f>IF(AND(ISNUMBER('Results'!C7),ISNUMBER('Results'!B7),ISNUMBER('Results'!$B$8),ISNUMBER('Inputs'!$B$6),ISNUMBER('Inputs'!$B$7),ISNUMBER('Inputs'!$B$8),ISNUMBER('Inputs'!$B$9),ISNUMBER('Inputs'!$B$10),ISNUMBER('Inputs'!$B$21),ISNUMBER('Inputs'!$B$24),ISNUMBER('Inputs'!$B$28)),(('Results'!C7*(0.5*((((57-43)*MAX('Inputs'!$B$33,'Inputs'!$B$29+'Inputs'!$B$31+'Inputs'!$B$32,'Inputs'!$B$30+'Inputs'!$B$31+'Inputs'!$B$32)/1000+'Inputs'!$B$21)+'Inputs'!$B$9)/SQRT((((57-43)*MAX('Inputs'!$B$33,'Inputs'!$B$29+'Inputs'!$B$31+'Inputs'!$B$32,'Inputs'!$B$30+'Inputs'!$B$31+'Inputs'!$B$32)/1000+'Inputs'!$B$21)+'Inputs'!$B$9)^2+('Inputs'!$B$8/2)^2)-(((57-43)*MAX('Inputs'!$B$33,'Inputs'!$B$29+'Inputs'!$B$31+'Inputs'!$B$32,'Inputs'!$B$30+'Inputs'!$B$31+'Inputs'!$B$32)/1000+'Inputs'!$B$21))/SQRT((((57-43)*MAX('Inputs'!$B$33,'Inputs'!$B$29+'Inputs'!$B$31+'Inputs'!$B$32,'Inputs'!$B$30+'Inputs'!$B$31+'Inputs'!$B$32)/1000+'Inputs'!$B$21))^2+('Inputs'!$B$8/2)^2)))-'Results'!B7*(0.5*((((57-43)*MAX('Inputs'!$B$33,'Inputs'!$B$29+'Inputs'!$B$31+'Inputs'!$B$32,'Inputs'!$B$30+'Inputs'!$B$31+'Inputs'!$B$32)/1000+'Inputs'!$B$21+'Inputs'!$B$9+'Inputs'!$B$10)+'Inputs'!$B$7)/SQRT((((57-43)*MAX('Inputs'!$B$33,'Inputs'!$B$29+'Inputs'!$B$31+'Inputs'!$B$32,'Inputs'!$B$30+'Inputs'!$B$31+'Inputs'!$B$32)/1000+'Inputs'!$B$21+'Inputs'!$B$9+'Inputs'!$B$10)+'Inputs'!$B$7)^2+('Inputs'!$B$6/2)^2)-(((57-43)*MAX('Inputs'!$B$33,'Inputs'!$B$29+'Inputs'!$B$31+'Inputs'!$B$32,'Inputs'!$B$30+'Inputs'!$B$31+'Inputs'!$B$32)/1000+'Inputs'!$B$21+'Inputs'!$B$9+'Inputs'!$B$10))/SQRT((((57-43)*MAX('Inputs'!$B$33,'Inputs'!$B$29+'Inputs'!$B$31+'Inputs'!$B$32,'Inputs'!$B$30+'Inputs'!$B$31+'Inputs'!$B$32)/1000+'Inputs'!$B$21+'Inputs'!$B$9+'Inputs'!$B$10))^2+('Inputs'!$B$6/2)^2))))*'Results'!$B$8),"")</x:f>
        <x:v>1731.8223806812448</x:v>
      </x:c>
      <x:c r="N57" t="n">
        <x:f>IF(AND(ISNUMBER('Results'!C7),ISNUMBER('Results'!B7),ISNUMBER('Results'!$B$8),ISNUMBER('Inputs'!$B$6),ISNUMBER('Inputs'!$B$7),ISNUMBER('Inputs'!$B$8),ISNUMBER('Inputs'!$B$9),ISNUMBER('Inputs'!$B$10),ISNUMBER('Inputs'!$B$21),ISNUMBER('Inputs'!$B$24),ISNUMBER('Inputs'!$B$28)),((('Results'!C7*(1-'Inputs'!$B$24)*(0.5*((((57-43)*MAX('Inputs'!$B$33,'Inputs'!$B$29+'Inputs'!$B$31+'Inputs'!$B$32,'Inputs'!$B$30+'Inputs'!$B$31+'Inputs'!$B$32)/1000+'Inputs'!$B$21)+'Inputs'!$B$9)/SQRT((((57-43)*MAX('Inputs'!$B$33,'Inputs'!$B$29+'Inputs'!$B$31+'Inputs'!$B$32,'Inputs'!$B$30+'Inputs'!$B$31+'Inputs'!$B$32)/1000+'Inputs'!$B$21)+'Inputs'!$B$9)^2+('Inputs'!$B$8/2)^2)-(((57-43)*MAX('Inputs'!$B$33,'Inputs'!$B$29+'Inputs'!$B$31+'Inputs'!$B$32,'Inputs'!$B$30+'Inputs'!$B$31+'Inputs'!$B$32)/1000+'Inputs'!$B$21))/SQRT((((57-43)*MAX('Inputs'!$B$33,'Inputs'!$B$29+'Inputs'!$B$31+'Inputs'!$B$32,'Inputs'!$B$30+'Inputs'!$B$31+'Inputs'!$B$32)/1000+'Inputs'!$B$21))^2+('Inputs'!$B$8/2)^2)))-'Results'!B7*(1+'Inputs'!$B$24)*(0.5*((((57-43)*MAX('Inputs'!$B$33,'Inputs'!$B$29+'Inputs'!$B$31+'Inputs'!$B$32,'Inputs'!$B$30+'Inputs'!$B$31+'Inputs'!$B$32)/1000+'Inputs'!$B$21+'Inputs'!$B$9+'Inputs'!$B$10)+'Inputs'!$B$7)/SQRT((((57-43)*MAX('Inputs'!$B$33,'Inputs'!$B$29+'Inputs'!$B$31+'Inputs'!$B$32,'Inputs'!$B$30+'Inputs'!$B$31+'Inputs'!$B$32)/1000+'Inputs'!$B$21+'Inputs'!$B$9+'Inputs'!$B$10)+'Inputs'!$B$7)^2+('Inputs'!$B$6/2)^2)-(((57-43)*MAX('Inputs'!$B$33,'Inputs'!$B$29+'Inputs'!$B$31+'Inputs'!$B$32,'Inputs'!$B$30+'Inputs'!$B$31+'Inputs'!$B$32)/1000+'Inputs'!$B$21+'Inputs'!$B$9+'Inputs'!$B$10))/SQRT((((57-43)*MAX('Inputs'!$B$33,'Inputs'!$B$29+'Inputs'!$B$31+'Inputs'!$B$32,'Inputs'!$B$30+'Inputs'!$B$31+'Inputs'!$B$32)/1000+'Inputs'!$B$21+'Inputs'!$B$9+'Inputs'!$B$10))^2+('Inputs'!$B$6/2)^2))))*'Results'!$B$8)-'Inputs'!$B$28*ABS((('Results'!C7*(1-'Inputs'!$B$24)*(0.5*((((57-43)*MAX('Inputs'!$B$33,'Inputs'!$B$29+'Inputs'!$B$31+'Inputs'!$B$32,'Inputs'!$B$30+'Inputs'!$B$31+'Inputs'!$B$32)/1000+'Inputs'!$B$21)+'Inputs'!$B$9)/SQRT((((57-43)*MAX('Inputs'!$B$33,'Inputs'!$B$29+'Inputs'!$B$31+'Inputs'!$B$32,'Inputs'!$B$30+'Inputs'!$B$31+'Inputs'!$B$32)/1000+'Inputs'!$B$21)+'Inputs'!$B$9)^2+('Inputs'!$B$8/2)^2)-(((57-43)*MAX('Inputs'!$B$33,'Inputs'!$B$29+'Inputs'!$B$31+'Inputs'!$B$32,'Inputs'!$B$30+'Inputs'!$B$31+'Inputs'!$B$32)/1000+'Inputs'!$B$21))/SQRT((((57-43)*MAX('Inputs'!$B$33,'Inputs'!$B$29+'Inputs'!$B$31+'Inputs'!$B$32,'Inputs'!$B$30+'Inputs'!$B$31+'Inputs'!$B$32)/1000+'Inputs'!$B$21))^2+('Inputs'!$B$8/2)^2)))-'Results'!B7*(1+'Inputs'!$B$24)*(0.5*((((57-43)*MAX('Inputs'!$B$33,'Inputs'!$B$29+'Inputs'!$B$31+'Inputs'!$B$32,'Inputs'!$B$30+'Inputs'!$B$31+'Inputs'!$B$32)/1000+'Inputs'!$B$21+'Inputs'!$B$9+'Inputs'!$B$10)+'Inputs'!$B$7)/SQRT((((57-43)*MAX('Inputs'!$B$33,'Inputs'!$B$29+'Inputs'!$B$31+'Inputs'!$B$32,'Inputs'!$B$30+'Inputs'!$B$31+'Inputs'!$B$32)/1000+'Inputs'!$B$21+'Inputs'!$B$9+'Inputs'!$B$10)+'Inputs'!$B$7)^2+('Inputs'!$B$6/2)^2)-(((57-43)*MAX('Inputs'!$B$33,'Inputs'!$B$29+'Inputs'!$B$31+'Inputs'!$B$32,'Inputs'!$B$30+'Inputs'!$B$31+'Inputs'!$B$32)/1000+'Inputs'!$B$21+'Inputs'!$B$9+'Inputs'!$B$10))/SQRT((((57-43)*MAX('Inputs'!$B$33,'Inputs'!$B$29+'Inputs'!$B$31+'Inputs'!$B$32,'Inputs'!$B$30+'Inputs'!$B$31+'Inputs'!$B$32)/1000+'Inputs'!$B$21+'Inputs'!$B$9+'Inputs'!$B$10))^2+('Inputs'!$B$6/2)^2))))*'Results'!$B$8))),"")</x:f>
        <x:v>1601.5253703069075</x:v>
      </x:c>
      <x:c r="O57" t="n">
        <x:f>IF(AND(ISNUMBER('Results'!C7),ISNUMBER('Results'!B7),ISNUMBER('Results'!$B$8),ISNUMBER('Inputs'!$B$6),ISNUMBER('Inputs'!$B$7),ISNUMBER('Inputs'!$B$8),ISNUMBER('Inputs'!$B$9),ISNUMBER('Inputs'!$B$10),ISNUMBER('Inputs'!$B$21),ISNUMBER('Inputs'!$B$24),ISNUMBER('Inputs'!$B$28)),((('Results'!C7*(1+'Inputs'!$B$24)*(0.5*((((57-43)*MAX('Inputs'!$B$33,'Inputs'!$B$29+'Inputs'!$B$31+'Inputs'!$B$32,'Inputs'!$B$30+'Inputs'!$B$31+'Inputs'!$B$32)/1000+'Inputs'!$B$21)+'Inputs'!$B$9)/SQRT((((57-43)*MAX('Inputs'!$B$33,'Inputs'!$B$29+'Inputs'!$B$31+'Inputs'!$B$32,'Inputs'!$B$30+'Inputs'!$B$31+'Inputs'!$B$32)/1000+'Inputs'!$B$21)+'Inputs'!$B$9)^2+('Inputs'!$B$8/2)^2)-(((57-43)*MAX('Inputs'!$B$33,'Inputs'!$B$29+'Inputs'!$B$31+'Inputs'!$B$32,'Inputs'!$B$30+'Inputs'!$B$31+'Inputs'!$B$32)/1000+'Inputs'!$B$21))/SQRT((((57-43)*MAX('Inputs'!$B$33,'Inputs'!$B$29+'Inputs'!$B$31+'Inputs'!$B$32,'Inputs'!$B$30+'Inputs'!$B$31+'Inputs'!$B$32)/1000+'Inputs'!$B$21))^2+('Inputs'!$B$8/2)^2)))-'Results'!B7*(1-'Inputs'!$B$24)*(0.5*((((57-43)*MAX('Inputs'!$B$33,'Inputs'!$B$29+'Inputs'!$B$31+'Inputs'!$B$32,'Inputs'!$B$30+'Inputs'!$B$31+'Inputs'!$B$32)/1000+'Inputs'!$B$21+'Inputs'!$B$9+'Inputs'!$B$10)+'Inputs'!$B$7)/SQRT((((57-43)*MAX('Inputs'!$B$33,'Inputs'!$B$29+'Inputs'!$B$31+'Inputs'!$B$32,'Inputs'!$B$30+'Inputs'!$B$31+'Inputs'!$B$32)/1000+'Inputs'!$B$21+'Inputs'!$B$9+'Inputs'!$B$10)+'Inputs'!$B$7)^2+('Inputs'!$B$6/2)^2)-(((57-43)*MAX('Inputs'!$B$33,'Inputs'!$B$29+'Inputs'!$B$31+'Inputs'!$B$32,'Inputs'!$B$30+'Inputs'!$B$31+'Inputs'!$B$32)/1000+'Inputs'!$B$21+'Inputs'!$B$9+'Inputs'!$B$10))/SQRT((((57-43)*MAX('Inputs'!$B$33,'Inputs'!$B$29+'Inputs'!$B$31+'Inputs'!$B$32,'Inputs'!$B$30+'Inputs'!$B$31+'Inputs'!$B$32)/1000+'Inputs'!$B$21+'Inputs'!$B$9+'Inputs'!$B$10))^2+('Inputs'!$B$6/2)^2))))*'Results'!$B$8)+'Inputs'!$B$28*ABS((('Results'!C7*(1+'Inputs'!$B$24)*(0.5*((((57-43)*MAX('Inputs'!$B$33,'Inputs'!$B$29+'Inputs'!$B$31+'Inputs'!$B$32,'Inputs'!$B$30+'Inputs'!$B$31+'Inputs'!$B$32)/1000+'Inputs'!$B$21)+'Inputs'!$B$9)/SQRT((((57-43)*MAX('Inputs'!$B$33,'Inputs'!$B$29+'Inputs'!$B$31+'Inputs'!$B$32,'Inputs'!$B$30+'Inputs'!$B$31+'Inputs'!$B$32)/1000+'Inputs'!$B$21)+'Inputs'!$B$9)^2+('Inputs'!$B$8/2)^2)-(((57-43)*MAX('Inputs'!$B$33,'Inputs'!$B$29+'Inputs'!$B$31+'Inputs'!$B$32,'Inputs'!$B$30+'Inputs'!$B$31+'Inputs'!$B$32)/1000+'Inputs'!$B$21))/SQRT((((57-43)*MAX('Inputs'!$B$33,'Inputs'!$B$29+'Inputs'!$B$31+'Inputs'!$B$32,'Inputs'!$B$30+'Inputs'!$B$31+'Inputs'!$B$32)/1000+'Inputs'!$B$21))^2+('Inputs'!$B$8/2)^2)))-'Results'!B7*(1-'Inputs'!$B$24)*(0.5*((((57-43)*MAX('Inputs'!$B$33,'Inputs'!$B$29+'Inputs'!$B$31+'Inputs'!$B$32,'Inputs'!$B$30+'Inputs'!$B$31+'Inputs'!$B$32)/1000+'Inputs'!$B$21+'Inputs'!$B$9+'Inputs'!$B$10)+'Inputs'!$B$7)/SQRT((((57-43)*MAX('Inputs'!$B$33,'Inputs'!$B$29+'Inputs'!$B$31+'Inputs'!$B$32,'Inputs'!$B$30+'Inputs'!$B$31+'Inputs'!$B$32)/1000+'Inputs'!$B$21+'Inputs'!$B$9+'Inputs'!$B$10)+'Inputs'!$B$7)^2+('Inputs'!$B$6/2)^2)-(((57-43)*MAX('Inputs'!$B$33,'Inputs'!$B$29+'Inputs'!$B$31+'Inputs'!$B$32,'Inputs'!$B$30+'Inputs'!$B$31+'Inputs'!$B$32)/1000+'Inputs'!$B$21+'Inputs'!$B$9+'Inputs'!$B$10))/SQRT((((57-43)*MAX('Inputs'!$B$33,'Inputs'!$B$29+'Inputs'!$B$31+'Inputs'!$B$32,'Inputs'!$B$30+'Inputs'!$B$31+'Inputs'!$B$32)/1000+'Inputs'!$B$21+'Inputs'!$B$9+'Inputs'!$B$10))^2+('Inputs'!$B$6/2)^2))))*'Results'!$B$8))),"")</x:f>
        <x:v>1866.7200111966638</x:v>
      </x:c>
      <x:c r="P57" t="n">
        <x:f>IF(AND(MAX(J57,J56)&gt;0,J57&gt;J56+0.00000001),1,0)</x:f>
        <x:v>0</x:v>
      </x:c>
      <x:c r="Q57" t="n">
        <x:f>IF(AND(MAX(K57,K56)&gt;0,K57&gt;K56+0.00000001),1,0)</x:f>
        <x:v>0</x:v>
      </x:c>
      <x:c r="R57" t="n">
        <x:f>IF(AND(MAX(L57,L56)&gt;0,L57&gt;L56+0.00000001),1,0)</x:f>
        <x:v>0</x:v>
      </x:c>
      <x:c r="S57" t="n">
        <x:f>IF(AND(MAX(M57,M56)&gt;0,M57&gt;M56+0.00000001),1,0)</x:f>
        <x:v>0</x:v>
      </x:c>
      <x:c r="T57" t="n">
        <x:f>IF(AND(MAX(N57,N56)&gt;0,N57&gt;N56+0.00000001),1,0)</x:f>
        <x:v>0</x:v>
      </x:c>
      <x:c r="U57" t="n">
        <x:f>IF(AND(MAX(O57,O56)&gt;0,O57&gt;O56+0.00000001),1,0)</x:f>
        <x:v>0</x:v>
      </x:c>
    </x:row>
    <x:row r="58">
      <x:c r="J58" t="n">
        <x:f>IF(AND(ISNUMBER('Results'!B7),ISNUMBER('Results'!C7),ISNUMBER('Results'!$B$8),ISNUMBER('Inputs'!$B$6),ISNUMBER('Inputs'!$B$7),ISNUMBER('Inputs'!$B$8),ISNUMBER('Inputs'!$B$9),ISNUMBER('Inputs'!$B$10),ISNUMBER('Inputs'!$B$21),ISNUMBER('Inputs'!$B$24),ISNUMBER('Inputs'!$B$28)),(('Results'!B7*(0.5*((((58-43)*MAX('Inputs'!$B$33,'Inputs'!$B$29+'Inputs'!$B$31+'Inputs'!$B$32,'Inputs'!$B$30+'Inputs'!$B$31+'Inputs'!$B$32)/1000+'Inputs'!$B$21)+'Inputs'!$B$7)/SQRT((((58-43)*MAX('Inputs'!$B$33,'Inputs'!$B$29+'Inputs'!$B$31+'Inputs'!$B$32,'Inputs'!$B$30+'Inputs'!$B$31+'Inputs'!$B$32)/1000+'Inputs'!$B$21)+'Inputs'!$B$7)^2+('Inputs'!$B$6/2)^2)-(((58-43)*MAX('Inputs'!$B$33,'Inputs'!$B$29+'Inputs'!$B$31+'Inputs'!$B$32,'Inputs'!$B$30+'Inputs'!$B$31+'Inputs'!$B$32)/1000+'Inputs'!$B$21))/SQRT((((58-43)*MAX('Inputs'!$B$33,'Inputs'!$B$29+'Inputs'!$B$31+'Inputs'!$B$32,'Inputs'!$B$30+'Inputs'!$B$31+'Inputs'!$B$32)/1000+'Inputs'!$B$21))^2+('Inputs'!$B$6/2)^2)))-'Results'!C7*(0.5*((((58-43)*MAX('Inputs'!$B$33,'Inputs'!$B$29+'Inputs'!$B$31+'Inputs'!$B$32,'Inputs'!$B$30+'Inputs'!$B$31+'Inputs'!$B$32)/1000+'Inputs'!$B$21+'Inputs'!$B$7+'Inputs'!$B$10)+'Inputs'!$B$9)/SQRT((((58-43)*MAX('Inputs'!$B$33,'Inputs'!$B$29+'Inputs'!$B$31+'Inputs'!$B$32,'Inputs'!$B$30+'Inputs'!$B$31+'Inputs'!$B$32)/1000+'Inputs'!$B$21+'Inputs'!$B$7+'Inputs'!$B$10)+'Inputs'!$B$9)^2+('Inputs'!$B$8/2)^2)-(((58-43)*MAX('Inputs'!$B$33,'Inputs'!$B$29+'Inputs'!$B$31+'Inputs'!$B$32,'Inputs'!$B$30+'Inputs'!$B$31+'Inputs'!$B$32)/1000+'Inputs'!$B$21+'Inputs'!$B$7+'Inputs'!$B$10))/SQRT((((58-43)*MAX('Inputs'!$B$33,'Inputs'!$B$29+'Inputs'!$B$31+'Inputs'!$B$32,'Inputs'!$B$30+'Inputs'!$B$31+'Inputs'!$B$32)/1000+'Inputs'!$B$21+'Inputs'!$B$7+'Inputs'!$B$10))^2+('Inputs'!$B$8/2)^2))))*'Results'!$B$8),"")</x:f>
        <x:v>1756.967341568136</x:v>
      </x:c>
      <x:c r="K58" t="n">
        <x:f>IF(AND(ISNUMBER('Results'!B7),ISNUMBER('Results'!C7),ISNUMBER('Results'!$B$8),ISNUMBER('Inputs'!$B$6),ISNUMBER('Inputs'!$B$7),ISNUMBER('Inputs'!$B$8),ISNUMBER('Inputs'!$B$9),ISNUMBER('Inputs'!$B$10),ISNUMBER('Inputs'!$B$21),ISNUMBER('Inputs'!$B$24),ISNUMBER('Inputs'!$B$28)),((('Results'!B7*(1-'Inputs'!$B$24)*(0.5*((((58-43)*MAX('Inputs'!$B$33,'Inputs'!$B$29+'Inputs'!$B$31+'Inputs'!$B$32,'Inputs'!$B$30+'Inputs'!$B$31+'Inputs'!$B$32)/1000+'Inputs'!$B$21)+'Inputs'!$B$7)/SQRT((((58-43)*MAX('Inputs'!$B$33,'Inputs'!$B$29+'Inputs'!$B$31+'Inputs'!$B$32,'Inputs'!$B$30+'Inputs'!$B$31+'Inputs'!$B$32)/1000+'Inputs'!$B$21)+'Inputs'!$B$7)^2+('Inputs'!$B$6/2)^2)-(((58-43)*MAX('Inputs'!$B$33,'Inputs'!$B$29+'Inputs'!$B$31+'Inputs'!$B$32,'Inputs'!$B$30+'Inputs'!$B$31+'Inputs'!$B$32)/1000+'Inputs'!$B$21))/SQRT((((58-43)*MAX('Inputs'!$B$33,'Inputs'!$B$29+'Inputs'!$B$31+'Inputs'!$B$32,'Inputs'!$B$30+'Inputs'!$B$31+'Inputs'!$B$32)/1000+'Inputs'!$B$21))^2+('Inputs'!$B$6/2)^2)))-'Results'!C7*(1+'Inputs'!$B$24)*(0.5*((((58-43)*MAX('Inputs'!$B$33,'Inputs'!$B$29+'Inputs'!$B$31+'Inputs'!$B$32,'Inputs'!$B$30+'Inputs'!$B$31+'Inputs'!$B$32)/1000+'Inputs'!$B$21+'Inputs'!$B$7+'Inputs'!$B$10)+'Inputs'!$B$9)/SQRT((((58-43)*MAX('Inputs'!$B$33,'Inputs'!$B$29+'Inputs'!$B$31+'Inputs'!$B$32,'Inputs'!$B$30+'Inputs'!$B$31+'Inputs'!$B$32)/1000+'Inputs'!$B$21+'Inputs'!$B$7+'Inputs'!$B$10)+'Inputs'!$B$9)^2+('Inputs'!$B$8/2)^2)-(((58-43)*MAX('Inputs'!$B$33,'Inputs'!$B$29+'Inputs'!$B$31+'Inputs'!$B$32,'Inputs'!$B$30+'Inputs'!$B$31+'Inputs'!$B$32)/1000+'Inputs'!$B$21+'Inputs'!$B$7+'Inputs'!$B$10))/SQRT((((58-43)*MAX('Inputs'!$B$33,'Inputs'!$B$29+'Inputs'!$B$31+'Inputs'!$B$32,'Inputs'!$B$30+'Inputs'!$B$31+'Inputs'!$B$32)/1000+'Inputs'!$B$21+'Inputs'!$B$7+'Inputs'!$B$10))^2+('Inputs'!$B$8/2)^2))))*'Results'!$B$8)-'Inputs'!$B$28*ABS((('Results'!B7*(1-'Inputs'!$B$24)*(0.5*((((58-43)*MAX('Inputs'!$B$33,'Inputs'!$B$29+'Inputs'!$B$31+'Inputs'!$B$32,'Inputs'!$B$30+'Inputs'!$B$31+'Inputs'!$B$32)/1000+'Inputs'!$B$21)+'Inputs'!$B$7)/SQRT((((58-43)*MAX('Inputs'!$B$33,'Inputs'!$B$29+'Inputs'!$B$31+'Inputs'!$B$32,'Inputs'!$B$30+'Inputs'!$B$31+'Inputs'!$B$32)/1000+'Inputs'!$B$21)+'Inputs'!$B$7)^2+('Inputs'!$B$6/2)^2)-(((58-43)*MAX('Inputs'!$B$33,'Inputs'!$B$29+'Inputs'!$B$31+'Inputs'!$B$32,'Inputs'!$B$30+'Inputs'!$B$31+'Inputs'!$B$32)/1000+'Inputs'!$B$21))/SQRT((((58-43)*MAX('Inputs'!$B$33,'Inputs'!$B$29+'Inputs'!$B$31+'Inputs'!$B$32,'Inputs'!$B$30+'Inputs'!$B$31+'Inputs'!$B$32)/1000+'Inputs'!$B$21))^2+('Inputs'!$B$6/2)^2)))-'Results'!C7*(1+'Inputs'!$B$24)*(0.5*((((58-43)*MAX('Inputs'!$B$33,'Inputs'!$B$29+'Inputs'!$B$31+'Inputs'!$B$32,'Inputs'!$B$30+'Inputs'!$B$31+'Inputs'!$B$32)/1000+'Inputs'!$B$21+'Inputs'!$B$7+'Inputs'!$B$10)+'Inputs'!$B$9)/SQRT((((58-43)*MAX('Inputs'!$B$33,'Inputs'!$B$29+'Inputs'!$B$31+'Inputs'!$B$32,'Inputs'!$B$30+'Inputs'!$B$31+'Inputs'!$B$32)/1000+'Inputs'!$B$21+'Inputs'!$B$7+'Inputs'!$B$10)+'Inputs'!$B$9)^2+('Inputs'!$B$8/2)^2)-(((58-43)*MAX('Inputs'!$B$33,'Inputs'!$B$29+'Inputs'!$B$31+'Inputs'!$B$32,'Inputs'!$B$30+'Inputs'!$B$31+'Inputs'!$B$32)/1000+'Inputs'!$B$21+'Inputs'!$B$7+'Inputs'!$B$10))/SQRT((((58-43)*MAX('Inputs'!$B$33,'Inputs'!$B$29+'Inputs'!$B$31+'Inputs'!$B$32,'Inputs'!$B$30+'Inputs'!$B$31+'Inputs'!$B$32)/1000+'Inputs'!$B$21+'Inputs'!$B$7+'Inputs'!$B$10))^2+('Inputs'!$B$8/2)^2))))*'Results'!$B$8))),"")</x:f>
        <x:v>1625.3173844655887</x:v>
      </x:c>
      <x:c r="L58" t="n">
        <x:f>IF(AND(ISNUMBER('Results'!B7),ISNUMBER('Results'!C7),ISNUMBER('Results'!$B$8),ISNUMBER('Inputs'!$B$6),ISNUMBER('Inputs'!$B$7),ISNUMBER('Inputs'!$B$8),ISNUMBER('Inputs'!$B$9),ISNUMBER('Inputs'!$B$10),ISNUMBER('Inputs'!$B$21),ISNUMBER('Inputs'!$B$24),ISNUMBER('Inputs'!$B$28)),((('Results'!B7*(1+'Inputs'!$B$24)*(0.5*((((58-43)*MAX('Inputs'!$B$33,'Inputs'!$B$29+'Inputs'!$B$31+'Inputs'!$B$32,'Inputs'!$B$30+'Inputs'!$B$31+'Inputs'!$B$32)/1000+'Inputs'!$B$21)+'Inputs'!$B$7)/SQRT((((58-43)*MAX('Inputs'!$B$33,'Inputs'!$B$29+'Inputs'!$B$31+'Inputs'!$B$32,'Inputs'!$B$30+'Inputs'!$B$31+'Inputs'!$B$32)/1000+'Inputs'!$B$21)+'Inputs'!$B$7)^2+('Inputs'!$B$6/2)^2)-(((58-43)*MAX('Inputs'!$B$33,'Inputs'!$B$29+'Inputs'!$B$31+'Inputs'!$B$32,'Inputs'!$B$30+'Inputs'!$B$31+'Inputs'!$B$32)/1000+'Inputs'!$B$21))/SQRT((((58-43)*MAX('Inputs'!$B$33,'Inputs'!$B$29+'Inputs'!$B$31+'Inputs'!$B$32,'Inputs'!$B$30+'Inputs'!$B$31+'Inputs'!$B$32)/1000+'Inputs'!$B$21))^2+('Inputs'!$B$6/2)^2)))-'Results'!C7*(1-'Inputs'!$B$24)*(0.5*((((58-43)*MAX('Inputs'!$B$33,'Inputs'!$B$29+'Inputs'!$B$31+'Inputs'!$B$32,'Inputs'!$B$30+'Inputs'!$B$31+'Inputs'!$B$32)/1000+'Inputs'!$B$21+'Inputs'!$B$7+'Inputs'!$B$10)+'Inputs'!$B$9)/SQRT((((58-43)*MAX('Inputs'!$B$33,'Inputs'!$B$29+'Inputs'!$B$31+'Inputs'!$B$32,'Inputs'!$B$30+'Inputs'!$B$31+'Inputs'!$B$32)/1000+'Inputs'!$B$21+'Inputs'!$B$7+'Inputs'!$B$10)+'Inputs'!$B$9)^2+('Inputs'!$B$8/2)^2)-(((58-43)*MAX('Inputs'!$B$33,'Inputs'!$B$29+'Inputs'!$B$31+'Inputs'!$B$32,'Inputs'!$B$30+'Inputs'!$B$31+'Inputs'!$B$32)/1000+'Inputs'!$B$21+'Inputs'!$B$7+'Inputs'!$B$10))/SQRT((((58-43)*MAX('Inputs'!$B$33,'Inputs'!$B$29+'Inputs'!$B$31+'Inputs'!$B$32,'Inputs'!$B$30+'Inputs'!$B$31+'Inputs'!$B$32)/1000+'Inputs'!$B$21+'Inputs'!$B$7+'Inputs'!$B$10))^2+('Inputs'!$B$8/2)^2))))*'Results'!$B$8)+'Inputs'!$B$28*ABS((('Results'!B7*(1+'Inputs'!$B$24)*(0.5*((((58-43)*MAX('Inputs'!$B$33,'Inputs'!$B$29+'Inputs'!$B$31+'Inputs'!$B$32,'Inputs'!$B$30+'Inputs'!$B$31+'Inputs'!$B$32)/1000+'Inputs'!$B$21)+'Inputs'!$B$7)/SQRT((((58-43)*MAX('Inputs'!$B$33,'Inputs'!$B$29+'Inputs'!$B$31+'Inputs'!$B$32,'Inputs'!$B$30+'Inputs'!$B$31+'Inputs'!$B$32)/1000+'Inputs'!$B$21)+'Inputs'!$B$7)^2+('Inputs'!$B$6/2)^2)-(((58-43)*MAX('Inputs'!$B$33,'Inputs'!$B$29+'Inputs'!$B$31+'Inputs'!$B$32,'Inputs'!$B$30+'Inputs'!$B$31+'Inputs'!$B$32)/1000+'Inputs'!$B$21))/SQRT((((58-43)*MAX('Inputs'!$B$33,'Inputs'!$B$29+'Inputs'!$B$31+'Inputs'!$B$32,'Inputs'!$B$30+'Inputs'!$B$31+'Inputs'!$B$32)/1000+'Inputs'!$B$21))^2+('Inputs'!$B$6/2)^2)))-'Results'!C7*(1-'Inputs'!$B$24)*(0.5*((((58-43)*MAX('Inputs'!$B$33,'Inputs'!$B$29+'Inputs'!$B$31+'Inputs'!$B$32,'Inputs'!$B$30+'Inputs'!$B$31+'Inputs'!$B$32)/1000+'Inputs'!$B$21+'Inputs'!$B$7+'Inputs'!$B$10)+'Inputs'!$B$9)/SQRT((((58-43)*MAX('Inputs'!$B$33,'Inputs'!$B$29+'Inputs'!$B$31+'Inputs'!$B$32,'Inputs'!$B$30+'Inputs'!$B$31+'Inputs'!$B$32)/1000+'Inputs'!$B$21+'Inputs'!$B$7+'Inputs'!$B$10)+'Inputs'!$B$9)^2+('Inputs'!$B$8/2)^2)-(((58-43)*MAX('Inputs'!$B$33,'Inputs'!$B$29+'Inputs'!$B$31+'Inputs'!$B$32,'Inputs'!$B$30+'Inputs'!$B$31+'Inputs'!$B$32)/1000+'Inputs'!$B$21+'Inputs'!$B$7+'Inputs'!$B$10))/SQRT((((58-43)*MAX('Inputs'!$B$33,'Inputs'!$B$29+'Inputs'!$B$31+'Inputs'!$B$32,'Inputs'!$B$30+'Inputs'!$B$31+'Inputs'!$B$32)/1000+'Inputs'!$B$21+'Inputs'!$B$7+'Inputs'!$B$10))^2+('Inputs'!$B$8/2)^2))))*'Results'!$B$8))),"")</x:f>
        <x:v>1893.227992357435</x:v>
      </x:c>
      <x:c r="M58" t="n">
        <x:f>IF(AND(ISNUMBER('Results'!C7),ISNUMBER('Results'!B7),ISNUMBER('Results'!$B$8),ISNUMBER('Inputs'!$B$6),ISNUMBER('Inputs'!$B$7),ISNUMBER('Inputs'!$B$8),ISNUMBER('Inputs'!$B$9),ISNUMBER('Inputs'!$B$10),ISNUMBER('Inputs'!$B$21),ISNUMBER('Inputs'!$B$24),ISNUMBER('Inputs'!$B$28)),(('Results'!C7*(0.5*((((58-43)*MAX('Inputs'!$B$33,'Inputs'!$B$29+'Inputs'!$B$31+'Inputs'!$B$32,'Inputs'!$B$30+'Inputs'!$B$31+'Inputs'!$B$32)/1000+'Inputs'!$B$21)+'Inputs'!$B$9)/SQRT((((58-43)*MAX('Inputs'!$B$33,'Inputs'!$B$29+'Inputs'!$B$31+'Inputs'!$B$32,'Inputs'!$B$30+'Inputs'!$B$31+'Inputs'!$B$32)/1000+'Inputs'!$B$21)+'Inputs'!$B$9)^2+('Inputs'!$B$8/2)^2)-(((58-43)*MAX('Inputs'!$B$33,'Inputs'!$B$29+'Inputs'!$B$31+'Inputs'!$B$32,'Inputs'!$B$30+'Inputs'!$B$31+'Inputs'!$B$32)/1000+'Inputs'!$B$21))/SQRT((((58-43)*MAX('Inputs'!$B$33,'Inputs'!$B$29+'Inputs'!$B$31+'Inputs'!$B$32,'Inputs'!$B$30+'Inputs'!$B$31+'Inputs'!$B$32)/1000+'Inputs'!$B$21))^2+('Inputs'!$B$8/2)^2)))-'Results'!B7*(0.5*((((58-43)*MAX('Inputs'!$B$33,'Inputs'!$B$29+'Inputs'!$B$31+'Inputs'!$B$32,'Inputs'!$B$30+'Inputs'!$B$31+'Inputs'!$B$32)/1000+'Inputs'!$B$21+'Inputs'!$B$9+'Inputs'!$B$10)+'Inputs'!$B$7)/SQRT((((58-43)*MAX('Inputs'!$B$33,'Inputs'!$B$29+'Inputs'!$B$31+'Inputs'!$B$32,'Inputs'!$B$30+'Inputs'!$B$31+'Inputs'!$B$32)/1000+'Inputs'!$B$21+'Inputs'!$B$9+'Inputs'!$B$10)+'Inputs'!$B$7)^2+('Inputs'!$B$6/2)^2)-(((58-43)*MAX('Inputs'!$B$33,'Inputs'!$B$29+'Inputs'!$B$31+'Inputs'!$B$32,'Inputs'!$B$30+'Inputs'!$B$31+'Inputs'!$B$32)/1000+'Inputs'!$B$21+'Inputs'!$B$9+'Inputs'!$B$10))/SQRT((((58-43)*MAX('Inputs'!$B$33,'Inputs'!$B$29+'Inputs'!$B$31+'Inputs'!$B$32,'Inputs'!$B$30+'Inputs'!$B$31+'Inputs'!$B$32)/1000+'Inputs'!$B$21+'Inputs'!$B$9+'Inputs'!$B$10))^2+('Inputs'!$B$6/2)^2))))*'Results'!$B$8),"")</x:f>
        <x:v>1710.7484905165772</x:v>
      </x:c>
      <x:c r="N58" t="n">
        <x:f>IF(AND(ISNUMBER('Results'!C7),ISNUMBER('Results'!B7),ISNUMBER('Results'!$B$8),ISNUMBER('Inputs'!$B$6),ISNUMBER('Inputs'!$B$7),ISNUMBER('Inputs'!$B$8),ISNUMBER('Inputs'!$B$9),ISNUMBER('Inputs'!$B$10),ISNUMBER('Inputs'!$B$21),ISNUMBER('Inputs'!$B$24),ISNUMBER('Inputs'!$B$28)),((('Results'!C7*(1-'Inputs'!$B$24)*(0.5*((((58-43)*MAX('Inputs'!$B$33,'Inputs'!$B$29+'Inputs'!$B$31+'Inputs'!$B$32,'Inputs'!$B$30+'Inputs'!$B$31+'Inputs'!$B$32)/1000+'Inputs'!$B$21)+'Inputs'!$B$9)/SQRT((((58-43)*MAX('Inputs'!$B$33,'Inputs'!$B$29+'Inputs'!$B$31+'Inputs'!$B$32,'Inputs'!$B$30+'Inputs'!$B$31+'Inputs'!$B$32)/1000+'Inputs'!$B$21)+'Inputs'!$B$9)^2+('Inputs'!$B$8/2)^2)-(((58-43)*MAX('Inputs'!$B$33,'Inputs'!$B$29+'Inputs'!$B$31+'Inputs'!$B$32,'Inputs'!$B$30+'Inputs'!$B$31+'Inputs'!$B$32)/1000+'Inputs'!$B$21))/SQRT((((58-43)*MAX('Inputs'!$B$33,'Inputs'!$B$29+'Inputs'!$B$31+'Inputs'!$B$32,'Inputs'!$B$30+'Inputs'!$B$31+'Inputs'!$B$32)/1000+'Inputs'!$B$21))^2+('Inputs'!$B$8/2)^2)))-'Results'!B7*(1+'Inputs'!$B$24)*(0.5*((((58-43)*MAX('Inputs'!$B$33,'Inputs'!$B$29+'Inputs'!$B$31+'Inputs'!$B$32,'Inputs'!$B$30+'Inputs'!$B$31+'Inputs'!$B$32)/1000+'Inputs'!$B$21+'Inputs'!$B$9+'Inputs'!$B$10)+'Inputs'!$B$7)/SQRT((((58-43)*MAX('Inputs'!$B$33,'Inputs'!$B$29+'Inputs'!$B$31+'Inputs'!$B$32,'Inputs'!$B$30+'Inputs'!$B$31+'Inputs'!$B$32)/1000+'Inputs'!$B$21+'Inputs'!$B$9+'Inputs'!$B$10)+'Inputs'!$B$7)^2+('Inputs'!$B$6/2)^2)-(((58-43)*MAX('Inputs'!$B$33,'Inputs'!$B$29+'Inputs'!$B$31+'Inputs'!$B$32,'Inputs'!$B$30+'Inputs'!$B$31+'Inputs'!$B$32)/1000+'Inputs'!$B$21+'Inputs'!$B$9+'Inputs'!$B$10))/SQRT((((58-43)*MAX('Inputs'!$B$33,'Inputs'!$B$29+'Inputs'!$B$31+'Inputs'!$B$32,'Inputs'!$B$30+'Inputs'!$B$31+'Inputs'!$B$32)/1000+'Inputs'!$B$21+'Inputs'!$B$9+'Inputs'!$B$10))^2+('Inputs'!$B$6/2)^2))))*'Results'!$B$8)-'Inputs'!$B$28*ABS((('Results'!C7*(1-'Inputs'!$B$24)*(0.5*((((58-43)*MAX('Inputs'!$B$33,'Inputs'!$B$29+'Inputs'!$B$31+'Inputs'!$B$32,'Inputs'!$B$30+'Inputs'!$B$31+'Inputs'!$B$32)/1000+'Inputs'!$B$21)+'Inputs'!$B$9)/SQRT((((58-43)*MAX('Inputs'!$B$33,'Inputs'!$B$29+'Inputs'!$B$31+'Inputs'!$B$32,'Inputs'!$B$30+'Inputs'!$B$31+'Inputs'!$B$32)/1000+'Inputs'!$B$21)+'Inputs'!$B$9)^2+('Inputs'!$B$8/2)^2)-(((58-43)*MAX('Inputs'!$B$33,'Inputs'!$B$29+'Inputs'!$B$31+'Inputs'!$B$32,'Inputs'!$B$30+'Inputs'!$B$31+'Inputs'!$B$32)/1000+'Inputs'!$B$21))/SQRT((((58-43)*MAX('Inputs'!$B$33,'Inputs'!$B$29+'Inputs'!$B$31+'Inputs'!$B$32,'Inputs'!$B$30+'Inputs'!$B$31+'Inputs'!$B$32)/1000+'Inputs'!$B$21))^2+('Inputs'!$B$8/2)^2)))-'Results'!B7*(1+'Inputs'!$B$24)*(0.5*((((58-43)*MAX('Inputs'!$B$33,'Inputs'!$B$29+'Inputs'!$B$31+'Inputs'!$B$32,'Inputs'!$B$30+'Inputs'!$B$31+'Inputs'!$B$32)/1000+'Inputs'!$B$21+'Inputs'!$B$9+'Inputs'!$B$10)+'Inputs'!$B$7)/SQRT((((58-43)*MAX('Inputs'!$B$33,'Inputs'!$B$29+'Inputs'!$B$31+'Inputs'!$B$32,'Inputs'!$B$30+'Inputs'!$B$31+'Inputs'!$B$32)/1000+'Inputs'!$B$21+'Inputs'!$B$9+'Inputs'!$B$10)+'Inputs'!$B$7)^2+('Inputs'!$B$6/2)^2)-(((58-43)*MAX('Inputs'!$B$33,'Inputs'!$B$29+'Inputs'!$B$31+'Inputs'!$B$32,'Inputs'!$B$30+'Inputs'!$B$31+'Inputs'!$B$32)/1000+'Inputs'!$B$21+'Inputs'!$B$9+'Inputs'!$B$10))/SQRT((((58-43)*MAX('Inputs'!$B$33,'Inputs'!$B$29+'Inputs'!$B$31+'Inputs'!$B$32,'Inputs'!$B$30+'Inputs'!$B$31+'Inputs'!$B$32)/1000+'Inputs'!$B$21+'Inputs'!$B$9+'Inputs'!$B$10))^2+('Inputs'!$B$6/2)^2))))*'Results'!$B$8))),"")</x:f>
        <x:v>1582.0749971869066</x:v>
      </x:c>
      <x:c r="O58" t="n">
        <x:f>IF(AND(ISNUMBER('Results'!C7),ISNUMBER('Results'!B7),ISNUMBER('Results'!$B$8),ISNUMBER('Inputs'!$B$6),ISNUMBER('Inputs'!$B$7),ISNUMBER('Inputs'!$B$8),ISNUMBER('Inputs'!$B$9),ISNUMBER('Inputs'!$B$10),ISNUMBER('Inputs'!$B$21),ISNUMBER('Inputs'!$B$24),ISNUMBER('Inputs'!$B$28)),((('Results'!C7*(1+'Inputs'!$B$24)*(0.5*((((58-43)*MAX('Inputs'!$B$33,'Inputs'!$B$29+'Inputs'!$B$31+'Inputs'!$B$32,'Inputs'!$B$30+'Inputs'!$B$31+'Inputs'!$B$32)/1000+'Inputs'!$B$21)+'Inputs'!$B$9)/SQRT((((58-43)*MAX('Inputs'!$B$33,'Inputs'!$B$29+'Inputs'!$B$31+'Inputs'!$B$32,'Inputs'!$B$30+'Inputs'!$B$31+'Inputs'!$B$32)/1000+'Inputs'!$B$21)+'Inputs'!$B$9)^2+('Inputs'!$B$8/2)^2)-(((58-43)*MAX('Inputs'!$B$33,'Inputs'!$B$29+'Inputs'!$B$31+'Inputs'!$B$32,'Inputs'!$B$30+'Inputs'!$B$31+'Inputs'!$B$32)/1000+'Inputs'!$B$21))/SQRT((((58-43)*MAX('Inputs'!$B$33,'Inputs'!$B$29+'Inputs'!$B$31+'Inputs'!$B$32,'Inputs'!$B$30+'Inputs'!$B$31+'Inputs'!$B$32)/1000+'Inputs'!$B$21))^2+('Inputs'!$B$8/2)^2)))-'Results'!B7*(1-'Inputs'!$B$24)*(0.5*((((58-43)*MAX('Inputs'!$B$33,'Inputs'!$B$29+'Inputs'!$B$31+'Inputs'!$B$32,'Inputs'!$B$30+'Inputs'!$B$31+'Inputs'!$B$32)/1000+'Inputs'!$B$21+'Inputs'!$B$9+'Inputs'!$B$10)+'Inputs'!$B$7)/SQRT((((58-43)*MAX('Inputs'!$B$33,'Inputs'!$B$29+'Inputs'!$B$31+'Inputs'!$B$32,'Inputs'!$B$30+'Inputs'!$B$31+'Inputs'!$B$32)/1000+'Inputs'!$B$21+'Inputs'!$B$9+'Inputs'!$B$10)+'Inputs'!$B$7)^2+('Inputs'!$B$6/2)^2)-(((58-43)*MAX('Inputs'!$B$33,'Inputs'!$B$29+'Inputs'!$B$31+'Inputs'!$B$32,'Inputs'!$B$30+'Inputs'!$B$31+'Inputs'!$B$32)/1000+'Inputs'!$B$21+'Inputs'!$B$9+'Inputs'!$B$10))/SQRT((((58-43)*MAX('Inputs'!$B$33,'Inputs'!$B$29+'Inputs'!$B$31+'Inputs'!$B$32,'Inputs'!$B$30+'Inputs'!$B$31+'Inputs'!$B$32)/1000+'Inputs'!$B$21+'Inputs'!$B$9+'Inputs'!$B$10))^2+('Inputs'!$B$6/2)^2))))*'Results'!$B$8)+'Inputs'!$B$28*ABS((('Results'!C7*(1+'Inputs'!$B$24)*(0.5*((((58-43)*MAX('Inputs'!$B$33,'Inputs'!$B$29+'Inputs'!$B$31+'Inputs'!$B$32,'Inputs'!$B$30+'Inputs'!$B$31+'Inputs'!$B$32)/1000+'Inputs'!$B$21)+'Inputs'!$B$9)/SQRT((((58-43)*MAX('Inputs'!$B$33,'Inputs'!$B$29+'Inputs'!$B$31+'Inputs'!$B$32,'Inputs'!$B$30+'Inputs'!$B$31+'Inputs'!$B$32)/1000+'Inputs'!$B$21)+'Inputs'!$B$9)^2+('Inputs'!$B$8/2)^2)-(((58-43)*MAX('Inputs'!$B$33,'Inputs'!$B$29+'Inputs'!$B$31+'Inputs'!$B$32,'Inputs'!$B$30+'Inputs'!$B$31+'Inputs'!$B$32)/1000+'Inputs'!$B$21))/SQRT((((58-43)*MAX('Inputs'!$B$33,'Inputs'!$B$29+'Inputs'!$B$31+'Inputs'!$B$32,'Inputs'!$B$30+'Inputs'!$B$31+'Inputs'!$B$32)/1000+'Inputs'!$B$21))^2+('Inputs'!$B$8/2)^2)))-'Results'!B7*(1-'Inputs'!$B$24)*(0.5*((((58-43)*MAX('Inputs'!$B$33,'Inputs'!$B$29+'Inputs'!$B$31+'Inputs'!$B$32,'Inputs'!$B$30+'Inputs'!$B$31+'Inputs'!$B$32)/1000+'Inputs'!$B$21+'Inputs'!$B$9+'Inputs'!$B$10)+'Inputs'!$B$7)/SQRT((((58-43)*MAX('Inputs'!$B$33,'Inputs'!$B$29+'Inputs'!$B$31+'Inputs'!$B$32,'Inputs'!$B$30+'Inputs'!$B$31+'Inputs'!$B$32)/1000+'Inputs'!$B$21+'Inputs'!$B$9+'Inputs'!$B$10)+'Inputs'!$B$7)^2+('Inputs'!$B$6/2)^2)-(((58-43)*MAX('Inputs'!$B$33,'Inputs'!$B$29+'Inputs'!$B$31+'Inputs'!$B$32,'Inputs'!$B$30+'Inputs'!$B$31+'Inputs'!$B$32)/1000+'Inputs'!$B$21+'Inputs'!$B$9+'Inputs'!$B$10))/SQRT((((58-43)*MAX('Inputs'!$B$33,'Inputs'!$B$29+'Inputs'!$B$31+'Inputs'!$B$32,'Inputs'!$B$30+'Inputs'!$B$31+'Inputs'!$B$32)/1000+'Inputs'!$B$21+'Inputs'!$B$9+'Inputs'!$B$10))^2+('Inputs'!$B$6/2)^2))))*'Results'!$B$8))),"")</x:f>
        <x:v>1843.9626226677046</x:v>
      </x:c>
      <x:c r="P58" t="n">
        <x:f>IF(AND(MAX(J58,J57)&gt;0,J58&gt;J57+0.00000001),1,0)</x:f>
        <x:v>0</x:v>
      </x:c>
      <x:c r="Q58" t="n">
        <x:f>IF(AND(MAX(K58,K57)&gt;0,K58&gt;K57+0.00000001),1,0)</x:f>
        <x:v>0</x:v>
      </x:c>
      <x:c r="R58" t="n">
        <x:f>IF(AND(MAX(L58,L57)&gt;0,L58&gt;L57+0.00000001),1,0)</x:f>
        <x:v>0</x:v>
      </x:c>
      <x:c r="S58" t="n">
        <x:f>IF(AND(MAX(M58,M57)&gt;0,M58&gt;M57+0.00000001),1,0)</x:f>
        <x:v>0</x:v>
      </x:c>
      <x:c r="T58" t="n">
        <x:f>IF(AND(MAX(N58,N57)&gt;0,N58&gt;N57+0.00000001),1,0)</x:f>
        <x:v>0</x:v>
      </x:c>
      <x:c r="U58" t="n">
        <x:f>IF(AND(MAX(O58,O57)&gt;0,O58&gt;O57+0.00000001),1,0)</x:f>
        <x:v>0</x:v>
      </x:c>
    </x:row>
    <x:row r="59">
      <x:c r="J59" t="n">
        <x:f>IF(AND(ISNUMBER('Results'!B7),ISNUMBER('Results'!C7),ISNUMBER('Results'!$B$8),ISNUMBER('Inputs'!$B$6),ISNUMBER('Inputs'!$B$7),ISNUMBER('Inputs'!$B$8),ISNUMBER('Inputs'!$B$9),ISNUMBER('Inputs'!$B$10),ISNUMBER('Inputs'!$B$21),ISNUMBER('Inputs'!$B$24),ISNUMBER('Inputs'!$B$28)),(('Results'!B7*(0.5*((((59-43)*MAX('Inputs'!$B$33,'Inputs'!$B$29+'Inputs'!$B$31+'Inputs'!$B$32,'Inputs'!$B$30+'Inputs'!$B$31+'Inputs'!$B$32)/1000+'Inputs'!$B$21)+'Inputs'!$B$7)/SQRT((((59-43)*MAX('Inputs'!$B$33,'Inputs'!$B$29+'Inputs'!$B$31+'Inputs'!$B$32,'Inputs'!$B$30+'Inputs'!$B$31+'Inputs'!$B$32)/1000+'Inputs'!$B$21)+'Inputs'!$B$7)^2+('Inputs'!$B$6/2)^2)-(((59-43)*MAX('Inputs'!$B$33,'Inputs'!$B$29+'Inputs'!$B$31+'Inputs'!$B$32,'Inputs'!$B$30+'Inputs'!$B$31+'Inputs'!$B$32)/1000+'Inputs'!$B$21))/SQRT((((59-43)*MAX('Inputs'!$B$33,'Inputs'!$B$29+'Inputs'!$B$31+'Inputs'!$B$32,'Inputs'!$B$30+'Inputs'!$B$31+'Inputs'!$B$32)/1000+'Inputs'!$B$21))^2+('Inputs'!$B$6/2)^2)))-'Results'!C7*(0.5*((((59-43)*MAX('Inputs'!$B$33,'Inputs'!$B$29+'Inputs'!$B$31+'Inputs'!$B$32,'Inputs'!$B$30+'Inputs'!$B$31+'Inputs'!$B$32)/1000+'Inputs'!$B$21+'Inputs'!$B$7+'Inputs'!$B$10)+'Inputs'!$B$9)/SQRT((((59-43)*MAX('Inputs'!$B$33,'Inputs'!$B$29+'Inputs'!$B$31+'Inputs'!$B$32,'Inputs'!$B$30+'Inputs'!$B$31+'Inputs'!$B$32)/1000+'Inputs'!$B$21+'Inputs'!$B$7+'Inputs'!$B$10)+'Inputs'!$B$9)^2+('Inputs'!$B$8/2)^2)-(((59-43)*MAX('Inputs'!$B$33,'Inputs'!$B$29+'Inputs'!$B$31+'Inputs'!$B$32,'Inputs'!$B$30+'Inputs'!$B$31+'Inputs'!$B$32)/1000+'Inputs'!$B$21+'Inputs'!$B$7+'Inputs'!$B$10))/SQRT((((59-43)*MAX('Inputs'!$B$33,'Inputs'!$B$29+'Inputs'!$B$31+'Inputs'!$B$32,'Inputs'!$B$30+'Inputs'!$B$31+'Inputs'!$B$32)/1000+'Inputs'!$B$21+'Inputs'!$B$7+'Inputs'!$B$10))^2+('Inputs'!$B$8/2)^2))))*'Results'!$B$8),"")</x:f>
        <x:v>1734.9763234075872</x:v>
      </x:c>
      <x:c r="K59" t="n">
        <x:f>IF(AND(ISNUMBER('Results'!B7),ISNUMBER('Results'!C7),ISNUMBER('Results'!$B$8),ISNUMBER('Inputs'!$B$6),ISNUMBER('Inputs'!$B$7),ISNUMBER('Inputs'!$B$8),ISNUMBER('Inputs'!$B$9),ISNUMBER('Inputs'!$B$10),ISNUMBER('Inputs'!$B$21),ISNUMBER('Inputs'!$B$24),ISNUMBER('Inputs'!$B$28)),((('Results'!B7*(1-'Inputs'!$B$24)*(0.5*((((59-43)*MAX('Inputs'!$B$33,'Inputs'!$B$29+'Inputs'!$B$31+'Inputs'!$B$32,'Inputs'!$B$30+'Inputs'!$B$31+'Inputs'!$B$32)/1000+'Inputs'!$B$21)+'Inputs'!$B$7)/SQRT((((59-43)*MAX('Inputs'!$B$33,'Inputs'!$B$29+'Inputs'!$B$31+'Inputs'!$B$32,'Inputs'!$B$30+'Inputs'!$B$31+'Inputs'!$B$32)/1000+'Inputs'!$B$21)+'Inputs'!$B$7)^2+('Inputs'!$B$6/2)^2)-(((59-43)*MAX('Inputs'!$B$33,'Inputs'!$B$29+'Inputs'!$B$31+'Inputs'!$B$32,'Inputs'!$B$30+'Inputs'!$B$31+'Inputs'!$B$32)/1000+'Inputs'!$B$21))/SQRT((((59-43)*MAX('Inputs'!$B$33,'Inputs'!$B$29+'Inputs'!$B$31+'Inputs'!$B$32,'Inputs'!$B$30+'Inputs'!$B$31+'Inputs'!$B$32)/1000+'Inputs'!$B$21))^2+('Inputs'!$B$6/2)^2)))-'Results'!C7*(1+'Inputs'!$B$24)*(0.5*((((59-43)*MAX('Inputs'!$B$33,'Inputs'!$B$29+'Inputs'!$B$31+'Inputs'!$B$32,'Inputs'!$B$30+'Inputs'!$B$31+'Inputs'!$B$32)/1000+'Inputs'!$B$21+'Inputs'!$B$7+'Inputs'!$B$10)+'Inputs'!$B$9)/SQRT((((59-43)*MAX('Inputs'!$B$33,'Inputs'!$B$29+'Inputs'!$B$31+'Inputs'!$B$32,'Inputs'!$B$30+'Inputs'!$B$31+'Inputs'!$B$32)/1000+'Inputs'!$B$21+'Inputs'!$B$7+'Inputs'!$B$10)+'Inputs'!$B$9)^2+('Inputs'!$B$8/2)^2)-(((59-43)*MAX('Inputs'!$B$33,'Inputs'!$B$29+'Inputs'!$B$31+'Inputs'!$B$32,'Inputs'!$B$30+'Inputs'!$B$31+'Inputs'!$B$32)/1000+'Inputs'!$B$21+'Inputs'!$B$7+'Inputs'!$B$10))/SQRT((((59-43)*MAX('Inputs'!$B$33,'Inputs'!$B$29+'Inputs'!$B$31+'Inputs'!$B$32,'Inputs'!$B$30+'Inputs'!$B$31+'Inputs'!$B$32)/1000+'Inputs'!$B$21+'Inputs'!$B$7+'Inputs'!$B$10))^2+('Inputs'!$B$8/2)^2))))*'Results'!$B$8)-'Inputs'!$B$28*ABS((('Results'!B7*(1-'Inputs'!$B$24)*(0.5*((((59-43)*MAX('Inputs'!$B$33,'Inputs'!$B$29+'Inputs'!$B$31+'Inputs'!$B$32,'Inputs'!$B$30+'Inputs'!$B$31+'Inputs'!$B$32)/1000+'Inputs'!$B$21)+'Inputs'!$B$7)/SQRT((((59-43)*MAX('Inputs'!$B$33,'Inputs'!$B$29+'Inputs'!$B$31+'Inputs'!$B$32,'Inputs'!$B$30+'Inputs'!$B$31+'Inputs'!$B$32)/1000+'Inputs'!$B$21)+'Inputs'!$B$7)^2+('Inputs'!$B$6/2)^2)-(((59-43)*MAX('Inputs'!$B$33,'Inputs'!$B$29+'Inputs'!$B$31+'Inputs'!$B$32,'Inputs'!$B$30+'Inputs'!$B$31+'Inputs'!$B$32)/1000+'Inputs'!$B$21))/SQRT((((59-43)*MAX('Inputs'!$B$33,'Inputs'!$B$29+'Inputs'!$B$31+'Inputs'!$B$32,'Inputs'!$B$30+'Inputs'!$B$31+'Inputs'!$B$32)/1000+'Inputs'!$B$21))^2+('Inputs'!$B$6/2)^2)))-'Results'!C7*(1+'Inputs'!$B$24)*(0.5*((((59-43)*MAX('Inputs'!$B$33,'Inputs'!$B$29+'Inputs'!$B$31+'Inputs'!$B$32,'Inputs'!$B$30+'Inputs'!$B$31+'Inputs'!$B$32)/1000+'Inputs'!$B$21+'Inputs'!$B$7+'Inputs'!$B$10)+'Inputs'!$B$9)/SQRT((((59-43)*MAX('Inputs'!$B$33,'Inputs'!$B$29+'Inputs'!$B$31+'Inputs'!$B$32,'Inputs'!$B$30+'Inputs'!$B$31+'Inputs'!$B$32)/1000+'Inputs'!$B$21+'Inputs'!$B$7+'Inputs'!$B$10)+'Inputs'!$B$9)^2+('Inputs'!$B$8/2)^2)-(((59-43)*MAX('Inputs'!$B$33,'Inputs'!$B$29+'Inputs'!$B$31+'Inputs'!$B$32,'Inputs'!$B$30+'Inputs'!$B$31+'Inputs'!$B$32)/1000+'Inputs'!$B$21+'Inputs'!$B$7+'Inputs'!$B$10))/SQRT((((59-43)*MAX('Inputs'!$B$33,'Inputs'!$B$29+'Inputs'!$B$31+'Inputs'!$B$32,'Inputs'!$B$30+'Inputs'!$B$31+'Inputs'!$B$32)/1000+'Inputs'!$B$21+'Inputs'!$B$7+'Inputs'!$B$10))^2+('Inputs'!$B$8/2)^2))))*'Results'!$B$8))),"")</x:f>
        <x:v>1605.006569890876</x:v>
      </x:c>
      <x:c r="L59" t="n">
        <x:f>IF(AND(ISNUMBER('Results'!B7),ISNUMBER('Results'!C7),ISNUMBER('Results'!$B$8),ISNUMBER('Inputs'!$B$6),ISNUMBER('Inputs'!$B$7),ISNUMBER('Inputs'!$B$8),ISNUMBER('Inputs'!$B$9),ISNUMBER('Inputs'!$B$10),ISNUMBER('Inputs'!$B$21),ISNUMBER('Inputs'!$B$24),ISNUMBER('Inputs'!$B$28)),((('Results'!B7*(1+'Inputs'!$B$24)*(0.5*((((59-43)*MAX('Inputs'!$B$33,'Inputs'!$B$29+'Inputs'!$B$31+'Inputs'!$B$32,'Inputs'!$B$30+'Inputs'!$B$31+'Inputs'!$B$32)/1000+'Inputs'!$B$21)+'Inputs'!$B$7)/SQRT((((59-43)*MAX('Inputs'!$B$33,'Inputs'!$B$29+'Inputs'!$B$31+'Inputs'!$B$32,'Inputs'!$B$30+'Inputs'!$B$31+'Inputs'!$B$32)/1000+'Inputs'!$B$21)+'Inputs'!$B$7)^2+('Inputs'!$B$6/2)^2)-(((59-43)*MAX('Inputs'!$B$33,'Inputs'!$B$29+'Inputs'!$B$31+'Inputs'!$B$32,'Inputs'!$B$30+'Inputs'!$B$31+'Inputs'!$B$32)/1000+'Inputs'!$B$21))/SQRT((((59-43)*MAX('Inputs'!$B$33,'Inputs'!$B$29+'Inputs'!$B$31+'Inputs'!$B$32,'Inputs'!$B$30+'Inputs'!$B$31+'Inputs'!$B$32)/1000+'Inputs'!$B$21))^2+('Inputs'!$B$6/2)^2)))-'Results'!C7*(1-'Inputs'!$B$24)*(0.5*((((59-43)*MAX('Inputs'!$B$33,'Inputs'!$B$29+'Inputs'!$B$31+'Inputs'!$B$32,'Inputs'!$B$30+'Inputs'!$B$31+'Inputs'!$B$32)/1000+'Inputs'!$B$21+'Inputs'!$B$7+'Inputs'!$B$10)+'Inputs'!$B$9)/SQRT((((59-43)*MAX('Inputs'!$B$33,'Inputs'!$B$29+'Inputs'!$B$31+'Inputs'!$B$32,'Inputs'!$B$30+'Inputs'!$B$31+'Inputs'!$B$32)/1000+'Inputs'!$B$21+'Inputs'!$B$7+'Inputs'!$B$10)+'Inputs'!$B$9)^2+('Inputs'!$B$8/2)^2)-(((59-43)*MAX('Inputs'!$B$33,'Inputs'!$B$29+'Inputs'!$B$31+'Inputs'!$B$32,'Inputs'!$B$30+'Inputs'!$B$31+'Inputs'!$B$32)/1000+'Inputs'!$B$21+'Inputs'!$B$7+'Inputs'!$B$10))/SQRT((((59-43)*MAX('Inputs'!$B$33,'Inputs'!$B$29+'Inputs'!$B$31+'Inputs'!$B$32,'Inputs'!$B$30+'Inputs'!$B$31+'Inputs'!$B$32)/1000+'Inputs'!$B$21+'Inputs'!$B$7+'Inputs'!$B$10))^2+('Inputs'!$B$8/2)^2))))*'Results'!$B$8)+'Inputs'!$B$28*ABS((('Results'!B7*(1+'Inputs'!$B$24)*(0.5*((((59-43)*MAX('Inputs'!$B$33,'Inputs'!$B$29+'Inputs'!$B$31+'Inputs'!$B$32,'Inputs'!$B$30+'Inputs'!$B$31+'Inputs'!$B$32)/1000+'Inputs'!$B$21)+'Inputs'!$B$7)/SQRT((((59-43)*MAX('Inputs'!$B$33,'Inputs'!$B$29+'Inputs'!$B$31+'Inputs'!$B$32,'Inputs'!$B$30+'Inputs'!$B$31+'Inputs'!$B$32)/1000+'Inputs'!$B$21)+'Inputs'!$B$7)^2+('Inputs'!$B$6/2)^2)-(((59-43)*MAX('Inputs'!$B$33,'Inputs'!$B$29+'Inputs'!$B$31+'Inputs'!$B$32,'Inputs'!$B$30+'Inputs'!$B$31+'Inputs'!$B$32)/1000+'Inputs'!$B$21))/SQRT((((59-43)*MAX('Inputs'!$B$33,'Inputs'!$B$29+'Inputs'!$B$31+'Inputs'!$B$32,'Inputs'!$B$30+'Inputs'!$B$31+'Inputs'!$B$32)/1000+'Inputs'!$B$21))^2+('Inputs'!$B$6/2)^2)))-'Results'!C7*(1-'Inputs'!$B$24)*(0.5*((((59-43)*MAX('Inputs'!$B$33,'Inputs'!$B$29+'Inputs'!$B$31+'Inputs'!$B$32,'Inputs'!$B$30+'Inputs'!$B$31+'Inputs'!$B$32)/1000+'Inputs'!$B$21+'Inputs'!$B$7+'Inputs'!$B$10)+'Inputs'!$B$9)/SQRT((((59-43)*MAX('Inputs'!$B$33,'Inputs'!$B$29+'Inputs'!$B$31+'Inputs'!$B$32,'Inputs'!$B$30+'Inputs'!$B$31+'Inputs'!$B$32)/1000+'Inputs'!$B$21+'Inputs'!$B$7+'Inputs'!$B$10)+'Inputs'!$B$9)^2+('Inputs'!$B$8/2)^2)-(((59-43)*MAX('Inputs'!$B$33,'Inputs'!$B$29+'Inputs'!$B$31+'Inputs'!$B$32,'Inputs'!$B$30+'Inputs'!$B$31+'Inputs'!$B$32)/1000+'Inputs'!$B$21+'Inputs'!$B$7+'Inputs'!$B$10))/SQRT((((59-43)*MAX('Inputs'!$B$33,'Inputs'!$B$29+'Inputs'!$B$31+'Inputs'!$B$32,'Inputs'!$B$30+'Inputs'!$B$31+'Inputs'!$B$32)/1000+'Inputs'!$B$21+'Inputs'!$B$7+'Inputs'!$B$10))^2+('Inputs'!$B$8/2)^2))))*'Results'!$B$8))),"")</x:f>
        <x:v>1869.495649276544</x:v>
      </x:c>
      <x:c r="M59" t="n">
        <x:f>IF(AND(ISNUMBER('Results'!C7),ISNUMBER('Results'!B7),ISNUMBER('Results'!$B$8),ISNUMBER('Inputs'!$B$6),ISNUMBER('Inputs'!$B$7),ISNUMBER('Inputs'!$B$8),ISNUMBER('Inputs'!$B$9),ISNUMBER('Inputs'!$B$10),ISNUMBER('Inputs'!$B$21),ISNUMBER('Inputs'!$B$24),ISNUMBER('Inputs'!$B$28)),(('Results'!C7*(0.5*((((59-43)*MAX('Inputs'!$B$33,'Inputs'!$B$29+'Inputs'!$B$31+'Inputs'!$B$32,'Inputs'!$B$30+'Inputs'!$B$31+'Inputs'!$B$32)/1000+'Inputs'!$B$21)+'Inputs'!$B$9)/SQRT((((59-43)*MAX('Inputs'!$B$33,'Inputs'!$B$29+'Inputs'!$B$31+'Inputs'!$B$32,'Inputs'!$B$30+'Inputs'!$B$31+'Inputs'!$B$32)/1000+'Inputs'!$B$21)+'Inputs'!$B$9)^2+('Inputs'!$B$8/2)^2)-(((59-43)*MAX('Inputs'!$B$33,'Inputs'!$B$29+'Inputs'!$B$31+'Inputs'!$B$32,'Inputs'!$B$30+'Inputs'!$B$31+'Inputs'!$B$32)/1000+'Inputs'!$B$21))/SQRT((((59-43)*MAX('Inputs'!$B$33,'Inputs'!$B$29+'Inputs'!$B$31+'Inputs'!$B$32,'Inputs'!$B$30+'Inputs'!$B$31+'Inputs'!$B$32)/1000+'Inputs'!$B$21))^2+('Inputs'!$B$8/2)^2)))-'Results'!B7*(0.5*((((59-43)*MAX('Inputs'!$B$33,'Inputs'!$B$29+'Inputs'!$B$31+'Inputs'!$B$32,'Inputs'!$B$30+'Inputs'!$B$31+'Inputs'!$B$32)/1000+'Inputs'!$B$21+'Inputs'!$B$9+'Inputs'!$B$10)+'Inputs'!$B$7)/SQRT((((59-43)*MAX('Inputs'!$B$33,'Inputs'!$B$29+'Inputs'!$B$31+'Inputs'!$B$32,'Inputs'!$B$30+'Inputs'!$B$31+'Inputs'!$B$32)/1000+'Inputs'!$B$21+'Inputs'!$B$9+'Inputs'!$B$10)+'Inputs'!$B$7)^2+('Inputs'!$B$6/2)^2)-(((59-43)*MAX('Inputs'!$B$33,'Inputs'!$B$29+'Inputs'!$B$31+'Inputs'!$B$32,'Inputs'!$B$30+'Inputs'!$B$31+'Inputs'!$B$32)/1000+'Inputs'!$B$21+'Inputs'!$B$9+'Inputs'!$B$10))/SQRT((((59-43)*MAX('Inputs'!$B$33,'Inputs'!$B$29+'Inputs'!$B$31+'Inputs'!$B$32,'Inputs'!$B$30+'Inputs'!$B$31+'Inputs'!$B$32)/1000+'Inputs'!$B$21+'Inputs'!$B$9+'Inputs'!$B$10))^2+('Inputs'!$B$6/2)^2))))*'Results'!$B$8),"")</x:f>
        <x:v>1689.3704346090685</x:v>
      </x:c>
      <x:c r="N59" t="n">
        <x:f>IF(AND(ISNUMBER('Results'!C7),ISNUMBER('Results'!B7),ISNUMBER('Results'!$B$8),ISNUMBER('Inputs'!$B$6),ISNUMBER('Inputs'!$B$7),ISNUMBER('Inputs'!$B$8),ISNUMBER('Inputs'!$B$9),ISNUMBER('Inputs'!$B$10),ISNUMBER('Inputs'!$B$21),ISNUMBER('Inputs'!$B$24),ISNUMBER('Inputs'!$B$28)),((('Results'!C7*(1-'Inputs'!$B$24)*(0.5*((((59-43)*MAX('Inputs'!$B$33,'Inputs'!$B$29+'Inputs'!$B$31+'Inputs'!$B$32,'Inputs'!$B$30+'Inputs'!$B$31+'Inputs'!$B$32)/1000+'Inputs'!$B$21)+'Inputs'!$B$9)/SQRT((((59-43)*MAX('Inputs'!$B$33,'Inputs'!$B$29+'Inputs'!$B$31+'Inputs'!$B$32,'Inputs'!$B$30+'Inputs'!$B$31+'Inputs'!$B$32)/1000+'Inputs'!$B$21)+'Inputs'!$B$9)^2+('Inputs'!$B$8/2)^2)-(((59-43)*MAX('Inputs'!$B$33,'Inputs'!$B$29+'Inputs'!$B$31+'Inputs'!$B$32,'Inputs'!$B$30+'Inputs'!$B$31+'Inputs'!$B$32)/1000+'Inputs'!$B$21))/SQRT((((59-43)*MAX('Inputs'!$B$33,'Inputs'!$B$29+'Inputs'!$B$31+'Inputs'!$B$32,'Inputs'!$B$30+'Inputs'!$B$31+'Inputs'!$B$32)/1000+'Inputs'!$B$21))^2+('Inputs'!$B$8/2)^2)))-'Results'!B7*(1+'Inputs'!$B$24)*(0.5*((((59-43)*MAX('Inputs'!$B$33,'Inputs'!$B$29+'Inputs'!$B$31+'Inputs'!$B$32,'Inputs'!$B$30+'Inputs'!$B$31+'Inputs'!$B$32)/1000+'Inputs'!$B$21+'Inputs'!$B$9+'Inputs'!$B$10)+'Inputs'!$B$7)/SQRT((((59-43)*MAX('Inputs'!$B$33,'Inputs'!$B$29+'Inputs'!$B$31+'Inputs'!$B$32,'Inputs'!$B$30+'Inputs'!$B$31+'Inputs'!$B$32)/1000+'Inputs'!$B$21+'Inputs'!$B$9+'Inputs'!$B$10)+'Inputs'!$B$7)^2+('Inputs'!$B$6/2)^2)-(((59-43)*MAX('Inputs'!$B$33,'Inputs'!$B$29+'Inputs'!$B$31+'Inputs'!$B$32,'Inputs'!$B$30+'Inputs'!$B$31+'Inputs'!$B$32)/1000+'Inputs'!$B$21+'Inputs'!$B$9+'Inputs'!$B$10))/SQRT((((59-43)*MAX('Inputs'!$B$33,'Inputs'!$B$29+'Inputs'!$B$31+'Inputs'!$B$32,'Inputs'!$B$30+'Inputs'!$B$31+'Inputs'!$B$32)/1000+'Inputs'!$B$21+'Inputs'!$B$9+'Inputs'!$B$10))^2+('Inputs'!$B$6/2)^2))))*'Results'!$B$8)-'Inputs'!$B$28*ABS((('Results'!C7*(1-'Inputs'!$B$24)*(0.5*((((59-43)*MAX('Inputs'!$B$33,'Inputs'!$B$29+'Inputs'!$B$31+'Inputs'!$B$32,'Inputs'!$B$30+'Inputs'!$B$31+'Inputs'!$B$32)/1000+'Inputs'!$B$21)+'Inputs'!$B$9)/SQRT((((59-43)*MAX('Inputs'!$B$33,'Inputs'!$B$29+'Inputs'!$B$31+'Inputs'!$B$32,'Inputs'!$B$30+'Inputs'!$B$31+'Inputs'!$B$32)/1000+'Inputs'!$B$21)+'Inputs'!$B$9)^2+('Inputs'!$B$8/2)^2)-(((59-43)*MAX('Inputs'!$B$33,'Inputs'!$B$29+'Inputs'!$B$31+'Inputs'!$B$32,'Inputs'!$B$30+'Inputs'!$B$31+'Inputs'!$B$32)/1000+'Inputs'!$B$21))/SQRT((((59-43)*MAX('Inputs'!$B$33,'Inputs'!$B$29+'Inputs'!$B$31+'Inputs'!$B$32,'Inputs'!$B$30+'Inputs'!$B$31+'Inputs'!$B$32)/1000+'Inputs'!$B$21))^2+('Inputs'!$B$8/2)^2)))-'Results'!B7*(1+'Inputs'!$B$24)*(0.5*((((59-43)*MAX('Inputs'!$B$33,'Inputs'!$B$29+'Inputs'!$B$31+'Inputs'!$B$32,'Inputs'!$B$30+'Inputs'!$B$31+'Inputs'!$B$32)/1000+'Inputs'!$B$21+'Inputs'!$B$9+'Inputs'!$B$10)+'Inputs'!$B$7)/SQRT((((59-43)*MAX('Inputs'!$B$33,'Inputs'!$B$29+'Inputs'!$B$31+'Inputs'!$B$32,'Inputs'!$B$30+'Inputs'!$B$31+'Inputs'!$B$32)/1000+'Inputs'!$B$21+'Inputs'!$B$9+'Inputs'!$B$10)+'Inputs'!$B$7)^2+('Inputs'!$B$6/2)^2)-(((59-43)*MAX('Inputs'!$B$33,'Inputs'!$B$29+'Inputs'!$B$31+'Inputs'!$B$32,'Inputs'!$B$30+'Inputs'!$B$31+'Inputs'!$B$32)/1000+'Inputs'!$B$21+'Inputs'!$B$9+'Inputs'!$B$10))/SQRT((((59-43)*MAX('Inputs'!$B$33,'Inputs'!$B$29+'Inputs'!$B$31+'Inputs'!$B$32,'Inputs'!$B$30+'Inputs'!$B$31+'Inputs'!$B$32)/1000+'Inputs'!$B$21+'Inputs'!$B$9+'Inputs'!$B$10))^2+('Inputs'!$B$6/2)^2))))*'Results'!$B$8))),"")</x:f>
        <x:v>1562.3381733949325</x:v>
      </x:c>
      <x:c r="O59" t="n">
        <x:f>IF(AND(ISNUMBER('Results'!C7),ISNUMBER('Results'!B7),ISNUMBER('Results'!$B$8),ISNUMBER('Inputs'!$B$6),ISNUMBER('Inputs'!$B$7),ISNUMBER('Inputs'!$B$8),ISNUMBER('Inputs'!$B$9),ISNUMBER('Inputs'!$B$10),ISNUMBER('Inputs'!$B$21),ISNUMBER('Inputs'!$B$24),ISNUMBER('Inputs'!$B$28)),((('Results'!C7*(1+'Inputs'!$B$24)*(0.5*((((59-43)*MAX('Inputs'!$B$33,'Inputs'!$B$29+'Inputs'!$B$31+'Inputs'!$B$32,'Inputs'!$B$30+'Inputs'!$B$31+'Inputs'!$B$32)/1000+'Inputs'!$B$21)+'Inputs'!$B$9)/SQRT((((59-43)*MAX('Inputs'!$B$33,'Inputs'!$B$29+'Inputs'!$B$31+'Inputs'!$B$32,'Inputs'!$B$30+'Inputs'!$B$31+'Inputs'!$B$32)/1000+'Inputs'!$B$21)+'Inputs'!$B$9)^2+('Inputs'!$B$8/2)^2)-(((59-43)*MAX('Inputs'!$B$33,'Inputs'!$B$29+'Inputs'!$B$31+'Inputs'!$B$32,'Inputs'!$B$30+'Inputs'!$B$31+'Inputs'!$B$32)/1000+'Inputs'!$B$21))/SQRT((((59-43)*MAX('Inputs'!$B$33,'Inputs'!$B$29+'Inputs'!$B$31+'Inputs'!$B$32,'Inputs'!$B$30+'Inputs'!$B$31+'Inputs'!$B$32)/1000+'Inputs'!$B$21))^2+('Inputs'!$B$8/2)^2)))-'Results'!B7*(1-'Inputs'!$B$24)*(0.5*((((59-43)*MAX('Inputs'!$B$33,'Inputs'!$B$29+'Inputs'!$B$31+'Inputs'!$B$32,'Inputs'!$B$30+'Inputs'!$B$31+'Inputs'!$B$32)/1000+'Inputs'!$B$21+'Inputs'!$B$9+'Inputs'!$B$10)+'Inputs'!$B$7)/SQRT((((59-43)*MAX('Inputs'!$B$33,'Inputs'!$B$29+'Inputs'!$B$31+'Inputs'!$B$32,'Inputs'!$B$30+'Inputs'!$B$31+'Inputs'!$B$32)/1000+'Inputs'!$B$21+'Inputs'!$B$9+'Inputs'!$B$10)+'Inputs'!$B$7)^2+('Inputs'!$B$6/2)^2)-(((59-43)*MAX('Inputs'!$B$33,'Inputs'!$B$29+'Inputs'!$B$31+'Inputs'!$B$32,'Inputs'!$B$30+'Inputs'!$B$31+'Inputs'!$B$32)/1000+'Inputs'!$B$21+'Inputs'!$B$9+'Inputs'!$B$10))/SQRT((((59-43)*MAX('Inputs'!$B$33,'Inputs'!$B$29+'Inputs'!$B$31+'Inputs'!$B$32,'Inputs'!$B$30+'Inputs'!$B$31+'Inputs'!$B$32)/1000+'Inputs'!$B$21+'Inputs'!$B$9+'Inputs'!$B$10))^2+('Inputs'!$B$6/2)^2))))*'Results'!$B$8)+'Inputs'!$B$28*ABS((('Results'!C7*(1+'Inputs'!$B$24)*(0.5*((((59-43)*MAX('Inputs'!$B$33,'Inputs'!$B$29+'Inputs'!$B$31+'Inputs'!$B$32,'Inputs'!$B$30+'Inputs'!$B$31+'Inputs'!$B$32)/1000+'Inputs'!$B$21)+'Inputs'!$B$9)/SQRT((((59-43)*MAX('Inputs'!$B$33,'Inputs'!$B$29+'Inputs'!$B$31+'Inputs'!$B$32,'Inputs'!$B$30+'Inputs'!$B$31+'Inputs'!$B$32)/1000+'Inputs'!$B$21)+'Inputs'!$B$9)^2+('Inputs'!$B$8/2)^2)-(((59-43)*MAX('Inputs'!$B$33,'Inputs'!$B$29+'Inputs'!$B$31+'Inputs'!$B$32,'Inputs'!$B$30+'Inputs'!$B$31+'Inputs'!$B$32)/1000+'Inputs'!$B$21))/SQRT((((59-43)*MAX('Inputs'!$B$33,'Inputs'!$B$29+'Inputs'!$B$31+'Inputs'!$B$32,'Inputs'!$B$30+'Inputs'!$B$31+'Inputs'!$B$32)/1000+'Inputs'!$B$21))^2+('Inputs'!$B$8/2)^2)))-'Results'!B7*(1-'Inputs'!$B$24)*(0.5*((((59-43)*MAX('Inputs'!$B$33,'Inputs'!$B$29+'Inputs'!$B$31+'Inputs'!$B$32,'Inputs'!$B$30+'Inputs'!$B$31+'Inputs'!$B$32)/1000+'Inputs'!$B$21+'Inputs'!$B$9+'Inputs'!$B$10)+'Inputs'!$B$7)/SQRT((((59-43)*MAX('Inputs'!$B$33,'Inputs'!$B$29+'Inputs'!$B$31+'Inputs'!$B$32,'Inputs'!$B$30+'Inputs'!$B$31+'Inputs'!$B$32)/1000+'Inputs'!$B$21+'Inputs'!$B$9+'Inputs'!$B$10)+'Inputs'!$B$7)^2+('Inputs'!$B$6/2)^2)-(((59-43)*MAX('Inputs'!$B$33,'Inputs'!$B$29+'Inputs'!$B$31+'Inputs'!$B$32,'Inputs'!$B$30+'Inputs'!$B$31+'Inputs'!$B$32)/1000+'Inputs'!$B$21+'Inputs'!$B$9+'Inputs'!$B$10))/SQRT((((59-43)*MAX('Inputs'!$B$33,'Inputs'!$B$29+'Inputs'!$B$31+'Inputs'!$B$32,'Inputs'!$B$30+'Inputs'!$B$31+'Inputs'!$B$32)/1000+'Inputs'!$B$21+'Inputs'!$B$9+'Inputs'!$B$10))^2+('Inputs'!$B$6/2)^2))))*'Results'!$B$8))),"")</x:f>
        <x:v>1820.8830894530654</x:v>
      </x:c>
      <x:c r="P59" t="n">
        <x:f>IF(AND(MAX(J59,J58)&gt;0,J59&gt;J58+0.00000001),1,0)</x:f>
        <x:v>0</x:v>
      </x:c>
      <x:c r="Q59" t="n">
        <x:f>IF(AND(MAX(K59,K58)&gt;0,K59&gt;K58+0.00000001),1,0)</x:f>
        <x:v>0</x:v>
      </x:c>
      <x:c r="R59" t="n">
        <x:f>IF(AND(MAX(L59,L58)&gt;0,L59&gt;L58+0.00000001),1,0)</x:f>
        <x:v>0</x:v>
      </x:c>
      <x:c r="S59" t="n">
        <x:f>IF(AND(MAX(M59,M58)&gt;0,M59&gt;M58+0.00000001),1,0)</x:f>
        <x:v>0</x:v>
      </x:c>
      <x:c r="T59" t="n">
        <x:f>IF(AND(MAX(N59,N58)&gt;0,N59&gt;N58+0.00000001),1,0)</x:f>
        <x:v>0</x:v>
      </x:c>
      <x:c r="U59" t="n">
        <x:f>IF(AND(MAX(O59,O58)&gt;0,O59&gt;O58+0.00000001),1,0)</x:f>
        <x:v>0</x:v>
      </x:c>
    </x:row>
    <x:row r="60">
      <x:c r="J60" t="n">
        <x:f>IF(AND(ISNUMBER('Results'!B7),ISNUMBER('Results'!C7),ISNUMBER('Results'!$B$8),ISNUMBER('Inputs'!$B$6),ISNUMBER('Inputs'!$B$7),ISNUMBER('Inputs'!$B$8),ISNUMBER('Inputs'!$B$9),ISNUMBER('Inputs'!$B$10),ISNUMBER('Inputs'!$B$21),ISNUMBER('Inputs'!$B$24),ISNUMBER('Inputs'!$B$28)),(('Results'!B7*(0.5*((((60-43)*MAX('Inputs'!$B$33,'Inputs'!$B$29+'Inputs'!$B$31+'Inputs'!$B$32,'Inputs'!$B$30+'Inputs'!$B$31+'Inputs'!$B$32)/1000+'Inputs'!$B$21)+'Inputs'!$B$7)/SQRT((((60-43)*MAX('Inputs'!$B$33,'Inputs'!$B$29+'Inputs'!$B$31+'Inputs'!$B$32,'Inputs'!$B$30+'Inputs'!$B$31+'Inputs'!$B$32)/1000+'Inputs'!$B$21)+'Inputs'!$B$7)^2+('Inputs'!$B$6/2)^2)-(((60-43)*MAX('Inputs'!$B$33,'Inputs'!$B$29+'Inputs'!$B$31+'Inputs'!$B$32,'Inputs'!$B$30+'Inputs'!$B$31+'Inputs'!$B$32)/1000+'Inputs'!$B$21))/SQRT((((60-43)*MAX('Inputs'!$B$33,'Inputs'!$B$29+'Inputs'!$B$31+'Inputs'!$B$32,'Inputs'!$B$30+'Inputs'!$B$31+'Inputs'!$B$32)/1000+'Inputs'!$B$21))^2+('Inputs'!$B$6/2)^2)))-'Results'!C7*(0.5*((((60-43)*MAX('Inputs'!$B$33,'Inputs'!$B$29+'Inputs'!$B$31+'Inputs'!$B$32,'Inputs'!$B$30+'Inputs'!$B$31+'Inputs'!$B$32)/1000+'Inputs'!$B$21+'Inputs'!$B$7+'Inputs'!$B$10)+'Inputs'!$B$9)/SQRT((((60-43)*MAX('Inputs'!$B$33,'Inputs'!$B$29+'Inputs'!$B$31+'Inputs'!$B$32,'Inputs'!$B$30+'Inputs'!$B$31+'Inputs'!$B$32)/1000+'Inputs'!$B$21+'Inputs'!$B$7+'Inputs'!$B$10)+'Inputs'!$B$9)^2+('Inputs'!$B$8/2)^2)-(((60-43)*MAX('Inputs'!$B$33,'Inputs'!$B$29+'Inputs'!$B$31+'Inputs'!$B$32,'Inputs'!$B$30+'Inputs'!$B$31+'Inputs'!$B$32)/1000+'Inputs'!$B$21+'Inputs'!$B$7+'Inputs'!$B$10))/SQRT((((60-43)*MAX('Inputs'!$B$33,'Inputs'!$B$29+'Inputs'!$B$31+'Inputs'!$B$32,'Inputs'!$B$30+'Inputs'!$B$31+'Inputs'!$B$32)/1000+'Inputs'!$B$21+'Inputs'!$B$7+'Inputs'!$B$10))^2+('Inputs'!$B$8/2)^2))))*'Results'!$B$8),"")</x:f>
        <x:v>1712.7114790385021</x:v>
      </x:c>
      <x:c r="K60" t="n">
        <x:f>IF(AND(ISNUMBER('Results'!B7),ISNUMBER('Results'!C7),ISNUMBER('Results'!$B$8),ISNUMBER('Inputs'!$B$6),ISNUMBER('Inputs'!$B$7),ISNUMBER('Inputs'!$B$8),ISNUMBER('Inputs'!$B$9),ISNUMBER('Inputs'!$B$10),ISNUMBER('Inputs'!$B$21),ISNUMBER('Inputs'!$B$24),ISNUMBER('Inputs'!$B$28)),((('Results'!B7*(1-'Inputs'!$B$24)*(0.5*((((60-43)*MAX('Inputs'!$B$33,'Inputs'!$B$29+'Inputs'!$B$31+'Inputs'!$B$32,'Inputs'!$B$30+'Inputs'!$B$31+'Inputs'!$B$32)/1000+'Inputs'!$B$21)+'Inputs'!$B$7)/SQRT((((60-43)*MAX('Inputs'!$B$33,'Inputs'!$B$29+'Inputs'!$B$31+'Inputs'!$B$32,'Inputs'!$B$30+'Inputs'!$B$31+'Inputs'!$B$32)/1000+'Inputs'!$B$21)+'Inputs'!$B$7)^2+('Inputs'!$B$6/2)^2)-(((60-43)*MAX('Inputs'!$B$33,'Inputs'!$B$29+'Inputs'!$B$31+'Inputs'!$B$32,'Inputs'!$B$30+'Inputs'!$B$31+'Inputs'!$B$32)/1000+'Inputs'!$B$21))/SQRT((((60-43)*MAX('Inputs'!$B$33,'Inputs'!$B$29+'Inputs'!$B$31+'Inputs'!$B$32,'Inputs'!$B$30+'Inputs'!$B$31+'Inputs'!$B$32)/1000+'Inputs'!$B$21))^2+('Inputs'!$B$6/2)^2)))-'Results'!C7*(1+'Inputs'!$B$24)*(0.5*((((60-43)*MAX('Inputs'!$B$33,'Inputs'!$B$29+'Inputs'!$B$31+'Inputs'!$B$32,'Inputs'!$B$30+'Inputs'!$B$31+'Inputs'!$B$32)/1000+'Inputs'!$B$21+'Inputs'!$B$7+'Inputs'!$B$10)+'Inputs'!$B$9)/SQRT((((60-43)*MAX('Inputs'!$B$33,'Inputs'!$B$29+'Inputs'!$B$31+'Inputs'!$B$32,'Inputs'!$B$30+'Inputs'!$B$31+'Inputs'!$B$32)/1000+'Inputs'!$B$21+'Inputs'!$B$7+'Inputs'!$B$10)+'Inputs'!$B$9)^2+('Inputs'!$B$8/2)^2)-(((60-43)*MAX('Inputs'!$B$33,'Inputs'!$B$29+'Inputs'!$B$31+'Inputs'!$B$32,'Inputs'!$B$30+'Inputs'!$B$31+'Inputs'!$B$32)/1000+'Inputs'!$B$21+'Inputs'!$B$7+'Inputs'!$B$10))/SQRT((((60-43)*MAX('Inputs'!$B$33,'Inputs'!$B$29+'Inputs'!$B$31+'Inputs'!$B$32,'Inputs'!$B$30+'Inputs'!$B$31+'Inputs'!$B$32)/1000+'Inputs'!$B$21+'Inputs'!$B$7+'Inputs'!$B$10))^2+('Inputs'!$B$8/2)^2))))*'Results'!$B$8)-'Inputs'!$B$28*ABS((('Results'!B7*(1-'Inputs'!$B$24)*(0.5*((((60-43)*MAX('Inputs'!$B$33,'Inputs'!$B$29+'Inputs'!$B$31+'Inputs'!$B$32,'Inputs'!$B$30+'Inputs'!$B$31+'Inputs'!$B$32)/1000+'Inputs'!$B$21)+'Inputs'!$B$7)/SQRT((((60-43)*MAX('Inputs'!$B$33,'Inputs'!$B$29+'Inputs'!$B$31+'Inputs'!$B$32,'Inputs'!$B$30+'Inputs'!$B$31+'Inputs'!$B$32)/1000+'Inputs'!$B$21)+'Inputs'!$B$7)^2+('Inputs'!$B$6/2)^2)-(((60-43)*MAX('Inputs'!$B$33,'Inputs'!$B$29+'Inputs'!$B$31+'Inputs'!$B$32,'Inputs'!$B$30+'Inputs'!$B$31+'Inputs'!$B$32)/1000+'Inputs'!$B$21))/SQRT((((60-43)*MAX('Inputs'!$B$33,'Inputs'!$B$29+'Inputs'!$B$31+'Inputs'!$B$32,'Inputs'!$B$30+'Inputs'!$B$31+'Inputs'!$B$32)/1000+'Inputs'!$B$21))^2+('Inputs'!$B$6/2)^2)))-'Results'!C7*(1+'Inputs'!$B$24)*(0.5*((((60-43)*MAX('Inputs'!$B$33,'Inputs'!$B$29+'Inputs'!$B$31+'Inputs'!$B$32,'Inputs'!$B$30+'Inputs'!$B$31+'Inputs'!$B$32)/1000+'Inputs'!$B$21+'Inputs'!$B$7+'Inputs'!$B$10)+'Inputs'!$B$9)/SQRT((((60-43)*MAX('Inputs'!$B$33,'Inputs'!$B$29+'Inputs'!$B$31+'Inputs'!$B$32,'Inputs'!$B$30+'Inputs'!$B$31+'Inputs'!$B$32)/1000+'Inputs'!$B$21+'Inputs'!$B$7+'Inputs'!$B$10)+'Inputs'!$B$9)^2+('Inputs'!$B$8/2)^2)-(((60-43)*MAX('Inputs'!$B$33,'Inputs'!$B$29+'Inputs'!$B$31+'Inputs'!$B$32,'Inputs'!$B$30+'Inputs'!$B$31+'Inputs'!$B$32)/1000+'Inputs'!$B$21+'Inputs'!$B$7+'Inputs'!$B$10))/SQRT((((60-43)*MAX('Inputs'!$B$33,'Inputs'!$B$29+'Inputs'!$B$31+'Inputs'!$B$32,'Inputs'!$B$30+'Inputs'!$B$31+'Inputs'!$B$32)/1000+'Inputs'!$B$21+'Inputs'!$B$7+'Inputs'!$B$10))^2+('Inputs'!$B$8/2)^2))))*'Results'!$B$8))),"")</x:f>
        <x:v>1584.437686253095</x:v>
      </x:c>
      <x:c r="L60" t="n">
        <x:f>IF(AND(ISNUMBER('Results'!B7),ISNUMBER('Results'!C7),ISNUMBER('Results'!$B$8),ISNUMBER('Inputs'!$B$6),ISNUMBER('Inputs'!$B$7),ISNUMBER('Inputs'!$B$8),ISNUMBER('Inputs'!$B$9),ISNUMBER('Inputs'!$B$10),ISNUMBER('Inputs'!$B$21),ISNUMBER('Inputs'!$B$24),ISNUMBER('Inputs'!$B$28)),((('Results'!B7*(1+'Inputs'!$B$24)*(0.5*((((60-43)*MAX('Inputs'!$B$33,'Inputs'!$B$29+'Inputs'!$B$31+'Inputs'!$B$32,'Inputs'!$B$30+'Inputs'!$B$31+'Inputs'!$B$32)/1000+'Inputs'!$B$21)+'Inputs'!$B$7)/SQRT((((60-43)*MAX('Inputs'!$B$33,'Inputs'!$B$29+'Inputs'!$B$31+'Inputs'!$B$32,'Inputs'!$B$30+'Inputs'!$B$31+'Inputs'!$B$32)/1000+'Inputs'!$B$21)+'Inputs'!$B$7)^2+('Inputs'!$B$6/2)^2)-(((60-43)*MAX('Inputs'!$B$33,'Inputs'!$B$29+'Inputs'!$B$31+'Inputs'!$B$32,'Inputs'!$B$30+'Inputs'!$B$31+'Inputs'!$B$32)/1000+'Inputs'!$B$21))/SQRT((((60-43)*MAX('Inputs'!$B$33,'Inputs'!$B$29+'Inputs'!$B$31+'Inputs'!$B$32,'Inputs'!$B$30+'Inputs'!$B$31+'Inputs'!$B$32)/1000+'Inputs'!$B$21))^2+('Inputs'!$B$6/2)^2)))-'Results'!C7*(1-'Inputs'!$B$24)*(0.5*((((60-43)*MAX('Inputs'!$B$33,'Inputs'!$B$29+'Inputs'!$B$31+'Inputs'!$B$32,'Inputs'!$B$30+'Inputs'!$B$31+'Inputs'!$B$32)/1000+'Inputs'!$B$21+'Inputs'!$B$7+'Inputs'!$B$10)+'Inputs'!$B$9)/SQRT((((60-43)*MAX('Inputs'!$B$33,'Inputs'!$B$29+'Inputs'!$B$31+'Inputs'!$B$32,'Inputs'!$B$30+'Inputs'!$B$31+'Inputs'!$B$32)/1000+'Inputs'!$B$21+'Inputs'!$B$7+'Inputs'!$B$10)+'Inputs'!$B$9)^2+('Inputs'!$B$8/2)^2)-(((60-43)*MAX('Inputs'!$B$33,'Inputs'!$B$29+'Inputs'!$B$31+'Inputs'!$B$32,'Inputs'!$B$30+'Inputs'!$B$31+'Inputs'!$B$32)/1000+'Inputs'!$B$21+'Inputs'!$B$7+'Inputs'!$B$10))/SQRT((((60-43)*MAX('Inputs'!$B$33,'Inputs'!$B$29+'Inputs'!$B$31+'Inputs'!$B$32,'Inputs'!$B$30+'Inputs'!$B$31+'Inputs'!$B$32)/1000+'Inputs'!$B$21+'Inputs'!$B$7+'Inputs'!$B$10))^2+('Inputs'!$B$8/2)^2))))*'Results'!$B$8)+'Inputs'!$B$28*ABS((('Results'!B7*(1+'Inputs'!$B$24)*(0.5*((((60-43)*MAX('Inputs'!$B$33,'Inputs'!$B$29+'Inputs'!$B$31+'Inputs'!$B$32,'Inputs'!$B$30+'Inputs'!$B$31+'Inputs'!$B$32)/1000+'Inputs'!$B$21)+'Inputs'!$B$7)/SQRT((((60-43)*MAX('Inputs'!$B$33,'Inputs'!$B$29+'Inputs'!$B$31+'Inputs'!$B$32,'Inputs'!$B$30+'Inputs'!$B$31+'Inputs'!$B$32)/1000+'Inputs'!$B$21)+'Inputs'!$B$7)^2+('Inputs'!$B$6/2)^2)-(((60-43)*MAX('Inputs'!$B$33,'Inputs'!$B$29+'Inputs'!$B$31+'Inputs'!$B$32,'Inputs'!$B$30+'Inputs'!$B$31+'Inputs'!$B$32)/1000+'Inputs'!$B$21))/SQRT((((60-43)*MAX('Inputs'!$B$33,'Inputs'!$B$29+'Inputs'!$B$31+'Inputs'!$B$32,'Inputs'!$B$30+'Inputs'!$B$31+'Inputs'!$B$32)/1000+'Inputs'!$B$21))^2+('Inputs'!$B$6/2)^2)))-'Results'!C7*(1-'Inputs'!$B$24)*(0.5*((((60-43)*MAX('Inputs'!$B$33,'Inputs'!$B$29+'Inputs'!$B$31+'Inputs'!$B$32,'Inputs'!$B$30+'Inputs'!$B$31+'Inputs'!$B$32)/1000+'Inputs'!$B$21+'Inputs'!$B$7+'Inputs'!$B$10)+'Inputs'!$B$9)/SQRT((((60-43)*MAX('Inputs'!$B$33,'Inputs'!$B$29+'Inputs'!$B$31+'Inputs'!$B$32,'Inputs'!$B$30+'Inputs'!$B$31+'Inputs'!$B$32)/1000+'Inputs'!$B$21+'Inputs'!$B$7+'Inputs'!$B$10)+'Inputs'!$B$9)^2+('Inputs'!$B$8/2)^2)-(((60-43)*MAX('Inputs'!$B$33,'Inputs'!$B$29+'Inputs'!$B$31+'Inputs'!$B$32,'Inputs'!$B$30+'Inputs'!$B$31+'Inputs'!$B$32)/1000+'Inputs'!$B$21+'Inputs'!$B$7+'Inputs'!$B$10))/SQRT((((60-43)*MAX('Inputs'!$B$33,'Inputs'!$B$29+'Inputs'!$B$31+'Inputs'!$B$32,'Inputs'!$B$30+'Inputs'!$B$31+'Inputs'!$B$32)/1000+'Inputs'!$B$21+'Inputs'!$B$7+'Inputs'!$B$10))^2+('Inputs'!$B$8/2)^2))))*'Results'!$B$8))),"")</x:f>
        <x:v>1845.473505385329</x:v>
      </x:c>
      <x:c r="M60" t="n">
        <x:f>IF(AND(ISNUMBER('Results'!C7),ISNUMBER('Results'!B7),ISNUMBER('Results'!$B$8),ISNUMBER('Inputs'!$B$6),ISNUMBER('Inputs'!$B$7),ISNUMBER('Inputs'!$B$8),ISNUMBER('Inputs'!$B$9),ISNUMBER('Inputs'!$B$10),ISNUMBER('Inputs'!$B$21),ISNUMBER('Inputs'!$B$24),ISNUMBER('Inputs'!$B$28)),(('Results'!C7*(0.5*((((60-43)*MAX('Inputs'!$B$33,'Inputs'!$B$29+'Inputs'!$B$31+'Inputs'!$B$32,'Inputs'!$B$30+'Inputs'!$B$31+'Inputs'!$B$32)/1000+'Inputs'!$B$21)+'Inputs'!$B$9)/SQRT((((60-43)*MAX('Inputs'!$B$33,'Inputs'!$B$29+'Inputs'!$B$31+'Inputs'!$B$32,'Inputs'!$B$30+'Inputs'!$B$31+'Inputs'!$B$32)/1000+'Inputs'!$B$21)+'Inputs'!$B$9)^2+('Inputs'!$B$8/2)^2)-(((60-43)*MAX('Inputs'!$B$33,'Inputs'!$B$29+'Inputs'!$B$31+'Inputs'!$B$32,'Inputs'!$B$30+'Inputs'!$B$31+'Inputs'!$B$32)/1000+'Inputs'!$B$21))/SQRT((((60-43)*MAX('Inputs'!$B$33,'Inputs'!$B$29+'Inputs'!$B$31+'Inputs'!$B$32,'Inputs'!$B$30+'Inputs'!$B$31+'Inputs'!$B$32)/1000+'Inputs'!$B$21))^2+('Inputs'!$B$8/2)^2)))-'Results'!B7*(0.5*((((60-43)*MAX('Inputs'!$B$33,'Inputs'!$B$29+'Inputs'!$B$31+'Inputs'!$B$32,'Inputs'!$B$30+'Inputs'!$B$31+'Inputs'!$B$32)/1000+'Inputs'!$B$21+'Inputs'!$B$9+'Inputs'!$B$10)+'Inputs'!$B$7)/SQRT((((60-43)*MAX('Inputs'!$B$33,'Inputs'!$B$29+'Inputs'!$B$31+'Inputs'!$B$32,'Inputs'!$B$30+'Inputs'!$B$31+'Inputs'!$B$32)/1000+'Inputs'!$B$21+'Inputs'!$B$9+'Inputs'!$B$10)+'Inputs'!$B$7)^2+('Inputs'!$B$6/2)^2)-(((60-43)*MAX('Inputs'!$B$33,'Inputs'!$B$29+'Inputs'!$B$31+'Inputs'!$B$32,'Inputs'!$B$30+'Inputs'!$B$31+'Inputs'!$B$32)/1000+'Inputs'!$B$21+'Inputs'!$B$9+'Inputs'!$B$10))/SQRT((((60-43)*MAX('Inputs'!$B$33,'Inputs'!$B$29+'Inputs'!$B$31+'Inputs'!$B$32,'Inputs'!$B$30+'Inputs'!$B$31+'Inputs'!$B$32)/1000+'Inputs'!$B$21+'Inputs'!$B$9+'Inputs'!$B$10))^2+('Inputs'!$B$6/2)^2))))*'Results'!$B$8),"")</x:f>
        <x:v>1667.7206933627451</x:v>
      </x:c>
      <x:c r="N60" t="n">
        <x:f>IF(AND(ISNUMBER('Results'!C7),ISNUMBER('Results'!B7),ISNUMBER('Results'!$B$8),ISNUMBER('Inputs'!$B$6),ISNUMBER('Inputs'!$B$7),ISNUMBER('Inputs'!$B$8),ISNUMBER('Inputs'!$B$9),ISNUMBER('Inputs'!$B$10),ISNUMBER('Inputs'!$B$21),ISNUMBER('Inputs'!$B$24),ISNUMBER('Inputs'!$B$28)),((('Results'!C7*(1-'Inputs'!$B$24)*(0.5*((((60-43)*MAX('Inputs'!$B$33,'Inputs'!$B$29+'Inputs'!$B$31+'Inputs'!$B$32,'Inputs'!$B$30+'Inputs'!$B$31+'Inputs'!$B$32)/1000+'Inputs'!$B$21)+'Inputs'!$B$9)/SQRT((((60-43)*MAX('Inputs'!$B$33,'Inputs'!$B$29+'Inputs'!$B$31+'Inputs'!$B$32,'Inputs'!$B$30+'Inputs'!$B$31+'Inputs'!$B$32)/1000+'Inputs'!$B$21)+'Inputs'!$B$9)^2+('Inputs'!$B$8/2)^2)-(((60-43)*MAX('Inputs'!$B$33,'Inputs'!$B$29+'Inputs'!$B$31+'Inputs'!$B$32,'Inputs'!$B$30+'Inputs'!$B$31+'Inputs'!$B$32)/1000+'Inputs'!$B$21))/SQRT((((60-43)*MAX('Inputs'!$B$33,'Inputs'!$B$29+'Inputs'!$B$31+'Inputs'!$B$32,'Inputs'!$B$30+'Inputs'!$B$31+'Inputs'!$B$32)/1000+'Inputs'!$B$21))^2+('Inputs'!$B$8/2)^2)))-'Results'!B7*(1+'Inputs'!$B$24)*(0.5*((((60-43)*MAX('Inputs'!$B$33,'Inputs'!$B$29+'Inputs'!$B$31+'Inputs'!$B$32,'Inputs'!$B$30+'Inputs'!$B$31+'Inputs'!$B$32)/1000+'Inputs'!$B$21+'Inputs'!$B$9+'Inputs'!$B$10)+'Inputs'!$B$7)/SQRT((((60-43)*MAX('Inputs'!$B$33,'Inputs'!$B$29+'Inputs'!$B$31+'Inputs'!$B$32,'Inputs'!$B$30+'Inputs'!$B$31+'Inputs'!$B$32)/1000+'Inputs'!$B$21+'Inputs'!$B$9+'Inputs'!$B$10)+'Inputs'!$B$7)^2+('Inputs'!$B$6/2)^2)-(((60-43)*MAX('Inputs'!$B$33,'Inputs'!$B$29+'Inputs'!$B$31+'Inputs'!$B$32,'Inputs'!$B$30+'Inputs'!$B$31+'Inputs'!$B$32)/1000+'Inputs'!$B$21+'Inputs'!$B$9+'Inputs'!$B$10))/SQRT((((60-43)*MAX('Inputs'!$B$33,'Inputs'!$B$29+'Inputs'!$B$31+'Inputs'!$B$32,'Inputs'!$B$30+'Inputs'!$B$31+'Inputs'!$B$32)/1000+'Inputs'!$B$21+'Inputs'!$B$9+'Inputs'!$B$10))^2+('Inputs'!$B$6/2)^2))))*'Results'!$B$8)-'Inputs'!$B$28*ABS((('Results'!C7*(1-'Inputs'!$B$24)*(0.5*((((60-43)*MAX('Inputs'!$B$33,'Inputs'!$B$29+'Inputs'!$B$31+'Inputs'!$B$32,'Inputs'!$B$30+'Inputs'!$B$31+'Inputs'!$B$32)/1000+'Inputs'!$B$21)+'Inputs'!$B$9)/SQRT((((60-43)*MAX('Inputs'!$B$33,'Inputs'!$B$29+'Inputs'!$B$31+'Inputs'!$B$32,'Inputs'!$B$30+'Inputs'!$B$31+'Inputs'!$B$32)/1000+'Inputs'!$B$21)+'Inputs'!$B$9)^2+('Inputs'!$B$8/2)^2)-(((60-43)*MAX('Inputs'!$B$33,'Inputs'!$B$29+'Inputs'!$B$31+'Inputs'!$B$32,'Inputs'!$B$30+'Inputs'!$B$31+'Inputs'!$B$32)/1000+'Inputs'!$B$21))/SQRT((((60-43)*MAX('Inputs'!$B$33,'Inputs'!$B$29+'Inputs'!$B$31+'Inputs'!$B$32,'Inputs'!$B$30+'Inputs'!$B$31+'Inputs'!$B$32)/1000+'Inputs'!$B$21))^2+('Inputs'!$B$8/2)^2)))-'Results'!B7*(1+'Inputs'!$B$24)*(0.5*((((60-43)*MAX('Inputs'!$B$33,'Inputs'!$B$29+'Inputs'!$B$31+'Inputs'!$B$32,'Inputs'!$B$30+'Inputs'!$B$31+'Inputs'!$B$32)/1000+'Inputs'!$B$21+'Inputs'!$B$9+'Inputs'!$B$10)+'Inputs'!$B$7)/SQRT((((60-43)*MAX('Inputs'!$B$33,'Inputs'!$B$29+'Inputs'!$B$31+'Inputs'!$B$32,'Inputs'!$B$30+'Inputs'!$B$31+'Inputs'!$B$32)/1000+'Inputs'!$B$21+'Inputs'!$B$9+'Inputs'!$B$10)+'Inputs'!$B$7)^2+('Inputs'!$B$6/2)^2)-(((60-43)*MAX('Inputs'!$B$33,'Inputs'!$B$29+'Inputs'!$B$31+'Inputs'!$B$32,'Inputs'!$B$30+'Inputs'!$B$31+'Inputs'!$B$32)/1000+'Inputs'!$B$21+'Inputs'!$B$9+'Inputs'!$B$10))/SQRT((((60-43)*MAX('Inputs'!$B$33,'Inputs'!$B$29+'Inputs'!$B$31+'Inputs'!$B$32,'Inputs'!$B$30+'Inputs'!$B$31+'Inputs'!$B$32)/1000+'Inputs'!$B$21+'Inputs'!$B$9+'Inputs'!$B$10))^2+('Inputs'!$B$6/2)^2))))*'Results'!$B$8))),"")</x:f>
        <x:v>1542.3452096719902</x:v>
      </x:c>
      <x:c r="O60" t="n">
        <x:f>IF(AND(ISNUMBER('Results'!C7),ISNUMBER('Results'!B7),ISNUMBER('Results'!$B$8),ISNUMBER('Inputs'!$B$6),ISNUMBER('Inputs'!$B$7),ISNUMBER('Inputs'!$B$8),ISNUMBER('Inputs'!$B$9),ISNUMBER('Inputs'!$B$10),ISNUMBER('Inputs'!$B$21),ISNUMBER('Inputs'!$B$24),ISNUMBER('Inputs'!$B$28)),((('Results'!C7*(1+'Inputs'!$B$24)*(0.5*((((60-43)*MAX('Inputs'!$B$33,'Inputs'!$B$29+'Inputs'!$B$31+'Inputs'!$B$32,'Inputs'!$B$30+'Inputs'!$B$31+'Inputs'!$B$32)/1000+'Inputs'!$B$21)+'Inputs'!$B$9)/SQRT((((60-43)*MAX('Inputs'!$B$33,'Inputs'!$B$29+'Inputs'!$B$31+'Inputs'!$B$32,'Inputs'!$B$30+'Inputs'!$B$31+'Inputs'!$B$32)/1000+'Inputs'!$B$21)+'Inputs'!$B$9)^2+('Inputs'!$B$8/2)^2)-(((60-43)*MAX('Inputs'!$B$33,'Inputs'!$B$29+'Inputs'!$B$31+'Inputs'!$B$32,'Inputs'!$B$30+'Inputs'!$B$31+'Inputs'!$B$32)/1000+'Inputs'!$B$21))/SQRT((((60-43)*MAX('Inputs'!$B$33,'Inputs'!$B$29+'Inputs'!$B$31+'Inputs'!$B$32,'Inputs'!$B$30+'Inputs'!$B$31+'Inputs'!$B$32)/1000+'Inputs'!$B$21))^2+('Inputs'!$B$8/2)^2)))-'Results'!B7*(1-'Inputs'!$B$24)*(0.5*((((60-43)*MAX('Inputs'!$B$33,'Inputs'!$B$29+'Inputs'!$B$31+'Inputs'!$B$32,'Inputs'!$B$30+'Inputs'!$B$31+'Inputs'!$B$32)/1000+'Inputs'!$B$21+'Inputs'!$B$9+'Inputs'!$B$10)+'Inputs'!$B$7)/SQRT((((60-43)*MAX('Inputs'!$B$33,'Inputs'!$B$29+'Inputs'!$B$31+'Inputs'!$B$32,'Inputs'!$B$30+'Inputs'!$B$31+'Inputs'!$B$32)/1000+'Inputs'!$B$21+'Inputs'!$B$9+'Inputs'!$B$10)+'Inputs'!$B$7)^2+('Inputs'!$B$6/2)^2)-(((60-43)*MAX('Inputs'!$B$33,'Inputs'!$B$29+'Inputs'!$B$31+'Inputs'!$B$32,'Inputs'!$B$30+'Inputs'!$B$31+'Inputs'!$B$32)/1000+'Inputs'!$B$21+'Inputs'!$B$9+'Inputs'!$B$10))/SQRT((((60-43)*MAX('Inputs'!$B$33,'Inputs'!$B$29+'Inputs'!$B$31+'Inputs'!$B$32,'Inputs'!$B$30+'Inputs'!$B$31+'Inputs'!$B$32)/1000+'Inputs'!$B$21+'Inputs'!$B$9+'Inputs'!$B$10))^2+('Inputs'!$B$6/2)^2))))*'Results'!$B$8)+'Inputs'!$B$28*ABS((('Results'!C7*(1+'Inputs'!$B$24)*(0.5*((((60-43)*MAX('Inputs'!$B$33,'Inputs'!$B$29+'Inputs'!$B$31+'Inputs'!$B$32,'Inputs'!$B$30+'Inputs'!$B$31+'Inputs'!$B$32)/1000+'Inputs'!$B$21)+'Inputs'!$B$9)/SQRT((((60-43)*MAX('Inputs'!$B$33,'Inputs'!$B$29+'Inputs'!$B$31+'Inputs'!$B$32,'Inputs'!$B$30+'Inputs'!$B$31+'Inputs'!$B$32)/1000+'Inputs'!$B$21)+'Inputs'!$B$9)^2+('Inputs'!$B$8/2)^2)-(((60-43)*MAX('Inputs'!$B$33,'Inputs'!$B$29+'Inputs'!$B$31+'Inputs'!$B$32,'Inputs'!$B$30+'Inputs'!$B$31+'Inputs'!$B$32)/1000+'Inputs'!$B$21))/SQRT((((60-43)*MAX('Inputs'!$B$33,'Inputs'!$B$29+'Inputs'!$B$31+'Inputs'!$B$32,'Inputs'!$B$30+'Inputs'!$B$31+'Inputs'!$B$32)/1000+'Inputs'!$B$21))^2+('Inputs'!$B$8/2)^2)))-'Results'!B7*(1-'Inputs'!$B$24)*(0.5*((((60-43)*MAX('Inputs'!$B$33,'Inputs'!$B$29+'Inputs'!$B$31+'Inputs'!$B$32,'Inputs'!$B$30+'Inputs'!$B$31+'Inputs'!$B$32)/1000+'Inputs'!$B$21+'Inputs'!$B$9+'Inputs'!$B$10)+'Inputs'!$B$7)/SQRT((((60-43)*MAX('Inputs'!$B$33,'Inputs'!$B$29+'Inputs'!$B$31+'Inputs'!$B$32,'Inputs'!$B$30+'Inputs'!$B$31+'Inputs'!$B$32)/1000+'Inputs'!$B$21+'Inputs'!$B$9+'Inputs'!$B$10)+'Inputs'!$B$7)^2+('Inputs'!$B$6/2)^2)-(((60-43)*MAX('Inputs'!$B$33,'Inputs'!$B$29+'Inputs'!$B$31+'Inputs'!$B$32,'Inputs'!$B$30+'Inputs'!$B$31+'Inputs'!$B$32)/1000+'Inputs'!$B$21+'Inputs'!$B$9+'Inputs'!$B$10))/SQRT((((60-43)*MAX('Inputs'!$B$33,'Inputs'!$B$29+'Inputs'!$B$31+'Inputs'!$B$32,'Inputs'!$B$30+'Inputs'!$B$31+'Inputs'!$B$32)/1000+'Inputs'!$B$21+'Inputs'!$B$9+'Inputs'!$B$10))^2+('Inputs'!$B$6/2)^2))))*'Results'!$B$8))),"")</x:f>
        <x:v>1797.5161190558806</x:v>
      </x:c>
      <x:c r="P60" t="n">
        <x:f>IF(AND(MAX(J60,J59)&gt;0,J60&gt;J59+0.00000001),1,0)</x:f>
        <x:v>0</x:v>
      </x:c>
      <x:c r="Q60" t="n">
        <x:f>IF(AND(MAX(K60,K59)&gt;0,K60&gt;K59+0.00000001),1,0)</x:f>
        <x:v>0</x:v>
      </x:c>
      <x:c r="R60" t="n">
        <x:f>IF(AND(MAX(L60,L59)&gt;0,L60&gt;L59+0.00000001),1,0)</x:f>
        <x:v>0</x:v>
      </x:c>
      <x:c r="S60" t="n">
        <x:f>IF(AND(MAX(M60,M59)&gt;0,M60&gt;M59+0.00000001),1,0)</x:f>
        <x:v>0</x:v>
      </x:c>
      <x:c r="T60" t="n">
        <x:f>IF(AND(MAX(N60,N59)&gt;0,N60&gt;N59+0.00000001),1,0)</x:f>
        <x:v>0</x:v>
      </x:c>
      <x:c r="U60" t="n">
        <x:f>IF(AND(MAX(O60,O59)&gt;0,O60&gt;O59+0.00000001),1,0)</x:f>
        <x:v>0</x:v>
      </x:c>
    </x:row>
    <x:row r="61">
      <x:c r="J61" t="n">
        <x:f>IF(AND(ISNUMBER('Results'!B7),ISNUMBER('Results'!C7),ISNUMBER('Results'!$B$8),ISNUMBER('Inputs'!$B$6),ISNUMBER('Inputs'!$B$7),ISNUMBER('Inputs'!$B$8),ISNUMBER('Inputs'!$B$9),ISNUMBER('Inputs'!$B$10),ISNUMBER('Inputs'!$B$21),ISNUMBER('Inputs'!$B$24),ISNUMBER('Inputs'!$B$28)),(('Results'!B7*(0.5*((((61-43)*MAX('Inputs'!$B$33,'Inputs'!$B$29+'Inputs'!$B$31+'Inputs'!$B$32,'Inputs'!$B$30+'Inputs'!$B$31+'Inputs'!$B$32)/1000+'Inputs'!$B$21)+'Inputs'!$B$7)/SQRT((((61-43)*MAX('Inputs'!$B$33,'Inputs'!$B$29+'Inputs'!$B$31+'Inputs'!$B$32,'Inputs'!$B$30+'Inputs'!$B$31+'Inputs'!$B$32)/1000+'Inputs'!$B$21)+'Inputs'!$B$7)^2+('Inputs'!$B$6/2)^2)-(((61-43)*MAX('Inputs'!$B$33,'Inputs'!$B$29+'Inputs'!$B$31+'Inputs'!$B$32,'Inputs'!$B$30+'Inputs'!$B$31+'Inputs'!$B$32)/1000+'Inputs'!$B$21))/SQRT((((61-43)*MAX('Inputs'!$B$33,'Inputs'!$B$29+'Inputs'!$B$31+'Inputs'!$B$32,'Inputs'!$B$30+'Inputs'!$B$31+'Inputs'!$B$32)/1000+'Inputs'!$B$21))^2+('Inputs'!$B$6/2)^2)))-'Results'!C7*(0.5*((((61-43)*MAX('Inputs'!$B$33,'Inputs'!$B$29+'Inputs'!$B$31+'Inputs'!$B$32,'Inputs'!$B$30+'Inputs'!$B$31+'Inputs'!$B$32)/1000+'Inputs'!$B$21+'Inputs'!$B$7+'Inputs'!$B$10)+'Inputs'!$B$9)/SQRT((((61-43)*MAX('Inputs'!$B$33,'Inputs'!$B$29+'Inputs'!$B$31+'Inputs'!$B$32,'Inputs'!$B$30+'Inputs'!$B$31+'Inputs'!$B$32)/1000+'Inputs'!$B$21+'Inputs'!$B$7+'Inputs'!$B$10)+'Inputs'!$B$9)^2+('Inputs'!$B$8/2)^2)-(((61-43)*MAX('Inputs'!$B$33,'Inputs'!$B$29+'Inputs'!$B$31+'Inputs'!$B$32,'Inputs'!$B$30+'Inputs'!$B$31+'Inputs'!$B$32)/1000+'Inputs'!$B$21+'Inputs'!$B$7+'Inputs'!$B$10))/SQRT((((61-43)*MAX('Inputs'!$B$33,'Inputs'!$B$29+'Inputs'!$B$31+'Inputs'!$B$32,'Inputs'!$B$30+'Inputs'!$B$31+'Inputs'!$B$32)/1000+'Inputs'!$B$21+'Inputs'!$B$7+'Inputs'!$B$10))^2+('Inputs'!$B$8/2)^2))))*'Results'!$B$8),"")</x:f>
        <x:v>1690.2051135335937</x:v>
      </x:c>
      <x:c r="K61" t="n">
        <x:f>IF(AND(ISNUMBER('Results'!B7),ISNUMBER('Results'!C7),ISNUMBER('Results'!$B$8),ISNUMBER('Inputs'!$B$6),ISNUMBER('Inputs'!$B$7),ISNUMBER('Inputs'!$B$8),ISNUMBER('Inputs'!$B$9),ISNUMBER('Inputs'!$B$10),ISNUMBER('Inputs'!$B$21),ISNUMBER('Inputs'!$B$24),ISNUMBER('Inputs'!$B$28)),((('Results'!B7*(1-'Inputs'!$B$24)*(0.5*((((61-43)*MAX('Inputs'!$B$33,'Inputs'!$B$29+'Inputs'!$B$31+'Inputs'!$B$32,'Inputs'!$B$30+'Inputs'!$B$31+'Inputs'!$B$32)/1000+'Inputs'!$B$21)+'Inputs'!$B$7)/SQRT((((61-43)*MAX('Inputs'!$B$33,'Inputs'!$B$29+'Inputs'!$B$31+'Inputs'!$B$32,'Inputs'!$B$30+'Inputs'!$B$31+'Inputs'!$B$32)/1000+'Inputs'!$B$21)+'Inputs'!$B$7)^2+('Inputs'!$B$6/2)^2)-(((61-43)*MAX('Inputs'!$B$33,'Inputs'!$B$29+'Inputs'!$B$31+'Inputs'!$B$32,'Inputs'!$B$30+'Inputs'!$B$31+'Inputs'!$B$32)/1000+'Inputs'!$B$21))/SQRT((((61-43)*MAX('Inputs'!$B$33,'Inputs'!$B$29+'Inputs'!$B$31+'Inputs'!$B$32,'Inputs'!$B$30+'Inputs'!$B$31+'Inputs'!$B$32)/1000+'Inputs'!$B$21))^2+('Inputs'!$B$6/2)^2)))-'Results'!C7*(1+'Inputs'!$B$24)*(0.5*((((61-43)*MAX('Inputs'!$B$33,'Inputs'!$B$29+'Inputs'!$B$31+'Inputs'!$B$32,'Inputs'!$B$30+'Inputs'!$B$31+'Inputs'!$B$32)/1000+'Inputs'!$B$21+'Inputs'!$B$7+'Inputs'!$B$10)+'Inputs'!$B$9)/SQRT((((61-43)*MAX('Inputs'!$B$33,'Inputs'!$B$29+'Inputs'!$B$31+'Inputs'!$B$32,'Inputs'!$B$30+'Inputs'!$B$31+'Inputs'!$B$32)/1000+'Inputs'!$B$21+'Inputs'!$B$7+'Inputs'!$B$10)+'Inputs'!$B$9)^2+('Inputs'!$B$8/2)^2)-(((61-43)*MAX('Inputs'!$B$33,'Inputs'!$B$29+'Inputs'!$B$31+'Inputs'!$B$32,'Inputs'!$B$30+'Inputs'!$B$31+'Inputs'!$B$32)/1000+'Inputs'!$B$21+'Inputs'!$B$7+'Inputs'!$B$10))/SQRT((((61-43)*MAX('Inputs'!$B$33,'Inputs'!$B$29+'Inputs'!$B$31+'Inputs'!$B$32,'Inputs'!$B$30+'Inputs'!$B$31+'Inputs'!$B$32)/1000+'Inputs'!$B$21+'Inputs'!$B$7+'Inputs'!$B$10))^2+('Inputs'!$B$8/2)^2))))*'Results'!$B$8)-'Inputs'!$B$28*ABS((('Results'!B7*(1-'Inputs'!$B$24)*(0.5*((((61-43)*MAX('Inputs'!$B$33,'Inputs'!$B$29+'Inputs'!$B$31+'Inputs'!$B$32,'Inputs'!$B$30+'Inputs'!$B$31+'Inputs'!$B$32)/1000+'Inputs'!$B$21)+'Inputs'!$B$7)/SQRT((((61-43)*MAX('Inputs'!$B$33,'Inputs'!$B$29+'Inputs'!$B$31+'Inputs'!$B$32,'Inputs'!$B$30+'Inputs'!$B$31+'Inputs'!$B$32)/1000+'Inputs'!$B$21)+'Inputs'!$B$7)^2+('Inputs'!$B$6/2)^2)-(((61-43)*MAX('Inputs'!$B$33,'Inputs'!$B$29+'Inputs'!$B$31+'Inputs'!$B$32,'Inputs'!$B$30+'Inputs'!$B$31+'Inputs'!$B$32)/1000+'Inputs'!$B$21))/SQRT((((61-43)*MAX('Inputs'!$B$33,'Inputs'!$B$29+'Inputs'!$B$31+'Inputs'!$B$32,'Inputs'!$B$30+'Inputs'!$B$31+'Inputs'!$B$32)/1000+'Inputs'!$B$21))^2+('Inputs'!$B$6/2)^2)))-'Results'!C7*(1+'Inputs'!$B$24)*(0.5*((((61-43)*MAX('Inputs'!$B$33,'Inputs'!$B$29+'Inputs'!$B$31+'Inputs'!$B$32,'Inputs'!$B$30+'Inputs'!$B$31+'Inputs'!$B$32)/1000+'Inputs'!$B$21+'Inputs'!$B$7+'Inputs'!$B$10)+'Inputs'!$B$9)/SQRT((((61-43)*MAX('Inputs'!$B$33,'Inputs'!$B$29+'Inputs'!$B$31+'Inputs'!$B$32,'Inputs'!$B$30+'Inputs'!$B$31+'Inputs'!$B$32)/1000+'Inputs'!$B$21+'Inputs'!$B$7+'Inputs'!$B$10)+'Inputs'!$B$9)^2+('Inputs'!$B$8/2)^2)-(((61-43)*MAX('Inputs'!$B$33,'Inputs'!$B$29+'Inputs'!$B$31+'Inputs'!$B$32,'Inputs'!$B$30+'Inputs'!$B$31+'Inputs'!$B$32)/1000+'Inputs'!$B$21+'Inputs'!$B$7+'Inputs'!$B$10))/SQRT((((61-43)*MAX('Inputs'!$B$33,'Inputs'!$B$29+'Inputs'!$B$31+'Inputs'!$B$32,'Inputs'!$B$30+'Inputs'!$B$31+'Inputs'!$B$32)/1000+'Inputs'!$B$21+'Inputs'!$B$7+'Inputs'!$B$10))^2+('Inputs'!$B$8/2)^2))))*'Results'!$B$8))),"")</x:f>
        <x:v>1563.6408780419292</x:v>
      </x:c>
      <x:c r="L61" t="n">
        <x:f>IF(AND(ISNUMBER('Results'!B7),ISNUMBER('Results'!C7),ISNUMBER('Results'!$B$8),ISNUMBER('Inputs'!$B$6),ISNUMBER('Inputs'!$B$7),ISNUMBER('Inputs'!$B$8),ISNUMBER('Inputs'!$B$9),ISNUMBER('Inputs'!$B$10),ISNUMBER('Inputs'!$B$21),ISNUMBER('Inputs'!$B$24),ISNUMBER('Inputs'!$B$28)),((('Results'!B7*(1+'Inputs'!$B$24)*(0.5*((((61-43)*MAX('Inputs'!$B$33,'Inputs'!$B$29+'Inputs'!$B$31+'Inputs'!$B$32,'Inputs'!$B$30+'Inputs'!$B$31+'Inputs'!$B$32)/1000+'Inputs'!$B$21)+'Inputs'!$B$7)/SQRT((((61-43)*MAX('Inputs'!$B$33,'Inputs'!$B$29+'Inputs'!$B$31+'Inputs'!$B$32,'Inputs'!$B$30+'Inputs'!$B$31+'Inputs'!$B$32)/1000+'Inputs'!$B$21)+'Inputs'!$B$7)^2+('Inputs'!$B$6/2)^2)-(((61-43)*MAX('Inputs'!$B$33,'Inputs'!$B$29+'Inputs'!$B$31+'Inputs'!$B$32,'Inputs'!$B$30+'Inputs'!$B$31+'Inputs'!$B$32)/1000+'Inputs'!$B$21))/SQRT((((61-43)*MAX('Inputs'!$B$33,'Inputs'!$B$29+'Inputs'!$B$31+'Inputs'!$B$32,'Inputs'!$B$30+'Inputs'!$B$31+'Inputs'!$B$32)/1000+'Inputs'!$B$21))^2+('Inputs'!$B$6/2)^2)))-'Results'!C7*(1-'Inputs'!$B$24)*(0.5*((((61-43)*MAX('Inputs'!$B$33,'Inputs'!$B$29+'Inputs'!$B$31+'Inputs'!$B$32,'Inputs'!$B$30+'Inputs'!$B$31+'Inputs'!$B$32)/1000+'Inputs'!$B$21+'Inputs'!$B$7+'Inputs'!$B$10)+'Inputs'!$B$9)/SQRT((((61-43)*MAX('Inputs'!$B$33,'Inputs'!$B$29+'Inputs'!$B$31+'Inputs'!$B$32,'Inputs'!$B$30+'Inputs'!$B$31+'Inputs'!$B$32)/1000+'Inputs'!$B$21+'Inputs'!$B$7+'Inputs'!$B$10)+'Inputs'!$B$9)^2+('Inputs'!$B$8/2)^2)-(((61-43)*MAX('Inputs'!$B$33,'Inputs'!$B$29+'Inputs'!$B$31+'Inputs'!$B$32,'Inputs'!$B$30+'Inputs'!$B$31+'Inputs'!$B$32)/1000+'Inputs'!$B$21+'Inputs'!$B$7+'Inputs'!$B$10))/SQRT((((61-43)*MAX('Inputs'!$B$33,'Inputs'!$B$29+'Inputs'!$B$31+'Inputs'!$B$32,'Inputs'!$B$30+'Inputs'!$B$31+'Inputs'!$B$32)/1000+'Inputs'!$B$21+'Inputs'!$B$7+'Inputs'!$B$10))^2+('Inputs'!$B$8/2)^2))))*'Results'!$B$8)+'Inputs'!$B$28*ABS((('Results'!B7*(1+'Inputs'!$B$24)*(0.5*((((61-43)*MAX('Inputs'!$B$33,'Inputs'!$B$29+'Inputs'!$B$31+'Inputs'!$B$32,'Inputs'!$B$30+'Inputs'!$B$31+'Inputs'!$B$32)/1000+'Inputs'!$B$21)+'Inputs'!$B$7)/SQRT((((61-43)*MAX('Inputs'!$B$33,'Inputs'!$B$29+'Inputs'!$B$31+'Inputs'!$B$32,'Inputs'!$B$30+'Inputs'!$B$31+'Inputs'!$B$32)/1000+'Inputs'!$B$21)+'Inputs'!$B$7)^2+('Inputs'!$B$6/2)^2)-(((61-43)*MAX('Inputs'!$B$33,'Inputs'!$B$29+'Inputs'!$B$31+'Inputs'!$B$32,'Inputs'!$B$30+'Inputs'!$B$31+'Inputs'!$B$32)/1000+'Inputs'!$B$21))/SQRT((((61-43)*MAX('Inputs'!$B$33,'Inputs'!$B$29+'Inputs'!$B$31+'Inputs'!$B$32,'Inputs'!$B$30+'Inputs'!$B$31+'Inputs'!$B$32)/1000+'Inputs'!$B$21))^2+('Inputs'!$B$6/2)^2)))-'Results'!C7*(1-'Inputs'!$B$24)*(0.5*((((61-43)*MAX('Inputs'!$B$33,'Inputs'!$B$29+'Inputs'!$B$31+'Inputs'!$B$32,'Inputs'!$B$30+'Inputs'!$B$31+'Inputs'!$B$32)/1000+'Inputs'!$B$21+'Inputs'!$B$7+'Inputs'!$B$10)+'Inputs'!$B$9)/SQRT((((61-43)*MAX('Inputs'!$B$33,'Inputs'!$B$29+'Inputs'!$B$31+'Inputs'!$B$32,'Inputs'!$B$30+'Inputs'!$B$31+'Inputs'!$B$32)/1000+'Inputs'!$B$21+'Inputs'!$B$7+'Inputs'!$B$10)+'Inputs'!$B$9)^2+('Inputs'!$B$8/2)^2)-(((61-43)*MAX('Inputs'!$B$33,'Inputs'!$B$29+'Inputs'!$B$31+'Inputs'!$B$32,'Inputs'!$B$30+'Inputs'!$B$31+'Inputs'!$B$32)/1000+'Inputs'!$B$21+'Inputs'!$B$7+'Inputs'!$B$10))/SQRT((((61-43)*MAX('Inputs'!$B$33,'Inputs'!$B$29+'Inputs'!$B$31+'Inputs'!$B$32,'Inputs'!$B$30+'Inputs'!$B$31+'Inputs'!$B$32)/1000+'Inputs'!$B$21+'Inputs'!$B$7+'Inputs'!$B$10))^2+('Inputs'!$B$8/2)^2))))*'Results'!$B$8))),"")</x:f>
        <x:v>1821.1960837426245</x:v>
      </x:c>
      <x:c r="M61" t="n">
        <x:f>IF(AND(ISNUMBER('Results'!C7),ISNUMBER('Results'!B7),ISNUMBER('Results'!$B$8),ISNUMBER('Inputs'!$B$6),ISNUMBER('Inputs'!$B$7),ISNUMBER('Inputs'!$B$8),ISNUMBER('Inputs'!$B$9),ISNUMBER('Inputs'!$B$10),ISNUMBER('Inputs'!$B$21),ISNUMBER('Inputs'!$B$24),ISNUMBER('Inputs'!$B$28)),(('Results'!C7*(0.5*((((61-43)*MAX('Inputs'!$B$33,'Inputs'!$B$29+'Inputs'!$B$31+'Inputs'!$B$32,'Inputs'!$B$30+'Inputs'!$B$31+'Inputs'!$B$32)/1000+'Inputs'!$B$21)+'Inputs'!$B$9)/SQRT((((61-43)*MAX('Inputs'!$B$33,'Inputs'!$B$29+'Inputs'!$B$31+'Inputs'!$B$32,'Inputs'!$B$30+'Inputs'!$B$31+'Inputs'!$B$32)/1000+'Inputs'!$B$21)+'Inputs'!$B$9)^2+('Inputs'!$B$8/2)^2)-(((61-43)*MAX('Inputs'!$B$33,'Inputs'!$B$29+'Inputs'!$B$31+'Inputs'!$B$32,'Inputs'!$B$30+'Inputs'!$B$31+'Inputs'!$B$32)/1000+'Inputs'!$B$21))/SQRT((((61-43)*MAX('Inputs'!$B$33,'Inputs'!$B$29+'Inputs'!$B$31+'Inputs'!$B$32,'Inputs'!$B$30+'Inputs'!$B$31+'Inputs'!$B$32)/1000+'Inputs'!$B$21))^2+('Inputs'!$B$8/2)^2)))-'Results'!B7*(0.5*((((61-43)*MAX('Inputs'!$B$33,'Inputs'!$B$29+'Inputs'!$B$31+'Inputs'!$B$32,'Inputs'!$B$30+'Inputs'!$B$31+'Inputs'!$B$32)/1000+'Inputs'!$B$21+'Inputs'!$B$9+'Inputs'!$B$10)+'Inputs'!$B$7)/SQRT((((61-43)*MAX('Inputs'!$B$33,'Inputs'!$B$29+'Inputs'!$B$31+'Inputs'!$B$32,'Inputs'!$B$30+'Inputs'!$B$31+'Inputs'!$B$32)/1000+'Inputs'!$B$21+'Inputs'!$B$9+'Inputs'!$B$10)+'Inputs'!$B$7)^2+('Inputs'!$B$6/2)^2)-(((61-43)*MAX('Inputs'!$B$33,'Inputs'!$B$29+'Inputs'!$B$31+'Inputs'!$B$32,'Inputs'!$B$30+'Inputs'!$B$31+'Inputs'!$B$32)/1000+'Inputs'!$B$21+'Inputs'!$B$9+'Inputs'!$B$10))/SQRT((((61-43)*MAX('Inputs'!$B$33,'Inputs'!$B$29+'Inputs'!$B$31+'Inputs'!$B$32,'Inputs'!$B$30+'Inputs'!$B$31+'Inputs'!$B$32)/1000+'Inputs'!$B$21+'Inputs'!$B$9+'Inputs'!$B$10))^2+('Inputs'!$B$6/2)^2))))*'Results'!$B$8),"")</x:f>
        <x:v>1645.8309985547928</x:v>
      </x:c>
      <x:c r="N61" t="n">
        <x:f>IF(AND(ISNUMBER('Results'!C7),ISNUMBER('Results'!B7),ISNUMBER('Results'!$B$8),ISNUMBER('Inputs'!$B$6),ISNUMBER('Inputs'!$B$7),ISNUMBER('Inputs'!$B$8),ISNUMBER('Inputs'!$B$9),ISNUMBER('Inputs'!$B$10),ISNUMBER('Inputs'!$B$21),ISNUMBER('Inputs'!$B$24),ISNUMBER('Inputs'!$B$28)),((('Results'!C7*(1-'Inputs'!$B$24)*(0.5*((((61-43)*MAX('Inputs'!$B$33,'Inputs'!$B$29+'Inputs'!$B$31+'Inputs'!$B$32,'Inputs'!$B$30+'Inputs'!$B$31+'Inputs'!$B$32)/1000+'Inputs'!$B$21)+'Inputs'!$B$9)/SQRT((((61-43)*MAX('Inputs'!$B$33,'Inputs'!$B$29+'Inputs'!$B$31+'Inputs'!$B$32,'Inputs'!$B$30+'Inputs'!$B$31+'Inputs'!$B$32)/1000+'Inputs'!$B$21)+'Inputs'!$B$9)^2+('Inputs'!$B$8/2)^2)-(((61-43)*MAX('Inputs'!$B$33,'Inputs'!$B$29+'Inputs'!$B$31+'Inputs'!$B$32,'Inputs'!$B$30+'Inputs'!$B$31+'Inputs'!$B$32)/1000+'Inputs'!$B$21))/SQRT((((61-43)*MAX('Inputs'!$B$33,'Inputs'!$B$29+'Inputs'!$B$31+'Inputs'!$B$32,'Inputs'!$B$30+'Inputs'!$B$31+'Inputs'!$B$32)/1000+'Inputs'!$B$21))^2+('Inputs'!$B$8/2)^2)))-'Results'!B7*(1+'Inputs'!$B$24)*(0.5*((((61-43)*MAX('Inputs'!$B$33,'Inputs'!$B$29+'Inputs'!$B$31+'Inputs'!$B$32,'Inputs'!$B$30+'Inputs'!$B$31+'Inputs'!$B$32)/1000+'Inputs'!$B$21+'Inputs'!$B$9+'Inputs'!$B$10)+'Inputs'!$B$7)/SQRT((((61-43)*MAX('Inputs'!$B$33,'Inputs'!$B$29+'Inputs'!$B$31+'Inputs'!$B$32,'Inputs'!$B$30+'Inputs'!$B$31+'Inputs'!$B$32)/1000+'Inputs'!$B$21+'Inputs'!$B$9+'Inputs'!$B$10)+'Inputs'!$B$7)^2+('Inputs'!$B$6/2)^2)-(((61-43)*MAX('Inputs'!$B$33,'Inputs'!$B$29+'Inputs'!$B$31+'Inputs'!$B$32,'Inputs'!$B$30+'Inputs'!$B$31+'Inputs'!$B$32)/1000+'Inputs'!$B$21+'Inputs'!$B$9+'Inputs'!$B$10))/SQRT((((61-43)*MAX('Inputs'!$B$33,'Inputs'!$B$29+'Inputs'!$B$31+'Inputs'!$B$32,'Inputs'!$B$30+'Inputs'!$B$31+'Inputs'!$B$32)/1000+'Inputs'!$B$21+'Inputs'!$B$9+'Inputs'!$B$10))^2+('Inputs'!$B$6/2)^2))))*'Results'!$B$8)-'Inputs'!$B$28*ABS((('Results'!C7*(1-'Inputs'!$B$24)*(0.5*((((61-43)*MAX('Inputs'!$B$33,'Inputs'!$B$29+'Inputs'!$B$31+'Inputs'!$B$32,'Inputs'!$B$30+'Inputs'!$B$31+'Inputs'!$B$32)/1000+'Inputs'!$B$21)+'Inputs'!$B$9)/SQRT((((61-43)*MAX('Inputs'!$B$33,'Inputs'!$B$29+'Inputs'!$B$31+'Inputs'!$B$32,'Inputs'!$B$30+'Inputs'!$B$31+'Inputs'!$B$32)/1000+'Inputs'!$B$21)+'Inputs'!$B$9)^2+('Inputs'!$B$8/2)^2)-(((61-43)*MAX('Inputs'!$B$33,'Inputs'!$B$29+'Inputs'!$B$31+'Inputs'!$B$32,'Inputs'!$B$30+'Inputs'!$B$31+'Inputs'!$B$32)/1000+'Inputs'!$B$21))/SQRT((((61-43)*MAX('Inputs'!$B$33,'Inputs'!$B$29+'Inputs'!$B$31+'Inputs'!$B$32,'Inputs'!$B$30+'Inputs'!$B$31+'Inputs'!$B$32)/1000+'Inputs'!$B$21))^2+('Inputs'!$B$8/2)^2)))-'Results'!B7*(1+'Inputs'!$B$24)*(0.5*((((61-43)*MAX('Inputs'!$B$33,'Inputs'!$B$29+'Inputs'!$B$31+'Inputs'!$B$32,'Inputs'!$B$30+'Inputs'!$B$31+'Inputs'!$B$32)/1000+'Inputs'!$B$21+'Inputs'!$B$9+'Inputs'!$B$10)+'Inputs'!$B$7)/SQRT((((61-43)*MAX('Inputs'!$B$33,'Inputs'!$B$29+'Inputs'!$B$31+'Inputs'!$B$32,'Inputs'!$B$30+'Inputs'!$B$31+'Inputs'!$B$32)/1000+'Inputs'!$B$21+'Inputs'!$B$9+'Inputs'!$B$10)+'Inputs'!$B$7)^2+('Inputs'!$B$6/2)^2)-(((61-43)*MAX('Inputs'!$B$33,'Inputs'!$B$29+'Inputs'!$B$31+'Inputs'!$B$32,'Inputs'!$B$30+'Inputs'!$B$31+'Inputs'!$B$32)/1000+'Inputs'!$B$21+'Inputs'!$B$9+'Inputs'!$B$10))/SQRT((((61-43)*MAX('Inputs'!$B$33,'Inputs'!$B$29+'Inputs'!$B$31+'Inputs'!$B$32,'Inputs'!$B$30+'Inputs'!$B$31+'Inputs'!$B$32)/1000+'Inputs'!$B$21+'Inputs'!$B$9+'Inputs'!$B$10))^2+('Inputs'!$B$6/2)^2))))*'Results'!$B$8))),"")</x:f>
        <x:v>1522.1257181669137</x:v>
      </x:c>
      <x:c r="O61" t="n">
        <x:f>IF(AND(ISNUMBER('Results'!C7),ISNUMBER('Results'!B7),ISNUMBER('Results'!$B$8),ISNUMBER('Inputs'!$B$6),ISNUMBER('Inputs'!$B$7),ISNUMBER('Inputs'!$B$8),ISNUMBER('Inputs'!$B$9),ISNUMBER('Inputs'!$B$10),ISNUMBER('Inputs'!$B$21),ISNUMBER('Inputs'!$B$24),ISNUMBER('Inputs'!$B$28)),((('Results'!C7*(1+'Inputs'!$B$24)*(0.5*((((61-43)*MAX('Inputs'!$B$33,'Inputs'!$B$29+'Inputs'!$B$31+'Inputs'!$B$32,'Inputs'!$B$30+'Inputs'!$B$31+'Inputs'!$B$32)/1000+'Inputs'!$B$21)+'Inputs'!$B$9)/SQRT((((61-43)*MAX('Inputs'!$B$33,'Inputs'!$B$29+'Inputs'!$B$31+'Inputs'!$B$32,'Inputs'!$B$30+'Inputs'!$B$31+'Inputs'!$B$32)/1000+'Inputs'!$B$21)+'Inputs'!$B$9)^2+('Inputs'!$B$8/2)^2)-(((61-43)*MAX('Inputs'!$B$33,'Inputs'!$B$29+'Inputs'!$B$31+'Inputs'!$B$32,'Inputs'!$B$30+'Inputs'!$B$31+'Inputs'!$B$32)/1000+'Inputs'!$B$21))/SQRT((((61-43)*MAX('Inputs'!$B$33,'Inputs'!$B$29+'Inputs'!$B$31+'Inputs'!$B$32,'Inputs'!$B$30+'Inputs'!$B$31+'Inputs'!$B$32)/1000+'Inputs'!$B$21))^2+('Inputs'!$B$8/2)^2)))-'Results'!B7*(1-'Inputs'!$B$24)*(0.5*((((61-43)*MAX('Inputs'!$B$33,'Inputs'!$B$29+'Inputs'!$B$31+'Inputs'!$B$32,'Inputs'!$B$30+'Inputs'!$B$31+'Inputs'!$B$32)/1000+'Inputs'!$B$21+'Inputs'!$B$9+'Inputs'!$B$10)+'Inputs'!$B$7)/SQRT((((61-43)*MAX('Inputs'!$B$33,'Inputs'!$B$29+'Inputs'!$B$31+'Inputs'!$B$32,'Inputs'!$B$30+'Inputs'!$B$31+'Inputs'!$B$32)/1000+'Inputs'!$B$21+'Inputs'!$B$9+'Inputs'!$B$10)+'Inputs'!$B$7)^2+('Inputs'!$B$6/2)^2)-(((61-43)*MAX('Inputs'!$B$33,'Inputs'!$B$29+'Inputs'!$B$31+'Inputs'!$B$32,'Inputs'!$B$30+'Inputs'!$B$31+'Inputs'!$B$32)/1000+'Inputs'!$B$21+'Inputs'!$B$9+'Inputs'!$B$10))/SQRT((((61-43)*MAX('Inputs'!$B$33,'Inputs'!$B$29+'Inputs'!$B$31+'Inputs'!$B$32,'Inputs'!$B$30+'Inputs'!$B$31+'Inputs'!$B$32)/1000+'Inputs'!$B$21+'Inputs'!$B$9+'Inputs'!$B$10))^2+('Inputs'!$B$6/2)^2))))*'Results'!$B$8)+'Inputs'!$B$28*ABS((('Results'!C7*(1+'Inputs'!$B$24)*(0.5*((((61-43)*MAX('Inputs'!$B$33,'Inputs'!$B$29+'Inputs'!$B$31+'Inputs'!$B$32,'Inputs'!$B$30+'Inputs'!$B$31+'Inputs'!$B$32)/1000+'Inputs'!$B$21)+'Inputs'!$B$9)/SQRT((((61-43)*MAX('Inputs'!$B$33,'Inputs'!$B$29+'Inputs'!$B$31+'Inputs'!$B$32,'Inputs'!$B$30+'Inputs'!$B$31+'Inputs'!$B$32)/1000+'Inputs'!$B$21)+'Inputs'!$B$9)^2+('Inputs'!$B$8/2)^2)-(((61-43)*MAX('Inputs'!$B$33,'Inputs'!$B$29+'Inputs'!$B$31+'Inputs'!$B$32,'Inputs'!$B$30+'Inputs'!$B$31+'Inputs'!$B$32)/1000+'Inputs'!$B$21))/SQRT((((61-43)*MAX('Inputs'!$B$33,'Inputs'!$B$29+'Inputs'!$B$31+'Inputs'!$B$32,'Inputs'!$B$30+'Inputs'!$B$31+'Inputs'!$B$32)/1000+'Inputs'!$B$21))^2+('Inputs'!$B$8/2)^2)))-'Results'!B7*(1-'Inputs'!$B$24)*(0.5*((((61-43)*MAX('Inputs'!$B$33,'Inputs'!$B$29+'Inputs'!$B$31+'Inputs'!$B$32,'Inputs'!$B$30+'Inputs'!$B$31+'Inputs'!$B$32)/1000+'Inputs'!$B$21+'Inputs'!$B$9+'Inputs'!$B$10)+'Inputs'!$B$7)/SQRT((((61-43)*MAX('Inputs'!$B$33,'Inputs'!$B$29+'Inputs'!$B$31+'Inputs'!$B$32,'Inputs'!$B$30+'Inputs'!$B$31+'Inputs'!$B$32)/1000+'Inputs'!$B$21+'Inputs'!$B$9+'Inputs'!$B$10)+'Inputs'!$B$7)^2+('Inputs'!$B$6/2)^2)-(((61-43)*MAX('Inputs'!$B$33,'Inputs'!$B$29+'Inputs'!$B$31+'Inputs'!$B$32,'Inputs'!$B$30+'Inputs'!$B$31+'Inputs'!$B$32)/1000+'Inputs'!$B$21+'Inputs'!$B$9+'Inputs'!$B$10))/SQRT((((61-43)*MAX('Inputs'!$B$33,'Inputs'!$B$29+'Inputs'!$B$31+'Inputs'!$B$32,'Inputs'!$B$30+'Inputs'!$B$31+'Inputs'!$B$32)/1000+'Inputs'!$B$21+'Inputs'!$B$9+'Inputs'!$B$10))^2+('Inputs'!$B$6/2)^2))))*'Results'!$B$8))),"")</x:f>
        <x:v>1773.895618991108</x:v>
      </x:c>
      <x:c r="P61" t="n">
        <x:f>IF(AND(MAX(J61,J60)&gt;0,J61&gt;J60+0.00000001),1,0)</x:f>
        <x:v>0</x:v>
      </x:c>
      <x:c r="Q61" t="n">
        <x:f>IF(AND(MAX(K61,K60)&gt;0,K61&gt;K60+0.00000001),1,0)</x:f>
        <x:v>0</x:v>
      </x:c>
      <x:c r="R61" t="n">
        <x:f>IF(AND(MAX(L61,L60)&gt;0,L61&gt;L60+0.00000001),1,0)</x:f>
        <x:v>0</x:v>
      </x:c>
      <x:c r="S61" t="n">
        <x:f>IF(AND(MAX(M61,M60)&gt;0,M61&gt;M60+0.00000001),1,0)</x:f>
        <x:v>0</x:v>
      </x:c>
      <x:c r="T61" t="n">
        <x:f>IF(AND(MAX(N61,N60)&gt;0,N61&gt;N60+0.00000001),1,0)</x:f>
        <x:v>0</x:v>
      </x:c>
      <x:c r="U61" t="n">
        <x:f>IF(AND(MAX(O61,O60)&gt;0,O61&gt;O60+0.00000001),1,0)</x:f>
        <x:v>0</x:v>
      </x:c>
    </x:row>
    <x:row r="62">
      <x:c r="J62" t="n">
        <x:f>IF(AND(ISNUMBER('Results'!B7),ISNUMBER('Results'!C7),ISNUMBER('Results'!$B$8),ISNUMBER('Inputs'!$B$6),ISNUMBER('Inputs'!$B$7),ISNUMBER('Inputs'!$B$8),ISNUMBER('Inputs'!$B$9),ISNUMBER('Inputs'!$B$10),ISNUMBER('Inputs'!$B$21),ISNUMBER('Inputs'!$B$24),ISNUMBER('Inputs'!$B$28)),(('Results'!B7*(0.5*((((62-43)*MAX('Inputs'!$B$33,'Inputs'!$B$29+'Inputs'!$B$31+'Inputs'!$B$32,'Inputs'!$B$30+'Inputs'!$B$31+'Inputs'!$B$32)/1000+'Inputs'!$B$21)+'Inputs'!$B$7)/SQRT((((62-43)*MAX('Inputs'!$B$33,'Inputs'!$B$29+'Inputs'!$B$31+'Inputs'!$B$32,'Inputs'!$B$30+'Inputs'!$B$31+'Inputs'!$B$32)/1000+'Inputs'!$B$21)+'Inputs'!$B$7)^2+('Inputs'!$B$6/2)^2)-(((62-43)*MAX('Inputs'!$B$33,'Inputs'!$B$29+'Inputs'!$B$31+'Inputs'!$B$32,'Inputs'!$B$30+'Inputs'!$B$31+'Inputs'!$B$32)/1000+'Inputs'!$B$21))/SQRT((((62-43)*MAX('Inputs'!$B$33,'Inputs'!$B$29+'Inputs'!$B$31+'Inputs'!$B$32,'Inputs'!$B$30+'Inputs'!$B$31+'Inputs'!$B$32)/1000+'Inputs'!$B$21))^2+('Inputs'!$B$6/2)^2)))-'Results'!C7*(0.5*((((62-43)*MAX('Inputs'!$B$33,'Inputs'!$B$29+'Inputs'!$B$31+'Inputs'!$B$32,'Inputs'!$B$30+'Inputs'!$B$31+'Inputs'!$B$32)/1000+'Inputs'!$B$21+'Inputs'!$B$7+'Inputs'!$B$10)+'Inputs'!$B$9)/SQRT((((62-43)*MAX('Inputs'!$B$33,'Inputs'!$B$29+'Inputs'!$B$31+'Inputs'!$B$32,'Inputs'!$B$30+'Inputs'!$B$31+'Inputs'!$B$32)/1000+'Inputs'!$B$21+'Inputs'!$B$7+'Inputs'!$B$10)+'Inputs'!$B$9)^2+('Inputs'!$B$8/2)^2)-(((62-43)*MAX('Inputs'!$B$33,'Inputs'!$B$29+'Inputs'!$B$31+'Inputs'!$B$32,'Inputs'!$B$30+'Inputs'!$B$31+'Inputs'!$B$32)/1000+'Inputs'!$B$21+'Inputs'!$B$7+'Inputs'!$B$10))/SQRT((((62-43)*MAX('Inputs'!$B$33,'Inputs'!$B$29+'Inputs'!$B$31+'Inputs'!$B$32,'Inputs'!$B$30+'Inputs'!$B$31+'Inputs'!$B$32)/1000+'Inputs'!$B$21+'Inputs'!$B$7+'Inputs'!$B$10))^2+('Inputs'!$B$8/2)^2))))*'Results'!$B$8),"")</x:f>
        <x:v>1667.4887162762661</x:v>
      </x:c>
      <x:c r="K62" t="n">
        <x:f>IF(AND(ISNUMBER('Results'!B7),ISNUMBER('Results'!C7),ISNUMBER('Results'!$B$8),ISNUMBER('Inputs'!$B$6),ISNUMBER('Inputs'!$B$7),ISNUMBER('Inputs'!$B$8),ISNUMBER('Inputs'!$B$9),ISNUMBER('Inputs'!$B$10),ISNUMBER('Inputs'!$B$21),ISNUMBER('Inputs'!$B$24),ISNUMBER('Inputs'!$B$28)),((('Results'!B7*(1-'Inputs'!$B$24)*(0.5*((((62-43)*MAX('Inputs'!$B$33,'Inputs'!$B$29+'Inputs'!$B$31+'Inputs'!$B$32,'Inputs'!$B$30+'Inputs'!$B$31+'Inputs'!$B$32)/1000+'Inputs'!$B$21)+'Inputs'!$B$7)/SQRT((((62-43)*MAX('Inputs'!$B$33,'Inputs'!$B$29+'Inputs'!$B$31+'Inputs'!$B$32,'Inputs'!$B$30+'Inputs'!$B$31+'Inputs'!$B$32)/1000+'Inputs'!$B$21)+'Inputs'!$B$7)^2+('Inputs'!$B$6/2)^2)-(((62-43)*MAX('Inputs'!$B$33,'Inputs'!$B$29+'Inputs'!$B$31+'Inputs'!$B$32,'Inputs'!$B$30+'Inputs'!$B$31+'Inputs'!$B$32)/1000+'Inputs'!$B$21))/SQRT((((62-43)*MAX('Inputs'!$B$33,'Inputs'!$B$29+'Inputs'!$B$31+'Inputs'!$B$32,'Inputs'!$B$30+'Inputs'!$B$31+'Inputs'!$B$32)/1000+'Inputs'!$B$21))^2+('Inputs'!$B$6/2)^2)))-'Results'!C7*(1+'Inputs'!$B$24)*(0.5*((((62-43)*MAX('Inputs'!$B$33,'Inputs'!$B$29+'Inputs'!$B$31+'Inputs'!$B$32,'Inputs'!$B$30+'Inputs'!$B$31+'Inputs'!$B$32)/1000+'Inputs'!$B$21+'Inputs'!$B$7+'Inputs'!$B$10)+'Inputs'!$B$9)/SQRT((((62-43)*MAX('Inputs'!$B$33,'Inputs'!$B$29+'Inputs'!$B$31+'Inputs'!$B$32,'Inputs'!$B$30+'Inputs'!$B$31+'Inputs'!$B$32)/1000+'Inputs'!$B$21+'Inputs'!$B$7+'Inputs'!$B$10)+'Inputs'!$B$9)^2+('Inputs'!$B$8/2)^2)-(((62-43)*MAX('Inputs'!$B$33,'Inputs'!$B$29+'Inputs'!$B$31+'Inputs'!$B$32,'Inputs'!$B$30+'Inputs'!$B$31+'Inputs'!$B$32)/1000+'Inputs'!$B$21+'Inputs'!$B$7+'Inputs'!$B$10))/SQRT((((62-43)*MAX('Inputs'!$B$33,'Inputs'!$B$29+'Inputs'!$B$31+'Inputs'!$B$32,'Inputs'!$B$30+'Inputs'!$B$31+'Inputs'!$B$32)/1000+'Inputs'!$B$21+'Inputs'!$B$7+'Inputs'!$B$10))^2+('Inputs'!$B$8/2)^2))))*'Results'!$B$8)-'Inputs'!$B$28*ABS((('Results'!B7*(1-'Inputs'!$B$24)*(0.5*((((62-43)*MAX('Inputs'!$B$33,'Inputs'!$B$29+'Inputs'!$B$31+'Inputs'!$B$32,'Inputs'!$B$30+'Inputs'!$B$31+'Inputs'!$B$32)/1000+'Inputs'!$B$21)+'Inputs'!$B$7)/SQRT((((62-43)*MAX('Inputs'!$B$33,'Inputs'!$B$29+'Inputs'!$B$31+'Inputs'!$B$32,'Inputs'!$B$30+'Inputs'!$B$31+'Inputs'!$B$32)/1000+'Inputs'!$B$21)+'Inputs'!$B$7)^2+('Inputs'!$B$6/2)^2)-(((62-43)*MAX('Inputs'!$B$33,'Inputs'!$B$29+'Inputs'!$B$31+'Inputs'!$B$32,'Inputs'!$B$30+'Inputs'!$B$31+'Inputs'!$B$32)/1000+'Inputs'!$B$21))/SQRT((((62-43)*MAX('Inputs'!$B$33,'Inputs'!$B$29+'Inputs'!$B$31+'Inputs'!$B$32,'Inputs'!$B$30+'Inputs'!$B$31+'Inputs'!$B$32)/1000+'Inputs'!$B$21))^2+('Inputs'!$B$6/2)^2)))-'Results'!C7*(1+'Inputs'!$B$24)*(0.5*((((62-43)*MAX('Inputs'!$B$33,'Inputs'!$B$29+'Inputs'!$B$31+'Inputs'!$B$32,'Inputs'!$B$30+'Inputs'!$B$31+'Inputs'!$B$32)/1000+'Inputs'!$B$21+'Inputs'!$B$7+'Inputs'!$B$10)+'Inputs'!$B$9)/SQRT((((62-43)*MAX('Inputs'!$B$33,'Inputs'!$B$29+'Inputs'!$B$31+'Inputs'!$B$32,'Inputs'!$B$30+'Inputs'!$B$31+'Inputs'!$B$32)/1000+'Inputs'!$B$21+'Inputs'!$B$7+'Inputs'!$B$10)+'Inputs'!$B$9)^2+('Inputs'!$B$8/2)^2)-(((62-43)*MAX('Inputs'!$B$33,'Inputs'!$B$29+'Inputs'!$B$31+'Inputs'!$B$32,'Inputs'!$B$30+'Inputs'!$B$31+'Inputs'!$B$32)/1000+'Inputs'!$B$21+'Inputs'!$B$7+'Inputs'!$B$10))/SQRT((((62-43)*MAX('Inputs'!$B$33,'Inputs'!$B$29+'Inputs'!$B$31+'Inputs'!$B$32,'Inputs'!$B$30+'Inputs'!$B$31+'Inputs'!$B$32)/1000+'Inputs'!$B$21+'Inputs'!$B$7+'Inputs'!$B$10))^2+('Inputs'!$B$8/2)^2))))*'Results'!$B$8))),"")</x:f>
        <x:v>1542.6455287840513</x:v>
      </x:c>
      <x:c r="L62" t="n">
        <x:f>IF(AND(ISNUMBER('Results'!B7),ISNUMBER('Results'!C7),ISNUMBER('Results'!$B$8),ISNUMBER('Inputs'!$B$6),ISNUMBER('Inputs'!$B$7),ISNUMBER('Inputs'!$B$8),ISNUMBER('Inputs'!$B$9),ISNUMBER('Inputs'!$B$10),ISNUMBER('Inputs'!$B$21),ISNUMBER('Inputs'!$B$24),ISNUMBER('Inputs'!$B$28)),((('Results'!B7*(1+'Inputs'!$B$24)*(0.5*((((62-43)*MAX('Inputs'!$B$33,'Inputs'!$B$29+'Inputs'!$B$31+'Inputs'!$B$32,'Inputs'!$B$30+'Inputs'!$B$31+'Inputs'!$B$32)/1000+'Inputs'!$B$21)+'Inputs'!$B$7)/SQRT((((62-43)*MAX('Inputs'!$B$33,'Inputs'!$B$29+'Inputs'!$B$31+'Inputs'!$B$32,'Inputs'!$B$30+'Inputs'!$B$31+'Inputs'!$B$32)/1000+'Inputs'!$B$21)+'Inputs'!$B$7)^2+('Inputs'!$B$6/2)^2)-(((62-43)*MAX('Inputs'!$B$33,'Inputs'!$B$29+'Inputs'!$B$31+'Inputs'!$B$32,'Inputs'!$B$30+'Inputs'!$B$31+'Inputs'!$B$32)/1000+'Inputs'!$B$21))/SQRT((((62-43)*MAX('Inputs'!$B$33,'Inputs'!$B$29+'Inputs'!$B$31+'Inputs'!$B$32,'Inputs'!$B$30+'Inputs'!$B$31+'Inputs'!$B$32)/1000+'Inputs'!$B$21))^2+('Inputs'!$B$6/2)^2)))-'Results'!C7*(1-'Inputs'!$B$24)*(0.5*((((62-43)*MAX('Inputs'!$B$33,'Inputs'!$B$29+'Inputs'!$B$31+'Inputs'!$B$32,'Inputs'!$B$30+'Inputs'!$B$31+'Inputs'!$B$32)/1000+'Inputs'!$B$21+'Inputs'!$B$7+'Inputs'!$B$10)+'Inputs'!$B$9)/SQRT((((62-43)*MAX('Inputs'!$B$33,'Inputs'!$B$29+'Inputs'!$B$31+'Inputs'!$B$32,'Inputs'!$B$30+'Inputs'!$B$31+'Inputs'!$B$32)/1000+'Inputs'!$B$21+'Inputs'!$B$7+'Inputs'!$B$10)+'Inputs'!$B$9)^2+('Inputs'!$B$8/2)^2)-(((62-43)*MAX('Inputs'!$B$33,'Inputs'!$B$29+'Inputs'!$B$31+'Inputs'!$B$32,'Inputs'!$B$30+'Inputs'!$B$31+'Inputs'!$B$32)/1000+'Inputs'!$B$21+'Inputs'!$B$7+'Inputs'!$B$10))/SQRT((((62-43)*MAX('Inputs'!$B$33,'Inputs'!$B$29+'Inputs'!$B$31+'Inputs'!$B$32,'Inputs'!$B$30+'Inputs'!$B$31+'Inputs'!$B$32)/1000+'Inputs'!$B$21+'Inputs'!$B$7+'Inputs'!$B$10))^2+('Inputs'!$B$8/2)^2))))*'Results'!$B$8)+'Inputs'!$B$28*ABS((('Results'!B7*(1+'Inputs'!$B$24)*(0.5*((((62-43)*MAX('Inputs'!$B$33,'Inputs'!$B$29+'Inputs'!$B$31+'Inputs'!$B$32,'Inputs'!$B$30+'Inputs'!$B$31+'Inputs'!$B$32)/1000+'Inputs'!$B$21)+'Inputs'!$B$7)/SQRT((((62-43)*MAX('Inputs'!$B$33,'Inputs'!$B$29+'Inputs'!$B$31+'Inputs'!$B$32,'Inputs'!$B$30+'Inputs'!$B$31+'Inputs'!$B$32)/1000+'Inputs'!$B$21)+'Inputs'!$B$7)^2+('Inputs'!$B$6/2)^2)-(((62-43)*MAX('Inputs'!$B$33,'Inputs'!$B$29+'Inputs'!$B$31+'Inputs'!$B$32,'Inputs'!$B$30+'Inputs'!$B$31+'Inputs'!$B$32)/1000+'Inputs'!$B$21))/SQRT((((62-43)*MAX('Inputs'!$B$33,'Inputs'!$B$29+'Inputs'!$B$31+'Inputs'!$B$32,'Inputs'!$B$30+'Inputs'!$B$31+'Inputs'!$B$32)/1000+'Inputs'!$B$21))^2+('Inputs'!$B$6/2)^2)))-'Results'!C7*(1-'Inputs'!$B$24)*(0.5*((((62-43)*MAX('Inputs'!$B$33,'Inputs'!$B$29+'Inputs'!$B$31+'Inputs'!$B$32,'Inputs'!$B$30+'Inputs'!$B$31+'Inputs'!$B$32)/1000+'Inputs'!$B$21+'Inputs'!$B$7+'Inputs'!$B$10)+'Inputs'!$B$9)/SQRT((((62-43)*MAX('Inputs'!$B$33,'Inputs'!$B$29+'Inputs'!$B$31+'Inputs'!$B$32,'Inputs'!$B$30+'Inputs'!$B$31+'Inputs'!$B$32)/1000+'Inputs'!$B$21+'Inputs'!$B$7+'Inputs'!$B$10)+'Inputs'!$B$9)^2+('Inputs'!$B$8/2)^2)-(((62-43)*MAX('Inputs'!$B$33,'Inputs'!$B$29+'Inputs'!$B$31+'Inputs'!$B$32,'Inputs'!$B$30+'Inputs'!$B$31+'Inputs'!$B$32)/1000+'Inputs'!$B$21+'Inputs'!$B$7+'Inputs'!$B$10))/SQRT((((62-43)*MAX('Inputs'!$B$33,'Inputs'!$B$29+'Inputs'!$B$31+'Inputs'!$B$32,'Inputs'!$B$30+'Inputs'!$B$31+'Inputs'!$B$32)/1000+'Inputs'!$B$21+'Inputs'!$B$7+'Inputs'!$B$10))^2+('Inputs'!$B$8/2)^2))))*'Results'!$B$8))),"")</x:f>
        <x:v>1796.697035524102</x:v>
      </x:c>
      <x:c r="M62" t="n">
        <x:f>IF(AND(ISNUMBER('Results'!C7),ISNUMBER('Results'!B7),ISNUMBER('Results'!$B$8),ISNUMBER('Inputs'!$B$6),ISNUMBER('Inputs'!$B$7),ISNUMBER('Inputs'!$B$8),ISNUMBER('Inputs'!$B$9),ISNUMBER('Inputs'!$B$10),ISNUMBER('Inputs'!$B$21),ISNUMBER('Inputs'!$B$24),ISNUMBER('Inputs'!$B$28)),(('Results'!C7*(0.5*((((62-43)*MAX('Inputs'!$B$33,'Inputs'!$B$29+'Inputs'!$B$31+'Inputs'!$B$32,'Inputs'!$B$30+'Inputs'!$B$31+'Inputs'!$B$32)/1000+'Inputs'!$B$21)+'Inputs'!$B$9)/SQRT((((62-43)*MAX('Inputs'!$B$33,'Inputs'!$B$29+'Inputs'!$B$31+'Inputs'!$B$32,'Inputs'!$B$30+'Inputs'!$B$31+'Inputs'!$B$32)/1000+'Inputs'!$B$21)+'Inputs'!$B$9)^2+('Inputs'!$B$8/2)^2)-(((62-43)*MAX('Inputs'!$B$33,'Inputs'!$B$29+'Inputs'!$B$31+'Inputs'!$B$32,'Inputs'!$B$30+'Inputs'!$B$31+'Inputs'!$B$32)/1000+'Inputs'!$B$21))/SQRT((((62-43)*MAX('Inputs'!$B$33,'Inputs'!$B$29+'Inputs'!$B$31+'Inputs'!$B$32,'Inputs'!$B$30+'Inputs'!$B$31+'Inputs'!$B$32)/1000+'Inputs'!$B$21))^2+('Inputs'!$B$8/2)^2)))-'Results'!B7*(0.5*((((62-43)*MAX('Inputs'!$B$33,'Inputs'!$B$29+'Inputs'!$B$31+'Inputs'!$B$32,'Inputs'!$B$30+'Inputs'!$B$31+'Inputs'!$B$32)/1000+'Inputs'!$B$21+'Inputs'!$B$9+'Inputs'!$B$10)+'Inputs'!$B$7)/SQRT((((62-43)*MAX('Inputs'!$B$33,'Inputs'!$B$29+'Inputs'!$B$31+'Inputs'!$B$32,'Inputs'!$B$30+'Inputs'!$B$31+'Inputs'!$B$32)/1000+'Inputs'!$B$21+'Inputs'!$B$9+'Inputs'!$B$10)+'Inputs'!$B$7)^2+('Inputs'!$B$6/2)^2)-(((62-43)*MAX('Inputs'!$B$33,'Inputs'!$B$29+'Inputs'!$B$31+'Inputs'!$B$32,'Inputs'!$B$30+'Inputs'!$B$31+'Inputs'!$B$32)/1000+'Inputs'!$B$21+'Inputs'!$B$9+'Inputs'!$B$10))/SQRT((((62-43)*MAX('Inputs'!$B$33,'Inputs'!$B$29+'Inputs'!$B$31+'Inputs'!$B$32,'Inputs'!$B$30+'Inputs'!$B$31+'Inputs'!$B$32)/1000+'Inputs'!$B$21+'Inputs'!$B$9+'Inputs'!$B$10))^2+('Inputs'!$B$6/2)^2))))*'Results'!$B$8),"")</x:f>
        <x:v>1623.732280931986</x:v>
      </x:c>
      <x:c r="N62" t="n">
        <x:f>IF(AND(ISNUMBER('Results'!C7),ISNUMBER('Results'!B7),ISNUMBER('Results'!$B$8),ISNUMBER('Inputs'!$B$6),ISNUMBER('Inputs'!$B$7),ISNUMBER('Inputs'!$B$8),ISNUMBER('Inputs'!$B$9),ISNUMBER('Inputs'!$B$10),ISNUMBER('Inputs'!$B$21),ISNUMBER('Inputs'!$B$24),ISNUMBER('Inputs'!$B$28)),((('Results'!C7*(1-'Inputs'!$B$24)*(0.5*((((62-43)*MAX('Inputs'!$B$33,'Inputs'!$B$29+'Inputs'!$B$31+'Inputs'!$B$32,'Inputs'!$B$30+'Inputs'!$B$31+'Inputs'!$B$32)/1000+'Inputs'!$B$21)+'Inputs'!$B$9)/SQRT((((62-43)*MAX('Inputs'!$B$33,'Inputs'!$B$29+'Inputs'!$B$31+'Inputs'!$B$32,'Inputs'!$B$30+'Inputs'!$B$31+'Inputs'!$B$32)/1000+'Inputs'!$B$21)+'Inputs'!$B$9)^2+('Inputs'!$B$8/2)^2)-(((62-43)*MAX('Inputs'!$B$33,'Inputs'!$B$29+'Inputs'!$B$31+'Inputs'!$B$32,'Inputs'!$B$30+'Inputs'!$B$31+'Inputs'!$B$32)/1000+'Inputs'!$B$21))/SQRT((((62-43)*MAX('Inputs'!$B$33,'Inputs'!$B$29+'Inputs'!$B$31+'Inputs'!$B$32,'Inputs'!$B$30+'Inputs'!$B$31+'Inputs'!$B$32)/1000+'Inputs'!$B$21))^2+('Inputs'!$B$8/2)^2)))-'Results'!B7*(1+'Inputs'!$B$24)*(0.5*((((62-43)*MAX('Inputs'!$B$33,'Inputs'!$B$29+'Inputs'!$B$31+'Inputs'!$B$32,'Inputs'!$B$30+'Inputs'!$B$31+'Inputs'!$B$32)/1000+'Inputs'!$B$21+'Inputs'!$B$9+'Inputs'!$B$10)+'Inputs'!$B$7)/SQRT((((62-43)*MAX('Inputs'!$B$33,'Inputs'!$B$29+'Inputs'!$B$31+'Inputs'!$B$32,'Inputs'!$B$30+'Inputs'!$B$31+'Inputs'!$B$32)/1000+'Inputs'!$B$21+'Inputs'!$B$9+'Inputs'!$B$10)+'Inputs'!$B$7)^2+('Inputs'!$B$6/2)^2)-(((62-43)*MAX('Inputs'!$B$33,'Inputs'!$B$29+'Inputs'!$B$31+'Inputs'!$B$32,'Inputs'!$B$30+'Inputs'!$B$31+'Inputs'!$B$32)/1000+'Inputs'!$B$21+'Inputs'!$B$9+'Inputs'!$B$10))/SQRT((((62-43)*MAX('Inputs'!$B$33,'Inputs'!$B$29+'Inputs'!$B$31+'Inputs'!$B$32,'Inputs'!$B$30+'Inputs'!$B$31+'Inputs'!$B$32)/1000+'Inputs'!$B$21+'Inputs'!$B$9+'Inputs'!$B$10))^2+('Inputs'!$B$6/2)^2))))*'Results'!$B$8)-'Inputs'!$B$28*ABS((('Results'!C7*(1-'Inputs'!$B$24)*(0.5*((((62-43)*MAX('Inputs'!$B$33,'Inputs'!$B$29+'Inputs'!$B$31+'Inputs'!$B$32,'Inputs'!$B$30+'Inputs'!$B$31+'Inputs'!$B$32)/1000+'Inputs'!$B$21)+'Inputs'!$B$9)/SQRT((((62-43)*MAX('Inputs'!$B$33,'Inputs'!$B$29+'Inputs'!$B$31+'Inputs'!$B$32,'Inputs'!$B$30+'Inputs'!$B$31+'Inputs'!$B$32)/1000+'Inputs'!$B$21)+'Inputs'!$B$9)^2+('Inputs'!$B$8/2)^2)-(((62-43)*MAX('Inputs'!$B$33,'Inputs'!$B$29+'Inputs'!$B$31+'Inputs'!$B$32,'Inputs'!$B$30+'Inputs'!$B$31+'Inputs'!$B$32)/1000+'Inputs'!$B$21))/SQRT((((62-43)*MAX('Inputs'!$B$33,'Inputs'!$B$29+'Inputs'!$B$31+'Inputs'!$B$32,'Inputs'!$B$30+'Inputs'!$B$31+'Inputs'!$B$32)/1000+'Inputs'!$B$21))^2+('Inputs'!$B$8/2)^2)))-'Results'!B7*(1+'Inputs'!$B$24)*(0.5*((((62-43)*MAX('Inputs'!$B$33,'Inputs'!$B$29+'Inputs'!$B$31+'Inputs'!$B$32,'Inputs'!$B$30+'Inputs'!$B$31+'Inputs'!$B$32)/1000+'Inputs'!$B$21+'Inputs'!$B$9+'Inputs'!$B$10)+'Inputs'!$B$7)/SQRT((((62-43)*MAX('Inputs'!$B$33,'Inputs'!$B$29+'Inputs'!$B$31+'Inputs'!$B$32,'Inputs'!$B$30+'Inputs'!$B$31+'Inputs'!$B$32)/1000+'Inputs'!$B$21+'Inputs'!$B$9+'Inputs'!$B$10)+'Inputs'!$B$7)^2+('Inputs'!$B$6/2)^2)-(((62-43)*MAX('Inputs'!$B$33,'Inputs'!$B$29+'Inputs'!$B$31+'Inputs'!$B$32,'Inputs'!$B$30+'Inputs'!$B$31+'Inputs'!$B$32)/1000+'Inputs'!$B$21+'Inputs'!$B$9+'Inputs'!$B$10))/SQRT((((62-43)*MAX('Inputs'!$B$33,'Inputs'!$B$29+'Inputs'!$B$31+'Inputs'!$B$32,'Inputs'!$B$30+'Inputs'!$B$31+'Inputs'!$B$32)/1000+'Inputs'!$B$21+'Inputs'!$B$9+'Inputs'!$B$10))^2+('Inputs'!$B$6/2)^2))))*'Results'!$B$8))),"")</x:f>
        <x:v>1501.708563681197</x:v>
      </x:c>
      <x:c r="O62" t="n">
        <x:f>IF(AND(ISNUMBER('Results'!C7),ISNUMBER('Results'!B7),ISNUMBER('Results'!$B$8),ISNUMBER('Inputs'!$B$6),ISNUMBER('Inputs'!$B$7),ISNUMBER('Inputs'!$B$8),ISNUMBER('Inputs'!$B$9),ISNUMBER('Inputs'!$B$10),ISNUMBER('Inputs'!$B$21),ISNUMBER('Inputs'!$B$24),ISNUMBER('Inputs'!$B$28)),((('Results'!C7*(1+'Inputs'!$B$24)*(0.5*((((62-43)*MAX('Inputs'!$B$33,'Inputs'!$B$29+'Inputs'!$B$31+'Inputs'!$B$32,'Inputs'!$B$30+'Inputs'!$B$31+'Inputs'!$B$32)/1000+'Inputs'!$B$21)+'Inputs'!$B$9)/SQRT((((62-43)*MAX('Inputs'!$B$33,'Inputs'!$B$29+'Inputs'!$B$31+'Inputs'!$B$32,'Inputs'!$B$30+'Inputs'!$B$31+'Inputs'!$B$32)/1000+'Inputs'!$B$21)+'Inputs'!$B$9)^2+('Inputs'!$B$8/2)^2)-(((62-43)*MAX('Inputs'!$B$33,'Inputs'!$B$29+'Inputs'!$B$31+'Inputs'!$B$32,'Inputs'!$B$30+'Inputs'!$B$31+'Inputs'!$B$32)/1000+'Inputs'!$B$21))/SQRT((((62-43)*MAX('Inputs'!$B$33,'Inputs'!$B$29+'Inputs'!$B$31+'Inputs'!$B$32,'Inputs'!$B$30+'Inputs'!$B$31+'Inputs'!$B$32)/1000+'Inputs'!$B$21))^2+('Inputs'!$B$8/2)^2)))-'Results'!B7*(1-'Inputs'!$B$24)*(0.5*((((62-43)*MAX('Inputs'!$B$33,'Inputs'!$B$29+'Inputs'!$B$31+'Inputs'!$B$32,'Inputs'!$B$30+'Inputs'!$B$31+'Inputs'!$B$32)/1000+'Inputs'!$B$21+'Inputs'!$B$9+'Inputs'!$B$10)+'Inputs'!$B$7)/SQRT((((62-43)*MAX('Inputs'!$B$33,'Inputs'!$B$29+'Inputs'!$B$31+'Inputs'!$B$32,'Inputs'!$B$30+'Inputs'!$B$31+'Inputs'!$B$32)/1000+'Inputs'!$B$21+'Inputs'!$B$9+'Inputs'!$B$10)+'Inputs'!$B$7)^2+('Inputs'!$B$6/2)^2)-(((62-43)*MAX('Inputs'!$B$33,'Inputs'!$B$29+'Inputs'!$B$31+'Inputs'!$B$32,'Inputs'!$B$30+'Inputs'!$B$31+'Inputs'!$B$32)/1000+'Inputs'!$B$21+'Inputs'!$B$9+'Inputs'!$B$10))/SQRT((((62-43)*MAX('Inputs'!$B$33,'Inputs'!$B$29+'Inputs'!$B$31+'Inputs'!$B$32,'Inputs'!$B$30+'Inputs'!$B$31+'Inputs'!$B$32)/1000+'Inputs'!$B$21+'Inputs'!$B$9+'Inputs'!$B$10))^2+('Inputs'!$B$6/2)^2))))*'Results'!$B$8)+'Inputs'!$B$28*ABS((('Results'!C7*(1+'Inputs'!$B$24)*(0.5*((((62-43)*MAX('Inputs'!$B$33,'Inputs'!$B$29+'Inputs'!$B$31+'Inputs'!$B$32,'Inputs'!$B$30+'Inputs'!$B$31+'Inputs'!$B$32)/1000+'Inputs'!$B$21)+'Inputs'!$B$9)/SQRT((((62-43)*MAX('Inputs'!$B$33,'Inputs'!$B$29+'Inputs'!$B$31+'Inputs'!$B$32,'Inputs'!$B$30+'Inputs'!$B$31+'Inputs'!$B$32)/1000+'Inputs'!$B$21)+'Inputs'!$B$9)^2+('Inputs'!$B$8/2)^2)-(((62-43)*MAX('Inputs'!$B$33,'Inputs'!$B$29+'Inputs'!$B$31+'Inputs'!$B$32,'Inputs'!$B$30+'Inputs'!$B$31+'Inputs'!$B$32)/1000+'Inputs'!$B$21))/SQRT((((62-43)*MAX('Inputs'!$B$33,'Inputs'!$B$29+'Inputs'!$B$31+'Inputs'!$B$32,'Inputs'!$B$30+'Inputs'!$B$31+'Inputs'!$B$32)/1000+'Inputs'!$B$21))^2+('Inputs'!$B$8/2)^2)))-'Results'!B7*(1-'Inputs'!$B$24)*(0.5*((((62-43)*MAX('Inputs'!$B$33,'Inputs'!$B$29+'Inputs'!$B$31+'Inputs'!$B$32,'Inputs'!$B$30+'Inputs'!$B$31+'Inputs'!$B$32)/1000+'Inputs'!$B$21+'Inputs'!$B$9+'Inputs'!$B$10)+'Inputs'!$B$7)/SQRT((((62-43)*MAX('Inputs'!$B$33,'Inputs'!$B$29+'Inputs'!$B$31+'Inputs'!$B$32,'Inputs'!$B$30+'Inputs'!$B$31+'Inputs'!$B$32)/1000+'Inputs'!$B$21+'Inputs'!$B$9+'Inputs'!$B$10)+'Inputs'!$B$7)^2+('Inputs'!$B$6/2)^2)-(((62-43)*MAX('Inputs'!$B$33,'Inputs'!$B$29+'Inputs'!$B$31+'Inputs'!$B$32,'Inputs'!$B$30+'Inputs'!$B$31+'Inputs'!$B$32)/1000+'Inputs'!$B$21+'Inputs'!$B$9+'Inputs'!$B$10))/SQRT((((62-43)*MAX('Inputs'!$B$33,'Inputs'!$B$29+'Inputs'!$B$31+'Inputs'!$B$32,'Inputs'!$B$30+'Inputs'!$B$31+'Inputs'!$B$32)/1000+'Inputs'!$B$21+'Inputs'!$B$9+'Inputs'!$B$10))^2+('Inputs'!$B$6/2)^2))))*'Results'!$B$8))),"")</x:f>
        <x:v>1750.054640625321</x:v>
      </x:c>
      <x:c r="P62" t="n">
        <x:f>IF(AND(MAX(J62,J61)&gt;0,J62&gt;J61+0.00000001),1,0)</x:f>
        <x:v>0</x:v>
      </x:c>
      <x:c r="Q62" t="n">
        <x:f>IF(AND(MAX(K62,K61)&gt;0,K62&gt;K61+0.00000001),1,0)</x:f>
        <x:v>0</x:v>
      </x:c>
      <x:c r="R62" t="n">
        <x:f>IF(AND(MAX(L62,L61)&gt;0,L62&gt;L61+0.00000001),1,0)</x:f>
        <x:v>0</x:v>
      </x:c>
      <x:c r="S62" t="n">
        <x:f>IF(AND(MAX(M62,M61)&gt;0,M62&gt;M61+0.00000001),1,0)</x:f>
        <x:v>0</x:v>
      </x:c>
      <x:c r="T62" t="n">
        <x:f>IF(AND(MAX(N62,N61)&gt;0,N62&gt;N61+0.00000001),1,0)</x:f>
        <x:v>0</x:v>
      </x:c>
      <x:c r="U62" t="n">
        <x:f>IF(AND(MAX(O62,O61)&gt;0,O62&gt;O61+0.00000001),1,0)</x:f>
        <x:v>0</x:v>
      </x:c>
    </x:row>
    <x:row r="63">
      <x:c r="J63" t="n">
        <x:f>IF(AND(ISNUMBER('Results'!B7),ISNUMBER('Results'!C7),ISNUMBER('Results'!$B$8),ISNUMBER('Inputs'!$B$6),ISNUMBER('Inputs'!$B$7),ISNUMBER('Inputs'!$B$8),ISNUMBER('Inputs'!$B$9),ISNUMBER('Inputs'!$B$10),ISNUMBER('Inputs'!$B$21),ISNUMBER('Inputs'!$B$24),ISNUMBER('Inputs'!$B$28)),(('Results'!B7*(0.5*((((63-43)*MAX('Inputs'!$B$33,'Inputs'!$B$29+'Inputs'!$B$31+'Inputs'!$B$32,'Inputs'!$B$30+'Inputs'!$B$31+'Inputs'!$B$32)/1000+'Inputs'!$B$21)+'Inputs'!$B$7)/SQRT((((63-43)*MAX('Inputs'!$B$33,'Inputs'!$B$29+'Inputs'!$B$31+'Inputs'!$B$32,'Inputs'!$B$30+'Inputs'!$B$31+'Inputs'!$B$32)/1000+'Inputs'!$B$21)+'Inputs'!$B$7)^2+('Inputs'!$B$6/2)^2)-(((63-43)*MAX('Inputs'!$B$33,'Inputs'!$B$29+'Inputs'!$B$31+'Inputs'!$B$32,'Inputs'!$B$30+'Inputs'!$B$31+'Inputs'!$B$32)/1000+'Inputs'!$B$21))/SQRT((((63-43)*MAX('Inputs'!$B$33,'Inputs'!$B$29+'Inputs'!$B$31+'Inputs'!$B$32,'Inputs'!$B$30+'Inputs'!$B$31+'Inputs'!$B$32)/1000+'Inputs'!$B$21))^2+('Inputs'!$B$6/2)^2)))-'Results'!C7*(0.5*((((63-43)*MAX('Inputs'!$B$33,'Inputs'!$B$29+'Inputs'!$B$31+'Inputs'!$B$32,'Inputs'!$B$30+'Inputs'!$B$31+'Inputs'!$B$32)/1000+'Inputs'!$B$21+'Inputs'!$B$7+'Inputs'!$B$10)+'Inputs'!$B$9)/SQRT((((63-43)*MAX('Inputs'!$B$33,'Inputs'!$B$29+'Inputs'!$B$31+'Inputs'!$B$32,'Inputs'!$B$30+'Inputs'!$B$31+'Inputs'!$B$32)/1000+'Inputs'!$B$21+'Inputs'!$B$7+'Inputs'!$B$10)+'Inputs'!$B$9)^2+('Inputs'!$B$8/2)^2)-(((63-43)*MAX('Inputs'!$B$33,'Inputs'!$B$29+'Inputs'!$B$31+'Inputs'!$B$32,'Inputs'!$B$30+'Inputs'!$B$31+'Inputs'!$B$32)/1000+'Inputs'!$B$21+'Inputs'!$B$7+'Inputs'!$B$10))/SQRT((((63-43)*MAX('Inputs'!$B$33,'Inputs'!$B$29+'Inputs'!$B$31+'Inputs'!$B$32,'Inputs'!$B$30+'Inputs'!$B$31+'Inputs'!$B$32)/1000+'Inputs'!$B$21+'Inputs'!$B$7+'Inputs'!$B$10))^2+('Inputs'!$B$8/2)^2))))*'Results'!$B$8),"")</x:f>
        <x:v>1644.5929128597757</x:v>
      </x:c>
      <x:c r="K63" t="n">
        <x:f>IF(AND(ISNUMBER('Results'!B7),ISNUMBER('Results'!C7),ISNUMBER('Results'!$B$8),ISNUMBER('Inputs'!$B$6),ISNUMBER('Inputs'!$B$7),ISNUMBER('Inputs'!$B$8),ISNUMBER('Inputs'!$B$9),ISNUMBER('Inputs'!$B$10),ISNUMBER('Inputs'!$B$21),ISNUMBER('Inputs'!$B$24),ISNUMBER('Inputs'!$B$28)),((('Results'!B7*(1-'Inputs'!$B$24)*(0.5*((((63-43)*MAX('Inputs'!$B$33,'Inputs'!$B$29+'Inputs'!$B$31+'Inputs'!$B$32,'Inputs'!$B$30+'Inputs'!$B$31+'Inputs'!$B$32)/1000+'Inputs'!$B$21)+'Inputs'!$B$7)/SQRT((((63-43)*MAX('Inputs'!$B$33,'Inputs'!$B$29+'Inputs'!$B$31+'Inputs'!$B$32,'Inputs'!$B$30+'Inputs'!$B$31+'Inputs'!$B$32)/1000+'Inputs'!$B$21)+'Inputs'!$B$7)^2+('Inputs'!$B$6/2)^2)-(((63-43)*MAX('Inputs'!$B$33,'Inputs'!$B$29+'Inputs'!$B$31+'Inputs'!$B$32,'Inputs'!$B$30+'Inputs'!$B$31+'Inputs'!$B$32)/1000+'Inputs'!$B$21))/SQRT((((63-43)*MAX('Inputs'!$B$33,'Inputs'!$B$29+'Inputs'!$B$31+'Inputs'!$B$32,'Inputs'!$B$30+'Inputs'!$B$31+'Inputs'!$B$32)/1000+'Inputs'!$B$21))^2+('Inputs'!$B$6/2)^2)))-'Results'!C7*(1+'Inputs'!$B$24)*(0.5*((((63-43)*MAX('Inputs'!$B$33,'Inputs'!$B$29+'Inputs'!$B$31+'Inputs'!$B$32,'Inputs'!$B$30+'Inputs'!$B$31+'Inputs'!$B$32)/1000+'Inputs'!$B$21+'Inputs'!$B$7+'Inputs'!$B$10)+'Inputs'!$B$9)/SQRT((((63-43)*MAX('Inputs'!$B$33,'Inputs'!$B$29+'Inputs'!$B$31+'Inputs'!$B$32,'Inputs'!$B$30+'Inputs'!$B$31+'Inputs'!$B$32)/1000+'Inputs'!$B$21+'Inputs'!$B$7+'Inputs'!$B$10)+'Inputs'!$B$9)^2+('Inputs'!$B$8/2)^2)-(((63-43)*MAX('Inputs'!$B$33,'Inputs'!$B$29+'Inputs'!$B$31+'Inputs'!$B$32,'Inputs'!$B$30+'Inputs'!$B$31+'Inputs'!$B$32)/1000+'Inputs'!$B$21+'Inputs'!$B$7+'Inputs'!$B$10))/SQRT((((63-43)*MAX('Inputs'!$B$33,'Inputs'!$B$29+'Inputs'!$B$31+'Inputs'!$B$32,'Inputs'!$B$30+'Inputs'!$B$31+'Inputs'!$B$32)/1000+'Inputs'!$B$21+'Inputs'!$B$7+'Inputs'!$B$10))^2+('Inputs'!$B$8/2)^2))))*'Results'!$B$8)-'Inputs'!$B$28*ABS((('Results'!B7*(1-'Inputs'!$B$24)*(0.5*((((63-43)*MAX('Inputs'!$B$33,'Inputs'!$B$29+'Inputs'!$B$31+'Inputs'!$B$32,'Inputs'!$B$30+'Inputs'!$B$31+'Inputs'!$B$32)/1000+'Inputs'!$B$21)+'Inputs'!$B$7)/SQRT((((63-43)*MAX('Inputs'!$B$33,'Inputs'!$B$29+'Inputs'!$B$31+'Inputs'!$B$32,'Inputs'!$B$30+'Inputs'!$B$31+'Inputs'!$B$32)/1000+'Inputs'!$B$21)+'Inputs'!$B$7)^2+('Inputs'!$B$6/2)^2)-(((63-43)*MAX('Inputs'!$B$33,'Inputs'!$B$29+'Inputs'!$B$31+'Inputs'!$B$32,'Inputs'!$B$30+'Inputs'!$B$31+'Inputs'!$B$32)/1000+'Inputs'!$B$21))/SQRT((((63-43)*MAX('Inputs'!$B$33,'Inputs'!$B$29+'Inputs'!$B$31+'Inputs'!$B$32,'Inputs'!$B$30+'Inputs'!$B$31+'Inputs'!$B$32)/1000+'Inputs'!$B$21))^2+('Inputs'!$B$6/2)^2)))-'Results'!C7*(1+'Inputs'!$B$24)*(0.5*((((63-43)*MAX('Inputs'!$B$33,'Inputs'!$B$29+'Inputs'!$B$31+'Inputs'!$B$32,'Inputs'!$B$30+'Inputs'!$B$31+'Inputs'!$B$32)/1000+'Inputs'!$B$21+'Inputs'!$B$7+'Inputs'!$B$10)+'Inputs'!$B$9)/SQRT((((63-43)*MAX('Inputs'!$B$33,'Inputs'!$B$29+'Inputs'!$B$31+'Inputs'!$B$32,'Inputs'!$B$30+'Inputs'!$B$31+'Inputs'!$B$32)/1000+'Inputs'!$B$21+'Inputs'!$B$7+'Inputs'!$B$10)+'Inputs'!$B$9)^2+('Inputs'!$B$8/2)^2)-(((63-43)*MAX('Inputs'!$B$33,'Inputs'!$B$29+'Inputs'!$B$31+'Inputs'!$B$32,'Inputs'!$B$30+'Inputs'!$B$31+'Inputs'!$B$32)/1000+'Inputs'!$B$21+'Inputs'!$B$7+'Inputs'!$B$10))/SQRT((((63-43)*MAX('Inputs'!$B$33,'Inputs'!$B$29+'Inputs'!$B$31+'Inputs'!$B$32,'Inputs'!$B$30+'Inputs'!$B$31+'Inputs'!$B$32)/1000+'Inputs'!$B$21+'Inputs'!$B$7+'Inputs'!$B$10))^2+('Inputs'!$B$8/2)^2))))*'Results'!$B$8))),"")</x:f>
        <x:v>1521.4802162929284</x:v>
      </x:c>
      <x:c r="L63" t="n">
        <x:f>IF(AND(ISNUMBER('Results'!B7),ISNUMBER('Results'!C7),ISNUMBER('Results'!$B$8),ISNUMBER('Inputs'!$B$6),ISNUMBER('Inputs'!$B$7),ISNUMBER('Inputs'!$B$8),ISNUMBER('Inputs'!$B$9),ISNUMBER('Inputs'!$B$10),ISNUMBER('Inputs'!$B$21),ISNUMBER('Inputs'!$B$24),ISNUMBER('Inputs'!$B$28)),((('Results'!B7*(1+'Inputs'!$B$24)*(0.5*((((63-43)*MAX('Inputs'!$B$33,'Inputs'!$B$29+'Inputs'!$B$31+'Inputs'!$B$32,'Inputs'!$B$30+'Inputs'!$B$31+'Inputs'!$B$32)/1000+'Inputs'!$B$21)+'Inputs'!$B$7)/SQRT((((63-43)*MAX('Inputs'!$B$33,'Inputs'!$B$29+'Inputs'!$B$31+'Inputs'!$B$32,'Inputs'!$B$30+'Inputs'!$B$31+'Inputs'!$B$32)/1000+'Inputs'!$B$21)+'Inputs'!$B$7)^2+('Inputs'!$B$6/2)^2)-(((63-43)*MAX('Inputs'!$B$33,'Inputs'!$B$29+'Inputs'!$B$31+'Inputs'!$B$32,'Inputs'!$B$30+'Inputs'!$B$31+'Inputs'!$B$32)/1000+'Inputs'!$B$21))/SQRT((((63-43)*MAX('Inputs'!$B$33,'Inputs'!$B$29+'Inputs'!$B$31+'Inputs'!$B$32,'Inputs'!$B$30+'Inputs'!$B$31+'Inputs'!$B$32)/1000+'Inputs'!$B$21))^2+('Inputs'!$B$6/2)^2)))-'Results'!C7*(1-'Inputs'!$B$24)*(0.5*((((63-43)*MAX('Inputs'!$B$33,'Inputs'!$B$29+'Inputs'!$B$31+'Inputs'!$B$32,'Inputs'!$B$30+'Inputs'!$B$31+'Inputs'!$B$32)/1000+'Inputs'!$B$21+'Inputs'!$B$7+'Inputs'!$B$10)+'Inputs'!$B$9)/SQRT((((63-43)*MAX('Inputs'!$B$33,'Inputs'!$B$29+'Inputs'!$B$31+'Inputs'!$B$32,'Inputs'!$B$30+'Inputs'!$B$31+'Inputs'!$B$32)/1000+'Inputs'!$B$21+'Inputs'!$B$7+'Inputs'!$B$10)+'Inputs'!$B$9)^2+('Inputs'!$B$8/2)^2)-(((63-43)*MAX('Inputs'!$B$33,'Inputs'!$B$29+'Inputs'!$B$31+'Inputs'!$B$32,'Inputs'!$B$30+'Inputs'!$B$31+'Inputs'!$B$32)/1000+'Inputs'!$B$21+'Inputs'!$B$7+'Inputs'!$B$10))/SQRT((((63-43)*MAX('Inputs'!$B$33,'Inputs'!$B$29+'Inputs'!$B$31+'Inputs'!$B$32,'Inputs'!$B$30+'Inputs'!$B$31+'Inputs'!$B$32)/1000+'Inputs'!$B$21+'Inputs'!$B$7+'Inputs'!$B$10))^2+('Inputs'!$B$8/2)^2))))*'Results'!$B$8)+'Inputs'!$B$28*ABS((('Results'!B7*(1+'Inputs'!$B$24)*(0.5*((((63-43)*MAX('Inputs'!$B$33,'Inputs'!$B$29+'Inputs'!$B$31+'Inputs'!$B$32,'Inputs'!$B$30+'Inputs'!$B$31+'Inputs'!$B$32)/1000+'Inputs'!$B$21)+'Inputs'!$B$7)/SQRT((((63-43)*MAX('Inputs'!$B$33,'Inputs'!$B$29+'Inputs'!$B$31+'Inputs'!$B$32,'Inputs'!$B$30+'Inputs'!$B$31+'Inputs'!$B$32)/1000+'Inputs'!$B$21)+'Inputs'!$B$7)^2+('Inputs'!$B$6/2)^2)-(((63-43)*MAX('Inputs'!$B$33,'Inputs'!$B$29+'Inputs'!$B$31+'Inputs'!$B$32,'Inputs'!$B$30+'Inputs'!$B$31+'Inputs'!$B$32)/1000+'Inputs'!$B$21))/SQRT((((63-43)*MAX('Inputs'!$B$33,'Inputs'!$B$29+'Inputs'!$B$31+'Inputs'!$B$32,'Inputs'!$B$30+'Inputs'!$B$31+'Inputs'!$B$32)/1000+'Inputs'!$B$21))^2+('Inputs'!$B$6/2)^2)))-'Results'!C7*(1-'Inputs'!$B$24)*(0.5*((((63-43)*MAX('Inputs'!$B$33,'Inputs'!$B$29+'Inputs'!$B$31+'Inputs'!$B$32,'Inputs'!$B$30+'Inputs'!$B$31+'Inputs'!$B$32)/1000+'Inputs'!$B$21+'Inputs'!$B$7+'Inputs'!$B$10)+'Inputs'!$B$9)/SQRT((((63-43)*MAX('Inputs'!$B$33,'Inputs'!$B$29+'Inputs'!$B$31+'Inputs'!$B$32,'Inputs'!$B$30+'Inputs'!$B$31+'Inputs'!$B$32)/1000+'Inputs'!$B$21+'Inputs'!$B$7+'Inputs'!$B$10)+'Inputs'!$B$9)^2+('Inputs'!$B$8/2)^2)-(((63-43)*MAX('Inputs'!$B$33,'Inputs'!$B$29+'Inputs'!$B$31+'Inputs'!$B$32,'Inputs'!$B$30+'Inputs'!$B$31+'Inputs'!$B$32)/1000+'Inputs'!$B$21+'Inputs'!$B$7+'Inputs'!$B$10))/SQRT((((63-43)*MAX('Inputs'!$B$33,'Inputs'!$B$29+'Inputs'!$B$31+'Inputs'!$B$32,'Inputs'!$B$30+'Inputs'!$B$31+'Inputs'!$B$32)/1000+'Inputs'!$B$21+'Inputs'!$B$7+'Inputs'!$B$10))^2+('Inputs'!$B$8/2)^2))))*'Results'!$B$8))),"")</x:f>
        <x:v>1772.0090884712395</x:v>
      </x:c>
      <x:c r="M63" t="n">
        <x:f>IF(AND(ISNUMBER('Results'!C7),ISNUMBER('Results'!B7),ISNUMBER('Results'!$B$8),ISNUMBER('Inputs'!$B$6),ISNUMBER('Inputs'!$B$7),ISNUMBER('Inputs'!$B$8),ISNUMBER('Inputs'!$B$9),ISNUMBER('Inputs'!$B$10),ISNUMBER('Inputs'!$B$21),ISNUMBER('Inputs'!$B$24),ISNUMBER('Inputs'!$B$28)),(('Results'!C7*(0.5*((((63-43)*MAX('Inputs'!$B$33,'Inputs'!$B$29+'Inputs'!$B$31+'Inputs'!$B$32,'Inputs'!$B$30+'Inputs'!$B$31+'Inputs'!$B$32)/1000+'Inputs'!$B$21)+'Inputs'!$B$9)/SQRT((((63-43)*MAX('Inputs'!$B$33,'Inputs'!$B$29+'Inputs'!$B$31+'Inputs'!$B$32,'Inputs'!$B$30+'Inputs'!$B$31+'Inputs'!$B$32)/1000+'Inputs'!$B$21)+'Inputs'!$B$9)^2+('Inputs'!$B$8/2)^2)-(((63-43)*MAX('Inputs'!$B$33,'Inputs'!$B$29+'Inputs'!$B$31+'Inputs'!$B$32,'Inputs'!$B$30+'Inputs'!$B$31+'Inputs'!$B$32)/1000+'Inputs'!$B$21))/SQRT((((63-43)*MAX('Inputs'!$B$33,'Inputs'!$B$29+'Inputs'!$B$31+'Inputs'!$B$32,'Inputs'!$B$30+'Inputs'!$B$31+'Inputs'!$B$32)/1000+'Inputs'!$B$21))^2+('Inputs'!$B$8/2)^2)))-'Results'!B7*(0.5*((((63-43)*MAX('Inputs'!$B$33,'Inputs'!$B$29+'Inputs'!$B$31+'Inputs'!$B$32,'Inputs'!$B$30+'Inputs'!$B$31+'Inputs'!$B$32)/1000+'Inputs'!$B$21+'Inputs'!$B$9+'Inputs'!$B$10)+'Inputs'!$B$7)/SQRT((((63-43)*MAX('Inputs'!$B$33,'Inputs'!$B$29+'Inputs'!$B$31+'Inputs'!$B$32,'Inputs'!$B$30+'Inputs'!$B$31+'Inputs'!$B$32)/1000+'Inputs'!$B$21+'Inputs'!$B$9+'Inputs'!$B$10)+'Inputs'!$B$7)^2+('Inputs'!$B$6/2)^2)-(((63-43)*MAX('Inputs'!$B$33,'Inputs'!$B$29+'Inputs'!$B$31+'Inputs'!$B$32,'Inputs'!$B$30+'Inputs'!$B$31+'Inputs'!$B$32)/1000+'Inputs'!$B$21+'Inputs'!$B$9+'Inputs'!$B$10))/SQRT((((63-43)*MAX('Inputs'!$B$33,'Inputs'!$B$29+'Inputs'!$B$31+'Inputs'!$B$32,'Inputs'!$B$30+'Inputs'!$B$31+'Inputs'!$B$32)/1000+'Inputs'!$B$21+'Inputs'!$B$9+'Inputs'!$B$10))^2+('Inputs'!$B$6/2)^2))))*'Results'!$B$8),"")</x:f>
        <x:v>1601.454623105558</x:v>
      </x:c>
      <x:c r="N63" t="n">
        <x:f>IF(AND(ISNUMBER('Results'!C7),ISNUMBER('Results'!B7),ISNUMBER('Results'!$B$8),ISNUMBER('Inputs'!$B$6),ISNUMBER('Inputs'!$B$7),ISNUMBER('Inputs'!$B$8),ISNUMBER('Inputs'!$B$9),ISNUMBER('Inputs'!$B$10),ISNUMBER('Inputs'!$B$21),ISNUMBER('Inputs'!$B$24),ISNUMBER('Inputs'!$B$28)),((('Results'!C7*(1-'Inputs'!$B$24)*(0.5*((((63-43)*MAX('Inputs'!$B$33,'Inputs'!$B$29+'Inputs'!$B$31+'Inputs'!$B$32,'Inputs'!$B$30+'Inputs'!$B$31+'Inputs'!$B$32)/1000+'Inputs'!$B$21)+'Inputs'!$B$9)/SQRT((((63-43)*MAX('Inputs'!$B$33,'Inputs'!$B$29+'Inputs'!$B$31+'Inputs'!$B$32,'Inputs'!$B$30+'Inputs'!$B$31+'Inputs'!$B$32)/1000+'Inputs'!$B$21)+'Inputs'!$B$9)^2+('Inputs'!$B$8/2)^2)-(((63-43)*MAX('Inputs'!$B$33,'Inputs'!$B$29+'Inputs'!$B$31+'Inputs'!$B$32,'Inputs'!$B$30+'Inputs'!$B$31+'Inputs'!$B$32)/1000+'Inputs'!$B$21))/SQRT((((63-43)*MAX('Inputs'!$B$33,'Inputs'!$B$29+'Inputs'!$B$31+'Inputs'!$B$32,'Inputs'!$B$30+'Inputs'!$B$31+'Inputs'!$B$32)/1000+'Inputs'!$B$21))^2+('Inputs'!$B$8/2)^2)))-'Results'!B7*(1+'Inputs'!$B$24)*(0.5*((((63-43)*MAX('Inputs'!$B$33,'Inputs'!$B$29+'Inputs'!$B$31+'Inputs'!$B$32,'Inputs'!$B$30+'Inputs'!$B$31+'Inputs'!$B$32)/1000+'Inputs'!$B$21+'Inputs'!$B$9+'Inputs'!$B$10)+'Inputs'!$B$7)/SQRT((((63-43)*MAX('Inputs'!$B$33,'Inputs'!$B$29+'Inputs'!$B$31+'Inputs'!$B$32,'Inputs'!$B$30+'Inputs'!$B$31+'Inputs'!$B$32)/1000+'Inputs'!$B$21+'Inputs'!$B$9+'Inputs'!$B$10)+'Inputs'!$B$7)^2+('Inputs'!$B$6/2)^2)-(((63-43)*MAX('Inputs'!$B$33,'Inputs'!$B$29+'Inputs'!$B$31+'Inputs'!$B$32,'Inputs'!$B$30+'Inputs'!$B$31+'Inputs'!$B$32)/1000+'Inputs'!$B$21+'Inputs'!$B$9+'Inputs'!$B$10))/SQRT((((63-43)*MAX('Inputs'!$B$33,'Inputs'!$B$29+'Inputs'!$B$31+'Inputs'!$B$32,'Inputs'!$B$30+'Inputs'!$B$31+'Inputs'!$B$32)/1000+'Inputs'!$B$21+'Inputs'!$B$9+'Inputs'!$B$10))^2+('Inputs'!$B$6/2)^2))))*'Results'!$B$8)-'Inputs'!$B$28*ABS((('Results'!C7*(1-'Inputs'!$B$24)*(0.5*((((63-43)*MAX('Inputs'!$B$33,'Inputs'!$B$29+'Inputs'!$B$31+'Inputs'!$B$32,'Inputs'!$B$30+'Inputs'!$B$31+'Inputs'!$B$32)/1000+'Inputs'!$B$21)+'Inputs'!$B$9)/SQRT((((63-43)*MAX('Inputs'!$B$33,'Inputs'!$B$29+'Inputs'!$B$31+'Inputs'!$B$32,'Inputs'!$B$30+'Inputs'!$B$31+'Inputs'!$B$32)/1000+'Inputs'!$B$21)+'Inputs'!$B$9)^2+('Inputs'!$B$8/2)^2)-(((63-43)*MAX('Inputs'!$B$33,'Inputs'!$B$29+'Inputs'!$B$31+'Inputs'!$B$32,'Inputs'!$B$30+'Inputs'!$B$31+'Inputs'!$B$32)/1000+'Inputs'!$B$21))/SQRT((((63-43)*MAX('Inputs'!$B$33,'Inputs'!$B$29+'Inputs'!$B$31+'Inputs'!$B$32,'Inputs'!$B$30+'Inputs'!$B$31+'Inputs'!$B$32)/1000+'Inputs'!$B$21))^2+('Inputs'!$B$8/2)^2)))-'Results'!B7*(1+'Inputs'!$B$24)*(0.5*((((63-43)*MAX('Inputs'!$B$33,'Inputs'!$B$29+'Inputs'!$B$31+'Inputs'!$B$32,'Inputs'!$B$30+'Inputs'!$B$31+'Inputs'!$B$32)/1000+'Inputs'!$B$21+'Inputs'!$B$9+'Inputs'!$B$10)+'Inputs'!$B$7)/SQRT((((63-43)*MAX('Inputs'!$B$33,'Inputs'!$B$29+'Inputs'!$B$31+'Inputs'!$B$32,'Inputs'!$B$30+'Inputs'!$B$31+'Inputs'!$B$32)/1000+'Inputs'!$B$21+'Inputs'!$B$9+'Inputs'!$B$10)+'Inputs'!$B$7)^2+('Inputs'!$B$6/2)^2)-(((63-43)*MAX('Inputs'!$B$33,'Inputs'!$B$29+'Inputs'!$B$31+'Inputs'!$B$32,'Inputs'!$B$30+'Inputs'!$B$31+'Inputs'!$B$32)/1000+'Inputs'!$B$21+'Inputs'!$B$9+'Inputs'!$B$10))/SQRT((((63-43)*MAX('Inputs'!$B$33,'Inputs'!$B$29+'Inputs'!$B$31+'Inputs'!$B$32,'Inputs'!$B$30+'Inputs'!$B$31+'Inputs'!$B$32)/1000+'Inputs'!$B$21+'Inputs'!$B$9+'Inputs'!$B$10))^2+('Inputs'!$B$6/2)^2))))*'Results'!$B$8))),"")</x:f>
        <x:v>1481.121819846455</x:v>
      </x:c>
      <x:c r="O63" t="n">
        <x:f>IF(AND(ISNUMBER('Results'!C7),ISNUMBER('Results'!B7),ISNUMBER('Results'!$B$8),ISNUMBER('Inputs'!$B$6),ISNUMBER('Inputs'!$B$7),ISNUMBER('Inputs'!$B$8),ISNUMBER('Inputs'!$B$9),ISNUMBER('Inputs'!$B$10),ISNUMBER('Inputs'!$B$21),ISNUMBER('Inputs'!$B$24),ISNUMBER('Inputs'!$B$28)),((('Results'!C7*(1+'Inputs'!$B$24)*(0.5*((((63-43)*MAX('Inputs'!$B$33,'Inputs'!$B$29+'Inputs'!$B$31+'Inputs'!$B$32,'Inputs'!$B$30+'Inputs'!$B$31+'Inputs'!$B$32)/1000+'Inputs'!$B$21)+'Inputs'!$B$9)/SQRT((((63-43)*MAX('Inputs'!$B$33,'Inputs'!$B$29+'Inputs'!$B$31+'Inputs'!$B$32,'Inputs'!$B$30+'Inputs'!$B$31+'Inputs'!$B$32)/1000+'Inputs'!$B$21)+'Inputs'!$B$9)^2+('Inputs'!$B$8/2)^2)-(((63-43)*MAX('Inputs'!$B$33,'Inputs'!$B$29+'Inputs'!$B$31+'Inputs'!$B$32,'Inputs'!$B$30+'Inputs'!$B$31+'Inputs'!$B$32)/1000+'Inputs'!$B$21))/SQRT((((63-43)*MAX('Inputs'!$B$33,'Inputs'!$B$29+'Inputs'!$B$31+'Inputs'!$B$32,'Inputs'!$B$30+'Inputs'!$B$31+'Inputs'!$B$32)/1000+'Inputs'!$B$21))^2+('Inputs'!$B$8/2)^2)))-'Results'!B7*(1-'Inputs'!$B$24)*(0.5*((((63-43)*MAX('Inputs'!$B$33,'Inputs'!$B$29+'Inputs'!$B$31+'Inputs'!$B$32,'Inputs'!$B$30+'Inputs'!$B$31+'Inputs'!$B$32)/1000+'Inputs'!$B$21+'Inputs'!$B$9+'Inputs'!$B$10)+'Inputs'!$B$7)/SQRT((((63-43)*MAX('Inputs'!$B$33,'Inputs'!$B$29+'Inputs'!$B$31+'Inputs'!$B$32,'Inputs'!$B$30+'Inputs'!$B$31+'Inputs'!$B$32)/1000+'Inputs'!$B$21+'Inputs'!$B$9+'Inputs'!$B$10)+'Inputs'!$B$7)^2+('Inputs'!$B$6/2)^2)-(((63-43)*MAX('Inputs'!$B$33,'Inputs'!$B$29+'Inputs'!$B$31+'Inputs'!$B$32,'Inputs'!$B$30+'Inputs'!$B$31+'Inputs'!$B$32)/1000+'Inputs'!$B$21+'Inputs'!$B$9+'Inputs'!$B$10))/SQRT((((63-43)*MAX('Inputs'!$B$33,'Inputs'!$B$29+'Inputs'!$B$31+'Inputs'!$B$32,'Inputs'!$B$30+'Inputs'!$B$31+'Inputs'!$B$32)/1000+'Inputs'!$B$21+'Inputs'!$B$9+'Inputs'!$B$10))^2+('Inputs'!$B$6/2)^2))))*'Results'!$B$8)+'Inputs'!$B$28*ABS((('Results'!C7*(1+'Inputs'!$B$24)*(0.5*((((63-43)*MAX('Inputs'!$B$33,'Inputs'!$B$29+'Inputs'!$B$31+'Inputs'!$B$32,'Inputs'!$B$30+'Inputs'!$B$31+'Inputs'!$B$32)/1000+'Inputs'!$B$21)+'Inputs'!$B$9)/SQRT((((63-43)*MAX('Inputs'!$B$33,'Inputs'!$B$29+'Inputs'!$B$31+'Inputs'!$B$32,'Inputs'!$B$30+'Inputs'!$B$31+'Inputs'!$B$32)/1000+'Inputs'!$B$21)+'Inputs'!$B$9)^2+('Inputs'!$B$8/2)^2)-(((63-43)*MAX('Inputs'!$B$33,'Inputs'!$B$29+'Inputs'!$B$31+'Inputs'!$B$32,'Inputs'!$B$30+'Inputs'!$B$31+'Inputs'!$B$32)/1000+'Inputs'!$B$21))/SQRT((((63-43)*MAX('Inputs'!$B$33,'Inputs'!$B$29+'Inputs'!$B$31+'Inputs'!$B$32,'Inputs'!$B$30+'Inputs'!$B$31+'Inputs'!$B$32)/1000+'Inputs'!$B$21))^2+('Inputs'!$B$8/2)^2)))-'Results'!B7*(1-'Inputs'!$B$24)*(0.5*((((63-43)*MAX('Inputs'!$B$33,'Inputs'!$B$29+'Inputs'!$B$31+'Inputs'!$B$32,'Inputs'!$B$30+'Inputs'!$B$31+'Inputs'!$B$32)/1000+'Inputs'!$B$21+'Inputs'!$B$9+'Inputs'!$B$10)+'Inputs'!$B$7)/SQRT((((63-43)*MAX('Inputs'!$B$33,'Inputs'!$B$29+'Inputs'!$B$31+'Inputs'!$B$32,'Inputs'!$B$30+'Inputs'!$B$31+'Inputs'!$B$32)/1000+'Inputs'!$B$21+'Inputs'!$B$9+'Inputs'!$B$10)+'Inputs'!$B$7)^2+('Inputs'!$B$6/2)^2)-(((63-43)*MAX('Inputs'!$B$33,'Inputs'!$B$29+'Inputs'!$B$31+'Inputs'!$B$32,'Inputs'!$B$30+'Inputs'!$B$31+'Inputs'!$B$32)/1000+'Inputs'!$B$21+'Inputs'!$B$9+'Inputs'!$B$10))/SQRT((((63-43)*MAX('Inputs'!$B$33,'Inputs'!$B$29+'Inputs'!$B$31+'Inputs'!$B$32,'Inputs'!$B$30+'Inputs'!$B$31+'Inputs'!$B$32)/1000+'Inputs'!$B$21+'Inputs'!$B$9+'Inputs'!$B$10))^2+('Inputs'!$B$6/2)^2))))*'Results'!$B$8))),"")</x:f>
        <x:v>1726.0253286913792</x:v>
      </x:c>
      <x:c r="P63" t="n">
        <x:f>IF(AND(MAX(J63,J62)&gt;0,J63&gt;J62+0.00000001),1,0)</x:f>
        <x:v>0</x:v>
      </x:c>
      <x:c r="Q63" t="n">
        <x:f>IF(AND(MAX(K63,K62)&gt;0,K63&gt;K62+0.00000001),1,0)</x:f>
        <x:v>0</x:v>
      </x:c>
      <x:c r="R63" t="n">
        <x:f>IF(AND(MAX(L63,L62)&gt;0,L63&gt;L62+0.00000001),1,0)</x:f>
        <x:v>0</x:v>
      </x:c>
      <x:c r="S63" t="n">
        <x:f>IF(AND(MAX(M63,M62)&gt;0,M63&gt;M62+0.00000001),1,0)</x:f>
        <x:v>0</x:v>
      </x:c>
      <x:c r="T63" t="n">
        <x:f>IF(AND(MAX(N63,N62)&gt;0,N63&gt;N62+0.00000001),1,0)</x:f>
        <x:v>0</x:v>
      </x:c>
      <x:c r="U63" t="n">
        <x:f>IF(AND(MAX(O63,O62)&gt;0,O63&gt;O62+0.00000001),1,0)</x:f>
        <x:v>0</x:v>
      </x:c>
    </x:row>
    <x:row r="64">
      <x:c r="J64" t="n">
        <x:f>IF(AND(ISNUMBER('Results'!B7),ISNUMBER('Results'!C7),ISNUMBER('Results'!$B$8),ISNUMBER('Inputs'!$B$6),ISNUMBER('Inputs'!$B$7),ISNUMBER('Inputs'!$B$8),ISNUMBER('Inputs'!$B$9),ISNUMBER('Inputs'!$B$10),ISNUMBER('Inputs'!$B$21),ISNUMBER('Inputs'!$B$24),ISNUMBER('Inputs'!$B$28)),(('Results'!B7*(0.5*((((64-43)*MAX('Inputs'!$B$33,'Inputs'!$B$29+'Inputs'!$B$31+'Inputs'!$B$32,'Inputs'!$B$30+'Inputs'!$B$31+'Inputs'!$B$32)/1000+'Inputs'!$B$21)+'Inputs'!$B$7)/SQRT((((64-43)*MAX('Inputs'!$B$33,'Inputs'!$B$29+'Inputs'!$B$31+'Inputs'!$B$32,'Inputs'!$B$30+'Inputs'!$B$31+'Inputs'!$B$32)/1000+'Inputs'!$B$21)+'Inputs'!$B$7)^2+('Inputs'!$B$6/2)^2)-(((64-43)*MAX('Inputs'!$B$33,'Inputs'!$B$29+'Inputs'!$B$31+'Inputs'!$B$32,'Inputs'!$B$30+'Inputs'!$B$31+'Inputs'!$B$32)/1000+'Inputs'!$B$21))/SQRT((((64-43)*MAX('Inputs'!$B$33,'Inputs'!$B$29+'Inputs'!$B$31+'Inputs'!$B$32,'Inputs'!$B$30+'Inputs'!$B$31+'Inputs'!$B$32)/1000+'Inputs'!$B$21))^2+('Inputs'!$B$6/2)^2)))-'Results'!C7*(0.5*((((64-43)*MAX('Inputs'!$B$33,'Inputs'!$B$29+'Inputs'!$B$31+'Inputs'!$B$32,'Inputs'!$B$30+'Inputs'!$B$31+'Inputs'!$B$32)/1000+'Inputs'!$B$21+'Inputs'!$B$7+'Inputs'!$B$10)+'Inputs'!$B$9)/SQRT((((64-43)*MAX('Inputs'!$B$33,'Inputs'!$B$29+'Inputs'!$B$31+'Inputs'!$B$32,'Inputs'!$B$30+'Inputs'!$B$31+'Inputs'!$B$32)/1000+'Inputs'!$B$21+'Inputs'!$B$7+'Inputs'!$B$10)+'Inputs'!$B$9)^2+('Inputs'!$B$8/2)^2)-(((64-43)*MAX('Inputs'!$B$33,'Inputs'!$B$29+'Inputs'!$B$31+'Inputs'!$B$32,'Inputs'!$B$30+'Inputs'!$B$31+'Inputs'!$B$32)/1000+'Inputs'!$B$21+'Inputs'!$B$7+'Inputs'!$B$10))/SQRT((((64-43)*MAX('Inputs'!$B$33,'Inputs'!$B$29+'Inputs'!$B$31+'Inputs'!$B$32,'Inputs'!$B$30+'Inputs'!$B$31+'Inputs'!$B$32)/1000+'Inputs'!$B$21+'Inputs'!$B$7+'Inputs'!$B$10))^2+('Inputs'!$B$8/2)^2))))*'Results'!$B$8),"")</x:f>
        <x:v>1621.5474223824688</x:v>
      </x:c>
      <x:c r="K64" t="n">
        <x:f>IF(AND(ISNUMBER('Results'!B7),ISNUMBER('Results'!C7),ISNUMBER('Results'!$B$8),ISNUMBER('Inputs'!$B$6),ISNUMBER('Inputs'!$B$7),ISNUMBER('Inputs'!$B$8),ISNUMBER('Inputs'!$B$9),ISNUMBER('Inputs'!$B$10),ISNUMBER('Inputs'!$B$21),ISNUMBER('Inputs'!$B$24),ISNUMBER('Inputs'!$B$28)),((('Results'!B7*(1-'Inputs'!$B$24)*(0.5*((((64-43)*MAX('Inputs'!$B$33,'Inputs'!$B$29+'Inputs'!$B$31+'Inputs'!$B$32,'Inputs'!$B$30+'Inputs'!$B$31+'Inputs'!$B$32)/1000+'Inputs'!$B$21)+'Inputs'!$B$7)/SQRT((((64-43)*MAX('Inputs'!$B$33,'Inputs'!$B$29+'Inputs'!$B$31+'Inputs'!$B$32,'Inputs'!$B$30+'Inputs'!$B$31+'Inputs'!$B$32)/1000+'Inputs'!$B$21)+'Inputs'!$B$7)^2+('Inputs'!$B$6/2)^2)-(((64-43)*MAX('Inputs'!$B$33,'Inputs'!$B$29+'Inputs'!$B$31+'Inputs'!$B$32,'Inputs'!$B$30+'Inputs'!$B$31+'Inputs'!$B$32)/1000+'Inputs'!$B$21))/SQRT((((64-43)*MAX('Inputs'!$B$33,'Inputs'!$B$29+'Inputs'!$B$31+'Inputs'!$B$32,'Inputs'!$B$30+'Inputs'!$B$31+'Inputs'!$B$32)/1000+'Inputs'!$B$21))^2+('Inputs'!$B$6/2)^2)))-'Results'!C7*(1+'Inputs'!$B$24)*(0.5*((((64-43)*MAX('Inputs'!$B$33,'Inputs'!$B$29+'Inputs'!$B$31+'Inputs'!$B$32,'Inputs'!$B$30+'Inputs'!$B$31+'Inputs'!$B$32)/1000+'Inputs'!$B$21+'Inputs'!$B$7+'Inputs'!$B$10)+'Inputs'!$B$9)/SQRT((((64-43)*MAX('Inputs'!$B$33,'Inputs'!$B$29+'Inputs'!$B$31+'Inputs'!$B$32,'Inputs'!$B$30+'Inputs'!$B$31+'Inputs'!$B$32)/1000+'Inputs'!$B$21+'Inputs'!$B$7+'Inputs'!$B$10)+'Inputs'!$B$9)^2+('Inputs'!$B$8/2)^2)-(((64-43)*MAX('Inputs'!$B$33,'Inputs'!$B$29+'Inputs'!$B$31+'Inputs'!$B$32,'Inputs'!$B$30+'Inputs'!$B$31+'Inputs'!$B$32)/1000+'Inputs'!$B$21+'Inputs'!$B$7+'Inputs'!$B$10))/SQRT((((64-43)*MAX('Inputs'!$B$33,'Inputs'!$B$29+'Inputs'!$B$31+'Inputs'!$B$32,'Inputs'!$B$30+'Inputs'!$B$31+'Inputs'!$B$32)/1000+'Inputs'!$B$21+'Inputs'!$B$7+'Inputs'!$B$10))^2+('Inputs'!$B$8/2)^2))))*'Results'!$B$8)-'Inputs'!$B$28*ABS((('Results'!B7*(1-'Inputs'!$B$24)*(0.5*((((64-43)*MAX('Inputs'!$B$33,'Inputs'!$B$29+'Inputs'!$B$31+'Inputs'!$B$32,'Inputs'!$B$30+'Inputs'!$B$31+'Inputs'!$B$32)/1000+'Inputs'!$B$21)+'Inputs'!$B$7)/SQRT((((64-43)*MAX('Inputs'!$B$33,'Inputs'!$B$29+'Inputs'!$B$31+'Inputs'!$B$32,'Inputs'!$B$30+'Inputs'!$B$31+'Inputs'!$B$32)/1000+'Inputs'!$B$21)+'Inputs'!$B$7)^2+('Inputs'!$B$6/2)^2)-(((64-43)*MAX('Inputs'!$B$33,'Inputs'!$B$29+'Inputs'!$B$31+'Inputs'!$B$32,'Inputs'!$B$30+'Inputs'!$B$31+'Inputs'!$B$32)/1000+'Inputs'!$B$21))/SQRT((((64-43)*MAX('Inputs'!$B$33,'Inputs'!$B$29+'Inputs'!$B$31+'Inputs'!$B$32,'Inputs'!$B$30+'Inputs'!$B$31+'Inputs'!$B$32)/1000+'Inputs'!$B$21))^2+('Inputs'!$B$6/2)^2)))-'Results'!C7*(1+'Inputs'!$B$24)*(0.5*((((64-43)*MAX('Inputs'!$B$33,'Inputs'!$B$29+'Inputs'!$B$31+'Inputs'!$B$32,'Inputs'!$B$30+'Inputs'!$B$31+'Inputs'!$B$32)/1000+'Inputs'!$B$21+'Inputs'!$B$7+'Inputs'!$B$10)+'Inputs'!$B$9)/SQRT((((64-43)*MAX('Inputs'!$B$33,'Inputs'!$B$29+'Inputs'!$B$31+'Inputs'!$B$32,'Inputs'!$B$30+'Inputs'!$B$31+'Inputs'!$B$32)/1000+'Inputs'!$B$21+'Inputs'!$B$7+'Inputs'!$B$10)+'Inputs'!$B$9)^2+('Inputs'!$B$8/2)^2)-(((64-43)*MAX('Inputs'!$B$33,'Inputs'!$B$29+'Inputs'!$B$31+'Inputs'!$B$32,'Inputs'!$B$30+'Inputs'!$B$31+'Inputs'!$B$32)/1000+'Inputs'!$B$21+'Inputs'!$B$7+'Inputs'!$B$10))/SQRT((((64-43)*MAX('Inputs'!$B$33,'Inputs'!$B$29+'Inputs'!$B$31+'Inputs'!$B$32,'Inputs'!$B$30+'Inputs'!$B$31+'Inputs'!$B$32)/1000+'Inputs'!$B$21+'Inputs'!$B$7+'Inputs'!$B$10))^2+('Inputs'!$B$8/2)^2))))*'Results'!$B$8))),"")</x:f>
        <x:v>1500.1726729421218</x:v>
      </x:c>
      <x:c r="L64" t="n">
        <x:f>IF(AND(ISNUMBER('Results'!B7),ISNUMBER('Results'!C7),ISNUMBER('Results'!$B$8),ISNUMBER('Inputs'!$B$6),ISNUMBER('Inputs'!$B$7),ISNUMBER('Inputs'!$B$8),ISNUMBER('Inputs'!$B$9),ISNUMBER('Inputs'!$B$10),ISNUMBER('Inputs'!$B$21),ISNUMBER('Inputs'!$B$24),ISNUMBER('Inputs'!$B$28)),((('Results'!B7*(1+'Inputs'!$B$24)*(0.5*((((64-43)*MAX('Inputs'!$B$33,'Inputs'!$B$29+'Inputs'!$B$31+'Inputs'!$B$32,'Inputs'!$B$30+'Inputs'!$B$31+'Inputs'!$B$32)/1000+'Inputs'!$B$21)+'Inputs'!$B$7)/SQRT((((64-43)*MAX('Inputs'!$B$33,'Inputs'!$B$29+'Inputs'!$B$31+'Inputs'!$B$32,'Inputs'!$B$30+'Inputs'!$B$31+'Inputs'!$B$32)/1000+'Inputs'!$B$21)+'Inputs'!$B$7)^2+('Inputs'!$B$6/2)^2)-(((64-43)*MAX('Inputs'!$B$33,'Inputs'!$B$29+'Inputs'!$B$31+'Inputs'!$B$32,'Inputs'!$B$30+'Inputs'!$B$31+'Inputs'!$B$32)/1000+'Inputs'!$B$21))/SQRT((((64-43)*MAX('Inputs'!$B$33,'Inputs'!$B$29+'Inputs'!$B$31+'Inputs'!$B$32,'Inputs'!$B$30+'Inputs'!$B$31+'Inputs'!$B$32)/1000+'Inputs'!$B$21))^2+('Inputs'!$B$6/2)^2)))-'Results'!C7*(1-'Inputs'!$B$24)*(0.5*((((64-43)*MAX('Inputs'!$B$33,'Inputs'!$B$29+'Inputs'!$B$31+'Inputs'!$B$32,'Inputs'!$B$30+'Inputs'!$B$31+'Inputs'!$B$32)/1000+'Inputs'!$B$21+'Inputs'!$B$7+'Inputs'!$B$10)+'Inputs'!$B$9)/SQRT((((64-43)*MAX('Inputs'!$B$33,'Inputs'!$B$29+'Inputs'!$B$31+'Inputs'!$B$32,'Inputs'!$B$30+'Inputs'!$B$31+'Inputs'!$B$32)/1000+'Inputs'!$B$21+'Inputs'!$B$7+'Inputs'!$B$10)+'Inputs'!$B$9)^2+('Inputs'!$B$8/2)^2)-(((64-43)*MAX('Inputs'!$B$33,'Inputs'!$B$29+'Inputs'!$B$31+'Inputs'!$B$32,'Inputs'!$B$30+'Inputs'!$B$31+'Inputs'!$B$32)/1000+'Inputs'!$B$21+'Inputs'!$B$7+'Inputs'!$B$10))/SQRT((((64-43)*MAX('Inputs'!$B$33,'Inputs'!$B$29+'Inputs'!$B$31+'Inputs'!$B$32,'Inputs'!$B$30+'Inputs'!$B$31+'Inputs'!$B$32)/1000+'Inputs'!$B$21+'Inputs'!$B$7+'Inputs'!$B$10))^2+('Inputs'!$B$8/2)^2))))*'Results'!$B$8)+'Inputs'!$B$28*ABS((('Results'!B7*(1+'Inputs'!$B$24)*(0.5*((((64-43)*MAX('Inputs'!$B$33,'Inputs'!$B$29+'Inputs'!$B$31+'Inputs'!$B$32,'Inputs'!$B$30+'Inputs'!$B$31+'Inputs'!$B$32)/1000+'Inputs'!$B$21)+'Inputs'!$B$7)/SQRT((((64-43)*MAX('Inputs'!$B$33,'Inputs'!$B$29+'Inputs'!$B$31+'Inputs'!$B$32,'Inputs'!$B$30+'Inputs'!$B$31+'Inputs'!$B$32)/1000+'Inputs'!$B$21)+'Inputs'!$B$7)^2+('Inputs'!$B$6/2)^2)-(((64-43)*MAX('Inputs'!$B$33,'Inputs'!$B$29+'Inputs'!$B$31+'Inputs'!$B$32,'Inputs'!$B$30+'Inputs'!$B$31+'Inputs'!$B$32)/1000+'Inputs'!$B$21))/SQRT((((64-43)*MAX('Inputs'!$B$33,'Inputs'!$B$29+'Inputs'!$B$31+'Inputs'!$B$32,'Inputs'!$B$30+'Inputs'!$B$31+'Inputs'!$B$32)/1000+'Inputs'!$B$21))^2+('Inputs'!$B$6/2)^2)))-'Results'!C7*(1-'Inputs'!$B$24)*(0.5*((((64-43)*MAX('Inputs'!$B$33,'Inputs'!$B$29+'Inputs'!$B$31+'Inputs'!$B$32,'Inputs'!$B$30+'Inputs'!$B$31+'Inputs'!$B$32)/1000+'Inputs'!$B$21+'Inputs'!$B$7+'Inputs'!$B$10)+'Inputs'!$B$9)/SQRT((((64-43)*MAX('Inputs'!$B$33,'Inputs'!$B$29+'Inputs'!$B$31+'Inputs'!$B$32,'Inputs'!$B$30+'Inputs'!$B$31+'Inputs'!$B$32)/1000+'Inputs'!$B$21+'Inputs'!$B$7+'Inputs'!$B$10)+'Inputs'!$B$9)^2+('Inputs'!$B$8/2)^2)-(((64-43)*MAX('Inputs'!$B$33,'Inputs'!$B$29+'Inputs'!$B$31+'Inputs'!$B$32,'Inputs'!$B$30+'Inputs'!$B$31+'Inputs'!$B$32)/1000+'Inputs'!$B$21+'Inputs'!$B$7+'Inputs'!$B$10))/SQRT((((64-43)*MAX('Inputs'!$B$33,'Inputs'!$B$29+'Inputs'!$B$31+'Inputs'!$B$32,'Inputs'!$B$30+'Inputs'!$B$31+'Inputs'!$B$32)/1000+'Inputs'!$B$21+'Inputs'!$B$7+'Inputs'!$B$10))^2+('Inputs'!$B$8/2)^2))))*'Results'!$B$8))),"")</x:f>
        <x:v>1747.1640011197862</x:v>
      </x:c>
      <x:c r="M64" t="n">
        <x:f>IF(AND(ISNUMBER('Results'!C7),ISNUMBER('Results'!B7),ISNUMBER('Results'!$B$8),ISNUMBER('Inputs'!$B$6),ISNUMBER('Inputs'!$B$7),ISNUMBER('Inputs'!$B$8),ISNUMBER('Inputs'!$B$9),ISNUMBER('Inputs'!$B$10),ISNUMBER('Inputs'!$B$21),ISNUMBER('Inputs'!$B$24),ISNUMBER('Inputs'!$B$28)),(('Results'!C7*(0.5*((((64-43)*MAX('Inputs'!$B$33,'Inputs'!$B$29+'Inputs'!$B$31+'Inputs'!$B$32,'Inputs'!$B$30+'Inputs'!$B$31+'Inputs'!$B$32)/1000+'Inputs'!$B$21)+'Inputs'!$B$9)/SQRT((((64-43)*MAX('Inputs'!$B$33,'Inputs'!$B$29+'Inputs'!$B$31+'Inputs'!$B$32,'Inputs'!$B$30+'Inputs'!$B$31+'Inputs'!$B$32)/1000+'Inputs'!$B$21)+'Inputs'!$B$9)^2+('Inputs'!$B$8/2)^2)-(((64-43)*MAX('Inputs'!$B$33,'Inputs'!$B$29+'Inputs'!$B$31+'Inputs'!$B$32,'Inputs'!$B$30+'Inputs'!$B$31+'Inputs'!$B$32)/1000+'Inputs'!$B$21))/SQRT((((64-43)*MAX('Inputs'!$B$33,'Inputs'!$B$29+'Inputs'!$B$31+'Inputs'!$B$32,'Inputs'!$B$30+'Inputs'!$B$31+'Inputs'!$B$32)/1000+'Inputs'!$B$21))^2+('Inputs'!$B$8/2)^2)))-'Results'!B7*(0.5*((((64-43)*MAX('Inputs'!$B$33,'Inputs'!$B$29+'Inputs'!$B$31+'Inputs'!$B$32,'Inputs'!$B$30+'Inputs'!$B$31+'Inputs'!$B$32)/1000+'Inputs'!$B$21+'Inputs'!$B$9+'Inputs'!$B$10)+'Inputs'!$B$7)/SQRT((((64-43)*MAX('Inputs'!$B$33,'Inputs'!$B$29+'Inputs'!$B$31+'Inputs'!$B$32,'Inputs'!$B$30+'Inputs'!$B$31+'Inputs'!$B$32)/1000+'Inputs'!$B$21+'Inputs'!$B$9+'Inputs'!$B$10)+'Inputs'!$B$7)^2+('Inputs'!$B$6/2)^2)-(((64-43)*MAX('Inputs'!$B$33,'Inputs'!$B$29+'Inputs'!$B$31+'Inputs'!$B$32,'Inputs'!$B$30+'Inputs'!$B$31+'Inputs'!$B$32)/1000+'Inputs'!$B$21+'Inputs'!$B$9+'Inputs'!$B$10))/SQRT((((64-43)*MAX('Inputs'!$B$33,'Inputs'!$B$29+'Inputs'!$B$31+'Inputs'!$B$32,'Inputs'!$B$30+'Inputs'!$B$31+'Inputs'!$B$32)/1000+'Inputs'!$B$21+'Inputs'!$B$9+'Inputs'!$B$10))^2+('Inputs'!$B$6/2)^2))))*'Results'!$B$8),"")</x:f>
        <x:v>1579.0272177339632</x:v>
      </x:c>
      <x:c r="N64" t="n">
        <x:f>IF(AND(ISNUMBER('Results'!C7),ISNUMBER('Results'!B7),ISNUMBER('Results'!$B$8),ISNUMBER('Inputs'!$B$6),ISNUMBER('Inputs'!$B$7),ISNUMBER('Inputs'!$B$8),ISNUMBER('Inputs'!$B$9),ISNUMBER('Inputs'!$B$10),ISNUMBER('Inputs'!$B$21),ISNUMBER('Inputs'!$B$24),ISNUMBER('Inputs'!$B$28)),((('Results'!C7*(1-'Inputs'!$B$24)*(0.5*((((64-43)*MAX('Inputs'!$B$33,'Inputs'!$B$29+'Inputs'!$B$31+'Inputs'!$B$32,'Inputs'!$B$30+'Inputs'!$B$31+'Inputs'!$B$32)/1000+'Inputs'!$B$21)+'Inputs'!$B$9)/SQRT((((64-43)*MAX('Inputs'!$B$33,'Inputs'!$B$29+'Inputs'!$B$31+'Inputs'!$B$32,'Inputs'!$B$30+'Inputs'!$B$31+'Inputs'!$B$32)/1000+'Inputs'!$B$21)+'Inputs'!$B$9)^2+('Inputs'!$B$8/2)^2)-(((64-43)*MAX('Inputs'!$B$33,'Inputs'!$B$29+'Inputs'!$B$31+'Inputs'!$B$32,'Inputs'!$B$30+'Inputs'!$B$31+'Inputs'!$B$32)/1000+'Inputs'!$B$21))/SQRT((((64-43)*MAX('Inputs'!$B$33,'Inputs'!$B$29+'Inputs'!$B$31+'Inputs'!$B$32,'Inputs'!$B$30+'Inputs'!$B$31+'Inputs'!$B$32)/1000+'Inputs'!$B$21))^2+('Inputs'!$B$8/2)^2)))-'Results'!B7*(1+'Inputs'!$B$24)*(0.5*((((64-43)*MAX('Inputs'!$B$33,'Inputs'!$B$29+'Inputs'!$B$31+'Inputs'!$B$32,'Inputs'!$B$30+'Inputs'!$B$31+'Inputs'!$B$32)/1000+'Inputs'!$B$21+'Inputs'!$B$9+'Inputs'!$B$10)+'Inputs'!$B$7)/SQRT((((64-43)*MAX('Inputs'!$B$33,'Inputs'!$B$29+'Inputs'!$B$31+'Inputs'!$B$32,'Inputs'!$B$30+'Inputs'!$B$31+'Inputs'!$B$32)/1000+'Inputs'!$B$21+'Inputs'!$B$9+'Inputs'!$B$10)+'Inputs'!$B$7)^2+('Inputs'!$B$6/2)^2)-(((64-43)*MAX('Inputs'!$B$33,'Inputs'!$B$29+'Inputs'!$B$31+'Inputs'!$B$32,'Inputs'!$B$30+'Inputs'!$B$31+'Inputs'!$B$32)/1000+'Inputs'!$B$21+'Inputs'!$B$9+'Inputs'!$B$10))/SQRT((((64-43)*MAX('Inputs'!$B$33,'Inputs'!$B$29+'Inputs'!$B$31+'Inputs'!$B$32,'Inputs'!$B$30+'Inputs'!$B$31+'Inputs'!$B$32)/1000+'Inputs'!$B$21+'Inputs'!$B$9+'Inputs'!$B$10))^2+('Inputs'!$B$6/2)^2))))*'Results'!$B$8)-'Inputs'!$B$28*ABS((('Results'!C7*(1-'Inputs'!$B$24)*(0.5*((((64-43)*MAX('Inputs'!$B$33,'Inputs'!$B$29+'Inputs'!$B$31+'Inputs'!$B$32,'Inputs'!$B$30+'Inputs'!$B$31+'Inputs'!$B$32)/1000+'Inputs'!$B$21)+'Inputs'!$B$9)/SQRT((((64-43)*MAX('Inputs'!$B$33,'Inputs'!$B$29+'Inputs'!$B$31+'Inputs'!$B$32,'Inputs'!$B$30+'Inputs'!$B$31+'Inputs'!$B$32)/1000+'Inputs'!$B$21)+'Inputs'!$B$9)^2+('Inputs'!$B$8/2)^2)-(((64-43)*MAX('Inputs'!$B$33,'Inputs'!$B$29+'Inputs'!$B$31+'Inputs'!$B$32,'Inputs'!$B$30+'Inputs'!$B$31+'Inputs'!$B$32)/1000+'Inputs'!$B$21))/SQRT((((64-43)*MAX('Inputs'!$B$33,'Inputs'!$B$29+'Inputs'!$B$31+'Inputs'!$B$32,'Inputs'!$B$30+'Inputs'!$B$31+'Inputs'!$B$32)/1000+'Inputs'!$B$21))^2+('Inputs'!$B$8/2)^2)))-'Results'!B7*(1+'Inputs'!$B$24)*(0.5*((((64-43)*MAX('Inputs'!$B$33,'Inputs'!$B$29+'Inputs'!$B$31+'Inputs'!$B$32,'Inputs'!$B$30+'Inputs'!$B$31+'Inputs'!$B$32)/1000+'Inputs'!$B$21+'Inputs'!$B$9+'Inputs'!$B$10)+'Inputs'!$B$7)/SQRT((((64-43)*MAX('Inputs'!$B$33,'Inputs'!$B$29+'Inputs'!$B$31+'Inputs'!$B$32,'Inputs'!$B$30+'Inputs'!$B$31+'Inputs'!$B$32)/1000+'Inputs'!$B$21+'Inputs'!$B$9+'Inputs'!$B$10)+'Inputs'!$B$7)^2+('Inputs'!$B$6/2)^2)-(((64-43)*MAX('Inputs'!$B$33,'Inputs'!$B$29+'Inputs'!$B$31+'Inputs'!$B$32,'Inputs'!$B$30+'Inputs'!$B$31+'Inputs'!$B$32)/1000+'Inputs'!$B$21+'Inputs'!$B$9+'Inputs'!$B$10))/SQRT((((64-43)*MAX('Inputs'!$B$33,'Inputs'!$B$29+'Inputs'!$B$31+'Inputs'!$B$32,'Inputs'!$B$30+'Inputs'!$B$31+'Inputs'!$B$32)/1000+'Inputs'!$B$21+'Inputs'!$B$9+'Inputs'!$B$10))^2+('Inputs'!$B$6/2)^2))))*'Results'!$B$8))),"")</x:f>
        <x:v>1460.39273022465</x:v>
      </x:c>
      <x:c r="O64" t="n">
        <x:f>IF(AND(ISNUMBER('Results'!C7),ISNUMBER('Results'!B7),ISNUMBER('Results'!$B$8),ISNUMBER('Inputs'!$B$6),ISNUMBER('Inputs'!$B$7),ISNUMBER('Inputs'!$B$8),ISNUMBER('Inputs'!$B$9),ISNUMBER('Inputs'!$B$10),ISNUMBER('Inputs'!$B$21),ISNUMBER('Inputs'!$B$24),ISNUMBER('Inputs'!$B$28)),((('Results'!C7*(1+'Inputs'!$B$24)*(0.5*((((64-43)*MAX('Inputs'!$B$33,'Inputs'!$B$29+'Inputs'!$B$31+'Inputs'!$B$32,'Inputs'!$B$30+'Inputs'!$B$31+'Inputs'!$B$32)/1000+'Inputs'!$B$21)+'Inputs'!$B$9)/SQRT((((64-43)*MAX('Inputs'!$B$33,'Inputs'!$B$29+'Inputs'!$B$31+'Inputs'!$B$32,'Inputs'!$B$30+'Inputs'!$B$31+'Inputs'!$B$32)/1000+'Inputs'!$B$21)+'Inputs'!$B$9)^2+('Inputs'!$B$8/2)^2)-(((64-43)*MAX('Inputs'!$B$33,'Inputs'!$B$29+'Inputs'!$B$31+'Inputs'!$B$32,'Inputs'!$B$30+'Inputs'!$B$31+'Inputs'!$B$32)/1000+'Inputs'!$B$21))/SQRT((((64-43)*MAX('Inputs'!$B$33,'Inputs'!$B$29+'Inputs'!$B$31+'Inputs'!$B$32,'Inputs'!$B$30+'Inputs'!$B$31+'Inputs'!$B$32)/1000+'Inputs'!$B$21))^2+('Inputs'!$B$8/2)^2)))-'Results'!B7*(1-'Inputs'!$B$24)*(0.5*((((64-43)*MAX('Inputs'!$B$33,'Inputs'!$B$29+'Inputs'!$B$31+'Inputs'!$B$32,'Inputs'!$B$30+'Inputs'!$B$31+'Inputs'!$B$32)/1000+'Inputs'!$B$21+'Inputs'!$B$9+'Inputs'!$B$10)+'Inputs'!$B$7)/SQRT((((64-43)*MAX('Inputs'!$B$33,'Inputs'!$B$29+'Inputs'!$B$31+'Inputs'!$B$32,'Inputs'!$B$30+'Inputs'!$B$31+'Inputs'!$B$32)/1000+'Inputs'!$B$21+'Inputs'!$B$9+'Inputs'!$B$10)+'Inputs'!$B$7)^2+('Inputs'!$B$6/2)^2)-(((64-43)*MAX('Inputs'!$B$33,'Inputs'!$B$29+'Inputs'!$B$31+'Inputs'!$B$32,'Inputs'!$B$30+'Inputs'!$B$31+'Inputs'!$B$32)/1000+'Inputs'!$B$21+'Inputs'!$B$9+'Inputs'!$B$10))/SQRT((((64-43)*MAX('Inputs'!$B$33,'Inputs'!$B$29+'Inputs'!$B$31+'Inputs'!$B$32,'Inputs'!$B$30+'Inputs'!$B$31+'Inputs'!$B$32)/1000+'Inputs'!$B$21+'Inputs'!$B$9+'Inputs'!$B$10))^2+('Inputs'!$B$6/2)^2))))*'Results'!$B$8)+'Inputs'!$B$28*ABS((('Results'!C7*(1+'Inputs'!$B$24)*(0.5*((((64-43)*MAX('Inputs'!$B$33,'Inputs'!$B$29+'Inputs'!$B$31+'Inputs'!$B$32,'Inputs'!$B$30+'Inputs'!$B$31+'Inputs'!$B$32)/1000+'Inputs'!$B$21)+'Inputs'!$B$9)/SQRT((((64-43)*MAX('Inputs'!$B$33,'Inputs'!$B$29+'Inputs'!$B$31+'Inputs'!$B$32,'Inputs'!$B$30+'Inputs'!$B$31+'Inputs'!$B$32)/1000+'Inputs'!$B$21)+'Inputs'!$B$9)^2+('Inputs'!$B$8/2)^2)-(((64-43)*MAX('Inputs'!$B$33,'Inputs'!$B$29+'Inputs'!$B$31+'Inputs'!$B$32,'Inputs'!$B$30+'Inputs'!$B$31+'Inputs'!$B$32)/1000+'Inputs'!$B$21))/SQRT((((64-43)*MAX('Inputs'!$B$33,'Inputs'!$B$29+'Inputs'!$B$31+'Inputs'!$B$32,'Inputs'!$B$30+'Inputs'!$B$31+'Inputs'!$B$32)/1000+'Inputs'!$B$21))^2+('Inputs'!$B$8/2)^2)))-'Results'!B7*(1-'Inputs'!$B$24)*(0.5*((((64-43)*MAX('Inputs'!$B$33,'Inputs'!$B$29+'Inputs'!$B$31+'Inputs'!$B$32,'Inputs'!$B$30+'Inputs'!$B$31+'Inputs'!$B$32)/1000+'Inputs'!$B$21+'Inputs'!$B$9+'Inputs'!$B$10)+'Inputs'!$B$7)/SQRT((((64-43)*MAX('Inputs'!$B$33,'Inputs'!$B$29+'Inputs'!$B$31+'Inputs'!$B$32,'Inputs'!$B$30+'Inputs'!$B$31+'Inputs'!$B$32)/1000+'Inputs'!$B$21+'Inputs'!$B$9+'Inputs'!$B$10)+'Inputs'!$B$7)^2+('Inputs'!$B$6/2)^2)-(((64-43)*MAX('Inputs'!$B$33,'Inputs'!$B$29+'Inputs'!$B$31+'Inputs'!$B$32,'Inputs'!$B$30+'Inputs'!$B$31+'Inputs'!$B$32)/1000+'Inputs'!$B$21+'Inputs'!$B$9+'Inputs'!$B$10))/SQRT((((64-43)*MAX('Inputs'!$B$33,'Inputs'!$B$29+'Inputs'!$B$31+'Inputs'!$B$32,'Inputs'!$B$30+'Inputs'!$B$31+'Inputs'!$B$32)/1000+'Inputs'!$B$21+'Inputs'!$B$9+'Inputs'!$B$10))^2+('Inputs'!$B$6/2)^2))))*'Results'!$B$8))),"")</x:f>
        <x:v>1701.8388764667102</x:v>
      </x:c>
      <x:c r="P64" t="n">
        <x:f>IF(AND(MAX(J64,J63)&gt;0,J64&gt;J63+0.00000001),1,0)</x:f>
        <x:v>0</x:v>
      </x:c>
      <x:c r="Q64" t="n">
        <x:f>IF(AND(MAX(K64,K63)&gt;0,K64&gt;K63+0.00000001),1,0)</x:f>
        <x:v>0</x:v>
      </x:c>
      <x:c r="R64" t="n">
        <x:f>IF(AND(MAX(L64,L63)&gt;0,L64&gt;L63+0.00000001),1,0)</x:f>
        <x:v>0</x:v>
      </x:c>
      <x:c r="S64" t="n">
        <x:f>IF(AND(MAX(M64,M63)&gt;0,M64&gt;M63+0.00000001),1,0)</x:f>
        <x:v>0</x:v>
      </x:c>
      <x:c r="T64" t="n">
        <x:f>IF(AND(MAX(N64,N63)&gt;0,N64&gt;N63+0.00000001),1,0)</x:f>
        <x:v>0</x:v>
      </x:c>
      <x:c r="U64" t="n">
        <x:f>IF(AND(MAX(O64,O63)&gt;0,O64&gt;O63+0.00000001),1,0)</x:f>
        <x:v>0</x:v>
      </x:c>
    </x:row>
    <x:row r="65">
      <x:c r="J65" t="n">
        <x:f>IF(AND(ISNUMBER('Results'!B7),ISNUMBER('Results'!C7),ISNUMBER('Results'!$B$8),ISNUMBER('Inputs'!$B$6),ISNUMBER('Inputs'!$B$7),ISNUMBER('Inputs'!$B$8),ISNUMBER('Inputs'!$B$9),ISNUMBER('Inputs'!$B$10),ISNUMBER('Inputs'!$B$21),ISNUMBER('Inputs'!$B$24),ISNUMBER('Inputs'!$B$28)),(('Results'!B7*(0.5*((((65-43)*MAX('Inputs'!$B$33,'Inputs'!$B$29+'Inputs'!$B$31+'Inputs'!$B$32,'Inputs'!$B$30+'Inputs'!$B$31+'Inputs'!$B$32)/1000+'Inputs'!$B$21)+'Inputs'!$B$7)/SQRT((((65-43)*MAX('Inputs'!$B$33,'Inputs'!$B$29+'Inputs'!$B$31+'Inputs'!$B$32,'Inputs'!$B$30+'Inputs'!$B$31+'Inputs'!$B$32)/1000+'Inputs'!$B$21)+'Inputs'!$B$7)^2+('Inputs'!$B$6/2)^2)-(((65-43)*MAX('Inputs'!$B$33,'Inputs'!$B$29+'Inputs'!$B$31+'Inputs'!$B$32,'Inputs'!$B$30+'Inputs'!$B$31+'Inputs'!$B$32)/1000+'Inputs'!$B$21))/SQRT((((65-43)*MAX('Inputs'!$B$33,'Inputs'!$B$29+'Inputs'!$B$31+'Inputs'!$B$32,'Inputs'!$B$30+'Inputs'!$B$31+'Inputs'!$B$32)/1000+'Inputs'!$B$21))^2+('Inputs'!$B$6/2)^2)))-'Results'!C7*(0.5*((((65-43)*MAX('Inputs'!$B$33,'Inputs'!$B$29+'Inputs'!$B$31+'Inputs'!$B$32,'Inputs'!$B$30+'Inputs'!$B$31+'Inputs'!$B$32)/1000+'Inputs'!$B$21+'Inputs'!$B$7+'Inputs'!$B$10)+'Inputs'!$B$9)/SQRT((((65-43)*MAX('Inputs'!$B$33,'Inputs'!$B$29+'Inputs'!$B$31+'Inputs'!$B$32,'Inputs'!$B$30+'Inputs'!$B$31+'Inputs'!$B$32)/1000+'Inputs'!$B$21+'Inputs'!$B$7+'Inputs'!$B$10)+'Inputs'!$B$9)^2+('Inputs'!$B$8/2)^2)-(((65-43)*MAX('Inputs'!$B$33,'Inputs'!$B$29+'Inputs'!$B$31+'Inputs'!$B$32,'Inputs'!$B$30+'Inputs'!$B$31+'Inputs'!$B$32)/1000+'Inputs'!$B$21+'Inputs'!$B$7+'Inputs'!$B$10))/SQRT((((65-43)*MAX('Inputs'!$B$33,'Inputs'!$B$29+'Inputs'!$B$31+'Inputs'!$B$32,'Inputs'!$B$30+'Inputs'!$B$31+'Inputs'!$B$32)/1000+'Inputs'!$B$21+'Inputs'!$B$7+'Inputs'!$B$10))^2+('Inputs'!$B$8/2)^2))))*'Results'!$B$8),"")</x:f>
        <x:v>1598.3810200927287</x:v>
      </x:c>
      <x:c r="K65" t="n">
        <x:f>IF(AND(ISNUMBER('Results'!B7),ISNUMBER('Results'!C7),ISNUMBER('Results'!$B$8),ISNUMBER('Inputs'!$B$6),ISNUMBER('Inputs'!$B$7),ISNUMBER('Inputs'!$B$8),ISNUMBER('Inputs'!$B$9),ISNUMBER('Inputs'!$B$10),ISNUMBER('Inputs'!$B$21),ISNUMBER('Inputs'!$B$24),ISNUMBER('Inputs'!$B$28)),((('Results'!B7*(1-'Inputs'!$B$24)*(0.5*((((65-43)*MAX('Inputs'!$B$33,'Inputs'!$B$29+'Inputs'!$B$31+'Inputs'!$B$32,'Inputs'!$B$30+'Inputs'!$B$31+'Inputs'!$B$32)/1000+'Inputs'!$B$21)+'Inputs'!$B$7)/SQRT((((65-43)*MAX('Inputs'!$B$33,'Inputs'!$B$29+'Inputs'!$B$31+'Inputs'!$B$32,'Inputs'!$B$30+'Inputs'!$B$31+'Inputs'!$B$32)/1000+'Inputs'!$B$21)+'Inputs'!$B$7)^2+('Inputs'!$B$6/2)^2)-(((65-43)*MAX('Inputs'!$B$33,'Inputs'!$B$29+'Inputs'!$B$31+'Inputs'!$B$32,'Inputs'!$B$30+'Inputs'!$B$31+'Inputs'!$B$32)/1000+'Inputs'!$B$21))/SQRT((((65-43)*MAX('Inputs'!$B$33,'Inputs'!$B$29+'Inputs'!$B$31+'Inputs'!$B$32,'Inputs'!$B$30+'Inputs'!$B$31+'Inputs'!$B$32)/1000+'Inputs'!$B$21))^2+('Inputs'!$B$6/2)^2)))-'Results'!C7*(1+'Inputs'!$B$24)*(0.5*((((65-43)*MAX('Inputs'!$B$33,'Inputs'!$B$29+'Inputs'!$B$31+'Inputs'!$B$32,'Inputs'!$B$30+'Inputs'!$B$31+'Inputs'!$B$32)/1000+'Inputs'!$B$21+'Inputs'!$B$7+'Inputs'!$B$10)+'Inputs'!$B$9)/SQRT((((65-43)*MAX('Inputs'!$B$33,'Inputs'!$B$29+'Inputs'!$B$31+'Inputs'!$B$32,'Inputs'!$B$30+'Inputs'!$B$31+'Inputs'!$B$32)/1000+'Inputs'!$B$21+'Inputs'!$B$7+'Inputs'!$B$10)+'Inputs'!$B$9)^2+('Inputs'!$B$8/2)^2)-(((65-43)*MAX('Inputs'!$B$33,'Inputs'!$B$29+'Inputs'!$B$31+'Inputs'!$B$32,'Inputs'!$B$30+'Inputs'!$B$31+'Inputs'!$B$32)/1000+'Inputs'!$B$21+'Inputs'!$B$7+'Inputs'!$B$10))/SQRT((((65-43)*MAX('Inputs'!$B$33,'Inputs'!$B$29+'Inputs'!$B$31+'Inputs'!$B$32,'Inputs'!$B$30+'Inputs'!$B$31+'Inputs'!$B$32)/1000+'Inputs'!$B$21+'Inputs'!$B$7+'Inputs'!$B$10))^2+('Inputs'!$B$8/2)^2))))*'Results'!$B$8)-'Inputs'!$B$28*ABS((('Results'!B7*(1-'Inputs'!$B$24)*(0.5*((((65-43)*MAX('Inputs'!$B$33,'Inputs'!$B$29+'Inputs'!$B$31+'Inputs'!$B$32,'Inputs'!$B$30+'Inputs'!$B$31+'Inputs'!$B$32)/1000+'Inputs'!$B$21)+'Inputs'!$B$7)/SQRT((((65-43)*MAX('Inputs'!$B$33,'Inputs'!$B$29+'Inputs'!$B$31+'Inputs'!$B$32,'Inputs'!$B$30+'Inputs'!$B$31+'Inputs'!$B$32)/1000+'Inputs'!$B$21)+'Inputs'!$B$7)^2+('Inputs'!$B$6/2)^2)-(((65-43)*MAX('Inputs'!$B$33,'Inputs'!$B$29+'Inputs'!$B$31+'Inputs'!$B$32,'Inputs'!$B$30+'Inputs'!$B$31+'Inputs'!$B$32)/1000+'Inputs'!$B$21))/SQRT((((65-43)*MAX('Inputs'!$B$33,'Inputs'!$B$29+'Inputs'!$B$31+'Inputs'!$B$32,'Inputs'!$B$30+'Inputs'!$B$31+'Inputs'!$B$32)/1000+'Inputs'!$B$21))^2+('Inputs'!$B$6/2)^2)))-'Results'!C7*(1+'Inputs'!$B$24)*(0.5*((((65-43)*MAX('Inputs'!$B$33,'Inputs'!$B$29+'Inputs'!$B$31+'Inputs'!$B$32,'Inputs'!$B$30+'Inputs'!$B$31+'Inputs'!$B$32)/1000+'Inputs'!$B$21+'Inputs'!$B$7+'Inputs'!$B$10)+'Inputs'!$B$9)/SQRT((((65-43)*MAX('Inputs'!$B$33,'Inputs'!$B$29+'Inputs'!$B$31+'Inputs'!$B$32,'Inputs'!$B$30+'Inputs'!$B$31+'Inputs'!$B$32)/1000+'Inputs'!$B$21+'Inputs'!$B$7+'Inputs'!$B$10)+'Inputs'!$B$9)^2+('Inputs'!$B$8/2)^2)-(((65-43)*MAX('Inputs'!$B$33,'Inputs'!$B$29+'Inputs'!$B$31+'Inputs'!$B$32,'Inputs'!$B$30+'Inputs'!$B$31+'Inputs'!$B$32)/1000+'Inputs'!$B$21+'Inputs'!$B$7+'Inputs'!$B$10))/SQRT((((65-43)*MAX('Inputs'!$B$33,'Inputs'!$B$29+'Inputs'!$B$31+'Inputs'!$B$32,'Inputs'!$B$30+'Inputs'!$B$31+'Inputs'!$B$32)/1000+'Inputs'!$B$21+'Inputs'!$B$7+'Inputs'!$B$10))^2+('Inputs'!$B$8/2)^2))))*'Results'!$B$8))),"")</x:f>
        <x:v>1478.7497509188802</x:v>
      </x:c>
      <x:c r="L65" t="n">
        <x:f>IF(AND(ISNUMBER('Results'!B7),ISNUMBER('Results'!C7),ISNUMBER('Results'!$B$8),ISNUMBER('Inputs'!$B$6),ISNUMBER('Inputs'!$B$7),ISNUMBER('Inputs'!$B$8),ISNUMBER('Inputs'!$B$9),ISNUMBER('Inputs'!$B$10),ISNUMBER('Inputs'!$B$21),ISNUMBER('Inputs'!$B$24),ISNUMBER('Inputs'!$B$28)),((('Results'!B7*(1+'Inputs'!$B$24)*(0.5*((((65-43)*MAX('Inputs'!$B$33,'Inputs'!$B$29+'Inputs'!$B$31+'Inputs'!$B$32,'Inputs'!$B$30+'Inputs'!$B$31+'Inputs'!$B$32)/1000+'Inputs'!$B$21)+'Inputs'!$B$7)/SQRT((((65-43)*MAX('Inputs'!$B$33,'Inputs'!$B$29+'Inputs'!$B$31+'Inputs'!$B$32,'Inputs'!$B$30+'Inputs'!$B$31+'Inputs'!$B$32)/1000+'Inputs'!$B$21)+'Inputs'!$B$7)^2+('Inputs'!$B$6/2)^2)-(((65-43)*MAX('Inputs'!$B$33,'Inputs'!$B$29+'Inputs'!$B$31+'Inputs'!$B$32,'Inputs'!$B$30+'Inputs'!$B$31+'Inputs'!$B$32)/1000+'Inputs'!$B$21))/SQRT((((65-43)*MAX('Inputs'!$B$33,'Inputs'!$B$29+'Inputs'!$B$31+'Inputs'!$B$32,'Inputs'!$B$30+'Inputs'!$B$31+'Inputs'!$B$32)/1000+'Inputs'!$B$21))^2+('Inputs'!$B$6/2)^2)))-'Results'!C7*(1-'Inputs'!$B$24)*(0.5*((((65-43)*MAX('Inputs'!$B$33,'Inputs'!$B$29+'Inputs'!$B$31+'Inputs'!$B$32,'Inputs'!$B$30+'Inputs'!$B$31+'Inputs'!$B$32)/1000+'Inputs'!$B$21+'Inputs'!$B$7+'Inputs'!$B$10)+'Inputs'!$B$9)/SQRT((((65-43)*MAX('Inputs'!$B$33,'Inputs'!$B$29+'Inputs'!$B$31+'Inputs'!$B$32,'Inputs'!$B$30+'Inputs'!$B$31+'Inputs'!$B$32)/1000+'Inputs'!$B$21+'Inputs'!$B$7+'Inputs'!$B$10)+'Inputs'!$B$9)^2+('Inputs'!$B$8/2)^2)-(((65-43)*MAX('Inputs'!$B$33,'Inputs'!$B$29+'Inputs'!$B$31+'Inputs'!$B$32,'Inputs'!$B$30+'Inputs'!$B$31+'Inputs'!$B$32)/1000+'Inputs'!$B$21+'Inputs'!$B$7+'Inputs'!$B$10))/SQRT((((65-43)*MAX('Inputs'!$B$33,'Inputs'!$B$29+'Inputs'!$B$31+'Inputs'!$B$32,'Inputs'!$B$30+'Inputs'!$B$31+'Inputs'!$B$32)/1000+'Inputs'!$B$21+'Inputs'!$B$7+'Inputs'!$B$10))^2+('Inputs'!$B$8/2)^2))))*'Results'!$B$8)+'Inputs'!$B$28*ABS((('Results'!B7*(1+'Inputs'!$B$24)*(0.5*((((65-43)*MAX('Inputs'!$B$33,'Inputs'!$B$29+'Inputs'!$B$31+'Inputs'!$B$32,'Inputs'!$B$30+'Inputs'!$B$31+'Inputs'!$B$32)/1000+'Inputs'!$B$21)+'Inputs'!$B$7)/SQRT((((65-43)*MAX('Inputs'!$B$33,'Inputs'!$B$29+'Inputs'!$B$31+'Inputs'!$B$32,'Inputs'!$B$30+'Inputs'!$B$31+'Inputs'!$B$32)/1000+'Inputs'!$B$21)+'Inputs'!$B$7)^2+('Inputs'!$B$6/2)^2)-(((65-43)*MAX('Inputs'!$B$33,'Inputs'!$B$29+'Inputs'!$B$31+'Inputs'!$B$32,'Inputs'!$B$30+'Inputs'!$B$31+'Inputs'!$B$32)/1000+'Inputs'!$B$21))/SQRT((((65-43)*MAX('Inputs'!$B$33,'Inputs'!$B$29+'Inputs'!$B$31+'Inputs'!$B$32,'Inputs'!$B$30+'Inputs'!$B$31+'Inputs'!$B$32)/1000+'Inputs'!$B$21))^2+('Inputs'!$B$6/2)^2)))-'Results'!C7*(1-'Inputs'!$B$24)*(0.5*((((65-43)*MAX('Inputs'!$B$33,'Inputs'!$B$29+'Inputs'!$B$31+'Inputs'!$B$32,'Inputs'!$B$30+'Inputs'!$B$31+'Inputs'!$B$32)/1000+'Inputs'!$B$21+'Inputs'!$B$7+'Inputs'!$B$10)+'Inputs'!$B$9)/SQRT((((65-43)*MAX('Inputs'!$B$33,'Inputs'!$B$29+'Inputs'!$B$31+'Inputs'!$B$32,'Inputs'!$B$30+'Inputs'!$B$31+'Inputs'!$B$32)/1000+'Inputs'!$B$21+'Inputs'!$B$7+'Inputs'!$B$10)+'Inputs'!$B$9)^2+('Inputs'!$B$8/2)^2)-(((65-43)*MAX('Inputs'!$B$33,'Inputs'!$B$29+'Inputs'!$B$31+'Inputs'!$B$32,'Inputs'!$B$30+'Inputs'!$B$31+'Inputs'!$B$32)/1000+'Inputs'!$B$21+'Inputs'!$B$7+'Inputs'!$B$10))/SQRT((((65-43)*MAX('Inputs'!$B$33,'Inputs'!$B$29+'Inputs'!$B$31+'Inputs'!$B$32,'Inputs'!$B$30+'Inputs'!$B$31+'Inputs'!$B$32)/1000+'Inputs'!$B$21+'Inputs'!$B$7+'Inputs'!$B$10))^2+('Inputs'!$B$8/2)^2))))*'Results'!$B$8))),"")</x:f>
        <x:v>1722.192522758073</x:v>
      </x:c>
      <x:c r="M65" t="n">
        <x:f>IF(AND(ISNUMBER('Results'!C7),ISNUMBER('Results'!B7),ISNUMBER('Results'!$B$8),ISNUMBER('Inputs'!$B$6),ISNUMBER('Inputs'!$B$7),ISNUMBER('Inputs'!$B$8),ISNUMBER('Inputs'!$B$9),ISNUMBER('Inputs'!$B$10),ISNUMBER('Inputs'!$B$21),ISNUMBER('Inputs'!$B$24),ISNUMBER('Inputs'!$B$28)),(('Results'!C7*(0.5*((((65-43)*MAX('Inputs'!$B$33,'Inputs'!$B$29+'Inputs'!$B$31+'Inputs'!$B$32,'Inputs'!$B$30+'Inputs'!$B$31+'Inputs'!$B$32)/1000+'Inputs'!$B$21)+'Inputs'!$B$9)/SQRT((((65-43)*MAX('Inputs'!$B$33,'Inputs'!$B$29+'Inputs'!$B$31+'Inputs'!$B$32,'Inputs'!$B$30+'Inputs'!$B$31+'Inputs'!$B$32)/1000+'Inputs'!$B$21)+'Inputs'!$B$9)^2+('Inputs'!$B$8/2)^2)-(((65-43)*MAX('Inputs'!$B$33,'Inputs'!$B$29+'Inputs'!$B$31+'Inputs'!$B$32,'Inputs'!$B$30+'Inputs'!$B$31+'Inputs'!$B$32)/1000+'Inputs'!$B$21))/SQRT((((65-43)*MAX('Inputs'!$B$33,'Inputs'!$B$29+'Inputs'!$B$31+'Inputs'!$B$32,'Inputs'!$B$30+'Inputs'!$B$31+'Inputs'!$B$32)/1000+'Inputs'!$B$21))^2+('Inputs'!$B$8/2)^2)))-'Results'!B7*(0.5*((((65-43)*MAX('Inputs'!$B$33,'Inputs'!$B$29+'Inputs'!$B$31+'Inputs'!$B$32,'Inputs'!$B$30+'Inputs'!$B$31+'Inputs'!$B$32)/1000+'Inputs'!$B$21+'Inputs'!$B$9+'Inputs'!$B$10)+'Inputs'!$B$7)/SQRT((((65-43)*MAX('Inputs'!$B$33,'Inputs'!$B$29+'Inputs'!$B$31+'Inputs'!$B$32,'Inputs'!$B$30+'Inputs'!$B$31+'Inputs'!$B$32)/1000+'Inputs'!$B$21+'Inputs'!$B$9+'Inputs'!$B$10)+'Inputs'!$B$7)^2+('Inputs'!$B$6/2)^2)-(((65-43)*MAX('Inputs'!$B$33,'Inputs'!$B$29+'Inputs'!$B$31+'Inputs'!$B$32,'Inputs'!$B$30+'Inputs'!$B$31+'Inputs'!$B$32)/1000+'Inputs'!$B$21+'Inputs'!$B$9+'Inputs'!$B$10))/SQRT((((65-43)*MAX('Inputs'!$B$33,'Inputs'!$B$29+'Inputs'!$B$31+'Inputs'!$B$32,'Inputs'!$B$30+'Inputs'!$B$31+'Inputs'!$B$32)/1000+'Inputs'!$B$21+'Inputs'!$B$9+'Inputs'!$B$10))^2+('Inputs'!$B$6/2)^2))))*'Results'!$B$8),"")</x:f>
        <x:v>1556.478330948043</x:v>
      </x:c>
      <x:c r="N65" t="n">
        <x:f>IF(AND(ISNUMBER('Results'!C7),ISNUMBER('Results'!B7),ISNUMBER('Results'!$B$8),ISNUMBER('Inputs'!$B$6),ISNUMBER('Inputs'!$B$7),ISNUMBER('Inputs'!$B$8),ISNUMBER('Inputs'!$B$9),ISNUMBER('Inputs'!$B$10),ISNUMBER('Inputs'!$B$21),ISNUMBER('Inputs'!$B$24),ISNUMBER('Inputs'!$B$28)),((('Results'!C7*(1-'Inputs'!$B$24)*(0.5*((((65-43)*MAX('Inputs'!$B$33,'Inputs'!$B$29+'Inputs'!$B$31+'Inputs'!$B$32,'Inputs'!$B$30+'Inputs'!$B$31+'Inputs'!$B$32)/1000+'Inputs'!$B$21)+'Inputs'!$B$9)/SQRT((((65-43)*MAX('Inputs'!$B$33,'Inputs'!$B$29+'Inputs'!$B$31+'Inputs'!$B$32,'Inputs'!$B$30+'Inputs'!$B$31+'Inputs'!$B$32)/1000+'Inputs'!$B$21)+'Inputs'!$B$9)^2+('Inputs'!$B$8/2)^2)-(((65-43)*MAX('Inputs'!$B$33,'Inputs'!$B$29+'Inputs'!$B$31+'Inputs'!$B$32,'Inputs'!$B$30+'Inputs'!$B$31+'Inputs'!$B$32)/1000+'Inputs'!$B$21))/SQRT((((65-43)*MAX('Inputs'!$B$33,'Inputs'!$B$29+'Inputs'!$B$31+'Inputs'!$B$32,'Inputs'!$B$30+'Inputs'!$B$31+'Inputs'!$B$32)/1000+'Inputs'!$B$21))^2+('Inputs'!$B$8/2)^2)))-'Results'!B7*(1+'Inputs'!$B$24)*(0.5*((((65-43)*MAX('Inputs'!$B$33,'Inputs'!$B$29+'Inputs'!$B$31+'Inputs'!$B$32,'Inputs'!$B$30+'Inputs'!$B$31+'Inputs'!$B$32)/1000+'Inputs'!$B$21+'Inputs'!$B$9+'Inputs'!$B$10)+'Inputs'!$B$7)/SQRT((((65-43)*MAX('Inputs'!$B$33,'Inputs'!$B$29+'Inputs'!$B$31+'Inputs'!$B$32,'Inputs'!$B$30+'Inputs'!$B$31+'Inputs'!$B$32)/1000+'Inputs'!$B$21+'Inputs'!$B$9+'Inputs'!$B$10)+'Inputs'!$B$7)^2+('Inputs'!$B$6/2)^2)-(((65-43)*MAX('Inputs'!$B$33,'Inputs'!$B$29+'Inputs'!$B$31+'Inputs'!$B$32,'Inputs'!$B$30+'Inputs'!$B$31+'Inputs'!$B$32)/1000+'Inputs'!$B$21+'Inputs'!$B$9+'Inputs'!$B$10))/SQRT((((65-43)*MAX('Inputs'!$B$33,'Inputs'!$B$29+'Inputs'!$B$31+'Inputs'!$B$32,'Inputs'!$B$30+'Inputs'!$B$31+'Inputs'!$B$32)/1000+'Inputs'!$B$21+'Inputs'!$B$9+'Inputs'!$B$10))^2+('Inputs'!$B$6/2)^2))))*'Results'!$B$8)-'Inputs'!$B$28*ABS((('Results'!C7*(1-'Inputs'!$B$24)*(0.5*((((65-43)*MAX('Inputs'!$B$33,'Inputs'!$B$29+'Inputs'!$B$31+'Inputs'!$B$32,'Inputs'!$B$30+'Inputs'!$B$31+'Inputs'!$B$32)/1000+'Inputs'!$B$21)+'Inputs'!$B$9)/SQRT((((65-43)*MAX('Inputs'!$B$33,'Inputs'!$B$29+'Inputs'!$B$31+'Inputs'!$B$32,'Inputs'!$B$30+'Inputs'!$B$31+'Inputs'!$B$32)/1000+'Inputs'!$B$21)+'Inputs'!$B$9)^2+('Inputs'!$B$8/2)^2)-(((65-43)*MAX('Inputs'!$B$33,'Inputs'!$B$29+'Inputs'!$B$31+'Inputs'!$B$32,'Inputs'!$B$30+'Inputs'!$B$31+'Inputs'!$B$32)/1000+'Inputs'!$B$21))/SQRT((((65-43)*MAX('Inputs'!$B$33,'Inputs'!$B$29+'Inputs'!$B$31+'Inputs'!$B$32,'Inputs'!$B$30+'Inputs'!$B$31+'Inputs'!$B$32)/1000+'Inputs'!$B$21))^2+('Inputs'!$B$8/2)^2)))-'Results'!B7*(1+'Inputs'!$B$24)*(0.5*((((65-43)*MAX('Inputs'!$B$33,'Inputs'!$B$29+'Inputs'!$B$31+'Inputs'!$B$32,'Inputs'!$B$30+'Inputs'!$B$31+'Inputs'!$B$32)/1000+'Inputs'!$B$21+'Inputs'!$B$9+'Inputs'!$B$10)+'Inputs'!$B$7)/SQRT((((65-43)*MAX('Inputs'!$B$33,'Inputs'!$B$29+'Inputs'!$B$31+'Inputs'!$B$32,'Inputs'!$B$30+'Inputs'!$B$31+'Inputs'!$B$32)/1000+'Inputs'!$B$21+'Inputs'!$B$9+'Inputs'!$B$10)+'Inputs'!$B$7)^2+('Inputs'!$B$6/2)^2)-(((65-43)*MAX('Inputs'!$B$33,'Inputs'!$B$29+'Inputs'!$B$31+'Inputs'!$B$32,'Inputs'!$B$30+'Inputs'!$B$31+'Inputs'!$B$32)/1000+'Inputs'!$B$21+'Inputs'!$B$9+'Inputs'!$B$10))/SQRT((((65-43)*MAX('Inputs'!$B$33,'Inputs'!$B$29+'Inputs'!$B$31+'Inputs'!$B$32,'Inputs'!$B$30+'Inputs'!$B$31+'Inputs'!$B$32)/1000+'Inputs'!$B$21+'Inputs'!$B$9+'Inputs'!$B$10))^2+('Inputs'!$B$6/2)^2))))*'Results'!$B$8))),"")</x:f>
        <x:v>1439.5476742886992</x:v>
      </x:c>
      <x:c r="O65" t="n">
        <x:f>IF(AND(ISNUMBER('Results'!C7),ISNUMBER('Results'!B7),ISNUMBER('Results'!$B$8),ISNUMBER('Inputs'!$B$6),ISNUMBER('Inputs'!$B$7),ISNUMBER('Inputs'!$B$8),ISNUMBER('Inputs'!$B$9),ISNUMBER('Inputs'!$B$10),ISNUMBER('Inputs'!$B$21),ISNUMBER('Inputs'!$B$24),ISNUMBER('Inputs'!$B$28)),((('Results'!C7*(1+'Inputs'!$B$24)*(0.5*((((65-43)*MAX('Inputs'!$B$33,'Inputs'!$B$29+'Inputs'!$B$31+'Inputs'!$B$32,'Inputs'!$B$30+'Inputs'!$B$31+'Inputs'!$B$32)/1000+'Inputs'!$B$21)+'Inputs'!$B$9)/SQRT((((65-43)*MAX('Inputs'!$B$33,'Inputs'!$B$29+'Inputs'!$B$31+'Inputs'!$B$32,'Inputs'!$B$30+'Inputs'!$B$31+'Inputs'!$B$32)/1000+'Inputs'!$B$21)+'Inputs'!$B$9)^2+('Inputs'!$B$8/2)^2)-(((65-43)*MAX('Inputs'!$B$33,'Inputs'!$B$29+'Inputs'!$B$31+'Inputs'!$B$32,'Inputs'!$B$30+'Inputs'!$B$31+'Inputs'!$B$32)/1000+'Inputs'!$B$21))/SQRT((((65-43)*MAX('Inputs'!$B$33,'Inputs'!$B$29+'Inputs'!$B$31+'Inputs'!$B$32,'Inputs'!$B$30+'Inputs'!$B$31+'Inputs'!$B$32)/1000+'Inputs'!$B$21))^2+('Inputs'!$B$8/2)^2)))-'Results'!B7*(1-'Inputs'!$B$24)*(0.5*((((65-43)*MAX('Inputs'!$B$33,'Inputs'!$B$29+'Inputs'!$B$31+'Inputs'!$B$32,'Inputs'!$B$30+'Inputs'!$B$31+'Inputs'!$B$32)/1000+'Inputs'!$B$21+'Inputs'!$B$9+'Inputs'!$B$10)+'Inputs'!$B$7)/SQRT((((65-43)*MAX('Inputs'!$B$33,'Inputs'!$B$29+'Inputs'!$B$31+'Inputs'!$B$32,'Inputs'!$B$30+'Inputs'!$B$31+'Inputs'!$B$32)/1000+'Inputs'!$B$21+'Inputs'!$B$9+'Inputs'!$B$10)+'Inputs'!$B$7)^2+('Inputs'!$B$6/2)^2)-(((65-43)*MAX('Inputs'!$B$33,'Inputs'!$B$29+'Inputs'!$B$31+'Inputs'!$B$32,'Inputs'!$B$30+'Inputs'!$B$31+'Inputs'!$B$32)/1000+'Inputs'!$B$21+'Inputs'!$B$9+'Inputs'!$B$10))/SQRT((((65-43)*MAX('Inputs'!$B$33,'Inputs'!$B$29+'Inputs'!$B$31+'Inputs'!$B$32,'Inputs'!$B$30+'Inputs'!$B$31+'Inputs'!$B$32)/1000+'Inputs'!$B$21+'Inputs'!$B$9+'Inputs'!$B$10))^2+('Inputs'!$B$6/2)^2))))*'Results'!$B$8)+'Inputs'!$B$28*ABS((('Results'!C7*(1+'Inputs'!$B$24)*(0.5*((((65-43)*MAX('Inputs'!$B$33,'Inputs'!$B$29+'Inputs'!$B$31+'Inputs'!$B$32,'Inputs'!$B$30+'Inputs'!$B$31+'Inputs'!$B$32)/1000+'Inputs'!$B$21)+'Inputs'!$B$9)/SQRT((((65-43)*MAX('Inputs'!$B$33,'Inputs'!$B$29+'Inputs'!$B$31+'Inputs'!$B$32,'Inputs'!$B$30+'Inputs'!$B$31+'Inputs'!$B$32)/1000+'Inputs'!$B$21)+'Inputs'!$B$9)^2+('Inputs'!$B$8/2)^2)-(((65-43)*MAX('Inputs'!$B$33,'Inputs'!$B$29+'Inputs'!$B$31+'Inputs'!$B$32,'Inputs'!$B$30+'Inputs'!$B$31+'Inputs'!$B$32)/1000+'Inputs'!$B$21))/SQRT((((65-43)*MAX('Inputs'!$B$33,'Inputs'!$B$29+'Inputs'!$B$31+'Inputs'!$B$32,'Inputs'!$B$30+'Inputs'!$B$31+'Inputs'!$B$32)/1000+'Inputs'!$B$21))^2+('Inputs'!$B$8/2)^2)))-'Results'!B7*(1-'Inputs'!$B$24)*(0.5*((((65-43)*MAX('Inputs'!$B$33,'Inputs'!$B$29+'Inputs'!$B$31+'Inputs'!$B$32,'Inputs'!$B$30+'Inputs'!$B$31+'Inputs'!$B$32)/1000+'Inputs'!$B$21+'Inputs'!$B$9+'Inputs'!$B$10)+'Inputs'!$B$7)/SQRT((((65-43)*MAX('Inputs'!$B$33,'Inputs'!$B$29+'Inputs'!$B$31+'Inputs'!$B$32,'Inputs'!$B$30+'Inputs'!$B$31+'Inputs'!$B$32)/1000+'Inputs'!$B$21+'Inputs'!$B$9+'Inputs'!$B$10)+'Inputs'!$B$7)^2+('Inputs'!$B$6/2)^2)-(((65-43)*MAX('Inputs'!$B$33,'Inputs'!$B$29+'Inputs'!$B$31+'Inputs'!$B$32,'Inputs'!$B$30+'Inputs'!$B$31+'Inputs'!$B$32)/1000+'Inputs'!$B$21+'Inputs'!$B$9+'Inputs'!$B$10))/SQRT((((65-43)*MAX('Inputs'!$B$33,'Inputs'!$B$29+'Inputs'!$B$31+'Inputs'!$B$32,'Inputs'!$B$30+'Inputs'!$B$31+'Inputs'!$B$32)/1000+'Inputs'!$B$21+'Inputs'!$B$9+'Inputs'!$B$10))^2+('Inputs'!$B$6/2)^2))))*'Results'!$B$8))),"")</x:f>
        <x:v>1677.5254865665388</x:v>
      </x:c>
      <x:c r="P65" t="n">
        <x:f>IF(AND(MAX(J65,J64)&gt;0,J65&gt;J64+0.00000001),1,0)</x:f>
        <x:v>0</x:v>
      </x:c>
      <x:c r="Q65" t="n">
        <x:f>IF(AND(MAX(K65,K64)&gt;0,K65&gt;K64+0.00000001),1,0)</x:f>
        <x:v>0</x:v>
      </x:c>
      <x:c r="R65" t="n">
        <x:f>IF(AND(MAX(L65,L64)&gt;0,L65&gt;L64+0.00000001),1,0)</x:f>
        <x:v>0</x:v>
      </x:c>
      <x:c r="S65" t="n">
        <x:f>IF(AND(MAX(M65,M64)&gt;0,M65&gt;M64+0.00000001),1,0)</x:f>
        <x:v>0</x:v>
      </x:c>
      <x:c r="T65" t="n">
        <x:f>IF(AND(MAX(N65,N64)&gt;0,N65&gt;N64+0.00000001),1,0)</x:f>
        <x:v>0</x:v>
      </x:c>
      <x:c r="U65" t="n">
        <x:f>IF(AND(MAX(O65,O64)&gt;0,O65&gt;O64+0.00000001),1,0)</x:f>
        <x:v>0</x:v>
      </x:c>
    </x:row>
    <x:row r="66">
      <x:c r="J66" t="n">
        <x:f>IF(AND(ISNUMBER('Results'!B7),ISNUMBER('Results'!C7),ISNUMBER('Results'!$B$8),ISNUMBER('Inputs'!$B$6),ISNUMBER('Inputs'!$B$7),ISNUMBER('Inputs'!$B$8),ISNUMBER('Inputs'!$B$9),ISNUMBER('Inputs'!$B$10),ISNUMBER('Inputs'!$B$21),ISNUMBER('Inputs'!$B$24),ISNUMBER('Inputs'!$B$28)),(('Results'!B7*(0.5*((((66-43)*MAX('Inputs'!$B$33,'Inputs'!$B$29+'Inputs'!$B$31+'Inputs'!$B$32,'Inputs'!$B$30+'Inputs'!$B$31+'Inputs'!$B$32)/1000+'Inputs'!$B$21)+'Inputs'!$B$7)/SQRT((((66-43)*MAX('Inputs'!$B$33,'Inputs'!$B$29+'Inputs'!$B$31+'Inputs'!$B$32,'Inputs'!$B$30+'Inputs'!$B$31+'Inputs'!$B$32)/1000+'Inputs'!$B$21)+'Inputs'!$B$7)^2+('Inputs'!$B$6/2)^2)-(((66-43)*MAX('Inputs'!$B$33,'Inputs'!$B$29+'Inputs'!$B$31+'Inputs'!$B$32,'Inputs'!$B$30+'Inputs'!$B$31+'Inputs'!$B$32)/1000+'Inputs'!$B$21))/SQRT((((66-43)*MAX('Inputs'!$B$33,'Inputs'!$B$29+'Inputs'!$B$31+'Inputs'!$B$32,'Inputs'!$B$30+'Inputs'!$B$31+'Inputs'!$B$32)/1000+'Inputs'!$B$21))^2+('Inputs'!$B$6/2)^2)))-'Results'!C7*(0.5*((((66-43)*MAX('Inputs'!$B$33,'Inputs'!$B$29+'Inputs'!$B$31+'Inputs'!$B$32,'Inputs'!$B$30+'Inputs'!$B$31+'Inputs'!$B$32)/1000+'Inputs'!$B$21+'Inputs'!$B$7+'Inputs'!$B$10)+'Inputs'!$B$9)/SQRT((((66-43)*MAX('Inputs'!$B$33,'Inputs'!$B$29+'Inputs'!$B$31+'Inputs'!$B$32,'Inputs'!$B$30+'Inputs'!$B$31+'Inputs'!$B$32)/1000+'Inputs'!$B$21+'Inputs'!$B$7+'Inputs'!$B$10)+'Inputs'!$B$9)^2+('Inputs'!$B$8/2)^2)-(((66-43)*MAX('Inputs'!$B$33,'Inputs'!$B$29+'Inputs'!$B$31+'Inputs'!$B$32,'Inputs'!$B$30+'Inputs'!$B$31+'Inputs'!$B$32)/1000+'Inputs'!$B$21+'Inputs'!$B$7+'Inputs'!$B$10))/SQRT((((66-43)*MAX('Inputs'!$B$33,'Inputs'!$B$29+'Inputs'!$B$31+'Inputs'!$B$32,'Inputs'!$B$30+'Inputs'!$B$31+'Inputs'!$B$32)/1000+'Inputs'!$B$21+'Inputs'!$B$7+'Inputs'!$B$10))^2+('Inputs'!$B$8/2)^2))))*'Results'!$B$8),"")</x:f>
        <x:v>1575.121505303873</x:v>
      </x:c>
      <x:c r="K66" t="n">
        <x:f>IF(AND(ISNUMBER('Results'!B7),ISNUMBER('Results'!C7),ISNUMBER('Results'!$B$8),ISNUMBER('Inputs'!$B$6),ISNUMBER('Inputs'!$B$7),ISNUMBER('Inputs'!$B$8),ISNUMBER('Inputs'!$B$9),ISNUMBER('Inputs'!$B$10),ISNUMBER('Inputs'!$B$21),ISNUMBER('Inputs'!$B$24),ISNUMBER('Inputs'!$B$28)),((('Results'!B7*(1-'Inputs'!$B$24)*(0.5*((((66-43)*MAX('Inputs'!$B$33,'Inputs'!$B$29+'Inputs'!$B$31+'Inputs'!$B$32,'Inputs'!$B$30+'Inputs'!$B$31+'Inputs'!$B$32)/1000+'Inputs'!$B$21)+'Inputs'!$B$7)/SQRT((((66-43)*MAX('Inputs'!$B$33,'Inputs'!$B$29+'Inputs'!$B$31+'Inputs'!$B$32,'Inputs'!$B$30+'Inputs'!$B$31+'Inputs'!$B$32)/1000+'Inputs'!$B$21)+'Inputs'!$B$7)^2+('Inputs'!$B$6/2)^2)-(((66-43)*MAX('Inputs'!$B$33,'Inputs'!$B$29+'Inputs'!$B$31+'Inputs'!$B$32,'Inputs'!$B$30+'Inputs'!$B$31+'Inputs'!$B$32)/1000+'Inputs'!$B$21))/SQRT((((66-43)*MAX('Inputs'!$B$33,'Inputs'!$B$29+'Inputs'!$B$31+'Inputs'!$B$32,'Inputs'!$B$30+'Inputs'!$B$31+'Inputs'!$B$32)/1000+'Inputs'!$B$21))^2+('Inputs'!$B$6/2)^2)))-'Results'!C7*(1+'Inputs'!$B$24)*(0.5*((((66-43)*MAX('Inputs'!$B$33,'Inputs'!$B$29+'Inputs'!$B$31+'Inputs'!$B$32,'Inputs'!$B$30+'Inputs'!$B$31+'Inputs'!$B$32)/1000+'Inputs'!$B$21+'Inputs'!$B$7+'Inputs'!$B$10)+'Inputs'!$B$9)/SQRT((((66-43)*MAX('Inputs'!$B$33,'Inputs'!$B$29+'Inputs'!$B$31+'Inputs'!$B$32,'Inputs'!$B$30+'Inputs'!$B$31+'Inputs'!$B$32)/1000+'Inputs'!$B$21+'Inputs'!$B$7+'Inputs'!$B$10)+'Inputs'!$B$9)^2+('Inputs'!$B$8/2)^2)-(((66-43)*MAX('Inputs'!$B$33,'Inputs'!$B$29+'Inputs'!$B$31+'Inputs'!$B$32,'Inputs'!$B$30+'Inputs'!$B$31+'Inputs'!$B$32)/1000+'Inputs'!$B$21+'Inputs'!$B$7+'Inputs'!$B$10))/SQRT((((66-43)*MAX('Inputs'!$B$33,'Inputs'!$B$29+'Inputs'!$B$31+'Inputs'!$B$32,'Inputs'!$B$30+'Inputs'!$B$31+'Inputs'!$B$32)/1000+'Inputs'!$B$21+'Inputs'!$B$7+'Inputs'!$B$10))^2+('Inputs'!$B$8/2)^2))))*'Results'!$B$8)-'Inputs'!$B$28*ABS((('Results'!B7*(1-'Inputs'!$B$24)*(0.5*((((66-43)*MAX('Inputs'!$B$33,'Inputs'!$B$29+'Inputs'!$B$31+'Inputs'!$B$32,'Inputs'!$B$30+'Inputs'!$B$31+'Inputs'!$B$32)/1000+'Inputs'!$B$21)+'Inputs'!$B$7)/SQRT((((66-43)*MAX('Inputs'!$B$33,'Inputs'!$B$29+'Inputs'!$B$31+'Inputs'!$B$32,'Inputs'!$B$30+'Inputs'!$B$31+'Inputs'!$B$32)/1000+'Inputs'!$B$21)+'Inputs'!$B$7)^2+('Inputs'!$B$6/2)^2)-(((66-43)*MAX('Inputs'!$B$33,'Inputs'!$B$29+'Inputs'!$B$31+'Inputs'!$B$32,'Inputs'!$B$30+'Inputs'!$B$31+'Inputs'!$B$32)/1000+'Inputs'!$B$21))/SQRT((((66-43)*MAX('Inputs'!$B$33,'Inputs'!$B$29+'Inputs'!$B$31+'Inputs'!$B$32,'Inputs'!$B$30+'Inputs'!$B$31+'Inputs'!$B$32)/1000+'Inputs'!$B$21))^2+('Inputs'!$B$6/2)^2)))-'Results'!C7*(1+'Inputs'!$B$24)*(0.5*((((66-43)*MAX('Inputs'!$B$33,'Inputs'!$B$29+'Inputs'!$B$31+'Inputs'!$B$32,'Inputs'!$B$30+'Inputs'!$B$31+'Inputs'!$B$32)/1000+'Inputs'!$B$21+'Inputs'!$B$7+'Inputs'!$B$10)+'Inputs'!$B$9)/SQRT((((66-43)*MAX('Inputs'!$B$33,'Inputs'!$B$29+'Inputs'!$B$31+'Inputs'!$B$32,'Inputs'!$B$30+'Inputs'!$B$31+'Inputs'!$B$32)/1000+'Inputs'!$B$21+'Inputs'!$B$7+'Inputs'!$B$10)+'Inputs'!$B$9)^2+('Inputs'!$B$8/2)^2)-(((66-43)*MAX('Inputs'!$B$33,'Inputs'!$B$29+'Inputs'!$B$31+'Inputs'!$B$32,'Inputs'!$B$30+'Inputs'!$B$31+'Inputs'!$B$32)/1000+'Inputs'!$B$21+'Inputs'!$B$7+'Inputs'!$B$10))/SQRT((((66-43)*MAX('Inputs'!$B$33,'Inputs'!$B$29+'Inputs'!$B$31+'Inputs'!$B$32,'Inputs'!$B$30+'Inputs'!$B$31+'Inputs'!$B$32)/1000+'Inputs'!$B$21+'Inputs'!$B$7+'Inputs'!$B$10))^2+('Inputs'!$B$8/2)^2))))*'Results'!$B$8))),"")</x:f>
        <x:v>1457.237392383739</x:v>
      </x:c>
      <x:c r="L66" t="n">
        <x:f>IF(AND(ISNUMBER('Results'!B7),ISNUMBER('Results'!C7),ISNUMBER('Results'!$B$8),ISNUMBER('Inputs'!$B$6),ISNUMBER('Inputs'!$B$7),ISNUMBER('Inputs'!$B$8),ISNUMBER('Inputs'!$B$9),ISNUMBER('Inputs'!$B$10),ISNUMBER('Inputs'!$B$21),ISNUMBER('Inputs'!$B$24),ISNUMBER('Inputs'!$B$28)),((('Results'!B7*(1+'Inputs'!$B$24)*(0.5*((((66-43)*MAX('Inputs'!$B$33,'Inputs'!$B$29+'Inputs'!$B$31+'Inputs'!$B$32,'Inputs'!$B$30+'Inputs'!$B$31+'Inputs'!$B$32)/1000+'Inputs'!$B$21)+'Inputs'!$B$7)/SQRT((((66-43)*MAX('Inputs'!$B$33,'Inputs'!$B$29+'Inputs'!$B$31+'Inputs'!$B$32,'Inputs'!$B$30+'Inputs'!$B$31+'Inputs'!$B$32)/1000+'Inputs'!$B$21)+'Inputs'!$B$7)^2+('Inputs'!$B$6/2)^2)-(((66-43)*MAX('Inputs'!$B$33,'Inputs'!$B$29+'Inputs'!$B$31+'Inputs'!$B$32,'Inputs'!$B$30+'Inputs'!$B$31+'Inputs'!$B$32)/1000+'Inputs'!$B$21))/SQRT((((66-43)*MAX('Inputs'!$B$33,'Inputs'!$B$29+'Inputs'!$B$31+'Inputs'!$B$32,'Inputs'!$B$30+'Inputs'!$B$31+'Inputs'!$B$32)/1000+'Inputs'!$B$21))^2+('Inputs'!$B$6/2)^2)))-'Results'!C7*(1-'Inputs'!$B$24)*(0.5*((((66-43)*MAX('Inputs'!$B$33,'Inputs'!$B$29+'Inputs'!$B$31+'Inputs'!$B$32,'Inputs'!$B$30+'Inputs'!$B$31+'Inputs'!$B$32)/1000+'Inputs'!$B$21+'Inputs'!$B$7+'Inputs'!$B$10)+'Inputs'!$B$9)/SQRT((((66-43)*MAX('Inputs'!$B$33,'Inputs'!$B$29+'Inputs'!$B$31+'Inputs'!$B$32,'Inputs'!$B$30+'Inputs'!$B$31+'Inputs'!$B$32)/1000+'Inputs'!$B$21+'Inputs'!$B$7+'Inputs'!$B$10)+'Inputs'!$B$9)^2+('Inputs'!$B$8/2)^2)-(((66-43)*MAX('Inputs'!$B$33,'Inputs'!$B$29+'Inputs'!$B$31+'Inputs'!$B$32,'Inputs'!$B$30+'Inputs'!$B$31+'Inputs'!$B$32)/1000+'Inputs'!$B$21+'Inputs'!$B$7+'Inputs'!$B$10))/SQRT((((66-43)*MAX('Inputs'!$B$33,'Inputs'!$B$29+'Inputs'!$B$31+'Inputs'!$B$32,'Inputs'!$B$30+'Inputs'!$B$31+'Inputs'!$B$32)/1000+'Inputs'!$B$21+'Inputs'!$B$7+'Inputs'!$B$10))^2+('Inputs'!$B$8/2)^2))))*'Results'!$B$8)+'Inputs'!$B$28*ABS((('Results'!B7*(1+'Inputs'!$B$24)*(0.5*((((66-43)*MAX('Inputs'!$B$33,'Inputs'!$B$29+'Inputs'!$B$31+'Inputs'!$B$32,'Inputs'!$B$30+'Inputs'!$B$31+'Inputs'!$B$32)/1000+'Inputs'!$B$21)+'Inputs'!$B$7)/SQRT((((66-43)*MAX('Inputs'!$B$33,'Inputs'!$B$29+'Inputs'!$B$31+'Inputs'!$B$32,'Inputs'!$B$30+'Inputs'!$B$31+'Inputs'!$B$32)/1000+'Inputs'!$B$21)+'Inputs'!$B$7)^2+('Inputs'!$B$6/2)^2)-(((66-43)*MAX('Inputs'!$B$33,'Inputs'!$B$29+'Inputs'!$B$31+'Inputs'!$B$32,'Inputs'!$B$30+'Inputs'!$B$31+'Inputs'!$B$32)/1000+'Inputs'!$B$21))/SQRT((((66-43)*MAX('Inputs'!$B$33,'Inputs'!$B$29+'Inputs'!$B$31+'Inputs'!$B$32,'Inputs'!$B$30+'Inputs'!$B$31+'Inputs'!$B$32)/1000+'Inputs'!$B$21))^2+('Inputs'!$B$6/2)^2)))-'Results'!C7*(1-'Inputs'!$B$24)*(0.5*((((66-43)*MAX('Inputs'!$B$33,'Inputs'!$B$29+'Inputs'!$B$31+'Inputs'!$B$32,'Inputs'!$B$30+'Inputs'!$B$31+'Inputs'!$B$32)/1000+'Inputs'!$B$21+'Inputs'!$B$7+'Inputs'!$B$10)+'Inputs'!$B$9)/SQRT((((66-43)*MAX('Inputs'!$B$33,'Inputs'!$B$29+'Inputs'!$B$31+'Inputs'!$B$32,'Inputs'!$B$30+'Inputs'!$B$31+'Inputs'!$B$32)/1000+'Inputs'!$B$21+'Inputs'!$B$7+'Inputs'!$B$10)+'Inputs'!$B$9)^2+('Inputs'!$B$8/2)^2)-(((66-43)*MAX('Inputs'!$B$33,'Inputs'!$B$29+'Inputs'!$B$31+'Inputs'!$B$32,'Inputs'!$B$30+'Inputs'!$B$31+'Inputs'!$B$32)/1000+'Inputs'!$B$21+'Inputs'!$B$7+'Inputs'!$B$10))/SQRT((((66-43)*MAX('Inputs'!$B$33,'Inputs'!$B$29+'Inputs'!$B$31+'Inputs'!$B$32,'Inputs'!$B$30+'Inputs'!$B$31+'Inputs'!$B$32)/1000+'Inputs'!$B$21+'Inputs'!$B$7+'Inputs'!$B$10))^2+('Inputs'!$B$8/2)^2))))*'Results'!$B$8))),"")</x:f>
        <x:v>1697.12435902979</x:v>
      </x:c>
      <x:c r="M66" t="n">
        <x:f>IF(AND(ISNUMBER('Results'!C7),ISNUMBER('Results'!B7),ISNUMBER('Results'!$B$8),ISNUMBER('Inputs'!$B$6),ISNUMBER('Inputs'!$B$7),ISNUMBER('Inputs'!$B$8),ISNUMBER('Inputs'!$B$9),ISNUMBER('Inputs'!$B$10),ISNUMBER('Inputs'!$B$21),ISNUMBER('Inputs'!$B$24),ISNUMBER('Inputs'!$B$28)),(('Results'!C7*(0.5*((((66-43)*MAX('Inputs'!$B$33,'Inputs'!$B$29+'Inputs'!$B$31+'Inputs'!$B$32,'Inputs'!$B$30+'Inputs'!$B$31+'Inputs'!$B$32)/1000+'Inputs'!$B$21)+'Inputs'!$B$9)/SQRT((((66-43)*MAX('Inputs'!$B$33,'Inputs'!$B$29+'Inputs'!$B$31+'Inputs'!$B$32,'Inputs'!$B$30+'Inputs'!$B$31+'Inputs'!$B$32)/1000+'Inputs'!$B$21)+'Inputs'!$B$9)^2+('Inputs'!$B$8/2)^2)-(((66-43)*MAX('Inputs'!$B$33,'Inputs'!$B$29+'Inputs'!$B$31+'Inputs'!$B$32,'Inputs'!$B$30+'Inputs'!$B$31+'Inputs'!$B$32)/1000+'Inputs'!$B$21))/SQRT((((66-43)*MAX('Inputs'!$B$33,'Inputs'!$B$29+'Inputs'!$B$31+'Inputs'!$B$32,'Inputs'!$B$30+'Inputs'!$B$31+'Inputs'!$B$32)/1000+'Inputs'!$B$21))^2+('Inputs'!$B$8/2)^2)))-'Results'!B7*(0.5*((((66-43)*MAX('Inputs'!$B$33,'Inputs'!$B$29+'Inputs'!$B$31+'Inputs'!$B$32,'Inputs'!$B$30+'Inputs'!$B$31+'Inputs'!$B$32)/1000+'Inputs'!$B$21+'Inputs'!$B$9+'Inputs'!$B$10)+'Inputs'!$B$7)/SQRT((((66-43)*MAX('Inputs'!$B$33,'Inputs'!$B$29+'Inputs'!$B$31+'Inputs'!$B$32,'Inputs'!$B$30+'Inputs'!$B$31+'Inputs'!$B$32)/1000+'Inputs'!$B$21+'Inputs'!$B$9+'Inputs'!$B$10)+'Inputs'!$B$7)^2+('Inputs'!$B$6/2)^2)-(((66-43)*MAX('Inputs'!$B$33,'Inputs'!$B$29+'Inputs'!$B$31+'Inputs'!$B$32,'Inputs'!$B$30+'Inputs'!$B$31+'Inputs'!$B$32)/1000+'Inputs'!$B$21+'Inputs'!$B$9+'Inputs'!$B$10))/SQRT((((66-43)*MAX('Inputs'!$B$33,'Inputs'!$B$29+'Inputs'!$B$31+'Inputs'!$B$32,'Inputs'!$B$30+'Inputs'!$B$31+'Inputs'!$B$32)/1000+'Inputs'!$B$21+'Inputs'!$B$9+'Inputs'!$B$10))^2+('Inputs'!$B$6/2)^2))))*'Results'!$B$8),"")</x:f>
        <x:v>1533.835270940411</x:v>
      </x:c>
      <x:c r="N66" t="n">
        <x:f>IF(AND(ISNUMBER('Results'!C7),ISNUMBER('Results'!B7),ISNUMBER('Results'!$B$8),ISNUMBER('Inputs'!$B$6),ISNUMBER('Inputs'!$B$7),ISNUMBER('Inputs'!$B$8),ISNUMBER('Inputs'!$B$9),ISNUMBER('Inputs'!$B$10),ISNUMBER('Inputs'!$B$21),ISNUMBER('Inputs'!$B$24),ISNUMBER('Inputs'!$B$28)),((('Results'!C7*(1-'Inputs'!$B$24)*(0.5*((((66-43)*MAX('Inputs'!$B$33,'Inputs'!$B$29+'Inputs'!$B$31+'Inputs'!$B$32,'Inputs'!$B$30+'Inputs'!$B$31+'Inputs'!$B$32)/1000+'Inputs'!$B$21)+'Inputs'!$B$9)/SQRT((((66-43)*MAX('Inputs'!$B$33,'Inputs'!$B$29+'Inputs'!$B$31+'Inputs'!$B$32,'Inputs'!$B$30+'Inputs'!$B$31+'Inputs'!$B$32)/1000+'Inputs'!$B$21)+'Inputs'!$B$9)^2+('Inputs'!$B$8/2)^2)-(((66-43)*MAX('Inputs'!$B$33,'Inputs'!$B$29+'Inputs'!$B$31+'Inputs'!$B$32,'Inputs'!$B$30+'Inputs'!$B$31+'Inputs'!$B$32)/1000+'Inputs'!$B$21))/SQRT((((66-43)*MAX('Inputs'!$B$33,'Inputs'!$B$29+'Inputs'!$B$31+'Inputs'!$B$32,'Inputs'!$B$30+'Inputs'!$B$31+'Inputs'!$B$32)/1000+'Inputs'!$B$21))^2+('Inputs'!$B$8/2)^2)))-'Results'!B7*(1+'Inputs'!$B$24)*(0.5*((((66-43)*MAX('Inputs'!$B$33,'Inputs'!$B$29+'Inputs'!$B$31+'Inputs'!$B$32,'Inputs'!$B$30+'Inputs'!$B$31+'Inputs'!$B$32)/1000+'Inputs'!$B$21+'Inputs'!$B$9+'Inputs'!$B$10)+'Inputs'!$B$7)/SQRT((((66-43)*MAX('Inputs'!$B$33,'Inputs'!$B$29+'Inputs'!$B$31+'Inputs'!$B$32,'Inputs'!$B$30+'Inputs'!$B$31+'Inputs'!$B$32)/1000+'Inputs'!$B$21+'Inputs'!$B$9+'Inputs'!$B$10)+'Inputs'!$B$7)^2+('Inputs'!$B$6/2)^2)-(((66-43)*MAX('Inputs'!$B$33,'Inputs'!$B$29+'Inputs'!$B$31+'Inputs'!$B$32,'Inputs'!$B$30+'Inputs'!$B$31+'Inputs'!$B$32)/1000+'Inputs'!$B$21+'Inputs'!$B$9+'Inputs'!$B$10))/SQRT((((66-43)*MAX('Inputs'!$B$33,'Inputs'!$B$29+'Inputs'!$B$31+'Inputs'!$B$32,'Inputs'!$B$30+'Inputs'!$B$31+'Inputs'!$B$32)/1000+'Inputs'!$B$21+'Inputs'!$B$9+'Inputs'!$B$10))^2+('Inputs'!$B$6/2)^2))))*'Results'!$B$8)-'Inputs'!$B$28*ABS((('Results'!C7*(1-'Inputs'!$B$24)*(0.5*((((66-43)*MAX('Inputs'!$B$33,'Inputs'!$B$29+'Inputs'!$B$31+'Inputs'!$B$32,'Inputs'!$B$30+'Inputs'!$B$31+'Inputs'!$B$32)/1000+'Inputs'!$B$21)+'Inputs'!$B$9)/SQRT((((66-43)*MAX('Inputs'!$B$33,'Inputs'!$B$29+'Inputs'!$B$31+'Inputs'!$B$32,'Inputs'!$B$30+'Inputs'!$B$31+'Inputs'!$B$32)/1000+'Inputs'!$B$21)+'Inputs'!$B$9)^2+('Inputs'!$B$8/2)^2)-(((66-43)*MAX('Inputs'!$B$33,'Inputs'!$B$29+'Inputs'!$B$31+'Inputs'!$B$32,'Inputs'!$B$30+'Inputs'!$B$31+'Inputs'!$B$32)/1000+'Inputs'!$B$21))/SQRT((((66-43)*MAX('Inputs'!$B$33,'Inputs'!$B$29+'Inputs'!$B$31+'Inputs'!$B$32,'Inputs'!$B$30+'Inputs'!$B$31+'Inputs'!$B$32)/1000+'Inputs'!$B$21))^2+('Inputs'!$B$8/2)^2)))-'Results'!B7*(1+'Inputs'!$B$24)*(0.5*((((66-43)*MAX('Inputs'!$B$33,'Inputs'!$B$29+'Inputs'!$B$31+'Inputs'!$B$32,'Inputs'!$B$30+'Inputs'!$B$31+'Inputs'!$B$32)/1000+'Inputs'!$B$21+'Inputs'!$B$9+'Inputs'!$B$10)+'Inputs'!$B$7)/SQRT((((66-43)*MAX('Inputs'!$B$33,'Inputs'!$B$29+'Inputs'!$B$31+'Inputs'!$B$32,'Inputs'!$B$30+'Inputs'!$B$31+'Inputs'!$B$32)/1000+'Inputs'!$B$21+'Inputs'!$B$9+'Inputs'!$B$10)+'Inputs'!$B$7)^2+('Inputs'!$B$6/2)^2)-(((66-43)*MAX('Inputs'!$B$33,'Inputs'!$B$29+'Inputs'!$B$31+'Inputs'!$B$32,'Inputs'!$B$30+'Inputs'!$B$31+'Inputs'!$B$32)/1000+'Inputs'!$B$21+'Inputs'!$B$9+'Inputs'!$B$10))/SQRT((((66-43)*MAX('Inputs'!$B$33,'Inputs'!$B$29+'Inputs'!$B$31+'Inputs'!$B$32,'Inputs'!$B$30+'Inputs'!$B$31+'Inputs'!$B$32)/1000+'Inputs'!$B$21+'Inputs'!$B$9+'Inputs'!$B$10))^2+('Inputs'!$B$6/2)^2))))*'Results'!$B$8))),"")</x:f>
        <x:v>1418.6121382106585</x:v>
      </x:c>
      <x:c r="O66" t="n">
        <x:f>IF(AND(ISNUMBER('Results'!C7),ISNUMBER('Results'!B7),ISNUMBER('Results'!$B$8),ISNUMBER('Inputs'!$B$6),ISNUMBER('Inputs'!$B$7),ISNUMBER('Inputs'!$B$8),ISNUMBER('Inputs'!$B$9),ISNUMBER('Inputs'!$B$10),ISNUMBER('Inputs'!$B$21),ISNUMBER('Inputs'!$B$24),ISNUMBER('Inputs'!$B$28)),((('Results'!C7*(1+'Inputs'!$B$24)*(0.5*((((66-43)*MAX('Inputs'!$B$33,'Inputs'!$B$29+'Inputs'!$B$31+'Inputs'!$B$32,'Inputs'!$B$30+'Inputs'!$B$31+'Inputs'!$B$32)/1000+'Inputs'!$B$21)+'Inputs'!$B$9)/SQRT((((66-43)*MAX('Inputs'!$B$33,'Inputs'!$B$29+'Inputs'!$B$31+'Inputs'!$B$32,'Inputs'!$B$30+'Inputs'!$B$31+'Inputs'!$B$32)/1000+'Inputs'!$B$21)+'Inputs'!$B$9)^2+('Inputs'!$B$8/2)^2)-(((66-43)*MAX('Inputs'!$B$33,'Inputs'!$B$29+'Inputs'!$B$31+'Inputs'!$B$32,'Inputs'!$B$30+'Inputs'!$B$31+'Inputs'!$B$32)/1000+'Inputs'!$B$21))/SQRT((((66-43)*MAX('Inputs'!$B$33,'Inputs'!$B$29+'Inputs'!$B$31+'Inputs'!$B$32,'Inputs'!$B$30+'Inputs'!$B$31+'Inputs'!$B$32)/1000+'Inputs'!$B$21))^2+('Inputs'!$B$8/2)^2)))-'Results'!B7*(1-'Inputs'!$B$24)*(0.5*((((66-43)*MAX('Inputs'!$B$33,'Inputs'!$B$29+'Inputs'!$B$31+'Inputs'!$B$32,'Inputs'!$B$30+'Inputs'!$B$31+'Inputs'!$B$32)/1000+'Inputs'!$B$21+'Inputs'!$B$9+'Inputs'!$B$10)+'Inputs'!$B$7)/SQRT((((66-43)*MAX('Inputs'!$B$33,'Inputs'!$B$29+'Inputs'!$B$31+'Inputs'!$B$32,'Inputs'!$B$30+'Inputs'!$B$31+'Inputs'!$B$32)/1000+'Inputs'!$B$21+'Inputs'!$B$9+'Inputs'!$B$10)+'Inputs'!$B$7)^2+('Inputs'!$B$6/2)^2)-(((66-43)*MAX('Inputs'!$B$33,'Inputs'!$B$29+'Inputs'!$B$31+'Inputs'!$B$32,'Inputs'!$B$30+'Inputs'!$B$31+'Inputs'!$B$32)/1000+'Inputs'!$B$21+'Inputs'!$B$9+'Inputs'!$B$10))/SQRT((((66-43)*MAX('Inputs'!$B$33,'Inputs'!$B$29+'Inputs'!$B$31+'Inputs'!$B$32,'Inputs'!$B$30+'Inputs'!$B$31+'Inputs'!$B$32)/1000+'Inputs'!$B$21+'Inputs'!$B$9+'Inputs'!$B$10))^2+('Inputs'!$B$6/2)^2))))*'Results'!$B$8)+'Inputs'!$B$28*ABS((('Results'!C7*(1+'Inputs'!$B$24)*(0.5*((((66-43)*MAX('Inputs'!$B$33,'Inputs'!$B$29+'Inputs'!$B$31+'Inputs'!$B$32,'Inputs'!$B$30+'Inputs'!$B$31+'Inputs'!$B$32)/1000+'Inputs'!$B$21)+'Inputs'!$B$9)/SQRT((((66-43)*MAX('Inputs'!$B$33,'Inputs'!$B$29+'Inputs'!$B$31+'Inputs'!$B$32,'Inputs'!$B$30+'Inputs'!$B$31+'Inputs'!$B$32)/1000+'Inputs'!$B$21)+'Inputs'!$B$9)^2+('Inputs'!$B$8/2)^2)-(((66-43)*MAX('Inputs'!$B$33,'Inputs'!$B$29+'Inputs'!$B$31+'Inputs'!$B$32,'Inputs'!$B$30+'Inputs'!$B$31+'Inputs'!$B$32)/1000+'Inputs'!$B$21))/SQRT((((66-43)*MAX('Inputs'!$B$33,'Inputs'!$B$29+'Inputs'!$B$31+'Inputs'!$B$32,'Inputs'!$B$30+'Inputs'!$B$31+'Inputs'!$B$32)/1000+'Inputs'!$B$21))^2+('Inputs'!$B$8/2)^2)))-'Results'!B7*(1-'Inputs'!$B$24)*(0.5*((((66-43)*MAX('Inputs'!$B$33,'Inputs'!$B$29+'Inputs'!$B$31+'Inputs'!$B$32,'Inputs'!$B$30+'Inputs'!$B$31+'Inputs'!$B$32)/1000+'Inputs'!$B$21+'Inputs'!$B$9+'Inputs'!$B$10)+'Inputs'!$B$7)/SQRT((((66-43)*MAX('Inputs'!$B$33,'Inputs'!$B$29+'Inputs'!$B$31+'Inputs'!$B$32,'Inputs'!$B$30+'Inputs'!$B$31+'Inputs'!$B$32)/1000+'Inputs'!$B$21+'Inputs'!$B$9+'Inputs'!$B$10)+'Inputs'!$B$7)^2+('Inputs'!$B$6/2)^2)-(((66-43)*MAX('Inputs'!$B$33,'Inputs'!$B$29+'Inputs'!$B$31+'Inputs'!$B$32,'Inputs'!$B$30+'Inputs'!$B$31+'Inputs'!$B$32)/1000+'Inputs'!$B$21+'Inputs'!$B$9+'Inputs'!$B$10))/SQRT((((66-43)*MAX('Inputs'!$B$33,'Inputs'!$B$29+'Inputs'!$B$31+'Inputs'!$B$32,'Inputs'!$B$30+'Inputs'!$B$31+'Inputs'!$B$32)/1000+'Inputs'!$B$21+'Inputs'!$B$9+'Inputs'!$B$10))^2+('Inputs'!$B$6/2)^2))))*'Results'!$B$8))),"")</x:f>
        <x:v>1653.1143372683455</x:v>
      </x:c>
      <x:c r="P66" t="n">
        <x:f>IF(AND(MAX(J66,J65)&gt;0,J66&gt;J65+0.00000001),1,0)</x:f>
        <x:v>0</x:v>
      </x:c>
      <x:c r="Q66" t="n">
        <x:f>IF(AND(MAX(K66,K65)&gt;0,K66&gt;K65+0.00000001),1,0)</x:f>
        <x:v>0</x:v>
      </x:c>
      <x:c r="R66" t="n">
        <x:f>IF(AND(MAX(L66,L65)&gt;0,L66&gt;L65+0.00000001),1,0)</x:f>
        <x:v>0</x:v>
      </x:c>
      <x:c r="S66" t="n">
        <x:f>IF(AND(MAX(M66,M65)&gt;0,M66&gt;M65+0.00000001),1,0)</x:f>
        <x:v>0</x:v>
      </x:c>
      <x:c r="T66" t="n">
        <x:f>IF(AND(MAX(N66,N65)&gt;0,N66&gt;N65+0.00000001),1,0)</x:f>
        <x:v>0</x:v>
      </x:c>
      <x:c r="U66" t="n">
        <x:f>IF(AND(MAX(O66,O65)&gt;0,O66&gt;O65+0.00000001),1,0)</x:f>
        <x:v>0</x:v>
      </x:c>
    </x:row>
    <x:row r="67">
      <x:c r="J67" t="n">
        <x:f>IF(AND(ISNUMBER('Results'!B7),ISNUMBER('Results'!C7),ISNUMBER('Results'!$B$8),ISNUMBER('Inputs'!$B$6),ISNUMBER('Inputs'!$B$7),ISNUMBER('Inputs'!$B$8),ISNUMBER('Inputs'!$B$9),ISNUMBER('Inputs'!$B$10),ISNUMBER('Inputs'!$B$21),ISNUMBER('Inputs'!$B$24),ISNUMBER('Inputs'!$B$28)),(('Results'!B7*(0.5*((((67-43)*MAX('Inputs'!$B$33,'Inputs'!$B$29+'Inputs'!$B$31+'Inputs'!$B$32,'Inputs'!$B$30+'Inputs'!$B$31+'Inputs'!$B$32)/1000+'Inputs'!$B$21)+'Inputs'!$B$7)/SQRT((((67-43)*MAX('Inputs'!$B$33,'Inputs'!$B$29+'Inputs'!$B$31+'Inputs'!$B$32,'Inputs'!$B$30+'Inputs'!$B$31+'Inputs'!$B$32)/1000+'Inputs'!$B$21)+'Inputs'!$B$7)^2+('Inputs'!$B$6/2)^2)-(((67-43)*MAX('Inputs'!$B$33,'Inputs'!$B$29+'Inputs'!$B$31+'Inputs'!$B$32,'Inputs'!$B$30+'Inputs'!$B$31+'Inputs'!$B$32)/1000+'Inputs'!$B$21))/SQRT((((67-43)*MAX('Inputs'!$B$33,'Inputs'!$B$29+'Inputs'!$B$31+'Inputs'!$B$32,'Inputs'!$B$30+'Inputs'!$B$31+'Inputs'!$B$32)/1000+'Inputs'!$B$21))^2+('Inputs'!$B$6/2)^2)))-'Results'!C7*(0.5*((((67-43)*MAX('Inputs'!$B$33,'Inputs'!$B$29+'Inputs'!$B$31+'Inputs'!$B$32,'Inputs'!$B$30+'Inputs'!$B$31+'Inputs'!$B$32)/1000+'Inputs'!$B$21+'Inputs'!$B$7+'Inputs'!$B$10)+'Inputs'!$B$9)/SQRT((((67-43)*MAX('Inputs'!$B$33,'Inputs'!$B$29+'Inputs'!$B$31+'Inputs'!$B$32,'Inputs'!$B$30+'Inputs'!$B$31+'Inputs'!$B$32)/1000+'Inputs'!$B$21+'Inputs'!$B$7+'Inputs'!$B$10)+'Inputs'!$B$9)^2+('Inputs'!$B$8/2)^2)-(((67-43)*MAX('Inputs'!$B$33,'Inputs'!$B$29+'Inputs'!$B$31+'Inputs'!$B$32,'Inputs'!$B$30+'Inputs'!$B$31+'Inputs'!$B$32)/1000+'Inputs'!$B$21+'Inputs'!$B$7+'Inputs'!$B$10))/SQRT((((67-43)*MAX('Inputs'!$B$33,'Inputs'!$B$29+'Inputs'!$B$31+'Inputs'!$B$32,'Inputs'!$B$30+'Inputs'!$B$31+'Inputs'!$B$32)/1000+'Inputs'!$B$21+'Inputs'!$B$7+'Inputs'!$B$10))^2+('Inputs'!$B$8/2)^2))))*'Results'!$B$8),"")</x:f>
        <x:v>1551.7956744684814</x:v>
      </x:c>
      <x:c r="K67" t="n">
        <x:f>IF(AND(ISNUMBER('Results'!B7),ISNUMBER('Results'!C7),ISNUMBER('Results'!$B$8),ISNUMBER('Inputs'!$B$6),ISNUMBER('Inputs'!$B$7),ISNUMBER('Inputs'!$B$8),ISNUMBER('Inputs'!$B$9),ISNUMBER('Inputs'!$B$10),ISNUMBER('Inputs'!$B$21),ISNUMBER('Inputs'!$B$24),ISNUMBER('Inputs'!$B$28)),((('Results'!B7*(1-'Inputs'!$B$24)*(0.5*((((67-43)*MAX('Inputs'!$B$33,'Inputs'!$B$29+'Inputs'!$B$31+'Inputs'!$B$32,'Inputs'!$B$30+'Inputs'!$B$31+'Inputs'!$B$32)/1000+'Inputs'!$B$21)+'Inputs'!$B$7)/SQRT((((67-43)*MAX('Inputs'!$B$33,'Inputs'!$B$29+'Inputs'!$B$31+'Inputs'!$B$32,'Inputs'!$B$30+'Inputs'!$B$31+'Inputs'!$B$32)/1000+'Inputs'!$B$21)+'Inputs'!$B$7)^2+('Inputs'!$B$6/2)^2)-(((67-43)*MAX('Inputs'!$B$33,'Inputs'!$B$29+'Inputs'!$B$31+'Inputs'!$B$32,'Inputs'!$B$30+'Inputs'!$B$31+'Inputs'!$B$32)/1000+'Inputs'!$B$21))/SQRT((((67-43)*MAX('Inputs'!$B$33,'Inputs'!$B$29+'Inputs'!$B$31+'Inputs'!$B$32,'Inputs'!$B$30+'Inputs'!$B$31+'Inputs'!$B$32)/1000+'Inputs'!$B$21))^2+('Inputs'!$B$6/2)^2)))-'Results'!C7*(1+'Inputs'!$B$24)*(0.5*((((67-43)*MAX('Inputs'!$B$33,'Inputs'!$B$29+'Inputs'!$B$31+'Inputs'!$B$32,'Inputs'!$B$30+'Inputs'!$B$31+'Inputs'!$B$32)/1000+'Inputs'!$B$21+'Inputs'!$B$7+'Inputs'!$B$10)+'Inputs'!$B$9)/SQRT((((67-43)*MAX('Inputs'!$B$33,'Inputs'!$B$29+'Inputs'!$B$31+'Inputs'!$B$32,'Inputs'!$B$30+'Inputs'!$B$31+'Inputs'!$B$32)/1000+'Inputs'!$B$21+'Inputs'!$B$7+'Inputs'!$B$10)+'Inputs'!$B$9)^2+('Inputs'!$B$8/2)^2)-(((67-43)*MAX('Inputs'!$B$33,'Inputs'!$B$29+'Inputs'!$B$31+'Inputs'!$B$32,'Inputs'!$B$30+'Inputs'!$B$31+'Inputs'!$B$32)/1000+'Inputs'!$B$21+'Inputs'!$B$7+'Inputs'!$B$10))/SQRT((((67-43)*MAX('Inputs'!$B$33,'Inputs'!$B$29+'Inputs'!$B$31+'Inputs'!$B$32,'Inputs'!$B$30+'Inputs'!$B$31+'Inputs'!$B$32)/1000+'Inputs'!$B$21+'Inputs'!$B$7+'Inputs'!$B$10))^2+('Inputs'!$B$8/2)^2))))*'Results'!$B$8)-'Inputs'!$B$28*ABS((('Results'!B7*(1-'Inputs'!$B$24)*(0.5*((((67-43)*MAX('Inputs'!$B$33,'Inputs'!$B$29+'Inputs'!$B$31+'Inputs'!$B$32,'Inputs'!$B$30+'Inputs'!$B$31+'Inputs'!$B$32)/1000+'Inputs'!$B$21)+'Inputs'!$B$7)/SQRT((((67-43)*MAX('Inputs'!$B$33,'Inputs'!$B$29+'Inputs'!$B$31+'Inputs'!$B$32,'Inputs'!$B$30+'Inputs'!$B$31+'Inputs'!$B$32)/1000+'Inputs'!$B$21)+'Inputs'!$B$7)^2+('Inputs'!$B$6/2)^2)-(((67-43)*MAX('Inputs'!$B$33,'Inputs'!$B$29+'Inputs'!$B$31+'Inputs'!$B$32,'Inputs'!$B$30+'Inputs'!$B$31+'Inputs'!$B$32)/1000+'Inputs'!$B$21))/SQRT((((67-43)*MAX('Inputs'!$B$33,'Inputs'!$B$29+'Inputs'!$B$31+'Inputs'!$B$32,'Inputs'!$B$30+'Inputs'!$B$31+'Inputs'!$B$32)/1000+'Inputs'!$B$21))^2+('Inputs'!$B$6/2)^2)))-'Results'!C7*(1+'Inputs'!$B$24)*(0.5*((((67-43)*MAX('Inputs'!$B$33,'Inputs'!$B$29+'Inputs'!$B$31+'Inputs'!$B$32,'Inputs'!$B$30+'Inputs'!$B$31+'Inputs'!$B$32)/1000+'Inputs'!$B$21+'Inputs'!$B$7+'Inputs'!$B$10)+'Inputs'!$B$9)/SQRT((((67-43)*MAX('Inputs'!$B$33,'Inputs'!$B$29+'Inputs'!$B$31+'Inputs'!$B$32,'Inputs'!$B$30+'Inputs'!$B$31+'Inputs'!$B$32)/1000+'Inputs'!$B$21+'Inputs'!$B$7+'Inputs'!$B$10)+'Inputs'!$B$9)^2+('Inputs'!$B$8/2)^2)-(((67-43)*MAX('Inputs'!$B$33,'Inputs'!$B$29+'Inputs'!$B$31+'Inputs'!$B$32,'Inputs'!$B$30+'Inputs'!$B$31+'Inputs'!$B$32)/1000+'Inputs'!$B$21+'Inputs'!$B$7+'Inputs'!$B$10))/SQRT((((67-43)*MAX('Inputs'!$B$33,'Inputs'!$B$29+'Inputs'!$B$31+'Inputs'!$B$32,'Inputs'!$B$30+'Inputs'!$B$31+'Inputs'!$B$32)/1000+'Inputs'!$B$21+'Inputs'!$B$7+'Inputs'!$B$10))^2+('Inputs'!$B$8/2)^2))))*'Results'!$B$8))),"")</x:f>
        <x:v>1435.6606044332116</x:v>
      </x:c>
      <x:c r="L67" t="n">
        <x:f>IF(AND(ISNUMBER('Results'!B7),ISNUMBER('Results'!C7),ISNUMBER('Results'!$B$8),ISNUMBER('Inputs'!$B$6),ISNUMBER('Inputs'!$B$7),ISNUMBER('Inputs'!$B$8),ISNUMBER('Inputs'!$B$9),ISNUMBER('Inputs'!$B$10),ISNUMBER('Inputs'!$B$21),ISNUMBER('Inputs'!$B$24),ISNUMBER('Inputs'!$B$28)),((('Results'!B7*(1+'Inputs'!$B$24)*(0.5*((((67-43)*MAX('Inputs'!$B$33,'Inputs'!$B$29+'Inputs'!$B$31+'Inputs'!$B$32,'Inputs'!$B$30+'Inputs'!$B$31+'Inputs'!$B$32)/1000+'Inputs'!$B$21)+'Inputs'!$B$7)/SQRT((((67-43)*MAX('Inputs'!$B$33,'Inputs'!$B$29+'Inputs'!$B$31+'Inputs'!$B$32,'Inputs'!$B$30+'Inputs'!$B$31+'Inputs'!$B$32)/1000+'Inputs'!$B$21)+'Inputs'!$B$7)^2+('Inputs'!$B$6/2)^2)-(((67-43)*MAX('Inputs'!$B$33,'Inputs'!$B$29+'Inputs'!$B$31+'Inputs'!$B$32,'Inputs'!$B$30+'Inputs'!$B$31+'Inputs'!$B$32)/1000+'Inputs'!$B$21))/SQRT((((67-43)*MAX('Inputs'!$B$33,'Inputs'!$B$29+'Inputs'!$B$31+'Inputs'!$B$32,'Inputs'!$B$30+'Inputs'!$B$31+'Inputs'!$B$32)/1000+'Inputs'!$B$21))^2+('Inputs'!$B$6/2)^2)))-'Results'!C7*(1-'Inputs'!$B$24)*(0.5*((((67-43)*MAX('Inputs'!$B$33,'Inputs'!$B$29+'Inputs'!$B$31+'Inputs'!$B$32,'Inputs'!$B$30+'Inputs'!$B$31+'Inputs'!$B$32)/1000+'Inputs'!$B$21+'Inputs'!$B$7+'Inputs'!$B$10)+'Inputs'!$B$9)/SQRT((((67-43)*MAX('Inputs'!$B$33,'Inputs'!$B$29+'Inputs'!$B$31+'Inputs'!$B$32,'Inputs'!$B$30+'Inputs'!$B$31+'Inputs'!$B$32)/1000+'Inputs'!$B$21+'Inputs'!$B$7+'Inputs'!$B$10)+'Inputs'!$B$9)^2+('Inputs'!$B$8/2)^2)-(((67-43)*MAX('Inputs'!$B$33,'Inputs'!$B$29+'Inputs'!$B$31+'Inputs'!$B$32,'Inputs'!$B$30+'Inputs'!$B$31+'Inputs'!$B$32)/1000+'Inputs'!$B$21+'Inputs'!$B$7+'Inputs'!$B$10))/SQRT((((67-43)*MAX('Inputs'!$B$33,'Inputs'!$B$29+'Inputs'!$B$31+'Inputs'!$B$32,'Inputs'!$B$30+'Inputs'!$B$31+'Inputs'!$B$32)/1000+'Inputs'!$B$21+'Inputs'!$B$7+'Inputs'!$B$10))^2+('Inputs'!$B$8/2)^2))))*'Results'!$B$8)+'Inputs'!$B$28*ABS((('Results'!B7*(1+'Inputs'!$B$24)*(0.5*((((67-43)*MAX('Inputs'!$B$33,'Inputs'!$B$29+'Inputs'!$B$31+'Inputs'!$B$32,'Inputs'!$B$30+'Inputs'!$B$31+'Inputs'!$B$32)/1000+'Inputs'!$B$21)+'Inputs'!$B$7)/SQRT((((67-43)*MAX('Inputs'!$B$33,'Inputs'!$B$29+'Inputs'!$B$31+'Inputs'!$B$32,'Inputs'!$B$30+'Inputs'!$B$31+'Inputs'!$B$32)/1000+'Inputs'!$B$21)+'Inputs'!$B$7)^2+('Inputs'!$B$6/2)^2)-(((67-43)*MAX('Inputs'!$B$33,'Inputs'!$B$29+'Inputs'!$B$31+'Inputs'!$B$32,'Inputs'!$B$30+'Inputs'!$B$31+'Inputs'!$B$32)/1000+'Inputs'!$B$21))/SQRT((((67-43)*MAX('Inputs'!$B$33,'Inputs'!$B$29+'Inputs'!$B$31+'Inputs'!$B$32,'Inputs'!$B$30+'Inputs'!$B$31+'Inputs'!$B$32)/1000+'Inputs'!$B$21))^2+('Inputs'!$B$6/2)^2)))-'Results'!C7*(1-'Inputs'!$B$24)*(0.5*((((67-43)*MAX('Inputs'!$B$33,'Inputs'!$B$29+'Inputs'!$B$31+'Inputs'!$B$32,'Inputs'!$B$30+'Inputs'!$B$31+'Inputs'!$B$32)/1000+'Inputs'!$B$21+'Inputs'!$B$7+'Inputs'!$B$10)+'Inputs'!$B$9)/SQRT((((67-43)*MAX('Inputs'!$B$33,'Inputs'!$B$29+'Inputs'!$B$31+'Inputs'!$B$32,'Inputs'!$B$30+'Inputs'!$B$31+'Inputs'!$B$32)/1000+'Inputs'!$B$21+'Inputs'!$B$7+'Inputs'!$B$10)+'Inputs'!$B$9)^2+('Inputs'!$B$8/2)^2)-(((67-43)*MAX('Inputs'!$B$33,'Inputs'!$B$29+'Inputs'!$B$31+'Inputs'!$B$32,'Inputs'!$B$30+'Inputs'!$B$31+'Inputs'!$B$32)/1000+'Inputs'!$B$21+'Inputs'!$B$7+'Inputs'!$B$10))/SQRT((((67-43)*MAX('Inputs'!$B$33,'Inputs'!$B$29+'Inputs'!$B$31+'Inputs'!$B$32,'Inputs'!$B$30+'Inputs'!$B$31+'Inputs'!$B$32)/1000+'Inputs'!$B$21+'Inputs'!$B$7+'Inputs'!$B$10))^2+('Inputs'!$B$8/2)^2))))*'Results'!$B$8))),"")</x:f>
        <x:v>1671.988143062893</x:v>
      </x:c>
      <x:c r="M67" t="n">
        <x:f>IF(AND(ISNUMBER('Results'!C7),ISNUMBER('Results'!B7),ISNUMBER('Results'!$B$8),ISNUMBER('Inputs'!$B$6),ISNUMBER('Inputs'!$B$7),ISNUMBER('Inputs'!$B$8),ISNUMBER('Inputs'!$B$9),ISNUMBER('Inputs'!$B$10),ISNUMBER('Inputs'!$B$21),ISNUMBER('Inputs'!$B$24),ISNUMBER('Inputs'!$B$28)),(('Results'!C7*(0.5*((((67-43)*MAX('Inputs'!$B$33,'Inputs'!$B$29+'Inputs'!$B$31+'Inputs'!$B$32,'Inputs'!$B$30+'Inputs'!$B$31+'Inputs'!$B$32)/1000+'Inputs'!$B$21)+'Inputs'!$B$9)/SQRT((((67-43)*MAX('Inputs'!$B$33,'Inputs'!$B$29+'Inputs'!$B$31+'Inputs'!$B$32,'Inputs'!$B$30+'Inputs'!$B$31+'Inputs'!$B$32)/1000+'Inputs'!$B$21)+'Inputs'!$B$9)^2+('Inputs'!$B$8/2)^2)-(((67-43)*MAX('Inputs'!$B$33,'Inputs'!$B$29+'Inputs'!$B$31+'Inputs'!$B$32,'Inputs'!$B$30+'Inputs'!$B$31+'Inputs'!$B$32)/1000+'Inputs'!$B$21))/SQRT((((67-43)*MAX('Inputs'!$B$33,'Inputs'!$B$29+'Inputs'!$B$31+'Inputs'!$B$32,'Inputs'!$B$30+'Inputs'!$B$31+'Inputs'!$B$32)/1000+'Inputs'!$B$21))^2+('Inputs'!$B$8/2)^2)))-'Results'!B7*(0.5*((((67-43)*MAX('Inputs'!$B$33,'Inputs'!$B$29+'Inputs'!$B$31+'Inputs'!$B$32,'Inputs'!$B$30+'Inputs'!$B$31+'Inputs'!$B$32)/1000+'Inputs'!$B$21+'Inputs'!$B$9+'Inputs'!$B$10)+'Inputs'!$B$7)/SQRT((((67-43)*MAX('Inputs'!$B$33,'Inputs'!$B$29+'Inputs'!$B$31+'Inputs'!$B$32,'Inputs'!$B$30+'Inputs'!$B$31+'Inputs'!$B$32)/1000+'Inputs'!$B$21+'Inputs'!$B$9+'Inputs'!$B$10)+'Inputs'!$B$7)^2+('Inputs'!$B$6/2)^2)-(((67-43)*MAX('Inputs'!$B$33,'Inputs'!$B$29+'Inputs'!$B$31+'Inputs'!$B$32,'Inputs'!$B$30+'Inputs'!$B$31+'Inputs'!$B$32)/1000+'Inputs'!$B$21+'Inputs'!$B$9+'Inputs'!$B$10))/SQRT((((67-43)*MAX('Inputs'!$B$33,'Inputs'!$B$29+'Inputs'!$B$31+'Inputs'!$B$32,'Inputs'!$B$30+'Inputs'!$B$31+'Inputs'!$B$32)/1000+'Inputs'!$B$21+'Inputs'!$B$9+'Inputs'!$B$10))^2+('Inputs'!$B$6/2)^2))))*'Results'!$B$8),"")</x:f>
        <x:v>1511.1243616107172</x:v>
      </x:c>
      <x:c r="N67" t="n">
        <x:f>IF(AND(ISNUMBER('Results'!C7),ISNUMBER('Results'!B7),ISNUMBER('Results'!$B$8),ISNUMBER('Inputs'!$B$6),ISNUMBER('Inputs'!$B$7),ISNUMBER('Inputs'!$B$8),ISNUMBER('Inputs'!$B$9),ISNUMBER('Inputs'!$B$10),ISNUMBER('Inputs'!$B$21),ISNUMBER('Inputs'!$B$24),ISNUMBER('Inputs'!$B$28)),((('Results'!C7*(1-'Inputs'!$B$24)*(0.5*((((67-43)*MAX('Inputs'!$B$33,'Inputs'!$B$29+'Inputs'!$B$31+'Inputs'!$B$32,'Inputs'!$B$30+'Inputs'!$B$31+'Inputs'!$B$32)/1000+'Inputs'!$B$21)+'Inputs'!$B$9)/SQRT((((67-43)*MAX('Inputs'!$B$33,'Inputs'!$B$29+'Inputs'!$B$31+'Inputs'!$B$32,'Inputs'!$B$30+'Inputs'!$B$31+'Inputs'!$B$32)/1000+'Inputs'!$B$21)+'Inputs'!$B$9)^2+('Inputs'!$B$8/2)^2)-(((67-43)*MAX('Inputs'!$B$33,'Inputs'!$B$29+'Inputs'!$B$31+'Inputs'!$B$32,'Inputs'!$B$30+'Inputs'!$B$31+'Inputs'!$B$32)/1000+'Inputs'!$B$21))/SQRT((((67-43)*MAX('Inputs'!$B$33,'Inputs'!$B$29+'Inputs'!$B$31+'Inputs'!$B$32,'Inputs'!$B$30+'Inputs'!$B$31+'Inputs'!$B$32)/1000+'Inputs'!$B$21))^2+('Inputs'!$B$8/2)^2)))-'Results'!B7*(1+'Inputs'!$B$24)*(0.5*((((67-43)*MAX('Inputs'!$B$33,'Inputs'!$B$29+'Inputs'!$B$31+'Inputs'!$B$32,'Inputs'!$B$30+'Inputs'!$B$31+'Inputs'!$B$32)/1000+'Inputs'!$B$21+'Inputs'!$B$9+'Inputs'!$B$10)+'Inputs'!$B$7)/SQRT((((67-43)*MAX('Inputs'!$B$33,'Inputs'!$B$29+'Inputs'!$B$31+'Inputs'!$B$32,'Inputs'!$B$30+'Inputs'!$B$31+'Inputs'!$B$32)/1000+'Inputs'!$B$21+'Inputs'!$B$9+'Inputs'!$B$10)+'Inputs'!$B$7)^2+('Inputs'!$B$6/2)^2)-(((67-43)*MAX('Inputs'!$B$33,'Inputs'!$B$29+'Inputs'!$B$31+'Inputs'!$B$32,'Inputs'!$B$30+'Inputs'!$B$31+'Inputs'!$B$32)/1000+'Inputs'!$B$21+'Inputs'!$B$9+'Inputs'!$B$10))/SQRT((((67-43)*MAX('Inputs'!$B$33,'Inputs'!$B$29+'Inputs'!$B$31+'Inputs'!$B$32,'Inputs'!$B$30+'Inputs'!$B$31+'Inputs'!$B$32)/1000+'Inputs'!$B$21+'Inputs'!$B$9+'Inputs'!$B$10))^2+('Inputs'!$B$6/2)^2))))*'Results'!$B$8)-'Inputs'!$B$28*ABS((('Results'!C7*(1-'Inputs'!$B$24)*(0.5*((((67-43)*MAX('Inputs'!$B$33,'Inputs'!$B$29+'Inputs'!$B$31+'Inputs'!$B$32,'Inputs'!$B$30+'Inputs'!$B$31+'Inputs'!$B$32)/1000+'Inputs'!$B$21)+'Inputs'!$B$9)/SQRT((((67-43)*MAX('Inputs'!$B$33,'Inputs'!$B$29+'Inputs'!$B$31+'Inputs'!$B$32,'Inputs'!$B$30+'Inputs'!$B$31+'Inputs'!$B$32)/1000+'Inputs'!$B$21)+'Inputs'!$B$9)^2+('Inputs'!$B$8/2)^2)-(((67-43)*MAX('Inputs'!$B$33,'Inputs'!$B$29+'Inputs'!$B$31+'Inputs'!$B$32,'Inputs'!$B$30+'Inputs'!$B$31+'Inputs'!$B$32)/1000+'Inputs'!$B$21))/SQRT((((67-43)*MAX('Inputs'!$B$33,'Inputs'!$B$29+'Inputs'!$B$31+'Inputs'!$B$32,'Inputs'!$B$30+'Inputs'!$B$31+'Inputs'!$B$32)/1000+'Inputs'!$B$21))^2+('Inputs'!$B$8/2)^2)))-'Results'!B7*(1+'Inputs'!$B$24)*(0.5*((((67-43)*MAX('Inputs'!$B$33,'Inputs'!$B$29+'Inputs'!$B$31+'Inputs'!$B$32,'Inputs'!$B$30+'Inputs'!$B$31+'Inputs'!$B$32)/1000+'Inputs'!$B$21+'Inputs'!$B$9+'Inputs'!$B$10)+'Inputs'!$B$7)/SQRT((((67-43)*MAX('Inputs'!$B$33,'Inputs'!$B$29+'Inputs'!$B$31+'Inputs'!$B$32,'Inputs'!$B$30+'Inputs'!$B$31+'Inputs'!$B$32)/1000+'Inputs'!$B$21+'Inputs'!$B$9+'Inputs'!$B$10)+'Inputs'!$B$7)^2+('Inputs'!$B$6/2)^2)-(((67-43)*MAX('Inputs'!$B$33,'Inputs'!$B$29+'Inputs'!$B$31+'Inputs'!$B$32,'Inputs'!$B$30+'Inputs'!$B$31+'Inputs'!$B$32)/1000+'Inputs'!$B$21+'Inputs'!$B$9+'Inputs'!$B$10))/SQRT((((67-43)*MAX('Inputs'!$B$33,'Inputs'!$B$29+'Inputs'!$B$31+'Inputs'!$B$32,'Inputs'!$B$30+'Inputs'!$B$31+'Inputs'!$B$32)/1000+'Inputs'!$B$21+'Inputs'!$B$9+'Inputs'!$B$10))^2+('Inputs'!$B$6/2)^2))))*'Results'!$B$8))),"")</x:f>
        <x:v>1397.6106903565726</x:v>
      </x:c>
      <x:c r="O67" t="n">
        <x:f>IF(AND(ISNUMBER('Results'!C7),ISNUMBER('Results'!B7),ISNUMBER('Results'!$B$8),ISNUMBER('Inputs'!$B$6),ISNUMBER('Inputs'!$B$7),ISNUMBER('Inputs'!$B$8),ISNUMBER('Inputs'!$B$9),ISNUMBER('Inputs'!$B$10),ISNUMBER('Inputs'!$B$21),ISNUMBER('Inputs'!$B$24),ISNUMBER('Inputs'!$B$28)),((('Results'!C7*(1+'Inputs'!$B$24)*(0.5*((((67-43)*MAX('Inputs'!$B$33,'Inputs'!$B$29+'Inputs'!$B$31+'Inputs'!$B$32,'Inputs'!$B$30+'Inputs'!$B$31+'Inputs'!$B$32)/1000+'Inputs'!$B$21)+'Inputs'!$B$9)/SQRT((((67-43)*MAX('Inputs'!$B$33,'Inputs'!$B$29+'Inputs'!$B$31+'Inputs'!$B$32,'Inputs'!$B$30+'Inputs'!$B$31+'Inputs'!$B$32)/1000+'Inputs'!$B$21)+'Inputs'!$B$9)^2+('Inputs'!$B$8/2)^2)-(((67-43)*MAX('Inputs'!$B$33,'Inputs'!$B$29+'Inputs'!$B$31+'Inputs'!$B$32,'Inputs'!$B$30+'Inputs'!$B$31+'Inputs'!$B$32)/1000+'Inputs'!$B$21))/SQRT((((67-43)*MAX('Inputs'!$B$33,'Inputs'!$B$29+'Inputs'!$B$31+'Inputs'!$B$32,'Inputs'!$B$30+'Inputs'!$B$31+'Inputs'!$B$32)/1000+'Inputs'!$B$21))^2+('Inputs'!$B$8/2)^2)))-'Results'!B7*(1-'Inputs'!$B$24)*(0.5*((((67-43)*MAX('Inputs'!$B$33,'Inputs'!$B$29+'Inputs'!$B$31+'Inputs'!$B$32,'Inputs'!$B$30+'Inputs'!$B$31+'Inputs'!$B$32)/1000+'Inputs'!$B$21+'Inputs'!$B$9+'Inputs'!$B$10)+'Inputs'!$B$7)/SQRT((((67-43)*MAX('Inputs'!$B$33,'Inputs'!$B$29+'Inputs'!$B$31+'Inputs'!$B$32,'Inputs'!$B$30+'Inputs'!$B$31+'Inputs'!$B$32)/1000+'Inputs'!$B$21+'Inputs'!$B$9+'Inputs'!$B$10)+'Inputs'!$B$7)^2+('Inputs'!$B$6/2)^2)-(((67-43)*MAX('Inputs'!$B$33,'Inputs'!$B$29+'Inputs'!$B$31+'Inputs'!$B$32,'Inputs'!$B$30+'Inputs'!$B$31+'Inputs'!$B$32)/1000+'Inputs'!$B$21+'Inputs'!$B$9+'Inputs'!$B$10))/SQRT((((67-43)*MAX('Inputs'!$B$33,'Inputs'!$B$29+'Inputs'!$B$31+'Inputs'!$B$32,'Inputs'!$B$30+'Inputs'!$B$31+'Inputs'!$B$32)/1000+'Inputs'!$B$21+'Inputs'!$B$9+'Inputs'!$B$10))^2+('Inputs'!$B$6/2)^2))))*'Results'!$B$8)+'Inputs'!$B$28*ABS((('Results'!C7*(1+'Inputs'!$B$24)*(0.5*((((67-43)*MAX('Inputs'!$B$33,'Inputs'!$B$29+'Inputs'!$B$31+'Inputs'!$B$32,'Inputs'!$B$30+'Inputs'!$B$31+'Inputs'!$B$32)/1000+'Inputs'!$B$21)+'Inputs'!$B$9)/SQRT((((67-43)*MAX('Inputs'!$B$33,'Inputs'!$B$29+'Inputs'!$B$31+'Inputs'!$B$32,'Inputs'!$B$30+'Inputs'!$B$31+'Inputs'!$B$32)/1000+'Inputs'!$B$21)+'Inputs'!$B$9)^2+('Inputs'!$B$8/2)^2)-(((67-43)*MAX('Inputs'!$B$33,'Inputs'!$B$29+'Inputs'!$B$31+'Inputs'!$B$32,'Inputs'!$B$30+'Inputs'!$B$31+'Inputs'!$B$32)/1000+'Inputs'!$B$21))/SQRT((((67-43)*MAX('Inputs'!$B$33,'Inputs'!$B$29+'Inputs'!$B$31+'Inputs'!$B$32,'Inputs'!$B$30+'Inputs'!$B$31+'Inputs'!$B$32)/1000+'Inputs'!$B$21))^2+('Inputs'!$B$8/2)^2)))-'Results'!B7*(1-'Inputs'!$B$24)*(0.5*((((67-43)*MAX('Inputs'!$B$33,'Inputs'!$B$29+'Inputs'!$B$31+'Inputs'!$B$32,'Inputs'!$B$30+'Inputs'!$B$31+'Inputs'!$B$32)/1000+'Inputs'!$B$21+'Inputs'!$B$9+'Inputs'!$B$10)+'Inputs'!$B$7)/SQRT((((67-43)*MAX('Inputs'!$B$33,'Inputs'!$B$29+'Inputs'!$B$31+'Inputs'!$B$32,'Inputs'!$B$30+'Inputs'!$B$31+'Inputs'!$B$32)/1000+'Inputs'!$B$21+'Inputs'!$B$9+'Inputs'!$B$10)+'Inputs'!$B$7)^2+('Inputs'!$B$6/2)^2)-(((67-43)*MAX('Inputs'!$B$33,'Inputs'!$B$29+'Inputs'!$B$31+'Inputs'!$B$32,'Inputs'!$B$30+'Inputs'!$B$31+'Inputs'!$B$32)/1000+'Inputs'!$B$21+'Inputs'!$B$9+'Inputs'!$B$10))/SQRT((((67-43)*MAX('Inputs'!$B$33,'Inputs'!$B$29+'Inputs'!$B$31+'Inputs'!$B$32,'Inputs'!$B$30+'Inputs'!$B$31+'Inputs'!$B$32)/1000+'Inputs'!$B$21+'Inputs'!$B$9+'Inputs'!$B$10))^2+('Inputs'!$B$6/2)^2))))*'Results'!$B$8))),"")</x:f>
        <x:v>1628.6335542515574</x:v>
      </x:c>
      <x:c r="P67" t="n">
        <x:f>IF(AND(MAX(J67,J66)&gt;0,J67&gt;J66+0.00000001),1,0)</x:f>
        <x:v>0</x:v>
      </x:c>
      <x:c r="Q67" t="n">
        <x:f>IF(AND(MAX(K67,K66)&gt;0,K67&gt;K66+0.00000001),1,0)</x:f>
        <x:v>0</x:v>
      </x:c>
      <x:c r="R67" t="n">
        <x:f>IF(AND(MAX(L67,L66)&gt;0,L67&gt;L66+0.00000001),1,0)</x:f>
        <x:v>0</x:v>
      </x:c>
      <x:c r="S67" t="n">
        <x:f>IF(AND(MAX(M67,M66)&gt;0,M67&gt;M66+0.00000001),1,0)</x:f>
        <x:v>0</x:v>
      </x:c>
      <x:c r="T67" t="n">
        <x:f>IF(AND(MAX(N67,N66)&gt;0,N67&gt;N66+0.00000001),1,0)</x:f>
        <x:v>0</x:v>
      </x:c>
      <x:c r="U67" t="n">
        <x:f>IF(AND(MAX(O67,O66)&gt;0,O67&gt;O66+0.00000001),1,0)</x:f>
        <x:v>0</x:v>
      </x:c>
    </x:row>
    <x:row r="68">
      <x:c r="J68" t="n">
        <x:f>IF(AND(ISNUMBER('Results'!B7),ISNUMBER('Results'!C7),ISNUMBER('Results'!$B$8),ISNUMBER('Inputs'!$B$6),ISNUMBER('Inputs'!$B$7),ISNUMBER('Inputs'!$B$8),ISNUMBER('Inputs'!$B$9),ISNUMBER('Inputs'!$B$10),ISNUMBER('Inputs'!$B$21),ISNUMBER('Inputs'!$B$24),ISNUMBER('Inputs'!$B$28)),(('Results'!B7*(0.5*((((68-43)*MAX('Inputs'!$B$33,'Inputs'!$B$29+'Inputs'!$B$31+'Inputs'!$B$32,'Inputs'!$B$30+'Inputs'!$B$31+'Inputs'!$B$32)/1000+'Inputs'!$B$21)+'Inputs'!$B$7)/SQRT((((68-43)*MAX('Inputs'!$B$33,'Inputs'!$B$29+'Inputs'!$B$31+'Inputs'!$B$32,'Inputs'!$B$30+'Inputs'!$B$31+'Inputs'!$B$32)/1000+'Inputs'!$B$21)+'Inputs'!$B$7)^2+('Inputs'!$B$6/2)^2)-(((68-43)*MAX('Inputs'!$B$33,'Inputs'!$B$29+'Inputs'!$B$31+'Inputs'!$B$32,'Inputs'!$B$30+'Inputs'!$B$31+'Inputs'!$B$32)/1000+'Inputs'!$B$21))/SQRT((((68-43)*MAX('Inputs'!$B$33,'Inputs'!$B$29+'Inputs'!$B$31+'Inputs'!$B$32,'Inputs'!$B$30+'Inputs'!$B$31+'Inputs'!$B$32)/1000+'Inputs'!$B$21))^2+('Inputs'!$B$6/2)^2)))-'Results'!C7*(0.5*((((68-43)*MAX('Inputs'!$B$33,'Inputs'!$B$29+'Inputs'!$B$31+'Inputs'!$B$32,'Inputs'!$B$30+'Inputs'!$B$31+'Inputs'!$B$32)/1000+'Inputs'!$B$21+'Inputs'!$B$7+'Inputs'!$B$10)+'Inputs'!$B$9)/SQRT((((68-43)*MAX('Inputs'!$B$33,'Inputs'!$B$29+'Inputs'!$B$31+'Inputs'!$B$32,'Inputs'!$B$30+'Inputs'!$B$31+'Inputs'!$B$32)/1000+'Inputs'!$B$21+'Inputs'!$B$7+'Inputs'!$B$10)+'Inputs'!$B$9)^2+('Inputs'!$B$8/2)^2)-(((68-43)*MAX('Inputs'!$B$33,'Inputs'!$B$29+'Inputs'!$B$31+'Inputs'!$B$32,'Inputs'!$B$30+'Inputs'!$B$31+'Inputs'!$B$32)/1000+'Inputs'!$B$21+'Inputs'!$B$7+'Inputs'!$B$10))/SQRT((((68-43)*MAX('Inputs'!$B$33,'Inputs'!$B$29+'Inputs'!$B$31+'Inputs'!$B$32,'Inputs'!$B$30+'Inputs'!$B$31+'Inputs'!$B$32)/1000+'Inputs'!$B$21+'Inputs'!$B$7+'Inputs'!$B$10))^2+('Inputs'!$B$8/2)^2))))*'Results'!$B$8),"")</x:f>
        <x:v>1528.4292992735946</x:v>
      </x:c>
      <x:c r="K68" t="n">
        <x:f>IF(AND(ISNUMBER('Results'!B7),ISNUMBER('Results'!C7),ISNUMBER('Results'!$B$8),ISNUMBER('Inputs'!$B$6),ISNUMBER('Inputs'!$B$7),ISNUMBER('Inputs'!$B$8),ISNUMBER('Inputs'!$B$9),ISNUMBER('Inputs'!$B$10),ISNUMBER('Inputs'!$B$21),ISNUMBER('Inputs'!$B$24),ISNUMBER('Inputs'!$B$28)),((('Results'!B7*(1-'Inputs'!$B$24)*(0.5*((((68-43)*MAX('Inputs'!$B$33,'Inputs'!$B$29+'Inputs'!$B$31+'Inputs'!$B$32,'Inputs'!$B$30+'Inputs'!$B$31+'Inputs'!$B$32)/1000+'Inputs'!$B$21)+'Inputs'!$B$7)/SQRT((((68-43)*MAX('Inputs'!$B$33,'Inputs'!$B$29+'Inputs'!$B$31+'Inputs'!$B$32,'Inputs'!$B$30+'Inputs'!$B$31+'Inputs'!$B$32)/1000+'Inputs'!$B$21)+'Inputs'!$B$7)^2+('Inputs'!$B$6/2)^2)-(((68-43)*MAX('Inputs'!$B$33,'Inputs'!$B$29+'Inputs'!$B$31+'Inputs'!$B$32,'Inputs'!$B$30+'Inputs'!$B$31+'Inputs'!$B$32)/1000+'Inputs'!$B$21))/SQRT((((68-43)*MAX('Inputs'!$B$33,'Inputs'!$B$29+'Inputs'!$B$31+'Inputs'!$B$32,'Inputs'!$B$30+'Inputs'!$B$31+'Inputs'!$B$32)/1000+'Inputs'!$B$21))^2+('Inputs'!$B$6/2)^2)))-'Results'!C7*(1+'Inputs'!$B$24)*(0.5*((((68-43)*MAX('Inputs'!$B$33,'Inputs'!$B$29+'Inputs'!$B$31+'Inputs'!$B$32,'Inputs'!$B$30+'Inputs'!$B$31+'Inputs'!$B$32)/1000+'Inputs'!$B$21+'Inputs'!$B$7+'Inputs'!$B$10)+'Inputs'!$B$9)/SQRT((((68-43)*MAX('Inputs'!$B$33,'Inputs'!$B$29+'Inputs'!$B$31+'Inputs'!$B$32,'Inputs'!$B$30+'Inputs'!$B$31+'Inputs'!$B$32)/1000+'Inputs'!$B$21+'Inputs'!$B$7+'Inputs'!$B$10)+'Inputs'!$B$9)^2+('Inputs'!$B$8/2)^2)-(((68-43)*MAX('Inputs'!$B$33,'Inputs'!$B$29+'Inputs'!$B$31+'Inputs'!$B$32,'Inputs'!$B$30+'Inputs'!$B$31+'Inputs'!$B$32)/1000+'Inputs'!$B$21+'Inputs'!$B$7+'Inputs'!$B$10))/SQRT((((68-43)*MAX('Inputs'!$B$33,'Inputs'!$B$29+'Inputs'!$B$31+'Inputs'!$B$32,'Inputs'!$B$30+'Inputs'!$B$31+'Inputs'!$B$32)/1000+'Inputs'!$B$21+'Inputs'!$B$7+'Inputs'!$B$10))^2+('Inputs'!$B$8/2)^2))))*'Results'!$B$8)-'Inputs'!$B$28*ABS((('Results'!B7*(1-'Inputs'!$B$24)*(0.5*((((68-43)*MAX('Inputs'!$B$33,'Inputs'!$B$29+'Inputs'!$B$31+'Inputs'!$B$32,'Inputs'!$B$30+'Inputs'!$B$31+'Inputs'!$B$32)/1000+'Inputs'!$B$21)+'Inputs'!$B$7)/SQRT((((68-43)*MAX('Inputs'!$B$33,'Inputs'!$B$29+'Inputs'!$B$31+'Inputs'!$B$32,'Inputs'!$B$30+'Inputs'!$B$31+'Inputs'!$B$32)/1000+'Inputs'!$B$21)+'Inputs'!$B$7)^2+('Inputs'!$B$6/2)^2)-(((68-43)*MAX('Inputs'!$B$33,'Inputs'!$B$29+'Inputs'!$B$31+'Inputs'!$B$32,'Inputs'!$B$30+'Inputs'!$B$31+'Inputs'!$B$32)/1000+'Inputs'!$B$21))/SQRT((((68-43)*MAX('Inputs'!$B$33,'Inputs'!$B$29+'Inputs'!$B$31+'Inputs'!$B$32,'Inputs'!$B$30+'Inputs'!$B$31+'Inputs'!$B$32)/1000+'Inputs'!$B$21))^2+('Inputs'!$B$6/2)^2)))-'Results'!C7*(1+'Inputs'!$B$24)*(0.5*((((68-43)*MAX('Inputs'!$B$33,'Inputs'!$B$29+'Inputs'!$B$31+'Inputs'!$B$32,'Inputs'!$B$30+'Inputs'!$B$31+'Inputs'!$B$32)/1000+'Inputs'!$B$21+'Inputs'!$B$7+'Inputs'!$B$10)+'Inputs'!$B$9)/SQRT((((68-43)*MAX('Inputs'!$B$33,'Inputs'!$B$29+'Inputs'!$B$31+'Inputs'!$B$32,'Inputs'!$B$30+'Inputs'!$B$31+'Inputs'!$B$32)/1000+'Inputs'!$B$21+'Inputs'!$B$7+'Inputs'!$B$10)+'Inputs'!$B$9)^2+('Inputs'!$B$8/2)^2)-(((68-43)*MAX('Inputs'!$B$33,'Inputs'!$B$29+'Inputs'!$B$31+'Inputs'!$B$32,'Inputs'!$B$30+'Inputs'!$B$31+'Inputs'!$B$32)/1000+'Inputs'!$B$21+'Inputs'!$B$7+'Inputs'!$B$10))/SQRT((((68-43)*MAX('Inputs'!$B$33,'Inputs'!$B$29+'Inputs'!$B$31+'Inputs'!$B$32,'Inputs'!$B$30+'Inputs'!$B$31+'Inputs'!$B$32)/1000+'Inputs'!$B$21+'Inputs'!$B$7+'Inputs'!$B$10))^2+('Inputs'!$B$8/2)^2))))*'Results'!$B$8))),"")</x:f>
        <x:v>1414.043438736544</x:v>
      </x:c>
      <x:c r="L68" t="n">
        <x:f>IF(AND(ISNUMBER('Results'!B7),ISNUMBER('Results'!C7),ISNUMBER('Results'!$B$8),ISNUMBER('Inputs'!$B$6),ISNUMBER('Inputs'!$B$7),ISNUMBER('Inputs'!$B$8),ISNUMBER('Inputs'!$B$9),ISNUMBER('Inputs'!$B$10),ISNUMBER('Inputs'!$B$21),ISNUMBER('Inputs'!$B$24),ISNUMBER('Inputs'!$B$28)),((('Results'!B7*(1+'Inputs'!$B$24)*(0.5*((((68-43)*MAX('Inputs'!$B$33,'Inputs'!$B$29+'Inputs'!$B$31+'Inputs'!$B$32,'Inputs'!$B$30+'Inputs'!$B$31+'Inputs'!$B$32)/1000+'Inputs'!$B$21)+'Inputs'!$B$7)/SQRT((((68-43)*MAX('Inputs'!$B$33,'Inputs'!$B$29+'Inputs'!$B$31+'Inputs'!$B$32,'Inputs'!$B$30+'Inputs'!$B$31+'Inputs'!$B$32)/1000+'Inputs'!$B$21)+'Inputs'!$B$7)^2+('Inputs'!$B$6/2)^2)-(((68-43)*MAX('Inputs'!$B$33,'Inputs'!$B$29+'Inputs'!$B$31+'Inputs'!$B$32,'Inputs'!$B$30+'Inputs'!$B$31+'Inputs'!$B$32)/1000+'Inputs'!$B$21))/SQRT((((68-43)*MAX('Inputs'!$B$33,'Inputs'!$B$29+'Inputs'!$B$31+'Inputs'!$B$32,'Inputs'!$B$30+'Inputs'!$B$31+'Inputs'!$B$32)/1000+'Inputs'!$B$21))^2+('Inputs'!$B$6/2)^2)))-'Results'!C7*(1-'Inputs'!$B$24)*(0.5*((((68-43)*MAX('Inputs'!$B$33,'Inputs'!$B$29+'Inputs'!$B$31+'Inputs'!$B$32,'Inputs'!$B$30+'Inputs'!$B$31+'Inputs'!$B$32)/1000+'Inputs'!$B$21+'Inputs'!$B$7+'Inputs'!$B$10)+'Inputs'!$B$9)/SQRT((((68-43)*MAX('Inputs'!$B$33,'Inputs'!$B$29+'Inputs'!$B$31+'Inputs'!$B$32,'Inputs'!$B$30+'Inputs'!$B$31+'Inputs'!$B$32)/1000+'Inputs'!$B$21+'Inputs'!$B$7+'Inputs'!$B$10)+'Inputs'!$B$9)^2+('Inputs'!$B$8/2)^2)-(((68-43)*MAX('Inputs'!$B$33,'Inputs'!$B$29+'Inputs'!$B$31+'Inputs'!$B$32,'Inputs'!$B$30+'Inputs'!$B$31+'Inputs'!$B$32)/1000+'Inputs'!$B$21+'Inputs'!$B$7+'Inputs'!$B$10))/SQRT((((68-43)*MAX('Inputs'!$B$33,'Inputs'!$B$29+'Inputs'!$B$31+'Inputs'!$B$32,'Inputs'!$B$30+'Inputs'!$B$31+'Inputs'!$B$32)/1000+'Inputs'!$B$21+'Inputs'!$B$7+'Inputs'!$B$10))^2+('Inputs'!$B$8/2)^2))))*'Results'!$B$8)+'Inputs'!$B$28*ABS((('Results'!B7*(1+'Inputs'!$B$24)*(0.5*((((68-43)*MAX('Inputs'!$B$33,'Inputs'!$B$29+'Inputs'!$B$31+'Inputs'!$B$32,'Inputs'!$B$30+'Inputs'!$B$31+'Inputs'!$B$32)/1000+'Inputs'!$B$21)+'Inputs'!$B$7)/SQRT((((68-43)*MAX('Inputs'!$B$33,'Inputs'!$B$29+'Inputs'!$B$31+'Inputs'!$B$32,'Inputs'!$B$30+'Inputs'!$B$31+'Inputs'!$B$32)/1000+'Inputs'!$B$21)+'Inputs'!$B$7)^2+('Inputs'!$B$6/2)^2)-(((68-43)*MAX('Inputs'!$B$33,'Inputs'!$B$29+'Inputs'!$B$31+'Inputs'!$B$32,'Inputs'!$B$30+'Inputs'!$B$31+'Inputs'!$B$32)/1000+'Inputs'!$B$21))/SQRT((((68-43)*MAX('Inputs'!$B$33,'Inputs'!$B$29+'Inputs'!$B$31+'Inputs'!$B$32,'Inputs'!$B$30+'Inputs'!$B$31+'Inputs'!$B$32)/1000+'Inputs'!$B$21))^2+('Inputs'!$B$6/2)^2)))-'Results'!C7*(1-'Inputs'!$B$24)*(0.5*((((68-43)*MAX('Inputs'!$B$33,'Inputs'!$B$29+'Inputs'!$B$31+'Inputs'!$B$32,'Inputs'!$B$30+'Inputs'!$B$31+'Inputs'!$B$32)/1000+'Inputs'!$B$21+'Inputs'!$B$7+'Inputs'!$B$10)+'Inputs'!$B$9)/SQRT((((68-43)*MAX('Inputs'!$B$33,'Inputs'!$B$29+'Inputs'!$B$31+'Inputs'!$B$32,'Inputs'!$B$30+'Inputs'!$B$31+'Inputs'!$B$32)/1000+'Inputs'!$B$21+'Inputs'!$B$7+'Inputs'!$B$10)+'Inputs'!$B$9)^2+('Inputs'!$B$8/2)^2)-(((68-43)*MAX('Inputs'!$B$33,'Inputs'!$B$29+'Inputs'!$B$31+'Inputs'!$B$32,'Inputs'!$B$30+'Inputs'!$B$31+'Inputs'!$B$32)/1000+'Inputs'!$B$21+'Inputs'!$B$7+'Inputs'!$B$10))/SQRT((((68-43)*MAX('Inputs'!$B$33,'Inputs'!$B$29+'Inputs'!$B$31+'Inputs'!$B$32,'Inputs'!$B$30+'Inputs'!$B$31+'Inputs'!$B$32)/1000+'Inputs'!$B$21+'Inputs'!$B$7+'Inputs'!$B$10))^2+('Inputs'!$B$8/2)^2))))*'Results'!$B$8))),"")</x:f>
        <x:v>1646.8114119762631</x:v>
      </x:c>
      <x:c r="M68" t="n">
        <x:f>IF(AND(ISNUMBER('Results'!C7),ISNUMBER('Results'!B7),ISNUMBER('Results'!$B$8),ISNUMBER('Inputs'!$B$6),ISNUMBER('Inputs'!$B$7),ISNUMBER('Inputs'!$B$8),ISNUMBER('Inputs'!$B$9),ISNUMBER('Inputs'!$B$10),ISNUMBER('Inputs'!$B$21),ISNUMBER('Inputs'!$B$24),ISNUMBER('Inputs'!$B$28)),(('Results'!C7*(0.5*((((68-43)*MAX('Inputs'!$B$33,'Inputs'!$B$29+'Inputs'!$B$31+'Inputs'!$B$32,'Inputs'!$B$30+'Inputs'!$B$31+'Inputs'!$B$32)/1000+'Inputs'!$B$21)+'Inputs'!$B$9)/SQRT((((68-43)*MAX('Inputs'!$B$33,'Inputs'!$B$29+'Inputs'!$B$31+'Inputs'!$B$32,'Inputs'!$B$30+'Inputs'!$B$31+'Inputs'!$B$32)/1000+'Inputs'!$B$21)+'Inputs'!$B$9)^2+('Inputs'!$B$8/2)^2)-(((68-43)*MAX('Inputs'!$B$33,'Inputs'!$B$29+'Inputs'!$B$31+'Inputs'!$B$32,'Inputs'!$B$30+'Inputs'!$B$31+'Inputs'!$B$32)/1000+'Inputs'!$B$21))/SQRT((((68-43)*MAX('Inputs'!$B$33,'Inputs'!$B$29+'Inputs'!$B$31+'Inputs'!$B$32,'Inputs'!$B$30+'Inputs'!$B$31+'Inputs'!$B$32)/1000+'Inputs'!$B$21))^2+('Inputs'!$B$8/2)^2)))-'Results'!B7*(0.5*((((68-43)*MAX('Inputs'!$B$33,'Inputs'!$B$29+'Inputs'!$B$31+'Inputs'!$B$32,'Inputs'!$B$30+'Inputs'!$B$31+'Inputs'!$B$32)/1000+'Inputs'!$B$21+'Inputs'!$B$9+'Inputs'!$B$10)+'Inputs'!$B$7)/SQRT((((68-43)*MAX('Inputs'!$B$33,'Inputs'!$B$29+'Inputs'!$B$31+'Inputs'!$B$32,'Inputs'!$B$30+'Inputs'!$B$31+'Inputs'!$B$32)/1000+'Inputs'!$B$21+'Inputs'!$B$9+'Inputs'!$B$10)+'Inputs'!$B$7)^2+('Inputs'!$B$6/2)^2)-(((68-43)*MAX('Inputs'!$B$33,'Inputs'!$B$29+'Inputs'!$B$31+'Inputs'!$B$32,'Inputs'!$B$30+'Inputs'!$B$31+'Inputs'!$B$32)/1000+'Inputs'!$B$21+'Inputs'!$B$9+'Inputs'!$B$10))/SQRT((((68-43)*MAX('Inputs'!$B$33,'Inputs'!$B$29+'Inputs'!$B$31+'Inputs'!$B$32,'Inputs'!$B$30+'Inputs'!$B$31+'Inputs'!$B$32)/1000+'Inputs'!$B$21+'Inputs'!$B$9+'Inputs'!$B$10))^2+('Inputs'!$B$6/2)^2))))*'Results'!$B$8),"")</x:f>
        <x:v>1488.370921130979</x:v>
      </x:c>
      <x:c r="N68" t="n">
        <x:f>IF(AND(ISNUMBER('Results'!C7),ISNUMBER('Results'!B7),ISNUMBER('Results'!$B$8),ISNUMBER('Inputs'!$B$6),ISNUMBER('Inputs'!$B$7),ISNUMBER('Inputs'!$B$8),ISNUMBER('Inputs'!$B$9),ISNUMBER('Inputs'!$B$10),ISNUMBER('Inputs'!$B$21),ISNUMBER('Inputs'!$B$24),ISNUMBER('Inputs'!$B$28)),((('Results'!C7*(1-'Inputs'!$B$24)*(0.5*((((68-43)*MAX('Inputs'!$B$33,'Inputs'!$B$29+'Inputs'!$B$31+'Inputs'!$B$32,'Inputs'!$B$30+'Inputs'!$B$31+'Inputs'!$B$32)/1000+'Inputs'!$B$21)+'Inputs'!$B$9)/SQRT((((68-43)*MAX('Inputs'!$B$33,'Inputs'!$B$29+'Inputs'!$B$31+'Inputs'!$B$32,'Inputs'!$B$30+'Inputs'!$B$31+'Inputs'!$B$32)/1000+'Inputs'!$B$21)+'Inputs'!$B$9)^2+('Inputs'!$B$8/2)^2)-(((68-43)*MAX('Inputs'!$B$33,'Inputs'!$B$29+'Inputs'!$B$31+'Inputs'!$B$32,'Inputs'!$B$30+'Inputs'!$B$31+'Inputs'!$B$32)/1000+'Inputs'!$B$21))/SQRT((((68-43)*MAX('Inputs'!$B$33,'Inputs'!$B$29+'Inputs'!$B$31+'Inputs'!$B$32,'Inputs'!$B$30+'Inputs'!$B$31+'Inputs'!$B$32)/1000+'Inputs'!$B$21))^2+('Inputs'!$B$8/2)^2)))-'Results'!B7*(1+'Inputs'!$B$24)*(0.5*((((68-43)*MAX('Inputs'!$B$33,'Inputs'!$B$29+'Inputs'!$B$31+'Inputs'!$B$32,'Inputs'!$B$30+'Inputs'!$B$31+'Inputs'!$B$32)/1000+'Inputs'!$B$21+'Inputs'!$B$9+'Inputs'!$B$10)+'Inputs'!$B$7)/SQRT((((68-43)*MAX('Inputs'!$B$33,'Inputs'!$B$29+'Inputs'!$B$31+'Inputs'!$B$32,'Inputs'!$B$30+'Inputs'!$B$31+'Inputs'!$B$32)/1000+'Inputs'!$B$21+'Inputs'!$B$9+'Inputs'!$B$10)+'Inputs'!$B$7)^2+('Inputs'!$B$6/2)^2)-(((68-43)*MAX('Inputs'!$B$33,'Inputs'!$B$29+'Inputs'!$B$31+'Inputs'!$B$32,'Inputs'!$B$30+'Inputs'!$B$31+'Inputs'!$B$32)/1000+'Inputs'!$B$21+'Inputs'!$B$9+'Inputs'!$B$10))/SQRT((((68-43)*MAX('Inputs'!$B$33,'Inputs'!$B$29+'Inputs'!$B$31+'Inputs'!$B$32,'Inputs'!$B$30+'Inputs'!$B$31+'Inputs'!$B$32)/1000+'Inputs'!$B$21+'Inputs'!$B$9+'Inputs'!$B$10))^2+('Inputs'!$B$6/2)^2))))*'Results'!$B$8)-'Inputs'!$B$28*ABS((('Results'!C7*(1-'Inputs'!$B$24)*(0.5*((((68-43)*MAX('Inputs'!$B$33,'Inputs'!$B$29+'Inputs'!$B$31+'Inputs'!$B$32,'Inputs'!$B$30+'Inputs'!$B$31+'Inputs'!$B$32)/1000+'Inputs'!$B$21)+'Inputs'!$B$9)/SQRT((((68-43)*MAX('Inputs'!$B$33,'Inputs'!$B$29+'Inputs'!$B$31+'Inputs'!$B$32,'Inputs'!$B$30+'Inputs'!$B$31+'Inputs'!$B$32)/1000+'Inputs'!$B$21)+'Inputs'!$B$9)^2+('Inputs'!$B$8/2)^2)-(((68-43)*MAX('Inputs'!$B$33,'Inputs'!$B$29+'Inputs'!$B$31+'Inputs'!$B$32,'Inputs'!$B$30+'Inputs'!$B$31+'Inputs'!$B$32)/1000+'Inputs'!$B$21))/SQRT((((68-43)*MAX('Inputs'!$B$33,'Inputs'!$B$29+'Inputs'!$B$31+'Inputs'!$B$32,'Inputs'!$B$30+'Inputs'!$B$31+'Inputs'!$B$32)/1000+'Inputs'!$B$21))^2+('Inputs'!$B$8/2)^2)))-'Results'!B7*(1+'Inputs'!$B$24)*(0.5*((((68-43)*MAX('Inputs'!$B$33,'Inputs'!$B$29+'Inputs'!$B$31+'Inputs'!$B$32,'Inputs'!$B$30+'Inputs'!$B$31+'Inputs'!$B$32)/1000+'Inputs'!$B$21+'Inputs'!$B$9+'Inputs'!$B$10)+'Inputs'!$B$7)/SQRT((((68-43)*MAX('Inputs'!$B$33,'Inputs'!$B$29+'Inputs'!$B$31+'Inputs'!$B$32,'Inputs'!$B$30+'Inputs'!$B$31+'Inputs'!$B$32)/1000+'Inputs'!$B$21+'Inputs'!$B$9+'Inputs'!$B$10)+'Inputs'!$B$7)^2+('Inputs'!$B$6/2)^2)-(((68-43)*MAX('Inputs'!$B$33,'Inputs'!$B$29+'Inputs'!$B$31+'Inputs'!$B$32,'Inputs'!$B$30+'Inputs'!$B$31+'Inputs'!$B$32)/1000+'Inputs'!$B$21+'Inputs'!$B$9+'Inputs'!$B$10))/SQRT((((68-43)*MAX('Inputs'!$B$33,'Inputs'!$B$29+'Inputs'!$B$31+'Inputs'!$B$32,'Inputs'!$B$30+'Inputs'!$B$31+'Inputs'!$B$32)/1000+'Inputs'!$B$21+'Inputs'!$B$9+'Inputs'!$B$10))^2+('Inputs'!$B$6/2)^2))))*'Results'!$B$8))),"")</x:f>
        <x:v>1376.566961361541</x:v>
      </x:c>
      <x:c r="O68" t="n">
        <x:f>IF(AND(ISNUMBER('Results'!C7),ISNUMBER('Results'!B7),ISNUMBER('Results'!$B$8),ISNUMBER('Inputs'!$B$6),ISNUMBER('Inputs'!$B$7),ISNUMBER('Inputs'!$B$8),ISNUMBER('Inputs'!$B$9),ISNUMBER('Inputs'!$B$10),ISNUMBER('Inputs'!$B$21),ISNUMBER('Inputs'!$B$24),ISNUMBER('Inputs'!$B$28)),((('Results'!C7*(1+'Inputs'!$B$24)*(0.5*((((68-43)*MAX('Inputs'!$B$33,'Inputs'!$B$29+'Inputs'!$B$31+'Inputs'!$B$32,'Inputs'!$B$30+'Inputs'!$B$31+'Inputs'!$B$32)/1000+'Inputs'!$B$21)+'Inputs'!$B$9)/SQRT((((68-43)*MAX('Inputs'!$B$33,'Inputs'!$B$29+'Inputs'!$B$31+'Inputs'!$B$32,'Inputs'!$B$30+'Inputs'!$B$31+'Inputs'!$B$32)/1000+'Inputs'!$B$21)+'Inputs'!$B$9)^2+('Inputs'!$B$8/2)^2)-(((68-43)*MAX('Inputs'!$B$33,'Inputs'!$B$29+'Inputs'!$B$31+'Inputs'!$B$32,'Inputs'!$B$30+'Inputs'!$B$31+'Inputs'!$B$32)/1000+'Inputs'!$B$21))/SQRT((((68-43)*MAX('Inputs'!$B$33,'Inputs'!$B$29+'Inputs'!$B$31+'Inputs'!$B$32,'Inputs'!$B$30+'Inputs'!$B$31+'Inputs'!$B$32)/1000+'Inputs'!$B$21))^2+('Inputs'!$B$8/2)^2)))-'Results'!B7*(1-'Inputs'!$B$24)*(0.5*((((68-43)*MAX('Inputs'!$B$33,'Inputs'!$B$29+'Inputs'!$B$31+'Inputs'!$B$32,'Inputs'!$B$30+'Inputs'!$B$31+'Inputs'!$B$32)/1000+'Inputs'!$B$21+'Inputs'!$B$9+'Inputs'!$B$10)+'Inputs'!$B$7)/SQRT((((68-43)*MAX('Inputs'!$B$33,'Inputs'!$B$29+'Inputs'!$B$31+'Inputs'!$B$32,'Inputs'!$B$30+'Inputs'!$B$31+'Inputs'!$B$32)/1000+'Inputs'!$B$21+'Inputs'!$B$9+'Inputs'!$B$10)+'Inputs'!$B$7)^2+('Inputs'!$B$6/2)^2)-(((68-43)*MAX('Inputs'!$B$33,'Inputs'!$B$29+'Inputs'!$B$31+'Inputs'!$B$32,'Inputs'!$B$30+'Inputs'!$B$31+'Inputs'!$B$32)/1000+'Inputs'!$B$21+'Inputs'!$B$9+'Inputs'!$B$10))/SQRT((((68-43)*MAX('Inputs'!$B$33,'Inputs'!$B$29+'Inputs'!$B$31+'Inputs'!$B$32,'Inputs'!$B$30+'Inputs'!$B$31+'Inputs'!$B$32)/1000+'Inputs'!$B$21+'Inputs'!$B$9+'Inputs'!$B$10))^2+('Inputs'!$B$6/2)^2))))*'Results'!$B$8)+'Inputs'!$B$28*ABS((('Results'!C7*(1+'Inputs'!$B$24)*(0.5*((((68-43)*MAX('Inputs'!$B$33,'Inputs'!$B$29+'Inputs'!$B$31+'Inputs'!$B$32,'Inputs'!$B$30+'Inputs'!$B$31+'Inputs'!$B$32)/1000+'Inputs'!$B$21)+'Inputs'!$B$9)/SQRT((((68-43)*MAX('Inputs'!$B$33,'Inputs'!$B$29+'Inputs'!$B$31+'Inputs'!$B$32,'Inputs'!$B$30+'Inputs'!$B$31+'Inputs'!$B$32)/1000+'Inputs'!$B$21)+'Inputs'!$B$9)^2+('Inputs'!$B$8/2)^2)-(((68-43)*MAX('Inputs'!$B$33,'Inputs'!$B$29+'Inputs'!$B$31+'Inputs'!$B$32,'Inputs'!$B$30+'Inputs'!$B$31+'Inputs'!$B$32)/1000+'Inputs'!$B$21))/SQRT((((68-43)*MAX('Inputs'!$B$33,'Inputs'!$B$29+'Inputs'!$B$31+'Inputs'!$B$32,'Inputs'!$B$30+'Inputs'!$B$31+'Inputs'!$B$32)/1000+'Inputs'!$B$21))^2+('Inputs'!$B$8/2)^2)))-'Results'!B7*(1-'Inputs'!$B$24)*(0.5*((((68-43)*MAX('Inputs'!$B$33,'Inputs'!$B$29+'Inputs'!$B$31+'Inputs'!$B$32,'Inputs'!$B$30+'Inputs'!$B$31+'Inputs'!$B$32)/1000+'Inputs'!$B$21+'Inputs'!$B$9+'Inputs'!$B$10)+'Inputs'!$B$7)/SQRT((((68-43)*MAX('Inputs'!$B$33,'Inputs'!$B$29+'Inputs'!$B$31+'Inputs'!$B$32,'Inputs'!$B$30+'Inputs'!$B$31+'Inputs'!$B$32)/1000+'Inputs'!$B$21+'Inputs'!$B$9+'Inputs'!$B$10)+'Inputs'!$B$7)^2+('Inputs'!$B$6/2)^2)-(((68-43)*MAX('Inputs'!$B$33,'Inputs'!$B$29+'Inputs'!$B$31+'Inputs'!$B$32,'Inputs'!$B$30+'Inputs'!$B$31+'Inputs'!$B$32)/1000+'Inputs'!$B$21+'Inputs'!$B$9+'Inputs'!$B$10))/SQRT((((68-43)*MAX('Inputs'!$B$33,'Inputs'!$B$29+'Inputs'!$B$31+'Inputs'!$B$32,'Inputs'!$B$30+'Inputs'!$B$31+'Inputs'!$B$32)/1000+'Inputs'!$B$21+'Inputs'!$B$9+'Inputs'!$B$10))^2+('Inputs'!$B$6/2)^2))))*'Results'!$B$8))),"")</x:f>
        <x:v>1604.110187607037</x:v>
      </x:c>
      <x:c r="P68" t="n">
        <x:f>IF(AND(MAX(J68,J67)&gt;0,J68&gt;J67+0.00000001),1,0)</x:f>
        <x:v>0</x:v>
      </x:c>
      <x:c r="Q68" t="n">
        <x:f>IF(AND(MAX(K68,K67)&gt;0,K68&gt;K67+0.00000001),1,0)</x:f>
        <x:v>0</x:v>
      </x:c>
      <x:c r="R68" t="n">
        <x:f>IF(AND(MAX(L68,L67)&gt;0,L68&gt;L67+0.00000001),1,0)</x:f>
        <x:v>0</x:v>
      </x:c>
      <x:c r="S68" t="n">
        <x:f>IF(AND(MAX(M68,M67)&gt;0,M68&gt;M67+0.00000001),1,0)</x:f>
        <x:v>0</x:v>
      </x:c>
      <x:c r="T68" t="n">
        <x:f>IF(AND(MAX(N68,N67)&gt;0,N68&gt;N67+0.00000001),1,0)</x:f>
        <x:v>0</x:v>
      </x:c>
      <x:c r="U68" t="n">
        <x:f>IF(AND(MAX(O68,O67)&gt;0,O68&gt;O67+0.00000001),1,0)</x:f>
        <x:v>0</x:v>
      </x:c>
    </x:row>
    <x:row r="69">
      <x:c r="J69" t="n">
        <x:f>IF(AND(ISNUMBER('Results'!B7),ISNUMBER('Results'!C7),ISNUMBER('Results'!$B$8),ISNUMBER('Inputs'!$B$6),ISNUMBER('Inputs'!$B$7),ISNUMBER('Inputs'!$B$8),ISNUMBER('Inputs'!$B$9),ISNUMBER('Inputs'!$B$10),ISNUMBER('Inputs'!$B$21),ISNUMBER('Inputs'!$B$24),ISNUMBER('Inputs'!$B$28)),(('Results'!B7*(0.5*((((69-43)*MAX('Inputs'!$B$33,'Inputs'!$B$29+'Inputs'!$B$31+'Inputs'!$B$32,'Inputs'!$B$30+'Inputs'!$B$31+'Inputs'!$B$32)/1000+'Inputs'!$B$21)+'Inputs'!$B$7)/SQRT((((69-43)*MAX('Inputs'!$B$33,'Inputs'!$B$29+'Inputs'!$B$31+'Inputs'!$B$32,'Inputs'!$B$30+'Inputs'!$B$31+'Inputs'!$B$32)/1000+'Inputs'!$B$21)+'Inputs'!$B$7)^2+('Inputs'!$B$6/2)^2)-(((69-43)*MAX('Inputs'!$B$33,'Inputs'!$B$29+'Inputs'!$B$31+'Inputs'!$B$32,'Inputs'!$B$30+'Inputs'!$B$31+'Inputs'!$B$32)/1000+'Inputs'!$B$21))/SQRT((((69-43)*MAX('Inputs'!$B$33,'Inputs'!$B$29+'Inputs'!$B$31+'Inputs'!$B$32,'Inputs'!$B$30+'Inputs'!$B$31+'Inputs'!$B$32)/1000+'Inputs'!$B$21))^2+('Inputs'!$B$6/2)^2)))-'Results'!C7*(0.5*((((69-43)*MAX('Inputs'!$B$33,'Inputs'!$B$29+'Inputs'!$B$31+'Inputs'!$B$32,'Inputs'!$B$30+'Inputs'!$B$31+'Inputs'!$B$32)/1000+'Inputs'!$B$21+'Inputs'!$B$7+'Inputs'!$B$10)+'Inputs'!$B$9)/SQRT((((69-43)*MAX('Inputs'!$B$33,'Inputs'!$B$29+'Inputs'!$B$31+'Inputs'!$B$32,'Inputs'!$B$30+'Inputs'!$B$31+'Inputs'!$B$32)/1000+'Inputs'!$B$21+'Inputs'!$B$7+'Inputs'!$B$10)+'Inputs'!$B$9)^2+('Inputs'!$B$8/2)^2)-(((69-43)*MAX('Inputs'!$B$33,'Inputs'!$B$29+'Inputs'!$B$31+'Inputs'!$B$32,'Inputs'!$B$30+'Inputs'!$B$31+'Inputs'!$B$32)/1000+'Inputs'!$B$21+'Inputs'!$B$7+'Inputs'!$B$10))/SQRT((((69-43)*MAX('Inputs'!$B$33,'Inputs'!$B$29+'Inputs'!$B$31+'Inputs'!$B$32,'Inputs'!$B$30+'Inputs'!$B$31+'Inputs'!$B$32)/1000+'Inputs'!$B$21+'Inputs'!$B$7+'Inputs'!$B$10))^2+('Inputs'!$B$8/2)^2))))*'Results'!$B$8),"")</x:f>
        <x:v>1505.0471095930218</x:v>
      </x:c>
      <x:c r="K69" t="n">
        <x:f>IF(AND(ISNUMBER('Results'!B7),ISNUMBER('Results'!C7),ISNUMBER('Results'!$B$8),ISNUMBER('Inputs'!$B$6),ISNUMBER('Inputs'!$B$7),ISNUMBER('Inputs'!$B$8),ISNUMBER('Inputs'!$B$9),ISNUMBER('Inputs'!$B$10),ISNUMBER('Inputs'!$B$21),ISNUMBER('Inputs'!$B$24),ISNUMBER('Inputs'!$B$28)),((('Results'!B7*(1-'Inputs'!$B$24)*(0.5*((((69-43)*MAX('Inputs'!$B$33,'Inputs'!$B$29+'Inputs'!$B$31+'Inputs'!$B$32,'Inputs'!$B$30+'Inputs'!$B$31+'Inputs'!$B$32)/1000+'Inputs'!$B$21)+'Inputs'!$B$7)/SQRT((((69-43)*MAX('Inputs'!$B$33,'Inputs'!$B$29+'Inputs'!$B$31+'Inputs'!$B$32,'Inputs'!$B$30+'Inputs'!$B$31+'Inputs'!$B$32)/1000+'Inputs'!$B$21)+'Inputs'!$B$7)^2+('Inputs'!$B$6/2)^2)-(((69-43)*MAX('Inputs'!$B$33,'Inputs'!$B$29+'Inputs'!$B$31+'Inputs'!$B$32,'Inputs'!$B$30+'Inputs'!$B$31+'Inputs'!$B$32)/1000+'Inputs'!$B$21))/SQRT((((69-43)*MAX('Inputs'!$B$33,'Inputs'!$B$29+'Inputs'!$B$31+'Inputs'!$B$32,'Inputs'!$B$30+'Inputs'!$B$31+'Inputs'!$B$32)/1000+'Inputs'!$B$21))^2+('Inputs'!$B$6/2)^2)))-'Results'!C7*(1+'Inputs'!$B$24)*(0.5*((((69-43)*MAX('Inputs'!$B$33,'Inputs'!$B$29+'Inputs'!$B$31+'Inputs'!$B$32,'Inputs'!$B$30+'Inputs'!$B$31+'Inputs'!$B$32)/1000+'Inputs'!$B$21+'Inputs'!$B$7+'Inputs'!$B$10)+'Inputs'!$B$9)/SQRT((((69-43)*MAX('Inputs'!$B$33,'Inputs'!$B$29+'Inputs'!$B$31+'Inputs'!$B$32,'Inputs'!$B$30+'Inputs'!$B$31+'Inputs'!$B$32)/1000+'Inputs'!$B$21+'Inputs'!$B$7+'Inputs'!$B$10)+'Inputs'!$B$9)^2+('Inputs'!$B$8/2)^2)-(((69-43)*MAX('Inputs'!$B$33,'Inputs'!$B$29+'Inputs'!$B$31+'Inputs'!$B$32,'Inputs'!$B$30+'Inputs'!$B$31+'Inputs'!$B$32)/1000+'Inputs'!$B$21+'Inputs'!$B$7+'Inputs'!$B$10))/SQRT((((69-43)*MAX('Inputs'!$B$33,'Inputs'!$B$29+'Inputs'!$B$31+'Inputs'!$B$32,'Inputs'!$B$30+'Inputs'!$B$31+'Inputs'!$B$32)/1000+'Inputs'!$B$21+'Inputs'!$B$7+'Inputs'!$B$10))^2+('Inputs'!$B$8/2)^2))))*'Results'!$B$8)-'Inputs'!$B$28*ABS((('Results'!B7*(1-'Inputs'!$B$24)*(0.5*((((69-43)*MAX('Inputs'!$B$33,'Inputs'!$B$29+'Inputs'!$B$31+'Inputs'!$B$32,'Inputs'!$B$30+'Inputs'!$B$31+'Inputs'!$B$32)/1000+'Inputs'!$B$21)+'Inputs'!$B$7)/SQRT((((69-43)*MAX('Inputs'!$B$33,'Inputs'!$B$29+'Inputs'!$B$31+'Inputs'!$B$32,'Inputs'!$B$30+'Inputs'!$B$31+'Inputs'!$B$32)/1000+'Inputs'!$B$21)+'Inputs'!$B$7)^2+('Inputs'!$B$6/2)^2)-(((69-43)*MAX('Inputs'!$B$33,'Inputs'!$B$29+'Inputs'!$B$31+'Inputs'!$B$32,'Inputs'!$B$30+'Inputs'!$B$31+'Inputs'!$B$32)/1000+'Inputs'!$B$21))/SQRT((((69-43)*MAX('Inputs'!$B$33,'Inputs'!$B$29+'Inputs'!$B$31+'Inputs'!$B$32,'Inputs'!$B$30+'Inputs'!$B$31+'Inputs'!$B$32)/1000+'Inputs'!$B$21))^2+('Inputs'!$B$6/2)^2)))-'Results'!C7*(1+'Inputs'!$B$24)*(0.5*((((69-43)*MAX('Inputs'!$B$33,'Inputs'!$B$29+'Inputs'!$B$31+'Inputs'!$B$32,'Inputs'!$B$30+'Inputs'!$B$31+'Inputs'!$B$32)/1000+'Inputs'!$B$21+'Inputs'!$B$7+'Inputs'!$B$10)+'Inputs'!$B$9)/SQRT((((69-43)*MAX('Inputs'!$B$33,'Inputs'!$B$29+'Inputs'!$B$31+'Inputs'!$B$32,'Inputs'!$B$30+'Inputs'!$B$31+'Inputs'!$B$32)/1000+'Inputs'!$B$21+'Inputs'!$B$7+'Inputs'!$B$10)+'Inputs'!$B$9)^2+('Inputs'!$B$8/2)^2)-(((69-43)*MAX('Inputs'!$B$33,'Inputs'!$B$29+'Inputs'!$B$31+'Inputs'!$B$32,'Inputs'!$B$30+'Inputs'!$B$31+'Inputs'!$B$32)/1000+'Inputs'!$B$21+'Inputs'!$B$7+'Inputs'!$B$10))/SQRT((((69-43)*MAX('Inputs'!$B$33,'Inputs'!$B$29+'Inputs'!$B$31+'Inputs'!$B$32,'Inputs'!$B$30+'Inputs'!$B$31+'Inputs'!$B$32)/1000+'Inputs'!$B$21+'Inputs'!$B$7+'Inputs'!$B$10))^2+('Inputs'!$B$8/2)^2))))*'Results'!$B$8))),"")</x:f>
        <x:v>1392.4089756940587</x:v>
      </x:c>
      <x:c r="L69" t="n">
        <x:f>IF(AND(ISNUMBER('Results'!B7),ISNUMBER('Results'!C7),ISNUMBER('Results'!$B$8),ISNUMBER('Inputs'!$B$6),ISNUMBER('Inputs'!$B$7),ISNUMBER('Inputs'!$B$8),ISNUMBER('Inputs'!$B$9),ISNUMBER('Inputs'!$B$10),ISNUMBER('Inputs'!$B$21),ISNUMBER('Inputs'!$B$24),ISNUMBER('Inputs'!$B$28)),((('Results'!B7*(1+'Inputs'!$B$24)*(0.5*((((69-43)*MAX('Inputs'!$B$33,'Inputs'!$B$29+'Inputs'!$B$31+'Inputs'!$B$32,'Inputs'!$B$30+'Inputs'!$B$31+'Inputs'!$B$32)/1000+'Inputs'!$B$21)+'Inputs'!$B$7)/SQRT((((69-43)*MAX('Inputs'!$B$33,'Inputs'!$B$29+'Inputs'!$B$31+'Inputs'!$B$32,'Inputs'!$B$30+'Inputs'!$B$31+'Inputs'!$B$32)/1000+'Inputs'!$B$21)+'Inputs'!$B$7)^2+('Inputs'!$B$6/2)^2)-(((69-43)*MAX('Inputs'!$B$33,'Inputs'!$B$29+'Inputs'!$B$31+'Inputs'!$B$32,'Inputs'!$B$30+'Inputs'!$B$31+'Inputs'!$B$32)/1000+'Inputs'!$B$21))/SQRT((((69-43)*MAX('Inputs'!$B$33,'Inputs'!$B$29+'Inputs'!$B$31+'Inputs'!$B$32,'Inputs'!$B$30+'Inputs'!$B$31+'Inputs'!$B$32)/1000+'Inputs'!$B$21))^2+('Inputs'!$B$6/2)^2)))-'Results'!C7*(1-'Inputs'!$B$24)*(0.5*((((69-43)*MAX('Inputs'!$B$33,'Inputs'!$B$29+'Inputs'!$B$31+'Inputs'!$B$32,'Inputs'!$B$30+'Inputs'!$B$31+'Inputs'!$B$32)/1000+'Inputs'!$B$21+'Inputs'!$B$7+'Inputs'!$B$10)+'Inputs'!$B$9)/SQRT((((69-43)*MAX('Inputs'!$B$33,'Inputs'!$B$29+'Inputs'!$B$31+'Inputs'!$B$32,'Inputs'!$B$30+'Inputs'!$B$31+'Inputs'!$B$32)/1000+'Inputs'!$B$21+'Inputs'!$B$7+'Inputs'!$B$10)+'Inputs'!$B$9)^2+('Inputs'!$B$8/2)^2)-(((69-43)*MAX('Inputs'!$B$33,'Inputs'!$B$29+'Inputs'!$B$31+'Inputs'!$B$32,'Inputs'!$B$30+'Inputs'!$B$31+'Inputs'!$B$32)/1000+'Inputs'!$B$21+'Inputs'!$B$7+'Inputs'!$B$10))/SQRT((((69-43)*MAX('Inputs'!$B$33,'Inputs'!$B$29+'Inputs'!$B$31+'Inputs'!$B$32,'Inputs'!$B$30+'Inputs'!$B$31+'Inputs'!$B$32)/1000+'Inputs'!$B$21+'Inputs'!$B$7+'Inputs'!$B$10))^2+('Inputs'!$B$8/2)^2))))*'Results'!$B$8)+'Inputs'!$B$28*ABS((('Results'!B7*(1+'Inputs'!$B$24)*(0.5*((((69-43)*MAX('Inputs'!$B$33,'Inputs'!$B$29+'Inputs'!$B$31+'Inputs'!$B$32,'Inputs'!$B$30+'Inputs'!$B$31+'Inputs'!$B$32)/1000+'Inputs'!$B$21)+'Inputs'!$B$7)/SQRT((((69-43)*MAX('Inputs'!$B$33,'Inputs'!$B$29+'Inputs'!$B$31+'Inputs'!$B$32,'Inputs'!$B$30+'Inputs'!$B$31+'Inputs'!$B$32)/1000+'Inputs'!$B$21)+'Inputs'!$B$7)^2+('Inputs'!$B$6/2)^2)-(((69-43)*MAX('Inputs'!$B$33,'Inputs'!$B$29+'Inputs'!$B$31+'Inputs'!$B$32,'Inputs'!$B$30+'Inputs'!$B$31+'Inputs'!$B$32)/1000+'Inputs'!$B$21))/SQRT((((69-43)*MAX('Inputs'!$B$33,'Inputs'!$B$29+'Inputs'!$B$31+'Inputs'!$B$32,'Inputs'!$B$30+'Inputs'!$B$31+'Inputs'!$B$32)/1000+'Inputs'!$B$21))^2+('Inputs'!$B$6/2)^2)))-'Results'!C7*(1-'Inputs'!$B$24)*(0.5*((((69-43)*MAX('Inputs'!$B$33,'Inputs'!$B$29+'Inputs'!$B$31+'Inputs'!$B$32,'Inputs'!$B$30+'Inputs'!$B$31+'Inputs'!$B$32)/1000+'Inputs'!$B$21+'Inputs'!$B$7+'Inputs'!$B$10)+'Inputs'!$B$9)/SQRT((((69-43)*MAX('Inputs'!$B$33,'Inputs'!$B$29+'Inputs'!$B$31+'Inputs'!$B$32,'Inputs'!$B$30+'Inputs'!$B$31+'Inputs'!$B$32)/1000+'Inputs'!$B$21+'Inputs'!$B$7+'Inputs'!$B$10)+'Inputs'!$B$9)^2+('Inputs'!$B$8/2)^2)-(((69-43)*MAX('Inputs'!$B$33,'Inputs'!$B$29+'Inputs'!$B$31+'Inputs'!$B$32,'Inputs'!$B$30+'Inputs'!$B$31+'Inputs'!$B$32)/1000+'Inputs'!$B$21+'Inputs'!$B$7+'Inputs'!$B$10))/SQRT((((69-43)*MAX('Inputs'!$B$33,'Inputs'!$B$29+'Inputs'!$B$31+'Inputs'!$B$32,'Inputs'!$B$30+'Inputs'!$B$31+'Inputs'!$B$32)/1000+'Inputs'!$B$21+'Inputs'!$B$7+'Inputs'!$B$10))^2+('Inputs'!$B$8/2)^2))))*'Results'!$B$8))),"")</x:f>
        <x:v>1621.6205885887543</x:v>
      </x:c>
      <x:c r="M69" t="n">
        <x:f>IF(AND(ISNUMBER('Results'!C7),ISNUMBER('Results'!B7),ISNUMBER('Results'!$B$8),ISNUMBER('Inputs'!$B$6),ISNUMBER('Inputs'!$B$7),ISNUMBER('Inputs'!$B$8),ISNUMBER('Inputs'!$B$9),ISNUMBER('Inputs'!$B$10),ISNUMBER('Inputs'!$B$21),ISNUMBER('Inputs'!$B$24),ISNUMBER('Inputs'!$B$28)),(('Results'!C7*(0.5*((((69-43)*MAX('Inputs'!$B$33,'Inputs'!$B$29+'Inputs'!$B$31+'Inputs'!$B$32,'Inputs'!$B$30+'Inputs'!$B$31+'Inputs'!$B$32)/1000+'Inputs'!$B$21)+'Inputs'!$B$9)/SQRT((((69-43)*MAX('Inputs'!$B$33,'Inputs'!$B$29+'Inputs'!$B$31+'Inputs'!$B$32,'Inputs'!$B$30+'Inputs'!$B$31+'Inputs'!$B$32)/1000+'Inputs'!$B$21)+'Inputs'!$B$9)^2+('Inputs'!$B$8/2)^2)-(((69-43)*MAX('Inputs'!$B$33,'Inputs'!$B$29+'Inputs'!$B$31+'Inputs'!$B$32,'Inputs'!$B$30+'Inputs'!$B$31+'Inputs'!$B$32)/1000+'Inputs'!$B$21))/SQRT((((69-43)*MAX('Inputs'!$B$33,'Inputs'!$B$29+'Inputs'!$B$31+'Inputs'!$B$32,'Inputs'!$B$30+'Inputs'!$B$31+'Inputs'!$B$32)/1000+'Inputs'!$B$21))^2+('Inputs'!$B$8/2)^2)))-'Results'!B7*(0.5*((((69-43)*MAX('Inputs'!$B$33,'Inputs'!$B$29+'Inputs'!$B$31+'Inputs'!$B$32,'Inputs'!$B$30+'Inputs'!$B$31+'Inputs'!$B$32)/1000+'Inputs'!$B$21+'Inputs'!$B$9+'Inputs'!$B$10)+'Inputs'!$B$7)/SQRT((((69-43)*MAX('Inputs'!$B$33,'Inputs'!$B$29+'Inputs'!$B$31+'Inputs'!$B$32,'Inputs'!$B$30+'Inputs'!$B$31+'Inputs'!$B$32)/1000+'Inputs'!$B$21+'Inputs'!$B$9+'Inputs'!$B$10)+'Inputs'!$B$7)^2+('Inputs'!$B$6/2)^2)-(((69-43)*MAX('Inputs'!$B$33,'Inputs'!$B$29+'Inputs'!$B$31+'Inputs'!$B$32,'Inputs'!$B$30+'Inputs'!$B$31+'Inputs'!$B$32)/1000+'Inputs'!$B$21+'Inputs'!$B$9+'Inputs'!$B$10))/SQRT((((69-43)*MAX('Inputs'!$B$33,'Inputs'!$B$29+'Inputs'!$B$31+'Inputs'!$B$32,'Inputs'!$B$30+'Inputs'!$B$31+'Inputs'!$B$32)/1000+'Inputs'!$B$21+'Inputs'!$B$9+'Inputs'!$B$10))^2+('Inputs'!$B$6/2)^2))))*'Results'!$B$8),"")</x:f>
        <x:v>1465.5992452704693</x:v>
      </x:c>
      <x:c r="N69" t="n">
        <x:f>IF(AND(ISNUMBER('Results'!C7),ISNUMBER('Results'!B7),ISNUMBER('Results'!$B$8),ISNUMBER('Inputs'!$B$6),ISNUMBER('Inputs'!$B$7),ISNUMBER('Inputs'!$B$8),ISNUMBER('Inputs'!$B$9),ISNUMBER('Inputs'!$B$10),ISNUMBER('Inputs'!$B$21),ISNUMBER('Inputs'!$B$24),ISNUMBER('Inputs'!$B$28)),((('Results'!C7*(1-'Inputs'!$B$24)*(0.5*((((69-43)*MAX('Inputs'!$B$33,'Inputs'!$B$29+'Inputs'!$B$31+'Inputs'!$B$32,'Inputs'!$B$30+'Inputs'!$B$31+'Inputs'!$B$32)/1000+'Inputs'!$B$21)+'Inputs'!$B$9)/SQRT((((69-43)*MAX('Inputs'!$B$33,'Inputs'!$B$29+'Inputs'!$B$31+'Inputs'!$B$32,'Inputs'!$B$30+'Inputs'!$B$31+'Inputs'!$B$32)/1000+'Inputs'!$B$21)+'Inputs'!$B$9)^2+('Inputs'!$B$8/2)^2)-(((69-43)*MAX('Inputs'!$B$33,'Inputs'!$B$29+'Inputs'!$B$31+'Inputs'!$B$32,'Inputs'!$B$30+'Inputs'!$B$31+'Inputs'!$B$32)/1000+'Inputs'!$B$21))/SQRT((((69-43)*MAX('Inputs'!$B$33,'Inputs'!$B$29+'Inputs'!$B$31+'Inputs'!$B$32,'Inputs'!$B$30+'Inputs'!$B$31+'Inputs'!$B$32)/1000+'Inputs'!$B$21))^2+('Inputs'!$B$8/2)^2)))-'Results'!B7*(1+'Inputs'!$B$24)*(0.5*((((69-43)*MAX('Inputs'!$B$33,'Inputs'!$B$29+'Inputs'!$B$31+'Inputs'!$B$32,'Inputs'!$B$30+'Inputs'!$B$31+'Inputs'!$B$32)/1000+'Inputs'!$B$21+'Inputs'!$B$9+'Inputs'!$B$10)+'Inputs'!$B$7)/SQRT((((69-43)*MAX('Inputs'!$B$33,'Inputs'!$B$29+'Inputs'!$B$31+'Inputs'!$B$32,'Inputs'!$B$30+'Inputs'!$B$31+'Inputs'!$B$32)/1000+'Inputs'!$B$21+'Inputs'!$B$9+'Inputs'!$B$10)+'Inputs'!$B$7)^2+('Inputs'!$B$6/2)^2)-(((69-43)*MAX('Inputs'!$B$33,'Inputs'!$B$29+'Inputs'!$B$31+'Inputs'!$B$32,'Inputs'!$B$30+'Inputs'!$B$31+'Inputs'!$B$32)/1000+'Inputs'!$B$21+'Inputs'!$B$9+'Inputs'!$B$10))/SQRT((((69-43)*MAX('Inputs'!$B$33,'Inputs'!$B$29+'Inputs'!$B$31+'Inputs'!$B$32,'Inputs'!$B$30+'Inputs'!$B$31+'Inputs'!$B$32)/1000+'Inputs'!$B$21+'Inputs'!$B$9+'Inputs'!$B$10))^2+('Inputs'!$B$6/2)^2))))*'Results'!$B$8)-'Inputs'!$B$28*ABS((('Results'!C7*(1-'Inputs'!$B$24)*(0.5*((((69-43)*MAX('Inputs'!$B$33,'Inputs'!$B$29+'Inputs'!$B$31+'Inputs'!$B$32,'Inputs'!$B$30+'Inputs'!$B$31+'Inputs'!$B$32)/1000+'Inputs'!$B$21)+'Inputs'!$B$9)/SQRT((((69-43)*MAX('Inputs'!$B$33,'Inputs'!$B$29+'Inputs'!$B$31+'Inputs'!$B$32,'Inputs'!$B$30+'Inputs'!$B$31+'Inputs'!$B$32)/1000+'Inputs'!$B$21)+'Inputs'!$B$9)^2+('Inputs'!$B$8/2)^2)-(((69-43)*MAX('Inputs'!$B$33,'Inputs'!$B$29+'Inputs'!$B$31+'Inputs'!$B$32,'Inputs'!$B$30+'Inputs'!$B$31+'Inputs'!$B$32)/1000+'Inputs'!$B$21))/SQRT((((69-43)*MAX('Inputs'!$B$33,'Inputs'!$B$29+'Inputs'!$B$31+'Inputs'!$B$32,'Inputs'!$B$30+'Inputs'!$B$31+'Inputs'!$B$32)/1000+'Inputs'!$B$21))^2+('Inputs'!$B$8/2)^2)))-'Results'!B7*(1+'Inputs'!$B$24)*(0.5*((((69-43)*MAX('Inputs'!$B$33,'Inputs'!$B$29+'Inputs'!$B$31+'Inputs'!$B$32,'Inputs'!$B$30+'Inputs'!$B$31+'Inputs'!$B$32)/1000+'Inputs'!$B$21+'Inputs'!$B$9+'Inputs'!$B$10)+'Inputs'!$B$7)/SQRT((((69-43)*MAX('Inputs'!$B$33,'Inputs'!$B$29+'Inputs'!$B$31+'Inputs'!$B$32,'Inputs'!$B$30+'Inputs'!$B$31+'Inputs'!$B$32)/1000+'Inputs'!$B$21+'Inputs'!$B$9+'Inputs'!$B$10)+'Inputs'!$B$7)^2+('Inputs'!$B$6/2)^2)-(((69-43)*MAX('Inputs'!$B$33,'Inputs'!$B$29+'Inputs'!$B$31+'Inputs'!$B$32,'Inputs'!$B$30+'Inputs'!$B$31+'Inputs'!$B$32)/1000+'Inputs'!$B$21+'Inputs'!$B$9+'Inputs'!$B$10))/SQRT((((69-43)*MAX('Inputs'!$B$33,'Inputs'!$B$29+'Inputs'!$B$31+'Inputs'!$B$32,'Inputs'!$B$30+'Inputs'!$B$31+'Inputs'!$B$32)/1000+'Inputs'!$B$21+'Inputs'!$B$9+'Inputs'!$B$10))^2+('Inputs'!$B$6/2)^2))))*'Results'!$B$8))),"")</x:f>
        <x:v>1355.5036286355369</x:v>
      </x:c>
      <x:c r="O69" t="n">
        <x:f>IF(AND(ISNUMBER('Results'!C7),ISNUMBER('Results'!B7),ISNUMBER('Results'!$B$8),ISNUMBER('Inputs'!$B$6),ISNUMBER('Inputs'!$B$7),ISNUMBER('Inputs'!$B$8),ISNUMBER('Inputs'!$B$9),ISNUMBER('Inputs'!$B$10),ISNUMBER('Inputs'!$B$21),ISNUMBER('Inputs'!$B$24),ISNUMBER('Inputs'!$B$28)),((('Results'!C7*(1+'Inputs'!$B$24)*(0.5*((((69-43)*MAX('Inputs'!$B$33,'Inputs'!$B$29+'Inputs'!$B$31+'Inputs'!$B$32,'Inputs'!$B$30+'Inputs'!$B$31+'Inputs'!$B$32)/1000+'Inputs'!$B$21)+'Inputs'!$B$9)/SQRT((((69-43)*MAX('Inputs'!$B$33,'Inputs'!$B$29+'Inputs'!$B$31+'Inputs'!$B$32,'Inputs'!$B$30+'Inputs'!$B$31+'Inputs'!$B$32)/1000+'Inputs'!$B$21)+'Inputs'!$B$9)^2+('Inputs'!$B$8/2)^2)-(((69-43)*MAX('Inputs'!$B$33,'Inputs'!$B$29+'Inputs'!$B$31+'Inputs'!$B$32,'Inputs'!$B$30+'Inputs'!$B$31+'Inputs'!$B$32)/1000+'Inputs'!$B$21))/SQRT((((69-43)*MAX('Inputs'!$B$33,'Inputs'!$B$29+'Inputs'!$B$31+'Inputs'!$B$32,'Inputs'!$B$30+'Inputs'!$B$31+'Inputs'!$B$32)/1000+'Inputs'!$B$21))^2+('Inputs'!$B$8/2)^2)))-'Results'!B7*(1-'Inputs'!$B$24)*(0.5*((((69-43)*MAX('Inputs'!$B$33,'Inputs'!$B$29+'Inputs'!$B$31+'Inputs'!$B$32,'Inputs'!$B$30+'Inputs'!$B$31+'Inputs'!$B$32)/1000+'Inputs'!$B$21+'Inputs'!$B$9+'Inputs'!$B$10)+'Inputs'!$B$7)/SQRT((((69-43)*MAX('Inputs'!$B$33,'Inputs'!$B$29+'Inputs'!$B$31+'Inputs'!$B$32,'Inputs'!$B$30+'Inputs'!$B$31+'Inputs'!$B$32)/1000+'Inputs'!$B$21+'Inputs'!$B$9+'Inputs'!$B$10)+'Inputs'!$B$7)^2+('Inputs'!$B$6/2)^2)-(((69-43)*MAX('Inputs'!$B$33,'Inputs'!$B$29+'Inputs'!$B$31+'Inputs'!$B$32,'Inputs'!$B$30+'Inputs'!$B$31+'Inputs'!$B$32)/1000+'Inputs'!$B$21+'Inputs'!$B$9+'Inputs'!$B$10))/SQRT((((69-43)*MAX('Inputs'!$B$33,'Inputs'!$B$29+'Inputs'!$B$31+'Inputs'!$B$32,'Inputs'!$B$30+'Inputs'!$B$31+'Inputs'!$B$32)/1000+'Inputs'!$B$21+'Inputs'!$B$9+'Inputs'!$B$10))^2+('Inputs'!$B$6/2)^2))))*'Results'!$B$8)+'Inputs'!$B$28*ABS((('Results'!C7*(1+'Inputs'!$B$24)*(0.5*((((69-43)*MAX('Inputs'!$B$33,'Inputs'!$B$29+'Inputs'!$B$31+'Inputs'!$B$32,'Inputs'!$B$30+'Inputs'!$B$31+'Inputs'!$B$32)/1000+'Inputs'!$B$21)+'Inputs'!$B$9)/SQRT((((69-43)*MAX('Inputs'!$B$33,'Inputs'!$B$29+'Inputs'!$B$31+'Inputs'!$B$32,'Inputs'!$B$30+'Inputs'!$B$31+'Inputs'!$B$32)/1000+'Inputs'!$B$21)+'Inputs'!$B$9)^2+('Inputs'!$B$8/2)^2)-(((69-43)*MAX('Inputs'!$B$33,'Inputs'!$B$29+'Inputs'!$B$31+'Inputs'!$B$32,'Inputs'!$B$30+'Inputs'!$B$31+'Inputs'!$B$32)/1000+'Inputs'!$B$21))/SQRT((((69-43)*MAX('Inputs'!$B$33,'Inputs'!$B$29+'Inputs'!$B$31+'Inputs'!$B$32,'Inputs'!$B$30+'Inputs'!$B$31+'Inputs'!$B$32)/1000+'Inputs'!$B$21))^2+('Inputs'!$B$8/2)^2)))-'Results'!B7*(1-'Inputs'!$B$24)*(0.5*((((69-43)*MAX('Inputs'!$B$33,'Inputs'!$B$29+'Inputs'!$B$31+'Inputs'!$B$32,'Inputs'!$B$30+'Inputs'!$B$31+'Inputs'!$B$32)/1000+'Inputs'!$B$21+'Inputs'!$B$9+'Inputs'!$B$10)+'Inputs'!$B$7)/SQRT((((69-43)*MAX('Inputs'!$B$33,'Inputs'!$B$29+'Inputs'!$B$31+'Inputs'!$B$32,'Inputs'!$B$30+'Inputs'!$B$31+'Inputs'!$B$32)/1000+'Inputs'!$B$21+'Inputs'!$B$9+'Inputs'!$B$10)+'Inputs'!$B$7)^2+('Inputs'!$B$6/2)^2)-(((69-43)*MAX('Inputs'!$B$33,'Inputs'!$B$29+'Inputs'!$B$31+'Inputs'!$B$32,'Inputs'!$B$30+'Inputs'!$B$31+'Inputs'!$B$32)/1000+'Inputs'!$B$21+'Inputs'!$B$9+'Inputs'!$B$10))/SQRT((((69-43)*MAX('Inputs'!$B$33,'Inputs'!$B$29+'Inputs'!$B$31+'Inputs'!$B$32,'Inputs'!$B$30+'Inputs'!$B$31+'Inputs'!$B$32)/1000+'Inputs'!$B$21+'Inputs'!$B$9+'Inputs'!$B$10))^2+('Inputs'!$B$6/2)^2))))*'Results'!$B$8))),"")</x:f>
        <x:v>1579.5701939444973</x:v>
      </x:c>
      <x:c r="P69" t="n">
        <x:f>IF(AND(MAX(J69,J68)&gt;0,J69&gt;J68+0.00000001),1,0)</x:f>
        <x:v>0</x:v>
      </x:c>
      <x:c r="Q69" t="n">
        <x:f>IF(AND(MAX(K69,K68)&gt;0,K69&gt;K68+0.00000001),1,0)</x:f>
        <x:v>0</x:v>
      </x:c>
      <x:c r="R69" t="n">
        <x:f>IF(AND(MAX(L69,L68)&gt;0,L69&gt;L68+0.00000001),1,0)</x:f>
        <x:v>0</x:v>
      </x:c>
      <x:c r="S69" t="n">
        <x:f>IF(AND(MAX(M69,M68)&gt;0,M69&gt;M68+0.00000001),1,0)</x:f>
        <x:v>0</x:v>
      </x:c>
      <x:c r="T69" t="n">
        <x:f>IF(AND(MAX(N69,N68)&gt;0,N69&gt;N68+0.00000001),1,0)</x:f>
        <x:v>0</x:v>
      </x:c>
      <x:c r="U69" t="n">
        <x:f>IF(AND(MAX(O69,O68)&gt;0,O69&gt;O68+0.00000001),1,0)</x:f>
        <x:v>0</x:v>
      </x:c>
    </x:row>
    <x:row r="70">
      <x:c r="J70" t="n">
        <x:f>IF(AND(ISNUMBER('Results'!B7),ISNUMBER('Results'!C7),ISNUMBER('Results'!$B$8),ISNUMBER('Inputs'!$B$6),ISNUMBER('Inputs'!$B$7),ISNUMBER('Inputs'!$B$8),ISNUMBER('Inputs'!$B$9),ISNUMBER('Inputs'!$B$10),ISNUMBER('Inputs'!$B$21),ISNUMBER('Inputs'!$B$24),ISNUMBER('Inputs'!$B$28)),(('Results'!B7*(0.5*((((70-43)*MAX('Inputs'!$B$33,'Inputs'!$B$29+'Inputs'!$B$31+'Inputs'!$B$32,'Inputs'!$B$30+'Inputs'!$B$31+'Inputs'!$B$32)/1000+'Inputs'!$B$21)+'Inputs'!$B$7)/SQRT((((70-43)*MAX('Inputs'!$B$33,'Inputs'!$B$29+'Inputs'!$B$31+'Inputs'!$B$32,'Inputs'!$B$30+'Inputs'!$B$31+'Inputs'!$B$32)/1000+'Inputs'!$B$21)+'Inputs'!$B$7)^2+('Inputs'!$B$6/2)^2)-(((70-43)*MAX('Inputs'!$B$33,'Inputs'!$B$29+'Inputs'!$B$31+'Inputs'!$B$32,'Inputs'!$B$30+'Inputs'!$B$31+'Inputs'!$B$32)/1000+'Inputs'!$B$21))/SQRT((((70-43)*MAX('Inputs'!$B$33,'Inputs'!$B$29+'Inputs'!$B$31+'Inputs'!$B$32,'Inputs'!$B$30+'Inputs'!$B$31+'Inputs'!$B$32)/1000+'Inputs'!$B$21))^2+('Inputs'!$B$6/2)^2)))-'Results'!C7*(0.5*((((70-43)*MAX('Inputs'!$B$33,'Inputs'!$B$29+'Inputs'!$B$31+'Inputs'!$B$32,'Inputs'!$B$30+'Inputs'!$B$31+'Inputs'!$B$32)/1000+'Inputs'!$B$21+'Inputs'!$B$7+'Inputs'!$B$10)+'Inputs'!$B$9)/SQRT((((70-43)*MAX('Inputs'!$B$33,'Inputs'!$B$29+'Inputs'!$B$31+'Inputs'!$B$32,'Inputs'!$B$30+'Inputs'!$B$31+'Inputs'!$B$32)/1000+'Inputs'!$B$21+'Inputs'!$B$7+'Inputs'!$B$10)+'Inputs'!$B$9)^2+('Inputs'!$B$8/2)^2)-(((70-43)*MAX('Inputs'!$B$33,'Inputs'!$B$29+'Inputs'!$B$31+'Inputs'!$B$32,'Inputs'!$B$30+'Inputs'!$B$31+'Inputs'!$B$32)/1000+'Inputs'!$B$21+'Inputs'!$B$7+'Inputs'!$B$10))/SQRT((((70-43)*MAX('Inputs'!$B$33,'Inputs'!$B$29+'Inputs'!$B$31+'Inputs'!$B$32,'Inputs'!$B$30+'Inputs'!$B$31+'Inputs'!$B$32)/1000+'Inputs'!$B$21+'Inputs'!$B$7+'Inputs'!$B$10))^2+('Inputs'!$B$8/2)^2))))*'Results'!$B$8),"")</x:f>
        <x:v>1481.6727811107276</x:v>
      </x:c>
      <x:c r="K70" t="n">
        <x:f>IF(AND(ISNUMBER('Results'!B7),ISNUMBER('Results'!C7),ISNUMBER('Results'!$B$8),ISNUMBER('Inputs'!$B$6),ISNUMBER('Inputs'!$B$7),ISNUMBER('Inputs'!$B$8),ISNUMBER('Inputs'!$B$9),ISNUMBER('Inputs'!$B$10),ISNUMBER('Inputs'!$B$21),ISNUMBER('Inputs'!$B$24),ISNUMBER('Inputs'!$B$28)),((('Results'!B7*(1-'Inputs'!$B$24)*(0.5*((((70-43)*MAX('Inputs'!$B$33,'Inputs'!$B$29+'Inputs'!$B$31+'Inputs'!$B$32,'Inputs'!$B$30+'Inputs'!$B$31+'Inputs'!$B$32)/1000+'Inputs'!$B$21)+'Inputs'!$B$7)/SQRT((((70-43)*MAX('Inputs'!$B$33,'Inputs'!$B$29+'Inputs'!$B$31+'Inputs'!$B$32,'Inputs'!$B$30+'Inputs'!$B$31+'Inputs'!$B$32)/1000+'Inputs'!$B$21)+'Inputs'!$B$7)^2+('Inputs'!$B$6/2)^2)-(((70-43)*MAX('Inputs'!$B$33,'Inputs'!$B$29+'Inputs'!$B$31+'Inputs'!$B$32,'Inputs'!$B$30+'Inputs'!$B$31+'Inputs'!$B$32)/1000+'Inputs'!$B$21))/SQRT((((70-43)*MAX('Inputs'!$B$33,'Inputs'!$B$29+'Inputs'!$B$31+'Inputs'!$B$32,'Inputs'!$B$30+'Inputs'!$B$31+'Inputs'!$B$32)/1000+'Inputs'!$B$21))^2+('Inputs'!$B$6/2)^2)))-'Results'!C7*(1+'Inputs'!$B$24)*(0.5*((((70-43)*MAX('Inputs'!$B$33,'Inputs'!$B$29+'Inputs'!$B$31+'Inputs'!$B$32,'Inputs'!$B$30+'Inputs'!$B$31+'Inputs'!$B$32)/1000+'Inputs'!$B$21+'Inputs'!$B$7+'Inputs'!$B$10)+'Inputs'!$B$9)/SQRT((((70-43)*MAX('Inputs'!$B$33,'Inputs'!$B$29+'Inputs'!$B$31+'Inputs'!$B$32,'Inputs'!$B$30+'Inputs'!$B$31+'Inputs'!$B$32)/1000+'Inputs'!$B$21+'Inputs'!$B$7+'Inputs'!$B$10)+'Inputs'!$B$9)^2+('Inputs'!$B$8/2)^2)-(((70-43)*MAX('Inputs'!$B$33,'Inputs'!$B$29+'Inputs'!$B$31+'Inputs'!$B$32,'Inputs'!$B$30+'Inputs'!$B$31+'Inputs'!$B$32)/1000+'Inputs'!$B$21+'Inputs'!$B$7+'Inputs'!$B$10))/SQRT((((70-43)*MAX('Inputs'!$B$33,'Inputs'!$B$29+'Inputs'!$B$31+'Inputs'!$B$32,'Inputs'!$B$30+'Inputs'!$B$31+'Inputs'!$B$32)/1000+'Inputs'!$B$21+'Inputs'!$B$7+'Inputs'!$B$10))^2+('Inputs'!$B$8/2)^2))))*'Results'!$B$8)-'Inputs'!$B$28*ABS((('Results'!B7*(1-'Inputs'!$B$24)*(0.5*((((70-43)*MAX('Inputs'!$B$33,'Inputs'!$B$29+'Inputs'!$B$31+'Inputs'!$B$32,'Inputs'!$B$30+'Inputs'!$B$31+'Inputs'!$B$32)/1000+'Inputs'!$B$21)+'Inputs'!$B$7)/SQRT((((70-43)*MAX('Inputs'!$B$33,'Inputs'!$B$29+'Inputs'!$B$31+'Inputs'!$B$32,'Inputs'!$B$30+'Inputs'!$B$31+'Inputs'!$B$32)/1000+'Inputs'!$B$21)+'Inputs'!$B$7)^2+('Inputs'!$B$6/2)^2)-(((70-43)*MAX('Inputs'!$B$33,'Inputs'!$B$29+'Inputs'!$B$31+'Inputs'!$B$32,'Inputs'!$B$30+'Inputs'!$B$31+'Inputs'!$B$32)/1000+'Inputs'!$B$21))/SQRT((((70-43)*MAX('Inputs'!$B$33,'Inputs'!$B$29+'Inputs'!$B$31+'Inputs'!$B$32,'Inputs'!$B$30+'Inputs'!$B$31+'Inputs'!$B$32)/1000+'Inputs'!$B$21))^2+('Inputs'!$B$6/2)^2)))-'Results'!C7*(1+'Inputs'!$B$24)*(0.5*((((70-43)*MAX('Inputs'!$B$33,'Inputs'!$B$29+'Inputs'!$B$31+'Inputs'!$B$32,'Inputs'!$B$30+'Inputs'!$B$31+'Inputs'!$B$32)/1000+'Inputs'!$B$21+'Inputs'!$B$7+'Inputs'!$B$10)+'Inputs'!$B$9)/SQRT((((70-43)*MAX('Inputs'!$B$33,'Inputs'!$B$29+'Inputs'!$B$31+'Inputs'!$B$32,'Inputs'!$B$30+'Inputs'!$B$31+'Inputs'!$B$32)/1000+'Inputs'!$B$21+'Inputs'!$B$7+'Inputs'!$B$10)+'Inputs'!$B$9)^2+('Inputs'!$B$8/2)^2)-(((70-43)*MAX('Inputs'!$B$33,'Inputs'!$B$29+'Inputs'!$B$31+'Inputs'!$B$32,'Inputs'!$B$30+'Inputs'!$B$31+'Inputs'!$B$32)/1000+'Inputs'!$B$21+'Inputs'!$B$7+'Inputs'!$B$10))/SQRT((((70-43)*MAX('Inputs'!$B$33,'Inputs'!$B$29+'Inputs'!$B$31+'Inputs'!$B$32,'Inputs'!$B$30+'Inputs'!$B$31+'Inputs'!$B$32)/1000+'Inputs'!$B$21+'Inputs'!$B$7+'Inputs'!$B$10))^2+('Inputs'!$B$8/2)^2))))*'Results'!$B$8))),"")</x:f>
        <x:v>1370.779312943867</x:v>
      </x:c>
      <x:c r="L70" t="n">
        <x:f>IF(AND(ISNUMBER('Results'!B7),ISNUMBER('Results'!C7),ISNUMBER('Results'!$B$8),ISNUMBER('Inputs'!$B$6),ISNUMBER('Inputs'!$B$7),ISNUMBER('Inputs'!$B$8),ISNUMBER('Inputs'!$B$9),ISNUMBER('Inputs'!$B$10),ISNUMBER('Inputs'!$B$21),ISNUMBER('Inputs'!$B$24),ISNUMBER('Inputs'!$B$28)),((('Results'!B7*(1+'Inputs'!$B$24)*(0.5*((((70-43)*MAX('Inputs'!$B$33,'Inputs'!$B$29+'Inputs'!$B$31+'Inputs'!$B$32,'Inputs'!$B$30+'Inputs'!$B$31+'Inputs'!$B$32)/1000+'Inputs'!$B$21)+'Inputs'!$B$7)/SQRT((((70-43)*MAX('Inputs'!$B$33,'Inputs'!$B$29+'Inputs'!$B$31+'Inputs'!$B$32,'Inputs'!$B$30+'Inputs'!$B$31+'Inputs'!$B$32)/1000+'Inputs'!$B$21)+'Inputs'!$B$7)^2+('Inputs'!$B$6/2)^2)-(((70-43)*MAX('Inputs'!$B$33,'Inputs'!$B$29+'Inputs'!$B$31+'Inputs'!$B$32,'Inputs'!$B$30+'Inputs'!$B$31+'Inputs'!$B$32)/1000+'Inputs'!$B$21))/SQRT((((70-43)*MAX('Inputs'!$B$33,'Inputs'!$B$29+'Inputs'!$B$31+'Inputs'!$B$32,'Inputs'!$B$30+'Inputs'!$B$31+'Inputs'!$B$32)/1000+'Inputs'!$B$21))^2+('Inputs'!$B$6/2)^2)))-'Results'!C7*(1-'Inputs'!$B$24)*(0.5*((((70-43)*MAX('Inputs'!$B$33,'Inputs'!$B$29+'Inputs'!$B$31+'Inputs'!$B$32,'Inputs'!$B$30+'Inputs'!$B$31+'Inputs'!$B$32)/1000+'Inputs'!$B$21+'Inputs'!$B$7+'Inputs'!$B$10)+'Inputs'!$B$9)/SQRT((((70-43)*MAX('Inputs'!$B$33,'Inputs'!$B$29+'Inputs'!$B$31+'Inputs'!$B$32,'Inputs'!$B$30+'Inputs'!$B$31+'Inputs'!$B$32)/1000+'Inputs'!$B$21+'Inputs'!$B$7+'Inputs'!$B$10)+'Inputs'!$B$9)^2+('Inputs'!$B$8/2)^2)-(((70-43)*MAX('Inputs'!$B$33,'Inputs'!$B$29+'Inputs'!$B$31+'Inputs'!$B$32,'Inputs'!$B$30+'Inputs'!$B$31+'Inputs'!$B$32)/1000+'Inputs'!$B$21+'Inputs'!$B$7+'Inputs'!$B$10))/SQRT((((70-43)*MAX('Inputs'!$B$33,'Inputs'!$B$29+'Inputs'!$B$31+'Inputs'!$B$32,'Inputs'!$B$30+'Inputs'!$B$31+'Inputs'!$B$32)/1000+'Inputs'!$B$21+'Inputs'!$B$7+'Inputs'!$B$10))^2+('Inputs'!$B$8/2)^2))))*'Results'!$B$8)+'Inputs'!$B$28*ABS((('Results'!B7*(1+'Inputs'!$B$24)*(0.5*((((70-43)*MAX('Inputs'!$B$33,'Inputs'!$B$29+'Inputs'!$B$31+'Inputs'!$B$32,'Inputs'!$B$30+'Inputs'!$B$31+'Inputs'!$B$32)/1000+'Inputs'!$B$21)+'Inputs'!$B$7)/SQRT((((70-43)*MAX('Inputs'!$B$33,'Inputs'!$B$29+'Inputs'!$B$31+'Inputs'!$B$32,'Inputs'!$B$30+'Inputs'!$B$31+'Inputs'!$B$32)/1000+'Inputs'!$B$21)+'Inputs'!$B$7)^2+('Inputs'!$B$6/2)^2)-(((70-43)*MAX('Inputs'!$B$33,'Inputs'!$B$29+'Inputs'!$B$31+'Inputs'!$B$32,'Inputs'!$B$30+'Inputs'!$B$31+'Inputs'!$B$32)/1000+'Inputs'!$B$21))/SQRT((((70-43)*MAX('Inputs'!$B$33,'Inputs'!$B$29+'Inputs'!$B$31+'Inputs'!$B$32,'Inputs'!$B$30+'Inputs'!$B$31+'Inputs'!$B$32)/1000+'Inputs'!$B$21))^2+('Inputs'!$B$6/2)^2)))-'Results'!C7*(1-'Inputs'!$B$24)*(0.5*((((70-43)*MAX('Inputs'!$B$33,'Inputs'!$B$29+'Inputs'!$B$31+'Inputs'!$B$32,'Inputs'!$B$30+'Inputs'!$B$31+'Inputs'!$B$32)/1000+'Inputs'!$B$21+'Inputs'!$B$7+'Inputs'!$B$10)+'Inputs'!$B$9)/SQRT((((70-43)*MAX('Inputs'!$B$33,'Inputs'!$B$29+'Inputs'!$B$31+'Inputs'!$B$32,'Inputs'!$B$30+'Inputs'!$B$31+'Inputs'!$B$32)/1000+'Inputs'!$B$21+'Inputs'!$B$7+'Inputs'!$B$10)+'Inputs'!$B$9)^2+('Inputs'!$B$8/2)^2)-(((70-43)*MAX('Inputs'!$B$33,'Inputs'!$B$29+'Inputs'!$B$31+'Inputs'!$B$32,'Inputs'!$B$30+'Inputs'!$B$31+'Inputs'!$B$32)/1000+'Inputs'!$B$21+'Inputs'!$B$7+'Inputs'!$B$10))/SQRT((((70-43)*MAX('Inputs'!$B$33,'Inputs'!$B$29+'Inputs'!$B$31+'Inputs'!$B$32,'Inputs'!$B$30+'Inputs'!$B$31+'Inputs'!$B$32)/1000+'Inputs'!$B$21+'Inputs'!$B$7+'Inputs'!$B$10))^2+('Inputs'!$B$8/2)^2))))*'Results'!$B$8))),"")</x:f>
        <x:v>1596.4409681314123</x:v>
      </x:c>
      <x:c r="M70" t="n">
        <x:f>IF(AND(ISNUMBER('Results'!C7),ISNUMBER('Results'!B7),ISNUMBER('Results'!$B$8),ISNUMBER('Inputs'!$B$6),ISNUMBER('Inputs'!$B$7),ISNUMBER('Inputs'!$B$8),ISNUMBER('Inputs'!$B$9),ISNUMBER('Inputs'!$B$10),ISNUMBER('Inputs'!$B$21),ISNUMBER('Inputs'!$B$24),ISNUMBER('Inputs'!$B$28)),(('Results'!C7*(0.5*((((70-43)*MAX('Inputs'!$B$33,'Inputs'!$B$29+'Inputs'!$B$31+'Inputs'!$B$32,'Inputs'!$B$30+'Inputs'!$B$31+'Inputs'!$B$32)/1000+'Inputs'!$B$21)+'Inputs'!$B$9)/SQRT((((70-43)*MAX('Inputs'!$B$33,'Inputs'!$B$29+'Inputs'!$B$31+'Inputs'!$B$32,'Inputs'!$B$30+'Inputs'!$B$31+'Inputs'!$B$32)/1000+'Inputs'!$B$21)+'Inputs'!$B$9)^2+('Inputs'!$B$8/2)^2)-(((70-43)*MAX('Inputs'!$B$33,'Inputs'!$B$29+'Inputs'!$B$31+'Inputs'!$B$32,'Inputs'!$B$30+'Inputs'!$B$31+'Inputs'!$B$32)/1000+'Inputs'!$B$21))/SQRT((((70-43)*MAX('Inputs'!$B$33,'Inputs'!$B$29+'Inputs'!$B$31+'Inputs'!$B$32,'Inputs'!$B$30+'Inputs'!$B$31+'Inputs'!$B$32)/1000+'Inputs'!$B$21))^2+('Inputs'!$B$8/2)^2)))-'Results'!B7*(0.5*((((70-43)*MAX('Inputs'!$B$33,'Inputs'!$B$29+'Inputs'!$B$31+'Inputs'!$B$32,'Inputs'!$B$30+'Inputs'!$B$31+'Inputs'!$B$32)/1000+'Inputs'!$B$21+'Inputs'!$B$9+'Inputs'!$B$10)+'Inputs'!$B$7)/SQRT((((70-43)*MAX('Inputs'!$B$33,'Inputs'!$B$29+'Inputs'!$B$31+'Inputs'!$B$32,'Inputs'!$B$30+'Inputs'!$B$31+'Inputs'!$B$32)/1000+'Inputs'!$B$21+'Inputs'!$B$9+'Inputs'!$B$10)+'Inputs'!$B$7)^2+('Inputs'!$B$6/2)^2)-(((70-43)*MAX('Inputs'!$B$33,'Inputs'!$B$29+'Inputs'!$B$31+'Inputs'!$B$32,'Inputs'!$B$30+'Inputs'!$B$31+'Inputs'!$B$32)/1000+'Inputs'!$B$21+'Inputs'!$B$9+'Inputs'!$B$10))/SQRT((((70-43)*MAX('Inputs'!$B$33,'Inputs'!$B$29+'Inputs'!$B$31+'Inputs'!$B$32,'Inputs'!$B$30+'Inputs'!$B$31+'Inputs'!$B$32)/1000+'Inputs'!$B$21+'Inputs'!$B$9+'Inputs'!$B$10))^2+('Inputs'!$B$6/2)^2))))*'Results'!$B$8),"")</x:f>
        <x:v>1442.8325952978382</x:v>
      </x:c>
      <x:c r="N70" t="n">
        <x:f>IF(AND(ISNUMBER('Results'!C7),ISNUMBER('Results'!B7),ISNUMBER('Results'!$B$8),ISNUMBER('Inputs'!$B$6),ISNUMBER('Inputs'!$B$7),ISNUMBER('Inputs'!$B$8),ISNUMBER('Inputs'!$B$9),ISNUMBER('Inputs'!$B$10),ISNUMBER('Inputs'!$B$21),ISNUMBER('Inputs'!$B$24),ISNUMBER('Inputs'!$B$28)),((('Results'!C7*(1-'Inputs'!$B$24)*(0.5*((((70-43)*MAX('Inputs'!$B$33,'Inputs'!$B$29+'Inputs'!$B$31+'Inputs'!$B$32,'Inputs'!$B$30+'Inputs'!$B$31+'Inputs'!$B$32)/1000+'Inputs'!$B$21)+'Inputs'!$B$9)/SQRT((((70-43)*MAX('Inputs'!$B$33,'Inputs'!$B$29+'Inputs'!$B$31+'Inputs'!$B$32,'Inputs'!$B$30+'Inputs'!$B$31+'Inputs'!$B$32)/1000+'Inputs'!$B$21)+'Inputs'!$B$9)^2+('Inputs'!$B$8/2)^2)-(((70-43)*MAX('Inputs'!$B$33,'Inputs'!$B$29+'Inputs'!$B$31+'Inputs'!$B$32,'Inputs'!$B$30+'Inputs'!$B$31+'Inputs'!$B$32)/1000+'Inputs'!$B$21))/SQRT((((70-43)*MAX('Inputs'!$B$33,'Inputs'!$B$29+'Inputs'!$B$31+'Inputs'!$B$32,'Inputs'!$B$30+'Inputs'!$B$31+'Inputs'!$B$32)/1000+'Inputs'!$B$21))^2+('Inputs'!$B$8/2)^2)))-'Results'!B7*(1+'Inputs'!$B$24)*(0.5*((((70-43)*MAX('Inputs'!$B$33,'Inputs'!$B$29+'Inputs'!$B$31+'Inputs'!$B$32,'Inputs'!$B$30+'Inputs'!$B$31+'Inputs'!$B$32)/1000+'Inputs'!$B$21+'Inputs'!$B$9+'Inputs'!$B$10)+'Inputs'!$B$7)/SQRT((((70-43)*MAX('Inputs'!$B$33,'Inputs'!$B$29+'Inputs'!$B$31+'Inputs'!$B$32,'Inputs'!$B$30+'Inputs'!$B$31+'Inputs'!$B$32)/1000+'Inputs'!$B$21+'Inputs'!$B$9+'Inputs'!$B$10)+'Inputs'!$B$7)^2+('Inputs'!$B$6/2)^2)-(((70-43)*MAX('Inputs'!$B$33,'Inputs'!$B$29+'Inputs'!$B$31+'Inputs'!$B$32,'Inputs'!$B$30+'Inputs'!$B$31+'Inputs'!$B$32)/1000+'Inputs'!$B$21+'Inputs'!$B$9+'Inputs'!$B$10))/SQRT((((70-43)*MAX('Inputs'!$B$33,'Inputs'!$B$29+'Inputs'!$B$31+'Inputs'!$B$32,'Inputs'!$B$30+'Inputs'!$B$31+'Inputs'!$B$32)/1000+'Inputs'!$B$21+'Inputs'!$B$9+'Inputs'!$B$10))^2+('Inputs'!$B$6/2)^2))))*'Results'!$B$8)-'Inputs'!$B$28*ABS((('Results'!C7*(1-'Inputs'!$B$24)*(0.5*((((70-43)*MAX('Inputs'!$B$33,'Inputs'!$B$29+'Inputs'!$B$31+'Inputs'!$B$32,'Inputs'!$B$30+'Inputs'!$B$31+'Inputs'!$B$32)/1000+'Inputs'!$B$21)+'Inputs'!$B$9)/SQRT((((70-43)*MAX('Inputs'!$B$33,'Inputs'!$B$29+'Inputs'!$B$31+'Inputs'!$B$32,'Inputs'!$B$30+'Inputs'!$B$31+'Inputs'!$B$32)/1000+'Inputs'!$B$21)+'Inputs'!$B$9)^2+('Inputs'!$B$8/2)^2)-(((70-43)*MAX('Inputs'!$B$33,'Inputs'!$B$29+'Inputs'!$B$31+'Inputs'!$B$32,'Inputs'!$B$30+'Inputs'!$B$31+'Inputs'!$B$32)/1000+'Inputs'!$B$21))/SQRT((((70-43)*MAX('Inputs'!$B$33,'Inputs'!$B$29+'Inputs'!$B$31+'Inputs'!$B$32,'Inputs'!$B$30+'Inputs'!$B$31+'Inputs'!$B$32)/1000+'Inputs'!$B$21))^2+('Inputs'!$B$8/2)^2)))-'Results'!B7*(1+'Inputs'!$B$24)*(0.5*((((70-43)*MAX('Inputs'!$B$33,'Inputs'!$B$29+'Inputs'!$B$31+'Inputs'!$B$32,'Inputs'!$B$30+'Inputs'!$B$31+'Inputs'!$B$32)/1000+'Inputs'!$B$21+'Inputs'!$B$9+'Inputs'!$B$10)+'Inputs'!$B$7)/SQRT((((70-43)*MAX('Inputs'!$B$33,'Inputs'!$B$29+'Inputs'!$B$31+'Inputs'!$B$32,'Inputs'!$B$30+'Inputs'!$B$31+'Inputs'!$B$32)/1000+'Inputs'!$B$21+'Inputs'!$B$9+'Inputs'!$B$10)+'Inputs'!$B$7)^2+('Inputs'!$B$6/2)^2)-(((70-43)*MAX('Inputs'!$B$33,'Inputs'!$B$29+'Inputs'!$B$31+'Inputs'!$B$32,'Inputs'!$B$30+'Inputs'!$B$31+'Inputs'!$B$32)/1000+'Inputs'!$B$21+'Inputs'!$B$9+'Inputs'!$B$10))/SQRT((((70-43)*MAX('Inputs'!$B$33,'Inputs'!$B$29+'Inputs'!$B$31+'Inputs'!$B$32,'Inputs'!$B$30+'Inputs'!$B$31+'Inputs'!$B$32)/1000+'Inputs'!$B$21+'Inputs'!$B$9+'Inputs'!$B$10))^2+('Inputs'!$B$6/2)^2))))*'Results'!$B$8))),"")</x:f>
        <x:v>1334.4424051302253</x:v>
      </x:c>
      <x:c r="O70" t="n">
        <x:f>IF(AND(ISNUMBER('Results'!C7),ISNUMBER('Results'!B7),ISNUMBER('Results'!$B$8),ISNUMBER('Inputs'!$B$6),ISNUMBER('Inputs'!$B$7),ISNUMBER('Inputs'!$B$8),ISNUMBER('Inputs'!$B$9),ISNUMBER('Inputs'!$B$10),ISNUMBER('Inputs'!$B$21),ISNUMBER('Inputs'!$B$24),ISNUMBER('Inputs'!$B$28)),((('Results'!C7*(1+'Inputs'!$B$24)*(0.5*((((70-43)*MAX('Inputs'!$B$33,'Inputs'!$B$29+'Inputs'!$B$31+'Inputs'!$B$32,'Inputs'!$B$30+'Inputs'!$B$31+'Inputs'!$B$32)/1000+'Inputs'!$B$21)+'Inputs'!$B$9)/SQRT((((70-43)*MAX('Inputs'!$B$33,'Inputs'!$B$29+'Inputs'!$B$31+'Inputs'!$B$32,'Inputs'!$B$30+'Inputs'!$B$31+'Inputs'!$B$32)/1000+'Inputs'!$B$21)+'Inputs'!$B$9)^2+('Inputs'!$B$8/2)^2)-(((70-43)*MAX('Inputs'!$B$33,'Inputs'!$B$29+'Inputs'!$B$31+'Inputs'!$B$32,'Inputs'!$B$30+'Inputs'!$B$31+'Inputs'!$B$32)/1000+'Inputs'!$B$21))/SQRT((((70-43)*MAX('Inputs'!$B$33,'Inputs'!$B$29+'Inputs'!$B$31+'Inputs'!$B$32,'Inputs'!$B$30+'Inputs'!$B$31+'Inputs'!$B$32)/1000+'Inputs'!$B$21))^2+('Inputs'!$B$8/2)^2)))-'Results'!B7*(1-'Inputs'!$B$24)*(0.5*((((70-43)*MAX('Inputs'!$B$33,'Inputs'!$B$29+'Inputs'!$B$31+'Inputs'!$B$32,'Inputs'!$B$30+'Inputs'!$B$31+'Inputs'!$B$32)/1000+'Inputs'!$B$21+'Inputs'!$B$9+'Inputs'!$B$10)+'Inputs'!$B$7)/SQRT((((70-43)*MAX('Inputs'!$B$33,'Inputs'!$B$29+'Inputs'!$B$31+'Inputs'!$B$32,'Inputs'!$B$30+'Inputs'!$B$31+'Inputs'!$B$32)/1000+'Inputs'!$B$21+'Inputs'!$B$9+'Inputs'!$B$10)+'Inputs'!$B$7)^2+('Inputs'!$B$6/2)^2)-(((70-43)*MAX('Inputs'!$B$33,'Inputs'!$B$29+'Inputs'!$B$31+'Inputs'!$B$32,'Inputs'!$B$30+'Inputs'!$B$31+'Inputs'!$B$32)/1000+'Inputs'!$B$21+'Inputs'!$B$9+'Inputs'!$B$10))/SQRT((((70-43)*MAX('Inputs'!$B$33,'Inputs'!$B$29+'Inputs'!$B$31+'Inputs'!$B$32,'Inputs'!$B$30+'Inputs'!$B$31+'Inputs'!$B$32)/1000+'Inputs'!$B$21+'Inputs'!$B$9+'Inputs'!$B$10))^2+('Inputs'!$B$6/2)^2))))*'Results'!$B$8)+'Inputs'!$B$28*ABS((('Results'!C7*(1+'Inputs'!$B$24)*(0.5*((((70-43)*MAX('Inputs'!$B$33,'Inputs'!$B$29+'Inputs'!$B$31+'Inputs'!$B$32,'Inputs'!$B$30+'Inputs'!$B$31+'Inputs'!$B$32)/1000+'Inputs'!$B$21)+'Inputs'!$B$9)/SQRT((((70-43)*MAX('Inputs'!$B$33,'Inputs'!$B$29+'Inputs'!$B$31+'Inputs'!$B$32,'Inputs'!$B$30+'Inputs'!$B$31+'Inputs'!$B$32)/1000+'Inputs'!$B$21)+'Inputs'!$B$9)^2+('Inputs'!$B$8/2)^2)-(((70-43)*MAX('Inputs'!$B$33,'Inputs'!$B$29+'Inputs'!$B$31+'Inputs'!$B$32,'Inputs'!$B$30+'Inputs'!$B$31+'Inputs'!$B$32)/1000+'Inputs'!$B$21))/SQRT((((70-43)*MAX('Inputs'!$B$33,'Inputs'!$B$29+'Inputs'!$B$31+'Inputs'!$B$32,'Inputs'!$B$30+'Inputs'!$B$31+'Inputs'!$B$32)/1000+'Inputs'!$B$21))^2+('Inputs'!$B$8/2)^2)))-'Results'!B7*(1-'Inputs'!$B$24)*(0.5*((((70-43)*MAX('Inputs'!$B$33,'Inputs'!$B$29+'Inputs'!$B$31+'Inputs'!$B$32,'Inputs'!$B$30+'Inputs'!$B$31+'Inputs'!$B$32)/1000+'Inputs'!$B$21+'Inputs'!$B$9+'Inputs'!$B$10)+'Inputs'!$B$7)/SQRT((((70-43)*MAX('Inputs'!$B$33,'Inputs'!$B$29+'Inputs'!$B$31+'Inputs'!$B$32,'Inputs'!$B$30+'Inputs'!$B$31+'Inputs'!$B$32)/1000+'Inputs'!$B$21+'Inputs'!$B$9+'Inputs'!$B$10)+'Inputs'!$B$7)^2+('Inputs'!$B$6/2)^2)-(((70-43)*MAX('Inputs'!$B$33,'Inputs'!$B$29+'Inputs'!$B$31+'Inputs'!$B$32,'Inputs'!$B$30+'Inputs'!$B$31+'Inputs'!$B$32)/1000+'Inputs'!$B$21+'Inputs'!$B$9+'Inputs'!$B$10))/SQRT((((70-43)*MAX('Inputs'!$B$33,'Inputs'!$B$29+'Inputs'!$B$31+'Inputs'!$B$32,'Inputs'!$B$30+'Inputs'!$B$31+'Inputs'!$B$32)/1000+'Inputs'!$B$21+'Inputs'!$B$9+'Inputs'!$B$10))^2+('Inputs'!$B$6/2)^2))))*'Results'!$B$8))),"")</x:f>
        <x:v>1555.0384234025792</x:v>
      </x:c>
      <x:c r="P70" t="n">
        <x:f>IF(AND(MAX(J70,J69)&gt;0,J70&gt;J69+0.00000001),1,0)</x:f>
        <x:v>0</x:v>
      </x:c>
      <x:c r="Q70" t="n">
        <x:f>IF(AND(MAX(K70,K69)&gt;0,K70&gt;K69+0.00000001),1,0)</x:f>
        <x:v>0</x:v>
      </x:c>
      <x:c r="R70" t="n">
        <x:f>IF(AND(MAX(L70,L69)&gt;0,L70&gt;L69+0.00000001),1,0)</x:f>
        <x:v>0</x:v>
      </x:c>
      <x:c r="S70" t="n">
        <x:f>IF(AND(MAX(M70,M69)&gt;0,M70&gt;M69+0.00000001),1,0)</x:f>
        <x:v>0</x:v>
      </x:c>
      <x:c r="T70" t="n">
        <x:f>IF(AND(MAX(N70,N69)&gt;0,N70&gt;N69+0.00000001),1,0)</x:f>
        <x:v>0</x:v>
      </x:c>
      <x:c r="U70" t="n">
        <x:f>IF(AND(MAX(O70,O69)&gt;0,O70&gt;O69+0.00000001),1,0)</x:f>
        <x:v>0</x:v>
      </x:c>
    </x:row>
    <x:row r="71">
      <x:c r="J71" t="n">
        <x:f>IF(AND(ISNUMBER('Results'!B7),ISNUMBER('Results'!C7),ISNUMBER('Results'!$B$8),ISNUMBER('Inputs'!$B$6),ISNUMBER('Inputs'!$B$7),ISNUMBER('Inputs'!$B$8),ISNUMBER('Inputs'!$B$9),ISNUMBER('Inputs'!$B$10),ISNUMBER('Inputs'!$B$21),ISNUMBER('Inputs'!$B$24),ISNUMBER('Inputs'!$B$28)),(('Results'!B7*(0.5*((((71-43)*MAX('Inputs'!$B$33,'Inputs'!$B$29+'Inputs'!$B$31+'Inputs'!$B$32,'Inputs'!$B$30+'Inputs'!$B$31+'Inputs'!$B$32)/1000+'Inputs'!$B$21)+'Inputs'!$B$7)/SQRT((((71-43)*MAX('Inputs'!$B$33,'Inputs'!$B$29+'Inputs'!$B$31+'Inputs'!$B$32,'Inputs'!$B$30+'Inputs'!$B$31+'Inputs'!$B$32)/1000+'Inputs'!$B$21)+'Inputs'!$B$7)^2+('Inputs'!$B$6/2)^2)-(((71-43)*MAX('Inputs'!$B$33,'Inputs'!$B$29+'Inputs'!$B$31+'Inputs'!$B$32,'Inputs'!$B$30+'Inputs'!$B$31+'Inputs'!$B$32)/1000+'Inputs'!$B$21))/SQRT((((71-43)*MAX('Inputs'!$B$33,'Inputs'!$B$29+'Inputs'!$B$31+'Inputs'!$B$32,'Inputs'!$B$30+'Inputs'!$B$31+'Inputs'!$B$32)/1000+'Inputs'!$B$21))^2+('Inputs'!$B$6/2)^2)))-'Results'!C7*(0.5*((((71-43)*MAX('Inputs'!$B$33,'Inputs'!$B$29+'Inputs'!$B$31+'Inputs'!$B$32,'Inputs'!$B$30+'Inputs'!$B$31+'Inputs'!$B$32)/1000+'Inputs'!$B$21+'Inputs'!$B$7+'Inputs'!$B$10)+'Inputs'!$B$9)/SQRT((((71-43)*MAX('Inputs'!$B$33,'Inputs'!$B$29+'Inputs'!$B$31+'Inputs'!$B$32,'Inputs'!$B$30+'Inputs'!$B$31+'Inputs'!$B$32)/1000+'Inputs'!$B$21+'Inputs'!$B$7+'Inputs'!$B$10)+'Inputs'!$B$9)^2+('Inputs'!$B$8/2)^2)-(((71-43)*MAX('Inputs'!$B$33,'Inputs'!$B$29+'Inputs'!$B$31+'Inputs'!$B$32,'Inputs'!$B$30+'Inputs'!$B$31+'Inputs'!$B$32)/1000+'Inputs'!$B$21+'Inputs'!$B$7+'Inputs'!$B$10))/SQRT((((71-43)*MAX('Inputs'!$B$33,'Inputs'!$B$29+'Inputs'!$B$31+'Inputs'!$B$32,'Inputs'!$B$30+'Inputs'!$B$31+'Inputs'!$B$32)/1000+'Inputs'!$B$21+'Inputs'!$B$7+'Inputs'!$B$10))^2+('Inputs'!$B$8/2)^2))))*'Results'!$B$8),"")</x:f>
        <x:v>1458.3289274100337</x:v>
      </x:c>
      <x:c r="K71" t="n">
        <x:f>IF(AND(ISNUMBER('Results'!B7),ISNUMBER('Results'!C7),ISNUMBER('Results'!$B$8),ISNUMBER('Inputs'!$B$6),ISNUMBER('Inputs'!$B$7),ISNUMBER('Inputs'!$B$8),ISNUMBER('Inputs'!$B$9),ISNUMBER('Inputs'!$B$10),ISNUMBER('Inputs'!$B$21),ISNUMBER('Inputs'!$B$24),ISNUMBER('Inputs'!$B$28)),((('Results'!B7*(1-'Inputs'!$B$24)*(0.5*((((71-43)*MAX('Inputs'!$B$33,'Inputs'!$B$29+'Inputs'!$B$31+'Inputs'!$B$32,'Inputs'!$B$30+'Inputs'!$B$31+'Inputs'!$B$32)/1000+'Inputs'!$B$21)+'Inputs'!$B$7)/SQRT((((71-43)*MAX('Inputs'!$B$33,'Inputs'!$B$29+'Inputs'!$B$31+'Inputs'!$B$32,'Inputs'!$B$30+'Inputs'!$B$31+'Inputs'!$B$32)/1000+'Inputs'!$B$21)+'Inputs'!$B$7)^2+('Inputs'!$B$6/2)^2)-(((71-43)*MAX('Inputs'!$B$33,'Inputs'!$B$29+'Inputs'!$B$31+'Inputs'!$B$32,'Inputs'!$B$30+'Inputs'!$B$31+'Inputs'!$B$32)/1000+'Inputs'!$B$21))/SQRT((((71-43)*MAX('Inputs'!$B$33,'Inputs'!$B$29+'Inputs'!$B$31+'Inputs'!$B$32,'Inputs'!$B$30+'Inputs'!$B$31+'Inputs'!$B$32)/1000+'Inputs'!$B$21))^2+('Inputs'!$B$6/2)^2)))-'Results'!C7*(1+'Inputs'!$B$24)*(0.5*((((71-43)*MAX('Inputs'!$B$33,'Inputs'!$B$29+'Inputs'!$B$31+'Inputs'!$B$32,'Inputs'!$B$30+'Inputs'!$B$31+'Inputs'!$B$32)/1000+'Inputs'!$B$21+'Inputs'!$B$7+'Inputs'!$B$10)+'Inputs'!$B$9)/SQRT((((71-43)*MAX('Inputs'!$B$33,'Inputs'!$B$29+'Inputs'!$B$31+'Inputs'!$B$32,'Inputs'!$B$30+'Inputs'!$B$31+'Inputs'!$B$32)/1000+'Inputs'!$B$21+'Inputs'!$B$7+'Inputs'!$B$10)+'Inputs'!$B$9)^2+('Inputs'!$B$8/2)^2)-(((71-43)*MAX('Inputs'!$B$33,'Inputs'!$B$29+'Inputs'!$B$31+'Inputs'!$B$32,'Inputs'!$B$30+'Inputs'!$B$31+'Inputs'!$B$32)/1000+'Inputs'!$B$21+'Inputs'!$B$7+'Inputs'!$B$10))/SQRT((((71-43)*MAX('Inputs'!$B$33,'Inputs'!$B$29+'Inputs'!$B$31+'Inputs'!$B$32,'Inputs'!$B$30+'Inputs'!$B$31+'Inputs'!$B$32)/1000+'Inputs'!$B$21+'Inputs'!$B$7+'Inputs'!$B$10))^2+('Inputs'!$B$8/2)^2))))*'Results'!$B$8)-'Inputs'!$B$28*ABS((('Results'!B7*(1-'Inputs'!$B$24)*(0.5*((((71-43)*MAX('Inputs'!$B$33,'Inputs'!$B$29+'Inputs'!$B$31+'Inputs'!$B$32,'Inputs'!$B$30+'Inputs'!$B$31+'Inputs'!$B$32)/1000+'Inputs'!$B$21)+'Inputs'!$B$7)/SQRT((((71-43)*MAX('Inputs'!$B$33,'Inputs'!$B$29+'Inputs'!$B$31+'Inputs'!$B$32,'Inputs'!$B$30+'Inputs'!$B$31+'Inputs'!$B$32)/1000+'Inputs'!$B$21)+'Inputs'!$B$7)^2+('Inputs'!$B$6/2)^2)-(((71-43)*MAX('Inputs'!$B$33,'Inputs'!$B$29+'Inputs'!$B$31+'Inputs'!$B$32,'Inputs'!$B$30+'Inputs'!$B$31+'Inputs'!$B$32)/1000+'Inputs'!$B$21))/SQRT((((71-43)*MAX('Inputs'!$B$33,'Inputs'!$B$29+'Inputs'!$B$31+'Inputs'!$B$32,'Inputs'!$B$30+'Inputs'!$B$31+'Inputs'!$B$32)/1000+'Inputs'!$B$21))^2+('Inputs'!$B$6/2)^2)))-'Results'!C7*(1+'Inputs'!$B$24)*(0.5*((((71-43)*MAX('Inputs'!$B$33,'Inputs'!$B$29+'Inputs'!$B$31+'Inputs'!$B$32,'Inputs'!$B$30+'Inputs'!$B$31+'Inputs'!$B$32)/1000+'Inputs'!$B$21+'Inputs'!$B$7+'Inputs'!$B$10)+'Inputs'!$B$9)/SQRT((((71-43)*MAX('Inputs'!$B$33,'Inputs'!$B$29+'Inputs'!$B$31+'Inputs'!$B$32,'Inputs'!$B$30+'Inputs'!$B$31+'Inputs'!$B$32)/1000+'Inputs'!$B$21+'Inputs'!$B$7+'Inputs'!$B$10)+'Inputs'!$B$9)^2+('Inputs'!$B$8/2)^2)-(((71-43)*MAX('Inputs'!$B$33,'Inputs'!$B$29+'Inputs'!$B$31+'Inputs'!$B$32,'Inputs'!$B$30+'Inputs'!$B$31+'Inputs'!$B$32)/1000+'Inputs'!$B$21+'Inputs'!$B$7+'Inputs'!$B$10))/SQRT((((71-43)*MAX('Inputs'!$B$33,'Inputs'!$B$29+'Inputs'!$B$31+'Inputs'!$B$32,'Inputs'!$B$30+'Inputs'!$B$31+'Inputs'!$B$32)/1000+'Inputs'!$B$21+'Inputs'!$B$7+'Inputs'!$B$10))^2+('Inputs'!$B$8/2)^2))))*'Results'!$B$8))),"")</x:f>
        <x:v>1349.1755580258393</x:v>
      </x:c>
      <x:c r="L71" t="n">
        <x:f>IF(AND(ISNUMBER('Results'!B7),ISNUMBER('Results'!C7),ISNUMBER('Results'!$B$8),ISNUMBER('Inputs'!$B$6),ISNUMBER('Inputs'!$B$7),ISNUMBER('Inputs'!$B$8),ISNUMBER('Inputs'!$B$9),ISNUMBER('Inputs'!$B$10),ISNUMBER('Inputs'!$B$21),ISNUMBER('Inputs'!$B$24),ISNUMBER('Inputs'!$B$28)),((('Results'!B7*(1+'Inputs'!$B$24)*(0.5*((((71-43)*MAX('Inputs'!$B$33,'Inputs'!$B$29+'Inputs'!$B$31+'Inputs'!$B$32,'Inputs'!$B$30+'Inputs'!$B$31+'Inputs'!$B$32)/1000+'Inputs'!$B$21)+'Inputs'!$B$7)/SQRT((((71-43)*MAX('Inputs'!$B$33,'Inputs'!$B$29+'Inputs'!$B$31+'Inputs'!$B$32,'Inputs'!$B$30+'Inputs'!$B$31+'Inputs'!$B$32)/1000+'Inputs'!$B$21)+'Inputs'!$B$7)^2+('Inputs'!$B$6/2)^2)-(((71-43)*MAX('Inputs'!$B$33,'Inputs'!$B$29+'Inputs'!$B$31+'Inputs'!$B$32,'Inputs'!$B$30+'Inputs'!$B$31+'Inputs'!$B$32)/1000+'Inputs'!$B$21))/SQRT((((71-43)*MAX('Inputs'!$B$33,'Inputs'!$B$29+'Inputs'!$B$31+'Inputs'!$B$32,'Inputs'!$B$30+'Inputs'!$B$31+'Inputs'!$B$32)/1000+'Inputs'!$B$21))^2+('Inputs'!$B$6/2)^2)))-'Results'!C7*(1-'Inputs'!$B$24)*(0.5*((((71-43)*MAX('Inputs'!$B$33,'Inputs'!$B$29+'Inputs'!$B$31+'Inputs'!$B$32,'Inputs'!$B$30+'Inputs'!$B$31+'Inputs'!$B$32)/1000+'Inputs'!$B$21+'Inputs'!$B$7+'Inputs'!$B$10)+'Inputs'!$B$9)/SQRT((((71-43)*MAX('Inputs'!$B$33,'Inputs'!$B$29+'Inputs'!$B$31+'Inputs'!$B$32,'Inputs'!$B$30+'Inputs'!$B$31+'Inputs'!$B$32)/1000+'Inputs'!$B$21+'Inputs'!$B$7+'Inputs'!$B$10)+'Inputs'!$B$9)^2+('Inputs'!$B$8/2)^2)-(((71-43)*MAX('Inputs'!$B$33,'Inputs'!$B$29+'Inputs'!$B$31+'Inputs'!$B$32,'Inputs'!$B$30+'Inputs'!$B$31+'Inputs'!$B$32)/1000+'Inputs'!$B$21+'Inputs'!$B$7+'Inputs'!$B$10))/SQRT((((71-43)*MAX('Inputs'!$B$33,'Inputs'!$B$29+'Inputs'!$B$31+'Inputs'!$B$32,'Inputs'!$B$30+'Inputs'!$B$31+'Inputs'!$B$32)/1000+'Inputs'!$B$21+'Inputs'!$B$7+'Inputs'!$B$10))^2+('Inputs'!$B$8/2)^2))))*'Results'!$B$8)+'Inputs'!$B$28*ABS((('Results'!B7*(1+'Inputs'!$B$24)*(0.5*((((71-43)*MAX('Inputs'!$B$33,'Inputs'!$B$29+'Inputs'!$B$31+'Inputs'!$B$32,'Inputs'!$B$30+'Inputs'!$B$31+'Inputs'!$B$32)/1000+'Inputs'!$B$21)+'Inputs'!$B$7)/SQRT((((71-43)*MAX('Inputs'!$B$33,'Inputs'!$B$29+'Inputs'!$B$31+'Inputs'!$B$32,'Inputs'!$B$30+'Inputs'!$B$31+'Inputs'!$B$32)/1000+'Inputs'!$B$21)+'Inputs'!$B$7)^2+('Inputs'!$B$6/2)^2)-(((71-43)*MAX('Inputs'!$B$33,'Inputs'!$B$29+'Inputs'!$B$31+'Inputs'!$B$32,'Inputs'!$B$30+'Inputs'!$B$31+'Inputs'!$B$32)/1000+'Inputs'!$B$21))/SQRT((((71-43)*MAX('Inputs'!$B$33,'Inputs'!$B$29+'Inputs'!$B$31+'Inputs'!$B$32,'Inputs'!$B$30+'Inputs'!$B$31+'Inputs'!$B$32)/1000+'Inputs'!$B$21))^2+('Inputs'!$B$6/2)^2)))-'Results'!C7*(1-'Inputs'!$B$24)*(0.5*((((71-43)*MAX('Inputs'!$B$33,'Inputs'!$B$29+'Inputs'!$B$31+'Inputs'!$B$32,'Inputs'!$B$30+'Inputs'!$B$31+'Inputs'!$B$32)/1000+'Inputs'!$B$21+'Inputs'!$B$7+'Inputs'!$B$10)+'Inputs'!$B$9)/SQRT((((71-43)*MAX('Inputs'!$B$33,'Inputs'!$B$29+'Inputs'!$B$31+'Inputs'!$B$32,'Inputs'!$B$30+'Inputs'!$B$31+'Inputs'!$B$32)/1000+'Inputs'!$B$21+'Inputs'!$B$7+'Inputs'!$B$10)+'Inputs'!$B$9)^2+('Inputs'!$B$8/2)^2)-(((71-43)*MAX('Inputs'!$B$33,'Inputs'!$B$29+'Inputs'!$B$31+'Inputs'!$B$32,'Inputs'!$B$30+'Inputs'!$B$31+'Inputs'!$B$32)/1000+'Inputs'!$B$21+'Inputs'!$B$7+'Inputs'!$B$10))/SQRT((((71-43)*MAX('Inputs'!$B$33,'Inputs'!$B$29+'Inputs'!$B$31+'Inputs'!$B$32,'Inputs'!$B$30+'Inputs'!$B$31+'Inputs'!$B$32)/1000+'Inputs'!$B$21+'Inputs'!$B$7+'Inputs'!$B$10))^2+('Inputs'!$B$8/2)^2))))*'Results'!$B$8))),"")</x:f>
        <x:v>1571.2967097430378</x:v>
      </x:c>
      <x:c r="M71" t="n">
        <x:f>IF(AND(ISNUMBER('Results'!C7),ISNUMBER('Results'!B7),ISNUMBER('Results'!$B$8),ISNUMBER('Inputs'!$B$6),ISNUMBER('Inputs'!$B$7),ISNUMBER('Inputs'!$B$8),ISNUMBER('Inputs'!$B$9),ISNUMBER('Inputs'!$B$10),ISNUMBER('Inputs'!$B$21),ISNUMBER('Inputs'!$B$24),ISNUMBER('Inputs'!$B$28)),(('Results'!C7*(0.5*((((71-43)*MAX('Inputs'!$B$33,'Inputs'!$B$29+'Inputs'!$B$31+'Inputs'!$B$32,'Inputs'!$B$30+'Inputs'!$B$31+'Inputs'!$B$32)/1000+'Inputs'!$B$21)+'Inputs'!$B$9)/SQRT((((71-43)*MAX('Inputs'!$B$33,'Inputs'!$B$29+'Inputs'!$B$31+'Inputs'!$B$32,'Inputs'!$B$30+'Inputs'!$B$31+'Inputs'!$B$32)/1000+'Inputs'!$B$21)+'Inputs'!$B$9)^2+('Inputs'!$B$8/2)^2)-(((71-43)*MAX('Inputs'!$B$33,'Inputs'!$B$29+'Inputs'!$B$31+'Inputs'!$B$32,'Inputs'!$B$30+'Inputs'!$B$31+'Inputs'!$B$32)/1000+'Inputs'!$B$21))/SQRT((((71-43)*MAX('Inputs'!$B$33,'Inputs'!$B$29+'Inputs'!$B$31+'Inputs'!$B$32,'Inputs'!$B$30+'Inputs'!$B$31+'Inputs'!$B$32)/1000+'Inputs'!$B$21))^2+('Inputs'!$B$8/2)^2)))-'Results'!B7*(0.5*((((71-43)*MAX('Inputs'!$B$33,'Inputs'!$B$29+'Inputs'!$B$31+'Inputs'!$B$32,'Inputs'!$B$30+'Inputs'!$B$31+'Inputs'!$B$32)/1000+'Inputs'!$B$21+'Inputs'!$B$9+'Inputs'!$B$10)+'Inputs'!$B$7)/SQRT((((71-43)*MAX('Inputs'!$B$33,'Inputs'!$B$29+'Inputs'!$B$31+'Inputs'!$B$32,'Inputs'!$B$30+'Inputs'!$B$31+'Inputs'!$B$32)/1000+'Inputs'!$B$21+'Inputs'!$B$9+'Inputs'!$B$10)+'Inputs'!$B$7)^2+('Inputs'!$B$6/2)^2)-(((71-43)*MAX('Inputs'!$B$33,'Inputs'!$B$29+'Inputs'!$B$31+'Inputs'!$B$32,'Inputs'!$B$30+'Inputs'!$B$31+'Inputs'!$B$32)/1000+'Inputs'!$B$21+'Inputs'!$B$9+'Inputs'!$B$10))/SQRT((((71-43)*MAX('Inputs'!$B$33,'Inputs'!$B$29+'Inputs'!$B$31+'Inputs'!$B$32,'Inputs'!$B$30+'Inputs'!$B$31+'Inputs'!$B$32)/1000+'Inputs'!$B$21+'Inputs'!$B$9+'Inputs'!$B$10))^2+('Inputs'!$B$6/2)^2))))*'Results'!$B$8),"")</x:f>
        <x:v>1420.0931902592843</x:v>
      </x:c>
      <x:c r="N71" t="n">
        <x:f>IF(AND(ISNUMBER('Results'!C7),ISNUMBER('Results'!B7),ISNUMBER('Results'!$B$8),ISNUMBER('Inputs'!$B$6),ISNUMBER('Inputs'!$B$7),ISNUMBER('Inputs'!$B$8),ISNUMBER('Inputs'!$B$9),ISNUMBER('Inputs'!$B$10),ISNUMBER('Inputs'!$B$21),ISNUMBER('Inputs'!$B$24),ISNUMBER('Inputs'!$B$28)),((('Results'!C7*(1-'Inputs'!$B$24)*(0.5*((((71-43)*MAX('Inputs'!$B$33,'Inputs'!$B$29+'Inputs'!$B$31+'Inputs'!$B$32,'Inputs'!$B$30+'Inputs'!$B$31+'Inputs'!$B$32)/1000+'Inputs'!$B$21)+'Inputs'!$B$9)/SQRT((((71-43)*MAX('Inputs'!$B$33,'Inputs'!$B$29+'Inputs'!$B$31+'Inputs'!$B$32,'Inputs'!$B$30+'Inputs'!$B$31+'Inputs'!$B$32)/1000+'Inputs'!$B$21)+'Inputs'!$B$9)^2+('Inputs'!$B$8/2)^2)-(((71-43)*MAX('Inputs'!$B$33,'Inputs'!$B$29+'Inputs'!$B$31+'Inputs'!$B$32,'Inputs'!$B$30+'Inputs'!$B$31+'Inputs'!$B$32)/1000+'Inputs'!$B$21))/SQRT((((71-43)*MAX('Inputs'!$B$33,'Inputs'!$B$29+'Inputs'!$B$31+'Inputs'!$B$32,'Inputs'!$B$30+'Inputs'!$B$31+'Inputs'!$B$32)/1000+'Inputs'!$B$21))^2+('Inputs'!$B$8/2)^2)))-'Results'!B7*(1+'Inputs'!$B$24)*(0.5*((((71-43)*MAX('Inputs'!$B$33,'Inputs'!$B$29+'Inputs'!$B$31+'Inputs'!$B$32,'Inputs'!$B$30+'Inputs'!$B$31+'Inputs'!$B$32)/1000+'Inputs'!$B$21+'Inputs'!$B$9+'Inputs'!$B$10)+'Inputs'!$B$7)/SQRT((((71-43)*MAX('Inputs'!$B$33,'Inputs'!$B$29+'Inputs'!$B$31+'Inputs'!$B$32,'Inputs'!$B$30+'Inputs'!$B$31+'Inputs'!$B$32)/1000+'Inputs'!$B$21+'Inputs'!$B$9+'Inputs'!$B$10)+'Inputs'!$B$7)^2+('Inputs'!$B$6/2)^2)-(((71-43)*MAX('Inputs'!$B$33,'Inputs'!$B$29+'Inputs'!$B$31+'Inputs'!$B$32,'Inputs'!$B$30+'Inputs'!$B$31+'Inputs'!$B$32)/1000+'Inputs'!$B$21+'Inputs'!$B$9+'Inputs'!$B$10))/SQRT((((71-43)*MAX('Inputs'!$B$33,'Inputs'!$B$29+'Inputs'!$B$31+'Inputs'!$B$32,'Inputs'!$B$30+'Inputs'!$B$31+'Inputs'!$B$32)/1000+'Inputs'!$B$21+'Inputs'!$B$9+'Inputs'!$B$10))^2+('Inputs'!$B$6/2)^2))))*'Results'!$B$8)-'Inputs'!$B$28*ABS((('Results'!C7*(1-'Inputs'!$B$24)*(0.5*((((71-43)*MAX('Inputs'!$B$33,'Inputs'!$B$29+'Inputs'!$B$31+'Inputs'!$B$32,'Inputs'!$B$30+'Inputs'!$B$31+'Inputs'!$B$32)/1000+'Inputs'!$B$21)+'Inputs'!$B$9)/SQRT((((71-43)*MAX('Inputs'!$B$33,'Inputs'!$B$29+'Inputs'!$B$31+'Inputs'!$B$32,'Inputs'!$B$30+'Inputs'!$B$31+'Inputs'!$B$32)/1000+'Inputs'!$B$21)+'Inputs'!$B$9)^2+('Inputs'!$B$8/2)^2)-(((71-43)*MAX('Inputs'!$B$33,'Inputs'!$B$29+'Inputs'!$B$31+'Inputs'!$B$32,'Inputs'!$B$30+'Inputs'!$B$31+'Inputs'!$B$32)/1000+'Inputs'!$B$21))/SQRT((((71-43)*MAX('Inputs'!$B$33,'Inputs'!$B$29+'Inputs'!$B$31+'Inputs'!$B$32,'Inputs'!$B$30+'Inputs'!$B$31+'Inputs'!$B$32)/1000+'Inputs'!$B$21))^2+('Inputs'!$B$8/2)^2)))-'Results'!B7*(1+'Inputs'!$B$24)*(0.5*((((71-43)*MAX('Inputs'!$B$33,'Inputs'!$B$29+'Inputs'!$B$31+'Inputs'!$B$32,'Inputs'!$B$30+'Inputs'!$B$31+'Inputs'!$B$32)/1000+'Inputs'!$B$21+'Inputs'!$B$9+'Inputs'!$B$10)+'Inputs'!$B$7)/SQRT((((71-43)*MAX('Inputs'!$B$33,'Inputs'!$B$29+'Inputs'!$B$31+'Inputs'!$B$32,'Inputs'!$B$30+'Inputs'!$B$31+'Inputs'!$B$32)/1000+'Inputs'!$B$21+'Inputs'!$B$9+'Inputs'!$B$10)+'Inputs'!$B$7)^2+('Inputs'!$B$6/2)^2)-(((71-43)*MAX('Inputs'!$B$33,'Inputs'!$B$29+'Inputs'!$B$31+'Inputs'!$B$32,'Inputs'!$B$30+'Inputs'!$B$31+'Inputs'!$B$32)/1000+'Inputs'!$B$21+'Inputs'!$B$9+'Inputs'!$B$10))/SQRT((((71-43)*MAX('Inputs'!$B$33,'Inputs'!$B$29+'Inputs'!$B$31+'Inputs'!$B$32,'Inputs'!$B$30+'Inputs'!$B$31+'Inputs'!$B$32)/1000+'Inputs'!$B$21+'Inputs'!$B$9+'Inputs'!$B$10))^2+('Inputs'!$B$6/2)^2))))*'Results'!$B$8))),"")</x:f>
        <x:v>1313.4040321794523</x:v>
      </x:c>
      <x:c r="O71" t="n">
        <x:f>IF(AND(ISNUMBER('Results'!C7),ISNUMBER('Results'!B7),ISNUMBER('Results'!$B$8),ISNUMBER('Inputs'!$B$6),ISNUMBER('Inputs'!$B$7),ISNUMBER('Inputs'!$B$8),ISNUMBER('Inputs'!$B$9),ISNUMBER('Inputs'!$B$10),ISNUMBER('Inputs'!$B$21),ISNUMBER('Inputs'!$B$24),ISNUMBER('Inputs'!$B$28)),((('Results'!C7*(1+'Inputs'!$B$24)*(0.5*((((71-43)*MAX('Inputs'!$B$33,'Inputs'!$B$29+'Inputs'!$B$31+'Inputs'!$B$32,'Inputs'!$B$30+'Inputs'!$B$31+'Inputs'!$B$32)/1000+'Inputs'!$B$21)+'Inputs'!$B$9)/SQRT((((71-43)*MAX('Inputs'!$B$33,'Inputs'!$B$29+'Inputs'!$B$31+'Inputs'!$B$32,'Inputs'!$B$30+'Inputs'!$B$31+'Inputs'!$B$32)/1000+'Inputs'!$B$21)+'Inputs'!$B$9)^2+('Inputs'!$B$8/2)^2)-(((71-43)*MAX('Inputs'!$B$33,'Inputs'!$B$29+'Inputs'!$B$31+'Inputs'!$B$32,'Inputs'!$B$30+'Inputs'!$B$31+'Inputs'!$B$32)/1000+'Inputs'!$B$21))/SQRT((((71-43)*MAX('Inputs'!$B$33,'Inputs'!$B$29+'Inputs'!$B$31+'Inputs'!$B$32,'Inputs'!$B$30+'Inputs'!$B$31+'Inputs'!$B$32)/1000+'Inputs'!$B$21))^2+('Inputs'!$B$8/2)^2)))-'Results'!B7*(1-'Inputs'!$B$24)*(0.5*((((71-43)*MAX('Inputs'!$B$33,'Inputs'!$B$29+'Inputs'!$B$31+'Inputs'!$B$32,'Inputs'!$B$30+'Inputs'!$B$31+'Inputs'!$B$32)/1000+'Inputs'!$B$21+'Inputs'!$B$9+'Inputs'!$B$10)+'Inputs'!$B$7)/SQRT((((71-43)*MAX('Inputs'!$B$33,'Inputs'!$B$29+'Inputs'!$B$31+'Inputs'!$B$32,'Inputs'!$B$30+'Inputs'!$B$31+'Inputs'!$B$32)/1000+'Inputs'!$B$21+'Inputs'!$B$9+'Inputs'!$B$10)+'Inputs'!$B$7)^2+('Inputs'!$B$6/2)^2)-(((71-43)*MAX('Inputs'!$B$33,'Inputs'!$B$29+'Inputs'!$B$31+'Inputs'!$B$32,'Inputs'!$B$30+'Inputs'!$B$31+'Inputs'!$B$32)/1000+'Inputs'!$B$21+'Inputs'!$B$9+'Inputs'!$B$10))/SQRT((((71-43)*MAX('Inputs'!$B$33,'Inputs'!$B$29+'Inputs'!$B$31+'Inputs'!$B$32,'Inputs'!$B$30+'Inputs'!$B$31+'Inputs'!$B$32)/1000+'Inputs'!$B$21+'Inputs'!$B$9+'Inputs'!$B$10))^2+('Inputs'!$B$6/2)^2))))*'Results'!$B$8)+'Inputs'!$B$28*ABS((('Results'!C7*(1+'Inputs'!$B$24)*(0.5*((((71-43)*MAX('Inputs'!$B$33,'Inputs'!$B$29+'Inputs'!$B$31+'Inputs'!$B$32,'Inputs'!$B$30+'Inputs'!$B$31+'Inputs'!$B$32)/1000+'Inputs'!$B$21)+'Inputs'!$B$9)/SQRT((((71-43)*MAX('Inputs'!$B$33,'Inputs'!$B$29+'Inputs'!$B$31+'Inputs'!$B$32,'Inputs'!$B$30+'Inputs'!$B$31+'Inputs'!$B$32)/1000+'Inputs'!$B$21)+'Inputs'!$B$9)^2+('Inputs'!$B$8/2)^2)-(((71-43)*MAX('Inputs'!$B$33,'Inputs'!$B$29+'Inputs'!$B$31+'Inputs'!$B$32,'Inputs'!$B$30+'Inputs'!$B$31+'Inputs'!$B$32)/1000+'Inputs'!$B$21))/SQRT((((71-43)*MAX('Inputs'!$B$33,'Inputs'!$B$29+'Inputs'!$B$31+'Inputs'!$B$32,'Inputs'!$B$30+'Inputs'!$B$31+'Inputs'!$B$32)/1000+'Inputs'!$B$21))^2+('Inputs'!$B$8/2)^2)))-'Results'!B7*(1-'Inputs'!$B$24)*(0.5*((((71-43)*MAX('Inputs'!$B$33,'Inputs'!$B$29+'Inputs'!$B$31+'Inputs'!$B$32,'Inputs'!$B$30+'Inputs'!$B$31+'Inputs'!$B$32)/1000+'Inputs'!$B$21+'Inputs'!$B$9+'Inputs'!$B$10)+'Inputs'!$B$7)/SQRT((((71-43)*MAX('Inputs'!$B$33,'Inputs'!$B$29+'Inputs'!$B$31+'Inputs'!$B$32,'Inputs'!$B$30+'Inputs'!$B$31+'Inputs'!$B$32)/1000+'Inputs'!$B$21+'Inputs'!$B$9+'Inputs'!$B$10)+'Inputs'!$B$7)^2+('Inputs'!$B$6/2)^2)-(((71-43)*MAX('Inputs'!$B$33,'Inputs'!$B$29+'Inputs'!$B$31+'Inputs'!$B$32,'Inputs'!$B$30+'Inputs'!$B$31+'Inputs'!$B$32)/1000+'Inputs'!$B$21+'Inputs'!$B$9+'Inputs'!$B$10))/SQRT((((71-43)*MAX('Inputs'!$B$33,'Inputs'!$B$29+'Inputs'!$B$31+'Inputs'!$B$32,'Inputs'!$B$30+'Inputs'!$B$31+'Inputs'!$B$32)/1000+'Inputs'!$B$21+'Inputs'!$B$9+'Inputs'!$B$10))^2+('Inputs'!$B$6/2)^2))))*'Results'!$B$8))),"")</x:f>
        <x:v>1530.5386113461543</x:v>
      </x:c>
      <x:c r="P71" t="n">
        <x:f>IF(AND(MAX(J71,J70)&gt;0,J71&gt;J70+0.00000001),1,0)</x:f>
        <x:v>0</x:v>
      </x:c>
      <x:c r="Q71" t="n">
        <x:f>IF(AND(MAX(K71,K70)&gt;0,K71&gt;K70+0.00000001),1,0)</x:f>
        <x:v>0</x:v>
      </x:c>
      <x:c r="R71" t="n">
        <x:f>IF(AND(MAX(L71,L70)&gt;0,L71&gt;L70+0.00000001),1,0)</x:f>
        <x:v>0</x:v>
      </x:c>
      <x:c r="S71" t="n">
        <x:f>IF(AND(MAX(M71,M70)&gt;0,M71&gt;M70+0.00000001),1,0)</x:f>
        <x:v>0</x:v>
      </x:c>
      <x:c r="T71" t="n">
        <x:f>IF(AND(MAX(N71,N70)&gt;0,N71&gt;N70+0.00000001),1,0)</x:f>
        <x:v>0</x:v>
      </x:c>
      <x:c r="U71" t="n">
        <x:f>IF(AND(MAX(O71,O70)&gt;0,O71&gt;O70+0.00000001),1,0)</x:f>
        <x:v>0</x:v>
      </x:c>
    </x:row>
    <x:row r="72">
      <x:c r="J72" t="n">
        <x:f>IF(AND(ISNUMBER('Results'!B7),ISNUMBER('Results'!C7),ISNUMBER('Results'!$B$8),ISNUMBER('Inputs'!$B$6),ISNUMBER('Inputs'!$B$7),ISNUMBER('Inputs'!$B$8),ISNUMBER('Inputs'!$B$9),ISNUMBER('Inputs'!$B$10),ISNUMBER('Inputs'!$B$21),ISNUMBER('Inputs'!$B$24),ISNUMBER('Inputs'!$B$28)),(('Results'!B7*(0.5*((((72-43)*MAX('Inputs'!$B$33,'Inputs'!$B$29+'Inputs'!$B$31+'Inputs'!$B$32,'Inputs'!$B$30+'Inputs'!$B$31+'Inputs'!$B$32)/1000+'Inputs'!$B$21)+'Inputs'!$B$7)/SQRT((((72-43)*MAX('Inputs'!$B$33,'Inputs'!$B$29+'Inputs'!$B$31+'Inputs'!$B$32,'Inputs'!$B$30+'Inputs'!$B$31+'Inputs'!$B$32)/1000+'Inputs'!$B$21)+'Inputs'!$B$7)^2+('Inputs'!$B$6/2)^2)-(((72-43)*MAX('Inputs'!$B$33,'Inputs'!$B$29+'Inputs'!$B$31+'Inputs'!$B$32,'Inputs'!$B$30+'Inputs'!$B$31+'Inputs'!$B$32)/1000+'Inputs'!$B$21))/SQRT((((72-43)*MAX('Inputs'!$B$33,'Inputs'!$B$29+'Inputs'!$B$31+'Inputs'!$B$32,'Inputs'!$B$30+'Inputs'!$B$31+'Inputs'!$B$32)/1000+'Inputs'!$B$21))^2+('Inputs'!$B$6/2)^2)))-'Results'!C7*(0.5*((((72-43)*MAX('Inputs'!$B$33,'Inputs'!$B$29+'Inputs'!$B$31+'Inputs'!$B$32,'Inputs'!$B$30+'Inputs'!$B$31+'Inputs'!$B$32)/1000+'Inputs'!$B$21+'Inputs'!$B$7+'Inputs'!$B$10)+'Inputs'!$B$9)/SQRT((((72-43)*MAX('Inputs'!$B$33,'Inputs'!$B$29+'Inputs'!$B$31+'Inputs'!$B$32,'Inputs'!$B$30+'Inputs'!$B$31+'Inputs'!$B$32)/1000+'Inputs'!$B$21+'Inputs'!$B$7+'Inputs'!$B$10)+'Inputs'!$B$9)^2+('Inputs'!$B$8/2)^2)-(((72-43)*MAX('Inputs'!$B$33,'Inputs'!$B$29+'Inputs'!$B$31+'Inputs'!$B$32,'Inputs'!$B$30+'Inputs'!$B$31+'Inputs'!$B$32)/1000+'Inputs'!$B$21+'Inputs'!$B$7+'Inputs'!$B$10))/SQRT((((72-43)*MAX('Inputs'!$B$33,'Inputs'!$B$29+'Inputs'!$B$31+'Inputs'!$B$32,'Inputs'!$B$30+'Inputs'!$B$31+'Inputs'!$B$32)/1000+'Inputs'!$B$21+'Inputs'!$B$7+'Inputs'!$B$10))^2+('Inputs'!$B$8/2)^2))))*'Results'!$B$8),"")</x:f>
        <x:v>1435.0370963070372</x:v>
      </x:c>
      <x:c r="K72" t="n">
        <x:f>IF(AND(ISNUMBER('Results'!B7),ISNUMBER('Results'!C7),ISNUMBER('Results'!$B$8),ISNUMBER('Inputs'!$B$6),ISNUMBER('Inputs'!$B$7),ISNUMBER('Inputs'!$B$8),ISNUMBER('Inputs'!$B$9),ISNUMBER('Inputs'!$B$10),ISNUMBER('Inputs'!$B$21),ISNUMBER('Inputs'!$B$24),ISNUMBER('Inputs'!$B$28)),((('Results'!B7*(1-'Inputs'!$B$24)*(0.5*((((72-43)*MAX('Inputs'!$B$33,'Inputs'!$B$29+'Inputs'!$B$31+'Inputs'!$B$32,'Inputs'!$B$30+'Inputs'!$B$31+'Inputs'!$B$32)/1000+'Inputs'!$B$21)+'Inputs'!$B$7)/SQRT((((72-43)*MAX('Inputs'!$B$33,'Inputs'!$B$29+'Inputs'!$B$31+'Inputs'!$B$32,'Inputs'!$B$30+'Inputs'!$B$31+'Inputs'!$B$32)/1000+'Inputs'!$B$21)+'Inputs'!$B$7)^2+('Inputs'!$B$6/2)^2)-(((72-43)*MAX('Inputs'!$B$33,'Inputs'!$B$29+'Inputs'!$B$31+'Inputs'!$B$32,'Inputs'!$B$30+'Inputs'!$B$31+'Inputs'!$B$32)/1000+'Inputs'!$B$21))/SQRT((((72-43)*MAX('Inputs'!$B$33,'Inputs'!$B$29+'Inputs'!$B$31+'Inputs'!$B$32,'Inputs'!$B$30+'Inputs'!$B$31+'Inputs'!$B$32)/1000+'Inputs'!$B$21))^2+('Inputs'!$B$6/2)^2)))-'Results'!C7*(1+'Inputs'!$B$24)*(0.5*((((72-43)*MAX('Inputs'!$B$33,'Inputs'!$B$29+'Inputs'!$B$31+'Inputs'!$B$32,'Inputs'!$B$30+'Inputs'!$B$31+'Inputs'!$B$32)/1000+'Inputs'!$B$21+'Inputs'!$B$7+'Inputs'!$B$10)+'Inputs'!$B$9)/SQRT((((72-43)*MAX('Inputs'!$B$33,'Inputs'!$B$29+'Inputs'!$B$31+'Inputs'!$B$32,'Inputs'!$B$30+'Inputs'!$B$31+'Inputs'!$B$32)/1000+'Inputs'!$B$21+'Inputs'!$B$7+'Inputs'!$B$10)+'Inputs'!$B$9)^2+('Inputs'!$B$8/2)^2)-(((72-43)*MAX('Inputs'!$B$33,'Inputs'!$B$29+'Inputs'!$B$31+'Inputs'!$B$32,'Inputs'!$B$30+'Inputs'!$B$31+'Inputs'!$B$32)/1000+'Inputs'!$B$21+'Inputs'!$B$7+'Inputs'!$B$10))/SQRT((((72-43)*MAX('Inputs'!$B$33,'Inputs'!$B$29+'Inputs'!$B$31+'Inputs'!$B$32,'Inputs'!$B$30+'Inputs'!$B$31+'Inputs'!$B$32)/1000+'Inputs'!$B$21+'Inputs'!$B$7+'Inputs'!$B$10))^2+('Inputs'!$B$8/2)^2))))*'Results'!$B$8)-'Inputs'!$B$28*ABS((('Results'!B7*(1-'Inputs'!$B$24)*(0.5*((((72-43)*MAX('Inputs'!$B$33,'Inputs'!$B$29+'Inputs'!$B$31+'Inputs'!$B$32,'Inputs'!$B$30+'Inputs'!$B$31+'Inputs'!$B$32)/1000+'Inputs'!$B$21)+'Inputs'!$B$7)/SQRT((((72-43)*MAX('Inputs'!$B$33,'Inputs'!$B$29+'Inputs'!$B$31+'Inputs'!$B$32,'Inputs'!$B$30+'Inputs'!$B$31+'Inputs'!$B$32)/1000+'Inputs'!$B$21)+'Inputs'!$B$7)^2+('Inputs'!$B$6/2)^2)-(((72-43)*MAX('Inputs'!$B$33,'Inputs'!$B$29+'Inputs'!$B$31+'Inputs'!$B$32,'Inputs'!$B$30+'Inputs'!$B$31+'Inputs'!$B$32)/1000+'Inputs'!$B$21))/SQRT((((72-43)*MAX('Inputs'!$B$33,'Inputs'!$B$29+'Inputs'!$B$31+'Inputs'!$B$32,'Inputs'!$B$30+'Inputs'!$B$31+'Inputs'!$B$32)/1000+'Inputs'!$B$21))^2+('Inputs'!$B$6/2)^2)))-'Results'!C7*(1+'Inputs'!$B$24)*(0.5*((((72-43)*MAX('Inputs'!$B$33,'Inputs'!$B$29+'Inputs'!$B$31+'Inputs'!$B$32,'Inputs'!$B$30+'Inputs'!$B$31+'Inputs'!$B$32)/1000+'Inputs'!$B$21+'Inputs'!$B$7+'Inputs'!$B$10)+'Inputs'!$B$9)/SQRT((((72-43)*MAX('Inputs'!$B$33,'Inputs'!$B$29+'Inputs'!$B$31+'Inputs'!$B$32,'Inputs'!$B$30+'Inputs'!$B$31+'Inputs'!$B$32)/1000+'Inputs'!$B$21+'Inputs'!$B$7+'Inputs'!$B$10)+'Inputs'!$B$9)^2+('Inputs'!$B$8/2)^2)-(((72-43)*MAX('Inputs'!$B$33,'Inputs'!$B$29+'Inputs'!$B$31+'Inputs'!$B$32,'Inputs'!$B$30+'Inputs'!$B$31+'Inputs'!$B$32)/1000+'Inputs'!$B$21+'Inputs'!$B$7+'Inputs'!$B$10))/SQRT((((72-43)*MAX('Inputs'!$B$33,'Inputs'!$B$29+'Inputs'!$B$31+'Inputs'!$B$32,'Inputs'!$B$30+'Inputs'!$B$31+'Inputs'!$B$32)/1000+'Inputs'!$B$21+'Inputs'!$B$7+'Inputs'!$B$10))^2+('Inputs'!$B$8/2)^2))))*'Results'!$B$8))),"")</x:f>
        <x:v>1327.6178249965146</x:v>
      </x:c>
      <x:c r="L72" t="n">
        <x:f>IF(AND(ISNUMBER('Results'!B7),ISNUMBER('Results'!C7),ISNUMBER('Results'!$B$8),ISNUMBER('Inputs'!$B$6),ISNUMBER('Inputs'!$B$7),ISNUMBER('Inputs'!$B$8),ISNUMBER('Inputs'!$B$9),ISNUMBER('Inputs'!$B$10),ISNUMBER('Inputs'!$B$21),ISNUMBER('Inputs'!$B$24),ISNUMBER('Inputs'!$B$28)),((('Results'!B7*(1+'Inputs'!$B$24)*(0.5*((((72-43)*MAX('Inputs'!$B$33,'Inputs'!$B$29+'Inputs'!$B$31+'Inputs'!$B$32,'Inputs'!$B$30+'Inputs'!$B$31+'Inputs'!$B$32)/1000+'Inputs'!$B$21)+'Inputs'!$B$7)/SQRT((((72-43)*MAX('Inputs'!$B$33,'Inputs'!$B$29+'Inputs'!$B$31+'Inputs'!$B$32,'Inputs'!$B$30+'Inputs'!$B$31+'Inputs'!$B$32)/1000+'Inputs'!$B$21)+'Inputs'!$B$7)^2+('Inputs'!$B$6/2)^2)-(((72-43)*MAX('Inputs'!$B$33,'Inputs'!$B$29+'Inputs'!$B$31+'Inputs'!$B$32,'Inputs'!$B$30+'Inputs'!$B$31+'Inputs'!$B$32)/1000+'Inputs'!$B$21))/SQRT((((72-43)*MAX('Inputs'!$B$33,'Inputs'!$B$29+'Inputs'!$B$31+'Inputs'!$B$32,'Inputs'!$B$30+'Inputs'!$B$31+'Inputs'!$B$32)/1000+'Inputs'!$B$21))^2+('Inputs'!$B$6/2)^2)))-'Results'!C7*(1-'Inputs'!$B$24)*(0.5*((((72-43)*MAX('Inputs'!$B$33,'Inputs'!$B$29+'Inputs'!$B$31+'Inputs'!$B$32,'Inputs'!$B$30+'Inputs'!$B$31+'Inputs'!$B$32)/1000+'Inputs'!$B$21+'Inputs'!$B$7+'Inputs'!$B$10)+'Inputs'!$B$9)/SQRT((((72-43)*MAX('Inputs'!$B$33,'Inputs'!$B$29+'Inputs'!$B$31+'Inputs'!$B$32,'Inputs'!$B$30+'Inputs'!$B$31+'Inputs'!$B$32)/1000+'Inputs'!$B$21+'Inputs'!$B$7+'Inputs'!$B$10)+'Inputs'!$B$9)^2+('Inputs'!$B$8/2)^2)-(((72-43)*MAX('Inputs'!$B$33,'Inputs'!$B$29+'Inputs'!$B$31+'Inputs'!$B$32,'Inputs'!$B$30+'Inputs'!$B$31+'Inputs'!$B$32)/1000+'Inputs'!$B$21+'Inputs'!$B$7+'Inputs'!$B$10))/SQRT((((72-43)*MAX('Inputs'!$B$33,'Inputs'!$B$29+'Inputs'!$B$31+'Inputs'!$B$32,'Inputs'!$B$30+'Inputs'!$B$31+'Inputs'!$B$32)/1000+'Inputs'!$B$21+'Inputs'!$B$7+'Inputs'!$B$10))^2+('Inputs'!$B$8/2)^2))))*'Results'!$B$8)+'Inputs'!$B$28*ABS((('Results'!B7*(1+'Inputs'!$B$24)*(0.5*((((72-43)*MAX('Inputs'!$B$33,'Inputs'!$B$29+'Inputs'!$B$31+'Inputs'!$B$32,'Inputs'!$B$30+'Inputs'!$B$31+'Inputs'!$B$32)/1000+'Inputs'!$B$21)+'Inputs'!$B$7)/SQRT((((72-43)*MAX('Inputs'!$B$33,'Inputs'!$B$29+'Inputs'!$B$31+'Inputs'!$B$32,'Inputs'!$B$30+'Inputs'!$B$31+'Inputs'!$B$32)/1000+'Inputs'!$B$21)+'Inputs'!$B$7)^2+('Inputs'!$B$6/2)^2)-(((72-43)*MAX('Inputs'!$B$33,'Inputs'!$B$29+'Inputs'!$B$31+'Inputs'!$B$32,'Inputs'!$B$30+'Inputs'!$B$31+'Inputs'!$B$32)/1000+'Inputs'!$B$21))/SQRT((((72-43)*MAX('Inputs'!$B$33,'Inputs'!$B$29+'Inputs'!$B$31+'Inputs'!$B$32,'Inputs'!$B$30+'Inputs'!$B$31+'Inputs'!$B$32)/1000+'Inputs'!$B$21))^2+('Inputs'!$B$6/2)^2)))-'Results'!C7*(1-'Inputs'!$B$24)*(0.5*((((72-43)*MAX('Inputs'!$B$33,'Inputs'!$B$29+'Inputs'!$B$31+'Inputs'!$B$32,'Inputs'!$B$30+'Inputs'!$B$31+'Inputs'!$B$32)/1000+'Inputs'!$B$21+'Inputs'!$B$7+'Inputs'!$B$10)+'Inputs'!$B$9)/SQRT((((72-43)*MAX('Inputs'!$B$33,'Inputs'!$B$29+'Inputs'!$B$31+'Inputs'!$B$32,'Inputs'!$B$30+'Inputs'!$B$31+'Inputs'!$B$32)/1000+'Inputs'!$B$21+'Inputs'!$B$7+'Inputs'!$B$10)+'Inputs'!$B$9)^2+('Inputs'!$B$8/2)^2)-(((72-43)*MAX('Inputs'!$B$33,'Inputs'!$B$29+'Inputs'!$B$31+'Inputs'!$B$32,'Inputs'!$B$30+'Inputs'!$B$31+'Inputs'!$B$32)/1000+'Inputs'!$B$21+'Inputs'!$B$7+'Inputs'!$B$10))/SQRT((((72-43)*MAX('Inputs'!$B$33,'Inputs'!$B$29+'Inputs'!$B$31+'Inputs'!$B$32,'Inputs'!$B$30+'Inputs'!$B$31+'Inputs'!$B$32)/1000+'Inputs'!$B$21+'Inputs'!$B$7+'Inputs'!$B$10))^2+('Inputs'!$B$8/2)^2))))*'Results'!$B$8))),"")</x:f>
        <x:v>1546.2108325117886</x:v>
      </x:c>
      <x:c r="M72" t="n">
        <x:f>IF(AND(ISNUMBER('Results'!C7),ISNUMBER('Results'!B7),ISNUMBER('Results'!$B$8),ISNUMBER('Inputs'!$B$6),ISNUMBER('Inputs'!$B$7),ISNUMBER('Inputs'!$B$8),ISNUMBER('Inputs'!$B$9),ISNUMBER('Inputs'!$B$10),ISNUMBER('Inputs'!$B$21),ISNUMBER('Inputs'!$B$24),ISNUMBER('Inputs'!$B$28)),(('Results'!C7*(0.5*((((72-43)*MAX('Inputs'!$B$33,'Inputs'!$B$29+'Inputs'!$B$31+'Inputs'!$B$32,'Inputs'!$B$30+'Inputs'!$B$31+'Inputs'!$B$32)/1000+'Inputs'!$B$21)+'Inputs'!$B$9)/SQRT((((72-43)*MAX('Inputs'!$B$33,'Inputs'!$B$29+'Inputs'!$B$31+'Inputs'!$B$32,'Inputs'!$B$30+'Inputs'!$B$31+'Inputs'!$B$32)/1000+'Inputs'!$B$21)+'Inputs'!$B$9)^2+('Inputs'!$B$8/2)^2)-(((72-43)*MAX('Inputs'!$B$33,'Inputs'!$B$29+'Inputs'!$B$31+'Inputs'!$B$32,'Inputs'!$B$30+'Inputs'!$B$31+'Inputs'!$B$32)/1000+'Inputs'!$B$21))/SQRT((((72-43)*MAX('Inputs'!$B$33,'Inputs'!$B$29+'Inputs'!$B$31+'Inputs'!$B$32,'Inputs'!$B$30+'Inputs'!$B$31+'Inputs'!$B$32)/1000+'Inputs'!$B$21))^2+('Inputs'!$B$8/2)^2)))-'Results'!B7*(0.5*((((72-43)*MAX('Inputs'!$B$33,'Inputs'!$B$29+'Inputs'!$B$31+'Inputs'!$B$32,'Inputs'!$B$30+'Inputs'!$B$31+'Inputs'!$B$32)/1000+'Inputs'!$B$21+'Inputs'!$B$9+'Inputs'!$B$10)+'Inputs'!$B$7)/SQRT((((72-43)*MAX('Inputs'!$B$33,'Inputs'!$B$29+'Inputs'!$B$31+'Inputs'!$B$32,'Inputs'!$B$30+'Inputs'!$B$31+'Inputs'!$B$32)/1000+'Inputs'!$B$21+'Inputs'!$B$9+'Inputs'!$B$10)+'Inputs'!$B$7)^2+('Inputs'!$B$6/2)^2)-(((72-43)*MAX('Inputs'!$B$33,'Inputs'!$B$29+'Inputs'!$B$31+'Inputs'!$B$32,'Inputs'!$B$30+'Inputs'!$B$31+'Inputs'!$B$32)/1000+'Inputs'!$B$21+'Inputs'!$B$9+'Inputs'!$B$10))/SQRT((((72-43)*MAX('Inputs'!$B$33,'Inputs'!$B$29+'Inputs'!$B$31+'Inputs'!$B$32,'Inputs'!$B$30+'Inputs'!$B$31+'Inputs'!$B$32)/1000+'Inputs'!$B$21+'Inputs'!$B$9+'Inputs'!$B$10))^2+('Inputs'!$B$6/2)^2))))*'Results'!$B$8),"")</x:f>
        <x:v>1397.402203415608</x:v>
      </x:c>
      <x:c r="N72" t="n">
        <x:f>IF(AND(ISNUMBER('Results'!C7),ISNUMBER('Results'!B7),ISNUMBER('Results'!$B$8),ISNUMBER('Inputs'!$B$6),ISNUMBER('Inputs'!$B$7),ISNUMBER('Inputs'!$B$8),ISNUMBER('Inputs'!$B$9),ISNUMBER('Inputs'!$B$10),ISNUMBER('Inputs'!$B$21),ISNUMBER('Inputs'!$B$24),ISNUMBER('Inputs'!$B$28)),((('Results'!C7*(1-'Inputs'!$B$24)*(0.5*((((72-43)*MAX('Inputs'!$B$33,'Inputs'!$B$29+'Inputs'!$B$31+'Inputs'!$B$32,'Inputs'!$B$30+'Inputs'!$B$31+'Inputs'!$B$32)/1000+'Inputs'!$B$21)+'Inputs'!$B$9)/SQRT((((72-43)*MAX('Inputs'!$B$33,'Inputs'!$B$29+'Inputs'!$B$31+'Inputs'!$B$32,'Inputs'!$B$30+'Inputs'!$B$31+'Inputs'!$B$32)/1000+'Inputs'!$B$21)+'Inputs'!$B$9)^2+('Inputs'!$B$8/2)^2)-(((72-43)*MAX('Inputs'!$B$33,'Inputs'!$B$29+'Inputs'!$B$31+'Inputs'!$B$32,'Inputs'!$B$30+'Inputs'!$B$31+'Inputs'!$B$32)/1000+'Inputs'!$B$21))/SQRT((((72-43)*MAX('Inputs'!$B$33,'Inputs'!$B$29+'Inputs'!$B$31+'Inputs'!$B$32,'Inputs'!$B$30+'Inputs'!$B$31+'Inputs'!$B$32)/1000+'Inputs'!$B$21))^2+('Inputs'!$B$8/2)^2)))-'Results'!B7*(1+'Inputs'!$B$24)*(0.5*((((72-43)*MAX('Inputs'!$B$33,'Inputs'!$B$29+'Inputs'!$B$31+'Inputs'!$B$32,'Inputs'!$B$30+'Inputs'!$B$31+'Inputs'!$B$32)/1000+'Inputs'!$B$21+'Inputs'!$B$9+'Inputs'!$B$10)+'Inputs'!$B$7)/SQRT((((72-43)*MAX('Inputs'!$B$33,'Inputs'!$B$29+'Inputs'!$B$31+'Inputs'!$B$32,'Inputs'!$B$30+'Inputs'!$B$31+'Inputs'!$B$32)/1000+'Inputs'!$B$21+'Inputs'!$B$9+'Inputs'!$B$10)+'Inputs'!$B$7)^2+('Inputs'!$B$6/2)^2)-(((72-43)*MAX('Inputs'!$B$33,'Inputs'!$B$29+'Inputs'!$B$31+'Inputs'!$B$32,'Inputs'!$B$30+'Inputs'!$B$31+'Inputs'!$B$32)/1000+'Inputs'!$B$21+'Inputs'!$B$9+'Inputs'!$B$10))/SQRT((((72-43)*MAX('Inputs'!$B$33,'Inputs'!$B$29+'Inputs'!$B$31+'Inputs'!$B$32,'Inputs'!$B$30+'Inputs'!$B$31+'Inputs'!$B$32)/1000+'Inputs'!$B$21+'Inputs'!$B$9+'Inputs'!$B$10))^2+('Inputs'!$B$6/2)^2))))*'Results'!$B$8)-'Inputs'!$B$28*ABS((('Results'!C7*(1-'Inputs'!$B$24)*(0.5*((((72-43)*MAX('Inputs'!$B$33,'Inputs'!$B$29+'Inputs'!$B$31+'Inputs'!$B$32,'Inputs'!$B$30+'Inputs'!$B$31+'Inputs'!$B$32)/1000+'Inputs'!$B$21)+'Inputs'!$B$9)/SQRT((((72-43)*MAX('Inputs'!$B$33,'Inputs'!$B$29+'Inputs'!$B$31+'Inputs'!$B$32,'Inputs'!$B$30+'Inputs'!$B$31+'Inputs'!$B$32)/1000+'Inputs'!$B$21)+'Inputs'!$B$9)^2+('Inputs'!$B$8/2)^2)-(((72-43)*MAX('Inputs'!$B$33,'Inputs'!$B$29+'Inputs'!$B$31+'Inputs'!$B$32,'Inputs'!$B$30+'Inputs'!$B$31+'Inputs'!$B$32)/1000+'Inputs'!$B$21))/SQRT((((72-43)*MAX('Inputs'!$B$33,'Inputs'!$B$29+'Inputs'!$B$31+'Inputs'!$B$32,'Inputs'!$B$30+'Inputs'!$B$31+'Inputs'!$B$32)/1000+'Inputs'!$B$21))^2+('Inputs'!$B$8/2)^2)))-'Results'!B7*(1+'Inputs'!$B$24)*(0.5*((((72-43)*MAX('Inputs'!$B$33,'Inputs'!$B$29+'Inputs'!$B$31+'Inputs'!$B$32,'Inputs'!$B$30+'Inputs'!$B$31+'Inputs'!$B$32)/1000+'Inputs'!$B$21+'Inputs'!$B$9+'Inputs'!$B$10)+'Inputs'!$B$7)/SQRT((((72-43)*MAX('Inputs'!$B$33,'Inputs'!$B$29+'Inputs'!$B$31+'Inputs'!$B$32,'Inputs'!$B$30+'Inputs'!$B$31+'Inputs'!$B$32)/1000+'Inputs'!$B$21+'Inputs'!$B$9+'Inputs'!$B$10)+'Inputs'!$B$7)^2+('Inputs'!$B$6/2)^2)-(((72-43)*MAX('Inputs'!$B$33,'Inputs'!$B$29+'Inputs'!$B$31+'Inputs'!$B$32,'Inputs'!$B$30+'Inputs'!$B$31+'Inputs'!$B$32)/1000+'Inputs'!$B$21+'Inputs'!$B$9+'Inputs'!$B$10))/SQRT((((72-43)*MAX('Inputs'!$B$33,'Inputs'!$B$29+'Inputs'!$B$31+'Inputs'!$B$32,'Inputs'!$B$30+'Inputs'!$B$31+'Inputs'!$B$32)/1000+'Inputs'!$B$21+'Inputs'!$B$9+'Inputs'!$B$10))^2+('Inputs'!$B$6/2)^2))))*'Results'!$B$8))),"")</x:f>
        <x:v>1292.4082762112196</x:v>
      </x:c>
      <x:c r="O72" t="n">
        <x:f>IF(AND(ISNUMBER('Results'!C7),ISNUMBER('Results'!B7),ISNUMBER('Results'!$B$8),ISNUMBER('Inputs'!$B$6),ISNUMBER('Inputs'!$B$7),ISNUMBER('Inputs'!$B$8),ISNUMBER('Inputs'!$B$9),ISNUMBER('Inputs'!$B$10),ISNUMBER('Inputs'!$B$21),ISNUMBER('Inputs'!$B$24),ISNUMBER('Inputs'!$B$28)),((('Results'!C7*(1+'Inputs'!$B$24)*(0.5*((((72-43)*MAX('Inputs'!$B$33,'Inputs'!$B$29+'Inputs'!$B$31+'Inputs'!$B$32,'Inputs'!$B$30+'Inputs'!$B$31+'Inputs'!$B$32)/1000+'Inputs'!$B$21)+'Inputs'!$B$9)/SQRT((((72-43)*MAX('Inputs'!$B$33,'Inputs'!$B$29+'Inputs'!$B$31+'Inputs'!$B$32,'Inputs'!$B$30+'Inputs'!$B$31+'Inputs'!$B$32)/1000+'Inputs'!$B$21)+'Inputs'!$B$9)^2+('Inputs'!$B$8/2)^2)-(((72-43)*MAX('Inputs'!$B$33,'Inputs'!$B$29+'Inputs'!$B$31+'Inputs'!$B$32,'Inputs'!$B$30+'Inputs'!$B$31+'Inputs'!$B$32)/1000+'Inputs'!$B$21))/SQRT((((72-43)*MAX('Inputs'!$B$33,'Inputs'!$B$29+'Inputs'!$B$31+'Inputs'!$B$32,'Inputs'!$B$30+'Inputs'!$B$31+'Inputs'!$B$32)/1000+'Inputs'!$B$21))^2+('Inputs'!$B$8/2)^2)))-'Results'!B7*(1-'Inputs'!$B$24)*(0.5*((((72-43)*MAX('Inputs'!$B$33,'Inputs'!$B$29+'Inputs'!$B$31+'Inputs'!$B$32,'Inputs'!$B$30+'Inputs'!$B$31+'Inputs'!$B$32)/1000+'Inputs'!$B$21+'Inputs'!$B$9+'Inputs'!$B$10)+'Inputs'!$B$7)/SQRT((((72-43)*MAX('Inputs'!$B$33,'Inputs'!$B$29+'Inputs'!$B$31+'Inputs'!$B$32,'Inputs'!$B$30+'Inputs'!$B$31+'Inputs'!$B$32)/1000+'Inputs'!$B$21+'Inputs'!$B$9+'Inputs'!$B$10)+'Inputs'!$B$7)^2+('Inputs'!$B$6/2)^2)-(((72-43)*MAX('Inputs'!$B$33,'Inputs'!$B$29+'Inputs'!$B$31+'Inputs'!$B$32,'Inputs'!$B$30+'Inputs'!$B$31+'Inputs'!$B$32)/1000+'Inputs'!$B$21+'Inputs'!$B$9+'Inputs'!$B$10))/SQRT((((72-43)*MAX('Inputs'!$B$33,'Inputs'!$B$29+'Inputs'!$B$31+'Inputs'!$B$32,'Inputs'!$B$30+'Inputs'!$B$31+'Inputs'!$B$32)/1000+'Inputs'!$B$21+'Inputs'!$B$9+'Inputs'!$B$10))^2+('Inputs'!$B$6/2)^2))))*'Results'!$B$8)+'Inputs'!$B$28*ABS((('Results'!C7*(1+'Inputs'!$B$24)*(0.5*((((72-43)*MAX('Inputs'!$B$33,'Inputs'!$B$29+'Inputs'!$B$31+'Inputs'!$B$32,'Inputs'!$B$30+'Inputs'!$B$31+'Inputs'!$B$32)/1000+'Inputs'!$B$21)+'Inputs'!$B$9)/SQRT((((72-43)*MAX('Inputs'!$B$33,'Inputs'!$B$29+'Inputs'!$B$31+'Inputs'!$B$32,'Inputs'!$B$30+'Inputs'!$B$31+'Inputs'!$B$32)/1000+'Inputs'!$B$21)+'Inputs'!$B$9)^2+('Inputs'!$B$8/2)^2)-(((72-43)*MAX('Inputs'!$B$33,'Inputs'!$B$29+'Inputs'!$B$31+'Inputs'!$B$32,'Inputs'!$B$30+'Inputs'!$B$31+'Inputs'!$B$32)/1000+'Inputs'!$B$21))/SQRT((((72-43)*MAX('Inputs'!$B$33,'Inputs'!$B$29+'Inputs'!$B$31+'Inputs'!$B$32,'Inputs'!$B$30+'Inputs'!$B$31+'Inputs'!$B$32)/1000+'Inputs'!$B$21))^2+('Inputs'!$B$8/2)^2)))-'Results'!B7*(1-'Inputs'!$B$24)*(0.5*((((72-43)*MAX('Inputs'!$B$33,'Inputs'!$B$29+'Inputs'!$B$31+'Inputs'!$B$32,'Inputs'!$B$30+'Inputs'!$B$31+'Inputs'!$B$32)/1000+'Inputs'!$B$21+'Inputs'!$B$9+'Inputs'!$B$10)+'Inputs'!$B$7)/SQRT((((72-43)*MAX('Inputs'!$B$33,'Inputs'!$B$29+'Inputs'!$B$31+'Inputs'!$B$32,'Inputs'!$B$30+'Inputs'!$B$31+'Inputs'!$B$32)/1000+'Inputs'!$B$21+'Inputs'!$B$9+'Inputs'!$B$10)+'Inputs'!$B$7)^2+('Inputs'!$B$6/2)^2)-(((72-43)*MAX('Inputs'!$B$33,'Inputs'!$B$29+'Inputs'!$B$31+'Inputs'!$B$32,'Inputs'!$B$30+'Inputs'!$B$31+'Inputs'!$B$32)/1000+'Inputs'!$B$21+'Inputs'!$B$9+'Inputs'!$B$10))/SQRT((((72-43)*MAX('Inputs'!$B$33,'Inputs'!$B$29+'Inputs'!$B$31+'Inputs'!$B$32,'Inputs'!$B$30+'Inputs'!$B$31+'Inputs'!$B$32)/1000+'Inputs'!$B$21+'Inputs'!$B$9+'Inputs'!$B$10))^2+('Inputs'!$B$6/2)^2))))*'Results'!$B$8))),"")</x:f>
        <x:v>1506.0933745182708</x:v>
      </x:c>
      <x:c r="P72" t="n">
        <x:f>IF(AND(MAX(J72,J71)&gt;0,J72&gt;J71+0.00000001),1,0)</x:f>
        <x:v>0</x:v>
      </x:c>
      <x:c r="Q72" t="n">
        <x:f>IF(AND(MAX(K72,K71)&gt;0,K72&gt;K71+0.00000001),1,0)</x:f>
        <x:v>0</x:v>
      </x:c>
      <x:c r="R72" t="n">
        <x:f>IF(AND(MAX(L72,L71)&gt;0,L72&gt;L71+0.00000001),1,0)</x:f>
        <x:v>0</x:v>
      </x:c>
      <x:c r="S72" t="n">
        <x:f>IF(AND(MAX(M72,M71)&gt;0,M72&gt;M71+0.00000001),1,0)</x:f>
        <x:v>0</x:v>
      </x:c>
      <x:c r="T72" t="n">
        <x:f>IF(AND(MAX(N72,N71)&gt;0,N72&gt;N71+0.00000001),1,0)</x:f>
        <x:v>0</x:v>
      </x:c>
      <x:c r="U72" t="n">
        <x:f>IF(AND(MAX(O72,O71)&gt;0,O72&gt;O71+0.00000001),1,0)</x:f>
        <x:v>0</x:v>
      </x:c>
    </x:row>
    <x:row r="73">
      <x:c r="J73" t="n">
        <x:f>IF(AND(ISNUMBER('Results'!B7),ISNUMBER('Results'!C7),ISNUMBER('Results'!$B$8),ISNUMBER('Inputs'!$B$6),ISNUMBER('Inputs'!$B$7),ISNUMBER('Inputs'!$B$8),ISNUMBER('Inputs'!$B$9),ISNUMBER('Inputs'!$B$10),ISNUMBER('Inputs'!$B$21),ISNUMBER('Inputs'!$B$24),ISNUMBER('Inputs'!$B$28)),(('Results'!B7*(0.5*((((73-43)*MAX('Inputs'!$B$33,'Inputs'!$B$29+'Inputs'!$B$31+'Inputs'!$B$32,'Inputs'!$B$30+'Inputs'!$B$31+'Inputs'!$B$32)/1000+'Inputs'!$B$21)+'Inputs'!$B$7)/SQRT((((73-43)*MAX('Inputs'!$B$33,'Inputs'!$B$29+'Inputs'!$B$31+'Inputs'!$B$32,'Inputs'!$B$30+'Inputs'!$B$31+'Inputs'!$B$32)/1000+'Inputs'!$B$21)+'Inputs'!$B$7)^2+('Inputs'!$B$6/2)^2)-(((73-43)*MAX('Inputs'!$B$33,'Inputs'!$B$29+'Inputs'!$B$31+'Inputs'!$B$32,'Inputs'!$B$30+'Inputs'!$B$31+'Inputs'!$B$32)/1000+'Inputs'!$B$21))/SQRT((((73-43)*MAX('Inputs'!$B$33,'Inputs'!$B$29+'Inputs'!$B$31+'Inputs'!$B$32,'Inputs'!$B$30+'Inputs'!$B$31+'Inputs'!$B$32)/1000+'Inputs'!$B$21))^2+('Inputs'!$B$6/2)^2)))-'Results'!C7*(0.5*((((73-43)*MAX('Inputs'!$B$33,'Inputs'!$B$29+'Inputs'!$B$31+'Inputs'!$B$32,'Inputs'!$B$30+'Inputs'!$B$31+'Inputs'!$B$32)/1000+'Inputs'!$B$21+'Inputs'!$B$7+'Inputs'!$B$10)+'Inputs'!$B$9)/SQRT((((73-43)*MAX('Inputs'!$B$33,'Inputs'!$B$29+'Inputs'!$B$31+'Inputs'!$B$32,'Inputs'!$B$30+'Inputs'!$B$31+'Inputs'!$B$32)/1000+'Inputs'!$B$21+'Inputs'!$B$7+'Inputs'!$B$10)+'Inputs'!$B$9)^2+('Inputs'!$B$8/2)^2)-(((73-43)*MAX('Inputs'!$B$33,'Inputs'!$B$29+'Inputs'!$B$31+'Inputs'!$B$32,'Inputs'!$B$30+'Inputs'!$B$31+'Inputs'!$B$32)/1000+'Inputs'!$B$21+'Inputs'!$B$7+'Inputs'!$B$10))/SQRT((((73-43)*MAX('Inputs'!$B$33,'Inputs'!$B$29+'Inputs'!$B$31+'Inputs'!$B$32,'Inputs'!$B$30+'Inputs'!$B$31+'Inputs'!$B$32)/1000+'Inputs'!$B$21+'Inputs'!$B$7+'Inputs'!$B$10))^2+('Inputs'!$B$8/2)^2))))*'Results'!$B$8),"")</x:f>
        <x:v>1411.8177701933018</x:v>
      </x:c>
      <x:c r="K73" t="n">
        <x:f>IF(AND(ISNUMBER('Results'!B7),ISNUMBER('Results'!C7),ISNUMBER('Results'!$B$8),ISNUMBER('Inputs'!$B$6),ISNUMBER('Inputs'!$B$7),ISNUMBER('Inputs'!$B$8),ISNUMBER('Inputs'!$B$9),ISNUMBER('Inputs'!$B$10),ISNUMBER('Inputs'!$B$21),ISNUMBER('Inputs'!$B$24),ISNUMBER('Inputs'!$B$28)),((('Results'!B7*(1-'Inputs'!$B$24)*(0.5*((((73-43)*MAX('Inputs'!$B$33,'Inputs'!$B$29+'Inputs'!$B$31+'Inputs'!$B$32,'Inputs'!$B$30+'Inputs'!$B$31+'Inputs'!$B$32)/1000+'Inputs'!$B$21)+'Inputs'!$B$7)/SQRT((((73-43)*MAX('Inputs'!$B$33,'Inputs'!$B$29+'Inputs'!$B$31+'Inputs'!$B$32,'Inputs'!$B$30+'Inputs'!$B$31+'Inputs'!$B$32)/1000+'Inputs'!$B$21)+'Inputs'!$B$7)^2+('Inputs'!$B$6/2)^2)-(((73-43)*MAX('Inputs'!$B$33,'Inputs'!$B$29+'Inputs'!$B$31+'Inputs'!$B$32,'Inputs'!$B$30+'Inputs'!$B$31+'Inputs'!$B$32)/1000+'Inputs'!$B$21))/SQRT((((73-43)*MAX('Inputs'!$B$33,'Inputs'!$B$29+'Inputs'!$B$31+'Inputs'!$B$32,'Inputs'!$B$30+'Inputs'!$B$31+'Inputs'!$B$32)/1000+'Inputs'!$B$21))^2+('Inputs'!$B$6/2)^2)))-'Results'!C7*(1+'Inputs'!$B$24)*(0.5*((((73-43)*MAX('Inputs'!$B$33,'Inputs'!$B$29+'Inputs'!$B$31+'Inputs'!$B$32,'Inputs'!$B$30+'Inputs'!$B$31+'Inputs'!$B$32)/1000+'Inputs'!$B$21+'Inputs'!$B$7+'Inputs'!$B$10)+'Inputs'!$B$9)/SQRT((((73-43)*MAX('Inputs'!$B$33,'Inputs'!$B$29+'Inputs'!$B$31+'Inputs'!$B$32,'Inputs'!$B$30+'Inputs'!$B$31+'Inputs'!$B$32)/1000+'Inputs'!$B$21+'Inputs'!$B$7+'Inputs'!$B$10)+'Inputs'!$B$9)^2+('Inputs'!$B$8/2)^2)-(((73-43)*MAX('Inputs'!$B$33,'Inputs'!$B$29+'Inputs'!$B$31+'Inputs'!$B$32,'Inputs'!$B$30+'Inputs'!$B$31+'Inputs'!$B$32)/1000+'Inputs'!$B$21+'Inputs'!$B$7+'Inputs'!$B$10))/SQRT((((73-43)*MAX('Inputs'!$B$33,'Inputs'!$B$29+'Inputs'!$B$31+'Inputs'!$B$32,'Inputs'!$B$30+'Inputs'!$B$31+'Inputs'!$B$32)/1000+'Inputs'!$B$21+'Inputs'!$B$7+'Inputs'!$B$10))^2+('Inputs'!$B$8/2)^2))))*'Results'!$B$8)-'Inputs'!$B$28*ABS((('Results'!B7*(1-'Inputs'!$B$24)*(0.5*((((73-43)*MAX('Inputs'!$B$33,'Inputs'!$B$29+'Inputs'!$B$31+'Inputs'!$B$32,'Inputs'!$B$30+'Inputs'!$B$31+'Inputs'!$B$32)/1000+'Inputs'!$B$21)+'Inputs'!$B$7)/SQRT((((73-43)*MAX('Inputs'!$B$33,'Inputs'!$B$29+'Inputs'!$B$31+'Inputs'!$B$32,'Inputs'!$B$30+'Inputs'!$B$31+'Inputs'!$B$32)/1000+'Inputs'!$B$21)+'Inputs'!$B$7)^2+('Inputs'!$B$6/2)^2)-(((73-43)*MAX('Inputs'!$B$33,'Inputs'!$B$29+'Inputs'!$B$31+'Inputs'!$B$32,'Inputs'!$B$30+'Inputs'!$B$31+'Inputs'!$B$32)/1000+'Inputs'!$B$21))/SQRT((((73-43)*MAX('Inputs'!$B$33,'Inputs'!$B$29+'Inputs'!$B$31+'Inputs'!$B$32,'Inputs'!$B$30+'Inputs'!$B$31+'Inputs'!$B$32)/1000+'Inputs'!$B$21))^2+('Inputs'!$B$6/2)^2)))-'Results'!C7*(1+'Inputs'!$B$24)*(0.5*((((73-43)*MAX('Inputs'!$B$33,'Inputs'!$B$29+'Inputs'!$B$31+'Inputs'!$B$32,'Inputs'!$B$30+'Inputs'!$B$31+'Inputs'!$B$32)/1000+'Inputs'!$B$21+'Inputs'!$B$7+'Inputs'!$B$10)+'Inputs'!$B$9)/SQRT((((73-43)*MAX('Inputs'!$B$33,'Inputs'!$B$29+'Inputs'!$B$31+'Inputs'!$B$32,'Inputs'!$B$30+'Inputs'!$B$31+'Inputs'!$B$32)/1000+'Inputs'!$B$21+'Inputs'!$B$7+'Inputs'!$B$10)+'Inputs'!$B$9)^2+('Inputs'!$B$8/2)^2)-(((73-43)*MAX('Inputs'!$B$33,'Inputs'!$B$29+'Inputs'!$B$31+'Inputs'!$B$32,'Inputs'!$B$30+'Inputs'!$B$31+'Inputs'!$B$32)/1000+'Inputs'!$B$21+'Inputs'!$B$7+'Inputs'!$B$10))/SQRT((((73-43)*MAX('Inputs'!$B$33,'Inputs'!$B$29+'Inputs'!$B$31+'Inputs'!$B$32,'Inputs'!$B$30+'Inputs'!$B$31+'Inputs'!$B$32)/1000+'Inputs'!$B$21+'Inputs'!$B$7+'Inputs'!$B$10))^2+('Inputs'!$B$8/2)^2))))*'Results'!$B$8))),"")</x:f>
        <x:v>1306.1252347761947</x:v>
      </x:c>
      <x:c r="L73" t="n">
        <x:f>IF(AND(ISNUMBER('Results'!B7),ISNUMBER('Results'!C7),ISNUMBER('Results'!$B$8),ISNUMBER('Inputs'!$B$6),ISNUMBER('Inputs'!$B$7),ISNUMBER('Inputs'!$B$8),ISNUMBER('Inputs'!$B$9),ISNUMBER('Inputs'!$B$10),ISNUMBER('Inputs'!$B$21),ISNUMBER('Inputs'!$B$24),ISNUMBER('Inputs'!$B$28)),((('Results'!B7*(1+'Inputs'!$B$24)*(0.5*((((73-43)*MAX('Inputs'!$B$33,'Inputs'!$B$29+'Inputs'!$B$31+'Inputs'!$B$32,'Inputs'!$B$30+'Inputs'!$B$31+'Inputs'!$B$32)/1000+'Inputs'!$B$21)+'Inputs'!$B$7)/SQRT((((73-43)*MAX('Inputs'!$B$33,'Inputs'!$B$29+'Inputs'!$B$31+'Inputs'!$B$32,'Inputs'!$B$30+'Inputs'!$B$31+'Inputs'!$B$32)/1000+'Inputs'!$B$21)+'Inputs'!$B$7)^2+('Inputs'!$B$6/2)^2)-(((73-43)*MAX('Inputs'!$B$33,'Inputs'!$B$29+'Inputs'!$B$31+'Inputs'!$B$32,'Inputs'!$B$30+'Inputs'!$B$31+'Inputs'!$B$32)/1000+'Inputs'!$B$21))/SQRT((((73-43)*MAX('Inputs'!$B$33,'Inputs'!$B$29+'Inputs'!$B$31+'Inputs'!$B$32,'Inputs'!$B$30+'Inputs'!$B$31+'Inputs'!$B$32)/1000+'Inputs'!$B$21))^2+('Inputs'!$B$6/2)^2)))-'Results'!C7*(1-'Inputs'!$B$24)*(0.5*((((73-43)*MAX('Inputs'!$B$33,'Inputs'!$B$29+'Inputs'!$B$31+'Inputs'!$B$32,'Inputs'!$B$30+'Inputs'!$B$31+'Inputs'!$B$32)/1000+'Inputs'!$B$21+'Inputs'!$B$7+'Inputs'!$B$10)+'Inputs'!$B$9)/SQRT((((73-43)*MAX('Inputs'!$B$33,'Inputs'!$B$29+'Inputs'!$B$31+'Inputs'!$B$32,'Inputs'!$B$30+'Inputs'!$B$31+'Inputs'!$B$32)/1000+'Inputs'!$B$21+'Inputs'!$B$7+'Inputs'!$B$10)+'Inputs'!$B$9)^2+('Inputs'!$B$8/2)^2)-(((73-43)*MAX('Inputs'!$B$33,'Inputs'!$B$29+'Inputs'!$B$31+'Inputs'!$B$32,'Inputs'!$B$30+'Inputs'!$B$31+'Inputs'!$B$32)/1000+'Inputs'!$B$21+'Inputs'!$B$7+'Inputs'!$B$10))/SQRT((((73-43)*MAX('Inputs'!$B$33,'Inputs'!$B$29+'Inputs'!$B$31+'Inputs'!$B$32,'Inputs'!$B$30+'Inputs'!$B$31+'Inputs'!$B$32)/1000+'Inputs'!$B$21+'Inputs'!$B$7+'Inputs'!$B$10))^2+('Inputs'!$B$8/2)^2))))*'Results'!$B$8)+'Inputs'!$B$28*ABS((('Results'!B7*(1+'Inputs'!$B$24)*(0.5*((((73-43)*MAX('Inputs'!$B$33,'Inputs'!$B$29+'Inputs'!$B$31+'Inputs'!$B$32,'Inputs'!$B$30+'Inputs'!$B$31+'Inputs'!$B$32)/1000+'Inputs'!$B$21)+'Inputs'!$B$7)/SQRT((((73-43)*MAX('Inputs'!$B$33,'Inputs'!$B$29+'Inputs'!$B$31+'Inputs'!$B$32,'Inputs'!$B$30+'Inputs'!$B$31+'Inputs'!$B$32)/1000+'Inputs'!$B$21)+'Inputs'!$B$7)^2+('Inputs'!$B$6/2)^2)-(((73-43)*MAX('Inputs'!$B$33,'Inputs'!$B$29+'Inputs'!$B$31+'Inputs'!$B$32,'Inputs'!$B$30+'Inputs'!$B$31+'Inputs'!$B$32)/1000+'Inputs'!$B$21))/SQRT((((73-43)*MAX('Inputs'!$B$33,'Inputs'!$B$29+'Inputs'!$B$31+'Inputs'!$B$32,'Inputs'!$B$30+'Inputs'!$B$31+'Inputs'!$B$32)/1000+'Inputs'!$B$21))^2+('Inputs'!$B$6/2)^2)))-'Results'!C7*(1-'Inputs'!$B$24)*(0.5*((((73-43)*MAX('Inputs'!$B$33,'Inputs'!$B$29+'Inputs'!$B$31+'Inputs'!$B$32,'Inputs'!$B$30+'Inputs'!$B$31+'Inputs'!$B$32)/1000+'Inputs'!$B$21+'Inputs'!$B$7+'Inputs'!$B$10)+'Inputs'!$B$9)/SQRT((((73-43)*MAX('Inputs'!$B$33,'Inputs'!$B$29+'Inputs'!$B$31+'Inputs'!$B$32,'Inputs'!$B$30+'Inputs'!$B$31+'Inputs'!$B$32)/1000+'Inputs'!$B$21+'Inputs'!$B$7+'Inputs'!$B$10)+'Inputs'!$B$9)^2+('Inputs'!$B$8/2)^2)-(((73-43)*MAX('Inputs'!$B$33,'Inputs'!$B$29+'Inputs'!$B$31+'Inputs'!$B$32,'Inputs'!$B$30+'Inputs'!$B$31+'Inputs'!$B$32)/1000+'Inputs'!$B$21+'Inputs'!$B$7+'Inputs'!$B$10))/SQRT((((73-43)*MAX('Inputs'!$B$33,'Inputs'!$B$29+'Inputs'!$B$31+'Inputs'!$B$32,'Inputs'!$B$30+'Inputs'!$B$31+'Inputs'!$B$32)/1000+'Inputs'!$B$21+'Inputs'!$B$7+'Inputs'!$B$10))^2+('Inputs'!$B$8/2)^2))))*'Results'!$B$8))),"")</x:f>
        <x:v>1521.2052158111926</x:v>
      </x:c>
      <x:c r="M73" t="n">
        <x:f>IF(AND(ISNUMBER('Results'!C7),ISNUMBER('Results'!B7),ISNUMBER('Results'!$B$8),ISNUMBER('Inputs'!$B$6),ISNUMBER('Inputs'!$B$7),ISNUMBER('Inputs'!$B$8),ISNUMBER('Inputs'!$B$9),ISNUMBER('Inputs'!$B$10),ISNUMBER('Inputs'!$B$21),ISNUMBER('Inputs'!$B$24),ISNUMBER('Inputs'!$B$28)),(('Results'!C7*(0.5*((((73-43)*MAX('Inputs'!$B$33,'Inputs'!$B$29+'Inputs'!$B$31+'Inputs'!$B$32,'Inputs'!$B$30+'Inputs'!$B$31+'Inputs'!$B$32)/1000+'Inputs'!$B$21)+'Inputs'!$B$9)/SQRT((((73-43)*MAX('Inputs'!$B$33,'Inputs'!$B$29+'Inputs'!$B$31+'Inputs'!$B$32,'Inputs'!$B$30+'Inputs'!$B$31+'Inputs'!$B$32)/1000+'Inputs'!$B$21)+'Inputs'!$B$9)^2+('Inputs'!$B$8/2)^2)-(((73-43)*MAX('Inputs'!$B$33,'Inputs'!$B$29+'Inputs'!$B$31+'Inputs'!$B$32,'Inputs'!$B$30+'Inputs'!$B$31+'Inputs'!$B$32)/1000+'Inputs'!$B$21))/SQRT((((73-43)*MAX('Inputs'!$B$33,'Inputs'!$B$29+'Inputs'!$B$31+'Inputs'!$B$32,'Inputs'!$B$30+'Inputs'!$B$31+'Inputs'!$B$32)/1000+'Inputs'!$B$21))^2+('Inputs'!$B$8/2)^2)))-'Results'!B7*(0.5*((((73-43)*MAX('Inputs'!$B$33,'Inputs'!$B$29+'Inputs'!$B$31+'Inputs'!$B$32,'Inputs'!$B$30+'Inputs'!$B$31+'Inputs'!$B$32)/1000+'Inputs'!$B$21+'Inputs'!$B$9+'Inputs'!$B$10)+'Inputs'!$B$7)/SQRT((((73-43)*MAX('Inputs'!$B$33,'Inputs'!$B$29+'Inputs'!$B$31+'Inputs'!$B$32,'Inputs'!$B$30+'Inputs'!$B$31+'Inputs'!$B$32)/1000+'Inputs'!$B$21+'Inputs'!$B$9+'Inputs'!$B$10)+'Inputs'!$B$7)^2+('Inputs'!$B$6/2)^2)-(((73-43)*MAX('Inputs'!$B$33,'Inputs'!$B$29+'Inputs'!$B$31+'Inputs'!$B$32,'Inputs'!$B$30+'Inputs'!$B$31+'Inputs'!$B$32)/1000+'Inputs'!$B$21+'Inputs'!$B$9+'Inputs'!$B$10))/SQRT((((73-43)*MAX('Inputs'!$B$33,'Inputs'!$B$29+'Inputs'!$B$31+'Inputs'!$B$32,'Inputs'!$B$30+'Inputs'!$B$31+'Inputs'!$B$32)/1000+'Inputs'!$B$21+'Inputs'!$B$9+'Inputs'!$B$10))^2+('Inputs'!$B$6/2)^2))))*'Results'!$B$8),"")</x:f>
        <x:v>1374.7797626078766</x:v>
      </x:c>
      <x:c r="N73" t="n">
        <x:f>IF(AND(ISNUMBER('Results'!C7),ISNUMBER('Results'!B7),ISNUMBER('Results'!$B$8),ISNUMBER('Inputs'!$B$6),ISNUMBER('Inputs'!$B$7),ISNUMBER('Inputs'!$B$8),ISNUMBER('Inputs'!$B$9),ISNUMBER('Inputs'!$B$10),ISNUMBER('Inputs'!$B$21),ISNUMBER('Inputs'!$B$24),ISNUMBER('Inputs'!$B$28)),((('Results'!C7*(1-'Inputs'!$B$24)*(0.5*((((73-43)*MAX('Inputs'!$B$33,'Inputs'!$B$29+'Inputs'!$B$31+'Inputs'!$B$32,'Inputs'!$B$30+'Inputs'!$B$31+'Inputs'!$B$32)/1000+'Inputs'!$B$21)+'Inputs'!$B$9)/SQRT((((73-43)*MAX('Inputs'!$B$33,'Inputs'!$B$29+'Inputs'!$B$31+'Inputs'!$B$32,'Inputs'!$B$30+'Inputs'!$B$31+'Inputs'!$B$32)/1000+'Inputs'!$B$21)+'Inputs'!$B$9)^2+('Inputs'!$B$8/2)^2)-(((73-43)*MAX('Inputs'!$B$33,'Inputs'!$B$29+'Inputs'!$B$31+'Inputs'!$B$32,'Inputs'!$B$30+'Inputs'!$B$31+'Inputs'!$B$32)/1000+'Inputs'!$B$21))/SQRT((((73-43)*MAX('Inputs'!$B$33,'Inputs'!$B$29+'Inputs'!$B$31+'Inputs'!$B$32,'Inputs'!$B$30+'Inputs'!$B$31+'Inputs'!$B$32)/1000+'Inputs'!$B$21))^2+('Inputs'!$B$8/2)^2)))-'Results'!B7*(1+'Inputs'!$B$24)*(0.5*((((73-43)*MAX('Inputs'!$B$33,'Inputs'!$B$29+'Inputs'!$B$31+'Inputs'!$B$32,'Inputs'!$B$30+'Inputs'!$B$31+'Inputs'!$B$32)/1000+'Inputs'!$B$21+'Inputs'!$B$9+'Inputs'!$B$10)+'Inputs'!$B$7)/SQRT((((73-43)*MAX('Inputs'!$B$33,'Inputs'!$B$29+'Inputs'!$B$31+'Inputs'!$B$32,'Inputs'!$B$30+'Inputs'!$B$31+'Inputs'!$B$32)/1000+'Inputs'!$B$21+'Inputs'!$B$9+'Inputs'!$B$10)+'Inputs'!$B$7)^2+('Inputs'!$B$6/2)^2)-(((73-43)*MAX('Inputs'!$B$33,'Inputs'!$B$29+'Inputs'!$B$31+'Inputs'!$B$32,'Inputs'!$B$30+'Inputs'!$B$31+'Inputs'!$B$32)/1000+'Inputs'!$B$21+'Inputs'!$B$9+'Inputs'!$B$10))/SQRT((((73-43)*MAX('Inputs'!$B$33,'Inputs'!$B$29+'Inputs'!$B$31+'Inputs'!$B$32,'Inputs'!$B$30+'Inputs'!$B$31+'Inputs'!$B$32)/1000+'Inputs'!$B$21+'Inputs'!$B$9+'Inputs'!$B$10))^2+('Inputs'!$B$6/2)^2))))*'Results'!$B$8)-'Inputs'!$B$28*ABS((('Results'!C7*(1-'Inputs'!$B$24)*(0.5*((((73-43)*MAX('Inputs'!$B$33,'Inputs'!$B$29+'Inputs'!$B$31+'Inputs'!$B$32,'Inputs'!$B$30+'Inputs'!$B$31+'Inputs'!$B$32)/1000+'Inputs'!$B$21)+'Inputs'!$B$9)/SQRT((((73-43)*MAX('Inputs'!$B$33,'Inputs'!$B$29+'Inputs'!$B$31+'Inputs'!$B$32,'Inputs'!$B$30+'Inputs'!$B$31+'Inputs'!$B$32)/1000+'Inputs'!$B$21)+'Inputs'!$B$9)^2+('Inputs'!$B$8/2)^2)-(((73-43)*MAX('Inputs'!$B$33,'Inputs'!$B$29+'Inputs'!$B$31+'Inputs'!$B$32,'Inputs'!$B$30+'Inputs'!$B$31+'Inputs'!$B$32)/1000+'Inputs'!$B$21))/SQRT((((73-43)*MAX('Inputs'!$B$33,'Inputs'!$B$29+'Inputs'!$B$31+'Inputs'!$B$32,'Inputs'!$B$30+'Inputs'!$B$31+'Inputs'!$B$32)/1000+'Inputs'!$B$21))^2+('Inputs'!$B$8/2)^2)))-'Results'!B7*(1+'Inputs'!$B$24)*(0.5*((((73-43)*MAX('Inputs'!$B$33,'Inputs'!$B$29+'Inputs'!$B$31+'Inputs'!$B$32,'Inputs'!$B$30+'Inputs'!$B$31+'Inputs'!$B$32)/1000+'Inputs'!$B$21+'Inputs'!$B$9+'Inputs'!$B$10)+'Inputs'!$B$7)/SQRT((((73-43)*MAX('Inputs'!$B$33,'Inputs'!$B$29+'Inputs'!$B$31+'Inputs'!$B$32,'Inputs'!$B$30+'Inputs'!$B$31+'Inputs'!$B$32)/1000+'Inputs'!$B$21+'Inputs'!$B$9+'Inputs'!$B$10)+'Inputs'!$B$7)^2+('Inputs'!$B$6/2)^2)-(((73-43)*MAX('Inputs'!$B$33,'Inputs'!$B$29+'Inputs'!$B$31+'Inputs'!$B$32,'Inputs'!$B$30+'Inputs'!$B$31+'Inputs'!$B$32)/1000+'Inputs'!$B$21+'Inputs'!$B$9+'Inputs'!$B$10))/SQRT((((73-43)*MAX('Inputs'!$B$33,'Inputs'!$B$29+'Inputs'!$B$31+'Inputs'!$B$32,'Inputs'!$B$30+'Inputs'!$B$31+'Inputs'!$B$32)/1000+'Inputs'!$B$21+'Inputs'!$B$9+'Inputs'!$B$10))^2+('Inputs'!$B$6/2)^2))))*'Results'!$B$8))),"")</x:f>
        <x:v>1271.4739291167398</x:v>
      </x:c>
      <x:c r="O73" t="n">
        <x:f>IF(AND(ISNUMBER('Results'!C7),ISNUMBER('Results'!B7),ISNUMBER('Results'!$B$8),ISNUMBER('Inputs'!$B$6),ISNUMBER('Inputs'!$B$7),ISNUMBER('Inputs'!$B$8),ISNUMBER('Inputs'!$B$9),ISNUMBER('Inputs'!$B$10),ISNUMBER('Inputs'!$B$21),ISNUMBER('Inputs'!$B$24),ISNUMBER('Inputs'!$B$28)),((('Results'!C7*(1+'Inputs'!$B$24)*(0.5*((((73-43)*MAX('Inputs'!$B$33,'Inputs'!$B$29+'Inputs'!$B$31+'Inputs'!$B$32,'Inputs'!$B$30+'Inputs'!$B$31+'Inputs'!$B$32)/1000+'Inputs'!$B$21)+'Inputs'!$B$9)/SQRT((((73-43)*MAX('Inputs'!$B$33,'Inputs'!$B$29+'Inputs'!$B$31+'Inputs'!$B$32,'Inputs'!$B$30+'Inputs'!$B$31+'Inputs'!$B$32)/1000+'Inputs'!$B$21)+'Inputs'!$B$9)^2+('Inputs'!$B$8/2)^2)-(((73-43)*MAX('Inputs'!$B$33,'Inputs'!$B$29+'Inputs'!$B$31+'Inputs'!$B$32,'Inputs'!$B$30+'Inputs'!$B$31+'Inputs'!$B$32)/1000+'Inputs'!$B$21))/SQRT((((73-43)*MAX('Inputs'!$B$33,'Inputs'!$B$29+'Inputs'!$B$31+'Inputs'!$B$32,'Inputs'!$B$30+'Inputs'!$B$31+'Inputs'!$B$32)/1000+'Inputs'!$B$21))^2+('Inputs'!$B$8/2)^2)))-'Results'!B7*(1-'Inputs'!$B$24)*(0.5*((((73-43)*MAX('Inputs'!$B$33,'Inputs'!$B$29+'Inputs'!$B$31+'Inputs'!$B$32,'Inputs'!$B$30+'Inputs'!$B$31+'Inputs'!$B$32)/1000+'Inputs'!$B$21+'Inputs'!$B$9+'Inputs'!$B$10)+'Inputs'!$B$7)/SQRT((((73-43)*MAX('Inputs'!$B$33,'Inputs'!$B$29+'Inputs'!$B$31+'Inputs'!$B$32,'Inputs'!$B$30+'Inputs'!$B$31+'Inputs'!$B$32)/1000+'Inputs'!$B$21+'Inputs'!$B$9+'Inputs'!$B$10)+'Inputs'!$B$7)^2+('Inputs'!$B$6/2)^2)-(((73-43)*MAX('Inputs'!$B$33,'Inputs'!$B$29+'Inputs'!$B$31+'Inputs'!$B$32,'Inputs'!$B$30+'Inputs'!$B$31+'Inputs'!$B$32)/1000+'Inputs'!$B$21+'Inputs'!$B$9+'Inputs'!$B$10))/SQRT((((73-43)*MAX('Inputs'!$B$33,'Inputs'!$B$29+'Inputs'!$B$31+'Inputs'!$B$32,'Inputs'!$B$30+'Inputs'!$B$31+'Inputs'!$B$32)/1000+'Inputs'!$B$21+'Inputs'!$B$9+'Inputs'!$B$10))^2+('Inputs'!$B$6/2)^2))))*'Results'!$B$8)+'Inputs'!$B$28*ABS((('Results'!C7*(1+'Inputs'!$B$24)*(0.5*((((73-43)*MAX('Inputs'!$B$33,'Inputs'!$B$29+'Inputs'!$B$31+'Inputs'!$B$32,'Inputs'!$B$30+'Inputs'!$B$31+'Inputs'!$B$32)/1000+'Inputs'!$B$21)+'Inputs'!$B$9)/SQRT((((73-43)*MAX('Inputs'!$B$33,'Inputs'!$B$29+'Inputs'!$B$31+'Inputs'!$B$32,'Inputs'!$B$30+'Inputs'!$B$31+'Inputs'!$B$32)/1000+'Inputs'!$B$21)+'Inputs'!$B$9)^2+('Inputs'!$B$8/2)^2)-(((73-43)*MAX('Inputs'!$B$33,'Inputs'!$B$29+'Inputs'!$B$31+'Inputs'!$B$32,'Inputs'!$B$30+'Inputs'!$B$31+'Inputs'!$B$32)/1000+'Inputs'!$B$21))/SQRT((((73-43)*MAX('Inputs'!$B$33,'Inputs'!$B$29+'Inputs'!$B$31+'Inputs'!$B$32,'Inputs'!$B$30+'Inputs'!$B$31+'Inputs'!$B$32)/1000+'Inputs'!$B$21))^2+('Inputs'!$B$8/2)^2)))-'Results'!B7*(1-'Inputs'!$B$24)*(0.5*((((73-43)*MAX('Inputs'!$B$33,'Inputs'!$B$29+'Inputs'!$B$31+'Inputs'!$B$32,'Inputs'!$B$30+'Inputs'!$B$31+'Inputs'!$B$32)/1000+'Inputs'!$B$21+'Inputs'!$B$9+'Inputs'!$B$10)+'Inputs'!$B$7)/SQRT((((73-43)*MAX('Inputs'!$B$33,'Inputs'!$B$29+'Inputs'!$B$31+'Inputs'!$B$32,'Inputs'!$B$30+'Inputs'!$B$31+'Inputs'!$B$32)/1000+'Inputs'!$B$21+'Inputs'!$B$9+'Inputs'!$B$10)+'Inputs'!$B$7)^2+('Inputs'!$B$6/2)^2)-(((73-43)*MAX('Inputs'!$B$33,'Inputs'!$B$29+'Inputs'!$B$31+'Inputs'!$B$32,'Inputs'!$B$30+'Inputs'!$B$31+'Inputs'!$B$32)/1000+'Inputs'!$B$21+'Inputs'!$B$9+'Inputs'!$B$10))/SQRT((((73-43)*MAX('Inputs'!$B$33,'Inputs'!$B$29+'Inputs'!$B$31+'Inputs'!$B$32,'Inputs'!$B$30+'Inputs'!$B$31+'Inputs'!$B$32)/1000+'Inputs'!$B$21+'Inputs'!$B$9+'Inputs'!$B$10))^2+('Inputs'!$B$6/2)^2))))*'Results'!$B$8))),"")</x:f>
        <x:v>1481.7242114001444</x:v>
      </x:c>
      <x:c r="P73" t="n">
        <x:f>IF(AND(MAX(J73,J72)&gt;0,J73&gt;J72+0.00000001),1,0)</x:f>
        <x:v>0</x:v>
      </x:c>
      <x:c r="Q73" t="n">
        <x:f>IF(AND(MAX(K73,K72)&gt;0,K73&gt;K72+0.00000001),1,0)</x:f>
        <x:v>0</x:v>
      </x:c>
      <x:c r="R73" t="n">
        <x:f>IF(AND(MAX(L73,L72)&gt;0,L73&gt;L72+0.00000001),1,0)</x:f>
        <x:v>0</x:v>
      </x:c>
      <x:c r="S73" t="n">
        <x:f>IF(AND(MAX(M73,M72)&gt;0,M73&gt;M72+0.00000001),1,0)</x:f>
        <x:v>0</x:v>
      </x:c>
      <x:c r="T73" t="n">
        <x:f>IF(AND(MAX(N73,N72)&gt;0,N73&gt;N72+0.00000001),1,0)</x:f>
        <x:v>0</x:v>
      </x:c>
      <x:c r="U73" t="n">
        <x:f>IF(AND(MAX(O73,O72)&gt;0,O73&gt;O72+0.00000001),1,0)</x:f>
        <x:v>0</x:v>
      </x:c>
    </x:row>
    <x:row r="74">
      <x:c r="J74" t="n">
        <x:f>IF(AND(ISNUMBER('Results'!B7),ISNUMBER('Results'!C7),ISNUMBER('Results'!$B$8),ISNUMBER('Inputs'!$B$6),ISNUMBER('Inputs'!$B$7),ISNUMBER('Inputs'!$B$8),ISNUMBER('Inputs'!$B$9),ISNUMBER('Inputs'!$B$10),ISNUMBER('Inputs'!$B$21),ISNUMBER('Inputs'!$B$24),ISNUMBER('Inputs'!$B$28)),(('Results'!B7*(0.5*((((74-43)*MAX('Inputs'!$B$33,'Inputs'!$B$29+'Inputs'!$B$31+'Inputs'!$B$32,'Inputs'!$B$30+'Inputs'!$B$31+'Inputs'!$B$32)/1000+'Inputs'!$B$21)+'Inputs'!$B$7)/SQRT((((74-43)*MAX('Inputs'!$B$33,'Inputs'!$B$29+'Inputs'!$B$31+'Inputs'!$B$32,'Inputs'!$B$30+'Inputs'!$B$31+'Inputs'!$B$32)/1000+'Inputs'!$B$21)+'Inputs'!$B$7)^2+('Inputs'!$B$6/2)^2)-(((74-43)*MAX('Inputs'!$B$33,'Inputs'!$B$29+'Inputs'!$B$31+'Inputs'!$B$32,'Inputs'!$B$30+'Inputs'!$B$31+'Inputs'!$B$32)/1000+'Inputs'!$B$21))/SQRT((((74-43)*MAX('Inputs'!$B$33,'Inputs'!$B$29+'Inputs'!$B$31+'Inputs'!$B$32,'Inputs'!$B$30+'Inputs'!$B$31+'Inputs'!$B$32)/1000+'Inputs'!$B$21))^2+('Inputs'!$B$6/2)^2)))-'Results'!C7*(0.5*((((74-43)*MAX('Inputs'!$B$33,'Inputs'!$B$29+'Inputs'!$B$31+'Inputs'!$B$32,'Inputs'!$B$30+'Inputs'!$B$31+'Inputs'!$B$32)/1000+'Inputs'!$B$21+'Inputs'!$B$7+'Inputs'!$B$10)+'Inputs'!$B$9)/SQRT((((74-43)*MAX('Inputs'!$B$33,'Inputs'!$B$29+'Inputs'!$B$31+'Inputs'!$B$32,'Inputs'!$B$30+'Inputs'!$B$31+'Inputs'!$B$32)/1000+'Inputs'!$B$21+'Inputs'!$B$7+'Inputs'!$B$10)+'Inputs'!$B$9)^2+('Inputs'!$B$8/2)^2)-(((74-43)*MAX('Inputs'!$B$33,'Inputs'!$B$29+'Inputs'!$B$31+'Inputs'!$B$32,'Inputs'!$B$30+'Inputs'!$B$31+'Inputs'!$B$32)/1000+'Inputs'!$B$21+'Inputs'!$B$7+'Inputs'!$B$10))/SQRT((((74-43)*MAX('Inputs'!$B$33,'Inputs'!$B$29+'Inputs'!$B$31+'Inputs'!$B$32,'Inputs'!$B$30+'Inputs'!$B$31+'Inputs'!$B$32)/1000+'Inputs'!$B$21+'Inputs'!$B$7+'Inputs'!$B$10))^2+('Inputs'!$B$8/2)^2))))*'Results'!$B$8),"")</x:f>
        <x:v>1388.690370142374</x:v>
      </x:c>
      <x:c r="K74" t="n">
        <x:f>IF(AND(ISNUMBER('Results'!B7),ISNUMBER('Results'!C7),ISNUMBER('Results'!$B$8),ISNUMBER('Inputs'!$B$6),ISNUMBER('Inputs'!$B$7),ISNUMBER('Inputs'!$B$8),ISNUMBER('Inputs'!$B$9),ISNUMBER('Inputs'!$B$10),ISNUMBER('Inputs'!$B$21),ISNUMBER('Inputs'!$B$24),ISNUMBER('Inputs'!$B$28)),((('Results'!B7*(1-'Inputs'!$B$24)*(0.5*((((74-43)*MAX('Inputs'!$B$33,'Inputs'!$B$29+'Inputs'!$B$31+'Inputs'!$B$32,'Inputs'!$B$30+'Inputs'!$B$31+'Inputs'!$B$32)/1000+'Inputs'!$B$21)+'Inputs'!$B$7)/SQRT((((74-43)*MAX('Inputs'!$B$33,'Inputs'!$B$29+'Inputs'!$B$31+'Inputs'!$B$32,'Inputs'!$B$30+'Inputs'!$B$31+'Inputs'!$B$32)/1000+'Inputs'!$B$21)+'Inputs'!$B$7)^2+('Inputs'!$B$6/2)^2)-(((74-43)*MAX('Inputs'!$B$33,'Inputs'!$B$29+'Inputs'!$B$31+'Inputs'!$B$32,'Inputs'!$B$30+'Inputs'!$B$31+'Inputs'!$B$32)/1000+'Inputs'!$B$21))/SQRT((((74-43)*MAX('Inputs'!$B$33,'Inputs'!$B$29+'Inputs'!$B$31+'Inputs'!$B$32,'Inputs'!$B$30+'Inputs'!$B$31+'Inputs'!$B$32)/1000+'Inputs'!$B$21))^2+('Inputs'!$B$6/2)^2)))-'Results'!C7*(1+'Inputs'!$B$24)*(0.5*((((74-43)*MAX('Inputs'!$B$33,'Inputs'!$B$29+'Inputs'!$B$31+'Inputs'!$B$32,'Inputs'!$B$30+'Inputs'!$B$31+'Inputs'!$B$32)/1000+'Inputs'!$B$21+'Inputs'!$B$7+'Inputs'!$B$10)+'Inputs'!$B$9)/SQRT((((74-43)*MAX('Inputs'!$B$33,'Inputs'!$B$29+'Inputs'!$B$31+'Inputs'!$B$32,'Inputs'!$B$30+'Inputs'!$B$31+'Inputs'!$B$32)/1000+'Inputs'!$B$21+'Inputs'!$B$7+'Inputs'!$B$10)+'Inputs'!$B$9)^2+('Inputs'!$B$8/2)^2)-(((74-43)*MAX('Inputs'!$B$33,'Inputs'!$B$29+'Inputs'!$B$31+'Inputs'!$B$32,'Inputs'!$B$30+'Inputs'!$B$31+'Inputs'!$B$32)/1000+'Inputs'!$B$21+'Inputs'!$B$7+'Inputs'!$B$10))/SQRT((((74-43)*MAX('Inputs'!$B$33,'Inputs'!$B$29+'Inputs'!$B$31+'Inputs'!$B$32,'Inputs'!$B$30+'Inputs'!$B$31+'Inputs'!$B$32)/1000+'Inputs'!$B$21+'Inputs'!$B$7+'Inputs'!$B$10))^2+('Inputs'!$B$8/2)^2))))*'Results'!$B$8)-'Inputs'!$B$28*ABS((('Results'!B7*(1-'Inputs'!$B$24)*(0.5*((((74-43)*MAX('Inputs'!$B$33,'Inputs'!$B$29+'Inputs'!$B$31+'Inputs'!$B$32,'Inputs'!$B$30+'Inputs'!$B$31+'Inputs'!$B$32)/1000+'Inputs'!$B$21)+'Inputs'!$B$7)/SQRT((((74-43)*MAX('Inputs'!$B$33,'Inputs'!$B$29+'Inputs'!$B$31+'Inputs'!$B$32,'Inputs'!$B$30+'Inputs'!$B$31+'Inputs'!$B$32)/1000+'Inputs'!$B$21)+'Inputs'!$B$7)^2+('Inputs'!$B$6/2)^2)-(((74-43)*MAX('Inputs'!$B$33,'Inputs'!$B$29+'Inputs'!$B$31+'Inputs'!$B$32,'Inputs'!$B$30+'Inputs'!$B$31+'Inputs'!$B$32)/1000+'Inputs'!$B$21))/SQRT((((74-43)*MAX('Inputs'!$B$33,'Inputs'!$B$29+'Inputs'!$B$31+'Inputs'!$B$32,'Inputs'!$B$30+'Inputs'!$B$31+'Inputs'!$B$32)/1000+'Inputs'!$B$21))^2+('Inputs'!$B$6/2)^2)))-'Results'!C7*(1+'Inputs'!$B$24)*(0.5*((((74-43)*MAX('Inputs'!$B$33,'Inputs'!$B$29+'Inputs'!$B$31+'Inputs'!$B$32,'Inputs'!$B$30+'Inputs'!$B$31+'Inputs'!$B$32)/1000+'Inputs'!$B$21+'Inputs'!$B$7+'Inputs'!$B$10)+'Inputs'!$B$9)/SQRT((((74-43)*MAX('Inputs'!$B$33,'Inputs'!$B$29+'Inputs'!$B$31+'Inputs'!$B$32,'Inputs'!$B$30+'Inputs'!$B$31+'Inputs'!$B$32)/1000+'Inputs'!$B$21+'Inputs'!$B$7+'Inputs'!$B$10)+'Inputs'!$B$9)^2+('Inputs'!$B$8/2)^2)-(((74-43)*MAX('Inputs'!$B$33,'Inputs'!$B$29+'Inputs'!$B$31+'Inputs'!$B$32,'Inputs'!$B$30+'Inputs'!$B$31+'Inputs'!$B$32)/1000+'Inputs'!$B$21+'Inputs'!$B$7+'Inputs'!$B$10))/SQRT((((74-43)*MAX('Inputs'!$B$33,'Inputs'!$B$29+'Inputs'!$B$31+'Inputs'!$B$32,'Inputs'!$B$30+'Inputs'!$B$31+'Inputs'!$B$32)/1000+'Inputs'!$B$21+'Inputs'!$B$7+'Inputs'!$B$10))^2+('Inputs'!$B$8/2)^2))))*'Results'!$B$8))),"")</x:f>
        <x:v>1284.7159189997137</x:v>
      </x:c>
      <x:c r="L74" t="n">
        <x:f>IF(AND(ISNUMBER('Results'!B7),ISNUMBER('Results'!C7),ISNUMBER('Results'!$B$8),ISNUMBER('Inputs'!$B$6),ISNUMBER('Inputs'!$B$7),ISNUMBER('Inputs'!$B$8),ISNUMBER('Inputs'!$B$9),ISNUMBER('Inputs'!$B$10),ISNUMBER('Inputs'!$B$21),ISNUMBER('Inputs'!$B$24),ISNUMBER('Inputs'!$B$28)),((('Results'!B7*(1+'Inputs'!$B$24)*(0.5*((((74-43)*MAX('Inputs'!$B$33,'Inputs'!$B$29+'Inputs'!$B$31+'Inputs'!$B$32,'Inputs'!$B$30+'Inputs'!$B$31+'Inputs'!$B$32)/1000+'Inputs'!$B$21)+'Inputs'!$B$7)/SQRT((((74-43)*MAX('Inputs'!$B$33,'Inputs'!$B$29+'Inputs'!$B$31+'Inputs'!$B$32,'Inputs'!$B$30+'Inputs'!$B$31+'Inputs'!$B$32)/1000+'Inputs'!$B$21)+'Inputs'!$B$7)^2+('Inputs'!$B$6/2)^2)-(((74-43)*MAX('Inputs'!$B$33,'Inputs'!$B$29+'Inputs'!$B$31+'Inputs'!$B$32,'Inputs'!$B$30+'Inputs'!$B$31+'Inputs'!$B$32)/1000+'Inputs'!$B$21))/SQRT((((74-43)*MAX('Inputs'!$B$33,'Inputs'!$B$29+'Inputs'!$B$31+'Inputs'!$B$32,'Inputs'!$B$30+'Inputs'!$B$31+'Inputs'!$B$32)/1000+'Inputs'!$B$21))^2+('Inputs'!$B$6/2)^2)))-'Results'!C7*(1-'Inputs'!$B$24)*(0.5*((((74-43)*MAX('Inputs'!$B$33,'Inputs'!$B$29+'Inputs'!$B$31+'Inputs'!$B$32,'Inputs'!$B$30+'Inputs'!$B$31+'Inputs'!$B$32)/1000+'Inputs'!$B$21+'Inputs'!$B$7+'Inputs'!$B$10)+'Inputs'!$B$9)/SQRT((((74-43)*MAX('Inputs'!$B$33,'Inputs'!$B$29+'Inputs'!$B$31+'Inputs'!$B$32,'Inputs'!$B$30+'Inputs'!$B$31+'Inputs'!$B$32)/1000+'Inputs'!$B$21+'Inputs'!$B$7+'Inputs'!$B$10)+'Inputs'!$B$9)^2+('Inputs'!$B$8/2)^2)-(((74-43)*MAX('Inputs'!$B$33,'Inputs'!$B$29+'Inputs'!$B$31+'Inputs'!$B$32,'Inputs'!$B$30+'Inputs'!$B$31+'Inputs'!$B$32)/1000+'Inputs'!$B$21+'Inputs'!$B$7+'Inputs'!$B$10))/SQRT((((74-43)*MAX('Inputs'!$B$33,'Inputs'!$B$29+'Inputs'!$B$31+'Inputs'!$B$32,'Inputs'!$B$30+'Inputs'!$B$31+'Inputs'!$B$32)/1000+'Inputs'!$B$21+'Inputs'!$B$7+'Inputs'!$B$10))^2+('Inputs'!$B$8/2)^2))))*'Results'!$B$8)+'Inputs'!$B$28*ABS((('Results'!B7*(1+'Inputs'!$B$24)*(0.5*((((74-43)*MAX('Inputs'!$B$33,'Inputs'!$B$29+'Inputs'!$B$31+'Inputs'!$B$32,'Inputs'!$B$30+'Inputs'!$B$31+'Inputs'!$B$32)/1000+'Inputs'!$B$21)+'Inputs'!$B$7)/SQRT((((74-43)*MAX('Inputs'!$B$33,'Inputs'!$B$29+'Inputs'!$B$31+'Inputs'!$B$32,'Inputs'!$B$30+'Inputs'!$B$31+'Inputs'!$B$32)/1000+'Inputs'!$B$21)+'Inputs'!$B$7)^2+('Inputs'!$B$6/2)^2)-(((74-43)*MAX('Inputs'!$B$33,'Inputs'!$B$29+'Inputs'!$B$31+'Inputs'!$B$32,'Inputs'!$B$30+'Inputs'!$B$31+'Inputs'!$B$32)/1000+'Inputs'!$B$21))/SQRT((((74-43)*MAX('Inputs'!$B$33,'Inputs'!$B$29+'Inputs'!$B$31+'Inputs'!$B$32,'Inputs'!$B$30+'Inputs'!$B$31+'Inputs'!$B$32)/1000+'Inputs'!$B$21))^2+('Inputs'!$B$6/2)^2)))-'Results'!C7*(1-'Inputs'!$B$24)*(0.5*((((74-43)*MAX('Inputs'!$B$33,'Inputs'!$B$29+'Inputs'!$B$31+'Inputs'!$B$32,'Inputs'!$B$30+'Inputs'!$B$31+'Inputs'!$B$32)/1000+'Inputs'!$B$21+'Inputs'!$B$7+'Inputs'!$B$10)+'Inputs'!$B$9)/SQRT((((74-43)*MAX('Inputs'!$B$33,'Inputs'!$B$29+'Inputs'!$B$31+'Inputs'!$B$32,'Inputs'!$B$30+'Inputs'!$B$31+'Inputs'!$B$32)/1000+'Inputs'!$B$21+'Inputs'!$B$7+'Inputs'!$B$10)+'Inputs'!$B$9)^2+('Inputs'!$B$8/2)^2)-(((74-43)*MAX('Inputs'!$B$33,'Inputs'!$B$29+'Inputs'!$B$31+'Inputs'!$B$32,'Inputs'!$B$30+'Inputs'!$B$31+'Inputs'!$B$32)/1000+'Inputs'!$B$21+'Inputs'!$B$7+'Inputs'!$B$10))/SQRT((((74-43)*MAX('Inputs'!$B$33,'Inputs'!$B$29+'Inputs'!$B$31+'Inputs'!$B$32,'Inputs'!$B$30+'Inputs'!$B$31+'Inputs'!$B$32)/1000+'Inputs'!$B$21+'Inputs'!$B$7+'Inputs'!$B$10))^2+('Inputs'!$B$8/2)^2))))*'Results'!$B$8))),"")</x:f>
        <x:v>1496.3006036677227</x:v>
      </x:c>
      <x:c r="M74" t="n">
        <x:f>IF(AND(ISNUMBER('Results'!C7),ISNUMBER('Results'!B7),ISNUMBER('Results'!$B$8),ISNUMBER('Inputs'!$B$6),ISNUMBER('Inputs'!$B$7),ISNUMBER('Inputs'!$B$8),ISNUMBER('Inputs'!$B$9),ISNUMBER('Inputs'!$B$10),ISNUMBER('Inputs'!$B$21),ISNUMBER('Inputs'!$B$24),ISNUMBER('Inputs'!$B$28)),(('Results'!C7*(0.5*((((74-43)*MAX('Inputs'!$B$33,'Inputs'!$B$29+'Inputs'!$B$31+'Inputs'!$B$32,'Inputs'!$B$30+'Inputs'!$B$31+'Inputs'!$B$32)/1000+'Inputs'!$B$21)+'Inputs'!$B$9)/SQRT((((74-43)*MAX('Inputs'!$B$33,'Inputs'!$B$29+'Inputs'!$B$31+'Inputs'!$B$32,'Inputs'!$B$30+'Inputs'!$B$31+'Inputs'!$B$32)/1000+'Inputs'!$B$21)+'Inputs'!$B$9)^2+('Inputs'!$B$8/2)^2)-(((74-43)*MAX('Inputs'!$B$33,'Inputs'!$B$29+'Inputs'!$B$31+'Inputs'!$B$32,'Inputs'!$B$30+'Inputs'!$B$31+'Inputs'!$B$32)/1000+'Inputs'!$B$21))/SQRT((((74-43)*MAX('Inputs'!$B$33,'Inputs'!$B$29+'Inputs'!$B$31+'Inputs'!$B$32,'Inputs'!$B$30+'Inputs'!$B$31+'Inputs'!$B$32)/1000+'Inputs'!$B$21))^2+('Inputs'!$B$8/2)^2)))-'Results'!B7*(0.5*((((74-43)*MAX('Inputs'!$B$33,'Inputs'!$B$29+'Inputs'!$B$31+'Inputs'!$B$32,'Inputs'!$B$30+'Inputs'!$B$31+'Inputs'!$B$32)/1000+'Inputs'!$B$21+'Inputs'!$B$9+'Inputs'!$B$10)+'Inputs'!$B$7)/SQRT((((74-43)*MAX('Inputs'!$B$33,'Inputs'!$B$29+'Inputs'!$B$31+'Inputs'!$B$32,'Inputs'!$B$30+'Inputs'!$B$31+'Inputs'!$B$32)/1000+'Inputs'!$B$21+'Inputs'!$B$9+'Inputs'!$B$10)+'Inputs'!$B$7)^2+('Inputs'!$B$6/2)^2)-(((74-43)*MAX('Inputs'!$B$33,'Inputs'!$B$29+'Inputs'!$B$31+'Inputs'!$B$32,'Inputs'!$B$30+'Inputs'!$B$31+'Inputs'!$B$32)/1000+'Inputs'!$B$21+'Inputs'!$B$9+'Inputs'!$B$10))/SQRT((((74-43)*MAX('Inputs'!$B$33,'Inputs'!$B$29+'Inputs'!$B$31+'Inputs'!$B$32,'Inputs'!$B$30+'Inputs'!$B$31+'Inputs'!$B$32)/1000+'Inputs'!$B$21+'Inputs'!$B$9+'Inputs'!$B$10))^2+('Inputs'!$B$6/2)^2))))*'Results'!$B$8),"")</x:f>
        <x:v>1352.244954311161</x:v>
      </x:c>
      <x:c r="N74" t="n">
        <x:f>IF(AND(ISNUMBER('Results'!C7),ISNUMBER('Results'!B7),ISNUMBER('Results'!$B$8),ISNUMBER('Inputs'!$B$6),ISNUMBER('Inputs'!$B$7),ISNUMBER('Inputs'!$B$8),ISNUMBER('Inputs'!$B$9),ISNUMBER('Inputs'!$B$10),ISNUMBER('Inputs'!$B$21),ISNUMBER('Inputs'!$B$24),ISNUMBER('Inputs'!$B$28)),((('Results'!C7*(1-'Inputs'!$B$24)*(0.5*((((74-43)*MAX('Inputs'!$B$33,'Inputs'!$B$29+'Inputs'!$B$31+'Inputs'!$B$32,'Inputs'!$B$30+'Inputs'!$B$31+'Inputs'!$B$32)/1000+'Inputs'!$B$21)+'Inputs'!$B$9)/SQRT((((74-43)*MAX('Inputs'!$B$33,'Inputs'!$B$29+'Inputs'!$B$31+'Inputs'!$B$32,'Inputs'!$B$30+'Inputs'!$B$31+'Inputs'!$B$32)/1000+'Inputs'!$B$21)+'Inputs'!$B$9)^2+('Inputs'!$B$8/2)^2)-(((74-43)*MAX('Inputs'!$B$33,'Inputs'!$B$29+'Inputs'!$B$31+'Inputs'!$B$32,'Inputs'!$B$30+'Inputs'!$B$31+'Inputs'!$B$32)/1000+'Inputs'!$B$21))/SQRT((((74-43)*MAX('Inputs'!$B$33,'Inputs'!$B$29+'Inputs'!$B$31+'Inputs'!$B$32,'Inputs'!$B$30+'Inputs'!$B$31+'Inputs'!$B$32)/1000+'Inputs'!$B$21))^2+('Inputs'!$B$8/2)^2)))-'Results'!B7*(1+'Inputs'!$B$24)*(0.5*((((74-43)*MAX('Inputs'!$B$33,'Inputs'!$B$29+'Inputs'!$B$31+'Inputs'!$B$32,'Inputs'!$B$30+'Inputs'!$B$31+'Inputs'!$B$32)/1000+'Inputs'!$B$21+'Inputs'!$B$9+'Inputs'!$B$10)+'Inputs'!$B$7)/SQRT((((74-43)*MAX('Inputs'!$B$33,'Inputs'!$B$29+'Inputs'!$B$31+'Inputs'!$B$32,'Inputs'!$B$30+'Inputs'!$B$31+'Inputs'!$B$32)/1000+'Inputs'!$B$21+'Inputs'!$B$9+'Inputs'!$B$10)+'Inputs'!$B$7)^2+('Inputs'!$B$6/2)^2)-(((74-43)*MAX('Inputs'!$B$33,'Inputs'!$B$29+'Inputs'!$B$31+'Inputs'!$B$32,'Inputs'!$B$30+'Inputs'!$B$31+'Inputs'!$B$32)/1000+'Inputs'!$B$21+'Inputs'!$B$9+'Inputs'!$B$10))/SQRT((((74-43)*MAX('Inputs'!$B$33,'Inputs'!$B$29+'Inputs'!$B$31+'Inputs'!$B$32,'Inputs'!$B$30+'Inputs'!$B$31+'Inputs'!$B$32)/1000+'Inputs'!$B$21+'Inputs'!$B$9+'Inputs'!$B$10))^2+('Inputs'!$B$6/2)^2))))*'Results'!$B$8)-'Inputs'!$B$28*ABS((('Results'!C7*(1-'Inputs'!$B$24)*(0.5*((((74-43)*MAX('Inputs'!$B$33,'Inputs'!$B$29+'Inputs'!$B$31+'Inputs'!$B$32,'Inputs'!$B$30+'Inputs'!$B$31+'Inputs'!$B$32)/1000+'Inputs'!$B$21)+'Inputs'!$B$9)/SQRT((((74-43)*MAX('Inputs'!$B$33,'Inputs'!$B$29+'Inputs'!$B$31+'Inputs'!$B$32,'Inputs'!$B$30+'Inputs'!$B$31+'Inputs'!$B$32)/1000+'Inputs'!$B$21)+'Inputs'!$B$9)^2+('Inputs'!$B$8/2)^2)-(((74-43)*MAX('Inputs'!$B$33,'Inputs'!$B$29+'Inputs'!$B$31+'Inputs'!$B$32,'Inputs'!$B$30+'Inputs'!$B$31+'Inputs'!$B$32)/1000+'Inputs'!$B$21))/SQRT((((74-43)*MAX('Inputs'!$B$33,'Inputs'!$B$29+'Inputs'!$B$31+'Inputs'!$B$32,'Inputs'!$B$30+'Inputs'!$B$31+'Inputs'!$B$32)/1000+'Inputs'!$B$21))^2+('Inputs'!$B$8/2)^2)))-'Results'!B7*(1+'Inputs'!$B$24)*(0.5*((((74-43)*MAX('Inputs'!$B$33,'Inputs'!$B$29+'Inputs'!$B$31+'Inputs'!$B$32,'Inputs'!$B$30+'Inputs'!$B$31+'Inputs'!$B$32)/1000+'Inputs'!$B$21+'Inputs'!$B$9+'Inputs'!$B$10)+'Inputs'!$B$7)/SQRT((((74-43)*MAX('Inputs'!$B$33,'Inputs'!$B$29+'Inputs'!$B$31+'Inputs'!$B$32,'Inputs'!$B$30+'Inputs'!$B$31+'Inputs'!$B$32)/1000+'Inputs'!$B$21+'Inputs'!$B$9+'Inputs'!$B$10)+'Inputs'!$B$7)^2+('Inputs'!$B$6/2)^2)-(((74-43)*MAX('Inputs'!$B$33,'Inputs'!$B$29+'Inputs'!$B$31+'Inputs'!$B$32,'Inputs'!$B$30+'Inputs'!$B$31+'Inputs'!$B$32)/1000+'Inputs'!$B$21+'Inputs'!$B$9+'Inputs'!$B$10))/SQRT((((74-43)*MAX('Inputs'!$B$33,'Inputs'!$B$29+'Inputs'!$B$31+'Inputs'!$B$32,'Inputs'!$B$30+'Inputs'!$B$31+'Inputs'!$B$32)/1000+'Inputs'!$B$21+'Inputs'!$B$9+'Inputs'!$B$10))^2+('Inputs'!$B$6/2)^2))))*'Results'!$B$8))),"")</x:f>
        <x:v>1250.6188120526335</x:v>
      </x:c>
      <x:c r="O74" t="n">
        <x:f>IF(AND(ISNUMBER('Results'!C7),ISNUMBER('Results'!B7),ISNUMBER('Results'!$B$8),ISNUMBER('Inputs'!$B$6),ISNUMBER('Inputs'!$B$7),ISNUMBER('Inputs'!$B$8),ISNUMBER('Inputs'!$B$9),ISNUMBER('Inputs'!$B$10),ISNUMBER('Inputs'!$B$21),ISNUMBER('Inputs'!$B$24),ISNUMBER('Inputs'!$B$28)),((('Results'!C7*(1+'Inputs'!$B$24)*(0.5*((((74-43)*MAX('Inputs'!$B$33,'Inputs'!$B$29+'Inputs'!$B$31+'Inputs'!$B$32,'Inputs'!$B$30+'Inputs'!$B$31+'Inputs'!$B$32)/1000+'Inputs'!$B$21)+'Inputs'!$B$9)/SQRT((((74-43)*MAX('Inputs'!$B$33,'Inputs'!$B$29+'Inputs'!$B$31+'Inputs'!$B$32,'Inputs'!$B$30+'Inputs'!$B$31+'Inputs'!$B$32)/1000+'Inputs'!$B$21)+'Inputs'!$B$9)^2+('Inputs'!$B$8/2)^2)-(((74-43)*MAX('Inputs'!$B$33,'Inputs'!$B$29+'Inputs'!$B$31+'Inputs'!$B$32,'Inputs'!$B$30+'Inputs'!$B$31+'Inputs'!$B$32)/1000+'Inputs'!$B$21))/SQRT((((74-43)*MAX('Inputs'!$B$33,'Inputs'!$B$29+'Inputs'!$B$31+'Inputs'!$B$32,'Inputs'!$B$30+'Inputs'!$B$31+'Inputs'!$B$32)/1000+'Inputs'!$B$21))^2+('Inputs'!$B$8/2)^2)))-'Results'!B7*(1-'Inputs'!$B$24)*(0.5*((((74-43)*MAX('Inputs'!$B$33,'Inputs'!$B$29+'Inputs'!$B$31+'Inputs'!$B$32,'Inputs'!$B$30+'Inputs'!$B$31+'Inputs'!$B$32)/1000+'Inputs'!$B$21+'Inputs'!$B$9+'Inputs'!$B$10)+'Inputs'!$B$7)/SQRT((((74-43)*MAX('Inputs'!$B$33,'Inputs'!$B$29+'Inputs'!$B$31+'Inputs'!$B$32,'Inputs'!$B$30+'Inputs'!$B$31+'Inputs'!$B$32)/1000+'Inputs'!$B$21+'Inputs'!$B$9+'Inputs'!$B$10)+'Inputs'!$B$7)^2+('Inputs'!$B$6/2)^2)-(((74-43)*MAX('Inputs'!$B$33,'Inputs'!$B$29+'Inputs'!$B$31+'Inputs'!$B$32,'Inputs'!$B$30+'Inputs'!$B$31+'Inputs'!$B$32)/1000+'Inputs'!$B$21+'Inputs'!$B$9+'Inputs'!$B$10))/SQRT((((74-43)*MAX('Inputs'!$B$33,'Inputs'!$B$29+'Inputs'!$B$31+'Inputs'!$B$32,'Inputs'!$B$30+'Inputs'!$B$31+'Inputs'!$B$32)/1000+'Inputs'!$B$21+'Inputs'!$B$9+'Inputs'!$B$10))^2+('Inputs'!$B$6/2)^2))))*'Results'!$B$8)+'Inputs'!$B$28*ABS((('Results'!C7*(1+'Inputs'!$B$24)*(0.5*((((74-43)*MAX('Inputs'!$B$33,'Inputs'!$B$29+'Inputs'!$B$31+'Inputs'!$B$32,'Inputs'!$B$30+'Inputs'!$B$31+'Inputs'!$B$32)/1000+'Inputs'!$B$21)+'Inputs'!$B$9)/SQRT((((74-43)*MAX('Inputs'!$B$33,'Inputs'!$B$29+'Inputs'!$B$31+'Inputs'!$B$32,'Inputs'!$B$30+'Inputs'!$B$31+'Inputs'!$B$32)/1000+'Inputs'!$B$21)+'Inputs'!$B$9)^2+('Inputs'!$B$8/2)^2)-(((74-43)*MAX('Inputs'!$B$33,'Inputs'!$B$29+'Inputs'!$B$31+'Inputs'!$B$32,'Inputs'!$B$30+'Inputs'!$B$31+'Inputs'!$B$32)/1000+'Inputs'!$B$21))/SQRT((((74-43)*MAX('Inputs'!$B$33,'Inputs'!$B$29+'Inputs'!$B$31+'Inputs'!$B$32,'Inputs'!$B$30+'Inputs'!$B$31+'Inputs'!$B$32)/1000+'Inputs'!$B$21))^2+('Inputs'!$B$8/2)^2)))-'Results'!B7*(1-'Inputs'!$B$24)*(0.5*((((74-43)*MAX('Inputs'!$B$33,'Inputs'!$B$29+'Inputs'!$B$31+'Inputs'!$B$32,'Inputs'!$B$30+'Inputs'!$B$31+'Inputs'!$B$32)/1000+'Inputs'!$B$21+'Inputs'!$B$9+'Inputs'!$B$10)+'Inputs'!$B$7)/SQRT((((74-43)*MAX('Inputs'!$B$33,'Inputs'!$B$29+'Inputs'!$B$31+'Inputs'!$B$32,'Inputs'!$B$30+'Inputs'!$B$31+'Inputs'!$B$32)/1000+'Inputs'!$B$21+'Inputs'!$B$9+'Inputs'!$B$10)+'Inputs'!$B$7)^2+('Inputs'!$B$6/2)^2)-(((74-43)*MAX('Inputs'!$B$33,'Inputs'!$B$29+'Inputs'!$B$31+'Inputs'!$B$32,'Inputs'!$B$30+'Inputs'!$B$31+'Inputs'!$B$32)/1000+'Inputs'!$B$21+'Inputs'!$B$9+'Inputs'!$B$10))/SQRT((((74-43)*MAX('Inputs'!$B$33,'Inputs'!$B$29+'Inputs'!$B$31+'Inputs'!$B$32,'Inputs'!$B$30+'Inputs'!$B$31+'Inputs'!$B$32)/1000+'Inputs'!$B$21+'Inputs'!$B$9+'Inputs'!$B$10))^2+('Inputs'!$B$6/2)^2))))*'Results'!$B$8))),"")</x:f>
        <x:v>1457.4515065215805</x:v>
      </x:c>
      <x:c r="P74" t="n">
        <x:f>IF(AND(MAX(J74,J73)&gt;0,J74&gt;J73+0.00000001),1,0)</x:f>
        <x:v>0</x:v>
      </x:c>
      <x:c r="Q74" t="n">
        <x:f>IF(AND(MAX(K74,K73)&gt;0,K74&gt;K73+0.00000001),1,0)</x:f>
        <x:v>0</x:v>
      </x:c>
      <x:c r="R74" t="n">
        <x:f>IF(AND(MAX(L74,L73)&gt;0,L74&gt;L73+0.00000001),1,0)</x:f>
        <x:v>0</x:v>
      </x:c>
      <x:c r="S74" t="n">
        <x:f>IF(AND(MAX(M74,M73)&gt;0,M74&gt;M73+0.00000001),1,0)</x:f>
        <x:v>0</x:v>
      </x:c>
      <x:c r="T74" t="n">
        <x:f>IF(AND(MAX(N74,N73)&gt;0,N74&gt;N73+0.00000001),1,0)</x:f>
        <x:v>0</x:v>
      </x:c>
      <x:c r="U74" t="n">
        <x:f>IF(AND(MAX(O74,O73)&gt;0,O74&gt;O73+0.00000001),1,0)</x:f>
        <x:v>0</x:v>
      </x:c>
    </x:row>
    <x:row r="75">
      <x:c r="J75" t="n">
        <x:f>IF(AND(ISNUMBER('Results'!B7),ISNUMBER('Results'!C7),ISNUMBER('Results'!$B$8),ISNUMBER('Inputs'!$B$6),ISNUMBER('Inputs'!$B$7),ISNUMBER('Inputs'!$B$8),ISNUMBER('Inputs'!$B$9),ISNUMBER('Inputs'!$B$10),ISNUMBER('Inputs'!$B$21),ISNUMBER('Inputs'!$B$24),ISNUMBER('Inputs'!$B$28)),(('Results'!B7*(0.5*((((75-43)*MAX('Inputs'!$B$33,'Inputs'!$B$29+'Inputs'!$B$31+'Inputs'!$B$32,'Inputs'!$B$30+'Inputs'!$B$31+'Inputs'!$B$32)/1000+'Inputs'!$B$21)+'Inputs'!$B$7)/SQRT((((75-43)*MAX('Inputs'!$B$33,'Inputs'!$B$29+'Inputs'!$B$31+'Inputs'!$B$32,'Inputs'!$B$30+'Inputs'!$B$31+'Inputs'!$B$32)/1000+'Inputs'!$B$21)+'Inputs'!$B$7)^2+('Inputs'!$B$6/2)^2)-(((75-43)*MAX('Inputs'!$B$33,'Inputs'!$B$29+'Inputs'!$B$31+'Inputs'!$B$32,'Inputs'!$B$30+'Inputs'!$B$31+'Inputs'!$B$32)/1000+'Inputs'!$B$21))/SQRT((((75-43)*MAX('Inputs'!$B$33,'Inputs'!$B$29+'Inputs'!$B$31+'Inputs'!$B$32,'Inputs'!$B$30+'Inputs'!$B$31+'Inputs'!$B$32)/1000+'Inputs'!$B$21))^2+('Inputs'!$B$6/2)^2)))-'Results'!C7*(0.5*((((75-43)*MAX('Inputs'!$B$33,'Inputs'!$B$29+'Inputs'!$B$31+'Inputs'!$B$32,'Inputs'!$B$30+'Inputs'!$B$31+'Inputs'!$B$32)/1000+'Inputs'!$B$21+'Inputs'!$B$7+'Inputs'!$B$10)+'Inputs'!$B$9)/SQRT((((75-43)*MAX('Inputs'!$B$33,'Inputs'!$B$29+'Inputs'!$B$31+'Inputs'!$B$32,'Inputs'!$B$30+'Inputs'!$B$31+'Inputs'!$B$32)/1000+'Inputs'!$B$21+'Inputs'!$B$7+'Inputs'!$B$10)+'Inputs'!$B$9)^2+('Inputs'!$B$8/2)^2)-(((75-43)*MAX('Inputs'!$B$33,'Inputs'!$B$29+'Inputs'!$B$31+'Inputs'!$B$32,'Inputs'!$B$30+'Inputs'!$B$31+'Inputs'!$B$32)/1000+'Inputs'!$B$21+'Inputs'!$B$7+'Inputs'!$B$10))/SQRT((((75-43)*MAX('Inputs'!$B$33,'Inputs'!$B$29+'Inputs'!$B$31+'Inputs'!$B$32,'Inputs'!$B$30+'Inputs'!$B$31+'Inputs'!$B$32)/1000+'Inputs'!$B$21+'Inputs'!$B$7+'Inputs'!$B$10))^2+('Inputs'!$B$8/2)^2))))*'Results'!$B$8),"")</x:f>
        <x:v>1365.673263526907</x:v>
      </x:c>
      <x:c r="K75" t="n">
        <x:f>IF(AND(ISNUMBER('Results'!B7),ISNUMBER('Results'!C7),ISNUMBER('Results'!$B$8),ISNUMBER('Inputs'!$B$6),ISNUMBER('Inputs'!$B$7),ISNUMBER('Inputs'!$B$8),ISNUMBER('Inputs'!$B$9),ISNUMBER('Inputs'!$B$10),ISNUMBER('Inputs'!$B$21),ISNUMBER('Inputs'!$B$24),ISNUMBER('Inputs'!$B$28)),((('Results'!B7*(1-'Inputs'!$B$24)*(0.5*((((75-43)*MAX('Inputs'!$B$33,'Inputs'!$B$29+'Inputs'!$B$31+'Inputs'!$B$32,'Inputs'!$B$30+'Inputs'!$B$31+'Inputs'!$B$32)/1000+'Inputs'!$B$21)+'Inputs'!$B$7)/SQRT((((75-43)*MAX('Inputs'!$B$33,'Inputs'!$B$29+'Inputs'!$B$31+'Inputs'!$B$32,'Inputs'!$B$30+'Inputs'!$B$31+'Inputs'!$B$32)/1000+'Inputs'!$B$21)+'Inputs'!$B$7)^2+('Inputs'!$B$6/2)^2)-(((75-43)*MAX('Inputs'!$B$33,'Inputs'!$B$29+'Inputs'!$B$31+'Inputs'!$B$32,'Inputs'!$B$30+'Inputs'!$B$31+'Inputs'!$B$32)/1000+'Inputs'!$B$21))/SQRT((((75-43)*MAX('Inputs'!$B$33,'Inputs'!$B$29+'Inputs'!$B$31+'Inputs'!$B$32,'Inputs'!$B$30+'Inputs'!$B$31+'Inputs'!$B$32)/1000+'Inputs'!$B$21))^2+('Inputs'!$B$6/2)^2)))-'Results'!C7*(1+'Inputs'!$B$24)*(0.5*((((75-43)*MAX('Inputs'!$B$33,'Inputs'!$B$29+'Inputs'!$B$31+'Inputs'!$B$32,'Inputs'!$B$30+'Inputs'!$B$31+'Inputs'!$B$32)/1000+'Inputs'!$B$21+'Inputs'!$B$7+'Inputs'!$B$10)+'Inputs'!$B$9)/SQRT((((75-43)*MAX('Inputs'!$B$33,'Inputs'!$B$29+'Inputs'!$B$31+'Inputs'!$B$32,'Inputs'!$B$30+'Inputs'!$B$31+'Inputs'!$B$32)/1000+'Inputs'!$B$21+'Inputs'!$B$7+'Inputs'!$B$10)+'Inputs'!$B$9)^2+('Inputs'!$B$8/2)^2)-(((75-43)*MAX('Inputs'!$B$33,'Inputs'!$B$29+'Inputs'!$B$31+'Inputs'!$B$32,'Inputs'!$B$30+'Inputs'!$B$31+'Inputs'!$B$32)/1000+'Inputs'!$B$21+'Inputs'!$B$7+'Inputs'!$B$10))/SQRT((((75-43)*MAX('Inputs'!$B$33,'Inputs'!$B$29+'Inputs'!$B$31+'Inputs'!$B$32,'Inputs'!$B$30+'Inputs'!$B$31+'Inputs'!$B$32)/1000+'Inputs'!$B$21+'Inputs'!$B$7+'Inputs'!$B$10))^2+('Inputs'!$B$8/2)^2))))*'Results'!$B$8)-'Inputs'!$B$28*ABS((('Results'!B7*(1-'Inputs'!$B$24)*(0.5*((((75-43)*MAX('Inputs'!$B$33,'Inputs'!$B$29+'Inputs'!$B$31+'Inputs'!$B$32,'Inputs'!$B$30+'Inputs'!$B$31+'Inputs'!$B$32)/1000+'Inputs'!$B$21)+'Inputs'!$B$7)/SQRT((((75-43)*MAX('Inputs'!$B$33,'Inputs'!$B$29+'Inputs'!$B$31+'Inputs'!$B$32,'Inputs'!$B$30+'Inputs'!$B$31+'Inputs'!$B$32)/1000+'Inputs'!$B$21)+'Inputs'!$B$7)^2+('Inputs'!$B$6/2)^2)-(((75-43)*MAX('Inputs'!$B$33,'Inputs'!$B$29+'Inputs'!$B$31+'Inputs'!$B$32,'Inputs'!$B$30+'Inputs'!$B$31+'Inputs'!$B$32)/1000+'Inputs'!$B$21))/SQRT((((75-43)*MAX('Inputs'!$B$33,'Inputs'!$B$29+'Inputs'!$B$31+'Inputs'!$B$32,'Inputs'!$B$30+'Inputs'!$B$31+'Inputs'!$B$32)/1000+'Inputs'!$B$21))^2+('Inputs'!$B$6/2)^2)))-'Results'!C7*(1+'Inputs'!$B$24)*(0.5*((((75-43)*MAX('Inputs'!$B$33,'Inputs'!$B$29+'Inputs'!$B$31+'Inputs'!$B$32,'Inputs'!$B$30+'Inputs'!$B$31+'Inputs'!$B$32)/1000+'Inputs'!$B$21+'Inputs'!$B$7+'Inputs'!$B$10)+'Inputs'!$B$9)/SQRT((((75-43)*MAX('Inputs'!$B$33,'Inputs'!$B$29+'Inputs'!$B$31+'Inputs'!$B$32,'Inputs'!$B$30+'Inputs'!$B$31+'Inputs'!$B$32)/1000+'Inputs'!$B$21+'Inputs'!$B$7+'Inputs'!$B$10)+'Inputs'!$B$9)^2+('Inputs'!$B$8/2)^2)-(((75-43)*MAX('Inputs'!$B$33,'Inputs'!$B$29+'Inputs'!$B$31+'Inputs'!$B$32,'Inputs'!$B$30+'Inputs'!$B$31+'Inputs'!$B$32)/1000+'Inputs'!$B$21+'Inputs'!$B$7+'Inputs'!$B$10))/SQRT((((75-43)*MAX('Inputs'!$B$33,'Inputs'!$B$29+'Inputs'!$B$31+'Inputs'!$B$32,'Inputs'!$B$30+'Inputs'!$B$31+'Inputs'!$B$32)/1000+'Inputs'!$B$21+'Inputs'!$B$7+'Inputs'!$B$10))^2+('Inputs'!$B$8/2)^2))))*'Results'!$B$8))),"")</x:f>
        <x:v>1263.4070271351227</x:v>
      </x:c>
      <x:c r="L75" t="n">
        <x:f>IF(AND(ISNUMBER('Results'!B7),ISNUMBER('Results'!C7),ISNUMBER('Results'!$B$8),ISNUMBER('Inputs'!$B$6),ISNUMBER('Inputs'!$B$7),ISNUMBER('Inputs'!$B$8),ISNUMBER('Inputs'!$B$9),ISNUMBER('Inputs'!$B$10),ISNUMBER('Inputs'!$B$21),ISNUMBER('Inputs'!$B$24),ISNUMBER('Inputs'!$B$28)),((('Results'!B7*(1+'Inputs'!$B$24)*(0.5*((((75-43)*MAX('Inputs'!$B$33,'Inputs'!$B$29+'Inputs'!$B$31+'Inputs'!$B$32,'Inputs'!$B$30+'Inputs'!$B$31+'Inputs'!$B$32)/1000+'Inputs'!$B$21)+'Inputs'!$B$7)/SQRT((((75-43)*MAX('Inputs'!$B$33,'Inputs'!$B$29+'Inputs'!$B$31+'Inputs'!$B$32,'Inputs'!$B$30+'Inputs'!$B$31+'Inputs'!$B$32)/1000+'Inputs'!$B$21)+'Inputs'!$B$7)^2+('Inputs'!$B$6/2)^2)-(((75-43)*MAX('Inputs'!$B$33,'Inputs'!$B$29+'Inputs'!$B$31+'Inputs'!$B$32,'Inputs'!$B$30+'Inputs'!$B$31+'Inputs'!$B$32)/1000+'Inputs'!$B$21))/SQRT((((75-43)*MAX('Inputs'!$B$33,'Inputs'!$B$29+'Inputs'!$B$31+'Inputs'!$B$32,'Inputs'!$B$30+'Inputs'!$B$31+'Inputs'!$B$32)/1000+'Inputs'!$B$21))^2+('Inputs'!$B$6/2)^2)))-'Results'!C7*(1-'Inputs'!$B$24)*(0.5*((((75-43)*MAX('Inputs'!$B$33,'Inputs'!$B$29+'Inputs'!$B$31+'Inputs'!$B$32,'Inputs'!$B$30+'Inputs'!$B$31+'Inputs'!$B$32)/1000+'Inputs'!$B$21+'Inputs'!$B$7+'Inputs'!$B$10)+'Inputs'!$B$9)/SQRT((((75-43)*MAX('Inputs'!$B$33,'Inputs'!$B$29+'Inputs'!$B$31+'Inputs'!$B$32,'Inputs'!$B$30+'Inputs'!$B$31+'Inputs'!$B$32)/1000+'Inputs'!$B$21+'Inputs'!$B$7+'Inputs'!$B$10)+'Inputs'!$B$9)^2+('Inputs'!$B$8/2)^2)-(((75-43)*MAX('Inputs'!$B$33,'Inputs'!$B$29+'Inputs'!$B$31+'Inputs'!$B$32,'Inputs'!$B$30+'Inputs'!$B$31+'Inputs'!$B$32)/1000+'Inputs'!$B$21+'Inputs'!$B$7+'Inputs'!$B$10))/SQRT((((75-43)*MAX('Inputs'!$B$33,'Inputs'!$B$29+'Inputs'!$B$31+'Inputs'!$B$32,'Inputs'!$B$30+'Inputs'!$B$31+'Inputs'!$B$32)/1000+'Inputs'!$B$21+'Inputs'!$B$7+'Inputs'!$B$10))^2+('Inputs'!$B$8/2)^2))))*'Results'!$B$8)+'Inputs'!$B$28*ABS((('Results'!B7*(1+'Inputs'!$B$24)*(0.5*((((75-43)*MAX('Inputs'!$B$33,'Inputs'!$B$29+'Inputs'!$B$31+'Inputs'!$B$32,'Inputs'!$B$30+'Inputs'!$B$31+'Inputs'!$B$32)/1000+'Inputs'!$B$21)+'Inputs'!$B$7)/SQRT((((75-43)*MAX('Inputs'!$B$33,'Inputs'!$B$29+'Inputs'!$B$31+'Inputs'!$B$32,'Inputs'!$B$30+'Inputs'!$B$31+'Inputs'!$B$32)/1000+'Inputs'!$B$21)+'Inputs'!$B$7)^2+('Inputs'!$B$6/2)^2)-(((75-43)*MAX('Inputs'!$B$33,'Inputs'!$B$29+'Inputs'!$B$31+'Inputs'!$B$32,'Inputs'!$B$30+'Inputs'!$B$31+'Inputs'!$B$32)/1000+'Inputs'!$B$21))/SQRT((((75-43)*MAX('Inputs'!$B$33,'Inputs'!$B$29+'Inputs'!$B$31+'Inputs'!$B$32,'Inputs'!$B$30+'Inputs'!$B$31+'Inputs'!$B$32)/1000+'Inputs'!$B$21))^2+('Inputs'!$B$6/2)^2)))-'Results'!C7*(1-'Inputs'!$B$24)*(0.5*((((75-43)*MAX('Inputs'!$B$33,'Inputs'!$B$29+'Inputs'!$B$31+'Inputs'!$B$32,'Inputs'!$B$30+'Inputs'!$B$31+'Inputs'!$B$32)/1000+'Inputs'!$B$21+'Inputs'!$B$7+'Inputs'!$B$10)+'Inputs'!$B$9)/SQRT((((75-43)*MAX('Inputs'!$B$33,'Inputs'!$B$29+'Inputs'!$B$31+'Inputs'!$B$32,'Inputs'!$B$30+'Inputs'!$B$31+'Inputs'!$B$32)/1000+'Inputs'!$B$21+'Inputs'!$B$7+'Inputs'!$B$10)+'Inputs'!$B$9)^2+('Inputs'!$B$8/2)^2)-(((75-43)*MAX('Inputs'!$B$33,'Inputs'!$B$29+'Inputs'!$B$31+'Inputs'!$B$32,'Inputs'!$B$30+'Inputs'!$B$31+'Inputs'!$B$32)/1000+'Inputs'!$B$21+'Inputs'!$B$7+'Inputs'!$B$10))/SQRT((((75-43)*MAX('Inputs'!$B$33,'Inputs'!$B$29+'Inputs'!$B$31+'Inputs'!$B$32,'Inputs'!$B$30+'Inputs'!$B$31+'Inputs'!$B$32)/1000+'Inputs'!$B$21+'Inputs'!$B$7+'Inputs'!$B$10))^2+('Inputs'!$B$8/2)^2))))*'Results'!$B$8))),"")</x:f>
        <x:v>1471.5166128887377</x:v>
      </x:c>
      <x:c r="M75" t="n">
        <x:f>IF(AND(ISNUMBER('Results'!C7),ISNUMBER('Results'!B7),ISNUMBER('Results'!$B$8),ISNUMBER('Inputs'!$B$6),ISNUMBER('Inputs'!$B$7),ISNUMBER('Inputs'!$B$8),ISNUMBER('Inputs'!$B$9),ISNUMBER('Inputs'!$B$10),ISNUMBER('Inputs'!$B$21),ISNUMBER('Inputs'!$B$24),ISNUMBER('Inputs'!$B$28)),(('Results'!C7*(0.5*((((75-43)*MAX('Inputs'!$B$33,'Inputs'!$B$29+'Inputs'!$B$31+'Inputs'!$B$32,'Inputs'!$B$30+'Inputs'!$B$31+'Inputs'!$B$32)/1000+'Inputs'!$B$21)+'Inputs'!$B$9)/SQRT((((75-43)*MAX('Inputs'!$B$33,'Inputs'!$B$29+'Inputs'!$B$31+'Inputs'!$B$32,'Inputs'!$B$30+'Inputs'!$B$31+'Inputs'!$B$32)/1000+'Inputs'!$B$21)+'Inputs'!$B$9)^2+('Inputs'!$B$8/2)^2)-(((75-43)*MAX('Inputs'!$B$33,'Inputs'!$B$29+'Inputs'!$B$31+'Inputs'!$B$32,'Inputs'!$B$30+'Inputs'!$B$31+'Inputs'!$B$32)/1000+'Inputs'!$B$21))/SQRT((((75-43)*MAX('Inputs'!$B$33,'Inputs'!$B$29+'Inputs'!$B$31+'Inputs'!$B$32,'Inputs'!$B$30+'Inputs'!$B$31+'Inputs'!$B$32)/1000+'Inputs'!$B$21))^2+('Inputs'!$B$8/2)^2)))-'Results'!B7*(0.5*((((75-43)*MAX('Inputs'!$B$33,'Inputs'!$B$29+'Inputs'!$B$31+'Inputs'!$B$32,'Inputs'!$B$30+'Inputs'!$B$31+'Inputs'!$B$32)/1000+'Inputs'!$B$21+'Inputs'!$B$9+'Inputs'!$B$10)+'Inputs'!$B$7)/SQRT((((75-43)*MAX('Inputs'!$B$33,'Inputs'!$B$29+'Inputs'!$B$31+'Inputs'!$B$32,'Inputs'!$B$30+'Inputs'!$B$31+'Inputs'!$B$32)/1000+'Inputs'!$B$21+'Inputs'!$B$9+'Inputs'!$B$10)+'Inputs'!$B$7)^2+('Inputs'!$B$6/2)^2)-(((75-43)*MAX('Inputs'!$B$33,'Inputs'!$B$29+'Inputs'!$B$31+'Inputs'!$B$32,'Inputs'!$B$30+'Inputs'!$B$31+'Inputs'!$B$32)/1000+'Inputs'!$B$21+'Inputs'!$B$9+'Inputs'!$B$10))/SQRT((((75-43)*MAX('Inputs'!$B$33,'Inputs'!$B$29+'Inputs'!$B$31+'Inputs'!$B$32,'Inputs'!$B$30+'Inputs'!$B$31+'Inputs'!$B$32)/1000+'Inputs'!$B$21+'Inputs'!$B$9+'Inputs'!$B$10))^2+('Inputs'!$B$6/2)^2))))*'Results'!$B$8),"")</x:f>
        <x:v>1329.8158311281804</x:v>
      </x:c>
      <x:c r="N75" t="n">
        <x:f>IF(AND(ISNUMBER('Results'!C7),ISNUMBER('Results'!B7),ISNUMBER('Results'!$B$8),ISNUMBER('Inputs'!$B$6),ISNUMBER('Inputs'!$B$7),ISNUMBER('Inputs'!$B$8),ISNUMBER('Inputs'!$B$9),ISNUMBER('Inputs'!$B$10),ISNUMBER('Inputs'!$B$21),ISNUMBER('Inputs'!$B$24),ISNUMBER('Inputs'!$B$28)),((('Results'!C7*(1-'Inputs'!$B$24)*(0.5*((((75-43)*MAX('Inputs'!$B$33,'Inputs'!$B$29+'Inputs'!$B$31+'Inputs'!$B$32,'Inputs'!$B$30+'Inputs'!$B$31+'Inputs'!$B$32)/1000+'Inputs'!$B$21)+'Inputs'!$B$9)/SQRT((((75-43)*MAX('Inputs'!$B$33,'Inputs'!$B$29+'Inputs'!$B$31+'Inputs'!$B$32,'Inputs'!$B$30+'Inputs'!$B$31+'Inputs'!$B$32)/1000+'Inputs'!$B$21)+'Inputs'!$B$9)^2+('Inputs'!$B$8/2)^2)-(((75-43)*MAX('Inputs'!$B$33,'Inputs'!$B$29+'Inputs'!$B$31+'Inputs'!$B$32,'Inputs'!$B$30+'Inputs'!$B$31+'Inputs'!$B$32)/1000+'Inputs'!$B$21))/SQRT((((75-43)*MAX('Inputs'!$B$33,'Inputs'!$B$29+'Inputs'!$B$31+'Inputs'!$B$32,'Inputs'!$B$30+'Inputs'!$B$31+'Inputs'!$B$32)/1000+'Inputs'!$B$21))^2+('Inputs'!$B$8/2)^2)))-'Results'!B7*(1+'Inputs'!$B$24)*(0.5*((((75-43)*MAX('Inputs'!$B$33,'Inputs'!$B$29+'Inputs'!$B$31+'Inputs'!$B$32,'Inputs'!$B$30+'Inputs'!$B$31+'Inputs'!$B$32)/1000+'Inputs'!$B$21+'Inputs'!$B$9+'Inputs'!$B$10)+'Inputs'!$B$7)/SQRT((((75-43)*MAX('Inputs'!$B$33,'Inputs'!$B$29+'Inputs'!$B$31+'Inputs'!$B$32,'Inputs'!$B$30+'Inputs'!$B$31+'Inputs'!$B$32)/1000+'Inputs'!$B$21+'Inputs'!$B$9+'Inputs'!$B$10)+'Inputs'!$B$7)^2+('Inputs'!$B$6/2)^2)-(((75-43)*MAX('Inputs'!$B$33,'Inputs'!$B$29+'Inputs'!$B$31+'Inputs'!$B$32,'Inputs'!$B$30+'Inputs'!$B$31+'Inputs'!$B$32)/1000+'Inputs'!$B$21+'Inputs'!$B$9+'Inputs'!$B$10))/SQRT((((75-43)*MAX('Inputs'!$B$33,'Inputs'!$B$29+'Inputs'!$B$31+'Inputs'!$B$32,'Inputs'!$B$30+'Inputs'!$B$31+'Inputs'!$B$32)/1000+'Inputs'!$B$21+'Inputs'!$B$9+'Inputs'!$B$10))^2+('Inputs'!$B$6/2)^2))))*'Results'!$B$8)-'Inputs'!$B$28*ABS((('Results'!C7*(1-'Inputs'!$B$24)*(0.5*((((75-43)*MAX('Inputs'!$B$33,'Inputs'!$B$29+'Inputs'!$B$31+'Inputs'!$B$32,'Inputs'!$B$30+'Inputs'!$B$31+'Inputs'!$B$32)/1000+'Inputs'!$B$21)+'Inputs'!$B$9)/SQRT((((75-43)*MAX('Inputs'!$B$33,'Inputs'!$B$29+'Inputs'!$B$31+'Inputs'!$B$32,'Inputs'!$B$30+'Inputs'!$B$31+'Inputs'!$B$32)/1000+'Inputs'!$B$21)+'Inputs'!$B$9)^2+('Inputs'!$B$8/2)^2)-(((75-43)*MAX('Inputs'!$B$33,'Inputs'!$B$29+'Inputs'!$B$31+'Inputs'!$B$32,'Inputs'!$B$30+'Inputs'!$B$31+'Inputs'!$B$32)/1000+'Inputs'!$B$21))/SQRT((((75-43)*MAX('Inputs'!$B$33,'Inputs'!$B$29+'Inputs'!$B$31+'Inputs'!$B$32,'Inputs'!$B$30+'Inputs'!$B$31+'Inputs'!$B$32)/1000+'Inputs'!$B$21))^2+('Inputs'!$B$8/2)^2)))-'Results'!B7*(1+'Inputs'!$B$24)*(0.5*((((75-43)*MAX('Inputs'!$B$33,'Inputs'!$B$29+'Inputs'!$B$31+'Inputs'!$B$32,'Inputs'!$B$30+'Inputs'!$B$31+'Inputs'!$B$32)/1000+'Inputs'!$B$21+'Inputs'!$B$9+'Inputs'!$B$10)+'Inputs'!$B$7)/SQRT((((75-43)*MAX('Inputs'!$B$33,'Inputs'!$B$29+'Inputs'!$B$31+'Inputs'!$B$32,'Inputs'!$B$30+'Inputs'!$B$31+'Inputs'!$B$32)/1000+'Inputs'!$B$21+'Inputs'!$B$9+'Inputs'!$B$10)+'Inputs'!$B$7)^2+('Inputs'!$B$6/2)^2)-(((75-43)*MAX('Inputs'!$B$33,'Inputs'!$B$29+'Inputs'!$B$31+'Inputs'!$B$32,'Inputs'!$B$30+'Inputs'!$B$31+'Inputs'!$B$32)/1000+'Inputs'!$B$21+'Inputs'!$B$9+'Inputs'!$B$10))/SQRT((((75-43)*MAX('Inputs'!$B$33,'Inputs'!$B$29+'Inputs'!$B$31+'Inputs'!$B$32,'Inputs'!$B$30+'Inputs'!$B$31+'Inputs'!$B$32)/1000+'Inputs'!$B$21+'Inputs'!$B$9+'Inputs'!$B$10))^2+('Inputs'!$B$6/2)^2))))*'Results'!$B$8))),"")</x:f>
        <x:v>1229.8597824452056</x:v>
      </x:c>
      <x:c r="O75" t="n">
        <x:f>IF(AND(ISNUMBER('Results'!C7),ISNUMBER('Results'!B7),ISNUMBER('Results'!$B$8),ISNUMBER('Inputs'!$B$6),ISNUMBER('Inputs'!$B$7),ISNUMBER('Inputs'!$B$8),ISNUMBER('Inputs'!$B$9),ISNUMBER('Inputs'!$B$10),ISNUMBER('Inputs'!$B$21),ISNUMBER('Inputs'!$B$24),ISNUMBER('Inputs'!$B$28)),((('Results'!C7*(1+'Inputs'!$B$24)*(0.5*((((75-43)*MAX('Inputs'!$B$33,'Inputs'!$B$29+'Inputs'!$B$31+'Inputs'!$B$32,'Inputs'!$B$30+'Inputs'!$B$31+'Inputs'!$B$32)/1000+'Inputs'!$B$21)+'Inputs'!$B$9)/SQRT((((75-43)*MAX('Inputs'!$B$33,'Inputs'!$B$29+'Inputs'!$B$31+'Inputs'!$B$32,'Inputs'!$B$30+'Inputs'!$B$31+'Inputs'!$B$32)/1000+'Inputs'!$B$21)+'Inputs'!$B$9)^2+('Inputs'!$B$8/2)^2)-(((75-43)*MAX('Inputs'!$B$33,'Inputs'!$B$29+'Inputs'!$B$31+'Inputs'!$B$32,'Inputs'!$B$30+'Inputs'!$B$31+'Inputs'!$B$32)/1000+'Inputs'!$B$21))/SQRT((((75-43)*MAX('Inputs'!$B$33,'Inputs'!$B$29+'Inputs'!$B$31+'Inputs'!$B$32,'Inputs'!$B$30+'Inputs'!$B$31+'Inputs'!$B$32)/1000+'Inputs'!$B$21))^2+('Inputs'!$B$8/2)^2)))-'Results'!B7*(1-'Inputs'!$B$24)*(0.5*((((75-43)*MAX('Inputs'!$B$33,'Inputs'!$B$29+'Inputs'!$B$31+'Inputs'!$B$32,'Inputs'!$B$30+'Inputs'!$B$31+'Inputs'!$B$32)/1000+'Inputs'!$B$21+'Inputs'!$B$9+'Inputs'!$B$10)+'Inputs'!$B$7)/SQRT((((75-43)*MAX('Inputs'!$B$33,'Inputs'!$B$29+'Inputs'!$B$31+'Inputs'!$B$32,'Inputs'!$B$30+'Inputs'!$B$31+'Inputs'!$B$32)/1000+'Inputs'!$B$21+'Inputs'!$B$9+'Inputs'!$B$10)+'Inputs'!$B$7)^2+('Inputs'!$B$6/2)^2)-(((75-43)*MAX('Inputs'!$B$33,'Inputs'!$B$29+'Inputs'!$B$31+'Inputs'!$B$32,'Inputs'!$B$30+'Inputs'!$B$31+'Inputs'!$B$32)/1000+'Inputs'!$B$21+'Inputs'!$B$9+'Inputs'!$B$10))/SQRT((((75-43)*MAX('Inputs'!$B$33,'Inputs'!$B$29+'Inputs'!$B$31+'Inputs'!$B$32,'Inputs'!$B$30+'Inputs'!$B$31+'Inputs'!$B$32)/1000+'Inputs'!$B$21+'Inputs'!$B$9+'Inputs'!$B$10))^2+('Inputs'!$B$6/2)^2))))*'Results'!$B$8)+'Inputs'!$B$28*ABS((('Results'!C7*(1+'Inputs'!$B$24)*(0.5*((((75-43)*MAX('Inputs'!$B$33,'Inputs'!$B$29+'Inputs'!$B$31+'Inputs'!$B$32,'Inputs'!$B$30+'Inputs'!$B$31+'Inputs'!$B$32)/1000+'Inputs'!$B$21)+'Inputs'!$B$9)/SQRT((((75-43)*MAX('Inputs'!$B$33,'Inputs'!$B$29+'Inputs'!$B$31+'Inputs'!$B$32,'Inputs'!$B$30+'Inputs'!$B$31+'Inputs'!$B$32)/1000+'Inputs'!$B$21)+'Inputs'!$B$9)^2+('Inputs'!$B$8/2)^2)-(((75-43)*MAX('Inputs'!$B$33,'Inputs'!$B$29+'Inputs'!$B$31+'Inputs'!$B$32,'Inputs'!$B$30+'Inputs'!$B$31+'Inputs'!$B$32)/1000+'Inputs'!$B$21))/SQRT((((75-43)*MAX('Inputs'!$B$33,'Inputs'!$B$29+'Inputs'!$B$31+'Inputs'!$B$32,'Inputs'!$B$30+'Inputs'!$B$31+'Inputs'!$B$32)/1000+'Inputs'!$B$21))^2+('Inputs'!$B$8/2)^2)))-'Results'!B7*(1-'Inputs'!$B$24)*(0.5*((((75-43)*MAX('Inputs'!$B$33,'Inputs'!$B$29+'Inputs'!$B$31+'Inputs'!$B$32,'Inputs'!$B$30+'Inputs'!$B$31+'Inputs'!$B$32)/1000+'Inputs'!$B$21+'Inputs'!$B$9+'Inputs'!$B$10)+'Inputs'!$B$7)/SQRT((((75-43)*MAX('Inputs'!$B$33,'Inputs'!$B$29+'Inputs'!$B$31+'Inputs'!$B$32,'Inputs'!$B$30+'Inputs'!$B$31+'Inputs'!$B$32)/1000+'Inputs'!$B$21+'Inputs'!$B$9+'Inputs'!$B$10)+'Inputs'!$B$7)^2+('Inputs'!$B$6/2)^2)-(((75-43)*MAX('Inputs'!$B$33,'Inputs'!$B$29+'Inputs'!$B$31+'Inputs'!$B$32,'Inputs'!$B$30+'Inputs'!$B$31+'Inputs'!$B$32)/1000+'Inputs'!$B$21+'Inputs'!$B$9+'Inputs'!$B$10))/SQRT((((75-43)*MAX('Inputs'!$B$33,'Inputs'!$B$29+'Inputs'!$B$31+'Inputs'!$B$32,'Inputs'!$B$30+'Inputs'!$B$31+'Inputs'!$B$32)/1000+'Inputs'!$B$21+'Inputs'!$B$9+'Inputs'!$B$10))^2+('Inputs'!$B$6/2)^2))))*'Results'!$B$8))),"")</x:f>
        <x:v>1433.294538456057</x:v>
      </x:c>
      <x:c r="P75" t="n">
        <x:f>IF(AND(MAX(J75,J74)&gt;0,J75&gt;J74+0.00000001),1,0)</x:f>
        <x:v>0</x:v>
      </x:c>
      <x:c r="Q75" t="n">
        <x:f>IF(AND(MAX(K75,K74)&gt;0,K75&gt;K74+0.00000001),1,0)</x:f>
        <x:v>0</x:v>
      </x:c>
      <x:c r="R75" t="n">
        <x:f>IF(AND(MAX(L75,L74)&gt;0,L75&gt;L74+0.00000001),1,0)</x:f>
        <x:v>0</x:v>
      </x:c>
      <x:c r="S75" t="n">
        <x:f>IF(AND(MAX(M75,M74)&gt;0,M75&gt;M74+0.00000001),1,0)</x:f>
        <x:v>0</x:v>
      </x:c>
      <x:c r="T75" t="n">
        <x:f>IF(AND(MAX(N75,N74)&gt;0,N75&gt;N74+0.00000001),1,0)</x:f>
        <x:v>0</x:v>
      </x:c>
      <x:c r="U75" t="n">
        <x:f>IF(AND(MAX(O75,O74)&gt;0,O75&gt;O74+0.00000001),1,0)</x:f>
        <x:v>0</x:v>
      </x:c>
    </x:row>
    <x:row r="76">
      <x:c r="J76" t="n">
        <x:f>IF(AND(ISNUMBER('Results'!B7),ISNUMBER('Results'!C7),ISNUMBER('Results'!$B$8),ISNUMBER('Inputs'!$B$6),ISNUMBER('Inputs'!$B$7),ISNUMBER('Inputs'!$B$8),ISNUMBER('Inputs'!$B$9),ISNUMBER('Inputs'!$B$10),ISNUMBER('Inputs'!$B$21),ISNUMBER('Inputs'!$B$24),ISNUMBER('Inputs'!$B$28)),(('Results'!B7*(0.5*((((76-43)*MAX('Inputs'!$B$33,'Inputs'!$B$29+'Inputs'!$B$31+'Inputs'!$B$32,'Inputs'!$B$30+'Inputs'!$B$31+'Inputs'!$B$32)/1000+'Inputs'!$B$21)+'Inputs'!$B$7)/SQRT((((76-43)*MAX('Inputs'!$B$33,'Inputs'!$B$29+'Inputs'!$B$31+'Inputs'!$B$32,'Inputs'!$B$30+'Inputs'!$B$31+'Inputs'!$B$32)/1000+'Inputs'!$B$21)+'Inputs'!$B$7)^2+('Inputs'!$B$6/2)^2)-(((76-43)*MAX('Inputs'!$B$33,'Inputs'!$B$29+'Inputs'!$B$31+'Inputs'!$B$32,'Inputs'!$B$30+'Inputs'!$B$31+'Inputs'!$B$32)/1000+'Inputs'!$B$21))/SQRT((((76-43)*MAX('Inputs'!$B$33,'Inputs'!$B$29+'Inputs'!$B$31+'Inputs'!$B$32,'Inputs'!$B$30+'Inputs'!$B$31+'Inputs'!$B$32)/1000+'Inputs'!$B$21))^2+('Inputs'!$B$6/2)^2)))-'Results'!C7*(0.5*((((76-43)*MAX('Inputs'!$B$33,'Inputs'!$B$29+'Inputs'!$B$31+'Inputs'!$B$32,'Inputs'!$B$30+'Inputs'!$B$31+'Inputs'!$B$32)/1000+'Inputs'!$B$21+'Inputs'!$B$7+'Inputs'!$B$10)+'Inputs'!$B$9)/SQRT((((76-43)*MAX('Inputs'!$B$33,'Inputs'!$B$29+'Inputs'!$B$31+'Inputs'!$B$32,'Inputs'!$B$30+'Inputs'!$B$31+'Inputs'!$B$32)/1000+'Inputs'!$B$21+'Inputs'!$B$7+'Inputs'!$B$10)+'Inputs'!$B$9)^2+('Inputs'!$B$8/2)^2)-(((76-43)*MAX('Inputs'!$B$33,'Inputs'!$B$29+'Inputs'!$B$31+'Inputs'!$B$32,'Inputs'!$B$30+'Inputs'!$B$31+'Inputs'!$B$32)/1000+'Inputs'!$B$21+'Inputs'!$B$7+'Inputs'!$B$10))/SQRT((((76-43)*MAX('Inputs'!$B$33,'Inputs'!$B$29+'Inputs'!$B$31+'Inputs'!$B$32,'Inputs'!$B$30+'Inputs'!$B$31+'Inputs'!$B$32)/1000+'Inputs'!$B$21+'Inputs'!$B$7+'Inputs'!$B$10))^2+('Inputs'!$B$8/2)^2))))*'Results'!$B$8),"")</x:f>
        <x:v>1342.783774888109</x:v>
      </x:c>
      <x:c r="K76" t="n">
        <x:f>IF(AND(ISNUMBER('Results'!B7),ISNUMBER('Results'!C7),ISNUMBER('Results'!$B$8),ISNUMBER('Inputs'!$B$6),ISNUMBER('Inputs'!$B$7),ISNUMBER('Inputs'!$B$8),ISNUMBER('Inputs'!$B$9),ISNUMBER('Inputs'!$B$10),ISNUMBER('Inputs'!$B$21),ISNUMBER('Inputs'!$B$24),ISNUMBER('Inputs'!$B$28)),((('Results'!B7*(1-'Inputs'!$B$24)*(0.5*((((76-43)*MAX('Inputs'!$B$33,'Inputs'!$B$29+'Inputs'!$B$31+'Inputs'!$B$32,'Inputs'!$B$30+'Inputs'!$B$31+'Inputs'!$B$32)/1000+'Inputs'!$B$21)+'Inputs'!$B$7)/SQRT((((76-43)*MAX('Inputs'!$B$33,'Inputs'!$B$29+'Inputs'!$B$31+'Inputs'!$B$32,'Inputs'!$B$30+'Inputs'!$B$31+'Inputs'!$B$32)/1000+'Inputs'!$B$21)+'Inputs'!$B$7)^2+('Inputs'!$B$6/2)^2)-(((76-43)*MAX('Inputs'!$B$33,'Inputs'!$B$29+'Inputs'!$B$31+'Inputs'!$B$32,'Inputs'!$B$30+'Inputs'!$B$31+'Inputs'!$B$32)/1000+'Inputs'!$B$21))/SQRT((((76-43)*MAX('Inputs'!$B$33,'Inputs'!$B$29+'Inputs'!$B$31+'Inputs'!$B$32,'Inputs'!$B$30+'Inputs'!$B$31+'Inputs'!$B$32)/1000+'Inputs'!$B$21))^2+('Inputs'!$B$6/2)^2)))-'Results'!C7*(1+'Inputs'!$B$24)*(0.5*((((76-43)*MAX('Inputs'!$B$33,'Inputs'!$B$29+'Inputs'!$B$31+'Inputs'!$B$32,'Inputs'!$B$30+'Inputs'!$B$31+'Inputs'!$B$32)/1000+'Inputs'!$B$21+'Inputs'!$B$7+'Inputs'!$B$10)+'Inputs'!$B$9)/SQRT((((76-43)*MAX('Inputs'!$B$33,'Inputs'!$B$29+'Inputs'!$B$31+'Inputs'!$B$32,'Inputs'!$B$30+'Inputs'!$B$31+'Inputs'!$B$32)/1000+'Inputs'!$B$21+'Inputs'!$B$7+'Inputs'!$B$10)+'Inputs'!$B$9)^2+('Inputs'!$B$8/2)^2)-(((76-43)*MAX('Inputs'!$B$33,'Inputs'!$B$29+'Inputs'!$B$31+'Inputs'!$B$32,'Inputs'!$B$30+'Inputs'!$B$31+'Inputs'!$B$32)/1000+'Inputs'!$B$21+'Inputs'!$B$7+'Inputs'!$B$10))/SQRT((((76-43)*MAX('Inputs'!$B$33,'Inputs'!$B$29+'Inputs'!$B$31+'Inputs'!$B$32,'Inputs'!$B$30+'Inputs'!$B$31+'Inputs'!$B$32)/1000+'Inputs'!$B$21+'Inputs'!$B$7+'Inputs'!$B$10))^2+('Inputs'!$B$8/2)^2))))*'Results'!$B$8)-'Inputs'!$B$28*ABS((('Results'!B7*(1-'Inputs'!$B$24)*(0.5*((((76-43)*MAX('Inputs'!$B$33,'Inputs'!$B$29+'Inputs'!$B$31+'Inputs'!$B$32,'Inputs'!$B$30+'Inputs'!$B$31+'Inputs'!$B$32)/1000+'Inputs'!$B$21)+'Inputs'!$B$7)/SQRT((((76-43)*MAX('Inputs'!$B$33,'Inputs'!$B$29+'Inputs'!$B$31+'Inputs'!$B$32,'Inputs'!$B$30+'Inputs'!$B$31+'Inputs'!$B$32)/1000+'Inputs'!$B$21)+'Inputs'!$B$7)^2+('Inputs'!$B$6/2)^2)-(((76-43)*MAX('Inputs'!$B$33,'Inputs'!$B$29+'Inputs'!$B$31+'Inputs'!$B$32,'Inputs'!$B$30+'Inputs'!$B$31+'Inputs'!$B$32)/1000+'Inputs'!$B$21))/SQRT((((76-43)*MAX('Inputs'!$B$33,'Inputs'!$B$29+'Inputs'!$B$31+'Inputs'!$B$32,'Inputs'!$B$30+'Inputs'!$B$31+'Inputs'!$B$32)/1000+'Inputs'!$B$21))^2+('Inputs'!$B$6/2)^2)))-'Results'!C7*(1+'Inputs'!$B$24)*(0.5*((((76-43)*MAX('Inputs'!$B$33,'Inputs'!$B$29+'Inputs'!$B$31+'Inputs'!$B$32,'Inputs'!$B$30+'Inputs'!$B$31+'Inputs'!$B$32)/1000+'Inputs'!$B$21+'Inputs'!$B$7+'Inputs'!$B$10)+'Inputs'!$B$9)/SQRT((((76-43)*MAX('Inputs'!$B$33,'Inputs'!$B$29+'Inputs'!$B$31+'Inputs'!$B$32,'Inputs'!$B$30+'Inputs'!$B$31+'Inputs'!$B$32)/1000+'Inputs'!$B$21+'Inputs'!$B$7+'Inputs'!$B$10)+'Inputs'!$B$9)^2+('Inputs'!$B$8/2)^2)-(((76-43)*MAX('Inputs'!$B$33,'Inputs'!$B$29+'Inputs'!$B$31+'Inputs'!$B$32,'Inputs'!$B$30+'Inputs'!$B$31+'Inputs'!$B$32)/1000+'Inputs'!$B$21+'Inputs'!$B$7+'Inputs'!$B$10))/SQRT((((76-43)*MAX('Inputs'!$B$33,'Inputs'!$B$29+'Inputs'!$B$31+'Inputs'!$B$32,'Inputs'!$B$30+'Inputs'!$B$31+'Inputs'!$B$32)/1000+'Inputs'!$B$21+'Inputs'!$B$7+'Inputs'!$B$10))^2+('Inputs'!$B$8/2)^2))))*'Results'!$B$8))),"")</x:f>
        <x:v>1242.2147366298211</x:v>
      </x:c>
      <x:c r="L76" t="n">
        <x:f>IF(AND(ISNUMBER('Results'!B7),ISNUMBER('Results'!C7),ISNUMBER('Results'!$B$8),ISNUMBER('Inputs'!$B$6),ISNUMBER('Inputs'!$B$7),ISNUMBER('Inputs'!$B$8),ISNUMBER('Inputs'!$B$9),ISNUMBER('Inputs'!$B$10),ISNUMBER('Inputs'!$B$21),ISNUMBER('Inputs'!$B$24),ISNUMBER('Inputs'!$B$28)),((('Results'!B7*(1+'Inputs'!$B$24)*(0.5*((((76-43)*MAX('Inputs'!$B$33,'Inputs'!$B$29+'Inputs'!$B$31+'Inputs'!$B$32,'Inputs'!$B$30+'Inputs'!$B$31+'Inputs'!$B$32)/1000+'Inputs'!$B$21)+'Inputs'!$B$7)/SQRT((((76-43)*MAX('Inputs'!$B$33,'Inputs'!$B$29+'Inputs'!$B$31+'Inputs'!$B$32,'Inputs'!$B$30+'Inputs'!$B$31+'Inputs'!$B$32)/1000+'Inputs'!$B$21)+'Inputs'!$B$7)^2+('Inputs'!$B$6/2)^2)-(((76-43)*MAX('Inputs'!$B$33,'Inputs'!$B$29+'Inputs'!$B$31+'Inputs'!$B$32,'Inputs'!$B$30+'Inputs'!$B$31+'Inputs'!$B$32)/1000+'Inputs'!$B$21))/SQRT((((76-43)*MAX('Inputs'!$B$33,'Inputs'!$B$29+'Inputs'!$B$31+'Inputs'!$B$32,'Inputs'!$B$30+'Inputs'!$B$31+'Inputs'!$B$32)/1000+'Inputs'!$B$21))^2+('Inputs'!$B$6/2)^2)))-'Results'!C7*(1-'Inputs'!$B$24)*(0.5*((((76-43)*MAX('Inputs'!$B$33,'Inputs'!$B$29+'Inputs'!$B$31+'Inputs'!$B$32,'Inputs'!$B$30+'Inputs'!$B$31+'Inputs'!$B$32)/1000+'Inputs'!$B$21+'Inputs'!$B$7+'Inputs'!$B$10)+'Inputs'!$B$9)/SQRT((((76-43)*MAX('Inputs'!$B$33,'Inputs'!$B$29+'Inputs'!$B$31+'Inputs'!$B$32,'Inputs'!$B$30+'Inputs'!$B$31+'Inputs'!$B$32)/1000+'Inputs'!$B$21+'Inputs'!$B$7+'Inputs'!$B$10)+'Inputs'!$B$9)^2+('Inputs'!$B$8/2)^2)-(((76-43)*MAX('Inputs'!$B$33,'Inputs'!$B$29+'Inputs'!$B$31+'Inputs'!$B$32,'Inputs'!$B$30+'Inputs'!$B$31+'Inputs'!$B$32)/1000+'Inputs'!$B$21+'Inputs'!$B$7+'Inputs'!$B$10))/SQRT((((76-43)*MAX('Inputs'!$B$33,'Inputs'!$B$29+'Inputs'!$B$31+'Inputs'!$B$32,'Inputs'!$B$30+'Inputs'!$B$31+'Inputs'!$B$32)/1000+'Inputs'!$B$21+'Inputs'!$B$7+'Inputs'!$B$10))^2+('Inputs'!$B$8/2)^2))))*'Results'!$B$8)+'Inputs'!$B$28*ABS((('Results'!B7*(1+'Inputs'!$B$24)*(0.5*((((76-43)*MAX('Inputs'!$B$33,'Inputs'!$B$29+'Inputs'!$B$31+'Inputs'!$B$32,'Inputs'!$B$30+'Inputs'!$B$31+'Inputs'!$B$32)/1000+'Inputs'!$B$21)+'Inputs'!$B$7)/SQRT((((76-43)*MAX('Inputs'!$B$33,'Inputs'!$B$29+'Inputs'!$B$31+'Inputs'!$B$32,'Inputs'!$B$30+'Inputs'!$B$31+'Inputs'!$B$32)/1000+'Inputs'!$B$21)+'Inputs'!$B$7)^2+('Inputs'!$B$6/2)^2)-(((76-43)*MAX('Inputs'!$B$33,'Inputs'!$B$29+'Inputs'!$B$31+'Inputs'!$B$32,'Inputs'!$B$30+'Inputs'!$B$31+'Inputs'!$B$32)/1000+'Inputs'!$B$21))/SQRT((((76-43)*MAX('Inputs'!$B$33,'Inputs'!$B$29+'Inputs'!$B$31+'Inputs'!$B$32,'Inputs'!$B$30+'Inputs'!$B$31+'Inputs'!$B$32)/1000+'Inputs'!$B$21))^2+('Inputs'!$B$6/2)^2)))-'Results'!C7*(1-'Inputs'!$B$24)*(0.5*((((76-43)*MAX('Inputs'!$B$33,'Inputs'!$B$29+'Inputs'!$B$31+'Inputs'!$B$32,'Inputs'!$B$30+'Inputs'!$B$31+'Inputs'!$B$32)/1000+'Inputs'!$B$21+'Inputs'!$B$7+'Inputs'!$B$10)+'Inputs'!$B$9)/SQRT((((76-43)*MAX('Inputs'!$B$33,'Inputs'!$B$29+'Inputs'!$B$31+'Inputs'!$B$32,'Inputs'!$B$30+'Inputs'!$B$31+'Inputs'!$B$32)/1000+'Inputs'!$B$21+'Inputs'!$B$7+'Inputs'!$B$10)+'Inputs'!$B$9)^2+('Inputs'!$B$8/2)^2)-(((76-43)*MAX('Inputs'!$B$33,'Inputs'!$B$29+'Inputs'!$B$31+'Inputs'!$B$32,'Inputs'!$B$30+'Inputs'!$B$31+'Inputs'!$B$32)/1000+'Inputs'!$B$21+'Inputs'!$B$7+'Inputs'!$B$10))/SQRT((((76-43)*MAX('Inputs'!$B$33,'Inputs'!$B$29+'Inputs'!$B$31+'Inputs'!$B$32,'Inputs'!$B$30+'Inputs'!$B$31+'Inputs'!$B$32)/1000+'Inputs'!$B$21+'Inputs'!$B$7+'Inputs'!$B$10))^2+('Inputs'!$B$8/2)^2))))*'Results'!$B$8))),"")</x:f>
        <x:v>1446.8717446741746</x:v>
      </x:c>
      <x:c r="M76" t="n">
        <x:f>IF(AND(ISNUMBER('Results'!C7),ISNUMBER('Results'!B7),ISNUMBER('Results'!$B$8),ISNUMBER('Inputs'!$B$6),ISNUMBER('Inputs'!$B$7),ISNUMBER('Inputs'!$B$8),ISNUMBER('Inputs'!$B$9),ISNUMBER('Inputs'!$B$10),ISNUMBER('Inputs'!$B$21),ISNUMBER('Inputs'!$B$24),ISNUMBER('Inputs'!$B$28)),(('Results'!C7*(0.5*((((76-43)*MAX('Inputs'!$B$33,'Inputs'!$B$29+'Inputs'!$B$31+'Inputs'!$B$32,'Inputs'!$B$30+'Inputs'!$B$31+'Inputs'!$B$32)/1000+'Inputs'!$B$21)+'Inputs'!$B$9)/SQRT((((76-43)*MAX('Inputs'!$B$33,'Inputs'!$B$29+'Inputs'!$B$31+'Inputs'!$B$32,'Inputs'!$B$30+'Inputs'!$B$31+'Inputs'!$B$32)/1000+'Inputs'!$B$21)+'Inputs'!$B$9)^2+('Inputs'!$B$8/2)^2)-(((76-43)*MAX('Inputs'!$B$33,'Inputs'!$B$29+'Inputs'!$B$31+'Inputs'!$B$32,'Inputs'!$B$30+'Inputs'!$B$31+'Inputs'!$B$32)/1000+'Inputs'!$B$21))/SQRT((((76-43)*MAX('Inputs'!$B$33,'Inputs'!$B$29+'Inputs'!$B$31+'Inputs'!$B$32,'Inputs'!$B$30+'Inputs'!$B$31+'Inputs'!$B$32)/1000+'Inputs'!$B$21))^2+('Inputs'!$B$8/2)^2)))-'Results'!B7*(0.5*((((76-43)*MAX('Inputs'!$B$33,'Inputs'!$B$29+'Inputs'!$B$31+'Inputs'!$B$32,'Inputs'!$B$30+'Inputs'!$B$31+'Inputs'!$B$32)/1000+'Inputs'!$B$21+'Inputs'!$B$9+'Inputs'!$B$10)+'Inputs'!$B$7)/SQRT((((76-43)*MAX('Inputs'!$B$33,'Inputs'!$B$29+'Inputs'!$B$31+'Inputs'!$B$32,'Inputs'!$B$30+'Inputs'!$B$31+'Inputs'!$B$32)/1000+'Inputs'!$B$21+'Inputs'!$B$9+'Inputs'!$B$10)+'Inputs'!$B$7)^2+('Inputs'!$B$6/2)^2)-(((76-43)*MAX('Inputs'!$B$33,'Inputs'!$B$29+'Inputs'!$B$31+'Inputs'!$B$32,'Inputs'!$B$30+'Inputs'!$B$31+'Inputs'!$B$32)/1000+'Inputs'!$B$21+'Inputs'!$B$9+'Inputs'!$B$10))/SQRT((((76-43)*MAX('Inputs'!$B$33,'Inputs'!$B$29+'Inputs'!$B$31+'Inputs'!$B$32,'Inputs'!$B$30+'Inputs'!$B$31+'Inputs'!$B$32)/1000+'Inputs'!$B$21+'Inputs'!$B$9+'Inputs'!$B$10))^2+('Inputs'!$B$6/2)^2))))*'Results'!$B$8),"")</x:f>
        <x:v>1307.5094224697257</x:v>
      </x:c>
      <x:c r="N76" t="n">
        <x:f>IF(AND(ISNUMBER('Results'!C7),ISNUMBER('Results'!B7),ISNUMBER('Results'!$B$8),ISNUMBER('Inputs'!$B$6),ISNUMBER('Inputs'!$B$7),ISNUMBER('Inputs'!$B$8),ISNUMBER('Inputs'!$B$9),ISNUMBER('Inputs'!$B$10),ISNUMBER('Inputs'!$B$21),ISNUMBER('Inputs'!$B$24),ISNUMBER('Inputs'!$B$28)),((('Results'!C7*(1-'Inputs'!$B$24)*(0.5*((((76-43)*MAX('Inputs'!$B$33,'Inputs'!$B$29+'Inputs'!$B$31+'Inputs'!$B$32,'Inputs'!$B$30+'Inputs'!$B$31+'Inputs'!$B$32)/1000+'Inputs'!$B$21)+'Inputs'!$B$9)/SQRT((((76-43)*MAX('Inputs'!$B$33,'Inputs'!$B$29+'Inputs'!$B$31+'Inputs'!$B$32,'Inputs'!$B$30+'Inputs'!$B$31+'Inputs'!$B$32)/1000+'Inputs'!$B$21)+'Inputs'!$B$9)^2+('Inputs'!$B$8/2)^2)-(((76-43)*MAX('Inputs'!$B$33,'Inputs'!$B$29+'Inputs'!$B$31+'Inputs'!$B$32,'Inputs'!$B$30+'Inputs'!$B$31+'Inputs'!$B$32)/1000+'Inputs'!$B$21))/SQRT((((76-43)*MAX('Inputs'!$B$33,'Inputs'!$B$29+'Inputs'!$B$31+'Inputs'!$B$32,'Inputs'!$B$30+'Inputs'!$B$31+'Inputs'!$B$32)/1000+'Inputs'!$B$21))^2+('Inputs'!$B$8/2)^2)))-'Results'!B7*(1+'Inputs'!$B$24)*(0.5*((((76-43)*MAX('Inputs'!$B$33,'Inputs'!$B$29+'Inputs'!$B$31+'Inputs'!$B$32,'Inputs'!$B$30+'Inputs'!$B$31+'Inputs'!$B$32)/1000+'Inputs'!$B$21+'Inputs'!$B$9+'Inputs'!$B$10)+'Inputs'!$B$7)/SQRT((((76-43)*MAX('Inputs'!$B$33,'Inputs'!$B$29+'Inputs'!$B$31+'Inputs'!$B$32,'Inputs'!$B$30+'Inputs'!$B$31+'Inputs'!$B$32)/1000+'Inputs'!$B$21+'Inputs'!$B$9+'Inputs'!$B$10)+'Inputs'!$B$7)^2+('Inputs'!$B$6/2)^2)-(((76-43)*MAX('Inputs'!$B$33,'Inputs'!$B$29+'Inputs'!$B$31+'Inputs'!$B$32,'Inputs'!$B$30+'Inputs'!$B$31+'Inputs'!$B$32)/1000+'Inputs'!$B$21+'Inputs'!$B$9+'Inputs'!$B$10))/SQRT((((76-43)*MAX('Inputs'!$B$33,'Inputs'!$B$29+'Inputs'!$B$31+'Inputs'!$B$32,'Inputs'!$B$30+'Inputs'!$B$31+'Inputs'!$B$32)/1000+'Inputs'!$B$21+'Inputs'!$B$9+'Inputs'!$B$10))^2+('Inputs'!$B$6/2)^2))))*'Results'!$B$8)-'Inputs'!$B$28*ABS((('Results'!C7*(1-'Inputs'!$B$24)*(0.5*((((76-43)*MAX('Inputs'!$B$33,'Inputs'!$B$29+'Inputs'!$B$31+'Inputs'!$B$32,'Inputs'!$B$30+'Inputs'!$B$31+'Inputs'!$B$32)/1000+'Inputs'!$B$21)+'Inputs'!$B$9)/SQRT((((76-43)*MAX('Inputs'!$B$33,'Inputs'!$B$29+'Inputs'!$B$31+'Inputs'!$B$32,'Inputs'!$B$30+'Inputs'!$B$31+'Inputs'!$B$32)/1000+'Inputs'!$B$21)+'Inputs'!$B$9)^2+('Inputs'!$B$8/2)^2)-(((76-43)*MAX('Inputs'!$B$33,'Inputs'!$B$29+'Inputs'!$B$31+'Inputs'!$B$32,'Inputs'!$B$30+'Inputs'!$B$31+'Inputs'!$B$32)/1000+'Inputs'!$B$21))/SQRT((((76-43)*MAX('Inputs'!$B$33,'Inputs'!$B$29+'Inputs'!$B$31+'Inputs'!$B$32,'Inputs'!$B$30+'Inputs'!$B$31+'Inputs'!$B$32)/1000+'Inputs'!$B$21))^2+('Inputs'!$B$8/2)^2)))-'Results'!B7*(1+'Inputs'!$B$24)*(0.5*((((76-43)*MAX('Inputs'!$B$33,'Inputs'!$B$29+'Inputs'!$B$31+'Inputs'!$B$32,'Inputs'!$B$30+'Inputs'!$B$31+'Inputs'!$B$32)/1000+'Inputs'!$B$21+'Inputs'!$B$9+'Inputs'!$B$10)+'Inputs'!$B$7)/SQRT((((76-43)*MAX('Inputs'!$B$33,'Inputs'!$B$29+'Inputs'!$B$31+'Inputs'!$B$32,'Inputs'!$B$30+'Inputs'!$B$31+'Inputs'!$B$32)/1000+'Inputs'!$B$21+'Inputs'!$B$9+'Inputs'!$B$10)+'Inputs'!$B$7)^2+('Inputs'!$B$6/2)^2)-(((76-43)*MAX('Inputs'!$B$33,'Inputs'!$B$29+'Inputs'!$B$31+'Inputs'!$B$32,'Inputs'!$B$30+'Inputs'!$B$31+'Inputs'!$B$32)/1000+'Inputs'!$B$21+'Inputs'!$B$9+'Inputs'!$B$10))/SQRT((((76-43)*MAX('Inputs'!$B$33,'Inputs'!$B$29+'Inputs'!$B$31+'Inputs'!$B$32,'Inputs'!$B$30+'Inputs'!$B$31+'Inputs'!$B$32)/1000+'Inputs'!$B$21+'Inputs'!$B$9+'Inputs'!$B$10))^2+('Inputs'!$B$6/2)^2))))*'Results'!$B$8))),"")</x:f>
        <x:v>1209.2127439611425</x:v>
      </x:c>
      <x:c r="O76" t="n">
        <x:f>IF(AND(ISNUMBER('Results'!C7),ISNUMBER('Results'!B7),ISNUMBER('Results'!$B$8),ISNUMBER('Inputs'!$B$6),ISNUMBER('Inputs'!$B$7),ISNUMBER('Inputs'!$B$8),ISNUMBER('Inputs'!$B$9),ISNUMBER('Inputs'!$B$10),ISNUMBER('Inputs'!$B$21),ISNUMBER('Inputs'!$B$24),ISNUMBER('Inputs'!$B$28)),((('Results'!C7*(1+'Inputs'!$B$24)*(0.5*((((76-43)*MAX('Inputs'!$B$33,'Inputs'!$B$29+'Inputs'!$B$31+'Inputs'!$B$32,'Inputs'!$B$30+'Inputs'!$B$31+'Inputs'!$B$32)/1000+'Inputs'!$B$21)+'Inputs'!$B$9)/SQRT((((76-43)*MAX('Inputs'!$B$33,'Inputs'!$B$29+'Inputs'!$B$31+'Inputs'!$B$32,'Inputs'!$B$30+'Inputs'!$B$31+'Inputs'!$B$32)/1000+'Inputs'!$B$21)+'Inputs'!$B$9)^2+('Inputs'!$B$8/2)^2)-(((76-43)*MAX('Inputs'!$B$33,'Inputs'!$B$29+'Inputs'!$B$31+'Inputs'!$B$32,'Inputs'!$B$30+'Inputs'!$B$31+'Inputs'!$B$32)/1000+'Inputs'!$B$21))/SQRT((((76-43)*MAX('Inputs'!$B$33,'Inputs'!$B$29+'Inputs'!$B$31+'Inputs'!$B$32,'Inputs'!$B$30+'Inputs'!$B$31+'Inputs'!$B$32)/1000+'Inputs'!$B$21))^2+('Inputs'!$B$8/2)^2)))-'Results'!B7*(1-'Inputs'!$B$24)*(0.5*((((76-43)*MAX('Inputs'!$B$33,'Inputs'!$B$29+'Inputs'!$B$31+'Inputs'!$B$32,'Inputs'!$B$30+'Inputs'!$B$31+'Inputs'!$B$32)/1000+'Inputs'!$B$21+'Inputs'!$B$9+'Inputs'!$B$10)+'Inputs'!$B$7)/SQRT((((76-43)*MAX('Inputs'!$B$33,'Inputs'!$B$29+'Inputs'!$B$31+'Inputs'!$B$32,'Inputs'!$B$30+'Inputs'!$B$31+'Inputs'!$B$32)/1000+'Inputs'!$B$21+'Inputs'!$B$9+'Inputs'!$B$10)+'Inputs'!$B$7)^2+('Inputs'!$B$6/2)^2)-(((76-43)*MAX('Inputs'!$B$33,'Inputs'!$B$29+'Inputs'!$B$31+'Inputs'!$B$32,'Inputs'!$B$30+'Inputs'!$B$31+'Inputs'!$B$32)/1000+'Inputs'!$B$21+'Inputs'!$B$9+'Inputs'!$B$10))/SQRT((((76-43)*MAX('Inputs'!$B$33,'Inputs'!$B$29+'Inputs'!$B$31+'Inputs'!$B$32,'Inputs'!$B$30+'Inputs'!$B$31+'Inputs'!$B$32)/1000+'Inputs'!$B$21+'Inputs'!$B$9+'Inputs'!$B$10))^2+('Inputs'!$B$6/2)^2))))*'Results'!$B$8)+'Inputs'!$B$28*ABS((('Results'!C7*(1+'Inputs'!$B$24)*(0.5*((((76-43)*MAX('Inputs'!$B$33,'Inputs'!$B$29+'Inputs'!$B$31+'Inputs'!$B$32,'Inputs'!$B$30+'Inputs'!$B$31+'Inputs'!$B$32)/1000+'Inputs'!$B$21)+'Inputs'!$B$9)/SQRT((((76-43)*MAX('Inputs'!$B$33,'Inputs'!$B$29+'Inputs'!$B$31+'Inputs'!$B$32,'Inputs'!$B$30+'Inputs'!$B$31+'Inputs'!$B$32)/1000+'Inputs'!$B$21)+'Inputs'!$B$9)^2+('Inputs'!$B$8/2)^2)-(((76-43)*MAX('Inputs'!$B$33,'Inputs'!$B$29+'Inputs'!$B$31+'Inputs'!$B$32,'Inputs'!$B$30+'Inputs'!$B$31+'Inputs'!$B$32)/1000+'Inputs'!$B$21))/SQRT((((76-43)*MAX('Inputs'!$B$33,'Inputs'!$B$29+'Inputs'!$B$31+'Inputs'!$B$32,'Inputs'!$B$30+'Inputs'!$B$31+'Inputs'!$B$32)/1000+'Inputs'!$B$21))^2+('Inputs'!$B$8/2)^2)))-'Results'!B7*(1-'Inputs'!$B$24)*(0.5*((((76-43)*MAX('Inputs'!$B$33,'Inputs'!$B$29+'Inputs'!$B$31+'Inputs'!$B$32,'Inputs'!$B$30+'Inputs'!$B$31+'Inputs'!$B$32)/1000+'Inputs'!$B$21+'Inputs'!$B$9+'Inputs'!$B$10)+'Inputs'!$B$7)/SQRT((((76-43)*MAX('Inputs'!$B$33,'Inputs'!$B$29+'Inputs'!$B$31+'Inputs'!$B$32,'Inputs'!$B$30+'Inputs'!$B$31+'Inputs'!$B$32)/1000+'Inputs'!$B$21+'Inputs'!$B$9+'Inputs'!$B$10)+'Inputs'!$B$7)^2+('Inputs'!$B$6/2)^2)-(((76-43)*MAX('Inputs'!$B$33,'Inputs'!$B$29+'Inputs'!$B$31+'Inputs'!$B$32,'Inputs'!$B$30+'Inputs'!$B$31+'Inputs'!$B$32)/1000+'Inputs'!$B$21+'Inputs'!$B$9+'Inputs'!$B$10))/SQRT((((76-43)*MAX('Inputs'!$B$33,'Inputs'!$B$29+'Inputs'!$B$31+'Inputs'!$B$32,'Inputs'!$B$30+'Inputs'!$B$31+'Inputs'!$B$32)/1000+'Inputs'!$B$21+'Inputs'!$B$9+'Inputs'!$B$10))^2+('Inputs'!$B$6/2)^2))))*'Results'!$B$8))),"")</x:f>
        <x:v>1409.2714912293718</x:v>
      </x:c>
      <x:c r="P76" t="n">
        <x:f>IF(AND(MAX(J76,J75)&gt;0,J76&gt;J75+0.00000001),1,0)</x:f>
        <x:v>0</x:v>
      </x:c>
      <x:c r="Q76" t="n">
        <x:f>IF(AND(MAX(K76,K75)&gt;0,K76&gt;K75+0.00000001),1,0)</x:f>
        <x:v>0</x:v>
      </x:c>
      <x:c r="R76" t="n">
        <x:f>IF(AND(MAX(L76,L75)&gt;0,L76&gt;L75+0.00000001),1,0)</x:f>
        <x:v>0</x:v>
      </x:c>
      <x:c r="S76" t="n">
        <x:f>IF(AND(MAX(M76,M75)&gt;0,M76&gt;M75+0.00000001),1,0)</x:f>
        <x:v>0</x:v>
      </x:c>
      <x:c r="T76" t="n">
        <x:f>IF(AND(MAX(N76,N75)&gt;0,N76&gt;N75+0.00000001),1,0)</x:f>
        <x:v>0</x:v>
      </x:c>
      <x:c r="U76" t="n">
        <x:f>IF(AND(MAX(O76,O75)&gt;0,O76&gt;O75+0.00000001),1,0)</x:f>
        <x:v>0</x:v>
      </x:c>
    </x:row>
    <x:row r="77">
      <x:c r="J77" t="n">
        <x:f>IF(AND(ISNUMBER('Results'!B7),ISNUMBER('Results'!C7),ISNUMBER('Results'!$B$8),ISNUMBER('Inputs'!$B$6),ISNUMBER('Inputs'!$B$7),ISNUMBER('Inputs'!$B$8),ISNUMBER('Inputs'!$B$9),ISNUMBER('Inputs'!$B$10),ISNUMBER('Inputs'!$B$21),ISNUMBER('Inputs'!$B$24),ISNUMBER('Inputs'!$B$28)),(('Results'!B7*(0.5*((((77-43)*MAX('Inputs'!$B$33,'Inputs'!$B$29+'Inputs'!$B$31+'Inputs'!$B$32,'Inputs'!$B$30+'Inputs'!$B$31+'Inputs'!$B$32)/1000+'Inputs'!$B$21)+'Inputs'!$B$7)/SQRT((((77-43)*MAX('Inputs'!$B$33,'Inputs'!$B$29+'Inputs'!$B$31+'Inputs'!$B$32,'Inputs'!$B$30+'Inputs'!$B$31+'Inputs'!$B$32)/1000+'Inputs'!$B$21)+'Inputs'!$B$7)^2+('Inputs'!$B$6/2)^2)-(((77-43)*MAX('Inputs'!$B$33,'Inputs'!$B$29+'Inputs'!$B$31+'Inputs'!$B$32,'Inputs'!$B$30+'Inputs'!$B$31+'Inputs'!$B$32)/1000+'Inputs'!$B$21))/SQRT((((77-43)*MAX('Inputs'!$B$33,'Inputs'!$B$29+'Inputs'!$B$31+'Inputs'!$B$32,'Inputs'!$B$30+'Inputs'!$B$31+'Inputs'!$B$32)/1000+'Inputs'!$B$21))^2+('Inputs'!$B$6/2)^2)))-'Results'!C7*(0.5*((((77-43)*MAX('Inputs'!$B$33,'Inputs'!$B$29+'Inputs'!$B$31+'Inputs'!$B$32,'Inputs'!$B$30+'Inputs'!$B$31+'Inputs'!$B$32)/1000+'Inputs'!$B$21+'Inputs'!$B$7+'Inputs'!$B$10)+'Inputs'!$B$9)/SQRT((((77-43)*MAX('Inputs'!$B$33,'Inputs'!$B$29+'Inputs'!$B$31+'Inputs'!$B$32,'Inputs'!$B$30+'Inputs'!$B$31+'Inputs'!$B$32)/1000+'Inputs'!$B$21+'Inputs'!$B$7+'Inputs'!$B$10)+'Inputs'!$B$9)^2+('Inputs'!$B$8/2)^2)-(((77-43)*MAX('Inputs'!$B$33,'Inputs'!$B$29+'Inputs'!$B$31+'Inputs'!$B$32,'Inputs'!$B$30+'Inputs'!$B$31+'Inputs'!$B$32)/1000+'Inputs'!$B$21+'Inputs'!$B$7+'Inputs'!$B$10))/SQRT((((77-43)*MAX('Inputs'!$B$33,'Inputs'!$B$29+'Inputs'!$B$31+'Inputs'!$B$32,'Inputs'!$B$30+'Inputs'!$B$31+'Inputs'!$B$32)/1000+'Inputs'!$B$21+'Inputs'!$B$7+'Inputs'!$B$10))^2+('Inputs'!$B$8/2)^2))))*'Results'!$B$8),"")</x:f>
        <x:v>1320.038199796492</x:v>
      </x:c>
      <x:c r="K77" t="n">
        <x:f>IF(AND(ISNUMBER('Results'!B7),ISNUMBER('Results'!C7),ISNUMBER('Results'!$B$8),ISNUMBER('Inputs'!$B$6),ISNUMBER('Inputs'!$B$7),ISNUMBER('Inputs'!$B$8),ISNUMBER('Inputs'!$B$9),ISNUMBER('Inputs'!$B$10),ISNUMBER('Inputs'!$B$21),ISNUMBER('Inputs'!$B$24),ISNUMBER('Inputs'!$B$28)),((('Results'!B7*(1-'Inputs'!$B$24)*(0.5*((((77-43)*MAX('Inputs'!$B$33,'Inputs'!$B$29+'Inputs'!$B$31+'Inputs'!$B$32,'Inputs'!$B$30+'Inputs'!$B$31+'Inputs'!$B$32)/1000+'Inputs'!$B$21)+'Inputs'!$B$7)/SQRT((((77-43)*MAX('Inputs'!$B$33,'Inputs'!$B$29+'Inputs'!$B$31+'Inputs'!$B$32,'Inputs'!$B$30+'Inputs'!$B$31+'Inputs'!$B$32)/1000+'Inputs'!$B$21)+'Inputs'!$B$7)^2+('Inputs'!$B$6/2)^2)-(((77-43)*MAX('Inputs'!$B$33,'Inputs'!$B$29+'Inputs'!$B$31+'Inputs'!$B$32,'Inputs'!$B$30+'Inputs'!$B$31+'Inputs'!$B$32)/1000+'Inputs'!$B$21))/SQRT((((77-43)*MAX('Inputs'!$B$33,'Inputs'!$B$29+'Inputs'!$B$31+'Inputs'!$B$32,'Inputs'!$B$30+'Inputs'!$B$31+'Inputs'!$B$32)/1000+'Inputs'!$B$21))^2+('Inputs'!$B$6/2)^2)))-'Results'!C7*(1+'Inputs'!$B$24)*(0.5*((((77-43)*MAX('Inputs'!$B$33,'Inputs'!$B$29+'Inputs'!$B$31+'Inputs'!$B$32,'Inputs'!$B$30+'Inputs'!$B$31+'Inputs'!$B$32)/1000+'Inputs'!$B$21+'Inputs'!$B$7+'Inputs'!$B$10)+'Inputs'!$B$9)/SQRT((((77-43)*MAX('Inputs'!$B$33,'Inputs'!$B$29+'Inputs'!$B$31+'Inputs'!$B$32,'Inputs'!$B$30+'Inputs'!$B$31+'Inputs'!$B$32)/1000+'Inputs'!$B$21+'Inputs'!$B$7+'Inputs'!$B$10)+'Inputs'!$B$9)^2+('Inputs'!$B$8/2)^2)-(((77-43)*MAX('Inputs'!$B$33,'Inputs'!$B$29+'Inputs'!$B$31+'Inputs'!$B$32,'Inputs'!$B$30+'Inputs'!$B$31+'Inputs'!$B$32)/1000+'Inputs'!$B$21+'Inputs'!$B$7+'Inputs'!$B$10))/SQRT((((77-43)*MAX('Inputs'!$B$33,'Inputs'!$B$29+'Inputs'!$B$31+'Inputs'!$B$32,'Inputs'!$B$30+'Inputs'!$B$31+'Inputs'!$B$32)/1000+'Inputs'!$B$21+'Inputs'!$B$7+'Inputs'!$B$10))^2+('Inputs'!$B$8/2)^2))))*'Results'!$B$8)-'Inputs'!$B$28*ABS((('Results'!B7*(1-'Inputs'!$B$24)*(0.5*((((77-43)*MAX('Inputs'!$B$33,'Inputs'!$B$29+'Inputs'!$B$31+'Inputs'!$B$32,'Inputs'!$B$30+'Inputs'!$B$31+'Inputs'!$B$32)/1000+'Inputs'!$B$21)+'Inputs'!$B$7)/SQRT((((77-43)*MAX('Inputs'!$B$33,'Inputs'!$B$29+'Inputs'!$B$31+'Inputs'!$B$32,'Inputs'!$B$30+'Inputs'!$B$31+'Inputs'!$B$32)/1000+'Inputs'!$B$21)+'Inputs'!$B$7)^2+('Inputs'!$B$6/2)^2)-(((77-43)*MAX('Inputs'!$B$33,'Inputs'!$B$29+'Inputs'!$B$31+'Inputs'!$B$32,'Inputs'!$B$30+'Inputs'!$B$31+'Inputs'!$B$32)/1000+'Inputs'!$B$21))/SQRT((((77-43)*MAX('Inputs'!$B$33,'Inputs'!$B$29+'Inputs'!$B$31+'Inputs'!$B$32,'Inputs'!$B$30+'Inputs'!$B$31+'Inputs'!$B$32)/1000+'Inputs'!$B$21))^2+('Inputs'!$B$6/2)^2)))-'Results'!C7*(1+'Inputs'!$B$24)*(0.5*((((77-43)*MAX('Inputs'!$B$33,'Inputs'!$B$29+'Inputs'!$B$31+'Inputs'!$B$32,'Inputs'!$B$30+'Inputs'!$B$31+'Inputs'!$B$32)/1000+'Inputs'!$B$21+'Inputs'!$B$7+'Inputs'!$B$10)+'Inputs'!$B$9)/SQRT((((77-43)*MAX('Inputs'!$B$33,'Inputs'!$B$29+'Inputs'!$B$31+'Inputs'!$B$32,'Inputs'!$B$30+'Inputs'!$B$31+'Inputs'!$B$32)/1000+'Inputs'!$B$21+'Inputs'!$B$7+'Inputs'!$B$10)+'Inputs'!$B$9)^2+('Inputs'!$B$8/2)^2)-(((77-43)*MAX('Inputs'!$B$33,'Inputs'!$B$29+'Inputs'!$B$31+'Inputs'!$B$32,'Inputs'!$B$30+'Inputs'!$B$31+'Inputs'!$B$32)/1000+'Inputs'!$B$21+'Inputs'!$B$7+'Inputs'!$B$10))/SQRT((((77-43)*MAX('Inputs'!$B$33,'Inputs'!$B$29+'Inputs'!$B$31+'Inputs'!$B$32,'Inputs'!$B$30+'Inputs'!$B$31+'Inputs'!$B$32)/1000+'Inputs'!$B$21+'Inputs'!$B$7+'Inputs'!$B$10))^2+('Inputs'!$B$8/2)^2))))*'Results'!$B$8))),"")</x:f>
        <x:v>1221.1542658411206</x:v>
      </x:c>
      <x:c r="L77" t="n">
        <x:f>IF(AND(ISNUMBER('Results'!B7),ISNUMBER('Results'!C7),ISNUMBER('Results'!$B$8),ISNUMBER('Inputs'!$B$6),ISNUMBER('Inputs'!$B$7),ISNUMBER('Inputs'!$B$8),ISNUMBER('Inputs'!$B$9),ISNUMBER('Inputs'!$B$10),ISNUMBER('Inputs'!$B$21),ISNUMBER('Inputs'!$B$24),ISNUMBER('Inputs'!$B$28)),((('Results'!B7*(1+'Inputs'!$B$24)*(0.5*((((77-43)*MAX('Inputs'!$B$33,'Inputs'!$B$29+'Inputs'!$B$31+'Inputs'!$B$32,'Inputs'!$B$30+'Inputs'!$B$31+'Inputs'!$B$32)/1000+'Inputs'!$B$21)+'Inputs'!$B$7)/SQRT((((77-43)*MAX('Inputs'!$B$33,'Inputs'!$B$29+'Inputs'!$B$31+'Inputs'!$B$32,'Inputs'!$B$30+'Inputs'!$B$31+'Inputs'!$B$32)/1000+'Inputs'!$B$21)+'Inputs'!$B$7)^2+('Inputs'!$B$6/2)^2)-(((77-43)*MAX('Inputs'!$B$33,'Inputs'!$B$29+'Inputs'!$B$31+'Inputs'!$B$32,'Inputs'!$B$30+'Inputs'!$B$31+'Inputs'!$B$32)/1000+'Inputs'!$B$21))/SQRT((((77-43)*MAX('Inputs'!$B$33,'Inputs'!$B$29+'Inputs'!$B$31+'Inputs'!$B$32,'Inputs'!$B$30+'Inputs'!$B$31+'Inputs'!$B$32)/1000+'Inputs'!$B$21))^2+('Inputs'!$B$6/2)^2)))-'Results'!C7*(1-'Inputs'!$B$24)*(0.5*((((77-43)*MAX('Inputs'!$B$33,'Inputs'!$B$29+'Inputs'!$B$31+'Inputs'!$B$32,'Inputs'!$B$30+'Inputs'!$B$31+'Inputs'!$B$32)/1000+'Inputs'!$B$21+'Inputs'!$B$7+'Inputs'!$B$10)+'Inputs'!$B$9)/SQRT((((77-43)*MAX('Inputs'!$B$33,'Inputs'!$B$29+'Inputs'!$B$31+'Inputs'!$B$32,'Inputs'!$B$30+'Inputs'!$B$31+'Inputs'!$B$32)/1000+'Inputs'!$B$21+'Inputs'!$B$7+'Inputs'!$B$10)+'Inputs'!$B$9)^2+('Inputs'!$B$8/2)^2)-(((77-43)*MAX('Inputs'!$B$33,'Inputs'!$B$29+'Inputs'!$B$31+'Inputs'!$B$32,'Inputs'!$B$30+'Inputs'!$B$31+'Inputs'!$B$32)/1000+'Inputs'!$B$21+'Inputs'!$B$7+'Inputs'!$B$10))/SQRT((((77-43)*MAX('Inputs'!$B$33,'Inputs'!$B$29+'Inputs'!$B$31+'Inputs'!$B$32,'Inputs'!$B$30+'Inputs'!$B$31+'Inputs'!$B$32)/1000+'Inputs'!$B$21+'Inputs'!$B$7+'Inputs'!$B$10))^2+('Inputs'!$B$8/2)^2))))*'Results'!$B$8)+'Inputs'!$B$28*ABS((('Results'!B7*(1+'Inputs'!$B$24)*(0.5*((((77-43)*MAX('Inputs'!$B$33,'Inputs'!$B$29+'Inputs'!$B$31+'Inputs'!$B$32,'Inputs'!$B$30+'Inputs'!$B$31+'Inputs'!$B$32)/1000+'Inputs'!$B$21)+'Inputs'!$B$7)/SQRT((((77-43)*MAX('Inputs'!$B$33,'Inputs'!$B$29+'Inputs'!$B$31+'Inputs'!$B$32,'Inputs'!$B$30+'Inputs'!$B$31+'Inputs'!$B$32)/1000+'Inputs'!$B$21)+'Inputs'!$B$7)^2+('Inputs'!$B$6/2)^2)-(((77-43)*MAX('Inputs'!$B$33,'Inputs'!$B$29+'Inputs'!$B$31+'Inputs'!$B$32,'Inputs'!$B$30+'Inputs'!$B$31+'Inputs'!$B$32)/1000+'Inputs'!$B$21))/SQRT((((77-43)*MAX('Inputs'!$B$33,'Inputs'!$B$29+'Inputs'!$B$31+'Inputs'!$B$32,'Inputs'!$B$30+'Inputs'!$B$31+'Inputs'!$B$32)/1000+'Inputs'!$B$21))^2+('Inputs'!$B$6/2)^2)))-'Results'!C7*(1-'Inputs'!$B$24)*(0.5*((((77-43)*MAX('Inputs'!$B$33,'Inputs'!$B$29+'Inputs'!$B$31+'Inputs'!$B$32,'Inputs'!$B$30+'Inputs'!$B$31+'Inputs'!$B$32)/1000+'Inputs'!$B$21+'Inputs'!$B$7+'Inputs'!$B$10)+'Inputs'!$B$9)/SQRT((((77-43)*MAX('Inputs'!$B$33,'Inputs'!$B$29+'Inputs'!$B$31+'Inputs'!$B$32,'Inputs'!$B$30+'Inputs'!$B$31+'Inputs'!$B$32)/1000+'Inputs'!$B$21+'Inputs'!$B$7+'Inputs'!$B$10)+'Inputs'!$B$9)^2+('Inputs'!$B$8/2)^2)-(((77-43)*MAX('Inputs'!$B$33,'Inputs'!$B$29+'Inputs'!$B$31+'Inputs'!$B$32,'Inputs'!$B$30+'Inputs'!$B$31+'Inputs'!$B$32)/1000+'Inputs'!$B$21+'Inputs'!$B$7+'Inputs'!$B$10))/SQRT((((77-43)*MAX('Inputs'!$B$33,'Inputs'!$B$29+'Inputs'!$B$31+'Inputs'!$B$32,'Inputs'!$B$30+'Inputs'!$B$31+'Inputs'!$B$32)/1000+'Inputs'!$B$21+'Inputs'!$B$7+'Inputs'!$B$10))^2+('Inputs'!$B$8/2)^2))))*'Results'!$B$8))),"")</x:f>
        <x:v>1422.3833994324477</x:v>
      </x:c>
      <x:c r="M77" t="n">
        <x:f>IF(AND(ISNUMBER('Results'!C7),ISNUMBER('Results'!B7),ISNUMBER('Results'!$B$8),ISNUMBER('Inputs'!$B$6),ISNUMBER('Inputs'!$B$7),ISNUMBER('Inputs'!$B$8),ISNUMBER('Inputs'!$B$9),ISNUMBER('Inputs'!$B$10),ISNUMBER('Inputs'!$B$21),ISNUMBER('Inputs'!$B$24),ISNUMBER('Inputs'!$B$28)),(('Results'!C7*(0.5*((((77-43)*MAX('Inputs'!$B$33,'Inputs'!$B$29+'Inputs'!$B$31+'Inputs'!$B$32,'Inputs'!$B$30+'Inputs'!$B$31+'Inputs'!$B$32)/1000+'Inputs'!$B$21)+'Inputs'!$B$9)/SQRT((((77-43)*MAX('Inputs'!$B$33,'Inputs'!$B$29+'Inputs'!$B$31+'Inputs'!$B$32,'Inputs'!$B$30+'Inputs'!$B$31+'Inputs'!$B$32)/1000+'Inputs'!$B$21)+'Inputs'!$B$9)^2+('Inputs'!$B$8/2)^2)-(((77-43)*MAX('Inputs'!$B$33,'Inputs'!$B$29+'Inputs'!$B$31+'Inputs'!$B$32,'Inputs'!$B$30+'Inputs'!$B$31+'Inputs'!$B$32)/1000+'Inputs'!$B$21))/SQRT((((77-43)*MAX('Inputs'!$B$33,'Inputs'!$B$29+'Inputs'!$B$31+'Inputs'!$B$32,'Inputs'!$B$30+'Inputs'!$B$31+'Inputs'!$B$32)/1000+'Inputs'!$B$21))^2+('Inputs'!$B$8/2)^2)))-'Results'!B7*(0.5*((((77-43)*MAX('Inputs'!$B$33,'Inputs'!$B$29+'Inputs'!$B$31+'Inputs'!$B$32,'Inputs'!$B$30+'Inputs'!$B$31+'Inputs'!$B$32)/1000+'Inputs'!$B$21+'Inputs'!$B$9+'Inputs'!$B$10)+'Inputs'!$B$7)/SQRT((((77-43)*MAX('Inputs'!$B$33,'Inputs'!$B$29+'Inputs'!$B$31+'Inputs'!$B$32,'Inputs'!$B$30+'Inputs'!$B$31+'Inputs'!$B$32)/1000+'Inputs'!$B$21+'Inputs'!$B$9+'Inputs'!$B$10)+'Inputs'!$B$7)^2+('Inputs'!$B$6/2)^2)-(((77-43)*MAX('Inputs'!$B$33,'Inputs'!$B$29+'Inputs'!$B$31+'Inputs'!$B$32,'Inputs'!$B$30+'Inputs'!$B$31+'Inputs'!$B$32)/1000+'Inputs'!$B$21+'Inputs'!$B$9+'Inputs'!$B$10))/SQRT((((77-43)*MAX('Inputs'!$B$33,'Inputs'!$B$29+'Inputs'!$B$31+'Inputs'!$B$32,'Inputs'!$B$30+'Inputs'!$B$31+'Inputs'!$B$32)/1000+'Inputs'!$B$21+'Inputs'!$B$9+'Inputs'!$B$10))^2+('Inputs'!$B$6/2)^2))))*'Results'!$B$8),"")</x:f>
        <x:v>1285.3417481660622</x:v>
      </x:c>
      <x:c r="N77" t="n">
        <x:f>IF(AND(ISNUMBER('Results'!C7),ISNUMBER('Results'!B7),ISNUMBER('Results'!$B$8),ISNUMBER('Inputs'!$B$6),ISNUMBER('Inputs'!$B$7),ISNUMBER('Inputs'!$B$8),ISNUMBER('Inputs'!$B$9),ISNUMBER('Inputs'!$B$10),ISNUMBER('Inputs'!$B$21),ISNUMBER('Inputs'!$B$24),ISNUMBER('Inputs'!$B$28)),((('Results'!C7*(1-'Inputs'!$B$24)*(0.5*((((77-43)*MAX('Inputs'!$B$33,'Inputs'!$B$29+'Inputs'!$B$31+'Inputs'!$B$32,'Inputs'!$B$30+'Inputs'!$B$31+'Inputs'!$B$32)/1000+'Inputs'!$B$21)+'Inputs'!$B$9)/SQRT((((77-43)*MAX('Inputs'!$B$33,'Inputs'!$B$29+'Inputs'!$B$31+'Inputs'!$B$32,'Inputs'!$B$30+'Inputs'!$B$31+'Inputs'!$B$32)/1000+'Inputs'!$B$21)+'Inputs'!$B$9)^2+('Inputs'!$B$8/2)^2)-(((77-43)*MAX('Inputs'!$B$33,'Inputs'!$B$29+'Inputs'!$B$31+'Inputs'!$B$32,'Inputs'!$B$30+'Inputs'!$B$31+'Inputs'!$B$32)/1000+'Inputs'!$B$21))/SQRT((((77-43)*MAX('Inputs'!$B$33,'Inputs'!$B$29+'Inputs'!$B$31+'Inputs'!$B$32,'Inputs'!$B$30+'Inputs'!$B$31+'Inputs'!$B$32)/1000+'Inputs'!$B$21))^2+('Inputs'!$B$8/2)^2)))-'Results'!B7*(1+'Inputs'!$B$24)*(0.5*((((77-43)*MAX('Inputs'!$B$33,'Inputs'!$B$29+'Inputs'!$B$31+'Inputs'!$B$32,'Inputs'!$B$30+'Inputs'!$B$31+'Inputs'!$B$32)/1000+'Inputs'!$B$21+'Inputs'!$B$9+'Inputs'!$B$10)+'Inputs'!$B$7)/SQRT((((77-43)*MAX('Inputs'!$B$33,'Inputs'!$B$29+'Inputs'!$B$31+'Inputs'!$B$32,'Inputs'!$B$30+'Inputs'!$B$31+'Inputs'!$B$32)/1000+'Inputs'!$B$21+'Inputs'!$B$9+'Inputs'!$B$10)+'Inputs'!$B$7)^2+('Inputs'!$B$6/2)^2)-(((77-43)*MAX('Inputs'!$B$33,'Inputs'!$B$29+'Inputs'!$B$31+'Inputs'!$B$32,'Inputs'!$B$30+'Inputs'!$B$31+'Inputs'!$B$32)/1000+'Inputs'!$B$21+'Inputs'!$B$9+'Inputs'!$B$10))/SQRT((((77-43)*MAX('Inputs'!$B$33,'Inputs'!$B$29+'Inputs'!$B$31+'Inputs'!$B$32,'Inputs'!$B$30+'Inputs'!$B$31+'Inputs'!$B$32)/1000+'Inputs'!$B$21+'Inputs'!$B$9+'Inputs'!$B$10))^2+('Inputs'!$B$6/2)^2))))*'Results'!$B$8)-'Inputs'!$B$28*ABS((('Results'!C7*(1-'Inputs'!$B$24)*(0.5*((((77-43)*MAX('Inputs'!$B$33,'Inputs'!$B$29+'Inputs'!$B$31+'Inputs'!$B$32,'Inputs'!$B$30+'Inputs'!$B$31+'Inputs'!$B$32)/1000+'Inputs'!$B$21)+'Inputs'!$B$9)/SQRT((((77-43)*MAX('Inputs'!$B$33,'Inputs'!$B$29+'Inputs'!$B$31+'Inputs'!$B$32,'Inputs'!$B$30+'Inputs'!$B$31+'Inputs'!$B$32)/1000+'Inputs'!$B$21)+'Inputs'!$B$9)^2+('Inputs'!$B$8/2)^2)-(((77-43)*MAX('Inputs'!$B$33,'Inputs'!$B$29+'Inputs'!$B$31+'Inputs'!$B$32,'Inputs'!$B$30+'Inputs'!$B$31+'Inputs'!$B$32)/1000+'Inputs'!$B$21))/SQRT((((77-43)*MAX('Inputs'!$B$33,'Inputs'!$B$29+'Inputs'!$B$31+'Inputs'!$B$32,'Inputs'!$B$30+'Inputs'!$B$31+'Inputs'!$B$32)/1000+'Inputs'!$B$21))^2+('Inputs'!$B$8/2)^2)))-'Results'!B7*(1+'Inputs'!$B$24)*(0.5*((((77-43)*MAX('Inputs'!$B$33,'Inputs'!$B$29+'Inputs'!$B$31+'Inputs'!$B$32,'Inputs'!$B$30+'Inputs'!$B$31+'Inputs'!$B$32)/1000+'Inputs'!$B$21+'Inputs'!$B$9+'Inputs'!$B$10)+'Inputs'!$B$7)/SQRT((((77-43)*MAX('Inputs'!$B$33,'Inputs'!$B$29+'Inputs'!$B$31+'Inputs'!$B$32,'Inputs'!$B$30+'Inputs'!$B$31+'Inputs'!$B$32)/1000+'Inputs'!$B$21+'Inputs'!$B$9+'Inputs'!$B$10)+'Inputs'!$B$7)^2+('Inputs'!$B$6/2)^2)-(((77-43)*MAX('Inputs'!$B$33,'Inputs'!$B$29+'Inputs'!$B$31+'Inputs'!$B$32,'Inputs'!$B$30+'Inputs'!$B$31+'Inputs'!$B$32)/1000+'Inputs'!$B$21+'Inputs'!$B$9+'Inputs'!$B$10))/SQRT((((77-43)*MAX('Inputs'!$B$33,'Inputs'!$B$29+'Inputs'!$B$31+'Inputs'!$B$32,'Inputs'!$B$30+'Inputs'!$B$31+'Inputs'!$B$32)/1000+'Inputs'!$B$21+'Inputs'!$B$9+'Inputs'!$B$10))^2+('Inputs'!$B$6/2)^2))))*'Results'!$B$8))),"")</x:f>
        <x:v>1188.6926592064676</x:v>
      </x:c>
      <x:c r="O77" t="n">
        <x:f>IF(AND(ISNUMBER('Results'!C7),ISNUMBER('Results'!B7),ISNUMBER('Results'!$B$8),ISNUMBER('Inputs'!$B$6),ISNUMBER('Inputs'!$B$7),ISNUMBER('Inputs'!$B$8),ISNUMBER('Inputs'!$B$9),ISNUMBER('Inputs'!$B$10),ISNUMBER('Inputs'!$B$21),ISNUMBER('Inputs'!$B$24),ISNUMBER('Inputs'!$B$28)),((('Results'!C7*(1+'Inputs'!$B$24)*(0.5*((((77-43)*MAX('Inputs'!$B$33,'Inputs'!$B$29+'Inputs'!$B$31+'Inputs'!$B$32,'Inputs'!$B$30+'Inputs'!$B$31+'Inputs'!$B$32)/1000+'Inputs'!$B$21)+'Inputs'!$B$9)/SQRT((((77-43)*MAX('Inputs'!$B$33,'Inputs'!$B$29+'Inputs'!$B$31+'Inputs'!$B$32,'Inputs'!$B$30+'Inputs'!$B$31+'Inputs'!$B$32)/1000+'Inputs'!$B$21)+'Inputs'!$B$9)^2+('Inputs'!$B$8/2)^2)-(((77-43)*MAX('Inputs'!$B$33,'Inputs'!$B$29+'Inputs'!$B$31+'Inputs'!$B$32,'Inputs'!$B$30+'Inputs'!$B$31+'Inputs'!$B$32)/1000+'Inputs'!$B$21))/SQRT((((77-43)*MAX('Inputs'!$B$33,'Inputs'!$B$29+'Inputs'!$B$31+'Inputs'!$B$32,'Inputs'!$B$30+'Inputs'!$B$31+'Inputs'!$B$32)/1000+'Inputs'!$B$21))^2+('Inputs'!$B$8/2)^2)))-'Results'!B7*(1-'Inputs'!$B$24)*(0.5*((((77-43)*MAX('Inputs'!$B$33,'Inputs'!$B$29+'Inputs'!$B$31+'Inputs'!$B$32,'Inputs'!$B$30+'Inputs'!$B$31+'Inputs'!$B$32)/1000+'Inputs'!$B$21+'Inputs'!$B$9+'Inputs'!$B$10)+'Inputs'!$B$7)/SQRT((((77-43)*MAX('Inputs'!$B$33,'Inputs'!$B$29+'Inputs'!$B$31+'Inputs'!$B$32,'Inputs'!$B$30+'Inputs'!$B$31+'Inputs'!$B$32)/1000+'Inputs'!$B$21+'Inputs'!$B$9+'Inputs'!$B$10)+'Inputs'!$B$7)^2+('Inputs'!$B$6/2)^2)-(((77-43)*MAX('Inputs'!$B$33,'Inputs'!$B$29+'Inputs'!$B$31+'Inputs'!$B$32,'Inputs'!$B$30+'Inputs'!$B$31+'Inputs'!$B$32)/1000+'Inputs'!$B$21+'Inputs'!$B$9+'Inputs'!$B$10))/SQRT((((77-43)*MAX('Inputs'!$B$33,'Inputs'!$B$29+'Inputs'!$B$31+'Inputs'!$B$32,'Inputs'!$B$30+'Inputs'!$B$31+'Inputs'!$B$32)/1000+'Inputs'!$B$21+'Inputs'!$B$9+'Inputs'!$B$10))^2+('Inputs'!$B$6/2)^2))))*'Results'!$B$8)+'Inputs'!$B$28*ABS((('Results'!C7*(1+'Inputs'!$B$24)*(0.5*((((77-43)*MAX('Inputs'!$B$33,'Inputs'!$B$29+'Inputs'!$B$31+'Inputs'!$B$32,'Inputs'!$B$30+'Inputs'!$B$31+'Inputs'!$B$32)/1000+'Inputs'!$B$21)+'Inputs'!$B$9)/SQRT((((77-43)*MAX('Inputs'!$B$33,'Inputs'!$B$29+'Inputs'!$B$31+'Inputs'!$B$32,'Inputs'!$B$30+'Inputs'!$B$31+'Inputs'!$B$32)/1000+'Inputs'!$B$21)+'Inputs'!$B$9)^2+('Inputs'!$B$8/2)^2)-(((77-43)*MAX('Inputs'!$B$33,'Inputs'!$B$29+'Inputs'!$B$31+'Inputs'!$B$32,'Inputs'!$B$30+'Inputs'!$B$31+'Inputs'!$B$32)/1000+'Inputs'!$B$21))/SQRT((((77-43)*MAX('Inputs'!$B$33,'Inputs'!$B$29+'Inputs'!$B$31+'Inputs'!$B$32,'Inputs'!$B$30+'Inputs'!$B$31+'Inputs'!$B$32)/1000+'Inputs'!$B$21))^2+('Inputs'!$B$8/2)^2)))-'Results'!B7*(1-'Inputs'!$B$24)*(0.5*((((77-43)*MAX('Inputs'!$B$33,'Inputs'!$B$29+'Inputs'!$B$31+'Inputs'!$B$32,'Inputs'!$B$30+'Inputs'!$B$31+'Inputs'!$B$32)/1000+'Inputs'!$B$21+'Inputs'!$B$9+'Inputs'!$B$10)+'Inputs'!$B$7)/SQRT((((77-43)*MAX('Inputs'!$B$33,'Inputs'!$B$29+'Inputs'!$B$31+'Inputs'!$B$32,'Inputs'!$B$30+'Inputs'!$B$31+'Inputs'!$B$32)/1000+'Inputs'!$B$21+'Inputs'!$B$9+'Inputs'!$B$10)+'Inputs'!$B$7)^2+('Inputs'!$B$6/2)^2)-(((77-43)*MAX('Inputs'!$B$33,'Inputs'!$B$29+'Inputs'!$B$31+'Inputs'!$B$32,'Inputs'!$B$30+'Inputs'!$B$31+'Inputs'!$B$32)/1000+'Inputs'!$B$21+'Inputs'!$B$9+'Inputs'!$B$10))/SQRT((((77-43)*MAX('Inputs'!$B$33,'Inputs'!$B$29+'Inputs'!$B$31+'Inputs'!$B$32,'Inputs'!$B$30+'Inputs'!$B$31+'Inputs'!$B$32)/1000+'Inputs'!$B$21+'Inputs'!$B$9+'Inputs'!$B$10))^2+('Inputs'!$B$6/2)^2))))*'Results'!$B$8))),"")</x:f>
        <x:v>1385.3994688678986</x:v>
      </x:c>
      <x:c r="P77" t="n">
        <x:f>IF(AND(MAX(J77,J76)&gt;0,J77&gt;J76+0.00000001),1,0)</x:f>
        <x:v>0</x:v>
      </x:c>
      <x:c r="Q77" t="n">
        <x:f>IF(AND(MAX(K77,K76)&gt;0,K77&gt;K76+0.00000001),1,0)</x:f>
        <x:v>0</x:v>
      </x:c>
      <x:c r="R77" t="n">
        <x:f>IF(AND(MAX(L77,L76)&gt;0,L77&gt;L76+0.00000001),1,0)</x:f>
        <x:v>0</x:v>
      </x:c>
      <x:c r="S77" t="n">
        <x:f>IF(AND(MAX(M77,M76)&gt;0,M77&gt;M76+0.00000001),1,0)</x:f>
        <x:v>0</x:v>
      </x:c>
      <x:c r="T77" t="n">
        <x:f>IF(AND(MAX(N77,N76)&gt;0,N77&gt;N76+0.00000001),1,0)</x:f>
        <x:v>0</x:v>
      </x:c>
      <x:c r="U77" t="n">
        <x:f>IF(AND(MAX(O77,O76)&gt;0,O77&gt;O76+0.00000001),1,0)</x:f>
        <x:v>0</x:v>
      </x:c>
    </x:row>
    <x:row r="78">
      <x:c r="J78" t="n">
        <x:f>IF(AND(ISNUMBER('Results'!B7),ISNUMBER('Results'!C7),ISNUMBER('Results'!$B$8),ISNUMBER('Inputs'!$B$6),ISNUMBER('Inputs'!$B$7),ISNUMBER('Inputs'!$B$8),ISNUMBER('Inputs'!$B$9),ISNUMBER('Inputs'!$B$10),ISNUMBER('Inputs'!$B$21),ISNUMBER('Inputs'!$B$24),ISNUMBER('Inputs'!$B$28)),(('Results'!B7*(0.5*((((78-43)*MAX('Inputs'!$B$33,'Inputs'!$B$29+'Inputs'!$B$31+'Inputs'!$B$32,'Inputs'!$B$30+'Inputs'!$B$31+'Inputs'!$B$32)/1000+'Inputs'!$B$21)+'Inputs'!$B$7)/SQRT((((78-43)*MAX('Inputs'!$B$33,'Inputs'!$B$29+'Inputs'!$B$31+'Inputs'!$B$32,'Inputs'!$B$30+'Inputs'!$B$31+'Inputs'!$B$32)/1000+'Inputs'!$B$21)+'Inputs'!$B$7)^2+('Inputs'!$B$6/2)^2)-(((78-43)*MAX('Inputs'!$B$33,'Inputs'!$B$29+'Inputs'!$B$31+'Inputs'!$B$32,'Inputs'!$B$30+'Inputs'!$B$31+'Inputs'!$B$32)/1000+'Inputs'!$B$21))/SQRT((((78-43)*MAX('Inputs'!$B$33,'Inputs'!$B$29+'Inputs'!$B$31+'Inputs'!$B$32,'Inputs'!$B$30+'Inputs'!$B$31+'Inputs'!$B$32)/1000+'Inputs'!$B$21))^2+('Inputs'!$B$6/2)^2)))-'Results'!C7*(0.5*((((78-43)*MAX('Inputs'!$B$33,'Inputs'!$B$29+'Inputs'!$B$31+'Inputs'!$B$32,'Inputs'!$B$30+'Inputs'!$B$31+'Inputs'!$B$32)/1000+'Inputs'!$B$21+'Inputs'!$B$7+'Inputs'!$B$10)+'Inputs'!$B$9)/SQRT((((78-43)*MAX('Inputs'!$B$33,'Inputs'!$B$29+'Inputs'!$B$31+'Inputs'!$B$32,'Inputs'!$B$30+'Inputs'!$B$31+'Inputs'!$B$32)/1000+'Inputs'!$B$21+'Inputs'!$B$7+'Inputs'!$B$10)+'Inputs'!$B$9)^2+('Inputs'!$B$8/2)^2)-(((78-43)*MAX('Inputs'!$B$33,'Inputs'!$B$29+'Inputs'!$B$31+'Inputs'!$B$32,'Inputs'!$B$30+'Inputs'!$B$31+'Inputs'!$B$32)/1000+'Inputs'!$B$21+'Inputs'!$B$7+'Inputs'!$B$10))/SQRT((((78-43)*MAX('Inputs'!$B$33,'Inputs'!$B$29+'Inputs'!$B$31+'Inputs'!$B$32,'Inputs'!$B$30+'Inputs'!$B$31+'Inputs'!$B$32)/1000+'Inputs'!$B$21+'Inputs'!$B$7+'Inputs'!$B$10))^2+('Inputs'!$B$8/2)^2))))*'Results'!$B$8),"")</x:f>
        <x:v>1297.451821442627</x:v>
      </x:c>
      <x:c r="K78" t="n">
        <x:f>IF(AND(ISNUMBER('Results'!B7),ISNUMBER('Results'!C7),ISNUMBER('Results'!$B$8),ISNUMBER('Inputs'!$B$6),ISNUMBER('Inputs'!$B$7),ISNUMBER('Inputs'!$B$8),ISNUMBER('Inputs'!$B$9),ISNUMBER('Inputs'!$B$10),ISNUMBER('Inputs'!$B$21),ISNUMBER('Inputs'!$B$24),ISNUMBER('Inputs'!$B$28)),((('Results'!B7*(1-'Inputs'!$B$24)*(0.5*((((78-43)*MAX('Inputs'!$B$33,'Inputs'!$B$29+'Inputs'!$B$31+'Inputs'!$B$32,'Inputs'!$B$30+'Inputs'!$B$31+'Inputs'!$B$32)/1000+'Inputs'!$B$21)+'Inputs'!$B$7)/SQRT((((78-43)*MAX('Inputs'!$B$33,'Inputs'!$B$29+'Inputs'!$B$31+'Inputs'!$B$32,'Inputs'!$B$30+'Inputs'!$B$31+'Inputs'!$B$32)/1000+'Inputs'!$B$21)+'Inputs'!$B$7)^2+('Inputs'!$B$6/2)^2)-(((78-43)*MAX('Inputs'!$B$33,'Inputs'!$B$29+'Inputs'!$B$31+'Inputs'!$B$32,'Inputs'!$B$30+'Inputs'!$B$31+'Inputs'!$B$32)/1000+'Inputs'!$B$21))/SQRT((((78-43)*MAX('Inputs'!$B$33,'Inputs'!$B$29+'Inputs'!$B$31+'Inputs'!$B$32,'Inputs'!$B$30+'Inputs'!$B$31+'Inputs'!$B$32)/1000+'Inputs'!$B$21))^2+('Inputs'!$B$6/2)^2)))-'Results'!C7*(1+'Inputs'!$B$24)*(0.5*((((78-43)*MAX('Inputs'!$B$33,'Inputs'!$B$29+'Inputs'!$B$31+'Inputs'!$B$32,'Inputs'!$B$30+'Inputs'!$B$31+'Inputs'!$B$32)/1000+'Inputs'!$B$21+'Inputs'!$B$7+'Inputs'!$B$10)+'Inputs'!$B$9)/SQRT((((78-43)*MAX('Inputs'!$B$33,'Inputs'!$B$29+'Inputs'!$B$31+'Inputs'!$B$32,'Inputs'!$B$30+'Inputs'!$B$31+'Inputs'!$B$32)/1000+'Inputs'!$B$21+'Inputs'!$B$7+'Inputs'!$B$10)+'Inputs'!$B$9)^2+('Inputs'!$B$8/2)^2)-(((78-43)*MAX('Inputs'!$B$33,'Inputs'!$B$29+'Inputs'!$B$31+'Inputs'!$B$32,'Inputs'!$B$30+'Inputs'!$B$31+'Inputs'!$B$32)/1000+'Inputs'!$B$21+'Inputs'!$B$7+'Inputs'!$B$10))/SQRT((((78-43)*MAX('Inputs'!$B$33,'Inputs'!$B$29+'Inputs'!$B$31+'Inputs'!$B$32,'Inputs'!$B$30+'Inputs'!$B$31+'Inputs'!$B$32)/1000+'Inputs'!$B$21+'Inputs'!$B$7+'Inputs'!$B$10))^2+('Inputs'!$B$8/2)^2))))*'Results'!$B$8)-'Inputs'!$B$28*ABS((('Results'!B7*(1-'Inputs'!$B$24)*(0.5*((((78-43)*MAX('Inputs'!$B$33,'Inputs'!$B$29+'Inputs'!$B$31+'Inputs'!$B$32,'Inputs'!$B$30+'Inputs'!$B$31+'Inputs'!$B$32)/1000+'Inputs'!$B$21)+'Inputs'!$B$7)/SQRT((((78-43)*MAX('Inputs'!$B$33,'Inputs'!$B$29+'Inputs'!$B$31+'Inputs'!$B$32,'Inputs'!$B$30+'Inputs'!$B$31+'Inputs'!$B$32)/1000+'Inputs'!$B$21)+'Inputs'!$B$7)^2+('Inputs'!$B$6/2)^2)-(((78-43)*MAX('Inputs'!$B$33,'Inputs'!$B$29+'Inputs'!$B$31+'Inputs'!$B$32,'Inputs'!$B$30+'Inputs'!$B$31+'Inputs'!$B$32)/1000+'Inputs'!$B$21))/SQRT((((78-43)*MAX('Inputs'!$B$33,'Inputs'!$B$29+'Inputs'!$B$31+'Inputs'!$B$32,'Inputs'!$B$30+'Inputs'!$B$31+'Inputs'!$B$32)/1000+'Inputs'!$B$21))^2+('Inputs'!$B$6/2)^2)))-'Results'!C7*(1+'Inputs'!$B$24)*(0.5*((((78-43)*MAX('Inputs'!$B$33,'Inputs'!$B$29+'Inputs'!$B$31+'Inputs'!$B$32,'Inputs'!$B$30+'Inputs'!$B$31+'Inputs'!$B$32)/1000+'Inputs'!$B$21+'Inputs'!$B$7+'Inputs'!$B$10)+'Inputs'!$B$9)/SQRT((((78-43)*MAX('Inputs'!$B$33,'Inputs'!$B$29+'Inputs'!$B$31+'Inputs'!$B$32,'Inputs'!$B$30+'Inputs'!$B$31+'Inputs'!$B$32)/1000+'Inputs'!$B$21+'Inputs'!$B$7+'Inputs'!$B$10)+'Inputs'!$B$9)^2+('Inputs'!$B$8/2)^2)-(((78-43)*MAX('Inputs'!$B$33,'Inputs'!$B$29+'Inputs'!$B$31+'Inputs'!$B$32,'Inputs'!$B$30+'Inputs'!$B$31+'Inputs'!$B$32)/1000+'Inputs'!$B$21+'Inputs'!$B$7+'Inputs'!$B$10))/SQRT((((78-43)*MAX('Inputs'!$B$33,'Inputs'!$B$29+'Inputs'!$B$31+'Inputs'!$B$32,'Inputs'!$B$30+'Inputs'!$B$31+'Inputs'!$B$32)/1000+'Inputs'!$B$21+'Inputs'!$B$7+'Inputs'!$B$10))^2+('Inputs'!$B$8/2)^2))))*'Results'!$B$8))),"")</x:f>
        <x:v>1200.2398895079705</x:v>
      </x:c>
      <x:c r="L78" t="n">
        <x:f>IF(AND(ISNUMBER('Results'!B7),ISNUMBER('Results'!C7),ISNUMBER('Results'!$B$8),ISNUMBER('Inputs'!$B$6),ISNUMBER('Inputs'!$B$7),ISNUMBER('Inputs'!$B$8),ISNUMBER('Inputs'!$B$9),ISNUMBER('Inputs'!$B$10),ISNUMBER('Inputs'!$B$21),ISNUMBER('Inputs'!$B$24),ISNUMBER('Inputs'!$B$28)),((('Results'!B7*(1+'Inputs'!$B$24)*(0.5*((((78-43)*MAX('Inputs'!$B$33,'Inputs'!$B$29+'Inputs'!$B$31+'Inputs'!$B$32,'Inputs'!$B$30+'Inputs'!$B$31+'Inputs'!$B$32)/1000+'Inputs'!$B$21)+'Inputs'!$B$7)/SQRT((((78-43)*MAX('Inputs'!$B$33,'Inputs'!$B$29+'Inputs'!$B$31+'Inputs'!$B$32,'Inputs'!$B$30+'Inputs'!$B$31+'Inputs'!$B$32)/1000+'Inputs'!$B$21)+'Inputs'!$B$7)^2+('Inputs'!$B$6/2)^2)-(((78-43)*MAX('Inputs'!$B$33,'Inputs'!$B$29+'Inputs'!$B$31+'Inputs'!$B$32,'Inputs'!$B$30+'Inputs'!$B$31+'Inputs'!$B$32)/1000+'Inputs'!$B$21))/SQRT((((78-43)*MAX('Inputs'!$B$33,'Inputs'!$B$29+'Inputs'!$B$31+'Inputs'!$B$32,'Inputs'!$B$30+'Inputs'!$B$31+'Inputs'!$B$32)/1000+'Inputs'!$B$21))^2+('Inputs'!$B$6/2)^2)))-'Results'!C7*(1-'Inputs'!$B$24)*(0.5*((((78-43)*MAX('Inputs'!$B$33,'Inputs'!$B$29+'Inputs'!$B$31+'Inputs'!$B$32,'Inputs'!$B$30+'Inputs'!$B$31+'Inputs'!$B$32)/1000+'Inputs'!$B$21+'Inputs'!$B$7+'Inputs'!$B$10)+'Inputs'!$B$9)/SQRT((((78-43)*MAX('Inputs'!$B$33,'Inputs'!$B$29+'Inputs'!$B$31+'Inputs'!$B$32,'Inputs'!$B$30+'Inputs'!$B$31+'Inputs'!$B$32)/1000+'Inputs'!$B$21+'Inputs'!$B$7+'Inputs'!$B$10)+'Inputs'!$B$9)^2+('Inputs'!$B$8/2)^2)-(((78-43)*MAX('Inputs'!$B$33,'Inputs'!$B$29+'Inputs'!$B$31+'Inputs'!$B$32,'Inputs'!$B$30+'Inputs'!$B$31+'Inputs'!$B$32)/1000+'Inputs'!$B$21+'Inputs'!$B$7+'Inputs'!$B$10))/SQRT((((78-43)*MAX('Inputs'!$B$33,'Inputs'!$B$29+'Inputs'!$B$31+'Inputs'!$B$32,'Inputs'!$B$30+'Inputs'!$B$31+'Inputs'!$B$32)/1000+'Inputs'!$B$21+'Inputs'!$B$7+'Inputs'!$B$10))^2+('Inputs'!$B$8/2)^2))))*'Results'!$B$8)+'Inputs'!$B$28*ABS((('Results'!B7*(1+'Inputs'!$B$24)*(0.5*((((78-43)*MAX('Inputs'!$B$33,'Inputs'!$B$29+'Inputs'!$B$31+'Inputs'!$B$32,'Inputs'!$B$30+'Inputs'!$B$31+'Inputs'!$B$32)/1000+'Inputs'!$B$21)+'Inputs'!$B$7)/SQRT((((78-43)*MAX('Inputs'!$B$33,'Inputs'!$B$29+'Inputs'!$B$31+'Inputs'!$B$32,'Inputs'!$B$30+'Inputs'!$B$31+'Inputs'!$B$32)/1000+'Inputs'!$B$21)+'Inputs'!$B$7)^2+('Inputs'!$B$6/2)^2)-(((78-43)*MAX('Inputs'!$B$33,'Inputs'!$B$29+'Inputs'!$B$31+'Inputs'!$B$32,'Inputs'!$B$30+'Inputs'!$B$31+'Inputs'!$B$32)/1000+'Inputs'!$B$21))/SQRT((((78-43)*MAX('Inputs'!$B$33,'Inputs'!$B$29+'Inputs'!$B$31+'Inputs'!$B$32,'Inputs'!$B$30+'Inputs'!$B$31+'Inputs'!$B$32)/1000+'Inputs'!$B$21))^2+('Inputs'!$B$6/2)^2)))-'Results'!C7*(1-'Inputs'!$B$24)*(0.5*((((78-43)*MAX('Inputs'!$B$33,'Inputs'!$B$29+'Inputs'!$B$31+'Inputs'!$B$32,'Inputs'!$B$30+'Inputs'!$B$31+'Inputs'!$B$32)/1000+'Inputs'!$B$21+'Inputs'!$B$7+'Inputs'!$B$10)+'Inputs'!$B$9)/SQRT((((78-43)*MAX('Inputs'!$B$33,'Inputs'!$B$29+'Inputs'!$B$31+'Inputs'!$B$32,'Inputs'!$B$30+'Inputs'!$B$31+'Inputs'!$B$32)/1000+'Inputs'!$B$21+'Inputs'!$B$7+'Inputs'!$B$10)+'Inputs'!$B$9)^2+('Inputs'!$B$8/2)^2)-(((78-43)*MAX('Inputs'!$B$33,'Inputs'!$B$29+'Inputs'!$B$31+'Inputs'!$B$32,'Inputs'!$B$30+'Inputs'!$B$31+'Inputs'!$B$32)/1000+'Inputs'!$B$21+'Inputs'!$B$7+'Inputs'!$B$10))/SQRT((((78-43)*MAX('Inputs'!$B$33,'Inputs'!$B$29+'Inputs'!$B$31+'Inputs'!$B$32,'Inputs'!$B$30+'Inputs'!$B$31+'Inputs'!$B$32)/1000+'Inputs'!$B$21+'Inputs'!$B$7+'Inputs'!$B$10))^2+('Inputs'!$B$8/2)^2))))*'Results'!$B$8))),"")</x:f>
        <x:v>1398.0678945207073</x:v>
      </x:c>
      <x:c r="M78" t="n">
        <x:f>IF(AND(ISNUMBER('Results'!C7),ISNUMBER('Results'!B7),ISNUMBER('Results'!$B$8),ISNUMBER('Inputs'!$B$6),ISNUMBER('Inputs'!$B$7),ISNUMBER('Inputs'!$B$8),ISNUMBER('Inputs'!$B$9),ISNUMBER('Inputs'!$B$10),ISNUMBER('Inputs'!$B$21),ISNUMBER('Inputs'!$B$24),ISNUMBER('Inputs'!$B$28)),(('Results'!C7*(0.5*((((78-43)*MAX('Inputs'!$B$33,'Inputs'!$B$29+'Inputs'!$B$31+'Inputs'!$B$32,'Inputs'!$B$30+'Inputs'!$B$31+'Inputs'!$B$32)/1000+'Inputs'!$B$21)+'Inputs'!$B$9)/SQRT((((78-43)*MAX('Inputs'!$B$33,'Inputs'!$B$29+'Inputs'!$B$31+'Inputs'!$B$32,'Inputs'!$B$30+'Inputs'!$B$31+'Inputs'!$B$32)/1000+'Inputs'!$B$21)+'Inputs'!$B$9)^2+('Inputs'!$B$8/2)^2)-(((78-43)*MAX('Inputs'!$B$33,'Inputs'!$B$29+'Inputs'!$B$31+'Inputs'!$B$32,'Inputs'!$B$30+'Inputs'!$B$31+'Inputs'!$B$32)/1000+'Inputs'!$B$21))/SQRT((((78-43)*MAX('Inputs'!$B$33,'Inputs'!$B$29+'Inputs'!$B$31+'Inputs'!$B$32,'Inputs'!$B$30+'Inputs'!$B$31+'Inputs'!$B$32)/1000+'Inputs'!$B$21))^2+('Inputs'!$B$8/2)^2)))-'Results'!B7*(0.5*((((78-43)*MAX('Inputs'!$B$33,'Inputs'!$B$29+'Inputs'!$B$31+'Inputs'!$B$32,'Inputs'!$B$30+'Inputs'!$B$31+'Inputs'!$B$32)/1000+'Inputs'!$B$21+'Inputs'!$B$9+'Inputs'!$B$10)+'Inputs'!$B$7)/SQRT((((78-43)*MAX('Inputs'!$B$33,'Inputs'!$B$29+'Inputs'!$B$31+'Inputs'!$B$32,'Inputs'!$B$30+'Inputs'!$B$31+'Inputs'!$B$32)/1000+'Inputs'!$B$21+'Inputs'!$B$9+'Inputs'!$B$10)+'Inputs'!$B$7)^2+('Inputs'!$B$6/2)^2)-(((78-43)*MAX('Inputs'!$B$33,'Inputs'!$B$29+'Inputs'!$B$31+'Inputs'!$B$32,'Inputs'!$B$30+'Inputs'!$B$31+'Inputs'!$B$32)/1000+'Inputs'!$B$21+'Inputs'!$B$9+'Inputs'!$B$10))/SQRT((((78-43)*MAX('Inputs'!$B$33,'Inputs'!$B$29+'Inputs'!$B$31+'Inputs'!$B$32,'Inputs'!$B$30+'Inputs'!$B$31+'Inputs'!$B$32)/1000+'Inputs'!$B$21+'Inputs'!$B$9+'Inputs'!$B$10))^2+('Inputs'!$B$6/2)^2))))*'Results'!$B$8),"")</x:f>
        <x:v>1263.327834753233</x:v>
      </x:c>
      <x:c r="N78" t="n">
        <x:f>IF(AND(ISNUMBER('Results'!C7),ISNUMBER('Results'!B7),ISNUMBER('Results'!$B$8),ISNUMBER('Inputs'!$B$6),ISNUMBER('Inputs'!$B$7),ISNUMBER('Inputs'!$B$8),ISNUMBER('Inputs'!$B$9),ISNUMBER('Inputs'!$B$10),ISNUMBER('Inputs'!$B$21),ISNUMBER('Inputs'!$B$24),ISNUMBER('Inputs'!$B$28)),((('Results'!C7*(1-'Inputs'!$B$24)*(0.5*((((78-43)*MAX('Inputs'!$B$33,'Inputs'!$B$29+'Inputs'!$B$31+'Inputs'!$B$32,'Inputs'!$B$30+'Inputs'!$B$31+'Inputs'!$B$32)/1000+'Inputs'!$B$21)+'Inputs'!$B$9)/SQRT((((78-43)*MAX('Inputs'!$B$33,'Inputs'!$B$29+'Inputs'!$B$31+'Inputs'!$B$32,'Inputs'!$B$30+'Inputs'!$B$31+'Inputs'!$B$32)/1000+'Inputs'!$B$21)+'Inputs'!$B$9)^2+('Inputs'!$B$8/2)^2)-(((78-43)*MAX('Inputs'!$B$33,'Inputs'!$B$29+'Inputs'!$B$31+'Inputs'!$B$32,'Inputs'!$B$30+'Inputs'!$B$31+'Inputs'!$B$32)/1000+'Inputs'!$B$21))/SQRT((((78-43)*MAX('Inputs'!$B$33,'Inputs'!$B$29+'Inputs'!$B$31+'Inputs'!$B$32,'Inputs'!$B$30+'Inputs'!$B$31+'Inputs'!$B$32)/1000+'Inputs'!$B$21))^2+('Inputs'!$B$8/2)^2)))-'Results'!B7*(1+'Inputs'!$B$24)*(0.5*((((78-43)*MAX('Inputs'!$B$33,'Inputs'!$B$29+'Inputs'!$B$31+'Inputs'!$B$32,'Inputs'!$B$30+'Inputs'!$B$31+'Inputs'!$B$32)/1000+'Inputs'!$B$21+'Inputs'!$B$9+'Inputs'!$B$10)+'Inputs'!$B$7)/SQRT((((78-43)*MAX('Inputs'!$B$33,'Inputs'!$B$29+'Inputs'!$B$31+'Inputs'!$B$32,'Inputs'!$B$30+'Inputs'!$B$31+'Inputs'!$B$32)/1000+'Inputs'!$B$21+'Inputs'!$B$9+'Inputs'!$B$10)+'Inputs'!$B$7)^2+('Inputs'!$B$6/2)^2)-(((78-43)*MAX('Inputs'!$B$33,'Inputs'!$B$29+'Inputs'!$B$31+'Inputs'!$B$32,'Inputs'!$B$30+'Inputs'!$B$31+'Inputs'!$B$32)/1000+'Inputs'!$B$21+'Inputs'!$B$9+'Inputs'!$B$10))/SQRT((((78-43)*MAX('Inputs'!$B$33,'Inputs'!$B$29+'Inputs'!$B$31+'Inputs'!$B$32,'Inputs'!$B$30+'Inputs'!$B$31+'Inputs'!$B$32)/1000+'Inputs'!$B$21+'Inputs'!$B$9+'Inputs'!$B$10))^2+('Inputs'!$B$6/2)^2))))*'Results'!$B$8)-'Inputs'!$B$28*ABS((('Results'!C7*(1-'Inputs'!$B$24)*(0.5*((((78-43)*MAX('Inputs'!$B$33,'Inputs'!$B$29+'Inputs'!$B$31+'Inputs'!$B$32,'Inputs'!$B$30+'Inputs'!$B$31+'Inputs'!$B$32)/1000+'Inputs'!$B$21)+'Inputs'!$B$9)/SQRT((((78-43)*MAX('Inputs'!$B$33,'Inputs'!$B$29+'Inputs'!$B$31+'Inputs'!$B$32,'Inputs'!$B$30+'Inputs'!$B$31+'Inputs'!$B$32)/1000+'Inputs'!$B$21)+'Inputs'!$B$9)^2+('Inputs'!$B$8/2)^2)-(((78-43)*MAX('Inputs'!$B$33,'Inputs'!$B$29+'Inputs'!$B$31+'Inputs'!$B$32,'Inputs'!$B$30+'Inputs'!$B$31+'Inputs'!$B$32)/1000+'Inputs'!$B$21))/SQRT((((78-43)*MAX('Inputs'!$B$33,'Inputs'!$B$29+'Inputs'!$B$31+'Inputs'!$B$32,'Inputs'!$B$30+'Inputs'!$B$31+'Inputs'!$B$32)/1000+'Inputs'!$B$21))^2+('Inputs'!$B$8/2)^2)))-'Results'!B7*(1+'Inputs'!$B$24)*(0.5*((((78-43)*MAX('Inputs'!$B$33,'Inputs'!$B$29+'Inputs'!$B$31+'Inputs'!$B$32,'Inputs'!$B$30+'Inputs'!$B$31+'Inputs'!$B$32)/1000+'Inputs'!$B$21+'Inputs'!$B$9+'Inputs'!$B$10)+'Inputs'!$B$7)/SQRT((((78-43)*MAX('Inputs'!$B$33,'Inputs'!$B$29+'Inputs'!$B$31+'Inputs'!$B$32,'Inputs'!$B$30+'Inputs'!$B$31+'Inputs'!$B$32)/1000+'Inputs'!$B$21+'Inputs'!$B$9+'Inputs'!$B$10)+'Inputs'!$B$7)^2+('Inputs'!$B$6/2)^2)-(((78-43)*MAX('Inputs'!$B$33,'Inputs'!$B$29+'Inputs'!$B$31+'Inputs'!$B$32,'Inputs'!$B$30+'Inputs'!$B$31+'Inputs'!$B$32)/1000+'Inputs'!$B$21+'Inputs'!$B$9+'Inputs'!$B$10))/SQRT((((78-43)*MAX('Inputs'!$B$33,'Inputs'!$B$29+'Inputs'!$B$31+'Inputs'!$B$32,'Inputs'!$B$30+'Inputs'!$B$31+'Inputs'!$B$32)/1000+'Inputs'!$B$21+'Inputs'!$B$9+'Inputs'!$B$10))^2+('Inputs'!$B$6/2)^2))))*'Results'!$B$8))),"")</x:f>
        <x:v>1168.3135649153464</x:v>
      </x:c>
      <x:c r="O78" t="n">
        <x:f>IF(AND(ISNUMBER('Results'!C7),ISNUMBER('Results'!B7),ISNUMBER('Results'!$B$8),ISNUMBER('Inputs'!$B$6),ISNUMBER('Inputs'!$B$7),ISNUMBER('Inputs'!$B$8),ISNUMBER('Inputs'!$B$9),ISNUMBER('Inputs'!$B$10),ISNUMBER('Inputs'!$B$21),ISNUMBER('Inputs'!$B$24),ISNUMBER('Inputs'!$B$28)),((('Results'!C7*(1+'Inputs'!$B$24)*(0.5*((((78-43)*MAX('Inputs'!$B$33,'Inputs'!$B$29+'Inputs'!$B$31+'Inputs'!$B$32,'Inputs'!$B$30+'Inputs'!$B$31+'Inputs'!$B$32)/1000+'Inputs'!$B$21)+'Inputs'!$B$9)/SQRT((((78-43)*MAX('Inputs'!$B$33,'Inputs'!$B$29+'Inputs'!$B$31+'Inputs'!$B$32,'Inputs'!$B$30+'Inputs'!$B$31+'Inputs'!$B$32)/1000+'Inputs'!$B$21)+'Inputs'!$B$9)^2+('Inputs'!$B$8/2)^2)-(((78-43)*MAX('Inputs'!$B$33,'Inputs'!$B$29+'Inputs'!$B$31+'Inputs'!$B$32,'Inputs'!$B$30+'Inputs'!$B$31+'Inputs'!$B$32)/1000+'Inputs'!$B$21))/SQRT((((78-43)*MAX('Inputs'!$B$33,'Inputs'!$B$29+'Inputs'!$B$31+'Inputs'!$B$32,'Inputs'!$B$30+'Inputs'!$B$31+'Inputs'!$B$32)/1000+'Inputs'!$B$21))^2+('Inputs'!$B$8/2)^2)))-'Results'!B7*(1-'Inputs'!$B$24)*(0.5*((((78-43)*MAX('Inputs'!$B$33,'Inputs'!$B$29+'Inputs'!$B$31+'Inputs'!$B$32,'Inputs'!$B$30+'Inputs'!$B$31+'Inputs'!$B$32)/1000+'Inputs'!$B$21+'Inputs'!$B$9+'Inputs'!$B$10)+'Inputs'!$B$7)/SQRT((((78-43)*MAX('Inputs'!$B$33,'Inputs'!$B$29+'Inputs'!$B$31+'Inputs'!$B$32,'Inputs'!$B$30+'Inputs'!$B$31+'Inputs'!$B$32)/1000+'Inputs'!$B$21+'Inputs'!$B$9+'Inputs'!$B$10)+'Inputs'!$B$7)^2+('Inputs'!$B$6/2)^2)-(((78-43)*MAX('Inputs'!$B$33,'Inputs'!$B$29+'Inputs'!$B$31+'Inputs'!$B$32,'Inputs'!$B$30+'Inputs'!$B$31+'Inputs'!$B$32)/1000+'Inputs'!$B$21+'Inputs'!$B$9+'Inputs'!$B$10))/SQRT((((78-43)*MAX('Inputs'!$B$33,'Inputs'!$B$29+'Inputs'!$B$31+'Inputs'!$B$32,'Inputs'!$B$30+'Inputs'!$B$31+'Inputs'!$B$32)/1000+'Inputs'!$B$21+'Inputs'!$B$9+'Inputs'!$B$10))^2+('Inputs'!$B$6/2)^2))))*'Results'!$B$8)+'Inputs'!$B$28*ABS((('Results'!C7*(1+'Inputs'!$B$24)*(0.5*((((78-43)*MAX('Inputs'!$B$33,'Inputs'!$B$29+'Inputs'!$B$31+'Inputs'!$B$32,'Inputs'!$B$30+'Inputs'!$B$31+'Inputs'!$B$32)/1000+'Inputs'!$B$21)+'Inputs'!$B$9)/SQRT((((78-43)*MAX('Inputs'!$B$33,'Inputs'!$B$29+'Inputs'!$B$31+'Inputs'!$B$32,'Inputs'!$B$30+'Inputs'!$B$31+'Inputs'!$B$32)/1000+'Inputs'!$B$21)+'Inputs'!$B$9)^2+('Inputs'!$B$8/2)^2)-(((78-43)*MAX('Inputs'!$B$33,'Inputs'!$B$29+'Inputs'!$B$31+'Inputs'!$B$32,'Inputs'!$B$30+'Inputs'!$B$31+'Inputs'!$B$32)/1000+'Inputs'!$B$21))/SQRT((((78-43)*MAX('Inputs'!$B$33,'Inputs'!$B$29+'Inputs'!$B$31+'Inputs'!$B$32,'Inputs'!$B$30+'Inputs'!$B$31+'Inputs'!$B$32)/1000+'Inputs'!$B$21))^2+('Inputs'!$B$8/2)^2)))-'Results'!B7*(1-'Inputs'!$B$24)*(0.5*((((78-43)*MAX('Inputs'!$B$33,'Inputs'!$B$29+'Inputs'!$B$31+'Inputs'!$B$32,'Inputs'!$B$30+'Inputs'!$B$31+'Inputs'!$B$32)/1000+'Inputs'!$B$21+'Inputs'!$B$9+'Inputs'!$B$10)+'Inputs'!$B$7)/SQRT((((78-43)*MAX('Inputs'!$B$33,'Inputs'!$B$29+'Inputs'!$B$31+'Inputs'!$B$32,'Inputs'!$B$30+'Inputs'!$B$31+'Inputs'!$B$32)/1000+'Inputs'!$B$21+'Inputs'!$B$9+'Inputs'!$B$10)+'Inputs'!$B$7)^2+('Inputs'!$B$6/2)^2)-(((78-43)*MAX('Inputs'!$B$33,'Inputs'!$B$29+'Inputs'!$B$31+'Inputs'!$B$32,'Inputs'!$B$30+'Inputs'!$B$31+'Inputs'!$B$32)/1000+'Inputs'!$B$21+'Inputs'!$B$9+'Inputs'!$B$10))/SQRT((((78-43)*MAX('Inputs'!$B$33,'Inputs'!$B$29+'Inputs'!$B$31+'Inputs'!$B$32,'Inputs'!$B$30+'Inputs'!$B$31+'Inputs'!$B$32)/1000+'Inputs'!$B$21+'Inputs'!$B$9+'Inputs'!$B$10))^2+('Inputs'!$B$6/2)^2))))*'Results'!$B$8))),"")</x:f>
        <x:v>1361.694512812196</x:v>
      </x:c>
      <x:c r="P78" t="n">
        <x:f>IF(AND(MAX(J78,J77)&gt;0,J78&gt;J77+0.00000001),1,0)</x:f>
        <x:v>0</x:v>
      </x:c>
      <x:c r="Q78" t="n">
        <x:f>IF(AND(MAX(K78,K77)&gt;0,K78&gt;K77+0.00000001),1,0)</x:f>
        <x:v>0</x:v>
      </x:c>
      <x:c r="R78" t="n">
        <x:f>IF(AND(MAX(L78,L77)&gt;0,L78&gt;L77+0.00000001),1,0)</x:f>
        <x:v>0</x:v>
      </x:c>
      <x:c r="S78" t="n">
        <x:f>IF(AND(MAX(M78,M77)&gt;0,M78&gt;M77+0.00000001),1,0)</x:f>
        <x:v>0</x:v>
      </x:c>
      <x:c r="T78" t="n">
        <x:f>IF(AND(MAX(N78,N77)&gt;0,N78&gt;N77+0.00000001),1,0)</x:f>
        <x:v>0</x:v>
      </x:c>
      <x:c r="U78" t="n">
        <x:f>IF(AND(MAX(O78,O77)&gt;0,O78&gt;O77+0.00000001),1,0)</x:f>
        <x:v>0</x:v>
      </x:c>
    </x:row>
    <x:row r="79">
      <x:c r="J79" t="n">
        <x:f>IF(AND(ISNUMBER('Results'!B7),ISNUMBER('Results'!C7),ISNUMBER('Results'!$B$8),ISNUMBER('Inputs'!$B$6),ISNUMBER('Inputs'!$B$7),ISNUMBER('Inputs'!$B$8),ISNUMBER('Inputs'!$B$9),ISNUMBER('Inputs'!$B$10),ISNUMBER('Inputs'!$B$21),ISNUMBER('Inputs'!$B$24),ISNUMBER('Inputs'!$B$28)),(('Results'!B7*(0.5*((((79-43)*MAX('Inputs'!$B$33,'Inputs'!$B$29+'Inputs'!$B$31+'Inputs'!$B$32,'Inputs'!$B$30+'Inputs'!$B$31+'Inputs'!$B$32)/1000+'Inputs'!$B$21)+'Inputs'!$B$7)/SQRT((((79-43)*MAX('Inputs'!$B$33,'Inputs'!$B$29+'Inputs'!$B$31+'Inputs'!$B$32,'Inputs'!$B$30+'Inputs'!$B$31+'Inputs'!$B$32)/1000+'Inputs'!$B$21)+'Inputs'!$B$7)^2+('Inputs'!$B$6/2)^2)-(((79-43)*MAX('Inputs'!$B$33,'Inputs'!$B$29+'Inputs'!$B$31+'Inputs'!$B$32,'Inputs'!$B$30+'Inputs'!$B$31+'Inputs'!$B$32)/1000+'Inputs'!$B$21))/SQRT((((79-43)*MAX('Inputs'!$B$33,'Inputs'!$B$29+'Inputs'!$B$31+'Inputs'!$B$32,'Inputs'!$B$30+'Inputs'!$B$31+'Inputs'!$B$32)/1000+'Inputs'!$B$21))^2+('Inputs'!$B$6/2)^2)))-'Results'!C7*(0.5*((((79-43)*MAX('Inputs'!$B$33,'Inputs'!$B$29+'Inputs'!$B$31+'Inputs'!$B$32,'Inputs'!$B$30+'Inputs'!$B$31+'Inputs'!$B$32)/1000+'Inputs'!$B$21+'Inputs'!$B$7+'Inputs'!$B$10)+'Inputs'!$B$9)/SQRT((((79-43)*MAX('Inputs'!$B$33,'Inputs'!$B$29+'Inputs'!$B$31+'Inputs'!$B$32,'Inputs'!$B$30+'Inputs'!$B$31+'Inputs'!$B$32)/1000+'Inputs'!$B$21+'Inputs'!$B$7+'Inputs'!$B$10)+'Inputs'!$B$9)^2+('Inputs'!$B$8/2)^2)-(((79-43)*MAX('Inputs'!$B$33,'Inputs'!$B$29+'Inputs'!$B$31+'Inputs'!$B$32,'Inputs'!$B$30+'Inputs'!$B$31+'Inputs'!$B$32)/1000+'Inputs'!$B$21+'Inputs'!$B$7+'Inputs'!$B$10))/SQRT((((79-43)*MAX('Inputs'!$B$33,'Inputs'!$B$29+'Inputs'!$B$31+'Inputs'!$B$32,'Inputs'!$B$30+'Inputs'!$B$31+'Inputs'!$B$32)/1000+'Inputs'!$B$21+'Inputs'!$B$7+'Inputs'!$B$10))^2+('Inputs'!$B$8/2)^2))))*'Results'!$B$8),"")</x:f>
        <x:v>1275.0389296983467</x:v>
      </x:c>
      <x:c r="K79" t="n">
        <x:f>IF(AND(ISNUMBER('Results'!B7),ISNUMBER('Results'!C7),ISNUMBER('Results'!$B$8),ISNUMBER('Inputs'!$B$6),ISNUMBER('Inputs'!$B$7),ISNUMBER('Inputs'!$B$8),ISNUMBER('Inputs'!$B$9),ISNUMBER('Inputs'!$B$10),ISNUMBER('Inputs'!$B$21),ISNUMBER('Inputs'!$B$24),ISNUMBER('Inputs'!$B$28)),((('Results'!B7*(1-'Inputs'!$B$24)*(0.5*((((79-43)*MAX('Inputs'!$B$33,'Inputs'!$B$29+'Inputs'!$B$31+'Inputs'!$B$32,'Inputs'!$B$30+'Inputs'!$B$31+'Inputs'!$B$32)/1000+'Inputs'!$B$21)+'Inputs'!$B$7)/SQRT((((79-43)*MAX('Inputs'!$B$33,'Inputs'!$B$29+'Inputs'!$B$31+'Inputs'!$B$32,'Inputs'!$B$30+'Inputs'!$B$31+'Inputs'!$B$32)/1000+'Inputs'!$B$21)+'Inputs'!$B$7)^2+('Inputs'!$B$6/2)^2)-(((79-43)*MAX('Inputs'!$B$33,'Inputs'!$B$29+'Inputs'!$B$31+'Inputs'!$B$32,'Inputs'!$B$30+'Inputs'!$B$31+'Inputs'!$B$32)/1000+'Inputs'!$B$21))/SQRT((((79-43)*MAX('Inputs'!$B$33,'Inputs'!$B$29+'Inputs'!$B$31+'Inputs'!$B$32,'Inputs'!$B$30+'Inputs'!$B$31+'Inputs'!$B$32)/1000+'Inputs'!$B$21))^2+('Inputs'!$B$6/2)^2)))-'Results'!C7*(1+'Inputs'!$B$24)*(0.5*((((79-43)*MAX('Inputs'!$B$33,'Inputs'!$B$29+'Inputs'!$B$31+'Inputs'!$B$32,'Inputs'!$B$30+'Inputs'!$B$31+'Inputs'!$B$32)/1000+'Inputs'!$B$21+'Inputs'!$B$7+'Inputs'!$B$10)+'Inputs'!$B$9)/SQRT((((79-43)*MAX('Inputs'!$B$33,'Inputs'!$B$29+'Inputs'!$B$31+'Inputs'!$B$32,'Inputs'!$B$30+'Inputs'!$B$31+'Inputs'!$B$32)/1000+'Inputs'!$B$21+'Inputs'!$B$7+'Inputs'!$B$10)+'Inputs'!$B$9)^2+('Inputs'!$B$8/2)^2)-(((79-43)*MAX('Inputs'!$B$33,'Inputs'!$B$29+'Inputs'!$B$31+'Inputs'!$B$32,'Inputs'!$B$30+'Inputs'!$B$31+'Inputs'!$B$32)/1000+'Inputs'!$B$21+'Inputs'!$B$7+'Inputs'!$B$10))/SQRT((((79-43)*MAX('Inputs'!$B$33,'Inputs'!$B$29+'Inputs'!$B$31+'Inputs'!$B$32,'Inputs'!$B$30+'Inputs'!$B$31+'Inputs'!$B$32)/1000+'Inputs'!$B$21+'Inputs'!$B$7+'Inputs'!$B$10))^2+('Inputs'!$B$8/2)^2))))*'Results'!$B$8)-'Inputs'!$B$28*ABS((('Results'!B7*(1-'Inputs'!$B$24)*(0.5*((((79-43)*MAX('Inputs'!$B$33,'Inputs'!$B$29+'Inputs'!$B$31+'Inputs'!$B$32,'Inputs'!$B$30+'Inputs'!$B$31+'Inputs'!$B$32)/1000+'Inputs'!$B$21)+'Inputs'!$B$7)/SQRT((((79-43)*MAX('Inputs'!$B$33,'Inputs'!$B$29+'Inputs'!$B$31+'Inputs'!$B$32,'Inputs'!$B$30+'Inputs'!$B$31+'Inputs'!$B$32)/1000+'Inputs'!$B$21)+'Inputs'!$B$7)^2+('Inputs'!$B$6/2)^2)-(((79-43)*MAX('Inputs'!$B$33,'Inputs'!$B$29+'Inputs'!$B$31+'Inputs'!$B$32,'Inputs'!$B$30+'Inputs'!$B$31+'Inputs'!$B$32)/1000+'Inputs'!$B$21))/SQRT((((79-43)*MAX('Inputs'!$B$33,'Inputs'!$B$29+'Inputs'!$B$31+'Inputs'!$B$32,'Inputs'!$B$30+'Inputs'!$B$31+'Inputs'!$B$32)/1000+'Inputs'!$B$21))^2+('Inputs'!$B$6/2)^2)))-'Results'!C7*(1+'Inputs'!$B$24)*(0.5*((((79-43)*MAX('Inputs'!$B$33,'Inputs'!$B$29+'Inputs'!$B$31+'Inputs'!$B$32,'Inputs'!$B$30+'Inputs'!$B$31+'Inputs'!$B$32)/1000+'Inputs'!$B$21+'Inputs'!$B$7+'Inputs'!$B$10)+'Inputs'!$B$9)/SQRT((((79-43)*MAX('Inputs'!$B$33,'Inputs'!$B$29+'Inputs'!$B$31+'Inputs'!$B$32,'Inputs'!$B$30+'Inputs'!$B$31+'Inputs'!$B$32)/1000+'Inputs'!$B$21+'Inputs'!$B$7+'Inputs'!$B$10)+'Inputs'!$B$9)^2+('Inputs'!$B$8/2)^2)-(((79-43)*MAX('Inputs'!$B$33,'Inputs'!$B$29+'Inputs'!$B$31+'Inputs'!$B$32,'Inputs'!$B$30+'Inputs'!$B$31+'Inputs'!$B$32)/1000+'Inputs'!$B$21+'Inputs'!$B$7+'Inputs'!$B$10))/SQRT((((79-43)*MAX('Inputs'!$B$33,'Inputs'!$B$29+'Inputs'!$B$31+'Inputs'!$B$32,'Inputs'!$B$30+'Inputs'!$B$31+'Inputs'!$B$32)/1000+'Inputs'!$B$21+'Inputs'!$B$7+'Inputs'!$B$10))^2+('Inputs'!$B$8/2)^2))))*'Results'!$B$8))),"")</x:f>
        <x:v>1179.484956522194</x:v>
      </x:c>
      <x:c r="L79" t="n">
        <x:f>IF(AND(ISNUMBER('Results'!B7),ISNUMBER('Results'!C7),ISNUMBER('Results'!$B$8),ISNUMBER('Inputs'!$B$6),ISNUMBER('Inputs'!$B$7),ISNUMBER('Inputs'!$B$8),ISNUMBER('Inputs'!$B$9),ISNUMBER('Inputs'!$B$10),ISNUMBER('Inputs'!$B$21),ISNUMBER('Inputs'!$B$24),ISNUMBER('Inputs'!$B$28)),((('Results'!B7*(1+'Inputs'!$B$24)*(0.5*((((79-43)*MAX('Inputs'!$B$33,'Inputs'!$B$29+'Inputs'!$B$31+'Inputs'!$B$32,'Inputs'!$B$30+'Inputs'!$B$31+'Inputs'!$B$32)/1000+'Inputs'!$B$21)+'Inputs'!$B$7)/SQRT((((79-43)*MAX('Inputs'!$B$33,'Inputs'!$B$29+'Inputs'!$B$31+'Inputs'!$B$32,'Inputs'!$B$30+'Inputs'!$B$31+'Inputs'!$B$32)/1000+'Inputs'!$B$21)+'Inputs'!$B$7)^2+('Inputs'!$B$6/2)^2)-(((79-43)*MAX('Inputs'!$B$33,'Inputs'!$B$29+'Inputs'!$B$31+'Inputs'!$B$32,'Inputs'!$B$30+'Inputs'!$B$31+'Inputs'!$B$32)/1000+'Inputs'!$B$21))/SQRT((((79-43)*MAX('Inputs'!$B$33,'Inputs'!$B$29+'Inputs'!$B$31+'Inputs'!$B$32,'Inputs'!$B$30+'Inputs'!$B$31+'Inputs'!$B$32)/1000+'Inputs'!$B$21))^2+('Inputs'!$B$6/2)^2)))-'Results'!C7*(1-'Inputs'!$B$24)*(0.5*((((79-43)*MAX('Inputs'!$B$33,'Inputs'!$B$29+'Inputs'!$B$31+'Inputs'!$B$32,'Inputs'!$B$30+'Inputs'!$B$31+'Inputs'!$B$32)/1000+'Inputs'!$B$21+'Inputs'!$B$7+'Inputs'!$B$10)+'Inputs'!$B$9)/SQRT((((79-43)*MAX('Inputs'!$B$33,'Inputs'!$B$29+'Inputs'!$B$31+'Inputs'!$B$32,'Inputs'!$B$30+'Inputs'!$B$31+'Inputs'!$B$32)/1000+'Inputs'!$B$21+'Inputs'!$B$7+'Inputs'!$B$10)+'Inputs'!$B$9)^2+('Inputs'!$B$8/2)^2)-(((79-43)*MAX('Inputs'!$B$33,'Inputs'!$B$29+'Inputs'!$B$31+'Inputs'!$B$32,'Inputs'!$B$30+'Inputs'!$B$31+'Inputs'!$B$32)/1000+'Inputs'!$B$21+'Inputs'!$B$7+'Inputs'!$B$10))/SQRT((((79-43)*MAX('Inputs'!$B$33,'Inputs'!$B$29+'Inputs'!$B$31+'Inputs'!$B$32,'Inputs'!$B$30+'Inputs'!$B$31+'Inputs'!$B$32)/1000+'Inputs'!$B$21+'Inputs'!$B$7+'Inputs'!$B$10))^2+('Inputs'!$B$8/2)^2))))*'Results'!$B$8)+'Inputs'!$B$28*ABS((('Results'!B7*(1+'Inputs'!$B$24)*(0.5*((((79-43)*MAX('Inputs'!$B$33,'Inputs'!$B$29+'Inputs'!$B$31+'Inputs'!$B$32,'Inputs'!$B$30+'Inputs'!$B$31+'Inputs'!$B$32)/1000+'Inputs'!$B$21)+'Inputs'!$B$7)/SQRT((((79-43)*MAX('Inputs'!$B$33,'Inputs'!$B$29+'Inputs'!$B$31+'Inputs'!$B$32,'Inputs'!$B$30+'Inputs'!$B$31+'Inputs'!$B$32)/1000+'Inputs'!$B$21)+'Inputs'!$B$7)^2+('Inputs'!$B$6/2)^2)-(((79-43)*MAX('Inputs'!$B$33,'Inputs'!$B$29+'Inputs'!$B$31+'Inputs'!$B$32,'Inputs'!$B$30+'Inputs'!$B$31+'Inputs'!$B$32)/1000+'Inputs'!$B$21))/SQRT((((79-43)*MAX('Inputs'!$B$33,'Inputs'!$B$29+'Inputs'!$B$31+'Inputs'!$B$32,'Inputs'!$B$30+'Inputs'!$B$31+'Inputs'!$B$32)/1000+'Inputs'!$B$21))^2+('Inputs'!$B$6/2)^2)))-'Results'!C7*(1-'Inputs'!$B$24)*(0.5*((((79-43)*MAX('Inputs'!$B$33,'Inputs'!$B$29+'Inputs'!$B$31+'Inputs'!$B$32,'Inputs'!$B$30+'Inputs'!$B$31+'Inputs'!$B$32)/1000+'Inputs'!$B$21+'Inputs'!$B$7+'Inputs'!$B$10)+'Inputs'!$B$9)/SQRT((((79-43)*MAX('Inputs'!$B$33,'Inputs'!$B$29+'Inputs'!$B$31+'Inputs'!$B$32,'Inputs'!$B$30+'Inputs'!$B$31+'Inputs'!$B$32)/1000+'Inputs'!$B$21+'Inputs'!$B$7+'Inputs'!$B$10)+'Inputs'!$B$9)^2+('Inputs'!$B$8/2)^2)-(((79-43)*MAX('Inputs'!$B$33,'Inputs'!$B$29+'Inputs'!$B$31+'Inputs'!$B$32,'Inputs'!$B$30+'Inputs'!$B$31+'Inputs'!$B$32)/1000+'Inputs'!$B$21+'Inputs'!$B$7+'Inputs'!$B$10))/SQRT((((79-43)*MAX('Inputs'!$B$33,'Inputs'!$B$29+'Inputs'!$B$31+'Inputs'!$B$32,'Inputs'!$B$30+'Inputs'!$B$31+'Inputs'!$B$32)/1000+'Inputs'!$B$21+'Inputs'!$B$7+'Inputs'!$B$10))^2+('Inputs'!$B$8/2)^2))))*'Results'!$B$8))),"")</x:f>
        <x:v>1373.9404846314717</x:v>
      </x:c>
      <x:c r="M79" t="n">
        <x:f>IF(AND(ISNUMBER('Results'!C7),ISNUMBER('Results'!B7),ISNUMBER('Results'!$B$8),ISNUMBER('Inputs'!$B$6),ISNUMBER('Inputs'!$B$7),ISNUMBER('Inputs'!$B$8),ISNUMBER('Inputs'!$B$9),ISNUMBER('Inputs'!$B$10),ISNUMBER('Inputs'!$B$21),ISNUMBER('Inputs'!$B$24),ISNUMBER('Inputs'!$B$28)),(('Results'!C7*(0.5*((((79-43)*MAX('Inputs'!$B$33,'Inputs'!$B$29+'Inputs'!$B$31+'Inputs'!$B$32,'Inputs'!$B$30+'Inputs'!$B$31+'Inputs'!$B$32)/1000+'Inputs'!$B$21)+'Inputs'!$B$9)/SQRT((((79-43)*MAX('Inputs'!$B$33,'Inputs'!$B$29+'Inputs'!$B$31+'Inputs'!$B$32,'Inputs'!$B$30+'Inputs'!$B$31+'Inputs'!$B$32)/1000+'Inputs'!$B$21)+'Inputs'!$B$9)^2+('Inputs'!$B$8/2)^2)-(((79-43)*MAX('Inputs'!$B$33,'Inputs'!$B$29+'Inputs'!$B$31+'Inputs'!$B$32,'Inputs'!$B$30+'Inputs'!$B$31+'Inputs'!$B$32)/1000+'Inputs'!$B$21))/SQRT((((79-43)*MAX('Inputs'!$B$33,'Inputs'!$B$29+'Inputs'!$B$31+'Inputs'!$B$32,'Inputs'!$B$30+'Inputs'!$B$31+'Inputs'!$B$32)/1000+'Inputs'!$B$21))^2+('Inputs'!$B$8/2)^2)))-'Results'!B7*(0.5*((((79-43)*MAX('Inputs'!$B$33,'Inputs'!$B$29+'Inputs'!$B$31+'Inputs'!$B$32,'Inputs'!$B$30+'Inputs'!$B$31+'Inputs'!$B$32)/1000+'Inputs'!$B$21+'Inputs'!$B$9+'Inputs'!$B$10)+'Inputs'!$B$7)/SQRT((((79-43)*MAX('Inputs'!$B$33,'Inputs'!$B$29+'Inputs'!$B$31+'Inputs'!$B$32,'Inputs'!$B$30+'Inputs'!$B$31+'Inputs'!$B$32)/1000+'Inputs'!$B$21+'Inputs'!$B$9+'Inputs'!$B$10)+'Inputs'!$B$7)^2+('Inputs'!$B$6/2)^2)-(((79-43)*MAX('Inputs'!$B$33,'Inputs'!$B$29+'Inputs'!$B$31+'Inputs'!$B$32,'Inputs'!$B$30+'Inputs'!$B$31+'Inputs'!$B$32)/1000+'Inputs'!$B$21+'Inputs'!$B$9+'Inputs'!$B$10))/SQRT((((79-43)*MAX('Inputs'!$B$33,'Inputs'!$B$29+'Inputs'!$B$31+'Inputs'!$B$32,'Inputs'!$B$30+'Inputs'!$B$31+'Inputs'!$B$32)/1000+'Inputs'!$B$21+'Inputs'!$B$9+'Inputs'!$B$10))^2+('Inputs'!$B$6/2)^2))))*'Results'!$B$8),"")</x:f>
        <x:v>1241.481734179893</x:v>
      </x:c>
      <x:c r="N79" t="n">
        <x:f>IF(AND(ISNUMBER('Results'!C7),ISNUMBER('Results'!B7),ISNUMBER('Results'!$B$8),ISNUMBER('Inputs'!$B$6),ISNUMBER('Inputs'!$B$7),ISNUMBER('Inputs'!$B$8),ISNUMBER('Inputs'!$B$9),ISNUMBER('Inputs'!$B$10),ISNUMBER('Inputs'!$B$21),ISNUMBER('Inputs'!$B$24),ISNUMBER('Inputs'!$B$28)),((('Results'!C7*(1-'Inputs'!$B$24)*(0.5*((((79-43)*MAX('Inputs'!$B$33,'Inputs'!$B$29+'Inputs'!$B$31+'Inputs'!$B$32,'Inputs'!$B$30+'Inputs'!$B$31+'Inputs'!$B$32)/1000+'Inputs'!$B$21)+'Inputs'!$B$9)/SQRT((((79-43)*MAX('Inputs'!$B$33,'Inputs'!$B$29+'Inputs'!$B$31+'Inputs'!$B$32,'Inputs'!$B$30+'Inputs'!$B$31+'Inputs'!$B$32)/1000+'Inputs'!$B$21)+'Inputs'!$B$9)^2+('Inputs'!$B$8/2)^2)-(((79-43)*MAX('Inputs'!$B$33,'Inputs'!$B$29+'Inputs'!$B$31+'Inputs'!$B$32,'Inputs'!$B$30+'Inputs'!$B$31+'Inputs'!$B$32)/1000+'Inputs'!$B$21))/SQRT((((79-43)*MAX('Inputs'!$B$33,'Inputs'!$B$29+'Inputs'!$B$31+'Inputs'!$B$32,'Inputs'!$B$30+'Inputs'!$B$31+'Inputs'!$B$32)/1000+'Inputs'!$B$21))^2+('Inputs'!$B$8/2)^2)))-'Results'!B7*(1+'Inputs'!$B$24)*(0.5*((((79-43)*MAX('Inputs'!$B$33,'Inputs'!$B$29+'Inputs'!$B$31+'Inputs'!$B$32,'Inputs'!$B$30+'Inputs'!$B$31+'Inputs'!$B$32)/1000+'Inputs'!$B$21+'Inputs'!$B$9+'Inputs'!$B$10)+'Inputs'!$B$7)/SQRT((((79-43)*MAX('Inputs'!$B$33,'Inputs'!$B$29+'Inputs'!$B$31+'Inputs'!$B$32,'Inputs'!$B$30+'Inputs'!$B$31+'Inputs'!$B$32)/1000+'Inputs'!$B$21+'Inputs'!$B$9+'Inputs'!$B$10)+'Inputs'!$B$7)^2+('Inputs'!$B$6/2)^2)-(((79-43)*MAX('Inputs'!$B$33,'Inputs'!$B$29+'Inputs'!$B$31+'Inputs'!$B$32,'Inputs'!$B$30+'Inputs'!$B$31+'Inputs'!$B$32)/1000+'Inputs'!$B$21+'Inputs'!$B$9+'Inputs'!$B$10))/SQRT((((79-43)*MAX('Inputs'!$B$33,'Inputs'!$B$29+'Inputs'!$B$31+'Inputs'!$B$32,'Inputs'!$B$30+'Inputs'!$B$31+'Inputs'!$B$32)/1000+'Inputs'!$B$21+'Inputs'!$B$9+'Inputs'!$B$10))^2+('Inputs'!$B$6/2)^2))))*'Results'!$B$8)-'Inputs'!$B$28*ABS((('Results'!C7*(1-'Inputs'!$B$24)*(0.5*((((79-43)*MAX('Inputs'!$B$33,'Inputs'!$B$29+'Inputs'!$B$31+'Inputs'!$B$32,'Inputs'!$B$30+'Inputs'!$B$31+'Inputs'!$B$32)/1000+'Inputs'!$B$21)+'Inputs'!$B$9)/SQRT((((79-43)*MAX('Inputs'!$B$33,'Inputs'!$B$29+'Inputs'!$B$31+'Inputs'!$B$32,'Inputs'!$B$30+'Inputs'!$B$31+'Inputs'!$B$32)/1000+'Inputs'!$B$21)+'Inputs'!$B$9)^2+('Inputs'!$B$8/2)^2)-(((79-43)*MAX('Inputs'!$B$33,'Inputs'!$B$29+'Inputs'!$B$31+'Inputs'!$B$32,'Inputs'!$B$30+'Inputs'!$B$31+'Inputs'!$B$32)/1000+'Inputs'!$B$21))/SQRT((((79-43)*MAX('Inputs'!$B$33,'Inputs'!$B$29+'Inputs'!$B$31+'Inputs'!$B$32,'Inputs'!$B$30+'Inputs'!$B$31+'Inputs'!$B$32)/1000+'Inputs'!$B$21))^2+('Inputs'!$B$8/2)^2)))-'Results'!B7*(1+'Inputs'!$B$24)*(0.5*((((79-43)*MAX('Inputs'!$B$33,'Inputs'!$B$29+'Inputs'!$B$31+'Inputs'!$B$32,'Inputs'!$B$30+'Inputs'!$B$31+'Inputs'!$B$32)/1000+'Inputs'!$B$21+'Inputs'!$B$9+'Inputs'!$B$10)+'Inputs'!$B$7)/SQRT((((79-43)*MAX('Inputs'!$B$33,'Inputs'!$B$29+'Inputs'!$B$31+'Inputs'!$B$32,'Inputs'!$B$30+'Inputs'!$B$31+'Inputs'!$B$32)/1000+'Inputs'!$B$21+'Inputs'!$B$9+'Inputs'!$B$10)+'Inputs'!$B$7)^2+('Inputs'!$B$6/2)^2)-(((79-43)*MAX('Inputs'!$B$33,'Inputs'!$B$29+'Inputs'!$B$31+'Inputs'!$B$32,'Inputs'!$B$30+'Inputs'!$B$31+'Inputs'!$B$32)/1000+'Inputs'!$B$21+'Inputs'!$B$9+'Inputs'!$B$10))/SQRT((((79-43)*MAX('Inputs'!$B$33,'Inputs'!$B$29+'Inputs'!$B$31+'Inputs'!$B$32,'Inputs'!$B$30+'Inputs'!$B$31+'Inputs'!$B$32)/1000+'Inputs'!$B$21+'Inputs'!$B$9+'Inputs'!$B$10))^2+('Inputs'!$B$6/2)^2))))*'Results'!$B$8))),"")</x:f>
        <x:v>1148.0885893919221</x:v>
      </x:c>
      <x:c r="O79" t="n">
        <x:f>IF(AND(ISNUMBER('Results'!C7),ISNUMBER('Results'!B7),ISNUMBER('Results'!$B$8),ISNUMBER('Inputs'!$B$6),ISNUMBER('Inputs'!$B$7),ISNUMBER('Inputs'!$B$8),ISNUMBER('Inputs'!$B$9),ISNUMBER('Inputs'!$B$10),ISNUMBER('Inputs'!$B$21),ISNUMBER('Inputs'!$B$24),ISNUMBER('Inputs'!$B$28)),((('Results'!C7*(1+'Inputs'!$B$24)*(0.5*((((79-43)*MAX('Inputs'!$B$33,'Inputs'!$B$29+'Inputs'!$B$31+'Inputs'!$B$32,'Inputs'!$B$30+'Inputs'!$B$31+'Inputs'!$B$32)/1000+'Inputs'!$B$21)+'Inputs'!$B$9)/SQRT((((79-43)*MAX('Inputs'!$B$33,'Inputs'!$B$29+'Inputs'!$B$31+'Inputs'!$B$32,'Inputs'!$B$30+'Inputs'!$B$31+'Inputs'!$B$32)/1000+'Inputs'!$B$21)+'Inputs'!$B$9)^2+('Inputs'!$B$8/2)^2)-(((79-43)*MAX('Inputs'!$B$33,'Inputs'!$B$29+'Inputs'!$B$31+'Inputs'!$B$32,'Inputs'!$B$30+'Inputs'!$B$31+'Inputs'!$B$32)/1000+'Inputs'!$B$21))/SQRT((((79-43)*MAX('Inputs'!$B$33,'Inputs'!$B$29+'Inputs'!$B$31+'Inputs'!$B$32,'Inputs'!$B$30+'Inputs'!$B$31+'Inputs'!$B$32)/1000+'Inputs'!$B$21))^2+('Inputs'!$B$8/2)^2)))-'Results'!B7*(1-'Inputs'!$B$24)*(0.5*((((79-43)*MAX('Inputs'!$B$33,'Inputs'!$B$29+'Inputs'!$B$31+'Inputs'!$B$32,'Inputs'!$B$30+'Inputs'!$B$31+'Inputs'!$B$32)/1000+'Inputs'!$B$21+'Inputs'!$B$9+'Inputs'!$B$10)+'Inputs'!$B$7)/SQRT((((79-43)*MAX('Inputs'!$B$33,'Inputs'!$B$29+'Inputs'!$B$31+'Inputs'!$B$32,'Inputs'!$B$30+'Inputs'!$B$31+'Inputs'!$B$32)/1000+'Inputs'!$B$21+'Inputs'!$B$9+'Inputs'!$B$10)+'Inputs'!$B$7)^2+('Inputs'!$B$6/2)^2)-(((79-43)*MAX('Inputs'!$B$33,'Inputs'!$B$29+'Inputs'!$B$31+'Inputs'!$B$32,'Inputs'!$B$30+'Inputs'!$B$31+'Inputs'!$B$32)/1000+'Inputs'!$B$21+'Inputs'!$B$9+'Inputs'!$B$10))/SQRT((((79-43)*MAX('Inputs'!$B$33,'Inputs'!$B$29+'Inputs'!$B$31+'Inputs'!$B$32,'Inputs'!$B$30+'Inputs'!$B$31+'Inputs'!$B$32)/1000+'Inputs'!$B$21+'Inputs'!$B$9+'Inputs'!$B$10))^2+('Inputs'!$B$6/2)^2))))*'Results'!$B$8)+'Inputs'!$B$28*ABS((('Results'!C7*(1+'Inputs'!$B$24)*(0.5*((((79-43)*MAX('Inputs'!$B$33,'Inputs'!$B$29+'Inputs'!$B$31+'Inputs'!$B$32,'Inputs'!$B$30+'Inputs'!$B$31+'Inputs'!$B$32)/1000+'Inputs'!$B$21)+'Inputs'!$B$9)/SQRT((((79-43)*MAX('Inputs'!$B$33,'Inputs'!$B$29+'Inputs'!$B$31+'Inputs'!$B$32,'Inputs'!$B$30+'Inputs'!$B$31+'Inputs'!$B$32)/1000+'Inputs'!$B$21)+'Inputs'!$B$9)^2+('Inputs'!$B$8/2)^2)-(((79-43)*MAX('Inputs'!$B$33,'Inputs'!$B$29+'Inputs'!$B$31+'Inputs'!$B$32,'Inputs'!$B$30+'Inputs'!$B$31+'Inputs'!$B$32)/1000+'Inputs'!$B$21))/SQRT((((79-43)*MAX('Inputs'!$B$33,'Inputs'!$B$29+'Inputs'!$B$31+'Inputs'!$B$32,'Inputs'!$B$30+'Inputs'!$B$31+'Inputs'!$B$32)/1000+'Inputs'!$B$21))^2+('Inputs'!$B$8/2)^2)))-'Results'!B7*(1-'Inputs'!$B$24)*(0.5*((((79-43)*MAX('Inputs'!$B$33,'Inputs'!$B$29+'Inputs'!$B$31+'Inputs'!$B$32,'Inputs'!$B$30+'Inputs'!$B$31+'Inputs'!$B$32)/1000+'Inputs'!$B$21+'Inputs'!$B$9+'Inputs'!$B$10)+'Inputs'!$B$7)/SQRT((((79-43)*MAX('Inputs'!$B$33,'Inputs'!$B$29+'Inputs'!$B$31+'Inputs'!$B$32,'Inputs'!$B$30+'Inputs'!$B$31+'Inputs'!$B$32)/1000+'Inputs'!$B$21+'Inputs'!$B$9+'Inputs'!$B$10)+'Inputs'!$B$7)^2+('Inputs'!$B$6/2)^2)-(((79-43)*MAX('Inputs'!$B$33,'Inputs'!$B$29+'Inputs'!$B$31+'Inputs'!$B$32,'Inputs'!$B$30+'Inputs'!$B$31+'Inputs'!$B$32)/1000+'Inputs'!$B$21+'Inputs'!$B$9+'Inputs'!$B$10))/SQRT((((79-43)*MAX('Inputs'!$B$33,'Inputs'!$B$29+'Inputs'!$B$31+'Inputs'!$B$32,'Inputs'!$B$30+'Inputs'!$B$31+'Inputs'!$B$32)/1000+'Inputs'!$B$21+'Inputs'!$B$9+'Inputs'!$B$10))^2+('Inputs'!$B$6/2)^2))))*'Results'!$B$8))),"")</x:f>
        <x:v>1338.1716219235454</x:v>
      </x:c>
      <x:c r="P79" t="n">
        <x:f>IF(AND(MAX(J79,J78)&gt;0,J79&gt;J78+0.00000001),1,0)</x:f>
        <x:v>0</x:v>
      </x:c>
      <x:c r="Q79" t="n">
        <x:f>IF(AND(MAX(K79,K78)&gt;0,K79&gt;K78+0.00000001),1,0)</x:f>
        <x:v>0</x:v>
      </x:c>
      <x:c r="R79" t="n">
        <x:f>IF(AND(MAX(L79,L78)&gt;0,L79&gt;L78+0.00000001),1,0)</x:f>
        <x:v>0</x:v>
      </x:c>
      <x:c r="S79" t="n">
        <x:f>IF(AND(MAX(M79,M78)&gt;0,M79&gt;M78+0.00000001),1,0)</x:f>
        <x:v>0</x:v>
      </x:c>
      <x:c r="T79" t="n">
        <x:f>IF(AND(MAX(N79,N78)&gt;0,N79&gt;N78+0.00000001),1,0)</x:f>
        <x:v>0</x:v>
      </x:c>
      <x:c r="U79" t="n">
        <x:f>IF(AND(MAX(O79,O78)&gt;0,O79&gt;O78+0.00000001),1,0)</x:f>
        <x:v>0</x:v>
      </x:c>
    </x:row>
    <x:row r="80">
      <x:c r="J80" t="n">
        <x:f>IF(AND(ISNUMBER('Results'!B7),ISNUMBER('Results'!C7),ISNUMBER('Results'!$B$8),ISNUMBER('Inputs'!$B$6),ISNUMBER('Inputs'!$B$7),ISNUMBER('Inputs'!$B$8),ISNUMBER('Inputs'!$B$9),ISNUMBER('Inputs'!$B$10),ISNUMBER('Inputs'!$B$21),ISNUMBER('Inputs'!$B$24),ISNUMBER('Inputs'!$B$28)),(('Results'!B7*(0.5*((((80-43)*MAX('Inputs'!$B$33,'Inputs'!$B$29+'Inputs'!$B$31+'Inputs'!$B$32,'Inputs'!$B$30+'Inputs'!$B$31+'Inputs'!$B$32)/1000+'Inputs'!$B$21)+'Inputs'!$B$7)/SQRT((((80-43)*MAX('Inputs'!$B$33,'Inputs'!$B$29+'Inputs'!$B$31+'Inputs'!$B$32,'Inputs'!$B$30+'Inputs'!$B$31+'Inputs'!$B$32)/1000+'Inputs'!$B$21)+'Inputs'!$B$7)^2+('Inputs'!$B$6/2)^2)-(((80-43)*MAX('Inputs'!$B$33,'Inputs'!$B$29+'Inputs'!$B$31+'Inputs'!$B$32,'Inputs'!$B$30+'Inputs'!$B$31+'Inputs'!$B$32)/1000+'Inputs'!$B$21))/SQRT((((80-43)*MAX('Inputs'!$B$33,'Inputs'!$B$29+'Inputs'!$B$31+'Inputs'!$B$32,'Inputs'!$B$30+'Inputs'!$B$31+'Inputs'!$B$32)/1000+'Inputs'!$B$21))^2+('Inputs'!$B$6/2)^2)))-'Results'!C7*(0.5*((((80-43)*MAX('Inputs'!$B$33,'Inputs'!$B$29+'Inputs'!$B$31+'Inputs'!$B$32,'Inputs'!$B$30+'Inputs'!$B$31+'Inputs'!$B$32)/1000+'Inputs'!$B$21+'Inputs'!$B$7+'Inputs'!$B$10)+'Inputs'!$B$9)/SQRT((((80-43)*MAX('Inputs'!$B$33,'Inputs'!$B$29+'Inputs'!$B$31+'Inputs'!$B$32,'Inputs'!$B$30+'Inputs'!$B$31+'Inputs'!$B$32)/1000+'Inputs'!$B$21+'Inputs'!$B$7+'Inputs'!$B$10)+'Inputs'!$B$9)^2+('Inputs'!$B$8/2)^2)-(((80-43)*MAX('Inputs'!$B$33,'Inputs'!$B$29+'Inputs'!$B$31+'Inputs'!$B$32,'Inputs'!$B$30+'Inputs'!$B$31+'Inputs'!$B$32)/1000+'Inputs'!$B$21+'Inputs'!$B$7+'Inputs'!$B$10))/SQRT((((80-43)*MAX('Inputs'!$B$33,'Inputs'!$B$29+'Inputs'!$B$31+'Inputs'!$B$32,'Inputs'!$B$30+'Inputs'!$B$31+'Inputs'!$B$32)/1000+'Inputs'!$B$21+'Inputs'!$B$7+'Inputs'!$B$10))^2+('Inputs'!$B$8/2)^2))))*'Results'!$B$8),"")</x:f>
        <x:v>1252.8128423924957</x:v>
      </x:c>
      <x:c r="K80" t="n">
        <x:f>IF(AND(ISNUMBER('Results'!B7),ISNUMBER('Results'!C7),ISNUMBER('Results'!$B$8),ISNUMBER('Inputs'!$B$6),ISNUMBER('Inputs'!$B$7),ISNUMBER('Inputs'!$B$8),ISNUMBER('Inputs'!$B$9),ISNUMBER('Inputs'!$B$10),ISNUMBER('Inputs'!$B$21),ISNUMBER('Inputs'!$B$24),ISNUMBER('Inputs'!$B$28)),((('Results'!B7*(1-'Inputs'!$B$24)*(0.5*((((80-43)*MAX('Inputs'!$B$33,'Inputs'!$B$29+'Inputs'!$B$31+'Inputs'!$B$32,'Inputs'!$B$30+'Inputs'!$B$31+'Inputs'!$B$32)/1000+'Inputs'!$B$21)+'Inputs'!$B$7)/SQRT((((80-43)*MAX('Inputs'!$B$33,'Inputs'!$B$29+'Inputs'!$B$31+'Inputs'!$B$32,'Inputs'!$B$30+'Inputs'!$B$31+'Inputs'!$B$32)/1000+'Inputs'!$B$21)+'Inputs'!$B$7)^2+('Inputs'!$B$6/2)^2)-(((80-43)*MAX('Inputs'!$B$33,'Inputs'!$B$29+'Inputs'!$B$31+'Inputs'!$B$32,'Inputs'!$B$30+'Inputs'!$B$31+'Inputs'!$B$32)/1000+'Inputs'!$B$21))/SQRT((((80-43)*MAX('Inputs'!$B$33,'Inputs'!$B$29+'Inputs'!$B$31+'Inputs'!$B$32,'Inputs'!$B$30+'Inputs'!$B$31+'Inputs'!$B$32)/1000+'Inputs'!$B$21))^2+('Inputs'!$B$6/2)^2)))-'Results'!C7*(1+'Inputs'!$B$24)*(0.5*((((80-43)*MAX('Inputs'!$B$33,'Inputs'!$B$29+'Inputs'!$B$31+'Inputs'!$B$32,'Inputs'!$B$30+'Inputs'!$B$31+'Inputs'!$B$32)/1000+'Inputs'!$B$21+'Inputs'!$B$7+'Inputs'!$B$10)+'Inputs'!$B$9)/SQRT((((80-43)*MAX('Inputs'!$B$33,'Inputs'!$B$29+'Inputs'!$B$31+'Inputs'!$B$32,'Inputs'!$B$30+'Inputs'!$B$31+'Inputs'!$B$32)/1000+'Inputs'!$B$21+'Inputs'!$B$7+'Inputs'!$B$10)+'Inputs'!$B$9)^2+('Inputs'!$B$8/2)^2)-(((80-43)*MAX('Inputs'!$B$33,'Inputs'!$B$29+'Inputs'!$B$31+'Inputs'!$B$32,'Inputs'!$B$30+'Inputs'!$B$31+'Inputs'!$B$32)/1000+'Inputs'!$B$21+'Inputs'!$B$7+'Inputs'!$B$10))/SQRT((((80-43)*MAX('Inputs'!$B$33,'Inputs'!$B$29+'Inputs'!$B$31+'Inputs'!$B$32,'Inputs'!$B$30+'Inputs'!$B$31+'Inputs'!$B$32)/1000+'Inputs'!$B$21+'Inputs'!$B$7+'Inputs'!$B$10))^2+('Inputs'!$B$8/2)^2))))*'Results'!$B$8)-'Inputs'!$B$28*ABS((('Results'!B7*(1-'Inputs'!$B$24)*(0.5*((((80-43)*MAX('Inputs'!$B$33,'Inputs'!$B$29+'Inputs'!$B$31+'Inputs'!$B$32,'Inputs'!$B$30+'Inputs'!$B$31+'Inputs'!$B$32)/1000+'Inputs'!$B$21)+'Inputs'!$B$7)/SQRT((((80-43)*MAX('Inputs'!$B$33,'Inputs'!$B$29+'Inputs'!$B$31+'Inputs'!$B$32,'Inputs'!$B$30+'Inputs'!$B$31+'Inputs'!$B$32)/1000+'Inputs'!$B$21)+'Inputs'!$B$7)^2+('Inputs'!$B$6/2)^2)-(((80-43)*MAX('Inputs'!$B$33,'Inputs'!$B$29+'Inputs'!$B$31+'Inputs'!$B$32,'Inputs'!$B$30+'Inputs'!$B$31+'Inputs'!$B$32)/1000+'Inputs'!$B$21))/SQRT((((80-43)*MAX('Inputs'!$B$33,'Inputs'!$B$29+'Inputs'!$B$31+'Inputs'!$B$32,'Inputs'!$B$30+'Inputs'!$B$31+'Inputs'!$B$32)/1000+'Inputs'!$B$21))^2+('Inputs'!$B$6/2)^2)))-'Results'!C7*(1+'Inputs'!$B$24)*(0.5*((((80-43)*MAX('Inputs'!$B$33,'Inputs'!$B$29+'Inputs'!$B$31+'Inputs'!$B$32,'Inputs'!$B$30+'Inputs'!$B$31+'Inputs'!$B$32)/1000+'Inputs'!$B$21+'Inputs'!$B$7+'Inputs'!$B$10)+'Inputs'!$B$9)/SQRT((((80-43)*MAX('Inputs'!$B$33,'Inputs'!$B$29+'Inputs'!$B$31+'Inputs'!$B$32,'Inputs'!$B$30+'Inputs'!$B$31+'Inputs'!$B$32)/1000+'Inputs'!$B$21+'Inputs'!$B$7+'Inputs'!$B$10)+'Inputs'!$B$9)^2+('Inputs'!$B$8/2)^2)-(((80-43)*MAX('Inputs'!$B$33,'Inputs'!$B$29+'Inputs'!$B$31+'Inputs'!$B$32,'Inputs'!$B$30+'Inputs'!$B$31+'Inputs'!$B$32)/1000+'Inputs'!$B$21+'Inputs'!$B$7+'Inputs'!$B$10))/SQRT((((80-43)*MAX('Inputs'!$B$33,'Inputs'!$B$29+'Inputs'!$B$31+'Inputs'!$B$32,'Inputs'!$B$30+'Inputs'!$B$31+'Inputs'!$B$32)/1000+'Inputs'!$B$21+'Inputs'!$B$7+'Inputs'!$B$10))^2+('Inputs'!$B$8/2)^2))))*'Results'!$B$8))),"")</x:f>
        <x:v>1158.901909760986</x:v>
      </x:c>
      <x:c r="L80" t="n">
        <x:f>IF(AND(ISNUMBER('Results'!B7),ISNUMBER('Results'!C7),ISNUMBER('Results'!$B$8),ISNUMBER('Inputs'!$B$6),ISNUMBER('Inputs'!$B$7),ISNUMBER('Inputs'!$B$8),ISNUMBER('Inputs'!$B$9),ISNUMBER('Inputs'!$B$10),ISNUMBER('Inputs'!$B$21),ISNUMBER('Inputs'!$B$24),ISNUMBER('Inputs'!$B$28)),((('Results'!B7*(1+'Inputs'!$B$24)*(0.5*((((80-43)*MAX('Inputs'!$B$33,'Inputs'!$B$29+'Inputs'!$B$31+'Inputs'!$B$32,'Inputs'!$B$30+'Inputs'!$B$31+'Inputs'!$B$32)/1000+'Inputs'!$B$21)+'Inputs'!$B$7)/SQRT((((80-43)*MAX('Inputs'!$B$33,'Inputs'!$B$29+'Inputs'!$B$31+'Inputs'!$B$32,'Inputs'!$B$30+'Inputs'!$B$31+'Inputs'!$B$32)/1000+'Inputs'!$B$21)+'Inputs'!$B$7)^2+('Inputs'!$B$6/2)^2)-(((80-43)*MAX('Inputs'!$B$33,'Inputs'!$B$29+'Inputs'!$B$31+'Inputs'!$B$32,'Inputs'!$B$30+'Inputs'!$B$31+'Inputs'!$B$32)/1000+'Inputs'!$B$21))/SQRT((((80-43)*MAX('Inputs'!$B$33,'Inputs'!$B$29+'Inputs'!$B$31+'Inputs'!$B$32,'Inputs'!$B$30+'Inputs'!$B$31+'Inputs'!$B$32)/1000+'Inputs'!$B$21))^2+('Inputs'!$B$6/2)^2)))-'Results'!C7*(1-'Inputs'!$B$24)*(0.5*((((80-43)*MAX('Inputs'!$B$33,'Inputs'!$B$29+'Inputs'!$B$31+'Inputs'!$B$32,'Inputs'!$B$30+'Inputs'!$B$31+'Inputs'!$B$32)/1000+'Inputs'!$B$21+'Inputs'!$B$7+'Inputs'!$B$10)+'Inputs'!$B$9)/SQRT((((80-43)*MAX('Inputs'!$B$33,'Inputs'!$B$29+'Inputs'!$B$31+'Inputs'!$B$32,'Inputs'!$B$30+'Inputs'!$B$31+'Inputs'!$B$32)/1000+'Inputs'!$B$21+'Inputs'!$B$7+'Inputs'!$B$10)+'Inputs'!$B$9)^2+('Inputs'!$B$8/2)^2)-(((80-43)*MAX('Inputs'!$B$33,'Inputs'!$B$29+'Inputs'!$B$31+'Inputs'!$B$32,'Inputs'!$B$30+'Inputs'!$B$31+'Inputs'!$B$32)/1000+'Inputs'!$B$21+'Inputs'!$B$7+'Inputs'!$B$10))/SQRT((((80-43)*MAX('Inputs'!$B$33,'Inputs'!$B$29+'Inputs'!$B$31+'Inputs'!$B$32,'Inputs'!$B$30+'Inputs'!$B$31+'Inputs'!$B$32)/1000+'Inputs'!$B$21+'Inputs'!$B$7+'Inputs'!$B$10))^2+('Inputs'!$B$8/2)^2))))*'Results'!$B$8)+'Inputs'!$B$28*ABS((('Results'!B7*(1+'Inputs'!$B$24)*(0.5*((((80-43)*MAX('Inputs'!$B$33,'Inputs'!$B$29+'Inputs'!$B$31+'Inputs'!$B$32,'Inputs'!$B$30+'Inputs'!$B$31+'Inputs'!$B$32)/1000+'Inputs'!$B$21)+'Inputs'!$B$7)/SQRT((((80-43)*MAX('Inputs'!$B$33,'Inputs'!$B$29+'Inputs'!$B$31+'Inputs'!$B$32,'Inputs'!$B$30+'Inputs'!$B$31+'Inputs'!$B$32)/1000+'Inputs'!$B$21)+'Inputs'!$B$7)^2+('Inputs'!$B$6/2)^2)-(((80-43)*MAX('Inputs'!$B$33,'Inputs'!$B$29+'Inputs'!$B$31+'Inputs'!$B$32,'Inputs'!$B$30+'Inputs'!$B$31+'Inputs'!$B$32)/1000+'Inputs'!$B$21))/SQRT((((80-43)*MAX('Inputs'!$B$33,'Inputs'!$B$29+'Inputs'!$B$31+'Inputs'!$B$32,'Inputs'!$B$30+'Inputs'!$B$31+'Inputs'!$B$32)/1000+'Inputs'!$B$21))^2+('Inputs'!$B$6/2)^2)))-'Results'!C7*(1-'Inputs'!$B$24)*(0.5*((((80-43)*MAX('Inputs'!$B$33,'Inputs'!$B$29+'Inputs'!$B$31+'Inputs'!$B$32,'Inputs'!$B$30+'Inputs'!$B$31+'Inputs'!$B$32)/1000+'Inputs'!$B$21+'Inputs'!$B$7+'Inputs'!$B$10)+'Inputs'!$B$9)/SQRT((((80-43)*MAX('Inputs'!$B$33,'Inputs'!$B$29+'Inputs'!$B$31+'Inputs'!$B$32,'Inputs'!$B$30+'Inputs'!$B$31+'Inputs'!$B$32)/1000+'Inputs'!$B$21+'Inputs'!$B$7+'Inputs'!$B$10)+'Inputs'!$B$9)^2+('Inputs'!$B$8/2)^2)-(((80-43)*MAX('Inputs'!$B$33,'Inputs'!$B$29+'Inputs'!$B$31+'Inputs'!$B$32,'Inputs'!$B$30+'Inputs'!$B$31+'Inputs'!$B$32)/1000+'Inputs'!$B$21+'Inputs'!$B$7+'Inputs'!$B$10))/SQRT((((80-43)*MAX('Inputs'!$B$33,'Inputs'!$B$29+'Inputs'!$B$31+'Inputs'!$B$32,'Inputs'!$B$30+'Inputs'!$B$31+'Inputs'!$B$32)/1000+'Inputs'!$B$21+'Inputs'!$B$7+'Inputs'!$B$10))^2+('Inputs'!$B$8/2)^2))))*'Results'!$B$8))),"")</x:f>
        <x:v>1350.0153845515717</x:v>
      </x:c>
      <x:c r="M80" t="n">
        <x:f>IF(AND(ISNUMBER('Results'!C7),ISNUMBER('Results'!B7),ISNUMBER('Results'!$B$8),ISNUMBER('Inputs'!$B$6),ISNUMBER('Inputs'!$B$7),ISNUMBER('Inputs'!$B$8),ISNUMBER('Inputs'!$B$9),ISNUMBER('Inputs'!$B$10),ISNUMBER('Inputs'!$B$21),ISNUMBER('Inputs'!$B$24),ISNUMBER('Inputs'!$B$28)),(('Results'!C7*(0.5*((((80-43)*MAX('Inputs'!$B$33,'Inputs'!$B$29+'Inputs'!$B$31+'Inputs'!$B$32,'Inputs'!$B$30+'Inputs'!$B$31+'Inputs'!$B$32)/1000+'Inputs'!$B$21)+'Inputs'!$B$9)/SQRT((((80-43)*MAX('Inputs'!$B$33,'Inputs'!$B$29+'Inputs'!$B$31+'Inputs'!$B$32,'Inputs'!$B$30+'Inputs'!$B$31+'Inputs'!$B$32)/1000+'Inputs'!$B$21)+'Inputs'!$B$9)^2+('Inputs'!$B$8/2)^2)-(((80-43)*MAX('Inputs'!$B$33,'Inputs'!$B$29+'Inputs'!$B$31+'Inputs'!$B$32,'Inputs'!$B$30+'Inputs'!$B$31+'Inputs'!$B$32)/1000+'Inputs'!$B$21))/SQRT((((80-43)*MAX('Inputs'!$B$33,'Inputs'!$B$29+'Inputs'!$B$31+'Inputs'!$B$32,'Inputs'!$B$30+'Inputs'!$B$31+'Inputs'!$B$32)/1000+'Inputs'!$B$21))^2+('Inputs'!$B$8/2)^2)))-'Results'!B7*(0.5*((((80-43)*MAX('Inputs'!$B$33,'Inputs'!$B$29+'Inputs'!$B$31+'Inputs'!$B$32,'Inputs'!$B$30+'Inputs'!$B$31+'Inputs'!$B$32)/1000+'Inputs'!$B$21+'Inputs'!$B$9+'Inputs'!$B$10)+'Inputs'!$B$7)/SQRT((((80-43)*MAX('Inputs'!$B$33,'Inputs'!$B$29+'Inputs'!$B$31+'Inputs'!$B$32,'Inputs'!$B$30+'Inputs'!$B$31+'Inputs'!$B$32)/1000+'Inputs'!$B$21+'Inputs'!$B$9+'Inputs'!$B$10)+'Inputs'!$B$7)^2+('Inputs'!$B$6/2)^2)-(((80-43)*MAX('Inputs'!$B$33,'Inputs'!$B$29+'Inputs'!$B$31+'Inputs'!$B$32,'Inputs'!$B$30+'Inputs'!$B$31+'Inputs'!$B$32)/1000+'Inputs'!$B$21+'Inputs'!$B$9+'Inputs'!$B$10))/SQRT((((80-43)*MAX('Inputs'!$B$33,'Inputs'!$B$29+'Inputs'!$B$31+'Inputs'!$B$32,'Inputs'!$B$30+'Inputs'!$B$31+'Inputs'!$B$32)/1000+'Inputs'!$B$21+'Inputs'!$B$9+'Inputs'!$B$10))^2+('Inputs'!$B$6/2)^2))))*'Results'!$B$8),"")</x:f>
        <x:v>1219.8165446838905</x:v>
      </x:c>
      <x:c r="N80" t="n">
        <x:f>IF(AND(ISNUMBER('Results'!C7),ISNUMBER('Results'!B7),ISNUMBER('Results'!$B$8),ISNUMBER('Inputs'!$B$6),ISNUMBER('Inputs'!$B$7),ISNUMBER('Inputs'!$B$8),ISNUMBER('Inputs'!$B$9),ISNUMBER('Inputs'!$B$10),ISNUMBER('Inputs'!$B$21),ISNUMBER('Inputs'!$B$24),ISNUMBER('Inputs'!$B$28)),((('Results'!C7*(1-'Inputs'!$B$24)*(0.5*((((80-43)*MAX('Inputs'!$B$33,'Inputs'!$B$29+'Inputs'!$B$31+'Inputs'!$B$32,'Inputs'!$B$30+'Inputs'!$B$31+'Inputs'!$B$32)/1000+'Inputs'!$B$21)+'Inputs'!$B$9)/SQRT((((80-43)*MAX('Inputs'!$B$33,'Inputs'!$B$29+'Inputs'!$B$31+'Inputs'!$B$32,'Inputs'!$B$30+'Inputs'!$B$31+'Inputs'!$B$32)/1000+'Inputs'!$B$21)+'Inputs'!$B$9)^2+('Inputs'!$B$8/2)^2)-(((80-43)*MAX('Inputs'!$B$33,'Inputs'!$B$29+'Inputs'!$B$31+'Inputs'!$B$32,'Inputs'!$B$30+'Inputs'!$B$31+'Inputs'!$B$32)/1000+'Inputs'!$B$21))/SQRT((((80-43)*MAX('Inputs'!$B$33,'Inputs'!$B$29+'Inputs'!$B$31+'Inputs'!$B$32,'Inputs'!$B$30+'Inputs'!$B$31+'Inputs'!$B$32)/1000+'Inputs'!$B$21))^2+('Inputs'!$B$8/2)^2)))-'Results'!B7*(1+'Inputs'!$B$24)*(0.5*((((80-43)*MAX('Inputs'!$B$33,'Inputs'!$B$29+'Inputs'!$B$31+'Inputs'!$B$32,'Inputs'!$B$30+'Inputs'!$B$31+'Inputs'!$B$32)/1000+'Inputs'!$B$21+'Inputs'!$B$9+'Inputs'!$B$10)+'Inputs'!$B$7)/SQRT((((80-43)*MAX('Inputs'!$B$33,'Inputs'!$B$29+'Inputs'!$B$31+'Inputs'!$B$32,'Inputs'!$B$30+'Inputs'!$B$31+'Inputs'!$B$32)/1000+'Inputs'!$B$21+'Inputs'!$B$9+'Inputs'!$B$10)+'Inputs'!$B$7)^2+('Inputs'!$B$6/2)^2)-(((80-43)*MAX('Inputs'!$B$33,'Inputs'!$B$29+'Inputs'!$B$31+'Inputs'!$B$32,'Inputs'!$B$30+'Inputs'!$B$31+'Inputs'!$B$32)/1000+'Inputs'!$B$21+'Inputs'!$B$9+'Inputs'!$B$10))/SQRT((((80-43)*MAX('Inputs'!$B$33,'Inputs'!$B$29+'Inputs'!$B$31+'Inputs'!$B$32,'Inputs'!$B$30+'Inputs'!$B$31+'Inputs'!$B$32)/1000+'Inputs'!$B$21+'Inputs'!$B$9+'Inputs'!$B$10))^2+('Inputs'!$B$6/2)^2))))*'Results'!$B$8)-'Inputs'!$B$28*ABS((('Results'!C7*(1-'Inputs'!$B$24)*(0.5*((((80-43)*MAX('Inputs'!$B$33,'Inputs'!$B$29+'Inputs'!$B$31+'Inputs'!$B$32,'Inputs'!$B$30+'Inputs'!$B$31+'Inputs'!$B$32)/1000+'Inputs'!$B$21)+'Inputs'!$B$9)/SQRT((((80-43)*MAX('Inputs'!$B$33,'Inputs'!$B$29+'Inputs'!$B$31+'Inputs'!$B$32,'Inputs'!$B$30+'Inputs'!$B$31+'Inputs'!$B$32)/1000+'Inputs'!$B$21)+'Inputs'!$B$9)^2+('Inputs'!$B$8/2)^2)-(((80-43)*MAX('Inputs'!$B$33,'Inputs'!$B$29+'Inputs'!$B$31+'Inputs'!$B$32,'Inputs'!$B$30+'Inputs'!$B$31+'Inputs'!$B$32)/1000+'Inputs'!$B$21))/SQRT((((80-43)*MAX('Inputs'!$B$33,'Inputs'!$B$29+'Inputs'!$B$31+'Inputs'!$B$32,'Inputs'!$B$30+'Inputs'!$B$31+'Inputs'!$B$32)/1000+'Inputs'!$B$21))^2+('Inputs'!$B$8/2)^2)))-'Results'!B7*(1+'Inputs'!$B$24)*(0.5*((((80-43)*MAX('Inputs'!$B$33,'Inputs'!$B$29+'Inputs'!$B$31+'Inputs'!$B$32,'Inputs'!$B$30+'Inputs'!$B$31+'Inputs'!$B$32)/1000+'Inputs'!$B$21+'Inputs'!$B$9+'Inputs'!$B$10)+'Inputs'!$B$7)/SQRT((((80-43)*MAX('Inputs'!$B$33,'Inputs'!$B$29+'Inputs'!$B$31+'Inputs'!$B$32,'Inputs'!$B$30+'Inputs'!$B$31+'Inputs'!$B$32)/1000+'Inputs'!$B$21+'Inputs'!$B$9+'Inputs'!$B$10)+'Inputs'!$B$7)^2+('Inputs'!$B$6/2)^2)-(((80-43)*MAX('Inputs'!$B$33,'Inputs'!$B$29+'Inputs'!$B$31+'Inputs'!$B$32,'Inputs'!$B$30+'Inputs'!$B$31+'Inputs'!$B$32)/1000+'Inputs'!$B$21+'Inputs'!$B$9+'Inputs'!$B$10))/SQRT((((80-43)*MAX('Inputs'!$B$33,'Inputs'!$B$29+'Inputs'!$B$31+'Inputs'!$B$32,'Inputs'!$B$30+'Inputs'!$B$31+'Inputs'!$B$32)/1000+'Inputs'!$B$21+'Inputs'!$B$9+'Inputs'!$B$10))^2+('Inputs'!$B$6/2)^2))))*'Results'!$B$8))),"")</x:f>
        <x:v>1128.0299719716945</x:v>
      </x:c>
      <x:c r="O80" t="n">
        <x:f>IF(AND(ISNUMBER('Results'!C7),ISNUMBER('Results'!B7),ISNUMBER('Results'!$B$8),ISNUMBER('Inputs'!$B$6),ISNUMBER('Inputs'!$B$7),ISNUMBER('Inputs'!$B$8),ISNUMBER('Inputs'!$B$9),ISNUMBER('Inputs'!$B$10),ISNUMBER('Inputs'!$B$21),ISNUMBER('Inputs'!$B$24),ISNUMBER('Inputs'!$B$28)),((('Results'!C7*(1+'Inputs'!$B$24)*(0.5*((((80-43)*MAX('Inputs'!$B$33,'Inputs'!$B$29+'Inputs'!$B$31+'Inputs'!$B$32,'Inputs'!$B$30+'Inputs'!$B$31+'Inputs'!$B$32)/1000+'Inputs'!$B$21)+'Inputs'!$B$9)/SQRT((((80-43)*MAX('Inputs'!$B$33,'Inputs'!$B$29+'Inputs'!$B$31+'Inputs'!$B$32,'Inputs'!$B$30+'Inputs'!$B$31+'Inputs'!$B$32)/1000+'Inputs'!$B$21)+'Inputs'!$B$9)^2+('Inputs'!$B$8/2)^2)-(((80-43)*MAX('Inputs'!$B$33,'Inputs'!$B$29+'Inputs'!$B$31+'Inputs'!$B$32,'Inputs'!$B$30+'Inputs'!$B$31+'Inputs'!$B$32)/1000+'Inputs'!$B$21))/SQRT((((80-43)*MAX('Inputs'!$B$33,'Inputs'!$B$29+'Inputs'!$B$31+'Inputs'!$B$32,'Inputs'!$B$30+'Inputs'!$B$31+'Inputs'!$B$32)/1000+'Inputs'!$B$21))^2+('Inputs'!$B$8/2)^2)))-'Results'!B7*(1-'Inputs'!$B$24)*(0.5*((((80-43)*MAX('Inputs'!$B$33,'Inputs'!$B$29+'Inputs'!$B$31+'Inputs'!$B$32,'Inputs'!$B$30+'Inputs'!$B$31+'Inputs'!$B$32)/1000+'Inputs'!$B$21+'Inputs'!$B$9+'Inputs'!$B$10)+'Inputs'!$B$7)/SQRT((((80-43)*MAX('Inputs'!$B$33,'Inputs'!$B$29+'Inputs'!$B$31+'Inputs'!$B$32,'Inputs'!$B$30+'Inputs'!$B$31+'Inputs'!$B$32)/1000+'Inputs'!$B$21+'Inputs'!$B$9+'Inputs'!$B$10)+'Inputs'!$B$7)^2+('Inputs'!$B$6/2)^2)-(((80-43)*MAX('Inputs'!$B$33,'Inputs'!$B$29+'Inputs'!$B$31+'Inputs'!$B$32,'Inputs'!$B$30+'Inputs'!$B$31+'Inputs'!$B$32)/1000+'Inputs'!$B$21+'Inputs'!$B$9+'Inputs'!$B$10))/SQRT((((80-43)*MAX('Inputs'!$B$33,'Inputs'!$B$29+'Inputs'!$B$31+'Inputs'!$B$32,'Inputs'!$B$30+'Inputs'!$B$31+'Inputs'!$B$32)/1000+'Inputs'!$B$21+'Inputs'!$B$9+'Inputs'!$B$10))^2+('Inputs'!$B$6/2)^2))))*'Results'!$B$8)+'Inputs'!$B$28*ABS((('Results'!C7*(1+'Inputs'!$B$24)*(0.5*((((80-43)*MAX('Inputs'!$B$33,'Inputs'!$B$29+'Inputs'!$B$31+'Inputs'!$B$32,'Inputs'!$B$30+'Inputs'!$B$31+'Inputs'!$B$32)/1000+'Inputs'!$B$21)+'Inputs'!$B$9)/SQRT((((80-43)*MAX('Inputs'!$B$33,'Inputs'!$B$29+'Inputs'!$B$31+'Inputs'!$B$32,'Inputs'!$B$30+'Inputs'!$B$31+'Inputs'!$B$32)/1000+'Inputs'!$B$21)+'Inputs'!$B$9)^2+('Inputs'!$B$8/2)^2)-(((80-43)*MAX('Inputs'!$B$33,'Inputs'!$B$29+'Inputs'!$B$31+'Inputs'!$B$32,'Inputs'!$B$30+'Inputs'!$B$31+'Inputs'!$B$32)/1000+'Inputs'!$B$21))/SQRT((((80-43)*MAX('Inputs'!$B$33,'Inputs'!$B$29+'Inputs'!$B$31+'Inputs'!$B$32,'Inputs'!$B$30+'Inputs'!$B$31+'Inputs'!$B$32)/1000+'Inputs'!$B$21))^2+('Inputs'!$B$8/2)^2)))-'Results'!B7*(1-'Inputs'!$B$24)*(0.5*((((80-43)*MAX('Inputs'!$B$33,'Inputs'!$B$29+'Inputs'!$B$31+'Inputs'!$B$32,'Inputs'!$B$30+'Inputs'!$B$31+'Inputs'!$B$32)/1000+'Inputs'!$B$21+'Inputs'!$B$9+'Inputs'!$B$10)+'Inputs'!$B$7)/SQRT((((80-43)*MAX('Inputs'!$B$33,'Inputs'!$B$29+'Inputs'!$B$31+'Inputs'!$B$32,'Inputs'!$B$30+'Inputs'!$B$31+'Inputs'!$B$32)/1000+'Inputs'!$B$21+'Inputs'!$B$9+'Inputs'!$B$10)+'Inputs'!$B$7)^2+('Inputs'!$B$6/2)^2)-(((80-43)*MAX('Inputs'!$B$33,'Inputs'!$B$29+'Inputs'!$B$31+'Inputs'!$B$32,'Inputs'!$B$30+'Inputs'!$B$31+'Inputs'!$B$32)/1000+'Inputs'!$B$21+'Inputs'!$B$9+'Inputs'!$B$10))/SQRT((((80-43)*MAX('Inputs'!$B$33,'Inputs'!$B$29+'Inputs'!$B$31+'Inputs'!$B$32,'Inputs'!$B$30+'Inputs'!$B$31+'Inputs'!$B$32)/1000+'Inputs'!$B$21+'Inputs'!$B$9+'Inputs'!$B$10))^2+('Inputs'!$B$6/2)^2))))*'Results'!$B$8))),"")</x:f>
        <x:v>1314.8447748148235</x:v>
      </x:c>
      <x:c r="P80" t="n">
        <x:f>IF(AND(MAX(J80,J79)&gt;0,J80&gt;J79+0.00000001),1,0)</x:f>
        <x:v>0</x:v>
      </x:c>
      <x:c r="Q80" t="n">
        <x:f>IF(AND(MAX(K80,K79)&gt;0,K80&gt;K79+0.00000001),1,0)</x:f>
        <x:v>0</x:v>
      </x:c>
      <x:c r="R80" t="n">
        <x:f>IF(AND(MAX(L80,L79)&gt;0,L80&gt;L79+0.00000001),1,0)</x:f>
        <x:v>0</x:v>
      </x:c>
      <x:c r="S80" t="n">
        <x:f>IF(AND(MAX(M80,M79)&gt;0,M80&gt;M79+0.00000001),1,0)</x:f>
        <x:v>0</x:v>
      </x:c>
      <x:c r="T80" t="n">
        <x:f>IF(AND(MAX(N80,N79)&gt;0,N80&gt;N79+0.00000001),1,0)</x:f>
        <x:v>0</x:v>
      </x:c>
      <x:c r="U80" t="n">
        <x:f>IF(AND(MAX(O80,O79)&gt;0,O80&gt;O79+0.00000001),1,0)</x:f>
        <x:v>0</x:v>
      </x:c>
    </x:row>
    <x:row r="81">
      <x:c r="J81" t="n">
        <x:f>IF(AND(ISNUMBER('Results'!B7),ISNUMBER('Results'!C7),ISNUMBER('Results'!$B$8),ISNUMBER('Inputs'!$B$6),ISNUMBER('Inputs'!$B$7),ISNUMBER('Inputs'!$B$8),ISNUMBER('Inputs'!$B$9),ISNUMBER('Inputs'!$B$10),ISNUMBER('Inputs'!$B$21),ISNUMBER('Inputs'!$B$24),ISNUMBER('Inputs'!$B$28)),(('Results'!B7*(0.5*((((81-43)*MAX('Inputs'!$B$33,'Inputs'!$B$29+'Inputs'!$B$31+'Inputs'!$B$32,'Inputs'!$B$30+'Inputs'!$B$31+'Inputs'!$B$32)/1000+'Inputs'!$B$21)+'Inputs'!$B$7)/SQRT((((81-43)*MAX('Inputs'!$B$33,'Inputs'!$B$29+'Inputs'!$B$31+'Inputs'!$B$32,'Inputs'!$B$30+'Inputs'!$B$31+'Inputs'!$B$32)/1000+'Inputs'!$B$21)+'Inputs'!$B$7)^2+('Inputs'!$B$6/2)^2)-(((81-43)*MAX('Inputs'!$B$33,'Inputs'!$B$29+'Inputs'!$B$31+'Inputs'!$B$32,'Inputs'!$B$30+'Inputs'!$B$31+'Inputs'!$B$32)/1000+'Inputs'!$B$21))/SQRT((((81-43)*MAX('Inputs'!$B$33,'Inputs'!$B$29+'Inputs'!$B$31+'Inputs'!$B$32,'Inputs'!$B$30+'Inputs'!$B$31+'Inputs'!$B$32)/1000+'Inputs'!$B$21))^2+('Inputs'!$B$6/2)^2)))-'Results'!C7*(0.5*((((81-43)*MAX('Inputs'!$B$33,'Inputs'!$B$29+'Inputs'!$B$31+'Inputs'!$B$32,'Inputs'!$B$30+'Inputs'!$B$31+'Inputs'!$B$32)/1000+'Inputs'!$B$21+'Inputs'!$B$7+'Inputs'!$B$10)+'Inputs'!$B$9)/SQRT((((81-43)*MAX('Inputs'!$B$33,'Inputs'!$B$29+'Inputs'!$B$31+'Inputs'!$B$32,'Inputs'!$B$30+'Inputs'!$B$31+'Inputs'!$B$32)/1000+'Inputs'!$B$21+'Inputs'!$B$7+'Inputs'!$B$10)+'Inputs'!$B$9)^2+('Inputs'!$B$8/2)^2)-(((81-43)*MAX('Inputs'!$B$33,'Inputs'!$B$29+'Inputs'!$B$31+'Inputs'!$B$32,'Inputs'!$B$30+'Inputs'!$B$31+'Inputs'!$B$32)/1000+'Inputs'!$B$21+'Inputs'!$B$7+'Inputs'!$B$10))/SQRT((((81-43)*MAX('Inputs'!$B$33,'Inputs'!$B$29+'Inputs'!$B$31+'Inputs'!$B$32,'Inputs'!$B$30+'Inputs'!$B$31+'Inputs'!$B$32)/1000+'Inputs'!$B$21+'Inputs'!$B$7+'Inputs'!$B$10))^2+('Inputs'!$B$8/2)^2))))*'Results'!$B$8),"")</x:f>
        <x:v>1230.7859285507784</x:v>
      </x:c>
      <x:c r="K81" t="n">
        <x:f>IF(AND(ISNUMBER('Results'!B7),ISNUMBER('Results'!C7),ISNUMBER('Results'!$B$8),ISNUMBER('Inputs'!$B$6),ISNUMBER('Inputs'!$B$7),ISNUMBER('Inputs'!$B$8),ISNUMBER('Inputs'!$B$9),ISNUMBER('Inputs'!$B$10),ISNUMBER('Inputs'!$B$21),ISNUMBER('Inputs'!$B$24),ISNUMBER('Inputs'!$B$28)),((('Results'!B7*(1-'Inputs'!$B$24)*(0.5*((((81-43)*MAX('Inputs'!$B$33,'Inputs'!$B$29+'Inputs'!$B$31+'Inputs'!$B$32,'Inputs'!$B$30+'Inputs'!$B$31+'Inputs'!$B$32)/1000+'Inputs'!$B$21)+'Inputs'!$B$7)/SQRT((((81-43)*MAX('Inputs'!$B$33,'Inputs'!$B$29+'Inputs'!$B$31+'Inputs'!$B$32,'Inputs'!$B$30+'Inputs'!$B$31+'Inputs'!$B$32)/1000+'Inputs'!$B$21)+'Inputs'!$B$7)^2+('Inputs'!$B$6/2)^2)-(((81-43)*MAX('Inputs'!$B$33,'Inputs'!$B$29+'Inputs'!$B$31+'Inputs'!$B$32,'Inputs'!$B$30+'Inputs'!$B$31+'Inputs'!$B$32)/1000+'Inputs'!$B$21))/SQRT((((81-43)*MAX('Inputs'!$B$33,'Inputs'!$B$29+'Inputs'!$B$31+'Inputs'!$B$32,'Inputs'!$B$30+'Inputs'!$B$31+'Inputs'!$B$32)/1000+'Inputs'!$B$21))^2+('Inputs'!$B$6/2)^2)))-'Results'!C7*(1+'Inputs'!$B$24)*(0.5*((((81-43)*MAX('Inputs'!$B$33,'Inputs'!$B$29+'Inputs'!$B$31+'Inputs'!$B$32,'Inputs'!$B$30+'Inputs'!$B$31+'Inputs'!$B$32)/1000+'Inputs'!$B$21+'Inputs'!$B$7+'Inputs'!$B$10)+'Inputs'!$B$9)/SQRT((((81-43)*MAX('Inputs'!$B$33,'Inputs'!$B$29+'Inputs'!$B$31+'Inputs'!$B$32,'Inputs'!$B$30+'Inputs'!$B$31+'Inputs'!$B$32)/1000+'Inputs'!$B$21+'Inputs'!$B$7+'Inputs'!$B$10)+'Inputs'!$B$9)^2+('Inputs'!$B$8/2)^2)-(((81-43)*MAX('Inputs'!$B$33,'Inputs'!$B$29+'Inputs'!$B$31+'Inputs'!$B$32,'Inputs'!$B$30+'Inputs'!$B$31+'Inputs'!$B$32)/1000+'Inputs'!$B$21+'Inputs'!$B$7+'Inputs'!$B$10))/SQRT((((81-43)*MAX('Inputs'!$B$33,'Inputs'!$B$29+'Inputs'!$B$31+'Inputs'!$B$32,'Inputs'!$B$30+'Inputs'!$B$31+'Inputs'!$B$32)/1000+'Inputs'!$B$21+'Inputs'!$B$7+'Inputs'!$B$10))^2+('Inputs'!$B$8/2)^2))))*'Results'!$B$8)-'Inputs'!$B$28*ABS((('Results'!B7*(1-'Inputs'!$B$24)*(0.5*((((81-43)*MAX('Inputs'!$B$33,'Inputs'!$B$29+'Inputs'!$B$31+'Inputs'!$B$32,'Inputs'!$B$30+'Inputs'!$B$31+'Inputs'!$B$32)/1000+'Inputs'!$B$21)+'Inputs'!$B$7)/SQRT((((81-43)*MAX('Inputs'!$B$33,'Inputs'!$B$29+'Inputs'!$B$31+'Inputs'!$B$32,'Inputs'!$B$30+'Inputs'!$B$31+'Inputs'!$B$32)/1000+'Inputs'!$B$21)+'Inputs'!$B$7)^2+('Inputs'!$B$6/2)^2)-(((81-43)*MAX('Inputs'!$B$33,'Inputs'!$B$29+'Inputs'!$B$31+'Inputs'!$B$32,'Inputs'!$B$30+'Inputs'!$B$31+'Inputs'!$B$32)/1000+'Inputs'!$B$21))/SQRT((((81-43)*MAX('Inputs'!$B$33,'Inputs'!$B$29+'Inputs'!$B$31+'Inputs'!$B$32,'Inputs'!$B$30+'Inputs'!$B$31+'Inputs'!$B$32)/1000+'Inputs'!$B$21))^2+('Inputs'!$B$6/2)^2)))-'Results'!C7*(1+'Inputs'!$B$24)*(0.5*((((81-43)*MAX('Inputs'!$B$33,'Inputs'!$B$29+'Inputs'!$B$31+'Inputs'!$B$32,'Inputs'!$B$30+'Inputs'!$B$31+'Inputs'!$B$32)/1000+'Inputs'!$B$21+'Inputs'!$B$7+'Inputs'!$B$10)+'Inputs'!$B$9)/SQRT((((81-43)*MAX('Inputs'!$B$33,'Inputs'!$B$29+'Inputs'!$B$31+'Inputs'!$B$32,'Inputs'!$B$30+'Inputs'!$B$31+'Inputs'!$B$32)/1000+'Inputs'!$B$21+'Inputs'!$B$7+'Inputs'!$B$10)+'Inputs'!$B$9)^2+('Inputs'!$B$8/2)^2)-(((81-43)*MAX('Inputs'!$B$33,'Inputs'!$B$29+'Inputs'!$B$31+'Inputs'!$B$32,'Inputs'!$B$30+'Inputs'!$B$31+'Inputs'!$B$32)/1000+'Inputs'!$B$21+'Inputs'!$B$7+'Inputs'!$B$10))/SQRT((((81-43)*MAX('Inputs'!$B$33,'Inputs'!$B$29+'Inputs'!$B$31+'Inputs'!$B$32,'Inputs'!$B$30+'Inputs'!$B$31+'Inputs'!$B$32)/1000+'Inputs'!$B$21+'Inputs'!$B$7+'Inputs'!$B$10))^2+('Inputs'!$B$8/2)^2))))*'Results'!$B$8))),"")</x:f>
        <x:v>1138.5023077475144</x:v>
      </x:c>
      <x:c r="L81" t="n">
        <x:f>IF(AND(ISNUMBER('Results'!B7),ISNUMBER('Results'!C7),ISNUMBER('Results'!$B$8),ISNUMBER('Inputs'!$B$6),ISNUMBER('Inputs'!$B$7),ISNUMBER('Inputs'!$B$8),ISNUMBER('Inputs'!$B$9),ISNUMBER('Inputs'!$B$10),ISNUMBER('Inputs'!$B$21),ISNUMBER('Inputs'!$B$24),ISNUMBER('Inputs'!$B$28)),((('Results'!B7*(1+'Inputs'!$B$24)*(0.5*((((81-43)*MAX('Inputs'!$B$33,'Inputs'!$B$29+'Inputs'!$B$31+'Inputs'!$B$32,'Inputs'!$B$30+'Inputs'!$B$31+'Inputs'!$B$32)/1000+'Inputs'!$B$21)+'Inputs'!$B$7)/SQRT((((81-43)*MAX('Inputs'!$B$33,'Inputs'!$B$29+'Inputs'!$B$31+'Inputs'!$B$32,'Inputs'!$B$30+'Inputs'!$B$31+'Inputs'!$B$32)/1000+'Inputs'!$B$21)+'Inputs'!$B$7)^2+('Inputs'!$B$6/2)^2)-(((81-43)*MAX('Inputs'!$B$33,'Inputs'!$B$29+'Inputs'!$B$31+'Inputs'!$B$32,'Inputs'!$B$30+'Inputs'!$B$31+'Inputs'!$B$32)/1000+'Inputs'!$B$21))/SQRT((((81-43)*MAX('Inputs'!$B$33,'Inputs'!$B$29+'Inputs'!$B$31+'Inputs'!$B$32,'Inputs'!$B$30+'Inputs'!$B$31+'Inputs'!$B$32)/1000+'Inputs'!$B$21))^2+('Inputs'!$B$6/2)^2)))-'Results'!C7*(1-'Inputs'!$B$24)*(0.5*((((81-43)*MAX('Inputs'!$B$33,'Inputs'!$B$29+'Inputs'!$B$31+'Inputs'!$B$32,'Inputs'!$B$30+'Inputs'!$B$31+'Inputs'!$B$32)/1000+'Inputs'!$B$21+'Inputs'!$B$7+'Inputs'!$B$10)+'Inputs'!$B$9)/SQRT((((81-43)*MAX('Inputs'!$B$33,'Inputs'!$B$29+'Inputs'!$B$31+'Inputs'!$B$32,'Inputs'!$B$30+'Inputs'!$B$31+'Inputs'!$B$32)/1000+'Inputs'!$B$21+'Inputs'!$B$7+'Inputs'!$B$10)+'Inputs'!$B$9)^2+('Inputs'!$B$8/2)^2)-(((81-43)*MAX('Inputs'!$B$33,'Inputs'!$B$29+'Inputs'!$B$31+'Inputs'!$B$32,'Inputs'!$B$30+'Inputs'!$B$31+'Inputs'!$B$32)/1000+'Inputs'!$B$21+'Inputs'!$B$7+'Inputs'!$B$10))/SQRT((((81-43)*MAX('Inputs'!$B$33,'Inputs'!$B$29+'Inputs'!$B$31+'Inputs'!$B$32,'Inputs'!$B$30+'Inputs'!$B$31+'Inputs'!$B$32)/1000+'Inputs'!$B$21+'Inputs'!$B$7+'Inputs'!$B$10))^2+('Inputs'!$B$8/2)^2))))*'Results'!$B$8)+'Inputs'!$B$28*ABS((('Results'!B7*(1+'Inputs'!$B$24)*(0.5*((((81-43)*MAX('Inputs'!$B$33,'Inputs'!$B$29+'Inputs'!$B$31+'Inputs'!$B$32,'Inputs'!$B$30+'Inputs'!$B$31+'Inputs'!$B$32)/1000+'Inputs'!$B$21)+'Inputs'!$B$7)/SQRT((((81-43)*MAX('Inputs'!$B$33,'Inputs'!$B$29+'Inputs'!$B$31+'Inputs'!$B$32,'Inputs'!$B$30+'Inputs'!$B$31+'Inputs'!$B$32)/1000+'Inputs'!$B$21)+'Inputs'!$B$7)^2+('Inputs'!$B$6/2)^2)-(((81-43)*MAX('Inputs'!$B$33,'Inputs'!$B$29+'Inputs'!$B$31+'Inputs'!$B$32,'Inputs'!$B$30+'Inputs'!$B$31+'Inputs'!$B$32)/1000+'Inputs'!$B$21))/SQRT((((81-43)*MAX('Inputs'!$B$33,'Inputs'!$B$29+'Inputs'!$B$31+'Inputs'!$B$32,'Inputs'!$B$30+'Inputs'!$B$31+'Inputs'!$B$32)/1000+'Inputs'!$B$21))^2+('Inputs'!$B$6/2)^2)))-'Results'!C7*(1-'Inputs'!$B$24)*(0.5*((((81-43)*MAX('Inputs'!$B$33,'Inputs'!$B$29+'Inputs'!$B$31+'Inputs'!$B$32,'Inputs'!$B$30+'Inputs'!$B$31+'Inputs'!$B$32)/1000+'Inputs'!$B$21+'Inputs'!$B$7+'Inputs'!$B$10)+'Inputs'!$B$9)/SQRT((((81-43)*MAX('Inputs'!$B$33,'Inputs'!$B$29+'Inputs'!$B$31+'Inputs'!$B$32,'Inputs'!$B$30+'Inputs'!$B$31+'Inputs'!$B$32)/1000+'Inputs'!$B$21+'Inputs'!$B$7+'Inputs'!$B$10)+'Inputs'!$B$9)^2+('Inputs'!$B$8/2)^2)-(((81-43)*MAX('Inputs'!$B$33,'Inputs'!$B$29+'Inputs'!$B$31+'Inputs'!$B$32,'Inputs'!$B$30+'Inputs'!$B$31+'Inputs'!$B$32)/1000+'Inputs'!$B$21+'Inputs'!$B$7+'Inputs'!$B$10))/SQRT((((81-43)*MAX('Inputs'!$B$33,'Inputs'!$B$29+'Inputs'!$B$31+'Inputs'!$B$32,'Inputs'!$B$30+'Inputs'!$B$31+'Inputs'!$B$32)/1000+'Inputs'!$B$21+'Inputs'!$B$7+'Inputs'!$B$10))^2+('Inputs'!$B$8/2)^2))))*'Results'!$B$8))),"")</x:f>
        <x:v>1326.3057940251713</x:v>
      </x:c>
      <x:c r="M81" t="n">
        <x:f>IF(AND(ISNUMBER('Results'!C7),ISNUMBER('Results'!B7),ISNUMBER('Results'!$B$8),ISNUMBER('Inputs'!$B$6),ISNUMBER('Inputs'!$B$7),ISNUMBER('Inputs'!$B$8),ISNUMBER('Inputs'!$B$9),ISNUMBER('Inputs'!$B$10),ISNUMBER('Inputs'!$B$21),ISNUMBER('Inputs'!$B$24),ISNUMBER('Inputs'!$B$28)),(('Results'!C7*(0.5*((((81-43)*MAX('Inputs'!$B$33,'Inputs'!$B$29+'Inputs'!$B$31+'Inputs'!$B$32,'Inputs'!$B$30+'Inputs'!$B$31+'Inputs'!$B$32)/1000+'Inputs'!$B$21)+'Inputs'!$B$9)/SQRT((((81-43)*MAX('Inputs'!$B$33,'Inputs'!$B$29+'Inputs'!$B$31+'Inputs'!$B$32,'Inputs'!$B$30+'Inputs'!$B$31+'Inputs'!$B$32)/1000+'Inputs'!$B$21)+'Inputs'!$B$9)^2+('Inputs'!$B$8/2)^2)-(((81-43)*MAX('Inputs'!$B$33,'Inputs'!$B$29+'Inputs'!$B$31+'Inputs'!$B$32,'Inputs'!$B$30+'Inputs'!$B$31+'Inputs'!$B$32)/1000+'Inputs'!$B$21))/SQRT((((81-43)*MAX('Inputs'!$B$33,'Inputs'!$B$29+'Inputs'!$B$31+'Inputs'!$B$32,'Inputs'!$B$30+'Inputs'!$B$31+'Inputs'!$B$32)/1000+'Inputs'!$B$21))^2+('Inputs'!$B$8/2)^2)))-'Results'!B7*(0.5*((((81-43)*MAX('Inputs'!$B$33,'Inputs'!$B$29+'Inputs'!$B$31+'Inputs'!$B$32,'Inputs'!$B$30+'Inputs'!$B$31+'Inputs'!$B$32)/1000+'Inputs'!$B$21+'Inputs'!$B$9+'Inputs'!$B$10)+'Inputs'!$B$7)/SQRT((((81-43)*MAX('Inputs'!$B$33,'Inputs'!$B$29+'Inputs'!$B$31+'Inputs'!$B$32,'Inputs'!$B$30+'Inputs'!$B$31+'Inputs'!$B$32)/1000+'Inputs'!$B$21+'Inputs'!$B$9+'Inputs'!$B$10)+'Inputs'!$B$7)^2+('Inputs'!$B$6/2)^2)-(((81-43)*MAX('Inputs'!$B$33,'Inputs'!$B$29+'Inputs'!$B$31+'Inputs'!$B$32,'Inputs'!$B$30+'Inputs'!$B$31+'Inputs'!$B$32)/1000+'Inputs'!$B$21+'Inputs'!$B$9+'Inputs'!$B$10))/SQRT((((81-43)*MAX('Inputs'!$B$33,'Inputs'!$B$29+'Inputs'!$B$31+'Inputs'!$B$32,'Inputs'!$B$30+'Inputs'!$B$31+'Inputs'!$B$32)/1000+'Inputs'!$B$21+'Inputs'!$B$9+'Inputs'!$B$10))^2+('Inputs'!$B$6/2)^2))))*'Results'!$B$8),"")</x:f>
        <x:v>1198.3444335931595</x:v>
      </x:c>
      <x:c r="N81" t="n">
        <x:f>IF(AND(ISNUMBER('Results'!C7),ISNUMBER('Results'!B7),ISNUMBER('Results'!$B$8),ISNUMBER('Inputs'!$B$6),ISNUMBER('Inputs'!$B$7),ISNUMBER('Inputs'!$B$8),ISNUMBER('Inputs'!$B$9),ISNUMBER('Inputs'!$B$10),ISNUMBER('Inputs'!$B$21),ISNUMBER('Inputs'!$B$24),ISNUMBER('Inputs'!$B$28)),((('Results'!C7*(1-'Inputs'!$B$24)*(0.5*((((81-43)*MAX('Inputs'!$B$33,'Inputs'!$B$29+'Inputs'!$B$31+'Inputs'!$B$32,'Inputs'!$B$30+'Inputs'!$B$31+'Inputs'!$B$32)/1000+'Inputs'!$B$21)+'Inputs'!$B$9)/SQRT((((81-43)*MAX('Inputs'!$B$33,'Inputs'!$B$29+'Inputs'!$B$31+'Inputs'!$B$32,'Inputs'!$B$30+'Inputs'!$B$31+'Inputs'!$B$32)/1000+'Inputs'!$B$21)+'Inputs'!$B$9)^2+('Inputs'!$B$8/2)^2)-(((81-43)*MAX('Inputs'!$B$33,'Inputs'!$B$29+'Inputs'!$B$31+'Inputs'!$B$32,'Inputs'!$B$30+'Inputs'!$B$31+'Inputs'!$B$32)/1000+'Inputs'!$B$21))/SQRT((((81-43)*MAX('Inputs'!$B$33,'Inputs'!$B$29+'Inputs'!$B$31+'Inputs'!$B$32,'Inputs'!$B$30+'Inputs'!$B$31+'Inputs'!$B$32)/1000+'Inputs'!$B$21))^2+('Inputs'!$B$8/2)^2)))-'Results'!B7*(1+'Inputs'!$B$24)*(0.5*((((81-43)*MAX('Inputs'!$B$33,'Inputs'!$B$29+'Inputs'!$B$31+'Inputs'!$B$32,'Inputs'!$B$30+'Inputs'!$B$31+'Inputs'!$B$32)/1000+'Inputs'!$B$21+'Inputs'!$B$9+'Inputs'!$B$10)+'Inputs'!$B$7)/SQRT((((81-43)*MAX('Inputs'!$B$33,'Inputs'!$B$29+'Inputs'!$B$31+'Inputs'!$B$32,'Inputs'!$B$30+'Inputs'!$B$31+'Inputs'!$B$32)/1000+'Inputs'!$B$21+'Inputs'!$B$9+'Inputs'!$B$10)+'Inputs'!$B$7)^2+('Inputs'!$B$6/2)^2)-(((81-43)*MAX('Inputs'!$B$33,'Inputs'!$B$29+'Inputs'!$B$31+'Inputs'!$B$32,'Inputs'!$B$30+'Inputs'!$B$31+'Inputs'!$B$32)/1000+'Inputs'!$B$21+'Inputs'!$B$9+'Inputs'!$B$10))/SQRT((((81-43)*MAX('Inputs'!$B$33,'Inputs'!$B$29+'Inputs'!$B$31+'Inputs'!$B$32,'Inputs'!$B$30+'Inputs'!$B$31+'Inputs'!$B$32)/1000+'Inputs'!$B$21+'Inputs'!$B$9+'Inputs'!$B$10))^2+('Inputs'!$B$6/2)^2))))*'Results'!$B$8)-'Inputs'!$B$28*ABS((('Results'!C7*(1-'Inputs'!$B$24)*(0.5*((((81-43)*MAX('Inputs'!$B$33,'Inputs'!$B$29+'Inputs'!$B$31+'Inputs'!$B$32,'Inputs'!$B$30+'Inputs'!$B$31+'Inputs'!$B$32)/1000+'Inputs'!$B$21)+'Inputs'!$B$9)/SQRT((((81-43)*MAX('Inputs'!$B$33,'Inputs'!$B$29+'Inputs'!$B$31+'Inputs'!$B$32,'Inputs'!$B$30+'Inputs'!$B$31+'Inputs'!$B$32)/1000+'Inputs'!$B$21)+'Inputs'!$B$9)^2+('Inputs'!$B$8/2)^2)-(((81-43)*MAX('Inputs'!$B$33,'Inputs'!$B$29+'Inputs'!$B$31+'Inputs'!$B$32,'Inputs'!$B$30+'Inputs'!$B$31+'Inputs'!$B$32)/1000+'Inputs'!$B$21))/SQRT((((81-43)*MAX('Inputs'!$B$33,'Inputs'!$B$29+'Inputs'!$B$31+'Inputs'!$B$32,'Inputs'!$B$30+'Inputs'!$B$31+'Inputs'!$B$32)/1000+'Inputs'!$B$21))^2+('Inputs'!$B$8/2)^2)))-'Results'!B7*(1+'Inputs'!$B$24)*(0.5*((((81-43)*MAX('Inputs'!$B$33,'Inputs'!$B$29+'Inputs'!$B$31+'Inputs'!$B$32,'Inputs'!$B$30+'Inputs'!$B$31+'Inputs'!$B$32)/1000+'Inputs'!$B$21+'Inputs'!$B$9+'Inputs'!$B$10)+'Inputs'!$B$7)/SQRT((((81-43)*MAX('Inputs'!$B$33,'Inputs'!$B$29+'Inputs'!$B$31+'Inputs'!$B$32,'Inputs'!$B$30+'Inputs'!$B$31+'Inputs'!$B$32)/1000+'Inputs'!$B$21+'Inputs'!$B$9+'Inputs'!$B$10)+'Inputs'!$B$7)^2+('Inputs'!$B$6/2)^2)-(((81-43)*MAX('Inputs'!$B$33,'Inputs'!$B$29+'Inputs'!$B$31+'Inputs'!$B$32,'Inputs'!$B$30+'Inputs'!$B$31+'Inputs'!$B$32)/1000+'Inputs'!$B$21+'Inputs'!$B$9+'Inputs'!$B$10))/SQRT((((81-43)*MAX('Inputs'!$B$33,'Inputs'!$B$29+'Inputs'!$B$31+'Inputs'!$B$32,'Inputs'!$B$30+'Inputs'!$B$31+'Inputs'!$B$32)/1000+'Inputs'!$B$21+'Inputs'!$B$9+'Inputs'!$B$10))^2+('Inputs'!$B$6/2)^2))))*'Results'!$B$8))),"")</x:f>
        <x:v>1108.1490842739454</x:v>
      </x:c>
      <x:c r="O81" t="n">
        <x:f>IF(AND(ISNUMBER('Results'!C7),ISNUMBER('Results'!B7),ISNUMBER('Results'!$B$8),ISNUMBER('Inputs'!$B$6),ISNUMBER('Inputs'!$B$7),ISNUMBER('Inputs'!$B$8),ISNUMBER('Inputs'!$B$9),ISNUMBER('Inputs'!$B$10),ISNUMBER('Inputs'!$B$21),ISNUMBER('Inputs'!$B$24),ISNUMBER('Inputs'!$B$28)),((('Results'!C7*(1+'Inputs'!$B$24)*(0.5*((((81-43)*MAX('Inputs'!$B$33,'Inputs'!$B$29+'Inputs'!$B$31+'Inputs'!$B$32,'Inputs'!$B$30+'Inputs'!$B$31+'Inputs'!$B$32)/1000+'Inputs'!$B$21)+'Inputs'!$B$9)/SQRT((((81-43)*MAX('Inputs'!$B$33,'Inputs'!$B$29+'Inputs'!$B$31+'Inputs'!$B$32,'Inputs'!$B$30+'Inputs'!$B$31+'Inputs'!$B$32)/1000+'Inputs'!$B$21)+'Inputs'!$B$9)^2+('Inputs'!$B$8/2)^2)-(((81-43)*MAX('Inputs'!$B$33,'Inputs'!$B$29+'Inputs'!$B$31+'Inputs'!$B$32,'Inputs'!$B$30+'Inputs'!$B$31+'Inputs'!$B$32)/1000+'Inputs'!$B$21))/SQRT((((81-43)*MAX('Inputs'!$B$33,'Inputs'!$B$29+'Inputs'!$B$31+'Inputs'!$B$32,'Inputs'!$B$30+'Inputs'!$B$31+'Inputs'!$B$32)/1000+'Inputs'!$B$21))^2+('Inputs'!$B$8/2)^2)))-'Results'!B7*(1-'Inputs'!$B$24)*(0.5*((((81-43)*MAX('Inputs'!$B$33,'Inputs'!$B$29+'Inputs'!$B$31+'Inputs'!$B$32,'Inputs'!$B$30+'Inputs'!$B$31+'Inputs'!$B$32)/1000+'Inputs'!$B$21+'Inputs'!$B$9+'Inputs'!$B$10)+'Inputs'!$B$7)/SQRT((((81-43)*MAX('Inputs'!$B$33,'Inputs'!$B$29+'Inputs'!$B$31+'Inputs'!$B$32,'Inputs'!$B$30+'Inputs'!$B$31+'Inputs'!$B$32)/1000+'Inputs'!$B$21+'Inputs'!$B$9+'Inputs'!$B$10)+'Inputs'!$B$7)^2+('Inputs'!$B$6/2)^2)-(((81-43)*MAX('Inputs'!$B$33,'Inputs'!$B$29+'Inputs'!$B$31+'Inputs'!$B$32,'Inputs'!$B$30+'Inputs'!$B$31+'Inputs'!$B$32)/1000+'Inputs'!$B$21+'Inputs'!$B$9+'Inputs'!$B$10))/SQRT((((81-43)*MAX('Inputs'!$B$33,'Inputs'!$B$29+'Inputs'!$B$31+'Inputs'!$B$32,'Inputs'!$B$30+'Inputs'!$B$31+'Inputs'!$B$32)/1000+'Inputs'!$B$21+'Inputs'!$B$9+'Inputs'!$B$10))^2+('Inputs'!$B$6/2)^2))))*'Results'!$B$8)+'Inputs'!$B$28*ABS((('Results'!C7*(1+'Inputs'!$B$24)*(0.5*((((81-43)*MAX('Inputs'!$B$33,'Inputs'!$B$29+'Inputs'!$B$31+'Inputs'!$B$32,'Inputs'!$B$30+'Inputs'!$B$31+'Inputs'!$B$32)/1000+'Inputs'!$B$21)+'Inputs'!$B$9)/SQRT((((81-43)*MAX('Inputs'!$B$33,'Inputs'!$B$29+'Inputs'!$B$31+'Inputs'!$B$32,'Inputs'!$B$30+'Inputs'!$B$31+'Inputs'!$B$32)/1000+'Inputs'!$B$21)+'Inputs'!$B$9)^2+('Inputs'!$B$8/2)^2)-(((81-43)*MAX('Inputs'!$B$33,'Inputs'!$B$29+'Inputs'!$B$31+'Inputs'!$B$32,'Inputs'!$B$30+'Inputs'!$B$31+'Inputs'!$B$32)/1000+'Inputs'!$B$21))/SQRT((((81-43)*MAX('Inputs'!$B$33,'Inputs'!$B$29+'Inputs'!$B$31+'Inputs'!$B$32,'Inputs'!$B$30+'Inputs'!$B$31+'Inputs'!$B$32)/1000+'Inputs'!$B$21))^2+('Inputs'!$B$8/2)^2)))-'Results'!B7*(1-'Inputs'!$B$24)*(0.5*((((81-43)*MAX('Inputs'!$B$33,'Inputs'!$B$29+'Inputs'!$B$31+'Inputs'!$B$32,'Inputs'!$B$30+'Inputs'!$B$31+'Inputs'!$B$32)/1000+'Inputs'!$B$21+'Inputs'!$B$9+'Inputs'!$B$10)+'Inputs'!$B$7)/SQRT((((81-43)*MAX('Inputs'!$B$33,'Inputs'!$B$29+'Inputs'!$B$31+'Inputs'!$B$32,'Inputs'!$B$30+'Inputs'!$B$31+'Inputs'!$B$32)/1000+'Inputs'!$B$21+'Inputs'!$B$9+'Inputs'!$B$10)+'Inputs'!$B$7)^2+('Inputs'!$B$6/2)^2)-(((81-43)*MAX('Inputs'!$B$33,'Inputs'!$B$29+'Inputs'!$B$31+'Inputs'!$B$32,'Inputs'!$B$30+'Inputs'!$B$31+'Inputs'!$B$32)/1000+'Inputs'!$B$21+'Inputs'!$B$9+'Inputs'!$B$10))/SQRT((((81-43)*MAX('Inputs'!$B$33,'Inputs'!$B$29+'Inputs'!$B$31+'Inputs'!$B$32,'Inputs'!$B$30+'Inputs'!$B$31+'Inputs'!$B$32)/1000+'Inputs'!$B$21+'Inputs'!$B$9+'Inputs'!$B$10))^2+('Inputs'!$B$6/2)^2))))*'Results'!$B$8))),"")</x:f>
        <x:v>1291.7269542428533</x:v>
      </x:c>
      <x:c r="P81" t="n">
        <x:f>IF(AND(MAX(J81,J80)&gt;0,J81&gt;J80+0.00000001),1,0)</x:f>
        <x:v>0</x:v>
      </x:c>
      <x:c r="Q81" t="n">
        <x:f>IF(AND(MAX(K81,K80)&gt;0,K81&gt;K80+0.00000001),1,0)</x:f>
        <x:v>0</x:v>
      </x:c>
      <x:c r="R81" t="n">
        <x:f>IF(AND(MAX(L81,L80)&gt;0,L81&gt;L80+0.00000001),1,0)</x:f>
        <x:v>0</x:v>
      </x:c>
      <x:c r="S81" t="n">
        <x:f>IF(AND(MAX(M81,M80)&gt;0,M81&gt;M80+0.00000001),1,0)</x:f>
        <x:v>0</x:v>
      </x:c>
      <x:c r="T81" t="n">
        <x:f>IF(AND(MAX(N81,N80)&gt;0,N81&gt;N80+0.00000001),1,0)</x:f>
        <x:v>0</x:v>
      </x:c>
      <x:c r="U81" t="n">
        <x:f>IF(AND(MAX(O81,O80)&gt;0,O81&gt;O80+0.00000001),1,0)</x:f>
        <x:v>0</x:v>
      </x:c>
    </x:row>
    <x:row r="82">
      <x:c r="J82" t="n">
        <x:f>IF(AND(ISNUMBER('Results'!B7),ISNUMBER('Results'!C7),ISNUMBER('Results'!$B$8),ISNUMBER('Inputs'!$B$6),ISNUMBER('Inputs'!$B$7),ISNUMBER('Inputs'!$B$8),ISNUMBER('Inputs'!$B$9),ISNUMBER('Inputs'!$B$10),ISNUMBER('Inputs'!$B$21),ISNUMBER('Inputs'!$B$24),ISNUMBER('Inputs'!$B$28)),(('Results'!B7*(0.5*((((82-43)*MAX('Inputs'!$B$33,'Inputs'!$B$29+'Inputs'!$B$31+'Inputs'!$B$32,'Inputs'!$B$30+'Inputs'!$B$31+'Inputs'!$B$32)/1000+'Inputs'!$B$21)+'Inputs'!$B$7)/SQRT((((82-43)*MAX('Inputs'!$B$33,'Inputs'!$B$29+'Inputs'!$B$31+'Inputs'!$B$32,'Inputs'!$B$30+'Inputs'!$B$31+'Inputs'!$B$32)/1000+'Inputs'!$B$21)+'Inputs'!$B$7)^2+('Inputs'!$B$6/2)^2)-(((82-43)*MAX('Inputs'!$B$33,'Inputs'!$B$29+'Inputs'!$B$31+'Inputs'!$B$32,'Inputs'!$B$30+'Inputs'!$B$31+'Inputs'!$B$32)/1000+'Inputs'!$B$21))/SQRT((((82-43)*MAX('Inputs'!$B$33,'Inputs'!$B$29+'Inputs'!$B$31+'Inputs'!$B$32,'Inputs'!$B$30+'Inputs'!$B$31+'Inputs'!$B$32)/1000+'Inputs'!$B$21))^2+('Inputs'!$B$6/2)^2)))-'Results'!C7*(0.5*((((82-43)*MAX('Inputs'!$B$33,'Inputs'!$B$29+'Inputs'!$B$31+'Inputs'!$B$32,'Inputs'!$B$30+'Inputs'!$B$31+'Inputs'!$B$32)/1000+'Inputs'!$B$21+'Inputs'!$B$7+'Inputs'!$B$10)+'Inputs'!$B$9)/SQRT((((82-43)*MAX('Inputs'!$B$33,'Inputs'!$B$29+'Inputs'!$B$31+'Inputs'!$B$32,'Inputs'!$B$30+'Inputs'!$B$31+'Inputs'!$B$32)/1000+'Inputs'!$B$21+'Inputs'!$B$7+'Inputs'!$B$10)+'Inputs'!$B$9)^2+('Inputs'!$B$8/2)^2)-(((82-43)*MAX('Inputs'!$B$33,'Inputs'!$B$29+'Inputs'!$B$31+'Inputs'!$B$32,'Inputs'!$B$30+'Inputs'!$B$31+'Inputs'!$B$32)/1000+'Inputs'!$B$21+'Inputs'!$B$7+'Inputs'!$B$10))/SQRT((((82-43)*MAX('Inputs'!$B$33,'Inputs'!$B$29+'Inputs'!$B$31+'Inputs'!$B$32,'Inputs'!$B$30+'Inputs'!$B$31+'Inputs'!$B$32)/1000+'Inputs'!$B$21+'Inputs'!$B$7+'Inputs'!$B$10))^2+('Inputs'!$B$8/2)^2))))*'Results'!$B$8),"")</x:f>
        <x:v>1208.9696333561778</x:v>
      </x:c>
      <x:c r="K82" t="n">
        <x:f>IF(AND(ISNUMBER('Results'!B7),ISNUMBER('Results'!C7),ISNUMBER('Results'!$B$8),ISNUMBER('Inputs'!$B$6),ISNUMBER('Inputs'!$B$7),ISNUMBER('Inputs'!$B$8),ISNUMBER('Inputs'!$B$9),ISNUMBER('Inputs'!$B$10),ISNUMBER('Inputs'!$B$21),ISNUMBER('Inputs'!$B$24),ISNUMBER('Inputs'!$B$28)),((('Results'!B7*(1-'Inputs'!$B$24)*(0.5*((((82-43)*MAX('Inputs'!$B$33,'Inputs'!$B$29+'Inputs'!$B$31+'Inputs'!$B$32,'Inputs'!$B$30+'Inputs'!$B$31+'Inputs'!$B$32)/1000+'Inputs'!$B$21)+'Inputs'!$B$7)/SQRT((((82-43)*MAX('Inputs'!$B$33,'Inputs'!$B$29+'Inputs'!$B$31+'Inputs'!$B$32,'Inputs'!$B$30+'Inputs'!$B$31+'Inputs'!$B$32)/1000+'Inputs'!$B$21)+'Inputs'!$B$7)^2+('Inputs'!$B$6/2)^2)-(((82-43)*MAX('Inputs'!$B$33,'Inputs'!$B$29+'Inputs'!$B$31+'Inputs'!$B$32,'Inputs'!$B$30+'Inputs'!$B$31+'Inputs'!$B$32)/1000+'Inputs'!$B$21))/SQRT((((82-43)*MAX('Inputs'!$B$33,'Inputs'!$B$29+'Inputs'!$B$31+'Inputs'!$B$32,'Inputs'!$B$30+'Inputs'!$B$31+'Inputs'!$B$32)/1000+'Inputs'!$B$21))^2+('Inputs'!$B$6/2)^2)))-'Results'!C7*(1+'Inputs'!$B$24)*(0.5*((((82-43)*MAX('Inputs'!$B$33,'Inputs'!$B$29+'Inputs'!$B$31+'Inputs'!$B$32,'Inputs'!$B$30+'Inputs'!$B$31+'Inputs'!$B$32)/1000+'Inputs'!$B$21+'Inputs'!$B$7+'Inputs'!$B$10)+'Inputs'!$B$9)/SQRT((((82-43)*MAX('Inputs'!$B$33,'Inputs'!$B$29+'Inputs'!$B$31+'Inputs'!$B$32,'Inputs'!$B$30+'Inputs'!$B$31+'Inputs'!$B$32)/1000+'Inputs'!$B$21+'Inputs'!$B$7+'Inputs'!$B$10)+'Inputs'!$B$9)^2+('Inputs'!$B$8/2)^2)-(((82-43)*MAX('Inputs'!$B$33,'Inputs'!$B$29+'Inputs'!$B$31+'Inputs'!$B$32,'Inputs'!$B$30+'Inputs'!$B$31+'Inputs'!$B$32)/1000+'Inputs'!$B$21+'Inputs'!$B$7+'Inputs'!$B$10))/SQRT((((82-43)*MAX('Inputs'!$B$33,'Inputs'!$B$29+'Inputs'!$B$31+'Inputs'!$B$32,'Inputs'!$B$30+'Inputs'!$B$31+'Inputs'!$B$32)/1000+'Inputs'!$B$21+'Inputs'!$B$7+'Inputs'!$B$10))^2+('Inputs'!$B$8/2)^2))))*'Results'!$B$8)-'Inputs'!$B$28*ABS((('Results'!B7*(1-'Inputs'!$B$24)*(0.5*((((82-43)*MAX('Inputs'!$B$33,'Inputs'!$B$29+'Inputs'!$B$31+'Inputs'!$B$32,'Inputs'!$B$30+'Inputs'!$B$31+'Inputs'!$B$32)/1000+'Inputs'!$B$21)+'Inputs'!$B$7)/SQRT((((82-43)*MAX('Inputs'!$B$33,'Inputs'!$B$29+'Inputs'!$B$31+'Inputs'!$B$32,'Inputs'!$B$30+'Inputs'!$B$31+'Inputs'!$B$32)/1000+'Inputs'!$B$21)+'Inputs'!$B$7)^2+('Inputs'!$B$6/2)^2)-(((82-43)*MAX('Inputs'!$B$33,'Inputs'!$B$29+'Inputs'!$B$31+'Inputs'!$B$32,'Inputs'!$B$30+'Inputs'!$B$31+'Inputs'!$B$32)/1000+'Inputs'!$B$21))/SQRT((((82-43)*MAX('Inputs'!$B$33,'Inputs'!$B$29+'Inputs'!$B$31+'Inputs'!$B$32,'Inputs'!$B$30+'Inputs'!$B$31+'Inputs'!$B$32)/1000+'Inputs'!$B$21))^2+('Inputs'!$B$6/2)^2)))-'Results'!C7*(1+'Inputs'!$B$24)*(0.5*((((82-43)*MAX('Inputs'!$B$33,'Inputs'!$B$29+'Inputs'!$B$31+'Inputs'!$B$32,'Inputs'!$B$30+'Inputs'!$B$31+'Inputs'!$B$32)/1000+'Inputs'!$B$21+'Inputs'!$B$7+'Inputs'!$B$10)+'Inputs'!$B$9)/SQRT((((82-43)*MAX('Inputs'!$B$33,'Inputs'!$B$29+'Inputs'!$B$31+'Inputs'!$B$32,'Inputs'!$B$30+'Inputs'!$B$31+'Inputs'!$B$32)/1000+'Inputs'!$B$21+'Inputs'!$B$7+'Inputs'!$B$10)+'Inputs'!$B$9)^2+('Inputs'!$B$8/2)^2)-(((82-43)*MAX('Inputs'!$B$33,'Inputs'!$B$29+'Inputs'!$B$31+'Inputs'!$B$32,'Inputs'!$B$30+'Inputs'!$B$31+'Inputs'!$B$32)/1000+'Inputs'!$B$21+'Inputs'!$B$7+'Inputs'!$B$10))/SQRT((((82-43)*MAX('Inputs'!$B$33,'Inputs'!$B$29+'Inputs'!$B$31+'Inputs'!$B$32,'Inputs'!$B$30+'Inputs'!$B$31+'Inputs'!$B$32)/1000+'Inputs'!$B$21+'Inputs'!$B$7+'Inputs'!$B$10))^2+('Inputs'!$B$8/2)^2))))*'Results'!$B$8))),"")</x:f>
        <x:v>1118.296847912888</x:v>
      </x:c>
      <x:c r="L82" t="n">
        <x:f>IF(AND(ISNUMBER('Results'!B7),ISNUMBER('Results'!C7),ISNUMBER('Results'!$B$8),ISNUMBER('Inputs'!$B$6),ISNUMBER('Inputs'!$B$7),ISNUMBER('Inputs'!$B$8),ISNUMBER('Inputs'!$B$9),ISNUMBER('Inputs'!$B$10),ISNUMBER('Inputs'!$B$21),ISNUMBER('Inputs'!$B$24),ISNUMBER('Inputs'!$B$28)),((('Results'!B7*(1+'Inputs'!$B$24)*(0.5*((((82-43)*MAX('Inputs'!$B$33,'Inputs'!$B$29+'Inputs'!$B$31+'Inputs'!$B$32,'Inputs'!$B$30+'Inputs'!$B$31+'Inputs'!$B$32)/1000+'Inputs'!$B$21)+'Inputs'!$B$7)/SQRT((((82-43)*MAX('Inputs'!$B$33,'Inputs'!$B$29+'Inputs'!$B$31+'Inputs'!$B$32,'Inputs'!$B$30+'Inputs'!$B$31+'Inputs'!$B$32)/1000+'Inputs'!$B$21)+'Inputs'!$B$7)^2+('Inputs'!$B$6/2)^2)-(((82-43)*MAX('Inputs'!$B$33,'Inputs'!$B$29+'Inputs'!$B$31+'Inputs'!$B$32,'Inputs'!$B$30+'Inputs'!$B$31+'Inputs'!$B$32)/1000+'Inputs'!$B$21))/SQRT((((82-43)*MAX('Inputs'!$B$33,'Inputs'!$B$29+'Inputs'!$B$31+'Inputs'!$B$32,'Inputs'!$B$30+'Inputs'!$B$31+'Inputs'!$B$32)/1000+'Inputs'!$B$21))^2+('Inputs'!$B$6/2)^2)))-'Results'!C7*(1-'Inputs'!$B$24)*(0.5*((((82-43)*MAX('Inputs'!$B$33,'Inputs'!$B$29+'Inputs'!$B$31+'Inputs'!$B$32,'Inputs'!$B$30+'Inputs'!$B$31+'Inputs'!$B$32)/1000+'Inputs'!$B$21+'Inputs'!$B$7+'Inputs'!$B$10)+'Inputs'!$B$9)/SQRT((((82-43)*MAX('Inputs'!$B$33,'Inputs'!$B$29+'Inputs'!$B$31+'Inputs'!$B$32,'Inputs'!$B$30+'Inputs'!$B$31+'Inputs'!$B$32)/1000+'Inputs'!$B$21+'Inputs'!$B$7+'Inputs'!$B$10)+'Inputs'!$B$9)^2+('Inputs'!$B$8/2)^2)-(((82-43)*MAX('Inputs'!$B$33,'Inputs'!$B$29+'Inputs'!$B$31+'Inputs'!$B$32,'Inputs'!$B$30+'Inputs'!$B$31+'Inputs'!$B$32)/1000+'Inputs'!$B$21+'Inputs'!$B$7+'Inputs'!$B$10))/SQRT((((82-43)*MAX('Inputs'!$B$33,'Inputs'!$B$29+'Inputs'!$B$31+'Inputs'!$B$32,'Inputs'!$B$30+'Inputs'!$B$31+'Inputs'!$B$32)/1000+'Inputs'!$B$21+'Inputs'!$B$7+'Inputs'!$B$10))^2+('Inputs'!$B$8/2)^2))))*'Results'!$B$8)+'Inputs'!$B$28*ABS((('Results'!B7*(1+'Inputs'!$B$24)*(0.5*((((82-43)*MAX('Inputs'!$B$33,'Inputs'!$B$29+'Inputs'!$B$31+'Inputs'!$B$32,'Inputs'!$B$30+'Inputs'!$B$31+'Inputs'!$B$32)/1000+'Inputs'!$B$21)+'Inputs'!$B$7)/SQRT((((82-43)*MAX('Inputs'!$B$33,'Inputs'!$B$29+'Inputs'!$B$31+'Inputs'!$B$32,'Inputs'!$B$30+'Inputs'!$B$31+'Inputs'!$B$32)/1000+'Inputs'!$B$21)+'Inputs'!$B$7)^2+('Inputs'!$B$6/2)^2)-(((82-43)*MAX('Inputs'!$B$33,'Inputs'!$B$29+'Inputs'!$B$31+'Inputs'!$B$32,'Inputs'!$B$30+'Inputs'!$B$31+'Inputs'!$B$32)/1000+'Inputs'!$B$21))/SQRT((((82-43)*MAX('Inputs'!$B$33,'Inputs'!$B$29+'Inputs'!$B$31+'Inputs'!$B$32,'Inputs'!$B$30+'Inputs'!$B$31+'Inputs'!$B$32)/1000+'Inputs'!$B$21))^2+('Inputs'!$B$6/2)^2)))-'Results'!C7*(1-'Inputs'!$B$24)*(0.5*((((82-43)*MAX('Inputs'!$B$33,'Inputs'!$B$29+'Inputs'!$B$31+'Inputs'!$B$32,'Inputs'!$B$30+'Inputs'!$B$31+'Inputs'!$B$32)/1000+'Inputs'!$B$21+'Inputs'!$B$7+'Inputs'!$B$10)+'Inputs'!$B$9)/SQRT((((82-43)*MAX('Inputs'!$B$33,'Inputs'!$B$29+'Inputs'!$B$31+'Inputs'!$B$32,'Inputs'!$B$30+'Inputs'!$B$31+'Inputs'!$B$32)/1000+'Inputs'!$B$21+'Inputs'!$B$7+'Inputs'!$B$10)+'Inputs'!$B$9)^2+('Inputs'!$B$8/2)^2)-(((82-43)*MAX('Inputs'!$B$33,'Inputs'!$B$29+'Inputs'!$B$31+'Inputs'!$B$32,'Inputs'!$B$30+'Inputs'!$B$31+'Inputs'!$B$32)/1000+'Inputs'!$B$21+'Inputs'!$B$7+'Inputs'!$B$10))/SQRT((((82-43)*MAX('Inputs'!$B$33,'Inputs'!$B$29+'Inputs'!$B$31+'Inputs'!$B$32,'Inputs'!$B$30+'Inputs'!$B$31+'Inputs'!$B$32)/1000+'Inputs'!$B$21+'Inputs'!$B$7+'Inputs'!$B$10))^2+('Inputs'!$B$8/2)^2))))*'Results'!$B$8))),"")</x:f>
        <x:v>1302.8239244600445</x:v>
      </x:c>
      <x:c r="M82" t="n">
        <x:f>IF(AND(ISNUMBER('Results'!C7),ISNUMBER('Results'!B7),ISNUMBER('Results'!$B$8),ISNUMBER('Inputs'!$B$6),ISNUMBER('Inputs'!$B$7),ISNUMBER('Inputs'!$B$8),ISNUMBER('Inputs'!$B$9),ISNUMBER('Inputs'!$B$10),ISNUMBER('Inputs'!$B$21),ISNUMBER('Inputs'!$B$24),ISNUMBER('Inputs'!$B$28)),(('Results'!C7*(0.5*((((82-43)*MAX('Inputs'!$B$33,'Inputs'!$B$29+'Inputs'!$B$31+'Inputs'!$B$32,'Inputs'!$B$30+'Inputs'!$B$31+'Inputs'!$B$32)/1000+'Inputs'!$B$21)+'Inputs'!$B$9)/SQRT((((82-43)*MAX('Inputs'!$B$33,'Inputs'!$B$29+'Inputs'!$B$31+'Inputs'!$B$32,'Inputs'!$B$30+'Inputs'!$B$31+'Inputs'!$B$32)/1000+'Inputs'!$B$21)+'Inputs'!$B$9)^2+('Inputs'!$B$8/2)^2)-(((82-43)*MAX('Inputs'!$B$33,'Inputs'!$B$29+'Inputs'!$B$31+'Inputs'!$B$32,'Inputs'!$B$30+'Inputs'!$B$31+'Inputs'!$B$32)/1000+'Inputs'!$B$21))/SQRT((((82-43)*MAX('Inputs'!$B$33,'Inputs'!$B$29+'Inputs'!$B$31+'Inputs'!$B$32,'Inputs'!$B$30+'Inputs'!$B$31+'Inputs'!$B$32)/1000+'Inputs'!$B$21))^2+('Inputs'!$B$8/2)^2)))-'Results'!B7*(0.5*((((82-43)*MAX('Inputs'!$B$33,'Inputs'!$B$29+'Inputs'!$B$31+'Inputs'!$B$32,'Inputs'!$B$30+'Inputs'!$B$31+'Inputs'!$B$32)/1000+'Inputs'!$B$21+'Inputs'!$B$9+'Inputs'!$B$10)+'Inputs'!$B$7)/SQRT((((82-43)*MAX('Inputs'!$B$33,'Inputs'!$B$29+'Inputs'!$B$31+'Inputs'!$B$32,'Inputs'!$B$30+'Inputs'!$B$31+'Inputs'!$B$32)/1000+'Inputs'!$B$21+'Inputs'!$B$9+'Inputs'!$B$10)+'Inputs'!$B$7)^2+('Inputs'!$B$6/2)^2)-(((82-43)*MAX('Inputs'!$B$33,'Inputs'!$B$29+'Inputs'!$B$31+'Inputs'!$B$32,'Inputs'!$B$30+'Inputs'!$B$31+'Inputs'!$B$32)/1000+'Inputs'!$B$21+'Inputs'!$B$9+'Inputs'!$B$10))/SQRT((((82-43)*MAX('Inputs'!$B$33,'Inputs'!$B$29+'Inputs'!$B$31+'Inputs'!$B$32,'Inputs'!$B$30+'Inputs'!$B$31+'Inputs'!$B$32)/1000+'Inputs'!$B$21+'Inputs'!$B$9+'Inputs'!$B$10))^2+('Inputs'!$B$6/2)^2))))*'Results'!$B$8),"")</x:f>
        <x:v>1177.076661812259</x:v>
      </x:c>
      <x:c r="N82" t="n">
        <x:f>IF(AND(ISNUMBER('Results'!C7),ISNUMBER('Results'!B7),ISNUMBER('Results'!$B$8),ISNUMBER('Inputs'!$B$6),ISNUMBER('Inputs'!$B$7),ISNUMBER('Inputs'!$B$8),ISNUMBER('Inputs'!$B$9),ISNUMBER('Inputs'!$B$10),ISNUMBER('Inputs'!$B$21),ISNUMBER('Inputs'!$B$24),ISNUMBER('Inputs'!$B$28)),((('Results'!C7*(1-'Inputs'!$B$24)*(0.5*((((82-43)*MAX('Inputs'!$B$33,'Inputs'!$B$29+'Inputs'!$B$31+'Inputs'!$B$32,'Inputs'!$B$30+'Inputs'!$B$31+'Inputs'!$B$32)/1000+'Inputs'!$B$21)+'Inputs'!$B$9)/SQRT((((82-43)*MAX('Inputs'!$B$33,'Inputs'!$B$29+'Inputs'!$B$31+'Inputs'!$B$32,'Inputs'!$B$30+'Inputs'!$B$31+'Inputs'!$B$32)/1000+'Inputs'!$B$21)+'Inputs'!$B$9)^2+('Inputs'!$B$8/2)^2)-(((82-43)*MAX('Inputs'!$B$33,'Inputs'!$B$29+'Inputs'!$B$31+'Inputs'!$B$32,'Inputs'!$B$30+'Inputs'!$B$31+'Inputs'!$B$32)/1000+'Inputs'!$B$21))/SQRT((((82-43)*MAX('Inputs'!$B$33,'Inputs'!$B$29+'Inputs'!$B$31+'Inputs'!$B$32,'Inputs'!$B$30+'Inputs'!$B$31+'Inputs'!$B$32)/1000+'Inputs'!$B$21))^2+('Inputs'!$B$8/2)^2)))-'Results'!B7*(1+'Inputs'!$B$24)*(0.5*((((82-43)*MAX('Inputs'!$B$33,'Inputs'!$B$29+'Inputs'!$B$31+'Inputs'!$B$32,'Inputs'!$B$30+'Inputs'!$B$31+'Inputs'!$B$32)/1000+'Inputs'!$B$21+'Inputs'!$B$9+'Inputs'!$B$10)+'Inputs'!$B$7)/SQRT((((82-43)*MAX('Inputs'!$B$33,'Inputs'!$B$29+'Inputs'!$B$31+'Inputs'!$B$32,'Inputs'!$B$30+'Inputs'!$B$31+'Inputs'!$B$32)/1000+'Inputs'!$B$21+'Inputs'!$B$9+'Inputs'!$B$10)+'Inputs'!$B$7)^2+('Inputs'!$B$6/2)^2)-(((82-43)*MAX('Inputs'!$B$33,'Inputs'!$B$29+'Inputs'!$B$31+'Inputs'!$B$32,'Inputs'!$B$30+'Inputs'!$B$31+'Inputs'!$B$32)/1000+'Inputs'!$B$21+'Inputs'!$B$9+'Inputs'!$B$10))/SQRT((((82-43)*MAX('Inputs'!$B$33,'Inputs'!$B$29+'Inputs'!$B$31+'Inputs'!$B$32,'Inputs'!$B$30+'Inputs'!$B$31+'Inputs'!$B$32)/1000+'Inputs'!$B$21+'Inputs'!$B$9+'Inputs'!$B$10))^2+('Inputs'!$B$6/2)^2))))*'Results'!$B$8)-'Inputs'!$B$28*ABS((('Results'!C7*(1-'Inputs'!$B$24)*(0.5*((((82-43)*MAX('Inputs'!$B$33,'Inputs'!$B$29+'Inputs'!$B$31+'Inputs'!$B$32,'Inputs'!$B$30+'Inputs'!$B$31+'Inputs'!$B$32)/1000+'Inputs'!$B$21)+'Inputs'!$B$9)/SQRT((((82-43)*MAX('Inputs'!$B$33,'Inputs'!$B$29+'Inputs'!$B$31+'Inputs'!$B$32,'Inputs'!$B$30+'Inputs'!$B$31+'Inputs'!$B$32)/1000+'Inputs'!$B$21)+'Inputs'!$B$9)^2+('Inputs'!$B$8/2)^2)-(((82-43)*MAX('Inputs'!$B$33,'Inputs'!$B$29+'Inputs'!$B$31+'Inputs'!$B$32,'Inputs'!$B$30+'Inputs'!$B$31+'Inputs'!$B$32)/1000+'Inputs'!$B$21))/SQRT((((82-43)*MAX('Inputs'!$B$33,'Inputs'!$B$29+'Inputs'!$B$31+'Inputs'!$B$32,'Inputs'!$B$30+'Inputs'!$B$31+'Inputs'!$B$32)/1000+'Inputs'!$B$21))^2+('Inputs'!$B$8/2)^2)))-'Results'!B7*(1+'Inputs'!$B$24)*(0.5*((((82-43)*MAX('Inputs'!$B$33,'Inputs'!$B$29+'Inputs'!$B$31+'Inputs'!$B$32,'Inputs'!$B$30+'Inputs'!$B$31+'Inputs'!$B$32)/1000+'Inputs'!$B$21+'Inputs'!$B$9+'Inputs'!$B$10)+'Inputs'!$B$7)/SQRT((((82-43)*MAX('Inputs'!$B$33,'Inputs'!$B$29+'Inputs'!$B$31+'Inputs'!$B$32,'Inputs'!$B$30+'Inputs'!$B$31+'Inputs'!$B$32)/1000+'Inputs'!$B$21+'Inputs'!$B$9+'Inputs'!$B$10)+'Inputs'!$B$7)^2+('Inputs'!$B$6/2)^2)-(((82-43)*MAX('Inputs'!$B$33,'Inputs'!$B$29+'Inputs'!$B$31+'Inputs'!$B$32,'Inputs'!$B$30+'Inputs'!$B$31+'Inputs'!$B$32)/1000+'Inputs'!$B$21+'Inputs'!$B$9+'Inputs'!$B$10))/SQRT((((82-43)*MAX('Inputs'!$B$33,'Inputs'!$B$29+'Inputs'!$B$31+'Inputs'!$B$32,'Inputs'!$B$30+'Inputs'!$B$31+'Inputs'!$B$32)/1000+'Inputs'!$B$21+'Inputs'!$B$9+'Inputs'!$B$10))^2+('Inputs'!$B$6/2)^2))))*'Results'!$B$8))),"")</x:f>
        <x:v>1088.4564530230155</x:v>
      </x:c>
      <x:c r="O82" t="n">
        <x:f>IF(AND(ISNUMBER('Results'!C7),ISNUMBER('Results'!B7),ISNUMBER('Results'!$B$8),ISNUMBER('Inputs'!$B$6),ISNUMBER('Inputs'!$B$7),ISNUMBER('Inputs'!$B$8),ISNUMBER('Inputs'!$B$9),ISNUMBER('Inputs'!$B$10),ISNUMBER('Inputs'!$B$21),ISNUMBER('Inputs'!$B$24),ISNUMBER('Inputs'!$B$28)),((('Results'!C7*(1+'Inputs'!$B$24)*(0.5*((((82-43)*MAX('Inputs'!$B$33,'Inputs'!$B$29+'Inputs'!$B$31+'Inputs'!$B$32,'Inputs'!$B$30+'Inputs'!$B$31+'Inputs'!$B$32)/1000+'Inputs'!$B$21)+'Inputs'!$B$9)/SQRT((((82-43)*MAX('Inputs'!$B$33,'Inputs'!$B$29+'Inputs'!$B$31+'Inputs'!$B$32,'Inputs'!$B$30+'Inputs'!$B$31+'Inputs'!$B$32)/1000+'Inputs'!$B$21)+'Inputs'!$B$9)^2+('Inputs'!$B$8/2)^2)-(((82-43)*MAX('Inputs'!$B$33,'Inputs'!$B$29+'Inputs'!$B$31+'Inputs'!$B$32,'Inputs'!$B$30+'Inputs'!$B$31+'Inputs'!$B$32)/1000+'Inputs'!$B$21))/SQRT((((82-43)*MAX('Inputs'!$B$33,'Inputs'!$B$29+'Inputs'!$B$31+'Inputs'!$B$32,'Inputs'!$B$30+'Inputs'!$B$31+'Inputs'!$B$32)/1000+'Inputs'!$B$21))^2+('Inputs'!$B$8/2)^2)))-'Results'!B7*(1-'Inputs'!$B$24)*(0.5*((((82-43)*MAX('Inputs'!$B$33,'Inputs'!$B$29+'Inputs'!$B$31+'Inputs'!$B$32,'Inputs'!$B$30+'Inputs'!$B$31+'Inputs'!$B$32)/1000+'Inputs'!$B$21+'Inputs'!$B$9+'Inputs'!$B$10)+'Inputs'!$B$7)/SQRT((((82-43)*MAX('Inputs'!$B$33,'Inputs'!$B$29+'Inputs'!$B$31+'Inputs'!$B$32,'Inputs'!$B$30+'Inputs'!$B$31+'Inputs'!$B$32)/1000+'Inputs'!$B$21+'Inputs'!$B$9+'Inputs'!$B$10)+'Inputs'!$B$7)^2+('Inputs'!$B$6/2)^2)-(((82-43)*MAX('Inputs'!$B$33,'Inputs'!$B$29+'Inputs'!$B$31+'Inputs'!$B$32,'Inputs'!$B$30+'Inputs'!$B$31+'Inputs'!$B$32)/1000+'Inputs'!$B$21+'Inputs'!$B$9+'Inputs'!$B$10))/SQRT((((82-43)*MAX('Inputs'!$B$33,'Inputs'!$B$29+'Inputs'!$B$31+'Inputs'!$B$32,'Inputs'!$B$30+'Inputs'!$B$31+'Inputs'!$B$32)/1000+'Inputs'!$B$21+'Inputs'!$B$9+'Inputs'!$B$10))^2+('Inputs'!$B$6/2)^2))))*'Results'!$B$8)+'Inputs'!$B$28*ABS((('Results'!C7*(1+'Inputs'!$B$24)*(0.5*((((82-43)*MAX('Inputs'!$B$33,'Inputs'!$B$29+'Inputs'!$B$31+'Inputs'!$B$32,'Inputs'!$B$30+'Inputs'!$B$31+'Inputs'!$B$32)/1000+'Inputs'!$B$21)+'Inputs'!$B$9)/SQRT((((82-43)*MAX('Inputs'!$B$33,'Inputs'!$B$29+'Inputs'!$B$31+'Inputs'!$B$32,'Inputs'!$B$30+'Inputs'!$B$31+'Inputs'!$B$32)/1000+'Inputs'!$B$21)+'Inputs'!$B$9)^2+('Inputs'!$B$8/2)^2)-(((82-43)*MAX('Inputs'!$B$33,'Inputs'!$B$29+'Inputs'!$B$31+'Inputs'!$B$32,'Inputs'!$B$30+'Inputs'!$B$31+'Inputs'!$B$32)/1000+'Inputs'!$B$21))/SQRT((((82-43)*MAX('Inputs'!$B$33,'Inputs'!$B$29+'Inputs'!$B$31+'Inputs'!$B$32,'Inputs'!$B$30+'Inputs'!$B$31+'Inputs'!$B$32)/1000+'Inputs'!$B$21))^2+('Inputs'!$B$8/2)^2)))-'Results'!B7*(1-'Inputs'!$B$24)*(0.5*((((82-43)*MAX('Inputs'!$B$33,'Inputs'!$B$29+'Inputs'!$B$31+'Inputs'!$B$32,'Inputs'!$B$30+'Inputs'!$B$31+'Inputs'!$B$32)/1000+'Inputs'!$B$21+'Inputs'!$B$9+'Inputs'!$B$10)+'Inputs'!$B$7)/SQRT((((82-43)*MAX('Inputs'!$B$33,'Inputs'!$B$29+'Inputs'!$B$31+'Inputs'!$B$32,'Inputs'!$B$30+'Inputs'!$B$31+'Inputs'!$B$32)/1000+'Inputs'!$B$21+'Inputs'!$B$9+'Inputs'!$B$10)+'Inputs'!$B$7)^2+('Inputs'!$B$6/2)^2)-(((82-43)*MAX('Inputs'!$B$33,'Inputs'!$B$29+'Inputs'!$B$31+'Inputs'!$B$32,'Inputs'!$B$30+'Inputs'!$B$31+'Inputs'!$B$32)/1000+'Inputs'!$B$21+'Inputs'!$B$9+'Inputs'!$B$10))/SQRT((((82-43)*MAX('Inputs'!$B$33,'Inputs'!$B$29+'Inputs'!$B$31+'Inputs'!$B$32,'Inputs'!$B$30+'Inputs'!$B$31+'Inputs'!$B$32)/1000+'Inputs'!$B$21+'Inputs'!$B$9+'Inputs'!$B$10))^2+('Inputs'!$B$6/2)^2))))*'Results'!$B$8))),"")</x:f>
        <x:v>1268.8301733066214</x:v>
      </x:c>
      <x:c r="P82" t="n">
        <x:f>IF(AND(MAX(J82,J81)&gt;0,J82&gt;J81+0.00000001),1,0)</x:f>
        <x:v>0</x:v>
      </x:c>
      <x:c r="Q82" t="n">
        <x:f>IF(AND(MAX(K82,K81)&gt;0,K82&gt;K81+0.00000001),1,0)</x:f>
        <x:v>0</x:v>
      </x:c>
      <x:c r="R82" t="n">
        <x:f>IF(AND(MAX(L82,L81)&gt;0,L82&gt;L81+0.00000001),1,0)</x:f>
        <x:v>0</x:v>
      </x:c>
      <x:c r="S82" t="n">
        <x:f>IF(AND(MAX(M82,M81)&gt;0,M82&gt;M81+0.00000001),1,0)</x:f>
        <x:v>0</x:v>
      </x:c>
      <x:c r="T82" t="n">
        <x:f>IF(AND(MAX(N82,N81)&gt;0,N82&gt;N81+0.00000001),1,0)</x:f>
        <x:v>0</x:v>
      </x:c>
      <x:c r="U82" t="n">
        <x:f>IF(AND(MAX(O82,O81)&gt;0,O82&gt;O81+0.00000001),1,0)</x:f>
        <x:v>0</x:v>
      </x:c>
    </x:row>
    <x:row r="83">
      <x:c r="J83" t="n">
        <x:f>IF(AND(ISNUMBER('Results'!B7),ISNUMBER('Results'!C7),ISNUMBER('Results'!$B$8),ISNUMBER('Inputs'!$B$6),ISNUMBER('Inputs'!$B$7),ISNUMBER('Inputs'!$B$8),ISNUMBER('Inputs'!$B$9),ISNUMBER('Inputs'!$B$10),ISNUMBER('Inputs'!$B$21),ISNUMBER('Inputs'!$B$24),ISNUMBER('Inputs'!$B$28)),(('Results'!B7*(0.5*((((83-43)*MAX('Inputs'!$B$33,'Inputs'!$B$29+'Inputs'!$B$31+'Inputs'!$B$32,'Inputs'!$B$30+'Inputs'!$B$31+'Inputs'!$B$32)/1000+'Inputs'!$B$21)+'Inputs'!$B$7)/SQRT((((83-43)*MAX('Inputs'!$B$33,'Inputs'!$B$29+'Inputs'!$B$31+'Inputs'!$B$32,'Inputs'!$B$30+'Inputs'!$B$31+'Inputs'!$B$32)/1000+'Inputs'!$B$21)+'Inputs'!$B$7)^2+('Inputs'!$B$6/2)^2)-(((83-43)*MAX('Inputs'!$B$33,'Inputs'!$B$29+'Inputs'!$B$31+'Inputs'!$B$32,'Inputs'!$B$30+'Inputs'!$B$31+'Inputs'!$B$32)/1000+'Inputs'!$B$21))/SQRT((((83-43)*MAX('Inputs'!$B$33,'Inputs'!$B$29+'Inputs'!$B$31+'Inputs'!$B$32,'Inputs'!$B$30+'Inputs'!$B$31+'Inputs'!$B$32)/1000+'Inputs'!$B$21))^2+('Inputs'!$B$6/2)^2)))-'Results'!C7*(0.5*((((83-43)*MAX('Inputs'!$B$33,'Inputs'!$B$29+'Inputs'!$B$31+'Inputs'!$B$32,'Inputs'!$B$30+'Inputs'!$B$31+'Inputs'!$B$32)/1000+'Inputs'!$B$21+'Inputs'!$B$7+'Inputs'!$B$10)+'Inputs'!$B$9)/SQRT((((83-43)*MAX('Inputs'!$B$33,'Inputs'!$B$29+'Inputs'!$B$31+'Inputs'!$B$32,'Inputs'!$B$30+'Inputs'!$B$31+'Inputs'!$B$32)/1000+'Inputs'!$B$21+'Inputs'!$B$7+'Inputs'!$B$10)+'Inputs'!$B$9)^2+('Inputs'!$B$8/2)^2)-(((83-43)*MAX('Inputs'!$B$33,'Inputs'!$B$29+'Inputs'!$B$31+'Inputs'!$B$32,'Inputs'!$B$30+'Inputs'!$B$31+'Inputs'!$B$32)/1000+'Inputs'!$B$21+'Inputs'!$B$7+'Inputs'!$B$10))/SQRT((((83-43)*MAX('Inputs'!$B$33,'Inputs'!$B$29+'Inputs'!$B$31+'Inputs'!$B$32,'Inputs'!$B$30+'Inputs'!$B$31+'Inputs'!$B$32)/1000+'Inputs'!$B$21+'Inputs'!$B$7+'Inputs'!$B$10))^2+('Inputs'!$B$8/2)^2))))*'Results'!$B$8),"")</x:f>
        <x:v>1187.3745045946146</x:v>
      </x:c>
      <x:c r="K83" t="n">
        <x:f>IF(AND(ISNUMBER('Results'!B7),ISNUMBER('Results'!C7),ISNUMBER('Results'!$B$8),ISNUMBER('Inputs'!$B$6),ISNUMBER('Inputs'!$B$7),ISNUMBER('Inputs'!$B$8),ISNUMBER('Inputs'!$B$9),ISNUMBER('Inputs'!$B$10),ISNUMBER('Inputs'!$B$21),ISNUMBER('Inputs'!$B$24),ISNUMBER('Inputs'!$B$28)),((('Results'!B7*(1-'Inputs'!$B$24)*(0.5*((((83-43)*MAX('Inputs'!$B$33,'Inputs'!$B$29+'Inputs'!$B$31+'Inputs'!$B$32,'Inputs'!$B$30+'Inputs'!$B$31+'Inputs'!$B$32)/1000+'Inputs'!$B$21)+'Inputs'!$B$7)/SQRT((((83-43)*MAX('Inputs'!$B$33,'Inputs'!$B$29+'Inputs'!$B$31+'Inputs'!$B$32,'Inputs'!$B$30+'Inputs'!$B$31+'Inputs'!$B$32)/1000+'Inputs'!$B$21)+'Inputs'!$B$7)^2+('Inputs'!$B$6/2)^2)-(((83-43)*MAX('Inputs'!$B$33,'Inputs'!$B$29+'Inputs'!$B$31+'Inputs'!$B$32,'Inputs'!$B$30+'Inputs'!$B$31+'Inputs'!$B$32)/1000+'Inputs'!$B$21))/SQRT((((83-43)*MAX('Inputs'!$B$33,'Inputs'!$B$29+'Inputs'!$B$31+'Inputs'!$B$32,'Inputs'!$B$30+'Inputs'!$B$31+'Inputs'!$B$32)/1000+'Inputs'!$B$21))^2+('Inputs'!$B$6/2)^2)))-'Results'!C7*(1+'Inputs'!$B$24)*(0.5*((((83-43)*MAX('Inputs'!$B$33,'Inputs'!$B$29+'Inputs'!$B$31+'Inputs'!$B$32,'Inputs'!$B$30+'Inputs'!$B$31+'Inputs'!$B$32)/1000+'Inputs'!$B$21+'Inputs'!$B$7+'Inputs'!$B$10)+'Inputs'!$B$9)/SQRT((((83-43)*MAX('Inputs'!$B$33,'Inputs'!$B$29+'Inputs'!$B$31+'Inputs'!$B$32,'Inputs'!$B$30+'Inputs'!$B$31+'Inputs'!$B$32)/1000+'Inputs'!$B$21+'Inputs'!$B$7+'Inputs'!$B$10)+'Inputs'!$B$9)^2+('Inputs'!$B$8/2)^2)-(((83-43)*MAX('Inputs'!$B$33,'Inputs'!$B$29+'Inputs'!$B$31+'Inputs'!$B$32,'Inputs'!$B$30+'Inputs'!$B$31+'Inputs'!$B$32)/1000+'Inputs'!$B$21+'Inputs'!$B$7+'Inputs'!$B$10))/SQRT((((83-43)*MAX('Inputs'!$B$33,'Inputs'!$B$29+'Inputs'!$B$31+'Inputs'!$B$32,'Inputs'!$B$30+'Inputs'!$B$31+'Inputs'!$B$32)/1000+'Inputs'!$B$21+'Inputs'!$B$7+'Inputs'!$B$10))^2+('Inputs'!$B$8/2)^2))))*'Results'!$B$8)-'Inputs'!$B$28*ABS((('Results'!B7*(1-'Inputs'!$B$24)*(0.5*((((83-43)*MAX('Inputs'!$B$33,'Inputs'!$B$29+'Inputs'!$B$31+'Inputs'!$B$32,'Inputs'!$B$30+'Inputs'!$B$31+'Inputs'!$B$32)/1000+'Inputs'!$B$21)+'Inputs'!$B$7)/SQRT((((83-43)*MAX('Inputs'!$B$33,'Inputs'!$B$29+'Inputs'!$B$31+'Inputs'!$B$32,'Inputs'!$B$30+'Inputs'!$B$31+'Inputs'!$B$32)/1000+'Inputs'!$B$21)+'Inputs'!$B$7)^2+('Inputs'!$B$6/2)^2)-(((83-43)*MAX('Inputs'!$B$33,'Inputs'!$B$29+'Inputs'!$B$31+'Inputs'!$B$32,'Inputs'!$B$30+'Inputs'!$B$31+'Inputs'!$B$32)/1000+'Inputs'!$B$21))/SQRT((((83-43)*MAX('Inputs'!$B$33,'Inputs'!$B$29+'Inputs'!$B$31+'Inputs'!$B$32,'Inputs'!$B$30+'Inputs'!$B$31+'Inputs'!$B$32)/1000+'Inputs'!$B$21))^2+('Inputs'!$B$6/2)^2)))-'Results'!C7*(1+'Inputs'!$B$24)*(0.5*((((83-43)*MAX('Inputs'!$B$33,'Inputs'!$B$29+'Inputs'!$B$31+'Inputs'!$B$32,'Inputs'!$B$30+'Inputs'!$B$31+'Inputs'!$B$32)/1000+'Inputs'!$B$21+'Inputs'!$B$7+'Inputs'!$B$10)+'Inputs'!$B$9)/SQRT((((83-43)*MAX('Inputs'!$B$33,'Inputs'!$B$29+'Inputs'!$B$31+'Inputs'!$B$32,'Inputs'!$B$30+'Inputs'!$B$31+'Inputs'!$B$32)/1000+'Inputs'!$B$21+'Inputs'!$B$7+'Inputs'!$B$10)+'Inputs'!$B$9)^2+('Inputs'!$B$8/2)^2)-(((83-43)*MAX('Inputs'!$B$33,'Inputs'!$B$29+'Inputs'!$B$31+'Inputs'!$B$32,'Inputs'!$B$30+'Inputs'!$B$31+'Inputs'!$B$32)/1000+'Inputs'!$B$21+'Inputs'!$B$7+'Inputs'!$B$10))/SQRT((((83-43)*MAX('Inputs'!$B$33,'Inputs'!$B$29+'Inputs'!$B$31+'Inputs'!$B$32,'Inputs'!$B$30+'Inputs'!$B$31+'Inputs'!$B$32)/1000+'Inputs'!$B$21+'Inputs'!$B$7+'Inputs'!$B$10))^2+('Inputs'!$B$8/2)^2))))*'Results'!$B$8))),"")</x:f>
        <x:v>1098.2953912404114</x:v>
      </x:c>
      <x:c r="L83" t="n">
        <x:f>IF(AND(ISNUMBER('Results'!B7),ISNUMBER('Results'!C7),ISNUMBER('Results'!$B$8),ISNUMBER('Inputs'!$B$6),ISNUMBER('Inputs'!$B$7),ISNUMBER('Inputs'!$B$8),ISNUMBER('Inputs'!$B$9),ISNUMBER('Inputs'!$B$10),ISNUMBER('Inputs'!$B$21),ISNUMBER('Inputs'!$B$24),ISNUMBER('Inputs'!$B$28)),((('Results'!B7*(1+'Inputs'!$B$24)*(0.5*((((83-43)*MAX('Inputs'!$B$33,'Inputs'!$B$29+'Inputs'!$B$31+'Inputs'!$B$32,'Inputs'!$B$30+'Inputs'!$B$31+'Inputs'!$B$32)/1000+'Inputs'!$B$21)+'Inputs'!$B$7)/SQRT((((83-43)*MAX('Inputs'!$B$33,'Inputs'!$B$29+'Inputs'!$B$31+'Inputs'!$B$32,'Inputs'!$B$30+'Inputs'!$B$31+'Inputs'!$B$32)/1000+'Inputs'!$B$21)+'Inputs'!$B$7)^2+('Inputs'!$B$6/2)^2)-(((83-43)*MAX('Inputs'!$B$33,'Inputs'!$B$29+'Inputs'!$B$31+'Inputs'!$B$32,'Inputs'!$B$30+'Inputs'!$B$31+'Inputs'!$B$32)/1000+'Inputs'!$B$21))/SQRT((((83-43)*MAX('Inputs'!$B$33,'Inputs'!$B$29+'Inputs'!$B$31+'Inputs'!$B$32,'Inputs'!$B$30+'Inputs'!$B$31+'Inputs'!$B$32)/1000+'Inputs'!$B$21))^2+('Inputs'!$B$6/2)^2)))-'Results'!C7*(1-'Inputs'!$B$24)*(0.5*((((83-43)*MAX('Inputs'!$B$33,'Inputs'!$B$29+'Inputs'!$B$31+'Inputs'!$B$32,'Inputs'!$B$30+'Inputs'!$B$31+'Inputs'!$B$32)/1000+'Inputs'!$B$21+'Inputs'!$B$7+'Inputs'!$B$10)+'Inputs'!$B$9)/SQRT((((83-43)*MAX('Inputs'!$B$33,'Inputs'!$B$29+'Inputs'!$B$31+'Inputs'!$B$32,'Inputs'!$B$30+'Inputs'!$B$31+'Inputs'!$B$32)/1000+'Inputs'!$B$21+'Inputs'!$B$7+'Inputs'!$B$10)+'Inputs'!$B$9)^2+('Inputs'!$B$8/2)^2)-(((83-43)*MAX('Inputs'!$B$33,'Inputs'!$B$29+'Inputs'!$B$31+'Inputs'!$B$32,'Inputs'!$B$30+'Inputs'!$B$31+'Inputs'!$B$32)/1000+'Inputs'!$B$21+'Inputs'!$B$7+'Inputs'!$B$10))/SQRT((((83-43)*MAX('Inputs'!$B$33,'Inputs'!$B$29+'Inputs'!$B$31+'Inputs'!$B$32,'Inputs'!$B$30+'Inputs'!$B$31+'Inputs'!$B$32)/1000+'Inputs'!$B$21+'Inputs'!$B$7+'Inputs'!$B$10))^2+('Inputs'!$B$8/2)^2))))*'Results'!$B$8)+'Inputs'!$B$28*ABS((('Results'!B7*(1+'Inputs'!$B$24)*(0.5*((((83-43)*MAX('Inputs'!$B$33,'Inputs'!$B$29+'Inputs'!$B$31+'Inputs'!$B$32,'Inputs'!$B$30+'Inputs'!$B$31+'Inputs'!$B$32)/1000+'Inputs'!$B$21)+'Inputs'!$B$7)/SQRT((((83-43)*MAX('Inputs'!$B$33,'Inputs'!$B$29+'Inputs'!$B$31+'Inputs'!$B$32,'Inputs'!$B$30+'Inputs'!$B$31+'Inputs'!$B$32)/1000+'Inputs'!$B$21)+'Inputs'!$B$7)^2+('Inputs'!$B$6/2)^2)-(((83-43)*MAX('Inputs'!$B$33,'Inputs'!$B$29+'Inputs'!$B$31+'Inputs'!$B$32,'Inputs'!$B$30+'Inputs'!$B$31+'Inputs'!$B$32)/1000+'Inputs'!$B$21))/SQRT((((83-43)*MAX('Inputs'!$B$33,'Inputs'!$B$29+'Inputs'!$B$31+'Inputs'!$B$32,'Inputs'!$B$30+'Inputs'!$B$31+'Inputs'!$B$32)/1000+'Inputs'!$B$21))^2+('Inputs'!$B$6/2)^2)))-'Results'!C7*(1-'Inputs'!$B$24)*(0.5*((((83-43)*MAX('Inputs'!$B$33,'Inputs'!$B$29+'Inputs'!$B$31+'Inputs'!$B$32,'Inputs'!$B$30+'Inputs'!$B$31+'Inputs'!$B$32)/1000+'Inputs'!$B$21+'Inputs'!$B$7+'Inputs'!$B$10)+'Inputs'!$B$9)/SQRT((((83-43)*MAX('Inputs'!$B$33,'Inputs'!$B$29+'Inputs'!$B$31+'Inputs'!$B$32,'Inputs'!$B$30+'Inputs'!$B$31+'Inputs'!$B$32)/1000+'Inputs'!$B$21+'Inputs'!$B$7+'Inputs'!$B$10)+'Inputs'!$B$9)^2+('Inputs'!$B$8/2)^2)-(((83-43)*MAX('Inputs'!$B$33,'Inputs'!$B$29+'Inputs'!$B$31+'Inputs'!$B$32,'Inputs'!$B$30+'Inputs'!$B$31+'Inputs'!$B$32)/1000+'Inputs'!$B$21+'Inputs'!$B$7+'Inputs'!$B$10))/SQRT((((83-43)*MAX('Inputs'!$B$33,'Inputs'!$B$29+'Inputs'!$B$31+'Inputs'!$B$32,'Inputs'!$B$30+'Inputs'!$B$31+'Inputs'!$B$32)/1000+'Inputs'!$B$21+'Inputs'!$B$7+'Inputs'!$B$10))^2+('Inputs'!$B$8/2)^2))))*'Results'!$B$8))),"")</x:f>
        <x:v>1279.5810272250783</x:v>
      </x:c>
      <x:c r="M83" t="n">
        <x:f>IF(AND(ISNUMBER('Results'!C7),ISNUMBER('Results'!B7),ISNUMBER('Results'!$B$8),ISNUMBER('Inputs'!$B$6),ISNUMBER('Inputs'!$B$7),ISNUMBER('Inputs'!$B$8),ISNUMBER('Inputs'!$B$9),ISNUMBER('Inputs'!$B$10),ISNUMBER('Inputs'!$B$21),ISNUMBER('Inputs'!$B$24),ISNUMBER('Inputs'!$B$28)),(('Results'!C7*(0.5*((((83-43)*MAX('Inputs'!$B$33,'Inputs'!$B$29+'Inputs'!$B$31+'Inputs'!$B$32,'Inputs'!$B$30+'Inputs'!$B$31+'Inputs'!$B$32)/1000+'Inputs'!$B$21)+'Inputs'!$B$9)/SQRT((((83-43)*MAX('Inputs'!$B$33,'Inputs'!$B$29+'Inputs'!$B$31+'Inputs'!$B$32,'Inputs'!$B$30+'Inputs'!$B$31+'Inputs'!$B$32)/1000+'Inputs'!$B$21)+'Inputs'!$B$9)^2+('Inputs'!$B$8/2)^2)-(((83-43)*MAX('Inputs'!$B$33,'Inputs'!$B$29+'Inputs'!$B$31+'Inputs'!$B$32,'Inputs'!$B$30+'Inputs'!$B$31+'Inputs'!$B$32)/1000+'Inputs'!$B$21))/SQRT((((83-43)*MAX('Inputs'!$B$33,'Inputs'!$B$29+'Inputs'!$B$31+'Inputs'!$B$32,'Inputs'!$B$30+'Inputs'!$B$31+'Inputs'!$B$32)/1000+'Inputs'!$B$21))^2+('Inputs'!$B$8/2)^2)))-'Results'!B7*(0.5*((((83-43)*MAX('Inputs'!$B$33,'Inputs'!$B$29+'Inputs'!$B$31+'Inputs'!$B$32,'Inputs'!$B$30+'Inputs'!$B$31+'Inputs'!$B$32)/1000+'Inputs'!$B$21+'Inputs'!$B$9+'Inputs'!$B$10)+'Inputs'!$B$7)/SQRT((((83-43)*MAX('Inputs'!$B$33,'Inputs'!$B$29+'Inputs'!$B$31+'Inputs'!$B$32,'Inputs'!$B$30+'Inputs'!$B$31+'Inputs'!$B$32)/1000+'Inputs'!$B$21+'Inputs'!$B$9+'Inputs'!$B$10)+'Inputs'!$B$7)^2+('Inputs'!$B$6/2)^2)-(((83-43)*MAX('Inputs'!$B$33,'Inputs'!$B$29+'Inputs'!$B$31+'Inputs'!$B$32,'Inputs'!$B$30+'Inputs'!$B$31+'Inputs'!$B$32)/1000+'Inputs'!$B$21+'Inputs'!$B$9+'Inputs'!$B$10))/SQRT((((83-43)*MAX('Inputs'!$B$33,'Inputs'!$B$29+'Inputs'!$B$31+'Inputs'!$B$32,'Inputs'!$B$30+'Inputs'!$B$31+'Inputs'!$B$32)/1000+'Inputs'!$B$21+'Inputs'!$B$9+'Inputs'!$B$10))^2+('Inputs'!$B$6/2)^2))))*'Results'!$B$8),"")</x:f>
        <x:v>1156.0236097639436</x:v>
      </x:c>
      <x:c r="N83" t="n">
        <x:f>IF(AND(ISNUMBER('Results'!C7),ISNUMBER('Results'!B7),ISNUMBER('Results'!$B$8),ISNUMBER('Inputs'!$B$6),ISNUMBER('Inputs'!$B$7),ISNUMBER('Inputs'!$B$8),ISNUMBER('Inputs'!$B$9),ISNUMBER('Inputs'!$B$10),ISNUMBER('Inputs'!$B$21),ISNUMBER('Inputs'!$B$24),ISNUMBER('Inputs'!$B$28)),((('Results'!C7*(1-'Inputs'!$B$24)*(0.5*((((83-43)*MAX('Inputs'!$B$33,'Inputs'!$B$29+'Inputs'!$B$31+'Inputs'!$B$32,'Inputs'!$B$30+'Inputs'!$B$31+'Inputs'!$B$32)/1000+'Inputs'!$B$21)+'Inputs'!$B$9)/SQRT((((83-43)*MAX('Inputs'!$B$33,'Inputs'!$B$29+'Inputs'!$B$31+'Inputs'!$B$32,'Inputs'!$B$30+'Inputs'!$B$31+'Inputs'!$B$32)/1000+'Inputs'!$B$21)+'Inputs'!$B$9)^2+('Inputs'!$B$8/2)^2)-(((83-43)*MAX('Inputs'!$B$33,'Inputs'!$B$29+'Inputs'!$B$31+'Inputs'!$B$32,'Inputs'!$B$30+'Inputs'!$B$31+'Inputs'!$B$32)/1000+'Inputs'!$B$21))/SQRT((((83-43)*MAX('Inputs'!$B$33,'Inputs'!$B$29+'Inputs'!$B$31+'Inputs'!$B$32,'Inputs'!$B$30+'Inputs'!$B$31+'Inputs'!$B$32)/1000+'Inputs'!$B$21))^2+('Inputs'!$B$8/2)^2)))-'Results'!B7*(1+'Inputs'!$B$24)*(0.5*((((83-43)*MAX('Inputs'!$B$33,'Inputs'!$B$29+'Inputs'!$B$31+'Inputs'!$B$32,'Inputs'!$B$30+'Inputs'!$B$31+'Inputs'!$B$32)/1000+'Inputs'!$B$21+'Inputs'!$B$9+'Inputs'!$B$10)+'Inputs'!$B$7)/SQRT((((83-43)*MAX('Inputs'!$B$33,'Inputs'!$B$29+'Inputs'!$B$31+'Inputs'!$B$32,'Inputs'!$B$30+'Inputs'!$B$31+'Inputs'!$B$32)/1000+'Inputs'!$B$21+'Inputs'!$B$9+'Inputs'!$B$10)+'Inputs'!$B$7)^2+('Inputs'!$B$6/2)^2)-(((83-43)*MAX('Inputs'!$B$33,'Inputs'!$B$29+'Inputs'!$B$31+'Inputs'!$B$32,'Inputs'!$B$30+'Inputs'!$B$31+'Inputs'!$B$32)/1000+'Inputs'!$B$21+'Inputs'!$B$9+'Inputs'!$B$10))/SQRT((((83-43)*MAX('Inputs'!$B$33,'Inputs'!$B$29+'Inputs'!$B$31+'Inputs'!$B$32,'Inputs'!$B$30+'Inputs'!$B$31+'Inputs'!$B$32)/1000+'Inputs'!$B$21+'Inputs'!$B$9+'Inputs'!$B$10))^2+('Inputs'!$B$6/2)^2))))*'Results'!$B$8)-'Inputs'!$B$28*ABS((('Results'!C7*(1-'Inputs'!$B$24)*(0.5*((((83-43)*MAX('Inputs'!$B$33,'Inputs'!$B$29+'Inputs'!$B$31+'Inputs'!$B$32,'Inputs'!$B$30+'Inputs'!$B$31+'Inputs'!$B$32)/1000+'Inputs'!$B$21)+'Inputs'!$B$9)/SQRT((((83-43)*MAX('Inputs'!$B$33,'Inputs'!$B$29+'Inputs'!$B$31+'Inputs'!$B$32,'Inputs'!$B$30+'Inputs'!$B$31+'Inputs'!$B$32)/1000+'Inputs'!$B$21)+'Inputs'!$B$9)^2+('Inputs'!$B$8/2)^2)-(((83-43)*MAX('Inputs'!$B$33,'Inputs'!$B$29+'Inputs'!$B$31+'Inputs'!$B$32,'Inputs'!$B$30+'Inputs'!$B$31+'Inputs'!$B$32)/1000+'Inputs'!$B$21))/SQRT((((83-43)*MAX('Inputs'!$B$33,'Inputs'!$B$29+'Inputs'!$B$31+'Inputs'!$B$32,'Inputs'!$B$30+'Inputs'!$B$31+'Inputs'!$B$32)/1000+'Inputs'!$B$21))^2+('Inputs'!$B$8/2)^2)))-'Results'!B7*(1+'Inputs'!$B$24)*(0.5*((((83-43)*MAX('Inputs'!$B$33,'Inputs'!$B$29+'Inputs'!$B$31+'Inputs'!$B$32,'Inputs'!$B$30+'Inputs'!$B$31+'Inputs'!$B$32)/1000+'Inputs'!$B$21+'Inputs'!$B$9+'Inputs'!$B$10)+'Inputs'!$B$7)/SQRT((((83-43)*MAX('Inputs'!$B$33,'Inputs'!$B$29+'Inputs'!$B$31+'Inputs'!$B$32,'Inputs'!$B$30+'Inputs'!$B$31+'Inputs'!$B$32)/1000+'Inputs'!$B$21+'Inputs'!$B$9+'Inputs'!$B$10)+'Inputs'!$B$7)^2+('Inputs'!$B$6/2)^2)-(((83-43)*MAX('Inputs'!$B$33,'Inputs'!$B$29+'Inputs'!$B$31+'Inputs'!$B$32,'Inputs'!$B$30+'Inputs'!$B$31+'Inputs'!$B$32)/1000+'Inputs'!$B$21+'Inputs'!$B$9+'Inputs'!$B$10))/SQRT((((83-43)*MAX('Inputs'!$B$33,'Inputs'!$B$29+'Inputs'!$B$31+'Inputs'!$B$32,'Inputs'!$B$30+'Inputs'!$B$31+'Inputs'!$B$32)/1000+'Inputs'!$B$21+'Inputs'!$B$9+'Inputs'!$B$10))^2+('Inputs'!$B$6/2)^2))))*'Results'!$B$8))),"")</x:f>
        <x:v>1068.9617842237265</x:v>
      </x:c>
      <x:c r="O83" t="n">
        <x:f>IF(AND(ISNUMBER('Results'!C7),ISNUMBER('Results'!B7),ISNUMBER('Results'!$B$8),ISNUMBER('Inputs'!$B$6),ISNUMBER('Inputs'!$B$7),ISNUMBER('Inputs'!$B$8),ISNUMBER('Inputs'!$B$9),ISNUMBER('Inputs'!$B$10),ISNUMBER('Inputs'!$B$21),ISNUMBER('Inputs'!$B$24),ISNUMBER('Inputs'!$B$28)),((('Results'!C7*(1+'Inputs'!$B$24)*(0.5*((((83-43)*MAX('Inputs'!$B$33,'Inputs'!$B$29+'Inputs'!$B$31+'Inputs'!$B$32,'Inputs'!$B$30+'Inputs'!$B$31+'Inputs'!$B$32)/1000+'Inputs'!$B$21)+'Inputs'!$B$9)/SQRT((((83-43)*MAX('Inputs'!$B$33,'Inputs'!$B$29+'Inputs'!$B$31+'Inputs'!$B$32,'Inputs'!$B$30+'Inputs'!$B$31+'Inputs'!$B$32)/1000+'Inputs'!$B$21)+'Inputs'!$B$9)^2+('Inputs'!$B$8/2)^2)-(((83-43)*MAX('Inputs'!$B$33,'Inputs'!$B$29+'Inputs'!$B$31+'Inputs'!$B$32,'Inputs'!$B$30+'Inputs'!$B$31+'Inputs'!$B$32)/1000+'Inputs'!$B$21))/SQRT((((83-43)*MAX('Inputs'!$B$33,'Inputs'!$B$29+'Inputs'!$B$31+'Inputs'!$B$32,'Inputs'!$B$30+'Inputs'!$B$31+'Inputs'!$B$32)/1000+'Inputs'!$B$21))^2+('Inputs'!$B$8/2)^2)))-'Results'!B7*(1-'Inputs'!$B$24)*(0.5*((((83-43)*MAX('Inputs'!$B$33,'Inputs'!$B$29+'Inputs'!$B$31+'Inputs'!$B$32,'Inputs'!$B$30+'Inputs'!$B$31+'Inputs'!$B$32)/1000+'Inputs'!$B$21+'Inputs'!$B$9+'Inputs'!$B$10)+'Inputs'!$B$7)/SQRT((((83-43)*MAX('Inputs'!$B$33,'Inputs'!$B$29+'Inputs'!$B$31+'Inputs'!$B$32,'Inputs'!$B$30+'Inputs'!$B$31+'Inputs'!$B$32)/1000+'Inputs'!$B$21+'Inputs'!$B$9+'Inputs'!$B$10)+'Inputs'!$B$7)^2+('Inputs'!$B$6/2)^2)-(((83-43)*MAX('Inputs'!$B$33,'Inputs'!$B$29+'Inputs'!$B$31+'Inputs'!$B$32,'Inputs'!$B$30+'Inputs'!$B$31+'Inputs'!$B$32)/1000+'Inputs'!$B$21+'Inputs'!$B$9+'Inputs'!$B$10))/SQRT((((83-43)*MAX('Inputs'!$B$33,'Inputs'!$B$29+'Inputs'!$B$31+'Inputs'!$B$32,'Inputs'!$B$30+'Inputs'!$B$31+'Inputs'!$B$32)/1000+'Inputs'!$B$21+'Inputs'!$B$9+'Inputs'!$B$10))^2+('Inputs'!$B$6/2)^2))))*'Results'!$B$8)+'Inputs'!$B$28*ABS((('Results'!C7*(1+'Inputs'!$B$24)*(0.5*((((83-43)*MAX('Inputs'!$B$33,'Inputs'!$B$29+'Inputs'!$B$31+'Inputs'!$B$32,'Inputs'!$B$30+'Inputs'!$B$31+'Inputs'!$B$32)/1000+'Inputs'!$B$21)+'Inputs'!$B$9)/SQRT((((83-43)*MAX('Inputs'!$B$33,'Inputs'!$B$29+'Inputs'!$B$31+'Inputs'!$B$32,'Inputs'!$B$30+'Inputs'!$B$31+'Inputs'!$B$32)/1000+'Inputs'!$B$21)+'Inputs'!$B$9)^2+('Inputs'!$B$8/2)^2)-(((83-43)*MAX('Inputs'!$B$33,'Inputs'!$B$29+'Inputs'!$B$31+'Inputs'!$B$32,'Inputs'!$B$30+'Inputs'!$B$31+'Inputs'!$B$32)/1000+'Inputs'!$B$21))/SQRT((((83-43)*MAX('Inputs'!$B$33,'Inputs'!$B$29+'Inputs'!$B$31+'Inputs'!$B$32,'Inputs'!$B$30+'Inputs'!$B$31+'Inputs'!$B$32)/1000+'Inputs'!$B$21))^2+('Inputs'!$B$8/2)^2)))-'Results'!B7*(1-'Inputs'!$B$24)*(0.5*((((83-43)*MAX('Inputs'!$B$33,'Inputs'!$B$29+'Inputs'!$B$31+'Inputs'!$B$32,'Inputs'!$B$30+'Inputs'!$B$31+'Inputs'!$B$32)/1000+'Inputs'!$B$21+'Inputs'!$B$9+'Inputs'!$B$10)+'Inputs'!$B$7)/SQRT((((83-43)*MAX('Inputs'!$B$33,'Inputs'!$B$29+'Inputs'!$B$31+'Inputs'!$B$32,'Inputs'!$B$30+'Inputs'!$B$31+'Inputs'!$B$32)/1000+'Inputs'!$B$21+'Inputs'!$B$9+'Inputs'!$B$10)+'Inputs'!$B$7)^2+('Inputs'!$B$6/2)^2)-(((83-43)*MAX('Inputs'!$B$33,'Inputs'!$B$29+'Inputs'!$B$31+'Inputs'!$B$32,'Inputs'!$B$30+'Inputs'!$B$31+'Inputs'!$B$32)/1000+'Inputs'!$B$21+'Inputs'!$B$9+'Inputs'!$B$10))/SQRT((((83-43)*MAX('Inputs'!$B$33,'Inputs'!$B$29+'Inputs'!$B$31+'Inputs'!$B$32,'Inputs'!$B$30+'Inputs'!$B$31+'Inputs'!$B$32)/1000+'Inputs'!$B$21+'Inputs'!$B$9+'Inputs'!$B$10))^2+('Inputs'!$B$6/2)^2))))*'Results'!$B$8))),"")</x:f>
        <x:v>1246.1655032043734</x:v>
      </x:c>
      <x:c r="P83" t="n">
        <x:f>IF(AND(MAX(J83,J82)&gt;0,J83&gt;J82+0.00000001),1,0)</x:f>
        <x:v>0</x:v>
      </x:c>
      <x:c r="Q83" t="n">
        <x:f>IF(AND(MAX(K83,K82)&gt;0,K83&gt;K82+0.00000001),1,0)</x:f>
        <x:v>0</x:v>
      </x:c>
      <x:c r="R83" t="n">
        <x:f>IF(AND(MAX(L83,L82)&gt;0,L83&gt;L82+0.00000001),1,0)</x:f>
        <x:v>0</x:v>
      </x:c>
      <x:c r="S83" t="n">
        <x:f>IF(AND(MAX(M83,M82)&gt;0,M83&gt;M82+0.00000001),1,0)</x:f>
        <x:v>0</x:v>
      </x:c>
      <x:c r="T83" t="n">
        <x:f>IF(AND(MAX(N83,N82)&gt;0,N83&gt;N82+0.00000001),1,0)</x:f>
        <x:v>0</x:v>
      </x:c>
      <x:c r="U83" t="n">
        <x:f>IF(AND(MAX(O83,O82)&gt;0,O83&gt;O82+0.00000001),1,0)</x:f>
        <x:v>0</x:v>
      </x:c>
    </x:row>
    <x:row r="84">
      <x:c r="J84" t="n">
        <x:f>IF(AND(ISNUMBER('Results'!B7),ISNUMBER('Results'!C7),ISNUMBER('Results'!$B$8),ISNUMBER('Inputs'!$B$6),ISNUMBER('Inputs'!$B$7),ISNUMBER('Inputs'!$B$8),ISNUMBER('Inputs'!$B$9),ISNUMBER('Inputs'!$B$10),ISNUMBER('Inputs'!$B$21),ISNUMBER('Inputs'!$B$24),ISNUMBER('Inputs'!$B$28)),(('Results'!B7*(0.5*((((84-43)*MAX('Inputs'!$B$33,'Inputs'!$B$29+'Inputs'!$B$31+'Inputs'!$B$32,'Inputs'!$B$30+'Inputs'!$B$31+'Inputs'!$B$32)/1000+'Inputs'!$B$21)+'Inputs'!$B$7)/SQRT((((84-43)*MAX('Inputs'!$B$33,'Inputs'!$B$29+'Inputs'!$B$31+'Inputs'!$B$32,'Inputs'!$B$30+'Inputs'!$B$31+'Inputs'!$B$32)/1000+'Inputs'!$B$21)+'Inputs'!$B$7)^2+('Inputs'!$B$6/2)^2)-(((84-43)*MAX('Inputs'!$B$33,'Inputs'!$B$29+'Inputs'!$B$31+'Inputs'!$B$32,'Inputs'!$B$30+'Inputs'!$B$31+'Inputs'!$B$32)/1000+'Inputs'!$B$21))/SQRT((((84-43)*MAX('Inputs'!$B$33,'Inputs'!$B$29+'Inputs'!$B$31+'Inputs'!$B$32,'Inputs'!$B$30+'Inputs'!$B$31+'Inputs'!$B$32)/1000+'Inputs'!$B$21))^2+('Inputs'!$B$6/2)^2)))-'Results'!C7*(0.5*((((84-43)*MAX('Inputs'!$B$33,'Inputs'!$B$29+'Inputs'!$B$31+'Inputs'!$B$32,'Inputs'!$B$30+'Inputs'!$B$31+'Inputs'!$B$32)/1000+'Inputs'!$B$21+'Inputs'!$B$7+'Inputs'!$B$10)+'Inputs'!$B$9)/SQRT((((84-43)*MAX('Inputs'!$B$33,'Inputs'!$B$29+'Inputs'!$B$31+'Inputs'!$B$32,'Inputs'!$B$30+'Inputs'!$B$31+'Inputs'!$B$32)/1000+'Inputs'!$B$21+'Inputs'!$B$7+'Inputs'!$B$10)+'Inputs'!$B$9)^2+('Inputs'!$B$8/2)^2)-(((84-43)*MAX('Inputs'!$B$33,'Inputs'!$B$29+'Inputs'!$B$31+'Inputs'!$B$32,'Inputs'!$B$30+'Inputs'!$B$31+'Inputs'!$B$32)/1000+'Inputs'!$B$21+'Inputs'!$B$7+'Inputs'!$B$10))/SQRT((((84-43)*MAX('Inputs'!$B$33,'Inputs'!$B$29+'Inputs'!$B$31+'Inputs'!$B$32,'Inputs'!$B$30+'Inputs'!$B$31+'Inputs'!$B$32)/1000+'Inputs'!$B$21+'Inputs'!$B$7+'Inputs'!$B$10))^2+('Inputs'!$B$8/2)^2))))*'Results'!$B$8),"")</x:f>
        <x:v>1166.0102203599765</x:v>
      </x:c>
      <x:c r="K84" t="n">
        <x:f>IF(AND(ISNUMBER('Results'!B7),ISNUMBER('Results'!C7),ISNUMBER('Results'!$B$8),ISNUMBER('Inputs'!$B$6),ISNUMBER('Inputs'!$B$7),ISNUMBER('Inputs'!$B$8),ISNUMBER('Inputs'!$B$9),ISNUMBER('Inputs'!$B$10),ISNUMBER('Inputs'!$B$21),ISNUMBER('Inputs'!$B$24),ISNUMBER('Inputs'!$B$28)),((('Results'!B7*(1-'Inputs'!$B$24)*(0.5*((((84-43)*MAX('Inputs'!$B$33,'Inputs'!$B$29+'Inputs'!$B$31+'Inputs'!$B$32,'Inputs'!$B$30+'Inputs'!$B$31+'Inputs'!$B$32)/1000+'Inputs'!$B$21)+'Inputs'!$B$7)/SQRT((((84-43)*MAX('Inputs'!$B$33,'Inputs'!$B$29+'Inputs'!$B$31+'Inputs'!$B$32,'Inputs'!$B$30+'Inputs'!$B$31+'Inputs'!$B$32)/1000+'Inputs'!$B$21)+'Inputs'!$B$7)^2+('Inputs'!$B$6/2)^2)-(((84-43)*MAX('Inputs'!$B$33,'Inputs'!$B$29+'Inputs'!$B$31+'Inputs'!$B$32,'Inputs'!$B$30+'Inputs'!$B$31+'Inputs'!$B$32)/1000+'Inputs'!$B$21))/SQRT((((84-43)*MAX('Inputs'!$B$33,'Inputs'!$B$29+'Inputs'!$B$31+'Inputs'!$B$32,'Inputs'!$B$30+'Inputs'!$B$31+'Inputs'!$B$32)/1000+'Inputs'!$B$21))^2+('Inputs'!$B$6/2)^2)))-'Results'!C7*(1+'Inputs'!$B$24)*(0.5*((((84-43)*MAX('Inputs'!$B$33,'Inputs'!$B$29+'Inputs'!$B$31+'Inputs'!$B$32,'Inputs'!$B$30+'Inputs'!$B$31+'Inputs'!$B$32)/1000+'Inputs'!$B$21+'Inputs'!$B$7+'Inputs'!$B$10)+'Inputs'!$B$9)/SQRT((((84-43)*MAX('Inputs'!$B$33,'Inputs'!$B$29+'Inputs'!$B$31+'Inputs'!$B$32,'Inputs'!$B$30+'Inputs'!$B$31+'Inputs'!$B$32)/1000+'Inputs'!$B$21+'Inputs'!$B$7+'Inputs'!$B$10)+'Inputs'!$B$9)^2+('Inputs'!$B$8/2)^2)-(((84-43)*MAX('Inputs'!$B$33,'Inputs'!$B$29+'Inputs'!$B$31+'Inputs'!$B$32,'Inputs'!$B$30+'Inputs'!$B$31+'Inputs'!$B$32)/1000+'Inputs'!$B$21+'Inputs'!$B$7+'Inputs'!$B$10))/SQRT((((84-43)*MAX('Inputs'!$B$33,'Inputs'!$B$29+'Inputs'!$B$31+'Inputs'!$B$32,'Inputs'!$B$30+'Inputs'!$B$31+'Inputs'!$B$32)/1000+'Inputs'!$B$21+'Inputs'!$B$7+'Inputs'!$B$10))^2+('Inputs'!$B$8/2)^2))))*'Results'!$B$8)-'Inputs'!$B$28*ABS((('Results'!B7*(1-'Inputs'!$B$24)*(0.5*((((84-43)*MAX('Inputs'!$B$33,'Inputs'!$B$29+'Inputs'!$B$31+'Inputs'!$B$32,'Inputs'!$B$30+'Inputs'!$B$31+'Inputs'!$B$32)/1000+'Inputs'!$B$21)+'Inputs'!$B$7)/SQRT((((84-43)*MAX('Inputs'!$B$33,'Inputs'!$B$29+'Inputs'!$B$31+'Inputs'!$B$32,'Inputs'!$B$30+'Inputs'!$B$31+'Inputs'!$B$32)/1000+'Inputs'!$B$21)+'Inputs'!$B$7)^2+('Inputs'!$B$6/2)^2)-(((84-43)*MAX('Inputs'!$B$33,'Inputs'!$B$29+'Inputs'!$B$31+'Inputs'!$B$32,'Inputs'!$B$30+'Inputs'!$B$31+'Inputs'!$B$32)/1000+'Inputs'!$B$21))/SQRT((((84-43)*MAX('Inputs'!$B$33,'Inputs'!$B$29+'Inputs'!$B$31+'Inputs'!$B$32,'Inputs'!$B$30+'Inputs'!$B$31+'Inputs'!$B$32)/1000+'Inputs'!$B$21))^2+('Inputs'!$B$6/2)^2)))-'Results'!C7*(1+'Inputs'!$B$24)*(0.5*((((84-43)*MAX('Inputs'!$B$33,'Inputs'!$B$29+'Inputs'!$B$31+'Inputs'!$B$32,'Inputs'!$B$30+'Inputs'!$B$31+'Inputs'!$B$32)/1000+'Inputs'!$B$21+'Inputs'!$B$7+'Inputs'!$B$10)+'Inputs'!$B$9)/SQRT((((84-43)*MAX('Inputs'!$B$33,'Inputs'!$B$29+'Inputs'!$B$31+'Inputs'!$B$32,'Inputs'!$B$30+'Inputs'!$B$31+'Inputs'!$B$32)/1000+'Inputs'!$B$21+'Inputs'!$B$7+'Inputs'!$B$10)+'Inputs'!$B$9)^2+('Inputs'!$B$8/2)^2)-(((84-43)*MAX('Inputs'!$B$33,'Inputs'!$B$29+'Inputs'!$B$31+'Inputs'!$B$32,'Inputs'!$B$30+'Inputs'!$B$31+'Inputs'!$B$32)/1000+'Inputs'!$B$21+'Inputs'!$B$7+'Inputs'!$B$10))/SQRT((((84-43)*MAX('Inputs'!$B$33,'Inputs'!$B$29+'Inputs'!$B$31+'Inputs'!$B$32,'Inputs'!$B$30+'Inputs'!$B$31+'Inputs'!$B$32)/1000+'Inputs'!$B$21+'Inputs'!$B$7+'Inputs'!$B$10))^2+('Inputs'!$B$8/2)^2))))*'Results'!$B$8))),"")</x:f>
        <x:v>1078.5069880818367</x:v>
      </x:c>
      <x:c r="L84" t="n">
        <x:f>IF(AND(ISNUMBER('Results'!B7),ISNUMBER('Results'!C7),ISNUMBER('Results'!$B$8),ISNUMBER('Inputs'!$B$6),ISNUMBER('Inputs'!$B$7),ISNUMBER('Inputs'!$B$8),ISNUMBER('Inputs'!$B$9),ISNUMBER('Inputs'!$B$10),ISNUMBER('Inputs'!$B$21),ISNUMBER('Inputs'!$B$24),ISNUMBER('Inputs'!$B$28)),((('Results'!B7*(1+'Inputs'!$B$24)*(0.5*((((84-43)*MAX('Inputs'!$B$33,'Inputs'!$B$29+'Inputs'!$B$31+'Inputs'!$B$32,'Inputs'!$B$30+'Inputs'!$B$31+'Inputs'!$B$32)/1000+'Inputs'!$B$21)+'Inputs'!$B$7)/SQRT((((84-43)*MAX('Inputs'!$B$33,'Inputs'!$B$29+'Inputs'!$B$31+'Inputs'!$B$32,'Inputs'!$B$30+'Inputs'!$B$31+'Inputs'!$B$32)/1000+'Inputs'!$B$21)+'Inputs'!$B$7)^2+('Inputs'!$B$6/2)^2)-(((84-43)*MAX('Inputs'!$B$33,'Inputs'!$B$29+'Inputs'!$B$31+'Inputs'!$B$32,'Inputs'!$B$30+'Inputs'!$B$31+'Inputs'!$B$32)/1000+'Inputs'!$B$21))/SQRT((((84-43)*MAX('Inputs'!$B$33,'Inputs'!$B$29+'Inputs'!$B$31+'Inputs'!$B$32,'Inputs'!$B$30+'Inputs'!$B$31+'Inputs'!$B$32)/1000+'Inputs'!$B$21))^2+('Inputs'!$B$6/2)^2)))-'Results'!C7*(1-'Inputs'!$B$24)*(0.5*((((84-43)*MAX('Inputs'!$B$33,'Inputs'!$B$29+'Inputs'!$B$31+'Inputs'!$B$32,'Inputs'!$B$30+'Inputs'!$B$31+'Inputs'!$B$32)/1000+'Inputs'!$B$21+'Inputs'!$B$7+'Inputs'!$B$10)+'Inputs'!$B$9)/SQRT((((84-43)*MAX('Inputs'!$B$33,'Inputs'!$B$29+'Inputs'!$B$31+'Inputs'!$B$32,'Inputs'!$B$30+'Inputs'!$B$31+'Inputs'!$B$32)/1000+'Inputs'!$B$21+'Inputs'!$B$7+'Inputs'!$B$10)+'Inputs'!$B$9)^2+('Inputs'!$B$8/2)^2)-(((84-43)*MAX('Inputs'!$B$33,'Inputs'!$B$29+'Inputs'!$B$31+'Inputs'!$B$32,'Inputs'!$B$30+'Inputs'!$B$31+'Inputs'!$B$32)/1000+'Inputs'!$B$21+'Inputs'!$B$7+'Inputs'!$B$10))/SQRT((((84-43)*MAX('Inputs'!$B$33,'Inputs'!$B$29+'Inputs'!$B$31+'Inputs'!$B$32,'Inputs'!$B$30+'Inputs'!$B$31+'Inputs'!$B$32)/1000+'Inputs'!$B$21+'Inputs'!$B$7+'Inputs'!$B$10))^2+('Inputs'!$B$8/2)^2))))*'Results'!$B$8)+'Inputs'!$B$28*ABS((('Results'!B7*(1+'Inputs'!$B$24)*(0.5*((((84-43)*MAX('Inputs'!$B$33,'Inputs'!$B$29+'Inputs'!$B$31+'Inputs'!$B$32,'Inputs'!$B$30+'Inputs'!$B$31+'Inputs'!$B$32)/1000+'Inputs'!$B$21)+'Inputs'!$B$7)/SQRT((((84-43)*MAX('Inputs'!$B$33,'Inputs'!$B$29+'Inputs'!$B$31+'Inputs'!$B$32,'Inputs'!$B$30+'Inputs'!$B$31+'Inputs'!$B$32)/1000+'Inputs'!$B$21)+'Inputs'!$B$7)^2+('Inputs'!$B$6/2)^2)-(((84-43)*MAX('Inputs'!$B$33,'Inputs'!$B$29+'Inputs'!$B$31+'Inputs'!$B$32,'Inputs'!$B$30+'Inputs'!$B$31+'Inputs'!$B$32)/1000+'Inputs'!$B$21))/SQRT((((84-43)*MAX('Inputs'!$B$33,'Inputs'!$B$29+'Inputs'!$B$31+'Inputs'!$B$32,'Inputs'!$B$30+'Inputs'!$B$31+'Inputs'!$B$32)/1000+'Inputs'!$B$21))^2+('Inputs'!$B$6/2)^2)))-'Results'!C7*(1-'Inputs'!$B$24)*(0.5*((((84-43)*MAX('Inputs'!$B$33,'Inputs'!$B$29+'Inputs'!$B$31+'Inputs'!$B$32,'Inputs'!$B$30+'Inputs'!$B$31+'Inputs'!$B$32)/1000+'Inputs'!$B$21+'Inputs'!$B$7+'Inputs'!$B$10)+'Inputs'!$B$9)/SQRT((((84-43)*MAX('Inputs'!$B$33,'Inputs'!$B$29+'Inputs'!$B$31+'Inputs'!$B$32,'Inputs'!$B$30+'Inputs'!$B$31+'Inputs'!$B$32)/1000+'Inputs'!$B$21+'Inputs'!$B$7+'Inputs'!$B$10)+'Inputs'!$B$9)^2+('Inputs'!$B$8/2)^2)-(((84-43)*MAX('Inputs'!$B$33,'Inputs'!$B$29+'Inputs'!$B$31+'Inputs'!$B$32,'Inputs'!$B$30+'Inputs'!$B$31+'Inputs'!$B$32)/1000+'Inputs'!$B$21+'Inputs'!$B$7+'Inputs'!$B$10))/SQRT((((84-43)*MAX('Inputs'!$B$33,'Inputs'!$B$29+'Inputs'!$B$31+'Inputs'!$B$32,'Inputs'!$B$30+'Inputs'!$B$31+'Inputs'!$B$32)/1000+'Inputs'!$B$21+'Inputs'!$B$7+'Inputs'!$B$10))^2+('Inputs'!$B$8/2)^2))))*'Results'!$B$8))),"")</x:f>
        <x:v>1256.587423297078</x:v>
      </x:c>
      <x:c r="M84" t="n">
        <x:f>IF(AND(ISNUMBER('Results'!C7),ISNUMBER('Results'!B7),ISNUMBER('Results'!$B$8),ISNUMBER('Inputs'!$B$6),ISNUMBER('Inputs'!$B$7),ISNUMBER('Inputs'!$B$8),ISNUMBER('Inputs'!$B$9),ISNUMBER('Inputs'!$B$10),ISNUMBER('Inputs'!$B$21),ISNUMBER('Inputs'!$B$24),ISNUMBER('Inputs'!$B$28)),(('Results'!C7*(0.5*((((84-43)*MAX('Inputs'!$B$33,'Inputs'!$B$29+'Inputs'!$B$31+'Inputs'!$B$32,'Inputs'!$B$30+'Inputs'!$B$31+'Inputs'!$B$32)/1000+'Inputs'!$B$21)+'Inputs'!$B$9)/SQRT((((84-43)*MAX('Inputs'!$B$33,'Inputs'!$B$29+'Inputs'!$B$31+'Inputs'!$B$32,'Inputs'!$B$30+'Inputs'!$B$31+'Inputs'!$B$32)/1000+'Inputs'!$B$21)+'Inputs'!$B$9)^2+('Inputs'!$B$8/2)^2)-(((84-43)*MAX('Inputs'!$B$33,'Inputs'!$B$29+'Inputs'!$B$31+'Inputs'!$B$32,'Inputs'!$B$30+'Inputs'!$B$31+'Inputs'!$B$32)/1000+'Inputs'!$B$21))/SQRT((((84-43)*MAX('Inputs'!$B$33,'Inputs'!$B$29+'Inputs'!$B$31+'Inputs'!$B$32,'Inputs'!$B$30+'Inputs'!$B$31+'Inputs'!$B$32)/1000+'Inputs'!$B$21))^2+('Inputs'!$B$8/2)^2)))-'Results'!B7*(0.5*((((84-43)*MAX('Inputs'!$B$33,'Inputs'!$B$29+'Inputs'!$B$31+'Inputs'!$B$32,'Inputs'!$B$30+'Inputs'!$B$31+'Inputs'!$B$32)/1000+'Inputs'!$B$21+'Inputs'!$B$9+'Inputs'!$B$10)+'Inputs'!$B$7)/SQRT((((84-43)*MAX('Inputs'!$B$33,'Inputs'!$B$29+'Inputs'!$B$31+'Inputs'!$B$32,'Inputs'!$B$30+'Inputs'!$B$31+'Inputs'!$B$32)/1000+'Inputs'!$B$21+'Inputs'!$B$9+'Inputs'!$B$10)+'Inputs'!$B$7)^2+('Inputs'!$B$6/2)^2)-(((84-43)*MAX('Inputs'!$B$33,'Inputs'!$B$29+'Inputs'!$B$31+'Inputs'!$B$32,'Inputs'!$B$30+'Inputs'!$B$31+'Inputs'!$B$32)/1000+'Inputs'!$B$21+'Inputs'!$B$9+'Inputs'!$B$10))/SQRT((((84-43)*MAX('Inputs'!$B$33,'Inputs'!$B$29+'Inputs'!$B$31+'Inputs'!$B$32,'Inputs'!$B$30+'Inputs'!$B$31+'Inputs'!$B$32)/1000+'Inputs'!$B$21+'Inputs'!$B$9+'Inputs'!$B$10))^2+('Inputs'!$B$6/2)^2))))*'Results'!$B$8),"")</x:f>
        <x:v>1135.1948045644115</x:v>
      </x:c>
      <x:c r="N84" t="n">
        <x:f>IF(AND(ISNUMBER('Results'!C7),ISNUMBER('Results'!B7),ISNUMBER('Results'!$B$8),ISNUMBER('Inputs'!$B$6),ISNUMBER('Inputs'!$B$7),ISNUMBER('Inputs'!$B$8),ISNUMBER('Inputs'!$B$9),ISNUMBER('Inputs'!$B$10),ISNUMBER('Inputs'!$B$21),ISNUMBER('Inputs'!$B$24),ISNUMBER('Inputs'!$B$28)),((('Results'!C7*(1-'Inputs'!$B$24)*(0.5*((((84-43)*MAX('Inputs'!$B$33,'Inputs'!$B$29+'Inputs'!$B$31+'Inputs'!$B$32,'Inputs'!$B$30+'Inputs'!$B$31+'Inputs'!$B$32)/1000+'Inputs'!$B$21)+'Inputs'!$B$9)/SQRT((((84-43)*MAX('Inputs'!$B$33,'Inputs'!$B$29+'Inputs'!$B$31+'Inputs'!$B$32,'Inputs'!$B$30+'Inputs'!$B$31+'Inputs'!$B$32)/1000+'Inputs'!$B$21)+'Inputs'!$B$9)^2+('Inputs'!$B$8/2)^2)-(((84-43)*MAX('Inputs'!$B$33,'Inputs'!$B$29+'Inputs'!$B$31+'Inputs'!$B$32,'Inputs'!$B$30+'Inputs'!$B$31+'Inputs'!$B$32)/1000+'Inputs'!$B$21))/SQRT((((84-43)*MAX('Inputs'!$B$33,'Inputs'!$B$29+'Inputs'!$B$31+'Inputs'!$B$32,'Inputs'!$B$30+'Inputs'!$B$31+'Inputs'!$B$32)/1000+'Inputs'!$B$21))^2+('Inputs'!$B$8/2)^2)))-'Results'!B7*(1+'Inputs'!$B$24)*(0.5*((((84-43)*MAX('Inputs'!$B$33,'Inputs'!$B$29+'Inputs'!$B$31+'Inputs'!$B$32,'Inputs'!$B$30+'Inputs'!$B$31+'Inputs'!$B$32)/1000+'Inputs'!$B$21+'Inputs'!$B$9+'Inputs'!$B$10)+'Inputs'!$B$7)/SQRT((((84-43)*MAX('Inputs'!$B$33,'Inputs'!$B$29+'Inputs'!$B$31+'Inputs'!$B$32,'Inputs'!$B$30+'Inputs'!$B$31+'Inputs'!$B$32)/1000+'Inputs'!$B$21+'Inputs'!$B$9+'Inputs'!$B$10)+'Inputs'!$B$7)^2+('Inputs'!$B$6/2)^2)-(((84-43)*MAX('Inputs'!$B$33,'Inputs'!$B$29+'Inputs'!$B$31+'Inputs'!$B$32,'Inputs'!$B$30+'Inputs'!$B$31+'Inputs'!$B$32)/1000+'Inputs'!$B$21+'Inputs'!$B$9+'Inputs'!$B$10))/SQRT((((84-43)*MAX('Inputs'!$B$33,'Inputs'!$B$29+'Inputs'!$B$31+'Inputs'!$B$32,'Inputs'!$B$30+'Inputs'!$B$31+'Inputs'!$B$32)/1000+'Inputs'!$B$21+'Inputs'!$B$9+'Inputs'!$B$10))^2+('Inputs'!$B$6/2)^2))))*'Results'!$B$8)-'Inputs'!$B$28*ABS((('Results'!C7*(1-'Inputs'!$B$24)*(0.5*((((84-43)*MAX('Inputs'!$B$33,'Inputs'!$B$29+'Inputs'!$B$31+'Inputs'!$B$32,'Inputs'!$B$30+'Inputs'!$B$31+'Inputs'!$B$32)/1000+'Inputs'!$B$21)+'Inputs'!$B$9)/SQRT((((84-43)*MAX('Inputs'!$B$33,'Inputs'!$B$29+'Inputs'!$B$31+'Inputs'!$B$32,'Inputs'!$B$30+'Inputs'!$B$31+'Inputs'!$B$32)/1000+'Inputs'!$B$21)+'Inputs'!$B$9)^2+('Inputs'!$B$8/2)^2)-(((84-43)*MAX('Inputs'!$B$33,'Inputs'!$B$29+'Inputs'!$B$31+'Inputs'!$B$32,'Inputs'!$B$30+'Inputs'!$B$31+'Inputs'!$B$32)/1000+'Inputs'!$B$21))/SQRT((((84-43)*MAX('Inputs'!$B$33,'Inputs'!$B$29+'Inputs'!$B$31+'Inputs'!$B$32,'Inputs'!$B$30+'Inputs'!$B$31+'Inputs'!$B$32)/1000+'Inputs'!$B$21))^2+('Inputs'!$B$8/2)^2)))-'Results'!B7*(1+'Inputs'!$B$24)*(0.5*((((84-43)*MAX('Inputs'!$B$33,'Inputs'!$B$29+'Inputs'!$B$31+'Inputs'!$B$32,'Inputs'!$B$30+'Inputs'!$B$31+'Inputs'!$B$32)/1000+'Inputs'!$B$21+'Inputs'!$B$9+'Inputs'!$B$10)+'Inputs'!$B$7)/SQRT((((84-43)*MAX('Inputs'!$B$33,'Inputs'!$B$29+'Inputs'!$B$31+'Inputs'!$B$32,'Inputs'!$B$30+'Inputs'!$B$31+'Inputs'!$B$32)/1000+'Inputs'!$B$21+'Inputs'!$B$9+'Inputs'!$B$10)+'Inputs'!$B$7)^2+('Inputs'!$B$6/2)^2)-(((84-43)*MAX('Inputs'!$B$33,'Inputs'!$B$29+'Inputs'!$B$31+'Inputs'!$B$32,'Inputs'!$B$30+'Inputs'!$B$31+'Inputs'!$B$32)/1000+'Inputs'!$B$21+'Inputs'!$B$9+'Inputs'!$B$10))/SQRT((((84-43)*MAX('Inputs'!$B$33,'Inputs'!$B$29+'Inputs'!$B$31+'Inputs'!$B$32,'Inputs'!$B$30+'Inputs'!$B$31+'Inputs'!$B$32)/1000+'Inputs'!$B$21+'Inputs'!$B$9+'Inputs'!$B$10))^2+('Inputs'!$B$6/2)^2))))*'Results'!$B$8))),"")</x:f>
        <x:v>1049.6739884848737</x:v>
      </x:c>
      <x:c r="O84" t="n">
        <x:f>IF(AND(ISNUMBER('Results'!C7),ISNUMBER('Results'!B7),ISNUMBER('Results'!$B$8),ISNUMBER('Inputs'!$B$6),ISNUMBER('Inputs'!$B$7),ISNUMBER('Inputs'!$B$8),ISNUMBER('Inputs'!$B$9),ISNUMBER('Inputs'!$B$10),ISNUMBER('Inputs'!$B$21),ISNUMBER('Inputs'!$B$24),ISNUMBER('Inputs'!$B$28)),((('Results'!C7*(1+'Inputs'!$B$24)*(0.5*((((84-43)*MAX('Inputs'!$B$33,'Inputs'!$B$29+'Inputs'!$B$31+'Inputs'!$B$32,'Inputs'!$B$30+'Inputs'!$B$31+'Inputs'!$B$32)/1000+'Inputs'!$B$21)+'Inputs'!$B$9)/SQRT((((84-43)*MAX('Inputs'!$B$33,'Inputs'!$B$29+'Inputs'!$B$31+'Inputs'!$B$32,'Inputs'!$B$30+'Inputs'!$B$31+'Inputs'!$B$32)/1000+'Inputs'!$B$21)+'Inputs'!$B$9)^2+('Inputs'!$B$8/2)^2)-(((84-43)*MAX('Inputs'!$B$33,'Inputs'!$B$29+'Inputs'!$B$31+'Inputs'!$B$32,'Inputs'!$B$30+'Inputs'!$B$31+'Inputs'!$B$32)/1000+'Inputs'!$B$21))/SQRT((((84-43)*MAX('Inputs'!$B$33,'Inputs'!$B$29+'Inputs'!$B$31+'Inputs'!$B$32,'Inputs'!$B$30+'Inputs'!$B$31+'Inputs'!$B$32)/1000+'Inputs'!$B$21))^2+('Inputs'!$B$8/2)^2)))-'Results'!B7*(1-'Inputs'!$B$24)*(0.5*((((84-43)*MAX('Inputs'!$B$33,'Inputs'!$B$29+'Inputs'!$B$31+'Inputs'!$B$32,'Inputs'!$B$30+'Inputs'!$B$31+'Inputs'!$B$32)/1000+'Inputs'!$B$21+'Inputs'!$B$9+'Inputs'!$B$10)+'Inputs'!$B$7)/SQRT((((84-43)*MAX('Inputs'!$B$33,'Inputs'!$B$29+'Inputs'!$B$31+'Inputs'!$B$32,'Inputs'!$B$30+'Inputs'!$B$31+'Inputs'!$B$32)/1000+'Inputs'!$B$21+'Inputs'!$B$9+'Inputs'!$B$10)+'Inputs'!$B$7)^2+('Inputs'!$B$6/2)^2)-(((84-43)*MAX('Inputs'!$B$33,'Inputs'!$B$29+'Inputs'!$B$31+'Inputs'!$B$32,'Inputs'!$B$30+'Inputs'!$B$31+'Inputs'!$B$32)/1000+'Inputs'!$B$21+'Inputs'!$B$9+'Inputs'!$B$10))/SQRT((((84-43)*MAX('Inputs'!$B$33,'Inputs'!$B$29+'Inputs'!$B$31+'Inputs'!$B$32,'Inputs'!$B$30+'Inputs'!$B$31+'Inputs'!$B$32)/1000+'Inputs'!$B$21+'Inputs'!$B$9+'Inputs'!$B$10))^2+('Inputs'!$B$6/2)^2))))*'Results'!$B$8)+'Inputs'!$B$28*ABS((('Results'!C7*(1+'Inputs'!$B$24)*(0.5*((((84-43)*MAX('Inputs'!$B$33,'Inputs'!$B$29+'Inputs'!$B$31+'Inputs'!$B$32,'Inputs'!$B$30+'Inputs'!$B$31+'Inputs'!$B$32)/1000+'Inputs'!$B$21)+'Inputs'!$B$9)/SQRT((((84-43)*MAX('Inputs'!$B$33,'Inputs'!$B$29+'Inputs'!$B$31+'Inputs'!$B$32,'Inputs'!$B$30+'Inputs'!$B$31+'Inputs'!$B$32)/1000+'Inputs'!$B$21)+'Inputs'!$B$9)^2+('Inputs'!$B$8/2)^2)-(((84-43)*MAX('Inputs'!$B$33,'Inputs'!$B$29+'Inputs'!$B$31+'Inputs'!$B$32,'Inputs'!$B$30+'Inputs'!$B$31+'Inputs'!$B$32)/1000+'Inputs'!$B$21))/SQRT((((84-43)*MAX('Inputs'!$B$33,'Inputs'!$B$29+'Inputs'!$B$31+'Inputs'!$B$32,'Inputs'!$B$30+'Inputs'!$B$31+'Inputs'!$B$32)/1000+'Inputs'!$B$21))^2+('Inputs'!$B$8/2)^2)))-'Results'!B7*(1-'Inputs'!$B$24)*(0.5*((((84-43)*MAX('Inputs'!$B$33,'Inputs'!$B$29+'Inputs'!$B$31+'Inputs'!$B$32,'Inputs'!$B$30+'Inputs'!$B$31+'Inputs'!$B$32)/1000+'Inputs'!$B$21+'Inputs'!$B$9+'Inputs'!$B$10)+'Inputs'!$B$7)/SQRT((((84-43)*MAX('Inputs'!$B$33,'Inputs'!$B$29+'Inputs'!$B$31+'Inputs'!$B$32,'Inputs'!$B$30+'Inputs'!$B$31+'Inputs'!$B$32)/1000+'Inputs'!$B$21+'Inputs'!$B$9+'Inputs'!$B$10)+'Inputs'!$B$7)^2+('Inputs'!$B$6/2)^2)-(((84-43)*MAX('Inputs'!$B$33,'Inputs'!$B$29+'Inputs'!$B$31+'Inputs'!$B$32,'Inputs'!$B$30+'Inputs'!$B$31+'Inputs'!$B$32)/1000+'Inputs'!$B$21+'Inputs'!$B$9+'Inputs'!$B$10))/SQRT((((84-43)*MAX('Inputs'!$B$33,'Inputs'!$B$29+'Inputs'!$B$31+'Inputs'!$B$32,'Inputs'!$B$30+'Inputs'!$B$31+'Inputs'!$B$32)/1000+'Inputs'!$B$21+'Inputs'!$B$9+'Inputs'!$B$10))^2+('Inputs'!$B$6/2)^2))))*'Results'!$B$8))),"")</x:f>
        <x:v>1223.7431023125089</x:v>
      </x:c>
      <x:c r="P84" t="n">
        <x:f>IF(AND(MAX(J84,J83)&gt;0,J84&gt;J83+0.00000001),1,0)</x:f>
        <x:v>0</x:v>
      </x:c>
      <x:c r="Q84" t="n">
        <x:f>IF(AND(MAX(K84,K83)&gt;0,K84&gt;K83+0.00000001),1,0)</x:f>
        <x:v>0</x:v>
      </x:c>
      <x:c r="R84" t="n">
        <x:f>IF(AND(MAX(L84,L83)&gt;0,L84&gt;L83+0.00000001),1,0)</x:f>
        <x:v>0</x:v>
      </x:c>
      <x:c r="S84" t="n">
        <x:f>IF(AND(MAX(M84,M83)&gt;0,M84&gt;M83+0.00000001),1,0)</x:f>
        <x:v>0</x:v>
      </x:c>
      <x:c r="T84" t="n">
        <x:f>IF(AND(MAX(N84,N83)&gt;0,N84&gt;N83+0.00000001),1,0)</x:f>
        <x:v>0</x:v>
      </x:c>
      <x:c r="U84" t="n">
        <x:f>IF(AND(MAX(O84,O83)&gt;0,O84&gt;O83+0.00000001),1,0)</x:f>
        <x:v>0</x:v>
      </x:c>
    </x:row>
    <x:row r="85">
      <x:c r="J85" t="n">
        <x:f>IF(AND(ISNUMBER('Results'!B7),ISNUMBER('Results'!C7),ISNUMBER('Results'!$B$8),ISNUMBER('Inputs'!$B$6),ISNUMBER('Inputs'!$B$7),ISNUMBER('Inputs'!$B$8),ISNUMBER('Inputs'!$B$9),ISNUMBER('Inputs'!$B$10),ISNUMBER('Inputs'!$B$21),ISNUMBER('Inputs'!$B$24),ISNUMBER('Inputs'!$B$28)),(('Results'!B7*(0.5*((((85-43)*MAX('Inputs'!$B$33,'Inputs'!$B$29+'Inputs'!$B$31+'Inputs'!$B$32,'Inputs'!$B$30+'Inputs'!$B$31+'Inputs'!$B$32)/1000+'Inputs'!$B$21)+'Inputs'!$B$7)/SQRT((((85-43)*MAX('Inputs'!$B$33,'Inputs'!$B$29+'Inputs'!$B$31+'Inputs'!$B$32,'Inputs'!$B$30+'Inputs'!$B$31+'Inputs'!$B$32)/1000+'Inputs'!$B$21)+'Inputs'!$B$7)^2+('Inputs'!$B$6/2)^2)-(((85-43)*MAX('Inputs'!$B$33,'Inputs'!$B$29+'Inputs'!$B$31+'Inputs'!$B$32,'Inputs'!$B$30+'Inputs'!$B$31+'Inputs'!$B$32)/1000+'Inputs'!$B$21))/SQRT((((85-43)*MAX('Inputs'!$B$33,'Inputs'!$B$29+'Inputs'!$B$31+'Inputs'!$B$32,'Inputs'!$B$30+'Inputs'!$B$31+'Inputs'!$B$32)/1000+'Inputs'!$B$21))^2+('Inputs'!$B$6/2)^2)))-'Results'!C7*(0.5*((((85-43)*MAX('Inputs'!$B$33,'Inputs'!$B$29+'Inputs'!$B$31+'Inputs'!$B$32,'Inputs'!$B$30+'Inputs'!$B$31+'Inputs'!$B$32)/1000+'Inputs'!$B$21+'Inputs'!$B$7+'Inputs'!$B$10)+'Inputs'!$B$9)/SQRT((((85-43)*MAX('Inputs'!$B$33,'Inputs'!$B$29+'Inputs'!$B$31+'Inputs'!$B$32,'Inputs'!$B$30+'Inputs'!$B$31+'Inputs'!$B$32)/1000+'Inputs'!$B$21+'Inputs'!$B$7+'Inputs'!$B$10)+'Inputs'!$B$9)^2+('Inputs'!$B$8/2)^2)-(((85-43)*MAX('Inputs'!$B$33,'Inputs'!$B$29+'Inputs'!$B$31+'Inputs'!$B$32,'Inputs'!$B$30+'Inputs'!$B$31+'Inputs'!$B$32)/1000+'Inputs'!$B$21+'Inputs'!$B$7+'Inputs'!$B$10))/SQRT((((85-43)*MAX('Inputs'!$B$33,'Inputs'!$B$29+'Inputs'!$B$31+'Inputs'!$B$32,'Inputs'!$B$30+'Inputs'!$B$31+'Inputs'!$B$32)/1000+'Inputs'!$B$21+'Inputs'!$B$7+'Inputs'!$B$10))^2+('Inputs'!$B$8/2)^2))))*'Results'!$B$8),"")</x:f>
        <x:v>1144.885617802831</x:v>
      </x:c>
      <x:c r="K85" t="n">
        <x:f>IF(AND(ISNUMBER('Results'!B7),ISNUMBER('Results'!C7),ISNUMBER('Results'!$B$8),ISNUMBER('Inputs'!$B$6),ISNUMBER('Inputs'!$B$7),ISNUMBER('Inputs'!$B$8),ISNUMBER('Inputs'!$B$9),ISNUMBER('Inputs'!$B$10),ISNUMBER('Inputs'!$B$21),ISNUMBER('Inputs'!$B$24),ISNUMBER('Inputs'!$B$28)),((('Results'!B7*(1-'Inputs'!$B$24)*(0.5*((((85-43)*MAX('Inputs'!$B$33,'Inputs'!$B$29+'Inputs'!$B$31+'Inputs'!$B$32,'Inputs'!$B$30+'Inputs'!$B$31+'Inputs'!$B$32)/1000+'Inputs'!$B$21)+'Inputs'!$B$7)/SQRT((((85-43)*MAX('Inputs'!$B$33,'Inputs'!$B$29+'Inputs'!$B$31+'Inputs'!$B$32,'Inputs'!$B$30+'Inputs'!$B$31+'Inputs'!$B$32)/1000+'Inputs'!$B$21)+'Inputs'!$B$7)^2+('Inputs'!$B$6/2)^2)-(((85-43)*MAX('Inputs'!$B$33,'Inputs'!$B$29+'Inputs'!$B$31+'Inputs'!$B$32,'Inputs'!$B$30+'Inputs'!$B$31+'Inputs'!$B$32)/1000+'Inputs'!$B$21))/SQRT((((85-43)*MAX('Inputs'!$B$33,'Inputs'!$B$29+'Inputs'!$B$31+'Inputs'!$B$32,'Inputs'!$B$30+'Inputs'!$B$31+'Inputs'!$B$32)/1000+'Inputs'!$B$21))^2+('Inputs'!$B$6/2)^2)))-'Results'!C7*(1+'Inputs'!$B$24)*(0.5*((((85-43)*MAX('Inputs'!$B$33,'Inputs'!$B$29+'Inputs'!$B$31+'Inputs'!$B$32,'Inputs'!$B$30+'Inputs'!$B$31+'Inputs'!$B$32)/1000+'Inputs'!$B$21+'Inputs'!$B$7+'Inputs'!$B$10)+'Inputs'!$B$9)/SQRT((((85-43)*MAX('Inputs'!$B$33,'Inputs'!$B$29+'Inputs'!$B$31+'Inputs'!$B$32,'Inputs'!$B$30+'Inputs'!$B$31+'Inputs'!$B$32)/1000+'Inputs'!$B$21+'Inputs'!$B$7+'Inputs'!$B$10)+'Inputs'!$B$9)^2+('Inputs'!$B$8/2)^2)-(((85-43)*MAX('Inputs'!$B$33,'Inputs'!$B$29+'Inputs'!$B$31+'Inputs'!$B$32,'Inputs'!$B$30+'Inputs'!$B$31+'Inputs'!$B$32)/1000+'Inputs'!$B$21+'Inputs'!$B$7+'Inputs'!$B$10))/SQRT((((85-43)*MAX('Inputs'!$B$33,'Inputs'!$B$29+'Inputs'!$B$31+'Inputs'!$B$32,'Inputs'!$B$30+'Inputs'!$B$31+'Inputs'!$B$32)/1000+'Inputs'!$B$21+'Inputs'!$B$7+'Inputs'!$B$10))^2+('Inputs'!$B$8/2)^2))))*'Results'!$B$8)-'Inputs'!$B$28*ABS((('Results'!B7*(1-'Inputs'!$B$24)*(0.5*((((85-43)*MAX('Inputs'!$B$33,'Inputs'!$B$29+'Inputs'!$B$31+'Inputs'!$B$32,'Inputs'!$B$30+'Inputs'!$B$31+'Inputs'!$B$32)/1000+'Inputs'!$B$21)+'Inputs'!$B$7)/SQRT((((85-43)*MAX('Inputs'!$B$33,'Inputs'!$B$29+'Inputs'!$B$31+'Inputs'!$B$32,'Inputs'!$B$30+'Inputs'!$B$31+'Inputs'!$B$32)/1000+'Inputs'!$B$21)+'Inputs'!$B$7)^2+('Inputs'!$B$6/2)^2)-(((85-43)*MAX('Inputs'!$B$33,'Inputs'!$B$29+'Inputs'!$B$31+'Inputs'!$B$32,'Inputs'!$B$30+'Inputs'!$B$31+'Inputs'!$B$32)/1000+'Inputs'!$B$21))/SQRT((((85-43)*MAX('Inputs'!$B$33,'Inputs'!$B$29+'Inputs'!$B$31+'Inputs'!$B$32,'Inputs'!$B$30+'Inputs'!$B$31+'Inputs'!$B$32)/1000+'Inputs'!$B$21))^2+('Inputs'!$B$6/2)^2)))-'Results'!C7*(1+'Inputs'!$B$24)*(0.5*((((85-43)*MAX('Inputs'!$B$33,'Inputs'!$B$29+'Inputs'!$B$31+'Inputs'!$B$32,'Inputs'!$B$30+'Inputs'!$B$31+'Inputs'!$B$32)/1000+'Inputs'!$B$21+'Inputs'!$B$7+'Inputs'!$B$10)+'Inputs'!$B$9)/SQRT((((85-43)*MAX('Inputs'!$B$33,'Inputs'!$B$29+'Inputs'!$B$31+'Inputs'!$B$32,'Inputs'!$B$30+'Inputs'!$B$31+'Inputs'!$B$32)/1000+'Inputs'!$B$21+'Inputs'!$B$7+'Inputs'!$B$10)+'Inputs'!$B$9)^2+('Inputs'!$B$8/2)^2)-(((85-43)*MAX('Inputs'!$B$33,'Inputs'!$B$29+'Inputs'!$B$31+'Inputs'!$B$32,'Inputs'!$B$30+'Inputs'!$B$31+'Inputs'!$B$32)/1000+'Inputs'!$B$21+'Inputs'!$B$7+'Inputs'!$B$10))/SQRT((((85-43)*MAX('Inputs'!$B$33,'Inputs'!$B$29+'Inputs'!$B$31+'Inputs'!$B$32,'Inputs'!$B$30+'Inputs'!$B$31+'Inputs'!$B$32)/1000+'Inputs'!$B$21+'Inputs'!$B$7+'Inputs'!$B$10))^2+('Inputs'!$B$8/2)^2))))*'Results'!$B$8))),"")</x:f>
        <x:v>1058.9399049448143</x:v>
      </x:c>
      <x:c r="L85" t="n">
        <x:f>IF(AND(ISNUMBER('Results'!B7),ISNUMBER('Results'!C7),ISNUMBER('Results'!$B$8),ISNUMBER('Inputs'!$B$6),ISNUMBER('Inputs'!$B$7),ISNUMBER('Inputs'!$B$8),ISNUMBER('Inputs'!$B$9),ISNUMBER('Inputs'!$B$10),ISNUMBER('Inputs'!$B$21),ISNUMBER('Inputs'!$B$24),ISNUMBER('Inputs'!$B$28)),((('Results'!B7*(1+'Inputs'!$B$24)*(0.5*((((85-43)*MAX('Inputs'!$B$33,'Inputs'!$B$29+'Inputs'!$B$31+'Inputs'!$B$32,'Inputs'!$B$30+'Inputs'!$B$31+'Inputs'!$B$32)/1000+'Inputs'!$B$21)+'Inputs'!$B$7)/SQRT((((85-43)*MAX('Inputs'!$B$33,'Inputs'!$B$29+'Inputs'!$B$31+'Inputs'!$B$32,'Inputs'!$B$30+'Inputs'!$B$31+'Inputs'!$B$32)/1000+'Inputs'!$B$21)+'Inputs'!$B$7)^2+('Inputs'!$B$6/2)^2)-(((85-43)*MAX('Inputs'!$B$33,'Inputs'!$B$29+'Inputs'!$B$31+'Inputs'!$B$32,'Inputs'!$B$30+'Inputs'!$B$31+'Inputs'!$B$32)/1000+'Inputs'!$B$21))/SQRT((((85-43)*MAX('Inputs'!$B$33,'Inputs'!$B$29+'Inputs'!$B$31+'Inputs'!$B$32,'Inputs'!$B$30+'Inputs'!$B$31+'Inputs'!$B$32)/1000+'Inputs'!$B$21))^2+('Inputs'!$B$6/2)^2)))-'Results'!C7*(1-'Inputs'!$B$24)*(0.5*((((85-43)*MAX('Inputs'!$B$33,'Inputs'!$B$29+'Inputs'!$B$31+'Inputs'!$B$32,'Inputs'!$B$30+'Inputs'!$B$31+'Inputs'!$B$32)/1000+'Inputs'!$B$21+'Inputs'!$B$7+'Inputs'!$B$10)+'Inputs'!$B$9)/SQRT((((85-43)*MAX('Inputs'!$B$33,'Inputs'!$B$29+'Inputs'!$B$31+'Inputs'!$B$32,'Inputs'!$B$30+'Inputs'!$B$31+'Inputs'!$B$32)/1000+'Inputs'!$B$21+'Inputs'!$B$7+'Inputs'!$B$10)+'Inputs'!$B$9)^2+('Inputs'!$B$8/2)^2)-(((85-43)*MAX('Inputs'!$B$33,'Inputs'!$B$29+'Inputs'!$B$31+'Inputs'!$B$32,'Inputs'!$B$30+'Inputs'!$B$31+'Inputs'!$B$32)/1000+'Inputs'!$B$21+'Inputs'!$B$7+'Inputs'!$B$10))/SQRT((((85-43)*MAX('Inputs'!$B$33,'Inputs'!$B$29+'Inputs'!$B$31+'Inputs'!$B$32,'Inputs'!$B$30+'Inputs'!$B$31+'Inputs'!$B$32)/1000+'Inputs'!$B$21+'Inputs'!$B$7+'Inputs'!$B$10))^2+('Inputs'!$B$8/2)^2))))*'Results'!$B$8)+'Inputs'!$B$28*ABS((('Results'!B7*(1+'Inputs'!$B$24)*(0.5*((((85-43)*MAX('Inputs'!$B$33,'Inputs'!$B$29+'Inputs'!$B$31+'Inputs'!$B$32,'Inputs'!$B$30+'Inputs'!$B$31+'Inputs'!$B$32)/1000+'Inputs'!$B$21)+'Inputs'!$B$7)/SQRT((((85-43)*MAX('Inputs'!$B$33,'Inputs'!$B$29+'Inputs'!$B$31+'Inputs'!$B$32,'Inputs'!$B$30+'Inputs'!$B$31+'Inputs'!$B$32)/1000+'Inputs'!$B$21)+'Inputs'!$B$7)^2+('Inputs'!$B$6/2)^2)-(((85-43)*MAX('Inputs'!$B$33,'Inputs'!$B$29+'Inputs'!$B$31+'Inputs'!$B$32,'Inputs'!$B$30+'Inputs'!$B$31+'Inputs'!$B$32)/1000+'Inputs'!$B$21))/SQRT((((85-43)*MAX('Inputs'!$B$33,'Inputs'!$B$29+'Inputs'!$B$31+'Inputs'!$B$32,'Inputs'!$B$30+'Inputs'!$B$31+'Inputs'!$B$32)/1000+'Inputs'!$B$21))^2+('Inputs'!$B$6/2)^2)))-'Results'!C7*(1-'Inputs'!$B$24)*(0.5*((((85-43)*MAX('Inputs'!$B$33,'Inputs'!$B$29+'Inputs'!$B$31+'Inputs'!$B$32,'Inputs'!$B$30+'Inputs'!$B$31+'Inputs'!$B$32)/1000+'Inputs'!$B$21+'Inputs'!$B$7+'Inputs'!$B$10)+'Inputs'!$B$9)/SQRT((((85-43)*MAX('Inputs'!$B$33,'Inputs'!$B$29+'Inputs'!$B$31+'Inputs'!$B$32,'Inputs'!$B$30+'Inputs'!$B$31+'Inputs'!$B$32)/1000+'Inputs'!$B$21+'Inputs'!$B$7+'Inputs'!$B$10)+'Inputs'!$B$9)^2+('Inputs'!$B$8/2)^2)-(((85-43)*MAX('Inputs'!$B$33,'Inputs'!$B$29+'Inputs'!$B$31+'Inputs'!$B$32,'Inputs'!$B$30+'Inputs'!$B$31+'Inputs'!$B$32)/1000+'Inputs'!$B$21+'Inputs'!$B$7+'Inputs'!$B$10))/SQRT((((85-43)*MAX('Inputs'!$B$33,'Inputs'!$B$29+'Inputs'!$B$31+'Inputs'!$B$32,'Inputs'!$B$30+'Inputs'!$B$31+'Inputs'!$B$32)/1000+'Inputs'!$B$21+'Inputs'!$B$7+'Inputs'!$B$10))^2+('Inputs'!$B$8/2)^2))))*'Results'!$B$8))),"")</x:f>
        <x:v>1233.8525340258868</x:v>
      </x:c>
      <x:c r="M85" t="n">
        <x:f>IF(AND(ISNUMBER('Results'!C7),ISNUMBER('Results'!B7),ISNUMBER('Results'!$B$8),ISNUMBER('Inputs'!$B$6),ISNUMBER('Inputs'!$B$7),ISNUMBER('Inputs'!$B$8),ISNUMBER('Inputs'!$B$9),ISNUMBER('Inputs'!$B$10),ISNUMBER('Inputs'!$B$21),ISNUMBER('Inputs'!$B$24),ISNUMBER('Inputs'!$B$28)),(('Results'!C7*(0.5*((((85-43)*MAX('Inputs'!$B$33,'Inputs'!$B$29+'Inputs'!$B$31+'Inputs'!$B$32,'Inputs'!$B$30+'Inputs'!$B$31+'Inputs'!$B$32)/1000+'Inputs'!$B$21)+'Inputs'!$B$9)/SQRT((((85-43)*MAX('Inputs'!$B$33,'Inputs'!$B$29+'Inputs'!$B$31+'Inputs'!$B$32,'Inputs'!$B$30+'Inputs'!$B$31+'Inputs'!$B$32)/1000+'Inputs'!$B$21)+'Inputs'!$B$9)^2+('Inputs'!$B$8/2)^2)-(((85-43)*MAX('Inputs'!$B$33,'Inputs'!$B$29+'Inputs'!$B$31+'Inputs'!$B$32,'Inputs'!$B$30+'Inputs'!$B$31+'Inputs'!$B$32)/1000+'Inputs'!$B$21))/SQRT((((85-43)*MAX('Inputs'!$B$33,'Inputs'!$B$29+'Inputs'!$B$31+'Inputs'!$B$32,'Inputs'!$B$30+'Inputs'!$B$31+'Inputs'!$B$32)/1000+'Inputs'!$B$21))^2+('Inputs'!$B$8/2)^2)))-'Results'!B7*(0.5*((((85-43)*MAX('Inputs'!$B$33,'Inputs'!$B$29+'Inputs'!$B$31+'Inputs'!$B$32,'Inputs'!$B$30+'Inputs'!$B$31+'Inputs'!$B$32)/1000+'Inputs'!$B$21+'Inputs'!$B$9+'Inputs'!$B$10)+'Inputs'!$B$7)/SQRT((((85-43)*MAX('Inputs'!$B$33,'Inputs'!$B$29+'Inputs'!$B$31+'Inputs'!$B$32,'Inputs'!$B$30+'Inputs'!$B$31+'Inputs'!$B$32)/1000+'Inputs'!$B$21+'Inputs'!$B$9+'Inputs'!$B$10)+'Inputs'!$B$7)^2+('Inputs'!$B$6/2)^2)-(((85-43)*MAX('Inputs'!$B$33,'Inputs'!$B$29+'Inputs'!$B$31+'Inputs'!$B$32,'Inputs'!$B$30+'Inputs'!$B$31+'Inputs'!$B$32)/1000+'Inputs'!$B$21+'Inputs'!$B$9+'Inputs'!$B$10))/SQRT((((85-43)*MAX('Inputs'!$B$33,'Inputs'!$B$29+'Inputs'!$B$31+'Inputs'!$B$32,'Inputs'!$B$30+'Inputs'!$B$31+'Inputs'!$B$32)/1000+'Inputs'!$B$21+'Inputs'!$B$9+'Inputs'!$B$10))^2+('Inputs'!$B$6/2)^2))))*'Results'!$B$8),"")</x:f>
        <x:v>1114.5989482208613</x:v>
      </x:c>
      <x:c r="N85" t="n">
        <x:f>IF(AND(ISNUMBER('Results'!C7),ISNUMBER('Results'!B7),ISNUMBER('Results'!$B$8),ISNUMBER('Inputs'!$B$6),ISNUMBER('Inputs'!$B$7),ISNUMBER('Inputs'!$B$8),ISNUMBER('Inputs'!$B$9),ISNUMBER('Inputs'!$B$10),ISNUMBER('Inputs'!$B$21),ISNUMBER('Inputs'!$B$24),ISNUMBER('Inputs'!$B$28)),((('Results'!C7*(1-'Inputs'!$B$24)*(0.5*((((85-43)*MAX('Inputs'!$B$33,'Inputs'!$B$29+'Inputs'!$B$31+'Inputs'!$B$32,'Inputs'!$B$30+'Inputs'!$B$31+'Inputs'!$B$32)/1000+'Inputs'!$B$21)+'Inputs'!$B$9)/SQRT((((85-43)*MAX('Inputs'!$B$33,'Inputs'!$B$29+'Inputs'!$B$31+'Inputs'!$B$32,'Inputs'!$B$30+'Inputs'!$B$31+'Inputs'!$B$32)/1000+'Inputs'!$B$21)+'Inputs'!$B$9)^2+('Inputs'!$B$8/2)^2)-(((85-43)*MAX('Inputs'!$B$33,'Inputs'!$B$29+'Inputs'!$B$31+'Inputs'!$B$32,'Inputs'!$B$30+'Inputs'!$B$31+'Inputs'!$B$32)/1000+'Inputs'!$B$21))/SQRT((((85-43)*MAX('Inputs'!$B$33,'Inputs'!$B$29+'Inputs'!$B$31+'Inputs'!$B$32,'Inputs'!$B$30+'Inputs'!$B$31+'Inputs'!$B$32)/1000+'Inputs'!$B$21))^2+('Inputs'!$B$8/2)^2)))-'Results'!B7*(1+'Inputs'!$B$24)*(0.5*((((85-43)*MAX('Inputs'!$B$33,'Inputs'!$B$29+'Inputs'!$B$31+'Inputs'!$B$32,'Inputs'!$B$30+'Inputs'!$B$31+'Inputs'!$B$32)/1000+'Inputs'!$B$21+'Inputs'!$B$9+'Inputs'!$B$10)+'Inputs'!$B$7)/SQRT((((85-43)*MAX('Inputs'!$B$33,'Inputs'!$B$29+'Inputs'!$B$31+'Inputs'!$B$32,'Inputs'!$B$30+'Inputs'!$B$31+'Inputs'!$B$32)/1000+'Inputs'!$B$21+'Inputs'!$B$9+'Inputs'!$B$10)+'Inputs'!$B$7)^2+('Inputs'!$B$6/2)^2)-(((85-43)*MAX('Inputs'!$B$33,'Inputs'!$B$29+'Inputs'!$B$31+'Inputs'!$B$32,'Inputs'!$B$30+'Inputs'!$B$31+'Inputs'!$B$32)/1000+'Inputs'!$B$21+'Inputs'!$B$9+'Inputs'!$B$10))/SQRT((((85-43)*MAX('Inputs'!$B$33,'Inputs'!$B$29+'Inputs'!$B$31+'Inputs'!$B$32,'Inputs'!$B$30+'Inputs'!$B$31+'Inputs'!$B$32)/1000+'Inputs'!$B$21+'Inputs'!$B$9+'Inputs'!$B$10))^2+('Inputs'!$B$6/2)^2))))*'Results'!$B$8)-'Inputs'!$B$28*ABS((('Results'!C7*(1-'Inputs'!$B$24)*(0.5*((((85-43)*MAX('Inputs'!$B$33,'Inputs'!$B$29+'Inputs'!$B$31+'Inputs'!$B$32,'Inputs'!$B$30+'Inputs'!$B$31+'Inputs'!$B$32)/1000+'Inputs'!$B$21)+'Inputs'!$B$9)/SQRT((((85-43)*MAX('Inputs'!$B$33,'Inputs'!$B$29+'Inputs'!$B$31+'Inputs'!$B$32,'Inputs'!$B$30+'Inputs'!$B$31+'Inputs'!$B$32)/1000+'Inputs'!$B$21)+'Inputs'!$B$9)^2+('Inputs'!$B$8/2)^2)-(((85-43)*MAX('Inputs'!$B$33,'Inputs'!$B$29+'Inputs'!$B$31+'Inputs'!$B$32,'Inputs'!$B$30+'Inputs'!$B$31+'Inputs'!$B$32)/1000+'Inputs'!$B$21))/SQRT((((85-43)*MAX('Inputs'!$B$33,'Inputs'!$B$29+'Inputs'!$B$31+'Inputs'!$B$32,'Inputs'!$B$30+'Inputs'!$B$31+'Inputs'!$B$32)/1000+'Inputs'!$B$21))^2+('Inputs'!$B$8/2)^2)))-'Results'!B7*(1+'Inputs'!$B$24)*(0.5*((((85-43)*MAX('Inputs'!$B$33,'Inputs'!$B$29+'Inputs'!$B$31+'Inputs'!$B$32,'Inputs'!$B$30+'Inputs'!$B$31+'Inputs'!$B$32)/1000+'Inputs'!$B$21+'Inputs'!$B$9+'Inputs'!$B$10)+'Inputs'!$B$7)/SQRT((((85-43)*MAX('Inputs'!$B$33,'Inputs'!$B$29+'Inputs'!$B$31+'Inputs'!$B$32,'Inputs'!$B$30+'Inputs'!$B$31+'Inputs'!$B$32)/1000+'Inputs'!$B$21+'Inputs'!$B$9+'Inputs'!$B$10)+'Inputs'!$B$7)^2+('Inputs'!$B$6/2)^2)-(((85-43)*MAX('Inputs'!$B$33,'Inputs'!$B$29+'Inputs'!$B$31+'Inputs'!$B$32,'Inputs'!$B$30+'Inputs'!$B$31+'Inputs'!$B$32)/1000+'Inputs'!$B$21+'Inputs'!$B$9+'Inputs'!$B$10))/SQRT((((85-43)*MAX('Inputs'!$B$33,'Inputs'!$B$29+'Inputs'!$B$31+'Inputs'!$B$32,'Inputs'!$B$30+'Inputs'!$B$31+'Inputs'!$B$32)/1000+'Inputs'!$B$21+'Inputs'!$B$9+'Inputs'!$B$10))^2+('Inputs'!$B$6/2)^2))))*'Results'!$B$8))),"")</x:f>
        <x:v>1030.6012072940084</x:v>
      </x:c>
      <x:c r="O85" t="n">
        <x:f>IF(AND(ISNUMBER('Results'!C7),ISNUMBER('Results'!B7),ISNUMBER('Results'!$B$8),ISNUMBER('Inputs'!$B$6),ISNUMBER('Inputs'!$B$7),ISNUMBER('Inputs'!$B$8),ISNUMBER('Inputs'!$B$9),ISNUMBER('Inputs'!$B$10),ISNUMBER('Inputs'!$B$21),ISNUMBER('Inputs'!$B$24),ISNUMBER('Inputs'!$B$28)),((('Results'!C7*(1+'Inputs'!$B$24)*(0.5*((((85-43)*MAX('Inputs'!$B$33,'Inputs'!$B$29+'Inputs'!$B$31+'Inputs'!$B$32,'Inputs'!$B$30+'Inputs'!$B$31+'Inputs'!$B$32)/1000+'Inputs'!$B$21)+'Inputs'!$B$9)/SQRT((((85-43)*MAX('Inputs'!$B$33,'Inputs'!$B$29+'Inputs'!$B$31+'Inputs'!$B$32,'Inputs'!$B$30+'Inputs'!$B$31+'Inputs'!$B$32)/1000+'Inputs'!$B$21)+'Inputs'!$B$9)^2+('Inputs'!$B$8/2)^2)-(((85-43)*MAX('Inputs'!$B$33,'Inputs'!$B$29+'Inputs'!$B$31+'Inputs'!$B$32,'Inputs'!$B$30+'Inputs'!$B$31+'Inputs'!$B$32)/1000+'Inputs'!$B$21))/SQRT((((85-43)*MAX('Inputs'!$B$33,'Inputs'!$B$29+'Inputs'!$B$31+'Inputs'!$B$32,'Inputs'!$B$30+'Inputs'!$B$31+'Inputs'!$B$32)/1000+'Inputs'!$B$21))^2+('Inputs'!$B$8/2)^2)))-'Results'!B7*(1-'Inputs'!$B$24)*(0.5*((((85-43)*MAX('Inputs'!$B$33,'Inputs'!$B$29+'Inputs'!$B$31+'Inputs'!$B$32,'Inputs'!$B$30+'Inputs'!$B$31+'Inputs'!$B$32)/1000+'Inputs'!$B$21+'Inputs'!$B$9+'Inputs'!$B$10)+'Inputs'!$B$7)/SQRT((((85-43)*MAX('Inputs'!$B$33,'Inputs'!$B$29+'Inputs'!$B$31+'Inputs'!$B$32,'Inputs'!$B$30+'Inputs'!$B$31+'Inputs'!$B$32)/1000+'Inputs'!$B$21+'Inputs'!$B$9+'Inputs'!$B$10)+'Inputs'!$B$7)^2+('Inputs'!$B$6/2)^2)-(((85-43)*MAX('Inputs'!$B$33,'Inputs'!$B$29+'Inputs'!$B$31+'Inputs'!$B$32,'Inputs'!$B$30+'Inputs'!$B$31+'Inputs'!$B$32)/1000+'Inputs'!$B$21+'Inputs'!$B$9+'Inputs'!$B$10))/SQRT((((85-43)*MAX('Inputs'!$B$33,'Inputs'!$B$29+'Inputs'!$B$31+'Inputs'!$B$32,'Inputs'!$B$30+'Inputs'!$B$31+'Inputs'!$B$32)/1000+'Inputs'!$B$21+'Inputs'!$B$9+'Inputs'!$B$10))^2+('Inputs'!$B$6/2)^2))))*'Results'!$B$8)+'Inputs'!$B$28*ABS((('Results'!C7*(1+'Inputs'!$B$24)*(0.5*((((85-43)*MAX('Inputs'!$B$33,'Inputs'!$B$29+'Inputs'!$B$31+'Inputs'!$B$32,'Inputs'!$B$30+'Inputs'!$B$31+'Inputs'!$B$32)/1000+'Inputs'!$B$21)+'Inputs'!$B$9)/SQRT((((85-43)*MAX('Inputs'!$B$33,'Inputs'!$B$29+'Inputs'!$B$31+'Inputs'!$B$32,'Inputs'!$B$30+'Inputs'!$B$31+'Inputs'!$B$32)/1000+'Inputs'!$B$21)+'Inputs'!$B$9)^2+('Inputs'!$B$8/2)^2)-(((85-43)*MAX('Inputs'!$B$33,'Inputs'!$B$29+'Inputs'!$B$31+'Inputs'!$B$32,'Inputs'!$B$30+'Inputs'!$B$31+'Inputs'!$B$32)/1000+'Inputs'!$B$21))/SQRT((((85-43)*MAX('Inputs'!$B$33,'Inputs'!$B$29+'Inputs'!$B$31+'Inputs'!$B$32,'Inputs'!$B$30+'Inputs'!$B$31+'Inputs'!$B$32)/1000+'Inputs'!$B$21))^2+('Inputs'!$B$8/2)^2)))-'Results'!B7*(1-'Inputs'!$B$24)*(0.5*((((85-43)*MAX('Inputs'!$B$33,'Inputs'!$B$29+'Inputs'!$B$31+'Inputs'!$B$32,'Inputs'!$B$30+'Inputs'!$B$31+'Inputs'!$B$32)/1000+'Inputs'!$B$21+'Inputs'!$B$9+'Inputs'!$B$10)+'Inputs'!$B$7)/SQRT((((85-43)*MAX('Inputs'!$B$33,'Inputs'!$B$29+'Inputs'!$B$31+'Inputs'!$B$32,'Inputs'!$B$30+'Inputs'!$B$31+'Inputs'!$B$32)/1000+'Inputs'!$B$21+'Inputs'!$B$9+'Inputs'!$B$10)+'Inputs'!$B$7)^2+('Inputs'!$B$6/2)^2)-(((85-43)*MAX('Inputs'!$B$33,'Inputs'!$B$29+'Inputs'!$B$31+'Inputs'!$B$32,'Inputs'!$B$30+'Inputs'!$B$31+'Inputs'!$B$32)/1000+'Inputs'!$B$21+'Inputs'!$B$9+'Inputs'!$B$10))/SQRT((((85-43)*MAX('Inputs'!$B$33,'Inputs'!$B$29+'Inputs'!$B$31+'Inputs'!$B$32,'Inputs'!$B$30+'Inputs'!$B$31+'Inputs'!$B$32)/1000+'Inputs'!$B$21+'Inputs'!$B$9+'Inputs'!$B$10))^2+('Inputs'!$B$6/2)^2))))*'Results'!$B$8))),"")</x:f>
        <x:v>1201.572246359905</x:v>
      </x:c>
      <x:c r="P85" t="n">
        <x:f>IF(AND(MAX(J85,J84)&gt;0,J85&gt;J84+0.00000001),1,0)</x:f>
        <x:v>0</x:v>
      </x:c>
      <x:c r="Q85" t="n">
        <x:f>IF(AND(MAX(K85,K84)&gt;0,K85&gt;K84+0.00000001),1,0)</x:f>
        <x:v>0</x:v>
      </x:c>
      <x:c r="R85" t="n">
        <x:f>IF(AND(MAX(L85,L84)&gt;0,L85&gt;L84+0.00000001),1,0)</x:f>
        <x:v>0</x:v>
      </x:c>
      <x:c r="S85" t="n">
        <x:f>IF(AND(MAX(M85,M84)&gt;0,M85&gt;M84+0.00000001),1,0)</x:f>
        <x:v>0</x:v>
      </x:c>
      <x:c r="T85" t="n">
        <x:f>IF(AND(MAX(N85,N84)&gt;0,N85&gt;N84+0.00000001),1,0)</x:f>
        <x:v>0</x:v>
      </x:c>
      <x:c r="U85" t="n">
        <x:f>IF(AND(MAX(O85,O84)&gt;0,O85&gt;O84+0.00000001),1,0)</x:f>
        <x:v>0</x:v>
      </x:c>
    </x:row>
    <x:row r="86">
      <x:c r="J86" t="n">
        <x:f>IF(AND(ISNUMBER('Results'!B7),ISNUMBER('Results'!C7),ISNUMBER('Results'!$B$8),ISNUMBER('Inputs'!$B$6),ISNUMBER('Inputs'!$B$7),ISNUMBER('Inputs'!$B$8),ISNUMBER('Inputs'!$B$9),ISNUMBER('Inputs'!$B$10),ISNUMBER('Inputs'!$B$21),ISNUMBER('Inputs'!$B$24),ISNUMBER('Inputs'!$B$28)),(('Results'!B7*(0.5*((((86-43)*MAX('Inputs'!$B$33,'Inputs'!$B$29+'Inputs'!$B$31+'Inputs'!$B$32,'Inputs'!$B$30+'Inputs'!$B$31+'Inputs'!$B$32)/1000+'Inputs'!$B$21)+'Inputs'!$B$7)/SQRT((((86-43)*MAX('Inputs'!$B$33,'Inputs'!$B$29+'Inputs'!$B$31+'Inputs'!$B$32,'Inputs'!$B$30+'Inputs'!$B$31+'Inputs'!$B$32)/1000+'Inputs'!$B$21)+'Inputs'!$B$7)^2+('Inputs'!$B$6/2)^2)-(((86-43)*MAX('Inputs'!$B$33,'Inputs'!$B$29+'Inputs'!$B$31+'Inputs'!$B$32,'Inputs'!$B$30+'Inputs'!$B$31+'Inputs'!$B$32)/1000+'Inputs'!$B$21))/SQRT((((86-43)*MAX('Inputs'!$B$33,'Inputs'!$B$29+'Inputs'!$B$31+'Inputs'!$B$32,'Inputs'!$B$30+'Inputs'!$B$31+'Inputs'!$B$32)/1000+'Inputs'!$B$21))^2+('Inputs'!$B$6/2)^2)))-'Results'!C7*(0.5*((((86-43)*MAX('Inputs'!$B$33,'Inputs'!$B$29+'Inputs'!$B$31+'Inputs'!$B$32,'Inputs'!$B$30+'Inputs'!$B$31+'Inputs'!$B$32)/1000+'Inputs'!$B$21+'Inputs'!$B$7+'Inputs'!$B$10)+'Inputs'!$B$9)/SQRT((((86-43)*MAX('Inputs'!$B$33,'Inputs'!$B$29+'Inputs'!$B$31+'Inputs'!$B$32,'Inputs'!$B$30+'Inputs'!$B$31+'Inputs'!$B$32)/1000+'Inputs'!$B$21+'Inputs'!$B$7+'Inputs'!$B$10)+'Inputs'!$B$9)^2+('Inputs'!$B$8/2)^2)-(((86-43)*MAX('Inputs'!$B$33,'Inputs'!$B$29+'Inputs'!$B$31+'Inputs'!$B$32,'Inputs'!$B$30+'Inputs'!$B$31+'Inputs'!$B$32)/1000+'Inputs'!$B$21+'Inputs'!$B$7+'Inputs'!$B$10))/SQRT((((86-43)*MAX('Inputs'!$B$33,'Inputs'!$B$29+'Inputs'!$B$31+'Inputs'!$B$32,'Inputs'!$B$30+'Inputs'!$B$31+'Inputs'!$B$32)/1000+'Inputs'!$B$21+'Inputs'!$B$7+'Inputs'!$B$10))^2+('Inputs'!$B$8/2)^2))))*'Results'!$B$8),"")</x:f>
        <x:v>1124.0087227182705</x:v>
      </x:c>
      <x:c r="K86" t="n">
        <x:f>IF(AND(ISNUMBER('Results'!B7),ISNUMBER('Results'!C7),ISNUMBER('Results'!$B$8),ISNUMBER('Inputs'!$B$6),ISNUMBER('Inputs'!$B$7),ISNUMBER('Inputs'!$B$8),ISNUMBER('Inputs'!$B$9),ISNUMBER('Inputs'!$B$10),ISNUMBER('Inputs'!$B$21),ISNUMBER('Inputs'!$B$24),ISNUMBER('Inputs'!$B$28)),((('Results'!B7*(1-'Inputs'!$B$24)*(0.5*((((86-43)*MAX('Inputs'!$B$33,'Inputs'!$B$29+'Inputs'!$B$31+'Inputs'!$B$32,'Inputs'!$B$30+'Inputs'!$B$31+'Inputs'!$B$32)/1000+'Inputs'!$B$21)+'Inputs'!$B$7)/SQRT((((86-43)*MAX('Inputs'!$B$33,'Inputs'!$B$29+'Inputs'!$B$31+'Inputs'!$B$32,'Inputs'!$B$30+'Inputs'!$B$31+'Inputs'!$B$32)/1000+'Inputs'!$B$21)+'Inputs'!$B$7)^2+('Inputs'!$B$6/2)^2)-(((86-43)*MAX('Inputs'!$B$33,'Inputs'!$B$29+'Inputs'!$B$31+'Inputs'!$B$32,'Inputs'!$B$30+'Inputs'!$B$31+'Inputs'!$B$32)/1000+'Inputs'!$B$21))/SQRT((((86-43)*MAX('Inputs'!$B$33,'Inputs'!$B$29+'Inputs'!$B$31+'Inputs'!$B$32,'Inputs'!$B$30+'Inputs'!$B$31+'Inputs'!$B$32)/1000+'Inputs'!$B$21))^2+('Inputs'!$B$6/2)^2)))-'Results'!C7*(1+'Inputs'!$B$24)*(0.5*((((86-43)*MAX('Inputs'!$B$33,'Inputs'!$B$29+'Inputs'!$B$31+'Inputs'!$B$32,'Inputs'!$B$30+'Inputs'!$B$31+'Inputs'!$B$32)/1000+'Inputs'!$B$21+'Inputs'!$B$7+'Inputs'!$B$10)+'Inputs'!$B$9)/SQRT((((86-43)*MAX('Inputs'!$B$33,'Inputs'!$B$29+'Inputs'!$B$31+'Inputs'!$B$32,'Inputs'!$B$30+'Inputs'!$B$31+'Inputs'!$B$32)/1000+'Inputs'!$B$21+'Inputs'!$B$7+'Inputs'!$B$10)+'Inputs'!$B$9)^2+('Inputs'!$B$8/2)^2)-(((86-43)*MAX('Inputs'!$B$33,'Inputs'!$B$29+'Inputs'!$B$31+'Inputs'!$B$32,'Inputs'!$B$30+'Inputs'!$B$31+'Inputs'!$B$32)/1000+'Inputs'!$B$21+'Inputs'!$B$7+'Inputs'!$B$10))/SQRT((((86-43)*MAX('Inputs'!$B$33,'Inputs'!$B$29+'Inputs'!$B$31+'Inputs'!$B$32,'Inputs'!$B$30+'Inputs'!$B$31+'Inputs'!$B$32)/1000+'Inputs'!$B$21+'Inputs'!$B$7+'Inputs'!$B$10))^2+('Inputs'!$B$8/2)^2))))*'Results'!$B$8)-'Inputs'!$B$28*ABS((('Results'!B7*(1-'Inputs'!$B$24)*(0.5*((((86-43)*MAX('Inputs'!$B$33,'Inputs'!$B$29+'Inputs'!$B$31+'Inputs'!$B$32,'Inputs'!$B$30+'Inputs'!$B$31+'Inputs'!$B$32)/1000+'Inputs'!$B$21)+'Inputs'!$B$7)/SQRT((((86-43)*MAX('Inputs'!$B$33,'Inputs'!$B$29+'Inputs'!$B$31+'Inputs'!$B$32,'Inputs'!$B$30+'Inputs'!$B$31+'Inputs'!$B$32)/1000+'Inputs'!$B$21)+'Inputs'!$B$7)^2+('Inputs'!$B$6/2)^2)-(((86-43)*MAX('Inputs'!$B$33,'Inputs'!$B$29+'Inputs'!$B$31+'Inputs'!$B$32,'Inputs'!$B$30+'Inputs'!$B$31+'Inputs'!$B$32)/1000+'Inputs'!$B$21))/SQRT((((86-43)*MAX('Inputs'!$B$33,'Inputs'!$B$29+'Inputs'!$B$31+'Inputs'!$B$32,'Inputs'!$B$30+'Inputs'!$B$31+'Inputs'!$B$32)/1000+'Inputs'!$B$21))^2+('Inputs'!$B$6/2)^2)))-'Results'!C7*(1+'Inputs'!$B$24)*(0.5*((((86-43)*MAX('Inputs'!$B$33,'Inputs'!$B$29+'Inputs'!$B$31+'Inputs'!$B$32,'Inputs'!$B$30+'Inputs'!$B$31+'Inputs'!$B$32)/1000+'Inputs'!$B$21+'Inputs'!$B$7+'Inputs'!$B$10)+'Inputs'!$B$9)/SQRT((((86-43)*MAX('Inputs'!$B$33,'Inputs'!$B$29+'Inputs'!$B$31+'Inputs'!$B$32,'Inputs'!$B$30+'Inputs'!$B$31+'Inputs'!$B$32)/1000+'Inputs'!$B$21+'Inputs'!$B$7+'Inputs'!$B$10)+'Inputs'!$B$9)^2+('Inputs'!$B$8/2)^2)-(((86-43)*MAX('Inputs'!$B$33,'Inputs'!$B$29+'Inputs'!$B$31+'Inputs'!$B$32,'Inputs'!$B$30+'Inputs'!$B$31+'Inputs'!$B$32)/1000+'Inputs'!$B$21+'Inputs'!$B$7+'Inputs'!$B$10))/SQRT((((86-43)*MAX('Inputs'!$B$33,'Inputs'!$B$29+'Inputs'!$B$31+'Inputs'!$B$32,'Inputs'!$B$30+'Inputs'!$B$31+'Inputs'!$B$32)/1000+'Inputs'!$B$21+'Inputs'!$B$7+'Inputs'!$B$10))^2+('Inputs'!$B$8/2)^2))))*'Results'!$B$8))),"")</x:f>
        <x:v>1039.6016520611045</x:v>
      </x:c>
      <x:c r="L86" t="n">
        <x:f>IF(AND(ISNUMBER('Results'!B7),ISNUMBER('Results'!C7),ISNUMBER('Results'!$B$8),ISNUMBER('Inputs'!$B$6),ISNUMBER('Inputs'!$B$7),ISNUMBER('Inputs'!$B$8),ISNUMBER('Inputs'!$B$9),ISNUMBER('Inputs'!$B$10),ISNUMBER('Inputs'!$B$21),ISNUMBER('Inputs'!$B$24),ISNUMBER('Inputs'!$B$28)),((('Results'!B7*(1+'Inputs'!$B$24)*(0.5*((((86-43)*MAX('Inputs'!$B$33,'Inputs'!$B$29+'Inputs'!$B$31+'Inputs'!$B$32,'Inputs'!$B$30+'Inputs'!$B$31+'Inputs'!$B$32)/1000+'Inputs'!$B$21)+'Inputs'!$B$7)/SQRT((((86-43)*MAX('Inputs'!$B$33,'Inputs'!$B$29+'Inputs'!$B$31+'Inputs'!$B$32,'Inputs'!$B$30+'Inputs'!$B$31+'Inputs'!$B$32)/1000+'Inputs'!$B$21)+'Inputs'!$B$7)^2+('Inputs'!$B$6/2)^2)-(((86-43)*MAX('Inputs'!$B$33,'Inputs'!$B$29+'Inputs'!$B$31+'Inputs'!$B$32,'Inputs'!$B$30+'Inputs'!$B$31+'Inputs'!$B$32)/1000+'Inputs'!$B$21))/SQRT((((86-43)*MAX('Inputs'!$B$33,'Inputs'!$B$29+'Inputs'!$B$31+'Inputs'!$B$32,'Inputs'!$B$30+'Inputs'!$B$31+'Inputs'!$B$32)/1000+'Inputs'!$B$21))^2+('Inputs'!$B$6/2)^2)))-'Results'!C7*(1-'Inputs'!$B$24)*(0.5*((((86-43)*MAX('Inputs'!$B$33,'Inputs'!$B$29+'Inputs'!$B$31+'Inputs'!$B$32,'Inputs'!$B$30+'Inputs'!$B$31+'Inputs'!$B$32)/1000+'Inputs'!$B$21+'Inputs'!$B$7+'Inputs'!$B$10)+'Inputs'!$B$9)/SQRT((((86-43)*MAX('Inputs'!$B$33,'Inputs'!$B$29+'Inputs'!$B$31+'Inputs'!$B$32,'Inputs'!$B$30+'Inputs'!$B$31+'Inputs'!$B$32)/1000+'Inputs'!$B$21+'Inputs'!$B$7+'Inputs'!$B$10)+'Inputs'!$B$9)^2+('Inputs'!$B$8/2)^2)-(((86-43)*MAX('Inputs'!$B$33,'Inputs'!$B$29+'Inputs'!$B$31+'Inputs'!$B$32,'Inputs'!$B$30+'Inputs'!$B$31+'Inputs'!$B$32)/1000+'Inputs'!$B$21+'Inputs'!$B$7+'Inputs'!$B$10))/SQRT((((86-43)*MAX('Inputs'!$B$33,'Inputs'!$B$29+'Inputs'!$B$31+'Inputs'!$B$32,'Inputs'!$B$30+'Inputs'!$B$31+'Inputs'!$B$32)/1000+'Inputs'!$B$21+'Inputs'!$B$7+'Inputs'!$B$10))^2+('Inputs'!$B$8/2)^2))))*'Results'!$B$8)+'Inputs'!$B$28*ABS((('Results'!B7*(1+'Inputs'!$B$24)*(0.5*((((86-43)*MAX('Inputs'!$B$33,'Inputs'!$B$29+'Inputs'!$B$31+'Inputs'!$B$32,'Inputs'!$B$30+'Inputs'!$B$31+'Inputs'!$B$32)/1000+'Inputs'!$B$21)+'Inputs'!$B$7)/SQRT((((86-43)*MAX('Inputs'!$B$33,'Inputs'!$B$29+'Inputs'!$B$31+'Inputs'!$B$32,'Inputs'!$B$30+'Inputs'!$B$31+'Inputs'!$B$32)/1000+'Inputs'!$B$21)+'Inputs'!$B$7)^2+('Inputs'!$B$6/2)^2)-(((86-43)*MAX('Inputs'!$B$33,'Inputs'!$B$29+'Inputs'!$B$31+'Inputs'!$B$32,'Inputs'!$B$30+'Inputs'!$B$31+'Inputs'!$B$32)/1000+'Inputs'!$B$21))/SQRT((((86-43)*MAX('Inputs'!$B$33,'Inputs'!$B$29+'Inputs'!$B$31+'Inputs'!$B$32,'Inputs'!$B$30+'Inputs'!$B$31+'Inputs'!$B$32)/1000+'Inputs'!$B$21))^2+('Inputs'!$B$6/2)^2)))-'Results'!C7*(1-'Inputs'!$B$24)*(0.5*((((86-43)*MAX('Inputs'!$B$33,'Inputs'!$B$29+'Inputs'!$B$31+'Inputs'!$B$32,'Inputs'!$B$30+'Inputs'!$B$31+'Inputs'!$B$32)/1000+'Inputs'!$B$21+'Inputs'!$B$7+'Inputs'!$B$10)+'Inputs'!$B$9)/SQRT((((86-43)*MAX('Inputs'!$B$33,'Inputs'!$B$29+'Inputs'!$B$31+'Inputs'!$B$32,'Inputs'!$B$30+'Inputs'!$B$31+'Inputs'!$B$32)/1000+'Inputs'!$B$21+'Inputs'!$B$7+'Inputs'!$B$10)+'Inputs'!$B$9)^2+('Inputs'!$B$8/2)^2)-(((86-43)*MAX('Inputs'!$B$33,'Inputs'!$B$29+'Inputs'!$B$31+'Inputs'!$B$32,'Inputs'!$B$30+'Inputs'!$B$31+'Inputs'!$B$32)/1000+'Inputs'!$B$21+'Inputs'!$B$7+'Inputs'!$B$10))/SQRT((((86-43)*MAX('Inputs'!$B$33,'Inputs'!$B$29+'Inputs'!$B$31+'Inputs'!$B$32,'Inputs'!$B$30+'Inputs'!$B$31+'Inputs'!$B$32)/1000+'Inputs'!$B$21+'Inputs'!$B$7+'Inputs'!$B$10))^2+('Inputs'!$B$8/2)^2))))*'Results'!$B$8))),"")</x:f>
        <x:v>1211.3849127987266</x:v>
      </x:c>
      <x:c r="M86" t="n">
        <x:f>IF(AND(ISNUMBER('Results'!C7),ISNUMBER('Results'!B7),ISNUMBER('Results'!$B$8),ISNUMBER('Inputs'!$B$6),ISNUMBER('Inputs'!$B$7),ISNUMBER('Inputs'!$B$8),ISNUMBER('Inputs'!$B$9),ISNUMBER('Inputs'!$B$10),ISNUMBER('Inputs'!$B$21),ISNUMBER('Inputs'!$B$24),ISNUMBER('Inputs'!$B$28)),(('Results'!C7*(0.5*((((86-43)*MAX('Inputs'!$B$33,'Inputs'!$B$29+'Inputs'!$B$31+'Inputs'!$B$32,'Inputs'!$B$30+'Inputs'!$B$31+'Inputs'!$B$32)/1000+'Inputs'!$B$21)+'Inputs'!$B$9)/SQRT((((86-43)*MAX('Inputs'!$B$33,'Inputs'!$B$29+'Inputs'!$B$31+'Inputs'!$B$32,'Inputs'!$B$30+'Inputs'!$B$31+'Inputs'!$B$32)/1000+'Inputs'!$B$21)+'Inputs'!$B$9)^2+('Inputs'!$B$8/2)^2)-(((86-43)*MAX('Inputs'!$B$33,'Inputs'!$B$29+'Inputs'!$B$31+'Inputs'!$B$32,'Inputs'!$B$30+'Inputs'!$B$31+'Inputs'!$B$32)/1000+'Inputs'!$B$21))/SQRT((((86-43)*MAX('Inputs'!$B$33,'Inputs'!$B$29+'Inputs'!$B$31+'Inputs'!$B$32,'Inputs'!$B$30+'Inputs'!$B$31+'Inputs'!$B$32)/1000+'Inputs'!$B$21))^2+('Inputs'!$B$8/2)^2)))-'Results'!B7*(0.5*((((86-43)*MAX('Inputs'!$B$33,'Inputs'!$B$29+'Inputs'!$B$31+'Inputs'!$B$32,'Inputs'!$B$30+'Inputs'!$B$31+'Inputs'!$B$32)/1000+'Inputs'!$B$21+'Inputs'!$B$9+'Inputs'!$B$10)+'Inputs'!$B$7)/SQRT((((86-43)*MAX('Inputs'!$B$33,'Inputs'!$B$29+'Inputs'!$B$31+'Inputs'!$B$32,'Inputs'!$B$30+'Inputs'!$B$31+'Inputs'!$B$32)/1000+'Inputs'!$B$21+'Inputs'!$B$9+'Inputs'!$B$10)+'Inputs'!$B$7)^2+('Inputs'!$B$6/2)^2)-(((86-43)*MAX('Inputs'!$B$33,'Inputs'!$B$29+'Inputs'!$B$31+'Inputs'!$B$32,'Inputs'!$B$30+'Inputs'!$B$31+'Inputs'!$B$32)/1000+'Inputs'!$B$21+'Inputs'!$B$9+'Inputs'!$B$10))/SQRT((((86-43)*MAX('Inputs'!$B$33,'Inputs'!$B$29+'Inputs'!$B$31+'Inputs'!$B$32,'Inputs'!$B$30+'Inputs'!$B$31+'Inputs'!$B$32)/1000+'Inputs'!$B$21+'Inputs'!$B$9+'Inputs'!$B$10))^2+('Inputs'!$B$6/2)^2))))*'Results'!$B$8),"")</x:f>
        <x:v>1094.2439466508981</x:v>
      </x:c>
      <x:c r="N86" t="n">
        <x:f>IF(AND(ISNUMBER('Results'!C7),ISNUMBER('Results'!B7),ISNUMBER('Results'!$B$8),ISNUMBER('Inputs'!$B$6),ISNUMBER('Inputs'!$B$7),ISNUMBER('Inputs'!$B$8),ISNUMBER('Inputs'!$B$9),ISNUMBER('Inputs'!$B$10),ISNUMBER('Inputs'!$B$21),ISNUMBER('Inputs'!$B$24),ISNUMBER('Inputs'!$B$28)),((('Results'!C7*(1-'Inputs'!$B$24)*(0.5*((((86-43)*MAX('Inputs'!$B$33,'Inputs'!$B$29+'Inputs'!$B$31+'Inputs'!$B$32,'Inputs'!$B$30+'Inputs'!$B$31+'Inputs'!$B$32)/1000+'Inputs'!$B$21)+'Inputs'!$B$9)/SQRT((((86-43)*MAX('Inputs'!$B$33,'Inputs'!$B$29+'Inputs'!$B$31+'Inputs'!$B$32,'Inputs'!$B$30+'Inputs'!$B$31+'Inputs'!$B$32)/1000+'Inputs'!$B$21)+'Inputs'!$B$9)^2+('Inputs'!$B$8/2)^2)-(((86-43)*MAX('Inputs'!$B$33,'Inputs'!$B$29+'Inputs'!$B$31+'Inputs'!$B$32,'Inputs'!$B$30+'Inputs'!$B$31+'Inputs'!$B$32)/1000+'Inputs'!$B$21))/SQRT((((86-43)*MAX('Inputs'!$B$33,'Inputs'!$B$29+'Inputs'!$B$31+'Inputs'!$B$32,'Inputs'!$B$30+'Inputs'!$B$31+'Inputs'!$B$32)/1000+'Inputs'!$B$21))^2+('Inputs'!$B$8/2)^2)))-'Results'!B7*(1+'Inputs'!$B$24)*(0.5*((((86-43)*MAX('Inputs'!$B$33,'Inputs'!$B$29+'Inputs'!$B$31+'Inputs'!$B$32,'Inputs'!$B$30+'Inputs'!$B$31+'Inputs'!$B$32)/1000+'Inputs'!$B$21+'Inputs'!$B$9+'Inputs'!$B$10)+'Inputs'!$B$7)/SQRT((((86-43)*MAX('Inputs'!$B$33,'Inputs'!$B$29+'Inputs'!$B$31+'Inputs'!$B$32,'Inputs'!$B$30+'Inputs'!$B$31+'Inputs'!$B$32)/1000+'Inputs'!$B$21+'Inputs'!$B$9+'Inputs'!$B$10)+'Inputs'!$B$7)^2+('Inputs'!$B$6/2)^2)-(((86-43)*MAX('Inputs'!$B$33,'Inputs'!$B$29+'Inputs'!$B$31+'Inputs'!$B$32,'Inputs'!$B$30+'Inputs'!$B$31+'Inputs'!$B$32)/1000+'Inputs'!$B$21+'Inputs'!$B$9+'Inputs'!$B$10))/SQRT((((86-43)*MAX('Inputs'!$B$33,'Inputs'!$B$29+'Inputs'!$B$31+'Inputs'!$B$32,'Inputs'!$B$30+'Inputs'!$B$31+'Inputs'!$B$32)/1000+'Inputs'!$B$21+'Inputs'!$B$9+'Inputs'!$B$10))^2+('Inputs'!$B$6/2)^2))))*'Results'!$B$8)-'Inputs'!$B$28*ABS((('Results'!C7*(1-'Inputs'!$B$24)*(0.5*((((86-43)*MAX('Inputs'!$B$33,'Inputs'!$B$29+'Inputs'!$B$31+'Inputs'!$B$32,'Inputs'!$B$30+'Inputs'!$B$31+'Inputs'!$B$32)/1000+'Inputs'!$B$21)+'Inputs'!$B$9)/SQRT((((86-43)*MAX('Inputs'!$B$33,'Inputs'!$B$29+'Inputs'!$B$31+'Inputs'!$B$32,'Inputs'!$B$30+'Inputs'!$B$31+'Inputs'!$B$32)/1000+'Inputs'!$B$21)+'Inputs'!$B$9)^2+('Inputs'!$B$8/2)^2)-(((86-43)*MAX('Inputs'!$B$33,'Inputs'!$B$29+'Inputs'!$B$31+'Inputs'!$B$32,'Inputs'!$B$30+'Inputs'!$B$31+'Inputs'!$B$32)/1000+'Inputs'!$B$21))/SQRT((((86-43)*MAX('Inputs'!$B$33,'Inputs'!$B$29+'Inputs'!$B$31+'Inputs'!$B$32,'Inputs'!$B$30+'Inputs'!$B$31+'Inputs'!$B$32)/1000+'Inputs'!$B$21))^2+('Inputs'!$B$8/2)^2)))-'Results'!B7*(1+'Inputs'!$B$24)*(0.5*((((86-43)*MAX('Inputs'!$B$33,'Inputs'!$B$29+'Inputs'!$B$31+'Inputs'!$B$32,'Inputs'!$B$30+'Inputs'!$B$31+'Inputs'!$B$32)/1000+'Inputs'!$B$21+'Inputs'!$B$9+'Inputs'!$B$10)+'Inputs'!$B$7)/SQRT((((86-43)*MAX('Inputs'!$B$33,'Inputs'!$B$29+'Inputs'!$B$31+'Inputs'!$B$32,'Inputs'!$B$30+'Inputs'!$B$31+'Inputs'!$B$32)/1000+'Inputs'!$B$21+'Inputs'!$B$9+'Inputs'!$B$10)+'Inputs'!$B$7)^2+('Inputs'!$B$6/2)^2)-(((86-43)*MAX('Inputs'!$B$33,'Inputs'!$B$29+'Inputs'!$B$31+'Inputs'!$B$32,'Inputs'!$B$30+'Inputs'!$B$31+'Inputs'!$B$32)/1000+'Inputs'!$B$21+'Inputs'!$B$9+'Inputs'!$B$10))/SQRT((((86-43)*MAX('Inputs'!$B$33,'Inputs'!$B$29+'Inputs'!$B$31+'Inputs'!$B$32,'Inputs'!$B$30+'Inputs'!$B$31+'Inputs'!$B$32)/1000+'Inputs'!$B$21+'Inputs'!$B$9+'Inputs'!$B$10))^2+('Inputs'!$B$6/2)^2))))*'Results'!$B$8))),"")</x:f>
        <x:v>1011.7508400568784</x:v>
      </x:c>
      <x:c r="O86" t="n">
        <x:f>IF(AND(ISNUMBER('Results'!C7),ISNUMBER('Results'!B7),ISNUMBER('Results'!$B$8),ISNUMBER('Inputs'!$B$6),ISNUMBER('Inputs'!$B$7),ISNUMBER('Inputs'!$B$8),ISNUMBER('Inputs'!$B$9),ISNUMBER('Inputs'!$B$10),ISNUMBER('Inputs'!$B$21),ISNUMBER('Inputs'!$B$24),ISNUMBER('Inputs'!$B$28)),((('Results'!C7*(1+'Inputs'!$B$24)*(0.5*((((86-43)*MAX('Inputs'!$B$33,'Inputs'!$B$29+'Inputs'!$B$31+'Inputs'!$B$32,'Inputs'!$B$30+'Inputs'!$B$31+'Inputs'!$B$32)/1000+'Inputs'!$B$21)+'Inputs'!$B$9)/SQRT((((86-43)*MAX('Inputs'!$B$33,'Inputs'!$B$29+'Inputs'!$B$31+'Inputs'!$B$32,'Inputs'!$B$30+'Inputs'!$B$31+'Inputs'!$B$32)/1000+'Inputs'!$B$21)+'Inputs'!$B$9)^2+('Inputs'!$B$8/2)^2)-(((86-43)*MAX('Inputs'!$B$33,'Inputs'!$B$29+'Inputs'!$B$31+'Inputs'!$B$32,'Inputs'!$B$30+'Inputs'!$B$31+'Inputs'!$B$32)/1000+'Inputs'!$B$21))/SQRT((((86-43)*MAX('Inputs'!$B$33,'Inputs'!$B$29+'Inputs'!$B$31+'Inputs'!$B$32,'Inputs'!$B$30+'Inputs'!$B$31+'Inputs'!$B$32)/1000+'Inputs'!$B$21))^2+('Inputs'!$B$8/2)^2)))-'Results'!B7*(1-'Inputs'!$B$24)*(0.5*((((86-43)*MAX('Inputs'!$B$33,'Inputs'!$B$29+'Inputs'!$B$31+'Inputs'!$B$32,'Inputs'!$B$30+'Inputs'!$B$31+'Inputs'!$B$32)/1000+'Inputs'!$B$21+'Inputs'!$B$9+'Inputs'!$B$10)+'Inputs'!$B$7)/SQRT((((86-43)*MAX('Inputs'!$B$33,'Inputs'!$B$29+'Inputs'!$B$31+'Inputs'!$B$32,'Inputs'!$B$30+'Inputs'!$B$31+'Inputs'!$B$32)/1000+'Inputs'!$B$21+'Inputs'!$B$9+'Inputs'!$B$10)+'Inputs'!$B$7)^2+('Inputs'!$B$6/2)^2)-(((86-43)*MAX('Inputs'!$B$33,'Inputs'!$B$29+'Inputs'!$B$31+'Inputs'!$B$32,'Inputs'!$B$30+'Inputs'!$B$31+'Inputs'!$B$32)/1000+'Inputs'!$B$21+'Inputs'!$B$9+'Inputs'!$B$10))/SQRT((((86-43)*MAX('Inputs'!$B$33,'Inputs'!$B$29+'Inputs'!$B$31+'Inputs'!$B$32,'Inputs'!$B$30+'Inputs'!$B$31+'Inputs'!$B$32)/1000+'Inputs'!$B$21+'Inputs'!$B$9+'Inputs'!$B$10))^2+('Inputs'!$B$6/2)^2))))*'Results'!$B$8)+'Inputs'!$B$28*ABS((('Results'!C7*(1+'Inputs'!$B$24)*(0.5*((((86-43)*MAX('Inputs'!$B$33,'Inputs'!$B$29+'Inputs'!$B$31+'Inputs'!$B$32,'Inputs'!$B$30+'Inputs'!$B$31+'Inputs'!$B$32)/1000+'Inputs'!$B$21)+'Inputs'!$B$9)/SQRT((((86-43)*MAX('Inputs'!$B$33,'Inputs'!$B$29+'Inputs'!$B$31+'Inputs'!$B$32,'Inputs'!$B$30+'Inputs'!$B$31+'Inputs'!$B$32)/1000+'Inputs'!$B$21)+'Inputs'!$B$9)^2+('Inputs'!$B$8/2)^2)-(((86-43)*MAX('Inputs'!$B$33,'Inputs'!$B$29+'Inputs'!$B$31+'Inputs'!$B$32,'Inputs'!$B$30+'Inputs'!$B$31+'Inputs'!$B$32)/1000+'Inputs'!$B$21))/SQRT((((86-43)*MAX('Inputs'!$B$33,'Inputs'!$B$29+'Inputs'!$B$31+'Inputs'!$B$32,'Inputs'!$B$30+'Inputs'!$B$31+'Inputs'!$B$32)/1000+'Inputs'!$B$21))^2+('Inputs'!$B$8/2)^2)))-'Results'!B7*(1-'Inputs'!$B$24)*(0.5*((((86-43)*MAX('Inputs'!$B$33,'Inputs'!$B$29+'Inputs'!$B$31+'Inputs'!$B$32,'Inputs'!$B$30+'Inputs'!$B$31+'Inputs'!$B$32)/1000+'Inputs'!$B$21+'Inputs'!$B$9+'Inputs'!$B$10)+'Inputs'!$B$7)/SQRT((((86-43)*MAX('Inputs'!$B$33,'Inputs'!$B$29+'Inputs'!$B$31+'Inputs'!$B$32,'Inputs'!$B$30+'Inputs'!$B$31+'Inputs'!$B$32)/1000+'Inputs'!$B$21+'Inputs'!$B$9+'Inputs'!$B$10)+'Inputs'!$B$7)^2+('Inputs'!$B$6/2)^2)-(((86-43)*MAX('Inputs'!$B$33,'Inputs'!$B$29+'Inputs'!$B$31+'Inputs'!$B$32,'Inputs'!$B$30+'Inputs'!$B$31+'Inputs'!$B$32)/1000+'Inputs'!$B$21+'Inputs'!$B$9+'Inputs'!$B$10))/SQRT((((86-43)*MAX('Inputs'!$B$33,'Inputs'!$B$29+'Inputs'!$B$31+'Inputs'!$B$32,'Inputs'!$B$30+'Inputs'!$B$31+'Inputs'!$B$32)/1000+'Inputs'!$B$21+'Inputs'!$B$9+'Inputs'!$B$10))^2+('Inputs'!$B$6/2)^2))))*'Results'!$B$8))),"")</x:f>
        <x:v>1179.6613594829678</x:v>
      </x:c>
      <x:c r="P86" t="n">
        <x:f>IF(AND(MAX(J86,J85)&gt;0,J86&gt;J85+0.00000001),1,0)</x:f>
        <x:v>0</x:v>
      </x:c>
      <x:c r="Q86" t="n">
        <x:f>IF(AND(MAX(K86,K85)&gt;0,K86&gt;K85+0.00000001),1,0)</x:f>
        <x:v>0</x:v>
      </x:c>
      <x:c r="R86" t="n">
        <x:f>IF(AND(MAX(L86,L85)&gt;0,L86&gt;L85+0.00000001),1,0)</x:f>
        <x:v>0</x:v>
      </x:c>
      <x:c r="S86" t="n">
        <x:f>IF(AND(MAX(M86,M85)&gt;0,M86&gt;M85+0.00000001),1,0)</x:f>
        <x:v>0</x:v>
      </x:c>
      <x:c r="T86" t="n">
        <x:f>IF(AND(MAX(N86,N85)&gt;0,N86&gt;N85+0.00000001),1,0)</x:f>
        <x:v>0</x:v>
      </x:c>
      <x:c r="U86" t="n">
        <x:f>IF(AND(MAX(O86,O85)&gt;0,O86&gt;O85+0.00000001),1,0)</x:f>
        <x:v>0</x:v>
      </x:c>
    </x:row>
    <x:row r="87">
      <x:c r="J87" t="n">
        <x:f>IF(AND(ISNUMBER('Results'!B7),ISNUMBER('Results'!C7),ISNUMBER('Results'!$B$8),ISNUMBER('Inputs'!$B$6),ISNUMBER('Inputs'!$B$7),ISNUMBER('Inputs'!$B$8),ISNUMBER('Inputs'!$B$9),ISNUMBER('Inputs'!$B$10),ISNUMBER('Inputs'!$B$21),ISNUMBER('Inputs'!$B$24),ISNUMBER('Inputs'!$B$28)),(('Results'!B7*(0.5*((((87-43)*MAX('Inputs'!$B$33,'Inputs'!$B$29+'Inputs'!$B$31+'Inputs'!$B$32,'Inputs'!$B$30+'Inputs'!$B$31+'Inputs'!$B$32)/1000+'Inputs'!$B$21)+'Inputs'!$B$7)/SQRT((((87-43)*MAX('Inputs'!$B$33,'Inputs'!$B$29+'Inputs'!$B$31+'Inputs'!$B$32,'Inputs'!$B$30+'Inputs'!$B$31+'Inputs'!$B$32)/1000+'Inputs'!$B$21)+'Inputs'!$B$7)^2+('Inputs'!$B$6/2)^2)-(((87-43)*MAX('Inputs'!$B$33,'Inputs'!$B$29+'Inputs'!$B$31+'Inputs'!$B$32,'Inputs'!$B$30+'Inputs'!$B$31+'Inputs'!$B$32)/1000+'Inputs'!$B$21))/SQRT((((87-43)*MAX('Inputs'!$B$33,'Inputs'!$B$29+'Inputs'!$B$31+'Inputs'!$B$32,'Inputs'!$B$30+'Inputs'!$B$31+'Inputs'!$B$32)/1000+'Inputs'!$B$21))^2+('Inputs'!$B$6/2)^2)))-'Results'!C7*(0.5*((((87-43)*MAX('Inputs'!$B$33,'Inputs'!$B$29+'Inputs'!$B$31+'Inputs'!$B$32,'Inputs'!$B$30+'Inputs'!$B$31+'Inputs'!$B$32)/1000+'Inputs'!$B$21+'Inputs'!$B$7+'Inputs'!$B$10)+'Inputs'!$B$9)/SQRT((((87-43)*MAX('Inputs'!$B$33,'Inputs'!$B$29+'Inputs'!$B$31+'Inputs'!$B$32,'Inputs'!$B$30+'Inputs'!$B$31+'Inputs'!$B$32)/1000+'Inputs'!$B$21+'Inputs'!$B$7+'Inputs'!$B$10)+'Inputs'!$B$9)^2+('Inputs'!$B$8/2)^2)-(((87-43)*MAX('Inputs'!$B$33,'Inputs'!$B$29+'Inputs'!$B$31+'Inputs'!$B$32,'Inputs'!$B$30+'Inputs'!$B$31+'Inputs'!$B$32)/1000+'Inputs'!$B$21+'Inputs'!$B$7+'Inputs'!$B$10))/SQRT((((87-43)*MAX('Inputs'!$B$33,'Inputs'!$B$29+'Inputs'!$B$31+'Inputs'!$B$32,'Inputs'!$B$30+'Inputs'!$B$31+'Inputs'!$B$32)/1000+'Inputs'!$B$21+'Inputs'!$B$7+'Inputs'!$B$10))^2+('Inputs'!$B$8/2)^2))))*'Results'!$B$8),"")</x:f>
        <x:v>1103.3867797799</x:v>
      </x:c>
      <x:c r="K87" t="n">
        <x:f>IF(AND(ISNUMBER('Results'!B7),ISNUMBER('Results'!C7),ISNUMBER('Results'!$B$8),ISNUMBER('Inputs'!$B$6),ISNUMBER('Inputs'!$B$7),ISNUMBER('Inputs'!$B$8),ISNUMBER('Inputs'!$B$9),ISNUMBER('Inputs'!$B$10),ISNUMBER('Inputs'!$B$21),ISNUMBER('Inputs'!$B$24),ISNUMBER('Inputs'!$B$28)),((('Results'!B7*(1-'Inputs'!$B$24)*(0.5*((((87-43)*MAX('Inputs'!$B$33,'Inputs'!$B$29+'Inputs'!$B$31+'Inputs'!$B$32,'Inputs'!$B$30+'Inputs'!$B$31+'Inputs'!$B$32)/1000+'Inputs'!$B$21)+'Inputs'!$B$7)/SQRT((((87-43)*MAX('Inputs'!$B$33,'Inputs'!$B$29+'Inputs'!$B$31+'Inputs'!$B$32,'Inputs'!$B$30+'Inputs'!$B$31+'Inputs'!$B$32)/1000+'Inputs'!$B$21)+'Inputs'!$B$7)^2+('Inputs'!$B$6/2)^2)-(((87-43)*MAX('Inputs'!$B$33,'Inputs'!$B$29+'Inputs'!$B$31+'Inputs'!$B$32,'Inputs'!$B$30+'Inputs'!$B$31+'Inputs'!$B$32)/1000+'Inputs'!$B$21))/SQRT((((87-43)*MAX('Inputs'!$B$33,'Inputs'!$B$29+'Inputs'!$B$31+'Inputs'!$B$32,'Inputs'!$B$30+'Inputs'!$B$31+'Inputs'!$B$32)/1000+'Inputs'!$B$21))^2+('Inputs'!$B$6/2)^2)))-'Results'!C7*(1+'Inputs'!$B$24)*(0.5*((((87-43)*MAX('Inputs'!$B$33,'Inputs'!$B$29+'Inputs'!$B$31+'Inputs'!$B$32,'Inputs'!$B$30+'Inputs'!$B$31+'Inputs'!$B$32)/1000+'Inputs'!$B$21+'Inputs'!$B$7+'Inputs'!$B$10)+'Inputs'!$B$9)/SQRT((((87-43)*MAX('Inputs'!$B$33,'Inputs'!$B$29+'Inputs'!$B$31+'Inputs'!$B$32,'Inputs'!$B$30+'Inputs'!$B$31+'Inputs'!$B$32)/1000+'Inputs'!$B$21+'Inputs'!$B$7+'Inputs'!$B$10)+'Inputs'!$B$9)^2+('Inputs'!$B$8/2)^2)-(((87-43)*MAX('Inputs'!$B$33,'Inputs'!$B$29+'Inputs'!$B$31+'Inputs'!$B$32,'Inputs'!$B$30+'Inputs'!$B$31+'Inputs'!$B$32)/1000+'Inputs'!$B$21+'Inputs'!$B$7+'Inputs'!$B$10))/SQRT((((87-43)*MAX('Inputs'!$B$33,'Inputs'!$B$29+'Inputs'!$B$31+'Inputs'!$B$32,'Inputs'!$B$30+'Inputs'!$B$31+'Inputs'!$B$32)/1000+'Inputs'!$B$21+'Inputs'!$B$7+'Inputs'!$B$10))^2+('Inputs'!$B$8/2)^2))))*'Results'!$B$8)-'Inputs'!$B$28*ABS((('Results'!B7*(1-'Inputs'!$B$24)*(0.5*((((87-43)*MAX('Inputs'!$B$33,'Inputs'!$B$29+'Inputs'!$B$31+'Inputs'!$B$32,'Inputs'!$B$30+'Inputs'!$B$31+'Inputs'!$B$32)/1000+'Inputs'!$B$21)+'Inputs'!$B$7)/SQRT((((87-43)*MAX('Inputs'!$B$33,'Inputs'!$B$29+'Inputs'!$B$31+'Inputs'!$B$32,'Inputs'!$B$30+'Inputs'!$B$31+'Inputs'!$B$32)/1000+'Inputs'!$B$21)+'Inputs'!$B$7)^2+('Inputs'!$B$6/2)^2)-(((87-43)*MAX('Inputs'!$B$33,'Inputs'!$B$29+'Inputs'!$B$31+'Inputs'!$B$32,'Inputs'!$B$30+'Inputs'!$B$31+'Inputs'!$B$32)/1000+'Inputs'!$B$21))/SQRT((((87-43)*MAX('Inputs'!$B$33,'Inputs'!$B$29+'Inputs'!$B$31+'Inputs'!$B$32,'Inputs'!$B$30+'Inputs'!$B$31+'Inputs'!$B$32)/1000+'Inputs'!$B$21))^2+('Inputs'!$B$6/2)^2)))-'Results'!C7*(1+'Inputs'!$B$24)*(0.5*((((87-43)*MAX('Inputs'!$B$33,'Inputs'!$B$29+'Inputs'!$B$31+'Inputs'!$B$32,'Inputs'!$B$30+'Inputs'!$B$31+'Inputs'!$B$32)/1000+'Inputs'!$B$21+'Inputs'!$B$7+'Inputs'!$B$10)+'Inputs'!$B$9)/SQRT((((87-43)*MAX('Inputs'!$B$33,'Inputs'!$B$29+'Inputs'!$B$31+'Inputs'!$B$32,'Inputs'!$B$30+'Inputs'!$B$31+'Inputs'!$B$32)/1000+'Inputs'!$B$21+'Inputs'!$B$7+'Inputs'!$B$10)+'Inputs'!$B$9)^2+('Inputs'!$B$8/2)^2)-(((87-43)*MAX('Inputs'!$B$33,'Inputs'!$B$29+'Inputs'!$B$31+'Inputs'!$B$32,'Inputs'!$B$30+'Inputs'!$B$31+'Inputs'!$B$32)/1000+'Inputs'!$B$21+'Inputs'!$B$7+'Inputs'!$B$10))/SQRT((((87-43)*MAX('Inputs'!$B$33,'Inputs'!$B$29+'Inputs'!$B$31+'Inputs'!$B$32,'Inputs'!$B$30+'Inputs'!$B$31+'Inputs'!$B$32)/1000+'Inputs'!$B$21+'Inputs'!$B$7+'Inputs'!$B$10))^2+('Inputs'!$B$8/2)^2))))*'Results'!$B$8))),"")</x:f>
        <x:v>1020.4990115558844</x:v>
      </x:c>
      <x:c r="L87" t="n">
        <x:f>IF(AND(ISNUMBER('Results'!B7),ISNUMBER('Results'!C7),ISNUMBER('Results'!$B$8),ISNUMBER('Inputs'!$B$6),ISNUMBER('Inputs'!$B$7),ISNUMBER('Inputs'!$B$8),ISNUMBER('Inputs'!$B$9),ISNUMBER('Inputs'!$B$10),ISNUMBER('Inputs'!$B$21),ISNUMBER('Inputs'!$B$24),ISNUMBER('Inputs'!$B$28)),((('Results'!B7*(1+'Inputs'!$B$24)*(0.5*((((87-43)*MAX('Inputs'!$B$33,'Inputs'!$B$29+'Inputs'!$B$31+'Inputs'!$B$32,'Inputs'!$B$30+'Inputs'!$B$31+'Inputs'!$B$32)/1000+'Inputs'!$B$21)+'Inputs'!$B$7)/SQRT((((87-43)*MAX('Inputs'!$B$33,'Inputs'!$B$29+'Inputs'!$B$31+'Inputs'!$B$32,'Inputs'!$B$30+'Inputs'!$B$31+'Inputs'!$B$32)/1000+'Inputs'!$B$21)+'Inputs'!$B$7)^2+('Inputs'!$B$6/2)^2)-(((87-43)*MAX('Inputs'!$B$33,'Inputs'!$B$29+'Inputs'!$B$31+'Inputs'!$B$32,'Inputs'!$B$30+'Inputs'!$B$31+'Inputs'!$B$32)/1000+'Inputs'!$B$21))/SQRT((((87-43)*MAX('Inputs'!$B$33,'Inputs'!$B$29+'Inputs'!$B$31+'Inputs'!$B$32,'Inputs'!$B$30+'Inputs'!$B$31+'Inputs'!$B$32)/1000+'Inputs'!$B$21))^2+('Inputs'!$B$6/2)^2)))-'Results'!C7*(1-'Inputs'!$B$24)*(0.5*((((87-43)*MAX('Inputs'!$B$33,'Inputs'!$B$29+'Inputs'!$B$31+'Inputs'!$B$32,'Inputs'!$B$30+'Inputs'!$B$31+'Inputs'!$B$32)/1000+'Inputs'!$B$21+'Inputs'!$B$7+'Inputs'!$B$10)+'Inputs'!$B$9)/SQRT((((87-43)*MAX('Inputs'!$B$33,'Inputs'!$B$29+'Inputs'!$B$31+'Inputs'!$B$32,'Inputs'!$B$30+'Inputs'!$B$31+'Inputs'!$B$32)/1000+'Inputs'!$B$21+'Inputs'!$B$7+'Inputs'!$B$10)+'Inputs'!$B$9)^2+('Inputs'!$B$8/2)^2)-(((87-43)*MAX('Inputs'!$B$33,'Inputs'!$B$29+'Inputs'!$B$31+'Inputs'!$B$32,'Inputs'!$B$30+'Inputs'!$B$31+'Inputs'!$B$32)/1000+'Inputs'!$B$21+'Inputs'!$B$7+'Inputs'!$B$10))/SQRT((((87-43)*MAX('Inputs'!$B$33,'Inputs'!$B$29+'Inputs'!$B$31+'Inputs'!$B$32,'Inputs'!$B$30+'Inputs'!$B$31+'Inputs'!$B$32)/1000+'Inputs'!$B$21+'Inputs'!$B$7+'Inputs'!$B$10))^2+('Inputs'!$B$8/2)^2))))*'Results'!$B$8)+'Inputs'!$B$28*ABS((('Results'!B7*(1+'Inputs'!$B$24)*(0.5*((((87-43)*MAX('Inputs'!$B$33,'Inputs'!$B$29+'Inputs'!$B$31+'Inputs'!$B$32,'Inputs'!$B$30+'Inputs'!$B$31+'Inputs'!$B$32)/1000+'Inputs'!$B$21)+'Inputs'!$B$7)/SQRT((((87-43)*MAX('Inputs'!$B$33,'Inputs'!$B$29+'Inputs'!$B$31+'Inputs'!$B$32,'Inputs'!$B$30+'Inputs'!$B$31+'Inputs'!$B$32)/1000+'Inputs'!$B$21)+'Inputs'!$B$7)^2+('Inputs'!$B$6/2)^2)-(((87-43)*MAX('Inputs'!$B$33,'Inputs'!$B$29+'Inputs'!$B$31+'Inputs'!$B$32,'Inputs'!$B$30+'Inputs'!$B$31+'Inputs'!$B$32)/1000+'Inputs'!$B$21))/SQRT((((87-43)*MAX('Inputs'!$B$33,'Inputs'!$B$29+'Inputs'!$B$31+'Inputs'!$B$32,'Inputs'!$B$30+'Inputs'!$B$31+'Inputs'!$B$32)/1000+'Inputs'!$B$21))^2+('Inputs'!$B$6/2)^2)))-'Results'!C7*(1-'Inputs'!$B$24)*(0.5*((((87-43)*MAX('Inputs'!$B$33,'Inputs'!$B$29+'Inputs'!$B$31+'Inputs'!$B$32,'Inputs'!$B$30+'Inputs'!$B$31+'Inputs'!$B$32)/1000+'Inputs'!$B$21+'Inputs'!$B$7+'Inputs'!$B$10)+'Inputs'!$B$9)/SQRT((((87-43)*MAX('Inputs'!$B$33,'Inputs'!$B$29+'Inputs'!$B$31+'Inputs'!$B$32,'Inputs'!$B$30+'Inputs'!$B$31+'Inputs'!$B$32)/1000+'Inputs'!$B$21+'Inputs'!$B$7+'Inputs'!$B$10)+'Inputs'!$B$9)^2+('Inputs'!$B$8/2)^2)-(((87-43)*MAX('Inputs'!$B$33,'Inputs'!$B$29+'Inputs'!$B$31+'Inputs'!$B$32,'Inputs'!$B$30+'Inputs'!$B$31+'Inputs'!$B$32)/1000+'Inputs'!$B$21+'Inputs'!$B$7+'Inputs'!$B$10))/SQRT((((87-43)*MAX('Inputs'!$B$33,'Inputs'!$B$29+'Inputs'!$B$31+'Inputs'!$B$32,'Inputs'!$B$30+'Inputs'!$B$31+'Inputs'!$B$32)/1000+'Inputs'!$B$21+'Inputs'!$B$7+'Inputs'!$B$10))^2+('Inputs'!$B$8/2)^2))))*'Results'!$B$8))),"")</x:f>
        <x:v>1189.1922773970755</x:v>
      </x:c>
      <x:c r="M87" t="n">
        <x:f>IF(AND(ISNUMBER('Results'!C7),ISNUMBER('Results'!B7),ISNUMBER('Results'!$B$8),ISNUMBER('Inputs'!$B$6),ISNUMBER('Inputs'!$B$7),ISNUMBER('Inputs'!$B$8),ISNUMBER('Inputs'!$B$9),ISNUMBER('Inputs'!$B$10),ISNUMBER('Inputs'!$B$21),ISNUMBER('Inputs'!$B$24),ISNUMBER('Inputs'!$B$28)),(('Results'!C7*(0.5*((((87-43)*MAX('Inputs'!$B$33,'Inputs'!$B$29+'Inputs'!$B$31+'Inputs'!$B$32,'Inputs'!$B$30+'Inputs'!$B$31+'Inputs'!$B$32)/1000+'Inputs'!$B$21)+'Inputs'!$B$9)/SQRT((((87-43)*MAX('Inputs'!$B$33,'Inputs'!$B$29+'Inputs'!$B$31+'Inputs'!$B$32,'Inputs'!$B$30+'Inputs'!$B$31+'Inputs'!$B$32)/1000+'Inputs'!$B$21)+'Inputs'!$B$9)^2+('Inputs'!$B$8/2)^2)-(((87-43)*MAX('Inputs'!$B$33,'Inputs'!$B$29+'Inputs'!$B$31+'Inputs'!$B$32,'Inputs'!$B$30+'Inputs'!$B$31+'Inputs'!$B$32)/1000+'Inputs'!$B$21))/SQRT((((87-43)*MAX('Inputs'!$B$33,'Inputs'!$B$29+'Inputs'!$B$31+'Inputs'!$B$32,'Inputs'!$B$30+'Inputs'!$B$31+'Inputs'!$B$32)/1000+'Inputs'!$B$21))^2+('Inputs'!$B$8/2)^2)))-'Results'!B7*(0.5*((((87-43)*MAX('Inputs'!$B$33,'Inputs'!$B$29+'Inputs'!$B$31+'Inputs'!$B$32,'Inputs'!$B$30+'Inputs'!$B$31+'Inputs'!$B$32)/1000+'Inputs'!$B$21+'Inputs'!$B$9+'Inputs'!$B$10)+'Inputs'!$B$7)/SQRT((((87-43)*MAX('Inputs'!$B$33,'Inputs'!$B$29+'Inputs'!$B$31+'Inputs'!$B$32,'Inputs'!$B$30+'Inputs'!$B$31+'Inputs'!$B$32)/1000+'Inputs'!$B$21+'Inputs'!$B$9+'Inputs'!$B$10)+'Inputs'!$B$7)^2+('Inputs'!$B$6/2)^2)-(((87-43)*MAX('Inputs'!$B$33,'Inputs'!$B$29+'Inputs'!$B$31+'Inputs'!$B$32,'Inputs'!$B$30+'Inputs'!$B$31+'Inputs'!$B$32)/1000+'Inputs'!$B$21+'Inputs'!$B$9+'Inputs'!$B$10))/SQRT((((87-43)*MAX('Inputs'!$B$33,'Inputs'!$B$29+'Inputs'!$B$31+'Inputs'!$B$32,'Inputs'!$B$30+'Inputs'!$B$31+'Inputs'!$B$32)/1000+'Inputs'!$B$21+'Inputs'!$B$9+'Inputs'!$B$10))^2+('Inputs'!$B$6/2)^2))))*'Results'!$B$8),"")</x:f>
        <x:v>1074.1369393346667</x:v>
      </x:c>
      <x:c r="N87" t="n">
        <x:f>IF(AND(ISNUMBER('Results'!C7),ISNUMBER('Results'!B7),ISNUMBER('Results'!$B$8),ISNUMBER('Inputs'!$B$6),ISNUMBER('Inputs'!$B$7),ISNUMBER('Inputs'!$B$8),ISNUMBER('Inputs'!$B$9),ISNUMBER('Inputs'!$B$10),ISNUMBER('Inputs'!$B$21),ISNUMBER('Inputs'!$B$24),ISNUMBER('Inputs'!$B$28)),((('Results'!C7*(1-'Inputs'!$B$24)*(0.5*((((87-43)*MAX('Inputs'!$B$33,'Inputs'!$B$29+'Inputs'!$B$31+'Inputs'!$B$32,'Inputs'!$B$30+'Inputs'!$B$31+'Inputs'!$B$32)/1000+'Inputs'!$B$21)+'Inputs'!$B$9)/SQRT((((87-43)*MAX('Inputs'!$B$33,'Inputs'!$B$29+'Inputs'!$B$31+'Inputs'!$B$32,'Inputs'!$B$30+'Inputs'!$B$31+'Inputs'!$B$32)/1000+'Inputs'!$B$21)+'Inputs'!$B$9)^2+('Inputs'!$B$8/2)^2)-(((87-43)*MAX('Inputs'!$B$33,'Inputs'!$B$29+'Inputs'!$B$31+'Inputs'!$B$32,'Inputs'!$B$30+'Inputs'!$B$31+'Inputs'!$B$32)/1000+'Inputs'!$B$21))/SQRT((((87-43)*MAX('Inputs'!$B$33,'Inputs'!$B$29+'Inputs'!$B$31+'Inputs'!$B$32,'Inputs'!$B$30+'Inputs'!$B$31+'Inputs'!$B$32)/1000+'Inputs'!$B$21))^2+('Inputs'!$B$8/2)^2)))-'Results'!B7*(1+'Inputs'!$B$24)*(0.5*((((87-43)*MAX('Inputs'!$B$33,'Inputs'!$B$29+'Inputs'!$B$31+'Inputs'!$B$32,'Inputs'!$B$30+'Inputs'!$B$31+'Inputs'!$B$32)/1000+'Inputs'!$B$21+'Inputs'!$B$9+'Inputs'!$B$10)+'Inputs'!$B$7)/SQRT((((87-43)*MAX('Inputs'!$B$33,'Inputs'!$B$29+'Inputs'!$B$31+'Inputs'!$B$32,'Inputs'!$B$30+'Inputs'!$B$31+'Inputs'!$B$32)/1000+'Inputs'!$B$21+'Inputs'!$B$9+'Inputs'!$B$10)+'Inputs'!$B$7)^2+('Inputs'!$B$6/2)^2)-(((87-43)*MAX('Inputs'!$B$33,'Inputs'!$B$29+'Inputs'!$B$31+'Inputs'!$B$32,'Inputs'!$B$30+'Inputs'!$B$31+'Inputs'!$B$32)/1000+'Inputs'!$B$21+'Inputs'!$B$9+'Inputs'!$B$10))/SQRT((((87-43)*MAX('Inputs'!$B$33,'Inputs'!$B$29+'Inputs'!$B$31+'Inputs'!$B$32,'Inputs'!$B$30+'Inputs'!$B$31+'Inputs'!$B$32)/1000+'Inputs'!$B$21+'Inputs'!$B$9+'Inputs'!$B$10))^2+('Inputs'!$B$6/2)^2))))*'Results'!$B$8)-'Inputs'!$B$28*ABS((('Results'!C7*(1-'Inputs'!$B$24)*(0.5*((((87-43)*MAX('Inputs'!$B$33,'Inputs'!$B$29+'Inputs'!$B$31+'Inputs'!$B$32,'Inputs'!$B$30+'Inputs'!$B$31+'Inputs'!$B$32)/1000+'Inputs'!$B$21)+'Inputs'!$B$9)/SQRT((((87-43)*MAX('Inputs'!$B$33,'Inputs'!$B$29+'Inputs'!$B$31+'Inputs'!$B$32,'Inputs'!$B$30+'Inputs'!$B$31+'Inputs'!$B$32)/1000+'Inputs'!$B$21)+'Inputs'!$B$9)^2+('Inputs'!$B$8/2)^2)-(((87-43)*MAX('Inputs'!$B$33,'Inputs'!$B$29+'Inputs'!$B$31+'Inputs'!$B$32,'Inputs'!$B$30+'Inputs'!$B$31+'Inputs'!$B$32)/1000+'Inputs'!$B$21))/SQRT((((87-43)*MAX('Inputs'!$B$33,'Inputs'!$B$29+'Inputs'!$B$31+'Inputs'!$B$32,'Inputs'!$B$30+'Inputs'!$B$31+'Inputs'!$B$32)/1000+'Inputs'!$B$21))^2+('Inputs'!$B$8/2)^2)))-'Results'!B7*(1+'Inputs'!$B$24)*(0.5*((((87-43)*MAX('Inputs'!$B$33,'Inputs'!$B$29+'Inputs'!$B$31+'Inputs'!$B$32,'Inputs'!$B$30+'Inputs'!$B$31+'Inputs'!$B$32)/1000+'Inputs'!$B$21+'Inputs'!$B$9+'Inputs'!$B$10)+'Inputs'!$B$7)/SQRT((((87-43)*MAX('Inputs'!$B$33,'Inputs'!$B$29+'Inputs'!$B$31+'Inputs'!$B$32,'Inputs'!$B$30+'Inputs'!$B$31+'Inputs'!$B$32)/1000+'Inputs'!$B$21+'Inputs'!$B$9+'Inputs'!$B$10)+'Inputs'!$B$7)^2+('Inputs'!$B$6/2)^2)-(((87-43)*MAX('Inputs'!$B$33,'Inputs'!$B$29+'Inputs'!$B$31+'Inputs'!$B$32,'Inputs'!$B$30+'Inputs'!$B$31+'Inputs'!$B$32)/1000+'Inputs'!$B$21+'Inputs'!$B$9+'Inputs'!$B$10))/SQRT((((87-43)*MAX('Inputs'!$B$33,'Inputs'!$B$29+'Inputs'!$B$31+'Inputs'!$B$32,'Inputs'!$B$30+'Inputs'!$B$31+'Inputs'!$B$32)/1000+'Inputs'!$B$21+'Inputs'!$B$9+'Inputs'!$B$10))^2+('Inputs'!$B$6/2)^2))))*'Results'!$B$8))),"")</x:f>
        <x:v>993.1295717254701</x:v>
      </x:c>
      <x:c r="O87" t="n">
        <x:f>IF(AND(ISNUMBER('Results'!C7),ISNUMBER('Results'!B7),ISNUMBER('Results'!$B$8),ISNUMBER('Inputs'!$B$6),ISNUMBER('Inputs'!$B$7),ISNUMBER('Inputs'!$B$8),ISNUMBER('Inputs'!$B$9),ISNUMBER('Inputs'!$B$10),ISNUMBER('Inputs'!$B$21),ISNUMBER('Inputs'!$B$24),ISNUMBER('Inputs'!$B$28)),((('Results'!C7*(1+'Inputs'!$B$24)*(0.5*((((87-43)*MAX('Inputs'!$B$33,'Inputs'!$B$29+'Inputs'!$B$31+'Inputs'!$B$32,'Inputs'!$B$30+'Inputs'!$B$31+'Inputs'!$B$32)/1000+'Inputs'!$B$21)+'Inputs'!$B$9)/SQRT((((87-43)*MAX('Inputs'!$B$33,'Inputs'!$B$29+'Inputs'!$B$31+'Inputs'!$B$32,'Inputs'!$B$30+'Inputs'!$B$31+'Inputs'!$B$32)/1000+'Inputs'!$B$21)+'Inputs'!$B$9)^2+('Inputs'!$B$8/2)^2)-(((87-43)*MAX('Inputs'!$B$33,'Inputs'!$B$29+'Inputs'!$B$31+'Inputs'!$B$32,'Inputs'!$B$30+'Inputs'!$B$31+'Inputs'!$B$32)/1000+'Inputs'!$B$21))/SQRT((((87-43)*MAX('Inputs'!$B$33,'Inputs'!$B$29+'Inputs'!$B$31+'Inputs'!$B$32,'Inputs'!$B$30+'Inputs'!$B$31+'Inputs'!$B$32)/1000+'Inputs'!$B$21))^2+('Inputs'!$B$8/2)^2)))-'Results'!B7*(1-'Inputs'!$B$24)*(0.5*((((87-43)*MAX('Inputs'!$B$33,'Inputs'!$B$29+'Inputs'!$B$31+'Inputs'!$B$32,'Inputs'!$B$30+'Inputs'!$B$31+'Inputs'!$B$32)/1000+'Inputs'!$B$21+'Inputs'!$B$9+'Inputs'!$B$10)+'Inputs'!$B$7)/SQRT((((87-43)*MAX('Inputs'!$B$33,'Inputs'!$B$29+'Inputs'!$B$31+'Inputs'!$B$32,'Inputs'!$B$30+'Inputs'!$B$31+'Inputs'!$B$32)/1000+'Inputs'!$B$21+'Inputs'!$B$9+'Inputs'!$B$10)+'Inputs'!$B$7)^2+('Inputs'!$B$6/2)^2)-(((87-43)*MAX('Inputs'!$B$33,'Inputs'!$B$29+'Inputs'!$B$31+'Inputs'!$B$32,'Inputs'!$B$30+'Inputs'!$B$31+'Inputs'!$B$32)/1000+'Inputs'!$B$21+'Inputs'!$B$9+'Inputs'!$B$10))/SQRT((((87-43)*MAX('Inputs'!$B$33,'Inputs'!$B$29+'Inputs'!$B$31+'Inputs'!$B$32,'Inputs'!$B$30+'Inputs'!$B$31+'Inputs'!$B$32)/1000+'Inputs'!$B$21+'Inputs'!$B$9+'Inputs'!$B$10))^2+('Inputs'!$B$6/2)^2))))*'Results'!$B$8)+'Inputs'!$B$28*ABS((('Results'!C7*(1+'Inputs'!$B$24)*(0.5*((((87-43)*MAX('Inputs'!$B$33,'Inputs'!$B$29+'Inputs'!$B$31+'Inputs'!$B$32,'Inputs'!$B$30+'Inputs'!$B$31+'Inputs'!$B$32)/1000+'Inputs'!$B$21)+'Inputs'!$B$9)/SQRT((((87-43)*MAX('Inputs'!$B$33,'Inputs'!$B$29+'Inputs'!$B$31+'Inputs'!$B$32,'Inputs'!$B$30+'Inputs'!$B$31+'Inputs'!$B$32)/1000+'Inputs'!$B$21)+'Inputs'!$B$9)^2+('Inputs'!$B$8/2)^2)-(((87-43)*MAX('Inputs'!$B$33,'Inputs'!$B$29+'Inputs'!$B$31+'Inputs'!$B$32,'Inputs'!$B$30+'Inputs'!$B$31+'Inputs'!$B$32)/1000+'Inputs'!$B$21))/SQRT((((87-43)*MAX('Inputs'!$B$33,'Inputs'!$B$29+'Inputs'!$B$31+'Inputs'!$B$32,'Inputs'!$B$30+'Inputs'!$B$31+'Inputs'!$B$32)/1000+'Inputs'!$B$21))^2+('Inputs'!$B$8/2)^2)))-'Results'!B7*(1-'Inputs'!$B$24)*(0.5*((((87-43)*MAX('Inputs'!$B$33,'Inputs'!$B$29+'Inputs'!$B$31+'Inputs'!$B$32,'Inputs'!$B$30+'Inputs'!$B$31+'Inputs'!$B$32)/1000+'Inputs'!$B$21+'Inputs'!$B$9+'Inputs'!$B$10)+'Inputs'!$B$7)/SQRT((((87-43)*MAX('Inputs'!$B$33,'Inputs'!$B$29+'Inputs'!$B$31+'Inputs'!$B$32,'Inputs'!$B$30+'Inputs'!$B$31+'Inputs'!$B$32)/1000+'Inputs'!$B$21+'Inputs'!$B$9+'Inputs'!$B$10)+'Inputs'!$B$7)^2+('Inputs'!$B$6/2)^2)-(((87-43)*MAX('Inputs'!$B$33,'Inputs'!$B$29+'Inputs'!$B$31+'Inputs'!$B$32,'Inputs'!$B$30+'Inputs'!$B$31+'Inputs'!$B$32)/1000+'Inputs'!$B$21+'Inputs'!$B$9+'Inputs'!$B$10))/SQRT((((87-43)*MAX('Inputs'!$B$33,'Inputs'!$B$29+'Inputs'!$B$31+'Inputs'!$B$32,'Inputs'!$B$30+'Inputs'!$B$31+'Inputs'!$B$32)/1000+'Inputs'!$B$21+'Inputs'!$B$9+'Inputs'!$B$10))^2+('Inputs'!$B$6/2)^2))))*'Results'!$B$8))),"")</x:f>
        <x:v>1158.0180459588596</x:v>
      </x:c>
      <x:c r="P87" t="n">
        <x:f>IF(AND(MAX(J87,J86)&gt;0,J87&gt;J86+0.00000001),1,0)</x:f>
        <x:v>0</x:v>
      </x:c>
      <x:c r="Q87" t="n">
        <x:f>IF(AND(MAX(K87,K86)&gt;0,K87&gt;K86+0.00000001),1,0)</x:f>
        <x:v>0</x:v>
      </x:c>
      <x:c r="R87" t="n">
        <x:f>IF(AND(MAX(L87,L86)&gt;0,L87&gt;L86+0.00000001),1,0)</x:f>
        <x:v>0</x:v>
      </x:c>
      <x:c r="S87" t="n">
        <x:f>IF(AND(MAX(M87,M86)&gt;0,M87&gt;M86+0.00000001),1,0)</x:f>
        <x:v>0</x:v>
      </x:c>
      <x:c r="T87" t="n">
        <x:f>IF(AND(MAX(N87,N86)&gt;0,N87&gt;N86+0.00000001),1,0)</x:f>
        <x:v>0</x:v>
      </x:c>
      <x:c r="U87" t="n">
        <x:f>IF(AND(MAX(O87,O86)&gt;0,O87&gt;O86+0.00000001),1,0)</x:f>
        <x:v>0</x:v>
      </x:c>
    </x:row>
    <x:row r="88">
      <x:c r="J88" t="n">
        <x:f>IF(AND(ISNUMBER('Results'!B7),ISNUMBER('Results'!C7),ISNUMBER('Results'!$B$8),ISNUMBER('Inputs'!$B$6),ISNUMBER('Inputs'!$B$7),ISNUMBER('Inputs'!$B$8),ISNUMBER('Inputs'!$B$9),ISNUMBER('Inputs'!$B$10),ISNUMBER('Inputs'!$B$21),ISNUMBER('Inputs'!$B$24),ISNUMBER('Inputs'!$B$28)),(('Results'!B7*(0.5*((((88-43)*MAX('Inputs'!$B$33,'Inputs'!$B$29+'Inputs'!$B$31+'Inputs'!$B$32,'Inputs'!$B$30+'Inputs'!$B$31+'Inputs'!$B$32)/1000+'Inputs'!$B$21)+'Inputs'!$B$7)/SQRT((((88-43)*MAX('Inputs'!$B$33,'Inputs'!$B$29+'Inputs'!$B$31+'Inputs'!$B$32,'Inputs'!$B$30+'Inputs'!$B$31+'Inputs'!$B$32)/1000+'Inputs'!$B$21)+'Inputs'!$B$7)^2+('Inputs'!$B$6/2)^2)-(((88-43)*MAX('Inputs'!$B$33,'Inputs'!$B$29+'Inputs'!$B$31+'Inputs'!$B$32,'Inputs'!$B$30+'Inputs'!$B$31+'Inputs'!$B$32)/1000+'Inputs'!$B$21))/SQRT((((88-43)*MAX('Inputs'!$B$33,'Inputs'!$B$29+'Inputs'!$B$31+'Inputs'!$B$32,'Inputs'!$B$30+'Inputs'!$B$31+'Inputs'!$B$32)/1000+'Inputs'!$B$21))^2+('Inputs'!$B$6/2)^2)))-'Results'!C7*(0.5*((((88-43)*MAX('Inputs'!$B$33,'Inputs'!$B$29+'Inputs'!$B$31+'Inputs'!$B$32,'Inputs'!$B$30+'Inputs'!$B$31+'Inputs'!$B$32)/1000+'Inputs'!$B$21+'Inputs'!$B$7+'Inputs'!$B$10)+'Inputs'!$B$9)/SQRT((((88-43)*MAX('Inputs'!$B$33,'Inputs'!$B$29+'Inputs'!$B$31+'Inputs'!$B$32,'Inputs'!$B$30+'Inputs'!$B$31+'Inputs'!$B$32)/1000+'Inputs'!$B$21+'Inputs'!$B$7+'Inputs'!$B$10)+'Inputs'!$B$9)^2+('Inputs'!$B$8/2)^2)-(((88-43)*MAX('Inputs'!$B$33,'Inputs'!$B$29+'Inputs'!$B$31+'Inputs'!$B$32,'Inputs'!$B$30+'Inputs'!$B$31+'Inputs'!$B$32)/1000+'Inputs'!$B$21+'Inputs'!$B$7+'Inputs'!$B$10))/SQRT((((88-43)*MAX('Inputs'!$B$33,'Inputs'!$B$29+'Inputs'!$B$31+'Inputs'!$B$32,'Inputs'!$B$30+'Inputs'!$B$31+'Inputs'!$B$32)/1000+'Inputs'!$B$21+'Inputs'!$B$7+'Inputs'!$B$10))^2+('Inputs'!$B$8/2)^2))))*'Results'!$B$8),"")</x:f>
        <x:v>1083.0262832389756</x:v>
      </x:c>
      <x:c r="K88" t="n">
        <x:f>IF(AND(ISNUMBER('Results'!B7),ISNUMBER('Results'!C7),ISNUMBER('Results'!$B$8),ISNUMBER('Inputs'!$B$6),ISNUMBER('Inputs'!$B$7),ISNUMBER('Inputs'!$B$8),ISNUMBER('Inputs'!$B$9),ISNUMBER('Inputs'!$B$10),ISNUMBER('Inputs'!$B$21),ISNUMBER('Inputs'!$B$24),ISNUMBER('Inputs'!$B$28)),((('Results'!B7*(1-'Inputs'!$B$24)*(0.5*((((88-43)*MAX('Inputs'!$B$33,'Inputs'!$B$29+'Inputs'!$B$31+'Inputs'!$B$32,'Inputs'!$B$30+'Inputs'!$B$31+'Inputs'!$B$32)/1000+'Inputs'!$B$21)+'Inputs'!$B$7)/SQRT((((88-43)*MAX('Inputs'!$B$33,'Inputs'!$B$29+'Inputs'!$B$31+'Inputs'!$B$32,'Inputs'!$B$30+'Inputs'!$B$31+'Inputs'!$B$32)/1000+'Inputs'!$B$21)+'Inputs'!$B$7)^2+('Inputs'!$B$6/2)^2)-(((88-43)*MAX('Inputs'!$B$33,'Inputs'!$B$29+'Inputs'!$B$31+'Inputs'!$B$32,'Inputs'!$B$30+'Inputs'!$B$31+'Inputs'!$B$32)/1000+'Inputs'!$B$21))/SQRT((((88-43)*MAX('Inputs'!$B$33,'Inputs'!$B$29+'Inputs'!$B$31+'Inputs'!$B$32,'Inputs'!$B$30+'Inputs'!$B$31+'Inputs'!$B$32)/1000+'Inputs'!$B$21))^2+('Inputs'!$B$6/2)^2)))-'Results'!C7*(1+'Inputs'!$B$24)*(0.5*((((88-43)*MAX('Inputs'!$B$33,'Inputs'!$B$29+'Inputs'!$B$31+'Inputs'!$B$32,'Inputs'!$B$30+'Inputs'!$B$31+'Inputs'!$B$32)/1000+'Inputs'!$B$21+'Inputs'!$B$7+'Inputs'!$B$10)+'Inputs'!$B$9)/SQRT((((88-43)*MAX('Inputs'!$B$33,'Inputs'!$B$29+'Inputs'!$B$31+'Inputs'!$B$32,'Inputs'!$B$30+'Inputs'!$B$31+'Inputs'!$B$32)/1000+'Inputs'!$B$21+'Inputs'!$B$7+'Inputs'!$B$10)+'Inputs'!$B$9)^2+('Inputs'!$B$8/2)^2)-(((88-43)*MAX('Inputs'!$B$33,'Inputs'!$B$29+'Inputs'!$B$31+'Inputs'!$B$32,'Inputs'!$B$30+'Inputs'!$B$31+'Inputs'!$B$32)/1000+'Inputs'!$B$21+'Inputs'!$B$7+'Inputs'!$B$10))/SQRT((((88-43)*MAX('Inputs'!$B$33,'Inputs'!$B$29+'Inputs'!$B$31+'Inputs'!$B$32,'Inputs'!$B$30+'Inputs'!$B$31+'Inputs'!$B$32)/1000+'Inputs'!$B$21+'Inputs'!$B$7+'Inputs'!$B$10))^2+('Inputs'!$B$8/2)^2))))*'Results'!$B$8)-'Inputs'!$B$28*ABS((('Results'!B7*(1-'Inputs'!$B$24)*(0.5*((((88-43)*MAX('Inputs'!$B$33,'Inputs'!$B$29+'Inputs'!$B$31+'Inputs'!$B$32,'Inputs'!$B$30+'Inputs'!$B$31+'Inputs'!$B$32)/1000+'Inputs'!$B$21)+'Inputs'!$B$7)/SQRT((((88-43)*MAX('Inputs'!$B$33,'Inputs'!$B$29+'Inputs'!$B$31+'Inputs'!$B$32,'Inputs'!$B$30+'Inputs'!$B$31+'Inputs'!$B$32)/1000+'Inputs'!$B$21)+'Inputs'!$B$7)^2+('Inputs'!$B$6/2)^2)-(((88-43)*MAX('Inputs'!$B$33,'Inputs'!$B$29+'Inputs'!$B$31+'Inputs'!$B$32,'Inputs'!$B$30+'Inputs'!$B$31+'Inputs'!$B$32)/1000+'Inputs'!$B$21))/SQRT((((88-43)*MAX('Inputs'!$B$33,'Inputs'!$B$29+'Inputs'!$B$31+'Inputs'!$B$32,'Inputs'!$B$30+'Inputs'!$B$31+'Inputs'!$B$32)/1000+'Inputs'!$B$21))^2+('Inputs'!$B$6/2)^2)))-'Results'!C7*(1+'Inputs'!$B$24)*(0.5*((((88-43)*MAX('Inputs'!$B$33,'Inputs'!$B$29+'Inputs'!$B$31+'Inputs'!$B$32,'Inputs'!$B$30+'Inputs'!$B$31+'Inputs'!$B$32)/1000+'Inputs'!$B$21+'Inputs'!$B$7+'Inputs'!$B$10)+'Inputs'!$B$9)/SQRT((((88-43)*MAX('Inputs'!$B$33,'Inputs'!$B$29+'Inputs'!$B$31+'Inputs'!$B$32,'Inputs'!$B$30+'Inputs'!$B$31+'Inputs'!$B$32)/1000+'Inputs'!$B$21+'Inputs'!$B$7+'Inputs'!$B$10)+'Inputs'!$B$9)^2+('Inputs'!$B$8/2)^2)-(((88-43)*MAX('Inputs'!$B$33,'Inputs'!$B$29+'Inputs'!$B$31+'Inputs'!$B$32,'Inputs'!$B$30+'Inputs'!$B$31+'Inputs'!$B$32)/1000+'Inputs'!$B$21+'Inputs'!$B$7+'Inputs'!$B$10))/SQRT((((88-43)*MAX('Inputs'!$B$33,'Inputs'!$B$29+'Inputs'!$B$31+'Inputs'!$B$32,'Inputs'!$B$30+'Inputs'!$B$31+'Inputs'!$B$32)/1000+'Inputs'!$B$21+'Inputs'!$B$7+'Inputs'!$B$10))^2+('Inputs'!$B$8/2)^2))))*'Results'!$B$8))),"")</x:f>
        <x:v>1001.638066049654</x:v>
      </x:c>
      <x:c r="L88" t="n">
        <x:f>IF(AND(ISNUMBER('Results'!B7),ISNUMBER('Results'!C7),ISNUMBER('Results'!$B$8),ISNUMBER('Inputs'!$B$6),ISNUMBER('Inputs'!$B$7),ISNUMBER('Inputs'!$B$8),ISNUMBER('Inputs'!$B$9),ISNUMBER('Inputs'!$B$10),ISNUMBER('Inputs'!$B$21),ISNUMBER('Inputs'!$B$24),ISNUMBER('Inputs'!$B$28)),((('Results'!B7*(1+'Inputs'!$B$24)*(0.5*((((88-43)*MAX('Inputs'!$B$33,'Inputs'!$B$29+'Inputs'!$B$31+'Inputs'!$B$32,'Inputs'!$B$30+'Inputs'!$B$31+'Inputs'!$B$32)/1000+'Inputs'!$B$21)+'Inputs'!$B$7)/SQRT((((88-43)*MAX('Inputs'!$B$33,'Inputs'!$B$29+'Inputs'!$B$31+'Inputs'!$B$32,'Inputs'!$B$30+'Inputs'!$B$31+'Inputs'!$B$32)/1000+'Inputs'!$B$21)+'Inputs'!$B$7)^2+('Inputs'!$B$6/2)^2)-(((88-43)*MAX('Inputs'!$B$33,'Inputs'!$B$29+'Inputs'!$B$31+'Inputs'!$B$32,'Inputs'!$B$30+'Inputs'!$B$31+'Inputs'!$B$32)/1000+'Inputs'!$B$21))/SQRT((((88-43)*MAX('Inputs'!$B$33,'Inputs'!$B$29+'Inputs'!$B$31+'Inputs'!$B$32,'Inputs'!$B$30+'Inputs'!$B$31+'Inputs'!$B$32)/1000+'Inputs'!$B$21))^2+('Inputs'!$B$6/2)^2)))-'Results'!C7*(1-'Inputs'!$B$24)*(0.5*((((88-43)*MAX('Inputs'!$B$33,'Inputs'!$B$29+'Inputs'!$B$31+'Inputs'!$B$32,'Inputs'!$B$30+'Inputs'!$B$31+'Inputs'!$B$32)/1000+'Inputs'!$B$21+'Inputs'!$B$7+'Inputs'!$B$10)+'Inputs'!$B$9)/SQRT((((88-43)*MAX('Inputs'!$B$33,'Inputs'!$B$29+'Inputs'!$B$31+'Inputs'!$B$32,'Inputs'!$B$30+'Inputs'!$B$31+'Inputs'!$B$32)/1000+'Inputs'!$B$21+'Inputs'!$B$7+'Inputs'!$B$10)+'Inputs'!$B$9)^2+('Inputs'!$B$8/2)^2)-(((88-43)*MAX('Inputs'!$B$33,'Inputs'!$B$29+'Inputs'!$B$31+'Inputs'!$B$32,'Inputs'!$B$30+'Inputs'!$B$31+'Inputs'!$B$32)/1000+'Inputs'!$B$21+'Inputs'!$B$7+'Inputs'!$B$10))/SQRT((((88-43)*MAX('Inputs'!$B$33,'Inputs'!$B$29+'Inputs'!$B$31+'Inputs'!$B$32,'Inputs'!$B$30+'Inputs'!$B$31+'Inputs'!$B$32)/1000+'Inputs'!$B$21+'Inputs'!$B$7+'Inputs'!$B$10))^2+('Inputs'!$B$8/2)^2))))*'Results'!$B$8)+'Inputs'!$B$28*ABS((('Results'!B7*(1+'Inputs'!$B$24)*(0.5*((((88-43)*MAX('Inputs'!$B$33,'Inputs'!$B$29+'Inputs'!$B$31+'Inputs'!$B$32,'Inputs'!$B$30+'Inputs'!$B$31+'Inputs'!$B$32)/1000+'Inputs'!$B$21)+'Inputs'!$B$7)/SQRT((((88-43)*MAX('Inputs'!$B$33,'Inputs'!$B$29+'Inputs'!$B$31+'Inputs'!$B$32,'Inputs'!$B$30+'Inputs'!$B$31+'Inputs'!$B$32)/1000+'Inputs'!$B$21)+'Inputs'!$B$7)^2+('Inputs'!$B$6/2)^2)-(((88-43)*MAX('Inputs'!$B$33,'Inputs'!$B$29+'Inputs'!$B$31+'Inputs'!$B$32,'Inputs'!$B$30+'Inputs'!$B$31+'Inputs'!$B$32)/1000+'Inputs'!$B$21))/SQRT((((88-43)*MAX('Inputs'!$B$33,'Inputs'!$B$29+'Inputs'!$B$31+'Inputs'!$B$32,'Inputs'!$B$30+'Inputs'!$B$31+'Inputs'!$B$32)/1000+'Inputs'!$B$21))^2+('Inputs'!$B$6/2)^2)))-'Results'!C7*(1-'Inputs'!$B$24)*(0.5*((((88-43)*MAX('Inputs'!$B$33,'Inputs'!$B$29+'Inputs'!$B$31+'Inputs'!$B$32,'Inputs'!$B$30+'Inputs'!$B$31+'Inputs'!$B$32)/1000+'Inputs'!$B$21+'Inputs'!$B$7+'Inputs'!$B$10)+'Inputs'!$B$9)/SQRT((((88-43)*MAX('Inputs'!$B$33,'Inputs'!$B$29+'Inputs'!$B$31+'Inputs'!$B$32,'Inputs'!$B$30+'Inputs'!$B$31+'Inputs'!$B$32)/1000+'Inputs'!$B$21+'Inputs'!$B$7+'Inputs'!$B$10)+'Inputs'!$B$9)^2+('Inputs'!$B$8/2)^2)-(((88-43)*MAX('Inputs'!$B$33,'Inputs'!$B$29+'Inputs'!$B$31+'Inputs'!$B$32,'Inputs'!$B$30+'Inputs'!$B$31+'Inputs'!$B$32)/1000+'Inputs'!$B$21+'Inputs'!$B$7+'Inputs'!$B$10))/SQRT((((88-43)*MAX('Inputs'!$B$33,'Inputs'!$B$29+'Inputs'!$B$31+'Inputs'!$B$32,'Inputs'!$B$30+'Inputs'!$B$31+'Inputs'!$B$32)/1000+'Inputs'!$B$21+'Inputs'!$B$7+'Inputs'!$B$10))^2+('Inputs'!$B$8/2)^2))))*'Results'!$B$8))),"")</x:f>
        <x:v>1167.281542852231</x:v>
      </x:c>
      <x:c r="M88" t="n">
        <x:f>IF(AND(ISNUMBER('Results'!C7),ISNUMBER('Results'!B7),ISNUMBER('Results'!$B$8),ISNUMBER('Inputs'!$B$6),ISNUMBER('Inputs'!$B$7),ISNUMBER('Inputs'!$B$8),ISNUMBER('Inputs'!$B$9),ISNUMBER('Inputs'!$B$10),ISNUMBER('Inputs'!$B$21),ISNUMBER('Inputs'!$B$24),ISNUMBER('Inputs'!$B$28)),(('Results'!C7*(0.5*((((88-43)*MAX('Inputs'!$B$33,'Inputs'!$B$29+'Inputs'!$B$31+'Inputs'!$B$32,'Inputs'!$B$30+'Inputs'!$B$31+'Inputs'!$B$32)/1000+'Inputs'!$B$21)+'Inputs'!$B$9)/SQRT((((88-43)*MAX('Inputs'!$B$33,'Inputs'!$B$29+'Inputs'!$B$31+'Inputs'!$B$32,'Inputs'!$B$30+'Inputs'!$B$31+'Inputs'!$B$32)/1000+'Inputs'!$B$21)+'Inputs'!$B$9)^2+('Inputs'!$B$8/2)^2)-(((88-43)*MAX('Inputs'!$B$33,'Inputs'!$B$29+'Inputs'!$B$31+'Inputs'!$B$32,'Inputs'!$B$30+'Inputs'!$B$31+'Inputs'!$B$32)/1000+'Inputs'!$B$21))/SQRT((((88-43)*MAX('Inputs'!$B$33,'Inputs'!$B$29+'Inputs'!$B$31+'Inputs'!$B$32,'Inputs'!$B$30+'Inputs'!$B$31+'Inputs'!$B$32)/1000+'Inputs'!$B$21))^2+('Inputs'!$B$8/2)^2)))-'Results'!B7*(0.5*((((88-43)*MAX('Inputs'!$B$33,'Inputs'!$B$29+'Inputs'!$B$31+'Inputs'!$B$32,'Inputs'!$B$30+'Inputs'!$B$31+'Inputs'!$B$32)/1000+'Inputs'!$B$21+'Inputs'!$B$9+'Inputs'!$B$10)+'Inputs'!$B$7)/SQRT((((88-43)*MAX('Inputs'!$B$33,'Inputs'!$B$29+'Inputs'!$B$31+'Inputs'!$B$32,'Inputs'!$B$30+'Inputs'!$B$31+'Inputs'!$B$32)/1000+'Inputs'!$B$21+'Inputs'!$B$9+'Inputs'!$B$10)+'Inputs'!$B$7)^2+('Inputs'!$B$6/2)^2)-(((88-43)*MAX('Inputs'!$B$33,'Inputs'!$B$29+'Inputs'!$B$31+'Inputs'!$B$32,'Inputs'!$B$30+'Inputs'!$B$31+'Inputs'!$B$32)/1000+'Inputs'!$B$21+'Inputs'!$B$9+'Inputs'!$B$10))/SQRT((((88-43)*MAX('Inputs'!$B$33,'Inputs'!$B$29+'Inputs'!$B$31+'Inputs'!$B$32,'Inputs'!$B$30+'Inputs'!$B$31+'Inputs'!$B$32)/1000+'Inputs'!$B$21+'Inputs'!$B$9+'Inputs'!$B$10))^2+('Inputs'!$B$6/2)^2))))*'Results'!$B$8),"")</x:f>
        <x:v>1054.2843294223444</x:v>
      </x:c>
      <x:c r="N88" t="n">
        <x:f>IF(AND(ISNUMBER('Results'!C7),ISNUMBER('Results'!B7),ISNUMBER('Results'!$B$8),ISNUMBER('Inputs'!$B$6),ISNUMBER('Inputs'!$B$7),ISNUMBER('Inputs'!$B$8),ISNUMBER('Inputs'!$B$9),ISNUMBER('Inputs'!$B$10),ISNUMBER('Inputs'!$B$21),ISNUMBER('Inputs'!$B$24),ISNUMBER('Inputs'!$B$28)),((('Results'!C7*(1-'Inputs'!$B$24)*(0.5*((((88-43)*MAX('Inputs'!$B$33,'Inputs'!$B$29+'Inputs'!$B$31+'Inputs'!$B$32,'Inputs'!$B$30+'Inputs'!$B$31+'Inputs'!$B$32)/1000+'Inputs'!$B$21)+'Inputs'!$B$9)/SQRT((((88-43)*MAX('Inputs'!$B$33,'Inputs'!$B$29+'Inputs'!$B$31+'Inputs'!$B$32,'Inputs'!$B$30+'Inputs'!$B$31+'Inputs'!$B$32)/1000+'Inputs'!$B$21)+'Inputs'!$B$9)^2+('Inputs'!$B$8/2)^2)-(((88-43)*MAX('Inputs'!$B$33,'Inputs'!$B$29+'Inputs'!$B$31+'Inputs'!$B$32,'Inputs'!$B$30+'Inputs'!$B$31+'Inputs'!$B$32)/1000+'Inputs'!$B$21))/SQRT((((88-43)*MAX('Inputs'!$B$33,'Inputs'!$B$29+'Inputs'!$B$31+'Inputs'!$B$32,'Inputs'!$B$30+'Inputs'!$B$31+'Inputs'!$B$32)/1000+'Inputs'!$B$21))^2+('Inputs'!$B$8/2)^2)))-'Results'!B7*(1+'Inputs'!$B$24)*(0.5*((((88-43)*MAX('Inputs'!$B$33,'Inputs'!$B$29+'Inputs'!$B$31+'Inputs'!$B$32,'Inputs'!$B$30+'Inputs'!$B$31+'Inputs'!$B$32)/1000+'Inputs'!$B$21+'Inputs'!$B$9+'Inputs'!$B$10)+'Inputs'!$B$7)/SQRT((((88-43)*MAX('Inputs'!$B$33,'Inputs'!$B$29+'Inputs'!$B$31+'Inputs'!$B$32,'Inputs'!$B$30+'Inputs'!$B$31+'Inputs'!$B$32)/1000+'Inputs'!$B$21+'Inputs'!$B$9+'Inputs'!$B$10)+'Inputs'!$B$7)^2+('Inputs'!$B$6/2)^2)-(((88-43)*MAX('Inputs'!$B$33,'Inputs'!$B$29+'Inputs'!$B$31+'Inputs'!$B$32,'Inputs'!$B$30+'Inputs'!$B$31+'Inputs'!$B$32)/1000+'Inputs'!$B$21+'Inputs'!$B$9+'Inputs'!$B$10))/SQRT((((88-43)*MAX('Inputs'!$B$33,'Inputs'!$B$29+'Inputs'!$B$31+'Inputs'!$B$32,'Inputs'!$B$30+'Inputs'!$B$31+'Inputs'!$B$32)/1000+'Inputs'!$B$21+'Inputs'!$B$9+'Inputs'!$B$10))^2+('Inputs'!$B$6/2)^2))))*'Results'!$B$8)-'Inputs'!$B$28*ABS((('Results'!C7*(1-'Inputs'!$B$24)*(0.5*((((88-43)*MAX('Inputs'!$B$33,'Inputs'!$B$29+'Inputs'!$B$31+'Inputs'!$B$32,'Inputs'!$B$30+'Inputs'!$B$31+'Inputs'!$B$32)/1000+'Inputs'!$B$21)+'Inputs'!$B$9)/SQRT((((88-43)*MAX('Inputs'!$B$33,'Inputs'!$B$29+'Inputs'!$B$31+'Inputs'!$B$32,'Inputs'!$B$30+'Inputs'!$B$31+'Inputs'!$B$32)/1000+'Inputs'!$B$21)+'Inputs'!$B$9)^2+('Inputs'!$B$8/2)^2)-(((88-43)*MAX('Inputs'!$B$33,'Inputs'!$B$29+'Inputs'!$B$31+'Inputs'!$B$32,'Inputs'!$B$30+'Inputs'!$B$31+'Inputs'!$B$32)/1000+'Inputs'!$B$21))/SQRT((((88-43)*MAX('Inputs'!$B$33,'Inputs'!$B$29+'Inputs'!$B$31+'Inputs'!$B$32,'Inputs'!$B$30+'Inputs'!$B$31+'Inputs'!$B$32)/1000+'Inputs'!$B$21))^2+('Inputs'!$B$8/2)^2)))-'Results'!B7*(1+'Inputs'!$B$24)*(0.5*((((88-43)*MAX('Inputs'!$B$33,'Inputs'!$B$29+'Inputs'!$B$31+'Inputs'!$B$32,'Inputs'!$B$30+'Inputs'!$B$31+'Inputs'!$B$32)/1000+'Inputs'!$B$21+'Inputs'!$B$9+'Inputs'!$B$10)+'Inputs'!$B$7)/SQRT((((88-43)*MAX('Inputs'!$B$33,'Inputs'!$B$29+'Inputs'!$B$31+'Inputs'!$B$32,'Inputs'!$B$30+'Inputs'!$B$31+'Inputs'!$B$32)/1000+'Inputs'!$B$21+'Inputs'!$B$9+'Inputs'!$B$10)+'Inputs'!$B$7)^2+('Inputs'!$B$6/2)^2)-(((88-43)*MAX('Inputs'!$B$33,'Inputs'!$B$29+'Inputs'!$B$31+'Inputs'!$B$32,'Inputs'!$B$30+'Inputs'!$B$31+'Inputs'!$B$32)/1000+'Inputs'!$B$21+'Inputs'!$B$9+'Inputs'!$B$10))/SQRT((((88-43)*MAX('Inputs'!$B$33,'Inputs'!$B$29+'Inputs'!$B$31+'Inputs'!$B$32,'Inputs'!$B$30+'Inputs'!$B$31+'Inputs'!$B$32)/1000+'Inputs'!$B$21+'Inputs'!$B$9+'Inputs'!$B$10))^2+('Inputs'!$B$6/2)^2))))*'Results'!$B$8))),"")</x:f>
        <x:v>974.7434008495165</x:v>
      </x:c>
      <x:c r="O88" t="n">
        <x:f>IF(AND(ISNUMBER('Results'!C7),ISNUMBER('Results'!B7),ISNUMBER('Results'!$B$8),ISNUMBER('Inputs'!$B$6),ISNUMBER('Inputs'!$B$7),ISNUMBER('Inputs'!$B$8),ISNUMBER('Inputs'!$B$9),ISNUMBER('Inputs'!$B$10),ISNUMBER('Inputs'!$B$21),ISNUMBER('Inputs'!$B$24),ISNUMBER('Inputs'!$B$28)),((('Results'!C7*(1+'Inputs'!$B$24)*(0.5*((((88-43)*MAX('Inputs'!$B$33,'Inputs'!$B$29+'Inputs'!$B$31+'Inputs'!$B$32,'Inputs'!$B$30+'Inputs'!$B$31+'Inputs'!$B$32)/1000+'Inputs'!$B$21)+'Inputs'!$B$9)/SQRT((((88-43)*MAX('Inputs'!$B$33,'Inputs'!$B$29+'Inputs'!$B$31+'Inputs'!$B$32,'Inputs'!$B$30+'Inputs'!$B$31+'Inputs'!$B$32)/1000+'Inputs'!$B$21)+'Inputs'!$B$9)^2+('Inputs'!$B$8/2)^2)-(((88-43)*MAX('Inputs'!$B$33,'Inputs'!$B$29+'Inputs'!$B$31+'Inputs'!$B$32,'Inputs'!$B$30+'Inputs'!$B$31+'Inputs'!$B$32)/1000+'Inputs'!$B$21))/SQRT((((88-43)*MAX('Inputs'!$B$33,'Inputs'!$B$29+'Inputs'!$B$31+'Inputs'!$B$32,'Inputs'!$B$30+'Inputs'!$B$31+'Inputs'!$B$32)/1000+'Inputs'!$B$21))^2+('Inputs'!$B$8/2)^2)))-'Results'!B7*(1-'Inputs'!$B$24)*(0.5*((((88-43)*MAX('Inputs'!$B$33,'Inputs'!$B$29+'Inputs'!$B$31+'Inputs'!$B$32,'Inputs'!$B$30+'Inputs'!$B$31+'Inputs'!$B$32)/1000+'Inputs'!$B$21+'Inputs'!$B$9+'Inputs'!$B$10)+'Inputs'!$B$7)/SQRT((((88-43)*MAX('Inputs'!$B$33,'Inputs'!$B$29+'Inputs'!$B$31+'Inputs'!$B$32,'Inputs'!$B$30+'Inputs'!$B$31+'Inputs'!$B$32)/1000+'Inputs'!$B$21+'Inputs'!$B$9+'Inputs'!$B$10)+'Inputs'!$B$7)^2+('Inputs'!$B$6/2)^2)-(((88-43)*MAX('Inputs'!$B$33,'Inputs'!$B$29+'Inputs'!$B$31+'Inputs'!$B$32,'Inputs'!$B$30+'Inputs'!$B$31+'Inputs'!$B$32)/1000+'Inputs'!$B$21+'Inputs'!$B$9+'Inputs'!$B$10))/SQRT((((88-43)*MAX('Inputs'!$B$33,'Inputs'!$B$29+'Inputs'!$B$31+'Inputs'!$B$32,'Inputs'!$B$30+'Inputs'!$B$31+'Inputs'!$B$32)/1000+'Inputs'!$B$21+'Inputs'!$B$9+'Inputs'!$B$10))^2+('Inputs'!$B$6/2)^2))))*'Results'!$B$8)+'Inputs'!$B$28*ABS((('Results'!C7*(1+'Inputs'!$B$24)*(0.5*((((88-43)*MAX('Inputs'!$B$33,'Inputs'!$B$29+'Inputs'!$B$31+'Inputs'!$B$32,'Inputs'!$B$30+'Inputs'!$B$31+'Inputs'!$B$32)/1000+'Inputs'!$B$21)+'Inputs'!$B$9)/SQRT((((88-43)*MAX('Inputs'!$B$33,'Inputs'!$B$29+'Inputs'!$B$31+'Inputs'!$B$32,'Inputs'!$B$30+'Inputs'!$B$31+'Inputs'!$B$32)/1000+'Inputs'!$B$21)+'Inputs'!$B$9)^2+('Inputs'!$B$8/2)^2)-(((88-43)*MAX('Inputs'!$B$33,'Inputs'!$B$29+'Inputs'!$B$31+'Inputs'!$B$32,'Inputs'!$B$30+'Inputs'!$B$31+'Inputs'!$B$32)/1000+'Inputs'!$B$21))/SQRT((((88-43)*MAX('Inputs'!$B$33,'Inputs'!$B$29+'Inputs'!$B$31+'Inputs'!$B$32,'Inputs'!$B$30+'Inputs'!$B$31+'Inputs'!$B$32)/1000+'Inputs'!$B$21))^2+('Inputs'!$B$8/2)^2)))-'Results'!B7*(1-'Inputs'!$B$24)*(0.5*((((88-43)*MAX('Inputs'!$B$33,'Inputs'!$B$29+'Inputs'!$B$31+'Inputs'!$B$32,'Inputs'!$B$30+'Inputs'!$B$31+'Inputs'!$B$32)/1000+'Inputs'!$B$21+'Inputs'!$B$9+'Inputs'!$B$10)+'Inputs'!$B$7)/SQRT((((88-43)*MAX('Inputs'!$B$33,'Inputs'!$B$29+'Inputs'!$B$31+'Inputs'!$B$32,'Inputs'!$B$30+'Inputs'!$B$31+'Inputs'!$B$32)/1000+'Inputs'!$B$21+'Inputs'!$B$9+'Inputs'!$B$10)+'Inputs'!$B$7)^2+('Inputs'!$B$6/2)^2)-(((88-43)*MAX('Inputs'!$B$33,'Inputs'!$B$29+'Inputs'!$B$31+'Inputs'!$B$32,'Inputs'!$B$30+'Inputs'!$B$31+'Inputs'!$B$32)/1000+'Inputs'!$B$21+'Inputs'!$B$9+'Inputs'!$B$10))/SQRT((((88-43)*MAX('Inputs'!$B$33,'Inputs'!$B$29+'Inputs'!$B$31+'Inputs'!$B$32,'Inputs'!$B$30+'Inputs'!$B$31+'Inputs'!$B$32)/1000+'Inputs'!$B$21+'Inputs'!$B$9+'Inputs'!$B$10))^2+('Inputs'!$B$6/2)^2))))*'Results'!$B$8))),"")</x:f>
        <x:v>1136.6491224269312</x:v>
      </x:c>
      <x:c r="P88" t="n">
        <x:f>IF(AND(MAX(J88,J87)&gt;0,J88&gt;J87+0.00000001),1,0)</x:f>
        <x:v>0</x:v>
      </x:c>
      <x:c r="Q88" t="n">
        <x:f>IF(AND(MAX(K88,K87)&gt;0,K88&gt;K87+0.00000001),1,0)</x:f>
        <x:v>0</x:v>
      </x:c>
      <x:c r="R88" t="n">
        <x:f>IF(AND(MAX(L88,L87)&gt;0,L88&gt;L87+0.00000001),1,0)</x:f>
        <x:v>0</x:v>
      </x:c>
      <x:c r="S88" t="n">
        <x:f>IF(AND(MAX(M88,M87)&gt;0,M88&gt;M87+0.00000001),1,0)</x:f>
        <x:v>0</x:v>
      </x:c>
      <x:c r="T88" t="n">
        <x:f>IF(AND(MAX(N88,N87)&gt;0,N88&gt;N87+0.00000001),1,0)</x:f>
        <x:v>0</x:v>
      </x:c>
      <x:c r="U88" t="n">
        <x:f>IF(AND(MAX(O88,O87)&gt;0,O88&gt;O87+0.00000001),1,0)</x:f>
        <x:v>0</x:v>
      </x:c>
    </x:row>
    <x:row r="89">
      <x:c r="J89" t="n">
        <x:f>IF(AND(ISNUMBER('Results'!B7),ISNUMBER('Results'!C7),ISNUMBER('Results'!$B$8),ISNUMBER('Inputs'!$B$6),ISNUMBER('Inputs'!$B$7),ISNUMBER('Inputs'!$B$8),ISNUMBER('Inputs'!$B$9),ISNUMBER('Inputs'!$B$10),ISNUMBER('Inputs'!$B$21),ISNUMBER('Inputs'!$B$24),ISNUMBER('Inputs'!$B$28)),(('Results'!B7*(0.5*((((89-43)*MAX('Inputs'!$B$33,'Inputs'!$B$29+'Inputs'!$B$31+'Inputs'!$B$32,'Inputs'!$B$30+'Inputs'!$B$31+'Inputs'!$B$32)/1000+'Inputs'!$B$21)+'Inputs'!$B$7)/SQRT((((89-43)*MAX('Inputs'!$B$33,'Inputs'!$B$29+'Inputs'!$B$31+'Inputs'!$B$32,'Inputs'!$B$30+'Inputs'!$B$31+'Inputs'!$B$32)/1000+'Inputs'!$B$21)+'Inputs'!$B$7)^2+('Inputs'!$B$6/2)^2)-(((89-43)*MAX('Inputs'!$B$33,'Inputs'!$B$29+'Inputs'!$B$31+'Inputs'!$B$32,'Inputs'!$B$30+'Inputs'!$B$31+'Inputs'!$B$32)/1000+'Inputs'!$B$21))/SQRT((((89-43)*MAX('Inputs'!$B$33,'Inputs'!$B$29+'Inputs'!$B$31+'Inputs'!$B$32,'Inputs'!$B$30+'Inputs'!$B$31+'Inputs'!$B$32)/1000+'Inputs'!$B$21))^2+('Inputs'!$B$6/2)^2)))-'Results'!C7*(0.5*((((89-43)*MAX('Inputs'!$B$33,'Inputs'!$B$29+'Inputs'!$B$31+'Inputs'!$B$32,'Inputs'!$B$30+'Inputs'!$B$31+'Inputs'!$B$32)/1000+'Inputs'!$B$21+'Inputs'!$B$7+'Inputs'!$B$10)+'Inputs'!$B$9)/SQRT((((89-43)*MAX('Inputs'!$B$33,'Inputs'!$B$29+'Inputs'!$B$31+'Inputs'!$B$32,'Inputs'!$B$30+'Inputs'!$B$31+'Inputs'!$B$32)/1000+'Inputs'!$B$21+'Inputs'!$B$7+'Inputs'!$B$10)+'Inputs'!$B$9)^2+('Inputs'!$B$8/2)^2)-(((89-43)*MAX('Inputs'!$B$33,'Inputs'!$B$29+'Inputs'!$B$31+'Inputs'!$B$32,'Inputs'!$B$30+'Inputs'!$B$31+'Inputs'!$B$32)/1000+'Inputs'!$B$21+'Inputs'!$B$7+'Inputs'!$B$10))/SQRT((((89-43)*MAX('Inputs'!$B$33,'Inputs'!$B$29+'Inputs'!$B$31+'Inputs'!$B$32,'Inputs'!$B$30+'Inputs'!$B$31+'Inputs'!$B$32)/1000+'Inputs'!$B$21+'Inputs'!$B$7+'Inputs'!$B$10))^2+('Inputs'!$B$8/2)^2))))*'Results'!$B$8),"")</x:f>
        <x:v>1062.9330079200686</x:v>
      </x:c>
      <x:c r="K89" t="n">
        <x:f>IF(AND(ISNUMBER('Results'!B7),ISNUMBER('Results'!C7),ISNUMBER('Results'!$B$8),ISNUMBER('Inputs'!$B$6),ISNUMBER('Inputs'!$B$7),ISNUMBER('Inputs'!$B$8),ISNUMBER('Inputs'!$B$9),ISNUMBER('Inputs'!$B$10),ISNUMBER('Inputs'!$B$21),ISNUMBER('Inputs'!$B$24),ISNUMBER('Inputs'!$B$28)),((('Results'!B7*(1-'Inputs'!$B$24)*(0.5*((((89-43)*MAX('Inputs'!$B$33,'Inputs'!$B$29+'Inputs'!$B$31+'Inputs'!$B$32,'Inputs'!$B$30+'Inputs'!$B$31+'Inputs'!$B$32)/1000+'Inputs'!$B$21)+'Inputs'!$B$7)/SQRT((((89-43)*MAX('Inputs'!$B$33,'Inputs'!$B$29+'Inputs'!$B$31+'Inputs'!$B$32,'Inputs'!$B$30+'Inputs'!$B$31+'Inputs'!$B$32)/1000+'Inputs'!$B$21)+'Inputs'!$B$7)^2+('Inputs'!$B$6/2)^2)-(((89-43)*MAX('Inputs'!$B$33,'Inputs'!$B$29+'Inputs'!$B$31+'Inputs'!$B$32,'Inputs'!$B$30+'Inputs'!$B$31+'Inputs'!$B$32)/1000+'Inputs'!$B$21))/SQRT((((89-43)*MAX('Inputs'!$B$33,'Inputs'!$B$29+'Inputs'!$B$31+'Inputs'!$B$32,'Inputs'!$B$30+'Inputs'!$B$31+'Inputs'!$B$32)/1000+'Inputs'!$B$21))^2+('Inputs'!$B$6/2)^2)))-'Results'!C7*(1+'Inputs'!$B$24)*(0.5*((((89-43)*MAX('Inputs'!$B$33,'Inputs'!$B$29+'Inputs'!$B$31+'Inputs'!$B$32,'Inputs'!$B$30+'Inputs'!$B$31+'Inputs'!$B$32)/1000+'Inputs'!$B$21+'Inputs'!$B$7+'Inputs'!$B$10)+'Inputs'!$B$9)/SQRT((((89-43)*MAX('Inputs'!$B$33,'Inputs'!$B$29+'Inputs'!$B$31+'Inputs'!$B$32,'Inputs'!$B$30+'Inputs'!$B$31+'Inputs'!$B$32)/1000+'Inputs'!$B$21+'Inputs'!$B$7+'Inputs'!$B$10)+'Inputs'!$B$9)^2+('Inputs'!$B$8/2)^2)-(((89-43)*MAX('Inputs'!$B$33,'Inputs'!$B$29+'Inputs'!$B$31+'Inputs'!$B$32,'Inputs'!$B$30+'Inputs'!$B$31+'Inputs'!$B$32)/1000+'Inputs'!$B$21+'Inputs'!$B$7+'Inputs'!$B$10))/SQRT((((89-43)*MAX('Inputs'!$B$33,'Inputs'!$B$29+'Inputs'!$B$31+'Inputs'!$B$32,'Inputs'!$B$30+'Inputs'!$B$31+'Inputs'!$B$32)/1000+'Inputs'!$B$21+'Inputs'!$B$7+'Inputs'!$B$10))^2+('Inputs'!$B$8/2)^2))))*'Results'!$B$8)-'Inputs'!$B$28*ABS((('Results'!B7*(1-'Inputs'!$B$24)*(0.5*((((89-43)*MAX('Inputs'!$B$33,'Inputs'!$B$29+'Inputs'!$B$31+'Inputs'!$B$32,'Inputs'!$B$30+'Inputs'!$B$31+'Inputs'!$B$32)/1000+'Inputs'!$B$21)+'Inputs'!$B$7)/SQRT((((89-43)*MAX('Inputs'!$B$33,'Inputs'!$B$29+'Inputs'!$B$31+'Inputs'!$B$32,'Inputs'!$B$30+'Inputs'!$B$31+'Inputs'!$B$32)/1000+'Inputs'!$B$21)+'Inputs'!$B$7)^2+('Inputs'!$B$6/2)^2)-(((89-43)*MAX('Inputs'!$B$33,'Inputs'!$B$29+'Inputs'!$B$31+'Inputs'!$B$32,'Inputs'!$B$30+'Inputs'!$B$31+'Inputs'!$B$32)/1000+'Inputs'!$B$21))/SQRT((((89-43)*MAX('Inputs'!$B$33,'Inputs'!$B$29+'Inputs'!$B$31+'Inputs'!$B$32,'Inputs'!$B$30+'Inputs'!$B$31+'Inputs'!$B$32)/1000+'Inputs'!$B$21))^2+('Inputs'!$B$6/2)^2)))-'Results'!C7*(1+'Inputs'!$B$24)*(0.5*((((89-43)*MAX('Inputs'!$B$33,'Inputs'!$B$29+'Inputs'!$B$31+'Inputs'!$B$32,'Inputs'!$B$30+'Inputs'!$B$31+'Inputs'!$B$32)/1000+'Inputs'!$B$21+'Inputs'!$B$7+'Inputs'!$B$10)+'Inputs'!$B$9)/SQRT((((89-43)*MAX('Inputs'!$B$33,'Inputs'!$B$29+'Inputs'!$B$31+'Inputs'!$B$32,'Inputs'!$B$30+'Inputs'!$B$31+'Inputs'!$B$32)/1000+'Inputs'!$B$21+'Inputs'!$B$7+'Inputs'!$B$10)+'Inputs'!$B$9)^2+('Inputs'!$B$8/2)^2)-(((89-43)*MAX('Inputs'!$B$33,'Inputs'!$B$29+'Inputs'!$B$31+'Inputs'!$B$32,'Inputs'!$B$30+'Inputs'!$B$31+'Inputs'!$B$32)/1000+'Inputs'!$B$21+'Inputs'!$B$7+'Inputs'!$B$10))/SQRT((((89-43)*MAX('Inputs'!$B$33,'Inputs'!$B$29+'Inputs'!$B$31+'Inputs'!$B$32,'Inputs'!$B$30+'Inputs'!$B$31+'Inputs'!$B$32)/1000+'Inputs'!$B$21+'Inputs'!$B$7+'Inputs'!$B$10))^2+('Inputs'!$B$8/2)^2))))*'Results'!$B$8))),"")</x:f>
        <x:v>983.0242275357446</x:v>
      </x:c>
      <x:c r="L89" t="n">
        <x:f>IF(AND(ISNUMBER('Results'!B7),ISNUMBER('Results'!C7),ISNUMBER('Results'!$B$8),ISNUMBER('Inputs'!$B$6),ISNUMBER('Inputs'!$B$7),ISNUMBER('Inputs'!$B$8),ISNUMBER('Inputs'!$B$9),ISNUMBER('Inputs'!$B$10),ISNUMBER('Inputs'!$B$21),ISNUMBER('Inputs'!$B$24),ISNUMBER('Inputs'!$B$28)),((('Results'!B7*(1+'Inputs'!$B$24)*(0.5*((((89-43)*MAX('Inputs'!$B$33,'Inputs'!$B$29+'Inputs'!$B$31+'Inputs'!$B$32,'Inputs'!$B$30+'Inputs'!$B$31+'Inputs'!$B$32)/1000+'Inputs'!$B$21)+'Inputs'!$B$7)/SQRT((((89-43)*MAX('Inputs'!$B$33,'Inputs'!$B$29+'Inputs'!$B$31+'Inputs'!$B$32,'Inputs'!$B$30+'Inputs'!$B$31+'Inputs'!$B$32)/1000+'Inputs'!$B$21)+'Inputs'!$B$7)^2+('Inputs'!$B$6/2)^2)-(((89-43)*MAX('Inputs'!$B$33,'Inputs'!$B$29+'Inputs'!$B$31+'Inputs'!$B$32,'Inputs'!$B$30+'Inputs'!$B$31+'Inputs'!$B$32)/1000+'Inputs'!$B$21))/SQRT((((89-43)*MAX('Inputs'!$B$33,'Inputs'!$B$29+'Inputs'!$B$31+'Inputs'!$B$32,'Inputs'!$B$30+'Inputs'!$B$31+'Inputs'!$B$32)/1000+'Inputs'!$B$21))^2+('Inputs'!$B$6/2)^2)))-'Results'!C7*(1-'Inputs'!$B$24)*(0.5*((((89-43)*MAX('Inputs'!$B$33,'Inputs'!$B$29+'Inputs'!$B$31+'Inputs'!$B$32,'Inputs'!$B$30+'Inputs'!$B$31+'Inputs'!$B$32)/1000+'Inputs'!$B$21+'Inputs'!$B$7+'Inputs'!$B$10)+'Inputs'!$B$9)/SQRT((((89-43)*MAX('Inputs'!$B$33,'Inputs'!$B$29+'Inputs'!$B$31+'Inputs'!$B$32,'Inputs'!$B$30+'Inputs'!$B$31+'Inputs'!$B$32)/1000+'Inputs'!$B$21+'Inputs'!$B$7+'Inputs'!$B$10)+'Inputs'!$B$9)^2+('Inputs'!$B$8/2)^2)-(((89-43)*MAX('Inputs'!$B$33,'Inputs'!$B$29+'Inputs'!$B$31+'Inputs'!$B$32,'Inputs'!$B$30+'Inputs'!$B$31+'Inputs'!$B$32)/1000+'Inputs'!$B$21+'Inputs'!$B$7+'Inputs'!$B$10))/SQRT((((89-43)*MAX('Inputs'!$B$33,'Inputs'!$B$29+'Inputs'!$B$31+'Inputs'!$B$32,'Inputs'!$B$30+'Inputs'!$B$31+'Inputs'!$B$32)/1000+'Inputs'!$B$21+'Inputs'!$B$7+'Inputs'!$B$10))^2+('Inputs'!$B$8/2)^2))))*'Results'!$B$8)+'Inputs'!$B$28*ABS((('Results'!B7*(1+'Inputs'!$B$24)*(0.5*((((89-43)*MAX('Inputs'!$B$33,'Inputs'!$B$29+'Inputs'!$B$31+'Inputs'!$B$32,'Inputs'!$B$30+'Inputs'!$B$31+'Inputs'!$B$32)/1000+'Inputs'!$B$21)+'Inputs'!$B$7)/SQRT((((89-43)*MAX('Inputs'!$B$33,'Inputs'!$B$29+'Inputs'!$B$31+'Inputs'!$B$32,'Inputs'!$B$30+'Inputs'!$B$31+'Inputs'!$B$32)/1000+'Inputs'!$B$21)+'Inputs'!$B$7)^2+('Inputs'!$B$6/2)^2)-(((89-43)*MAX('Inputs'!$B$33,'Inputs'!$B$29+'Inputs'!$B$31+'Inputs'!$B$32,'Inputs'!$B$30+'Inputs'!$B$31+'Inputs'!$B$32)/1000+'Inputs'!$B$21))/SQRT((((89-43)*MAX('Inputs'!$B$33,'Inputs'!$B$29+'Inputs'!$B$31+'Inputs'!$B$32,'Inputs'!$B$30+'Inputs'!$B$31+'Inputs'!$B$32)/1000+'Inputs'!$B$21))^2+('Inputs'!$B$6/2)^2)))-'Results'!C7*(1-'Inputs'!$B$24)*(0.5*((((89-43)*MAX('Inputs'!$B$33,'Inputs'!$B$29+'Inputs'!$B$31+'Inputs'!$B$32,'Inputs'!$B$30+'Inputs'!$B$31+'Inputs'!$B$32)/1000+'Inputs'!$B$21+'Inputs'!$B$7+'Inputs'!$B$10)+'Inputs'!$B$9)/SQRT((((89-43)*MAX('Inputs'!$B$33,'Inputs'!$B$29+'Inputs'!$B$31+'Inputs'!$B$32,'Inputs'!$B$30+'Inputs'!$B$31+'Inputs'!$B$32)/1000+'Inputs'!$B$21+'Inputs'!$B$7+'Inputs'!$B$10)+'Inputs'!$B$9)^2+('Inputs'!$B$8/2)^2)-(((89-43)*MAX('Inputs'!$B$33,'Inputs'!$B$29+'Inputs'!$B$31+'Inputs'!$B$32,'Inputs'!$B$30+'Inputs'!$B$31+'Inputs'!$B$32)/1000+'Inputs'!$B$21+'Inputs'!$B$7+'Inputs'!$B$10))/SQRT((((89-43)*MAX('Inputs'!$B$33,'Inputs'!$B$29+'Inputs'!$B$31+'Inputs'!$B$32,'Inputs'!$B$30+'Inputs'!$B$31+'Inputs'!$B$32)/1000+'Inputs'!$B$21+'Inputs'!$B$7+'Inputs'!$B$10))^2+('Inputs'!$B$8/2)^2))))*'Results'!$B$8))),"")</x:f>
        <x:v>1145.6588546189528</x:v>
      </x:c>
      <x:c r="M89" t="n">
        <x:f>IF(AND(ISNUMBER('Results'!C7),ISNUMBER('Results'!B7),ISNUMBER('Results'!$B$8),ISNUMBER('Inputs'!$B$6),ISNUMBER('Inputs'!$B$7),ISNUMBER('Inputs'!$B$8),ISNUMBER('Inputs'!$B$9),ISNUMBER('Inputs'!$B$10),ISNUMBER('Inputs'!$B$21),ISNUMBER('Inputs'!$B$24),ISNUMBER('Inputs'!$B$28)),(('Results'!C7*(0.5*((((89-43)*MAX('Inputs'!$B$33,'Inputs'!$B$29+'Inputs'!$B$31+'Inputs'!$B$32,'Inputs'!$B$30+'Inputs'!$B$31+'Inputs'!$B$32)/1000+'Inputs'!$B$21)+'Inputs'!$B$9)/SQRT((((89-43)*MAX('Inputs'!$B$33,'Inputs'!$B$29+'Inputs'!$B$31+'Inputs'!$B$32,'Inputs'!$B$30+'Inputs'!$B$31+'Inputs'!$B$32)/1000+'Inputs'!$B$21)+'Inputs'!$B$9)^2+('Inputs'!$B$8/2)^2)-(((89-43)*MAX('Inputs'!$B$33,'Inputs'!$B$29+'Inputs'!$B$31+'Inputs'!$B$32,'Inputs'!$B$30+'Inputs'!$B$31+'Inputs'!$B$32)/1000+'Inputs'!$B$21))/SQRT((((89-43)*MAX('Inputs'!$B$33,'Inputs'!$B$29+'Inputs'!$B$31+'Inputs'!$B$32,'Inputs'!$B$30+'Inputs'!$B$31+'Inputs'!$B$32)/1000+'Inputs'!$B$21))^2+('Inputs'!$B$8/2)^2)))-'Results'!B7*(0.5*((((89-43)*MAX('Inputs'!$B$33,'Inputs'!$B$29+'Inputs'!$B$31+'Inputs'!$B$32,'Inputs'!$B$30+'Inputs'!$B$31+'Inputs'!$B$32)/1000+'Inputs'!$B$21+'Inputs'!$B$9+'Inputs'!$B$10)+'Inputs'!$B$7)/SQRT((((89-43)*MAX('Inputs'!$B$33,'Inputs'!$B$29+'Inputs'!$B$31+'Inputs'!$B$32,'Inputs'!$B$30+'Inputs'!$B$31+'Inputs'!$B$32)/1000+'Inputs'!$B$21+'Inputs'!$B$9+'Inputs'!$B$10)+'Inputs'!$B$7)^2+('Inputs'!$B$6/2)^2)-(((89-43)*MAX('Inputs'!$B$33,'Inputs'!$B$29+'Inputs'!$B$31+'Inputs'!$B$32,'Inputs'!$B$30+'Inputs'!$B$31+'Inputs'!$B$32)/1000+'Inputs'!$B$21+'Inputs'!$B$9+'Inputs'!$B$10))/SQRT((((89-43)*MAX('Inputs'!$B$33,'Inputs'!$B$29+'Inputs'!$B$31+'Inputs'!$B$32,'Inputs'!$B$30+'Inputs'!$B$31+'Inputs'!$B$32)/1000+'Inputs'!$B$21+'Inputs'!$B$9+'Inputs'!$B$10))^2+('Inputs'!$B$6/2)^2))))*'Results'!$B$8),"")</x:f>
        <x:v>1034.6918141317415</x:v>
      </x:c>
      <x:c r="N89" t="n">
        <x:f>IF(AND(ISNUMBER('Results'!C7),ISNUMBER('Results'!B7),ISNUMBER('Results'!$B$8),ISNUMBER('Inputs'!$B$6),ISNUMBER('Inputs'!$B$7),ISNUMBER('Inputs'!$B$8),ISNUMBER('Inputs'!$B$9),ISNUMBER('Inputs'!$B$10),ISNUMBER('Inputs'!$B$21),ISNUMBER('Inputs'!$B$24),ISNUMBER('Inputs'!$B$28)),((('Results'!C7*(1-'Inputs'!$B$24)*(0.5*((((89-43)*MAX('Inputs'!$B$33,'Inputs'!$B$29+'Inputs'!$B$31+'Inputs'!$B$32,'Inputs'!$B$30+'Inputs'!$B$31+'Inputs'!$B$32)/1000+'Inputs'!$B$21)+'Inputs'!$B$9)/SQRT((((89-43)*MAX('Inputs'!$B$33,'Inputs'!$B$29+'Inputs'!$B$31+'Inputs'!$B$32,'Inputs'!$B$30+'Inputs'!$B$31+'Inputs'!$B$32)/1000+'Inputs'!$B$21)+'Inputs'!$B$9)^2+('Inputs'!$B$8/2)^2)-(((89-43)*MAX('Inputs'!$B$33,'Inputs'!$B$29+'Inputs'!$B$31+'Inputs'!$B$32,'Inputs'!$B$30+'Inputs'!$B$31+'Inputs'!$B$32)/1000+'Inputs'!$B$21))/SQRT((((89-43)*MAX('Inputs'!$B$33,'Inputs'!$B$29+'Inputs'!$B$31+'Inputs'!$B$32,'Inputs'!$B$30+'Inputs'!$B$31+'Inputs'!$B$32)/1000+'Inputs'!$B$21))^2+('Inputs'!$B$8/2)^2)))-'Results'!B7*(1+'Inputs'!$B$24)*(0.5*((((89-43)*MAX('Inputs'!$B$33,'Inputs'!$B$29+'Inputs'!$B$31+'Inputs'!$B$32,'Inputs'!$B$30+'Inputs'!$B$31+'Inputs'!$B$32)/1000+'Inputs'!$B$21+'Inputs'!$B$9+'Inputs'!$B$10)+'Inputs'!$B$7)/SQRT((((89-43)*MAX('Inputs'!$B$33,'Inputs'!$B$29+'Inputs'!$B$31+'Inputs'!$B$32,'Inputs'!$B$30+'Inputs'!$B$31+'Inputs'!$B$32)/1000+'Inputs'!$B$21+'Inputs'!$B$9+'Inputs'!$B$10)+'Inputs'!$B$7)^2+('Inputs'!$B$6/2)^2)-(((89-43)*MAX('Inputs'!$B$33,'Inputs'!$B$29+'Inputs'!$B$31+'Inputs'!$B$32,'Inputs'!$B$30+'Inputs'!$B$31+'Inputs'!$B$32)/1000+'Inputs'!$B$21+'Inputs'!$B$9+'Inputs'!$B$10))/SQRT((((89-43)*MAX('Inputs'!$B$33,'Inputs'!$B$29+'Inputs'!$B$31+'Inputs'!$B$32,'Inputs'!$B$30+'Inputs'!$B$31+'Inputs'!$B$32)/1000+'Inputs'!$B$21+'Inputs'!$B$9+'Inputs'!$B$10))^2+('Inputs'!$B$6/2)^2))))*'Results'!$B$8)-'Inputs'!$B$28*ABS((('Results'!C7*(1-'Inputs'!$B$24)*(0.5*((((89-43)*MAX('Inputs'!$B$33,'Inputs'!$B$29+'Inputs'!$B$31+'Inputs'!$B$32,'Inputs'!$B$30+'Inputs'!$B$31+'Inputs'!$B$32)/1000+'Inputs'!$B$21)+'Inputs'!$B$9)/SQRT((((89-43)*MAX('Inputs'!$B$33,'Inputs'!$B$29+'Inputs'!$B$31+'Inputs'!$B$32,'Inputs'!$B$30+'Inputs'!$B$31+'Inputs'!$B$32)/1000+'Inputs'!$B$21)+'Inputs'!$B$9)^2+('Inputs'!$B$8/2)^2)-(((89-43)*MAX('Inputs'!$B$33,'Inputs'!$B$29+'Inputs'!$B$31+'Inputs'!$B$32,'Inputs'!$B$30+'Inputs'!$B$31+'Inputs'!$B$32)/1000+'Inputs'!$B$21))/SQRT((((89-43)*MAX('Inputs'!$B$33,'Inputs'!$B$29+'Inputs'!$B$31+'Inputs'!$B$32,'Inputs'!$B$30+'Inputs'!$B$31+'Inputs'!$B$32)/1000+'Inputs'!$B$21))^2+('Inputs'!$B$8/2)^2)))-'Results'!B7*(1+'Inputs'!$B$24)*(0.5*((((89-43)*MAX('Inputs'!$B$33,'Inputs'!$B$29+'Inputs'!$B$31+'Inputs'!$B$32,'Inputs'!$B$30+'Inputs'!$B$31+'Inputs'!$B$32)/1000+'Inputs'!$B$21+'Inputs'!$B$9+'Inputs'!$B$10)+'Inputs'!$B$7)/SQRT((((89-43)*MAX('Inputs'!$B$33,'Inputs'!$B$29+'Inputs'!$B$31+'Inputs'!$B$32,'Inputs'!$B$30+'Inputs'!$B$31+'Inputs'!$B$32)/1000+'Inputs'!$B$21+'Inputs'!$B$9+'Inputs'!$B$10)+'Inputs'!$B$7)^2+('Inputs'!$B$6/2)^2)-(((89-43)*MAX('Inputs'!$B$33,'Inputs'!$B$29+'Inputs'!$B$31+'Inputs'!$B$32,'Inputs'!$B$30+'Inputs'!$B$31+'Inputs'!$B$32)/1000+'Inputs'!$B$21+'Inputs'!$B$9+'Inputs'!$B$10))/SQRT((((89-43)*MAX('Inputs'!$B$33,'Inputs'!$B$29+'Inputs'!$B$31+'Inputs'!$B$32,'Inputs'!$B$30+'Inputs'!$B$31+'Inputs'!$B$32)/1000+'Inputs'!$B$21+'Inputs'!$B$9+'Inputs'!$B$10))^2+('Inputs'!$B$6/2)^2))))*'Results'!$B$8))),"")</x:f>
        <x:v>956.5976678976316</x:v>
      </x:c>
      <x:c r="O89" t="n">
        <x:f>IF(AND(ISNUMBER('Results'!C7),ISNUMBER('Results'!B7),ISNUMBER('Results'!$B$8),ISNUMBER('Inputs'!$B$6),ISNUMBER('Inputs'!$B$7),ISNUMBER('Inputs'!$B$8),ISNUMBER('Inputs'!$B$9),ISNUMBER('Inputs'!$B$10),ISNUMBER('Inputs'!$B$21),ISNUMBER('Inputs'!$B$24),ISNUMBER('Inputs'!$B$28)),((('Results'!C7*(1+'Inputs'!$B$24)*(0.5*((((89-43)*MAX('Inputs'!$B$33,'Inputs'!$B$29+'Inputs'!$B$31+'Inputs'!$B$32,'Inputs'!$B$30+'Inputs'!$B$31+'Inputs'!$B$32)/1000+'Inputs'!$B$21)+'Inputs'!$B$9)/SQRT((((89-43)*MAX('Inputs'!$B$33,'Inputs'!$B$29+'Inputs'!$B$31+'Inputs'!$B$32,'Inputs'!$B$30+'Inputs'!$B$31+'Inputs'!$B$32)/1000+'Inputs'!$B$21)+'Inputs'!$B$9)^2+('Inputs'!$B$8/2)^2)-(((89-43)*MAX('Inputs'!$B$33,'Inputs'!$B$29+'Inputs'!$B$31+'Inputs'!$B$32,'Inputs'!$B$30+'Inputs'!$B$31+'Inputs'!$B$32)/1000+'Inputs'!$B$21))/SQRT((((89-43)*MAX('Inputs'!$B$33,'Inputs'!$B$29+'Inputs'!$B$31+'Inputs'!$B$32,'Inputs'!$B$30+'Inputs'!$B$31+'Inputs'!$B$32)/1000+'Inputs'!$B$21))^2+('Inputs'!$B$8/2)^2)))-'Results'!B7*(1-'Inputs'!$B$24)*(0.5*((((89-43)*MAX('Inputs'!$B$33,'Inputs'!$B$29+'Inputs'!$B$31+'Inputs'!$B$32,'Inputs'!$B$30+'Inputs'!$B$31+'Inputs'!$B$32)/1000+'Inputs'!$B$21+'Inputs'!$B$9+'Inputs'!$B$10)+'Inputs'!$B$7)/SQRT((((89-43)*MAX('Inputs'!$B$33,'Inputs'!$B$29+'Inputs'!$B$31+'Inputs'!$B$32,'Inputs'!$B$30+'Inputs'!$B$31+'Inputs'!$B$32)/1000+'Inputs'!$B$21+'Inputs'!$B$9+'Inputs'!$B$10)+'Inputs'!$B$7)^2+('Inputs'!$B$6/2)^2)-(((89-43)*MAX('Inputs'!$B$33,'Inputs'!$B$29+'Inputs'!$B$31+'Inputs'!$B$32,'Inputs'!$B$30+'Inputs'!$B$31+'Inputs'!$B$32)/1000+'Inputs'!$B$21+'Inputs'!$B$9+'Inputs'!$B$10))/SQRT((((89-43)*MAX('Inputs'!$B$33,'Inputs'!$B$29+'Inputs'!$B$31+'Inputs'!$B$32,'Inputs'!$B$30+'Inputs'!$B$31+'Inputs'!$B$32)/1000+'Inputs'!$B$21+'Inputs'!$B$9+'Inputs'!$B$10))^2+('Inputs'!$B$6/2)^2))))*'Results'!$B$8)+'Inputs'!$B$28*ABS((('Results'!C7*(1+'Inputs'!$B$24)*(0.5*((((89-43)*MAX('Inputs'!$B$33,'Inputs'!$B$29+'Inputs'!$B$31+'Inputs'!$B$32,'Inputs'!$B$30+'Inputs'!$B$31+'Inputs'!$B$32)/1000+'Inputs'!$B$21)+'Inputs'!$B$9)/SQRT((((89-43)*MAX('Inputs'!$B$33,'Inputs'!$B$29+'Inputs'!$B$31+'Inputs'!$B$32,'Inputs'!$B$30+'Inputs'!$B$31+'Inputs'!$B$32)/1000+'Inputs'!$B$21)+'Inputs'!$B$9)^2+('Inputs'!$B$8/2)^2)-(((89-43)*MAX('Inputs'!$B$33,'Inputs'!$B$29+'Inputs'!$B$31+'Inputs'!$B$32,'Inputs'!$B$30+'Inputs'!$B$31+'Inputs'!$B$32)/1000+'Inputs'!$B$21))/SQRT((((89-43)*MAX('Inputs'!$B$33,'Inputs'!$B$29+'Inputs'!$B$31+'Inputs'!$B$32,'Inputs'!$B$30+'Inputs'!$B$31+'Inputs'!$B$32)/1000+'Inputs'!$B$21))^2+('Inputs'!$B$8/2)^2)))-'Results'!B7*(1-'Inputs'!$B$24)*(0.5*((((89-43)*MAX('Inputs'!$B$33,'Inputs'!$B$29+'Inputs'!$B$31+'Inputs'!$B$32,'Inputs'!$B$30+'Inputs'!$B$31+'Inputs'!$B$32)/1000+'Inputs'!$B$21+'Inputs'!$B$9+'Inputs'!$B$10)+'Inputs'!$B$7)/SQRT((((89-43)*MAX('Inputs'!$B$33,'Inputs'!$B$29+'Inputs'!$B$31+'Inputs'!$B$32,'Inputs'!$B$30+'Inputs'!$B$31+'Inputs'!$B$32)/1000+'Inputs'!$B$21+'Inputs'!$B$9+'Inputs'!$B$10)+'Inputs'!$B$7)^2+('Inputs'!$B$6/2)^2)-(((89-43)*MAX('Inputs'!$B$33,'Inputs'!$B$29+'Inputs'!$B$31+'Inputs'!$B$32,'Inputs'!$B$30+'Inputs'!$B$31+'Inputs'!$B$32)/1000+'Inputs'!$B$21+'Inputs'!$B$9+'Inputs'!$B$10))/SQRT((((89-43)*MAX('Inputs'!$B$33,'Inputs'!$B$29+'Inputs'!$B$31+'Inputs'!$B$32,'Inputs'!$B$30+'Inputs'!$B$31+'Inputs'!$B$32)/1000+'Inputs'!$B$21+'Inputs'!$B$9+'Inputs'!$B$10))^2+('Inputs'!$B$6/2)^2))))*'Results'!$B$8))),"")</x:f>
        <x:v>1115.56065042138</x:v>
      </x:c>
      <x:c r="P89" t="n">
        <x:f>IF(AND(MAX(J89,J88)&gt;0,J89&gt;J88+0.00000001),1,0)</x:f>
        <x:v>0</x:v>
      </x:c>
      <x:c r="Q89" t="n">
        <x:f>IF(AND(MAX(K89,K88)&gt;0,K89&gt;K88+0.00000001),1,0)</x:f>
        <x:v>0</x:v>
      </x:c>
      <x:c r="R89" t="n">
        <x:f>IF(AND(MAX(L89,L88)&gt;0,L89&gt;L88+0.00000001),1,0)</x:f>
        <x:v>0</x:v>
      </x:c>
      <x:c r="S89" t="n">
        <x:f>IF(AND(MAX(M89,M88)&gt;0,M89&gt;M88+0.00000001),1,0)</x:f>
        <x:v>0</x:v>
      </x:c>
      <x:c r="T89" t="n">
        <x:f>IF(AND(MAX(N89,N88)&gt;0,N89&gt;N88+0.00000001),1,0)</x:f>
        <x:v>0</x:v>
      </x:c>
      <x:c r="U89" t="n">
        <x:f>IF(AND(MAX(O89,O88)&gt;0,O89&gt;O88+0.00000001),1,0)</x:f>
        <x:v>0</x:v>
      </x:c>
    </x:row>
    <x:row r="90">
      <x:c r="J90" t="n">
        <x:f>IF(AND(ISNUMBER('Results'!B7),ISNUMBER('Results'!C7),ISNUMBER('Results'!$B$8),ISNUMBER('Inputs'!$B$6),ISNUMBER('Inputs'!$B$7),ISNUMBER('Inputs'!$B$8),ISNUMBER('Inputs'!$B$9),ISNUMBER('Inputs'!$B$10),ISNUMBER('Inputs'!$B$21),ISNUMBER('Inputs'!$B$24),ISNUMBER('Inputs'!$B$28)),(('Results'!B7*(0.5*((((90-43)*MAX('Inputs'!$B$33,'Inputs'!$B$29+'Inputs'!$B$31+'Inputs'!$B$32,'Inputs'!$B$30+'Inputs'!$B$31+'Inputs'!$B$32)/1000+'Inputs'!$B$21)+'Inputs'!$B$7)/SQRT((((90-43)*MAX('Inputs'!$B$33,'Inputs'!$B$29+'Inputs'!$B$31+'Inputs'!$B$32,'Inputs'!$B$30+'Inputs'!$B$31+'Inputs'!$B$32)/1000+'Inputs'!$B$21)+'Inputs'!$B$7)^2+('Inputs'!$B$6/2)^2)-(((90-43)*MAX('Inputs'!$B$33,'Inputs'!$B$29+'Inputs'!$B$31+'Inputs'!$B$32,'Inputs'!$B$30+'Inputs'!$B$31+'Inputs'!$B$32)/1000+'Inputs'!$B$21))/SQRT((((90-43)*MAX('Inputs'!$B$33,'Inputs'!$B$29+'Inputs'!$B$31+'Inputs'!$B$32,'Inputs'!$B$30+'Inputs'!$B$31+'Inputs'!$B$32)/1000+'Inputs'!$B$21))^2+('Inputs'!$B$6/2)^2)))-'Results'!C7*(0.5*((((90-43)*MAX('Inputs'!$B$33,'Inputs'!$B$29+'Inputs'!$B$31+'Inputs'!$B$32,'Inputs'!$B$30+'Inputs'!$B$31+'Inputs'!$B$32)/1000+'Inputs'!$B$21+'Inputs'!$B$7+'Inputs'!$B$10)+'Inputs'!$B$9)/SQRT((((90-43)*MAX('Inputs'!$B$33,'Inputs'!$B$29+'Inputs'!$B$31+'Inputs'!$B$32,'Inputs'!$B$30+'Inputs'!$B$31+'Inputs'!$B$32)/1000+'Inputs'!$B$21+'Inputs'!$B$7+'Inputs'!$B$10)+'Inputs'!$B$9)^2+('Inputs'!$B$8/2)^2)-(((90-43)*MAX('Inputs'!$B$33,'Inputs'!$B$29+'Inputs'!$B$31+'Inputs'!$B$32,'Inputs'!$B$30+'Inputs'!$B$31+'Inputs'!$B$32)/1000+'Inputs'!$B$21+'Inputs'!$B$7+'Inputs'!$B$10))/SQRT((((90-43)*MAX('Inputs'!$B$33,'Inputs'!$B$29+'Inputs'!$B$31+'Inputs'!$B$32,'Inputs'!$B$30+'Inputs'!$B$31+'Inputs'!$B$32)/1000+'Inputs'!$B$21+'Inputs'!$B$7+'Inputs'!$B$10))^2+('Inputs'!$B$8/2)^2))))*'Results'!$B$8),"")</x:f>
        <x:v>1043.1120403568812</x:v>
      </x:c>
      <x:c r="K90" t="n">
        <x:f>IF(AND(ISNUMBER('Results'!B7),ISNUMBER('Results'!C7),ISNUMBER('Results'!$B$8),ISNUMBER('Inputs'!$B$6),ISNUMBER('Inputs'!$B$7),ISNUMBER('Inputs'!$B$8),ISNUMBER('Inputs'!$B$9),ISNUMBER('Inputs'!$B$10),ISNUMBER('Inputs'!$B$21),ISNUMBER('Inputs'!$B$24),ISNUMBER('Inputs'!$B$28)),((('Results'!B7*(1-'Inputs'!$B$24)*(0.5*((((90-43)*MAX('Inputs'!$B$33,'Inputs'!$B$29+'Inputs'!$B$31+'Inputs'!$B$32,'Inputs'!$B$30+'Inputs'!$B$31+'Inputs'!$B$32)/1000+'Inputs'!$B$21)+'Inputs'!$B$7)/SQRT((((90-43)*MAX('Inputs'!$B$33,'Inputs'!$B$29+'Inputs'!$B$31+'Inputs'!$B$32,'Inputs'!$B$30+'Inputs'!$B$31+'Inputs'!$B$32)/1000+'Inputs'!$B$21)+'Inputs'!$B$7)^2+('Inputs'!$B$6/2)^2)-(((90-43)*MAX('Inputs'!$B$33,'Inputs'!$B$29+'Inputs'!$B$31+'Inputs'!$B$32,'Inputs'!$B$30+'Inputs'!$B$31+'Inputs'!$B$32)/1000+'Inputs'!$B$21))/SQRT((((90-43)*MAX('Inputs'!$B$33,'Inputs'!$B$29+'Inputs'!$B$31+'Inputs'!$B$32,'Inputs'!$B$30+'Inputs'!$B$31+'Inputs'!$B$32)/1000+'Inputs'!$B$21))^2+('Inputs'!$B$6/2)^2)))-'Results'!C7*(1+'Inputs'!$B$24)*(0.5*((((90-43)*MAX('Inputs'!$B$33,'Inputs'!$B$29+'Inputs'!$B$31+'Inputs'!$B$32,'Inputs'!$B$30+'Inputs'!$B$31+'Inputs'!$B$32)/1000+'Inputs'!$B$21+'Inputs'!$B$7+'Inputs'!$B$10)+'Inputs'!$B$9)/SQRT((((90-43)*MAX('Inputs'!$B$33,'Inputs'!$B$29+'Inputs'!$B$31+'Inputs'!$B$32,'Inputs'!$B$30+'Inputs'!$B$31+'Inputs'!$B$32)/1000+'Inputs'!$B$21+'Inputs'!$B$7+'Inputs'!$B$10)+'Inputs'!$B$9)^2+('Inputs'!$B$8/2)^2)-(((90-43)*MAX('Inputs'!$B$33,'Inputs'!$B$29+'Inputs'!$B$31+'Inputs'!$B$32,'Inputs'!$B$30+'Inputs'!$B$31+'Inputs'!$B$32)/1000+'Inputs'!$B$21+'Inputs'!$B$7+'Inputs'!$B$10))/SQRT((((90-43)*MAX('Inputs'!$B$33,'Inputs'!$B$29+'Inputs'!$B$31+'Inputs'!$B$32,'Inputs'!$B$30+'Inputs'!$B$31+'Inputs'!$B$32)/1000+'Inputs'!$B$21+'Inputs'!$B$7+'Inputs'!$B$10))^2+('Inputs'!$B$8/2)^2))))*'Results'!$B$8)-'Inputs'!$B$28*ABS((('Results'!B7*(1-'Inputs'!$B$24)*(0.5*((((90-43)*MAX('Inputs'!$B$33,'Inputs'!$B$29+'Inputs'!$B$31+'Inputs'!$B$32,'Inputs'!$B$30+'Inputs'!$B$31+'Inputs'!$B$32)/1000+'Inputs'!$B$21)+'Inputs'!$B$7)/SQRT((((90-43)*MAX('Inputs'!$B$33,'Inputs'!$B$29+'Inputs'!$B$31+'Inputs'!$B$32,'Inputs'!$B$30+'Inputs'!$B$31+'Inputs'!$B$32)/1000+'Inputs'!$B$21)+'Inputs'!$B$7)^2+('Inputs'!$B$6/2)^2)-(((90-43)*MAX('Inputs'!$B$33,'Inputs'!$B$29+'Inputs'!$B$31+'Inputs'!$B$32,'Inputs'!$B$30+'Inputs'!$B$31+'Inputs'!$B$32)/1000+'Inputs'!$B$21))/SQRT((((90-43)*MAX('Inputs'!$B$33,'Inputs'!$B$29+'Inputs'!$B$31+'Inputs'!$B$32,'Inputs'!$B$30+'Inputs'!$B$31+'Inputs'!$B$32)/1000+'Inputs'!$B$21))^2+('Inputs'!$B$6/2)^2)))-'Results'!C7*(1+'Inputs'!$B$24)*(0.5*((((90-43)*MAX('Inputs'!$B$33,'Inputs'!$B$29+'Inputs'!$B$31+'Inputs'!$B$32,'Inputs'!$B$30+'Inputs'!$B$31+'Inputs'!$B$32)/1000+'Inputs'!$B$21+'Inputs'!$B$7+'Inputs'!$B$10)+'Inputs'!$B$9)/SQRT((((90-43)*MAX('Inputs'!$B$33,'Inputs'!$B$29+'Inputs'!$B$31+'Inputs'!$B$32,'Inputs'!$B$30+'Inputs'!$B$31+'Inputs'!$B$32)/1000+'Inputs'!$B$21+'Inputs'!$B$7+'Inputs'!$B$10)+'Inputs'!$B$9)^2+('Inputs'!$B$8/2)^2)-(((90-43)*MAX('Inputs'!$B$33,'Inputs'!$B$29+'Inputs'!$B$31+'Inputs'!$B$32,'Inputs'!$B$30+'Inputs'!$B$31+'Inputs'!$B$32)/1000+'Inputs'!$B$21+'Inputs'!$B$7+'Inputs'!$B$10))/SQRT((((90-43)*MAX('Inputs'!$B$33,'Inputs'!$B$29+'Inputs'!$B$31+'Inputs'!$B$32,'Inputs'!$B$30+'Inputs'!$B$31+'Inputs'!$B$32)/1000+'Inputs'!$B$21+'Inputs'!$B$7+'Inputs'!$B$10))^2+('Inputs'!$B$8/2)^2))))*'Results'!$B$8))),"")</x:f>
        <x:v>964.6622663878632</x:v>
      </x:c>
      <x:c r="L90" t="n">
        <x:f>IF(AND(ISNUMBER('Results'!B7),ISNUMBER('Results'!C7),ISNUMBER('Results'!$B$8),ISNUMBER('Inputs'!$B$6),ISNUMBER('Inputs'!$B$7),ISNUMBER('Inputs'!$B$8),ISNUMBER('Inputs'!$B$9),ISNUMBER('Inputs'!$B$10),ISNUMBER('Inputs'!$B$21),ISNUMBER('Inputs'!$B$24),ISNUMBER('Inputs'!$B$28)),((('Results'!B7*(1+'Inputs'!$B$24)*(0.5*((((90-43)*MAX('Inputs'!$B$33,'Inputs'!$B$29+'Inputs'!$B$31+'Inputs'!$B$32,'Inputs'!$B$30+'Inputs'!$B$31+'Inputs'!$B$32)/1000+'Inputs'!$B$21)+'Inputs'!$B$7)/SQRT((((90-43)*MAX('Inputs'!$B$33,'Inputs'!$B$29+'Inputs'!$B$31+'Inputs'!$B$32,'Inputs'!$B$30+'Inputs'!$B$31+'Inputs'!$B$32)/1000+'Inputs'!$B$21)+'Inputs'!$B$7)^2+('Inputs'!$B$6/2)^2)-(((90-43)*MAX('Inputs'!$B$33,'Inputs'!$B$29+'Inputs'!$B$31+'Inputs'!$B$32,'Inputs'!$B$30+'Inputs'!$B$31+'Inputs'!$B$32)/1000+'Inputs'!$B$21))/SQRT((((90-43)*MAX('Inputs'!$B$33,'Inputs'!$B$29+'Inputs'!$B$31+'Inputs'!$B$32,'Inputs'!$B$30+'Inputs'!$B$31+'Inputs'!$B$32)/1000+'Inputs'!$B$21))^2+('Inputs'!$B$6/2)^2)))-'Results'!C7*(1-'Inputs'!$B$24)*(0.5*((((90-43)*MAX('Inputs'!$B$33,'Inputs'!$B$29+'Inputs'!$B$31+'Inputs'!$B$32,'Inputs'!$B$30+'Inputs'!$B$31+'Inputs'!$B$32)/1000+'Inputs'!$B$21+'Inputs'!$B$7+'Inputs'!$B$10)+'Inputs'!$B$9)/SQRT((((90-43)*MAX('Inputs'!$B$33,'Inputs'!$B$29+'Inputs'!$B$31+'Inputs'!$B$32,'Inputs'!$B$30+'Inputs'!$B$31+'Inputs'!$B$32)/1000+'Inputs'!$B$21+'Inputs'!$B$7+'Inputs'!$B$10)+'Inputs'!$B$9)^2+('Inputs'!$B$8/2)^2)-(((90-43)*MAX('Inputs'!$B$33,'Inputs'!$B$29+'Inputs'!$B$31+'Inputs'!$B$32,'Inputs'!$B$30+'Inputs'!$B$31+'Inputs'!$B$32)/1000+'Inputs'!$B$21+'Inputs'!$B$7+'Inputs'!$B$10))/SQRT((((90-43)*MAX('Inputs'!$B$33,'Inputs'!$B$29+'Inputs'!$B$31+'Inputs'!$B$32,'Inputs'!$B$30+'Inputs'!$B$31+'Inputs'!$B$32)/1000+'Inputs'!$B$21+'Inputs'!$B$7+'Inputs'!$B$10))^2+('Inputs'!$B$8/2)^2))))*'Results'!$B$8)+'Inputs'!$B$28*ABS((('Results'!B7*(1+'Inputs'!$B$24)*(0.5*((((90-43)*MAX('Inputs'!$B$33,'Inputs'!$B$29+'Inputs'!$B$31+'Inputs'!$B$32,'Inputs'!$B$30+'Inputs'!$B$31+'Inputs'!$B$32)/1000+'Inputs'!$B$21)+'Inputs'!$B$7)/SQRT((((90-43)*MAX('Inputs'!$B$33,'Inputs'!$B$29+'Inputs'!$B$31+'Inputs'!$B$32,'Inputs'!$B$30+'Inputs'!$B$31+'Inputs'!$B$32)/1000+'Inputs'!$B$21)+'Inputs'!$B$7)^2+('Inputs'!$B$6/2)^2)-(((90-43)*MAX('Inputs'!$B$33,'Inputs'!$B$29+'Inputs'!$B$31+'Inputs'!$B$32,'Inputs'!$B$30+'Inputs'!$B$31+'Inputs'!$B$32)/1000+'Inputs'!$B$21))/SQRT((((90-43)*MAX('Inputs'!$B$33,'Inputs'!$B$29+'Inputs'!$B$31+'Inputs'!$B$32,'Inputs'!$B$30+'Inputs'!$B$31+'Inputs'!$B$32)/1000+'Inputs'!$B$21))^2+('Inputs'!$B$6/2)^2)))-'Results'!C7*(1-'Inputs'!$B$24)*(0.5*((((90-43)*MAX('Inputs'!$B$33,'Inputs'!$B$29+'Inputs'!$B$31+'Inputs'!$B$32,'Inputs'!$B$30+'Inputs'!$B$31+'Inputs'!$B$32)/1000+'Inputs'!$B$21+'Inputs'!$B$7+'Inputs'!$B$10)+'Inputs'!$B$9)/SQRT((((90-43)*MAX('Inputs'!$B$33,'Inputs'!$B$29+'Inputs'!$B$31+'Inputs'!$B$32,'Inputs'!$B$30+'Inputs'!$B$31+'Inputs'!$B$32)/1000+'Inputs'!$B$21+'Inputs'!$B$7+'Inputs'!$B$10)+'Inputs'!$B$9)^2+('Inputs'!$B$8/2)^2)-(((90-43)*MAX('Inputs'!$B$33,'Inputs'!$B$29+'Inputs'!$B$31+'Inputs'!$B$32,'Inputs'!$B$30+'Inputs'!$B$31+'Inputs'!$B$32)/1000+'Inputs'!$B$21+'Inputs'!$B$7+'Inputs'!$B$10))/SQRT((((90-43)*MAX('Inputs'!$B$33,'Inputs'!$B$29+'Inputs'!$B$31+'Inputs'!$B$32,'Inputs'!$B$30+'Inputs'!$B$31+'Inputs'!$B$32)/1000+'Inputs'!$B$21+'Inputs'!$B$7+'Inputs'!$B$10))^2+('Inputs'!$B$8/2)^2))))*'Results'!$B$8))),"")</x:f>
        <x:v>1124.3296218997073</x:v>
      </x:c>
      <x:c r="M90" t="n">
        <x:f>IF(AND(ISNUMBER('Results'!C7),ISNUMBER('Results'!B7),ISNUMBER('Results'!$B$8),ISNUMBER('Inputs'!$B$6),ISNUMBER('Inputs'!$B$7),ISNUMBER('Inputs'!$B$8),ISNUMBER('Inputs'!$B$9),ISNUMBER('Inputs'!$B$10),ISNUMBER('Inputs'!$B$21),ISNUMBER('Inputs'!$B$24),ISNUMBER('Inputs'!$B$28)),(('Results'!C7*(0.5*((((90-43)*MAX('Inputs'!$B$33,'Inputs'!$B$29+'Inputs'!$B$31+'Inputs'!$B$32,'Inputs'!$B$30+'Inputs'!$B$31+'Inputs'!$B$32)/1000+'Inputs'!$B$21)+'Inputs'!$B$9)/SQRT((((90-43)*MAX('Inputs'!$B$33,'Inputs'!$B$29+'Inputs'!$B$31+'Inputs'!$B$32,'Inputs'!$B$30+'Inputs'!$B$31+'Inputs'!$B$32)/1000+'Inputs'!$B$21)+'Inputs'!$B$9)^2+('Inputs'!$B$8/2)^2)-(((90-43)*MAX('Inputs'!$B$33,'Inputs'!$B$29+'Inputs'!$B$31+'Inputs'!$B$32,'Inputs'!$B$30+'Inputs'!$B$31+'Inputs'!$B$32)/1000+'Inputs'!$B$21))/SQRT((((90-43)*MAX('Inputs'!$B$33,'Inputs'!$B$29+'Inputs'!$B$31+'Inputs'!$B$32,'Inputs'!$B$30+'Inputs'!$B$31+'Inputs'!$B$32)/1000+'Inputs'!$B$21))^2+('Inputs'!$B$8/2)^2)))-'Results'!B7*(0.5*((((90-43)*MAX('Inputs'!$B$33,'Inputs'!$B$29+'Inputs'!$B$31+'Inputs'!$B$32,'Inputs'!$B$30+'Inputs'!$B$31+'Inputs'!$B$32)/1000+'Inputs'!$B$21+'Inputs'!$B$9+'Inputs'!$B$10)+'Inputs'!$B$7)/SQRT((((90-43)*MAX('Inputs'!$B$33,'Inputs'!$B$29+'Inputs'!$B$31+'Inputs'!$B$32,'Inputs'!$B$30+'Inputs'!$B$31+'Inputs'!$B$32)/1000+'Inputs'!$B$21+'Inputs'!$B$9+'Inputs'!$B$10)+'Inputs'!$B$7)^2+('Inputs'!$B$6/2)^2)-(((90-43)*MAX('Inputs'!$B$33,'Inputs'!$B$29+'Inputs'!$B$31+'Inputs'!$B$32,'Inputs'!$B$30+'Inputs'!$B$31+'Inputs'!$B$32)/1000+'Inputs'!$B$21+'Inputs'!$B$9+'Inputs'!$B$10))/SQRT((((90-43)*MAX('Inputs'!$B$33,'Inputs'!$B$29+'Inputs'!$B$31+'Inputs'!$B$32,'Inputs'!$B$30+'Inputs'!$B$31+'Inputs'!$B$32)/1000+'Inputs'!$B$21+'Inputs'!$B$9+'Inputs'!$B$10))^2+('Inputs'!$B$6/2)^2))))*'Results'!$B$8),"")</x:f>
        <x:v>1015.3644152827733</x:v>
      </x:c>
      <x:c r="N90" t="n">
        <x:f>IF(AND(ISNUMBER('Results'!C7),ISNUMBER('Results'!B7),ISNUMBER('Results'!$B$8),ISNUMBER('Inputs'!$B$6),ISNUMBER('Inputs'!$B$7),ISNUMBER('Inputs'!$B$8),ISNUMBER('Inputs'!$B$9),ISNUMBER('Inputs'!$B$10),ISNUMBER('Inputs'!$B$21),ISNUMBER('Inputs'!$B$24),ISNUMBER('Inputs'!$B$28)),((('Results'!C7*(1-'Inputs'!$B$24)*(0.5*((((90-43)*MAX('Inputs'!$B$33,'Inputs'!$B$29+'Inputs'!$B$31+'Inputs'!$B$32,'Inputs'!$B$30+'Inputs'!$B$31+'Inputs'!$B$32)/1000+'Inputs'!$B$21)+'Inputs'!$B$9)/SQRT((((90-43)*MAX('Inputs'!$B$33,'Inputs'!$B$29+'Inputs'!$B$31+'Inputs'!$B$32,'Inputs'!$B$30+'Inputs'!$B$31+'Inputs'!$B$32)/1000+'Inputs'!$B$21)+'Inputs'!$B$9)^2+('Inputs'!$B$8/2)^2)-(((90-43)*MAX('Inputs'!$B$33,'Inputs'!$B$29+'Inputs'!$B$31+'Inputs'!$B$32,'Inputs'!$B$30+'Inputs'!$B$31+'Inputs'!$B$32)/1000+'Inputs'!$B$21))/SQRT((((90-43)*MAX('Inputs'!$B$33,'Inputs'!$B$29+'Inputs'!$B$31+'Inputs'!$B$32,'Inputs'!$B$30+'Inputs'!$B$31+'Inputs'!$B$32)/1000+'Inputs'!$B$21))^2+('Inputs'!$B$8/2)^2)))-'Results'!B7*(1+'Inputs'!$B$24)*(0.5*((((90-43)*MAX('Inputs'!$B$33,'Inputs'!$B$29+'Inputs'!$B$31+'Inputs'!$B$32,'Inputs'!$B$30+'Inputs'!$B$31+'Inputs'!$B$32)/1000+'Inputs'!$B$21+'Inputs'!$B$9+'Inputs'!$B$10)+'Inputs'!$B$7)/SQRT((((90-43)*MAX('Inputs'!$B$33,'Inputs'!$B$29+'Inputs'!$B$31+'Inputs'!$B$32,'Inputs'!$B$30+'Inputs'!$B$31+'Inputs'!$B$32)/1000+'Inputs'!$B$21+'Inputs'!$B$9+'Inputs'!$B$10)+'Inputs'!$B$7)^2+('Inputs'!$B$6/2)^2)-(((90-43)*MAX('Inputs'!$B$33,'Inputs'!$B$29+'Inputs'!$B$31+'Inputs'!$B$32,'Inputs'!$B$30+'Inputs'!$B$31+'Inputs'!$B$32)/1000+'Inputs'!$B$21+'Inputs'!$B$9+'Inputs'!$B$10))/SQRT((((90-43)*MAX('Inputs'!$B$33,'Inputs'!$B$29+'Inputs'!$B$31+'Inputs'!$B$32,'Inputs'!$B$30+'Inputs'!$B$31+'Inputs'!$B$32)/1000+'Inputs'!$B$21+'Inputs'!$B$9+'Inputs'!$B$10))^2+('Inputs'!$B$6/2)^2))))*'Results'!$B$8)-'Inputs'!$B$28*ABS((('Results'!C7*(1-'Inputs'!$B$24)*(0.5*((((90-43)*MAX('Inputs'!$B$33,'Inputs'!$B$29+'Inputs'!$B$31+'Inputs'!$B$32,'Inputs'!$B$30+'Inputs'!$B$31+'Inputs'!$B$32)/1000+'Inputs'!$B$21)+'Inputs'!$B$9)/SQRT((((90-43)*MAX('Inputs'!$B$33,'Inputs'!$B$29+'Inputs'!$B$31+'Inputs'!$B$32,'Inputs'!$B$30+'Inputs'!$B$31+'Inputs'!$B$32)/1000+'Inputs'!$B$21)+'Inputs'!$B$9)^2+('Inputs'!$B$8/2)^2)-(((90-43)*MAX('Inputs'!$B$33,'Inputs'!$B$29+'Inputs'!$B$31+'Inputs'!$B$32,'Inputs'!$B$30+'Inputs'!$B$31+'Inputs'!$B$32)/1000+'Inputs'!$B$21))/SQRT((((90-43)*MAX('Inputs'!$B$33,'Inputs'!$B$29+'Inputs'!$B$31+'Inputs'!$B$32,'Inputs'!$B$30+'Inputs'!$B$31+'Inputs'!$B$32)/1000+'Inputs'!$B$21))^2+('Inputs'!$B$8/2)^2)))-'Results'!B7*(1+'Inputs'!$B$24)*(0.5*((((90-43)*MAX('Inputs'!$B$33,'Inputs'!$B$29+'Inputs'!$B$31+'Inputs'!$B$32,'Inputs'!$B$30+'Inputs'!$B$31+'Inputs'!$B$32)/1000+'Inputs'!$B$21+'Inputs'!$B$9+'Inputs'!$B$10)+'Inputs'!$B$7)/SQRT((((90-43)*MAX('Inputs'!$B$33,'Inputs'!$B$29+'Inputs'!$B$31+'Inputs'!$B$32,'Inputs'!$B$30+'Inputs'!$B$31+'Inputs'!$B$32)/1000+'Inputs'!$B$21+'Inputs'!$B$9+'Inputs'!$B$10)+'Inputs'!$B$7)^2+('Inputs'!$B$6/2)^2)-(((90-43)*MAX('Inputs'!$B$33,'Inputs'!$B$29+'Inputs'!$B$31+'Inputs'!$B$32,'Inputs'!$B$30+'Inputs'!$B$31+'Inputs'!$B$32)/1000+'Inputs'!$B$21+'Inputs'!$B$9+'Inputs'!$B$10))/SQRT((((90-43)*MAX('Inputs'!$B$33,'Inputs'!$B$29+'Inputs'!$B$31+'Inputs'!$B$32,'Inputs'!$B$30+'Inputs'!$B$31+'Inputs'!$B$32)/1000+'Inputs'!$B$21+'Inputs'!$B$9+'Inputs'!$B$10))^2+('Inputs'!$B$6/2)^2))))*'Results'!$B$8))),"")</x:f>
        <x:v>938.6970837054116</x:v>
      </x:c>
      <x:c r="O90" t="n">
        <x:f>IF(AND(ISNUMBER('Results'!C7),ISNUMBER('Results'!B7),ISNUMBER('Results'!$B$8),ISNUMBER('Inputs'!$B$6),ISNUMBER('Inputs'!$B$7),ISNUMBER('Inputs'!$B$8),ISNUMBER('Inputs'!$B$9),ISNUMBER('Inputs'!$B$10),ISNUMBER('Inputs'!$B$21),ISNUMBER('Inputs'!$B$24),ISNUMBER('Inputs'!$B$28)),((('Results'!C7*(1+'Inputs'!$B$24)*(0.5*((((90-43)*MAX('Inputs'!$B$33,'Inputs'!$B$29+'Inputs'!$B$31+'Inputs'!$B$32,'Inputs'!$B$30+'Inputs'!$B$31+'Inputs'!$B$32)/1000+'Inputs'!$B$21)+'Inputs'!$B$9)/SQRT((((90-43)*MAX('Inputs'!$B$33,'Inputs'!$B$29+'Inputs'!$B$31+'Inputs'!$B$32,'Inputs'!$B$30+'Inputs'!$B$31+'Inputs'!$B$32)/1000+'Inputs'!$B$21)+'Inputs'!$B$9)^2+('Inputs'!$B$8/2)^2)-(((90-43)*MAX('Inputs'!$B$33,'Inputs'!$B$29+'Inputs'!$B$31+'Inputs'!$B$32,'Inputs'!$B$30+'Inputs'!$B$31+'Inputs'!$B$32)/1000+'Inputs'!$B$21))/SQRT((((90-43)*MAX('Inputs'!$B$33,'Inputs'!$B$29+'Inputs'!$B$31+'Inputs'!$B$32,'Inputs'!$B$30+'Inputs'!$B$31+'Inputs'!$B$32)/1000+'Inputs'!$B$21))^2+('Inputs'!$B$8/2)^2)))-'Results'!B7*(1-'Inputs'!$B$24)*(0.5*((((90-43)*MAX('Inputs'!$B$33,'Inputs'!$B$29+'Inputs'!$B$31+'Inputs'!$B$32,'Inputs'!$B$30+'Inputs'!$B$31+'Inputs'!$B$32)/1000+'Inputs'!$B$21+'Inputs'!$B$9+'Inputs'!$B$10)+'Inputs'!$B$7)/SQRT((((90-43)*MAX('Inputs'!$B$33,'Inputs'!$B$29+'Inputs'!$B$31+'Inputs'!$B$32,'Inputs'!$B$30+'Inputs'!$B$31+'Inputs'!$B$32)/1000+'Inputs'!$B$21+'Inputs'!$B$9+'Inputs'!$B$10)+'Inputs'!$B$7)^2+('Inputs'!$B$6/2)^2)-(((90-43)*MAX('Inputs'!$B$33,'Inputs'!$B$29+'Inputs'!$B$31+'Inputs'!$B$32,'Inputs'!$B$30+'Inputs'!$B$31+'Inputs'!$B$32)/1000+'Inputs'!$B$21+'Inputs'!$B$9+'Inputs'!$B$10))/SQRT((((90-43)*MAX('Inputs'!$B$33,'Inputs'!$B$29+'Inputs'!$B$31+'Inputs'!$B$32,'Inputs'!$B$30+'Inputs'!$B$31+'Inputs'!$B$32)/1000+'Inputs'!$B$21+'Inputs'!$B$9+'Inputs'!$B$10))^2+('Inputs'!$B$6/2)^2))))*'Results'!$B$8)+'Inputs'!$B$28*ABS((('Results'!C7*(1+'Inputs'!$B$24)*(0.5*((((90-43)*MAX('Inputs'!$B$33,'Inputs'!$B$29+'Inputs'!$B$31+'Inputs'!$B$32,'Inputs'!$B$30+'Inputs'!$B$31+'Inputs'!$B$32)/1000+'Inputs'!$B$21)+'Inputs'!$B$9)/SQRT((((90-43)*MAX('Inputs'!$B$33,'Inputs'!$B$29+'Inputs'!$B$31+'Inputs'!$B$32,'Inputs'!$B$30+'Inputs'!$B$31+'Inputs'!$B$32)/1000+'Inputs'!$B$21)+'Inputs'!$B$9)^2+('Inputs'!$B$8/2)^2)-(((90-43)*MAX('Inputs'!$B$33,'Inputs'!$B$29+'Inputs'!$B$31+'Inputs'!$B$32,'Inputs'!$B$30+'Inputs'!$B$31+'Inputs'!$B$32)/1000+'Inputs'!$B$21))/SQRT((((90-43)*MAX('Inputs'!$B$33,'Inputs'!$B$29+'Inputs'!$B$31+'Inputs'!$B$32,'Inputs'!$B$30+'Inputs'!$B$31+'Inputs'!$B$32)/1000+'Inputs'!$B$21))^2+('Inputs'!$B$8/2)^2)))-'Results'!B7*(1-'Inputs'!$B$24)*(0.5*((((90-43)*MAX('Inputs'!$B$33,'Inputs'!$B$29+'Inputs'!$B$31+'Inputs'!$B$32,'Inputs'!$B$30+'Inputs'!$B$31+'Inputs'!$B$32)/1000+'Inputs'!$B$21+'Inputs'!$B$9+'Inputs'!$B$10)+'Inputs'!$B$7)/SQRT((((90-43)*MAX('Inputs'!$B$33,'Inputs'!$B$29+'Inputs'!$B$31+'Inputs'!$B$32,'Inputs'!$B$30+'Inputs'!$B$31+'Inputs'!$B$32)/1000+'Inputs'!$B$21+'Inputs'!$B$9+'Inputs'!$B$10)+'Inputs'!$B$7)^2+('Inputs'!$B$6/2)^2)-(((90-43)*MAX('Inputs'!$B$33,'Inputs'!$B$29+'Inputs'!$B$31+'Inputs'!$B$32,'Inputs'!$B$30+'Inputs'!$B$31+'Inputs'!$B$32)/1000+'Inputs'!$B$21+'Inputs'!$B$9+'Inputs'!$B$10))/SQRT((((90-43)*MAX('Inputs'!$B$33,'Inputs'!$B$29+'Inputs'!$B$31+'Inputs'!$B$32,'Inputs'!$B$30+'Inputs'!$B$31+'Inputs'!$B$32)/1000+'Inputs'!$B$21+'Inputs'!$B$9+'Inputs'!$B$10))^2+('Inputs'!$B$6/2)^2))))*'Results'!$B$8))),"")</x:f>
        <x:v>1094.7579690510006</x:v>
      </x:c>
      <x:c r="P90" t="n">
        <x:f>IF(AND(MAX(J90,J89)&gt;0,J90&gt;J89+0.00000001),1,0)</x:f>
        <x:v>0</x:v>
      </x:c>
      <x:c r="Q90" t="n">
        <x:f>IF(AND(MAX(K90,K89)&gt;0,K90&gt;K89+0.00000001),1,0)</x:f>
        <x:v>0</x:v>
      </x:c>
      <x:c r="R90" t="n">
        <x:f>IF(AND(MAX(L90,L89)&gt;0,L90&gt;L89+0.00000001),1,0)</x:f>
        <x:v>0</x:v>
      </x:c>
      <x:c r="S90" t="n">
        <x:f>IF(AND(MAX(M90,M89)&gt;0,M90&gt;M89+0.00000001),1,0)</x:f>
        <x:v>0</x:v>
      </x:c>
      <x:c r="T90" t="n">
        <x:f>IF(AND(MAX(N90,N89)&gt;0,N90&gt;N89+0.00000001),1,0)</x:f>
        <x:v>0</x:v>
      </x:c>
      <x:c r="U90" t="n">
        <x:f>IF(AND(MAX(O90,O89)&gt;0,O90&gt;O89+0.00000001),1,0)</x:f>
        <x:v>0</x:v>
      </x:c>
    </x:row>
    <x:row r="91">
      <x:c r="J91" t="n">
        <x:f>IF(AND(ISNUMBER('Results'!B7),ISNUMBER('Results'!C7),ISNUMBER('Results'!$B$8),ISNUMBER('Inputs'!$B$6),ISNUMBER('Inputs'!$B$7),ISNUMBER('Inputs'!$B$8),ISNUMBER('Inputs'!$B$9),ISNUMBER('Inputs'!$B$10),ISNUMBER('Inputs'!$B$21),ISNUMBER('Inputs'!$B$24),ISNUMBER('Inputs'!$B$28)),(('Results'!B7*(0.5*((((91-43)*MAX('Inputs'!$B$33,'Inputs'!$B$29+'Inputs'!$B$31+'Inputs'!$B$32,'Inputs'!$B$30+'Inputs'!$B$31+'Inputs'!$B$32)/1000+'Inputs'!$B$21)+'Inputs'!$B$7)/SQRT((((91-43)*MAX('Inputs'!$B$33,'Inputs'!$B$29+'Inputs'!$B$31+'Inputs'!$B$32,'Inputs'!$B$30+'Inputs'!$B$31+'Inputs'!$B$32)/1000+'Inputs'!$B$21)+'Inputs'!$B$7)^2+('Inputs'!$B$6/2)^2)-(((91-43)*MAX('Inputs'!$B$33,'Inputs'!$B$29+'Inputs'!$B$31+'Inputs'!$B$32,'Inputs'!$B$30+'Inputs'!$B$31+'Inputs'!$B$32)/1000+'Inputs'!$B$21))/SQRT((((91-43)*MAX('Inputs'!$B$33,'Inputs'!$B$29+'Inputs'!$B$31+'Inputs'!$B$32,'Inputs'!$B$30+'Inputs'!$B$31+'Inputs'!$B$32)/1000+'Inputs'!$B$21))^2+('Inputs'!$B$6/2)^2)))-'Results'!C7*(0.5*((((91-43)*MAX('Inputs'!$B$33,'Inputs'!$B$29+'Inputs'!$B$31+'Inputs'!$B$32,'Inputs'!$B$30+'Inputs'!$B$31+'Inputs'!$B$32)/1000+'Inputs'!$B$21+'Inputs'!$B$7+'Inputs'!$B$10)+'Inputs'!$B$9)/SQRT((((91-43)*MAX('Inputs'!$B$33,'Inputs'!$B$29+'Inputs'!$B$31+'Inputs'!$B$32,'Inputs'!$B$30+'Inputs'!$B$31+'Inputs'!$B$32)/1000+'Inputs'!$B$21+'Inputs'!$B$7+'Inputs'!$B$10)+'Inputs'!$B$9)^2+('Inputs'!$B$8/2)^2)-(((91-43)*MAX('Inputs'!$B$33,'Inputs'!$B$29+'Inputs'!$B$31+'Inputs'!$B$32,'Inputs'!$B$30+'Inputs'!$B$31+'Inputs'!$B$32)/1000+'Inputs'!$B$21+'Inputs'!$B$7+'Inputs'!$B$10))/SQRT((((91-43)*MAX('Inputs'!$B$33,'Inputs'!$B$29+'Inputs'!$B$31+'Inputs'!$B$32,'Inputs'!$B$30+'Inputs'!$B$31+'Inputs'!$B$32)/1000+'Inputs'!$B$21+'Inputs'!$B$7+'Inputs'!$B$10))^2+('Inputs'!$B$8/2)^2))))*'Results'!$B$8),"")</x:f>
        <x:v>1023.5678099243888</x:v>
      </x:c>
      <x:c r="K91" t="n">
        <x:f>IF(AND(ISNUMBER('Results'!B7),ISNUMBER('Results'!C7),ISNUMBER('Results'!$B$8),ISNUMBER('Inputs'!$B$6),ISNUMBER('Inputs'!$B$7),ISNUMBER('Inputs'!$B$8),ISNUMBER('Inputs'!$B$9),ISNUMBER('Inputs'!$B$10),ISNUMBER('Inputs'!$B$21),ISNUMBER('Inputs'!$B$24),ISNUMBER('Inputs'!$B$28)),((('Results'!B7*(1-'Inputs'!$B$24)*(0.5*((((91-43)*MAX('Inputs'!$B$33,'Inputs'!$B$29+'Inputs'!$B$31+'Inputs'!$B$32,'Inputs'!$B$30+'Inputs'!$B$31+'Inputs'!$B$32)/1000+'Inputs'!$B$21)+'Inputs'!$B$7)/SQRT((((91-43)*MAX('Inputs'!$B$33,'Inputs'!$B$29+'Inputs'!$B$31+'Inputs'!$B$32,'Inputs'!$B$30+'Inputs'!$B$31+'Inputs'!$B$32)/1000+'Inputs'!$B$21)+'Inputs'!$B$7)^2+('Inputs'!$B$6/2)^2)-(((91-43)*MAX('Inputs'!$B$33,'Inputs'!$B$29+'Inputs'!$B$31+'Inputs'!$B$32,'Inputs'!$B$30+'Inputs'!$B$31+'Inputs'!$B$32)/1000+'Inputs'!$B$21))/SQRT((((91-43)*MAX('Inputs'!$B$33,'Inputs'!$B$29+'Inputs'!$B$31+'Inputs'!$B$32,'Inputs'!$B$30+'Inputs'!$B$31+'Inputs'!$B$32)/1000+'Inputs'!$B$21))^2+('Inputs'!$B$6/2)^2)))-'Results'!C7*(1+'Inputs'!$B$24)*(0.5*((((91-43)*MAX('Inputs'!$B$33,'Inputs'!$B$29+'Inputs'!$B$31+'Inputs'!$B$32,'Inputs'!$B$30+'Inputs'!$B$31+'Inputs'!$B$32)/1000+'Inputs'!$B$21+'Inputs'!$B$7+'Inputs'!$B$10)+'Inputs'!$B$9)/SQRT((((91-43)*MAX('Inputs'!$B$33,'Inputs'!$B$29+'Inputs'!$B$31+'Inputs'!$B$32,'Inputs'!$B$30+'Inputs'!$B$31+'Inputs'!$B$32)/1000+'Inputs'!$B$21+'Inputs'!$B$7+'Inputs'!$B$10)+'Inputs'!$B$9)^2+('Inputs'!$B$8/2)^2)-(((91-43)*MAX('Inputs'!$B$33,'Inputs'!$B$29+'Inputs'!$B$31+'Inputs'!$B$32,'Inputs'!$B$30+'Inputs'!$B$31+'Inputs'!$B$32)/1000+'Inputs'!$B$21+'Inputs'!$B$7+'Inputs'!$B$10))/SQRT((((91-43)*MAX('Inputs'!$B$33,'Inputs'!$B$29+'Inputs'!$B$31+'Inputs'!$B$32,'Inputs'!$B$30+'Inputs'!$B$31+'Inputs'!$B$32)/1000+'Inputs'!$B$21+'Inputs'!$B$7+'Inputs'!$B$10))^2+('Inputs'!$B$8/2)^2))))*'Results'!$B$8)-'Inputs'!$B$28*ABS((('Results'!B7*(1-'Inputs'!$B$24)*(0.5*((((91-43)*MAX('Inputs'!$B$33,'Inputs'!$B$29+'Inputs'!$B$31+'Inputs'!$B$32,'Inputs'!$B$30+'Inputs'!$B$31+'Inputs'!$B$32)/1000+'Inputs'!$B$21)+'Inputs'!$B$7)/SQRT((((91-43)*MAX('Inputs'!$B$33,'Inputs'!$B$29+'Inputs'!$B$31+'Inputs'!$B$32,'Inputs'!$B$30+'Inputs'!$B$31+'Inputs'!$B$32)/1000+'Inputs'!$B$21)+'Inputs'!$B$7)^2+('Inputs'!$B$6/2)^2)-(((91-43)*MAX('Inputs'!$B$33,'Inputs'!$B$29+'Inputs'!$B$31+'Inputs'!$B$32,'Inputs'!$B$30+'Inputs'!$B$31+'Inputs'!$B$32)/1000+'Inputs'!$B$21))/SQRT((((91-43)*MAX('Inputs'!$B$33,'Inputs'!$B$29+'Inputs'!$B$31+'Inputs'!$B$32,'Inputs'!$B$30+'Inputs'!$B$31+'Inputs'!$B$32)/1000+'Inputs'!$B$21))^2+('Inputs'!$B$6/2)^2)))-'Results'!C7*(1+'Inputs'!$B$24)*(0.5*((((91-43)*MAX('Inputs'!$B$33,'Inputs'!$B$29+'Inputs'!$B$31+'Inputs'!$B$32,'Inputs'!$B$30+'Inputs'!$B$31+'Inputs'!$B$32)/1000+'Inputs'!$B$21+'Inputs'!$B$7+'Inputs'!$B$10)+'Inputs'!$B$9)/SQRT((((91-43)*MAX('Inputs'!$B$33,'Inputs'!$B$29+'Inputs'!$B$31+'Inputs'!$B$32,'Inputs'!$B$30+'Inputs'!$B$31+'Inputs'!$B$32)/1000+'Inputs'!$B$21+'Inputs'!$B$7+'Inputs'!$B$10)+'Inputs'!$B$9)^2+('Inputs'!$B$8/2)^2)-(((91-43)*MAX('Inputs'!$B$33,'Inputs'!$B$29+'Inputs'!$B$31+'Inputs'!$B$32,'Inputs'!$B$30+'Inputs'!$B$31+'Inputs'!$B$32)/1000+'Inputs'!$B$21+'Inputs'!$B$7+'Inputs'!$B$10))/SQRT((((91-43)*MAX('Inputs'!$B$33,'Inputs'!$B$29+'Inputs'!$B$31+'Inputs'!$B$32,'Inputs'!$B$30+'Inputs'!$B$31+'Inputs'!$B$32)/1000+'Inputs'!$B$21+'Inputs'!$B$7+'Inputs'!$B$10))^2+('Inputs'!$B$8/2)^2))))*'Results'!$B$8))),"")</x:f>
        <x:v>946.5563403637709</x:v>
      </x:c>
      <x:c r="L91" t="n">
        <x:f>IF(AND(ISNUMBER('Results'!B7),ISNUMBER('Results'!C7),ISNUMBER('Results'!$B$8),ISNUMBER('Inputs'!$B$6),ISNUMBER('Inputs'!$B$7),ISNUMBER('Inputs'!$B$8),ISNUMBER('Inputs'!$B$9),ISNUMBER('Inputs'!$B$10),ISNUMBER('Inputs'!$B$21),ISNUMBER('Inputs'!$B$24),ISNUMBER('Inputs'!$B$28)),((('Results'!B7*(1+'Inputs'!$B$24)*(0.5*((((91-43)*MAX('Inputs'!$B$33,'Inputs'!$B$29+'Inputs'!$B$31+'Inputs'!$B$32,'Inputs'!$B$30+'Inputs'!$B$31+'Inputs'!$B$32)/1000+'Inputs'!$B$21)+'Inputs'!$B$7)/SQRT((((91-43)*MAX('Inputs'!$B$33,'Inputs'!$B$29+'Inputs'!$B$31+'Inputs'!$B$32,'Inputs'!$B$30+'Inputs'!$B$31+'Inputs'!$B$32)/1000+'Inputs'!$B$21)+'Inputs'!$B$7)^2+('Inputs'!$B$6/2)^2)-(((91-43)*MAX('Inputs'!$B$33,'Inputs'!$B$29+'Inputs'!$B$31+'Inputs'!$B$32,'Inputs'!$B$30+'Inputs'!$B$31+'Inputs'!$B$32)/1000+'Inputs'!$B$21))/SQRT((((91-43)*MAX('Inputs'!$B$33,'Inputs'!$B$29+'Inputs'!$B$31+'Inputs'!$B$32,'Inputs'!$B$30+'Inputs'!$B$31+'Inputs'!$B$32)/1000+'Inputs'!$B$21))^2+('Inputs'!$B$6/2)^2)))-'Results'!C7*(1-'Inputs'!$B$24)*(0.5*((((91-43)*MAX('Inputs'!$B$33,'Inputs'!$B$29+'Inputs'!$B$31+'Inputs'!$B$32,'Inputs'!$B$30+'Inputs'!$B$31+'Inputs'!$B$32)/1000+'Inputs'!$B$21+'Inputs'!$B$7+'Inputs'!$B$10)+'Inputs'!$B$9)/SQRT((((91-43)*MAX('Inputs'!$B$33,'Inputs'!$B$29+'Inputs'!$B$31+'Inputs'!$B$32,'Inputs'!$B$30+'Inputs'!$B$31+'Inputs'!$B$32)/1000+'Inputs'!$B$21+'Inputs'!$B$7+'Inputs'!$B$10)+'Inputs'!$B$9)^2+('Inputs'!$B$8/2)^2)-(((91-43)*MAX('Inputs'!$B$33,'Inputs'!$B$29+'Inputs'!$B$31+'Inputs'!$B$32,'Inputs'!$B$30+'Inputs'!$B$31+'Inputs'!$B$32)/1000+'Inputs'!$B$21+'Inputs'!$B$7+'Inputs'!$B$10))/SQRT((((91-43)*MAX('Inputs'!$B$33,'Inputs'!$B$29+'Inputs'!$B$31+'Inputs'!$B$32,'Inputs'!$B$30+'Inputs'!$B$31+'Inputs'!$B$32)/1000+'Inputs'!$B$21+'Inputs'!$B$7+'Inputs'!$B$10))^2+('Inputs'!$B$8/2)^2))))*'Results'!$B$8)+'Inputs'!$B$28*ABS((('Results'!B7*(1+'Inputs'!$B$24)*(0.5*((((91-43)*MAX('Inputs'!$B$33,'Inputs'!$B$29+'Inputs'!$B$31+'Inputs'!$B$32,'Inputs'!$B$30+'Inputs'!$B$31+'Inputs'!$B$32)/1000+'Inputs'!$B$21)+'Inputs'!$B$7)/SQRT((((91-43)*MAX('Inputs'!$B$33,'Inputs'!$B$29+'Inputs'!$B$31+'Inputs'!$B$32,'Inputs'!$B$30+'Inputs'!$B$31+'Inputs'!$B$32)/1000+'Inputs'!$B$21)+'Inputs'!$B$7)^2+('Inputs'!$B$6/2)^2)-(((91-43)*MAX('Inputs'!$B$33,'Inputs'!$B$29+'Inputs'!$B$31+'Inputs'!$B$32,'Inputs'!$B$30+'Inputs'!$B$31+'Inputs'!$B$32)/1000+'Inputs'!$B$21))/SQRT((((91-43)*MAX('Inputs'!$B$33,'Inputs'!$B$29+'Inputs'!$B$31+'Inputs'!$B$32,'Inputs'!$B$30+'Inputs'!$B$31+'Inputs'!$B$32)/1000+'Inputs'!$B$21))^2+('Inputs'!$B$6/2)^2)))-'Results'!C7*(1-'Inputs'!$B$24)*(0.5*((((91-43)*MAX('Inputs'!$B$33,'Inputs'!$B$29+'Inputs'!$B$31+'Inputs'!$B$32,'Inputs'!$B$30+'Inputs'!$B$31+'Inputs'!$B$32)/1000+'Inputs'!$B$21+'Inputs'!$B$7+'Inputs'!$B$10)+'Inputs'!$B$9)/SQRT((((91-43)*MAX('Inputs'!$B$33,'Inputs'!$B$29+'Inputs'!$B$31+'Inputs'!$B$32,'Inputs'!$B$30+'Inputs'!$B$31+'Inputs'!$B$32)/1000+'Inputs'!$B$21+'Inputs'!$B$7+'Inputs'!$B$10)+'Inputs'!$B$9)^2+('Inputs'!$B$8/2)^2)-(((91-43)*MAX('Inputs'!$B$33,'Inputs'!$B$29+'Inputs'!$B$31+'Inputs'!$B$32,'Inputs'!$B$30+'Inputs'!$B$31+'Inputs'!$B$32)/1000+'Inputs'!$B$21+'Inputs'!$B$7+'Inputs'!$B$10))/SQRT((((91-43)*MAX('Inputs'!$B$33,'Inputs'!$B$29+'Inputs'!$B$31+'Inputs'!$B$32,'Inputs'!$B$30+'Inputs'!$B$31+'Inputs'!$B$32)/1000+'Inputs'!$B$21+'Inputs'!$B$7+'Inputs'!$B$10))^2+('Inputs'!$B$8/2)^2))))*'Results'!$B$8))),"")</x:f>
        <x:v>1103.298550965469</x:v>
      </x:c>
      <x:c r="M91" t="n">
        <x:f>IF(AND(ISNUMBER('Results'!C7),ISNUMBER('Results'!B7),ISNUMBER('Results'!$B$8),ISNUMBER('Inputs'!$B$6),ISNUMBER('Inputs'!$B$7),ISNUMBER('Inputs'!$B$8),ISNUMBER('Inputs'!$B$9),ISNUMBER('Inputs'!$B$10),ISNUMBER('Inputs'!$B$21),ISNUMBER('Inputs'!$B$24),ISNUMBER('Inputs'!$B$28)),(('Results'!C7*(0.5*((((91-43)*MAX('Inputs'!$B$33,'Inputs'!$B$29+'Inputs'!$B$31+'Inputs'!$B$32,'Inputs'!$B$30+'Inputs'!$B$31+'Inputs'!$B$32)/1000+'Inputs'!$B$21)+'Inputs'!$B$9)/SQRT((((91-43)*MAX('Inputs'!$B$33,'Inputs'!$B$29+'Inputs'!$B$31+'Inputs'!$B$32,'Inputs'!$B$30+'Inputs'!$B$31+'Inputs'!$B$32)/1000+'Inputs'!$B$21)+'Inputs'!$B$9)^2+('Inputs'!$B$8/2)^2)-(((91-43)*MAX('Inputs'!$B$33,'Inputs'!$B$29+'Inputs'!$B$31+'Inputs'!$B$32,'Inputs'!$B$30+'Inputs'!$B$31+'Inputs'!$B$32)/1000+'Inputs'!$B$21))/SQRT((((91-43)*MAX('Inputs'!$B$33,'Inputs'!$B$29+'Inputs'!$B$31+'Inputs'!$B$32,'Inputs'!$B$30+'Inputs'!$B$31+'Inputs'!$B$32)/1000+'Inputs'!$B$21))^2+('Inputs'!$B$8/2)^2)))-'Results'!B7*(0.5*((((91-43)*MAX('Inputs'!$B$33,'Inputs'!$B$29+'Inputs'!$B$31+'Inputs'!$B$32,'Inputs'!$B$30+'Inputs'!$B$31+'Inputs'!$B$32)/1000+'Inputs'!$B$21+'Inputs'!$B$9+'Inputs'!$B$10)+'Inputs'!$B$7)/SQRT((((91-43)*MAX('Inputs'!$B$33,'Inputs'!$B$29+'Inputs'!$B$31+'Inputs'!$B$32,'Inputs'!$B$30+'Inputs'!$B$31+'Inputs'!$B$32)/1000+'Inputs'!$B$21+'Inputs'!$B$9+'Inputs'!$B$10)+'Inputs'!$B$7)^2+('Inputs'!$B$6/2)^2)-(((91-43)*MAX('Inputs'!$B$33,'Inputs'!$B$29+'Inputs'!$B$31+'Inputs'!$B$32,'Inputs'!$B$30+'Inputs'!$B$31+'Inputs'!$B$32)/1000+'Inputs'!$B$21+'Inputs'!$B$9+'Inputs'!$B$10))/SQRT((((91-43)*MAX('Inputs'!$B$33,'Inputs'!$B$29+'Inputs'!$B$31+'Inputs'!$B$32,'Inputs'!$B$30+'Inputs'!$B$31+'Inputs'!$B$32)/1000+'Inputs'!$B$21+'Inputs'!$B$9+'Inputs'!$B$10))^2+('Inputs'!$B$6/2)^2))))*'Results'!$B$8),"")</x:f>
        <x:v>996.3065098278595</x:v>
      </x:c>
      <x:c r="N91" t="n">
        <x:f>IF(AND(ISNUMBER('Results'!C7),ISNUMBER('Results'!B7),ISNUMBER('Results'!$B$8),ISNUMBER('Inputs'!$B$6),ISNUMBER('Inputs'!$B$7),ISNUMBER('Inputs'!$B$8),ISNUMBER('Inputs'!$B$9),ISNUMBER('Inputs'!$B$10),ISNUMBER('Inputs'!$B$21),ISNUMBER('Inputs'!$B$24),ISNUMBER('Inputs'!$B$28)),((('Results'!C7*(1-'Inputs'!$B$24)*(0.5*((((91-43)*MAX('Inputs'!$B$33,'Inputs'!$B$29+'Inputs'!$B$31+'Inputs'!$B$32,'Inputs'!$B$30+'Inputs'!$B$31+'Inputs'!$B$32)/1000+'Inputs'!$B$21)+'Inputs'!$B$9)/SQRT((((91-43)*MAX('Inputs'!$B$33,'Inputs'!$B$29+'Inputs'!$B$31+'Inputs'!$B$32,'Inputs'!$B$30+'Inputs'!$B$31+'Inputs'!$B$32)/1000+'Inputs'!$B$21)+'Inputs'!$B$9)^2+('Inputs'!$B$8/2)^2)-(((91-43)*MAX('Inputs'!$B$33,'Inputs'!$B$29+'Inputs'!$B$31+'Inputs'!$B$32,'Inputs'!$B$30+'Inputs'!$B$31+'Inputs'!$B$32)/1000+'Inputs'!$B$21))/SQRT((((91-43)*MAX('Inputs'!$B$33,'Inputs'!$B$29+'Inputs'!$B$31+'Inputs'!$B$32,'Inputs'!$B$30+'Inputs'!$B$31+'Inputs'!$B$32)/1000+'Inputs'!$B$21))^2+('Inputs'!$B$8/2)^2)))-'Results'!B7*(1+'Inputs'!$B$24)*(0.5*((((91-43)*MAX('Inputs'!$B$33,'Inputs'!$B$29+'Inputs'!$B$31+'Inputs'!$B$32,'Inputs'!$B$30+'Inputs'!$B$31+'Inputs'!$B$32)/1000+'Inputs'!$B$21+'Inputs'!$B$9+'Inputs'!$B$10)+'Inputs'!$B$7)/SQRT((((91-43)*MAX('Inputs'!$B$33,'Inputs'!$B$29+'Inputs'!$B$31+'Inputs'!$B$32,'Inputs'!$B$30+'Inputs'!$B$31+'Inputs'!$B$32)/1000+'Inputs'!$B$21+'Inputs'!$B$9+'Inputs'!$B$10)+'Inputs'!$B$7)^2+('Inputs'!$B$6/2)^2)-(((91-43)*MAX('Inputs'!$B$33,'Inputs'!$B$29+'Inputs'!$B$31+'Inputs'!$B$32,'Inputs'!$B$30+'Inputs'!$B$31+'Inputs'!$B$32)/1000+'Inputs'!$B$21+'Inputs'!$B$9+'Inputs'!$B$10))/SQRT((((91-43)*MAX('Inputs'!$B$33,'Inputs'!$B$29+'Inputs'!$B$31+'Inputs'!$B$32,'Inputs'!$B$30+'Inputs'!$B$31+'Inputs'!$B$32)/1000+'Inputs'!$B$21+'Inputs'!$B$9+'Inputs'!$B$10))^2+('Inputs'!$B$6/2)^2))))*'Results'!$B$8)-'Inputs'!$B$28*ABS((('Results'!C7*(1-'Inputs'!$B$24)*(0.5*((((91-43)*MAX('Inputs'!$B$33,'Inputs'!$B$29+'Inputs'!$B$31+'Inputs'!$B$32,'Inputs'!$B$30+'Inputs'!$B$31+'Inputs'!$B$32)/1000+'Inputs'!$B$21)+'Inputs'!$B$9)/SQRT((((91-43)*MAX('Inputs'!$B$33,'Inputs'!$B$29+'Inputs'!$B$31+'Inputs'!$B$32,'Inputs'!$B$30+'Inputs'!$B$31+'Inputs'!$B$32)/1000+'Inputs'!$B$21)+'Inputs'!$B$9)^2+('Inputs'!$B$8/2)^2)-(((91-43)*MAX('Inputs'!$B$33,'Inputs'!$B$29+'Inputs'!$B$31+'Inputs'!$B$32,'Inputs'!$B$30+'Inputs'!$B$31+'Inputs'!$B$32)/1000+'Inputs'!$B$21))/SQRT((((91-43)*MAX('Inputs'!$B$33,'Inputs'!$B$29+'Inputs'!$B$31+'Inputs'!$B$32,'Inputs'!$B$30+'Inputs'!$B$31+'Inputs'!$B$32)/1000+'Inputs'!$B$21))^2+('Inputs'!$B$8/2)^2)))-'Results'!B7*(1+'Inputs'!$B$24)*(0.5*((((91-43)*MAX('Inputs'!$B$33,'Inputs'!$B$29+'Inputs'!$B$31+'Inputs'!$B$32,'Inputs'!$B$30+'Inputs'!$B$31+'Inputs'!$B$32)/1000+'Inputs'!$B$21+'Inputs'!$B$9+'Inputs'!$B$10)+'Inputs'!$B$7)/SQRT((((91-43)*MAX('Inputs'!$B$33,'Inputs'!$B$29+'Inputs'!$B$31+'Inputs'!$B$32,'Inputs'!$B$30+'Inputs'!$B$31+'Inputs'!$B$32)/1000+'Inputs'!$B$21+'Inputs'!$B$9+'Inputs'!$B$10)+'Inputs'!$B$7)^2+('Inputs'!$B$6/2)^2)-(((91-43)*MAX('Inputs'!$B$33,'Inputs'!$B$29+'Inputs'!$B$31+'Inputs'!$B$32,'Inputs'!$B$30+'Inputs'!$B$31+'Inputs'!$B$32)/1000+'Inputs'!$B$21+'Inputs'!$B$9+'Inputs'!$B$10))/SQRT((((91-43)*MAX('Inputs'!$B$33,'Inputs'!$B$29+'Inputs'!$B$31+'Inputs'!$B$32,'Inputs'!$B$30+'Inputs'!$B$31+'Inputs'!$B$32)/1000+'Inputs'!$B$21+'Inputs'!$B$9+'Inputs'!$B$10))^2+('Inputs'!$B$6/2)^2))))*'Results'!$B$8))),"")</x:f>
        <x:v>921.0457579192935</x:v>
      </x:c>
      <x:c r="O91" t="n">
        <x:f>IF(AND(ISNUMBER('Results'!C7),ISNUMBER('Results'!B7),ISNUMBER('Results'!$B$8),ISNUMBER('Inputs'!$B$6),ISNUMBER('Inputs'!$B$7),ISNUMBER('Inputs'!$B$8),ISNUMBER('Inputs'!$B$9),ISNUMBER('Inputs'!$B$10),ISNUMBER('Inputs'!$B$21),ISNUMBER('Inputs'!$B$24),ISNUMBER('Inputs'!$B$28)),((('Results'!C7*(1+'Inputs'!$B$24)*(0.5*((((91-43)*MAX('Inputs'!$B$33,'Inputs'!$B$29+'Inputs'!$B$31+'Inputs'!$B$32,'Inputs'!$B$30+'Inputs'!$B$31+'Inputs'!$B$32)/1000+'Inputs'!$B$21)+'Inputs'!$B$9)/SQRT((((91-43)*MAX('Inputs'!$B$33,'Inputs'!$B$29+'Inputs'!$B$31+'Inputs'!$B$32,'Inputs'!$B$30+'Inputs'!$B$31+'Inputs'!$B$32)/1000+'Inputs'!$B$21)+'Inputs'!$B$9)^2+('Inputs'!$B$8/2)^2)-(((91-43)*MAX('Inputs'!$B$33,'Inputs'!$B$29+'Inputs'!$B$31+'Inputs'!$B$32,'Inputs'!$B$30+'Inputs'!$B$31+'Inputs'!$B$32)/1000+'Inputs'!$B$21))/SQRT((((91-43)*MAX('Inputs'!$B$33,'Inputs'!$B$29+'Inputs'!$B$31+'Inputs'!$B$32,'Inputs'!$B$30+'Inputs'!$B$31+'Inputs'!$B$32)/1000+'Inputs'!$B$21))^2+('Inputs'!$B$8/2)^2)))-'Results'!B7*(1-'Inputs'!$B$24)*(0.5*((((91-43)*MAX('Inputs'!$B$33,'Inputs'!$B$29+'Inputs'!$B$31+'Inputs'!$B$32,'Inputs'!$B$30+'Inputs'!$B$31+'Inputs'!$B$32)/1000+'Inputs'!$B$21+'Inputs'!$B$9+'Inputs'!$B$10)+'Inputs'!$B$7)/SQRT((((91-43)*MAX('Inputs'!$B$33,'Inputs'!$B$29+'Inputs'!$B$31+'Inputs'!$B$32,'Inputs'!$B$30+'Inputs'!$B$31+'Inputs'!$B$32)/1000+'Inputs'!$B$21+'Inputs'!$B$9+'Inputs'!$B$10)+'Inputs'!$B$7)^2+('Inputs'!$B$6/2)^2)-(((91-43)*MAX('Inputs'!$B$33,'Inputs'!$B$29+'Inputs'!$B$31+'Inputs'!$B$32,'Inputs'!$B$30+'Inputs'!$B$31+'Inputs'!$B$32)/1000+'Inputs'!$B$21+'Inputs'!$B$9+'Inputs'!$B$10))/SQRT((((91-43)*MAX('Inputs'!$B$33,'Inputs'!$B$29+'Inputs'!$B$31+'Inputs'!$B$32,'Inputs'!$B$30+'Inputs'!$B$31+'Inputs'!$B$32)/1000+'Inputs'!$B$21+'Inputs'!$B$9+'Inputs'!$B$10))^2+('Inputs'!$B$6/2)^2))))*'Results'!$B$8)+'Inputs'!$B$28*ABS((('Results'!C7*(1+'Inputs'!$B$24)*(0.5*((((91-43)*MAX('Inputs'!$B$33,'Inputs'!$B$29+'Inputs'!$B$31+'Inputs'!$B$32,'Inputs'!$B$30+'Inputs'!$B$31+'Inputs'!$B$32)/1000+'Inputs'!$B$21)+'Inputs'!$B$9)/SQRT((((91-43)*MAX('Inputs'!$B$33,'Inputs'!$B$29+'Inputs'!$B$31+'Inputs'!$B$32,'Inputs'!$B$30+'Inputs'!$B$31+'Inputs'!$B$32)/1000+'Inputs'!$B$21)+'Inputs'!$B$9)^2+('Inputs'!$B$8/2)^2)-(((91-43)*MAX('Inputs'!$B$33,'Inputs'!$B$29+'Inputs'!$B$31+'Inputs'!$B$32,'Inputs'!$B$30+'Inputs'!$B$31+'Inputs'!$B$32)/1000+'Inputs'!$B$21))/SQRT((((91-43)*MAX('Inputs'!$B$33,'Inputs'!$B$29+'Inputs'!$B$31+'Inputs'!$B$32,'Inputs'!$B$30+'Inputs'!$B$31+'Inputs'!$B$32)/1000+'Inputs'!$B$21))^2+('Inputs'!$B$8/2)^2)))-'Results'!B7*(1-'Inputs'!$B$24)*(0.5*((((91-43)*MAX('Inputs'!$B$33,'Inputs'!$B$29+'Inputs'!$B$31+'Inputs'!$B$32,'Inputs'!$B$30+'Inputs'!$B$31+'Inputs'!$B$32)/1000+'Inputs'!$B$21+'Inputs'!$B$9+'Inputs'!$B$10)+'Inputs'!$B$7)/SQRT((((91-43)*MAX('Inputs'!$B$33,'Inputs'!$B$29+'Inputs'!$B$31+'Inputs'!$B$32,'Inputs'!$B$30+'Inputs'!$B$31+'Inputs'!$B$32)/1000+'Inputs'!$B$21+'Inputs'!$B$9+'Inputs'!$B$10)+'Inputs'!$B$7)^2+('Inputs'!$B$6/2)^2)-(((91-43)*MAX('Inputs'!$B$33,'Inputs'!$B$29+'Inputs'!$B$31+'Inputs'!$B$32,'Inputs'!$B$30+'Inputs'!$B$31+'Inputs'!$B$32)/1000+'Inputs'!$B$21+'Inputs'!$B$9+'Inputs'!$B$10))/SQRT((((91-43)*MAX('Inputs'!$B$33,'Inputs'!$B$29+'Inputs'!$B$31+'Inputs'!$B$32,'Inputs'!$B$30+'Inputs'!$B$31+'Inputs'!$B$32)/1000+'Inputs'!$B$21+'Inputs'!$B$9+'Inputs'!$B$10))^2+('Inputs'!$B$6/2)^2))))*'Results'!$B$8))),"")</x:f>
        <x:v>1074.2457276750756</x:v>
      </x:c>
      <x:c r="P91" t="n">
        <x:f>IF(AND(MAX(J91,J90)&gt;0,J91&gt;J90+0.00000001),1,0)</x:f>
        <x:v>0</x:v>
      </x:c>
      <x:c r="Q91" t="n">
        <x:f>IF(AND(MAX(K91,K90)&gt;0,K91&gt;K90+0.00000001),1,0)</x:f>
        <x:v>0</x:v>
      </x:c>
      <x:c r="R91" t="n">
        <x:f>IF(AND(MAX(L91,L90)&gt;0,L91&gt;L90+0.00000001),1,0)</x:f>
        <x:v>0</x:v>
      </x:c>
      <x:c r="S91" t="n">
        <x:f>IF(AND(MAX(M91,M90)&gt;0,M91&gt;M90+0.00000001),1,0)</x:f>
        <x:v>0</x:v>
      </x:c>
      <x:c r="T91" t="n">
        <x:f>IF(AND(MAX(N91,N90)&gt;0,N91&gt;N90+0.00000001),1,0)</x:f>
        <x:v>0</x:v>
      </x:c>
      <x:c r="U91" t="n">
        <x:f>IF(AND(MAX(O91,O90)&gt;0,O91&gt;O90+0.00000001),1,0)</x:f>
        <x:v>0</x:v>
      </x:c>
    </x:row>
    <x:row r="92">
      <x:c r="J92" t="n">
        <x:f>IF(AND(ISNUMBER('Results'!B7),ISNUMBER('Results'!C7),ISNUMBER('Results'!$B$8),ISNUMBER('Inputs'!$B$6),ISNUMBER('Inputs'!$B$7),ISNUMBER('Inputs'!$B$8),ISNUMBER('Inputs'!$B$9),ISNUMBER('Inputs'!$B$10),ISNUMBER('Inputs'!$B$21),ISNUMBER('Inputs'!$B$24),ISNUMBER('Inputs'!$B$28)),(('Results'!B7*(0.5*((((92-43)*MAX('Inputs'!$B$33,'Inputs'!$B$29+'Inputs'!$B$31+'Inputs'!$B$32,'Inputs'!$B$30+'Inputs'!$B$31+'Inputs'!$B$32)/1000+'Inputs'!$B$21)+'Inputs'!$B$7)/SQRT((((92-43)*MAX('Inputs'!$B$33,'Inputs'!$B$29+'Inputs'!$B$31+'Inputs'!$B$32,'Inputs'!$B$30+'Inputs'!$B$31+'Inputs'!$B$32)/1000+'Inputs'!$B$21)+'Inputs'!$B$7)^2+('Inputs'!$B$6/2)^2)-(((92-43)*MAX('Inputs'!$B$33,'Inputs'!$B$29+'Inputs'!$B$31+'Inputs'!$B$32,'Inputs'!$B$30+'Inputs'!$B$31+'Inputs'!$B$32)/1000+'Inputs'!$B$21))/SQRT((((92-43)*MAX('Inputs'!$B$33,'Inputs'!$B$29+'Inputs'!$B$31+'Inputs'!$B$32,'Inputs'!$B$30+'Inputs'!$B$31+'Inputs'!$B$32)/1000+'Inputs'!$B$21))^2+('Inputs'!$B$6/2)^2)))-'Results'!C7*(0.5*((((92-43)*MAX('Inputs'!$B$33,'Inputs'!$B$29+'Inputs'!$B$31+'Inputs'!$B$32,'Inputs'!$B$30+'Inputs'!$B$31+'Inputs'!$B$32)/1000+'Inputs'!$B$21+'Inputs'!$B$7+'Inputs'!$B$10)+'Inputs'!$B$9)/SQRT((((92-43)*MAX('Inputs'!$B$33,'Inputs'!$B$29+'Inputs'!$B$31+'Inputs'!$B$32,'Inputs'!$B$30+'Inputs'!$B$31+'Inputs'!$B$32)/1000+'Inputs'!$B$21+'Inputs'!$B$7+'Inputs'!$B$10)+'Inputs'!$B$9)^2+('Inputs'!$B$8/2)^2)-(((92-43)*MAX('Inputs'!$B$33,'Inputs'!$B$29+'Inputs'!$B$31+'Inputs'!$B$32,'Inputs'!$B$30+'Inputs'!$B$31+'Inputs'!$B$32)/1000+'Inputs'!$B$21+'Inputs'!$B$7+'Inputs'!$B$10))/SQRT((((92-43)*MAX('Inputs'!$B$33,'Inputs'!$B$29+'Inputs'!$B$31+'Inputs'!$B$32,'Inputs'!$B$30+'Inputs'!$B$31+'Inputs'!$B$32)/1000+'Inputs'!$B$21+'Inputs'!$B$7+'Inputs'!$B$10))^2+('Inputs'!$B$8/2)^2))))*'Results'!$B$8),"")</x:f>
        <x:v>1004.3041198356173</x:v>
      </x:c>
      <x:c r="K92" t="n">
        <x:f>IF(AND(ISNUMBER('Results'!B7),ISNUMBER('Results'!C7),ISNUMBER('Results'!$B$8),ISNUMBER('Inputs'!$B$6),ISNUMBER('Inputs'!$B$7),ISNUMBER('Inputs'!$B$8),ISNUMBER('Inputs'!$B$9),ISNUMBER('Inputs'!$B$10),ISNUMBER('Inputs'!$B$21),ISNUMBER('Inputs'!$B$24),ISNUMBER('Inputs'!$B$28)),((('Results'!B7*(1-'Inputs'!$B$24)*(0.5*((((92-43)*MAX('Inputs'!$B$33,'Inputs'!$B$29+'Inputs'!$B$31+'Inputs'!$B$32,'Inputs'!$B$30+'Inputs'!$B$31+'Inputs'!$B$32)/1000+'Inputs'!$B$21)+'Inputs'!$B$7)/SQRT((((92-43)*MAX('Inputs'!$B$33,'Inputs'!$B$29+'Inputs'!$B$31+'Inputs'!$B$32,'Inputs'!$B$30+'Inputs'!$B$31+'Inputs'!$B$32)/1000+'Inputs'!$B$21)+'Inputs'!$B$7)^2+('Inputs'!$B$6/2)^2)-(((92-43)*MAX('Inputs'!$B$33,'Inputs'!$B$29+'Inputs'!$B$31+'Inputs'!$B$32,'Inputs'!$B$30+'Inputs'!$B$31+'Inputs'!$B$32)/1000+'Inputs'!$B$21))/SQRT((((92-43)*MAX('Inputs'!$B$33,'Inputs'!$B$29+'Inputs'!$B$31+'Inputs'!$B$32,'Inputs'!$B$30+'Inputs'!$B$31+'Inputs'!$B$32)/1000+'Inputs'!$B$21))^2+('Inputs'!$B$6/2)^2)))-'Results'!C7*(1+'Inputs'!$B$24)*(0.5*((((92-43)*MAX('Inputs'!$B$33,'Inputs'!$B$29+'Inputs'!$B$31+'Inputs'!$B$32,'Inputs'!$B$30+'Inputs'!$B$31+'Inputs'!$B$32)/1000+'Inputs'!$B$21+'Inputs'!$B$7+'Inputs'!$B$10)+'Inputs'!$B$9)/SQRT((((92-43)*MAX('Inputs'!$B$33,'Inputs'!$B$29+'Inputs'!$B$31+'Inputs'!$B$32,'Inputs'!$B$30+'Inputs'!$B$31+'Inputs'!$B$32)/1000+'Inputs'!$B$21+'Inputs'!$B$7+'Inputs'!$B$10)+'Inputs'!$B$9)^2+('Inputs'!$B$8/2)^2)-(((92-43)*MAX('Inputs'!$B$33,'Inputs'!$B$29+'Inputs'!$B$31+'Inputs'!$B$32,'Inputs'!$B$30+'Inputs'!$B$31+'Inputs'!$B$32)/1000+'Inputs'!$B$21+'Inputs'!$B$7+'Inputs'!$B$10))/SQRT((((92-43)*MAX('Inputs'!$B$33,'Inputs'!$B$29+'Inputs'!$B$31+'Inputs'!$B$32,'Inputs'!$B$30+'Inputs'!$B$31+'Inputs'!$B$32)/1000+'Inputs'!$B$21+'Inputs'!$B$7+'Inputs'!$B$10))^2+('Inputs'!$B$8/2)^2))))*'Results'!$B$8)-'Inputs'!$B$28*ABS((('Results'!B7*(1-'Inputs'!$B$24)*(0.5*((((92-43)*MAX('Inputs'!$B$33,'Inputs'!$B$29+'Inputs'!$B$31+'Inputs'!$B$32,'Inputs'!$B$30+'Inputs'!$B$31+'Inputs'!$B$32)/1000+'Inputs'!$B$21)+'Inputs'!$B$7)/SQRT((((92-43)*MAX('Inputs'!$B$33,'Inputs'!$B$29+'Inputs'!$B$31+'Inputs'!$B$32,'Inputs'!$B$30+'Inputs'!$B$31+'Inputs'!$B$32)/1000+'Inputs'!$B$21)+'Inputs'!$B$7)^2+('Inputs'!$B$6/2)^2)-(((92-43)*MAX('Inputs'!$B$33,'Inputs'!$B$29+'Inputs'!$B$31+'Inputs'!$B$32,'Inputs'!$B$30+'Inputs'!$B$31+'Inputs'!$B$32)/1000+'Inputs'!$B$21))/SQRT((((92-43)*MAX('Inputs'!$B$33,'Inputs'!$B$29+'Inputs'!$B$31+'Inputs'!$B$32,'Inputs'!$B$30+'Inputs'!$B$31+'Inputs'!$B$32)/1000+'Inputs'!$B$21))^2+('Inputs'!$B$6/2)^2)))-'Results'!C7*(1+'Inputs'!$B$24)*(0.5*((((92-43)*MAX('Inputs'!$B$33,'Inputs'!$B$29+'Inputs'!$B$31+'Inputs'!$B$32,'Inputs'!$B$30+'Inputs'!$B$31+'Inputs'!$B$32)/1000+'Inputs'!$B$21+'Inputs'!$B$7+'Inputs'!$B$10)+'Inputs'!$B$9)/SQRT((((92-43)*MAX('Inputs'!$B$33,'Inputs'!$B$29+'Inputs'!$B$31+'Inputs'!$B$32,'Inputs'!$B$30+'Inputs'!$B$31+'Inputs'!$B$32)/1000+'Inputs'!$B$21+'Inputs'!$B$7+'Inputs'!$B$10)+'Inputs'!$B$9)^2+('Inputs'!$B$8/2)^2)-(((92-43)*MAX('Inputs'!$B$33,'Inputs'!$B$29+'Inputs'!$B$31+'Inputs'!$B$32,'Inputs'!$B$30+'Inputs'!$B$31+'Inputs'!$B$32)/1000+'Inputs'!$B$21+'Inputs'!$B$7+'Inputs'!$B$10))/SQRT((((92-43)*MAX('Inputs'!$B$33,'Inputs'!$B$29+'Inputs'!$B$31+'Inputs'!$B$32,'Inputs'!$B$30+'Inputs'!$B$31+'Inputs'!$B$32)/1000+'Inputs'!$B$21+'Inputs'!$B$7+'Inputs'!$B$10))^2+('Inputs'!$B$8/2)^2))))*'Results'!$B$8))),"")</x:f>
        <x:v>928.7100234824983</x:v>
      </x:c>
      <x:c r="L92" t="n">
        <x:f>IF(AND(ISNUMBER('Results'!B7),ISNUMBER('Results'!C7),ISNUMBER('Results'!$B$8),ISNUMBER('Inputs'!$B$6),ISNUMBER('Inputs'!$B$7),ISNUMBER('Inputs'!$B$8),ISNUMBER('Inputs'!$B$9),ISNUMBER('Inputs'!$B$10),ISNUMBER('Inputs'!$B$21),ISNUMBER('Inputs'!$B$24),ISNUMBER('Inputs'!$B$28)),((('Results'!B7*(1+'Inputs'!$B$24)*(0.5*((((92-43)*MAX('Inputs'!$B$33,'Inputs'!$B$29+'Inputs'!$B$31+'Inputs'!$B$32,'Inputs'!$B$30+'Inputs'!$B$31+'Inputs'!$B$32)/1000+'Inputs'!$B$21)+'Inputs'!$B$7)/SQRT((((92-43)*MAX('Inputs'!$B$33,'Inputs'!$B$29+'Inputs'!$B$31+'Inputs'!$B$32,'Inputs'!$B$30+'Inputs'!$B$31+'Inputs'!$B$32)/1000+'Inputs'!$B$21)+'Inputs'!$B$7)^2+('Inputs'!$B$6/2)^2)-(((92-43)*MAX('Inputs'!$B$33,'Inputs'!$B$29+'Inputs'!$B$31+'Inputs'!$B$32,'Inputs'!$B$30+'Inputs'!$B$31+'Inputs'!$B$32)/1000+'Inputs'!$B$21))/SQRT((((92-43)*MAX('Inputs'!$B$33,'Inputs'!$B$29+'Inputs'!$B$31+'Inputs'!$B$32,'Inputs'!$B$30+'Inputs'!$B$31+'Inputs'!$B$32)/1000+'Inputs'!$B$21))^2+('Inputs'!$B$6/2)^2)))-'Results'!C7*(1-'Inputs'!$B$24)*(0.5*((((92-43)*MAX('Inputs'!$B$33,'Inputs'!$B$29+'Inputs'!$B$31+'Inputs'!$B$32,'Inputs'!$B$30+'Inputs'!$B$31+'Inputs'!$B$32)/1000+'Inputs'!$B$21+'Inputs'!$B$7+'Inputs'!$B$10)+'Inputs'!$B$9)/SQRT((((92-43)*MAX('Inputs'!$B$33,'Inputs'!$B$29+'Inputs'!$B$31+'Inputs'!$B$32,'Inputs'!$B$30+'Inputs'!$B$31+'Inputs'!$B$32)/1000+'Inputs'!$B$21+'Inputs'!$B$7+'Inputs'!$B$10)+'Inputs'!$B$9)^2+('Inputs'!$B$8/2)^2)-(((92-43)*MAX('Inputs'!$B$33,'Inputs'!$B$29+'Inputs'!$B$31+'Inputs'!$B$32,'Inputs'!$B$30+'Inputs'!$B$31+'Inputs'!$B$32)/1000+'Inputs'!$B$21+'Inputs'!$B$7+'Inputs'!$B$10))/SQRT((((92-43)*MAX('Inputs'!$B$33,'Inputs'!$B$29+'Inputs'!$B$31+'Inputs'!$B$32,'Inputs'!$B$30+'Inputs'!$B$31+'Inputs'!$B$32)/1000+'Inputs'!$B$21+'Inputs'!$B$7+'Inputs'!$B$10))^2+('Inputs'!$B$8/2)^2))))*'Results'!$B$8)+'Inputs'!$B$28*ABS((('Results'!B7*(1+'Inputs'!$B$24)*(0.5*((((92-43)*MAX('Inputs'!$B$33,'Inputs'!$B$29+'Inputs'!$B$31+'Inputs'!$B$32,'Inputs'!$B$30+'Inputs'!$B$31+'Inputs'!$B$32)/1000+'Inputs'!$B$21)+'Inputs'!$B$7)/SQRT((((92-43)*MAX('Inputs'!$B$33,'Inputs'!$B$29+'Inputs'!$B$31+'Inputs'!$B$32,'Inputs'!$B$30+'Inputs'!$B$31+'Inputs'!$B$32)/1000+'Inputs'!$B$21)+'Inputs'!$B$7)^2+('Inputs'!$B$6/2)^2)-(((92-43)*MAX('Inputs'!$B$33,'Inputs'!$B$29+'Inputs'!$B$31+'Inputs'!$B$32,'Inputs'!$B$30+'Inputs'!$B$31+'Inputs'!$B$32)/1000+'Inputs'!$B$21))/SQRT((((92-43)*MAX('Inputs'!$B$33,'Inputs'!$B$29+'Inputs'!$B$31+'Inputs'!$B$32,'Inputs'!$B$30+'Inputs'!$B$31+'Inputs'!$B$32)/1000+'Inputs'!$B$21))^2+('Inputs'!$B$6/2)^2)))-'Results'!C7*(1-'Inputs'!$B$24)*(0.5*((((92-43)*MAX('Inputs'!$B$33,'Inputs'!$B$29+'Inputs'!$B$31+'Inputs'!$B$32,'Inputs'!$B$30+'Inputs'!$B$31+'Inputs'!$B$32)/1000+'Inputs'!$B$21+'Inputs'!$B$7+'Inputs'!$B$10)+'Inputs'!$B$9)/SQRT((((92-43)*MAX('Inputs'!$B$33,'Inputs'!$B$29+'Inputs'!$B$31+'Inputs'!$B$32,'Inputs'!$B$30+'Inputs'!$B$31+'Inputs'!$B$32)/1000+'Inputs'!$B$21+'Inputs'!$B$7+'Inputs'!$B$10)+'Inputs'!$B$9)^2+('Inputs'!$B$8/2)^2)-(((92-43)*MAX('Inputs'!$B$33,'Inputs'!$B$29+'Inputs'!$B$31+'Inputs'!$B$32,'Inputs'!$B$30+'Inputs'!$B$31+'Inputs'!$B$32)/1000+'Inputs'!$B$21+'Inputs'!$B$7+'Inputs'!$B$10))/SQRT((((92-43)*MAX('Inputs'!$B$33,'Inputs'!$B$29+'Inputs'!$B$31+'Inputs'!$B$32,'Inputs'!$B$30+'Inputs'!$B$31+'Inputs'!$B$32)/1000+'Inputs'!$B$21+'Inputs'!$B$7+'Inputs'!$B$10))^2+('Inputs'!$B$8/2)^2))))*'Results'!$B$8))),"")</x:f>
        <x:v>1082.569678332035</x:v>
      </x:c>
      <x:c r="M92" t="n">
        <x:f>IF(AND(ISNUMBER('Results'!C7),ISNUMBER('Results'!B7),ISNUMBER('Results'!$B$8),ISNUMBER('Inputs'!$B$6),ISNUMBER('Inputs'!$B$7),ISNUMBER('Inputs'!$B$8),ISNUMBER('Inputs'!$B$9),ISNUMBER('Inputs'!$B$10),ISNUMBER('Inputs'!$B$21),ISNUMBER('Inputs'!$B$24),ISNUMBER('Inputs'!$B$28)),(('Results'!C7*(0.5*((((92-43)*MAX('Inputs'!$B$33,'Inputs'!$B$29+'Inputs'!$B$31+'Inputs'!$B$32,'Inputs'!$B$30+'Inputs'!$B$31+'Inputs'!$B$32)/1000+'Inputs'!$B$21)+'Inputs'!$B$9)/SQRT((((92-43)*MAX('Inputs'!$B$33,'Inputs'!$B$29+'Inputs'!$B$31+'Inputs'!$B$32,'Inputs'!$B$30+'Inputs'!$B$31+'Inputs'!$B$32)/1000+'Inputs'!$B$21)+'Inputs'!$B$9)^2+('Inputs'!$B$8/2)^2)-(((92-43)*MAX('Inputs'!$B$33,'Inputs'!$B$29+'Inputs'!$B$31+'Inputs'!$B$32,'Inputs'!$B$30+'Inputs'!$B$31+'Inputs'!$B$32)/1000+'Inputs'!$B$21))/SQRT((((92-43)*MAX('Inputs'!$B$33,'Inputs'!$B$29+'Inputs'!$B$31+'Inputs'!$B$32,'Inputs'!$B$30+'Inputs'!$B$31+'Inputs'!$B$32)/1000+'Inputs'!$B$21))^2+('Inputs'!$B$8/2)^2)))-'Results'!B7*(0.5*((((92-43)*MAX('Inputs'!$B$33,'Inputs'!$B$29+'Inputs'!$B$31+'Inputs'!$B$32,'Inputs'!$B$30+'Inputs'!$B$31+'Inputs'!$B$32)/1000+'Inputs'!$B$21+'Inputs'!$B$9+'Inputs'!$B$10)+'Inputs'!$B$7)/SQRT((((92-43)*MAX('Inputs'!$B$33,'Inputs'!$B$29+'Inputs'!$B$31+'Inputs'!$B$32,'Inputs'!$B$30+'Inputs'!$B$31+'Inputs'!$B$32)/1000+'Inputs'!$B$21+'Inputs'!$B$9+'Inputs'!$B$10)+'Inputs'!$B$7)^2+('Inputs'!$B$6/2)^2)-(((92-43)*MAX('Inputs'!$B$33,'Inputs'!$B$29+'Inputs'!$B$31+'Inputs'!$B$32,'Inputs'!$B$30+'Inputs'!$B$31+'Inputs'!$B$32)/1000+'Inputs'!$B$21+'Inputs'!$B$9+'Inputs'!$B$10))/SQRT((((92-43)*MAX('Inputs'!$B$33,'Inputs'!$B$29+'Inputs'!$B$31+'Inputs'!$B$32,'Inputs'!$B$30+'Inputs'!$B$31+'Inputs'!$B$32)/1000+'Inputs'!$B$21+'Inputs'!$B$9+'Inputs'!$B$10))^2+('Inputs'!$B$6/2)^2))))*'Results'!$B$8),"")</x:f>
        <x:v>977.5218602491987</x:v>
      </x:c>
      <x:c r="N92" t="n">
        <x:f>IF(AND(ISNUMBER('Results'!C7),ISNUMBER('Results'!B7),ISNUMBER('Results'!$B$8),ISNUMBER('Inputs'!$B$6),ISNUMBER('Inputs'!$B$7),ISNUMBER('Inputs'!$B$8),ISNUMBER('Inputs'!$B$9),ISNUMBER('Inputs'!$B$10),ISNUMBER('Inputs'!$B$21),ISNUMBER('Inputs'!$B$24),ISNUMBER('Inputs'!$B$28)),((('Results'!C7*(1-'Inputs'!$B$24)*(0.5*((((92-43)*MAX('Inputs'!$B$33,'Inputs'!$B$29+'Inputs'!$B$31+'Inputs'!$B$32,'Inputs'!$B$30+'Inputs'!$B$31+'Inputs'!$B$32)/1000+'Inputs'!$B$21)+'Inputs'!$B$9)/SQRT((((92-43)*MAX('Inputs'!$B$33,'Inputs'!$B$29+'Inputs'!$B$31+'Inputs'!$B$32,'Inputs'!$B$30+'Inputs'!$B$31+'Inputs'!$B$32)/1000+'Inputs'!$B$21)+'Inputs'!$B$9)^2+('Inputs'!$B$8/2)^2)-(((92-43)*MAX('Inputs'!$B$33,'Inputs'!$B$29+'Inputs'!$B$31+'Inputs'!$B$32,'Inputs'!$B$30+'Inputs'!$B$31+'Inputs'!$B$32)/1000+'Inputs'!$B$21))/SQRT((((92-43)*MAX('Inputs'!$B$33,'Inputs'!$B$29+'Inputs'!$B$31+'Inputs'!$B$32,'Inputs'!$B$30+'Inputs'!$B$31+'Inputs'!$B$32)/1000+'Inputs'!$B$21))^2+('Inputs'!$B$8/2)^2)))-'Results'!B7*(1+'Inputs'!$B$24)*(0.5*((((92-43)*MAX('Inputs'!$B$33,'Inputs'!$B$29+'Inputs'!$B$31+'Inputs'!$B$32,'Inputs'!$B$30+'Inputs'!$B$31+'Inputs'!$B$32)/1000+'Inputs'!$B$21+'Inputs'!$B$9+'Inputs'!$B$10)+'Inputs'!$B$7)/SQRT((((92-43)*MAX('Inputs'!$B$33,'Inputs'!$B$29+'Inputs'!$B$31+'Inputs'!$B$32,'Inputs'!$B$30+'Inputs'!$B$31+'Inputs'!$B$32)/1000+'Inputs'!$B$21+'Inputs'!$B$9+'Inputs'!$B$10)+'Inputs'!$B$7)^2+('Inputs'!$B$6/2)^2)-(((92-43)*MAX('Inputs'!$B$33,'Inputs'!$B$29+'Inputs'!$B$31+'Inputs'!$B$32,'Inputs'!$B$30+'Inputs'!$B$31+'Inputs'!$B$32)/1000+'Inputs'!$B$21+'Inputs'!$B$9+'Inputs'!$B$10))/SQRT((((92-43)*MAX('Inputs'!$B$33,'Inputs'!$B$29+'Inputs'!$B$31+'Inputs'!$B$32,'Inputs'!$B$30+'Inputs'!$B$31+'Inputs'!$B$32)/1000+'Inputs'!$B$21+'Inputs'!$B$9+'Inputs'!$B$10))^2+('Inputs'!$B$6/2)^2))))*'Results'!$B$8)-'Inputs'!$B$28*ABS((('Results'!C7*(1-'Inputs'!$B$24)*(0.5*((((92-43)*MAX('Inputs'!$B$33,'Inputs'!$B$29+'Inputs'!$B$31+'Inputs'!$B$32,'Inputs'!$B$30+'Inputs'!$B$31+'Inputs'!$B$32)/1000+'Inputs'!$B$21)+'Inputs'!$B$9)/SQRT((((92-43)*MAX('Inputs'!$B$33,'Inputs'!$B$29+'Inputs'!$B$31+'Inputs'!$B$32,'Inputs'!$B$30+'Inputs'!$B$31+'Inputs'!$B$32)/1000+'Inputs'!$B$21)+'Inputs'!$B$9)^2+('Inputs'!$B$8/2)^2)-(((92-43)*MAX('Inputs'!$B$33,'Inputs'!$B$29+'Inputs'!$B$31+'Inputs'!$B$32,'Inputs'!$B$30+'Inputs'!$B$31+'Inputs'!$B$32)/1000+'Inputs'!$B$21))/SQRT((((92-43)*MAX('Inputs'!$B$33,'Inputs'!$B$29+'Inputs'!$B$31+'Inputs'!$B$32,'Inputs'!$B$30+'Inputs'!$B$31+'Inputs'!$B$32)/1000+'Inputs'!$B$21))^2+('Inputs'!$B$8/2)^2)))-'Results'!B7*(1+'Inputs'!$B$24)*(0.5*((((92-43)*MAX('Inputs'!$B$33,'Inputs'!$B$29+'Inputs'!$B$31+'Inputs'!$B$32,'Inputs'!$B$30+'Inputs'!$B$31+'Inputs'!$B$32)/1000+'Inputs'!$B$21+'Inputs'!$B$9+'Inputs'!$B$10)+'Inputs'!$B$7)/SQRT((((92-43)*MAX('Inputs'!$B$33,'Inputs'!$B$29+'Inputs'!$B$31+'Inputs'!$B$32,'Inputs'!$B$30+'Inputs'!$B$31+'Inputs'!$B$32)/1000+'Inputs'!$B$21+'Inputs'!$B$9+'Inputs'!$B$10)+'Inputs'!$B$7)^2+('Inputs'!$B$6/2)^2)-(((92-43)*MAX('Inputs'!$B$33,'Inputs'!$B$29+'Inputs'!$B$31+'Inputs'!$B$32,'Inputs'!$B$30+'Inputs'!$B$31+'Inputs'!$B$32)/1000+'Inputs'!$B$21+'Inputs'!$B$9+'Inputs'!$B$10))/SQRT((((92-43)*MAX('Inputs'!$B$33,'Inputs'!$B$29+'Inputs'!$B$31+'Inputs'!$B$32,'Inputs'!$B$30+'Inputs'!$B$31+'Inputs'!$B$32)/1000+'Inputs'!$B$21+'Inputs'!$B$9+'Inputs'!$B$10))^2+('Inputs'!$B$6/2)^2))))*'Results'!$B$8))),"")</x:f>
        <x:v>903.6472273160228</x:v>
      </x:c>
      <x:c r="O92" t="n">
        <x:f>IF(AND(ISNUMBER('Results'!C7),ISNUMBER('Results'!B7),ISNUMBER('Results'!$B$8),ISNUMBER('Inputs'!$B$6),ISNUMBER('Inputs'!$B$7),ISNUMBER('Inputs'!$B$8),ISNUMBER('Inputs'!$B$9),ISNUMBER('Inputs'!$B$10),ISNUMBER('Inputs'!$B$21),ISNUMBER('Inputs'!$B$24),ISNUMBER('Inputs'!$B$28)),((('Results'!C7*(1+'Inputs'!$B$24)*(0.5*((((92-43)*MAX('Inputs'!$B$33,'Inputs'!$B$29+'Inputs'!$B$31+'Inputs'!$B$32,'Inputs'!$B$30+'Inputs'!$B$31+'Inputs'!$B$32)/1000+'Inputs'!$B$21)+'Inputs'!$B$9)/SQRT((((92-43)*MAX('Inputs'!$B$33,'Inputs'!$B$29+'Inputs'!$B$31+'Inputs'!$B$32,'Inputs'!$B$30+'Inputs'!$B$31+'Inputs'!$B$32)/1000+'Inputs'!$B$21)+'Inputs'!$B$9)^2+('Inputs'!$B$8/2)^2)-(((92-43)*MAX('Inputs'!$B$33,'Inputs'!$B$29+'Inputs'!$B$31+'Inputs'!$B$32,'Inputs'!$B$30+'Inputs'!$B$31+'Inputs'!$B$32)/1000+'Inputs'!$B$21))/SQRT((((92-43)*MAX('Inputs'!$B$33,'Inputs'!$B$29+'Inputs'!$B$31+'Inputs'!$B$32,'Inputs'!$B$30+'Inputs'!$B$31+'Inputs'!$B$32)/1000+'Inputs'!$B$21))^2+('Inputs'!$B$8/2)^2)))-'Results'!B7*(1-'Inputs'!$B$24)*(0.5*((((92-43)*MAX('Inputs'!$B$33,'Inputs'!$B$29+'Inputs'!$B$31+'Inputs'!$B$32,'Inputs'!$B$30+'Inputs'!$B$31+'Inputs'!$B$32)/1000+'Inputs'!$B$21+'Inputs'!$B$9+'Inputs'!$B$10)+'Inputs'!$B$7)/SQRT((((92-43)*MAX('Inputs'!$B$33,'Inputs'!$B$29+'Inputs'!$B$31+'Inputs'!$B$32,'Inputs'!$B$30+'Inputs'!$B$31+'Inputs'!$B$32)/1000+'Inputs'!$B$21+'Inputs'!$B$9+'Inputs'!$B$10)+'Inputs'!$B$7)^2+('Inputs'!$B$6/2)^2)-(((92-43)*MAX('Inputs'!$B$33,'Inputs'!$B$29+'Inputs'!$B$31+'Inputs'!$B$32,'Inputs'!$B$30+'Inputs'!$B$31+'Inputs'!$B$32)/1000+'Inputs'!$B$21+'Inputs'!$B$9+'Inputs'!$B$10))/SQRT((((92-43)*MAX('Inputs'!$B$33,'Inputs'!$B$29+'Inputs'!$B$31+'Inputs'!$B$32,'Inputs'!$B$30+'Inputs'!$B$31+'Inputs'!$B$32)/1000+'Inputs'!$B$21+'Inputs'!$B$9+'Inputs'!$B$10))^2+('Inputs'!$B$6/2)^2))))*'Results'!$B$8)+'Inputs'!$B$28*ABS((('Results'!C7*(1+'Inputs'!$B$24)*(0.5*((((92-43)*MAX('Inputs'!$B$33,'Inputs'!$B$29+'Inputs'!$B$31+'Inputs'!$B$32,'Inputs'!$B$30+'Inputs'!$B$31+'Inputs'!$B$32)/1000+'Inputs'!$B$21)+'Inputs'!$B$9)/SQRT((((92-43)*MAX('Inputs'!$B$33,'Inputs'!$B$29+'Inputs'!$B$31+'Inputs'!$B$32,'Inputs'!$B$30+'Inputs'!$B$31+'Inputs'!$B$32)/1000+'Inputs'!$B$21)+'Inputs'!$B$9)^2+('Inputs'!$B$8/2)^2)-(((92-43)*MAX('Inputs'!$B$33,'Inputs'!$B$29+'Inputs'!$B$31+'Inputs'!$B$32,'Inputs'!$B$30+'Inputs'!$B$31+'Inputs'!$B$32)/1000+'Inputs'!$B$21))/SQRT((((92-43)*MAX('Inputs'!$B$33,'Inputs'!$B$29+'Inputs'!$B$31+'Inputs'!$B$32,'Inputs'!$B$30+'Inputs'!$B$31+'Inputs'!$B$32)/1000+'Inputs'!$B$21))^2+('Inputs'!$B$8/2)^2)))-'Results'!B7*(1-'Inputs'!$B$24)*(0.5*((((92-43)*MAX('Inputs'!$B$33,'Inputs'!$B$29+'Inputs'!$B$31+'Inputs'!$B$32,'Inputs'!$B$30+'Inputs'!$B$31+'Inputs'!$B$32)/1000+'Inputs'!$B$21+'Inputs'!$B$9+'Inputs'!$B$10)+'Inputs'!$B$7)/SQRT((((92-43)*MAX('Inputs'!$B$33,'Inputs'!$B$29+'Inputs'!$B$31+'Inputs'!$B$32,'Inputs'!$B$30+'Inputs'!$B$31+'Inputs'!$B$32)/1000+'Inputs'!$B$21+'Inputs'!$B$9+'Inputs'!$B$10)+'Inputs'!$B$7)^2+('Inputs'!$B$6/2)^2)-(((92-43)*MAX('Inputs'!$B$33,'Inputs'!$B$29+'Inputs'!$B$31+'Inputs'!$B$32,'Inputs'!$B$30+'Inputs'!$B$31+'Inputs'!$B$32)/1000+'Inputs'!$B$21+'Inputs'!$B$9+'Inputs'!$B$10))/SQRT((((92-43)*MAX('Inputs'!$B$33,'Inputs'!$B$29+'Inputs'!$B$31+'Inputs'!$B$32,'Inputs'!$B$30+'Inputs'!$B$31+'Inputs'!$B$32)/1000+'Inputs'!$B$21+'Inputs'!$B$9+'Inputs'!$B$10))^2+('Inputs'!$B$6/2)^2))))*'Results'!$B$8))),"")</x:f>
        <x:v>1054.0279184371864</x:v>
      </x:c>
      <x:c r="P92" t="n">
        <x:f>IF(AND(MAX(J92,J91)&gt;0,J92&gt;J91+0.00000001),1,0)</x:f>
        <x:v>0</x:v>
      </x:c>
      <x:c r="Q92" t="n">
        <x:f>IF(AND(MAX(K92,K91)&gt;0,K92&gt;K91+0.00000001),1,0)</x:f>
        <x:v>0</x:v>
      </x:c>
      <x:c r="R92" t="n">
        <x:f>IF(AND(MAX(L92,L91)&gt;0,L92&gt;L91+0.00000001),1,0)</x:f>
        <x:v>0</x:v>
      </x:c>
      <x:c r="S92" t="n">
        <x:f>IF(AND(MAX(M92,M91)&gt;0,M92&gt;M91+0.00000001),1,0)</x:f>
        <x:v>0</x:v>
      </x:c>
      <x:c r="T92" t="n">
        <x:f>IF(AND(MAX(N92,N91)&gt;0,N92&gt;N91+0.00000001),1,0)</x:f>
        <x:v>0</x:v>
      </x:c>
      <x:c r="U92" t="n">
        <x:f>IF(AND(MAX(O92,O91)&gt;0,O92&gt;O91+0.00000001),1,0)</x:f>
        <x:v>0</x:v>
      </x:c>
    </x:row>
    <x:row r="93">
      <x:c r="J93" t="n">
        <x:f>IF(AND(ISNUMBER('Results'!B7),ISNUMBER('Results'!C7),ISNUMBER('Results'!$B$8),ISNUMBER('Inputs'!$B$6),ISNUMBER('Inputs'!$B$7),ISNUMBER('Inputs'!$B$8),ISNUMBER('Inputs'!$B$9),ISNUMBER('Inputs'!$B$10),ISNUMBER('Inputs'!$B$21),ISNUMBER('Inputs'!$B$24),ISNUMBER('Inputs'!$B$28)),(('Results'!B7*(0.5*((((93-43)*MAX('Inputs'!$B$33,'Inputs'!$B$29+'Inputs'!$B$31+'Inputs'!$B$32,'Inputs'!$B$30+'Inputs'!$B$31+'Inputs'!$B$32)/1000+'Inputs'!$B$21)+'Inputs'!$B$7)/SQRT((((93-43)*MAX('Inputs'!$B$33,'Inputs'!$B$29+'Inputs'!$B$31+'Inputs'!$B$32,'Inputs'!$B$30+'Inputs'!$B$31+'Inputs'!$B$32)/1000+'Inputs'!$B$21)+'Inputs'!$B$7)^2+('Inputs'!$B$6/2)^2)-(((93-43)*MAX('Inputs'!$B$33,'Inputs'!$B$29+'Inputs'!$B$31+'Inputs'!$B$32,'Inputs'!$B$30+'Inputs'!$B$31+'Inputs'!$B$32)/1000+'Inputs'!$B$21))/SQRT((((93-43)*MAX('Inputs'!$B$33,'Inputs'!$B$29+'Inputs'!$B$31+'Inputs'!$B$32,'Inputs'!$B$30+'Inputs'!$B$31+'Inputs'!$B$32)/1000+'Inputs'!$B$21))^2+('Inputs'!$B$6/2)^2)))-'Results'!C7*(0.5*((((93-43)*MAX('Inputs'!$B$33,'Inputs'!$B$29+'Inputs'!$B$31+'Inputs'!$B$32,'Inputs'!$B$30+'Inputs'!$B$31+'Inputs'!$B$32)/1000+'Inputs'!$B$21+'Inputs'!$B$7+'Inputs'!$B$10)+'Inputs'!$B$9)/SQRT((((93-43)*MAX('Inputs'!$B$33,'Inputs'!$B$29+'Inputs'!$B$31+'Inputs'!$B$32,'Inputs'!$B$30+'Inputs'!$B$31+'Inputs'!$B$32)/1000+'Inputs'!$B$21+'Inputs'!$B$7+'Inputs'!$B$10)+'Inputs'!$B$9)^2+('Inputs'!$B$8/2)^2)-(((93-43)*MAX('Inputs'!$B$33,'Inputs'!$B$29+'Inputs'!$B$31+'Inputs'!$B$32,'Inputs'!$B$30+'Inputs'!$B$31+'Inputs'!$B$32)/1000+'Inputs'!$B$21+'Inputs'!$B$7+'Inputs'!$B$10))/SQRT((((93-43)*MAX('Inputs'!$B$33,'Inputs'!$B$29+'Inputs'!$B$31+'Inputs'!$B$32,'Inputs'!$B$30+'Inputs'!$B$31+'Inputs'!$B$32)/1000+'Inputs'!$B$21+'Inputs'!$B$7+'Inputs'!$B$10))^2+('Inputs'!$B$8/2)^2))))*'Results'!$B$8),"")</x:f>
        <x:v>985.3241778835321</x:v>
      </x:c>
      <x:c r="K93" t="n">
        <x:f>IF(AND(ISNUMBER('Results'!B7),ISNUMBER('Results'!C7),ISNUMBER('Results'!$B$8),ISNUMBER('Inputs'!$B$6),ISNUMBER('Inputs'!$B$7),ISNUMBER('Inputs'!$B$8),ISNUMBER('Inputs'!$B$9),ISNUMBER('Inputs'!$B$10),ISNUMBER('Inputs'!$B$21),ISNUMBER('Inputs'!$B$24),ISNUMBER('Inputs'!$B$28)),((('Results'!B7*(1-'Inputs'!$B$24)*(0.5*((((93-43)*MAX('Inputs'!$B$33,'Inputs'!$B$29+'Inputs'!$B$31+'Inputs'!$B$32,'Inputs'!$B$30+'Inputs'!$B$31+'Inputs'!$B$32)/1000+'Inputs'!$B$21)+'Inputs'!$B$7)/SQRT((((93-43)*MAX('Inputs'!$B$33,'Inputs'!$B$29+'Inputs'!$B$31+'Inputs'!$B$32,'Inputs'!$B$30+'Inputs'!$B$31+'Inputs'!$B$32)/1000+'Inputs'!$B$21)+'Inputs'!$B$7)^2+('Inputs'!$B$6/2)^2)-(((93-43)*MAX('Inputs'!$B$33,'Inputs'!$B$29+'Inputs'!$B$31+'Inputs'!$B$32,'Inputs'!$B$30+'Inputs'!$B$31+'Inputs'!$B$32)/1000+'Inputs'!$B$21))/SQRT((((93-43)*MAX('Inputs'!$B$33,'Inputs'!$B$29+'Inputs'!$B$31+'Inputs'!$B$32,'Inputs'!$B$30+'Inputs'!$B$31+'Inputs'!$B$32)/1000+'Inputs'!$B$21))^2+('Inputs'!$B$6/2)^2)))-'Results'!C7*(1+'Inputs'!$B$24)*(0.5*((((93-43)*MAX('Inputs'!$B$33,'Inputs'!$B$29+'Inputs'!$B$31+'Inputs'!$B$32,'Inputs'!$B$30+'Inputs'!$B$31+'Inputs'!$B$32)/1000+'Inputs'!$B$21+'Inputs'!$B$7+'Inputs'!$B$10)+'Inputs'!$B$9)/SQRT((((93-43)*MAX('Inputs'!$B$33,'Inputs'!$B$29+'Inputs'!$B$31+'Inputs'!$B$32,'Inputs'!$B$30+'Inputs'!$B$31+'Inputs'!$B$32)/1000+'Inputs'!$B$21+'Inputs'!$B$7+'Inputs'!$B$10)+'Inputs'!$B$9)^2+('Inputs'!$B$8/2)^2)-(((93-43)*MAX('Inputs'!$B$33,'Inputs'!$B$29+'Inputs'!$B$31+'Inputs'!$B$32,'Inputs'!$B$30+'Inputs'!$B$31+'Inputs'!$B$32)/1000+'Inputs'!$B$21+'Inputs'!$B$7+'Inputs'!$B$10))/SQRT((((93-43)*MAX('Inputs'!$B$33,'Inputs'!$B$29+'Inputs'!$B$31+'Inputs'!$B$32,'Inputs'!$B$30+'Inputs'!$B$31+'Inputs'!$B$32)/1000+'Inputs'!$B$21+'Inputs'!$B$7+'Inputs'!$B$10))^2+('Inputs'!$B$8/2)^2))))*'Results'!$B$8)-'Inputs'!$B$28*ABS((('Results'!B7*(1-'Inputs'!$B$24)*(0.5*((((93-43)*MAX('Inputs'!$B$33,'Inputs'!$B$29+'Inputs'!$B$31+'Inputs'!$B$32,'Inputs'!$B$30+'Inputs'!$B$31+'Inputs'!$B$32)/1000+'Inputs'!$B$21)+'Inputs'!$B$7)/SQRT((((93-43)*MAX('Inputs'!$B$33,'Inputs'!$B$29+'Inputs'!$B$31+'Inputs'!$B$32,'Inputs'!$B$30+'Inputs'!$B$31+'Inputs'!$B$32)/1000+'Inputs'!$B$21)+'Inputs'!$B$7)^2+('Inputs'!$B$6/2)^2)-(((93-43)*MAX('Inputs'!$B$33,'Inputs'!$B$29+'Inputs'!$B$31+'Inputs'!$B$32,'Inputs'!$B$30+'Inputs'!$B$31+'Inputs'!$B$32)/1000+'Inputs'!$B$21))/SQRT((((93-43)*MAX('Inputs'!$B$33,'Inputs'!$B$29+'Inputs'!$B$31+'Inputs'!$B$32,'Inputs'!$B$30+'Inputs'!$B$31+'Inputs'!$B$32)/1000+'Inputs'!$B$21))^2+('Inputs'!$B$6/2)^2)))-'Results'!C7*(1+'Inputs'!$B$24)*(0.5*((((93-43)*MAX('Inputs'!$B$33,'Inputs'!$B$29+'Inputs'!$B$31+'Inputs'!$B$32,'Inputs'!$B$30+'Inputs'!$B$31+'Inputs'!$B$32)/1000+'Inputs'!$B$21+'Inputs'!$B$7+'Inputs'!$B$10)+'Inputs'!$B$9)/SQRT((((93-43)*MAX('Inputs'!$B$33,'Inputs'!$B$29+'Inputs'!$B$31+'Inputs'!$B$32,'Inputs'!$B$30+'Inputs'!$B$31+'Inputs'!$B$32)/1000+'Inputs'!$B$21+'Inputs'!$B$7+'Inputs'!$B$10)+'Inputs'!$B$9)^2+('Inputs'!$B$8/2)^2)-(((93-43)*MAX('Inputs'!$B$33,'Inputs'!$B$29+'Inputs'!$B$31+'Inputs'!$B$32,'Inputs'!$B$30+'Inputs'!$B$31+'Inputs'!$B$32)/1000+'Inputs'!$B$21+'Inputs'!$B$7+'Inputs'!$B$10))/SQRT((((93-43)*MAX('Inputs'!$B$33,'Inputs'!$B$29+'Inputs'!$B$31+'Inputs'!$B$32,'Inputs'!$B$30+'Inputs'!$B$31+'Inputs'!$B$32)/1000+'Inputs'!$B$21+'Inputs'!$B$7+'Inputs'!$B$10))^2+('Inputs'!$B$8/2)^2))))*'Results'!$B$8))),"")</x:f>
        <x:v>911.1263346638239</x:v>
      </x:c>
      <x:c r="L93" t="n">
        <x:f>IF(AND(ISNUMBER('Results'!B7),ISNUMBER('Results'!C7),ISNUMBER('Results'!$B$8),ISNUMBER('Inputs'!$B$6),ISNUMBER('Inputs'!$B$7),ISNUMBER('Inputs'!$B$8),ISNUMBER('Inputs'!$B$9),ISNUMBER('Inputs'!$B$10),ISNUMBER('Inputs'!$B$21),ISNUMBER('Inputs'!$B$24),ISNUMBER('Inputs'!$B$28)),((('Results'!B7*(1+'Inputs'!$B$24)*(0.5*((((93-43)*MAX('Inputs'!$B$33,'Inputs'!$B$29+'Inputs'!$B$31+'Inputs'!$B$32,'Inputs'!$B$30+'Inputs'!$B$31+'Inputs'!$B$32)/1000+'Inputs'!$B$21)+'Inputs'!$B$7)/SQRT((((93-43)*MAX('Inputs'!$B$33,'Inputs'!$B$29+'Inputs'!$B$31+'Inputs'!$B$32,'Inputs'!$B$30+'Inputs'!$B$31+'Inputs'!$B$32)/1000+'Inputs'!$B$21)+'Inputs'!$B$7)^2+('Inputs'!$B$6/2)^2)-(((93-43)*MAX('Inputs'!$B$33,'Inputs'!$B$29+'Inputs'!$B$31+'Inputs'!$B$32,'Inputs'!$B$30+'Inputs'!$B$31+'Inputs'!$B$32)/1000+'Inputs'!$B$21))/SQRT((((93-43)*MAX('Inputs'!$B$33,'Inputs'!$B$29+'Inputs'!$B$31+'Inputs'!$B$32,'Inputs'!$B$30+'Inputs'!$B$31+'Inputs'!$B$32)/1000+'Inputs'!$B$21))^2+('Inputs'!$B$6/2)^2)))-'Results'!C7*(1-'Inputs'!$B$24)*(0.5*((((93-43)*MAX('Inputs'!$B$33,'Inputs'!$B$29+'Inputs'!$B$31+'Inputs'!$B$32,'Inputs'!$B$30+'Inputs'!$B$31+'Inputs'!$B$32)/1000+'Inputs'!$B$21+'Inputs'!$B$7+'Inputs'!$B$10)+'Inputs'!$B$9)/SQRT((((93-43)*MAX('Inputs'!$B$33,'Inputs'!$B$29+'Inputs'!$B$31+'Inputs'!$B$32,'Inputs'!$B$30+'Inputs'!$B$31+'Inputs'!$B$32)/1000+'Inputs'!$B$21+'Inputs'!$B$7+'Inputs'!$B$10)+'Inputs'!$B$9)^2+('Inputs'!$B$8/2)^2)-(((93-43)*MAX('Inputs'!$B$33,'Inputs'!$B$29+'Inputs'!$B$31+'Inputs'!$B$32,'Inputs'!$B$30+'Inputs'!$B$31+'Inputs'!$B$32)/1000+'Inputs'!$B$21+'Inputs'!$B$7+'Inputs'!$B$10))/SQRT((((93-43)*MAX('Inputs'!$B$33,'Inputs'!$B$29+'Inputs'!$B$31+'Inputs'!$B$32,'Inputs'!$B$30+'Inputs'!$B$31+'Inputs'!$B$32)/1000+'Inputs'!$B$21+'Inputs'!$B$7+'Inputs'!$B$10))^2+('Inputs'!$B$8/2)^2))))*'Results'!$B$8)+'Inputs'!$B$28*ABS((('Results'!B7*(1+'Inputs'!$B$24)*(0.5*((((93-43)*MAX('Inputs'!$B$33,'Inputs'!$B$29+'Inputs'!$B$31+'Inputs'!$B$32,'Inputs'!$B$30+'Inputs'!$B$31+'Inputs'!$B$32)/1000+'Inputs'!$B$21)+'Inputs'!$B$7)/SQRT((((93-43)*MAX('Inputs'!$B$33,'Inputs'!$B$29+'Inputs'!$B$31+'Inputs'!$B$32,'Inputs'!$B$30+'Inputs'!$B$31+'Inputs'!$B$32)/1000+'Inputs'!$B$21)+'Inputs'!$B$7)^2+('Inputs'!$B$6/2)^2)-(((93-43)*MAX('Inputs'!$B$33,'Inputs'!$B$29+'Inputs'!$B$31+'Inputs'!$B$32,'Inputs'!$B$30+'Inputs'!$B$31+'Inputs'!$B$32)/1000+'Inputs'!$B$21))/SQRT((((93-43)*MAX('Inputs'!$B$33,'Inputs'!$B$29+'Inputs'!$B$31+'Inputs'!$B$32,'Inputs'!$B$30+'Inputs'!$B$31+'Inputs'!$B$32)/1000+'Inputs'!$B$21))^2+('Inputs'!$B$6/2)^2)))-'Results'!C7*(1-'Inputs'!$B$24)*(0.5*((((93-43)*MAX('Inputs'!$B$33,'Inputs'!$B$29+'Inputs'!$B$31+'Inputs'!$B$32,'Inputs'!$B$30+'Inputs'!$B$31+'Inputs'!$B$32)/1000+'Inputs'!$B$21+'Inputs'!$B$7+'Inputs'!$B$10)+'Inputs'!$B$9)/SQRT((((93-43)*MAX('Inputs'!$B$33,'Inputs'!$B$29+'Inputs'!$B$31+'Inputs'!$B$32,'Inputs'!$B$30+'Inputs'!$B$31+'Inputs'!$B$32)/1000+'Inputs'!$B$21+'Inputs'!$B$7+'Inputs'!$B$10)+'Inputs'!$B$9)^2+('Inputs'!$B$8/2)^2)-(((93-43)*MAX('Inputs'!$B$33,'Inputs'!$B$29+'Inputs'!$B$31+'Inputs'!$B$32,'Inputs'!$B$30+'Inputs'!$B$31+'Inputs'!$B$32)/1000+'Inputs'!$B$21+'Inputs'!$B$7+'Inputs'!$B$10))/SQRT((((93-43)*MAX('Inputs'!$B$33,'Inputs'!$B$29+'Inputs'!$B$31+'Inputs'!$B$32,'Inputs'!$B$30+'Inputs'!$B$31+'Inputs'!$B$32)/1000+'Inputs'!$B$21+'Inputs'!$B$7+'Inputs'!$B$10))^2+('Inputs'!$B$8/2)^2))))*'Results'!$B$8))),"")</x:f>
        <x:v>1062.1464036638229</x:v>
      </x:c>
      <x:c r="M93" t="n">
        <x:f>IF(AND(ISNUMBER('Results'!C7),ISNUMBER('Results'!B7),ISNUMBER('Results'!$B$8),ISNUMBER('Inputs'!$B$6),ISNUMBER('Inputs'!$B$7),ISNUMBER('Inputs'!$B$8),ISNUMBER('Inputs'!$B$9),ISNUMBER('Inputs'!$B$10),ISNUMBER('Inputs'!$B$21),ISNUMBER('Inputs'!$B$24),ISNUMBER('Inputs'!$B$28)),(('Results'!C7*(0.5*((((93-43)*MAX('Inputs'!$B$33,'Inputs'!$B$29+'Inputs'!$B$31+'Inputs'!$B$32,'Inputs'!$B$30+'Inputs'!$B$31+'Inputs'!$B$32)/1000+'Inputs'!$B$21)+'Inputs'!$B$9)/SQRT((((93-43)*MAX('Inputs'!$B$33,'Inputs'!$B$29+'Inputs'!$B$31+'Inputs'!$B$32,'Inputs'!$B$30+'Inputs'!$B$31+'Inputs'!$B$32)/1000+'Inputs'!$B$21)+'Inputs'!$B$9)^2+('Inputs'!$B$8/2)^2)-(((93-43)*MAX('Inputs'!$B$33,'Inputs'!$B$29+'Inputs'!$B$31+'Inputs'!$B$32,'Inputs'!$B$30+'Inputs'!$B$31+'Inputs'!$B$32)/1000+'Inputs'!$B$21))/SQRT((((93-43)*MAX('Inputs'!$B$33,'Inputs'!$B$29+'Inputs'!$B$31+'Inputs'!$B$32,'Inputs'!$B$30+'Inputs'!$B$31+'Inputs'!$B$32)/1000+'Inputs'!$B$21))^2+('Inputs'!$B$8/2)^2)))-'Results'!B7*(0.5*((((93-43)*MAX('Inputs'!$B$33,'Inputs'!$B$29+'Inputs'!$B$31+'Inputs'!$B$32,'Inputs'!$B$30+'Inputs'!$B$31+'Inputs'!$B$32)/1000+'Inputs'!$B$21+'Inputs'!$B$9+'Inputs'!$B$10)+'Inputs'!$B$7)/SQRT((((93-43)*MAX('Inputs'!$B$33,'Inputs'!$B$29+'Inputs'!$B$31+'Inputs'!$B$32,'Inputs'!$B$30+'Inputs'!$B$31+'Inputs'!$B$32)/1000+'Inputs'!$B$21+'Inputs'!$B$9+'Inputs'!$B$10)+'Inputs'!$B$7)^2+('Inputs'!$B$6/2)^2)-(((93-43)*MAX('Inputs'!$B$33,'Inputs'!$B$29+'Inputs'!$B$31+'Inputs'!$B$32,'Inputs'!$B$30+'Inputs'!$B$31+'Inputs'!$B$32)/1000+'Inputs'!$B$21+'Inputs'!$B$9+'Inputs'!$B$10))/SQRT((((93-43)*MAX('Inputs'!$B$33,'Inputs'!$B$29+'Inputs'!$B$31+'Inputs'!$B$32,'Inputs'!$B$30+'Inputs'!$B$31+'Inputs'!$B$32)/1000+'Inputs'!$B$21+'Inputs'!$B$9+'Inputs'!$B$10))^2+('Inputs'!$B$6/2)^2))))*'Results'!$B$8),"")</x:f>
        <x:v>959.0136447057895</x:v>
      </x:c>
      <x:c r="N93" t="n">
        <x:f>IF(AND(ISNUMBER('Results'!C7),ISNUMBER('Results'!B7),ISNUMBER('Results'!$B$8),ISNUMBER('Inputs'!$B$6),ISNUMBER('Inputs'!$B$7),ISNUMBER('Inputs'!$B$8),ISNUMBER('Inputs'!$B$9),ISNUMBER('Inputs'!$B$10),ISNUMBER('Inputs'!$B$21),ISNUMBER('Inputs'!$B$24),ISNUMBER('Inputs'!$B$28)),((('Results'!C7*(1-'Inputs'!$B$24)*(0.5*((((93-43)*MAX('Inputs'!$B$33,'Inputs'!$B$29+'Inputs'!$B$31+'Inputs'!$B$32,'Inputs'!$B$30+'Inputs'!$B$31+'Inputs'!$B$32)/1000+'Inputs'!$B$21)+'Inputs'!$B$9)/SQRT((((93-43)*MAX('Inputs'!$B$33,'Inputs'!$B$29+'Inputs'!$B$31+'Inputs'!$B$32,'Inputs'!$B$30+'Inputs'!$B$31+'Inputs'!$B$32)/1000+'Inputs'!$B$21)+'Inputs'!$B$9)^2+('Inputs'!$B$8/2)^2)-(((93-43)*MAX('Inputs'!$B$33,'Inputs'!$B$29+'Inputs'!$B$31+'Inputs'!$B$32,'Inputs'!$B$30+'Inputs'!$B$31+'Inputs'!$B$32)/1000+'Inputs'!$B$21))/SQRT((((93-43)*MAX('Inputs'!$B$33,'Inputs'!$B$29+'Inputs'!$B$31+'Inputs'!$B$32,'Inputs'!$B$30+'Inputs'!$B$31+'Inputs'!$B$32)/1000+'Inputs'!$B$21))^2+('Inputs'!$B$8/2)^2)))-'Results'!B7*(1+'Inputs'!$B$24)*(0.5*((((93-43)*MAX('Inputs'!$B$33,'Inputs'!$B$29+'Inputs'!$B$31+'Inputs'!$B$32,'Inputs'!$B$30+'Inputs'!$B$31+'Inputs'!$B$32)/1000+'Inputs'!$B$21+'Inputs'!$B$9+'Inputs'!$B$10)+'Inputs'!$B$7)/SQRT((((93-43)*MAX('Inputs'!$B$33,'Inputs'!$B$29+'Inputs'!$B$31+'Inputs'!$B$32,'Inputs'!$B$30+'Inputs'!$B$31+'Inputs'!$B$32)/1000+'Inputs'!$B$21+'Inputs'!$B$9+'Inputs'!$B$10)+'Inputs'!$B$7)^2+('Inputs'!$B$6/2)^2)-(((93-43)*MAX('Inputs'!$B$33,'Inputs'!$B$29+'Inputs'!$B$31+'Inputs'!$B$32,'Inputs'!$B$30+'Inputs'!$B$31+'Inputs'!$B$32)/1000+'Inputs'!$B$21+'Inputs'!$B$9+'Inputs'!$B$10))/SQRT((((93-43)*MAX('Inputs'!$B$33,'Inputs'!$B$29+'Inputs'!$B$31+'Inputs'!$B$32,'Inputs'!$B$30+'Inputs'!$B$31+'Inputs'!$B$32)/1000+'Inputs'!$B$21+'Inputs'!$B$9+'Inputs'!$B$10))^2+('Inputs'!$B$6/2)^2))))*'Results'!$B$8)-'Inputs'!$B$28*ABS((('Results'!C7*(1-'Inputs'!$B$24)*(0.5*((((93-43)*MAX('Inputs'!$B$33,'Inputs'!$B$29+'Inputs'!$B$31+'Inputs'!$B$32,'Inputs'!$B$30+'Inputs'!$B$31+'Inputs'!$B$32)/1000+'Inputs'!$B$21)+'Inputs'!$B$9)/SQRT((((93-43)*MAX('Inputs'!$B$33,'Inputs'!$B$29+'Inputs'!$B$31+'Inputs'!$B$32,'Inputs'!$B$30+'Inputs'!$B$31+'Inputs'!$B$32)/1000+'Inputs'!$B$21)+'Inputs'!$B$9)^2+('Inputs'!$B$8/2)^2)-(((93-43)*MAX('Inputs'!$B$33,'Inputs'!$B$29+'Inputs'!$B$31+'Inputs'!$B$32,'Inputs'!$B$30+'Inputs'!$B$31+'Inputs'!$B$32)/1000+'Inputs'!$B$21))/SQRT((((93-43)*MAX('Inputs'!$B$33,'Inputs'!$B$29+'Inputs'!$B$31+'Inputs'!$B$32,'Inputs'!$B$30+'Inputs'!$B$31+'Inputs'!$B$32)/1000+'Inputs'!$B$21))^2+('Inputs'!$B$8/2)^2)))-'Results'!B7*(1+'Inputs'!$B$24)*(0.5*((((93-43)*MAX('Inputs'!$B$33,'Inputs'!$B$29+'Inputs'!$B$31+'Inputs'!$B$32,'Inputs'!$B$30+'Inputs'!$B$31+'Inputs'!$B$32)/1000+'Inputs'!$B$21+'Inputs'!$B$9+'Inputs'!$B$10)+'Inputs'!$B$7)/SQRT((((93-43)*MAX('Inputs'!$B$33,'Inputs'!$B$29+'Inputs'!$B$31+'Inputs'!$B$32,'Inputs'!$B$30+'Inputs'!$B$31+'Inputs'!$B$32)/1000+'Inputs'!$B$21+'Inputs'!$B$9+'Inputs'!$B$10)+'Inputs'!$B$7)^2+('Inputs'!$B$6/2)^2)-(((93-43)*MAX('Inputs'!$B$33,'Inputs'!$B$29+'Inputs'!$B$31+'Inputs'!$B$32,'Inputs'!$B$30+'Inputs'!$B$31+'Inputs'!$B$32)/1000+'Inputs'!$B$21+'Inputs'!$B$9+'Inputs'!$B$10))/SQRT((((93-43)*MAX('Inputs'!$B$33,'Inputs'!$B$29+'Inputs'!$B$31+'Inputs'!$B$32,'Inputs'!$B$30+'Inputs'!$B$31+'Inputs'!$B$32)/1000+'Inputs'!$B$21+'Inputs'!$B$9+'Inputs'!$B$10))^2+('Inputs'!$B$6/2)^2))))*'Results'!$B$8))),"")</x:f>
        <x:v>886.5044838886976</x:v>
      </x:c>
      <x:c r="O93" t="n">
        <x:f>IF(AND(ISNUMBER('Results'!C7),ISNUMBER('Results'!B7),ISNUMBER('Results'!$B$8),ISNUMBER('Inputs'!$B$6),ISNUMBER('Inputs'!$B$7),ISNUMBER('Inputs'!$B$8),ISNUMBER('Inputs'!$B$9),ISNUMBER('Inputs'!$B$10),ISNUMBER('Inputs'!$B$21),ISNUMBER('Inputs'!$B$24),ISNUMBER('Inputs'!$B$28)),((('Results'!C7*(1+'Inputs'!$B$24)*(0.5*((((93-43)*MAX('Inputs'!$B$33,'Inputs'!$B$29+'Inputs'!$B$31+'Inputs'!$B$32,'Inputs'!$B$30+'Inputs'!$B$31+'Inputs'!$B$32)/1000+'Inputs'!$B$21)+'Inputs'!$B$9)/SQRT((((93-43)*MAX('Inputs'!$B$33,'Inputs'!$B$29+'Inputs'!$B$31+'Inputs'!$B$32,'Inputs'!$B$30+'Inputs'!$B$31+'Inputs'!$B$32)/1000+'Inputs'!$B$21)+'Inputs'!$B$9)^2+('Inputs'!$B$8/2)^2)-(((93-43)*MAX('Inputs'!$B$33,'Inputs'!$B$29+'Inputs'!$B$31+'Inputs'!$B$32,'Inputs'!$B$30+'Inputs'!$B$31+'Inputs'!$B$32)/1000+'Inputs'!$B$21))/SQRT((((93-43)*MAX('Inputs'!$B$33,'Inputs'!$B$29+'Inputs'!$B$31+'Inputs'!$B$32,'Inputs'!$B$30+'Inputs'!$B$31+'Inputs'!$B$32)/1000+'Inputs'!$B$21))^2+('Inputs'!$B$8/2)^2)))-'Results'!B7*(1-'Inputs'!$B$24)*(0.5*((((93-43)*MAX('Inputs'!$B$33,'Inputs'!$B$29+'Inputs'!$B$31+'Inputs'!$B$32,'Inputs'!$B$30+'Inputs'!$B$31+'Inputs'!$B$32)/1000+'Inputs'!$B$21+'Inputs'!$B$9+'Inputs'!$B$10)+'Inputs'!$B$7)/SQRT((((93-43)*MAX('Inputs'!$B$33,'Inputs'!$B$29+'Inputs'!$B$31+'Inputs'!$B$32,'Inputs'!$B$30+'Inputs'!$B$31+'Inputs'!$B$32)/1000+'Inputs'!$B$21+'Inputs'!$B$9+'Inputs'!$B$10)+'Inputs'!$B$7)^2+('Inputs'!$B$6/2)^2)-(((93-43)*MAX('Inputs'!$B$33,'Inputs'!$B$29+'Inputs'!$B$31+'Inputs'!$B$32,'Inputs'!$B$30+'Inputs'!$B$31+'Inputs'!$B$32)/1000+'Inputs'!$B$21+'Inputs'!$B$9+'Inputs'!$B$10))/SQRT((((93-43)*MAX('Inputs'!$B$33,'Inputs'!$B$29+'Inputs'!$B$31+'Inputs'!$B$32,'Inputs'!$B$30+'Inputs'!$B$31+'Inputs'!$B$32)/1000+'Inputs'!$B$21+'Inputs'!$B$9+'Inputs'!$B$10))^2+('Inputs'!$B$6/2)^2))))*'Results'!$B$8)+'Inputs'!$B$28*ABS((('Results'!C7*(1+'Inputs'!$B$24)*(0.5*((((93-43)*MAX('Inputs'!$B$33,'Inputs'!$B$29+'Inputs'!$B$31+'Inputs'!$B$32,'Inputs'!$B$30+'Inputs'!$B$31+'Inputs'!$B$32)/1000+'Inputs'!$B$21)+'Inputs'!$B$9)/SQRT((((93-43)*MAX('Inputs'!$B$33,'Inputs'!$B$29+'Inputs'!$B$31+'Inputs'!$B$32,'Inputs'!$B$30+'Inputs'!$B$31+'Inputs'!$B$32)/1000+'Inputs'!$B$21)+'Inputs'!$B$9)^2+('Inputs'!$B$8/2)^2)-(((93-43)*MAX('Inputs'!$B$33,'Inputs'!$B$29+'Inputs'!$B$31+'Inputs'!$B$32,'Inputs'!$B$30+'Inputs'!$B$31+'Inputs'!$B$32)/1000+'Inputs'!$B$21))/SQRT((((93-43)*MAX('Inputs'!$B$33,'Inputs'!$B$29+'Inputs'!$B$31+'Inputs'!$B$32,'Inputs'!$B$30+'Inputs'!$B$31+'Inputs'!$B$32)/1000+'Inputs'!$B$21))^2+('Inputs'!$B$8/2)^2)))-'Results'!B7*(1-'Inputs'!$B$24)*(0.5*((((93-43)*MAX('Inputs'!$B$33,'Inputs'!$B$29+'Inputs'!$B$31+'Inputs'!$B$32,'Inputs'!$B$30+'Inputs'!$B$31+'Inputs'!$B$32)/1000+'Inputs'!$B$21+'Inputs'!$B$9+'Inputs'!$B$10)+'Inputs'!$B$7)/SQRT((((93-43)*MAX('Inputs'!$B$33,'Inputs'!$B$29+'Inputs'!$B$31+'Inputs'!$B$32,'Inputs'!$B$30+'Inputs'!$B$31+'Inputs'!$B$32)/1000+'Inputs'!$B$21+'Inputs'!$B$9+'Inputs'!$B$10)+'Inputs'!$B$7)^2+('Inputs'!$B$6/2)^2)-(((93-43)*MAX('Inputs'!$B$33,'Inputs'!$B$29+'Inputs'!$B$31+'Inputs'!$B$32,'Inputs'!$B$30+'Inputs'!$B$31+'Inputs'!$B$32)/1000+'Inputs'!$B$21+'Inputs'!$B$9+'Inputs'!$B$10))/SQRT((((93-43)*MAX('Inputs'!$B$33,'Inputs'!$B$29+'Inputs'!$B$31+'Inputs'!$B$32,'Inputs'!$B$30+'Inputs'!$B$31+'Inputs'!$B$32)/1000+'Inputs'!$B$21+'Inputs'!$B$9+'Inputs'!$B$10))^2+('Inputs'!$B$6/2)^2))))*'Results'!$B$8))),"")</x:f>
        <x:v>1034.1079085314925</x:v>
      </x:c>
      <x:c r="P93" t="n">
        <x:f>IF(AND(MAX(J93,J92)&gt;0,J93&gt;J92+0.00000001),1,0)</x:f>
        <x:v>0</x:v>
      </x:c>
      <x:c r="Q93" t="n">
        <x:f>IF(AND(MAX(K93,K92)&gt;0,K93&gt;K92+0.00000001),1,0)</x:f>
        <x:v>0</x:v>
      </x:c>
      <x:c r="R93" t="n">
        <x:f>IF(AND(MAX(L93,L92)&gt;0,L93&gt;L92+0.00000001),1,0)</x:f>
        <x:v>0</x:v>
      </x:c>
      <x:c r="S93" t="n">
        <x:f>IF(AND(MAX(M93,M92)&gt;0,M93&gt;M92+0.00000001),1,0)</x:f>
        <x:v>0</x:v>
      </x:c>
      <x:c r="T93" t="n">
        <x:f>IF(AND(MAX(N93,N92)&gt;0,N93&gt;N92+0.00000001),1,0)</x:f>
        <x:v>0</x:v>
      </x:c>
      <x:c r="U93" t="n">
        <x:f>IF(AND(MAX(O93,O92)&gt;0,O93&gt;O92+0.00000001),1,0)</x:f>
        <x:v>0</x:v>
      </x:c>
    </x:row>
    <x:row r="94">
      <x:c r="J94" t="n">
        <x:f>IF(AND(ISNUMBER('Results'!B7),ISNUMBER('Results'!C7),ISNUMBER('Results'!$B$8),ISNUMBER('Inputs'!$B$6),ISNUMBER('Inputs'!$B$7),ISNUMBER('Inputs'!$B$8),ISNUMBER('Inputs'!$B$9),ISNUMBER('Inputs'!$B$10),ISNUMBER('Inputs'!$B$21),ISNUMBER('Inputs'!$B$24),ISNUMBER('Inputs'!$B$28)),(('Results'!B7*(0.5*((((94-43)*MAX('Inputs'!$B$33,'Inputs'!$B$29+'Inputs'!$B$31+'Inputs'!$B$32,'Inputs'!$B$30+'Inputs'!$B$31+'Inputs'!$B$32)/1000+'Inputs'!$B$21)+'Inputs'!$B$7)/SQRT((((94-43)*MAX('Inputs'!$B$33,'Inputs'!$B$29+'Inputs'!$B$31+'Inputs'!$B$32,'Inputs'!$B$30+'Inputs'!$B$31+'Inputs'!$B$32)/1000+'Inputs'!$B$21)+'Inputs'!$B$7)^2+('Inputs'!$B$6/2)^2)-(((94-43)*MAX('Inputs'!$B$33,'Inputs'!$B$29+'Inputs'!$B$31+'Inputs'!$B$32,'Inputs'!$B$30+'Inputs'!$B$31+'Inputs'!$B$32)/1000+'Inputs'!$B$21))/SQRT((((94-43)*MAX('Inputs'!$B$33,'Inputs'!$B$29+'Inputs'!$B$31+'Inputs'!$B$32,'Inputs'!$B$30+'Inputs'!$B$31+'Inputs'!$B$32)/1000+'Inputs'!$B$21))^2+('Inputs'!$B$6/2)^2)))-'Results'!C7*(0.5*((((94-43)*MAX('Inputs'!$B$33,'Inputs'!$B$29+'Inputs'!$B$31+'Inputs'!$B$32,'Inputs'!$B$30+'Inputs'!$B$31+'Inputs'!$B$32)/1000+'Inputs'!$B$21+'Inputs'!$B$7+'Inputs'!$B$10)+'Inputs'!$B$9)/SQRT((((94-43)*MAX('Inputs'!$B$33,'Inputs'!$B$29+'Inputs'!$B$31+'Inputs'!$B$32,'Inputs'!$B$30+'Inputs'!$B$31+'Inputs'!$B$32)/1000+'Inputs'!$B$21+'Inputs'!$B$7+'Inputs'!$B$10)+'Inputs'!$B$9)^2+('Inputs'!$B$8/2)^2)-(((94-43)*MAX('Inputs'!$B$33,'Inputs'!$B$29+'Inputs'!$B$31+'Inputs'!$B$32,'Inputs'!$B$30+'Inputs'!$B$31+'Inputs'!$B$32)/1000+'Inputs'!$B$21+'Inputs'!$B$7+'Inputs'!$B$10))/SQRT((((94-43)*MAX('Inputs'!$B$33,'Inputs'!$B$29+'Inputs'!$B$31+'Inputs'!$B$32,'Inputs'!$B$30+'Inputs'!$B$31+'Inputs'!$B$32)/1000+'Inputs'!$B$21+'Inputs'!$B$7+'Inputs'!$B$10))^2+('Inputs'!$B$8/2)^2))))*'Results'!$B$8),"")</x:f>
        <x:v>966.6306268202119</x:v>
      </x:c>
      <x:c r="K94" t="n">
        <x:f>IF(AND(ISNUMBER('Results'!B7),ISNUMBER('Results'!C7),ISNUMBER('Results'!$B$8),ISNUMBER('Inputs'!$B$6),ISNUMBER('Inputs'!$B$7),ISNUMBER('Inputs'!$B$8),ISNUMBER('Inputs'!$B$9),ISNUMBER('Inputs'!$B$10),ISNUMBER('Inputs'!$B$21),ISNUMBER('Inputs'!$B$24),ISNUMBER('Inputs'!$B$28)),((('Results'!B7*(1-'Inputs'!$B$24)*(0.5*((((94-43)*MAX('Inputs'!$B$33,'Inputs'!$B$29+'Inputs'!$B$31+'Inputs'!$B$32,'Inputs'!$B$30+'Inputs'!$B$31+'Inputs'!$B$32)/1000+'Inputs'!$B$21)+'Inputs'!$B$7)/SQRT((((94-43)*MAX('Inputs'!$B$33,'Inputs'!$B$29+'Inputs'!$B$31+'Inputs'!$B$32,'Inputs'!$B$30+'Inputs'!$B$31+'Inputs'!$B$32)/1000+'Inputs'!$B$21)+'Inputs'!$B$7)^2+('Inputs'!$B$6/2)^2)-(((94-43)*MAX('Inputs'!$B$33,'Inputs'!$B$29+'Inputs'!$B$31+'Inputs'!$B$32,'Inputs'!$B$30+'Inputs'!$B$31+'Inputs'!$B$32)/1000+'Inputs'!$B$21))/SQRT((((94-43)*MAX('Inputs'!$B$33,'Inputs'!$B$29+'Inputs'!$B$31+'Inputs'!$B$32,'Inputs'!$B$30+'Inputs'!$B$31+'Inputs'!$B$32)/1000+'Inputs'!$B$21))^2+('Inputs'!$B$6/2)^2)))-'Results'!C7*(1+'Inputs'!$B$24)*(0.5*((((94-43)*MAX('Inputs'!$B$33,'Inputs'!$B$29+'Inputs'!$B$31+'Inputs'!$B$32,'Inputs'!$B$30+'Inputs'!$B$31+'Inputs'!$B$32)/1000+'Inputs'!$B$21+'Inputs'!$B$7+'Inputs'!$B$10)+'Inputs'!$B$9)/SQRT((((94-43)*MAX('Inputs'!$B$33,'Inputs'!$B$29+'Inputs'!$B$31+'Inputs'!$B$32,'Inputs'!$B$30+'Inputs'!$B$31+'Inputs'!$B$32)/1000+'Inputs'!$B$21+'Inputs'!$B$7+'Inputs'!$B$10)+'Inputs'!$B$9)^2+('Inputs'!$B$8/2)^2)-(((94-43)*MAX('Inputs'!$B$33,'Inputs'!$B$29+'Inputs'!$B$31+'Inputs'!$B$32,'Inputs'!$B$30+'Inputs'!$B$31+'Inputs'!$B$32)/1000+'Inputs'!$B$21+'Inputs'!$B$7+'Inputs'!$B$10))/SQRT((((94-43)*MAX('Inputs'!$B$33,'Inputs'!$B$29+'Inputs'!$B$31+'Inputs'!$B$32,'Inputs'!$B$30+'Inputs'!$B$31+'Inputs'!$B$32)/1000+'Inputs'!$B$21+'Inputs'!$B$7+'Inputs'!$B$10))^2+('Inputs'!$B$8/2)^2))))*'Results'!$B$8)-'Inputs'!$B$28*ABS((('Results'!B7*(1-'Inputs'!$B$24)*(0.5*((((94-43)*MAX('Inputs'!$B$33,'Inputs'!$B$29+'Inputs'!$B$31+'Inputs'!$B$32,'Inputs'!$B$30+'Inputs'!$B$31+'Inputs'!$B$32)/1000+'Inputs'!$B$21)+'Inputs'!$B$7)/SQRT((((94-43)*MAX('Inputs'!$B$33,'Inputs'!$B$29+'Inputs'!$B$31+'Inputs'!$B$32,'Inputs'!$B$30+'Inputs'!$B$31+'Inputs'!$B$32)/1000+'Inputs'!$B$21)+'Inputs'!$B$7)^2+('Inputs'!$B$6/2)^2)-(((94-43)*MAX('Inputs'!$B$33,'Inputs'!$B$29+'Inputs'!$B$31+'Inputs'!$B$32,'Inputs'!$B$30+'Inputs'!$B$31+'Inputs'!$B$32)/1000+'Inputs'!$B$21))/SQRT((((94-43)*MAX('Inputs'!$B$33,'Inputs'!$B$29+'Inputs'!$B$31+'Inputs'!$B$32,'Inputs'!$B$30+'Inputs'!$B$31+'Inputs'!$B$32)/1000+'Inputs'!$B$21))^2+('Inputs'!$B$6/2)^2)))-'Results'!C7*(1+'Inputs'!$B$24)*(0.5*((((94-43)*MAX('Inputs'!$B$33,'Inputs'!$B$29+'Inputs'!$B$31+'Inputs'!$B$32,'Inputs'!$B$30+'Inputs'!$B$31+'Inputs'!$B$32)/1000+'Inputs'!$B$21+'Inputs'!$B$7+'Inputs'!$B$10)+'Inputs'!$B$9)/SQRT((((94-43)*MAX('Inputs'!$B$33,'Inputs'!$B$29+'Inputs'!$B$31+'Inputs'!$B$32,'Inputs'!$B$30+'Inputs'!$B$31+'Inputs'!$B$32)/1000+'Inputs'!$B$21+'Inputs'!$B$7+'Inputs'!$B$10)+'Inputs'!$B$9)^2+('Inputs'!$B$8/2)^2)-(((94-43)*MAX('Inputs'!$B$33,'Inputs'!$B$29+'Inputs'!$B$31+'Inputs'!$B$32,'Inputs'!$B$30+'Inputs'!$B$31+'Inputs'!$B$32)/1000+'Inputs'!$B$21+'Inputs'!$B$7+'Inputs'!$B$10))/SQRT((((94-43)*MAX('Inputs'!$B$33,'Inputs'!$B$29+'Inputs'!$B$31+'Inputs'!$B$32,'Inputs'!$B$30+'Inputs'!$B$31+'Inputs'!$B$32)/1000+'Inputs'!$B$21+'Inputs'!$B$7+'Inputs'!$B$10))^2+('Inputs'!$B$8/2)^2))))*'Results'!$B$8))),"")</x:f>
        <x:v>893.8077660296416</x:v>
      </x:c>
      <x:c r="L94" t="n">
        <x:f>IF(AND(ISNUMBER('Results'!B7),ISNUMBER('Results'!C7),ISNUMBER('Results'!$B$8),ISNUMBER('Inputs'!$B$6),ISNUMBER('Inputs'!$B$7),ISNUMBER('Inputs'!$B$8),ISNUMBER('Inputs'!$B$9),ISNUMBER('Inputs'!$B$10),ISNUMBER('Inputs'!$B$21),ISNUMBER('Inputs'!$B$24),ISNUMBER('Inputs'!$B$28)),((('Results'!B7*(1+'Inputs'!$B$24)*(0.5*((((94-43)*MAX('Inputs'!$B$33,'Inputs'!$B$29+'Inputs'!$B$31+'Inputs'!$B$32,'Inputs'!$B$30+'Inputs'!$B$31+'Inputs'!$B$32)/1000+'Inputs'!$B$21)+'Inputs'!$B$7)/SQRT((((94-43)*MAX('Inputs'!$B$33,'Inputs'!$B$29+'Inputs'!$B$31+'Inputs'!$B$32,'Inputs'!$B$30+'Inputs'!$B$31+'Inputs'!$B$32)/1000+'Inputs'!$B$21)+'Inputs'!$B$7)^2+('Inputs'!$B$6/2)^2)-(((94-43)*MAX('Inputs'!$B$33,'Inputs'!$B$29+'Inputs'!$B$31+'Inputs'!$B$32,'Inputs'!$B$30+'Inputs'!$B$31+'Inputs'!$B$32)/1000+'Inputs'!$B$21))/SQRT((((94-43)*MAX('Inputs'!$B$33,'Inputs'!$B$29+'Inputs'!$B$31+'Inputs'!$B$32,'Inputs'!$B$30+'Inputs'!$B$31+'Inputs'!$B$32)/1000+'Inputs'!$B$21))^2+('Inputs'!$B$6/2)^2)))-'Results'!C7*(1-'Inputs'!$B$24)*(0.5*((((94-43)*MAX('Inputs'!$B$33,'Inputs'!$B$29+'Inputs'!$B$31+'Inputs'!$B$32,'Inputs'!$B$30+'Inputs'!$B$31+'Inputs'!$B$32)/1000+'Inputs'!$B$21+'Inputs'!$B$7+'Inputs'!$B$10)+'Inputs'!$B$9)/SQRT((((94-43)*MAX('Inputs'!$B$33,'Inputs'!$B$29+'Inputs'!$B$31+'Inputs'!$B$32,'Inputs'!$B$30+'Inputs'!$B$31+'Inputs'!$B$32)/1000+'Inputs'!$B$21+'Inputs'!$B$7+'Inputs'!$B$10)+'Inputs'!$B$9)^2+('Inputs'!$B$8/2)^2)-(((94-43)*MAX('Inputs'!$B$33,'Inputs'!$B$29+'Inputs'!$B$31+'Inputs'!$B$32,'Inputs'!$B$30+'Inputs'!$B$31+'Inputs'!$B$32)/1000+'Inputs'!$B$21+'Inputs'!$B$7+'Inputs'!$B$10))/SQRT((((94-43)*MAX('Inputs'!$B$33,'Inputs'!$B$29+'Inputs'!$B$31+'Inputs'!$B$32,'Inputs'!$B$30+'Inputs'!$B$31+'Inputs'!$B$32)/1000+'Inputs'!$B$21+'Inputs'!$B$7+'Inputs'!$B$10))^2+('Inputs'!$B$8/2)^2))))*'Results'!$B$8)+'Inputs'!$B$28*ABS((('Results'!B7*(1+'Inputs'!$B$24)*(0.5*((((94-43)*MAX('Inputs'!$B$33,'Inputs'!$B$29+'Inputs'!$B$31+'Inputs'!$B$32,'Inputs'!$B$30+'Inputs'!$B$31+'Inputs'!$B$32)/1000+'Inputs'!$B$21)+'Inputs'!$B$7)/SQRT((((94-43)*MAX('Inputs'!$B$33,'Inputs'!$B$29+'Inputs'!$B$31+'Inputs'!$B$32,'Inputs'!$B$30+'Inputs'!$B$31+'Inputs'!$B$32)/1000+'Inputs'!$B$21)+'Inputs'!$B$7)^2+('Inputs'!$B$6/2)^2)-(((94-43)*MAX('Inputs'!$B$33,'Inputs'!$B$29+'Inputs'!$B$31+'Inputs'!$B$32,'Inputs'!$B$30+'Inputs'!$B$31+'Inputs'!$B$32)/1000+'Inputs'!$B$21))/SQRT((((94-43)*MAX('Inputs'!$B$33,'Inputs'!$B$29+'Inputs'!$B$31+'Inputs'!$B$32,'Inputs'!$B$30+'Inputs'!$B$31+'Inputs'!$B$32)/1000+'Inputs'!$B$21))^2+('Inputs'!$B$6/2)^2)))-'Results'!C7*(1-'Inputs'!$B$24)*(0.5*((((94-43)*MAX('Inputs'!$B$33,'Inputs'!$B$29+'Inputs'!$B$31+'Inputs'!$B$32,'Inputs'!$B$30+'Inputs'!$B$31+'Inputs'!$B$32)/1000+'Inputs'!$B$21+'Inputs'!$B$7+'Inputs'!$B$10)+'Inputs'!$B$9)/SQRT((((94-43)*MAX('Inputs'!$B$33,'Inputs'!$B$29+'Inputs'!$B$31+'Inputs'!$B$32,'Inputs'!$B$30+'Inputs'!$B$31+'Inputs'!$B$32)/1000+'Inputs'!$B$21+'Inputs'!$B$7+'Inputs'!$B$10)+'Inputs'!$B$9)^2+('Inputs'!$B$8/2)^2)-(((94-43)*MAX('Inputs'!$B$33,'Inputs'!$B$29+'Inputs'!$B$31+'Inputs'!$B$32,'Inputs'!$B$30+'Inputs'!$B$31+'Inputs'!$B$32)/1000+'Inputs'!$B$21+'Inputs'!$B$7+'Inputs'!$B$10))/SQRT((((94-43)*MAX('Inputs'!$B$33,'Inputs'!$B$29+'Inputs'!$B$31+'Inputs'!$B$32,'Inputs'!$B$30+'Inputs'!$B$31+'Inputs'!$B$32)/1000+'Inputs'!$B$21+'Inputs'!$B$7+'Inputs'!$B$10))^2+('Inputs'!$B$8/2)^2))))*'Results'!$B$8))),"")</x:f>
        <x:v>1042.0315222896834</x:v>
      </x:c>
      <x:c r="M94" t="n">
        <x:f>IF(AND(ISNUMBER('Results'!C7),ISNUMBER('Results'!B7),ISNUMBER('Results'!$B$8),ISNUMBER('Inputs'!$B$6),ISNUMBER('Inputs'!$B$7),ISNUMBER('Inputs'!$B$8),ISNUMBER('Inputs'!$B$9),ISNUMBER('Inputs'!$B$10),ISNUMBER('Inputs'!$B$21),ISNUMBER('Inputs'!$B$24),ISNUMBER('Inputs'!$B$28)),(('Results'!C7*(0.5*((((94-43)*MAX('Inputs'!$B$33,'Inputs'!$B$29+'Inputs'!$B$31+'Inputs'!$B$32,'Inputs'!$B$30+'Inputs'!$B$31+'Inputs'!$B$32)/1000+'Inputs'!$B$21)+'Inputs'!$B$9)/SQRT((((94-43)*MAX('Inputs'!$B$33,'Inputs'!$B$29+'Inputs'!$B$31+'Inputs'!$B$32,'Inputs'!$B$30+'Inputs'!$B$31+'Inputs'!$B$32)/1000+'Inputs'!$B$21)+'Inputs'!$B$9)^2+('Inputs'!$B$8/2)^2)-(((94-43)*MAX('Inputs'!$B$33,'Inputs'!$B$29+'Inputs'!$B$31+'Inputs'!$B$32,'Inputs'!$B$30+'Inputs'!$B$31+'Inputs'!$B$32)/1000+'Inputs'!$B$21))/SQRT((((94-43)*MAX('Inputs'!$B$33,'Inputs'!$B$29+'Inputs'!$B$31+'Inputs'!$B$32,'Inputs'!$B$30+'Inputs'!$B$31+'Inputs'!$B$32)/1000+'Inputs'!$B$21))^2+('Inputs'!$B$8/2)^2)))-'Results'!B7*(0.5*((((94-43)*MAX('Inputs'!$B$33,'Inputs'!$B$29+'Inputs'!$B$31+'Inputs'!$B$32,'Inputs'!$B$30+'Inputs'!$B$31+'Inputs'!$B$32)/1000+'Inputs'!$B$21+'Inputs'!$B$9+'Inputs'!$B$10)+'Inputs'!$B$7)/SQRT((((94-43)*MAX('Inputs'!$B$33,'Inputs'!$B$29+'Inputs'!$B$31+'Inputs'!$B$32,'Inputs'!$B$30+'Inputs'!$B$31+'Inputs'!$B$32)/1000+'Inputs'!$B$21+'Inputs'!$B$9+'Inputs'!$B$10)+'Inputs'!$B$7)^2+('Inputs'!$B$6/2)^2)-(((94-43)*MAX('Inputs'!$B$33,'Inputs'!$B$29+'Inputs'!$B$31+'Inputs'!$B$32,'Inputs'!$B$30+'Inputs'!$B$31+'Inputs'!$B$32)/1000+'Inputs'!$B$21+'Inputs'!$B$9+'Inputs'!$B$10))/SQRT((((94-43)*MAX('Inputs'!$B$33,'Inputs'!$B$29+'Inputs'!$B$31+'Inputs'!$B$32,'Inputs'!$B$30+'Inputs'!$B$31+'Inputs'!$B$32)/1000+'Inputs'!$B$21+'Inputs'!$B$9+'Inputs'!$B$10))^2+('Inputs'!$B$6/2)^2))))*'Results'!$B$8),"")</x:f>
        <x:v>940.7844868245425</x:v>
      </x:c>
      <x:c r="N94" t="n">
        <x:f>IF(AND(ISNUMBER('Results'!C7),ISNUMBER('Results'!B7),ISNUMBER('Results'!$B$8),ISNUMBER('Inputs'!$B$6),ISNUMBER('Inputs'!$B$7),ISNUMBER('Inputs'!$B$8),ISNUMBER('Inputs'!$B$9),ISNUMBER('Inputs'!$B$10),ISNUMBER('Inputs'!$B$21),ISNUMBER('Inputs'!$B$24),ISNUMBER('Inputs'!$B$28)),((('Results'!C7*(1-'Inputs'!$B$24)*(0.5*((((94-43)*MAX('Inputs'!$B$33,'Inputs'!$B$29+'Inputs'!$B$31+'Inputs'!$B$32,'Inputs'!$B$30+'Inputs'!$B$31+'Inputs'!$B$32)/1000+'Inputs'!$B$21)+'Inputs'!$B$9)/SQRT((((94-43)*MAX('Inputs'!$B$33,'Inputs'!$B$29+'Inputs'!$B$31+'Inputs'!$B$32,'Inputs'!$B$30+'Inputs'!$B$31+'Inputs'!$B$32)/1000+'Inputs'!$B$21)+'Inputs'!$B$9)^2+('Inputs'!$B$8/2)^2)-(((94-43)*MAX('Inputs'!$B$33,'Inputs'!$B$29+'Inputs'!$B$31+'Inputs'!$B$32,'Inputs'!$B$30+'Inputs'!$B$31+'Inputs'!$B$32)/1000+'Inputs'!$B$21))/SQRT((((94-43)*MAX('Inputs'!$B$33,'Inputs'!$B$29+'Inputs'!$B$31+'Inputs'!$B$32,'Inputs'!$B$30+'Inputs'!$B$31+'Inputs'!$B$32)/1000+'Inputs'!$B$21))^2+('Inputs'!$B$8/2)^2)))-'Results'!B7*(1+'Inputs'!$B$24)*(0.5*((((94-43)*MAX('Inputs'!$B$33,'Inputs'!$B$29+'Inputs'!$B$31+'Inputs'!$B$32,'Inputs'!$B$30+'Inputs'!$B$31+'Inputs'!$B$32)/1000+'Inputs'!$B$21+'Inputs'!$B$9+'Inputs'!$B$10)+'Inputs'!$B$7)/SQRT((((94-43)*MAX('Inputs'!$B$33,'Inputs'!$B$29+'Inputs'!$B$31+'Inputs'!$B$32,'Inputs'!$B$30+'Inputs'!$B$31+'Inputs'!$B$32)/1000+'Inputs'!$B$21+'Inputs'!$B$9+'Inputs'!$B$10)+'Inputs'!$B$7)^2+('Inputs'!$B$6/2)^2)-(((94-43)*MAX('Inputs'!$B$33,'Inputs'!$B$29+'Inputs'!$B$31+'Inputs'!$B$32,'Inputs'!$B$30+'Inputs'!$B$31+'Inputs'!$B$32)/1000+'Inputs'!$B$21+'Inputs'!$B$9+'Inputs'!$B$10))/SQRT((((94-43)*MAX('Inputs'!$B$33,'Inputs'!$B$29+'Inputs'!$B$31+'Inputs'!$B$32,'Inputs'!$B$30+'Inputs'!$B$31+'Inputs'!$B$32)/1000+'Inputs'!$B$21+'Inputs'!$B$9+'Inputs'!$B$10))^2+('Inputs'!$B$6/2)^2))))*'Results'!$B$8)-'Inputs'!$B$28*ABS((('Results'!C7*(1-'Inputs'!$B$24)*(0.5*((((94-43)*MAX('Inputs'!$B$33,'Inputs'!$B$29+'Inputs'!$B$31+'Inputs'!$B$32,'Inputs'!$B$30+'Inputs'!$B$31+'Inputs'!$B$32)/1000+'Inputs'!$B$21)+'Inputs'!$B$9)/SQRT((((94-43)*MAX('Inputs'!$B$33,'Inputs'!$B$29+'Inputs'!$B$31+'Inputs'!$B$32,'Inputs'!$B$30+'Inputs'!$B$31+'Inputs'!$B$32)/1000+'Inputs'!$B$21)+'Inputs'!$B$9)^2+('Inputs'!$B$8/2)^2)-(((94-43)*MAX('Inputs'!$B$33,'Inputs'!$B$29+'Inputs'!$B$31+'Inputs'!$B$32,'Inputs'!$B$30+'Inputs'!$B$31+'Inputs'!$B$32)/1000+'Inputs'!$B$21))/SQRT((((94-43)*MAX('Inputs'!$B$33,'Inputs'!$B$29+'Inputs'!$B$31+'Inputs'!$B$32,'Inputs'!$B$30+'Inputs'!$B$31+'Inputs'!$B$32)/1000+'Inputs'!$B$21))^2+('Inputs'!$B$8/2)^2)))-'Results'!B7*(1+'Inputs'!$B$24)*(0.5*((((94-43)*MAX('Inputs'!$B$33,'Inputs'!$B$29+'Inputs'!$B$31+'Inputs'!$B$32,'Inputs'!$B$30+'Inputs'!$B$31+'Inputs'!$B$32)/1000+'Inputs'!$B$21+'Inputs'!$B$9+'Inputs'!$B$10)+'Inputs'!$B$7)/SQRT((((94-43)*MAX('Inputs'!$B$33,'Inputs'!$B$29+'Inputs'!$B$31+'Inputs'!$B$32,'Inputs'!$B$30+'Inputs'!$B$31+'Inputs'!$B$32)/1000+'Inputs'!$B$21+'Inputs'!$B$9+'Inputs'!$B$10)+'Inputs'!$B$7)^2+('Inputs'!$B$6/2)^2)-(((94-43)*MAX('Inputs'!$B$33,'Inputs'!$B$29+'Inputs'!$B$31+'Inputs'!$B$32,'Inputs'!$B$30+'Inputs'!$B$31+'Inputs'!$B$32)/1000+'Inputs'!$B$21+'Inputs'!$B$9+'Inputs'!$B$10))/SQRT((((94-43)*MAX('Inputs'!$B$33,'Inputs'!$B$29+'Inputs'!$B$31+'Inputs'!$B$32,'Inputs'!$B$30+'Inputs'!$B$31+'Inputs'!$B$32)/1000+'Inputs'!$B$21+'Inputs'!$B$9+'Inputs'!$B$10))^2+('Inputs'!$B$6/2)^2))))*'Results'!$B$8))),"")</x:f>
        <x:v>869.6200026010206</x:v>
      </x:c>
      <x:c r="O94" t="n">
        <x:f>IF(AND(ISNUMBER('Results'!C7),ISNUMBER('Results'!B7),ISNUMBER('Results'!$B$8),ISNUMBER('Inputs'!$B$6),ISNUMBER('Inputs'!$B$7),ISNUMBER('Inputs'!$B$8),ISNUMBER('Inputs'!$B$9),ISNUMBER('Inputs'!$B$10),ISNUMBER('Inputs'!$B$21),ISNUMBER('Inputs'!$B$24),ISNUMBER('Inputs'!$B$28)),((('Results'!C7*(1+'Inputs'!$B$24)*(0.5*((((94-43)*MAX('Inputs'!$B$33,'Inputs'!$B$29+'Inputs'!$B$31+'Inputs'!$B$32,'Inputs'!$B$30+'Inputs'!$B$31+'Inputs'!$B$32)/1000+'Inputs'!$B$21)+'Inputs'!$B$9)/SQRT((((94-43)*MAX('Inputs'!$B$33,'Inputs'!$B$29+'Inputs'!$B$31+'Inputs'!$B$32,'Inputs'!$B$30+'Inputs'!$B$31+'Inputs'!$B$32)/1000+'Inputs'!$B$21)+'Inputs'!$B$9)^2+('Inputs'!$B$8/2)^2)-(((94-43)*MAX('Inputs'!$B$33,'Inputs'!$B$29+'Inputs'!$B$31+'Inputs'!$B$32,'Inputs'!$B$30+'Inputs'!$B$31+'Inputs'!$B$32)/1000+'Inputs'!$B$21))/SQRT((((94-43)*MAX('Inputs'!$B$33,'Inputs'!$B$29+'Inputs'!$B$31+'Inputs'!$B$32,'Inputs'!$B$30+'Inputs'!$B$31+'Inputs'!$B$32)/1000+'Inputs'!$B$21))^2+('Inputs'!$B$8/2)^2)))-'Results'!B7*(1-'Inputs'!$B$24)*(0.5*((((94-43)*MAX('Inputs'!$B$33,'Inputs'!$B$29+'Inputs'!$B$31+'Inputs'!$B$32,'Inputs'!$B$30+'Inputs'!$B$31+'Inputs'!$B$32)/1000+'Inputs'!$B$21+'Inputs'!$B$9+'Inputs'!$B$10)+'Inputs'!$B$7)/SQRT((((94-43)*MAX('Inputs'!$B$33,'Inputs'!$B$29+'Inputs'!$B$31+'Inputs'!$B$32,'Inputs'!$B$30+'Inputs'!$B$31+'Inputs'!$B$32)/1000+'Inputs'!$B$21+'Inputs'!$B$9+'Inputs'!$B$10)+'Inputs'!$B$7)^2+('Inputs'!$B$6/2)^2)-(((94-43)*MAX('Inputs'!$B$33,'Inputs'!$B$29+'Inputs'!$B$31+'Inputs'!$B$32,'Inputs'!$B$30+'Inputs'!$B$31+'Inputs'!$B$32)/1000+'Inputs'!$B$21+'Inputs'!$B$9+'Inputs'!$B$10))/SQRT((((94-43)*MAX('Inputs'!$B$33,'Inputs'!$B$29+'Inputs'!$B$31+'Inputs'!$B$32,'Inputs'!$B$30+'Inputs'!$B$31+'Inputs'!$B$32)/1000+'Inputs'!$B$21+'Inputs'!$B$9+'Inputs'!$B$10))^2+('Inputs'!$B$6/2)^2))))*'Results'!$B$8)+'Inputs'!$B$28*ABS((('Results'!C7*(1+'Inputs'!$B$24)*(0.5*((((94-43)*MAX('Inputs'!$B$33,'Inputs'!$B$29+'Inputs'!$B$31+'Inputs'!$B$32,'Inputs'!$B$30+'Inputs'!$B$31+'Inputs'!$B$32)/1000+'Inputs'!$B$21)+'Inputs'!$B$9)/SQRT((((94-43)*MAX('Inputs'!$B$33,'Inputs'!$B$29+'Inputs'!$B$31+'Inputs'!$B$32,'Inputs'!$B$30+'Inputs'!$B$31+'Inputs'!$B$32)/1000+'Inputs'!$B$21)+'Inputs'!$B$9)^2+('Inputs'!$B$8/2)^2)-(((94-43)*MAX('Inputs'!$B$33,'Inputs'!$B$29+'Inputs'!$B$31+'Inputs'!$B$32,'Inputs'!$B$30+'Inputs'!$B$31+'Inputs'!$B$32)/1000+'Inputs'!$B$21))/SQRT((((94-43)*MAX('Inputs'!$B$33,'Inputs'!$B$29+'Inputs'!$B$31+'Inputs'!$B$32,'Inputs'!$B$30+'Inputs'!$B$31+'Inputs'!$B$32)/1000+'Inputs'!$B$21))^2+('Inputs'!$B$8/2)^2)))-'Results'!B7*(1-'Inputs'!$B$24)*(0.5*((((94-43)*MAX('Inputs'!$B$33,'Inputs'!$B$29+'Inputs'!$B$31+'Inputs'!$B$32,'Inputs'!$B$30+'Inputs'!$B$31+'Inputs'!$B$32)/1000+'Inputs'!$B$21+'Inputs'!$B$9+'Inputs'!$B$10)+'Inputs'!$B$7)/SQRT((((94-43)*MAX('Inputs'!$B$33,'Inputs'!$B$29+'Inputs'!$B$31+'Inputs'!$B$32,'Inputs'!$B$30+'Inputs'!$B$31+'Inputs'!$B$32)/1000+'Inputs'!$B$21+'Inputs'!$B$9+'Inputs'!$B$10)+'Inputs'!$B$7)^2+('Inputs'!$B$6/2)^2)-(((94-43)*MAX('Inputs'!$B$33,'Inputs'!$B$29+'Inputs'!$B$31+'Inputs'!$B$32,'Inputs'!$B$30+'Inputs'!$B$31+'Inputs'!$B$32)/1000+'Inputs'!$B$21+'Inputs'!$B$9+'Inputs'!$B$10))/SQRT((((94-43)*MAX('Inputs'!$B$33,'Inputs'!$B$29+'Inputs'!$B$31+'Inputs'!$B$32,'Inputs'!$B$30+'Inputs'!$B$31+'Inputs'!$B$32)/1000+'Inputs'!$B$21+'Inputs'!$B$9+'Inputs'!$B$10))^2+('Inputs'!$B$6/2)^2))))*'Results'!$B$8))),"")</x:f>
        <x:v>1014.4884720883057</x:v>
      </x:c>
      <x:c r="P94" t="n">
        <x:f>IF(AND(MAX(J94,J93)&gt;0,J94&gt;J93+0.00000001),1,0)</x:f>
        <x:v>0</x:v>
      </x:c>
      <x:c r="Q94" t="n">
        <x:f>IF(AND(MAX(K94,K93)&gt;0,K94&gt;K93+0.00000001),1,0)</x:f>
        <x:v>0</x:v>
      </x:c>
      <x:c r="R94" t="n">
        <x:f>IF(AND(MAX(L94,L93)&gt;0,L94&gt;L93+0.00000001),1,0)</x:f>
        <x:v>0</x:v>
      </x:c>
      <x:c r="S94" t="n">
        <x:f>IF(AND(MAX(M94,M93)&gt;0,M94&gt;M93+0.00000001),1,0)</x:f>
        <x:v>0</x:v>
      </x:c>
      <x:c r="T94" t="n">
        <x:f>IF(AND(MAX(N94,N93)&gt;0,N94&gt;N93+0.00000001),1,0)</x:f>
        <x:v>0</x:v>
      </x:c>
      <x:c r="U94" t="n">
        <x:f>IF(AND(MAX(O94,O93)&gt;0,O94&gt;O93+0.00000001),1,0)</x:f>
        <x:v>0</x:v>
      </x:c>
    </x:row>
    <x:row r="95">
      <x:c r="J95" t="n">
        <x:f>IF(AND(ISNUMBER('Results'!B7),ISNUMBER('Results'!C7),ISNUMBER('Results'!$B$8),ISNUMBER('Inputs'!$B$6),ISNUMBER('Inputs'!$B$7),ISNUMBER('Inputs'!$B$8),ISNUMBER('Inputs'!$B$9),ISNUMBER('Inputs'!$B$10),ISNUMBER('Inputs'!$B$21),ISNUMBER('Inputs'!$B$24),ISNUMBER('Inputs'!$B$28)),(('Results'!B7*(0.5*((((95-43)*MAX('Inputs'!$B$33,'Inputs'!$B$29+'Inputs'!$B$31+'Inputs'!$B$32,'Inputs'!$B$30+'Inputs'!$B$31+'Inputs'!$B$32)/1000+'Inputs'!$B$21)+'Inputs'!$B$7)/SQRT((((95-43)*MAX('Inputs'!$B$33,'Inputs'!$B$29+'Inputs'!$B$31+'Inputs'!$B$32,'Inputs'!$B$30+'Inputs'!$B$31+'Inputs'!$B$32)/1000+'Inputs'!$B$21)+'Inputs'!$B$7)^2+('Inputs'!$B$6/2)^2)-(((95-43)*MAX('Inputs'!$B$33,'Inputs'!$B$29+'Inputs'!$B$31+'Inputs'!$B$32,'Inputs'!$B$30+'Inputs'!$B$31+'Inputs'!$B$32)/1000+'Inputs'!$B$21))/SQRT((((95-43)*MAX('Inputs'!$B$33,'Inputs'!$B$29+'Inputs'!$B$31+'Inputs'!$B$32,'Inputs'!$B$30+'Inputs'!$B$31+'Inputs'!$B$32)/1000+'Inputs'!$B$21))^2+('Inputs'!$B$6/2)^2)))-'Results'!C7*(0.5*((((95-43)*MAX('Inputs'!$B$33,'Inputs'!$B$29+'Inputs'!$B$31+'Inputs'!$B$32,'Inputs'!$B$30+'Inputs'!$B$31+'Inputs'!$B$32)/1000+'Inputs'!$B$21+'Inputs'!$B$7+'Inputs'!$B$10)+'Inputs'!$B$9)/SQRT((((95-43)*MAX('Inputs'!$B$33,'Inputs'!$B$29+'Inputs'!$B$31+'Inputs'!$B$32,'Inputs'!$B$30+'Inputs'!$B$31+'Inputs'!$B$32)/1000+'Inputs'!$B$21+'Inputs'!$B$7+'Inputs'!$B$10)+'Inputs'!$B$9)^2+('Inputs'!$B$8/2)^2)-(((95-43)*MAX('Inputs'!$B$33,'Inputs'!$B$29+'Inputs'!$B$31+'Inputs'!$B$32,'Inputs'!$B$30+'Inputs'!$B$31+'Inputs'!$B$32)/1000+'Inputs'!$B$21+'Inputs'!$B$7+'Inputs'!$B$10))/SQRT((((95-43)*MAX('Inputs'!$B$33,'Inputs'!$B$29+'Inputs'!$B$31+'Inputs'!$B$32,'Inputs'!$B$30+'Inputs'!$B$31+'Inputs'!$B$32)/1000+'Inputs'!$B$21+'Inputs'!$B$7+'Inputs'!$B$10))^2+('Inputs'!$B$8/2)^2))))*'Results'!$B$8),"")</x:f>
        <x:v>948.2255742768966</x:v>
      </x:c>
      <x:c r="K95" t="n">
        <x:f>IF(AND(ISNUMBER('Results'!B7),ISNUMBER('Results'!C7),ISNUMBER('Results'!$B$8),ISNUMBER('Inputs'!$B$6),ISNUMBER('Inputs'!$B$7),ISNUMBER('Inputs'!$B$8),ISNUMBER('Inputs'!$B$9),ISNUMBER('Inputs'!$B$10),ISNUMBER('Inputs'!$B$21),ISNUMBER('Inputs'!$B$24),ISNUMBER('Inputs'!$B$28)),((('Results'!B7*(1-'Inputs'!$B$24)*(0.5*((((95-43)*MAX('Inputs'!$B$33,'Inputs'!$B$29+'Inputs'!$B$31+'Inputs'!$B$32,'Inputs'!$B$30+'Inputs'!$B$31+'Inputs'!$B$32)/1000+'Inputs'!$B$21)+'Inputs'!$B$7)/SQRT((((95-43)*MAX('Inputs'!$B$33,'Inputs'!$B$29+'Inputs'!$B$31+'Inputs'!$B$32,'Inputs'!$B$30+'Inputs'!$B$31+'Inputs'!$B$32)/1000+'Inputs'!$B$21)+'Inputs'!$B$7)^2+('Inputs'!$B$6/2)^2)-(((95-43)*MAX('Inputs'!$B$33,'Inputs'!$B$29+'Inputs'!$B$31+'Inputs'!$B$32,'Inputs'!$B$30+'Inputs'!$B$31+'Inputs'!$B$32)/1000+'Inputs'!$B$21))/SQRT((((95-43)*MAX('Inputs'!$B$33,'Inputs'!$B$29+'Inputs'!$B$31+'Inputs'!$B$32,'Inputs'!$B$30+'Inputs'!$B$31+'Inputs'!$B$32)/1000+'Inputs'!$B$21))^2+('Inputs'!$B$6/2)^2)))-'Results'!C7*(1+'Inputs'!$B$24)*(0.5*((((95-43)*MAX('Inputs'!$B$33,'Inputs'!$B$29+'Inputs'!$B$31+'Inputs'!$B$32,'Inputs'!$B$30+'Inputs'!$B$31+'Inputs'!$B$32)/1000+'Inputs'!$B$21+'Inputs'!$B$7+'Inputs'!$B$10)+'Inputs'!$B$9)/SQRT((((95-43)*MAX('Inputs'!$B$33,'Inputs'!$B$29+'Inputs'!$B$31+'Inputs'!$B$32,'Inputs'!$B$30+'Inputs'!$B$31+'Inputs'!$B$32)/1000+'Inputs'!$B$21+'Inputs'!$B$7+'Inputs'!$B$10)+'Inputs'!$B$9)^2+('Inputs'!$B$8/2)^2)-(((95-43)*MAX('Inputs'!$B$33,'Inputs'!$B$29+'Inputs'!$B$31+'Inputs'!$B$32,'Inputs'!$B$30+'Inputs'!$B$31+'Inputs'!$B$32)/1000+'Inputs'!$B$21+'Inputs'!$B$7+'Inputs'!$B$10))/SQRT((((95-43)*MAX('Inputs'!$B$33,'Inputs'!$B$29+'Inputs'!$B$31+'Inputs'!$B$32,'Inputs'!$B$30+'Inputs'!$B$31+'Inputs'!$B$32)/1000+'Inputs'!$B$21+'Inputs'!$B$7+'Inputs'!$B$10))^2+('Inputs'!$B$8/2)^2))))*'Results'!$B$8)-'Inputs'!$B$28*ABS((('Results'!B7*(1-'Inputs'!$B$24)*(0.5*((((95-43)*MAX('Inputs'!$B$33,'Inputs'!$B$29+'Inputs'!$B$31+'Inputs'!$B$32,'Inputs'!$B$30+'Inputs'!$B$31+'Inputs'!$B$32)/1000+'Inputs'!$B$21)+'Inputs'!$B$7)/SQRT((((95-43)*MAX('Inputs'!$B$33,'Inputs'!$B$29+'Inputs'!$B$31+'Inputs'!$B$32,'Inputs'!$B$30+'Inputs'!$B$31+'Inputs'!$B$32)/1000+'Inputs'!$B$21)+'Inputs'!$B$7)^2+('Inputs'!$B$6/2)^2)-(((95-43)*MAX('Inputs'!$B$33,'Inputs'!$B$29+'Inputs'!$B$31+'Inputs'!$B$32,'Inputs'!$B$30+'Inputs'!$B$31+'Inputs'!$B$32)/1000+'Inputs'!$B$21))/SQRT((((95-43)*MAX('Inputs'!$B$33,'Inputs'!$B$29+'Inputs'!$B$31+'Inputs'!$B$32,'Inputs'!$B$30+'Inputs'!$B$31+'Inputs'!$B$32)/1000+'Inputs'!$B$21))^2+('Inputs'!$B$6/2)^2)))-'Results'!C7*(1+'Inputs'!$B$24)*(0.5*((((95-43)*MAX('Inputs'!$B$33,'Inputs'!$B$29+'Inputs'!$B$31+'Inputs'!$B$32,'Inputs'!$B$30+'Inputs'!$B$31+'Inputs'!$B$32)/1000+'Inputs'!$B$21+'Inputs'!$B$7+'Inputs'!$B$10)+'Inputs'!$B$9)/SQRT((((95-43)*MAX('Inputs'!$B$33,'Inputs'!$B$29+'Inputs'!$B$31+'Inputs'!$B$32,'Inputs'!$B$30+'Inputs'!$B$31+'Inputs'!$B$32)/1000+'Inputs'!$B$21+'Inputs'!$B$7+'Inputs'!$B$10)+'Inputs'!$B$9)^2+('Inputs'!$B$8/2)^2)-(((95-43)*MAX('Inputs'!$B$33,'Inputs'!$B$29+'Inputs'!$B$31+'Inputs'!$B$32,'Inputs'!$B$30+'Inputs'!$B$31+'Inputs'!$B$32)/1000+'Inputs'!$B$21+'Inputs'!$B$7+'Inputs'!$B$10))/SQRT((((95-43)*MAX('Inputs'!$B$33,'Inputs'!$B$29+'Inputs'!$B$31+'Inputs'!$B$32,'Inputs'!$B$30+'Inputs'!$B$31+'Inputs'!$B$32)/1000+'Inputs'!$B$21+'Inputs'!$B$7+'Inputs'!$B$10))^2+('Inputs'!$B$8/2)^2))))*'Results'!$B$8))),"")</x:f>
        <x:v>876.7563107774612</x:v>
      </x:c>
      <x:c r="L95" t="n">
        <x:f>IF(AND(ISNUMBER('Results'!B7),ISNUMBER('Results'!C7),ISNUMBER('Results'!$B$8),ISNUMBER('Inputs'!$B$6),ISNUMBER('Inputs'!$B$7),ISNUMBER('Inputs'!$B$8),ISNUMBER('Inputs'!$B$9),ISNUMBER('Inputs'!$B$10),ISNUMBER('Inputs'!$B$21),ISNUMBER('Inputs'!$B$24),ISNUMBER('Inputs'!$B$28)),((('Results'!B7*(1+'Inputs'!$B$24)*(0.5*((((95-43)*MAX('Inputs'!$B$33,'Inputs'!$B$29+'Inputs'!$B$31+'Inputs'!$B$32,'Inputs'!$B$30+'Inputs'!$B$31+'Inputs'!$B$32)/1000+'Inputs'!$B$21)+'Inputs'!$B$7)/SQRT((((95-43)*MAX('Inputs'!$B$33,'Inputs'!$B$29+'Inputs'!$B$31+'Inputs'!$B$32,'Inputs'!$B$30+'Inputs'!$B$31+'Inputs'!$B$32)/1000+'Inputs'!$B$21)+'Inputs'!$B$7)^2+('Inputs'!$B$6/2)^2)-(((95-43)*MAX('Inputs'!$B$33,'Inputs'!$B$29+'Inputs'!$B$31+'Inputs'!$B$32,'Inputs'!$B$30+'Inputs'!$B$31+'Inputs'!$B$32)/1000+'Inputs'!$B$21))/SQRT((((95-43)*MAX('Inputs'!$B$33,'Inputs'!$B$29+'Inputs'!$B$31+'Inputs'!$B$32,'Inputs'!$B$30+'Inputs'!$B$31+'Inputs'!$B$32)/1000+'Inputs'!$B$21))^2+('Inputs'!$B$6/2)^2)))-'Results'!C7*(1-'Inputs'!$B$24)*(0.5*((((95-43)*MAX('Inputs'!$B$33,'Inputs'!$B$29+'Inputs'!$B$31+'Inputs'!$B$32,'Inputs'!$B$30+'Inputs'!$B$31+'Inputs'!$B$32)/1000+'Inputs'!$B$21+'Inputs'!$B$7+'Inputs'!$B$10)+'Inputs'!$B$9)/SQRT((((95-43)*MAX('Inputs'!$B$33,'Inputs'!$B$29+'Inputs'!$B$31+'Inputs'!$B$32,'Inputs'!$B$30+'Inputs'!$B$31+'Inputs'!$B$32)/1000+'Inputs'!$B$21+'Inputs'!$B$7+'Inputs'!$B$10)+'Inputs'!$B$9)^2+('Inputs'!$B$8/2)^2)-(((95-43)*MAX('Inputs'!$B$33,'Inputs'!$B$29+'Inputs'!$B$31+'Inputs'!$B$32,'Inputs'!$B$30+'Inputs'!$B$31+'Inputs'!$B$32)/1000+'Inputs'!$B$21+'Inputs'!$B$7+'Inputs'!$B$10))/SQRT((((95-43)*MAX('Inputs'!$B$33,'Inputs'!$B$29+'Inputs'!$B$31+'Inputs'!$B$32,'Inputs'!$B$30+'Inputs'!$B$31+'Inputs'!$B$32)/1000+'Inputs'!$B$21+'Inputs'!$B$7+'Inputs'!$B$10))^2+('Inputs'!$B$8/2)^2))))*'Results'!$B$8)+'Inputs'!$B$28*ABS((('Results'!B7*(1+'Inputs'!$B$24)*(0.5*((((95-43)*MAX('Inputs'!$B$33,'Inputs'!$B$29+'Inputs'!$B$31+'Inputs'!$B$32,'Inputs'!$B$30+'Inputs'!$B$31+'Inputs'!$B$32)/1000+'Inputs'!$B$21)+'Inputs'!$B$7)/SQRT((((95-43)*MAX('Inputs'!$B$33,'Inputs'!$B$29+'Inputs'!$B$31+'Inputs'!$B$32,'Inputs'!$B$30+'Inputs'!$B$31+'Inputs'!$B$32)/1000+'Inputs'!$B$21)+'Inputs'!$B$7)^2+('Inputs'!$B$6/2)^2)-(((95-43)*MAX('Inputs'!$B$33,'Inputs'!$B$29+'Inputs'!$B$31+'Inputs'!$B$32,'Inputs'!$B$30+'Inputs'!$B$31+'Inputs'!$B$32)/1000+'Inputs'!$B$21))/SQRT((((95-43)*MAX('Inputs'!$B$33,'Inputs'!$B$29+'Inputs'!$B$31+'Inputs'!$B$32,'Inputs'!$B$30+'Inputs'!$B$31+'Inputs'!$B$32)/1000+'Inputs'!$B$21))^2+('Inputs'!$B$6/2)^2)))-'Results'!C7*(1-'Inputs'!$B$24)*(0.5*((((95-43)*MAX('Inputs'!$B$33,'Inputs'!$B$29+'Inputs'!$B$31+'Inputs'!$B$32,'Inputs'!$B$30+'Inputs'!$B$31+'Inputs'!$B$32)/1000+'Inputs'!$B$21+'Inputs'!$B$7+'Inputs'!$B$10)+'Inputs'!$B$9)/SQRT((((95-43)*MAX('Inputs'!$B$33,'Inputs'!$B$29+'Inputs'!$B$31+'Inputs'!$B$32,'Inputs'!$B$30+'Inputs'!$B$31+'Inputs'!$B$32)/1000+'Inputs'!$B$21+'Inputs'!$B$7+'Inputs'!$B$10)+'Inputs'!$B$9)^2+('Inputs'!$B$8/2)^2)-(((95-43)*MAX('Inputs'!$B$33,'Inputs'!$B$29+'Inputs'!$B$31+'Inputs'!$B$32,'Inputs'!$B$30+'Inputs'!$B$31+'Inputs'!$B$32)/1000+'Inputs'!$B$21+'Inputs'!$B$7+'Inputs'!$B$10))/SQRT((((95-43)*MAX('Inputs'!$B$33,'Inputs'!$B$29+'Inputs'!$B$31+'Inputs'!$B$32,'Inputs'!$B$30+'Inputs'!$B$31+'Inputs'!$B$32)/1000+'Inputs'!$B$21+'Inputs'!$B$7+'Inputs'!$B$10))^2+('Inputs'!$B$8/2)^2))))*'Results'!$B$8))),"")</x:f>
        <x:v>1022.2272572274472</x:v>
      </x:c>
      <x:c r="M95" t="n">
        <x:f>IF(AND(ISNUMBER('Results'!C7),ISNUMBER('Results'!B7),ISNUMBER('Results'!$B$8),ISNUMBER('Inputs'!$B$6),ISNUMBER('Inputs'!$B$7),ISNUMBER('Inputs'!$B$8),ISNUMBER('Inputs'!$B$9),ISNUMBER('Inputs'!$B$10),ISNUMBER('Inputs'!$B$21),ISNUMBER('Inputs'!$B$24),ISNUMBER('Inputs'!$B$28)),(('Results'!C7*(0.5*((((95-43)*MAX('Inputs'!$B$33,'Inputs'!$B$29+'Inputs'!$B$31+'Inputs'!$B$32,'Inputs'!$B$30+'Inputs'!$B$31+'Inputs'!$B$32)/1000+'Inputs'!$B$21)+'Inputs'!$B$9)/SQRT((((95-43)*MAX('Inputs'!$B$33,'Inputs'!$B$29+'Inputs'!$B$31+'Inputs'!$B$32,'Inputs'!$B$30+'Inputs'!$B$31+'Inputs'!$B$32)/1000+'Inputs'!$B$21)+'Inputs'!$B$9)^2+('Inputs'!$B$8/2)^2)-(((95-43)*MAX('Inputs'!$B$33,'Inputs'!$B$29+'Inputs'!$B$31+'Inputs'!$B$32,'Inputs'!$B$30+'Inputs'!$B$31+'Inputs'!$B$32)/1000+'Inputs'!$B$21))/SQRT((((95-43)*MAX('Inputs'!$B$33,'Inputs'!$B$29+'Inputs'!$B$31+'Inputs'!$B$32,'Inputs'!$B$30+'Inputs'!$B$31+'Inputs'!$B$32)/1000+'Inputs'!$B$21))^2+('Inputs'!$B$8/2)^2)))-'Results'!B7*(0.5*((((95-43)*MAX('Inputs'!$B$33,'Inputs'!$B$29+'Inputs'!$B$31+'Inputs'!$B$32,'Inputs'!$B$30+'Inputs'!$B$31+'Inputs'!$B$32)/1000+'Inputs'!$B$21+'Inputs'!$B$9+'Inputs'!$B$10)+'Inputs'!$B$7)/SQRT((((95-43)*MAX('Inputs'!$B$33,'Inputs'!$B$29+'Inputs'!$B$31+'Inputs'!$B$32,'Inputs'!$B$30+'Inputs'!$B$31+'Inputs'!$B$32)/1000+'Inputs'!$B$21+'Inputs'!$B$9+'Inputs'!$B$10)+'Inputs'!$B$7)^2+('Inputs'!$B$6/2)^2)-(((95-43)*MAX('Inputs'!$B$33,'Inputs'!$B$29+'Inputs'!$B$31+'Inputs'!$B$32,'Inputs'!$B$30+'Inputs'!$B$31+'Inputs'!$B$32)/1000+'Inputs'!$B$21+'Inputs'!$B$9+'Inputs'!$B$10))/SQRT((((95-43)*MAX('Inputs'!$B$33,'Inputs'!$B$29+'Inputs'!$B$31+'Inputs'!$B$32,'Inputs'!$B$30+'Inputs'!$B$31+'Inputs'!$B$32)/1000+'Inputs'!$B$21+'Inputs'!$B$9+'Inputs'!$B$10))^2+('Inputs'!$B$6/2)^2))))*'Results'!$B$8),"")</x:f>
        <x:v>922.8364850409974</x:v>
      </x:c>
      <x:c r="N95" t="n">
        <x:f>IF(AND(ISNUMBER('Results'!C7),ISNUMBER('Results'!B7),ISNUMBER('Results'!$B$8),ISNUMBER('Inputs'!$B$6),ISNUMBER('Inputs'!$B$7),ISNUMBER('Inputs'!$B$8),ISNUMBER('Inputs'!$B$9),ISNUMBER('Inputs'!$B$10),ISNUMBER('Inputs'!$B$21),ISNUMBER('Inputs'!$B$24),ISNUMBER('Inputs'!$B$28)),((('Results'!C7*(1-'Inputs'!$B$24)*(0.5*((((95-43)*MAX('Inputs'!$B$33,'Inputs'!$B$29+'Inputs'!$B$31+'Inputs'!$B$32,'Inputs'!$B$30+'Inputs'!$B$31+'Inputs'!$B$32)/1000+'Inputs'!$B$21)+'Inputs'!$B$9)/SQRT((((95-43)*MAX('Inputs'!$B$33,'Inputs'!$B$29+'Inputs'!$B$31+'Inputs'!$B$32,'Inputs'!$B$30+'Inputs'!$B$31+'Inputs'!$B$32)/1000+'Inputs'!$B$21)+'Inputs'!$B$9)^2+('Inputs'!$B$8/2)^2)-(((95-43)*MAX('Inputs'!$B$33,'Inputs'!$B$29+'Inputs'!$B$31+'Inputs'!$B$32,'Inputs'!$B$30+'Inputs'!$B$31+'Inputs'!$B$32)/1000+'Inputs'!$B$21))/SQRT((((95-43)*MAX('Inputs'!$B$33,'Inputs'!$B$29+'Inputs'!$B$31+'Inputs'!$B$32,'Inputs'!$B$30+'Inputs'!$B$31+'Inputs'!$B$32)/1000+'Inputs'!$B$21))^2+('Inputs'!$B$8/2)^2)))-'Results'!B7*(1+'Inputs'!$B$24)*(0.5*((((95-43)*MAX('Inputs'!$B$33,'Inputs'!$B$29+'Inputs'!$B$31+'Inputs'!$B$32,'Inputs'!$B$30+'Inputs'!$B$31+'Inputs'!$B$32)/1000+'Inputs'!$B$21+'Inputs'!$B$9+'Inputs'!$B$10)+'Inputs'!$B$7)/SQRT((((95-43)*MAX('Inputs'!$B$33,'Inputs'!$B$29+'Inputs'!$B$31+'Inputs'!$B$32,'Inputs'!$B$30+'Inputs'!$B$31+'Inputs'!$B$32)/1000+'Inputs'!$B$21+'Inputs'!$B$9+'Inputs'!$B$10)+'Inputs'!$B$7)^2+('Inputs'!$B$6/2)^2)-(((95-43)*MAX('Inputs'!$B$33,'Inputs'!$B$29+'Inputs'!$B$31+'Inputs'!$B$32,'Inputs'!$B$30+'Inputs'!$B$31+'Inputs'!$B$32)/1000+'Inputs'!$B$21+'Inputs'!$B$9+'Inputs'!$B$10))/SQRT((((95-43)*MAX('Inputs'!$B$33,'Inputs'!$B$29+'Inputs'!$B$31+'Inputs'!$B$32,'Inputs'!$B$30+'Inputs'!$B$31+'Inputs'!$B$32)/1000+'Inputs'!$B$21+'Inputs'!$B$9+'Inputs'!$B$10))^2+('Inputs'!$B$6/2)^2))))*'Results'!$B$8)-'Inputs'!$B$28*ABS((('Results'!C7*(1-'Inputs'!$B$24)*(0.5*((((95-43)*MAX('Inputs'!$B$33,'Inputs'!$B$29+'Inputs'!$B$31+'Inputs'!$B$32,'Inputs'!$B$30+'Inputs'!$B$31+'Inputs'!$B$32)/1000+'Inputs'!$B$21)+'Inputs'!$B$9)/SQRT((((95-43)*MAX('Inputs'!$B$33,'Inputs'!$B$29+'Inputs'!$B$31+'Inputs'!$B$32,'Inputs'!$B$30+'Inputs'!$B$31+'Inputs'!$B$32)/1000+'Inputs'!$B$21)+'Inputs'!$B$9)^2+('Inputs'!$B$8/2)^2)-(((95-43)*MAX('Inputs'!$B$33,'Inputs'!$B$29+'Inputs'!$B$31+'Inputs'!$B$32,'Inputs'!$B$30+'Inputs'!$B$31+'Inputs'!$B$32)/1000+'Inputs'!$B$21))/SQRT((((95-43)*MAX('Inputs'!$B$33,'Inputs'!$B$29+'Inputs'!$B$31+'Inputs'!$B$32,'Inputs'!$B$30+'Inputs'!$B$31+'Inputs'!$B$32)/1000+'Inputs'!$B$21))^2+('Inputs'!$B$8/2)^2)))-'Results'!B7*(1+'Inputs'!$B$24)*(0.5*((((95-43)*MAX('Inputs'!$B$33,'Inputs'!$B$29+'Inputs'!$B$31+'Inputs'!$B$32,'Inputs'!$B$30+'Inputs'!$B$31+'Inputs'!$B$32)/1000+'Inputs'!$B$21+'Inputs'!$B$9+'Inputs'!$B$10)+'Inputs'!$B$7)/SQRT((((95-43)*MAX('Inputs'!$B$33,'Inputs'!$B$29+'Inputs'!$B$31+'Inputs'!$B$32,'Inputs'!$B$30+'Inputs'!$B$31+'Inputs'!$B$32)/1000+'Inputs'!$B$21+'Inputs'!$B$9+'Inputs'!$B$10)+'Inputs'!$B$7)^2+('Inputs'!$B$6/2)^2)-(((95-43)*MAX('Inputs'!$B$33,'Inputs'!$B$29+'Inputs'!$B$31+'Inputs'!$B$32,'Inputs'!$B$30+'Inputs'!$B$31+'Inputs'!$B$32)/1000+'Inputs'!$B$21+'Inputs'!$B$9+'Inputs'!$B$10))/SQRT((((95-43)*MAX('Inputs'!$B$33,'Inputs'!$B$29+'Inputs'!$B$31+'Inputs'!$B$32,'Inputs'!$B$30+'Inputs'!$B$31+'Inputs'!$B$32)/1000+'Inputs'!$B$21+'Inputs'!$B$9+'Inputs'!$B$10))^2+('Inputs'!$B$6/2)^2))))*'Results'!$B$8))),"")</x:f>
        <x:v>852.9957687218116</x:v>
      </x:c>
      <x:c r="O95" t="n">
        <x:f>IF(AND(ISNUMBER('Results'!C7),ISNUMBER('Results'!B7),ISNUMBER('Results'!$B$8),ISNUMBER('Inputs'!$B$6),ISNUMBER('Inputs'!$B$7),ISNUMBER('Inputs'!$B$8),ISNUMBER('Inputs'!$B$9),ISNUMBER('Inputs'!$B$10),ISNUMBER('Inputs'!$B$21),ISNUMBER('Inputs'!$B$24),ISNUMBER('Inputs'!$B$28)),((('Results'!C7*(1+'Inputs'!$B$24)*(0.5*((((95-43)*MAX('Inputs'!$B$33,'Inputs'!$B$29+'Inputs'!$B$31+'Inputs'!$B$32,'Inputs'!$B$30+'Inputs'!$B$31+'Inputs'!$B$32)/1000+'Inputs'!$B$21)+'Inputs'!$B$9)/SQRT((((95-43)*MAX('Inputs'!$B$33,'Inputs'!$B$29+'Inputs'!$B$31+'Inputs'!$B$32,'Inputs'!$B$30+'Inputs'!$B$31+'Inputs'!$B$32)/1000+'Inputs'!$B$21)+'Inputs'!$B$9)^2+('Inputs'!$B$8/2)^2)-(((95-43)*MAX('Inputs'!$B$33,'Inputs'!$B$29+'Inputs'!$B$31+'Inputs'!$B$32,'Inputs'!$B$30+'Inputs'!$B$31+'Inputs'!$B$32)/1000+'Inputs'!$B$21))/SQRT((((95-43)*MAX('Inputs'!$B$33,'Inputs'!$B$29+'Inputs'!$B$31+'Inputs'!$B$32,'Inputs'!$B$30+'Inputs'!$B$31+'Inputs'!$B$32)/1000+'Inputs'!$B$21))^2+('Inputs'!$B$8/2)^2)))-'Results'!B7*(1-'Inputs'!$B$24)*(0.5*((((95-43)*MAX('Inputs'!$B$33,'Inputs'!$B$29+'Inputs'!$B$31+'Inputs'!$B$32,'Inputs'!$B$30+'Inputs'!$B$31+'Inputs'!$B$32)/1000+'Inputs'!$B$21+'Inputs'!$B$9+'Inputs'!$B$10)+'Inputs'!$B$7)/SQRT((((95-43)*MAX('Inputs'!$B$33,'Inputs'!$B$29+'Inputs'!$B$31+'Inputs'!$B$32,'Inputs'!$B$30+'Inputs'!$B$31+'Inputs'!$B$32)/1000+'Inputs'!$B$21+'Inputs'!$B$9+'Inputs'!$B$10)+'Inputs'!$B$7)^2+('Inputs'!$B$6/2)^2)-(((95-43)*MAX('Inputs'!$B$33,'Inputs'!$B$29+'Inputs'!$B$31+'Inputs'!$B$32,'Inputs'!$B$30+'Inputs'!$B$31+'Inputs'!$B$32)/1000+'Inputs'!$B$21+'Inputs'!$B$9+'Inputs'!$B$10))/SQRT((((95-43)*MAX('Inputs'!$B$33,'Inputs'!$B$29+'Inputs'!$B$31+'Inputs'!$B$32,'Inputs'!$B$30+'Inputs'!$B$31+'Inputs'!$B$32)/1000+'Inputs'!$B$21+'Inputs'!$B$9+'Inputs'!$B$10))^2+('Inputs'!$B$6/2)^2))))*'Results'!$B$8)+'Inputs'!$B$28*ABS((('Results'!C7*(1+'Inputs'!$B$24)*(0.5*((((95-43)*MAX('Inputs'!$B$33,'Inputs'!$B$29+'Inputs'!$B$31+'Inputs'!$B$32,'Inputs'!$B$30+'Inputs'!$B$31+'Inputs'!$B$32)/1000+'Inputs'!$B$21)+'Inputs'!$B$9)/SQRT((((95-43)*MAX('Inputs'!$B$33,'Inputs'!$B$29+'Inputs'!$B$31+'Inputs'!$B$32,'Inputs'!$B$30+'Inputs'!$B$31+'Inputs'!$B$32)/1000+'Inputs'!$B$21)+'Inputs'!$B$9)^2+('Inputs'!$B$8/2)^2)-(((95-43)*MAX('Inputs'!$B$33,'Inputs'!$B$29+'Inputs'!$B$31+'Inputs'!$B$32,'Inputs'!$B$30+'Inputs'!$B$31+'Inputs'!$B$32)/1000+'Inputs'!$B$21))/SQRT((((95-43)*MAX('Inputs'!$B$33,'Inputs'!$B$29+'Inputs'!$B$31+'Inputs'!$B$32,'Inputs'!$B$30+'Inputs'!$B$31+'Inputs'!$B$32)/1000+'Inputs'!$B$21))^2+('Inputs'!$B$8/2)^2)))-'Results'!B7*(1-'Inputs'!$B$24)*(0.5*((((95-43)*MAX('Inputs'!$B$33,'Inputs'!$B$29+'Inputs'!$B$31+'Inputs'!$B$32,'Inputs'!$B$30+'Inputs'!$B$31+'Inputs'!$B$32)/1000+'Inputs'!$B$21+'Inputs'!$B$9+'Inputs'!$B$10)+'Inputs'!$B$7)/SQRT((((95-43)*MAX('Inputs'!$B$33,'Inputs'!$B$29+'Inputs'!$B$31+'Inputs'!$B$32,'Inputs'!$B$30+'Inputs'!$B$31+'Inputs'!$B$32)/1000+'Inputs'!$B$21+'Inputs'!$B$9+'Inputs'!$B$10)+'Inputs'!$B$7)^2+('Inputs'!$B$6/2)^2)-(((95-43)*MAX('Inputs'!$B$33,'Inputs'!$B$29+'Inputs'!$B$31+'Inputs'!$B$32,'Inputs'!$B$30+'Inputs'!$B$31+'Inputs'!$B$32)/1000+'Inputs'!$B$21+'Inputs'!$B$9+'Inputs'!$B$10))/SQRT((((95-43)*MAX('Inputs'!$B$33,'Inputs'!$B$29+'Inputs'!$B$31+'Inputs'!$B$32,'Inputs'!$B$30+'Inputs'!$B$31+'Inputs'!$B$32)/1000+'Inputs'!$B$21+'Inputs'!$B$9+'Inputs'!$B$10))^2+('Inputs'!$B$6/2)^2))))*'Results'!$B$8))),"")</x:f>
        <x:v>995.1718215777763</x:v>
      </x:c>
      <x:c r="P95" t="n">
        <x:f>IF(AND(MAX(J95,J94)&gt;0,J95&gt;J94+0.00000001),1,0)</x:f>
        <x:v>0</x:v>
      </x:c>
      <x:c r="Q95" t="n">
        <x:f>IF(AND(MAX(K95,K94)&gt;0,K95&gt;K94+0.00000001),1,0)</x:f>
        <x:v>0</x:v>
      </x:c>
      <x:c r="R95" t="n">
        <x:f>IF(AND(MAX(L95,L94)&gt;0,L95&gt;L94+0.00000001),1,0)</x:f>
        <x:v>0</x:v>
      </x:c>
      <x:c r="S95" t="n">
        <x:f>IF(AND(MAX(M95,M94)&gt;0,M95&gt;M94+0.00000001),1,0)</x:f>
        <x:v>0</x:v>
      </x:c>
      <x:c r="T95" t="n">
        <x:f>IF(AND(MAX(N95,N94)&gt;0,N95&gt;N94+0.00000001),1,0)</x:f>
        <x:v>0</x:v>
      </x:c>
      <x:c r="U95" t="n">
        <x:f>IF(AND(MAX(O95,O94)&gt;0,O95&gt;O94+0.00000001),1,0)</x:f>
        <x:v>0</x:v>
      </x:c>
    </x:row>
    <x:row r="96">
      <x:c r="J96" t="n">
        <x:f>IF(AND(ISNUMBER('Results'!B7),ISNUMBER('Results'!C7),ISNUMBER('Results'!$B$8),ISNUMBER('Inputs'!$B$6),ISNUMBER('Inputs'!$B$7),ISNUMBER('Inputs'!$B$8),ISNUMBER('Inputs'!$B$9),ISNUMBER('Inputs'!$B$10),ISNUMBER('Inputs'!$B$21),ISNUMBER('Inputs'!$B$24),ISNUMBER('Inputs'!$B$28)),(('Results'!B7*(0.5*((((96-43)*MAX('Inputs'!$B$33,'Inputs'!$B$29+'Inputs'!$B$31+'Inputs'!$B$32,'Inputs'!$B$30+'Inputs'!$B$31+'Inputs'!$B$32)/1000+'Inputs'!$B$21)+'Inputs'!$B$7)/SQRT((((96-43)*MAX('Inputs'!$B$33,'Inputs'!$B$29+'Inputs'!$B$31+'Inputs'!$B$32,'Inputs'!$B$30+'Inputs'!$B$31+'Inputs'!$B$32)/1000+'Inputs'!$B$21)+'Inputs'!$B$7)^2+('Inputs'!$B$6/2)^2)-(((96-43)*MAX('Inputs'!$B$33,'Inputs'!$B$29+'Inputs'!$B$31+'Inputs'!$B$32,'Inputs'!$B$30+'Inputs'!$B$31+'Inputs'!$B$32)/1000+'Inputs'!$B$21))/SQRT((((96-43)*MAX('Inputs'!$B$33,'Inputs'!$B$29+'Inputs'!$B$31+'Inputs'!$B$32,'Inputs'!$B$30+'Inputs'!$B$31+'Inputs'!$B$32)/1000+'Inputs'!$B$21))^2+('Inputs'!$B$6/2)^2)))-'Results'!C7*(0.5*((((96-43)*MAX('Inputs'!$B$33,'Inputs'!$B$29+'Inputs'!$B$31+'Inputs'!$B$32,'Inputs'!$B$30+'Inputs'!$B$31+'Inputs'!$B$32)/1000+'Inputs'!$B$21+'Inputs'!$B$7+'Inputs'!$B$10)+'Inputs'!$B$9)/SQRT((((96-43)*MAX('Inputs'!$B$33,'Inputs'!$B$29+'Inputs'!$B$31+'Inputs'!$B$32,'Inputs'!$B$30+'Inputs'!$B$31+'Inputs'!$B$32)/1000+'Inputs'!$B$21+'Inputs'!$B$7+'Inputs'!$B$10)+'Inputs'!$B$9)^2+('Inputs'!$B$8/2)^2)-(((96-43)*MAX('Inputs'!$B$33,'Inputs'!$B$29+'Inputs'!$B$31+'Inputs'!$B$32,'Inputs'!$B$30+'Inputs'!$B$31+'Inputs'!$B$32)/1000+'Inputs'!$B$21+'Inputs'!$B$7+'Inputs'!$B$10))/SQRT((((96-43)*MAX('Inputs'!$B$33,'Inputs'!$B$29+'Inputs'!$B$31+'Inputs'!$B$32,'Inputs'!$B$30+'Inputs'!$B$31+'Inputs'!$B$32)/1000+'Inputs'!$B$21+'Inputs'!$B$7+'Inputs'!$B$10))^2+('Inputs'!$B$8/2)^2))))*'Results'!$B$8),"")</x:f>
        <x:v>930.1106221394692</x:v>
      </x:c>
      <x:c r="K96" t="n">
        <x:f>IF(AND(ISNUMBER('Results'!B7),ISNUMBER('Results'!C7),ISNUMBER('Results'!$B$8),ISNUMBER('Inputs'!$B$6),ISNUMBER('Inputs'!$B$7),ISNUMBER('Inputs'!$B$8),ISNUMBER('Inputs'!$B$9),ISNUMBER('Inputs'!$B$10),ISNUMBER('Inputs'!$B$21),ISNUMBER('Inputs'!$B$24),ISNUMBER('Inputs'!$B$28)),((('Results'!B7*(1-'Inputs'!$B$24)*(0.5*((((96-43)*MAX('Inputs'!$B$33,'Inputs'!$B$29+'Inputs'!$B$31+'Inputs'!$B$32,'Inputs'!$B$30+'Inputs'!$B$31+'Inputs'!$B$32)/1000+'Inputs'!$B$21)+'Inputs'!$B$7)/SQRT((((96-43)*MAX('Inputs'!$B$33,'Inputs'!$B$29+'Inputs'!$B$31+'Inputs'!$B$32,'Inputs'!$B$30+'Inputs'!$B$31+'Inputs'!$B$32)/1000+'Inputs'!$B$21)+'Inputs'!$B$7)^2+('Inputs'!$B$6/2)^2)-(((96-43)*MAX('Inputs'!$B$33,'Inputs'!$B$29+'Inputs'!$B$31+'Inputs'!$B$32,'Inputs'!$B$30+'Inputs'!$B$31+'Inputs'!$B$32)/1000+'Inputs'!$B$21))/SQRT((((96-43)*MAX('Inputs'!$B$33,'Inputs'!$B$29+'Inputs'!$B$31+'Inputs'!$B$32,'Inputs'!$B$30+'Inputs'!$B$31+'Inputs'!$B$32)/1000+'Inputs'!$B$21))^2+('Inputs'!$B$6/2)^2)))-'Results'!C7*(1+'Inputs'!$B$24)*(0.5*((((96-43)*MAX('Inputs'!$B$33,'Inputs'!$B$29+'Inputs'!$B$31+'Inputs'!$B$32,'Inputs'!$B$30+'Inputs'!$B$31+'Inputs'!$B$32)/1000+'Inputs'!$B$21+'Inputs'!$B$7+'Inputs'!$B$10)+'Inputs'!$B$9)/SQRT((((96-43)*MAX('Inputs'!$B$33,'Inputs'!$B$29+'Inputs'!$B$31+'Inputs'!$B$32,'Inputs'!$B$30+'Inputs'!$B$31+'Inputs'!$B$32)/1000+'Inputs'!$B$21+'Inputs'!$B$7+'Inputs'!$B$10)+'Inputs'!$B$9)^2+('Inputs'!$B$8/2)^2)-(((96-43)*MAX('Inputs'!$B$33,'Inputs'!$B$29+'Inputs'!$B$31+'Inputs'!$B$32,'Inputs'!$B$30+'Inputs'!$B$31+'Inputs'!$B$32)/1000+'Inputs'!$B$21+'Inputs'!$B$7+'Inputs'!$B$10))/SQRT((((96-43)*MAX('Inputs'!$B$33,'Inputs'!$B$29+'Inputs'!$B$31+'Inputs'!$B$32,'Inputs'!$B$30+'Inputs'!$B$31+'Inputs'!$B$32)/1000+'Inputs'!$B$21+'Inputs'!$B$7+'Inputs'!$B$10))^2+('Inputs'!$B$8/2)^2))))*'Results'!$B$8)-'Inputs'!$B$28*ABS((('Results'!B7*(1-'Inputs'!$B$24)*(0.5*((((96-43)*MAX('Inputs'!$B$33,'Inputs'!$B$29+'Inputs'!$B$31+'Inputs'!$B$32,'Inputs'!$B$30+'Inputs'!$B$31+'Inputs'!$B$32)/1000+'Inputs'!$B$21)+'Inputs'!$B$7)/SQRT((((96-43)*MAX('Inputs'!$B$33,'Inputs'!$B$29+'Inputs'!$B$31+'Inputs'!$B$32,'Inputs'!$B$30+'Inputs'!$B$31+'Inputs'!$B$32)/1000+'Inputs'!$B$21)+'Inputs'!$B$7)^2+('Inputs'!$B$6/2)^2)-(((96-43)*MAX('Inputs'!$B$33,'Inputs'!$B$29+'Inputs'!$B$31+'Inputs'!$B$32,'Inputs'!$B$30+'Inputs'!$B$31+'Inputs'!$B$32)/1000+'Inputs'!$B$21))/SQRT((((96-43)*MAX('Inputs'!$B$33,'Inputs'!$B$29+'Inputs'!$B$31+'Inputs'!$B$32,'Inputs'!$B$30+'Inputs'!$B$31+'Inputs'!$B$32)/1000+'Inputs'!$B$21))^2+('Inputs'!$B$6/2)^2)))-'Results'!C7*(1+'Inputs'!$B$24)*(0.5*((((96-43)*MAX('Inputs'!$B$33,'Inputs'!$B$29+'Inputs'!$B$31+'Inputs'!$B$32,'Inputs'!$B$30+'Inputs'!$B$31+'Inputs'!$B$32)/1000+'Inputs'!$B$21+'Inputs'!$B$7+'Inputs'!$B$10)+'Inputs'!$B$9)/SQRT((((96-43)*MAX('Inputs'!$B$33,'Inputs'!$B$29+'Inputs'!$B$31+'Inputs'!$B$32,'Inputs'!$B$30+'Inputs'!$B$31+'Inputs'!$B$32)/1000+'Inputs'!$B$21+'Inputs'!$B$7+'Inputs'!$B$10)+'Inputs'!$B$9)^2+('Inputs'!$B$8/2)^2)-(((96-43)*MAX('Inputs'!$B$33,'Inputs'!$B$29+'Inputs'!$B$31+'Inputs'!$B$32,'Inputs'!$B$30+'Inputs'!$B$31+'Inputs'!$B$32)/1000+'Inputs'!$B$21+'Inputs'!$B$7+'Inputs'!$B$10))/SQRT((((96-43)*MAX('Inputs'!$B$33,'Inputs'!$B$29+'Inputs'!$B$31+'Inputs'!$B$32,'Inputs'!$B$30+'Inputs'!$B$31+'Inputs'!$B$32)/1000+'Inputs'!$B$21+'Inputs'!$B$7+'Inputs'!$B$10))^2+('Inputs'!$B$8/2)^2))))*'Results'!$B$8))),"")</x:f>
        <x:v>859.9734905465028</x:v>
      </x:c>
      <x:c r="L96" t="n">
        <x:f>IF(AND(ISNUMBER('Results'!B7),ISNUMBER('Results'!C7),ISNUMBER('Results'!$B$8),ISNUMBER('Inputs'!$B$6),ISNUMBER('Inputs'!$B$7),ISNUMBER('Inputs'!$B$8),ISNUMBER('Inputs'!$B$9),ISNUMBER('Inputs'!$B$10),ISNUMBER('Inputs'!$B$21),ISNUMBER('Inputs'!$B$24),ISNUMBER('Inputs'!$B$28)),((('Results'!B7*(1+'Inputs'!$B$24)*(0.5*((((96-43)*MAX('Inputs'!$B$33,'Inputs'!$B$29+'Inputs'!$B$31+'Inputs'!$B$32,'Inputs'!$B$30+'Inputs'!$B$31+'Inputs'!$B$32)/1000+'Inputs'!$B$21)+'Inputs'!$B$7)/SQRT((((96-43)*MAX('Inputs'!$B$33,'Inputs'!$B$29+'Inputs'!$B$31+'Inputs'!$B$32,'Inputs'!$B$30+'Inputs'!$B$31+'Inputs'!$B$32)/1000+'Inputs'!$B$21)+'Inputs'!$B$7)^2+('Inputs'!$B$6/2)^2)-(((96-43)*MAX('Inputs'!$B$33,'Inputs'!$B$29+'Inputs'!$B$31+'Inputs'!$B$32,'Inputs'!$B$30+'Inputs'!$B$31+'Inputs'!$B$32)/1000+'Inputs'!$B$21))/SQRT((((96-43)*MAX('Inputs'!$B$33,'Inputs'!$B$29+'Inputs'!$B$31+'Inputs'!$B$32,'Inputs'!$B$30+'Inputs'!$B$31+'Inputs'!$B$32)/1000+'Inputs'!$B$21))^2+('Inputs'!$B$6/2)^2)))-'Results'!C7*(1-'Inputs'!$B$24)*(0.5*((((96-43)*MAX('Inputs'!$B$33,'Inputs'!$B$29+'Inputs'!$B$31+'Inputs'!$B$32,'Inputs'!$B$30+'Inputs'!$B$31+'Inputs'!$B$32)/1000+'Inputs'!$B$21+'Inputs'!$B$7+'Inputs'!$B$10)+'Inputs'!$B$9)/SQRT((((96-43)*MAX('Inputs'!$B$33,'Inputs'!$B$29+'Inputs'!$B$31+'Inputs'!$B$32,'Inputs'!$B$30+'Inputs'!$B$31+'Inputs'!$B$32)/1000+'Inputs'!$B$21+'Inputs'!$B$7+'Inputs'!$B$10)+'Inputs'!$B$9)^2+('Inputs'!$B$8/2)^2)-(((96-43)*MAX('Inputs'!$B$33,'Inputs'!$B$29+'Inputs'!$B$31+'Inputs'!$B$32,'Inputs'!$B$30+'Inputs'!$B$31+'Inputs'!$B$32)/1000+'Inputs'!$B$21+'Inputs'!$B$7+'Inputs'!$B$10))/SQRT((((96-43)*MAX('Inputs'!$B$33,'Inputs'!$B$29+'Inputs'!$B$31+'Inputs'!$B$32,'Inputs'!$B$30+'Inputs'!$B$31+'Inputs'!$B$32)/1000+'Inputs'!$B$21+'Inputs'!$B$7+'Inputs'!$B$10))^2+('Inputs'!$B$8/2)^2))))*'Results'!$B$8)+'Inputs'!$B$28*ABS((('Results'!B7*(1+'Inputs'!$B$24)*(0.5*((((96-43)*MAX('Inputs'!$B$33,'Inputs'!$B$29+'Inputs'!$B$31+'Inputs'!$B$32,'Inputs'!$B$30+'Inputs'!$B$31+'Inputs'!$B$32)/1000+'Inputs'!$B$21)+'Inputs'!$B$7)/SQRT((((96-43)*MAX('Inputs'!$B$33,'Inputs'!$B$29+'Inputs'!$B$31+'Inputs'!$B$32,'Inputs'!$B$30+'Inputs'!$B$31+'Inputs'!$B$32)/1000+'Inputs'!$B$21)+'Inputs'!$B$7)^2+('Inputs'!$B$6/2)^2)-(((96-43)*MAX('Inputs'!$B$33,'Inputs'!$B$29+'Inputs'!$B$31+'Inputs'!$B$32,'Inputs'!$B$30+'Inputs'!$B$31+'Inputs'!$B$32)/1000+'Inputs'!$B$21))/SQRT((((96-43)*MAX('Inputs'!$B$33,'Inputs'!$B$29+'Inputs'!$B$31+'Inputs'!$B$32,'Inputs'!$B$30+'Inputs'!$B$31+'Inputs'!$B$32)/1000+'Inputs'!$B$21))^2+('Inputs'!$B$6/2)^2)))-'Results'!C7*(1-'Inputs'!$B$24)*(0.5*((((96-43)*MAX('Inputs'!$B$33,'Inputs'!$B$29+'Inputs'!$B$31+'Inputs'!$B$32,'Inputs'!$B$30+'Inputs'!$B$31+'Inputs'!$B$32)/1000+'Inputs'!$B$21+'Inputs'!$B$7+'Inputs'!$B$10)+'Inputs'!$B$9)/SQRT((((96-43)*MAX('Inputs'!$B$33,'Inputs'!$B$29+'Inputs'!$B$31+'Inputs'!$B$32,'Inputs'!$B$30+'Inputs'!$B$31+'Inputs'!$B$32)/1000+'Inputs'!$B$21+'Inputs'!$B$7+'Inputs'!$B$10)+'Inputs'!$B$9)^2+('Inputs'!$B$8/2)^2)-(((96-43)*MAX('Inputs'!$B$33,'Inputs'!$B$29+'Inputs'!$B$31+'Inputs'!$B$32,'Inputs'!$B$30+'Inputs'!$B$31+'Inputs'!$B$32)/1000+'Inputs'!$B$21+'Inputs'!$B$7+'Inputs'!$B$10))/SQRT((((96-43)*MAX('Inputs'!$B$33,'Inputs'!$B$29+'Inputs'!$B$31+'Inputs'!$B$32,'Inputs'!$B$30+'Inputs'!$B$31+'Inputs'!$B$32)/1000+'Inputs'!$B$21+'Inputs'!$B$7+'Inputs'!$B$10))^2+('Inputs'!$B$8/2)^2))))*'Results'!$B$8))),"")</x:f>
        <x:v>1002.7352906256981</x:v>
      </x:c>
      <x:c r="M96" t="n">
        <x:f>IF(AND(ISNUMBER('Results'!C7),ISNUMBER('Results'!B7),ISNUMBER('Results'!$B$8),ISNUMBER('Inputs'!$B$6),ISNUMBER('Inputs'!$B$7),ISNUMBER('Inputs'!$B$8),ISNUMBER('Inputs'!$B$9),ISNUMBER('Inputs'!$B$10),ISNUMBER('Inputs'!$B$21),ISNUMBER('Inputs'!$B$24),ISNUMBER('Inputs'!$B$28)),(('Results'!C7*(0.5*((((96-43)*MAX('Inputs'!$B$33,'Inputs'!$B$29+'Inputs'!$B$31+'Inputs'!$B$32,'Inputs'!$B$30+'Inputs'!$B$31+'Inputs'!$B$32)/1000+'Inputs'!$B$21)+'Inputs'!$B$9)/SQRT((((96-43)*MAX('Inputs'!$B$33,'Inputs'!$B$29+'Inputs'!$B$31+'Inputs'!$B$32,'Inputs'!$B$30+'Inputs'!$B$31+'Inputs'!$B$32)/1000+'Inputs'!$B$21)+'Inputs'!$B$9)^2+('Inputs'!$B$8/2)^2)-(((96-43)*MAX('Inputs'!$B$33,'Inputs'!$B$29+'Inputs'!$B$31+'Inputs'!$B$32,'Inputs'!$B$30+'Inputs'!$B$31+'Inputs'!$B$32)/1000+'Inputs'!$B$21))/SQRT((((96-43)*MAX('Inputs'!$B$33,'Inputs'!$B$29+'Inputs'!$B$31+'Inputs'!$B$32,'Inputs'!$B$30+'Inputs'!$B$31+'Inputs'!$B$32)/1000+'Inputs'!$B$21))^2+('Inputs'!$B$8/2)^2)))-'Results'!B7*(0.5*((((96-43)*MAX('Inputs'!$B$33,'Inputs'!$B$29+'Inputs'!$B$31+'Inputs'!$B$32,'Inputs'!$B$30+'Inputs'!$B$31+'Inputs'!$B$32)/1000+'Inputs'!$B$21+'Inputs'!$B$9+'Inputs'!$B$10)+'Inputs'!$B$7)/SQRT((((96-43)*MAX('Inputs'!$B$33,'Inputs'!$B$29+'Inputs'!$B$31+'Inputs'!$B$32,'Inputs'!$B$30+'Inputs'!$B$31+'Inputs'!$B$32)/1000+'Inputs'!$B$21+'Inputs'!$B$9+'Inputs'!$B$10)+'Inputs'!$B$7)^2+('Inputs'!$B$6/2)^2)-(((96-43)*MAX('Inputs'!$B$33,'Inputs'!$B$29+'Inputs'!$B$31+'Inputs'!$B$32,'Inputs'!$B$30+'Inputs'!$B$31+'Inputs'!$B$32)/1000+'Inputs'!$B$21+'Inputs'!$B$9+'Inputs'!$B$10))/SQRT((((96-43)*MAX('Inputs'!$B$33,'Inputs'!$B$29+'Inputs'!$B$31+'Inputs'!$B$32,'Inputs'!$B$30+'Inputs'!$B$31+'Inputs'!$B$32)/1000+'Inputs'!$B$21+'Inputs'!$B$9+'Inputs'!$B$10))^2+('Inputs'!$B$6/2)^2))))*'Results'!$B$8),"")</x:f>
        <x:v>905.1712414059283</x:v>
      </x:c>
      <x:c r="N96" t="n">
        <x:f>IF(AND(ISNUMBER('Results'!C7),ISNUMBER('Results'!B7),ISNUMBER('Results'!$B$8),ISNUMBER('Inputs'!$B$6),ISNUMBER('Inputs'!$B$7),ISNUMBER('Inputs'!$B$8),ISNUMBER('Inputs'!$B$9),ISNUMBER('Inputs'!$B$10),ISNUMBER('Inputs'!$B$21),ISNUMBER('Inputs'!$B$24),ISNUMBER('Inputs'!$B$28)),((('Results'!C7*(1-'Inputs'!$B$24)*(0.5*((((96-43)*MAX('Inputs'!$B$33,'Inputs'!$B$29+'Inputs'!$B$31+'Inputs'!$B$32,'Inputs'!$B$30+'Inputs'!$B$31+'Inputs'!$B$32)/1000+'Inputs'!$B$21)+'Inputs'!$B$9)/SQRT((((96-43)*MAX('Inputs'!$B$33,'Inputs'!$B$29+'Inputs'!$B$31+'Inputs'!$B$32,'Inputs'!$B$30+'Inputs'!$B$31+'Inputs'!$B$32)/1000+'Inputs'!$B$21)+'Inputs'!$B$9)^2+('Inputs'!$B$8/2)^2)-(((96-43)*MAX('Inputs'!$B$33,'Inputs'!$B$29+'Inputs'!$B$31+'Inputs'!$B$32,'Inputs'!$B$30+'Inputs'!$B$31+'Inputs'!$B$32)/1000+'Inputs'!$B$21))/SQRT((((96-43)*MAX('Inputs'!$B$33,'Inputs'!$B$29+'Inputs'!$B$31+'Inputs'!$B$32,'Inputs'!$B$30+'Inputs'!$B$31+'Inputs'!$B$32)/1000+'Inputs'!$B$21))^2+('Inputs'!$B$8/2)^2)))-'Results'!B7*(1+'Inputs'!$B$24)*(0.5*((((96-43)*MAX('Inputs'!$B$33,'Inputs'!$B$29+'Inputs'!$B$31+'Inputs'!$B$32,'Inputs'!$B$30+'Inputs'!$B$31+'Inputs'!$B$32)/1000+'Inputs'!$B$21+'Inputs'!$B$9+'Inputs'!$B$10)+'Inputs'!$B$7)/SQRT((((96-43)*MAX('Inputs'!$B$33,'Inputs'!$B$29+'Inputs'!$B$31+'Inputs'!$B$32,'Inputs'!$B$30+'Inputs'!$B$31+'Inputs'!$B$32)/1000+'Inputs'!$B$21+'Inputs'!$B$9+'Inputs'!$B$10)+'Inputs'!$B$7)^2+('Inputs'!$B$6/2)^2)-(((96-43)*MAX('Inputs'!$B$33,'Inputs'!$B$29+'Inputs'!$B$31+'Inputs'!$B$32,'Inputs'!$B$30+'Inputs'!$B$31+'Inputs'!$B$32)/1000+'Inputs'!$B$21+'Inputs'!$B$9+'Inputs'!$B$10))/SQRT((((96-43)*MAX('Inputs'!$B$33,'Inputs'!$B$29+'Inputs'!$B$31+'Inputs'!$B$32,'Inputs'!$B$30+'Inputs'!$B$31+'Inputs'!$B$32)/1000+'Inputs'!$B$21+'Inputs'!$B$9+'Inputs'!$B$10))^2+('Inputs'!$B$6/2)^2))))*'Results'!$B$8)-'Inputs'!$B$28*ABS((('Results'!C7*(1-'Inputs'!$B$24)*(0.5*((((96-43)*MAX('Inputs'!$B$33,'Inputs'!$B$29+'Inputs'!$B$31+'Inputs'!$B$32,'Inputs'!$B$30+'Inputs'!$B$31+'Inputs'!$B$32)/1000+'Inputs'!$B$21)+'Inputs'!$B$9)/SQRT((((96-43)*MAX('Inputs'!$B$33,'Inputs'!$B$29+'Inputs'!$B$31+'Inputs'!$B$32,'Inputs'!$B$30+'Inputs'!$B$31+'Inputs'!$B$32)/1000+'Inputs'!$B$21)+'Inputs'!$B$9)^2+('Inputs'!$B$8/2)^2)-(((96-43)*MAX('Inputs'!$B$33,'Inputs'!$B$29+'Inputs'!$B$31+'Inputs'!$B$32,'Inputs'!$B$30+'Inputs'!$B$31+'Inputs'!$B$32)/1000+'Inputs'!$B$21))/SQRT((((96-43)*MAX('Inputs'!$B$33,'Inputs'!$B$29+'Inputs'!$B$31+'Inputs'!$B$32,'Inputs'!$B$30+'Inputs'!$B$31+'Inputs'!$B$32)/1000+'Inputs'!$B$21))^2+('Inputs'!$B$8/2)^2)))-'Results'!B7*(1+'Inputs'!$B$24)*(0.5*((((96-43)*MAX('Inputs'!$B$33,'Inputs'!$B$29+'Inputs'!$B$31+'Inputs'!$B$32,'Inputs'!$B$30+'Inputs'!$B$31+'Inputs'!$B$32)/1000+'Inputs'!$B$21+'Inputs'!$B$9+'Inputs'!$B$10)+'Inputs'!$B$7)/SQRT((((96-43)*MAX('Inputs'!$B$33,'Inputs'!$B$29+'Inputs'!$B$31+'Inputs'!$B$32,'Inputs'!$B$30+'Inputs'!$B$31+'Inputs'!$B$32)/1000+'Inputs'!$B$21+'Inputs'!$B$9+'Inputs'!$B$10)+'Inputs'!$B$7)^2+('Inputs'!$B$6/2)^2)-(((96-43)*MAX('Inputs'!$B$33,'Inputs'!$B$29+'Inputs'!$B$31+'Inputs'!$B$32,'Inputs'!$B$30+'Inputs'!$B$31+'Inputs'!$B$32)/1000+'Inputs'!$B$21+'Inputs'!$B$9+'Inputs'!$B$10))/SQRT((((96-43)*MAX('Inputs'!$B$33,'Inputs'!$B$29+'Inputs'!$B$31+'Inputs'!$B$32,'Inputs'!$B$30+'Inputs'!$B$31+'Inputs'!$B$32)/1000+'Inputs'!$B$21+'Inputs'!$B$9+'Inputs'!$B$10))^2+('Inputs'!$B$6/2)^2))))*'Results'!$B$8))),"")</x:f>
        <x:v>836.6333046618344</x:v>
      </x:c>
      <x:c r="O96" t="n">
        <x:f>IF(AND(ISNUMBER('Results'!C7),ISNUMBER('Results'!B7),ISNUMBER('Results'!$B$8),ISNUMBER('Inputs'!$B$6),ISNUMBER('Inputs'!$B$7),ISNUMBER('Inputs'!$B$8),ISNUMBER('Inputs'!$B$9),ISNUMBER('Inputs'!$B$10),ISNUMBER('Inputs'!$B$21),ISNUMBER('Inputs'!$B$24),ISNUMBER('Inputs'!$B$28)),((('Results'!C7*(1+'Inputs'!$B$24)*(0.5*((((96-43)*MAX('Inputs'!$B$33,'Inputs'!$B$29+'Inputs'!$B$31+'Inputs'!$B$32,'Inputs'!$B$30+'Inputs'!$B$31+'Inputs'!$B$32)/1000+'Inputs'!$B$21)+'Inputs'!$B$9)/SQRT((((96-43)*MAX('Inputs'!$B$33,'Inputs'!$B$29+'Inputs'!$B$31+'Inputs'!$B$32,'Inputs'!$B$30+'Inputs'!$B$31+'Inputs'!$B$32)/1000+'Inputs'!$B$21)+'Inputs'!$B$9)^2+('Inputs'!$B$8/2)^2)-(((96-43)*MAX('Inputs'!$B$33,'Inputs'!$B$29+'Inputs'!$B$31+'Inputs'!$B$32,'Inputs'!$B$30+'Inputs'!$B$31+'Inputs'!$B$32)/1000+'Inputs'!$B$21))/SQRT((((96-43)*MAX('Inputs'!$B$33,'Inputs'!$B$29+'Inputs'!$B$31+'Inputs'!$B$32,'Inputs'!$B$30+'Inputs'!$B$31+'Inputs'!$B$32)/1000+'Inputs'!$B$21))^2+('Inputs'!$B$8/2)^2)))-'Results'!B7*(1-'Inputs'!$B$24)*(0.5*((((96-43)*MAX('Inputs'!$B$33,'Inputs'!$B$29+'Inputs'!$B$31+'Inputs'!$B$32,'Inputs'!$B$30+'Inputs'!$B$31+'Inputs'!$B$32)/1000+'Inputs'!$B$21+'Inputs'!$B$9+'Inputs'!$B$10)+'Inputs'!$B$7)/SQRT((((96-43)*MAX('Inputs'!$B$33,'Inputs'!$B$29+'Inputs'!$B$31+'Inputs'!$B$32,'Inputs'!$B$30+'Inputs'!$B$31+'Inputs'!$B$32)/1000+'Inputs'!$B$21+'Inputs'!$B$9+'Inputs'!$B$10)+'Inputs'!$B$7)^2+('Inputs'!$B$6/2)^2)-(((96-43)*MAX('Inputs'!$B$33,'Inputs'!$B$29+'Inputs'!$B$31+'Inputs'!$B$32,'Inputs'!$B$30+'Inputs'!$B$31+'Inputs'!$B$32)/1000+'Inputs'!$B$21+'Inputs'!$B$9+'Inputs'!$B$10))/SQRT((((96-43)*MAX('Inputs'!$B$33,'Inputs'!$B$29+'Inputs'!$B$31+'Inputs'!$B$32,'Inputs'!$B$30+'Inputs'!$B$31+'Inputs'!$B$32)/1000+'Inputs'!$B$21+'Inputs'!$B$9+'Inputs'!$B$10))^2+('Inputs'!$B$6/2)^2))))*'Results'!$B$8)+'Inputs'!$B$28*ABS((('Results'!C7*(1+'Inputs'!$B$24)*(0.5*((((96-43)*MAX('Inputs'!$B$33,'Inputs'!$B$29+'Inputs'!$B$31+'Inputs'!$B$32,'Inputs'!$B$30+'Inputs'!$B$31+'Inputs'!$B$32)/1000+'Inputs'!$B$21)+'Inputs'!$B$9)/SQRT((((96-43)*MAX('Inputs'!$B$33,'Inputs'!$B$29+'Inputs'!$B$31+'Inputs'!$B$32,'Inputs'!$B$30+'Inputs'!$B$31+'Inputs'!$B$32)/1000+'Inputs'!$B$21)+'Inputs'!$B$9)^2+('Inputs'!$B$8/2)^2)-(((96-43)*MAX('Inputs'!$B$33,'Inputs'!$B$29+'Inputs'!$B$31+'Inputs'!$B$32,'Inputs'!$B$30+'Inputs'!$B$31+'Inputs'!$B$32)/1000+'Inputs'!$B$21))/SQRT((((96-43)*MAX('Inputs'!$B$33,'Inputs'!$B$29+'Inputs'!$B$31+'Inputs'!$B$32,'Inputs'!$B$30+'Inputs'!$B$31+'Inputs'!$B$32)/1000+'Inputs'!$B$21))^2+('Inputs'!$B$8/2)^2)))-'Results'!B7*(1-'Inputs'!$B$24)*(0.5*((((96-43)*MAX('Inputs'!$B$33,'Inputs'!$B$29+'Inputs'!$B$31+'Inputs'!$B$32,'Inputs'!$B$30+'Inputs'!$B$31+'Inputs'!$B$32)/1000+'Inputs'!$B$21+'Inputs'!$B$9+'Inputs'!$B$10)+'Inputs'!$B$7)/SQRT((((96-43)*MAX('Inputs'!$B$33,'Inputs'!$B$29+'Inputs'!$B$31+'Inputs'!$B$32,'Inputs'!$B$30+'Inputs'!$B$31+'Inputs'!$B$32)/1000+'Inputs'!$B$21+'Inputs'!$B$9+'Inputs'!$B$10)+'Inputs'!$B$7)^2+('Inputs'!$B$6/2)^2)-(((96-43)*MAX('Inputs'!$B$33,'Inputs'!$B$29+'Inputs'!$B$31+'Inputs'!$B$32,'Inputs'!$B$30+'Inputs'!$B$31+'Inputs'!$B$32)/1000+'Inputs'!$B$21+'Inputs'!$B$9+'Inputs'!$B$10))/SQRT((((96-43)*MAX('Inputs'!$B$33,'Inputs'!$B$29+'Inputs'!$B$31+'Inputs'!$B$32,'Inputs'!$B$30+'Inputs'!$B$31+'Inputs'!$B$32)/1000+'Inputs'!$B$21+'Inputs'!$B$9+'Inputs'!$B$10))^2+('Inputs'!$B$6/2)^2))))*'Results'!$B$8))),"")</x:f>
        <x:v>976.159638642001</x:v>
      </x:c>
      <x:c r="P96" t="n">
        <x:f>IF(AND(MAX(J96,J95)&gt;0,J96&gt;J95+0.00000001),1,0)</x:f>
        <x:v>0</x:v>
      </x:c>
      <x:c r="Q96" t="n">
        <x:f>IF(AND(MAX(K96,K95)&gt;0,K96&gt;K95+0.00000001),1,0)</x:f>
        <x:v>0</x:v>
      </x:c>
      <x:c r="R96" t="n">
        <x:f>IF(AND(MAX(L96,L95)&gt;0,L96&gt;L95+0.00000001),1,0)</x:f>
        <x:v>0</x:v>
      </x:c>
      <x:c r="S96" t="n">
        <x:f>IF(AND(MAX(M96,M95)&gt;0,M96&gt;M95+0.00000001),1,0)</x:f>
        <x:v>0</x:v>
      </x:c>
      <x:c r="T96" t="n">
        <x:f>IF(AND(MAX(N96,N95)&gt;0,N96&gt;N95+0.00000001),1,0)</x:f>
        <x:v>0</x:v>
      </x:c>
      <x:c r="U96" t="n">
        <x:f>IF(AND(MAX(O96,O95)&gt;0,O96&gt;O95+0.00000001),1,0)</x:f>
        <x:v>0</x:v>
      </x:c>
    </x:row>
    <x:row r="97">
      <x:c r="J97" t="n">
        <x:f>IF(AND(ISNUMBER('Results'!B7),ISNUMBER('Results'!C7),ISNUMBER('Results'!$B$8),ISNUMBER('Inputs'!$B$6),ISNUMBER('Inputs'!$B$7),ISNUMBER('Inputs'!$B$8),ISNUMBER('Inputs'!$B$9),ISNUMBER('Inputs'!$B$10),ISNUMBER('Inputs'!$B$21),ISNUMBER('Inputs'!$B$24),ISNUMBER('Inputs'!$B$28)),(('Results'!B7*(0.5*((((97-43)*MAX('Inputs'!$B$33,'Inputs'!$B$29+'Inputs'!$B$31+'Inputs'!$B$32,'Inputs'!$B$30+'Inputs'!$B$31+'Inputs'!$B$32)/1000+'Inputs'!$B$21)+'Inputs'!$B$7)/SQRT((((97-43)*MAX('Inputs'!$B$33,'Inputs'!$B$29+'Inputs'!$B$31+'Inputs'!$B$32,'Inputs'!$B$30+'Inputs'!$B$31+'Inputs'!$B$32)/1000+'Inputs'!$B$21)+'Inputs'!$B$7)^2+('Inputs'!$B$6/2)^2)-(((97-43)*MAX('Inputs'!$B$33,'Inputs'!$B$29+'Inputs'!$B$31+'Inputs'!$B$32,'Inputs'!$B$30+'Inputs'!$B$31+'Inputs'!$B$32)/1000+'Inputs'!$B$21))/SQRT((((97-43)*MAX('Inputs'!$B$33,'Inputs'!$B$29+'Inputs'!$B$31+'Inputs'!$B$32,'Inputs'!$B$30+'Inputs'!$B$31+'Inputs'!$B$32)/1000+'Inputs'!$B$21))^2+('Inputs'!$B$6/2)^2)))-'Results'!C7*(0.5*((((97-43)*MAX('Inputs'!$B$33,'Inputs'!$B$29+'Inputs'!$B$31+'Inputs'!$B$32,'Inputs'!$B$30+'Inputs'!$B$31+'Inputs'!$B$32)/1000+'Inputs'!$B$21+'Inputs'!$B$7+'Inputs'!$B$10)+'Inputs'!$B$9)/SQRT((((97-43)*MAX('Inputs'!$B$33,'Inputs'!$B$29+'Inputs'!$B$31+'Inputs'!$B$32,'Inputs'!$B$30+'Inputs'!$B$31+'Inputs'!$B$32)/1000+'Inputs'!$B$21+'Inputs'!$B$7+'Inputs'!$B$10)+'Inputs'!$B$9)^2+('Inputs'!$B$8/2)^2)-(((97-43)*MAX('Inputs'!$B$33,'Inputs'!$B$29+'Inputs'!$B$31+'Inputs'!$B$32,'Inputs'!$B$30+'Inputs'!$B$31+'Inputs'!$B$32)/1000+'Inputs'!$B$21+'Inputs'!$B$7+'Inputs'!$B$10))/SQRT((((97-43)*MAX('Inputs'!$B$33,'Inputs'!$B$29+'Inputs'!$B$31+'Inputs'!$B$32,'Inputs'!$B$30+'Inputs'!$B$31+'Inputs'!$B$32)/1000+'Inputs'!$B$21+'Inputs'!$B$7+'Inputs'!$B$10))^2+('Inputs'!$B$8/2)^2))))*'Results'!$B$8),"")</x:f>
        <x:v>912.2868953044027</x:v>
      </x:c>
      <x:c r="K97" t="n">
        <x:f>IF(AND(ISNUMBER('Results'!B7),ISNUMBER('Results'!C7),ISNUMBER('Results'!$B$8),ISNUMBER('Inputs'!$B$6),ISNUMBER('Inputs'!$B$7),ISNUMBER('Inputs'!$B$8),ISNUMBER('Inputs'!$B$9),ISNUMBER('Inputs'!$B$10),ISNUMBER('Inputs'!$B$21),ISNUMBER('Inputs'!$B$24),ISNUMBER('Inputs'!$B$28)),((('Results'!B7*(1-'Inputs'!$B$24)*(0.5*((((97-43)*MAX('Inputs'!$B$33,'Inputs'!$B$29+'Inputs'!$B$31+'Inputs'!$B$32,'Inputs'!$B$30+'Inputs'!$B$31+'Inputs'!$B$32)/1000+'Inputs'!$B$21)+'Inputs'!$B$7)/SQRT((((97-43)*MAX('Inputs'!$B$33,'Inputs'!$B$29+'Inputs'!$B$31+'Inputs'!$B$32,'Inputs'!$B$30+'Inputs'!$B$31+'Inputs'!$B$32)/1000+'Inputs'!$B$21)+'Inputs'!$B$7)^2+('Inputs'!$B$6/2)^2)-(((97-43)*MAX('Inputs'!$B$33,'Inputs'!$B$29+'Inputs'!$B$31+'Inputs'!$B$32,'Inputs'!$B$30+'Inputs'!$B$31+'Inputs'!$B$32)/1000+'Inputs'!$B$21))/SQRT((((97-43)*MAX('Inputs'!$B$33,'Inputs'!$B$29+'Inputs'!$B$31+'Inputs'!$B$32,'Inputs'!$B$30+'Inputs'!$B$31+'Inputs'!$B$32)/1000+'Inputs'!$B$21))^2+('Inputs'!$B$6/2)^2)))-'Results'!C7*(1+'Inputs'!$B$24)*(0.5*((((97-43)*MAX('Inputs'!$B$33,'Inputs'!$B$29+'Inputs'!$B$31+'Inputs'!$B$32,'Inputs'!$B$30+'Inputs'!$B$31+'Inputs'!$B$32)/1000+'Inputs'!$B$21+'Inputs'!$B$7+'Inputs'!$B$10)+'Inputs'!$B$9)/SQRT((((97-43)*MAX('Inputs'!$B$33,'Inputs'!$B$29+'Inputs'!$B$31+'Inputs'!$B$32,'Inputs'!$B$30+'Inputs'!$B$31+'Inputs'!$B$32)/1000+'Inputs'!$B$21+'Inputs'!$B$7+'Inputs'!$B$10)+'Inputs'!$B$9)^2+('Inputs'!$B$8/2)^2)-(((97-43)*MAX('Inputs'!$B$33,'Inputs'!$B$29+'Inputs'!$B$31+'Inputs'!$B$32,'Inputs'!$B$30+'Inputs'!$B$31+'Inputs'!$B$32)/1000+'Inputs'!$B$21+'Inputs'!$B$7+'Inputs'!$B$10))/SQRT((((97-43)*MAX('Inputs'!$B$33,'Inputs'!$B$29+'Inputs'!$B$31+'Inputs'!$B$32,'Inputs'!$B$30+'Inputs'!$B$31+'Inputs'!$B$32)/1000+'Inputs'!$B$21+'Inputs'!$B$7+'Inputs'!$B$10))^2+('Inputs'!$B$8/2)^2))))*'Results'!$B$8)-'Inputs'!$B$28*ABS((('Results'!B7*(1-'Inputs'!$B$24)*(0.5*((((97-43)*MAX('Inputs'!$B$33,'Inputs'!$B$29+'Inputs'!$B$31+'Inputs'!$B$32,'Inputs'!$B$30+'Inputs'!$B$31+'Inputs'!$B$32)/1000+'Inputs'!$B$21)+'Inputs'!$B$7)/SQRT((((97-43)*MAX('Inputs'!$B$33,'Inputs'!$B$29+'Inputs'!$B$31+'Inputs'!$B$32,'Inputs'!$B$30+'Inputs'!$B$31+'Inputs'!$B$32)/1000+'Inputs'!$B$21)+'Inputs'!$B$7)^2+('Inputs'!$B$6/2)^2)-(((97-43)*MAX('Inputs'!$B$33,'Inputs'!$B$29+'Inputs'!$B$31+'Inputs'!$B$32,'Inputs'!$B$30+'Inputs'!$B$31+'Inputs'!$B$32)/1000+'Inputs'!$B$21))/SQRT((((97-43)*MAX('Inputs'!$B$33,'Inputs'!$B$29+'Inputs'!$B$31+'Inputs'!$B$32,'Inputs'!$B$30+'Inputs'!$B$31+'Inputs'!$B$32)/1000+'Inputs'!$B$21))^2+('Inputs'!$B$6/2)^2)))-'Results'!C7*(1+'Inputs'!$B$24)*(0.5*((((97-43)*MAX('Inputs'!$B$33,'Inputs'!$B$29+'Inputs'!$B$31+'Inputs'!$B$32,'Inputs'!$B$30+'Inputs'!$B$31+'Inputs'!$B$32)/1000+'Inputs'!$B$21+'Inputs'!$B$7+'Inputs'!$B$10)+'Inputs'!$B$9)/SQRT((((97-43)*MAX('Inputs'!$B$33,'Inputs'!$B$29+'Inputs'!$B$31+'Inputs'!$B$32,'Inputs'!$B$30+'Inputs'!$B$31+'Inputs'!$B$32)/1000+'Inputs'!$B$21+'Inputs'!$B$7+'Inputs'!$B$10)+'Inputs'!$B$9)^2+('Inputs'!$B$8/2)^2)-(((97-43)*MAX('Inputs'!$B$33,'Inputs'!$B$29+'Inputs'!$B$31+'Inputs'!$B$32,'Inputs'!$B$30+'Inputs'!$B$31+'Inputs'!$B$32)/1000+'Inputs'!$B$21+'Inputs'!$B$7+'Inputs'!$B$10))/SQRT((((97-43)*MAX('Inputs'!$B$33,'Inputs'!$B$29+'Inputs'!$B$31+'Inputs'!$B$32,'Inputs'!$B$30+'Inputs'!$B$31+'Inputs'!$B$32)/1000+'Inputs'!$B$21+'Inputs'!$B$7+'Inputs'!$B$10))^2+('Inputs'!$B$8/2)^2))))*'Results'!$B$8))),"")</x:f>
        <x:v>843.4603822066005</x:v>
      </x:c>
      <x:c r="L97" t="n">
        <x:f>IF(AND(ISNUMBER('Results'!B7),ISNUMBER('Results'!C7),ISNUMBER('Results'!$B$8),ISNUMBER('Inputs'!$B$6),ISNUMBER('Inputs'!$B$7),ISNUMBER('Inputs'!$B$8),ISNUMBER('Inputs'!$B$9),ISNUMBER('Inputs'!$B$10),ISNUMBER('Inputs'!$B$21),ISNUMBER('Inputs'!$B$24),ISNUMBER('Inputs'!$B$28)),((('Results'!B7*(1+'Inputs'!$B$24)*(0.5*((((97-43)*MAX('Inputs'!$B$33,'Inputs'!$B$29+'Inputs'!$B$31+'Inputs'!$B$32,'Inputs'!$B$30+'Inputs'!$B$31+'Inputs'!$B$32)/1000+'Inputs'!$B$21)+'Inputs'!$B$7)/SQRT((((97-43)*MAX('Inputs'!$B$33,'Inputs'!$B$29+'Inputs'!$B$31+'Inputs'!$B$32,'Inputs'!$B$30+'Inputs'!$B$31+'Inputs'!$B$32)/1000+'Inputs'!$B$21)+'Inputs'!$B$7)^2+('Inputs'!$B$6/2)^2)-(((97-43)*MAX('Inputs'!$B$33,'Inputs'!$B$29+'Inputs'!$B$31+'Inputs'!$B$32,'Inputs'!$B$30+'Inputs'!$B$31+'Inputs'!$B$32)/1000+'Inputs'!$B$21))/SQRT((((97-43)*MAX('Inputs'!$B$33,'Inputs'!$B$29+'Inputs'!$B$31+'Inputs'!$B$32,'Inputs'!$B$30+'Inputs'!$B$31+'Inputs'!$B$32)/1000+'Inputs'!$B$21))^2+('Inputs'!$B$6/2)^2)))-'Results'!C7*(1-'Inputs'!$B$24)*(0.5*((((97-43)*MAX('Inputs'!$B$33,'Inputs'!$B$29+'Inputs'!$B$31+'Inputs'!$B$32,'Inputs'!$B$30+'Inputs'!$B$31+'Inputs'!$B$32)/1000+'Inputs'!$B$21+'Inputs'!$B$7+'Inputs'!$B$10)+'Inputs'!$B$9)/SQRT((((97-43)*MAX('Inputs'!$B$33,'Inputs'!$B$29+'Inputs'!$B$31+'Inputs'!$B$32,'Inputs'!$B$30+'Inputs'!$B$31+'Inputs'!$B$32)/1000+'Inputs'!$B$21+'Inputs'!$B$7+'Inputs'!$B$10)+'Inputs'!$B$9)^2+('Inputs'!$B$8/2)^2)-(((97-43)*MAX('Inputs'!$B$33,'Inputs'!$B$29+'Inputs'!$B$31+'Inputs'!$B$32,'Inputs'!$B$30+'Inputs'!$B$31+'Inputs'!$B$32)/1000+'Inputs'!$B$21+'Inputs'!$B$7+'Inputs'!$B$10))/SQRT((((97-43)*MAX('Inputs'!$B$33,'Inputs'!$B$29+'Inputs'!$B$31+'Inputs'!$B$32,'Inputs'!$B$30+'Inputs'!$B$31+'Inputs'!$B$32)/1000+'Inputs'!$B$21+'Inputs'!$B$7+'Inputs'!$B$10))^2+('Inputs'!$B$8/2)^2))))*'Results'!$B$8)+'Inputs'!$B$28*ABS((('Results'!B7*(1+'Inputs'!$B$24)*(0.5*((((97-43)*MAX('Inputs'!$B$33,'Inputs'!$B$29+'Inputs'!$B$31+'Inputs'!$B$32,'Inputs'!$B$30+'Inputs'!$B$31+'Inputs'!$B$32)/1000+'Inputs'!$B$21)+'Inputs'!$B$7)/SQRT((((97-43)*MAX('Inputs'!$B$33,'Inputs'!$B$29+'Inputs'!$B$31+'Inputs'!$B$32,'Inputs'!$B$30+'Inputs'!$B$31+'Inputs'!$B$32)/1000+'Inputs'!$B$21)+'Inputs'!$B$7)^2+('Inputs'!$B$6/2)^2)-(((97-43)*MAX('Inputs'!$B$33,'Inputs'!$B$29+'Inputs'!$B$31+'Inputs'!$B$32,'Inputs'!$B$30+'Inputs'!$B$31+'Inputs'!$B$32)/1000+'Inputs'!$B$21))/SQRT((((97-43)*MAX('Inputs'!$B$33,'Inputs'!$B$29+'Inputs'!$B$31+'Inputs'!$B$32,'Inputs'!$B$30+'Inputs'!$B$31+'Inputs'!$B$32)/1000+'Inputs'!$B$21))^2+('Inputs'!$B$6/2)^2)))-'Results'!C7*(1-'Inputs'!$B$24)*(0.5*((((97-43)*MAX('Inputs'!$B$33,'Inputs'!$B$29+'Inputs'!$B$31+'Inputs'!$B$32,'Inputs'!$B$30+'Inputs'!$B$31+'Inputs'!$B$32)/1000+'Inputs'!$B$21+'Inputs'!$B$7+'Inputs'!$B$10)+'Inputs'!$B$9)/SQRT((((97-43)*MAX('Inputs'!$B$33,'Inputs'!$B$29+'Inputs'!$B$31+'Inputs'!$B$32,'Inputs'!$B$30+'Inputs'!$B$31+'Inputs'!$B$32)/1000+'Inputs'!$B$21+'Inputs'!$B$7+'Inputs'!$B$10)+'Inputs'!$B$9)^2+('Inputs'!$B$8/2)^2)-(((97-43)*MAX('Inputs'!$B$33,'Inputs'!$B$29+'Inputs'!$B$31+'Inputs'!$B$32,'Inputs'!$B$30+'Inputs'!$B$31+'Inputs'!$B$32)/1000+'Inputs'!$B$21+'Inputs'!$B$7+'Inputs'!$B$10))/SQRT((((97-43)*MAX('Inputs'!$B$33,'Inputs'!$B$29+'Inputs'!$B$31+'Inputs'!$B$32,'Inputs'!$B$30+'Inputs'!$B$31+'Inputs'!$B$32)/1000+'Inputs'!$B$21+'Inputs'!$B$7+'Inputs'!$B$10))^2+('Inputs'!$B$8/2)^2))))*'Results'!$B$8))),"")</x:f>
        <x:v>983.5567945424767</x:v>
      </x:c>
      <x:c r="M97" t="n">
        <x:f>IF(AND(ISNUMBER('Results'!C7),ISNUMBER('Results'!B7),ISNUMBER('Results'!$B$8),ISNUMBER('Inputs'!$B$6),ISNUMBER('Inputs'!$B$7),ISNUMBER('Inputs'!$B$8),ISNUMBER('Inputs'!$B$9),ISNUMBER('Inputs'!$B$10),ISNUMBER('Inputs'!$B$21),ISNUMBER('Inputs'!$B$24),ISNUMBER('Inputs'!$B$28)),(('Results'!C7*(0.5*((((97-43)*MAX('Inputs'!$B$33,'Inputs'!$B$29+'Inputs'!$B$31+'Inputs'!$B$32,'Inputs'!$B$30+'Inputs'!$B$31+'Inputs'!$B$32)/1000+'Inputs'!$B$21)+'Inputs'!$B$9)/SQRT((((97-43)*MAX('Inputs'!$B$33,'Inputs'!$B$29+'Inputs'!$B$31+'Inputs'!$B$32,'Inputs'!$B$30+'Inputs'!$B$31+'Inputs'!$B$32)/1000+'Inputs'!$B$21)+'Inputs'!$B$9)^2+('Inputs'!$B$8/2)^2)-(((97-43)*MAX('Inputs'!$B$33,'Inputs'!$B$29+'Inputs'!$B$31+'Inputs'!$B$32,'Inputs'!$B$30+'Inputs'!$B$31+'Inputs'!$B$32)/1000+'Inputs'!$B$21))/SQRT((((97-43)*MAX('Inputs'!$B$33,'Inputs'!$B$29+'Inputs'!$B$31+'Inputs'!$B$32,'Inputs'!$B$30+'Inputs'!$B$31+'Inputs'!$B$32)/1000+'Inputs'!$B$21))^2+('Inputs'!$B$8/2)^2)))-'Results'!B7*(0.5*((((97-43)*MAX('Inputs'!$B$33,'Inputs'!$B$29+'Inputs'!$B$31+'Inputs'!$B$32,'Inputs'!$B$30+'Inputs'!$B$31+'Inputs'!$B$32)/1000+'Inputs'!$B$21+'Inputs'!$B$9+'Inputs'!$B$10)+'Inputs'!$B$7)/SQRT((((97-43)*MAX('Inputs'!$B$33,'Inputs'!$B$29+'Inputs'!$B$31+'Inputs'!$B$32,'Inputs'!$B$30+'Inputs'!$B$31+'Inputs'!$B$32)/1000+'Inputs'!$B$21+'Inputs'!$B$9+'Inputs'!$B$10)+'Inputs'!$B$7)^2+('Inputs'!$B$6/2)^2)-(((97-43)*MAX('Inputs'!$B$33,'Inputs'!$B$29+'Inputs'!$B$31+'Inputs'!$B$32,'Inputs'!$B$30+'Inputs'!$B$31+'Inputs'!$B$32)/1000+'Inputs'!$B$21+'Inputs'!$B$9+'Inputs'!$B$10))/SQRT((((97-43)*MAX('Inputs'!$B$33,'Inputs'!$B$29+'Inputs'!$B$31+'Inputs'!$B$32,'Inputs'!$B$30+'Inputs'!$B$31+'Inputs'!$B$32)/1000+'Inputs'!$B$21+'Inputs'!$B$9+'Inputs'!$B$10))^2+('Inputs'!$B$6/2)^2))))*'Results'!$B$8),"")</x:f>
        <x:v>887.7898897843722</x:v>
      </x:c>
      <x:c r="N97" t="n">
        <x:f>IF(AND(ISNUMBER('Results'!C7),ISNUMBER('Results'!B7),ISNUMBER('Results'!$B$8),ISNUMBER('Inputs'!$B$6),ISNUMBER('Inputs'!$B$7),ISNUMBER('Inputs'!$B$8),ISNUMBER('Inputs'!$B$9),ISNUMBER('Inputs'!$B$10),ISNUMBER('Inputs'!$B$21),ISNUMBER('Inputs'!$B$24),ISNUMBER('Inputs'!$B$28)),((('Results'!C7*(1-'Inputs'!$B$24)*(0.5*((((97-43)*MAX('Inputs'!$B$33,'Inputs'!$B$29+'Inputs'!$B$31+'Inputs'!$B$32,'Inputs'!$B$30+'Inputs'!$B$31+'Inputs'!$B$32)/1000+'Inputs'!$B$21)+'Inputs'!$B$9)/SQRT((((97-43)*MAX('Inputs'!$B$33,'Inputs'!$B$29+'Inputs'!$B$31+'Inputs'!$B$32,'Inputs'!$B$30+'Inputs'!$B$31+'Inputs'!$B$32)/1000+'Inputs'!$B$21)+'Inputs'!$B$9)^2+('Inputs'!$B$8/2)^2)-(((97-43)*MAX('Inputs'!$B$33,'Inputs'!$B$29+'Inputs'!$B$31+'Inputs'!$B$32,'Inputs'!$B$30+'Inputs'!$B$31+'Inputs'!$B$32)/1000+'Inputs'!$B$21))/SQRT((((97-43)*MAX('Inputs'!$B$33,'Inputs'!$B$29+'Inputs'!$B$31+'Inputs'!$B$32,'Inputs'!$B$30+'Inputs'!$B$31+'Inputs'!$B$32)/1000+'Inputs'!$B$21))^2+('Inputs'!$B$8/2)^2)))-'Results'!B7*(1+'Inputs'!$B$24)*(0.5*((((97-43)*MAX('Inputs'!$B$33,'Inputs'!$B$29+'Inputs'!$B$31+'Inputs'!$B$32,'Inputs'!$B$30+'Inputs'!$B$31+'Inputs'!$B$32)/1000+'Inputs'!$B$21+'Inputs'!$B$9+'Inputs'!$B$10)+'Inputs'!$B$7)/SQRT((((97-43)*MAX('Inputs'!$B$33,'Inputs'!$B$29+'Inputs'!$B$31+'Inputs'!$B$32,'Inputs'!$B$30+'Inputs'!$B$31+'Inputs'!$B$32)/1000+'Inputs'!$B$21+'Inputs'!$B$9+'Inputs'!$B$10)+'Inputs'!$B$7)^2+('Inputs'!$B$6/2)^2)-(((97-43)*MAX('Inputs'!$B$33,'Inputs'!$B$29+'Inputs'!$B$31+'Inputs'!$B$32,'Inputs'!$B$30+'Inputs'!$B$31+'Inputs'!$B$32)/1000+'Inputs'!$B$21+'Inputs'!$B$9+'Inputs'!$B$10))/SQRT((((97-43)*MAX('Inputs'!$B$33,'Inputs'!$B$29+'Inputs'!$B$31+'Inputs'!$B$32,'Inputs'!$B$30+'Inputs'!$B$31+'Inputs'!$B$32)/1000+'Inputs'!$B$21+'Inputs'!$B$9+'Inputs'!$B$10))^2+('Inputs'!$B$6/2)^2))))*'Results'!$B$8)-'Inputs'!$B$28*ABS((('Results'!C7*(1-'Inputs'!$B$24)*(0.5*((((97-43)*MAX('Inputs'!$B$33,'Inputs'!$B$29+'Inputs'!$B$31+'Inputs'!$B$32,'Inputs'!$B$30+'Inputs'!$B$31+'Inputs'!$B$32)/1000+'Inputs'!$B$21)+'Inputs'!$B$9)/SQRT((((97-43)*MAX('Inputs'!$B$33,'Inputs'!$B$29+'Inputs'!$B$31+'Inputs'!$B$32,'Inputs'!$B$30+'Inputs'!$B$31+'Inputs'!$B$32)/1000+'Inputs'!$B$21)+'Inputs'!$B$9)^2+('Inputs'!$B$8/2)^2)-(((97-43)*MAX('Inputs'!$B$33,'Inputs'!$B$29+'Inputs'!$B$31+'Inputs'!$B$32,'Inputs'!$B$30+'Inputs'!$B$31+'Inputs'!$B$32)/1000+'Inputs'!$B$21))/SQRT((((97-43)*MAX('Inputs'!$B$33,'Inputs'!$B$29+'Inputs'!$B$31+'Inputs'!$B$32,'Inputs'!$B$30+'Inputs'!$B$31+'Inputs'!$B$32)/1000+'Inputs'!$B$21))^2+('Inputs'!$B$8/2)^2)))-'Results'!B7*(1+'Inputs'!$B$24)*(0.5*((((97-43)*MAX('Inputs'!$B$33,'Inputs'!$B$29+'Inputs'!$B$31+'Inputs'!$B$32,'Inputs'!$B$30+'Inputs'!$B$31+'Inputs'!$B$32)/1000+'Inputs'!$B$21+'Inputs'!$B$9+'Inputs'!$B$10)+'Inputs'!$B$7)/SQRT((((97-43)*MAX('Inputs'!$B$33,'Inputs'!$B$29+'Inputs'!$B$31+'Inputs'!$B$32,'Inputs'!$B$30+'Inputs'!$B$31+'Inputs'!$B$32)/1000+'Inputs'!$B$21+'Inputs'!$B$9+'Inputs'!$B$10)+'Inputs'!$B$7)^2+('Inputs'!$B$6/2)^2)-(((97-43)*MAX('Inputs'!$B$33,'Inputs'!$B$29+'Inputs'!$B$31+'Inputs'!$B$32,'Inputs'!$B$30+'Inputs'!$B$31+'Inputs'!$B$32)/1000+'Inputs'!$B$21+'Inputs'!$B$9+'Inputs'!$B$10))/SQRT((((97-43)*MAX('Inputs'!$B$33,'Inputs'!$B$29+'Inputs'!$B$31+'Inputs'!$B$32,'Inputs'!$B$30+'Inputs'!$B$31+'Inputs'!$B$32)/1000+'Inputs'!$B$21+'Inputs'!$B$9+'Inputs'!$B$10))^2+('Inputs'!$B$6/2)^2))))*'Results'!$B$8))),"")</x:f>
        <x:v>820.533696244558</x:v>
      </x:c>
      <x:c r="O97" t="n">
        <x:f>IF(AND(ISNUMBER('Results'!C7),ISNUMBER('Results'!B7),ISNUMBER('Results'!$B$8),ISNUMBER('Inputs'!$B$6),ISNUMBER('Inputs'!$B$7),ISNUMBER('Inputs'!$B$8),ISNUMBER('Inputs'!$B$9),ISNUMBER('Inputs'!$B$10),ISNUMBER('Inputs'!$B$21),ISNUMBER('Inputs'!$B$24),ISNUMBER('Inputs'!$B$28)),((('Results'!C7*(1+'Inputs'!$B$24)*(0.5*((((97-43)*MAX('Inputs'!$B$33,'Inputs'!$B$29+'Inputs'!$B$31+'Inputs'!$B$32,'Inputs'!$B$30+'Inputs'!$B$31+'Inputs'!$B$32)/1000+'Inputs'!$B$21)+'Inputs'!$B$9)/SQRT((((97-43)*MAX('Inputs'!$B$33,'Inputs'!$B$29+'Inputs'!$B$31+'Inputs'!$B$32,'Inputs'!$B$30+'Inputs'!$B$31+'Inputs'!$B$32)/1000+'Inputs'!$B$21)+'Inputs'!$B$9)^2+('Inputs'!$B$8/2)^2)-(((97-43)*MAX('Inputs'!$B$33,'Inputs'!$B$29+'Inputs'!$B$31+'Inputs'!$B$32,'Inputs'!$B$30+'Inputs'!$B$31+'Inputs'!$B$32)/1000+'Inputs'!$B$21))/SQRT((((97-43)*MAX('Inputs'!$B$33,'Inputs'!$B$29+'Inputs'!$B$31+'Inputs'!$B$32,'Inputs'!$B$30+'Inputs'!$B$31+'Inputs'!$B$32)/1000+'Inputs'!$B$21))^2+('Inputs'!$B$8/2)^2)))-'Results'!B7*(1-'Inputs'!$B$24)*(0.5*((((97-43)*MAX('Inputs'!$B$33,'Inputs'!$B$29+'Inputs'!$B$31+'Inputs'!$B$32,'Inputs'!$B$30+'Inputs'!$B$31+'Inputs'!$B$32)/1000+'Inputs'!$B$21+'Inputs'!$B$9+'Inputs'!$B$10)+'Inputs'!$B$7)/SQRT((((97-43)*MAX('Inputs'!$B$33,'Inputs'!$B$29+'Inputs'!$B$31+'Inputs'!$B$32,'Inputs'!$B$30+'Inputs'!$B$31+'Inputs'!$B$32)/1000+'Inputs'!$B$21+'Inputs'!$B$9+'Inputs'!$B$10)+'Inputs'!$B$7)^2+('Inputs'!$B$6/2)^2)-(((97-43)*MAX('Inputs'!$B$33,'Inputs'!$B$29+'Inputs'!$B$31+'Inputs'!$B$32,'Inputs'!$B$30+'Inputs'!$B$31+'Inputs'!$B$32)/1000+'Inputs'!$B$21+'Inputs'!$B$9+'Inputs'!$B$10))/SQRT((((97-43)*MAX('Inputs'!$B$33,'Inputs'!$B$29+'Inputs'!$B$31+'Inputs'!$B$32,'Inputs'!$B$30+'Inputs'!$B$31+'Inputs'!$B$32)/1000+'Inputs'!$B$21+'Inputs'!$B$9+'Inputs'!$B$10))^2+('Inputs'!$B$6/2)^2))))*'Results'!$B$8)+'Inputs'!$B$28*ABS((('Results'!C7*(1+'Inputs'!$B$24)*(0.5*((((97-43)*MAX('Inputs'!$B$33,'Inputs'!$B$29+'Inputs'!$B$31+'Inputs'!$B$32,'Inputs'!$B$30+'Inputs'!$B$31+'Inputs'!$B$32)/1000+'Inputs'!$B$21)+'Inputs'!$B$9)/SQRT((((97-43)*MAX('Inputs'!$B$33,'Inputs'!$B$29+'Inputs'!$B$31+'Inputs'!$B$32,'Inputs'!$B$30+'Inputs'!$B$31+'Inputs'!$B$32)/1000+'Inputs'!$B$21)+'Inputs'!$B$9)^2+('Inputs'!$B$8/2)^2)-(((97-43)*MAX('Inputs'!$B$33,'Inputs'!$B$29+'Inputs'!$B$31+'Inputs'!$B$32,'Inputs'!$B$30+'Inputs'!$B$31+'Inputs'!$B$32)/1000+'Inputs'!$B$21))/SQRT((((97-43)*MAX('Inputs'!$B$33,'Inputs'!$B$29+'Inputs'!$B$31+'Inputs'!$B$32,'Inputs'!$B$30+'Inputs'!$B$31+'Inputs'!$B$32)/1000+'Inputs'!$B$21))^2+('Inputs'!$B$8/2)^2)))-'Results'!B7*(1-'Inputs'!$B$24)*(0.5*((((97-43)*MAX('Inputs'!$B$33,'Inputs'!$B$29+'Inputs'!$B$31+'Inputs'!$B$32,'Inputs'!$B$30+'Inputs'!$B$31+'Inputs'!$B$32)/1000+'Inputs'!$B$21+'Inputs'!$B$9+'Inputs'!$B$10)+'Inputs'!$B$7)/SQRT((((97-43)*MAX('Inputs'!$B$33,'Inputs'!$B$29+'Inputs'!$B$31+'Inputs'!$B$32,'Inputs'!$B$30+'Inputs'!$B$31+'Inputs'!$B$32)/1000+'Inputs'!$B$21+'Inputs'!$B$9+'Inputs'!$B$10)+'Inputs'!$B$7)^2+('Inputs'!$B$6/2)^2)-(((97-43)*MAX('Inputs'!$B$33,'Inputs'!$B$29+'Inputs'!$B$31+'Inputs'!$B$32,'Inputs'!$B$30+'Inputs'!$B$31+'Inputs'!$B$32)/1000+'Inputs'!$B$21+'Inputs'!$B$9+'Inputs'!$B$10))/SQRT((((97-43)*MAX('Inputs'!$B$33,'Inputs'!$B$29+'Inputs'!$B$31+'Inputs'!$B$32,'Inputs'!$B$30+'Inputs'!$B$31+'Inputs'!$B$32)/1000+'Inputs'!$B$21+'Inputs'!$B$9+'Inputs'!$B$10))^2+('Inputs'!$B$6/2)^2))))*'Results'!$B$8))),"")</x:f>
        <x:v>957.4531042768806</x:v>
      </x:c>
      <x:c r="P97" t="n">
        <x:f>IF(AND(MAX(J97,J96)&gt;0,J97&gt;J96+0.00000001),1,0)</x:f>
        <x:v>0</x:v>
      </x:c>
      <x:c r="Q97" t="n">
        <x:f>IF(AND(MAX(K97,K96)&gt;0,K97&gt;K96+0.00000001),1,0)</x:f>
        <x:v>0</x:v>
      </x:c>
      <x:c r="R97" t="n">
        <x:f>IF(AND(MAX(L97,L96)&gt;0,L97&gt;L96+0.00000001),1,0)</x:f>
        <x:v>0</x:v>
      </x:c>
      <x:c r="S97" t="n">
        <x:f>IF(AND(MAX(M97,M96)&gt;0,M97&gt;M96+0.00000001),1,0)</x:f>
        <x:v>0</x:v>
      </x:c>
      <x:c r="T97" t="n">
        <x:f>IF(AND(MAX(N97,N96)&gt;0,N97&gt;N96+0.00000001),1,0)</x:f>
        <x:v>0</x:v>
      </x:c>
      <x:c r="U97" t="n">
        <x:f>IF(AND(MAX(O97,O96)&gt;0,O97&gt;O96+0.00000001),1,0)</x:f>
        <x:v>0</x:v>
      </x:c>
    </x:row>
    <x:row r="98">
      <x:c r="J98" t="n">
        <x:f>IF(AND(ISNUMBER('Results'!B7),ISNUMBER('Results'!C7),ISNUMBER('Results'!$B$8),ISNUMBER('Inputs'!$B$6),ISNUMBER('Inputs'!$B$7),ISNUMBER('Inputs'!$B$8),ISNUMBER('Inputs'!$B$9),ISNUMBER('Inputs'!$B$10),ISNUMBER('Inputs'!$B$21),ISNUMBER('Inputs'!$B$24),ISNUMBER('Inputs'!$B$28)),(('Results'!B7*(0.5*((((98-43)*MAX('Inputs'!$B$33,'Inputs'!$B$29+'Inputs'!$B$31+'Inputs'!$B$32,'Inputs'!$B$30+'Inputs'!$B$31+'Inputs'!$B$32)/1000+'Inputs'!$B$21)+'Inputs'!$B$7)/SQRT((((98-43)*MAX('Inputs'!$B$33,'Inputs'!$B$29+'Inputs'!$B$31+'Inputs'!$B$32,'Inputs'!$B$30+'Inputs'!$B$31+'Inputs'!$B$32)/1000+'Inputs'!$B$21)+'Inputs'!$B$7)^2+('Inputs'!$B$6/2)^2)-(((98-43)*MAX('Inputs'!$B$33,'Inputs'!$B$29+'Inputs'!$B$31+'Inputs'!$B$32,'Inputs'!$B$30+'Inputs'!$B$31+'Inputs'!$B$32)/1000+'Inputs'!$B$21))/SQRT((((98-43)*MAX('Inputs'!$B$33,'Inputs'!$B$29+'Inputs'!$B$31+'Inputs'!$B$32,'Inputs'!$B$30+'Inputs'!$B$31+'Inputs'!$B$32)/1000+'Inputs'!$B$21))^2+('Inputs'!$B$6/2)^2)))-'Results'!C7*(0.5*((((98-43)*MAX('Inputs'!$B$33,'Inputs'!$B$29+'Inputs'!$B$31+'Inputs'!$B$32,'Inputs'!$B$30+'Inputs'!$B$31+'Inputs'!$B$32)/1000+'Inputs'!$B$21+'Inputs'!$B$7+'Inputs'!$B$10)+'Inputs'!$B$9)/SQRT((((98-43)*MAX('Inputs'!$B$33,'Inputs'!$B$29+'Inputs'!$B$31+'Inputs'!$B$32,'Inputs'!$B$30+'Inputs'!$B$31+'Inputs'!$B$32)/1000+'Inputs'!$B$21+'Inputs'!$B$7+'Inputs'!$B$10)+'Inputs'!$B$9)^2+('Inputs'!$B$8/2)^2)-(((98-43)*MAX('Inputs'!$B$33,'Inputs'!$B$29+'Inputs'!$B$31+'Inputs'!$B$32,'Inputs'!$B$30+'Inputs'!$B$31+'Inputs'!$B$32)/1000+'Inputs'!$B$21+'Inputs'!$B$7+'Inputs'!$B$10))/SQRT((((98-43)*MAX('Inputs'!$B$33,'Inputs'!$B$29+'Inputs'!$B$31+'Inputs'!$B$32,'Inputs'!$B$30+'Inputs'!$B$31+'Inputs'!$B$32)/1000+'Inputs'!$B$21+'Inputs'!$B$7+'Inputs'!$B$10))^2+('Inputs'!$B$8/2)^2))))*'Results'!$B$8),"")</x:f>
        <x:v>894.7550697501779</x:v>
      </x:c>
      <x:c r="K98" t="n">
        <x:f>IF(AND(ISNUMBER('Results'!B7),ISNUMBER('Results'!C7),ISNUMBER('Results'!$B$8),ISNUMBER('Inputs'!$B$6),ISNUMBER('Inputs'!$B$7),ISNUMBER('Inputs'!$B$8),ISNUMBER('Inputs'!$B$9),ISNUMBER('Inputs'!$B$10),ISNUMBER('Inputs'!$B$21),ISNUMBER('Inputs'!$B$24),ISNUMBER('Inputs'!$B$28)),((('Results'!B7*(1-'Inputs'!$B$24)*(0.5*((((98-43)*MAX('Inputs'!$B$33,'Inputs'!$B$29+'Inputs'!$B$31+'Inputs'!$B$32,'Inputs'!$B$30+'Inputs'!$B$31+'Inputs'!$B$32)/1000+'Inputs'!$B$21)+'Inputs'!$B$7)/SQRT((((98-43)*MAX('Inputs'!$B$33,'Inputs'!$B$29+'Inputs'!$B$31+'Inputs'!$B$32,'Inputs'!$B$30+'Inputs'!$B$31+'Inputs'!$B$32)/1000+'Inputs'!$B$21)+'Inputs'!$B$7)^2+('Inputs'!$B$6/2)^2)-(((98-43)*MAX('Inputs'!$B$33,'Inputs'!$B$29+'Inputs'!$B$31+'Inputs'!$B$32,'Inputs'!$B$30+'Inputs'!$B$31+'Inputs'!$B$32)/1000+'Inputs'!$B$21))/SQRT((((98-43)*MAX('Inputs'!$B$33,'Inputs'!$B$29+'Inputs'!$B$31+'Inputs'!$B$32,'Inputs'!$B$30+'Inputs'!$B$31+'Inputs'!$B$32)/1000+'Inputs'!$B$21))^2+('Inputs'!$B$6/2)^2)))-'Results'!C7*(1+'Inputs'!$B$24)*(0.5*((((98-43)*MAX('Inputs'!$B$33,'Inputs'!$B$29+'Inputs'!$B$31+'Inputs'!$B$32,'Inputs'!$B$30+'Inputs'!$B$31+'Inputs'!$B$32)/1000+'Inputs'!$B$21+'Inputs'!$B$7+'Inputs'!$B$10)+'Inputs'!$B$9)/SQRT((((98-43)*MAX('Inputs'!$B$33,'Inputs'!$B$29+'Inputs'!$B$31+'Inputs'!$B$32,'Inputs'!$B$30+'Inputs'!$B$31+'Inputs'!$B$32)/1000+'Inputs'!$B$21+'Inputs'!$B$7+'Inputs'!$B$10)+'Inputs'!$B$9)^2+('Inputs'!$B$8/2)^2)-(((98-43)*MAX('Inputs'!$B$33,'Inputs'!$B$29+'Inputs'!$B$31+'Inputs'!$B$32,'Inputs'!$B$30+'Inputs'!$B$31+'Inputs'!$B$32)/1000+'Inputs'!$B$21+'Inputs'!$B$7+'Inputs'!$B$10))/SQRT((((98-43)*MAX('Inputs'!$B$33,'Inputs'!$B$29+'Inputs'!$B$31+'Inputs'!$B$32,'Inputs'!$B$30+'Inputs'!$B$31+'Inputs'!$B$32)/1000+'Inputs'!$B$21+'Inputs'!$B$7+'Inputs'!$B$10))^2+('Inputs'!$B$8/2)^2))))*'Results'!$B$8)-'Inputs'!$B$28*ABS((('Results'!B7*(1-'Inputs'!$B$24)*(0.5*((((98-43)*MAX('Inputs'!$B$33,'Inputs'!$B$29+'Inputs'!$B$31+'Inputs'!$B$32,'Inputs'!$B$30+'Inputs'!$B$31+'Inputs'!$B$32)/1000+'Inputs'!$B$21)+'Inputs'!$B$7)/SQRT((((98-43)*MAX('Inputs'!$B$33,'Inputs'!$B$29+'Inputs'!$B$31+'Inputs'!$B$32,'Inputs'!$B$30+'Inputs'!$B$31+'Inputs'!$B$32)/1000+'Inputs'!$B$21)+'Inputs'!$B$7)^2+('Inputs'!$B$6/2)^2)-(((98-43)*MAX('Inputs'!$B$33,'Inputs'!$B$29+'Inputs'!$B$31+'Inputs'!$B$32,'Inputs'!$B$30+'Inputs'!$B$31+'Inputs'!$B$32)/1000+'Inputs'!$B$21))/SQRT((((98-43)*MAX('Inputs'!$B$33,'Inputs'!$B$29+'Inputs'!$B$31+'Inputs'!$B$32,'Inputs'!$B$30+'Inputs'!$B$31+'Inputs'!$B$32)/1000+'Inputs'!$B$21))^2+('Inputs'!$B$6/2)^2)))-'Results'!C7*(1+'Inputs'!$B$24)*(0.5*((((98-43)*MAX('Inputs'!$B$33,'Inputs'!$B$29+'Inputs'!$B$31+'Inputs'!$B$32,'Inputs'!$B$30+'Inputs'!$B$31+'Inputs'!$B$32)/1000+'Inputs'!$B$21+'Inputs'!$B$7+'Inputs'!$B$10)+'Inputs'!$B$9)/SQRT((((98-43)*MAX('Inputs'!$B$33,'Inputs'!$B$29+'Inputs'!$B$31+'Inputs'!$B$32,'Inputs'!$B$30+'Inputs'!$B$31+'Inputs'!$B$32)/1000+'Inputs'!$B$21+'Inputs'!$B$7+'Inputs'!$B$10)+'Inputs'!$B$9)^2+('Inputs'!$B$8/2)^2)-(((98-43)*MAX('Inputs'!$B$33,'Inputs'!$B$29+'Inputs'!$B$31+'Inputs'!$B$32,'Inputs'!$B$30+'Inputs'!$B$31+'Inputs'!$B$32)/1000+'Inputs'!$B$21+'Inputs'!$B$7+'Inputs'!$B$10))/SQRT((((98-43)*MAX('Inputs'!$B$33,'Inputs'!$B$29+'Inputs'!$B$31+'Inputs'!$B$32,'Inputs'!$B$30+'Inputs'!$B$31+'Inputs'!$B$32)/1000+'Inputs'!$B$21+'Inputs'!$B$7+'Inputs'!$B$10))^2+('Inputs'!$B$8/2)^2))))*'Results'!$B$8))),"")</x:f>
        <x:v>827.2176440094074</x:v>
      </x:c>
      <x:c r="L98" t="n">
        <x:f>IF(AND(ISNUMBER('Results'!B7),ISNUMBER('Results'!C7),ISNUMBER('Results'!$B$8),ISNUMBER('Inputs'!$B$6),ISNUMBER('Inputs'!$B$7),ISNUMBER('Inputs'!$B$8),ISNUMBER('Inputs'!$B$9),ISNUMBER('Inputs'!$B$10),ISNUMBER('Inputs'!$B$21),ISNUMBER('Inputs'!$B$24),ISNUMBER('Inputs'!$B$28)),((('Results'!B7*(1+'Inputs'!$B$24)*(0.5*((((98-43)*MAX('Inputs'!$B$33,'Inputs'!$B$29+'Inputs'!$B$31+'Inputs'!$B$32,'Inputs'!$B$30+'Inputs'!$B$31+'Inputs'!$B$32)/1000+'Inputs'!$B$21)+'Inputs'!$B$7)/SQRT((((98-43)*MAX('Inputs'!$B$33,'Inputs'!$B$29+'Inputs'!$B$31+'Inputs'!$B$32,'Inputs'!$B$30+'Inputs'!$B$31+'Inputs'!$B$32)/1000+'Inputs'!$B$21)+'Inputs'!$B$7)^2+('Inputs'!$B$6/2)^2)-(((98-43)*MAX('Inputs'!$B$33,'Inputs'!$B$29+'Inputs'!$B$31+'Inputs'!$B$32,'Inputs'!$B$30+'Inputs'!$B$31+'Inputs'!$B$32)/1000+'Inputs'!$B$21))/SQRT((((98-43)*MAX('Inputs'!$B$33,'Inputs'!$B$29+'Inputs'!$B$31+'Inputs'!$B$32,'Inputs'!$B$30+'Inputs'!$B$31+'Inputs'!$B$32)/1000+'Inputs'!$B$21))^2+('Inputs'!$B$6/2)^2)))-'Results'!C7*(1-'Inputs'!$B$24)*(0.5*((((98-43)*MAX('Inputs'!$B$33,'Inputs'!$B$29+'Inputs'!$B$31+'Inputs'!$B$32,'Inputs'!$B$30+'Inputs'!$B$31+'Inputs'!$B$32)/1000+'Inputs'!$B$21+'Inputs'!$B$7+'Inputs'!$B$10)+'Inputs'!$B$9)/SQRT((((98-43)*MAX('Inputs'!$B$33,'Inputs'!$B$29+'Inputs'!$B$31+'Inputs'!$B$32,'Inputs'!$B$30+'Inputs'!$B$31+'Inputs'!$B$32)/1000+'Inputs'!$B$21+'Inputs'!$B$7+'Inputs'!$B$10)+'Inputs'!$B$9)^2+('Inputs'!$B$8/2)^2)-(((98-43)*MAX('Inputs'!$B$33,'Inputs'!$B$29+'Inputs'!$B$31+'Inputs'!$B$32,'Inputs'!$B$30+'Inputs'!$B$31+'Inputs'!$B$32)/1000+'Inputs'!$B$21+'Inputs'!$B$7+'Inputs'!$B$10))/SQRT((((98-43)*MAX('Inputs'!$B$33,'Inputs'!$B$29+'Inputs'!$B$31+'Inputs'!$B$32,'Inputs'!$B$30+'Inputs'!$B$31+'Inputs'!$B$32)/1000+'Inputs'!$B$21+'Inputs'!$B$7+'Inputs'!$B$10))^2+('Inputs'!$B$8/2)^2))))*'Results'!$B$8)+'Inputs'!$B$28*ABS((('Results'!B7*(1+'Inputs'!$B$24)*(0.5*((((98-43)*MAX('Inputs'!$B$33,'Inputs'!$B$29+'Inputs'!$B$31+'Inputs'!$B$32,'Inputs'!$B$30+'Inputs'!$B$31+'Inputs'!$B$32)/1000+'Inputs'!$B$21)+'Inputs'!$B$7)/SQRT((((98-43)*MAX('Inputs'!$B$33,'Inputs'!$B$29+'Inputs'!$B$31+'Inputs'!$B$32,'Inputs'!$B$30+'Inputs'!$B$31+'Inputs'!$B$32)/1000+'Inputs'!$B$21)+'Inputs'!$B$7)^2+('Inputs'!$B$6/2)^2)-(((98-43)*MAX('Inputs'!$B$33,'Inputs'!$B$29+'Inputs'!$B$31+'Inputs'!$B$32,'Inputs'!$B$30+'Inputs'!$B$31+'Inputs'!$B$32)/1000+'Inputs'!$B$21))/SQRT((((98-43)*MAX('Inputs'!$B$33,'Inputs'!$B$29+'Inputs'!$B$31+'Inputs'!$B$32,'Inputs'!$B$30+'Inputs'!$B$31+'Inputs'!$B$32)/1000+'Inputs'!$B$21))^2+('Inputs'!$B$6/2)^2)))-'Results'!C7*(1-'Inputs'!$B$24)*(0.5*((((98-43)*MAX('Inputs'!$B$33,'Inputs'!$B$29+'Inputs'!$B$31+'Inputs'!$B$32,'Inputs'!$B$30+'Inputs'!$B$31+'Inputs'!$B$32)/1000+'Inputs'!$B$21+'Inputs'!$B$7+'Inputs'!$B$10)+'Inputs'!$B$9)/SQRT((((98-43)*MAX('Inputs'!$B$33,'Inputs'!$B$29+'Inputs'!$B$31+'Inputs'!$B$32,'Inputs'!$B$30+'Inputs'!$B$31+'Inputs'!$B$32)/1000+'Inputs'!$B$21+'Inputs'!$B$7+'Inputs'!$B$10)+'Inputs'!$B$9)^2+('Inputs'!$B$8/2)^2)-(((98-43)*MAX('Inputs'!$B$33,'Inputs'!$B$29+'Inputs'!$B$31+'Inputs'!$B$32,'Inputs'!$B$30+'Inputs'!$B$31+'Inputs'!$B$32)/1000+'Inputs'!$B$21+'Inputs'!$B$7+'Inputs'!$B$10))/SQRT((((98-43)*MAX('Inputs'!$B$33,'Inputs'!$B$29+'Inputs'!$B$31+'Inputs'!$B$32,'Inputs'!$B$30+'Inputs'!$B$31+'Inputs'!$B$32)/1000+'Inputs'!$B$21+'Inputs'!$B$7+'Inputs'!$B$10))^2+('Inputs'!$B$8/2)^2))))*'Results'!$B$8))),"")</x:f>
        <x:v>964.692460991292</x:v>
      </x:c>
      <x:c r="M98" t="n">
        <x:f>IF(AND(ISNUMBER('Results'!C7),ISNUMBER('Results'!B7),ISNUMBER('Results'!$B$8),ISNUMBER('Inputs'!$B$6),ISNUMBER('Inputs'!$B$7),ISNUMBER('Inputs'!$B$8),ISNUMBER('Inputs'!$B$9),ISNUMBER('Inputs'!$B$10),ISNUMBER('Inputs'!$B$21),ISNUMBER('Inputs'!$B$24),ISNUMBER('Inputs'!$B$28)),(('Results'!C7*(0.5*((((98-43)*MAX('Inputs'!$B$33,'Inputs'!$B$29+'Inputs'!$B$31+'Inputs'!$B$32,'Inputs'!$B$30+'Inputs'!$B$31+'Inputs'!$B$32)/1000+'Inputs'!$B$21)+'Inputs'!$B$9)/SQRT((((98-43)*MAX('Inputs'!$B$33,'Inputs'!$B$29+'Inputs'!$B$31+'Inputs'!$B$32,'Inputs'!$B$30+'Inputs'!$B$31+'Inputs'!$B$32)/1000+'Inputs'!$B$21)+'Inputs'!$B$9)^2+('Inputs'!$B$8/2)^2)-(((98-43)*MAX('Inputs'!$B$33,'Inputs'!$B$29+'Inputs'!$B$31+'Inputs'!$B$32,'Inputs'!$B$30+'Inputs'!$B$31+'Inputs'!$B$32)/1000+'Inputs'!$B$21))/SQRT((((98-43)*MAX('Inputs'!$B$33,'Inputs'!$B$29+'Inputs'!$B$31+'Inputs'!$B$32,'Inputs'!$B$30+'Inputs'!$B$31+'Inputs'!$B$32)/1000+'Inputs'!$B$21))^2+('Inputs'!$B$8/2)^2)))-'Results'!B7*(0.5*((((98-43)*MAX('Inputs'!$B$33,'Inputs'!$B$29+'Inputs'!$B$31+'Inputs'!$B$32,'Inputs'!$B$30+'Inputs'!$B$31+'Inputs'!$B$32)/1000+'Inputs'!$B$21+'Inputs'!$B$9+'Inputs'!$B$10)+'Inputs'!$B$7)/SQRT((((98-43)*MAX('Inputs'!$B$33,'Inputs'!$B$29+'Inputs'!$B$31+'Inputs'!$B$32,'Inputs'!$B$30+'Inputs'!$B$31+'Inputs'!$B$32)/1000+'Inputs'!$B$21+'Inputs'!$B$9+'Inputs'!$B$10)+'Inputs'!$B$7)^2+('Inputs'!$B$6/2)^2)-(((98-43)*MAX('Inputs'!$B$33,'Inputs'!$B$29+'Inputs'!$B$31+'Inputs'!$B$32,'Inputs'!$B$30+'Inputs'!$B$31+'Inputs'!$B$32)/1000+'Inputs'!$B$21+'Inputs'!$B$9+'Inputs'!$B$10))/SQRT((((98-43)*MAX('Inputs'!$B$33,'Inputs'!$B$29+'Inputs'!$B$31+'Inputs'!$B$32,'Inputs'!$B$30+'Inputs'!$B$31+'Inputs'!$B$32)/1000+'Inputs'!$B$21+'Inputs'!$B$9+'Inputs'!$B$10))^2+('Inputs'!$B$6/2)^2))))*'Results'!$B$8),"")</x:f>
        <x:v>870.6931233833933</x:v>
      </x:c>
      <x:c r="N98" t="n">
        <x:f>IF(AND(ISNUMBER('Results'!C7),ISNUMBER('Results'!B7),ISNUMBER('Results'!$B$8),ISNUMBER('Inputs'!$B$6),ISNUMBER('Inputs'!$B$7),ISNUMBER('Inputs'!$B$8),ISNUMBER('Inputs'!$B$9),ISNUMBER('Inputs'!$B$10),ISNUMBER('Inputs'!$B$21),ISNUMBER('Inputs'!$B$24),ISNUMBER('Inputs'!$B$28)),((('Results'!C7*(1-'Inputs'!$B$24)*(0.5*((((98-43)*MAX('Inputs'!$B$33,'Inputs'!$B$29+'Inputs'!$B$31+'Inputs'!$B$32,'Inputs'!$B$30+'Inputs'!$B$31+'Inputs'!$B$32)/1000+'Inputs'!$B$21)+'Inputs'!$B$9)/SQRT((((98-43)*MAX('Inputs'!$B$33,'Inputs'!$B$29+'Inputs'!$B$31+'Inputs'!$B$32,'Inputs'!$B$30+'Inputs'!$B$31+'Inputs'!$B$32)/1000+'Inputs'!$B$21)+'Inputs'!$B$9)^2+('Inputs'!$B$8/2)^2)-(((98-43)*MAX('Inputs'!$B$33,'Inputs'!$B$29+'Inputs'!$B$31+'Inputs'!$B$32,'Inputs'!$B$30+'Inputs'!$B$31+'Inputs'!$B$32)/1000+'Inputs'!$B$21))/SQRT((((98-43)*MAX('Inputs'!$B$33,'Inputs'!$B$29+'Inputs'!$B$31+'Inputs'!$B$32,'Inputs'!$B$30+'Inputs'!$B$31+'Inputs'!$B$32)/1000+'Inputs'!$B$21))^2+('Inputs'!$B$8/2)^2)))-'Results'!B7*(1+'Inputs'!$B$24)*(0.5*((((98-43)*MAX('Inputs'!$B$33,'Inputs'!$B$29+'Inputs'!$B$31+'Inputs'!$B$32,'Inputs'!$B$30+'Inputs'!$B$31+'Inputs'!$B$32)/1000+'Inputs'!$B$21+'Inputs'!$B$9+'Inputs'!$B$10)+'Inputs'!$B$7)/SQRT((((98-43)*MAX('Inputs'!$B$33,'Inputs'!$B$29+'Inputs'!$B$31+'Inputs'!$B$32,'Inputs'!$B$30+'Inputs'!$B$31+'Inputs'!$B$32)/1000+'Inputs'!$B$21+'Inputs'!$B$9+'Inputs'!$B$10)+'Inputs'!$B$7)^2+('Inputs'!$B$6/2)^2)-(((98-43)*MAX('Inputs'!$B$33,'Inputs'!$B$29+'Inputs'!$B$31+'Inputs'!$B$32,'Inputs'!$B$30+'Inputs'!$B$31+'Inputs'!$B$32)/1000+'Inputs'!$B$21+'Inputs'!$B$9+'Inputs'!$B$10))/SQRT((((98-43)*MAX('Inputs'!$B$33,'Inputs'!$B$29+'Inputs'!$B$31+'Inputs'!$B$32,'Inputs'!$B$30+'Inputs'!$B$31+'Inputs'!$B$32)/1000+'Inputs'!$B$21+'Inputs'!$B$9+'Inputs'!$B$10))^2+('Inputs'!$B$6/2)^2))))*'Results'!$B$8)-'Inputs'!$B$28*ABS((('Results'!C7*(1-'Inputs'!$B$24)*(0.5*((((98-43)*MAX('Inputs'!$B$33,'Inputs'!$B$29+'Inputs'!$B$31+'Inputs'!$B$32,'Inputs'!$B$30+'Inputs'!$B$31+'Inputs'!$B$32)/1000+'Inputs'!$B$21)+'Inputs'!$B$9)/SQRT((((98-43)*MAX('Inputs'!$B$33,'Inputs'!$B$29+'Inputs'!$B$31+'Inputs'!$B$32,'Inputs'!$B$30+'Inputs'!$B$31+'Inputs'!$B$32)/1000+'Inputs'!$B$21)+'Inputs'!$B$9)^2+('Inputs'!$B$8/2)^2)-(((98-43)*MAX('Inputs'!$B$33,'Inputs'!$B$29+'Inputs'!$B$31+'Inputs'!$B$32,'Inputs'!$B$30+'Inputs'!$B$31+'Inputs'!$B$32)/1000+'Inputs'!$B$21))/SQRT((((98-43)*MAX('Inputs'!$B$33,'Inputs'!$B$29+'Inputs'!$B$31+'Inputs'!$B$32,'Inputs'!$B$30+'Inputs'!$B$31+'Inputs'!$B$32)/1000+'Inputs'!$B$21))^2+('Inputs'!$B$8/2)^2)))-'Results'!B7*(1+'Inputs'!$B$24)*(0.5*((((98-43)*MAX('Inputs'!$B$33,'Inputs'!$B$29+'Inputs'!$B$31+'Inputs'!$B$32,'Inputs'!$B$30+'Inputs'!$B$31+'Inputs'!$B$32)/1000+'Inputs'!$B$21+'Inputs'!$B$9+'Inputs'!$B$10)+'Inputs'!$B$7)/SQRT((((98-43)*MAX('Inputs'!$B$33,'Inputs'!$B$29+'Inputs'!$B$31+'Inputs'!$B$32,'Inputs'!$B$30+'Inputs'!$B$31+'Inputs'!$B$32)/1000+'Inputs'!$B$21+'Inputs'!$B$9+'Inputs'!$B$10)+'Inputs'!$B$7)^2+('Inputs'!$B$6/2)^2)-(((98-43)*MAX('Inputs'!$B$33,'Inputs'!$B$29+'Inputs'!$B$31+'Inputs'!$B$32,'Inputs'!$B$30+'Inputs'!$B$31+'Inputs'!$B$32)/1000+'Inputs'!$B$21+'Inputs'!$B$9+'Inputs'!$B$10))/SQRT((((98-43)*MAX('Inputs'!$B$33,'Inputs'!$B$29+'Inputs'!$B$31+'Inputs'!$B$32,'Inputs'!$B$30+'Inputs'!$B$31+'Inputs'!$B$32)/1000+'Inputs'!$B$21+'Inputs'!$B$9+'Inputs'!$B$10))^2+('Inputs'!$B$6/2)^2))))*'Results'!$B$8))),"")</x:f>
        <x:v>804.697618351563</x:v>
      </x:c>
      <x:c r="O98" t="n">
        <x:f>IF(AND(ISNUMBER('Results'!C7),ISNUMBER('Results'!B7),ISNUMBER('Results'!$B$8),ISNUMBER('Inputs'!$B$6),ISNUMBER('Inputs'!$B$7),ISNUMBER('Inputs'!$B$8),ISNUMBER('Inputs'!$B$9),ISNUMBER('Inputs'!$B$10),ISNUMBER('Inputs'!$B$21),ISNUMBER('Inputs'!$B$24),ISNUMBER('Inputs'!$B$28)),((('Results'!C7*(1+'Inputs'!$B$24)*(0.5*((((98-43)*MAX('Inputs'!$B$33,'Inputs'!$B$29+'Inputs'!$B$31+'Inputs'!$B$32,'Inputs'!$B$30+'Inputs'!$B$31+'Inputs'!$B$32)/1000+'Inputs'!$B$21)+'Inputs'!$B$9)/SQRT((((98-43)*MAX('Inputs'!$B$33,'Inputs'!$B$29+'Inputs'!$B$31+'Inputs'!$B$32,'Inputs'!$B$30+'Inputs'!$B$31+'Inputs'!$B$32)/1000+'Inputs'!$B$21)+'Inputs'!$B$9)^2+('Inputs'!$B$8/2)^2)-(((98-43)*MAX('Inputs'!$B$33,'Inputs'!$B$29+'Inputs'!$B$31+'Inputs'!$B$32,'Inputs'!$B$30+'Inputs'!$B$31+'Inputs'!$B$32)/1000+'Inputs'!$B$21))/SQRT((((98-43)*MAX('Inputs'!$B$33,'Inputs'!$B$29+'Inputs'!$B$31+'Inputs'!$B$32,'Inputs'!$B$30+'Inputs'!$B$31+'Inputs'!$B$32)/1000+'Inputs'!$B$21))^2+('Inputs'!$B$8/2)^2)))-'Results'!B7*(1-'Inputs'!$B$24)*(0.5*((((98-43)*MAX('Inputs'!$B$33,'Inputs'!$B$29+'Inputs'!$B$31+'Inputs'!$B$32,'Inputs'!$B$30+'Inputs'!$B$31+'Inputs'!$B$32)/1000+'Inputs'!$B$21+'Inputs'!$B$9+'Inputs'!$B$10)+'Inputs'!$B$7)/SQRT((((98-43)*MAX('Inputs'!$B$33,'Inputs'!$B$29+'Inputs'!$B$31+'Inputs'!$B$32,'Inputs'!$B$30+'Inputs'!$B$31+'Inputs'!$B$32)/1000+'Inputs'!$B$21+'Inputs'!$B$9+'Inputs'!$B$10)+'Inputs'!$B$7)^2+('Inputs'!$B$6/2)^2)-(((98-43)*MAX('Inputs'!$B$33,'Inputs'!$B$29+'Inputs'!$B$31+'Inputs'!$B$32,'Inputs'!$B$30+'Inputs'!$B$31+'Inputs'!$B$32)/1000+'Inputs'!$B$21+'Inputs'!$B$9+'Inputs'!$B$10))/SQRT((((98-43)*MAX('Inputs'!$B$33,'Inputs'!$B$29+'Inputs'!$B$31+'Inputs'!$B$32,'Inputs'!$B$30+'Inputs'!$B$31+'Inputs'!$B$32)/1000+'Inputs'!$B$21+'Inputs'!$B$9+'Inputs'!$B$10))^2+('Inputs'!$B$6/2)^2))))*'Results'!$B$8)+'Inputs'!$B$28*ABS((('Results'!C7*(1+'Inputs'!$B$24)*(0.5*((((98-43)*MAX('Inputs'!$B$33,'Inputs'!$B$29+'Inputs'!$B$31+'Inputs'!$B$32,'Inputs'!$B$30+'Inputs'!$B$31+'Inputs'!$B$32)/1000+'Inputs'!$B$21)+'Inputs'!$B$9)/SQRT((((98-43)*MAX('Inputs'!$B$33,'Inputs'!$B$29+'Inputs'!$B$31+'Inputs'!$B$32,'Inputs'!$B$30+'Inputs'!$B$31+'Inputs'!$B$32)/1000+'Inputs'!$B$21)+'Inputs'!$B$9)^2+('Inputs'!$B$8/2)^2)-(((98-43)*MAX('Inputs'!$B$33,'Inputs'!$B$29+'Inputs'!$B$31+'Inputs'!$B$32,'Inputs'!$B$30+'Inputs'!$B$31+'Inputs'!$B$32)/1000+'Inputs'!$B$21))/SQRT((((98-43)*MAX('Inputs'!$B$33,'Inputs'!$B$29+'Inputs'!$B$31+'Inputs'!$B$32,'Inputs'!$B$30+'Inputs'!$B$31+'Inputs'!$B$32)/1000+'Inputs'!$B$21))^2+('Inputs'!$B$8/2)^2)))-'Results'!B7*(1-'Inputs'!$B$24)*(0.5*((((98-43)*MAX('Inputs'!$B$33,'Inputs'!$B$29+'Inputs'!$B$31+'Inputs'!$B$32,'Inputs'!$B$30+'Inputs'!$B$31+'Inputs'!$B$32)/1000+'Inputs'!$B$21+'Inputs'!$B$9+'Inputs'!$B$10)+'Inputs'!$B$7)/SQRT((((98-43)*MAX('Inputs'!$B$33,'Inputs'!$B$29+'Inputs'!$B$31+'Inputs'!$B$32,'Inputs'!$B$30+'Inputs'!$B$31+'Inputs'!$B$32)/1000+'Inputs'!$B$21+'Inputs'!$B$9+'Inputs'!$B$10)+'Inputs'!$B$7)^2+('Inputs'!$B$6/2)^2)-(((98-43)*MAX('Inputs'!$B$33,'Inputs'!$B$29+'Inputs'!$B$31+'Inputs'!$B$32,'Inputs'!$B$30+'Inputs'!$B$31+'Inputs'!$B$32)/1000+'Inputs'!$B$21+'Inputs'!$B$9+'Inputs'!$B$10))/SQRT((((98-43)*MAX('Inputs'!$B$33,'Inputs'!$B$29+'Inputs'!$B$31+'Inputs'!$B$32,'Inputs'!$B$30+'Inputs'!$B$31+'Inputs'!$B$32)/1000+'Inputs'!$B$21+'Inputs'!$B$9+'Inputs'!$B$10))^2+('Inputs'!$B$6/2)^2))))*'Results'!$B$8))),"")</x:f>
        <x:v>939.0529282955033</x:v>
      </x:c>
      <x:c r="P98" t="n">
        <x:f>IF(AND(MAX(J98,J97)&gt;0,J98&gt;J97+0.00000001),1,0)</x:f>
        <x:v>0</x:v>
      </x:c>
      <x:c r="Q98" t="n">
        <x:f>IF(AND(MAX(K98,K97)&gt;0,K98&gt;K97+0.00000001),1,0)</x:f>
        <x:v>0</x:v>
      </x:c>
      <x:c r="R98" t="n">
        <x:f>IF(AND(MAX(L98,L97)&gt;0,L98&gt;L97+0.00000001),1,0)</x:f>
        <x:v>0</x:v>
      </x:c>
      <x:c r="S98" t="n">
        <x:f>IF(AND(MAX(M98,M97)&gt;0,M98&gt;M97+0.00000001),1,0)</x:f>
        <x:v>0</x:v>
      </x:c>
      <x:c r="T98" t="n">
        <x:f>IF(AND(MAX(N98,N97)&gt;0,N98&gt;N97+0.00000001),1,0)</x:f>
        <x:v>0</x:v>
      </x:c>
      <x:c r="U98" t="n">
        <x:f>IF(AND(MAX(O98,O97)&gt;0,O98&gt;O97+0.00000001),1,0)</x:f>
        <x:v>0</x:v>
      </x:c>
    </x:row>
    <x:row r="99">
      <x:c r="J99" t="n">
        <x:f>IF(AND(ISNUMBER('Results'!B7),ISNUMBER('Results'!C7),ISNUMBER('Results'!$B$8),ISNUMBER('Inputs'!$B$6),ISNUMBER('Inputs'!$B$7),ISNUMBER('Inputs'!$B$8),ISNUMBER('Inputs'!$B$9),ISNUMBER('Inputs'!$B$10),ISNUMBER('Inputs'!$B$21),ISNUMBER('Inputs'!$B$24),ISNUMBER('Inputs'!$B$28)),(('Results'!B7*(0.5*((((99-43)*MAX('Inputs'!$B$33,'Inputs'!$B$29+'Inputs'!$B$31+'Inputs'!$B$32,'Inputs'!$B$30+'Inputs'!$B$31+'Inputs'!$B$32)/1000+'Inputs'!$B$21)+'Inputs'!$B$7)/SQRT((((99-43)*MAX('Inputs'!$B$33,'Inputs'!$B$29+'Inputs'!$B$31+'Inputs'!$B$32,'Inputs'!$B$30+'Inputs'!$B$31+'Inputs'!$B$32)/1000+'Inputs'!$B$21)+'Inputs'!$B$7)^2+('Inputs'!$B$6/2)^2)-(((99-43)*MAX('Inputs'!$B$33,'Inputs'!$B$29+'Inputs'!$B$31+'Inputs'!$B$32,'Inputs'!$B$30+'Inputs'!$B$31+'Inputs'!$B$32)/1000+'Inputs'!$B$21))/SQRT((((99-43)*MAX('Inputs'!$B$33,'Inputs'!$B$29+'Inputs'!$B$31+'Inputs'!$B$32,'Inputs'!$B$30+'Inputs'!$B$31+'Inputs'!$B$32)/1000+'Inputs'!$B$21))^2+('Inputs'!$B$6/2)^2)))-'Results'!C7*(0.5*((((99-43)*MAX('Inputs'!$B$33,'Inputs'!$B$29+'Inputs'!$B$31+'Inputs'!$B$32,'Inputs'!$B$30+'Inputs'!$B$31+'Inputs'!$B$32)/1000+'Inputs'!$B$21+'Inputs'!$B$7+'Inputs'!$B$10)+'Inputs'!$B$9)/SQRT((((99-43)*MAX('Inputs'!$B$33,'Inputs'!$B$29+'Inputs'!$B$31+'Inputs'!$B$32,'Inputs'!$B$30+'Inputs'!$B$31+'Inputs'!$B$32)/1000+'Inputs'!$B$21+'Inputs'!$B$7+'Inputs'!$B$10)+'Inputs'!$B$9)^2+('Inputs'!$B$8/2)^2)-(((99-43)*MAX('Inputs'!$B$33,'Inputs'!$B$29+'Inputs'!$B$31+'Inputs'!$B$32,'Inputs'!$B$30+'Inputs'!$B$31+'Inputs'!$B$32)/1000+'Inputs'!$B$21+'Inputs'!$B$7+'Inputs'!$B$10))/SQRT((((99-43)*MAX('Inputs'!$B$33,'Inputs'!$B$29+'Inputs'!$B$31+'Inputs'!$B$32,'Inputs'!$B$30+'Inputs'!$B$31+'Inputs'!$B$32)/1000+'Inputs'!$B$21+'Inputs'!$B$7+'Inputs'!$B$10))^2+('Inputs'!$B$8/2)^2))))*'Results'!$B$8),"")</x:f>
        <x:v>877.5153998685846</x:v>
      </x:c>
      <x:c r="K99" t="n">
        <x:f>IF(AND(ISNUMBER('Results'!B7),ISNUMBER('Results'!C7),ISNUMBER('Results'!$B$8),ISNUMBER('Inputs'!$B$6),ISNUMBER('Inputs'!$B$7),ISNUMBER('Inputs'!$B$8),ISNUMBER('Inputs'!$B$9),ISNUMBER('Inputs'!$B$10),ISNUMBER('Inputs'!$B$21),ISNUMBER('Inputs'!$B$24),ISNUMBER('Inputs'!$B$28)),((('Results'!B7*(1-'Inputs'!$B$24)*(0.5*((((99-43)*MAX('Inputs'!$B$33,'Inputs'!$B$29+'Inputs'!$B$31+'Inputs'!$B$32,'Inputs'!$B$30+'Inputs'!$B$31+'Inputs'!$B$32)/1000+'Inputs'!$B$21)+'Inputs'!$B$7)/SQRT((((99-43)*MAX('Inputs'!$B$33,'Inputs'!$B$29+'Inputs'!$B$31+'Inputs'!$B$32,'Inputs'!$B$30+'Inputs'!$B$31+'Inputs'!$B$32)/1000+'Inputs'!$B$21)+'Inputs'!$B$7)^2+('Inputs'!$B$6/2)^2)-(((99-43)*MAX('Inputs'!$B$33,'Inputs'!$B$29+'Inputs'!$B$31+'Inputs'!$B$32,'Inputs'!$B$30+'Inputs'!$B$31+'Inputs'!$B$32)/1000+'Inputs'!$B$21))/SQRT((((99-43)*MAX('Inputs'!$B$33,'Inputs'!$B$29+'Inputs'!$B$31+'Inputs'!$B$32,'Inputs'!$B$30+'Inputs'!$B$31+'Inputs'!$B$32)/1000+'Inputs'!$B$21))^2+('Inputs'!$B$6/2)^2)))-'Results'!C7*(1+'Inputs'!$B$24)*(0.5*((((99-43)*MAX('Inputs'!$B$33,'Inputs'!$B$29+'Inputs'!$B$31+'Inputs'!$B$32,'Inputs'!$B$30+'Inputs'!$B$31+'Inputs'!$B$32)/1000+'Inputs'!$B$21+'Inputs'!$B$7+'Inputs'!$B$10)+'Inputs'!$B$9)/SQRT((((99-43)*MAX('Inputs'!$B$33,'Inputs'!$B$29+'Inputs'!$B$31+'Inputs'!$B$32,'Inputs'!$B$30+'Inputs'!$B$31+'Inputs'!$B$32)/1000+'Inputs'!$B$21+'Inputs'!$B$7+'Inputs'!$B$10)+'Inputs'!$B$9)^2+('Inputs'!$B$8/2)^2)-(((99-43)*MAX('Inputs'!$B$33,'Inputs'!$B$29+'Inputs'!$B$31+'Inputs'!$B$32,'Inputs'!$B$30+'Inputs'!$B$31+'Inputs'!$B$32)/1000+'Inputs'!$B$21+'Inputs'!$B$7+'Inputs'!$B$10))/SQRT((((99-43)*MAX('Inputs'!$B$33,'Inputs'!$B$29+'Inputs'!$B$31+'Inputs'!$B$32,'Inputs'!$B$30+'Inputs'!$B$31+'Inputs'!$B$32)/1000+'Inputs'!$B$21+'Inputs'!$B$7+'Inputs'!$B$10))^2+('Inputs'!$B$8/2)^2))))*'Results'!$B$8)-'Inputs'!$B$28*ABS((('Results'!B7*(1-'Inputs'!$B$24)*(0.5*((((99-43)*MAX('Inputs'!$B$33,'Inputs'!$B$29+'Inputs'!$B$31+'Inputs'!$B$32,'Inputs'!$B$30+'Inputs'!$B$31+'Inputs'!$B$32)/1000+'Inputs'!$B$21)+'Inputs'!$B$7)/SQRT((((99-43)*MAX('Inputs'!$B$33,'Inputs'!$B$29+'Inputs'!$B$31+'Inputs'!$B$32,'Inputs'!$B$30+'Inputs'!$B$31+'Inputs'!$B$32)/1000+'Inputs'!$B$21)+'Inputs'!$B$7)^2+('Inputs'!$B$6/2)^2)-(((99-43)*MAX('Inputs'!$B$33,'Inputs'!$B$29+'Inputs'!$B$31+'Inputs'!$B$32,'Inputs'!$B$30+'Inputs'!$B$31+'Inputs'!$B$32)/1000+'Inputs'!$B$21))/SQRT((((99-43)*MAX('Inputs'!$B$33,'Inputs'!$B$29+'Inputs'!$B$31+'Inputs'!$B$32,'Inputs'!$B$30+'Inputs'!$B$31+'Inputs'!$B$32)/1000+'Inputs'!$B$21))^2+('Inputs'!$B$6/2)^2)))-'Results'!C7*(1+'Inputs'!$B$24)*(0.5*((((99-43)*MAX('Inputs'!$B$33,'Inputs'!$B$29+'Inputs'!$B$31+'Inputs'!$B$32,'Inputs'!$B$30+'Inputs'!$B$31+'Inputs'!$B$32)/1000+'Inputs'!$B$21+'Inputs'!$B$7+'Inputs'!$B$10)+'Inputs'!$B$9)/SQRT((((99-43)*MAX('Inputs'!$B$33,'Inputs'!$B$29+'Inputs'!$B$31+'Inputs'!$B$32,'Inputs'!$B$30+'Inputs'!$B$31+'Inputs'!$B$32)/1000+'Inputs'!$B$21+'Inputs'!$B$7+'Inputs'!$B$10)+'Inputs'!$B$9)^2+('Inputs'!$B$8/2)^2)-(((99-43)*MAX('Inputs'!$B$33,'Inputs'!$B$29+'Inputs'!$B$31+'Inputs'!$B$32,'Inputs'!$B$30+'Inputs'!$B$31+'Inputs'!$B$32)/1000+'Inputs'!$B$21+'Inputs'!$B$7+'Inputs'!$B$10))/SQRT((((99-43)*MAX('Inputs'!$B$33,'Inputs'!$B$29+'Inputs'!$B$31+'Inputs'!$B$32,'Inputs'!$B$30+'Inputs'!$B$31+'Inputs'!$B$32)/1000+'Inputs'!$B$21+'Inputs'!$B$7+'Inputs'!$B$10))^2+('Inputs'!$B$8/2)^2))))*'Results'!$B$8))),"")</x:f>
        <x:v>811.2455410501605</x:v>
      </x:c>
      <x:c r="L99" t="n">
        <x:f>IF(AND(ISNUMBER('Results'!B7),ISNUMBER('Results'!C7),ISNUMBER('Results'!$B$8),ISNUMBER('Inputs'!$B$6),ISNUMBER('Inputs'!$B$7),ISNUMBER('Inputs'!$B$8),ISNUMBER('Inputs'!$B$9),ISNUMBER('Inputs'!$B$10),ISNUMBER('Inputs'!$B$21),ISNUMBER('Inputs'!$B$24),ISNUMBER('Inputs'!$B$28)),((('Results'!B7*(1+'Inputs'!$B$24)*(0.5*((((99-43)*MAX('Inputs'!$B$33,'Inputs'!$B$29+'Inputs'!$B$31+'Inputs'!$B$32,'Inputs'!$B$30+'Inputs'!$B$31+'Inputs'!$B$32)/1000+'Inputs'!$B$21)+'Inputs'!$B$7)/SQRT((((99-43)*MAX('Inputs'!$B$33,'Inputs'!$B$29+'Inputs'!$B$31+'Inputs'!$B$32,'Inputs'!$B$30+'Inputs'!$B$31+'Inputs'!$B$32)/1000+'Inputs'!$B$21)+'Inputs'!$B$7)^2+('Inputs'!$B$6/2)^2)-(((99-43)*MAX('Inputs'!$B$33,'Inputs'!$B$29+'Inputs'!$B$31+'Inputs'!$B$32,'Inputs'!$B$30+'Inputs'!$B$31+'Inputs'!$B$32)/1000+'Inputs'!$B$21))/SQRT((((99-43)*MAX('Inputs'!$B$33,'Inputs'!$B$29+'Inputs'!$B$31+'Inputs'!$B$32,'Inputs'!$B$30+'Inputs'!$B$31+'Inputs'!$B$32)/1000+'Inputs'!$B$21))^2+('Inputs'!$B$6/2)^2)))-'Results'!C7*(1-'Inputs'!$B$24)*(0.5*((((99-43)*MAX('Inputs'!$B$33,'Inputs'!$B$29+'Inputs'!$B$31+'Inputs'!$B$32,'Inputs'!$B$30+'Inputs'!$B$31+'Inputs'!$B$32)/1000+'Inputs'!$B$21+'Inputs'!$B$7+'Inputs'!$B$10)+'Inputs'!$B$9)/SQRT((((99-43)*MAX('Inputs'!$B$33,'Inputs'!$B$29+'Inputs'!$B$31+'Inputs'!$B$32,'Inputs'!$B$30+'Inputs'!$B$31+'Inputs'!$B$32)/1000+'Inputs'!$B$21+'Inputs'!$B$7+'Inputs'!$B$10)+'Inputs'!$B$9)^2+('Inputs'!$B$8/2)^2)-(((99-43)*MAX('Inputs'!$B$33,'Inputs'!$B$29+'Inputs'!$B$31+'Inputs'!$B$32,'Inputs'!$B$30+'Inputs'!$B$31+'Inputs'!$B$32)/1000+'Inputs'!$B$21+'Inputs'!$B$7+'Inputs'!$B$10))/SQRT((((99-43)*MAX('Inputs'!$B$33,'Inputs'!$B$29+'Inputs'!$B$31+'Inputs'!$B$32,'Inputs'!$B$30+'Inputs'!$B$31+'Inputs'!$B$32)/1000+'Inputs'!$B$21+'Inputs'!$B$7+'Inputs'!$B$10))^2+('Inputs'!$B$8/2)^2))))*'Results'!$B$8)+'Inputs'!$B$28*ABS((('Results'!B7*(1+'Inputs'!$B$24)*(0.5*((((99-43)*MAX('Inputs'!$B$33,'Inputs'!$B$29+'Inputs'!$B$31+'Inputs'!$B$32,'Inputs'!$B$30+'Inputs'!$B$31+'Inputs'!$B$32)/1000+'Inputs'!$B$21)+'Inputs'!$B$7)/SQRT((((99-43)*MAX('Inputs'!$B$33,'Inputs'!$B$29+'Inputs'!$B$31+'Inputs'!$B$32,'Inputs'!$B$30+'Inputs'!$B$31+'Inputs'!$B$32)/1000+'Inputs'!$B$21)+'Inputs'!$B$7)^2+('Inputs'!$B$6/2)^2)-(((99-43)*MAX('Inputs'!$B$33,'Inputs'!$B$29+'Inputs'!$B$31+'Inputs'!$B$32,'Inputs'!$B$30+'Inputs'!$B$31+'Inputs'!$B$32)/1000+'Inputs'!$B$21))/SQRT((((99-43)*MAX('Inputs'!$B$33,'Inputs'!$B$29+'Inputs'!$B$31+'Inputs'!$B$32,'Inputs'!$B$30+'Inputs'!$B$31+'Inputs'!$B$32)/1000+'Inputs'!$B$21))^2+('Inputs'!$B$6/2)^2)))-'Results'!C7*(1-'Inputs'!$B$24)*(0.5*((((99-43)*MAX('Inputs'!$B$33,'Inputs'!$B$29+'Inputs'!$B$31+'Inputs'!$B$32,'Inputs'!$B$30+'Inputs'!$B$31+'Inputs'!$B$32)/1000+'Inputs'!$B$21+'Inputs'!$B$7+'Inputs'!$B$10)+'Inputs'!$B$9)/SQRT((((99-43)*MAX('Inputs'!$B$33,'Inputs'!$B$29+'Inputs'!$B$31+'Inputs'!$B$32,'Inputs'!$B$30+'Inputs'!$B$31+'Inputs'!$B$32)/1000+'Inputs'!$B$21+'Inputs'!$B$7+'Inputs'!$B$10)+'Inputs'!$B$9)^2+('Inputs'!$B$8/2)^2)-(((99-43)*MAX('Inputs'!$B$33,'Inputs'!$B$29+'Inputs'!$B$31+'Inputs'!$B$32,'Inputs'!$B$30+'Inputs'!$B$31+'Inputs'!$B$32)/1000+'Inputs'!$B$21+'Inputs'!$B$7+'Inputs'!$B$10))/SQRT((((99-43)*MAX('Inputs'!$B$33,'Inputs'!$B$29+'Inputs'!$B$31+'Inputs'!$B$32,'Inputs'!$B$30+'Inputs'!$B$31+'Inputs'!$B$32)/1000+'Inputs'!$B$21+'Inputs'!$B$7+'Inputs'!$B$10))^2+('Inputs'!$B$8/2)^2))))*'Results'!$B$8))),"")</x:f>
        <x:v>946.1425311949029</x:v>
      </x:c>
      <x:c r="M99" t="n">
        <x:f>IF(AND(ISNUMBER('Results'!C7),ISNUMBER('Results'!B7),ISNUMBER('Results'!$B$8),ISNUMBER('Inputs'!$B$6),ISNUMBER('Inputs'!$B$7),ISNUMBER('Inputs'!$B$8),ISNUMBER('Inputs'!$B$9),ISNUMBER('Inputs'!$B$10),ISNUMBER('Inputs'!$B$21),ISNUMBER('Inputs'!$B$24),ISNUMBER('Inputs'!$B$28)),(('Results'!C7*(0.5*((((99-43)*MAX('Inputs'!$B$33,'Inputs'!$B$29+'Inputs'!$B$31+'Inputs'!$B$32,'Inputs'!$B$30+'Inputs'!$B$31+'Inputs'!$B$32)/1000+'Inputs'!$B$21)+'Inputs'!$B$9)/SQRT((((99-43)*MAX('Inputs'!$B$33,'Inputs'!$B$29+'Inputs'!$B$31+'Inputs'!$B$32,'Inputs'!$B$30+'Inputs'!$B$31+'Inputs'!$B$32)/1000+'Inputs'!$B$21)+'Inputs'!$B$9)^2+('Inputs'!$B$8/2)^2)-(((99-43)*MAX('Inputs'!$B$33,'Inputs'!$B$29+'Inputs'!$B$31+'Inputs'!$B$32,'Inputs'!$B$30+'Inputs'!$B$31+'Inputs'!$B$32)/1000+'Inputs'!$B$21))/SQRT((((99-43)*MAX('Inputs'!$B$33,'Inputs'!$B$29+'Inputs'!$B$31+'Inputs'!$B$32,'Inputs'!$B$30+'Inputs'!$B$31+'Inputs'!$B$32)/1000+'Inputs'!$B$21))^2+('Inputs'!$B$8/2)^2)))-'Results'!B7*(0.5*((((99-43)*MAX('Inputs'!$B$33,'Inputs'!$B$29+'Inputs'!$B$31+'Inputs'!$B$32,'Inputs'!$B$30+'Inputs'!$B$31+'Inputs'!$B$32)/1000+'Inputs'!$B$21+'Inputs'!$B$9+'Inputs'!$B$10)+'Inputs'!$B$7)/SQRT((((99-43)*MAX('Inputs'!$B$33,'Inputs'!$B$29+'Inputs'!$B$31+'Inputs'!$B$32,'Inputs'!$B$30+'Inputs'!$B$31+'Inputs'!$B$32)/1000+'Inputs'!$B$21+'Inputs'!$B$9+'Inputs'!$B$10)+'Inputs'!$B$7)^2+('Inputs'!$B$6/2)^2)-(((99-43)*MAX('Inputs'!$B$33,'Inputs'!$B$29+'Inputs'!$B$31+'Inputs'!$B$32,'Inputs'!$B$30+'Inputs'!$B$31+'Inputs'!$B$32)/1000+'Inputs'!$B$21+'Inputs'!$B$9+'Inputs'!$B$10))/SQRT((((99-43)*MAX('Inputs'!$B$33,'Inputs'!$B$29+'Inputs'!$B$31+'Inputs'!$B$32,'Inputs'!$B$30+'Inputs'!$B$31+'Inputs'!$B$32)/1000+'Inputs'!$B$21+'Inputs'!$B$9+'Inputs'!$B$10))^2+('Inputs'!$B$6/2)^2))))*'Results'!$B$8),"")</x:f>
        <x:v>853.8812215541166</x:v>
      </x:c>
      <x:c r="N99" t="n">
        <x:f>IF(AND(ISNUMBER('Results'!C7),ISNUMBER('Results'!B7),ISNUMBER('Results'!$B$8),ISNUMBER('Inputs'!$B$6),ISNUMBER('Inputs'!$B$7),ISNUMBER('Inputs'!$B$8),ISNUMBER('Inputs'!$B$9),ISNUMBER('Inputs'!$B$10),ISNUMBER('Inputs'!$B$21),ISNUMBER('Inputs'!$B$24),ISNUMBER('Inputs'!$B$28)),((('Results'!C7*(1-'Inputs'!$B$24)*(0.5*((((99-43)*MAX('Inputs'!$B$33,'Inputs'!$B$29+'Inputs'!$B$31+'Inputs'!$B$32,'Inputs'!$B$30+'Inputs'!$B$31+'Inputs'!$B$32)/1000+'Inputs'!$B$21)+'Inputs'!$B$9)/SQRT((((99-43)*MAX('Inputs'!$B$33,'Inputs'!$B$29+'Inputs'!$B$31+'Inputs'!$B$32,'Inputs'!$B$30+'Inputs'!$B$31+'Inputs'!$B$32)/1000+'Inputs'!$B$21)+'Inputs'!$B$9)^2+('Inputs'!$B$8/2)^2)-(((99-43)*MAX('Inputs'!$B$33,'Inputs'!$B$29+'Inputs'!$B$31+'Inputs'!$B$32,'Inputs'!$B$30+'Inputs'!$B$31+'Inputs'!$B$32)/1000+'Inputs'!$B$21))/SQRT((((99-43)*MAX('Inputs'!$B$33,'Inputs'!$B$29+'Inputs'!$B$31+'Inputs'!$B$32,'Inputs'!$B$30+'Inputs'!$B$31+'Inputs'!$B$32)/1000+'Inputs'!$B$21))^2+('Inputs'!$B$8/2)^2)))-'Results'!B7*(1+'Inputs'!$B$24)*(0.5*((((99-43)*MAX('Inputs'!$B$33,'Inputs'!$B$29+'Inputs'!$B$31+'Inputs'!$B$32,'Inputs'!$B$30+'Inputs'!$B$31+'Inputs'!$B$32)/1000+'Inputs'!$B$21+'Inputs'!$B$9+'Inputs'!$B$10)+'Inputs'!$B$7)/SQRT((((99-43)*MAX('Inputs'!$B$33,'Inputs'!$B$29+'Inputs'!$B$31+'Inputs'!$B$32,'Inputs'!$B$30+'Inputs'!$B$31+'Inputs'!$B$32)/1000+'Inputs'!$B$21+'Inputs'!$B$9+'Inputs'!$B$10)+'Inputs'!$B$7)^2+('Inputs'!$B$6/2)^2)-(((99-43)*MAX('Inputs'!$B$33,'Inputs'!$B$29+'Inputs'!$B$31+'Inputs'!$B$32,'Inputs'!$B$30+'Inputs'!$B$31+'Inputs'!$B$32)/1000+'Inputs'!$B$21+'Inputs'!$B$9+'Inputs'!$B$10))/SQRT((((99-43)*MAX('Inputs'!$B$33,'Inputs'!$B$29+'Inputs'!$B$31+'Inputs'!$B$32,'Inputs'!$B$30+'Inputs'!$B$31+'Inputs'!$B$32)/1000+'Inputs'!$B$21+'Inputs'!$B$9+'Inputs'!$B$10))^2+('Inputs'!$B$6/2)^2))))*'Results'!$B$8)-'Inputs'!$B$28*ABS((('Results'!C7*(1-'Inputs'!$B$24)*(0.5*((((99-43)*MAX('Inputs'!$B$33,'Inputs'!$B$29+'Inputs'!$B$31+'Inputs'!$B$32,'Inputs'!$B$30+'Inputs'!$B$31+'Inputs'!$B$32)/1000+'Inputs'!$B$21)+'Inputs'!$B$9)/SQRT((((99-43)*MAX('Inputs'!$B$33,'Inputs'!$B$29+'Inputs'!$B$31+'Inputs'!$B$32,'Inputs'!$B$30+'Inputs'!$B$31+'Inputs'!$B$32)/1000+'Inputs'!$B$21)+'Inputs'!$B$9)^2+('Inputs'!$B$8/2)^2)-(((99-43)*MAX('Inputs'!$B$33,'Inputs'!$B$29+'Inputs'!$B$31+'Inputs'!$B$32,'Inputs'!$B$30+'Inputs'!$B$31+'Inputs'!$B$32)/1000+'Inputs'!$B$21))/SQRT((((99-43)*MAX('Inputs'!$B$33,'Inputs'!$B$29+'Inputs'!$B$31+'Inputs'!$B$32,'Inputs'!$B$30+'Inputs'!$B$31+'Inputs'!$B$32)/1000+'Inputs'!$B$21))^2+('Inputs'!$B$8/2)^2)))-'Results'!B7*(1+'Inputs'!$B$24)*(0.5*((((99-43)*MAX('Inputs'!$B$33,'Inputs'!$B$29+'Inputs'!$B$31+'Inputs'!$B$32,'Inputs'!$B$30+'Inputs'!$B$31+'Inputs'!$B$32)/1000+'Inputs'!$B$21+'Inputs'!$B$9+'Inputs'!$B$10)+'Inputs'!$B$7)/SQRT((((99-43)*MAX('Inputs'!$B$33,'Inputs'!$B$29+'Inputs'!$B$31+'Inputs'!$B$32,'Inputs'!$B$30+'Inputs'!$B$31+'Inputs'!$B$32)/1000+'Inputs'!$B$21+'Inputs'!$B$9+'Inputs'!$B$10)+'Inputs'!$B$7)^2+('Inputs'!$B$6/2)^2)-(((99-43)*MAX('Inputs'!$B$33,'Inputs'!$B$29+'Inputs'!$B$31+'Inputs'!$B$32,'Inputs'!$B$30+'Inputs'!$B$31+'Inputs'!$B$32)/1000+'Inputs'!$B$21+'Inputs'!$B$9+'Inputs'!$B$10))/SQRT((((99-43)*MAX('Inputs'!$B$33,'Inputs'!$B$29+'Inputs'!$B$31+'Inputs'!$B$32,'Inputs'!$B$30+'Inputs'!$B$31+'Inputs'!$B$32)/1000+'Inputs'!$B$21+'Inputs'!$B$9+'Inputs'!$B$10))^2+('Inputs'!$B$6/2)^2))))*'Results'!$B$8))),"")</x:f>
        <x:v>789.1253598918909</x:v>
      </x:c>
      <x:c r="O99" t="n">
        <x:f>IF(AND(ISNUMBER('Results'!C7),ISNUMBER('Results'!B7),ISNUMBER('Results'!$B$8),ISNUMBER('Inputs'!$B$6),ISNUMBER('Inputs'!$B$7),ISNUMBER('Inputs'!$B$8),ISNUMBER('Inputs'!$B$9),ISNUMBER('Inputs'!$B$10),ISNUMBER('Inputs'!$B$21),ISNUMBER('Inputs'!$B$24),ISNUMBER('Inputs'!$B$28)),((('Results'!C7*(1+'Inputs'!$B$24)*(0.5*((((99-43)*MAX('Inputs'!$B$33,'Inputs'!$B$29+'Inputs'!$B$31+'Inputs'!$B$32,'Inputs'!$B$30+'Inputs'!$B$31+'Inputs'!$B$32)/1000+'Inputs'!$B$21)+'Inputs'!$B$9)/SQRT((((99-43)*MAX('Inputs'!$B$33,'Inputs'!$B$29+'Inputs'!$B$31+'Inputs'!$B$32,'Inputs'!$B$30+'Inputs'!$B$31+'Inputs'!$B$32)/1000+'Inputs'!$B$21)+'Inputs'!$B$9)^2+('Inputs'!$B$8/2)^2)-(((99-43)*MAX('Inputs'!$B$33,'Inputs'!$B$29+'Inputs'!$B$31+'Inputs'!$B$32,'Inputs'!$B$30+'Inputs'!$B$31+'Inputs'!$B$32)/1000+'Inputs'!$B$21))/SQRT((((99-43)*MAX('Inputs'!$B$33,'Inputs'!$B$29+'Inputs'!$B$31+'Inputs'!$B$32,'Inputs'!$B$30+'Inputs'!$B$31+'Inputs'!$B$32)/1000+'Inputs'!$B$21))^2+('Inputs'!$B$8/2)^2)))-'Results'!B7*(1-'Inputs'!$B$24)*(0.5*((((99-43)*MAX('Inputs'!$B$33,'Inputs'!$B$29+'Inputs'!$B$31+'Inputs'!$B$32,'Inputs'!$B$30+'Inputs'!$B$31+'Inputs'!$B$32)/1000+'Inputs'!$B$21+'Inputs'!$B$9+'Inputs'!$B$10)+'Inputs'!$B$7)/SQRT((((99-43)*MAX('Inputs'!$B$33,'Inputs'!$B$29+'Inputs'!$B$31+'Inputs'!$B$32,'Inputs'!$B$30+'Inputs'!$B$31+'Inputs'!$B$32)/1000+'Inputs'!$B$21+'Inputs'!$B$9+'Inputs'!$B$10)+'Inputs'!$B$7)^2+('Inputs'!$B$6/2)^2)-(((99-43)*MAX('Inputs'!$B$33,'Inputs'!$B$29+'Inputs'!$B$31+'Inputs'!$B$32,'Inputs'!$B$30+'Inputs'!$B$31+'Inputs'!$B$32)/1000+'Inputs'!$B$21+'Inputs'!$B$9+'Inputs'!$B$10))/SQRT((((99-43)*MAX('Inputs'!$B$33,'Inputs'!$B$29+'Inputs'!$B$31+'Inputs'!$B$32,'Inputs'!$B$30+'Inputs'!$B$31+'Inputs'!$B$32)/1000+'Inputs'!$B$21+'Inputs'!$B$9+'Inputs'!$B$10))^2+('Inputs'!$B$6/2)^2))))*'Results'!$B$8)+'Inputs'!$B$28*ABS((('Results'!C7*(1+'Inputs'!$B$24)*(0.5*((((99-43)*MAX('Inputs'!$B$33,'Inputs'!$B$29+'Inputs'!$B$31+'Inputs'!$B$32,'Inputs'!$B$30+'Inputs'!$B$31+'Inputs'!$B$32)/1000+'Inputs'!$B$21)+'Inputs'!$B$9)/SQRT((((99-43)*MAX('Inputs'!$B$33,'Inputs'!$B$29+'Inputs'!$B$31+'Inputs'!$B$32,'Inputs'!$B$30+'Inputs'!$B$31+'Inputs'!$B$32)/1000+'Inputs'!$B$21)+'Inputs'!$B$9)^2+('Inputs'!$B$8/2)^2)-(((99-43)*MAX('Inputs'!$B$33,'Inputs'!$B$29+'Inputs'!$B$31+'Inputs'!$B$32,'Inputs'!$B$30+'Inputs'!$B$31+'Inputs'!$B$32)/1000+'Inputs'!$B$21))/SQRT((((99-43)*MAX('Inputs'!$B$33,'Inputs'!$B$29+'Inputs'!$B$31+'Inputs'!$B$32,'Inputs'!$B$30+'Inputs'!$B$31+'Inputs'!$B$32)/1000+'Inputs'!$B$21))^2+('Inputs'!$B$8/2)^2)))-'Results'!B7*(1-'Inputs'!$B$24)*(0.5*((((99-43)*MAX('Inputs'!$B$33,'Inputs'!$B$29+'Inputs'!$B$31+'Inputs'!$B$32,'Inputs'!$B$30+'Inputs'!$B$31+'Inputs'!$B$32)/1000+'Inputs'!$B$21+'Inputs'!$B$9+'Inputs'!$B$10)+'Inputs'!$B$7)/SQRT((((99-43)*MAX('Inputs'!$B$33,'Inputs'!$B$29+'Inputs'!$B$31+'Inputs'!$B$32,'Inputs'!$B$30+'Inputs'!$B$31+'Inputs'!$B$32)/1000+'Inputs'!$B$21+'Inputs'!$B$9+'Inputs'!$B$10)+'Inputs'!$B$7)^2+('Inputs'!$B$6/2)^2)-(((99-43)*MAX('Inputs'!$B$33,'Inputs'!$B$29+'Inputs'!$B$31+'Inputs'!$B$32,'Inputs'!$B$30+'Inputs'!$B$31+'Inputs'!$B$32)/1000+'Inputs'!$B$21+'Inputs'!$B$9+'Inputs'!$B$10))/SQRT((((99-43)*MAX('Inputs'!$B$33,'Inputs'!$B$29+'Inputs'!$B$31+'Inputs'!$B$32,'Inputs'!$B$30+'Inputs'!$B$31+'Inputs'!$B$32)/1000+'Inputs'!$B$21+'Inputs'!$B$9+'Inputs'!$B$10))^2+('Inputs'!$B$6/2)^2))))*'Results'!$B$8))),"")</x:f>
        <x:v>920.9593780147127</x:v>
      </x:c>
      <x:c r="P99" t="n">
        <x:f>IF(AND(MAX(J99,J98)&gt;0,J99&gt;J98+0.00000001),1,0)</x:f>
        <x:v>0</x:v>
      </x:c>
      <x:c r="Q99" t="n">
        <x:f>IF(AND(MAX(K99,K98)&gt;0,K99&gt;K98+0.00000001),1,0)</x:f>
        <x:v>0</x:v>
      </x:c>
      <x:c r="R99" t="n">
        <x:f>IF(AND(MAX(L99,L98)&gt;0,L99&gt;L98+0.00000001),1,0)</x:f>
        <x:v>0</x:v>
      </x:c>
      <x:c r="S99" t="n">
        <x:f>IF(AND(MAX(M99,M98)&gt;0,M99&gt;M98+0.00000001),1,0)</x:f>
        <x:v>0</x:v>
      </x:c>
      <x:c r="T99" t="n">
        <x:f>IF(AND(MAX(N99,N98)&gt;0,N99&gt;N98+0.00000001),1,0)</x:f>
        <x:v>0</x:v>
      </x:c>
      <x:c r="U99" t="n">
        <x:f>IF(AND(MAX(O99,O98)&gt;0,O99&gt;O98+0.00000001),1,0)</x:f>
        <x:v>0</x:v>
      </x:c>
    </x:row>
    <x:row r="100">
      <x:c r="J100" t="n">
        <x:f>IF(AND(ISNUMBER('Results'!B7),ISNUMBER('Results'!C7),ISNUMBER('Results'!$B$8),ISNUMBER('Inputs'!$B$6),ISNUMBER('Inputs'!$B$7),ISNUMBER('Inputs'!$B$8),ISNUMBER('Inputs'!$B$9),ISNUMBER('Inputs'!$B$10),ISNUMBER('Inputs'!$B$21),ISNUMBER('Inputs'!$B$24),ISNUMBER('Inputs'!$B$28)),(('Results'!B7*(0.5*((((100-43)*MAX('Inputs'!$B$33,'Inputs'!$B$29+'Inputs'!$B$31+'Inputs'!$B$32,'Inputs'!$B$30+'Inputs'!$B$31+'Inputs'!$B$32)/1000+'Inputs'!$B$21)+'Inputs'!$B$7)/SQRT((((100-43)*MAX('Inputs'!$B$33,'Inputs'!$B$29+'Inputs'!$B$31+'Inputs'!$B$32,'Inputs'!$B$30+'Inputs'!$B$31+'Inputs'!$B$32)/1000+'Inputs'!$B$21)+'Inputs'!$B$7)^2+('Inputs'!$B$6/2)^2)-(((100-43)*MAX('Inputs'!$B$33,'Inputs'!$B$29+'Inputs'!$B$31+'Inputs'!$B$32,'Inputs'!$B$30+'Inputs'!$B$31+'Inputs'!$B$32)/1000+'Inputs'!$B$21))/SQRT((((100-43)*MAX('Inputs'!$B$33,'Inputs'!$B$29+'Inputs'!$B$31+'Inputs'!$B$32,'Inputs'!$B$30+'Inputs'!$B$31+'Inputs'!$B$32)/1000+'Inputs'!$B$21))^2+('Inputs'!$B$6/2)^2)))-'Results'!C7*(0.5*((((100-43)*MAX('Inputs'!$B$33,'Inputs'!$B$29+'Inputs'!$B$31+'Inputs'!$B$32,'Inputs'!$B$30+'Inputs'!$B$31+'Inputs'!$B$32)/1000+'Inputs'!$B$21+'Inputs'!$B$7+'Inputs'!$B$10)+'Inputs'!$B$9)/SQRT((((100-43)*MAX('Inputs'!$B$33,'Inputs'!$B$29+'Inputs'!$B$31+'Inputs'!$B$32,'Inputs'!$B$30+'Inputs'!$B$31+'Inputs'!$B$32)/1000+'Inputs'!$B$21+'Inputs'!$B$7+'Inputs'!$B$10)+'Inputs'!$B$9)^2+('Inputs'!$B$8/2)^2)-(((100-43)*MAX('Inputs'!$B$33,'Inputs'!$B$29+'Inputs'!$B$31+'Inputs'!$B$32,'Inputs'!$B$30+'Inputs'!$B$31+'Inputs'!$B$32)/1000+'Inputs'!$B$21+'Inputs'!$B$7+'Inputs'!$B$10))/SQRT((((100-43)*MAX('Inputs'!$B$33,'Inputs'!$B$29+'Inputs'!$B$31+'Inputs'!$B$32,'Inputs'!$B$30+'Inputs'!$B$31+'Inputs'!$B$32)/1000+'Inputs'!$B$21+'Inputs'!$B$7+'Inputs'!$B$10))^2+('Inputs'!$B$8/2)^2))))*'Results'!$B$8),"")</x:f>
        <x:v>860.5677450092296</x:v>
      </x:c>
      <x:c r="K100" t="n">
        <x:f>IF(AND(ISNUMBER('Results'!B7),ISNUMBER('Results'!C7),ISNUMBER('Results'!$B$8),ISNUMBER('Inputs'!$B$6),ISNUMBER('Inputs'!$B$7),ISNUMBER('Inputs'!$B$8),ISNUMBER('Inputs'!$B$9),ISNUMBER('Inputs'!$B$10),ISNUMBER('Inputs'!$B$21),ISNUMBER('Inputs'!$B$24),ISNUMBER('Inputs'!$B$28)),((('Results'!B7*(1-'Inputs'!$B$24)*(0.5*((((100-43)*MAX('Inputs'!$B$33,'Inputs'!$B$29+'Inputs'!$B$31+'Inputs'!$B$32,'Inputs'!$B$30+'Inputs'!$B$31+'Inputs'!$B$32)/1000+'Inputs'!$B$21)+'Inputs'!$B$7)/SQRT((((100-43)*MAX('Inputs'!$B$33,'Inputs'!$B$29+'Inputs'!$B$31+'Inputs'!$B$32,'Inputs'!$B$30+'Inputs'!$B$31+'Inputs'!$B$32)/1000+'Inputs'!$B$21)+'Inputs'!$B$7)^2+('Inputs'!$B$6/2)^2)-(((100-43)*MAX('Inputs'!$B$33,'Inputs'!$B$29+'Inputs'!$B$31+'Inputs'!$B$32,'Inputs'!$B$30+'Inputs'!$B$31+'Inputs'!$B$32)/1000+'Inputs'!$B$21))/SQRT((((100-43)*MAX('Inputs'!$B$33,'Inputs'!$B$29+'Inputs'!$B$31+'Inputs'!$B$32,'Inputs'!$B$30+'Inputs'!$B$31+'Inputs'!$B$32)/1000+'Inputs'!$B$21))^2+('Inputs'!$B$6/2)^2)))-'Results'!C7*(1+'Inputs'!$B$24)*(0.5*((((100-43)*MAX('Inputs'!$B$33,'Inputs'!$B$29+'Inputs'!$B$31+'Inputs'!$B$32,'Inputs'!$B$30+'Inputs'!$B$31+'Inputs'!$B$32)/1000+'Inputs'!$B$21+'Inputs'!$B$7+'Inputs'!$B$10)+'Inputs'!$B$9)/SQRT((((100-43)*MAX('Inputs'!$B$33,'Inputs'!$B$29+'Inputs'!$B$31+'Inputs'!$B$32,'Inputs'!$B$30+'Inputs'!$B$31+'Inputs'!$B$32)/1000+'Inputs'!$B$21+'Inputs'!$B$7+'Inputs'!$B$10)+'Inputs'!$B$9)^2+('Inputs'!$B$8/2)^2)-(((100-43)*MAX('Inputs'!$B$33,'Inputs'!$B$29+'Inputs'!$B$31+'Inputs'!$B$32,'Inputs'!$B$30+'Inputs'!$B$31+'Inputs'!$B$32)/1000+'Inputs'!$B$21+'Inputs'!$B$7+'Inputs'!$B$10))/SQRT((((100-43)*MAX('Inputs'!$B$33,'Inputs'!$B$29+'Inputs'!$B$31+'Inputs'!$B$32,'Inputs'!$B$30+'Inputs'!$B$31+'Inputs'!$B$32)/1000+'Inputs'!$B$21+'Inputs'!$B$7+'Inputs'!$B$10))^2+('Inputs'!$B$8/2)^2))))*'Results'!$B$8)-'Inputs'!$B$28*ABS((('Results'!B7*(1-'Inputs'!$B$24)*(0.5*((((100-43)*MAX('Inputs'!$B$33,'Inputs'!$B$29+'Inputs'!$B$31+'Inputs'!$B$32,'Inputs'!$B$30+'Inputs'!$B$31+'Inputs'!$B$32)/1000+'Inputs'!$B$21)+'Inputs'!$B$7)/SQRT((((100-43)*MAX('Inputs'!$B$33,'Inputs'!$B$29+'Inputs'!$B$31+'Inputs'!$B$32,'Inputs'!$B$30+'Inputs'!$B$31+'Inputs'!$B$32)/1000+'Inputs'!$B$21)+'Inputs'!$B$7)^2+('Inputs'!$B$6/2)^2)-(((100-43)*MAX('Inputs'!$B$33,'Inputs'!$B$29+'Inputs'!$B$31+'Inputs'!$B$32,'Inputs'!$B$30+'Inputs'!$B$31+'Inputs'!$B$32)/1000+'Inputs'!$B$21))/SQRT((((100-43)*MAX('Inputs'!$B$33,'Inputs'!$B$29+'Inputs'!$B$31+'Inputs'!$B$32,'Inputs'!$B$30+'Inputs'!$B$31+'Inputs'!$B$32)/1000+'Inputs'!$B$21))^2+('Inputs'!$B$6/2)^2)))-'Results'!C7*(1+'Inputs'!$B$24)*(0.5*((((100-43)*MAX('Inputs'!$B$33,'Inputs'!$B$29+'Inputs'!$B$31+'Inputs'!$B$32,'Inputs'!$B$30+'Inputs'!$B$31+'Inputs'!$B$32)/1000+'Inputs'!$B$21+'Inputs'!$B$7+'Inputs'!$B$10)+'Inputs'!$B$9)/SQRT((((100-43)*MAX('Inputs'!$B$33,'Inputs'!$B$29+'Inputs'!$B$31+'Inputs'!$B$32,'Inputs'!$B$30+'Inputs'!$B$31+'Inputs'!$B$32)/1000+'Inputs'!$B$21+'Inputs'!$B$7+'Inputs'!$B$10)+'Inputs'!$B$9)^2+('Inputs'!$B$8/2)^2)-(((100-43)*MAX('Inputs'!$B$33,'Inputs'!$B$29+'Inputs'!$B$31+'Inputs'!$B$32,'Inputs'!$B$30+'Inputs'!$B$31+'Inputs'!$B$32)/1000+'Inputs'!$B$21+'Inputs'!$B$7+'Inputs'!$B$10))/SQRT((((100-43)*MAX('Inputs'!$B$33,'Inputs'!$B$29+'Inputs'!$B$31+'Inputs'!$B$32,'Inputs'!$B$30+'Inputs'!$B$31+'Inputs'!$B$32)/1000+'Inputs'!$B$21+'Inputs'!$B$7+'Inputs'!$B$10))^2+('Inputs'!$B$8/2)^2))))*'Results'!$B$8))),"")</x:f>
        <x:v>795.5439699965572</x:v>
      </x:c>
      <x:c r="L100" t="n">
        <x:f>IF(AND(ISNUMBER('Results'!B7),ISNUMBER('Results'!C7),ISNUMBER('Results'!$B$8),ISNUMBER('Inputs'!$B$6),ISNUMBER('Inputs'!$B$7),ISNUMBER('Inputs'!$B$8),ISNUMBER('Inputs'!$B$9),ISNUMBER('Inputs'!$B$10),ISNUMBER('Inputs'!$B$21),ISNUMBER('Inputs'!$B$24),ISNUMBER('Inputs'!$B$28)),((('Results'!B7*(1+'Inputs'!$B$24)*(0.5*((((100-43)*MAX('Inputs'!$B$33,'Inputs'!$B$29+'Inputs'!$B$31+'Inputs'!$B$32,'Inputs'!$B$30+'Inputs'!$B$31+'Inputs'!$B$32)/1000+'Inputs'!$B$21)+'Inputs'!$B$7)/SQRT((((100-43)*MAX('Inputs'!$B$33,'Inputs'!$B$29+'Inputs'!$B$31+'Inputs'!$B$32,'Inputs'!$B$30+'Inputs'!$B$31+'Inputs'!$B$32)/1000+'Inputs'!$B$21)+'Inputs'!$B$7)^2+('Inputs'!$B$6/2)^2)-(((100-43)*MAX('Inputs'!$B$33,'Inputs'!$B$29+'Inputs'!$B$31+'Inputs'!$B$32,'Inputs'!$B$30+'Inputs'!$B$31+'Inputs'!$B$32)/1000+'Inputs'!$B$21))/SQRT((((100-43)*MAX('Inputs'!$B$33,'Inputs'!$B$29+'Inputs'!$B$31+'Inputs'!$B$32,'Inputs'!$B$30+'Inputs'!$B$31+'Inputs'!$B$32)/1000+'Inputs'!$B$21))^2+('Inputs'!$B$6/2)^2)))-'Results'!C7*(1-'Inputs'!$B$24)*(0.5*((((100-43)*MAX('Inputs'!$B$33,'Inputs'!$B$29+'Inputs'!$B$31+'Inputs'!$B$32,'Inputs'!$B$30+'Inputs'!$B$31+'Inputs'!$B$32)/1000+'Inputs'!$B$21+'Inputs'!$B$7+'Inputs'!$B$10)+'Inputs'!$B$9)/SQRT((((100-43)*MAX('Inputs'!$B$33,'Inputs'!$B$29+'Inputs'!$B$31+'Inputs'!$B$32,'Inputs'!$B$30+'Inputs'!$B$31+'Inputs'!$B$32)/1000+'Inputs'!$B$21+'Inputs'!$B$7+'Inputs'!$B$10)+'Inputs'!$B$9)^2+('Inputs'!$B$8/2)^2)-(((100-43)*MAX('Inputs'!$B$33,'Inputs'!$B$29+'Inputs'!$B$31+'Inputs'!$B$32,'Inputs'!$B$30+'Inputs'!$B$31+'Inputs'!$B$32)/1000+'Inputs'!$B$21+'Inputs'!$B$7+'Inputs'!$B$10))/SQRT((((100-43)*MAX('Inputs'!$B$33,'Inputs'!$B$29+'Inputs'!$B$31+'Inputs'!$B$32,'Inputs'!$B$30+'Inputs'!$B$31+'Inputs'!$B$32)/1000+'Inputs'!$B$21+'Inputs'!$B$7+'Inputs'!$B$10))^2+('Inputs'!$B$8/2)^2))))*'Results'!$B$8)+'Inputs'!$B$28*ABS((('Results'!B7*(1+'Inputs'!$B$24)*(0.5*((((100-43)*MAX('Inputs'!$B$33,'Inputs'!$B$29+'Inputs'!$B$31+'Inputs'!$B$32,'Inputs'!$B$30+'Inputs'!$B$31+'Inputs'!$B$32)/1000+'Inputs'!$B$21)+'Inputs'!$B$7)/SQRT((((100-43)*MAX('Inputs'!$B$33,'Inputs'!$B$29+'Inputs'!$B$31+'Inputs'!$B$32,'Inputs'!$B$30+'Inputs'!$B$31+'Inputs'!$B$32)/1000+'Inputs'!$B$21)+'Inputs'!$B$7)^2+('Inputs'!$B$6/2)^2)-(((100-43)*MAX('Inputs'!$B$33,'Inputs'!$B$29+'Inputs'!$B$31+'Inputs'!$B$32,'Inputs'!$B$30+'Inputs'!$B$31+'Inputs'!$B$32)/1000+'Inputs'!$B$21))/SQRT((((100-43)*MAX('Inputs'!$B$33,'Inputs'!$B$29+'Inputs'!$B$31+'Inputs'!$B$32,'Inputs'!$B$30+'Inputs'!$B$31+'Inputs'!$B$32)/1000+'Inputs'!$B$21))^2+('Inputs'!$B$6/2)^2)))-'Results'!C7*(1-'Inputs'!$B$24)*(0.5*((((100-43)*MAX('Inputs'!$B$33,'Inputs'!$B$29+'Inputs'!$B$31+'Inputs'!$B$32,'Inputs'!$B$30+'Inputs'!$B$31+'Inputs'!$B$32)/1000+'Inputs'!$B$21+'Inputs'!$B$7+'Inputs'!$B$10)+'Inputs'!$B$9)/SQRT((((100-43)*MAX('Inputs'!$B$33,'Inputs'!$B$29+'Inputs'!$B$31+'Inputs'!$B$32,'Inputs'!$B$30+'Inputs'!$B$31+'Inputs'!$B$32)/1000+'Inputs'!$B$21+'Inputs'!$B$7+'Inputs'!$B$10)+'Inputs'!$B$9)^2+('Inputs'!$B$8/2)^2)-(((100-43)*MAX('Inputs'!$B$33,'Inputs'!$B$29+'Inputs'!$B$31+'Inputs'!$B$32,'Inputs'!$B$30+'Inputs'!$B$31+'Inputs'!$B$32)/1000+'Inputs'!$B$21+'Inputs'!$B$7+'Inputs'!$B$10))/SQRT((((100-43)*MAX('Inputs'!$B$33,'Inputs'!$B$29+'Inputs'!$B$31+'Inputs'!$B$32,'Inputs'!$B$30+'Inputs'!$B$31+'Inputs'!$B$32)/1000+'Inputs'!$B$21+'Inputs'!$B$7+'Inputs'!$B$10))^2+('Inputs'!$B$8/2)^2))))*'Results'!$B$8))),"")</x:f>
        <x:v>927.9068239968713</x:v>
      </x:c>
      <x:c r="M100" t="n">
        <x:f>IF(AND(ISNUMBER('Results'!C7),ISNUMBER('Results'!B7),ISNUMBER('Results'!$B$8),ISNUMBER('Inputs'!$B$6),ISNUMBER('Inputs'!$B$7),ISNUMBER('Inputs'!$B$8),ISNUMBER('Inputs'!$B$9),ISNUMBER('Inputs'!$B$10),ISNUMBER('Inputs'!$B$21),ISNUMBER('Inputs'!$B$24),ISNUMBER('Inputs'!$B$28)),(('Results'!C7*(0.5*((((100-43)*MAX('Inputs'!$B$33,'Inputs'!$B$29+'Inputs'!$B$31+'Inputs'!$B$32,'Inputs'!$B$30+'Inputs'!$B$31+'Inputs'!$B$32)/1000+'Inputs'!$B$21)+'Inputs'!$B$9)/SQRT((((100-43)*MAX('Inputs'!$B$33,'Inputs'!$B$29+'Inputs'!$B$31+'Inputs'!$B$32,'Inputs'!$B$30+'Inputs'!$B$31+'Inputs'!$B$32)/1000+'Inputs'!$B$21)+'Inputs'!$B$9)^2+('Inputs'!$B$8/2)^2)-(((100-43)*MAX('Inputs'!$B$33,'Inputs'!$B$29+'Inputs'!$B$31+'Inputs'!$B$32,'Inputs'!$B$30+'Inputs'!$B$31+'Inputs'!$B$32)/1000+'Inputs'!$B$21))/SQRT((((100-43)*MAX('Inputs'!$B$33,'Inputs'!$B$29+'Inputs'!$B$31+'Inputs'!$B$32,'Inputs'!$B$30+'Inputs'!$B$31+'Inputs'!$B$32)/1000+'Inputs'!$B$21))^2+('Inputs'!$B$8/2)^2)))-'Results'!B7*(0.5*((((100-43)*MAX('Inputs'!$B$33,'Inputs'!$B$29+'Inputs'!$B$31+'Inputs'!$B$32,'Inputs'!$B$30+'Inputs'!$B$31+'Inputs'!$B$32)/1000+'Inputs'!$B$21+'Inputs'!$B$9+'Inputs'!$B$10)+'Inputs'!$B$7)/SQRT((((100-43)*MAX('Inputs'!$B$33,'Inputs'!$B$29+'Inputs'!$B$31+'Inputs'!$B$32,'Inputs'!$B$30+'Inputs'!$B$31+'Inputs'!$B$32)/1000+'Inputs'!$B$21+'Inputs'!$B$9+'Inputs'!$B$10)+'Inputs'!$B$7)^2+('Inputs'!$B$6/2)^2)-(((100-43)*MAX('Inputs'!$B$33,'Inputs'!$B$29+'Inputs'!$B$31+'Inputs'!$B$32,'Inputs'!$B$30+'Inputs'!$B$31+'Inputs'!$B$32)/1000+'Inputs'!$B$21+'Inputs'!$B$9+'Inputs'!$B$10))/SQRT((((100-43)*MAX('Inputs'!$B$33,'Inputs'!$B$29+'Inputs'!$B$31+'Inputs'!$B$32,'Inputs'!$B$30+'Inputs'!$B$31+'Inputs'!$B$32)/1000+'Inputs'!$B$21+'Inputs'!$B$9+'Inputs'!$B$10))^2+('Inputs'!$B$6/2)^2))))*'Results'!$B$8),"")</x:f>
        <x:v>837.354075822294</x:v>
      </x:c>
      <x:c r="N100" t="n">
        <x:f>IF(AND(ISNUMBER('Results'!C7),ISNUMBER('Results'!B7),ISNUMBER('Results'!$B$8),ISNUMBER('Inputs'!$B$6),ISNUMBER('Inputs'!$B$7),ISNUMBER('Inputs'!$B$8),ISNUMBER('Inputs'!$B$9),ISNUMBER('Inputs'!$B$10),ISNUMBER('Inputs'!$B$21),ISNUMBER('Inputs'!$B$24),ISNUMBER('Inputs'!$B$28)),((('Results'!C7*(1-'Inputs'!$B$24)*(0.5*((((100-43)*MAX('Inputs'!$B$33,'Inputs'!$B$29+'Inputs'!$B$31+'Inputs'!$B$32,'Inputs'!$B$30+'Inputs'!$B$31+'Inputs'!$B$32)/1000+'Inputs'!$B$21)+'Inputs'!$B$9)/SQRT((((100-43)*MAX('Inputs'!$B$33,'Inputs'!$B$29+'Inputs'!$B$31+'Inputs'!$B$32,'Inputs'!$B$30+'Inputs'!$B$31+'Inputs'!$B$32)/1000+'Inputs'!$B$21)+'Inputs'!$B$9)^2+('Inputs'!$B$8/2)^2)-(((100-43)*MAX('Inputs'!$B$33,'Inputs'!$B$29+'Inputs'!$B$31+'Inputs'!$B$32,'Inputs'!$B$30+'Inputs'!$B$31+'Inputs'!$B$32)/1000+'Inputs'!$B$21))/SQRT((((100-43)*MAX('Inputs'!$B$33,'Inputs'!$B$29+'Inputs'!$B$31+'Inputs'!$B$32,'Inputs'!$B$30+'Inputs'!$B$31+'Inputs'!$B$32)/1000+'Inputs'!$B$21))^2+('Inputs'!$B$8/2)^2)))-'Results'!B7*(1+'Inputs'!$B$24)*(0.5*((((100-43)*MAX('Inputs'!$B$33,'Inputs'!$B$29+'Inputs'!$B$31+'Inputs'!$B$32,'Inputs'!$B$30+'Inputs'!$B$31+'Inputs'!$B$32)/1000+'Inputs'!$B$21+'Inputs'!$B$9+'Inputs'!$B$10)+'Inputs'!$B$7)/SQRT((((100-43)*MAX('Inputs'!$B$33,'Inputs'!$B$29+'Inputs'!$B$31+'Inputs'!$B$32,'Inputs'!$B$30+'Inputs'!$B$31+'Inputs'!$B$32)/1000+'Inputs'!$B$21+'Inputs'!$B$9+'Inputs'!$B$10)+'Inputs'!$B$7)^2+('Inputs'!$B$6/2)^2)-(((100-43)*MAX('Inputs'!$B$33,'Inputs'!$B$29+'Inputs'!$B$31+'Inputs'!$B$32,'Inputs'!$B$30+'Inputs'!$B$31+'Inputs'!$B$32)/1000+'Inputs'!$B$21+'Inputs'!$B$9+'Inputs'!$B$10))/SQRT((((100-43)*MAX('Inputs'!$B$33,'Inputs'!$B$29+'Inputs'!$B$31+'Inputs'!$B$32,'Inputs'!$B$30+'Inputs'!$B$31+'Inputs'!$B$32)/1000+'Inputs'!$B$21+'Inputs'!$B$9+'Inputs'!$B$10))^2+('Inputs'!$B$6/2)^2))))*'Results'!$B$8)-'Inputs'!$B$28*ABS((('Results'!C7*(1-'Inputs'!$B$24)*(0.5*((((100-43)*MAX('Inputs'!$B$33,'Inputs'!$B$29+'Inputs'!$B$31+'Inputs'!$B$32,'Inputs'!$B$30+'Inputs'!$B$31+'Inputs'!$B$32)/1000+'Inputs'!$B$21)+'Inputs'!$B$9)/SQRT((((100-43)*MAX('Inputs'!$B$33,'Inputs'!$B$29+'Inputs'!$B$31+'Inputs'!$B$32,'Inputs'!$B$30+'Inputs'!$B$31+'Inputs'!$B$32)/1000+'Inputs'!$B$21)+'Inputs'!$B$9)^2+('Inputs'!$B$8/2)^2)-(((100-43)*MAX('Inputs'!$B$33,'Inputs'!$B$29+'Inputs'!$B$31+'Inputs'!$B$32,'Inputs'!$B$30+'Inputs'!$B$31+'Inputs'!$B$32)/1000+'Inputs'!$B$21))/SQRT((((100-43)*MAX('Inputs'!$B$33,'Inputs'!$B$29+'Inputs'!$B$31+'Inputs'!$B$32,'Inputs'!$B$30+'Inputs'!$B$31+'Inputs'!$B$32)/1000+'Inputs'!$B$21))^2+('Inputs'!$B$8/2)^2)))-'Results'!B7*(1+'Inputs'!$B$24)*(0.5*((((100-43)*MAX('Inputs'!$B$33,'Inputs'!$B$29+'Inputs'!$B$31+'Inputs'!$B$32,'Inputs'!$B$30+'Inputs'!$B$31+'Inputs'!$B$32)/1000+'Inputs'!$B$21+'Inputs'!$B$9+'Inputs'!$B$10)+'Inputs'!$B$7)/SQRT((((100-43)*MAX('Inputs'!$B$33,'Inputs'!$B$29+'Inputs'!$B$31+'Inputs'!$B$32,'Inputs'!$B$30+'Inputs'!$B$31+'Inputs'!$B$32)/1000+'Inputs'!$B$21+'Inputs'!$B$9+'Inputs'!$B$10)+'Inputs'!$B$7)^2+('Inputs'!$B$6/2)^2)-(((100-43)*MAX('Inputs'!$B$33,'Inputs'!$B$29+'Inputs'!$B$31+'Inputs'!$B$32,'Inputs'!$B$30+'Inputs'!$B$31+'Inputs'!$B$32)/1000+'Inputs'!$B$21+'Inputs'!$B$9+'Inputs'!$B$10))/SQRT((((100-43)*MAX('Inputs'!$B$33,'Inputs'!$B$29+'Inputs'!$B$31+'Inputs'!$B$32,'Inputs'!$B$30+'Inputs'!$B$31+'Inputs'!$B$32)/1000+'Inputs'!$B$21+'Inputs'!$B$9+'Inputs'!$B$10))^2+('Inputs'!$B$6/2)^2))))*'Results'!$B$8))),"")</x:f>
        <x:v>773.8168480527644</x:v>
      </x:c>
      <x:c r="O100" t="n">
        <x:f>IF(AND(ISNUMBER('Results'!C7),ISNUMBER('Results'!B7),ISNUMBER('Results'!$B$8),ISNUMBER('Inputs'!$B$6),ISNUMBER('Inputs'!$B$7),ISNUMBER('Inputs'!$B$8),ISNUMBER('Inputs'!$B$9),ISNUMBER('Inputs'!$B$10),ISNUMBER('Inputs'!$B$21),ISNUMBER('Inputs'!$B$24),ISNUMBER('Inputs'!$B$28)),((('Results'!C7*(1+'Inputs'!$B$24)*(0.5*((((100-43)*MAX('Inputs'!$B$33,'Inputs'!$B$29+'Inputs'!$B$31+'Inputs'!$B$32,'Inputs'!$B$30+'Inputs'!$B$31+'Inputs'!$B$32)/1000+'Inputs'!$B$21)+'Inputs'!$B$9)/SQRT((((100-43)*MAX('Inputs'!$B$33,'Inputs'!$B$29+'Inputs'!$B$31+'Inputs'!$B$32,'Inputs'!$B$30+'Inputs'!$B$31+'Inputs'!$B$32)/1000+'Inputs'!$B$21)+'Inputs'!$B$9)^2+('Inputs'!$B$8/2)^2)-(((100-43)*MAX('Inputs'!$B$33,'Inputs'!$B$29+'Inputs'!$B$31+'Inputs'!$B$32,'Inputs'!$B$30+'Inputs'!$B$31+'Inputs'!$B$32)/1000+'Inputs'!$B$21))/SQRT((((100-43)*MAX('Inputs'!$B$33,'Inputs'!$B$29+'Inputs'!$B$31+'Inputs'!$B$32,'Inputs'!$B$30+'Inputs'!$B$31+'Inputs'!$B$32)/1000+'Inputs'!$B$21))^2+('Inputs'!$B$8/2)^2)))-'Results'!B7*(1-'Inputs'!$B$24)*(0.5*((((100-43)*MAX('Inputs'!$B$33,'Inputs'!$B$29+'Inputs'!$B$31+'Inputs'!$B$32,'Inputs'!$B$30+'Inputs'!$B$31+'Inputs'!$B$32)/1000+'Inputs'!$B$21+'Inputs'!$B$9+'Inputs'!$B$10)+'Inputs'!$B$7)/SQRT((((100-43)*MAX('Inputs'!$B$33,'Inputs'!$B$29+'Inputs'!$B$31+'Inputs'!$B$32,'Inputs'!$B$30+'Inputs'!$B$31+'Inputs'!$B$32)/1000+'Inputs'!$B$21+'Inputs'!$B$9+'Inputs'!$B$10)+'Inputs'!$B$7)^2+('Inputs'!$B$6/2)^2)-(((100-43)*MAX('Inputs'!$B$33,'Inputs'!$B$29+'Inputs'!$B$31+'Inputs'!$B$32,'Inputs'!$B$30+'Inputs'!$B$31+'Inputs'!$B$32)/1000+'Inputs'!$B$21+'Inputs'!$B$9+'Inputs'!$B$10))/SQRT((((100-43)*MAX('Inputs'!$B$33,'Inputs'!$B$29+'Inputs'!$B$31+'Inputs'!$B$32,'Inputs'!$B$30+'Inputs'!$B$31+'Inputs'!$B$32)/1000+'Inputs'!$B$21+'Inputs'!$B$9+'Inputs'!$B$10))^2+('Inputs'!$B$6/2)^2))))*'Results'!$B$8)+'Inputs'!$B$28*ABS((('Results'!C7*(1+'Inputs'!$B$24)*(0.5*((((100-43)*MAX('Inputs'!$B$33,'Inputs'!$B$29+'Inputs'!$B$31+'Inputs'!$B$32,'Inputs'!$B$30+'Inputs'!$B$31+'Inputs'!$B$32)/1000+'Inputs'!$B$21)+'Inputs'!$B$9)/SQRT((((100-43)*MAX('Inputs'!$B$33,'Inputs'!$B$29+'Inputs'!$B$31+'Inputs'!$B$32,'Inputs'!$B$30+'Inputs'!$B$31+'Inputs'!$B$32)/1000+'Inputs'!$B$21)+'Inputs'!$B$9)^2+('Inputs'!$B$8/2)^2)-(((100-43)*MAX('Inputs'!$B$33,'Inputs'!$B$29+'Inputs'!$B$31+'Inputs'!$B$32,'Inputs'!$B$30+'Inputs'!$B$31+'Inputs'!$B$32)/1000+'Inputs'!$B$21))/SQRT((((100-43)*MAX('Inputs'!$B$33,'Inputs'!$B$29+'Inputs'!$B$31+'Inputs'!$B$32,'Inputs'!$B$30+'Inputs'!$B$31+'Inputs'!$B$32)/1000+'Inputs'!$B$21))^2+('Inputs'!$B$8/2)^2)))-'Results'!B7*(1-'Inputs'!$B$24)*(0.5*((((100-43)*MAX('Inputs'!$B$33,'Inputs'!$B$29+'Inputs'!$B$31+'Inputs'!$B$32,'Inputs'!$B$30+'Inputs'!$B$31+'Inputs'!$B$32)/1000+'Inputs'!$B$21+'Inputs'!$B$9+'Inputs'!$B$10)+'Inputs'!$B$7)/SQRT((((100-43)*MAX('Inputs'!$B$33,'Inputs'!$B$29+'Inputs'!$B$31+'Inputs'!$B$32,'Inputs'!$B$30+'Inputs'!$B$31+'Inputs'!$B$32)/1000+'Inputs'!$B$21+'Inputs'!$B$9+'Inputs'!$B$10)+'Inputs'!$B$7)^2+('Inputs'!$B$6/2)^2)-(((100-43)*MAX('Inputs'!$B$33,'Inputs'!$B$29+'Inputs'!$B$31+'Inputs'!$B$32,'Inputs'!$B$30+'Inputs'!$B$31+'Inputs'!$B$32)/1000+'Inputs'!$B$21+'Inputs'!$B$9+'Inputs'!$B$10))/SQRT((((100-43)*MAX('Inputs'!$B$33,'Inputs'!$B$29+'Inputs'!$B$31+'Inputs'!$B$32,'Inputs'!$B$30+'Inputs'!$B$31+'Inputs'!$B$32)/1000+'Inputs'!$B$21+'Inputs'!$B$9+'Inputs'!$B$10))^2+('Inputs'!$B$6/2)^2))))*'Results'!$B$8))),"")</x:f>
        <x:v>903.1723061158674</x:v>
      </x:c>
      <x:c r="P100" t="n">
        <x:f>IF(AND(MAX(J100,J99)&gt;0,J100&gt;J99+0.00000001),1,0)</x:f>
        <x:v>0</x:v>
      </x:c>
      <x:c r="Q100" t="n">
        <x:f>IF(AND(MAX(K100,K99)&gt;0,K100&gt;K99+0.00000001),1,0)</x:f>
        <x:v>0</x:v>
      </x:c>
      <x:c r="R100" t="n">
        <x:f>IF(AND(MAX(L100,L99)&gt;0,L100&gt;L99+0.00000001),1,0)</x:f>
        <x:v>0</x:v>
      </x:c>
      <x:c r="S100" t="n">
        <x:f>IF(AND(MAX(M100,M99)&gt;0,M100&gt;M99+0.00000001),1,0)</x:f>
        <x:v>0</x:v>
      </x:c>
      <x:c r="T100" t="n">
        <x:f>IF(AND(MAX(N100,N99)&gt;0,N100&gt;N99+0.00000001),1,0)</x:f>
        <x:v>0</x:v>
      </x:c>
      <x:c r="U100" t="n">
        <x:f>IF(AND(MAX(O100,O99)&gt;0,O100&gt;O99+0.00000001),1,0)</x:f>
        <x:v>0</x:v>
      </x:c>
    </x:row>
    <x:row r="101">
      <x:c r="J101" t="n">
        <x:f>IF(AND(ISNUMBER('Results'!B7),ISNUMBER('Results'!C7),ISNUMBER('Results'!$B$8),ISNUMBER('Inputs'!$B$6),ISNUMBER('Inputs'!$B$7),ISNUMBER('Inputs'!$B$8),ISNUMBER('Inputs'!$B$9),ISNUMBER('Inputs'!$B$10),ISNUMBER('Inputs'!$B$21),ISNUMBER('Inputs'!$B$24),ISNUMBER('Inputs'!$B$28)),(('Results'!B7*(0.5*((((101-43)*MAX('Inputs'!$B$33,'Inputs'!$B$29+'Inputs'!$B$31+'Inputs'!$B$32,'Inputs'!$B$30+'Inputs'!$B$31+'Inputs'!$B$32)/1000+'Inputs'!$B$21)+'Inputs'!$B$7)/SQRT((((101-43)*MAX('Inputs'!$B$33,'Inputs'!$B$29+'Inputs'!$B$31+'Inputs'!$B$32,'Inputs'!$B$30+'Inputs'!$B$31+'Inputs'!$B$32)/1000+'Inputs'!$B$21)+'Inputs'!$B$7)^2+('Inputs'!$B$6/2)^2)-(((101-43)*MAX('Inputs'!$B$33,'Inputs'!$B$29+'Inputs'!$B$31+'Inputs'!$B$32,'Inputs'!$B$30+'Inputs'!$B$31+'Inputs'!$B$32)/1000+'Inputs'!$B$21))/SQRT((((101-43)*MAX('Inputs'!$B$33,'Inputs'!$B$29+'Inputs'!$B$31+'Inputs'!$B$32,'Inputs'!$B$30+'Inputs'!$B$31+'Inputs'!$B$32)/1000+'Inputs'!$B$21))^2+('Inputs'!$B$6/2)^2)))-'Results'!C7*(0.5*((((101-43)*MAX('Inputs'!$B$33,'Inputs'!$B$29+'Inputs'!$B$31+'Inputs'!$B$32,'Inputs'!$B$30+'Inputs'!$B$31+'Inputs'!$B$32)/1000+'Inputs'!$B$21+'Inputs'!$B$7+'Inputs'!$B$10)+'Inputs'!$B$9)/SQRT((((101-43)*MAX('Inputs'!$B$33,'Inputs'!$B$29+'Inputs'!$B$31+'Inputs'!$B$32,'Inputs'!$B$30+'Inputs'!$B$31+'Inputs'!$B$32)/1000+'Inputs'!$B$21+'Inputs'!$B$7+'Inputs'!$B$10)+'Inputs'!$B$9)^2+('Inputs'!$B$8/2)^2)-(((101-43)*MAX('Inputs'!$B$33,'Inputs'!$B$29+'Inputs'!$B$31+'Inputs'!$B$32,'Inputs'!$B$30+'Inputs'!$B$31+'Inputs'!$B$32)/1000+'Inputs'!$B$21+'Inputs'!$B$7+'Inputs'!$B$10))/SQRT((((101-43)*MAX('Inputs'!$B$33,'Inputs'!$B$29+'Inputs'!$B$31+'Inputs'!$B$32,'Inputs'!$B$30+'Inputs'!$B$31+'Inputs'!$B$32)/1000+'Inputs'!$B$21+'Inputs'!$B$7+'Inputs'!$B$10))^2+('Inputs'!$B$8/2)^2))))*'Results'!$B$8),"")</x:f>
        <x:v>843.9115951987535</x:v>
      </x:c>
      <x:c r="K101" t="n">
        <x:f>IF(AND(ISNUMBER('Results'!B7),ISNUMBER('Results'!C7),ISNUMBER('Results'!$B$8),ISNUMBER('Inputs'!$B$6),ISNUMBER('Inputs'!$B$7),ISNUMBER('Inputs'!$B$8),ISNUMBER('Inputs'!$B$9),ISNUMBER('Inputs'!$B$10),ISNUMBER('Inputs'!$B$21),ISNUMBER('Inputs'!$B$24),ISNUMBER('Inputs'!$B$28)),((('Results'!B7*(1-'Inputs'!$B$24)*(0.5*((((101-43)*MAX('Inputs'!$B$33,'Inputs'!$B$29+'Inputs'!$B$31+'Inputs'!$B$32,'Inputs'!$B$30+'Inputs'!$B$31+'Inputs'!$B$32)/1000+'Inputs'!$B$21)+'Inputs'!$B$7)/SQRT((((101-43)*MAX('Inputs'!$B$33,'Inputs'!$B$29+'Inputs'!$B$31+'Inputs'!$B$32,'Inputs'!$B$30+'Inputs'!$B$31+'Inputs'!$B$32)/1000+'Inputs'!$B$21)+'Inputs'!$B$7)^2+('Inputs'!$B$6/2)^2)-(((101-43)*MAX('Inputs'!$B$33,'Inputs'!$B$29+'Inputs'!$B$31+'Inputs'!$B$32,'Inputs'!$B$30+'Inputs'!$B$31+'Inputs'!$B$32)/1000+'Inputs'!$B$21))/SQRT((((101-43)*MAX('Inputs'!$B$33,'Inputs'!$B$29+'Inputs'!$B$31+'Inputs'!$B$32,'Inputs'!$B$30+'Inputs'!$B$31+'Inputs'!$B$32)/1000+'Inputs'!$B$21))^2+('Inputs'!$B$6/2)^2)))-'Results'!C7*(1+'Inputs'!$B$24)*(0.5*((((101-43)*MAX('Inputs'!$B$33,'Inputs'!$B$29+'Inputs'!$B$31+'Inputs'!$B$32,'Inputs'!$B$30+'Inputs'!$B$31+'Inputs'!$B$32)/1000+'Inputs'!$B$21+'Inputs'!$B$7+'Inputs'!$B$10)+'Inputs'!$B$9)/SQRT((((101-43)*MAX('Inputs'!$B$33,'Inputs'!$B$29+'Inputs'!$B$31+'Inputs'!$B$32,'Inputs'!$B$30+'Inputs'!$B$31+'Inputs'!$B$32)/1000+'Inputs'!$B$21+'Inputs'!$B$7+'Inputs'!$B$10)+'Inputs'!$B$9)^2+('Inputs'!$B$8/2)^2)-(((101-43)*MAX('Inputs'!$B$33,'Inputs'!$B$29+'Inputs'!$B$31+'Inputs'!$B$32,'Inputs'!$B$30+'Inputs'!$B$31+'Inputs'!$B$32)/1000+'Inputs'!$B$21+'Inputs'!$B$7+'Inputs'!$B$10))/SQRT((((101-43)*MAX('Inputs'!$B$33,'Inputs'!$B$29+'Inputs'!$B$31+'Inputs'!$B$32,'Inputs'!$B$30+'Inputs'!$B$31+'Inputs'!$B$32)/1000+'Inputs'!$B$21+'Inputs'!$B$7+'Inputs'!$B$10))^2+('Inputs'!$B$8/2)^2))))*'Results'!$B$8)-'Inputs'!$B$28*ABS((('Results'!B7*(1-'Inputs'!$B$24)*(0.5*((((101-43)*MAX('Inputs'!$B$33,'Inputs'!$B$29+'Inputs'!$B$31+'Inputs'!$B$32,'Inputs'!$B$30+'Inputs'!$B$31+'Inputs'!$B$32)/1000+'Inputs'!$B$21)+'Inputs'!$B$7)/SQRT((((101-43)*MAX('Inputs'!$B$33,'Inputs'!$B$29+'Inputs'!$B$31+'Inputs'!$B$32,'Inputs'!$B$30+'Inputs'!$B$31+'Inputs'!$B$32)/1000+'Inputs'!$B$21)+'Inputs'!$B$7)^2+('Inputs'!$B$6/2)^2)-(((101-43)*MAX('Inputs'!$B$33,'Inputs'!$B$29+'Inputs'!$B$31+'Inputs'!$B$32,'Inputs'!$B$30+'Inputs'!$B$31+'Inputs'!$B$32)/1000+'Inputs'!$B$21))/SQRT((((101-43)*MAX('Inputs'!$B$33,'Inputs'!$B$29+'Inputs'!$B$31+'Inputs'!$B$32,'Inputs'!$B$30+'Inputs'!$B$31+'Inputs'!$B$32)/1000+'Inputs'!$B$21))^2+('Inputs'!$B$6/2)^2)))-'Results'!C7*(1+'Inputs'!$B$24)*(0.5*((((101-43)*MAX('Inputs'!$B$33,'Inputs'!$B$29+'Inputs'!$B$31+'Inputs'!$B$32,'Inputs'!$B$30+'Inputs'!$B$31+'Inputs'!$B$32)/1000+'Inputs'!$B$21+'Inputs'!$B$7+'Inputs'!$B$10)+'Inputs'!$B$9)/SQRT((((101-43)*MAX('Inputs'!$B$33,'Inputs'!$B$29+'Inputs'!$B$31+'Inputs'!$B$32,'Inputs'!$B$30+'Inputs'!$B$31+'Inputs'!$B$32)/1000+'Inputs'!$B$21+'Inputs'!$B$7+'Inputs'!$B$10)+'Inputs'!$B$9)^2+('Inputs'!$B$8/2)^2)-(((101-43)*MAX('Inputs'!$B$33,'Inputs'!$B$29+'Inputs'!$B$31+'Inputs'!$B$32,'Inputs'!$B$30+'Inputs'!$B$31+'Inputs'!$B$32)/1000+'Inputs'!$B$21+'Inputs'!$B$7+'Inputs'!$B$10))/SQRT((((101-43)*MAX('Inputs'!$B$33,'Inputs'!$B$29+'Inputs'!$B$31+'Inputs'!$B$32,'Inputs'!$B$30+'Inputs'!$B$31+'Inputs'!$B$32)/1000+'Inputs'!$B$21+'Inputs'!$B$7+'Inputs'!$B$10))^2+('Inputs'!$B$8/2)^2))))*'Results'!$B$8))),"")</x:f>
        <x:v>780.112483048905</x:v>
      </x:c>
      <x:c r="L101" t="n">
        <x:f>IF(AND(ISNUMBER('Results'!B7),ISNUMBER('Results'!C7),ISNUMBER('Results'!$B$8),ISNUMBER('Inputs'!$B$6),ISNUMBER('Inputs'!$B$7),ISNUMBER('Inputs'!$B$8),ISNUMBER('Inputs'!$B$9),ISNUMBER('Inputs'!$B$10),ISNUMBER('Inputs'!$B$21),ISNUMBER('Inputs'!$B$24),ISNUMBER('Inputs'!$B$28)),((('Results'!B7*(1+'Inputs'!$B$24)*(0.5*((((101-43)*MAX('Inputs'!$B$33,'Inputs'!$B$29+'Inputs'!$B$31+'Inputs'!$B$32,'Inputs'!$B$30+'Inputs'!$B$31+'Inputs'!$B$32)/1000+'Inputs'!$B$21)+'Inputs'!$B$7)/SQRT((((101-43)*MAX('Inputs'!$B$33,'Inputs'!$B$29+'Inputs'!$B$31+'Inputs'!$B$32,'Inputs'!$B$30+'Inputs'!$B$31+'Inputs'!$B$32)/1000+'Inputs'!$B$21)+'Inputs'!$B$7)^2+('Inputs'!$B$6/2)^2)-(((101-43)*MAX('Inputs'!$B$33,'Inputs'!$B$29+'Inputs'!$B$31+'Inputs'!$B$32,'Inputs'!$B$30+'Inputs'!$B$31+'Inputs'!$B$32)/1000+'Inputs'!$B$21))/SQRT((((101-43)*MAX('Inputs'!$B$33,'Inputs'!$B$29+'Inputs'!$B$31+'Inputs'!$B$32,'Inputs'!$B$30+'Inputs'!$B$31+'Inputs'!$B$32)/1000+'Inputs'!$B$21))^2+('Inputs'!$B$6/2)^2)))-'Results'!C7*(1-'Inputs'!$B$24)*(0.5*((((101-43)*MAX('Inputs'!$B$33,'Inputs'!$B$29+'Inputs'!$B$31+'Inputs'!$B$32,'Inputs'!$B$30+'Inputs'!$B$31+'Inputs'!$B$32)/1000+'Inputs'!$B$21+'Inputs'!$B$7+'Inputs'!$B$10)+'Inputs'!$B$9)/SQRT((((101-43)*MAX('Inputs'!$B$33,'Inputs'!$B$29+'Inputs'!$B$31+'Inputs'!$B$32,'Inputs'!$B$30+'Inputs'!$B$31+'Inputs'!$B$32)/1000+'Inputs'!$B$21+'Inputs'!$B$7+'Inputs'!$B$10)+'Inputs'!$B$9)^2+('Inputs'!$B$8/2)^2)-(((101-43)*MAX('Inputs'!$B$33,'Inputs'!$B$29+'Inputs'!$B$31+'Inputs'!$B$32,'Inputs'!$B$30+'Inputs'!$B$31+'Inputs'!$B$32)/1000+'Inputs'!$B$21+'Inputs'!$B$7+'Inputs'!$B$10))/SQRT((((101-43)*MAX('Inputs'!$B$33,'Inputs'!$B$29+'Inputs'!$B$31+'Inputs'!$B$32,'Inputs'!$B$30+'Inputs'!$B$31+'Inputs'!$B$32)/1000+'Inputs'!$B$21+'Inputs'!$B$7+'Inputs'!$B$10))^2+('Inputs'!$B$8/2)^2))))*'Results'!$B$8)+'Inputs'!$B$28*ABS((('Results'!B7*(1+'Inputs'!$B$24)*(0.5*((((101-43)*MAX('Inputs'!$B$33,'Inputs'!$B$29+'Inputs'!$B$31+'Inputs'!$B$32,'Inputs'!$B$30+'Inputs'!$B$31+'Inputs'!$B$32)/1000+'Inputs'!$B$21)+'Inputs'!$B$7)/SQRT((((101-43)*MAX('Inputs'!$B$33,'Inputs'!$B$29+'Inputs'!$B$31+'Inputs'!$B$32,'Inputs'!$B$30+'Inputs'!$B$31+'Inputs'!$B$32)/1000+'Inputs'!$B$21)+'Inputs'!$B$7)^2+('Inputs'!$B$6/2)^2)-(((101-43)*MAX('Inputs'!$B$33,'Inputs'!$B$29+'Inputs'!$B$31+'Inputs'!$B$32,'Inputs'!$B$30+'Inputs'!$B$31+'Inputs'!$B$32)/1000+'Inputs'!$B$21))/SQRT((((101-43)*MAX('Inputs'!$B$33,'Inputs'!$B$29+'Inputs'!$B$31+'Inputs'!$B$32,'Inputs'!$B$30+'Inputs'!$B$31+'Inputs'!$B$32)/1000+'Inputs'!$B$21))^2+('Inputs'!$B$6/2)^2)))-'Results'!C7*(1-'Inputs'!$B$24)*(0.5*((((101-43)*MAX('Inputs'!$B$33,'Inputs'!$B$29+'Inputs'!$B$31+'Inputs'!$B$32,'Inputs'!$B$30+'Inputs'!$B$31+'Inputs'!$B$32)/1000+'Inputs'!$B$21+'Inputs'!$B$7+'Inputs'!$B$10)+'Inputs'!$B$9)/SQRT((((101-43)*MAX('Inputs'!$B$33,'Inputs'!$B$29+'Inputs'!$B$31+'Inputs'!$B$32,'Inputs'!$B$30+'Inputs'!$B$31+'Inputs'!$B$32)/1000+'Inputs'!$B$21+'Inputs'!$B$7+'Inputs'!$B$10)+'Inputs'!$B$9)^2+('Inputs'!$B$8/2)^2)-(((101-43)*MAX('Inputs'!$B$33,'Inputs'!$B$29+'Inputs'!$B$31+'Inputs'!$B$32,'Inputs'!$B$30+'Inputs'!$B$31+'Inputs'!$B$32)/1000+'Inputs'!$B$21+'Inputs'!$B$7+'Inputs'!$B$10))/SQRT((((101-43)*MAX('Inputs'!$B$33,'Inputs'!$B$29+'Inputs'!$B$31+'Inputs'!$B$32,'Inputs'!$B$30+'Inputs'!$B$31+'Inputs'!$B$32)/1000+'Inputs'!$B$21+'Inputs'!$B$7+'Inputs'!$B$10))^2+('Inputs'!$B$8/2)^2))))*'Results'!$B$8))),"")</x:f>
        <x:v>909.984763389645</x:v>
      </x:c>
      <x:c r="M101" t="n">
        <x:f>IF(AND(ISNUMBER('Results'!C7),ISNUMBER('Results'!B7),ISNUMBER('Results'!$B$8),ISNUMBER('Inputs'!$B$6),ISNUMBER('Inputs'!$B$7),ISNUMBER('Inputs'!$B$8),ISNUMBER('Inputs'!$B$9),ISNUMBER('Inputs'!$B$10),ISNUMBER('Inputs'!$B$21),ISNUMBER('Inputs'!$B$24),ISNUMBER('Inputs'!$B$28)),(('Results'!C7*(0.5*((((101-43)*MAX('Inputs'!$B$33,'Inputs'!$B$29+'Inputs'!$B$31+'Inputs'!$B$32,'Inputs'!$B$30+'Inputs'!$B$31+'Inputs'!$B$32)/1000+'Inputs'!$B$21)+'Inputs'!$B$9)/SQRT((((101-43)*MAX('Inputs'!$B$33,'Inputs'!$B$29+'Inputs'!$B$31+'Inputs'!$B$32,'Inputs'!$B$30+'Inputs'!$B$31+'Inputs'!$B$32)/1000+'Inputs'!$B$21)+'Inputs'!$B$9)^2+('Inputs'!$B$8/2)^2)-(((101-43)*MAX('Inputs'!$B$33,'Inputs'!$B$29+'Inputs'!$B$31+'Inputs'!$B$32,'Inputs'!$B$30+'Inputs'!$B$31+'Inputs'!$B$32)/1000+'Inputs'!$B$21))/SQRT((((101-43)*MAX('Inputs'!$B$33,'Inputs'!$B$29+'Inputs'!$B$31+'Inputs'!$B$32,'Inputs'!$B$30+'Inputs'!$B$31+'Inputs'!$B$32)/1000+'Inputs'!$B$21))^2+('Inputs'!$B$8/2)^2)))-'Results'!B7*(0.5*((((101-43)*MAX('Inputs'!$B$33,'Inputs'!$B$29+'Inputs'!$B$31+'Inputs'!$B$32,'Inputs'!$B$30+'Inputs'!$B$31+'Inputs'!$B$32)/1000+'Inputs'!$B$21+'Inputs'!$B$9+'Inputs'!$B$10)+'Inputs'!$B$7)/SQRT((((101-43)*MAX('Inputs'!$B$33,'Inputs'!$B$29+'Inputs'!$B$31+'Inputs'!$B$32,'Inputs'!$B$30+'Inputs'!$B$31+'Inputs'!$B$32)/1000+'Inputs'!$B$21+'Inputs'!$B$9+'Inputs'!$B$10)+'Inputs'!$B$7)^2+('Inputs'!$B$6/2)^2)-(((101-43)*MAX('Inputs'!$B$33,'Inputs'!$B$29+'Inputs'!$B$31+'Inputs'!$B$32,'Inputs'!$B$30+'Inputs'!$B$31+'Inputs'!$B$32)/1000+'Inputs'!$B$21+'Inputs'!$B$9+'Inputs'!$B$10))/SQRT((((101-43)*MAX('Inputs'!$B$33,'Inputs'!$B$29+'Inputs'!$B$31+'Inputs'!$B$32,'Inputs'!$B$30+'Inputs'!$B$31+'Inputs'!$B$32)/1000+'Inputs'!$B$21+'Inputs'!$B$9+'Inputs'!$B$10))^2+('Inputs'!$B$6/2)^2))))*'Results'!$B$8),"")</x:f>
        <x:v>821.1112151096838</x:v>
      </x:c>
      <x:c r="N101" t="n">
        <x:f>IF(AND(ISNUMBER('Results'!C7),ISNUMBER('Results'!B7),ISNUMBER('Results'!$B$8),ISNUMBER('Inputs'!$B$6),ISNUMBER('Inputs'!$B$7),ISNUMBER('Inputs'!$B$8),ISNUMBER('Inputs'!$B$9),ISNUMBER('Inputs'!$B$10),ISNUMBER('Inputs'!$B$21),ISNUMBER('Inputs'!$B$24),ISNUMBER('Inputs'!$B$28)),((('Results'!C7*(1-'Inputs'!$B$24)*(0.5*((((101-43)*MAX('Inputs'!$B$33,'Inputs'!$B$29+'Inputs'!$B$31+'Inputs'!$B$32,'Inputs'!$B$30+'Inputs'!$B$31+'Inputs'!$B$32)/1000+'Inputs'!$B$21)+'Inputs'!$B$9)/SQRT((((101-43)*MAX('Inputs'!$B$33,'Inputs'!$B$29+'Inputs'!$B$31+'Inputs'!$B$32,'Inputs'!$B$30+'Inputs'!$B$31+'Inputs'!$B$32)/1000+'Inputs'!$B$21)+'Inputs'!$B$9)^2+('Inputs'!$B$8/2)^2)-(((101-43)*MAX('Inputs'!$B$33,'Inputs'!$B$29+'Inputs'!$B$31+'Inputs'!$B$32,'Inputs'!$B$30+'Inputs'!$B$31+'Inputs'!$B$32)/1000+'Inputs'!$B$21))/SQRT((((101-43)*MAX('Inputs'!$B$33,'Inputs'!$B$29+'Inputs'!$B$31+'Inputs'!$B$32,'Inputs'!$B$30+'Inputs'!$B$31+'Inputs'!$B$32)/1000+'Inputs'!$B$21))^2+('Inputs'!$B$8/2)^2)))-'Results'!B7*(1+'Inputs'!$B$24)*(0.5*((((101-43)*MAX('Inputs'!$B$33,'Inputs'!$B$29+'Inputs'!$B$31+'Inputs'!$B$32,'Inputs'!$B$30+'Inputs'!$B$31+'Inputs'!$B$32)/1000+'Inputs'!$B$21+'Inputs'!$B$9+'Inputs'!$B$10)+'Inputs'!$B$7)/SQRT((((101-43)*MAX('Inputs'!$B$33,'Inputs'!$B$29+'Inputs'!$B$31+'Inputs'!$B$32,'Inputs'!$B$30+'Inputs'!$B$31+'Inputs'!$B$32)/1000+'Inputs'!$B$21+'Inputs'!$B$9+'Inputs'!$B$10)+'Inputs'!$B$7)^2+('Inputs'!$B$6/2)^2)-(((101-43)*MAX('Inputs'!$B$33,'Inputs'!$B$29+'Inputs'!$B$31+'Inputs'!$B$32,'Inputs'!$B$30+'Inputs'!$B$31+'Inputs'!$B$32)/1000+'Inputs'!$B$21+'Inputs'!$B$9+'Inputs'!$B$10))/SQRT((((101-43)*MAX('Inputs'!$B$33,'Inputs'!$B$29+'Inputs'!$B$31+'Inputs'!$B$32,'Inputs'!$B$30+'Inputs'!$B$31+'Inputs'!$B$32)/1000+'Inputs'!$B$21+'Inputs'!$B$9+'Inputs'!$B$10))^2+('Inputs'!$B$6/2)^2))))*'Results'!$B$8)-'Inputs'!$B$28*ABS((('Results'!C7*(1-'Inputs'!$B$24)*(0.5*((((101-43)*MAX('Inputs'!$B$33,'Inputs'!$B$29+'Inputs'!$B$31+'Inputs'!$B$32,'Inputs'!$B$30+'Inputs'!$B$31+'Inputs'!$B$32)/1000+'Inputs'!$B$21)+'Inputs'!$B$9)/SQRT((((101-43)*MAX('Inputs'!$B$33,'Inputs'!$B$29+'Inputs'!$B$31+'Inputs'!$B$32,'Inputs'!$B$30+'Inputs'!$B$31+'Inputs'!$B$32)/1000+'Inputs'!$B$21)+'Inputs'!$B$9)^2+('Inputs'!$B$8/2)^2)-(((101-43)*MAX('Inputs'!$B$33,'Inputs'!$B$29+'Inputs'!$B$31+'Inputs'!$B$32,'Inputs'!$B$30+'Inputs'!$B$31+'Inputs'!$B$32)/1000+'Inputs'!$B$21))/SQRT((((101-43)*MAX('Inputs'!$B$33,'Inputs'!$B$29+'Inputs'!$B$31+'Inputs'!$B$32,'Inputs'!$B$30+'Inputs'!$B$31+'Inputs'!$B$32)/1000+'Inputs'!$B$21))^2+('Inputs'!$B$8/2)^2)))-'Results'!B7*(1+'Inputs'!$B$24)*(0.5*((((101-43)*MAX('Inputs'!$B$33,'Inputs'!$B$29+'Inputs'!$B$31+'Inputs'!$B$32,'Inputs'!$B$30+'Inputs'!$B$31+'Inputs'!$B$32)/1000+'Inputs'!$B$21+'Inputs'!$B$9+'Inputs'!$B$10)+'Inputs'!$B$7)/SQRT((((101-43)*MAX('Inputs'!$B$33,'Inputs'!$B$29+'Inputs'!$B$31+'Inputs'!$B$32,'Inputs'!$B$30+'Inputs'!$B$31+'Inputs'!$B$32)/1000+'Inputs'!$B$21+'Inputs'!$B$9+'Inputs'!$B$10)+'Inputs'!$B$7)^2+('Inputs'!$B$6/2)^2)-(((101-43)*MAX('Inputs'!$B$33,'Inputs'!$B$29+'Inputs'!$B$31+'Inputs'!$B$32,'Inputs'!$B$30+'Inputs'!$B$31+'Inputs'!$B$32)/1000+'Inputs'!$B$21+'Inputs'!$B$9+'Inputs'!$B$10))/SQRT((((101-43)*MAX('Inputs'!$B$33,'Inputs'!$B$29+'Inputs'!$B$31+'Inputs'!$B$32,'Inputs'!$B$30+'Inputs'!$B$31+'Inputs'!$B$32)/1000+'Inputs'!$B$21+'Inputs'!$B$9+'Inputs'!$B$10))^2+('Inputs'!$B$6/2)^2))))*'Results'!$B$8))),"")</x:f>
        <x:v>758.7716717965703</x:v>
      </x:c>
      <x:c r="O101" t="n">
        <x:f>IF(AND(ISNUMBER('Results'!C7),ISNUMBER('Results'!B7),ISNUMBER('Results'!$B$8),ISNUMBER('Inputs'!$B$6),ISNUMBER('Inputs'!$B$7),ISNUMBER('Inputs'!$B$8),ISNUMBER('Inputs'!$B$9),ISNUMBER('Inputs'!$B$10),ISNUMBER('Inputs'!$B$21),ISNUMBER('Inputs'!$B$24),ISNUMBER('Inputs'!$B$28)),((('Results'!C7*(1+'Inputs'!$B$24)*(0.5*((((101-43)*MAX('Inputs'!$B$33,'Inputs'!$B$29+'Inputs'!$B$31+'Inputs'!$B$32,'Inputs'!$B$30+'Inputs'!$B$31+'Inputs'!$B$32)/1000+'Inputs'!$B$21)+'Inputs'!$B$9)/SQRT((((101-43)*MAX('Inputs'!$B$33,'Inputs'!$B$29+'Inputs'!$B$31+'Inputs'!$B$32,'Inputs'!$B$30+'Inputs'!$B$31+'Inputs'!$B$32)/1000+'Inputs'!$B$21)+'Inputs'!$B$9)^2+('Inputs'!$B$8/2)^2)-(((101-43)*MAX('Inputs'!$B$33,'Inputs'!$B$29+'Inputs'!$B$31+'Inputs'!$B$32,'Inputs'!$B$30+'Inputs'!$B$31+'Inputs'!$B$32)/1000+'Inputs'!$B$21))/SQRT((((101-43)*MAX('Inputs'!$B$33,'Inputs'!$B$29+'Inputs'!$B$31+'Inputs'!$B$32,'Inputs'!$B$30+'Inputs'!$B$31+'Inputs'!$B$32)/1000+'Inputs'!$B$21))^2+('Inputs'!$B$8/2)^2)))-'Results'!B7*(1-'Inputs'!$B$24)*(0.5*((((101-43)*MAX('Inputs'!$B$33,'Inputs'!$B$29+'Inputs'!$B$31+'Inputs'!$B$32,'Inputs'!$B$30+'Inputs'!$B$31+'Inputs'!$B$32)/1000+'Inputs'!$B$21+'Inputs'!$B$9+'Inputs'!$B$10)+'Inputs'!$B$7)/SQRT((((101-43)*MAX('Inputs'!$B$33,'Inputs'!$B$29+'Inputs'!$B$31+'Inputs'!$B$32,'Inputs'!$B$30+'Inputs'!$B$31+'Inputs'!$B$32)/1000+'Inputs'!$B$21+'Inputs'!$B$9+'Inputs'!$B$10)+'Inputs'!$B$7)^2+('Inputs'!$B$6/2)^2)-(((101-43)*MAX('Inputs'!$B$33,'Inputs'!$B$29+'Inputs'!$B$31+'Inputs'!$B$32,'Inputs'!$B$30+'Inputs'!$B$31+'Inputs'!$B$32)/1000+'Inputs'!$B$21+'Inputs'!$B$9+'Inputs'!$B$10))/SQRT((((101-43)*MAX('Inputs'!$B$33,'Inputs'!$B$29+'Inputs'!$B$31+'Inputs'!$B$32,'Inputs'!$B$30+'Inputs'!$B$31+'Inputs'!$B$32)/1000+'Inputs'!$B$21+'Inputs'!$B$9+'Inputs'!$B$10))^2+('Inputs'!$B$6/2)^2))))*'Results'!$B$8)+'Inputs'!$B$28*ABS((('Results'!C7*(1+'Inputs'!$B$24)*(0.5*((((101-43)*MAX('Inputs'!$B$33,'Inputs'!$B$29+'Inputs'!$B$31+'Inputs'!$B$32,'Inputs'!$B$30+'Inputs'!$B$31+'Inputs'!$B$32)/1000+'Inputs'!$B$21)+'Inputs'!$B$9)/SQRT((((101-43)*MAX('Inputs'!$B$33,'Inputs'!$B$29+'Inputs'!$B$31+'Inputs'!$B$32,'Inputs'!$B$30+'Inputs'!$B$31+'Inputs'!$B$32)/1000+'Inputs'!$B$21)+'Inputs'!$B$9)^2+('Inputs'!$B$8/2)^2)-(((101-43)*MAX('Inputs'!$B$33,'Inputs'!$B$29+'Inputs'!$B$31+'Inputs'!$B$32,'Inputs'!$B$30+'Inputs'!$B$31+'Inputs'!$B$32)/1000+'Inputs'!$B$21))/SQRT((((101-43)*MAX('Inputs'!$B$33,'Inputs'!$B$29+'Inputs'!$B$31+'Inputs'!$B$32,'Inputs'!$B$30+'Inputs'!$B$31+'Inputs'!$B$32)/1000+'Inputs'!$B$21))^2+('Inputs'!$B$8/2)^2)))-'Results'!B7*(1-'Inputs'!$B$24)*(0.5*((((101-43)*MAX('Inputs'!$B$33,'Inputs'!$B$29+'Inputs'!$B$31+'Inputs'!$B$32,'Inputs'!$B$30+'Inputs'!$B$31+'Inputs'!$B$32)/1000+'Inputs'!$B$21+'Inputs'!$B$9+'Inputs'!$B$10)+'Inputs'!$B$7)/SQRT((((101-43)*MAX('Inputs'!$B$33,'Inputs'!$B$29+'Inputs'!$B$31+'Inputs'!$B$32,'Inputs'!$B$30+'Inputs'!$B$31+'Inputs'!$B$32)/1000+'Inputs'!$B$21+'Inputs'!$B$9+'Inputs'!$B$10)+'Inputs'!$B$7)^2+('Inputs'!$B$6/2)^2)-(((101-43)*MAX('Inputs'!$B$33,'Inputs'!$B$29+'Inputs'!$B$31+'Inputs'!$B$32,'Inputs'!$B$30+'Inputs'!$B$31+'Inputs'!$B$32)/1000+'Inputs'!$B$21+'Inputs'!$B$9+'Inputs'!$B$10))/SQRT((((101-43)*MAX('Inputs'!$B$33,'Inputs'!$B$29+'Inputs'!$B$31+'Inputs'!$B$32,'Inputs'!$B$30+'Inputs'!$B$31+'Inputs'!$B$32)/1000+'Inputs'!$B$21+'Inputs'!$B$9+'Inputs'!$B$10))^2+('Inputs'!$B$6/2)^2))))*'Results'!$B$8))),"")</x:f>
        <x:v>885.6911776393899</x:v>
      </x:c>
      <x:c r="P101" t="n">
        <x:f>IF(AND(MAX(J101,J100)&gt;0,J101&gt;J100+0.00000001),1,0)</x:f>
        <x:v>0</x:v>
      </x:c>
      <x:c r="Q101" t="n">
        <x:f>IF(AND(MAX(K101,K100)&gt;0,K101&gt;K100+0.00000001),1,0)</x:f>
        <x:v>0</x:v>
      </x:c>
      <x:c r="R101" t="n">
        <x:f>IF(AND(MAX(L101,L100)&gt;0,L101&gt;L100+0.00000001),1,0)</x:f>
        <x:v>0</x:v>
      </x:c>
      <x:c r="S101" t="n">
        <x:f>IF(AND(MAX(M101,M100)&gt;0,M101&gt;M100+0.00000001),1,0)</x:f>
        <x:v>0</x:v>
      </x:c>
      <x:c r="T101" t="n">
        <x:f>IF(AND(MAX(N101,N100)&gt;0,N101&gt;N100+0.00000001),1,0)</x:f>
        <x:v>0</x:v>
      </x:c>
      <x:c r="U101" t="n">
        <x:f>IF(AND(MAX(O101,O100)&gt;0,O101&gt;O100+0.00000001),1,0)</x:f>
        <x:v>0</x:v>
      </x:c>
    </x:row>
    <x:row r="102">
      <x:c r="J102" t="n">
        <x:f>IF(AND(ISNUMBER('Results'!B7),ISNUMBER('Results'!C7),ISNUMBER('Results'!$B$8),ISNUMBER('Inputs'!$B$6),ISNUMBER('Inputs'!$B$7),ISNUMBER('Inputs'!$B$8),ISNUMBER('Inputs'!$B$9),ISNUMBER('Inputs'!$B$10),ISNUMBER('Inputs'!$B$21),ISNUMBER('Inputs'!$B$24),ISNUMBER('Inputs'!$B$28)),(('Results'!B7*(0.5*((((102-43)*MAX('Inputs'!$B$33,'Inputs'!$B$29+'Inputs'!$B$31+'Inputs'!$B$32,'Inputs'!$B$30+'Inputs'!$B$31+'Inputs'!$B$32)/1000+'Inputs'!$B$21)+'Inputs'!$B$7)/SQRT((((102-43)*MAX('Inputs'!$B$33,'Inputs'!$B$29+'Inputs'!$B$31+'Inputs'!$B$32,'Inputs'!$B$30+'Inputs'!$B$31+'Inputs'!$B$32)/1000+'Inputs'!$B$21)+'Inputs'!$B$7)^2+('Inputs'!$B$6/2)^2)-(((102-43)*MAX('Inputs'!$B$33,'Inputs'!$B$29+'Inputs'!$B$31+'Inputs'!$B$32,'Inputs'!$B$30+'Inputs'!$B$31+'Inputs'!$B$32)/1000+'Inputs'!$B$21))/SQRT((((102-43)*MAX('Inputs'!$B$33,'Inputs'!$B$29+'Inputs'!$B$31+'Inputs'!$B$32,'Inputs'!$B$30+'Inputs'!$B$31+'Inputs'!$B$32)/1000+'Inputs'!$B$21))^2+('Inputs'!$B$6/2)^2)))-'Results'!C7*(0.5*((((102-43)*MAX('Inputs'!$B$33,'Inputs'!$B$29+'Inputs'!$B$31+'Inputs'!$B$32,'Inputs'!$B$30+'Inputs'!$B$31+'Inputs'!$B$32)/1000+'Inputs'!$B$21+'Inputs'!$B$7+'Inputs'!$B$10)+'Inputs'!$B$9)/SQRT((((102-43)*MAX('Inputs'!$B$33,'Inputs'!$B$29+'Inputs'!$B$31+'Inputs'!$B$32,'Inputs'!$B$30+'Inputs'!$B$31+'Inputs'!$B$32)/1000+'Inputs'!$B$21+'Inputs'!$B$7+'Inputs'!$B$10)+'Inputs'!$B$9)^2+('Inputs'!$B$8/2)^2)-(((102-43)*MAX('Inputs'!$B$33,'Inputs'!$B$29+'Inputs'!$B$31+'Inputs'!$B$32,'Inputs'!$B$30+'Inputs'!$B$31+'Inputs'!$B$32)/1000+'Inputs'!$B$21+'Inputs'!$B$7+'Inputs'!$B$10))/SQRT((((102-43)*MAX('Inputs'!$B$33,'Inputs'!$B$29+'Inputs'!$B$31+'Inputs'!$B$32,'Inputs'!$B$30+'Inputs'!$B$31+'Inputs'!$B$32)/1000+'Inputs'!$B$21+'Inputs'!$B$7+'Inputs'!$B$10))^2+('Inputs'!$B$8/2)^2))))*'Results'!$B$8),"")</x:f>
        <x:v>827.5460960041008</x:v>
      </x:c>
      <x:c r="K102" t="n">
        <x:f>IF(AND(ISNUMBER('Results'!B7),ISNUMBER('Results'!C7),ISNUMBER('Results'!$B$8),ISNUMBER('Inputs'!$B$6),ISNUMBER('Inputs'!$B$7),ISNUMBER('Inputs'!$B$8),ISNUMBER('Inputs'!$B$9),ISNUMBER('Inputs'!$B$10),ISNUMBER('Inputs'!$B$21),ISNUMBER('Inputs'!$B$24),ISNUMBER('Inputs'!$B$28)),((('Results'!B7*(1-'Inputs'!$B$24)*(0.5*((((102-43)*MAX('Inputs'!$B$33,'Inputs'!$B$29+'Inputs'!$B$31+'Inputs'!$B$32,'Inputs'!$B$30+'Inputs'!$B$31+'Inputs'!$B$32)/1000+'Inputs'!$B$21)+'Inputs'!$B$7)/SQRT((((102-43)*MAX('Inputs'!$B$33,'Inputs'!$B$29+'Inputs'!$B$31+'Inputs'!$B$32,'Inputs'!$B$30+'Inputs'!$B$31+'Inputs'!$B$32)/1000+'Inputs'!$B$21)+'Inputs'!$B$7)^2+('Inputs'!$B$6/2)^2)-(((102-43)*MAX('Inputs'!$B$33,'Inputs'!$B$29+'Inputs'!$B$31+'Inputs'!$B$32,'Inputs'!$B$30+'Inputs'!$B$31+'Inputs'!$B$32)/1000+'Inputs'!$B$21))/SQRT((((102-43)*MAX('Inputs'!$B$33,'Inputs'!$B$29+'Inputs'!$B$31+'Inputs'!$B$32,'Inputs'!$B$30+'Inputs'!$B$31+'Inputs'!$B$32)/1000+'Inputs'!$B$21))^2+('Inputs'!$B$6/2)^2)))-'Results'!C7*(1+'Inputs'!$B$24)*(0.5*((((102-43)*MAX('Inputs'!$B$33,'Inputs'!$B$29+'Inputs'!$B$31+'Inputs'!$B$32,'Inputs'!$B$30+'Inputs'!$B$31+'Inputs'!$B$32)/1000+'Inputs'!$B$21+'Inputs'!$B$7+'Inputs'!$B$10)+'Inputs'!$B$9)/SQRT((((102-43)*MAX('Inputs'!$B$33,'Inputs'!$B$29+'Inputs'!$B$31+'Inputs'!$B$32,'Inputs'!$B$30+'Inputs'!$B$31+'Inputs'!$B$32)/1000+'Inputs'!$B$21+'Inputs'!$B$7+'Inputs'!$B$10)+'Inputs'!$B$9)^2+('Inputs'!$B$8/2)^2)-(((102-43)*MAX('Inputs'!$B$33,'Inputs'!$B$29+'Inputs'!$B$31+'Inputs'!$B$32,'Inputs'!$B$30+'Inputs'!$B$31+'Inputs'!$B$32)/1000+'Inputs'!$B$21+'Inputs'!$B$7+'Inputs'!$B$10))/SQRT((((102-43)*MAX('Inputs'!$B$33,'Inputs'!$B$29+'Inputs'!$B$31+'Inputs'!$B$32,'Inputs'!$B$30+'Inputs'!$B$31+'Inputs'!$B$32)/1000+'Inputs'!$B$21+'Inputs'!$B$7+'Inputs'!$B$10))^2+('Inputs'!$B$8/2)^2))))*'Results'!$B$8)-'Inputs'!$B$28*ABS((('Results'!B7*(1-'Inputs'!$B$24)*(0.5*((((102-43)*MAX('Inputs'!$B$33,'Inputs'!$B$29+'Inputs'!$B$31+'Inputs'!$B$32,'Inputs'!$B$30+'Inputs'!$B$31+'Inputs'!$B$32)/1000+'Inputs'!$B$21)+'Inputs'!$B$7)/SQRT((((102-43)*MAX('Inputs'!$B$33,'Inputs'!$B$29+'Inputs'!$B$31+'Inputs'!$B$32,'Inputs'!$B$30+'Inputs'!$B$31+'Inputs'!$B$32)/1000+'Inputs'!$B$21)+'Inputs'!$B$7)^2+('Inputs'!$B$6/2)^2)-(((102-43)*MAX('Inputs'!$B$33,'Inputs'!$B$29+'Inputs'!$B$31+'Inputs'!$B$32,'Inputs'!$B$30+'Inputs'!$B$31+'Inputs'!$B$32)/1000+'Inputs'!$B$21))/SQRT((((102-43)*MAX('Inputs'!$B$33,'Inputs'!$B$29+'Inputs'!$B$31+'Inputs'!$B$32,'Inputs'!$B$30+'Inputs'!$B$31+'Inputs'!$B$32)/1000+'Inputs'!$B$21))^2+('Inputs'!$B$6/2)^2)))-'Results'!C7*(1+'Inputs'!$B$24)*(0.5*((((102-43)*MAX('Inputs'!$B$33,'Inputs'!$B$29+'Inputs'!$B$31+'Inputs'!$B$32,'Inputs'!$B$30+'Inputs'!$B$31+'Inputs'!$B$32)/1000+'Inputs'!$B$21+'Inputs'!$B$7+'Inputs'!$B$10)+'Inputs'!$B$9)/SQRT((((102-43)*MAX('Inputs'!$B$33,'Inputs'!$B$29+'Inputs'!$B$31+'Inputs'!$B$32,'Inputs'!$B$30+'Inputs'!$B$31+'Inputs'!$B$32)/1000+'Inputs'!$B$21+'Inputs'!$B$7+'Inputs'!$B$10)+'Inputs'!$B$9)^2+('Inputs'!$B$8/2)^2)-(((102-43)*MAX('Inputs'!$B$33,'Inputs'!$B$29+'Inputs'!$B$31+'Inputs'!$B$32,'Inputs'!$B$30+'Inputs'!$B$31+'Inputs'!$B$32)/1000+'Inputs'!$B$21+'Inputs'!$B$7+'Inputs'!$B$10))/SQRT((((102-43)*MAX('Inputs'!$B$33,'Inputs'!$B$29+'Inputs'!$B$31+'Inputs'!$B$32,'Inputs'!$B$30+'Inputs'!$B$31+'Inputs'!$B$32)/1000+'Inputs'!$B$21+'Inputs'!$B$7+'Inputs'!$B$10))^2+('Inputs'!$B$8/2)^2))))*'Results'!$B$8))),"")</x:f>
        <x:v>764.950311103016</x:v>
      </x:c>
      <x:c r="L102" t="n">
        <x:f>IF(AND(ISNUMBER('Results'!B7),ISNUMBER('Results'!C7),ISNUMBER('Results'!$B$8),ISNUMBER('Inputs'!$B$6),ISNUMBER('Inputs'!$B$7),ISNUMBER('Inputs'!$B$8),ISNUMBER('Inputs'!$B$9),ISNUMBER('Inputs'!$B$10),ISNUMBER('Inputs'!$B$21),ISNUMBER('Inputs'!$B$24),ISNUMBER('Inputs'!$B$28)),((('Results'!B7*(1+'Inputs'!$B$24)*(0.5*((((102-43)*MAX('Inputs'!$B$33,'Inputs'!$B$29+'Inputs'!$B$31+'Inputs'!$B$32,'Inputs'!$B$30+'Inputs'!$B$31+'Inputs'!$B$32)/1000+'Inputs'!$B$21)+'Inputs'!$B$7)/SQRT((((102-43)*MAX('Inputs'!$B$33,'Inputs'!$B$29+'Inputs'!$B$31+'Inputs'!$B$32,'Inputs'!$B$30+'Inputs'!$B$31+'Inputs'!$B$32)/1000+'Inputs'!$B$21)+'Inputs'!$B$7)^2+('Inputs'!$B$6/2)^2)-(((102-43)*MAX('Inputs'!$B$33,'Inputs'!$B$29+'Inputs'!$B$31+'Inputs'!$B$32,'Inputs'!$B$30+'Inputs'!$B$31+'Inputs'!$B$32)/1000+'Inputs'!$B$21))/SQRT((((102-43)*MAX('Inputs'!$B$33,'Inputs'!$B$29+'Inputs'!$B$31+'Inputs'!$B$32,'Inputs'!$B$30+'Inputs'!$B$31+'Inputs'!$B$32)/1000+'Inputs'!$B$21))^2+('Inputs'!$B$6/2)^2)))-'Results'!C7*(1-'Inputs'!$B$24)*(0.5*((((102-43)*MAX('Inputs'!$B$33,'Inputs'!$B$29+'Inputs'!$B$31+'Inputs'!$B$32,'Inputs'!$B$30+'Inputs'!$B$31+'Inputs'!$B$32)/1000+'Inputs'!$B$21+'Inputs'!$B$7+'Inputs'!$B$10)+'Inputs'!$B$9)/SQRT((((102-43)*MAX('Inputs'!$B$33,'Inputs'!$B$29+'Inputs'!$B$31+'Inputs'!$B$32,'Inputs'!$B$30+'Inputs'!$B$31+'Inputs'!$B$32)/1000+'Inputs'!$B$21+'Inputs'!$B$7+'Inputs'!$B$10)+'Inputs'!$B$9)^2+('Inputs'!$B$8/2)^2)-(((102-43)*MAX('Inputs'!$B$33,'Inputs'!$B$29+'Inputs'!$B$31+'Inputs'!$B$32,'Inputs'!$B$30+'Inputs'!$B$31+'Inputs'!$B$32)/1000+'Inputs'!$B$21+'Inputs'!$B$7+'Inputs'!$B$10))/SQRT((((102-43)*MAX('Inputs'!$B$33,'Inputs'!$B$29+'Inputs'!$B$31+'Inputs'!$B$32,'Inputs'!$B$30+'Inputs'!$B$31+'Inputs'!$B$32)/1000+'Inputs'!$B$21+'Inputs'!$B$7+'Inputs'!$B$10))^2+('Inputs'!$B$8/2)^2))))*'Results'!$B$8)+'Inputs'!$B$28*ABS((('Results'!B7*(1+'Inputs'!$B$24)*(0.5*((((102-43)*MAX('Inputs'!$B$33,'Inputs'!$B$29+'Inputs'!$B$31+'Inputs'!$B$32,'Inputs'!$B$30+'Inputs'!$B$31+'Inputs'!$B$32)/1000+'Inputs'!$B$21)+'Inputs'!$B$7)/SQRT((((102-43)*MAX('Inputs'!$B$33,'Inputs'!$B$29+'Inputs'!$B$31+'Inputs'!$B$32,'Inputs'!$B$30+'Inputs'!$B$31+'Inputs'!$B$32)/1000+'Inputs'!$B$21)+'Inputs'!$B$7)^2+('Inputs'!$B$6/2)^2)-(((102-43)*MAX('Inputs'!$B$33,'Inputs'!$B$29+'Inputs'!$B$31+'Inputs'!$B$32,'Inputs'!$B$30+'Inputs'!$B$31+'Inputs'!$B$32)/1000+'Inputs'!$B$21))/SQRT((((102-43)*MAX('Inputs'!$B$33,'Inputs'!$B$29+'Inputs'!$B$31+'Inputs'!$B$32,'Inputs'!$B$30+'Inputs'!$B$31+'Inputs'!$B$32)/1000+'Inputs'!$B$21))^2+('Inputs'!$B$6/2)^2)))-'Results'!C7*(1-'Inputs'!$B$24)*(0.5*((((102-43)*MAX('Inputs'!$B$33,'Inputs'!$B$29+'Inputs'!$B$31+'Inputs'!$B$32,'Inputs'!$B$30+'Inputs'!$B$31+'Inputs'!$B$32)/1000+'Inputs'!$B$21+'Inputs'!$B$7+'Inputs'!$B$10)+'Inputs'!$B$9)/SQRT((((102-43)*MAX('Inputs'!$B$33,'Inputs'!$B$29+'Inputs'!$B$31+'Inputs'!$B$32,'Inputs'!$B$30+'Inputs'!$B$31+'Inputs'!$B$32)/1000+'Inputs'!$B$21+'Inputs'!$B$7+'Inputs'!$B$10)+'Inputs'!$B$9)^2+('Inputs'!$B$8/2)^2)-(((102-43)*MAX('Inputs'!$B$33,'Inputs'!$B$29+'Inputs'!$B$31+'Inputs'!$B$32,'Inputs'!$B$30+'Inputs'!$B$31+'Inputs'!$B$32)/1000+'Inputs'!$B$21+'Inputs'!$B$7+'Inputs'!$B$10))/SQRT((((102-43)*MAX('Inputs'!$B$33,'Inputs'!$B$29+'Inputs'!$B$31+'Inputs'!$B$32,'Inputs'!$B$30+'Inputs'!$B$31+'Inputs'!$B$32)/1000+'Inputs'!$B$21+'Inputs'!$B$7+'Inputs'!$B$10))^2+('Inputs'!$B$8/2)^2))))*'Results'!$B$8))),"")</x:f>
        <x:v>892.3754051263307</x:v>
      </x:c>
      <x:c r="M102" t="n">
        <x:f>IF(AND(ISNUMBER('Results'!C7),ISNUMBER('Results'!B7),ISNUMBER('Results'!$B$8),ISNUMBER('Inputs'!$B$6),ISNUMBER('Inputs'!$B$7),ISNUMBER('Inputs'!$B$8),ISNUMBER('Inputs'!$B$9),ISNUMBER('Inputs'!$B$10),ISNUMBER('Inputs'!$B$21),ISNUMBER('Inputs'!$B$24),ISNUMBER('Inputs'!$B$28)),(('Results'!C7*(0.5*((((102-43)*MAX('Inputs'!$B$33,'Inputs'!$B$29+'Inputs'!$B$31+'Inputs'!$B$32,'Inputs'!$B$30+'Inputs'!$B$31+'Inputs'!$B$32)/1000+'Inputs'!$B$21)+'Inputs'!$B$9)/SQRT((((102-43)*MAX('Inputs'!$B$33,'Inputs'!$B$29+'Inputs'!$B$31+'Inputs'!$B$32,'Inputs'!$B$30+'Inputs'!$B$31+'Inputs'!$B$32)/1000+'Inputs'!$B$21)+'Inputs'!$B$9)^2+('Inputs'!$B$8/2)^2)-(((102-43)*MAX('Inputs'!$B$33,'Inputs'!$B$29+'Inputs'!$B$31+'Inputs'!$B$32,'Inputs'!$B$30+'Inputs'!$B$31+'Inputs'!$B$32)/1000+'Inputs'!$B$21))/SQRT((((102-43)*MAX('Inputs'!$B$33,'Inputs'!$B$29+'Inputs'!$B$31+'Inputs'!$B$32,'Inputs'!$B$30+'Inputs'!$B$31+'Inputs'!$B$32)/1000+'Inputs'!$B$21))^2+('Inputs'!$B$8/2)^2)))-'Results'!B7*(0.5*((((102-43)*MAX('Inputs'!$B$33,'Inputs'!$B$29+'Inputs'!$B$31+'Inputs'!$B$32,'Inputs'!$B$30+'Inputs'!$B$31+'Inputs'!$B$32)/1000+'Inputs'!$B$21+'Inputs'!$B$9+'Inputs'!$B$10)+'Inputs'!$B$7)/SQRT((((102-43)*MAX('Inputs'!$B$33,'Inputs'!$B$29+'Inputs'!$B$31+'Inputs'!$B$32,'Inputs'!$B$30+'Inputs'!$B$31+'Inputs'!$B$32)/1000+'Inputs'!$B$21+'Inputs'!$B$9+'Inputs'!$B$10)+'Inputs'!$B$7)^2+('Inputs'!$B$6/2)^2)-(((102-43)*MAX('Inputs'!$B$33,'Inputs'!$B$29+'Inputs'!$B$31+'Inputs'!$B$32,'Inputs'!$B$30+'Inputs'!$B$31+'Inputs'!$B$32)/1000+'Inputs'!$B$21+'Inputs'!$B$9+'Inputs'!$B$10))/SQRT((((102-43)*MAX('Inputs'!$B$33,'Inputs'!$B$29+'Inputs'!$B$31+'Inputs'!$B$32,'Inputs'!$B$30+'Inputs'!$B$31+'Inputs'!$B$32)/1000+'Inputs'!$B$21+'Inputs'!$B$9+'Inputs'!$B$10))^2+('Inputs'!$B$6/2)^2))))*'Results'!$B$8),"")</x:f>
        <x:v>805.1518301162058</x:v>
      </x:c>
      <x:c r="N102" t="n">
        <x:f>IF(AND(ISNUMBER('Results'!C7),ISNUMBER('Results'!B7),ISNUMBER('Results'!$B$8),ISNUMBER('Inputs'!$B$6),ISNUMBER('Inputs'!$B$7),ISNUMBER('Inputs'!$B$8),ISNUMBER('Inputs'!$B$9),ISNUMBER('Inputs'!$B$10),ISNUMBER('Inputs'!$B$21),ISNUMBER('Inputs'!$B$24),ISNUMBER('Inputs'!$B$28)),((('Results'!C7*(1-'Inputs'!$B$24)*(0.5*((((102-43)*MAX('Inputs'!$B$33,'Inputs'!$B$29+'Inputs'!$B$31+'Inputs'!$B$32,'Inputs'!$B$30+'Inputs'!$B$31+'Inputs'!$B$32)/1000+'Inputs'!$B$21)+'Inputs'!$B$9)/SQRT((((102-43)*MAX('Inputs'!$B$33,'Inputs'!$B$29+'Inputs'!$B$31+'Inputs'!$B$32,'Inputs'!$B$30+'Inputs'!$B$31+'Inputs'!$B$32)/1000+'Inputs'!$B$21)+'Inputs'!$B$9)^2+('Inputs'!$B$8/2)^2)-(((102-43)*MAX('Inputs'!$B$33,'Inputs'!$B$29+'Inputs'!$B$31+'Inputs'!$B$32,'Inputs'!$B$30+'Inputs'!$B$31+'Inputs'!$B$32)/1000+'Inputs'!$B$21))/SQRT((((102-43)*MAX('Inputs'!$B$33,'Inputs'!$B$29+'Inputs'!$B$31+'Inputs'!$B$32,'Inputs'!$B$30+'Inputs'!$B$31+'Inputs'!$B$32)/1000+'Inputs'!$B$21))^2+('Inputs'!$B$8/2)^2)))-'Results'!B7*(1+'Inputs'!$B$24)*(0.5*((((102-43)*MAX('Inputs'!$B$33,'Inputs'!$B$29+'Inputs'!$B$31+'Inputs'!$B$32,'Inputs'!$B$30+'Inputs'!$B$31+'Inputs'!$B$32)/1000+'Inputs'!$B$21+'Inputs'!$B$9+'Inputs'!$B$10)+'Inputs'!$B$7)/SQRT((((102-43)*MAX('Inputs'!$B$33,'Inputs'!$B$29+'Inputs'!$B$31+'Inputs'!$B$32,'Inputs'!$B$30+'Inputs'!$B$31+'Inputs'!$B$32)/1000+'Inputs'!$B$21+'Inputs'!$B$9+'Inputs'!$B$10)+'Inputs'!$B$7)^2+('Inputs'!$B$6/2)^2)-(((102-43)*MAX('Inputs'!$B$33,'Inputs'!$B$29+'Inputs'!$B$31+'Inputs'!$B$32,'Inputs'!$B$30+'Inputs'!$B$31+'Inputs'!$B$32)/1000+'Inputs'!$B$21+'Inputs'!$B$9+'Inputs'!$B$10))/SQRT((((102-43)*MAX('Inputs'!$B$33,'Inputs'!$B$29+'Inputs'!$B$31+'Inputs'!$B$32,'Inputs'!$B$30+'Inputs'!$B$31+'Inputs'!$B$32)/1000+'Inputs'!$B$21+'Inputs'!$B$9+'Inputs'!$B$10))^2+('Inputs'!$B$6/2)^2))))*'Results'!$B$8)-'Inputs'!$B$28*ABS((('Results'!C7*(1-'Inputs'!$B$24)*(0.5*((((102-43)*MAX('Inputs'!$B$33,'Inputs'!$B$29+'Inputs'!$B$31+'Inputs'!$B$32,'Inputs'!$B$30+'Inputs'!$B$31+'Inputs'!$B$32)/1000+'Inputs'!$B$21)+'Inputs'!$B$9)/SQRT((((102-43)*MAX('Inputs'!$B$33,'Inputs'!$B$29+'Inputs'!$B$31+'Inputs'!$B$32,'Inputs'!$B$30+'Inputs'!$B$31+'Inputs'!$B$32)/1000+'Inputs'!$B$21)+'Inputs'!$B$9)^2+('Inputs'!$B$8/2)^2)-(((102-43)*MAX('Inputs'!$B$33,'Inputs'!$B$29+'Inputs'!$B$31+'Inputs'!$B$32,'Inputs'!$B$30+'Inputs'!$B$31+'Inputs'!$B$32)/1000+'Inputs'!$B$21))/SQRT((((102-43)*MAX('Inputs'!$B$33,'Inputs'!$B$29+'Inputs'!$B$31+'Inputs'!$B$32,'Inputs'!$B$30+'Inputs'!$B$31+'Inputs'!$B$32)/1000+'Inputs'!$B$21))^2+('Inputs'!$B$8/2)^2)))-'Results'!B7*(1+'Inputs'!$B$24)*(0.5*((((102-43)*MAX('Inputs'!$B$33,'Inputs'!$B$29+'Inputs'!$B$31+'Inputs'!$B$32,'Inputs'!$B$30+'Inputs'!$B$31+'Inputs'!$B$32)/1000+'Inputs'!$B$21+'Inputs'!$B$9+'Inputs'!$B$10)+'Inputs'!$B$7)/SQRT((((102-43)*MAX('Inputs'!$B$33,'Inputs'!$B$29+'Inputs'!$B$31+'Inputs'!$B$32,'Inputs'!$B$30+'Inputs'!$B$31+'Inputs'!$B$32)/1000+'Inputs'!$B$21+'Inputs'!$B$9+'Inputs'!$B$10)+'Inputs'!$B$7)^2+('Inputs'!$B$6/2)^2)-(((102-43)*MAX('Inputs'!$B$33,'Inputs'!$B$29+'Inputs'!$B$31+'Inputs'!$B$32,'Inputs'!$B$30+'Inputs'!$B$31+'Inputs'!$B$32)/1000+'Inputs'!$B$21+'Inputs'!$B$9+'Inputs'!$B$10))/SQRT((((102-43)*MAX('Inputs'!$B$33,'Inputs'!$B$29+'Inputs'!$B$31+'Inputs'!$B$32,'Inputs'!$B$30+'Inputs'!$B$31+'Inputs'!$B$32)/1000+'Inputs'!$B$21+'Inputs'!$B$9+'Inputs'!$B$10))^2+('Inputs'!$B$6/2)^2))))*'Results'!$B$8))),"")</x:f>
        <x:v>743.9891045761449</x:v>
      </x:c>
      <x:c r="O102" t="n">
        <x:f>IF(AND(ISNUMBER('Results'!C7),ISNUMBER('Results'!B7),ISNUMBER('Results'!$B$8),ISNUMBER('Inputs'!$B$6),ISNUMBER('Inputs'!$B$7),ISNUMBER('Inputs'!$B$8),ISNUMBER('Inputs'!$B$9),ISNUMBER('Inputs'!$B$10),ISNUMBER('Inputs'!$B$21),ISNUMBER('Inputs'!$B$24),ISNUMBER('Inputs'!$B$28)),((('Results'!C7*(1+'Inputs'!$B$24)*(0.5*((((102-43)*MAX('Inputs'!$B$33,'Inputs'!$B$29+'Inputs'!$B$31+'Inputs'!$B$32,'Inputs'!$B$30+'Inputs'!$B$31+'Inputs'!$B$32)/1000+'Inputs'!$B$21)+'Inputs'!$B$9)/SQRT((((102-43)*MAX('Inputs'!$B$33,'Inputs'!$B$29+'Inputs'!$B$31+'Inputs'!$B$32,'Inputs'!$B$30+'Inputs'!$B$31+'Inputs'!$B$32)/1000+'Inputs'!$B$21)+'Inputs'!$B$9)^2+('Inputs'!$B$8/2)^2)-(((102-43)*MAX('Inputs'!$B$33,'Inputs'!$B$29+'Inputs'!$B$31+'Inputs'!$B$32,'Inputs'!$B$30+'Inputs'!$B$31+'Inputs'!$B$32)/1000+'Inputs'!$B$21))/SQRT((((102-43)*MAX('Inputs'!$B$33,'Inputs'!$B$29+'Inputs'!$B$31+'Inputs'!$B$32,'Inputs'!$B$30+'Inputs'!$B$31+'Inputs'!$B$32)/1000+'Inputs'!$B$21))^2+('Inputs'!$B$8/2)^2)))-'Results'!B7*(1-'Inputs'!$B$24)*(0.5*((((102-43)*MAX('Inputs'!$B$33,'Inputs'!$B$29+'Inputs'!$B$31+'Inputs'!$B$32,'Inputs'!$B$30+'Inputs'!$B$31+'Inputs'!$B$32)/1000+'Inputs'!$B$21+'Inputs'!$B$9+'Inputs'!$B$10)+'Inputs'!$B$7)/SQRT((((102-43)*MAX('Inputs'!$B$33,'Inputs'!$B$29+'Inputs'!$B$31+'Inputs'!$B$32,'Inputs'!$B$30+'Inputs'!$B$31+'Inputs'!$B$32)/1000+'Inputs'!$B$21+'Inputs'!$B$9+'Inputs'!$B$10)+'Inputs'!$B$7)^2+('Inputs'!$B$6/2)^2)-(((102-43)*MAX('Inputs'!$B$33,'Inputs'!$B$29+'Inputs'!$B$31+'Inputs'!$B$32,'Inputs'!$B$30+'Inputs'!$B$31+'Inputs'!$B$32)/1000+'Inputs'!$B$21+'Inputs'!$B$9+'Inputs'!$B$10))/SQRT((((102-43)*MAX('Inputs'!$B$33,'Inputs'!$B$29+'Inputs'!$B$31+'Inputs'!$B$32,'Inputs'!$B$30+'Inputs'!$B$31+'Inputs'!$B$32)/1000+'Inputs'!$B$21+'Inputs'!$B$9+'Inputs'!$B$10))^2+('Inputs'!$B$6/2)^2))))*'Results'!$B$8)+'Inputs'!$B$28*ABS((('Results'!C7*(1+'Inputs'!$B$24)*(0.5*((((102-43)*MAX('Inputs'!$B$33,'Inputs'!$B$29+'Inputs'!$B$31+'Inputs'!$B$32,'Inputs'!$B$30+'Inputs'!$B$31+'Inputs'!$B$32)/1000+'Inputs'!$B$21)+'Inputs'!$B$9)/SQRT((((102-43)*MAX('Inputs'!$B$33,'Inputs'!$B$29+'Inputs'!$B$31+'Inputs'!$B$32,'Inputs'!$B$30+'Inputs'!$B$31+'Inputs'!$B$32)/1000+'Inputs'!$B$21)+'Inputs'!$B$9)^2+('Inputs'!$B$8/2)^2)-(((102-43)*MAX('Inputs'!$B$33,'Inputs'!$B$29+'Inputs'!$B$31+'Inputs'!$B$32,'Inputs'!$B$30+'Inputs'!$B$31+'Inputs'!$B$32)/1000+'Inputs'!$B$21))/SQRT((((102-43)*MAX('Inputs'!$B$33,'Inputs'!$B$29+'Inputs'!$B$31+'Inputs'!$B$32,'Inputs'!$B$30+'Inputs'!$B$31+'Inputs'!$B$32)/1000+'Inputs'!$B$21))^2+('Inputs'!$B$8/2)^2)))-'Results'!B7*(1-'Inputs'!$B$24)*(0.5*((((102-43)*MAX('Inputs'!$B$33,'Inputs'!$B$29+'Inputs'!$B$31+'Inputs'!$B$32,'Inputs'!$B$30+'Inputs'!$B$31+'Inputs'!$B$32)/1000+'Inputs'!$B$21+'Inputs'!$B$9+'Inputs'!$B$10)+'Inputs'!$B$7)/SQRT((((102-43)*MAX('Inputs'!$B$33,'Inputs'!$B$29+'Inputs'!$B$31+'Inputs'!$B$32,'Inputs'!$B$30+'Inputs'!$B$31+'Inputs'!$B$32)/1000+'Inputs'!$B$21+'Inputs'!$B$9+'Inputs'!$B$10)+'Inputs'!$B$7)^2+('Inputs'!$B$6/2)^2)-(((102-43)*MAX('Inputs'!$B$33,'Inputs'!$B$29+'Inputs'!$B$31+'Inputs'!$B$32,'Inputs'!$B$30+'Inputs'!$B$31+'Inputs'!$B$32)/1000+'Inputs'!$B$21+'Inputs'!$B$9+'Inputs'!$B$10))/SQRT((((102-43)*MAX('Inputs'!$B$33,'Inputs'!$B$29+'Inputs'!$B$31+'Inputs'!$B$32,'Inputs'!$B$30+'Inputs'!$B$31+'Inputs'!$B$32)/1000+'Inputs'!$B$21+'Inputs'!$B$9+'Inputs'!$B$10))^2+('Inputs'!$B$6/2)^2))))*'Results'!$B$8))),"")</x:f>
        <x:v>868.5150960809248</x:v>
      </x:c>
      <x:c r="P102" t="n">
        <x:f>IF(AND(MAX(J102,J101)&gt;0,J102&gt;J101+0.00000001),1,0)</x:f>
        <x:v>0</x:v>
      </x:c>
      <x:c r="Q102" t="n">
        <x:f>IF(AND(MAX(K102,K101)&gt;0,K102&gt;K101+0.00000001),1,0)</x:f>
        <x:v>0</x:v>
      </x:c>
      <x:c r="R102" t="n">
        <x:f>IF(AND(MAX(L102,L101)&gt;0,L102&gt;L101+0.00000001),1,0)</x:f>
        <x:v>0</x:v>
      </x:c>
      <x:c r="S102" t="n">
        <x:f>IF(AND(MAX(M102,M101)&gt;0,M102&gt;M101+0.00000001),1,0)</x:f>
        <x:v>0</x:v>
      </x:c>
      <x:c r="T102" t="n">
        <x:f>IF(AND(MAX(N102,N101)&gt;0,N102&gt;N101+0.00000001),1,0)</x:f>
        <x:v>0</x:v>
      </x:c>
      <x:c r="U102" t="n">
        <x:f>IF(AND(MAX(O102,O101)&gt;0,O102&gt;O101+0.00000001),1,0)</x:f>
        <x:v>0</x:v>
      </x:c>
    </x:row>
    <x:row r="103">
      <x:c r="J103" t="n">
        <x:f>IF(AND(ISNUMBER('Results'!B7),ISNUMBER('Results'!C7),ISNUMBER('Results'!$B$8),ISNUMBER('Inputs'!$B$6),ISNUMBER('Inputs'!$B$7),ISNUMBER('Inputs'!$B$8),ISNUMBER('Inputs'!$B$9),ISNUMBER('Inputs'!$B$10),ISNUMBER('Inputs'!$B$21),ISNUMBER('Inputs'!$B$24),ISNUMBER('Inputs'!$B$28)),(('Results'!B7*(0.5*((((103-43)*MAX('Inputs'!$B$33,'Inputs'!$B$29+'Inputs'!$B$31+'Inputs'!$B$32,'Inputs'!$B$30+'Inputs'!$B$31+'Inputs'!$B$32)/1000+'Inputs'!$B$21)+'Inputs'!$B$7)/SQRT((((103-43)*MAX('Inputs'!$B$33,'Inputs'!$B$29+'Inputs'!$B$31+'Inputs'!$B$32,'Inputs'!$B$30+'Inputs'!$B$31+'Inputs'!$B$32)/1000+'Inputs'!$B$21)+'Inputs'!$B$7)^2+('Inputs'!$B$6/2)^2)-(((103-43)*MAX('Inputs'!$B$33,'Inputs'!$B$29+'Inputs'!$B$31+'Inputs'!$B$32,'Inputs'!$B$30+'Inputs'!$B$31+'Inputs'!$B$32)/1000+'Inputs'!$B$21))/SQRT((((103-43)*MAX('Inputs'!$B$33,'Inputs'!$B$29+'Inputs'!$B$31+'Inputs'!$B$32,'Inputs'!$B$30+'Inputs'!$B$31+'Inputs'!$B$32)/1000+'Inputs'!$B$21))^2+('Inputs'!$B$6/2)^2)))-'Results'!C7*(0.5*((((103-43)*MAX('Inputs'!$B$33,'Inputs'!$B$29+'Inputs'!$B$31+'Inputs'!$B$32,'Inputs'!$B$30+'Inputs'!$B$31+'Inputs'!$B$32)/1000+'Inputs'!$B$21+'Inputs'!$B$7+'Inputs'!$B$10)+'Inputs'!$B$9)/SQRT((((103-43)*MAX('Inputs'!$B$33,'Inputs'!$B$29+'Inputs'!$B$31+'Inputs'!$B$32,'Inputs'!$B$30+'Inputs'!$B$31+'Inputs'!$B$32)/1000+'Inputs'!$B$21+'Inputs'!$B$7+'Inputs'!$B$10)+'Inputs'!$B$9)^2+('Inputs'!$B$8/2)^2)-(((103-43)*MAX('Inputs'!$B$33,'Inputs'!$B$29+'Inputs'!$B$31+'Inputs'!$B$32,'Inputs'!$B$30+'Inputs'!$B$31+'Inputs'!$B$32)/1000+'Inputs'!$B$21+'Inputs'!$B$7+'Inputs'!$B$10))/SQRT((((103-43)*MAX('Inputs'!$B$33,'Inputs'!$B$29+'Inputs'!$B$31+'Inputs'!$B$32,'Inputs'!$B$30+'Inputs'!$B$31+'Inputs'!$B$32)/1000+'Inputs'!$B$21+'Inputs'!$B$7+'Inputs'!$B$10))^2+('Inputs'!$B$8/2)^2))))*'Results'!$B$8),"")</x:f>
        <x:v>811.4700725161615</x:v>
      </x:c>
      <x:c r="K103" t="n">
        <x:f>IF(AND(ISNUMBER('Results'!B7),ISNUMBER('Results'!C7),ISNUMBER('Results'!$B$8),ISNUMBER('Inputs'!$B$6),ISNUMBER('Inputs'!$B$7),ISNUMBER('Inputs'!$B$8),ISNUMBER('Inputs'!$B$9),ISNUMBER('Inputs'!$B$10),ISNUMBER('Inputs'!$B$21),ISNUMBER('Inputs'!$B$24),ISNUMBER('Inputs'!$B$28)),((('Results'!B7*(1-'Inputs'!$B$24)*(0.5*((((103-43)*MAX('Inputs'!$B$33,'Inputs'!$B$29+'Inputs'!$B$31+'Inputs'!$B$32,'Inputs'!$B$30+'Inputs'!$B$31+'Inputs'!$B$32)/1000+'Inputs'!$B$21)+'Inputs'!$B$7)/SQRT((((103-43)*MAX('Inputs'!$B$33,'Inputs'!$B$29+'Inputs'!$B$31+'Inputs'!$B$32,'Inputs'!$B$30+'Inputs'!$B$31+'Inputs'!$B$32)/1000+'Inputs'!$B$21)+'Inputs'!$B$7)^2+('Inputs'!$B$6/2)^2)-(((103-43)*MAX('Inputs'!$B$33,'Inputs'!$B$29+'Inputs'!$B$31+'Inputs'!$B$32,'Inputs'!$B$30+'Inputs'!$B$31+'Inputs'!$B$32)/1000+'Inputs'!$B$21))/SQRT((((103-43)*MAX('Inputs'!$B$33,'Inputs'!$B$29+'Inputs'!$B$31+'Inputs'!$B$32,'Inputs'!$B$30+'Inputs'!$B$31+'Inputs'!$B$32)/1000+'Inputs'!$B$21))^2+('Inputs'!$B$6/2)^2)))-'Results'!C7*(1+'Inputs'!$B$24)*(0.5*((((103-43)*MAX('Inputs'!$B$33,'Inputs'!$B$29+'Inputs'!$B$31+'Inputs'!$B$32,'Inputs'!$B$30+'Inputs'!$B$31+'Inputs'!$B$32)/1000+'Inputs'!$B$21+'Inputs'!$B$7+'Inputs'!$B$10)+'Inputs'!$B$9)/SQRT((((103-43)*MAX('Inputs'!$B$33,'Inputs'!$B$29+'Inputs'!$B$31+'Inputs'!$B$32,'Inputs'!$B$30+'Inputs'!$B$31+'Inputs'!$B$32)/1000+'Inputs'!$B$21+'Inputs'!$B$7+'Inputs'!$B$10)+'Inputs'!$B$9)^2+('Inputs'!$B$8/2)^2)-(((103-43)*MAX('Inputs'!$B$33,'Inputs'!$B$29+'Inputs'!$B$31+'Inputs'!$B$32,'Inputs'!$B$30+'Inputs'!$B$31+'Inputs'!$B$32)/1000+'Inputs'!$B$21+'Inputs'!$B$7+'Inputs'!$B$10))/SQRT((((103-43)*MAX('Inputs'!$B$33,'Inputs'!$B$29+'Inputs'!$B$31+'Inputs'!$B$32,'Inputs'!$B$30+'Inputs'!$B$31+'Inputs'!$B$32)/1000+'Inputs'!$B$21+'Inputs'!$B$7+'Inputs'!$B$10))^2+('Inputs'!$B$8/2)^2))))*'Results'!$B$8)-'Inputs'!$B$28*ABS((('Results'!B7*(1-'Inputs'!$B$24)*(0.5*((((103-43)*MAX('Inputs'!$B$33,'Inputs'!$B$29+'Inputs'!$B$31+'Inputs'!$B$32,'Inputs'!$B$30+'Inputs'!$B$31+'Inputs'!$B$32)/1000+'Inputs'!$B$21)+'Inputs'!$B$7)/SQRT((((103-43)*MAX('Inputs'!$B$33,'Inputs'!$B$29+'Inputs'!$B$31+'Inputs'!$B$32,'Inputs'!$B$30+'Inputs'!$B$31+'Inputs'!$B$32)/1000+'Inputs'!$B$21)+'Inputs'!$B$7)^2+('Inputs'!$B$6/2)^2)-(((103-43)*MAX('Inputs'!$B$33,'Inputs'!$B$29+'Inputs'!$B$31+'Inputs'!$B$32,'Inputs'!$B$30+'Inputs'!$B$31+'Inputs'!$B$32)/1000+'Inputs'!$B$21))/SQRT((((103-43)*MAX('Inputs'!$B$33,'Inputs'!$B$29+'Inputs'!$B$31+'Inputs'!$B$32,'Inputs'!$B$30+'Inputs'!$B$31+'Inputs'!$B$32)/1000+'Inputs'!$B$21))^2+('Inputs'!$B$6/2)^2)))-'Results'!C7*(1+'Inputs'!$B$24)*(0.5*((((103-43)*MAX('Inputs'!$B$33,'Inputs'!$B$29+'Inputs'!$B$31+'Inputs'!$B$32,'Inputs'!$B$30+'Inputs'!$B$31+'Inputs'!$B$32)/1000+'Inputs'!$B$21+'Inputs'!$B$7+'Inputs'!$B$10)+'Inputs'!$B$9)/SQRT((((103-43)*MAX('Inputs'!$B$33,'Inputs'!$B$29+'Inputs'!$B$31+'Inputs'!$B$32,'Inputs'!$B$30+'Inputs'!$B$31+'Inputs'!$B$32)/1000+'Inputs'!$B$21+'Inputs'!$B$7+'Inputs'!$B$10)+'Inputs'!$B$9)^2+('Inputs'!$B$8/2)^2)-(((103-43)*MAX('Inputs'!$B$33,'Inputs'!$B$29+'Inputs'!$B$31+'Inputs'!$B$32,'Inputs'!$B$30+'Inputs'!$B$31+'Inputs'!$B$32)/1000+'Inputs'!$B$21+'Inputs'!$B$7+'Inputs'!$B$10))/SQRT((((103-43)*MAX('Inputs'!$B$33,'Inputs'!$B$29+'Inputs'!$B$31+'Inputs'!$B$32,'Inputs'!$B$30+'Inputs'!$B$31+'Inputs'!$B$32)/1000+'Inputs'!$B$21+'Inputs'!$B$7+'Inputs'!$B$10))^2+('Inputs'!$B$8/2)^2))))*'Results'!$B$8))),"")</x:f>
        <x:v>750.0563860938018</x:v>
      </x:c>
      <x:c r="L103" t="n">
        <x:f>IF(AND(ISNUMBER('Results'!B7),ISNUMBER('Results'!C7),ISNUMBER('Results'!$B$8),ISNUMBER('Inputs'!$B$6),ISNUMBER('Inputs'!$B$7),ISNUMBER('Inputs'!$B$8),ISNUMBER('Inputs'!$B$9),ISNUMBER('Inputs'!$B$10),ISNUMBER('Inputs'!$B$21),ISNUMBER('Inputs'!$B$24),ISNUMBER('Inputs'!$B$28)),((('Results'!B7*(1+'Inputs'!$B$24)*(0.5*((((103-43)*MAX('Inputs'!$B$33,'Inputs'!$B$29+'Inputs'!$B$31+'Inputs'!$B$32,'Inputs'!$B$30+'Inputs'!$B$31+'Inputs'!$B$32)/1000+'Inputs'!$B$21)+'Inputs'!$B$7)/SQRT((((103-43)*MAX('Inputs'!$B$33,'Inputs'!$B$29+'Inputs'!$B$31+'Inputs'!$B$32,'Inputs'!$B$30+'Inputs'!$B$31+'Inputs'!$B$32)/1000+'Inputs'!$B$21)+'Inputs'!$B$7)^2+('Inputs'!$B$6/2)^2)-(((103-43)*MAX('Inputs'!$B$33,'Inputs'!$B$29+'Inputs'!$B$31+'Inputs'!$B$32,'Inputs'!$B$30+'Inputs'!$B$31+'Inputs'!$B$32)/1000+'Inputs'!$B$21))/SQRT((((103-43)*MAX('Inputs'!$B$33,'Inputs'!$B$29+'Inputs'!$B$31+'Inputs'!$B$32,'Inputs'!$B$30+'Inputs'!$B$31+'Inputs'!$B$32)/1000+'Inputs'!$B$21))^2+('Inputs'!$B$6/2)^2)))-'Results'!C7*(1-'Inputs'!$B$24)*(0.5*((((103-43)*MAX('Inputs'!$B$33,'Inputs'!$B$29+'Inputs'!$B$31+'Inputs'!$B$32,'Inputs'!$B$30+'Inputs'!$B$31+'Inputs'!$B$32)/1000+'Inputs'!$B$21+'Inputs'!$B$7+'Inputs'!$B$10)+'Inputs'!$B$9)/SQRT((((103-43)*MAX('Inputs'!$B$33,'Inputs'!$B$29+'Inputs'!$B$31+'Inputs'!$B$32,'Inputs'!$B$30+'Inputs'!$B$31+'Inputs'!$B$32)/1000+'Inputs'!$B$21+'Inputs'!$B$7+'Inputs'!$B$10)+'Inputs'!$B$9)^2+('Inputs'!$B$8/2)^2)-(((103-43)*MAX('Inputs'!$B$33,'Inputs'!$B$29+'Inputs'!$B$31+'Inputs'!$B$32,'Inputs'!$B$30+'Inputs'!$B$31+'Inputs'!$B$32)/1000+'Inputs'!$B$21+'Inputs'!$B$7+'Inputs'!$B$10))/SQRT((((103-43)*MAX('Inputs'!$B$33,'Inputs'!$B$29+'Inputs'!$B$31+'Inputs'!$B$32,'Inputs'!$B$30+'Inputs'!$B$31+'Inputs'!$B$32)/1000+'Inputs'!$B$21+'Inputs'!$B$7+'Inputs'!$B$10))^2+('Inputs'!$B$8/2)^2))))*'Results'!$B$8)+'Inputs'!$B$28*ABS((('Results'!B7*(1+'Inputs'!$B$24)*(0.5*((((103-43)*MAX('Inputs'!$B$33,'Inputs'!$B$29+'Inputs'!$B$31+'Inputs'!$B$32,'Inputs'!$B$30+'Inputs'!$B$31+'Inputs'!$B$32)/1000+'Inputs'!$B$21)+'Inputs'!$B$7)/SQRT((((103-43)*MAX('Inputs'!$B$33,'Inputs'!$B$29+'Inputs'!$B$31+'Inputs'!$B$32,'Inputs'!$B$30+'Inputs'!$B$31+'Inputs'!$B$32)/1000+'Inputs'!$B$21)+'Inputs'!$B$7)^2+('Inputs'!$B$6/2)^2)-(((103-43)*MAX('Inputs'!$B$33,'Inputs'!$B$29+'Inputs'!$B$31+'Inputs'!$B$32,'Inputs'!$B$30+'Inputs'!$B$31+'Inputs'!$B$32)/1000+'Inputs'!$B$21))/SQRT((((103-43)*MAX('Inputs'!$B$33,'Inputs'!$B$29+'Inputs'!$B$31+'Inputs'!$B$32,'Inputs'!$B$30+'Inputs'!$B$31+'Inputs'!$B$32)/1000+'Inputs'!$B$21))^2+('Inputs'!$B$6/2)^2)))-'Results'!C7*(1-'Inputs'!$B$24)*(0.5*((((103-43)*MAX('Inputs'!$B$33,'Inputs'!$B$29+'Inputs'!$B$31+'Inputs'!$B$32,'Inputs'!$B$30+'Inputs'!$B$31+'Inputs'!$B$32)/1000+'Inputs'!$B$21+'Inputs'!$B$7+'Inputs'!$B$10)+'Inputs'!$B$9)/SQRT((((103-43)*MAX('Inputs'!$B$33,'Inputs'!$B$29+'Inputs'!$B$31+'Inputs'!$B$32,'Inputs'!$B$30+'Inputs'!$B$31+'Inputs'!$B$32)/1000+'Inputs'!$B$21+'Inputs'!$B$7+'Inputs'!$B$10)+'Inputs'!$B$9)^2+('Inputs'!$B$8/2)^2)-(((103-43)*MAX('Inputs'!$B$33,'Inputs'!$B$29+'Inputs'!$B$31+'Inputs'!$B$32,'Inputs'!$B$30+'Inputs'!$B$31+'Inputs'!$B$32)/1000+'Inputs'!$B$21+'Inputs'!$B$7+'Inputs'!$B$10))/SQRT((((103-43)*MAX('Inputs'!$B$33,'Inputs'!$B$29+'Inputs'!$B$31+'Inputs'!$B$32,'Inputs'!$B$30+'Inputs'!$B$31+'Inputs'!$B$32)/1000+'Inputs'!$B$21+'Inputs'!$B$7+'Inputs'!$B$10))^2+('Inputs'!$B$8/2)^2))))*'Results'!$B$8))),"")</x:f>
        <x:v>875.0774623907897</x:v>
      </x:c>
      <x:c r="M103" t="n">
        <x:f>IF(AND(ISNUMBER('Results'!C7),ISNUMBER('Results'!B7),ISNUMBER('Results'!$B$8),ISNUMBER('Inputs'!$B$6),ISNUMBER('Inputs'!$B$7),ISNUMBER('Inputs'!$B$8),ISNUMBER('Inputs'!$B$9),ISNUMBER('Inputs'!$B$10),ISNUMBER('Inputs'!$B$21),ISNUMBER('Inputs'!$B$24),ISNUMBER('Inputs'!$B$28)),(('Results'!C7*(0.5*((((103-43)*MAX('Inputs'!$B$33,'Inputs'!$B$29+'Inputs'!$B$31+'Inputs'!$B$32,'Inputs'!$B$30+'Inputs'!$B$31+'Inputs'!$B$32)/1000+'Inputs'!$B$21)+'Inputs'!$B$9)/SQRT((((103-43)*MAX('Inputs'!$B$33,'Inputs'!$B$29+'Inputs'!$B$31+'Inputs'!$B$32,'Inputs'!$B$30+'Inputs'!$B$31+'Inputs'!$B$32)/1000+'Inputs'!$B$21)+'Inputs'!$B$9)^2+('Inputs'!$B$8/2)^2)-(((103-43)*MAX('Inputs'!$B$33,'Inputs'!$B$29+'Inputs'!$B$31+'Inputs'!$B$32,'Inputs'!$B$30+'Inputs'!$B$31+'Inputs'!$B$32)/1000+'Inputs'!$B$21))/SQRT((((103-43)*MAX('Inputs'!$B$33,'Inputs'!$B$29+'Inputs'!$B$31+'Inputs'!$B$32,'Inputs'!$B$30+'Inputs'!$B$31+'Inputs'!$B$32)/1000+'Inputs'!$B$21))^2+('Inputs'!$B$8/2)^2)))-'Results'!B7*(0.5*((((103-43)*MAX('Inputs'!$B$33,'Inputs'!$B$29+'Inputs'!$B$31+'Inputs'!$B$32,'Inputs'!$B$30+'Inputs'!$B$31+'Inputs'!$B$32)/1000+'Inputs'!$B$21+'Inputs'!$B$9+'Inputs'!$B$10)+'Inputs'!$B$7)/SQRT((((103-43)*MAX('Inputs'!$B$33,'Inputs'!$B$29+'Inputs'!$B$31+'Inputs'!$B$32,'Inputs'!$B$30+'Inputs'!$B$31+'Inputs'!$B$32)/1000+'Inputs'!$B$21+'Inputs'!$B$9+'Inputs'!$B$10)+'Inputs'!$B$7)^2+('Inputs'!$B$6/2)^2)-(((103-43)*MAX('Inputs'!$B$33,'Inputs'!$B$29+'Inputs'!$B$31+'Inputs'!$B$32,'Inputs'!$B$30+'Inputs'!$B$31+'Inputs'!$B$32)/1000+'Inputs'!$B$21+'Inputs'!$B$9+'Inputs'!$B$10))/SQRT((((103-43)*MAX('Inputs'!$B$33,'Inputs'!$B$29+'Inputs'!$B$31+'Inputs'!$B$32,'Inputs'!$B$30+'Inputs'!$B$31+'Inputs'!$B$32)/1000+'Inputs'!$B$21+'Inputs'!$B$9+'Inputs'!$B$10))^2+('Inputs'!$B$6/2)^2))))*'Results'!$B$8),"")</x:f>
        <x:v>789.474796839676</x:v>
      </x:c>
      <x:c r="N103" t="n">
        <x:f>IF(AND(ISNUMBER('Results'!C7),ISNUMBER('Results'!B7),ISNUMBER('Results'!$B$8),ISNUMBER('Inputs'!$B$6),ISNUMBER('Inputs'!$B$7),ISNUMBER('Inputs'!$B$8),ISNUMBER('Inputs'!$B$9),ISNUMBER('Inputs'!$B$10),ISNUMBER('Inputs'!$B$21),ISNUMBER('Inputs'!$B$24),ISNUMBER('Inputs'!$B$28)),((('Results'!C7*(1-'Inputs'!$B$24)*(0.5*((((103-43)*MAX('Inputs'!$B$33,'Inputs'!$B$29+'Inputs'!$B$31+'Inputs'!$B$32,'Inputs'!$B$30+'Inputs'!$B$31+'Inputs'!$B$32)/1000+'Inputs'!$B$21)+'Inputs'!$B$9)/SQRT((((103-43)*MAX('Inputs'!$B$33,'Inputs'!$B$29+'Inputs'!$B$31+'Inputs'!$B$32,'Inputs'!$B$30+'Inputs'!$B$31+'Inputs'!$B$32)/1000+'Inputs'!$B$21)+'Inputs'!$B$9)^2+('Inputs'!$B$8/2)^2)-(((103-43)*MAX('Inputs'!$B$33,'Inputs'!$B$29+'Inputs'!$B$31+'Inputs'!$B$32,'Inputs'!$B$30+'Inputs'!$B$31+'Inputs'!$B$32)/1000+'Inputs'!$B$21))/SQRT((((103-43)*MAX('Inputs'!$B$33,'Inputs'!$B$29+'Inputs'!$B$31+'Inputs'!$B$32,'Inputs'!$B$30+'Inputs'!$B$31+'Inputs'!$B$32)/1000+'Inputs'!$B$21))^2+('Inputs'!$B$8/2)^2)))-'Results'!B7*(1+'Inputs'!$B$24)*(0.5*((((103-43)*MAX('Inputs'!$B$33,'Inputs'!$B$29+'Inputs'!$B$31+'Inputs'!$B$32,'Inputs'!$B$30+'Inputs'!$B$31+'Inputs'!$B$32)/1000+'Inputs'!$B$21+'Inputs'!$B$9+'Inputs'!$B$10)+'Inputs'!$B$7)/SQRT((((103-43)*MAX('Inputs'!$B$33,'Inputs'!$B$29+'Inputs'!$B$31+'Inputs'!$B$32,'Inputs'!$B$30+'Inputs'!$B$31+'Inputs'!$B$32)/1000+'Inputs'!$B$21+'Inputs'!$B$9+'Inputs'!$B$10)+'Inputs'!$B$7)^2+('Inputs'!$B$6/2)^2)-(((103-43)*MAX('Inputs'!$B$33,'Inputs'!$B$29+'Inputs'!$B$31+'Inputs'!$B$32,'Inputs'!$B$30+'Inputs'!$B$31+'Inputs'!$B$32)/1000+'Inputs'!$B$21+'Inputs'!$B$9+'Inputs'!$B$10))/SQRT((((103-43)*MAX('Inputs'!$B$33,'Inputs'!$B$29+'Inputs'!$B$31+'Inputs'!$B$32,'Inputs'!$B$30+'Inputs'!$B$31+'Inputs'!$B$32)/1000+'Inputs'!$B$21+'Inputs'!$B$9+'Inputs'!$B$10))^2+('Inputs'!$B$6/2)^2))))*'Results'!$B$8)-'Inputs'!$B$28*ABS((('Results'!C7*(1-'Inputs'!$B$24)*(0.5*((((103-43)*MAX('Inputs'!$B$33,'Inputs'!$B$29+'Inputs'!$B$31+'Inputs'!$B$32,'Inputs'!$B$30+'Inputs'!$B$31+'Inputs'!$B$32)/1000+'Inputs'!$B$21)+'Inputs'!$B$9)/SQRT((((103-43)*MAX('Inputs'!$B$33,'Inputs'!$B$29+'Inputs'!$B$31+'Inputs'!$B$32,'Inputs'!$B$30+'Inputs'!$B$31+'Inputs'!$B$32)/1000+'Inputs'!$B$21)+'Inputs'!$B$9)^2+('Inputs'!$B$8/2)^2)-(((103-43)*MAX('Inputs'!$B$33,'Inputs'!$B$29+'Inputs'!$B$31+'Inputs'!$B$32,'Inputs'!$B$30+'Inputs'!$B$31+'Inputs'!$B$32)/1000+'Inputs'!$B$21))/SQRT((((103-43)*MAX('Inputs'!$B$33,'Inputs'!$B$29+'Inputs'!$B$31+'Inputs'!$B$32,'Inputs'!$B$30+'Inputs'!$B$31+'Inputs'!$B$32)/1000+'Inputs'!$B$21))^2+('Inputs'!$B$8/2)^2)))-'Results'!B7*(1+'Inputs'!$B$24)*(0.5*((((103-43)*MAX('Inputs'!$B$33,'Inputs'!$B$29+'Inputs'!$B$31+'Inputs'!$B$32,'Inputs'!$B$30+'Inputs'!$B$31+'Inputs'!$B$32)/1000+'Inputs'!$B$21+'Inputs'!$B$9+'Inputs'!$B$10)+'Inputs'!$B$7)/SQRT((((103-43)*MAX('Inputs'!$B$33,'Inputs'!$B$29+'Inputs'!$B$31+'Inputs'!$B$32,'Inputs'!$B$30+'Inputs'!$B$31+'Inputs'!$B$32)/1000+'Inputs'!$B$21+'Inputs'!$B$9+'Inputs'!$B$10)+'Inputs'!$B$7)^2+('Inputs'!$B$6/2)^2)-(((103-43)*MAX('Inputs'!$B$33,'Inputs'!$B$29+'Inputs'!$B$31+'Inputs'!$B$32,'Inputs'!$B$30+'Inputs'!$B$31+'Inputs'!$B$32)/1000+'Inputs'!$B$21+'Inputs'!$B$9+'Inputs'!$B$10))/SQRT((((103-43)*MAX('Inputs'!$B$33,'Inputs'!$B$29+'Inputs'!$B$31+'Inputs'!$B$32,'Inputs'!$B$30+'Inputs'!$B$31+'Inputs'!$B$32)/1000+'Inputs'!$B$21+'Inputs'!$B$9+'Inputs'!$B$10))^2+('Inputs'!$B$6/2)^2))))*'Results'!$B$8))),"")</x:f>
        <x:v>729.4681262467744</x:v>
      </x:c>
      <x:c r="O103" t="n">
        <x:f>IF(AND(ISNUMBER('Results'!C7),ISNUMBER('Results'!B7),ISNUMBER('Results'!$B$8),ISNUMBER('Inputs'!$B$6),ISNUMBER('Inputs'!$B$7),ISNUMBER('Inputs'!$B$8),ISNUMBER('Inputs'!$B$9),ISNUMBER('Inputs'!$B$10),ISNUMBER('Inputs'!$B$21),ISNUMBER('Inputs'!$B$24),ISNUMBER('Inputs'!$B$28)),((('Results'!C7*(1+'Inputs'!$B$24)*(0.5*((((103-43)*MAX('Inputs'!$B$33,'Inputs'!$B$29+'Inputs'!$B$31+'Inputs'!$B$32,'Inputs'!$B$30+'Inputs'!$B$31+'Inputs'!$B$32)/1000+'Inputs'!$B$21)+'Inputs'!$B$9)/SQRT((((103-43)*MAX('Inputs'!$B$33,'Inputs'!$B$29+'Inputs'!$B$31+'Inputs'!$B$32,'Inputs'!$B$30+'Inputs'!$B$31+'Inputs'!$B$32)/1000+'Inputs'!$B$21)+'Inputs'!$B$9)^2+('Inputs'!$B$8/2)^2)-(((103-43)*MAX('Inputs'!$B$33,'Inputs'!$B$29+'Inputs'!$B$31+'Inputs'!$B$32,'Inputs'!$B$30+'Inputs'!$B$31+'Inputs'!$B$32)/1000+'Inputs'!$B$21))/SQRT((((103-43)*MAX('Inputs'!$B$33,'Inputs'!$B$29+'Inputs'!$B$31+'Inputs'!$B$32,'Inputs'!$B$30+'Inputs'!$B$31+'Inputs'!$B$32)/1000+'Inputs'!$B$21))^2+('Inputs'!$B$8/2)^2)))-'Results'!B7*(1-'Inputs'!$B$24)*(0.5*((((103-43)*MAX('Inputs'!$B$33,'Inputs'!$B$29+'Inputs'!$B$31+'Inputs'!$B$32,'Inputs'!$B$30+'Inputs'!$B$31+'Inputs'!$B$32)/1000+'Inputs'!$B$21+'Inputs'!$B$9+'Inputs'!$B$10)+'Inputs'!$B$7)/SQRT((((103-43)*MAX('Inputs'!$B$33,'Inputs'!$B$29+'Inputs'!$B$31+'Inputs'!$B$32,'Inputs'!$B$30+'Inputs'!$B$31+'Inputs'!$B$32)/1000+'Inputs'!$B$21+'Inputs'!$B$9+'Inputs'!$B$10)+'Inputs'!$B$7)^2+('Inputs'!$B$6/2)^2)-(((103-43)*MAX('Inputs'!$B$33,'Inputs'!$B$29+'Inputs'!$B$31+'Inputs'!$B$32,'Inputs'!$B$30+'Inputs'!$B$31+'Inputs'!$B$32)/1000+'Inputs'!$B$21+'Inputs'!$B$9+'Inputs'!$B$10))/SQRT((((103-43)*MAX('Inputs'!$B$33,'Inputs'!$B$29+'Inputs'!$B$31+'Inputs'!$B$32,'Inputs'!$B$30+'Inputs'!$B$31+'Inputs'!$B$32)/1000+'Inputs'!$B$21+'Inputs'!$B$9+'Inputs'!$B$10))^2+('Inputs'!$B$6/2)^2))))*'Results'!$B$8)+'Inputs'!$B$28*ABS((('Results'!C7*(1+'Inputs'!$B$24)*(0.5*((((103-43)*MAX('Inputs'!$B$33,'Inputs'!$B$29+'Inputs'!$B$31+'Inputs'!$B$32,'Inputs'!$B$30+'Inputs'!$B$31+'Inputs'!$B$32)/1000+'Inputs'!$B$21)+'Inputs'!$B$9)/SQRT((((103-43)*MAX('Inputs'!$B$33,'Inputs'!$B$29+'Inputs'!$B$31+'Inputs'!$B$32,'Inputs'!$B$30+'Inputs'!$B$31+'Inputs'!$B$32)/1000+'Inputs'!$B$21)+'Inputs'!$B$9)^2+('Inputs'!$B$8/2)^2)-(((103-43)*MAX('Inputs'!$B$33,'Inputs'!$B$29+'Inputs'!$B$31+'Inputs'!$B$32,'Inputs'!$B$30+'Inputs'!$B$31+'Inputs'!$B$32)/1000+'Inputs'!$B$21))/SQRT((((103-43)*MAX('Inputs'!$B$33,'Inputs'!$B$29+'Inputs'!$B$31+'Inputs'!$B$32,'Inputs'!$B$30+'Inputs'!$B$31+'Inputs'!$B$32)/1000+'Inputs'!$B$21))^2+('Inputs'!$B$8/2)^2)))-'Results'!B7*(1-'Inputs'!$B$24)*(0.5*((((103-43)*MAX('Inputs'!$B$33,'Inputs'!$B$29+'Inputs'!$B$31+'Inputs'!$B$32,'Inputs'!$B$30+'Inputs'!$B$31+'Inputs'!$B$32)/1000+'Inputs'!$B$21+'Inputs'!$B$9+'Inputs'!$B$10)+'Inputs'!$B$7)/SQRT((((103-43)*MAX('Inputs'!$B$33,'Inputs'!$B$29+'Inputs'!$B$31+'Inputs'!$B$32,'Inputs'!$B$30+'Inputs'!$B$31+'Inputs'!$B$32)/1000+'Inputs'!$B$21+'Inputs'!$B$9+'Inputs'!$B$10)+'Inputs'!$B$7)^2+('Inputs'!$B$6/2)^2)-(((103-43)*MAX('Inputs'!$B$33,'Inputs'!$B$29+'Inputs'!$B$31+'Inputs'!$B$32,'Inputs'!$B$30+'Inputs'!$B$31+'Inputs'!$B$32)/1000+'Inputs'!$B$21+'Inputs'!$B$9+'Inputs'!$B$10))/SQRT((((103-43)*MAX('Inputs'!$B$33,'Inputs'!$B$29+'Inputs'!$B$31+'Inputs'!$B$32,'Inputs'!$B$30+'Inputs'!$B$31+'Inputs'!$B$32)/1000+'Inputs'!$B$21+'Inputs'!$B$9+'Inputs'!$B$10))^2+('Inputs'!$B$6/2)^2))))*'Results'!$B$8))),"")</x:f>
        <x:v>851.642828564253</x:v>
      </x:c>
      <x:c r="P103" t="n">
        <x:f>IF(AND(MAX(J103,J102)&gt;0,J103&gt;J102+0.00000001),1,0)</x:f>
        <x:v>0</x:v>
      </x:c>
      <x:c r="Q103" t="n">
        <x:f>IF(AND(MAX(K103,K102)&gt;0,K103&gt;K102+0.00000001),1,0)</x:f>
        <x:v>0</x:v>
      </x:c>
      <x:c r="R103" t="n">
        <x:f>IF(AND(MAX(L103,L102)&gt;0,L103&gt;L102+0.00000001),1,0)</x:f>
        <x:v>0</x:v>
      </x:c>
      <x:c r="S103" t="n">
        <x:f>IF(AND(MAX(M103,M102)&gt;0,M103&gt;M102+0.00000001),1,0)</x:f>
        <x:v>0</x:v>
      </x:c>
      <x:c r="T103" t="n">
        <x:f>IF(AND(MAX(N103,N102)&gt;0,N103&gt;N102+0.00000001),1,0)</x:f>
        <x:v>0</x:v>
      </x:c>
      <x:c r="U103" t="n">
        <x:f>IF(AND(MAX(O103,O102)&gt;0,O103&gt;O102+0.00000001),1,0)</x:f>
        <x:v>0</x:v>
      </x:c>
    </x:row>
    <x:row r="104">
      <x:c r="J104" t="n">
        <x:f>IF(AND(ISNUMBER('Results'!B7),ISNUMBER('Results'!C7),ISNUMBER('Results'!$B$8),ISNUMBER('Inputs'!$B$6),ISNUMBER('Inputs'!$B$7),ISNUMBER('Inputs'!$B$8),ISNUMBER('Inputs'!$B$9),ISNUMBER('Inputs'!$B$10),ISNUMBER('Inputs'!$B$21),ISNUMBER('Inputs'!$B$24),ISNUMBER('Inputs'!$B$28)),(('Results'!B7*(0.5*((((104-43)*MAX('Inputs'!$B$33,'Inputs'!$B$29+'Inputs'!$B$31+'Inputs'!$B$32,'Inputs'!$B$30+'Inputs'!$B$31+'Inputs'!$B$32)/1000+'Inputs'!$B$21)+'Inputs'!$B$7)/SQRT((((104-43)*MAX('Inputs'!$B$33,'Inputs'!$B$29+'Inputs'!$B$31+'Inputs'!$B$32,'Inputs'!$B$30+'Inputs'!$B$31+'Inputs'!$B$32)/1000+'Inputs'!$B$21)+'Inputs'!$B$7)^2+('Inputs'!$B$6/2)^2)-(((104-43)*MAX('Inputs'!$B$33,'Inputs'!$B$29+'Inputs'!$B$31+'Inputs'!$B$32,'Inputs'!$B$30+'Inputs'!$B$31+'Inputs'!$B$32)/1000+'Inputs'!$B$21))/SQRT((((104-43)*MAX('Inputs'!$B$33,'Inputs'!$B$29+'Inputs'!$B$31+'Inputs'!$B$32,'Inputs'!$B$30+'Inputs'!$B$31+'Inputs'!$B$32)/1000+'Inputs'!$B$21))^2+('Inputs'!$B$6/2)^2)))-'Results'!C7*(0.5*((((104-43)*MAX('Inputs'!$B$33,'Inputs'!$B$29+'Inputs'!$B$31+'Inputs'!$B$32,'Inputs'!$B$30+'Inputs'!$B$31+'Inputs'!$B$32)/1000+'Inputs'!$B$21+'Inputs'!$B$7+'Inputs'!$B$10)+'Inputs'!$B$9)/SQRT((((104-43)*MAX('Inputs'!$B$33,'Inputs'!$B$29+'Inputs'!$B$31+'Inputs'!$B$32,'Inputs'!$B$30+'Inputs'!$B$31+'Inputs'!$B$32)/1000+'Inputs'!$B$21+'Inputs'!$B$7+'Inputs'!$B$10)+'Inputs'!$B$9)^2+('Inputs'!$B$8/2)^2)-(((104-43)*MAX('Inputs'!$B$33,'Inputs'!$B$29+'Inputs'!$B$31+'Inputs'!$B$32,'Inputs'!$B$30+'Inputs'!$B$31+'Inputs'!$B$32)/1000+'Inputs'!$B$21+'Inputs'!$B$7+'Inputs'!$B$10))/SQRT((((104-43)*MAX('Inputs'!$B$33,'Inputs'!$B$29+'Inputs'!$B$31+'Inputs'!$B$32,'Inputs'!$B$30+'Inputs'!$B$31+'Inputs'!$B$32)/1000+'Inputs'!$B$21+'Inputs'!$B$7+'Inputs'!$B$10))^2+('Inputs'!$B$8/2)^2))))*'Results'!$B$8),"")</x:f>
        <x:v>795.6820524367457</x:v>
      </x:c>
      <x:c r="K104" t="n">
        <x:f>IF(AND(ISNUMBER('Results'!B7),ISNUMBER('Results'!C7),ISNUMBER('Results'!$B$8),ISNUMBER('Inputs'!$B$6),ISNUMBER('Inputs'!$B$7),ISNUMBER('Inputs'!$B$8),ISNUMBER('Inputs'!$B$9),ISNUMBER('Inputs'!$B$10),ISNUMBER('Inputs'!$B$21),ISNUMBER('Inputs'!$B$24),ISNUMBER('Inputs'!$B$28)),((('Results'!B7*(1-'Inputs'!$B$24)*(0.5*((((104-43)*MAX('Inputs'!$B$33,'Inputs'!$B$29+'Inputs'!$B$31+'Inputs'!$B$32,'Inputs'!$B$30+'Inputs'!$B$31+'Inputs'!$B$32)/1000+'Inputs'!$B$21)+'Inputs'!$B$7)/SQRT((((104-43)*MAX('Inputs'!$B$33,'Inputs'!$B$29+'Inputs'!$B$31+'Inputs'!$B$32,'Inputs'!$B$30+'Inputs'!$B$31+'Inputs'!$B$32)/1000+'Inputs'!$B$21)+'Inputs'!$B$7)^2+('Inputs'!$B$6/2)^2)-(((104-43)*MAX('Inputs'!$B$33,'Inputs'!$B$29+'Inputs'!$B$31+'Inputs'!$B$32,'Inputs'!$B$30+'Inputs'!$B$31+'Inputs'!$B$32)/1000+'Inputs'!$B$21))/SQRT((((104-43)*MAX('Inputs'!$B$33,'Inputs'!$B$29+'Inputs'!$B$31+'Inputs'!$B$32,'Inputs'!$B$30+'Inputs'!$B$31+'Inputs'!$B$32)/1000+'Inputs'!$B$21))^2+('Inputs'!$B$6/2)^2)))-'Results'!C7*(1+'Inputs'!$B$24)*(0.5*((((104-43)*MAX('Inputs'!$B$33,'Inputs'!$B$29+'Inputs'!$B$31+'Inputs'!$B$32,'Inputs'!$B$30+'Inputs'!$B$31+'Inputs'!$B$32)/1000+'Inputs'!$B$21+'Inputs'!$B$7+'Inputs'!$B$10)+'Inputs'!$B$9)/SQRT((((104-43)*MAX('Inputs'!$B$33,'Inputs'!$B$29+'Inputs'!$B$31+'Inputs'!$B$32,'Inputs'!$B$30+'Inputs'!$B$31+'Inputs'!$B$32)/1000+'Inputs'!$B$21+'Inputs'!$B$7+'Inputs'!$B$10)+'Inputs'!$B$9)^2+('Inputs'!$B$8/2)^2)-(((104-43)*MAX('Inputs'!$B$33,'Inputs'!$B$29+'Inputs'!$B$31+'Inputs'!$B$32,'Inputs'!$B$30+'Inputs'!$B$31+'Inputs'!$B$32)/1000+'Inputs'!$B$21+'Inputs'!$B$7+'Inputs'!$B$10))/SQRT((((104-43)*MAX('Inputs'!$B$33,'Inputs'!$B$29+'Inputs'!$B$31+'Inputs'!$B$32,'Inputs'!$B$30+'Inputs'!$B$31+'Inputs'!$B$32)/1000+'Inputs'!$B$21+'Inputs'!$B$7+'Inputs'!$B$10))^2+('Inputs'!$B$8/2)^2))))*'Results'!$B$8)-'Inputs'!$B$28*ABS((('Results'!B7*(1-'Inputs'!$B$24)*(0.5*((((104-43)*MAX('Inputs'!$B$33,'Inputs'!$B$29+'Inputs'!$B$31+'Inputs'!$B$32,'Inputs'!$B$30+'Inputs'!$B$31+'Inputs'!$B$32)/1000+'Inputs'!$B$21)+'Inputs'!$B$7)/SQRT((((104-43)*MAX('Inputs'!$B$33,'Inputs'!$B$29+'Inputs'!$B$31+'Inputs'!$B$32,'Inputs'!$B$30+'Inputs'!$B$31+'Inputs'!$B$32)/1000+'Inputs'!$B$21)+'Inputs'!$B$7)^2+('Inputs'!$B$6/2)^2)-(((104-43)*MAX('Inputs'!$B$33,'Inputs'!$B$29+'Inputs'!$B$31+'Inputs'!$B$32,'Inputs'!$B$30+'Inputs'!$B$31+'Inputs'!$B$32)/1000+'Inputs'!$B$21))/SQRT((((104-43)*MAX('Inputs'!$B$33,'Inputs'!$B$29+'Inputs'!$B$31+'Inputs'!$B$32,'Inputs'!$B$30+'Inputs'!$B$31+'Inputs'!$B$32)/1000+'Inputs'!$B$21))^2+('Inputs'!$B$6/2)^2)))-'Results'!C7*(1+'Inputs'!$B$24)*(0.5*((((104-43)*MAX('Inputs'!$B$33,'Inputs'!$B$29+'Inputs'!$B$31+'Inputs'!$B$32,'Inputs'!$B$30+'Inputs'!$B$31+'Inputs'!$B$32)/1000+'Inputs'!$B$21+'Inputs'!$B$7+'Inputs'!$B$10)+'Inputs'!$B$9)/SQRT((((104-43)*MAX('Inputs'!$B$33,'Inputs'!$B$29+'Inputs'!$B$31+'Inputs'!$B$32,'Inputs'!$B$30+'Inputs'!$B$31+'Inputs'!$B$32)/1000+'Inputs'!$B$21+'Inputs'!$B$7+'Inputs'!$B$10)+'Inputs'!$B$9)^2+('Inputs'!$B$8/2)^2)-(((104-43)*MAX('Inputs'!$B$33,'Inputs'!$B$29+'Inputs'!$B$31+'Inputs'!$B$32,'Inputs'!$B$30+'Inputs'!$B$31+'Inputs'!$B$32)/1000+'Inputs'!$B$21+'Inputs'!$B$7+'Inputs'!$B$10))/SQRT((((104-43)*MAX('Inputs'!$B$33,'Inputs'!$B$29+'Inputs'!$B$31+'Inputs'!$B$32,'Inputs'!$B$30+'Inputs'!$B$31+'Inputs'!$B$32)/1000+'Inputs'!$B$21+'Inputs'!$B$7+'Inputs'!$B$10))^2+('Inputs'!$B$8/2)^2))))*'Results'!$B$8))),"")</x:f>
        <x:v>735.4293625037166</x:v>
      </x:c>
      <x:c r="L104" t="n">
        <x:f>IF(AND(ISNUMBER('Results'!B7),ISNUMBER('Results'!C7),ISNUMBER('Results'!$B$8),ISNUMBER('Inputs'!$B$6),ISNUMBER('Inputs'!$B$7),ISNUMBER('Inputs'!$B$8),ISNUMBER('Inputs'!$B$9),ISNUMBER('Inputs'!$B$10),ISNUMBER('Inputs'!$B$21),ISNUMBER('Inputs'!$B$24),ISNUMBER('Inputs'!$B$28)),((('Results'!B7*(1+'Inputs'!$B$24)*(0.5*((((104-43)*MAX('Inputs'!$B$33,'Inputs'!$B$29+'Inputs'!$B$31+'Inputs'!$B$32,'Inputs'!$B$30+'Inputs'!$B$31+'Inputs'!$B$32)/1000+'Inputs'!$B$21)+'Inputs'!$B$7)/SQRT((((104-43)*MAX('Inputs'!$B$33,'Inputs'!$B$29+'Inputs'!$B$31+'Inputs'!$B$32,'Inputs'!$B$30+'Inputs'!$B$31+'Inputs'!$B$32)/1000+'Inputs'!$B$21)+'Inputs'!$B$7)^2+('Inputs'!$B$6/2)^2)-(((104-43)*MAX('Inputs'!$B$33,'Inputs'!$B$29+'Inputs'!$B$31+'Inputs'!$B$32,'Inputs'!$B$30+'Inputs'!$B$31+'Inputs'!$B$32)/1000+'Inputs'!$B$21))/SQRT((((104-43)*MAX('Inputs'!$B$33,'Inputs'!$B$29+'Inputs'!$B$31+'Inputs'!$B$32,'Inputs'!$B$30+'Inputs'!$B$31+'Inputs'!$B$32)/1000+'Inputs'!$B$21))^2+('Inputs'!$B$6/2)^2)))-'Results'!C7*(1-'Inputs'!$B$24)*(0.5*((((104-43)*MAX('Inputs'!$B$33,'Inputs'!$B$29+'Inputs'!$B$31+'Inputs'!$B$32,'Inputs'!$B$30+'Inputs'!$B$31+'Inputs'!$B$32)/1000+'Inputs'!$B$21+'Inputs'!$B$7+'Inputs'!$B$10)+'Inputs'!$B$9)/SQRT((((104-43)*MAX('Inputs'!$B$33,'Inputs'!$B$29+'Inputs'!$B$31+'Inputs'!$B$32,'Inputs'!$B$30+'Inputs'!$B$31+'Inputs'!$B$32)/1000+'Inputs'!$B$21+'Inputs'!$B$7+'Inputs'!$B$10)+'Inputs'!$B$9)^2+('Inputs'!$B$8/2)^2)-(((104-43)*MAX('Inputs'!$B$33,'Inputs'!$B$29+'Inputs'!$B$31+'Inputs'!$B$32,'Inputs'!$B$30+'Inputs'!$B$31+'Inputs'!$B$32)/1000+'Inputs'!$B$21+'Inputs'!$B$7+'Inputs'!$B$10))/SQRT((((104-43)*MAX('Inputs'!$B$33,'Inputs'!$B$29+'Inputs'!$B$31+'Inputs'!$B$32,'Inputs'!$B$30+'Inputs'!$B$31+'Inputs'!$B$32)/1000+'Inputs'!$B$21+'Inputs'!$B$7+'Inputs'!$B$10))^2+('Inputs'!$B$8/2)^2))))*'Results'!$B$8)+'Inputs'!$B$28*ABS((('Results'!B7*(1+'Inputs'!$B$24)*(0.5*((((104-43)*MAX('Inputs'!$B$33,'Inputs'!$B$29+'Inputs'!$B$31+'Inputs'!$B$32,'Inputs'!$B$30+'Inputs'!$B$31+'Inputs'!$B$32)/1000+'Inputs'!$B$21)+'Inputs'!$B$7)/SQRT((((104-43)*MAX('Inputs'!$B$33,'Inputs'!$B$29+'Inputs'!$B$31+'Inputs'!$B$32,'Inputs'!$B$30+'Inputs'!$B$31+'Inputs'!$B$32)/1000+'Inputs'!$B$21)+'Inputs'!$B$7)^2+('Inputs'!$B$6/2)^2)-(((104-43)*MAX('Inputs'!$B$33,'Inputs'!$B$29+'Inputs'!$B$31+'Inputs'!$B$32,'Inputs'!$B$30+'Inputs'!$B$31+'Inputs'!$B$32)/1000+'Inputs'!$B$21))/SQRT((((104-43)*MAX('Inputs'!$B$33,'Inputs'!$B$29+'Inputs'!$B$31+'Inputs'!$B$32,'Inputs'!$B$30+'Inputs'!$B$31+'Inputs'!$B$32)/1000+'Inputs'!$B$21))^2+('Inputs'!$B$6/2)^2)))-'Results'!C7*(1-'Inputs'!$B$24)*(0.5*((((104-43)*MAX('Inputs'!$B$33,'Inputs'!$B$29+'Inputs'!$B$31+'Inputs'!$B$32,'Inputs'!$B$30+'Inputs'!$B$31+'Inputs'!$B$32)/1000+'Inputs'!$B$21+'Inputs'!$B$7+'Inputs'!$B$10)+'Inputs'!$B$9)/SQRT((((104-43)*MAX('Inputs'!$B$33,'Inputs'!$B$29+'Inputs'!$B$31+'Inputs'!$B$32,'Inputs'!$B$30+'Inputs'!$B$31+'Inputs'!$B$32)/1000+'Inputs'!$B$21+'Inputs'!$B$7+'Inputs'!$B$10)+'Inputs'!$B$9)^2+('Inputs'!$B$8/2)^2)-(((104-43)*MAX('Inputs'!$B$33,'Inputs'!$B$29+'Inputs'!$B$31+'Inputs'!$B$32,'Inputs'!$B$30+'Inputs'!$B$31+'Inputs'!$B$32)/1000+'Inputs'!$B$21+'Inputs'!$B$7+'Inputs'!$B$10))/SQRT((((104-43)*MAX('Inputs'!$B$33,'Inputs'!$B$29+'Inputs'!$B$31+'Inputs'!$B$32,'Inputs'!$B$30+'Inputs'!$B$31+'Inputs'!$B$32)/1000+'Inputs'!$B$21+'Inputs'!$B$7+'Inputs'!$B$10))^2+('Inputs'!$B$8/2)^2))))*'Results'!$B$8))),"")</x:f>
        <x:v>858.0893305077949</x:v>
      </x:c>
      <x:c r="M104" t="n">
        <x:f>IF(AND(ISNUMBER('Results'!C7),ISNUMBER('Results'!B7),ISNUMBER('Results'!$B$8),ISNUMBER('Inputs'!$B$6),ISNUMBER('Inputs'!$B$7),ISNUMBER('Inputs'!$B$8),ISNUMBER('Inputs'!$B$9),ISNUMBER('Inputs'!$B$10),ISNUMBER('Inputs'!$B$21),ISNUMBER('Inputs'!$B$24),ISNUMBER('Inputs'!$B$28)),(('Results'!C7*(0.5*((((104-43)*MAX('Inputs'!$B$33,'Inputs'!$B$29+'Inputs'!$B$31+'Inputs'!$B$32,'Inputs'!$B$30+'Inputs'!$B$31+'Inputs'!$B$32)/1000+'Inputs'!$B$21)+'Inputs'!$B$9)/SQRT((((104-43)*MAX('Inputs'!$B$33,'Inputs'!$B$29+'Inputs'!$B$31+'Inputs'!$B$32,'Inputs'!$B$30+'Inputs'!$B$31+'Inputs'!$B$32)/1000+'Inputs'!$B$21)+'Inputs'!$B$9)^2+('Inputs'!$B$8/2)^2)-(((104-43)*MAX('Inputs'!$B$33,'Inputs'!$B$29+'Inputs'!$B$31+'Inputs'!$B$32,'Inputs'!$B$30+'Inputs'!$B$31+'Inputs'!$B$32)/1000+'Inputs'!$B$21))/SQRT((((104-43)*MAX('Inputs'!$B$33,'Inputs'!$B$29+'Inputs'!$B$31+'Inputs'!$B$32,'Inputs'!$B$30+'Inputs'!$B$31+'Inputs'!$B$32)/1000+'Inputs'!$B$21))^2+('Inputs'!$B$8/2)^2)))-'Results'!B7*(0.5*((((104-43)*MAX('Inputs'!$B$33,'Inputs'!$B$29+'Inputs'!$B$31+'Inputs'!$B$32,'Inputs'!$B$30+'Inputs'!$B$31+'Inputs'!$B$32)/1000+'Inputs'!$B$21+'Inputs'!$B$9+'Inputs'!$B$10)+'Inputs'!$B$7)/SQRT((((104-43)*MAX('Inputs'!$B$33,'Inputs'!$B$29+'Inputs'!$B$31+'Inputs'!$B$32,'Inputs'!$B$30+'Inputs'!$B$31+'Inputs'!$B$32)/1000+'Inputs'!$B$21+'Inputs'!$B$9+'Inputs'!$B$10)+'Inputs'!$B$7)^2+('Inputs'!$B$6/2)^2)-(((104-43)*MAX('Inputs'!$B$33,'Inputs'!$B$29+'Inputs'!$B$31+'Inputs'!$B$32,'Inputs'!$B$30+'Inputs'!$B$31+'Inputs'!$B$32)/1000+'Inputs'!$B$21+'Inputs'!$B$9+'Inputs'!$B$10))/SQRT((((104-43)*MAX('Inputs'!$B$33,'Inputs'!$B$29+'Inputs'!$B$31+'Inputs'!$B$32,'Inputs'!$B$30+'Inputs'!$B$31+'Inputs'!$B$32)/1000+'Inputs'!$B$21+'Inputs'!$B$9+'Inputs'!$B$10))^2+('Inputs'!$B$6/2)^2))))*'Results'!$B$8),"")</x:f>
        <x:v>774.0786992164267</x:v>
      </x:c>
      <x:c r="N104" t="n">
        <x:f>IF(AND(ISNUMBER('Results'!C7),ISNUMBER('Results'!B7),ISNUMBER('Results'!$B$8),ISNUMBER('Inputs'!$B$6),ISNUMBER('Inputs'!$B$7),ISNUMBER('Inputs'!$B$8),ISNUMBER('Inputs'!$B$9),ISNUMBER('Inputs'!$B$10),ISNUMBER('Inputs'!$B$21),ISNUMBER('Inputs'!$B$24),ISNUMBER('Inputs'!$B$28)),((('Results'!C7*(1-'Inputs'!$B$24)*(0.5*((((104-43)*MAX('Inputs'!$B$33,'Inputs'!$B$29+'Inputs'!$B$31+'Inputs'!$B$32,'Inputs'!$B$30+'Inputs'!$B$31+'Inputs'!$B$32)/1000+'Inputs'!$B$21)+'Inputs'!$B$9)/SQRT((((104-43)*MAX('Inputs'!$B$33,'Inputs'!$B$29+'Inputs'!$B$31+'Inputs'!$B$32,'Inputs'!$B$30+'Inputs'!$B$31+'Inputs'!$B$32)/1000+'Inputs'!$B$21)+'Inputs'!$B$9)^2+('Inputs'!$B$8/2)^2)-(((104-43)*MAX('Inputs'!$B$33,'Inputs'!$B$29+'Inputs'!$B$31+'Inputs'!$B$32,'Inputs'!$B$30+'Inputs'!$B$31+'Inputs'!$B$32)/1000+'Inputs'!$B$21))/SQRT((((104-43)*MAX('Inputs'!$B$33,'Inputs'!$B$29+'Inputs'!$B$31+'Inputs'!$B$32,'Inputs'!$B$30+'Inputs'!$B$31+'Inputs'!$B$32)/1000+'Inputs'!$B$21))^2+('Inputs'!$B$8/2)^2)))-'Results'!B7*(1+'Inputs'!$B$24)*(0.5*((((104-43)*MAX('Inputs'!$B$33,'Inputs'!$B$29+'Inputs'!$B$31+'Inputs'!$B$32,'Inputs'!$B$30+'Inputs'!$B$31+'Inputs'!$B$32)/1000+'Inputs'!$B$21+'Inputs'!$B$9+'Inputs'!$B$10)+'Inputs'!$B$7)/SQRT((((104-43)*MAX('Inputs'!$B$33,'Inputs'!$B$29+'Inputs'!$B$31+'Inputs'!$B$32,'Inputs'!$B$30+'Inputs'!$B$31+'Inputs'!$B$32)/1000+'Inputs'!$B$21+'Inputs'!$B$9+'Inputs'!$B$10)+'Inputs'!$B$7)^2+('Inputs'!$B$6/2)^2)-(((104-43)*MAX('Inputs'!$B$33,'Inputs'!$B$29+'Inputs'!$B$31+'Inputs'!$B$32,'Inputs'!$B$30+'Inputs'!$B$31+'Inputs'!$B$32)/1000+'Inputs'!$B$21+'Inputs'!$B$9+'Inputs'!$B$10))/SQRT((((104-43)*MAX('Inputs'!$B$33,'Inputs'!$B$29+'Inputs'!$B$31+'Inputs'!$B$32,'Inputs'!$B$30+'Inputs'!$B$31+'Inputs'!$B$32)/1000+'Inputs'!$B$21+'Inputs'!$B$9+'Inputs'!$B$10))^2+('Inputs'!$B$6/2)^2))))*'Results'!$B$8)-'Inputs'!$B$28*ABS((('Results'!C7*(1-'Inputs'!$B$24)*(0.5*((((104-43)*MAX('Inputs'!$B$33,'Inputs'!$B$29+'Inputs'!$B$31+'Inputs'!$B$32,'Inputs'!$B$30+'Inputs'!$B$31+'Inputs'!$B$32)/1000+'Inputs'!$B$21)+'Inputs'!$B$9)/SQRT((((104-43)*MAX('Inputs'!$B$33,'Inputs'!$B$29+'Inputs'!$B$31+'Inputs'!$B$32,'Inputs'!$B$30+'Inputs'!$B$31+'Inputs'!$B$32)/1000+'Inputs'!$B$21)+'Inputs'!$B$9)^2+('Inputs'!$B$8/2)^2)-(((104-43)*MAX('Inputs'!$B$33,'Inputs'!$B$29+'Inputs'!$B$31+'Inputs'!$B$32,'Inputs'!$B$30+'Inputs'!$B$31+'Inputs'!$B$32)/1000+'Inputs'!$B$21))/SQRT((((104-43)*MAX('Inputs'!$B$33,'Inputs'!$B$29+'Inputs'!$B$31+'Inputs'!$B$32,'Inputs'!$B$30+'Inputs'!$B$31+'Inputs'!$B$32)/1000+'Inputs'!$B$21))^2+('Inputs'!$B$8/2)^2)))-'Results'!B7*(1+'Inputs'!$B$24)*(0.5*((((104-43)*MAX('Inputs'!$B$33,'Inputs'!$B$29+'Inputs'!$B$31+'Inputs'!$B$32,'Inputs'!$B$30+'Inputs'!$B$31+'Inputs'!$B$32)/1000+'Inputs'!$B$21+'Inputs'!$B$9+'Inputs'!$B$10)+'Inputs'!$B$7)/SQRT((((104-43)*MAX('Inputs'!$B$33,'Inputs'!$B$29+'Inputs'!$B$31+'Inputs'!$B$32,'Inputs'!$B$30+'Inputs'!$B$31+'Inputs'!$B$32)/1000+'Inputs'!$B$21+'Inputs'!$B$9+'Inputs'!$B$10)+'Inputs'!$B$7)^2+('Inputs'!$B$6/2)^2)-(((104-43)*MAX('Inputs'!$B$33,'Inputs'!$B$29+'Inputs'!$B$31+'Inputs'!$B$32,'Inputs'!$B$30+'Inputs'!$B$31+'Inputs'!$B$32)/1000+'Inputs'!$B$21+'Inputs'!$B$9+'Inputs'!$B$10))/SQRT((((104-43)*MAX('Inputs'!$B$33,'Inputs'!$B$29+'Inputs'!$B$31+'Inputs'!$B$32,'Inputs'!$B$30+'Inputs'!$B$31+'Inputs'!$B$32)/1000+'Inputs'!$B$21+'Inputs'!$B$9+'Inputs'!$B$10))^2+('Inputs'!$B$6/2)^2))))*'Results'!$B$8))),"")</x:f>
        <x:v>715.2074441593772</x:v>
      </x:c>
      <x:c r="O104" t="n">
        <x:f>IF(AND(ISNUMBER('Results'!C7),ISNUMBER('Results'!B7),ISNUMBER('Results'!$B$8),ISNUMBER('Inputs'!$B$6),ISNUMBER('Inputs'!$B$7),ISNUMBER('Inputs'!$B$8),ISNUMBER('Inputs'!$B$9),ISNUMBER('Inputs'!$B$10),ISNUMBER('Inputs'!$B$21),ISNUMBER('Inputs'!$B$24),ISNUMBER('Inputs'!$B$28)),((('Results'!C7*(1+'Inputs'!$B$24)*(0.5*((((104-43)*MAX('Inputs'!$B$33,'Inputs'!$B$29+'Inputs'!$B$31+'Inputs'!$B$32,'Inputs'!$B$30+'Inputs'!$B$31+'Inputs'!$B$32)/1000+'Inputs'!$B$21)+'Inputs'!$B$9)/SQRT((((104-43)*MAX('Inputs'!$B$33,'Inputs'!$B$29+'Inputs'!$B$31+'Inputs'!$B$32,'Inputs'!$B$30+'Inputs'!$B$31+'Inputs'!$B$32)/1000+'Inputs'!$B$21)+'Inputs'!$B$9)^2+('Inputs'!$B$8/2)^2)-(((104-43)*MAX('Inputs'!$B$33,'Inputs'!$B$29+'Inputs'!$B$31+'Inputs'!$B$32,'Inputs'!$B$30+'Inputs'!$B$31+'Inputs'!$B$32)/1000+'Inputs'!$B$21))/SQRT((((104-43)*MAX('Inputs'!$B$33,'Inputs'!$B$29+'Inputs'!$B$31+'Inputs'!$B$32,'Inputs'!$B$30+'Inputs'!$B$31+'Inputs'!$B$32)/1000+'Inputs'!$B$21))^2+('Inputs'!$B$8/2)^2)))-'Results'!B7*(1-'Inputs'!$B$24)*(0.5*((((104-43)*MAX('Inputs'!$B$33,'Inputs'!$B$29+'Inputs'!$B$31+'Inputs'!$B$32,'Inputs'!$B$30+'Inputs'!$B$31+'Inputs'!$B$32)/1000+'Inputs'!$B$21+'Inputs'!$B$9+'Inputs'!$B$10)+'Inputs'!$B$7)/SQRT((((104-43)*MAX('Inputs'!$B$33,'Inputs'!$B$29+'Inputs'!$B$31+'Inputs'!$B$32,'Inputs'!$B$30+'Inputs'!$B$31+'Inputs'!$B$32)/1000+'Inputs'!$B$21+'Inputs'!$B$9+'Inputs'!$B$10)+'Inputs'!$B$7)^2+('Inputs'!$B$6/2)^2)-(((104-43)*MAX('Inputs'!$B$33,'Inputs'!$B$29+'Inputs'!$B$31+'Inputs'!$B$32,'Inputs'!$B$30+'Inputs'!$B$31+'Inputs'!$B$32)/1000+'Inputs'!$B$21+'Inputs'!$B$9+'Inputs'!$B$10))/SQRT((((104-43)*MAX('Inputs'!$B$33,'Inputs'!$B$29+'Inputs'!$B$31+'Inputs'!$B$32,'Inputs'!$B$30+'Inputs'!$B$31+'Inputs'!$B$32)/1000+'Inputs'!$B$21+'Inputs'!$B$9+'Inputs'!$B$10))^2+('Inputs'!$B$6/2)^2))))*'Results'!$B$8)+'Inputs'!$B$28*ABS((('Results'!C7*(1+'Inputs'!$B$24)*(0.5*((((104-43)*MAX('Inputs'!$B$33,'Inputs'!$B$29+'Inputs'!$B$31+'Inputs'!$B$32,'Inputs'!$B$30+'Inputs'!$B$31+'Inputs'!$B$32)/1000+'Inputs'!$B$21)+'Inputs'!$B$9)/SQRT((((104-43)*MAX('Inputs'!$B$33,'Inputs'!$B$29+'Inputs'!$B$31+'Inputs'!$B$32,'Inputs'!$B$30+'Inputs'!$B$31+'Inputs'!$B$32)/1000+'Inputs'!$B$21)+'Inputs'!$B$9)^2+('Inputs'!$B$8/2)^2)-(((104-43)*MAX('Inputs'!$B$33,'Inputs'!$B$29+'Inputs'!$B$31+'Inputs'!$B$32,'Inputs'!$B$30+'Inputs'!$B$31+'Inputs'!$B$32)/1000+'Inputs'!$B$21))/SQRT((((104-43)*MAX('Inputs'!$B$33,'Inputs'!$B$29+'Inputs'!$B$31+'Inputs'!$B$32,'Inputs'!$B$30+'Inputs'!$B$31+'Inputs'!$B$32)/1000+'Inputs'!$B$21))^2+('Inputs'!$B$8/2)^2)))-'Results'!B7*(1-'Inputs'!$B$24)*(0.5*((((104-43)*MAX('Inputs'!$B$33,'Inputs'!$B$29+'Inputs'!$B$31+'Inputs'!$B$32,'Inputs'!$B$30+'Inputs'!$B$31+'Inputs'!$B$32)/1000+'Inputs'!$B$21+'Inputs'!$B$9+'Inputs'!$B$10)+'Inputs'!$B$7)/SQRT((((104-43)*MAX('Inputs'!$B$33,'Inputs'!$B$29+'Inputs'!$B$31+'Inputs'!$B$32,'Inputs'!$B$30+'Inputs'!$B$31+'Inputs'!$B$32)/1000+'Inputs'!$B$21+'Inputs'!$B$9+'Inputs'!$B$10)+'Inputs'!$B$7)^2+('Inputs'!$B$6/2)^2)-(((104-43)*MAX('Inputs'!$B$33,'Inputs'!$B$29+'Inputs'!$B$31+'Inputs'!$B$32,'Inputs'!$B$30+'Inputs'!$B$31+'Inputs'!$B$32)/1000+'Inputs'!$B$21+'Inputs'!$B$9+'Inputs'!$B$10))/SQRT((((104-43)*MAX('Inputs'!$B$33,'Inputs'!$B$29+'Inputs'!$B$31+'Inputs'!$B$32,'Inputs'!$B$30+'Inputs'!$B$31+'Inputs'!$B$32)/1000+'Inputs'!$B$21+'Inputs'!$B$9+'Inputs'!$B$10))^2+('Inputs'!$B$6/2)^2))))*'Results'!$B$8))),"")</x:f>
        <x:v>835.0728300730792</x:v>
      </x:c>
      <x:c r="P104" t="n">
        <x:f>IF(AND(MAX(J104,J103)&gt;0,J104&gt;J103+0.00000001),1,0)</x:f>
        <x:v>0</x:v>
      </x:c>
      <x:c r="Q104" t="n">
        <x:f>IF(AND(MAX(K104,K103)&gt;0,K104&gt;K103+0.00000001),1,0)</x:f>
        <x:v>0</x:v>
      </x:c>
      <x:c r="R104" t="n">
        <x:f>IF(AND(MAX(L104,L103)&gt;0,L104&gt;L103+0.00000001),1,0)</x:f>
        <x:v>0</x:v>
      </x:c>
      <x:c r="S104" t="n">
        <x:f>IF(AND(MAX(M104,M103)&gt;0,M104&gt;M103+0.00000001),1,0)</x:f>
        <x:v>0</x:v>
      </x:c>
      <x:c r="T104" t="n">
        <x:f>IF(AND(MAX(N104,N103)&gt;0,N104&gt;N103+0.00000001),1,0)</x:f>
        <x:v>0</x:v>
      </x:c>
      <x:c r="U104" t="n">
        <x:f>IF(AND(MAX(O104,O103)&gt;0,O104&gt;O103+0.00000001),1,0)</x:f>
        <x:v>0</x:v>
      </x:c>
    </x:row>
    <x:row r="105">
      <x:c r="J105" t="n">
        <x:f>IF(AND(ISNUMBER('Results'!B7),ISNUMBER('Results'!C7),ISNUMBER('Results'!$B$8),ISNUMBER('Inputs'!$B$6),ISNUMBER('Inputs'!$B$7),ISNUMBER('Inputs'!$B$8),ISNUMBER('Inputs'!$B$9),ISNUMBER('Inputs'!$B$10),ISNUMBER('Inputs'!$B$21),ISNUMBER('Inputs'!$B$24),ISNUMBER('Inputs'!$B$28)),(('Results'!B7*(0.5*((((105-43)*MAX('Inputs'!$B$33,'Inputs'!$B$29+'Inputs'!$B$31+'Inputs'!$B$32,'Inputs'!$B$30+'Inputs'!$B$31+'Inputs'!$B$32)/1000+'Inputs'!$B$21)+'Inputs'!$B$7)/SQRT((((105-43)*MAX('Inputs'!$B$33,'Inputs'!$B$29+'Inputs'!$B$31+'Inputs'!$B$32,'Inputs'!$B$30+'Inputs'!$B$31+'Inputs'!$B$32)/1000+'Inputs'!$B$21)+'Inputs'!$B$7)^2+('Inputs'!$B$6/2)^2)-(((105-43)*MAX('Inputs'!$B$33,'Inputs'!$B$29+'Inputs'!$B$31+'Inputs'!$B$32,'Inputs'!$B$30+'Inputs'!$B$31+'Inputs'!$B$32)/1000+'Inputs'!$B$21))/SQRT((((105-43)*MAX('Inputs'!$B$33,'Inputs'!$B$29+'Inputs'!$B$31+'Inputs'!$B$32,'Inputs'!$B$30+'Inputs'!$B$31+'Inputs'!$B$32)/1000+'Inputs'!$B$21))^2+('Inputs'!$B$6/2)^2)))-'Results'!C7*(0.5*((((105-43)*MAX('Inputs'!$B$33,'Inputs'!$B$29+'Inputs'!$B$31+'Inputs'!$B$32,'Inputs'!$B$30+'Inputs'!$B$31+'Inputs'!$B$32)/1000+'Inputs'!$B$21+'Inputs'!$B$7+'Inputs'!$B$10)+'Inputs'!$B$9)/SQRT((((105-43)*MAX('Inputs'!$B$33,'Inputs'!$B$29+'Inputs'!$B$31+'Inputs'!$B$32,'Inputs'!$B$30+'Inputs'!$B$31+'Inputs'!$B$32)/1000+'Inputs'!$B$21+'Inputs'!$B$7+'Inputs'!$B$10)+'Inputs'!$B$9)^2+('Inputs'!$B$8/2)^2)-(((105-43)*MAX('Inputs'!$B$33,'Inputs'!$B$29+'Inputs'!$B$31+'Inputs'!$B$32,'Inputs'!$B$30+'Inputs'!$B$31+'Inputs'!$B$32)/1000+'Inputs'!$B$21+'Inputs'!$B$7+'Inputs'!$B$10))/SQRT((((105-43)*MAX('Inputs'!$B$33,'Inputs'!$B$29+'Inputs'!$B$31+'Inputs'!$B$32,'Inputs'!$B$30+'Inputs'!$B$31+'Inputs'!$B$32)/1000+'Inputs'!$B$21+'Inputs'!$B$7+'Inputs'!$B$10))^2+('Inputs'!$B$8/2)^2))))*'Results'!$B$8),"")</x:f>
        <x:v>780.1802882578538</x:v>
      </x:c>
      <x:c r="K105" t="n">
        <x:f>IF(AND(ISNUMBER('Results'!B7),ISNUMBER('Results'!C7),ISNUMBER('Results'!$B$8),ISNUMBER('Inputs'!$B$6),ISNUMBER('Inputs'!$B$7),ISNUMBER('Inputs'!$B$8),ISNUMBER('Inputs'!$B$9),ISNUMBER('Inputs'!$B$10),ISNUMBER('Inputs'!$B$21),ISNUMBER('Inputs'!$B$24),ISNUMBER('Inputs'!$B$28)),((('Results'!B7*(1-'Inputs'!$B$24)*(0.5*((((105-43)*MAX('Inputs'!$B$33,'Inputs'!$B$29+'Inputs'!$B$31+'Inputs'!$B$32,'Inputs'!$B$30+'Inputs'!$B$31+'Inputs'!$B$32)/1000+'Inputs'!$B$21)+'Inputs'!$B$7)/SQRT((((105-43)*MAX('Inputs'!$B$33,'Inputs'!$B$29+'Inputs'!$B$31+'Inputs'!$B$32,'Inputs'!$B$30+'Inputs'!$B$31+'Inputs'!$B$32)/1000+'Inputs'!$B$21)+'Inputs'!$B$7)^2+('Inputs'!$B$6/2)^2)-(((105-43)*MAX('Inputs'!$B$33,'Inputs'!$B$29+'Inputs'!$B$31+'Inputs'!$B$32,'Inputs'!$B$30+'Inputs'!$B$31+'Inputs'!$B$32)/1000+'Inputs'!$B$21))/SQRT((((105-43)*MAX('Inputs'!$B$33,'Inputs'!$B$29+'Inputs'!$B$31+'Inputs'!$B$32,'Inputs'!$B$30+'Inputs'!$B$31+'Inputs'!$B$32)/1000+'Inputs'!$B$21))^2+('Inputs'!$B$6/2)^2)))-'Results'!C7*(1+'Inputs'!$B$24)*(0.5*((((105-43)*MAX('Inputs'!$B$33,'Inputs'!$B$29+'Inputs'!$B$31+'Inputs'!$B$32,'Inputs'!$B$30+'Inputs'!$B$31+'Inputs'!$B$32)/1000+'Inputs'!$B$21+'Inputs'!$B$7+'Inputs'!$B$10)+'Inputs'!$B$9)/SQRT((((105-43)*MAX('Inputs'!$B$33,'Inputs'!$B$29+'Inputs'!$B$31+'Inputs'!$B$32,'Inputs'!$B$30+'Inputs'!$B$31+'Inputs'!$B$32)/1000+'Inputs'!$B$21+'Inputs'!$B$7+'Inputs'!$B$10)+'Inputs'!$B$9)^2+('Inputs'!$B$8/2)^2)-(((105-43)*MAX('Inputs'!$B$33,'Inputs'!$B$29+'Inputs'!$B$31+'Inputs'!$B$32,'Inputs'!$B$30+'Inputs'!$B$31+'Inputs'!$B$32)/1000+'Inputs'!$B$21+'Inputs'!$B$7+'Inputs'!$B$10))/SQRT((((105-43)*MAX('Inputs'!$B$33,'Inputs'!$B$29+'Inputs'!$B$31+'Inputs'!$B$32,'Inputs'!$B$30+'Inputs'!$B$31+'Inputs'!$B$32)/1000+'Inputs'!$B$21+'Inputs'!$B$7+'Inputs'!$B$10))^2+('Inputs'!$B$8/2)^2))))*'Results'!$B$8)-'Inputs'!$B$28*ABS((('Results'!B7*(1-'Inputs'!$B$24)*(0.5*((((105-43)*MAX('Inputs'!$B$33,'Inputs'!$B$29+'Inputs'!$B$31+'Inputs'!$B$32,'Inputs'!$B$30+'Inputs'!$B$31+'Inputs'!$B$32)/1000+'Inputs'!$B$21)+'Inputs'!$B$7)/SQRT((((105-43)*MAX('Inputs'!$B$33,'Inputs'!$B$29+'Inputs'!$B$31+'Inputs'!$B$32,'Inputs'!$B$30+'Inputs'!$B$31+'Inputs'!$B$32)/1000+'Inputs'!$B$21)+'Inputs'!$B$7)^2+('Inputs'!$B$6/2)^2)-(((105-43)*MAX('Inputs'!$B$33,'Inputs'!$B$29+'Inputs'!$B$31+'Inputs'!$B$32,'Inputs'!$B$30+'Inputs'!$B$31+'Inputs'!$B$32)/1000+'Inputs'!$B$21))/SQRT((((105-43)*MAX('Inputs'!$B$33,'Inputs'!$B$29+'Inputs'!$B$31+'Inputs'!$B$32,'Inputs'!$B$30+'Inputs'!$B$31+'Inputs'!$B$32)/1000+'Inputs'!$B$21))^2+('Inputs'!$B$6/2)^2)))-'Results'!C7*(1+'Inputs'!$B$24)*(0.5*((((105-43)*MAX('Inputs'!$B$33,'Inputs'!$B$29+'Inputs'!$B$31+'Inputs'!$B$32,'Inputs'!$B$30+'Inputs'!$B$31+'Inputs'!$B$32)/1000+'Inputs'!$B$21+'Inputs'!$B$7+'Inputs'!$B$10)+'Inputs'!$B$9)/SQRT((((105-43)*MAX('Inputs'!$B$33,'Inputs'!$B$29+'Inputs'!$B$31+'Inputs'!$B$32,'Inputs'!$B$30+'Inputs'!$B$31+'Inputs'!$B$32)/1000+'Inputs'!$B$21+'Inputs'!$B$7+'Inputs'!$B$10)+'Inputs'!$B$9)^2+('Inputs'!$B$8/2)^2)-(((105-43)*MAX('Inputs'!$B$33,'Inputs'!$B$29+'Inputs'!$B$31+'Inputs'!$B$32,'Inputs'!$B$30+'Inputs'!$B$31+'Inputs'!$B$32)/1000+'Inputs'!$B$21+'Inputs'!$B$7+'Inputs'!$B$10))/SQRT((((105-43)*MAX('Inputs'!$B$33,'Inputs'!$B$29+'Inputs'!$B$31+'Inputs'!$B$32,'Inputs'!$B$30+'Inputs'!$B$31+'Inputs'!$B$32)/1000+'Inputs'!$B$21+'Inputs'!$B$7+'Inputs'!$B$10))^2+('Inputs'!$B$8/2)^2))))*'Results'!$B$8))),"")</x:f>
        <x:v>721.0676380257768</x:v>
      </x:c>
      <x:c r="L105" t="n">
        <x:f>IF(AND(ISNUMBER('Results'!B7),ISNUMBER('Results'!C7),ISNUMBER('Results'!$B$8),ISNUMBER('Inputs'!$B$6),ISNUMBER('Inputs'!$B$7),ISNUMBER('Inputs'!$B$8),ISNUMBER('Inputs'!$B$9),ISNUMBER('Inputs'!$B$10),ISNUMBER('Inputs'!$B$21),ISNUMBER('Inputs'!$B$24),ISNUMBER('Inputs'!$B$28)),((('Results'!B7*(1+'Inputs'!$B$24)*(0.5*((((105-43)*MAX('Inputs'!$B$33,'Inputs'!$B$29+'Inputs'!$B$31+'Inputs'!$B$32,'Inputs'!$B$30+'Inputs'!$B$31+'Inputs'!$B$32)/1000+'Inputs'!$B$21)+'Inputs'!$B$7)/SQRT((((105-43)*MAX('Inputs'!$B$33,'Inputs'!$B$29+'Inputs'!$B$31+'Inputs'!$B$32,'Inputs'!$B$30+'Inputs'!$B$31+'Inputs'!$B$32)/1000+'Inputs'!$B$21)+'Inputs'!$B$7)^2+('Inputs'!$B$6/2)^2)-(((105-43)*MAX('Inputs'!$B$33,'Inputs'!$B$29+'Inputs'!$B$31+'Inputs'!$B$32,'Inputs'!$B$30+'Inputs'!$B$31+'Inputs'!$B$32)/1000+'Inputs'!$B$21))/SQRT((((105-43)*MAX('Inputs'!$B$33,'Inputs'!$B$29+'Inputs'!$B$31+'Inputs'!$B$32,'Inputs'!$B$30+'Inputs'!$B$31+'Inputs'!$B$32)/1000+'Inputs'!$B$21))^2+('Inputs'!$B$6/2)^2)))-'Results'!C7*(1-'Inputs'!$B$24)*(0.5*((((105-43)*MAX('Inputs'!$B$33,'Inputs'!$B$29+'Inputs'!$B$31+'Inputs'!$B$32,'Inputs'!$B$30+'Inputs'!$B$31+'Inputs'!$B$32)/1000+'Inputs'!$B$21+'Inputs'!$B$7+'Inputs'!$B$10)+'Inputs'!$B$9)/SQRT((((105-43)*MAX('Inputs'!$B$33,'Inputs'!$B$29+'Inputs'!$B$31+'Inputs'!$B$32,'Inputs'!$B$30+'Inputs'!$B$31+'Inputs'!$B$32)/1000+'Inputs'!$B$21+'Inputs'!$B$7+'Inputs'!$B$10)+'Inputs'!$B$9)^2+('Inputs'!$B$8/2)^2)-(((105-43)*MAX('Inputs'!$B$33,'Inputs'!$B$29+'Inputs'!$B$31+'Inputs'!$B$32,'Inputs'!$B$30+'Inputs'!$B$31+'Inputs'!$B$32)/1000+'Inputs'!$B$21+'Inputs'!$B$7+'Inputs'!$B$10))/SQRT((((105-43)*MAX('Inputs'!$B$33,'Inputs'!$B$29+'Inputs'!$B$31+'Inputs'!$B$32,'Inputs'!$B$30+'Inputs'!$B$31+'Inputs'!$B$32)/1000+'Inputs'!$B$21+'Inputs'!$B$7+'Inputs'!$B$10))^2+('Inputs'!$B$8/2)^2))))*'Results'!$B$8)+'Inputs'!$B$28*ABS((('Results'!B7*(1+'Inputs'!$B$24)*(0.5*((((105-43)*MAX('Inputs'!$B$33,'Inputs'!$B$29+'Inputs'!$B$31+'Inputs'!$B$32,'Inputs'!$B$30+'Inputs'!$B$31+'Inputs'!$B$32)/1000+'Inputs'!$B$21)+'Inputs'!$B$7)/SQRT((((105-43)*MAX('Inputs'!$B$33,'Inputs'!$B$29+'Inputs'!$B$31+'Inputs'!$B$32,'Inputs'!$B$30+'Inputs'!$B$31+'Inputs'!$B$32)/1000+'Inputs'!$B$21)+'Inputs'!$B$7)^2+('Inputs'!$B$6/2)^2)-(((105-43)*MAX('Inputs'!$B$33,'Inputs'!$B$29+'Inputs'!$B$31+'Inputs'!$B$32,'Inputs'!$B$30+'Inputs'!$B$31+'Inputs'!$B$32)/1000+'Inputs'!$B$21))/SQRT((((105-43)*MAX('Inputs'!$B$33,'Inputs'!$B$29+'Inputs'!$B$31+'Inputs'!$B$32,'Inputs'!$B$30+'Inputs'!$B$31+'Inputs'!$B$32)/1000+'Inputs'!$B$21))^2+('Inputs'!$B$6/2)^2)))-'Results'!C7*(1-'Inputs'!$B$24)*(0.5*((((105-43)*MAX('Inputs'!$B$33,'Inputs'!$B$29+'Inputs'!$B$31+'Inputs'!$B$32,'Inputs'!$B$30+'Inputs'!$B$31+'Inputs'!$B$32)/1000+'Inputs'!$B$21+'Inputs'!$B$7+'Inputs'!$B$10)+'Inputs'!$B$9)/SQRT((((105-43)*MAX('Inputs'!$B$33,'Inputs'!$B$29+'Inputs'!$B$31+'Inputs'!$B$32,'Inputs'!$B$30+'Inputs'!$B$31+'Inputs'!$B$32)/1000+'Inputs'!$B$21+'Inputs'!$B$7+'Inputs'!$B$10)+'Inputs'!$B$9)^2+('Inputs'!$B$8/2)^2)-(((105-43)*MAX('Inputs'!$B$33,'Inputs'!$B$29+'Inputs'!$B$31+'Inputs'!$B$32,'Inputs'!$B$30+'Inputs'!$B$31+'Inputs'!$B$32)/1000+'Inputs'!$B$21+'Inputs'!$B$7+'Inputs'!$B$10))/SQRT((((105-43)*MAX('Inputs'!$B$33,'Inputs'!$B$29+'Inputs'!$B$31+'Inputs'!$B$32,'Inputs'!$B$30+'Inputs'!$B$31+'Inputs'!$B$32)/1000+'Inputs'!$B$21+'Inputs'!$B$7+'Inputs'!$B$10))^2+('Inputs'!$B$8/2)^2))))*'Results'!$B$8))),"")</x:f>
        <x:v>841.4091106814237</x:v>
      </x:c>
      <x:c r="M105" t="n">
        <x:f>IF(AND(ISNUMBER('Results'!C7),ISNUMBER('Results'!B7),ISNUMBER('Results'!$B$8),ISNUMBER('Inputs'!$B$6),ISNUMBER('Inputs'!$B$7),ISNUMBER('Inputs'!$B$8),ISNUMBER('Inputs'!$B$9),ISNUMBER('Inputs'!$B$10),ISNUMBER('Inputs'!$B$21),ISNUMBER('Inputs'!$B$24),ISNUMBER('Inputs'!$B$28)),(('Results'!C7*(0.5*((((105-43)*MAX('Inputs'!$B$33,'Inputs'!$B$29+'Inputs'!$B$31+'Inputs'!$B$32,'Inputs'!$B$30+'Inputs'!$B$31+'Inputs'!$B$32)/1000+'Inputs'!$B$21)+'Inputs'!$B$9)/SQRT((((105-43)*MAX('Inputs'!$B$33,'Inputs'!$B$29+'Inputs'!$B$31+'Inputs'!$B$32,'Inputs'!$B$30+'Inputs'!$B$31+'Inputs'!$B$32)/1000+'Inputs'!$B$21)+'Inputs'!$B$9)^2+('Inputs'!$B$8/2)^2)-(((105-43)*MAX('Inputs'!$B$33,'Inputs'!$B$29+'Inputs'!$B$31+'Inputs'!$B$32,'Inputs'!$B$30+'Inputs'!$B$31+'Inputs'!$B$32)/1000+'Inputs'!$B$21))/SQRT((((105-43)*MAX('Inputs'!$B$33,'Inputs'!$B$29+'Inputs'!$B$31+'Inputs'!$B$32,'Inputs'!$B$30+'Inputs'!$B$31+'Inputs'!$B$32)/1000+'Inputs'!$B$21))^2+('Inputs'!$B$8/2)^2)))-'Results'!B7*(0.5*((((105-43)*MAX('Inputs'!$B$33,'Inputs'!$B$29+'Inputs'!$B$31+'Inputs'!$B$32,'Inputs'!$B$30+'Inputs'!$B$31+'Inputs'!$B$32)/1000+'Inputs'!$B$21+'Inputs'!$B$9+'Inputs'!$B$10)+'Inputs'!$B$7)/SQRT((((105-43)*MAX('Inputs'!$B$33,'Inputs'!$B$29+'Inputs'!$B$31+'Inputs'!$B$32,'Inputs'!$B$30+'Inputs'!$B$31+'Inputs'!$B$32)/1000+'Inputs'!$B$21+'Inputs'!$B$9+'Inputs'!$B$10)+'Inputs'!$B$7)^2+('Inputs'!$B$6/2)^2)-(((105-43)*MAX('Inputs'!$B$33,'Inputs'!$B$29+'Inputs'!$B$31+'Inputs'!$B$32,'Inputs'!$B$30+'Inputs'!$B$31+'Inputs'!$B$32)/1000+'Inputs'!$B$21+'Inputs'!$B$9+'Inputs'!$B$10))/SQRT((((105-43)*MAX('Inputs'!$B$33,'Inputs'!$B$29+'Inputs'!$B$31+'Inputs'!$B$32,'Inputs'!$B$30+'Inputs'!$B$31+'Inputs'!$B$32)/1000+'Inputs'!$B$21+'Inputs'!$B$9+'Inputs'!$B$10))^2+('Inputs'!$B$6/2)^2))))*'Results'!$B$8),"")</x:f>
        <x:v>758.9618508720068</x:v>
      </x:c>
      <x:c r="N105" t="n">
        <x:f>IF(AND(ISNUMBER('Results'!C7),ISNUMBER('Results'!B7),ISNUMBER('Results'!$B$8),ISNUMBER('Inputs'!$B$6),ISNUMBER('Inputs'!$B$7),ISNUMBER('Inputs'!$B$8),ISNUMBER('Inputs'!$B$9),ISNUMBER('Inputs'!$B$10),ISNUMBER('Inputs'!$B$21),ISNUMBER('Inputs'!$B$24),ISNUMBER('Inputs'!$B$28)),((('Results'!C7*(1-'Inputs'!$B$24)*(0.5*((((105-43)*MAX('Inputs'!$B$33,'Inputs'!$B$29+'Inputs'!$B$31+'Inputs'!$B$32,'Inputs'!$B$30+'Inputs'!$B$31+'Inputs'!$B$32)/1000+'Inputs'!$B$21)+'Inputs'!$B$9)/SQRT((((105-43)*MAX('Inputs'!$B$33,'Inputs'!$B$29+'Inputs'!$B$31+'Inputs'!$B$32,'Inputs'!$B$30+'Inputs'!$B$31+'Inputs'!$B$32)/1000+'Inputs'!$B$21)+'Inputs'!$B$9)^2+('Inputs'!$B$8/2)^2)-(((105-43)*MAX('Inputs'!$B$33,'Inputs'!$B$29+'Inputs'!$B$31+'Inputs'!$B$32,'Inputs'!$B$30+'Inputs'!$B$31+'Inputs'!$B$32)/1000+'Inputs'!$B$21))/SQRT((((105-43)*MAX('Inputs'!$B$33,'Inputs'!$B$29+'Inputs'!$B$31+'Inputs'!$B$32,'Inputs'!$B$30+'Inputs'!$B$31+'Inputs'!$B$32)/1000+'Inputs'!$B$21))^2+('Inputs'!$B$8/2)^2)))-'Results'!B7*(1+'Inputs'!$B$24)*(0.5*((((105-43)*MAX('Inputs'!$B$33,'Inputs'!$B$29+'Inputs'!$B$31+'Inputs'!$B$32,'Inputs'!$B$30+'Inputs'!$B$31+'Inputs'!$B$32)/1000+'Inputs'!$B$21+'Inputs'!$B$9+'Inputs'!$B$10)+'Inputs'!$B$7)/SQRT((((105-43)*MAX('Inputs'!$B$33,'Inputs'!$B$29+'Inputs'!$B$31+'Inputs'!$B$32,'Inputs'!$B$30+'Inputs'!$B$31+'Inputs'!$B$32)/1000+'Inputs'!$B$21+'Inputs'!$B$9+'Inputs'!$B$10)+'Inputs'!$B$7)^2+('Inputs'!$B$6/2)^2)-(((105-43)*MAX('Inputs'!$B$33,'Inputs'!$B$29+'Inputs'!$B$31+'Inputs'!$B$32,'Inputs'!$B$30+'Inputs'!$B$31+'Inputs'!$B$32)/1000+'Inputs'!$B$21+'Inputs'!$B$9+'Inputs'!$B$10))/SQRT((((105-43)*MAX('Inputs'!$B$33,'Inputs'!$B$29+'Inputs'!$B$31+'Inputs'!$B$32,'Inputs'!$B$30+'Inputs'!$B$31+'Inputs'!$B$32)/1000+'Inputs'!$B$21+'Inputs'!$B$9+'Inputs'!$B$10))^2+('Inputs'!$B$6/2)^2))))*'Results'!$B$8)-'Inputs'!$B$28*ABS((('Results'!C7*(1-'Inputs'!$B$24)*(0.5*((((105-43)*MAX('Inputs'!$B$33,'Inputs'!$B$29+'Inputs'!$B$31+'Inputs'!$B$32,'Inputs'!$B$30+'Inputs'!$B$31+'Inputs'!$B$32)/1000+'Inputs'!$B$21)+'Inputs'!$B$9)/SQRT((((105-43)*MAX('Inputs'!$B$33,'Inputs'!$B$29+'Inputs'!$B$31+'Inputs'!$B$32,'Inputs'!$B$30+'Inputs'!$B$31+'Inputs'!$B$32)/1000+'Inputs'!$B$21)+'Inputs'!$B$9)^2+('Inputs'!$B$8/2)^2)-(((105-43)*MAX('Inputs'!$B$33,'Inputs'!$B$29+'Inputs'!$B$31+'Inputs'!$B$32,'Inputs'!$B$30+'Inputs'!$B$31+'Inputs'!$B$32)/1000+'Inputs'!$B$21))/SQRT((((105-43)*MAX('Inputs'!$B$33,'Inputs'!$B$29+'Inputs'!$B$31+'Inputs'!$B$32,'Inputs'!$B$30+'Inputs'!$B$31+'Inputs'!$B$32)/1000+'Inputs'!$B$21))^2+('Inputs'!$B$8/2)^2)))-'Results'!B7*(1+'Inputs'!$B$24)*(0.5*((((105-43)*MAX('Inputs'!$B$33,'Inputs'!$B$29+'Inputs'!$B$31+'Inputs'!$B$32,'Inputs'!$B$30+'Inputs'!$B$31+'Inputs'!$B$32)/1000+'Inputs'!$B$21+'Inputs'!$B$9+'Inputs'!$B$10)+'Inputs'!$B$7)/SQRT((((105-43)*MAX('Inputs'!$B$33,'Inputs'!$B$29+'Inputs'!$B$31+'Inputs'!$B$32,'Inputs'!$B$30+'Inputs'!$B$31+'Inputs'!$B$32)/1000+'Inputs'!$B$21+'Inputs'!$B$9+'Inputs'!$B$10)+'Inputs'!$B$7)^2+('Inputs'!$B$6/2)^2)-(((105-43)*MAX('Inputs'!$B$33,'Inputs'!$B$29+'Inputs'!$B$31+'Inputs'!$B$32,'Inputs'!$B$30+'Inputs'!$B$31+'Inputs'!$B$32)/1000+'Inputs'!$B$21+'Inputs'!$B$9+'Inputs'!$B$10))/SQRT((((105-43)*MAX('Inputs'!$B$33,'Inputs'!$B$29+'Inputs'!$B$31+'Inputs'!$B$32,'Inputs'!$B$30+'Inputs'!$B$31+'Inputs'!$B$32)/1000+'Inputs'!$B$21+'Inputs'!$B$9+'Inputs'!$B$10))^2+('Inputs'!$B$6/2)^2))))*'Results'!$B$8))),"")</x:f>
        <x:v>701.2055134248127</x:v>
      </x:c>
      <x:c r="O105" t="n">
        <x:f>IF(AND(ISNUMBER('Results'!C7),ISNUMBER('Results'!B7),ISNUMBER('Results'!$B$8),ISNUMBER('Inputs'!$B$6),ISNUMBER('Inputs'!$B$7),ISNUMBER('Inputs'!$B$8),ISNUMBER('Inputs'!$B$9),ISNUMBER('Inputs'!$B$10),ISNUMBER('Inputs'!$B$21),ISNUMBER('Inputs'!$B$24),ISNUMBER('Inputs'!$B$28)),((('Results'!C7*(1+'Inputs'!$B$24)*(0.5*((((105-43)*MAX('Inputs'!$B$33,'Inputs'!$B$29+'Inputs'!$B$31+'Inputs'!$B$32,'Inputs'!$B$30+'Inputs'!$B$31+'Inputs'!$B$32)/1000+'Inputs'!$B$21)+'Inputs'!$B$9)/SQRT((((105-43)*MAX('Inputs'!$B$33,'Inputs'!$B$29+'Inputs'!$B$31+'Inputs'!$B$32,'Inputs'!$B$30+'Inputs'!$B$31+'Inputs'!$B$32)/1000+'Inputs'!$B$21)+'Inputs'!$B$9)^2+('Inputs'!$B$8/2)^2)-(((105-43)*MAX('Inputs'!$B$33,'Inputs'!$B$29+'Inputs'!$B$31+'Inputs'!$B$32,'Inputs'!$B$30+'Inputs'!$B$31+'Inputs'!$B$32)/1000+'Inputs'!$B$21))/SQRT((((105-43)*MAX('Inputs'!$B$33,'Inputs'!$B$29+'Inputs'!$B$31+'Inputs'!$B$32,'Inputs'!$B$30+'Inputs'!$B$31+'Inputs'!$B$32)/1000+'Inputs'!$B$21))^2+('Inputs'!$B$8/2)^2)))-'Results'!B7*(1-'Inputs'!$B$24)*(0.5*((((105-43)*MAX('Inputs'!$B$33,'Inputs'!$B$29+'Inputs'!$B$31+'Inputs'!$B$32,'Inputs'!$B$30+'Inputs'!$B$31+'Inputs'!$B$32)/1000+'Inputs'!$B$21+'Inputs'!$B$9+'Inputs'!$B$10)+'Inputs'!$B$7)/SQRT((((105-43)*MAX('Inputs'!$B$33,'Inputs'!$B$29+'Inputs'!$B$31+'Inputs'!$B$32,'Inputs'!$B$30+'Inputs'!$B$31+'Inputs'!$B$32)/1000+'Inputs'!$B$21+'Inputs'!$B$9+'Inputs'!$B$10)+'Inputs'!$B$7)^2+('Inputs'!$B$6/2)^2)-(((105-43)*MAX('Inputs'!$B$33,'Inputs'!$B$29+'Inputs'!$B$31+'Inputs'!$B$32,'Inputs'!$B$30+'Inputs'!$B$31+'Inputs'!$B$32)/1000+'Inputs'!$B$21+'Inputs'!$B$9+'Inputs'!$B$10))/SQRT((((105-43)*MAX('Inputs'!$B$33,'Inputs'!$B$29+'Inputs'!$B$31+'Inputs'!$B$32,'Inputs'!$B$30+'Inputs'!$B$31+'Inputs'!$B$32)/1000+'Inputs'!$B$21+'Inputs'!$B$9+'Inputs'!$B$10))^2+('Inputs'!$B$6/2)^2))))*'Results'!$B$8)+'Inputs'!$B$28*ABS((('Results'!C7*(1+'Inputs'!$B$24)*(0.5*((((105-43)*MAX('Inputs'!$B$33,'Inputs'!$B$29+'Inputs'!$B$31+'Inputs'!$B$32,'Inputs'!$B$30+'Inputs'!$B$31+'Inputs'!$B$32)/1000+'Inputs'!$B$21)+'Inputs'!$B$9)/SQRT((((105-43)*MAX('Inputs'!$B$33,'Inputs'!$B$29+'Inputs'!$B$31+'Inputs'!$B$32,'Inputs'!$B$30+'Inputs'!$B$31+'Inputs'!$B$32)/1000+'Inputs'!$B$21)+'Inputs'!$B$9)^2+('Inputs'!$B$8/2)^2)-(((105-43)*MAX('Inputs'!$B$33,'Inputs'!$B$29+'Inputs'!$B$31+'Inputs'!$B$32,'Inputs'!$B$30+'Inputs'!$B$31+'Inputs'!$B$32)/1000+'Inputs'!$B$21))/SQRT((((105-43)*MAX('Inputs'!$B$33,'Inputs'!$B$29+'Inputs'!$B$31+'Inputs'!$B$32,'Inputs'!$B$30+'Inputs'!$B$31+'Inputs'!$B$32)/1000+'Inputs'!$B$21))^2+('Inputs'!$B$8/2)^2)))-'Results'!B7*(1-'Inputs'!$B$24)*(0.5*((((105-43)*MAX('Inputs'!$B$33,'Inputs'!$B$29+'Inputs'!$B$31+'Inputs'!$B$32,'Inputs'!$B$30+'Inputs'!$B$31+'Inputs'!$B$32)/1000+'Inputs'!$B$21+'Inputs'!$B$9+'Inputs'!$B$10)+'Inputs'!$B$7)/SQRT((((105-43)*MAX('Inputs'!$B$33,'Inputs'!$B$29+'Inputs'!$B$31+'Inputs'!$B$32,'Inputs'!$B$30+'Inputs'!$B$31+'Inputs'!$B$32)/1000+'Inputs'!$B$21+'Inputs'!$B$9+'Inputs'!$B$10)+'Inputs'!$B$7)^2+('Inputs'!$B$6/2)^2)-(((105-43)*MAX('Inputs'!$B$33,'Inputs'!$B$29+'Inputs'!$B$31+'Inputs'!$B$32,'Inputs'!$B$30+'Inputs'!$B$31+'Inputs'!$B$32)/1000+'Inputs'!$B$21+'Inputs'!$B$9+'Inputs'!$B$10))/SQRT((((105-43)*MAX('Inputs'!$B$33,'Inputs'!$B$29+'Inputs'!$B$31+'Inputs'!$B$32,'Inputs'!$B$30+'Inputs'!$B$31+'Inputs'!$B$32)/1000+'Inputs'!$B$21+'Inputs'!$B$9+'Inputs'!$B$10))^2+('Inputs'!$B$6/2)^2))))*'Results'!$B$8))),"")</x:f>
        <x:v>818.8032667301056</x:v>
      </x:c>
      <x:c r="P105" t="n">
        <x:f>IF(AND(MAX(J105,J104)&gt;0,J105&gt;J104+0.00000001),1,0)</x:f>
        <x:v>0</x:v>
      </x:c>
      <x:c r="Q105" t="n">
        <x:f>IF(AND(MAX(K105,K104)&gt;0,K105&gt;K104+0.00000001),1,0)</x:f>
        <x:v>0</x:v>
      </x:c>
      <x:c r="R105" t="n">
        <x:f>IF(AND(MAX(L105,L104)&gt;0,L105&gt;L104+0.00000001),1,0)</x:f>
        <x:v>0</x:v>
      </x:c>
      <x:c r="S105" t="n">
        <x:f>IF(AND(MAX(M105,M104)&gt;0,M105&gt;M104+0.00000001),1,0)</x:f>
        <x:v>0</x:v>
      </x:c>
      <x:c r="T105" t="n">
        <x:f>IF(AND(MAX(N105,N104)&gt;0,N105&gt;N104+0.00000001),1,0)</x:f>
        <x:v>0</x:v>
      </x:c>
      <x:c r="U105" t="n">
        <x:f>IF(AND(MAX(O105,O104)&gt;0,O105&gt;O104+0.00000001),1,0)</x:f>
        <x:v>0</x:v>
      </x:c>
    </x:row>
    <x:row r="106">
      <x:c r="J106" t="n">
        <x:f>IF(AND(ISNUMBER('Results'!B7),ISNUMBER('Results'!C7),ISNUMBER('Results'!$B$8),ISNUMBER('Inputs'!$B$6),ISNUMBER('Inputs'!$B$7),ISNUMBER('Inputs'!$B$8),ISNUMBER('Inputs'!$B$9),ISNUMBER('Inputs'!$B$10),ISNUMBER('Inputs'!$B$21),ISNUMBER('Inputs'!$B$24),ISNUMBER('Inputs'!$B$28)),(('Results'!B7*(0.5*((((106-43)*MAX('Inputs'!$B$33,'Inputs'!$B$29+'Inputs'!$B$31+'Inputs'!$B$32,'Inputs'!$B$30+'Inputs'!$B$31+'Inputs'!$B$32)/1000+'Inputs'!$B$21)+'Inputs'!$B$7)/SQRT((((106-43)*MAX('Inputs'!$B$33,'Inputs'!$B$29+'Inputs'!$B$31+'Inputs'!$B$32,'Inputs'!$B$30+'Inputs'!$B$31+'Inputs'!$B$32)/1000+'Inputs'!$B$21)+'Inputs'!$B$7)^2+('Inputs'!$B$6/2)^2)-(((106-43)*MAX('Inputs'!$B$33,'Inputs'!$B$29+'Inputs'!$B$31+'Inputs'!$B$32,'Inputs'!$B$30+'Inputs'!$B$31+'Inputs'!$B$32)/1000+'Inputs'!$B$21))/SQRT((((106-43)*MAX('Inputs'!$B$33,'Inputs'!$B$29+'Inputs'!$B$31+'Inputs'!$B$32,'Inputs'!$B$30+'Inputs'!$B$31+'Inputs'!$B$32)/1000+'Inputs'!$B$21))^2+('Inputs'!$B$6/2)^2)))-'Results'!C7*(0.5*((((106-43)*MAX('Inputs'!$B$33,'Inputs'!$B$29+'Inputs'!$B$31+'Inputs'!$B$32,'Inputs'!$B$30+'Inputs'!$B$31+'Inputs'!$B$32)/1000+'Inputs'!$B$21+'Inputs'!$B$7+'Inputs'!$B$10)+'Inputs'!$B$9)/SQRT((((106-43)*MAX('Inputs'!$B$33,'Inputs'!$B$29+'Inputs'!$B$31+'Inputs'!$B$32,'Inputs'!$B$30+'Inputs'!$B$31+'Inputs'!$B$32)/1000+'Inputs'!$B$21+'Inputs'!$B$7+'Inputs'!$B$10)+'Inputs'!$B$9)^2+('Inputs'!$B$8/2)^2)-(((106-43)*MAX('Inputs'!$B$33,'Inputs'!$B$29+'Inputs'!$B$31+'Inputs'!$B$32,'Inputs'!$B$30+'Inputs'!$B$31+'Inputs'!$B$32)/1000+'Inputs'!$B$21+'Inputs'!$B$7+'Inputs'!$B$10))/SQRT((((106-43)*MAX('Inputs'!$B$33,'Inputs'!$B$29+'Inputs'!$B$31+'Inputs'!$B$32,'Inputs'!$B$30+'Inputs'!$B$31+'Inputs'!$B$32)/1000+'Inputs'!$B$21+'Inputs'!$B$7+'Inputs'!$B$10))^2+('Inputs'!$B$8/2)^2))))*'Results'!$B$8),"")</x:f>
        <x:v>764.962778527559</x:v>
      </x:c>
      <x:c r="K106" t="n">
        <x:f>IF(AND(ISNUMBER('Results'!B7),ISNUMBER('Results'!C7),ISNUMBER('Results'!$B$8),ISNUMBER('Inputs'!$B$6),ISNUMBER('Inputs'!$B$7),ISNUMBER('Inputs'!$B$8),ISNUMBER('Inputs'!$B$9),ISNUMBER('Inputs'!$B$10),ISNUMBER('Inputs'!$B$21),ISNUMBER('Inputs'!$B$24),ISNUMBER('Inputs'!$B$28)),((('Results'!B7*(1-'Inputs'!$B$24)*(0.5*((((106-43)*MAX('Inputs'!$B$33,'Inputs'!$B$29+'Inputs'!$B$31+'Inputs'!$B$32,'Inputs'!$B$30+'Inputs'!$B$31+'Inputs'!$B$32)/1000+'Inputs'!$B$21)+'Inputs'!$B$7)/SQRT((((106-43)*MAX('Inputs'!$B$33,'Inputs'!$B$29+'Inputs'!$B$31+'Inputs'!$B$32,'Inputs'!$B$30+'Inputs'!$B$31+'Inputs'!$B$32)/1000+'Inputs'!$B$21)+'Inputs'!$B$7)^2+('Inputs'!$B$6/2)^2)-(((106-43)*MAX('Inputs'!$B$33,'Inputs'!$B$29+'Inputs'!$B$31+'Inputs'!$B$32,'Inputs'!$B$30+'Inputs'!$B$31+'Inputs'!$B$32)/1000+'Inputs'!$B$21))/SQRT((((106-43)*MAX('Inputs'!$B$33,'Inputs'!$B$29+'Inputs'!$B$31+'Inputs'!$B$32,'Inputs'!$B$30+'Inputs'!$B$31+'Inputs'!$B$32)/1000+'Inputs'!$B$21))^2+('Inputs'!$B$6/2)^2)))-'Results'!C7*(1+'Inputs'!$B$24)*(0.5*((((106-43)*MAX('Inputs'!$B$33,'Inputs'!$B$29+'Inputs'!$B$31+'Inputs'!$B$32,'Inputs'!$B$30+'Inputs'!$B$31+'Inputs'!$B$32)/1000+'Inputs'!$B$21+'Inputs'!$B$7+'Inputs'!$B$10)+'Inputs'!$B$9)/SQRT((((106-43)*MAX('Inputs'!$B$33,'Inputs'!$B$29+'Inputs'!$B$31+'Inputs'!$B$32,'Inputs'!$B$30+'Inputs'!$B$31+'Inputs'!$B$32)/1000+'Inputs'!$B$21+'Inputs'!$B$7+'Inputs'!$B$10)+'Inputs'!$B$9)^2+('Inputs'!$B$8/2)^2)-(((106-43)*MAX('Inputs'!$B$33,'Inputs'!$B$29+'Inputs'!$B$31+'Inputs'!$B$32,'Inputs'!$B$30+'Inputs'!$B$31+'Inputs'!$B$32)/1000+'Inputs'!$B$21+'Inputs'!$B$7+'Inputs'!$B$10))/SQRT((((106-43)*MAX('Inputs'!$B$33,'Inputs'!$B$29+'Inputs'!$B$31+'Inputs'!$B$32,'Inputs'!$B$30+'Inputs'!$B$31+'Inputs'!$B$32)/1000+'Inputs'!$B$21+'Inputs'!$B$7+'Inputs'!$B$10))^2+('Inputs'!$B$8/2)^2))))*'Results'!$B$8)-'Inputs'!$B$28*ABS((('Results'!B7*(1-'Inputs'!$B$24)*(0.5*((((106-43)*MAX('Inputs'!$B$33,'Inputs'!$B$29+'Inputs'!$B$31+'Inputs'!$B$32,'Inputs'!$B$30+'Inputs'!$B$31+'Inputs'!$B$32)/1000+'Inputs'!$B$21)+'Inputs'!$B$7)/SQRT((((106-43)*MAX('Inputs'!$B$33,'Inputs'!$B$29+'Inputs'!$B$31+'Inputs'!$B$32,'Inputs'!$B$30+'Inputs'!$B$31+'Inputs'!$B$32)/1000+'Inputs'!$B$21)+'Inputs'!$B$7)^2+('Inputs'!$B$6/2)^2)-(((106-43)*MAX('Inputs'!$B$33,'Inputs'!$B$29+'Inputs'!$B$31+'Inputs'!$B$32,'Inputs'!$B$30+'Inputs'!$B$31+'Inputs'!$B$32)/1000+'Inputs'!$B$21))/SQRT((((106-43)*MAX('Inputs'!$B$33,'Inputs'!$B$29+'Inputs'!$B$31+'Inputs'!$B$32,'Inputs'!$B$30+'Inputs'!$B$31+'Inputs'!$B$32)/1000+'Inputs'!$B$21))^2+('Inputs'!$B$6/2)^2)))-'Results'!C7*(1+'Inputs'!$B$24)*(0.5*((((106-43)*MAX('Inputs'!$B$33,'Inputs'!$B$29+'Inputs'!$B$31+'Inputs'!$B$32,'Inputs'!$B$30+'Inputs'!$B$31+'Inputs'!$B$32)/1000+'Inputs'!$B$21+'Inputs'!$B$7+'Inputs'!$B$10)+'Inputs'!$B$9)/SQRT((((106-43)*MAX('Inputs'!$B$33,'Inputs'!$B$29+'Inputs'!$B$31+'Inputs'!$B$32,'Inputs'!$B$30+'Inputs'!$B$31+'Inputs'!$B$32)/1000+'Inputs'!$B$21+'Inputs'!$B$7+'Inputs'!$B$10)+'Inputs'!$B$9)^2+('Inputs'!$B$8/2)^2)-(((106-43)*MAX('Inputs'!$B$33,'Inputs'!$B$29+'Inputs'!$B$31+'Inputs'!$B$32,'Inputs'!$B$30+'Inputs'!$B$31+'Inputs'!$B$32)/1000+'Inputs'!$B$21+'Inputs'!$B$7+'Inputs'!$B$10))/SQRT((((106-43)*MAX('Inputs'!$B$33,'Inputs'!$B$29+'Inputs'!$B$31+'Inputs'!$B$32,'Inputs'!$B$30+'Inputs'!$B$31+'Inputs'!$B$32)/1000+'Inputs'!$B$21+'Inputs'!$B$7+'Inputs'!$B$10))^2+('Inputs'!$B$8/2)^2))))*'Results'!$B$8))),"")</x:f>
        <x:v>706.9693733758755</x:v>
      </x:c>
      <x:c r="L106" t="n">
        <x:f>IF(AND(ISNUMBER('Results'!B7),ISNUMBER('Results'!C7),ISNUMBER('Results'!$B$8),ISNUMBER('Inputs'!$B$6),ISNUMBER('Inputs'!$B$7),ISNUMBER('Inputs'!$B$8),ISNUMBER('Inputs'!$B$9),ISNUMBER('Inputs'!$B$10),ISNUMBER('Inputs'!$B$21),ISNUMBER('Inputs'!$B$24),ISNUMBER('Inputs'!$B$28)),((('Results'!B7*(1+'Inputs'!$B$24)*(0.5*((((106-43)*MAX('Inputs'!$B$33,'Inputs'!$B$29+'Inputs'!$B$31+'Inputs'!$B$32,'Inputs'!$B$30+'Inputs'!$B$31+'Inputs'!$B$32)/1000+'Inputs'!$B$21)+'Inputs'!$B$7)/SQRT((((106-43)*MAX('Inputs'!$B$33,'Inputs'!$B$29+'Inputs'!$B$31+'Inputs'!$B$32,'Inputs'!$B$30+'Inputs'!$B$31+'Inputs'!$B$32)/1000+'Inputs'!$B$21)+'Inputs'!$B$7)^2+('Inputs'!$B$6/2)^2)-(((106-43)*MAX('Inputs'!$B$33,'Inputs'!$B$29+'Inputs'!$B$31+'Inputs'!$B$32,'Inputs'!$B$30+'Inputs'!$B$31+'Inputs'!$B$32)/1000+'Inputs'!$B$21))/SQRT((((106-43)*MAX('Inputs'!$B$33,'Inputs'!$B$29+'Inputs'!$B$31+'Inputs'!$B$32,'Inputs'!$B$30+'Inputs'!$B$31+'Inputs'!$B$32)/1000+'Inputs'!$B$21))^2+('Inputs'!$B$6/2)^2)))-'Results'!C7*(1-'Inputs'!$B$24)*(0.5*((((106-43)*MAX('Inputs'!$B$33,'Inputs'!$B$29+'Inputs'!$B$31+'Inputs'!$B$32,'Inputs'!$B$30+'Inputs'!$B$31+'Inputs'!$B$32)/1000+'Inputs'!$B$21+'Inputs'!$B$7+'Inputs'!$B$10)+'Inputs'!$B$9)/SQRT((((106-43)*MAX('Inputs'!$B$33,'Inputs'!$B$29+'Inputs'!$B$31+'Inputs'!$B$32,'Inputs'!$B$30+'Inputs'!$B$31+'Inputs'!$B$32)/1000+'Inputs'!$B$21+'Inputs'!$B$7+'Inputs'!$B$10)+'Inputs'!$B$9)^2+('Inputs'!$B$8/2)^2)-(((106-43)*MAX('Inputs'!$B$33,'Inputs'!$B$29+'Inputs'!$B$31+'Inputs'!$B$32,'Inputs'!$B$30+'Inputs'!$B$31+'Inputs'!$B$32)/1000+'Inputs'!$B$21+'Inputs'!$B$7+'Inputs'!$B$10))/SQRT((((106-43)*MAX('Inputs'!$B$33,'Inputs'!$B$29+'Inputs'!$B$31+'Inputs'!$B$32,'Inputs'!$B$30+'Inputs'!$B$31+'Inputs'!$B$32)/1000+'Inputs'!$B$21+'Inputs'!$B$7+'Inputs'!$B$10))^2+('Inputs'!$B$8/2)^2))))*'Results'!$B$8)+'Inputs'!$B$28*ABS((('Results'!B7*(1+'Inputs'!$B$24)*(0.5*((((106-43)*MAX('Inputs'!$B$33,'Inputs'!$B$29+'Inputs'!$B$31+'Inputs'!$B$32,'Inputs'!$B$30+'Inputs'!$B$31+'Inputs'!$B$32)/1000+'Inputs'!$B$21)+'Inputs'!$B$7)/SQRT((((106-43)*MAX('Inputs'!$B$33,'Inputs'!$B$29+'Inputs'!$B$31+'Inputs'!$B$32,'Inputs'!$B$30+'Inputs'!$B$31+'Inputs'!$B$32)/1000+'Inputs'!$B$21)+'Inputs'!$B$7)^2+('Inputs'!$B$6/2)^2)-(((106-43)*MAX('Inputs'!$B$33,'Inputs'!$B$29+'Inputs'!$B$31+'Inputs'!$B$32,'Inputs'!$B$30+'Inputs'!$B$31+'Inputs'!$B$32)/1000+'Inputs'!$B$21))/SQRT((((106-43)*MAX('Inputs'!$B$33,'Inputs'!$B$29+'Inputs'!$B$31+'Inputs'!$B$32,'Inputs'!$B$30+'Inputs'!$B$31+'Inputs'!$B$32)/1000+'Inputs'!$B$21))^2+('Inputs'!$B$6/2)^2)))-'Results'!C7*(1-'Inputs'!$B$24)*(0.5*((((106-43)*MAX('Inputs'!$B$33,'Inputs'!$B$29+'Inputs'!$B$31+'Inputs'!$B$32,'Inputs'!$B$30+'Inputs'!$B$31+'Inputs'!$B$32)/1000+'Inputs'!$B$21+'Inputs'!$B$7+'Inputs'!$B$10)+'Inputs'!$B$9)/SQRT((((106-43)*MAX('Inputs'!$B$33,'Inputs'!$B$29+'Inputs'!$B$31+'Inputs'!$B$32,'Inputs'!$B$30+'Inputs'!$B$31+'Inputs'!$B$32)/1000+'Inputs'!$B$21+'Inputs'!$B$7+'Inputs'!$B$10)+'Inputs'!$B$9)^2+('Inputs'!$B$8/2)^2)-(((106-43)*MAX('Inputs'!$B$33,'Inputs'!$B$29+'Inputs'!$B$31+'Inputs'!$B$32,'Inputs'!$B$30+'Inputs'!$B$31+'Inputs'!$B$32)/1000+'Inputs'!$B$21+'Inputs'!$B$7+'Inputs'!$B$10))/SQRT((((106-43)*MAX('Inputs'!$B$33,'Inputs'!$B$29+'Inputs'!$B$31+'Inputs'!$B$32,'Inputs'!$B$30+'Inputs'!$B$31+'Inputs'!$B$32)/1000+'Inputs'!$B$21+'Inputs'!$B$7+'Inputs'!$B$10))^2+('Inputs'!$B$8/2)^2))))*'Results'!$B$8))),"")</x:f>
        <x:v>825.0346327555903</x:v>
      </x:c>
      <x:c r="M106" t="n">
        <x:f>IF(AND(ISNUMBER('Results'!C7),ISNUMBER('Results'!B7),ISNUMBER('Results'!$B$8),ISNUMBER('Inputs'!$B$6),ISNUMBER('Inputs'!$B$7),ISNUMBER('Inputs'!$B$8),ISNUMBER('Inputs'!$B$9),ISNUMBER('Inputs'!$B$10),ISNUMBER('Inputs'!$B$21),ISNUMBER('Inputs'!$B$24),ISNUMBER('Inputs'!$B$28)),(('Results'!C7*(0.5*((((106-43)*MAX('Inputs'!$B$33,'Inputs'!$B$29+'Inputs'!$B$31+'Inputs'!$B$32,'Inputs'!$B$30+'Inputs'!$B$31+'Inputs'!$B$32)/1000+'Inputs'!$B$21)+'Inputs'!$B$9)/SQRT((((106-43)*MAX('Inputs'!$B$33,'Inputs'!$B$29+'Inputs'!$B$31+'Inputs'!$B$32,'Inputs'!$B$30+'Inputs'!$B$31+'Inputs'!$B$32)/1000+'Inputs'!$B$21)+'Inputs'!$B$9)^2+('Inputs'!$B$8/2)^2)-(((106-43)*MAX('Inputs'!$B$33,'Inputs'!$B$29+'Inputs'!$B$31+'Inputs'!$B$32,'Inputs'!$B$30+'Inputs'!$B$31+'Inputs'!$B$32)/1000+'Inputs'!$B$21))/SQRT((((106-43)*MAX('Inputs'!$B$33,'Inputs'!$B$29+'Inputs'!$B$31+'Inputs'!$B$32,'Inputs'!$B$30+'Inputs'!$B$31+'Inputs'!$B$32)/1000+'Inputs'!$B$21))^2+('Inputs'!$B$8/2)^2)))-'Results'!B7*(0.5*((((106-43)*MAX('Inputs'!$B$33,'Inputs'!$B$29+'Inputs'!$B$31+'Inputs'!$B$32,'Inputs'!$B$30+'Inputs'!$B$31+'Inputs'!$B$32)/1000+'Inputs'!$B$21+'Inputs'!$B$9+'Inputs'!$B$10)+'Inputs'!$B$7)/SQRT((((106-43)*MAX('Inputs'!$B$33,'Inputs'!$B$29+'Inputs'!$B$31+'Inputs'!$B$32,'Inputs'!$B$30+'Inputs'!$B$31+'Inputs'!$B$32)/1000+'Inputs'!$B$21+'Inputs'!$B$9+'Inputs'!$B$10)+'Inputs'!$B$7)^2+('Inputs'!$B$6/2)^2)-(((106-43)*MAX('Inputs'!$B$33,'Inputs'!$B$29+'Inputs'!$B$31+'Inputs'!$B$32,'Inputs'!$B$30+'Inputs'!$B$31+'Inputs'!$B$32)/1000+'Inputs'!$B$21+'Inputs'!$B$9+'Inputs'!$B$10))/SQRT((((106-43)*MAX('Inputs'!$B$33,'Inputs'!$B$29+'Inputs'!$B$31+'Inputs'!$B$32,'Inputs'!$B$30+'Inputs'!$B$31+'Inputs'!$B$32)/1000+'Inputs'!$B$21+'Inputs'!$B$9+'Inputs'!$B$10))^2+('Inputs'!$B$6/2)^2))))*'Results'!$B$8),"")</x:f>
        <x:v>744.1223159763965</x:v>
      </x:c>
      <x:c r="N106" t="n">
        <x:f>IF(AND(ISNUMBER('Results'!C7),ISNUMBER('Results'!B7),ISNUMBER('Results'!$B$8),ISNUMBER('Inputs'!$B$6),ISNUMBER('Inputs'!$B$7),ISNUMBER('Inputs'!$B$8),ISNUMBER('Inputs'!$B$9),ISNUMBER('Inputs'!$B$10),ISNUMBER('Inputs'!$B$21),ISNUMBER('Inputs'!$B$24),ISNUMBER('Inputs'!$B$28)),((('Results'!C7*(1-'Inputs'!$B$24)*(0.5*((((106-43)*MAX('Inputs'!$B$33,'Inputs'!$B$29+'Inputs'!$B$31+'Inputs'!$B$32,'Inputs'!$B$30+'Inputs'!$B$31+'Inputs'!$B$32)/1000+'Inputs'!$B$21)+'Inputs'!$B$9)/SQRT((((106-43)*MAX('Inputs'!$B$33,'Inputs'!$B$29+'Inputs'!$B$31+'Inputs'!$B$32,'Inputs'!$B$30+'Inputs'!$B$31+'Inputs'!$B$32)/1000+'Inputs'!$B$21)+'Inputs'!$B$9)^2+('Inputs'!$B$8/2)^2)-(((106-43)*MAX('Inputs'!$B$33,'Inputs'!$B$29+'Inputs'!$B$31+'Inputs'!$B$32,'Inputs'!$B$30+'Inputs'!$B$31+'Inputs'!$B$32)/1000+'Inputs'!$B$21))/SQRT((((106-43)*MAX('Inputs'!$B$33,'Inputs'!$B$29+'Inputs'!$B$31+'Inputs'!$B$32,'Inputs'!$B$30+'Inputs'!$B$31+'Inputs'!$B$32)/1000+'Inputs'!$B$21))^2+('Inputs'!$B$8/2)^2)))-'Results'!B7*(1+'Inputs'!$B$24)*(0.5*((((106-43)*MAX('Inputs'!$B$33,'Inputs'!$B$29+'Inputs'!$B$31+'Inputs'!$B$32,'Inputs'!$B$30+'Inputs'!$B$31+'Inputs'!$B$32)/1000+'Inputs'!$B$21+'Inputs'!$B$9+'Inputs'!$B$10)+'Inputs'!$B$7)/SQRT((((106-43)*MAX('Inputs'!$B$33,'Inputs'!$B$29+'Inputs'!$B$31+'Inputs'!$B$32,'Inputs'!$B$30+'Inputs'!$B$31+'Inputs'!$B$32)/1000+'Inputs'!$B$21+'Inputs'!$B$9+'Inputs'!$B$10)+'Inputs'!$B$7)^2+('Inputs'!$B$6/2)^2)-(((106-43)*MAX('Inputs'!$B$33,'Inputs'!$B$29+'Inputs'!$B$31+'Inputs'!$B$32,'Inputs'!$B$30+'Inputs'!$B$31+'Inputs'!$B$32)/1000+'Inputs'!$B$21+'Inputs'!$B$9+'Inputs'!$B$10))/SQRT((((106-43)*MAX('Inputs'!$B$33,'Inputs'!$B$29+'Inputs'!$B$31+'Inputs'!$B$32,'Inputs'!$B$30+'Inputs'!$B$31+'Inputs'!$B$32)/1000+'Inputs'!$B$21+'Inputs'!$B$9+'Inputs'!$B$10))^2+('Inputs'!$B$6/2)^2))))*'Results'!$B$8)-'Inputs'!$B$28*ABS((('Results'!C7*(1-'Inputs'!$B$24)*(0.5*((((106-43)*MAX('Inputs'!$B$33,'Inputs'!$B$29+'Inputs'!$B$31+'Inputs'!$B$32,'Inputs'!$B$30+'Inputs'!$B$31+'Inputs'!$B$32)/1000+'Inputs'!$B$21)+'Inputs'!$B$9)/SQRT((((106-43)*MAX('Inputs'!$B$33,'Inputs'!$B$29+'Inputs'!$B$31+'Inputs'!$B$32,'Inputs'!$B$30+'Inputs'!$B$31+'Inputs'!$B$32)/1000+'Inputs'!$B$21)+'Inputs'!$B$9)^2+('Inputs'!$B$8/2)^2)-(((106-43)*MAX('Inputs'!$B$33,'Inputs'!$B$29+'Inputs'!$B$31+'Inputs'!$B$32,'Inputs'!$B$30+'Inputs'!$B$31+'Inputs'!$B$32)/1000+'Inputs'!$B$21))/SQRT((((106-43)*MAX('Inputs'!$B$33,'Inputs'!$B$29+'Inputs'!$B$31+'Inputs'!$B$32,'Inputs'!$B$30+'Inputs'!$B$31+'Inputs'!$B$32)/1000+'Inputs'!$B$21))^2+('Inputs'!$B$8/2)^2)))-'Results'!B7*(1+'Inputs'!$B$24)*(0.5*((((106-43)*MAX('Inputs'!$B$33,'Inputs'!$B$29+'Inputs'!$B$31+'Inputs'!$B$32,'Inputs'!$B$30+'Inputs'!$B$31+'Inputs'!$B$32)/1000+'Inputs'!$B$21+'Inputs'!$B$9+'Inputs'!$B$10)+'Inputs'!$B$7)/SQRT((((106-43)*MAX('Inputs'!$B$33,'Inputs'!$B$29+'Inputs'!$B$31+'Inputs'!$B$32,'Inputs'!$B$30+'Inputs'!$B$31+'Inputs'!$B$32)/1000+'Inputs'!$B$21+'Inputs'!$B$9+'Inputs'!$B$10)+'Inputs'!$B$7)^2+('Inputs'!$B$6/2)^2)-(((106-43)*MAX('Inputs'!$B$33,'Inputs'!$B$29+'Inputs'!$B$31+'Inputs'!$B$32,'Inputs'!$B$30+'Inputs'!$B$31+'Inputs'!$B$32)/1000+'Inputs'!$B$21+'Inputs'!$B$9+'Inputs'!$B$10))/SQRT((((106-43)*MAX('Inputs'!$B$33,'Inputs'!$B$29+'Inputs'!$B$31+'Inputs'!$B$32,'Inputs'!$B$30+'Inputs'!$B$31+'Inputs'!$B$32)/1000+'Inputs'!$B$21+'Inputs'!$B$9+'Inputs'!$B$10))^2+('Inputs'!$B$6/2)^2))))*'Results'!$B$8))),"")</x:f>
        <x:v>687.4605563441457</x:v>
      </x:c>
      <x:c r="O106" t="n">
        <x:f>IF(AND(ISNUMBER('Results'!C7),ISNUMBER('Results'!B7),ISNUMBER('Results'!$B$8),ISNUMBER('Inputs'!$B$6),ISNUMBER('Inputs'!$B$7),ISNUMBER('Inputs'!$B$8),ISNUMBER('Inputs'!$B$9),ISNUMBER('Inputs'!$B$10),ISNUMBER('Inputs'!$B$21),ISNUMBER('Inputs'!$B$24),ISNUMBER('Inputs'!$B$28)),((('Results'!C7*(1+'Inputs'!$B$24)*(0.5*((((106-43)*MAX('Inputs'!$B$33,'Inputs'!$B$29+'Inputs'!$B$31+'Inputs'!$B$32,'Inputs'!$B$30+'Inputs'!$B$31+'Inputs'!$B$32)/1000+'Inputs'!$B$21)+'Inputs'!$B$9)/SQRT((((106-43)*MAX('Inputs'!$B$33,'Inputs'!$B$29+'Inputs'!$B$31+'Inputs'!$B$32,'Inputs'!$B$30+'Inputs'!$B$31+'Inputs'!$B$32)/1000+'Inputs'!$B$21)+'Inputs'!$B$9)^2+('Inputs'!$B$8/2)^2)-(((106-43)*MAX('Inputs'!$B$33,'Inputs'!$B$29+'Inputs'!$B$31+'Inputs'!$B$32,'Inputs'!$B$30+'Inputs'!$B$31+'Inputs'!$B$32)/1000+'Inputs'!$B$21))/SQRT((((106-43)*MAX('Inputs'!$B$33,'Inputs'!$B$29+'Inputs'!$B$31+'Inputs'!$B$32,'Inputs'!$B$30+'Inputs'!$B$31+'Inputs'!$B$32)/1000+'Inputs'!$B$21))^2+('Inputs'!$B$8/2)^2)))-'Results'!B7*(1-'Inputs'!$B$24)*(0.5*((((106-43)*MAX('Inputs'!$B$33,'Inputs'!$B$29+'Inputs'!$B$31+'Inputs'!$B$32,'Inputs'!$B$30+'Inputs'!$B$31+'Inputs'!$B$32)/1000+'Inputs'!$B$21+'Inputs'!$B$9+'Inputs'!$B$10)+'Inputs'!$B$7)/SQRT((((106-43)*MAX('Inputs'!$B$33,'Inputs'!$B$29+'Inputs'!$B$31+'Inputs'!$B$32,'Inputs'!$B$30+'Inputs'!$B$31+'Inputs'!$B$32)/1000+'Inputs'!$B$21+'Inputs'!$B$9+'Inputs'!$B$10)+'Inputs'!$B$7)^2+('Inputs'!$B$6/2)^2)-(((106-43)*MAX('Inputs'!$B$33,'Inputs'!$B$29+'Inputs'!$B$31+'Inputs'!$B$32,'Inputs'!$B$30+'Inputs'!$B$31+'Inputs'!$B$32)/1000+'Inputs'!$B$21+'Inputs'!$B$9+'Inputs'!$B$10))/SQRT((((106-43)*MAX('Inputs'!$B$33,'Inputs'!$B$29+'Inputs'!$B$31+'Inputs'!$B$32,'Inputs'!$B$30+'Inputs'!$B$31+'Inputs'!$B$32)/1000+'Inputs'!$B$21+'Inputs'!$B$9+'Inputs'!$B$10))^2+('Inputs'!$B$6/2)^2))))*'Results'!$B$8)+'Inputs'!$B$28*ABS((('Results'!C7*(1+'Inputs'!$B$24)*(0.5*((((106-43)*MAX('Inputs'!$B$33,'Inputs'!$B$29+'Inputs'!$B$31+'Inputs'!$B$32,'Inputs'!$B$30+'Inputs'!$B$31+'Inputs'!$B$32)/1000+'Inputs'!$B$21)+'Inputs'!$B$9)/SQRT((((106-43)*MAX('Inputs'!$B$33,'Inputs'!$B$29+'Inputs'!$B$31+'Inputs'!$B$32,'Inputs'!$B$30+'Inputs'!$B$31+'Inputs'!$B$32)/1000+'Inputs'!$B$21)+'Inputs'!$B$9)^2+('Inputs'!$B$8/2)^2)-(((106-43)*MAX('Inputs'!$B$33,'Inputs'!$B$29+'Inputs'!$B$31+'Inputs'!$B$32,'Inputs'!$B$30+'Inputs'!$B$31+'Inputs'!$B$32)/1000+'Inputs'!$B$21))/SQRT((((106-43)*MAX('Inputs'!$B$33,'Inputs'!$B$29+'Inputs'!$B$31+'Inputs'!$B$32,'Inputs'!$B$30+'Inputs'!$B$31+'Inputs'!$B$32)/1000+'Inputs'!$B$21))^2+('Inputs'!$B$8/2)^2)))-'Results'!B7*(1-'Inputs'!$B$24)*(0.5*((((106-43)*MAX('Inputs'!$B$33,'Inputs'!$B$29+'Inputs'!$B$31+'Inputs'!$B$32,'Inputs'!$B$30+'Inputs'!$B$31+'Inputs'!$B$32)/1000+'Inputs'!$B$21+'Inputs'!$B$9+'Inputs'!$B$10)+'Inputs'!$B$7)/SQRT((((106-43)*MAX('Inputs'!$B$33,'Inputs'!$B$29+'Inputs'!$B$31+'Inputs'!$B$32,'Inputs'!$B$30+'Inputs'!$B$31+'Inputs'!$B$32)/1000+'Inputs'!$B$21+'Inputs'!$B$9+'Inputs'!$B$10)+'Inputs'!$B$7)^2+('Inputs'!$B$6/2)^2)-(((106-43)*MAX('Inputs'!$B$33,'Inputs'!$B$29+'Inputs'!$B$31+'Inputs'!$B$32,'Inputs'!$B$30+'Inputs'!$B$31+'Inputs'!$B$32)/1000+'Inputs'!$B$21+'Inputs'!$B$9+'Inputs'!$B$10))/SQRT((((106-43)*MAX('Inputs'!$B$33,'Inputs'!$B$29+'Inputs'!$B$31+'Inputs'!$B$32,'Inputs'!$B$30+'Inputs'!$B$31+'Inputs'!$B$32)/1000+'Inputs'!$B$21+'Inputs'!$B$9+'Inputs'!$B$10))^2+('Inputs'!$B$6/2)^2))))*'Results'!$B$8))),"")</x:f>
        <x:v>802.8320381174296</x:v>
      </x:c>
      <x:c r="P106" t="n">
        <x:f>IF(AND(MAX(J106,J105)&gt;0,J106&gt;J105+0.00000001),1,0)</x:f>
        <x:v>0</x:v>
      </x:c>
      <x:c r="Q106" t="n">
        <x:f>IF(AND(MAX(K106,K105)&gt;0,K106&gt;K105+0.00000001),1,0)</x:f>
        <x:v>0</x:v>
      </x:c>
      <x:c r="R106" t="n">
        <x:f>IF(AND(MAX(L106,L105)&gt;0,L106&gt;L105+0.00000001),1,0)</x:f>
        <x:v>0</x:v>
      </x:c>
      <x:c r="S106" t="n">
        <x:f>IF(AND(MAX(M106,M105)&gt;0,M106&gt;M105+0.00000001),1,0)</x:f>
        <x:v>0</x:v>
      </x:c>
      <x:c r="T106" t="n">
        <x:f>IF(AND(MAX(N106,N105)&gt;0,N106&gt;N105+0.00000001),1,0)</x:f>
        <x:v>0</x:v>
      </x:c>
      <x:c r="U106" t="n">
        <x:f>IF(AND(MAX(O106,O105)&gt;0,O106&gt;O105+0.00000001),1,0)</x:f>
        <x:v>0</x:v>
      </x:c>
    </x:row>
    <x:row r="107">
      <x:c r="J107" t="n">
        <x:f>IF(AND(ISNUMBER('Results'!B7),ISNUMBER('Results'!C7),ISNUMBER('Results'!$B$8),ISNUMBER('Inputs'!$B$6),ISNUMBER('Inputs'!$B$7),ISNUMBER('Inputs'!$B$8),ISNUMBER('Inputs'!$B$9),ISNUMBER('Inputs'!$B$10),ISNUMBER('Inputs'!$B$21),ISNUMBER('Inputs'!$B$24),ISNUMBER('Inputs'!$B$28)),(('Results'!B7*(0.5*((((107-43)*MAX('Inputs'!$B$33,'Inputs'!$B$29+'Inputs'!$B$31+'Inputs'!$B$32,'Inputs'!$B$30+'Inputs'!$B$31+'Inputs'!$B$32)/1000+'Inputs'!$B$21)+'Inputs'!$B$7)/SQRT((((107-43)*MAX('Inputs'!$B$33,'Inputs'!$B$29+'Inputs'!$B$31+'Inputs'!$B$32,'Inputs'!$B$30+'Inputs'!$B$31+'Inputs'!$B$32)/1000+'Inputs'!$B$21)+'Inputs'!$B$7)^2+('Inputs'!$B$6/2)^2)-(((107-43)*MAX('Inputs'!$B$33,'Inputs'!$B$29+'Inputs'!$B$31+'Inputs'!$B$32,'Inputs'!$B$30+'Inputs'!$B$31+'Inputs'!$B$32)/1000+'Inputs'!$B$21))/SQRT((((107-43)*MAX('Inputs'!$B$33,'Inputs'!$B$29+'Inputs'!$B$31+'Inputs'!$B$32,'Inputs'!$B$30+'Inputs'!$B$31+'Inputs'!$B$32)/1000+'Inputs'!$B$21))^2+('Inputs'!$B$6/2)^2)))-'Results'!C7*(0.5*((((107-43)*MAX('Inputs'!$B$33,'Inputs'!$B$29+'Inputs'!$B$31+'Inputs'!$B$32,'Inputs'!$B$30+'Inputs'!$B$31+'Inputs'!$B$32)/1000+'Inputs'!$B$21+'Inputs'!$B$7+'Inputs'!$B$10)+'Inputs'!$B$9)/SQRT((((107-43)*MAX('Inputs'!$B$33,'Inputs'!$B$29+'Inputs'!$B$31+'Inputs'!$B$32,'Inputs'!$B$30+'Inputs'!$B$31+'Inputs'!$B$32)/1000+'Inputs'!$B$21+'Inputs'!$B$7+'Inputs'!$B$10)+'Inputs'!$B$9)^2+('Inputs'!$B$8/2)^2)-(((107-43)*MAX('Inputs'!$B$33,'Inputs'!$B$29+'Inputs'!$B$31+'Inputs'!$B$32,'Inputs'!$B$30+'Inputs'!$B$31+'Inputs'!$B$32)/1000+'Inputs'!$B$21+'Inputs'!$B$7+'Inputs'!$B$10))/SQRT((((107-43)*MAX('Inputs'!$B$33,'Inputs'!$B$29+'Inputs'!$B$31+'Inputs'!$B$32,'Inputs'!$B$30+'Inputs'!$B$31+'Inputs'!$B$32)/1000+'Inputs'!$B$21+'Inputs'!$B$7+'Inputs'!$B$10))^2+('Inputs'!$B$8/2)^2))))*'Results'!$B$8),"")</x:f>
        <x:v>750.0272882018279</x:v>
      </x:c>
      <x:c r="K107" t="n">
        <x:f>IF(AND(ISNUMBER('Results'!B7),ISNUMBER('Results'!C7),ISNUMBER('Results'!$B$8),ISNUMBER('Inputs'!$B$6),ISNUMBER('Inputs'!$B$7),ISNUMBER('Inputs'!$B$8),ISNUMBER('Inputs'!$B$9),ISNUMBER('Inputs'!$B$10),ISNUMBER('Inputs'!$B$21),ISNUMBER('Inputs'!$B$24),ISNUMBER('Inputs'!$B$28)),((('Results'!B7*(1-'Inputs'!$B$24)*(0.5*((((107-43)*MAX('Inputs'!$B$33,'Inputs'!$B$29+'Inputs'!$B$31+'Inputs'!$B$32,'Inputs'!$B$30+'Inputs'!$B$31+'Inputs'!$B$32)/1000+'Inputs'!$B$21)+'Inputs'!$B$7)/SQRT((((107-43)*MAX('Inputs'!$B$33,'Inputs'!$B$29+'Inputs'!$B$31+'Inputs'!$B$32,'Inputs'!$B$30+'Inputs'!$B$31+'Inputs'!$B$32)/1000+'Inputs'!$B$21)+'Inputs'!$B$7)^2+('Inputs'!$B$6/2)^2)-(((107-43)*MAX('Inputs'!$B$33,'Inputs'!$B$29+'Inputs'!$B$31+'Inputs'!$B$32,'Inputs'!$B$30+'Inputs'!$B$31+'Inputs'!$B$32)/1000+'Inputs'!$B$21))/SQRT((((107-43)*MAX('Inputs'!$B$33,'Inputs'!$B$29+'Inputs'!$B$31+'Inputs'!$B$32,'Inputs'!$B$30+'Inputs'!$B$31+'Inputs'!$B$32)/1000+'Inputs'!$B$21))^2+('Inputs'!$B$6/2)^2)))-'Results'!C7*(1+'Inputs'!$B$24)*(0.5*((((107-43)*MAX('Inputs'!$B$33,'Inputs'!$B$29+'Inputs'!$B$31+'Inputs'!$B$32,'Inputs'!$B$30+'Inputs'!$B$31+'Inputs'!$B$32)/1000+'Inputs'!$B$21+'Inputs'!$B$7+'Inputs'!$B$10)+'Inputs'!$B$9)/SQRT((((107-43)*MAX('Inputs'!$B$33,'Inputs'!$B$29+'Inputs'!$B$31+'Inputs'!$B$32,'Inputs'!$B$30+'Inputs'!$B$31+'Inputs'!$B$32)/1000+'Inputs'!$B$21+'Inputs'!$B$7+'Inputs'!$B$10)+'Inputs'!$B$9)^2+('Inputs'!$B$8/2)^2)-(((107-43)*MAX('Inputs'!$B$33,'Inputs'!$B$29+'Inputs'!$B$31+'Inputs'!$B$32,'Inputs'!$B$30+'Inputs'!$B$31+'Inputs'!$B$32)/1000+'Inputs'!$B$21+'Inputs'!$B$7+'Inputs'!$B$10))/SQRT((((107-43)*MAX('Inputs'!$B$33,'Inputs'!$B$29+'Inputs'!$B$31+'Inputs'!$B$32,'Inputs'!$B$30+'Inputs'!$B$31+'Inputs'!$B$32)/1000+'Inputs'!$B$21+'Inputs'!$B$7+'Inputs'!$B$10))^2+('Inputs'!$B$8/2)^2))))*'Results'!$B$8)-'Inputs'!$B$28*ABS((('Results'!B7*(1-'Inputs'!$B$24)*(0.5*((((107-43)*MAX('Inputs'!$B$33,'Inputs'!$B$29+'Inputs'!$B$31+'Inputs'!$B$32,'Inputs'!$B$30+'Inputs'!$B$31+'Inputs'!$B$32)/1000+'Inputs'!$B$21)+'Inputs'!$B$7)/SQRT((((107-43)*MAX('Inputs'!$B$33,'Inputs'!$B$29+'Inputs'!$B$31+'Inputs'!$B$32,'Inputs'!$B$30+'Inputs'!$B$31+'Inputs'!$B$32)/1000+'Inputs'!$B$21)+'Inputs'!$B$7)^2+('Inputs'!$B$6/2)^2)-(((107-43)*MAX('Inputs'!$B$33,'Inputs'!$B$29+'Inputs'!$B$31+'Inputs'!$B$32,'Inputs'!$B$30+'Inputs'!$B$31+'Inputs'!$B$32)/1000+'Inputs'!$B$21))/SQRT((((107-43)*MAX('Inputs'!$B$33,'Inputs'!$B$29+'Inputs'!$B$31+'Inputs'!$B$32,'Inputs'!$B$30+'Inputs'!$B$31+'Inputs'!$B$32)/1000+'Inputs'!$B$21))^2+('Inputs'!$B$6/2)^2)))-'Results'!C7*(1+'Inputs'!$B$24)*(0.5*((((107-43)*MAX('Inputs'!$B$33,'Inputs'!$B$29+'Inputs'!$B$31+'Inputs'!$B$32,'Inputs'!$B$30+'Inputs'!$B$31+'Inputs'!$B$32)/1000+'Inputs'!$B$21+'Inputs'!$B$7+'Inputs'!$B$10)+'Inputs'!$B$9)/SQRT((((107-43)*MAX('Inputs'!$B$33,'Inputs'!$B$29+'Inputs'!$B$31+'Inputs'!$B$32,'Inputs'!$B$30+'Inputs'!$B$31+'Inputs'!$B$32)/1000+'Inputs'!$B$21+'Inputs'!$B$7+'Inputs'!$B$10)+'Inputs'!$B$9)^2+('Inputs'!$B$8/2)^2)-(((107-43)*MAX('Inputs'!$B$33,'Inputs'!$B$29+'Inputs'!$B$31+'Inputs'!$B$32,'Inputs'!$B$30+'Inputs'!$B$31+'Inputs'!$B$32)/1000+'Inputs'!$B$21+'Inputs'!$B$7+'Inputs'!$B$10))/SQRT((((107-43)*MAX('Inputs'!$B$33,'Inputs'!$B$29+'Inputs'!$B$31+'Inputs'!$B$32,'Inputs'!$B$30+'Inputs'!$B$31+'Inputs'!$B$32)/1000+'Inputs'!$B$21+'Inputs'!$B$7+'Inputs'!$B$10))^2+('Inputs'!$B$8/2)^2))))*'Results'!$B$8))),"")</x:f>
        <x:v>693.1325112537695</x:v>
      </x:c>
      <x:c r="L107" t="n">
        <x:f>IF(AND(ISNUMBER('Results'!B7),ISNUMBER('Results'!C7),ISNUMBER('Results'!$B$8),ISNUMBER('Inputs'!$B$6),ISNUMBER('Inputs'!$B$7),ISNUMBER('Inputs'!$B$8),ISNUMBER('Inputs'!$B$9),ISNUMBER('Inputs'!$B$10),ISNUMBER('Inputs'!$B$21),ISNUMBER('Inputs'!$B$24),ISNUMBER('Inputs'!$B$28)),((('Results'!B7*(1+'Inputs'!$B$24)*(0.5*((((107-43)*MAX('Inputs'!$B$33,'Inputs'!$B$29+'Inputs'!$B$31+'Inputs'!$B$32,'Inputs'!$B$30+'Inputs'!$B$31+'Inputs'!$B$32)/1000+'Inputs'!$B$21)+'Inputs'!$B$7)/SQRT((((107-43)*MAX('Inputs'!$B$33,'Inputs'!$B$29+'Inputs'!$B$31+'Inputs'!$B$32,'Inputs'!$B$30+'Inputs'!$B$31+'Inputs'!$B$32)/1000+'Inputs'!$B$21)+'Inputs'!$B$7)^2+('Inputs'!$B$6/2)^2)-(((107-43)*MAX('Inputs'!$B$33,'Inputs'!$B$29+'Inputs'!$B$31+'Inputs'!$B$32,'Inputs'!$B$30+'Inputs'!$B$31+'Inputs'!$B$32)/1000+'Inputs'!$B$21))/SQRT((((107-43)*MAX('Inputs'!$B$33,'Inputs'!$B$29+'Inputs'!$B$31+'Inputs'!$B$32,'Inputs'!$B$30+'Inputs'!$B$31+'Inputs'!$B$32)/1000+'Inputs'!$B$21))^2+('Inputs'!$B$6/2)^2)))-'Results'!C7*(1-'Inputs'!$B$24)*(0.5*((((107-43)*MAX('Inputs'!$B$33,'Inputs'!$B$29+'Inputs'!$B$31+'Inputs'!$B$32,'Inputs'!$B$30+'Inputs'!$B$31+'Inputs'!$B$32)/1000+'Inputs'!$B$21+'Inputs'!$B$7+'Inputs'!$B$10)+'Inputs'!$B$9)/SQRT((((107-43)*MAX('Inputs'!$B$33,'Inputs'!$B$29+'Inputs'!$B$31+'Inputs'!$B$32,'Inputs'!$B$30+'Inputs'!$B$31+'Inputs'!$B$32)/1000+'Inputs'!$B$21+'Inputs'!$B$7+'Inputs'!$B$10)+'Inputs'!$B$9)^2+('Inputs'!$B$8/2)^2)-(((107-43)*MAX('Inputs'!$B$33,'Inputs'!$B$29+'Inputs'!$B$31+'Inputs'!$B$32,'Inputs'!$B$30+'Inputs'!$B$31+'Inputs'!$B$32)/1000+'Inputs'!$B$21+'Inputs'!$B$7+'Inputs'!$B$10))/SQRT((((107-43)*MAX('Inputs'!$B$33,'Inputs'!$B$29+'Inputs'!$B$31+'Inputs'!$B$32,'Inputs'!$B$30+'Inputs'!$B$31+'Inputs'!$B$32)/1000+'Inputs'!$B$21+'Inputs'!$B$7+'Inputs'!$B$10))^2+('Inputs'!$B$8/2)^2))))*'Results'!$B$8)+'Inputs'!$B$28*ABS((('Results'!B7*(1+'Inputs'!$B$24)*(0.5*((((107-43)*MAX('Inputs'!$B$33,'Inputs'!$B$29+'Inputs'!$B$31+'Inputs'!$B$32,'Inputs'!$B$30+'Inputs'!$B$31+'Inputs'!$B$32)/1000+'Inputs'!$B$21)+'Inputs'!$B$7)/SQRT((((107-43)*MAX('Inputs'!$B$33,'Inputs'!$B$29+'Inputs'!$B$31+'Inputs'!$B$32,'Inputs'!$B$30+'Inputs'!$B$31+'Inputs'!$B$32)/1000+'Inputs'!$B$21)+'Inputs'!$B$7)^2+('Inputs'!$B$6/2)^2)-(((107-43)*MAX('Inputs'!$B$33,'Inputs'!$B$29+'Inputs'!$B$31+'Inputs'!$B$32,'Inputs'!$B$30+'Inputs'!$B$31+'Inputs'!$B$32)/1000+'Inputs'!$B$21))/SQRT((((107-43)*MAX('Inputs'!$B$33,'Inputs'!$B$29+'Inputs'!$B$31+'Inputs'!$B$32,'Inputs'!$B$30+'Inputs'!$B$31+'Inputs'!$B$32)/1000+'Inputs'!$B$21))^2+('Inputs'!$B$6/2)^2)))-'Results'!C7*(1-'Inputs'!$B$24)*(0.5*((((107-43)*MAX('Inputs'!$B$33,'Inputs'!$B$29+'Inputs'!$B$31+'Inputs'!$B$32,'Inputs'!$B$30+'Inputs'!$B$31+'Inputs'!$B$32)/1000+'Inputs'!$B$21+'Inputs'!$B$7+'Inputs'!$B$10)+'Inputs'!$B$9)/SQRT((((107-43)*MAX('Inputs'!$B$33,'Inputs'!$B$29+'Inputs'!$B$31+'Inputs'!$B$32,'Inputs'!$B$30+'Inputs'!$B$31+'Inputs'!$B$32)/1000+'Inputs'!$B$21+'Inputs'!$B$7+'Inputs'!$B$10)+'Inputs'!$B$9)^2+('Inputs'!$B$8/2)^2)-(((107-43)*MAX('Inputs'!$B$33,'Inputs'!$B$29+'Inputs'!$B$31+'Inputs'!$B$32,'Inputs'!$B$30+'Inputs'!$B$31+'Inputs'!$B$32)/1000+'Inputs'!$B$21+'Inputs'!$B$7+'Inputs'!$B$10))/SQRT((((107-43)*MAX('Inputs'!$B$33,'Inputs'!$B$29+'Inputs'!$B$31+'Inputs'!$B$32,'Inputs'!$B$30+'Inputs'!$B$31+'Inputs'!$B$32)/1000+'Inputs'!$B$21+'Inputs'!$B$7+'Inputs'!$B$10))^2+('Inputs'!$B$8/2)^2))))*'Results'!$B$8))),"")</x:f>
        <x:v>808.963476995988</x:v>
      </x:c>
      <x:c r="M107" t="n">
        <x:f>IF(AND(ISNUMBER('Results'!C7),ISNUMBER('Results'!B7),ISNUMBER('Results'!$B$8),ISNUMBER('Inputs'!$B$6),ISNUMBER('Inputs'!$B$7),ISNUMBER('Inputs'!$B$8),ISNUMBER('Inputs'!$B$9),ISNUMBER('Inputs'!$B$10),ISNUMBER('Inputs'!$B$21),ISNUMBER('Inputs'!$B$24),ISNUMBER('Inputs'!$B$28)),(('Results'!C7*(0.5*((((107-43)*MAX('Inputs'!$B$33,'Inputs'!$B$29+'Inputs'!$B$31+'Inputs'!$B$32,'Inputs'!$B$30+'Inputs'!$B$31+'Inputs'!$B$32)/1000+'Inputs'!$B$21)+'Inputs'!$B$9)/SQRT((((107-43)*MAX('Inputs'!$B$33,'Inputs'!$B$29+'Inputs'!$B$31+'Inputs'!$B$32,'Inputs'!$B$30+'Inputs'!$B$31+'Inputs'!$B$32)/1000+'Inputs'!$B$21)+'Inputs'!$B$9)^2+('Inputs'!$B$8/2)^2)-(((107-43)*MAX('Inputs'!$B$33,'Inputs'!$B$29+'Inputs'!$B$31+'Inputs'!$B$32,'Inputs'!$B$30+'Inputs'!$B$31+'Inputs'!$B$32)/1000+'Inputs'!$B$21))/SQRT((((107-43)*MAX('Inputs'!$B$33,'Inputs'!$B$29+'Inputs'!$B$31+'Inputs'!$B$32,'Inputs'!$B$30+'Inputs'!$B$31+'Inputs'!$B$32)/1000+'Inputs'!$B$21))^2+('Inputs'!$B$8/2)^2)))-'Results'!B7*(0.5*((((107-43)*MAX('Inputs'!$B$33,'Inputs'!$B$29+'Inputs'!$B$31+'Inputs'!$B$32,'Inputs'!$B$30+'Inputs'!$B$31+'Inputs'!$B$32)/1000+'Inputs'!$B$21+'Inputs'!$B$9+'Inputs'!$B$10)+'Inputs'!$B$7)/SQRT((((107-43)*MAX('Inputs'!$B$33,'Inputs'!$B$29+'Inputs'!$B$31+'Inputs'!$B$32,'Inputs'!$B$30+'Inputs'!$B$31+'Inputs'!$B$32)/1000+'Inputs'!$B$21+'Inputs'!$B$9+'Inputs'!$B$10)+'Inputs'!$B$7)^2+('Inputs'!$B$6/2)^2)-(((107-43)*MAX('Inputs'!$B$33,'Inputs'!$B$29+'Inputs'!$B$31+'Inputs'!$B$32,'Inputs'!$B$30+'Inputs'!$B$31+'Inputs'!$B$32)/1000+'Inputs'!$B$21+'Inputs'!$B$9+'Inputs'!$B$10))/SQRT((((107-43)*MAX('Inputs'!$B$33,'Inputs'!$B$29+'Inputs'!$B$31+'Inputs'!$B$32,'Inputs'!$B$30+'Inputs'!$B$31+'Inputs'!$B$32)/1000+'Inputs'!$B$21+'Inputs'!$B$9+'Inputs'!$B$10))^2+('Inputs'!$B$6/2)^2))))*'Results'!$B$8),"")</x:f>
        <x:v>729.5579292030857</x:v>
      </x:c>
      <x:c r="N107" t="n">
        <x:f>IF(AND(ISNUMBER('Results'!C7),ISNUMBER('Results'!B7),ISNUMBER('Results'!$B$8),ISNUMBER('Inputs'!$B$6),ISNUMBER('Inputs'!$B$7),ISNUMBER('Inputs'!$B$8),ISNUMBER('Inputs'!$B$9),ISNUMBER('Inputs'!$B$10),ISNUMBER('Inputs'!$B$21),ISNUMBER('Inputs'!$B$24),ISNUMBER('Inputs'!$B$28)),((('Results'!C7*(1-'Inputs'!$B$24)*(0.5*((((107-43)*MAX('Inputs'!$B$33,'Inputs'!$B$29+'Inputs'!$B$31+'Inputs'!$B$32,'Inputs'!$B$30+'Inputs'!$B$31+'Inputs'!$B$32)/1000+'Inputs'!$B$21)+'Inputs'!$B$9)/SQRT((((107-43)*MAX('Inputs'!$B$33,'Inputs'!$B$29+'Inputs'!$B$31+'Inputs'!$B$32,'Inputs'!$B$30+'Inputs'!$B$31+'Inputs'!$B$32)/1000+'Inputs'!$B$21)+'Inputs'!$B$9)^2+('Inputs'!$B$8/2)^2)-(((107-43)*MAX('Inputs'!$B$33,'Inputs'!$B$29+'Inputs'!$B$31+'Inputs'!$B$32,'Inputs'!$B$30+'Inputs'!$B$31+'Inputs'!$B$32)/1000+'Inputs'!$B$21))/SQRT((((107-43)*MAX('Inputs'!$B$33,'Inputs'!$B$29+'Inputs'!$B$31+'Inputs'!$B$32,'Inputs'!$B$30+'Inputs'!$B$31+'Inputs'!$B$32)/1000+'Inputs'!$B$21))^2+('Inputs'!$B$8/2)^2)))-'Results'!B7*(1+'Inputs'!$B$24)*(0.5*((((107-43)*MAX('Inputs'!$B$33,'Inputs'!$B$29+'Inputs'!$B$31+'Inputs'!$B$32,'Inputs'!$B$30+'Inputs'!$B$31+'Inputs'!$B$32)/1000+'Inputs'!$B$21+'Inputs'!$B$9+'Inputs'!$B$10)+'Inputs'!$B$7)/SQRT((((107-43)*MAX('Inputs'!$B$33,'Inputs'!$B$29+'Inputs'!$B$31+'Inputs'!$B$32,'Inputs'!$B$30+'Inputs'!$B$31+'Inputs'!$B$32)/1000+'Inputs'!$B$21+'Inputs'!$B$9+'Inputs'!$B$10)+'Inputs'!$B$7)^2+('Inputs'!$B$6/2)^2)-(((107-43)*MAX('Inputs'!$B$33,'Inputs'!$B$29+'Inputs'!$B$31+'Inputs'!$B$32,'Inputs'!$B$30+'Inputs'!$B$31+'Inputs'!$B$32)/1000+'Inputs'!$B$21+'Inputs'!$B$9+'Inputs'!$B$10))/SQRT((((107-43)*MAX('Inputs'!$B$33,'Inputs'!$B$29+'Inputs'!$B$31+'Inputs'!$B$32,'Inputs'!$B$30+'Inputs'!$B$31+'Inputs'!$B$32)/1000+'Inputs'!$B$21+'Inputs'!$B$9+'Inputs'!$B$10))^2+('Inputs'!$B$6/2)^2))))*'Results'!$B$8)-'Inputs'!$B$28*ABS((('Results'!C7*(1-'Inputs'!$B$24)*(0.5*((((107-43)*MAX('Inputs'!$B$33,'Inputs'!$B$29+'Inputs'!$B$31+'Inputs'!$B$32,'Inputs'!$B$30+'Inputs'!$B$31+'Inputs'!$B$32)/1000+'Inputs'!$B$21)+'Inputs'!$B$9)/SQRT((((107-43)*MAX('Inputs'!$B$33,'Inputs'!$B$29+'Inputs'!$B$31+'Inputs'!$B$32,'Inputs'!$B$30+'Inputs'!$B$31+'Inputs'!$B$32)/1000+'Inputs'!$B$21)+'Inputs'!$B$9)^2+('Inputs'!$B$8/2)^2)-(((107-43)*MAX('Inputs'!$B$33,'Inputs'!$B$29+'Inputs'!$B$31+'Inputs'!$B$32,'Inputs'!$B$30+'Inputs'!$B$31+'Inputs'!$B$32)/1000+'Inputs'!$B$21))/SQRT((((107-43)*MAX('Inputs'!$B$33,'Inputs'!$B$29+'Inputs'!$B$31+'Inputs'!$B$32,'Inputs'!$B$30+'Inputs'!$B$31+'Inputs'!$B$32)/1000+'Inputs'!$B$21))^2+('Inputs'!$B$8/2)^2)))-'Results'!B7*(1+'Inputs'!$B$24)*(0.5*((((107-43)*MAX('Inputs'!$B$33,'Inputs'!$B$29+'Inputs'!$B$31+'Inputs'!$B$32,'Inputs'!$B$30+'Inputs'!$B$31+'Inputs'!$B$32)/1000+'Inputs'!$B$21+'Inputs'!$B$9+'Inputs'!$B$10)+'Inputs'!$B$7)/SQRT((((107-43)*MAX('Inputs'!$B$33,'Inputs'!$B$29+'Inputs'!$B$31+'Inputs'!$B$32,'Inputs'!$B$30+'Inputs'!$B$31+'Inputs'!$B$32)/1000+'Inputs'!$B$21+'Inputs'!$B$9+'Inputs'!$B$10)+'Inputs'!$B$7)^2+('Inputs'!$B$6/2)^2)-(((107-43)*MAX('Inputs'!$B$33,'Inputs'!$B$29+'Inputs'!$B$31+'Inputs'!$B$32,'Inputs'!$B$30+'Inputs'!$B$31+'Inputs'!$B$32)/1000+'Inputs'!$B$21+'Inputs'!$B$9+'Inputs'!$B$10))/SQRT((((107-43)*MAX('Inputs'!$B$33,'Inputs'!$B$29+'Inputs'!$B$31+'Inputs'!$B$32,'Inputs'!$B$30+'Inputs'!$B$31+'Inputs'!$B$32)/1000+'Inputs'!$B$21+'Inputs'!$B$9+'Inputs'!$B$10))^2+('Inputs'!$B$6/2)^2))))*'Results'!$B$8))),"")</x:f>
        <x:v>673.9705810042642</x:v>
      </x:c>
      <x:c r="O107" t="n">
        <x:f>IF(AND(ISNUMBER('Results'!C7),ISNUMBER('Results'!B7),ISNUMBER('Results'!$B$8),ISNUMBER('Inputs'!$B$6),ISNUMBER('Inputs'!$B$7),ISNUMBER('Inputs'!$B$8),ISNUMBER('Inputs'!$B$9),ISNUMBER('Inputs'!$B$10),ISNUMBER('Inputs'!$B$21),ISNUMBER('Inputs'!$B$24),ISNUMBER('Inputs'!$B$28)),((('Results'!C7*(1+'Inputs'!$B$24)*(0.5*((((107-43)*MAX('Inputs'!$B$33,'Inputs'!$B$29+'Inputs'!$B$31+'Inputs'!$B$32,'Inputs'!$B$30+'Inputs'!$B$31+'Inputs'!$B$32)/1000+'Inputs'!$B$21)+'Inputs'!$B$9)/SQRT((((107-43)*MAX('Inputs'!$B$33,'Inputs'!$B$29+'Inputs'!$B$31+'Inputs'!$B$32,'Inputs'!$B$30+'Inputs'!$B$31+'Inputs'!$B$32)/1000+'Inputs'!$B$21)+'Inputs'!$B$9)^2+('Inputs'!$B$8/2)^2)-(((107-43)*MAX('Inputs'!$B$33,'Inputs'!$B$29+'Inputs'!$B$31+'Inputs'!$B$32,'Inputs'!$B$30+'Inputs'!$B$31+'Inputs'!$B$32)/1000+'Inputs'!$B$21))/SQRT((((107-43)*MAX('Inputs'!$B$33,'Inputs'!$B$29+'Inputs'!$B$31+'Inputs'!$B$32,'Inputs'!$B$30+'Inputs'!$B$31+'Inputs'!$B$32)/1000+'Inputs'!$B$21))^2+('Inputs'!$B$8/2)^2)))-'Results'!B7*(1-'Inputs'!$B$24)*(0.5*((((107-43)*MAX('Inputs'!$B$33,'Inputs'!$B$29+'Inputs'!$B$31+'Inputs'!$B$32,'Inputs'!$B$30+'Inputs'!$B$31+'Inputs'!$B$32)/1000+'Inputs'!$B$21+'Inputs'!$B$9+'Inputs'!$B$10)+'Inputs'!$B$7)/SQRT((((107-43)*MAX('Inputs'!$B$33,'Inputs'!$B$29+'Inputs'!$B$31+'Inputs'!$B$32,'Inputs'!$B$30+'Inputs'!$B$31+'Inputs'!$B$32)/1000+'Inputs'!$B$21+'Inputs'!$B$9+'Inputs'!$B$10)+'Inputs'!$B$7)^2+('Inputs'!$B$6/2)^2)-(((107-43)*MAX('Inputs'!$B$33,'Inputs'!$B$29+'Inputs'!$B$31+'Inputs'!$B$32,'Inputs'!$B$30+'Inputs'!$B$31+'Inputs'!$B$32)/1000+'Inputs'!$B$21+'Inputs'!$B$9+'Inputs'!$B$10))/SQRT((((107-43)*MAX('Inputs'!$B$33,'Inputs'!$B$29+'Inputs'!$B$31+'Inputs'!$B$32,'Inputs'!$B$30+'Inputs'!$B$31+'Inputs'!$B$32)/1000+'Inputs'!$B$21+'Inputs'!$B$9+'Inputs'!$B$10))^2+('Inputs'!$B$6/2)^2))))*'Results'!$B$8)+'Inputs'!$B$28*ABS((('Results'!C7*(1+'Inputs'!$B$24)*(0.5*((((107-43)*MAX('Inputs'!$B$33,'Inputs'!$B$29+'Inputs'!$B$31+'Inputs'!$B$32,'Inputs'!$B$30+'Inputs'!$B$31+'Inputs'!$B$32)/1000+'Inputs'!$B$21)+'Inputs'!$B$9)/SQRT((((107-43)*MAX('Inputs'!$B$33,'Inputs'!$B$29+'Inputs'!$B$31+'Inputs'!$B$32,'Inputs'!$B$30+'Inputs'!$B$31+'Inputs'!$B$32)/1000+'Inputs'!$B$21)+'Inputs'!$B$9)^2+('Inputs'!$B$8/2)^2)-(((107-43)*MAX('Inputs'!$B$33,'Inputs'!$B$29+'Inputs'!$B$31+'Inputs'!$B$32,'Inputs'!$B$30+'Inputs'!$B$31+'Inputs'!$B$32)/1000+'Inputs'!$B$21))/SQRT((((107-43)*MAX('Inputs'!$B$33,'Inputs'!$B$29+'Inputs'!$B$31+'Inputs'!$B$32,'Inputs'!$B$30+'Inputs'!$B$31+'Inputs'!$B$32)/1000+'Inputs'!$B$21))^2+('Inputs'!$B$8/2)^2)))-'Results'!B7*(1-'Inputs'!$B$24)*(0.5*((((107-43)*MAX('Inputs'!$B$33,'Inputs'!$B$29+'Inputs'!$B$31+'Inputs'!$B$32,'Inputs'!$B$30+'Inputs'!$B$31+'Inputs'!$B$32)/1000+'Inputs'!$B$21+'Inputs'!$B$9+'Inputs'!$B$10)+'Inputs'!$B$7)/SQRT((((107-43)*MAX('Inputs'!$B$33,'Inputs'!$B$29+'Inputs'!$B$31+'Inputs'!$B$32,'Inputs'!$B$30+'Inputs'!$B$31+'Inputs'!$B$32)/1000+'Inputs'!$B$21+'Inputs'!$B$9+'Inputs'!$B$10)+'Inputs'!$B$7)^2+('Inputs'!$B$6/2)^2)-(((107-43)*MAX('Inputs'!$B$33,'Inputs'!$B$29+'Inputs'!$B$31+'Inputs'!$B$32,'Inputs'!$B$30+'Inputs'!$B$31+'Inputs'!$B$32)/1000+'Inputs'!$B$21+'Inputs'!$B$9+'Inputs'!$B$10))/SQRT((((107-43)*MAX('Inputs'!$B$33,'Inputs'!$B$29+'Inputs'!$B$31+'Inputs'!$B$32,'Inputs'!$B$30+'Inputs'!$B$31+'Inputs'!$B$32)/1000+'Inputs'!$B$21+'Inputs'!$B$9+'Inputs'!$B$10))^2+('Inputs'!$B$6/2)^2))))*'Results'!$B$8))),"")</x:f>
        <x:v>787.1567986375562</x:v>
      </x:c>
      <x:c r="P107" t="n">
        <x:f>IF(AND(MAX(J107,J106)&gt;0,J107&gt;J106+0.00000001),1,0)</x:f>
        <x:v>0</x:v>
      </x:c>
      <x:c r="Q107" t="n">
        <x:f>IF(AND(MAX(K107,K106)&gt;0,K107&gt;K106+0.00000001),1,0)</x:f>
        <x:v>0</x:v>
      </x:c>
      <x:c r="R107" t="n">
        <x:f>IF(AND(MAX(L107,L106)&gt;0,L107&gt;L106+0.00000001),1,0)</x:f>
        <x:v>0</x:v>
      </x:c>
      <x:c r="S107" t="n">
        <x:f>IF(AND(MAX(M107,M106)&gt;0,M107&gt;M106+0.00000001),1,0)</x:f>
        <x:v>0</x:v>
      </x:c>
      <x:c r="T107" t="n">
        <x:f>IF(AND(MAX(N107,N106)&gt;0,N107&gt;N106+0.00000001),1,0)</x:f>
        <x:v>0</x:v>
      </x:c>
      <x:c r="U107" t="n">
        <x:f>IF(AND(MAX(O107,O106)&gt;0,O107&gt;O106+0.00000001),1,0)</x:f>
        <x:v>0</x:v>
      </x:c>
    </x:row>
    <x:row r="108">
      <x:c r="J108" t="n">
        <x:f>IF(AND(ISNUMBER('Results'!B7),ISNUMBER('Results'!C7),ISNUMBER('Results'!$B$8),ISNUMBER('Inputs'!$B$6),ISNUMBER('Inputs'!$B$7),ISNUMBER('Inputs'!$B$8),ISNUMBER('Inputs'!$B$9),ISNUMBER('Inputs'!$B$10),ISNUMBER('Inputs'!$B$21),ISNUMBER('Inputs'!$B$24),ISNUMBER('Inputs'!$B$28)),(('Results'!B7*(0.5*((((108-43)*MAX('Inputs'!$B$33,'Inputs'!$B$29+'Inputs'!$B$31+'Inputs'!$B$32,'Inputs'!$B$30+'Inputs'!$B$31+'Inputs'!$B$32)/1000+'Inputs'!$B$21)+'Inputs'!$B$7)/SQRT((((108-43)*MAX('Inputs'!$B$33,'Inputs'!$B$29+'Inputs'!$B$31+'Inputs'!$B$32,'Inputs'!$B$30+'Inputs'!$B$31+'Inputs'!$B$32)/1000+'Inputs'!$B$21)+'Inputs'!$B$7)^2+('Inputs'!$B$6/2)^2)-(((108-43)*MAX('Inputs'!$B$33,'Inputs'!$B$29+'Inputs'!$B$31+'Inputs'!$B$32,'Inputs'!$B$30+'Inputs'!$B$31+'Inputs'!$B$32)/1000+'Inputs'!$B$21))/SQRT((((108-43)*MAX('Inputs'!$B$33,'Inputs'!$B$29+'Inputs'!$B$31+'Inputs'!$B$32,'Inputs'!$B$30+'Inputs'!$B$31+'Inputs'!$B$32)/1000+'Inputs'!$B$21))^2+('Inputs'!$B$6/2)^2)))-'Results'!C7*(0.5*((((108-43)*MAX('Inputs'!$B$33,'Inputs'!$B$29+'Inputs'!$B$31+'Inputs'!$B$32,'Inputs'!$B$30+'Inputs'!$B$31+'Inputs'!$B$32)/1000+'Inputs'!$B$21+'Inputs'!$B$7+'Inputs'!$B$10)+'Inputs'!$B$9)/SQRT((((108-43)*MAX('Inputs'!$B$33,'Inputs'!$B$29+'Inputs'!$B$31+'Inputs'!$B$32,'Inputs'!$B$30+'Inputs'!$B$31+'Inputs'!$B$32)/1000+'Inputs'!$B$21+'Inputs'!$B$7+'Inputs'!$B$10)+'Inputs'!$B$9)^2+('Inputs'!$B$8/2)^2)-(((108-43)*MAX('Inputs'!$B$33,'Inputs'!$B$29+'Inputs'!$B$31+'Inputs'!$B$32,'Inputs'!$B$30+'Inputs'!$B$31+'Inputs'!$B$32)/1000+'Inputs'!$B$21+'Inputs'!$B$7+'Inputs'!$B$10))/SQRT((((108-43)*MAX('Inputs'!$B$33,'Inputs'!$B$29+'Inputs'!$B$31+'Inputs'!$B$32,'Inputs'!$B$30+'Inputs'!$B$31+'Inputs'!$B$32)/1000+'Inputs'!$B$21+'Inputs'!$B$7+'Inputs'!$B$10))^2+('Inputs'!$B$8/2)^2))))*'Results'!$B$8),"")</x:f>
        <x:v>735.3713680859931</x:v>
      </x:c>
      <x:c r="K108" t="n">
        <x:f>IF(AND(ISNUMBER('Results'!B7),ISNUMBER('Results'!C7),ISNUMBER('Results'!$B$8),ISNUMBER('Inputs'!$B$6),ISNUMBER('Inputs'!$B$7),ISNUMBER('Inputs'!$B$8),ISNUMBER('Inputs'!$B$9),ISNUMBER('Inputs'!$B$10),ISNUMBER('Inputs'!$B$21),ISNUMBER('Inputs'!$B$24),ISNUMBER('Inputs'!$B$28)),((('Results'!B7*(1-'Inputs'!$B$24)*(0.5*((((108-43)*MAX('Inputs'!$B$33,'Inputs'!$B$29+'Inputs'!$B$31+'Inputs'!$B$32,'Inputs'!$B$30+'Inputs'!$B$31+'Inputs'!$B$32)/1000+'Inputs'!$B$21)+'Inputs'!$B$7)/SQRT((((108-43)*MAX('Inputs'!$B$33,'Inputs'!$B$29+'Inputs'!$B$31+'Inputs'!$B$32,'Inputs'!$B$30+'Inputs'!$B$31+'Inputs'!$B$32)/1000+'Inputs'!$B$21)+'Inputs'!$B$7)^2+('Inputs'!$B$6/2)^2)-(((108-43)*MAX('Inputs'!$B$33,'Inputs'!$B$29+'Inputs'!$B$31+'Inputs'!$B$32,'Inputs'!$B$30+'Inputs'!$B$31+'Inputs'!$B$32)/1000+'Inputs'!$B$21))/SQRT((((108-43)*MAX('Inputs'!$B$33,'Inputs'!$B$29+'Inputs'!$B$31+'Inputs'!$B$32,'Inputs'!$B$30+'Inputs'!$B$31+'Inputs'!$B$32)/1000+'Inputs'!$B$21))^2+('Inputs'!$B$6/2)^2)))-'Results'!C7*(1+'Inputs'!$B$24)*(0.5*((((108-43)*MAX('Inputs'!$B$33,'Inputs'!$B$29+'Inputs'!$B$31+'Inputs'!$B$32,'Inputs'!$B$30+'Inputs'!$B$31+'Inputs'!$B$32)/1000+'Inputs'!$B$21+'Inputs'!$B$7+'Inputs'!$B$10)+'Inputs'!$B$9)/SQRT((((108-43)*MAX('Inputs'!$B$33,'Inputs'!$B$29+'Inputs'!$B$31+'Inputs'!$B$32,'Inputs'!$B$30+'Inputs'!$B$31+'Inputs'!$B$32)/1000+'Inputs'!$B$21+'Inputs'!$B$7+'Inputs'!$B$10)+'Inputs'!$B$9)^2+('Inputs'!$B$8/2)^2)-(((108-43)*MAX('Inputs'!$B$33,'Inputs'!$B$29+'Inputs'!$B$31+'Inputs'!$B$32,'Inputs'!$B$30+'Inputs'!$B$31+'Inputs'!$B$32)/1000+'Inputs'!$B$21+'Inputs'!$B$7+'Inputs'!$B$10))/SQRT((((108-43)*MAX('Inputs'!$B$33,'Inputs'!$B$29+'Inputs'!$B$31+'Inputs'!$B$32,'Inputs'!$B$30+'Inputs'!$B$31+'Inputs'!$B$32)/1000+'Inputs'!$B$21+'Inputs'!$B$7+'Inputs'!$B$10))^2+('Inputs'!$B$8/2)^2))))*'Results'!$B$8)-'Inputs'!$B$28*ABS((('Results'!B7*(1-'Inputs'!$B$24)*(0.5*((((108-43)*MAX('Inputs'!$B$33,'Inputs'!$B$29+'Inputs'!$B$31+'Inputs'!$B$32,'Inputs'!$B$30+'Inputs'!$B$31+'Inputs'!$B$32)/1000+'Inputs'!$B$21)+'Inputs'!$B$7)/SQRT((((108-43)*MAX('Inputs'!$B$33,'Inputs'!$B$29+'Inputs'!$B$31+'Inputs'!$B$32,'Inputs'!$B$30+'Inputs'!$B$31+'Inputs'!$B$32)/1000+'Inputs'!$B$21)+'Inputs'!$B$7)^2+('Inputs'!$B$6/2)^2)-(((108-43)*MAX('Inputs'!$B$33,'Inputs'!$B$29+'Inputs'!$B$31+'Inputs'!$B$32,'Inputs'!$B$30+'Inputs'!$B$31+'Inputs'!$B$32)/1000+'Inputs'!$B$21))/SQRT((((108-43)*MAX('Inputs'!$B$33,'Inputs'!$B$29+'Inputs'!$B$31+'Inputs'!$B$32,'Inputs'!$B$30+'Inputs'!$B$31+'Inputs'!$B$32)/1000+'Inputs'!$B$21))^2+('Inputs'!$B$6/2)^2)))-'Results'!C7*(1+'Inputs'!$B$24)*(0.5*((((108-43)*MAX('Inputs'!$B$33,'Inputs'!$B$29+'Inputs'!$B$31+'Inputs'!$B$32,'Inputs'!$B$30+'Inputs'!$B$31+'Inputs'!$B$32)/1000+'Inputs'!$B$21+'Inputs'!$B$7+'Inputs'!$B$10)+'Inputs'!$B$9)/SQRT((((108-43)*MAX('Inputs'!$B$33,'Inputs'!$B$29+'Inputs'!$B$31+'Inputs'!$B$32,'Inputs'!$B$30+'Inputs'!$B$31+'Inputs'!$B$32)/1000+'Inputs'!$B$21+'Inputs'!$B$7+'Inputs'!$B$10)+'Inputs'!$B$9)^2+('Inputs'!$B$8/2)^2)-(((108-43)*MAX('Inputs'!$B$33,'Inputs'!$B$29+'Inputs'!$B$31+'Inputs'!$B$32,'Inputs'!$B$30+'Inputs'!$B$31+'Inputs'!$B$32)/1000+'Inputs'!$B$21+'Inputs'!$B$7+'Inputs'!$B$10))/SQRT((((108-43)*MAX('Inputs'!$B$33,'Inputs'!$B$29+'Inputs'!$B$31+'Inputs'!$B$32,'Inputs'!$B$30+'Inputs'!$B$31+'Inputs'!$B$32)/1000+'Inputs'!$B$21+'Inputs'!$B$7+'Inputs'!$B$10))^2+('Inputs'!$B$8/2)^2))))*'Results'!$B$8))),"")</x:f>
        <x:v>679.5547944562047</x:v>
      </x:c>
      <x:c r="L108" t="n">
        <x:f>IF(AND(ISNUMBER('Results'!B7),ISNUMBER('Results'!C7),ISNUMBER('Results'!$B$8),ISNUMBER('Inputs'!$B$6),ISNUMBER('Inputs'!$B$7),ISNUMBER('Inputs'!$B$8),ISNUMBER('Inputs'!$B$9),ISNUMBER('Inputs'!$B$10),ISNUMBER('Inputs'!$B$21),ISNUMBER('Inputs'!$B$24),ISNUMBER('Inputs'!$B$28)),((('Results'!B7*(1+'Inputs'!$B$24)*(0.5*((((108-43)*MAX('Inputs'!$B$33,'Inputs'!$B$29+'Inputs'!$B$31+'Inputs'!$B$32,'Inputs'!$B$30+'Inputs'!$B$31+'Inputs'!$B$32)/1000+'Inputs'!$B$21)+'Inputs'!$B$7)/SQRT((((108-43)*MAX('Inputs'!$B$33,'Inputs'!$B$29+'Inputs'!$B$31+'Inputs'!$B$32,'Inputs'!$B$30+'Inputs'!$B$31+'Inputs'!$B$32)/1000+'Inputs'!$B$21)+'Inputs'!$B$7)^2+('Inputs'!$B$6/2)^2)-(((108-43)*MAX('Inputs'!$B$33,'Inputs'!$B$29+'Inputs'!$B$31+'Inputs'!$B$32,'Inputs'!$B$30+'Inputs'!$B$31+'Inputs'!$B$32)/1000+'Inputs'!$B$21))/SQRT((((108-43)*MAX('Inputs'!$B$33,'Inputs'!$B$29+'Inputs'!$B$31+'Inputs'!$B$32,'Inputs'!$B$30+'Inputs'!$B$31+'Inputs'!$B$32)/1000+'Inputs'!$B$21))^2+('Inputs'!$B$6/2)^2)))-'Results'!C7*(1-'Inputs'!$B$24)*(0.5*((((108-43)*MAX('Inputs'!$B$33,'Inputs'!$B$29+'Inputs'!$B$31+'Inputs'!$B$32,'Inputs'!$B$30+'Inputs'!$B$31+'Inputs'!$B$32)/1000+'Inputs'!$B$21+'Inputs'!$B$7+'Inputs'!$B$10)+'Inputs'!$B$9)/SQRT((((108-43)*MAX('Inputs'!$B$33,'Inputs'!$B$29+'Inputs'!$B$31+'Inputs'!$B$32,'Inputs'!$B$30+'Inputs'!$B$31+'Inputs'!$B$32)/1000+'Inputs'!$B$21+'Inputs'!$B$7+'Inputs'!$B$10)+'Inputs'!$B$9)^2+('Inputs'!$B$8/2)^2)-(((108-43)*MAX('Inputs'!$B$33,'Inputs'!$B$29+'Inputs'!$B$31+'Inputs'!$B$32,'Inputs'!$B$30+'Inputs'!$B$31+'Inputs'!$B$32)/1000+'Inputs'!$B$21+'Inputs'!$B$7+'Inputs'!$B$10))/SQRT((((108-43)*MAX('Inputs'!$B$33,'Inputs'!$B$29+'Inputs'!$B$31+'Inputs'!$B$32,'Inputs'!$B$30+'Inputs'!$B$31+'Inputs'!$B$32)/1000+'Inputs'!$B$21+'Inputs'!$B$7+'Inputs'!$B$10))^2+('Inputs'!$B$8/2)^2))))*'Results'!$B$8)+'Inputs'!$B$28*ABS((('Results'!B7*(1+'Inputs'!$B$24)*(0.5*((((108-43)*MAX('Inputs'!$B$33,'Inputs'!$B$29+'Inputs'!$B$31+'Inputs'!$B$32,'Inputs'!$B$30+'Inputs'!$B$31+'Inputs'!$B$32)/1000+'Inputs'!$B$21)+'Inputs'!$B$7)/SQRT((((108-43)*MAX('Inputs'!$B$33,'Inputs'!$B$29+'Inputs'!$B$31+'Inputs'!$B$32,'Inputs'!$B$30+'Inputs'!$B$31+'Inputs'!$B$32)/1000+'Inputs'!$B$21)+'Inputs'!$B$7)^2+('Inputs'!$B$6/2)^2)-(((108-43)*MAX('Inputs'!$B$33,'Inputs'!$B$29+'Inputs'!$B$31+'Inputs'!$B$32,'Inputs'!$B$30+'Inputs'!$B$31+'Inputs'!$B$32)/1000+'Inputs'!$B$21))/SQRT((((108-43)*MAX('Inputs'!$B$33,'Inputs'!$B$29+'Inputs'!$B$31+'Inputs'!$B$32,'Inputs'!$B$30+'Inputs'!$B$31+'Inputs'!$B$32)/1000+'Inputs'!$B$21))^2+('Inputs'!$B$6/2)^2)))-'Results'!C7*(1-'Inputs'!$B$24)*(0.5*((((108-43)*MAX('Inputs'!$B$33,'Inputs'!$B$29+'Inputs'!$B$31+'Inputs'!$B$32,'Inputs'!$B$30+'Inputs'!$B$31+'Inputs'!$B$32)/1000+'Inputs'!$B$21+'Inputs'!$B$7+'Inputs'!$B$10)+'Inputs'!$B$9)/SQRT((((108-43)*MAX('Inputs'!$B$33,'Inputs'!$B$29+'Inputs'!$B$31+'Inputs'!$B$32,'Inputs'!$B$30+'Inputs'!$B$31+'Inputs'!$B$32)/1000+'Inputs'!$B$21+'Inputs'!$B$7+'Inputs'!$B$10)+'Inputs'!$B$9)^2+('Inputs'!$B$8/2)^2)-(((108-43)*MAX('Inputs'!$B$33,'Inputs'!$B$29+'Inputs'!$B$31+'Inputs'!$B$32,'Inputs'!$B$30+'Inputs'!$B$31+'Inputs'!$B$32)/1000+'Inputs'!$B$21+'Inputs'!$B$7+'Inputs'!$B$10))/SQRT((((108-43)*MAX('Inputs'!$B$33,'Inputs'!$B$29+'Inputs'!$B$31+'Inputs'!$B$32,'Inputs'!$B$30+'Inputs'!$B$31+'Inputs'!$B$32)/1000+'Inputs'!$B$21+'Inputs'!$B$7+'Inputs'!$B$10))^2+('Inputs'!$B$8/2)^2))))*'Results'!$B$8))),"")</x:f>
        <x:v>793.1929948974121</x:v>
      </x:c>
      <x:c r="M108" t="n">
        <x:f>IF(AND(ISNUMBER('Results'!C7),ISNUMBER('Results'!B7),ISNUMBER('Results'!$B$8),ISNUMBER('Inputs'!$B$6),ISNUMBER('Inputs'!$B$7),ISNUMBER('Inputs'!$B$8),ISNUMBER('Inputs'!$B$9),ISNUMBER('Inputs'!$B$10),ISNUMBER('Inputs'!$B$21),ISNUMBER('Inputs'!$B$24),ISNUMBER('Inputs'!$B$28)),(('Results'!C7*(0.5*((((108-43)*MAX('Inputs'!$B$33,'Inputs'!$B$29+'Inputs'!$B$31+'Inputs'!$B$32,'Inputs'!$B$30+'Inputs'!$B$31+'Inputs'!$B$32)/1000+'Inputs'!$B$21)+'Inputs'!$B$9)/SQRT((((108-43)*MAX('Inputs'!$B$33,'Inputs'!$B$29+'Inputs'!$B$31+'Inputs'!$B$32,'Inputs'!$B$30+'Inputs'!$B$31+'Inputs'!$B$32)/1000+'Inputs'!$B$21)+'Inputs'!$B$9)^2+('Inputs'!$B$8/2)^2)-(((108-43)*MAX('Inputs'!$B$33,'Inputs'!$B$29+'Inputs'!$B$31+'Inputs'!$B$32,'Inputs'!$B$30+'Inputs'!$B$31+'Inputs'!$B$32)/1000+'Inputs'!$B$21))/SQRT((((108-43)*MAX('Inputs'!$B$33,'Inputs'!$B$29+'Inputs'!$B$31+'Inputs'!$B$32,'Inputs'!$B$30+'Inputs'!$B$31+'Inputs'!$B$32)/1000+'Inputs'!$B$21))^2+('Inputs'!$B$8/2)^2)))-'Results'!B7*(0.5*((((108-43)*MAX('Inputs'!$B$33,'Inputs'!$B$29+'Inputs'!$B$31+'Inputs'!$B$32,'Inputs'!$B$30+'Inputs'!$B$31+'Inputs'!$B$32)/1000+'Inputs'!$B$21+'Inputs'!$B$9+'Inputs'!$B$10)+'Inputs'!$B$7)/SQRT((((108-43)*MAX('Inputs'!$B$33,'Inputs'!$B$29+'Inputs'!$B$31+'Inputs'!$B$32,'Inputs'!$B$30+'Inputs'!$B$31+'Inputs'!$B$32)/1000+'Inputs'!$B$21+'Inputs'!$B$9+'Inputs'!$B$10)+'Inputs'!$B$7)^2+('Inputs'!$B$6/2)^2)-(((108-43)*MAX('Inputs'!$B$33,'Inputs'!$B$29+'Inputs'!$B$31+'Inputs'!$B$32,'Inputs'!$B$30+'Inputs'!$B$31+'Inputs'!$B$32)/1000+'Inputs'!$B$21+'Inputs'!$B$9+'Inputs'!$B$10))/SQRT((((108-43)*MAX('Inputs'!$B$33,'Inputs'!$B$29+'Inputs'!$B$31+'Inputs'!$B$32,'Inputs'!$B$30+'Inputs'!$B$31+'Inputs'!$B$32)/1000+'Inputs'!$B$21+'Inputs'!$B$9+'Inputs'!$B$10))^2+('Inputs'!$B$6/2)^2))))*'Results'!$B$8),"")</x:f>
        <x:v>715.2663147956628</x:v>
      </x:c>
      <x:c r="N108" t="n">
        <x:f>IF(AND(ISNUMBER('Results'!C7),ISNUMBER('Results'!B7),ISNUMBER('Results'!$B$8),ISNUMBER('Inputs'!$B$6),ISNUMBER('Inputs'!$B$7),ISNUMBER('Inputs'!$B$8),ISNUMBER('Inputs'!$B$9),ISNUMBER('Inputs'!$B$10),ISNUMBER('Inputs'!$B$21),ISNUMBER('Inputs'!$B$24),ISNUMBER('Inputs'!$B$28)),((('Results'!C7*(1-'Inputs'!$B$24)*(0.5*((((108-43)*MAX('Inputs'!$B$33,'Inputs'!$B$29+'Inputs'!$B$31+'Inputs'!$B$32,'Inputs'!$B$30+'Inputs'!$B$31+'Inputs'!$B$32)/1000+'Inputs'!$B$21)+'Inputs'!$B$9)/SQRT((((108-43)*MAX('Inputs'!$B$33,'Inputs'!$B$29+'Inputs'!$B$31+'Inputs'!$B$32,'Inputs'!$B$30+'Inputs'!$B$31+'Inputs'!$B$32)/1000+'Inputs'!$B$21)+'Inputs'!$B$9)^2+('Inputs'!$B$8/2)^2)-(((108-43)*MAX('Inputs'!$B$33,'Inputs'!$B$29+'Inputs'!$B$31+'Inputs'!$B$32,'Inputs'!$B$30+'Inputs'!$B$31+'Inputs'!$B$32)/1000+'Inputs'!$B$21))/SQRT((((108-43)*MAX('Inputs'!$B$33,'Inputs'!$B$29+'Inputs'!$B$31+'Inputs'!$B$32,'Inputs'!$B$30+'Inputs'!$B$31+'Inputs'!$B$32)/1000+'Inputs'!$B$21))^2+('Inputs'!$B$8/2)^2)))-'Results'!B7*(1+'Inputs'!$B$24)*(0.5*((((108-43)*MAX('Inputs'!$B$33,'Inputs'!$B$29+'Inputs'!$B$31+'Inputs'!$B$32,'Inputs'!$B$30+'Inputs'!$B$31+'Inputs'!$B$32)/1000+'Inputs'!$B$21+'Inputs'!$B$9+'Inputs'!$B$10)+'Inputs'!$B$7)/SQRT((((108-43)*MAX('Inputs'!$B$33,'Inputs'!$B$29+'Inputs'!$B$31+'Inputs'!$B$32,'Inputs'!$B$30+'Inputs'!$B$31+'Inputs'!$B$32)/1000+'Inputs'!$B$21+'Inputs'!$B$9+'Inputs'!$B$10)+'Inputs'!$B$7)^2+('Inputs'!$B$6/2)^2)-(((108-43)*MAX('Inputs'!$B$33,'Inputs'!$B$29+'Inputs'!$B$31+'Inputs'!$B$32,'Inputs'!$B$30+'Inputs'!$B$31+'Inputs'!$B$32)/1000+'Inputs'!$B$21+'Inputs'!$B$9+'Inputs'!$B$10))/SQRT((((108-43)*MAX('Inputs'!$B$33,'Inputs'!$B$29+'Inputs'!$B$31+'Inputs'!$B$32,'Inputs'!$B$30+'Inputs'!$B$31+'Inputs'!$B$32)/1000+'Inputs'!$B$21+'Inputs'!$B$9+'Inputs'!$B$10))^2+('Inputs'!$B$6/2)^2))))*'Results'!$B$8)-'Inputs'!$B$28*ABS((('Results'!C7*(1-'Inputs'!$B$24)*(0.5*((((108-43)*MAX('Inputs'!$B$33,'Inputs'!$B$29+'Inputs'!$B$31+'Inputs'!$B$32,'Inputs'!$B$30+'Inputs'!$B$31+'Inputs'!$B$32)/1000+'Inputs'!$B$21)+'Inputs'!$B$9)/SQRT((((108-43)*MAX('Inputs'!$B$33,'Inputs'!$B$29+'Inputs'!$B$31+'Inputs'!$B$32,'Inputs'!$B$30+'Inputs'!$B$31+'Inputs'!$B$32)/1000+'Inputs'!$B$21)+'Inputs'!$B$9)^2+('Inputs'!$B$8/2)^2)-(((108-43)*MAX('Inputs'!$B$33,'Inputs'!$B$29+'Inputs'!$B$31+'Inputs'!$B$32,'Inputs'!$B$30+'Inputs'!$B$31+'Inputs'!$B$32)/1000+'Inputs'!$B$21))/SQRT((((108-43)*MAX('Inputs'!$B$33,'Inputs'!$B$29+'Inputs'!$B$31+'Inputs'!$B$32,'Inputs'!$B$30+'Inputs'!$B$31+'Inputs'!$B$32)/1000+'Inputs'!$B$21))^2+('Inputs'!$B$8/2)^2)))-'Results'!B7*(1+'Inputs'!$B$24)*(0.5*((((108-43)*MAX('Inputs'!$B$33,'Inputs'!$B$29+'Inputs'!$B$31+'Inputs'!$B$32,'Inputs'!$B$30+'Inputs'!$B$31+'Inputs'!$B$32)/1000+'Inputs'!$B$21+'Inputs'!$B$9+'Inputs'!$B$10)+'Inputs'!$B$7)/SQRT((((108-43)*MAX('Inputs'!$B$33,'Inputs'!$B$29+'Inputs'!$B$31+'Inputs'!$B$32,'Inputs'!$B$30+'Inputs'!$B$31+'Inputs'!$B$32)/1000+'Inputs'!$B$21+'Inputs'!$B$9+'Inputs'!$B$10)+'Inputs'!$B$7)^2+('Inputs'!$B$6/2)^2)-(((108-43)*MAX('Inputs'!$B$33,'Inputs'!$B$29+'Inputs'!$B$31+'Inputs'!$B$32,'Inputs'!$B$30+'Inputs'!$B$31+'Inputs'!$B$32)/1000+'Inputs'!$B$21+'Inputs'!$B$9+'Inputs'!$B$10))/SQRT((((108-43)*MAX('Inputs'!$B$33,'Inputs'!$B$29+'Inputs'!$B$31+'Inputs'!$B$32,'Inputs'!$B$30+'Inputs'!$B$31+'Inputs'!$B$32)/1000+'Inputs'!$B$21+'Inputs'!$B$9+'Inputs'!$B$10))^2+('Inputs'!$B$6/2)^2))))*'Results'!$B$8))),"")</x:f>
        <x:v>660.7333990422569</x:v>
      </x:c>
      <x:c r="O108" t="n">
        <x:f>IF(AND(ISNUMBER('Results'!C7),ISNUMBER('Results'!B7),ISNUMBER('Results'!$B$8),ISNUMBER('Inputs'!$B$6),ISNUMBER('Inputs'!$B$7),ISNUMBER('Inputs'!$B$8),ISNUMBER('Inputs'!$B$9),ISNUMBER('Inputs'!$B$10),ISNUMBER('Inputs'!$B$21),ISNUMBER('Inputs'!$B$24),ISNUMBER('Inputs'!$B$28)),((('Results'!C7*(1+'Inputs'!$B$24)*(0.5*((((108-43)*MAX('Inputs'!$B$33,'Inputs'!$B$29+'Inputs'!$B$31+'Inputs'!$B$32,'Inputs'!$B$30+'Inputs'!$B$31+'Inputs'!$B$32)/1000+'Inputs'!$B$21)+'Inputs'!$B$9)/SQRT((((108-43)*MAX('Inputs'!$B$33,'Inputs'!$B$29+'Inputs'!$B$31+'Inputs'!$B$32,'Inputs'!$B$30+'Inputs'!$B$31+'Inputs'!$B$32)/1000+'Inputs'!$B$21)+'Inputs'!$B$9)^2+('Inputs'!$B$8/2)^2)-(((108-43)*MAX('Inputs'!$B$33,'Inputs'!$B$29+'Inputs'!$B$31+'Inputs'!$B$32,'Inputs'!$B$30+'Inputs'!$B$31+'Inputs'!$B$32)/1000+'Inputs'!$B$21))/SQRT((((108-43)*MAX('Inputs'!$B$33,'Inputs'!$B$29+'Inputs'!$B$31+'Inputs'!$B$32,'Inputs'!$B$30+'Inputs'!$B$31+'Inputs'!$B$32)/1000+'Inputs'!$B$21))^2+('Inputs'!$B$8/2)^2)))-'Results'!B7*(1-'Inputs'!$B$24)*(0.5*((((108-43)*MAX('Inputs'!$B$33,'Inputs'!$B$29+'Inputs'!$B$31+'Inputs'!$B$32,'Inputs'!$B$30+'Inputs'!$B$31+'Inputs'!$B$32)/1000+'Inputs'!$B$21+'Inputs'!$B$9+'Inputs'!$B$10)+'Inputs'!$B$7)/SQRT((((108-43)*MAX('Inputs'!$B$33,'Inputs'!$B$29+'Inputs'!$B$31+'Inputs'!$B$32,'Inputs'!$B$30+'Inputs'!$B$31+'Inputs'!$B$32)/1000+'Inputs'!$B$21+'Inputs'!$B$9+'Inputs'!$B$10)+'Inputs'!$B$7)^2+('Inputs'!$B$6/2)^2)-(((108-43)*MAX('Inputs'!$B$33,'Inputs'!$B$29+'Inputs'!$B$31+'Inputs'!$B$32,'Inputs'!$B$30+'Inputs'!$B$31+'Inputs'!$B$32)/1000+'Inputs'!$B$21+'Inputs'!$B$9+'Inputs'!$B$10))/SQRT((((108-43)*MAX('Inputs'!$B$33,'Inputs'!$B$29+'Inputs'!$B$31+'Inputs'!$B$32,'Inputs'!$B$30+'Inputs'!$B$31+'Inputs'!$B$32)/1000+'Inputs'!$B$21+'Inputs'!$B$9+'Inputs'!$B$10))^2+('Inputs'!$B$6/2)^2))))*'Results'!$B$8)+'Inputs'!$B$28*ABS((('Results'!C7*(1+'Inputs'!$B$24)*(0.5*((((108-43)*MAX('Inputs'!$B$33,'Inputs'!$B$29+'Inputs'!$B$31+'Inputs'!$B$32,'Inputs'!$B$30+'Inputs'!$B$31+'Inputs'!$B$32)/1000+'Inputs'!$B$21)+'Inputs'!$B$9)/SQRT((((108-43)*MAX('Inputs'!$B$33,'Inputs'!$B$29+'Inputs'!$B$31+'Inputs'!$B$32,'Inputs'!$B$30+'Inputs'!$B$31+'Inputs'!$B$32)/1000+'Inputs'!$B$21)+'Inputs'!$B$9)^2+('Inputs'!$B$8/2)^2)-(((108-43)*MAX('Inputs'!$B$33,'Inputs'!$B$29+'Inputs'!$B$31+'Inputs'!$B$32,'Inputs'!$B$30+'Inputs'!$B$31+'Inputs'!$B$32)/1000+'Inputs'!$B$21))/SQRT((((108-43)*MAX('Inputs'!$B$33,'Inputs'!$B$29+'Inputs'!$B$31+'Inputs'!$B$32,'Inputs'!$B$30+'Inputs'!$B$31+'Inputs'!$B$32)/1000+'Inputs'!$B$21))^2+('Inputs'!$B$8/2)^2)))-'Results'!B7*(1-'Inputs'!$B$24)*(0.5*((((108-43)*MAX('Inputs'!$B$33,'Inputs'!$B$29+'Inputs'!$B$31+'Inputs'!$B$32,'Inputs'!$B$30+'Inputs'!$B$31+'Inputs'!$B$32)/1000+'Inputs'!$B$21+'Inputs'!$B$9+'Inputs'!$B$10)+'Inputs'!$B$7)/SQRT((((108-43)*MAX('Inputs'!$B$33,'Inputs'!$B$29+'Inputs'!$B$31+'Inputs'!$B$32,'Inputs'!$B$30+'Inputs'!$B$31+'Inputs'!$B$32)/1000+'Inputs'!$B$21+'Inputs'!$B$9+'Inputs'!$B$10)+'Inputs'!$B$7)^2+('Inputs'!$B$6/2)^2)-(((108-43)*MAX('Inputs'!$B$33,'Inputs'!$B$29+'Inputs'!$B$31+'Inputs'!$B$32,'Inputs'!$B$30+'Inputs'!$B$31+'Inputs'!$B$32)/1000+'Inputs'!$B$21+'Inputs'!$B$9+'Inputs'!$B$10))/SQRT((((108-43)*MAX('Inputs'!$B$33,'Inputs'!$B$29+'Inputs'!$B$31+'Inputs'!$B$32,'Inputs'!$B$30+'Inputs'!$B$31+'Inputs'!$B$32)/1000+'Inputs'!$B$21+'Inputs'!$B$9+'Inputs'!$B$10))^2+('Inputs'!$B$6/2)^2))))*'Results'!$B$8))),"")</x:f>
        <x:v>771.7749779189237</x:v>
      </x:c>
      <x:c r="P108" t="n">
        <x:f>IF(AND(MAX(J108,J107)&gt;0,J108&gt;J107+0.00000001),1,0)</x:f>
        <x:v>0</x:v>
      </x:c>
      <x:c r="Q108" t="n">
        <x:f>IF(AND(MAX(K108,K107)&gt;0,K108&gt;K107+0.00000001),1,0)</x:f>
        <x:v>0</x:v>
      </x:c>
      <x:c r="R108" t="n">
        <x:f>IF(AND(MAX(L108,L107)&gt;0,L108&gt;L107+0.00000001),1,0)</x:f>
        <x:v>0</x:v>
      </x:c>
      <x:c r="S108" t="n">
        <x:f>IF(AND(MAX(M108,M107)&gt;0,M108&gt;M107+0.00000001),1,0)</x:f>
        <x:v>0</x:v>
      </x:c>
      <x:c r="T108" t="n">
        <x:f>IF(AND(MAX(N108,N107)&gt;0,N108&gt;N107+0.00000001),1,0)</x:f>
        <x:v>0</x:v>
      </x:c>
      <x:c r="U108" t="n">
        <x:f>IF(AND(MAX(O108,O107)&gt;0,O108&gt;O107+0.00000001),1,0)</x:f>
        <x:v>0</x:v>
      </x:c>
    </x:row>
    <x:row r="109">
      <x:c r="J109" t="n">
        <x:f>IF(AND(ISNUMBER('Results'!B7),ISNUMBER('Results'!C7),ISNUMBER('Results'!$B$8),ISNUMBER('Inputs'!$B$6),ISNUMBER('Inputs'!$B$7),ISNUMBER('Inputs'!$B$8),ISNUMBER('Inputs'!$B$9),ISNUMBER('Inputs'!$B$10),ISNUMBER('Inputs'!$B$21),ISNUMBER('Inputs'!$B$24),ISNUMBER('Inputs'!$B$28)),(('Results'!B7*(0.5*((((109-43)*MAX('Inputs'!$B$33,'Inputs'!$B$29+'Inputs'!$B$31+'Inputs'!$B$32,'Inputs'!$B$30+'Inputs'!$B$31+'Inputs'!$B$32)/1000+'Inputs'!$B$21)+'Inputs'!$B$7)/SQRT((((109-43)*MAX('Inputs'!$B$33,'Inputs'!$B$29+'Inputs'!$B$31+'Inputs'!$B$32,'Inputs'!$B$30+'Inputs'!$B$31+'Inputs'!$B$32)/1000+'Inputs'!$B$21)+'Inputs'!$B$7)^2+('Inputs'!$B$6/2)^2)-(((109-43)*MAX('Inputs'!$B$33,'Inputs'!$B$29+'Inputs'!$B$31+'Inputs'!$B$32,'Inputs'!$B$30+'Inputs'!$B$31+'Inputs'!$B$32)/1000+'Inputs'!$B$21))/SQRT((((109-43)*MAX('Inputs'!$B$33,'Inputs'!$B$29+'Inputs'!$B$31+'Inputs'!$B$32,'Inputs'!$B$30+'Inputs'!$B$31+'Inputs'!$B$32)/1000+'Inputs'!$B$21))^2+('Inputs'!$B$6/2)^2)))-'Results'!C7*(0.5*((((109-43)*MAX('Inputs'!$B$33,'Inputs'!$B$29+'Inputs'!$B$31+'Inputs'!$B$32,'Inputs'!$B$30+'Inputs'!$B$31+'Inputs'!$B$32)/1000+'Inputs'!$B$21+'Inputs'!$B$7+'Inputs'!$B$10)+'Inputs'!$B$9)/SQRT((((109-43)*MAX('Inputs'!$B$33,'Inputs'!$B$29+'Inputs'!$B$31+'Inputs'!$B$32,'Inputs'!$B$30+'Inputs'!$B$31+'Inputs'!$B$32)/1000+'Inputs'!$B$21+'Inputs'!$B$7+'Inputs'!$B$10)+'Inputs'!$B$9)^2+('Inputs'!$B$8/2)^2)-(((109-43)*MAX('Inputs'!$B$33,'Inputs'!$B$29+'Inputs'!$B$31+'Inputs'!$B$32,'Inputs'!$B$30+'Inputs'!$B$31+'Inputs'!$B$32)/1000+'Inputs'!$B$21+'Inputs'!$B$7+'Inputs'!$B$10))/SQRT((((109-43)*MAX('Inputs'!$B$33,'Inputs'!$B$29+'Inputs'!$B$31+'Inputs'!$B$32,'Inputs'!$B$30+'Inputs'!$B$31+'Inputs'!$B$32)/1000+'Inputs'!$B$21+'Inputs'!$B$7+'Inputs'!$B$10))^2+('Inputs'!$B$8/2)^2))))*'Results'!$B$8),"")</x:f>
        <x:v>720.9923733735051</x:v>
      </x:c>
      <x:c r="K109" t="n">
        <x:f>IF(AND(ISNUMBER('Results'!B7),ISNUMBER('Results'!C7),ISNUMBER('Results'!$B$8),ISNUMBER('Inputs'!$B$6),ISNUMBER('Inputs'!$B$7),ISNUMBER('Inputs'!$B$8),ISNUMBER('Inputs'!$B$9),ISNUMBER('Inputs'!$B$10),ISNUMBER('Inputs'!$B$21),ISNUMBER('Inputs'!$B$24),ISNUMBER('Inputs'!$B$28)),((('Results'!B7*(1-'Inputs'!$B$24)*(0.5*((((109-43)*MAX('Inputs'!$B$33,'Inputs'!$B$29+'Inputs'!$B$31+'Inputs'!$B$32,'Inputs'!$B$30+'Inputs'!$B$31+'Inputs'!$B$32)/1000+'Inputs'!$B$21)+'Inputs'!$B$7)/SQRT((((109-43)*MAX('Inputs'!$B$33,'Inputs'!$B$29+'Inputs'!$B$31+'Inputs'!$B$32,'Inputs'!$B$30+'Inputs'!$B$31+'Inputs'!$B$32)/1000+'Inputs'!$B$21)+'Inputs'!$B$7)^2+('Inputs'!$B$6/2)^2)-(((109-43)*MAX('Inputs'!$B$33,'Inputs'!$B$29+'Inputs'!$B$31+'Inputs'!$B$32,'Inputs'!$B$30+'Inputs'!$B$31+'Inputs'!$B$32)/1000+'Inputs'!$B$21))/SQRT((((109-43)*MAX('Inputs'!$B$33,'Inputs'!$B$29+'Inputs'!$B$31+'Inputs'!$B$32,'Inputs'!$B$30+'Inputs'!$B$31+'Inputs'!$B$32)/1000+'Inputs'!$B$21))^2+('Inputs'!$B$6/2)^2)))-'Results'!C7*(1+'Inputs'!$B$24)*(0.5*((((109-43)*MAX('Inputs'!$B$33,'Inputs'!$B$29+'Inputs'!$B$31+'Inputs'!$B$32,'Inputs'!$B$30+'Inputs'!$B$31+'Inputs'!$B$32)/1000+'Inputs'!$B$21+'Inputs'!$B$7+'Inputs'!$B$10)+'Inputs'!$B$9)/SQRT((((109-43)*MAX('Inputs'!$B$33,'Inputs'!$B$29+'Inputs'!$B$31+'Inputs'!$B$32,'Inputs'!$B$30+'Inputs'!$B$31+'Inputs'!$B$32)/1000+'Inputs'!$B$21+'Inputs'!$B$7+'Inputs'!$B$10)+'Inputs'!$B$9)^2+('Inputs'!$B$8/2)^2)-(((109-43)*MAX('Inputs'!$B$33,'Inputs'!$B$29+'Inputs'!$B$31+'Inputs'!$B$32,'Inputs'!$B$30+'Inputs'!$B$31+'Inputs'!$B$32)/1000+'Inputs'!$B$21+'Inputs'!$B$7+'Inputs'!$B$10))/SQRT((((109-43)*MAX('Inputs'!$B$33,'Inputs'!$B$29+'Inputs'!$B$31+'Inputs'!$B$32,'Inputs'!$B$30+'Inputs'!$B$31+'Inputs'!$B$32)/1000+'Inputs'!$B$21+'Inputs'!$B$7+'Inputs'!$B$10))^2+('Inputs'!$B$8/2)^2))))*'Results'!$B$8)-'Inputs'!$B$28*ABS((('Results'!B7*(1-'Inputs'!$B$24)*(0.5*((((109-43)*MAX('Inputs'!$B$33,'Inputs'!$B$29+'Inputs'!$B$31+'Inputs'!$B$32,'Inputs'!$B$30+'Inputs'!$B$31+'Inputs'!$B$32)/1000+'Inputs'!$B$21)+'Inputs'!$B$7)/SQRT((((109-43)*MAX('Inputs'!$B$33,'Inputs'!$B$29+'Inputs'!$B$31+'Inputs'!$B$32,'Inputs'!$B$30+'Inputs'!$B$31+'Inputs'!$B$32)/1000+'Inputs'!$B$21)+'Inputs'!$B$7)^2+('Inputs'!$B$6/2)^2)-(((109-43)*MAX('Inputs'!$B$33,'Inputs'!$B$29+'Inputs'!$B$31+'Inputs'!$B$32,'Inputs'!$B$30+'Inputs'!$B$31+'Inputs'!$B$32)/1000+'Inputs'!$B$21))/SQRT((((109-43)*MAX('Inputs'!$B$33,'Inputs'!$B$29+'Inputs'!$B$31+'Inputs'!$B$32,'Inputs'!$B$30+'Inputs'!$B$31+'Inputs'!$B$32)/1000+'Inputs'!$B$21))^2+('Inputs'!$B$6/2)^2)))-'Results'!C7*(1+'Inputs'!$B$24)*(0.5*((((109-43)*MAX('Inputs'!$B$33,'Inputs'!$B$29+'Inputs'!$B$31+'Inputs'!$B$32,'Inputs'!$B$30+'Inputs'!$B$31+'Inputs'!$B$32)/1000+'Inputs'!$B$21+'Inputs'!$B$7+'Inputs'!$B$10)+'Inputs'!$B$9)/SQRT((((109-43)*MAX('Inputs'!$B$33,'Inputs'!$B$29+'Inputs'!$B$31+'Inputs'!$B$32,'Inputs'!$B$30+'Inputs'!$B$31+'Inputs'!$B$32)/1000+'Inputs'!$B$21+'Inputs'!$B$7+'Inputs'!$B$10)+'Inputs'!$B$9)^2+('Inputs'!$B$8/2)^2)-(((109-43)*MAX('Inputs'!$B$33,'Inputs'!$B$29+'Inputs'!$B$31+'Inputs'!$B$32,'Inputs'!$B$30+'Inputs'!$B$31+'Inputs'!$B$32)/1000+'Inputs'!$B$21+'Inputs'!$B$7+'Inputs'!$B$10))/SQRT((((109-43)*MAX('Inputs'!$B$33,'Inputs'!$B$29+'Inputs'!$B$31+'Inputs'!$B$32,'Inputs'!$B$30+'Inputs'!$B$31+'Inputs'!$B$32)/1000+'Inputs'!$B$21+'Inputs'!$B$7+'Inputs'!$B$10))^2+('Inputs'!$B$8/2)^2))))*'Results'!$B$8))),"")</x:f>
        <x:v>666.2337831492882</x:v>
      </x:c>
      <x:c r="L109" t="n">
        <x:f>IF(AND(ISNUMBER('Results'!B7),ISNUMBER('Results'!C7),ISNUMBER('Results'!$B$8),ISNUMBER('Inputs'!$B$6),ISNUMBER('Inputs'!$B$7),ISNUMBER('Inputs'!$B$8),ISNUMBER('Inputs'!$B$9),ISNUMBER('Inputs'!$B$10),ISNUMBER('Inputs'!$B$21),ISNUMBER('Inputs'!$B$24),ISNUMBER('Inputs'!$B$28)),((('Results'!B7*(1+'Inputs'!$B$24)*(0.5*((((109-43)*MAX('Inputs'!$B$33,'Inputs'!$B$29+'Inputs'!$B$31+'Inputs'!$B$32,'Inputs'!$B$30+'Inputs'!$B$31+'Inputs'!$B$32)/1000+'Inputs'!$B$21)+'Inputs'!$B$7)/SQRT((((109-43)*MAX('Inputs'!$B$33,'Inputs'!$B$29+'Inputs'!$B$31+'Inputs'!$B$32,'Inputs'!$B$30+'Inputs'!$B$31+'Inputs'!$B$32)/1000+'Inputs'!$B$21)+'Inputs'!$B$7)^2+('Inputs'!$B$6/2)^2)-(((109-43)*MAX('Inputs'!$B$33,'Inputs'!$B$29+'Inputs'!$B$31+'Inputs'!$B$32,'Inputs'!$B$30+'Inputs'!$B$31+'Inputs'!$B$32)/1000+'Inputs'!$B$21))/SQRT((((109-43)*MAX('Inputs'!$B$33,'Inputs'!$B$29+'Inputs'!$B$31+'Inputs'!$B$32,'Inputs'!$B$30+'Inputs'!$B$31+'Inputs'!$B$32)/1000+'Inputs'!$B$21))^2+('Inputs'!$B$6/2)^2)))-'Results'!C7*(1-'Inputs'!$B$24)*(0.5*((((109-43)*MAX('Inputs'!$B$33,'Inputs'!$B$29+'Inputs'!$B$31+'Inputs'!$B$32,'Inputs'!$B$30+'Inputs'!$B$31+'Inputs'!$B$32)/1000+'Inputs'!$B$21+'Inputs'!$B$7+'Inputs'!$B$10)+'Inputs'!$B$9)/SQRT((((109-43)*MAX('Inputs'!$B$33,'Inputs'!$B$29+'Inputs'!$B$31+'Inputs'!$B$32,'Inputs'!$B$30+'Inputs'!$B$31+'Inputs'!$B$32)/1000+'Inputs'!$B$21+'Inputs'!$B$7+'Inputs'!$B$10)+'Inputs'!$B$9)^2+('Inputs'!$B$8/2)^2)-(((109-43)*MAX('Inputs'!$B$33,'Inputs'!$B$29+'Inputs'!$B$31+'Inputs'!$B$32,'Inputs'!$B$30+'Inputs'!$B$31+'Inputs'!$B$32)/1000+'Inputs'!$B$21+'Inputs'!$B$7+'Inputs'!$B$10))/SQRT((((109-43)*MAX('Inputs'!$B$33,'Inputs'!$B$29+'Inputs'!$B$31+'Inputs'!$B$32,'Inputs'!$B$30+'Inputs'!$B$31+'Inputs'!$B$32)/1000+'Inputs'!$B$21+'Inputs'!$B$7+'Inputs'!$B$10))^2+('Inputs'!$B$8/2)^2))))*'Results'!$B$8)+'Inputs'!$B$28*ABS((('Results'!B7*(1+'Inputs'!$B$24)*(0.5*((((109-43)*MAX('Inputs'!$B$33,'Inputs'!$B$29+'Inputs'!$B$31+'Inputs'!$B$32,'Inputs'!$B$30+'Inputs'!$B$31+'Inputs'!$B$32)/1000+'Inputs'!$B$21)+'Inputs'!$B$7)/SQRT((((109-43)*MAX('Inputs'!$B$33,'Inputs'!$B$29+'Inputs'!$B$31+'Inputs'!$B$32,'Inputs'!$B$30+'Inputs'!$B$31+'Inputs'!$B$32)/1000+'Inputs'!$B$21)+'Inputs'!$B$7)^2+('Inputs'!$B$6/2)^2)-(((109-43)*MAX('Inputs'!$B$33,'Inputs'!$B$29+'Inputs'!$B$31+'Inputs'!$B$32,'Inputs'!$B$30+'Inputs'!$B$31+'Inputs'!$B$32)/1000+'Inputs'!$B$21))/SQRT((((109-43)*MAX('Inputs'!$B$33,'Inputs'!$B$29+'Inputs'!$B$31+'Inputs'!$B$32,'Inputs'!$B$30+'Inputs'!$B$31+'Inputs'!$B$32)/1000+'Inputs'!$B$21))^2+('Inputs'!$B$6/2)^2)))-'Results'!C7*(1-'Inputs'!$B$24)*(0.5*((((109-43)*MAX('Inputs'!$B$33,'Inputs'!$B$29+'Inputs'!$B$31+'Inputs'!$B$32,'Inputs'!$B$30+'Inputs'!$B$31+'Inputs'!$B$32)/1000+'Inputs'!$B$21+'Inputs'!$B$7+'Inputs'!$B$10)+'Inputs'!$B$9)/SQRT((((109-43)*MAX('Inputs'!$B$33,'Inputs'!$B$29+'Inputs'!$B$31+'Inputs'!$B$32,'Inputs'!$B$30+'Inputs'!$B$31+'Inputs'!$B$32)/1000+'Inputs'!$B$21+'Inputs'!$B$7+'Inputs'!$B$10)+'Inputs'!$B$9)^2+('Inputs'!$B$8/2)^2)-(((109-43)*MAX('Inputs'!$B$33,'Inputs'!$B$29+'Inputs'!$B$31+'Inputs'!$B$32,'Inputs'!$B$30+'Inputs'!$B$31+'Inputs'!$B$32)/1000+'Inputs'!$B$21+'Inputs'!$B$7+'Inputs'!$B$10))/SQRT((((109-43)*MAX('Inputs'!$B$33,'Inputs'!$B$29+'Inputs'!$B$31+'Inputs'!$B$32,'Inputs'!$B$30+'Inputs'!$B$31+'Inputs'!$B$32)/1000+'Inputs'!$B$21+'Inputs'!$B$7+'Inputs'!$B$10))^2+('Inputs'!$B$8/2)^2))))*'Results'!$B$8))),"")</x:f>
        <x:v>777.720329024621</x:v>
      </x:c>
      <x:c r="M109" t="n">
        <x:f>IF(AND(ISNUMBER('Results'!C7),ISNUMBER('Results'!B7),ISNUMBER('Results'!$B$8),ISNUMBER('Inputs'!$B$6),ISNUMBER('Inputs'!$B$7),ISNUMBER('Inputs'!$B$8),ISNUMBER('Inputs'!$B$9),ISNUMBER('Inputs'!$B$10),ISNUMBER('Inputs'!$B$21),ISNUMBER('Inputs'!$B$24),ISNUMBER('Inputs'!$B$28)),(('Results'!C7*(0.5*((((109-43)*MAX('Inputs'!$B$33,'Inputs'!$B$29+'Inputs'!$B$31+'Inputs'!$B$32,'Inputs'!$B$30+'Inputs'!$B$31+'Inputs'!$B$32)/1000+'Inputs'!$B$21)+'Inputs'!$B$9)/SQRT((((109-43)*MAX('Inputs'!$B$33,'Inputs'!$B$29+'Inputs'!$B$31+'Inputs'!$B$32,'Inputs'!$B$30+'Inputs'!$B$31+'Inputs'!$B$32)/1000+'Inputs'!$B$21)+'Inputs'!$B$9)^2+('Inputs'!$B$8/2)^2)-(((109-43)*MAX('Inputs'!$B$33,'Inputs'!$B$29+'Inputs'!$B$31+'Inputs'!$B$32,'Inputs'!$B$30+'Inputs'!$B$31+'Inputs'!$B$32)/1000+'Inputs'!$B$21))/SQRT((((109-43)*MAX('Inputs'!$B$33,'Inputs'!$B$29+'Inputs'!$B$31+'Inputs'!$B$32,'Inputs'!$B$30+'Inputs'!$B$31+'Inputs'!$B$32)/1000+'Inputs'!$B$21))^2+('Inputs'!$B$8/2)^2)))-'Results'!B7*(0.5*((((109-43)*MAX('Inputs'!$B$33,'Inputs'!$B$29+'Inputs'!$B$31+'Inputs'!$B$32,'Inputs'!$B$30+'Inputs'!$B$31+'Inputs'!$B$32)/1000+'Inputs'!$B$21+'Inputs'!$B$9+'Inputs'!$B$10)+'Inputs'!$B$7)/SQRT((((109-43)*MAX('Inputs'!$B$33,'Inputs'!$B$29+'Inputs'!$B$31+'Inputs'!$B$32,'Inputs'!$B$30+'Inputs'!$B$31+'Inputs'!$B$32)/1000+'Inputs'!$B$21+'Inputs'!$B$9+'Inputs'!$B$10)+'Inputs'!$B$7)^2+('Inputs'!$B$6/2)^2)-(((109-43)*MAX('Inputs'!$B$33,'Inputs'!$B$29+'Inputs'!$B$31+'Inputs'!$B$32,'Inputs'!$B$30+'Inputs'!$B$31+'Inputs'!$B$32)/1000+'Inputs'!$B$21+'Inputs'!$B$9+'Inputs'!$B$10))/SQRT((((109-43)*MAX('Inputs'!$B$33,'Inputs'!$B$29+'Inputs'!$B$31+'Inputs'!$B$32,'Inputs'!$B$30+'Inputs'!$B$31+'Inputs'!$B$32)/1000+'Inputs'!$B$21+'Inputs'!$B$9+'Inputs'!$B$10))^2+('Inputs'!$B$6/2)^2))))*'Results'!$B$8),"")</x:f>
        <x:v>701.2449047493964</x:v>
      </x:c>
      <x:c r="N109" t="n">
        <x:f>IF(AND(ISNUMBER('Results'!C7),ISNUMBER('Results'!B7),ISNUMBER('Results'!$B$8),ISNUMBER('Inputs'!$B$6),ISNUMBER('Inputs'!$B$7),ISNUMBER('Inputs'!$B$8),ISNUMBER('Inputs'!$B$9),ISNUMBER('Inputs'!$B$10),ISNUMBER('Inputs'!$B$21),ISNUMBER('Inputs'!$B$24),ISNUMBER('Inputs'!$B$28)),((('Results'!C7*(1-'Inputs'!$B$24)*(0.5*((((109-43)*MAX('Inputs'!$B$33,'Inputs'!$B$29+'Inputs'!$B$31+'Inputs'!$B$32,'Inputs'!$B$30+'Inputs'!$B$31+'Inputs'!$B$32)/1000+'Inputs'!$B$21)+'Inputs'!$B$9)/SQRT((((109-43)*MAX('Inputs'!$B$33,'Inputs'!$B$29+'Inputs'!$B$31+'Inputs'!$B$32,'Inputs'!$B$30+'Inputs'!$B$31+'Inputs'!$B$32)/1000+'Inputs'!$B$21)+'Inputs'!$B$9)^2+('Inputs'!$B$8/2)^2)-(((109-43)*MAX('Inputs'!$B$33,'Inputs'!$B$29+'Inputs'!$B$31+'Inputs'!$B$32,'Inputs'!$B$30+'Inputs'!$B$31+'Inputs'!$B$32)/1000+'Inputs'!$B$21))/SQRT((((109-43)*MAX('Inputs'!$B$33,'Inputs'!$B$29+'Inputs'!$B$31+'Inputs'!$B$32,'Inputs'!$B$30+'Inputs'!$B$31+'Inputs'!$B$32)/1000+'Inputs'!$B$21))^2+('Inputs'!$B$8/2)^2)))-'Results'!B7*(1+'Inputs'!$B$24)*(0.5*((((109-43)*MAX('Inputs'!$B$33,'Inputs'!$B$29+'Inputs'!$B$31+'Inputs'!$B$32,'Inputs'!$B$30+'Inputs'!$B$31+'Inputs'!$B$32)/1000+'Inputs'!$B$21+'Inputs'!$B$9+'Inputs'!$B$10)+'Inputs'!$B$7)/SQRT((((109-43)*MAX('Inputs'!$B$33,'Inputs'!$B$29+'Inputs'!$B$31+'Inputs'!$B$32,'Inputs'!$B$30+'Inputs'!$B$31+'Inputs'!$B$32)/1000+'Inputs'!$B$21+'Inputs'!$B$9+'Inputs'!$B$10)+'Inputs'!$B$7)^2+('Inputs'!$B$6/2)^2)-(((109-43)*MAX('Inputs'!$B$33,'Inputs'!$B$29+'Inputs'!$B$31+'Inputs'!$B$32,'Inputs'!$B$30+'Inputs'!$B$31+'Inputs'!$B$32)/1000+'Inputs'!$B$21+'Inputs'!$B$9+'Inputs'!$B$10))/SQRT((((109-43)*MAX('Inputs'!$B$33,'Inputs'!$B$29+'Inputs'!$B$31+'Inputs'!$B$32,'Inputs'!$B$30+'Inputs'!$B$31+'Inputs'!$B$32)/1000+'Inputs'!$B$21+'Inputs'!$B$9+'Inputs'!$B$10))^2+('Inputs'!$B$6/2)^2))))*'Results'!$B$8)-'Inputs'!$B$28*ABS((('Results'!C7*(1-'Inputs'!$B$24)*(0.5*((((109-43)*MAX('Inputs'!$B$33,'Inputs'!$B$29+'Inputs'!$B$31+'Inputs'!$B$32,'Inputs'!$B$30+'Inputs'!$B$31+'Inputs'!$B$32)/1000+'Inputs'!$B$21)+'Inputs'!$B$9)/SQRT((((109-43)*MAX('Inputs'!$B$33,'Inputs'!$B$29+'Inputs'!$B$31+'Inputs'!$B$32,'Inputs'!$B$30+'Inputs'!$B$31+'Inputs'!$B$32)/1000+'Inputs'!$B$21)+'Inputs'!$B$9)^2+('Inputs'!$B$8/2)^2)-(((109-43)*MAX('Inputs'!$B$33,'Inputs'!$B$29+'Inputs'!$B$31+'Inputs'!$B$32,'Inputs'!$B$30+'Inputs'!$B$31+'Inputs'!$B$32)/1000+'Inputs'!$B$21))/SQRT((((109-43)*MAX('Inputs'!$B$33,'Inputs'!$B$29+'Inputs'!$B$31+'Inputs'!$B$32,'Inputs'!$B$30+'Inputs'!$B$31+'Inputs'!$B$32)/1000+'Inputs'!$B$21))^2+('Inputs'!$B$8/2)^2)))-'Results'!B7*(1+'Inputs'!$B$24)*(0.5*((((109-43)*MAX('Inputs'!$B$33,'Inputs'!$B$29+'Inputs'!$B$31+'Inputs'!$B$32,'Inputs'!$B$30+'Inputs'!$B$31+'Inputs'!$B$32)/1000+'Inputs'!$B$21+'Inputs'!$B$9+'Inputs'!$B$10)+'Inputs'!$B$7)/SQRT((((109-43)*MAX('Inputs'!$B$33,'Inputs'!$B$29+'Inputs'!$B$31+'Inputs'!$B$32,'Inputs'!$B$30+'Inputs'!$B$31+'Inputs'!$B$32)/1000+'Inputs'!$B$21+'Inputs'!$B$9+'Inputs'!$B$10)+'Inputs'!$B$7)^2+('Inputs'!$B$6/2)^2)-(((109-43)*MAX('Inputs'!$B$33,'Inputs'!$B$29+'Inputs'!$B$31+'Inputs'!$B$32,'Inputs'!$B$30+'Inputs'!$B$31+'Inputs'!$B$32)/1000+'Inputs'!$B$21+'Inputs'!$B$9+'Inputs'!$B$10))/SQRT((((109-43)*MAX('Inputs'!$B$33,'Inputs'!$B$29+'Inputs'!$B$31+'Inputs'!$B$32,'Inputs'!$B$30+'Inputs'!$B$31+'Inputs'!$B$32)/1000+'Inputs'!$B$21+'Inputs'!$B$9+'Inputs'!$B$10))^2+('Inputs'!$B$6/2)^2))))*'Results'!$B$8))),"")</x:f>
        <x:v>647.7466425855197</x:v>
      </x:c>
      <x:c r="O109" t="n">
        <x:f>IF(AND(ISNUMBER('Results'!C7),ISNUMBER('Results'!B7),ISNUMBER('Results'!$B$8),ISNUMBER('Inputs'!$B$6),ISNUMBER('Inputs'!$B$7),ISNUMBER('Inputs'!$B$8),ISNUMBER('Inputs'!$B$9),ISNUMBER('Inputs'!$B$10),ISNUMBER('Inputs'!$B$21),ISNUMBER('Inputs'!$B$24),ISNUMBER('Inputs'!$B$28)),((('Results'!C7*(1+'Inputs'!$B$24)*(0.5*((((109-43)*MAX('Inputs'!$B$33,'Inputs'!$B$29+'Inputs'!$B$31+'Inputs'!$B$32,'Inputs'!$B$30+'Inputs'!$B$31+'Inputs'!$B$32)/1000+'Inputs'!$B$21)+'Inputs'!$B$9)/SQRT((((109-43)*MAX('Inputs'!$B$33,'Inputs'!$B$29+'Inputs'!$B$31+'Inputs'!$B$32,'Inputs'!$B$30+'Inputs'!$B$31+'Inputs'!$B$32)/1000+'Inputs'!$B$21)+'Inputs'!$B$9)^2+('Inputs'!$B$8/2)^2)-(((109-43)*MAX('Inputs'!$B$33,'Inputs'!$B$29+'Inputs'!$B$31+'Inputs'!$B$32,'Inputs'!$B$30+'Inputs'!$B$31+'Inputs'!$B$32)/1000+'Inputs'!$B$21))/SQRT((((109-43)*MAX('Inputs'!$B$33,'Inputs'!$B$29+'Inputs'!$B$31+'Inputs'!$B$32,'Inputs'!$B$30+'Inputs'!$B$31+'Inputs'!$B$32)/1000+'Inputs'!$B$21))^2+('Inputs'!$B$8/2)^2)))-'Results'!B7*(1-'Inputs'!$B$24)*(0.5*((((109-43)*MAX('Inputs'!$B$33,'Inputs'!$B$29+'Inputs'!$B$31+'Inputs'!$B$32,'Inputs'!$B$30+'Inputs'!$B$31+'Inputs'!$B$32)/1000+'Inputs'!$B$21+'Inputs'!$B$9+'Inputs'!$B$10)+'Inputs'!$B$7)/SQRT((((109-43)*MAX('Inputs'!$B$33,'Inputs'!$B$29+'Inputs'!$B$31+'Inputs'!$B$32,'Inputs'!$B$30+'Inputs'!$B$31+'Inputs'!$B$32)/1000+'Inputs'!$B$21+'Inputs'!$B$9+'Inputs'!$B$10)+'Inputs'!$B$7)^2+('Inputs'!$B$6/2)^2)-(((109-43)*MAX('Inputs'!$B$33,'Inputs'!$B$29+'Inputs'!$B$31+'Inputs'!$B$32,'Inputs'!$B$30+'Inputs'!$B$31+'Inputs'!$B$32)/1000+'Inputs'!$B$21+'Inputs'!$B$9+'Inputs'!$B$10))/SQRT((((109-43)*MAX('Inputs'!$B$33,'Inputs'!$B$29+'Inputs'!$B$31+'Inputs'!$B$32,'Inputs'!$B$30+'Inputs'!$B$31+'Inputs'!$B$32)/1000+'Inputs'!$B$21+'Inputs'!$B$9+'Inputs'!$B$10))^2+('Inputs'!$B$6/2)^2))))*'Results'!$B$8)+'Inputs'!$B$28*ABS((('Results'!C7*(1+'Inputs'!$B$24)*(0.5*((((109-43)*MAX('Inputs'!$B$33,'Inputs'!$B$29+'Inputs'!$B$31+'Inputs'!$B$32,'Inputs'!$B$30+'Inputs'!$B$31+'Inputs'!$B$32)/1000+'Inputs'!$B$21)+'Inputs'!$B$9)/SQRT((((109-43)*MAX('Inputs'!$B$33,'Inputs'!$B$29+'Inputs'!$B$31+'Inputs'!$B$32,'Inputs'!$B$30+'Inputs'!$B$31+'Inputs'!$B$32)/1000+'Inputs'!$B$21)+'Inputs'!$B$9)^2+('Inputs'!$B$8/2)^2)-(((109-43)*MAX('Inputs'!$B$33,'Inputs'!$B$29+'Inputs'!$B$31+'Inputs'!$B$32,'Inputs'!$B$30+'Inputs'!$B$31+'Inputs'!$B$32)/1000+'Inputs'!$B$21))/SQRT((((109-43)*MAX('Inputs'!$B$33,'Inputs'!$B$29+'Inputs'!$B$31+'Inputs'!$B$32,'Inputs'!$B$30+'Inputs'!$B$31+'Inputs'!$B$32)/1000+'Inputs'!$B$21))^2+('Inputs'!$B$8/2)^2)))-'Results'!B7*(1-'Inputs'!$B$24)*(0.5*((((109-43)*MAX('Inputs'!$B$33,'Inputs'!$B$29+'Inputs'!$B$31+'Inputs'!$B$32,'Inputs'!$B$30+'Inputs'!$B$31+'Inputs'!$B$32)/1000+'Inputs'!$B$21+'Inputs'!$B$9+'Inputs'!$B$10)+'Inputs'!$B$7)/SQRT((((109-43)*MAX('Inputs'!$B$33,'Inputs'!$B$29+'Inputs'!$B$31+'Inputs'!$B$32,'Inputs'!$B$30+'Inputs'!$B$31+'Inputs'!$B$32)/1000+'Inputs'!$B$21+'Inputs'!$B$9+'Inputs'!$B$10)+'Inputs'!$B$7)^2+('Inputs'!$B$6/2)^2)-(((109-43)*MAX('Inputs'!$B$33,'Inputs'!$B$29+'Inputs'!$B$31+'Inputs'!$B$32,'Inputs'!$B$30+'Inputs'!$B$31+'Inputs'!$B$32)/1000+'Inputs'!$B$21+'Inputs'!$B$9+'Inputs'!$B$10))/SQRT((((109-43)*MAX('Inputs'!$B$33,'Inputs'!$B$29+'Inputs'!$B$31+'Inputs'!$B$32,'Inputs'!$B$30+'Inputs'!$B$31+'Inputs'!$B$32)/1000+'Inputs'!$B$21+'Inputs'!$B$9+'Inputs'!$B$10))^2+('Inputs'!$B$6/2)^2))))*'Results'!$B$8))),"")</x:f>
        <x:v>756.6838002739476</x:v>
      </x:c>
      <x:c r="P109" t="n">
        <x:f>IF(AND(MAX(J109,J108)&gt;0,J109&gt;J108+0.00000001),1,0)</x:f>
        <x:v>0</x:v>
      </x:c>
      <x:c r="Q109" t="n">
        <x:f>IF(AND(MAX(K109,K108)&gt;0,K109&gt;K108+0.00000001),1,0)</x:f>
        <x:v>0</x:v>
      </x:c>
      <x:c r="R109" t="n">
        <x:f>IF(AND(MAX(L109,L108)&gt;0,L109&gt;L108+0.00000001),1,0)</x:f>
        <x:v>0</x:v>
      </x:c>
      <x:c r="S109" t="n">
        <x:f>IF(AND(MAX(M109,M108)&gt;0,M109&gt;M108+0.00000001),1,0)</x:f>
        <x:v>0</x:v>
      </x:c>
      <x:c r="T109" t="n">
        <x:f>IF(AND(MAX(N109,N108)&gt;0,N109&gt;N108+0.00000001),1,0)</x:f>
        <x:v>0</x:v>
      </x:c>
      <x:c r="U109" t="n">
        <x:f>IF(AND(MAX(O109,O108)&gt;0,O109&gt;O108+0.00000001),1,0)</x:f>
        <x:v>0</x:v>
      </x:c>
    </x:row>
    <x:row r="110">
      <x:c r="J110" t="n">
        <x:f>IF(AND(ISNUMBER('Results'!B7),ISNUMBER('Results'!C7),ISNUMBER('Results'!$B$8),ISNUMBER('Inputs'!$B$6),ISNUMBER('Inputs'!$B$7),ISNUMBER('Inputs'!$B$8),ISNUMBER('Inputs'!$B$9),ISNUMBER('Inputs'!$B$10),ISNUMBER('Inputs'!$B$21),ISNUMBER('Inputs'!$B$24),ISNUMBER('Inputs'!$B$28)),(('Results'!B7*(0.5*((((110-43)*MAX('Inputs'!$B$33,'Inputs'!$B$29+'Inputs'!$B$31+'Inputs'!$B$32,'Inputs'!$B$30+'Inputs'!$B$31+'Inputs'!$B$32)/1000+'Inputs'!$B$21)+'Inputs'!$B$7)/SQRT((((110-43)*MAX('Inputs'!$B$33,'Inputs'!$B$29+'Inputs'!$B$31+'Inputs'!$B$32,'Inputs'!$B$30+'Inputs'!$B$31+'Inputs'!$B$32)/1000+'Inputs'!$B$21)+'Inputs'!$B$7)^2+('Inputs'!$B$6/2)^2)-(((110-43)*MAX('Inputs'!$B$33,'Inputs'!$B$29+'Inputs'!$B$31+'Inputs'!$B$32,'Inputs'!$B$30+'Inputs'!$B$31+'Inputs'!$B$32)/1000+'Inputs'!$B$21))/SQRT((((110-43)*MAX('Inputs'!$B$33,'Inputs'!$B$29+'Inputs'!$B$31+'Inputs'!$B$32,'Inputs'!$B$30+'Inputs'!$B$31+'Inputs'!$B$32)/1000+'Inputs'!$B$21))^2+('Inputs'!$B$6/2)^2)))-'Results'!C7*(0.5*((((110-43)*MAX('Inputs'!$B$33,'Inputs'!$B$29+'Inputs'!$B$31+'Inputs'!$B$32,'Inputs'!$B$30+'Inputs'!$B$31+'Inputs'!$B$32)/1000+'Inputs'!$B$21+'Inputs'!$B$7+'Inputs'!$B$10)+'Inputs'!$B$9)/SQRT((((110-43)*MAX('Inputs'!$B$33,'Inputs'!$B$29+'Inputs'!$B$31+'Inputs'!$B$32,'Inputs'!$B$30+'Inputs'!$B$31+'Inputs'!$B$32)/1000+'Inputs'!$B$21+'Inputs'!$B$7+'Inputs'!$B$10)+'Inputs'!$B$9)^2+('Inputs'!$B$8/2)^2)-(((110-43)*MAX('Inputs'!$B$33,'Inputs'!$B$29+'Inputs'!$B$31+'Inputs'!$B$32,'Inputs'!$B$30+'Inputs'!$B$31+'Inputs'!$B$32)/1000+'Inputs'!$B$21+'Inputs'!$B$7+'Inputs'!$B$10))/SQRT((((110-43)*MAX('Inputs'!$B$33,'Inputs'!$B$29+'Inputs'!$B$31+'Inputs'!$B$32,'Inputs'!$B$30+'Inputs'!$B$31+'Inputs'!$B$32)/1000+'Inputs'!$B$21+'Inputs'!$B$7+'Inputs'!$B$10))^2+('Inputs'!$B$8/2)^2))))*'Results'!$B$8),"")</x:f>
        <x:v>706.8874812931097</x:v>
      </x:c>
      <x:c r="K110" t="n">
        <x:f>IF(AND(ISNUMBER('Results'!B7),ISNUMBER('Results'!C7),ISNUMBER('Results'!$B$8),ISNUMBER('Inputs'!$B$6),ISNUMBER('Inputs'!$B$7),ISNUMBER('Inputs'!$B$8),ISNUMBER('Inputs'!$B$9),ISNUMBER('Inputs'!$B$10),ISNUMBER('Inputs'!$B$21),ISNUMBER('Inputs'!$B$24),ISNUMBER('Inputs'!$B$28)),((('Results'!B7*(1-'Inputs'!$B$24)*(0.5*((((110-43)*MAX('Inputs'!$B$33,'Inputs'!$B$29+'Inputs'!$B$31+'Inputs'!$B$32,'Inputs'!$B$30+'Inputs'!$B$31+'Inputs'!$B$32)/1000+'Inputs'!$B$21)+'Inputs'!$B$7)/SQRT((((110-43)*MAX('Inputs'!$B$33,'Inputs'!$B$29+'Inputs'!$B$31+'Inputs'!$B$32,'Inputs'!$B$30+'Inputs'!$B$31+'Inputs'!$B$32)/1000+'Inputs'!$B$21)+'Inputs'!$B$7)^2+('Inputs'!$B$6/2)^2)-(((110-43)*MAX('Inputs'!$B$33,'Inputs'!$B$29+'Inputs'!$B$31+'Inputs'!$B$32,'Inputs'!$B$30+'Inputs'!$B$31+'Inputs'!$B$32)/1000+'Inputs'!$B$21))/SQRT((((110-43)*MAX('Inputs'!$B$33,'Inputs'!$B$29+'Inputs'!$B$31+'Inputs'!$B$32,'Inputs'!$B$30+'Inputs'!$B$31+'Inputs'!$B$32)/1000+'Inputs'!$B$21))^2+('Inputs'!$B$6/2)^2)))-'Results'!C7*(1+'Inputs'!$B$24)*(0.5*((((110-43)*MAX('Inputs'!$B$33,'Inputs'!$B$29+'Inputs'!$B$31+'Inputs'!$B$32,'Inputs'!$B$30+'Inputs'!$B$31+'Inputs'!$B$32)/1000+'Inputs'!$B$21+'Inputs'!$B$7+'Inputs'!$B$10)+'Inputs'!$B$9)/SQRT((((110-43)*MAX('Inputs'!$B$33,'Inputs'!$B$29+'Inputs'!$B$31+'Inputs'!$B$32,'Inputs'!$B$30+'Inputs'!$B$31+'Inputs'!$B$32)/1000+'Inputs'!$B$21+'Inputs'!$B$7+'Inputs'!$B$10)+'Inputs'!$B$9)^2+('Inputs'!$B$8/2)^2)-(((110-43)*MAX('Inputs'!$B$33,'Inputs'!$B$29+'Inputs'!$B$31+'Inputs'!$B$32,'Inputs'!$B$30+'Inputs'!$B$31+'Inputs'!$B$32)/1000+'Inputs'!$B$21+'Inputs'!$B$7+'Inputs'!$B$10))/SQRT((((110-43)*MAX('Inputs'!$B$33,'Inputs'!$B$29+'Inputs'!$B$31+'Inputs'!$B$32,'Inputs'!$B$30+'Inputs'!$B$31+'Inputs'!$B$32)/1000+'Inputs'!$B$21+'Inputs'!$B$7+'Inputs'!$B$10))^2+('Inputs'!$B$8/2)^2))))*'Results'!$B$8)-'Inputs'!$B$28*ABS((('Results'!B7*(1-'Inputs'!$B$24)*(0.5*((((110-43)*MAX('Inputs'!$B$33,'Inputs'!$B$29+'Inputs'!$B$31+'Inputs'!$B$32,'Inputs'!$B$30+'Inputs'!$B$31+'Inputs'!$B$32)/1000+'Inputs'!$B$21)+'Inputs'!$B$7)/SQRT((((110-43)*MAX('Inputs'!$B$33,'Inputs'!$B$29+'Inputs'!$B$31+'Inputs'!$B$32,'Inputs'!$B$30+'Inputs'!$B$31+'Inputs'!$B$32)/1000+'Inputs'!$B$21)+'Inputs'!$B$7)^2+('Inputs'!$B$6/2)^2)-(((110-43)*MAX('Inputs'!$B$33,'Inputs'!$B$29+'Inputs'!$B$31+'Inputs'!$B$32,'Inputs'!$B$30+'Inputs'!$B$31+'Inputs'!$B$32)/1000+'Inputs'!$B$21))/SQRT((((110-43)*MAX('Inputs'!$B$33,'Inputs'!$B$29+'Inputs'!$B$31+'Inputs'!$B$32,'Inputs'!$B$30+'Inputs'!$B$31+'Inputs'!$B$32)/1000+'Inputs'!$B$21))^2+('Inputs'!$B$6/2)^2)))-'Results'!C7*(1+'Inputs'!$B$24)*(0.5*((((110-43)*MAX('Inputs'!$B$33,'Inputs'!$B$29+'Inputs'!$B$31+'Inputs'!$B$32,'Inputs'!$B$30+'Inputs'!$B$31+'Inputs'!$B$32)/1000+'Inputs'!$B$21+'Inputs'!$B$7+'Inputs'!$B$10)+'Inputs'!$B$9)/SQRT((((110-43)*MAX('Inputs'!$B$33,'Inputs'!$B$29+'Inputs'!$B$31+'Inputs'!$B$32,'Inputs'!$B$30+'Inputs'!$B$31+'Inputs'!$B$32)/1000+'Inputs'!$B$21+'Inputs'!$B$7+'Inputs'!$B$10)+'Inputs'!$B$9)^2+('Inputs'!$B$8/2)^2)-(((110-43)*MAX('Inputs'!$B$33,'Inputs'!$B$29+'Inputs'!$B$31+'Inputs'!$B$32,'Inputs'!$B$30+'Inputs'!$B$31+'Inputs'!$B$32)/1000+'Inputs'!$B$21+'Inputs'!$B$7+'Inputs'!$B$10))/SQRT((((110-43)*MAX('Inputs'!$B$33,'Inputs'!$B$29+'Inputs'!$B$31+'Inputs'!$B$32,'Inputs'!$B$30+'Inputs'!$B$31+'Inputs'!$B$32)/1000+'Inputs'!$B$21+'Inputs'!$B$7+'Inputs'!$B$10))^2+('Inputs'!$B$8/2)^2))))*'Results'!$B$8))),"")</x:f>
        <x:v>653.1668713104907</x:v>
      </x:c>
      <x:c r="L110" t="n">
        <x:f>IF(AND(ISNUMBER('Results'!B7),ISNUMBER('Results'!C7),ISNUMBER('Results'!$B$8),ISNUMBER('Inputs'!$B$6),ISNUMBER('Inputs'!$B$7),ISNUMBER('Inputs'!$B$8),ISNUMBER('Inputs'!$B$9),ISNUMBER('Inputs'!$B$10),ISNUMBER('Inputs'!$B$21),ISNUMBER('Inputs'!$B$24),ISNUMBER('Inputs'!$B$28)),((('Results'!B7*(1+'Inputs'!$B$24)*(0.5*((((110-43)*MAX('Inputs'!$B$33,'Inputs'!$B$29+'Inputs'!$B$31+'Inputs'!$B$32,'Inputs'!$B$30+'Inputs'!$B$31+'Inputs'!$B$32)/1000+'Inputs'!$B$21)+'Inputs'!$B$7)/SQRT((((110-43)*MAX('Inputs'!$B$33,'Inputs'!$B$29+'Inputs'!$B$31+'Inputs'!$B$32,'Inputs'!$B$30+'Inputs'!$B$31+'Inputs'!$B$32)/1000+'Inputs'!$B$21)+'Inputs'!$B$7)^2+('Inputs'!$B$6/2)^2)-(((110-43)*MAX('Inputs'!$B$33,'Inputs'!$B$29+'Inputs'!$B$31+'Inputs'!$B$32,'Inputs'!$B$30+'Inputs'!$B$31+'Inputs'!$B$32)/1000+'Inputs'!$B$21))/SQRT((((110-43)*MAX('Inputs'!$B$33,'Inputs'!$B$29+'Inputs'!$B$31+'Inputs'!$B$32,'Inputs'!$B$30+'Inputs'!$B$31+'Inputs'!$B$32)/1000+'Inputs'!$B$21))^2+('Inputs'!$B$6/2)^2)))-'Results'!C7*(1-'Inputs'!$B$24)*(0.5*((((110-43)*MAX('Inputs'!$B$33,'Inputs'!$B$29+'Inputs'!$B$31+'Inputs'!$B$32,'Inputs'!$B$30+'Inputs'!$B$31+'Inputs'!$B$32)/1000+'Inputs'!$B$21+'Inputs'!$B$7+'Inputs'!$B$10)+'Inputs'!$B$9)/SQRT((((110-43)*MAX('Inputs'!$B$33,'Inputs'!$B$29+'Inputs'!$B$31+'Inputs'!$B$32,'Inputs'!$B$30+'Inputs'!$B$31+'Inputs'!$B$32)/1000+'Inputs'!$B$21+'Inputs'!$B$7+'Inputs'!$B$10)+'Inputs'!$B$9)^2+('Inputs'!$B$8/2)^2)-(((110-43)*MAX('Inputs'!$B$33,'Inputs'!$B$29+'Inputs'!$B$31+'Inputs'!$B$32,'Inputs'!$B$30+'Inputs'!$B$31+'Inputs'!$B$32)/1000+'Inputs'!$B$21+'Inputs'!$B$7+'Inputs'!$B$10))/SQRT((((110-43)*MAX('Inputs'!$B$33,'Inputs'!$B$29+'Inputs'!$B$31+'Inputs'!$B$32,'Inputs'!$B$30+'Inputs'!$B$31+'Inputs'!$B$32)/1000+'Inputs'!$B$21+'Inputs'!$B$7+'Inputs'!$B$10))^2+('Inputs'!$B$8/2)^2))))*'Results'!$B$8)+'Inputs'!$B$28*ABS((('Results'!B7*(1+'Inputs'!$B$24)*(0.5*((((110-43)*MAX('Inputs'!$B$33,'Inputs'!$B$29+'Inputs'!$B$31+'Inputs'!$B$32,'Inputs'!$B$30+'Inputs'!$B$31+'Inputs'!$B$32)/1000+'Inputs'!$B$21)+'Inputs'!$B$7)/SQRT((((110-43)*MAX('Inputs'!$B$33,'Inputs'!$B$29+'Inputs'!$B$31+'Inputs'!$B$32,'Inputs'!$B$30+'Inputs'!$B$31+'Inputs'!$B$32)/1000+'Inputs'!$B$21)+'Inputs'!$B$7)^2+('Inputs'!$B$6/2)^2)-(((110-43)*MAX('Inputs'!$B$33,'Inputs'!$B$29+'Inputs'!$B$31+'Inputs'!$B$32,'Inputs'!$B$30+'Inputs'!$B$31+'Inputs'!$B$32)/1000+'Inputs'!$B$21))/SQRT((((110-43)*MAX('Inputs'!$B$33,'Inputs'!$B$29+'Inputs'!$B$31+'Inputs'!$B$32,'Inputs'!$B$30+'Inputs'!$B$31+'Inputs'!$B$32)/1000+'Inputs'!$B$21))^2+('Inputs'!$B$6/2)^2)))-'Results'!C7*(1-'Inputs'!$B$24)*(0.5*((((110-43)*MAX('Inputs'!$B$33,'Inputs'!$B$29+'Inputs'!$B$31+'Inputs'!$B$32,'Inputs'!$B$30+'Inputs'!$B$31+'Inputs'!$B$32)/1000+'Inputs'!$B$21+'Inputs'!$B$7+'Inputs'!$B$10)+'Inputs'!$B$9)/SQRT((((110-43)*MAX('Inputs'!$B$33,'Inputs'!$B$29+'Inputs'!$B$31+'Inputs'!$B$32,'Inputs'!$B$30+'Inputs'!$B$31+'Inputs'!$B$32)/1000+'Inputs'!$B$21+'Inputs'!$B$7+'Inputs'!$B$10)+'Inputs'!$B$9)^2+('Inputs'!$B$8/2)^2)-(((110-43)*MAX('Inputs'!$B$33,'Inputs'!$B$29+'Inputs'!$B$31+'Inputs'!$B$32,'Inputs'!$B$30+'Inputs'!$B$31+'Inputs'!$B$32)/1000+'Inputs'!$B$21+'Inputs'!$B$7+'Inputs'!$B$10))/SQRT((((110-43)*MAX('Inputs'!$B$33,'Inputs'!$B$29+'Inputs'!$B$31+'Inputs'!$B$32,'Inputs'!$B$30+'Inputs'!$B$31+'Inputs'!$B$32)/1000+'Inputs'!$B$21+'Inputs'!$B$7+'Inputs'!$B$10))^2+('Inputs'!$B$8/2)^2))))*'Results'!$B$8))),"")</x:f>
        <x:v>762.5424318986722</x:v>
      </x:c>
      <x:c r="M110" t="n">
        <x:f>IF(AND(ISNUMBER('Results'!C7),ISNUMBER('Results'!B7),ISNUMBER('Results'!$B$8),ISNUMBER('Inputs'!$B$6),ISNUMBER('Inputs'!$B$7),ISNUMBER('Inputs'!$B$8),ISNUMBER('Inputs'!$B$9),ISNUMBER('Inputs'!$B$10),ISNUMBER('Inputs'!$B$21),ISNUMBER('Inputs'!$B$24),ISNUMBER('Inputs'!$B$28)),(('Results'!C7*(0.5*((((110-43)*MAX('Inputs'!$B$33,'Inputs'!$B$29+'Inputs'!$B$31+'Inputs'!$B$32,'Inputs'!$B$30+'Inputs'!$B$31+'Inputs'!$B$32)/1000+'Inputs'!$B$21)+'Inputs'!$B$9)/SQRT((((110-43)*MAX('Inputs'!$B$33,'Inputs'!$B$29+'Inputs'!$B$31+'Inputs'!$B$32,'Inputs'!$B$30+'Inputs'!$B$31+'Inputs'!$B$32)/1000+'Inputs'!$B$21)+'Inputs'!$B$9)^2+('Inputs'!$B$8/2)^2)-(((110-43)*MAX('Inputs'!$B$33,'Inputs'!$B$29+'Inputs'!$B$31+'Inputs'!$B$32,'Inputs'!$B$30+'Inputs'!$B$31+'Inputs'!$B$32)/1000+'Inputs'!$B$21))/SQRT((((110-43)*MAX('Inputs'!$B$33,'Inputs'!$B$29+'Inputs'!$B$31+'Inputs'!$B$32,'Inputs'!$B$30+'Inputs'!$B$31+'Inputs'!$B$32)/1000+'Inputs'!$B$21))^2+('Inputs'!$B$8/2)^2)))-'Results'!B7*(0.5*((((110-43)*MAX('Inputs'!$B$33,'Inputs'!$B$29+'Inputs'!$B$31+'Inputs'!$B$32,'Inputs'!$B$30+'Inputs'!$B$31+'Inputs'!$B$32)/1000+'Inputs'!$B$21+'Inputs'!$B$9+'Inputs'!$B$10)+'Inputs'!$B$7)/SQRT((((110-43)*MAX('Inputs'!$B$33,'Inputs'!$B$29+'Inputs'!$B$31+'Inputs'!$B$32,'Inputs'!$B$30+'Inputs'!$B$31+'Inputs'!$B$32)/1000+'Inputs'!$B$21+'Inputs'!$B$9+'Inputs'!$B$10)+'Inputs'!$B$7)^2+('Inputs'!$B$6/2)^2)-(((110-43)*MAX('Inputs'!$B$33,'Inputs'!$B$29+'Inputs'!$B$31+'Inputs'!$B$32,'Inputs'!$B$30+'Inputs'!$B$31+'Inputs'!$B$32)/1000+'Inputs'!$B$21+'Inputs'!$B$9+'Inputs'!$B$10))/SQRT((((110-43)*MAX('Inputs'!$B$33,'Inputs'!$B$29+'Inputs'!$B$31+'Inputs'!$B$32,'Inputs'!$B$30+'Inputs'!$B$31+'Inputs'!$B$32)/1000+'Inputs'!$B$21+'Inputs'!$B$9+'Inputs'!$B$10))^2+('Inputs'!$B$6/2)^2))))*'Results'!$B$8),"")</x:f>
        <x:v>687.4909561187401</x:v>
      </x:c>
      <x:c r="N110" t="n">
        <x:f>IF(AND(ISNUMBER('Results'!C7),ISNUMBER('Results'!B7),ISNUMBER('Results'!$B$8),ISNUMBER('Inputs'!$B$6),ISNUMBER('Inputs'!$B$7),ISNUMBER('Inputs'!$B$8),ISNUMBER('Inputs'!$B$9),ISNUMBER('Inputs'!$B$10),ISNUMBER('Inputs'!$B$21),ISNUMBER('Inputs'!$B$24),ISNUMBER('Inputs'!$B$28)),((('Results'!C7*(1-'Inputs'!$B$24)*(0.5*((((110-43)*MAX('Inputs'!$B$33,'Inputs'!$B$29+'Inputs'!$B$31+'Inputs'!$B$32,'Inputs'!$B$30+'Inputs'!$B$31+'Inputs'!$B$32)/1000+'Inputs'!$B$21)+'Inputs'!$B$9)/SQRT((((110-43)*MAX('Inputs'!$B$33,'Inputs'!$B$29+'Inputs'!$B$31+'Inputs'!$B$32,'Inputs'!$B$30+'Inputs'!$B$31+'Inputs'!$B$32)/1000+'Inputs'!$B$21)+'Inputs'!$B$9)^2+('Inputs'!$B$8/2)^2)-(((110-43)*MAX('Inputs'!$B$33,'Inputs'!$B$29+'Inputs'!$B$31+'Inputs'!$B$32,'Inputs'!$B$30+'Inputs'!$B$31+'Inputs'!$B$32)/1000+'Inputs'!$B$21))/SQRT((((110-43)*MAX('Inputs'!$B$33,'Inputs'!$B$29+'Inputs'!$B$31+'Inputs'!$B$32,'Inputs'!$B$30+'Inputs'!$B$31+'Inputs'!$B$32)/1000+'Inputs'!$B$21))^2+('Inputs'!$B$8/2)^2)))-'Results'!B7*(1+'Inputs'!$B$24)*(0.5*((((110-43)*MAX('Inputs'!$B$33,'Inputs'!$B$29+'Inputs'!$B$31+'Inputs'!$B$32,'Inputs'!$B$30+'Inputs'!$B$31+'Inputs'!$B$32)/1000+'Inputs'!$B$21+'Inputs'!$B$9+'Inputs'!$B$10)+'Inputs'!$B$7)/SQRT((((110-43)*MAX('Inputs'!$B$33,'Inputs'!$B$29+'Inputs'!$B$31+'Inputs'!$B$32,'Inputs'!$B$30+'Inputs'!$B$31+'Inputs'!$B$32)/1000+'Inputs'!$B$21+'Inputs'!$B$9+'Inputs'!$B$10)+'Inputs'!$B$7)^2+('Inputs'!$B$6/2)^2)-(((110-43)*MAX('Inputs'!$B$33,'Inputs'!$B$29+'Inputs'!$B$31+'Inputs'!$B$32,'Inputs'!$B$30+'Inputs'!$B$31+'Inputs'!$B$32)/1000+'Inputs'!$B$21+'Inputs'!$B$9+'Inputs'!$B$10))/SQRT((((110-43)*MAX('Inputs'!$B$33,'Inputs'!$B$29+'Inputs'!$B$31+'Inputs'!$B$32,'Inputs'!$B$30+'Inputs'!$B$31+'Inputs'!$B$32)/1000+'Inputs'!$B$21+'Inputs'!$B$9+'Inputs'!$B$10))^2+('Inputs'!$B$6/2)^2))))*'Results'!$B$8)-'Inputs'!$B$28*ABS((('Results'!C7*(1-'Inputs'!$B$24)*(0.5*((((110-43)*MAX('Inputs'!$B$33,'Inputs'!$B$29+'Inputs'!$B$31+'Inputs'!$B$32,'Inputs'!$B$30+'Inputs'!$B$31+'Inputs'!$B$32)/1000+'Inputs'!$B$21)+'Inputs'!$B$9)/SQRT((((110-43)*MAX('Inputs'!$B$33,'Inputs'!$B$29+'Inputs'!$B$31+'Inputs'!$B$32,'Inputs'!$B$30+'Inputs'!$B$31+'Inputs'!$B$32)/1000+'Inputs'!$B$21)+'Inputs'!$B$9)^2+('Inputs'!$B$8/2)^2)-(((110-43)*MAX('Inputs'!$B$33,'Inputs'!$B$29+'Inputs'!$B$31+'Inputs'!$B$32,'Inputs'!$B$30+'Inputs'!$B$31+'Inputs'!$B$32)/1000+'Inputs'!$B$21))/SQRT((((110-43)*MAX('Inputs'!$B$33,'Inputs'!$B$29+'Inputs'!$B$31+'Inputs'!$B$32,'Inputs'!$B$30+'Inputs'!$B$31+'Inputs'!$B$32)/1000+'Inputs'!$B$21))^2+('Inputs'!$B$8/2)^2)))-'Results'!B7*(1+'Inputs'!$B$24)*(0.5*((((110-43)*MAX('Inputs'!$B$33,'Inputs'!$B$29+'Inputs'!$B$31+'Inputs'!$B$32,'Inputs'!$B$30+'Inputs'!$B$31+'Inputs'!$B$32)/1000+'Inputs'!$B$21+'Inputs'!$B$9+'Inputs'!$B$10)+'Inputs'!$B$7)/SQRT((((110-43)*MAX('Inputs'!$B$33,'Inputs'!$B$29+'Inputs'!$B$31+'Inputs'!$B$32,'Inputs'!$B$30+'Inputs'!$B$31+'Inputs'!$B$32)/1000+'Inputs'!$B$21+'Inputs'!$B$9+'Inputs'!$B$10)+'Inputs'!$B$7)^2+('Inputs'!$B$6/2)^2)-(((110-43)*MAX('Inputs'!$B$33,'Inputs'!$B$29+'Inputs'!$B$31+'Inputs'!$B$32,'Inputs'!$B$30+'Inputs'!$B$31+'Inputs'!$B$32)/1000+'Inputs'!$B$21+'Inputs'!$B$9+'Inputs'!$B$10))/SQRT((((110-43)*MAX('Inputs'!$B$33,'Inputs'!$B$29+'Inputs'!$B$31+'Inputs'!$B$32,'Inputs'!$B$30+'Inputs'!$B$31+'Inputs'!$B$32)/1000+'Inputs'!$B$21+'Inputs'!$B$9+'Inputs'!$B$10))^2+('Inputs'!$B$6/2)^2))))*'Results'!$B$8))),"")</x:f>
        <x:v>635.0077803777772</x:v>
      </x:c>
      <x:c r="O110" t="n">
        <x:f>IF(AND(ISNUMBER('Results'!C7),ISNUMBER('Results'!B7),ISNUMBER('Results'!$B$8),ISNUMBER('Inputs'!$B$6),ISNUMBER('Inputs'!$B$7),ISNUMBER('Inputs'!$B$8),ISNUMBER('Inputs'!$B$9),ISNUMBER('Inputs'!$B$10),ISNUMBER('Inputs'!$B$21),ISNUMBER('Inputs'!$B$24),ISNUMBER('Inputs'!$B$28)),((('Results'!C7*(1+'Inputs'!$B$24)*(0.5*((((110-43)*MAX('Inputs'!$B$33,'Inputs'!$B$29+'Inputs'!$B$31+'Inputs'!$B$32,'Inputs'!$B$30+'Inputs'!$B$31+'Inputs'!$B$32)/1000+'Inputs'!$B$21)+'Inputs'!$B$9)/SQRT((((110-43)*MAX('Inputs'!$B$33,'Inputs'!$B$29+'Inputs'!$B$31+'Inputs'!$B$32,'Inputs'!$B$30+'Inputs'!$B$31+'Inputs'!$B$32)/1000+'Inputs'!$B$21)+'Inputs'!$B$9)^2+('Inputs'!$B$8/2)^2)-(((110-43)*MAX('Inputs'!$B$33,'Inputs'!$B$29+'Inputs'!$B$31+'Inputs'!$B$32,'Inputs'!$B$30+'Inputs'!$B$31+'Inputs'!$B$32)/1000+'Inputs'!$B$21))/SQRT((((110-43)*MAX('Inputs'!$B$33,'Inputs'!$B$29+'Inputs'!$B$31+'Inputs'!$B$32,'Inputs'!$B$30+'Inputs'!$B$31+'Inputs'!$B$32)/1000+'Inputs'!$B$21))^2+('Inputs'!$B$8/2)^2)))-'Results'!B7*(1-'Inputs'!$B$24)*(0.5*((((110-43)*MAX('Inputs'!$B$33,'Inputs'!$B$29+'Inputs'!$B$31+'Inputs'!$B$32,'Inputs'!$B$30+'Inputs'!$B$31+'Inputs'!$B$32)/1000+'Inputs'!$B$21+'Inputs'!$B$9+'Inputs'!$B$10)+'Inputs'!$B$7)/SQRT((((110-43)*MAX('Inputs'!$B$33,'Inputs'!$B$29+'Inputs'!$B$31+'Inputs'!$B$32,'Inputs'!$B$30+'Inputs'!$B$31+'Inputs'!$B$32)/1000+'Inputs'!$B$21+'Inputs'!$B$9+'Inputs'!$B$10)+'Inputs'!$B$7)^2+('Inputs'!$B$6/2)^2)-(((110-43)*MAX('Inputs'!$B$33,'Inputs'!$B$29+'Inputs'!$B$31+'Inputs'!$B$32,'Inputs'!$B$30+'Inputs'!$B$31+'Inputs'!$B$32)/1000+'Inputs'!$B$21+'Inputs'!$B$9+'Inputs'!$B$10))/SQRT((((110-43)*MAX('Inputs'!$B$33,'Inputs'!$B$29+'Inputs'!$B$31+'Inputs'!$B$32,'Inputs'!$B$30+'Inputs'!$B$31+'Inputs'!$B$32)/1000+'Inputs'!$B$21+'Inputs'!$B$9+'Inputs'!$B$10))^2+('Inputs'!$B$6/2)^2))))*'Results'!$B$8)+'Inputs'!$B$28*ABS((('Results'!C7*(1+'Inputs'!$B$24)*(0.5*((((110-43)*MAX('Inputs'!$B$33,'Inputs'!$B$29+'Inputs'!$B$31+'Inputs'!$B$32,'Inputs'!$B$30+'Inputs'!$B$31+'Inputs'!$B$32)/1000+'Inputs'!$B$21)+'Inputs'!$B$9)/SQRT((((110-43)*MAX('Inputs'!$B$33,'Inputs'!$B$29+'Inputs'!$B$31+'Inputs'!$B$32,'Inputs'!$B$30+'Inputs'!$B$31+'Inputs'!$B$32)/1000+'Inputs'!$B$21)+'Inputs'!$B$9)^2+('Inputs'!$B$8/2)^2)-(((110-43)*MAX('Inputs'!$B$33,'Inputs'!$B$29+'Inputs'!$B$31+'Inputs'!$B$32,'Inputs'!$B$30+'Inputs'!$B$31+'Inputs'!$B$32)/1000+'Inputs'!$B$21))/SQRT((((110-43)*MAX('Inputs'!$B$33,'Inputs'!$B$29+'Inputs'!$B$31+'Inputs'!$B$32,'Inputs'!$B$30+'Inputs'!$B$31+'Inputs'!$B$32)/1000+'Inputs'!$B$21))^2+('Inputs'!$B$8/2)^2)))-'Results'!B7*(1-'Inputs'!$B$24)*(0.5*((((110-43)*MAX('Inputs'!$B$33,'Inputs'!$B$29+'Inputs'!$B$31+'Inputs'!$B$32,'Inputs'!$B$30+'Inputs'!$B$31+'Inputs'!$B$32)/1000+'Inputs'!$B$21+'Inputs'!$B$9+'Inputs'!$B$10)+'Inputs'!$B$7)/SQRT((((110-43)*MAX('Inputs'!$B$33,'Inputs'!$B$29+'Inputs'!$B$31+'Inputs'!$B$32,'Inputs'!$B$30+'Inputs'!$B$31+'Inputs'!$B$32)/1000+'Inputs'!$B$21+'Inputs'!$B$9+'Inputs'!$B$10)+'Inputs'!$B$7)^2+('Inputs'!$B$6/2)^2)-(((110-43)*MAX('Inputs'!$B$33,'Inputs'!$B$29+'Inputs'!$B$31+'Inputs'!$B$32,'Inputs'!$B$30+'Inputs'!$B$31+'Inputs'!$B$32)/1000+'Inputs'!$B$21+'Inputs'!$B$9+'Inputs'!$B$10))/SQRT((((110-43)*MAX('Inputs'!$B$33,'Inputs'!$B$29+'Inputs'!$B$31+'Inputs'!$B$32,'Inputs'!$B$30+'Inputs'!$B$31+'Inputs'!$B$32)/1000+'Inputs'!$B$21+'Inputs'!$B$9+'Inputs'!$B$10))^2+('Inputs'!$B$6/2)^2))))*'Results'!$B$8))),"")</x:f>
        <x:v>741.8803032212846</x:v>
      </x:c>
      <x:c r="P110" t="n">
        <x:f>IF(AND(MAX(J110,J109)&gt;0,J110&gt;J109+0.00000001),1,0)</x:f>
        <x:v>0</x:v>
      </x:c>
      <x:c r="Q110" t="n">
        <x:f>IF(AND(MAX(K110,K109)&gt;0,K110&gt;K109+0.00000001),1,0)</x:f>
        <x:v>0</x:v>
      </x:c>
      <x:c r="R110" t="n">
        <x:f>IF(AND(MAX(L110,L109)&gt;0,L110&gt;L109+0.00000001),1,0)</x:f>
        <x:v>0</x:v>
      </x:c>
      <x:c r="S110" t="n">
        <x:f>IF(AND(MAX(M110,M109)&gt;0,M110&gt;M109+0.00000001),1,0)</x:f>
        <x:v>0</x:v>
      </x:c>
      <x:c r="T110" t="n">
        <x:f>IF(AND(MAX(N110,N109)&gt;0,N110&gt;N109+0.00000001),1,0)</x:f>
        <x:v>0</x:v>
      </x:c>
      <x:c r="U110" t="n">
        <x:f>IF(AND(MAX(O110,O109)&gt;0,O110&gt;O109+0.00000001),1,0)</x:f>
        <x:v>0</x:v>
      </x:c>
    </x:row>
    <x:row r="111">
      <x:c r="J111" t="n">
        <x:f>IF(AND(ISNUMBER('Results'!B7),ISNUMBER('Results'!C7),ISNUMBER('Results'!$B$8),ISNUMBER('Inputs'!$B$6),ISNUMBER('Inputs'!$B$7),ISNUMBER('Inputs'!$B$8),ISNUMBER('Inputs'!$B$9),ISNUMBER('Inputs'!$B$10),ISNUMBER('Inputs'!$B$21),ISNUMBER('Inputs'!$B$24),ISNUMBER('Inputs'!$B$28)),(('Results'!B7*(0.5*((((111-43)*MAX('Inputs'!$B$33,'Inputs'!$B$29+'Inputs'!$B$31+'Inputs'!$B$32,'Inputs'!$B$30+'Inputs'!$B$31+'Inputs'!$B$32)/1000+'Inputs'!$B$21)+'Inputs'!$B$7)/SQRT((((111-43)*MAX('Inputs'!$B$33,'Inputs'!$B$29+'Inputs'!$B$31+'Inputs'!$B$32,'Inputs'!$B$30+'Inputs'!$B$31+'Inputs'!$B$32)/1000+'Inputs'!$B$21)+'Inputs'!$B$7)^2+('Inputs'!$B$6/2)^2)-(((111-43)*MAX('Inputs'!$B$33,'Inputs'!$B$29+'Inputs'!$B$31+'Inputs'!$B$32,'Inputs'!$B$30+'Inputs'!$B$31+'Inputs'!$B$32)/1000+'Inputs'!$B$21))/SQRT((((111-43)*MAX('Inputs'!$B$33,'Inputs'!$B$29+'Inputs'!$B$31+'Inputs'!$B$32,'Inputs'!$B$30+'Inputs'!$B$31+'Inputs'!$B$32)/1000+'Inputs'!$B$21))^2+('Inputs'!$B$6/2)^2)))-'Results'!C7*(0.5*((((111-43)*MAX('Inputs'!$B$33,'Inputs'!$B$29+'Inputs'!$B$31+'Inputs'!$B$32,'Inputs'!$B$30+'Inputs'!$B$31+'Inputs'!$B$32)/1000+'Inputs'!$B$21+'Inputs'!$B$7+'Inputs'!$B$10)+'Inputs'!$B$9)/SQRT((((111-43)*MAX('Inputs'!$B$33,'Inputs'!$B$29+'Inputs'!$B$31+'Inputs'!$B$32,'Inputs'!$B$30+'Inputs'!$B$31+'Inputs'!$B$32)/1000+'Inputs'!$B$21+'Inputs'!$B$7+'Inputs'!$B$10)+'Inputs'!$B$9)^2+('Inputs'!$B$8/2)^2)-(((111-43)*MAX('Inputs'!$B$33,'Inputs'!$B$29+'Inputs'!$B$31+'Inputs'!$B$32,'Inputs'!$B$30+'Inputs'!$B$31+'Inputs'!$B$32)/1000+'Inputs'!$B$21+'Inputs'!$B$7+'Inputs'!$B$10))/SQRT((((111-43)*MAX('Inputs'!$B$33,'Inputs'!$B$29+'Inputs'!$B$31+'Inputs'!$B$32,'Inputs'!$B$30+'Inputs'!$B$31+'Inputs'!$B$32)/1000+'Inputs'!$B$21+'Inputs'!$B$7+'Inputs'!$B$10))^2+('Inputs'!$B$8/2)^2))))*'Results'!$B$8),"")</x:f>
        <x:v>693.0537078786408</x:v>
      </x:c>
      <x:c r="K111" t="n">
        <x:f>IF(AND(ISNUMBER('Results'!B7),ISNUMBER('Results'!C7),ISNUMBER('Results'!$B$8),ISNUMBER('Inputs'!$B$6),ISNUMBER('Inputs'!$B$7),ISNUMBER('Inputs'!$B$8),ISNUMBER('Inputs'!$B$9),ISNUMBER('Inputs'!$B$10),ISNUMBER('Inputs'!$B$21),ISNUMBER('Inputs'!$B$24),ISNUMBER('Inputs'!$B$28)),((('Results'!B7*(1-'Inputs'!$B$24)*(0.5*((((111-43)*MAX('Inputs'!$B$33,'Inputs'!$B$29+'Inputs'!$B$31+'Inputs'!$B$32,'Inputs'!$B$30+'Inputs'!$B$31+'Inputs'!$B$32)/1000+'Inputs'!$B$21)+'Inputs'!$B$7)/SQRT((((111-43)*MAX('Inputs'!$B$33,'Inputs'!$B$29+'Inputs'!$B$31+'Inputs'!$B$32,'Inputs'!$B$30+'Inputs'!$B$31+'Inputs'!$B$32)/1000+'Inputs'!$B$21)+'Inputs'!$B$7)^2+('Inputs'!$B$6/2)^2)-(((111-43)*MAX('Inputs'!$B$33,'Inputs'!$B$29+'Inputs'!$B$31+'Inputs'!$B$32,'Inputs'!$B$30+'Inputs'!$B$31+'Inputs'!$B$32)/1000+'Inputs'!$B$21))/SQRT((((111-43)*MAX('Inputs'!$B$33,'Inputs'!$B$29+'Inputs'!$B$31+'Inputs'!$B$32,'Inputs'!$B$30+'Inputs'!$B$31+'Inputs'!$B$32)/1000+'Inputs'!$B$21))^2+('Inputs'!$B$6/2)^2)))-'Results'!C7*(1+'Inputs'!$B$24)*(0.5*((((111-43)*MAX('Inputs'!$B$33,'Inputs'!$B$29+'Inputs'!$B$31+'Inputs'!$B$32,'Inputs'!$B$30+'Inputs'!$B$31+'Inputs'!$B$32)/1000+'Inputs'!$B$21+'Inputs'!$B$7+'Inputs'!$B$10)+'Inputs'!$B$9)/SQRT((((111-43)*MAX('Inputs'!$B$33,'Inputs'!$B$29+'Inputs'!$B$31+'Inputs'!$B$32,'Inputs'!$B$30+'Inputs'!$B$31+'Inputs'!$B$32)/1000+'Inputs'!$B$21+'Inputs'!$B$7+'Inputs'!$B$10)+'Inputs'!$B$9)^2+('Inputs'!$B$8/2)^2)-(((111-43)*MAX('Inputs'!$B$33,'Inputs'!$B$29+'Inputs'!$B$31+'Inputs'!$B$32,'Inputs'!$B$30+'Inputs'!$B$31+'Inputs'!$B$32)/1000+'Inputs'!$B$21+'Inputs'!$B$7+'Inputs'!$B$10))/SQRT((((111-43)*MAX('Inputs'!$B$33,'Inputs'!$B$29+'Inputs'!$B$31+'Inputs'!$B$32,'Inputs'!$B$30+'Inputs'!$B$31+'Inputs'!$B$32)/1000+'Inputs'!$B$21+'Inputs'!$B$7+'Inputs'!$B$10))^2+('Inputs'!$B$8/2)^2))))*'Results'!$B$8)-'Inputs'!$B$28*ABS((('Results'!B7*(1-'Inputs'!$B$24)*(0.5*((((111-43)*MAX('Inputs'!$B$33,'Inputs'!$B$29+'Inputs'!$B$31+'Inputs'!$B$32,'Inputs'!$B$30+'Inputs'!$B$31+'Inputs'!$B$32)/1000+'Inputs'!$B$21)+'Inputs'!$B$7)/SQRT((((111-43)*MAX('Inputs'!$B$33,'Inputs'!$B$29+'Inputs'!$B$31+'Inputs'!$B$32,'Inputs'!$B$30+'Inputs'!$B$31+'Inputs'!$B$32)/1000+'Inputs'!$B$21)+'Inputs'!$B$7)^2+('Inputs'!$B$6/2)^2)-(((111-43)*MAX('Inputs'!$B$33,'Inputs'!$B$29+'Inputs'!$B$31+'Inputs'!$B$32,'Inputs'!$B$30+'Inputs'!$B$31+'Inputs'!$B$32)/1000+'Inputs'!$B$21))/SQRT((((111-43)*MAX('Inputs'!$B$33,'Inputs'!$B$29+'Inputs'!$B$31+'Inputs'!$B$32,'Inputs'!$B$30+'Inputs'!$B$31+'Inputs'!$B$32)/1000+'Inputs'!$B$21))^2+('Inputs'!$B$6/2)^2)))-'Results'!C7*(1+'Inputs'!$B$24)*(0.5*((((111-43)*MAX('Inputs'!$B$33,'Inputs'!$B$29+'Inputs'!$B$31+'Inputs'!$B$32,'Inputs'!$B$30+'Inputs'!$B$31+'Inputs'!$B$32)/1000+'Inputs'!$B$21+'Inputs'!$B$7+'Inputs'!$B$10)+'Inputs'!$B$9)/SQRT((((111-43)*MAX('Inputs'!$B$33,'Inputs'!$B$29+'Inputs'!$B$31+'Inputs'!$B$32,'Inputs'!$B$30+'Inputs'!$B$31+'Inputs'!$B$32)/1000+'Inputs'!$B$21+'Inputs'!$B$7+'Inputs'!$B$10)+'Inputs'!$B$9)^2+('Inputs'!$B$8/2)^2)-(((111-43)*MAX('Inputs'!$B$33,'Inputs'!$B$29+'Inputs'!$B$31+'Inputs'!$B$32,'Inputs'!$B$30+'Inputs'!$B$31+'Inputs'!$B$32)/1000+'Inputs'!$B$21+'Inputs'!$B$7+'Inputs'!$B$10))/SQRT((((111-43)*MAX('Inputs'!$B$33,'Inputs'!$B$29+'Inputs'!$B$31+'Inputs'!$B$32,'Inputs'!$B$30+'Inputs'!$B$31+'Inputs'!$B$32)/1000+'Inputs'!$B$21+'Inputs'!$B$7+'Inputs'!$B$10))^2+('Inputs'!$B$8/2)^2))))*'Results'!$B$8))),"")</x:f>
        <x:v>640.3513023534957</x:v>
      </x:c>
      <x:c r="L111" t="n">
        <x:f>IF(AND(ISNUMBER('Results'!B7),ISNUMBER('Results'!C7),ISNUMBER('Results'!$B$8),ISNUMBER('Inputs'!$B$6),ISNUMBER('Inputs'!$B$7),ISNUMBER('Inputs'!$B$8),ISNUMBER('Inputs'!$B$9),ISNUMBER('Inputs'!$B$10),ISNUMBER('Inputs'!$B$21),ISNUMBER('Inputs'!$B$24),ISNUMBER('Inputs'!$B$28)),((('Results'!B7*(1+'Inputs'!$B$24)*(0.5*((((111-43)*MAX('Inputs'!$B$33,'Inputs'!$B$29+'Inputs'!$B$31+'Inputs'!$B$32,'Inputs'!$B$30+'Inputs'!$B$31+'Inputs'!$B$32)/1000+'Inputs'!$B$21)+'Inputs'!$B$7)/SQRT((((111-43)*MAX('Inputs'!$B$33,'Inputs'!$B$29+'Inputs'!$B$31+'Inputs'!$B$32,'Inputs'!$B$30+'Inputs'!$B$31+'Inputs'!$B$32)/1000+'Inputs'!$B$21)+'Inputs'!$B$7)^2+('Inputs'!$B$6/2)^2)-(((111-43)*MAX('Inputs'!$B$33,'Inputs'!$B$29+'Inputs'!$B$31+'Inputs'!$B$32,'Inputs'!$B$30+'Inputs'!$B$31+'Inputs'!$B$32)/1000+'Inputs'!$B$21))/SQRT((((111-43)*MAX('Inputs'!$B$33,'Inputs'!$B$29+'Inputs'!$B$31+'Inputs'!$B$32,'Inputs'!$B$30+'Inputs'!$B$31+'Inputs'!$B$32)/1000+'Inputs'!$B$21))^2+('Inputs'!$B$6/2)^2)))-'Results'!C7*(1-'Inputs'!$B$24)*(0.5*((((111-43)*MAX('Inputs'!$B$33,'Inputs'!$B$29+'Inputs'!$B$31+'Inputs'!$B$32,'Inputs'!$B$30+'Inputs'!$B$31+'Inputs'!$B$32)/1000+'Inputs'!$B$21+'Inputs'!$B$7+'Inputs'!$B$10)+'Inputs'!$B$9)/SQRT((((111-43)*MAX('Inputs'!$B$33,'Inputs'!$B$29+'Inputs'!$B$31+'Inputs'!$B$32,'Inputs'!$B$30+'Inputs'!$B$31+'Inputs'!$B$32)/1000+'Inputs'!$B$21+'Inputs'!$B$7+'Inputs'!$B$10)+'Inputs'!$B$9)^2+('Inputs'!$B$8/2)^2)-(((111-43)*MAX('Inputs'!$B$33,'Inputs'!$B$29+'Inputs'!$B$31+'Inputs'!$B$32,'Inputs'!$B$30+'Inputs'!$B$31+'Inputs'!$B$32)/1000+'Inputs'!$B$21+'Inputs'!$B$7+'Inputs'!$B$10))/SQRT((((111-43)*MAX('Inputs'!$B$33,'Inputs'!$B$29+'Inputs'!$B$31+'Inputs'!$B$32,'Inputs'!$B$30+'Inputs'!$B$31+'Inputs'!$B$32)/1000+'Inputs'!$B$21+'Inputs'!$B$7+'Inputs'!$B$10))^2+('Inputs'!$B$8/2)^2))))*'Results'!$B$8)+'Inputs'!$B$28*ABS((('Results'!B7*(1+'Inputs'!$B$24)*(0.5*((((111-43)*MAX('Inputs'!$B$33,'Inputs'!$B$29+'Inputs'!$B$31+'Inputs'!$B$32,'Inputs'!$B$30+'Inputs'!$B$31+'Inputs'!$B$32)/1000+'Inputs'!$B$21)+'Inputs'!$B$7)/SQRT((((111-43)*MAX('Inputs'!$B$33,'Inputs'!$B$29+'Inputs'!$B$31+'Inputs'!$B$32,'Inputs'!$B$30+'Inputs'!$B$31+'Inputs'!$B$32)/1000+'Inputs'!$B$21)+'Inputs'!$B$7)^2+('Inputs'!$B$6/2)^2)-(((111-43)*MAX('Inputs'!$B$33,'Inputs'!$B$29+'Inputs'!$B$31+'Inputs'!$B$32,'Inputs'!$B$30+'Inputs'!$B$31+'Inputs'!$B$32)/1000+'Inputs'!$B$21))/SQRT((((111-43)*MAX('Inputs'!$B$33,'Inputs'!$B$29+'Inputs'!$B$31+'Inputs'!$B$32,'Inputs'!$B$30+'Inputs'!$B$31+'Inputs'!$B$32)/1000+'Inputs'!$B$21))^2+('Inputs'!$B$6/2)^2)))-'Results'!C7*(1-'Inputs'!$B$24)*(0.5*((((111-43)*MAX('Inputs'!$B$33,'Inputs'!$B$29+'Inputs'!$B$31+'Inputs'!$B$32,'Inputs'!$B$30+'Inputs'!$B$31+'Inputs'!$B$32)/1000+'Inputs'!$B$21+'Inputs'!$B$7+'Inputs'!$B$10)+'Inputs'!$B$9)/SQRT((((111-43)*MAX('Inputs'!$B$33,'Inputs'!$B$29+'Inputs'!$B$31+'Inputs'!$B$32,'Inputs'!$B$30+'Inputs'!$B$31+'Inputs'!$B$32)/1000+'Inputs'!$B$21+'Inputs'!$B$7+'Inputs'!$B$10)+'Inputs'!$B$9)^2+('Inputs'!$B$8/2)^2)-(((111-43)*MAX('Inputs'!$B$33,'Inputs'!$B$29+'Inputs'!$B$31+'Inputs'!$B$32,'Inputs'!$B$30+'Inputs'!$B$31+'Inputs'!$B$32)/1000+'Inputs'!$B$21+'Inputs'!$B$7+'Inputs'!$B$10))/SQRT((((111-43)*MAX('Inputs'!$B$33,'Inputs'!$B$29+'Inputs'!$B$31+'Inputs'!$B$32,'Inputs'!$B$30+'Inputs'!$B$31+'Inputs'!$B$32)/1000+'Inputs'!$B$21+'Inputs'!$B$7+'Inputs'!$B$10))^2+('Inputs'!$B$8/2)^2))))*'Results'!$B$8))),"")</x:f>
        <x:v>747.6560839439137</x:v>
      </x:c>
      <x:c r="M111" t="n">
        <x:f>IF(AND(ISNUMBER('Results'!C7),ISNUMBER('Results'!B7),ISNUMBER('Results'!$B$8),ISNUMBER('Inputs'!$B$6),ISNUMBER('Inputs'!$B$7),ISNUMBER('Inputs'!$B$8),ISNUMBER('Inputs'!$B$9),ISNUMBER('Inputs'!$B$10),ISNUMBER('Inputs'!$B$21),ISNUMBER('Inputs'!$B$24),ISNUMBER('Inputs'!$B$28)),(('Results'!C7*(0.5*((((111-43)*MAX('Inputs'!$B$33,'Inputs'!$B$29+'Inputs'!$B$31+'Inputs'!$B$32,'Inputs'!$B$30+'Inputs'!$B$31+'Inputs'!$B$32)/1000+'Inputs'!$B$21)+'Inputs'!$B$9)/SQRT((((111-43)*MAX('Inputs'!$B$33,'Inputs'!$B$29+'Inputs'!$B$31+'Inputs'!$B$32,'Inputs'!$B$30+'Inputs'!$B$31+'Inputs'!$B$32)/1000+'Inputs'!$B$21)+'Inputs'!$B$9)^2+('Inputs'!$B$8/2)^2)-(((111-43)*MAX('Inputs'!$B$33,'Inputs'!$B$29+'Inputs'!$B$31+'Inputs'!$B$32,'Inputs'!$B$30+'Inputs'!$B$31+'Inputs'!$B$32)/1000+'Inputs'!$B$21))/SQRT((((111-43)*MAX('Inputs'!$B$33,'Inputs'!$B$29+'Inputs'!$B$31+'Inputs'!$B$32,'Inputs'!$B$30+'Inputs'!$B$31+'Inputs'!$B$32)/1000+'Inputs'!$B$21))^2+('Inputs'!$B$8/2)^2)))-'Results'!B7*(0.5*((((111-43)*MAX('Inputs'!$B$33,'Inputs'!$B$29+'Inputs'!$B$31+'Inputs'!$B$32,'Inputs'!$B$30+'Inputs'!$B$31+'Inputs'!$B$32)/1000+'Inputs'!$B$21+'Inputs'!$B$9+'Inputs'!$B$10)+'Inputs'!$B$7)/SQRT((((111-43)*MAX('Inputs'!$B$33,'Inputs'!$B$29+'Inputs'!$B$31+'Inputs'!$B$32,'Inputs'!$B$30+'Inputs'!$B$31+'Inputs'!$B$32)/1000+'Inputs'!$B$21+'Inputs'!$B$9+'Inputs'!$B$10)+'Inputs'!$B$7)^2+('Inputs'!$B$6/2)^2)-(((111-43)*MAX('Inputs'!$B$33,'Inputs'!$B$29+'Inputs'!$B$31+'Inputs'!$B$32,'Inputs'!$B$30+'Inputs'!$B$31+'Inputs'!$B$32)/1000+'Inputs'!$B$21+'Inputs'!$B$9+'Inputs'!$B$10))/SQRT((((111-43)*MAX('Inputs'!$B$33,'Inputs'!$B$29+'Inputs'!$B$31+'Inputs'!$B$32,'Inputs'!$B$30+'Inputs'!$B$31+'Inputs'!$B$32)/1000+'Inputs'!$B$21+'Inputs'!$B$9+'Inputs'!$B$10))^2+('Inputs'!$B$6/2)^2))))*'Results'!$B$8),"")</x:f>
        <x:v>674.001567464673</x:v>
      </x:c>
      <x:c r="N111" t="n">
        <x:f>IF(AND(ISNUMBER('Results'!C7),ISNUMBER('Results'!B7),ISNUMBER('Results'!$B$8),ISNUMBER('Inputs'!$B$6),ISNUMBER('Inputs'!$B$7),ISNUMBER('Inputs'!$B$8),ISNUMBER('Inputs'!$B$9),ISNUMBER('Inputs'!$B$10),ISNUMBER('Inputs'!$B$21),ISNUMBER('Inputs'!$B$24),ISNUMBER('Inputs'!$B$28)),((('Results'!C7*(1-'Inputs'!$B$24)*(0.5*((((111-43)*MAX('Inputs'!$B$33,'Inputs'!$B$29+'Inputs'!$B$31+'Inputs'!$B$32,'Inputs'!$B$30+'Inputs'!$B$31+'Inputs'!$B$32)/1000+'Inputs'!$B$21)+'Inputs'!$B$9)/SQRT((((111-43)*MAX('Inputs'!$B$33,'Inputs'!$B$29+'Inputs'!$B$31+'Inputs'!$B$32,'Inputs'!$B$30+'Inputs'!$B$31+'Inputs'!$B$32)/1000+'Inputs'!$B$21)+'Inputs'!$B$9)^2+('Inputs'!$B$8/2)^2)-(((111-43)*MAX('Inputs'!$B$33,'Inputs'!$B$29+'Inputs'!$B$31+'Inputs'!$B$32,'Inputs'!$B$30+'Inputs'!$B$31+'Inputs'!$B$32)/1000+'Inputs'!$B$21))/SQRT((((111-43)*MAX('Inputs'!$B$33,'Inputs'!$B$29+'Inputs'!$B$31+'Inputs'!$B$32,'Inputs'!$B$30+'Inputs'!$B$31+'Inputs'!$B$32)/1000+'Inputs'!$B$21))^2+('Inputs'!$B$8/2)^2)))-'Results'!B7*(1+'Inputs'!$B$24)*(0.5*((((111-43)*MAX('Inputs'!$B$33,'Inputs'!$B$29+'Inputs'!$B$31+'Inputs'!$B$32,'Inputs'!$B$30+'Inputs'!$B$31+'Inputs'!$B$32)/1000+'Inputs'!$B$21+'Inputs'!$B$9+'Inputs'!$B$10)+'Inputs'!$B$7)/SQRT((((111-43)*MAX('Inputs'!$B$33,'Inputs'!$B$29+'Inputs'!$B$31+'Inputs'!$B$32,'Inputs'!$B$30+'Inputs'!$B$31+'Inputs'!$B$32)/1000+'Inputs'!$B$21+'Inputs'!$B$9+'Inputs'!$B$10)+'Inputs'!$B$7)^2+('Inputs'!$B$6/2)^2)-(((111-43)*MAX('Inputs'!$B$33,'Inputs'!$B$29+'Inputs'!$B$31+'Inputs'!$B$32,'Inputs'!$B$30+'Inputs'!$B$31+'Inputs'!$B$32)/1000+'Inputs'!$B$21+'Inputs'!$B$9+'Inputs'!$B$10))/SQRT((((111-43)*MAX('Inputs'!$B$33,'Inputs'!$B$29+'Inputs'!$B$31+'Inputs'!$B$32,'Inputs'!$B$30+'Inputs'!$B$31+'Inputs'!$B$32)/1000+'Inputs'!$B$21+'Inputs'!$B$9+'Inputs'!$B$10))^2+('Inputs'!$B$6/2)^2))))*'Results'!$B$8)-'Inputs'!$B$28*ABS((('Results'!C7*(1-'Inputs'!$B$24)*(0.5*((((111-43)*MAX('Inputs'!$B$33,'Inputs'!$B$29+'Inputs'!$B$31+'Inputs'!$B$32,'Inputs'!$B$30+'Inputs'!$B$31+'Inputs'!$B$32)/1000+'Inputs'!$B$21)+'Inputs'!$B$9)/SQRT((((111-43)*MAX('Inputs'!$B$33,'Inputs'!$B$29+'Inputs'!$B$31+'Inputs'!$B$32,'Inputs'!$B$30+'Inputs'!$B$31+'Inputs'!$B$32)/1000+'Inputs'!$B$21)+'Inputs'!$B$9)^2+('Inputs'!$B$8/2)^2)-(((111-43)*MAX('Inputs'!$B$33,'Inputs'!$B$29+'Inputs'!$B$31+'Inputs'!$B$32,'Inputs'!$B$30+'Inputs'!$B$31+'Inputs'!$B$32)/1000+'Inputs'!$B$21))/SQRT((((111-43)*MAX('Inputs'!$B$33,'Inputs'!$B$29+'Inputs'!$B$31+'Inputs'!$B$32,'Inputs'!$B$30+'Inputs'!$B$31+'Inputs'!$B$32)/1000+'Inputs'!$B$21))^2+('Inputs'!$B$8/2)^2)))-'Results'!B7*(1+'Inputs'!$B$24)*(0.5*((((111-43)*MAX('Inputs'!$B$33,'Inputs'!$B$29+'Inputs'!$B$31+'Inputs'!$B$32,'Inputs'!$B$30+'Inputs'!$B$31+'Inputs'!$B$32)/1000+'Inputs'!$B$21+'Inputs'!$B$9+'Inputs'!$B$10)+'Inputs'!$B$7)/SQRT((((111-43)*MAX('Inputs'!$B$33,'Inputs'!$B$29+'Inputs'!$B$31+'Inputs'!$B$32,'Inputs'!$B$30+'Inputs'!$B$31+'Inputs'!$B$32)/1000+'Inputs'!$B$21+'Inputs'!$B$9+'Inputs'!$B$10)+'Inputs'!$B$7)^2+('Inputs'!$B$6/2)^2)-(((111-43)*MAX('Inputs'!$B$33,'Inputs'!$B$29+'Inputs'!$B$31+'Inputs'!$B$32,'Inputs'!$B$30+'Inputs'!$B$31+'Inputs'!$B$32)/1000+'Inputs'!$B$21+'Inputs'!$B$9+'Inputs'!$B$10))/SQRT((((111-43)*MAX('Inputs'!$B$33,'Inputs'!$B$29+'Inputs'!$B$31+'Inputs'!$B$32,'Inputs'!$B$30+'Inputs'!$B$31+'Inputs'!$B$32)/1000+'Inputs'!$B$21+'Inputs'!$B$9+'Inputs'!$B$10))^2+('Inputs'!$B$6/2)^2))))*'Results'!$B$8))),"")</x:f>
        <x:v>622.514133103979</x:v>
      </x:c>
      <x:c r="O111" t="n">
        <x:f>IF(AND(ISNUMBER('Results'!C7),ISNUMBER('Results'!B7),ISNUMBER('Results'!$B$8),ISNUMBER('Inputs'!$B$6),ISNUMBER('Inputs'!$B$7),ISNUMBER('Inputs'!$B$8),ISNUMBER('Inputs'!$B$9),ISNUMBER('Inputs'!$B$10),ISNUMBER('Inputs'!$B$21),ISNUMBER('Inputs'!$B$24),ISNUMBER('Inputs'!$B$28)),((('Results'!C7*(1+'Inputs'!$B$24)*(0.5*((((111-43)*MAX('Inputs'!$B$33,'Inputs'!$B$29+'Inputs'!$B$31+'Inputs'!$B$32,'Inputs'!$B$30+'Inputs'!$B$31+'Inputs'!$B$32)/1000+'Inputs'!$B$21)+'Inputs'!$B$9)/SQRT((((111-43)*MAX('Inputs'!$B$33,'Inputs'!$B$29+'Inputs'!$B$31+'Inputs'!$B$32,'Inputs'!$B$30+'Inputs'!$B$31+'Inputs'!$B$32)/1000+'Inputs'!$B$21)+'Inputs'!$B$9)^2+('Inputs'!$B$8/2)^2)-(((111-43)*MAX('Inputs'!$B$33,'Inputs'!$B$29+'Inputs'!$B$31+'Inputs'!$B$32,'Inputs'!$B$30+'Inputs'!$B$31+'Inputs'!$B$32)/1000+'Inputs'!$B$21))/SQRT((((111-43)*MAX('Inputs'!$B$33,'Inputs'!$B$29+'Inputs'!$B$31+'Inputs'!$B$32,'Inputs'!$B$30+'Inputs'!$B$31+'Inputs'!$B$32)/1000+'Inputs'!$B$21))^2+('Inputs'!$B$8/2)^2)))-'Results'!B7*(1-'Inputs'!$B$24)*(0.5*((((111-43)*MAX('Inputs'!$B$33,'Inputs'!$B$29+'Inputs'!$B$31+'Inputs'!$B$32,'Inputs'!$B$30+'Inputs'!$B$31+'Inputs'!$B$32)/1000+'Inputs'!$B$21+'Inputs'!$B$9+'Inputs'!$B$10)+'Inputs'!$B$7)/SQRT((((111-43)*MAX('Inputs'!$B$33,'Inputs'!$B$29+'Inputs'!$B$31+'Inputs'!$B$32,'Inputs'!$B$30+'Inputs'!$B$31+'Inputs'!$B$32)/1000+'Inputs'!$B$21+'Inputs'!$B$9+'Inputs'!$B$10)+'Inputs'!$B$7)^2+('Inputs'!$B$6/2)^2)-(((111-43)*MAX('Inputs'!$B$33,'Inputs'!$B$29+'Inputs'!$B$31+'Inputs'!$B$32,'Inputs'!$B$30+'Inputs'!$B$31+'Inputs'!$B$32)/1000+'Inputs'!$B$21+'Inputs'!$B$9+'Inputs'!$B$10))/SQRT((((111-43)*MAX('Inputs'!$B$33,'Inputs'!$B$29+'Inputs'!$B$31+'Inputs'!$B$32,'Inputs'!$B$30+'Inputs'!$B$31+'Inputs'!$B$32)/1000+'Inputs'!$B$21+'Inputs'!$B$9+'Inputs'!$B$10))^2+('Inputs'!$B$6/2)^2))))*'Results'!$B$8)+'Inputs'!$B$28*ABS((('Results'!C7*(1+'Inputs'!$B$24)*(0.5*((((111-43)*MAX('Inputs'!$B$33,'Inputs'!$B$29+'Inputs'!$B$31+'Inputs'!$B$32,'Inputs'!$B$30+'Inputs'!$B$31+'Inputs'!$B$32)/1000+'Inputs'!$B$21)+'Inputs'!$B$9)/SQRT((((111-43)*MAX('Inputs'!$B$33,'Inputs'!$B$29+'Inputs'!$B$31+'Inputs'!$B$32,'Inputs'!$B$30+'Inputs'!$B$31+'Inputs'!$B$32)/1000+'Inputs'!$B$21)+'Inputs'!$B$9)^2+('Inputs'!$B$8/2)^2)-(((111-43)*MAX('Inputs'!$B$33,'Inputs'!$B$29+'Inputs'!$B$31+'Inputs'!$B$32,'Inputs'!$B$30+'Inputs'!$B$31+'Inputs'!$B$32)/1000+'Inputs'!$B$21))/SQRT((((111-43)*MAX('Inputs'!$B$33,'Inputs'!$B$29+'Inputs'!$B$31+'Inputs'!$B$32,'Inputs'!$B$30+'Inputs'!$B$31+'Inputs'!$B$32)/1000+'Inputs'!$B$21))^2+('Inputs'!$B$8/2)^2)))-'Results'!B7*(1-'Inputs'!$B$24)*(0.5*((((111-43)*MAX('Inputs'!$B$33,'Inputs'!$B$29+'Inputs'!$B$31+'Inputs'!$B$32,'Inputs'!$B$30+'Inputs'!$B$31+'Inputs'!$B$32)/1000+'Inputs'!$B$21+'Inputs'!$B$9+'Inputs'!$B$10)+'Inputs'!$B$7)/SQRT((((111-43)*MAX('Inputs'!$B$33,'Inputs'!$B$29+'Inputs'!$B$31+'Inputs'!$B$32,'Inputs'!$B$30+'Inputs'!$B$31+'Inputs'!$B$32)/1000+'Inputs'!$B$21+'Inputs'!$B$9+'Inputs'!$B$10)+'Inputs'!$B$7)^2+('Inputs'!$B$6/2)^2)-(((111-43)*MAX('Inputs'!$B$33,'Inputs'!$B$29+'Inputs'!$B$31+'Inputs'!$B$32,'Inputs'!$B$30+'Inputs'!$B$31+'Inputs'!$B$32)/1000+'Inputs'!$B$21+'Inputs'!$B$9+'Inputs'!$B$10))/SQRT((((111-43)*MAX('Inputs'!$B$33,'Inputs'!$B$29+'Inputs'!$B$31+'Inputs'!$B$32,'Inputs'!$B$30+'Inputs'!$B$31+'Inputs'!$B$32)/1000+'Inputs'!$B$21+'Inputs'!$B$9+'Inputs'!$B$10))^2+('Inputs'!$B$6/2)^2))))*'Results'!$B$8))),"")</x:f>
        <x:v>727.361355087205</x:v>
      </x:c>
      <x:c r="P111" t="n">
        <x:f>IF(AND(MAX(J111,J110)&gt;0,J111&gt;J110+0.00000001),1,0)</x:f>
        <x:v>0</x:v>
      </x:c>
      <x:c r="Q111" t="n">
        <x:f>IF(AND(MAX(K111,K110)&gt;0,K111&gt;K110+0.00000001),1,0)</x:f>
        <x:v>0</x:v>
      </x:c>
      <x:c r="R111" t="n">
        <x:f>IF(AND(MAX(L111,L110)&gt;0,L111&gt;L110+0.00000001),1,0)</x:f>
        <x:v>0</x:v>
      </x:c>
      <x:c r="S111" t="n">
        <x:f>IF(AND(MAX(M111,M110)&gt;0,M111&gt;M110+0.00000001),1,0)</x:f>
        <x:v>0</x:v>
      </x:c>
      <x:c r="T111" t="n">
        <x:f>IF(AND(MAX(N111,N110)&gt;0,N111&gt;N110+0.00000001),1,0)</x:f>
        <x:v>0</x:v>
      </x:c>
      <x:c r="U111" t="n">
        <x:f>IF(AND(MAX(O111,O110)&gt;0,O111&gt;O110+0.00000001),1,0)</x:f>
        <x:v>0</x:v>
      </x:c>
    </x:row>
    <x:row r="112">
      <x:c r="J112" t="n">
        <x:f>IF(AND(ISNUMBER('Results'!B7),ISNUMBER('Results'!C7),ISNUMBER('Results'!$B$8),ISNUMBER('Inputs'!$B$6),ISNUMBER('Inputs'!$B$7),ISNUMBER('Inputs'!$B$8),ISNUMBER('Inputs'!$B$9),ISNUMBER('Inputs'!$B$10),ISNUMBER('Inputs'!$B$21),ISNUMBER('Inputs'!$B$24),ISNUMBER('Inputs'!$B$28)),(('Results'!B7*(0.5*((((112-43)*MAX('Inputs'!$B$33,'Inputs'!$B$29+'Inputs'!$B$31+'Inputs'!$B$32,'Inputs'!$B$30+'Inputs'!$B$31+'Inputs'!$B$32)/1000+'Inputs'!$B$21)+'Inputs'!$B$7)/SQRT((((112-43)*MAX('Inputs'!$B$33,'Inputs'!$B$29+'Inputs'!$B$31+'Inputs'!$B$32,'Inputs'!$B$30+'Inputs'!$B$31+'Inputs'!$B$32)/1000+'Inputs'!$B$21)+'Inputs'!$B$7)^2+('Inputs'!$B$6/2)^2)-(((112-43)*MAX('Inputs'!$B$33,'Inputs'!$B$29+'Inputs'!$B$31+'Inputs'!$B$32,'Inputs'!$B$30+'Inputs'!$B$31+'Inputs'!$B$32)/1000+'Inputs'!$B$21))/SQRT((((112-43)*MAX('Inputs'!$B$33,'Inputs'!$B$29+'Inputs'!$B$31+'Inputs'!$B$32,'Inputs'!$B$30+'Inputs'!$B$31+'Inputs'!$B$32)/1000+'Inputs'!$B$21))^2+('Inputs'!$B$6/2)^2)))-'Results'!C7*(0.5*((((112-43)*MAX('Inputs'!$B$33,'Inputs'!$B$29+'Inputs'!$B$31+'Inputs'!$B$32,'Inputs'!$B$30+'Inputs'!$B$31+'Inputs'!$B$32)/1000+'Inputs'!$B$21+'Inputs'!$B$7+'Inputs'!$B$10)+'Inputs'!$B$9)/SQRT((((112-43)*MAX('Inputs'!$B$33,'Inputs'!$B$29+'Inputs'!$B$31+'Inputs'!$B$32,'Inputs'!$B$30+'Inputs'!$B$31+'Inputs'!$B$32)/1000+'Inputs'!$B$21+'Inputs'!$B$7+'Inputs'!$B$10)+'Inputs'!$B$9)^2+('Inputs'!$B$8/2)^2)-(((112-43)*MAX('Inputs'!$B$33,'Inputs'!$B$29+'Inputs'!$B$31+'Inputs'!$B$32,'Inputs'!$B$30+'Inputs'!$B$31+'Inputs'!$B$32)/1000+'Inputs'!$B$21+'Inputs'!$B$7+'Inputs'!$B$10))/SQRT((((112-43)*MAX('Inputs'!$B$33,'Inputs'!$B$29+'Inputs'!$B$31+'Inputs'!$B$32,'Inputs'!$B$30+'Inputs'!$B$31+'Inputs'!$B$32)/1000+'Inputs'!$B$21+'Inputs'!$B$7+'Inputs'!$B$10))^2+('Inputs'!$B$8/2)^2))))*'Results'!$B$8),"")</x:f>
        <x:v>679.487923878237</x:v>
      </x:c>
      <x:c r="K112" t="n">
        <x:f>IF(AND(ISNUMBER('Results'!B7),ISNUMBER('Results'!C7),ISNUMBER('Results'!$B$8),ISNUMBER('Inputs'!$B$6),ISNUMBER('Inputs'!$B$7),ISNUMBER('Inputs'!$B$8),ISNUMBER('Inputs'!$B$9),ISNUMBER('Inputs'!$B$10),ISNUMBER('Inputs'!$B$21),ISNUMBER('Inputs'!$B$24),ISNUMBER('Inputs'!$B$28)),((('Results'!B7*(1-'Inputs'!$B$24)*(0.5*((((112-43)*MAX('Inputs'!$B$33,'Inputs'!$B$29+'Inputs'!$B$31+'Inputs'!$B$32,'Inputs'!$B$30+'Inputs'!$B$31+'Inputs'!$B$32)/1000+'Inputs'!$B$21)+'Inputs'!$B$7)/SQRT((((112-43)*MAX('Inputs'!$B$33,'Inputs'!$B$29+'Inputs'!$B$31+'Inputs'!$B$32,'Inputs'!$B$30+'Inputs'!$B$31+'Inputs'!$B$32)/1000+'Inputs'!$B$21)+'Inputs'!$B$7)^2+('Inputs'!$B$6/2)^2)-(((112-43)*MAX('Inputs'!$B$33,'Inputs'!$B$29+'Inputs'!$B$31+'Inputs'!$B$32,'Inputs'!$B$30+'Inputs'!$B$31+'Inputs'!$B$32)/1000+'Inputs'!$B$21))/SQRT((((112-43)*MAX('Inputs'!$B$33,'Inputs'!$B$29+'Inputs'!$B$31+'Inputs'!$B$32,'Inputs'!$B$30+'Inputs'!$B$31+'Inputs'!$B$32)/1000+'Inputs'!$B$21))^2+('Inputs'!$B$6/2)^2)))-'Results'!C7*(1+'Inputs'!$B$24)*(0.5*((((112-43)*MAX('Inputs'!$B$33,'Inputs'!$B$29+'Inputs'!$B$31+'Inputs'!$B$32,'Inputs'!$B$30+'Inputs'!$B$31+'Inputs'!$B$32)/1000+'Inputs'!$B$21+'Inputs'!$B$7+'Inputs'!$B$10)+'Inputs'!$B$9)/SQRT((((112-43)*MAX('Inputs'!$B$33,'Inputs'!$B$29+'Inputs'!$B$31+'Inputs'!$B$32,'Inputs'!$B$30+'Inputs'!$B$31+'Inputs'!$B$32)/1000+'Inputs'!$B$21+'Inputs'!$B$7+'Inputs'!$B$10)+'Inputs'!$B$9)^2+('Inputs'!$B$8/2)^2)-(((112-43)*MAX('Inputs'!$B$33,'Inputs'!$B$29+'Inputs'!$B$31+'Inputs'!$B$32,'Inputs'!$B$30+'Inputs'!$B$31+'Inputs'!$B$32)/1000+'Inputs'!$B$21+'Inputs'!$B$7+'Inputs'!$B$10))/SQRT((((112-43)*MAX('Inputs'!$B$33,'Inputs'!$B$29+'Inputs'!$B$31+'Inputs'!$B$32,'Inputs'!$B$30+'Inputs'!$B$31+'Inputs'!$B$32)/1000+'Inputs'!$B$21+'Inputs'!$B$7+'Inputs'!$B$10))^2+('Inputs'!$B$8/2)^2))))*'Results'!$B$8)-'Inputs'!$B$28*ABS((('Results'!B7*(1-'Inputs'!$B$24)*(0.5*((((112-43)*MAX('Inputs'!$B$33,'Inputs'!$B$29+'Inputs'!$B$31+'Inputs'!$B$32,'Inputs'!$B$30+'Inputs'!$B$31+'Inputs'!$B$32)/1000+'Inputs'!$B$21)+'Inputs'!$B$7)/SQRT((((112-43)*MAX('Inputs'!$B$33,'Inputs'!$B$29+'Inputs'!$B$31+'Inputs'!$B$32,'Inputs'!$B$30+'Inputs'!$B$31+'Inputs'!$B$32)/1000+'Inputs'!$B$21)+'Inputs'!$B$7)^2+('Inputs'!$B$6/2)^2)-(((112-43)*MAX('Inputs'!$B$33,'Inputs'!$B$29+'Inputs'!$B$31+'Inputs'!$B$32,'Inputs'!$B$30+'Inputs'!$B$31+'Inputs'!$B$32)/1000+'Inputs'!$B$21))/SQRT((((112-43)*MAX('Inputs'!$B$33,'Inputs'!$B$29+'Inputs'!$B$31+'Inputs'!$B$32,'Inputs'!$B$30+'Inputs'!$B$31+'Inputs'!$B$32)/1000+'Inputs'!$B$21))^2+('Inputs'!$B$6/2)^2)))-'Results'!C7*(1+'Inputs'!$B$24)*(0.5*((((112-43)*MAX('Inputs'!$B$33,'Inputs'!$B$29+'Inputs'!$B$31+'Inputs'!$B$32,'Inputs'!$B$30+'Inputs'!$B$31+'Inputs'!$B$32)/1000+'Inputs'!$B$21+'Inputs'!$B$7+'Inputs'!$B$10)+'Inputs'!$B$9)/SQRT((((112-43)*MAX('Inputs'!$B$33,'Inputs'!$B$29+'Inputs'!$B$31+'Inputs'!$B$32,'Inputs'!$B$30+'Inputs'!$B$31+'Inputs'!$B$32)/1000+'Inputs'!$B$21+'Inputs'!$B$7+'Inputs'!$B$10)+'Inputs'!$B$9)^2+('Inputs'!$B$8/2)^2)-(((112-43)*MAX('Inputs'!$B$33,'Inputs'!$B$29+'Inputs'!$B$31+'Inputs'!$B$32,'Inputs'!$B$30+'Inputs'!$B$31+'Inputs'!$B$32)/1000+'Inputs'!$B$21+'Inputs'!$B$7+'Inputs'!$B$10))/SQRT((((112-43)*MAX('Inputs'!$B$33,'Inputs'!$B$29+'Inputs'!$B$31+'Inputs'!$B$32,'Inputs'!$B$30+'Inputs'!$B$31+'Inputs'!$B$32)/1000+'Inputs'!$B$21+'Inputs'!$B$7+'Inputs'!$B$10))^2+('Inputs'!$B$8/2)^2))))*'Results'!$B$8))),"")</x:f>
        <x:v>627.7841839515531</x:v>
      </x:c>
      <x:c r="L112" t="n">
        <x:f>IF(AND(ISNUMBER('Results'!B7),ISNUMBER('Results'!C7),ISNUMBER('Results'!$B$8),ISNUMBER('Inputs'!$B$6),ISNUMBER('Inputs'!$B$7),ISNUMBER('Inputs'!$B$8),ISNUMBER('Inputs'!$B$9),ISNUMBER('Inputs'!$B$10),ISNUMBER('Inputs'!$B$21),ISNUMBER('Inputs'!$B$24),ISNUMBER('Inputs'!$B$28)),((('Results'!B7*(1+'Inputs'!$B$24)*(0.5*((((112-43)*MAX('Inputs'!$B$33,'Inputs'!$B$29+'Inputs'!$B$31+'Inputs'!$B$32,'Inputs'!$B$30+'Inputs'!$B$31+'Inputs'!$B$32)/1000+'Inputs'!$B$21)+'Inputs'!$B$7)/SQRT((((112-43)*MAX('Inputs'!$B$33,'Inputs'!$B$29+'Inputs'!$B$31+'Inputs'!$B$32,'Inputs'!$B$30+'Inputs'!$B$31+'Inputs'!$B$32)/1000+'Inputs'!$B$21)+'Inputs'!$B$7)^2+('Inputs'!$B$6/2)^2)-(((112-43)*MAX('Inputs'!$B$33,'Inputs'!$B$29+'Inputs'!$B$31+'Inputs'!$B$32,'Inputs'!$B$30+'Inputs'!$B$31+'Inputs'!$B$32)/1000+'Inputs'!$B$21))/SQRT((((112-43)*MAX('Inputs'!$B$33,'Inputs'!$B$29+'Inputs'!$B$31+'Inputs'!$B$32,'Inputs'!$B$30+'Inputs'!$B$31+'Inputs'!$B$32)/1000+'Inputs'!$B$21))^2+('Inputs'!$B$6/2)^2)))-'Results'!C7*(1-'Inputs'!$B$24)*(0.5*((((112-43)*MAX('Inputs'!$B$33,'Inputs'!$B$29+'Inputs'!$B$31+'Inputs'!$B$32,'Inputs'!$B$30+'Inputs'!$B$31+'Inputs'!$B$32)/1000+'Inputs'!$B$21+'Inputs'!$B$7+'Inputs'!$B$10)+'Inputs'!$B$9)/SQRT((((112-43)*MAX('Inputs'!$B$33,'Inputs'!$B$29+'Inputs'!$B$31+'Inputs'!$B$32,'Inputs'!$B$30+'Inputs'!$B$31+'Inputs'!$B$32)/1000+'Inputs'!$B$21+'Inputs'!$B$7+'Inputs'!$B$10)+'Inputs'!$B$9)^2+('Inputs'!$B$8/2)^2)-(((112-43)*MAX('Inputs'!$B$33,'Inputs'!$B$29+'Inputs'!$B$31+'Inputs'!$B$32,'Inputs'!$B$30+'Inputs'!$B$31+'Inputs'!$B$32)/1000+'Inputs'!$B$21+'Inputs'!$B$7+'Inputs'!$B$10))/SQRT((((112-43)*MAX('Inputs'!$B$33,'Inputs'!$B$29+'Inputs'!$B$31+'Inputs'!$B$32,'Inputs'!$B$30+'Inputs'!$B$31+'Inputs'!$B$32)/1000+'Inputs'!$B$21+'Inputs'!$B$7+'Inputs'!$B$10))^2+('Inputs'!$B$8/2)^2))))*'Results'!$B$8)+'Inputs'!$B$28*ABS((('Results'!B7*(1+'Inputs'!$B$24)*(0.5*((((112-43)*MAX('Inputs'!$B$33,'Inputs'!$B$29+'Inputs'!$B$31+'Inputs'!$B$32,'Inputs'!$B$30+'Inputs'!$B$31+'Inputs'!$B$32)/1000+'Inputs'!$B$21)+'Inputs'!$B$7)/SQRT((((112-43)*MAX('Inputs'!$B$33,'Inputs'!$B$29+'Inputs'!$B$31+'Inputs'!$B$32,'Inputs'!$B$30+'Inputs'!$B$31+'Inputs'!$B$32)/1000+'Inputs'!$B$21)+'Inputs'!$B$7)^2+('Inputs'!$B$6/2)^2)-(((112-43)*MAX('Inputs'!$B$33,'Inputs'!$B$29+'Inputs'!$B$31+'Inputs'!$B$32,'Inputs'!$B$30+'Inputs'!$B$31+'Inputs'!$B$32)/1000+'Inputs'!$B$21))/SQRT((((112-43)*MAX('Inputs'!$B$33,'Inputs'!$B$29+'Inputs'!$B$31+'Inputs'!$B$32,'Inputs'!$B$30+'Inputs'!$B$31+'Inputs'!$B$32)/1000+'Inputs'!$B$21))^2+('Inputs'!$B$6/2)^2)))-'Results'!C7*(1-'Inputs'!$B$24)*(0.5*((((112-43)*MAX('Inputs'!$B$33,'Inputs'!$B$29+'Inputs'!$B$31+'Inputs'!$B$32,'Inputs'!$B$30+'Inputs'!$B$31+'Inputs'!$B$32)/1000+'Inputs'!$B$21+'Inputs'!$B$7+'Inputs'!$B$10)+'Inputs'!$B$9)/SQRT((((112-43)*MAX('Inputs'!$B$33,'Inputs'!$B$29+'Inputs'!$B$31+'Inputs'!$B$32,'Inputs'!$B$30+'Inputs'!$B$31+'Inputs'!$B$32)/1000+'Inputs'!$B$21+'Inputs'!$B$7+'Inputs'!$B$10)+'Inputs'!$B$9)^2+('Inputs'!$B$8/2)^2)-(((112-43)*MAX('Inputs'!$B$33,'Inputs'!$B$29+'Inputs'!$B$31+'Inputs'!$B$32,'Inputs'!$B$30+'Inputs'!$B$31+'Inputs'!$B$32)/1000+'Inputs'!$B$21+'Inputs'!$B$7+'Inputs'!$B$10))/SQRT((((112-43)*MAX('Inputs'!$B$33,'Inputs'!$B$29+'Inputs'!$B$31+'Inputs'!$B$32,'Inputs'!$B$30+'Inputs'!$B$31+'Inputs'!$B$32)/1000+'Inputs'!$B$21+'Inputs'!$B$7+'Inputs'!$B$10))^2+('Inputs'!$B$8/2)^2))))*'Results'!$B$8))),"")</x:f>
        <x:v>733.0579105136337</x:v>
      </x:c>
      <x:c r="M112" t="n">
        <x:f>IF(AND(ISNUMBER('Results'!C7),ISNUMBER('Results'!B7),ISNUMBER('Results'!$B$8),ISNUMBER('Inputs'!$B$6),ISNUMBER('Inputs'!$B$7),ISNUMBER('Inputs'!$B$8),ISNUMBER('Inputs'!$B$9),ISNUMBER('Inputs'!$B$10),ISNUMBER('Inputs'!$B$21),ISNUMBER('Inputs'!$B$24),ISNUMBER('Inputs'!$B$28)),(('Results'!C7*(0.5*((((112-43)*MAX('Inputs'!$B$33,'Inputs'!$B$29+'Inputs'!$B$31+'Inputs'!$B$32,'Inputs'!$B$30+'Inputs'!$B$31+'Inputs'!$B$32)/1000+'Inputs'!$B$21)+'Inputs'!$B$9)/SQRT((((112-43)*MAX('Inputs'!$B$33,'Inputs'!$B$29+'Inputs'!$B$31+'Inputs'!$B$32,'Inputs'!$B$30+'Inputs'!$B$31+'Inputs'!$B$32)/1000+'Inputs'!$B$21)+'Inputs'!$B$9)^2+('Inputs'!$B$8/2)^2)-(((112-43)*MAX('Inputs'!$B$33,'Inputs'!$B$29+'Inputs'!$B$31+'Inputs'!$B$32,'Inputs'!$B$30+'Inputs'!$B$31+'Inputs'!$B$32)/1000+'Inputs'!$B$21))/SQRT((((112-43)*MAX('Inputs'!$B$33,'Inputs'!$B$29+'Inputs'!$B$31+'Inputs'!$B$32,'Inputs'!$B$30+'Inputs'!$B$31+'Inputs'!$B$32)/1000+'Inputs'!$B$21))^2+('Inputs'!$B$8/2)^2)))-'Results'!B7*(0.5*((((112-43)*MAX('Inputs'!$B$33,'Inputs'!$B$29+'Inputs'!$B$31+'Inputs'!$B$32,'Inputs'!$B$30+'Inputs'!$B$31+'Inputs'!$B$32)/1000+'Inputs'!$B$21+'Inputs'!$B$9+'Inputs'!$B$10)+'Inputs'!$B$7)/SQRT((((112-43)*MAX('Inputs'!$B$33,'Inputs'!$B$29+'Inputs'!$B$31+'Inputs'!$B$32,'Inputs'!$B$30+'Inputs'!$B$31+'Inputs'!$B$32)/1000+'Inputs'!$B$21+'Inputs'!$B$9+'Inputs'!$B$10)+'Inputs'!$B$7)^2+('Inputs'!$B$6/2)^2)-(((112-43)*MAX('Inputs'!$B$33,'Inputs'!$B$29+'Inputs'!$B$31+'Inputs'!$B$32,'Inputs'!$B$30+'Inputs'!$B$31+'Inputs'!$B$32)/1000+'Inputs'!$B$21+'Inputs'!$B$9+'Inputs'!$B$10))/SQRT((((112-43)*MAX('Inputs'!$B$33,'Inputs'!$B$29+'Inputs'!$B$31+'Inputs'!$B$32,'Inputs'!$B$30+'Inputs'!$B$31+'Inputs'!$B$32)/1000+'Inputs'!$B$21+'Inputs'!$B$9+'Inputs'!$B$10))^2+('Inputs'!$B$6/2)^2))))*'Results'!$B$8),"")</x:f>
        <x:v>660.7736944583578</x:v>
      </x:c>
      <x:c r="N112" t="n">
        <x:f>IF(AND(ISNUMBER('Results'!C7),ISNUMBER('Results'!B7),ISNUMBER('Results'!$B$8),ISNUMBER('Inputs'!$B$6),ISNUMBER('Inputs'!$B$7),ISNUMBER('Inputs'!$B$8),ISNUMBER('Inputs'!$B$9),ISNUMBER('Inputs'!$B$10),ISNUMBER('Inputs'!$B$21),ISNUMBER('Inputs'!$B$24),ISNUMBER('Inputs'!$B$28)),((('Results'!C7*(1-'Inputs'!$B$24)*(0.5*((((112-43)*MAX('Inputs'!$B$33,'Inputs'!$B$29+'Inputs'!$B$31+'Inputs'!$B$32,'Inputs'!$B$30+'Inputs'!$B$31+'Inputs'!$B$32)/1000+'Inputs'!$B$21)+'Inputs'!$B$9)/SQRT((((112-43)*MAX('Inputs'!$B$33,'Inputs'!$B$29+'Inputs'!$B$31+'Inputs'!$B$32,'Inputs'!$B$30+'Inputs'!$B$31+'Inputs'!$B$32)/1000+'Inputs'!$B$21)+'Inputs'!$B$9)^2+('Inputs'!$B$8/2)^2)-(((112-43)*MAX('Inputs'!$B$33,'Inputs'!$B$29+'Inputs'!$B$31+'Inputs'!$B$32,'Inputs'!$B$30+'Inputs'!$B$31+'Inputs'!$B$32)/1000+'Inputs'!$B$21))/SQRT((((112-43)*MAX('Inputs'!$B$33,'Inputs'!$B$29+'Inputs'!$B$31+'Inputs'!$B$32,'Inputs'!$B$30+'Inputs'!$B$31+'Inputs'!$B$32)/1000+'Inputs'!$B$21))^2+('Inputs'!$B$8/2)^2)))-'Results'!B7*(1+'Inputs'!$B$24)*(0.5*((((112-43)*MAX('Inputs'!$B$33,'Inputs'!$B$29+'Inputs'!$B$31+'Inputs'!$B$32,'Inputs'!$B$30+'Inputs'!$B$31+'Inputs'!$B$32)/1000+'Inputs'!$B$21+'Inputs'!$B$9+'Inputs'!$B$10)+'Inputs'!$B$7)/SQRT((((112-43)*MAX('Inputs'!$B$33,'Inputs'!$B$29+'Inputs'!$B$31+'Inputs'!$B$32,'Inputs'!$B$30+'Inputs'!$B$31+'Inputs'!$B$32)/1000+'Inputs'!$B$21+'Inputs'!$B$9+'Inputs'!$B$10)+'Inputs'!$B$7)^2+('Inputs'!$B$6/2)^2)-(((112-43)*MAX('Inputs'!$B$33,'Inputs'!$B$29+'Inputs'!$B$31+'Inputs'!$B$32,'Inputs'!$B$30+'Inputs'!$B$31+'Inputs'!$B$32)/1000+'Inputs'!$B$21+'Inputs'!$B$9+'Inputs'!$B$10))/SQRT((((112-43)*MAX('Inputs'!$B$33,'Inputs'!$B$29+'Inputs'!$B$31+'Inputs'!$B$32,'Inputs'!$B$30+'Inputs'!$B$31+'Inputs'!$B$32)/1000+'Inputs'!$B$21+'Inputs'!$B$9+'Inputs'!$B$10))^2+('Inputs'!$B$6/2)^2))))*'Results'!$B$8)-'Inputs'!$B$28*ABS((('Results'!C7*(1-'Inputs'!$B$24)*(0.5*((((112-43)*MAX('Inputs'!$B$33,'Inputs'!$B$29+'Inputs'!$B$31+'Inputs'!$B$32,'Inputs'!$B$30+'Inputs'!$B$31+'Inputs'!$B$32)/1000+'Inputs'!$B$21)+'Inputs'!$B$9)/SQRT((((112-43)*MAX('Inputs'!$B$33,'Inputs'!$B$29+'Inputs'!$B$31+'Inputs'!$B$32,'Inputs'!$B$30+'Inputs'!$B$31+'Inputs'!$B$32)/1000+'Inputs'!$B$21)+'Inputs'!$B$9)^2+('Inputs'!$B$8/2)^2)-(((112-43)*MAX('Inputs'!$B$33,'Inputs'!$B$29+'Inputs'!$B$31+'Inputs'!$B$32,'Inputs'!$B$30+'Inputs'!$B$31+'Inputs'!$B$32)/1000+'Inputs'!$B$21))/SQRT((((112-43)*MAX('Inputs'!$B$33,'Inputs'!$B$29+'Inputs'!$B$31+'Inputs'!$B$32,'Inputs'!$B$30+'Inputs'!$B$31+'Inputs'!$B$32)/1000+'Inputs'!$B$21))^2+('Inputs'!$B$8/2)^2)))-'Results'!B7*(1+'Inputs'!$B$24)*(0.5*((((112-43)*MAX('Inputs'!$B$33,'Inputs'!$B$29+'Inputs'!$B$31+'Inputs'!$B$32,'Inputs'!$B$30+'Inputs'!$B$31+'Inputs'!$B$32)/1000+'Inputs'!$B$21+'Inputs'!$B$9+'Inputs'!$B$10)+'Inputs'!$B$7)/SQRT((((112-43)*MAX('Inputs'!$B$33,'Inputs'!$B$29+'Inputs'!$B$31+'Inputs'!$B$32,'Inputs'!$B$30+'Inputs'!$B$31+'Inputs'!$B$32)/1000+'Inputs'!$B$21+'Inputs'!$B$9+'Inputs'!$B$10)+'Inputs'!$B$7)^2+('Inputs'!$B$6/2)^2)-(((112-43)*MAX('Inputs'!$B$33,'Inputs'!$B$29+'Inputs'!$B$31+'Inputs'!$B$32,'Inputs'!$B$30+'Inputs'!$B$31+'Inputs'!$B$32)/1000+'Inputs'!$B$21+'Inputs'!$B$9+'Inputs'!$B$10))/SQRT((((112-43)*MAX('Inputs'!$B$33,'Inputs'!$B$29+'Inputs'!$B$31+'Inputs'!$B$32,'Inputs'!$B$30+'Inputs'!$B$31+'Inputs'!$B$32)/1000+'Inputs'!$B$21+'Inputs'!$B$9+'Inputs'!$B$10))^2+('Inputs'!$B$6/2)^2))))*'Results'!$B$8))),"")</x:f>
        <x:v>610.2628879294193</x:v>
      </x:c>
      <x:c r="O112" t="n">
        <x:f>IF(AND(ISNUMBER('Results'!C7),ISNUMBER('Results'!B7),ISNUMBER('Results'!$B$8),ISNUMBER('Inputs'!$B$6),ISNUMBER('Inputs'!$B$7),ISNUMBER('Inputs'!$B$8),ISNUMBER('Inputs'!$B$9),ISNUMBER('Inputs'!$B$10),ISNUMBER('Inputs'!$B$21),ISNUMBER('Inputs'!$B$24),ISNUMBER('Inputs'!$B$28)),((('Results'!C7*(1+'Inputs'!$B$24)*(0.5*((((112-43)*MAX('Inputs'!$B$33,'Inputs'!$B$29+'Inputs'!$B$31+'Inputs'!$B$32,'Inputs'!$B$30+'Inputs'!$B$31+'Inputs'!$B$32)/1000+'Inputs'!$B$21)+'Inputs'!$B$9)/SQRT((((112-43)*MAX('Inputs'!$B$33,'Inputs'!$B$29+'Inputs'!$B$31+'Inputs'!$B$32,'Inputs'!$B$30+'Inputs'!$B$31+'Inputs'!$B$32)/1000+'Inputs'!$B$21)+'Inputs'!$B$9)^2+('Inputs'!$B$8/2)^2)-(((112-43)*MAX('Inputs'!$B$33,'Inputs'!$B$29+'Inputs'!$B$31+'Inputs'!$B$32,'Inputs'!$B$30+'Inputs'!$B$31+'Inputs'!$B$32)/1000+'Inputs'!$B$21))/SQRT((((112-43)*MAX('Inputs'!$B$33,'Inputs'!$B$29+'Inputs'!$B$31+'Inputs'!$B$32,'Inputs'!$B$30+'Inputs'!$B$31+'Inputs'!$B$32)/1000+'Inputs'!$B$21))^2+('Inputs'!$B$8/2)^2)))-'Results'!B7*(1-'Inputs'!$B$24)*(0.5*((((112-43)*MAX('Inputs'!$B$33,'Inputs'!$B$29+'Inputs'!$B$31+'Inputs'!$B$32,'Inputs'!$B$30+'Inputs'!$B$31+'Inputs'!$B$32)/1000+'Inputs'!$B$21+'Inputs'!$B$9+'Inputs'!$B$10)+'Inputs'!$B$7)/SQRT((((112-43)*MAX('Inputs'!$B$33,'Inputs'!$B$29+'Inputs'!$B$31+'Inputs'!$B$32,'Inputs'!$B$30+'Inputs'!$B$31+'Inputs'!$B$32)/1000+'Inputs'!$B$21+'Inputs'!$B$9+'Inputs'!$B$10)+'Inputs'!$B$7)^2+('Inputs'!$B$6/2)^2)-(((112-43)*MAX('Inputs'!$B$33,'Inputs'!$B$29+'Inputs'!$B$31+'Inputs'!$B$32,'Inputs'!$B$30+'Inputs'!$B$31+'Inputs'!$B$32)/1000+'Inputs'!$B$21+'Inputs'!$B$9+'Inputs'!$B$10))/SQRT((((112-43)*MAX('Inputs'!$B$33,'Inputs'!$B$29+'Inputs'!$B$31+'Inputs'!$B$32,'Inputs'!$B$30+'Inputs'!$B$31+'Inputs'!$B$32)/1000+'Inputs'!$B$21+'Inputs'!$B$9+'Inputs'!$B$10))^2+('Inputs'!$B$6/2)^2))))*'Results'!$B$8)+'Inputs'!$B$28*ABS((('Results'!C7*(1+'Inputs'!$B$24)*(0.5*((((112-43)*MAX('Inputs'!$B$33,'Inputs'!$B$29+'Inputs'!$B$31+'Inputs'!$B$32,'Inputs'!$B$30+'Inputs'!$B$31+'Inputs'!$B$32)/1000+'Inputs'!$B$21)+'Inputs'!$B$9)/SQRT((((112-43)*MAX('Inputs'!$B$33,'Inputs'!$B$29+'Inputs'!$B$31+'Inputs'!$B$32,'Inputs'!$B$30+'Inputs'!$B$31+'Inputs'!$B$32)/1000+'Inputs'!$B$21)+'Inputs'!$B$9)^2+('Inputs'!$B$8/2)^2)-(((112-43)*MAX('Inputs'!$B$33,'Inputs'!$B$29+'Inputs'!$B$31+'Inputs'!$B$32,'Inputs'!$B$30+'Inputs'!$B$31+'Inputs'!$B$32)/1000+'Inputs'!$B$21))/SQRT((((112-43)*MAX('Inputs'!$B$33,'Inputs'!$B$29+'Inputs'!$B$31+'Inputs'!$B$32,'Inputs'!$B$30+'Inputs'!$B$31+'Inputs'!$B$32)/1000+'Inputs'!$B$21))^2+('Inputs'!$B$8/2)^2)))-'Results'!B7*(1-'Inputs'!$B$24)*(0.5*((((112-43)*MAX('Inputs'!$B$33,'Inputs'!$B$29+'Inputs'!$B$31+'Inputs'!$B$32,'Inputs'!$B$30+'Inputs'!$B$31+'Inputs'!$B$32)/1000+'Inputs'!$B$21+'Inputs'!$B$9+'Inputs'!$B$10)+'Inputs'!$B$7)/SQRT((((112-43)*MAX('Inputs'!$B$33,'Inputs'!$B$29+'Inputs'!$B$31+'Inputs'!$B$32,'Inputs'!$B$30+'Inputs'!$B$31+'Inputs'!$B$32)/1000+'Inputs'!$B$21+'Inputs'!$B$9+'Inputs'!$B$10)+'Inputs'!$B$7)^2+('Inputs'!$B$6/2)^2)-(((112-43)*MAX('Inputs'!$B$33,'Inputs'!$B$29+'Inputs'!$B$31+'Inputs'!$B$32,'Inputs'!$B$30+'Inputs'!$B$31+'Inputs'!$B$32)/1000+'Inputs'!$B$21+'Inputs'!$B$9+'Inputs'!$B$10))/SQRT((((112-43)*MAX('Inputs'!$B$33,'Inputs'!$B$29+'Inputs'!$B$31+'Inputs'!$B$32,'Inputs'!$B$30+'Inputs'!$B$31+'Inputs'!$B$32)/1000+'Inputs'!$B$21+'Inputs'!$B$9+'Inputs'!$B$10))^2+('Inputs'!$B$6/2)^2))))*'Results'!$B$8))),"")</x:f>
        <x:v>713.1236717037197</x:v>
      </x:c>
      <x:c r="P112" t="n">
        <x:f>IF(AND(MAX(J112,J111)&gt;0,J112&gt;J111+0.00000001),1,0)</x:f>
        <x:v>0</x:v>
      </x:c>
      <x:c r="Q112" t="n">
        <x:f>IF(AND(MAX(K112,K111)&gt;0,K112&gt;K111+0.00000001),1,0)</x:f>
        <x:v>0</x:v>
      </x:c>
      <x:c r="R112" t="n">
        <x:f>IF(AND(MAX(L112,L111)&gt;0,L112&gt;L111+0.00000001),1,0)</x:f>
        <x:v>0</x:v>
      </x:c>
      <x:c r="S112" t="n">
        <x:f>IF(AND(MAX(M112,M111)&gt;0,M112&gt;M111+0.00000001),1,0)</x:f>
        <x:v>0</x:v>
      </x:c>
      <x:c r="T112" t="n">
        <x:f>IF(AND(MAX(N112,N111)&gt;0,N112&gt;N111+0.00000001),1,0)</x:f>
        <x:v>0</x:v>
      </x:c>
      <x:c r="U112" t="n">
        <x:f>IF(AND(MAX(O112,O111)&gt;0,O112&gt;O111+0.00000001),1,0)</x:f>
        <x:v>0</x:v>
      </x:c>
    </x:row>
    <x:row r="113">
      <x:c r="J113" t="n">
        <x:f>IF(AND(ISNUMBER('Results'!B7),ISNUMBER('Results'!C7),ISNUMBER('Results'!$B$8),ISNUMBER('Inputs'!$B$6),ISNUMBER('Inputs'!$B$7),ISNUMBER('Inputs'!$B$8),ISNUMBER('Inputs'!$B$9),ISNUMBER('Inputs'!$B$10),ISNUMBER('Inputs'!$B$21),ISNUMBER('Inputs'!$B$24),ISNUMBER('Inputs'!$B$28)),(('Results'!B7*(0.5*((((113-43)*MAX('Inputs'!$B$33,'Inputs'!$B$29+'Inputs'!$B$31+'Inputs'!$B$32,'Inputs'!$B$30+'Inputs'!$B$31+'Inputs'!$B$32)/1000+'Inputs'!$B$21)+'Inputs'!$B$7)/SQRT((((113-43)*MAX('Inputs'!$B$33,'Inputs'!$B$29+'Inputs'!$B$31+'Inputs'!$B$32,'Inputs'!$B$30+'Inputs'!$B$31+'Inputs'!$B$32)/1000+'Inputs'!$B$21)+'Inputs'!$B$7)^2+('Inputs'!$B$6/2)^2)-(((113-43)*MAX('Inputs'!$B$33,'Inputs'!$B$29+'Inputs'!$B$31+'Inputs'!$B$32,'Inputs'!$B$30+'Inputs'!$B$31+'Inputs'!$B$32)/1000+'Inputs'!$B$21))/SQRT((((113-43)*MAX('Inputs'!$B$33,'Inputs'!$B$29+'Inputs'!$B$31+'Inputs'!$B$32,'Inputs'!$B$30+'Inputs'!$B$31+'Inputs'!$B$32)/1000+'Inputs'!$B$21))^2+('Inputs'!$B$6/2)^2)))-'Results'!C7*(0.5*((((113-43)*MAX('Inputs'!$B$33,'Inputs'!$B$29+'Inputs'!$B$31+'Inputs'!$B$32,'Inputs'!$B$30+'Inputs'!$B$31+'Inputs'!$B$32)/1000+'Inputs'!$B$21+'Inputs'!$B$7+'Inputs'!$B$10)+'Inputs'!$B$9)/SQRT((((113-43)*MAX('Inputs'!$B$33,'Inputs'!$B$29+'Inputs'!$B$31+'Inputs'!$B$32,'Inputs'!$B$30+'Inputs'!$B$31+'Inputs'!$B$32)/1000+'Inputs'!$B$21+'Inputs'!$B$7+'Inputs'!$B$10)+'Inputs'!$B$9)^2+('Inputs'!$B$8/2)^2)-(((113-43)*MAX('Inputs'!$B$33,'Inputs'!$B$29+'Inputs'!$B$31+'Inputs'!$B$32,'Inputs'!$B$30+'Inputs'!$B$31+'Inputs'!$B$32)/1000+'Inputs'!$B$21+'Inputs'!$B$7+'Inputs'!$B$10))/SQRT((((113-43)*MAX('Inputs'!$B$33,'Inputs'!$B$29+'Inputs'!$B$31+'Inputs'!$B$32,'Inputs'!$B$30+'Inputs'!$B$31+'Inputs'!$B$32)/1000+'Inputs'!$B$21+'Inputs'!$B$7+'Inputs'!$B$10))^2+('Inputs'!$B$8/2)^2))))*'Results'!$B$8),"")</x:f>
        <x:v>666.186869822115</x:v>
      </x:c>
      <x:c r="K113" t="n">
        <x:f>IF(AND(ISNUMBER('Results'!B7),ISNUMBER('Results'!C7),ISNUMBER('Results'!$B$8),ISNUMBER('Inputs'!$B$6),ISNUMBER('Inputs'!$B$7),ISNUMBER('Inputs'!$B$8),ISNUMBER('Inputs'!$B$9),ISNUMBER('Inputs'!$B$10),ISNUMBER('Inputs'!$B$21),ISNUMBER('Inputs'!$B$24),ISNUMBER('Inputs'!$B$28)),((('Results'!B7*(1-'Inputs'!$B$24)*(0.5*((((113-43)*MAX('Inputs'!$B$33,'Inputs'!$B$29+'Inputs'!$B$31+'Inputs'!$B$32,'Inputs'!$B$30+'Inputs'!$B$31+'Inputs'!$B$32)/1000+'Inputs'!$B$21)+'Inputs'!$B$7)/SQRT((((113-43)*MAX('Inputs'!$B$33,'Inputs'!$B$29+'Inputs'!$B$31+'Inputs'!$B$32,'Inputs'!$B$30+'Inputs'!$B$31+'Inputs'!$B$32)/1000+'Inputs'!$B$21)+'Inputs'!$B$7)^2+('Inputs'!$B$6/2)^2)-(((113-43)*MAX('Inputs'!$B$33,'Inputs'!$B$29+'Inputs'!$B$31+'Inputs'!$B$32,'Inputs'!$B$30+'Inputs'!$B$31+'Inputs'!$B$32)/1000+'Inputs'!$B$21))/SQRT((((113-43)*MAX('Inputs'!$B$33,'Inputs'!$B$29+'Inputs'!$B$31+'Inputs'!$B$32,'Inputs'!$B$30+'Inputs'!$B$31+'Inputs'!$B$32)/1000+'Inputs'!$B$21))^2+('Inputs'!$B$6/2)^2)))-'Results'!C7*(1+'Inputs'!$B$24)*(0.5*((((113-43)*MAX('Inputs'!$B$33,'Inputs'!$B$29+'Inputs'!$B$31+'Inputs'!$B$32,'Inputs'!$B$30+'Inputs'!$B$31+'Inputs'!$B$32)/1000+'Inputs'!$B$21+'Inputs'!$B$7+'Inputs'!$B$10)+'Inputs'!$B$9)/SQRT((((113-43)*MAX('Inputs'!$B$33,'Inputs'!$B$29+'Inputs'!$B$31+'Inputs'!$B$32,'Inputs'!$B$30+'Inputs'!$B$31+'Inputs'!$B$32)/1000+'Inputs'!$B$21+'Inputs'!$B$7+'Inputs'!$B$10)+'Inputs'!$B$9)^2+('Inputs'!$B$8/2)^2)-(((113-43)*MAX('Inputs'!$B$33,'Inputs'!$B$29+'Inputs'!$B$31+'Inputs'!$B$32,'Inputs'!$B$30+'Inputs'!$B$31+'Inputs'!$B$32)/1000+'Inputs'!$B$21+'Inputs'!$B$7+'Inputs'!$B$10))/SQRT((((113-43)*MAX('Inputs'!$B$33,'Inputs'!$B$29+'Inputs'!$B$31+'Inputs'!$B$32,'Inputs'!$B$30+'Inputs'!$B$31+'Inputs'!$B$32)/1000+'Inputs'!$B$21+'Inputs'!$B$7+'Inputs'!$B$10))^2+('Inputs'!$B$8/2)^2))))*'Results'!$B$8)-'Inputs'!$B$28*ABS((('Results'!B7*(1-'Inputs'!$B$24)*(0.5*((((113-43)*MAX('Inputs'!$B$33,'Inputs'!$B$29+'Inputs'!$B$31+'Inputs'!$B$32,'Inputs'!$B$30+'Inputs'!$B$31+'Inputs'!$B$32)/1000+'Inputs'!$B$21)+'Inputs'!$B$7)/SQRT((((113-43)*MAX('Inputs'!$B$33,'Inputs'!$B$29+'Inputs'!$B$31+'Inputs'!$B$32,'Inputs'!$B$30+'Inputs'!$B$31+'Inputs'!$B$32)/1000+'Inputs'!$B$21)+'Inputs'!$B$7)^2+('Inputs'!$B$6/2)^2)-(((113-43)*MAX('Inputs'!$B$33,'Inputs'!$B$29+'Inputs'!$B$31+'Inputs'!$B$32,'Inputs'!$B$30+'Inputs'!$B$31+'Inputs'!$B$32)/1000+'Inputs'!$B$21))/SQRT((((113-43)*MAX('Inputs'!$B$33,'Inputs'!$B$29+'Inputs'!$B$31+'Inputs'!$B$32,'Inputs'!$B$30+'Inputs'!$B$31+'Inputs'!$B$32)/1000+'Inputs'!$B$21))^2+('Inputs'!$B$6/2)^2)))-'Results'!C7*(1+'Inputs'!$B$24)*(0.5*((((113-43)*MAX('Inputs'!$B$33,'Inputs'!$B$29+'Inputs'!$B$31+'Inputs'!$B$32,'Inputs'!$B$30+'Inputs'!$B$31+'Inputs'!$B$32)/1000+'Inputs'!$B$21+'Inputs'!$B$7+'Inputs'!$B$10)+'Inputs'!$B$9)/SQRT((((113-43)*MAX('Inputs'!$B$33,'Inputs'!$B$29+'Inputs'!$B$31+'Inputs'!$B$32,'Inputs'!$B$30+'Inputs'!$B$31+'Inputs'!$B$32)/1000+'Inputs'!$B$21+'Inputs'!$B$7+'Inputs'!$B$10)+'Inputs'!$B$9)^2+('Inputs'!$B$8/2)^2)-(((113-43)*MAX('Inputs'!$B$33,'Inputs'!$B$29+'Inputs'!$B$31+'Inputs'!$B$32,'Inputs'!$B$30+'Inputs'!$B$31+'Inputs'!$B$32)/1000+'Inputs'!$B$21+'Inputs'!$B$7+'Inputs'!$B$10))/SQRT((((113-43)*MAX('Inputs'!$B$33,'Inputs'!$B$29+'Inputs'!$B$31+'Inputs'!$B$32,'Inputs'!$B$30+'Inputs'!$B$31+'Inputs'!$B$32)/1000+'Inputs'!$B$21+'Inputs'!$B$7+'Inputs'!$B$10))^2+('Inputs'!$B$8/2)^2))))*'Results'!$B$8))),"")</x:f>
        <x:v>615.4625020771567</x:v>
      </x:c>
      <x:c r="L113" t="n">
        <x:f>IF(AND(ISNUMBER('Results'!B7),ISNUMBER('Results'!C7),ISNUMBER('Results'!$B$8),ISNUMBER('Inputs'!$B$6),ISNUMBER('Inputs'!$B$7),ISNUMBER('Inputs'!$B$8),ISNUMBER('Inputs'!$B$9),ISNUMBER('Inputs'!$B$10),ISNUMBER('Inputs'!$B$21),ISNUMBER('Inputs'!$B$24),ISNUMBER('Inputs'!$B$28)),((('Results'!B7*(1+'Inputs'!$B$24)*(0.5*((((113-43)*MAX('Inputs'!$B$33,'Inputs'!$B$29+'Inputs'!$B$31+'Inputs'!$B$32,'Inputs'!$B$30+'Inputs'!$B$31+'Inputs'!$B$32)/1000+'Inputs'!$B$21)+'Inputs'!$B$7)/SQRT((((113-43)*MAX('Inputs'!$B$33,'Inputs'!$B$29+'Inputs'!$B$31+'Inputs'!$B$32,'Inputs'!$B$30+'Inputs'!$B$31+'Inputs'!$B$32)/1000+'Inputs'!$B$21)+'Inputs'!$B$7)^2+('Inputs'!$B$6/2)^2)-(((113-43)*MAX('Inputs'!$B$33,'Inputs'!$B$29+'Inputs'!$B$31+'Inputs'!$B$32,'Inputs'!$B$30+'Inputs'!$B$31+'Inputs'!$B$32)/1000+'Inputs'!$B$21))/SQRT((((113-43)*MAX('Inputs'!$B$33,'Inputs'!$B$29+'Inputs'!$B$31+'Inputs'!$B$32,'Inputs'!$B$30+'Inputs'!$B$31+'Inputs'!$B$32)/1000+'Inputs'!$B$21))^2+('Inputs'!$B$6/2)^2)))-'Results'!C7*(1-'Inputs'!$B$24)*(0.5*((((113-43)*MAX('Inputs'!$B$33,'Inputs'!$B$29+'Inputs'!$B$31+'Inputs'!$B$32,'Inputs'!$B$30+'Inputs'!$B$31+'Inputs'!$B$32)/1000+'Inputs'!$B$21+'Inputs'!$B$7+'Inputs'!$B$10)+'Inputs'!$B$9)/SQRT((((113-43)*MAX('Inputs'!$B$33,'Inputs'!$B$29+'Inputs'!$B$31+'Inputs'!$B$32,'Inputs'!$B$30+'Inputs'!$B$31+'Inputs'!$B$32)/1000+'Inputs'!$B$21+'Inputs'!$B$7+'Inputs'!$B$10)+'Inputs'!$B$9)^2+('Inputs'!$B$8/2)^2)-(((113-43)*MAX('Inputs'!$B$33,'Inputs'!$B$29+'Inputs'!$B$31+'Inputs'!$B$32,'Inputs'!$B$30+'Inputs'!$B$31+'Inputs'!$B$32)/1000+'Inputs'!$B$21+'Inputs'!$B$7+'Inputs'!$B$10))/SQRT((((113-43)*MAX('Inputs'!$B$33,'Inputs'!$B$29+'Inputs'!$B$31+'Inputs'!$B$32,'Inputs'!$B$30+'Inputs'!$B$31+'Inputs'!$B$32)/1000+'Inputs'!$B$21+'Inputs'!$B$7+'Inputs'!$B$10))^2+('Inputs'!$B$8/2)^2))))*'Results'!$B$8)+'Inputs'!$B$28*ABS((('Results'!B7*(1+'Inputs'!$B$24)*(0.5*((((113-43)*MAX('Inputs'!$B$33,'Inputs'!$B$29+'Inputs'!$B$31+'Inputs'!$B$32,'Inputs'!$B$30+'Inputs'!$B$31+'Inputs'!$B$32)/1000+'Inputs'!$B$21)+'Inputs'!$B$7)/SQRT((((113-43)*MAX('Inputs'!$B$33,'Inputs'!$B$29+'Inputs'!$B$31+'Inputs'!$B$32,'Inputs'!$B$30+'Inputs'!$B$31+'Inputs'!$B$32)/1000+'Inputs'!$B$21)+'Inputs'!$B$7)^2+('Inputs'!$B$6/2)^2)-(((113-43)*MAX('Inputs'!$B$33,'Inputs'!$B$29+'Inputs'!$B$31+'Inputs'!$B$32,'Inputs'!$B$30+'Inputs'!$B$31+'Inputs'!$B$32)/1000+'Inputs'!$B$21))/SQRT((((113-43)*MAX('Inputs'!$B$33,'Inputs'!$B$29+'Inputs'!$B$31+'Inputs'!$B$32,'Inputs'!$B$30+'Inputs'!$B$31+'Inputs'!$B$32)/1000+'Inputs'!$B$21))^2+('Inputs'!$B$6/2)^2)))-'Results'!C7*(1-'Inputs'!$B$24)*(0.5*((((113-43)*MAX('Inputs'!$B$33,'Inputs'!$B$29+'Inputs'!$B$31+'Inputs'!$B$32,'Inputs'!$B$30+'Inputs'!$B$31+'Inputs'!$B$32)/1000+'Inputs'!$B$21+'Inputs'!$B$7+'Inputs'!$B$10)+'Inputs'!$B$9)/SQRT((((113-43)*MAX('Inputs'!$B$33,'Inputs'!$B$29+'Inputs'!$B$31+'Inputs'!$B$32,'Inputs'!$B$30+'Inputs'!$B$31+'Inputs'!$B$32)/1000+'Inputs'!$B$21+'Inputs'!$B$7+'Inputs'!$B$10)+'Inputs'!$B$9)^2+('Inputs'!$B$8/2)^2)-(((113-43)*MAX('Inputs'!$B$33,'Inputs'!$B$29+'Inputs'!$B$31+'Inputs'!$B$32,'Inputs'!$B$30+'Inputs'!$B$31+'Inputs'!$B$32)/1000+'Inputs'!$B$21+'Inputs'!$B$7+'Inputs'!$B$10))/SQRT((((113-43)*MAX('Inputs'!$B$33,'Inputs'!$B$29+'Inputs'!$B$31+'Inputs'!$B$32,'Inputs'!$B$30+'Inputs'!$B$31+'Inputs'!$B$32)/1000+'Inputs'!$B$21+'Inputs'!$B$7+'Inputs'!$B$10))^2+('Inputs'!$B$8/2)^2))))*'Results'!$B$8))),"")</x:f>
        <x:v>718.7443980148474</x:v>
      </x:c>
      <x:c r="M113" t="n">
        <x:f>IF(AND(ISNUMBER('Results'!C7),ISNUMBER('Results'!B7),ISNUMBER('Results'!$B$8),ISNUMBER('Inputs'!$B$6),ISNUMBER('Inputs'!$B$7),ISNUMBER('Inputs'!$B$8),ISNUMBER('Inputs'!$B$9),ISNUMBER('Inputs'!$B$10),ISNUMBER('Inputs'!$B$21),ISNUMBER('Inputs'!$B$24),ISNUMBER('Inputs'!$B$28)),(('Results'!C7*(0.5*((((113-43)*MAX('Inputs'!$B$33,'Inputs'!$B$29+'Inputs'!$B$31+'Inputs'!$B$32,'Inputs'!$B$30+'Inputs'!$B$31+'Inputs'!$B$32)/1000+'Inputs'!$B$21)+'Inputs'!$B$9)/SQRT((((113-43)*MAX('Inputs'!$B$33,'Inputs'!$B$29+'Inputs'!$B$31+'Inputs'!$B$32,'Inputs'!$B$30+'Inputs'!$B$31+'Inputs'!$B$32)/1000+'Inputs'!$B$21)+'Inputs'!$B$9)^2+('Inputs'!$B$8/2)^2)-(((113-43)*MAX('Inputs'!$B$33,'Inputs'!$B$29+'Inputs'!$B$31+'Inputs'!$B$32,'Inputs'!$B$30+'Inputs'!$B$31+'Inputs'!$B$32)/1000+'Inputs'!$B$21))/SQRT((((113-43)*MAX('Inputs'!$B$33,'Inputs'!$B$29+'Inputs'!$B$31+'Inputs'!$B$32,'Inputs'!$B$30+'Inputs'!$B$31+'Inputs'!$B$32)/1000+'Inputs'!$B$21))^2+('Inputs'!$B$8/2)^2)))-'Results'!B7*(0.5*((((113-43)*MAX('Inputs'!$B$33,'Inputs'!$B$29+'Inputs'!$B$31+'Inputs'!$B$32,'Inputs'!$B$30+'Inputs'!$B$31+'Inputs'!$B$32)/1000+'Inputs'!$B$21+'Inputs'!$B$9+'Inputs'!$B$10)+'Inputs'!$B$7)/SQRT((((113-43)*MAX('Inputs'!$B$33,'Inputs'!$B$29+'Inputs'!$B$31+'Inputs'!$B$32,'Inputs'!$B$30+'Inputs'!$B$31+'Inputs'!$B$32)/1000+'Inputs'!$B$21+'Inputs'!$B$9+'Inputs'!$B$10)+'Inputs'!$B$7)^2+('Inputs'!$B$6/2)^2)-(((113-43)*MAX('Inputs'!$B$33,'Inputs'!$B$29+'Inputs'!$B$31+'Inputs'!$B$32,'Inputs'!$B$30+'Inputs'!$B$31+'Inputs'!$B$32)/1000+'Inputs'!$B$21+'Inputs'!$B$9+'Inputs'!$B$10))/SQRT((((113-43)*MAX('Inputs'!$B$33,'Inputs'!$B$29+'Inputs'!$B$31+'Inputs'!$B$32,'Inputs'!$B$30+'Inputs'!$B$31+'Inputs'!$B$32)/1000+'Inputs'!$B$21+'Inputs'!$B$9+'Inputs'!$B$10))^2+('Inputs'!$B$6/2)^2))))*'Results'!$B$8),"")</x:f>
        <x:v>647.8041646598724</x:v>
      </x:c>
      <x:c r="N113" t="n">
        <x:f>IF(AND(ISNUMBER('Results'!C7),ISNUMBER('Results'!B7),ISNUMBER('Results'!$B$8),ISNUMBER('Inputs'!$B$6),ISNUMBER('Inputs'!$B$7),ISNUMBER('Inputs'!$B$8),ISNUMBER('Inputs'!$B$9),ISNUMBER('Inputs'!$B$10),ISNUMBER('Inputs'!$B$21),ISNUMBER('Inputs'!$B$24),ISNUMBER('Inputs'!$B$28)),((('Results'!C7*(1-'Inputs'!$B$24)*(0.5*((((113-43)*MAX('Inputs'!$B$33,'Inputs'!$B$29+'Inputs'!$B$31+'Inputs'!$B$32,'Inputs'!$B$30+'Inputs'!$B$31+'Inputs'!$B$32)/1000+'Inputs'!$B$21)+'Inputs'!$B$9)/SQRT((((113-43)*MAX('Inputs'!$B$33,'Inputs'!$B$29+'Inputs'!$B$31+'Inputs'!$B$32,'Inputs'!$B$30+'Inputs'!$B$31+'Inputs'!$B$32)/1000+'Inputs'!$B$21)+'Inputs'!$B$9)^2+('Inputs'!$B$8/2)^2)-(((113-43)*MAX('Inputs'!$B$33,'Inputs'!$B$29+'Inputs'!$B$31+'Inputs'!$B$32,'Inputs'!$B$30+'Inputs'!$B$31+'Inputs'!$B$32)/1000+'Inputs'!$B$21))/SQRT((((113-43)*MAX('Inputs'!$B$33,'Inputs'!$B$29+'Inputs'!$B$31+'Inputs'!$B$32,'Inputs'!$B$30+'Inputs'!$B$31+'Inputs'!$B$32)/1000+'Inputs'!$B$21))^2+('Inputs'!$B$8/2)^2)))-'Results'!B7*(1+'Inputs'!$B$24)*(0.5*((((113-43)*MAX('Inputs'!$B$33,'Inputs'!$B$29+'Inputs'!$B$31+'Inputs'!$B$32,'Inputs'!$B$30+'Inputs'!$B$31+'Inputs'!$B$32)/1000+'Inputs'!$B$21+'Inputs'!$B$9+'Inputs'!$B$10)+'Inputs'!$B$7)/SQRT((((113-43)*MAX('Inputs'!$B$33,'Inputs'!$B$29+'Inputs'!$B$31+'Inputs'!$B$32,'Inputs'!$B$30+'Inputs'!$B$31+'Inputs'!$B$32)/1000+'Inputs'!$B$21+'Inputs'!$B$9+'Inputs'!$B$10)+'Inputs'!$B$7)^2+('Inputs'!$B$6/2)^2)-(((113-43)*MAX('Inputs'!$B$33,'Inputs'!$B$29+'Inputs'!$B$31+'Inputs'!$B$32,'Inputs'!$B$30+'Inputs'!$B$31+'Inputs'!$B$32)/1000+'Inputs'!$B$21+'Inputs'!$B$9+'Inputs'!$B$10))/SQRT((((113-43)*MAX('Inputs'!$B$33,'Inputs'!$B$29+'Inputs'!$B$31+'Inputs'!$B$32,'Inputs'!$B$30+'Inputs'!$B$31+'Inputs'!$B$32)/1000+'Inputs'!$B$21+'Inputs'!$B$9+'Inputs'!$B$10))^2+('Inputs'!$B$6/2)^2))))*'Results'!$B$8)-'Inputs'!$B$28*ABS((('Results'!C7*(1-'Inputs'!$B$24)*(0.5*((((113-43)*MAX('Inputs'!$B$33,'Inputs'!$B$29+'Inputs'!$B$31+'Inputs'!$B$32,'Inputs'!$B$30+'Inputs'!$B$31+'Inputs'!$B$32)/1000+'Inputs'!$B$21)+'Inputs'!$B$9)/SQRT((((113-43)*MAX('Inputs'!$B$33,'Inputs'!$B$29+'Inputs'!$B$31+'Inputs'!$B$32,'Inputs'!$B$30+'Inputs'!$B$31+'Inputs'!$B$32)/1000+'Inputs'!$B$21)+'Inputs'!$B$9)^2+('Inputs'!$B$8/2)^2)-(((113-43)*MAX('Inputs'!$B$33,'Inputs'!$B$29+'Inputs'!$B$31+'Inputs'!$B$32,'Inputs'!$B$30+'Inputs'!$B$31+'Inputs'!$B$32)/1000+'Inputs'!$B$21))/SQRT((((113-43)*MAX('Inputs'!$B$33,'Inputs'!$B$29+'Inputs'!$B$31+'Inputs'!$B$32,'Inputs'!$B$30+'Inputs'!$B$31+'Inputs'!$B$32)/1000+'Inputs'!$B$21))^2+('Inputs'!$B$8/2)^2)))-'Results'!B7*(1+'Inputs'!$B$24)*(0.5*((((113-43)*MAX('Inputs'!$B$33,'Inputs'!$B$29+'Inputs'!$B$31+'Inputs'!$B$32,'Inputs'!$B$30+'Inputs'!$B$31+'Inputs'!$B$32)/1000+'Inputs'!$B$21+'Inputs'!$B$9+'Inputs'!$B$10)+'Inputs'!$B$7)/SQRT((((113-43)*MAX('Inputs'!$B$33,'Inputs'!$B$29+'Inputs'!$B$31+'Inputs'!$B$32,'Inputs'!$B$30+'Inputs'!$B$31+'Inputs'!$B$32)/1000+'Inputs'!$B$21+'Inputs'!$B$9+'Inputs'!$B$10)+'Inputs'!$B$7)^2+('Inputs'!$B$6/2)^2)-(((113-43)*MAX('Inputs'!$B$33,'Inputs'!$B$29+'Inputs'!$B$31+'Inputs'!$B$32,'Inputs'!$B$30+'Inputs'!$B$31+'Inputs'!$B$32)/1000+'Inputs'!$B$21+'Inputs'!$B$9+'Inputs'!$B$10))/SQRT((((113-43)*MAX('Inputs'!$B$33,'Inputs'!$B$29+'Inputs'!$B$31+'Inputs'!$B$32,'Inputs'!$B$30+'Inputs'!$B$31+'Inputs'!$B$32)/1000+'Inputs'!$B$21+'Inputs'!$B$9+'Inputs'!$B$10))^2+('Inputs'!$B$6/2)^2))))*'Results'!$B$8))),"")</x:f>
        <x:v>598.2511122705529</x:v>
      </x:c>
      <x:c r="O113" t="n">
        <x:f>IF(AND(ISNUMBER('Results'!C7),ISNUMBER('Results'!B7),ISNUMBER('Results'!$B$8),ISNUMBER('Inputs'!$B$6),ISNUMBER('Inputs'!$B$7),ISNUMBER('Inputs'!$B$8),ISNUMBER('Inputs'!$B$9),ISNUMBER('Inputs'!$B$10),ISNUMBER('Inputs'!$B$21),ISNUMBER('Inputs'!$B$24),ISNUMBER('Inputs'!$B$28)),((('Results'!C7*(1+'Inputs'!$B$24)*(0.5*((((113-43)*MAX('Inputs'!$B$33,'Inputs'!$B$29+'Inputs'!$B$31+'Inputs'!$B$32,'Inputs'!$B$30+'Inputs'!$B$31+'Inputs'!$B$32)/1000+'Inputs'!$B$21)+'Inputs'!$B$9)/SQRT((((113-43)*MAX('Inputs'!$B$33,'Inputs'!$B$29+'Inputs'!$B$31+'Inputs'!$B$32,'Inputs'!$B$30+'Inputs'!$B$31+'Inputs'!$B$32)/1000+'Inputs'!$B$21)+'Inputs'!$B$9)^2+('Inputs'!$B$8/2)^2)-(((113-43)*MAX('Inputs'!$B$33,'Inputs'!$B$29+'Inputs'!$B$31+'Inputs'!$B$32,'Inputs'!$B$30+'Inputs'!$B$31+'Inputs'!$B$32)/1000+'Inputs'!$B$21))/SQRT((((113-43)*MAX('Inputs'!$B$33,'Inputs'!$B$29+'Inputs'!$B$31+'Inputs'!$B$32,'Inputs'!$B$30+'Inputs'!$B$31+'Inputs'!$B$32)/1000+'Inputs'!$B$21))^2+('Inputs'!$B$8/2)^2)))-'Results'!B7*(1-'Inputs'!$B$24)*(0.5*((((113-43)*MAX('Inputs'!$B$33,'Inputs'!$B$29+'Inputs'!$B$31+'Inputs'!$B$32,'Inputs'!$B$30+'Inputs'!$B$31+'Inputs'!$B$32)/1000+'Inputs'!$B$21+'Inputs'!$B$9+'Inputs'!$B$10)+'Inputs'!$B$7)/SQRT((((113-43)*MAX('Inputs'!$B$33,'Inputs'!$B$29+'Inputs'!$B$31+'Inputs'!$B$32,'Inputs'!$B$30+'Inputs'!$B$31+'Inputs'!$B$32)/1000+'Inputs'!$B$21+'Inputs'!$B$9+'Inputs'!$B$10)+'Inputs'!$B$7)^2+('Inputs'!$B$6/2)^2)-(((113-43)*MAX('Inputs'!$B$33,'Inputs'!$B$29+'Inputs'!$B$31+'Inputs'!$B$32,'Inputs'!$B$30+'Inputs'!$B$31+'Inputs'!$B$32)/1000+'Inputs'!$B$21+'Inputs'!$B$9+'Inputs'!$B$10))/SQRT((((113-43)*MAX('Inputs'!$B$33,'Inputs'!$B$29+'Inputs'!$B$31+'Inputs'!$B$32,'Inputs'!$B$30+'Inputs'!$B$31+'Inputs'!$B$32)/1000+'Inputs'!$B$21+'Inputs'!$B$9+'Inputs'!$B$10))^2+('Inputs'!$B$6/2)^2))))*'Results'!$B$8)+'Inputs'!$B$28*ABS((('Results'!C7*(1+'Inputs'!$B$24)*(0.5*((((113-43)*MAX('Inputs'!$B$33,'Inputs'!$B$29+'Inputs'!$B$31+'Inputs'!$B$32,'Inputs'!$B$30+'Inputs'!$B$31+'Inputs'!$B$32)/1000+'Inputs'!$B$21)+'Inputs'!$B$9)/SQRT((((113-43)*MAX('Inputs'!$B$33,'Inputs'!$B$29+'Inputs'!$B$31+'Inputs'!$B$32,'Inputs'!$B$30+'Inputs'!$B$31+'Inputs'!$B$32)/1000+'Inputs'!$B$21)+'Inputs'!$B$9)^2+('Inputs'!$B$8/2)^2)-(((113-43)*MAX('Inputs'!$B$33,'Inputs'!$B$29+'Inputs'!$B$31+'Inputs'!$B$32,'Inputs'!$B$30+'Inputs'!$B$31+'Inputs'!$B$32)/1000+'Inputs'!$B$21))/SQRT((((113-43)*MAX('Inputs'!$B$33,'Inputs'!$B$29+'Inputs'!$B$31+'Inputs'!$B$32,'Inputs'!$B$30+'Inputs'!$B$31+'Inputs'!$B$32)/1000+'Inputs'!$B$21))^2+('Inputs'!$B$8/2)^2)))-'Results'!B7*(1-'Inputs'!$B$24)*(0.5*((((113-43)*MAX('Inputs'!$B$33,'Inputs'!$B$29+'Inputs'!$B$31+'Inputs'!$B$32,'Inputs'!$B$30+'Inputs'!$B$31+'Inputs'!$B$32)/1000+'Inputs'!$B$21+'Inputs'!$B$9+'Inputs'!$B$10)+'Inputs'!$B$7)/SQRT((((113-43)*MAX('Inputs'!$B$33,'Inputs'!$B$29+'Inputs'!$B$31+'Inputs'!$B$32,'Inputs'!$B$30+'Inputs'!$B$31+'Inputs'!$B$32)/1000+'Inputs'!$B$21+'Inputs'!$B$9+'Inputs'!$B$10)+'Inputs'!$B$7)^2+('Inputs'!$B$6/2)^2)-(((113-43)*MAX('Inputs'!$B$33,'Inputs'!$B$29+'Inputs'!$B$31+'Inputs'!$B$32,'Inputs'!$B$30+'Inputs'!$B$31+'Inputs'!$B$32)/1000+'Inputs'!$B$21+'Inputs'!$B$9+'Inputs'!$B$10))/SQRT((((113-43)*MAX('Inputs'!$B$33,'Inputs'!$B$29+'Inputs'!$B$31+'Inputs'!$B$32,'Inputs'!$B$30+'Inputs'!$B$31+'Inputs'!$B$32)/1000+'Inputs'!$B$21+'Inputs'!$B$9+'Inputs'!$B$10))^2+('Inputs'!$B$6/2)^2))))*'Results'!$B$8))),"")</x:f>
        <x:v>699.1638322235419</x:v>
      </x:c>
      <x:c r="P113" t="n">
        <x:f>IF(AND(MAX(J113,J112)&gt;0,J113&gt;J112+0.00000001),1,0)</x:f>
        <x:v>0</x:v>
      </x:c>
      <x:c r="Q113" t="n">
        <x:f>IF(AND(MAX(K113,K112)&gt;0,K113&gt;K112+0.00000001),1,0)</x:f>
        <x:v>0</x:v>
      </x:c>
      <x:c r="R113" t="n">
        <x:f>IF(AND(MAX(L113,L112)&gt;0,L113&gt;L112+0.00000001),1,0)</x:f>
        <x:v>0</x:v>
      </x:c>
      <x:c r="S113" t="n">
        <x:f>IF(AND(MAX(M113,M112)&gt;0,M113&gt;M112+0.00000001),1,0)</x:f>
        <x:v>0</x:v>
      </x:c>
      <x:c r="T113" t="n">
        <x:f>IF(AND(MAX(N113,N112)&gt;0,N113&gt;N112+0.00000001),1,0)</x:f>
        <x:v>0</x:v>
      </x:c>
      <x:c r="U113" t="n">
        <x:f>IF(AND(MAX(O113,O112)&gt;0,O113&gt;O112+0.00000001),1,0)</x:f>
        <x:v>0</x:v>
      </x:c>
    </x:row>
    <x:row r="114">
      <x:c r="J114" t="n">
        <x:f>IF(AND(ISNUMBER('Results'!B7),ISNUMBER('Results'!C7),ISNUMBER('Results'!$B$8),ISNUMBER('Inputs'!$B$6),ISNUMBER('Inputs'!$B$7),ISNUMBER('Inputs'!$B$8),ISNUMBER('Inputs'!$B$9),ISNUMBER('Inputs'!$B$10),ISNUMBER('Inputs'!$B$21),ISNUMBER('Inputs'!$B$24),ISNUMBER('Inputs'!$B$28)),(('Results'!B7*(0.5*((((114-43)*MAX('Inputs'!$B$33,'Inputs'!$B$29+'Inputs'!$B$31+'Inputs'!$B$32,'Inputs'!$B$30+'Inputs'!$B$31+'Inputs'!$B$32)/1000+'Inputs'!$B$21)+'Inputs'!$B$7)/SQRT((((114-43)*MAX('Inputs'!$B$33,'Inputs'!$B$29+'Inputs'!$B$31+'Inputs'!$B$32,'Inputs'!$B$30+'Inputs'!$B$31+'Inputs'!$B$32)/1000+'Inputs'!$B$21)+'Inputs'!$B$7)^2+('Inputs'!$B$6/2)^2)-(((114-43)*MAX('Inputs'!$B$33,'Inputs'!$B$29+'Inputs'!$B$31+'Inputs'!$B$32,'Inputs'!$B$30+'Inputs'!$B$31+'Inputs'!$B$32)/1000+'Inputs'!$B$21))/SQRT((((114-43)*MAX('Inputs'!$B$33,'Inputs'!$B$29+'Inputs'!$B$31+'Inputs'!$B$32,'Inputs'!$B$30+'Inputs'!$B$31+'Inputs'!$B$32)/1000+'Inputs'!$B$21))^2+('Inputs'!$B$6/2)^2)))-'Results'!C7*(0.5*((((114-43)*MAX('Inputs'!$B$33,'Inputs'!$B$29+'Inputs'!$B$31+'Inputs'!$B$32,'Inputs'!$B$30+'Inputs'!$B$31+'Inputs'!$B$32)/1000+'Inputs'!$B$21+'Inputs'!$B$7+'Inputs'!$B$10)+'Inputs'!$B$9)/SQRT((((114-43)*MAX('Inputs'!$B$33,'Inputs'!$B$29+'Inputs'!$B$31+'Inputs'!$B$32,'Inputs'!$B$30+'Inputs'!$B$31+'Inputs'!$B$32)/1000+'Inputs'!$B$21+'Inputs'!$B$7+'Inputs'!$B$10)+'Inputs'!$B$9)^2+('Inputs'!$B$8/2)^2)-(((114-43)*MAX('Inputs'!$B$33,'Inputs'!$B$29+'Inputs'!$B$31+'Inputs'!$B$32,'Inputs'!$B$30+'Inputs'!$B$31+'Inputs'!$B$32)/1000+'Inputs'!$B$21+'Inputs'!$B$7+'Inputs'!$B$10))/SQRT((((114-43)*MAX('Inputs'!$B$33,'Inputs'!$B$29+'Inputs'!$B$31+'Inputs'!$B$32,'Inputs'!$B$30+'Inputs'!$B$31+'Inputs'!$B$32)/1000+'Inputs'!$B$21+'Inputs'!$B$7+'Inputs'!$B$10))^2+('Inputs'!$B$8/2)^2))))*'Results'!$B$8),"")</x:f>
        <x:v>653.1471702699502</x:v>
      </x:c>
      <x:c r="K114" t="n">
        <x:f>IF(AND(ISNUMBER('Results'!B7),ISNUMBER('Results'!C7),ISNUMBER('Results'!$B$8),ISNUMBER('Inputs'!$B$6),ISNUMBER('Inputs'!$B$7),ISNUMBER('Inputs'!$B$8),ISNUMBER('Inputs'!$B$9),ISNUMBER('Inputs'!$B$10),ISNUMBER('Inputs'!$B$21),ISNUMBER('Inputs'!$B$24),ISNUMBER('Inputs'!$B$28)),((('Results'!B7*(1-'Inputs'!$B$24)*(0.5*((((114-43)*MAX('Inputs'!$B$33,'Inputs'!$B$29+'Inputs'!$B$31+'Inputs'!$B$32,'Inputs'!$B$30+'Inputs'!$B$31+'Inputs'!$B$32)/1000+'Inputs'!$B$21)+'Inputs'!$B$7)/SQRT((((114-43)*MAX('Inputs'!$B$33,'Inputs'!$B$29+'Inputs'!$B$31+'Inputs'!$B$32,'Inputs'!$B$30+'Inputs'!$B$31+'Inputs'!$B$32)/1000+'Inputs'!$B$21)+'Inputs'!$B$7)^2+('Inputs'!$B$6/2)^2)-(((114-43)*MAX('Inputs'!$B$33,'Inputs'!$B$29+'Inputs'!$B$31+'Inputs'!$B$32,'Inputs'!$B$30+'Inputs'!$B$31+'Inputs'!$B$32)/1000+'Inputs'!$B$21))/SQRT((((114-43)*MAX('Inputs'!$B$33,'Inputs'!$B$29+'Inputs'!$B$31+'Inputs'!$B$32,'Inputs'!$B$30+'Inputs'!$B$31+'Inputs'!$B$32)/1000+'Inputs'!$B$21))^2+('Inputs'!$B$6/2)^2)))-'Results'!C7*(1+'Inputs'!$B$24)*(0.5*((((114-43)*MAX('Inputs'!$B$33,'Inputs'!$B$29+'Inputs'!$B$31+'Inputs'!$B$32,'Inputs'!$B$30+'Inputs'!$B$31+'Inputs'!$B$32)/1000+'Inputs'!$B$21+'Inputs'!$B$7+'Inputs'!$B$10)+'Inputs'!$B$9)/SQRT((((114-43)*MAX('Inputs'!$B$33,'Inputs'!$B$29+'Inputs'!$B$31+'Inputs'!$B$32,'Inputs'!$B$30+'Inputs'!$B$31+'Inputs'!$B$32)/1000+'Inputs'!$B$21+'Inputs'!$B$7+'Inputs'!$B$10)+'Inputs'!$B$9)^2+('Inputs'!$B$8/2)^2)-(((114-43)*MAX('Inputs'!$B$33,'Inputs'!$B$29+'Inputs'!$B$31+'Inputs'!$B$32,'Inputs'!$B$30+'Inputs'!$B$31+'Inputs'!$B$32)/1000+'Inputs'!$B$21+'Inputs'!$B$7+'Inputs'!$B$10))/SQRT((((114-43)*MAX('Inputs'!$B$33,'Inputs'!$B$29+'Inputs'!$B$31+'Inputs'!$B$32,'Inputs'!$B$30+'Inputs'!$B$31+'Inputs'!$B$32)/1000+'Inputs'!$B$21+'Inputs'!$B$7+'Inputs'!$B$10))^2+('Inputs'!$B$8/2)^2))))*'Results'!$B$8)-'Inputs'!$B$28*ABS((('Results'!B7*(1-'Inputs'!$B$24)*(0.5*((((114-43)*MAX('Inputs'!$B$33,'Inputs'!$B$29+'Inputs'!$B$31+'Inputs'!$B$32,'Inputs'!$B$30+'Inputs'!$B$31+'Inputs'!$B$32)/1000+'Inputs'!$B$21)+'Inputs'!$B$7)/SQRT((((114-43)*MAX('Inputs'!$B$33,'Inputs'!$B$29+'Inputs'!$B$31+'Inputs'!$B$32,'Inputs'!$B$30+'Inputs'!$B$31+'Inputs'!$B$32)/1000+'Inputs'!$B$21)+'Inputs'!$B$7)^2+('Inputs'!$B$6/2)^2)-(((114-43)*MAX('Inputs'!$B$33,'Inputs'!$B$29+'Inputs'!$B$31+'Inputs'!$B$32,'Inputs'!$B$30+'Inputs'!$B$31+'Inputs'!$B$32)/1000+'Inputs'!$B$21))/SQRT((((114-43)*MAX('Inputs'!$B$33,'Inputs'!$B$29+'Inputs'!$B$31+'Inputs'!$B$32,'Inputs'!$B$30+'Inputs'!$B$31+'Inputs'!$B$32)/1000+'Inputs'!$B$21))^2+('Inputs'!$B$6/2)^2)))-'Results'!C7*(1+'Inputs'!$B$24)*(0.5*((((114-43)*MAX('Inputs'!$B$33,'Inputs'!$B$29+'Inputs'!$B$31+'Inputs'!$B$32,'Inputs'!$B$30+'Inputs'!$B$31+'Inputs'!$B$32)/1000+'Inputs'!$B$21+'Inputs'!$B$7+'Inputs'!$B$10)+'Inputs'!$B$9)/SQRT((((114-43)*MAX('Inputs'!$B$33,'Inputs'!$B$29+'Inputs'!$B$31+'Inputs'!$B$32,'Inputs'!$B$30+'Inputs'!$B$31+'Inputs'!$B$32)/1000+'Inputs'!$B$21+'Inputs'!$B$7+'Inputs'!$B$10)+'Inputs'!$B$9)^2+('Inputs'!$B$8/2)^2)-(((114-43)*MAX('Inputs'!$B$33,'Inputs'!$B$29+'Inputs'!$B$31+'Inputs'!$B$32,'Inputs'!$B$30+'Inputs'!$B$31+'Inputs'!$B$32)/1000+'Inputs'!$B$21+'Inputs'!$B$7+'Inputs'!$B$10))/SQRT((((114-43)*MAX('Inputs'!$B$33,'Inputs'!$B$29+'Inputs'!$B$31+'Inputs'!$B$32,'Inputs'!$B$30+'Inputs'!$B$31+'Inputs'!$B$32)/1000+'Inputs'!$B$21+'Inputs'!$B$7+'Inputs'!$B$10))^2+('Inputs'!$B$8/2)^2))))*'Results'!$B$8))),"")</x:f>
        <x:v>603.3831342776466</x:v>
      </x:c>
      <x:c r="L114" t="n">
        <x:f>IF(AND(ISNUMBER('Results'!B7),ISNUMBER('Results'!C7),ISNUMBER('Results'!$B$8),ISNUMBER('Inputs'!$B$6),ISNUMBER('Inputs'!$B$7),ISNUMBER('Inputs'!$B$8),ISNUMBER('Inputs'!$B$9),ISNUMBER('Inputs'!$B$10),ISNUMBER('Inputs'!$B$21),ISNUMBER('Inputs'!$B$24),ISNUMBER('Inputs'!$B$28)),((('Results'!B7*(1+'Inputs'!$B$24)*(0.5*((((114-43)*MAX('Inputs'!$B$33,'Inputs'!$B$29+'Inputs'!$B$31+'Inputs'!$B$32,'Inputs'!$B$30+'Inputs'!$B$31+'Inputs'!$B$32)/1000+'Inputs'!$B$21)+'Inputs'!$B$7)/SQRT((((114-43)*MAX('Inputs'!$B$33,'Inputs'!$B$29+'Inputs'!$B$31+'Inputs'!$B$32,'Inputs'!$B$30+'Inputs'!$B$31+'Inputs'!$B$32)/1000+'Inputs'!$B$21)+'Inputs'!$B$7)^2+('Inputs'!$B$6/2)^2)-(((114-43)*MAX('Inputs'!$B$33,'Inputs'!$B$29+'Inputs'!$B$31+'Inputs'!$B$32,'Inputs'!$B$30+'Inputs'!$B$31+'Inputs'!$B$32)/1000+'Inputs'!$B$21))/SQRT((((114-43)*MAX('Inputs'!$B$33,'Inputs'!$B$29+'Inputs'!$B$31+'Inputs'!$B$32,'Inputs'!$B$30+'Inputs'!$B$31+'Inputs'!$B$32)/1000+'Inputs'!$B$21))^2+('Inputs'!$B$6/2)^2)))-'Results'!C7*(1-'Inputs'!$B$24)*(0.5*((((114-43)*MAX('Inputs'!$B$33,'Inputs'!$B$29+'Inputs'!$B$31+'Inputs'!$B$32,'Inputs'!$B$30+'Inputs'!$B$31+'Inputs'!$B$32)/1000+'Inputs'!$B$21+'Inputs'!$B$7+'Inputs'!$B$10)+'Inputs'!$B$9)/SQRT((((114-43)*MAX('Inputs'!$B$33,'Inputs'!$B$29+'Inputs'!$B$31+'Inputs'!$B$32,'Inputs'!$B$30+'Inputs'!$B$31+'Inputs'!$B$32)/1000+'Inputs'!$B$21+'Inputs'!$B$7+'Inputs'!$B$10)+'Inputs'!$B$9)^2+('Inputs'!$B$8/2)^2)-(((114-43)*MAX('Inputs'!$B$33,'Inputs'!$B$29+'Inputs'!$B$31+'Inputs'!$B$32,'Inputs'!$B$30+'Inputs'!$B$31+'Inputs'!$B$32)/1000+'Inputs'!$B$21+'Inputs'!$B$7+'Inputs'!$B$10))/SQRT((((114-43)*MAX('Inputs'!$B$33,'Inputs'!$B$29+'Inputs'!$B$31+'Inputs'!$B$32,'Inputs'!$B$30+'Inputs'!$B$31+'Inputs'!$B$32)/1000+'Inputs'!$B$21+'Inputs'!$B$7+'Inputs'!$B$10))^2+('Inputs'!$B$8/2)^2))))*'Results'!$B$8)+'Inputs'!$B$28*ABS((('Results'!B7*(1+'Inputs'!$B$24)*(0.5*((((114-43)*MAX('Inputs'!$B$33,'Inputs'!$B$29+'Inputs'!$B$31+'Inputs'!$B$32,'Inputs'!$B$30+'Inputs'!$B$31+'Inputs'!$B$32)/1000+'Inputs'!$B$21)+'Inputs'!$B$7)/SQRT((((114-43)*MAX('Inputs'!$B$33,'Inputs'!$B$29+'Inputs'!$B$31+'Inputs'!$B$32,'Inputs'!$B$30+'Inputs'!$B$31+'Inputs'!$B$32)/1000+'Inputs'!$B$21)+'Inputs'!$B$7)^2+('Inputs'!$B$6/2)^2)-(((114-43)*MAX('Inputs'!$B$33,'Inputs'!$B$29+'Inputs'!$B$31+'Inputs'!$B$32,'Inputs'!$B$30+'Inputs'!$B$31+'Inputs'!$B$32)/1000+'Inputs'!$B$21))/SQRT((((114-43)*MAX('Inputs'!$B$33,'Inputs'!$B$29+'Inputs'!$B$31+'Inputs'!$B$32,'Inputs'!$B$30+'Inputs'!$B$31+'Inputs'!$B$32)/1000+'Inputs'!$B$21))^2+('Inputs'!$B$6/2)^2)))-'Results'!C7*(1-'Inputs'!$B$24)*(0.5*((((114-43)*MAX('Inputs'!$B$33,'Inputs'!$B$29+'Inputs'!$B$31+'Inputs'!$B$32,'Inputs'!$B$30+'Inputs'!$B$31+'Inputs'!$B$32)/1000+'Inputs'!$B$21+'Inputs'!$B$7+'Inputs'!$B$10)+'Inputs'!$B$9)/SQRT((((114-43)*MAX('Inputs'!$B$33,'Inputs'!$B$29+'Inputs'!$B$31+'Inputs'!$B$32,'Inputs'!$B$30+'Inputs'!$B$31+'Inputs'!$B$32)/1000+'Inputs'!$B$21+'Inputs'!$B$7+'Inputs'!$B$10)+'Inputs'!$B$9)^2+('Inputs'!$B$8/2)^2)-(((114-43)*MAX('Inputs'!$B$33,'Inputs'!$B$29+'Inputs'!$B$31+'Inputs'!$B$32,'Inputs'!$B$30+'Inputs'!$B$31+'Inputs'!$B$32)/1000+'Inputs'!$B$21+'Inputs'!$B$7+'Inputs'!$B$10))/SQRT((((114-43)*MAX('Inputs'!$B$33,'Inputs'!$B$29+'Inputs'!$B$31+'Inputs'!$B$32,'Inputs'!$B$30+'Inputs'!$B$31+'Inputs'!$B$32)/1000+'Inputs'!$B$21+'Inputs'!$B$7+'Inputs'!$B$10))^2+('Inputs'!$B$8/2)^2))))*'Results'!$B$8))),"")</x:f>
        <x:v>704.7119091547596</x:v>
      </x:c>
      <x:c r="M114" t="n">
        <x:f>IF(AND(ISNUMBER('Results'!C7),ISNUMBER('Results'!B7),ISNUMBER('Results'!$B$8),ISNUMBER('Inputs'!$B$6),ISNUMBER('Inputs'!$B$7),ISNUMBER('Inputs'!$B$8),ISNUMBER('Inputs'!$B$9),ISNUMBER('Inputs'!$B$10),ISNUMBER('Inputs'!$B$21),ISNUMBER('Inputs'!$B$24),ISNUMBER('Inputs'!$B$28)),(('Results'!C7*(0.5*((((114-43)*MAX('Inputs'!$B$33,'Inputs'!$B$29+'Inputs'!$B$31+'Inputs'!$B$32,'Inputs'!$B$30+'Inputs'!$B$31+'Inputs'!$B$32)/1000+'Inputs'!$B$21)+'Inputs'!$B$9)/SQRT((((114-43)*MAX('Inputs'!$B$33,'Inputs'!$B$29+'Inputs'!$B$31+'Inputs'!$B$32,'Inputs'!$B$30+'Inputs'!$B$31+'Inputs'!$B$32)/1000+'Inputs'!$B$21)+'Inputs'!$B$9)^2+('Inputs'!$B$8/2)^2)-(((114-43)*MAX('Inputs'!$B$33,'Inputs'!$B$29+'Inputs'!$B$31+'Inputs'!$B$32,'Inputs'!$B$30+'Inputs'!$B$31+'Inputs'!$B$32)/1000+'Inputs'!$B$21))/SQRT((((114-43)*MAX('Inputs'!$B$33,'Inputs'!$B$29+'Inputs'!$B$31+'Inputs'!$B$32,'Inputs'!$B$30+'Inputs'!$B$31+'Inputs'!$B$32)/1000+'Inputs'!$B$21))^2+('Inputs'!$B$8/2)^2)))-'Results'!B7*(0.5*((((114-43)*MAX('Inputs'!$B$33,'Inputs'!$B$29+'Inputs'!$B$31+'Inputs'!$B$32,'Inputs'!$B$30+'Inputs'!$B$31+'Inputs'!$B$32)/1000+'Inputs'!$B$21+'Inputs'!$B$9+'Inputs'!$B$10)+'Inputs'!$B$7)/SQRT((((114-43)*MAX('Inputs'!$B$33,'Inputs'!$B$29+'Inputs'!$B$31+'Inputs'!$B$32,'Inputs'!$B$30+'Inputs'!$B$31+'Inputs'!$B$32)/1000+'Inputs'!$B$21+'Inputs'!$B$9+'Inputs'!$B$10)+'Inputs'!$B$7)^2+('Inputs'!$B$6/2)^2)-(((114-43)*MAX('Inputs'!$B$33,'Inputs'!$B$29+'Inputs'!$B$31+'Inputs'!$B$32,'Inputs'!$B$30+'Inputs'!$B$31+'Inputs'!$B$32)/1000+'Inputs'!$B$21+'Inputs'!$B$9+'Inputs'!$B$10))/SQRT((((114-43)*MAX('Inputs'!$B$33,'Inputs'!$B$29+'Inputs'!$B$31+'Inputs'!$B$32,'Inputs'!$B$30+'Inputs'!$B$31+'Inputs'!$B$32)/1000+'Inputs'!$B$21+'Inputs'!$B$9+'Inputs'!$B$10))^2+('Inputs'!$B$6/2)^2))))*'Results'!$B$8),"")</x:f>
        <x:v>635.0896914926498</x:v>
      </x:c>
      <x:c r="N114" t="n">
        <x:f>IF(AND(ISNUMBER('Results'!C7),ISNUMBER('Results'!B7),ISNUMBER('Results'!$B$8),ISNUMBER('Inputs'!$B$6),ISNUMBER('Inputs'!$B$7),ISNUMBER('Inputs'!$B$8),ISNUMBER('Inputs'!$B$9),ISNUMBER('Inputs'!$B$10),ISNUMBER('Inputs'!$B$21),ISNUMBER('Inputs'!$B$24),ISNUMBER('Inputs'!$B$28)),((('Results'!C7*(1-'Inputs'!$B$24)*(0.5*((((114-43)*MAX('Inputs'!$B$33,'Inputs'!$B$29+'Inputs'!$B$31+'Inputs'!$B$32,'Inputs'!$B$30+'Inputs'!$B$31+'Inputs'!$B$32)/1000+'Inputs'!$B$21)+'Inputs'!$B$9)/SQRT((((114-43)*MAX('Inputs'!$B$33,'Inputs'!$B$29+'Inputs'!$B$31+'Inputs'!$B$32,'Inputs'!$B$30+'Inputs'!$B$31+'Inputs'!$B$32)/1000+'Inputs'!$B$21)+'Inputs'!$B$9)^2+('Inputs'!$B$8/2)^2)-(((114-43)*MAX('Inputs'!$B$33,'Inputs'!$B$29+'Inputs'!$B$31+'Inputs'!$B$32,'Inputs'!$B$30+'Inputs'!$B$31+'Inputs'!$B$32)/1000+'Inputs'!$B$21))/SQRT((((114-43)*MAX('Inputs'!$B$33,'Inputs'!$B$29+'Inputs'!$B$31+'Inputs'!$B$32,'Inputs'!$B$30+'Inputs'!$B$31+'Inputs'!$B$32)/1000+'Inputs'!$B$21))^2+('Inputs'!$B$8/2)^2)))-'Results'!B7*(1+'Inputs'!$B$24)*(0.5*((((114-43)*MAX('Inputs'!$B$33,'Inputs'!$B$29+'Inputs'!$B$31+'Inputs'!$B$32,'Inputs'!$B$30+'Inputs'!$B$31+'Inputs'!$B$32)/1000+'Inputs'!$B$21+'Inputs'!$B$9+'Inputs'!$B$10)+'Inputs'!$B$7)/SQRT((((114-43)*MAX('Inputs'!$B$33,'Inputs'!$B$29+'Inputs'!$B$31+'Inputs'!$B$32,'Inputs'!$B$30+'Inputs'!$B$31+'Inputs'!$B$32)/1000+'Inputs'!$B$21+'Inputs'!$B$9+'Inputs'!$B$10)+'Inputs'!$B$7)^2+('Inputs'!$B$6/2)^2)-(((114-43)*MAX('Inputs'!$B$33,'Inputs'!$B$29+'Inputs'!$B$31+'Inputs'!$B$32,'Inputs'!$B$30+'Inputs'!$B$31+'Inputs'!$B$32)/1000+'Inputs'!$B$21+'Inputs'!$B$9+'Inputs'!$B$10))/SQRT((((114-43)*MAX('Inputs'!$B$33,'Inputs'!$B$29+'Inputs'!$B$31+'Inputs'!$B$32,'Inputs'!$B$30+'Inputs'!$B$31+'Inputs'!$B$32)/1000+'Inputs'!$B$21+'Inputs'!$B$9+'Inputs'!$B$10))^2+('Inputs'!$B$6/2)^2))))*'Results'!$B$8)-'Inputs'!$B$28*ABS((('Results'!C7*(1-'Inputs'!$B$24)*(0.5*((((114-43)*MAX('Inputs'!$B$33,'Inputs'!$B$29+'Inputs'!$B$31+'Inputs'!$B$32,'Inputs'!$B$30+'Inputs'!$B$31+'Inputs'!$B$32)/1000+'Inputs'!$B$21)+'Inputs'!$B$9)/SQRT((((114-43)*MAX('Inputs'!$B$33,'Inputs'!$B$29+'Inputs'!$B$31+'Inputs'!$B$32,'Inputs'!$B$30+'Inputs'!$B$31+'Inputs'!$B$32)/1000+'Inputs'!$B$21)+'Inputs'!$B$9)^2+('Inputs'!$B$8/2)^2)-(((114-43)*MAX('Inputs'!$B$33,'Inputs'!$B$29+'Inputs'!$B$31+'Inputs'!$B$32,'Inputs'!$B$30+'Inputs'!$B$31+'Inputs'!$B$32)/1000+'Inputs'!$B$21))/SQRT((((114-43)*MAX('Inputs'!$B$33,'Inputs'!$B$29+'Inputs'!$B$31+'Inputs'!$B$32,'Inputs'!$B$30+'Inputs'!$B$31+'Inputs'!$B$32)/1000+'Inputs'!$B$21))^2+('Inputs'!$B$8/2)^2)))-'Results'!B7*(1+'Inputs'!$B$24)*(0.5*((((114-43)*MAX('Inputs'!$B$33,'Inputs'!$B$29+'Inputs'!$B$31+'Inputs'!$B$32,'Inputs'!$B$30+'Inputs'!$B$31+'Inputs'!$B$32)/1000+'Inputs'!$B$21+'Inputs'!$B$9+'Inputs'!$B$10)+'Inputs'!$B$7)/SQRT((((114-43)*MAX('Inputs'!$B$33,'Inputs'!$B$29+'Inputs'!$B$31+'Inputs'!$B$32,'Inputs'!$B$30+'Inputs'!$B$31+'Inputs'!$B$32)/1000+'Inputs'!$B$21+'Inputs'!$B$9+'Inputs'!$B$10)+'Inputs'!$B$7)^2+('Inputs'!$B$6/2)^2)-(((114-43)*MAX('Inputs'!$B$33,'Inputs'!$B$29+'Inputs'!$B$31+'Inputs'!$B$32,'Inputs'!$B$30+'Inputs'!$B$31+'Inputs'!$B$32)/1000+'Inputs'!$B$21+'Inputs'!$B$9+'Inputs'!$B$10))/SQRT((((114-43)*MAX('Inputs'!$B$33,'Inputs'!$B$29+'Inputs'!$B$31+'Inputs'!$B$32,'Inputs'!$B$30+'Inputs'!$B$31+'Inputs'!$B$32)/1000+'Inputs'!$B$21+'Inputs'!$B$9+'Inputs'!$B$10))^2+('Inputs'!$B$6/2)^2))))*'Results'!$B$8))),"")</x:f>
        <x:v>586.4757668167213</x:v>
      </x:c>
      <x:c r="O114" t="n">
        <x:f>IF(AND(ISNUMBER('Results'!C7),ISNUMBER('Results'!B7),ISNUMBER('Results'!$B$8),ISNUMBER('Inputs'!$B$6),ISNUMBER('Inputs'!$B$7),ISNUMBER('Inputs'!$B$8),ISNUMBER('Inputs'!$B$9),ISNUMBER('Inputs'!$B$10),ISNUMBER('Inputs'!$B$21),ISNUMBER('Inputs'!$B$24),ISNUMBER('Inputs'!$B$28)),((('Results'!C7*(1+'Inputs'!$B$24)*(0.5*((((114-43)*MAX('Inputs'!$B$33,'Inputs'!$B$29+'Inputs'!$B$31+'Inputs'!$B$32,'Inputs'!$B$30+'Inputs'!$B$31+'Inputs'!$B$32)/1000+'Inputs'!$B$21)+'Inputs'!$B$9)/SQRT((((114-43)*MAX('Inputs'!$B$33,'Inputs'!$B$29+'Inputs'!$B$31+'Inputs'!$B$32,'Inputs'!$B$30+'Inputs'!$B$31+'Inputs'!$B$32)/1000+'Inputs'!$B$21)+'Inputs'!$B$9)^2+('Inputs'!$B$8/2)^2)-(((114-43)*MAX('Inputs'!$B$33,'Inputs'!$B$29+'Inputs'!$B$31+'Inputs'!$B$32,'Inputs'!$B$30+'Inputs'!$B$31+'Inputs'!$B$32)/1000+'Inputs'!$B$21))/SQRT((((114-43)*MAX('Inputs'!$B$33,'Inputs'!$B$29+'Inputs'!$B$31+'Inputs'!$B$32,'Inputs'!$B$30+'Inputs'!$B$31+'Inputs'!$B$32)/1000+'Inputs'!$B$21))^2+('Inputs'!$B$8/2)^2)))-'Results'!B7*(1-'Inputs'!$B$24)*(0.5*((((114-43)*MAX('Inputs'!$B$33,'Inputs'!$B$29+'Inputs'!$B$31+'Inputs'!$B$32,'Inputs'!$B$30+'Inputs'!$B$31+'Inputs'!$B$32)/1000+'Inputs'!$B$21+'Inputs'!$B$9+'Inputs'!$B$10)+'Inputs'!$B$7)/SQRT((((114-43)*MAX('Inputs'!$B$33,'Inputs'!$B$29+'Inputs'!$B$31+'Inputs'!$B$32,'Inputs'!$B$30+'Inputs'!$B$31+'Inputs'!$B$32)/1000+'Inputs'!$B$21+'Inputs'!$B$9+'Inputs'!$B$10)+'Inputs'!$B$7)^2+('Inputs'!$B$6/2)^2)-(((114-43)*MAX('Inputs'!$B$33,'Inputs'!$B$29+'Inputs'!$B$31+'Inputs'!$B$32,'Inputs'!$B$30+'Inputs'!$B$31+'Inputs'!$B$32)/1000+'Inputs'!$B$21+'Inputs'!$B$9+'Inputs'!$B$10))/SQRT((((114-43)*MAX('Inputs'!$B$33,'Inputs'!$B$29+'Inputs'!$B$31+'Inputs'!$B$32,'Inputs'!$B$30+'Inputs'!$B$31+'Inputs'!$B$32)/1000+'Inputs'!$B$21+'Inputs'!$B$9+'Inputs'!$B$10))^2+('Inputs'!$B$6/2)^2))))*'Results'!$B$8)+'Inputs'!$B$28*ABS((('Results'!C7*(1+'Inputs'!$B$24)*(0.5*((((114-43)*MAX('Inputs'!$B$33,'Inputs'!$B$29+'Inputs'!$B$31+'Inputs'!$B$32,'Inputs'!$B$30+'Inputs'!$B$31+'Inputs'!$B$32)/1000+'Inputs'!$B$21)+'Inputs'!$B$9)/SQRT((((114-43)*MAX('Inputs'!$B$33,'Inputs'!$B$29+'Inputs'!$B$31+'Inputs'!$B$32,'Inputs'!$B$30+'Inputs'!$B$31+'Inputs'!$B$32)/1000+'Inputs'!$B$21)+'Inputs'!$B$9)^2+('Inputs'!$B$8/2)^2)-(((114-43)*MAX('Inputs'!$B$33,'Inputs'!$B$29+'Inputs'!$B$31+'Inputs'!$B$32,'Inputs'!$B$30+'Inputs'!$B$31+'Inputs'!$B$32)/1000+'Inputs'!$B$21))/SQRT((((114-43)*MAX('Inputs'!$B$33,'Inputs'!$B$29+'Inputs'!$B$31+'Inputs'!$B$32,'Inputs'!$B$30+'Inputs'!$B$31+'Inputs'!$B$32)/1000+'Inputs'!$B$21))^2+('Inputs'!$B$8/2)^2)))-'Results'!B7*(1-'Inputs'!$B$24)*(0.5*((((114-43)*MAX('Inputs'!$B$33,'Inputs'!$B$29+'Inputs'!$B$31+'Inputs'!$B$32,'Inputs'!$B$30+'Inputs'!$B$31+'Inputs'!$B$32)/1000+'Inputs'!$B$21+'Inputs'!$B$9+'Inputs'!$B$10)+'Inputs'!$B$7)/SQRT((((114-43)*MAX('Inputs'!$B$33,'Inputs'!$B$29+'Inputs'!$B$31+'Inputs'!$B$32,'Inputs'!$B$30+'Inputs'!$B$31+'Inputs'!$B$32)/1000+'Inputs'!$B$21+'Inputs'!$B$9+'Inputs'!$B$10)+'Inputs'!$B$7)^2+('Inputs'!$B$6/2)^2)-(((114-43)*MAX('Inputs'!$B$33,'Inputs'!$B$29+'Inputs'!$B$31+'Inputs'!$B$32,'Inputs'!$B$30+'Inputs'!$B$31+'Inputs'!$B$32)/1000+'Inputs'!$B$21+'Inputs'!$B$9+'Inputs'!$B$10))/SQRT((((114-43)*MAX('Inputs'!$B$33,'Inputs'!$B$29+'Inputs'!$B$31+'Inputs'!$B$32,'Inputs'!$B$30+'Inputs'!$B$31+'Inputs'!$B$32)/1000+'Inputs'!$B$21+'Inputs'!$B$9+'Inputs'!$B$10))^2+('Inputs'!$B$6/2)^2))))*'Results'!$B$8))),"")</x:f>
        <x:v>685.478294073978</x:v>
      </x:c>
      <x:c r="P114" t="n">
        <x:f>IF(AND(MAX(J114,J113)&gt;0,J114&gt;J113+0.00000001),1,0)</x:f>
        <x:v>0</x:v>
      </x:c>
      <x:c r="Q114" t="n">
        <x:f>IF(AND(MAX(K114,K113)&gt;0,K114&gt;K113+0.00000001),1,0)</x:f>
        <x:v>0</x:v>
      </x:c>
      <x:c r="R114" t="n">
        <x:f>IF(AND(MAX(L114,L113)&gt;0,L114&gt;L113+0.00000001),1,0)</x:f>
        <x:v>0</x:v>
      </x:c>
      <x:c r="S114" t="n">
        <x:f>IF(AND(MAX(M114,M113)&gt;0,M114&gt;M113+0.00000001),1,0)</x:f>
        <x:v>0</x:v>
      </x:c>
      <x:c r="T114" t="n">
        <x:f>IF(AND(MAX(N114,N113)&gt;0,N114&gt;N113+0.00000001),1,0)</x:f>
        <x:v>0</x:v>
      </x:c>
      <x:c r="U114" t="n">
        <x:f>IF(AND(MAX(O114,O113)&gt;0,O114&gt;O113+0.00000001),1,0)</x:f>
        <x:v>0</x:v>
      </x:c>
    </x:row>
    <x:row r="115">
      <x:c r="J115" t="n">
        <x:f>IF(AND(ISNUMBER('Results'!B7),ISNUMBER('Results'!C7),ISNUMBER('Results'!$B$8),ISNUMBER('Inputs'!$B$6),ISNUMBER('Inputs'!$B$7),ISNUMBER('Inputs'!$B$8),ISNUMBER('Inputs'!$B$9),ISNUMBER('Inputs'!$B$10),ISNUMBER('Inputs'!$B$21),ISNUMBER('Inputs'!$B$24),ISNUMBER('Inputs'!$B$28)),(('Results'!B7*(0.5*((((115-43)*MAX('Inputs'!$B$33,'Inputs'!$B$29+'Inputs'!$B$31+'Inputs'!$B$32,'Inputs'!$B$30+'Inputs'!$B$31+'Inputs'!$B$32)/1000+'Inputs'!$B$21)+'Inputs'!$B$7)/SQRT((((115-43)*MAX('Inputs'!$B$33,'Inputs'!$B$29+'Inputs'!$B$31+'Inputs'!$B$32,'Inputs'!$B$30+'Inputs'!$B$31+'Inputs'!$B$32)/1000+'Inputs'!$B$21)+'Inputs'!$B$7)^2+('Inputs'!$B$6/2)^2)-(((115-43)*MAX('Inputs'!$B$33,'Inputs'!$B$29+'Inputs'!$B$31+'Inputs'!$B$32,'Inputs'!$B$30+'Inputs'!$B$31+'Inputs'!$B$32)/1000+'Inputs'!$B$21))/SQRT((((115-43)*MAX('Inputs'!$B$33,'Inputs'!$B$29+'Inputs'!$B$31+'Inputs'!$B$32,'Inputs'!$B$30+'Inputs'!$B$31+'Inputs'!$B$32)/1000+'Inputs'!$B$21))^2+('Inputs'!$B$6/2)^2)))-'Results'!C7*(0.5*((((115-43)*MAX('Inputs'!$B$33,'Inputs'!$B$29+'Inputs'!$B$31+'Inputs'!$B$32,'Inputs'!$B$30+'Inputs'!$B$31+'Inputs'!$B$32)/1000+'Inputs'!$B$21+'Inputs'!$B$7+'Inputs'!$B$10)+'Inputs'!$B$9)/SQRT((((115-43)*MAX('Inputs'!$B$33,'Inputs'!$B$29+'Inputs'!$B$31+'Inputs'!$B$32,'Inputs'!$B$30+'Inputs'!$B$31+'Inputs'!$B$32)/1000+'Inputs'!$B$21+'Inputs'!$B$7+'Inputs'!$B$10)+'Inputs'!$B$9)^2+('Inputs'!$B$8/2)^2)-(((115-43)*MAX('Inputs'!$B$33,'Inputs'!$B$29+'Inputs'!$B$31+'Inputs'!$B$32,'Inputs'!$B$30+'Inputs'!$B$31+'Inputs'!$B$32)/1000+'Inputs'!$B$21+'Inputs'!$B$7+'Inputs'!$B$10))/SQRT((((115-43)*MAX('Inputs'!$B$33,'Inputs'!$B$29+'Inputs'!$B$31+'Inputs'!$B$32,'Inputs'!$B$30+'Inputs'!$B$31+'Inputs'!$B$32)/1000+'Inputs'!$B$21+'Inputs'!$B$7+'Inputs'!$B$10))^2+('Inputs'!$B$8/2)^2))))*'Results'!$B$8),"")</x:f>
        <x:v>640.3653472604793</x:v>
      </x:c>
      <x:c r="K115" t="n">
        <x:f>IF(AND(ISNUMBER('Results'!B7),ISNUMBER('Results'!C7),ISNUMBER('Results'!$B$8),ISNUMBER('Inputs'!$B$6),ISNUMBER('Inputs'!$B$7),ISNUMBER('Inputs'!$B$8),ISNUMBER('Inputs'!$B$9),ISNUMBER('Inputs'!$B$10),ISNUMBER('Inputs'!$B$21),ISNUMBER('Inputs'!$B$24),ISNUMBER('Inputs'!$B$28)),((('Results'!B7*(1-'Inputs'!$B$24)*(0.5*((((115-43)*MAX('Inputs'!$B$33,'Inputs'!$B$29+'Inputs'!$B$31+'Inputs'!$B$32,'Inputs'!$B$30+'Inputs'!$B$31+'Inputs'!$B$32)/1000+'Inputs'!$B$21)+'Inputs'!$B$7)/SQRT((((115-43)*MAX('Inputs'!$B$33,'Inputs'!$B$29+'Inputs'!$B$31+'Inputs'!$B$32,'Inputs'!$B$30+'Inputs'!$B$31+'Inputs'!$B$32)/1000+'Inputs'!$B$21)+'Inputs'!$B$7)^2+('Inputs'!$B$6/2)^2)-(((115-43)*MAX('Inputs'!$B$33,'Inputs'!$B$29+'Inputs'!$B$31+'Inputs'!$B$32,'Inputs'!$B$30+'Inputs'!$B$31+'Inputs'!$B$32)/1000+'Inputs'!$B$21))/SQRT((((115-43)*MAX('Inputs'!$B$33,'Inputs'!$B$29+'Inputs'!$B$31+'Inputs'!$B$32,'Inputs'!$B$30+'Inputs'!$B$31+'Inputs'!$B$32)/1000+'Inputs'!$B$21))^2+('Inputs'!$B$6/2)^2)))-'Results'!C7*(1+'Inputs'!$B$24)*(0.5*((((115-43)*MAX('Inputs'!$B$33,'Inputs'!$B$29+'Inputs'!$B$31+'Inputs'!$B$32,'Inputs'!$B$30+'Inputs'!$B$31+'Inputs'!$B$32)/1000+'Inputs'!$B$21+'Inputs'!$B$7+'Inputs'!$B$10)+'Inputs'!$B$9)/SQRT((((115-43)*MAX('Inputs'!$B$33,'Inputs'!$B$29+'Inputs'!$B$31+'Inputs'!$B$32,'Inputs'!$B$30+'Inputs'!$B$31+'Inputs'!$B$32)/1000+'Inputs'!$B$21+'Inputs'!$B$7+'Inputs'!$B$10)+'Inputs'!$B$9)^2+('Inputs'!$B$8/2)^2)-(((115-43)*MAX('Inputs'!$B$33,'Inputs'!$B$29+'Inputs'!$B$31+'Inputs'!$B$32,'Inputs'!$B$30+'Inputs'!$B$31+'Inputs'!$B$32)/1000+'Inputs'!$B$21+'Inputs'!$B$7+'Inputs'!$B$10))/SQRT((((115-43)*MAX('Inputs'!$B$33,'Inputs'!$B$29+'Inputs'!$B$31+'Inputs'!$B$32,'Inputs'!$B$30+'Inputs'!$B$31+'Inputs'!$B$32)/1000+'Inputs'!$B$21+'Inputs'!$B$7+'Inputs'!$B$10))^2+('Inputs'!$B$8/2)^2))))*'Results'!$B$8)-'Inputs'!$B$28*ABS((('Results'!B7*(1-'Inputs'!$B$24)*(0.5*((((115-43)*MAX('Inputs'!$B$33,'Inputs'!$B$29+'Inputs'!$B$31+'Inputs'!$B$32,'Inputs'!$B$30+'Inputs'!$B$31+'Inputs'!$B$32)/1000+'Inputs'!$B$21)+'Inputs'!$B$7)/SQRT((((115-43)*MAX('Inputs'!$B$33,'Inputs'!$B$29+'Inputs'!$B$31+'Inputs'!$B$32,'Inputs'!$B$30+'Inputs'!$B$31+'Inputs'!$B$32)/1000+'Inputs'!$B$21)+'Inputs'!$B$7)^2+('Inputs'!$B$6/2)^2)-(((115-43)*MAX('Inputs'!$B$33,'Inputs'!$B$29+'Inputs'!$B$31+'Inputs'!$B$32,'Inputs'!$B$30+'Inputs'!$B$31+'Inputs'!$B$32)/1000+'Inputs'!$B$21))/SQRT((((115-43)*MAX('Inputs'!$B$33,'Inputs'!$B$29+'Inputs'!$B$31+'Inputs'!$B$32,'Inputs'!$B$30+'Inputs'!$B$31+'Inputs'!$B$32)/1000+'Inputs'!$B$21))^2+('Inputs'!$B$6/2)^2)))-'Results'!C7*(1+'Inputs'!$B$24)*(0.5*((((115-43)*MAX('Inputs'!$B$33,'Inputs'!$B$29+'Inputs'!$B$31+'Inputs'!$B$32,'Inputs'!$B$30+'Inputs'!$B$31+'Inputs'!$B$32)/1000+'Inputs'!$B$21+'Inputs'!$B$7+'Inputs'!$B$10)+'Inputs'!$B$9)/SQRT((((115-43)*MAX('Inputs'!$B$33,'Inputs'!$B$29+'Inputs'!$B$31+'Inputs'!$B$32,'Inputs'!$B$30+'Inputs'!$B$31+'Inputs'!$B$32)/1000+'Inputs'!$B$21+'Inputs'!$B$7+'Inputs'!$B$10)+'Inputs'!$B$9)^2+('Inputs'!$B$8/2)^2)-(((115-43)*MAX('Inputs'!$B$33,'Inputs'!$B$29+'Inputs'!$B$31+'Inputs'!$B$32,'Inputs'!$B$30+'Inputs'!$B$31+'Inputs'!$B$32)/1000+'Inputs'!$B$21+'Inputs'!$B$7+'Inputs'!$B$10))/SQRT((((115-43)*MAX('Inputs'!$B$33,'Inputs'!$B$29+'Inputs'!$B$31+'Inputs'!$B$32,'Inputs'!$B$30+'Inputs'!$B$31+'Inputs'!$B$32)/1000+'Inputs'!$B$21+'Inputs'!$B$7+'Inputs'!$B$10))^2+('Inputs'!$B$8/2)^2))))*'Results'!$B$8))),"")</x:f>
        <x:v>591.5428622078042</x:v>
      </x:c>
      <x:c r="L115" t="n">
        <x:f>IF(AND(ISNUMBER('Results'!B7),ISNUMBER('Results'!C7),ISNUMBER('Results'!$B$8),ISNUMBER('Inputs'!$B$6),ISNUMBER('Inputs'!$B$7),ISNUMBER('Inputs'!$B$8),ISNUMBER('Inputs'!$B$9),ISNUMBER('Inputs'!$B$10),ISNUMBER('Inputs'!$B$21),ISNUMBER('Inputs'!$B$24),ISNUMBER('Inputs'!$B$28)),((('Results'!B7*(1+'Inputs'!$B$24)*(0.5*((((115-43)*MAX('Inputs'!$B$33,'Inputs'!$B$29+'Inputs'!$B$31+'Inputs'!$B$32,'Inputs'!$B$30+'Inputs'!$B$31+'Inputs'!$B$32)/1000+'Inputs'!$B$21)+'Inputs'!$B$7)/SQRT((((115-43)*MAX('Inputs'!$B$33,'Inputs'!$B$29+'Inputs'!$B$31+'Inputs'!$B$32,'Inputs'!$B$30+'Inputs'!$B$31+'Inputs'!$B$32)/1000+'Inputs'!$B$21)+'Inputs'!$B$7)^2+('Inputs'!$B$6/2)^2)-(((115-43)*MAX('Inputs'!$B$33,'Inputs'!$B$29+'Inputs'!$B$31+'Inputs'!$B$32,'Inputs'!$B$30+'Inputs'!$B$31+'Inputs'!$B$32)/1000+'Inputs'!$B$21))/SQRT((((115-43)*MAX('Inputs'!$B$33,'Inputs'!$B$29+'Inputs'!$B$31+'Inputs'!$B$32,'Inputs'!$B$30+'Inputs'!$B$31+'Inputs'!$B$32)/1000+'Inputs'!$B$21))^2+('Inputs'!$B$6/2)^2)))-'Results'!C7*(1-'Inputs'!$B$24)*(0.5*((((115-43)*MAX('Inputs'!$B$33,'Inputs'!$B$29+'Inputs'!$B$31+'Inputs'!$B$32,'Inputs'!$B$30+'Inputs'!$B$31+'Inputs'!$B$32)/1000+'Inputs'!$B$21+'Inputs'!$B$7+'Inputs'!$B$10)+'Inputs'!$B$9)/SQRT((((115-43)*MAX('Inputs'!$B$33,'Inputs'!$B$29+'Inputs'!$B$31+'Inputs'!$B$32,'Inputs'!$B$30+'Inputs'!$B$31+'Inputs'!$B$32)/1000+'Inputs'!$B$21+'Inputs'!$B$7+'Inputs'!$B$10)+'Inputs'!$B$9)^2+('Inputs'!$B$8/2)^2)-(((115-43)*MAX('Inputs'!$B$33,'Inputs'!$B$29+'Inputs'!$B$31+'Inputs'!$B$32,'Inputs'!$B$30+'Inputs'!$B$31+'Inputs'!$B$32)/1000+'Inputs'!$B$21+'Inputs'!$B$7+'Inputs'!$B$10))/SQRT((((115-43)*MAX('Inputs'!$B$33,'Inputs'!$B$29+'Inputs'!$B$31+'Inputs'!$B$32,'Inputs'!$B$30+'Inputs'!$B$31+'Inputs'!$B$32)/1000+'Inputs'!$B$21+'Inputs'!$B$7+'Inputs'!$B$10))^2+('Inputs'!$B$8/2)^2))))*'Results'!$B$8)+'Inputs'!$B$28*ABS((('Results'!B7*(1+'Inputs'!$B$24)*(0.5*((((115-43)*MAX('Inputs'!$B$33,'Inputs'!$B$29+'Inputs'!$B$31+'Inputs'!$B$32,'Inputs'!$B$30+'Inputs'!$B$31+'Inputs'!$B$32)/1000+'Inputs'!$B$21)+'Inputs'!$B$7)/SQRT((((115-43)*MAX('Inputs'!$B$33,'Inputs'!$B$29+'Inputs'!$B$31+'Inputs'!$B$32,'Inputs'!$B$30+'Inputs'!$B$31+'Inputs'!$B$32)/1000+'Inputs'!$B$21)+'Inputs'!$B$7)^2+('Inputs'!$B$6/2)^2)-(((115-43)*MAX('Inputs'!$B$33,'Inputs'!$B$29+'Inputs'!$B$31+'Inputs'!$B$32,'Inputs'!$B$30+'Inputs'!$B$31+'Inputs'!$B$32)/1000+'Inputs'!$B$21))/SQRT((((115-43)*MAX('Inputs'!$B$33,'Inputs'!$B$29+'Inputs'!$B$31+'Inputs'!$B$32,'Inputs'!$B$30+'Inputs'!$B$31+'Inputs'!$B$32)/1000+'Inputs'!$B$21))^2+('Inputs'!$B$6/2)^2)))-'Results'!C7*(1-'Inputs'!$B$24)*(0.5*((((115-43)*MAX('Inputs'!$B$33,'Inputs'!$B$29+'Inputs'!$B$31+'Inputs'!$B$32,'Inputs'!$B$30+'Inputs'!$B$31+'Inputs'!$B$32)/1000+'Inputs'!$B$21+'Inputs'!$B$7+'Inputs'!$B$10)+'Inputs'!$B$9)/SQRT((((115-43)*MAX('Inputs'!$B$33,'Inputs'!$B$29+'Inputs'!$B$31+'Inputs'!$B$32,'Inputs'!$B$30+'Inputs'!$B$31+'Inputs'!$B$32)/1000+'Inputs'!$B$21+'Inputs'!$B$7+'Inputs'!$B$10)+'Inputs'!$B$9)^2+('Inputs'!$B$8/2)^2)-(((115-43)*MAX('Inputs'!$B$33,'Inputs'!$B$29+'Inputs'!$B$31+'Inputs'!$B$32,'Inputs'!$B$30+'Inputs'!$B$31+'Inputs'!$B$32)/1000+'Inputs'!$B$21+'Inputs'!$B$7+'Inputs'!$B$10))/SQRT((((115-43)*MAX('Inputs'!$B$33,'Inputs'!$B$29+'Inputs'!$B$31+'Inputs'!$B$32,'Inputs'!$B$30+'Inputs'!$B$31+'Inputs'!$B$32)/1000+'Inputs'!$B$21+'Inputs'!$B$7+'Inputs'!$B$10))^2+('Inputs'!$B$8/2)^2))))*'Results'!$B$8))),"")</x:f>
        <x:v>690.9566973331176</x:v>
      </x:c>
      <x:c r="M115" t="n">
        <x:f>IF(AND(ISNUMBER('Results'!C7),ISNUMBER('Results'!B7),ISNUMBER('Results'!$B$8),ISNUMBER('Inputs'!$B$6),ISNUMBER('Inputs'!$B$7),ISNUMBER('Inputs'!$B$8),ISNUMBER('Inputs'!$B$9),ISNUMBER('Inputs'!$B$10),ISNUMBER('Inputs'!$B$21),ISNUMBER('Inputs'!$B$24),ISNUMBER('Inputs'!$B$28)),(('Results'!C7*(0.5*((((115-43)*MAX('Inputs'!$B$33,'Inputs'!$B$29+'Inputs'!$B$31+'Inputs'!$B$32,'Inputs'!$B$30+'Inputs'!$B$31+'Inputs'!$B$32)/1000+'Inputs'!$B$21)+'Inputs'!$B$9)/SQRT((((115-43)*MAX('Inputs'!$B$33,'Inputs'!$B$29+'Inputs'!$B$31+'Inputs'!$B$32,'Inputs'!$B$30+'Inputs'!$B$31+'Inputs'!$B$32)/1000+'Inputs'!$B$21)+'Inputs'!$B$9)^2+('Inputs'!$B$8/2)^2)-(((115-43)*MAX('Inputs'!$B$33,'Inputs'!$B$29+'Inputs'!$B$31+'Inputs'!$B$32,'Inputs'!$B$30+'Inputs'!$B$31+'Inputs'!$B$32)/1000+'Inputs'!$B$21))/SQRT((((115-43)*MAX('Inputs'!$B$33,'Inputs'!$B$29+'Inputs'!$B$31+'Inputs'!$B$32,'Inputs'!$B$30+'Inputs'!$B$31+'Inputs'!$B$32)/1000+'Inputs'!$B$21))^2+('Inputs'!$B$8/2)^2)))-'Results'!B7*(0.5*((((115-43)*MAX('Inputs'!$B$33,'Inputs'!$B$29+'Inputs'!$B$31+'Inputs'!$B$32,'Inputs'!$B$30+'Inputs'!$B$31+'Inputs'!$B$32)/1000+'Inputs'!$B$21+'Inputs'!$B$9+'Inputs'!$B$10)+'Inputs'!$B$7)/SQRT((((115-43)*MAX('Inputs'!$B$33,'Inputs'!$B$29+'Inputs'!$B$31+'Inputs'!$B$32,'Inputs'!$B$30+'Inputs'!$B$31+'Inputs'!$B$32)/1000+'Inputs'!$B$21+'Inputs'!$B$9+'Inputs'!$B$10)+'Inputs'!$B$7)^2+('Inputs'!$B$6/2)^2)-(((115-43)*MAX('Inputs'!$B$33,'Inputs'!$B$29+'Inputs'!$B$31+'Inputs'!$B$32,'Inputs'!$B$30+'Inputs'!$B$31+'Inputs'!$B$32)/1000+'Inputs'!$B$21+'Inputs'!$B$9+'Inputs'!$B$10))/SQRT((((115-43)*MAX('Inputs'!$B$33,'Inputs'!$B$29+'Inputs'!$B$31+'Inputs'!$B$32,'Inputs'!$B$30+'Inputs'!$B$31+'Inputs'!$B$32)/1000+'Inputs'!$B$21+'Inputs'!$B$9+'Inputs'!$B$10))^2+('Inputs'!$B$6/2)^2))))*'Results'!$B$8),"")</x:f>
        <x:v>622.6268874358015</x:v>
      </x:c>
      <x:c r="N115" t="n">
        <x:f>IF(AND(ISNUMBER('Results'!C7),ISNUMBER('Results'!B7),ISNUMBER('Results'!$B$8),ISNUMBER('Inputs'!$B$6),ISNUMBER('Inputs'!$B$7),ISNUMBER('Inputs'!$B$8),ISNUMBER('Inputs'!$B$9),ISNUMBER('Inputs'!$B$10),ISNUMBER('Inputs'!$B$21),ISNUMBER('Inputs'!$B$24),ISNUMBER('Inputs'!$B$28)),((('Results'!C7*(1-'Inputs'!$B$24)*(0.5*((((115-43)*MAX('Inputs'!$B$33,'Inputs'!$B$29+'Inputs'!$B$31+'Inputs'!$B$32,'Inputs'!$B$30+'Inputs'!$B$31+'Inputs'!$B$32)/1000+'Inputs'!$B$21)+'Inputs'!$B$9)/SQRT((((115-43)*MAX('Inputs'!$B$33,'Inputs'!$B$29+'Inputs'!$B$31+'Inputs'!$B$32,'Inputs'!$B$30+'Inputs'!$B$31+'Inputs'!$B$32)/1000+'Inputs'!$B$21)+'Inputs'!$B$9)^2+('Inputs'!$B$8/2)^2)-(((115-43)*MAX('Inputs'!$B$33,'Inputs'!$B$29+'Inputs'!$B$31+'Inputs'!$B$32,'Inputs'!$B$30+'Inputs'!$B$31+'Inputs'!$B$32)/1000+'Inputs'!$B$21))/SQRT((((115-43)*MAX('Inputs'!$B$33,'Inputs'!$B$29+'Inputs'!$B$31+'Inputs'!$B$32,'Inputs'!$B$30+'Inputs'!$B$31+'Inputs'!$B$32)/1000+'Inputs'!$B$21))^2+('Inputs'!$B$8/2)^2)))-'Results'!B7*(1+'Inputs'!$B$24)*(0.5*((((115-43)*MAX('Inputs'!$B$33,'Inputs'!$B$29+'Inputs'!$B$31+'Inputs'!$B$32,'Inputs'!$B$30+'Inputs'!$B$31+'Inputs'!$B$32)/1000+'Inputs'!$B$21+'Inputs'!$B$9+'Inputs'!$B$10)+'Inputs'!$B$7)/SQRT((((115-43)*MAX('Inputs'!$B$33,'Inputs'!$B$29+'Inputs'!$B$31+'Inputs'!$B$32,'Inputs'!$B$30+'Inputs'!$B$31+'Inputs'!$B$32)/1000+'Inputs'!$B$21+'Inputs'!$B$9+'Inputs'!$B$10)+'Inputs'!$B$7)^2+('Inputs'!$B$6/2)^2)-(((115-43)*MAX('Inputs'!$B$33,'Inputs'!$B$29+'Inputs'!$B$31+'Inputs'!$B$32,'Inputs'!$B$30+'Inputs'!$B$31+'Inputs'!$B$32)/1000+'Inputs'!$B$21+'Inputs'!$B$9+'Inputs'!$B$10))/SQRT((((115-43)*MAX('Inputs'!$B$33,'Inputs'!$B$29+'Inputs'!$B$31+'Inputs'!$B$32,'Inputs'!$B$30+'Inputs'!$B$31+'Inputs'!$B$32)/1000+'Inputs'!$B$21+'Inputs'!$B$9+'Inputs'!$B$10))^2+('Inputs'!$B$6/2)^2))))*'Results'!$B$8)-'Inputs'!$B$28*ABS((('Results'!C7*(1-'Inputs'!$B$24)*(0.5*((((115-43)*MAX('Inputs'!$B$33,'Inputs'!$B$29+'Inputs'!$B$31+'Inputs'!$B$32,'Inputs'!$B$30+'Inputs'!$B$31+'Inputs'!$B$32)/1000+'Inputs'!$B$21)+'Inputs'!$B$9)/SQRT((((115-43)*MAX('Inputs'!$B$33,'Inputs'!$B$29+'Inputs'!$B$31+'Inputs'!$B$32,'Inputs'!$B$30+'Inputs'!$B$31+'Inputs'!$B$32)/1000+'Inputs'!$B$21)+'Inputs'!$B$9)^2+('Inputs'!$B$8/2)^2)-(((115-43)*MAX('Inputs'!$B$33,'Inputs'!$B$29+'Inputs'!$B$31+'Inputs'!$B$32,'Inputs'!$B$30+'Inputs'!$B$31+'Inputs'!$B$32)/1000+'Inputs'!$B$21))/SQRT((((115-43)*MAX('Inputs'!$B$33,'Inputs'!$B$29+'Inputs'!$B$31+'Inputs'!$B$32,'Inputs'!$B$30+'Inputs'!$B$31+'Inputs'!$B$32)/1000+'Inputs'!$B$21))^2+('Inputs'!$B$8/2)^2)))-'Results'!B7*(1+'Inputs'!$B$24)*(0.5*((((115-43)*MAX('Inputs'!$B$33,'Inputs'!$B$29+'Inputs'!$B$31+'Inputs'!$B$32,'Inputs'!$B$30+'Inputs'!$B$31+'Inputs'!$B$32)/1000+'Inputs'!$B$21+'Inputs'!$B$9+'Inputs'!$B$10)+'Inputs'!$B$7)/SQRT((((115-43)*MAX('Inputs'!$B$33,'Inputs'!$B$29+'Inputs'!$B$31+'Inputs'!$B$32,'Inputs'!$B$30+'Inputs'!$B$31+'Inputs'!$B$32)/1000+'Inputs'!$B$21+'Inputs'!$B$9+'Inputs'!$B$10)+'Inputs'!$B$7)^2+('Inputs'!$B$6/2)^2)-(((115-43)*MAX('Inputs'!$B$33,'Inputs'!$B$29+'Inputs'!$B$31+'Inputs'!$B$32,'Inputs'!$B$30+'Inputs'!$B$31+'Inputs'!$B$32)/1000+'Inputs'!$B$21+'Inputs'!$B$9+'Inputs'!$B$10))/SQRT((((115-43)*MAX('Inputs'!$B$33,'Inputs'!$B$29+'Inputs'!$B$31+'Inputs'!$B$32,'Inputs'!$B$30+'Inputs'!$B$31+'Inputs'!$B$32)/1000+'Inputs'!$B$21+'Inputs'!$B$9+'Inputs'!$B$10))^2+('Inputs'!$B$6/2)^2))))*'Results'!$B$8))),"")</x:f>
        <x:v>574.9337178234434</x:v>
      </x:c>
      <x:c r="O115" t="n">
        <x:f>IF(AND(ISNUMBER('Results'!C7),ISNUMBER('Results'!B7),ISNUMBER('Results'!$B$8),ISNUMBER('Inputs'!$B$6),ISNUMBER('Inputs'!$B$7),ISNUMBER('Inputs'!$B$8),ISNUMBER('Inputs'!$B$9),ISNUMBER('Inputs'!$B$10),ISNUMBER('Inputs'!$B$21),ISNUMBER('Inputs'!$B$24),ISNUMBER('Inputs'!$B$28)),((('Results'!C7*(1+'Inputs'!$B$24)*(0.5*((((115-43)*MAX('Inputs'!$B$33,'Inputs'!$B$29+'Inputs'!$B$31+'Inputs'!$B$32,'Inputs'!$B$30+'Inputs'!$B$31+'Inputs'!$B$32)/1000+'Inputs'!$B$21)+'Inputs'!$B$9)/SQRT((((115-43)*MAX('Inputs'!$B$33,'Inputs'!$B$29+'Inputs'!$B$31+'Inputs'!$B$32,'Inputs'!$B$30+'Inputs'!$B$31+'Inputs'!$B$32)/1000+'Inputs'!$B$21)+'Inputs'!$B$9)^2+('Inputs'!$B$8/2)^2)-(((115-43)*MAX('Inputs'!$B$33,'Inputs'!$B$29+'Inputs'!$B$31+'Inputs'!$B$32,'Inputs'!$B$30+'Inputs'!$B$31+'Inputs'!$B$32)/1000+'Inputs'!$B$21))/SQRT((((115-43)*MAX('Inputs'!$B$33,'Inputs'!$B$29+'Inputs'!$B$31+'Inputs'!$B$32,'Inputs'!$B$30+'Inputs'!$B$31+'Inputs'!$B$32)/1000+'Inputs'!$B$21))^2+('Inputs'!$B$8/2)^2)))-'Results'!B7*(1-'Inputs'!$B$24)*(0.5*((((115-43)*MAX('Inputs'!$B$33,'Inputs'!$B$29+'Inputs'!$B$31+'Inputs'!$B$32,'Inputs'!$B$30+'Inputs'!$B$31+'Inputs'!$B$32)/1000+'Inputs'!$B$21+'Inputs'!$B$9+'Inputs'!$B$10)+'Inputs'!$B$7)/SQRT((((115-43)*MAX('Inputs'!$B$33,'Inputs'!$B$29+'Inputs'!$B$31+'Inputs'!$B$32,'Inputs'!$B$30+'Inputs'!$B$31+'Inputs'!$B$32)/1000+'Inputs'!$B$21+'Inputs'!$B$9+'Inputs'!$B$10)+'Inputs'!$B$7)^2+('Inputs'!$B$6/2)^2)-(((115-43)*MAX('Inputs'!$B$33,'Inputs'!$B$29+'Inputs'!$B$31+'Inputs'!$B$32,'Inputs'!$B$30+'Inputs'!$B$31+'Inputs'!$B$32)/1000+'Inputs'!$B$21+'Inputs'!$B$9+'Inputs'!$B$10))/SQRT((((115-43)*MAX('Inputs'!$B$33,'Inputs'!$B$29+'Inputs'!$B$31+'Inputs'!$B$32,'Inputs'!$B$30+'Inputs'!$B$31+'Inputs'!$B$32)/1000+'Inputs'!$B$21+'Inputs'!$B$9+'Inputs'!$B$10))^2+('Inputs'!$B$6/2)^2))))*'Results'!$B$8)+'Inputs'!$B$28*ABS((('Results'!C7*(1+'Inputs'!$B$24)*(0.5*((((115-43)*MAX('Inputs'!$B$33,'Inputs'!$B$29+'Inputs'!$B$31+'Inputs'!$B$32,'Inputs'!$B$30+'Inputs'!$B$31+'Inputs'!$B$32)/1000+'Inputs'!$B$21)+'Inputs'!$B$9)/SQRT((((115-43)*MAX('Inputs'!$B$33,'Inputs'!$B$29+'Inputs'!$B$31+'Inputs'!$B$32,'Inputs'!$B$30+'Inputs'!$B$31+'Inputs'!$B$32)/1000+'Inputs'!$B$21)+'Inputs'!$B$9)^2+('Inputs'!$B$8/2)^2)-(((115-43)*MAX('Inputs'!$B$33,'Inputs'!$B$29+'Inputs'!$B$31+'Inputs'!$B$32,'Inputs'!$B$30+'Inputs'!$B$31+'Inputs'!$B$32)/1000+'Inputs'!$B$21))/SQRT((((115-43)*MAX('Inputs'!$B$33,'Inputs'!$B$29+'Inputs'!$B$31+'Inputs'!$B$32,'Inputs'!$B$30+'Inputs'!$B$31+'Inputs'!$B$32)/1000+'Inputs'!$B$21))^2+('Inputs'!$B$8/2)^2)))-'Results'!B7*(1-'Inputs'!$B$24)*(0.5*((((115-43)*MAX('Inputs'!$B$33,'Inputs'!$B$29+'Inputs'!$B$31+'Inputs'!$B$32,'Inputs'!$B$30+'Inputs'!$B$31+'Inputs'!$B$32)/1000+'Inputs'!$B$21+'Inputs'!$B$9+'Inputs'!$B$10)+'Inputs'!$B$7)/SQRT((((115-43)*MAX('Inputs'!$B$33,'Inputs'!$B$29+'Inputs'!$B$31+'Inputs'!$B$32,'Inputs'!$B$30+'Inputs'!$B$31+'Inputs'!$B$32)/1000+'Inputs'!$B$21+'Inputs'!$B$9+'Inputs'!$B$10)+'Inputs'!$B$7)^2+('Inputs'!$B$6/2)^2)-(((115-43)*MAX('Inputs'!$B$33,'Inputs'!$B$29+'Inputs'!$B$31+'Inputs'!$B$32,'Inputs'!$B$30+'Inputs'!$B$31+'Inputs'!$B$32)/1000+'Inputs'!$B$21+'Inputs'!$B$9+'Inputs'!$B$10))/SQRT((((115-43)*MAX('Inputs'!$B$33,'Inputs'!$B$29+'Inputs'!$B$31+'Inputs'!$B$32,'Inputs'!$B$30+'Inputs'!$B$31+'Inputs'!$B$32)/1000+'Inputs'!$B$21+'Inputs'!$B$9+'Inputs'!$B$10))^2+('Inputs'!$B$6/2)^2))))*'Results'!$B$8))),"")</x:f>
        <x:v>672.0634070734825</x:v>
      </x:c>
      <x:c r="P115" t="n">
        <x:f>IF(AND(MAX(J115,J114)&gt;0,J115&gt;J114+0.00000001),1,0)</x:f>
        <x:v>0</x:v>
      </x:c>
      <x:c r="Q115" t="n">
        <x:f>IF(AND(MAX(K115,K114)&gt;0,K115&gt;K114+0.00000001),1,0)</x:f>
        <x:v>0</x:v>
      </x:c>
      <x:c r="R115" t="n">
        <x:f>IF(AND(MAX(L115,L114)&gt;0,L115&gt;L114+0.00000001),1,0)</x:f>
        <x:v>0</x:v>
      </x:c>
      <x:c r="S115" t="n">
        <x:f>IF(AND(MAX(M115,M114)&gt;0,M115&gt;M114+0.00000001),1,0)</x:f>
        <x:v>0</x:v>
      </x:c>
      <x:c r="T115" t="n">
        <x:f>IF(AND(MAX(N115,N114)&gt;0,N115&gt;N114+0.00000001),1,0)</x:f>
        <x:v>0</x:v>
      </x:c>
      <x:c r="U115" t="n">
        <x:f>IF(AND(MAX(O115,O114)&gt;0,O115&gt;O114+0.00000001),1,0)</x:f>
        <x:v>0</x:v>
      </x:c>
    </x:row>
    <x:row r="116">
      <x:c r="J116" t="n">
        <x:f>IF(AND(ISNUMBER('Results'!B7),ISNUMBER('Results'!C7),ISNUMBER('Results'!$B$8),ISNUMBER('Inputs'!$B$6),ISNUMBER('Inputs'!$B$7),ISNUMBER('Inputs'!$B$8),ISNUMBER('Inputs'!$B$9),ISNUMBER('Inputs'!$B$10),ISNUMBER('Inputs'!$B$21),ISNUMBER('Inputs'!$B$24),ISNUMBER('Inputs'!$B$28)),(('Results'!B7*(0.5*((((116-43)*MAX('Inputs'!$B$33,'Inputs'!$B$29+'Inputs'!$B$31+'Inputs'!$B$32,'Inputs'!$B$30+'Inputs'!$B$31+'Inputs'!$B$32)/1000+'Inputs'!$B$21)+'Inputs'!$B$7)/SQRT((((116-43)*MAX('Inputs'!$B$33,'Inputs'!$B$29+'Inputs'!$B$31+'Inputs'!$B$32,'Inputs'!$B$30+'Inputs'!$B$31+'Inputs'!$B$32)/1000+'Inputs'!$B$21)+'Inputs'!$B$7)^2+('Inputs'!$B$6/2)^2)-(((116-43)*MAX('Inputs'!$B$33,'Inputs'!$B$29+'Inputs'!$B$31+'Inputs'!$B$32,'Inputs'!$B$30+'Inputs'!$B$31+'Inputs'!$B$32)/1000+'Inputs'!$B$21))/SQRT((((116-43)*MAX('Inputs'!$B$33,'Inputs'!$B$29+'Inputs'!$B$31+'Inputs'!$B$32,'Inputs'!$B$30+'Inputs'!$B$31+'Inputs'!$B$32)/1000+'Inputs'!$B$21))^2+('Inputs'!$B$6/2)^2)))-'Results'!C7*(0.5*((((116-43)*MAX('Inputs'!$B$33,'Inputs'!$B$29+'Inputs'!$B$31+'Inputs'!$B$32,'Inputs'!$B$30+'Inputs'!$B$31+'Inputs'!$B$32)/1000+'Inputs'!$B$21+'Inputs'!$B$7+'Inputs'!$B$10)+'Inputs'!$B$9)/SQRT((((116-43)*MAX('Inputs'!$B$33,'Inputs'!$B$29+'Inputs'!$B$31+'Inputs'!$B$32,'Inputs'!$B$30+'Inputs'!$B$31+'Inputs'!$B$32)/1000+'Inputs'!$B$21+'Inputs'!$B$7+'Inputs'!$B$10)+'Inputs'!$B$9)^2+('Inputs'!$B$8/2)^2)-(((116-43)*MAX('Inputs'!$B$33,'Inputs'!$B$29+'Inputs'!$B$31+'Inputs'!$B$32,'Inputs'!$B$30+'Inputs'!$B$31+'Inputs'!$B$32)/1000+'Inputs'!$B$21+'Inputs'!$B$7+'Inputs'!$B$10))/SQRT((((116-43)*MAX('Inputs'!$B$33,'Inputs'!$B$29+'Inputs'!$B$31+'Inputs'!$B$32,'Inputs'!$B$30+'Inputs'!$B$31+'Inputs'!$B$32)/1000+'Inputs'!$B$21+'Inputs'!$B$7+'Inputs'!$B$10))^2+('Inputs'!$B$8/2)^2))))*'Results'!$B$8),"")</x:f>
        <x:v>627.8378329872957</x:v>
      </x:c>
      <x:c r="K116" t="n">
        <x:f>IF(AND(ISNUMBER('Results'!B7),ISNUMBER('Results'!C7),ISNUMBER('Results'!$B$8),ISNUMBER('Inputs'!$B$6),ISNUMBER('Inputs'!$B$7),ISNUMBER('Inputs'!$B$8),ISNUMBER('Inputs'!$B$9),ISNUMBER('Inputs'!$B$10),ISNUMBER('Inputs'!$B$21),ISNUMBER('Inputs'!$B$24),ISNUMBER('Inputs'!$B$28)),((('Results'!B7*(1-'Inputs'!$B$24)*(0.5*((((116-43)*MAX('Inputs'!$B$33,'Inputs'!$B$29+'Inputs'!$B$31+'Inputs'!$B$32,'Inputs'!$B$30+'Inputs'!$B$31+'Inputs'!$B$32)/1000+'Inputs'!$B$21)+'Inputs'!$B$7)/SQRT((((116-43)*MAX('Inputs'!$B$33,'Inputs'!$B$29+'Inputs'!$B$31+'Inputs'!$B$32,'Inputs'!$B$30+'Inputs'!$B$31+'Inputs'!$B$32)/1000+'Inputs'!$B$21)+'Inputs'!$B$7)^2+('Inputs'!$B$6/2)^2)-(((116-43)*MAX('Inputs'!$B$33,'Inputs'!$B$29+'Inputs'!$B$31+'Inputs'!$B$32,'Inputs'!$B$30+'Inputs'!$B$31+'Inputs'!$B$32)/1000+'Inputs'!$B$21))/SQRT((((116-43)*MAX('Inputs'!$B$33,'Inputs'!$B$29+'Inputs'!$B$31+'Inputs'!$B$32,'Inputs'!$B$30+'Inputs'!$B$31+'Inputs'!$B$32)/1000+'Inputs'!$B$21))^2+('Inputs'!$B$6/2)^2)))-'Results'!C7*(1+'Inputs'!$B$24)*(0.5*((((116-43)*MAX('Inputs'!$B$33,'Inputs'!$B$29+'Inputs'!$B$31+'Inputs'!$B$32,'Inputs'!$B$30+'Inputs'!$B$31+'Inputs'!$B$32)/1000+'Inputs'!$B$21+'Inputs'!$B$7+'Inputs'!$B$10)+'Inputs'!$B$9)/SQRT((((116-43)*MAX('Inputs'!$B$33,'Inputs'!$B$29+'Inputs'!$B$31+'Inputs'!$B$32,'Inputs'!$B$30+'Inputs'!$B$31+'Inputs'!$B$32)/1000+'Inputs'!$B$21+'Inputs'!$B$7+'Inputs'!$B$10)+'Inputs'!$B$9)^2+('Inputs'!$B$8/2)^2)-(((116-43)*MAX('Inputs'!$B$33,'Inputs'!$B$29+'Inputs'!$B$31+'Inputs'!$B$32,'Inputs'!$B$30+'Inputs'!$B$31+'Inputs'!$B$32)/1000+'Inputs'!$B$21+'Inputs'!$B$7+'Inputs'!$B$10))/SQRT((((116-43)*MAX('Inputs'!$B$33,'Inputs'!$B$29+'Inputs'!$B$31+'Inputs'!$B$32,'Inputs'!$B$30+'Inputs'!$B$31+'Inputs'!$B$32)/1000+'Inputs'!$B$21+'Inputs'!$B$7+'Inputs'!$B$10))^2+('Inputs'!$B$8/2)^2))))*'Results'!$B$8)-'Inputs'!$B$28*ABS((('Results'!B7*(1-'Inputs'!$B$24)*(0.5*((((116-43)*MAX('Inputs'!$B$33,'Inputs'!$B$29+'Inputs'!$B$31+'Inputs'!$B$32,'Inputs'!$B$30+'Inputs'!$B$31+'Inputs'!$B$32)/1000+'Inputs'!$B$21)+'Inputs'!$B$7)/SQRT((((116-43)*MAX('Inputs'!$B$33,'Inputs'!$B$29+'Inputs'!$B$31+'Inputs'!$B$32,'Inputs'!$B$30+'Inputs'!$B$31+'Inputs'!$B$32)/1000+'Inputs'!$B$21)+'Inputs'!$B$7)^2+('Inputs'!$B$6/2)^2)-(((116-43)*MAX('Inputs'!$B$33,'Inputs'!$B$29+'Inputs'!$B$31+'Inputs'!$B$32,'Inputs'!$B$30+'Inputs'!$B$31+'Inputs'!$B$32)/1000+'Inputs'!$B$21))/SQRT((((116-43)*MAX('Inputs'!$B$33,'Inputs'!$B$29+'Inputs'!$B$31+'Inputs'!$B$32,'Inputs'!$B$30+'Inputs'!$B$31+'Inputs'!$B$32)/1000+'Inputs'!$B$21))^2+('Inputs'!$B$6/2)^2)))-'Results'!C7*(1+'Inputs'!$B$24)*(0.5*((((116-43)*MAX('Inputs'!$B$33,'Inputs'!$B$29+'Inputs'!$B$31+'Inputs'!$B$32,'Inputs'!$B$30+'Inputs'!$B$31+'Inputs'!$B$32)/1000+'Inputs'!$B$21+'Inputs'!$B$7+'Inputs'!$B$10)+'Inputs'!$B$9)/SQRT((((116-43)*MAX('Inputs'!$B$33,'Inputs'!$B$29+'Inputs'!$B$31+'Inputs'!$B$32,'Inputs'!$B$30+'Inputs'!$B$31+'Inputs'!$B$32)/1000+'Inputs'!$B$21+'Inputs'!$B$7+'Inputs'!$B$10)+'Inputs'!$B$9)^2+('Inputs'!$B$8/2)^2)-(((116-43)*MAX('Inputs'!$B$33,'Inputs'!$B$29+'Inputs'!$B$31+'Inputs'!$B$32,'Inputs'!$B$30+'Inputs'!$B$31+'Inputs'!$B$32)/1000+'Inputs'!$B$21+'Inputs'!$B$7+'Inputs'!$B$10))/SQRT((((116-43)*MAX('Inputs'!$B$33,'Inputs'!$B$29+'Inputs'!$B$31+'Inputs'!$B$32,'Inputs'!$B$30+'Inputs'!$B$31+'Inputs'!$B$32)/1000+'Inputs'!$B$21+'Inputs'!$B$7+'Inputs'!$B$10))^2+('Inputs'!$B$8/2)^2))))*'Results'!$B$8))),"")</x:f>
        <x:v>579.9383834417547</x:v>
      </x:c>
      <x:c r="L116" t="n">
        <x:f>IF(AND(ISNUMBER('Results'!B7),ISNUMBER('Results'!C7),ISNUMBER('Results'!$B$8),ISNUMBER('Inputs'!$B$6),ISNUMBER('Inputs'!$B$7),ISNUMBER('Inputs'!$B$8),ISNUMBER('Inputs'!$B$9),ISNUMBER('Inputs'!$B$10),ISNUMBER('Inputs'!$B$21),ISNUMBER('Inputs'!$B$24),ISNUMBER('Inputs'!$B$28)),((('Results'!B7*(1+'Inputs'!$B$24)*(0.5*((((116-43)*MAX('Inputs'!$B$33,'Inputs'!$B$29+'Inputs'!$B$31+'Inputs'!$B$32,'Inputs'!$B$30+'Inputs'!$B$31+'Inputs'!$B$32)/1000+'Inputs'!$B$21)+'Inputs'!$B$7)/SQRT((((116-43)*MAX('Inputs'!$B$33,'Inputs'!$B$29+'Inputs'!$B$31+'Inputs'!$B$32,'Inputs'!$B$30+'Inputs'!$B$31+'Inputs'!$B$32)/1000+'Inputs'!$B$21)+'Inputs'!$B$7)^2+('Inputs'!$B$6/2)^2)-(((116-43)*MAX('Inputs'!$B$33,'Inputs'!$B$29+'Inputs'!$B$31+'Inputs'!$B$32,'Inputs'!$B$30+'Inputs'!$B$31+'Inputs'!$B$32)/1000+'Inputs'!$B$21))/SQRT((((116-43)*MAX('Inputs'!$B$33,'Inputs'!$B$29+'Inputs'!$B$31+'Inputs'!$B$32,'Inputs'!$B$30+'Inputs'!$B$31+'Inputs'!$B$32)/1000+'Inputs'!$B$21))^2+('Inputs'!$B$6/2)^2)))-'Results'!C7*(1-'Inputs'!$B$24)*(0.5*((((116-43)*MAX('Inputs'!$B$33,'Inputs'!$B$29+'Inputs'!$B$31+'Inputs'!$B$32,'Inputs'!$B$30+'Inputs'!$B$31+'Inputs'!$B$32)/1000+'Inputs'!$B$21+'Inputs'!$B$7+'Inputs'!$B$10)+'Inputs'!$B$9)/SQRT((((116-43)*MAX('Inputs'!$B$33,'Inputs'!$B$29+'Inputs'!$B$31+'Inputs'!$B$32,'Inputs'!$B$30+'Inputs'!$B$31+'Inputs'!$B$32)/1000+'Inputs'!$B$21+'Inputs'!$B$7+'Inputs'!$B$10)+'Inputs'!$B$9)^2+('Inputs'!$B$8/2)^2)-(((116-43)*MAX('Inputs'!$B$33,'Inputs'!$B$29+'Inputs'!$B$31+'Inputs'!$B$32,'Inputs'!$B$30+'Inputs'!$B$31+'Inputs'!$B$32)/1000+'Inputs'!$B$21+'Inputs'!$B$7+'Inputs'!$B$10))/SQRT((((116-43)*MAX('Inputs'!$B$33,'Inputs'!$B$29+'Inputs'!$B$31+'Inputs'!$B$32,'Inputs'!$B$30+'Inputs'!$B$31+'Inputs'!$B$32)/1000+'Inputs'!$B$21+'Inputs'!$B$7+'Inputs'!$B$10))^2+('Inputs'!$B$8/2)^2))))*'Results'!$B$8)+'Inputs'!$B$28*ABS((('Results'!B7*(1+'Inputs'!$B$24)*(0.5*((((116-43)*MAX('Inputs'!$B$33,'Inputs'!$B$29+'Inputs'!$B$31+'Inputs'!$B$32,'Inputs'!$B$30+'Inputs'!$B$31+'Inputs'!$B$32)/1000+'Inputs'!$B$21)+'Inputs'!$B$7)/SQRT((((116-43)*MAX('Inputs'!$B$33,'Inputs'!$B$29+'Inputs'!$B$31+'Inputs'!$B$32,'Inputs'!$B$30+'Inputs'!$B$31+'Inputs'!$B$32)/1000+'Inputs'!$B$21)+'Inputs'!$B$7)^2+('Inputs'!$B$6/2)^2)-(((116-43)*MAX('Inputs'!$B$33,'Inputs'!$B$29+'Inputs'!$B$31+'Inputs'!$B$32,'Inputs'!$B$30+'Inputs'!$B$31+'Inputs'!$B$32)/1000+'Inputs'!$B$21))/SQRT((((116-43)*MAX('Inputs'!$B$33,'Inputs'!$B$29+'Inputs'!$B$31+'Inputs'!$B$32,'Inputs'!$B$30+'Inputs'!$B$31+'Inputs'!$B$32)/1000+'Inputs'!$B$21))^2+('Inputs'!$B$6/2)^2)))-'Results'!C7*(1-'Inputs'!$B$24)*(0.5*((((116-43)*MAX('Inputs'!$B$33,'Inputs'!$B$29+'Inputs'!$B$31+'Inputs'!$B$32,'Inputs'!$B$30+'Inputs'!$B$31+'Inputs'!$B$32)/1000+'Inputs'!$B$21+'Inputs'!$B$7+'Inputs'!$B$10)+'Inputs'!$B$9)/SQRT((((116-43)*MAX('Inputs'!$B$33,'Inputs'!$B$29+'Inputs'!$B$31+'Inputs'!$B$32,'Inputs'!$B$30+'Inputs'!$B$31+'Inputs'!$B$32)/1000+'Inputs'!$B$21+'Inputs'!$B$7+'Inputs'!$B$10)+'Inputs'!$B$9)^2+('Inputs'!$B$8/2)^2)-(((116-43)*MAX('Inputs'!$B$33,'Inputs'!$B$29+'Inputs'!$B$31+'Inputs'!$B$32,'Inputs'!$B$30+'Inputs'!$B$31+'Inputs'!$B$32)/1000+'Inputs'!$B$21+'Inputs'!$B$7+'Inputs'!$B$10))/SQRT((((116-43)*MAX('Inputs'!$B$33,'Inputs'!$B$29+'Inputs'!$B$31+'Inputs'!$B$32,'Inputs'!$B$30+'Inputs'!$B$31+'Inputs'!$B$32)/1000+'Inputs'!$B$21+'Inputs'!$B$7+'Inputs'!$B$10))^2+('Inputs'!$B$8/2)^2))))*'Results'!$B$8))),"")</x:f>
        <x:v>677.4749202061184</x:v>
      </x:c>
      <x:c r="M116" t="n">
        <x:f>IF(AND(ISNUMBER('Results'!C7),ISNUMBER('Results'!B7),ISNUMBER('Results'!$B$8),ISNUMBER('Inputs'!$B$6),ISNUMBER('Inputs'!$B$7),ISNUMBER('Inputs'!$B$8),ISNUMBER('Inputs'!$B$9),ISNUMBER('Inputs'!$B$10),ISNUMBER('Inputs'!$B$21),ISNUMBER('Inputs'!$B$24),ISNUMBER('Inputs'!$B$28)),(('Results'!C7*(0.5*((((116-43)*MAX('Inputs'!$B$33,'Inputs'!$B$29+'Inputs'!$B$31+'Inputs'!$B$32,'Inputs'!$B$30+'Inputs'!$B$31+'Inputs'!$B$32)/1000+'Inputs'!$B$21)+'Inputs'!$B$9)/SQRT((((116-43)*MAX('Inputs'!$B$33,'Inputs'!$B$29+'Inputs'!$B$31+'Inputs'!$B$32,'Inputs'!$B$30+'Inputs'!$B$31+'Inputs'!$B$32)/1000+'Inputs'!$B$21)+'Inputs'!$B$9)^2+('Inputs'!$B$8/2)^2)-(((116-43)*MAX('Inputs'!$B$33,'Inputs'!$B$29+'Inputs'!$B$31+'Inputs'!$B$32,'Inputs'!$B$30+'Inputs'!$B$31+'Inputs'!$B$32)/1000+'Inputs'!$B$21))/SQRT((((116-43)*MAX('Inputs'!$B$33,'Inputs'!$B$29+'Inputs'!$B$31+'Inputs'!$B$32,'Inputs'!$B$30+'Inputs'!$B$31+'Inputs'!$B$32)/1000+'Inputs'!$B$21))^2+('Inputs'!$B$8/2)^2)))-'Results'!B7*(0.5*((((116-43)*MAX('Inputs'!$B$33,'Inputs'!$B$29+'Inputs'!$B$31+'Inputs'!$B$32,'Inputs'!$B$30+'Inputs'!$B$31+'Inputs'!$B$32)/1000+'Inputs'!$B$21+'Inputs'!$B$9+'Inputs'!$B$10)+'Inputs'!$B$7)/SQRT((((116-43)*MAX('Inputs'!$B$33,'Inputs'!$B$29+'Inputs'!$B$31+'Inputs'!$B$32,'Inputs'!$B$30+'Inputs'!$B$31+'Inputs'!$B$32)/1000+'Inputs'!$B$21+'Inputs'!$B$9+'Inputs'!$B$10)+'Inputs'!$B$7)^2+('Inputs'!$B$6/2)^2)-(((116-43)*MAX('Inputs'!$B$33,'Inputs'!$B$29+'Inputs'!$B$31+'Inputs'!$B$32,'Inputs'!$B$30+'Inputs'!$B$31+'Inputs'!$B$32)/1000+'Inputs'!$B$21+'Inputs'!$B$9+'Inputs'!$B$10))/SQRT((((116-43)*MAX('Inputs'!$B$33,'Inputs'!$B$29+'Inputs'!$B$31+'Inputs'!$B$32,'Inputs'!$B$30+'Inputs'!$B$31+'Inputs'!$B$32)/1000+'Inputs'!$B$21+'Inputs'!$B$9+'Inputs'!$B$10))^2+('Inputs'!$B$6/2)^2))))*'Results'!$B$8),"")</x:f>
        <x:v>610.4122764578148</x:v>
      </x:c>
      <x:c r="N116" t="n">
        <x:f>IF(AND(ISNUMBER('Results'!C7),ISNUMBER('Results'!B7),ISNUMBER('Results'!$B$8),ISNUMBER('Inputs'!$B$6),ISNUMBER('Inputs'!$B$7),ISNUMBER('Inputs'!$B$8),ISNUMBER('Inputs'!$B$9),ISNUMBER('Inputs'!$B$10),ISNUMBER('Inputs'!$B$21),ISNUMBER('Inputs'!$B$24),ISNUMBER('Inputs'!$B$28)),((('Results'!C7*(1-'Inputs'!$B$24)*(0.5*((((116-43)*MAX('Inputs'!$B$33,'Inputs'!$B$29+'Inputs'!$B$31+'Inputs'!$B$32,'Inputs'!$B$30+'Inputs'!$B$31+'Inputs'!$B$32)/1000+'Inputs'!$B$21)+'Inputs'!$B$9)/SQRT((((116-43)*MAX('Inputs'!$B$33,'Inputs'!$B$29+'Inputs'!$B$31+'Inputs'!$B$32,'Inputs'!$B$30+'Inputs'!$B$31+'Inputs'!$B$32)/1000+'Inputs'!$B$21)+'Inputs'!$B$9)^2+('Inputs'!$B$8/2)^2)-(((116-43)*MAX('Inputs'!$B$33,'Inputs'!$B$29+'Inputs'!$B$31+'Inputs'!$B$32,'Inputs'!$B$30+'Inputs'!$B$31+'Inputs'!$B$32)/1000+'Inputs'!$B$21))/SQRT((((116-43)*MAX('Inputs'!$B$33,'Inputs'!$B$29+'Inputs'!$B$31+'Inputs'!$B$32,'Inputs'!$B$30+'Inputs'!$B$31+'Inputs'!$B$32)/1000+'Inputs'!$B$21))^2+('Inputs'!$B$8/2)^2)))-'Results'!B7*(1+'Inputs'!$B$24)*(0.5*((((116-43)*MAX('Inputs'!$B$33,'Inputs'!$B$29+'Inputs'!$B$31+'Inputs'!$B$32,'Inputs'!$B$30+'Inputs'!$B$31+'Inputs'!$B$32)/1000+'Inputs'!$B$21+'Inputs'!$B$9+'Inputs'!$B$10)+'Inputs'!$B$7)/SQRT((((116-43)*MAX('Inputs'!$B$33,'Inputs'!$B$29+'Inputs'!$B$31+'Inputs'!$B$32,'Inputs'!$B$30+'Inputs'!$B$31+'Inputs'!$B$32)/1000+'Inputs'!$B$21+'Inputs'!$B$9+'Inputs'!$B$10)+'Inputs'!$B$7)^2+('Inputs'!$B$6/2)^2)-(((116-43)*MAX('Inputs'!$B$33,'Inputs'!$B$29+'Inputs'!$B$31+'Inputs'!$B$32,'Inputs'!$B$30+'Inputs'!$B$31+'Inputs'!$B$32)/1000+'Inputs'!$B$21+'Inputs'!$B$9+'Inputs'!$B$10))/SQRT((((116-43)*MAX('Inputs'!$B$33,'Inputs'!$B$29+'Inputs'!$B$31+'Inputs'!$B$32,'Inputs'!$B$30+'Inputs'!$B$31+'Inputs'!$B$32)/1000+'Inputs'!$B$21+'Inputs'!$B$9+'Inputs'!$B$10))^2+('Inputs'!$B$6/2)^2))))*'Results'!$B$8)-'Inputs'!$B$28*ABS((('Results'!C7*(1-'Inputs'!$B$24)*(0.5*((((116-43)*MAX('Inputs'!$B$33,'Inputs'!$B$29+'Inputs'!$B$31+'Inputs'!$B$32,'Inputs'!$B$30+'Inputs'!$B$31+'Inputs'!$B$32)/1000+'Inputs'!$B$21)+'Inputs'!$B$9)/SQRT((((116-43)*MAX('Inputs'!$B$33,'Inputs'!$B$29+'Inputs'!$B$31+'Inputs'!$B$32,'Inputs'!$B$30+'Inputs'!$B$31+'Inputs'!$B$32)/1000+'Inputs'!$B$21)+'Inputs'!$B$9)^2+('Inputs'!$B$8/2)^2)-(((116-43)*MAX('Inputs'!$B$33,'Inputs'!$B$29+'Inputs'!$B$31+'Inputs'!$B$32,'Inputs'!$B$30+'Inputs'!$B$31+'Inputs'!$B$32)/1000+'Inputs'!$B$21))/SQRT((((116-43)*MAX('Inputs'!$B$33,'Inputs'!$B$29+'Inputs'!$B$31+'Inputs'!$B$32,'Inputs'!$B$30+'Inputs'!$B$31+'Inputs'!$B$32)/1000+'Inputs'!$B$21))^2+('Inputs'!$B$8/2)^2)))-'Results'!B7*(1+'Inputs'!$B$24)*(0.5*((((116-43)*MAX('Inputs'!$B$33,'Inputs'!$B$29+'Inputs'!$B$31+'Inputs'!$B$32,'Inputs'!$B$30+'Inputs'!$B$31+'Inputs'!$B$32)/1000+'Inputs'!$B$21+'Inputs'!$B$9+'Inputs'!$B$10)+'Inputs'!$B$7)/SQRT((((116-43)*MAX('Inputs'!$B$33,'Inputs'!$B$29+'Inputs'!$B$31+'Inputs'!$B$32,'Inputs'!$B$30+'Inputs'!$B$31+'Inputs'!$B$32)/1000+'Inputs'!$B$21+'Inputs'!$B$9+'Inputs'!$B$10)+'Inputs'!$B$7)^2+('Inputs'!$B$6/2)^2)-(((116-43)*MAX('Inputs'!$B$33,'Inputs'!$B$29+'Inputs'!$B$31+'Inputs'!$B$32,'Inputs'!$B$30+'Inputs'!$B$31+'Inputs'!$B$32)/1000+'Inputs'!$B$21+'Inputs'!$B$9+'Inputs'!$B$10))/SQRT((((116-43)*MAX('Inputs'!$B$33,'Inputs'!$B$29+'Inputs'!$B$31+'Inputs'!$B$32,'Inputs'!$B$30+'Inputs'!$B$31+'Inputs'!$B$32)/1000+'Inputs'!$B$21+'Inputs'!$B$9+'Inputs'!$B$10))^2+('Inputs'!$B$6/2)^2))))*'Results'!$B$8))),"")</x:f>
        <x:v>563.6217486991465</x:v>
      </x:c>
      <x:c r="O116" t="n">
        <x:f>IF(AND(ISNUMBER('Results'!C7),ISNUMBER('Results'!B7),ISNUMBER('Results'!$B$8),ISNUMBER('Inputs'!$B$6),ISNUMBER('Inputs'!$B$7),ISNUMBER('Inputs'!$B$8),ISNUMBER('Inputs'!$B$9),ISNUMBER('Inputs'!$B$10),ISNUMBER('Inputs'!$B$21),ISNUMBER('Inputs'!$B$24),ISNUMBER('Inputs'!$B$28)),((('Results'!C7*(1+'Inputs'!$B$24)*(0.5*((((116-43)*MAX('Inputs'!$B$33,'Inputs'!$B$29+'Inputs'!$B$31+'Inputs'!$B$32,'Inputs'!$B$30+'Inputs'!$B$31+'Inputs'!$B$32)/1000+'Inputs'!$B$21)+'Inputs'!$B$9)/SQRT((((116-43)*MAX('Inputs'!$B$33,'Inputs'!$B$29+'Inputs'!$B$31+'Inputs'!$B$32,'Inputs'!$B$30+'Inputs'!$B$31+'Inputs'!$B$32)/1000+'Inputs'!$B$21)+'Inputs'!$B$9)^2+('Inputs'!$B$8/2)^2)-(((116-43)*MAX('Inputs'!$B$33,'Inputs'!$B$29+'Inputs'!$B$31+'Inputs'!$B$32,'Inputs'!$B$30+'Inputs'!$B$31+'Inputs'!$B$32)/1000+'Inputs'!$B$21))/SQRT((((116-43)*MAX('Inputs'!$B$33,'Inputs'!$B$29+'Inputs'!$B$31+'Inputs'!$B$32,'Inputs'!$B$30+'Inputs'!$B$31+'Inputs'!$B$32)/1000+'Inputs'!$B$21))^2+('Inputs'!$B$8/2)^2)))-'Results'!B7*(1-'Inputs'!$B$24)*(0.5*((((116-43)*MAX('Inputs'!$B$33,'Inputs'!$B$29+'Inputs'!$B$31+'Inputs'!$B$32,'Inputs'!$B$30+'Inputs'!$B$31+'Inputs'!$B$32)/1000+'Inputs'!$B$21+'Inputs'!$B$9+'Inputs'!$B$10)+'Inputs'!$B$7)/SQRT((((116-43)*MAX('Inputs'!$B$33,'Inputs'!$B$29+'Inputs'!$B$31+'Inputs'!$B$32,'Inputs'!$B$30+'Inputs'!$B$31+'Inputs'!$B$32)/1000+'Inputs'!$B$21+'Inputs'!$B$9+'Inputs'!$B$10)+'Inputs'!$B$7)^2+('Inputs'!$B$6/2)^2)-(((116-43)*MAX('Inputs'!$B$33,'Inputs'!$B$29+'Inputs'!$B$31+'Inputs'!$B$32,'Inputs'!$B$30+'Inputs'!$B$31+'Inputs'!$B$32)/1000+'Inputs'!$B$21+'Inputs'!$B$9+'Inputs'!$B$10))/SQRT((((116-43)*MAX('Inputs'!$B$33,'Inputs'!$B$29+'Inputs'!$B$31+'Inputs'!$B$32,'Inputs'!$B$30+'Inputs'!$B$31+'Inputs'!$B$32)/1000+'Inputs'!$B$21+'Inputs'!$B$9+'Inputs'!$B$10))^2+('Inputs'!$B$6/2)^2))))*'Results'!$B$8)+'Inputs'!$B$28*ABS((('Results'!C7*(1+'Inputs'!$B$24)*(0.5*((((116-43)*MAX('Inputs'!$B$33,'Inputs'!$B$29+'Inputs'!$B$31+'Inputs'!$B$32,'Inputs'!$B$30+'Inputs'!$B$31+'Inputs'!$B$32)/1000+'Inputs'!$B$21)+'Inputs'!$B$9)/SQRT((((116-43)*MAX('Inputs'!$B$33,'Inputs'!$B$29+'Inputs'!$B$31+'Inputs'!$B$32,'Inputs'!$B$30+'Inputs'!$B$31+'Inputs'!$B$32)/1000+'Inputs'!$B$21)+'Inputs'!$B$9)^2+('Inputs'!$B$8/2)^2)-(((116-43)*MAX('Inputs'!$B$33,'Inputs'!$B$29+'Inputs'!$B$31+'Inputs'!$B$32,'Inputs'!$B$30+'Inputs'!$B$31+'Inputs'!$B$32)/1000+'Inputs'!$B$21))/SQRT((((116-43)*MAX('Inputs'!$B$33,'Inputs'!$B$29+'Inputs'!$B$31+'Inputs'!$B$32,'Inputs'!$B$30+'Inputs'!$B$31+'Inputs'!$B$32)/1000+'Inputs'!$B$21))^2+('Inputs'!$B$8/2)^2)))-'Results'!B7*(1-'Inputs'!$B$24)*(0.5*((((116-43)*MAX('Inputs'!$B$33,'Inputs'!$B$29+'Inputs'!$B$31+'Inputs'!$B$32,'Inputs'!$B$30+'Inputs'!$B$31+'Inputs'!$B$32)/1000+'Inputs'!$B$21+'Inputs'!$B$9+'Inputs'!$B$10)+'Inputs'!$B$7)/SQRT((((116-43)*MAX('Inputs'!$B$33,'Inputs'!$B$29+'Inputs'!$B$31+'Inputs'!$B$32,'Inputs'!$B$30+'Inputs'!$B$31+'Inputs'!$B$32)/1000+'Inputs'!$B$21+'Inputs'!$B$9+'Inputs'!$B$10)+'Inputs'!$B$7)^2+('Inputs'!$B$6/2)^2)-(((116-43)*MAX('Inputs'!$B$33,'Inputs'!$B$29+'Inputs'!$B$31+'Inputs'!$B$32,'Inputs'!$B$30+'Inputs'!$B$31+'Inputs'!$B$32)/1000+'Inputs'!$B$21+'Inputs'!$B$9+'Inputs'!$B$10))/SQRT((((116-43)*MAX('Inputs'!$B$33,'Inputs'!$B$29+'Inputs'!$B$31+'Inputs'!$B$32,'Inputs'!$B$30+'Inputs'!$B$31+'Inputs'!$B$32)/1000+'Inputs'!$B$21+'Inputs'!$B$9+'Inputs'!$B$10))^2+('Inputs'!$B$6/2)^2))))*'Results'!$B$8))),"")</x:f>
        <x:v>658.9154267360387</x:v>
      </x:c>
      <x:c r="P116" t="n">
        <x:f>IF(AND(MAX(J116,J115)&gt;0,J116&gt;J115+0.00000001),1,0)</x:f>
        <x:v>0</x:v>
      </x:c>
      <x:c r="Q116" t="n">
        <x:f>IF(AND(MAX(K116,K115)&gt;0,K116&gt;K115+0.00000001),1,0)</x:f>
        <x:v>0</x:v>
      </x:c>
      <x:c r="R116" t="n">
        <x:f>IF(AND(MAX(L116,L115)&gt;0,L116&gt;L115+0.00000001),1,0)</x:f>
        <x:v>0</x:v>
      </x:c>
      <x:c r="S116" t="n">
        <x:f>IF(AND(MAX(M116,M115)&gt;0,M116&gt;M115+0.00000001),1,0)</x:f>
        <x:v>0</x:v>
      </x:c>
      <x:c r="T116" t="n">
        <x:f>IF(AND(MAX(N116,N115)&gt;0,N116&gt;N115+0.00000001),1,0)</x:f>
        <x:v>0</x:v>
      </x:c>
      <x:c r="U116" t="n">
        <x:f>IF(AND(MAX(O116,O115)&gt;0,O116&gt;O115+0.00000001),1,0)</x:f>
        <x:v>0</x:v>
      </x:c>
    </x:row>
    <x:row r="117">
      <x:c r="J117" t="n">
        <x:f>IF(AND(ISNUMBER('Results'!B7),ISNUMBER('Results'!C7),ISNUMBER('Results'!$B$8),ISNUMBER('Inputs'!$B$6),ISNUMBER('Inputs'!$B$7),ISNUMBER('Inputs'!$B$8),ISNUMBER('Inputs'!$B$9),ISNUMBER('Inputs'!$B$10),ISNUMBER('Inputs'!$B$21),ISNUMBER('Inputs'!$B$24),ISNUMBER('Inputs'!$B$28)),(('Results'!B7*(0.5*((((117-43)*MAX('Inputs'!$B$33,'Inputs'!$B$29+'Inputs'!$B$31+'Inputs'!$B$32,'Inputs'!$B$30+'Inputs'!$B$31+'Inputs'!$B$32)/1000+'Inputs'!$B$21)+'Inputs'!$B$7)/SQRT((((117-43)*MAX('Inputs'!$B$33,'Inputs'!$B$29+'Inputs'!$B$31+'Inputs'!$B$32,'Inputs'!$B$30+'Inputs'!$B$31+'Inputs'!$B$32)/1000+'Inputs'!$B$21)+'Inputs'!$B$7)^2+('Inputs'!$B$6/2)^2)-(((117-43)*MAX('Inputs'!$B$33,'Inputs'!$B$29+'Inputs'!$B$31+'Inputs'!$B$32,'Inputs'!$B$30+'Inputs'!$B$31+'Inputs'!$B$32)/1000+'Inputs'!$B$21))/SQRT((((117-43)*MAX('Inputs'!$B$33,'Inputs'!$B$29+'Inputs'!$B$31+'Inputs'!$B$32,'Inputs'!$B$30+'Inputs'!$B$31+'Inputs'!$B$32)/1000+'Inputs'!$B$21))^2+('Inputs'!$B$6/2)^2)))-'Results'!C7*(0.5*((((117-43)*MAX('Inputs'!$B$33,'Inputs'!$B$29+'Inputs'!$B$31+'Inputs'!$B$32,'Inputs'!$B$30+'Inputs'!$B$31+'Inputs'!$B$32)/1000+'Inputs'!$B$21+'Inputs'!$B$7+'Inputs'!$B$10)+'Inputs'!$B$9)/SQRT((((117-43)*MAX('Inputs'!$B$33,'Inputs'!$B$29+'Inputs'!$B$31+'Inputs'!$B$32,'Inputs'!$B$30+'Inputs'!$B$31+'Inputs'!$B$32)/1000+'Inputs'!$B$21+'Inputs'!$B$7+'Inputs'!$B$10)+'Inputs'!$B$9)^2+('Inputs'!$B$8/2)^2)-(((117-43)*MAX('Inputs'!$B$33,'Inputs'!$B$29+'Inputs'!$B$31+'Inputs'!$B$32,'Inputs'!$B$30+'Inputs'!$B$31+'Inputs'!$B$32)/1000+'Inputs'!$B$21+'Inputs'!$B$7+'Inputs'!$B$10))/SQRT((((117-43)*MAX('Inputs'!$B$33,'Inputs'!$B$29+'Inputs'!$B$31+'Inputs'!$B$32,'Inputs'!$B$30+'Inputs'!$B$31+'Inputs'!$B$32)/1000+'Inputs'!$B$21+'Inputs'!$B$7+'Inputs'!$B$10))^2+('Inputs'!$B$8/2)^2))))*'Results'!$B$8),"")</x:f>
        <x:v>615.5609817258635</x:v>
      </x:c>
      <x:c r="K117" t="n">
        <x:f>IF(AND(ISNUMBER('Results'!B7),ISNUMBER('Results'!C7),ISNUMBER('Results'!$B$8),ISNUMBER('Inputs'!$B$6),ISNUMBER('Inputs'!$B$7),ISNUMBER('Inputs'!$B$8),ISNUMBER('Inputs'!$B$9),ISNUMBER('Inputs'!$B$10),ISNUMBER('Inputs'!$B$21),ISNUMBER('Inputs'!$B$24),ISNUMBER('Inputs'!$B$28)),((('Results'!B7*(1-'Inputs'!$B$24)*(0.5*((((117-43)*MAX('Inputs'!$B$33,'Inputs'!$B$29+'Inputs'!$B$31+'Inputs'!$B$32,'Inputs'!$B$30+'Inputs'!$B$31+'Inputs'!$B$32)/1000+'Inputs'!$B$21)+'Inputs'!$B$7)/SQRT((((117-43)*MAX('Inputs'!$B$33,'Inputs'!$B$29+'Inputs'!$B$31+'Inputs'!$B$32,'Inputs'!$B$30+'Inputs'!$B$31+'Inputs'!$B$32)/1000+'Inputs'!$B$21)+'Inputs'!$B$7)^2+('Inputs'!$B$6/2)^2)-(((117-43)*MAX('Inputs'!$B$33,'Inputs'!$B$29+'Inputs'!$B$31+'Inputs'!$B$32,'Inputs'!$B$30+'Inputs'!$B$31+'Inputs'!$B$32)/1000+'Inputs'!$B$21))/SQRT((((117-43)*MAX('Inputs'!$B$33,'Inputs'!$B$29+'Inputs'!$B$31+'Inputs'!$B$32,'Inputs'!$B$30+'Inputs'!$B$31+'Inputs'!$B$32)/1000+'Inputs'!$B$21))^2+('Inputs'!$B$6/2)^2)))-'Results'!C7*(1+'Inputs'!$B$24)*(0.5*((((117-43)*MAX('Inputs'!$B$33,'Inputs'!$B$29+'Inputs'!$B$31+'Inputs'!$B$32,'Inputs'!$B$30+'Inputs'!$B$31+'Inputs'!$B$32)/1000+'Inputs'!$B$21+'Inputs'!$B$7+'Inputs'!$B$10)+'Inputs'!$B$9)/SQRT((((117-43)*MAX('Inputs'!$B$33,'Inputs'!$B$29+'Inputs'!$B$31+'Inputs'!$B$32,'Inputs'!$B$30+'Inputs'!$B$31+'Inputs'!$B$32)/1000+'Inputs'!$B$21+'Inputs'!$B$7+'Inputs'!$B$10)+'Inputs'!$B$9)^2+('Inputs'!$B$8/2)^2)-(((117-43)*MAX('Inputs'!$B$33,'Inputs'!$B$29+'Inputs'!$B$31+'Inputs'!$B$32,'Inputs'!$B$30+'Inputs'!$B$31+'Inputs'!$B$32)/1000+'Inputs'!$B$21+'Inputs'!$B$7+'Inputs'!$B$10))/SQRT((((117-43)*MAX('Inputs'!$B$33,'Inputs'!$B$29+'Inputs'!$B$31+'Inputs'!$B$32,'Inputs'!$B$30+'Inputs'!$B$31+'Inputs'!$B$32)/1000+'Inputs'!$B$21+'Inputs'!$B$7+'Inputs'!$B$10))^2+('Inputs'!$B$8/2)^2))))*'Results'!$B$8)-'Inputs'!$B$28*ABS((('Results'!B7*(1-'Inputs'!$B$24)*(0.5*((((117-43)*MAX('Inputs'!$B$33,'Inputs'!$B$29+'Inputs'!$B$31+'Inputs'!$B$32,'Inputs'!$B$30+'Inputs'!$B$31+'Inputs'!$B$32)/1000+'Inputs'!$B$21)+'Inputs'!$B$7)/SQRT((((117-43)*MAX('Inputs'!$B$33,'Inputs'!$B$29+'Inputs'!$B$31+'Inputs'!$B$32,'Inputs'!$B$30+'Inputs'!$B$31+'Inputs'!$B$32)/1000+'Inputs'!$B$21)+'Inputs'!$B$7)^2+('Inputs'!$B$6/2)^2)-(((117-43)*MAX('Inputs'!$B$33,'Inputs'!$B$29+'Inputs'!$B$31+'Inputs'!$B$32,'Inputs'!$B$30+'Inputs'!$B$31+'Inputs'!$B$32)/1000+'Inputs'!$B$21))/SQRT((((117-43)*MAX('Inputs'!$B$33,'Inputs'!$B$29+'Inputs'!$B$31+'Inputs'!$B$32,'Inputs'!$B$30+'Inputs'!$B$31+'Inputs'!$B$32)/1000+'Inputs'!$B$21))^2+('Inputs'!$B$6/2)^2)))-'Results'!C7*(1+'Inputs'!$B$24)*(0.5*((((117-43)*MAX('Inputs'!$B$33,'Inputs'!$B$29+'Inputs'!$B$31+'Inputs'!$B$32,'Inputs'!$B$30+'Inputs'!$B$31+'Inputs'!$B$32)/1000+'Inputs'!$B$21+'Inputs'!$B$7+'Inputs'!$B$10)+'Inputs'!$B$9)/SQRT((((117-43)*MAX('Inputs'!$B$33,'Inputs'!$B$29+'Inputs'!$B$31+'Inputs'!$B$32,'Inputs'!$B$30+'Inputs'!$B$31+'Inputs'!$B$32)/1000+'Inputs'!$B$21+'Inputs'!$B$7+'Inputs'!$B$10)+'Inputs'!$B$9)^2+('Inputs'!$B$8/2)^2)-(((117-43)*MAX('Inputs'!$B$33,'Inputs'!$B$29+'Inputs'!$B$31+'Inputs'!$B$32,'Inputs'!$B$30+'Inputs'!$B$31+'Inputs'!$B$32)/1000+'Inputs'!$B$21+'Inputs'!$B$7+'Inputs'!$B$10))/SQRT((((117-43)*MAX('Inputs'!$B$33,'Inputs'!$B$29+'Inputs'!$B$31+'Inputs'!$B$32,'Inputs'!$B$30+'Inputs'!$B$31+'Inputs'!$B$32)/1000+'Inputs'!$B$21+'Inputs'!$B$7+'Inputs'!$B$10))^2+('Inputs'!$B$8/2)^2))))*'Results'!$B$8))),"")</x:f>
        <x:v>568.5663225874904</x:v>
      </x:c>
      <x:c r="L117" t="n">
        <x:f>IF(AND(ISNUMBER('Results'!B7),ISNUMBER('Results'!C7),ISNUMBER('Results'!$B$8),ISNUMBER('Inputs'!$B$6),ISNUMBER('Inputs'!$B$7),ISNUMBER('Inputs'!$B$8),ISNUMBER('Inputs'!$B$9),ISNUMBER('Inputs'!$B$10),ISNUMBER('Inputs'!$B$21),ISNUMBER('Inputs'!$B$24),ISNUMBER('Inputs'!$B$28)),((('Results'!B7*(1+'Inputs'!$B$24)*(0.5*((((117-43)*MAX('Inputs'!$B$33,'Inputs'!$B$29+'Inputs'!$B$31+'Inputs'!$B$32,'Inputs'!$B$30+'Inputs'!$B$31+'Inputs'!$B$32)/1000+'Inputs'!$B$21)+'Inputs'!$B$7)/SQRT((((117-43)*MAX('Inputs'!$B$33,'Inputs'!$B$29+'Inputs'!$B$31+'Inputs'!$B$32,'Inputs'!$B$30+'Inputs'!$B$31+'Inputs'!$B$32)/1000+'Inputs'!$B$21)+'Inputs'!$B$7)^2+('Inputs'!$B$6/2)^2)-(((117-43)*MAX('Inputs'!$B$33,'Inputs'!$B$29+'Inputs'!$B$31+'Inputs'!$B$32,'Inputs'!$B$30+'Inputs'!$B$31+'Inputs'!$B$32)/1000+'Inputs'!$B$21))/SQRT((((117-43)*MAX('Inputs'!$B$33,'Inputs'!$B$29+'Inputs'!$B$31+'Inputs'!$B$32,'Inputs'!$B$30+'Inputs'!$B$31+'Inputs'!$B$32)/1000+'Inputs'!$B$21))^2+('Inputs'!$B$6/2)^2)))-'Results'!C7*(1-'Inputs'!$B$24)*(0.5*((((117-43)*MAX('Inputs'!$B$33,'Inputs'!$B$29+'Inputs'!$B$31+'Inputs'!$B$32,'Inputs'!$B$30+'Inputs'!$B$31+'Inputs'!$B$32)/1000+'Inputs'!$B$21+'Inputs'!$B$7+'Inputs'!$B$10)+'Inputs'!$B$9)/SQRT((((117-43)*MAX('Inputs'!$B$33,'Inputs'!$B$29+'Inputs'!$B$31+'Inputs'!$B$32,'Inputs'!$B$30+'Inputs'!$B$31+'Inputs'!$B$32)/1000+'Inputs'!$B$21+'Inputs'!$B$7+'Inputs'!$B$10)+'Inputs'!$B$9)^2+('Inputs'!$B$8/2)^2)-(((117-43)*MAX('Inputs'!$B$33,'Inputs'!$B$29+'Inputs'!$B$31+'Inputs'!$B$32,'Inputs'!$B$30+'Inputs'!$B$31+'Inputs'!$B$32)/1000+'Inputs'!$B$21+'Inputs'!$B$7+'Inputs'!$B$10))/SQRT((((117-43)*MAX('Inputs'!$B$33,'Inputs'!$B$29+'Inputs'!$B$31+'Inputs'!$B$32,'Inputs'!$B$30+'Inputs'!$B$31+'Inputs'!$B$32)/1000+'Inputs'!$B$21+'Inputs'!$B$7+'Inputs'!$B$10))^2+('Inputs'!$B$8/2)^2))))*'Results'!$B$8)+'Inputs'!$B$28*ABS((('Results'!B7*(1+'Inputs'!$B$24)*(0.5*((((117-43)*MAX('Inputs'!$B$33,'Inputs'!$B$29+'Inputs'!$B$31+'Inputs'!$B$32,'Inputs'!$B$30+'Inputs'!$B$31+'Inputs'!$B$32)/1000+'Inputs'!$B$21)+'Inputs'!$B$7)/SQRT((((117-43)*MAX('Inputs'!$B$33,'Inputs'!$B$29+'Inputs'!$B$31+'Inputs'!$B$32,'Inputs'!$B$30+'Inputs'!$B$31+'Inputs'!$B$32)/1000+'Inputs'!$B$21)+'Inputs'!$B$7)^2+('Inputs'!$B$6/2)^2)-(((117-43)*MAX('Inputs'!$B$33,'Inputs'!$B$29+'Inputs'!$B$31+'Inputs'!$B$32,'Inputs'!$B$30+'Inputs'!$B$31+'Inputs'!$B$32)/1000+'Inputs'!$B$21))/SQRT((((117-43)*MAX('Inputs'!$B$33,'Inputs'!$B$29+'Inputs'!$B$31+'Inputs'!$B$32,'Inputs'!$B$30+'Inputs'!$B$31+'Inputs'!$B$32)/1000+'Inputs'!$B$21))^2+('Inputs'!$B$6/2)^2)))-'Results'!C7*(1-'Inputs'!$B$24)*(0.5*((((117-43)*MAX('Inputs'!$B$33,'Inputs'!$B$29+'Inputs'!$B$31+'Inputs'!$B$32,'Inputs'!$B$30+'Inputs'!$B$31+'Inputs'!$B$32)/1000+'Inputs'!$B$21+'Inputs'!$B$7+'Inputs'!$B$10)+'Inputs'!$B$9)/SQRT((((117-43)*MAX('Inputs'!$B$33,'Inputs'!$B$29+'Inputs'!$B$31+'Inputs'!$B$32,'Inputs'!$B$30+'Inputs'!$B$31+'Inputs'!$B$32)/1000+'Inputs'!$B$21+'Inputs'!$B$7+'Inputs'!$B$10)+'Inputs'!$B$9)^2+('Inputs'!$B$8/2)^2)-(((117-43)*MAX('Inputs'!$B$33,'Inputs'!$B$29+'Inputs'!$B$31+'Inputs'!$B$32,'Inputs'!$B$30+'Inputs'!$B$31+'Inputs'!$B$32)/1000+'Inputs'!$B$21+'Inputs'!$B$7+'Inputs'!$B$10))/SQRT((((117-43)*MAX('Inputs'!$B$33,'Inputs'!$B$29+'Inputs'!$B$31+'Inputs'!$B$32,'Inputs'!$B$30+'Inputs'!$B$31+'Inputs'!$B$32)/1000+'Inputs'!$B$21+'Inputs'!$B$7+'Inputs'!$B$10))^2+('Inputs'!$B$8/2)^2))))*'Results'!$B$8))),"")</x:f>
        <x:v>664.2626524486659</x:v>
      </x:c>
      <x:c r="M117" t="n">
        <x:f>IF(AND(ISNUMBER('Results'!C7),ISNUMBER('Results'!B7),ISNUMBER('Results'!$B$8),ISNUMBER('Inputs'!$B$6),ISNUMBER('Inputs'!$B$7),ISNUMBER('Inputs'!$B$8),ISNUMBER('Inputs'!$B$9),ISNUMBER('Inputs'!$B$10),ISNUMBER('Inputs'!$B$21),ISNUMBER('Inputs'!$B$24),ISNUMBER('Inputs'!$B$28)),(('Results'!C7*(0.5*((((117-43)*MAX('Inputs'!$B$33,'Inputs'!$B$29+'Inputs'!$B$31+'Inputs'!$B$32,'Inputs'!$B$30+'Inputs'!$B$31+'Inputs'!$B$32)/1000+'Inputs'!$B$21)+'Inputs'!$B$9)/SQRT((((117-43)*MAX('Inputs'!$B$33,'Inputs'!$B$29+'Inputs'!$B$31+'Inputs'!$B$32,'Inputs'!$B$30+'Inputs'!$B$31+'Inputs'!$B$32)/1000+'Inputs'!$B$21)+'Inputs'!$B$9)^2+('Inputs'!$B$8/2)^2)-(((117-43)*MAX('Inputs'!$B$33,'Inputs'!$B$29+'Inputs'!$B$31+'Inputs'!$B$32,'Inputs'!$B$30+'Inputs'!$B$31+'Inputs'!$B$32)/1000+'Inputs'!$B$21))/SQRT((((117-43)*MAX('Inputs'!$B$33,'Inputs'!$B$29+'Inputs'!$B$31+'Inputs'!$B$32,'Inputs'!$B$30+'Inputs'!$B$31+'Inputs'!$B$32)/1000+'Inputs'!$B$21))^2+('Inputs'!$B$8/2)^2)))-'Results'!B7*(0.5*((((117-43)*MAX('Inputs'!$B$33,'Inputs'!$B$29+'Inputs'!$B$31+'Inputs'!$B$32,'Inputs'!$B$30+'Inputs'!$B$31+'Inputs'!$B$32)/1000+'Inputs'!$B$21+'Inputs'!$B$9+'Inputs'!$B$10)+'Inputs'!$B$7)/SQRT((((117-43)*MAX('Inputs'!$B$33,'Inputs'!$B$29+'Inputs'!$B$31+'Inputs'!$B$32,'Inputs'!$B$30+'Inputs'!$B$31+'Inputs'!$B$32)/1000+'Inputs'!$B$21+'Inputs'!$B$9+'Inputs'!$B$10)+'Inputs'!$B$7)^2+('Inputs'!$B$6/2)^2)-(((117-43)*MAX('Inputs'!$B$33,'Inputs'!$B$29+'Inputs'!$B$31+'Inputs'!$B$32,'Inputs'!$B$30+'Inputs'!$B$31+'Inputs'!$B$32)/1000+'Inputs'!$B$21+'Inputs'!$B$9+'Inputs'!$B$10))/SQRT((((117-43)*MAX('Inputs'!$B$33,'Inputs'!$B$29+'Inputs'!$B$31+'Inputs'!$B$32,'Inputs'!$B$30+'Inputs'!$B$31+'Inputs'!$B$32)/1000+'Inputs'!$B$21+'Inputs'!$B$9+'Inputs'!$B$10))^2+('Inputs'!$B$6/2)^2))))*'Results'!$B$8),"")</x:f>
        <x:v>598.442305716163</x:v>
      </x:c>
      <x:c r="N117" t="n">
        <x:f>IF(AND(ISNUMBER('Results'!C7),ISNUMBER('Results'!B7),ISNUMBER('Results'!$B$8),ISNUMBER('Inputs'!$B$6),ISNUMBER('Inputs'!$B$7),ISNUMBER('Inputs'!$B$8),ISNUMBER('Inputs'!$B$9),ISNUMBER('Inputs'!$B$10),ISNUMBER('Inputs'!$B$21),ISNUMBER('Inputs'!$B$24),ISNUMBER('Inputs'!$B$28)),((('Results'!C7*(1-'Inputs'!$B$24)*(0.5*((((117-43)*MAX('Inputs'!$B$33,'Inputs'!$B$29+'Inputs'!$B$31+'Inputs'!$B$32,'Inputs'!$B$30+'Inputs'!$B$31+'Inputs'!$B$32)/1000+'Inputs'!$B$21)+'Inputs'!$B$9)/SQRT((((117-43)*MAX('Inputs'!$B$33,'Inputs'!$B$29+'Inputs'!$B$31+'Inputs'!$B$32,'Inputs'!$B$30+'Inputs'!$B$31+'Inputs'!$B$32)/1000+'Inputs'!$B$21)+'Inputs'!$B$9)^2+('Inputs'!$B$8/2)^2)-(((117-43)*MAX('Inputs'!$B$33,'Inputs'!$B$29+'Inputs'!$B$31+'Inputs'!$B$32,'Inputs'!$B$30+'Inputs'!$B$31+'Inputs'!$B$32)/1000+'Inputs'!$B$21))/SQRT((((117-43)*MAX('Inputs'!$B$33,'Inputs'!$B$29+'Inputs'!$B$31+'Inputs'!$B$32,'Inputs'!$B$30+'Inputs'!$B$31+'Inputs'!$B$32)/1000+'Inputs'!$B$21))^2+('Inputs'!$B$8/2)^2)))-'Results'!B7*(1+'Inputs'!$B$24)*(0.5*((((117-43)*MAX('Inputs'!$B$33,'Inputs'!$B$29+'Inputs'!$B$31+'Inputs'!$B$32,'Inputs'!$B$30+'Inputs'!$B$31+'Inputs'!$B$32)/1000+'Inputs'!$B$21+'Inputs'!$B$9+'Inputs'!$B$10)+'Inputs'!$B$7)/SQRT((((117-43)*MAX('Inputs'!$B$33,'Inputs'!$B$29+'Inputs'!$B$31+'Inputs'!$B$32,'Inputs'!$B$30+'Inputs'!$B$31+'Inputs'!$B$32)/1000+'Inputs'!$B$21+'Inputs'!$B$9+'Inputs'!$B$10)+'Inputs'!$B$7)^2+('Inputs'!$B$6/2)^2)-(((117-43)*MAX('Inputs'!$B$33,'Inputs'!$B$29+'Inputs'!$B$31+'Inputs'!$B$32,'Inputs'!$B$30+'Inputs'!$B$31+'Inputs'!$B$32)/1000+'Inputs'!$B$21+'Inputs'!$B$9+'Inputs'!$B$10))/SQRT((((117-43)*MAX('Inputs'!$B$33,'Inputs'!$B$29+'Inputs'!$B$31+'Inputs'!$B$32,'Inputs'!$B$30+'Inputs'!$B$31+'Inputs'!$B$32)/1000+'Inputs'!$B$21+'Inputs'!$B$9+'Inputs'!$B$10))^2+('Inputs'!$B$6/2)^2))))*'Results'!$B$8)-'Inputs'!$B$28*ABS((('Results'!C7*(1-'Inputs'!$B$24)*(0.5*((((117-43)*MAX('Inputs'!$B$33,'Inputs'!$B$29+'Inputs'!$B$31+'Inputs'!$B$32,'Inputs'!$B$30+'Inputs'!$B$31+'Inputs'!$B$32)/1000+'Inputs'!$B$21)+'Inputs'!$B$9)/SQRT((((117-43)*MAX('Inputs'!$B$33,'Inputs'!$B$29+'Inputs'!$B$31+'Inputs'!$B$32,'Inputs'!$B$30+'Inputs'!$B$31+'Inputs'!$B$32)/1000+'Inputs'!$B$21)+'Inputs'!$B$9)^2+('Inputs'!$B$8/2)^2)-(((117-43)*MAX('Inputs'!$B$33,'Inputs'!$B$29+'Inputs'!$B$31+'Inputs'!$B$32,'Inputs'!$B$30+'Inputs'!$B$31+'Inputs'!$B$32)/1000+'Inputs'!$B$21))/SQRT((((117-43)*MAX('Inputs'!$B$33,'Inputs'!$B$29+'Inputs'!$B$31+'Inputs'!$B$32,'Inputs'!$B$30+'Inputs'!$B$31+'Inputs'!$B$32)/1000+'Inputs'!$B$21))^2+('Inputs'!$B$8/2)^2)))-'Results'!B7*(1+'Inputs'!$B$24)*(0.5*((((117-43)*MAX('Inputs'!$B$33,'Inputs'!$B$29+'Inputs'!$B$31+'Inputs'!$B$32,'Inputs'!$B$30+'Inputs'!$B$31+'Inputs'!$B$32)/1000+'Inputs'!$B$21+'Inputs'!$B$9+'Inputs'!$B$10)+'Inputs'!$B$7)/SQRT((((117-43)*MAX('Inputs'!$B$33,'Inputs'!$B$29+'Inputs'!$B$31+'Inputs'!$B$32,'Inputs'!$B$30+'Inputs'!$B$31+'Inputs'!$B$32)/1000+'Inputs'!$B$21+'Inputs'!$B$9+'Inputs'!$B$10)+'Inputs'!$B$7)^2+('Inputs'!$B$6/2)^2)-(((117-43)*MAX('Inputs'!$B$33,'Inputs'!$B$29+'Inputs'!$B$31+'Inputs'!$B$32,'Inputs'!$B$30+'Inputs'!$B$31+'Inputs'!$B$32)/1000+'Inputs'!$B$21+'Inputs'!$B$9+'Inputs'!$B$10))/SQRT((((117-43)*MAX('Inputs'!$B$33,'Inputs'!$B$29+'Inputs'!$B$31+'Inputs'!$B$32,'Inputs'!$B$30+'Inputs'!$B$31+'Inputs'!$B$32)/1000+'Inputs'!$B$21+'Inputs'!$B$9+'Inputs'!$B$10))^2+('Inputs'!$B$6/2)^2))))*'Results'!$B$8))),"")</x:f>
        <x:v>552.5365709081881</x:v>
      </x:c>
      <x:c r="O117" t="n">
        <x:f>IF(AND(ISNUMBER('Results'!C7),ISNUMBER('Results'!B7),ISNUMBER('Results'!$B$8),ISNUMBER('Inputs'!$B$6),ISNUMBER('Inputs'!$B$7),ISNUMBER('Inputs'!$B$8),ISNUMBER('Inputs'!$B$9),ISNUMBER('Inputs'!$B$10),ISNUMBER('Inputs'!$B$21),ISNUMBER('Inputs'!$B$24),ISNUMBER('Inputs'!$B$28)),((('Results'!C7*(1+'Inputs'!$B$24)*(0.5*((((117-43)*MAX('Inputs'!$B$33,'Inputs'!$B$29+'Inputs'!$B$31+'Inputs'!$B$32,'Inputs'!$B$30+'Inputs'!$B$31+'Inputs'!$B$32)/1000+'Inputs'!$B$21)+'Inputs'!$B$9)/SQRT((((117-43)*MAX('Inputs'!$B$33,'Inputs'!$B$29+'Inputs'!$B$31+'Inputs'!$B$32,'Inputs'!$B$30+'Inputs'!$B$31+'Inputs'!$B$32)/1000+'Inputs'!$B$21)+'Inputs'!$B$9)^2+('Inputs'!$B$8/2)^2)-(((117-43)*MAX('Inputs'!$B$33,'Inputs'!$B$29+'Inputs'!$B$31+'Inputs'!$B$32,'Inputs'!$B$30+'Inputs'!$B$31+'Inputs'!$B$32)/1000+'Inputs'!$B$21))/SQRT((((117-43)*MAX('Inputs'!$B$33,'Inputs'!$B$29+'Inputs'!$B$31+'Inputs'!$B$32,'Inputs'!$B$30+'Inputs'!$B$31+'Inputs'!$B$32)/1000+'Inputs'!$B$21))^2+('Inputs'!$B$8/2)^2)))-'Results'!B7*(1-'Inputs'!$B$24)*(0.5*((((117-43)*MAX('Inputs'!$B$33,'Inputs'!$B$29+'Inputs'!$B$31+'Inputs'!$B$32,'Inputs'!$B$30+'Inputs'!$B$31+'Inputs'!$B$32)/1000+'Inputs'!$B$21+'Inputs'!$B$9+'Inputs'!$B$10)+'Inputs'!$B$7)/SQRT((((117-43)*MAX('Inputs'!$B$33,'Inputs'!$B$29+'Inputs'!$B$31+'Inputs'!$B$32,'Inputs'!$B$30+'Inputs'!$B$31+'Inputs'!$B$32)/1000+'Inputs'!$B$21+'Inputs'!$B$9+'Inputs'!$B$10)+'Inputs'!$B$7)^2+('Inputs'!$B$6/2)^2)-(((117-43)*MAX('Inputs'!$B$33,'Inputs'!$B$29+'Inputs'!$B$31+'Inputs'!$B$32,'Inputs'!$B$30+'Inputs'!$B$31+'Inputs'!$B$32)/1000+'Inputs'!$B$21+'Inputs'!$B$9+'Inputs'!$B$10))/SQRT((((117-43)*MAX('Inputs'!$B$33,'Inputs'!$B$29+'Inputs'!$B$31+'Inputs'!$B$32,'Inputs'!$B$30+'Inputs'!$B$31+'Inputs'!$B$32)/1000+'Inputs'!$B$21+'Inputs'!$B$9+'Inputs'!$B$10))^2+('Inputs'!$B$6/2)^2))))*'Results'!$B$8)+'Inputs'!$B$28*ABS((('Results'!C7*(1+'Inputs'!$B$24)*(0.5*((((117-43)*MAX('Inputs'!$B$33,'Inputs'!$B$29+'Inputs'!$B$31+'Inputs'!$B$32,'Inputs'!$B$30+'Inputs'!$B$31+'Inputs'!$B$32)/1000+'Inputs'!$B$21)+'Inputs'!$B$9)/SQRT((((117-43)*MAX('Inputs'!$B$33,'Inputs'!$B$29+'Inputs'!$B$31+'Inputs'!$B$32,'Inputs'!$B$30+'Inputs'!$B$31+'Inputs'!$B$32)/1000+'Inputs'!$B$21)+'Inputs'!$B$9)^2+('Inputs'!$B$8/2)^2)-(((117-43)*MAX('Inputs'!$B$33,'Inputs'!$B$29+'Inputs'!$B$31+'Inputs'!$B$32,'Inputs'!$B$30+'Inputs'!$B$31+'Inputs'!$B$32)/1000+'Inputs'!$B$21))/SQRT((((117-43)*MAX('Inputs'!$B$33,'Inputs'!$B$29+'Inputs'!$B$31+'Inputs'!$B$32,'Inputs'!$B$30+'Inputs'!$B$31+'Inputs'!$B$32)/1000+'Inputs'!$B$21))^2+('Inputs'!$B$8/2)^2)))-'Results'!B7*(1-'Inputs'!$B$24)*(0.5*((((117-43)*MAX('Inputs'!$B$33,'Inputs'!$B$29+'Inputs'!$B$31+'Inputs'!$B$32,'Inputs'!$B$30+'Inputs'!$B$31+'Inputs'!$B$32)/1000+'Inputs'!$B$21+'Inputs'!$B$9+'Inputs'!$B$10)+'Inputs'!$B$7)/SQRT((((117-43)*MAX('Inputs'!$B$33,'Inputs'!$B$29+'Inputs'!$B$31+'Inputs'!$B$32,'Inputs'!$B$30+'Inputs'!$B$31+'Inputs'!$B$32)/1000+'Inputs'!$B$21+'Inputs'!$B$9+'Inputs'!$B$10)+'Inputs'!$B$7)^2+('Inputs'!$B$6/2)^2)-(((117-43)*MAX('Inputs'!$B$33,'Inputs'!$B$29+'Inputs'!$B$31+'Inputs'!$B$32,'Inputs'!$B$30+'Inputs'!$B$31+'Inputs'!$B$32)/1000+'Inputs'!$B$21+'Inputs'!$B$9+'Inputs'!$B$10))/SQRT((((117-43)*MAX('Inputs'!$B$33,'Inputs'!$B$29+'Inputs'!$B$31+'Inputs'!$B$32,'Inputs'!$B$30+'Inputs'!$B$31+'Inputs'!$B$32)/1000+'Inputs'!$B$21+'Inputs'!$B$9+'Inputs'!$B$10))^2+('Inputs'!$B$6/2)^2))))*'Results'!$B$8))),"")</x:f>
        <x:v>646.030526789629</x:v>
      </x:c>
      <x:c r="P117" t="n">
        <x:f>IF(AND(MAX(J117,J116)&gt;0,J117&gt;J116+0.00000001),1,0)</x:f>
        <x:v>0</x:v>
      </x:c>
      <x:c r="Q117" t="n">
        <x:f>IF(AND(MAX(K117,K116)&gt;0,K117&gt;K116+0.00000001),1,0)</x:f>
        <x:v>0</x:v>
      </x:c>
      <x:c r="R117" t="n">
        <x:f>IF(AND(MAX(L117,L116)&gt;0,L117&gt;L116+0.00000001),1,0)</x:f>
        <x:v>0</x:v>
      </x:c>
      <x:c r="S117" t="n">
        <x:f>IF(AND(MAX(M117,M116)&gt;0,M117&gt;M116+0.00000001),1,0)</x:f>
        <x:v>0</x:v>
      </x:c>
      <x:c r="T117" t="n">
        <x:f>IF(AND(MAX(N117,N116)&gt;0,N117&gt;N116+0.00000001),1,0)</x:f>
        <x:v>0</x:v>
      </x:c>
      <x:c r="U117" t="n">
        <x:f>IF(AND(MAX(O117,O116)&gt;0,O117&gt;O116+0.00000001),1,0)</x:f>
        <x:v>0</x:v>
      </x:c>
    </x:row>
    <x:row r="118">
      <x:c r="J118" t="n">
        <x:f>IF(AND(ISNUMBER('Results'!B7),ISNUMBER('Results'!C7),ISNUMBER('Results'!$B$8),ISNUMBER('Inputs'!$B$6),ISNUMBER('Inputs'!$B$7),ISNUMBER('Inputs'!$B$8),ISNUMBER('Inputs'!$B$9),ISNUMBER('Inputs'!$B$10),ISNUMBER('Inputs'!$B$21),ISNUMBER('Inputs'!$B$24),ISNUMBER('Inputs'!$B$28)),(('Results'!B7*(0.5*((((118-43)*MAX('Inputs'!$B$33,'Inputs'!$B$29+'Inputs'!$B$31+'Inputs'!$B$32,'Inputs'!$B$30+'Inputs'!$B$31+'Inputs'!$B$32)/1000+'Inputs'!$B$21)+'Inputs'!$B$7)/SQRT((((118-43)*MAX('Inputs'!$B$33,'Inputs'!$B$29+'Inputs'!$B$31+'Inputs'!$B$32,'Inputs'!$B$30+'Inputs'!$B$31+'Inputs'!$B$32)/1000+'Inputs'!$B$21)+'Inputs'!$B$7)^2+('Inputs'!$B$6/2)^2)-(((118-43)*MAX('Inputs'!$B$33,'Inputs'!$B$29+'Inputs'!$B$31+'Inputs'!$B$32,'Inputs'!$B$30+'Inputs'!$B$31+'Inputs'!$B$32)/1000+'Inputs'!$B$21))/SQRT((((118-43)*MAX('Inputs'!$B$33,'Inputs'!$B$29+'Inputs'!$B$31+'Inputs'!$B$32,'Inputs'!$B$30+'Inputs'!$B$31+'Inputs'!$B$32)/1000+'Inputs'!$B$21))^2+('Inputs'!$B$6/2)^2)))-'Results'!C7*(0.5*((((118-43)*MAX('Inputs'!$B$33,'Inputs'!$B$29+'Inputs'!$B$31+'Inputs'!$B$32,'Inputs'!$B$30+'Inputs'!$B$31+'Inputs'!$B$32)/1000+'Inputs'!$B$21+'Inputs'!$B$7+'Inputs'!$B$10)+'Inputs'!$B$9)/SQRT((((118-43)*MAX('Inputs'!$B$33,'Inputs'!$B$29+'Inputs'!$B$31+'Inputs'!$B$32,'Inputs'!$B$30+'Inputs'!$B$31+'Inputs'!$B$32)/1000+'Inputs'!$B$21+'Inputs'!$B$7+'Inputs'!$B$10)+'Inputs'!$B$9)^2+('Inputs'!$B$8/2)^2)-(((118-43)*MAX('Inputs'!$B$33,'Inputs'!$B$29+'Inputs'!$B$31+'Inputs'!$B$32,'Inputs'!$B$30+'Inputs'!$B$31+'Inputs'!$B$32)/1000+'Inputs'!$B$21+'Inputs'!$B$7+'Inputs'!$B$10))/SQRT((((118-43)*MAX('Inputs'!$B$33,'Inputs'!$B$29+'Inputs'!$B$31+'Inputs'!$B$32,'Inputs'!$B$30+'Inputs'!$B$31+'Inputs'!$B$32)/1000+'Inputs'!$B$21+'Inputs'!$B$7+'Inputs'!$B$10))^2+('Inputs'!$B$8/2)^2))))*'Results'!$B$8),"")</x:f>
        <x:v>603.5310810374855</x:v>
      </x:c>
      <x:c r="K118" t="n">
        <x:f>IF(AND(ISNUMBER('Results'!B7),ISNUMBER('Results'!C7),ISNUMBER('Results'!$B$8),ISNUMBER('Inputs'!$B$6),ISNUMBER('Inputs'!$B$7),ISNUMBER('Inputs'!$B$8),ISNUMBER('Inputs'!$B$9),ISNUMBER('Inputs'!$B$10),ISNUMBER('Inputs'!$B$21),ISNUMBER('Inputs'!$B$24),ISNUMBER('Inputs'!$B$28)),((('Results'!B7*(1-'Inputs'!$B$24)*(0.5*((((118-43)*MAX('Inputs'!$B$33,'Inputs'!$B$29+'Inputs'!$B$31+'Inputs'!$B$32,'Inputs'!$B$30+'Inputs'!$B$31+'Inputs'!$B$32)/1000+'Inputs'!$B$21)+'Inputs'!$B$7)/SQRT((((118-43)*MAX('Inputs'!$B$33,'Inputs'!$B$29+'Inputs'!$B$31+'Inputs'!$B$32,'Inputs'!$B$30+'Inputs'!$B$31+'Inputs'!$B$32)/1000+'Inputs'!$B$21)+'Inputs'!$B$7)^2+('Inputs'!$B$6/2)^2)-(((118-43)*MAX('Inputs'!$B$33,'Inputs'!$B$29+'Inputs'!$B$31+'Inputs'!$B$32,'Inputs'!$B$30+'Inputs'!$B$31+'Inputs'!$B$32)/1000+'Inputs'!$B$21))/SQRT((((118-43)*MAX('Inputs'!$B$33,'Inputs'!$B$29+'Inputs'!$B$31+'Inputs'!$B$32,'Inputs'!$B$30+'Inputs'!$B$31+'Inputs'!$B$32)/1000+'Inputs'!$B$21))^2+('Inputs'!$B$6/2)^2)))-'Results'!C7*(1+'Inputs'!$B$24)*(0.5*((((118-43)*MAX('Inputs'!$B$33,'Inputs'!$B$29+'Inputs'!$B$31+'Inputs'!$B$32,'Inputs'!$B$30+'Inputs'!$B$31+'Inputs'!$B$32)/1000+'Inputs'!$B$21+'Inputs'!$B$7+'Inputs'!$B$10)+'Inputs'!$B$9)/SQRT((((118-43)*MAX('Inputs'!$B$33,'Inputs'!$B$29+'Inputs'!$B$31+'Inputs'!$B$32,'Inputs'!$B$30+'Inputs'!$B$31+'Inputs'!$B$32)/1000+'Inputs'!$B$21+'Inputs'!$B$7+'Inputs'!$B$10)+'Inputs'!$B$9)^2+('Inputs'!$B$8/2)^2)-(((118-43)*MAX('Inputs'!$B$33,'Inputs'!$B$29+'Inputs'!$B$31+'Inputs'!$B$32,'Inputs'!$B$30+'Inputs'!$B$31+'Inputs'!$B$32)/1000+'Inputs'!$B$21+'Inputs'!$B$7+'Inputs'!$B$10))/SQRT((((118-43)*MAX('Inputs'!$B$33,'Inputs'!$B$29+'Inputs'!$B$31+'Inputs'!$B$32,'Inputs'!$B$30+'Inputs'!$B$31+'Inputs'!$B$32)/1000+'Inputs'!$B$21+'Inputs'!$B$7+'Inputs'!$B$10))^2+('Inputs'!$B$8/2)^2))))*'Results'!$B$8)-'Inputs'!$B$28*ABS((('Results'!B7*(1-'Inputs'!$B$24)*(0.5*((((118-43)*MAX('Inputs'!$B$33,'Inputs'!$B$29+'Inputs'!$B$31+'Inputs'!$B$32,'Inputs'!$B$30+'Inputs'!$B$31+'Inputs'!$B$32)/1000+'Inputs'!$B$21)+'Inputs'!$B$7)/SQRT((((118-43)*MAX('Inputs'!$B$33,'Inputs'!$B$29+'Inputs'!$B$31+'Inputs'!$B$32,'Inputs'!$B$30+'Inputs'!$B$31+'Inputs'!$B$32)/1000+'Inputs'!$B$21)+'Inputs'!$B$7)^2+('Inputs'!$B$6/2)^2)-(((118-43)*MAX('Inputs'!$B$33,'Inputs'!$B$29+'Inputs'!$B$31+'Inputs'!$B$32,'Inputs'!$B$30+'Inputs'!$B$31+'Inputs'!$B$32)/1000+'Inputs'!$B$21))/SQRT((((118-43)*MAX('Inputs'!$B$33,'Inputs'!$B$29+'Inputs'!$B$31+'Inputs'!$B$32,'Inputs'!$B$30+'Inputs'!$B$31+'Inputs'!$B$32)/1000+'Inputs'!$B$21))^2+('Inputs'!$B$6/2)^2)))-'Results'!C7*(1+'Inputs'!$B$24)*(0.5*((((118-43)*MAX('Inputs'!$B$33,'Inputs'!$B$29+'Inputs'!$B$31+'Inputs'!$B$32,'Inputs'!$B$30+'Inputs'!$B$31+'Inputs'!$B$32)/1000+'Inputs'!$B$21+'Inputs'!$B$7+'Inputs'!$B$10)+'Inputs'!$B$9)/SQRT((((118-43)*MAX('Inputs'!$B$33,'Inputs'!$B$29+'Inputs'!$B$31+'Inputs'!$B$32,'Inputs'!$B$30+'Inputs'!$B$31+'Inputs'!$B$32)/1000+'Inputs'!$B$21+'Inputs'!$B$7+'Inputs'!$B$10)+'Inputs'!$B$9)^2+('Inputs'!$B$8/2)^2)-(((118-43)*MAX('Inputs'!$B$33,'Inputs'!$B$29+'Inputs'!$B$31+'Inputs'!$B$32,'Inputs'!$B$30+'Inputs'!$B$31+'Inputs'!$B$32)/1000+'Inputs'!$B$21+'Inputs'!$B$7+'Inputs'!$B$10))/SQRT((((118-43)*MAX('Inputs'!$B$33,'Inputs'!$B$29+'Inputs'!$B$31+'Inputs'!$B$32,'Inputs'!$B$30+'Inputs'!$B$31+'Inputs'!$B$32)/1000+'Inputs'!$B$21+'Inputs'!$B$7+'Inputs'!$B$10))^2+('Inputs'!$B$8/2)^2))))*'Results'!$B$8))),"")</x:f>
        <x:v>557.4232417279752</x:v>
      </x:c>
      <x:c r="L118" t="n">
        <x:f>IF(AND(ISNUMBER('Results'!B7),ISNUMBER('Results'!C7),ISNUMBER('Results'!$B$8),ISNUMBER('Inputs'!$B$6),ISNUMBER('Inputs'!$B$7),ISNUMBER('Inputs'!$B$8),ISNUMBER('Inputs'!$B$9),ISNUMBER('Inputs'!$B$10),ISNUMBER('Inputs'!$B$21),ISNUMBER('Inputs'!$B$24),ISNUMBER('Inputs'!$B$28)),((('Results'!B7*(1+'Inputs'!$B$24)*(0.5*((((118-43)*MAX('Inputs'!$B$33,'Inputs'!$B$29+'Inputs'!$B$31+'Inputs'!$B$32,'Inputs'!$B$30+'Inputs'!$B$31+'Inputs'!$B$32)/1000+'Inputs'!$B$21)+'Inputs'!$B$7)/SQRT((((118-43)*MAX('Inputs'!$B$33,'Inputs'!$B$29+'Inputs'!$B$31+'Inputs'!$B$32,'Inputs'!$B$30+'Inputs'!$B$31+'Inputs'!$B$32)/1000+'Inputs'!$B$21)+'Inputs'!$B$7)^2+('Inputs'!$B$6/2)^2)-(((118-43)*MAX('Inputs'!$B$33,'Inputs'!$B$29+'Inputs'!$B$31+'Inputs'!$B$32,'Inputs'!$B$30+'Inputs'!$B$31+'Inputs'!$B$32)/1000+'Inputs'!$B$21))/SQRT((((118-43)*MAX('Inputs'!$B$33,'Inputs'!$B$29+'Inputs'!$B$31+'Inputs'!$B$32,'Inputs'!$B$30+'Inputs'!$B$31+'Inputs'!$B$32)/1000+'Inputs'!$B$21))^2+('Inputs'!$B$6/2)^2)))-'Results'!C7*(1-'Inputs'!$B$24)*(0.5*((((118-43)*MAX('Inputs'!$B$33,'Inputs'!$B$29+'Inputs'!$B$31+'Inputs'!$B$32,'Inputs'!$B$30+'Inputs'!$B$31+'Inputs'!$B$32)/1000+'Inputs'!$B$21+'Inputs'!$B$7+'Inputs'!$B$10)+'Inputs'!$B$9)/SQRT((((118-43)*MAX('Inputs'!$B$33,'Inputs'!$B$29+'Inputs'!$B$31+'Inputs'!$B$32,'Inputs'!$B$30+'Inputs'!$B$31+'Inputs'!$B$32)/1000+'Inputs'!$B$21+'Inputs'!$B$7+'Inputs'!$B$10)+'Inputs'!$B$9)^2+('Inputs'!$B$8/2)^2)-(((118-43)*MAX('Inputs'!$B$33,'Inputs'!$B$29+'Inputs'!$B$31+'Inputs'!$B$32,'Inputs'!$B$30+'Inputs'!$B$31+'Inputs'!$B$32)/1000+'Inputs'!$B$21+'Inputs'!$B$7+'Inputs'!$B$10))/SQRT((((118-43)*MAX('Inputs'!$B$33,'Inputs'!$B$29+'Inputs'!$B$31+'Inputs'!$B$32,'Inputs'!$B$30+'Inputs'!$B$31+'Inputs'!$B$32)/1000+'Inputs'!$B$21+'Inputs'!$B$7+'Inputs'!$B$10))^2+('Inputs'!$B$8/2)^2))))*'Results'!$B$8)+'Inputs'!$B$28*ABS((('Results'!B7*(1+'Inputs'!$B$24)*(0.5*((((118-43)*MAX('Inputs'!$B$33,'Inputs'!$B$29+'Inputs'!$B$31+'Inputs'!$B$32,'Inputs'!$B$30+'Inputs'!$B$31+'Inputs'!$B$32)/1000+'Inputs'!$B$21)+'Inputs'!$B$7)/SQRT((((118-43)*MAX('Inputs'!$B$33,'Inputs'!$B$29+'Inputs'!$B$31+'Inputs'!$B$32,'Inputs'!$B$30+'Inputs'!$B$31+'Inputs'!$B$32)/1000+'Inputs'!$B$21)+'Inputs'!$B$7)^2+('Inputs'!$B$6/2)^2)-(((118-43)*MAX('Inputs'!$B$33,'Inputs'!$B$29+'Inputs'!$B$31+'Inputs'!$B$32,'Inputs'!$B$30+'Inputs'!$B$31+'Inputs'!$B$32)/1000+'Inputs'!$B$21))/SQRT((((118-43)*MAX('Inputs'!$B$33,'Inputs'!$B$29+'Inputs'!$B$31+'Inputs'!$B$32,'Inputs'!$B$30+'Inputs'!$B$31+'Inputs'!$B$32)/1000+'Inputs'!$B$21))^2+('Inputs'!$B$6/2)^2)))-'Results'!C7*(1-'Inputs'!$B$24)*(0.5*((((118-43)*MAX('Inputs'!$B$33,'Inputs'!$B$29+'Inputs'!$B$31+'Inputs'!$B$32,'Inputs'!$B$30+'Inputs'!$B$31+'Inputs'!$B$32)/1000+'Inputs'!$B$21+'Inputs'!$B$7+'Inputs'!$B$10)+'Inputs'!$B$9)/SQRT((((118-43)*MAX('Inputs'!$B$33,'Inputs'!$B$29+'Inputs'!$B$31+'Inputs'!$B$32,'Inputs'!$B$30+'Inputs'!$B$31+'Inputs'!$B$32)/1000+'Inputs'!$B$21+'Inputs'!$B$7+'Inputs'!$B$10)+'Inputs'!$B$9)^2+('Inputs'!$B$8/2)^2)-(((118-43)*MAX('Inputs'!$B$33,'Inputs'!$B$29+'Inputs'!$B$31+'Inputs'!$B$32,'Inputs'!$B$30+'Inputs'!$B$31+'Inputs'!$B$32)/1000+'Inputs'!$B$21+'Inputs'!$B$7+'Inputs'!$B$10))/SQRT((((118-43)*MAX('Inputs'!$B$33,'Inputs'!$B$29+'Inputs'!$B$31+'Inputs'!$B$32,'Inputs'!$B$30+'Inputs'!$B$31+'Inputs'!$B$32)/1000+'Inputs'!$B$21+'Inputs'!$B$7+'Inputs'!$B$10))^2+('Inputs'!$B$8/2)^2))))*'Results'!$B$8))),"")</x:f>
        <x:v>651.3158977425363</x:v>
      </x:c>
      <x:c r="M118" t="n">
        <x:f>IF(AND(ISNUMBER('Results'!C7),ISNUMBER('Results'!B7),ISNUMBER('Results'!$B$8),ISNUMBER('Inputs'!$B$6),ISNUMBER('Inputs'!$B$7),ISNUMBER('Inputs'!$B$8),ISNUMBER('Inputs'!$B$9),ISNUMBER('Inputs'!$B$10),ISNUMBER('Inputs'!$B$21),ISNUMBER('Inputs'!$B$24),ISNUMBER('Inputs'!$B$28)),(('Results'!C7*(0.5*((((118-43)*MAX('Inputs'!$B$33,'Inputs'!$B$29+'Inputs'!$B$31+'Inputs'!$B$32,'Inputs'!$B$30+'Inputs'!$B$31+'Inputs'!$B$32)/1000+'Inputs'!$B$21)+'Inputs'!$B$9)/SQRT((((118-43)*MAX('Inputs'!$B$33,'Inputs'!$B$29+'Inputs'!$B$31+'Inputs'!$B$32,'Inputs'!$B$30+'Inputs'!$B$31+'Inputs'!$B$32)/1000+'Inputs'!$B$21)+'Inputs'!$B$9)^2+('Inputs'!$B$8/2)^2)-(((118-43)*MAX('Inputs'!$B$33,'Inputs'!$B$29+'Inputs'!$B$31+'Inputs'!$B$32,'Inputs'!$B$30+'Inputs'!$B$31+'Inputs'!$B$32)/1000+'Inputs'!$B$21))/SQRT((((118-43)*MAX('Inputs'!$B$33,'Inputs'!$B$29+'Inputs'!$B$31+'Inputs'!$B$32,'Inputs'!$B$30+'Inputs'!$B$31+'Inputs'!$B$32)/1000+'Inputs'!$B$21))^2+('Inputs'!$B$8/2)^2)))-'Results'!B7*(0.5*((((118-43)*MAX('Inputs'!$B$33,'Inputs'!$B$29+'Inputs'!$B$31+'Inputs'!$B$32,'Inputs'!$B$30+'Inputs'!$B$31+'Inputs'!$B$32)/1000+'Inputs'!$B$21+'Inputs'!$B$9+'Inputs'!$B$10)+'Inputs'!$B$7)/SQRT((((118-43)*MAX('Inputs'!$B$33,'Inputs'!$B$29+'Inputs'!$B$31+'Inputs'!$B$32,'Inputs'!$B$30+'Inputs'!$B$31+'Inputs'!$B$32)/1000+'Inputs'!$B$21+'Inputs'!$B$9+'Inputs'!$B$10)+'Inputs'!$B$7)^2+('Inputs'!$B$6/2)^2)-(((118-43)*MAX('Inputs'!$B$33,'Inputs'!$B$29+'Inputs'!$B$31+'Inputs'!$B$32,'Inputs'!$B$30+'Inputs'!$B$31+'Inputs'!$B$32)/1000+'Inputs'!$B$21+'Inputs'!$B$9+'Inputs'!$B$10))/SQRT((((118-43)*MAX('Inputs'!$B$33,'Inputs'!$B$29+'Inputs'!$B$31+'Inputs'!$B$32,'Inputs'!$B$30+'Inputs'!$B$31+'Inputs'!$B$32)/1000+'Inputs'!$B$21+'Inputs'!$B$9+'Inputs'!$B$10))^2+('Inputs'!$B$6/2)^2))))*'Results'!$B$8),"")</x:f>
        <x:v>586.713356548052</x:v>
      </x:c>
      <x:c r="N118" t="n">
        <x:f>IF(AND(ISNUMBER('Results'!C7),ISNUMBER('Results'!B7),ISNUMBER('Results'!$B$8),ISNUMBER('Inputs'!$B$6),ISNUMBER('Inputs'!$B$7),ISNUMBER('Inputs'!$B$8),ISNUMBER('Inputs'!$B$9),ISNUMBER('Inputs'!$B$10),ISNUMBER('Inputs'!$B$21),ISNUMBER('Inputs'!$B$24),ISNUMBER('Inputs'!$B$28)),((('Results'!C7*(1-'Inputs'!$B$24)*(0.5*((((118-43)*MAX('Inputs'!$B$33,'Inputs'!$B$29+'Inputs'!$B$31+'Inputs'!$B$32,'Inputs'!$B$30+'Inputs'!$B$31+'Inputs'!$B$32)/1000+'Inputs'!$B$21)+'Inputs'!$B$9)/SQRT((((118-43)*MAX('Inputs'!$B$33,'Inputs'!$B$29+'Inputs'!$B$31+'Inputs'!$B$32,'Inputs'!$B$30+'Inputs'!$B$31+'Inputs'!$B$32)/1000+'Inputs'!$B$21)+'Inputs'!$B$9)^2+('Inputs'!$B$8/2)^2)-(((118-43)*MAX('Inputs'!$B$33,'Inputs'!$B$29+'Inputs'!$B$31+'Inputs'!$B$32,'Inputs'!$B$30+'Inputs'!$B$31+'Inputs'!$B$32)/1000+'Inputs'!$B$21))/SQRT((((118-43)*MAX('Inputs'!$B$33,'Inputs'!$B$29+'Inputs'!$B$31+'Inputs'!$B$32,'Inputs'!$B$30+'Inputs'!$B$31+'Inputs'!$B$32)/1000+'Inputs'!$B$21))^2+('Inputs'!$B$8/2)^2)))-'Results'!B7*(1+'Inputs'!$B$24)*(0.5*((((118-43)*MAX('Inputs'!$B$33,'Inputs'!$B$29+'Inputs'!$B$31+'Inputs'!$B$32,'Inputs'!$B$30+'Inputs'!$B$31+'Inputs'!$B$32)/1000+'Inputs'!$B$21+'Inputs'!$B$9+'Inputs'!$B$10)+'Inputs'!$B$7)/SQRT((((118-43)*MAX('Inputs'!$B$33,'Inputs'!$B$29+'Inputs'!$B$31+'Inputs'!$B$32,'Inputs'!$B$30+'Inputs'!$B$31+'Inputs'!$B$32)/1000+'Inputs'!$B$21+'Inputs'!$B$9+'Inputs'!$B$10)+'Inputs'!$B$7)^2+('Inputs'!$B$6/2)^2)-(((118-43)*MAX('Inputs'!$B$33,'Inputs'!$B$29+'Inputs'!$B$31+'Inputs'!$B$32,'Inputs'!$B$30+'Inputs'!$B$31+'Inputs'!$B$32)/1000+'Inputs'!$B$21+'Inputs'!$B$9+'Inputs'!$B$10))/SQRT((((118-43)*MAX('Inputs'!$B$33,'Inputs'!$B$29+'Inputs'!$B$31+'Inputs'!$B$32,'Inputs'!$B$30+'Inputs'!$B$31+'Inputs'!$B$32)/1000+'Inputs'!$B$21+'Inputs'!$B$9+'Inputs'!$B$10))^2+('Inputs'!$B$6/2)^2))))*'Results'!$B$8)-'Inputs'!$B$28*ABS((('Results'!C7*(1-'Inputs'!$B$24)*(0.5*((((118-43)*MAX('Inputs'!$B$33,'Inputs'!$B$29+'Inputs'!$B$31+'Inputs'!$B$32,'Inputs'!$B$30+'Inputs'!$B$31+'Inputs'!$B$32)/1000+'Inputs'!$B$21)+'Inputs'!$B$9)/SQRT((((118-43)*MAX('Inputs'!$B$33,'Inputs'!$B$29+'Inputs'!$B$31+'Inputs'!$B$32,'Inputs'!$B$30+'Inputs'!$B$31+'Inputs'!$B$32)/1000+'Inputs'!$B$21)+'Inputs'!$B$9)^2+('Inputs'!$B$8/2)^2)-(((118-43)*MAX('Inputs'!$B$33,'Inputs'!$B$29+'Inputs'!$B$31+'Inputs'!$B$32,'Inputs'!$B$30+'Inputs'!$B$31+'Inputs'!$B$32)/1000+'Inputs'!$B$21))/SQRT((((118-43)*MAX('Inputs'!$B$33,'Inputs'!$B$29+'Inputs'!$B$31+'Inputs'!$B$32,'Inputs'!$B$30+'Inputs'!$B$31+'Inputs'!$B$32)/1000+'Inputs'!$B$21))^2+('Inputs'!$B$8/2)^2)))-'Results'!B7*(1+'Inputs'!$B$24)*(0.5*((((118-43)*MAX('Inputs'!$B$33,'Inputs'!$B$29+'Inputs'!$B$31+'Inputs'!$B$32,'Inputs'!$B$30+'Inputs'!$B$31+'Inputs'!$B$32)/1000+'Inputs'!$B$21+'Inputs'!$B$9+'Inputs'!$B$10)+'Inputs'!$B$7)/SQRT((((118-43)*MAX('Inputs'!$B$33,'Inputs'!$B$29+'Inputs'!$B$31+'Inputs'!$B$32,'Inputs'!$B$30+'Inputs'!$B$31+'Inputs'!$B$32)/1000+'Inputs'!$B$21+'Inputs'!$B$9+'Inputs'!$B$10)+'Inputs'!$B$7)^2+('Inputs'!$B$6/2)^2)-(((118-43)*MAX('Inputs'!$B$33,'Inputs'!$B$29+'Inputs'!$B$31+'Inputs'!$B$32,'Inputs'!$B$30+'Inputs'!$B$31+'Inputs'!$B$32)/1000+'Inputs'!$B$21+'Inputs'!$B$9+'Inputs'!$B$10))/SQRT((((118-43)*MAX('Inputs'!$B$33,'Inputs'!$B$29+'Inputs'!$B$31+'Inputs'!$B$32,'Inputs'!$B$30+'Inputs'!$B$31+'Inputs'!$B$32)/1000+'Inputs'!$B$21+'Inputs'!$B$9+'Inputs'!$B$10))^2+('Inputs'!$B$6/2)^2))))*'Results'!$B$8))),"")</x:f>
        <x:v>541.674834213661</x:v>
      </x:c>
      <x:c r="O118" t="n">
        <x:f>IF(AND(ISNUMBER('Results'!C7),ISNUMBER('Results'!B7),ISNUMBER('Results'!$B$8),ISNUMBER('Inputs'!$B$6),ISNUMBER('Inputs'!$B$7),ISNUMBER('Inputs'!$B$8),ISNUMBER('Inputs'!$B$9),ISNUMBER('Inputs'!$B$10),ISNUMBER('Inputs'!$B$21),ISNUMBER('Inputs'!$B$24),ISNUMBER('Inputs'!$B$28)),((('Results'!C7*(1+'Inputs'!$B$24)*(0.5*((((118-43)*MAX('Inputs'!$B$33,'Inputs'!$B$29+'Inputs'!$B$31+'Inputs'!$B$32,'Inputs'!$B$30+'Inputs'!$B$31+'Inputs'!$B$32)/1000+'Inputs'!$B$21)+'Inputs'!$B$9)/SQRT((((118-43)*MAX('Inputs'!$B$33,'Inputs'!$B$29+'Inputs'!$B$31+'Inputs'!$B$32,'Inputs'!$B$30+'Inputs'!$B$31+'Inputs'!$B$32)/1000+'Inputs'!$B$21)+'Inputs'!$B$9)^2+('Inputs'!$B$8/2)^2)-(((118-43)*MAX('Inputs'!$B$33,'Inputs'!$B$29+'Inputs'!$B$31+'Inputs'!$B$32,'Inputs'!$B$30+'Inputs'!$B$31+'Inputs'!$B$32)/1000+'Inputs'!$B$21))/SQRT((((118-43)*MAX('Inputs'!$B$33,'Inputs'!$B$29+'Inputs'!$B$31+'Inputs'!$B$32,'Inputs'!$B$30+'Inputs'!$B$31+'Inputs'!$B$32)/1000+'Inputs'!$B$21))^2+('Inputs'!$B$8/2)^2)))-'Results'!B7*(1-'Inputs'!$B$24)*(0.5*((((118-43)*MAX('Inputs'!$B$33,'Inputs'!$B$29+'Inputs'!$B$31+'Inputs'!$B$32,'Inputs'!$B$30+'Inputs'!$B$31+'Inputs'!$B$32)/1000+'Inputs'!$B$21+'Inputs'!$B$9+'Inputs'!$B$10)+'Inputs'!$B$7)/SQRT((((118-43)*MAX('Inputs'!$B$33,'Inputs'!$B$29+'Inputs'!$B$31+'Inputs'!$B$32,'Inputs'!$B$30+'Inputs'!$B$31+'Inputs'!$B$32)/1000+'Inputs'!$B$21+'Inputs'!$B$9+'Inputs'!$B$10)+'Inputs'!$B$7)^2+('Inputs'!$B$6/2)^2)-(((118-43)*MAX('Inputs'!$B$33,'Inputs'!$B$29+'Inputs'!$B$31+'Inputs'!$B$32,'Inputs'!$B$30+'Inputs'!$B$31+'Inputs'!$B$32)/1000+'Inputs'!$B$21+'Inputs'!$B$9+'Inputs'!$B$10))/SQRT((((118-43)*MAX('Inputs'!$B$33,'Inputs'!$B$29+'Inputs'!$B$31+'Inputs'!$B$32,'Inputs'!$B$30+'Inputs'!$B$31+'Inputs'!$B$32)/1000+'Inputs'!$B$21+'Inputs'!$B$9+'Inputs'!$B$10))^2+('Inputs'!$B$6/2)^2))))*'Results'!$B$8)+'Inputs'!$B$28*ABS((('Results'!C7*(1+'Inputs'!$B$24)*(0.5*((((118-43)*MAX('Inputs'!$B$33,'Inputs'!$B$29+'Inputs'!$B$31+'Inputs'!$B$32,'Inputs'!$B$30+'Inputs'!$B$31+'Inputs'!$B$32)/1000+'Inputs'!$B$21)+'Inputs'!$B$9)/SQRT((((118-43)*MAX('Inputs'!$B$33,'Inputs'!$B$29+'Inputs'!$B$31+'Inputs'!$B$32,'Inputs'!$B$30+'Inputs'!$B$31+'Inputs'!$B$32)/1000+'Inputs'!$B$21)+'Inputs'!$B$9)^2+('Inputs'!$B$8/2)^2)-(((118-43)*MAX('Inputs'!$B$33,'Inputs'!$B$29+'Inputs'!$B$31+'Inputs'!$B$32,'Inputs'!$B$30+'Inputs'!$B$31+'Inputs'!$B$32)/1000+'Inputs'!$B$21))/SQRT((((118-43)*MAX('Inputs'!$B$33,'Inputs'!$B$29+'Inputs'!$B$31+'Inputs'!$B$32,'Inputs'!$B$30+'Inputs'!$B$31+'Inputs'!$B$32)/1000+'Inputs'!$B$21))^2+('Inputs'!$B$8/2)^2)))-'Results'!B7*(1-'Inputs'!$B$24)*(0.5*((((118-43)*MAX('Inputs'!$B$33,'Inputs'!$B$29+'Inputs'!$B$31+'Inputs'!$B$32,'Inputs'!$B$30+'Inputs'!$B$31+'Inputs'!$B$32)/1000+'Inputs'!$B$21+'Inputs'!$B$9+'Inputs'!$B$10)+'Inputs'!$B$7)/SQRT((((118-43)*MAX('Inputs'!$B$33,'Inputs'!$B$29+'Inputs'!$B$31+'Inputs'!$B$32,'Inputs'!$B$30+'Inputs'!$B$31+'Inputs'!$B$32)/1000+'Inputs'!$B$21+'Inputs'!$B$9+'Inputs'!$B$10)+'Inputs'!$B$7)^2+('Inputs'!$B$6/2)^2)-(((118-43)*MAX('Inputs'!$B$33,'Inputs'!$B$29+'Inputs'!$B$31+'Inputs'!$B$32,'Inputs'!$B$30+'Inputs'!$B$31+'Inputs'!$B$32)/1000+'Inputs'!$B$21+'Inputs'!$B$9+'Inputs'!$B$10))/SQRT((((118-43)*MAX('Inputs'!$B$33,'Inputs'!$B$29+'Inputs'!$B$31+'Inputs'!$B$32,'Inputs'!$B$30+'Inputs'!$B$31+'Inputs'!$B$32)/1000+'Inputs'!$B$21+'Inputs'!$B$9+'Inputs'!$B$10))^2+('Inputs'!$B$6/2)^2))))*'Results'!$B$8))),"")</x:f>
        <x:v>633.40481093581</x:v>
      </x:c>
      <x:c r="P118" t="n">
        <x:f>IF(AND(MAX(J118,J117)&gt;0,J118&gt;J117+0.00000001),1,0)</x:f>
        <x:v>0</x:v>
      </x:c>
      <x:c r="Q118" t="n">
        <x:f>IF(AND(MAX(K118,K117)&gt;0,K118&gt;K117+0.00000001),1,0)</x:f>
        <x:v>0</x:v>
      </x:c>
      <x:c r="R118" t="n">
        <x:f>IF(AND(MAX(L118,L117)&gt;0,L118&gt;L117+0.00000001),1,0)</x:f>
        <x:v>0</x:v>
      </x:c>
      <x:c r="S118" t="n">
        <x:f>IF(AND(MAX(M118,M117)&gt;0,M118&gt;M117+0.00000001),1,0)</x:f>
        <x:v>0</x:v>
      </x:c>
      <x:c r="T118" t="n">
        <x:f>IF(AND(MAX(N118,N117)&gt;0,N118&gt;N117+0.00000001),1,0)</x:f>
        <x:v>0</x:v>
      </x:c>
      <x:c r="U118" t="n">
        <x:f>IF(AND(MAX(O118,O117)&gt;0,O118&gt;O117+0.00000001),1,0)</x:f>
        <x:v>0</x:v>
      </x:c>
    </x:row>
    <x:row r="119">
      <x:c r="J119" t="n">
        <x:f>IF(AND(ISNUMBER('Results'!B7),ISNUMBER('Results'!C7),ISNUMBER('Results'!$B$8),ISNUMBER('Inputs'!$B$6),ISNUMBER('Inputs'!$B$7),ISNUMBER('Inputs'!$B$8),ISNUMBER('Inputs'!$B$9),ISNUMBER('Inputs'!$B$10),ISNUMBER('Inputs'!$B$21),ISNUMBER('Inputs'!$B$24),ISNUMBER('Inputs'!$B$28)),(('Results'!B7*(0.5*((((119-43)*MAX('Inputs'!$B$33,'Inputs'!$B$29+'Inputs'!$B$31+'Inputs'!$B$32,'Inputs'!$B$30+'Inputs'!$B$31+'Inputs'!$B$32)/1000+'Inputs'!$B$21)+'Inputs'!$B$7)/SQRT((((119-43)*MAX('Inputs'!$B$33,'Inputs'!$B$29+'Inputs'!$B$31+'Inputs'!$B$32,'Inputs'!$B$30+'Inputs'!$B$31+'Inputs'!$B$32)/1000+'Inputs'!$B$21)+'Inputs'!$B$7)^2+('Inputs'!$B$6/2)^2)-(((119-43)*MAX('Inputs'!$B$33,'Inputs'!$B$29+'Inputs'!$B$31+'Inputs'!$B$32,'Inputs'!$B$30+'Inputs'!$B$31+'Inputs'!$B$32)/1000+'Inputs'!$B$21))/SQRT((((119-43)*MAX('Inputs'!$B$33,'Inputs'!$B$29+'Inputs'!$B$31+'Inputs'!$B$32,'Inputs'!$B$30+'Inputs'!$B$31+'Inputs'!$B$32)/1000+'Inputs'!$B$21))^2+('Inputs'!$B$6/2)^2)))-'Results'!C7*(0.5*((((119-43)*MAX('Inputs'!$B$33,'Inputs'!$B$29+'Inputs'!$B$31+'Inputs'!$B$32,'Inputs'!$B$30+'Inputs'!$B$31+'Inputs'!$B$32)/1000+'Inputs'!$B$21+'Inputs'!$B$7+'Inputs'!$B$10)+'Inputs'!$B$9)/SQRT((((119-43)*MAX('Inputs'!$B$33,'Inputs'!$B$29+'Inputs'!$B$31+'Inputs'!$B$32,'Inputs'!$B$30+'Inputs'!$B$31+'Inputs'!$B$32)/1000+'Inputs'!$B$21+'Inputs'!$B$7+'Inputs'!$B$10)+'Inputs'!$B$9)^2+('Inputs'!$B$8/2)^2)-(((119-43)*MAX('Inputs'!$B$33,'Inputs'!$B$29+'Inputs'!$B$31+'Inputs'!$B$32,'Inputs'!$B$30+'Inputs'!$B$31+'Inputs'!$B$32)/1000+'Inputs'!$B$21+'Inputs'!$B$7+'Inputs'!$B$10))/SQRT((((119-43)*MAX('Inputs'!$B$33,'Inputs'!$B$29+'Inputs'!$B$31+'Inputs'!$B$32,'Inputs'!$B$30+'Inputs'!$B$31+'Inputs'!$B$32)/1000+'Inputs'!$B$21+'Inputs'!$B$7+'Inputs'!$B$10))^2+('Inputs'!$B$8/2)^2))))*'Results'!$B$8),"")</x:f>
        <x:v>591.744362276633</x:v>
      </x:c>
      <x:c r="K119" t="n">
        <x:f>IF(AND(ISNUMBER('Results'!B7),ISNUMBER('Results'!C7),ISNUMBER('Results'!$B$8),ISNUMBER('Inputs'!$B$6),ISNUMBER('Inputs'!$B$7),ISNUMBER('Inputs'!$B$8),ISNUMBER('Inputs'!$B$9),ISNUMBER('Inputs'!$B$10),ISNUMBER('Inputs'!$B$21),ISNUMBER('Inputs'!$B$24),ISNUMBER('Inputs'!$B$28)),((('Results'!B7*(1-'Inputs'!$B$24)*(0.5*((((119-43)*MAX('Inputs'!$B$33,'Inputs'!$B$29+'Inputs'!$B$31+'Inputs'!$B$32,'Inputs'!$B$30+'Inputs'!$B$31+'Inputs'!$B$32)/1000+'Inputs'!$B$21)+'Inputs'!$B$7)/SQRT((((119-43)*MAX('Inputs'!$B$33,'Inputs'!$B$29+'Inputs'!$B$31+'Inputs'!$B$32,'Inputs'!$B$30+'Inputs'!$B$31+'Inputs'!$B$32)/1000+'Inputs'!$B$21)+'Inputs'!$B$7)^2+('Inputs'!$B$6/2)^2)-(((119-43)*MAX('Inputs'!$B$33,'Inputs'!$B$29+'Inputs'!$B$31+'Inputs'!$B$32,'Inputs'!$B$30+'Inputs'!$B$31+'Inputs'!$B$32)/1000+'Inputs'!$B$21))/SQRT((((119-43)*MAX('Inputs'!$B$33,'Inputs'!$B$29+'Inputs'!$B$31+'Inputs'!$B$32,'Inputs'!$B$30+'Inputs'!$B$31+'Inputs'!$B$32)/1000+'Inputs'!$B$21))^2+('Inputs'!$B$6/2)^2)))-'Results'!C7*(1+'Inputs'!$B$24)*(0.5*((((119-43)*MAX('Inputs'!$B$33,'Inputs'!$B$29+'Inputs'!$B$31+'Inputs'!$B$32,'Inputs'!$B$30+'Inputs'!$B$31+'Inputs'!$B$32)/1000+'Inputs'!$B$21+'Inputs'!$B$7+'Inputs'!$B$10)+'Inputs'!$B$9)/SQRT((((119-43)*MAX('Inputs'!$B$33,'Inputs'!$B$29+'Inputs'!$B$31+'Inputs'!$B$32,'Inputs'!$B$30+'Inputs'!$B$31+'Inputs'!$B$32)/1000+'Inputs'!$B$21+'Inputs'!$B$7+'Inputs'!$B$10)+'Inputs'!$B$9)^2+('Inputs'!$B$8/2)^2)-(((119-43)*MAX('Inputs'!$B$33,'Inputs'!$B$29+'Inputs'!$B$31+'Inputs'!$B$32,'Inputs'!$B$30+'Inputs'!$B$31+'Inputs'!$B$32)/1000+'Inputs'!$B$21+'Inputs'!$B$7+'Inputs'!$B$10))/SQRT((((119-43)*MAX('Inputs'!$B$33,'Inputs'!$B$29+'Inputs'!$B$31+'Inputs'!$B$32,'Inputs'!$B$30+'Inputs'!$B$31+'Inputs'!$B$32)/1000+'Inputs'!$B$21+'Inputs'!$B$7+'Inputs'!$B$10))^2+('Inputs'!$B$8/2)^2))))*'Results'!$B$8)-'Inputs'!$B$28*ABS((('Results'!B7*(1-'Inputs'!$B$24)*(0.5*((((119-43)*MAX('Inputs'!$B$33,'Inputs'!$B$29+'Inputs'!$B$31+'Inputs'!$B$32,'Inputs'!$B$30+'Inputs'!$B$31+'Inputs'!$B$32)/1000+'Inputs'!$B$21)+'Inputs'!$B$7)/SQRT((((119-43)*MAX('Inputs'!$B$33,'Inputs'!$B$29+'Inputs'!$B$31+'Inputs'!$B$32,'Inputs'!$B$30+'Inputs'!$B$31+'Inputs'!$B$32)/1000+'Inputs'!$B$21)+'Inputs'!$B$7)^2+('Inputs'!$B$6/2)^2)-(((119-43)*MAX('Inputs'!$B$33,'Inputs'!$B$29+'Inputs'!$B$31+'Inputs'!$B$32,'Inputs'!$B$30+'Inputs'!$B$31+'Inputs'!$B$32)/1000+'Inputs'!$B$21))/SQRT((((119-43)*MAX('Inputs'!$B$33,'Inputs'!$B$29+'Inputs'!$B$31+'Inputs'!$B$32,'Inputs'!$B$30+'Inputs'!$B$31+'Inputs'!$B$32)/1000+'Inputs'!$B$21))^2+('Inputs'!$B$6/2)^2)))-'Results'!C7*(1+'Inputs'!$B$24)*(0.5*((((119-43)*MAX('Inputs'!$B$33,'Inputs'!$B$29+'Inputs'!$B$31+'Inputs'!$B$32,'Inputs'!$B$30+'Inputs'!$B$31+'Inputs'!$B$32)/1000+'Inputs'!$B$21+'Inputs'!$B$7+'Inputs'!$B$10)+'Inputs'!$B$9)/SQRT((((119-43)*MAX('Inputs'!$B$33,'Inputs'!$B$29+'Inputs'!$B$31+'Inputs'!$B$32,'Inputs'!$B$30+'Inputs'!$B$31+'Inputs'!$B$32)/1000+'Inputs'!$B$21+'Inputs'!$B$7+'Inputs'!$B$10)+'Inputs'!$B$9)^2+('Inputs'!$B$8/2)^2)-(((119-43)*MAX('Inputs'!$B$33,'Inputs'!$B$29+'Inputs'!$B$31+'Inputs'!$B$32,'Inputs'!$B$30+'Inputs'!$B$31+'Inputs'!$B$32)/1000+'Inputs'!$B$21+'Inputs'!$B$7+'Inputs'!$B$10))/SQRT((((119-43)*MAX('Inputs'!$B$33,'Inputs'!$B$29+'Inputs'!$B$31+'Inputs'!$B$32,'Inputs'!$B$30+'Inputs'!$B$31+'Inputs'!$B$32)/1000+'Inputs'!$B$21+'Inputs'!$B$7+'Inputs'!$B$10))^2+('Inputs'!$B$8/2)^2))))*'Results'!$B$8))),"")</x:f>
        <x:v>546.5056502134248</x:v>
      </x:c>
      <x:c r="L119" t="n">
        <x:f>IF(AND(ISNUMBER('Results'!B7),ISNUMBER('Results'!C7),ISNUMBER('Results'!$B$8),ISNUMBER('Inputs'!$B$6),ISNUMBER('Inputs'!$B$7),ISNUMBER('Inputs'!$B$8),ISNUMBER('Inputs'!$B$9),ISNUMBER('Inputs'!$B$10),ISNUMBER('Inputs'!$B$21),ISNUMBER('Inputs'!$B$24),ISNUMBER('Inputs'!$B$28)),((('Results'!B7*(1+'Inputs'!$B$24)*(0.5*((((119-43)*MAX('Inputs'!$B$33,'Inputs'!$B$29+'Inputs'!$B$31+'Inputs'!$B$32,'Inputs'!$B$30+'Inputs'!$B$31+'Inputs'!$B$32)/1000+'Inputs'!$B$21)+'Inputs'!$B$7)/SQRT((((119-43)*MAX('Inputs'!$B$33,'Inputs'!$B$29+'Inputs'!$B$31+'Inputs'!$B$32,'Inputs'!$B$30+'Inputs'!$B$31+'Inputs'!$B$32)/1000+'Inputs'!$B$21)+'Inputs'!$B$7)^2+('Inputs'!$B$6/2)^2)-(((119-43)*MAX('Inputs'!$B$33,'Inputs'!$B$29+'Inputs'!$B$31+'Inputs'!$B$32,'Inputs'!$B$30+'Inputs'!$B$31+'Inputs'!$B$32)/1000+'Inputs'!$B$21))/SQRT((((119-43)*MAX('Inputs'!$B$33,'Inputs'!$B$29+'Inputs'!$B$31+'Inputs'!$B$32,'Inputs'!$B$30+'Inputs'!$B$31+'Inputs'!$B$32)/1000+'Inputs'!$B$21))^2+('Inputs'!$B$6/2)^2)))-'Results'!C7*(1-'Inputs'!$B$24)*(0.5*((((119-43)*MAX('Inputs'!$B$33,'Inputs'!$B$29+'Inputs'!$B$31+'Inputs'!$B$32,'Inputs'!$B$30+'Inputs'!$B$31+'Inputs'!$B$32)/1000+'Inputs'!$B$21+'Inputs'!$B$7+'Inputs'!$B$10)+'Inputs'!$B$9)/SQRT((((119-43)*MAX('Inputs'!$B$33,'Inputs'!$B$29+'Inputs'!$B$31+'Inputs'!$B$32,'Inputs'!$B$30+'Inputs'!$B$31+'Inputs'!$B$32)/1000+'Inputs'!$B$21+'Inputs'!$B$7+'Inputs'!$B$10)+'Inputs'!$B$9)^2+('Inputs'!$B$8/2)^2)-(((119-43)*MAX('Inputs'!$B$33,'Inputs'!$B$29+'Inputs'!$B$31+'Inputs'!$B$32,'Inputs'!$B$30+'Inputs'!$B$31+'Inputs'!$B$32)/1000+'Inputs'!$B$21+'Inputs'!$B$7+'Inputs'!$B$10))/SQRT((((119-43)*MAX('Inputs'!$B$33,'Inputs'!$B$29+'Inputs'!$B$31+'Inputs'!$B$32,'Inputs'!$B$30+'Inputs'!$B$31+'Inputs'!$B$32)/1000+'Inputs'!$B$21+'Inputs'!$B$7+'Inputs'!$B$10))^2+('Inputs'!$B$8/2)^2))))*'Results'!$B$8)+'Inputs'!$B$28*ABS((('Results'!B7*(1+'Inputs'!$B$24)*(0.5*((((119-43)*MAX('Inputs'!$B$33,'Inputs'!$B$29+'Inputs'!$B$31+'Inputs'!$B$32,'Inputs'!$B$30+'Inputs'!$B$31+'Inputs'!$B$32)/1000+'Inputs'!$B$21)+'Inputs'!$B$7)/SQRT((((119-43)*MAX('Inputs'!$B$33,'Inputs'!$B$29+'Inputs'!$B$31+'Inputs'!$B$32,'Inputs'!$B$30+'Inputs'!$B$31+'Inputs'!$B$32)/1000+'Inputs'!$B$21)+'Inputs'!$B$7)^2+('Inputs'!$B$6/2)^2)-(((119-43)*MAX('Inputs'!$B$33,'Inputs'!$B$29+'Inputs'!$B$31+'Inputs'!$B$32,'Inputs'!$B$30+'Inputs'!$B$31+'Inputs'!$B$32)/1000+'Inputs'!$B$21))/SQRT((((119-43)*MAX('Inputs'!$B$33,'Inputs'!$B$29+'Inputs'!$B$31+'Inputs'!$B$32,'Inputs'!$B$30+'Inputs'!$B$31+'Inputs'!$B$32)/1000+'Inputs'!$B$21))^2+('Inputs'!$B$6/2)^2)))-'Results'!C7*(1-'Inputs'!$B$24)*(0.5*((((119-43)*MAX('Inputs'!$B$33,'Inputs'!$B$29+'Inputs'!$B$31+'Inputs'!$B$32,'Inputs'!$B$30+'Inputs'!$B$31+'Inputs'!$B$32)/1000+'Inputs'!$B$21+'Inputs'!$B$7+'Inputs'!$B$10)+'Inputs'!$B$9)/SQRT((((119-43)*MAX('Inputs'!$B$33,'Inputs'!$B$29+'Inputs'!$B$31+'Inputs'!$B$32,'Inputs'!$B$30+'Inputs'!$B$31+'Inputs'!$B$32)/1000+'Inputs'!$B$21+'Inputs'!$B$7+'Inputs'!$B$10)+'Inputs'!$B$9)^2+('Inputs'!$B$8/2)^2)-(((119-43)*MAX('Inputs'!$B$33,'Inputs'!$B$29+'Inputs'!$B$31+'Inputs'!$B$32,'Inputs'!$B$30+'Inputs'!$B$31+'Inputs'!$B$32)/1000+'Inputs'!$B$21+'Inputs'!$B$7+'Inputs'!$B$10))/SQRT((((119-43)*MAX('Inputs'!$B$33,'Inputs'!$B$29+'Inputs'!$B$31+'Inputs'!$B$32,'Inputs'!$B$30+'Inputs'!$B$31+'Inputs'!$B$32)/1000+'Inputs'!$B$21+'Inputs'!$B$7+'Inputs'!$B$10))^2+('Inputs'!$B$8/2)^2))))*'Results'!$B$8))),"")</x:f>
        <x:v>638.6306000187227</x:v>
      </x:c>
      <x:c r="M119" t="n">
        <x:f>IF(AND(ISNUMBER('Results'!C7),ISNUMBER('Results'!B7),ISNUMBER('Results'!$B$8),ISNUMBER('Inputs'!$B$6),ISNUMBER('Inputs'!$B$7),ISNUMBER('Inputs'!$B$8),ISNUMBER('Inputs'!$B$9),ISNUMBER('Inputs'!$B$10),ISNUMBER('Inputs'!$B$21),ISNUMBER('Inputs'!$B$24),ISNUMBER('Inputs'!$B$28)),(('Results'!C7*(0.5*((((119-43)*MAX('Inputs'!$B$33,'Inputs'!$B$29+'Inputs'!$B$31+'Inputs'!$B$32,'Inputs'!$B$30+'Inputs'!$B$31+'Inputs'!$B$32)/1000+'Inputs'!$B$21)+'Inputs'!$B$9)/SQRT((((119-43)*MAX('Inputs'!$B$33,'Inputs'!$B$29+'Inputs'!$B$31+'Inputs'!$B$32,'Inputs'!$B$30+'Inputs'!$B$31+'Inputs'!$B$32)/1000+'Inputs'!$B$21)+'Inputs'!$B$9)^2+('Inputs'!$B$8/2)^2)-(((119-43)*MAX('Inputs'!$B$33,'Inputs'!$B$29+'Inputs'!$B$31+'Inputs'!$B$32,'Inputs'!$B$30+'Inputs'!$B$31+'Inputs'!$B$32)/1000+'Inputs'!$B$21))/SQRT((((119-43)*MAX('Inputs'!$B$33,'Inputs'!$B$29+'Inputs'!$B$31+'Inputs'!$B$32,'Inputs'!$B$30+'Inputs'!$B$31+'Inputs'!$B$32)/1000+'Inputs'!$B$21))^2+('Inputs'!$B$8/2)^2)))-'Results'!B7*(0.5*((((119-43)*MAX('Inputs'!$B$33,'Inputs'!$B$29+'Inputs'!$B$31+'Inputs'!$B$32,'Inputs'!$B$30+'Inputs'!$B$31+'Inputs'!$B$32)/1000+'Inputs'!$B$21+'Inputs'!$B$9+'Inputs'!$B$10)+'Inputs'!$B$7)/SQRT((((119-43)*MAX('Inputs'!$B$33,'Inputs'!$B$29+'Inputs'!$B$31+'Inputs'!$B$32,'Inputs'!$B$30+'Inputs'!$B$31+'Inputs'!$B$32)/1000+'Inputs'!$B$21+'Inputs'!$B$9+'Inputs'!$B$10)+'Inputs'!$B$7)^2+('Inputs'!$B$6/2)^2)-(((119-43)*MAX('Inputs'!$B$33,'Inputs'!$B$29+'Inputs'!$B$31+'Inputs'!$B$32,'Inputs'!$B$30+'Inputs'!$B$31+'Inputs'!$B$32)/1000+'Inputs'!$B$21+'Inputs'!$B$9+'Inputs'!$B$10))/SQRT((((119-43)*MAX('Inputs'!$B$33,'Inputs'!$B$29+'Inputs'!$B$31+'Inputs'!$B$32,'Inputs'!$B$30+'Inputs'!$B$31+'Inputs'!$B$32)/1000+'Inputs'!$B$21+'Inputs'!$B$9+'Inputs'!$B$10))^2+('Inputs'!$B$6/2)^2))))*'Results'!$B$8),"")</x:f>
        <x:v>575.2217547781903</x:v>
      </x:c>
      <x:c r="N119" t="n">
        <x:f>IF(AND(ISNUMBER('Results'!C7),ISNUMBER('Results'!B7),ISNUMBER('Results'!$B$8),ISNUMBER('Inputs'!$B$6),ISNUMBER('Inputs'!$B$7),ISNUMBER('Inputs'!$B$8),ISNUMBER('Inputs'!$B$9),ISNUMBER('Inputs'!$B$10),ISNUMBER('Inputs'!$B$21),ISNUMBER('Inputs'!$B$24),ISNUMBER('Inputs'!$B$28)),((('Results'!C7*(1-'Inputs'!$B$24)*(0.5*((((119-43)*MAX('Inputs'!$B$33,'Inputs'!$B$29+'Inputs'!$B$31+'Inputs'!$B$32,'Inputs'!$B$30+'Inputs'!$B$31+'Inputs'!$B$32)/1000+'Inputs'!$B$21)+'Inputs'!$B$9)/SQRT((((119-43)*MAX('Inputs'!$B$33,'Inputs'!$B$29+'Inputs'!$B$31+'Inputs'!$B$32,'Inputs'!$B$30+'Inputs'!$B$31+'Inputs'!$B$32)/1000+'Inputs'!$B$21)+'Inputs'!$B$9)^2+('Inputs'!$B$8/2)^2)-(((119-43)*MAX('Inputs'!$B$33,'Inputs'!$B$29+'Inputs'!$B$31+'Inputs'!$B$32,'Inputs'!$B$30+'Inputs'!$B$31+'Inputs'!$B$32)/1000+'Inputs'!$B$21))/SQRT((((119-43)*MAX('Inputs'!$B$33,'Inputs'!$B$29+'Inputs'!$B$31+'Inputs'!$B$32,'Inputs'!$B$30+'Inputs'!$B$31+'Inputs'!$B$32)/1000+'Inputs'!$B$21))^2+('Inputs'!$B$8/2)^2)))-'Results'!B7*(1+'Inputs'!$B$24)*(0.5*((((119-43)*MAX('Inputs'!$B$33,'Inputs'!$B$29+'Inputs'!$B$31+'Inputs'!$B$32,'Inputs'!$B$30+'Inputs'!$B$31+'Inputs'!$B$32)/1000+'Inputs'!$B$21+'Inputs'!$B$9+'Inputs'!$B$10)+'Inputs'!$B$7)/SQRT((((119-43)*MAX('Inputs'!$B$33,'Inputs'!$B$29+'Inputs'!$B$31+'Inputs'!$B$32,'Inputs'!$B$30+'Inputs'!$B$31+'Inputs'!$B$32)/1000+'Inputs'!$B$21+'Inputs'!$B$9+'Inputs'!$B$10)+'Inputs'!$B$7)^2+('Inputs'!$B$6/2)^2)-(((119-43)*MAX('Inputs'!$B$33,'Inputs'!$B$29+'Inputs'!$B$31+'Inputs'!$B$32,'Inputs'!$B$30+'Inputs'!$B$31+'Inputs'!$B$32)/1000+'Inputs'!$B$21+'Inputs'!$B$9+'Inputs'!$B$10))/SQRT((((119-43)*MAX('Inputs'!$B$33,'Inputs'!$B$29+'Inputs'!$B$31+'Inputs'!$B$32,'Inputs'!$B$30+'Inputs'!$B$31+'Inputs'!$B$32)/1000+'Inputs'!$B$21+'Inputs'!$B$9+'Inputs'!$B$10))^2+('Inputs'!$B$6/2)^2))))*'Results'!$B$8)-'Inputs'!$B$28*ABS((('Results'!C7*(1-'Inputs'!$B$24)*(0.5*((((119-43)*MAX('Inputs'!$B$33,'Inputs'!$B$29+'Inputs'!$B$31+'Inputs'!$B$32,'Inputs'!$B$30+'Inputs'!$B$31+'Inputs'!$B$32)/1000+'Inputs'!$B$21)+'Inputs'!$B$9)/SQRT((((119-43)*MAX('Inputs'!$B$33,'Inputs'!$B$29+'Inputs'!$B$31+'Inputs'!$B$32,'Inputs'!$B$30+'Inputs'!$B$31+'Inputs'!$B$32)/1000+'Inputs'!$B$21)+'Inputs'!$B$9)^2+('Inputs'!$B$8/2)^2)-(((119-43)*MAX('Inputs'!$B$33,'Inputs'!$B$29+'Inputs'!$B$31+'Inputs'!$B$32,'Inputs'!$B$30+'Inputs'!$B$31+'Inputs'!$B$32)/1000+'Inputs'!$B$21))/SQRT((((119-43)*MAX('Inputs'!$B$33,'Inputs'!$B$29+'Inputs'!$B$31+'Inputs'!$B$32,'Inputs'!$B$30+'Inputs'!$B$31+'Inputs'!$B$32)/1000+'Inputs'!$B$21))^2+('Inputs'!$B$8/2)^2)))-'Results'!B7*(1+'Inputs'!$B$24)*(0.5*((((119-43)*MAX('Inputs'!$B$33,'Inputs'!$B$29+'Inputs'!$B$31+'Inputs'!$B$32,'Inputs'!$B$30+'Inputs'!$B$31+'Inputs'!$B$32)/1000+'Inputs'!$B$21+'Inputs'!$B$9+'Inputs'!$B$10)+'Inputs'!$B$7)/SQRT((((119-43)*MAX('Inputs'!$B$33,'Inputs'!$B$29+'Inputs'!$B$31+'Inputs'!$B$32,'Inputs'!$B$30+'Inputs'!$B$31+'Inputs'!$B$32)/1000+'Inputs'!$B$21+'Inputs'!$B$9+'Inputs'!$B$10)+'Inputs'!$B$7)^2+('Inputs'!$B$6/2)^2)-(((119-43)*MAX('Inputs'!$B$33,'Inputs'!$B$29+'Inputs'!$B$31+'Inputs'!$B$32,'Inputs'!$B$30+'Inputs'!$B$31+'Inputs'!$B$32)/1000+'Inputs'!$B$21+'Inputs'!$B$9+'Inputs'!$B$10))/SQRT((((119-43)*MAX('Inputs'!$B$33,'Inputs'!$B$29+'Inputs'!$B$31+'Inputs'!$B$32,'Inputs'!$B$30+'Inputs'!$B$31+'Inputs'!$B$32)/1000+'Inputs'!$B$21+'Inputs'!$B$9+'Inputs'!$B$10))^2+('Inputs'!$B$6/2)^2))))*'Results'!$B$8))),"")</x:f>
        <x:v>531.0331362840866</x:v>
      </x:c>
      <x:c r="O119" t="n">
        <x:f>IF(AND(ISNUMBER('Results'!C7),ISNUMBER('Results'!B7),ISNUMBER('Results'!$B$8),ISNUMBER('Inputs'!$B$6),ISNUMBER('Inputs'!$B$7),ISNUMBER('Inputs'!$B$8),ISNUMBER('Inputs'!$B$9),ISNUMBER('Inputs'!$B$10),ISNUMBER('Inputs'!$B$21),ISNUMBER('Inputs'!$B$24),ISNUMBER('Inputs'!$B$28)),((('Results'!C7*(1+'Inputs'!$B$24)*(0.5*((((119-43)*MAX('Inputs'!$B$33,'Inputs'!$B$29+'Inputs'!$B$31+'Inputs'!$B$32,'Inputs'!$B$30+'Inputs'!$B$31+'Inputs'!$B$32)/1000+'Inputs'!$B$21)+'Inputs'!$B$9)/SQRT((((119-43)*MAX('Inputs'!$B$33,'Inputs'!$B$29+'Inputs'!$B$31+'Inputs'!$B$32,'Inputs'!$B$30+'Inputs'!$B$31+'Inputs'!$B$32)/1000+'Inputs'!$B$21)+'Inputs'!$B$9)^2+('Inputs'!$B$8/2)^2)-(((119-43)*MAX('Inputs'!$B$33,'Inputs'!$B$29+'Inputs'!$B$31+'Inputs'!$B$32,'Inputs'!$B$30+'Inputs'!$B$31+'Inputs'!$B$32)/1000+'Inputs'!$B$21))/SQRT((((119-43)*MAX('Inputs'!$B$33,'Inputs'!$B$29+'Inputs'!$B$31+'Inputs'!$B$32,'Inputs'!$B$30+'Inputs'!$B$31+'Inputs'!$B$32)/1000+'Inputs'!$B$21))^2+('Inputs'!$B$8/2)^2)))-'Results'!B7*(1-'Inputs'!$B$24)*(0.5*((((119-43)*MAX('Inputs'!$B$33,'Inputs'!$B$29+'Inputs'!$B$31+'Inputs'!$B$32,'Inputs'!$B$30+'Inputs'!$B$31+'Inputs'!$B$32)/1000+'Inputs'!$B$21+'Inputs'!$B$9+'Inputs'!$B$10)+'Inputs'!$B$7)/SQRT((((119-43)*MAX('Inputs'!$B$33,'Inputs'!$B$29+'Inputs'!$B$31+'Inputs'!$B$32,'Inputs'!$B$30+'Inputs'!$B$31+'Inputs'!$B$32)/1000+'Inputs'!$B$21+'Inputs'!$B$9+'Inputs'!$B$10)+'Inputs'!$B$7)^2+('Inputs'!$B$6/2)^2)-(((119-43)*MAX('Inputs'!$B$33,'Inputs'!$B$29+'Inputs'!$B$31+'Inputs'!$B$32,'Inputs'!$B$30+'Inputs'!$B$31+'Inputs'!$B$32)/1000+'Inputs'!$B$21+'Inputs'!$B$9+'Inputs'!$B$10))/SQRT((((119-43)*MAX('Inputs'!$B$33,'Inputs'!$B$29+'Inputs'!$B$31+'Inputs'!$B$32,'Inputs'!$B$30+'Inputs'!$B$31+'Inputs'!$B$32)/1000+'Inputs'!$B$21+'Inputs'!$B$9+'Inputs'!$B$10))^2+('Inputs'!$B$6/2)^2))))*'Results'!$B$8)+'Inputs'!$B$28*ABS((('Results'!C7*(1+'Inputs'!$B$24)*(0.5*((((119-43)*MAX('Inputs'!$B$33,'Inputs'!$B$29+'Inputs'!$B$31+'Inputs'!$B$32,'Inputs'!$B$30+'Inputs'!$B$31+'Inputs'!$B$32)/1000+'Inputs'!$B$21)+'Inputs'!$B$9)/SQRT((((119-43)*MAX('Inputs'!$B$33,'Inputs'!$B$29+'Inputs'!$B$31+'Inputs'!$B$32,'Inputs'!$B$30+'Inputs'!$B$31+'Inputs'!$B$32)/1000+'Inputs'!$B$21)+'Inputs'!$B$9)^2+('Inputs'!$B$8/2)^2)-(((119-43)*MAX('Inputs'!$B$33,'Inputs'!$B$29+'Inputs'!$B$31+'Inputs'!$B$32,'Inputs'!$B$30+'Inputs'!$B$31+'Inputs'!$B$32)/1000+'Inputs'!$B$21))/SQRT((((119-43)*MAX('Inputs'!$B$33,'Inputs'!$B$29+'Inputs'!$B$31+'Inputs'!$B$32,'Inputs'!$B$30+'Inputs'!$B$31+'Inputs'!$B$32)/1000+'Inputs'!$B$21))^2+('Inputs'!$B$8/2)^2)))-'Results'!B7*(1-'Inputs'!$B$24)*(0.5*((((119-43)*MAX('Inputs'!$B$33,'Inputs'!$B$29+'Inputs'!$B$31+'Inputs'!$B$32,'Inputs'!$B$30+'Inputs'!$B$31+'Inputs'!$B$32)/1000+'Inputs'!$B$21+'Inputs'!$B$9+'Inputs'!$B$10)+'Inputs'!$B$7)/SQRT((((119-43)*MAX('Inputs'!$B$33,'Inputs'!$B$29+'Inputs'!$B$31+'Inputs'!$B$32,'Inputs'!$B$30+'Inputs'!$B$31+'Inputs'!$B$32)/1000+'Inputs'!$B$21+'Inputs'!$B$9+'Inputs'!$B$10)+'Inputs'!$B$7)^2+('Inputs'!$B$6/2)^2)-(((119-43)*MAX('Inputs'!$B$33,'Inputs'!$B$29+'Inputs'!$B$31+'Inputs'!$B$32,'Inputs'!$B$30+'Inputs'!$B$31+'Inputs'!$B$32)/1000+'Inputs'!$B$21+'Inputs'!$B$9+'Inputs'!$B$10))/SQRT((((119-43)*MAX('Inputs'!$B$33,'Inputs'!$B$29+'Inputs'!$B$31+'Inputs'!$B$32,'Inputs'!$B$30+'Inputs'!$B$31+'Inputs'!$B$32)/1000+'Inputs'!$B$21+'Inputs'!$B$9+'Inputs'!$B$10))^2+('Inputs'!$B$6/2)^2))))*'Results'!$B$8))),"")</x:f>
        <x:v>621.034323878104</x:v>
      </x:c>
      <x:c r="P119" t="n">
        <x:f>IF(AND(MAX(J119,J118)&gt;0,J119&gt;J118+0.00000001),1,0)</x:f>
        <x:v>0</x:v>
      </x:c>
      <x:c r="Q119" t="n">
        <x:f>IF(AND(MAX(K119,K118)&gt;0,K119&gt;K118+0.00000001),1,0)</x:f>
        <x:v>0</x:v>
      </x:c>
      <x:c r="R119" t="n">
        <x:f>IF(AND(MAX(L119,L118)&gt;0,L119&gt;L118+0.00000001),1,0)</x:f>
        <x:v>0</x:v>
      </x:c>
      <x:c r="S119" t="n">
        <x:f>IF(AND(MAX(M119,M118)&gt;0,M119&gt;M118+0.00000001),1,0)</x:f>
        <x:v>0</x:v>
      </x:c>
      <x:c r="T119" t="n">
        <x:f>IF(AND(MAX(N119,N118)&gt;0,N119&gt;N118+0.00000001),1,0)</x:f>
        <x:v>0</x:v>
      </x:c>
      <x:c r="U119" t="n">
        <x:f>IF(AND(MAX(O119,O118)&gt;0,O119&gt;O118+0.00000001),1,0)</x:f>
        <x:v>0</x:v>
      </x:c>
    </x:row>
    <x:row r="120">
      <x:c r="J120" t="n">
        <x:f>IF(AND(ISNUMBER('Results'!B7),ISNUMBER('Results'!C7),ISNUMBER('Results'!$B$8),ISNUMBER('Inputs'!$B$6),ISNUMBER('Inputs'!$B$7),ISNUMBER('Inputs'!$B$8),ISNUMBER('Inputs'!$B$9),ISNUMBER('Inputs'!$B$10),ISNUMBER('Inputs'!$B$21),ISNUMBER('Inputs'!$B$24),ISNUMBER('Inputs'!$B$28)),(('Results'!B7*(0.5*((((120-43)*MAX('Inputs'!$B$33,'Inputs'!$B$29+'Inputs'!$B$31+'Inputs'!$B$32,'Inputs'!$B$30+'Inputs'!$B$31+'Inputs'!$B$32)/1000+'Inputs'!$B$21)+'Inputs'!$B$7)/SQRT((((120-43)*MAX('Inputs'!$B$33,'Inputs'!$B$29+'Inputs'!$B$31+'Inputs'!$B$32,'Inputs'!$B$30+'Inputs'!$B$31+'Inputs'!$B$32)/1000+'Inputs'!$B$21)+'Inputs'!$B$7)^2+('Inputs'!$B$6/2)^2)-(((120-43)*MAX('Inputs'!$B$33,'Inputs'!$B$29+'Inputs'!$B$31+'Inputs'!$B$32,'Inputs'!$B$30+'Inputs'!$B$31+'Inputs'!$B$32)/1000+'Inputs'!$B$21))/SQRT((((120-43)*MAX('Inputs'!$B$33,'Inputs'!$B$29+'Inputs'!$B$31+'Inputs'!$B$32,'Inputs'!$B$30+'Inputs'!$B$31+'Inputs'!$B$32)/1000+'Inputs'!$B$21))^2+('Inputs'!$B$6/2)^2)))-'Results'!C7*(0.5*((((120-43)*MAX('Inputs'!$B$33,'Inputs'!$B$29+'Inputs'!$B$31+'Inputs'!$B$32,'Inputs'!$B$30+'Inputs'!$B$31+'Inputs'!$B$32)/1000+'Inputs'!$B$21+'Inputs'!$B$7+'Inputs'!$B$10)+'Inputs'!$B$9)/SQRT((((120-43)*MAX('Inputs'!$B$33,'Inputs'!$B$29+'Inputs'!$B$31+'Inputs'!$B$32,'Inputs'!$B$30+'Inputs'!$B$31+'Inputs'!$B$32)/1000+'Inputs'!$B$21+'Inputs'!$B$7+'Inputs'!$B$10)+'Inputs'!$B$9)^2+('Inputs'!$B$8/2)^2)-(((120-43)*MAX('Inputs'!$B$33,'Inputs'!$B$29+'Inputs'!$B$31+'Inputs'!$B$32,'Inputs'!$B$30+'Inputs'!$B$31+'Inputs'!$B$32)/1000+'Inputs'!$B$21+'Inputs'!$B$7+'Inputs'!$B$10))/SQRT((((120-43)*MAX('Inputs'!$B$33,'Inputs'!$B$29+'Inputs'!$B$31+'Inputs'!$B$32,'Inputs'!$B$30+'Inputs'!$B$31+'Inputs'!$B$32)/1000+'Inputs'!$B$21+'Inputs'!$B$7+'Inputs'!$B$10))^2+('Inputs'!$B$8/2)^2))))*'Results'!$B$8),"")</x:f>
        <x:v>580.1970104283523</x:v>
      </x:c>
      <x:c r="K120" t="n">
        <x:f>IF(AND(ISNUMBER('Results'!B7),ISNUMBER('Results'!C7),ISNUMBER('Results'!$B$8),ISNUMBER('Inputs'!$B$6),ISNUMBER('Inputs'!$B$7),ISNUMBER('Inputs'!$B$8),ISNUMBER('Inputs'!$B$9),ISNUMBER('Inputs'!$B$10),ISNUMBER('Inputs'!$B$21),ISNUMBER('Inputs'!$B$24),ISNUMBER('Inputs'!$B$28)),((('Results'!B7*(1-'Inputs'!$B$24)*(0.5*((((120-43)*MAX('Inputs'!$B$33,'Inputs'!$B$29+'Inputs'!$B$31+'Inputs'!$B$32,'Inputs'!$B$30+'Inputs'!$B$31+'Inputs'!$B$32)/1000+'Inputs'!$B$21)+'Inputs'!$B$7)/SQRT((((120-43)*MAX('Inputs'!$B$33,'Inputs'!$B$29+'Inputs'!$B$31+'Inputs'!$B$32,'Inputs'!$B$30+'Inputs'!$B$31+'Inputs'!$B$32)/1000+'Inputs'!$B$21)+'Inputs'!$B$7)^2+('Inputs'!$B$6/2)^2)-(((120-43)*MAX('Inputs'!$B$33,'Inputs'!$B$29+'Inputs'!$B$31+'Inputs'!$B$32,'Inputs'!$B$30+'Inputs'!$B$31+'Inputs'!$B$32)/1000+'Inputs'!$B$21))/SQRT((((120-43)*MAX('Inputs'!$B$33,'Inputs'!$B$29+'Inputs'!$B$31+'Inputs'!$B$32,'Inputs'!$B$30+'Inputs'!$B$31+'Inputs'!$B$32)/1000+'Inputs'!$B$21))^2+('Inputs'!$B$6/2)^2)))-'Results'!C7*(1+'Inputs'!$B$24)*(0.5*((((120-43)*MAX('Inputs'!$B$33,'Inputs'!$B$29+'Inputs'!$B$31+'Inputs'!$B$32,'Inputs'!$B$30+'Inputs'!$B$31+'Inputs'!$B$32)/1000+'Inputs'!$B$21+'Inputs'!$B$7+'Inputs'!$B$10)+'Inputs'!$B$9)/SQRT((((120-43)*MAX('Inputs'!$B$33,'Inputs'!$B$29+'Inputs'!$B$31+'Inputs'!$B$32,'Inputs'!$B$30+'Inputs'!$B$31+'Inputs'!$B$32)/1000+'Inputs'!$B$21+'Inputs'!$B$7+'Inputs'!$B$10)+'Inputs'!$B$9)^2+('Inputs'!$B$8/2)^2)-(((120-43)*MAX('Inputs'!$B$33,'Inputs'!$B$29+'Inputs'!$B$31+'Inputs'!$B$32,'Inputs'!$B$30+'Inputs'!$B$31+'Inputs'!$B$32)/1000+'Inputs'!$B$21+'Inputs'!$B$7+'Inputs'!$B$10))/SQRT((((120-43)*MAX('Inputs'!$B$33,'Inputs'!$B$29+'Inputs'!$B$31+'Inputs'!$B$32,'Inputs'!$B$30+'Inputs'!$B$31+'Inputs'!$B$32)/1000+'Inputs'!$B$21+'Inputs'!$B$7+'Inputs'!$B$10))^2+('Inputs'!$B$8/2)^2))))*'Results'!$B$8)-'Inputs'!$B$28*ABS((('Results'!B7*(1-'Inputs'!$B$24)*(0.5*((((120-43)*MAX('Inputs'!$B$33,'Inputs'!$B$29+'Inputs'!$B$31+'Inputs'!$B$32,'Inputs'!$B$30+'Inputs'!$B$31+'Inputs'!$B$32)/1000+'Inputs'!$B$21)+'Inputs'!$B$7)/SQRT((((120-43)*MAX('Inputs'!$B$33,'Inputs'!$B$29+'Inputs'!$B$31+'Inputs'!$B$32,'Inputs'!$B$30+'Inputs'!$B$31+'Inputs'!$B$32)/1000+'Inputs'!$B$21)+'Inputs'!$B$7)^2+('Inputs'!$B$6/2)^2)-(((120-43)*MAX('Inputs'!$B$33,'Inputs'!$B$29+'Inputs'!$B$31+'Inputs'!$B$32,'Inputs'!$B$30+'Inputs'!$B$31+'Inputs'!$B$32)/1000+'Inputs'!$B$21))/SQRT((((120-43)*MAX('Inputs'!$B$33,'Inputs'!$B$29+'Inputs'!$B$31+'Inputs'!$B$32,'Inputs'!$B$30+'Inputs'!$B$31+'Inputs'!$B$32)/1000+'Inputs'!$B$21))^2+('Inputs'!$B$6/2)^2)))-'Results'!C7*(1+'Inputs'!$B$24)*(0.5*((((120-43)*MAX('Inputs'!$B$33,'Inputs'!$B$29+'Inputs'!$B$31+'Inputs'!$B$32,'Inputs'!$B$30+'Inputs'!$B$31+'Inputs'!$B$32)/1000+'Inputs'!$B$21+'Inputs'!$B$7+'Inputs'!$B$10)+'Inputs'!$B$9)/SQRT((((120-43)*MAX('Inputs'!$B$33,'Inputs'!$B$29+'Inputs'!$B$31+'Inputs'!$B$32,'Inputs'!$B$30+'Inputs'!$B$31+'Inputs'!$B$32)/1000+'Inputs'!$B$21+'Inputs'!$B$7+'Inputs'!$B$10)+'Inputs'!$B$9)^2+('Inputs'!$B$8/2)^2)-(((120-43)*MAX('Inputs'!$B$33,'Inputs'!$B$29+'Inputs'!$B$31+'Inputs'!$B$32,'Inputs'!$B$30+'Inputs'!$B$31+'Inputs'!$B$32)/1000+'Inputs'!$B$21+'Inputs'!$B$7+'Inputs'!$B$10))/SQRT((((120-43)*MAX('Inputs'!$B$33,'Inputs'!$B$29+'Inputs'!$B$31+'Inputs'!$B$32,'Inputs'!$B$30+'Inputs'!$B$31+'Inputs'!$B$32)/1000+'Inputs'!$B$21+'Inputs'!$B$7+'Inputs'!$B$10))^2+('Inputs'!$B$8/2)^2))))*'Results'!$B$8))),"")</x:f>
        <x:v>535.8100138296405</x:v>
      </x:c>
      <x:c r="L120" t="n">
        <x:f>IF(AND(ISNUMBER('Results'!B7),ISNUMBER('Results'!C7),ISNUMBER('Results'!$B$8),ISNUMBER('Inputs'!$B$6),ISNUMBER('Inputs'!$B$7),ISNUMBER('Inputs'!$B$8),ISNUMBER('Inputs'!$B$9),ISNUMBER('Inputs'!$B$10),ISNUMBER('Inputs'!$B$21),ISNUMBER('Inputs'!$B$24),ISNUMBER('Inputs'!$B$28)),((('Results'!B7*(1+'Inputs'!$B$24)*(0.5*((((120-43)*MAX('Inputs'!$B$33,'Inputs'!$B$29+'Inputs'!$B$31+'Inputs'!$B$32,'Inputs'!$B$30+'Inputs'!$B$31+'Inputs'!$B$32)/1000+'Inputs'!$B$21)+'Inputs'!$B$7)/SQRT((((120-43)*MAX('Inputs'!$B$33,'Inputs'!$B$29+'Inputs'!$B$31+'Inputs'!$B$32,'Inputs'!$B$30+'Inputs'!$B$31+'Inputs'!$B$32)/1000+'Inputs'!$B$21)+'Inputs'!$B$7)^2+('Inputs'!$B$6/2)^2)-(((120-43)*MAX('Inputs'!$B$33,'Inputs'!$B$29+'Inputs'!$B$31+'Inputs'!$B$32,'Inputs'!$B$30+'Inputs'!$B$31+'Inputs'!$B$32)/1000+'Inputs'!$B$21))/SQRT((((120-43)*MAX('Inputs'!$B$33,'Inputs'!$B$29+'Inputs'!$B$31+'Inputs'!$B$32,'Inputs'!$B$30+'Inputs'!$B$31+'Inputs'!$B$32)/1000+'Inputs'!$B$21))^2+('Inputs'!$B$6/2)^2)))-'Results'!C7*(1-'Inputs'!$B$24)*(0.5*((((120-43)*MAX('Inputs'!$B$33,'Inputs'!$B$29+'Inputs'!$B$31+'Inputs'!$B$32,'Inputs'!$B$30+'Inputs'!$B$31+'Inputs'!$B$32)/1000+'Inputs'!$B$21+'Inputs'!$B$7+'Inputs'!$B$10)+'Inputs'!$B$9)/SQRT((((120-43)*MAX('Inputs'!$B$33,'Inputs'!$B$29+'Inputs'!$B$31+'Inputs'!$B$32,'Inputs'!$B$30+'Inputs'!$B$31+'Inputs'!$B$32)/1000+'Inputs'!$B$21+'Inputs'!$B$7+'Inputs'!$B$10)+'Inputs'!$B$9)^2+('Inputs'!$B$8/2)^2)-(((120-43)*MAX('Inputs'!$B$33,'Inputs'!$B$29+'Inputs'!$B$31+'Inputs'!$B$32,'Inputs'!$B$30+'Inputs'!$B$31+'Inputs'!$B$32)/1000+'Inputs'!$B$21+'Inputs'!$B$7+'Inputs'!$B$10))/SQRT((((120-43)*MAX('Inputs'!$B$33,'Inputs'!$B$29+'Inputs'!$B$31+'Inputs'!$B$32,'Inputs'!$B$30+'Inputs'!$B$31+'Inputs'!$B$32)/1000+'Inputs'!$B$21+'Inputs'!$B$7+'Inputs'!$B$10))^2+('Inputs'!$B$8/2)^2))))*'Results'!$B$8)+'Inputs'!$B$28*ABS((('Results'!B7*(1+'Inputs'!$B$24)*(0.5*((((120-43)*MAX('Inputs'!$B$33,'Inputs'!$B$29+'Inputs'!$B$31+'Inputs'!$B$32,'Inputs'!$B$30+'Inputs'!$B$31+'Inputs'!$B$32)/1000+'Inputs'!$B$21)+'Inputs'!$B$7)/SQRT((((120-43)*MAX('Inputs'!$B$33,'Inputs'!$B$29+'Inputs'!$B$31+'Inputs'!$B$32,'Inputs'!$B$30+'Inputs'!$B$31+'Inputs'!$B$32)/1000+'Inputs'!$B$21)+'Inputs'!$B$7)^2+('Inputs'!$B$6/2)^2)-(((120-43)*MAX('Inputs'!$B$33,'Inputs'!$B$29+'Inputs'!$B$31+'Inputs'!$B$32,'Inputs'!$B$30+'Inputs'!$B$31+'Inputs'!$B$32)/1000+'Inputs'!$B$21))/SQRT((((120-43)*MAX('Inputs'!$B$33,'Inputs'!$B$29+'Inputs'!$B$31+'Inputs'!$B$32,'Inputs'!$B$30+'Inputs'!$B$31+'Inputs'!$B$32)/1000+'Inputs'!$B$21))^2+('Inputs'!$B$6/2)^2)))-'Results'!C7*(1-'Inputs'!$B$24)*(0.5*((((120-43)*MAX('Inputs'!$B$33,'Inputs'!$B$29+'Inputs'!$B$31+'Inputs'!$B$32,'Inputs'!$B$30+'Inputs'!$B$31+'Inputs'!$B$32)/1000+'Inputs'!$B$21+'Inputs'!$B$7+'Inputs'!$B$10)+'Inputs'!$B$9)/SQRT((((120-43)*MAX('Inputs'!$B$33,'Inputs'!$B$29+'Inputs'!$B$31+'Inputs'!$B$32,'Inputs'!$B$30+'Inputs'!$B$31+'Inputs'!$B$32)/1000+'Inputs'!$B$21+'Inputs'!$B$7+'Inputs'!$B$10)+'Inputs'!$B$9)^2+('Inputs'!$B$8/2)^2)-(((120-43)*MAX('Inputs'!$B$33,'Inputs'!$B$29+'Inputs'!$B$31+'Inputs'!$B$32,'Inputs'!$B$30+'Inputs'!$B$31+'Inputs'!$B$32)/1000+'Inputs'!$B$21+'Inputs'!$B$7+'Inputs'!$B$10))/SQRT((((120-43)*MAX('Inputs'!$B$33,'Inputs'!$B$29+'Inputs'!$B$31+'Inputs'!$B$32,'Inputs'!$B$30+'Inputs'!$B$31+'Inputs'!$B$32)/1000+'Inputs'!$B$21+'Inputs'!$B$7+'Inputs'!$B$10))^2+('Inputs'!$B$8/2)^2))))*'Results'!$B$8))),"")</x:f>
        <x:v>626.2026539825689</x:v>
      </x:c>
      <x:c r="M120" t="n">
        <x:f>IF(AND(ISNUMBER('Results'!C7),ISNUMBER('Results'!B7),ISNUMBER('Results'!$B$8),ISNUMBER('Inputs'!$B$6),ISNUMBER('Inputs'!$B$7),ISNUMBER('Inputs'!$B$8),ISNUMBER('Inputs'!$B$9),ISNUMBER('Inputs'!$B$10),ISNUMBER('Inputs'!$B$21),ISNUMBER('Inputs'!$B$24),ISNUMBER('Inputs'!$B$28)),(('Results'!C7*(0.5*((((120-43)*MAX('Inputs'!$B$33,'Inputs'!$B$29+'Inputs'!$B$31+'Inputs'!$B$32,'Inputs'!$B$30+'Inputs'!$B$31+'Inputs'!$B$32)/1000+'Inputs'!$B$21)+'Inputs'!$B$9)/SQRT((((120-43)*MAX('Inputs'!$B$33,'Inputs'!$B$29+'Inputs'!$B$31+'Inputs'!$B$32,'Inputs'!$B$30+'Inputs'!$B$31+'Inputs'!$B$32)/1000+'Inputs'!$B$21)+'Inputs'!$B$9)^2+('Inputs'!$B$8/2)^2)-(((120-43)*MAX('Inputs'!$B$33,'Inputs'!$B$29+'Inputs'!$B$31+'Inputs'!$B$32,'Inputs'!$B$30+'Inputs'!$B$31+'Inputs'!$B$32)/1000+'Inputs'!$B$21))/SQRT((((120-43)*MAX('Inputs'!$B$33,'Inputs'!$B$29+'Inputs'!$B$31+'Inputs'!$B$32,'Inputs'!$B$30+'Inputs'!$B$31+'Inputs'!$B$32)/1000+'Inputs'!$B$21))^2+('Inputs'!$B$8/2)^2)))-'Results'!B7*(0.5*((((120-43)*MAX('Inputs'!$B$33,'Inputs'!$B$29+'Inputs'!$B$31+'Inputs'!$B$32,'Inputs'!$B$30+'Inputs'!$B$31+'Inputs'!$B$32)/1000+'Inputs'!$B$21+'Inputs'!$B$9+'Inputs'!$B$10)+'Inputs'!$B$7)/SQRT((((120-43)*MAX('Inputs'!$B$33,'Inputs'!$B$29+'Inputs'!$B$31+'Inputs'!$B$32,'Inputs'!$B$30+'Inputs'!$B$31+'Inputs'!$B$32)/1000+'Inputs'!$B$21+'Inputs'!$B$9+'Inputs'!$B$10)+'Inputs'!$B$7)^2+('Inputs'!$B$6/2)^2)-(((120-43)*MAX('Inputs'!$B$33,'Inputs'!$B$29+'Inputs'!$B$31+'Inputs'!$B$32,'Inputs'!$B$30+'Inputs'!$B$31+'Inputs'!$B$32)/1000+'Inputs'!$B$21+'Inputs'!$B$9+'Inputs'!$B$10))/SQRT((((120-43)*MAX('Inputs'!$B$33,'Inputs'!$B$29+'Inputs'!$B$31+'Inputs'!$B$32,'Inputs'!$B$30+'Inputs'!$B$31+'Inputs'!$B$32)/1000+'Inputs'!$B$21+'Inputs'!$B$9+'Inputs'!$B$10))^2+('Inputs'!$B$6/2)^2))))*'Results'!$B$8),"")</x:f>
        <x:v>563.9637803697702</x:v>
      </x:c>
      <x:c r="N120" t="n">
        <x:f>IF(AND(ISNUMBER('Results'!C7),ISNUMBER('Results'!B7),ISNUMBER('Results'!$B$8),ISNUMBER('Inputs'!$B$6),ISNUMBER('Inputs'!$B$7),ISNUMBER('Inputs'!$B$8),ISNUMBER('Inputs'!$B$9),ISNUMBER('Inputs'!$B$10),ISNUMBER('Inputs'!$B$21),ISNUMBER('Inputs'!$B$24),ISNUMBER('Inputs'!$B$28)),((('Results'!C7*(1-'Inputs'!$B$24)*(0.5*((((120-43)*MAX('Inputs'!$B$33,'Inputs'!$B$29+'Inputs'!$B$31+'Inputs'!$B$32,'Inputs'!$B$30+'Inputs'!$B$31+'Inputs'!$B$32)/1000+'Inputs'!$B$21)+'Inputs'!$B$9)/SQRT((((120-43)*MAX('Inputs'!$B$33,'Inputs'!$B$29+'Inputs'!$B$31+'Inputs'!$B$32,'Inputs'!$B$30+'Inputs'!$B$31+'Inputs'!$B$32)/1000+'Inputs'!$B$21)+'Inputs'!$B$9)^2+('Inputs'!$B$8/2)^2)-(((120-43)*MAX('Inputs'!$B$33,'Inputs'!$B$29+'Inputs'!$B$31+'Inputs'!$B$32,'Inputs'!$B$30+'Inputs'!$B$31+'Inputs'!$B$32)/1000+'Inputs'!$B$21))/SQRT((((120-43)*MAX('Inputs'!$B$33,'Inputs'!$B$29+'Inputs'!$B$31+'Inputs'!$B$32,'Inputs'!$B$30+'Inputs'!$B$31+'Inputs'!$B$32)/1000+'Inputs'!$B$21))^2+('Inputs'!$B$8/2)^2)))-'Results'!B7*(1+'Inputs'!$B$24)*(0.5*((((120-43)*MAX('Inputs'!$B$33,'Inputs'!$B$29+'Inputs'!$B$31+'Inputs'!$B$32,'Inputs'!$B$30+'Inputs'!$B$31+'Inputs'!$B$32)/1000+'Inputs'!$B$21+'Inputs'!$B$9+'Inputs'!$B$10)+'Inputs'!$B$7)/SQRT((((120-43)*MAX('Inputs'!$B$33,'Inputs'!$B$29+'Inputs'!$B$31+'Inputs'!$B$32,'Inputs'!$B$30+'Inputs'!$B$31+'Inputs'!$B$32)/1000+'Inputs'!$B$21+'Inputs'!$B$9+'Inputs'!$B$10)+'Inputs'!$B$7)^2+('Inputs'!$B$6/2)^2)-(((120-43)*MAX('Inputs'!$B$33,'Inputs'!$B$29+'Inputs'!$B$31+'Inputs'!$B$32,'Inputs'!$B$30+'Inputs'!$B$31+'Inputs'!$B$32)/1000+'Inputs'!$B$21+'Inputs'!$B$9+'Inputs'!$B$10))/SQRT((((120-43)*MAX('Inputs'!$B$33,'Inputs'!$B$29+'Inputs'!$B$31+'Inputs'!$B$32,'Inputs'!$B$30+'Inputs'!$B$31+'Inputs'!$B$32)/1000+'Inputs'!$B$21+'Inputs'!$B$9+'Inputs'!$B$10))^2+('Inputs'!$B$6/2)^2))))*'Results'!$B$8)-'Inputs'!$B$28*ABS((('Results'!C7*(1-'Inputs'!$B$24)*(0.5*((((120-43)*MAX('Inputs'!$B$33,'Inputs'!$B$29+'Inputs'!$B$31+'Inputs'!$B$32,'Inputs'!$B$30+'Inputs'!$B$31+'Inputs'!$B$32)/1000+'Inputs'!$B$21)+'Inputs'!$B$9)/SQRT((((120-43)*MAX('Inputs'!$B$33,'Inputs'!$B$29+'Inputs'!$B$31+'Inputs'!$B$32,'Inputs'!$B$30+'Inputs'!$B$31+'Inputs'!$B$32)/1000+'Inputs'!$B$21)+'Inputs'!$B$9)^2+('Inputs'!$B$8/2)^2)-(((120-43)*MAX('Inputs'!$B$33,'Inputs'!$B$29+'Inputs'!$B$31+'Inputs'!$B$32,'Inputs'!$B$30+'Inputs'!$B$31+'Inputs'!$B$32)/1000+'Inputs'!$B$21))/SQRT((((120-43)*MAX('Inputs'!$B$33,'Inputs'!$B$29+'Inputs'!$B$31+'Inputs'!$B$32,'Inputs'!$B$30+'Inputs'!$B$31+'Inputs'!$B$32)/1000+'Inputs'!$B$21))^2+('Inputs'!$B$8/2)^2)))-'Results'!B7*(1+'Inputs'!$B$24)*(0.5*((((120-43)*MAX('Inputs'!$B$33,'Inputs'!$B$29+'Inputs'!$B$31+'Inputs'!$B$32,'Inputs'!$B$30+'Inputs'!$B$31+'Inputs'!$B$32)/1000+'Inputs'!$B$21+'Inputs'!$B$9+'Inputs'!$B$10)+'Inputs'!$B$7)/SQRT((((120-43)*MAX('Inputs'!$B$33,'Inputs'!$B$29+'Inputs'!$B$31+'Inputs'!$B$32,'Inputs'!$B$30+'Inputs'!$B$31+'Inputs'!$B$32)/1000+'Inputs'!$B$21+'Inputs'!$B$9+'Inputs'!$B$10)+'Inputs'!$B$7)^2+('Inputs'!$B$6/2)^2)-(((120-43)*MAX('Inputs'!$B$33,'Inputs'!$B$29+'Inputs'!$B$31+'Inputs'!$B$32,'Inputs'!$B$30+'Inputs'!$B$31+'Inputs'!$B$32)/1000+'Inputs'!$B$21+'Inputs'!$B$9+'Inputs'!$B$10))/SQRT((((120-43)*MAX('Inputs'!$B$33,'Inputs'!$B$29+'Inputs'!$B$31+'Inputs'!$B$32,'Inputs'!$B$30+'Inputs'!$B$31+'Inputs'!$B$32)/1000+'Inputs'!$B$21+'Inputs'!$B$9+'Inputs'!$B$10))^2+('Inputs'!$B$6/2)^2))))*'Results'!$B$8))),"")</x:f>
        <x:v>520.6080316883831</x:v>
      </x:c>
      <x:c r="O120" t="n">
        <x:f>IF(AND(ISNUMBER('Results'!C7),ISNUMBER('Results'!B7),ISNUMBER('Results'!$B$8),ISNUMBER('Inputs'!$B$6),ISNUMBER('Inputs'!$B$7),ISNUMBER('Inputs'!$B$8),ISNUMBER('Inputs'!$B$9),ISNUMBER('Inputs'!$B$10),ISNUMBER('Inputs'!$B$21),ISNUMBER('Inputs'!$B$24),ISNUMBER('Inputs'!$B$28)),((('Results'!C7*(1+'Inputs'!$B$24)*(0.5*((((120-43)*MAX('Inputs'!$B$33,'Inputs'!$B$29+'Inputs'!$B$31+'Inputs'!$B$32,'Inputs'!$B$30+'Inputs'!$B$31+'Inputs'!$B$32)/1000+'Inputs'!$B$21)+'Inputs'!$B$9)/SQRT((((120-43)*MAX('Inputs'!$B$33,'Inputs'!$B$29+'Inputs'!$B$31+'Inputs'!$B$32,'Inputs'!$B$30+'Inputs'!$B$31+'Inputs'!$B$32)/1000+'Inputs'!$B$21)+'Inputs'!$B$9)^2+('Inputs'!$B$8/2)^2)-(((120-43)*MAX('Inputs'!$B$33,'Inputs'!$B$29+'Inputs'!$B$31+'Inputs'!$B$32,'Inputs'!$B$30+'Inputs'!$B$31+'Inputs'!$B$32)/1000+'Inputs'!$B$21))/SQRT((((120-43)*MAX('Inputs'!$B$33,'Inputs'!$B$29+'Inputs'!$B$31+'Inputs'!$B$32,'Inputs'!$B$30+'Inputs'!$B$31+'Inputs'!$B$32)/1000+'Inputs'!$B$21))^2+('Inputs'!$B$8/2)^2)))-'Results'!B7*(1-'Inputs'!$B$24)*(0.5*((((120-43)*MAX('Inputs'!$B$33,'Inputs'!$B$29+'Inputs'!$B$31+'Inputs'!$B$32,'Inputs'!$B$30+'Inputs'!$B$31+'Inputs'!$B$32)/1000+'Inputs'!$B$21+'Inputs'!$B$9+'Inputs'!$B$10)+'Inputs'!$B$7)/SQRT((((120-43)*MAX('Inputs'!$B$33,'Inputs'!$B$29+'Inputs'!$B$31+'Inputs'!$B$32,'Inputs'!$B$30+'Inputs'!$B$31+'Inputs'!$B$32)/1000+'Inputs'!$B$21+'Inputs'!$B$9+'Inputs'!$B$10)+'Inputs'!$B$7)^2+('Inputs'!$B$6/2)^2)-(((120-43)*MAX('Inputs'!$B$33,'Inputs'!$B$29+'Inputs'!$B$31+'Inputs'!$B$32,'Inputs'!$B$30+'Inputs'!$B$31+'Inputs'!$B$32)/1000+'Inputs'!$B$21+'Inputs'!$B$9+'Inputs'!$B$10))/SQRT((((120-43)*MAX('Inputs'!$B$33,'Inputs'!$B$29+'Inputs'!$B$31+'Inputs'!$B$32,'Inputs'!$B$30+'Inputs'!$B$31+'Inputs'!$B$32)/1000+'Inputs'!$B$21+'Inputs'!$B$9+'Inputs'!$B$10))^2+('Inputs'!$B$6/2)^2))))*'Results'!$B$8)+'Inputs'!$B$28*ABS((('Results'!C7*(1+'Inputs'!$B$24)*(0.5*((((120-43)*MAX('Inputs'!$B$33,'Inputs'!$B$29+'Inputs'!$B$31+'Inputs'!$B$32,'Inputs'!$B$30+'Inputs'!$B$31+'Inputs'!$B$32)/1000+'Inputs'!$B$21)+'Inputs'!$B$9)/SQRT((((120-43)*MAX('Inputs'!$B$33,'Inputs'!$B$29+'Inputs'!$B$31+'Inputs'!$B$32,'Inputs'!$B$30+'Inputs'!$B$31+'Inputs'!$B$32)/1000+'Inputs'!$B$21)+'Inputs'!$B$9)^2+('Inputs'!$B$8/2)^2)-(((120-43)*MAX('Inputs'!$B$33,'Inputs'!$B$29+'Inputs'!$B$31+'Inputs'!$B$32,'Inputs'!$B$30+'Inputs'!$B$31+'Inputs'!$B$32)/1000+'Inputs'!$B$21))/SQRT((((120-43)*MAX('Inputs'!$B$33,'Inputs'!$B$29+'Inputs'!$B$31+'Inputs'!$B$32,'Inputs'!$B$30+'Inputs'!$B$31+'Inputs'!$B$32)/1000+'Inputs'!$B$21))^2+('Inputs'!$B$8/2)^2)))-'Results'!B7*(1-'Inputs'!$B$24)*(0.5*((((120-43)*MAX('Inputs'!$B$33,'Inputs'!$B$29+'Inputs'!$B$31+'Inputs'!$B$32,'Inputs'!$B$30+'Inputs'!$B$31+'Inputs'!$B$32)/1000+'Inputs'!$B$21+'Inputs'!$B$9+'Inputs'!$B$10)+'Inputs'!$B$7)/SQRT((((120-43)*MAX('Inputs'!$B$33,'Inputs'!$B$29+'Inputs'!$B$31+'Inputs'!$B$32,'Inputs'!$B$30+'Inputs'!$B$31+'Inputs'!$B$32)/1000+'Inputs'!$B$21+'Inputs'!$B$9+'Inputs'!$B$10)+'Inputs'!$B$7)^2+('Inputs'!$B$6/2)^2)-(((120-43)*MAX('Inputs'!$B$33,'Inputs'!$B$29+'Inputs'!$B$31+'Inputs'!$B$32,'Inputs'!$B$30+'Inputs'!$B$31+'Inputs'!$B$32)/1000+'Inputs'!$B$21+'Inputs'!$B$9+'Inputs'!$B$10))/SQRT((((120-43)*MAX('Inputs'!$B$33,'Inputs'!$B$29+'Inputs'!$B$31+'Inputs'!$B$32,'Inputs'!$B$30+'Inputs'!$B$31+'Inputs'!$B$32)/1000+'Inputs'!$B$21+'Inputs'!$B$9+'Inputs'!$B$10))^2+('Inputs'!$B$6/2)^2))))*'Results'!$B$8))),"")</x:f>
        <x:v>608.9150616472521</x:v>
      </x:c>
      <x:c r="P120" t="n">
        <x:f>IF(AND(MAX(J120,J119)&gt;0,J120&gt;J119+0.00000001),1,0)</x:f>
        <x:v>0</x:v>
      </x:c>
      <x:c r="Q120" t="n">
        <x:f>IF(AND(MAX(K120,K119)&gt;0,K120&gt;K119+0.00000001),1,0)</x:f>
        <x:v>0</x:v>
      </x:c>
      <x:c r="R120" t="n">
        <x:f>IF(AND(MAX(L120,L119)&gt;0,L120&gt;L119+0.00000001),1,0)</x:f>
        <x:v>0</x:v>
      </x:c>
      <x:c r="S120" t="n">
        <x:f>IF(AND(MAX(M120,M119)&gt;0,M120&gt;M119+0.00000001),1,0)</x:f>
        <x:v>0</x:v>
      </x:c>
      <x:c r="T120" t="n">
        <x:f>IF(AND(MAX(N120,N119)&gt;0,N120&gt;N119+0.00000001),1,0)</x:f>
        <x:v>0</x:v>
      </x:c>
      <x:c r="U120" t="n">
        <x:f>IF(AND(MAX(O120,O119)&gt;0,O120&gt;O119+0.00000001),1,0)</x:f>
        <x:v>0</x:v>
      </x:c>
    </x:row>
    <x:row r="121">
      <x:c r="J121" t="n">
        <x:f>IF(AND(ISNUMBER('Results'!B7),ISNUMBER('Results'!C7),ISNUMBER('Results'!$B$8),ISNUMBER('Inputs'!$B$6),ISNUMBER('Inputs'!$B$7),ISNUMBER('Inputs'!$B$8),ISNUMBER('Inputs'!$B$9),ISNUMBER('Inputs'!$B$10),ISNUMBER('Inputs'!$B$21),ISNUMBER('Inputs'!$B$24),ISNUMBER('Inputs'!$B$28)),(('Results'!B7*(0.5*((((121-43)*MAX('Inputs'!$B$33,'Inputs'!$B$29+'Inputs'!$B$31+'Inputs'!$B$32,'Inputs'!$B$30+'Inputs'!$B$31+'Inputs'!$B$32)/1000+'Inputs'!$B$21)+'Inputs'!$B$7)/SQRT((((121-43)*MAX('Inputs'!$B$33,'Inputs'!$B$29+'Inputs'!$B$31+'Inputs'!$B$32,'Inputs'!$B$30+'Inputs'!$B$31+'Inputs'!$B$32)/1000+'Inputs'!$B$21)+'Inputs'!$B$7)^2+('Inputs'!$B$6/2)^2)-(((121-43)*MAX('Inputs'!$B$33,'Inputs'!$B$29+'Inputs'!$B$31+'Inputs'!$B$32,'Inputs'!$B$30+'Inputs'!$B$31+'Inputs'!$B$32)/1000+'Inputs'!$B$21))/SQRT((((121-43)*MAX('Inputs'!$B$33,'Inputs'!$B$29+'Inputs'!$B$31+'Inputs'!$B$32,'Inputs'!$B$30+'Inputs'!$B$31+'Inputs'!$B$32)/1000+'Inputs'!$B$21))^2+('Inputs'!$B$6/2)^2)))-'Results'!C7*(0.5*((((121-43)*MAX('Inputs'!$B$33,'Inputs'!$B$29+'Inputs'!$B$31+'Inputs'!$B$32,'Inputs'!$B$30+'Inputs'!$B$31+'Inputs'!$B$32)/1000+'Inputs'!$B$21+'Inputs'!$B$7+'Inputs'!$B$10)+'Inputs'!$B$9)/SQRT((((121-43)*MAX('Inputs'!$B$33,'Inputs'!$B$29+'Inputs'!$B$31+'Inputs'!$B$32,'Inputs'!$B$30+'Inputs'!$B$31+'Inputs'!$B$32)/1000+'Inputs'!$B$21+'Inputs'!$B$7+'Inputs'!$B$10)+'Inputs'!$B$9)^2+('Inputs'!$B$8/2)^2)-(((121-43)*MAX('Inputs'!$B$33,'Inputs'!$B$29+'Inputs'!$B$31+'Inputs'!$B$32,'Inputs'!$B$30+'Inputs'!$B$31+'Inputs'!$B$32)/1000+'Inputs'!$B$21+'Inputs'!$B$7+'Inputs'!$B$10))/SQRT((((121-43)*MAX('Inputs'!$B$33,'Inputs'!$B$29+'Inputs'!$B$31+'Inputs'!$B$32,'Inputs'!$B$30+'Inputs'!$B$31+'Inputs'!$B$32)/1000+'Inputs'!$B$21+'Inputs'!$B$7+'Inputs'!$B$10))^2+('Inputs'!$B$8/2)^2))))*'Results'!$B$8),"")</x:f>
        <x:v>568.8851733026606</x:v>
      </x:c>
      <x:c r="K121" t="n">
        <x:f>IF(AND(ISNUMBER('Results'!B7),ISNUMBER('Results'!C7),ISNUMBER('Results'!$B$8),ISNUMBER('Inputs'!$B$6),ISNUMBER('Inputs'!$B$7),ISNUMBER('Inputs'!$B$8),ISNUMBER('Inputs'!$B$9),ISNUMBER('Inputs'!$B$10),ISNUMBER('Inputs'!$B$21),ISNUMBER('Inputs'!$B$24),ISNUMBER('Inputs'!$B$28)),((('Results'!B7*(1-'Inputs'!$B$24)*(0.5*((((121-43)*MAX('Inputs'!$B$33,'Inputs'!$B$29+'Inputs'!$B$31+'Inputs'!$B$32,'Inputs'!$B$30+'Inputs'!$B$31+'Inputs'!$B$32)/1000+'Inputs'!$B$21)+'Inputs'!$B$7)/SQRT((((121-43)*MAX('Inputs'!$B$33,'Inputs'!$B$29+'Inputs'!$B$31+'Inputs'!$B$32,'Inputs'!$B$30+'Inputs'!$B$31+'Inputs'!$B$32)/1000+'Inputs'!$B$21)+'Inputs'!$B$7)^2+('Inputs'!$B$6/2)^2)-(((121-43)*MAX('Inputs'!$B$33,'Inputs'!$B$29+'Inputs'!$B$31+'Inputs'!$B$32,'Inputs'!$B$30+'Inputs'!$B$31+'Inputs'!$B$32)/1000+'Inputs'!$B$21))/SQRT((((121-43)*MAX('Inputs'!$B$33,'Inputs'!$B$29+'Inputs'!$B$31+'Inputs'!$B$32,'Inputs'!$B$30+'Inputs'!$B$31+'Inputs'!$B$32)/1000+'Inputs'!$B$21))^2+('Inputs'!$B$6/2)^2)))-'Results'!C7*(1+'Inputs'!$B$24)*(0.5*((((121-43)*MAX('Inputs'!$B$33,'Inputs'!$B$29+'Inputs'!$B$31+'Inputs'!$B$32,'Inputs'!$B$30+'Inputs'!$B$31+'Inputs'!$B$32)/1000+'Inputs'!$B$21+'Inputs'!$B$7+'Inputs'!$B$10)+'Inputs'!$B$9)/SQRT((((121-43)*MAX('Inputs'!$B$33,'Inputs'!$B$29+'Inputs'!$B$31+'Inputs'!$B$32,'Inputs'!$B$30+'Inputs'!$B$31+'Inputs'!$B$32)/1000+'Inputs'!$B$21+'Inputs'!$B$7+'Inputs'!$B$10)+'Inputs'!$B$9)^2+('Inputs'!$B$8/2)^2)-(((121-43)*MAX('Inputs'!$B$33,'Inputs'!$B$29+'Inputs'!$B$31+'Inputs'!$B$32,'Inputs'!$B$30+'Inputs'!$B$31+'Inputs'!$B$32)/1000+'Inputs'!$B$21+'Inputs'!$B$7+'Inputs'!$B$10))/SQRT((((121-43)*MAX('Inputs'!$B$33,'Inputs'!$B$29+'Inputs'!$B$31+'Inputs'!$B$32,'Inputs'!$B$30+'Inputs'!$B$31+'Inputs'!$B$32)/1000+'Inputs'!$B$21+'Inputs'!$B$7+'Inputs'!$B$10))^2+('Inputs'!$B$8/2)^2))))*'Results'!$B$8)-'Inputs'!$B$28*ABS((('Results'!B7*(1-'Inputs'!$B$24)*(0.5*((((121-43)*MAX('Inputs'!$B$33,'Inputs'!$B$29+'Inputs'!$B$31+'Inputs'!$B$32,'Inputs'!$B$30+'Inputs'!$B$31+'Inputs'!$B$32)/1000+'Inputs'!$B$21)+'Inputs'!$B$7)/SQRT((((121-43)*MAX('Inputs'!$B$33,'Inputs'!$B$29+'Inputs'!$B$31+'Inputs'!$B$32,'Inputs'!$B$30+'Inputs'!$B$31+'Inputs'!$B$32)/1000+'Inputs'!$B$21)+'Inputs'!$B$7)^2+('Inputs'!$B$6/2)^2)-(((121-43)*MAX('Inputs'!$B$33,'Inputs'!$B$29+'Inputs'!$B$31+'Inputs'!$B$32,'Inputs'!$B$30+'Inputs'!$B$31+'Inputs'!$B$32)/1000+'Inputs'!$B$21))/SQRT((((121-43)*MAX('Inputs'!$B$33,'Inputs'!$B$29+'Inputs'!$B$31+'Inputs'!$B$32,'Inputs'!$B$30+'Inputs'!$B$31+'Inputs'!$B$32)/1000+'Inputs'!$B$21))^2+('Inputs'!$B$6/2)^2)))-'Results'!C7*(1+'Inputs'!$B$24)*(0.5*((((121-43)*MAX('Inputs'!$B$33,'Inputs'!$B$29+'Inputs'!$B$31+'Inputs'!$B$32,'Inputs'!$B$30+'Inputs'!$B$31+'Inputs'!$B$32)/1000+'Inputs'!$B$21+'Inputs'!$B$7+'Inputs'!$B$10)+'Inputs'!$B$9)/SQRT((((121-43)*MAX('Inputs'!$B$33,'Inputs'!$B$29+'Inputs'!$B$31+'Inputs'!$B$32,'Inputs'!$B$30+'Inputs'!$B$31+'Inputs'!$B$32)/1000+'Inputs'!$B$21+'Inputs'!$B$7+'Inputs'!$B$10)+'Inputs'!$B$9)^2+('Inputs'!$B$8/2)^2)-(((121-43)*MAX('Inputs'!$B$33,'Inputs'!$B$29+'Inputs'!$B$31+'Inputs'!$B$32,'Inputs'!$B$30+'Inputs'!$B$31+'Inputs'!$B$32)/1000+'Inputs'!$B$21+'Inputs'!$B$7+'Inputs'!$B$10))/SQRT((((121-43)*MAX('Inputs'!$B$33,'Inputs'!$B$29+'Inputs'!$B$31+'Inputs'!$B$32,'Inputs'!$B$30+'Inputs'!$B$31+'Inputs'!$B$32)/1000+'Inputs'!$B$21+'Inputs'!$B$7+'Inputs'!$B$10))^2+('Inputs'!$B$8/2)^2))))*'Results'!$B$8))),"")</x:f>
        <x:v>525.3327633674551</x:v>
      </x:c>
      <x:c r="L121" t="n">
        <x:f>IF(AND(ISNUMBER('Results'!B7),ISNUMBER('Results'!C7),ISNUMBER('Results'!$B$8),ISNUMBER('Inputs'!$B$6),ISNUMBER('Inputs'!$B$7),ISNUMBER('Inputs'!$B$8),ISNUMBER('Inputs'!$B$9),ISNUMBER('Inputs'!$B$10),ISNUMBER('Inputs'!$B$21),ISNUMBER('Inputs'!$B$24),ISNUMBER('Inputs'!$B$28)),((('Results'!B7*(1+'Inputs'!$B$24)*(0.5*((((121-43)*MAX('Inputs'!$B$33,'Inputs'!$B$29+'Inputs'!$B$31+'Inputs'!$B$32,'Inputs'!$B$30+'Inputs'!$B$31+'Inputs'!$B$32)/1000+'Inputs'!$B$21)+'Inputs'!$B$7)/SQRT((((121-43)*MAX('Inputs'!$B$33,'Inputs'!$B$29+'Inputs'!$B$31+'Inputs'!$B$32,'Inputs'!$B$30+'Inputs'!$B$31+'Inputs'!$B$32)/1000+'Inputs'!$B$21)+'Inputs'!$B$7)^2+('Inputs'!$B$6/2)^2)-(((121-43)*MAX('Inputs'!$B$33,'Inputs'!$B$29+'Inputs'!$B$31+'Inputs'!$B$32,'Inputs'!$B$30+'Inputs'!$B$31+'Inputs'!$B$32)/1000+'Inputs'!$B$21))/SQRT((((121-43)*MAX('Inputs'!$B$33,'Inputs'!$B$29+'Inputs'!$B$31+'Inputs'!$B$32,'Inputs'!$B$30+'Inputs'!$B$31+'Inputs'!$B$32)/1000+'Inputs'!$B$21))^2+('Inputs'!$B$6/2)^2)))-'Results'!C7*(1-'Inputs'!$B$24)*(0.5*((((121-43)*MAX('Inputs'!$B$33,'Inputs'!$B$29+'Inputs'!$B$31+'Inputs'!$B$32,'Inputs'!$B$30+'Inputs'!$B$31+'Inputs'!$B$32)/1000+'Inputs'!$B$21+'Inputs'!$B$7+'Inputs'!$B$10)+'Inputs'!$B$9)/SQRT((((121-43)*MAX('Inputs'!$B$33,'Inputs'!$B$29+'Inputs'!$B$31+'Inputs'!$B$32,'Inputs'!$B$30+'Inputs'!$B$31+'Inputs'!$B$32)/1000+'Inputs'!$B$21+'Inputs'!$B$7+'Inputs'!$B$10)+'Inputs'!$B$9)^2+('Inputs'!$B$8/2)^2)-(((121-43)*MAX('Inputs'!$B$33,'Inputs'!$B$29+'Inputs'!$B$31+'Inputs'!$B$32,'Inputs'!$B$30+'Inputs'!$B$31+'Inputs'!$B$32)/1000+'Inputs'!$B$21+'Inputs'!$B$7+'Inputs'!$B$10))/SQRT((((121-43)*MAX('Inputs'!$B$33,'Inputs'!$B$29+'Inputs'!$B$31+'Inputs'!$B$32,'Inputs'!$B$30+'Inputs'!$B$31+'Inputs'!$B$32)/1000+'Inputs'!$B$21+'Inputs'!$B$7+'Inputs'!$B$10))^2+('Inputs'!$B$8/2)^2))))*'Results'!$B$8)+'Inputs'!$B$28*ABS((('Results'!B7*(1+'Inputs'!$B$24)*(0.5*((((121-43)*MAX('Inputs'!$B$33,'Inputs'!$B$29+'Inputs'!$B$31+'Inputs'!$B$32,'Inputs'!$B$30+'Inputs'!$B$31+'Inputs'!$B$32)/1000+'Inputs'!$B$21)+'Inputs'!$B$7)/SQRT((((121-43)*MAX('Inputs'!$B$33,'Inputs'!$B$29+'Inputs'!$B$31+'Inputs'!$B$32,'Inputs'!$B$30+'Inputs'!$B$31+'Inputs'!$B$32)/1000+'Inputs'!$B$21)+'Inputs'!$B$7)^2+('Inputs'!$B$6/2)^2)-(((121-43)*MAX('Inputs'!$B$33,'Inputs'!$B$29+'Inputs'!$B$31+'Inputs'!$B$32,'Inputs'!$B$30+'Inputs'!$B$31+'Inputs'!$B$32)/1000+'Inputs'!$B$21))/SQRT((((121-43)*MAX('Inputs'!$B$33,'Inputs'!$B$29+'Inputs'!$B$31+'Inputs'!$B$32,'Inputs'!$B$30+'Inputs'!$B$31+'Inputs'!$B$32)/1000+'Inputs'!$B$21))^2+('Inputs'!$B$6/2)^2)))-'Results'!C7*(1-'Inputs'!$B$24)*(0.5*((((121-43)*MAX('Inputs'!$B$33,'Inputs'!$B$29+'Inputs'!$B$31+'Inputs'!$B$32,'Inputs'!$B$30+'Inputs'!$B$31+'Inputs'!$B$32)/1000+'Inputs'!$B$21+'Inputs'!$B$7+'Inputs'!$B$10)+'Inputs'!$B$9)/SQRT((((121-43)*MAX('Inputs'!$B$33,'Inputs'!$B$29+'Inputs'!$B$31+'Inputs'!$B$32,'Inputs'!$B$30+'Inputs'!$B$31+'Inputs'!$B$32)/1000+'Inputs'!$B$21+'Inputs'!$B$7+'Inputs'!$B$10)+'Inputs'!$B$9)^2+('Inputs'!$B$8/2)^2)-(((121-43)*MAX('Inputs'!$B$33,'Inputs'!$B$29+'Inputs'!$B$31+'Inputs'!$B$32,'Inputs'!$B$30+'Inputs'!$B$31+'Inputs'!$B$32)/1000+'Inputs'!$B$21+'Inputs'!$B$7+'Inputs'!$B$10))/SQRT((((121-43)*MAX('Inputs'!$B$33,'Inputs'!$B$29+'Inputs'!$B$31+'Inputs'!$B$32,'Inputs'!$B$30+'Inputs'!$B$31+'Inputs'!$B$32)/1000+'Inputs'!$B$21+'Inputs'!$B$7+'Inputs'!$B$10))^2+('Inputs'!$B$8/2)^2))))*'Results'!$B$8))),"")</x:f>
        <x:v>614.0279149505055</x:v>
      </x:c>
      <x:c r="M121" t="n">
        <x:f>IF(AND(ISNUMBER('Results'!C7),ISNUMBER('Results'!B7),ISNUMBER('Results'!$B$8),ISNUMBER('Inputs'!$B$6),ISNUMBER('Inputs'!$B$7),ISNUMBER('Inputs'!$B$8),ISNUMBER('Inputs'!$B$9),ISNUMBER('Inputs'!$B$10),ISNUMBER('Inputs'!$B$21),ISNUMBER('Inputs'!$B$24),ISNUMBER('Inputs'!$B$28)),(('Results'!C7*(0.5*((((121-43)*MAX('Inputs'!$B$33,'Inputs'!$B$29+'Inputs'!$B$31+'Inputs'!$B$32,'Inputs'!$B$30+'Inputs'!$B$31+'Inputs'!$B$32)/1000+'Inputs'!$B$21)+'Inputs'!$B$9)/SQRT((((121-43)*MAX('Inputs'!$B$33,'Inputs'!$B$29+'Inputs'!$B$31+'Inputs'!$B$32,'Inputs'!$B$30+'Inputs'!$B$31+'Inputs'!$B$32)/1000+'Inputs'!$B$21)+'Inputs'!$B$9)^2+('Inputs'!$B$8/2)^2)-(((121-43)*MAX('Inputs'!$B$33,'Inputs'!$B$29+'Inputs'!$B$31+'Inputs'!$B$32,'Inputs'!$B$30+'Inputs'!$B$31+'Inputs'!$B$32)/1000+'Inputs'!$B$21))/SQRT((((121-43)*MAX('Inputs'!$B$33,'Inputs'!$B$29+'Inputs'!$B$31+'Inputs'!$B$32,'Inputs'!$B$30+'Inputs'!$B$31+'Inputs'!$B$32)/1000+'Inputs'!$B$21))^2+('Inputs'!$B$8/2)^2)))-'Results'!B7*(0.5*((((121-43)*MAX('Inputs'!$B$33,'Inputs'!$B$29+'Inputs'!$B$31+'Inputs'!$B$32,'Inputs'!$B$30+'Inputs'!$B$31+'Inputs'!$B$32)/1000+'Inputs'!$B$21+'Inputs'!$B$9+'Inputs'!$B$10)+'Inputs'!$B$7)/SQRT((((121-43)*MAX('Inputs'!$B$33,'Inputs'!$B$29+'Inputs'!$B$31+'Inputs'!$B$32,'Inputs'!$B$30+'Inputs'!$B$31+'Inputs'!$B$32)/1000+'Inputs'!$B$21+'Inputs'!$B$9+'Inputs'!$B$10)+'Inputs'!$B$7)^2+('Inputs'!$B$6/2)^2)-(((121-43)*MAX('Inputs'!$B$33,'Inputs'!$B$29+'Inputs'!$B$31+'Inputs'!$B$32,'Inputs'!$B$30+'Inputs'!$B$31+'Inputs'!$B$32)/1000+'Inputs'!$B$21+'Inputs'!$B$9+'Inputs'!$B$10))/SQRT((((121-43)*MAX('Inputs'!$B$33,'Inputs'!$B$29+'Inputs'!$B$31+'Inputs'!$B$32,'Inputs'!$B$30+'Inputs'!$B$31+'Inputs'!$B$32)/1000+'Inputs'!$B$21+'Inputs'!$B$9+'Inputs'!$B$10))^2+('Inputs'!$B$6/2)^2))))*'Results'!$B$8),"")</x:f>
        <x:v>552.9356764450405</x:v>
      </x:c>
      <x:c r="N121" t="n">
        <x:f>IF(AND(ISNUMBER('Results'!C7),ISNUMBER('Results'!B7),ISNUMBER('Results'!$B$8),ISNUMBER('Inputs'!$B$6),ISNUMBER('Inputs'!$B$7),ISNUMBER('Inputs'!$B$8),ISNUMBER('Inputs'!$B$9),ISNUMBER('Inputs'!$B$10),ISNUMBER('Inputs'!$B$21),ISNUMBER('Inputs'!$B$24),ISNUMBER('Inputs'!$B$28)),((('Results'!C7*(1-'Inputs'!$B$24)*(0.5*((((121-43)*MAX('Inputs'!$B$33,'Inputs'!$B$29+'Inputs'!$B$31+'Inputs'!$B$32,'Inputs'!$B$30+'Inputs'!$B$31+'Inputs'!$B$32)/1000+'Inputs'!$B$21)+'Inputs'!$B$9)/SQRT((((121-43)*MAX('Inputs'!$B$33,'Inputs'!$B$29+'Inputs'!$B$31+'Inputs'!$B$32,'Inputs'!$B$30+'Inputs'!$B$31+'Inputs'!$B$32)/1000+'Inputs'!$B$21)+'Inputs'!$B$9)^2+('Inputs'!$B$8/2)^2)-(((121-43)*MAX('Inputs'!$B$33,'Inputs'!$B$29+'Inputs'!$B$31+'Inputs'!$B$32,'Inputs'!$B$30+'Inputs'!$B$31+'Inputs'!$B$32)/1000+'Inputs'!$B$21))/SQRT((((121-43)*MAX('Inputs'!$B$33,'Inputs'!$B$29+'Inputs'!$B$31+'Inputs'!$B$32,'Inputs'!$B$30+'Inputs'!$B$31+'Inputs'!$B$32)/1000+'Inputs'!$B$21))^2+('Inputs'!$B$8/2)^2)))-'Results'!B7*(1+'Inputs'!$B$24)*(0.5*((((121-43)*MAX('Inputs'!$B$33,'Inputs'!$B$29+'Inputs'!$B$31+'Inputs'!$B$32,'Inputs'!$B$30+'Inputs'!$B$31+'Inputs'!$B$32)/1000+'Inputs'!$B$21+'Inputs'!$B$9+'Inputs'!$B$10)+'Inputs'!$B$7)/SQRT((((121-43)*MAX('Inputs'!$B$33,'Inputs'!$B$29+'Inputs'!$B$31+'Inputs'!$B$32,'Inputs'!$B$30+'Inputs'!$B$31+'Inputs'!$B$32)/1000+'Inputs'!$B$21+'Inputs'!$B$9+'Inputs'!$B$10)+'Inputs'!$B$7)^2+('Inputs'!$B$6/2)^2)-(((121-43)*MAX('Inputs'!$B$33,'Inputs'!$B$29+'Inputs'!$B$31+'Inputs'!$B$32,'Inputs'!$B$30+'Inputs'!$B$31+'Inputs'!$B$32)/1000+'Inputs'!$B$21+'Inputs'!$B$9+'Inputs'!$B$10))/SQRT((((121-43)*MAX('Inputs'!$B$33,'Inputs'!$B$29+'Inputs'!$B$31+'Inputs'!$B$32,'Inputs'!$B$30+'Inputs'!$B$31+'Inputs'!$B$32)/1000+'Inputs'!$B$21+'Inputs'!$B$9+'Inputs'!$B$10))^2+('Inputs'!$B$6/2)^2))))*'Results'!$B$8)-'Inputs'!$B$28*ABS((('Results'!C7*(1-'Inputs'!$B$24)*(0.5*((((121-43)*MAX('Inputs'!$B$33,'Inputs'!$B$29+'Inputs'!$B$31+'Inputs'!$B$32,'Inputs'!$B$30+'Inputs'!$B$31+'Inputs'!$B$32)/1000+'Inputs'!$B$21)+'Inputs'!$B$9)/SQRT((((121-43)*MAX('Inputs'!$B$33,'Inputs'!$B$29+'Inputs'!$B$31+'Inputs'!$B$32,'Inputs'!$B$30+'Inputs'!$B$31+'Inputs'!$B$32)/1000+'Inputs'!$B$21)+'Inputs'!$B$9)^2+('Inputs'!$B$8/2)^2)-(((121-43)*MAX('Inputs'!$B$33,'Inputs'!$B$29+'Inputs'!$B$31+'Inputs'!$B$32,'Inputs'!$B$30+'Inputs'!$B$31+'Inputs'!$B$32)/1000+'Inputs'!$B$21))/SQRT((((121-43)*MAX('Inputs'!$B$33,'Inputs'!$B$29+'Inputs'!$B$31+'Inputs'!$B$32,'Inputs'!$B$30+'Inputs'!$B$31+'Inputs'!$B$32)/1000+'Inputs'!$B$21))^2+('Inputs'!$B$8/2)^2)))-'Results'!B7*(1+'Inputs'!$B$24)*(0.5*((((121-43)*MAX('Inputs'!$B$33,'Inputs'!$B$29+'Inputs'!$B$31+'Inputs'!$B$32,'Inputs'!$B$30+'Inputs'!$B$31+'Inputs'!$B$32)/1000+'Inputs'!$B$21+'Inputs'!$B$9+'Inputs'!$B$10)+'Inputs'!$B$7)/SQRT((((121-43)*MAX('Inputs'!$B$33,'Inputs'!$B$29+'Inputs'!$B$31+'Inputs'!$B$32,'Inputs'!$B$30+'Inputs'!$B$31+'Inputs'!$B$32)/1000+'Inputs'!$B$21+'Inputs'!$B$9+'Inputs'!$B$10)+'Inputs'!$B$7)^2+('Inputs'!$B$6/2)^2)-(((121-43)*MAX('Inputs'!$B$33,'Inputs'!$B$29+'Inputs'!$B$31+'Inputs'!$B$32,'Inputs'!$B$30+'Inputs'!$B$31+'Inputs'!$B$32)/1000+'Inputs'!$B$21+'Inputs'!$B$9+'Inputs'!$B$10))/SQRT((((121-43)*MAX('Inputs'!$B$33,'Inputs'!$B$29+'Inputs'!$B$31+'Inputs'!$B$32,'Inputs'!$B$30+'Inputs'!$B$31+'Inputs'!$B$32)/1000+'Inputs'!$B$21+'Inputs'!$B$9+'Inputs'!$B$10))^2+('Inputs'!$B$6/2)^2))))*'Results'!$B$8))),"")</x:f>
        <x:v>510.3960403036774</x:v>
      </x:c>
      <x:c r="O121" t="n">
        <x:f>IF(AND(ISNUMBER('Results'!C7),ISNUMBER('Results'!B7),ISNUMBER('Results'!$B$8),ISNUMBER('Inputs'!$B$6),ISNUMBER('Inputs'!$B$7),ISNUMBER('Inputs'!$B$8),ISNUMBER('Inputs'!$B$9),ISNUMBER('Inputs'!$B$10),ISNUMBER('Inputs'!$B$21),ISNUMBER('Inputs'!$B$24),ISNUMBER('Inputs'!$B$28)),((('Results'!C7*(1+'Inputs'!$B$24)*(0.5*((((121-43)*MAX('Inputs'!$B$33,'Inputs'!$B$29+'Inputs'!$B$31+'Inputs'!$B$32,'Inputs'!$B$30+'Inputs'!$B$31+'Inputs'!$B$32)/1000+'Inputs'!$B$21)+'Inputs'!$B$9)/SQRT((((121-43)*MAX('Inputs'!$B$33,'Inputs'!$B$29+'Inputs'!$B$31+'Inputs'!$B$32,'Inputs'!$B$30+'Inputs'!$B$31+'Inputs'!$B$32)/1000+'Inputs'!$B$21)+'Inputs'!$B$9)^2+('Inputs'!$B$8/2)^2)-(((121-43)*MAX('Inputs'!$B$33,'Inputs'!$B$29+'Inputs'!$B$31+'Inputs'!$B$32,'Inputs'!$B$30+'Inputs'!$B$31+'Inputs'!$B$32)/1000+'Inputs'!$B$21))/SQRT((((121-43)*MAX('Inputs'!$B$33,'Inputs'!$B$29+'Inputs'!$B$31+'Inputs'!$B$32,'Inputs'!$B$30+'Inputs'!$B$31+'Inputs'!$B$32)/1000+'Inputs'!$B$21))^2+('Inputs'!$B$8/2)^2)))-'Results'!B7*(1-'Inputs'!$B$24)*(0.5*((((121-43)*MAX('Inputs'!$B$33,'Inputs'!$B$29+'Inputs'!$B$31+'Inputs'!$B$32,'Inputs'!$B$30+'Inputs'!$B$31+'Inputs'!$B$32)/1000+'Inputs'!$B$21+'Inputs'!$B$9+'Inputs'!$B$10)+'Inputs'!$B$7)/SQRT((((121-43)*MAX('Inputs'!$B$33,'Inputs'!$B$29+'Inputs'!$B$31+'Inputs'!$B$32,'Inputs'!$B$30+'Inputs'!$B$31+'Inputs'!$B$32)/1000+'Inputs'!$B$21+'Inputs'!$B$9+'Inputs'!$B$10)+'Inputs'!$B$7)^2+('Inputs'!$B$6/2)^2)-(((121-43)*MAX('Inputs'!$B$33,'Inputs'!$B$29+'Inputs'!$B$31+'Inputs'!$B$32,'Inputs'!$B$30+'Inputs'!$B$31+'Inputs'!$B$32)/1000+'Inputs'!$B$21+'Inputs'!$B$9+'Inputs'!$B$10))/SQRT((((121-43)*MAX('Inputs'!$B$33,'Inputs'!$B$29+'Inputs'!$B$31+'Inputs'!$B$32,'Inputs'!$B$30+'Inputs'!$B$31+'Inputs'!$B$32)/1000+'Inputs'!$B$21+'Inputs'!$B$9+'Inputs'!$B$10))^2+('Inputs'!$B$6/2)^2))))*'Results'!$B$8)+'Inputs'!$B$28*ABS((('Results'!C7*(1+'Inputs'!$B$24)*(0.5*((((121-43)*MAX('Inputs'!$B$33,'Inputs'!$B$29+'Inputs'!$B$31+'Inputs'!$B$32,'Inputs'!$B$30+'Inputs'!$B$31+'Inputs'!$B$32)/1000+'Inputs'!$B$21)+'Inputs'!$B$9)/SQRT((((121-43)*MAX('Inputs'!$B$33,'Inputs'!$B$29+'Inputs'!$B$31+'Inputs'!$B$32,'Inputs'!$B$30+'Inputs'!$B$31+'Inputs'!$B$32)/1000+'Inputs'!$B$21)+'Inputs'!$B$9)^2+('Inputs'!$B$8/2)^2)-(((121-43)*MAX('Inputs'!$B$33,'Inputs'!$B$29+'Inputs'!$B$31+'Inputs'!$B$32,'Inputs'!$B$30+'Inputs'!$B$31+'Inputs'!$B$32)/1000+'Inputs'!$B$21))/SQRT((((121-43)*MAX('Inputs'!$B$33,'Inputs'!$B$29+'Inputs'!$B$31+'Inputs'!$B$32,'Inputs'!$B$30+'Inputs'!$B$31+'Inputs'!$B$32)/1000+'Inputs'!$B$21))^2+('Inputs'!$B$8/2)^2)))-'Results'!B7*(1-'Inputs'!$B$24)*(0.5*((((121-43)*MAX('Inputs'!$B$33,'Inputs'!$B$29+'Inputs'!$B$31+'Inputs'!$B$32,'Inputs'!$B$30+'Inputs'!$B$31+'Inputs'!$B$32)/1000+'Inputs'!$B$21+'Inputs'!$B$9+'Inputs'!$B$10)+'Inputs'!$B$7)/SQRT((((121-43)*MAX('Inputs'!$B$33,'Inputs'!$B$29+'Inputs'!$B$31+'Inputs'!$B$32,'Inputs'!$B$30+'Inputs'!$B$31+'Inputs'!$B$32)/1000+'Inputs'!$B$21+'Inputs'!$B$9+'Inputs'!$B$10)+'Inputs'!$B$7)^2+('Inputs'!$B$6/2)^2)-(((121-43)*MAX('Inputs'!$B$33,'Inputs'!$B$29+'Inputs'!$B$31+'Inputs'!$B$32,'Inputs'!$B$30+'Inputs'!$B$31+'Inputs'!$B$32)/1000+'Inputs'!$B$21+'Inputs'!$B$9+'Inputs'!$B$10))/SQRT((((121-43)*MAX('Inputs'!$B$33,'Inputs'!$B$29+'Inputs'!$B$31+'Inputs'!$B$32,'Inputs'!$B$30+'Inputs'!$B$31+'Inputs'!$B$32)/1000+'Inputs'!$B$21+'Inputs'!$B$9+'Inputs'!$B$10))^2+('Inputs'!$B$6/2)^2))))*'Results'!$B$8))),"")</x:f>
        <x:v>597.042981251573</x:v>
      </x:c>
      <x:c r="P121" t="n">
        <x:f>IF(AND(MAX(J121,J120)&gt;0,J121&gt;J120+0.00000001),1,0)</x:f>
        <x:v>0</x:v>
      </x:c>
      <x:c r="Q121" t="n">
        <x:f>IF(AND(MAX(K121,K120)&gt;0,K121&gt;K120+0.00000001),1,0)</x:f>
        <x:v>0</x:v>
      </x:c>
      <x:c r="R121" t="n">
        <x:f>IF(AND(MAX(L121,L120)&gt;0,L121&gt;L120+0.00000001),1,0)</x:f>
        <x:v>0</x:v>
      </x:c>
      <x:c r="S121" t="n">
        <x:f>IF(AND(MAX(M121,M120)&gt;0,M121&gt;M120+0.00000001),1,0)</x:f>
        <x:v>0</x:v>
      </x:c>
      <x:c r="T121" t="n">
        <x:f>IF(AND(MAX(N121,N120)&gt;0,N121&gt;N120+0.00000001),1,0)</x:f>
        <x:v>0</x:v>
      </x:c>
      <x:c r="U121" t="n">
        <x:f>IF(AND(MAX(O121,O120)&gt;0,O121&gt;O120+0.00000001),1,0)</x:f>
        <x:v>0</x:v>
      </x:c>
    </x:row>
    <x:row r="122">
      <x:c r="J122" t="n">
        <x:f>IF(AND(ISNUMBER('Results'!B7),ISNUMBER('Results'!C7),ISNUMBER('Results'!$B$8),ISNUMBER('Inputs'!$B$6),ISNUMBER('Inputs'!$B$7),ISNUMBER('Inputs'!$B$8),ISNUMBER('Inputs'!$B$9),ISNUMBER('Inputs'!$B$10),ISNUMBER('Inputs'!$B$21),ISNUMBER('Inputs'!$B$24),ISNUMBER('Inputs'!$B$28)),(('Results'!B7*(0.5*((((122-43)*MAX('Inputs'!$B$33,'Inputs'!$B$29+'Inputs'!$B$31+'Inputs'!$B$32,'Inputs'!$B$30+'Inputs'!$B$31+'Inputs'!$B$32)/1000+'Inputs'!$B$21)+'Inputs'!$B$7)/SQRT((((122-43)*MAX('Inputs'!$B$33,'Inputs'!$B$29+'Inputs'!$B$31+'Inputs'!$B$32,'Inputs'!$B$30+'Inputs'!$B$31+'Inputs'!$B$32)/1000+'Inputs'!$B$21)+'Inputs'!$B$7)^2+('Inputs'!$B$6/2)^2)-(((122-43)*MAX('Inputs'!$B$33,'Inputs'!$B$29+'Inputs'!$B$31+'Inputs'!$B$32,'Inputs'!$B$30+'Inputs'!$B$31+'Inputs'!$B$32)/1000+'Inputs'!$B$21))/SQRT((((122-43)*MAX('Inputs'!$B$33,'Inputs'!$B$29+'Inputs'!$B$31+'Inputs'!$B$32,'Inputs'!$B$30+'Inputs'!$B$31+'Inputs'!$B$32)/1000+'Inputs'!$B$21))^2+('Inputs'!$B$6/2)^2)))-'Results'!C7*(0.5*((((122-43)*MAX('Inputs'!$B$33,'Inputs'!$B$29+'Inputs'!$B$31+'Inputs'!$B$32,'Inputs'!$B$30+'Inputs'!$B$31+'Inputs'!$B$32)/1000+'Inputs'!$B$21+'Inputs'!$B$7+'Inputs'!$B$10)+'Inputs'!$B$9)/SQRT((((122-43)*MAX('Inputs'!$B$33,'Inputs'!$B$29+'Inputs'!$B$31+'Inputs'!$B$32,'Inputs'!$B$30+'Inputs'!$B$31+'Inputs'!$B$32)/1000+'Inputs'!$B$21+'Inputs'!$B$7+'Inputs'!$B$10)+'Inputs'!$B$9)^2+('Inputs'!$B$8/2)^2)-(((122-43)*MAX('Inputs'!$B$33,'Inputs'!$B$29+'Inputs'!$B$31+'Inputs'!$B$32,'Inputs'!$B$30+'Inputs'!$B$31+'Inputs'!$B$32)/1000+'Inputs'!$B$21+'Inputs'!$B$7+'Inputs'!$B$10))/SQRT((((122-43)*MAX('Inputs'!$B$33,'Inputs'!$B$29+'Inputs'!$B$31+'Inputs'!$B$32,'Inputs'!$B$30+'Inputs'!$B$31+'Inputs'!$B$32)/1000+'Inputs'!$B$21+'Inputs'!$B$7+'Inputs'!$B$10))^2+('Inputs'!$B$8/2)^2))))*'Results'!$B$8),"")</x:f>
        <x:v>557.8049701128915</x:v>
      </x:c>
      <x:c r="K122" t="n">
        <x:f>IF(AND(ISNUMBER('Results'!B7),ISNUMBER('Results'!C7),ISNUMBER('Results'!$B$8),ISNUMBER('Inputs'!$B$6),ISNUMBER('Inputs'!$B$7),ISNUMBER('Inputs'!$B$8),ISNUMBER('Inputs'!$B$9),ISNUMBER('Inputs'!$B$10),ISNUMBER('Inputs'!$B$21),ISNUMBER('Inputs'!$B$24),ISNUMBER('Inputs'!$B$28)),((('Results'!B7*(1-'Inputs'!$B$24)*(0.5*((((122-43)*MAX('Inputs'!$B$33,'Inputs'!$B$29+'Inputs'!$B$31+'Inputs'!$B$32,'Inputs'!$B$30+'Inputs'!$B$31+'Inputs'!$B$32)/1000+'Inputs'!$B$21)+'Inputs'!$B$7)/SQRT((((122-43)*MAX('Inputs'!$B$33,'Inputs'!$B$29+'Inputs'!$B$31+'Inputs'!$B$32,'Inputs'!$B$30+'Inputs'!$B$31+'Inputs'!$B$32)/1000+'Inputs'!$B$21)+'Inputs'!$B$7)^2+('Inputs'!$B$6/2)^2)-(((122-43)*MAX('Inputs'!$B$33,'Inputs'!$B$29+'Inputs'!$B$31+'Inputs'!$B$32,'Inputs'!$B$30+'Inputs'!$B$31+'Inputs'!$B$32)/1000+'Inputs'!$B$21))/SQRT((((122-43)*MAX('Inputs'!$B$33,'Inputs'!$B$29+'Inputs'!$B$31+'Inputs'!$B$32,'Inputs'!$B$30+'Inputs'!$B$31+'Inputs'!$B$32)/1000+'Inputs'!$B$21))^2+('Inputs'!$B$6/2)^2)))-'Results'!C7*(1+'Inputs'!$B$24)*(0.5*((((122-43)*MAX('Inputs'!$B$33,'Inputs'!$B$29+'Inputs'!$B$31+'Inputs'!$B$32,'Inputs'!$B$30+'Inputs'!$B$31+'Inputs'!$B$32)/1000+'Inputs'!$B$21+'Inputs'!$B$7+'Inputs'!$B$10)+'Inputs'!$B$9)/SQRT((((122-43)*MAX('Inputs'!$B$33,'Inputs'!$B$29+'Inputs'!$B$31+'Inputs'!$B$32,'Inputs'!$B$30+'Inputs'!$B$31+'Inputs'!$B$32)/1000+'Inputs'!$B$21+'Inputs'!$B$7+'Inputs'!$B$10)+'Inputs'!$B$9)^2+('Inputs'!$B$8/2)^2)-(((122-43)*MAX('Inputs'!$B$33,'Inputs'!$B$29+'Inputs'!$B$31+'Inputs'!$B$32,'Inputs'!$B$30+'Inputs'!$B$31+'Inputs'!$B$32)/1000+'Inputs'!$B$21+'Inputs'!$B$7+'Inputs'!$B$10))/SQRT((((122-43)*MAX('Inputs'!$B$33,'Inputs'!$B$29+'Inputs'!$B$31+'Inputs'!$B$32,'Inputs'!$B$30+'Inputs'!$B$31+'Inputs'!$B$32)/1000+'Inputs'!$B$21+'Inputs'!$B$7+'Inputs'!$B$10))^2+('Inputs'!$B$8/2)^2))))*'Results'!$B$8)-'Inputs'!$B$28*ABS((('Results'!B7*(1-'Inputs'!$B$24)*(0.5*((((122-43)*MAX('Inputs'!$B$33,'Inputs'!$B$29+'Inputs'!$B$31+'Inputs'!$B$32,'Inputs'!$B$30+'Inputs'!$B$31+'Inputs'!$B$32)/1000+'Inputs'!$B$21)+'Inputs'!$B$7)/SQRT((((122-43)*MAX('Inputs'!$B$33,'Inputs'!$B$29+'Inputs'!$B$31+'Inputs'!$B$32,'Inputs'!$B$30+'Inputs'!$B$31+'Inputs'!$B$32)/1000+'Inputs'!$B$21)+'Inputs'!$B$7)^2+('Inputs'!$B$6/2)^2)-(((122-43)*MAX('Inputs'!$B$33,'Inputs'!$B$29+'Inputs'!$B$31+'Inputs'!$B$32,'Inputs'!$B$30+'Inputs'!$B$31+'Inputs'!$B$32)/1000+'Inputs'!$B$21))/SQRT((((122-43)*MAX('Inputs'!$B$33,'Inputs'!$B$29+'Inputs'!$B$31+'Inputs'!$B$32,'Inputs'!$B$30+'Inputs'!$B$31+'Inputs'!$B$32)/1000+'Inputs'!$B$21))^2+('Inputs'!$B$6/2)^2)))-'Results'!C7*(1+'Inputs'!$B$24)*(0.5*((((122-43)*MAX('Inputs'!$B$33,'Inputs'!$B$29+'Inputs'!$B$31+'Inputs'!$B$32,'Inputs'!$B$30+'Inputs'!$B$31+'Inputs'!$B$32)/1000+'Inputs'!$B$21+'Inputs'!$B$7+'Inputs'!$B$10)+'Inputs'!$B$9)/SQRT((((122-43)*MAX('Inputs'!$B$33,'Inputs'!$B$29+'Inputs'!$B$31+'Inputs'!$B$32,'Inputs'!$B$30+'Inputs'!$B$31+'Inputs'!$B$32)/1000+'Inputs'!$B$21+'Inputs'!$B$7+'Inputs'!$B$10)+'Inputs'!$B$9)^2+('Inputs'!$B$8/2)^2)-(((122-43)*MAX('Inputs'!$B$33,'Inputs'!$B$29+'Inputs'!$B$31+'Inputs'!$B$32,'Inputs'!$B$30+'Inputs'!$B$31+'Inputs'!$B$32)/1000+'Inputs'!$B$21+'Inputs'!$B$7+'Inputs'!$B$10))/SQRT((((122-43)*MAX('Inputs'!$B$33,'Inputs'!$B$29+'Inputs'!$B$31+'Inputs'!$B$32,'Inputs'!$B$30+'Inputs'!$B$31+'Inputs'!$B$32)/1000+'Inputs'!$B$21+'Inputs'!$B$7+'Inputs'!$B$10))^2+('Inputs'!$B$8/2)^2))))*'Results'!$B$8))),"")</x:f>
        <x:v>515.0703026184012</x:v>
      </x:c>
      <x:c r="L122" t="n">
        <x:f>IF(AND(ISNUMBER('Results'!B7),ISNUMBER('Results'!C7),ISNUMBER('Results'!$B$8),ISNUMBER('Inputs'!$B$6),ISNUMBER('Inputs'!$B$7),ISNUMBER('Inputs'!$B$8),ISNUMBER('Inputs'!$B$9),ISNUMBER('Inputs'!$B$10),ISNUMBER('Inputs'!$B$21),ISNUMBER('Inputs'!$B$24),ISNUMBER('Inputs'!$B$28)),((('Results'!B7*(1+'Inputs'!$B$24)*(0.5*((((122-43)*MAX('Inputs'!$B$33,'Inputs'!$B$29+'Inputs'!$B$31+'Inputs'!$B$32,'Inputs'!$B$30+'Inputs'!$B$31+'Inputs'!$B$32)/1000+'Inputs'!$B$21)+'Inputs'!$B$7)/SQRT((((122-43)*MAX('Inputs'!$B$33,'Inputs'!$B$29+'Inputs'!$B$31+'Inputs'!$B$32,'Inputs'!$B$30+'Inputs'!$B$31+'Inputs'!$B$32)/1000+'Inputs'!$B$21)+'Inputs'!$B$7)^2+('Inputs'!$B$6/2)^2)-(((122-43)*MAX('Inputs'!$B$33,'Inputs'!$B$29+'Inputs'!$B$31+'Inputs'!$B$32,'Inputs'!$B$30+'Inputs'!$B$31+'Inputs'!$B$32)/1000+'Inputs'!$B$21))/SQRT((((122-43)*MAX('Inputs'!$B$33,'Inputs'!$B$29+'Inputs'!$B$31+'Inputs'!$B$32,'Inputs'!$B$30+'Inputs'!$B$31+'Inputs'!$B$32)/1000+'Inputs'!$B$21))^2+('Inputs'!$B$6/2)^2)))-'Results'!C7*(1-'Inputs'!$B$24)*(0.5*((((122-43)*MAX('Inputs'!$B$33,'Inputs'!$B$29+'Inputs'!$B$31+'Inputs'!$B$32,'Inputs'!$B$30+'Inputs'!$B$31+'Inputs'!$B$32)/1000+'Inputs'!$B$21+'Inputs'!$B$7+'Inputs'!$B$10)+'Inputs'!$B$9)/SQRT((((122-43)*MAX('Inputs'!$B$33,'Inputs'!$B$29+'Inputs'!$B$31+'Inputs'!$B$32,'Inputs'!$B$30+'Inputs'!$B$31+'Inputs'!$B$32)/1000+'Inputs'!$B$21+'Inputs'!$B$7+'Inputs'!$B$10)+'Inputs'!$B$9)^2+('Inputs'!$B$8/2)^2)-(((122-43)*MAX('Inputs'!$B$33,'Inputs'!$B$29+'Inputs'!$B$31+'Inputs'!$B$32,'Inputs'!$B$30+'Inputs'!$B$31+'Inputs'!$B$32)/1000+'Inputs'!$B$21+'Inputs'!$B$7+'Inputs'!$B$10))/SQRT((((122-43)*MAX('Inputs'!$B$33,'Inputs'!$B$29+'Inputs'!$B$31+'Inputs'!$B$32,'Inputs'!$B$30+'Inputs'!$B$31+'Inputs'!$B$32)/1000+'Inputs'!$B$21+'Inputs'!$B$7+'Inputs'!$B$10))^2+('Inputs'!$B$8/2)^2))))*'Results'!$B$8)+'Inputs'!$B$28*ABS((('Results'!B7*(1+'Inputs'!$B$24)*(0.5*((((122-43)*MAX('Inputs'!$B$33,'Inputs'!$B$29+'Inputs'!$B$31+'Inputs'!$B$32,'Inputs'!$B$30+'Inputs'!$B$31+'Inputs'!$B$32)/1000+'Inputs'!$B$21)+'Inputs'!$B$7)/SQRT((((122-43)*MAX('Inputs'!$B$33,'Inputs'!$B$29+'Inputs'!$B$31+'Inputs'!$B$32,'Inputs'!$B$30+'Inputs'!$B$31+'Inputs'!$B$32)/1000+'Inputs'!$B$21)+'Inputs'!$B$7)^2+('Inputs'!$B$6/2)^2)-(((122-43)*MAX('Inputs'!$B$33,'Inputs'!$B$29+'Inputs'!$B$31+'Inputs'!$B$32,'Inputs'!$B$30+'Inputs'!$B$31+'Inputs'!$B$32)/1000+'Inputs'!$B$21))/SQRT((((122-43)*MAX('Inputs'!$B$33,'Inputs'!$B$29+'Inputs'!$B$31+'Inputs'!$B$32,'Inputs'!$B$30+'Inputs'!$B$31+'Inputs'!$B$32)/1000+'Inputs'!$B$21))^2+('Inputs'!$B$6/2)^2)))-'Results'!C7*(1-'Inputs'!$B$24)*(0.5*((((122-43)*MAX('Inputs'!$B$33,'Inputs'!$B$29+'Inputs'!$B$31+'Inputs'!$B$32,'Inputs'!$B$30+'Inputs'!$B$31+'Inputs'!$B$32)/1000+'Inputs'!$B$21+'Inputs'!$B$7+'Inputs'!$B$10)+'Inputs'!$B$9)/SQRT((((122-43)*MAX('Inputs'!$B$33,'Inputs'!$B$29+'Inputs'!$B$31+'Inputs'!$B$32,'Inputs'!$B$30+'Inputs'!$B$31+'Inputs'!$B$32)/1000+'Inputs'!$B$21+'Inputs'!$B$7+'Inputs'!$B$10)+'Inputs'!$B$9)^2+('Inputs'!$B$8/2)^2)-(((122-43)*MAX('Inputs'!$B$33,'Inputs'!$B$29+'Inputs'!$B$31+'Inputs'!$B$32,'Inputs'!$B$30+'Inputs'!$B$31+'Inputs'!$B$32)/1000+'Inputs'!$B$21+'Inputs'!$B$7+'Inputs'!$B$10))/SQRT((((122-43)*MAX('Inputs'!$B$33,'Inputs'!$B$29+'Inputs'!$B$31+'Inputs'!$B$32,'Inputs'!$B$30+'Inputs'!$B$31+'Inputs'!$B$32)/1000+'Inputs'!$B$21+'Inputs'!$B$7+'Inputs'!$B$10))^2+('Inputs'!$B$8/2)^2))))*'Results'!$B$8))),"")</x:f>
        <x:v>602.1022080272602</x:v>
      </x:c>
      <x:c r="M122" t="n">
        <x:f>IF(AND(ISNUMBER('Results'!C7),ISNUMBER('Results'!B7),ISNUMBER('Results'!$B$8),ISNUMBER('Inputs'!$B$6),ISNUMBER('Inputs'!$B$7),ISNUMBER('Inputs'!$B$8),ISNUMBER('Inputs'!$B$9),ISNUMBER('Inputs'!$B$10),ISNUMBER('Inputs'!$B$21),ISNUMBER('Inputs'!$B$24),ISNUMBER('Inputs'!$B$28)),(('Results'!C7*(0.5*((((122-43)*MAX('Inputs'!$B$33,'Inputs'!$B$29+'Inputs'!$B$31+'Inputs'!$B$32,'Inputs'!$B$30+'Inputs'!$B$31+'Inputs'!$B$32)/1000+'Inputs'!$B$21)+'Inputs'!$B$9)/SQRT((((122-43)*MAX('Inputs'!$B$33,'Inputs'!$B$29+'Inputs'!$B$31+'Inputs'!$B$32,'Inputs'!$B$30+'Inputs'!$B$31+'Inputs'!$B$32)/1000+'Inputs'!$B$21)+'Inputs'!$B$9)^2+('Inputs'!$B$8/2)^2)-(((122-43)*MAX('Inputs'!$B$33,'Inputs'!$B$29+'Inputs'!$B$31+'Inputs'!$B$32,'Inputs'!$B$30+'Inputs'!$B$31+'Inputs'!$B$32)/1000+'Inputs'!$B$21))/SQRT((((122-43)*MAX('Inputs'!$B$33,'Inputs'!$B$29+'Inputs'!$B$31+'Inputs'!$B$32,'Inputs'!$B$30+'Inputs'!$B$31+'Inputs'!$B$32)/1000+'Inputs'!$B$21))^2+('Inputs'!$B$8/2)^2)))-'Results'!B7*(0.5*((((122-43)*MAX('Inputs'!$B$33,'Inputs'!$B$29+'Inputs'!$B$31+'Inputs'!$B$32,'Inputs'!$B$30+'Inputs'!$B$31+'Inputs'!$B$32)/1000+'Inputs'!$B$21+'Inputs'!$B$9+'Inputs'!$B$10)+'Inputs'!$B$7)/SQRT((((122-43)*MAX('Inputs'!$B$33,'Inputs'!$B$29+'Inputs'!$B$31+'Inputs'!$B$32,'Inputs'!$B$30+'Inputs'!$B$31+'Inputs'!$B$32)/1000+'Inputs'!$B$21+'Inputs'!$B$9+'Inputs'!$B$10)+'Inputs'!$B$7)^2+('Inputs'!$B$6/2)^2)-(((122-43)*MAX('Inputs'!$B$33,'Inputs'!$B$29+'Inputs'!$B$31+'Inputs'!$B$32,'Inputs'!$B$30+'Inputs'!$B$31+'Inputs'!$B$32)/1000+'Inputs'!$B$21+'Inputs'!$B$9+'Inputs'!$B$10))/SQRT((((122-43)*MAX('Inputs'!$B$33,'Inputs'!$B$29+'Inputs'!$B$31+'Inputs'!$B$32,'Inputs'!$B$30+'Inputs'!$B$31+'Inputs'!$B$32)/1000+'Inputs'!$B$21+'Inputs'!$B$9+'Inputs'!$B$10))^2+('Inputs'!$B$6/2)^2))))*'Results'!$B$8),"")</x:f>
        <x:v>542.133657701897</x:v>
      </x:c>
      <x:c r="N122" t="n">
        <x:f>IF(AND(ISNUMBER('Results'!C7),ISNUMBER('Results'!B7),ISNUMBER('Results'!$B$8),ISNUMBER('Inputs'!$B$6),ISNUMBER('Inputs'!$B$7),ISNUMBER('Inputs'!$B$8),ISNUMBER('Inputs'!$B$9),ISNUMBER('Inputs'!$B$10),ISNUMBER('Inputs'!$B$21),ISNUMBER('Inputs'!$B$24),ISNUMBER('Inputs'!$B$28)),((('Results'!C7*(1-'Inputs'!$B$24)*(0.5*((((122-43)*MAX('Inputs'!$B$33,'Inputs'!$B$29+'Inputs'!$B$31+'Inputs'!$B$32,'Inputs'!$B$30+'Inputs'!$B$31+'Inputs'!$B$32)/1000+'Inputs'!$B$21)+'Inputs'!$B$9)/SQRT((((122-43)*MAX('Inputs'!$B$33,'Inputs'!$B$29+'Inputs'!$B$31+'Inputs'!$B$32,'Inputs'!$B$30+'Inputs'!$B$31+'Inputs'!$B$32)/1000+'Inputs'!$B$21)+'Inputs'!$B$9)^2+('Inputs'!$B$8/2)^2)-(((122-43)*MAX('Inputs'!$B$33,'Inputs'!$B$29+'Inputs'!$B$31+'Inputs'!$B$32,'Inputs'!$B$30+'Inputs'!$B$31+'Inputs'!$B$32)/1000+'Inputs'!$B$21))/SQRT((((122-43)*MAX('Inputs'!$B$33,'Inputs'!$B$29+'Inputs'!$B$31+'Inputs'!$B$32,'Inputs'!$B$30+'Inputs'!$B$31+'Inputs'!$B$32)/1000+'Inputs'!$B$21))^2+('Inputs'!$B$8/2)^2)))-'Results'!B7*(1+'Inputs'!$B$24)*(0.5*((((122-43)*MAX('Inputs'!$B$33,'Inputs'!$B$29+'Inputs'!$B$31+'Inputs'!$B$32,'Inputs'!$B$30+'Inputs'!$B$31+'Inputs'!$B$32)/1000+'Inputs'!$B$21+'Inputs'!$B$9+'Inputs'!$B$10)+'Inputs'!$B$7)/SQRT((((122-43)*MAX('Inputs'!$B$33,'Inputs'!$B$29+'Inputs'!$B$31+'Inputs'!$B$32,'Inputs'!$B$30+'Inputs'!$B$31+'Inputs'!$B$32)/1000+'Inputs'!$B$21+'Inputs'!$B$9+'Inputs'!$B$10)+'Inputs'!$B$7)^2+('Inputs'!$B$6/2)^2)-(((122-43)*MAX('Inputs'!$B$33,'Inputs'!$B$29+'Inputs'!$B$31+'Inputs'!$B$32,'Inputs'!$B$30+'Inputs'!$B$31+'Inputs'!$B$32)/1000+'Inputs'!$B$21+'Inputs'!$B$9+'Inputs'!$B$10))/SQRT((((122-43)*MAX('Inputs'!$B$33,'Inputs'!$B$29+'Inputs'!$B$31+'Inputs'!$B$32,'Inputs'!$B$30+'Inputs'!$B$31+'Inputs'!$B$32)/1000+'Inputs'!$B$21+'Inputs'!$B$9+'Inputs'!$B$10))^2+('Inputs'!$B$6/2)^2))))*'Results'!$B$8)-'Inputs'!$B$28*ABS((('Results'!C7*(1-'Inputs'!$B$24)*(0.5*((((122-43)*MAX('Inputs'!$B$33,'Inputs'!$B$29+'Inputs'!$B$31+'Inputs'!$B$32,'Inputs'!$B$30+'Inputs'!$B$31+'Inputs'!$B$32)/1000+'Inputs'!$B$21)+'Inputs'!$B$9)/SQRT((((122-43)*MAX('Inputs'!$B$33,'Inputs'!$B$29+'Inputs'!$B$31+'Inputs'!$B$32,'Inputs'!$B$30+'Inputs'!$B$31+'Inputs'!$B$32)/1000+'Inputs'!$B$21)+'Inputs'!$B$9)^2+('Inputs'!$B$8/2)^2)-(((122-43)*MAX('Inputs'!$B$33,'Inputs'!$B$29+'Inputs'!$B$31+'Inputs'!$B$32,'Inputs'!$B$30+'Inputs'!$B$31+'Inputs'!$B$32)/1000+'Inputs'!$B$21))/SQRT((((122-43)*MAX('Inputs'!$B$33,'Inputs'!$B$29+'Inputs'!$B$31+'Inputs'!$B$32,'Inputs'!$B$30+'Inputs'!$B$31+'Inputs'!$B$32)/1000+'Inputs'!$B$21))^2+('Inputs'!$B$8/2)^2)))-'Results'!B7*(1+'Inputs'!$B$24)*(0.5*((((122-43)*MAX('Inputs'!$B$33,'Inputs'!$B$29+'Inputs'!$B$31+'Inputs'!$B$32,'Inputs'!$B$30+'Inputs'!$B$31+'Inputs'!$B$32)/1000+'Inputs'!$B$21+'Inputs'!$B$9+'Inputs'!$B$10)+'Inputs'!$B$7)/SQRT((((122-43)*MAX('Inputs'!$B$33,'Inputs'!$B$29+'Inputs'!$B$31+'Inputs'!$B$32,'Inputs'!$B$30+'Inputs'!$B$31+'Inputs'!$B$32)/1000+'Inputs'!$B$21+'Inputs'!$B$9+'Inputs'!$B$10)+'Inputs'!$B$7)^2+('Inputs'!$B$6/2)^2)-(((122-43)*MAX('Inputs'!$B$33,'Inputs'!$B$29+'Inputs'!$B$31+'Inputs'!$B$32,'Inputs'!$B$30+'Inputs'!$B$31+'Inputs'!$B$32)/1000+'Inputs'!$B$21+'Inputs'!$B$9+'Inputs'!$B$10))/SQRT((((122-43)*MAX('Inputs'!$B$33,'Inputs'!$B$29+'Inputs'!$B$31+'Inputs'!$B$32,'Inputs'!$B$30+'Inputs'!$B$31+'Inputs'!$B$32)/1000+'Inputs'!$B$21+'Inputs'!$B$9+'Inputs'!$B$10))^2+('Inputs'!$B$6/2)^2))))*'Results'!$B$8))),"")</x:f>
        <x:v>500.3936551605675</x:v>
      </x:c>
      <x:c r="O122" t="n">
        <x:f>IF(AND(ISNUMBER('Results'!C7),ISNUMBER('Results'!B7),ISNUMBER('Results'!$B$8),ISNUMBER('Inputs'!$B$6),ISNUMBER('Inputs'!$B$7),ISNUMBER('Inputs'!$B$8),ISNUMBER('Inputs'!$B$9),ISNUMBER('Inputs'!$B$10),ISNUMBER('Inputs'!$B$21),ISNUMBER('Inputs'!$B$24),ISNUMBER('Inputs'!$B$28)),((('Results'!C7*(1+'Inputs'!$B$24)*(0.5*((((122-43)*MAX('Inputs'!$B$33,'Inputs'!$B$29+'Inputs'!$B$31+'Inputs'!$B$32,'Inputs'!$B$30+'Inputs'!$B$31+'Inputs'!$B$32)/1000+'Inputs'!$B$21)+'Inputs'!$B$9)/SQRT((((122-43)*MAX('Inputs'!$B$33,'Inputs'!$B$29+'Inputs'!$B$31+'Inputs'!$B$32,'Inputs'!$B$30+'Inputs'!$B$31+'Inputs'!$B$32)/1000+'Inputs'!$B$21)+'Inputs'!$B$9)^2+('Inputs'!$B$8/2)^2)-(((122-43)*MAX('Inputs'!$B$33,'Inputs'!$B$29+'Inputs'!$B$31+'Inputs'!$B$32,'Inputs'!$B$30+'Inputs'!$B$31+'Inputs'!$B$32)/1000+'Inputs'!$B$21))/SQRT((((122-43)*MAX('Inputs'!$B$33,'Inputs'!$B$29+'Inputs'!$B$31+'Inputs'!$B$32,'Inputs'!$B$30+'Inputs'!$B$31+'Inputs'!$B$32)/1000+'Inputs'!$B$21))^2+('Inputs'!$B$8/2)^2)))-'Results'!B7*(1-'Inputs'!$B$24)*(0.5*((((122-43)*MAX('Inputs'!$B$33,'Inputs'!$B$29+'Inputs'!$B$31+'Inputs'!$B$32,'Inputs'!$B$30+'Inputs'!$B$31+'Inputs'!$B$32)/1000+'Inputs'!$B$21+'Inputs'!$B$9+'Inputs'!$B$10)+'Inputs'!$B$7)/SQRT((((122-43)*MAX('Inputs'!$B$33,'Inputs'!$B$29+'Inputs'!$B$31+'Inputs'!$B$32,'Inputs'!$B$30+'Inputs'!$B$31+'Inputs'!$B$32)/1000+'Inputs'!$B$21+'Inputs'!$B$9+'Inputs'!$B$10)+'Inputs'!$B$7)^2+('Inputs'!$B$6/2)^2)-(((122-43)*MAX('Inputs'!$B$33,'Inputs'!$B$29+'Inputs'!$B$31+'Inputs'!$B$32,'Inputs'!$B$30+'Inputs'!$B$31+'Inputs'!$B$32)/1000+'Inputs'!$B$21+'Inputs'!$B$9+'Inputs'!$B$10))/SQRT((((122-43)*MAX('Inputs'!$B$33,'Inputs'!$B$29+'Inputs'!$B$31+'Inputs'!$B$32,'Inputs'!$B$30+'Inputs'!$B$31+'Inputs'!$B$32)/1000+'Inputs'!$B$21+'Inputs'!$B$9+'Inputs'!$B$10))^2+('Inputs'!$B$6/2)^2))))*'Results'!$B$8)+'Inputs'!$B$28*ABS((('Results'!C7*(1+'Inputs'!$B$24)*(0.5*((((122-43)*MAX('Inputs'!$B$33,'Inputs'!$B$29+'Inputs'!$B$31+'Inputs'!$B$32,'Inputs'!$B$30+'Inputs'!$B$31+'Inputs'!$B$32)/1000+'Inputs'!$B$21)+'Inputs'!$B$9)/SQRT((((122-43)*MAX('Inputs'!$B$33,'Inputs'!$B$29+'Inputs'!$B$31+'Inputs'!$B$32,'Inputs'!$B$30+'Inputs'!$B$31+'Inputs'!$B$32)/1000+'Inputs'!$B$21)+'Inputs'!$B$9)^2+('Inputs'!$B$8/2)^2)-(((122-43)*MAX('Inputs'!$B$33,'Inputs'!$B$29+'Inputs'!$B$31+'Inputs'!$B$32,'Inputs'!$B$30+'Inputs'!$B$31+'Inputs'!$B$32)/1000+'Inputs'!$B$21))/SQRT((((122-43)*MAX('Inputs'!$B$33,'Inputs'!$B$29+'Inputs'!$B$31+'Inputs'!$B$32,'Inputs'!$B$30+'Inputs'!$B$31+'Inputs'!$B$32)/1000+'Inputs'!$B$21))^2+('Inputs'!$B$8/2)^2)))-'Results'!B7*(1-'Inputs'!$B$24)*(0.5*((((122-43)*MAX('Inputs'!$B$33,'Inputs'!$B$29+'Inputs'!$B$31+'Inputs'!$B$32,'Inputs'!$B$30+'Inputs'!$B$31+'Inputs'!$B$32)/1000+'Inputs'!$B$21+'Inputs'!$B$9+'Inputs'!$B$10)+'Inputs'!$B$7)/SQRT((((122-43)*MAX('Inputs'!$B$33,'Inputs'!$B$29+'Inputs'!$B$31+'Inputs'!$B$32,'Inputs'!$B$30+'Inputs'!$B$31+'Inputs'!$B$32)/1000+'Inputs'!$B$21+'Inputs'!$B$9+'Inputs'!$B$10)+'Inputs'!$B$7)^2+('Inputs'!$B$6/2)^2)-(((122-43)*MAX('Inputs'!$B$33,'Inputs'!$B$29+'Inputs'!$B$31+'Inputs'!$B$32,'Inputs'!$B$30+'Inputs'!$B$31+'Inputs'!$B$32)/1000+'Inputs'!$B$21+'Inputs'!$B$9+'Inputs'!$B$10))/SQRT((((122-43)*MAX('Inputs'!$B$33,'Inputs'!$B$29+'Inputs'!$B$31+'Inputs'!$B$32,'Inputs'!$B$30+'Inputs'!$B$31+'Inputs'!$B$32)/1000+'Inputs'!$B$21+'Inputs'!$B$9+'Inputs'!$B$10))^2+('Inputs'!$B$6/2)^2))))*'Results'!$B$8))),"")</x:f>
        <x:v>585.4140096807253</x:v>
      </x:c>
      <x:c r="P122" t="n">
        <x:f>IF(AND(MAX(J122,J121)&gt;0,J122&gt;J121+0.00000001),1,0)</x:f>
        <x:v>0</x:v>
      </x:c>
      <x:c r="Q122" t="n">
        <x:f>IF(AND(MAX(K122,K121)&gt;0,K122&gt;K121+0.00000001),1,0)</x:f>
        <x:v>0</x:v>
      </x:c>
      <x:c r="R122" t="n">
        <x:f>IF(AND(MAX(L122,L121)&gt;0,L122&gt;L121+0.00000001),1,0)</x:f>
        <x:v>0</x:v>
      </x:c>
      <x:c r="S122" t="n">
        <x:f>IF(AND(MAX(M122,M121)&gt;0,M122&gt;M121+0.00000001),1,0)</x:f>
        <x:v>0</x:v>
      </x:c>
      <x:c r="T122" t="n">
        <x:f>IF(AND(MAX(N122,N121)&gt;0,N122&gt;N121+0.00000001),1,0)</x:f>
        <x:v>0</x:v>
      </x:c>
      <x:c r="U122" t="n">
        <x:f>IF(AND(MAX(O122,O121)&gt;0,O122&gt;O121+0.00000001),1,0)</x:f>
        <x:v>0</x:v>
      </x:c>
    </x:row>
    <x:row r="123">
      <x:c r="J123" t="n">
        <x:f>IF(AND(ISNUMBER('Results'!B7),ISNUMBER('Results'!C7),ISNUMBER('Results'!$B$8),ISNUMBER('Inputs'!$B$6),ISNUMBER('Inputs'!$B$7),ISNUMBER('Inputs'!$B$8),ISNUMBER('Inputs'!$B$9),ISNUMBER('Inputs'!$B$10),ISNUMBER('Inputs'!$B$21),ISNUMBER('Inputs'!$B$24),ISNUMBER('Inputs'!$B$28)),(('Results'!B7*(0.5*((((123-43)*MAX('Inputs'!$B$33,'Inputs'!$B$29+'Inputs'!$B$31+'Inputs'!$B$32,'Inputs'!$B$30+'Inputs'!$B$31+'Inputs'!$B$32)/1000+'Inputs'!$B$21)+'Inputs'!$B$7)/SQRT((((123-43)*MAX('Inputs'!$B$33,'Inputs'!$B$29+'Inputs'!$B$31+'Inputs'!$B$32,'Inputs'!$B$30+'Inputs'!$B$31+'Inputs'!$B$32)/1000+'Inputs'!$B$21)+'Inputs'!$B$7)^2+('Inputs'!$B$6/2)^2)-(((123-43)*MAX('Inputs'!$B$33,'Inputs'!$B$29+'Inputs'!$B$31+'Inputs'!$B$32,'Inputs'!$B$30+'Inputs'!$B$31+'Inputs'!$B$32)/1000+'Inputs'!$B$21))/SQRT((((123-43)*MAX('Inputs'!$B$33,'Inputs'!$B$29+'Inputs'!$B$31+'Inputs'!$B$32,'Inputs'!$B$30+'Inputs'!$B$31+'Inputs'!$B$32)/1000+'Inputs'!$B$21))^2+('Inputs'!$B$6/2)^2)))-'Results'!C7*(0.5*((((123-43)*MAX('Inputs'!$B$33,'Inputs'!$B$29+'Inputs'!$B$31+'Inputs'!$B$32,'Inputs'!$B$30+'Inputs'!$B$31+'Inputs'!$B$32)/1000+'Inputs'!$B$21+'Inputs'!$B$7+'Inputs'!$B$10)+'Inputs'!$B$9)/SQRT((((123-43)*MAX('Inputs'!$B$33,'Inputs'!$B$29+'Inputs'!$B$31+'Inputs'!$B$32,'Inputs'!$B$30+'Inputs'!$B$31+'Inputs'!$B$32)/1000+'Inputs'!$B$21+'Inputs'!$B$7+'Inputs'!$B$10)+'Inputs'!$B$9)^2+('Inputs'!$B$8/2)^2)-(((123-43)*MAX('Inputs'!$B$33,'Inputs'!$B$29+'Inputs'!$B$31+'Inputs'!$B$32,'Inputs'!$B$30+'Inputs'!$B$31+'Inputs'!$B$32)/1000+'Inputs'!$B$21+'Inputs'!$B$7+'Inputs'!$B$10))/SQRT((((123-43)*MAX('Inputs'!$B$33,'Inputs'!$B$29+'Inputs'!$B$31+'Inputs'!$B$32,'Inputs'!$B$30+'Inputs'!$B$31+'Inputs'!$B$32)/1000+'Inputs'!$B$21+'Inputs'!$B$7+'Inputs'!$B$10))^2+('Inputs'!$B$8/2)^2))))*'Results'!$B$8),"")</x:f>
        <x:v>546.9524994648217</x:v>
      </x:c>
      <x:c r="K123" t="n">
        <x:f>IF(AND(ISNUMBER('Results'!B7),ISNUMBER('Results'!C7),ISNUMBER('Results'!$B$8),ISNUMBER('Inputs'!$B$6),ISNUMBER('Inputs'!$B$7),ISNUMBER('Inputs'!$B$8),ISNUMBER('Inputs'!$B$9),ISNUMBER('Inputs'!$B$10),ISNUMBER('Inputs'!$B$21),ISNUMBER('Inputs'!$B$24),ISNUMBER('Inputs'!$B$28)),((('Results'!B7*(1-'Inputs'!$B$24)*(0.5*((((123-43)*MAX('Inputs'!$B$33,'Inputs'!$B$29+'Inputs'!$B$31+'Inputs'!$B$32,'Inputs'!$B$30+'Inputs'!$B$31+'Inputs'!$B$32)/1000+'Inputs'!$B$21)+'Inputs'!$B$7)/SQRT((((123-43)*MAX('Inputs'!$B$33,'Inputs'!$B$29+'Inputs'!$B$31+'Inputs'!$B$32,'Inputs'!$B$30+'Inputs'!$B$31+'Inputs'!$B$32)/1000+'Inputs'!$B$21)+'Inputs'!$B$7)^2+('Inputs'!$B$6/2)^2)-(((123-43)*MAX('Inputs'!$B$33,'Inputs'!$B$29+'Inputs'!$B$31+'Inputs'!$B$32,'Inputs'!$B$30+'Inputs'!$B$31+'Inputs'!$B$32)/1000+'Inputs'!$B$21))/SQRT((((123-43)*MAX('Inputs'!$B$33,'Inputs'!$B$29+'Inputs'!$B$31+'Inputs'!$B$32,'Inputs'!$B$30+'Inputs'!$B$31+'Inputs'!$B$32)/1000+'Inputs'!$B$21))^2+('Inputs'!$B$6/2)^2)))-'Results'!C7*(1+'Inputs'!$B$24)*(0.5*((((123-43)*MAX('Inputs'!$B$33,'Inputs'!$B$29+'Inputs'!$B$31+'Inputs'!$B$32,'Inputs'!$B$30+'Inputs'!$B$31+'Inputs'!$B$32)/1000+'Inputs'!$B$21+'Inputs'!$B$7+'Inputs'!$B$10)+'Inputs'!$B$9)/SQRT((((123-43)*MAX('Inputs'!$B$33,'Inputs'!$B$29+'Inputs'!$B$31+'Inputs'!$B$32,'Inputs'!$B$30+'Inputs'!$B$31+'Inputs'!$B$32)/1000+'Inputs'!$B$21+'Inputs'!$B$7+'Inputs'!$B$10)+'Inputs'!$B$9)^2+('Inputs'!$B$8/2)^2)-(((123-43)*MAX('Inputs'!$B$33,'Inputs'!$B$29+'Inputs'!$B$31+'Inputs'!$B$32,'Inputs'!$B$30+'Inputs'!$B$31+'Inputs'!$B$32)/1000+'Inputs'!$B$21+'Inputs'!$B$7+'Inputs'!$B$10))/SQRT((((123-43)*MAX('Inputs'!$B$33,'Inputs'!$B$29+'Inputs'!$B$31+'Inputs'!$B$32,'Inputs'!$B$30+'Inputs'!$B$31+'Inputs'!$B$32)/1000+'Inputs'!$B$21+'Inputs'!$B$7+'Inputs'!$B$10))^2+('Inputs'!$B$8/2)^2))))*'Results'!$B$8)-'Inputs'!$B$28*ABS((('Results'!B7*(1-'Inputs'!$B$24)*(0.5*((((123-43)*MAX('Inputs'!$B$33,'Inputs'!$B$29+'Inputs'!$B$31+'Inputs'!$B$32,'Inputs'!$B$30+'Inputs'!$B$31+'Inputs'!$B$32)/1000+'Inputs'!$B$21)+'Inputs'!$B$7)/SQRT((((123-43)*MAX('Inputs'!$B$33,'Inputs'!$B$29+'Inputs'!$B$31+'Inputs'!$B$32,'Inputs'!$B$30+'Inputs'!$B$31+'Inputs'!$B$32)/1000+'Inputs'!$B$21)+'Inputs'!$B$7)^2+('Inputs'!$B$6/2)^2)-(((123-43)*MAX('Inputs'!$B$33,'Inputs'!$B$29+'Inputs'!$B$31+'Inputs'!$B$32,'Inputs'!$B$30+'Inputs'!$B$31+'Inputs'!$B$32)/1000+'Inputs'!$B$21))/SQRT((((123-43)*MAX('Inputs'!$B$33,'Inputs'!$B$29+'Inputs'!$B$31+'Inputs'!$B$32,'Inputs'!$B$30+'Inputs'!$B$31+'Inputs'!$B$32)/1000+'Inputs'!$B$21))^2+('Inputs'!$B$6/2)^2)))-'Results'!C7*(1+'Inputs'!$B$24)*(0.5*((((123-43)*MAX('Inputs'!$B$33,'Inputs'!$B$29+'Inputs'!$B$31+'Inputs'!$B$32,'Inputs'!$B$30+'Inputs'!$B$31+'Inputs'!$B$32)/1000+'Inputs'!$B$21+'Inputs'!$B$7+'Inputs'!$B$10)+'Inputs'!$B$9)/SQRT((((123-43)*MAX('Inputs'!$B$33,'Inputs'!$B$29+'Inputs'!$B$31+'Inputs'!$B$32,'Inputs'!$B$30+'Inputs'!$B$31+'Inputs'!$B$32)/1000+'Inputs'!$B$21+'Inputs'!$B$7+'Inputs'!$B$10)+'Inputs'!$B$9)^2+('Inputs'!$B$8/2)^2)-(((123-43)*MAX('Inputs'!$B$33,'Inputs'!$B$29+'Inputs'!$B$31+'Inputs'!$B$32,'Inputs'!$B$30+'Inputs'!$B$31+'Inputs'!$B$32)/1000+'Inputs'!$B$21+'Inputs'!$B$7+'Inputs'!$B$10))/SQRT((((123-43)*MAX('Inputs'!$B$33,'Inputs'!$B$29+'Inputs'!$B$31+'Inputs'!$B$32,'Inputs'!$B$30+'Inputs'!$B$31+'Inputs'!$B$32)/1000+'Inputs'!$B$21+'Inputs'!$B$7+'Inputs'!$B$10))^2+('Inputs'!$B$8/2)^2))))*'Results'!$B$8))),"")</x:f>
        <x:v>505.0190158215858</x:v>
      </x:c>
      <x:c r="L123" t="n">
        <x:f>IF(AND(ISNUMBER('Results'!B7),ISNUMBER('Results'!C7),ISNUMBER('Results'!$B$8),ISNUMBER('Inputs'!$B$6),ISNUMBER('Inputs'!$B$7),ISNUMBER('Inputs'!$B$8),ISNUMBER('Inputs'!$B$9),ISNUMBER('Inputs'!$B$10),ISNUMBER('Inputs'!$B$21),ISNUMBER('Inputs'!$B$24),ISNUMBER('Inputs'!$B$28)),((('Results'!B7*(1+'Inputs'!$B$24)*(0.5*((((123-43)*MAX('Inputs'!$B$33,'Inputs'!$B$29+'Inputs'!$B$31+'Inputs'!$B$32,'Inputs'!$B$30+'Inputs'!$B$31+'Inputs'!$B$32)/1000+'Inputs'!$B$21)+'Inputs'!$B$7)/SQRT((((123-43)*MAX('Inputs'!$B$33,'Inputs'!$B$29+'Inputs'!$B$31+'Inputs'!$B$32,'Inputs'!$B$30+'Inputs'!$B$31+'Inputs'!$B$32)/1000+'Inputs'!$B$21)+'Inputs'!$B$7)^2+('Inputs'!$B$6/2)^2)-(((123-43)*MAX('Inputs'!$B$33,'Inputs'!$B$29+'Inputs'!$B$31+'Inputs'!$B$32,'Inputs'!$B$30+'Inputs'!$B$31+'Inputs'!$B$32)/1000+'Inputs'!$B$21))/SQRT((((123-43)*MAX('Inputs'!$B$33,'Inputs'!$B$29+'Inputs'!$B$31+'Inputs'!$B$32,'Inputs'!$B$30+'Inputs'!$B$31+'Inputs'!$B$32)/1000+'Inputs'!$B$21))^2+('Inputs'!$B$6/2)^2)))-'Results'!C7*(1-'Inputs'!$B$24)*(0.5*((((123-43)*MAX('Inputs'!$B$33,'Inputs'!$B$29+'Inputs'!$B$31+'Inputs'!$B$32,'Inputs'!$B$30+'Inputs'!$B$31+'Inputs'!$B$32)/1000+'Inputs'!$B$21+'Inputs'!$B$7+'Inputs'!$B$10)+'Inputs'!$B$9)/SQRT((((123-43)*MAX('Inputs'!$B$33,'Inputs'!$B$29+'Inputs'!$B$31+'Inputs'!$B$32,'Inputs'!$B$30+'Inputs'!$B$31+'Inputs'!$B$32)/1000+'Inputs'!$B$21+'Inputs'!$B$7+'Inputs'!$B$10)+'Inputs'!$B$9)^2+('Inputs'!$B$8/2)^2)-(((123-43)*MAX('Inputs'!$B$33,'Inputs'!$B$29+'Inputs'!$B$31+'Inputs'!$B$32,'Inputs'!$B$30+'Inputs'!$B$31+'Inputs'!$B$32)/1000+'Inputs'!$B$21+'Inputs'!$B$7+'Inputs'!$B$10))/SQRT((((123-43)*MAX('Inputs'!$B$33,'Inputs'!$B$29+'Inputs'!$B$31+'Inputs'!$B$32,'Inputs'!$B$30+'Inputs'!$B$31+'Inputs'!$B$32)/1000+'Inputs'!$B$21+'Inputs'!$B$7+'Inputs'!$B$10))^2+('Inputs'!$B$8/2)^2))))*'Results'!$B$8)+'Inputs'!$B$28*ABS((('Results'!B7*(1+'Inputs'!$B$24)*(0.5*((((123-43)*MAX('Inputs'!$B$33,'Inputs'!$B$29+'Inputs'!$B$31+'Inputs'!$B$32,'Inputs'!$B$30+'Inputs'!$B$31+'Inputs'!$B$32)/1000+'Inputs'!$B$21)+'Inputs'!$B$7)/SQRT((((123-43)*MAX('Inputs'!$B$33,'Inputs'!$B$29+'Inputs'!$B$31+'Inputs'!$B$32,'Inputs'!$B$30+'Inputs'!$B$31+'Inputs'!$B$32)/1000+'Inputs'!$B$21)+'Inputs'!$B$7)^2+('Inputs'!$B$6/2)^2)-(((123-43)*MAX('Inputs'!$B$33,'Inputs'!$B$29+'Inputs'!$B$31+'Inputs'!$B$32,'Inputs'!$B$30+'Inputs'!$B$31+'Inputs'!$B$32)/1000+'Inputs'!$B$21))/SQRT((((123-43)*MAX('Inputs'!$B$33,'Inputs'!$B$29+'Inputs'!$B$31+'Inputs'!$B$32,'Inputs'!$B$30+'Inputs'!$B$31+'Inputs'!$B$32)/1000+'Inputs'!$B$21))^2+('Inputs'!$B$6/2)^2)))-'Results'!C7*(1-'Inputs'!$B$24)*(0.5*((((123-43)*MAX('Inputs'!$B$33,'Inputs'!$B$29+'Inputs'!$B$31+'Inputs'!$B$32,'Inputs'!$B$30+'Inputs'!$B$31+'Inputs'!$B$32)/1000+'Inputs'!$B$21+'Inputs'!$B$7+'Inputs'!$B$10)+'Inputs'!$B$9)/SQRT((((123-43)*MAX('Inputs'!$B$33,'Inputs'!$B$29+'Inputs'!$B$31+'Inputs'!$B$32,'Inputs'!$B$30+'Inputs'!$B$31+'Inputs'!$B$32)/1000+'Inputs'!$B$21+'Inputs'!$B$7+'Inputs'!$B$10)+'Inputs'!$B$9)^2+('Inputs'!$B$8/2)^2)-(((123-43)*MAX('Inputs'!$B$33,'Inputs'!$B$29+'Inputs'!$B$31+'Inputs'!$B$32,'Inputs'!$B$30+'Inputs'!$B$31+'Inputs'!$B$32)/1000+'Inputs'!$B$21+'Inputs'!$B$7+'Inputs'!$B$10))/SQRT((((123-43)*MAX('Inputs'!$B$33,'Inputs'!$B$29+'Inputs'!$B$31+'Inputs'!$B$32,'Inputs'!$B$30+'Inputs'!$B$31+'Inputs'!$B$32)/1000+'Inputs'!$B$21+'Inputs'!$B$7+'Inputs'!$B$10))^2+('Inputs'!$B$8/2)^2))))*'Results'!$B$8))),"")</x:f>
        <x:v>590.4213366522674</x:v>
      </x:c>
      <x:c r="M123" t="n">
        <x:f>IF(AND(ISNUMBER('Results'!C7),ISNUMBER('Results'!B7),ISNUMBER('Results'!$B$8),ISNUMBER('Inputs'!$B$6),ISNUMBER('Inputs'!$B$7),ISNUMBER('Inputs'!$B$8),ISNUMBER('Inputs'!$B$9),ISNUMBER('Inputs'!$B$10),ISNUMBER('Inputs'!$B$21),ISNUMBER('Inputs'!$B$24),ISNUMBER('Inputs'!$B$28)),(('Results'!C7*(0.5*((((123-43)*MAX('Inputs'!$B$33,'Inputs'!$B$29+'Inputs'!$B$31+'Inputs'!$B$32,'Inputs'!$B$30+'Inputs'!$B$31+'Inputs'!$B$32)/1000+'Inputs'!$B$21)+'Inputs'!$B$9)/SQRT((((123-43)*MAX('Inputs'!$B$33,'Inputs'!$B$29+'Inputs'!$B$31+'Inputs'!$B$32,'Inputs'!$B$30+'Inputs'!$B$31+'Inputs'!$B$32)/1000+'Inputs'!$B$21)+'Inputs'!$B$9)^2+('Inputs'!$B$8/2)^2)-(((123-43)*MAX('Inputs'!$B$33,'Inputs'!$B$29+'Inputs'!$B$31+'Inputs'!$B$32,'Inputs'!$B$30+'Inputs'!$B$31+'Inputs'!$B$32)/1000+'Inputs'!$B$21))/SQRT((((123-43)*MAX('Inputs'!$B$33,'Inputs'!$B$29+'Inputs'!$B$31+'Inputs'!$B$32,'Inputs'!$B$30+'Inputs'!$B$31+'Inputs'!$B$32)/1000+'Inputs'!$B$21))^2+('Inputs'!$B$8/2)^2)))-'Results'!B7*(0.5*((((123-43)*MAX('Inputs'!$B$33,'Inputs'!$B$29+'Inputs'!$B$31+'Inputs'!$B$32,'Inputs'!$B$30+'Inputs'!$B$31+'Inputs'!$B$32)/1000+'Inputs'!$B$21+'Inputs'!$B$9+'Inputs'!$B$10)+'Inputs'!$B$7)/SQRT((((123-43)*MAX('Inputs'!$B$33,'Inputs'!$B$29+'Inputs'!$B$31+'Inputs'!$B$32,'Inputs'!$B$30+'Inputs'!$B$31+'Inputs'!$B$32)/1000+'Inputs'!$B$21+'Inputs'!$B$9+'Inputs'!$B$10)+'Inputs'!$B$7)^2+('Inputs'!$B$6/2)^2)-(((123-43)*MAX('Inputs'!$B$33,'Inputs'!$B$29+'Inputs'!$B$31+'Inputs'!$B$32,'Inputs'!$B$30+'Inputs'!$B$31+'Inputs'!$B$32)/1000+'Inputs'!$B$21+'Inputs'!$B$9+'Inputs'!$B$10))/SQRT((((123-43)*MAX('Inputs'!$B$33,'Inputs'!$B$29+'Inputs'!$B$31+'Inputs'!$B$32,'Inputs'!$B$30+'Inputs'!$B$31+'Inputs'!$B$32)/1000+'Inputs'!$B$21+'Inputs'!$B$9+'Inputs'!$B$10))^2+('Inputs'!$B$6/2)^2))))*'Results'!$B$8),"")</x:f>
        <x:v>531.5539182527954</x:v>
      </x:c>
      <x:c r="N123" t="n">
        <x:f>IF(AND(ISNUMBER('Results'!C7),ISNUMBER('Results'!B7),ISNUMBER('Results'!$B$8),ISNUMBER('Inputs'!$B$6),ISNUMBER('Inputs'!$B$7),ISNUMBER('Inputs'!$B$8),ISNUMBER('Inputs'!$B$9),ISNUMBER('Inputs'!$B$10),ISNUMBER('Inputs'!$B$21),ISNUMBER('Inputs'!$B$24),ISNUMBER('Inputs'!$B$28)),((('Results'!C7*(1-'Inputs'!$B$24)*(0.5*((((123-43)*MAX('Inputs'!$B$33,'Inputs'!$B$29+'Inputs'!$B$31+'Inputs'!$B$32,'Inputs'!$B$30+'Inputs'!$B$31+'Inputs'!$B$32)/1000+'Inputs'!$B$21)+'Inputs'!$B$9)/SQRT((((123-43)*MAX('Inputs'!$B$33,'Inputs'!$B$29+'Inputs'!$B$31+'Inputs'!$B$32,'Inputs'!$B$30+'Inputs'!$B$31+'Inputs'!$B$32)/1000+'Inputs'!$B$21)+'Inputs'!$B$9)^2+('Inputs'!$B$8/2)^2)-(((123-43)*MAX('Inputs'!$B$33,'Inputs'!$B$29+'Inputs'!$B$31+'Inputs'!$B$32,'Inputs'!$B$30+'Inputs'!$B$31+'Inputs'!$B$32)/1000+'Inputs'!$B$21))/SQRT((((123-43)*MAX('Inputs'!$B$33,'Inputs'!$B$29+'Inputs'!$B$31+'Inputs'!$B$32,'Inputs'!$B$30+'Inputs'!$B$31+'Inputs'!$B$32)/1000+'Inputs'!$B$21))^2+('Inputs'!$B$8/2)^2)))-'Results'!B7*(1+'Inputs'!$B$24)*(0.5*((((123-43)*MAX('Inputs'!$B$33,'Inputs'!$B$29+'Inputs'!$B$31+'Inputs'!$B$32,'Inputs'!$B$30+'Inputs'!$B$31+'Inputs'!$B$32)/1000+'Inputs'!$B$21+'Inputs'!$B$9+'Inputs'!$B$10)+'Inputs'!$B$7)/SQRT((((123-43)*MAX('Inputs'!$B$33,'Inputs'!$B$29+'Inputs'!$B$31+'Inputs'!$B$32,'Inputs'!$B$30+'Inputs'!$B$31+'Inputs'!$B$32)/1000+'Inputs'!$B$21+'Inputs'!$B$9+'Inputs'!$B$10)+'Inputs'!$B$7)^2+('Inputs'!$B$6/2)^2)-(((123-43)*MAX('Inputs'!$B$33,'Inputs'!$B$29+'Inputs'!$B$31+'Inputs'!$B$32,'Inputs'!$B$30+'Inputs'!$B$31+'Inputs'!$B$32)/1000+'Inputs'!$B$21+'Inputs'!$B$9+'Inputs'!$B$10))/SQRT((((123-43)*MAX('Inputs'!$B$33,'Inputs'!$B$29+'Inputs'!$B$31+'Inputs'!$B$32,'Inputs'!$B$30+'Inputs'!$B$31+'Inputs'!$B$32)/1000+'Inputs'!$B$21+'Inputs'!$B$9+'Inputs'!$B$10))^2+('Inputs'!$B$6/2)^2))))*'Results'!$B$8)-'Inputs'!$B$28*ABS((('Results'!C7*(1-'Inputs'!$B$24)*(0.5*((((123-43)*MAX('Inputs'!$B$33,'Inputs'!$B$29+'Inputs'!$B$31+'Inputs'!$B$32,'Inputs'!$B$30+'Inputs'!$B$31+'Inputs'!$B$32)/1000+'Inputs'!$B$21)+'Inputs'!$B$9)/SQRT((((123-43)*MAX('Inputs'!$B$33,'Inputs'!$B$29+'Inputs'!$B$31+'Inputs'!$B$32,'Inputs'!$B$30+'Inputs'!$B$31+'Inputs'!$B$32)/1000+'Inputs'!$B$21)+'Inputs'!$B$9)^2+('Inputs'!$B$8/2)^2)-(((123-43)*MAX('Inputs'!$B$33,'Inputs'!$B$29+'Inputs'!$B$31+'Inputs'!$B$32,'Inputs'!$B$30+'Inputs'!$B$31+'Inputs'!$B$32)/1000+'Inputs'!$B$21))/SQRT((((123-43)*MAX('Inputs'!$B$33,'Inputs'!$B$29+'Inputs'!$B$31+'Inputs'!$B$32,'Inputs'!$B$30+'Inputs'!$B$31+'Inputs'!$B$32)/1000+'Inputs'!$B$21))^2+('Inputs'!$B$8/2)^2)))-'Results'!B7*(1+'Inputs'!$B$24)*(0.5*((((123-43)*MAX('Inputs'!$B$33,'Inputs'!$B$29+'Inputs'!$B$31+'Inputs'!$B$32,'Inputs'!$B$30+'Inputs'!$B$31+'Inputs'!$B$32)/1000+'Inputs'!$B$21+'Inputs'!$B$9+'Inputs'!$B$10)+'Inputs'!$B$7)/SQRT((((123-43)*MAX('Inputs'!$B$33,'Inputs'!$B$29+'Inputs'!$B$31+'Inputs'!$B$32,'Inputs'!$B$30+'Inputs'!$B$31+'Inputs'!$B$32)/1000+'Inputs'!$B$21+'Inputs'!$B$9+'Inputs'!$B$10)+'Inputs'!$B$7)^2+('Inputs'!$B$6/2)^2)-(((123-43)*MAX('Inputs'!$B$33,'Inputs'!$B$29+'Inputs'!$B$31+'Inputs'!$B$32,'Inputs'!$B$30+'Inputs'!$B$31+'Inputs'!$B$32)/1000+'Inputs'!$B$21+'Inputs'!$B$9+'Inputs'!$B$10))/SQRT((((123-43)*MAX('Inputs'!$B$33,'Inputs'!$B$29+'Inputs'!$B$31+'Inputs'!$B$32,'Inputs'!$B$30+'Inputs'!$B$31+'Inputs'!$B$32)/1000+'Inputs'!$B$21+'Inputs'!$B$9+'Inputs'!$B$10))^2+('Inputs'!$B$6/2)^2))))*'Results'!$B$8))),"")</x:f>
        <x:v>490.5973497503287</x:v>
      </x:c>
      <x:c r="O123" t="n">
        <x:f>IF(AND(ISNUMBER('Results'!C7),ISNUMBER('Results'!B7),ISNUMBER('Results'!$B$8),ISNUMBER('Inputs'!$B$6),ISNUMBER('Inputs'!$B$7),ISNUMBER('Inputs'!$B$8),ISNUMBER('Inputs'!$B$9),ISNUMBER('Inputs'!$B$10),ISNUMBER('Inputs'!$B$21),ISNUMBER('Inputs'!$B$24),ISNUMBER('Inputs'!$B$28)),((('Results'!C7*(1+'Inputs'!$B$24)*(0.5*((((123-43)*MAX('Inputs'!$B$33,'Inputs'!$B$29+'Inputs'!$B$31+'Inputs'!$B$32,'Inputs'!$B$30+'Inputs'!$B$31+'Inputs'!$B$32)/1000+'Inputs'!$B$21)+'Inputs'!$B$9)/SQRT((((123-43)*MAX('Inputs'!$B$33,'Inputs'!$B$29+'Inputs'!$B$31+'Inputs'!$B$32,'Inputs'!$B$30+'Inputs'!$B$31+'Inputs'!$B$32)/1000+'Inputs'!$B$21)+'Inputs'!$B$9)^2+('Inputs'!$B$8/2)^2)-(((123-43)*MAX('Inputs'!$B$33,'Inputs'!$B$29+'Inputs'!$B$31+'Inputs'!$B$32,'Inputs'!$B$30+'Inputs'!$B$31+'Inputs'!$B$32)/1000+'Inputs'!$B$21))/SQRT((((123-43)*MAX('Inputs'!$B$33,'Inputs'!$B$29+'Inputs'!$B$31+'Inputs'!$B$32,'Inputs'!$B$30+'Inputs'!$B$31+'Inputs'!$B$32)/1000+'Inputs'!$B$21))^2+('Inputs'!$B$8/2)^2)))-'Results'!B7*(1-'Inputs'!$B$24)*(0.5*((((123-43)*MAX('Inputs'!$B$33,'Inputs'!$B$29+'Inputs'!$B$31+'Inputs'!$B$32,'Inputs'!$B$30+'Inputs'!$B$31+'Inputs'!$B$32)/1000+'Inputs'!$B$21+'Inputs'!$B$9+'Inputs'!$B$10)+'Inputs'!$B$7)/SQRT((((123-43)*MAX('Inputs'!$B$33,'Inputs'!$B$29+'Inputs'!$B$31+'Inputs'!$B$32,'Inputs'!$B$30+'Inputs'!$B$31+'Inputs'!$B$32)/1000+'Inputs'!$B$21+'Inputs'!$B$9+'Inputs'!$B$10)+'Inputs'!$B$7)^2+('Inputs'!$B$6/2)^2)-(((123-43)*MAX('Inputs'!$B$33,'Inputs'!$B$29+'Inputs'!$B$31+'Inputs'!$B$32,'Inputs'!$B$30+'Inputs'!$B$31+'Inputs'!$B$32)/1000+'Inputs'!$B$21+'Inputs'!$B$9+'Inputs'!$B$10))/SQRT((((123-43)*MAX('Inputs'!$B$33,'Inputs'!$B$29+'Inputs'!$B$31+'Inputs'!$B$32,'Inputs'!$B$30+'Inputs'!$B$31+'Inputs'!$B$32)/1000+'Inputs'!$B$21+'Inputs'!$B$9+'Inputs'!$B$10))^2+('Inputs'!$B$6/2)^2))))*'Results'!$B$8)+'Inputs'!$B$28*ABS((('Results'!C7*(1+'Inputs'!$B$24)*(0.5*((((123-43)*MAX('Inputs'!$B$33,'Inputs'!$B$29+'Inputs'!$B$31+'Inputs'!$B$32,'Inputs'!$B$30+'Inputs'!$B$31+'Inputs'!$B$32)/1000+'Inputs'!$B$21)+'Inputs'!$B$9)/SQRT((((123-43)*MAX('Inputs'!$B$33,'Inputs'!$B$29+'Inputs'!$B$31+'Inputs'!$B$32,'Inputs'!$B$30+'Inputs'!$B$31+'Inputs'!$B$32)/1000+'Inputs'!$B$21)+'Inputs'!$B$9)^2+('Inputs'!$B$8/2)^2)-(((123-43)*MAX('Inputs'!$B$33,'Inputs'!$B$29+'Inputs'!$B$31+'Inputs'!$B$32,'Inputs'!$B$30+'Inputs'!$B$31+'Inputs'!$B$32)/1000+'Inputs'!$B$21))/SQRT((((123-43)*MAX('Inputs'!$B$33,'Inputs'!$B$29+'Inputs'!$B$31+'Inputs'!$B$32,'Inputs'!$B$30+'Inputs'!$B$31+'Inputs'!$B$32)/1000+'Inputs'!$B$21))^2+('Inputs'!$B$8/2)^2)))-'Results'!B7*(1-'Inputs'!$B$24)*(0.5*((((123-43)*MAX('Inputs'!$B$33,'Inputs'!$B$29+'Inputs'!$B$31+'Inputs'!$B$32,'Inputs'!$B$30+'Inputs'!$B$31+'Inputs'!$B$32)/1000+'Inputs'!$B$21+'Inputs'!$B$9+'Inputs'!$B$10)+'Inputs'!$B$7)/SQRT((((123-43)*MAX('Inputs'!$B$33,'Inputs'!$B$29+'Inputs'!$B$31+'Inputs'!$B$32,'Inputs'!$B$30+'Inputs'!$B$31+'Inputs'!$B$32)/1000+'Inputs'!$B$21+'Inputs'!$B$9+'Inputs'!$B$10)+'Inputs'!$B$7)^2+('Inputs'!$B$6/2)^2)-(((123-43)*MAX('Inputs'!$B$33,'Inputs'!$B$29+'Inputs'!$B$31+'Inputs'!$B$32,'Inputs'!$B$30+'Inputs'!$B$31+'Inputs'!$B$32)/1000+'Inputs'!$B$21+'Inputs'!$B$9+'Inputs'!$B$10))/SQRT((((123-43)*MAX('Inputs'!$B$33,'Inputs'!$B$29+'Inputs'!$B$31+'Inputs'!$B$32,'Inputs'!$B$30+'Inputs'!$B$31+'Inputs'!$B$32)/1000+'Inputs'!$B$21+'Inputs'!$B$9+'Inputs'!$B$10))^2+('Inputs'!$B$6/2)^2))))*'Results'!$B$8))),"")</x:f>
        <x:v>574.0240522910332</x:v>
      </x:c>
      <x:c r="P123" t="n">
        <x:f>IF(AND(MAX(J123,J122)&gt;0,J123&gt;J122+0.00000001),1,0)</x:f>
        <x:v>0</x:v>
      </x:c>
      <x:c r="Q123" t="n">
        <x:f>IF(AND(MAX(K123,K122)&gt;0,K123&gt;K122+0.00000001),1,0)</x:f>
        <x:v>0</x:v>
      </x:c>
      <x:c r="R123" t="n">
        <x:f>IF(AND(MAX(L123,L122)&gt;0,L123&gt;L122+0.00000001),1,0)</x:f>
        <x:v>0</x:v>
      </x:c>
      <x:c r="S123" t="n">
        <x:f>IF(AND(MAX(M123,M122)&gt;0,M123&gt;M122+0.00000001),1,0)</x:f>
        <x:v>0</x:v>
      </x:c>
      <x:c r="T123" t="n">
        <x:f>IF(AND(MAX(N123,N122)&gt;0,N123&gt;N122+0.00000001),1,0)</x:f>
        <x:v>0</x:v>
      </x:c>
      <x:c r="U123" t="n">
        <x:f>IF(AND(MAX(O123,O122)&gt;0,O123&gt;O122+0.00000001),1,0)</x:f>
        <x:v>0</x:v>
      </x:c>
    </x:row>
    <x:row r="124">
      <x:c r="J124" t="n">
        <x:f>IF(AND(ISNUMBER('Results'!B7),ISNUMBER('Results'!C7),ISNUMBER('Results'!$B$8),ISNUMBER('Inputs'!$B$6),ISNUMBER('Inputs'!$B$7),ISNUMBER('Inputs'!$B$8),ISNUMBER('Inputs'!$B$9),ISNUMBER('Inputs'!$B$10),ISNUMBER('Inputs'!$B$21),ISNUMBER('Inputs'!$B$24),ISNUMBER('Inputs'!$B$28)),(('Results'!B7*(0.5*((((124-43)*MAX('Inputs'!$B$33,'Inputs'!$B$29+'Inputs'!$B$31+'Inputs'!$B$32,'Inputs'!$B$30+'Inputs'!$B$31+'Inputs'!$B$32)/1000+'Inputs'!$B$21)+'Inputs'!$B$7)/SQRT((((124-43)*MAX('Inputs'!$B$33,'Inputs'!$B$29+'Inputs'!$B$31+'Inputs'!$B$32,'Inputs'!$B$30+'Inputs'!$B$31+'Inputs'!$B$32)/1000+'Inputs'!$B$21)+'Inputs'!$B$7)^2+('Inputs'!$B$6/2)^2)-(((124-43)*MAX('Inputs'!$B$33,'Inputs'!$B$29+'Inputs'!$B$31+'Inputs'!$B$32,'Inputs'!$B$30+'Inputs'!$B$31+'Inputs'!$B$32)/1000+'Inputs'!$B$21))/SQRT((((124-43)*MAX('Inputs'!$B$33,'Inputs'!$B$29+'Inputs'!$B$31+'Inputs'!$B$32,'Inputs'!$B$30+'Inputs'!$B$31+'Inputs'!$B$32)/1000+'Inputs'!$B$21))^2+('Inputs'!$B$6/2)^2)))-'Results'!C7*(0.5*((((124-43)*MAX('Inputs'!$B$33,'Inputs'!$B$29+'Inputs'!$B$31+'Inputs'!$B$32,'Inputs'!$B$30+'Inputs'!$B$31+'Inputs'!$B$32)/1000+'Inputs'!$B$21+'Inputs'!$B$7+'Inputs'!$B$10)+'Inputs'!$B$9)/SQRT((((124-43)*MAX('Inputs'!$B$33,'Inputs'!$B$29+'Inputs'!$B$31+'Inputs'!$B$32,'Inputs'!$B$30+'Inputs'!$B$31+'Inputs'!$B$32)/1000+'Inputs'!$B$21+'Inputs'!$B$7+'Inputs'!$B$10)+'Inputs'!$B$9)^2+('Inputs'!$B$8/2)^2)-(((124-43)*MAX('Inputs'!$B$33,'Inputs'!$B$29+'Inputs'!$B$31+'Inputs'!$B$32,'Inputs'!$B$30+'Inputs'!$B$31+'Inputs'!$B$32)/1000+'Inputs'!$B$21+'Inputs'!$B$7+'Inputs'!$B$10))/SQRT((((124-43)*MAX('Inputs'!$B$33,'Inputs'!$B$29+'Inputs'!$B$31+'Inputs'!$B$32,'Inputs'!$B$30+'Inputs'!$B$31+'Inputs'!$B$32)/1000+'Inputs'!$B$21+'Inputs'!$B$7+'Inputs'!$B$10))^2+('Inputs'!$B$8/2)^2))))*'Results'!$B$8),"")</x:f>
        <x:v>536.3238467831851</x:v>
      </x:c>
      <x:c r="K124" t="n">
        <x:f>IF(AND(ISNUMBER('Results'!B7),ISNUMBER('Results'!C7),ISNUMBER('Results'!$B$8),ISNUMBER('Inputs'!$B$6),ISNUMBER('Inputs'!$B$7),ISNUMBER('Inputs'!$B$8),ISNUMBER('Inputs'!$B$9),ISNUMBER('Inputs'!$B$10),ISNUMBER('Inputs'!$B$21),ISNUMBER('Inputs'!$B$24),ISNUMBER('Inputs'!$B$28)),((('Results'!B7*(1-'Inputs'!$B$24)*(0.5*((((124-43)*MAX('Inputs'!$B$33,'Inputs'!$B$29+'Inputs'!$B$31+'Inputs'!$B$32,'Inputs'!$B$30+'Inputs'!$B$31+'Inputs'!$B$32)/1000+'Inputs'!$B$21)+'Inputs'!$B$7)/SQRT((((124-43)*MAX('Inputs'!$B$33,'Inputs'!$B$29+'Inputs'!$B$31+'Inputs'!$B$32,'Inputs'!$B$30+'Inputs'!$B$31+'Inputs'!$B$32)/1000+'Inputs'!$B$21)+'Inputs'!$B$7)^2+('Inputs'!$B$6/2)^2)-(((124-43)*MAX('Inputs'!$B$33,'Inputs'!$B$29+'Inputs'!$B$31+'Inputs'!$B$32,'Inputs'!$B$30+'Inputs'!$B$31+'Inputs'!$B$32)/1000+'Inputs'!$B$21))/SQRT((((124-43)*MAX('Inputs'!$B$33,'Inputs'!$B$29+'Inputs'!$B$31+'Inputs'!$B$32,'Inputs'!$B$30+'Inputs'!$B$31+'Inputs'!$B$32)/1000+'Inputs'!$B$21))^2+('Inputs'!$B$6/2)^2)))-'Results'!C7*(1+'Inputs'!$B$24)*(0.5*((((124-43)*MAX('Inputs'!$B$33,'Inputs'!$B$29+'Inputs'!$B$31+'Inputs'!$B$32,'Inputs'!$B$30+'Inputs'!$B$31+'Inputs'!$B$32)/1000+'Inputs'!$B$21+'Inputs'!$B$7+'Inputs'!$B$10)+'Inputs'!$B$9)/SQRT((((124-43)*MAX('Inputs'!$B$33,'Inputs'!$B$29+'Inputs'!$B$31+'Inputs'!$B$32,'Inputs'!$B$30+'Inputs'!$B$31+'Inputs'!$B$32)/1000+'Inputs'!$B$21+'Inputs'!$B$7+'Inputs'!$B$10)+'Inputs'!$B$9)^2+('Inputs'!$B$8/2)^2)-(((124-43)*MAX('Inputs'!$B$33,'Inputs'!$B$29+'Inputs'!$B$31+'Inputs'!$B$32,'Inputs'!$B$30+'Inputs'!$B$31+'Inputs'!$B$32)/1000+'Inputs'!$B$21+'Inputs'!$B$7+'Inputs'!$B$10))/SQRT((((124-43)*MAX('Inputs'!$B$33,'Inputs'!$B$29+'Inputs'!$B$31+'Inputs'!$B$32,'Inputs'!$B$30+'Inputs'!$B$31+'Inputs'!$B$32)/1000+'Inputs'!$B$21+'Inputs'!$B$7+'Inputs'!$B$10))^2+('Inputs'!$B$8/2)^2))))*'Results'!$B$8)-'Inputs'!$B$28*ABS((('Results'!B7*(1-'Inputs'!$B$24)*(0.5*((((124-43)*MAX('Inputs'!$B$33,'Inputs'!$B$29+'Inputs'!$B$31+'Inputs'!$B$32,'Inputs'!$B$30+'Inputs'!$B$31+'Inputs'!$B$32)/1000+'Inputs'!$B$21)+'Inputs'!$B$7)/SQRT((((124-43)*MAX('Inputs'!$B$33,'Inputs'!$B$29+'Inputs'!$B$31+'Inputs'!$B$32,'Inputs'!$B$30+'Inputs'!$B$31+'Inputs'!$B$32)/1000+'Inputs'!$B$21)+'Inputs'!$B$7)^2+('Inputs'!$B$6/2)^2)-(((124-43)*MAX('Inputs'!$B$33,'Inputs'!$B$29+'Inputs'!$B$31+'Inputs'!$B$32,'Inputs'!$B$30+'Inputs'!$B$31+'Inputs'!$B$32)/1000+'Inputs'!$B$21))/SQRT((((124-43)*MAX('Inputs'!$B$33,'Inputs'!$B$29+'Inputs'!$B$31+'Inputs'!$B$32,'Inputs'!$B$30+'Inputs'!$B$31+'Inputs'!$B$32)/1000+'Inputs'!$B$21))^2+('Inputs'!$B$6/2)^2)))-'Results'!C7*(1+'Inputs'!$B$24)*(0.5*((((124-43)*MAX('Inputs'!$B$33,'Inputs'!$B$29+'Inputs'!$B$31+'Inputs'!$B$32,'Inputs'!$B$30+'Inputs'!$B$31+'Inputs'!$B$32)/1000+'Inputs'!$B$21+'Inputs'!$B$7+'Inputs'!$B$10)+'Inputs'!$B$9)/SQRT((((124-43)*MAX('Inputs'!$B$33,'Inputs'!$B$29+'Inputs'!$B$31+'Inputs'!$B$32,'Inputs'!$B$30+'Inputs'!$B$31+'Inputs'!$B$32)/1000+'Inputs'!$B$21+'Inputs'!$B$7+'Inputs'!$B$10)+'Inputs'!$B$9)^2+('Inputs'!$B$8/2)^2)-(((124-43)*MAX('Inputs'!$B$33,'Inputs'!$B$29+'Inputs'!$B$31+'Inputs'!$B$32,'Inputs'!$B$30+'Inputs'!$B$31+'Inputs'!$B$32)/1000+'Inputs'!$B$21+'Inputs'!$B$7+'Inputs'!$B$10))/SQRT((((124-43)*MAX('Inputs'!$B$33,'Inputs'!$B$29+'Inputs'!$B$31+'Inputs'!$B$32,'Inputs'!$B$30+'Inputs'!$B$31+'Inputs'!$B$32)/1000+'Inputs'!$B$21+'Inputs'!$B$7+'Inputs'!$B$10))^2+('Inputs'!$B$8/2)^2))))*'Results'!$B$8))),"")</x:f>
        <x:v>495.1752745865444</x:v>
      </x:c>
      <x:c r="L124" t="n">
        <x:f>IF(AND(ISNUMBER('Results'!B7),ISNUMBER('Results'!C7),ISNUMBER('Results'!$B$8),ISNUMBER('Inputs'!$B$6),ISNUMBER('Inputs'!$B$7),ISNUMBER('Inputs'!$B$8),ISNUMBER('Inputs'!$B$9),ISNUMBER('Inputs'!$B$10),ISNUMBER('Inputs'!$B$21),ISNUMBER('Inputs'!$B$24),ISNUMBER('Inputs'!$B$28)),((('Results'!B7*(1+'Inputs'!$B$24)*(0.5*((((124-43)*MAX('Inputs'!$B$33,'Inputs'!$B$29+'Inputs'!$B$31+'Inputs'!$B$32,'Inputs'!$B$30+'Inputs'!$B$31+'Inputs'!$B$32)/1000+'Inputs'!$B$21)+'Inputs'!$B$7)/SQRT((((124-43)*MAX('Inputs'!$B$33,'Inputs'!$B$29+'Inputs'!$B$31+'Inputs'!$B$32,'Inputs'!$B$30+'Inputs'!$B$31+'Inputs'!$B$32)/1000+'Inputs'!$B$21)+'Inputs'!$B$7)^2+('Inputs'!$B$6/2)^2)-(((124-43)*MAX('Inputs'!$B$33,'Inputs'!$B$29+'Inputs'!$B$31+'Inputs'!$B$32,'Inputs'!$B$30+'Inputs'!$B$31+'Inputs'!$B$32)/1000+'Inputs'!$B$21))/SQRT((((124-43)*MAX('Inputs'!$B$33,'Inputs'!$B$29+'Inputs'!$B$31+'Inputs'!$B$32,'Inputs'!$B$30+'Inputs'!$B$31+'Inputs'!$B$32)/1000+'Inputs'!$B$21))^2+('Inputs'!$B$6/2)^2)))-'Results'!C7*(1-'Inputs'!$B$24)*(0.5*((((124-43)*MAX('Inputs'!$B$33,'Inputs'!$B$29+'Inputs'!$B$31+'Inputs'!$B$32,'Inputs'!$B$30+'Inputs'!$B$31+'Inputs'!$B$32)/1000+'Inputs'!$B$21+'Inputs'!$B$7+'Inputs'!$B$10)+'Inputs'!$B$9)/SQRT((((124-43)*MAX('Inputs'!$B$33,'Inputs'!$B$29+'Inputs'!$B$31+'Inputs'!$B$32,'Inputs'!$B$30+'Inputs'!$B$31+'Inputs'!$B$32)/1000+'Inputs'!$B$21+'Inputs'!$B$7+'Inputs'!$B$10)+'Inputs'!$B$9)^2+('Inputs'!$B$8/2)^2)-(((124-43)*MAX('Inputs'!$B$33,'Inputs'!$B$29+'Inputs'!$B$31+'Inputs'!$B$32,'Inputs'!$B$30+'Inputs'!$B$31+'Inputs'!$B$32)/1000+'Inputs'!$B$21+'Inputs'!$B$7+'Inputs'!$B$10))/SQRT((((124-43)*MAX('Inputs'!$B$33,'Inputs'!$B$29+'Inputs'!$B$31+'Inputs'!$B$32,'Inputs'!$B$30+'Inputs'!$B$31+'Inputs'!$B$32)/1000+'Inputs'!$B$21+'Inputs'!$B$7+'Inputs'!$B$10))^2+('Inputs'!$B$8/2)^2))))*'Results'!$B$8)+'Inputs'!$B$28*ABS((('Results'!B7*(1+'Inputs'!$B$24)*(0.5*((((124-43)*MAX('Inputs'!$B$33,'Inputs'!$B$29+'Inputs'!$B$31+'Inputs'!$B$32,'Inputs'!$B$30+'Inputs'!$B$31+'Inputs'!$B$32)/1000+'Inputs'!$B$21)+'Inputs'!$B$7)/SQRT((((124-43)*MAX('Inputs'!$B$33,'Inputs'!$B$29+'Inputs'!$B$31+'Inputs'!$B$32,'Inputs'!$B$30+'Inputs'!$B$31+'Inputs'!$B$32)/1000+'Inputs'!$B$21)+'Inputs'!$B$7)^2+('Inputs'!$B$6/2)^2)-(((124-43)*MAX('Inputs'!$B$33,'Inputs'!$B$29+'Inputs'!$B$31+'Inputs'!$B$32,'Inputs'!$B$30+'Inputs'!$B$31+'Inputs'!$B$32)/1000+'Inputs'!$B$21))/SQRT((((124-43)*MAX('Inputs'!$B$33,'Inputs'!$B$29+'Inputs'!$B$31+'Inputs'!$B$32,'Inputs'!$B$30+'Inputs'!$B$31+'Inputs'!$B$32)/1000+'Inputs'!$B$21))^2+('Inputs'!$B$6/2)^2)))-'Results'!C7*(1-'Inputs'!$B$24)*(0.5*((((124-43)*MAX('Inputs'!$B$33,'Inputs'!$B$29+'Inputs'!$B$31+'Inputs'!$B$32,'Inputs'!$B$30+'Inputs'!$B$31+'Inputs'!$B$32)/1000+'Inputs'!$B$21+'Inputs'!$B$7+'Inputs'!$B$10)+'Inputs'!$B$9)/SQRT((((124-43)*MAX('Inputs'!$B$33,'Inputs'!$B$29+'Inputs'!$B$31+'Inputs'!$B$32,'Inputs'!$B$30+'Inputs'!$B$31+'Inputs'!$B$32)/1000+'Inputs'!$B$21+'Inputs'!$B$7+'Inputs'!$B$10)+'Inputs'!$B$9)^2+('Inputs'!$B$8/2)^2)-(((124-43)*MAX('Inputs'!$B$33,'Inputs'!$B$29+'Inputs'!$B$31+'Inputs'!$B$32,'Inputs'!$B$30+'Inputs'!$B$31+'Inputs'!$B$32)/1000+'Inputs'!$B$21+'Inputs'!$B$7+'Inputs'!$B$10))/SQRT((((124-43)*MAX('Inputs'!$B$33,'Inputs'!$B$29+'Inputs'!$B$31+'Inputs'!$B$32,'Inputs'!$B$30+'Inputs'!$B$31+'Inputs'!$B$32)/1000+'Inputs'!$B$21+'Inputs'!$B$7+'Inputs'!$B$10))^2+('Inputs'!$B$8/2)^2))))*'Results'!$B$8))),"")</x:f>
        <x:v>578.9810905437712</x:v>
      </x:c>
      <x:c r="M124" t="n">
        <x:f>IF(AND(ISNUMBER('Results'!C7),ISNUMBER('Results'!B7),ISNUMBER('Results'!$B$8),ISNUMBER('Inputs'!$B$6),ISNUMBER('Inputs'!$B$7),ISNUMBER('Inputs'!$B$8),ISNUMBER('Inputs'!$B$9),ISNUMBER('Inputs'!$B$10),ISNUMBER('Inputs'!$B$21),ISNUMBER('Inputs'!$B$24),ISNUMBER('Inputs'!$B$28)),(('Results'!C7*(0.5*((((124-43)*MAX('Inputs'!$B$33,'Inputs'!$B$29+'Inputs'!$B$31+'Inputs'!$B$32,'Inputs'!$B$30+'Inputs'!$B$31+'Inputs'!$B$32)/1000+'Inputs'!$B$21)+'Inputs'!$B$9)/SQRT((((124-43)*MAX('Inputs'!$B$33,'Inputs'!$B$29+'Inputs'!$B$31+'Inputs'!$B$32,'Inputs'!$B$30+'Inputs'!$B$31+'Inputs'!$B$32)/1000+'Inputs'!$B$21)+'Inputs'!$B$9)^2+('Inputs'!$B$8/2)^2)-(((124-43)*MAX('Inputs'!$B$33,'Inputs'!$B$29+'Inputs'!$B$31+'Inputs'!$B$32,'Inputs'!$B$30+'Inputs'!$B$31+'Inputs'!$B$32)/1000+'Inputs'!$B$21))/SQRT((((124-43)*MAX('Inputs'!$B$33,'Inputs'!$B$29+'Inputs'!$B$31+'Inputs'!$B$32,'Inputs'!$B$30+'Inputs'!$B$31+'Inputs'!$B$32)/1000+'Inputs'!$B$21))^2+('Inputs'!$B$8/2)^2)))-'Results'!B7*(0.5*((((124-43)*MAX('Inputs'!$B$33,'Inputs'!$B$29+'Inputs'!$B$31+'Inputs'!$B$32,'Inputs'!$B$30+'Inputs'!$B$31+'Inputs'!$B$32)/1000+'Inputs'!$B$21+'Inputs'!$B$9+'Inputs'!$B$10)+'Inputs'!$B$7)/SQRT((((124-43)*MAX('Inputs'!$B$33,'Inputs'!$B$29+'Inputs'!$B$31+'Inputs'!$B$32,'Inputs'!$B$30+'Inputs'!$B$31+'Inputs'!$B$32)/1000+'Inputs'!$B$21+'Inputs'!$B$9+'Inputs'!$B$10)+'Inputs'!$B$7)^2+('Inputs'!$B$6/2)^2)-(((124-43)*MAX('Inputs'!$B$33,'Inputs'!$B$29+'Inputs'!$B$31+'Inputs'!$B$32,'Inputs'!$B$30+'Inputs'!$B$31+'Inputs'!$B$32)/1000+'Inputs'!$B$21+'Inputs'!$B$9+'Inputs'!$B$10))/SQRT((((124-43)*MAX('Inputs'!$B$33,'Inputs'!$B$29+'Inputs'!$B$31+'Inputs'!$B$32,'Inputs'!$B$30+'Inputs'!$B$31+'Inputs'!$B$32)/1000+'Inputs'!$B$21+'Inputs'!$B$9+'Inputs'!$B$10))^2+('Inputs'!$B$6/2)^2))))*'Results'!$B$8),"")</x:f>
        <x:v>521.1926389120596</x:v>
      </x:c>
      <x:c r="N124" t="n">
        <x:f>IF(AND(ISNUMBER('Results'!C7),ISNUMBER('Results'!B7),ISNUMBER('Results'!$B$8),ISNUMBER('Inputs'!$B$6),ISNUMBER('Inputs'!$B$7),ISNUMBER('Inputs'!$B$8),ISNUMBER('Inputs'!$B$9),ISNUMBER('Inputs'!$B$10),ISNUMBER('Inputs'!$B$21),ISNUMBER('Inputs'!$B$24),ISNUMBER('Inputs'!$B$28)),((('Results'!C7*(1-'Inputs'!$B$24)*(0.5*((((124-43)*MAX('Inputs'!$B$33,'Inputs'!$B$29+'Inputs'!$B$31+'Inputs'!$B$32,'Inputs'!$B$30+'Inputs'!$B$31+'Inputs'!$B$32)/1000+'Inputs'!$B$21)+'Inputs'!$B$9)/SQRT((((124-43)*MAX('Inputs'!$B$33,'Inputs'!$B$29+'Inputs'!$B$31+'Inputs'!$B$32,'Inputs'!$B$30+'Inputs'!$B$31+'Inputs'!$B$32)/1000+'Inputs'!$B$21)+'Inputs'!$B$9)^2+('Inputs'!$B$8/2)^2)-(((124-43)*MAX('Inputs'!$B$33,'Inputs'!$B$29+'Inputs'!$B$31+'Inputs'!$B$32,'Inputs'!$B$30+'Inputs'!$B$31+'Inputs'!$B$32)/1000+'Inputs'!$B$21))/SQRT((((124-43)*MAX('Inputs'!$B$33,'Inputs'!$B$29+'Inputs'!$B$31+'Inputs'!$B$32,'Inputs'!$B$30+'Inputs'!$B$31+'Inputs'!$B$32)/1000+'Inputs'!$B$21))^2+('Inputs'!$B$8/2)^2)))-'Results'!B7*(1+'Inputs'!$B$24)*(0.5*((((124-43)*MAX('Inputs'!$B$33,'Inputs'!$B$29+'Inputs'!$B$31+'Inputs'!$B$32,'Inputs'!$B$30+'Inputs'!$B$31+'Inputs'!$B$32)/1000+'Inputs'!$B$21+'Inputs'!$B$9+'Inputs'!$B$10)+'Inputs'!$B$7)/SQRT((((124-43)*MAX('Inputs'!$B$33,'Inputs'!$B$29+'Inputs'!$B$31+'Inputs'!$B$32,'Inputs'!$B$30+'Inputs'!$B$31+'Inputs'!$B$32)/1000+'Inputs'!$B$21+'Inputs'!$B$9+'Inputs'!$B$10)+'Inputs'!$B$7)^2+('Inputs'!$B$6/2)^2)-(((124-43)*MAX('Inputs'!$B$33,'Inputs'!$B$29+'Inputs'!$B$31+'Inputs'!$B$32,'Inputs'!$B$30+'Inputs'!$B$31+'Inputs'!$B$32)/1000+'Inputs'!$B$21+'Inputs'!$B$9+'Inputs'!$B$10))/SQRT((((124-43)*MAX('Inputs'!$B$33,'Inputs'!$B$29+'Inputs'!$B$31+'Inputs'!$B$32,'Inputs'!$B$30+'Inputs'!$B$31+'Inputs'!$B$32)/1000+'Inputs'!$B$21+'Inputs'!$B$9+'Inputs'!$B$10))^2+('Inputs'!$B$6/2)^2))))*'Results'!$B$8)-'Inputs'!$B$28*ABS((('Results'!C7*(1-'Inputs'!$B$24)*(0.5*((((124-43)*MAX('Inputs'!$B$33,'Inputs'!$B$29+'Inputs'!$B$31+'Inputs'!$B$32,'Inputs'!$B$30+'Inputs'!$B$31+'Inputs'!$B$32)/1000+'Inputs'!$B$21)+'Inputs'!$B$9)/SQRT((((124-43)*MAX('Inputs'!$B$33,'Inputs'!$B$29+'Inputs'!$B$31+'Inputs'!$B$32,'Inputs'!$B$30+'Inputs'!$B$31+'Inputs'!$B$32)/1000+'Inputs'!$B$21)+'Inputs'!$B$9)^2+('Inputs'!$B$8/2)^2)-(((124-43)*MAX('Inputs'!$B$33,'Inputs'!$B$29+'Inputs'!$B$31+'Inputs'!$B$32,'Inputs'!$B$30+'Inputs'!$B$31+'Inputs'!$B$32)/1000+'Inputs'!$B$21))/SQRT((((124-43)*MAX('Inputs'!$B$33,'Inputs'!$B$29+'Inputs'!$B$31+'Inputs'!$B$32,'Inputs'!$B$30+'Inputs'!$B$31+'Inputs'!$B$32)/1000+'Inputs'!$B$21))^2+('Inputs'!$B$8/2)^2)))-'Results'!B7*(1+'Inputs'!$B$24)*(0.5*((((124-43)*MAX('Inputs'!$B$33,'Inputs'!$B$29+'Inputs'!$B$31+'Inputs'!$B$32,'Inputs'!$B$30+'Inputs'!$B$31+'Inputs'!$B$32)/1000+'Inputs'!$B$21+'Inputs'!$B$9+'Inputs'!$B$10)+'Inputs'!$B$7)/SQRT((((124-43)*MAX('Inputs'!$B$33,'Inputs'!$B$29+'Inputs'!$B$31+'Inputs'!$B$32,'Inputs'!$B$30+'Inputs'!$B$31+'Inputs'!$B$32)/1000+'Inputs'!$B$21+'Inputs'!$B$9+'Inputs'!$B$10)+'Inputs'!$B$7)^2+('Inputs'!$B$6/2)^2)-(((124-43)*MAX('Inputs'!$B$33,'Inputs'!$B$29+'Inputs'!$B$31+'Inputs'!$B$32,'Inputs'!$B$30+'Inputs'!$B$31+'Inputs'!$B$32)/1000+'Inputs'!$B$21+'Inputs'!$B$9+'Inputs'!$B$10))/SQRT((((124-43)*MAX('Inputs'!$B$33,'Inputs'!$B$29+'Inputs'!$B$31+'Inputs'!$B$32,'Inputs'!$B$30+'Inputs'!$B$31+'Inputs'!$B$32)/1000+'Inputs'!$B$21+'Inputs'!$B$9+'Inputs'!$B$10))^2+('Inputs'!$B$6/2)^2))))*'Results'!$B$8))),"")</x:f>
        <x:v>481.0035848183511</x:v>
      </x:c>
      <x:c r="O124" t="n">
        <x:f>IF(AND(ISNUMBER('Results'!C7),ISNUMBER('Results'!B7),ISNUMBER('Results'!$B$8),ISNUMBER('Inputs'!$B$6),ISNUMBER('Inputs'!$B$7),ISNUMBER('Inputs'!$B$8),ISNUMBER('Inputs'!$B$9),ISNUMBER('Inputs'!$B$10),ISNUMBER('Inputs'!$B$21),ISNUMBER('Inputs'!$B$24),ISNUMBER('Inputs'!$B$28)),((('Results'!C7*(1+'Inputs'!$B$24)*(0.5*((((124-43)*MAX('Inputs'!$B$33,'Inputs'!$B$29+'Inputs'!$B$31+'Inputs'!$B$32,'Inputs'!$B$30+'Inputs'!$B$31+'Inputs'!$B$32)/1000+'Inputs'!$B$21)+'Inputs'!$B$9)/SQRT((((124-43)*MAX('Inputs'!$B$33,'Inputs'!$B$29+'Inputs'!$B$31+'Inputs'!$B$32,'Inputs'!$B$30+'Inputs'!$B$31+'Inputs'!$B$32)/1000+'Inputs'!$B$21)+'Inputs'!$B$9)^2+('Inputs'!$B$8/2)^2)-(((124-43)*MAX('Inputs'!$B$33,'Inputs'!$B$29+'Inputs'!$B$31+'Inputs'!$B$32,'Inputs'!$B$30+'Inputs'!$B$31+'Inputs'!$B$32)/1000+'Inputs'!$B$21))/SQRT((((124-43)*MAX('Inputs'!$B$33,'Inputs'!$B$29+'Inputs'!$B$31+'Inputs'!$B$32,'Inputs'!$B$30+'Inputs'!$B$31+'Inputs'!$B$32)/1000+'Inputs'!$B$21))^2+('Inputs'!$B$8/2)^2)))-'Results'!B7*(1-'Inputs'!$B$24)*(0.5*((((124-43)*MAX('Inputs'!$B$33,'Inputs'!$B$29+'Inputs'!$B$31+'Inputs'!$B$32,'Inputs'!$B$30+'Inputs'!$B$31+'Inputs'!$B$32)/1000+'Inputs'!$B$21+'Inputs'!$B$9+'Inputs'!$B$10)+'Inputs'!$B$7)/SQRT((((124-43)*MAX('Inputs'!$B$33,'Inputs'!$B$29+'Inputs'!$B$31+'Inputs'!$B$32,'Inputs'!$B$30+'Inputs'!$B$31+'Inputs'!$B$32)/1000+'Inputs'!$B$21+'Inputs'!$B$9+'Inputs'!$B$10)+'Inputs'!$B$7)^2+('Inputs'!$B$6/2)^2)-(((124-43)*MAX('Inputs'!$B$33,'Inputs'!$B$29+'Inputs'!$B$31+'Inputs'!$B$32,'Inputs'!$B$30+'Inputs'!$B$31+'Inputs'!$B$32)/1000+'Inputs'!$B$21+'Inputs'!$B$9+'Inputs'!$B$10))/SQRT((((124-43)*MAX('Inputs'!$B$33,'Inputs'!$B$29+'Inputs'!$B$31+'Inputs'!$B$32,'Inputs'!$B$30+'Inputs'!$B$31+'Inputs'!$B$32)/1000+'Inputs'!$B$21+'Inputs'!$B$9+'Inputs'!$B$10))^2+('Inputs'!$B$6/2)^2))))*'Results'!$B$8)+'Inputs'!$B$28*ABS((('Results'!C7*(1+'Inputs'!$B$24)*(0.5*((((124-43)*MAX('Inputs'!$B$33,'Inputs'!$B$29+'Inputs'!$B$31+'Inputs'!$B$32,'Inputs'!$B$30+'Inputs'!$B$31+'Inputs'!$B$32)/1000+'Inputs'!$B$21)+'Inputs'!$B$9)/SQRT((((124-43)*MAX('Inputs'!$B$33,'Inputs'!$B$29+'Inputs'!$B$31+'Inputs'!$B$32,'Inputs'!$B$30+'Inputs'!$B$31+'Inputs'!$B$32)/1000+'Inputs'!$B$21)+'Inputs'!$B$9)^2+('Inputs'!$B$8/2)^2)-(((124-43)*MAX('Inputs'!$B$33,'Inputs'!$B$29+'Inputs'!$B$31+'Inputs'!$B$32,'Inputs'!$B$30+'Inputs'!$B$31+'Inputs'!$B$32)/1000+'Inputs'!$B$21))/SQRT((((124-43)*MAX('Inputs'!$B$33,'Inputs'!$B$29+'Inputs'!$B$31+'Inputs'!$B$32,'Inputs'!$B$30+'Inputs'!$B$31+'Inputs'!$B$32)/1000+'Inputs'!$B$21))^2+('Inputs'!$B$8/2)^2)))-'Results'!B7*(1-'Inputs'!$B$24)*(0.5*((((124-43)*MAX('Inputs'!$B$33,'Inputs'!$B$29+'Inputs'!$B$31+'Inputs'!$B$32,'Inputs'!$B$30+'Inputs'!$B$31+'Inputs'!$B$32)/1000+'Inputs'!$B$21+'Inputs'!$B$9+'Inputs'!$B$10)+'Inputs'!$B$7)/SQRT((((124-43)*MAX('Inputs'!$B$33,'Inputs'!$B$29+'Inputs'!$B$31+'Inputs'!$B$32,'Inputs'!$B$30+'Inputs'!$B$31+'Inputs'!$B$32)/1000+'Inputs'!$B$21+'Inputs'!$B$9+'Inputs'!$B$10)+'Inputs'!$B$7)^2+('Inputs'!$B$6/2)^2)-(((124-43)*MAX('Inputs'!$B$33,'Inputs'!$B$29+'Inputs'!$B$31+'Inputs'!$B$32,'Inputs'!$B$30+'Inputs'!$B$31+'Inputs'!$B$32)/1000+'Inputs'!$B$21+'Inputs'!$B$9+'Inputs'!$B$10))/SQRT((((124-43)*MAX('Inputs'!$B$33,'Inputs'!$B$29+'Inputs'!$B$31+'Inputs'!$B$32,'Inputs'!$B$30+'Inputs'!$B$31+'Inputs'!$B$32)/1000+'Inputs'!$B$21+'Inputs'!$B$9+'Inputs'!$B$10))^2+('Inputs'!$B$6/2)^2))))*'Results'!$B$8))),"")</x:f>
        <x:v>562.8690006003058</x:v>
      </x:c>
      <x:c r="P124" t="n">
        <x:f>IF(AND(MAX(J124,J123)&gt;0,J124&gt;J123+0.00000001),1,0)</x:f>
        <x:v>0</x:v>
      </x:c>
      <x:c r="Q124" t="n">
        <x:f>IF(AND(MAX(K124,K123)&gt;0,K124&gt;K123+0.00000001),1,0)</x:f>
        <x:v>0</x:v>
      </x:c>
      <x:c r="R124" t="n">
        <x:f>IF(AND(MAX(L124,L123)&gt;0,L124&gt;L123+0.00000001),1,0)</x:f>
        <x:v>0</x:v>
      </x:c>
      <x:c r="S124" t="n">
        <x:f>IF(AND(MAX(M124,M123)&gt;0,M124&gt;M123+0.00000001),1,0)</x:f>
        <x:v>0</x:v>
      </x:c>
      <x:c r="T124" t="n">
        <x:f>IF(AND(MAX(N124,N123)&gt;0,N124&gt;N123+0.00000001),1,0)</x:f>
        <x:v>0</x:v>
      </x:c>
      <x:c r="U124" t="n">
        <x:f>IF(AND(MAX(O124,O123)&gt;0,O124&gt;O123+0.00000001),1,0)</x:f>
        <x:v>0</x:v>
      </x:c>
    </x:row>
    <x:row r="125">
      <x:c r="J125" t="n">
        <x:f>IF(AND(ISNUMBER('Results'!B7),ISNUMBER('Results'!C7),ISNUMBER('Results'!$B$8),ISNUMBER('Inputs'!$B$6),ISNUMBER('Inputs'!$B$7),ISNUMBER('Inputs'!$B$8),ISNUMBER('Inputs'!$B$9),ISNUMBER('Inputs'!$B$10),ISNUMBER('Inputs'!$B$21),ISNUMBER('Inputs'!$B$24),ISNUMBER('Inputs'!$B$28)),(('Results'!B7*(0.5*((((125-43)*MAX('Inputs'!$B$33,'Inputs'!$B$29+'Inputs'!$B$31+'Inputs'!$B$32,'Inputs'!$B$30+'Inputs'!$B$31+'Inputs'!$B$32)/1000+'Inputs'!$B$21)+'Inputs'!$B$7)/SQRT((((125-43)*MAX('Inputs'!$B$33,'Inputs'!$B$29+'Inputs'!$B$31+'Inputs'!$B$32,'Inputs'!$B$30+'Inputs'!$B$31+'Inputs'!$B$32)/1000+'Inputs'!$B$21)+'Inputs'!$B$7)^2+('Inputs'!$B$6/2)^2)-(((125-43)*MAX('Inputs'!$B$33,'Inputs'!$B$29+'Inputs'!$B$31+'Inputs'!$B$32,'Inputs'!$B$30+'Inputs'!$B$31+'Inputs'!$B$32)/1000+'Inputs'!$B$21))/SQRT((((125-43)*MAX('Inputs'!$B$33,'Inputs'!$B$29+'Inputs'!$B$31+'Inputs'!$B$32,'Inputs'!$B$30+'Inputs'!$B$31+'Inputs'!$B$32)/1000+'Inputs'!$B$21))^2+('Inputs'!$B$6/2)^2)))-'Results'!C7*(0.5*((((125-43)*MAX('Inputs'!$B$33,'Inputs'!$B$29+'Inputs'!$B$31+'Inputs'!$B$32,'Inputs'!$B$30+'Inputs'!$B$31+'Inputs'!$B$32)/1000+'Inputs'!$B$21+'Inputs'!$B$7+'Inputs'!$B$10)+'Inputs'!$B$9)/SQRT((((125-43)*MAX('Inputs'!$B$33,'Inputs'!$B$29+'Inputs'!$B$31+'Inputs'!$B$32,'Inputs'!$B$30+'Inputs'!$B$31+'Inputs'!$B$32)/1000+'Inputs'!$B$21+'Inputs'!$B$7+'Inputs'!$B$10)+'Inputs'!$B$9)^2+('Inputs'!$B$8/2)^2)-(((125-43)*MAX('Inputs'!$B$33,'Inputs'!$B$29+'Inputs'!$B$31+'Inputs'!$B$32,'Inputs'!$B$30+'Inputs'!$B$31+'Inputs'!$B$32)/1000+'Inputs'!$B$21+'Inputs'!$B$7+'Inputs'!$B$10))/SQRT((((125-43)*MAX('Inputs'!$B$33,'Inputs'!$B$29+'Inputs'!$B$31+'Inputs'!$B$32,'Inputs'!$B$30+'Inputs'!$B$31+'Inputs'!$B$32)/1000+'Inputs'!$B$21+'Inputs'!$B$7+'Inputs'!$B$10))^2+('Inputs'!$B$8/2)^2))))*'Results'!$B$8),"")</x:f>
        <x:v>525.9150912018096</x:v>
      </x:c>
      <x:c r="K125" t="n">
        <x:f>IF(AND(ISNUMBER('Results'!B7),ISNUMBER('Results'!C7),ISNUMBER('Results'!$B$8),ISNUMBER('Inputs'!$B$6),ISNUMBER('Inputs'!$B$7),ISNUMBER('Inputs'!$B$8),ISNUMBER('Inputs'!$B$9),ISNUMBER('Inputs'!$B$10),ISNUMBER('Inputs'!$B$21),ISNUMBER('Inputs'!$B$24),ISNUMBER('Inputs'!$B$28)),((('Results'!B7*(1-'Inputs'!$B$24)*(0.5*((((125-43)*MAX('Inputs'!$B$33,'Inputs'!$B$29+'Inputs'!$B$31+'Inputs'!$B$32,'Inputs'!$B$30+'Inputs'!$B$31+'Inputs'!$B$32)/1000+'Inputs'!$B$21)+'Inputs'!$B$7)/SQRT((((125-43)*MAX('Inputs'!$B$33,'Inputs'!$B$29+'Inputs'!$B$31+'Inputs'!$B$32,'Inputs'!$B$30+'Inputs'!$B$31+'Inputs'!$B$32)/1000+'Inputs'!$B$21)+'Inputs'!$B$7)^2+('Inputs'!$B$6/2)^2)-(((125-43)*MAX('Inputs'!$B$33,'Inputs'!$B$29+'Inputs'!$B$31+'Inputs'!$B$32,'Inputs'!$B$30+'Inputs'!$B$31+'Inputs'!$B$32)/1000+'Inputs'!$B$21))/SQRT((((125-43)*MAX('Inputs'!$B$33,'Inputs'!$B$29+'Inputs'!$B$31+'Inputs'!$B$32,'Inputs'!$B$30+'Inputs'!$B$31+'Inputs'!$B$32)/1000+'Inputs'!$B$21))^2+('Inputs'!$B$6/2)^2)))-'Results'!C7*(1+'Inputs'!$B$24)*(0.5*((((125-43)*MAX('Inputs'!$B$33,'Inputs'!$B$29+'Inputs'!$B$31+'Inputs'!$B$32,'Inputs'!$B$30+'Inputs'!$B$31+'Inputs'!$B$32)/1000+'Inputs'!$B$21+'Inputs'!$B$7+'Inputs'!$B$10)+'Inputs'!$B$9)/SQRT((((125-43)*MAX('Inputs'!$B$33,'Inputs'!$B$29+'Inputs'!$B$31+'Inputs'!$B$32,'Inputs'!$B$30+'Inputs'!$B$31+'Inputs'!$B$32)/1000+'Inputs'!$B$21+'Inputs'!$B$7+'Inputs'!$B$10)+'Inputs'!$B$9)^2+('Inputs'!$B$8/2)^2)-(((125-43)*MAX('Inputs'!$B$33,'Inputs'!$B$29+'Inputs'!$B$31+'Inputs'!$B$32,'Inputs'!$B$30+'Inputs'!$B$31+'Inputs'!$B$32)/1000+'Inputs'!$B$21+'Inputs'!$B$7+'Inputs'!$B$10))/SQRT((((125-43)*MAX('Inputs'!$B$33,'Inputs'!$B$29+'Inputs'!$B$31+'Inputs'!$B$32,'Inputs'!$B$30+'Inputs'!$B$31+'Inputs'!$B$32)/1000+'Inputs'!$B$21+'Inputs'!$B$7+'Inputs'!$B$10))^2+('Inputs'!$B$8/2)^2))))*'Results'!$B$8)-'Inputs'!$B$28*ABS((('Results'!B7*(1-'Inputs'!$B$24)*(0.5*((((125-43)*MAX('Inputs'!$B$33,'Inputs'!$B$29+'Inputs'!$B$31+'Inputs'!$B$32,'Inputs'!$B$30+'Inputs'!$B$31+'Inputs'!$B$32)/1000+'Inputs'!$B$21)+'Inputs'!$B$7)/SQRT((((125-43)*MAX('Inputs'!$B$33,'Inputs'!$B$29+'Inputs'!$B$31+'Inputs'!$B$32,'Inputs'!$B$30+'Inputs'!$B$31+'Inputs'!$B$32)/1000+'Inputs'!$B$21)+'Inputs'!$B$7)^2+('Inputs'!$B$6/2)^2)-(((125-43)*MAX('Inputs'!$B$33,'Inputs'!$B$29+'Inputs'!$B$31+'Inputs'!$B$32,'Inputs'!$B$30+'Inputs'!$B$31+'Inputs'!$B$32)/1000+'Inputs'!$B$21))/SQRT((((125-43)*MAX('Inputs'!$B$33,'Inputs'!$B$29+'Inputs'!$B$31+'Inputs'!$B$32,'Inputs'!$B$30+'Inputs'!$B$31+'Inputs'!$B$32)/1000+'Inputs'!$B$21))^2+('Inputs'!$B$6/2)^2)))-'Results'!C7*(1+'Inputs'!$B$24)*(0.5*((((125-43)*MAX('Inputs'!$B$33,'Inputs'!$B$29+'Inputs'!$B$31+'Inputs'!$B$32,'Inputs'!$B$30+'Inputs'!$B$31+'Inputs'!$B$32)/1000+'Inputs'!$B$21+'Inputs'!$B$7+'Inputs'!$B$10)+'Inputs'!$B$9)/SQRT((((125-43)*MAX('Inputs'!$B$33,'Inputs'!$B$29+'Inputs'!$B$31+'Inputs'!$B$32,'Inputs'!$B$30+'Inputs'!$B$31+'Inputs'!$B$32)/1000+'Inputs'!$B$21+'Inputs'!$B$7+'Inputs'!$B$10)+'Inputs'!$B$9)^2+('Inputs'!$B$8/2)^2)-(((125-43)*MAX('Inputs'!$B$33,'Inputs'!$B$29+'Inputs'!$B$31+'Inputs'!$B$32,'Inputs'!$B$30+'Inputs'!$B$31+'Inputs'!$B$32)/1000+'Inputs'!$B$21+'Inputs'!$B$7+'Inputs'!$B$10))/SQRT((((125-43)*MAX('Inputs'!$B$33,'Inputs'!$B$29+'Inputs'!$B$31+'Inputs'!$B$32,'Inputs'!$B$30+'Inputs'!$B$31+'Inputs'!$B$32)/1000+'Inputs'!$B$21+'Inputs'!$B$7+'Inputs'!$B$10))^2+('Inputs'!$B$8/2)^2))))*'Results'!$B$8))),"")</x:f>
        <x:v>485.53544431651056</x:v>
      </x:c>
      <x:c r="L125" t="n">
        <x:f>IF(AND(ISNUMBER('Results'!B7),ISNUMBER('Results'!C7),ISNUMBER('Results'!$B$8),ISNUMBER('Inputs'!$B$6),ISNUMBER('Inputs'!$B$7),ISNUMBER('Inputs'!$B$8),ISNUMBER('Inputs'!$B$9),ISNUMBER('Inputs'!$B$10),ISNUMBER('Inputs'!$B$21),ISNUMBER('Inputs'!$B$24),ISNUMBER('Inputs'!$B$28)),((('Results'!B7*(1+'Inputs'!$B$24)*(0.5*((((125-43)*MAX('Inputs'!$B$33,'Inputs'!$B$29+'Inputs'!$B$31+'Inputs'!$B$32,'Inputs'!$B$30+'Inputs'!$B$31+'Inputs'!$B$32)/1000+'Inputs'!$B$21)+'Inputs'!$B$7)/SQRT((((125-43)*MAX('Inputs'!$B$33,'Inputs'!$B$29+'Inputs'!$B$31+'Inputs'!$B$32,'Inputs'!$B$30+'Inputs'!$B$31+'Inputs'!$B$32)/1000+'Inputs'!$B$21)+'Inputs'!$B$7)^2+('Inputs'!$B$6/2)^2)-(((125-43)*MAX('Inputs'!$B$33,'Inputs'!$B$29+'Inputs'!$B$31+'Inputs'!$B$32,'Inputs'!$B$30+'Inputs'!$B$31+'Inputs'!$B$32)/1000+'Inputs'!$B$21))/SQRT((((125-43)*MAX('Inputs'!$B$33,'Inputs'!$B$29+'Inputs'!$B$31+'Inputs'!$B$32,'Inputs'!$B$30+'Inputs'!$B$31+'Inputs'!$B$32)/1000+'Inputs'!$B$21))^2+('Inputs'!$B$6/2)^2)))-'Results'!C7*(1-'Inputs'!$B$24)*(0.5*((((125-43)*MAX('Inputs'!$B$33,'Inputs'!$B$29+'Inputs'!$B$31+'Inputs'!$B$32,'Inputs'!$B$30+'Inputs'!$B$31+'Inputs'!$B$32)/1000+'Inputs'!$B$21+'Inputs'!$B$7+'Inputs'!$B$10)+'Inputs'!$B$9)/SQRT((((125-43)*MAX('Inputs'!$B$33,'Inputs'!$B$29+'Inputs'!$B$31+'Inputs'!$B$32,'Inputs'!$B$30+'Inputs'!$B$31+'Inputs'!$B$32)/1000+'Inputs'!$B$21+'Inputs'!$B$7+'Inputs'!$B$10)+'Inputs'!$B$9)^2+('Inputs'!$B$8/2)^2)-(((125-43)*MAX('Inputs'!$B$33,'Inputs'!$B$29+'Inputs'!$B$31+'Inputs'!$B$32,'Inputs'!$B$30+'Inputs'!$B$31+'Inputs'!$B$32)/1000+'Inputs'!$B$21+'Inputs'!$B$7+'Inputs'!$B$10))/SQRT((((125-43)*MAX('Inputs'!$B$33,'Inputs'!$B$29+'Inputs'!$B$31+'Inputs'!$B$32,'Inputs'!$B$30+'Inputs'!$B$31+'Inputs'!$B$32)/1000+'Inputs'!$B$21+'Inputs'!$B$7+'Inputs'!$B$10))^2+('Inputs'!$B$8/2)^2))))*'Results'!$B$8)+'Inputs'!$B$28*ABS((('Results'!B7*(1+'Inputs'!$B$24)*(0.5*((((125-43)*MAX('Inputs'!$B$33,'Inputs'!$B$29+'Inputs'!$B$31+'Inputs'!$B$32,'Inputs'!$B$30+'Inputs'!$B$31+'Inputs'!$B$32)/1000+'Inputs'!$B$21)+'Inputs'!$B$7)/SQRT((((125-43)*MAX('Inputs'!$B$33,'Inputs'!$B$29+'Inputs'!$B$31+'Inputs'!$B$32,'Inputs'!$B$30+'Inputs'!$B$31+'Inputs'!$B$32)/1000+'Inputs'!$B$21)+'Inputs'!$B$7)^2+('Inputs'!$B$6/2)^2)-(((125-43)*MAX('Inputs'!$B$33,'Inputs'!$B$29+'Inputs'!$B$31+'Inputs'!$B$32,'Inputs'!$B$30+'Inputs'!$B$31+'Inputs'!$B$32)/1000+'Inputs'!$B$21))/SQRT((((125-43)*MAX('Inputs'!$B$33,'Inputs'!$B$29+'Inputs'!$B$31+'Inputs'!$B$32,'Inputs'!$B$30+'Inputs'!$B$31+'Inputs'!$B$32)/1000+'Inputs'!$B$21))^2+('Inputs'!$B$6/2)^2)))-'Results'!C7*(1-'Inputs'!$B$24)*(0.5*((((125-43)*MAX('Inputs'!$B$33,'Inputs'!$B$29+'Inputs'!$B$31+'Inputs'!$B$32,'Inputs'!$B$30+'Inputs'!$B$31+'Inputs'!$B$32)/1000+'Inputs'!$B$21+'Inputs'!$B$7+'Inputs'!$B$10)+'Inputs'!$B$9)/SQRT((((125-43)*MAX('Inputs'!$B$33,'Inputs'!$B$29+'Inputs'!$B$31+'Inputs'!$B$32,'Inputs'!$B$30+'Inputs'!$B$31+'Inputs'!$B$32)/1000+'Inputs'!$B$21+'Inputs'!$B$7+'Inputs'!$B$10)+'Inputs'!$B$9)^2+('Inputs'!$B$8/2)^2)-(((125-43)*MAX('Inputs'!$B$33,'Inputs'!$B$29+'Inputs'!$B$31+'Inputs'!$B$32,'Inputs'!$B$30+'Inputs'!$B$31+'Inputs'!$B$32)/1000+'Inputs'!$B$21+'Inputs'!$B$7+'Inputs'!$B$10))/SQRT((((125-43)*MAX('Inputs'!$B$33,'Inputs'!$B$29+'Inputs'!$B$31+'Inputs'!$B$32,'Inputs'!$B$30+'Inputs'!$B$31+'Inputs'!$B$32)/1000+'Inputs'!$B$21+'Inputs'!$B$7+'Inputs'!$B$10))^2+('Inputs'!$B$8/2)^2))))*'Results'!$B$8))),"")</x:f>
        <x:v>567.7772530687095</x:v>
      </x:c>
      <x:c r="M125" t="n">
        <x:f>IF(AND(ISNUMBER('Results'!C7),ISNUMBER('Results'!B7),ISNUMBER('Results'!$B$8),ISNUMBER('Inputs'!$B$6),ISNUMBER('Inputs'!$B$7),ISNUMBER('Inputs'!$B$8),ISNUMBER('Inputs'!$B$9),ISNUMBER('Inputs'!$B$10),ISNUMBER('Inputs'!$B$21),ISNUMBER('Inputs'!$B$24),ISNUMBER('Inputs'!$B$28)),(('Results'!C7*(0.5*((((125-43)*MAX('Inputs'!$B$33,'Inputs'!$B$29+'Inputs'!$B$31+'Inputs'!$B$32,'Inputs'!$B$30+'Inputs'!$B$31+'Inputs'!$B$32)/1000+'Inputs'!$B$21)+'Inputs'!$B$9)/SQRT((((125-43)*MAX('Inputs'!$B$33,'Inputs'!$B$29+'Inputs'!$B$31+'Inputs'!$B$32,'Inputs'!$B$30+'Inputs'!$B$31+'Inputs'!$B$32)/1000+'Inputs'!$B$21)+'Inputs'!$B$9)^2+('Inputs'!$B$8/2)^2)-(((125-43)*MAX('Inputs'!$B$33,'Inputs'!$B$29+'Inputs'!$B$31+'Inputs'!$B$32,'Inputs'!$B$30+'Inputs'!$B$31+'Inputs'!$B$32)/1000+'Inputs'!$B$21))/SQRT((((125-43)*MAX('Inputs'!$B$33,'Inputs'!$B$29+'Inputs'!$B$31+'Inputs'!$B$32,'Inputs'!$B$30+'Inputs'!$B$31+'Inputs'!$B$32)/1000+'Inputs'!$B$21))^2+('Inputs'!$B$8/2)^2)))-'Results'!B7*(0.5*((((125-43)*MAX('Inputs'!$B$33,'Inputs'!$B$29+'Inputs'!$B$31+'Inputs'!$B$32,'Inputs'!$B$30+'Inputs'!$B$31+'Inputs'!$B$32)/1000+'Inputs'!$B$21+'Inputs'!$B$9+'Inputs'!$B$10)+'Inputs'!$B$7)/SQRT((((125-43)*MAX('Inputs'!$B$33,'Inputs'!$B$29+'Inputs'!$B$31+'Inputs'!$B$32,'Inputs'!$B$30+'Inputs'!$B$31+'Inputs'!$B$32)/1000+'Inputs'!$B$21+'Inputs'!$B$9+'Inputs'!$B$10)+'Inputs'!$B$7)^2+('Inputs'!$B$6/2)^2)-(((125-43)*MAX('Inputs'!$B$33,'Inputs'!$B$29+'Inputs'!$B$31+'Inputs'!$B$32,'Inputs'!$B$30+'Inputs'!$B$31+'Inputs'!$B$32)/1000+'Inputs'!$B$21+'Inputs'!$B$9+'Inputs'!$B$10))/SQRT((((125-43)*MAX('Inputs'!$B$33,'Inputs'!$B$29+'Inputs'!$B$31+'Inputs'!$B$32,'Inputs'!$B$30+'Inputs'!$B$31+'Inputs'!$B$32)/1000+'Inputs'!$B$21+'Inputs'!$B$9+'Inputs'!$B$10))^2+('Inputs'!$B$6/2)^2))))*'Results'!$B$8),"")</x:f>
        <x:v>511.04599395731105</x:v>
      </x:c>
      <x:c r="N125" t="n">
        <x:f>IF(AND(ISNUMBER('Results'!C7),ISNUMBER('Results'!B7),ISNUMBER('Results'!$B$8),ISNUMBER('Inputs'!$B$6),ISNUMBER('Inputs'!$B$7),ISNUMBER('Inputs'!$B$8),ISNUMBER('Inputs'!$B$9),ISNUMBER('Inputs'!$B$10),ISNUMBER('Inputs'!$B$21),ISNUMBER('Inputs'!$B$24),ISNUMBER('Inputs'!$B$28)),((('Results'!C7*(1-'Inputs'!$B$24)*(0.5*((((125-43)*MAX('Inputs'!$B$33,'Inputs'!$B$29+'Inputs'!$B$31+'Inputs'!$B$32,'Inputs'!$B$30+'Inputs'!$B$31+'Inputs'!$B$32)/1000+'Inputs'!$B$21)+'Inputs'!$B$9)/SQRT((((125-43)*MAX('Inputs'!$B$33,'Inputs'!$B$29+'Inputs'!$B$31+'Inputs'!$B$32,'Inputs'!$B$30+'Inputs'!$B$31+'Inputs'!$B$32)/1000+'Inputs'!$B$21)+'Inputs'!$B$9)^2+('Inputs'!$B$8/2)^2)-(((125-43)*MAX('Inputs'!$B$33,'Inputs'!$B$29+'Inputs'!$B$31+'Inputs'!$B$32,'Inputs'!$B$30+'Inputs'!$B$31+'Inputs'!$B$32)/1000+'Inputs'!$B$21))/SQRT((((125-43)*MAX('Inputs'!$B$33,'Inputs'!$B$29+'Inputs'!$B$31+'Inputs'!$B$32,'Inputs'!$B$30+'Inputs'!$B$31+'Inputs'!$B$32)/1000+'Inputs'!$B$21))^2+('Inputs'!$B$8/2)^2)))-'Results'!B7*(1+'Inputs'!$B$24)*(0.5*((((125-43)*MAX('Inputs'!$B$33,'Inputs'!$B$29+'Inputs'!$B$31+'Inputs'!$B$32,'Inputs'!$B$30+'Inputs'!$B$31+'Inputs'!$B$32)/1000+'Inputs'!$B$21+'Inputs'!$B$9+'Inputs'!$B$10)+'Inputs'!$B$7)/SQRT((((125-43)*MAX('Inputs'!$B$33,'Inputs'!$B$29+'Inputs'!$B$31+'Inputs'!$B$32,'Inputs'!$B$30+'Inputs'!$B$31+'Inputs'!$B$32)/1000+'Inputs'!$B$21+'Inputs'!$B$9+'Inputs'!$B$10)+'Inputs'!$B$7)^2+('Inputs'!$B$6/2)^2)-(((125-43)*MAX('Inputs'!$B$33,'Inputs'!$B$29+'Inputs'!$B$31+'Inputs'!$B$32,'Inputs'!$B$30+'Inputs'!$B$31+'Inputs'!$B$32)/1000+'Inputs'!$B$21+'Inputs'!$B$9+'Inputs'!$B$10))/SQRT((((125-43)*MAX('Inputs'!$B$33,'Inputs'!$B$29+'Inputs'!$B$31+'Inputs'!$B$32,'Inputs'!$B$30+'Inputs'!$B$31+'Inputs'!$B$32)/1000+'Inputs'!$B$21+'Inputs'!$B$9+'Inputs'!$B$10))^2+('Inputs'!$B$6/2)^2))))*'Results'!$B$8)-'Inputs'!$B$28*ABS((('Results'!C7*(1-'Inputs'!$B$24)*(0.5*((((125-43)*MAX('Inputs'!$B$33,'Inputs'!$B$29+'Inputs'!$B$31+'Inputs'!$B$32,'Inputs'!$B$30+'Inputs'!$B$31+'Inputs'!$B$32)/1000+'Inputs'!$B$21)+'Inputs'!$B$9)/SQRT((((125-43)*MAX('Inputs'!$B$33,'Inputs'!$B$29+'Inputs'!$B$31+'Inputs'!$B$32,'Inputs'!$B$30+'Inputs'!$B$31+'Inputs'!$B$32)/1000+'Inputs'!$B$21)+'Inputs'!$B$9)^2+('Inputs'!$B$8/2)^2)-(((125-43)*MAX('Inputs'!$B$33,'Inputs'!$B$29+'Inputs'!$B$31+'Inputs'!$B$32,'Inputs'!$B$30+'Inputs'!$B$31+'Inputs'!$B$32)/1000+'Inputs'!$B$21))/SQRT((((125-43)*MAX('Inputs'!$B$33,'Inputs'!$B$29+'Inputs'!$B$31+'Inputs'!$B$32,'Inputs'!$B$30+'Inputs'!$B$31+'Inputs'!$B$32)/1000+'Inputs'!$B$21))^2+('Inputs'!$B$8/2)^2)))-'Results'!B7*(1+'Inputs'!$B$24)*(0.5*((((125-43)*MAX('Inputs'!$B$33,'Inputs'!$B$29+'Inputs'!$B$31+'Inputs'!$B$32,'Inputs'!$B$30+'Inputs'!$B$31+'Inputs'!$B$32)/1000+'Inputs'!$B$21+'Inputs'!$B$9+'Inputs'!$B$10)+'Inputs'!$B$7)/SQRT((((125-43)*MAX('Inputs'!$B$33,'Inputs'!$B$29+'Inputs'!$B$31+'Inputs'!$B$32,'Inputs'!$B$30+'Inputs'!$B$31+'Inputs'!$B$32)/1000+'Inputs'!$B$21+'Inputs'!$B$9+'Inputs'!$B$10)+'Inputs'!$B$7)^2+('Inputs'!$B$6/2)^2)-(((125-43)*MAX('Inputs'!$B$33,'Inputs'!$B$29+'Inputs'!$B$31+'Inputs'!$B$32,'Inputs'!$B$30+'Inputs'!$B$31+'Inputs'!$B$32)/1000+'Inputs'!$B$21+'Inputs'!$B$9+'Inputs'!$B$10))/SQRT((((125-43)*MAX('Inputs'!$B$33,'Inputs'!$B$29+'Inputs'!$B$31+'Inputs'!$B$32,'Inputs'!$B$30+'Inputs'!$B$31+'Inputs'!$B$32)/1000+'Inputs'!$B$21+'Inputs'!$B$9+'Inputs'!$B$10))^2+('Inputs'!$B$6/2)^2))))*'Results'!$B$8))),"")</x:f>
        <x:v>471.60881466775237</x:v>
      </x:c>
      <x:c r="O125" t="n">
        <x:f>IF(AND(ISNUMBER('Results'!C7),ISNUMBER('Results'!B7),ISNUMBER('Results'!$B$8),ISNUMBER('Inputs'!$B$6),ISNUMBER('Inputs'!$B$7),ISNUMBER('Inputs'!$B$8),ISNUMBER('Inputs'!$B$9),ISNUMBER('Inputs'!$B$10),ISNUMBER('Inputs'!$B$21),ISNUMBER('Inputs'!$B$24),ISNUMBER('Inputs'!$B$28)),((('Results'!C7*(1+'Inputs'!$B$24)*(0.5*((((125-43)*MAX('Inputs'!$B$33,'Inputs'!$B$29+'Inputs'!$B$31+'Inputs'!$B$32,'Inputs'!$B$30+'Inputs'!$B$31+'Inputs'!$B$32)/1000+'Inputs'!$B$21)+'Inputs'!$B$9)/SQRT((((125-43)*MAX('Inputs'!$B$33,'Inputs'!$B$29+'Inputs'!$B$31+'Inputs'!$B$32,'Inputs'!$B$30+'Inputs'!$B$31+'Inputs'!$B$32)/1000+'Inputs'!$B$21)+'Inputs'!$B$9)^2+('Inputs'!$B$8/2)^2)-(((125-43)*MAX('Inputs'!$B$33,'Inputs'!$B$29+'Inputs'!$B$31+'Inputs'!$B$32,'Inputs'!$B$30+'Inputs'!$B$31+'Inputs'!$B$32)/1000+'Inputs'!$B$21))/SQRT((((125-43)*MAX('Inputs'!$B$33,'Inputs'!$B$29+'Inputs'!$B$31+'Inputs'!$B$32,'Inputs'!$B$30+'Inputs'!$B$31+'Inputs'!$B$32)/1000+'Inputs'!$B$21))^2+('Inputs'!$B$8/2)^2)))-'Results'!B7*(1-'Inputs'!$B$24)*(0.5*((((125-43)*MAX('Inputs'!$B$33,'Inputs'!$B$29+'Inputs'!$B$31+'Inputs'!$B$32,'Inputs'!$B$30+'Inputs'!$B$31+'Inputs'!$B$32)/1000+'Inputs'!$B$21+'Inputs'!$B$9+'Inputs'!$B$10)+'Inputs'!$B$7)/SQRT((((125-43)*MAX('Inputs'!$B$33,'Inputs'!$B$29+'Inputs'!$B$31+'Inputs'!$B$32,'Inputs'!$B$30+'Inputs'!$B$31+'Inputs'!$B$32)/1000+'Inputs'!$B$21+'Inputs'!$B$9+'Inputs'!$B$10)+'Inputs'!$B$7)^2+('Inputs'!$B$6/2)^2)-(((125-43)*MAX('Inputs'!$B$33,'Inputs'!$B$29+'Inputs'!$B$31+'Inputs'!$B$32,'Inputs'!$B$30+'Inputs'!$B$31+'Inputs'!$B$32)/1000+'Inputs'!$B$21+'Inputs'!$B$9+'Inputs'!$B$10))/SQRT((((125-43)*MAX('Inputs'!$B$33,'Inputs'!$B$29+'Inputs'!$B$31+'Inputs'!$B$32,'Inputs'!$B$30+'Inputs'!$B$31+'Inputs'!$B$32)/1000+'Inputs'!$B$21+'Inputs'!$B$9+'Inputs'!$B$10))^2+('Inputs'!$B$6/2)^2))))*'Results'!$B$8)+'Inputs'!$B$28*ABS((('Results'!C7*(1+'Inputs'!$B$24)*(0.5*((((125-43)*MAX('Inputs'!$B$33,'Inputs'!$B$29+'Inputs'!$B$31+'Inputs'!$B$32,'Inputs'!$B$30+'Inputs'!$B$31+'Inputs'!$B$32)/1000+'Inputs'!$B$21)+'Inputs'!$B$9)/SQRT((((125-43)*MAX('Inputs'!$B$33,'Inputs'!$B$29+'Inputs'!$B$31+'Inputs'!$B$32,'Inputs'!$B$30+'Inputs'!$B$31+'Inputs'!$B$32)/1000+'Inputs'!$B$21)+'Inputs'!$B$9)^2+('Inputs'!$B$8/2)^2)-(((125-43)*MAX('Inputs'!$B$33,'Inputs'!$B$29+'Inputs'!$B$31+'Inputs'!$B$32,'Inputs'!$B$30+'Inputs'!$B$31+'Inputs'!$B$32)/1000+'Inputs'!$B$21))/SQRT((((125-43)*MAX('Inputs'!$B$33,'Inputs'!$B$29+'Inputs'!$B$31+'Inputs'!$B$32,'Inputs'!$B$30+'Inputs'!$B$31+'Inputs'!$B$32)/1000+'Inputs'!$B$21))^2+('Inputs'!$B$8/2)^2)))-'Results'!B7*(1-'Inputs'!$B$24)*(0.5*((((125-43)*MAX('Inputs'!$B$33,'Inputs'!$B$29+'Inputs'!$B$31+'Inputs'!$B$32,'Inputs'!$B$30+'Inputs'!$B$31+'Inputs'!$B$32)/1000+'Inputs'!$B$21+'Inputs'!$B$9+'Inputs'!$B$10)+'Inputs'!$B$7)/SQRT((((125-43)*MAX('Inputs'!$B$33,'Inputs'!$B$29+'Inputs'!$B$31+'Inputs'!$B$32,'Inputs'!$B$30+'Inputs'!$B$31+'Inputs'!$B$32)/1000+'Inputs'!$B$21+'Inputs'!$B$9+'Inputs'!$B$10)+'Inputs'!$B$7)^2+('Inputs'!$B$6/2)^2)-(((125-43)*MAX('Inputs'!$B$33,'Inputs'!$B$29+'Inputs'!$B$31+'Inputs'!$B$32,'Inputs'!$B$30+'Inputs'!$B$31+'Inputs'!$B$32)/1000+'Inputs'!$B$21+'Inputs'!$B$9+'Inputs'!$B$10))/SQRT((((125-43)*MAX('Inputs'!$B$33,'Inputs'!$B$29+'Inputs'!$B$31+'Inputs'!$B$32,'Inputs'!$B$30+'Inputs'!$B$31+'Inputs'!$B$32)/1000+'Inputs'!$B$21+'Inputs'!$B$9+'Inputs'!$B$10))^2+('Inputs'!$B$6/2)^2))))*'Results'!$B$8))),"")</x:f>
        <x:v>551.9447395196795</x:v>
      </x:c>
      <x:c r="P125" t="n">
        <x:f>IF(AND(MAX(J125,J124)&gt;0,J125&gt;J124+0.00000001),1,0)</x:f>
        <x:v>0</x:v>
      </x:c>
      <x:c r="Q125" t="n">
        <x:f>IF(AND(MAX(K125,K124)&gt;0,K125&gt;K124+0.00000001),1,0)</x:f>
        <x:v>0</x:v>
      </x:c>
      <x:c r="R125" t="n">
        <x:f>IF(AND(MAX(L125,L124)&gt;0,L125&gt;L124+0.00000001),1,0)</x:f>
        <x:v>0</x:v>
      </x:c>
      <x:c r="S125" t="n">
        <x:f>IF(AND(MAX(M125,M124)&gt;0,M125&gt;M124+0.00000001),1,0)</x:f>
        <x:v>0</x:v>
      </x:c>
      <x:c r="T125" t="n">
        <x:f>IF(AND(MAX(N125,N124)&gt;0,N125&gt;N124+0.00000001),1,0)</x:f>
        <x:v>0</x:v>
      </x:c>
      <x:c r="U125" t="n">
        <x:f>IF(AND(MAX(O125,O124)&gt;0,O125&gt;O124+0.00000001),1,0)</x:f>
        <x:v>0</x:v>
      </x:c>
    </x:row>
    <x:row r="126">
      <x:c r="J126" t="n">
        <x:f>IF(AND(ISNUMBER('Results'!B7),ISNUMBER('Results'!C7),ISNUMBER('Results'!$B$8),ISNUMBER('Inputs'!$B$6),ISNUMBER('Inputs'!$B$7),ISNUMBER('Inputs'!$B$8),ISNUMBER('Inputs'!$B$9),ISNUMBER('Inputs'!$B$10),ISNUMBER('Inputs'!$B$21),ISNUMBER('Inputs'!$B$24),ISNUMBER('Inputs'!$B$28)),(('Results'!B7*(0.5*((((126-43)*MAX('Inputs'!$B$33,'Inputs'!$B$29+'Inputs'!$B$31+'Inputs'!$B$32,'Inputs'!$B$30+'Inputs'!$B$31+'Inputs'!$B$32)/1000+'Inputs'!$B$21)+'Inputs'!$B$7)/SQRT((((126-43)*MAX('Inputs'!$B$33,'Inputs'!$B$29+'Inputs'!$B$31+'Inputs'!$B$32,'Inputs'!$B$30+'Inputs'!$B$31+'Inputs'!$B$32)/1000+'Inputs'!$B$21)+'Inputs'!$B$7)^2+('Inputs'!$B$6/2)^2)-(((126-43)*MAX('Inputs'!$B$33,'Inputs'!$B$29+'Inputs'!$B$31+'Inputs'!$B$32,'Inputs'!$B$30+'Inputs'!$B$31+'Inputs'!$B$32)/1000+'Inputs'!$B$21))/SQRT((((126-43)*MAX('Inputs'!$B$33,'Inputs'!$B$29+'Inputs'!$B$31+'Inputs'!$B$32,'Inputs'!$B$30+'Inputs'!$B$31+'Inputs'!$B$32)/1000+'Inputs'!$B$21))^2+('Inputs'!$B$6/2)^2)))-'Results'!C7*(0.5*((((126-43)*MAX('Inputs'!$B$33,'Inputs'!$B$29+'Inputs'!$B$31+'Inputs'!$B$32,'Inputs'!$B$30+'Inputs'!$B$31+'Inputs'!$B$32)/1000+'Inputs'!$B$21+'Inputs'!$B$7+'Inputs'!$B$10)+'Inputs'!$B$9)/SQRT((((126-43)*MAX('Inputs'!$B$33,'Inputs'!$B$29+'Inputs'!$B$31+'Inputs'!$B$32,'Inputs'!$B$30+'Inputs'!$B$31+'Inputs'!$B$32)/1000+'Inputs'!$B$21+'Inputs'!$B$7+'Inputs'!$B$10)+'Inputs'!$B$9)^2+('Inputs'!$B$8/2)^2)-(((126-43)*MAX('Inputs'!$B$33,'Inputs'!$B$29+'Inputs'!$B$31+'Inputs'!$B$32,'Inputs'!$B$30+'Inputs'!$B$31+'Inputs'!$B$32)/1000+'Inputs'!$B$21+'Inputs'!$B$7+'Inputs'!$B$10))/SQRT((((126-43)*MAX('Inputs'!$B$33,'Inputs'!$B$29+'Inputs'!$B$31+'Inputs'!$B$32,'Inputs'!$B$30+'Inputs'!$B$31+'Inputs'!$B$32)/1000+'Inputs'!$B$21+'Inputs'!$B$7+'Inputs'!$B$10))^2+('Inputs'!$B$8/2)^2))))*'Results'!$B$8),"")</x:f>
        <x:v>515.7223119432143</x:v>
      </x:c>
      <x:c r="K126" t="n">
        <x:f>IF(AND(ISNUMBER('Results'!B7),ISNUMBER('Results'!C7),ISNUMBER('Results'!$B$8),ISNUMBER('Inputs'!$B$6),ISNUMBER('Inputs'!$B$7),ISNUMBER('Inputs'!$B$8),ISNUMBER('Inputs'!$B$9),ISNUMBER('Inputs'!$B$10),ISNUMBER('Inputs'!$B$21),ISNUMBER('Inputs'!$B$24),ISNUMBER('Inputs'!$B$28)),((('Results'!B7*(1-'Inputs'!$B$24)*(0.5*((((126-43)*MAX('Inputs'!$B$33,'Inputs'!$B$29+'Inputs'!$B$31+'Inputs'!$B$32,'Inputs'!$B$30+'Inputs'!$B$31+'Inputs'!$B$32)/1000+'Inputs'!$B$21)+'Inputs'!$B$7)/SQRT((((126-43)*MAX('Inputs'!$B$33,'Inputs'!$B$29+'Inputs'!$B$31+'Inputs'!$B$32,'Inputs'!$B$30+'Inputs'!$B$31+'Inputs'!$B$32)/1000+'Inputs'!$B$21)+'Inputs'!$B$7)^2+('Inputs'!$B$6/2)^2)-(((126-43)*MAX('Inputs'!$B$33,'Inputs'!$B$29+'Inputs'!$B$31+'Inputs'!$B$32,'Inputs'!$B$30+'Inputs'!$B$31+'Inputs'!$B$32)/1000+'Inputs'!$B$21))/SQRT((((126-43)*MAX('Inputs'!$B$33,'Inputs'!$B$29+'Inputs'!$B$31+'Inputs'!$B$32,'Inputs'!$B$30+'Inputs'!$B$31+'Inputs'!$B$32)/1000+'Inputs'!$B$21))^2+('Inputs'!$B$6/2)^2)))-'Results'!C7*(1+'Inputs'!$B$24)*(0.5*((((126-43)*MAX('Inputs'!$B$33,'Inputs'!$B$29+'Inputs'!$B$31+'Inputs'!$B$32,'Inputs'!$B$30+'Inputs'!$B$31+'Inputs'!$B$32)/1000+'Inputs'!$B$21+'Inputs'!$B$7+'Inputs'!$B$10)+'Inputs'!$B$9)/SQRT((((126-43)*MAX('Inputs'!$B$33,'Inputs'!$B$29+'Inputs'!$B$31+'Inputs'!$B$32,'Inputs'!$B$30+'Inputs'!$B$31+'Inputs'!$B$32)/1000+'Inputs'!$B$21+'Inputs'!$B$7+'Inputs'!$B$10)+'Inputs'!$B$9)^2+('Inputs'!$B$8/2)^2)-(((126-43)*MAX('Inputs'!$B$33,'Inputs'!$B$29+'Inputs'!$B$31+'Inputs'!$B$32,'Inputs'!$B$30+'Inputs'!$B$31+'Inputs'!$B$32)/1000+'Inputs'!$B$21+'Inputs'!$B$7+'Inputs'!$B$10))/SQRT((((126-43)*MAX('Inputs'!$B$33,'Inputs'!$B$29+'Inputs'!$B$31+'Inputs'!$B$32,'Inputs'!$B$30+'Inputs'!$B$31+'Inputs'!$B$32)/1000+'Inputs'!$B$21+'Inputs'!$B$7+'Inputs'!$B$10))^2+('Inputs'!$B$8/2)^2))))*'Results'!$B$8)-'Inputs'!$B$28*ABS((('Results'!B7*(1-'Inputs'!$B$24)*(0.5*((((126-43)*MAX('Inputs'!$B$33,'Inputs'!$B$29+'Inputs'!$B$31+'Inputs'!$B$32,'Inputs'!$B$30+'Inputs'!$B$31+'Inputs'!$B$32)/1000+'Inputs'!$B$21)+'Inputs'!$B$7)/SQRT((((126-43)*MAX('Inputs'!$B$33,'Inputs'!$B$29+'Inputs'!$B$31+'Inputs'!$B$32,'Inputs'!$B$30+'Inputs'!$B$31+'Inputs'!$B$32)/1000+'Inputs'!$B$21)+'Inputs'!$B$7)^2+('Inputs'!$B$6/2)^2)-(((126-43)*MAX('Inputs'!$B$33,'Inputs'!$B$29+'Inputs'!$B$31+'Inputs'!$B$32,'Inputs'!$B$30+'Inputs'!$B$31+'Inputs'!$B$32)/1000+'Inputs'!$B$21))/SQRT((((126-43)*MAX('Inputs'!$B$33,'Inputs'!$B$29+'Inputs'!$B$31+'Inputs'!$B$32,'Inputs'!$B$30+'Inputs'!$B$31+'Inputs'!$B$32)/1000+'Inputs'!$B$21))^2+('Inputs'!$B$6/2)^2)))-'Results'!C7*(1+'Inputs'!$B$24)*(0.5*((((126-43)*MAX('Inputs'!$B$33,'Inputs'!$B$29+'Inputs'!$B$31+'Inputs'!$B$32,'Inputs'!$B$30+'Inputs'!$B$31+'Inputs'!$B$32)/1000+'Inputs'!$B$21+'Inputs'!$B$7+'Inputs'!$B$10)+'Inputs'!$B$9)/SQRT((((126-43)*MAX('Inputs'!$B$33,'Inputs'!$B$29+'Inputs'!$B$31+'Inputs'!$B$32,'Inputs'!$B$30+'Inputs'!$B$31+'Inputs'!$B$32)/1000+'Inputs'!$B$21+'Inputs'!$B$7+'Inputs'!$B$10)+'Inputs'!$B$9)^2+('Inputs'!$B$8/2)^2)-(((126-43)*MAX('Inputs'!$B$33,'Inputs'!$B$29+'Inputs'!$B$31+'Inputs'!$B$32,'Inputs'!$B$30+'Inputs'!$B$31+'Inputs'!$B$32)/1000+'Inputs'!$B$21+'Inputs'!$B$7+'Inputs'!$B$10))/SQRT((((126-43)*MAX('Inputs'!$B$33,'Inputs'!$B$29+'Inputs'!$B$31+'Inputs'!$B$32,'Inputs'!$B$30+'Inputs'!$B$31+'Inputs'!$B$32)/1000+'Inputs'!$B$21+'Inputs'!$B$7+'Inputs'!$B$10))^2+('Inputs'!$B$8/2)^2))))*'Results'!$B$8))),"")</x:f>
        <x:v>476.09589015615796</x:v>
      </x:c>
      <x:c r="L126" t="n">
        <x:f>IF(AND(ISNUMBER('Results'!B7),ISNUMBER('Results'!C7),ISNUMBER('Results'!$B$8),ISNUMBER('Inputs'!$B$6),ISNUMBER('Inputs'!$B$7),ISNUMBER('Inputs'!$B$8),ISNUMBER('Inputs'!$B$9),ISNUMBER('Inputs'!$B$10),ISNUMBER('Inputs'!$B$21),ISNUMBER('Inputs'!$B$24),ISNUMBER('Inputs'!$B$28)),((('Results'!B7*(1+'Inputs'!$B$24)*(0.5*((((126-43)*MAX('Inputs'!$B$33,'Inputs'!$B$29+'Inputs'!$B$31+'Inputs'!$B$32,'Inputs'!$B$30+'Inputs'!$B$31+'Inputs'!$B$32)/1000+'Inputs'!$B$21)+'Inputs'!$B$7)/SQRT((((126-43)*MAX('Inputs'!$B$33,'Inputs'!$B$29+'Inputs'!$B$31+'Inputs'!$B$32,'Inputs'!$B$30+'Inputs'!$B$31+'Inputs'!$B$32)/1000+'Inputs'!$B$21)+'Inputs'!$B$7)^2+('Inputs'!$B$6/2)^2)-(((126-43)*MAX('Inputs'!$B$33,'Inputs'!$B$29+'Inputs'!$B$31+'Inputs'!$B$32,'Inputs'!$B$30+'Inputs'!$B$31+'Inputs'!$B$32)/1000+'Inputs'!$B$21))/SQRT((((126-43)*MAX('Inputs'!$B$33,'Inputs'!$B$29+'Inputs'!$B$31+'Inputs'!$B$32,'Inputs'!$B$30+'Inputs'!$B$31+'Inputs'!$B$32)/1000+'Inputs'!$B$21))^2+('Inputs'!$B$6/2)^2)))-'Results'!C7*(1-'Inputs'!$B$24)*(0.5*((((126-43)*MAX('Inputs'!$B$33,'Inputs'!$B$29+'Inputs'!$B$31+'Inputs'!$B$32,'Inputs'!$B$30+'Inputs'!$B$31+'Inputs'!$B$32)/1000+'Inputs'!$B$21+'Inputs'!$B$7+'Inputs'!$B$10)+'Inputs'!$B$9)/SQRT((((126-43)*MAX('Inputs'!$B$33,'Inputs'!$B$29+'Inputs'!$B$31+'Inputs'!$B$32,'Inputs'!$B$30+'Inputs'!$B$31+'Inputs'!$B$32)/1000+'Inputs'!$B$21+'Inputs'!$B$7+'Inputs'!$B$10)+'Inputs'!$B$9)^2+('Inputs'!$B$8/2)^2)-(((126-43)*MAX('Inputs'!$B$33,'Inputs'!$B$29+'Inputs'!$B$31+'Inputs'!$B$32,'Inputs'!$B$30+'Inputs'!$B$31+'Inputs'!$B$32)/1000+'Inputs'!$B$21+'Inputs'!$B$7+'Inputs'!$B$10))/SQRT((((126-43)*MAX('Inputs'!$B$33,'Inputs'!$B$29+'Inputs'!$B$31+'Inputs'!$B$32,'Inputs'!$B$30+'Inputs'!$B$31+'Inputs'!$B$32)/1000+'Inputs'!$B$21+'Inputs'!$B$7+'Inputs'!$B$10))^2+('Inputs'!$B$8/2)^2))))*'Results'!$B$8)+'Inputs'!$B$28*ABS((('Results'!B7*(1+'Inputs'!$B$24)*(0.5*((((126-43)*MAX('Inputs'!$B$33,'Inputs'!$B$29+'Inputs'!$B$31+'Inputs'!$B$32,'Inputs'!$B$30+'Inputs'!$B$31+'Inputs'!$B$32)/1000+'Inputs'!$B$21)+'Inputs'!$B$7)/SQRT((((126-43)*MAX('Inputs'!$B$33,'Inputs'!$B$29+'Inputs'!$B$31+'Inputs'!$B$32,'Inputs'!$B$30+'Inputs'!$B$31+'Inputs'!$B$32)/1000+'Inputs'!$B$21)+'Inputs'!$B$7)^2+('Inputs'!$B$6/2)^2)-(((126-43)*MAX('Inputs'!$B$33,'Inputs'!$B$29+'Inputs'!$B$31+'Inputs'!$B$32,'Inputs'!$B$30+'Inputs'!$B$31+'Inputs'!$B$32)/1000+'Inputs'!$B$21))/SQRT((((126-43)*MAX('Inputs'!$B$33,'Inputs'!$B$29+'Inputs'!$B$31+'Inputs'!$B$32,'Inputs'!$B$30+'Inputs'!$B$31+'Inputs'!$B$32)/1000+'Inputs'!$B$21))^2+('Inputs'!$B$6/2)^2)))-'Results'!C7*(1-'Inputs'!$B$24)*(0.5*((((126-43)*MAX('Inputs'!$B$33,'Inputs'!$B$29+'Inputs'!$B$31+'Inputs'!$B$32,'Inputs'!$B$30+'Inputs'!$B$31+'Inputs'!$B$32)/1000+'Inputs'!$B$21+'Inputs'!$B$7+'Inputs'!$B$10)+'Inputs'!$B$9)/SQRT((((126-43)*MAX('Inputs'!$B$33,'Inputs'!$B$29+'Inputs'!$B$31+'Inputs'!$B$32,'Inputs'!$B$30+'Inputs'!$B$31+'Inputs'!$B$32)/1000+'Inputs'!$B$21+'Inputs'!$B$7+'Inputs'!$B$10)+'Inputs'!$B$9)^2+('Inputs'!$B$8/2)^2)-(((126-43)*MAX('Inputs'!$B$33,'Inputs'!$B$29+'Inputs'!$B$31+'Inputs'!$B$32,'Inputs'!$B$30+'Inputs'!$B$31+'Inputs'!$B$32)/1000+'Inputs'!$B$21+'Inputs'!$B$7+'Inputs'!$B$10))/SQRT((((126-43)*MAX('Inputs'!$B$33,'Inputs'!$B$29+'Inputs'!$B$31+'Inputs'!$B$32,'Inputs'!$B$30+'Inputs'!$B$31+'Inputs'!$B$32)/1000+'Inputs'!$B$21+'Inputs'!$B$7+'Inputs'!$B$10))^2+('Inputs'!$B$8/2)^2))))*'Results'!$B$8))),"")</x:f>
        <x:v>556.8056080660492</x:v>
      </x:c>
      <x:c r="M126" t="n">
        <x:f>IF(AND(ISNUMBER('Results'!C7),ISNUMBER('Results'!B7),ISNUMBER('Results'!$B$8),ISNUMBER('Inputs'!$B$6),ISNUMBER('Inputs'!$B$7),ISNUMBER('Inputs'!$B$8),ISNUMBER('Inputs'!$B$9),ISNUMBER('Inputs'!$B$10),ISNUMBER('Inputs'!$B$21),ISNUMBER('Inputs'!$B$24),ISNUMBER('Inputs'!$B$28)),(('Results'!C7*(0.5*((((126-43)*MAX('Inputs'!$B$33,'Inputs'!$B$29+'Inputs'!$B$31+'Inputs'!$B$32,'Inputs'!$B$30+'Inputs'!$B$31+'Inputs'!$B$32)/1000+'Inputs'!$B$21)+'Inputs'!$B$9)/SQRT((((126-43)*MAX('Inputs'!$B$33,'Inputs'!$B$29+'Inputs'!$B$31+'Inputs'!$B$32,'Inputs'!$B$30+'Inputs'!$B$31+'Inputs'!$B$32)/1000+'Inputs'!$B$21)+'Inputs'!$B$9)^2+('Inputs'!$B$8/2)^2)-(((126-43)*MAX('Inputs'!$B$33,'Inputs'!$B$29+'Inputs'!$B$31+'Inputs'!$B$32,'Inputs'!$B$30+'Inputs'!$B$31+'Inputs'!$B$32)/1000+'Inputs'!$B$21))/SQRT((((126-43)*MAX('Inputs'!$B$33,'Inputs'!$B$29+'Inputs'!$B$31+'Inputs'!$B$32,'Inputs'!$B$30+'Inputs'!$B$31+'Inputs'!$B$32)/1000+'Inputs'!$B$21))^2+('Inputs'!$B$8/2)^2)))-'Results'!B7*(0.5*((((126-43)*MAX('Inputs'!$B$33,'Inputs'!$B$29+'Inputs'!$B$31+'Inputs'!$B$32,'Inputs'!$B$30+'Inputs'!$B$31+'Inputs'!$B$32)/1000+'Inputs'!$B$21+'Inputs'!$B$9+'Inputs'!$B$10)+'Inputs'!$B$7)/SQRT((((126-43)*MAX('Inputs'!$B$33,'Inputs'!$B$29+'Inputs'!$B$31+'Inputs'!$B$32,'Inputs'!$B$30+'Inputs'!$B$31+'Inputs'!$B$32)/1000+'Inputs'!$B$21+'Inputs'!$B$9+'Inputs'!$B$10)+'Inputs'!$B$7)^2+('Inputs'!$B$6/2)^2)-(((126-43)*MAX('Inputs'!$B$33,'Inputs'!$B$29+'Inputs'!$B$31+'Inputs'!$B$32,'Inputs'!$B$30+'Inputs'!$B$31+'Inputs'!$B$32)/1000+'Inputs'!$B$21+'Inputs'!$B$9+'Inputs'!$B$10))/SQRT((((126-43)*MAX('Inputs'!$B$33,'Inputs'!$B$29+'Inputs'!$B$31+'Inputs'!$B$32,'Inputs'!$B$30+'Inputs'!$B$31+'Inputs'!$B$32)/1000+'Inputs'!$B$21+'Inputs'!$B$9+'Inputs'!$B$10))^2+('Inputs'!$B$6/2)^2))))*'Results'!$B$8),"")</x:f>
        <x:v>501.1101573903384</x:v>
      </x:c>
      <x:c r="N126" t="n">
        <x:f>IF(AND(ISNUMBER('Results'!C7),ISNUMBER('Results'!B7),ISNUMBER('Results'!$B$8),ISNUMBER('Inputs'!$B$6),ISNUMBER('Inputs'!$B$7),ISNUMBER('Inputs'!$B$8),ISNUMBER('Inputs'!$B$9),ISNUMBER('Inputs'!$B$10),ISNUMBER('Inputs'!$B$21),ISNUMBER('Inputs'!$B$24),ISNUMBER('Inputs'!$B$28)),((('Results'!C7*(1-'Inputs'!$B$24)*(0.5*((((126-43)*MAX('Inputs'!$B$33,'Inputs'!$B$29+'Inputs'!$B$31+'Inputs'!$B$32,'Inputs'!$B$30+'Inputs'!$B$31+'Inputs'!$B$32)/1000+'Inputs'!$B$21)+'Inputs'!$B$9)/SQRT((((126-43)*MAX('Inputs'!$B$33,'Inputs'!$B$29+'Inputs'!$B$31+'Inputs'!$B$32,'Inputs'!$B$30+'Inputs'!$B$31+'Inputs'!$B$32)/1000+'Inputs'!$B$21)+'Inputs'!$B$9)^2+('Inputs'!$B$8/2)^2)-(((126-43)*MAX('Inputs'!$B$33,'Inputs'!$B$29+'Inputs'!$B$31+'Inputs'!$B$32,'Inputs'!$B$30+'Inputs'!$B$31+'Inputs'!$B$32)/1000+'Inputs'!$B$21))/SQRT((((126-43)*MAX('Inputs'!$B$33,'Inputs'!$B$29+'Inputs'!$B$31+'Inputs'!$B$32,'Inputs'!$B$30+'Inputs'!$B$31+'Inputs'!$B$32)/1000+'Inputs'!$B$21))^2+('Inputs'!$B$8/2)^2)))-'Results'!B7*(1+'Inputs'!$B$24)*(0.5*((((126-43)*MAX('Inputs'!$B$33,'Inputs'!$B$29+'Inputs'!$B$31+'Inputs'!$B$32,'Inputs'!$B$30+'Inputs'!$B$31+'Inputs'!$B$32)/1000+'Inputs'!$B$21+'Inputs'!$B$9+'Inputs'!$B$10)+'Inputs'!$B$7)/SQRT((((126-43)*MAX('Inputs'!$B$33,'Inputs'!$B$29+'Inputs'!$B$31+'Inputs'!$B$32,'Inputs'!$B$30+'Inputs'!$B$31+'Inputs'!$B$32)/1000+'Inputs'!$B$21+'Inputs'!$B$9+'Inputs'!$B$10)+'Inputs'!$B$7)^2+('Inputs'!$B$6/2)^2)-(((126-43)*MAX('Inputs'!$B$33,'Inputs'!$B$29+'Inputs'!$B$31+'Inputs'!$B$32,'Inputs'!$B$30+'Inputs'!$B$31+'Inputs'!$B$32)/1000+'Inputs'!$B$21+'Inputs'!$B$9+'Inputs'!$B$10))/SQRT((((126-43)*MAX('Inputs'!$B$33,'Inputs'!$B$29+'Inputs'!$B$31+'Inputs'!$B$32,'Inputs'!$B$30+'Inputs'!$B$31+'Inputs'!$B$32)/1000+'Inputs'!$B$21+'Inputs'!$B$9+'Inputs'!$B$10))^2+('Inputs'!$B$6/2)^2))))*'Results'!$B$8)-'Inputs'!$B$28*ABS((('Results'!C7*(1-'Inputs'!$B$24)*(0.5*((((126-43)*MAX('Inputs'!$B$33,'Inputs'!$B$29+'Inputs'!$B$31+'Inputs'!$B$32,'Inputs'!$B$30+'Inputs'!$B$31+'Inputs'!$B$32)/1000+'Inputs'!$B$21)+'Inputs'!$B$9)/SQRT((((126-43)*MAX('Inputs'!$B$33,'Inputs'!$B$29+'Inputs'!$B$31+'Inputs'!$B$32,'Inputs'!$B$30+'Inputs'!$B$31+'Inputs'!$B$32)/1000+'Inputs'!$B$21)+'Inputs'!$B$9)^2+('Inputs'!$B$8/2)^2)-(((126-43)*MAX('Inputs'!$B$33,'Inputs'!$B$29+'Inputs'!$B$31+'Inputs'!$B$32,'Inputs'!$B$30+'Inputs'!$B$31+'Inputs'!$B$32)/1000+'Inputs'!$B$21))/SQRT((((126-43)*MAX('Inputs'!$B$33,'Inputs'!$B$29+'Inputs'!$B$31+'Inputs'!$B$32,'Inputs'!$B$30+'Inputs'!$B$31+'Inputs'!$B$32)/1000+'Inputs'!$B$21))^2+('Inputs'!$B$8/2)^2)))-'Results'!B7*(1+'Inputs'!$B$24)*(0.5*((((126-43)*MAX('Inputs'!$B$33,'Inputs'!$B$29+'Inputs'!$B$31+'Inputs'!$B$32,'Inputs'!$B$30+'Inputs'!$B$31+'Inputs'!$B$32)/1000+'Inputs'!$B$21+'Inputs'!$B$9+'Inputs'!$B$10)+'Inputs'!$B$7)/SQRT((((126-43)*MAX('Inputs'!$B$33,'Inputs'!$B$29+'Inputs'!$B$31+'Inputs'!$B$32,'Inputs'!$B$30+'Inputs'!$B$31+'Inputs'!$B$32)/1000+'Inputs'!$B$21+'Inputs'!$B$9+'Inputs'!$B$10)+'Inputs'!$B$7)^2+('Inputs'!$B$6/2)^2)-(((126-43)*MAX('Inputs'!$B$33,'Inputs'!$B$29+'Inputs'!$B$31+'Inputs'!$B$32,'Inputs'!$B$30+'Inputs'!$B$31+'Inputs'!$B$32)/1000+'Inputs'!$B$21+'Inputs'!$B$9+'Inputs'!$B$10))/SQRT((((126-43)*MAX('Inputs'!$B$33,'Inputs'!$B$29+'Inputs'!$B$31+'Inputs'!$B$32,'Inputs'!$B$30+'Inputs'!$B$31+'Inputs'!$B$32)/1000+'Inputs'!$B$21+'Inputs'!$B$9+'Inputs'!$B$10))^2+('Inputs'!$B$6/2)^2))))*'Results'!$B$8))),"")</x:f>
        <x:v>462.4094929967574</x:v>
      </x:c>
      <x:c r="O126" t="n">
        <x:f>IF(AND(ISNUMBER('Results'!C7),ISNUMBER('Results'!B7),ISNUMBER('Results'!$B$8),ISNUMBER('Inputs'!$B$6),ISNUMBER('Inputs'!$B$7),ISNUMBER('Inputs'!$B$8),ISNUMBER('Inputs'!$B$9),ISNUMBER('Inputs'!$B$10),ISNUMBER('Inputs'!$B$21),ISNUMBER('Inputs'!$B$24),ISNUMBER('Inputs'!$B$28)),((('Results'!C7*(1+'Inputs'!$B$24)*(0.5*((((126-43)*MAX('Inputs'!$B$33,'Inputs'!$B$29+'Inputs'!$B$31+'Inputs'!$B$32,'Inputs'!$B$30+'Inputs'!$B$31+'Inputs'!$B$32)/1000+'Inputs'!$B$21)+'Inputs'!$B$9)/SQRT((((126-43)*MAX('Inputs'!$B$33,'Inputs'!$B$29+'Inputs'!$B$31+'Inputs'!$B$32,'Inputs'!$B$30+'Inputs'!$B$31+'Inputs'!$B$32)/1000+'Inputs'!$B$21)+'Inputs'!$B$9)^2+('Inputs'!$B$8/2)^2)-(((126-43)*MAX('Inputs'!$B$33,'Inputs'!$B$29+'Inputs'!$B$31+'Inputs'!$B$32,'Inputs'!$B$30+'Inputs'!$B$31+'Inputs'!$B$32)/1000+'Inputs'!$B$21))/SQRT((((126-43)*MAX('Inputs'!$B$33,'Inputs'!$B$29+'Inputs'!$B$31+'Inputs'!$B$32,'Inputs'!$B$30+'Inputs'!$B$31+'Inputs'!$B$32)/1000+'Inputs'!$B$21))^2+('Inputs'!$B$8/2)^2)))-'Results'!B7*(1-'Inputs'!$B$24)*(0.5*((((126-43)*MAX('Inputs'!$B$33,'Inputs'!$B$29+'Inputs'!$B$31+'Inputs'!$B$32,'Inputs'!$B$30+'Inputs'!$B$31+'Inputs'!$B$32)/1000+'Inputs'!$B$21+'Inputs'!$B$9+'Inputs'!$B$10)+'Inputs'!$B$7)/SQRT((((126-43)*MAX('Inputs'!$B$33,'Inputs'!$B$29+'Inputs'!$B$31+'Inputs'!$B$32,'Inputs'!$B$30+'Inputs'!$B$31+'Inputs'!$B$32)/1000+'Inputs'!$B$21+'Inputs'!$B$9+'Inputs'!$B$10)+'Inputs'!$B$7)^2+('Inputs'!$B$6/2)^2)-(((126-43)*MAX('Inputs'!$B$33,'Inputs'!$B$29+'Inputs'!$B$31+'Inputs'!$B$32,'Inputs'!$B$30+'Inputs'!$B$31+'Inputs'!$B$32)/1000+'Inputs'!$B$21+'Inputs'!$B$9+'Inputs'!$B$10))/SQRT((((126-43)*MAX('Inputs'!$B$33,'Inputs'!$B$29+'Inputs'!$B$31+'Inputs'!$B$32,'Inputs'!$B$30+'Inputs'!$B$31+'Inputs'!$B$32)/1000+'Inputs'!$B$21+'Inputs'!$B$9+'Inputs'!$B$10))^2+('Inputs'!$B$6/2)^2))))*'Results'!$B$8)+'Inputs'!$B$28*ABS((('Results'!C7*(1+'Inputs'!$B$24)*(0.5*((((126-43)*MAX('Inputs'!$B$33,'Inputs'!$B$29+'Inputs'!$B$31+'Inputs'!$B$32,'Inputs'!$B$30+'Inputs'!$B$31+'Inputs'!$B$32)/1000+'Inputs'!$B$21)+'Inputs'!$B$9)/SQRT((((126-43)*MAX('Inputs'!$B$33,'Inputs'!$B$29+'Inputs'!$B$31+'Inputs'!$B$32,'Inputs'!$B$30+'Inputs'!$B$31+'Inputs'!$B$32)/1000+'Inputs'!$B$21)+'Inputs'!$B$9)^2+('Inputs'!$B$8/2)^2)-(((126-43)*MAX('Inputs'!$B$33,'Inputs'!$B$29+'Inputs'!$B$31+'Inputs'!$B$32,'Inputs'!$B$30+'Inputs'!$B$31+'Inputs'!$B$32)/1000+'Inputs'!$B$21))/SQRT((((126-43)*MAX('Inputs'!$B$33,'Inputs'!$B$29+'Inputs'!$B$31+'Inputs'!$B$32,'Inputs'!$B$30+'Inputs'!$B$31+'Inputs'!$B$32)/1000+'Inputs'!$B$21))^2+('Inputs'!$B$8/2)^2)))-'Results'!B7*(1-'Inputs'!$B$24)*(0.5*((((126-43)*MAX('Inputs'!$B$33,'Inputs'!$B$29+'Inputs'!$B$31+'Inputs'!$B$32,'Inputs'!$B$30+'Inputs'!$B$31+'Inputs'!$B$32)/1000+'Inputs'!$B$21+'Inputs'!$B$9+'Inputs'!$B$10)+'Inputs'!$B$7)/SQRT((((126-43)*MAX('Inputs'!$B$33,'Inputs'!$B$29+'Inputs'!$B$31+'Inputs'!$B$32,'Inputs'!$B$30+'Inputs'!$B$31+'Inputs'!$B$32)/1000+'Inputs'!$B$21+'Inputs'!$B$9+'Inputs'!$B$10)+'Inputs'!$B$7)^2+('Inputs'!$B$6/2)^2)-(((126-43)*MAX('Inputs'!$B$33,'Inputs'!$B$29+'Inputs'!$B$31+'Inputs'!$B$32,'Inputs'!$B$30+'Inputs'!$B$31+'Inputs'!$B$32)/1000+'Inputs'!$B$21+'Inputs'!$B$9+'Inputs'!$B$10))/SQRT((((126-43)*MAX('Inputs'!$B$33,'Inputs'!$B$29+'Inputs'!$B$31+'Inputs'!$B$32,'Inputs'!$B$30+'Inputs'!$B$31+'Inputs'!$B$32)/1000+'Inputs'!$B$21+'Inputs'!$B$9+'Inputs'!$B$10))^2+('Inputs'!$B$6/2)^2))))*'Results'!$B$8))),"")</x:f>
        <x:v>541.2471540496103</x:v>
      </x:c>
      <x:c r="P126" t="n">
        <x:f>IF(AND(MAX(J126,J125)&gt;0,J126&gt;J125+0.00000001),1,0)</x:f>
        <x:v>0</x:v>
      </x:c>
      <x:c r="Q126" t="n">
        <x:f>IF(AND(MAX(K126,K125)&gt;0,K126&gt;K125+0.00000001),1,0)</x:f>
        <x:v>0</x:v>
      </x:c>
      <x:c r="R126" t="n">
        <x:f>IF(AND(MAX(L126,L125)&gt;0,L126&gt;L125+0.00000001),1,0)</x:f>
        <x:v>0</x:v>
      </x:c>
      <x:c r="S126" t="n">
        <x:f>IF(AND(MAX(M126,M125)&gt;0,M126&gt;M125+0.00000001),1,0)</x:f>
        <x:v>0</x:v>
      </x:c>
      <x:c r="T126" t="n">
        <x:f>IF(AND(MAX(N126,N125)&gt;0,N126&gt;N125+0.00000001),1,0)</x:f>
        <x:v>0</x:v>
      </x:c>
      <x:c r="U126" t="n">
        <x:f>IF(AND(MAX(O126,O125)&gt;0,O126&gt;O125+0.00000001),1,0)</x:f>
        <x:v>0</x:v>
      </x:c>
    </x:row>
    <x:row r="127">
      <x:c r="J127" t="n">
        <x:f>IF(AND(ISNUMBER('Results'!B7),ISNUMBER('Results'!C7),ISNUMBER('Results'!$B$8),ISNUMBER('Inputs'!$B$6),ISNUMBER('Inputs'!$B$7),ISNUMBER('Inputs'!$B$8),ISNUMBER('Inputs'!$B$9),ISNUMBER('Inputs'!$B$10),ISNUMBER('Inputs'!$B$21),ISNUMBER('Inputs'!$B$24),ISNUMBER('Inputs'!$B$28)),(('Results'!B7*(0.5*((((127-43)*MAX('Inputs'!$B$33,'Inputs'!$B$29+'Inputs'!$B$31+'Inputs'!$B$32,'Inputs'!$B$30+'Inputs'!$B$31+'Inputs'!$B$32)/1000+'Inputs'!$B$21)+'Inputs'!$B$7)/SQRT((((127-43)*MAX('Inputs'!$B$33,'Inputs'!$B$29+'Inputs'!$B$31+'Inputs'!$B$32,'Inputs'!$B$30+'Inputs'!$B$31+'Inputs'!$B$32)/1000+'Inputs'!$B$21)+'Inputs'!$B$7)^2+('Inputs'!$B$6/2)^2)-(((127-43)*MAX('Inputs'!$B$33,'Inputs'!$B$29+'Inputs'!$B$31+'Inputs'!$B$32,'Inputs'!$B$30+'Inputs'!$B$31+'Inputs'!$B$32)/1000+'Inputs'!$B$21))/SQRT((((127-43)*MAX('Inputs'!$B$33,'Inputs'!$B$29+'Inputs'!$B$31+'Inputs'!$B$32,'Inputs'!$B$30+'Inputs'!$B$31+'Inputs'!$B$32)/1000+'Inputs'!$B$21))^2+('Inputs'!$B$6/2)^2)))-'Results'!C7*(0.5*((((127-43)*MAX('Inputs'!$B$33,'Inputs'!$B$29+'Inputs'!$B$31+'Inputs'!$B$32,'Inputs'!$B$30+'Inputs'!$B$31+'Inputs'!$B$32)/1000+'Inputs'!$B$21+'Inputs'!$B$7+'Inputs'!$B$10)+'Inputs'!$B$9)/SQRT((((127-43)*MAX('Inputs'!$B$33,'Inputs'!$B$29+'Inputs'!$B$31+'Inputs'!$B$32,'Inputs'!$B$30+'Inputs'!$B$31+'Inputs'!$B$32)/1000+'Inputs'!$B$21+'Inputs'!$B$7+'Inputs'!$B$10)+'Inputs'!$B$9)^2+('Inputs'!$B$8/2)^2)-(((127-43)*MAX('Inputs'!$B$33,'Inputs'!$B$29+'Inputs'!$B$31+'Inputs'!$B$32,'Inputs'!$B$30+'Inputs'!$B$31+'Inputs'!$B$32)/1000+'Inputs'!$B$21+'Inputs'!$B$7+'Inputs'!$B$10))/SQRT((((127-43)*MAX('Inputs'!$B$33,'Inputs'!$B$29+'Inputs'!$B$31+'Inputs'!$B$32,'Inputs'!$B$30+'Inputs'!$B$31+'Inputs'!$B$32)/1000+'Inputs'!$B$21+'Inputs'!$B$7+'Inputs'!$B$10))^2+('Inputs'!$B$8/2)^2))))*'Results'!$B$8),"")</x:f>
        <x:v>505.74159421294127</x:v>
      </x:c>
      <x:c r="K127" t="n">
        <x:f>IF(AND(ISNUMBER('Results'!B7),ISNUMBER('Results'!C7),ISNUMBER('Results'!$B$8),ISNUMBER('Inputs'!$B$6),ISNUMBER('Inputs'!$B$7),ISNUMBER('Inputs'!$B$8),ISNUMBER('Inputs'!$B$9),ISNUMBER('Inputs'!$B$10),ISNUMBER('Inputs'!$B$21),ISNUMBER('Inputs'!$B$24),ISNUMBER('Inputs'!$B$28)),((('Results'!B7*(1-'Inputs'!$B$24)*(0.5*((((127-43)*MAX('Inputs'!$B$33,'Inputs'!$B$29+'Inputs'!$B$31+'Inputs'!$B$32,'Inputs'!$B$30+'Inputs'!$B$31+'Inputs'!$B$32)/1000+'Inputs'!$B$21)+'Inputs'!$B$7)/SQRT((((127-43)*MAX('Inputs'!$B$33,'Inputs'!$B$29+'Inputs'!$B$31+'Inputs'!$B$32,'Inputs'!$B$30+'Inputs'!$B$31+'Inputs'!$B$32)/1000+'Inputs'!$B$21)+'Inputs'!$B$7)^2+('Inputs'!$B$6/2)^2)-(((127-43)*MAX('Inputs'!$B$33,'Inputs'!$B$29+'Inputs'!$B$31+'Inputs'!$B$32,'Inputs'!$B$30+'Inputs'!$B$31+'Inputs'!$B$32)/1000+'Inputs'!$B$21))/SQRT((((127-43)*MAX('Inputs'!$B$33,'Inputs'!$B$29+'Inputs'!$B$31+'Inputs'!$B$32,'Inputs'!$B$30+'Inputs'!$B$31+'Inputs'!$B$32)/1000+'Inputs'!$B$21))^2+('Inputs'!$B$6/2)^2)))-'Results'!C7*(1+'Inputs'!$B$24)*(0.5*((((127-43)*MAX('Inputs'!$B$33,'Inputs'!$B$29+'Inputs'!$B$31+'Inputs'!$B$32,'Inputs'!$B$30+'Inputs'!$B$31+'Inputs'!$B$32)/1000+'Inputs'!$B$21+'Inputs'!$B$7+'Inputs'!$B$10)+'Inputs'!$B$9)/SQRT((((127-43)*MAX('Inputs'!$B$33,'Inputs'!$B$29+'Inputs'!$B$31+'Inputs'!$B$32,'Inputs'!$B$30+'Inputs'!$B$31+'Inputs'!$B$32)/1000+'Inputs'!$B$21+'Inputs'!$B$7+'Inputs'!$B$10)+'Inputs'!$B$9)^2+('Inputs'!$B$8/2)^2)-(((127-43)*MAX('Inputs'!$B$33,'Inputs'!$B$29+'Inputs'!$B$31+'Inputs'!$B$32,'Inputs'!$B$30+'Inputs'!$B$31+'Inputs'!$B$32)/1000+'Inputs'!$B$21+'Inputs'!$B$7+'Inputs'!$B$10))/SQRT((((127-43)*MAX('Inputs'!$B$33,'Inputs'!$B$29+'Inputs'!$B$31+'Inputs'!$B$32,'Inputs'!$B$30+'Inputs'!$B$31+'Inputs'!$B$32)/1000+'Inputs'!$B$21+'Inputs'!$B$7+'Inputs'!$B$10))^2+('Inputs'!$B$8/2)^2))))*'Results'!$B$8)-'Inputs'!$B$28*ABS((('Results'!B7*(1-'Inputs'!$B$24)*(0.5*((((127-43)*MAX('Inputs'!$B$33,'Inputs'!$B$29+'Inputs'!$B$31+'Inputs'!$B$32,'Inputs'!$B$30+'Inputs'!$B$31+'Inputs'!$B$32)/1000+'Inputs'!$B$21)+'Inputs'!$B$7)/SQRT((((127-43)*MAX('Inputs'!$B$33,'Inputs'!$B$29+'Inputs'!$B$31+'Inputs'!$B$32,'Inputs'!$B$30+'Inputs'!$B$31+'Inputs'!$B$32)/1000+'Inputs'!$B$21)+'Inputs'!$B$7)^2+('Inputs'!$B$6/2)^2)-(((127-43)*MAX('Inputs'!$B$33,'Inputs'!$B$29+'Inputs'!$B$31+'Inputs'!$B$32,'Inputs'!$B$30+'Inputs'!$B$31+'Inputs'!$B$32)/1000+'Inputs'!$B$21))/SQRT((((127-43)*MAX('Inputs'!$B$33,'Inputs'!$B$29+'Inputs'!$B$31+'Inputs'!$B$32,'Inputs'!$B$30+'Inputs'!$B$31+'Inputs'!$B$32)/1000+'Inputs'!$B$21))^2+('Inputs'!$B$6/2)^2)))-'Results'!C7*(1+'Inputs'!$B$24)*(0.5*((((127-43)*MAX('Inputs'!$B$33,'Inputs'!$B$29+'Inputs'!$B$31+'Inputs'!$B$32,'Inputs'!$B$30+'Inputs'!$B$31+'Inputs'!$B$32)/1000+'Inputs'!$B$21+'Inputs'!$B$7+'Inputs'!$B$10)+'Inputs'!$B$9)/SQRT((((127-43)*MAX('Inputs'!$B$33,'Inputs'!$B$29+'Inputs'!$B$31+'Inputs'!$B$32,'Inputs'!$B$30+'Inputs'!$B$31+'Inputs'!$B$32)/1000+'Inputs'!$B$21+'Inputs'!$B$7+'Inputs'!$B$10)+'Inputs'!$B$9)^2+('Inputs'!$B$8/2)^2)-(((127-43)*MAX('Inputs'!$B$33,'Inputs'!$B$29+'Inputs'!$B$31+'Inputs'!$B$32,'Inputs'!$B$30+'Inputs'!$B$31+'Inputs'!$B$32)/1000+'Inputs'!$B$21+'Inputs'!$B$7+'Inputs'!$B$10))/SQRT((((127-43)*MAX('Inputs'!$B$33,'Inputs'!$B$29+'Inputs'!$B$31+'Inputs'!$B$32,'Inputs'!$B$30+'Inputs'!$B$31+'Inputs'!$B$32)/1000+'Inputs'!$B$21+'Inputs'!$B$7+'Inputs'!$B$10))^2+('Inputs'!$B$8/2)^2))))*'Results'!$B$8))),"")</x:f>
        <x:v>466.85298248734955</x:v>
      </x:c>
      <x:c r="L127" t="n">
        <x:f>IF(AND(ISNUMBER('Results'!B7),ISNUMBER('Results'!C7),ISNUMBER('Results'!$B$8),ISNUMBER('Inputs'!$B$6),ISNUMBER('Inputs'!$B$7),ISNUMBER('Inputs'!$B$8),ISNUMBER('Inputs'!$B$9),ISNUMBER('Inputs'!$B$10),ISNUMBER('Inputs'!$B$21),ISNUMBER('Inputs'!$B$24),ISNUMBER('Inputs'!$B$28)),((('Results'!B7*(1+'Inputs'!$B$24)*(0.5*((((127-43)*MAX('Inputs'!$B$33,'Inputs'!$B$29+'Inputs'!$B$31+'Inputs'!$B$32,'Inputs'!$B$30+'Inputs'!$B$31+'Inputs'!$B$32)/1000+'Inputs'!$B$21)+'Inputs'!$B$7)/SQRT((((127-43)*MAX('Inputs'!$B$33,'Inputs'!$B$29+'Inputs'!$B$31+'Inputs'!$B$32,'Inputs'!$B$30+'Inputs'!$B$31+'Inputs'!$B$32)/1000+'Inputs'!$B$21)+'Inputs'!$B$7)^2+('Inputs'!$B$6/2)^2)-(((127-43)*MAX('Inputs'!$B$33,'Inputs'!$B$29+'Inputs'!$B$31+'Inputs'!$B$32,'Inputs'!$B$30+'Inputs'!$B$31+'Inputs'!$B$32)/1000+'Inputs'!$B$21))/SQRT((((127-43)*MAX('Inputs'!$B$33,'Inputs'!$B$29+'Inputs'!$B$31+'Inputs'!$B$32,'Inputs'!$B$30+'Inputs'!$B$31+'Inputs'!$B$32)/1000+'Inputs'!$B$21))^2+('Inputs'!$B$6/2)^2)))-'Results'!C7*(1-'Inputs'!$B$24)*(0.5*((((127-43)*MAX('Inputs'!$B$33,'Inputs'!$B$29+'Inputs'!$B$31+'Inputs'!$B$32,'Inputs'!$B$30+'Inputs'!$B$31+'Inputs'!$B$32)/1000+'Inputs'!$B$21+'Inputs'!$B$7+'Inputs'!$B$10)+'Inputs'!$B$9)/SQRT((((127-43)*MAX('Inputs'!$B$33,'Inputs'!$B$29+'Inputs'!$B$31+'Inputs'!$B$32,'Inputs'!$B$30+'Inputs'!$B$31+'Inputs'!$B$32)/1000+'Inputs'!$B$21+'Inputs'!$B$7+'Inputs'!$B$10)+'Inputs'!$B$9)^2+('Inputs'!$B$8/2)^2)-(((127-43)*MAX('Inputs'!$B$33,'Inputs'!$B$29+'Inputs'!$B$31+'Inputs'!$B$32,'Inputs'!$B$30+'Inputs'!$B$31+'Inputs'!$B$32)/1000+'Inputs'!$B$21+'Inputs'!$B$7+'Inputs'!$B$10))/SQRT((((127-43)*MAX('Inputs'!$B$33,'Inputs'!$B$29+'Inputs'!$B$31+'Inputs'!$B$32,'Inputs'!$B$30+'Inputs'!$B$31+'Inputs'!$B$32)/1000+'Inputs'!$B$21+'Inputs'!$B$7+'Inputs'!$B$10))^2+('Inputs'!$B$8/2)^2))))*'Results'!$B$8)+'Inputs'!$B$28*ABS((('Results'!B7*(1+'Inputs'!$B$24)*(0.5*((((127-43)*MAX('Inputs'!$B$33,'Inputs'!$B$29+'Inputs'!$B$31+'Inputs'!$B$32,'Inputs'!$B$30+'Inputs'!$B$31+'Inputs'!$B$32)/1000+'Inputs'!$B$21)+'Inputs'!$B$7)/SQRT((((127-43)*MAX('Inputs'!$B$33,'Inputs'!$B$29+'Inputs'!$B$31+'Inputs'!$B$32,'Inputs'!$B$30+'Inputs'!$B$31+'Inputs'!$B$32)/1000+'Inputs'!$B$21)+'Inputs'!$B$7)^2+('Inputs'!$B$6/2)^2)-(((127-43)*MAX('Inputs'!$B$33,'Inputs'!$B$29+'Inputs'!$B$31+'Inputs'!$B$32,'Inputs'!$B$30+'Inputs'!$B$31+'Inputs'!$B$32)/1000+'Inputs'!$B$21))/SQRT((((127-43)*MAX('Inputs'!$B$33,'Inputs'!$B$29+'Inputs'!$B$31+'Inputs'!$B$32,'Inputs'!$B$30+'Inputs'!$B$31+'Inputs'!$B$32)/1000+'Inputs'!$B$21))^2+('Inputs'!$B$6/2)^2)))-'Results'!C7*(1-'Inputs'!$B$24)*(0.5*((((127-43)*MAX('Inputs'!$B$33,'Inputs'!$B$29+'Inputs'!$B$31+'Inputs'!$B$32,'Inputs'!$B$30+'Inputs'!$B$31+'Inputs'!$B$32)/1000+'Inputs'!$B$21+'Inputs'!$B$7+'Inputs'!$B$10)+'Inputs'!$B$9)/SQRT((((127-43)*MAX('Inputs'!$B$33,'Inputs'!$B$29+'Inputs'!$B$31+'Inputs'!$B$32,'Inputs'!$B$30+'Inputs'!$B$31+'Inputs'!$B$32)/1000+'Inputs'!$B$21+'Inputs'!$B$7+'Inputs'!$B$10)+'Inputs'!$B$9)^2+('Inputs'!$B$8/2)^2)-(((127-43)*MAX('Inputs'!$B$33,'Inputs'!$B$29+'Inputs'!$B$31+'Inputs'!$B$32,'Inputs'!$B$30+'Inputs'!$B$31+'Inputs'!$B$32)/1000+'Inputs'!$B$21+'Inputs'!$B$7+'Inputs'!$B$10))/SQRT((((127-43)*MAX('Inputs'!$B$33,'Inputs'!$B$29+'Inputs'!$B$31+'Inputs'!$B$32,'Inputs'!$B$30+'Inputs'!$B$31+'Inputs'!$B$32)/1000+'Inputs'!$B$21+'Inputs'!$B$7+'Inputs'!$B$10))^2+('Inputs'!$B$8/2)^2))))*'Results'!$B$8))),"")</x:f>
        <x:v>546.0619461506325</x:v>
      </x:c>
      <x:c r="M127" t="n">
        <x:f>IF(AND(ISNUMBER('Results'!C7),ISNUMBER('Results'!B7),ISNUMBER('Results'!$B$8),ISNUMBER('Inputs'!$B$6),ISNUMBER('Inputs'!$B$7),ISNUMBER('Inputs'!$B$8),ISNUMBER('Inputs'!$B$9),ISNUMBER('Inputs'!$B$10),ISNUMBER('Inputs'!$B$21),ISNUMBER('Inputs'!$B$24),ISNUMBER('Inputs'!$B$28)),(('Results'!C7*(0.5*((((127-43)*MAX('Inputs'!$B$33,'Inputs'!$B$29+'Inputs'!$B$31+'Inputs'!$B$32,'Inputs'!$B$30+'Inputs'!$B$31+'Inputs'!$B$32)/1000+'Inputs'!$B$21)+'Inputs'!$B$9)/SQRT((((127-43)*MAX('Inputs'!$B$33,'Inputs'!$B$29+'Inputs'!$B$31+'Inputs'!$B$32,'Inputs'!$B$30+'Inputs'!$B$31+'Inputs'!$B$32)/1000+'Inputs'!$B$21)+'Inputs'!$B$9)^2+('Inputs'!$B$8/2)^2)-(((127-43)*MAX('Inputs'!$B$33,'Inputs'!$B$29+'Inputs'!$B$31+'Inputs'!$B$32,'Inputs'!$B$30+'Inputs'!$B$31+'Inputs'!$B$32)/1000+'Inputs'!$B$21))/SQRT((((127-43)*MAX('Inputs'!$B$33,'Inputs'!$B$29+'Inputs'!$B$31+'Inputs'!$B$32,'Inputs'!$B$30+'Inputs'!$B$31+'Inputs'!$B$32)/1000+'Inputs'!$B$21))^2+('Inputs'!$B$8/2)^2)))-'Results'!B7*(0.5*((((127-43)*MAX('Inputs'!$B$33,'Inputs'!$B$29+'Inputs'!$B$31+'Inputs'!$B$32,'Inputs'!$B$30+'Inputs'!$B$31+'Inputs'!$B$32)/1000+'Inputs'!$B$21+'Inputs'!$B$9+'Inputs'!$B$10)+'Inputs'!$B$7)/SQRT((((127-43)*MAX('Inputs'!$B$33,'Inputs'!$B$29+'Inputs'!$B$31+'Inputs'!$B$32,'Inputs'!$B$30+'Inputs'!$B$31+'Inputs'!$B$32)/1000+'Inputs'!$B$21+'Inputs'!$B$9+'Inputs'!$B$10)+'Inputs'!$B$7)^2+('Inputs'!$B$6/2)^2)-(((127-43)*MAX('Inputs'!$B$33,'Inputs'!$B$29+'Inputs'!$B$31+'Inputs'!$B$32,'Inputs'!$B$30+'Inputs'!$B$31+'Inputs'!$B$32)/1000+'Inputs'!$B$21+'Inputs'!$B$9+'Inputs'!$B$10))/SQRT((((127-43)*MAX('Inputs'!$B$33,'Inputs'!$B$29+'Inputs'!$B$31+'Inputs'!$B$32,'Inputs'!$B$30+'Inputs'!$B$31+'Inputs'!$B$32)/1000+'Inputs'!$B$21+'Inputs'!$B$9+'Inputs'!$B$10))^2+('Inputs'!$B$6/2)^2))))*'Results'!$B$8),"")</x:f>
        <x:v>491.38130872218426</x:v>
      </x:c>
      <x:c r="N127" t="n">
        <x:f>IF(AND(ISNUMBER('Results'!C7),ISNUMBER('Results'!B7),ISNUMBER('Results'!$B$8),ISNUMBER('Inputs'!$B$6),ISNUMBER('Inputs'!$B$7),ISNUMBER('Inputs'!$B$8),ISNUMBER('Inputs'!$B$9),ISNUMBER('Inputs'!$B$10),ISNUMBER('Inputs'!$B$21),ISNUMBER('Inputs'!$B$24),ISNUMBER('Inputs'!$B$28)),((('Results'!C7*(1-'Inputs'!$B$24)*(0.5*((((127-43)*MAX('Inputs'!$B$33,'Inputs'!$B$29+'Inputs'!$B$31+'Inputs'!$B$32,'Inputs'!$B$30+'Inputs'!$B$31+'Inputs'!$B$32)/1000+'Inputs'!$B$21)+'Inputs'!$B$9)/SQRT((((127-43)*MAX('Inputs'!$B$33,'Inputs'!$B$29+'Inputs'!$B$31+'Inputs'!$B$32,'Inputs'!$B$30+'Inputs'!$B$31+'Inputs'!$B$32)/1000+'Inputs'!$B$21)+'Inputs'!$B$9)^2+('Inputs'!$B$8/2)^2)-(((127-43)*MAX('Inputs'!$B$33,'Inputs'!$B$29+'Inputs'!$B$31+'Inputs'!$B$32,'Inputs'!$B$30+'Inputs'!$B$31+'Inputs'!$B$32)/1000+'Inputs'!$B$21))/SQRT((((127-43)*MAX('Inputs'!$B$33,'Inputs'!$B$29+'Inputs'!$B$31+'Inputs'!$B$32,'Inputs'!$B$30+'Inputs'!$B$31+'Inputs'!$B$32)/1000+'Inputs'!$B$21))^2+('Inputs'!$B$8/2)^2)))-'Results'!B7*(1+'Inputs'!$B$24)*(0.5*((((127-43)*MAX('Inputs'!$B$33,'Inputs'!$B$29+'Inputs'!$B$31+'Inputs'!$B$32,'Inputs'!$B$30+'Inputs'!$B$31+'Inputs'!$B$32)/1000+'Inputs'!$B$21+'Inputs'!$B$9+'Inputs'!$B$10)+'Inputs'!$B$7)/SQRT((((127-43)*MAX('Inputs'!$B$33,'Inputs'!$B$29+'Inputs'!$B$31+'Inputs'!$B$32,'Inputs'!$B$30+'Inputs'!$B$31+'Inputs'!$B$32)/1000+'Inputs'!$B$21+'Inputs'!$B$9+'Inputs'!$B$10)+'Inputs'!$B$7)^2+('Inputs'!$B$6/2)^2)-(((127-43)*MAX('Inputs'!$B$33,'Inputs'!$B$29+'Inputs'!$B$31+'Inputs'!$B$32,'Inputs'!$B$30+'Inputs'!$B$31+'Inputs'!$B$32)/1000+'Inputs'!$B$21+'Inputs'!$B$9+'Inputs'!$B$10))/SQRT((((127-43)*MAX('Inputs'!$B$33,'Inputs'!$B$29+'Inputs'!$B$31+'Inputs'!$B$32,'Inputs'!$B$30+'Inputs'!$B$31+'Inputs'!$B$32)/1000+'Inputs'!$B$21+'Inputs'!$B$9+'Inputs'!$B$10))^2+('Inputs'!$B$6/2)^2))))*'Results'!$B$8)-'Inputs'!$B$28*ABS((('Results'!C7*(1-'Inputs'!$B$24)*(0.5*((((127-43)*MAX('Inputs'!$B$33,'Inputs'!$B$29+'Inputs'!$B$31+'Inputs'!$B$32,'Inputs'!$B$30+'Inputs'!$B$31+'Inputs'!$B$32)/1000+'Inputs'!$B$21)+'Inputs'!$B$9)/SQRT((((127-43)*MAX('Inputs'!$B$33,'Inputs'!$B$29+'Inputs'!$B$31+'Inputs'!$B$32,'Inputs'!$B$30+'Inputs'!$B$31+'Inputs'!$B$32)/1000+'Inputs'!$B$21)+'Inputs'!$B$9)^2+('Inputs'!$B$8/2)^2)-(((127-43)*MAX('Inputs'!$B$33,'Inputs'!$B$29+'Inputs'!$B$31+'Inputs'!$B$32,'Inputs'!$B$30+'Inputs'!$B$31+'Inputs'!$B$32)/1000+'Inputs'!$B$21))/SQRT((((127-43)*MAX('Inputs'!$B$33,'Inputs'!$B$29+'Inputs'!$B$31+'Inputs'!$B$32,'Inputs'!$B$30+'Inputs'!$B$31+'Inputs'!$B$32)/1000+'Inputs'!$B$21))^2+('Inputs'!$B$8/2)^2)))-'Results'!B7*(1+'Inputs'!$B$24)*(0.5*((((127-43)*MAX('Inputs'!$B$33,'Inputs'!$B$29+'Inputs'!$B$31+'Inputs'!$B$32,'Inputs'!$B$30+'Inputs'!$B$31+'Inputs'!$B$32)/1000+'Inputs'!$B$21+'Inputs'!$B$9+'Inputs'!$B$10)+'Inputs'!$B$7)/SQRT((((127-43)*MAX('Inputs'!$B$33,'Inputs'!$B$29+'Inputs'!$B$31+'Inputs'!$B$32,'Inputs'!$B$30+'Inputs'!$B$31+'Inputs'!$B$32)/1000+'Inputs'!$B$21+'Inputs'!$B$9+'Inputs'!$B$10)+'Inputs'!$B$7)^2+('Inputs'!$B$6/2)^2)-(((127-43)*MAX('Inputs'!$B$33,'Inputs'!$B$29+'Inputs'!$B$31+'Inputs'!$B$32,'Inputs'!$B$30+'Inputs'!$B$31+'Inputs'!$B$32)/1000+'Inputs'!$B$21+'Inputs'!$B$9+'Inputs'!$B$10))/SQRT((((127-43)*MAX('Inputs'!$B$33,'Inputs'!$B$29+'Inputs'!$B$31+'Inputs'!$B$32,'Inputs'!$B$30+'Inputs'!$B$31+'Inputs'!$B$32)/1000+'Inputs'!$B$21+'Inputs'!$B$9+'Inputs'!$B$10))^2+('Inputs'!$B$6/2)^2))))*'Results'!$B$8))),"")</x:f>
        <x:v>453.4020782929057</x:v>
      </x:c>
      <x:c r="O127" t="n">
        <x:f>IF(AND(ISNUMBER('Results'!C7),ISNUMBER('Results'!B7),ISNUMBER('Results'!$B$8),ISNUMBER('Inputs'!$B$6),ISNUMBER('Inputs'!$B$7),ISNUMBER('Inputs'!$B$8),ISNUMBER('Inputs'!$B$9),ISNUMBER('Inputs'!$B$10),ISNUMBER('Inputs'!$B$21),ISNUMBER('Inputs'!$B$24),ISNUMBER('Inputs'!$B$28)),((('Results'!C7*(1+'Inputs'!$B$24)*(0.5*((((127-43)*MAX('Inputs'!$B$33,'Inputs'!$B$29+'Inputs'!$B$31+'Inputs'!$B$32,'Inputs'!$B$30+'Inputs'!$B$31+'Inputs'!$B$32)/1000+'Inputs'!$B$21)+'Inputs'!$B$9)/SQRT((((127-43)*MAX('Inputs'!$B$33,'Inputs'!$B$29+'Inputs'!$B$31+'Inputs'!$B$32,'Inputs'!$B$30+'Inputs'!$B$31+'Inputs'!$B$32)/1000+'Inputs'!$B$21)+'Inputs'!$B$9)^2+('Inputs'!$B$8/2)^2)-(((127-43)*MAX('Inputs'!$B$33,'Inputs'!$B$29+'Inputs'!$B$31+'Inputs'!$B$32,'Inputs'!$B$30+'Inputs'!$B$31+'Inputs'!$B$32)/1000+'Inputs'!$B$21))/SQRT((((127-43)*MAX('Inputs'!$B$33,'Inputs'!$B$29+'Inputs'!$B$31+'Inputs'!$B$32,'Inputs'!$B$30+'Inputs'!$B$31+'Inputs'!$B$32)/1000+'Inputs'!$B$21))^2+('Inputs'!$B$8/2)^2)))-'Results'!B7*(1-'Inputs'!$B$24)*(0.5*((((127-43)*MAX('Inputs'!$B$33,'Inputs'!$B$29+'Inputs'!$B$31+'Inputs'!$B$32,'Inputs'!$B$30+'Inputs'!$B$31+'Inputs'!$B$32)/1000+'Inputs'!$B$21+'Inputs'!$B$9+'Inputs'!$B$10)+'Inputs'!$B$7)/SQRT((((127-43)*MAX('Inputs'!$B$33,'Inputs'!$B$29+'Inputs'!$B$31+'Inputs'!$B$32,'Inputs'!$B$30+'Inputs'!$B$31+'Inputs'!$B$32)/1000+'Inputs'!$B$21+'Inputs'!$B$9+'Inputs'!$B$10)+'Inputs'!$B$7)^2+('Inputs'!$B$6/2)^2)-(((127-43)*MAX('Inputs'!$B$33,'Inputs'!$B$29+'Inputs'!$B$31+'Inputs'!$B$32,'Inputs'!$B$30+'Inputs'!$B$31+'Inputs'!$B$32)/1000+'Inputs'!$B$21+'Inputs'!$B$9+'Inputs'!$B$10))/SQRT((((127-43)*MAX('Inputs'!$B$33,'Inputs'!$B$29+'Inputs'!$B$31+'Inputs'!$B$32,'Inputs'!$B$30+'Inputs'!$B$31+'Inputs'!$B$32)/1000+'Inputs'!$B$21+'Inputs'!$B$9+'Inputs'!$B$10))^2+('Inputs'!$B$6/2)^2))))*'Results'!$B$8)+'Inputs'!$B$28*ABS((('Results'!C7*(1+'Inputs'!$B$24)*(0.5*((((127-43)*MAX('Inputs'!$B$33,'Inputs'!$B$29+'Inputs'!$B$31+'Inputs'!$B$32,'Inputs'!$B$30+'Inputs'!$B$31+'Inputs'!$B$32)/1000+'Inputs'!$B$21)+'Inputs'!$B$9)/SQRT((((127-43)*MAX('Inputs'!$B$33,'Inputs'!$B$29+'Inputs'!$B$31+'Inputs'!$B$32,'Inputs'!$B$30+'Inputs'!$B$31+'Inputs'!$B$32)/1000+'Inputs'!$B$21)+'Inputs'!$B$9)^2+('Inputs'!$B$8/2)^2)-(((127-43)*MAX('Inputs'!$B$33,'Inputs'!$B$29+'Inputs'!$B$31+'Inputs'!$B$32,'Inputs'!$B$30+'Inputs'!$B$31+'Inputs'!$B$32)/1000+'Inputs'!$B$21))/SQRT((((127-43)*MAX('Inputs'!$B$33,'Inputs'!$B$29+'Inputs'!$B$31+'Inputs'!$B$32,'Inputs'!$B$30+'Inputs'!$B$31+'Inputs'!$B$32)/1000+'Inputs'!$B$21))^2+('Inputs'!$B$8/2)^2)))-'Results'!B7*(1-'Inputs'!$B$24)*(0.5*((((127-43)*MAX('Inputs'!$B$33,'Inputs'!$B$29+'Inputs'!$B$31+'Inputs'!$B$32,'Inputs'!$B$30+'Inputs'!$B$31+'Inputs'!$B$32)/1000+'Inputs'!$B$21+'Inputs'!$B$9+'Inputs'!$B$10)+'Inputs'!$B$7)/SQRT((((127-43)*MAX('Inputs'!$B$33,'Inputs'!$B$29+'Inputs'!$B$31+'Inputs'!$B$32,'Inputs'!$B$30+'Inputs'!$B$31+'Inputs'!$B$32)/1000+'Inputs'!$B$21+'Inputs'!$B$9+'Inputs'!$B$10)+'Inputs'!$B$7)^2+('Inputs'!$B$6/2)^2)-(((127-43)*MAX('Inputs'!$B$33,'Inputs'!$B$29+'Inputs'!$B$31+'Inputs'!$B$32,'Inputs'!$B$30+'Inputs'!$B$31+'Inputs'!$B$32)/1000+'Inputs'!$B$21+'Inputs'!$B$9+'Inputs'!$B$10))/SQRT((((127-43)*MAX('Inputs'!$B$33,'Inputs'!$B$29+'Inputs'!$B$31+'Inputs'!$B$32,'Inputs'!$B$30+'Inputs'!$B$31+'Inputs'!$B$32)/1000+'Inputs'!$B$21+'Inputs'!$B$9+'Inputs'!$B$10))^2+('Inputs'!$B$6/2)^2))))*'Results'!$B$8))),"")</x:f>
        <x:v>530.7721354665332</x:v>
      </x:c>
      <x:c r="P127" t="n">
        <x:f>IF(AND(MAX(J127,J126)&gt;0,J127&gt;J126+0.00000001),1,0)</x:f>
        <x:v>0</x:v>
      </x:c>
      <x:c r="Q127" t="n">
        <x:f>IF(AND(MAX(K127,K126)&gt;0,K127&gt;K126+0.00000001),1,0)</x:f>
        <x:v>0</x:v>
      </x:c>
      <x:c r="R127" t="n">
        <x:f>IF(AND(MAX(L127,L126)&gt;0,L127&gt;L126+0.00000001),1,0)</x:f>
        <x:v>0</x:v>
      </x:c>
      <x:c r="S127" t="n">
        <x:f>IF(AND(MAX(M127,M126)&gt;0,M127&gt;M126+0.00000001),1,0)</x:f>
        <x:v>0</x:v>
      </x:c>
      <x:c r="T127" t="n">
        <x:f>IF(AND(MAX(N127,N126)&gt;0,N127&gt;N126+0.00000001),1,0)</x:f>
        <x:v>0</x:v>
      </x:c>
      <x:c r="U127" t="n">
        <x:f>IF(AND(MAX(O127,O126)&gt;0,O127&gt;O126+0.00000001),1,0)</x:f>
        <x:v>0</x:v>
      </x:c>
    </x:row>
    <x:row r="128">
      <x:c r="J128" t="n">
        <x:f>IF(AND(ISNUMBER('Results'!B7),ISNUMBER('Results'!C7),ISNUMBER('Results'!$B$8),ISNUMBER('Inputs'!$B$6),ISNUMBER('Inputs'!$B$7),ISNUMBER('Inputs'!$B$8),ISNUMBER('Inputs'!$B$9),ISNUMBER('Inputs'!$B$10),ISNUMBER('Inputs'!$B$21),ISNUMBER('Inputs'!$B$24),ISNUMBER('Inputs'!$B$28)),(('Results'!B7*(0.5*((((128-43)*MAX('Inputs'!$B$33,'Inputs'!$B$29+'Inputs'!$B$31+'Inputs'!$B$32,'Inputs'!$B$30+'Inputs'!$B$31+'Inputs'!$B$32)/1000+'Inputs'!$B$21)+'Inputs'!$B$7)/SQRT((((128-43)*MAX('Inputs'!$B$33,'Inputs'!$B$29+'Inputs'!$B$31+'Inputs'!$B$32,'Inputs'!$B$30+'Inputs'!$B$31+'Inputs'!$B$32)/1000+'Inputs'!$B$21)+'Inputs'!$B$7)^2+('Inputs'!$B$6/2)^2)-(((128-43)*MAX('Inputs'!$B$33,'Inputs'!$B$29+'Inputs'!$B$31+'Inputs'!$B$32,'Inputs'!$B$30+'Inputs'!$B$31+'Inputs'!$B$32)/1000+'Inputs'!$B$21))/SQRT((((128-43)*MAX('Inputs'!$B$33,'Inputs'!$B$29+'Inputs'!$B$31+'Inputs'!$B$32,'Inputs'!$B$30+'Inputs'!$B$31+'Inputs'!$B$32)/1000+'Inputs'!$B$21))^2+('Inputs'!$B$6/2)^2)))-'Results'!C7*(0.5*((((128-43)*MAX('Inputs'!$B$33,'Inputs'!$B$29+'Inputs'!$B$31+'Inputs'!$B$32,'Inputs'!$B$30+'Inputs'!$B$31+'Inputs'!$B$32)/1000+'Inputs'!$B$21+'Inputs'!$B$7+'Inputs'!$B$10)+'Inputs'!$B$9)/SQRT((((128-43)*MAX('Inputs'!$B$33,'Inputs'!$B$29+'Inputs'!$B$31+'Inputs'!$B$32,'Inputs'!$B$30+'Inputs'!$B$31+'Inputs'!$B$32)/1000+'Inputs'!$B$21+'Inputs'!$B$7+'Inputs'!$B$10)+'Inputs'!$B$9)^2+('Inputs'!$B$8/2)^2)-(((128-43)*MAX('Inputs'!$B$33,'Inputs'!$B$29+'Inputs'!$B$31+'Inputs'!$B$32,'Inputs'!$B$30+'Inputs'!$B$31+'Inputs'!$B$32)/1000+'Inputs'!$B$21+'Inputs'!$B$7+'Inputs'!$B$10))/SQRT((((128-43)*MAX('Inputs'!$B$33,'Inputs'!$B$29+'Inputs'!$B$31+'Inputs'!$B$32,'Inputs'!$B$30+'Inputs'!$B$31+'Inputs'!$B$32)/1000+'Inputs'!$B$21+'Inputs'!$B$7+'Inputs'!$B$10))^2+('Inputs'!$B$8/2)^2))))*'Results'!$B$8),"")</x:f>
        <x:v>495.9690346333446</x:v>
      </x:c>
      <x:c r="K128" t="n">
        <x:f>IF(AND(ISNUMBER('Results'!B7),ISNUMBER('Results'!C7),ISNUMBER('Results'!$B$8),ISNUMBER('Inputs'!$B$6),ISNUMBER('Inputs'!$B$7),ISNUMBER('Inputs'!$B$8),ISNUMBER('Inputs'!$B$9),ISNUMBER('Inputs'!$B$10),ISNUMBER('Inputs'!$B$21),ISNUMBER('Inputs'!$B$24),ISNUMBER('Inputs'!$B$28)),((('Results'!B7*(1-'Inputs'!$B$24)*(0.5*((((128-43)*MAX('Inputs'!$B$33,'Inputs'!$B$29+'Inputs'!$B$31+'Inputs'!$B$32,'Inputs'!$B$30+'Inputs'!$B$31+'Inputs'!$B$32)/1000+'Inputs'!$B$21)+'Inputs'!$B$7)/SQRT((((128-43)*MAX('Inputs'!$B$33,'Inputs'!$B$29+'Inputs'!$B$31+'Inputs'!$B$32,'Inputs'!$B$30+'Inputs'!$B$31+'Inputs'!$B$32)/1000+'Inputs'!$B$21)+'Inputs'!$B$7)^2+('Inputs'!$B$6/2)^2)-(((128-43)*MAX('Inputs'!$B$33,'Inputs'!$B$29+'Inputs'!$B$31+'Inputs'!$B$32,'Inputs'!$B$30+'Inputs'!$B$31+'Inputs'!$B$32)/1000+'Inputs'!$B$21))/SQRT((((128-43)*MAX('Inputs'!$B$33,'Inputs'!$B$29+'Inputs'!$B$31+'Inputs'!$B$32,'Inputs'!$B$30+'Inputs'!$B$31+'Inputs'!$B$32)/1000+'Inputs'!$B$21))^2+('Inputs'!$B$6/2)^2)))-'Results'!C7*(1+'Inputs'!$B$24)*(0.5*((((128-43)*MAX('Inputs'!$B$33,'Inputs'!$B$29+'Inputs'!$B$31+'Inputs'!$B$32,'Inputs'!$B$30+'Inputs'!$B$31+'Inputs'!$B$32)/1000+'Inputs'!$B$21+'Inputs'!$B$7+'Inputs'!$B$10)+'Inputs'!$B$9)/SQRT((((128-43)*MAX('Inputs'!$B$33,'Inputs'!$B$29+'Inputs'!$B$31+'Inputs'!$B$32,'Inputs'!$B$30+'Inputs'!$B$31+'Inputs'!$B$32)/1000+'Inputs'!$B$21+'Inputs'!$B$7+'Inputs'!$B$10)+'Inputs'!$B$9)^2+('Inputs'!$B$8/2)^2)-(((128-43)*MAX('Inputs'!$B$33,'Inputs'!$B$29+'Inputs'!$B$31+'Inputs'!$B$32,'Inputs'!$B$30+'Inputs'!$B$31+'Inputs'!$B$32)/1000+'Inputs'!$B$21+'Inputs'!$B$7+'Inputs'!$B$10))/SQRT((((128-43)*MAX('Inputs'!$B$33,'Inputs'!$B$29+'Inputs'!$B$31+'Inputs'!$B$32,'Inputs'!$B$30+'Inputs'!$B$31+'Inputs'!$B$32)/1000+'Inputs'!$B$21+'Inputs'!$B$7+'Inputs'!$B$10))^2+('Inputs'!$B$8/2)^2))))*'Results'!$B$8)-'Inputs'!$B$28*ABS((('Results'!B7*(1-'Inputs'!$B$24)*(0.5*((((128-43)*MAX('Inputs'!$B$33,'Inputs'!$B$29+'Inputs'!$B$31+'Inputs'!$B$32,'Inputs'!$B$30+'Inputs'!$B$31+'Inputs'!$B$32)/1000+'Inputs'!$B$21)+'Inputs'!$B$7)/SQRT((((128-43)*MAX('Inputs'!$B$33,'Inputs'!$B$29+'Inputs'!$B$31+'Inputs'!$B$32,'Inputs'!$B$30+'Inputs'!$B$31+'Inputs'!$B$32)/1000+'Inputs'!$B$21)+'Inputs'!$B$7)^2+('Inputs'!$B$6/2)^2)-(((128-43)*MAX('Inputs'!$B$33,'Inputs'!$B$29+'Inputs'!$B$31+'Inputs'!$B$32,'Inputs'!$B$30+'Inputs'!$B$31+'Inputs'!$B$32)/1000+'Inputs'!$B$21))/SQRT((((128-43)*MAX('Inputs'!$B$33,'Inputs'!$B$29+'Inputs'!$B$31+'Inputs'!$B$32,'Inputs'!$B$30+'Inputs'!$B$31+'Inputs'!$B$32)/1000+'Inputs'!$B$21))^2+('Inputs'!$B$6/2)^2)))-'Results'!C7*(1+'Inputs'!$B$24)*(0.5*((((128-43)*MAX('Inputs'!$B$33,'Inputs'!$B$29+'Inputs'!$B$31+'Inputs'!$B$32,'Inputs'!$B$30+'Inputs'!$B$31+'Inputs'!$B$32)/1000+'Inputs'!$B$21+'Inputs'!$B$7+'Inputs'!$B$10)+'Inputs'!$B$9)/SQRT((((128-43)*MAX('Inputs'!$B$33,'Inputs'!$B$29+'Inputs'!$B$31+'Inputs'!$B$32,'Inputs'!$B$30+'Inputs'!$B$31+'Inputs'!$B$32)/1000+'Inputs'!$B$21+'Inputs'!$B$7+'Inputs'!$B$10)+'Inputs'!$B$9)^2+('Inputs'!$B$8/2)^2)-(((128-43)*MAX('Inputs'!$B$33,'Inputs'!$B$29+'Inputs'!$B$31+'Inputs'!$B$32,'Inputs'!$B$30+'Inputs'!$B$31+'Inputs'!$B$32)/1000+'Inputs'!$B$21+'Inputs'!$B$7+'Inputs'!$B$10))/SQRT((((128-43)*MAX('Inputs'!$B$33,'Inputs'!$B$29+'Inputs'!$B$31+'Inputs'!$B$32,'Inputs'!$B$30+'Inputs'!$B$31+'Inputs'!$B$32)/1000+'Inputs'!$B$21+'Inputs'!$B$7+'Inputs'!$B$10))^2+('Inputs'!$B$8/2)^2))))*'Results'!$B$8))),"")</x:f>
        <x:v>457.8031019959199</x:v>
      </x:c>
      <x:c r="L128" t="n">
        <x:f>IF(AND(ISNUMBER('Results'!B7),ISNUMBER('Results'!C7),ISNUMBER('Results'!$B$8),ISNUMBER('Inputs'!$B$6),ISNUMBER('Inputs'!$B$7),ISNUMBER('Inputs'!$B$8),ISNUMBER('Inputs'!$B$9),ISNUMBER('Inputs'!$B$10),ISNUMBER('Inputs'!$B$21),ISNUMBER('Inputs'!$B$24),ISNUMBER('Inputs'!$B$28)),((('Results'!B7*(1+'Inputs'!$B$24)*(0.5*((((128-43)*MAX('Inputs'!$B$33,'Inputs'!$B$29+'Inputs'!$B$31+'Inputs'!$B$32,'Inputs'!$B$30+'Inputs'!$B$31+'Inputs'!$B$32)/1000+'Inputs'!$B$21)+'Inputs'!$B$7)/SQRT((((128-43)*MAX('Inputs'!$B$33,'Inputs'!$B$29+'Inputs'!$B$31+'Inputs'!$B$32,'Inputs'!$B$30+'Inputs'!$B$31+'Inputs'!$B$32)/1000+'Inputs'!$B$21)+'Inputs'!$B$7)^2+('Inputs'!$B$6/2)^2)-(((128-43)*MAX('Inputs'!$B$33,'Inputs'!$B$29+'Inputs'!$B$31+'Inputs'!$B$32,'Inputs'!$B$30+'Inputs'!$B$31+'Inputs'!$B$32)/1000+'Inputs'!$B$21))/SQRT((((128-43)*MAX('Inputs'!$B$33,'Inputs'!$B$29+'Inputs'!$B$31+'Inputs'!$B$32,'Inputs'!$B$30+'Inputs'!$B$31+'Inputs'!$B$32)/1000+'Inputs'!$B$21))^2+('Inputs'!$B$6/2)^2)))-'Results'!C7*(1-'Inputs'!$B$24)*(0.5*((((128-43)*MAX('Inputs'!$B$33,'Inputs'!$B$29+'Inputs'!$B$31+'Inputs'!$B$32,'Inputs'!$B$30+'Inputs'!$B$31+'Inputs'!$B$32)/1000+'Inputs'!$B$21+'Inputs'!$B$7+'Inputs'!$B$10)+'Inputs'!$B$9)/SQRT((((128-43)*MAX('Inputs'!$B$33,'Inputs'!$B$29+'Inputs'!$B$31+'Inputs'!$B$32,'Inputs'!$B$30+'Inputs'!$B$31+'Inputs'!$B$32)/1000+'Inputs'!$B$21+'Inputs'!$B$7+'Inputs'!$B$10)+'Inputs'!$B$9)^2+('Inputs'!$B$8/2)^2)-(((128-43)*MAX('Inputs'!$B$33,'Inputs'!$B$29+'Inputs'!$B$31+'Inputs'!$B$32,'Inputs'!$B$30+'Inputs'!$B$31+'Inputs'!$B$32)/1000+'Inputs'!$B$21+'Inputs'!$B$7+'Inputs'!$B$10))/SQRT((((128-43)*MAX('Inputs'!$B$33,'Inputs'!$B$29+'Inputs'!$B$31+'Inputs'!$B$32,'Inputs'!$B$30+'Inputs'!$B$31+'Inputs'!$B$32)/1000+'Inputs'!$B$21+'Inputs'!$B$7+'Inputs'!$B$10))^2+('Inputs'!$B$8/2)^2))))*'Results'!$B$8)+'Inputs'!$B$28*ABS((('Results'!B7*(1+'Inputs'!$B$24)*(0.5*((((128-43)*MAX('Inputs'!$B$33,'Inputs'!$B$29+'Inputs'!$B$31+'Inputs'!$B$32,'Inputs'!$B$30+'Inputs'!$B$31+'Inputs'!$B$32)/1000+'Inputs'!$B$21)+'Inputs'!$B$7)/SQRT((((128-43)*MAX('Inputs'!$B$33,'Inputs'!$B$29+'Inputs'!$B$31+'Inputs'!$B$32,'Inputs'!$B$30+'Inputs'!$B$31+'Inputs'!$B$32)/1000+'Inputs'!$B$21)+'Inputs'!$B$7)^2+('Inputs'!$B$6/2)^2)-(((128-43)*MAX('Inputs'!$B$33,'Inputs'!$B$29+'Inputs'!$B$31+'Inputs'!$B$32,'Inputs'!$B$30+'Inputs'!$B$31+'Inputs'!$B$32)/1000+'Inputs'!$B$21))/SQRT((((128-43)*MAX('Inputs'!$B$33,'Inputs'!$B$29+'Inputs'!$B$31+'Inputs'!$B$32,'Inputs'!$B$30+'Inputs'!$B$31+'Inputs'!$B$32)/1000+'Inputs'!$B$21))^2+('Inputs'!$B$6/2)^2)))-'Results'!C7*(1-'Inputs'!$B$24)*(0.5*((((128-43)*MAX('Inputs'!$B$33,'Inputs'!$B$29+'Inputs'!$B$31+'Inputs'!$B$32,'Inputs'!$B$30+'Inputs'!$B$31+'Inputs'!$B$32)/1000+'Inputs'!$B$21+'Inputs'!$B$7+'Inputs'!$B$10)+'Inputs'!$B$9)/SQRT((((128-43)*MAX('Inputs'!$B$33,'Inputs'!$B$29+'Inputs'!$B$31+'Inputs'!$B$32,'Inputs'!$B$30+'Inputs'!$B$31+'Inputs'!$B$32)/1000+'Inputs'!$B$21+'Inputs'!$B$7+'Inputs'!$B$10)+'Inputs'!$B$9)^2+('Inputs'!$B$8/2)^2)-(((128-43)*MAX('Inputs'!$B$33,'Inputs'!$B$29+'Inputs'!$B$31+'Inputs'!$B$32,'Inputs'!$B$30+'Inputs'!$B$31+'Inputs'!$B$32)/1000+'Inputs'!$B$21+'Inputs'!$B$7+'Inputs'!$B$10))/SQRT((((128-43)*MAX('Inputs'!$B$33,'Inputs'!$B$29+'Inputs'!$B$31+'Inputs'!$B$32,'Inputs'!$B$30+'Inputs'!$B$31+'Inputs'!$B$32)/1000+'Inputs'!$B$21+'Inputs'!$B$7+'Inputs'!$B$10))^2+('Inputs'!$B$8/2)^2))))*'Results'!$B$8))),"")</x:f>
        <x:v>535.5420705240069</x:v>
      </x:c>
      <x:c r="M128" t="n">
        <x:f>IF(AND(ISNUMBER('Results'!C7),ISNUMBER('Results'!B7),ISNUMBER('Results'!$B$8),ISNUMBER('Inputs'!$B$6),ISNUMBER('Inputs'!$B$7),ISNUMBER('Inputs'!$B$8),ISNUMBER('Inputs'!$B$9),ISNUMBER('Inputs'!$B$10),ISNUMBER('Inputs'!$B$21),ISNUMBER('Inputs'!$B$24),ISNUMBER('Inputs'!$B$28)),(('Results'!C7*(0.5*((((128-43)*MAX('Inputs'!$B$33,'Inputs'!$B$29+'Inputs'!$B$31+'Inputs'!$B$32,'Inputs'!$B$30+'Inputs'!$B$31+'Inputs'!$B$32)/1000+'Inputs'!$B$21)+'Inputs'!$B$9)/SQRT((((128-43)*MAX('Inputs'!$B$33,'Inputs'!$B$29+'Inputs'!$B$31+'Inputs'!$B$32,'Inputs'!$B$30+'Inputs'!$B$31+'Inputs'!$B$32)/1000+'Inputs'!$B$21)+'Inputs'!$B$9)^2+('Inputs'!$B$8/2)^2)-(((128-43)*MAX('Inputs'!$B$33,'Inputs'!$B$29+'Inputs'!$B$31+'Inputs'!$B$32,'Inputs'!$B$30+'Inputs'!$B$31+'Inputs'!$B$32)/1000+'Inputs'!$B$21))/SQRT((((128-43)*MAX('Inputs'!$B$33,'Inputs'!$B$29+'Inputs'!$B$31+'Inputs'!$B$32,'Inputs'!$B$30+'Inputs'!$B$31+'Inputs'!$B$32)/1000+'Inputs'!$B$21))^2+('Inputs'!$B$8/2)^2)))-'Results'!B7*(0.5*((((128-43)*MAX('Inputs'!$B$33,'Inputs'!$B$29+'Inputs'!$B$31+'Inputs'!$B$32,'Inputs'!$B$30+'Inputs'!$B$31+'Inputs'!$B$32)/1000+'Inputs'!$B$21+'Inputs'!$B$9+'Inputs'!$B$10)+'Inputs'!$B$7)/SQRT((((128-43)*MAX('Inputs'!$B$33,'Inputs'!$B$29+'Inputs'!$B$31+'Inputs'!$B$32,'Inputs'!$B$30+'Inputs'!$B$31+'Inputs'!$B$32)/1000+'Inputs'!$B$21+'Inputs'!$B$9+'Inputs'!$B$10)+'Inputs'!$B$7)^2+('Inputs'!$B$6/2)^2)-(((128-43)*MAX('Inputs'!$B$33,'Inputs'!$B$29+'Inputs'!$B$31+'Inputs'!$B$32,'Inputs'!$B$30+'Inputs'!$B$31+'Inputs'!$B$32)/1000+'Inputs'!$B$21+'Inputs'!$B$9+'Inputs'!$B$10))/SQRT((((128-43)*MAX('Inputs'!$B$33,'Inputs'!$B$29+'Inputs'!$B$31+'Inputs'!$B$32,'Inputs'!$B$30+'Inputs'!$B$31+'Inputs'!$B$32)/1000+'Inputs'!$B$21+'Inputs'!$B$9+'Inputs'!$B$10))^2+('Inputs'!$B$6/2)^2))))*'Results'!$B$8),"")</x:f>
        <x:v>481.85563830668565</x:v>
      </x:c>
      <x:c r="N128" t="n">
        <x:f>IF(AND(ISNUMBER('Results'!C7),ISNUMBER('Results'!B7),ISNUMBER('Results'!$B$8),ISNUMBER('Inputs'!$B$6),ISNUMBER('Inputs'!$B$7),ISNUMBER('Inputs'!$B$8),ISNUMBER('Inputs'!$B$9),ISNUMBER('Inputs'!$B$10),ISNUMBER('Inputs'!$B$21),ISNUMBER('Inputs'!$B$24),ISNUMBER('Inputs'!$B$28)),((('Results'!C7*(1-'Inputs'!$B$24)*(0.5*((((128-43)*MAX('Inputs'!$B$33,'Inputs'!$B$29+'Inputs'!$B$31+'Inputs'!$B$32,'Inputs'!$B$30+'Inputs'!$B$31+'Inputs'!$B$32)/1000+'Inputs'!$B$21)+'Inputs'!$B$9)/SQRT((((128-43)*MAX('Inputs'!$B$33,'Inputs'!$B$29+'Inputs'!$B$31+'Inputs'!$B$32,'Inputs'!$B$30+'Inputs'!$B$31+'Inputs'!$B$32)/1000+'Inputs'!$B$21)+'Inputs'!$B$9)^2+('Inputs'!$B$8/2)^2)-(((128-43)*MAX('Inputs'!$B$33,'Inputs'!$B$29+'Inputs'!$B$31+'Inputs'!$B$32,'Inputs'!$B$30+'Inputs'!$B$31+'Inputs'!$B$32)/1000+'Inputs'!$B$21))/SQRT((((128-43)*MAX('Inputs'!$B$33,'Inputs'!$B$29+'Inputs'!$B$31+'Inputs'!$B$32,'Inputs'!$B$30+'Inputs'!$B$31+'Inputs'!$B$32)/1000+'Inputs'!$B$21))^2+('Inputs'!$B$8/2)^2)))-'Results'!B7*(1+'Inputs'!$B$24)*(0.5*((((128-43)*MAX('Inputs'!$B$33,'Inputs'!$B$29+'Inputs'!$B$31+'Inputs'!$B$32,'Inputs'!$B$30+'Inputs'!$B$31+'Inputs'!$B$32)/1000+'Inputs'!$B$21+'Inputs'!$B$9+'Inputs'!$B$10)+'Inputs'!$B$7)/SQRT((((128-43)*MAX('Inputs'!$B$33,'Inputs'!$B$29+'Inputs'!$B$31+'Inputs'!$B$32,'Inputs'!$B$30+'Inputs'!$B$31+'Inputs'!$B$32)/1000+'Inputs'!$B$21+'Inputs'!$B$9+'Inputs'!$B$10)+'Inputs'!$B$7)^2+('Inputs'!$B$6/2)^2)-(((128-43)*MAX('Inputs'!$B$33,'Inputs'!$B$29+'Inputs'!$B$31+'Inputs'!$B$32,'Inputs'!$B$30+'Inputs'!$B$31+'Inputs'!$B$32)/1000+'Inputs'!$B$21+'Inputs'!$B$9+'Inputs'!$B$10))/SQRT((((128-43)*MAX('Inputs'!$B$33,'Inputs'!$B$29+'Inputs'!$B$31+'Inputs'!$B$32,'Inputs'!$B$30+'Inputs'!$B$31+'Inputs'!$B$32)/1000+'Inputs'!$B$21+'Inputs'!$B$9+'Inputs'!$B$10))^2+('Inputs'!$B$6/2)^2))))*'Results'!$B$8)-'Inputs'!$B$28*ABS((('Results'!C7*(1-'Inputs'!$B$24)*(0.5*((((128-43)*MAX('Inputs'!$B$33,'Inputs'!$B$29+'Inputs'!$B$31+'Inputs'!$B$32,'Inputs'!$B$30+'Inputs'!$B$31+'Inputs'!$B$32)/1000+'Inputs'!$B$21)+'Inputs'!$B$9)/SQRT((((128-43)*MAX('Inputs'!$B$33,'Inputs'!$B$29+'Inputs'!$B$31+'Inputs'!$B$32,'Inputs'!$B$30+'Inputs'!$B$31+'Inputs'!$B$32)/1000+'Inputs'!$B$21)+'Inputs'!$B$9)^2+('Inputs'!$B$8/2)^2)-(((128-43)*MAX('Inputs'!$B$33,'Inputs'!$B$29+'Inputs'!$B$31+'Inputs'!$B$32,'Inputs'!$B$30+'Inputs'!$B$31+'Inputs'!$B$32)/1000+'Inputs'!$B$21))/SQRT((((128-43)*MAX('Inputs'!$B$33,'Inputs'!$B$29+'Inputs'!$B$31+'Inputs'!$B$32,'Inputs'!$B$30+'Inputs'!$B$31+'Inputs'!$B$32)/1000+'Inputs'!$B$21))^2+('Inputs'!$B$8/2)^2)))-'Results'!B7*(1+'Inputs'!$B$24)*(0.5*((((128-43)*MAX('Inputs'!$B$33,'Inputs'!$B$29+'Inputs'!$B$31+'Inputs'!$B$32,'Inputs'!$B$30+'Inputs'!$B$31+'Inputs'!$B$32)/1000+'Inputs'!$B$21+'Inputs'!$B$9+'Inputs'!$B$10)+'Inputs'!$B$7)/SQRT((((128-43)*MAX('Inputs'!$B$33,'Inputs'!$B$29+'Inputs'!$B$31+'Inputs'!$B$32,'Inputs'!$B$30+'Inputs'!$B$31+'Inputs'!$B$32)/1000+'Inputs'!$B$21+'Inputs'!$B$9+'Inputs'!$B$10)+'Inputs'!$B$7)^2+('Inputs'!$B$6/2)^2)-(((128-43)*MAX('Inputs'!$B$33,'Inputs'!$B$29+'Inputs'!$B$31+'Inputs'!$B$32,'Inputs'!$B$30+'Inputs'!$B$31+'Inputs'!$B$32)/1000+'Inputs'!$B$21+'Inputs'!$B$9+'Inputs'!$B$10))/SQRT((((128-43)*MAX('Inputs'!$B$33,'Inputs'!$B$29+'Inputs'!$B$31+'Inputs'!$B$32,'Inputs'!$B$30+'Inputs'!$B$31+'Inputs'!$B$32)/1000+'Inputs'!$B$21+'Inputs'!$B$9+'Inputs'!$B$10))^2+('Inputs'!$B$6/2)^2))))*'Results'!$B$8))),"")</x:f>
        <x:v>444.5830388066631</x:v>
      </x:c>
      <x:c r="O128" t="n">
        <x:f>IF(AND(ISNUMBER('Results'!C7),ISNUMBER('Results'!B7),ISNUMBER('Results'!$B$8),ISNUMBER('Inputs'!$B$6),ISNUMBER('Inputs'!$B$7),ISNUMBER('Inputs'!$B$8),ISNUMBER('Inputs'!$B$9),ISNUMBER('Inputs'!$B$10),ISNUMBER('Inputs'!$B$21),ISNUMBER('Inputs'!$B$24),ISNUMBER('Inputs'!$B$28)),((('Results'!C7*(1+'Inputs'!$B$24)*(0.5*((((128-43)*MAX('Inputs'!$B$33,'Inputs'!$B$29+'Inputs'!$B$31+'Inputs'!$B$32,'Inputs'!$B$30+'Inputs'!$B$31+'Inputs'!$B$32)/1000+'Inputs'!$B$21)+'Inputs'!$B$9)/SQRT((((128-43)*MAX('Inputs'!$B$33,'Inputs'!$B$29+'Inputs'!$B$31+'Inputs'!$B$32,'Inputs'!$B$30+'Inputs'!$B$31+'Inputs'!$B$32)/1000+'Inputs'!$B$21)+'Inputs'!$B$9)^2+('Inputs'!$B$8/2)^2)-(((128-43)*MAX('Inputs'!$B$33,'Inputs'!$B$29+'Inputs'!$B$31+'Inputs'!$B$32,'Inputs'!$B$30+'Inputs'!$B$31+'Inputs'!$B$32)/1000+'Inputs'!$B$21))/SQRT((((128-43)*MAX('Inputs'!$B$33,'Inputs'!$B$29+'Inputs'!$B$31+'Inputs'!$B$32,'Inputs'!$B$30+'Inputs'!$B$31+'Inputs'!$B$32)/1000+'Inputs'!$B$21))^2+('Inputs'!$B$8/2)^2)))-'Results'!B7*(1-'Inputs'!$B$24)*(0.5*((((128-43)*MAX('Inputs'!$B$33,'Inputs'!$B$29+'Inputs'!$B$31+'Inputs'!$B$32,'Inputs'!$B$30+'Inputs'!$B$31+'Inputs'!$B$32)/1000+'Inputs'!$B$21+'Inputs'!$B$9+'Inputs'!$B$10)+'Inputs'!$B$7)/SQRT((((128-43)*MAX('Inputs'!$B$33,'Inputs'!$B$29+'Inputs'!$B$31+'Inputs'!$B$32,'Inputs'!$B$30+'Inputs'!$B$31+'Inputs'!$B$32)/1000+'Inputs'!$B$21+'Inputs'!$B$9+'Inputs'!$B$10)+'Inputs'!$B$7)^2+('Inputs'!$B$6/2)^2)-(((128-43)*MAX('Inputs'!$B$33,'Inputs'!$B$29+'Inputs'!$B$31+'Inputs'!$B$32,'Inputs'!$B$30+'Inputs'!$B$31+'Inputs'!$B$32)/1000+'Inputs'!$B$21+'Inputs'!$B$9+'Inputs'!$B$10))/SQRT((((128-43)*MAX('Inputs'!$B$33,'Inputs'!$B$29+'Inputs'!$B$31+'Inputs'!$B$32,'Inputs'!$B$30+'Inputs'!$B$31+'Inputs'!$B$32)/1000+'Inputs'!$B$21+'Inputs'!$B$9+'Inputs'!$B$10))^2+('Inputs'!$B$6/2)^2))))*'Results'!$B$8)+'Inputs'!$B$28*ABS((('Results'!C7*(1+'Inputs'!$B$24)*(0.5*((((128-43)*MAX('Inputs'!$B$33,'Inputs'!$B$29+'Inputs'!$B$31+'Inputs'!$B$32,'Inputs'!$B$30+'Inputs'!$B$31+'Inputs'!$B$32)/1000+'Inputs'!$B$21)+'Inputs'!$B$9)/SQRT((((128-43)*MAX('Inputs'!$B$33,'Inputs'!$B$29+'Inputs'!$B$31+'Inputs'!$B$32,'Inputs'!$B$30+'Inputs'!$B$31+'Inputs'!$B$32)/1000+'Inputs'!$B$21)+'Inputs'!$B$9)^2+('Inputs'!$B$8/2)^2)-(((128-43)*MAX('Inputs'!$B$33,'Inputs'!$B$29+'Inputs'!$B$31+'Inputs'!$B$32,'Inputs'!$B$30+'Inputs'!$B$31+'Inputs'!$B$32)/1000+'Inputs'!$B$21))/SQRT((((128-43)*MAX('Inputs'!$B$33,'Inputs'!$B$29+'Inputs'!$B$31+'Inputs'!$B$32,'Inputs'!$B$30+'Inputs'!$B$31+'Inputs'!$B$32)/1000+'Inputs'!$B$21))^2+('Inputs'!$B$8/2)^2)))-'Results'!B7*(1-'Inputs'!$B$24)*(0.5*((((128-43)*MAX('Inputs'!$B$33,'Inputs'!$B$29+'Inputs'!$B$31+'Inputs'!$B$32,'Inputs'!$B$30+'Inputs'!$B$31+'Inputs'!$B$32)/1000+'Inputs'!$B$21+'Inputs'!$B$9+'Inputs'!$B$10)+'Inputs'!$B$7)/SQRT((((128-43)*MAX('Inputs'!$B$33,'Inputs'!$B$29+'Inputs'!$B$31+'Inputs'!$B$32,'Inputs'!$B$30+'Inputs'!$B$31+'Inputs'!$B$32)/1000+'Inputs'!$B$21+'Inputs'!$B$9+'Inputs'!$B$10)+'Inputs'!$B$7)^2+('Inputs'!$B$6/2)^2)-(((128-43)*MAX('Inputs'!$B$33,'Inputs'!$B$29+'Inputs'!$B$31+'Inputs'!$B$32,'Inputs'!$B$30+'Inputs'!$B$31+'Inputs'!$B$32)/1000+'Inputs'!$B$21+'Inputs'!$B$9+'Inputs'!$B$10))/SQRT((((128-43)*MAX('Inputs'!$B$33,'Inputs'!$B$29+'Inputs'!$B$31+'Inputs'!$B$32,'Inputs'!$B$30+'Inputs'!$B$31+'Inputs'!$B$32)/1000+'Inputs'!$B$21+'Inputs'!$B$9+'Inputs'!$B$10))^2+('Inputs'!$B$6/2)^2))))*'Results'!$B$8))),"")</x:f>
        <x:v>520.515587026149</x:v>
      </x:c>
      <x:c r="P128" t="n">
        <x:f>IF(AND(MAX(J128,J127)&gt;0,J128&gt;J127+0.00000001),1,0)</x:f>
        <x:v>0</x:v>
      </x:c>
      <x:c r="Q128" t="n">
        <x:f>IF(AND(MAX(K128,K127)&gt;0,K128&gt;K127+0.00000001),1,0)</x:f>
        <x:v>0</x:v>
      </x:c>
      <x:c r="R128" t="n">
        <x:f>IF(AND(MAX(L128,L127)&gt;0,L128&gt;L127+0.00000001),1,0)</x:f>
        <x:v>0</x:v>
      </x:c>
      <x:c r="S128" t="n">
        <x:f>IF(AND(MAX(M128,M127)&gt;0,M128&gt;M127+0.00000001),1,0)</x:f>
        <x:v>0</x:v>
      </x:c>
      <x:c r="T128" t="n">
        <x:f>IF(AND(MAX(N128,N127)&gt;0,N128&gt;N127+0.00000001),1,0)</x:f>
        <x:v>0</x:v>
      </x:c>
      <x:c r="U128" t="n">
        <x:f>IF(AND(MAX(O128,O127)&gt;0,O128&gt;O127+0.00000001),1,0)</x:f>
        <x:v>0</x:v>
      </x:c>
    </x:row>
    <x:row r="129">
      <x:c r="J129" t="n">
        <x:f>IF(AND(ISNUMBER('Results'!B7),ISNUMBER('Results'!C7),ISNUMBER('Results'!$B$8),ISNUMBER('Inputs'!$B$6),ISNUMBER('Inputs'!$B$7),ISNUMBER('Inputs'!$B$8),ISNUMBER('Inputs'!$B$9),ISNUMBER('Inputs'!$B$10),ISNUMBER('Inputs'!$B$21),ISNUMBER('Inputs'!$B$24),ISNUMBER('Inputs'!$B$28)),(('Results'!B7*(0.5*((((129-43)*MAX('Inputs'!$B$33,'Inputs'!$B$29+'Inputs'!$B$31+'Inputs'!$B$32,'Inputs'!$B$30+'Inputs'!$B$31+'Inputs'!$B$32)/1000+'Inputs'!$B$21)+'Inputs'!$B$7)/SQRT((((129-43)*MAX('Inputs'!$B$33,'Inputs'!$B$29+'Inputs'!$B$31+'Inputs'!$B$32,'Inputs'!$B$30+'Inputs'!$B$31+'Inputs'!$B$32)/1000+'Inputs'!$B$21)+'Inputs'!$B$7)^2+('Inputs'!$B$6/2)^2)-(((129-43)*MAX('Inputs'!$B$33,'Inputs'!$B$29+'Inputs'!$B$31+'Inputs'!$B$32,'Inputs'!$B$30+'Inputs'!$B$31+'Inputs'!$B$32)/1000+'Inputs'!$B$21))/SQRT((((129-43)*MAX('Inputs'!$B$33,'Inputs'!$B$29+'Inputs'!$B$31+'Inputs'!$B$32,'Inputs'!$B$30+'Inputs'!$B$31+'Inputs'!$B$32)/1000+'Inputs'!$B$21))^2+('Inputs'!$B$6/2)^2)))-'Results'!C7*(0.5*((((129-43)*MAX('Inputs'!$B$33,'Inputs'!$B$29+'Inputs'!$B$31+'Inputs'!$B$32,'Inputs'!$B$30+'Inputs'!$B$31+'Inputs'!$B$32)/1000+'Inputs'!$B$21+'Inputs'!$B$7+'Inputs'!$B$10)+'Inputs'!$B$9)/SQRT((((129-43)*MAX('Inputs'!$B$33,'Inputs'!$B$29+'Inputs'!$B$31+'Inputs'!$B$32,'Inputs'!$B$30+'Inputs'!$B$31+'Inputs'!$B$32)/1000+'Inputs'!$B$21+'Inputs'!$B$7+'Inputs'!$B$10)+'Inputs'!$B$9)^2+('Inputs'!$B$8/2)^2)-(((129-43)*MAX('Inputs'!$B$33,'Inputs'!$B$29+'Inputs'!$B$31+'Inputs'!$B$32,'Inputs'!$B$30+'Inputs'!$B$31+'Inputs'!$B$32)/1000+'Inputs'!$B$21+'Inputs'!$B$7+'Inputs'!$B$10))/SQRT((((129-43)*MAX('Inputs'!$B$33,'Inputs'!$B$29+'Inputs'!$B$31+'Inputs'!$B$32,'Inputs'!$B$30+'Inputs'!$B$31+'Inputs'!$B$32)/1000+'Inputs'!$B$21+'Inputs'!$B$7+'Inputs'!$B$10))^2+('Inputs'!$B$8/2)^2))))*'Results'!$B$8),"")</x:f>
        <x:v>486.40074624087475</x:v>
      </x:c>
      <x:c r="K129" t="n">
        <x:f>IF(AND(ISNUMBER('Results'!B7),ISNUMBER('Results'!C7),ISNUMBER('Results'!$B$8),ISNUMBER('Inputs'!$B$6),ISNUMBER('Inputs'!$B$7),ISNUMBER('Inputs'!$B$8),ISNUMBER('Inputs'!$B$9),ISNUMBER('Inputs'!$B$10),ISNUMBER('Inputs'!$B$21),ISNUMBER('Inputs'!$B$24),ISNUMBER('Inputs'!$B$28)),((('Results'!B7*(1-'Inputs'!$B$24)*(0.5*((((129-43)*MAX('Inputs'!$B$33,'Inputs'!$B$29+'Inputs'!$B$31+'Inputs'!$B$32,'Inputs'!$B$30+'Inputs'!$B$31+'Inputs'!$B$32)/1000+'Inputs'!$B$21)+'Inputs'!$B$7)/SQRT((((129-43)*MAX('Inputs'!$B$33,'Inputs'!$B$29+'Inputs'!$B$31+'Inputs'!$B$32,'Inputs'!$B$30+'Inputs'!$B$31+'Inputs'!$B$32)/1000+'Inputs'!$B$21)+'Inputs'!$B$7)^2+('Inputs'!$B$6/2)^2)-(((129-43)*MAX('Inputs'!$B$33,'Inputs'!$B$29+'Inputs'!$B$31+'Inputs'!$B$32,'Inputs'!$B$30+'Inputs'!$B$31+'Inputs'!$B$32)/1000+'Inputs'!$B$21))/SQRT((((129-43)*MAX('Inputs'!$B$33,'Inputs'!$B$29+'Inputs'!$B$31+'Inputs'!$B$32,'Inputs'!$B$30+'Inputs'!$B$31+'Inputs'!$B$32)/1000+'Inputs'!$B$21))^2+('Inputs'!$B$6/2)^2)))-'Results'!C7*(1+'Inputs'!$B$24)*(0.5*((((129-43)*MAX('Inputs'!$B$33,'Inputs'!$B$29+'Inputs'!$B$31+'Inputs'!$B$32,'Inputs'!$B$30+'Inputs'!$B$31+'Inputs'!$B$32)/1000+'Inputs'!$B$21+'Inputs'!$B$7+'Inputs'!$B$10)+'Inputs'!$B$9)/SQRT((((129-43)*MAX('Inputs'!$B$33,'Inputs'!$B$29+'Inputs'!$B$31+'Inputs'!$B$32,'Inputs'!$B$30+'Inputs'!$B$31+'Inputs'!$B$32)/1000+'Inputs'!$B$21+'Inputs'!$B$7+'Inputs'!$B$10)+'Inputs'!$B$9)^2+('Inputs'!$B$8/2)^2)-(((129-43)*MAX('Inputs'!$B$33,'Inputs'!$B$29+'Inputs'!$B$31+'Inputs'!$B$32,'Inputs'!$B$30+'Inputs'!$B$31+'Inputs'!$B$32)/1000+'Inputs'!$B$21+'Inputs'!$B$7+'Inputs'!$B$10))/SQRT((((129-43)*MAX('Inputs'!$B$33,'Inputs'!$B$29+'Inputs'!$B$31+'Inputs'!$B$32,'Inputs'!$B$30+'Inputs'!$B$31+'Inputs'!$B$32)/1000+'Inputs'!$B$21+'Inputs'!$B$7+'Inputs'!$B$10))^2+('Inputs'!$B$8/2)^2))))*'Results'!$B$8)-'Inputs'!$B$28*ABS((('Results'!B7*(1-'Inputs'!$B$24)*(0.5*((((129-43)*MAX('Inputs'!$B$33,'Inputs'!$B$29+'Inputs'!$B$31+'Inputs'!$B$32,'Inputs'!$B$30+'Inputs'!$B$31+'Inputs'!$B$32)/1000+'Inputs'!$B$21)+'Inputs'!$B$7)/SQRT((((129-43)*MAX('Inputs'!$B$33,'Inputs'!$B$29+'Inputs'!$B$31+'Inputs'!$B$32,'Inputs'!$B$30+'Inputs'!$B$31+'Inputs'!$B$32)/1000+'Inputs'!$B$21)+'Inputs'!$B$7)^2+('Inputs'!$B$6/2)^2)-(((129-43)*MAX('Inputs'!$B$33,'Inputs'!$B$29+'Inputs'!$B$31+'Inputs'!$B$32,'Inputs'!$B$30+'Inputs'!$B$31+'Inputs'!$B$32)/1000+'Inputs'!$B$21))/SQRT((((129-43)*MAX('Inputs'!$B$33,'Inputs'!$B$29+'Inputs'!$B$31+'Inputs'!$B$32,'Inputs'!$B$30+'Inputs'!$B$31+'Inputs'!$B$32)/1000+'Inputs'!$B$21))^2+('Inputs'!$B$6/2)^2)))-'Results'!C7*(1+'Inputs'!$B$24)*(0.5*((((129-43)*MAX('Inputs'!$B$33,'Inputs'!$B$29+'Inputs'!$B$31+'Inputs'!$B$32,'Inputs'!$B$30+'Inputs'!$B$31+'Inputs'!$B$32)/1000+'Inputs'!$B$21+'Inputs'!$B$7+'Inputs'!$B$10)+'Inputs'!$B$9)/SQRT((((129-43)*MAX('Inputs'!$B$33,'Inputs'!$B$29+'Inputs'!$B$31+'Inputs'!$B$32,'Inputs'!$B$30+'Inputs'!$B$31+'Inputs'!$B$32)/1000+'Inputs'!$B$21+'Inputs'!$B$7+'Inputs'!$B$10)+'Inputs'!$B$9)^2+('Inputs'!$B$8/2)^2)-(((129-43)*MAX('Inputs'!$B$33,'Inputs'!$B$29+'Inputs'!$B$31+'Inputs'!$B$32,'Inputs'!$B$30+'Inputs'!$B$31+'Inputs'!$B$32)/1000+'Inputs'!$B$21+'Inputs'!$B$7+'Inputs'!$B$10))/SQRT((((129-43)*MAX('Inputs'!$B$33,'Inputs'!$B$29+'Inputs'!$B$31+'Inputs'!$B$32,'Inputs'!$B$30+'Inputs'!$B$31+'Inputs'!$B$32)/1000+'Inputs'!$B$21+'Inputs'!$B$7+'Inputs'!$B$10))^2+('Inputs'!$B$8/2)^2))))*'Results'!$B$8))),"")</x:f>
        <x:v>448.94264433187067</x:v>
      </x:c>
      <x:c r="L129" t="n">
        <x:f>IF(AND(ISNUMBER('Results'!B7),ISNUMBER('Results'!C7),ISNUMBER('Results'!$B$8),ISNUMBER('Inputs'!$B$6),ISNUMBER('Inputs'!$B$7),ISNUMBER('Inputs'!$B$8),ISNUMBER('Inputs'!$B$9),ISNUMBER('Inputs'!$B$10),ISNUMBER('Inputs'!$B$21),ISNUMBER('Inputs'!$B$24),ISNUMBER('Inputs'!$B$28)),((('Results'!B7*(1+'Inputs'!$B$24)*(0.5*((((129-43)*MAX('Inputs'!$B$33,'Inputs'!$B$29+'Inputs'!$B$31+'Inputs'!$B$32,'Inputs'!$B$30+'Inputs'!$B$31+'Inputs'!$B$32)/1000+'Inputs'!$B$21)+'Inputs'!$B$7)/SQRT((((129-43)*MAX('Inputs'!$B$33,'Inputs'!$B$29+'Inputs'!$B$31+'Inputs'!$B$32,'Inputs'!$B$30+'Inputs'!$B$31+'Inputs'!$B$32)/1000+'Inputs'!$B$21)+'Inputs'!$B$7)^2+('Inputs'!$B$6/2)^2)-(((129-43)*MAX('Inputs'!$B$33,'Inputs'!$B$29+'Inputs'!$B$31+'Inputs'!$B$32,'Inputs'!$B$30+'Inputs'!$B$31+'Inputs'!$B$32)/1000+'Inputs'!$B$21))/SQRT((((129-43)*MAX('Inputs'!$B$33,'Inputs'!$B$29+'Inputs'!$B$31+'Inputs'!$B$32,'Inputs'!$B$30+'Inputs'!$B$31+'Inputs'!$B$32)/1000+'Inputs'!$B$21))^2+('Inputs'!$B$6/2)^2)))-'Results'!C7*(1-'Inputs'!$B$24)*(0.5*((((129-43)*MAX('Inputs'!$B$33,'Inputs'!$B$29+'Inputs'!$B$31+'Inputs'!$B$32,'Inputs'!$B$30+'Inputs'!$B$31+'Inputs'!$B$32)/1000+'Inputs'!$B$21+'Inputs'!$B$7+'Inputs'!$B$10)+'Inputs'!$B$9)/SQRT((((129-43)*MAX('Inputs'!$B$33,'Inputs'!$B$29+'Inputs'!$B$31+'Inputs'!$B$32,'Inputs'!$B$30+'Inputs'!$B$31+'Inputs'!$B$32)/1000+'Inputs'!$B$21+'Inputs'!$B$7+'Inputs'!$B$10)+'Inputs'!$B$9)^2+('Inputs'!$B$8/2)^2)-(((129-43)*MAX('Inputs'!$B$33,'Inputs'!$B$29+'Inputs'!$B$31+'Inputs'!$B$32,'Inputs'!$B$30+'Inputs'!$B$31+'Inputs'!$B$32)/1000+'Inputs'!$B$21+'Inputs'!$B$7+'Inputs'!$B$10))/SQRT((((129-43)*MAX('Inputs'!$B$33,'Inputs'!$B$29+'Inputs'!$B$31+'Inputs'!$B$32,'Inputs'!$B$30+'Inputs'!$B$31+'Inputs'!$B$32)/1000+'Inputs'!$B$21+'Inputs'!$B$7+'Inputs'!$B$10))^2+('Inputs'!$B$8/2)^2))))*'Results'!$B$8)+'Inputs'!$B$28*ABS((('Results'!B7*(1+'Inputs'!$B$24)*(0.5*((((129-43)*MAX('Inputs'!$B$33,'Inputs'!$B$29+'Inputs'!$B$31+'Inputs'!$B$32,'Inputs'!$B$30+'Inputs'!$B$31+'Inputs'!$B$32)/1000+'Inputs'!$B$21)+'Inputs'!$B$7)/SQRT((((129-43)*MAX('Inputs'!$B$33,'Inputs'!$B$29+'Inputs'!$B$31+'Inputs'!$B$32,'Inputs'!$B$30+'Inputs'!$B$31+'Inputs'!$B$32)/1000+'Inputs'!$B$21)+'Inputs'!$B$7)^2+('Inputs'!$B$6/2)^2)-(((129-43)*MAX('Inputs'!$B$33,'Inputs'!$B$29+'Inputs'!$B$31+'Inputs'!$B$32,'Inputs'!$B$30+'Inputs'!$B$31+'Inputs'!$B$32)/1000+'Inputs'!$B$21))/SQRT((((129-43)*MAX('Inputs'!$B$33,'Inputs'!$B$29+'Inputs'!$B$31+'Inputs'!$B$32,'Inputs'!$B$30+'Inputs'!$B$31+'Inputs'!$B$32)/1000+'Inputs'!$B$21))^2+('Inputs'!$B$6/2)^2)))-'Results'!C7*(1-'Inputs'!$B$24)*(0.5*((((129-43)*MAX('Inputs'!$B$33,'Inputs'!$B$29+'Inputs'!$B$31+'Inputs'!$B$32,'Inputs'!$B$30+'Inputs'!$B$31+'Inputs'!$B$32)/1000+'Inputs'!$B$21+'Inputs'!$B$7+'Inputs'!$B$10)+'Inputs'!$B$9)/SQRT((((129-43)*MAX('Inputs'!$B$33,'Inputs'!$B$29+'Inputs'!$B$31+'Inputs'!$B$32,'Inputs'!$B$30+'Inputs'!$B$31+'Inputs'!$B$32)/1000+'Inputs'!$B$21+'Inputs'!$B$7+'Inputs'!$B$10)+'Inputs'!$B$9)^2+('Inputs'!$B$8/2)^2)-(((129-43)*MAX('Inputs'!$B$33,'Inputs'!$B$29+'Inputs'!$B$31+'Inputs'!$B$32,'Inputs'!$B$30+'Inputs'!$B$31+'Inputs'!$B$32)/1000+'Inputs'!$B$21+'Inputs'!$B$7+'Inputs'!$B$10))/SQRT((((129-43)*MAX('Inputs'!$B$33,'Inputs'!$B$29+'Inputs'!$B$31+'Inputs'!$B$32,'Inputs'!$B$30+'Inputs'!$B$31+'Inputs'!$B$32)/1000+'Inputs'!$B$21+'Inputs'!$B$7+'Inputs'!$B$10))^2+('Inputs'!$B$8/2)^2))))*'Results'!$B$8))),"")</x:f>
        <x:v>525.2418023179799</x:v>
      </x:c>
      <x:c r="M129" t="n">
        <x:f>IF(AND(ISNUMBER('Results'!C7),ISNUMBER('Results'!B7),ISNUMBER('Results'!$B$8),ISNUMBER('Inputs'!$B$6),ISNUMBER('Inputs'!$B$7),ISNUMBER('Inputs'!$B$8),ISNUMBER('Inputs'!$B$9),ISNUMBER('Inputs'!$B$10),ISNUMBER('Inputs'!$B$21),ISNUMBER('Inputs'!$B$24),ISNUMBER('Inputs'!$B$28)),(('Results'!C7*(0.5*((((129-43)*MAX('Inputs'!$B$33,'Inputs'!$B$29+'Inputs'!$B$31+'Inputs'!$B$32,'Inputs'!$B$30+'Inputs'!$B$31+'Inputs'!$B$32)/1000+'Inputs'!$B$21)+'Inputs'!$B$9)/SQRT((((129-43)*MAX('Inputs'!$B$33,'Inputs'!$B$29+'Inputs'!$B$31+'Inputs'!$B$32,'Inputs'!$B$30+'Inputs'!$B$31+'Inputs'!$B$32)/1000+'Inputs'!$B$21)+'Inputs'!$B$9)^2+('Inputs'!$B$8/2)^2)-(((129-43)*MAX('Inputs'!$B$33,'Inputs'!$B$29+'Inputs'!$B$31+'Inputs'!$B$32,'Inputs'!$B$30+'Inputs'!$B$31+'Inputs'!$B$32)/1000+'Inputs'!$B$21))/SQRT((((129-43)*MAX('Inputs'!$B$33,'Inputs'!$B$29+'Inputs'!$B$31+'Inputs'!$B$32,'Inputs'!$B$30+'Inputs'!$B$31+'Inputs'!$B$32)/1000+'Inputs'!$B$21))^2+('Inputs'!$B$8/2)^2)))-'Results'!B7*(0.5*((((129-43)*MAX('Inputs'!$B$33,'Inputs'!$B$29+'Inputs'!$B$31+'Inputs'!$B$32,'Inputs'!$B$30+'Inputs'!$B$31+'Inputs'!$B$32)/1000+'Inputs'!$B$21+'Inputs'!$B$9+'Inputs'!$B$10)+'Inputs'!$B$7)/SQRT((((129-43)*MAX('Inputs'!$B$33,'Inputs'!$B$29+'Inputs'!$B$31+'Inputs'!$B$32,'Inputs'!$B$30+'Inputs'!$B$31+'Inputs'!$B$32)/1000+'Inputs'!$B$21+'Inputs'!$B$9+'Inputs'!$B$10)+'Inputs'!$B$7)^2+('Inputs'!$B$6/2)^2)-(((129-43)*MAX('Inputs'!$B$33,'Inputs'!$B$29+'Inputs'!$B$31+'Inputs'!$B$32,'Inputs'!$B$30+'Inputs'!$B$31+'Inputs'!$B$32)/1000+'Inputs'!$B$21+'Inputs'!$B$9+'Inputs'!$B$10))/SQRT((((129-43)*MAX('Inputs'!$B$33,'Inputs'!$B$29+'Inputs'!$B$31+'Inputs'!$B$32,'Inputs'!$B$30+'Inputs'!$B$31+'Inputs'!$B$32)/1000+'Inputs'!$B$21+'Inputs'!$B$9+'Inputs'!$B$10))^2+('Inputs'!$B$6/2)^2))))*'Results'!$B$8),"")</x:f>
        <x:v>472.52935224602516</x:v>
      </x:c>
      <x:c r="N129" t="n">
        <x:f>IF(AND(ISNUMBER('Results'!C7),ISNUMBER('Results'!B7),ISNUMBER('Results'!$B$8),ISNUMBER('Inputs'!$B$6),ISNUMBER('Inputs'!$B$7),ISNUMBER('Inputs'!$B$8),ISNUMBER('Inputs'!$B$9),ISNUMBER('Inputs'!$B$10),ISNUMBER('Inputs'!$B$21),ISNUMBER('Inputs'!$B$24),ISNUMBER('Inputs'!$B$28)),((('Results'!C7*(1-'Inputs'!$B$24)*(0.5*((((129-43)*MAX('Inputs'!$B$33,'Inputs'!$B$29+'Inputs'!$B$31+'Inputs'!$B$32,'Inputs'!$B$30+'Inputs'!$B$31+'Inputs'!$B$32)/1000+'Inputs'!$B$21)+'Inputs'!$B$9)/SQRT((((129-43)*MAX('Inputs'!$B$33,'Inputs'!$B$29+'Inputs'!$B$31+'Inputs'!$B$32,'Inputs'!$B$30+'Inputs'!$B$31+'Inputs'!$B$32)/1000+'Inputs'!$B$21)+'Inputs'!$B$9)^2+('Inputs'!$B$8/2)^2)-(((129-43)*MAX('Inputs'!$B$33,'Inputs'!$B$29+'Inputs'!$B$31+'Inputs'!$B$32,'Inputs'!$B$30+'Inputs'!$B$31+'Inputs'!$B$32)/1000+'Inputs'!$B$21))/SQRT((((129-43)*MAX('Inputs'!$B$33,'Inputs'!$B$29+'Inputs'!$B$31+'Inputs'!$B$32,'Inputs'!$B$30+'Inputs'!$B$31+'Inputs'!$B$32)/1000+'Inputs'!$B$21))^2+('Inputs'!$B$8/2)^2)))-'Results'!B7*(1+'Inputs'!$B$24)*(0.5*((((129-43)*MAX('Inputs'!$B$33,'Inputs'!$B$29+'Inputs'!$B$31+'Inputs'!$B$32,'Inputs'!$B$30+'Inputs'!$B$31+'Inputs'!$B$32)/1000+'Inputs'!$B$21+'Inputs'!$B$9+'Inputs'!$B$10)+'Inputs'!$B$7)/SQRT((((129-43)*MAX('Inputs'!$B$33,'Inputs'!$B$29+'Inputs'!$B$31+'Inputs'!$B$32,'Inputs'!$B$30+'Inputs'!$B$31+'Inputs'!$B$32)/1000+'Inputs'!$B$21+'Inputs'!$B$9+'Inputs'!$B$10)+'Inputs'!$B$7)^2+('Inputs'!$B$6/2)^2)-(((129-43)*MAX('Inputs'!$B$33,'Inputs'!$B$29+'Inputs'!$B$31+'Inputs'!$B$32,'Inputs'!$B$30+'Inputs'!$B$31+'Inputs'!$B$32)/1000+'Inputs'!$B$21+'Inputs'!$B$9+'Inputs'!$B$10))/SQRT((((129-43)*MAX('Inputs'!$B$33,'Inputs'!$B$29+'Inputs'!$B$31+'Inputs'!$B$32,'Inputs'!$B$30+'Inputs'!$B$31+'Inputs'!$B$32)/1000+'Inputs'!$B$21+'Inputs'!$B$9+'Inputs'!$B$10))^2+('Inputs'!$B$6/2)^2))))*'Results'!$B$8)-'Inputs'!$B$28*ABS((('Results'!C7*(1-'Inputs'!$B$24)*(0.5*((((129-43)*MAX('Inputs'!$B$33,'Inputs'!$B$29+'Inputs'!$B$31+'Inputs'!$B$32,'Inputs'!$B$30+'Inputs'!$B$31+'Inputs'!$B$32)/1000+'Inputs'!$B$21)+'Inputs'!$B$9)/SQRT((((129-43)*MAX('Inputs'!$B$33,'Inputs'!$B$29+'Inputs'!$B$31+'Inputs'!$B$32,'Inputs'!$B$30+'Inputs'!$B$31+'Inputs'!$B$32)/1000+'Inputs'!$B$21)+'Inputs'!$B$9)^2+('Inputs'!$B$8/2)^2)-(((129-43)*MAX('Inputs'!$B$33,'Inputs'!$B$29+'Inputs'!$B$31+'Inputs'!$B$32,'Inputs'!$B$30+'Inputs'!$B$31+'Inputs'!$B$32)/1000+'Inputs'!$B$21))/SQRT((((129-43)*MAX('Inputs'!$B$33,'Inputs'!$B$29+'Inputs'!$B$31+'Inputs'!$B$32,'Inputs'!$B$30+'Inputs'!$B$31+'Inputs'!$B$32)/1000+'Inputs'!$B$21))^2+('Inputs'!$B$8/2)^2)))-'Results'!B7*(1+'Inputs'!$B$24)*(0.5*((((129-43)*MAX('Inputs'!$B$33,'Inputs'!$B$29+'Inputs'!$B$31+'Inputs'!$B$32,'Inputs'!$B$30+'Inputs'!$B$31+'Inputs'!$B$32)/1000+'Inputs'!$B$21+'Inputs'!$B$9+'Inputs'!$B$10)+'Inputs'!$B$7)/SQRT((((129-43)*MAX('Inputs'!$B$33,'Inputs'!$B$29+'Inputs'!$B$31+'Inputs'!$B$32,'Inputs'!$B$30+'Inputs'!$B$31+'Inputs'!$B$32)/1000+'Inputs'!$B$21+'Inputs'!$B$9+'Inputs'!$B$10)+'Inputs'!$B$7)^2+('Inputs'!$B$6/2)^2)-(((129-43)*MAX('Inputs'!$B$33,'Inputs'!$B$29+'Inputs'!$B$31+'Inputs'!$B$32,'Inputs'!$B$30+'Inputs'!$B$31+'Inputs'!$B$32)/1000+'Inputs'!$B$21+'Inputs'!$B$9+'Inputs'!$B$10))/SQRT((((129-43)*MAX('Inputs'!$B$33,'Inputs'!$B$29+'Inputs'!$B$31+'Inputs'!$B$32,'Inputs'!$B$30+'Inputs'!$B$31+'Inputs'!$B$32)/1000+'Inputs'!$B$21+'Inputs'!$B$9+'Inputs'!$B$10))^2+('Inputs'!$B$6/2)^2))))*'Results'!$B$8))),"")</x:f>
        <x:v>435.9488571263721</x:v>
      </x:c>
      <x:c r="O129" t="n">
        <x:f>IF(AND(ISNUMBER('Results'!C7),ISNUMBER('Results'!B7),ISNUMBER('Results'!$B$8),ISNUMBER('Inputs'!$B$6),ISNUMBER('Inputs'!$B$7),ISNUMBER('Inputs'!$B$8),ISNUMBER('Inputs'!$B$9),ISNUMBER('Inputs'!$B$10),ISNUMBER('Inputs'!$B$21),ISNUMBER('Inputs'!$B$24),ISNUMBER('Inputs'!$B$28)),((('Results'!C7*(1+'Inputs'!$B$24)*(0.5*((((129-43)*MAX('Inputs'!$B$33,'Inputs'!$B$29+'Inputs'!$B$31+'Inputs'!$B$32,'Inputs'!$B$30+'Inputs'!$B$31+'Inputs'!$B$32)/1000+'Inputs'!$B$21)+'Inputs'!$B$9)/SQRT((((129-43)*MAX('Inputs'!$B$33,'Inputs'!$B$29+'Inputs'!$B$31+'Inputs'!$B$32,'Inputs'!$B$30+'Inputs'!$B$31+'Inputs'!$B$32)/1000+'Inputs'!$B$21)+'Inputs'!$B$9)^2+('Inputs'!$B$8/2)^2)-(((129-43)*MAX('Inputs'!$B$33,'Inputs'!$B$29+'Inputs'!$B$31+'Inputs'!$B$32,'Inputs'!$B$30+'Inputs'!$B$31+'Inputs'!$B$32)/1000+'Inputs'!$B$21))/SQRT((((129-43)*MAX('Inputs'!$B$33,'Inputs'!$B$29+'Inputs'!$B$31+'Inputs'!$B$32,'Inputs'!$B$30+'Inputs'!$B$31+'Inputs'!$B$32)/1000+'Inputs'!$B$21))^2+('Inputs'!$B$8/2)^2)))-'Results'!B7*(1-'Inputs'!$B$24)*(0.5*((((129-43)*MAX('Inputs'!$B$33,'Inputs'!$B$29+'Inputs'!$B$31+'Inputs'!$B$32,'Inputs'!$B$30+'Inputs'!$B$31+'Inputs'!$B$32)/1000+'Inputs'!$B$21+'Inputs'!$B$9+'Inputs'!$B$10)+'Inputs'!$B$7)/SQRT((((129-43)*MAX('Inputs'!$B$33,'Inputs'!$B$29+'Inputs'!$B$31+'Inputs'!$B$32,'Inputs'!$B$30+'Inputs'!$B$31+'Inputs'!$B$32)/1000+'Inputs'!$B$21+'Inputs'!$B$9+'Inputs'!$B$10)+'Inputs'!$B$7)^2+('Inputs'!$B$6/2)^2)-(((129-43)*MAX('Inputs'!$B$33,'Inputs'!$B$29+'Inputs'!$B$31+'Inputs'!$B$32,'Inputs'!$B$30+'Inputs'!$B$31+'Inputs'!$B$32)/1000+'Inputs'!$B$21+'Inputs'!$B$9+'Inputs'!$B$10))/SQRT((((129-43)*MAX('Inputs'!$B$33,'Inputs'!$B$29+'Inputs'!$B$31+'Inputs'!$B$32,'Inputs'!$B$30+'Inputs'!$B$31+'Inputs'!$B$32)/1000+'Inputs'!$B$21+'Inputs'!$B$9+'Inputs'!$B$10))^2+('Inputs'!$B$6/2)^2))))*'Results'!$B$8)+'Inputs'!$B$28*ABS((('Results'!C7*(1+'Inputs'!$B$24)*(0.5*((((129-43)*MAX('Inputs'!$B$33,'Inputs'!$B$29+'Inputs'!$B$31+'Inputs'!$B$32,'Inputs'!$B$30+'Inputs'!$B$31+'Inputs'!$B$32)/1000+'Inputs'!$B$21)+'Inputs'!$B$9)/SQRT((((129-43)*MAX('Inputs'!$B$33,'Inputs'!$B$29+'Inputs'!$B$31+'Inputs'!$B$32,'Inputs'!$B$30+'Inputs'!$B$31+'Inputs'!$B$32)/1000+'Inputs'!$B$21)+'Inputs'!$B$9)^2+('Inputs'!$B$8/2)^2)-(((129-43)*MAX('Inputs'!$B$33,'Inputs'!$B$29+'Inputs'!$B$31+'Inputs'!$B$32,'Inputs'!$B$30+'Inputs'!$B$31+'Inputs'!$B$32)/1000+'Inputs'!$B$21))/SQRT((((129-43)*MAX('Inputs'!$B$33,'Inputs'!$B$29+'Inputs'!$B$31+'Inputs'!$B$32,'Inputs'!$B$30+'Inputs'!$B$31+'Inputs'!$B$32)/1000+'Inputs'!$B$21))^2+('Inputs'!$B$8/2)^2)))-'Results'!B7*(1-'Inputs'!$B$24)*(0.5*((((129-43)*MAX('Inputs'!$B$33,'Inputs'!$B$29+'Inputs'!$B$31+'Inputs'!$B$32,'Inputs'!$B$30+'Inputs'!$B$31+'Inputs'!$B$32)/1000+'Inputs'!$B$21+'Inputs'!$B$9+'Inputs'!$B$10)+'Inputs'!$B$7)/SQRT((((129-43)*MAX('Inputs'!$B$33,'Inputs'!$B$29+'Inputs'!$B$31+'Inputs'!$B$32,'Inputs'!$B$30+'Inputs'!$B$31+'Inputs'!$B$32)/1000+'Inputs'!$B$21+'Inputs'!$B$9+'Inputs'!$B$10)+'Inputs'!$B$7)^2+('Inputs'!$B$6/2)^2)-(((129-43)*MAX('Inputs'!$B$33,'Inputs'!$B$29+'Inputs'!$B$31+'Inputs'!$B$32,'Inputs'!$B$30+'Inputs'!$B$31+'Inputs'!$B$32)/1000+'Inputs'!$B$21+'Inputs'!$B$9+'Inputs'!$B$10))/SQRT((((129-43)*MAX('Inputs'!$B$33,'Inputs'!$B$29+'Inputs'!$B$31+'Inputs'!$B$32,'Inputs'!$B$30+'Inputs'!$B$31+'Inputs'!$B$32)/1000+'Inputs'!$B$21+'Inputs'!$B$9+'Inputs'!$B$10))^2+('Inputs'!$B$6/2)^2))))*'Results'!$B$8))),"")</x:f>
        <x:v>510.47342920855726</x:v>
      </x:c>
      <x:c r="P129" t="n">
        <x:f>IF(AND(MAX(J129,J128)&gt;0,J129&gt;J128+0.00000001),1,0)</x:f>
        <x:v>0</x:v>
      </x:c>
      <x:c r="Q129" t="n">
        <x:f>IF(AND(MAX(K129,K128)&gt;0,K129&gt;K128+0.00000001),1,0)</x:f>
        <x:v>0</x:v>
      </x:c>
      <x:c r="R129" t="n">
        <x:f>IF(AND(MAX(L129,L128)&gt;0,L129&gt;L128+0.00000001),1,0)</x:f>
        <x:v>0</x:v>
      </x:c>
      <x:c r="S129" t="n">
        <x:f>IF(AND(MAX(M129,M128)&gt;0,M129&gt;M128+0.00000001),1,0)</x:f>
        <x:v>0</x:v>
      </x:c>
      <x:c r="T129" t="n">
        <x:f>IF(AND(MAX(N129,N128)&gt;0,N129&gt;N128+0.00000001),1,0)</x:f>
        <x:v>0</x:v>
      </x:c>
      <x:c r="U129" t="n">
        <x:f>IF(AND(MAX(O129,O128)&gt;0,O129&gt;O128+0.00000001),1,0)</x:f>
        <x:v>0</x:v>
      </x:c>
    </x:row>
    <x:row r="130">
      <x:c r="J130" t="n">
        <x:f>IF(AND(ISNUMBER('Results'!B7),ISNUMBER('Results'!C7),ISNUMBER('Results'!$B$8),ISNUMBER('Inputs'!$B$6),ISNUMBER('Inputs'!$B$7),ISNUMBER('Inputs'!$B$8),ISNUMBER('Inputs'!$B$9),ISNUMBER('Inputs'!$B$10),ISNUMBER('Inputs'!$B$21),ISNUMBER('Inputs'!$B$24),ISNUMBER('Inputs'!$B$28)),(('Results'!B7*(0.5*((((130-43)*MAX('Inputs'!$B$33,'Inputs'!$B$29+'Inputs'!$B$31+'Inputs'!$B$32,'Inputs'!$B$30+'Inputs'!$B$31+'Inputs'!$B$32)/1000+'Inputs'!$B$21)+'Inputs'!$B$7)/SQRT((((130-43)*MAX('Inputs'!$B$33,'Inputs'!$B$29+'Inputs'!$B$31+'Inputs'!$B$32,'Inputs'!$B$30+'Inputs'!$B$31+'Inputs'!$B$32)/1000+'Inputs'!$B$21)+'Inputs'!$B$7)^2+('Inputs'!$B$6/2)^2)-(((130-43)*MAX('Inputs'!$B$33,'Inputs'!$B$29+'Inputs'!$B$31+'Inputs'!$B$32,'Inputs'!$B$30+'Inputs'!$B$31+'Inputs'!$B$32)/1000+'Inputs'!$B$21))/SQRT((((130-43)*MAX('Inputs'!$B$33,'Inputs'!$B$29+'Inputs'!$B$31+'Inputs'!$B$32,'Inputs'!$B$30+'Inputs'!$B$31+'Inputs'!$B$32)/1000+'Inputs'!$B$21))^2+('Inputs'!$B$6/2)^2)))-'Results'!C7*(0.5*((((130-43)*MAX('Inputs'!$B$33,'Inputs'!$B$29+'Inputs'!$B$31+'Inputs'!$B$32,'Inputs'!$B$30+'Inputs'!$B$31+'Inputs'!$B$32)/1000+'Inputs'!$B$21+'Inputs'!$B$7+'Inputs'!$B$10)+'Inputs'!$B$9)/SQRT((((130-43)*MAX('Inputs'!$B$33,'Inputs'!$B$29+'Inputs'!$B$31+'Inputs'!$B$32,'Inputs'!$B$30+'Inputs'!$B$31+'Inputs'!$B$32)/1000+'Inputs'!$B$21+'Inputs'!$B$7+'Inputs'!$B$10)+'Inputs'!$B$9)^2+('Inputs'!$B$8/2)^2)-(((130-43)*MAX('Inputs'!$B$33,'Inputs'!$B$29+'Inputs'!$B$31+'Inputs'!$B$32,'Inputs'!$B$30+'Inputs'!$B$31+'Inputs'!$B$32)/1000+'Inputs'!$B$21+'Inputs'!$B$7+'Inputs'!$B$10))/SQRT((((130-43)*MAX('Inputs'!$B$33,'Inputs'!$B$29+'Inputs'!$B$31+'Inputs'!$B$32,'Inputs'!$B$30+'Inputs'!$B$31+'Inputs'!$B$32)/1000+'Inputs'!$B$21+'Inputs'!$B$7+'Inputs'!$B$10))^2+('Inputs'!$B$8/2)^2))))*'Results'!$B$8),"")</x:f>
        <x:v>477.0328630702656</x:v>
      </x:c>
      <x:c r="K130" t="n">
        <x:f>IF(AND(ISNUMBER('Results'!B7),ISNUMBER('Results'!C7),ISNUMBER('Results'!$B$8),ISNUMBER('Inputs'!$B$6),ISNUMBER('Inputs'!$B$7),ISNUMBER('Inputs'!$B$8),ISNUMBER('Inputs'!$B$9),ISNUMBER('Inputs'!$B$10),ISNUMBER('Inputs'!$B$21),ISNUMBER('Inputs'!$B$24),ISNUMBER('Inputs'!$B$28)),((('Results'!B7*(1-'Inputs'!$B$24)*(0.5*((((130-43)*MAX('Inputs'!$B$33,'Inputs'!$B$29+'Inputs'!$B$31+'Inputs'!$B$32,'Inputs'!$B$30+'Inputs'!$B$31+'Inputs'!$B$32)/1000+'Inputs'!$B$21)+'Inputs'!$B$7)/SQRT((((130-43)*MAX('Inputs'!$B$33,'Inputs'!$B$29+'Inputs'!$B$31+'Inputs'!$B$32,'Inputs'!$B$30+'Inputs'!$B$31+'Inputs'!$B$32)/1000+'Inputs'!$B$21)+'Inputs'!$B$7)^2+('Inputs'!$B$6/2)^2)-(((130-43)*MAX('Inputs'!$B$33,'Inputs'!$B$29+'Inputs'!$B$31+'Inputs'!$B$32,'Inputs'!$B$30+'Inputs'!$B$31+'Inputs'!$B$32)/1000+'Inputs'!$B$21))/SQRT((((130-43)*MAX('Inputs'!$B$33,'Inputs'!$B$29+'Inputs'!$B$31+'Inputs'!$B$32,'Inputs'!$B$30+'Inputs'!$B$31+'Inputs'!$B$32)/1000+'Inputs'!$B$21))^2+('Inputs'!$B$6/2)^2)))-'Results'!C7*(1+'Inputs'!$B$24)*(0.5*((((130-43)*MAX('Inputs'!$B$33,'Inputs'!$B$29+'Inputs'!$B$31+'Inputs'!$B$32,'Inputs'!$B$30+'Inputs'!$B$31+'Inputs'!$B$32)/1000+'Inputs'!$B$21+'Inputs'!$B$7+'Inputs'!$B$10)+'Inputs'!$B$9)/SQRT((((130-43)*MAX('Inputs'!$B$33,'Inputs'!$B$29+'Inputs'!$B$31+'Inputs'!$B$32,'Inputs'!$B$30+'Inputs'!$B$31+'Inputs'!$B$32)/1000+'Inputs'!$B$21+'Inputs'!$B$7+'Inputs'!$B$10)+'Inputs'!$B$9)^2+('Inputs'!$B$8/2)^2)-(((130-43)*MAX('Inputs'!$B$33,'Inputs'!$B$29+'Inputs'!$B$31+'Inputs'!$B$32,'Inputs'!$B$30+'Inputs'!$B$31+'Inputs'!$B$32)/1000+'Inputs'!$B$21+'Inputs'!$B$7+'Inputs'!$B$10))/SQRT((((130-43)*MAX('Inputs'!$B$33,'Inputs'!$B$29+'Inputs'!$B$31+'Inputs'!$B$32,'Inputs'!$B$30+'Inputs'!$B$31+'Inputs'!$B$32)/1000+'Inputs'!$B$21+'Inputs'!$B$7+'Inputs'!$B$10))^2+('Inputs'!$B$8/2)^2))))*'Results'!$B$8)-'Inputs'!$B$28*ABS((('Results'!B7*(1-'Inputs'!$B$24)*(0.5*((((130-43)*MAX('Inputs'!$B$33,'Inputs'!$B$29+'Inputs'!$B$31+'Inputs'!$B$32,'Inputs'!$B$30+'Inputs'!$B$31+'Inputs'!$B$32)/1000+'Inputs'!$B$21)+'Inputs'!$B$7)/SQRT((((130-43)*MAX('Inputs'!$B$33,'Inputs'!$B$29+'Inputs'!$B$31+'Inputs'!$B$32,'Inputs'!$B$30+'Inputs'!$B$31+'Inputs'!$B$32)/1000+'Inputs'!$B$21)+'Inputs'!$B$7)^2+('Inputs'!$B$6/2)^2)-(((130-43)*MAX('Inputs'!$B$33,'Inputs'!$B$29+'Inputs'!$B$31+'Inputs'!$B$32,'Inputs'!$B$30+'Inputs'!$B$31+'Inputs'!$B$32)/1000+'Inputs'!$B$21))/SQRT((((130-43)*MAX('Inputs'!$B$33,'Inputs'!$B$29+'Inputs'!$B$31+'Inputs'!$B$32,'Inputs'!$B$30+'Inputs'!$B$31+'Inputs'!$B$32)/1000+'Inputs'!$B$21))^2+('Inputs'!$B$6/2)^2)))-'Results'!C7*(1+'Inputs'!$B$24)*(0.5*((((130-43)*MAX('Inputs'!$B$33,'Inputs'!$B$29+'Inputs'!$B$31+'Inputs'!$B$32,'Inputs'!$B$30+'Inputs'!$B$31+'Inputs'!$B$32)/1000+'Inputs'!$B$21+'Inputs'!$B$7+'Inputs'!$B$10)+'Inputs'!$B$9)/SQRT((((130-43)*MAX('Inputs'!$B$33,'Inputs'!$B$29+'Inputs'!$B$31+'Inputs'!$B$32,'Inputs'!$B$30+'Inputs'!$B$31+'Inputs'!$B$32)/1000+'Inputs'!$B$21+'Inputs'!$B$7+'Inputs'!$B$10)+'Inputs'!$B$9)^2+('Inputs'!$B$8/2)^2)-(((130-43)*MAX('Inputs'!$B$33,'Inputs'!$B$29+'Inputs'!$B$31+'Inputs'!$B$32,'Inputs'!$B$30+'Inputs'!$B$31+'Inputs'!$B$32)/1000+'Inputs'!$B$21+'Inputs'!$B$7+'Inputs'!$B$10))/SQRT((((130-43)*MAX('Inputs'!$B$33,'Inputs'!$B$29+'Inputs'!$B$31+'Inputs'!$B$32,'Inputs'!$B$30+'Inputs'!$B$31+'Inputs'!$B$32)/1000+'Inputs'!$B$21+'Inputs'!$B$7+'Inputs'!$B$10))^2+('Inputs'!$B$8/2)^2))))*'Results'!$B$8))),"")</x:f>
        <x:v>440.26802438477887</x:v>
      </x:c>
      <x:c r="L130" t="n">
        <x:f>IF(AND(ISNUMBER('Results'!B7),ISNUMBER('Results'!C7),ISNUMBER('Results'!$B$8),ISNUMBER('Inputs'!$B$6),ISNUMBER('Inputs'!$B$7),ISNUMBER('Inputs'!$B$8),ISNUMBER('Inputs'!$B$9),ISNUMBER('Inputs'!$B$10),ISNUMBER('Inputs'!$B$21),ISNUMBER('Inputs'!$B$24),ISNUMBER('Inputs'!$B$28)),((('Results'!B7*(1+'Inputs'!$B$24)*(0.5*((((130-43)*MAX('Inputs'!$B$33,'Inputs'!$B$29+'Inputs'!$B$31+'Inputs'!$B$32,'Inputs'!$B$30+'Inputs'!$B$31+'Inputs'!$B$32)/1000+'Inputs'!$B$21)+'Inputs'!$B$7)/SQRT((((130-43)*MAX('Inputs'!$B$33,'Inputs'!$B$29+'Inputs'!$B$31+'Inputs'!$B$32,'Inputs'!$B$30+'Inputs'!$B$31+'Inputs'!$B$32)/1000+'Inputs'!$B$21)+'Inputs'!$B$7)^2+('Inputs'!$B$6/2)^2)-(((130-43)*MAX('Inputs'!$B$33,'Inputs'!$B$29+'Inputs'!$B$31+'Inputs'!$B$32,'Inputs'!$B$30+'Inputs'!$B$31+'Inputs'!$B$32)/1000+'Inputs'!$B$21))/SQRT((((130-43)*MAX('Inputs'!$B$33,'Inputs'!$B$29+'Inputs'!$B$31+'Inputs'!$B$32,'Inputs'!$B$30+'Inputs'!$B$31+'Inputs'!$B$32)/1000+'Inputs'!$B$21))^2+('Inputs'!$B$6/2)^2)))-'Results'!C7*(1-'Inputs'!$B$24)*(0.5*((((130-43)*MAX('Inputs'!$B$33,'Inputs'!$B$29+'Inputs'!$B$31+'Inputs'!$B$32,'Inputs'!$B$30+'Inputs'!$B$31+'Inputs'!$B$32)/1000+'Inputs'!$B$21+'Inputs'!$B$7+'Inputs'!$B$10)+'Inputs'!$B$9)/SQRT((((130-43)*MAX('Inputs'!$B$33,'Inputs'!$B$29+'Inputs'!$B$31+'Inputs'!$B$32,'Inputs'!$B$30+'Inputs'!$B$31+'Inputs'!$B$32)/1000+'Inputs'!$B$21+'Inputs'!$B$7+'Inputs'!$B$10)+'Inputs'!$B$9)^2+('Inputs'!$B$8/2)^2)-(((130-43)*MAX('Inputs'!$B$33,'Inputs'!$B$29+'Inputs'!$B$31+'Inputs'!$B$32,'Inputs'!$B$30+'Inputs'!$B$31+'Inputs'!$B$32)/1000+'Inputs'!$B$21+'Inputs'!$B$7+'Inputs'!$B$10))/SQRT((((130-43)*MAX('Inputs'!$B$33,'Inputs'!$B$29+'Inputs'!$B$31+'Inputs'!$B$32,'Inputs'!$B$30+'Inputs'!$B$31+'Inputs'!$B$32)/1000+'Inputs'!$B$21+'Inputs'!$B$7+'Inputs'!$B$10))^2+('Inputs'!$B$8/2)^2))))*'Results'!$B$8)+'Inputs'!$B$28*ABS((('Results'!B7*(1+'Inputs'!$B$24)*(0.5*((((130-43)*MAX('Inputs'!$B$33,'Inputs'!$B$29+'Inputs'!$B$31+'Inputs'!$B$32,'Inputs'!$B$30+'Inputs'!$B$31+'Inputs'!$B$32)/1000+'Inputs'!$B$21)+'Inputs'!$B$7)/SQRT((((130-43)*MAX('Inputs'!$B$33,'Inputs'!$B$29+'Inputs'!$B$31+'Inputs'!$B$32,'Inputs'!$B$30+'Inputs'!$B$31+'Inputs'!$B$32)/1000+'Inputs'!$B$21)+'Inputs'!$B$7)^2+('Inputs'!$B$6/2)^2)-(((130-43)*MAX('Inputs'!$B$33,'Inputs'!$B$29+'Inputs'!$B$31+'Inputs'!$B$32,'Inputs'!$B$30+'Inputs'!$B$31+'Inputs'!$B$32)/1000+'Inputs'!$B$21))/SQRT((((130-43)*MAX('Inputs'!$B$33,'Inputs'!$B$29+'Inputs'!$B$31+'Inputs'!$B$32,'Inputs'!$B$30+'Inputs'!$B$31+'Inputs'!$B$32)/1000+'Inputs'!$B$21))^2+('Inputs'!$B$6/2)^2)))-'Results'!C7*(1-'Inputs'!$B$24)*(0.5*((((130-43)*MAX('Inputs'!$B$33,'Inputs'!$B$29+'Inputs'!$B$31+'Inputs'!$B$32,'Inputs'!$B$30+'Inputs'!$B$31+'Inputs'!$B$32)/1000+'Inputs'!$B$21+'Inputs'!$B$7+'Inputs'!$B$10)+'Inputs'!$B$9)/SQRT((((130-43)*MAX('Inputs'!$B$33,'Inputs'!$B$29+'Inputs'!$B$31+'Inputs'!$B$32,'Inputs'!$B$30+'Inputs'!$B$31+'Inputs'!$B$32)/1000+'Inputs'!$B$21+'Inputs'!$B$7+'Inputs'!$B$10)+'Inputs'!$B$9)^2+('Inputs'!$B$8/2)^2)-(((130-43)*MAX('Inputs'!$B$33,'Inputs'!$B$29+'Inputs'!$B$31+'Inputs'!$B$32,'Inputs'!$B$30+'Inputs'!$B$31+'Inputs'!$B$32)/1000+'Inputs'!$B$21+'Inputs'!$B$7+'Inputs'!$B$10))/SQRT((((130-43)*MAX('Inputs'!$B$33,'Inputs'!$B$29+'Inputs'!$B$31+'Inputs'!$B$32,'Inputs'!$B$30+'Inputs'!$B$31+'Inputs'!$B$32)/1000+'Inputs'!$B$21+'Inputs'!$B$7+'Inputs'!$B$10))^2+('Inputs'!$B$8/2)^2))))*'Results'!$B$8))),"")</x:f>
        <x:v>515.15698549596</x:v>
      </x:c>
      <x:c r="M130" t="n">
        <x:f>IF(AND(ISNUMBER('Results'!C7),ISNUMBER('Results'!B7),ISNUMBER('Results'!$B$8),ISNUMBER('Inputs'!$B$6),ISNUMBER('Inputs'!$B$7),ISNUMBER('Inputs'!$B$8),ISNUMBER('Inputs'!$B$9),ISNUMBER('Inputs'!$B$10),ISNUMBER('Inputs'!$B$21),ISNUMBER('Inputs'!$B$24),ISNUMBER('Inputs'!$B$28)),(('Results'!C7*(0.5*((((130-43)*MAX('Inputs'!$B$33,'Inputs'!$B$29+'Inputs'!$B$31+'Inputs'!$B$32,'Inputs'!$B$30+'Inputs'!$B$31+'Inputs'!$B$32)/1000+'Inputs'!$B$21)+'Inputs'!$B$9)/SQRT((((130-43)*MAX('Inputs'!$B$33,'Inputs'!$B$29+'Inputs'!$B$31+'Inputs'!$B$32,'Inputs'!$B$30+'Inputs'!$B$31+'Inputs'!$B$32)/1000+'Inputs'!$B$21)+'Inputs'!$B$9)^2+('Inputs'!$B$8/2)^2)-(((130-43)*MAX('Inputs'!$B$33,'Inputs'!$B$29+'Inputs'!$B$31+'Inputs'!$B$32,'Inputs'!$B$30+'Inputs'!$B$31+'Inputs'!$B$32)/1000+'Inputs'!$B$21))/SQRT((((130-43)*MAX('Inputs'!$B$33,'Inputs'!$B$29+'Inputs'!$B$31+'Inputs'!$B$32,'Inputs'!$B$30+'Inputs'!$B$31+'Inputs'!$B$32)/1000+'Inputs'!$B$21))^2+('Inputs'!$B$8/2)^2)))-'Results'!B7*(0.5*((((130-43)*MAX('Inputs'!$B$33,'Inputs'!$B$29+'Inputs'!$B$31+'Inputs'!$B$32,'Inputs'!$B$30+'Inputs'!$B$31+'Inputs'!$B$32)/1000+'Inputs'!$B$21+'Inputs'!$B$9+'Inputs'!$B$10)+'Inputs'!$B$7)/SQRT((((130-43)*MAX('Inputs'!$B$33,'Inputs'!$B$29+'Inputs'!$B$31+'Inputs'!$B$32,'Inputs'!$B$30+'Inputs'!$B$31+'Inputs'!$B$32)/1000+'Inputs'!$B$21+'Inputs'!$B$9+'Inputs'!$B$10)+'Inputs'!$B$7)^2+('Inputs'!$B$6/2)^2)-(((130-43)*MAX('Inputs'!$B$33,'Inputs'!$B$29+'Inputs'!$B$31+'Inputs'!$B$32,'Inputs'!$B$30+'Inputs'!$B$31+'Inputs'!$B$32)/1000+'Inputs'!$B$21+'Inputs'!$B$9+'Inputs'!$B$10))/SQRT((((130-43)*MAX('Inputs'!$B$33,'Inputs'!$B$29+'Inputs'!$B$31+'Inputs'!$B$32,'Inputs'!$B$30+'Inputs'!$B$31+'Inputs'!$B$32)/1000+'Inputs'!$B$21+'Inputs'!$B$9+'Inputs'!$B$10))^2+('Inputs'!$B$6/2)^2))))*'Results'!$B$8),"")</x:f>
        <x:v>463.3986768912427</x:v>
      </x:c>
      <x:c r="N130" t="n">
        <x:f>IF(AND(ISNUMBER('Results'!C7),ISNUMBER('Results'!B7),ISNUMBER('Results'!$B$8),ISNUMBER('Inputs'!$B$6),ISNUMBER('Inputs'!$B$7),ISNUMBER('Inputs'!$B$8),ISNUMBER('Inputs'!$B$9),ISNUMBER('Inputs'!$B$10),ISNUMBER('Inputs'!$B$21),ISNUMBER('Inputs'!$B$24),ISNUMBER('Inputs'!$B$28)),((('Results'!C7*(1-'Inputs'!$B$24)*(0.5*((((130-43)*MAX('Inputs'!$B$33,'Inputs'!$B$29+'Inputs'!$B$31+'Inputs'!$B$32,'Inputs'!$B$30+'Inputs'!$B$31+'Inputs'!$B$32)/1000+'Inputs'!$B$21)+'Inputs'!$B$9)/SQRT((((130-43)*MAX('Inputs'!$B$33,'Inputs'!$B$29+'Inputs'!$B$31+'Inputs'!$B$32,'Inputs'!$B$30+'Inputs'!$B$31+'Inputs'!$B$32)/1000+'Inputs'!$B$21)+'Inputs'!$B$9)^2+('Inputs'!$B$8/2)^2)-(((130-43)*MAX('Inputs'!$B$33,'Inputs'!$B$29+'Inputs'!$B$31+'Inputs'!$B$32,'Inputs'!$B$30+'Inputs'!$B$31+'Inputs'!$B$32)/1000+'Inputs'!$B$21))/SQRT((((130-43)*MAX('Inputs'!$B$33,'Inputs'!$B$29+'Inputs'!$B$31+'Inputs'!$B$32,'Inputs'!$B$30+'Inputs'!$B$31+'Inputs'!$B$32)/1000+'Inputs'!$B$21))^2+('Inputs'!$B$8/2)^2)))-'Results'!B7*(1+'Inputs'!$B$24)*(0.5*((((130-43)*MAX('Inputs'!$B$33,'Inputs'!$B$29+'Inputs'!$B$31+'Inputs'!$B$32,'Inputs'!$B$30+'Inputs'!$B$31+'Inputs'!$B$32)/1000+'Inputs'!$B$21+'Inputs'!$B$9+'Inputs'!$B$10)+'Inputs'!$B$7)/SQRT((((130-43)*MAX('Inputs'!$B$33,'Inputs'!$B$29+'Inputs'!$B$31+'Inputs'!$B$32,'Inputs'!$B$30+'Inputs'!$B$31+'Inputs'!$B$32)/1000+'Inputs'!$B$21+'Inputs'!$B$9+'Inputs'!$B$10)+'Inputs'!$B$7)^2+('Inputs'!$B$6/2)^2)-(((130-43)*MAX('Inputs'!$B$33,'Inputs'!$B$29+'Inputs'!$B$31+'Inputs'!$B$32,'Inputs'!$B$30+'Inputs'!$B$31+'Inputs'!$B$32)/1000+'Inputs'!$B$21+'Inputs'!$B$9+'Inputs'!$B$10))/SQRT((((130-43)*MAX('Inputs'!$B$33,'Inputs'!$B$29+'Inputs'!$B$31+'Inputs'!$B$32,'Inputs'!$B$30+'Inputs'!$B$31+'Inputs'!$B$32)/1000+'Inputs'!$B$21+'Inputs'!$B$9+'Inputs'!$B$10))^2+('Inputs'!$B$6/2)^2))))*'Results'!$B$8)-'Inputs'!$B$28*ABS((('Results'!C7*(1-'Inputs'!$B$24)*(0.5*((((130-43)*MAX('Inputs'!$B$33,'Inputs'!$B$29+'Inputs'!$B$31+'Inputs'!$B$32,'Inputs'!$B$30+'Inputs'!$B$31+'Inputs'!$B$32)/1000+'Inputs'!$B$21)+'Inputs'!$B$9)/SQRT((((130-43)*MAX('Inputs'!$B$33,'Inputs'!$B$29+'Inputs'!$B$31+'Inputs'!$B$32,'Inputs'!$B$30+'Inputs'!$B$31+'Inputs'!$B$32)/1000+'Inputs'!$B$21)+'Inputs'!$B$9)^2+('Inputs'!$B$8/2)^2)-(((130-43)*MAX('Inputs'!$B$33,'Inputs'!$B$29+'Inputs'!$B$31+'Inputs'!$B$32,'Inputs'!$B$30+'Inputs'!$B$31+'Inputs'!$B$32)/1000+'Inputs'!$B$21))/SQRT((((130-43)*MAX('Inputs'!$B$33,'Inputs'!$B$29+'Inputs'!$B$31+'Inputs'!$B$32,'Inputs'!$B$30+'Inputs'!$B$31+'Inputs'!$B$32)/1000+'Inputs'!$B$21))^2+('Inputs'!$B$8/2)^2)))-'Results'!B7*(1+'Inputs'!$B$24)*(0.5*((((130-43)*MAX('Inputs'!$B$33,'Inputs'!$B$29+'Inputs'!$B$31+'Inputs'!$B$32,'Inputs'!$B$30+'Inputs'!$B$31+'Inputs'!$B$32)/1000+'Inputs'!$B$21+'Inputs'!$B$9+'Inputs'!$B$10)+'Inputs'!$B$7)/SQRT((((130-43)*MAX('Inputs'!$B$33,'Inputs'!$B$29+'Inputs'!$B$31+'Inputs'!$B$32,'Inputs'!$B$30+'Inputs'!$B$31+'Inputs'!$B$32)/1000+'Inputs'!$B$21+'Inputs'!$B$9+'Inputs'!$B$10)+'Inputs'!$B$7)^2+('Inputs'!$B$6/2)^2)-(((130-43)*MAX('Inputs'!$B$33,'Inputs'!$B$29+'Inputs'!$B$31+'Inputs'!$B$32,'Inputs'!$B$30+'Inputs'!$B$31+'Inputs'!$B$32)/1000+'Inputs'!$B$21+'Inputs'!$B$9+'Inputs'!$B$10))/SQRT((((130-43)*MAX('Inputs'!$B$33,'Inputs'!$B$29+'Inputs'!$B$31+'Inputs'!$B$32,'Inputs'!$B$30+'Inputs'!$B$31+'Inputs'!$B$32)/1000+'Inputs'!$B$21+'Inputs'!$B$9+'Inputs'!$B$10))^2+('Inputs'!$B$6/2)^2))))*'Results'!$B$8))),"")</x:f>
        <x:v>427.49603437591196</x:v>
      </x:c>
      <x:c r="O130" t="n">
        <x:f>IF(AND(ISNUMBER('Results'!C7),ISNUMBER('Results'!B7),ISNUMBER('Results'!$B$8),ISNUMBER('Inputs'!$B$6),ISNUMBER('Inputs'!$B$7),ISNUMBER('Inputs'!$B$8),ISNUMBER('Inputs'!$B$9),ISNUMBER('Inputs'!$B$10),ISNUMBER('Inputs'!$B$21),ISNUMBER('Inputs'!$B$24),ISNUMBER('Inputs'!$B$28)),((('Results'!C7*(1+'Inputs'!$B$24)*(0.5*((((130-43)*MAX('Inputs'!$B$33,'Inputs'!$B$29+'Inputs'!$B$31+'Inputs'!$B$32,'Inputs'!$B$30+'Inputs'!$B$31+'Inputs'!$B$32)/1000+'Inputs'!$B$21)+'Inputs'!$B$9)/SQRT((((130-43)*MAX('Inputs'!$B$33,'Inputs'!$B$29+'Inputs'!$B$31+'Inputs'!$B$32,'Inputs'!$B$30+'Inputs'!$B$31+'Inputs'!$B$32)/1000+'Inputs'!$B$21)+'Inputs'!$B$9)^2+('Inputs'!$B$8/2)^2)-(((130-43)*MAX('Inputs'!$B$33,'Inputs'!$B$29+'Inputs'!$B$31+'Inputs'!$B$32,'Inputs'!$B$30+'Inputs'!$B$31+'Inputs'!$B$32)/1000+'Inputs'!$B$21))/SQRT((((130-43)*MAX('Inputs'!$B$33,'Inputs'!$B$29+'Inputs'!$B$31+'Inputs'!$B$32,'Inputs'!$B$30+'Inputs'!$B$31+'Inputs'!$B$32)/1000+'Inputs'!$B$21))^2+('Inputs'!$B$8/2)^2)))-'Results'!B7*(1-'Inputs'!$B$24)*(0.5*((((130-43)*MAX('Inputs'!$B$33,'Inputs'!$B$29+'Inputs'!$B$31+'Inputs'!$B$32,'Inputs'!$B$30+'Inputs'!$B$31+'Inputs'!$B$32)/1000+'Inputs'!$B$21+'Inputs'!$B$9+'Inputs'!$B$10)+'Inputs'!$B$7)/SQRT((((130-43)*MAX('Inputs'!$B$33,'Inputs'!$B$29+'Inputs'!$B$31+'Inputs'!$B$32,'Inputs'!$B$30+'Inputs'!$B$31+'Inputs'!$B$32)/1000+'Inputs'!$B$21+'Inputs'!$B$9+'Inputs'!$B$10)+'Inputs'!$B$7)^2+('Inputs'!$B$6/2)^2)-(((130-43)*MAX('Inputs'!$B$33,'Inputs'!$B$29+'Inputs'!$B$31+'Inputs'!$B$32,'Inputs'!$B$30+'Inputs'!$B$31+'Inputs'!$B$32)/1000+'Inputs'!$B$21+'Inputs'!$B$9+'Inputs'!$B$10))/SQRT((((130-43)*MAX('Inputs'!$B$33,'Inputs'!$B$29+'Inputs'!$B$31+'Inputs'!$B$32,'Inputs'!$B$30+'Inputs'!$B$31+'Inputs'!$B$32)/1000+'Inputs'!$B$21+'Inputs'!$B$9+'Inputs'!$B$10))^2+('Inputs'!$B$6/2)^2))))*'Results'!$B$8)+'Inputs'!$B$28*ABS((('Results'!C7*(1+'Inputs'!$B$24)*(0.5*((((130-43)*MAX('Inputs'!$B$33,'Inputs'!$B$29+'Inputs'!$B$31+'Inputs'!$B$32,'Inputs'!$B$30+'Inputs'!$B$31+'Inputs'!$B$32)/1000+'Inputs'!$B$21)+'Inputs'!$B$9)/SQRT((((130-43)*MAX('Inputs'!$B$33,'Inputs'!$B$29+'Inputs'!$B$31+'Inputs'!$B$32,'Inputs'!$B$30+'Inputs'!$B$31+'Inputs'!$B$32)/1000+'Inputs'!$B$21)+'Inputs'!$B$9)^2+('Inputs'!$B$8/2)^2)-(((130-43)*MAX('Inputs'!$B$33,'Inputs'!$B$29+'Inputs'!$B$31+'Inputs'!$B$32,'Inputs'!$B$30+'Inputs'!$B$31+'Inputs'!$B$32)/1000+'Inputs'!$B$21))/SQRT((((130-43)*MAX('Inputs'!$B$33,'Inputs'!$B$29+'Inputs'!$B$31+'Inputs'!$B$32,'Inputs'!$B$30+'Inputs'!$B$31+'Inputs'!$B$32)/1000+'Inputs'!$B$21))^2+('Inputs'!$B$8/2)^2)))-'Results'!B7*(1-'Inputs'!$B$24)*(0.5*((((130-43)*MAX('Inputs'!$B$33,'Inputs'!$B$29+'Inputs'!$B$31+'Inputs'!$B$32,'Inputs'!$B$30+'Inputs'!$B$31+'Inputs'!$B$32)/1000+'Inputs'!$B$21+'Inputs'!$B$9+'Inputs'!$B$10)+'Inputs'!$B$7)/SQRT((((130-43)*MAX('Inputs'!$B$33,'Inputs'!$B$29+'Inputs'!$B$31+'Inputs'!$B$32,'Inputs'!$B$30+'Inputs'!$B$31+'Inputs'!$B$32)/1000+'Inputs'!$B$21+'Inputs'!$B$9+'Inputs'!$B$10)+'Inputs'!$B$7)^2+('Inputs'!$B$6/2)^2)-(((130-43)*MAX('Inputs'!$B$33,'Inputs'!$B$29+'Inputs'!$B$31+'Inputs'!$B$32,'Inputs'!$B$30+'Inputs'!$B$31+'Inputs'!$B$32)/1000+'Inputs'!$B$21+'Inputs'!$B$9+'Inputs'!$B$10))/SQRT((((130-43)*MAX('Inputs'!$B$33,'Inputs'!$B$29+'Inputs'!$B$31+'Inputs'!$B$32,'Inputs'!$B$30+'Inputs'!$B$31+'Inputs'!$B$32)/1000+'Inputs'!$B$21+'Inputs'!$B$9+'Inputs'!$B$10))^2+('Inputs'!$B$6/2)^2))))*'Results'!$B$8))),"")</x:f>
        <x:v>500.6416045298124</x:v>
      </x:c>
      <x:c r="P130" t="n">
        <x:f>IF(AND(MAX(J130,J129)&gt;0,J130&gt;J129+0.00000001),1,0)</x:f>
        <x:v>0</x:v>
      </x:c>
      <x:c r="Q130" t="n">
        <x:f>IF(AND(MAX(K130,K129)&gt;0,K130&gt;K129+0.00000001),1,0)</x:f>
        <x:v>0</x:v>
      </x:c>
      <x:c r="R130" t="n">
        <x:f>IF(AND(MAX(L130,L129)&gt;0,L130&gt;L129+0.00000001),1,0)</x:f>
        <x:v>0</x:v>
      </x:c>
      <x:c r="S130" t="n">
        <x:f>IF(AND(MAX(M130,M129)&gt;0,M130&gt;M129+0.00000001),1,0)</x:f>
        <x:v>0</x:v>
      </x:c>
      <x:c r="T130" t="n">
        <x:f>IF(AND(MAX(N130,N129)&gt;0,N130&gt;N129+0.00000001),1,0)</x:f>
        <x:v>0</x:v>
      </x:c>
      <x:c r="U130" t="n">
        <x:f>IF(AND(MAX(O130,O129)&gt;0,O130&gt;O129+0.00000001),1,0)</x:f>
        <x:v>0</x:v>
      </x:c>
    </x:row>
    <x:row r="131">
      <x:c r="J131" t="n">
        <x:f>IF(AND(ISNUMBER('Results'!B7),ISNUMBER('Results'!C7),ISNUMBER('Results'!$B$8),ISNUMBER('Inputs'!$B$6),ISNUMBER('Inputs'!$B$7),ISNUMBER('Inputs'!$B$8),ISNUMBER('Inputs'!$B$9),ISNUMBER('Inputs'!$B$10),ISNUMBER('Inputs'!$B$21),ISNUMBER('Inputs'!$B$24),ISNUMBER('Inputs'!$B$28)),(('Results'!B7*(0.5*((((131-43)*MAX('Inputs'!$B$33,'Inputs'!$B$29+'Inputs'!$B$31+'Inputs'!$B$32,'Inputs'!$B$30+'Inputs'!$B$31+'Inputs'!$B$32)/1000+'Inputs'!$B$21)+'Inputs'!$B$7)/SQRT((((131-43)*MAX('Inputs'!$B$33,'Inputs'!$B$29+'Inputs'!$B$31+'Inputs'!$B$32,'Inputs'!$B$30+'Inputs'!$B$31+'Inputs'!$B$32)/1000+'Inputs'!$B$21)+'Inputs'!$B$7)^2+('Inputs'!$B$6/2)^2)-(((131-43)*MAX('Inputs'!$B$33,'Inputs'!$B$29+'Inputs'!$B$31+'Inputs'!$B$32,'Inputs'!$B$30+'Inputs'!$B$31+'Inputs'!$B$32)/1000+'Inputs'!$B$21))/SQRT((((131-43)*MAX('Inputs'!$B$33,'Inputs'!$B$29+'Inputs'!$B$31+'Inputs'!$B$32,'Inputs'!$B$30+'Inputs'!$B$31+'Inputs'!$B$32)/1000+'Inputs'!$B$21))^2+('Inputs'!$B$6/2)^2)))-'Results'!C7*(0.5*((((131-43)*MAX('Inputs'!$B$33,'Inputs'!$B$29+'Inputs'!$B$31+'Inputs'!$B$32,'Inputs'!$B$30+'Inputs'!$B$31+'Inputs'!$B$32)/1000+'Inputs'!$B$21+'Inputs'!$B$7+'Inputs'!$B$10)+'Inputs'!$B$9)/SQRT((((131-43)*MAX('Inputs'!$B$33,'Inputs'!$B$29+'Inputs'!$B$31+'Inputs'!$B$32,'Inputs'!$B$30+'Inputs'!$B$31+'Inputs'!$B$32)/1000+'Inputs'!$B$21+'Inputs'!$B$7+'Inputs'!$B$10)+'Inputs'!$B$9)^2+('Inputs'!$B$8/2)^2)-(((131-43)*MAX('Inputs'!$B$33,'Inputs'!$B$29+'Inputs'!$B$31+'Inputs'!$B$32,'Inputs'!$B$30+'Inputs'!$B$31+'Inputs'!$B$32)/1000+'Inputs'!$B$21+'Inputs'!$B$7+'Inputs'!$B$10))/SQRT((((131-43)*MAX('Inputs'!$B$33,'Inputs'!$B$29+'Inputs'!$B$31+'Inputs'!$B$32,'Inputs'!$B$30+'Inputs'!$B$31+'Inputs'!$B$32)/1000+'Inputs'!$B$21+'Inputs'!$B$7+'Inputs'!$B$10))^2+('Inputs'!$B$8/2)^2))))*'Results'!$B$8),"")</x:f>
        <x:v>467.86154434823317</x:v>
      </x:c>
      <x:c r="K131" t="n">
        <x:f>IF(AND(ISNUMBER('Results'!B7),ISNUMBER('Results'!C7),ISNUMBER('Results'!$B$8),ISNUMBER('Inputs'!$B$6),ISNUMBER('Inputs'!$B$7),ISNUMBER('Inputs'!$B$8),ISNUMBER('Inputs'!$B$9),ISNUMBER('Inputs'!$B$10),ISNUMBER('Inputs'!$B$21),ISNUMBER('Inputs'!$B$24),ISNUMBER('Inputs'!$B$28)),((('Results'!B7*(1-'Inputs'!$B$24)*(0.5*((((131-43)*MAX('Inputs'!$B$33,'Inputs'!$B$29+'Inputs'!$B$31+'Inputs'!$B$32,'Inputs'!$B$30+'Inputs'!$B$31+'Inputs'!$B$32)/1000+'Inputs'!$B$21)+'Inputs'!$B$7)/SQRT((((131-43)*MAX('Inputs'!$B$33,'Inputs'!$B$29+'Inputs'!$B$31+'Inputs'!$B$32,'Inputs'!$B$30+'Inputs'!$B$31+'Inputs'!$B$32)/1000+'Inputs'!$B$21)+'Inputs'!$B$7)^2+('Inputs'!$B$6/2)^2)-(((131-43)*MAX('Inputs'!$B$33,'Inputs'!$B$29+'Inputs'!$B$31+'Inputs'!$B$32,'Inputs'!$B$30+'Inputs'!$B$31+'Inputs'!$B$32)/1000+'Inputs'!$B$21))/SQRT((((131-43)*MAX('Inputs'!$B$33,'Inputs'!$B$29+'Inputs'!$B$31+'Inputs'!$B$32,'Inputs'!$B$30+'Inputs'!$B$31+'Inputs'!$B$32)/1000+'Inputs'!$B$21))^2+('Inputs'!$B$6/2)^2)))-'Results'!C7*(1+'Inputs'!$B$24)*(0.5*((((131-43)*MAX('Inputs'!$B$33,'Inputs'!$B$29+'Inputs'!$B$31+'Inputs'!$B$32,'Inputs'!$B$30+'Inputs'!$B$31+'Inputs'!$B$32)/1000+'Inputs'!$B$21+'Inputs'!$B$7+'Inputs'!$B$10)+'Inputs'!$B$9)/SQRT((((131-43)*MAX('Inputs'!$B$33,'Inputs'!$B$29+'Inputs'!$B$31+'Inputs'!$B$32,'Inputs'!$B$30+'Inputs'!$B$31+'Inputs'!$B$32)/1000+'Inputs'!$B$21+'Inputs'!$B$7+'Inputs'!$B$10)+'Inputs'!$B$9)^2+('Inputs'!$B$8/2)^2)-(((131-43)*MAX('Inputs'!$B$33,'Inputs'!$B$29+'Inputs'!$B$31+'Inputs'!$B$32,'Inputs'!$B$30+'Inputs'!$B$31+'Inputs'!$B$32)/1000+'Inputs'!$B$21+'Inputs'!$B$7+'Inputs'!$B$10))/SQRT((((131-43)*MAX('Inputs'!$B$33,'Inputs'!$B$29+'Inputs'!$B$31+'Inputs'!$B$32,'Inputs'!$B$30+'Inputs'!$B$31+'Inputs'!$B$32)/1000+'Inputs'!$B$21+'Inputs'!$B$7+'Inputs'!$B$10))^2+('Inputs'!$B$8/2)^2))))*'Results'!$B$8)-'Inputs'!$B$28*ABS((('Results'!B7*(1-'Inputs'!$B$24)*(0.5*((((131-43)*MAX('Inputs'!$B$33,'Inputs'!$B$29+'Inputs'!$B$31+'Inputs'!$B$32,'Inputs'!$B$30+'Inputs'!$B$31+'Inputs'!$B$32)/1000+'Inputs'!$B$21)+'Inputs'!$B$7)/SQRT((((131-43)*MAX('Inputs'!$B$33,'Inputs'!$B$29+'Inputs'!$B$31+'Inputs'!$B$32,'Inputs'!$B$30+'Inputs'!$B$31+'Inputs'!$B$32)/1000+'Inputs'!$B$21)+'Inputs'!$B$7)^2+('Inputs'!$B$6/2)^2)-(((131-43)*MAX('Inputs'!$B$33,'Inputs'!$B$29+'Inputs'!$B$31+'Inputs'!$B$32,'Inputs'!$B$30+'Inputs'!$B$31+'Inputs'!$B$32)/1000+'Inputs'!$B$21))/SQRT((((131-43)*MAX('Inputs'!$B$33,'Inputs'!$B$29+'Inputs'!$B$31+'Inputs'!$B$32,'Inputs'!$B$30+'Inputs'!$B$31+'Inputs'!$B$32)/1000+'Inputs'!$B$21))^2+('Inputs'!$B$6/2)^2)))-'Results'!C7*(1+'Inputs'!$B$24)*(0.5*((((131-43)*MAX('Inputs'!$B$33,'Inputs'!$B$29+'Inputs'!$B$31+'Inputs'!$B$32,'Inputs'!$B$30+'Inputs'!$B$31+'Inputs'!$B$32)/1000+'Inputs'!$B$21+'Inputs'!$B$7+'Inputs'!$B$10)+'Inputs'!$B$9)/SQRT((((131-43)*MAX('Inputs'!$B$33,'Inputs'!$B$29+'Inputs'!$B$31+'Inputs'!$B$32,'Inputs'!$B$30+'Inputs'!$B$31+'Inputs'!$B$32)/1000+'Inputs'!$B$21+'Inputs'!$B$7+'Inputs'!$B$10)+'Inputs'!$B$9)^2+('Inputs'!$B$8/2)^2)-(((131-43)*MAX('Inputs'!$B$33,'Inputs'!$B$29+'Inputs'!$B$31+'Inputs'!$B$32,'Inputs'!$B$30+'Inputs'!$B$31+'Inputs'!$B$32)/1000+'Inputs'!$B$21+'Inputs'!$B$7+'Inputs'!$B$10))/SQRT((((131-43)*MAX('Inputs'!$B$33,'Inputs'!$B$29+'Inputs'!$B$31+'Inputs'!$B$32,'Inputs'!$B$30+'Inputs'!$B$31+'Inputs'!$B$32)/1000+'Inputs'!$B$21+'Inputs'!$B$7+'Inputs'!$B$10))^2+('Inputs'!$B$8/2)^2))))*'Results'!$B$8))),"")</x:f>
        <x:v>431.77568019547243</x:v>
      </x:c>
      <x:c r="L131" t="n">
        <x:f>IF(AND(ISNUMBER('Results'!B7),ISNUMBER('Results'!C7),ISNUMBER('Results'!$B$8),ISNUMBER('Inputs'!$B$6),ISNUMBER('Inputs'!$B$7),ISNUMBER('Inputs'!$B$8),ISNUMBER('Inputs'!$B$9),ISNUMBER('Inputs'!$B$10),ISNUMBER('Inputs'!$B$21),ISNUMBER('Inputs'!$B$24),ISNUMBER('Inputs'!$B$28)),((('Results'!B7*(1+'Inputs'!$B$24)*(0.5*((((131-43)*MAX('Inputs'!$B$33,'Inputs'!$B$29+'Inputs'!$B$31+'Inputs'!$B$32,'Inputs'!$B$30+'Inputs'!$B$31+'Inputs'!$B$32)/1000+'Inputs'!$B$21)+'Inputs'!$B$7)/SQRT((((131-43)*MAX('Inputs'!$B$33,'Inputs'!$B$29+'Inputs'!$B$31+'Inputs'!$B$32,'Inputs'!$B$30+'Inputs'!$B$31+'Inputs'!$B$32)/1000+'Inputs'!$B$21)+'Inputs'!$B$7)^2+('Inputs'!$B$6/2)^2)-(((131-43)*MAX('Inputs'!$B$33,'Inputs'!$B$29+'Inputs'!$B$31+'Inputs'!$B$32,'Inputs'!$B$30+'Inputs'!$B$31+'Inputs'!$B$32)/1000+'Inputs'!$B$21))/SQRT((((131-43)*MAX('Inputs'!$B$33,'Inputs'!$B$29+'Inputs'!$B$31+'Inputs'!$B$32,'Inputs'!$B$30+'Inputs'!$B$31+'Inputs'!$B$32)/1000+'Inputs'!$B$21))^2+('Inputs'!$B$6/2)^2)))-'Results'!C7*(1-'Inputs'!$B$24)*(0.5*((((131-43)*MAX('Inputs'!$B$33,'Inputs'!$B$29+'Inputs'!$B$31+'Inputs'!$B$32,'Inputs'!$B$30+'Inputs'!$B$31+'Inputs'!$B$32)/1000+'Inputs'!$B$21+'Inputs'!$B$7+'Inputs'!$B$10)+'Inputs'!$B$9)/SQRT((((131-43)*MAX('Inputs'!$B$33,'Inputs'!$B$29+'Inputs'!$B$31+'Inputs'!$B$32,'Inputs'!$B$30+'Inputs'!$B$31+'Inputs'!$B$32)/1000+'Inputs'!$B$21+'Inputs'!$B$7+'Inputs'!$B$10)+'Inputs'!$B$9)^2+('Inputs'!$B$8/2)^2)-(((131-43)*MAX('Inputs'!$B$33,'Inputs'!$B$29+'Inputs'!$B$31+'Inputs'!$B$32,'Inputs'!$B$30+'Inputs'!$B$31+'Inputs'!$B$32)/1000+'Inputs'!$B$21+'Inputs'!$B$7+'Inputs'!$B$10))/SQRT((((131-43)*MAX('Inputs'!$B$33,'Inputs'!$B$29+'Inputs'!$B$31+'Inputs'!$B$32,'Inputs'!$B$30+'Inputs'!$B$31+'Inputs'!$B$32)/1000+'Inputs'!$B$21+'Inputs'!$B$7+'Inputs'!$B$10))^2+('Inputs'!$B$8/2)^2))))*'Results'!$B$8)+'Inputs'!$B$28*ABS((('Results'!B7*(1+'Inputs'!$B$24)*(0.5*((((131-43)*MAX('Inputs'!$B$33,'Inputs'!$B$29+'Inputs'!$B$31+'Inputs'!$B$32,'Inputs'!$B$30+'Inputs'!$B$31+'Inputs'!$B$32)/1000+'Inputs'!$B$21)+'Inputs'!$B$7)/SQRT((((131-43)*MAX('Inputs'!$B$33,'Inputs'!$B$29+'Inputs'!$B$31+'Inputs'!$B$32,'Inputs'!$B$30+'Inputs'!$B$31+'Inputs'!$B$32)/1000+'Inputs'!$B$21)+'Inputs'!$B$7)^2+('Inputs'!$B$6/2)^2)-(((131-43)*MAX('Inputs'!$B$33,'Inputs'!$B$29+'Inputs'!$B$31+'Inputs'!$B$32,'Inputs'!$B$30+'Inputs'!$B$31+'Inputs'!$B$32)/1000+'Inputs'!$B$21))/SQRT((((131-43)*MAX('Inputs'!$B$33,'Inputs'!$B$29+'Inputs'!$B$31+'Inputs'!$B$32,'Inputs'!$B$30+'Inputs'!$B$31+'Inputs'!$B$32)/1000+'Inputs'!$B$21))^2+('Inputs'!$B$6/2)^2)))-'Results'!C7*(1-'Inputs'!$B$24)*(0.5*((((131-43)*MAX('Inputs'!$B$33,'Inputs'!$B$29+'Inputs'!$B$31+'Inputs'!$B$32,'Inputs'!$B$30+'Inputs'!$B$31+'Inputs'!$B$32)/1000+'Inputs'!$B$21+'Inputs'!$B$7+'Inputs'!$B$10)+'Inputs'!$B$9)/SQRT((((131-43)*MAX('Inputs'!$B$33,'Inputs'!$B$29+'Inputs'!$B$31+'Inputs'!$B$32,'Inputs'!$B$30+'Inputs'!$B$31+'Inputs'!$B$32)/1000+'Inputs'!$B$21+'Inputs'!$B$7+'Inputs'!$B$10)+'Inputs'!$B$9)^2+('Inputs'!$B$8/2)^2)-(((131-43)*MAX('Inputs'!$B$33,'Inputs'!$B$29+'Inputs'!$B$31+'Inputs'!$B$32,'Inputs'!$B$30+'Inputs'!$B$31+'Inputs'!$B$32)/1000+'Inputs'!$B$21+'Inputs'!$B$7+'Inputs'!$B$10))/SQRT((((131-43)*MAX('Inputs'!$B$33,'Inputs'!$B$29+'Inputs'!$B$31+'Inputs'!$B$32,'Inputs'!$B$30+'Inputs'!$B$31+'Inputs'!$B$32)/1000+'Inputs'!$B$21+'Inputs'!$B$7+'Inputs'!$B$10))^2+('Inputs'!$B$8/2)^2))))*'Results'!$B$8))),"")</x:f>
        <x:v>505.28349133629365</x:v>
      </x:c>
      <x:c r="M131" t="n">
        <x:f>IF(AND(ISNUMBER('Results'!C7),ISNUMBER('Results'!B7),ISNUMBER('Results'!$B$8),ISNUMBER('Inputs'!$B$6),ISNUMBER('Inputs'!$B$7),ISNUMBER('Inputs'!$B$8),ISNUMBER('Inputs'!$B$9),ISNUMBER('Inputs'!$B$10),ISNUMBER('Inputs'!$B$21),ISNUMBER('Inputs'!$B$24),ISNUMBER('Inputs'!$B$28)),(('Results'!C7*(0.5*((((131-43)*MAX('Inputs'!$B$33,'Inputs'!$B$29+'Inputs'!$B$31+'Inputs'!$B$32,'Inputs'!$B$30+'Inputs'!$B$31+'Inputs'!$B$32)/1000+'Inputs'!$B$21)+'Inputs'!$B$9)/SQRT((((131-43)*MAX('Inputs'!$B$33,'Inputs'!$B$29+'Inputs'!$B$31+'Inputs'!$B$32,'Inputs'!$B$30+'Inputs'!$B$31+'Inputs'!$B$32)/1000+'Inputs'!$B$21)+'Inputs'!$B$9)^2+('Inputs'!$B$8/2)^2)-(((131-43)*MAX('Inputs'!$B$33,'Inputs'!$B$29+'Inputs'!$B$31+'Inputs'!$B$32,'Inputs'!$B$30+'Inputs'!$B$31+'Inputs'!$B$32)/1000+'Inputs'!$B$21))/SQRT((((131-43)*MAX('Inputs'!$B$33,'Inputs'!$B$29+'Inputs'!$B$31+'Inputs'!$B$32,'Inputs'!$B$30+'Inputs'!$B$31+'Inputs'!$B$32)/1000+'Inputs'!$B$21))^2+('Inputs'!$B$8/2)^2)))-'Results'!B7*(0.5*((((131-43)*MAX('Inputs'!$B$33,'Inputs'!$B$29+'Inputs'!$B$31+'Inputs'!$B$32,'Inputs'!$B$30+'Inputs'!$B$31+'Inputs'!$B$32)/1000+'Inputs'!$B$21+'Inputs'!$B$9+'Inputs'!$B$10)+'Inputs'!$B$7)/SQRT((((131-43)*MAX('Inputs'!$B$33,'Inputs'!$B$29+'Inputs'!$B$31+'Inputs'!$B$32,'Inputs'!$B$30+'Inputs'!$B$31+'Inputs'!$B$32)/1000+'Inputs'!$B$21+'Inputs'!$B$9+'Inputs'!$B$10)+'Inputs'!$B$7)^2+('Inputs'!$B$6/2)^2)-(((131-43)*MAX('Inputs'!$B$33,'Inputs'!$B$29+'Inputs'!$B$31+'Inputs'!$B$32,'Inputs'!$B$30+'Inputs'!$B$31+'Inputs'!$B$32)/1000+'Inputs'!$B$21+'Inputs'!$B$9+'Inputs'!$B$10))/SQRT((((131-43)*MAX('Inputs'!$B$33,'Inputs'!$B$29+'Inputs'!$B$31+'Inputs'!$B$32,'Inputs'!$B$30+'Inputs'!$B$31+'Inputs'!$B$32)/1000+'Inputs'!$B$21+'Inputs'!$B$9+'Inputs'!$B$10))^2+('Inputs'!$B$6/2)^2))))*'Results'!$B$8),"")</x:f>
        <x:v>454.4598629598665</x:v>
      </x:c>
      <x:c r="N131" t="n">
        <x:f>IF(AND(ISNUMBER('Results'!C7),ISNUMBER('Results'!B7),ISNUMBER('Results'!$B$8),ISNUMBER('Inputs'!$B$6),ISNUMBER('Inputs'!$B$7),ISNUMBER('Inputs'!$B$8),ISNUMBER('Inputs'!$B$9),ISNUMBER('Inputs'!$B$10),ISNUMBER('Inputs'!$B$21),ISNUMBER('Inputs'!$B$24),ISNUMBER('Inputs'!$B$28)),((('Results'!C7*(1-'Inputs'!$B$24)*(0.5*((((131-43)*MAX('Inputs'!$B$33,'Inputs'!$B$29+'Inputs'!$B$31+'Inputs'!$B$32,'Inputs'!$B$30+'Inputs'!$B$31+'Inputs'!$B$32)/1000+'Inputs'!$B$21)+'Inputs'!$B$9)/SQRT((((131-43)*MAX('Inputs'!$B$33,'Inputs'!$B$29+'Inputs'!$B$31+'Inputs'!$B$32,'Inputs'!$B$30+'Inputs'!$B$31+'Inputs'!$B$32)/1000+'Inputs'!$B$21)+'Inputs'!$B$9)^2+('Inputs'!$B$8/2)^2)-(((131-43)*MAX('Inputs'!$B$33,'Inputs'!$B$29+'Inputs'!$B$31+'Inputs'!$B$32,'Inputs'!$B$30+'Inputs'!$B$31+'Inputs'!$B$32)/1000+'Inputs'!$B$21))/SQRT((((131-43)*MAX('Inputs'!$B$33,'Inputs'!$B$29+'Inputs'!$B$31+'Inputs'!$B$32,'Inputs'!$B$30+'Inputs'!$B$31+'Inputs'!$B$32)/1000+'Inputs'!$B$21))^2+('Inputs'!$B$8/2)^2)))-'Results'!B7*(1+'Inputs'!$B$24)*(0.5*((((131-43)*MAX('Inputs'!$B$33,'Inputs'!$B$29+'Inputs'!$B$31+'Inputs'!$B$32,'Inputs'!$B$30+'Inputs'!$B$31+'Inputs'!$B$32)/1000+'Inputs'!$B$21+'Inputs'!$B$9+'Inputs'!$B$10)+'Inputs'!$B$7)/SQRT((((131-43)*MAX('Inputs'!$B$33,'Inputs'!$B$29+'Inputs'!$B$31+'Inputs'!$B$32,'Inputs'!$B$30+'Inputs'!$B$31+'Inputs'!$B$32)/1000+'Inputs'!$B$21+'Inputs'!$B$9+'Inputs'!$B$10)+'Inputs'!$B$7)^2+('Inputs'!$B$6/2)^2)-(((131-43)*MAX('Inputs'!$B$33,'Inputs'!$B$29+'Inputs'!$B$31+'Inputs'!$B$32,'Inputs'!$B$30+'Inputs'!$B$31+'Inputs'!$B$32)/1000+'Inputs'!$B$21+'Inputs'!$B$9+'Inputs'!$B$10))/SQRT((((131-43)*MAX('Inputs'!$B$33,'Inputs'!$B$29+'Inputs'!$B$31+'Inputs'!$B$32,'Inputs'!$B$30+'Inputs'!$B$31+'Inputs'!$B$32)/1000+'Inputs'!$B$21+'Inputs'!$B$9+'Inputs'!$B$10))^2+('Inputs'!$B$6/2)^2))))*'Results'!$B$8)-'Inputs'!$B$28*ABS((('Results'!C7*(1-'Inputs'!$B$24)*(0.5*((((131-43)*MAX('Inputs'!$B$33,'Inputs'!$B$29+'Inputs'!$B$31+'Inputs'!$B$32,'Inputs'!$B$30+'Inputs'!$B$31+'Inputs'!$B$32)/1000+'Inputs'!$B$21)+'Inputs'!$B$9)/SQRT((((131-43)*MAX('Inputs'!$B$33,'Inputs'!$B$29+'Inputs'!$B$31+'Inputs'!$B$32,'Inputs'!$B$30+'Inputs'!$B$31+'Inputs'!$B$32)/1000+'Inputs'!$B$21)+'Inputs'!$B$9)^2+('Inputs'!$B$8/2)^2)-(((131-43)*MAX('Inputs'!$B$33,'Inputs'!$B$29+'Inputs'!$B$31+'Inputs'!$B$32,'Inputs'!$B$30+'Inputs'!$B$31+'Inputs'!$B$32)/1000+'Inputs'!$B$21))/SQRT((((131-43)*MAX('Inputs'!$B$33,'Inputs'!$B$29+'Inputs'!$B$31+'Inputs'!$B$32,'Inputs'!$B$30+'Inputs'!$B$31+'Inputs'!$B$32)/1000+'Inputs'!$B$21))^2+('Inputs'!$B$8/2)^2)))-'Results'!B7*(1+'Inputs'!$B$24)*(0.5*((((131-43)*MAX('Inputs'!$B$33,'Inputs'!$B$29+'Inputs'!$B$31+'Inputs'!$B$32,'Inputs'!$B$30+'Inputs'!$B$31+'Inputs'!$B$32)/1000+'Inputs'!$B$21+'Inputs'!$B$9+'Inputs'!$B$10)+'Inputs'!$B$7)/SQRT((((131-43)*MAX('Inputs'!$B$33,'Inputs'!$B$29+'Inputs'!$B$31+'Inputs'!$B$32,'Inputs'!$B$30+'Inputs'!$B$31+'Inputs'!$B$32)/1000+'Inputs'!$B$21+'Inputs'!$B$9+'Inputs'!$B$10)+'Inputs'!$B$7)^2+('Inputs'!$B$6/2)^2)-(((131-43)*MAX('Inputs'!$B$33,'Inputs'!$B$29+'Inputs'!$B$31+'Inputs'!$B$32,'Inputs'!$B$30+'Inputs'!$B$31+'Inputs'!$B$32)/1000+'Inputs'!$B$21+'Inputs'!$B$9+'Inputs'!$B$10))/SQRT((((131-43)*MAX('Inputs'!$B$33,'Inputs'!$B$29+'Inputs'!$B$31+'Inputs'!$B$32,'Inputs'!$B$30+'Inputs'!$B$31+'Inputs'!$B$32)/1000+'Inputs'!$B$21+'Inputs'!$B$9+'Inputs'!$B$10))^2+('Inputs'!$B$6/2)^2))))*'Results'!$B$8))),"")</x:f>
        <x:v>419.2210940557044</x:v>
      </x:c>
      <x:c r="O131" t="n">
        <x:f>IF(AND(ISNUMBER('Results'!C7),ISNUMBER('Results'!B7),ISNUMBER('Results'!$B$8),ISNUMBER('Inputs'!$B$6),ISNUMBER('Inputs'!$B$7),ISNUMBER('Inputs'!$B$8),ISNUMBER('Inputs'!$B$9),ISNUMBER('Inputs'!$B$10),ISNUMBER('Inputs'!$B$21),ISNUMBER('Inputs'!$B$24),ISNUMBER('Inputs'!$B$28)),((('Results'!C7*(1+'Inputs'!$B$24)*(0.5*((((131-43)*MAX('Inputs'!$B$33,'Inputs'!$B$29+'Inputs'!$B$31+'Inputs'!$B$32,'Inputs'!$B$30+'Inputs'!$B$31+'Inputs'!$B$32)/1000+'Inputs'!$B$21)+'Inputs'!$B$9)/SQRT((((131-43)*MAX('Inputs'!$B$33,'Inputs'!$B$29+'Inputs'!$B$31+'Inputs'!$B$32,'Inputs'!$B$30+'Inputs'!$B$31+'Inputs'!$B$32)/1000+'Inputs'!$B$21)+'Inputs'!$B$9)^2+('Inputs'!$B$8/2)^2)-(((131-43)*MAX('Inputs'!$B$33,'Inputs'!$B$29+'Inputs'!$B$31+'Inputs'!$B$32,'Inputs'!$B$30+'Inputs'!$B$31+'Inputs'!$B$32)/1000+'Inputs'!$B$21))/SQRT((((131-43)*MAX('Inputs'!$B$33,'Inputs'!$B$29+'Inputs'!$B$31+'Inputs'!$B$32,'Inputs'!$B$30+'Inputs'!$B$31+'Inputs'!$B$32)/1000+'Inputs'!$B$21))^2+('Inputs'!$B$8/2)^2)))-'Results'!B7*(1-'Inputs'!$B$24)*(0.5*((((131-43)*MAX('Inputs'!$B$33,'Inputs'!$B$29+'Inputs'!$B$31+'Inputs'!$B$32,'Inputs'!$B$30+'Inputs'!$B$31+'Inputs'!$B$32)/1000+'Inputs'!$B$21+'Inputs'!$B$9+'Inputs'!$B$10)+'Inputs'!$B$7)/SQRT((((131-43)*MAX('Inputs'!$B$33,'Inputs'!$B$29+'Inputs'!$B$31+'Inputs'!$B$32,'Inputs'!$B$30+'Inputs'!$B$31+'Inputs'!$B$32)/1000+'Inputs'!$B$21+'Inputs'!$B$9+'Inputs'!$B$10)+'Inputs'!$B$7)^2+('Inputs'!$B$6/2)^2)-(((131-43)*MAX('Inputs'!$B$33,'Inputs'!$B$29+'Inputs'!$B$31+'Inputs'!$B$32,'Inputs'!$B$30+'Inputs'!$B$31+'Inputs'!$B$32)/1000+'Inputs'!$B$21+'Inputs'!$B$9+'Inputs'!$B$10))/SQRT((((131-43)*MAX('Inputs'!$B$33,'Inputs'!$B$29+'Inputs'!$B$31+'Inputs'!$B$32,'Inputs'!$B$30+'Inputs'!$B$31+'Inputs'!$B$32)/1000+'Inputs'!$B$21+'Inputs'!$B$9+'Inputs'!$B$10))^2+('Inputs'!$B$6/2)^2))))*'Results'!$B$8)+'Inputs'!$B$28*ABS((('Results'!C7*(1+'Inputs'!$B$24)*(0.5*((((131-43)*MAX('Inputs'!$B$33,'Inputs'!$B$29+'Inputs'!$B$31+'Inputs'!$B$32,'Inputs'!$B$30+'Inputs'!$B$31+'Inputs'!$B$32)/1000+'Inputs'!$B$21)+'Inputs'!$B$9)/SQRT((((131-43)*MAX('Inputs'!$B$33,'Inputs'!$B$29+'Inputs'!$B$31+'Inputs'!$B$32,'Inputs'!$B$30+'Inputs'!$B$31+'Inputs'!$B$32)/1000+'Inputs'!$B$21)+'Inputs'!$B$9)^2+('Inputs'!$B$8/2)^2)-(((131-43)*MAX('Inputs'!$B$33,'Inputs'!$B$29+'Inputs'!$B$31+'Inputs'!$B$32,'Inputs'!$B$30+'Inputs'!$B$31+'Inputs'!$B$32)/1000+'Inputs'!$B$21))/SQRT((((131-43)*MAX('Inputs'!$B$33,'Inputs'!$B$29+'Inputs'!$B$31+'Inputs'!$B$32,'Inputs'!$B$30+'Inputs'!$B$31+'Inputs'!$B$32)/1000+'Inputs'!$B$21))^2+('Inputs'!$B$8/2)^2)))-'Results'!B7*(1-'Inputs'!$B$24)*(0.5*((((131-43)*MAX('Inputs'!$B$33,'Inputs'!$B$29+'Inputs'!$B$31+'Inputs'!$B$32,'Inputs'!$B$30+'Inputs'!$B$31+'Inputs'!$B$32)/1000+'Inputs'!$B$21+'Inputs'!$B$9+'Inputs'!$B$10)+'Inputs'!$B$7)/SQRT((((131-43)*MAX('Inputs'!$B$33,'Inputs'!$B$29+'Inputs'!$B$31+'Inputs'!$B$32,'Inputs'!$B$30+'Inputs'!$B$31+'Inputs'!$B$32)/1000+'Inputs'!$B$21+'Inputs'!$B$9+'Inputs'!$B$10)+'Inputs'!$B$7)^2+('Inputs'!$B$6/2)^2)-(((131-43)*MAX('Inputs'!$B$33,'Inputs'!$B$29+'Inputs'!$B$31+'Inputs'!$B$32,'Inputs'!$B$30+'Inputs'!$B$31+'Inputs'!$B$32)/1000+'Inputs'!$B$21+'Inputs'!$B$9+'Inputs'!$B$10))/SQRT((((131-43)*MAX('Inputs'!$B$33,'Inputs'!$B$29+'Inputs'!$B$31+'Inputs'!$B$32,'Inputs'!$B$30+'Inputs'!$B$31+'Inputs'!$B$32)/1000+'Inputs'!$B$21+'Inputs'!$B$9+'Inputs'!$B$10))^2+('Inputs'!$B$6/2)^2))))*'Results'!$B$8))),"")</x:f>
        <x:v>491.0160819436252</x:v>
      </x:c>
      <x:c r="P131" t="n">
        <x:f>IF(AND(MAX(J131,J130)&gt;0,J131&gt;J130+0.00000001),1,0)</x:f>
        <x:v>0</x:v>
      </x:c>
      <x:c r="Q131" t="n">
        <x:f>IF(AND(MAX(K131,K130)&gt;0,K131&gt;K130+0.00000001),1,0)</x:f>
        <x:v>0</x:v>
      </x:c>
      <x:c r="R131" t="n">
        <x:f>IF(AND(MAX(L131,L130)&gt;0,L131&gt;L130+0.00000001),1,0)</x:f>
        <x:v>0</x:v>
      </x:c>
      <x:c r="S131" t="n">
        <x:f>IF(AND(MAX(M131,M130)&gt;0,M131&gt;M130+0.00000001),1,0)</x:f>
        <x:v>0</x:v>
      </x:c>
      <x:c r="T131" t="n">
        <x:f>IF(AND(MAX(N131,N130)&gt;0,N131&gt;N130+0.00000001),1,0)</x:f>
        <x:v>0</x:v>
      </x:c>
      <x:c r="U131" t="n">
        <x:f>IF(AND(MAX(O131,O130)&gt;0,O131&gt;O130+0.00000001),1,0)</x:f>
        <x:v>0</x:v>
      </x:c>
    </x:row>
    <x:row r="132">
      <x:c r="J132" t="n">
        <x:f>IF(AND(ISNUMBER('Results'!B7),ISNUMBER('Results'!C7),ISNUMBER('Results'!$B$8),ISNUMBER('Inputs'!$B$6),ISNUMBER('Inputs'!$B$7),ISNUMBER('Inputs'!$B$8),ISNUMBER('Inputs'!$B$9),ISNUMBER('Inputs'!$B$10),ISNUMBER('Inputs'!$B$21),ISNUMBER('Inputs'!$B$24),ISNUMBER('Inputs'!$B$28)),(('Results'!B7*(0.5*((((132-43)*MAX('Inputs'!$B$33,'Inputs'!$B$29+'Inputs'!$B$31+'Inputs'!$B$32,'Inputs'!$B$30+'Inputs'!$B$31+'Inputs'!$B$32)/1000+'Inputs'!$B$21)+'Inputs'!$B$7)/SQRT((((132-43)*MAX('Inputs'!$B$33,'Inputs'!$B$29+'Inputs'!$B$31+'Inputs'!$B$32,'Inputs'!$B$30+'Inputs'!$B$31+'Inputs'!$B$32)/1000+'Inputs'!$B$21)+'Inputs'!$B$7)^2+('Inputs'!$B$6/2)^2)-(((132-43)*MAX('Inputs'!$B$33,'Inputs'!$B$29+'Inputs'!$B$31+'Inputs'!$B$32,'Inputs'!$B$30+'Inputs'!$B$31+'Inputs'!$B$32)/1000+'Inputs'!$B$21))/SQRT((((132-43)*MAX('Inputs'!$B$33,'Inputs'!$B$29+'Inputs'!$B$31+'Inputs'!$B$32,'Inputs'!$B$30+'Inputs'!$B$31+'Inputs'!$B$32)/1000+'Inputs'!$B$21))^2+('Inputs'!$B$6/2)^2)))-'Results'!C7*(0.5*((((132-43)*MAX('Inputs'!$B$33,'Inputs'!$B$29+'Inputs'!$B$31+'Inputs'!$B$32,'Inputs'!$B$30+'Inputs'!$B$31+'Inputs'!$B$32)/1000+'Inputs'!$B$21+'Inputs'!$B$7+'Inputs'!$B$10)+'Inputs'!$B$9)/SQRT((((132-43)*MAX('Inputs'!$B$33,'Inputs'!$B$29+'Inputs'!$B$31+'Inputs'!$B$32,'Inputs'!$B$30+'Inputs'!$B$31+'Inputs'!$B$32)/1000+'Inputs'!$B$21+'Inputs'!$B$7+'Inputs'!$B$10)+'Inputs'!$B$9)^2+('Inputs'!$B$8/2)^2)-(((132-43)*MAX('Inputs'!$B$33,'Inputs'!$B$29+'Inputs'!$B$31+'Inputs'!$B$32,'Inputs'!$B$30+'Inputs'!$B$31+'Inputs'!$B$32)/1000+'Inputs'!$B$21+'Inputs'!$B$7+'Inputs'!$B$10))/SQRT((((132-43)*MAX('Inputs'!$B$33,'Inputs'!$B$29+'Inputs'!$B$31+'Inputs'!$B$32,'Inputs'!$B$30+'Inputs'!$B$31+'Inputs'!$B$32)/1000+'Inputs'!$B$21+'Inputs'!$B$7+'Inputs'!$B$10))^2+('Inputs'!$B$8/2)^2))))*'Results'!$B$8),"")</x:f>
        <x:v>458.88297831861524</x:v>
      </x:c>
      <x:c r="K132" t="n">
        <x:f>IF(AND(ISNUMBER('Results'!B7),ISNUMBER('Results'!C7),ISNUMBER('Results'!$B$8),ISNUMBER('Inputs'!$B$6),ISNUMBER('Inputs'!$B$7),ISNUMBER('Inputs'!$B$8),ISNUMBER('Inputs'!$B$9),ISNUMBER('Inputs'!$B$10),ISNUMBER('Inputs'!$B$21),ISNUMBER('Inputs'!$B$24),ISNUMBER('Inputs'!$B$28)),((('Results'!B7*(1-'Inputs'!$B$24)*(0.5*((((132-43)*MAX('Inputs'!$B$33,'Inputs'!$B$29+'Inputs'!$B$31+'Inputs'!$B$32,'Inputs'!$B$30+'Inputs'!$B$31+'Inputs'!$B$32)/1000+'Inputs'!$B$21)+'Inputs'!$B$7)/SQRT((((132-43)*MAX('Inputs'!$B$33,'Inputs'!$B$29+'Inputs'!$B$31+'Inputs'!$B$32,'Inputs'!$B$30+'Inputs'!$B$31+'Inputs'!$B$32)/1000+'Inputs'!$B$21)+'Inputs'!$B$7)^2+('Inputs'!$B$6/2)^2)-(((132-43)*MAX('Inputs'!$B$33,'Inputs'!$B$29+'Inputs'!$B$31+'Inputs'!$B$32,'Inputs'!$B$30+'Inputs'!$B$31+'Inputs'!$B$32)/1000+'Inputs'!$B$21))/SQRT((((132-43)*MAX('Inputs'!$B$33,'Inputs'!$B$29+'Inputs'!$B$31+'Inputs'!$B$32,'Inputs'!$B$30+'Inputs'!$B$31+'Inputs'!$B$32)/1000+'Inputs'!$B$21))^2+('Inputs'!$B$6/2)^2)))-'Results'!C7*(1+'Inputs'!$B$24)*(0.5*((((132-43)*MAX('Inputs'!$B$33,'Inputs'!$B$29+'Inputs'!$B$31+'Inputs'!$B$32,'Inputs'!$B$30+'Inputs'!$B$31+'Inputs'!$B$32)/1000+'Inputs'!$B$21+'Inputs'!$B$7+'Inputs'!$B$10)+'Inputs'!$B$9)/SQRT((((132-43)*MAX('Inputs'!$B$33,'Inputs'!$B$29+'Inputs'!$B$31+'Inputs'!$B$32,'Inputs'!$B$30+'Inputs'!$B$31+'Inputs'!$B$32)/1000+'Inputs'!$B$21+'Inputs'!$B$7+'Inputs'!$B$10)+'Inputs'!$B$9)^2+('Inputs'!$B$8/2)^2)-(((132-43)*MAX('Inputs'!$B$33,'Inputs'!$B$29+'Inputs'!$B$31+'Inputs'!$B$32,'Inputs'!$B$30+'Inputs'!$B$31+'Inputs'!$B$32)/1000+'Inputs'!$B$21+'Inputs'!$B$7+'Inputs'!$B$10))/SQRT((((132-43)*MAX('Inputs'!$B$33,'Inputs'!$B$29+'Inputs'!$B$31+'Inputs'!$B$32,'Inputs'!$B$30+'Inputs'!$B$31+'Inputs'!$B$32)/1000+'Inputs'!$B$21+'Inputs'!$B$7+'Inputs'!$B$10))^2+('Inputs'!$B$8/2)^2))))*'Results'!$B$8)-'Inputs'!$B$28*ABS((('Results'!B7*(1-'Inputs'!$B$24)*(0.5*((((132-43)*MAX('Inputs'!$B$33,'Inputs'!$B$29+'Inputs'!$B$31+'Inputs'!$B$32,'Inputs'!$B$30+'Inputs'!$B$31+'Inputs'!$B$32)/1000+'Inputs'!$B$21)+'Inputs'!$B$7)/SQRT((((132-43)*MAX('Inputs'!$B$33,'Inputs'!$B$29+'Inputs'!$B$31+'Inputs'!$B$32,'Inputs'!$B$30+'Inputs'!$B$31+'Inputs'!$B$32)/1000+'Inputs'!$B$21)+'Inputs'!$B$7)^2+('Inputs'!$B$6/2)^2)-(((132-43)*MAX('Inputs'!$B$33,'Inputs'!$B$29+'Inputs'!$B$31+'Inputs'!$B$32,'Inputs'!$B$30+'Inputs'!$B$31+'Inputs'!$B$32)/1000+'Inputs'!$B$21))/SQRT((((132-43)*MAX('Inputs'!$B$33,'Inputs'!$B$29+'Inputs'!$B$31+'Inputs'!$B$32,'Inputs'!$B$30+'Inputs'!$B$31+'Inputs'!$B$32)/1000+'Inputs'!$B$21))^2+('Inputs'!$B$6/2)^2)))-'Results'!C7*(1+'Inputs'!$B$24)*(0.5*((((132-43)*MAX('Inputs'!$B$33,'Inputs'!$B$29+'Inputs'!$B$31+'Inputs'!$B$32,'Inputs'!$B$30+'Inputs'!$B$31+'Inputs'!$B$32)/1000+'Inputs'!$B$21+'Inputs'!$B$7+'Inputs'!$B$10)+'Inputs'!$B$9)/SQRT((((132-43)*MAX('Inputs'!$B$33,'Inputs'!$B$29+'Inputs'!$B$31+'Inputs'!$B$32,'Inputs'!$B$30+'Inputs'!$B$31+'Inputs'!$B$32)/1000+'Inputs'!$B$21+'Inputs'!$B$7+'Inputs'!$B$10)+'Inputs'!$B$9)^2+('Inputs'!$B$8/2)^2)-(((132-43)*MAX('Inputs'!$B$33,'Inputs'!$B$29+'Inputs'!$B$31+'Inputs'!$B$32,'Inputs'!$B$30+'Inputs'!$B$31+'Inputs'!$B$32)/1000+'Inputs'!$B$21+'Inputs'!$B$7+'Inputs'!$B$10))/SQRT((((132-43)*MAX('Inputs'!$B$33,'Inputs'!$B$29+'Inputs'!$B$31+'Inputs'!$B$32,'Inputs'!$B$30+'Inputs'!$B$31+'Inputs'!$B$32)/1000+'Inputs'!$B$21+'Inputs'!$B$7+'Inputs'!$B$10))^2+('Inputs'!$B$8/2)^2))))*'Results'!$B$8))),"")</x:f>
        <x:v>423.46207652439125</x:v>
      </x:c>
      <x:c r="L132" t="n">
        <x:f>IF(AND(ISNUMBER('Results'!B7),ISNUMBER('Results'!C7),ISNUMBER('Results'!$B$8),ISNUMBER('Inputs'!$B$6),ISNUMBER('Inputs'!$B$7),ISNUMBER('Inputs'!$B$8),ISNUMBER('Inputs'!$B$9),ISNUMBER('Inputs'!$B$10),ISNUMBER('Inputs'!$B$21),ISNUMBER('Inputs'!$B$24),ISNUMBER('Inputs'!$B$28)),((('Results'!B7*(1+'Inputs'!$B$24)*(0.5*((((132-43)*MAX('Inputs'!$B$33,'Inputs'!$B$29+'Inputs'!$B$31+'Inputs'!$B$32,'Inputs'!$B$30+'Inputs'!$B$31+'Inputs'!$B$32)/1000+'Inputs'!$B$21)+'Inputs'!$B$7)/SQRT((((132-43)*MAX('Inputs'!$B$33,'Inputs'!$B$29+'Inputs'!$B$31+'Inputs'!$B$32,'Inputs'!$B$30+'Inputs'!$B$31+'Inputs'!$B$32)/1000+'Inputs'!$B$21)+'Inputs'!$B$7)^2+('Inputs'!$B$6/2)^2)-(((132-43)*MAX('Inputs'!$B$33,'Inputs'!$B$29+'Inputs'!$B$31+'Inputs'!$B$32,'Inputs'!$B$30+'Inputs'!$B$31+'Inputs'!$B$32)/1000+'Inputs'!$B$21))/SQRT((((132-43)*MAX('Inputs'!$B$33,'Inputs'!$B$29+'Inputs'!$B$31+'Inputs'!$B$32,'Inputs'!$B$30+'Inputs'!$B$31+'Inputs'!$B$32)/1000+'Inputs'!$B$21))^2+('Inputs'!$B$6/2)^2)))-'Results'!C7*(1-'Inputs'!$B$24)*(0.5*((((132-43)*MAX('Inputs'!$B$33,'Inputs'!$B$29+'Inputs'!$B$31+'Inputs'!$B$32,'Inputs'!$B$30+'Inputs'!$B$31+'Inputs'!$B$32)/1000+'Inputs'!$B$21+'Inputs'!$B$7+'Inputs'!$B$10)+'Inputs'!$B$9)/SQRT((((132-43)*MAX('Inputs'!$B$33,'Inputs'!$B$29+'Inputs'!$B$31+'Inputs'!$B$32,'Inputs'!$B$30+'Inputs'!$B$31+'Inputs'!$B$32)/1000+'Inputs'!$B$21+'Inputs'!$B$7+'Inputs'!$B$10)+'Inputs'!$B$9)^2+('Inputs'!$B$8/2)^2)-(((132-43)*MAX('Inputs'!$B$33,'Inputs'!$B$29+'Inputs'!$B$31+'Inputs'!$B$32,'Inputs'!$B$30+'Inputs'!$B$31+'Inputs'!$B$32)/1000+'Inputs'!$B$21+'Inputs'!$B$7+'Inputs'!$B$10))/SQRT((((132-43)*MAX('Inputs'!$B$33,'Inputs'!$B$29+'Inputs'!$B$31+'Inputs'!$B$32,'Inputs'!$B$30+'Inputs'!$B$31+'Inputs'!$B$32)/1000+'Inputs'!$B$21+'Inputs'!$B$7+'Inputs'!$B$10))^2+('Inputs'!$B$8/2)^2))))*'Results'!$B$8)+'Inputs'!$B$28*ABS((('Results'!B7*(1+'Inputs'!$B$24)*(0.5*((((132-43)*MAX('Inputs'!$B$33,'Inputs'!$B$29+'Inputs'!$B$31+'Inputs'!$B$32,'Inputs'!$B$30+'Inputs'!$B$31+'Inputs'!$B$32)/1000+'Inputs'!$B$21)+'Inputs'!$B$7)/SQRT((((132-43)*MAX('Inputs'!$B$33,'Inputs'!$B$29+'Inputs'!$B$31+'Inputs'!$B$32,'Inputs'!$B$30+'Inputs'!$B$31+'Inputs'!$B$32)/1000+'Inputs'!$B$21)+'Inputs'!$B$7)^2+('Inputs'!$B$6/2)^2)-(((132-43)*MAX('Inputs'!$B$33,'Inputs'!$B$29+'Inputs'!$B$31+'Inputs'!$B$32,'Inputs'!$B$30+'Inputs'!$B$31+'Inputs'!$B$32)/1000+'Inputs'!$B$21))/SQRT((((132-43)*MAX('Inputs'!$B$33,'Inputs'!$B$29+'Inputs'!$B$31+'Inputs'!$B$32,'Inputs'!$B$30+'Inputs'!$B$31+'Inputs'!$B$32)/1000+'Inputs'!$B$21))^2+('Inputs'!$B$6/2)^2)))-'Results'!C7*(1-'Inputs'!$B$24)*(0.5*((((132-43)*MAX('Inputs'!$B$33,'Inputs'!$B$29+'Inputs'!$B$31+'Inputs'!$B$32,'Inputs'!$B$30+'Inputs'!$B$31+'Inputs'!$B$32)/1000+'Inputs'!$B$21+'Inputs'!$B$7+'Inputs'!$B$10)+'Inputs'!$B$9)/SQRT((((132-43)*MAX('Inputs'!$B$33,'Inputs'!$B$29+'Inputs'!$B$31+'Inputs'!$B$32,'Inputs'!$B$30+'Inputs'!$B$31+'Inputs'!$B$32)/1000+'Inputs'!$B$21+'Inputs'!$B$7+'Inputs'!$B$10)+'Inputs'!$B$9)^2+('Inputs'!$B$8/2)^2)-(((132-43)*MAX('Inputs'!$B$33,'Inputs'!$B$29+'Inputs'!$B$31+'Inputs'!$B$32,'Inputs'!$B$30+'Inputs'!$B$31+'Inputs'!$B$32)/1000+'Inputs'!$B$21+'Inputs'!$B$7+'Inputs'!$B$10))/SQRT((((132-43)*MAX('Inputs'!$B$33,'Inputs'!$B$29+'Inputs'!$B$31+'Inputs'!$B$32,'Inputs'!$B$30+'Inputs'!$B$31+'Inputs'!$B$32)/1000+'Inputs'!$B$21+'Inputs'!$B$7+'Inputs'!$B$10))^2+('Inputs'!$B$8/2)^2))))*'Results'!$B$8))),"")</x:f>
        <x:v>495.6172225210807</x:v>
      </x:c>
      <x:c r="M132" t="n">
        <x:f>IF(AND(ISNUMBER('Results'!C7),ISNUMBER('Results'!B7),ISNUMBER('Results'!$B$8),ISNUMBER('Inputs'!$B$6),ISNUMBER('Inputs'!$B$7),ISNUMBER('Inputs'!$B$8),ISNUMBER('Inputs'!$B$9),ISNUMBER('Inputs'!$B$10),ISNUMBER('Inputs'!$B$21),ISNUMBER('Inputs'!$B$24),ISNUMBER('Inputs'!$B$28)),(('Results'!C7*(0.5*((((132-43)*MAX('Inputs'!$B$33,'Inputs'!$B$29+'Inputs'!$B$31+'Inputs'!$B$32,'Inputs'!$B$30+'Inputs'!$B$31+'Inputs'!$B$32)/1000+'Inputs'!$B$21)+'Inputs'!$B$9)/SQRT((((132-43)*MAX('Inputs'!$B$33,'Inputs'!$B$29+'Inputs'!$B$31+'Inputs'!$B$32,'Inputs'!$B$30+'Inputs'!$B$31+'Inputs'!$B$32)/1000+'Inputs'!$B$21)+'Inputs'!$B$9)^2+('Inputs'!$B$8/2)^2)-(((132-43)*MAX('Inputs'!$B$33,'Inputs'!$B$29+'Inputs'!$B$31+'Inputs'!$B$32,'Inputs'!$B$30+'Inputs'!$B$31+'Inputs'!$B$32)/1000+'Inputs'!$B$21))/SQRT((((132-43)*MAX('Inputs'!$B$33,'Inputs'!$B$29+'Inputs'!$B$31+'Inputs'!$B$32,'Inputs'!$B$30+'Inputs'!$B$31+'Inputs'!$B$32)/1000+'Inputs'!$B$21))^2+('Inputs'!$B$8/2)^2)))-'Results'!B7*(0.5*((((132-43)*MAX('Inputs'!$B$33,'Inputs'!$B$29+'Inputs'!$B$31+'Inputs'!$B$32,'Inputs'!$B$30+'Inputs'!$B$31+'Inputs'!$B$32)/1000+'Inputs'!$B$21+'Inputs'!$B$9+'Inputs'!$B$10)+'Inputs'!$B$7)/SQRT((((132-43)*MAX('Inputs'!$B$33,'Inputs'!$B$29+'Inputs'!$B$31+'Inputs'!$B$32,'Inputs'!$B$30+'Inputs'!$B$31+'Inputs'!$B$32)/1000+'Inputs'!$B$21+'Inputs'!$B$9+'Inputs'!$B$10)+'Inputs'!$B$7)^2+('Inputs'!$B$6/2)^2)-(((132-43)*MAX('Inputs'!$B$33,'Inputs'!$B$29+'Inputs'!$B$31+'Inputs'!$B$32,'Inputs'!$B$30+'Inputs'!$B$31+'Inputs'!$B$32)/1000+'Inputs'!$B$21+'Inputs'!$B$9+'Inputs'!$B$10))/SQRT((((132-43)*MAX('Inputs'!$B$33,'Inputs'!$B$29+'Inputs'!$B$31+'Inputs'!$B$32,'Inputs'!$B$30+'Inputs'!$B$31+'Inputs'!$B$32)/1000+'Inputs'!$B$21+'Inputs'!$B$9+'Inputs'!$B$10))^2+('Inputs'!$B$6/2)^2))))*'Results'!$B$8),"")</x:f>
        <x:v>445.7091892921601</x:v>
      </x:c>
      <x:c r="N132" t="n">
        <x:f>IF(AND(ISNUMBER('Results'!C7),ISNUMBER('Results'!B7),ISNUMBER('Results'!$B$8),ISNUMBER('Inputs'!$B$6),ISNUMBER('Inputs'!$B$7),ISNUMBER('Inputs'!$B$8),ISNUMBER('Inputs'!$B$9),ISNUMBER('Inputs'!$B$10),ISNUMBER('Inputs'!$B$21),ISNUMBER('Inputs'!$B$24),ISNUMBER('Inputs'!$B$28)),((('Results'!C7*(1-'Inputs'!$B$24)*(0.5*((((132-43)*MAX('Inputs'!$B$33,'Inputs'!$B$29+'Inputs'!$B$31+'Inputs'!$B$32,'Inputs'!$B$30+'Inputs'!$B$31+'Inputs'!$B$32)/1000+'Inputs'!$B$21)+'Inputs'!$B$9)/SQRT((((132-43)*MAX('Inputs'!$B$33,'Inputs'!$B$29+'Inputs'!$B$31+'Inputs'!$B$32,'Inputs'!$B$30+'Inputs'!$B$31+'Inputs'!$B$32)/1000+'Inputs'!$B$21)+'Inputs'!$B$9)^2+('Inputs'!$B$8/2)^2)-(((132-43)*MAX('Inputs'!$B$33,'Inputs'!$B$29+'Inputs'!$B$31+'Inputs'!$B$32,'Inputs'!$B$30+'Inputs'!$B$31+'Inputs'!$B$32)/1000+'Inputs'!$B$21))/SQRT((((132-43)*MAX('Inputs'!$B$33,'Inputs'!$B$29+'Inputs'!$B$31+'Inputs'!$B$32,'Inputs'!$B$30+'Inputs'!$B$31+'Inputs'!$B$32)/1000+'Inputs'!$B$21))^2+('Inputs'!$B$8/2)^2)))-'Results'!B7*(1+'Inputs'!$B$24)*(0.5*((((132-43)*MAX('Inputs'!$B$33,'Inputs'!$B$29+'Inputs'!$B$31+'Inputs'!$B$32,'Inputs'!$B$30+'Inputs'!$B$31+'Inputs'!$B$32)/1000+'Inputs'!$B$21+'Inputs'!$B$9+'Inputs'!$B$10)+'Inputs'!$B$7)/SQRT((((132-43)*MAX('Inputs'!$B$33,'Inputs'!$B$29+'Inputs'!$B$31+'Inputs'!$B$32,'Inputs'!$B$30+'Inputs'!$B$31+'Inputs'!$B$32)/1000+'Inputs'!$B$21+'Inputs'!$B$9+'Inputs'!$B$10)+'Inputs'!$B$7)^2+('Inputs'!$B$6/2)^2)-(((132-43)*MAX('Inputs'!$B$33,'Inputs'!$B$29+'Inputs'!$B$31+'Inputs'!$B$32,'Inputs'!$B$30+'Inputs'!$B$31+'Inputs'!$B$32)/1000+'Inputs'!$B$21+'Inputs'!$B$9+'Inputs'!$B$10))/SQRT((((132-43)*MAX('Inputs'!$B$33,'Inputs'!$B$29+'Inputs'!$B$31+'Inputs'!$B$32,'Inputs'!$B$30+'Inputs'!$B$31+'Inputs'!$B$32)/1000+'Inputs'!$B$21+'Inputs'!$B$9+'Inputs'!$B$10))^2+('Inputs'!$B$6/2)^2))))*'Results'!$B$8)-'Inputs'!$B$28*ABS((('Results'!C7*(1-'Inputs'!$B$24)*(0.5*((((132-43)*MAX('Inputs'!$B$33,'Inputs'!$B$29+'Inputs'!$B$31+'Inputs'!$B$32,'Inputs'!$B$30+'Inputs'!$B$31+'Inputs'!$B$32)/1000+'Inputs'!$B$21)+'Inputs'!$B$9)/SQRT((((132-43)*MAX('Inputs'!$B$33,'Inputs'!$B$29+'Inputs'!$B$31+'Inputs'!$B$32,'Inputs'!$B$30+'Inputs'!$B$31+'Inputs'!$B$32)/1000+'Inputs'!$B$21)+'Inputs'!$B$9)^2+('Inputs'!$B$8/2)^2)-(((132-43)*MAX('Inputs'!$B$33,'Inputs'!$B$29+'Inputs'!$B$31+'Inputs'!$B$32,'Inputs'!$B$30+'Inputs'!$B$31+'Inputs'!$B$32)/1000+'Inputs'!$B$21))/SQRT((((132-43)*MAX('Inputs'!$B$33,'Inputs'!$B$29+'Inputs'!$B$31+'Inputs'!$B$32,'Inputs'!$B$30+'Inputs'!$B$31+'Inputs'!$B$32)/1000+'Inputs'!$B$21))^2+('Inputs'!$B$8/2)^2)))-'Results'!B7*(1+'Inputs'!$B$24)*(0.5*((((132-43)*MAX('Inputs'!$B$33,'Inputs'!$B$29+'Inputs'!$B$31+'Inputs'!$B$32,'Inputs'!$B$30+'Inputs'!$B$31+'Inputs'!$B$32)/1000+'Inputs'!$B$21+'Inputs'!$B$9+'Inputs'!$B$10)+'Inputs'!$B$7)/SQRT((((132-43)*MAX('Inputs'!$B$33,'Inputs'!$B$29+'Inputs'!$B$31+'Inputs'!$B$32,'Inputs'!$B$30+'Inputs'!$B$31+'Inputs'!$B$32)/1000+'Inputs'!$B$21+'Inputs'!$B$9+'Inputs'!$B$10)+'Inputs'!$B$7)^2+('Inputs'!$B$6/2)^2)-(((132-43)*MAX('Inputs'!$B$33,'Inputs'!$B$29+'Inputs'!$B$31+'Inputs'!$B$32,'Inputs'!$B$30+'Inputs'!$B$31+'Inputs'!$B$32)/1000+'Inputs'!$B$21+'Inputs'!$B$9+'Inputs'!$B$10))/SQRT((((132-43)*MAX('Inputs'!$B$33,'Inputs'!$B$29+'Inputs'!$B$31+'Inputs'!$B$32,'Inputs'!$B$30+'Inputs'!$B$31+'Inputs'!$B$32)/1000+'Inputs'!$B$21+'Inputs'!$B$9+'Inputs'!$B$10))^2+('Inputs'!$B$6/2)^2))))*'Results'!$B$8))),"")</x:f>
        <x:v>411.12058554708307</x:v>
      </x:c>
      <x:c r="O132" t="n">
        <x:f>IF(AND(ISNUMBER('Results'!C7),ISNUMBER('Results'!B7),ISNUMBER('Results'!$B$8),ISNUMBER('Inputs'!$B$6),ISNUMBER('Inputs'!$B$7),ISNUMBER('Inputs'!$B$8),ISNUMBER('Inputs'!$B$9),ISNUMBER('Inputs'!$B$10),ISNUMBER('Inputs'!$B$21),ISNUMBER('Inputs'!$B$24),ISNUMBER('Inputs'!$B$28)),((('Results'!C7*(1+'Inputs'!$B$24)*(0.5*((((132-43)*MAX('Inputs'!$B$33,'Inputs'!$B$29+'Inputs'!$B$31+'Inputs'!$B$32,'Inputs'!$B$30+'Inputs'!$B$31+'Inputs'!$B$32)/1000+'Inputs'!$B$21)+'Inputs'!$B$9)/SQRT((((132-43)*MAX('Inputs'!$B$33,'Inputs'!$B$29+'Inputs'!$B$31+'Inputs'!$B$32,'Inputs'!$B$30+'Inputs'!$B$31+'Inputs'!$B$32)/1000+'Inputs'!$B$21)+'Inputs'!$B$9)^2+('Inputs'!$B$8/2)^2)-(((132-43)*MAX('Inputs'!$B$33,'Inputs'!$B$29+'Inputs'!$B$31+'Inputs'!$B$32,'Inputs'!$B$30+'Inputs'!$B$31+'Inputs'!$B$32)/1000+'Inputs'!$B$21))/SQRT((((132-43)*MAX('Inputs'!$B$33,'Inputs'!$B$29+'Inputs'!$B$31+'Inputs'!$B$32,'Inputs'!$B$30+'Inputs'!$B$31+'Inputs'!$B$32)/1000+'Inputs'!$B$21))^2+('Inputs'!$B$8/2)^2)))-'Results'!B7*(1-'Inputs'!$B$24)*(0.5*((((132-43)*MAX('Inputs'!$B$33,'Inputs'!$B$29+'Inputs'!$B$31+'Inputs'!$B$32,'Inputs'!$B$30+'Inputs'!$B$31+'Inputs'!$B$32)/1000+'Inputs'!$B$21+'Inputs'!$B$9+'Inputs'!$B$10)+'Inputs'!$B$7)/SQRT((((132-43)*MAX('Inputs'!$B$33,'Inputs'!$B$29+'Inputs'!$B$31+'Inputs'!$B$32,'Inputs'!$B$30+'Inputs'!$B$31+'Inputs'!$B$32)/1000+'Inputs'!$B$21+'Inputs'!$B$9+'Inputs'!$B$10)+'Inputs'!$B$7)^2+('Inputs'!$B$6/2)^2)-(((132-43)*MAX('Inputs'!$B$33,'Inputs'!$B$29+'Inputs'!$B$31+'Inputs'!$B$32,'Inputs'!$B$30+'Inputs'!$B$31+'Inputs'!$B$32)/1000+'Inputs'!$B$21+'Inputs'!$B$9+'Inputs'!$B$10))/SQRT((((132-43)*MAX('Inputs'!$B$33,'Inputs'!$B$29+'Inputs'!$B$31+'Inputs'!$B$32,'Inputs'!$B$30+'Inputs'!$B$31+'Inputs'!$B$32)/1000+'Inputs'!$B$21+'Inputs'!$B$9+'Inputs'!$B$10))^2+('Inputs'!$B$6/2)^2))))*'Results'!$B$8)+'Inputs'!$B$28*ABS((('Results'!C7*(1+'Inputs'!$B$24)*(0.5*((((132-43)*MAX('Inputs'!$B$33,'Inputs'!$B$29+'Inputs'!$B$31+'Inputs'!$B$32,'Inputs'!$B$30+'Inputs'!$B$31+'Inputs'!$B$32)/1000+'Inputs'!$B$21)+'Inputs'!$B$9)/SQRT((((132-43)*MAX('Inputs'!$B$33,'Inputs'!$B$29+'Inputs'!$B$31+'Inputs'!$B$32,'Inputs'!$B$30+'Inputs'!$B$31+'Inputs'!$B$32)/1000+'Inputs'!$B$21)+'Inputs'!$B$9)^2+('Inputs'!$B$8/2)^2)-(((132-43)*MAX('Inputs'!$B$33,'Inputs'!$B$29+'Inputs'!$B$31+'Inputs'!$B$32,'Inputs'!$B$30+'Inputs'!$B$31+'Inputs'!$B$32)/1000+'Inputs'!$B$21))/SQRT((((132-43)*MAX('Inputs'!$B$33,'Inputs'!$B$29+'Inputs'!$B$31+'Inputs'!$B$32,'Inputs'!$B$30+'Inputs'!$B$31+'Inputs'!$B$32)/1000+'Inputs'!$B$21))^2+('Inputs'!$B$8/2)^2)))-'Results'!B7*(1-'Inputs'!$B$24)*(0.5*((((132-43)*MAX('Inputs'!$B$33,'Inputs'!$B$29+'Inputs'!$B$31+'Inputs'!$B$32,'Inputs'!$B$30+'Inputs'!$B$31+'Inputs'!$B$32)/1000+'Inputs'!$B$21+'Inputs'!$B$9+'Inputs'!$B$10)+'Inputs'!$B$7)/SQRT((((132-43)*MAX('Inputs'!$B$33,'Inputs'!$B$29+'Inputs'!$B$31+'Inputs'!$B$32,'Inputs'!$B$30+'Inputs'!$B$31+'Inputs'!$B$32)/1000+'Inputs'!$B$21+'Inputs'!$B$9+'Inputs'!$B$10)+'Inputs'!$B$7)^2+('Inputs'!$B$6/2)^2)-(((132-43)*MAX('Inputs'!$B$33,'Inputs'!$B$29+'Inputs'!$B$31+'Inputs'!$B$32,'Inputs'!$B$30+'Inputs'!$B$31+'Inputs'!$B$32)/1000+'Inputs'!$B$21+'Inputs'!$B$9+'Inputs'!$B$10))/SQRT((((132-43)*MAX('Inputs'!$B$33,'Inputs'!$B$29+'Inputs'!$B$31+'Inputs'!$B$32,'Inputs'!$B$30+'Inputs'!$B$31+'Inputs'!$B$32)/1000+'Inputs'!$B$21+'Inputs'!$B$9+'Inputs'!$B$10))^2+('Inputs'!$B$6/2)^2))))*'Results'!$B$8))),"")</x:f>
        <x:v>481.5928608562338</x:v>
      </x:c>
      <x:c r="P132" t="n">
        <x:f>IF(AND(MAX(J132,J131)&gt;0,J132&gt;J131+0.00000001),1,0)</x:f>
        <x:v>0</x:v>
      </x:c>
      <x:c r="Q132" t="n">
        <x:f>IF(AND(MAX(K132,K131)&gt;0,K132&gt;K131+0.00000001),1,0)</x:f>
        <x:v>0</x:v>
      </x:c>
      <x:c r="R132" t="n">
        <x:f>IF(AND(MAX(L132,L131)&gt;0,L132&gt;L131+0.00000001),1,0)</x:f>
        <x:v>0</x:v>
      </x:c>
      <x:c r="S132" t="n">
        <x:f>IF(AND(MAX(M132,M131)&gt;0,M132&gt;M131+0.00000001),1,0)</x:f>
        <x:v>0</x:v>
      </x:c>
      <x:c r="T132" t="n">
        <x:f>IF(AND(MAX(N132,N131)&gt;0,N132&gt;N131+0.00000001),1,0)</x:f>
        <x:v>0</x:v>
      </x:c>
      <x:c r="U132" t="n">
        <x:f>IF(AND(MAX(O132,O131)&gt;0,O132&gt;O131+0.00000001),1,0)</x:f>
        <x:v>0</x:v>
      </x:c>
    </x:row>
    <x:row r="133">
      <x:c r="J133" t="n">
        <x:f>IF(AND(ISNUMBER('Results'!B7),ISNUMBER('Results'!C7),ISNUMBER('Results'!$B$8),ISNUMBER('Inputs'!$B$6),ISNUMBER('Inputs'!$B$7),ISNUMBER('Inputs'!$B$8),ISNUMBER('Inputs'!$B$9),ISNUMBER('Inputs'!$B$10),ISNUMBER('Inputs'!$B$21),ISNUMBER('Inputs'!$B$24),ISNUMBER('Inputs'!$B$28)),(('Results'!B7*(0.5*((((133-43)*MAX('Inputs'!$B$33,'Inputs'!$B$29+'Inputs'!$B$31+'Inputs'!$B$32,'Inputs'!$B$30+'Inputs'!$B$31+'Inputs'!$B$32)/1000+'Inputs'!$B$21)+'Inputs'!$B$7)/SQRT((((133-43)*MAX('Inputs'!$B$33,'Inputs'!$B$29+'Inputs'!$B$31+'Inputs'!$B$32,'Inputs'!$B$30+'Inputs'!$B$31+'Inputs'!$B$32)/1000+'Inputs'!$B$21)+'Inputs'!$B$7)^2+('Inputs'!$B$6/2)^2)-(((133-43)*MAX('Inputs'!$B$33,'Inputs'!$B$29+'Inputs'!$B$31+'Inputs'!$B$32,'Inputs'!$B$30+'Inputs'!$B$31+'Inputs'!$B$32)/1000+'Inputs'!$B$21))/SQRT((((133-43)*MAX('Inputs'!$B$33,'Inputs'!$B$29+'Inputs'!$B$31+'Inputs'!$B$32,'Inputs'!$B$30+'Inputs'!$B$31+'Inputs'!$B$32)/1000+'Inputs'!$B$21))^2+('Inputs'!$B$6/2)^2)))-'Results'!C7*(0.5*((((133-43)*MAX('Inputs'!$B$33,'Inputs'!$B$29+'Inputs'!$B$31+'Inputs'!$B$32,'Inputs'!$B$30+'Inputs'!$B$31+'Inputs'!$B$32)/1000+'Inputs'!$B$21+'Inputs'!$B$7+'Inputs'!$B$10)+'Inputs'!$B$9)/SQRT((((133-43)*MAX('Inputs'!$B$33,'Inputs'!$B$29+'Inputs'!$B$31+'Inputs'!$B$32,'Inputs'!$B$30+'Inputs'!$B$31+'Inputs'!$B$32)/1000+'Inputs'!$B$21+'Inputs'!$B$7+'Inputs'!$B$10)+'Inputs'!$B$9)^2+('Inputs'!$B$8/2)^2)-(((133-43)*MAX('Inputs'!$B$33,'Inputs'!$B$29+'Inputs'!$B$31+'Inputs'!$B$32,'Inputs'!$B$30+'Inputs'!$B$31+'Inputs'!$B$32)/1000+'Inputs'!$B$21+'Inputs'!$B$7+'Inputs'!$B$10))/SQRT((((133-43)*MAX('Inputs'!$B$33,'Inputs'!$B$29+'Inputs'!$B$31+'Inputs'!$B$32,'Inputs'!$B$30+'Inputs'!$B$31+'Inputs'!$B$32)/1000+'Inputs'!$B$21+'Inputs'!$B$7+'Inputs'!$B$10))^2+('Inputs'!$B$8/2)^2))))*'Results'!$B$8),"")</x:f>
        <x:v>450.0933857200489</x:v>
      </x:c>
      <x:c r="K133" t="n">
        <x:f>IF(AND(ISNUMBER('Results'!B7),ISNUMBER('Results'!C7),ISNUMBER('Results'!$B$8),ISNUMBER('Inputs'!$B$6),ISNUMBER('Inputs'!$B$7),ISNUMBER('Inputs'!$B$8),ISNUMBER('Inputs'!$B$9),ISNUMBER('Inputs'!$B$10),ISNUMBER('Inputs'!$B$21),ISNUMBER('Inputs'!$B$24),ISNUMBER('Inputs'!$B$28)),((('Results'!B7*(1-'Inputs'!$B$24)*(0.5*((((133-43)*MAX('Inputs'!$B$33,'Inputs'!$B$29+'Inputs'!$B$31+'Inputs'!$B$32,'Inputs'!$B$30+'Inputs'!$B$31+'Inputs'!$B$32)/1000+'Inputs'!$B$21)+'Inputs'!$B$7)/SQRT((((133-43)*MAX('Inputs'!$B$33,'Inputs'!$B$29+'Inputs'!$B$31+'Inputs'!$B$32,'Inputs'!$B$30+'Inputs'!$B$31+'Inputs'!$B$32)/1000+'Inputs'!$B$21)+'Inputs'!$B$7)^2+('Inputs'!$B$6/2)^2)-(((133-43)*MAX('Inputs'!$B$33,'Inputs'!$B$29+'Inputs'!$B$31+'Inputs'!$B$32,'Inputs'!$B$30+'Inputs'!$B$31+'Inputs'!$B$32)/1000+'Inputs'!$B$21))/SQRT((((133-43)*MAX('Inputs'!$B$33,'Inputs'!$B$29+'Inputs'!$B$31+'Inputs'!$B$32,'Inputs'!$B$30+'Inputs'!$B$31+'Inputs'!$B$32)/1000+'Inputs'!$B$21))^2+('Inputs'!$B$6/2)^2)))-'Results'!C7*(1+'Inputs'!$B$24)*(0.5*((((133-43)*MAX('Inputs'!$B$33,'Inputs'!$B$29+'Inputs'!$B$31+'Inputs'!$B$32,'Inputs'!$B$30+'Inputs'!$B$31+'Inputs'!$B$32)/1000+'Inputs'!$B$21+'Inputs'!$B$7+'Inputs'!$B$10)+'Inputs'!$B$9)/SQRT((((133-43)*MAX('Inputs'!$B$33,'Inputs'!$B$29+'Inputs'!$B$31+'Inputs'!$B$32,'Inputs'!$B$30+'Inputs'!$B$31+'Inputs'!$B$32)/1000+'Inputs'!$B$21+'Inputs'!$B$7+'Inputs'!$B$10)+'Inputs'!$B$9)^2+('Inputs'!$B$8/2)^2)-(((133-43)*MAX('Inputs'!$B$33,'Inputs'!$B$29+'Inputs'!$B$31+'Inputs'!$B$32,'Inputs'!$B$30+'Inputs'!$B$31+'Inputs'!$B$32)/1000+'Inputs'!$B$21+'Inputs'!$B$7+'Inputs'!$B$10))/SQRT((((133-43)*MAX('Inputs'!$B$33,'Inputs'!$B$29+'Inputs'!$B$31+'Inputs'!$B$32,'Inputs'!$B$30+'Inputs'!$B$31+'Inputs'!$B$32)/1000+'Inputs'!$B$21+'Inputs'!$B$7+'Inputs'!$B$10))^2+('Inputs'!$B$8/2)^2))))*'Results'!$B$8)-'Inputs'!$B$28*ABS((('Results'!B7*(1-'Inputs'!$B$24)*(0.5*((((133-43)*MAX('Inputs'!$B$33,'Inputs'!$B$29+'Inputs'!$B$31+'Inputs'!$B$32,'Inputs'!$B$30+'Inputs'!$B$31+'Inputs'!$B$32)/1000+'Inputs'!$B$21)+'Inputs'!$B$7)/SQRT((((133-43)*MAX('Inputs'!$B$33,'Inputs'!$B$29+'Inputs'!$B$31+'Inputs'!$B$32,'Inputs'!$B$30+'Inputs'!$B$31+'Inputs'!$B$32)/1000+'Inputs'!$B$21)+'Inputs'!$B$7)^2+('Inputs'!$B$6/2)^2)-(((133-43)*MAX('Inputs'!$B$33,'Inputs'!$B$29+'Inputs'!$B$31+'Inputs'!$B$32,'Inputs'!$B$30+'Inputs'!$B$31+'Inputs'!$B$32)/1000+'Inputs'!$B$21))/SQRT((((133-43)*MAX('Inputs'!$B$33,'Inputs'!$B$29+'Inputs'!$B$31+'Inputs'!$B$32,'Inputs'!$B$30+'Inputs'!$B$31+'Inputs'!$B$32)/1000+'Inputs'!$B$21))^2+('Inputs'!$B$6/2)^2)))-'Results'!C7*(1+'Inputs'!$B$24)*(0.5*((((133-43)*MAX('Inputs'!$B$33,'Inputs'!$B$29+'Inputs'!$B$31+'Inputs'!$B$32,'Inputs'!$B$30+'Inputs'!$B$31+'Inputs'!$B$32)/1000+'Inputs'!$B$21+'Inputs'!$B$7+'Inputs'!$B$10)+'Inputs'!$B$9)/SQRT((((133-43)*MAX('Inputs'!$B$33,'Inputs'!$B$29+'Inputs'!$B$31+'Inputs'!$B$32,'Inputs'!$B$30+'Inputs'!$B$31+'Inputs'!$B$32)/1000+'Inputs'!$B$21+'Inputs'!$B$7+'Inputs'!$B$10)+'Inputs'!$B$9)^2+('Inputs'!$B$8/2)^2)-(((133-43)*MAX('Inputs'!$B$33,'Inputs'!$B$29+'Inputs'!$B$31+'Inputs'!$B$32,'Inputs'!$B$30+'Inputs'!$B$31+'Inputs'!$B$32)/1000+'Inputs'!$B$21+'Inputs'!$B$7+'Inputs'!$B$10))/SQRT((((133-43)*MAX('Inputs'!$B$33,'Inputs'!$B$29+'Inputs'!$B$31+'Inputs'!$B$32,'Inputs'!$B$30+'Inputs'!$B$31+'Inputs'!$B$32)/1000+'Inputs'!$B$21+'Inputs'!$B$7+'Inputs'!$B$10))^2+('Inputs'!$B$8/2)^2))))*'Results'!$B$8))),"")</x:f>
        <x:v>415.32370809628264</x:v>
      </x:c>
      <x:c r="L133" t="n">
        <x:f>IF(AND(ISNUMBER('Results'!B7),ISNUMBER('Results'!C7),ISNUMBER('Results'!$B$8),ISNUMBER('Inputs'!$B$6),ISNUMBER('Inputs'!$B$7),ISNUMBER('Inputs'!$B$8),ISNUMBER('Inputs'!$B$9),ISNUMBER('Inputs'!$B$10),ISNUMBER('Inputs'!$B$21),ISNUMBER('Inputs'!$B$24),ISNUMBER('Inputs'!$B$28)),((('Results'!B7*(1+'Inputs'!$B$24)*(0.5*((((133-43)*MAX('Inputs'!$B$33,'Inputs'!$B$29+'Inputs'!$B$31+'Inputs'!$B$32,'Inputs'!$B$30+'Inputs'!$B$31+'Inputs'!$B$32)/1000+'Inputs'!$B$21)+'Inputs'!$B$7)/SQRT((((133-43)*MAX('Inputs'!$B$33,'Inputs'!$B$29+'Inputs'!$B$31+'Inputs'!$B$32,'Inputs'!$B$30+'Inputs'!$B$31+'Inputs'!$B$32)/1000+'Inputs'!$B$21)+'Inputs'!$B$7)^2+('Inputs'!$B$6/2)^2)-(((133-43)*MAX('Inputs'!$B$33,'Inputs'!$B$29+'Inputs'!$B$31+'Inputs'!$B$32,'Inputs'!$B$30+'Inputs'!$B$31+'Inputs'!$B$32)/1000+'Inputs'!$B$21))/SQRT((((133-43)*MAX('Inputs'!$B$33,'Inputs'!$B$29+'Inputs'!$B$31+'Inputs'!$B$32,'Inputs'!$B$30+'Inputs'!$B$31+'Inputs'!$B$32)/1000+'Inputs'!$B$21))^2+('Inputs'!$B$6/2)^2)))-'Results'!C7*(1-'Inputs'!$B$24)*(0.5*((((133-43)*MAX('Inputs'!$B$33,'Inputs'!$B$29+'Inputs'!$B$31+'Inputs'!$B$32,'Inputs'!$B$30+'Inputs'!$B$31+'Inputs'!$B$32)/1000+'Inputs'!$B$21+'Inputs'!$B$7+'Inputs'!$B$10)+'Inputs'!$B$9)/SQRT((((133-43)*MAX('Inputs'!$B$33,'Inputs'!$B$29+'Inputs'!$B$31+'Inputs'!$B$32,'Inputs'!$B$30+'Inputs'!$B$31+'Inputs'!$B$32)/1000+'Inputs'!$B$21+'Inputs'!$B$7+'Inputs'!$B$10)+'Inputs'!$B$9)^2+('Inputs'!$B$8/2)^2)-(((133-43)*MAX('Inputs'!$B$33,'Inputs'!$B$29+'Inputs'!$B$31+'Inputs'!$B$32,'Inputs'!$B$30+'Inputs'!$B$31+'Inputs'!$B$32)/1000+'Inputs'!$B$21+'Inputs'!$B$7+'Inputs'!$B$10))/SQRT((((133-43)*MAX('Inputs'!$B$33,'Inputs'!$B$29+'Inputs'!$B$31+'Inputs'!$B$32,'Inputs'!$B$30+'Inputs'!$B$31+'Inputs'!$B$32)/1000+'Inputs'!$B$21+'Inputs'!$B$7+'Inputs'!$B$10))^2+('Inputs'!$B$8/2)^2))))*'Results'!$B$8)+'Inputs'!$B$28*ABS((('Results'!B7*(1+'Inputs'!$B$24)*(0.5*((((133-43)*MAX('Inputs'!$B$33,'Inputs'!$B$29+'Inputs'!$B$31+'Inputs'!$B$32,'Inputs'!$B$30+'Inputs'!$B$31+'Inputs'!$B$32)/1000+'Inputs'!$B$21)+'Inputs'!$B$7)/SQRT((((133-43)*MAX('Inputs'!$B$33,'Inputs'!$B$29+'Inputs'!$B$31+'Inputs'!$B$32,'Inputs'!$B$30+'Inputs'!$B$31+'Inputs'!$B$32)/1000+'Inputs'!$B$21)+'Inputs'!$B$7)^2+('Inputs'!$B$6/2)^2)-(((133-43)*MAX('Inputs'!$B$33,'Inputs'!$B$29+'Inputs'!$B$31+'Inputs'!$B$32,'Inputs'!$B$30+'Inputs'!$B$31+'Inputs'!$B$32)/1000+'Inputs'!$B$21))/SQRT((((133-43)*MAX('Inputs'!$B$33,'Inputs'!$B$29+'Inputs'!$B$31+'Inputs'!$B$32,'Inputs'!$B$30+'Inputs'!$B$31+'Inputs'!$B$32)/1000+'Inputs'!$B$21))^2+('Inputs'!$B$6/2)^2)))-'Results'!C7*(1-'Inputs'!$B$24)*(0.5*((((133-43)*MAX('Inputs'!$B$33,'Inputs'!$B$29+'Inputs'!$B$31+'Inputs'!$B$32,'Inputs'!$B$30+'Inputs'!$B$31+'Inputs'!$B$32)/1000+'Inputs'!$B$21+'Inputs'!$B$7+'Inputs'!$B$10)+'Inputs'!$B$9)/SQRT((((133-43)*MAX('Inputs'!$B$33,'Inputs'!$B$29+'Inputs'!$B$31+'Inputs'!$B$32,'Inputs'!$B$30+'Inputs'!$B$31+'Inputs'!$B$32)/1000+'Inputs'!$B$21+'Inputs'!$B$7+'Inputs'!$B$10)+'Inputs'!$B$9)^2+('Inputs'!$B$8/2)^2)-(((133-43)*MAX('Inputs'!$B$33,'Inputs'!$B$29+'Inputs'!$B$31+'Inputs'!$B$32,'Inputs'!$B$30+'Inputs'!$B$31+'Inputs'!$B$32)/1000+'Inputs'!$B$21+'Inputs'!$B$7+'Inputs'!$B$10))/SQRT((((133-43)*MAX('Inputs'!$B$33,'Inputs'!$B$29+'Inputs'!$B$31+'Inputs'!$B$32,'Inputs'!$B$30+'Inputs'!$B$31+'Inputs'!$B$32)/1000+'Inputs'!$B$21+'Inputs'!$B$7+'Inputs'!$B$10))^2+('Inputs'!$B$8/2)^2))))*'Results'!$B$8))),"")</x:f>
        <x:v>486.15411685305344</x:v>
      </x:c>
      <x:c r="M133" t="n">
        <x:f>IF(AND(ISNUMBER('Results'!C7),ISNUMBER('Results'!B7),ISNUMBER('Results'!$B$8),ISNUMBER('Inputs'!$B$6),ISNUMBER('Inputs'!$B$7),ISNUMBER('Inputs'!$B$8),ISNUMBER('Inputs'!$B$9),ISNUMBER('Inputs'!$B$10),ISNUMBER('Inputs'!$B$21),ISNUMBER('Inputs'!$B$24),ISNUMBER('Inputs'!$B$28)),(('Results'!C7*(0.5*((((133-43)*MAX('Inputs'!$B$33,'Inputs'!$B$29+'Inputs'!$B$31+'Inputs'!$B$32,'Inputs'!$B$30+'Inputs'!$B$31+'Inputs'!$B$32)/1000+'Inputs'!$B$21)+'Inputs'!$B$9)/SQRT((((133-43)*MAX('Inputs'!$B$33,'Inputs'!$B$29+'Inputs'!$B$31+'Inputs'!$B$32,'Inputs'!$B$30+'Inputs'!$B$31+'Inputs'!$B$32)/1000+'Inputs'!$B$21)+'Inputs'!$B$9)^2+('Inputs'!$B$8/2)^2)-(((133-43)*MAX('Inputs'!$B$33,'Inputs'!$B$29+'Inputs'!$B$31+'Inputs'!$B$32,'Inputs'!$B$30+'Inputs'!$B$31+'Inputs'!$B$32)/1000+'Inputs'!$B$21))/SQRT((((133-43)*MAX('Inputs'!$B$33,'Inputs'!$B$29+'Inputs'!$B$31+'Inputs'!$B$32,'Inputs'!$B$30+'Inputs'!$B$31+'Inputs'!$B$32)/1000+'Inputs'!$B$21))^2+('Inputs'!$B$8/2)^2)))-'Results'!B7*(0.5*((((133-43)*MAX('Inputs'!$B$33,'Inputs'!$B$29+'Inputs'!$B$31+'Inputs'!$B$32,'Inputs'!$B$30+'Inputs'!$B$31+'Inputs'!$B$32)/1000+'Inputs'!$B$21+'Inputs'!$B$9+'Inputs'!$B$10)+'Inputs'!$B$7)/SQRT((((133-43)*MAX('Inputs'!$B$33,'Inputs'!$B$29+'Inputs'!$B$31+'Inputs'!$B$32,'Inputs'!$B$30+'Inputs'!$B$31+'Inputs'!$B$32)/1000+'Inputs'!$B$21+'Inputs'!$B$9+'Inputs'!$B$10)+'Inputs'!$B$7)^2+('Inputs'!$B$6/2)^2)-(((133-43)*MAX('Inputs'!$B$33,'Inputs'!$B$29+'Inputs'!$B$31+'Inputs'!$B$32,'Inputs'!$B$30+'Inputs'!$B$31+'Inputs'!$B$32)/1000+'Inputs'!$B$21+'Inputs'!$B$9+'Inputs'!$B$10))/SQRT((((133-43)*MAX('Inputs'!$B$33,'Inputs'!$B$29+'Inputs'!$B$31+'Inputs'!$B$32,'Inputs'!$B$30+'Inputs'!$B$31+'Inputs'!$B$32)/1000+'Inputs'!$B$21+'Inputs'!$B$9+'Inputs'!$B$10))^2+('Inputs'!$B$6/2)^2))))*'Results'!$B$8),"")</x:f>
        <x:v>437.1429662666661</x:v>
      </x:c>
      <x:c r="N133" t="n">
        <x:f>IF(AND(ISNUMBER('Results'!C7),ISNUMBER('Results'!B7),ISNUMBER('Results'!$B$8),ISNUMBER('Inputs'!$B$6),ISNUMBER('Inputs'!$B$7),ISNUMBER('Inputs'!$B$8),ISNUMBER('Inputs'!$B$9),ISNUMBER('Inputs'!$B$10),ISNUMBER('Inputs'!$B$21),ISNUMBER('Inputs'!$B$24),ISNUMBER('Inputs'!$B$28)),((('Results'!C7*(1-'Inputs'!$B$24)*(0.5*((((133-43)*MAX('Inputs'!$B$33,'Inputs'!$B$29+'Inputs'!$B$31+'Inputs'!$B$32,'Inputs'!$B$30+'Inputs'!$B$31+'Inputs'!$B$32)/1000+'Inputs'!$B$21)+'Inputs'!$B$9)/SQRT((((133-43)*MAX('Inputs'!$B$33,'Inputs'!$B$29+'Inputs'!$B$31+'Inputs'!$B$32,'Inputs'!$B$30+'Inputs'!$B$31+'Inputs'!$B$32)/1000+'Inputs'!$B$21)+'Inputs'!$B$9)^2+('Inputs'!$B$8/2)^2)-(((133-43)*MAX('Inputs'!$B$33,'Inputs'!$B$29+'Inputs'!$B$31+'Inputs'!$B$32,'Inputs'!$B$30+'Inputs'!$B$31+'Inputs'!$B$32)/1000+'Inputs'!$B$21))/SQRT((((133-43)*MAX('Inputs'!$B$33,'Inputs'!$B$29+'Inputs'!$B$31+'Inputs'!$B$32,'Inputs'!$B$30+'Inputs'!$B$31+'Inputs'!$B$32)/1000+'Inputs'!$B$21))^2+('Inputs'!$B$8/2)^2)))-'Results'!B7*(1+'Inputs'!$B$24)*(0.5*((((133-43)*MAX('Inputs'!$B$33,'Inputs'!$B$29+'Inputs'!$B$31+'Inputs'!$B$32,'Inputs'!$B$30+'Inputs'!$B$31+'Inputs'!$B$32)/1000+'Inputs'!$B$21+'Inputs'!$B$9+'Inputs'!$B$10)+'Inputs'!$B$7)/SQRT((((133-43)*MAX('Inputs'!$B$33,'Inputs'!$B$29+'Inputs'!$B$31+'Inputs'!$B$32,'Inputs'!$B$30+'Inputs'!$B$31+'Inputs'!$B$32)/1000+'Inputs'!$B$21+'Inputs'!$B$9+'Inputs'!$B$10)+'Inputs'!$B$7)^2+('Inputs'!$B$6/2)^2)-(((133-43)*MAX('Inputs'!$B$33,'Inputs'!$B$29+'Inputs'!$B$31+'Inputs'!$B$32,'Inputs'!$B$30+'Inputs'!$B$31+'Inputs'!$B$32)/1000+'Inputs'!$B$21+'Inputs'!$B$9+'Inputs'!$B$10))/SQRT((((133-43)*MAX('Inputs'!$B$33,'Inputs'!$B$29+'Inputs'!$B$31+'Inputs'!$B$32,'Inputs'!$B$30+'Inputs'!$B$31+'Inputs'!$B$32)/1000+'Inputs'!$B$21+'Inputs'!$B$9+'Inputs'!$B$10))^2+('Inputs'!$B$6/2)^2))))*'Results'!$B$8)-'Inputs'!$B$28*ABS((('Results'!C7*(1-'Inputs'!$B$24)*(0.5*((((133-43)*MAX('Inputs'!$B$33,'Inputs'!$B$29+'Inputs'!$B$31+'Inputs'!$B$32,'Inputs'!$B$30+'Inputs'!$B$31+'Inputs'!$B$32)/1000+'Inputs'!$B$21)+'Inputs'!$B$9)/SQRT((((133-43)*MAX('Inputs'!$B$33,'Inputs'!$B$29+'Inputs'!$B$31+'Inputs'!$B$32,'Inputs'!$B$30+'Inputs'!$B$31+'Inputs'!$B$32)/1000+'Inputs'!$B$21)+'Inputs'!$B$9)^2+('Inputs'!$B$8/2)^2)-(((133-43)*MAX('Inputs'!$B$33,'Inputs'!$B$29+'Inputs'!$B$31+'Inputs'!$B$32,'Inputs'!$B$30+'Inputs'!$B$31+'Inputs'!$B$32)/1000+'Inputs'!$B$21))/SQRT((((133-43)*MAX('Inputs'!$B$33,'Inputs'!$B$29+'Inputs'!$B$31+'Inputs'!$B$32,'Inputs'!$B$30+'Inputs'!$B$31+'Inputs'!$B$32)/1000+'Inputs'!$B$21))^2+('Inputs'!$B$8/2)^2)))-'Results'!B7*(1+'Inputs'!$B$24)*(0.5*((((133-43)*MAX('Inputs'!$B$33,'Inputs'!$B$29+'Inputs'!$B$31+'Inputs'!$B$32,'Inputs'!$B$30+'Inputs'!$B$31+'Inputs'!$B$32)/1000+'Inputs'!$B$21+'Inputs'!$B$9+'Inputs'!$B$10)+'Inputs'!$B$7)/SQRT((((133-43)*MAX('Inputs'!$B$33,'Inputs'!$B$29+'Inputs'!$B$31+'Inputs'!$B$32,'Inputs'!$B$30+'Inputs'!$B$31+'Inputs'!$B$32)/1000+'Inputs'!$B$21+'Inputs'!$B$9+'Inputs'!$B$10)+'Inputs'!$B$7)^2+('Inputs'!$B$6/2)^2)-(((133-43)*MAX('Inputs'!$B$33,'Inputs'!$B$29+'Inputs'!$B$31+'Inputs'!$B$32,'Inputs'!$B$30+'Inputs'!$B$31+'Inputs'!$B$32)/1000+'Inputs'!$B$21+'Inputs'!$B$9+'Inputs'!$B$10))/SQRT((((133-43)*MAX('Inputs'!$B$33,'Inputs'!$B$29+'Inputs'!$B$31+'Inputs'!$B$32,'Inputs'!$B$30+'Inputs'!$B$31+'Inputs'!$B$32)/1000+'Inputs'!$B$21+'Inputs'!$B$9+'Inputs'!$B$10))^2+('Inputs'!$B$6/2)^2))))*'Results'!$B$8))),"")</x:f>
        <x:v>403.19108729928365</x:v>
      </x:c>
      <x:c r="O133" t="n">
        <x:f>IF(AND(ISNUMBER('Results'!C7),ISNUMBER('Results'!B7),ISNUMBER('Results'!$B$8),ISNUMBER('Inputs'!$B$6),ISNUMBER('Inputs'!$B$7),ISNUMBER('Inputs'!$B$8),ISNUMBER('Inputs'!$B$9),ISNUMBER('Inputs'!$B$10),ISNUMBER('Inputs'!$B$21),ISNUMBER('Inputs'!$B$24),ISNUMBER('Inputs'!$B$28)),((('Results'!C7*(1+'Inputs'!$B$24)*(0.5*((((133-43)*MAX('Inputs'!$B$33,'Inputs'!$B$29+'Inputs'!$B$31+'Inputs'!$B$32,'Inputs'!$B$30+'Inputs'!$B$31+'Inputs'!$B$32)/1000+'Inputs'!$B$21)+'Inputs'!$B$9)/SQRT((((133-43)*MAX('Inputs'!$B$33,'Inputs'!$B$29+'Inputs'!$B$31+'Inputs'!$B$32,'Inputs'!$B$30+'Inputs'!$B$31+'Inputs'!$B$32)/1000+'Inputs'!$B$21)+'Inputs'!$B$9)^2+('Inputs'!$B$8/2)^2)-(((133-43)*MAX('Inputs'!$B$33,'Inputs'!$B$29+'Inputs'!$B$31+'Inputs'!$B$32,'Inputs'!$B$30+'Inputs'!$B$31+'Inputs'!$B$32)/1000+'Inputs'!$B$21))/SQRT((((133-43)*MAX('Inputs'!$B$33,'Inputs'!$B$29+'Inputs'!$B$31+'Inputs'!$B$32,'Inputs'!$B$30+'Inputs'!$B$31+'Inputs'!$B$32)/1000+'Inputs'!$B$21))^2+('Inputs'!$B$8/2)^2)))-'Results'!B7*(1-'Inputs'!$B$24)*(0.5*((((133-43)*MAX('Inputs'!$B$33,'Inputs'!$B$29+'Inputs'!$B$31+'Inputs'!$B$32,'Inputs'!$B$30+'Inputs'!$B$31+'Inputs'!$B$32)/1000+'Inputs'!$B$21+'Inputs'!$B$9+'Inputs'!$B$10)+'Inputs'!$B$7)/SQRT((((133-43)*MAX('Inputs'!$B$33,'Inputs'!$B$29+'Inputs'!$B$31+'Inputs'!$B$32,'Inputs'!$B$30+'Inputs'!$B$31+'Inputs'!$B$32)/1000+'Inputs'!$B$21+'Inputs'!$B$9+'Inputs'!$B$10)+'Inputs'!$B$7)^2+('Inputs'!$B$6/2)^2)-(((133-43)*MAX('Inputs'!$B$33,'Inputs'!$B$29+'Inputs'!$B$31+'Inputs'!$B$32,'Inputs'!$B$30+'Inputs'!$B$31+'Inputs'!$B$32)/1000+'Inputs'!$B$21+'Inputs'!$B$9+'Inputs'!$B$10))/SQRT((((133-43)*MAX('Inputs'!$B$33,'Inputs'!$B$29+'Inputs'!$B$31+'Inputs'!$B$32,'Inputs'!$B$30+'Inputs'!$B$31+'Inputs'!$B$32)/1000+'Inputs'!$B$21+'Inputs'!$B$9+'Inputs'!$B$10))^2+('Inputs'!$B$6/2)^2))))*'Results'!$B$8)+'Inputs'!$B$28*ABS((('Results'!C7*(1+'Inputs'!$B$24)*(0.5*((((133-43)*MAX('Inputs'!$B$33,'Inputs'!$B$29+'Inputs'!$B$31+'Inputs'!$B$32,'Inputs'!$B$30+'Inputs'!$B$31+'Inputs'!$B$32)/1000+'Inputs'!$B$21)+'Inputs'!$B$9)/SQRT((((133-43)*MAX('Inputs'!$B$33,'Inputs'!$B$29+'Inputs'!$B$31+'Inputs'!$B$32,'Inputs'!$B$30+'Inputs'!$B$31+'Inputs'!$B$32)/1000+'Inputs'!$B$21)+'Inputs'!$B$9)^2+('Inputs'!$B$8/2)^2)-(((133-43)*MAX('Inputs'!$B$33,'Inputs'!$B$29+'Inputs'!$B$31+'Inputs'!$B$32,'Inputs'!$B$30+'Inputs'!$B$31+'Inputs'!$B$32)/1000+'Inputs'!$B$21))/SQRT((((133-43)*MAX('Inputs'!$B$33,'Inputs'!$B$29+'Inputs'!$B$31+'Inputs'!$B$32,'Inputs'!$B$30+'Inputs'!$B$31+'Inputs'!$B$32)/1000+'Inputs'!$B$21))^2+('Inputs'!$B$8/2)^2)))-'Results'!B7*(1-'Inputs'!$B$24)*(0.5*((((133-43)*MAX('Inputs'!$B$33,'Inputs'!$B$29+'Inputs'!$B$31+'Inputs'!$B$32,'Inputs'!$B$30+'Inputs'!$B$31+'Inputs'!$B$32)/1000+'Inputs'!$B$21+'Inputs'!$B$9+'Inputs'!$B$10)+'Inputs'!$B$7)/SQRT((((133-43)*MAX('Inputs'!$B$33,'Inputs'!$B$29+'Inputs'!$B$31+'Inputs'!$B$32,'Inputs'!$B$30+'Inputs'!$B$31+'Inputs'!$B$32)/1000+'Inputs'!$B$21+'Inputs'!$B$9+'Inputs'!$B$10)+'Inputs'!$B$7)^2+('Inputs'!$B$6/2)^2)-(((133-43)*MAX('Inputs'!$B$33,'Inputs'!$B$29+'Inputs'!$B$31+'Inputs'!$B$32,'Inputs'!$B$30+'Inputs'!$B$31+'Inputs'!$B$32)/1000+'Inputs'!$B$21+'Inputs'!$B$9+'Inputs'!$B$10))/SQRT((((133-43)*MAX('Inputs'!$B$33,'Inputs'!$B$29+'Inputs'!$B$31+'Inputs'!$B$32,'Inputs'!$B$30+'Inputs'!$B$31+'Inputs'!$B$32)/1000+'Inputs'!$B$21+'Inputs'!$B$9+'Inputs'!$B$10))^2+('Inputs'!$B$6/2)^2))))*'Results'!$B$8))),"")</x:f>
        <x:v>472.36797477658007</x:v>
      </x:c>
      <x:c r="P133" t="n">
        <x:f>IF(AND(MAX(J133,J132)&gt;0,J133&gt;J132+0.00000001),1,0)</x:f>
        <x:v>0</x:v>
      </x:c>
      <x:c r="Q133" t="n">
        <x:f>IF(AND(MAX(K133,K132)&gt;0,K133&gt;K132+0.00000001),1,0)</x:f>
        <x:v>0</x:v>
      </x:c>
      <x:c r="R133" t="n">
        <x:f>IF(AND(MAX(L133,L132)&gt;0,L133&gt;L132+0.00000001),1,0)</x:f>
        <x:v>0</x:v>
      </x:c>
      <x:c r="S133" t="n">
        <x:f>IF(AND(MAX(M133,M132)&gt;0,M133&gt;M132+0.00000001),1,0)</x:f>
        <x:v>0</x:v>
      </x:c>
      <x:c r="T133" t="n">
        <x:f>IF(AND(MAX(N133,N132)&gt;0,N133&gt;N132+0.00000001),1,0)</x:f>
        <x:v>0</x:v>
      </x:c>
      <x:c r="U133" t="n">
        <x:f>IF(AND(MAX(O133,O132)&gt;0,O133&gt;O132+0.00000001),1,0)</x:f>
        <x:v>0</x:v>
      </x:c>
    </x:row>
    <x:row r="134">
      <x:c r="J134" t="n">
        <x:f>IF(AND(ISNUMBER('Results'!B7),ISNUMBER('Results'!C7),ISNUMBER('Results'!$B$8),ISNUMBER('Inputs'!$B$6),ISNUMBER('Inputs'!$B$7),ISNUMBER('Inputs'!$B$8),ISNUMBER('Inputs'!$B$9),ISNUMBER('Inputs'!$B$10),ISNUMBER('Inputs'!$B$21),ISNUMBER('Inputs'!$B$24),ISNUMBER('Inputs'!$B$28)),(('Results'!B7*(0.5*((((134-43)*MAX('Inputs'!$B$33,'Inputs'!$B$29+'Inputs'!$B$31+'Inputs'!$B$32,'Inputs'!$B$30+'Inputs'!$B$31+'Inputs'!$B$32)/1000+'Inputs'!$B$21)+'Inputs'!$B$7)/SQRT((((134-43)*MAX('Inputs'!$B$33,'Inputs'!$B$29+'Inputs'!$B$31+'Inputs'!$B$32,'Inputs'!$B$30+'Inputs'!$B$31+'Inputs'!$B$32)/1000+'Inputs'!$B$21)+'Inputs'!$B$7)^2+('Inputs'!$B$6/2)^2)-(((134-43)*MAX('Inputs'!$B$33,'Inputs'!$B$29+'Inputs'!$B$31+'Inputs'!$B$32,'Inputs'!$B$30+'Inputs'!$B$31+'Inputs'!$B$32)/1000+'Inputs'!$B$21))/SQRT((((134-43)*MAX('Inputs'!$B$33,'Inputs'!$B$29+'Inputs'!$B$31+'Inputs'!$B$32,'Inputs'!$B$30+'Inputs'!$B$31+'Inputs'!$B$32)/1000+'Inputs'!$B$21))^2+('Inputs'!$B$6/2)^2)))-'Results'!C7*(0.5*((((134-43)*MAX('Inputs'!$B$33,'Inputs'!$B$29+'Inputs'!$B$31+'Inputs'!$B$32,'Inputs'!$B$30+'Inputs'!$B$31+'Inputs'!$B$32)/1000+'Inputs'!$B$21+'Inputs'!$B$7+'Inputs'!$B$10)+'Inputs'!$B$9)/SQRT((((134-43)*MAX('Inputs'!$B$33,'Inputs'!$B$29+'Inputs'!$B$31+'Inputs'!$B$32,'Inputs'!$B$30+'Inputs'!$B$31+'Inputs'!$B$32)/1000+'Inputs'!$B$21+'Inputs'!$B$7+'Inputs'!$B$10)+'Inputs'!$B$9)^2+('Inputs'!$B$8/2)^2)-(((134-43)*MAX('Inputs'!$B$33,'Inputs'!$B$29+'Inputs'!$B$31+'Inputs'!$B$32,'Inputs'!$B$30+'Inputs'!$B$31+'Inputs'!$B$32)/1000+'Inputs'!$B$21+'Inputs'!$B$7+'Inputs'!$B$10))/SQRT((((134-43)*MAX('Inputs'!$B$33,'Inputs'!$B$29+'Inputs'!$B$31+'Inputs'!$B$32,'Inputs'!$B$30+'Inputs'!$B$31+'Inputs'!$B$32)/1000+'Inputs'!$B$21+'Inputs'!$B$7+'Inputs'!$B$10))^2+('Inputs'!$B$8/2)^2))))*'Results'!$B$8),"")</x:f>
        <x:v>441.4890229365051</x:v>
      </x:c>
      <x:c r="K134" t="n">
        <x:f>IF(AND(ISNUMBER('Results'!B7),ISNUMBER('Results'!C7),ISNUMBER('Results'!$B$8),ISNUMBER('Inputs'!$B$6),ISNUMBER('Inputs'!$B$7),ISNUMBER('Inputs'!$B$8),ISNUMBER('Inputs'!$B$9),ISNUMBER('Inputs'!$B$10),ISNUMBER('Inputs'!$B$21),ISNUMBER('Inputs'!$B$24),ISNUMBER('Inputs'!$B$28)),((('Results'!B7*(1-'Inputs'!$B$24)*(0.5*((((134-43)*MAX('Inputs'!$B$33,'Inputs'!$B$29+'Inputs'!$B$31+'Inputs'!$B$32,'Inputs'!$B$30+'Inputs'!$B$31+'Inputs'!$B$32)/1000+'Inputs'!$B$21)+'Inputs'!$B$7)/SQRT((((134-43)*MAX('Inputs'!$B$33,'Inputs'!$B$29+'Inputs'!$B$31+'Inputs'!$B$32,'Inputs'!$B$30+'Inputs'!$B$31+'Inputs'!$B$32)/1000+'Inputs'!$B$21)+'Inputs'!$B$7)^2+('Inputs'!$B$6/2)^2)-(((134-43)*MAX('Inputs'!$B$33,'Inputs'!$B$29+'Inputs'!$B$31+'Inputs'!$B$32,'Inputs'!$B$30+'Inputs'!$B$31+'Inputs'!$B$32)/1000+'Inputs'!$B$21))/SQRT((((134-43)*MAX('Inputs'!$B$33,'Inputs'!$B$29+'Inputs'!$B$31+'Inputs'!$B$32,'Inputs'!$B$30+'Inputs'!$B$31+'Inputs'!$B$32)/1000+'Inputs'!$B$21))^2+('Inputs'!$B$6/2)^2)))-'Results'!C7*(1+'Inputs'!$B$24)*(0.5*((((134-43)*MAX('Inputs'!$B$33,'Inputs'!$B$29+'Inputs'!$B$31+'Inputs'!$B$32,'Inputs'!$B$30+'Inputs'!$B$31+'Inputs'!$B$32)/1000+'Inputs'!$B$21+'Inputs'!$B$7+'Inputs'!$B$10)+'Inputs'!$B$9)/SQRT((((134-43)*MAX('Inputs'!$B$33,'Inputs'!$B$29+'Inputs'!$B$31+'Inputs'!$B$32,'Inputs'!$B$30+'Inputs'!$B$31+'Inputs'!$B$32)/1000+'Inputs'!$B$21+'Inputs'!$B$7+'Inputs'!$B$10)+'Inputs'!$B$9)^2+('Inputs'!$B$8/2)^2)-(((134-43)*MAX('Inputs'!$B$33,'Inputs'!$B$29+'Inputs'!$B$31+'Inputs'!$B$32,'Inputs'!$B$30+'Inputs'!$B$31+'Inputs'!$B$32)/1000+'Inputs'!$B$21+'Inputs'!$B$7+'Inputs'!$B$10))/SQRT((((134-43)*MAX('Inputs'!$B$33,'Inputs'!$B$29+'Inputs'!$B$31+'Inputs'!$B$32,'Inputs'!$B$30+'Inputs'!$B$31+'Inputs'!$B$32)/1000+'Inputs'!$B$21+'Inputs'!$B$7+'Inputs'!$B$10))^2+('Inputs'!$B$8/2)^2))))*'Results'!$B$8)-'Inputs'!$B$28*ABS((('Results'!B7*(1-'Inputs'!$B$24)*(0.5*((((134-43)*MAX('Inputs'!$B$33,'Inputs'!$B$29+'Inputs'!$B$31+'Inputs'!$B$32,'Inputs'!$B$30+'Inputs'!$B$31+'Inputs'!$B$32)/1000+'Inputs'!$B$21)+'Inputs'!$B$7)/SQRT((((134-43)*MAX('Inputs'!$B$33,'Inputs'!$B$29+'Inputs'!$B$31+'Inputs'!$B$32,'Inputs'!$B$30+'Inputs'!$B$31+'Inputs'!$B$32)/1000+'Inputs'!$B$21)+'Inputs'!$B$7)^2+('Inputs'!$B$6/2)^2)-(((134-43)*MAX('Inputs'!$B$33,'Inputs'!$B$29+'Inputs'!$B$31+'Inputs'!$B$32,'Inputs'!$B$30+'Inputs'!$B$31+'Inputs'!$B$32)/1000+'Inputs'!$B$21))/SQRT((((134-43)*MAX('Inputs'!$B$33,'Inputs'!$B$29+'Inputs'!$B$31+'Inputs'!$B$32,'Inputs'!$B$30+'Inputs'!$B$31+'Inputs'!$B$32)/1000+'Inputs'!$B$21))^2+('Inputs'!$B$6/2)^2)))-'Results'!C7*(1+'Inputs'!$B$24)*(0.5*((((134-43)*MAX('Inputs'!$B$33,'Inputs'!$B$29+'Inputs'!$B$31+'Inputs'!$B$32,'Inputs'!$B$30+'Inputs'!$B$31+'Inputs'!$B$32)/1000+'Inputs'!$B$21+'Inputs'!$B$7+'Inputs'!$B$10)+'Inputs'!$B$9)/SQRT((((134-43)*MAX('Inputs'!$B$33,'Inputs'!$B$29+'Inputs'!$B$31+'Inputs'!$B$32,'Inputs'!$B$30+'Inputs'!$B$31+'Inputs'!$B$32)/1000+'Inputs'!$B$21+'Inputs'!$B$7+'Inputs'!$B$10)+'Inputs'!$B$9)^2+('Inputs'!$B$8/2)^2)-(((134-43)*MAX('Inputs'!$B$33,'Inputs'!$B$29+'Inputs'!$B$31+'Inputs'!$B$32,'Inputs'!$B$30+'Inputs'!$B$31+'Inputs'!$B$32)/1000+'Inputs'!$B$21+'Inputs'!$B$7+'Inputs'!$B$10))/SQRT((((134-43)*MAX('Inputs'!$B$33,'Inputs'!$B$29+'Inputs'!$B$31+'Inputs'!$B$32,'Inputs'!$B$30+'Inputs'!$B$31+'Inputs'!$B$32)/1000+'Inputs'!$B$21+'Inputs'!$B$7+'Inputs'!$B$10))^2+('Inputs'!$B$8/2)^2))))*'Results'!$B$8))),"")</x:f>
        <x:v>407.35710254015106</x:v>
      </x:c>
      <x:c r="L134" t="n">
        <x:f>IF(AND(ISNUMBER('Results'!B7),ISNUMBER('Results'!C7),ISNUMBER('Results'!$B$8),ISNUMBER('Inputs'!$B$6),ISNUMBER('Inputs'!$B$7),ISNUMBER('Inputs'!$B$8),ISNUMBER('Inputs'!$B$9),ISNUMBER('Inputs'!$B$10),ISNUMBER('Inputs'!$B$21),ISNUMBER('Inputs'!$B$24),ISNUMBER('Inputs'!$B$28)),((('Results'!B7*(1+'Inputs'!$B$24)*(0.5*((((134-43)*MAX('Inputs'!$B$33,'Inputs'!$B$29+'Inputs'!$B$31+'Inputs'!$B$32,'Inputs'!$B$30+'Inputs'!$B$31+'Inputs'!$B$32)/1000+'Inputs'!$B$21)+'Inputs'!$B$7)/SQRT((((134-43)*MAX('Inputs'!$B$33,'Inputs'!$B$29+'Inputs'!$B$31+'Inputs'!$B$32,'Inputs'!$B$30+'Inputs'!$B$31+'Inputs'!$B$32)/1000+'Inputs'!$B$21)+'Inputs'!$B$7)^2+('Inputs'!$B$6/2)^2)-(((134-43)*MAX('Inputs'!$B$33,'Inputs'!$B$29+'Inputs'!$B$31+'Inputs'!$B$32,'Inputs'!$B$30+'Inputs'!$B$31+'Inputs'!$B$32)/1000+'Inputs'!$B$21))/SQRT((((134-43)*MAX('Inputs'!$B$33,'Inputs'!$B$29+'Inputs'!$B$31+'Inputs'!$B$32,'Inputs'!$B$30+'Inputs'!$B$31+'Inputs'!$B$32)/1000+'Inputs'!$B$21))^2+('Inputs'!$B$6/2)^2)))-'Results'!C7*(1-'Inputs'!$B$24)*(0.5*((((134-43)*MAX('Inputs'!$B$33,'Inputs'!$B$29+'Inputs'!$B$31+'Inputs'!$B$32,'Inputs'!$B$30+'Inputs'!$B$31+'Inputs'!$B$32)/1000+'Inputs'!$B$21+'Inputs'!$B$7+'Inputs'!$B$10)+'Inputs'!$B$9)/SQRT((((134-43)*MAX('Inputs'!$B$33,'Inputs'!$B$29+'Inputs'!$B$31+'Inputs'!$B$32,'Inputs'!$B$30+'Inputs'!$B$31+'Inputs'!$B$32)/1000+'Inputs'!$B$21+'Inputs'!$B$7+'Inputs'!$B$10)+'Inputs'!$B$9)^2+('Inputs'!$B$8/2)^2)-(((134-43)*MAX('Inputs'!$B$33,'Inputs'!$B$29+'Inputs'!$B$31+'Inputs'!$B$32,'Inputs'!$B$30+'Inputs'!$B$31+'Inputs'!$B$32)/1000+'Inputs'!$B$21+'Inputs'!$B$7+'Inputs'!$B$10))/SQRT((((134-43)*MAX('Inputs'!$B$33,'Inputs'!$B$29+'Inputs'!$B$31+'Inputs'!$B$32,'Inputs'!$B$30+'Inputs'!$B$31+'Inputs'!$B$32)/1000+'Inputs'!$B$21+'Inputs'!$B$7+'Inputs'!$B$10))^2+('Inputs'!$B$8/2)^2))))*'Results'!$B$8)+'Inputs'!$B$28*ABS((('Results'!B7*(1+'Inputs'!$B$24)*(0.5*((((134-43)*MAX('Inputs'!$B$33,'Inputs'!$B$29+'Inputs'!$B$31+'Inputs'!$B$32,'Inputs'!$B$30+'Inputs'!$B$31+'Inputs'!$B$32)/1000+'Inputs'!$B$21)+'Inputs'!$B$7)/SQRT((((134-43)*MAX('Inputs'!$B$33,'Inputs'!$B$29+'Inputs'!$B$31+'Inputs'!$B$32,'Inputs'!$B$30+'Inputs'!$B$31+'Inputs'!$B$32)/1000+'Inputs'!$B$21)+'Inputs'!$B$7)^2+('Inputs'!$B$6/2)^2)-(((134-43)*MAX('Inputs'!$B$33,'Inputs'!$B$29+'Inputs'!$B$31+'Inputs'!$B$32,'Inputs'!$B$30+'Inputs'!$B$31+'Inputs'!$B$32)/1000+'Inputs'!$B$21))/SQRT((((134-43)*MAX('Inputs'!$B$33,'Inputs'!$B$29+'Inputs'!$B$31+'Inputs'!$B$32,'Inputs'!$B$30+'Inputs'!$B$31+'Inputs'!$B$32)/1000+'Inputs'!$B$21))^2+('Inputs'!$B$6/2)^2)))-'Results'!C7*(1-'Inputs'!$B$24)*(0.5*((((134-43)*MAX('Inputs'!$B$33,'Inputs'!$B$29+'Inputs'!$B$31+'Inputs'!$B$32,'Inputs'!$B$30+'Inputs'!$B$31+'Inputs'!$B$32)/1000+'Inputs'!$B$21+'Inputs'!$B$7+'Inputs'!$B$10)+'Inputs'!$B$9)/SQRT((((134-43)*MAX('Inputs'!$B$33,'Inputs'!$B$29+'Inputs'!$B$31+'Inputs'!$B$32,'Inputs'!$B$30+'Inputs'!$B$31+'Inputs'!$B$32)/1000+'Inputs'!$B$21+'Inputs'!$B$7+'Inputs'!$B$10)+'Inputs'!$B$9)^2+('Inputs'!$B$8/2)^2)-(((134-43)*MAX('Inputs'!$B$33,'Inputs'!$B$29+'Inputs'!$B$31+'Inputs'!$B$32,'Inputs'!$B$30+'Inputs'!$B$31+'Inputs'!$B$32)/1000+'Inputs'!$B$21+'Inputs'!$B$7+'Inputs'!$B$10))/SQRT((((134-43)*MAX('Inputs'!$B$33,'Inputs'!$B$29+'Inputs'!$B$31+'Inputs'!$B$32,'Inputs'!$B$30+'Inputs'!$B$31+'Inputs'!$B$32)/1000+'Inputs'!$B$21+'Inputs'!$B$7+'Inputs'!$B$10))^2+('Inputs'!$B$8/2)^2))))*'Results'!$B$8))),"")</x:f>
        <x:v>476.8901506222831</x:v>
      </x:c>
      <x:c r="M134" t="n">
        <x:f>IF(AND(ISNUMBER('Results'!C7),ISNUMBER('Results'!B7),ISNUMBER('Results'!$B$8),ISNUMBER('Inputs'!$B$6),ISNUMBER('Inputs'!$B$7),ISNUMBER('Inputs'!$B$8),ISNUMBER('Inputs'!$B$9),ISNUMBER('Inputs'!$B$10),ISNUMBER('Inputs'!$B$21),ISNUMBER('Inputs'!$B$24),ISNUMBER('Inputs'!$B$28)),(('Results'!C7*(0.5*((((134-43)*MAX('Inputs'!$B$33,'Inputs'!$B$29+'Inputs'!$B$31+'Inputs'!$B$32,'Inputs'!$B$30+'Inputs'!$B$31+'Inputs'!$B$32)/1000+'Inputs'!$B$21)+'Inputs'!$B$9)/SQRT((((134-43)*MAX('Inputs'!$B$33,'Inputs'!$B$29+'Inputs'!$B$31+'Inputs'!$B$32,'Inputs'!$B$30+'Inputs'!$B$31+'Inputs'!$B$32)/1000+'Inputs'!$B$21)+'Inputs'!$B$9)^2+('Inputs'!$B$8/2)^2)-(((134-43)*MAX('Inputs'!$B$33,'Inputs'!$B$29+'Inputs'!$B$31+'Inputs'!$B$32,'Inputs'!$B$30+'Inputs'!$B$31+'Inputs'!$B$32)/1000+'Inputs'!$B$21))/SQRT((((134-43)*MAX('Inputs'!$B$33,'Inputs'!$B$29+'Inputs'!$B$31+'Inputs'!$B$32,'Inputs'!$B$30+'Inputs'!$B$31+'Inputs'!$B$32)/1000+'Inputs'!$B$21))^2+('Inputs'!$B$8/2)^2)))-'Results'!B7*(0.5*((((134-43)*MAX('Inputs'!$B$33,'Inputs'!$B$29+'Inputs'!$B$31+'Inputs'!$B$32,'Inputs'!$B$30+'Inputs'!$B$31+'Inputs'!$B$32)/1000+'Inputs'!$B$21+'Inputs'!$B$9+'Inputs'!$B$10)+'Inputs'!$B$7)/SQRT((((134-43)*MAX('Inputs'!$B$33,'Inputs'!$B$29+'Inputs'!$B$31+'Inputs'!$B$32,'Inputs'!$B$30+'Inputs'!$B$31+'Inputs'!$B$32)/1000+'Inputs'!$B$21+'Inputs'!$B$9+'Inputs'!$B$10)+'Inputs'!$B$7)^2+('Inputs'!$B$6/2)^2)-(((134-43)*MAX('Inputs'!$B$33,'Inputs'!$B$29+'Inputs'!$B$31+'Inputs'!$B$32,'Inputs'!$B$30+'Inputs'!$B$31+'Inputs'!$B$32)/1000+'Inputs'!$B$21+'Inputs'!$B$9+'Inputs'!$B$10))/SQRT((((134-43)*MAX('Inputs'!$B$33,'Inputs'!$B$29+'Inputs'!$B$31+'Inputs'!$B$32,'Inputs'!$B$30+'Inputs'!$B$31+'Inputs'!$B$32)/1000+'Inputs'!$B$21+'Inputs'!$B$9+'Inputs'!$B$10))^2+('Inputs'!$B$6/2)^2))))*'Results'!$B$8),"")</x:f>
        <x:v>428.75753889496315</x:v>
      </x:c>
      <x:c r="N134" t="n">
        <x:f>IF(AND(ISNUMBER('Results'!C7),ISNUMBER('Results'!B7),ISNUMBER('Results'!$B$8),ISNUMBER('Inputs'!$B$6),ISNUMBER('Inputs'!$B$7),ISNUMBER('Inputs'!$B$8),ISNUMBER('Inputs'!$B$9),ISNUMBER('Inputs'!$B$10),ISNUMBER('Inputs'!$B$21),ISNUMBER('Inputs'!$B$24),ISNUMBER('Inputs'!$B$28)),((('Results'!C7*(1-'Inputs'!$B$24)*(0.5*((((134-43)*MAX('Inputs'!$B$33,'Inputs'!$B$29+'Inputs'!$B$31+'Inputs'!$B$32,'Inputs'!$B$30+'Inputs'!$B$31+'Inputs'!$B$32)/1000+'Inputs'!$B$21)+'Inputs'!$B$9)/SQRT((((134-43)*MAX('Inputs'!$B$33,'Inputs'!$B$29+'Inputs'!$B$31+'Inputs'!$B$32,'Inputs'!$B$30+'Inputs'!$B$31+'Inputs'!$B$32)/1000+'Inputs'!$B$21)+'Inputs'!$B$9)^2+('Inputs'!$B$8/2)^2)-(((134-43)*MAX('Inputs'!$B$33,'Inputs'!$B$29+'Inputs'!$B$31+'Inputs'!$B$32,'Inputs'!$B$30+'Inputs'!$B$31+'Inputs'!$B$32)/1000+'Inputs'!$B$21))/SQRT((((134-43)*MAX('Inputs'!$B$33,'Inputs'!$B$29+'Inputs'!$B$31+'Inputs'!$B$32,'Inputs'!$B$30+'Inputs'!$B$31+'Inputs'!$B$32)/1000+'Inputs'!$B$21))^2+('Inputs'!$B$8/2)^2)))-'Results'!B7*(1+'Inputs'!$B$24)*(0.5*((((134-43)*MAX('Inputs'!$B$33,'Inputs'!$B$29+'Inputs'!$B$31+'Inputs'!$B$32,'Inputs'!$B$30+'Inputs'!$B$31+'Inputs'!$B$32)/1000+'Inputs'!$B$21+'Inputs'!$B$9+'Inputs'!$B$10)+'Inputs'!$B$7)/SQRT((((134-43)*MAX('Inputs'!$B$33,'Inputs'!$B$29+'Inputs'!$B$31+'Inputs'!$B$32,'Inputs'!$B$30+'Inputs'!$B$31+'Inputs'!$B$32)/1000+'Inputs'!$B$21+'Inputs'!$B$9+'Inputs'!$B$10)+'Inputs'!$B$7)^2+('Inputs'!$B$6/2)^2)-(((134-43)*MAX('Inputs'!$B$33,'Inputs'!$B$29+'Inputs'!$B$31+'Inputs'!$B$32,'Inputs'!$B$30+'Inputs'!$B$31+'Inputs'!$B$32)/1000+'Inputs'!$B$21+'Inputs'!$B$9+'Inputs'!$B$10))/SQRT((((134-43)*MAX('Inputs'!$B$33,'Inputs'!$B$29+'Inputs'!$B$31+'Inputs'!$B$32,'Inputs'!$B$30+'Inputs'!$B$31+'Inputs'!$B$32)/1000+'Inputs'!$B$21+'Inputs'!$B$9+'Inputs'!$B$10))^2+('Inputs'!$B$6/2)^2))))*'Results'!$B$8)-'Inputs'!$B$28*ABS((('Results'!C7*(1-'Inputs'!$B$24)*(0.5*((((134-43)*MAX('Inputs'!$B$33,'Inputs'!$B$29+'Inputs'!$B$31+'Inputs'!$B$32,'Inputs'!$B$30+'Inputs'!$B$31+'Inputs'!$B$32)/1000+'Inputs'!$B$21)+'Inputs'!$B$9)/SQRT((((134-43)*MAX('Inputs'!$B$33,'Inputs'!$B$29+'Inputs'!$B$31+'Inputs'!$B$32,'Inputs'!$B$30+'Inputs'!$B$31+'Inputs'!$B$32)/1000+'Inputs'!$B$21)+'Inputs'!$B$9)^2+('Inputs'!$B$8/2)^2)-(((134-43)*MAX('Inputs'!$B$33,'Inputs'!$B$29+'Inputs'!$B$31+'Inputs'!$B$32,'Inputs'!$B$30+'Inputs'!$B$31+'Inputs'!$B$32)/1000+'Inputs'!$B$21))/SQRT((((134-43)*MAX('Inputs'!$B$33,'Inputs'!$B$29+'Inputs'!$B$31+'Inputs'!$B$32,'Inputs'!$B$30+'Inputs'!$B$31+'Inputs'!$B$32)/1000+'Inputs'!$B$21))^2+('Inputs'!$B$8/2)^2)))-'Results'!B7*(1+'Inputs'!$B$24)*(0.5*((((134-43)*MAX('Inputs'!$B$33,'Inputs'!$B$29+'Inputs'!$B$31+'Inputs'!$B$32,'Inputs'!$B$30+'Inputs'!$B$31+'Inputs'!$B$32)/1000+'Inputs'!$B$21+'Inputs'!$B$9+'Inputs'!$B$10)+'Inputs'!$B$7)/SQRT((((134-43)*MAX('Inputs'!$B$33,'Inputs'!$B$29+'Inputs'!$B$31+'Inputs'!$B$32,'Inputs'!$B$30+'Inputs'!$B$31+'Inputs'!$B$32)/1000+'Inputs'!$B$21+'Inputs'!$B$9+'Inputs'!$B$10)+'Inputs'!$B$7)^2+('Inputs'!$B$6/2)^2)-(((134-43)*MAX('Inputs'!$B$33,'Inputs'!$B$29+'Inputs'!$B$31+'Inputs'!$B$32,'Inputs'!$B$30+'Inputs'!$B$31+'Inputs'!$B$32)/1000+'Inputs'!$B$21+'Inputs'!$B$9+'Inputs'!$B$10))/SQRT((((134-43)*MAX('Inputs'!$B$33,'Inputs'!$B$29+'Inputs'!$B$31+'Inputs'!$B$32,'Inputs'!$B$30+'Inputs'!$B$31+'Inputs'!$B$32)/1000+'Inputs'!$B$21+'Inputs'!$B$9+'Inputs'!$B$10))^2+('Inputs'!$B$6/2)^2))))*'Results'!$B$8))),"")</x:f>
        <x:v>395.4292097176033</x:v>
      </x:c>
      <x:c r="O134" t="n">
        <x:f>IF(AND(ISNUMBER('Results'!C7),ISNUMBER('Results'!B7),ISNUMBER('Results'!$B$8),ISNUMBER('Inputs'!$B$6),ISNUMBER('Inputs'!$B$7),ISNUMBER('Inputs'!$B$8),ISNUMBER('Inputs'!$B$9),ISNUMBER('Inputs'!$B$10),ISNUMBER('Inputs'!$B$21),ISNUMBER('Inputs'!$B$24),ISNUMBER('Inputs'!$B$28)),((('Results'!C7*(1+'Inputs'!$B$24)*(0.5*((((134-43)*MAX('Inputs'!$B$33,'Inputs'!$B$29+'Inputs'!$B$31+'Inputs'!$B$32,'Inputs'!$B$30+'Inputs'!$B$31+'Inputs'!$B$32)/1000+'Inputs'!$B$21)+'Inputs'!$B$9)/SQRT((((134-43)*MAX('Inputs'!$B$33,'Inputs'!$B$29+'Inputs'!$B$31+'Inputs'!$B$32,'Inputs'!$B$30+'Inputs'!$B$31+'Inputs'!$B$32)/1000+'Inputs'!$B$21)+'Inputs'!$B$9)^2+('Inputs'!$B$8/2)^2)-(((134-43)*MAX('Inputs'!$B$33,'Inputs'!$B$29+'Inputs'!$B$31+'Inputs'!$B$32,'Inputs'!$B$30+'Inputs'!$B$31+'Inputs'!$B$32)/1000+'Inputs'!$B$21))/SQRT((((134-43)*MAX('Inputs'!$B$33,'Inputs'!$B$29+'Inputs'!$B$31+'Inputs'!$B$32,'Inputs'!$B$30+'Inputs'!$B$31+'Inputs'!$B$32)/1000+'Inputs'!$B$21))^2+('Inputs'!$B$8/2)^2)))-'Results'!B7*(1-'Inputs'!$B$24)*(0.5*((((134-43)*MAX('Inputs'!$B$33,'Inputs'!$B$29+'Inputs'!$B$31+'Inputs'!$B$32,'Inputs'!$B$30+'Inputs'!$B$31+'Inputs'!$B$32)/1000+'Inputs'!$B$21+'Inputs'!$B$9+'Inputs'!$B$10)+'Inputs'!$B$7)/SQRT((((134-43)*MAX('Inputs'!$B$33,'Inputs'!$B$29+'Inputs'!$B$31+'Inputs'!$B$32,'Inputs'!$B$30+'Inputs'!$B$31+'Inputs'!$B$32)/1000+'Inputs'!$B$21+'Inputs'!$B$9+'Inputs'!$B$10)+'Inputs'!$B$7)^2+('Inputs'!$B$6/2)^2)-(((134-43)*MAX('Inputs'!$B$33,'Inputs'!$B$29+'Inputs'!$B$31+'Inputs'!$B$32,'Inputs'!$B$30+'Inputs'!$B$31+'Inputs'!$B$32)/1000+'Inputs'!$B$21+'Inputs'!$B$9+'Inputs'!$B$10))/SQRT((((134-43)*MAX('Inputs'!$B$33,'Inputs'!$B$29+'Inputs'!$B$31+'Inputs'!$B$32,'Inputs'!$B$30+'Inputs'!$B$31+'Inputs'!$B$32)/1000+'Inputs'!$B$21+'Inputs'!$B$9+'Inputs'!$B$10))^2+('Inputs'!$B$6/2)^2))))*'Results'!$B$8)+'Inputs'!$B$28*ABS((('Results'!C7*(1+'Inputs'!$B$24)*(0.5*((((134-43)*MAX('Inputs'!$B$33,'Inputs'!$B$29+'Inputs'!$B$31+'Inputs'!$B$32,'Inputs'!$B$30+'Inputs'!$B$31+'Inputs'!$B$32)/1000+'Inputs'!$B$21)+'Inputs'!$B$9)/SQRT((((134-43)*MAX('Inputs'!$B$33,'Inputs'!$B$29+'Inputs'!$B$31+'Inputs'!$B$32,'Inputs'!$B$30+'Inputs'!$B$31+'Inputs'!$B$32)/1000+'Inputs'!$B$21)+'Inputs'!$B$9)^2+('Inputs'!$B$8/2)^2)-(((134-43)*MAX('Inputs'!$B$33,'Inputs'!$B$29+'Inputs'!$B$31+'Inputs'!$B$32,'Inputs'!$B$30+'Inputs'!$B$31+'Inputs'!$B$32)/1000+'Inputs'!$B$21))/SQRT((((134-43)*MAX('Inputs'!$B$33,'Inputs'!$B$29+'Inputs'!$B$31+'Inputs'!$B$32,'Inputs'!$B$30+'Inputs'!$B$31+'Inputs'!$B$32)/1000+'Inputs'!$B$21))^2+('Inputs'!$B$8/2)^2)))-'Results'!B7*(1-'Inputs'!$B$24)*(0.5*((((134-43)*MAX('Inputs'!$B$33,'Inputs'!$B$29+'Inputs'!$B$31+'Inputs'!$B$32,'Inputs'!$B$30+'Inputs'!$B$31+'Inputs'!$B$32)/1000+'Inputs'!$B$21+'Inputs'!$B$9+'Inputs'!$B$10)+'Inputs'!$B$7)/SQRT((((134-43)*MAX('Inputs'!$B$33,'Inputs'!$B$29+'Inputs'!$B$31+'Inputs'!$B$32,'Inputs'!$B$30+'Inputs'!$B$31+'Inputs'!$B$32)/1000+'Inputs'!$B$21+'Inputs'!$B$9+'Inputs'!$B$10)+'Inputs'!$B$7)^2+('Inputs'!$B$6/2)^2)-(((134-43)*MAX('Inputs'!$B$33,'Inputs'!$B$29+'Inputs'!$B$31+'Inputs'!$B$32,'Inputs'!$B$30+'Inputs'!$B$31+'Inputs'!$B$32)/1000+'Inputs'!$B$21+'Inputs'!$B$9+'Inputs'!$B$10))/SQRT((((134-43)*MAX('Inputs'!$B$33,'Inputs'!$B$29+'Inputs'!$B$31+'Inputs'!$B$32,'Inputs'!$B$30+'Inputs'!$B$31+'Inputs'!$B$32)/1000+'Inputs'!$B$21+'Inputs'!$B$9+'Inputs'!$B$10))^2+('Inputs'!$B$6/2)^2))))*'Results'!$B$8))),"")</x:f>
        <x:v>463.3374946231242</x:v>
      </x:c>
      <x:c r="P134" t="n">
        <x:f>IF(AND(MAX(J134,J133)&gt;0,J134&gt;J133+0.00000001),1,0)</x:f>
        <x:v>0</x:v>
      </x:c>
      <x:c r="Q134" t="n">
        <x:f>IF(AND(MAX(K134,K133)&gt;0,K134&gt;K133+0.00000001),1,0)</x:f>
        <x:v>0</x:v>
      </x:c>
      <x:c r="R134" t="n">
        <x:f>IF(AND(MAX(L134,L133)&gt;0,L134&gt;L133+0.00000001),1,0)</x:f>
        <x:v>0</x:v>
      </x:c>
      <x:c r="S134" t="n">
        <x:f>IF(AND(MAX(M134,M133)&gt;0,M134&gt;M133+0.00000001),1,0)</x:f>
        <x:v>0</x:v>
      </x:c>
      <x:c r="T134" t="n">
        <x:f>IF(AND(MAX(N134,N133)&gt;0,N134&gt;N133+0.00000001),1,0)</x:f>
        <x:v>0</x:v>
      </x:c>
      <x:c r="U134" t="n">
        <x:f>IF(AND(MAX(O134,O133)&gt;0,O134&gt;O133+0.00000001),1,0)</x:f>
        <x:v>0</x:v>
      </x:c>
    </x:row>
    <x:row r="135">
      <x:c r="J135" t="n">
        <x:f>IF(AND(ISNUMBER('Results'!B7),ISNUMBER('Results'!C7),ISNUMBER('Results'!$B$8),ISNUMBER('Inputs'!$B$6),ISNUMBER('Inputs'!$B$7),ISNUMBER('Inputs'!$B$8),ISNUMBER('Inputs'!$B$9),ISNUMBER('Inputs'!$B$10),ISNUMBER('Inputs'!$B$21),ISNUMBER('Inputs'!$B$24),ISNUMBER('Inputs'!$B$28)),(('Results'!B7*(0.5*((((135-43)*MAX('Inputs'!$B$33,'Inputs'!$B$29+'Inputs'!$B$31+'Inputs'!$B$32,'Inputs'!$B$30+'Inputs'!$B$31+'Inputs'!$B$32)/1000+'Inputs'!$B$21)+'Inputs'!$B$7)/SQRT((((135-43)*MAX('Inputs'!$B$33,'Inputs'!$B$29+'Inputs'!$B$31+'Inputs'!$B$32,'Inputs'!$B$30+'Inputs'!$B$31+'Inputs'!$B$32)/1000+'Inputs'!$B$21)+'Inputs'!$B$7)^2+('Inputs'!$B$6/2)^2)-(((135-43)*MAX('Inputs'!$B$33,'Inputs'!$B$29+'Inputs'!$B$31+'Inputs'!$B$32,'Inputs'!$B$30+'Inputs'!$B$31+'Inputs'!$B$32)/1000+'Inputs'!$B$21))/SQRT((((135-43)*MAX('Inputs'!$B$33,'Inputs'!$B$29+'Inputs'!$B$31+'Inputs'!$B$32,'Inputs'!$B$30+'Inputs'!$B$31+'Inputs'!$B$32)/1000+'Inputs'!$B$21))^2+('Inputs'!$B$6/2)^2)))-'Results'!C7*(0.5*((((135-43)*MAX('Inputs'!$B$33,'Inputs'!$B$29+'Inputs'!$B$31+'Inputs'!$B$32,'Inputs'!$B$30+'Inputs'!$B$31+'Inputs'!$B$32)/1000+'Inputs'!$B$21+'Inputs'!$B$7+'Inputs'!$B$10)+'Inputs'!$B$9)/SQRT((((135-43)*MAX('Inputs'!$B$33,'Inputs'!$B$29+'Inputs'!$B$31+'Inputs'!$B$32,'Inputs'!$B$30+'Inputs'!$B$31+'Inputs'!$B$32)/1000+'Inputs'!$B$21+'Inputs'!$B$7+'Inputs'!$B$10)+'Inputs'!$B$9)^2+('Inputs'!$B$8/2)^2)-(((135-43)*MAX('Inputs'!$B$33,'Inputs'!$B$29+'Inputs'!$B$31+'Inputs'!$B$32,'Inputs'!$B$30+'Inputs'!$B$31+'Inputs'!$B$32)/1000+'Inputs'!$B$21+'Inputs'!$B$7+'Inputs'!$B$10))/SQRT((((135-43)*MAX('Inputs'!$B$33,'Inputs'!$B$29+'Inputs'!$B$31+'Inputs'!$B$32,'Inputs'!$B$30+'Inputs'!$B$31+'Inputs'!$B$32)/1000+'Inputs'!$B$21+'Inputs'!$B$7+'Inputs'!$B$10))^2+('Inputs'!$B$8/2)^2))))*'Results'!$B$8),"")</x:f>
        <x:v>433.06618484025796</x:v>
      </x:c>
      <x:c r="K135" t="n">
        <x:f>IF(AND(ISNUMBER('Results'!B7),ISNUMBER('Results'!C7),ISNUMBER('Results'!$B$8),ISNUMBER('Inputs'!$B$6),ISNUMBER('Inputs'!$B$7),ISNUMBER('Inputs'!$B$8),ISNUMBER('Inputs'!$B$9),ISNUMBER('Inputs'!$B$10),ISNUMBER('Inputs'!$B$21),ISNUMBER('Inputs'!$B$24),ISNUMBER('Inputs'!$B$28)),((('Results'!B7*(1-'Inputs'!$B$24)*(0.5*((((135-43)*MAX('Inputs'!$B$33,'Inputs'!$B$29+'Inputs'!$B$31+'Inputs'!$B$32,'Inputs'!$B$30+'Inputs'!$B$31+'Inputs'!$B$32)/1000+'Inputs'!$B$21)+'Inputs'!$B$7)/SQRT((((135-43)*MAX('Inputs'!$B$33,'Inputs'!$B$29+'Inputs'!$B$31+'Inputs'!$B$32,'Inputs'!$B$30+'Inputs'!$B$31+'Inputs'!$B$32)/1000+'Inputs'!$B$21)+'Inputs'!$B$7)^2+('Inputs'!$B$6/2)^2)-(((135-43)*MAX('Inputs'!$B$33,'Inputs'!$B$29+'Inputs'!$B$31+'Inputs'!$B$32,'Inputs'!$B$30+'Inputs'!$B$31+'Inputs'!$B$32)/1000+'Inputs'!$B$21))/SQRT((((135-43)*MAX('Inputs'!$B$33,'Inputs'!$B$29+'Inputs'!$B$31+'Inputs'!$B$32,'Inputs'!$B$30+'Inputs'!$B$31+'Inputs'!$B$32)/1000+'Inputs'!$B$21))^2+('Inputs'!$B$6/2)^2)))-'Results'!C7*(1+'Inputs'!$B$24)*(0.5*((((135-43)*MAX('Inputs'!$B$33,'Inputs'!$B$29+'Inputs'!$B$31+'Inputs'!$B$32,'Inputs'!$B$30+'Inputs'!$B$31+'Inputs'!$B$32)/1000+'Inputs'!$B$21+'Inputs'!$B$7+'Inputs'!$B$10)+'Inputs'!$B$9)/SQRT((((135-43)*MAX('Inputs'!$B$33,'Inputs'!$B$29+'Inputs'!$B$31+'Inputs'!$B$32,'Inputs'!$B$30+'Inputs'!$B$31+'Inputs'!$B$32)/1000+'Inputs'!$B$21+'Inputs'!$B$7+'Inputs'!$B$10)+'Inputs'!$B$9)^2+('Inputs'!$B$8/2)^2)-(((135-43)*MAX('Inputs'!$B$33,'Inputs'!$B$29+'Inputs'!$B$31+'Inputs'!$B$32,'Inputs'!$B$30+'Inputs'!$B$31+'Inputs'!$B$32)/1000+'Inputs'!$B$21+'Inputs'!$B$7+'Inputs'!$B$10))/SQRT((((135-43)*MAX('Inputs'!$B$33,'Inputs'!$B$29+'Inputs'!$B$31+'Inputs'!$B$32,'Inputs'!$B$30+'Inputs'!$B$31+'Inputs'!$B$32)/1000+'Inputs'!$B$21+'Inputs'!$B$7+'Inputs'!$B$10))^2+('Inputs'!$B$8/2)^2))))*'Results'!$B$8)-'Inputs'!$B$28*ABS((('Results'!B7*(1-'Inputs'!$B$24)*(0.5*((((135-43)*MAX('Inputs'!$B$33,'Inputs'!$B$29+'Inputs'!$B$31+'Inputs'!$B$32,'Inputs'!$B$30+'Inputs'!$B$31+'Inputs'!$B$32)/1000+'Inputs'!$B$21)+'Inputs'!$B$7)/SQRT((((135-43)*MAX('Inputs'!$B$33,'Inputs'!$B$29+'Inputs'!$B$31+'Inputs'!$B$32,'Inputs'!$B$30+'Inputs'!$B$31+'Inputs'!$B$32)/1000+'Inputs'!$B$21)+'Inputs'!$B$7)^2+('Inputs'!$B$6/2)^2)-(((135-43)*MAX('Inputs'!$B$33,'Inputs'!$B$29+'Inputs'!$B$31+'Inputs'!$B$32,'Inputs'!$B$30+'Inputs'!$B$31+'Inputs'!$B$32)/1000+'Inputs'!$B$21))/SQRT((((135-43)*MAX('Inputs'!$B$33,'Inputs'!$B$29+'Inputs'!$B$31+'Inputs'!$B$32,'Inputs'!$B$30+'Inputs'!$B$31+'Inputs'!$B$32)/1000+'Inputs'!$B$21))^2+('Inputs'!$B$6/2)^2)))-'Results'!C7*(1+'Inputs'!$B$24)*(0.5*((((135-43)*MAX('Inputs'!$B$33,'Inputs'!$B$29+'Inputs'!$B$31+'Inputs'!$B$32,'Inputs'!$B$30+'Inputs'!$B$31+'Inputs'!$B$32)/1000+'Inputs'!$B$21+'Inputs'!$B$7+'Inputs'!$B$10)+'Inputs'!$B$9)/SQRT((((135-43)*MAX('Inputs'!$B$33,'Inputs'!$B$29+'Inputs'!$B$31+'Inputs'!$B$32,'Inputs'!$B$30+'Inputs'!$B$31+'Inputs'!$B$32)/1000+'Inputs'!$B$21+'Inputs'!$B$7+'Inputs'!$B$10)+'Inputs'!$B$9)^2+('Inputs'!$B$8/2)^2)-(((135-43)*MAX('Inputs'!$B$33,'Inputs'!$B$29+'Inputs'!$B$31+'Inputs'!$B$32,'Inputs'!$B$30+'Inputs'!$B$31+'Inputs'!$B$32)/1000+'Inputs'!$B$21+'Inputs'!$B$7+'Inputs'!$B$10))/SQRT((((135-43)*MAX('Inputs'!$B$33,'Inputs'!$B$29+'Inputs'!$B$31+'Inputs'!$B$32,'Inputs'!$B$30+'Inputs'!$B$31+'Inputs'!$B$32)/1000+'Inputs'!$B$21+'Inputs'!$B$7+'Inputs'!$B$10))^2+('Inputs'!$B$8/2)^2))))*'Results'!$B$8))),"")</x:f>
        <x:v>399.5588230426933</x:v>
      </x:c>
      <x:c r="L135" t="n">
        <x:f>IF(AND(ISNUMBER('Results'!B7),ISNUMBER('Results'!C7),ISNUMBER('Results'!$B$8),ISNUMBER('Inputs'!$B$6),ISNUMBER('Inputs'!$B$7),ISNUMBER('Inputs'!$B$8),ISNUMBER('Inputs'!$B$9),ISNUMBER('Inputs'!$B$10),ISNUMBER('Inputs'!$B$21),ISNUMBER('Inputs'!$B$24),ISNUMBER('Inputs'!$B$28)),((('Results'!B7*(1+'Inputs'!$B$24)*(0.5*((((135-43)*MAX('Inputs'!$B$33,'Inputs'!$B$29+'Inputs'!$B$31+'Inputs'!$B$32,'Inputs'!$B$30+'Inputs'!$B$31+'Inputs'!$B$32)/1000+'Inputs'!$B$21)+'Inputs'!$B$7)/SQRT((((135-43)*MAX('Inputs'!$B$33,'Inputs'!$B$29+'Inputs'!$B$31+'Inputs'!$B$32,'Inputs'!$B$30+'Inputs'!$B$31+'Inputs'!$B$32)/1000+'Inputs'!$B$21)+'Inputs'!$B$7)^2+('Inputs'!$B$6/2)^2)-(((135-43)*MAX('Inputs'!$B$33,'Inputs'!$B$29+'Inputs'!$B$31+'Inputs'!$B$32,'Inputs'!$B$30+'Inputs'!$B$31+'Inputs'!$B$32)/1000+'Inputs'!$B$21))/SQRT((((135-43)*MAX('Inputs'!$B$33,'Inputs'!$B$29+'Inputs'!$B$31+'Inputs'!$B$32,'Inputs'!$B$30+'Inputs'!$B$31+'Inputs'!$B$32)/1000+'Inputs'!$B$21))^2+('Inputs'!$B$6/2)^2)))-'Results'!C7*(1-'Inputs'!$B$24)*(0.5*((((135-43)*MAX('Inputs'!$B$33,'Inputs'!$B$29+'Inputs'!$B$31+'Inputs'!$B$32,'Inputs'!$B$30+'Inputs'!$B$31+'Inputs'!$B$32)/1000+'Inputs'!$B$21+'Inputs'!$B$7+'Inputs'!$B$10)+'Inputs'!$B$9)/SQRT((((135-43)*MAX('Inputs'!$B$33,'Inputs'!$B$29+'Inputs'!$B$31+'Inputs'!$B$32,'Inputs'!$B$30+'Inputs'!$B$31+'Inputs'!$B$32)/1000+'Inputs'!$B$21+'Inputs'!$B$7+'Inputs'!$B$10)+'Inputs'!$B$9)^2+('Inputs'!$B$8/2)^2)-(((135-43)*MAX('Inputs'!$B$33,'Inputs'!$B$29+'Inputs'!$B$31+'Inputs'!$B$32,'Inputs'!$B$30+'Inputs'!$B$31+'Inputs'!$B$32)/1000+'Inputs'!$B$21+'Inputs'!$B$7+'Inputs'!$B$10))/SQRT((((135-43)*MAX('Inputs'!$B$33,'Inputs'!$B$29+'Inputs'!$B$31+'Inputs'!$B$32,'Inputs'!$B$30+'Inputs'!$B$31+'Inputs'!$B$32)/1000+'Inputs'!$B$21+'Inputs'!$B$7+'Inputs'!$B$10))^2+('Inputs'!$B$8/2)^2))))*'Results'!$B$8)+'Inputs'!$B$28*ABS((('Results'!B7*(1+'Inputs'!$B$24)*(0.5*((((135-43)*MAX('Inputs'!$B$33,'Inputs'!$B$29+'Inputs'!$B$31+'Inputs'!$B$32,'Inputs'!$B$30+'Inputs'!$B$31+'Inputs'!$B$32)/1000+'Inputs'!$B$21)+'Inputs'!$B$7)/SQRT((((135-43)*MAX('Inputs'!$B$33,'Inputs'!$B$29+'Inputs'!$B$31+'Inputs'!$B$32,'Inputs'!$B$30+'Inputs'!$B$31+'Inputs'!$B$32)/1000+'Inputs'!$B$21)+'Inputs'!$B$7)^2+('Inputs'!$B$6/2)^2)-(((135-43)*MAX('Inputs'!$B$33,'Inputs'!$B$29+'Inputs'!$B$31+'Inputs'!$B$32,'Inputs'!$B$30+'Inputs'!$B$31+'Inputs'!$B$32)/1000+'Inputs'!$B$21))/SQRT((((135-43)*MAX('Inputs'!$B$33,'Inputs'!$B$29+'Inputs'!$B$31+'Inputs'!$B$32,'Inputs'!$B$30+'Inputs'!$B$31+'Inputs'!$B$32)/1000+'Inputs'!$B$21))^2+('Inputs'!$B$6/2)^2)))-'Results'!C7*(1-'Inputs'!$B$24)*(0.5*((((135-43)*MAX('Inputs'!$B$33,'Inputs'!$B$29+'Inputs'!$B$31+'Inputs'!$B$32,'Inputs'!$B$30+'Inputs'!$B$31+'Inputs'!$B$32)/1000+'Inputs'!$B$21+'Inputs'!$B$7+'Inputs'!$B$10)+'Inputs'!$B$9)/SQRT((((135-43)*MAX('Inputs'!$B$33,'Inputs'!$B$29+'Inputs'!$B$31+'Inputs'!$B$32,'Inputs'!$B$30+'Inputs'!$B$31+'Inputs'!$B$32)/1000+'Inputs'!$B$21+'Inputs'!$B$7+'Inputs'!$B$10)+'Inputs'!$B$9)^2+('Inputs'!$B$8/2)^2)-(((135-43)*MAX('Inputs'!$B$33,'Inputs'!$B$29+'Inputs'!$B$31+'Inputs'!$B$32,'Inputs'!$B$30+'Inputs'!$B$31+'Inputs'!$B$32)/1000+'Inputs'!$B$21+'Inputs'!$B$7+'Inputs'!$B$10))/SQRT((((135-43)*MAX('Inputs'!$B$33,'Inputs'!$B$29+'Inputs'!$B$31+'Inputs'!$B$32,'Inputs'!$B$30+'Inputs'!$B$31+'Inputs'!$B$32)/1000+'Inputs'!$B$21+'Inputs'!$B$7+'Inputs'!$B$10))^2+('Inputs'!$B$8/2)^2))))*'Results'!$B$8))),"")</x:f>
        <x:v>467.82134164367</x:v>
      </x:c>
      <x:c r="M135" t="n">
        <x:f>IF(AND(ISNUMBER('Results'!C7),ISNUMBER('Results'!B7),ISNUMBER('Results'!$B$8),ISNUMBER('Inputs'!$B$6),ISNUMBER('Inputs'!$B$7),ISNUMBER('Inputs'!$B$8),ISNUMBER('Inputs'!$B$9),ISNUMBER('Inputs'!$B$10),ISNUMBER('Inputs'!$B$21),ISNUMBER('Inputs'!$B$24),ISNUMBER('Inputs'!$B$28)),(('Results'!C7*(0.5*((((135-43)*MAX('Inputs'!$B$33,'Inputs'!$B$29+'Inputs'!$B$31+'Inputs'!$B$32,'Inputs'!$B$30+'Inputs'!$B$31+'Inputs'!$B$32)/1000+'Inputs'!$B$21)+'Inputs'!$B$9)/SQRT((((135-43)*MAX('Inputs'!$B$33,'Inputs'!$B$29+'Inputs'!$B$31+'Inputs'!$B$32,'Inputs'!$B$30+'Inputs'!$B$31+'Inputs'!$B$32)/1000+'Inputs'!$B$21)+'Inputs'!$B$9)^2+('Inputs'!$B$8/2)^2)-(((135-43)*MAX('Inputs'!$B$33,'Inputs'!$B$29+'Inputs'!$B$31+'Inputs'!$B$32,'Inputs'!$B$30+'Inputs'!$B$31+'Inputs'!$B$32)/1000+'Inputs'!$B$21))/SQRT((((135-43)*MAX('Inputs'!$B$33,'Inputs'!$B$29+'Inputs'!$B$31+'Inputs'!$B$32,'Inputs'!$B$30+'Inputs'!$B$31+'Inputs'!$B$32)/1000+'Inputs'!$B$21))^2+('Inputs'!$B$8/2)^2)))-'Results'!B7*(0.5*((((135-43)*MAX('Inputs'!$B$33,'Inputs'!$B$29+'Inputs'!$B$31+'Inputs'!$B$32,'Inputs'!$B$30+'Inputs'!$B$31+'Inputs'!$B$32)/1000+'Inputs'!$B$21+'Inputs'!$B$9+'Inputs'!$B$10)+'Inputs'!$B$7)/SQRT((((135-43)*MAX('Inputs'!$B$33,'Inputs'!$B$29+'Inputs'!$B$31+'Inputs'!$B$32,'Inputs'!$B$30+'Inputs'!$B$31+'Inputs'!$B$32)/1000+'Inputs'!$B$21+'Inputs'!$B$9+'Inputs'!$B$10)+'Inputs'!$B$7)^2+('Inputs'!$B$6/2)^2)-(((135-43)*MAX('Inputs'!$B$33,'Inputs'!$B$29+'Inputs'!$B$31+'Inputs'!$B$32,'Inputs'!$B$30+'Inputs'!$B$31+'Inputs'!$B$32)/1000+'Inputs'!$B$21+'Inputs'!$B$9+'Inputs'!$B$10))/SQRT((((135-43)*MAX('Inputs'!$B$33,'Inputs'!$B$29+'Inputs'!$B$31+'Inputs'!$B$32,'Inputs'!$B$30+'Inputs'!$B$31+'Inputs'!$B$32)/1000+'Inputs'!$B$21+'Inputs'!$B$9+'Inputs'!$B$10))^2+('Inputs'!$B$6/2)^2))))*'Results'!$B$8),"")</x:f>
        <x:v>420.54928961482665</x:v>
      </x:c>
      <x:c r="N135" t="n">
        <x:f>IF(AND(ISNUMBER('Results'!C7),ISNUMBER('Results'!B7),ISNUMBER('Results'!$B$8),ISNUMBER('Inputs'!$B$6),ISNUMBER('Inputs'!$B$7),ISNUMBER('Inputs'!$B$8),ISNUMBER('Inputs'!$B$9),ISNUMBER('Inputs'!$B$10),ISNUMBER('Inputs'!$B$21),ISNUMBER('Inputs'!$B$24),ISNUMBER('Inputs'!$B$28)),((('Results'!C7*(1-'Inputs'!$B$24)*(0.5*((((135-43)*MAX('Inputs'!$B$33,'Inputs'!$B$29+'Inputs'!$B$31+'Inputs'!$B$32,'Inputs'!$B$30+'Inputs'!$B$31+'Inputs'!$B$32)/1000+'Inputs'!$B$21)+'Inputs'!$B$9)/SQRT((((135-43)*MAX('Inputs'!$B$33,'Inputs'!$B$29+'Inputs'!$B$31+'Inputs'!$B$32,'Inputs'!$B$30+'Inputs'!$B$31+'Inputs'!$B$32)/1000+'Inputs'!$B$21)+'Inputs'!$B$9)^2+('Inputs'!$B$8/2)^2)-(((135-43)*MAX('Inputs'!$B$33,'Inputs'!$B$29+'Inputs'!$B$31+'Inputs'!$B$32,'Inputs'!$B$30+'Inputs'!$B$31+'Inputs'!$B$32)/1000+'Inputs'!$B$21))/SQRT((((135-43)*MAX('Inputs'!$B$33,'Inputs'!$B$29+'Inputs'!$B$31+'Inputs'!$B$32,'Inputs'!$B$30+'Inputs'!$B$31+'Inputs'!$B$32)/1000+'Inputs'!$B$21))^2+('Inputs'!$B$8/2)^2)))-'Results'!B7*(1+'Inputs'!$B$24)*(0.5*((((135-43)*MAX('Inputs'!$B$33,'Inputs'!$B$29+'Inputs'!$B$31+'Inputs'!$B$32,'Inputs'!$B$30+'Inputs'!$B$31+'Inputs'!$B$32)/1000+'Inputs'!$B$21+'Inputs'!$B$9+'Inputs'!$B$10)+'Inputs'!$B$7)/SQRT((((135-43)*MAX('Inputs'!$B$33,'Inputs'!$B$29+'Inputs'!$B$31+'Inputs'!$B$32,'Inputs'!$B$30+'Inputs'!$B$31+'Inputs'!$B$32)/1000+'Inputs'!$B$21+'Inputs'!$B$9+'Inputs'!$B$10)+'Inputs'!$B$7)^2+('Inputs'!$B$6/2)^2)-(((135-43)*MAX('Inputs'!$B$33,'Inputs'!$B$29+'Inputs'!$B$31+'Inputs'!$B$32,'Inputs'!$B$30+'Inputs'!$B$31+'Inputs'!$B$32)/1000+'Inputs'!$B$21+'Inputs'!$B$9+'Inputs'!$B$10))/SQRT((((135-43)*MAX('Inputs'!$B$33,'Inputs'!$B$29+'Inputs'!$B$31+'Inputs'!$B$32,'Inputs'!$B$30+'Inputs'!$B$31+'Inputs'!$B$32)/1000+'Inputs'!$B$21+'Inputs'!$B$9+'Inputs'!$B$10))^2+('Inputs'!$B$6/2)^2))))*'Results'!$B$8)-'Inputs'!$B$28*ABS((('Results'!C7*(1-'Inputs'!$B$24)*(0.5*((((135-43)*MAX('Inputs'!$B$33,'Inputs'!$B$29+'Inputs'!$B$31+'Inputs'!$B$32,'Inputs'!$B$30+'Inputs'!$B$31+'Inputs'!$B$32)/1000+'Inputs'!$B$21)+'Inputs'!$B$9)/SQRT((((135-43)*MAX('Inputs'!$B$33,'Inputs'!$B$29+'Inputs'!$B$31+'Inputs'!$B$32,'Inputs'!$B$30+'Inputs'!$B$31+'Inputs'!$B$32)/1000+'Inputs'!$B$21)+'Inputs'!$B$9)^2+('Inputs'!$B$8/2)^2)-(((135-43)*MAX('Inputs'!$B$33,'Inputs'!$B$29+'Inputs'!$B$31+'Inputs'!$B$32,'Inputs'!$B$30+'Inputs'!$B$31+'Inputs'!$B$32)/1000+'Inputs'!$B$21))/SQRT((((135-43)*MAX('Inputs'!$B$33,'Inputs'!$B$29+'Inputs'!$B$31+'Inputs'!$B$32,'Inputs'!$B$30+'Inputs'!$B$31+'Inputs'!$B$32)/1000+'Inputs'!$B$21))^2+('Inputs'!$B$8/2)^2)))-'Results'!B7*(1+'Inputs'!$B$24)*(0.5*((((135-43)*MAX('Inputs'!$B$33,'Inputs'!$B$29+'Inputs'!$B$31+'Inputs'!$B$32,'Inputs'!$B$30+'Inputs'!$B$31+'Inputs'!$B$32)/1000+'Inputs'!$B$21+'Inputs'!$B$9+'Inputs'!$B$10)+'Inputs'!$B$7)/SQRT((((135-43)*MAX('Inputs'!$B$33,'Inputs'!$B$29+'Inputs'!$B$31+'Inputs'!$B$32,'Inputs'!$B$30+'Inputs'!$B$31+'Inputs'!$B$32)/1000+'Inputs'!$B$21+'Inputs'!$B$9+'Inputs'!$B$10)+'Inputs'!$B$7)^2+('Inputs'!$B$6/2)^2)-(((135-43)*MAX('Inputs'!$B$33,'Inputs'!$B$29+'Inputs'!$B$31+'Inputs'!$B$32,'Inputs'!$B$30+'Inputs'!$B$31+'Inputs'!$B$32)/1000+'Inputs'!$B$21+'Inputs'!$B$9+'Inputs'!$B$10))/SQRT((((135-43)*MAX('Inputs'!$B$33,'Inputs'!$B$29+'Inputs'!$B$31+'Inputs'!$B$32,'Inputs'!$B$30+'Inputs'!$B$31+'Inputs'!$B$32)/1000+'Inputs'!$B$21+'Inputs'!$B$9+'Inputs'!$B$10))^2+('Inputs'!$B$6/2)^2))))*'Results'!$B$8))),"")</x:f>
        <x:v>387.8315977706007</x:v>
      </x:c>
      <x:c r="O135" t="n">
        <x:f>IF(AND(ISNUMBER('Results'!C7),ISNUMBER('Results'!B7),ISNUMBER('Results'!$B$8),ISNUMBER('Inputs'!$B$6),ISNUMBER('Inputs'!$B$7),ISNUMBER('Inputs'!$B$8),ISNUMBER('Inputs'!$B$9),ISNUMBER('Inputs'!$B$10),ISNUMBER('Inputs'!$B$21),ISNUMBER('Inputs'!$B$24),ISNUMBER('Inputs'!$B$28)),((('Results'!C7*(1+'Inputs'!$B$24)*(0.5*((((135-43)*MAX('Inputs'!$B$33,'Inputs'!$B$29+'Inputs'!$B$31+'Inputs'!$B$32,'Inputs'!$B$30+'Inputs'!$B$31+'Inputs'!$B$32)/1000+'Inputs'!$B$21)+'Inputs'!$B$9)/SQRT((((135-43)*MAX('Inputs'!$B$33,'Inputs'!$B$29+'Inputs'!$B$31+'Inputs'!$B$32,'Inputs'!$B$30+'Inputs'!$B$31+'Inputs'!$B$32)/1000+'Inputs'!$B$21)+'Inputs'!$B$9)^2+('Inputs'!$B$8/2)^2)-(((135-43)*MAX('Inputs'!$B$33,'Inputs'!$B$29+'Inputs'!$B$31+'Inputs'!$B$32,'Inputs'!$B$30+'Inputs'!$B$31+'Inputs'!$B$32)/1000+'Inputs'!$B$21))/SQRT((((135-43)*MAX('Inputs'!$B$33,'Inputs'!$B$29+'Inputs'!$B$31+'Inputs'!$B$32,'Inputs'!$B$30+'Inputs'!$B$31+'Inputs'!$B$32)/1000+'Inputs'!$B$21))^2+('Inputs'!$B$8/2)^2)))-'Results'!B7*(1-'Inputs'!$B$24)*(0.5*((((135-43)*MAX('Inputs'!$B$33,'Inputs'!$B$29+'Inputs'!$B$31+'Inputs'!$B$32,'Inputs'!$B$30+'Inputs'!$B$31+'Inputs'!$B$32)/1000+'Inputs'!$B$21+'Inputs'!$B$9+'Inputs'!$B$10)+'Inputs'!$B$7)/SQRT((((135-43)*MAX('Inputs'!$B$33,'Inputs'!$B$29+'Inputs'!$B$31+'Inputs'!$B$32,'Inputs'!$B$30+'Inputs'!$B$31+'Inputs'!$B$32)/1000+'Inputs'!$B$21+'Inputs'!$B$9+'Inputs'!$B$10)+'Inputs'!$B$7)^2+('Inputs'!$B$6/2)^2)-(((135-43)*MAX('Inputs'!$B$33,'Inputs'!$B$29+'Inputs'!$B$31+'Inputs'!$B$32,'Inputs'!$B$30+'Inputs'!$B$31+'Inputs'!$B$32)/1000+'Inputs'!$B$21+'Inputs'!$B$9+'Inputs'!$B$10))/SQRT((((135-43)*MAX('Inputs'!$B$33,'Inputs'!$B$29+'Inputs'!$B$31+'Inputs'!$B$32,'Inputs'!$B$30+'Inputs'!$B$31+'Inputs'!$B$32)/1000+'Inputs'!$B$21+'Inputs'!$B$9+'Inputs'!$B$10))^2+('Inputs'!$B$6/2)^2))))*'Results'!$B$8)+'Inputs'!$B$28*ABS((('Results'!C7*(1+'Inputs'!$B$24)*(0.5*((((135-43)*MAX('Inputs'!$B$33,'Inputs'!$B$29+'Inputs'!$B$31+'Inputs'!$B$32,'Inputs'!$B$30+'Inputs'!$B$31+'Inputs'!$B$32)/1000+'Inputs'!$B$21)+'Inputs'!$B$9)/SQRT((((135-43)*MAX('Inputs'!$B$33,'Inputs'!$B$29+'Inputs'!$B$31+'Inputs'!$B$32,'Inputs'!$B$30+'Inputs'!$B$31+'Inputs'!$B$32)/1000+'Inputs'!$B$21)+'Inputs'!$B$9)^2+('Inputs'!$B$8/2)^2)-(((135-43)*MAX('Inputs'!$B$33,'Inputs'!$B$29+'Inputs'!$B$31+'Inputs'!$B$32,'Inputs'!$B$30+'Inputs'!$B$31+'Inputs'!$B$32)/1000+'Inputs'!$B$21))/SQRT((((135-43)*MAX('Inputs'!$B$33,'Inputs'!$B$29+'Inputs'!$B$31+'Inputs'!$B$32,'Inputs'!$B$30+'Inputs'!$B$31+'Inputs'!$B$32)/1000+'Inputs'!$B$21))^2+('Inputs'!$B$8/2)^2)))-'Results'!B7*(1-'Inputs'!$B$24)*(0.5*((((135-43)*MAX('Inputs'!$B$33,'Inputs'!$B$29+'Inputs'!$B$31+'Inputs'!$B$32,'Inputs'!$B$30+'Inputs'!$B$31+'Inputs'!$B$32)/1000+'Inputs'!$B$21+'Inputs'!$B$9+'Inputs'!$B$10)+'Inputs'!$B$7)/SQRT((((135-43)*MAX('Inputs'!$B$33,'Inputs'!$B$29+'Inputs'!$B$31+'Inputs'!$B$32,'Inputs'!$B$30+'Inputs'!$B$31+'Inputs'!$B$32)/1000+'Inputs'!$B$21+'Inputs'!$B$9+'Inputs'!$B$10)+'Inputs'!$B$7)^2+('Inputs'!$B$6/2)^2)-(((135-43)*MAX('Inputs'!$B$33,'Inputs'!$B$29+'Inputs'!$B$31+'Inputs'!$B$32,'Inputs'!$B$30+'Inputs'!$B$31+'Inputs'!$B$32)/1000+'Inputs'!$B$21+'Inputs'!$B$9+'Inputs'!$B$10))/SQRT((((135-43)*MAX('Inputs'!$B$33,'Inputs'!$B$29+'Inputs'!$B$31+'Inputs'!$B$32,'Inputs'!$B$30+'Inputs'!$B$31+'Inputs'!$B$32)/1000+'Inputs'!$B$21+'Inputs'!$B$9+'Inputs'!$B$10))^2+('Inputs'!$B$6/2)^2))))*'Results'!$B$8))),"")</x:f>
        <x:v>454.4975317078404</x:v>
      </x:c>
      <x:c r="P135" t="n">
        <x:f>IF(AND(MAX(J135,J134)&gt;0,J135&gt;J134+0.00000001),1,0)</x:f>
        <x:v>0</x:v>
      </x:c>
      <x:c r="Q135" t="n">
        <x:f>IF(AND(MAX(K135,K134)&gt;0,K135&gt;K134+0.00000001),1,0)</x:f>
        <x:v>0</x:v>
      </x:c>
      <x:c r="R135" t="n">
        <x:f>IF(AND(MAX(L135,L134)&gt;0,L135&gt;L134+0.00000001),1,0)</x:f>
        <x:v>0</x:v>
      </x:c>
      <x:c r="S135" t="n">
        <x:f>IF(AND(MAX(M135,M134)&gt;0,M135&gt;M134+0.00000001),1,0)</x:f>
        <x:v>0</x:v>
      </x:c>
      <x:c r="T135" t="n">
        <x:f>IF(AND(MAX(N135,N134)&gt;0,N135&gt;N134+0.00000001),1,0)</x:f>
        <x:v>0</x:v>
      </x:c>
      <x:c r="U135" t="n">
        <x:f>IF(AND(MAX(O135,O134)&gt;0,O135&gt;O134+0.00000001),1,0)</x:f>
        <x:v>0</x:v>
      </x:c>
    </x:row>
    <x:row r="136">
      <x:c r="J136" t="n">
        <x:f>IF(AND(ISNUMBER('Results'!B7),ISNUMBER('Results'!C7),ISNUMBER('Results'!$B$8),ISNUMBER('Inputs'!$B$6),ISNUMBER('Inputs'!$B$7),ISNUMBER('Inputs'!$B$8),ISNUMBER('Inputs'!$B$9),ISNUMBER('Inputs'!$B$10),ISNUMBER('Inputs'!$B$21),ISNUMBER('Inputs'!$B$24),ISNUMBER('Inputs'!$B$28)),(('Results'!B7*(0.5*((((136-43)*MAX('Inputs'!$B$33,'Inputs'!$B$29+'Inputs'!$B$31+'Inputs'!$B$32,'Inputs'!$B$30+'Inputs'!$B$31+'Inputs'!$B$32)/1000+'Inputs'!$B$21)+'Inputs'!$B$7)/SQRT((((136-43)*MAX('Inputs'!$B$33,'Inputs'!$B$29+'Inputs'!$B$31+'Inputs'!$B$32,'Inputs'!$B$30+'Inputs'!$B$31+'Inputs'!$B$32)/1000+'Inputs'!$B$21)+'Inputs'!$B$7)^2+('Inputs'!$B$6/2)^2)-(((136-43)*MAX('Inputs'!$B$33,'Inputs'!$B$29+'Inputs'!$B$31+'Inputs'!$B$32,'Inputs'!$B$30+'Inputs'!$B$31+'Inputs'!$B$32)/1000+'Inputs'!$B$21))/SQRT((((136-43)*MAX('Inputs'!$B$33,'Inputs'!$B$29+'Inputs'!$B$31+'Inputs'!$B$32,'Inputs'!$B$30+'Inputs'!$B$31+'Inputs'!$B$32)/1000+'Inputs'!$B$21))^2+('Inputs'!$B$6/2)^2)))-'Results'!C7*(0.5*((((136-43)*MAX('Inputs'!$B$33,'Inputs'!$B$29+'Inputs'!$B$31+'Inputs'!$B$32,'Inputs'!$B$30+'Inputs'!$B$31+'Inputs'!$B$32)/1000+'Inputs'!$B$21+'Inputs'!$B$7+'Inputs'!$B$10)+'Inputs'!$B$9)/SQRT((((136-43)*MAX('Inputs'!$B$33,'Inputs'!$B$29+'Inputs'!$B$31+'Inputs'!$B$32,'Inputs'!$B$30+'Inputs'!$B$31+'Inputs'!$B$32)/1000+'Inputs'!$B$21+'Inputs'!$B$7+'Inputs'!$B$10)+'Inputs'!$B$9)^2+('Inputs'!$B$8/2)^2)-(((136-43)*MAX('Inputs'!$B$33,'Inputs'!$B$29+'Inputs'!$B$31+'Inputs'!$B$32,'Inputs'!$B$30+'Inputs'!$B$31+'Inputs'!$B$32)/1000+'Inputs'!$B$21+'Inputs'!$B$7+'Inputs'!$B$10))/SQRT((((136-43)*MAX('Inputs'!$B$33,'Inputs'!$B$29+'Inputs'!$B$31+'Inputs'!$B$32,'Inputs'!$B$30+'Inputs'!$B$31+'Inputs'!$B$32)/1000+'Inputs'!$B$21+'Inputs'!$B$7+'Inputs'!$B$10))^2+('Inputs'!$B$8/2)^2))))*'Results'!$B$8),"")</x:f>
        <x:v>424.82120734597237</x:v>
      </x:c>
      <x:c r="K136" t="n">
        <x:f>IF(AND(ISNUMBER('Results'!B7),ISNUMBER('Results'!C7),ISNUMBER('Results'!$B$8),ISNUMBER('Inputs'!$B$6),ISNUMBER('Inputs'!$B$7),ISNUMBER('Inputs'!$B$8),ISNUMBER('Inputs'!$B$9),ISNUMBER('Inputs'!$B$10),ISNUMBER('Inputs'!$B$21),ISNUMBER('Inputs'!$B$24),ISNUMBER('Inputs'!$B$28)),((('Results'!B7*(1-'Inputs'!$B$24)*(0.5*((((136-43)*MAX('Inputs'!$B$33,'Inputs'!$B$29+'Inputs'!$B$31+'Inputs'!$B$32,'Inputs'!$B$30+'Inputs'!$B$31+'Inputs'!$B$32)/1000+'Inputs'!$B$21)+'Inputs'!$B$7)/SQRT((((136-43)*MAX('Inputs'!$B$33,'Inputs'!$B$29+'Inputs'!$B$31+'Inputs'!$B$32,'Inputs'!$B$30+'Inputs'!$B$31+'Inputs'!$B$32)/1000+'Inputs'!$B$21)+'Inputs'!$B$7)^2+('Inputs'!$B$6/2)^2)-(((136-43)*MAX('Inputs'!$B$33,'Inputs'!$B$29+'Inputs'!$B$31+'Inputs'!$B$32,'Inputs'!$B$30+'Inputs'!$B$31+'Inputs'!$B$32)/1000+'Inputs'!$B$21))/SQRT((((136-43)*MAX('Inputs'!$B$33,'Inputs'!$B$29+'Inputs'!$B$31+'Inputs'!$B$32,'Inputs'!$B$30+'Inputs'!$B$31+'Inputs'!$B$32)/1000+'Inputs'!$B$21))^2+('Inputs'!$B$6/2)^2)))-'Results'!C7*(1+'Inputs'!$B$24)*(0.5*((((136-43)*MAX('Inputs'!$B$33,'Inputs'!$B$29+'Inputs'!$B$31+'Inputs'!$B$32,'Inputs'!$B$30+'Inputs'!$B$31+'Inputs'!$B$32)/1000+'Inputs'!$B$21+'Inputs'!$B$7+'Inputs'!$B$10)+'Inputs'!$B$9)/SQRT((((136-43)*MAX('Inputs'!$B$33,'Inputs'!$B$29+'Inputs'!$B$31+'Inputs'!$B$32,'Inputs'!$B$30+'Inputs'!$B$31+'Inputs'!$B$32)/1000+'Inputs'!$B$21+'Inputs'!$B$7+'Inputs'!$B$10)+'Inputs'!$B$9)^2+('Inputs'!$B$8/2)^2)-(((136-43)*MAX('Inputs'!$B$33,'Inputs'!$B$29+'Inputs'!$B$31+'Inputs'!$B$32,'Inputs'!$B$30+'Inputs'!$B$31+'Inputs'!$B$32)/1000+'Inputs'!$B$21+'Inputs'!$B$7+'Inputs'!$B$10))/SQRT((((136-43)*MAX('Inputs'!$B$33,'Inputs'!$B$29+'Inputs'!$B$31+'Inputs'!$B$32,'Inputs'!$B$30+'Inputs'!$B$31+'Inputs'!$B$32)/1000+'Inputs'!$B$21+'Inputs'!$B$7+'Inputs'!$B$10))^2+('Inputs'!$B$8/2)^2))))*'Results'!$B$8)-'Inputs'!$B$28*ABS((('Results'!B7*(1-'Inputs'!$B$24)*(0.5*((((136-43)*MAX('Inputs'!$B$33,'Inputs'!$B$29+'Inputs'!$B$31+'Inputs'!$B$32,'Inputs'!$B$30+'Inputs'!$B$31+'Inputs'!$B$32)/1000+'Inputs'!$B$21)+'Inputs'!$B$7)/SQRT((((136-43)*MAX('Inputs'!$B$33,'Inputs'!$B$29+'Inputs'!$B$31+'Inputs'!$B$32,'Inputs'!$B$30+'Inputs'!$B$31+'Inputs'!$B$32)/1000+'Inputs'!$B$21)+'Inputs'!$B$7)^2+('Inputs'!$B$6/2)^2)-(((136-43)*MAX('Inputs'!$B$33,'Inputs'!$B$29+'Inputs'!$B$31+'Inputs'!$B$32,'Inputs'!$B$30+'Inputs'!$B$31+'Inputs'!$B$32)/1000+'Inputs'!$B$21))/SQRT((((136-43)*MAX('Inputs'!$B$33,'Inputs'!$B$29+'Inputs'!$B$31+'Inputs'!$B$32,'Inputs'!$B$30+'Inputs'!$B$31+'Inputs'!$B$32)/1000+'Inputs'!$B$21))^2+('Inputs'!$B$6/2)^2)))-'Results'!C7*(1+'Inputs'!$B$24)*(0.5*((((136-43)*MAX('Inputs'!$B$33,'Inputs'!$B$29+'Inputs'!$B$31+'Inputs'!$B$32,'Inputs'!$B$30+'Inputs'!$B$31+'Inputs'!$B$32)/1000+'Inputs'!$B$21+'Inputs'!$B$7+'Inputs'!$B$10)+'Inputs'!$B$9)/SQRT((((136-43)*MAX('Inputs'!$B$33,'Inputs'!$B$29+'Inputs'!$B$31+'Inputs'!$B$32,'Inputs'!$B$30+'Inputs'!$B$31+'Inputs'!$B$32)/1000+'Inputs'!$B$21+'Inputs'!$B$7+'Inputs'!$B$10)+'Inputs'!$B$9)^2+('Inputs'!$B$8/2)^2)-(((136-43)*MAX('Inputs'!$B$33,'Inputs'!$B$29+'Inputs'!$B$31+'Inputs'!$B$32,'Inputs'!$B$30+'Inputs'!$B$31+'Inputs'!$B$32)/1000+'Inputs'!$B$21+'Inputs'!$B$7+'Inputs'!$B$10))/SQRT((((136-43)*MAX('Inputs'!$B$33,'Inputs'!$B$29+'Inputs'!$B$31+'Inputs'!$B$32,'Inputs'!$B$30+'Inputs'!$B$31+'Inputs'!$B$32)/1000+'Inputs'!$B$21+'Inputs'!$B$7+'Inputs'!$B$10))^2+('Inputs'!$B$8/2)^2))))*'Results'!$B$8))),"")</x:f>
        <x:v>391.92547073261943</x:v>
      </x:c>
      <x:c r="L136" t="n">
        <x:f>IF(AND(ISNUMBER('Results'!B7),ISNUMBER('Results'!C7),ISNUMBER('Results'!$B$8),ISNUMBER('Inputs'!$B$6),ISNUMBER('Inputs'!$B$7),ISNUMBER('Inputs'!$B$8),ISNUMBER('Inputs'!$B$9),ISNUMBER('Inputs'!$B$10),ISNUMBER('Inputs'!$B$21),ISNUMBER('Inputs'!$B$24),ISNUMBER('Inputs'!$B$28)),((('Results'!B7*(1+'Inputs'!$B$24)*(0.5*((((136-43)*MAX('Inputs'!$B$33,'Inputs'!$B$29+'Inputs'!$B$31+'Inputs'!$B$32,'Inputs'!$B$30+'Inputs'!$B$31+'Inputs'!$B$32)/1000+'Inputs'!$B$21)+'Inputs'!$B$7)/SQRT((((136-43)*MAX('Inputs'!$B$33,'Inputs'!$B$29+'Inputs'!$B$31+'Inputs'!$B$32,'Inputs'!$B$30+'Inputs'!$B$31+'Inputs'!$B$32)/1000+'Inputs'!$B$21)+'Inputs'!$B$7)^2+('Inputs'!$B$6/2)^2)-(((136-43)*MAX('Inputs'!$B$33,'Inputs'!$B$29+'Inputs'!$B$31+'Inputs'!$B$32,'Inputs'!$B$30+'Inputs'!$B$31+'Inputs'!$B$32)/1000+'Inputs'!$B$21))/SQRT((((136-43)*MAX('Inputs'!$B$33,'Inputs'!$B$29+'Inputs'!$B$31+'Inputs'!$B$32,'Inputs'!$B$30+'Inputs'!$B$31+'Inputs'!$B$32)/1000+'Inputs'!$B$21))^2+('Inputs'!$B$6/2)^2)))-'Results'!C7*(1-'Inputs'!$B$24)*(0.5*((((136-43)*MAX('Inputs'!$B$33,'Inputs'!$B$29+'Inputs'!$B$31+'Inputs'!$B$32,'Inputs'!$B$30+'Inputs'!$B$31+'Inputs'!$B$32)/1000+'Inputs'!$B$21+'Inputs'!$B$7+'Inputs'!$B$10)+'Inputs'!$B$9)/SQRT((((136-43)*MAX('Inputs'!$B$33,'Inputs'!$B$29+'Inputs'!$B$31+'Inputs'!$B$32,'Inputs'!$B$30+'Inputs'!$B$31+'Inputs'!$B$32)/1000+'Inputs'!$B$21+'Inputs'!$B$7+'Inputs'!$B$10)+'Inputs'!$B$9)^2+('Inputs'!$B$8/2)^2)-(((136-43)*MAX('Inputs'!$B$33,'Inputs'!$B$29+'Inputs'!$B$31+'Inputs'!$B$32,'Inputs'!$B$30+'Inputs'!$B$31+'Inputs'!$B$32)/1000+'Inputs'!$B$21+'Inputs'!$B$7+'Inputs'!$B$10))/SQRT((((136-43)*MAX('Inputs'!$B$33,'Inputs'!$B$29+'Inputs'!$B$31+'Inputs'!$B$32,'Inputs'!$B$30+'Inputs'!$B$31+'Inputs'!$B$32)/1000+'Inputs'!$B$21+'Inputs'!$B$7+'Inputs'!$B$10))^2+('Inputs'!$B$8/2)^2))))*'Results'!$B$8)+'Inputs'!$B$28*ABS((('Results'!B7*(1+'Inputs'!$B$24)*(0.5*((((136-43)*MAX('Inputs'!$B$33,'Inputs'!$B$29+'Inputs'!$B$31+'Inputs'!$B$32,'Inputs'!$B$30+'Inputs'!$B$31+'Inputs'!$B$32)/1000+'Inputs'!$B$21)+'Inputs'!$B$7)/SQRT((((136-43)*MAX('Inputs'!$B$33,'Inputs'!$B$29+'Inputs'!$B$31+'Inputs'!$B$32,'Inputs'!$B$30+'Inputs'!$B$31+'Inputs'!$B$32)/1000+'Inputs'!$B$21)+'Inputs'!$B$7)^2+('Inputs'!$B$6/2)^2)-(((136-43)*MAX('Inputs'!$B$33,'Inputs'!$B$29+'Inputs'!$B$31+'Inputs'!$B$32,'Inputs'!$B$30+'Inputs'!$B$31+'Inputs'!$B$32)/1000+'Inputs'!$B$21))/SQRT((((136-43)*MAX('Inputs'!$B$33,'Inputs'!$B$29+'Inputs'!$B$31+'Inputs'!$B$32,'Inputs'!$B$30+'Inputs'!$B$31+'Inputs'!$B$32)/1000+'Inputs'!$B$21))^2+('Inputs'!$B$6/2)^2)))-'Results'!C7*(1-'Inputs'!$B$24)*(0.5*((((136-43)*MAX('Inputs'!$B$33,'Inputs'!$B$29+'Inputs'!$B$31+'Inputs'!$B$32,'Inputs'!$B$30+'Inputs'!$B$31+'Inputs'!$B$32)/1000+'Inputs'!$B$21+'Inputs'!$B$7+'Inputs'!$B$10)+'Inputs'!$B$9)/SQRT((((136-43)*MAX('Inputs'!$B$33,'Inputs'!$B$29+'Inputs'!$B$31+'Inputs'!$B$32,'Inputs'!$B$30+'Inputs'!$B$31+'Inputs'!$B$32)/1000+'Inputs'!$B$21+'Inputs'!$B$7+'Inputs'!$B$10)+'Inputs'!$B$9)^2+('Inputs'!$B$8/2)^2)-(((136-43)*MAX('Inputs'!$B$33,'Inputs'!$B$29+'Inputs'!$B$31+'Inputs'!$B$32,'Inputs'!$B$30+'Inputs'!$B$31+'Inputs'!$B$32)/1000+'Inputs'!$B$21+'Inputs'!$B$7+'Inputs'!$B$10))/SQRT((((136-43)*MAX('Inputs'!$B$33,'Inputs'!$B$29+'Inputs'!$B$31+'Inputs'!$B$32,'Inputs'!$B$30+'Inputs'!$B$31+'Inputs'!$B$32)/1000+'Inputs'!$B$21+'Inputs'!$B$7+'Inputs'!$B$10))^2+('Inputs'!$B$8/2)^2))))*'Results'!$B$8))),"")</x:f>
        <x:v>458.94375198522573</x:v>
      </x:c>
      <x:c r="M136" t="n">
        <x:f>IF(AND(ISNUMBER('Results'!C7),ISNUMBER('Results'!B7),ISNUMBER('Results'!$B$8),ISNUMBER('Inputs'!$B$6),ISNUMBER('Inputs'!$B$7),ISNUMBER('Inputs'!$B$8),ISNUMBER('Inputs'!$B$9),ISNUMBER('Inputs'!$B$10),ISNUMBER('Inputs'!$B$21),ISNUMBER('Inputs'!$B$24),ISNUMBER('Inputs'!$B$28)),(('Results'!C7*(0.5*((((136-43)*MAX('Inputs'!$B$33,'Inputs'!$B$29+'Inputs'!$B$31+'Inputs'!$B$32,'Inputs'!$B$30+'Inputs'!$B$31+'Inputs'!$B$32)/1000+'Inputs'!$B$21)+'Inputs'!$B$9)/SQRT((((136-43)*MAX('Inputs'!$B$33,'Inputs'!$B$29+'Inputs'!$B$31+'Inputs'!$B$32,'Inputs'!$B$30+'Inputs'!$B$31+'Inputs'!$B$32)/1000+'Inputs'!$B$21)+'Inputs'!$B$9)^2+('Inputs'!$B$8/2)^2)-(((136-43)*MAX('Inputs'!$B$33,'Inputs'!$B$29+'Inputs'!$B$31+'Inputs'!$B$32,'Inputs'!$B$30+'Inputs'!$B$31+'Inputs'!$B$32)/1000+'Inputs'!$B$21))/SQRT((((136-43)*MAX('Inputs'!$B$33,'Inputs'!$B$29+'Inputs'!$B$31+'Inputs'!$B$32,'Inputs'!$B$30+'Inputs'!$B$31+'Inputs'!$B$32)/1000+'Inputs'!$B$21))^2+('Inputs'!$B$8/2)^2)))-'Results'!B7*(0.5*((((136-43)*MAX('Inputs'!$B$33,'Inputs'!$B$29+'Inputs'!$B$31+'Inputs'!$B$32,'Inputs'!$B$30+'Inputs'!$B$31+'Inputs'!$B$32)/1000+'Inputs'!$B$21+'Inputs'!$B$9+'Inputs'!$B$10)+'Inputs'!$B$7)/SQRT((((136-43)*MAX('Inputs'!$B$33,'Inputs'!$B$29+'Inputs'!$B$31+'Inputs'!$B$32,'Inputs'!$B$30+'Inputs'!$B$31+'Inputs'!$B$32)/1000+'Inputs'!$B$21+'Inputs'!$B$9+'Inputs'!$B$10)+'Inputs'!$B$7)^2+('Inputs'!$B$6/2)^2)-(((136-43)*MAX('Inputs'!$B$33,'Inputs'!$B$29+'Inputs'!$B$31+'Inputs'!$B$32,'Inputs'!$B$30+'Inputs'!$B$31+'Inputs'!$B$32)/1000+'Inputs'!$B$21+'Inputs'!$B$9+'Inputs'!$B$10))/SQRT((((136-43)*MAX('Inputs'!$B$33,'Inputs'!$B$29+'Inputs'!$B$31+'Inputs'!$B$32,'Inputs'!$B$30+'Inputs'!$B$31+'Inputs'!$B$32)/1000+'Inputs'!$B$21+'Inputs'!$B$9+'Inputs'!$B$10))^2+('Inputs'!$B$6/2)^2))))*'Results'!$B$8),"")</x:f>
        <x:v>412.5146408001098</x:v>
      </x:c>
      <x:c r="N136" t="n">
        <x:f>IF(AND(ISNUMBER('Results'!C7),ISNUMBER('Results'!B7),ISNUMBER('Results'!$B$8),ISNUMBER('Inputs'!$B$6),ISNUMBER('Inputs'!$B$7),ISNUMBER('Inputs'!$B$8),ISNUMBER('Inputs'!$B$9),ISNUMBER('Inputs'!$B$10),ISNUMBER('Inputs'!$B$21),ISNUMBER('Inputs'!$B$24),ISNUMBER('Inputs'!$B$28)),((('Results'!C7*(1-'Inputs'!$B$24)*(0.5*((((136-43)*MAX('Inputs'!$B$33,'Inputs'!$B$29+'Inputs'!$B$31+'Inputs'!$B$32,'Inputs'!$B$30+'Inputs'!$B$31+'Inputs'!$B$32)/1000+'Inputs'!$B$21)+'Inputs'!$B$9)/SQRT((((136-43)*MAX('Inputs'!$B$33,'Inputs'!$B$29+'Inputs'!$B$31+'Inputs'!$B$32,'Inputs'!$B$30+'Inputs'!$B$31+'Inputs'!$B$32)/1000+'Inputs'!$B$21)+'Inputs'!$B$9)^2+('Inputs'!$B$8/2)^2)-(((136-43)*MAX('Inputs'!$B$33,'Inputs'!$B$29+'Inputs'!$B$31+'Inputs'!$B$32,'Inputs'!$B$30+'Inputs'!$B$31+'Inputs'!$B$32)/1000+'Inputs'!$B$21))/SQRT((((136-43)*MAX('Inputs'!$B$33,'Inputs'!$B$29+'Inputs'!$B$31+'Inputs'!$B$32,'Inputs'!$B$30+'Inputs'!$B$31+'Inputs'!$B$32)/1000+'Inputs'!$B$21))^2+('Inputs'!$B$8/2)^2)))-'Results'!B7*(1+'Inputs'!$B$24)*(0.5*((((136-43)*MAX('Inputs'!$B$33,'Inputs'!$B$29+'Inputs'!$B$31+'Inputs'!$B$32,'Inputs'!$B$30+'Inputs'!$B$31+'Inputs'!$B$32)/1000+'Inputs'!$B$21+'Inputs'!$B$9+'Inputs'!$B$10)+'Inputs'!$B$7)/SQRT((((136-43)*MAX('Inputs'!$B$33,'Inputs'!$B$29+'Inputs'!$B$31+'Inputs'!$B$32,'Inputs'!$B$30+'Inputs'!$B$31+'Inputs'!$B$32)/1000+'Inputs'!$B$21+'Inputs'!$B$9+'Inputs'!$B$10)+'Inputs'!$B$7)^2+('Inputs'!$B$6/2)^2)-(((136-43)*MAX('Inputs'!$B$33,'Inputs'!$B$29+'Inputs'!$B$31+'Inputs'!$B$32,'Inputs'!$B$30+'Inputs'!$B$31+'Inputs'!$B$32)/1000+'Inputs'!$B$21+'Inputs'!$B$9+'Inputs'!$B$10))/SQRT((((136-43)*MAX('Inputs'!$B$33,'Inputs'!$B$29+'Inputs'!$B$31+'Inputs'!$B$32,'Inputs'!$B$30+'Inputs'!$B$31+'Inputs'!$B$32)/1000+'Inputs'!$B$21+'Inputs'!$B$9+'Inputs'!$B$10))^2+('Inputs'!$B$6/2)^2))))*'Results'!$B$8)-'Inputs'!$B$28*ABS((('Results'!C7*(1-'Inputs'!$B$24)*(0.5*((((136-43)*MAX('Inputs'!$B$33,'Inputs'!$B$29+'Inputs'!$B$31+'Inputs'!$B$32,'Inputs'!$B$30+'Inputs'!$B$31+'Inputs'!$B$32)/1000+'Inputs'!$B$21)+'Inputs'!$B$9)/SQRT((((136-43)*MAX('Inputs'!$B$33,'Inputs'!$B$29+'Inputs'!$B$31+'Inputs'!$B$32,'Inputs'!$B$30+'Inputs'!$B$31+'Inputs'!$B$32)/1000+'Inputs'!$B$21)+'Inputs'!$B$9)^2+('Inputs'!$B$8/2)^2)-(((136-43)*MAX('Inputs'!$B$33,'Inputs'!$B$29+'Inputs'!$B$31+'Inputs'!$B$32,'Inputs'!$B$30+'Inputs'!$B$31+'Inputs'!$B$32)/1000+'Inputs'!$B$21))/SQRT((((136-43)*MAX('Inputs'!$B$33,'Inputs'!$B$29+'Inputs'!$B$31+'Inputs'!$B$32,'Inputs'!$B$30+'Inputs'!$B$31+'Inputs'!$B$32)/1000+'Inputs'!$B$21))^2+('Inputs'!$B$8/2)^2)))-'Results'!B7*(1+'Inputs'!$B$24)*(0.5*((((136-43)*MAX('Inputs'!$B$33,'Inputs'!$B$29+'Inputs'!$B$31+'Inputs'!$B$32,'Inputs'!$B$30+'Inputs'!$B$31+'Inputs'!$B$32)/1000+'Inputs'!$B$21+'Inputs'!$B$9+'Inputs'!$B$10)+'Inputs'!$B$7)/SQRT((((136-43)*MAX('Inputs'!$B$33,'Inputs'!$B$29+'Inputs'!$B$31+'Inputs'!$B$32,'Inputs'!$B$30+'Inputs'!$B$31+'Inputs'!$B$32)/1000+'Inputs'!$B$21+'Inputs'!$B$9+'Inputs'!$B$10)+'Inputs'!$B$7)^2+('Inputs'!$B$6/2)^2)-(((136-43)*MAX('Inputs'!$B$33,'Inputs'!$B$29+'Inputs'!$B$31+'Inputs'!$B$32,'Inputs'!$B$30+'Inputs'!$B$31+'Inputs'!$B$32)/1000+'Inputs'!$B$21+'Inputs'!$B$9+'Inputs'!$B$10))/SQRT((((136-43)*MAX('Inputs'!$B$33,'Inputs'!$B$29+'Inputs'!$B$31+'Inputs'!$B$32,'Inputs'!$B$30+'Inputs'!$B$31+'Inputs'!$B$32)/1000+'Inputs'!$B$21+'Inputs'!$B$9+'Inputs'!$B$10))^2+('Inputs'!$B$6/2)^2))))*'Results'!$B$8))),"")</x:f>
        <x:v>380.3949333333911</x:v>
      </x:c>
      <x:c r="O136" t="n">
        <x:f>IF(AND(ISNUMBER('Results'!C7),ISNUMBER('Results'!B7),ISNUMBER('Results'!$B$8),ISNUMBER('Inputs'!$B$6),ISNUMBER('Inputs'!$B$7),ISNUMBER('Inputs'!$B$8),ISNUMBER('Inputs'!$B$9),ISNUMBER('Inputs'!$B$10),ISNUMBER('Inputs'!$B$21),ISNUMBER('Inputs'!$B$24),ISNUMBER('Inputs'!$B$28)),((('Results'!C7*(1+'Inputs'!$B$24)*(0.5*((((136-43)*MAX('Inputs'!$B$33,'Inputs'!$B$29+'Inputs'!$B$31+'Inputs'!$B$32,'Inputs'!$B$30+'Inputs'!$B$31+'Inputs'!$B$32)/1000+'Inputs'!$B$21)+'Inputs'!$B$9)/SQRT((((136-43)*MAX('Inputs'!$B$33,'Inputs'!$B$29+'Inputs'!$B$31+'Inputs'!$B$32,'Inputs'!$B$30+'Inputs'!$B$31+'Inputs'!$B$32)/1000+'Inputs'!$B$21)+'Inputs'!$B$9)^2+('Inputs'!$B$8/2)^2)-(((136-43)*MAX('Inputs'!$B$33,'Inputs'!$B$29+'Inputs'!$B$31+'Inputs'!$B$32,'Inputs'!$B$30+'Inputs'!$B$31+'Inputs'!$B$32)/1000+'Inputs'!$B$21))/SQRT((((136-43)*MAX('Inputs'!$B$33,'Inputs'!$B$29+'Inputs'!$B$31+'Inputs'!$B$32,'Inputs'!$B$30+'Inputs'!$B$31+'Inputs'!$B$32)/1000+'Inputs'!$B$21))^2+('Inputs'!$B$8/2)^2)))-'Results'!B7*(1-'Inputs'!$B$24)*(0.5*((((136-43)*MAX('Inputs'!$B$33,'Inputs'!$B$29+'Inputs'!$B$31+'Inputs'!$B$32,'Inputs'!$B$30+'Inputs'!$B$31+'Inputs'!$B$32)/1000+'Inputs'!$B$21+'Inputs'!$B$9+'Inputs'!$B$10)+'Inputs'!$B$7)/SQRT((((136-43)*MAX('Inputs'!$B$33,'Inputs'!$B$29+'Inputs'!$B$31+'Inputs'!$B$32,'Inputs'!$B$30+'Inputs'!$B$31+'Inputs'!$B$32)/1000+'Inputs'!$B$21+'Inputs'!$B$9+'Inputs'!$B$10)+'Inputs'!$B$7)^2+('Inputs'!$B$6/2)^2)-(((136-43)*MAX('Inputs'!$B$33,'Inputs'!$B$29+'Inputs'!$B$31+'Inputs'!$B$32,'Inputs'!$B$30+'Inputs'!$B$31+'Inputs'!$B$32)/1000+'Inputs'!$B$21+'Inputs'!$B$9+'Inputs'!$B$10))/SQRT((((136-43)*MAX('Inputs'!$B$33,'Inputs'!$B$29+'Inputs'!$B$31+'Inputs'!$B$32,'Inputs'!$B$30+'Inputs'!$B$31+'Inputs'!$B$32)/1000+'Inputs'!$B$21+'Inputs'!$B$9+'Inputs'!$B$10))^2+('Inputs'!$B$6/2)^2))))*'Results'!$B$8)+'Inputs'!$B$28*ABS((('Results'!C7*(1+'Inputs'!$B$24)*(0.5*((((136-43)*MAX('Inputs'!$B$33,'Inputs'!$B$29+'Inputs'!$B$31+'Inputs'!$B$32,'Inputs'!$B$30+'Inputs'!$B$31+'Inputs'!$B$32)/1000+'Inputs'!$B$21)+'Inputs'!$B$9)/SQRT((((136-43)*MAX('Inputs'!$B$33,'Inputs'!$B$29+'Inputs'!$B$31+'Inputs'!$B$32,'Inputs'!$B$30+'Inputs'!$B$31+'Inputs'!$B$32)/1000+'Inputs'!$B$21)+'Inputs'!$B$9)^2+('Inputs'!$B$8/2)^2)-(((136-43)*MAX('Inputs'!$B$33,'Inputs'!$B$29+'Inputs'!$B$31+'Inputs'!$B$32,'Inputs'!$B$30+'Inputs'!$B$31+'Inputs'!$B$32)/1000+'Inputs'!$B$21))/SQRT((((136-43)*MAX('Inputs'!$B$33,'Inputs'!$B$29+'Inputs'!$B$31+'Inputs'!$B$32,'Inputs'!$B$30+'Inputs'!$B$31+'Inputs'!$B$32)/1000+'Inputs'!$B$21))^2+('Inputs'!$B$8/2)^2)))-'Results'!B7*(1-'Inputs'!$B$24)*(0.5*((((136-43)*MAX('Inputs'!$B$33,'Inputs'!$B$29+'Inputs'!$B$31+'Inputs'!$B$32,'Inputs'!$B$30+'Inputs'!$B$31+'Inputs'!$B$32)/1000+'Inputs'!$B$21+'Inputs'!$B$9+'Inputs'!$B$10)+'Inputs'!$B$7)/SQRT((((136-43)*MAX('Inputs'!$B$33,'Inputs'!$B$29+'Inputs'!$B$31+'Inputs'!$B$32,'Inputs'!$B$30+'Inputs'!$B$31+'Inputs'!$B$32)/1000+'Inputs'!$B$21+'Inputs'!$B$9+'Inputs'!$B$10)+'Inputs'!$B$7)^2+('Inputs'!$B$6/2)^2)-(((136-43)*MAX('Inputs'!$B$33,'Inputs'!$B$29+'Inputs'!$B$31+'Inputs'!$B$32,'Inputs'!$B$30+'Inputs'!$B$31+'Inputs'!$B$32)/1000+'Inputs'!$B$21+'Inputs'!$B$9+'Inputs'!$B$10))/SQRT((((136-43)*MAX('Inputs'!$B$33,'Inputs'!$B$29+'Inputs'!$B$31+'Inputs'!$B$32,'Inputs'!$B$30+'Inputs'!$B$31+'Inputs'!$B$32)/1000+'Inputs'!$B$21+'Inputs'!$B$9+'Inputs'!$B$10))^2+('Inputs'!$B$6/2)^2))))*'Results'!$B$8))),"")</x:f>
        <x:v>445.84424041700885</x:v>
      </x:c>
      <x:c r="P136" t="n">
        <x:f>IF(AND(MAX(J136,J135)&gt;0,J136&gt;J135+0.00000001),1,0)</x:f>
        <x:v>0</x:v>
      </x:c>
      <x:c r="Q136" t="n">
        <x:f>IF(AND(MAX(K136,K135)&gt;0,K136&gt;K135+0.00000001),1,0)</x:f>
        <x:v>0</x:v>
      </x:c>
      <x:c r="R136" t="n">
        <x:f>IF(AND(MAX(L136,L135)&gt;0,L136&gt;L135+0.00000001),1,0)</x:f>
        <x:v>0</x:v>
      </x:c>
      <x:c r="S136" t="n">
        <x:f>IF(AND(MAX(M136,M135)&gt;0,M136&gt;M135+0.00000001),1,0)</x:f>
        <x:v>0</x:v>
      </x:c>
      <x:c r="T136" t="n">
        <x:f>IF(AND(MAX(N136,N135)&gt;0,N136&gt;N135+0.00000001),1,0)</x:f>
        <x:v>0</x:v>
      </x:c>
      <x:c r="U136" t="n">
        <x:f>IF(AND(MAX(O136,O135)&gt;0,O136&gt;O135+0.00000001),1,0)</x:f>
        <x:v>0</x:v>
      </x:c>
    </x:row>
    <x:row r="137">
      <x:c r="J137" t="n">
        <x:f>IF(AND(ISNUMBER('Results'!B7),ISNUMBER('Results'!C7),ISNUMBER('Results'!$B$8),ISNUMBER('Inputs'!$B$6),ISNUMBER('Inputs'!$B$7),ISNUMBER('Inputs'!$B$8),ISNUMBER('Inputs'!$B$9),ISNUMBER('Inputs'!$B$10),ISNUMBER('Inputs'!$B$21),ISNUMBER('Inputs'!$B$24),ISNUMBER('Inputs'!$B$28)),(('Results'!B7*(0.5*((((137-43)*MAX('Inputs'!$B$33,'Inputs'!$B$29+'Inputs'!$B$31+'Inputs'!$B$32,'Inputs'!$B$30+'Inputs'!$B$31+'Inputs'!$B$32)/1000+'Inputs'!$B$21)+'Inputs'!$B$7)/SQRT((((137-43)*MAX('Inputs'!$B$33,'Inputs'!$B$29+'Inputs'!$B$31+'Inputs'!$B$32,'Inputs'!$B$30+'Inputs'!$B$31+'Inputs'!$B$32)/1000+'Inputs'!$B$21)+'Inputs'!$B$7)^2+('Inputs'!$B$6/2)^2)-(((137-43)*MAX('Inputs'!$B$33,'Inputs'!$B$29+'Inputs'!$B$31+'Inputs'!$B$32,'Inputs'!$B$30+'Inputs'!$B$31+'Inputs'!$B$32)/1000+'Inputs'!$B$21))/SQRT((((137-43)*MAX('Inputs'!$B$33,'Inputs'!$B$29+'Inputs'!$B$31+'Inputs'!$B$32,'Inputs'!$B$30+'Inputs'!$B$31+'Inputs'!$B$32)/1000+'Inputs'!$B$21))^2+('Inputs'!$B$6/2)^2)))-'Results'!C7*(0.5*((((137-43)*MAX('Inputs'!$B$33,'Inputs'!$B$29+'Inputs'!$B$31+'Inputs'!$B$32,'Inputs'!$B$30+'Inputs'!$B$31+'Inputs'!$B$32)/1000+'Inputs'!$B$21+'Inputs'!$B$7+'Inputs'!$B$10)+'Inputs'!$B$9)/SQRT((((137-43)*MAX('Inputs'!$B$33,'Inputs'!$B$29+'Inputs'!$B$31+'Inputs'!$B$32,'Inputs'!$B$30+'Inputs'!$B$31+'Inputs'!$B$32)/1000+'Inputs'!$B$21+'Inputs'!$B$7+'Inputs'!$B$10)+'Inputs'!$B$9)^2+('Inputs'!$B$8/2)^2)-(((137-43)*MAX('Inputs'!$B$33,'Inputs'!$B$29+'Inputs'!$B$31+'Inputs'!$B$32,'Inputs'!$B$30+'Inputs'!$B$31+'Inputs'!$B$32)/1000+'Inputs'!$B$21+'Inputs'!$B$7+'Inputs'!$B$10))/SQRT((((137-43)*MAX('Inputs'!$B$33,'Inputs'!$B$29+'Inputs'!$B$31+'Inputs'!$B$32,'Inputs'!$B$30+'Inputs'!$B$31+'Inputs'!$B$32)/1000+'Inputs'!$B$21+'Inputs'!$B$7+'Inputs'!$B$10))^2+('Inputs'!$B$8/2)^2))))*'Results'!$B$8),"")</x:f>
        <x:v>416.75046969389695</x:v>
      </x:c>
      <x:c r="K137" t="n">
        <x:f>IF(AND(ISNUMBER('Results'!B7),ISNUMBER('Results'!C7),ISNUMBER('Results'!$B$8),ISNUMBER('Inputs'!$B$6),ISNUMBER('Inputs'!$B$7),ISNUMBER('Inputs'!$B$8),ISNUMBER('Inputs'!$B$9),ISNUMBER('Inputs'!$B$10),ISNUMBER('Inputs'!$B$21),ISNUMBER('Inputs'!$B$24),ISNUMBER('Inputs'!$B$28)),((('Results'!B7*(1-'Inputs'!$B$24)*(0.5*((((137-43)*MAX('Inputs'!$B$33,'Inputs'!$B$29+'Inputs'!$B$31+'Inputs'!$B$32,'Inputs'!$B$30+'Inputs'!$B$31+'Inputs'!$B$32)/1000+'Inputs'!$B$21)+'Inputs'!$B$7)/SQRT((((137-43)*MAX('Inputs'!$B$33,'Inputs'!$B$29+'Inputs'!$B$31+'Inputs'!$B$32,'Inputs'!$B$30+'Inputs'!$B$31+'Inputs'!$B$32)/1000+'Inputs'!$B$21)+'Inputs'!$B$7)^2+('Inputs'!$B$6/2)^2)-(((137-43)*MAX('Inputs'!$B$33,'Inputs'!$B$29+'Inputs'!$B$31+'Inputs'!$B$32,'Inputs'!$B$30+'Inputs'!$B$31+'Inputs'!$B$32)/1000+'Inputs'!$B$21))/SQRT((((137-43)*MAX('Inputs'!$B$33,'Inputs'!$B$29+'Inputs'!$B$31+'Inputs'!$B$32,'Inputs'!$B$30+'Inputs'!$B$31+'Inputs'!$B$32)/1000+'Inputs'!$B$21))^2+('Inputs'!$B$6/2)^2)))-'Results'!C7*(1+'Inputs'!$B$24)*(0.5*((((137-43)*MAX('Inputs'!$B$33,'Inputs'!$B$29+'Inputs'!$B$31+'Inputs'!$B$32,'Inputs'!$B$30+'Inputs'!$B$31+'Inputs'!$B$32)/1000+'Inputs'!$B$21+'Inputs'!$B$7+'Inputs'!$B$10)+'Inputs'!$B$9)/SQRT((((137-43)*MAX('Inputs'!$B$33,'Inputs'!$B$29+'Inputs'!$B$31+'Inputs'!$B$32,'Inputs'!$B$30+'Inputs'!$B$31+'Inputs'!$B$32)/1000+'Inputs'!$B$21+'Inputs'!$B$7+'Inputs'!$B$10)+'Inputs'!$B$9)^2+('Inputs'!$B$8/2)^2)-(((137-43)*MAX('Inputs'!$B$33,'Inputs'!$B$29+'Inputs'!$B$31+'Inputs'!$B$32,'Inputs'!$B$30+'Inputs'!$B$31+'Inputs'!$B$32)/1000+'Inputs'!$B$21+'Inputs'!$B$7+'Inputs'!$B$10))/SQRT((((137-43)*MAX('Inputs'!$B$33,'Inputs'!$B$29+'Inputs'!$B$31+'Inputs'!$B$32,'Inputs'!$B$30+'Inputs'!$B$31+'Inputs'!$B$32)/1000+'Inputs'!$B$21+'Inputs'!$B$7+'Inputs'!$B$10))^2+('Inputs'!$B$8/2)^2))))*'Results'!$B$8)-'Inputs'!$B$28*ABS((('Results'!B7*(1-'Inputs'!$B$24)*(0.5*((((137-43)*MAX('Inputs'!$B$33,'Inputs'!$B$29+'Inputs'!$B$31+'Inputs'!$B$32,'Inputs'!$B$30+'Inputs'!$B$31+'Inputs'!$B$32)/1000+'Inputs'!$B$21)+'Inputs'!$B$7)/SQRT((((137-43)*MAX('Inputs'!$B$33,'Inputs'!$B$29+'Inputs'!$B$31+'Inputs'!$B$32,'Inputs'!$B$30+'Inputs'!$B$31+'Inputs'!$B$32)/1000+'Inputs'!$B$21)+'Inputs'!$B$7)^2+('Inputs'!$B$6/2)^2)-(((137-43)*MAX('Inputs'!$B$33,'Inputs'!$B$29+'Inputs'!$B$31+'Inputs'!$B$32,'Inputs'!$B$30+'Inputs'!$B$31+'Inputs'!$B$32)/1000+'Inputs'!$B$21))/SQRT((((137-43)*MAX('Inputs'!$B$33,'Inputs'!$B$29+'Inputs'!$B$31+'Inputs'!$B$32,'Inputs'!$B$30+'Inputs'!$B$31+'Inputs'!$B$32)/1000+'Inputs'!$B$21))^2+('Inputs'!$B$6/2)^2)))-'Results'!C7*(1+'Inputs'!$B$24)*(0.5*((((137-43)*MAX('Inputs'!$B$33,'Inputs'!$B$29+'Inputs'!$B$31+'Inputs'!$B$32,'Inputs'!$B$30+'Inputs'!$B$31+'Inputs'!$B$32)/1000+'Inputs'!$B$21+'Inputs'!$B$7+'Inputs'!$B$10)+'Inputs'!$B$9)/SQRT((((137-43)*MAX('Inputs'!$B$33,'Inputs'!$B$29+'Inputs'!$B$31+'Inputs'!$B$32,'Inputs'!$B$30+'Inputs'!$B$31+'Inputs'!$B$32)/1000+'Inputs'!$B$21+'Inputs'!$B$7+'Inputs'!$B$10)+'Inputs'!$B$9)^2+('Inputs'!$B$8/2)^2)-(((137-43)*MAX('Inputs'!$B$33,'Inputs'!$B$29+'Inputs'!$B$31+'Inputs'!$B$32,'Inputs'!$B$30+'Inputs'!$B$31+'Inputs'!$B$32)/1000+'Inputs'!$B$21+'Inputs'!$B$7+'Inputs'!$B$10))/SQRT((((137-43)*MAX('Inputs'!$B$33,'Inputs'!$B$29+'Inputs'!$B$31+'Inputs'!$B$32,'Inputs'!$B$30+'Inputs'!$B$31+'Inputs'!$B$32)/1000+'Inputs'!$B$21+'Inputs'!$B$7+'Inputs'!$B$10))^2+('Inputs'!$B$8/2)^2))))*'Results'!$B$8))),"")</x:f>
        <x:v>384.45368681260743</x:v>
      </x:c>
      <x:c r="L137" t="n">
        <x:f>IF(AND(ISNUMBER('Results'!B7),ISNUMBER('Results'!C7),ISNUMBER('Results'!$B$8),ISNUMBER('Inputs'!$B$6),ISNUMBER('Inputs'!$B$7),ISNUMBER('Inputs'!$B$8),ISNUMBER('Inputs'!$B$9),ISNUMBER('Inputs'!$B$10),ISNUMBER('Inputs'!$B$21),ISNUMBER('Inputs'!$B$24),ISNUMBER('Inputs'!$B$28)),((('Results'!B7*(1+'Inputs'!$B$24)*(0.5*((((137-43)*MAX('Inputs'!$B$33,'Inputs'!$B$29+'Inputs'!$B$31+'Inputs'!$B$32,'Inputs'!$B$30+'Inputs'!$B$31+'Inputs'!$B$32)/1000+'Inputs'!$B$21)+'Inputs'!$B$7)/SQRT((((137-43)*MAX('Inputs'!$B$33,'Inputs'!$B$29+'Inputs'!$B$31+'Inputs'!$B$32,'Inputs'!$B$30+'Inputs'!$B$31+'Inputs'!$B$32)/1000+'Inputs'!$B$21)+'Inputs'!$B$7)^2+('Inputs'!$B$6/2)^2)-(((137-43)*MAX('Inputs'!$B$33,'Inputs'!$B$29+'Inputs'!$B$31+'Inputs'!$B$32,'Inputs'!$B$30+'Inputs'!$B$31+'Inputs'!$B$32)/1000+'Inputs'!$B$21))/SQRT((((137-43)*MAX('Inputs'!$B$33,'Inputs'!$B$29+'Inputs'!$B$31+'Inputs'!$B$32,'Inputs'!$B$30+'Inputs'!$B$31+'Inputs'!$B$32)/1000+'Inputs'!$B$21))^2+('Inputs'!$B$6/2)^2)))-'Results'!C7*(1-'Inputs'!$B$24)*(0.5*((((137-43)*MAX('Inputs'!$B$33,'Inputs'!$B$29+'Inputs'!$B$31+'Inputs'!$B$32,'Inputs'!$B$30+'Inputs'!$B$31+'Inputs'!$B$32)/1000+'Inputs'!$B$21+'Inputs'!$B$7+'Inputs'!$B$10)+'Inputs'!$B$9)/SQRT((((137-43)*MAX('Inputs'!$B$33,'Inputs'!$B$29+'Inputs'!$B$31+'Inputs'!$B$32,'Inputs'!$B$30+'Inputs'!$B$31+'Inputs'!$B$32)/1000+'Inputs'!$B$21+'Inputs'!$B$7+'Inputs'!$B$10)+'Inputs'!$B$9)^2+('Inputs'!$B$8/2)^2)-(((137-43)*MAX('Inputs'!$B$33,'Inputs'!$B$29+'Inputs'!$B$31+'Inputs'!$B$32,'Inputs'!$B$30+'Inputs'!$B$31+'Inputs'!$B$32)/1000+'Inputs'!$B$21+'Inputs'!$B$7+'Inputs'!$B$10))/SQRT((((137-43)*MAX('Inputs'!$B$33,'Inputs'!$B$29+'Inputs'!$B$31+'Inputs'!$B$32,'Inputs'!$B$30+'Inputs'!$B$31+'Inputs'!$B$32)/1000+'Inputs'!$B$21+'Inputs'!$B$7+'Inputs'!$B$10))^2+('Inputs'!$B$8/2)^2))))*'Results'!$B$8)+'Inputs'!$B$28*ABS((('Results'!B7*(1+'Inputs'!$B$24)*(0.5*((((137-43)*MAX('Inputs'!$B$33,'Inputs'!$B$29+'Inputs'!$B$31+'Inputs'!$B$32,'Inputs'!$B$30+'Inputs'!$B$31+'Inputs'!$B$32)/1000+'Inputs'!$B$21)+'Inputs'!$B$7)/SQRT((((137-43)*MAX('Inputs'!$B$33,'Inputs'!$B$29+'Inputs'!$B$31+'Inputs'!$B$32,'Inputs'!$B$30+'Inputs'!$B$31+'Inputs'!$B$32)/1000+'Inputs'!$B$21)+'Inputs'!$B$7)^2+('Inputs'!$B$6/2)^2)-(((137-43)*MAX('Inputs'!$B$33,'Inputs'!$B$29+'Inputs'!$B$31+'Inputs'!$B$32,'Inputs'!$B$30+'Inputs'!$B$31+'Inputs'!$B$32)/1000+'Inputs'!$B$21))/SQRT((((137-43)*MAX('Inputs'!$B$33,'Inputs'!$B$29+'Inputs'!$B$31+'Inputs'!$B$32,'Inputs'!$B$30+'Inputs'!$B$31+'Inputs'!$B$32)/1000+'Inputs'!$B$21))^2+('Inputs'!$B$6/2)^2)))-'Results'!C7*(1-'Inputs'!$B$24)*(0.5*((((137-43)*MAX('Inputs'!$B$33,'Inputs'!$B$29+'Inputs'!$B$31+'Inputs'!$B$32,'Inputs'!$B$30+'Inputs'!$B$31+'Inputs'!$B$32)/1000+'Inputs'!$B$21+'Inputs'!$B$7+'Inputs'!$B$10)+'Inputs'!$B$9)/SQRT((((137-43)*MAX('Inputs'!$B$33,'Inputs'!$B$29+'Inputs'!$B$31+'Inputs'!$B$32,'Inputs'!$B$30+'Inputs'!$B$31+'Inputs'!$B$32)/1000+'Inputs'!$B$21+'Inputs'!$B$7+'Inputs'!$B$10)+'Inputs'!$B$9)^2+('Inputs'!$B$8/2)^2)-(((137-43)*MAX('Inputs'!$B$33,'Inputs'!$B$29+'Inputs'!$B$31+'Inputs'!$B$32,'Inputs'!$B$30+'Inputs'!$B$31+'Inputs'!$B$32)/1000+'Inputs'!$B$21+'Inputs'!$B$7+'Inputs'!$B$10))/SQRT((((137-43)*MAX('Inputs'!$B$33,'Inputs'!$B$29+'Inputs'!$B$31+'Inputs'!$B$32,'Inputs'!$B$30+'Inputs'!$B$31+'Inputs'!$B$32)/1000+'Inputs'!$B$21+'Inputs'!$B$7+'Inputs'!$B$10))^2+('Inputs'!$B$8/2)^2))))*'Results'!$B$8))),"")</x:f>
        <x:v>450.25349040640697</x:v>
      </x:c>
      <x:c r="M137" t="n">
        <x:f>IF(AND(ISNUMBER('Results'!C7),ISNUMBER('Results'!B7),ISNUMBER('Results'!$B$8),ISNUMBER('Inputs'!$B$6),ISNUMBER('Inputs'!$B$7),ISNUMBER('Inputs'!$B$8),ISNUMBER('Inputs'!$B$9),ISNUMBER('Inputs'!$B$10),ISNUMBER('Inputs'!$B$21),ISNUMBER('Inputs'!$B$24),ISNUMBER('Inputs'!$B$28)),(('Results'!C7*(0.5*((((137-43)*MAX('Inputs'!$B$33,'Inputs'!$B$29+'Inputs'!$B$31+'Inputs'!$B$32,'Inputs'!$B$30+'Inputs'!$B$31+'Inputs'!$B$32)/1000+'Inputs'!$B$21)+'Inputs'!$B$9)/SQRT((((137-43)*MAX('Inputs'!$B$33,'Inputs'!$B$29+'Inputs'!$B$31+'Inputs'!$B$32,'Inputs'!$B$30+'Inputs'!$B$31+'Inputs'!$B$32)/1000+'Inputs'!$B$21)+'Inputs'!$B$9)^2+('Inputs'!$B$8/2)^2)-(((137-43)*MAX('Inputs'!$B$33,'Inputs'!$B$29+'Inputs'!$B$31+'Inputs'!$B$32,'Inputs'!$B$30+'Inputs'!$B$31+'Inputs'!$B$32)/1000+'Inputs'!$B$21))/SQRT((((137-43)*MAX('Inputs'!$B$33,'Inputs'!$B$29+'Inputs'!$B$31+'Inputs'!$B$32,'Inputs'!$B$30+'Inputs'!$B$31+'Inputs'!$B$32)/1000+'Inputs'!$B$21))^2+('Inputs'!$B$8/2)^2)))-'Results'!B7*(0.5*((((137-43)*MAX('Inputs'!$B$33,'Inputs'!$B$29+'Inputs'!$B$31+'Inputs'!$B$32,'Inputs'!$B$30+'Inputs'!$B$31+'Inputs'!$B$32)/1000+'Inputs'!$B$21+'Inputs'!$B$9+'Inputs'!$B$10)+'Inputs'!$B$7)/SQRT((((137-43)*MAX('Inputs'!$B$33,'Inputs'!$B$29+'Inputs'!$B$31+'Inputs'!$B$32,'Inputs'!$B$30+'Inputs'!$B$31+'Inputs'!$B$32)/1000+'Inputs'!$B$21+'Inputs'!$B$9+'Inputs'!$B$10)+'Inputs'!$B$7)^2+('Inputs'!$B$6/2)^2)-(((137-43)*MAX('Inputs'!$B$33,'Inputs'!$B$29+'Inputs'!$B$31+'Inputs'!$B$32,'Inputs'!$B$30+'Inputs'!$B$31+'Inputs'!$B$32)/1000+'Inputs'!$B$21+'Inputs'!$B$9+'Inputs'!$B$10))/SQRT((((137-43)*MAX('Inputs'!$B$33,'Inputs'!$B$29+'Inputs'!$B$31+'Inputs'!$B$32,'Inputs'!$B$30+'Inputs'!$B$31+'Inputs'!$B$32)/1000+'Inputs'!$B$21+'Inputs'!$B$9+'Inputs'!$B$10))^2+('Inputs'!$B$6/2)^2))))*'Results'!$B$8),"")</x:f>
        <x:v>404.65005700497437</x:v>
      </x:c>
      <x:c r="N137" t="n">
        <x:f>IF(AND(ISNUMBER('Results'!C7),ISNUMBER('Results'!B7),ISNUMBER('Results'!$B$8),ISNUMBER('Inputs'!$B$6),ISNUMBER('Inputs'!$B$7),ISNUMBER('Inputs'!$B$8),ISNUMBER('Inputs'!$B$9),ISNUMBER('Inputs'!$B$10),ISNUMBER('Inputs'!$B$21),ISNUMBER('Inputs'!$B$24),ISNUMBER('Inputs'!$B$28)),((('Results'!C7*(1-'Inputs'!$B$24)*(0.5*((((137-43)*MAX('Inputs'!$B$33,'Inputs'!$B$29+'Inputs'!$B$31+'Inputs'!$B$32,'Inputs'!$B$30+'Inputs'!$B$31+'Inputs'!$B$32)/1000+'Inputs'!$B$21)+'Inputs'!$B$9)/SQRT((((137-43)*MAX('Inputs'!$B$33,'Inputs'!$B$29+'Inputs'!$B$31+'Inputs'!$B$32,'Inputs'!$B$30+'Inputs'!$B$31+'Inputs'!$B$32)/1000+'Inputs'!$B$21)+'Inputs'!$B$9)^2+('Inputs'!$B$8/2)^2)-(((137-43)*MAX('Inputs'!$B$33,'Inputs'!$B$29+'Inputs'!$B$31+'Inputs'!$B$32,'Inputs'!$B$30+'Inputs'!$B$31+'Inputs'!$B$32)/1000+'Inputs'!$B$21))/SQRT((((137-43)*MAX('Inputs'!$B$33,'Inputs'!$B$29+'Inputs'!$B$31+'Inputs'!$B$32,'Inputs'!$B$30+'Inputs'!$B$31+'Inputs'!$B$32)/1000+'Inputs'!$B$21))^2+('Inputs'!$B$8/2)^2)))-'Results'!B7*(1+'Inputs'!$B$24)*(0.5*((((137-43)*MAX('Inputs'!$B$33,'Inputs'!$B$29+'Inputs'!$B$31+'Inputs'!$B$32,'Inputs'!$B$30+'Inputs'!$B$31+'Inputs'!$B$32)/1000+'Inputs'!$B$21+'Inputs'!$B$9+'Inputs'!$B$10)+'Inputs'!$B$7)/SQRT((((137-43)*MAX('Inputs'!$B$33,'Inputs'!$B$29+'Inputs'!$B$31+'Inputs'!$B$32,'Inputs'!$B$30+'Inputs'!$B$31+'Inputs'!$B$32)/1000+'Inputs'!$B$21+'Inputs'!$B$9+'Inputs'!$B$10)+'Inputs'!$B$7)^2+('Inputs'!$B$6/2)^2)-(((137-43)*MAX('Inputs'!$B$33,'Inputs'!$B$29+'Inputs'!$B$31+'Inputs'!$B$32,'Inputs'!$B$30+'Inputs'!$B$31+'Inputs'!$B$32)/1000+'Inputs'!$B$21+'Inputs'!$B$9+'Inputs'!$B$10))/SQRT((((137-43)*MAX('Inputs'!$B$33,'Inputs'!$B$29+'Inputs'!$B$31+'Inputs'!$B$32,'Inputs'!$B$30+'Inputs'!$B$31+'Inputs'!$B$32)/1000+'Inputs'!$B$21+'Inputs'!$B$9+'Inputs'!$B$10))^2+('Inputs'!$B$6/2)^2))))*'Results'!$B$8)-'Inputs'!$B$28*ABS((('Results'!C7*(1-'Inputs'!$B$24)*(0.5*((((137-43)*MAX('Inputs'!$B$33,'Inputs'!$B$29+'Inputs'!$B$31+'Inputs'!$B$32,'Inputs'!$B$30+'Inputs'!$B$31+'Inputs'!$B$32)/1000+'Inputs'!$B$21)+'Inputs'!$B$9)/SQRT((((137-43)*MAX('Inputs'!$B$33,'Inputs'!$B$29+'Inputs'!$B$31+'Inputs'!$B$32,'Inputs'!$B$30+'Inputs'!$B$31+'Inputs'!$B$32)/1000+'Inputs'!$B$21)+'Inputs'!$B$9)^2+('Inputs'!$B$8/2)^2)-(((137-43)*MAX('Inputs'!$B$33,'Inputs'!$B$29+'Inputs'!$B$31+'Inputs'!$B$32,'Inputs'!$B$30+'Inputs'!$B$31+'Inputs'!$B$32)/1000+'Inputs'!$B$21))/SQRT((((137-43)*MAX('Inputs'!$B$33,'Inputs'!$B$29+'Inputs'!$B$31+'Inputs'!$B$32,'Inputs'!$B$30+'Inputs'!$B$31+'Inputs'!$B$32)/1000+'Inputs'!$B$21))^2+('Inputs'!$B$8/2)^2)))-'Results'!B7*(1+'Inputs'!$B$24)*(0.5*((((137-43)*MAX('Inputs'!$B$33,'Inputs'!$B$29+'Inputs'!$B$31+'Inputs'!$B$32,'Inputs'!$B$30+'Inputs'!$B$31+'Inputs'!$B$32)/1000+'Inputs'!$B$21+'Inputs'!$B$9+'Inputs'!$B$10)+'Inputs'!$B$7)/SQRT((((137-43)*MAX('Inputs'!$B$33,'Inputs'!$B$29+'Inputs'!$B$31+'Inputs'!$B$32,'Inputs'!$B$30+'Inputs'!$B$31+'Inputs'!$B$32)/1000+'Inputs'!$B$21+'Inputs'!$B$9+'Inputs'!$B$10)+'Inputs'!$B$7)^2+('Inputs'!$B$6/2)^2)-(((137-43)*MAX('Inputs'!$B$33,'Inputs'!$B$29+'Inputs'!$B$31+'Inputs'!$B$32,'Inputs'!$B$30+'Inputs'!$B$31+'Inputs'!$B$32)/1000+'Inputs'!$B$21+'Inputs'!$B$9+'Inputs'!$B$10))/SQRT((((137-43)*MAX('Inputs'!$B$33,'Inputs'!$B$29+'Inputs'!$B$31+'Inputs'!$B$32,'Inputs'!$B$30+'Inputs'!$B$31+'Inputs'!$B$32)/1000+'Inputs'!$B$21+'Inputs'!$B$9+'Inputs'!$B$10))^2+('Inputs'!$B$6/2)^2))))*'Results'!$B$8))),"")</x:f>
        <x:v>373.1159372834569</x:v>
      </x:c>
      <x:c r="O137" t="n">
        <x:f>IF(AND(ISNUMBER('Results'!C7),ISNUMBER('Results'!B7),ISNUMBER('Results'!$B$8),ISNUMBER('Inputs'!$B$6),ISNUMBER('Inputs'!$B$7),ISNUMBER('Inputs'!$B$8),ISNUMBER('Inputs'!$B$9),ISNUMBER('Inputs'!$B$10),ISNUMBER('Inputs'!$B$21),ISNUMBER('Inputs'!$B$24),ISNUMBER('Inputs'!$B$28)),((('Results'!C7*(1+'Inputs'!$B$24)*(0.5*((((137-43)*MAX('Inputs'!$B$33,'Inputs'!$B$29+'Inputs'!$B$31+'Inputs'!$B$32,'Inputs'!$B$30+'Inputs'!$B$31+'Inputs'!$B$32)/1000+'Inputs'!$B$21)+'Inputs'!$B$9)/SQRT((((137-43)*MAX('Inputs'!$B$33,'Inputs'!$B$29+'Inputs'!$B$31+'Inputs'!$B$32,'Inputs'!$B$30+'Inputs'!$B$31+'Inputs'!$B$32)/1000+'Inputs'!$B$21)+'Inputs'!$B$9)^2+('Inputs'!$B$8/2)^2)-(((137-43)*MAX('Inputs'!$B$33,'Inputs'!$B$29+'Inputs'!$B$31+'Inputs'!$B$32,'Inputs'!$B$30+'Inputs'!$B$31+'Inputs'!$B$32)/1000+'Inputs'!$B$21))/SQRT((((137-43)*MAX('Inputs'!$B$33,'Inputs'!$B$29+'Inputs'!$B$31+'Inputs'!$B$32,'Inputs'!$B$30+'Inputs'!$B$31+'Inputs'!$B$32)/1000+'Inputs'!$B$21))^2+('Inputs'!$B$8/2)^2)))-'Results'!B7*(1-'Inputs'!$B$24)*(0.5*((((137-43)*MAX('Inputs'!$B$33,'Inputs'!$B$29+'Inputs'!$B$31+'Inputs'!$B$32,'Inputs'!$B$30+'Inputs'!$B$31+'Inputs'!$B$32)/1000+'Inputs'!$B$21+'Inputs'!$B$9+'Inputs'!$B$10)+'Inputs'!$B$7)/SQRT((((137-43)*MAX('Inputs'!$B$33,'Inputs'!$B$29+'Inputs'!$B$31+'Inputs'!$B$32,'Inputs'!$B$30+'Inputs'!$B$31+'Inputs'!$B$32)/1000+'Inputs'!$B$21+'Inputs'!$B$9+'Inputs'!$B$10)+'Inputs'!$B$7)^2+('Inputs'!$B$6/2)^2)-(((137-43)*MAX('Inputs'!$B$33,'Inputs'!$B$29+'Inputs'!$B$31+'Inputs'!$B$32,'Inputs'!$B$30+'Inputs'!$B$31+'Inputs'!$B$32)/1000+'Inputs'!$B$21+'Inputs'!$B$9+'Inputs'!$B$10))/SQRT((((137-43)*MAX('Inputs'!$B$33,'Inputs'!$B$29+'Inputs'!$B$31+'Inputs'!$B$32,'Inputs'!$B$30+'Inputs'!$B$31+'Inputs'!$B$32)/1000+'Inputs'!$B$21+'Inputs'!$B$9+'Inputs'!$B$10))^2+('Inputs'!$B$6/2)^2))))*'Results'!$B$8)+'Inputs'!$B$28*ABS((('Results'!C7*(1+'Inputs'!$B$24)*(0.5*((((137-43)*MAX('Inputs'!$B$33,'Inputs'!$B$29+'Inputs'!$B$31+'Inputs'!$B$32,'Inputs'!$B$30+'Inputs'!$B$31+'Inputs'!$B$32)/1000+'Inputs'!$B$21)+'Inputs'!$B$9)/SQRT((((137-43)*MAX('Inputs'!$B$33,'Inputs'!$B$29+'Inputs'!$B$31+'Inputs'!$B$32,'Inputs'!$B$30+'Inputs'!$B$31+'Inputs'!$B$32)/1000+'Inputs'!$B$21)+'Inputs'!$B$9)^2+('Inputs'!$B$8/2)^2)-(((137-43)*MAX('Inputs'!$B$33,'Inputs'!$B$29+'Inputs'!$B$31+'Inputs'!$B$32,'Inputs'!$B$30+'Inputs'!$B$31+'Inputs'!$B$32)/1000+'Inputs'!$B$21))/SQRT((((137-43)*MAX('Inputs'!$B$33,'Inputs'!$B$29+'Inputs'!$B$31+'Inputs'!$B$32,'Inputs'!$B$30+'Inputs'!$B$31+'Inputs'!$B$32)/1000+'Inputs'!$B$21))^2+('Inputs'!$B$8/2)^2)))-'Results'!B7*(1-'Inputs'!$B$24)*(0.5*((((137-43)*MAX('Inputs'!$B$33,'Inputs'!$B$29+'Inputs'!$B$31+'Inputs'!$B$32,'Inputs'!$B$30+'Inputs'!$B$31+'Inputs'!$B$32)/1000+'Inputs'!$B$21+'Inputs'!$B$9+'Inputs'!$B$10)+'Inputs'!$B$7)/SQRT((((137-43)*MAX('Inputs'!$B$33,'Inputs'!$B$29+'Inputs'!$B$31+'Inputs'!$B$32,'Inputs'!$B$30+'Inputs'!$B$31+'Inputs'!$B$32)/1000+'Inputs'!$B$21+'Inputs'!$B$9+'Inputs'!$B$10)+'Inputs'!$B$7)^2+('Inputs'!$B$6/2)^2)-(((137-43)*MAX('Inputs'!$B$33,'Inputs'!$B$29+'Inputs'!$B$31+'Inputs'!$B$32,'Inputs'!$B$30+'Inputs'!$B$31+'Inputs'!$B$32)/1000+'Inputs'!$B$21+'Inputs'!$B$9+'Inputs'!$B$10))/SQRT((((137-43)*MAX('Inputs'!$B$33,'Inputs'!$B$29+'Inputs'!$B$31+'Inputs'!$B$32,'Inputs'!$B$30+'Inputs'!$B$31+'Inputs'!$B$32)/1000+'Inputs'!$B$21+'Inputs'!$B$9+'Inputs'!$B$10))^2+('Inputs'!$B$6/2)^2))))*'Results'!$B$8))),"")</x:f>
        <x:v>437.37382060767794</x:v>
      </x:c>
      <x:c r="P137" t="n">
        <x:f>IF(AND(MAX(J137,J136)&gt;0,J137&gt;J136+0.00000001),1,0)</x:f>
        <x:v>0</x:v>
      </x:c>
      <x:c r="Q137" t="n">
        <x:f>IF(AND(MAX(K137,K136)&gt;0,K137&gt;K136+0.00000001),1,0)</x:f>
        <x:v>0</x:v>
      </x:c>
      <x:c r="R137" t="n">
        <x:f>IF(AND(MAX(L137,L136)&gt;0,L137&gt;L136+0.00000001),1,0)</x:f>
        <x:v>0</x:v>
      </x:c>
      <x:c r="S137" t="n">
        <x:f>IF(AND(MAX(M137,M136)&gt;0,M137&gt;M136+0.00000001),1,0)</x:f>
        <x:v>0</x:v>
      </x:c>
      <x:c r="T137" t="n">
        <x:f>IF(AND(MAX(N137,N136)&gt;0,N137&gt;N136+0.00000001),1,0)</x:f>
        <x:v>0</x:v>
      </x:c>
      <x:c r="U137" t="n">
        <x:f>IF(AND(MAX(O137,O136)&gt;0,O137&gt;O136+0.00000001),1,0)</x:f>
        <x:v>0</x:v>
      </x:c>
    </x:row>
    <x:row r="138">
      <x:c r="J138" t="n">
        <x:f>IF(AND(ISNUMBER('Results'!B7),ISNUMBER('Results'!C7),ISNUMBER('Results'!$B$8),ISNUMBER('Inputs'!$B$6),ISNUMBER('Inputs'!$B$7),ISNUMBER('Inputs'!$B$8),ISNUMBER('Inputs'!$B$9),ISNUMBER('Inputs'!$B$10),ISNUMBER('Inputs'!$B$21),ISNUMBER('Inputs'!$B$24),ISNUMBER('Inputs'!$B$28)),(('Results'!B7*(0.5*((((138-43)*MAX('Inputs'!$B$33,'Inputs'!$B$29+'Inputs'!$B$31+'Inputs'!$B$32,'Inputs'!$B$30+'Inputs'!$B$31+'Inputs'!$B$32)/1000+'Inputs'!$B$21)+'Inputs'!$B$7)/SQRT((((138-43)*MAX('Inputs'!$B$33,'Inputs'!$B$29+'Inputs'!$B$31+'Inputs'!$B$32,'Inputs'!$B$30+'Inputs'!$B$31+'Inputs'!$B$32)/1000+'Inputs'!$B$21)+'Inputs'!$B$7)^2+('Inputs'!$B$6/2)^2)-(((138-43)*MAX('Inputs'!$B$33,'Inputs'!$B$29+'Inputs'!$B$31+'Inputs'!$B$32,'Inputs'!$B$30+'Inputs'!$B$31+'Inputs'!$B$32)/1000+'Inputs'!$B$21))/SQRT((((138-43)*MAX('Inputs'!$B$33,'Inputs'!$B$29+'Inputs'!$B$31+'Inputs'!$B$32,'Inputs'!$B$30+'Inputs'!$B$31+'Inputs'!$B$32)/1000+'Inputs'!$B$21))^2+('Inputs'!$B$6/2)^2)))-'Results'!C7*(0.5*((((138-43)*MAX('Inputs'!$B$33,'Inputs'!$B$29+'Inputs'!$B$31+'Inputs'!$B$32,'Inputs'!$B$30+'Inputs'!$B$31+'Inputs'!$B$32)/1000+'Inputs'!$B$21+'Inputs'!$B$7+'Inputs'!$B$10)+'Inputs'!$B$9)/SQRT((((138-43)*MAX('Inputs'!$B$33,'Inputs'!$B$29+'Inputs'!$B$31+'Inputs'!$B$32,'Inputs'!$B$30+'Inputs'!$B$31+'Inputs'!$B$32)/1000+'Inputs'!$B$21+'Inputs'!$B$7+'Inputs'!$B$10)+'Inputs'!$B$9)^2+('Inputs'!$B$8/2)^2)-(((138-43)*MAX('Inputs'!$B$33,'Inputs'!$B$29+'Inputs'!$B$31+'Inputs'!$B$32,'Inputs'!$B$30+'Inputs'!$B$31+'Inputs'!$B$32)/1000+'Inputs'!$B$21+'Inputs'!$B$7+'Inputs'!$B$10))/SQRT((((138-43)*MAX('Inputs'!$B$33,'Inputs'!$B$29+'Inputs'!$B$31+'Inputs'!$B$32,'Inputs'!$B$30+'Inputs'!$B$31+'Inputs'!$B$32)/1000+'Inputs'!$B$21+'Inputs'!$B$7+'Inputs'!$B$10))^2+('Inputs'!$B$8/2)^2))))*'Results'!$B$8),"")</x:f>
        <x:v>408.85039647927186</x:v>
      </x:c>
      <x:c r="K138" t="n">
        <x:f>IF(AND(ISNUMBER('Results'!B7),ISNUMBER('Results'!C7),ISNUMBER('Results'!$B$8),ISNUMBER('Inputs'!$B$6),ISNUMBER('Inputs'!$B$7),ISNUMBER('Inputs'!$B$8),ISNUMBER('Inputs'!$B$9),ISNUMBER('Inputs'!$B$10),ISNUMBER('Inputs'!$B$21),ISNUMBER('Inputs'!$B$24),ISNUMBER('Inputs'!$B$28)),((('Results'!B7*(1-'Inputs'!$B$24)*(0.5*((((138-43)*MAX('Inputs'!$B$33,'Inputs'!$B$29+'Inputs'!$B$31+'Inputs'!$B$32,'Inputs'!$B$30+'Inputs'!$B$31+'Inputs'!$B$32)/1000+'Inputs'!$B$21)+'Inputs'!$B$7)/SQRT((((138-43)*MAX('Inputs'!$B$33,'Inputs'!$B$29+'Inputs'!$B$31+'Inputs'!$B$32,'Inputs'!$B$30+'Inputs'!$B$31+'Inputs'!$B$32)/1000+'Inputs'!$B$21)+'Inputs'!$B$7)^2+('Inputs'!$B$6/2)^2)-(((138-43)*MAX('Inputs'!$B$33,'Inputs'!$B$29+'Inputs'!$B$31+'Inputs'!$B$32,'Inputs'!$B$30+'Inputs'!$B$31+'Inputs'!$B$32)/1000+'Inputs'!$B$21))/SQRT((((138-43)*MAX('Inputs'!$B$33,'Inputs'!$B$29+'Inputs'!$B$31+'Inputs'!$B$32,'Inputs'!$B$30+'Inputs'!$B$31+'Inputs'!$B$32)/1000+'Inputs'!$B$21))^2+('Inputs'!$B$6/2)^2)))-'Results'!C7*(1+'Inputs'!$B$24)*(0.5*((((138-43)*MAX('Inputs'!$B$33,'Inputs'!$B$29+'Inputs'!$B$31+'Inputs'!$B$32,'Inputs'!$B$30+'Inputs'!$B$31+'Inputs'!$B$32)/1000+'Inputs'!$B$21+'Inputs'!$B$7+'Inputs'!$B$10)+'Inputs'!$B$9)/SQRT((((138-43)*MAX('Inputs'!$B$33,'Inputs'!$B$29+'Inputs'!$B$31+'Inputs'!$B$32,'Inputs'!$B$30+'Inputs'!$B$31+'Inputs'!$B$32)/1000+'Inputs'!$B$21+'Inputs'!$B$7+'Inputs'!$B$10)+'Inputs'!$B$9)^2+('Inputs'!$B$8/2)^2)-(((138-43)*MAX('Inputs'!$B$33,'Inputs'!$B$29+'Inputs'!$B$31+'Inputs'!$B$32,'Inputs'!$B$30+'Inputs'!$B$31+'Inputs'!$B$32)/1000+'Inputs'!$B$21+'Inputs'!$B$7+'Inputs'!$B$10))/SQRT((((138-43)*MAX('Inputs'!$B$33,'Inputs'!$B$29+'Inputs'!$B$31+'Inputs'!$B$32,'Inputs'!$B$30+'Inputs'!$B$31+'Inputs'!$B$32)/1000+'Inputs'!$B$21+'Inputs'!$B$7+'Inputs'!$B$10))^2+('Inputs'!$B$8/2)^2))))*'Results'!$B$8)-'Inputs'!$B$28*ABS((('Results'!B7*(1-'Inputs'!$B$24)*(0.5*((((138-43)*MAX('Inputs'!$B$33,'Inputs'!$B$29+'Inputs'!$B$31+'Inputs'!$B$32,'Inputs'!$B$30+'Inputs'!$B$31+'Inputs'!$B$32)/1000+'Inputs'!$B$21)+'Inputs'!$B$7)/SQRT((((138-43)*MAX('Inputs'!$B$33,'Inputs'!$B$29+'Inputs'!$B$31+'Inputs'!$B$32,'Inputs'!$B$30+'Inputs'!$B$31+'Inputs'!$B$32)/1000+'Inputs'!$B$21)+'Inputs'!$B$7)^2+('Inputs'!$B$6/2)^2)-(((138-43)*MAX('Inputs'!$B$33,'Inputs'!$B$29+'Inputs'!$B$31+'Inputs'!$B$32,'Inputs'!$B$30+'Inputs'!$B$31+'Inputs'!$B$32)/1000+'Inputs'!$B$21))/SQRT((((138-43)*MAX('Inputs'!$B$33,'Inputs'!$B$29+'Inputs'!$B$31+'Inputs'!$B$32,'Inputs'!$B$30+'Inputs'!$B$31+'Inputs'!$B$32)/1000+'Inputs'!$B$21))^2+('Inputs'!$B$6/2)^2)))-'Results'!C7*(1+'Inputs'!$B$24)*(0.5*((((138-43)*MAX('Inputs'!$B$33,'Inputs'!$B$29+'Inputs'!$B$31+'Inputs'!$B$32,'Inputs'!$B$30+'Inputs'!$B$31+'Inputs'!$B$32)/1000+'Inputs'!$B$21+'Inputs'!$B$7+'Inputs'!$B$10)+'Inputs'!$B$9)/SQRT((((138-43)*MAX('Inputs'!$B$33,'Inputs'!$B$29+'Inputs'!$B$31+'Inputs'!$B$32,'Inputs'!$B$30+'Inputs'!$B$31+'Inputs'!$B$32)/1000+'Inputs'!$B$21+'Inputs'!$B$7+'Inputs'!$B$10)+'Inputs'!$B$9)^2+('Inputs'!$B$8/2)^2)-(((138-43)*MAX('Inputs'!$B$33,'Inputs'!$B$29+'Inputs'!$B$31+'Inputs'!$B$32,'Inputs'!$B$30+'Inputs'!$B$31+'Inputs'!$B$32)/1000+'Inputs'!$B$21+'Inputs'!$B$7+'Inputs'!$B$10))/SQRT((((138-43)*MAX('Inputs'!$B$33,'Inputs'!$B$29+'Inputs'!$B$31+'Inputs'!$B$32,'Inputs'!$B$30+'Inputs'!$B$31+'Inputs'!$B$32)/1000+'Inputs'!$B$21+'Inputs'!$B$7+'Inputs'!$B$10))^2+('Inputs'!$B$8/2)^2))))*'Results'!$B$8))),"")</x:f>
        <x:v>377.1401544548269</x:v>
      </x:c>
      <x:c r="L138" t="n">
        <x:f>IF(AND(ISNUMBER('Results'!B7),ISNUMBER('Results'!C7),ISNUMBER('Results'!$B$8),ISNUMBER('Inputs'!$B$6),ISNUMBER('Inputs'!$B$7),ISNUMBER('Inputs'!$B$8),ISNUMBER('Inputs'!$B$9),ISNUMBER('Inputs'!$B$10),ISNUMBER('Inputs'!$B$21),ISNUMBER('Inputs'!$B$24),ISNUMBER('Inputs'!$B$28)),((('Results'!B7*(1+'Inputs'!$B$24)*(0.5*((((138-43)*MAX('Inputs'!$B$33,'Inputs'!$B$29+'Inputs'!$B$31+'Inputs'!$B$32,'Inputs'!$B$30+'Inputs'!$B$31+'Inputs'!$B$32)/1000+'Inputs'!$B$21)+'Inputs'!$B$7)/SQRT((((138-43)*MAX('Inputs'!$B$33,'Inputs'!$B$29+'Inputs'!$B$31+'Inputs'!$B$32,'Inputs'!$B$30+'Inputs'!$B$31+'Inputs'!$B$32)/1000+'Inputs'!$B$21)+'Inputs'!$B$7)^2+('Inputs'!$B$6/2)^2)-(((138-43)*MAX('Inputs'!$B$33,'Inputs'!$B$29+'Inputs'!$B$31+'Inputs'!$B$32,'Inputs'!$B$30+'Inputs'!$B$31+'Inputs'!$B$32)/1000+'Inputs'!$B$21))/SQRT((((138-43)*MAX('Inputs'!$B$33,'Inputs'!$B$29+'Inputs'!$B$31+'Inputs'!$B$32,'Inputs'!$B$30+'Inputs'!$B$31+'Inputs'!$B$32)/1000+'Inputs'!$B$21))^2+('Inputs'!$B$6/2)^2)))-'Results'!C7*(1-'Inputs'!$B$24)*(0.5*((((138-43)*MAX('Inputs'!$B$33,'Inputs'!$B$29+'Inputs'!$B$31+'Inputs'!$B$32,'Inputs'!$B$30+'Inputs'!$B$31+'Inputs'!$B$32)/1000+'Inputs'!$B$21+'Inputs'!$B$7+'Inputs'!$B$10)+'Inputs'!$B$9)/SQRT((((138-43)*MAX('Inputs'!$B$33,'Inputs'!$B$29+'Inputs'!$B$31+'Inputs'!$B$32,'Inputs'!$B$30+'Inputs'!$B$31+'Inputs'!$B$32)/1000+'Inputs'!$B$21+'Inputs'!$B$7+'Inputs'!$B$10)+'Inputs'!$B$9)^2+('Inputs'!$B$8/2)^2)-(((138-43)*MAX('Inputs'!$B$33,'Inputs'!$B$29+'Inputs'!$B$31+'Inputs'!$B$32,'Inputs'!$B$30+'Inputs'!$B$31+'Inputs'!$B$32)/1000+'Inputs'!$B$21+'Inputs'!$B$7+'Inputs'!$B$10))/SQRT((((138-43)*MAX('Inputs'!$B$33,'Inputs'!$B$29+'Inputs'!$B$31+'Inputs'!$B$32,'Inputs'!$B$30+'Inputs'!$B$31+'Inputs'!$B$32)/1000+'Inputs'!$B$21+'Inputs'!$B$7+'Inputs'!$B$10))^2+('Inputs'!$B$8/2)^2))))*'Results'!$B$8)+'Inputs'!$B$28*ABS((('Results'!B7*(1+'Inputs'!$B$24)*(0.5*((((138-43)*MAX('Inputs'!$B$33,'Inputs'!$B$29+'Inputs'!$B$31+'Inputs'!$B$32,'Inputs'!$B$30+'Inputs'!$B$31+'Inputs'!$B$32)/1000+'Inputs'!$B$21)+'Inputs'!$B$7)/SQRT((((138-43)*MAX('Inputs'!$B$33,'Inputs'!$B$29+'Inputs'!$B$31+'Inputs'!$B$32,'Inputs'!$B$30+'Inputs'!$B$31+'Inputs'!$B$32)/1000+'Inputs'!$B$21)+'Inputs'!$B$7)^2+('Inputs'!$B$6/2)^2)-(((138-43)*MAX('Inputs'!$B$33,'Inputs'!$B$29+'Inputs'!$B$31+'Inputs'!$B$32,'Inputs'!$B$30+'Inputs'!$B$31+'Inputs'!$B$32)/1000+'Inputs'!$B$21))/SQRT((((138-43)*MAX('Inputs'!$B$33,'Inputs'!$B$29+'Inputs'!$B$31+'Inputs'!$B$32,'Inputs'!$B$30+'Inputs'!$B$31+'Inputs'!$B$32)/1000+'Inputs'!$B$21))^2+('Inputs'!$B$6/2)^2)))-'Results'!C7*(1-'Inputs'!$B$24)*(0.5*((((138-43)*MAX('Inputs'!$B$33,'Inputs'!$B$29+'Inputs'!$B$31+'Inputs'!$B$32,'Inputs'!$B$30+'Inputs'!$B$31+'Inputs'!$B$32)/1000+'Inputs'!$B$21+'Inputs'!$B$7+'Inputs'!$B$10)+'Inputs'!$B$9)/SQRT((((138-43)*MAX('Inputs'!$B$33,'Inputs'!$B$29+'Inputs'!$B$31+'Inputs'!$B$32,'Inputs'!$B$30+'Inputs'!$B$31+'Inputs'!$B$32)/1000+'Inputs'!$B$21+'Inputs'!$B$7+'Inputs'!$B$10)+'Inputs'!$B$9)^2+('Inputs'!$B$8/2)^2)-(((138-43)*MAX('Inputs'!$B$33,'Inputs'!$B$29+'Inputs'!$B$31+'Inputs'!$B$32,'Inputs'!$B$30+'Inputs'!$B$31+'Inputs'!$B$32)/1000+'Inputs'!$B$21+'Inputs'!$B$7+'Inputs'!$B$10))/SQRT((((138-43)*MAX('Inputs'!$B$33,'Inputs'!$B$29+'Inputs'!$B$31+'Inputs'!$B$32,'Inputs'!$B$30+'Inputs'!$B$31+'Inputs'!$B$32)/1000+'Inputs'!$B$21+'Inputs'!$B$7+'Inputs'!$B$10))^2+('Inputs'!$B$8/2)^2))))*'Results'!$B$8))),"")</x:f>
        <x:v>441.74671452482005</x:v>
      </x:c>
      <x:c r="M138" t="n">
        <x:f>IF(AND(ISNUMBER('Results'!C7),ISNUMBER('Results'!B7),ISNUMBER('Results'!$B$8),ISNUMBER('Inputs'!$B$6),ISNUMBER('Inputs'!$B$7),ISNUMBER('Inputs'!$B$8),ISNUMBER('Inputs'!$B$9),ISNUMBER('Inputs'!$B$10),ISNUMBER('Inputs'!$B$21),ISNUMBER('Inputs'!$B$24),ISNUMBER('Inputs'!$B$28)),(('Results'!C7*(0.5*((((138-43)*MAX('Inputs'!$B$33,'Inputs'!$B$29+'Inputs'!$B$31+'Inputs'!$B$32,'Inputs'!$B$30+'Inputs'!$B$31+'Inputs'!$B$32)/1000+'Inputs'!$B$21)+'Inputs'!$B$9)/SQRT((((138-43)*MAX('Inputs'!$B$33,'Inputs'!$B$29+'Inputs'!$B$31+'Inputs'!$B$32,'Inputs'!$B$30+'Inputs'!$B$31+'Inputs'!$B$32)/1000+'Inputs'!$B$21)+'Inputs'!$B$9)^2+('Inputs'!$B$8/2)^2)-(((138-43)*MAX('Inputs'!$B$33,'Inputs'!$B$29+'Inputs'!$B$31+'Inputs'!$B$32,'Inputs'!$B$30+'Inputs'!$B$31+'Inputs'!$B$32)/1000+'Inputs'!$B$21))/SQRT((((138-43)*MAX('Inputs'!$B$33,'Inputs'!$B$29+'Inputs'!$B$31+'Inputs'!$B$32,'Inputs'!$B$30+'Inputs'!$B$31+'Inputs'!$B$32)/1000+'Inputs'!$B$21))^2+('Inputs'!$B$8/2)^2)))-'Results'!B7*(0.5*((((138-43)*MAX('Inputs'!$B$33,'Inputs'!$B$29+'Inputs'!$B$31+'Inputs'!$B$32,'Inputs'!$B$30+'Inputs'!$B$31+'Inputs'!$B$32)/1000+'Inputs'!$B$21+'Inputs'!$B$9+'Inputs'!$B$10)+'Inputs'!$B$7)/SQRT((((138-43)*MAX('Inputs'!$B$33,'Inputs'!$B$29+'Inputs'!$B$31+'Inputs'!$B$32,'Inputs'!$B$30+'Inputs'!$B$31+'Inputs'!$B$32)/1000+'Inputs'!$B$21+'Inputs'!$B$9+'Inputs'!$B$10)+'Inputs'!$B$7)^2+('Inputs'!$B$6/2)^2)-(((138-43)*MAX('Inputs'!$B$33,'Inputs'!$B$29+'Inputs'!$B$31+'Inputs'!$B$32,'Inputs'!$B$30+'Inputs'!$B$31+'Inputs'!$B$32)/1000+'Inputs'!$B$21+'Inputs'!$B$9+'Inputs'!$B$10))/SQRT((((138-43)*MAX('Inputs'!$B$33,'Inputs'!$B$29+'Inputs'!$B$31+'Inputs'!$B$32,'Inputs'!$B$30+'Inputs'!$B$31+'Inputs'!$B$32)/1000+'Inputs'!$B$21+'Inputs'!$B$9+'Inputs'!$B$10))^2+('Inputs'!$B$6/2)^2))))*'Results'!$B$8),"")</x:f>
        <x:v>396.9520469592445</x:v>
      </x:c>
      <x:c r="N138" t="n">
        <x:f>IF(AND(ISNUMBER('Results'!C7),ISNUMBER('Results'!B7),ISNUMBER('Results'!$B$8),ISNUMBER('Inputs'!$B$6),ISNUMBER('Inputs'!$B$7),ISNUMBER('Inputs'!$B$8),ISNUMBER('Inputs'!$B$9),ISNUMBER('Inputs'!$B$10),ISNUMBER('Inputs'!$B$21),ISNUMBER('Inputs'!$B$24),ISNUMBER('Inputs'!$B$28)),((('Results'!C7*(1-'Inputs'!$B$24)*(0.5*((((138-43)*MAX('Inputs'!$B$33,'Inputs'!$B$29+'Inputs'!$B$31+'Inputs'!$B$32,'Inputs'!$B$30+'Inputs'!$B$31+'Inputs'!$B$32)/1000+'Inputs'!$B$21)+'Inputs'!$B$9)/SQRT((((138-43)*MAX('Inputs'!$B$33,'Inputs'!$B$29+'Inputs'!$B$31+'Inputs'!$B$32,'Inputs'!$B$30+'Inputs'!$B$31+'Inputs'!$B$32)/1000+'Inputs'!$B$21)+'Inputs'!$B$9)^2+('Inputs'!$B$8/2)^2)-(((138-43)*MAX('Inputs'!$B$33,'Inputs'!$B$29+'Inputs'!$B$31+'Inputs'!$B$32,'Inputs'!$B$30+'Inputs'!$B$31+'Inputs'!$B$32)/1000+'Inputs'!$B$21))/SQRT((((138-43)*MAX('Inputs'!$B$33,'Inputs'!$B$29+'Inputs'!$B$31+'Inputs'!$B$32,'Inputs'!$B$30+'Inputs'!$B$31+'Inputs'!$B$32)/1000+'Inputs'!$B$21))^2+('Inputs'!$B$8/2)^2)))-'Results'!B7*(1+'Inputs'!$B$24)*(0.5*((((138-43)*MAX('Inputs'!$B$33,'Inputs'!$B$29+'Inputs'!$B$31+'Inputs'!$B$32,'Inputs'!$B$30+'Inputs'!$B$31+'Inputs'!$B$32)/1000+'Inputs'!$B$21+'Inputs'!$B$9+'Inputs'!$B$10)+'Inputs'!$B$7)/SQRT((((138-43)*MAX('Inputs'!$B$33,'Inputs'!$B$29+'Inputs'!$B$31+'Inputs'!$B$32,'Inputs'!$B$30+'Inputs'!$B$31+'Inputs'!$B$32)/1000+'Inputs'!$B$21+'Inputs'!$B$9+'Inputs'!$B$10)+'Inputs'!$B$7)^2+('Inputs'!$B$6/2)^2)-(((138-43)*MAX('Inputs'!$B$33,'Inputs'!$B$29+'Inputs'!$B$31+'Inputs'!$B$32,'Inputs'!$B$30+'Inputs'!$B$31+'Inputs'!$B$32)/1000+'Inputs'!$B$21+'Inputs'!$B$9+'Inputs'!$B$10))/SQRT((((138-43)*MAX('Inputs'!$B$33,'Inputs'!$B$29+'Inputs'!$B$31+'Inputs'!$B$32,'Inputs'!$B$30+'Inputs'!$B$31+'Inputs'!$B$32)/1000+'Inputs'!$B$21+'Inputs'!$B$9+'Inputs'!$B$10))^2+('Inputs'!$B$6/2)^2))))*'Results'!$B$8)-'Inputs'!$B$28*ABS((('Results'!C7*(1-'Inputs'!$B$24)*(0.5*((((138-43)*MAX('Inputs'!$B$33,'Inputs'!$B$29+'Inputs'!$B$31+'Inputs'!$B$32,'Inputs'!$B$30+'Inputs'!$B$31+'Inputs'!$B$32)/1000+'Inputs'!$B$21)+'Inputs'!$B$9)/SQRT((((138-43)*MAX('Inputs'!$B$33,'Inputs'!$B$29+'Inputs'!$B$31+'Inputs'!$B$32,'Inputs'!$B$30+'Inputs'!$B$31+'Inputs'!$B$32)/1000+'Inputs'!$B$21)+'Inputs'!$B$9)^2+('Inputs'!$B$8/2)^2)-(((138-43)*MAX('Inputs'!$B$33,'Inputs'!$B$29+'Inputs'!$B$31+'Inputs'!$B$32,'Inputs'!$B$30+'Inputs'!$B$31+'Inputs'!$B$32)/1000+'Inputs'!$B$21))/SQRT((((138-43)*MAX('Inputs'!$B$33,'Inputs'!$B$29+'Inputs'!$B$31+'Inputs'!$B$32,'Inputs'!$B$30+'Inputs'!$B$31+'Inputs'!$B$32)/1000+'Inputs'!$B$21))^2+('Inputs'!$B$8/2)^2)))-'Results'!B7*(1+'Inputs'!$B$24)*(0.5*((((138-43)*MAX('Inputs'!$B$33,'Inputs'!$B$29+'Inputs'!$B$31+'Inputs'!$B$32,'Inputs'!$B$30+'Inputs'!$B$31+'Inputs'!$B$32)/1000+'Inputs'!$B$21+'Inputs'!$B$9+'Inputs'!$B$10)+'Inputs'!$B$7)/SQRT((((138-43)*MAX('Inputs'!$B$33,'Inputs'!$B$29+'Inputs'!$B$31+'Inputs'!$B$32,'Inputs'!$B$30+'Inputs'!$B$31+'Inputs'!$B$32)/1000+'Inputs'!$B$21+'Inputs'!$B$9+'Inputs'!$B$10)+'Inputs'!$B$7)^2+('Inputs'!$B$6/2)^2)-(((138-43)*MAX('Inputs'!$B$33,'Inputs'!$B$29+'Inputs'!$B$31+'Inputs'!$B$32,'Inputs'!$B$30+'Inputs'!$B$31+'Inputs'!$B$32)/1000+'Inputs'!$B$21+'Inputs'!$B$9+'Inputs'!$B$10))/SQRT((((138-43)*MAX('Inputs'!$B$33,'Inputs'!$B$29+'Inputs'!$B$31+'Inputs'!$B$32,'Inputs'!$B$30+'Inputs'!$B$31+'Inputs'!$B$32)/1000+'Inputs'!$B$21+'Inputs'!$B$9+'Inputs'!$B$10))^2+('Inputs'!$B$6/2)^2))))*'Results'!$B$8))),"")</x:f>
        <x:v>365.9913713645922</x:v>
      </x:c>
      <x:c r="O138" t="n">
        <x:f>IF(AND(ISNUMBER('Results'!C7),ISNUMBER('Results'!B7),ISNUMBER('Results'!$B$8),ISNUMBER('Inputs'!$B$6),ISNUMBER('Inputs'!$B$7),ISNUMBER('Inputs'!$B$8),ISNUMBER('Inputs'!$B$9),ISNUMBER('Inputs'!$B$10),ISNUMBER('Inputs'!$B$21),ISNUMBER('Inputs'!$B$24),ISNUMBER('Inputs'!$B$28)),((('Results'!C7*(1+'Inputs'!$B$24)*(0.5*((((138-43)*MAX('Inputs'!$B$33,'Inputs'!$B$29+'Inputs'!$B$31+'Inputs'!$B$32,'Inputs'!$B$30+'Inputs'!$B$31+'Inputs'!$B$32)/1000+'Inputs'!$B$21)+'Inputs'!$B$9)/SQRT((((138-43)*MAX('Inputs'!$B$33,'Inputs'!$B$29+'Inputs'!$B$31+'Inputs'!$B$32,'Inputs'!$B$30+'Inputs'!$B$31+'Inputs'!$B$32)/1000+'Inputs'!$B$21)+'Inputs'!$B$9)^2+('Inputs'!$B$8/2)^2)-(((138-43)*MAX('Inputs'!$B$33,'Inputs'!$B$29+'Inputs'!$B$31+'Inputs'!$B$32,'Inputs'!$B$30+'Inputs'!$B$31+'Inputs'!$B$32)/1000+'Inputs'!$B$21))/SQRT((((138-43)*MAX('Inputs'!$B$33,'Inputs'!$B$29+'Inputs'!$B$31+'Inputs'!$B$32,'Inputs'!$B$30+'Inputs'!$B$31+'Inputs'!$B$32)/1000+'Inputs'!$B$21))^2+('Inputs'!$B$8/2)^2)))-'Results'!B7*(1-'Inputs'!$B$24)*(0.5*((((138-43)*MAX('Inputs'!$B$33,'Inputs'!$B$29+'Inputs'!$B$31+'Inputs'!$B$32,'Inputs'!$B$30+'Inputs'!$B$31+'Inputs'!$B$32)/1000+'Inputs'!$B$21+'Inputs'!$B$9+'Inputs'!$B$10)+'Inputs'!$B$7)/SQRT((((138-43)*MAX('Inputs'!$B$33,'Inputs'!$B$29+'Inputs'!$B$31+'Inputs'!$B$32,'Inputs'!$B$30+'Inputs'!$B$31+'Inputs'!$B$32)/1000+'Inputs'!$B$21+'Inputs'!$B$9+'Inputs'!$B$10)+'Inputs'!$B$7)^2+('Inputs'!$B$6/2)^2)-(((138-43)*MAX('Inputs'!$B$33,'Inputs'!$B$29+'Inputs'!$B$31+'Inputs'!$B$32,'Inputs'!$B$30+'Inputs'!$B$31+'Inputs'!$B$32)/1000+'Inputs'!$B$21+'Inputs'!$B$9+'Inputs'!$B$10))/SQRT((((138-43)*MAX('Inputs'!$B$33,'Inputs'!$B$29+'Inputs'!$B$31+'Inputs'!$B$32,'Inputs'!$B$30+'Inputs'!$B$31+'Inputs'!$B$32)/1000+'Inputs'!$B$21+'Inputs'!$B$9+'Inputs'!$B$10))^2+('Inputs'!$B$6/2)^2))))*'Results'!$B$8)+'Inputs'!$B$28*ABS((('Results'!C7*(1+'Inputs'!$B$24)*(0.5*((((138-43)*MAX('Inputs'!$B$33,'Inputs'!$B$29+'Inputs'!$B$31+'Inputs'!$B$32,'Inputs'!$B$30+'Inputs'!$B$31+'Inputs'!$B$32)/1000+'Inputs'!$B$21)+'Inputs'!$B$9)/SQRT((((138-43)*MAX('Inputs'!$B$33,'Inputs'!$B$29+'Inputs'!$B$31+'Inputs'!$B$32,'Inputs'!$B$30+'Inputs'!$B$31+'Inputs'!$B$32)/1000+'Inputs'!$B$21)+'Inputs'!$B$9)^2+('Inputs'!$B$8/2)^2)-(((138-43)*MAX('Inputs'!$B$33,'Inputs'!$B$29+'Inputs'!$B$31+'Inputs'!$B$32,'Inputs'!$B$30+'Inputs'!$B$31+'Inputs'!$B$32)/1000+'Inputs'!$B$21))/SQRT((((138-43)*MAX('Inputs'!$B$33,'Inputs'!$B$29+'Inputs'!$B$31+'Inputs'!$B$32,'Inputs'!$B$30+'Inputs'!$B$31+'Inputs'!$B$32)/1000+'Inputs'!$B$21))^2+('Inputs'!$B$8/2)^2)))-'Results'!B7*(1-'Inputs'!$B$24)*(0.5*((((138-43)*MAX('Inputs'!$B$33,'Inputs'!$B$29+'Inputs'!$B$31+'Inputs'!$B$32,'Inputs'!$B$30+'Inputs'!$B$31+'Inputs'!$B$32)/1000+'Inputs'!$B$21+'Inputs'!$B$9+'Inputs'!$B$10)+'Inputs'!$B$7)/SQRT((((138-43)*MAX('Inputs'!$B$33,'Inputs'!$B$29+'Inputs'!$B$31+'Inputs'!$B$32,'Inputs'!$B$30+'Inputs'!$B$31+'Inputs'!$B$32)/1000+'Inputs'!$B$21+'Inputs'!$B$9+'Inputs'!$B$10)+'Inputs'!$B$7)^2+('Inputs'!$B$6/2)^2)-(((138-43)*MAX('Inputs'!$B$33,'Inputs'!$B$29+'Inputs'!$B$31+'Inputs'!$B$32,'Inputs'!$B$30+'Inputs'!$B$31+'Inputs'!$B$32)/1000+'Inputs'!$B$21+'Inputs'!$B$9+'Inputs'!$B$10))/SQRT((((138-43)*MAX('Inputs'!$B$33,'Inputs'!$B$29+'Inputs'!$B$31+'Inputs'!$B$32,'Inputs'!$B$30+'Inputs'!$B$31+'Inputs'!$B$32)/1000+'Inputs'!$B$21+'Inputs'!$B$9+'Inputs'!$B$10))^2+('Inputs'!$B$6/2)^2))))*'Results'!$B$8))),"")</x:f>
        <x:v>429.08251973775896</x:v>
      </x:c>
      <x:c r="P138" t="n">
        <x:f>IF(AND(MAX(J138,J137)&gt;0,J138&gt;J137+0.00000001),1,0)</x:f>
        <x:v>0</x:v>
      </x:c>
      <x:c r="Q138" t="n">
        <x:f>IF(AND(MAX(K138,K137)&gt;0,K138&gt;K137+0.00000001),1,0)</x:f>
        <x:v>0</x:v>
      </x:c>
      <x:c r="R138" t="n">
        <x:f>IF(AND(MAX(L138,L137)&gt;0,L138&gt;L137+0.00000001),1,0)</x:f>
        <x:v>0</x:v>
      </x:c>
      <x:c r="S138" t="n">
        <x:f>IF(AND(MAX(M138,M137)&gt;0,M138&gt;M137+0.00000001),1,0)</x:f>
        <x:v>0</x:v>
      </x:c>
      <x:c r="T138" t="n">
        <x:f>IF(AND(MAX(N138,N137)&gt;0,N138&gt;N137+0.00000001),1,0)</x:f>
        <x:v>0</x:v>
      </x:c>
      <x:c r="U138" t="n">
        <x:f>IF(AND(MAX(O138,O137)&gt;0,O138&gt;O137+0.00000001),1,0)</x:f>
        <x:v>0</x:v>
      </x:c>
    </x:row>
    <x:row r="139">
      <x:c r="J139" t="n">
        <x:f>IF(AND(ISNUMBER('Results'!B7),ISNUMBER('Results'!C7),ISNUMBER('Results'!$B$8),ISNUMBER('Inputs'!$B$6),ISNUMBER('Inputs'!$B$7),ISNUMBER('Inputs'!$B$8),ISNUMBER('Inputs'!$B$9),ISNUMBER('Inputs'!$B$10),ISNUMBER('Inputs'!$B$21),ISNUMBER('Inputs'!$B$24),ISNUMBER('Inputs'!$B$28)),(('Results'!B7*(0.5*((((139-43)*MAX('Inputs'!$B$33,'Inputs'!$B$29+'Inputs'!$B$31+'Inputs'!$B$32,'Inputs'!$B$30+'Inputs'!$B$31+'Inputs'!$B$32)/1000+'Inputs'!$B$21)+'Inputs'!$B$7)/SQRT((((139-43)*MAX('Inputs'!$B$33,'Inputs'!$B$29+'Inputs'!$B$31+'Inputs'!$B$32,'Inputs'!$B$30+'Inputs'!$B$31+'Inputs'!$B$32)/1000+'Inputs'!$B$21)+'Inputs'!$B$7)^2+('Inputs'!$B$6/2)^2)-(((139-43)*MAX('Inputs'!$B$33,'Inputs'!$B$29+'Inputs'!$B$31+'Inputs'!$B$32,'Inputs'!$B$30+'Inputs'!$B$31+'Inputs'!$B$32)/1000+'Inputs'!$B$21))/SQRT((((139-43)*MAX('Inputs'!$B$33,'Inputs'!$B$29+'Inputs'!$B$31+'Inputs'!$B$32,'Inputs'!$B$30+'Inputs'!$B$31+'Inputs'!$B$32)/1000+'Inputs'!$B$21))^2+('Inputs'!$B$6/2)^2)))-'Results'!C7*(0.5*((((139-43)*MAX('Inputs'!$B$33,'Inputs'!$B$29+'Inputs'!$B$31+'Inputs'!$B$32,'Inputs'!$B$30+'Inputs'!$B$31+'Inputs'!$B$32)/1000+'Inputs'!$B$21+'Inputs'!$B$7+'Inputs'!$B$10)+'Inputs'!$B$9)/SQRT((((139-43)*MAX('Inputs'!$B$33,'Inputs'!$B$29+'Inputs'!$B$31+'Inputs'!$B$32,'Inputs'!$B$30+'Inputs'!$B$31+'Inputs'!$B$32)/1000+'Inputs'!$B$21+'Inputs'!$B$7+'Inputs'!$B$10)+'Inputs'!$B$9)^2+('Inputs'!$B$8/2)^2)-(((139-43)*MAX('Inputs'!$B$33,'Inputs'!$B$29+'Inputs'!$B$31+'Inputs'!$B$32,'Inputs'!$B$30+'Inputs'!$B$31+'Inputs'!$B$32)/1000+'Inputs'!$B$21+'Inputs'!$B$7+'Inputs'!$B$10))/SQRT((((139-43)*MAX('Inputs'!$B$33,'Inputs'!$B$29+'Inputs'!$B$31+'Inputs'!$B$32,'Inputs'!$B$30+'Inputs'!$B$31+'Inputs'!$B$32)/1000+'Inputs'!$B$21+'Inputs'!$B$7+'Inputs'!$B$10))^2+('Inputs'!$B$8/2)^2))))*'Results'!$B$8),"")</x:f>
        <x:v>401.1174594443634</x:v>
      </x:c>
      <x:c r="K139" t="n">
        <x:f>IF(AND(ISNUMBER('Results'!B7),ISNUMBER('Results'!C7),ISNUMBER('Results'!$B$8),ISNUMBER('Inputs'!$B$6),ISNUMBER('Inputs'!$B$7),ISNUMBER('Inputs'!$B$8),ISNUMBER('Inputs'!$B$9),ISNUMBER('Inputs'!$B$10),ISNUMBER('Inputs'!$B$21),ISNUMBER('Inputs'!$B$24),ISNUMBER('Inputs'!$B$28)),((('Results'!B7*(1-'Inputs'!$B$24)*(0.5*((((139-43)*MAX('Inputs'!$B$33,'Inputs'!$B$29+'Inputs'!$B$31+'Inputs'!$B$32,'Inputs'!$B$30+'Inputs'!$B$31+'Inputs'!$B$32)/1000+'Inputs'!$B$21)+'Inputs'!$B$7)/SQRT((((139-43)*MAX('Inputs'!$B$33,'Inputs'!$B$29+'Inputs'!$B$31+'Inputs'!$B$32,'Inputs'!$B$30+'Inputs'!$B$31+'Inputs'!$B$32)/1000+'Inputs'!$B$21)+'Inputs'!$B$7)^2+('Inputs'!$B$6/2)^2)-(((139-43)*MAX('Inputs'!$B$33,'Inputs'!$B$29+'Inputs'!$B$31+'Inputs'!$B$32,'Inputs'!$B$30+'Inputs'!$B$31+'Inputs'!$B$32)/1000+'Inputs'!$B$21))/SQRT((((139-43)*MAX('Inputs'!$B$33,'Inputs'!$B$29+'Inputs'!$B$31+'Inputs'!$B$32,'Inputs'!$B$30+'Inputs'!$B$31+'Inputs'!$B$32)/1000+'Inputs'!$B$21))^2+('Inputs'!$B$6/2)^2)))-'Results'!C7*(1+'Inputs'!$B$24)*(0.5*((((139-43)*MAX('Inputs'!$B$33,'Inputs'!$B$29+'Inputs'!$B$31+'Inputs'!$B$32,'Inputs'!$B$30+'Inputs'!$B$31+'Inputs'!$B$32)/1000+'Inputs'!$B$21+'Inputs'!$B$7+'Inputs'!$B$10)+'Inputs'!$B$9)/SQRT((((139-43)*MAX('Inputs'!$B$33,'Inputs'!$B$29+'Inputs'!$B$31+'Inputs'!$B$32,'Inputs'!$B$30+'Inputs'!$B$31+'Inputs'!$B$32)/1000+'Inputs'!$B$21+'Inputs'!$B$7+'Inputs'!$B$10)+'Inputs'!$B$9)^2+('Inputs'!$B$8/2)^2)-(((139-43)*MAX('Inputs'!$B$33,'Inputs'!$B$29+'Inputs'!$B$31+'Inputs'!$B$32,'Inputs'!$B$30+'Inputs'!$B$31+'Inputs'!$B$32)/1000+'Inputs'!$B$21+'Inputs'!$B$7+'Inputs'!$B$10))/SQRT((((139-43)*MAX('Inputs'!$B$33,'Inputs'!$B$29+'Inputs'!$B$31+'Inputs'!$B$32,'Inputs'!$B$30+'Inputs'!$B$31+'Inputs'!$B$32)/1000+'Inputs'!$B$21+'Inputs'!$B$7+'Inputs'!$B$10))^2+('Inputs'!$B$8/2)^2))))*'Results'!$B$8)-'Inputs'!$B$28*ABS((('Results'!B7*(1-'Inputs'!$B$24)*(0.5*((((139-43)*MAX('Inputs'!$B$33,'Inputs'!$B$29+'Inputs'!$B$31+'Inputs'!$B$32,'Inputs'!$B$30+'Inputs'!$B$31+'Inputs'!$B$32)/1000+'Inputs'!$B$21)+'Inputs'!$B$7)/SQRT((((139-43)*MAX('Inputs'!$B$33,'Inputs'!$B$29+'Inputs'!$B$31+'Inputs'!$B$32,'Inputs'!$B$30+'Inputs'!$B$31+'Inputs'!$B$32)/1000+'Inputs'!$B$21)+'Inputs'!$B$7)^2+('Inputs'!$B$6/2)^2)-(((139-43)*MAX('Inputs'!$B$33,'Inputs'!$B$29+'Inputs'!$B$31+'Inputs'!$B$32,'Inputs'!$B$30+'Inputs'!$B$31+'Inputs'!$B$32)/1000+'Inputs'!$B$21))/SQRT((((139-43)*MAX('Inputs'!$B$33,'Inputs'!$B$29+'Inputs'!$B$31+'Inputs'!$B$32,'Inputs'!$B$30+'Inputs'!$B$31+'Inputs'!$B$32)/1000+'Inputs'!$B$21))^2+('Inputs'!$B$6/2)^2)))-'Results'!C7*(1+'Inputs'!$B$24)*(0.5*((((139-43)*MAX('Inputs'!$B$33,'Inputs'!$B$29+'Inputs'!$B$31+'Inputs'!$B$32,'Inputs'!$B$30+'Inputs'!$B$31+'Inputs'!$B$32)/1000+'Inputs'!$B$21+'Inputs'!$B$7+'Inputs'!$B$10)+'Inputs'!$B$9)/SQRT((((139-43)*MAX('Inputs'!$B$33,'Inputs'!$B$29+'Inputs'!$B$31+'Inputs'!$B$32,'Inputs'!$B$30+'Inputs'!$B$31+'Inputs'!$B$32)/1000+'Inputs'!$B$21+'Inputs'!$B$7+'Inputs'!$B$10)+'Inputs'!$B$9)^2+('Inputs'!$B$8/2)^2)-(((139-43)*MAX('Inputs'!$B$33,'Inputs'!$B$29+'Inputs'!$B$31+'Inputs'!$B$32,'Inputs'!$B$30+'Inputs'!$B$31+'Inputs'!$B$32)/1000+'Inputs'!$B$21+'Inputs'!$B$7+'Inputs'!$B$10))/SQRT((((139-43)*MAX('Inputs'!$B$33,'Inputs'!$B$29+'Inputs'!$B$31+'Inputs'!$B$32,'Inputs'!$B$30+'Inputs'!$B$31+'Inputs'!$B$32)/1000+'Inputs'!$B$21+'Inputs'!$B$7+'Inputs'!$B$10))^2+('Inputs'!$B$8/2)^2))))*'Results'!$B$8))),"")</x:f>
        <x:v>369.98160047531445</x:v>
      </x:c>
      <x:c r="L139" t="n">
        <x:f>IF(AND(ISNUMBER('Results'!B7),ISNUMBER('Results'!C7),ISNUMBER('Results'!$B$8),ISNUMBER('Inputs'!$B$6),ISNUMBER('Inputs'!$B$7),ISNUMBER('Inputs'!$B$8),ISNUMBER('Inputs'!$B$9),ISNUMBER('Inputs'!$B$10),ISNUMBER('Inputs'!$B$21),ISNUMBER('Inputs'!$B$24),ISNUMBER('Inputs'!$B$28)),((('Results'!B7*(1+'Inputs'!$B$24)*(0.5*((((139-43)*MAX('Inputs'!$B$33,'Inputs'!$B$29+'Inputs'!$B$31+'Inputs'!$B$32,'Inputs'!$B$30+'Inputs'!$B$31+'Inputs'!$B$32)/1000+'Inputs'!$B$21)+'Inputs'!$B$7)/SQRT((((139-43)*MAX('Inputs'!$B$33,'Inputs'!$B$29+'Inputs'!$B$31+'Inputs'!$B$32,'Inputs'!$B$30+'Inputs'!$B$31+'Inputs'!$B$32)/1000+'Inputs'!$B$21)+'Inputs'!$B$7)^2+('Inputs'!$B$6/2)^2)-(((139-43)*MAX('Inputs'!$B$33,'Inputs'!$B$29+'Inputs'!$B$31+'Inputs'!$B$32,'Inputs'!$B$30+'Inputs'!$B$31+'Inputs'!$B$32)/1000+'Inputs'!$B$21))/SQRT((((139-43)*MAX('Inputs'!$B$33,'Inputs'!$B$29+'Inputs'!$B$31+'Inputs'!$B$32,'Inputs'!$B$30+'Inputs'!$B$31+'Inputs'!$B$32)/1000+'Inputs'!$B$21))^2+('Inputs'!$B$6/2)^2)))-'Results'!C7*(1-'Inputs'!$B$24)*(0.5*((((139-43)*MAX('Inputs'!$B$33,'Inputs'!$B$29+'Inputs'!$B$31+'Inputs'!$B$32,'Inputs'!$B$30+'Inputs'!$B$31+'Inputs'!$B$32)/1000+'Inputs'!$B$21+'Inputs'!$B$7+'Inputs'!$B$10)+'Inputs'!$B$9)/SQRT((((139-43)*MAX('Inputs'!$B$33,'Inputs'!$B$29+'Inputs'!$B$31+'Inputs'!$B$32,'Inputs'!$B$30+'Inputs'!$B$31+'Inputs'!$B$32)/1000+'Inputs'!$B$21+'Inputs'!$B$7+'Inputs'!$B$10)+'Inputs'!$B$9)^2+('Inputs'!$B$8/2)^2)-(((139-43)*MAX('Inputs'!$B$33,'Inputs'!$B$29+'Inputs'!$B$31+'Inputs'!$B$32,'Inputs'!$B$30+'Inputs'!$B$31+'Inputs'!$B$32)/1000+'Inputs'!$B$21+'Inputs'!$B$7+'Inputs'!$B$10))/SQRT((((139-43)*MAX('Inputs'!$B$33,'Inputs'!$B$29+'Inputs'!$B$31+'Inputs'!$B$32,'Inputs'!$B$30+'Inputs'!$B$31+'Inputs'!$B$32)/1000+'Inputs'!$B$21+'Inputs'!$B$7+'Inputs'!$B$10))^2+('Inputs'!$B$8/2)^2))))*'Results'!$B$8)+'Inputs'!$B$28*ABS((('Results'!B7*(1+'Inputs'!$B$24)*(0.5*((((139-43)*MAX('Inputs'!$B$33,'Inputs'!$B$29+'Inputs'!$B$31+'Inputs'!$B$32,'Inputs'!$B$30+'Inputs'!$B$31+'Inputs'!$B$32)/1000+'Inputs'!$B$21)+'Inputs'!$B$7)/SQRT((((139-43)*MAX('Inputs'!$B$33,'Inputs'!$B$29+'Inputs'!$B$31+'Inputs'!$B$32,'Inputs'!$B$30+'Inputs'!$B$31+'Inputs'!$B$32)/1000+'Inputs'!$B$21)+'Inputs'!$B$7)^2+('Inputs'!$B$6/2)^2)-(((139-43)*MAX('Inputs'!$B$33,'Inputs'!$B$29+'Inputs'!$B$31+'Inputs'!$B$32,'Inputs'!$B$30+'Inputs'!$B$31+'Inputs'!$B$32)/1000+'Inputs'!$B$21))/SQRT((((139-43)*MAX('Inputs'!$B$33,'Inputs'!$B$29+'Inputs'!$B$31+'Inputs'!$B$32,'Inputs'!$B$30+'Inputs'!$B$31+'Inputs'!$B$32)/1000+'Inputs'!$B$21))^2+('Inputs'!$B$6/2)^2)))-'Results'!C7*(1-'Inputs'!$B$24)*(0.5*((((139-43)*MAX('Inputs'!$B$33,'Inputs'!$B$29+'Inputs'!$B$31+'Inputs'!$B$32,'Inputs'!$B$30+'Inputs'!$B$31+'Inputs'!$B$32)/1000+'Inputs'!$B$21+'Inputs'!$B$7+'Inputs'!$B$10)+'Inputs'!$B$9)/SQRT((((139-43)*MAX('Inputs'!$B$33,'Inputs'!$B$29+'Inputs'!$B$31+'Inputs'!$B$32,'Inputs'!$B$30+'Inputs'!$B$31+'Inputs'!$B$32)/1000+'Inputs'!$B$21+'Inputs'!$B$7+'Inputs'!$B$10)+'Inputs'!$B$9)^2+('Inputs'!$B$8/2)^2)-(((139-43)*MAX('Inputs'!$B$33,'Inputs'!$B$29+'Inputs'!$B$31+'Inputs'!$B$32,'Inputs'!$B$30+'Inputs'!$B$31+'Inputs'!$B$32)/1000+'Inputs'!$B$21+'Inputs'!$B$7+'Inputs'!$B$10))/SQRT((((139-43)*MAX('Inputs'!$B$33,'Inputs'!$B$29+'Inputs'!$B$31+'Inputs'!$B$32,'Inputs'!$B$30+'Inputs'!$B$31+'Inputs'!$B$32)/1000+'Inputs'!$B$21+'Inputs'!$B$7+'Inputs'!$B$10))^2+('Inputs'!$B$8/2)^2))))*'Results'!$B$8))),"")</x:f>
        <x:v>433.4196327288682</x:v>
      </x:c>
      <x:c r="M139" t="n">
        <x:f>IF(AND(ISNUMBER('Results'!C7),ISNUMBER('Results'!B7),ISNUMBER('Results'!$B$8),ISNUMBER('Inputs'!$B$6),ISNUMBER('Inputs'!$B$7),ISNUMBER('Inputs'!$B$8),ISNUMBER('Inputs'!$B$9),ISNUMBER('Inputs'!$B$10),ISNUMBER('Inputs'!$B$21),ISNUMBER('Inputs'!$B$24),ISNUMBER('Inputs'!$B$28)),(('Results'!C7*(0.5*((((139-43)*MAX('Inputs'!$B$33,'Inputs'!$B$29+'Inputs'!$B$31+'Inputs'!$B$32,'Inputs'!$B$30+'Inputs'!$B$31+'Inputs'!$B$32)/1000+'Inputs'!$B$21)+'Inputs'!$B$9)/SQRT((((139-43)*MAX('Inputs'!$B$33,'Inputs'!$B$29+'Inputs'!$B$31+'Inputs'!$B$32,'Inputs'!$B$30+'Inputs'!$B$31+'Inputs'!$B$32)/1000+'Inputs'!$B$21)+'Inputs'!$B$9)^2+('Inputs'!$B$8/2)^2)-(((139-43)*MAX('Inputs'!$B$33,'Inputs'!$B$29+'Inputs'!$B$31+'Inputs'!$B$32,'Inputs'!$B$30+'Inputs'!$B$31+'Inputs'!$B$32)/1000+'Inputs'!$B$21))/SQRT((((139-43)*MAX('Inputs'!$B$33,'Inputs'!$B$29+'Inputs'!$B$31+'Inputs'!$B$32,'Inputs'!$B$30+'Inputs'!$B$31+'Inputs'!$B$32)/1000+'Inputs'!$B$21))^2+('Inputs'!$B$8/2)^2)))-'Results'!B7*(0.5*((((139-43)*MAX('Inputs'!$B$33,'Inputs'!$B$29+'Inputs'!$B$31+'Inputs'!$B$32,'Inputs'!$B$30+'Inputs'!$B$31+'Inputs'!$B$32)/1000+'Inputs'!$B$21+'Inputs'!$B$9+'Inputs'!$B$10)+'Inputs'!$B$7)/SQRT((((139-43)*MAX('Inputs'!$B$33,'Inputs'!$B$29+'Inputs'!$B$31+'Inputs'!$B$32,'Inputs'!$B$30+'Inputs'!$B$31+'Inputs'!$B$32)/1000+'Inputs'!$B$21+'Inputs'!$B$9+'Inputs'!$B$10)+'Inputs'!$B$7)^2+('Inputs'!$B$6/2)^2)-(((139-43)*MAX('Inputs'!$B$33,'Inputs'!$B$29+'Inputs'!$B$31+'Inputs'!$B$32,'Inputs'!$B$30+'Inputs'!$B$31+'Inputs'!$B$32)/1000+'Inputs'!$B$21+'Inputs'!$B$9+'Inputs'!$B$10))/SQRT((((139-43)*MAX('Inputs'!$B$33,'Inputs'!$B$29+'Inputs'!$B$31+'Inputs'!$B$32,'Inputs'!$B$30+'Inputs'!$B$31+'Inputs'!$B$32)/1000+'Inputs'!$B$21+'Inputs'!$B$9+'Inputs'!$B$10))^2+('Inputs'!$B$6/2)^2))))*'Results'!$B$8),"")</x:f>
        <x:v>389.41716533097133</x:v>
      </x:c>
      <x:c r="N139" t="n">
        <x:f>IF(AND(ISNUMBER('Results'!C7),ISNUMBER('Results'!B7),ISNUMBER('Results'!$B$8),ISNUMBER('Inputs'!$B$6),ISNUMBER('Inputs'!$B$7),ISNUMBER('Inputs'!$B$8),ISNUMBER('Inputs'!$B$9),ISNUMBER('Inputs'!$B$10),ISNUMBER('Inputs'!$B$21),ISNUMBER('Inputs'!$B$24),ISNUMBER('Inputs'!$B$28)),((('Results'!C7*(1-'Inputs'!$B$24)*(0.5*((((139-43)*MAX('Inputs'!$B$33,'Inputs'!$B$29+'Inputs'!$B$31+'Inputs'!$B$32,'Inputs'!$B$30+'Inputs'!$B$31+'Inputs'!$B$32)/1000+'Inputs'!$B$21)+'Inputs'!$B$9)/SQRT((((139-43)*MAX('Inputs'!$B$33,'Inputs'!$B$29+'Inputs'!$B$31+'Inputs'!$B$32,'Inputs'!$B$30+'Inputs'!$B$31+'Inputs'!$B$32)/1000+'Inputs'!$B$21)+'Inputs'!$B$9)^2+('Inputs'!$B$8/2)^2)-(((139-43)*MAX('Inputs'!$B$33,'Inputs'!$B$29+'Inputs'!$B$31+'Inputs'!$B$32,'Inputs'!$B$30+'Inputs'!$B$31+'Inputs'!$B$32)/1000+'Inputs'!$B$21))/SQRT((((139-43)*MAX('Inputs'!$B$33,'Inputs'!$B$29+'Inputs'!$B$31+'Inputs'!$B$32,'Inputs'!$B$30+'Inputs'!$B$31+'Inputs'!$B$32)/1000+'Inputs'!$B$21))^2+('Inputs'!$B$8/2)^2)))-'Results'!B7*(1+'Inputs'!$B$24)*(0.5*((((139-43)*MAX('Inputs'!$B$33,'Inputs'!$B$29+'Inputs'!$B$31+'Inputs'!$B$32,'Inputs'!$B$30+'Inputs'!$B$31+'Inputs'!$B$32)/1000+'Inputs'!$B$21+'Inputs'!$B$9+'Inputs'!$B$10)+'Inputs'!$B$7)/SQRT((((139-43)*MAX('Inputs'!$B$33,'Inputs'!$B$29+'Inputs'!$B$31+'Inputs'!$B$32,'Inputs'!$B$30+'Inputs'!$B$31+'Inputs'!$B$32)/1000+'Inputs'!$B$21+'Inputs'!$B$9+'Inputs'!$B$10)+'Inputs'!$B$7)^2+('Inputs'!$B$6/2)^2)-(((139-43)*MAX('Inputs'!$B$33,'Inputs'!$B$29+'Inputs'!$B$31+'Inputs'!$B$32,'Inputs'!$B$30+'Inputs'!$B$31+'Inputs'!$B$32)/1000+'Inputs'!$B$21+'Inputs'!$B$9+'Inputs'!$B$10))/SQRT((((139-43)*MAX('Inputs'!$B$33,'Inputs'!$B$29+'Inputs'!$B$31+'Inputs'!$B$32,'Inputs'!$B$30+'Inputs'!$B$31+'Inputs'!$B$32)/1000+'Inputs'!$B$21+'Inputs'!$B$9+'Inputs'!$B$10))^2+('Inputs'!$B$6/2)^2))))*'Results'!$B$8)-'Inputs'!$B$28*ABS((('Results'!C7*(1-'Inputs'!$B$24)*(0.5*((((139-43)*MAX('Inputs'!$B$33,'Inputs'!$B$29+'Inputs'!$B$31+'Inputs'!$B$32,'Inputs'!$B$30+'Inputs'!$B$31+'Inputs'!$B$32)/1000+'Inputs'!$B$21)+'Inputs'!$B$9)/SQRT((((139-43)*MAX('Inputs'!$B$33,'Inputs'!$B$29+'Inputs'!$B$31+'Inputs'!$B$32,'Inputs'!$B$30+'Inputs'!$B$31+'Inputs'!$B$32)/1000+'Inputs'!$B$21)+'Inputs'!$B$9)^2+('Inputs'!$B$8/2)^2)-(((139-43)*MAX('Inputs'!$B$33,'Inputs'!$B$29+'Inputs'!$B$31+'Inputs'!$B$32,'Inputs'!$B$30+'Inputs'!$B$31+'Inputs'!$B$32)/1000+'Inputs'!$B$21))/SQRT((((139-43)*MAX('Inputs'!$B$33,'Inputs'!$B$29+'Inputs'!$B$31+'Inputs'!$B$32,'Inputs'!$B$30+'Inputs'!$B$31+'Inputs'!$B$32)/1000+'Inputs'!$B$21))^2+('Inputs'!$B$8/2)^2)))-'Results'!B7*(1+'Inputs'!$B$24)*(0.5*((((139-43)*MAX('Inputs'!$B$33,'Inputs'!$B$29+'Inputs'!$B$31+'Inputs'!$B$32,'Inputs'!$B$30+'Inputs'!$B$31+'Inputs'!$B$32)/1000+'Inputs'!$B$21+'Inputs'!$B$9+'Inputs'!$B$10)+'Inputs'!$B$7)/SQRT((((139-43)*MAX('Inputs'!$B$33,'Inputs'!$B$29+'Inputs'!$B$31+'Inputs'!$B$32,'Inputs'!$B$30+'Inputs'!$B$31+'Inputs'!$B$32)/1000+'Inputs'!$B$21+'Inputs'!$B$9+'Inputs'!$B$10)+'Inputs'!$B$7)^2+('Inputs'!$B$6/2)^2)-(((139-43)*MAX('Inputs'!$B$33,'Inputs'!$B$29+'Inputs'!$B$31+'Inputs'!$B$32,'Inputs'!$B$30+'Inputs'!$B$31+'Inputs'!$B$32)/1000+'Inputs'!$B$21+'Inputs'!$B$9+'Inputs'!$B$10))/SQRT((((139-43)*MAX('Inputs'!$B$33,'Inputs'!$B$29+'Inputs'!$B$31+'Inputs'!$B$32,'Inputs'!$B$30+'Inputs'!$B$31+'Inputs'!$B$32)/1000+'Inputs'!$B$21+'Inputs'!$B$9+'Inputs'!$B$10))^2+('Inputs'!$B$6/2)^2))))*'Results'!$B$8))),"")</x:f>
        <x:v>359.01803983396303</x:v>
      </x:c>
      <x:c r="O139" t="n">
        <x:f>IF(AND(ISNUMBER('Results'!C7),ISNUMBER('Results'!B7),ISNUMBER('Results'!$B$8),ISNUMBER('Inputs'!$B$6),ISNUMBER('Inputs'!$B$7),ISNUMBER('Inputs'!$B$8),ISNUMBER('Inputs'!$B$9),ISNUMBER('Inputs'!$B$10),ISNUMBER('Inputs'!$B$21),ISNUMBER('Inputs'!$B$24),ISNUMBER('Inputs'!$B$28)),((('Results'!C7*(1+'Inputs'!$B$24)*(0.5*((((139-43)*MAX('Inputs'!$B$33,'Inputs'!$B$29+'Inputs'!$B$31+'Inputs'!$B$32,'Inputs'!$B$30+'Inputs'!$B$31+'Inputs'!$B$32)/1000+'Inputs'!$B$21)+'Inputs'!$B$9)/SQRT((((139-43)*MAX('Inputs'!$B$33,'Inputs'!$B$29+'Inputs'!$B$31+'Inputs'!$B$32,'Inputs'!$B$30+'Inputs'!$B$31+'Inputs'!$B$32)/1000+'Inputs'!$B$21)+'Inputs'!$B$9)^2+('Inputs'!$B$8/2)^2)-(((139-43)*MAX('Inputs'!$B$33,'Inputs'!$B$29+'Inputs'!$B$31+'Inputs'!$B$32,'Inputs'!$B$30+'Inputs'!$B$31+'Inputs'!$B$32)/1000+'Inputs'!$B$21))/SQRT((((139-43)*MAX('Inputs'!$B$33,'Inputs'!$B$29+'Inputs'!$B$31+'Inputs'!$B$32,'Inputs'!$B$30+'Inputs'!$B$31+'Inputs'!$B$32)/1000+'Inputs'!$B$21))^2+('Inputs'!$B$8/2)^2)))-'Results'!B7*(1-'Inputs'!$B$24)*(0.5*((((139-43)*MAX('Inputs'!$B$33,'Inputs'!$B$29+'Inputs'!$B$31+'Inputs'!$B$32,'Inputs'!$B$30+'Inputs'!$B$31+'Inputs'!$B$32)/1000+'Inputs'!$B$21+'Inputs'!$B$9+'Inputs'!$B$10)+'Inputs'!$B$7)/SQRT((((139-43)*MAX('Inputs'!$B$33,'Inputs'!$B$29+'Inputs'!$B$31+'Inputs'!$B$32,'Inputs'!$B$30+'Inputs'!$B$31+'Inputs'!$B$32)/1000+'Inputs'!$B$21+'Inputs'!$B$9+'Inputs'!$B$10)+'Inputs'!$B$7)^2+('Inputs'!$B$6/2)^2)-(((139-43)*MAX('Inputs'!$B$33,'Inputs'!$B$29+'Inputs'!$B$31+'Inputs'!$B$32,'Inputs'!$B$30+'Inputs'!$B$31+'Inputs'!$B$32)/1000+'Inputs'!$B$21+'Inputs'!$B$9+'Inputs'!$B$10))/SQRT((((139-43)*MAX('Inputs'!$B$33,'Inputs'!$B$29+'Inputs'!$B$31+'Inputs'!$B$32,'Inputs'!$B$30+'Inputs'!$B$31+'Inputs'!$B$32)/1000+'Inputs'!$B$21+'Inputs'!$B$9+'Inputs'!$B$10))^2+('Inputs'!$B$6/2)^2))))*'Results'!$B$8)+'Inputs'!$B$28*ABS((('Results'!C7*(1+'Inputs'!$B$24)*(0.5*((((139-43)*MAX('Inputs'!$B$33,'Inputs'!$B$29+'Inputs'!$B$31+'Inputs'!$B$32,'Inputs'!$B$30+'Inputs'!$B$31+'Inputs'!$B$32)/1000+'Inputs'!$B$21)+'Inputs'!$B$9)/SQRT((((139-43)*MAX('Inputs'!$B$33,'Inputs'!$B$29+'Inputs'!$B$31+'Inputs'!$B$32,'Inputs'!$B$30+'Inputs'!$B$31+'Inputs'!$B$32)/1000+'Inputs'!$B$21)+'Inputs'!$B$9)^2+('Inputs'!$B$8/2)^2)-(((139-43)*MAX('Inputs'!$B$33,'Inputs'!$B$29+'Inputs'!$B$31+'Inputs'!$B$32,'Inputs'!$B$30+'Inputs'!$B$31+'Inputs'!$B$32)/1000+'Inputs'!$B$21))/SQRT((((139-43)*MAX('Inputs'!$B$33,'Inputs'!$B$29+'Inputs'!$B$31+'Inputs'!$B$32,'Inputs'!$B$30+'Inputs'!$B$31+'Inputs'!$B$32)/1000+'Inputs'!$B$21))^2+('Inputs'!$B$8/2)^2)))-'Results'!B7*(1-'Inputs'!$B$24)*(0.5*((((139-43)*MAX('Inputs'!$B$33,'Inputs'!$B$29+'Inputs'!$B$31+'Inputs'!$B$32,'Inputs'!$B$30+'Inputs'!$B$31+'Inputs'!$B$32)/1000+'Inputs'!$B$21+'Inputs'!$B$9+'Inputs'!$B$10)+'Inputs'!$B$7)/SQRT((((139-43)*MAX('Inputs'!$B$33,'Inputs'!$B$29+'Inputs'!$B$31+'Inputs'!$B$32,'Inputs'!$B$30+'Inputs'!$B$31+'Inputs'!$B$32)/1000+'Inputs'!$B$21+'Inputs'!$B$9+'Inputs'!$B$10)+'Inputs'!$B$7)^2+('Inputs'!$B$6/2)^2)-(((139-43)*MAX('Inputs'!$B$33,'Inputs'!$B$29+'Inputs'!$B$31+'Inputs'!$B$32,'Inputs'!$B$30+'Inputs'!$B$31+'Inputs'!$B$32)/1000+'Inputs'!$B$21+'Inputs'!$B$9+'Inputs'!$B$10))/SQRT((((139-43)*MAX('Inputs'!$B$33,'Inputs'!$B$29+'Inputs'!$B$31+'Inputs'!$B$32,'Inputs'!$B$30+'Inputs'!$B$31+'Inputs'!$B$32)/1000+'Inputs'!$B$21+'Inputs'!$B$9+'Inputs'!$B$10))^2+('Inputs'!$B$6/2)^2))))*'Results'!$B$8))),"")</x:f>
        <x:v>420.96663474697544</x:v>
      </x:c>
      <x:c r="P139" t="n">
        <x:f>IF(AND(MAX(J139,J138)&gt;0,J139&gt;J138+0.00000001),1,0)</x:f>
        <x:v>0</x:v>
      </x:c>
      <x:c r="Q139" t="n">
        <x:f>IF(AND(MAX(K139,K138)&gt;0,K139&gt;K138+0.00000001),1,0)</x:f>
        <x:v>0</x:v>
      </x:c>
      <x:c r="R139" t="n">
        <x:f>IF(AND(MAX(L139,L138)&gt;0,L139&gt;L138+0.00000001),1,0)</x:f>
        <x:v>0</x:v>
      </x:c>
      <x:c r="S139" t="n">
        <x:f>IF(AND(MAX(M139,M138)&gt;0,M139&gt;M138+0.00000001),1,0)</x:f>
        <x:v>0</x:v>
      </x:c>
      <x:c r="T139" t="n">
        <x:f>IF(AND(MAX(N139,N138)&gt;0,N139&gt;N138+0.00000001),1,0)</x:f>
        <x:v>0</x:v>
      </x:c>
      <x:c r="U139" t="n">
        <x:f>IF(AND(MAX(O139,O138)&gt;0,O139&gt;O138+0.00000001),1,0)</x:f>
        <x:v>0</x:v>
      </x:c>
    </x:row>
    <x:row r="140">
      <x:c r="J140" t="n">
        <x:f>IF(AND(ISNUMBER('Results'!B7),ISNUMBER('Results'!C7),ISNUMBER('Results'!$B$8),ISNUMBER('Inputs'!$B$6),ISNUMBER('Inputs'!$B$7),ISNUMBER('Inputs'!$B$8),ISNUMBER('Inputs'!$B$9),ISNUMBER('Inputs'!$B$10),ISNUMBER('Inputs'!$B$21),ISNUMBER('Inputs'!$B$24),ISNUMBER('Inputs'!$B$28)),(('Results'!B7*(0.5*((((140-43)*MAX('Inputs'!$B$33,'Inputs'!$B$29+'Inputs'!$B$31+'Inputs'!$B$32,'Inputs'!$B$30+'Inputs'!$B$31+'Inputs'!$B$32)/1000+'Inputs'!$B$21)+'Inputs'!$B$7)/SQRT((((140-43)*MAX('Inputs'!$B$33,'Inputs'!$B$29+'Inputs'!$B$31+'Inputs'!$B$32,'Inputs'!$B$30+'Inputs'!$B$31+'Inputs'!$B$32)/1000+'Inputs'!$B$21)+'Inputs'!$B$7)^2+('Inputs'!$B$6/2)^2)-(((140-43)*MAX('Inputs'!$B$33,'Inputs'!$B$29+'Inputs'!$B$31+'Inputs'!$B$32,'Inputs'!$B$30+'Inputs'!$B$31+'Inputs'!$B$32)/1000+'Inputs'!$B$21))/SQRT((((140-43)*MAX('Inputs'!$B$33,'Inputs'!$B$29+'Inputs'!$B$31+'Inputs'!$B$32,'Inputs'!$B$30+'Inputs'!$B$31+'Inputs'!$B$32)/1000+'Inputs'!$B$21))^2+('Inputs'!$B$6/2)^2)))-'Results'!C7*(0.5*((((140-43)*MAX('Inputs'!$B$33,'Inputs'!$B$29+'Inputs'!$B$31+'Inputs'!$B$32,'Inputs'!$B$30+'Inputs'!$B$31+'Inputs'!$B$32)/1000+'Inputs'!$B$21+'Inputs'!$B$7+'Inputs'!$B$10)+'Inputs'!$B$9)/SQRT((((140-43)*MAX('Inputs'!$B$33,'Inputs'!$B$29+'Inputs'!$B$31+'Inputs'!$B$32,'Inputs'!$B$30+'Inputs'!$B$31+'Inputs'!$B$32)/1000+'Inputs'!$B$21+'Inputs'!$B$7+'Inputs'!$B$10)+'Inputs'!$B$9)^2+('Inputs'!$B$8/2)^2)-(((140-43)*MAX('Inputs'!$B$33,'Inputs'!$B$29+'Inputs'!$B$31+'Inputs'!$B$32,'Inputs'!$B$30+'Inputs'!$B$31+'Inputs'!$B$32)/1000+'Inputs'!$B$21+'Inputs'!$B$7+'Inputs'!$B$10))/SQRT((((140-43)*MAX('Inputs'!$B$33,'Inputs'!$B$29+'Inputs'!$B$31+'Inputs'!$B$32,'Inputs'!$B$30+'Inputs'!$B$31+'Inputs'!$B$32)/1000+'Inputs'!$B$21+'Inputs'!$B$7+'Inputs'!$B$10))^2+('Inputs'!$B$8/2)^2))))*'Results'!$B$8),"")</x:f>
        <x:v>393.54817904868696</x:v>
      </x:c>
      <x:c r="K140" t="n">
        <x:f>IF(AND(ISNUMBER('Results'!B7),ISNUMBER('Results'!C7),ISNUMBER('Results'!$B$8),ISNUMBER('Inputs'!$B$6),ISNUMBER('Inputs'!$B$7),ISNUMBER('Inputs'!$B$8),ISNUMBER('Inputs'!$B$9),ISNUMBER('Inputs'!$B$10),ISNUMBER('Inputs'!$B$21),ISNUMBER('Inputs'!$B$24),ISNUMBER('Inputs'!$B$28)),((('Results'!B7*(1-'Inputs'!$B$24)*(0.5*((((140-43)*MAX('Inputs'!$B$33,'Inputs'!$B$29+'Inputs'!$B$31+'Inputs'!$B$32,'Inputs'!$B$30+'Inputs'!$B$31+'Inputs'!$B$32)/1000+'Inputs'!$B$21)+'Inputs'!$B$7)/SQRT((((140-43)*MAX('Inputs'!$B$33,'Inputs'!$B$29+'Inputs'!$B$31+'Inputs'!$B$32,'Inputs'!$B$30+'Inputs'!$B$31+'Inputs'!$B$32)/1000+'Inputs'!$B$21)+'Inputs'!$B$7)^2+('Inputs'!$B$6/2)^2)-(((140-43)*MAX('Inputs'!$B$33,'Inputs'!$B$29+'Inputs'!$B$31+'Inputs'!$B$32,'Inputs'!$B$30+'Inputs'!$B$31+'Inputs'!$B$32)/1000+'Inputs'!$B$21))/SQRT((((140-43)*MAX('Inputs'!$B$33,'Inputs'!$B$29+'Inputs'!$B$31+'Inputs'!$B$32,'Inputs'!$B$30+'Inputs'!$B$31+'Inputs'!$B$32)/1000+'Inputs'!$B$21))^2+('Inputs'!$B$6/2)^2)))-'Results'!C7*(1+'Inputs'!$B$24)*(0.5*((((140-43)*MAX('Inputs'!$B$33,'Inputs'!$B$29+'Inputs'!$B$31+'Inputs'!$B$32,'Inputs'!$B$30+'Inputs'!$B$31+'Inputs'!$B$32)/1000+'Inputs'!$B$21+'Inputs'!$B$7+'Inputs'!$B$10)+'Inputs'!$B$9)/SQRT((((140-43)*MAX('Inputs'!$B$33,'Inputs'!$B$29+'Inputs'!$B$31+'Inputs'!$B$32,'Inputs'!$B$30+'Inputs'!$B$31+'Inputs'!$B$32)/1000+'Inputs'!$B$21+'Inputs'!$B$7+'Inputs'!$B$10)+'Inputs'!$B$9)^2+('Inputs'!$B$8/2)^2)-(((140-43)*MAX('Inputs'!$B$33,'Inputs'!$B$29+'Inputs'!$B$31+'Inputs'!$B$32,'Inputs'!$B$30+'Inputs'!$B$31+'Inputs'!$B$32)/1000+'Inputs'!$B$21+'Inputs'!$B$7+'Inputs'!$B$10))/SQRT((((140-43)*MAX('Inputs'!$B$33,'Inputs'!$B$29+'Inputs'!$B$31+'Inputs'!$B$32,'Inputs'!$B$30+'Inputs'!$B$31+'Inputs'!$B$32)/1000+'Inputs'!$B$21+'Inputs'!$B$7+'Inputs'!$B$10))^2+('Inputs'!$B$8/2)^2))))*'Results'!$B$8)-'Inputs'!$B$28*ABS((('Results'!B7*(1-'Inputs'!$B$24)*(0.5*((((140-43)*MAX('Inputs'!$B$33,'Inputs'!$B$29+'Inputs'!$B$31+'Inputs'!$B$32,'Inputs'!$B$30+'Inputs'!$B$31+'Inputs'!$B$32)/1000+'Inputs'!$B$21)+'Inputs'!$B$7)/SQRT((((140-43)*MAX('Inputs'!$B$33,'Inputs'!$B$29+'Inputs'!$B$31+'Inputs'!$B$32,'Inputs'!$B$30+'Inputs'!$B$31+'Inputs'!$B$32)/1000+'Inputs'!$B$21)+'Inputs'!$B$7)^2+('Inputs'!$B$6/2)^2)-(((140-43)*MAX('Inputs'!$B$33,'Inputs'!$B$29+'Inputs'!$B$31+'Inputs'!$B$32,'Inputs'!$B$30+'Inputs'!$B$31+'Inputs'!$B$32)/1000+'Inputs'!$B$21))/SQRT((((140-43)*MAX('Inputs'!$B$33,'Inputs'!$B$29+'Inputs'!$B$31+'Inputs'!$B$32,'Inputs'!$B$30+'Inputs'!$B$31+'Inputs'!$B$32)/1000+'Inputs'!$B$21))^2+('Inputs'!$B$6/2)^2)))-'Results'!C7*(1+'Inputs'!$B$24)*(0.5*((((140-43)*MAX('Inputs'!$B$33,'Inputs'!$B$29+'Inputs'!$B$31+'Inputs'!$B$32,'Inputs'!$B$30+'Inputs'!$B$31+'Inputs'!$B$32)/1000+'Inputs'!$B$21+'Inputs'!$B$7+'Inputs'!$B$10)+'Inputs'!$B$9)/SQRT((((140-43)*MAX('Inputs'!$B$33,'Inputs'!$B$29+'Inputs'!$B$31+'Inputs'!$B$32,'Inputs'!$B$30+'Inputs'!$B$31+'Inputs'!$B$32)/1000+'Inputs'!$B$21+'Inputs'!$B$7+'Inputs'!$B$10)+'Inputs'!$B$9)^2+('Inputs'!$B$8/2)^2)-(((140-43)*MAX('Inputs'!$B$33,'Inputs'!$B$29+'Inputs'!$B$31+'Inputs'!$B$32,'Inputs'!$B$30+'Inputs'!$B$31+'Inputs'!$B$32)/1000+'Inputs'!$B$21+'Inputs'!$B$7+'Inputs'!$B$10))/SQRT((((140-43)*MAX('Inputs'!$B$33,'Inputs'!$B$29+'Inputs'!$B$31+'Inputs'!$B$32,'Inputs'!$B$30+'Inputs'!$B$31+'Inputs'!$B$32)/1000+'Inputs'!$B$21+'Inputs'!$B$7+'Inputs'!$B$10))^2+('Inputs'!$B$8/2)^2))))*'Results'!$B$8))),"")</x:f>
        <x:v>362.97479680169073</x:v>
      </x:c>
      <x:c r="L140" t="n">
        <x:f>IF(AND(ISNUMBER('Results'!B7),ISNUMBER('Results'!C7),ISNUMBER('Results'!$B$8),ISNUMBER('Inputs'!$B$6),ISNUMBER('Inputs'!$B$7),ISNUMBER('Inputs'!$B$8),ISNUMBER('Inputs'!$B$9),ISNUMBER('Inputs'!$B$10),ISNUMBER('Inputs'!$B$21),ISNUMBER('Inputs'!$B$24),ISNUMBER('Inputs'!$B$28)),((('Results'!B7*(1+'Inputs'!$B$24)*(0.5*((((140-43)*MAX('Inputs'!$B$33,'Inputs'!$B$29+'Inputs'!$B$31+'Inputs'!$B$32,'Inputs'!$B$30+'Inputs'!$B$31+'Inputs'!$B$32)/1000+'Inputs'!$B$21)+'Inputs'!$B$7)/SQRT((((140-43)*MAX('Inputs'!$B$33,'Inputs'!$B$29+'Inputs'!$B$31+'Inputs'!$B$32,'Inputs'!$B$30+'Inputs'!$B$31+'Inputs'!$B$32)/1000+'Inputs'!$B$21)+'Inputs'!$B$7)^2+('Inputs'!$B$6/2)^2)-(((140-43)*MAX('Inputs'!$B$33,'Inputs'!$B$29+'Inputs'!$B$31+'Inputs'!$B$32,'Inputs'!$B$30+'Inputs'!$B$31+'Inputs'!$B$32)/1000+'Inputs'!$B$21))/SQRT((((140-43)*MAX('Inputs'!$B$33,'Inputs'!$B$29+'Inputs'!$B$31+'Inputs'!$B$32,'Inputs'!$B$30+'Inputs'!$B$31+'Inputs'!$B$32)/1000+'Inputs'!$B$21))^2+('Inputs'!$B$6/2)^2)))-'Results'!C7*(1-'Inputs'!$B$24)*(0.5*((((140-43)*MAX('Inputs'!$B$33,'Inputs'!$B$29+'Inputs'!$B$31+'Inputs'!$B$32,'Inputs'!$B$30+'Inputs'!$B$31+'Inputs'!$B$32)/1000+'Inputs'!$B$21+'Inputs'!$B$7+'Inputs'!$B$10)+'Inputs'!$B$9)/SQRT((((140-43)*MAX('Inputs'!$B$33,'Inputs'!$B$29+'Inputs'!$B$31+'Inputs'!$B$32,'Inputs'!$B$30+'Inputs'!$B$31+'Inputs'!$B$32)/1000+'Inputs'!$B$21+'Inputs'!$B$7+'Inputs'!$B$10)+'Inputs'!$B$9)^2+('Inputs'!$B$8/2)^2)-(((140-43)*MAX('Inputs'!$B$33,'Inputs'!$B$29+'Inputs'!$B$31+'Inputs'!$B$32,'Inputs'!$B$30+'Inputs'!$B$31+'Inputs'!$B$32)/1000+'Inputs'!$B$21+'Inputs'!$B$7+'Inputs'!$B$10))/SQRT((((140-43)*MAX('Inputs'!$B$33,'Inputs'!$B$29+'Inputs'!$B$31+'Inputs'!$B$32,'Inputs'!$B$30+'Inputs'!$B$31+'Inputs'!$B$32)/1000+'Inputs'!$B$21+'Inputs'!$B$7+'Inputs'!$B$10))^2+('Inputs'!$B$8/2)^2))))*'Results'!$B$8)+'Inputs'!$B$28*ABS((('Results'!B7*(1+'Inputs'!$B$24)*(0.5*((((140-43)*MAX('Inputs'!$B$33,'Inputs'!$B$29+'Inputs'!$B$31+'Inputs'!$B$32,'Inputs'!$B$30+'Inputs'!$B$31+'Inputs'!$B$32)/1000+'Inputs'!$B$21)+'Inputs'!$B$7)/SQRT((((140-43)*MAX('Inputs'!$B$33,'Inputs'!$B$29+'Inputs'!$B$31+'Inputs'!$B$32,'Inputs'!$B$30+'Inputs'!$B$31+'Inputs'!$B$32)/1000+'Inputs'!$B$21)+'Inputs'!$B$7)^2+('Inputs'!$B$6/2)^2)-(((140-43)*MAX('Inputs'!$B$33,'Inputs'!$B$29+'Inputs'!$B$31+'Inputs'!$B$32,'Inputs'!$B$30+'Inputs'!$B$31+'Inputs'!$B$32)/1000+'Inputs'!$B$21))/SQRT((((140-43)*MAX('Inputs'!$B$33,'Inputs'!$B$29+'Inputs'!$B$31+'Inputs'!$B$32,'Inputs'!$B$30+'Inputs'!$B$31+'Inputs'!$B$32)/1000+'Inputs'!$B$21))^2+('Inputs'!$B$6/2)^2)))-'Results'!C7*(1-'Inputs'!$B$24)*(0.5*((((140-43)*MAX('Inputs'!$B$33,'Inputs'!$B$29+'Inputs'!$B$31+'Inputs'!$B$32,'Inputs'!$B$30+'Inputs'!$B$31+'Inputs'!$B$32)/1000+'Inputs'!$B$21+'Inputs'!$B$7+'Inputs'!$B$10)+'Inputs'!$B$9)/SQRT((((140-43)*MAX('Inputs'!$B$33,'Inputs'!$B$29+'Inputs'!$B$31+'Inputs'!$B$32,'Inputs'!$B$30+'Inputs'!$B$31+'Inputs'!$B$32)/1000+'Inputs'!$B$21+'Inputs'!$B$7+'Inputs'!$B$10)+'Inputs'!$B$9)^2+('Inputs'!$B$8/2)^2)-(((140-43)*MAX('Inputs'!$B$33,'Inputs'!$B$29+'Inputs'!$B$31+'Inputs'!$B$32,'Inputs'!$B$30+'Inputs'!$B$31+'Inputs'!$B$32)/1000+'Inputs'!$B$21+'Inputs'!$B$7+'Inputs'!$B$10))/SQRT((((140-43)*MAX('Inputs'!$B$33,'Inputs'!$B$29+'Inputs'!$B$31+'Inputs'!$B$32,'Inputs'!$B$30+'Inputs'!$B$31+'Inputs'!$B$32)/1000+'Inputs'!$B$21+'Inputs'!$B$7+'Inputs'!$B$10))^2+('Inputs'!$B$8/2)^2))))*'Results'!$B$8))),"")</x:f>
        <x:v>425.26850585300537</x:v>
      </x:c>
      <x:c r="M140" t="n">
        <x:f>IF(AND(ISNUMBER('Results'!C7),ISNUMBER('Results'!B7),ISNUMBER('Results'!$B$8),ISNUMBER('Inputs'!$B$6),ISNUMBER('Inputs'!$B$7),ISNUMBER('Inputs'!$B$8),ISNUMBER('Inputs'!$B$9),ISNUMBER('Inputs'!$B$10),ISNUMBER('Inputs'!$B$21),ISNUMBER('Inputs'!$B$24),ISNUMBER('Inputs'!$B$28)),(('Results'!C7*(0.5*((((140-43)*MAX('Inputs'!$B$33,'Inputs'!$B$29+'Inputs'!$B$31+'Inputs'!$B$32,'Inputs'!$B$30+'Inputs'!$B$31+'Inputs'!$B$32)/1000+'Inputs'!$B$21)+'Inputs'!$B$9)/SQRT((((140-43)*MAX('Inputs'!$B$33,'Inputs'!$B$29+'Inputs'!$B$31+'Inputs'!$B$32,'Inputs'!$B$30+'Inputs'!$B$31+'Inputs'!$B$32)/1000+'Inputs'!$B$21)+'Inputs'!$B$9)^2+('Inputs'!$B$8/2)^2)-(((140-43)*MAX('Inputs'!$B$33,'Inputs'!$B$29+'Inputs'!$B$31+'Inputs'!$B$32,'Inputs'!$B$30+'Inputs'!$B$31+'Inputs'!$B$32)/1000+'Inputs'!$B$21))/SQRT((((140-43)*MAX('Inputs'!$B$33,'Inputs'!$B$29+'Inputs'!$B$31+'Inputs'!$B$32,'Inputs'!$B$30+'Inputs'!$B$31+'Inputs'!$B$32)/1000+'Inputs'!$B$21))^2+('Inputs'!$B$8/2)^2)))-'Results'!B7*(0.5*((((140-43)*MAX('Inputs'!$B$33,'Inputs'!$B$29+'Inputs'!$B$31+'Inputs'!$B$32,'Inputs'!$B$30+'Inputs'!$B$31+'Inputs'!$B$32)/1000+'Inputs'!$B$21+'Inputs'!$B$9+'Inputs'!$B$10)+'Inputs'!$B$7)/SQRT((((140-43)*MAX('Inputs'!$B$33,'Inputs'!$B$29+'Inputs'!$B$31+'Inputs'!$B$32,'Inputs'!$B$30+'Inputs'!$B$31+'Inputs'!$B$32)/1000+'Inputs'!$B$21+'Inputs'!$B$9+'Inputs'!$B$10)+'Inputs'!$B$7)^2+('Inputs'!$B$6/2)^2)-(((140-43)*MAX('Inputs'!$B$33,'Inputs'!$B$29+'Inputs'!$B$31+'Inputs'!$B$32,'Inputs'!$B$30+'Inputs'!$B$31+'Inputs'!$B$32)/1000+'Inputs'!$B$21+'Inputs'!$B$9+'Inputs'!$B$10))/SQRT((((140-43)*MAX('Inputs'!$B$33,'Inputs'!$B$29+'Inputs'!$B$31+'Inputs'!$B$32,'Inputs'!$B$30+'Inputs'!$B$31+'Inputs'!$B$32)/1000+'Inputs'!$B$21+'Inputs'!$B$9+'Inputs'!$B$10))^2+('Inputs'!$B$6/2)^2))))*'Results'!$B$8),"")</x:f>
        <x:v>382.0420142714614</x:v>
      </x:c>
      <x:c r="N140" t="n">
        <x:f>IF(AND(ISNUMBER('Results'!C7),ISNUMBER('Results'!B7),ISNUMBER('Results'!$B$8),ISNUMBER('Inputs'!$B$6),ISNUMBER('Inputs'!$B$7),ISNUMBER('Inputs'!$B$8),ISNUMBER('Inputs'!$B$9),ISNUMBER('Inputs'!$B$10),ISNUMBER('Inputs'!$B$21),ISNUMBER('Inputs'!$B$24),ISNUMBER('Inputs'!$B$28)),((('Results'!C7*(1-'Inputs'!$B$24)*(0.5*((((140-43)*MAX('Inputs'!$B$33,'Inputs'!$B$29+'Inputs'!$B$31+'Inputs'!$B$32,'Inputs'!$B$30+'Inputs'!$B$31+'Inputs'!$B$32)/1000+'Inputs'!$B$21)+'Inputs'!$B$9)/SQRT((((140-43)*MAX('Inputs'!$B$33,'Inputs'!$B$29+'Inputs'!$B$31+'Inputs'!$B$32,'Inputs'!$B$30+'Inputs'!$B$31+'Inputs'!$B$32)/1000+'Inputs'!$B$21)+'Inputs'!$B$9)^2+('Inputs'!$B$8/2)^2)-(((140-43)*MAX('Inputs'!$B$33,'Inputs'!$B$29+'Inputs'!$B$31+'Inputs'!$B$32,'Inputs'!$B$30+'Inputs'!$B$31+'Inputs'!$B$32)/1000+'Inputs'!$B$21))/SQRT((((140-43)*MAX('Inputs'!$B$33,'Inputs'!$B$29+'Inputs'!$B$31+'Inputs'!$B$32,'Inputs'!$B$30+'Inputs'!$B$31+'Inputs'!$B$32)/1000+'Inputs'!$B$21))^2+('Inputs'!$B$8/2)^2)))-'Results'!B7*(1+'Inputs'!$B$24)*(0.5*((((140-43)*MAX('Inputs'!$B$33,'Inputs'!$B$29+'Inputs'!$B$31+'Inputs'!$B$32,'Inputs'!$B$30+'Inputs'!$B$31+'Inputs'!$B$32)/1000+'Inputs'!$B$21+'Inputs'!$B$9+'Inputs'!$B$10)+'Inputs'!$B$7)/SQRT((((140-43)*MAX('Inputs'!$B$33,'Inputs'!$B$29+'Inputs'!$B$31+'Inputs'!$B$32,'Inputs'!$B$30+'Inputs'!$B$31+'Inputs'!$B$32)/1000+'Inputs'!$B$21+'Inputs'!$B$9+'Inputs'!$B$10)+'Inputs'!$B$7)^2+('Inputs'!$B$6/2)^2)-(((140-43)*MAX('Inputs'!$B$33,'Inputs'!$B$29+'Inputs'!$B$31+'Inputs'!$B$32,'Inputs'!$B$30+'Inputs'!$B$31+'Inputs'!$B$32)/1000+'Inputs'!$B$21+'Inputs'!$B$9+'Inputs'!$B$10))/SQRT((((140-43)*MAX('Inputs'!$B$33,'Inputs'!$B$29+'Inputs'!$B$31+'Inputs'!$B$32,'Inputs'!$B$30+'Inputs'!$B$31+'Inputs'!$B$32)/1000+'Inputs'!$B$21+'Inputs'!$B$9+'Inputs'!$B$10))^2+('Inputs'!$B$6/2)^2))))*'Results'!$B$8)-'Inputs'!$B$28*ABS((('Results'!C7*(1-'Inputs'!$B$24)*(0.5*((((140-43)*MAX('Inputs'!$B$33,'Inputs'!$B$29+'Inputs'!$B$31+'Inputs'!$B$32,'Inputs'!$B$30+'Inputs'!$B$31+'Inputs'!$B$32)/1000+'Inputs'!$B$21)+'Inputs'!$B$9)/SQRT((((140-43)*MAX('Inputs'!$B$33,'Inputs'!$B$29+'Inputs'!$B$31+'Inputs'!$B$32,'Inputs'!$B$30+'Inputs'!$B$31+'Inputs'!$B$32)/1000+'Inputs'!$B$21)+'Inputs'!$B$9)^2+('Inputs'!$B$8/2)^2)-(((140-43)*MAX('Inputs'!$B$33,'Inputs'!$B$29+'Inputs'!$B$31+'Inputs'!$B$32,'Inputs'!$B$30+'Inputs'!$B$31+'Inputs'!$B$32)/1000+'Inputs'!$B$21))/SQRT((((140-43)*MAX('Inputs'!$B$33,'Inputs'!$B$29+'Inputs'!$B$31+'Inputs'!$B$32,'Inputs'!$B$30+'Inputs'!$B$31+'Inputs'!$B$32)/1000+'Inputs'!$B$21))^2+('Inputs'!$B$8/2)^2)))-'Results'!B7*(1+'Inputs'!$B$24)*(0.5*((((140-43)*MAX('Inputs'!$B$33,'Inputs'!$B$29+'Inputs'!$B$31+'Inputs'!$B$32,'Inputs'!$B$30+'Inputs'!$B$31+'Inputs'!$B$32)/1000+'Inputs'!$B$21+'Inputs'!$B$9+'Inputs'!$B$10)+'Inputs'!$B$7)/SQRT((((140-43)*MAX('Inputs'!$B$33,'Inputs'!$B$29+'Inputs'!$B$31+'Inputs'!$B$32,'Inputs'!$B$30+'Inputs'!$B$31+'Inputs'!$B$32)/1000+'Inputs'!$B$21+'Inputs'!$B$9+'Inputs'!$B$10)+'Inputs'!$B$7)^2+('Inputs'!$B$6/2)^2)-(((140-43)*MAX('Inputs'!$B$33,'Inputs'!$B$29+'Inputs'!$B$31+'Inputs'!$B$32,'Inputs'!$B$30+'Inputs'!$B$31+'Inputs'!$B$32)/1000+'Inputs'!$B$21+'Inputs'!$B$9+'Inputs'!$B$10))/SQRT((((140-43)*MAX('Inputs'!$B$33,'Inputs'!$B$29+'Inputs'!$B$31+'Inputs'!$B$32,'Inputs'!$B$30+'Inputs'!$B$31+'Inputs'!$B$32)/1000+'Inputs'!$B$21+'Inputs'!$B$9+'Inputs'!$B$10))^2+('Inputs'!$B$6/2)^2))))*'Results'!$B$8))),"")</x:f>
        <x:v>352.1927909064889</x:v>
      </x:c>
      <x:c r="O140" t="n">
        <x:f>IF(AND(ISNUMBER('Results'!C7),ISNUMBER('Results'!B7),ISNUMBER('Results'!$B$8),ISNUMBER('Inputs'!$B$6),ISNUMBER('Inputs'!$B$7),ISNUMBER('Inputs'!$B$8),ISNUMBER('Inputs'!$B$9),ISNUMBER('Inputs'!$B$10),ISNUMBER('Inputs'!$B$21),ISNUMBER('Inputs'!$B$24),ISNUMBER('Inputs'!$B$28)),((('Results'!C7*(1+'Inputs'!$B$24)*(0.5*((((140-43)*MAX('Inputs'!$B$33,'Inputs'!$B$29+'Inputs'!$B$31+'Inputs'!$B$32,'Inputs'!$B$30+'Inputs'!$B$31+'Inputs'!$B$32)/1000+'Inputs'!$B$21)+'Inputs'!$B$9)/SQRT((((140-43)*MAX('Inputs'!$B$33,'Inputs'!$B$29+'Inputs'!$B$31+'Inputs'!$B$32,'Inputs'!$B$30+'Inputs'!$B$31+'Inputs'!$B$32)/1000+'Inputs'!$B$21)+'Inputs'!$B$9)^2+('Inputs'!$B$8/2)^2)-(((140-43)*MAX('Inputs'!$B$33,'Inputs'!$B$29+'Inputs'!$B$31+'Inputs'!$B$32,'Inputs'!$B$30+'Inputs'!$B$31+'Inputs'!$B$32)/1000+'Inputs'!$B$21))/SQRT((((140-43)*MAX('Inputs'!$B$33,'Inputs'!$B$29+'Inputs'!$B$31+'Inputs'!$B$32,'Inputs'!$B$30+'Inputs'!$B$31+'Inputs'!$B$32)/1000+'Inputs'!$B$21))^2+('Inputs'!$B$8/2)^2)))-'Results'!B7*(1-'Inputs'!$B$24)*(0.5*((((140-43)*MAX('Inputs'!$B$33,'Inputs'!$B$29+'Inputs'!$B$31+'Inputs'!$B$32,'Inputs'!$B$30+'Inputs'!$B$31+'Inputs'!$B$32)/1000+'Inputs'!$B$21+'Inputs'!$B$9+'Inputs'!$B$10)+'Inputs'!$B$7)/SQRT((((140-43)*MAX('Inputs'!$B$33,'Inputs'!$B$29+'Inputs'!$B$31+'Inputs'!$B$32,'Inputs'!$B$30+'Inputs'!$B$31+'Inputs'!$B$32)/1000+'Inputs'!$B$21+'Inputs'!$B$9+'Inputs'!$B$10)+'Inputs'!$B$7)^2+('Inputs'!$B$6/2)^2)-(((140-43)*MAX('Inputs'!$B$33,'Inputs'!$B$29+'Inputs'!$B$31+'Inputs'!$B$32,'Inputs'!$B$30+'Inputs'!$B$31+'Inputs'!$B$32)/1000+'Inputs'!$B$21+'Inputs'!$B$9+'Inputs'!$B$10))/SQRT((((140-43)*MAX('Inputs'!$B$33,'Inputs'!$B$29+'Inputs'!$B$31+'Inputs'!$B$32,'Inputs'!$B$30+'Inputs'!$B$31+'Inputs'!$B$32)/1000+'Inputs'!$B$21+'Inputs'!$B$9+'Inputs'!$B$10))^2+('Inputs'!$B$6/2)^2))))*'Results'!$B$8)+'Inputs'!$B$28*ABS((('Results'!C7*(1+'Inputs'!$B$24)*(0.5*((((140-43)*MAX('Inputs'!$B$33,'Inputs'!$B$29+'Inputs'!$B$31+'Inputs'!$B$32,'Inputs'!$B$30+'Inputs'!$B$31+'Inputs'!$B$32)/1000+'Inputs'!$B$21)+'Inputs'!$B$9)/SQRT((((140-43)*MAX('Inputs'!$B$33,'Inputs'!$B$29+'Inputs'!$B$31+'Inputs'!$B$32,'Inputs'!$B$30+'Inputs'!$B$31+'Inputs'!$B$32)/1000+'Inputs'!$B$21)+'Inputs'!$B$9)^2+('Inputs'!$B$8/2)^2)-(((140-43)*MAX('Inputs'!$B$33,'Inputs'!$B$29+'Inputs'!$B$31+'Inputs'!$B$32,'Inputs'!$B$30+'Inputs'!$B$31+'Inputs'!$B$32)/1000+'Inputs'!$B$21))/SQRT((((140-43)*MAX('Inputs'!$B$33,'Inputs'!$B$29+'Inputs'!$B$31+'Inputs'!$B$32,'Inputs'!$B$30+'Inputs'!$B$31+'Inputs'!$B$32)/1000+'Inputs'!$B$21))^2+('Inputs'!$B$8/2)^2)))-'Results'!B7*(1-'Inputs'!$B$24)*(0.5*((((140-43)*MAX('Inputs'!$B$33,'Inputs'!$B$29+'Inputs'!$B$31+'Inputs'!$B$32,'Inputs'!$B$30+'Inputs'!$B$31+'Inputs'!$B$32)/1000+'Inputs'!$B$21+'Inputs'!$B$9+'Inputs'!$B$10)+'Inputs'!$B$7)/SQRT((((140-43)*MAX('Inputs'!$B$33,'Inputs'!$B$29+'Inputs'!$B$31+'Inputs'!$B$32,'Inputs'!$B$30+'Inputs'!$B$31+'Inputs'!$B$32)/1000+'Inputs'!$B$21+'Inputs'!$B$9+'Inputs'!$B$10)+'Inputs'!$B$7)^2+('Inputs'!$B$6/2)^2)-(((140-43)*MAX('Inputs'!$B$33,'Inputs'!$B$29+'Inputs'!$B$31+'Inputs'!$B$32,'Inputs'!$B$30+'Inputs'!$B$31+'Inputs'!$B$32)/1000+'Inputs'!$B$21+'Inputs'!$B$9+'Inputs'!$B$10))/SQRT((((140-43)*MAX('Inputs'!$B$33,'Inputs'!$B$29+'Inputs'!$B$31+'Inputs'!$B$32,'Inputs'!$B$30+'Inputs'!$B$31+'Inputs'!$B$32)/1000+'Inputs'!$B$21+'Inputs'!$B$9+'Inputs'!$B$10))^2+('Inputs'!$B$6/2)^2))))*'Results'!$B$8))),"")</x:f>
        <x:v>413.02251370500227</x:v>
      </x:c>
      <x:c r="P140" t="n">
        <x:f>IF(AND(MAX(J140,J139)&gt;0,J140&gt;J139+0.00000001),1,0)</x:f>
        <x:v>0</x:v>
      </x:c>
      <x:c r="Q140" t="n">
        <x:f>IF(AND(MAX(K140,K139)&gt;0,K140&gt;K139+0.00000001),1,0)</x:f>
        <x:v>0</x:v>
      </x:c>
      <x:c r="R140" t="n">
        <x:f>IF(AND(MAX(L140,L139)&gt;0,L140&gt;L139+0.00000001),1,0)</x:f>
        <x:v>0</x:v>
      </x:c>
      <x:c r="S140" t="n">
        <x:f>IF(AND(MAX(M140,M139)&gt;0,M140&gt;M139+0.00000001),1,0)</x:f>
        <x:v>0</x:v>
      </x:c>
      <x:c r="T140" t="n">
        <x:f>IF(AND(MAX(N140,N139)&gt;0,N140&gt;N139+0.00000001),1,0)</x:f>
        <x:v>0</x:v>
      </x:c>
      <x:c r="U140" t="n">
        <x:f>IF(AND(MAX(O140,O139)&gt;0,O140&gt;O139+0.00000001),1,0)</x:f>
        <x:v>0</x:v>
      </x:c>
    </x:row>
    <x:row r="141">
      <x:c r="J141" t="n">
        <x:f>IF(AND(ISNUMBER('Results'!B7),ISNUMBER('Results'!C7),ISNUMBER('Results'!$B$8),ISNUMBER('Inputs'!$B$6),ISNUMBER('Inputs'!$B$7),ISNUMBER('Inputs'!$B$8),ISNUMBER('Inputs'!$B$9),ISNUMBER('Inputs'!$B$10),ISNUMBER('Inputs'!$B$21),ISNUMBER('Inputs'!$B$24),ISNUMBER('Inputs'!$B$28)),(('Results'!B7*(0.5*((((141-43)*MAX('Inputs'!$B$33,'Inputs'!$B$29+'Inputs'!$B$31+'Inputs'!$B$32,'Inputs'!$B$30+'Inputs'!$B$31+'Inputs'!$B$32)/1000+'Inputs'!$B$21)+'Inputs'!$B$7)/SQRT((((141-43)*MAX('Inputs'!$B$33,'Inputs'!$B$29+'Inputs'!$B$31+'Inputs'!$B$32,'Inputs'!$B$30+'Inputs'!$B$31+'Inputs'!$B$32)/1000+'Inputs'!$B$21)+'Inputs'!$B$7)^2+('Inputs'!$B$6/2)^2)-(((141-43)*MAX('Inputs'!$B$33,'Inputs'!$B$29+'Inputs'!$B$31+'Inputs'!$B$32,'Inputs'!$B$30+'Inputs'!$B$31+'Inputs'!$B$32)/1000+'Inputs'!$B$21))/SQRT((((141-43)*MAX('Inputs'!$B$33,'Inputs'!$B$29+'Inputs'!$B$31+'Inputs'!$B$32,'Inputs'!$B$30+'Inputs'!$B$31+'Inputs'!$B$32)/1000+'Inputs'!$B$21))^2+('Inputs'!$B$6/2)^2)))-'Results'!C7*(0.5*((((141-43)*MAX('Inputs'!$B$33,'Inputs'!$B$29+'Inputs'!$B$31+'Inputs'!$B$32,'Inputs'!$B$30+'Inputs'!$B$31+'Inputs'!$B$32)/1000+'Inputs'!$B$21+'Inputs'!$B$7+'Inputs'!$B$10)+'Inputs'!$B$9)/SQRT((((141-43)*MAX('Inputs'!$B$33,'Inputs'!$B$29+'Inputs'!$B$31+'Inputs'!$B$32,'Inputs'!$B$30+'Inputs'!$B$31+'Inputs'!$B$32)/1000+'Inputs'!$B$21+'Inputs'!$B$7+'Inputs'!$B$10)+'Inputs'!$B$9)^2+('Inputs'!$B$8/2)^2)-(((141-43)*MAX('Inputs'!$B$33,'Inputs'!$B$29+'Inputs'!$B$31+'Inputs'!$B$32,'Inputs'!$B$30+'Inputs'!$B$31+'Inputs'!$B$32)/1000+'Inputs'!$B$21+'Inputs'!$B$7+'Inputs'!$B$10))/SQRT((((141-43)*MAX('Inputs'!$B$33,'Inputs'!$B$29+'Inputs'!$B$31+'Inputs'!$B$32,'Inputs'!$B$30+'Inputs'!$B$31+'Inputs'!$B$32)/1000+'Inputs'!$B$21+'Inputs'!$B$7+'Inputs'!$B$10))^2+('Inputs'!$B$8/2)^2))))*'Results'!$B$8),"")</x:f>
        <x:v>386.13912583231786</x:v>
      </x:c>
      <x:c r="K141" t="n">
        <x:f>IF(AND(ISNUMBER('Results'!B7),ISNUMBER('Results'!C7),ISNUMBER('Results'!$B$8),ISNUMBER('Inputs'!$B$6),ISNUMBER('Inputs'!$B$7),ISNUMBER('Inputs'!$B$8),ISNUMBER('Inputs'!$B$9),ISNUMBER('Inputs'!$B$10),ISNUMBER('Inputs'!$B$21),ISNUMBER('Inputs'!$B$24),ISNUMBER('Inputs'!$B$28)),((('Results'!B7*(1-'Inputs'!$B$24)*(0.5*((((141-43)*MAX('Inputs'!$B$33,'Inputs'!$B$29+'Inputs'!$B$31+'Inputs'!$B$32,'Inputs'!$B$30+'Inputs'!$B$31+'Inputs'!$B$32)/1000+'Inputs'!$B$21)+'Inputs'!$B$7)/SQRT((((141-43)*MAX('Inputs'!$B$33,'Inputs'!$B$29+'Inputs'!$B$31+'Inputs'!$B$32,'Inputs'!$B$30+'Inputs'!$B$31+'Inputs'!$B$32)/1000+'Inputs'!$B$21)+'Inputs'!$B$7)^2+('Inputs'!$B$6/2)^2)-(((141-43)*MAX('Inputs'!$B$33,'Inputs'!$B$29+'Inputs'!$B$31+'Inputs'!$B$32,'Inputs'!$B$30+'Inputs'!$B$31+'Inputs'!$B$32)/1000+'Inputs'!$B$21))/SQRT((((141-43)*MAX('Inputs'!$B$33,'Inputs'!$B$29+'Inputs'!$B$31+'Inputs'!$B$32,'Inputs'!$B$30+'Inputs'!$B$31+'Inputs'!$B$32)/1000+'Inputs'!$B$21))^2+('Inputs'!$B$6/2)^2)))-'Results'!C7*(1+'Inputs'!$B$24)*(0.5*((((141-43)*MAX('Inputs'!$B$33,'Inputs'!$B$29+'Inputs'!$B$31+'Inputs'!$B$32,'Inputs'!$B$30+'Inputs'!$B$31+'Inputs'!$B$32)/1000+'Inputs'!$B$21+'Inputs'!$B$7+'Inputs'!$B$10)+'Inputs'!$B$9)/SQRT((((141-43)*MAX('Inputs'!$B$33,'Inputs'!$B$29+'Inputs'!$B$31+'Inputs'!$B$32,'Inputs'!$B$30+'Inputs'!$B$31+'Inputs'!$B$32)/1000+'Inputs'!$B$21+'Inputs'!$B$7+'Inputs'!$B$10)+'Inputs'!$B$9)^2+('Inputs'!$B$8/2)^2)-(((141-43)*MAX('Inputs'!$B$33,'Inputs'!$B$29+'Inputs'!$B$31+'Inputs'!$B$32,'Inputs'!$B$30+'Inputs'!$B$31+'Inputs'!$B$32)/1000+'Inputs'!$B$21+'Inputs'!$B$7+'Inputs'!$B$10))/SQRT((((141-43)*MAX('Inputs'!$B$33,'Inputs'!$B$29+'Inputs'!$B$31+'Inputs'!$B$32,'Inputs'!$B$30+'Inputs'!$B$31+'Inputs'!$B$32)/1000+'Inputs'!$B$21+'Inputs'!$B$7+'Inputs'!$B$10))^2+('Inputs'!$B$8/2)^2))))*'Results'!$B$8)-'Inputs'!$B$28*ABS((('Results'!B7*(1-'Inputs'!$B$24)*(0.5*((((141-43)*MAX('Inputs'!$B$33,'Inputs'!$B$29+'Inputs'!$B$31+'Inputs'!$B$32,'Inputs'!$B$30+'Inputs'!$B$31+'Inputs'!$B$32)/1000+'Inputs'!$B$21)+'Inputs'!$B$7)/SQRT((((141-43)*MAX('Inputs'!$B$33,'Inputs'!$B$29+'Inputs'!$B$31+'Inputs'!$B$32,'Inputs'!$B$30+'Inputs'!$B$31+'Inputs'!$B$32)/1000+'Inputs'!$B$21)+'Inputs'!$B$7)^2+('Inputs'!$B$6/2)^2)-(((141-43)*MAX('Inputs'!$B$33,'Inputs'!$B$29+'Inputs'!$B$31+'Inputs'!$B$32,'Inputs'!$B$30+'Inputs'!$B$31+'Inputs'!$B$32)/1000+'Inputs'!$B$21))/SQRT((((141-43)*MAX('Inputs'!$B$33,'Inputs'!$B$29+'Inputs'!$B$31+'Inputs'!$B$32,'Inputs'!$B$30+'Inputs'!$B$31+'Inputs'!$B$32)/1000+'Inputs'!$B$21))^2+('Inputs'!$B$6/2)^2)))-'Results'!C7*(1+'Inputs'!$B$24)*(0.5*((((141-43)*MAX('Inputs'!$B$33,'Inputs'!$B$29+'Inputs'!$B$31+'Inputs'!$B$32,'Inputs'!$B$30+'Inputs'!$B$31+'Inputs'!$B$32)/1000+'Inputs'!$B$21+'Inputs'!$B$7+'Inputs'!$B$10)+'Inputs'!$B$9)/SQRT((((141-43)*MAX('Inputs'!$B$33,'Inputs'!$B$29+'Inputs'!$B$31+'Inputs'!$B$32,'Inputs'!$B$30+'Inputs'!$B$31+'Inputs'!$B$32)/1000+'Inputs'!$B$21+'Inputs'!$B$7+'Inputs'!$B$10)+'Inputs'!$B$9)^2+('Inputs'!$B$8/2)^2)-(((141-43)*MAX('Inputs'!$B$33,'Inputs'!$B$29+'Inputs'!$B$31+'Inputs'!$B$32,'Inputs'!$B$30+'Inputs'!$B$31+'Inputs'!$B$32)/1000+'Inputs'!$B$21+'Inputs'!$B$7+'Inputs'!$B$10))/SQRT((((141-43)*MAX('Inputs'!$B$33,'Inputs'!$B$29+'Inputs'!$B$31+'Inputs'!$B$32,'Inputs'!$B$30+'Inputs'!$B$31+'Inputs'!$B$32)/1000+'Inputs'!$B$21+'Inputs'!$B$7+'Inputs'!$B$10))^2+('Inputs'!$B$8/2)^2))))*'Results'!$B$8))),"")</x:f>
        <x:v>356.1165617480982</x:v>
      </x:c>
      <x:c r="L141" t="n">
        <x:f>IF(AND(ISNUMBER('Results'!B7),ISNUMBER('Results'!C7),ISNUMBER('Results'!$B$8),ISNUMBER('Inputs'!$B$6),ISNUMBER('Inputs'!$B$7),ISNUMBER('Inputs'!$B$8),ISNUMBER('Inputs'!$B$9),ISNUMBER('Inputs'!$B$10),ISNUMBER('Inputs'!$B$21),ISNUMBER('Inputs'!$B$24),ISNUMBER('Inputs'!$B$28)),((('Results'!B7*(1+'Inputs'!$B$24)*(0.5*((((141-43)*MAX('Inputs'!$B$33,'Inputs'!$B$29+'Inputs'!$B$31+'Inputs'!$B$32,'Inputs'!$B$30+'Inputs'!$B$31+'Inputs'!$B$32)/1000+'Inputs'!$B$21)+'Inputs'!$B$7)/SQRT((((141-43)*MAX('Inputs'!$B$33,'Inputs'!$B$29+'Inputs'!$B$31+'Inputs'!$B$32,'Inputs'!$B$30+'Inputs'!$B$31+'Inputs'!$B$32)/1000+'Inputs'!$B$21)+'Inputs'!$B$7)^2+('Inputs'!$B$6/2)^2)-(((141-43)*MAX('Inputs'!$B$33,'Inputs'!$B$29+'Inputs'!$B$31+'Inputs'!$B$32,'Inputs'!$B$30+'Inputs'!$B$31+'Inputs'!$B$32)/1000+'Inputs'!$B$21))/SQRT((((141-43)*MAX('Inputs'!$B$33,'Inputs'!$B$29+'Inputs'!$B$31+'Inputs'!$B$32,'Inputs'!$B$30+'Inputs'!$B$31+'Inputs'!$B$32)/1000+'Inputs'!$B$21))^2+('Inputs'!$B$6/2)^2)))-'Results'!C7*(1-'Inputs'!$B$24)*(0.5*((((141-43)*MAX('Inputs'!$B$33,'Inputs'!$B$29+'Inputs'!$B$31+'Inputs'!$B$32,'Inputs'!$B$30+'Inputs'!$B$31+'Inputs'!$B$32)/1000+'Inputs'!$B$21+'Inputs'!$B$7+'Inputs'!$B$10)+'Inputs'!$B$9)/SQRT((((141-43)*MAX('Inputs'!$B$33,'Inputs'!$B$29+'Inputs'!$B$31+'Inputs'!$B$32,'Inputs'!$B$30+'Inputs'!$B$31+'Inputs'!$B$32)/1000+'Inputs'!$B$21+'Inputs'!$B$7+'Inputs'!$B$10)+'Inputs'!$B$9)^2+('Inputs'!$B$8/2)^2)-(((141-43)*MAX('Inputs'!$B$33,'Inputs'!$B$29+'Inputs'!$B$31+'Inputs'!$B$32,'Inputs'!$B$30+'Inputs'!$B$31+'Inputs'!$B$32)/1000+'Inputs'!$B$21+'Inputs'!$B$7+'Inputs'!$B$10))/SQRT((((141-43)*MAX('Inputs'!$B$33,'Inputs'!$B$29+'Inputs'!$B$31+'Inputs'!$B$32,'Inputs'!$B$30+'Inputs'!$B$31+'Inputs'!$B$32)/1000+'Inputs'!$B$21+'Inputs'!$B$7+'Inputs'!$B$10))^2+('Inputs'!$B$8/2)^2))))*'Results'!$B$8)+'Inputs'!$B$28*ABS((('Results'!B7*(1+'Inputs'!$B$24)*(0.5*((((141-43)*MAX('Inputs'!$B$33,'Inputs'!$B$29+'Inputs'!$B$31+'Inputs'!$B$32,'Inputs'!$B$30+'Inputs'!$B$31+'Inputs'!$B$32)/1000+'Inputs'!$B$21)+'Inputs'!$B$7)/SQRT((((141-43)*MAX('Inputs'!$B$33,'Inputs'!$B$29+'Inputs'!$B$31+'Inputs'!$B$32,'Inputs'!$B$30+'Inputs'!$B$31+'Inputs'!$B$32)/1000+'Inputs'!$B$21)+'Inputs'!$B$7)^2+('Inputs'!$B$6/2)^2)-(((141-43)*MAX('Inputs'!$B$33,'Inputs'!$B$29+'Inputs'!$B$31+'Inputs'!$B$32,'Inputs'!$B$30+'Inputs'!$B$31+'Inputs'!$B$32)/1000+'Inputs'!$B$21))/SQRT((((141-43)*MAX('Inputs'!$B$33,'Inputs'!$B$29+'Inputs'!$B$31+'Inputs'!$B$32,'Inputs'!$B$30+'Inputs'!$B$31+'Inputs'!$B$32)/1000+'Inputs'!$B$21))^2+('Inputs'!$B$6/2)^2)))-'Results'!C7*(1-'Inputs'!$B$24)*(0.5*((((141-43)*MAX('Inputs'!$B$33,'Inputs'!$B$29+'Inputs'!$B$31+'Inputs'!$B$32,'Inputs'!$B$30+'Inputs'!$B$31+'Inputs'!$B$32)/1000+'Inputs'!$B$21+'Inputs'!$B$7+'Inputs'!$B$10)+'Inputs'!$B$9)/SQRT((((141-43)*MAX('Inputs'!$B$33,'Inputs'!$B$29+'Inputs'!$B$31+'Inputs'!$B$32,'Inputs'!$B$30+'Inputs'!$B$31+'Inputs'!$B$32)/1000+'Inputs'!$B$21+'Inputs'!$B$7+'Inputs'!$B$10)+'Inputs'!$B$9)^2+('Inputs'!$B$8/2)^2)-(((141-43)*MAX('Inputs'!$B$33,'Inputs'!$B$29+'Inputs'!$B$31+'Inputs'!$B$32,'Inputs'!$B$30+'Inputs'!$B$31+'Inputs'!$B$32)/1000+'Inputs'!$B$21+'Inputs'!$B$7+'Inputs'!$B$10))/SQRT((((141-43)*MAX('Inputs'!$B$33,'Inputs'!$B$29+'Inputs'!$B$31+'Inputs'!$B$32,'Inputs'!$B$30+'Inputs'!$B$31+'Inputs'!$B$32)/1000+'Inputs'!$B$21+'Inputs'!$B$7+'Inputs'!$B$10))^2+('Inputs'!$B$8/2)^2))))*'Results'!$B$8))),"")</x:f>
        <x:v>417.2896486315485</x:v>
      </x:c>
      <x:c r="M141" t="n">
        <x:f>IF(AND(ISNUMBER('Results'!C7),ISNUMBER('Results'!B7),ISNUMBER('Results'!$B$8),ISNUMBER('Inputs'!$B$6),ISNUMBER('Inputs'!$B$7),ISNUMBER('Inputs'!$B$8),ISNUMBER('Inputs'!$B$9),ISNUMBER('Inputs'!$B$10),ISNUMBER('Inputs'!$B$21),ISNUMBER('Inputs'!$B$24),ISNUMBER('Inputs'!$B$28)),(('Results'!C7*(0.5*((((141-43)*MAX('Inputs'!$B$33,'Inputs'!$B$29+'Inputs'!$B$31+'Inputs'!$B$32,'Inputs'!$B$30+'Inputs'!$B$31+'Inputs'!$B$32)/1000+'Inputs'!$B$21)+'Inputs'!$B$9)/SQRT((((141-43)*MAX('Inputs'!$B$33,'Inputs'!$B$29+'Inputs'!$B$31+'Inputs'!$B$32,'Inputs'!$B$30+'Inputs'!$B$31+'Inputs'!$B$32)/1000+'Inputs'!$B$21)+'Inputs'!$B$9)^2+('Inputs'!$B$8/2)^2)-(((141-43)*MAX('Inputs'!$B$33,'Inputs'!$B$29+'Inputs'!$B$31+'Inputs'!$B$32,'Inputs'!$B$30+'Inputs'!$B$31+'Inputs'!$B$32)/1000+'Inputs'!$B$21))/SQRT((((141-43)*MAX('Inputs'!$B$33,'Inputs'!$B$29+'Inputs'!$B$31+'Inputs'!$B$32,'Inputs'!$B$30+'Inputs'!$B$31+'Inputs'!$B$32)/1000+'Inputs'!$B$21))^2+('Inputs'!$B$8/2)^2)))-'Results'!B7*(0.5*((((141-43)*MAX('Inputs'!$B$33,'Inputs'!$B$29+'Inputs'!$B$31+'Inputs'!$B$32,'Inputs'!$B$30+'Inputs'!$B$31+'Inputs'!$B$32)/1000+'Inputs'!$B$21+'Inputs'!$B$9+'Inputs'!$B$10)+'Inputs'!$B$7)/SQRT((((141-43)*MAX('Inputs'!$B$33,'Inputs'!$B$29+'Inputs'!$B$31+'Inputs'!$B$32,'Inputs'!$B$30+'Inputs'!$B$31+'Inputs'!$B$32)/1000+'Inputs'!$B$21+'Inputs'!$B$9+'Inputs'!$B$10)+'Inputs'!$B$7)^2+('Inputs'!$B$6/2)^2)-(((141-43)*MAX('Inputs'!$B$33,'Inputs'!$B$29+'Inputs'!$B$31+'Inputs'!$B$32,'Inputs'!$B$30+'Inputs'!$B$31+'Inputs'!$B$32)/1000+'Inputs'!$B$21+'Inputs'!$B$9+'Inputs'!$B$10))/SQRT((((141-43)*MAX('Inputs'!$B$33,'Inputs'!$B$29+'Inputs'!$B$31+'Inputs'!$B$32,'Inputs'!$B$30+'Inputs'!$B$31+'Inputs'!$B$32)/1000+'Inputs'!$B$21+'Inputs'!$B$9+'Inputs'!$B$10))^2+('Inputs'!$B$6/2)^2))))*'Results'!$B$8),"")</x:f>
        <x:v>374.8232447573774</x:v>
      </x:c>
      <x:c r="N141" t="n">
        <x:f>IF(AND(ISNUMBER('Results'!C7),ISNUMBER('Results'!B7),ISNUMBER('Results'!$B$8),ISNUMBER('Inputs'!$B$6),ISNUMBER('Inputs'!$B$7),ISNUMBER('Inputs'!$B$8),ISNUMBER('Inputs'!$B$9),ISNUMBER('Inputs'!$B$10),ISNUMBER('Inputs'!$B$21),ISNUMBER('Inputs'!$B$24),ISNUMBER('Inputs'!$B$28)),((('Results'!C7*(1-'Inputs'!$B$24)*(0.5*((((141-43)*MAX('Inputs'!$B$33,'Inputs'!$B$29+'Inputs'!$B$31+'Inputs'!$B$32,'Inputs'!$B$30+'Inputs'!$B$31+'Inputs'!$B$32)/1000+'Inputs'!$B$21)+'Inputs'!$B$9)/SQRT((((141-43)*MAX('Inputs'!$B$33,'Inputs'!$B$29+'Inputs'!$B$31+'Inputs'!$B$32,'Inputs'!$B$30+'Inputs'!$B$31+'Inputs'!$B$32)/1000+'Inputs'!$B$21)+'Inputs'!$B$9)^2+('Inputs'!$B$8/2)^2)-(((141-43)*MAX('Inputs'!$B$33,'Inputs'!$B$29+'Inputs'!$B$31+'Inputs'!$B$32,'Inputs'!$B$30+'Inputs'!$B$31+'Inputs'!$B$32)/1000+'Inputs'!$B$21))/SQRT((((141-43)*MAX('Inputs'!$B$33,'Inputs'!$B$29+'Inputs'!$B$31+'Inputs'!$B$32,'Inputs'!$B$30+'Inputs'!$B$31+'Inputs'!$B$32)/1000+'Inputs'!$B$21))^2+('Inputs'!$B$8/2)^2)))-'Results'!B7*(1+'Inputs'!$B$24)*(0.5*((((141-43)*MAX('Inputs'!$B$33,'Inputs'!$B$29+'Inputs'!$B$31+'Inputs'!$B$32,'Inputs'!$B$30+'Inputs'!$B$31+'Inputs'!$B$32)/1000+'Inputs'!$B$21+'Inputs'!$B$9+'Inputs'!$B$10)+'Inputs'!$B$7)/SQRT((((141-43)*MAX('Inputs'!$B$33,'Inputs'!$B$29+'Inputs'!$B$31+'Inputs'!$B$32,'Inputs'!$B$30+'Inputs'!$B$31+'Inputs'!$B$32)/1000+'Inputs'!$B$21+'Inputs'!$B$9+'Inputs'!$B$10)+'Inputs'!$B$7)^2+('Inputs'!$B$6/2)^2)-(((141-43)*MAX('Inputs'!$B$33,'Inputs'!$B$29+'Inputs'!$B$31+'Inputs'!$B$32,'Inputs'!$B$30+'Inputs'!$B$31+'Inputs'!$B$32)/1000+'Inputs'!$B$21+'Inputs'!$B$9+'Inputs'!$B$10))/SQRT((((141-43)*MAX('Inputs'!$B$33,'Inputs'!$B$29+'Inputs'!$B$31+'Inputs'!$B$32,'Inputs'!$B$30+'Inputs'!$B$31+'Inputs'!$B$32)/1000+'Inputs'!$B$21+'Inputs'!$B$9+'Inputs'!$B$10))^2+('Inputs'!$B$6/2)^2))))*'Results'!$B$8)-'Inputs'!$B$28*ABS((('Results'!C7*(1-'Inputs'!$B$24)*(0.5*((((141-43)*MAX('Inputs'!$B$33,'Inputs'!$B$29+'Inputs'!$B$31+'Inputs'!$B$32,'Inputs'!$B$30+'Inputs'!$B$31+'Inputs'!$B$32)/1000+'Inputs'!$B$21)+'Inputs'!$B$9)/SQRT((((141-43)*MAX('Inputs'!$B$33,'Inputs'!$B$29+'Inputs'!$B$31+'Inputs'!$B$32,'Inputs'!$B$30+'Inputs'!$B$31+'Inputs'!$B$32)/1000+'Inputs'!$B$21)+'Inputs'!$B$9)^2+('Inputs'!$B$8/2)^2)-(((141-43)*MAX('Inputs'!$B$33,'Inputs'!$B$29+'Inputs'!$B$31+'Inputs'!$B$32,'Inputs'!$B$30+'Inputs'!$B$31+'Inputs'!$B$32)/1000+'Inputs'!$B$21))/SQRT((((141-43)*MAX('Inputs'!$B$33,'Inputs'!$B$29+'Inputs'!$B$31+'Inputs'!$B$32,'Inputs'!$B$30+'Inputs'!$B$31+'Inputs'!$B$32)/1000+'Inputs'!$B$21))^2+('Inputs'!$B$8/2)^2)))-'Results'!B7*(1+'Inputs'!$B$24)*(0.5*((((141-43)*MAX('Inputs'!$B$33,'Inputs'!$B$29+'Inputs'!$B$31+'Inputs'!$B$32,'Inputs'!$B$30+'Inputs'!$B$31+'Inputs'!$B$32)/1000+'Inputs'!$B$21+'Inputs'!$B$9+'Inputs'!$B$10)+'Inputs'!$B$7)/SQRT((((141-43)*MAX('Inputs'!$B$33,'Inputs'!$B$29+'Inputs'!$B$31+'Inputs'!$B$32,'Inputs'!$B$30+'Inputs'!$B$31+'Inputs'!$B$32)/1000+'Inputs'!$B$21+'Inputs'!$B$9+'Inputs'!$B$10)+'Inputs'!$B$7)^2+('Inputs'!$B$6/2)^2)-(((141-43)*MAX('Inputs'!$B$33,'Inputs'!$B$29+'Inputs'!$B$31+'Inputs'!$B$32,'Inputs'!$B$30+'Inputs'!$B$31+'Inputs'!$B$32)/1000+'Inputs'!$B$21+'Inputs'!$B$9+'Inputs'!$B$10))/SQRT((((141-43)*MAX('Inputs'!$B$33,'Inputs'!$B$29+'Inputs'!$B$31+'Inputs'!$B$32,'Inputs'!$B$30+'Inputs'!$B$31+'Inputs'!$B$32)/1000+'Inputs'!$B$21+'Inputs'!$B$9+'Inputs'!$B$10))^2+('Inputs'!$B$6/2)^2))))*'Results'!$B$8))),"")</x:f>
        <x:v>345.51251801014917</x:v>
      </x:c>
      <x:c r="O141" t="n">
        <x:f>IF(AND(ISNUMBER('Results'!C7),ISNUMBER('Results'!B7),ISNUMBER('Results'!$B$8),ISNUMBER('Inputs'!$B$6),ISNUMBER('Inputs'!$B$7),ISNUMBER('Inputs'!$B$8),ISNUMBER('Inputs'!$B$9),ISNUMBER('Inputs'!$B$10),ISNUMBER('Inputs'!$B$21),ISNUMBER('Inputs'!$B$24),ISNUMBER('Inputs'!$B$28)),((('Results'!C7*(1+'Inputs'!$B$24)*(0.5*((((141-43)*MAX('Inputs'!$B$33,'Inputs'!$B$29+'Inputs'!$B$31+'Inputs'!$B$32,'Inputs'!$B$30+'Inputs'!$B$31+'Inputs'!$B$32)/1000+'Inputs'!$B$21)+'Inputs'!$B$9)/SQRT((((141-43)*MAX('Inputs'!$B$33,'Inputs'!$B$29+'Inputs'!$B$31+'Inputs'!$B$32,'Inputs'!$B$30+'Inputs'!$B$31+'Inputs'!$B$32)/1000+'Inputs'!$B$21)+'Inputs'!$B$9)^2+('Inputs'!$B$8/2)^2)-(((141-43)*MAX('Inputs'!$B$33,'Inputs'!$B$29+'Inputs'!$B$31+'Inputs'!$B$32,'Inputs'!$B$30+'Inputs'!$B$31+'Inputs'!$B$32)/1000+'Inputs'!$B$21))/SQRT((((141-43)*MAX('Inputs'!$B$33,'Inputs'!$B$29+'Inputs'!$B$31+'Inputs'!$B$32,'Inputs'!$B$30+'Inputs'!$B$31+'Inputs'!$B$32)/1000+'Inputs'!$B$21))^2+('Inputs'!$B$8/2)^2)))-'Results'!B7*(1-'Inputs'!$B$24)*(0.5*((((141-43)*MAX('Inputs'!$B$33,'Inputs'!$B$29+'Inputs'!$B$31+'Inputs'!$B$32,'Inputs'!$B$30+'Inputs'!$B$31+'Inputs'!$B$32)/1000+'Inputs'!$B$21+'Inputs'!$B$9+'Inputs'!$B$10)+'Inputs'!$B$7)/SQRT((((141-43)*MAX('Inputs'!$B$33,'Inputs'!$B$29+'Inputs'!$B$31+'Inputs'!$B$32,'Inputs'!$B$30+'Inputs'!$B$31+'Inputs'!$B$32)/1000+'Inputs'!$B$21+'Inputs'!$B$9+'Inputs'!$B$10)+'Inputs'!$B$7)^2+('Inputs'!$B$6/2)^2)-(((141-43)*MAX('Inputs'!$B$33,'Inputs'!$B$29+'Inputs'!$B$31+'Inputs'!$B$32,'Inputs'!$B$30+'Inputs'!$B$31+'Inputs'!$B$32)/1000+'Inputs'!$B$21+'Inputs'!$B$9+'Inputs'!$B$10))/SQRT((((141-43)*MAX('Inputs'!$B$33,'Inputs'!$B$29+'Inputs'!$B$31+'Inputs'!$B$32,'Inputs'!$B$30+'Inputs'!$B$31+'Inputs'!$B$32)/1000+'Inputs'!$B$21+'Inputs'!$B$9+'Inputs'!$B$10))^2+('Inputs'!$B$6/2)^2))))*'Results'!$B$8)+'Inputs'!$B$28*ABS((('Results'!C7*(1+'Inputs'!$B$24)*(0.5*((((141-43)*MAX('Inputs'!$B$33,'Inputs'!$B$29+'Inputs'!$B$31+'Inputs'!$B$32,'Inputs'!$B$30+'Inputs'!$B$31+'Inputs'!$B$32)/1000+'Inputs'!$B$21)+'Inputs'!$B$9)/SQRT((((141-43)*MAX('Inputs'!$B$33,'Inputs'!$B$29+'Inputs'!$B$31+'Inputs'!$B$32,'Inputs'!$B$30+'Inputs'!$B$31+'Inputs'!$B$32)/1000+'Inputs'!$B$21)+'Inputs'!$B$9)^2+('Inputs'!$B$8/2)^2)-(((141-43)*MAX('Inputs'!$B$33,'Inputs'!$B$29+'Inputs'!$B$31+'Inputs'!$B$32,'Inputs'!$B$30+'Inputs'!$B$31+'Inputs'!$B$32)/1000+'Inputs'!$B$21))/SQRT((((141-43)*MAX('Inputs'!$B$33,'Inputs'!$B$29+'Inputs'!$B$31+'Inputs'!$B$32,'Inputs'!$B$30+'Inputs'!$B$31+'Inputs'!$B$32)/1000+'Inputs'!$B$21))^2+('Inputs'!$B$8/2)^2)))-'Results'!B7*(1-'Inputs'!$B$24)*(0.5*((((141-43)*MAX('Inputs'!$B$33,'Inputs'!$B$29+'Inputs'!$B$31+'Inputs'!$B$32,'Inputs'!$B$30+'Inputs'!$B$31+'Inputs'!$B$32)/1000+'Inputs'!$B$21+'Inputs'!$B$9+'Inputs'!$B$10)+'Inputs'!$B$7)/SQRT((((141-43)*MAX('Inputs'!$B$33,'Inputs'!$B$29+'Inputs'!$B$31+'Inputs'!$B$32,'Inputs'!$B$30+'Inputs'!$B$31+'Inputs'!$B$32)/1000+'Inputs'!$B$21+'Inputs'!$B$9+'Inputs'!$B$10)+'Inputs'!$B$7)^2+('Inputs'!$B$6/2)^2)-(((141-43)*MAX('Inputs'!$B$33,'Inputs'!$B$29+'Inputs'!$B$31+'Inputs'!$B$32,'Inputs'!$B$30+'Inputs'!$B$31+'Inputs'!$B$32)/1000+'Inputs'!$B$21+'Inputs'!$B$9+'Inputs'!$B$10))/SQRT((((141-43)*MAX('Inputs'!$B$33,'Inputs'!$B$29+'Inputs'!$B$31+'Inputs'!$B$32,'Inputs'!$B$30+'Inputs'!$B$31+'Inputs'!$B$32)/1000+'Inputs'!$B$21+'Inputs'!$B$9+'Inputs'!$B$10))^2+('Inputs'!$B$6/2)^2))))*'Results'!$B$8))),"")</x:f>
        <x:v>405.2465572424329</x:v>
      </x:c>
      <x:c r="P141" t="n">
        <x:f>IF(AND(MAX(J141,J140)&gt;0,J141&gt;J140+0.00000001),1,0)</x:f>
        <x:v>0</x:v>
      </x:c>
      <x:c r="Q141" t="n">
        <x:f>IF(AND(MAX(K141,K140)&gt;0,K141&gt;K140+0.00000001),1,0)</x:f>
        <x:v>0</x:v>
      </x:c>
      <x:c r="R141" t="n">
        <x:f>IF(AND(MAX(L141,L140)&gt;0,L141&gt;L140+0.00000001),1,0)</x:f>
        <x:v>0</x:v>
      </x:c>
      <x:c r="S141" t="n">
        <x:f>IF(AND(MAX(M141,M140)&gt;0,M141&gt;M140+0.00000001),1,0)</x:f>
        <x:v>0</x:v>
      </x:c>
      <x:c r="T141" t="n">
        <x:f>IF(AND(MAX(N141,N140)&gt;0,N141&gt;N140+0.00000001),1,0)</x:f>
        <x:v>0</x:v>
      </x:c>
      <x:c r="U141" t="n">
        <x:f>IF(AND(MAX(O141,O140)&gt;0,O141&gt;O140+0.00000001),1,0)</x:f>
        <x:v>0</x:v>
      </x:c>
    </x:row>
    <x:row r="142">
      <x:c r="J142" t="n">
        <x:f>IF(AND(ISNUMBER('Results'!B7),ISNUMBER('Results'!C7),ISNUMBER('Results'!$B$8),ISNUMBER('Inputs'!$B$6),ISNUMBER('Inputs'!$B$7),ISNUMBER('Inputs'!$B$8),ISNUMBER('Inputs'!$B$9),ISNUMBER('Inputs'!$B$10),ISNUMBER('Inputs'!$B$21),ISNUMBER('Inputs'!$B$24),ISNUMBER('Inputs'!$B$28)),(('Results'!B7*(0.5*((((142-43)*MAX('Inputs'!$B$33,'Inputs'!$B$29+'Inputs'!$B$31+'Inputs'!$B$32,'Inputs'!$B$30+'Inputs'!$B$31+'Inputs'!$B$32)/1000+'Inputs'!$B$21)+'Inputs'!$B$7)/SQRT((((142-43)*MAX('Inputs'!$B$33,'Inputs'!$B$29+'Inputs'!$B$31+'Inputs'!$B$32,'Inputs'!$B$30+'Inputs'!$B$31+'Inputs'!$B$32)/1000+'Inputs'!$B$21)+'Inputs'!$B$7)^2+('Inputs'!$B$6/2)^2)-(((142-43)*MAX('Inputs'!$B$33,'Inputs'!$B$29+'Inputs'!$B$31+'Inputs'!$B$32,'Inputs'!$B$30+'Inputs'!$B$31+'Inputs'!$B$32)/1000+'Inputs'!$B$21))/SQRT((((142-43)*MAX('Inputs'!$B$33,'Inputs'!$B$29+'Inputs'!$B$31+'Inputs'!$B$32,'Inputs'!$B$30+'Inputs'!$B$31+'Inputs'!$B$32)/1000+'Inputs'!$B$21))^2+('Inputs'!$B$6/2)^2)))-'Results'!C7*(0.5*((((142-43)*MAX('Inputs'!$B$33,'Inputs'!$B$29+'Inputs'!$B$31+'Inputs'!$B$32,'Inputs'!$B$30+'Inputs'!$B$31+'Inputs'!$B$32)/1000+'Inputs'!$B$21+'Inputs'!$B$7+'Inputs'!$B$10)+'Inputs'!$B$9)/SQRT((((142-43)*MAX('Inputs'!$B$33,'Inputs'!$B$29+'Inputs'!$B$31+'Inputs'!$B$32,'Inputs'!$B$30+'Inputs'!$B$31+'Inputs'!$B$32)/1000+'Inputs'!$B$21+'Inputs'!$B$7+'Inputs'!$B$10)+'Inputs'!$B$9)^2+('Inputs'!$B$8/2)^2)-(((142-43)*MAX('Inputs'!$B$33,'Inputs'!$B$29+'Inputs'!$B$31+'Inputs'!$B$32,'Inputs'!$B$30+'Inputs'!$B$31+'Inputs'!$B$32)/1000+'Inputs'!$B$21+'Inputs'!$B$7+'Inputs'!$B$10))/SQRT((((142-43)*MAX('Inputs'!$B$33,'Inputs'!$B$29+'Inputs'!$B$31+'Inputs'!$B$32,'Inputs'!$B$30+'Inputs'!$B$31+'Inputs'!$B$32)/1000+'Inputs'!$B$21+'Inputs'!$B$7+'Inputs'!$B$10))^2+('Inputs'!$B$8/2)^2))))*'Results'!$B$8),"")</x:f>
        <x:v>378.8869215863499</x:v>
      </x:c>
      <x:c r="K142" t="n">
        <x:f>IF(AND(ISNUMBER('Results'!B7),ISNUMBER('Results'!C7),ISNUMBER('Results'!$B$8),ISNUMBER('Inputs'!$B$6),ISNUMBER('Inputs'!$B$7),ISNUMBER('Inputs'!$B$8),ISNUMBER('Inputs'!$B$9),ISNUMBER('Inputs'!$B$10),ISNUMBER('Inputs'!$B$21),ISNUMBER('Inputs'!$B$24),ISNUMBER('Inputs'!$B$28)),((('Results'!B7*(1-'Inputs'!$B$24)*(0.5*((((142-43)*MAX('Inputs'!$B$33,'Inputs'!$B$29+'Inputs'!$B$31+'Inputs'!$B$32,'Inputs'!$B$30+'Inputs'!$B$31+'Inputs'!$B$32)/1000+'Inputs'!$B$21)+'Inputs'!$B$7)/SQRT((((142-43)*MAX('Inputs'!$B$33,'Inputs'!$B$29+'Inputs'!$B$31+'Inputs'!$B$32,'Inputs'!$B$30+'Inputs'!$B$31+'Inputs'!$B$32)/1000+'Inputs'!$B$21)+'Inputs'!$B$7)^2+('Inputs'!$B$6/2)^2)-(((142-43)*MAX('Inputs'!$B$33,'Inputs'!$B$29+'Inputs'!$B$31+'Inputs'!$B$32,'Inputs'!$B$30+'Inputs'!$B$31+'Inputs'!$B$32)/1000+'Inputs'!$B$21))/SQRT((((142-43)*MAX('Inputs'!$B$33,'Inputs'!$B$29+'Inputs'!$B$31+'Inputs'!$B$32,'Inputs'!$B$30+'Inputs'!$B$31+'Inputs'!$B$32)/1000+'Inputs'!$B$21))^2+('Inputs'!$B$6/2)^2)))-'Results'!C7*(1+'Inputs'!$B$24)*(0.5*((((142-43)*MAX('Inputs'!$B$33,'Inputs'!$B$29+'Inputs'!$B$31+'Inputs'!$B$32,'Inputs'!$B$30+'Inputs'!$B$31+'Inputs'!$B$32)/1000+'Inputs'!$B$21+'Inputs'!$B$7+'Inputs'!$B$10)+'Inputs'!$B$9)/SQRT((((142-43)*MAX('Inputs'!$B$33,'Inputs'!$B$29+'Inputs'!$B$31+'Inputs'!$B$32,'Inputs'!$B$30+'Inputs'!$B$31+'Inputs'!$B$32)/1000+'Inputs'!$B$21+'Inputs'!$B$7+'Inputs'!$B$10)+'Inputs'!$B$9)^2+('Inputs'!$B$8/2)^2)-(((142-43)*MAX('Inputs'!$B$33,'Inputs'!$B$29+'Inputs'!$B$31+'Inputs'!$B$32,'Inputs'!$B$30+'Inputs'!$B$31+'Inputs'!$B$32)/1000+'Inputs'!$B$21+'Inputs'!$B$7+'Inputs'!$B$10))/SQRT((((142-43)*MAX('Inputs'!$B$33,'Inputs'!$B$29+'Inputs'!$B$31+'Inputs'!$B$32,'Inputs'!$B$30+'Inputs'!$B$31+'Inputs'!$B$32)/1000+'Inputs'!$B$21+'Inputs'!$B$7+'Inputs'!$B$10))^2+('Inputs'!$B$8/2)^2))))*'Results'!$B$8)-'Inputs'!$B$28*ABS((('Results'!B7*(1-'Inputs'!$B$24)*(0.5*((((142-43)*MAX('Inputs'!$B$33,'Inputs'!$B$29+'Inputs'!$B$31+'Inputs'!$B$32,'Inputs'!$B$30+'Inputs'!$B$31+'Inputs'!$B$32)/1000+'Inputs'!$B$21)+'Inputs'!$B$7)/SQRT((((142-43)*MAX('Inputs'!$B$33,'Inputs'!$B$29+'Inputs'!$B$31+'Inputs'!$B$32,'Inputs'!$B$30+'Inputs'!$B$31+'Inputs'!$B$32)/1000+'Inputs'!$B$21)+'Inputs'!$B$7)^2+('Inputs'!$B$6/2)^2)-(((142-43)*MAX('Inputs'!$B$33,'Inputs'!$B$29+'Inputs'!$B$31+'Inputs'!$B$32,'Inputs'!$B$30+'Inputs'!$B$31+'Inputs'!$B$32)/1000+'Inputs'!$B$21))/SQRT((((142-43)*MAX('Inputs'!$B$33,'Inputs'!$B$29+'Inputs'!$B$31+'Inputs'!$B$32,'Inputs'!$B$30+'Inputs'!$B$31+'Inputs'!$B$32)/1000+'Inputs'!$B$21))^2+('Inputs'!$B$6/2)^2)))-'Results'!C7*(1+'Inputs'!$B$24)*(0.5*((((142-43)*MAX('Inputs'!$B$33,'Inputs'!$B$29+'Inputs'!$B$31+'Inputs'!$B$32,'Inputs'!$B$30+'Inputs'!$B$31+'Inputs'!$B$32)/1000+'Inputs'!$B$21+'Inputs'!$B$7+'Inputs'!$B$10)+'Inputs'!$B$9)/SQRT((((142-43)*MAX('Inputs'!$B$33,'Inputs'!$B$29+'Inputs'!$B$31+'Inputs'!$B$32,'Inputs'!$B$30+'Inputs'!$B$31+'Inputs'!$B$32)/1000+'Inputs'!$B$21+'Inputs'!$B$7+'Inputs'!$B$10)+'Inputs'!$B$9)^2+('Inputs'!$B$8/2)^2)-(((142-43)*MAX('Inputs'!$B$33,'Inputs'!$B$29+'Inputs'!$B$31+'Inputs'!$B$32,'Inputs'!$B$30+'Inputs'!$B$31+'Inputs'!$B$32)/1000+'Inputs'!$B$21+'Inputs'!$B$7+'Inputs'!$B$10))/SQRT((((142-43)*MAX('Inputs'!$B$33,'Inputs'!$B$29+'Inputs'!$B$31+'Inputs'!$B$32,'Inputs'!$B$30+'Inputs'!$B$31+'Inputs'!$B$32)/1000+'Inputs'!$B$21+'Inputs'!$B$7+'Inputs'!$B$10))^2+('Inputs'!$B$8/2)^2))))*'Results'!$B$8))),"")</x:f>
        <x:v>349.40376111044924</x:v>
      </x:c>
      <x:c r="L142" t="n">
        <x:f>IF(AND(ISNUMBER('Results'!B7),ISNUMBER('Results'!C7),ISNUMBER('Results'!$B$8),ISNUMBER('Inputs'!$B$6),ISNUMBER('Inputs'!$B$7),ISNUMBER('Inputs'!$B$8),ISNUMBER('Inputs'!$B$9),ISNUMBER('Inputs'!$B$10),ISNUMBER('Inputs'!$B$21),ISNUMBER('Inputs'!$B$24),ISNUMBER('Inputs'!$B$28)),((('Results'!B7*(1+'Inputs'!$B$24)*(0.5*((((142-43)*MAX('Inputs'!$B$33,'Inputs'!$B$29+'Inputs'!$B$31+'Inputs'!$B$32,'Inputs'!$B$30+'Inputs'!$B$31+'Inputs'!$B$32)/1000+'Inputs'!$B$21)+'Inputs'!$B$7)/SQRT((((142-43)*MAX('Inputs'!$B$33,'Inputs'!$B$29+'Inputs'!$B$31+'Inputs'!$B$32,'Inputs'!$B$30+'Inputs'!$B$31+'Inputs'!$B$32)/1000+'Inputs'!$B$21)+'Inputs'!$B$7)^2+('Inputs'!$B$6/2)^2)-(((142-43)*MAX('Inputs'!$B$33,'Inputs'!$B$29+'Inputs'!$B$31+'Inputs'!$B$32,'Inputs'!$B$30+'Inputs'!$B$31+'Inputs'!$B$32)/1000+'Inputs'!$B$21))/SQRT((((142-43)*MAX('Inputs'!$B$33,'Inputs'!$B$29+'Inputs'!$B$31+'Inputs'!$B$32,'Inputs'!$B$30+'Inputs'!$B$31+'Inputs'!$B$32)/1000+'Inputs'!$B$21))^2+('Inputs'!$B$6/2)^2)))-'Results'!C7*(1-'Inputs'!$B$24)*(0.5*((((142-43)*MAX('Inputs'!$B$33,'Inputs'!$B$29+'Inputs'!$B$31+'Inputs'!$B$32,'Inputs'!$B$30+'Inputs'!$B$31+'Inputs'!$B$32)/1000+'Inputs'!$B$21+'Inputs'!$B$7+'Inputs'!$B$10)+'Inputs'!$B$9)/SQRT((((142-43)*MAX('Inputs'!$B$33,'Inputs'!$B$29+'Inputs'!$B$31+'Inputs'!$B$32,'Inputs'!$B$30+'Inputs'!$B$31+'Inputs'!$B$32)/1000+'Inputs'!$B$21+'Inputs'!$B$7+'Inputs'!$B$10)+'Inputs'!$B$9)^2+('Inputs'!$B$8/2)^2)-(((142-43)*MAX('Inputs'!$B$33,'Inputs'!$B$29+'Inputs'!$B$31+'Inputs'!$B$32,'Inputs'!$B$30+'Inputs'!$B$31+'Inputs'!$B$32)/1000+'Inputs'!$B$21+'Inputs'!$B$7+'Inputs'!$B$10))/SQRT((((142-43)*MAX('Inputs'!$B$33,'Inputs'!$B$29+'Inputs'!$B$31+'Inputs'!$B$32,'Inputs'!$B$30+'Inputs'!$B$31+'Inputs'!$B$32)/1000+'Inputs'!$B$21+'Inputs'!$B$7+'Inputs'!$B$10))^2+('Inputs'!$B$8/2)^2))))*'Results'!$B$8)+'Inputs'!$B$28*ABS((('Results'!B7*(1+'Inputs'!$B$24)*(0.5*((((142-43)*MAX('Inputs'!$B$33,'Inputs'!$B$29+'Inputs'!$B$31+'Inputs'!$B$32,'Inputs'!$B$30+'Inputs'!$B$31+'Inputs'!$B$32)/1000+'Inputs'!$B$21)+'Inputs'!$B$7)/SQRT((((142-43)*MAX('Inputs'!$B$33,'Inputs'!$B$29+'Inputs'!$B$31+'Inputs'!$B$32,'Inputs'!$B$30+'Inputs'!$B$31+'Inputs'!$B$32)/1000+'Inputs'!$B$21)+'Inputs'!$B$7)^2+('Inputs'!$B$6/2)^2)-(((142-43)*MAX('Inputs'!$B$33,'Inputs'!$B$29+'Inputs'!$B$31+'Inputs'!$B$32,'Inputs'!$B$30+'Inputs'!$B$31+'Inputs'!$B$32)/1000+'Inputs'!$B$21))/SQRT((((142-43)*MAX('Inputs'!$B$33,'Inputs'!$B$29+'Inputs'!$B$31+'Inputs'!$B$32,'Inputs'!$B$30+'Inputs'!$B$31+'Inputs'!$B$32)/1000+'Inputs'!$B$21))^2+('Inputs'!$B$6/2)^2)))-'Results'!C7*(1-'Inputs'!$B$24)*(0.5*((((142-43)*MAX('Inputs'!$B$33,'Inputs'!$B$29+'Inputs'!$B$31+'Inputs'!$B$32,'Inputs'!$B$30+'Inputs'!$B$31+'Inputs'!$B$32)/1000+'Inputs'!$B$21+'Inputs'!$B$7+'Inputs'!$B$10)+'Inputs'!$B$9)/SQRT((((142-43)*MAX('Inputs'!$B$33,'Inputs'!$B$29+'Inputs'!$B$31+'Inputs'!$B$32,'Inputs'!$B$30+'Inputs'!$B$31+'Inputs'!$B$32)/1000+'Inputs'!$B$21+'Inputs'!$B$7+'Inputs'!$B$10)+'Inputs'!$B$9)^2+('Inputs'!$B$8/2)^2)-(((142-43)*MAX('Inputs'!$B$33,'Inputs'!$B$29+'Inputs'!$B$31+'Inputs'!$B$32,'Inputs'!$B$30+'Inputs'!$B$31+'Inputs'!$B$32)/1000+'Inputs'!$B$21+'Inputs'!$B$7+'Inputs'!$B$10))/SQRT((((142-43)*MAX('Inputs'!$B$33,'Inputs'!$B$29+'Inputs'!$B$31+'Inputs'!$B$32,'Inputs'!$B$30+'Inputs'!$B$31+'Inputs'!$B$32)/1000+'Inputs'!$B$21+'Inputs'!$B$7+'Inputs'!$B$10))^2+('Inputs'!$B$8/2)^2))))*'Results'!$B$8))),"")</x:f>
        <x:v>409.47943094610144</x:v>
      </x:c>
      <x:c r="M142" t="n">
        <x:f>IF(AND(ISNUMBER('Results'!C7),ISNUMBER('Results'!B7),ISNUMBER('Results'!$B$8),ISNUMBER('Inputs'!$B$6),ISNUMBER('Inputs'!$B$7),ISNUMBER('Inputs'!$B$8),ISNUMBER('Inputs'!$B$9),ISNUMBER('Inputs'!$B$10),ISNUMBER('Inputs'!$B$21),ISNUMBER('Inputs'!$B$24),ISNUMBER('Inputs'!$B$28)),(('Results'!C7*(0.5*((((142-43)*MAX('Inputs'!$B$33,'Inputs'!$B$29+'Inputs'!$B$31+'Inputs'!$B$32,'Inputs'!$B$30+'Inputs'!$B$31+'Inputs'!$B$32)/1000+'Inputs'!$B$21)+'Inputs'!$B$9)/SQRT((((142-43)*MAX('Inputs'!$B$33,'Inputs'!$B$29+'Inputs'!$B$31+'Inputs'!$B$32,'Inputs'!$B$30+'Inputs'!$B$31+'Inputs'!$B$32)/1000+'Inputs'!$B$21)+'Inputs'!$B$9)^2+('Inputs'!$B$8/2)^2)-(((142-43)*MAX('Inputs'!$B$33,'Inputs'!$B$29+'Inputs'!$B$31+'Inputs'!$B$32,'Inputs'!$B$30+'Inputs'!$B$31+'Inputs'!$B$32)/1000+'Inputs'!$B$21))/SQRT((((142-43)*MAX('Inputs'!$B$33,'Inputs'!$B$29+'Inputs'!$B$31+'Inputs'!$B$32,'Inputs'!$B$30+'Inputs'!$B$31+'Inputs'!$B$32)/1000+'Inputs'!$B$21))^2+('Inputs'!$B$8/2)^2)))-'Results'!B7*(0.5*((((142-43)*MAX('Inputs'!$B$33,'Inputs'!$B$29+'Inputs'!$B$31+'Inputs'!$B$32,'Inputs'!$B$30+'Inputs'!$B$31+'Inputs'!$B$32)/1000+'Inputs'!$B$21+'Inputs'!$B$9+'Inputs'!$B$10)+'Inputs'!$B$7)/SQRT((((142-43)*MAX('Inputs'!$B$33,'Inputs'!$B$29+'Inputs'!$B$31+'Inputs'!$B$32,'Inputs'!$B$30+'Inputs'!$B$31+'Inputs'!$B$32)/1000+'Inputs'!$B$21+'Inputs'!$B$9+'Inputs'!$B$10)+'Inputs'!$B$7)^2+('Inputs'!$B$6/2)^2)-(((142-43)*MAX('Inputs'!$B$33,'Inputs'!$B$29+'Inputs'!$B$31+'Inputs'!$B$32,'Inputs'!$B$30+'Inputs'!$B$31+'Inputs'!$B$32)/1000+'Inputs'!$B$21+'Inputs'!$B$9+'Inputs'!$B$10))/SQRT((((142-43)*MAX('Inputs'!$B$33,'Inputs'!$B$29+'Inputs'!$B$31+'Inputs'!$B$32,'Inputs'!$B$30+'Inputs'!$B$31+'Inputs'!$B$32)/1000+'Inputs'!$B$21+'Inputs'!$B$9+'Inputs'!$B$10))^2+('Inputs'!$B$6/2)^2))))*'Results'!$B$8),"")</x:f>
        <x:v>367.7575577436904</x:v>
      </x:c>
      <x:c r="N142" t="n">
        <x:f>IF(AND(ISNUMBER('Results'!C7),ISNUMBER('Results'!B7),ISNUMBER('Results'!$B$8),ISNUMBER('Inputs'!$B$6),ISNUMBER('Inputs'!$B$7),ISNUMBER('Inputs'!$B$8),ISNUMBER('Inputs'!$B$9),ISNUMBER('Inputs'!$B$10),ISNUMBER('Inputs'!$B$21),ISNUMBER('Inputs'!$B$24),ISNUMBER('Inputs'!$B$28)),((('Results'!C7*(1-'Inputs'!$B$24)*(0.5*((((142-43)*MAX('Inputs'!$B$33,'Inputs'!$B$29+'Inputs'!$B$31+'Inputs'!$B$32,'Inputs'!$B$30+'Inputs'!$B$31+'Inputs'!$B$32)/1000+'Inputs'!$B$21)+'Inputs'!$B$9)/SQRT((((142-43)*MAX('Inputs'!$B$33,'Inputs'!$B$29+'Inputs'!$B$31+'Inputs'!$B$32,'Inputs'!$B$30+'Inputs'!$B$31+'Inputs'!$B$32)/1000+'Inputs'!$B$21)+'Inputs'!$B$9)^2+('Inputs'!$B$8/2)^2)-(((142-43)*MAX('Inputs'!$B$33,'Inputs'!$B$29+'Inputs'!$B$31+'Inputs'!$B$32,'Inputs'!$B$30+'Inputs'!$B$31+'Inputs'!$B$32)/1000+'Inputs'!$B$21))/SQRT((((142-43)*MAX('Inputs'!$B$33,'Inputs'!$B$29+'Inputs'!$B$31+'Inputs'!$B$32,'Inputs'!$B$30+'Inputs'!$B$31+'Inputs'!$B$32)/1000+'Inputs'!$B$21))^2+('Inputs'!$B$8/2)^2)))-'Results'!B7*(1+'Inputs'!$B$24)*(0.5*((((142-43)*MAX('Inputs'!$B$33,'Inputs'!$B$29+'Inputs'!$B$31+'Inputs'!$B$32,'Inputs'!$B$30+'Inputs'!$B$31+'Inputs'!$B$32)/1000+'Inputs'!$B$21+'Inputs'!$B$9+'Inputs'!$B$10)+'Inputs'!$B$7)/SQRT((((142-43)*MAX('Inputs'!$B$33,'Inputs'!$B$29+'Inputs'!$B$31+'Inputs'!$B$32,'Inputs'!$B$30+'Inputs'!$B$31+'Inputs'!$B$32)/1000+'Inputs'!$B$21+'Inputs'!$B$9+'Inputs'!$B$10)+'Inputs'!$B$7)^2+('Inputs'!$B$6/2)^2)-(((142-43)*MAX('Inputs'!$B$33,'Inputs'!$B$29+'Inputs'!$B$31+'Inputs'!$B$32,'Inputs'!$B$30+'Inputs'!$B$31+'Inputs'!$B$32)/1000+'Inputs'!$B$21+'Inputs'!$B$9+'Inputs'!$B$10))/SQRT((((142-43)*MAX('Inputs'!$B$33,'Inputs'!$B$29+'Inputs'!$B$31+'Inputs'!$B$32,'Inputs'!$B$30+'Inputs'!$B$31+'Inputs'!$B$32)/1000+'Inputs'!$B$21+'Inputs'!$B$9+'Inputs'!$B$10))^2+('Inputs'!$B$6/2)^2))))*'Results'!$B$8)-'Inputs'!$B$28*ABS((('Results'!C7*(1-'Inputs'!$B$24)*(0.5*((((142-43)*MAX('Inputs'!$B$33,'Inputs'!$B$29+'Inputs'!$B$31+'Inputs'!$B$32,'Inputs'!$B$30+'Inputs'!$B$31+'Inputs'!$B$32)/1000+'Inputs'!$B$21)+'Inputs'!$B$9)/SQRT((((142-43)*MAX('Inputs'!$B$33,'Inputs'!$B$29+'Inputs'!$B$31+'Inputs'!$B$32,'Inputs'!$B$30+'Inputs'!$B$31+'Inputs'!$B$32)/1000+'Inputs'!$B$21)+'Inputs'!$B$9)^2+('Inputs'!$B$8/2)^2)-(((142-43)*MAX('Inputs'!$B$33,'Inputs'!$B$29+'Inputs'!$B$31+'Inputs'!$B$32,'Inputs'!$B$30+'Inputs'!$B$31+'Inputs'!$B$32)/1000+'Inputs'!$B$21))/SQRT((((142-43)*MAX('Inputs'!$B$33,'Inputs'!$B$29+'Inputs'!$B$31+'Inputs'!$B$32,'Inputs'!$B$30+'Inputs'!$B$31+'Inputs'!$B$32)/1000+'Inputs'!$B$21))^2+('Inputs'!$B$8/2)^2)))-'Results'!B7*(1+'Inputs'!$B$24)*(0.5*((((142-43)*MAX('Inputs'!$B$33,'Inputs'!$B$29+'Inputs'!$B$31+'Inputs'!$B$32,'Inputs'!$B$30+'Inputs'!$B$31+'Inputs'!$B$32)/1000+'Inputs'!$B$21+'Inputs'!$B$9+'Inputs'!$B$10)+'Inputs'!$B$7)/SQRT((((142-43)*MAX('Inputs'!$B$33,'Inputs'!$B$29+'Inputs'!$B$31+'Inputs'!$B$32,'Inputs'!$B$30+'Inputs'!$B$31+'Inputs'!$B$32)/1000+'Inputs'!$B$21+'Inputs'!$B$9+'Inputs'!$B$10)+'Inputs'!$B$7)^2+('Inputs'!$B$6/2)^2)-(((142-43)*MAX('Inputs'!$B$33,'Inputs'!$B$29+'Inputs'!$B$31+'Inputs'!$B$32,'Inputs'!$B$30+'Inputs'!$B$31+'Inputs'!$B$32)/1000+'Inputs'!$B$21+'Inputs'!$B$9+'Inputs'!$B$10))/SQRT((((142-43)*MAX('Inputs'!$B$33,'Inputs'!$B$29+'Inputs'!$B$31+'Inputs'!$B$32,'Inputs'!$B$30+'Inputs'!$B$31+'Inputs'!$B$32)/1000+'Inputs'!$B$21+'Inputs'!$B$9+'Inputs'!$B$10))^2+('Inputs'!$B$6/2)^2))))*'Results'!$B$8))),"")</x:f>
        <x:v>338.9741608650466</x:v>
      </x:c>
      <x:c r="O142" t="n">
        <x:f>IF(AND(ISNUMBER('Results'!C7),ISNUMBER('Results'!B7),ISNUMBER('Results'!$B$8),ISNUMBER('Inputs'!$B$6),ISNUMBER('Inputs'!$B$7),ISNUMBER('Inputs'!$B$8),ISNUMBER('Inputs'!$B$9),ISNUMBER('Inputs'!$B$10),ISNUMBER('Inputs'!$B$21),ISNUMBER('Inputs'!$B$24),ISNUMBER('Inputs'!$B$28)),((('Results'!C7*(1+'Inputs'!$B$24)*(0.5*((((142-43)*MAX('Inputs'!$B$33,'Inputs'!$B$29+'Inputs'!$B$31+'Inputs'!$B$32,'Inputs'!$B$30+'Inputs'!$B$31+'Inputs'!$B$32)/1000+'Inputs'!$B$21)+'Inputs'!$B$9)/SQRT((((142-43)*MAX('Inputs'!$B$33,'Inputs'!$B$29+'Inputs'!$B$31+'Inputs'!$B$32,'Inputs'!$B$30+'Inputs'!$B$31+'Inputs'!$B$32)/1000+'Inputs'!$B$21)+'Inputs'!$B$9)^2+('Inputs'!$B$8/2)^2)-(((142-43)*MAX('Inputs'!$B$33,'Inputs'!$B$29+'Inputs'!$B$31+'Inputs'!$B$32,'Inputs'!$B$30+'Inputs'!$B$31+'Inputs'!$B$32)/1000+'Inputs'!$B$21))/SQRT((((142-43)*MAX('Inputs'!$B$33,'Inputs'!$B$29+'Inputs'!$B$31+'Inputs'!$B$32,'Inputs'!$B$30+'Inputs'!$B$31+'Inputs'!$B$32)/1000+'Inputs'!$B$21))^2+('Inputs'!$B$8/2)^2)))-'Results'!B7*(1-'Inputs'!$B$24)*(0.5*((((142-43)*MAX('Inputs'!$B$33,'Inputs'!$B$29+'Inputs'!$B$31+'Inputs'!$B$32,'Inputs'!$B$30+'Inputs'!$B$31+'Inputs'!$B$32)/1000+'Inputs'!$B$21+'Inputs'!$B$9+'Inputs'!$B$10)+'Inputs'!$B$7)/SQRT((((142-43)*MAX('Inputs'!$B$33,'Inputs'!$B$29+'Inputs'!$B$31+'Inputs'!$B$32,'Inputs'!$B$30+'Inputs'!$B$31+'Inputs'!$B$32)/1000+'Inputs'!$B$21+'Inputs'!$B$9+'Inputs'!$B$10)+'Inputs'!$B$7)^2+('Inputs'!$B$6/2)^2)-(((142-43)*MAX('Inputs'!$B$33,'Inputs'!$B$29+'Inputs'!$B$31+'Inputs'!$B$32,'Inputs'!$B$30+'Inputs'!$B$31+'Inputs'!$B$32)/1000+'Inputs'!$B$21+'Inputs'!$B$9+'Inputs'!$B$10))/SQRT((((142-43)*MAX('Inputs'!$B$33,'Inputs'!$B$29+'Inputs'!$B$31+'Inputs'!$B$32,'Inputs'!$B$30+'Inputs'!$B$31+'Inputs'!$B$32)/1000+'Inputs'!$B$21+'Inputs'!$B$9+'Inputs'!$B$10))^2+('Inputs'!$B$6/2)^2))))*'Results'!$B$8)+'Inputs'!$B$28*ABS((('Results'!C7*(1+'Inputs'!$B$24)*(0.5*((((142-43)*MAX('Inputs'!$B$33,'Inputs'!$B$29+'Inputs'!$B$31+'Inputs'!$B$32,'Inputs'!$B$30+'Inputs'!$B$31+'Inputs'!$B$32)/1000+'Inputs'!$B$21)+'Inputs'!$B$9)/SQRT((((142-43)*MAX('Inputs'!$B$33,'Inputs'!$B$29+'Inputs'!$B$31+'Inputs'!$B$32,'Inputs'!$B$30+'Inputs'!$B$31+'Inputs'!$B$32)/1000+'Inputs'!$B$21)+'Inputs'!$B$9)^2+('Inputs'!$B$8/2)^2)-(((142-43)*MAX('Inputs'!$B$33,'Inputs'!$B$29+'Inputs'!$B$31+'Inputs'!$B$32,'Inputs'!$B$30+'Inputs'!$B$31+'Inputs'!$B$32)/1000+'Inputs'!$B$21))/SQRT((((142-43)*MAX('Inputs'!$B$33,'Inputs'!$B$29+'Inputs'!$B$31+'Inputs'!$B$32,'Inputs'!$B$30+'Inputs'!$B$31+'Inputs'!$B$32)/1000+'Inputs'!$B$21))^2+('Inputs'!$B$8/2)^2)))-'Results'!B7*(1-'Inputs'!$B$24)*(0.5*((((142-43)*MAX('Inputs'!$B$33,'Inputs'!$B$29+'Inputs'!$B$31+'Inputs'!$B$32,'Inputs'!$B$30+'Inputs'!$B$31+'Inputs'!$B$32)/1000+'Inputs'!$B$21+'Inputs'!$B$9+'Inputs'!$B$10)+'Inputs'!$B$7)/SQRT((((142-43)*MAX('Inputs'!$B$33,'Inputs'!$B$29+'Inputs'!$B$31+'Inputs'!$B$32,'Inputs'!$B$30+'Inputs'!$B$31+'Inputs'!$B$32)/1000+'Inputs'!$B$21+'Inputs'!$B$9+'Inputs'!$B$10)+'Inputs'!$B$7)^2+('Inputs'!$B$6/2)^2)-(((142-43)*MAX('Inputs'!$B$33,'Inputs'!$B$29+'Inputs'!$B$31+'Inputs'!$B$32,'Inputs'!$B$30+'Inputs'!$B$31+'Inputs'!$B$32)/1000+'Inputs'!$B$21+'Inputs'!$B$9+'Inputs'!$B$10))/SQRT((((142-43)*MAX('Inputs'!$B$33,'Inputs'!$B$29+'Inputs'!$B$31+'Inputs'!$B$32,'Inputs'!$B$30+'Inputs'!$B$31+'Inputs'!$B$32)/1000+'Inputs'!$B$21+'Inputs'!$B$9+'Inputs'!$B$10))^2+('Inputs'!$B$6/2)^2))))*'Results'!$B$8))),"")</x:f>
        <x:v>397.63521977932993</x:v>
      </x:c>
      <x:c r="P142" t="n">
        <x:f>IF(AND(MAX(J142,J141)&gt;0,J142&gt;J141+0.00000001),1,0)</x:f>
        <x:v>0</x:v>
      </x:c>
      <x:c r="Q142" t="n">
        <x:f>IF(AND(MAX(K142,K141)&gt;0,K142&gt;K141+0.00000001),1,0)</x:f>
        <x:v>0</x:v>
      </x:c>
      <x:c r="R142" t="n">
        <x:f>IF(AND(MAX(L142,L141)&gt;0,L142&gt;L141+0.00000001),1,0)</x:f>
        <x:v>0</x:v>
      </x:c>
      <x:c r="S142" t="n">
        <x:f>IF(AND(MAX(M142,M141)&gt;0,M142&gt;M141+0.00000001),1,0)</x:f>
        <x:v>0</x:v>
      </x:c>
      <x:c r="T142" t="n">
        <x:f>IF(AND(MAX(N142,N141)&gt;0,N142&gt;N141+0.00000001),1,0)</x:f>
        <x:v>0</x:v>
      </x:c>
      <x:c r="U142" t="n">
        <x:f>IF(AND(MAX(O142,O141)&gt;0,O142&gt;O141+0.00000001),1,0)</x:f>
        <x:v>0</x:v>
      </x:c>
    </x:row>
    <x:row r="143">
      <x:c r="J143" t="n">
        <x:f>IF(AND(ISNUMBER('Results'!B7),ISNUMBER('Results'!C7),ISNUMBER('Results'!$B$8),ISNUMBER('Inputs'!$B$6),ISNUMBER('Inputs'!$B$7),ISNUMBER('Inputs'!$B$8),ISNUMBER('Inputs'!$B$9),ISNUMBER('Inputs'!$B$10),ISNUMBER('Inputs'!$B$21),ISNUMBER('Inputs'!$B$24),ISNUMBER('Inputs'!$B$28)),(('Results'!B7*(0.5*((((143-43)*MAX('Inputs'!$B$33,'Inputs'!$B$29+'Inputs'!$B$31+'Inputs'!$B$32,'Inputs'!$B$30+'Inputs'!$B$31+'Inputs'!$B$32)/1000+'Inputs'!$B$21)+'Inputs'!$B$7)/SQRT((((143-43)*MAX('Inputs'!$B$33,'Inputs'!$B$29+'Inputs'!$B$31+'Inputs'!$B$32,'Inputs'!$B$30+'Inputs'!$B$31+'Inputs'!$B$32)/1000+'Inputs'!$B$21)+'Inputs'!$B$7)^2+('Inputs'!$B$6/2)^2)-(((143-43)*MAX('Inputs'!$B$33,'Inputs'!$B$29+'Inputs'!$B$31+'Inputs'!$B$32,'Inputs'!$B$30+'Inputs'!$B$31+'Inputs'!$B$32)/1000+'Inputs'!$B$21))/SQRT((((143-43)*MAX('Inputs'!$B$33,'Inputs'!$B$29+'Inputs'!$B$31+'Inputs'!$B$32,'Inputs'!$B$30+'Inputs'!$B$31+'Inputs'!$B$32)/1000+'Inputs'!$B$21))^2+('Inputs'!$B$6/2)^2)))-'Results'!C7*(0.5*((((143-43)*MAX('Inputs'!$B$33,'Inputs'!$B$29+'Inputs'!$B$31+'Inputs'!$B$32,'Inputs'!$B$30+'Inputs'!$B$31+'Inputs'!$B$32)/1000+'Inputs'!$B$21+'Inputs'!$B$7+'Inputs'!$B$10)+'Inputs'!$B$9)/SQRT((((143-43)*MAX('Inputs'!$B$33,'Inputs'!$B$29+'Inputs'!$B$31+'Inputs'!$B$32,'Inputs'!$B$30+'Inputs'!$B$31+'Inputs'!$B$32)/1000+'Inputs'!$B$21+'Inputs'!$B$7+'Inputs'!$B$10)+'Inputs'!$B$9)^2+('Inputs'!$B$8/2)^2)-(((143-43)*MAX('Inputs'!$B$33,'Inputs'!$B$29+'Inputs'!$B$31+'Inputs'!$B$32,'Inputs'!$B$30+'Inputs'!$B$31+'Inputs'!$B$32)/1000+'Inputs'!$B$21+'Inputs'!$B$7+'Inputs'!$B$10))/SQRT((((143-43)*MAX('Inputs'!$B$33,'Inputs'!$B$29+'Inputs'!$B$31+'Inputs'!$B$32,'Inputs'!$B$30+'Inputs'!$B$31+'Inputs'!$B$32)/1000+'Inputs'!$B$21+'Inputs'!$B$7+'Inputs'!$B$10))^2+('Inputs'!$B$8/2)^2))))*'Results'!$B$8),"")</x:f>
        <x:v>371.78824034396723</x:v>
      </x:c>
      <x:c r="K143" t="n">
        <x:f>IF(AND(ISNUMBER('Results'!B7),ISNUMBER('Results'!C7),ISNUMBER('Results'!$B$8),ISNUMBER('Inputs'!$B$6),ISNUMBER('Inputs'!$B$7),ISNUMBER('Inputs'!$B$8),ISNUMBER('Inputs'!$B$9),ISNUMBER('Inputs'!$B$10),ISNUMBER('Inputs'!$B$21),ISNUMBER('Inputs'!$B$24),ISNUMBER('Inputs'!$B$28)),((('Results'!B7*(1-'Inputs'!$B$24)*(0.5*((((143-43)*MAX('Inputs'!$B$33,'Inputs'!$B$29+'Inputs'!$B$31+'Inputs'!$B$32,'Inputs'!$B$30+'Inputs'!$B$31+'Inputs'!$B$32)/1000+'Inputs'!$B$21)+'Inputs'!$B$7)/SQRT((((143-43)*MAX('Inputs'!$B$33,'Inputs'!$B$29+'Inputs'!$B$31+'Inputs'!$B$32,'Inputs'!$B$30+'Inputs'!$B$31+'Inputs'!$B$32)/1000+'Inputs'!$B$21)+'Inputs'!$B$7)^2+('Inputs'!$B$6/2)^2)-(((143-43)*MAX('Inputs'!$B$33,'Inputs'!$B$29+'Inputs'!$B$31+'Inputs'!$B$32,'Inputs'!$B$30+'Inputs'!$B$31+'Inputs'!$B$32)/1000+'Inputs'!$B$21))/SQRT((((143-43)*MAX('Inputs'!$B$33,'Inputs'!$B$29+'Inputs'!$B$31+'Inputs'!$B$32,'Inputs'!$B$30+'Inputs'!$B$31+'Inputs'!$B$32)/1000+'Inputs'!$B$21))^2+('Inputs'!$B$6/2)^2)))-'Results'!C7*(1+'Inputs'!$B$24)*(0.5*((((143-43)*MAX('Inputs'!$B$33,'Inputs'!$B$29+'Inputs'!$B$31+'Inputs'!$B$32,'Inputs'!$B$30+'Inputs'!$B$31+'Inputs'!$B$32)/1000+'Inputs'!$B$21+'Inputs'!$B$7+'Inputs'!$B$10)+'Inputs'!$B$9)/SQRT((((143-43)*MAX('Inputs'!$B$33,'Inputs'!$B$29+'Inputs'!$B$31+'Inputs'!$B$32,'Inputs'!$B$30+'Inputs'!$B$31+'Inputs'!$B$32)/1000+'Inputs'!$B$21+'Inputs'!$B$7+'Inputs'!$B$10)+'Inputs'!$B$9)^2+('Inputs'!$B$8/2)^2)-(((143-43)*MAX('Inputs'!$B$33,'Inputs'!$B$29+'Inputs'!$B$31+'Inputs'!$B$32,'Inputs'!$B$30+'Inputs'!$B$31+'Inputs'!$B$32)/1000+'Inputs'!$B$21+'Inputs'!$B$7+'Inputs'!$B$10))/SQRT((((143-43)*MAX('Inputs'!$B$33,'Inputs'!$B$29+'Inputs'!$B$31+'Inputs'!$B$32,'Inputs'!$B$30+'Inputs'!$B$31+'Inputs'!$B$32)/1000+'Inputs'!$B$21+'Inputs'!$B$7+'Inputs'!$B$10))^2+('Inputs'!$B$8/2)^2))))*'Results'!$B$8)-'Inputs'!$B$28*ABS((('Results'!B7*(1-'Inputs'!$B$24)*(0.5*((((143-43)*MAX('Inputs'!$B$33,'Inputs'!$B$29+'Inputs'!$B$31+'Inputs'!$B$32,'Inputs'!$B$30+'Inputs'!$B$31+'Inputs'!$B$32)/1000+'Inputs'!$B$21)+'Inputs'!$B$7)/SQRT((((143-43)*MAX('Inputs'!$B$33,'Inputs'!$B$29+'Inputs'!$B$31+'Inputs'!$B$32,'Inputs'!$B$30+'Inputs'!$B$31+'Inputs'!$B$32)/1000+'Inputs'!$B$21)+'Inputs'!$B$7)^2+('Inputs'!$B$6/2)^2)-(((143-43)*MAX('Inputs'!$B$33,'Inputs'!$B$29+'Inputs'!$B$31+'Inputs'!$B$32,'Inputs'!$B$30+'Inputs'!$B$31+'Inputs'!$B$32)/1000+'Inputs'!$B$21))/SQRT((((143-43)*MAX('Inputs'!$B$33,'Inputs'!$B$29+'Inputs'!$B$31+'Inputs'!$B$32,'Inputs'!$B$30+'Inputs'!$B$31+'Inputs'!$B$32)/1000+'Inputs'!$B$21))^2+('Inputs'!$B$6/2)^2)))-'Results'!C7*(1+'Inputs'!$B$24)*(0.5*((((143-43)*MAX('Inputs'!$B$33,'Inputs'!$B$29+'Inputs'!$B$31+'Inputs'!$B$32,'Inputs'!$B$30+'Inputs'!$B$31+'Inputs'!$B$32)/1000+'Inputs'!$B$21+'Inputs'!$B$7+'Inputs'!$B$10)+'Inputs'!$B$9)/SQRT((((143-43)*MAX('Inputs'!$B$33,'Inputs'!$B$29+'Inputs'!$B$31+'Inputs'!$B$32,'Inputs'!$B$30+'Inputs'!$B$31+'Inputs'!$B$32)/1000+'Inputs'!$B$21+'Inputs'!$B$7+'Inputs'!$B$10)+'Inputs'!$B$9)^2+('Inputs'!$B$8/2)^2)-(((143-43)*MAX('Inputs'!$B$33,'Inputs'!$B$29+'Inputs'!$B$31+'Inputs'!$B$32,'Inputs'!$B$30+'Inputs'!$B$31+'Inputs'!$B$32)/1000+'Inputs'!$B$21+'Inputs'!$B$7+'Inputs'!$B$10))/SQRT((((143-43)*MAX('Inputs'!$B$33,'Inputs'!$B$29+'Inputs'!$B$31+'Inputs'!$B$32,'Inputs'!$B$30+'Inputs'!$B$31+'Inputs'!$B$32)/1000+'Inputs'!$B$21+'Inputs'!$B$7+'Inputs'!$B$10))^2+('Inputs'!$B$8/2)^2))))*'Results'!$B$8))),"")</x:f>
        <x:v>342.8333090945281</x:v>
      </x:c>
      <x:c r="L143" t="n">
        <x:f>IF(AND(ISNUMBER('Results'!B7),ISNUMBER('Results'!C7),ISNUMBER('Results'!$B$8),ISNUMBER('Inputs'!$B$6),ISNUMBER('Inputs'!$B$7),ISNUMBER('Inputs'!$B$8),ISNUMBER('Inputs'!$B$9),ISNUMBER('Inputs'!$B$10),ISNUMBER('Inputs'!$B$21),ISNUMBER('Inputs'!$B$24),ISNUMBER('Inputs'!$B$28)),((('Results'!B7*(1+'Inputs'!$B$24)*(0.5*((((143-43)*MAX('Inputs'!$B$33,'Inputs'!$B$29+'Inputs'!$B$31+'Inputs'!$B$32,'Inputs'!$B$30+'Inputs'!$B$31+'Inputs'!$B$32)/1000+'Inputs'!$B$21)+'Inputs'!$B$7)/SQRT((((143-43)*MAX('Inputs'!$B$33,'Inputs'!$B$29+'Inputs'!$B$31+'Inputs'!$B$32,'Inputs'!$B$30+'Inputs'!$B$31+'Inputs'!$B$32)/1000+'Inputs'!$B$21)+'Inputs'!$B$7)^2+('Inputs'!$B$6/2)^2)-(((143-43)*MAX('Inputs'!$B$33,'Inputs'!$B$29+'Inputs'!$B$31+'Inputs'!$B$32,'Inputs'!$B$30+'Inputs'!$B$31+'Inputs'!$B$32)/1000+'Inputs'!$B$21))/SQRT((((143-43)*MAX('Inputs'!$B$33,'Inputs'!$B$29+'Inputs'!$B$31+'Inputs'!$B$32,'Inputs'!$B$30+'Inputs'!$B$31+'Inputs'!$B$32)/1000+'Inputs'!$B$21))^2+('Inputs'!$B$6/2)^2)))-'Results'!C7*(1-'Inputs'!$B$24)*(0.5*((((143-43)*MAX('Inputs'!$B$33,'Inputs'!$B$29+'Inputs'!$B$31+'Inputs'!$B$32,'Inputs'!$B$30+'Inputs'!$B$31+'Inputs'!$B$32)/1000+'Inputs'!$B$21+'Inputs'!$B$7+'Inputs'!$B$10)+'Inputs'!$B$9)/SQRT((((143-43)*MAX('Inputs'!$B$33,'Inputs'!$B$29+'Inputs'!$B$31+'Inputs'!$B$32,'Inputs'!$B$30+'Inputs'!$B$31+'Inputs'!$B$32)/1000+'Inputs'!$B$21+'Inputs'!$B$7+'Inputs'!$B$10)+'Inputs'!$B$9)^2+('Inputs'!$B$8/2)^2)-(((143-43)*MAX('Inputs'!$B$33,'Inputs'!$B$29+'Inputs'!$B$31+'Inputs'!$B$32,'Inputs'!$B$30+'Inputs'!$B$31+'Inputs'!$B$32)/1000+'Inputs'!$B$21+'Inputs'!$B$7+'Inputs'!$B$10))/SQRT((((143-43)*MAX('Inputs'!$B$33,'Inputs'!$B$29+'Inputs'!$B$31+'Inputs'!$B$32,'Inputs'!$B$30+'Inputs'!$B$31+'Inputs'!$B$32)/1000+'Inputs'!$B$21+'Inputs'!$B$7+'Inputs'!$B$10))^2+('Inputs'!$B$8/2)^2))))*'Results'!$B$8)+'Inputs'!$B$28*ABS((('Results'!B7*(1+'Inputs'!$B$24)*(0.5*((((143-43)*MAX('Inputs'!$B$33,'Inputs'!$B$29+'Inputs'!$B$31+'Inputs'!$B$32,'Inputs'!$B$30+'Inputs'!$B$31+'Inputs'!$B$32)/1000+'Inputs'!$B$21)+'Inputs'!$B$7)/SQRT((((143-43)*MAX('Inputs'!$B$33,'Inputs'!$B$29+'Inputs'!$B$31+'Inputs'!$B$32,'Inputs'!$B$30+'Inputs'!$B$31+'Inputs'!$B$32)/1000+'Inputs'!$B$21)+'Inputs'!$B$7)^2+('Inputs'!$B$6/2)^2)-(((143-43)*MAX('Inputs'!$B$33,'Inputs'!$B$29+'Inputs'!$B$31+'Inputs'!$B$32,'Inputs'!$B$30+'Inputs'!$B$31+'Inputs'!$B$32)/1000+'Inputs'!$B$21))/SQRT((((143-43)*MAX('Inputs'!$B$33,'Inputs'!$B$29+'Inputs'!$B$31+'Inputs'!$B$32,'Inputs'!$B$30+'Inputs'!$B$31+'Inputs'!$B$32)/1000+'Inputs'!$B$21))^2+('Inputs'!$B$6/2)^2)))-'Results'!C7*(1-'Inputs'!$B$24)*(0.5*((((143-43)*MAX('Inputs'!$B$33,'Inputs'!$B$29+'Inputs'!$B$31+'Inputs'!$B$32,'Inputs'!$B$30+'Inputs'!$B$31+'Inputs'!$B$32)/1000+'Inputs'!$B$21+'Inputs'!$B$7+'Inputs'!$B$10)+'Inputs'!$B$9)/SQRT((((143-43)*MAX('Inputs'!$B$33,'Inputs'!$B$29+'Inputs'!$B$31+'Inputs'!$B$32,'Inputs'!$B$30+'Inputs'!$B$31+'Inputs'!$B$32)/1000+'Inputs'!$B$21+'Inputs'!$B$7+'Inputs'!$B$10)+'Inputs'!$B$9)^2+('Inputs'!$B$8/2)^2)-(((143-43)*MAX('Inputs'!$B$33,'Inputs'!$B$29+'Inputs'!$B$31+'Inputs'!$B$32,'Inputs'!$B$30+'Inputs'!$B$31+'Inputs'!$B$32)/1000+'Inputs'!$B$21+'Inputs'!$B$7+'Inputs'!$B$10))/SQRT((((143-43)*MAX('Inputs'!$B$33,'Inputs'!$B$29+'Inputs'!$B$31+'Inputs'!$B$32,'Inputs'!$B$30+'Inputs'!$B$31+'Inputs'!$B$32)/1000+'Inputs'!$B$21+'Inputs'!$B$7+'Inputs'!$B$10))^2+('Inputs'!$B$8/2)^2))))*'Results'!$B$8))),"")</x:f>
        <x:v>401.8342788810106</x:v>
      </x:c>
      <x:c r="M143" t="n">
        <x:f>IF(AND(ISNUMBER('Results'!C7),ISNUMBER('Results'!B7),ISNUMBER('Results'!$B$8),ISNUMBER('Inputs'!$B$6),ISNUMBER('Inputs'!$B$7),ISNUMBER('Inputs'!$B$8),ISNUMBER('Inputs'!$B$9),ISNUMBER('Inputs'!$B$10),ISNUMBER('Inputs'!$B$21),ISNUMBER('Inputs'!$B$24),ISNUMBER('Inputs'!$B$28)),(('Results'!C7*(0.5*((((143-43)*MAX('Inputs'!$B$33,'Inputs'!$B$29+'Inputs'!$B$31+'Inputs'!$B$32,'Inputs'!$B$30+'Inputs'!$B$31+'Inputs'!$B$32)/1000+'Inputs'!$B$21)+'Inputs'!$B$9)/SQRT((((143-43)*MAX('Inputs'!$B$33,'Inputs'!$B$29+'Inputs'!$B$31+'Inputs'!$B$32,'Inputs'!$B$30+'Inputs'!$B$31+'Inputs'!$B$32)/1000+'Inputs'!$B$21)+'Inputs'!$B$9)^2+('Inputs'!$B$8/2)^2)-(((143-43)*MAX('Inputs'!$B$33,'Inputs'!$B$29+'Inputs'!$B$31+'Inputs'!$B$32,'Inputs'!$B$30+'Inputs'!$B$31+'Inputs'!$B$32)/1000+'Inputs'!$B$21))/SQRT((((143-43)*MAX('Inputs'!$B$33,'Inputs'!$B$29+'Inputs'!$B$31+'Inputs'!$B$32,'Inputs'!$B$30+'Inputs'!$B$31+'Inputs'!$B$32)/1000+'Inputs'!$B$21))^2+('Inputs'!$B$8/2)^2)))-'Results'!B7*(0.5*((((143-43)*MAX('Inputs'!$B$33,'Inputs'!$B$29+'Inputs'!$B$31+'Inputs'!$B$32,'Inputs'!$B$30+'Inputs'!$B$31+'Inputs'!$B$32)/1000+'Inputs'!$B$21+'Inputs'!$B$9+'Inputs'!$B$10)+'Inputs'!$B$7)/SQRT((((143-43)*MAX('Inputs'!$B$33,'Inputs'!$B$29+'Inputs'!$B$31+'Inputs'!$B$32,'Inputs'!$B$30+'Inputs'!$B$31+'Inputs'!$B$32)/1000+'Inputs'!$B$21+'Inputs'!$B$9+'Inputs'!$B$10)+'Inputs'!$B$7)^2+('Inputs'!$B$6/2)^2)-(((143-43)*MAX('Inputs'!$B$33,'Inputs'!$B$29+'Inputs'!$B$31+'Inputs'!$B$32,'Inputs'!$B$30+'Inputs'!$B$31+'Inputs'!$B$32)/1000+'Inputs'!$B$21+'Inputs'!$B$9+'Inputs'!$B$10))/SQRT((((143-43)*MAX('Inputs'!$B$33,'Inputs'!$B$29+'Inputs'!$B$31+'Inputs'!$B$32,'Inputs'!$B$30+'Inputs'!$B$31+'Inputs'!$B$32)/1000+'Inputs'!$B$21+'Inputs'!$B$9+'Inputs'!$B$10))^2+('Inputs'!$B$6/2)^2))))*'Results'!$B$8),"")</x:f>
        <x:v>360.841705140688</x:v>
      </x:c>
      <x:c r="N143" t="n">
        <x:f>IF(AND(ISNUMBER('Results'!C7),ISNUMBER('Results'!B7),ISNUMBER('Results'!$B$8),ISNUMBER('Inputs'!$B$6),ISNUMBER('Inputs'!$B$7),ISNUMBER('Inputs'!$B$8),ISNUMBER('Inputs'!$B$9),ISNUMBER('Inputs'!$B$10),ISNUMBER('Inputs'!$B$21),ISNUMBER('Inputs'!$B$24),ISNUMBER('Inputs'!$B$28)),((('Results'!C7*(1-'Inputs'!$B$24)*(0.5*((((143-43)*MAX('Inputs'!$B$33,'Inputs'!$B$29+'Inputs'!$B$31+'Inputs'!$B$32,'Inputs'!$B$30+'Inputs'!$B$31+'Inputs'!$B$32)/1000+'Inputs'!$B$21)+'Inputs'!$B$9)/SQRT((((143-43)*MAX('Inputs'!$B$33,'Inputs'!$B$29+'Inputs'!$B$31+'Inputs'!$B$32,'Inputs'!$B$30+'Inputs'!$B$31+'Inputs'!$B$32)/1000+'Inputs'!$B$21)+'Inputs'!$B$9)^2+('Inputs'!$B$8/2)^2)-(((143-43)*MAX('Inputs'!$B$33,'Inputs'!$B$29+'Inputs'!$B$31+'Inputs'!$B$32,'Inputs'!$B$30+'Inputs'!$B$31+'Inputs'!$B$32)/1000+'Inputs'!$B$21))/SQRT((((143-43)*MAX('Inputs'!$B$33,'Inputs'!$B$29+'Inputs'!$B$31+'Inputs'!$B$32,'Inputs'!$B$30+'Inputs'!$B$31+'Inputs'!$B$32)/1000+'Inputs'!$B$21))^2+('Inputs'!$B$8/2)^2)))-'Results'!B7*(1+'Inputs'!$B$24)*(0.5*((((143-43)*MAX('Inputs'!$B$33,'Inputs'!$B$29+'Inputs'!$B$31+'Inputs'!$B$32,'Inputs'!$B$30+'Inputs'!$B$31+'Inputs'!$B$32)/1000+'Inputs'!$B$21+'Inputs'!$B$9+'Inputs'!$B$10)+'Inputs'!$B$7)/SQRT((((143-43)*MAX('Inputs'!$B$33,'Inputs'!$B$29+'Inputs'!$B$31+'Inputs'!$B$32,'Inputs'!$B$30+'Inputs'!$B$31+'Inputs'!$B$32)/1000+'Inputs'!$B$21+'Inputs'!$B$9+'Inputs'!$B$10)+'Inputs'!$B$7)^2+('Inputs'!$B$6/2)^2)-(((143-43)*MAX('Inputs'!$B$33,'Inputs'!$B$29+'Inputs'!$B$31+'Inputs'!$B$32,'Inputs'!$B$30+'Inputs'!$B$31+'Inputs'!$B$32)/1000+'Inputs'!$B$21+'Inputs'!$B$9+'Inputs'!$B$10))/SQRT((((143-43)*MAX('Inputs'!$B$33,'Inputs'!$B$29+'Inputs'!$B$31+'Inputs'!$B$32,'Inputs'!$B$30+'Inputs'!$B$31+'Inputs'!$B$32)/1000+'Inputs'!$B$21+'Inputs'!$B$9+'Inputs'!$B$10))^2+('Inputs'!$B$6/2)^2))))*'Results'!$B$8)-'Inputs'!$B$28*ABS((('Results'!C7*(1-'Inputs'!$B$24)*(0.5*((((143-43)*MAX('Inputs'!$B$33,'Inputs'!$B$29+'Inputs'!$B$31+'Inputs'!$B$32,'Inputs'!$B$30+'Inputs'!$B$31+'Inputs'!$B$32)/1000+'Inputs'!$B$21)+'Inputs'!$B$9)/SQRT((((143-43)*MAX('Inputs'!$B$33,'Inputs'!$B$29+'Inputs'!$B$31+'Inputs'!$B$32,'Inputs'!$B$30+'Inputs'!$B$31+'Inputs'!$B$32)/1000+'Inputs'!$B$21)+'Inputs'!$B$9)^2+('Inputs'!$B$8/2)^2)-(((143-43)*MAX('Inputs'!$B$33,'Inputs'!$B$29+'Inputs'!$B$31+'Inputs'!$B$32,'Inputs'!$B$30+'Inputs'!$B$31+'Inputs'!$B$32)/1000+'Inputs'!$B$21))/SQRT((((143-43)*MAX('Inputs'!$B$33,'Inputs'!$B$29+'Inputs'!$B$31+'Inputs'!$B$32,'Inputs'!$B$30+'Inputs'!$B$31+'Inputs'!$B$32)/1000+'Inputs'!$B$21))^2+('Inputs'!$B$8/2)^2)))-'Results'!B7*(1+'Inputs'!$B$24)*(0.5*((((143-43)*MAX('Inputs'!$B$33,'Inputs'!$B$29+'Inputs'!$B$31+'Inputs'!$B$32,'Inputs'!$B$30+'Inputs'!$B$31+'Inputs'!$B$32)/1000+'Inputs'!$B$21+'Inputs'!$B$9+'Inputs'!$B$10)+'Inputs'!$B$7)/SQRT((((143-43)*MAX('Inputs'!$B$33,'Inputs'!$B$29+'Inputs'!$B$31+'Inputs'!$B$32,'Inputs'!$B$30+'Inputs'!$B$31+'Inputs'!$B$32)/1000+'Inputs'!$B$21+'Inputs'!$B$9+'Inputs'!$B$10)+'Inputs'!$B$7)^2+('Inputs'!$B$6/2)^2)-(((143-43)*MAX('Inputs'!$B$33,'Inputs'!$B$29+'Inputs'!$B$31+'Inputs'!$B$32,'Inputs'!$B$30+'Inputs'!$B$31+'Inputs'!$B$32)/1000+'Inputs'!$B$21+'Inputs'!$B$9+'Inputs'!$B$10))/SQRT((((143-43)*MAX('Inputs'!$B$33,'Inputs'!$B$29+'Inputs'!$B$31+'Inputs'!$B$32,'Inputs'!$B$30+'Inputs'!$B$31+'Inputs'!$B$32)/1000+'Inputs'!$B$21+'Inputs'!$B$9+'Inputs'!$B$10))^2+('Inputs'!$B$6/2)^2))))*'Results'!$B$8))),"")</x:f>
        <x:v>332.57470639852596</x:v>
      </x:c>
      <x:c r="O143" t="n">
        <x:f>IF(AND(ISNUMBER('Results'!C7),ISNUMBER('Results'!B7),ISNUMBER('Results'!$B$8),ISNUMBER('Inputs'!$B$6),ISNUMBER('Inputs'!$B$7),ISNUMBER('Inputs'!$B$8),ISNUMBER('Inputs'!$B$9),ISNUMBER('Inputs'!$B$10),ISNUMBER('Inputs'!$B$21),ISNUMBER('Inputs'!$B$24),ISNUMBER('Inputs'!$B$28)),((('Results'!C7*(1+'Inputs'!$B$24)*(0.5*((((143-43)*MAX('Inputs'!$B$33,'Inputs'!$B$29+'Inputs'!$B$31+'Inputs'!$B$32,'Inputs'!$B$30+'Inputs'!$B$31+'Inputs'!$B$32)/1000+'Inputs'!$B$21)+'Inputs'!$B$9)/SQRT((((143-43)*MAX('Inputs'!$B$33,'Inputs'!$B$29+'Inputs'!$B$31+'Inputs'!$B$32,'Inputs'!$B$30+'Inputs'!$B$31+'Inputs'!$B$32)/1000+'Inputs'!$B$21)+'Inputs'!$B$9)^2+('Inputs'!$B$8/2)^2)-(((143-43)*MAX('Inputs'!$B$33,'Inputs'!$B$29+'Inputs'!$B$31+'Inputs'!$B$32,'Inputs'!$B$30+'Inputs'!$B$31+'Inputs'!$B$32)/1000+'Inputs'!$B$21))/SQRT((((143-43)*MAX('Inputs'!$B$33,'Inputs'!$B$29+'Inputs'!$B$31+'Inputs'!$B$32,'Inputs'!$B$30+'Inputs'!$B$31+'Inputs'!$B$32)/1000+'Inputs'!$B$21))^2+('Inputs'!$B$8/2)^2)))-'Results'!B7*(1-'Inputs'!$B$24)*(0.5*((((143-43)*MAX('Inputs'!$B$33,'Inputs'!$B$29+'Inputs'!$B$31+'Inputs'!$B$32,'Inputs'!$B$30+'Inputs'!$B$31+'Inputs'!$B$32)/1000+'Inputs'!$B$21+'Inputs'!$B$9+'Inputs'!$B$10)+'Inputs'!$B$7)/SQRT((((143-43)*MAX('Inputs'!$B$33,'Inputs'!$B$29+'Inputs'!$B$31+'Inputs'!$B$32,'Inputs'!$B$30+'Inputs'!$B$31+'Inputs'!$B$32)/1000+'Inputs'!$B$21+'Inputs'!$B$9+'Inputs'!$B$10)+'Inputs'!$B$7)^2+('Inputs'!$B$6/2)^2)-(((143-43)*MAX('Inputs'!$B$33,'Inputs'!$B$29+'Inputs'!$B$31+'Inputs'!$B$32,'Inputs'!$B$30+'Inputs'!$B$31+'Inputs'!$B$32)/1000+'Inputs'!$B$21+'Inputs'!$B$9+'Inputs'!$B$10))/SQRT((((143-43)*MAX('Inputs'!$B$33,'Inputs'!$B$29+'Inputs'!$B$31+'Inputs'!$B$32,'Inputs'!$B$30+'Inputs'!$B$31+'Inputs'!$B$32)/1000+'Inputs'!$B$21+'Inputs'!$B$9+'Inputs'!$B$10))^2+('Inputs'!$B$6/2)^2))))*'Results'!$B$8)+'Inputs'!$B$28*ABS((('Results'!C7*(1+'Inputs'!$B$24)*(0.5*((((143-43)*MAX('Inputs'!$B$33,'Inputs'!$B$29+'Inputs'!$B$31+'Inputs'!$B$32,'Inputs'!$B$30+'Inputs'!$B$31+'Inputs'!$B$32)/1000+'Inputs'!$B$21)+'Inputs'!$B$9)/SQRT((((143-43)*MAX('Inputs'!$B$33,'Inputs'!$B$29+'Inputs'!$B$31+'Inputs'!$B$32,'Inputs'!$B$30+'Inputs'!$B$31+'Inputs'!$B$32)/1000+'Inputs'!$B$21)+'Inputs'!$B$9)^2+('Inputs'!$B$8/2)^2)-(((143-43)*MAX('Inputs'!$B$33,'Inputs'!$B$29+'Inputs'!$B$31+'Inputs'!$B$32,'Inputs'!$B$30+'Inputs'!$B$31+'Inputs'!$B$32)/1000+'Inputs'!$B$21))/SQRT((((143-43)*MAX('Inputs'!$B$33,'Inputs'!$B$29+'Inputs'!$B$31+'Inputs'!$B$32,'Inputs'!$B$30+'Inputs'!$B$31+'Inputs'!$B$32)/1000+'Inputs'!$B$21))^2+('Inputs'!$B$8/2)^2)))-'Results'!B7*(1-'Inputs'!$B$24)*(0.5*((((143-43)*MAX('Inputs'!$B$33,'Inputs'!$B$29+'Inputs'!$B$31+'Inputs'!$B$32,'Inputs'!$B$30+'Inputs'!$B$31+'Inputs'!$B$32)/1000+'Inputs'!$B$21+'Inputs'!$B$9+'Inputs'!$B$10)+'Inputs'!$B$7)/SQRT((((143-43)*MAX('Inputs'!$B$33,'Inputs'!$B$29+'Inputs'!$B$31+'Inputs'!$B$32,'Inputs'!$B$30+'Inputs'!$B$31+'Inputs'!$B$32)/1000+'Inputs'!$B$21+'Inputs'!$B$9+'Inputs'!$B$10)+'Inputs'!$B$7)^2+('Inputs'!$B$6/2)^2)-(((143-43)*MAX('Inputs'!$B$33,'Inputs'!$B$29+'Inputs'!$B$31+'Inputs'!$B$32,'Inputs'!$B$30+'Inputs'!$B$31+'Inputs'!$B$32)/1000+'Inputs'!$B$21+'Inputs'!$B$9+'Inputs'!$B$10))/SQRT((((143-43)*MAX('Inputs'!$B$33,'Inputs'!$B$29+'Inputs'!$B$31+'Inputs'!$B$32,'Inputs'!$B$30+'Inputs'!$B$31+'Inputs'!$B$32)/1000+'Inputs'!$B$21+'Inputs'!$B$9+'Inputs'!$B$10))^2+('Inputs'!$B$6/2)^2))))*'Results'!$B$8))),"")</x:f>
        <x:v>390.18501056549496</x:v>
      </x:c>
      <x:c r="P143" t="n">
        <x:f>IF(AND(MAX(J143,J142)&gt;0,J143&gt;J142+0.00000001),1,0)</x:f>
        <x:v>0</x:v>
      </x:c>
      <x:c r="Q143" t="n">
        <x:f>IF(AND(MAX(K143,K142)&gt;0,K143&gt;K142+0.00000001),1,0)</x:f>
        <x:v>0</x:v>
      </x:c>
      <x:c r="R143" t="n">
        <x:f>IF(AND(MAX(L143,L142)&gt;0,L143&gt;L142+0.00000001),1,0)</x:f>
        <x:v>0</x:v>
      </x:c>
      <x:c r="S143" t="n">
        <x:f>IF(AND(MAX(M143,M142)&gt;0,M143&gt;M142+0.00000001),1,0)</x:f>
        <x:v>0</x:v>
      </x:c>
      <x:c r="T143" t="n">
        <x:f>IF(AND(MAX(N143,N142)&gt;0,N143&gt;N142+0.00000001),1,0)</x:f>
        <x:v>0</x:v>
      </x:c>
      <x:c r="U143" t="n">
        <x:f>IF(AND(MAX(O143,O142)&gt;0,O143&gt;O142+0.00000001),1,0)</x:f>
        <x:v>0</x:v>
      </x:c>
    </x:row>
    <x:row r="144">
      <x:c r="J144" t="n">
        <x:f>IF(AND(ISNUMBER('Results'!B7),ISNUMBER('Results'!C7),ISNUMBER('Results'!$B$8),ISNUMBER('Inputs'!$B$6),ISNUMBER('Inputs'!$B$7),ISNUMBER('Inputs'!$B$8),ISNUMBER('Inputs'!$B$9),ISNUMBER('Inputs'!$B$10),ISNUMBER('Inputs'!$B$21),ISNUMBER('Inputs'!$B$24),ISNUMBER('Inputs'!$B$28)),(('Results'!B7*(0.5*((((144-43)*MAX('Inputs'!$B$33,'Inputs'!$B$29+'Inputs'!$B$31+'Inputs'!$B$32,'Inputs'!$B$30+'Inputs'!$B$31+'Inputs'!$B$32)/1000+'Inputs'!$B$21)+'Inputs'!$B$7)/SQRT((((144-43)*MAX('Inputs'!$B$33,'Inputs'!$B$29+'Inputs'!$B$31+'Inputs'!$B$32,'Inputs'!$B$30+'Inputs'!$B$31+'Inputs'!$B$32)/1000+'Inputs'!$B$21)+'Inputs'!$B$7)^2+('Inputs'!$B$6/2)^2)-(((144-43)*MAX('Inputs'!$B$33,'Inputs'!$B$29+'Inputs'!$B$31+'Inputs'!$B$32,'Inputs'!$B$30+'Inputs'!$B$31+'Inputs'!$B$32)/1000+'Inputs'!$B$21))/SQRT((((144-43)*MAX('Inputs'!$B$33,'Inputs'!$B$29+'Inputs'!$B$31+'Inputs'!$B$32,'Inputs'!$B$30+'Inputs'!$B$31+'Inputs'!$B$32)/1000+'Inputs'!$B$21))^2+('Inputs'!$B$6/2)^2)))-'Results'!C7*(0.5*((((144-43)*MAX('Inputs'!$B$33,'Inputs'!$B$29+'Inputs'!$B$31+'Inputs'!$B$32,'Inputs'!$B$30+'Inputs'!$B$31+'Inputs'!$B$32)/1000+'Inputs'!$B$21+'Inputs'!$B$7+'Inputs'!$B$10)+'Inputs'!$B$9)/SQRT((((144-43)*MAX('Inputs'!$B$33,'Inputs'!$B$29+'Inputs'!$B$31+'Inputs'!$B$32,'Inputs'!$B$30+'Inputs'!$B$31+'Inputs'!$B$32)/1000+'Inputs'!$B$21+'Inputs'!$B$7+'Inputs'!$B$10)+'Inputs'!$B$9)^2+('Inputs'!$B$8/2)^2)-(((144-43)*MAX('Inputs'!$B$33,'Inputs'!$B$29+'Inputs'!$B$31+'Inputs'!$B$32,'Inputs'!$B$30+'Inputs'!$B$31+'Inputs'!$B$32)/1000+'Inputs'!$B$21+'Inputs'!$B$7+'Inputs'!$B$10))/SQRT((((144-43)*MAX('Inputs'!$B$33,'Inputs'!$B$29+'Inputs'!$B$31+'Inputs'!$B$32,'Inputs'!$B$30+'Inputs'!$B$31+'Inputs'!$B$32)/1000+'Inputs'!$B$21+'Inputs'!$B$7+'Inputs'!$B$10))^2+('Inputs'!$B$8/2)^2))))*'Results'!$B$8),"")</x:f>
        <x:v>364.839809204782</x:v>
      </x:c>
      <x:c r="K144" t="n">
        <x:f>IF(AND(ISNUMBER('Results'!B7),ISNUMBER('Results'!C7),ISNUMBER('Results'!$B$8),ISNUMBER('Inputs'!$B$6),ISNUMBER('Inputs'!$B$7),ISNUMBER('Inputs'!$B$8),ISNUMBER('Inputs'!$B$9),ISNUMBER('Inputs'!$B$10),ISNUMBER('Inputs'!$B$21),ISNUMBER('Inputs'!$B$24),ISNUMBER('Inputs'!$B$28)),((('Results'!B7*(1-'Inputs'!$B$24)*(0.5*((((144-43)*MAX('Inputs'!$B$33,'Inputs'!$B$29+'Inputs'!$B$31+'Inputs'!$B$32,'Inputs'!$B$30+'Inputs'!$B$31+'Inputs'!$B$32)/1000+'Inputs'!$B$21)+'Inputs'!$B$7)/SQRT((((144-43)*MAX('Inputs'!$B$33,'Inputs'!$B$29+'Inputs'!$B$31+'Inputs'!$B$32,'Inputs'!$B$30+'Inputs'!$B$31+'Inputs'!$B$32)/1000+'Inputs'!$B$21)+'Inputs'!$B$7)^2+('Inputs'!$B$6/2)^2)-(((144-43)*MAX('Inputs'!$B$33,'Inputs'!$B$29+'Inputs'!$B$31+'Inputs'!$B$32,'Inputs'!$B$30+'Inputs'!$B$31+'Inputs'!$B$32)/1000+'Inputs'!$B$21))/SQRT((((144-43)*MAX('Inputs'!$B$33,'Inputs'!$B$29+'Inputs'!$B$31+'Inputs'!$B$32,'Inputs'!$B$30+'Inputs'!$B$31+'Inputs'!$B$32)/1000+'Inputs'!$B$21))^2+('Inputs'!$B$6/2)^2)))-'Results'!C7*(1+'Inputs'!$B$24)*(0.5*((((144-43)*MAX('Inputs'!$B$33,'Inputs'!$B$29+'Inputs'!$B$31+'Inputs'!$B$32,'Inputs'!$B$30+'Inputs'!$B$31+'Inputs'!$B$32)/1000+'Inputs'!$B$21+'Inputs'!$B$7+'Inputs'!$B$10)+'Inputs'!$B$9)/SQRT((((144-43)*MAX('Inputs'!$B$33,'Inputs'!$B$29+'Inputs'!$B$31+'Inputs'!$B$32,'Inputs'!$B$30+'Inputs'!$B$31+'Inputs'!$B$32)/1000+'Inputs'!$B$21+'Inputs'!$B$7+'Inputs'!$B$10)+'Inputs'!$B$9)^2+('Inputs'!$B$8/2)^2)-(((144-43)*MAX('Inputs'!$B$33,'Inputs'!$B$29+'Inputs'!$B$31+'Inputs'!$B$32,'Inputs'!$B$30+'Inputs'!$B$31+'Inputs'!$B$32)/1000+'Inputs'!$B$21+'Inputs'!$B$7+'Inputs'!$B$10))/SQRT((((144-43)*MAX('Inputs'!$B$33,'Inputs'!$B$29+'Inputs'!$B$31+'Inputs'!$B$32,'Inputs'!$B$30+'Inputs'!$B$31+'Inputs'!$B$32)/1000+'Inputs'!$B$21+'Inputs'!$B$7+'Inputs'!$B$10))^2+('Inputs'!$B$8/2)^2))))*'Results'!$B$8)-'Inputs'!$B$28*ABS((('Results'!B7*(1-'Inputs'!$B$24)*(0.5*((((144-43)*MAX('Inputs'!$B$33,'Inputs'!$B$29+'Inputs'!$B$31+'Inputs'!$B$32,'Inputs'!$B$30+'Inputs'!$B$31+'Inputs'!$B$32)/1000+'Inputs'!$B$21)+'Inputs'!$B$7)/SQRT((((144-43)*MAX('Inputs'!$B$33,'Inputs'!$B$29+'Inputs'!$B$31+'Inputs'!$B$32,'Inputs'!$B$30+'Inputs'!$B$31+'Inputs'!$B$32)/1000+'Inputs'!$B$21)+'Inputs'!$B$7)^2+('Inputs'!$B$6/2)^2)-(((144-43)*MAX('Inputs'!$B$33,'Inputs'!$B$29+'Inputs'!$B$31+'Inputs'!$B$32,'Inputs'!$B$30+'Inputs'!$B$31+'Inputs'!$B$32)/1000+'Inputs'!$B$21))/SQRT((((144-43)*MAX('Inputs'!$B$33,'Inputs'!$B$29+'Inputs'!$B$31+'Inputs'!$B$32,'Inputs'!$B$30+'Inputs'!$B$31+'Inputs'!$B$32)/1000+'Inputs'!$B$21))^2+('Inputs'!$B$6/2)^2)))-'Results'!C7*(1+'Inputs'!$B$24)*(0.5*((((144-43)*MAX('Inputs'!$B$33,'Inputs'!$B$29+'Inputs'!$B$31+'Inputs'!$B$32,'Inputs'!$B$30+'Inputs'!$B$31+'Inputs'!$B$32)/1000+'Inputs'!$B$21+'Inputs'!$B$7+'Inputs'!$B$10)+'Inputs'!$B$9)/SQRT((((144-43)*MAX('Inputs'!$B$33,'Inputs'!$B$29+'Inputs'!$B$31+'Inputs'!$B$32,'Inputs'!$B$30+'Inputs'!$B$31+'Inputs'!$B$32)/1000+'Inputs'!$B$21+'Inputs'!$B$7+'Inputs'!$B$10)+'Inputs'!$B$9)^2+('Inputs'!$B$8/2)^2)-(((144-43)*MAX('Inputs'!$B$33,'Inputs'!$B$29+'Inputs'!$B$31+'Inputs'!$B$32,'Inputs'!$B$30+'Inputs'!$B$31+'Inputs'!$B$32)/1000+'Inputs'!$B$21+'Inputs'!$B$7+'Inputs'!$B$10))/SQRT((((144-43)*MAX('Inputs'!$B$33,'Inputs'!$B$29+'Inputs'!$B$31+'Inputs'!$B$32,'Inputs'!$B$30+'Inputs'!$B$31+'Inputs'!$B$32)/1000+'Inputs'!$B$21+'Inputs'!$B$7+'Inputs'!$B$10))^2+('Inputs'!$B$8/2)^2))))*'Results'!$B$8))),"")</x:f>
        <x:v>336.40216908872674</x:v>
      </x:c>
      <x:c r="L144" t="n">
        <x:f>IF(AND(ISNUMBER('Results'!B7),ISNUMBER('Results'!C7),ISNUMBER('Results'!$B$8),ISNUMBER('Inputs'!$B$6),ISNUMBER('Inputs'!$B$7),ISNUMBER('Inputs'!$B$8),ISNUMBER('Inputs'!$B$9),ISNUMBER('Inputs'!$B$10),ISNUMBER('Inputs'!$B$21),ISNUMBER('Inputs'!$B$24),ISNUMBER('Inputs'!$B$28)),((('Results'!B7*(1+'Inputs'!$B$24)*(0.5*((((144-43)*MAX('Inputs'!$B$33,'Inputs'!$B$29+'Inputs'!$B$31+'Inputs'!$B$32,'Inputs'!$B$30+'Inputs'!$B$31+'Inputs'!$B$32)/1000+'Inputs'!$B$21)+'Inputs'!$B$7)/SQRT((((144-43)*MAX('Inputs'!$B$33,'Inputs'!$B$29+'Inputs'!$B$31+'Inputs'!$B$32,'Inputs'!$B$30+'Inputs'!$B$31+'Inputs'!$B$32)/1000+'Inputs'!$B$21)+'Inputs'!$B$7)^2+('Inputs'!$B$6/2)^2)-(((144-43)*MAX('Inputs'!$B$33,'Inputs'!$B$29+'Inputs'!$B$31+'Inputs'!$B$32,'Inputs'!$B$30+'Inputs'!$B$31+'Inputs'!$B$32)/1000+'Inputs'!$B$21))/SQRT((((144-43)*MAX('Inputs'!$B$33,'Inputs'!$B$29+'Inputs'!$B$31+'Inputs'!$B$32,'Inputs'!$B$30+'Inputs'!$B$31+'Inputs'!$B$32)/1000+'Inputs'!$B$21))^2+('Inputs'!$B$6/2)^2)))-'Results'!C7*(1-'Inputs'!$B$24)*(0.5*((((144-43)*MAX('Inputs'!$B$33,'Inputs'!$B$29+'Inputs'!$B$31+'Inputs'!$B$32,'Inputs'!$B$30+'Inputs'!$B$31+'Inputs'!$B$32)/1000+'Inputs'!$B$21+'Inputs'!$B$7+'Inputs'!$B$10)+'Inputs'!$B$9)/SQRT((((144-43)*MAX('Inputs'!$B$33,'Inputs'!$B$29+'Inputs'!$B$31+'Inputs'!$B$32,'Inputs'!$B$30+'Inputs'!$B$31+'Inputs'!$B$32)/1000+'Inputs'!$B$21+'Inputs'!$B$7+'Inputs'!$B$10)+'Inputs'!$B$9)^2+('Inputs'!$B$8/2)^2)-(((144-43)*MAX('Inputs'!$B$33,'Inputs'!$B$29+'Inputs'!$B$31+'Inputs'!$B$32,'Inputs'!$B$30+'Inputs'!$B$31+'Inputs'!$B$32)/1000+'Inputs'!$B$21+'Inputs'!$B$7+'Inputs'!$B$10))/SQRT((((144-43)*MAX('Inputs'!$B$33,'Inputs'!$B$29+'Inputs'!$B$31+'Inputs'!$B$32,'Inputs'!$B$30+'Inputs'!$B$31+'Inputs'!$B$32)/1000+'Inputs'!$B$21+'Inputs'!$B$7+'Inputs'!$B$10))^2+('Inputs'!$B$8/2)^2))))*'Results'!$B$8)+'Inputs'!$B$28*ABS((('Results'!B7*(1+'Inputs'!$B$24)*(0.5*((((144-43)*MAX('Inputs'!$B$33,'Inputs'!$B$29+'Inputs'!$B$31+'Inputs'!$B$32,'Inputs'!$B$30+'Inputs'!$B$31+'Inputs'!$B$32)/1000+'Inputs'!$B$21)+'Inputs'!$B$7)/SQRT((((144-43)*MAX('Inputs'!$B$33,'Inputs'!$B$29+'Inputs'!$B$31+'Inputs'!$B$32,'Inputs'!$B$30+'Inputs'!$B$31+'Inputs'!$B$32)/1000+'Inputs'!$B$21)+'Inputs'!$B$7)^2+('Inputs'!$B$6/2)^2)-(((144-43)*MAX('Inputs'!$B$33,'Inputs'!$B$29+'Inputs'!$B$31+'Inputs'!$B$32,'Inputs'!$B$30+'Inputs'!$B$31+'Inputs'!$B$32)/1000+'Inputs'!$B$21))/SQRT((((144-43)*MAX('Inputs'!$B$33,'Inputs'!$B$29+'Inputs'!$B$31+'Inputs'!$B$32,'Inputs'!$B$30+'Inputs'!$B$31+'Inputs'!$B$32)/1000+'Inputs'!$B$21))^2+('Inputs'!$B$6/2)^2)))-'Results'!C7*(1-'Inputs'!$B$24)*(0.5*((((144-43)*MAX('Inputs'!$B$33,'Inputs'!$B$29+'Inputs'!$B$31+'Inputs'!$B$32,'Inputs'!$B$30+'Inputs'!$B$31+'Inputs'!$B$32)/1000+'Inputs'!$B$21+'Inputs'!$B$7+'Inputs'!$B$10)+'Inputs'!$B$9)/SQRT((((144-43)*MAX('Inputs'!$B$33,'Inputs'!$B$29+'Inputs'!$B$31+'Inputs'!$B$32,'Inputs'!$B$30+'Inputs'!$B$31+'Inputs'!$B$32)/1000+'Inputs'!$B$21+'Inputs'!$B$7+'Inputs'!$B$10)+'Inputs'!$B$9)^2+('Inputs'!$B$8/2)^2)-(((144-43)*MAX('Inputs'!$B$33,'Inputs'!$B$29+'Inputs'!$B$31+'Inputs'!$B$32,'Inputs'!$B$30+'Inputs'!$B$31+'Inputs'!$B$32)/1000+'Inputs'!$B$21+'Inputs'!$B$7+'Inputs'!$B$10))/SQRT((((144-43)*MAX('Inputs'!$B$33,'Inputs'!$B$29+'Inputs'!$B$31+'Inputs'!$B$32,'Inputs'!$B$30+'Inputs'!$B$31+'Inputs'!$B$32)/1000+'Inputs'!$B$21+'Inputs'!$B$7+'Inputs'!$B$10))^2+('Inputs'!$B$8/2)^2))))*'Results'!$B$8))),"")</x:f>
        <x:v>394.3506756003968</x:v>
      </x:c>
      <x:c r="M144" t="n">
        <x:f>IF(AND(ISNUMBER('Results'!C7),ISNUMBER('Results'!B7),ISNUMBER('Results'!$B$8),ISNUMBER('Inputs'!$B$6),ISNUMBER('Inputs'!$B$7),ISNUMBER('Inputs'!$B$8),ISNUMBER('Inputs'!$B$9),ISNUMBER('Inputs'!$B$10),ISNUMBER('Inputs'!$B$21),ISNUMBER('Inputs'!$B$24),ISNUMBER('Inputs'!$B$28)),(('Results'!C7*(0.5*((((144-43)*MAX('Inputs'!$B$33,'Inputs'!$B$29+'Inputs'!$B$31+'Inputs'!$B$32,'Inputs'!$B$30+'Inputs'!$B$31+'Inputs'!$B$32)/1000+'Inputs'!$B$21)+'Inputs'!$B$9)/SQRT((((144-43)*MAX('Inputs'!$B$33,'Inputs'!$B$29+'Inputs'!$B$31+'Inputs'!$B$32,'Inputs'!$B$30+'Inputs'!$B$31+'Inputs'!$B$32)/1000+'Inputs'!$B$21)+'Inputs'!$B$9)^2+('Inputs'!$B$8/2)^2)-(((144-43)*MAX('Inputs'!$B$33,'Inputs'!$B$29+'Inputs'!$B$31+'Inputs'!$B$32,'Inputs'!$B$30+'Inputs'!$B$31+'Inputs'!$B$32)/1000+'Inputs'!$B$21))/SQRT((((144-43)*MAX('Inputs'!$B$33,'Inputs'!$B$29+'Inputs'!$B$31+'Inputs'!$B$32,'Inputs'!$B$30+'Inputs'!$B$31+'Inputs'!$B$32)/1000+'Inputs'!$B$21))^2+('Inputs'!$B$8/2)^2)))-'Results'!B7*(0.5*((((144-43)*MAX('Inputs'!$B$33,'Inputs'!$B$29+'Inputs'!$B$31+'Inputs'!$B$32,'Inputs'!$B$30+'Inputs'!$B$31+'Inputs'!$B$32)/1000+'Inputs'!$B$21+'Inputs'!$B$9+'Inputs'!$B$10)+'Inputs'!$B$7)/SQRT((((144-43)*MAX('Inputs'!$B$33,'Inputs'!$B$29+'Inputs'!$B$31+'Inputs'!$B$32,'Inputs'!$B$30+'Inputs'!$B$31+'Inputs'!$B$32)/1000+'Inputs'!$B$21+'Inputs'!$B$9+'Inputs'!$B$10)+'Inputs'!$B$7)^2+('Inputs'!$B$6/2)^2)-(((144-43)*MAX('Inputs'!$B$33,'Inputs'!$B$29+'Inputs'!$B$31+'Inputs'!$B$32,'Inputs'!$B$30+'Inputs'!$B$31+'Inputs'!$B$32)/1000+'Inputs'!$B$21+'Inputs'!$B$9+'Inputs'!$B$10))/SQRT((((144-43)*MAX('Inputs'!$B$33,'Inputs'!$B$29+'Inputs'!$B$31+'Inputs'!$B$32,'Inputs'!$B$30+'Inputs'!$B$31+'Inputs'!$B$32)/1000+'Inputs'!$B$21+'Inputs'!$B$9+'Inputs'!$B$10))^2+('Inputs'!$B$6/2)^2))))*'Results'!$B$8),"")</x:f>
        <x:v>354.0724906274361</x:v>
      </x:c>
      <x:c r="N144" t="n">
        <x:f>IF(AND(ISNUMBER('Results'!C7),ISNUMBER('Results'!B7),ISNUMBER('Results'!$B$8),ISNUMBER('Inputs'!$B$6),ISNUMBER('Inputs'!$B$7),ISNUMBER('Inputs'!$B$8),ISNUMBER('Inputs'!$B$9),ISNUMBER('Inputs'!$B$10),ISNUMBER('Inputs'!$B$21),ISNUMBER('Inputs'!$B$24),ISNUMBER('Inputs'!$B$28)),((('Results'!C7*(1-'Inputs'!$B$24)*(0.5*((((144-43)*MAX('Inputs'!$B$33,'Inputs'!$B$29+'Inputs'!$B$31+'Inputs'!$B$32,'Inputs'!$B$30+'Inputs'!$B$31+'Inputs'!$B$32)/1000+'Inputs'!$B$21)+'Inputs'!$B$9)/SQRT((((144-43)*MAX('Inputs'!$B$33,'Inputs'!$B$29+'Inputs'!$B$31+'Inputs'!$B$32,'Inputs'!$B$30+'Inputs'!$B$31+'Inputs'!$B$32)/1000+'Inputs'!$B$21)+'Inputs'!$B$9)^2+('Inputs'!$B$8/2)^2)-(((144-43)*MAX('Inputs'!$B$33,'Inputs'!$B$29+'Inputs'!$B$31+'Inputs'!$B$32,'Inputs'!$B$30+'Inputs'!$B$31+'Inputs'!$B$32)/1000+'Inputs'!$B$21))/SQRT((((144-43)*MAX('Inputs'!$B$33,'Inputs'!$B$29+'Inputs'!$B$31+'Inputs'!$B$32,'Inputs'!$B$30+'Inputs'!$B$31+'Inputs'!$B$32)/1000+'Inputs'!$B$21))^2+('Inputs'!$B$8/2)^2)))-'Results'!B7*(1+'Inputs'!$B$24)*(0.5*((((144-43)*MAX('Inputs'!$B$33,'Inputs'!$B$29+'Inputs'!$B$31+'Inputs'!$B$32,'Inputs'!$B$30+'Inputs'!$B$31+'Inputs'!$B$32)/1000+'Inputs'!$B$21+'Inputs'!$B$9+'Inputs'!$B$10)+'Inputs'!$B$7)/SQRT((((144-43)*MAX('Inputs'!$B$33,'Inputs'!$B$29+'Inputs'!$B$31+'Inputs'!$B$32,'Inputs'!$B$30+'Inputs'!$B$31+'Inputs'!$B$32)/1000+'Inputs'!$B$21+'Inputs'!$B$9+'Inputs'!$B$10)+'Inputs'!$B$7)^2+('Inputs'!$B$6/2)^2)-(((144-43)*MAX('Inputs'!$B$33,'Inputs'!$B$29+'Inputs'!$B$31+'Inputs'!$B$32,'Inputs'!$B$30+'Inputs'!$B$31+'Inputs'!$B$32)/1000+'Inputs'!$B$21+'Inputs'!$B$9+'Inputs'!$B$10))/SQRT((((144-43)*MAX('Inputs'!$B$33,'Inputs'!$B$29+'Inputs'!$B$31+'Inputs'!$B$32,'Inputs'!$B$30+'Inputs'!$B$31+'Inputs'!$B$32)/1000+'Inputs'!$B$21+'Inputs'!$B$9+'Inputs'!$B$10))^2+('Inputs'!$B$6/2)^2))))*'Results'!$B$8)-'Inputs'!$B$28*ABS((('Results'!C7*(1-'Inputs'!$B$24)*(0.5*((((144-43)*MAX('Inputs'!$B$33,'Inputs'!$B$29+'Inputs'!$B$31+'Inputs'!$B$32,'Inputs'!$B$30+'Inputs'!$B$31+'Inputs'!$B$32)/1000+'Inputs'!$B$21)+'Inputs'!$B$9)/SQRT((((144-43)*MAX('Inputs'!$B$33,'Inputs'!$B$29+'Inputs'!$B$31+'Inputs'!$B$32,'Inputs'!$B$30+'Inputs'!$B$31+'Inputs'!$B$32)/1000+'Inputs'!$B$21)+'Inputs'!$B$9)^2+('Inputs'!$B$8/2)^2)-(((144-43)*MAX('Inputs'!$B$33,'Inputs'!$B$29+'Inputs'!$B$31+'Inputs'!$B$32,'Inputs'!$B$30+'Inputs'!$B$31+'Inputs'!$B$32)/1000+'Inputs'!$B$21))/SQRT((((144-43)*MAX('Inputs'!$B$33,'Inputs'!$B$29+'Inputs'!$B$31+'Inputs'!$B$32,'Inputs'!$B$30+'Inputs'!$B$31+'Inputs'!$B$32)/1000+'Inputs'!$B$21))^2+('Inputs'!$B$8/2)^2)))-'Results'!B7*(1+'Inputs'!$B$24)*(0.5*((((144-43)*MAX('Inputs'!$B$33,'Inputs'!$B$29+'Inputs'!$B$31+'Inputs'!$B$32,'Inputs'!$B$30+'Inputs'!$B$31+'Inputs'!$B$32)/1000+'Inputs'!$B$21+'Inputs'!$B$9+'Inputs'!$B$10)+'Inputs'!$B$7)/SQRT((((144-43)*MAX('Inputs'!$B$33,'Inputs'!$B$29+'Inputs'!$B$31+'Inputs'!$B$32,'Inputs'!$B$30+'Inputs'!$B$31+'Inputs'!$B$32)/1000+'Inputs'!$B$21+'Inputs'!$B$9+'Inputs'!$B$10)+'Inputs'!$B$7)^2+('Inputs'!$B$6/2)^2)-(((144-43)*MAX('Inputs'!$B$33,'Inputs'!$B$29+'Inputs'!$B$31+'Inputs'!$B$32,'Inputs'!$B$30+'Inputs'!$B$31+'Inputs'!$B$32)/1000+'Inputs'!$B$21+'Inputs'!$B$9+'Inputs'!$B$10))/SQRT((((144-43)*MAX('Inputs'!$B$33,'Inputs'!$B$29+'Inputs'!$B$31+'Inputs'!$B$32,'Inputs'!$B$30+'Inputs'!$B$31+'Inputs'!$B$32)/1000+'Inputs'!$B$21+'Inputs'!$B$9+'Inputs'!$B$10))^2+('Inputs'!$B$6/2)^2))))*'Results'!$B$8))),"")</x:f>
        <x:v>326.3111895078927</x:v>
      </x:c>
      <x:c r="O144" t="n">
        <x:f>IF(AND(ISNUMBER('Results'!C7),ISNUMBER('Results'!B7),ISNUMBER('Results'!$B$8),ISNUMBER('Inputs'!$B$6),ISNUMBER('Inputs'!$B$7),ISNUMBER('Inputs'!$B$8),ISNUMBER('Inputs'!$B$9),ISNUMBER('Inputs'!$B$10),ISNUMBER('Inputs'!$B$21),ISNUMBER('Inputs'!$B$24),ISNUMBER('Inputs'!$B$28)),((('Results'!C7*(1+'Inputs'!$B$24)*(0.5*((((144-43)*MAX('Inputs'!$B$33,'Inputs'!$B$29+'Inputs'!$B$31+'Inputs'!$B$32,'Inputs'!$B$30+'Inputs'!$B$31+'Inputs'!$B$32)/1000+'Inputs'!$B$21)+'Inputs'!$B$9)/SQRT((((144-43)*MAX('Inputs'!$B$33,'Inputs'!$B$29+'Inputs'!$B$31+'Inputs'!$B$32,'Inputs'!$B$30+'Inputs'!$B$31+'Inputs'!$B$32)/1000+'Inputs'!$B$21)+'Inputs'!$B$9)^2+('Inputs'!$B$8/2)^2)-(((144-43)*MAX('Inputs'!$B$33,'Inputs'!$B$29+'Inputs'!$B$31+'Inputs'!$B$32,'Inputs'!$B$30+'Inputs'!$B$31+'Inputs'!$B$32)/1000+'Inputs'!$B$21))/SQRT((((144-43)*MAX('Inputs'!$B$33,'Inputs'!$B$29+'Inputs'!$B$31+'Inputs'!$B$32,'Inputs'!$B$30+'Inputs'!$B$31+'Inputs'!$B$32)/1000+'Inputs'!$B$21))^2+('Inputs'!$B$8/2)^2)))-'Results'!B7*(1-'Inputs'!$B$24)*(0.5*((((144-43)*MAX('Inputs'!$B$33,'Inputs'!$B$29+'Inputs'!$B$31+'Inputs'!$B$32,'Inputs'!$B$30+'Inputs'!$B$31+'Inputs'!$B$32)/1000+'Inputs'!$B$21+'Inputs'!$B$9+'Inputs'!$B$10)+'Inputs'!$B$7)/SQRT((((144-43)*MAX('Inputs'!$B$33,'Inputs'!$B$29+'Inputs'!$B$31+'Inputs'!$B$32,'Inputs'!$B$30+'Inputs'!$B$31+'Inputs'!$B$32)/1000+'Inputs'!$B$21+'Inputs'!$B$9+'Inputs'!$B$10)+'Inputs'!$B$7)^2+('Inputs'!$B$6/2)^2)-(((144-43)*MAX('Inputs'!$B$33,'Inputs'!$B$29+'Inputs'!$B$31+'Inputs'!$B$32,'Inputs'!$B$30+'Inputs'!$B$31+'Inputs'!$B$32)/1000+'Inputs'!$B$21+'Inputs'!$B$9+'Inputs'!$B$10))/SQRT((((144-43)*MAX('Inputs'!$B$33,'Inputs'!$B$29+'Inputs'!$B$31+'Inputs'!$B$32,'Inputs'!$B$30+'Inputs'!$B$31+'Inputs'!$B$32)/1000+'Inputs'!$B$21+'Inputs'!$B$9+'Inputs'!$B$10))^2+('Inputs'!$B$6/2)^2))))*'Results'!$B$8)+'Inputs'!$B$28*ABS((('Results'!C7*(1+'Inputs'!$B$24)*(0.5*((((144-43)*MAX('Inputs'!$B$33,'Inputs'!$B$29+'Inputs'!$B$31+'Inputs'!$B$32,'Inputs'!$B$30+'Inputs'!$B$31+'Inputs'!$B$32)/1000+'Inputs'!$B$21)+'Inputs'!$B$9)/SQRT((((144-43)*MAX('Inputs'!$B$33,'Inputs'!$B$29+'Inputs'!$B$31+'Inputs'!$B$32,'Inputs'!$B$30+'Inputs'!$B$31+'Inputs'!$B$32)/1000+'Inputs'!$B$21)+'Inputs'!$B$9)^2+('Inputs'!$B$8/2)^2)-(((144-43)*MAX('Inputs'!$B$33,'Inputs'!$B$29+'Inputs'!$B$31+'Inputs'!$B$32,'Inputs'!$B$30+'Inputs'!$B$31+'Inputs'!$B$32)/1000+'Inputs'!$B$21))/SQRT((((144-43)*MAX('Inputs'!$B$33,'Inputs'!$B$29+'Inputs'!$B$31+'Inputs'!$B$32,'Inputs'!$B$30+'Inputs'!$B$31+'Inputs'!$B$32)/1000+'Inputs'!$B$21))^2+('Inputs'!$B$8/2)^2)))-'Results'!B7*(1-'Inputs'!$B$24)*(0.5*((((144-43)*MAX('Inputs'!$B$33,'Inputs'!$B$29+'Inputs'!$B$31+'Inputs'!$B$32,'Inputs'!$B$30+'Inputs'!$B$31+'Inputs'!$B$32)/1000+'Inputs'!$B$21+'Inputs'!$B$9+'Inputs'!$B$10)+'Inputs'!$B$7)/SQRT((((144-43)*MAX('Inputs'!$B$33,'Inputs'!$B$29+'Inputs'!$B$31+'Inputs'!$B$32,'Inputs'!$B$30+'Inputs'!$B$31+'Inputs'!$B$32)/1000+'Inputs'!$B$21+'Inputs'!$B$9+'Inputs'!$B$10)+'Inputs'!$B$7)^2+('Inputs'!$B$6/2)^2)-(((144-43)*MAX('Inputs'!$B$33,'Inputs'!$B$29+'Inputs'!$B$31+'Inputs'!$B$32,'Inputs'!$B$30+'Inputs'!$B$31+'Inputs'!$B$32)/1000+'Inputs'!$B$21+'Inputs'!$B$9+'Inputs'!$B$10))/SQRT((((144-43)*MAX('Inputs'!$B$33,'Inputs'!$B$29+'Inputs'!$B$31+'Inputs'!$B$32,'Inputs'!$B$30+'Inputs'!$B$31+'Inputs'!$B$32)/1000+'Inputs'!$B$21+'Inputs'!$B$9+'Inputs'!$B$10))^2+('Inputs'!$B$6/2)^2))))*'Results'!$B$8))),"")</x:f>
        <x:v>382.8924945457344</x:v>
      </x:c>
      <x:c r="P144" t="n">
        <x:f>IF(AND(MAX(J144,J143)&gt;0,J144&gt;J143+0.00000001),1,0)</x:f>
        <x:v>0</x:v>
      </x:c>
      <x:c r="Q144" t="n">
        <x:f>IF(AND(MAX(K144,K143)&gt;0,K144&gt;K143+0.00000001),1,0)</x:f>
        <x:v>0</x:v>
      </x:c>
      <x:c r="R144" t="n">
        <x:f>IF(AND(MAX(L144,L143)&gt;0,L144&gt;L143+0.00000001),1,0)</x:f>
        <x:v>0</x:v>
      </x:c>
      <x:c r="S144" t="n">
        <x:f>IF(AND(MAX(M144,M143)&gt;0,M144&gt;M143+0.00000001),1,0)</x:f>
        <x:v>0</x:v>
      </x:c>
      <x:c r="T144" t="n">
        <x:f>IF(AND(MAX(N144,N143)&gt;0,N144&gt;N143+0.00000001),1,0)</x:f>
        <x:v>0</x:v>
      </x:c>
      <x:c r="U144" t="n">
        <x:f>IF(AND(MAX(O144,O143)&gt;0,O144&gt;O143+0.00000001),1,0)</x:f>
        <x:v>0</x:v>
      </x:c>
    </x:row>
    <x:row r="145">
      <x:c r="J145" t="n">
        <x:f>IF(AND(ISNUMBER('Results'!B7),ISNUMBER('Results'!C7),ISNUMBER('Results'!$B$8),ISNUMBER('Inputs'!$B$6),ISNUMBER('Inputs'!$B$7),ISNUMBER('Inputs'!$B$8),ISNUMBER('Inputs'!$B$9),ISNUMBER('Inputs'!$B$10),ISNUMBER('Inputs'!$B$21),ISNUMBER('Inputs'!$B$24),ISNUMBER('Inputs'!$B$28)),(('Results'!B7*(0.5*((((145-43)*MAX('Inputs'!$B$33,'Inputs'!$B$29+'Inputs'!$B$31+'Inputs'!$B$32,'Inputs'!$B$30+'Inputs'!$B$31+'Inputs'!$B$32)/1000+'Inputs'!$B$21)+'Inputs'!$B$7)/SQRT((((145-43)*MAX('Inputs'!$B$33,'Inputs'!$B$29+'Inputs'!$B$31+'Inputs'!$B$32,'Inputs'!$B$30+'Inputs'!$B$31+'Inputs'!$B$32)/1000+'Inputs'!$B$21)+'Inputs'!$B$7)^2+('Inputs'!$B$6/2)^2)-(((145-43)*MAX('Inputs'!$B$33,'Inputs'!$B$29+'Inputs'!$B$31+'Inputs'!$B$32,'Inputs'!$B$30+'Inputs'!$B$31+'Inputs'!$B$32)/1000+'Inputs'!$B$21))/SQRT((((145-43)*MAX('Inputs'!$B$33,'Inputs'!$B$29+'Inputs'!$B$31+'Inputs'!$B$32,'Inputs'!$B$30+'Inputs'!$B$31+'Inputs'!$B$32)/1000+'Inputs'!$B$21))^2+('Inputs'!$B$6/2)^2)))-'Results'!C7*(0.5*((((145-43)*MAX('Inputs'!$B$33,'Inputs'!$B$29+'Inputs'!$B$31+'Inputs'!$B$32,'Inputs'!$B$30+'Inputs'!$B$31+'Inputs'!$B$32)/1000+'Inputs'!$B$21+'Inputs'!$B$7+'Inputs'!$B$10)+'Inputs'!$B$9)/SQRT((((145-43)*MAX('Inputs'!$B$33,'Inputs'!$B$29+'Inputs'!$B$31+'Inputs'!$B$32,'Inputs'!$B$30+'Inputs'!$B$31+'Inputs'!$B$32)/1000+'Inputs'!$B$21+'Inputs'!$B$7+'Inputs'!$B$10)+'Inputs'!$B$9)^2+('Inputs'!$B$8/2)^2)-(((145-43)*MAX('Inputs'!$B$33,'Inputs'!$B$29+'Inputs'!$B$31+'Inputs'!$B$32,'Inputs'!$B$30+'Inputs'!$B$31+'Inputs'!$B$32)/1000+'Inputs'!$B$21+'Inputs'!$B$7+'Inputs'!$B$10))/SQRT((((145-43)*MAX('Inputs'!$B$33,'Inputs'!$B$29+'Inputs'!$B$31+'Inputs'!$B$32,'Inputs'!$B$30+'Inputs'!$B$31+'Inputs'!$B$32)/1000+'Inputs'!$B$21+'Inputs'!$B$7+'Inputs'!$B$10))^2+('Inputs'!$B$8/2)^2))))*'Results'!$B$8),"")</x:f>
        <x:v>358.03840900450524</x:v>
      </x:c>
      <x:c r="K145" t="n">
        <x:f>IF(AND(ISNUMBER('Results'!B7),ISNUMBER('Results'!C7),ISNUMBER('Results'!$B$8),ISNUMBER('Inputs'!$B$6),ISNUMBER('Inputs'!$B$7),ISNUMBER('Inputs'!$B$8),ISNUMBER('Inputs'!$B$9),ISNUMBER('Inputs'!$B$10),ISNUMBER('Inputs'!$B$21),ISNUMBER('Inputs'!$B$24),ISNUMBER('Inputs'!$B$28)),((('Results'!B7*(1-'Inputs'!$B$24)*(0.5*((((145-43)*MAX('Inputs'!$B$33,'Inputs'!$B$29+'Inputs'!$B$31+'Inputs'!$B$32,'Inputs'!$B$30+'Inputs'!$B$31+'Inputs'!$B$32)/1000+'Inputs'!$B$21)+'Inputs'!$B$7)/SQRT((((145-43)*MAX('Inputs'!$B$33,'Inputs'!$B$29+'Inputs'!$B$31+'Inputs'!$B$32,'Inputs'!$B$30+'Inputs'!$B$31+'Inputs'!$B$32)/1000+'Inputs'!$B$21)+'Inputs'!$B$7)^2+('Inputs'!$B$6/2)^2)-(((145-43)*MAX('Inputs'!$B$33,'Inputs'!$B$29+'Inputs'!$B$31+'Inputs'!$B$32,'Inputs'!$B$30+'Inputs'!$B$31+'Inputs'!$B$32)/1000+'Inputs'!$B$21))/SQRT((((145-43)*MAX('Inputs'!$B$33,'Inputs'!$B$29+'Inputs'!$B$31+'Inputs'!$B$32,'Inputs'!$B$30+'Inputs'!$B$31+'Inputs'!$B$32)/1000+'Inputs'!$B$21))^2+('Inputs'!$B$6/2)^2)))-'Results'!C7*(1+'Inputs'!$B$24)*(0.5*((((145-43)*MAX('Inputs'!$B$33,'Inputs'!$B$29+'Inputs'!$B$31+'Inputs'!$B$32,'Inputs'!$B$30+'Inputs'!$B$31+'Inputs'!$B$32)/1000+'Inputs'!$B$21+'Inputs'!$B$7+'Inputs'!$B$10)+'Inputs'!$B$9)/SQRT((((145-43)*MAX('Inputs'!$B$33,'Inputs'!$B$29+'Inputs'!$B$31+'Inputs'!$B$32,'Inputs'!$B$30+'Inputs'!$B$31+'Inputs'!$B$32)/1000+'Inputs'!$B$21+'Inputs'!$B$7+'Inputs'!$B$10)+'Inputs'!$B$9)^2+('Inputs'!$B$8/2)^2)-(((145-43)*MAX('Inputs'!$B$33,'Inputs'!$B$29+'Inputs'!$B$31+'Inputs'!$B$32,'Inputs'!$B$30+'Inputs'!$B$31+'Inputs'!$B$32)/1000+'Inputs'!$B$21+'Inputs'!$B$7+'Inputs'!$B$10))/SQRT((((145-43)*MAX('Inputs'!$B$33,'Inputs'!$B$29+'Inputs'!$B$31+'Inputs'!$B$32,'Inputs'!$B$30+'Inputs'!$B$31+'Inputs'!$B$32)/1000+'Inputs'!$B$21+'Inputs'!$B$7+'Inputs'!$B$10))^2+('Inputs'!$B$8/2)^2))))*'Results'!$B$8)-'Inputs'!$B$28*ABS((('Results'!B7*(1-'Inputs'!$B$24)*(0.5*((((145-43)*MAX('Inputs'!$B$33,'Inputs'!$B$29+'Inputs'!$B$31+'Inputs'!$B$32,'Inputs'!$B$30+'Inputs'!$B$31+'Inputs'!$B$32)/1000+'Inputs'!$B$21)+'Inputs'!$B$7)/SQRT((((145-43)*MAX('Inputs'!$B$33,'Inputs'!$B$29+'Inputs'!$B$31+'Inputs'!$B$32,'Inputs'!$B$30+'Inputs'!$B$31+'Inputs'!$B$32)/1000+'Inputs'!$B$21)+'Inputs'!$B$7)^2+('Inputs'!$B$6/2)^2)-(((145-43)*MAX('Inputs'!$B$33,'Inputs'!$B$29+'Inputs'!$B$31+'Inputs'!$B$32,'Inputs'!$B$30+'Inputs'!$B$31+'Inputs'!$B$32)/1000+'Inputs'!$B$21))/SQRT((((145-43)*MAX('Inputs'!$B$33,'Inputs'!$B$29+'Inputs'!$B$31+'Inputs'!$B$32,'Inputs'!$B$30+'Inputs'!$B$31+'Inputs'!$B$32)/1000+'Inputs'!$B$21))^2+('Inputs'!$B$6/2)^2)))-'Results'!C7*(1+'Inputs'!$B$24)*(0.5*((((145-43)*MAX('Inputs'!$B$33,'Inputs'!$B$29+'Inputs'!$B$31+'Inputs'!$B$32,'Inputs'!$B$30+'Inputs'!$B$31+'Inputs'!$B$32)/1000+'Inputs'!$B$21+'Inputs'!$B$7+'Inputs'!$B$10)+'Inputs'!$B$9)/SQRT((((145-43)*MAX('Inputs'!$B$33,'Inputs'!$B$29+'Inputs'!$B$31+'Inputs'!$B$32,'Inputs'!$B$30+'Inputs'!$B$31+'Inputs'!$B$32)/1000+'Inputs'!$B$21+'Inputs'!$B$7+'Inputs'!$B$10)+'Inputs'!$B$9)^2+('Inputs'!$B$8/2)^2)-(((145-43)*MAX('Inputs'!$B$33,'Inputs'!$B$29+'Inputs'!$B$31+'Inputs'!$B$32,'Inputs'!$B$30+'Inputs'!$B$31+'Inputs'!$B$32)/1000+'Inputs'!$B$21+'Inputs'!$B$7+'Inputs'!$B$10))/SQRT((((145-43)*MAX('Inputs'!$B$33,'Inputs'!$B$29+'Inputs'!$B$31+'Inputs'!$B$32,'Inputs'!$B$30+'Inputs'!$B$31+'Inputs'!$B$32)/1000+'Inputs'!$B$21+'Inputs'!$B$7+'Inputs'!$B$10))^2+('Inputs'!$B$8/2)^2))))*'Results'!$B$8))),"")</x:f>
        <x:v>330.1073542926547</x:v>
      </x:c>
      <x:c r="L145" t="n">
        <x:f>IF(AND(ISNUMBER('Results'!B7),ISNUMBER('Results'!C7),ISNUMBER('Results'!$B$8),ISNUMBER('Inputs'!$B$6),ISNUMBER('Inputs'!$B$7),ISNUMBER('Inputs'!$B$8),ISNUMBER('Inputs'!$B$9),ISNUMBER('Inputs'!$B$10),ISNUMBER('Inputs'!$B$21),ISNUMBER('Inputs'!$B$24),ISNUMBER('Inputs'!$B$28)),((('Results'!B7*(1+'Inputs'!$B$24)*(0.5*((((145-43)*MAX('Inputs'!$B$33,'Inputs'!$B$29+'Inputs'!$B$31+'Inputs'!$B$32,'Inputs'!$B$30+'Inputs'!$B$31+'Inputs'!$B$32)/1000+'Inputs'!$B$21)+'Inputs'!$B$7)/SQRT((((145-43)*MAX('Inputs'!$B$33,'Inputs'!$B$29+'Inputs'!$B$31+'Inputs'!$B$32,'Inputs'!$B$30+'Inputs'!$B$31+'Inputs'!$B$32)/1000+'Inputs'!$B$21)+'Inputs'!$B$7)^2+('Inputs'!$B$6/2)^2)-(((145-43)*MAX('Inputs'!$B$33,'Inputs'!$B$29+'Inputs'!$B$31+'Inputs'!$B$32,'Inputs'!$B$30+'Inputs'!$B$31+'Inputs'!$B$32)/1000+'Inputs'!$B$21))/SQRT((((145-43)*MAX('Inputs'!$B$33,'Inputs'!$B$29+'Inputs'!$B$31+'Inputs'!$B$32,'Inputs'!$B$30+'Inputs'!$B$31+'Inputs'!$B$32)/1000+'Inputs'!$B$21))^2+('Inputs'!$B$6/2)^2)))-'Results'!C7*(1-'Inputs'!$B$24)*(0.5*((((145-43)*MAX('Inputs'!$B$33,'Inputs'!$B$29+'Inputs'!$B$31+'Inputs'!$B$32,'Inputs'!$B$30+'Inputs'!$B$31+'Inputs'!$B$32)/1000+'Inputs'!$B$21+'Inputs'!$B$7+'Inputs'!$B$10)+'Inputs'!$B$9)/SQRT((((145-43)*MAX('Inputs'!$B$33,'Inputs'!$B$29+'Inputs'!$B$31+'Inputs'!$B$32,'Inputs'!$B$30+'Inputs'!$B$31+'Inputs'!$B$32)/1000+'Inputs'!$B$21+'Inputs'!$B$7+'Inputs'!$B$10)+'Inputs'!$B$9)^2+('Inputs'!$B$8/2)^2)-(((145-43)*MAX('Inputs'!$B$33,'Inputs'!$B$29+'Inputs'!$B$31+'Inputs'!$B$32,'Inputs'!$B$30+'Inputs'!$B$31+'Inputs'!$B$32)/1000+'Inputs'!$B$21+'Inputs'!$B$7+'Inputs'!$B$10))/SQRT((((145-43)*MAX('Inputs'!$B$33,'Inputs'!$B$29+'Inputs'!$B$31+'Inputs'!$B$32,'Inputs'!$B$30+'Inputs'!$B$31+'Inputs'!$B$32)/1000+'Inputs'!$B$21+'Inputs'!$B$7+'Inputs'!$B$10))^2+('Inputs'!$B$8/2)^2))))*'Results'!$B$8)+'Inputs'!$B$28*ABS((('Results'!B7*(1+'Inputs'!$B$24)*(0.5*((((145-43)*MAX('Inputs'!$B$33,'Inputs'!$B$29+'Inputs'!$B$31+'Inputs'!$B$32,'Inputs'!$B$30+'Inputs'!$B$31+'Inputs'!$B$32)/1000+'Inputs'!$B$21)+'Inputs'!$B$7)/SQRT((((145-43)*MAX('Inputs'!$B$33,'Inputs'!$B$29+'Inputs'!$B$31+'Inputs'!$B$32,'Inputs'!$B$30+'Inputs'!$B$31+'Inputs'!$B$32)/1000+'Inputs'!$B$21)+'Inputs'!$B$7)^2+('Inputs'!$B$6/2)^2)-(((145-43)*MAX('Inputs'!$B$33,'Inputs'!$B$29+'Inputs'!$B$31+'Inputs'!$B$32,'Inputs'!$B$30+'Inputs'!$B$31+'Inputs'!$B$32)/1000+'Inputs'!$B$21))/SQRT((((145-43)*MAX('Inputs'!$B$33,'Inputs'!$B$29+'Inputs'!$B$31+'Inputs'!$B$32,'Inputs'!$B$30+'Inputs'!$B$31+'Inputs'!$B$32)/1000+'Inputs'!$B$21))^2+('Inputs'!$B$6/2)^2)))-'Results'!C7*(1-'Inputs'!$B$24)*(0.5*((((145-43)*MAX('Inputs'!$B$33,'Inputs'!$B$29+'Inputs'!$B$31+'Inputs'!$B$32,'Inputs'!$B$30+'Inputs'!$B$31+'Inputs'!$B$32)/1000+'Inputs'!$B$21+'Inputs'!$B$7+'Inputs'!$B$10)+'Inputs'!$B$9)/SQRT((((145-43)*MAX('Inputs'!$B$33,'Inputs'!$B$29+'Inputs'!$B$31+'Inputs'!$B$32,'Inputs'!$B$30+'Inputs'!$B$31+'Inputs'!$B$32)/1000+'Inputs'!$B$21+'Inputs'!$B$7+'Inputs'!$B$10)+'Inputs'!$B$9)^2+('Inputs'!$B$8/2)^2)-(((145-43)*MAX('Inputs'!$B$33,'Inputs'!$B$29+'Inputs'!$B$31+'Inputs'!$B$32,'Inputs'!$B$30+'Inputs'!$B$31+'Inputs'!$B$32)/1000+'Inputs'!$B$21+'Inputs'!$B$7+'Inputs'!$B$10))/SQRT((((145-43)*MAX('Inputs'!$B$33,'Inputs'!$B$29+'Inputs'!$B$31+'Inputs'!$B$32,'Inputs'!$B$30+'Inputs'!$B$31+'Inputs'!$B$32)/1000+'Inputs'!$B$21+'Inputs'!$B$7+'Inputs'!$B$10))^2+('Inputs'!$B$8/2)^2))))*'Results'!$B$8))),"")</x:f>
        <x:v>387.02516205968476</x:v>
      </x:c>
      <x:c r="M145" t="n">
        <x:f>IF(AND(ISNUMBER('Results'!C7),ISNUMBER('Results'!B7),ISNUMBER('Results'!$B$8),ISNUMBER('Inputs'!$B$6),ISNUMBER('Inputs'!$B$7),ISNUMBER('Inputs'!$B$8),ISNUMBER('Inputs'!$B$9),ISNUMBER('Inputs'!$B$10),ISNUMBER('Inputs'!$B$21),ISNUMBER('Inputs'!$B$24),ISNUMBER('Inputs'!$B$28)),(('Results'!C7*(0.5*((((145-43)*MAX('Inputs'!$B$33,'Inputs'!$B$29+'Inputs'!$B$31+'Inputs'!$B$32,'Inputs'!$B$30+'Inputs'!$B$31+'Inputs'!$B$32)/1000+'Inputs'!$B$21)+'Inputs'!$B$9)/SQRT((((145-43)*MAX('Inputs'!$B$33,'Inputs'!$B$29+'Inputs'!$B$31+'Inputs'!$B$32,'Inputs'!$B$30+'Inputs'!$B$31+'Inputs'!$B$32)/1000+'Inputs'!$B$21)+'Inputs'!$B$9)^2+('Inputs'!$B$8/2)^2)-(((145-43)*MAX('Inputs'!$B$33,'Inputs'!$B$29+'Inputs'!$B$31+'Inputs'!$B$32,'Inputs'!$B$30+'Inputs'!$B$31+'Inputs'!$B$32)/1000+'Inputs'!$B$21))/SQRT((((145-43)*MAX('Inputs'!$B$33,'Inputs'!$B$29+'Inputs'!$B$31+'Inputs'!$B$32,'Inputs'!$B$30+'Inputs'!$B$31+'Inputs'!$B$32)/1000+'Inputs'!$B$21))^2+('Inputs'!$B$8/2)^2)))-'Results'!B7*(0.5*((((145-43)*MAX('Inputs'!$B$33,'Inputs'!$B$29+'Inputs'!$B$31+'Inputs'!$B$32,'Inputs'!$B$30+'Inputs'!$B$31+'Inputs'!$B$32)/1000+'Inputs'!$B$21+'Inputs'!$B$9+'Inputs'!$B$10)+'Inputs'!$B$7)/SQRT((((145-43)*MAX('Inputs'!$B$33,'Inputs'!$B$29+'Inputs'!$B$31+'Inputs'!$B$32,'Inputs'!$B$30+'Inputs'!$B$31+'Inputs'!$B$32)/1000+'Inputs'!$B$21+'Inputs'!$B$9+'Inputs'!$B$10)+'Inputs'!$B$7)^2+('Inputs'!$B$6/2)^2)-(((145-43)*MAX('Inputs'!$B$33,'Inputs'!$B$29+'Inputs'!$B$31+'Inputs'!$B$32,'Inputs'!$B$30+'Inputs'!$B$31+'Inputs'!$B$32)/1000+'Inputs'!$B$21+'Inputs'!$B$9+'Inputs'!$B$10))/SQRT((((145-43)*MAX('Inputs'!$B$33,'Inputs'!$B$29+'Inputs'!$B$31+'Inputs'!$B$32,'Inputs'!$B$30+'Inputs'!$B$31+'Inputs'!$B$32)/1000+'Inputs'!$B$21+'Inputs'!$B$9+'Inputs'!$B$10))^2+('Inputs'!$B$6/2)^2))))*'Results'!$B$8),"")</x:f>
        <x:v>347.4467703135298</x:v>
      </x:c>
      <x:c r="N145" t="n">
        <x:f>IF(AND(ISNUMBER('Results'!C7),ISNUMBER('Results'!B7),ISNUMBER('Results'!$B$8),ISNUMBER('Inputs'!$B$6),ISNUMBER('Inputs'!$B$7),ISNUMBER('Inputs'!$B$8),ISNUMBER('Inputs'!$B$9),ISNUMBER('Inputs'!$B$10),ISNUMBER('Inputs'!$B$21),ISNUMBER('Inputs'!$B$24),ISNUMBER('Inputs'!$B$28)),((('Results'!C7*(1-'Inputs'!$B$24)*(0.5*((((145-43)*MAX('Inputs'!$B$33,'Inputs'!$B$29+'Inputs'!$B$31+'Inputs'!$B$32,'Inputs'!$B$30+'Inputs'!$B$31+'Inputs'!$B$32)/1000+'Inputs'!$B$21)+'Inputs'!$B$9)/SQRT((((145-43)*MAX('Inputs'!$B$33,'Inputs'!$B$29+'Inputs'!$B$31+'Inputs'!$B$32,'Inputs'!$B$30+'Inputs'!$B$31+'Inputs'!$B$32)/1000+'Inputs'!$B$21)+'Inputs'!$B$9)^2+('Inputs'!$B$8/2)^2)-(((145-43)*MAX('Inputs'!$B$33,'Inputs'!$B$29+'Inputs'!$B$31+'Inputs'!$B$32,'Inputs'!$B$30+'Inputs'!$B$31+'Inputs'!$B$32)/1000+'Inputs'!$B$21))/SQRT((((145-43)*MAX('Inputs'!$B$33,'Inputs'!$B$29+'Inputs'!$B$31+'Inputs'!$B$32,'Inputs'!$B$30+'Inputs'!$B$31+'Inputs'!$B$32)/1000+'Inputs'!$B$21))^2+('Inputs'!$B$8/2)^2)))-'Results'!B7*(1+'Inputs'!$B$24)*(0.5*((((145-43)*MAX('Inputs'!$B$33,'Inputs'!$B$29+'Inputs'!$B$31+'Inputs'!$B$32,'Inputs'!$B$30+'Inputs'!$B$31+'Inputs'!$B$32)/1000+'Inputs'!$B$21+'Inputs'!$B$9+'Inputs'!$B$10)+'Inputs'!$B$7)/SQRT((((145-43)*MAX('Inputs'!$B$33,'Inputs'!$B$29+'Inputs'!$B$31+'Inputs'!$B$32,'Inputs'!$B$30+'Inputs'!$B$31+'Inputs'!$B$32)/1000+'Inputs'!$B$21+'Inputs'!$B$9+'Inputs'!$B$10)+'Inputs'!$B$7)^2+('Inputs'!$B$6/2)^2)-(((145-43)*MAX('Inputs'!$B$33,'Inputs'!$B$29+'Inputs'!$B$31+'Inputs'!$B$32,'Inputs'!$B$30+'Inputs'!$B$31+'Inputs'!$B$32)/1000+'Inputs'!$B$21+'Inputs'!$B$9+'Inputs'!$B$10))/SQRT((((145-43)*MAX('Inputs'!$B$33,'Inputs'!$B$29+'Inputs'!$B$31+'Inputs'!$B$32,'Inputs'!$B$30+'Inputs'!$B$31+'Inputs'!$B$32)/1000+'Inputs'!$B$21+'Inputs'!$B$9+'Inputs'!$B$10))^2+('Inputs'!$B$6/2)^2))))*'Results'!$B$8)-'Inputs'!$B$28*ABS((('Results'!C7*(1-'Inputs'!$B$24)*(0.5*((((145-43)*MAX('Inputs'!$B$33,'Inputs'!$B$29+'Inputs'!$B$31+'Inputs'!$B$32,'Inputs'!$B$30+'Inputs'!$B$31+'Inputs'!$B$32)/1000+'Inputs'!$B$21)+'Inputs'!$B$9)/SQRT((((145-43)*MAX('Inputs'!$B$33,'Inputs'!$B$29+'Inputs'!$B$31+'Inputs'!$B$32,'Inputs'!$B$30+'Inputs'!$B$31+'Inputs'!$B$32)/1000+'Inputs'!$B$21)+'Inputs'!$B$9)^2+('Inputs'!$B$8/2)^2)-(((145-43)*MAX('Inputs'!$B$33,'Inputs'!$B$29+'Inputs'!$B$31+'Inputs'!$B$32,'Inputs'!$B$30+'Inputs'!$B$31+'Inputs'!$B$32)/1000+'Inputs'!$B$21))/SQRT((((145-43)*MAX('Inputs'!$B$33,'Inputs'!$B$29+'Inputs'!$B$31+'Inputs'!$B$32,'Inputs'!$B$30+'Inputs'!$B$31+'Inputs'!$B$32)/1000+'Inputs'!$B$21))^2+('Inputs'!$B$8/2)^2)))-'Results'!B7*(1+'Inputs'!$B$24)*(0.5*((((145-43)*MAX('Inputs'!$B$33,'Inputs'!$B$29+'Inputs'!$B$31+'Inputs'!$B$32,'Inputs'!$B$30+'Inputs'!$B$31+'Inputs'!$B$32)/1000+'Inputs'!$B$21+'Inputs'!$B$9+'Inputs'!$B$10)+'Inputs'!$B$7)/SQRT((((145-43)*MAX('Inputs'!$B$33,'Inputs'!$B$29+'Inputs'!$B$31+'Inputs'!$B$32,'Inputs'!$B$30+'Inputs'!$B$31+'Inputs'!$B$32)/1000+'Inputs'!$B$21+'Inputs'!$B$9+'Inputs'!$B$10)+'Inputs'!$B$7)^2+('Inputs'!$B$6/2)^2)-(((145-43)*MAX('Inputs'!$B$33,'Inputs'!$B$29+'Inputs'!$B$31+'Inputs'!$B$32,'Inputs'!$B$30+'Inputs'!$B$31+'Inputs'!$B$32)/1000+'Inputs'!$B$21+'Inputs'!$B$9+'Inputs'!$B$10))/SQRT((((145-43)*MAX('Inputs'!$B$33,'Inputs'!$B$29+'Inputs'!$B$31+'Inputs'!$B$32,'Inputs'!$B$30+'Inputs'!$B$31+'Inputs'!$B$32)/1000+'Inputs'!$B$21+'Inputs'!$B$9+'Inputs'!$B$10))^2+('Inputs'!$B$6/2)^2))))*'Results'!$B$8))),"")</x:f>
        <x:v>320.1806936817537</x:v>
      </x:c>
      <x:c r="O145" t="n">
        <x:f>IF(AND(ISNUMBER('Results'!C7),ISNUMBER('Results'!B7),ISNUMBER('Results'!$B$8),ISNUMBER('Inputs'!$B$6),ISNUMBER('Inputs'!$B$7),ISNUMBER('Inputs'!$B$8),ISNUMBER('Inputs'!$B$9),ISNUMBER('Inputs'!$B$10),ISNUMBER('Inputs'!$B$21),ISNUMBER('Inputs'!$B$24),ISNUMBER('Inputs'!$B$28)),((('Results'!C7*(1+'Inputs'!$B$24)*(0.5*((((145-43)*MAX('Inputs'!$B$33,'Inputs'!$B$29+'Inputs'!$B$31+'Inputs'!$B$32,'Inputs'!$B$30+'Inputs'!$B$31+'Inputs'!$B$32)/1000+'Inputs'!$B$21)+'Inputs'!$B$9)/SQRT((((145-43)*MAX('Inputs'!$B$33,'Inputs'!$B$29+'Inputs'!$B$31+'Inputs'!$B$32,'Inputs'!$B$30+'Inputs'!$B$31+'Inputs'!$B$32)/1000+'Inputs'!$B$21)+'Inputs'!$B$9)^2+('Inputs'!$B$8/2)^2)-(((145-43)*MAX('Inputs'!$B$33,'Inputs'!$B$29+'Inputs'!$B$31+'Inputs'!$B$32,'Inputs'!$B$30+'Inputs'!$B$31+'Inputs'!$B$32)/1000+'Inputs'!$B$21))/SQRT((((145-43)*MAX('Inputs'!$B$33,'Inputs'!$B$29+'Inputs'!$B$31+'Inputs'!$B$32,'Inputs'!$B$30+'Inputs'!$B$31+'Inputs'!$B$32)/1000+'Inputs'!$B$21))^2+('Inputs'!$B$8/2)^2)))-'Results'!B7*(1-'Inputs'!$B$24)*(0.5*((((145-43)*MAX('Inputs'!$B$33,'Inputs'!$B$29+'Inputs'!$B$31+'Inputs'!$B$32,'Inputs'!$B$30+'Inputs'!$B$31+'Inputs'!$B$32)/1000+'Inputs'!$B$21+'Inputs'!$B$9+'Inputs'!$B$10)+'Inputs'!$B$7)/SQRT((((145-43)*MAX('Inputs'!$B$33,'Inputs'!$B$29+'Inputs'!$B$31+'Inputs'!$B$32,'Inputs'!$B$30+'Inputs'!$B$31+'Inputs'!$B$32)/1000+'Inputs'!$B$21+'Inputs'!$B$9+'Inputs'!$B$10)+'Inputs'!$B$7)^2+('Inputs'!$B$6/2)^2)-(((145-43)*MAX('Inputs'!$B$33,'Inputs'!$B$29+'Inputs'!$B$31+'Inputs'!$B$32,'Inputs'!$B$30+'Inputs'!$B$31+'Inputs'!$B$32)/1000+'Inputs'!$B$21+'Inputs'!$B$9+'Inputs'!$B$10))/SQRT((((145-43)*MAX('Inputs'!$B$33,'Inputs'!$B$29+'Inputs'!$B$31+'Inputs'!$B$32,'Inputs'!$B$30+'Inputs'!$B$31+'Inputs'!$B$32)/1000+'Inputs'!$B$21+'Inputs'!$B$9+'Inputs'!$B$10))^2+('Inputs'!$B$6/2)^2))))*'Results'!$B$8)+'Inputs'!$B$28*ABS((('Results'!C7*(1+'Inputs'!$B$24)*(0.5*((((145-43)*MAX('Inputs'!$B$33,'Inputs'!$B$29+'Inputs'!$B$31+'Inputs'!$B$32,'Inputs'!$B$30+'Inputs'!$B$31+'Inputs'!$B$32)/1000+'Inputs'!$B$21)+'Inputs'!$B$9)/SQRT((((145-43)*MAX('Inputs'!$B$33,'Inputs'!$B$29+'Inputs'!$B$31+'Inputs'!$B$32,'Inputs'!$B$30+'Inputs'!$B$31+'Inputs'!$B$32)/1000+'Inputs'!$B$21)+'Inputs'!$B$9)^2+('Inputs'!$B$8/2)^2)-(((145-43)*MAX('Inputs'!$B$33,'Inputs'!$B$29+'Inputs'!$B$31+'Inputs'!$B$32,'Inputs'!$B$30+'Inputs'!$B$31+'Inputs'!$B$32)/1000+'Inputs'!$B$21))/SQRT((((145-43)*MAX('Inputs'!$B$33,'Inputs'!$B$29+'Inputs'!$B$31+'Inputs'!$B$32,'Inputs'!$B$30+'Inputs'!$B$31+'Inputs'!$B$32)/1000+'Inputs'!$B$21))^2+('Inputs'!$B$8/2)^2)))-'Results'!B7*(1-'Inputs'!$B$24)*(0.5*((((145-43)*MAX('Inputs'!$B$33,'Inputs'!$B$29+'Inputs'!$B$31+'Inputs'!$B$32,'Inputs'!$B$30+'Inputs'!$B$31+'Inputs'!$B$32)/1000+'Inputs'!$B$21+'Inputs'!$B$9+'Inputs'!$B$10)+'Inputs'!$B$7)/SQRT((((145-43)*MAX('Inputs'!$B$33,'Inputs'!$B$29+'Inputs'!$B$31+'Inputs'!$B$32,'Inputs'!$B$30+'Inputs'!$B$31+'Inputs'!$B$32)/1000+'Inputs'!$B$21+'Inputs'!$B$9+'Inputs'!$B$10)+'Inputs'!$B$7)^2+('Inputs'!$B$6/2)^2)-(((145-43)*MAX('Inputs'!$B$33,'Inputs'!$B$29+'Inputs'!$B$31+'Inputs'!$B$32,'Inputs'!$B$30+'Inputs'!$B$31+'Inputs'!$B$32)/1000+'Inputs'!$B$21+'Inputs'!$B$9+'Inputs'!$B$10))/SQRT((((145-43)*MAX('Inputs'!$B$33,'Inputs'!$B$29+'Inputs'!$B$31+'Inputs'!$B$32,'Inputs'!$B$30+'Inputs'!$B$31+'Inputs'!$B$32)/1000+'Inputs'!$B$21+'Inputs'!$B$9+'Inputs'!$B$10))^2+('Inputs'!$B$6/2)^2))))*'Results'!$B$8))),"")</x:f>
        <x:v>375.75429306279005</x:v>
      </x:c>
      <x:c r="P145" t="n">
        <x:f>IF(AND(MAX(J145,J144)&gt;0,J145&gt;J144+0.00000001),1,0)</x:f>
        <x:v>0</x:v>
      </x:c>
      <x:c r="Q145" t="n">
        <x:f>IF(AND(MAX(K145,K144)&gt;0,K145&gt;K144+0.00000001),1,0)</x:f>
        <x:v>0</x:v>
      </x:c>
      <x:c r="R145" t="n">
        <x:f>IF(AND(MAX(L145,L144)&gt;0,L145&gt;L144+0.00000001),1,0)</x:f>
        <x:v>0</x:v>
      </x:c>
      <x:c r="S145" t="n">
        <x:f>IF(AND(MAX(M145,M144)&gt;0,M145&gt;M144+0.00000001),1,0)</x:f>
        <x:v>0</x:v>
      </x:c>
      <x:c r="T145" t="n">
        <x:f>IF(AND(MAX(N145,N144)&gt;0,N145&gt;N144+0.00000001),1,0)</x:f>
        <x:v>0</x:v>
      </x:c>
      <x:c r="U145" t="n">
        <x:f>IF(AND(MAX(O145,O144)&gt;0,O145&gt;O144+0.00000001),1,0)</x:f>
        <x:v>0</x:v>
      </x:c>
    </x:row>
    <x:row r="146">
      <x:c r="J146" t="n">
        <x:f>IF(AND(ISNUMBER('Results'!B7),ISNUMBER('Results'!C7),ISNUMBER('Results'!$B$8),ISNUMBER('Inputs'!$B$6),ISNUMBER('Inputs'!$B$7),ISNUMBER('Inputs'!$B$8),ISNUMBER('Inputs'!$B$9),ISNUMBER('Inputs'!$B$10),ISNUMBER('Inputs'!$B$21),ISNUMBER('Inputs'!$B$24),ISNUMBER('Inputs'!$B$28)),(('Results'!B7*(0.5*((((146-43)*MAX('Inputs'!$B$33,'Inputs'!$B$29+'Inputs'!$B$31+'Inputs'!$B$32,'Inputs'!$B$30+'Inputs'!$B$31+'Inputs'!$B$32)/1000+'Inputs'!$B$21)+'Inputs'!$B$7)/SQRT((((146-43)*MAX('Inputs'!$B$33,'Inputs'!$B$29+'Inputs'!$B$31+'Inputs'!$B$32,'Inputs'!$B$30+'Inputs'!$B$31+'Inputs'!$B$32)/1000+'Inputs'!$B$21)+'Inputs'!$B$7)^2+('Inputs'!$B$6/2)^2)-(((146-43)*MAX('Inputs'!$B$33,'Inputs'!$B$29+'Inputs'!$B$31+'Inputs'!$B$32,'Inputs'!$B$30+'Inputs'!$B$31+'Inputs'!$B$32)/1000+'Inputs'!$B$21))/SQRT((((146-43)*MAX('Inputs'!$B$33,'Inputs'!$B$29+'Inputs'!$B$31+'Inputs'!$B$32,'Inputs'!$B$30+'Inputs'!$B$31+'Inputs'!$B$32)/1000+'Inputs'!$B$21))^2+('Inputs'!$B$6/2)^2)))-'Results'!C7*(0.5*((((146-43)*MAX('Inputs'!$B$33,'Inputs'!$B$29+'Inputs'!$B$31+'Inputs'!$B$32,'Inputs'!$B$30+'Inputs'!$B$31+'Inputs'!$B$32)/1000+'Inputs'!$B$21+'Inputs'!$B$7+'Inputs'!$B$10)+'Inputs'!$B$9)/SQRT((((146-43)*MAX('Inputs'!$B$33,'Inputs'!$B$29+'Inputs'!$B$31+'Inputs'!$B$32,'Inputs'!$B$30+'Inputs'!$B$31+'Inputs'!$B$32)/1000+'Inputs'!$B$21+'Inputs'!$B$7+'Inputs'!$B$10)+'Inputs'!$B$9)^2+('Inputs'!$B$8/2)^2)-(((146-43)*MAX('Inputs'!$B$33,'Inputs'!$B$29+'Inputs'!$B$31+'Inputs'!$B$32,'Inputs'!$B$30+'Inputs'!$B$31+'Inputs'!$B$32)/1000+'Inputs'!$B$21+'Inputs'!$B$7+'Inputs'!$B$10))/SQRT((((146-43)*MAX('Inputs'!$B$33,'Inputs'!$B$29+'Inputs'!$B$31+'Inputs'!$B$32,'Inputs'!$B$30+'Inputs'!$B$31+'Inputs'!$B$32)/1000+'Inputs'!$B$21+'Inputs'!$B$7+'Inputs'!$B$10))^2+('Inputs'!$B$8/2)^2))))*'Results'!$B$8),"")</x:f>
        <x:v>351.3808748413248</x:v>
      </x:c>
      <x:c r="K146" t="n">
        <x:f>IF(AND(ISNUMBER('Results'!B7),ISNUMBER('Results'!C7),ISNUMBER('Results'!$B$8),ISNUMBER('Inputs'!$B$6),ISNUMBER('Inputs'!$B$7),ISNUMBER('Inputs'!$B$8),ISNUMBER('Inputs'!$B$9),ISNUMBER('Inputs'!$B$10),ISNUMBER('Inputs'!$B$21),ISNUMBER('Inputs'!$B$24),ISNUMBER('Inputs'!$B$28)),((('Results'!B7*(1-'Inputs'!$B$24)*(0.5*((((146-43)*MAX('Inputs'!$B$33,'Inputs'!$B$29+'Inputs'!$B$31+'Inputs'!$B$32,'Inputs'!$B$30+'Inputs'!$B$31+'Inputs'!$B$32)/1000+'Inputs'!$B$21)+'Inputs'!$B$7)/SQRT((((146-43)*MAX('Inputs'!$B$33,'Inputs'!$B$29+'Inputs'!$B$31+'Inputs'!$B$32,'Inputs'!$B$30+'Inputs'!$B$31+'Inputs'!$B$32)/1000+'Inputs'!$B$21)+'Inputs'!$B$7)^2+('Inputs'!$B$6/2)^2)-(((146-43)*MAX('Inputs'!$B$33,'Inputs'!$B$29+'Inputs'!$B$31+'Inputs'!$B$32,'Inputs'!$B$30+'Inputs'!$B$31+'Inputs'!$B$32)/1000+'Inputs'!$B$21))/SQRT((((146-43)*MAX('Inputs'!$B$33,'Inputs'!$B$29+'Inputs'!$B$31+'Inputs'!$B$32,'Inputs'!$B$30+'Inputs'!$B$31+'Inputs'!$B$32)/1000+'Inputs'!$B$21))^2+('Inputs'!$B$6/2)^2)))-'Results'!C7*(1+'Inputs'!$B$24)*(0.5*((((146-43)*MAX('Inputs'!$B$33,'Inputs'!$B$29+'Inputs'!$B$31+'Inputs'!$B$32,'Inputs'!$B$30+'Inputs'!$B$31+'Inputs'!$B$32)/1000+'Inputs'!$B$21+'Inputs'!$B$7+'Inputs'!$B$10)+'Inputs'!$B$9)/SQRT((((146-43)*MAX('Inputs'!$B$33,'Inputs'!$B$29+'Inputs'!$B$31+'Inputs'!$B$32,'Inputs'!$B$30+'Inputs'!$B$31+'Inputs'!$B$32)/1000+'Inputs'!$B$21+'Inputs'!$B$7+'Inputs'!$B$10)+'Inputs'!$B$9)^2+('Inputs'!$B$8/2)^2)-(((146-43)*MAX('Inputs'!$B$33,'Inputs'!$B$29+'Inputs'!$B$31+'Inputs'!$B$32,'Inputs'!$B$30+'Inputs'!$B$31+'Inputs'!$B$32)/1000+'Inputs'!$B$21+'Inputs'!$B$7+'Inputs'!$B$10))/SQRT((((146-43)*MAX('Inputs'!$B$33,'Inputs'!$B$29+'Inputs'!$B$31+'Inputs'!$B$32,'Inputs'!$B$30+'Inputs'!$B$31+'Inputs'!$B$32)/1000+'Inputs'!$B$21+'Inputs'!$B$7+'Inputs'!$B$10))^2+('Inputs'!$B$8/2)^2))))*'Results'!$B$8)-'Inputs'!$B$28*ABS((('Results'!B7*(1-'Inputs'!$B$24)*(0.5*((((146-43)*MAX('Inputs'!$B$33,'Inputs'!$B$29+'Inputs'!$B$31+'Inputs'!$B$32,'Inputs'!$B$30+'Inputs'!$B$31+'Inputs'!$B$32)/1000+'Inputs'!$B$21)+'Inputs'!$B$7)/SQRT((((146-43)*MAX('Inputs'!$B$33,'Inputs'!$B$29+'Inputs'!$B$31+'Inputs'!$B$32,'Inputs'!$B$30+'Inputs'!$B$31+'Inputs'!$B$32)/1000+'Inputs'!$B$21)+'Inputs'!$B$7)^2+('Inputs'!$B$6/2)^2)-(((146-43)*MAX('Inputs'!$B$33,'Inputs'!$B$29+'Inputs'!$B$31+'Inputs'!$B$32,'Inputs'!$B$30+'Inputs'!$B$31+'Inputs'!$B$32)/1000+'Inputs'!$B$21))/SQRT((((146-43)*MAX('Inputs'!$B$33,'Inputs'!$B$29+'Inputs'!$B$31+'Inputs'!$B$32,'Inputs'!$B$30+'Inputs'!$B$31+'Inputs'!$B$32)/1000+'Inputs'!$B$21))^2+('Inputs'!$B$6/2)^2)))-'Results'!C7*(1+'Inputs'!$B$24)*(0.5*((((146-43)*MAX('Inputs'!$B$33,'Inputs'!$B$29+'Inputs'!$B$31+'Inputs'!$B$32,'Inputs'!$B$30+'Inputs'!$B$31+'Inputs'!$B$32)/1000+'Inputs'!$B$21+'Inputs'!$B$7+'Inputs'!$B$10)+'Inputs'!$B$9)/SQRT((((146-43)*MAX('Inputs'!$B$33,'Inputs'!$B$29+'Inputs'!$B$31+'Inputs'!$B$32,'Inputs'!$B$30+'Inputs'!$B$31+'Inputs'!$B$32)/1000+'Inputs'!$B$21+'Inputs'!$B$7+'Inputs'!$B$10)+'Inputs'!$B$9)^2+('Inputs'!$B$8/2)^2)-(((146-43)*MAX('Inputs'!$B$33,'Inputs'!$B$29+'Inputs'!$B$31+'Inputs'!$B$32,'Inputs'!$B$30+'Inputs'!$B$31+'Inputs'!$B$32)/1000+'Inputs'!$B$21+'Inputs'!$B$7+'Inputs'!$B$10))/SQRT((((146-43)*MAX('Inputs'!$B$33,'Inputs'!$B$29+'Inputs'!$B$31+'Inputs'!$B$32,'Inputs'!$B$30+'Inputs'!$B$31+'Inputs'!$B$32)/1000+'Inputs'!$B$21+'Inputs'!$B$7+'Inputs'!$B$10))^2+('Inputs'!$B$8/2)^2))))*'Results'!$B$8))),"")</x:f>
        <x:v>323.945928212215</x:v>
      </x:c>
      <x:c r="L146" t="n">
        <x:f>IF(AND(ISNUMBER('Results'!B7),ISNUMBER('Results'!C7),ISNUMBER('Results'!$B$8),ISNUMBER('Inputs'!$B$6),ISNUMBER('Inputs'!$B$7),ISNUMBER('Inputs'!$B$8),ISNUMBER('Inputs'!$B$9),ISNUMBER('Inputs'!$B$10),ISNUMBER('Inputs'!$B$21),ISNUMBER('Inputs'!$B$24),ISNUMBER('Inputs'!$B$28)),((('Results'!B7*(1+'Inputs'!$B$24)*(0.5*((((146-43)*MAX('Inputs'!$B$33,'Inputs'!$B$29+'Inputs'!$B$31+'Inputs'!$B$32,'Inputs'!$B$30+'Inputs'!$B$31+'Inputs'!$B$32)/1000+'Inputs'!$B$21)+'Inputs'!$B$7)/SQRT((((146-43)*MAX('Inputs'!$B$33,'Inputs'!$B$29+'Inputs'!$B$31+'Inputs'!$B$32,'Inputs'!$B$30+'Inputs'!$B$31+'Inputs'!$B$32)/1000+'Inputs'!$B$21)+'Inputs'!$B$7)^2+('Inputs'!$B$6/2)^2)-(((146-43)*MAX('Inputs'!$B$33,'Inputs'!$B$29+'Inputs'!$B$31+'Inputs'!$B$32,'Inputs'!$B$30+'Inputs'!$B$31+'Inputs'!$B$32)/1000+'Inputs'!$B$21))/SQRT((((146-43)*MAX('Inputs'!$B$33,'Inputs'!$B$29+'Inputs'!$B$31+'Inputs'!$B$32,'Inputs'!$B$30+'Inputs'!$B$31+'Inputs'!$B$32)/1000+'Inputs'!$B$21))^2+('Inputs'!$B$6/2)^2)))-'Results'!C7*(1-'Inputs'!$B$24)*(0.5*((((146-43)*MAX('Inputs'!$B$33,'Inputs'!$B$29+'Inputs'!$B$31+'Inputs'!$B$32,'Inputs'!$B$30+'Inputs'!$B$31+'Inputs'!$B$32)/1000+'Inputs'!$B$21+'Inputs'!$B$7+'Inputs'!$B$10)+'Inputs'!$B$9)/SQRT((((146-43)*MAX('Inputs'!$B$33,'Inputs'!$B$29+'Inputs'!$B$31+'Inputs'!$B$32,'Inputs'!$B$30+'Inputs'!$B$31+'Inputs'!$B$32)/1000+'Inputs'!$B$21+'Inputs'!$B$7+'Inputs'!$B$10)+'Inputs'!$B$9)^2+('Inputs'!$B$8/2)^2)-(((146-43)*MAX('Inputs'!$B$33,'Inputs'!$B$29+'Inputs'!$B$31+'Inputs'!$B$32,'Inputs'!$B$30+'Inputs'!$B$31+'Inputs'!$B$32)/1000+'Inputs'!$B$21+'Inputs'!$B$7+'Inputs'!$B$10))/SQRT((((146-43)*MAX('Inputs'!$B$33,'Inputs'!$B$29+'Inputs'!$B$31+'Inputs'!$B$32,'Inputs'!$B$30+'Inputs'!$B$31+'Inputs'!$B$32)/1000+'Inputs'!$B$21+'Inputs'!$B$7+'Inputs'!$B$10))^2+('Inputs'!$B$8/2)^2))))*'Results'!$B$8)+'Inputs'!$B$28*ABS((('Results'!B7*(1+'Inputs'!$B$24)*(0.5*((((146-43)*MAX('Inputs'!$B$33,'Inputs'!$B$29+'Inputs'!$B$31+'Inputs'!$B$32,'Inputs'!$B$30+'Inputs'!$B$31+'Inputs'!$B$32)/1000+'Inputs'!$B$21)+'Inputs'!$B$7)/SQRT((((146-43)*MAX('Inputs'!$B$33,'Inputs'!$B$29+'Inputs'!$B$31+'Inputs'!$B$32,'Inputs'!$B$30+'Inputs'!$B$31+'Inputs'!$B$32)/1000+'Inputs'!$B$21)+'Inputs'!$B$7)^2+('Inputs'!$B$6/2)^2)-(((146-43)*MAX('Inputs'!$B$33,'Inputs'!$B$29+'Inputs'!$B$31+'Inputs'!$B$32,'Inputs'!$B$30+'Inputs'!$B$31+'Inputs'!$B$32)/1000+'Inputs'!$B$21))/SQRT((((146-43)*MAX('Inputs'!$B$33,'Inputs'!$B$29+'Inputs'!$B$31+'Inputs'!$B$32,'Inputs'!$B$30+'Inputs'!$B$31+'Inputs'!$B$32)/1000+'Inputs'!$B$21))^2+('Inputs'!$B$6/2)^2)))-'Results'!C7*(1-'Inputs'!$B$24)*(0.5*((((146-43)*MAX('Inputs'!$B$33,'Inputs'!$B$29+'Inputs'!$B$31+'Inputs'!$B$32,'Inputs'!$B$30+'Inputs'!$B$31+'Inputs'!$B$32)/1000+'Inputs'!$B$21+'Inputs'!$B$7+'Inputs'!$B$10)+'Inputs'!$B$9)/SQRT((((146-43)*MAX('Inputs'!$B$33,'Inputs'!$B$29+'Inputs'!$B$31+'Inputs'!$B$32,'Inputs'!$B$30+'Inputs'!$B$31+'Inputs'!$B$32)/1000+'Inputs'!$B$21+'Inputs'!$B$7+'Inputs'!$B$10)+'Inputs'!$B$9)^2+('Inputs'!$B$8/2)^2)-(((146-43)*MAX('Inputs'!$B$33,'Inputs'!$B$29+'Inputs'!$B$31+'Inputs'!$B$32,'Inputs'!$B$30+'Inputs'!$B$31+'Inputs'!$B$32)/1000+'Inputs'!$B$21+'Inputs'!$B$7+'Inputs'!$B$10))/SQRT((((146-43)*MAX('Inputs'!$B$33,'Inputs'!$B$29+'Inputs'!$B$31+'Inputs'!$B$32,'Inputs'!$B$30+'Inputs'!$B$31+'Inputs'!$B$32)/1000+'Inputs'!$B$21+'Inputs'!$B$7+'Inputs'!$B$10))^2+('Inputs'!$B$8/2)^2))))*'Results'!$B$8))),"")</x:f>
        <x:v>379.85433756380746</x:v>
      </x:c>
      <x:c r="M146" t="n">
        <x:f>IF(AND(ISNUMBER('Results'!C7),ISNUMBER('Results'!B7),ISNUMBER('Results'!$B$8),ISNUMBER('Inputs'!$B$6),ISNUMBER('Inputs'!$B$7),ISNUMBER('Inputs'!$B$8),ISNUMBER('Inputs'!$B$9),ISNUMBER('Inputs'!$B$10),ISNUMBER('Inputs'!$B$21),ISNUMBER('Inputs'!$B$24),ISNUMBER('Inputs'!$B$28)),(('Results'!C7*(0.5*((((146-43)*MAX('Inputs'!$B$33,'Inputs'!$B$29+'Inputs'!$B$31+'Inputs'!$B$32,'Inputs'!$B$30+'Inputs'!$B$31+'Inputs'!$B$32)/1000+'Inputs'!$B$21)+'Inputs'!$B$9)/SQRT((((146-43)*MAX('Inputs'!$B$33,'Inputs'!$B$29+'Inputs'!$B$31+'Inputs'!$B$32,'Inputs'!$B$30+'Inputs'!$B$31+'Inputs'!$B$32)/1000+'Inputs'!$B$21)+'Inputs'!$B$9)^2+('Inputs'!$B$8/2)^2)-(((146-43)*MAX('Inputs'!$B$33,'Inputs'!$B$29+'Inputs'!$B$31+'Inputs'!$B$32,'Inputs'!$B$30+'Inputs'!$B$31+'Inputs'!$B$32)/1000+'Inputs'!$B$21))/SQRT((((146-43)*MAX('Inputs'!$B$33,'Inputs'!$B$29+'Inputs'!$B$31+'Inputs'!$B$32,'Inputs'!$B$30+'Inputs'!$B$31+'Inputs'!$B$32)/1000+'Inputs'!$B$21))^2+('Inputs'!$B$8/2)^2)))-'Results'!B7*(0.5*((((146-43)*MAX('Inputs'!$B$33,'Inputs'!$B$29+'Inputs'!$B$31+'Inputs'!$B$32,'Inputs'!$B$30+'Inputs'!$B$31+'Inputs'!$B$32)/1000+'Inputs'!$B$21+'Inputs'!$B$9+'Inputs'!$B$10)+'Inputs'!$B$7)/SQRT((((146-43)*MAX('Inputs'!$B$33,'Inputs'!$B$29+'Inputs'!$B$31+'Inputs'!$B$32,'Inputs'!$B$30+'Inputs'!$B$31+'Inputs'!$B$32)/1000+'Inputs'!$B$21+'Inputs'!$B$9+'Inputs'!$B$10)+'Inputs'!$B$7)^2+('Inputs'!$B$6/2)^2)-(((146-43)*MAX('Inputs'!$B$33,'Inputs'!$B$29+'Inputs'!$B$31+'Inputs'!$B$32,'Inputs'!$B$30+'Inputs'!$B$31+'Inputs'!$B$32)/1000+'Inputs'!$B$21+'Inputs'!$B$9+'Inputs'!$B$10))/SQRT((((146-43)*MAX('Inputs'!$B$33,'Inputs'!$B$29+'Inputs'!$B$31+'Inputs'!$B$32,'Inputs'!$B$30+'Inputs'!$B$31+'Inputs'!$B$32)/1000+'Inputs'!$B$21+'Inputs'!$B$9+'Inputs'!$B$10))^2+('Inputs'!$B$6/2)^2))))*'Results'!$B$8),"")</x:f>
        <x:v>340.96145326027937</x:v>
      </x:c>
      <x:c r="N146" t="n">
        <x:f>IF(AND(ISNUMBER('Results'!C7),ISNUMBER('Results'!B7),ISNUMBER('Results'!$B$8),ISNUMBER('Inputs'!$B$6),ISNUMBER('Inputs'!$B$7),ISNUMBER('Inputs'!$B$8),ISNUMBER('Inputs'!$B$9),ISNUMBER('Inputs'!$B$10),ISNUMBER('Inputs'!$B$21),ISNUMBER('Inputs'!$B$24),ISNUMBER('Inputs'!$B$28)),((('Results'!C7*(1-'Inputs'!$B$24)*(0.5*((((146-43)*MAX('Inputs'!$B$33,'Inputs'!$B$29+'Inputs'!$B$31+'Inputs'!$B$32,'Inputs'!$B$30+'Inputs'!$B$31+'Inputs'!$B$32)/1000+'Inputs'!$B$21)+'Inputs'!$B$9)/SQRT((((146-43)*MAX('Inputs'!$B$33,'Inputs'!$B$29+'Inputs'!$B$31+'Inputs'!$B$32,'Inputs'!$B$30+'Inputs'!$B$31+'Inputs'!$B$32)/1000+'Inputs'!$B$21)+'Inputs'!$B$9)^2+('Inputs'!$B$8/2)^2)-(((146-43)*MAX('Inputs'!$B$33,'Inputs'!$B$29+'Inputs'!$B$31+'Inputs'!$B$32,'Inputs'!$B$30+'Inputs'!$B$31+'Inputs'!$B$32)/1000+'Inputs'!$B$21))/SQRT((((146-43)*MAX('Inputs'!$B$33,'Inputs'!$B$29+'Inputs'!$B$31+'Inputs'!$B$32,'Inputs'!$B$30+'Inputs'!$B$31+'Inputs'!$B$32)/1000+'Inputs'!$B$21))^2+('Inputs'!$B$8/2)^2)))-'Results'!B7*(1+'Inputs'!$B$24)*(0.5*((((146-43)*MAX('Inputs'!$B$33,'Inputs'!$B$29+'Inputs'!$B$31+'Inputs'!$B$32,'Inputs'!$B$30+'Inputs'!$B$31+'Inputs'!$B$32)/1000+'Inputs'!$B$21+'Inputs'!$B$9+'Inputs'!$B$10)+'Inputs'!$B$7)/SQRT((((146-43)*MAX('Inputs'!$B$33,'Inputs'!$B$29+'Inputs'!$B$31+'Inputs'!$B$32,'Inputs'!$B$30+'Inputs'!$B$31+'Inputs'!$B$32)/1000+'Inputs'!$B$21+'Inputs'!$B$9+'Inputs'!$B$10)+'Inputs'!$B$7)^2+('Inputs'!$B$6/2)^2)-(((146-43)*MAX('Inputs'!$B$33,'Inputs'!$B$29+'Inputs'!$B$31+'Inputs'!$B$32,'Inputs'!$B$30+'Inputs'!$B$31+'Inputs'!$B$32)/1000+'Inputs'!$B$21+'Inputs'!$B$9+'Inputs'!$B$10))/SQRT((((146-43)*MAX('Inputs'!$B$33,'Inputs'!$B$29+'Inputs'!$B$31+'Inputs'!$B$32,'Inputs'!$B$30+'Inputs'!$B$31+'Inputs'!$B$32)/1000+'Inputs'!$B$21+'Inputs'!$B$9+'Inputs'!$B$10))^2+('Inputs'!$B$6/2)^2))))*'Results'!$B$8)-'Inputs'!$B$28*ABS((('Results'!C7*(1-'Inputs'!$B$24)*(0.5*((((146-43)*MAX('Inputs'!$B$33,'Inputs'!$B$29+'Inputs'!$B$31+'Inputs'!$B$32,'Inputs'!$B$30+'Inputs'!$B$31+'Inputs'!$B$32)/1000+'Inputs'!$B$21)+'Inputs'!$B$9)/SQRT((((146-43)*MAX('Inputs'!$B$33,'Inputs'!$B$29+'Inputs'!$B$31+'Inputs'!$B$32,'Inputs'!$B$30+'Inputs'!$B$31+'Inputs'!$B$32)/1000+'Inputs'!$B$21)+'Inputs'!$B$9)^2+('Inputs'!$B$8/2)^2)-(((146-43)*MAX('Inputs'!$B$33,'Inputs'!$B$29+'Inputs'!$B$31+'Inputs'!$B$32,'Inputs'!$B$30+'Inputs'!$B$31+'Inputs'!$B$32)/1000+'Inputs'!$B$21))/SQRT((((146-43)*MAX('Inputs'!$B$33,'Inputs'!$B$29+'Inputs'!$B$31+'Inputs'!$B$32,'Inputs'!$B$30+'Inputs'!$B$31+'Inputs'!$B$32)/1000+'Inputs'!$B$21))^2+('Inputs'!$B$8/2)^2)))-'Results'!B7*(1+'Inputs'!$B$24)*(0.5*((((146-43)*MAX('Inputs'!$B$33,'Inputs'!$B$29+'Inputs'!$B$31+'Inputs'!$B$32,'Inputs'!$B$30+'Inputs'!$B$31+'Inputs'!$B$32)/1000+'Inputs'!$B$21+'Inputs'!$B$9+'Inputs'!$B$10)+'Inputs'!$B$7)/SQRT((((146-43)*MAX('Inputs'!$B$33,'Inputs'!$B$29+'Inputs'!$B$31+'Inputs'!$B$32,'Inputs'!$B$30+'Inputs'!$B$31+'Inputs'!$B$32)/1000+'Inputs'!$B$21+'Inputs'!$B$9+'Inputs'!$B$10)+'Inputs'!$B$7)^2+('Inputs'!$B$6/2)^2)-(((146-43)*MAX('Inputs'!$B$33,'Inputs'!$B$29+'Inputs'!$B$31+'Inputs'!$B$32,'Inputs'!$B$30+'Inputs'!$B$31+'Inputs'!$B$32)/1000+'Inputs'!$B$21+'Inputs'!$B$9+'Inputs'!$B$10))/SQRT((((146-43)*MAX('Inputs'!$B$33,'Inputs'!$B$29+'Inputs'!$B$31+'Inputs'!$B$32,'Inputs'!$B$30+'Inputs'!$B$31+'Inputs'!$B$32)/1000+'Inputs'!$B$21+'Inputs'!$B$9+'Inputs'!$B$10))^2+('Inputs'!$B$6/2)^2))))*'Results'!$B$8))),"")</x:f>
        <x:v>314.18035149036257</x:v>
      </x:c>
      <x:c r="O146" t="n">
        <x:f>IF(AND(ISNUMBER('Results'!C7),ISNUMBER('Results'!B7),ISNUMBER('Results'!$B$8),ISNUMBER('Inputs'!$B$6),ISNUMBER('Inputs'!$B$7),ISNUMBER('Inputs'!$B$8),ISNUMBER('Inputs'!$B$9),ISNUMBER('Inputs'!$B$10),ISNUMBER('Inputs'!$B$21),ISNUMBER('Inputs'!$B$24),ISNUMBER('Inputs'!$B$28)),((('Results'!C7*(1+'Inputs'!$B$24)*(0.5*((((146-43)*MAX('Inputs'!$B$33,'Inputs'!$B$29+'Inputs'!$B$31+'Inputs'!$B$32,'Inputs'!$B$30+'Inputs'!$B$31+'Inputs'!$B$32)/1000+'Inputs'!$B$21)+'Inputs'!$B$9)/SQRT((((146-43)*MAX('Inputs'!$B$33,'Inputs'!$B$29+'Inputs'!$B$31+'Inputs'!$B$32,'Inputs'!$B$30+'Inputs'!$B$31+'Inputs'!$B$32)/1000+'Inputs'!$B$21)+'Inputs'!$B$9)^2+('Inputs'!$B$8/2)^2)-(((146-43)*MAX('Inputs'!$B$33,'Inputs'!$B$29+'Inputs'!$B$31+'Inputs'!$B$32,'Inputs'!$B$30+'Inputs'!$B$31+'Inputs'!$B$32)/1000+'Inputs'!$B$21))/SQRT((((146-43)*MAX('Inputs'!$B$33,'Inputs'!$B$29+'Inputs'!$B$31+'Inputs'!$B$32,'Inputs'!$B$30+'Inputs'!$B$31+'Inputs'!$B$32)/1000+'Inputs'!$B$21))^2+('Inputs'!$B$8/2)^2)))-'Results'!B7*(1-'Inputs'!$B$24)*(0.5*((((146-43)*MAX('Inputs'!$B$33,'Inputs'!$B$29+'Inputs'!$B$31+'Inputs'!$B$32,'Inputs'!$B$30+'Inputs'!$B$31+'Inputs'!$B$32)/1000+'Inputs'!$B$21+'Inputs'!$B$9+'Inputs'!$B$10)+'Inputs'!$B$7)/SQRT((((146-43)*MAX('Inputs'!$B$33,'Inputs'!$B$29+'Inputs'!$B$31+'Inputs'!$B$32,'Inputs'!$B$30+'Inputs'!$B$31+'Inputs'!$B$32)/1000+'Inputs'!$B$21+'Inputs'!$B$9+'Inputs'!$B$10)+'Inputs'!$B$7)^2+('Inputs'!$B$6/2)^2)-(((146-43)*MAX('Inputs'!$B$33,'Inputs'!$B$29+'Inputs'!$B$31+'Inputs'!$B$32,'Inputs'!$B$30+'Inputs'!$B$31+'Inputs'!$B$32)/1000+'Inputs'!$B$21+'Inputs'!$B$9+'Inputs'!$B$10))/SQRT((((146-43)*MAX('Inputs'!$B$33,'Inputs'!$B$29+'Inputs'!$B$31+'Inputs'!$B$32,'Inputs'!$B$30+'Inputs'!$B$31+'Inputs'!$B$32)/1000+'Inputs'!$B$21+'Inputs'!$B$9+'Inputs'!$B$10))^2+('Inputs'!$B$6/2)^2))))*'Results'!$B$8)+'Inputs'!$B$28*ABS((('Results'!C7*(1+'Inputs'!$B$24)*(0.5*((((146-43)*MAX('Inputs'!$B$33,'Inputs'!$B$29+'Inputs'!$B$31+'Inputs'!$B$32,'Inputs'!$B$30+'Inputs'!$B$31+'Inputs'!$B$32)/1000+'Inputs'!$B$21)+'Inputs'!$B$9)/SQRT((((146-43)*MAX('Inputs'!$B$33,'Inputs'!$B$29+'Inputs'!$B$31+'Inputs'!$B$32,'Inputs'!$B$30+'Inputs'!$B$31+'Inputs'!$B$32)/1000+'Inputs'!$B$21)+'Inputs'!$B$9)^2+('Inputs'!$B$8/2)^2)-(((146-43)*MAX('Inputs'!$B$33,'Inputs'!$B$29+'Inputs'!$B$31+'Inputs'!$B$32,'Inputs'!$B$30+'Inputs'!$B$31+'Inputs'!$B$32)/1000+'Inputs'!$B$21))/SQRT((((146-43)*MAX('Inputs'!$B$33,'Inputs'!$B$29+'Inputs'!$B$31+'Inputs'!$B$32,'Inputs'!$B$30+'Inputs'!$B$31+'Inputs'!$B$32)/1000+'Inputs'!$B$21))^2+('Inputs'!$B$8/2)^2)))-'Results'!B7*(1-'Inputs'!$B$24)*(0.5*((((146-43)*MAX('Inputs'!$B$33,'Inputs'!$B$29+'Inputs'!$B$31+'Inputs'!$B$32,'Inputs'!$B$30+'Inputs'!$B$31+'Inputs'!$B$32)/1000+'Inputs'!$B$21+'Inputs'!$B$9+'Inputs'!$B$10)+'Inputs'!$B$7)/SQRT((((146-43)*MAX('Inputs'!$B$33,'Inputs'!$B$29+'Inputs'!$B$31+'Inputs'!$B$32,'Inputs'!$B$30+'Inputs'!$B$31+'Inputs'!$B$32)/1000+'Inputs'!$B$21+'Inputs'!$B$9+'Inputs'!$B$10)+'Inputs'!$B$7)^2+('Inputs'!$B$6/2)^2)-(((146-43)*MAX('Inputs'!$B$33,'Inputs'!$B$29+'Inputs'!$B$31+'Inputs'!$B$32,'Inputs'!$B$30+'Inputs'!$B$31+'Inputs'!$B$32)/1000+'Inputs'!$B$21+'Inputs'!$B$9+'Inputs'!$B$10))/SQRT((((146-43)*MAX('Inputs'!$B$33,'Inputs'!$B$29+'Inputs'!$B$31+'Inputs'!$B$32,'Inputs'!$B$30+'Inputs'!$B$31+'Inputs'!$B$32)/1000+'Inputs'!$B$21+'Inputs'!$B$9+'Inputs'!$B$10))^2+('Inputs'!$B$6/2)^2))))*'Results'!$B$8))),"")</x:f>
        <x:v>368.7670844098702</x:v>
      </x:c>
      <x:c r="P146" t="n">
        <x:f>IF(AND(MAX(J146,J145)&gt;0,J146&gt;J145+0.00000001),1,0)</x:f>
        <x:v>0</x:v>
      </x:c>
      <x:c r="Q146" t="n">
        <x:f>IF(AND(MAX(K146,K145)&gt;0,K146&gt;K145+0.00000001),1,0)</x:f>
        <x:v>0</x:v>
      </x:c>
      <x:c r="R146" t="n">
        <x:f>IF(AND(MAX(L146,L145)&gt;0,L146&gt;L145+0.00000001),1,0)</x:f>
        <x:v>0</x:v>
      </x:c>
      <x:c r="S146" t="n">
        <x:f>IF(AND(MAX(M146,M145)&gt;0,M146&gt;M145+0.00000001),1,0)</x:f>
        <x:v>0</x:v>
      </x:c>
      <x:c r="T146" t="n">
        <x:f>IF(AND(MAX(N146,N145)&gt;0,N146&gt;N145+0.00000001),1,0)</x:f>
        <x:v>0</x:v>
      </x:c>
      <x:c r="U146" t="n">
        <x:f>IF(AND(MAX(O146,O145)&gt;0,O146&gt;O145+0.00000001),1,0)</x:f>
        <x:v>0</x:v>
      </x:c>
    </x:row>
    <x:row r="147">
      <x:c r="J147" t="n">
        <x:f>IF(AND(ISNUMBER('Results'!B7),ISNUMBER('Results'!C7),ISNUMBER('Results'!$B$8),ISNUMBER('Inputs'!$B$6),ISNUMBER('Inputs'!$B$7),ISNUMBER('Inputs'!$B$8),ISNUMBER('Inputs'!$B$9),ISNUMBER('Inputs'!$B$10),ISNUMBER('Inputs'!$B$21),ISNUMBER('Inputs'!$B$24),ISNUMBER('Inputs'!$B$28)),(('Results'!B7*(0.5*((((147-43)*MAX('Inputs'!$B$33,'Inputs'!$B$29+'Inputs'!$B$31+'Inputs'!$B$32,'Inputs'!$B$30+'Inputs'!$B$31+'Inputs'!$B$32)/1000+'Inputs'!$B$21)+'Inputs'!$B$7)/SQRT((((147-43)*MAX('Inputs'!$B$33,'Inputs'!$B$29+'Inputs'!$B$31+'Inputs'!$B$32,'Inputs'!$B$30+'Inputs'!$B$31+'Inputs'!$B$32)/1000+'Inputs'!$B$21)+'Inputs'!$B$7)^2+('Inputs'!$B$6/2)^2)-(((147-43)*MAX('Inputs'!$B$33,'Inputs'!$B$29+'Inputs'!$B$31+'Inputs'!$B$32,'Inputs'!$B$30+'Inputs'!$B$31+'Inputs'!$B$32)/1000+'Inputs'!$B$21))/SQRT((((147-43)*MAX('Inputs'!$B$33,'Inputs'!$B$29+'Inputs'!$B$31+'Inputs'!$B$32,'Inputs'!$B$30+'Inputs'!$B$31+'Inputs'!$B$32)/1000+'Inputs'!$B$21))^2+('Inputs'!$B$6/2)^2)))-'Results'!C7*(0.5*((((147-43)*MAX('Inputs'!$B$33,'Inputs'!$B$29+'Inputs'!$B$31+'Inputs'!$B$32,'Inputs'!$B$30+'Inputs'!$B$31+'Inputs'!$B$32)/1000+'Inputs'!$B$21+'Inputs'!$B$7+'Inputs'!$B$10)+'Inputs'!$B$9)/SQRT((((147-43)*MAX('Inputs'!$B$33,'Inputs'!$B$29+'Inputs'!$B$31+'Inputs'!$B$32,'Inputs'!$B$30+'Inputs'!$B$31+'Inputs'!$B$32)/1000+'Inputs'!$B$21+'Inputs'!$B$7+'Inputs'!$B$10)+'Inputs'!$B$9)^2+('Inputs'!$B$8/2)^2)-(((147-43)*MAX('Inputs'!$B$33,'Inputs'!$B$29+'Inputs'!$B$31+'Inputs'!$B$32,'Inputs'!$B$30+'Inputs'!$B$31+'Inputs'!$B$32)/1000+'Inputs'!$B$21+'Inputs'!$B$7+'Inputs'!$B$10))/SQRT((((147-43)*MAX('Inputs'!$B$33,'Inputs'!$B$29+'Inputs'!$B$31+'Inputs'!$B$32,'Inputs'!$B$30+'Inputs'!$B$31+'Inputs'!$B$32)/1000+'Inputs'!$B$21+'Inputs'!$B$7+'Inputs'!$B$10))^2+('Inputs'!$B$8/2)^2))))*'Results'!$B$8),"")</x:f>
        <x:v>344.8640964697508</x:v>
      </x:c>
      <x:c r="K147" t="n">
        <x:f>IF(AND(ISNUMBER('Results'!B7),ISNUMBER('Results'!C7),ISNUMBER('Results'!$B$8),ISNUMBER('Inputs'!$B$6),ISNUMBER('Inputs'!$B$7),ISNUMBER('Inputs'!$B$8),ISNUMBER('Inputs'!$B$9),ISNUMBER('Inputs'!$B$10),ISNUMBER('Inputs'!$B$21),ISNUMBER('Inputs'!$B$24),ISNUMBER('Inputs'!$B$28)),((('Results'!B7*(1-'Inputs'!$B$24)*(0.5*((((147-43)*MAX('Inputs'!$B$33,'Inputs'!$B$29+'Inputs'!$B$31+'Inputs'!$B$32,'Inputs'!$B$30+'Inputs'!$B$31+'Inputs'!$B$32)/1000+'Inputs'!$B$21)+'Inputs'!$B$7)/SQRT((((147-43)*MAX('Inputs'!$B$33,'Inputs'!$B$29+'Inputs'!$B$31+'Inputs'!$B$32,'Inputs'!$B$30+'Inputs'!$B$31+'Inputs'!$B$32)/1000+'Inputs'!$B$21)+'Inputs'!$B$7)^2+('Inputs'!$B$6/2)^2)-(((147-43)*MAX('Inputs'!$B$33,'Inputs'!$B$29+'Inputs'!$B$31+'Inputs'!$B$32,'Inputs'!$B$30+'Inputs'!$B$31+'Inputs'!$B$32)/1000+'Inputs'!$B$21))/SQRT((((147-43)*MAX('Inputs'!$B$33,'Inputs'!$B$29+'Inputs'!$B$31+'Inputs'!$B$32,'Inputs'!$B$30+'Inputs'!$B$31+'Inputs'!$B$32)/1000+'Inputs'!$B$21))^2+('Inputs'!$B$6/2)^2)))-'Results'!C7*(1+'Inputs'!$B$24)*(0.5*((((147-43)*MAX('Inputs'!$B$33,'Inputs'!$B$29+'Inputs'!$B$31+'Inputs'!$B$32,'Inputs'!$B$30+'Inputs'!$B$31+'Inputs'!$B$32)/1000+'Inputs'!$B$21+'Inputs'!$B$7+'Inputs'!$B$10)+'Inputs'!$B$9)/SQRT((((147-43)*MAX('Inputs'!$B$33,'Inputs'!$B$29+'Inputs'!$B$31+'Inputs'!$B$32,'Inputs'!$B$30+'Inputs'!$B$31+'Inputs'!$B$32)/1000+'Inputs'!$B$21+'Inputs'!$B$7+'Inputs'!$B$10)+'Inputs'!$B$9)^2+('Inputs'!$B$8/2)^2)-(((147-43)*MAX('Inputs'!$B$33,'Inputs'!$B$29+'Inputs'!$B$31+'Inputs'!$B$32,'Inputs'!$B$30+'Inputs'!$B$31+'Inputs'!$B$32)/1000+'Inputs'!$B$21+'Inputs'!$B$7+'Inputs'!$B$10))/SQRT((((147-43)*MAX('Inputs'!$B$33,'Inputs'!$B$29+'Inputs'!$B$31+'Inputs'!$B$32,'Inputs'!$B$30+'Inputs'!$B$31+'Inputs'!$B$32)/1000+'Inputs'!$B$21+'Inputs'!$B$7+'Inputs'!$B$10))^2+('Inputs'!$B$8/2)^2))))*'Results'!$B$8)-'Inputs'!$B$28*ABS((('Results'!B7*(1-'Inputs'!$B$24)*(0.5*((((147-43)*MAX('Inputs'!$B$33,'Inputs'!$B$29+'Inputs'!$B$31+'Inputs'!$B$32,'Inputs'!$B$30+'Inputs'!$B$31+'Inputs'!$B$32)/1000+'Inputs'!$B$21)+'Inputs'!$B$7)/SQRT((((147-43)*MAX('Inputs'!$B$33,'Inputs'!$B$29+'Inputs'!$B$31+'Inputs'!$B$32,'Inputs'!$B$30+'Inputs'!$B$31+'Inputs'!$B$32)/1000+'Inputs'!$B$21)+'Inputs'!$B$7)^2+('Inputs'!$B$6/2)^2)-(((147-43)*MAX('Inputs'!$B$33,'Inputs'!$B$29+'Inputs'!$B$31+'Inputs'!$B$32,'Inputs'!$B$30+'Inputs'!$B$31+'Inputs'!$B$32)/1000+'Inputs'!$B$21))/SQRT((((147-43)*MAX('Inputs'!$B$33,'Inputs'!$B$29+'Inputs'!$B$31+'Inputs'!$B$32,'Inputs'!$B$30+'Inputs'!$B$31+'Inputs'!$B$32)/1000+'Inputs'!$B$21))^2+('Inputs'!$B$6/2)^2)))-'Results'!C7*(1+'Inputs'!$B$24)*(0.5*((((147-43)*MAX('Inputs'!$B$33,'Inputs'!$B$29+'Inputs'!$B$31+'Inputs'!$B$32,'Inputs'!$B$30+'Inputs'!$B$31+'Inputs'!$B$32)/1000+'Inputs'!$B$21+'Inputs'!$B$7+'Inputs'!$B$10)+'Inputs'!$B$9)/SQRT((((147-43)*MAX('Inputs'!$B$33,'Inputs'!$B$29+'Inputs'!$B$31+'Inputs'!$B$32,'Inputs'!$B$30+'Inputs'!$B$31+'Inputs'!$B$32)/1000+'Inputs'!$B$21+'Inputs'!$B$7+'Inputs'!$B$10)+'Inputs'!$B$9)^2+('Inputs'!$B$8/2)^2)-(((147-43)*MAX('Inputs'!$B$33,'Inputs'!$B$29+'Inputs'!$B$31+'Inputs'!$B$32,'Inputs'!$B$30+'Inputs'!$B$31+'Inputs'!$B$32)/1000+'Inputs'!$B$21+'Inputs'!$B$7+'Inputs'!$B$10))/SQRT((((147-43)*MAX('Inputs'!$B$33,'Inputs'!$B$29+'Inputs'!$B$31+'Inputs'!$B$32,'Inputs'!$B$30+'Inputs'!$B$31+'Inputs'!$B$32)/1000+'Inputs'!$B$21+'Inputs'!$B$7+'Inputs'!$B$10))^2+('Inputs'!$B$8/2)^2))))*'Results'!$B$8))),"")</x:f>
        <x:v>317.91500503116765</x:v>
      </x:c>
      <x:c r="L147" t="n">
        <x:f>IF(AND(ISNUMBER('Results'!B7),ISNUMBER('Results'!C7),ISNUMBER('Results'!$B$8),ISNUMBER('Inputs'!$B$6),ISNUMBER('Inputs'!$B$7),ISNUMBER('Inputs'!$B$8),ISNUMBER('Inputs'!$B$9),ISNUMBER('Inputs'!$B$10),ISNUMBER('Inputs'!$B$21),ISNUMBER('Inputs'!$B$24),ISNUMBER('Inputs'!$B$28)),((('Results'!B7*(1+'Inputs'!$B$24)*(0.5*((((147-43)*MAX('Inputs'!$B$33,'Inputs'!$B$29+'Inputs'!$B$31+'Inputs'!$B$32,'Inputs'!$B$30+'Inputs'!$B$31+'Inputs'!$B$32)/1000+'Inputs'!$B$21)+'Inputs'!$B$7)/SQRT((((147-43)*MAX('Inputs'!$B$33,'Inputs'!$B$29+'Inputs'!$B$31+'Inputs'!$B$32,'Inputs'!$B$30+'Inputs'!$B$31+'Inputs'!$B$32)/1000+'Inputs'!$B$21)+'Inputs'!$B$7)^2+('Inputs'!$B$6/2)^2)-(((147-43)*MAX('Inputs'!$B$33,'Inputs'!$B$29+'Inputs'!$B$31+'Inputs'!$B$32,'Inputs'!$B$30+'Inputs'!$B$31+'Inputs'!$B$32)/1000+'Inputs'!$B$21))/SQRT((((147-43)*MAX('Inputs'!$B$33,'Inputs'!$B$29+'Inputs'!$B$31+'Inputs'!$B$32,'Inputs'!$B$30+'Inputs'!$B$31+'Inputs'!$B$32)/1000+'Inputs'!$B$21))^2+('Inputs'!$B$6/2)^2)))-'Results'!C7*(1-'Inputs'!$B$24)*(0.5*((((147-43)*MAX('Inputs'!$B$33,'Inputs'!$B$29+'Inputs'!$B$31+'Inputs'!$B$32,'Inputs'!$B$30+'Inputs'!$B$31+'Inputs'!$B$32)/1000+'Inputs'!$B$21+'Inputs'!$B$7+'Inputs'!$B$10)+'Inputs'!$B$9)/SQRT((((147-43)*MAX('Inputs'!$B$33,'Inputs'!$B$29+'Inputs'!$B$31+'Inputs'!$B$32,'Inputs'!$B$30+'Inputs'!$B$31+'Inputs'!$B$32)/1000+'Inputs'!$B$21+'Inputs'!$B$7+'Inputs'!$B$10)+'Inputs'!$B$9)^2+('Inputs'!$B$8/2)^2)-(((147-43)*MAX('Inputs'!$B$33,'Inputs'!$B$29+'Inputs'!$B$31+'Inputs'!$B$32,'Inputs'!$B$30+'Inputs'!$B$31+'Inputs'!$B$32)/1000+'Inputs'!$B$21+'Inputs'!$B$7+'Inputs'!$B$10))/SQRT((((147-43)*MAX('Inputs'!$B$33,'Inputs'!$B$29+'Inputs'!$B$31+'Inputs'!$B$32,'Inputs'!$B$30+'Inputs'!$B$31+'Inputs'!$B$32)/1000+'Inputs'!$B$21+'Inputs'!$B$7+'Inputs'!$B$10))^2+('Inputs'!$B$8/2)^2))))*'Results'!$B$8)+'Inputs'!$B$28*ABS((('Results'!B7*(1+'Inputs'!$B$24)*(0.5*((((147-43)*MAX('Inputs'!$B$33,'Inputs'!$B$29+'Inputs'!$B$31+'Inputs'!$B$32,'Inputs'!$B$30+'Inputs'!$B$31+'Inputs'!$B$32)/1000+'Inputs'!$B$21)+'Inputs'!$B$7)/SQRT((((147-43)*MAX('Inputs'!$B$33,'Inputs'!$B$29+'Inputs'!$B$31+'Inputs'!$B$32,'Inputs'!$B$30+'Inputs'!$B$31+'Inputs'!$B$32)/1000+'Inputs'!$B$21)+'Inputs'!$B$7)^2+('Inputs'!$B$6/2)^2)-(((147-43)*MAX('Inputs'!$B$33,'Inputs'!$B$29+'Inputs'!$B$31+'Inputs'!$B$32,'Inputs'!$B$30+'Inputs'!$B$31+'Inputs'!$B$32)/1000+'Inputs'!$B$21))/SQRT((((147-43)*MAX('Inputs'!$B$33,'Inputs'!$B$29+'Inputs'!$B$31+'Inputs'!$B$32,'Inputs'!$B$30+'Inputs'!$B$31+'Inputs'!$B$32)/1000+'Inputs'!$B$21))^2+('Inputs'!$B$6/2)^2)))-'Results'!C7*(1-'Inputs'!$B$24)*(0.5*((((147-43)*MAX('Inputs'!$B$33,'Inputs'!$B$29+'Inputs'!$B$31+'Inputs'!$B$32,'Inputs'!$B$30+'Inputs'!$B$31+'Inputs'!$B$32)/1000+'Inputs'!$B$21+'Inputs'!$B$7+'Inputs'!$B$10)+'Inputs'!$B$9)/SQRT((((147-43)*MAX('Inputs'!$B$33,'Inputs'!$B$29+'Inputs'!$B$31+'Inputs'!$B$32,'Inputs'!$B$30+'Inputs'!$B$31+'Inputs'!$B$32)/1000+'Inputs'!$B$21+'Inputs'!$B$7+'Inputs'!$B$10)+'Inputs'!$B$9)^2+('Inputs'!$B$8/2)^2)-(((147-43)*MAX('Inputs'!$B$33,'Inputs'!$B$29+'Inputs'!$B$31+'Inputs'!$B$32,'Inputs'!$B$30+'Inputs'!$B$31+'Inputs'!$B$32)/1000+'Inputs'!$B$21+'Inputs'!$B$7+'Inputs'!$B$10))/SQRT((((147-43)*MAX('Inputs'!$B$33,'Inputs'!$B$29+'Inputs'!$B$31+'Inputs'!$B$32,'Inputs'!$B$30+'Inputs'!$B$31+'Inputs'!$B$32)/1000+'Inputs'!$B$21+'Inputs'!$B$7+'Inputs'!$B$10))^2+('Inputs'!$B$8/2)^2))))*'Results'!$B$8))),"")</x:f>
        <x:v>372.83486018360713</x:v>
      </x:c>
      <x:c r="M147" t="n">
        <x:f>IF(AND(ISNUMBER('Results'!C7),ISNUMBER('Results'!B7),ISNUMBER('Results'!$B$8),ISNUMBER('Inputs'!$B$6),ISNUMBER('Inputs'!$B$7),ISNUMBER('Inputs'!$B$8),ISNUMBER('Inputs'!$B$9),ISNUMBER('Inputs'!$B$10),ISNUMBER('Inputs'!$B$21),ISNUMBER('Inputs'!$B$24),ISNUMBER('Inputs'!$B$28)),(('Results'!C7*(0.5*((((147-43)*MAX('Inputs'!$B$33,'Inputs'!$B$29+'Inputs'!$B$31+'Inputs'!$B$32,'Inputs'!$B$30+'Inputs'!$B$31+'Inputs'!$B$32)/1000+'Inputs'!$B$21)+'Inputs'!$B$9)/SQRT((((147-43)*MAX('Inputs'!$B$33,'Inputs'!$B$29+'Inputs'!$B$31+'Inputs'!$B$32,'Inputs'!$B$30+'Inputs'!$B$31+'Inputs'!$B$32)/1000+'Inputs'!$B$21)+'Inputs'!$B$9)^2+('Inputs'!$B$8/2)^2)-(((147-43)*MAX('Inputs'!$B$33,'Inputs'!$B$29+'Inputs'!$B$31+'Inputs'!$B$32,'Inputs'!$B$30+'Inputs'!$B$31+'Inputs'!$B$32)/1000+'Inputs'!$B$21))/SQRT((((147-43)*MAX('Inputs'!$B$33,'Inputs'!$B$29+'Inputs'!$B$31+'Inputs'!$B$32,'Inputs'!$B$30+'Inputs'!$B$31+'Inputs'!$B$32)/1000+'Inputs'!$B$21))^2+('Inputs'!$B$8/2)^2)))-'Results'!B7*(0.5*((((147-43)*MAX('Inputs'!$B$33,'Inputs'!$B$29+'Inputs'!$B$31+'Inputs'!$B$32,'Inputs'!$B$30+'Inputs'!$B$31+'Inputs'!$B$32)/1000+'Inputs'!$B$21+'Inputs'!$B$9+'Inputs'!$B$10)+'Inputs'!$B$7)/SQRT((((147-43)*MAX('Inputs'!$B$33,'Inputs'!$B$29+'Inputs'!$B$31+'Inputs'!$B$32,'Inputs'!$B$30+'Inputs'!$B$31+'Inputs'!$B$32)/1000+'Inputs'!$B$21+'Inputs'!$B$9+'Inputs'!$B$10)+'Inputs'!$B$7)^2+('Inputs'!$B$6/2)^2)-(((147-43)*MAX('Inputs'!$B$33,'Inputs'!$B$29+'Inputs'!$B$31+'Inputs'!$B$32,'Inputs'!$B$30+'Inputs'!$B$31+'Inputs'!$B$32)/1000+'Inputs'!$B$21+'Inputs'!$B$9+'Inputs'!$B$10))/SQRT((((147-43)*MAX('Inputs'!$B$33,'Inputs'!$B$29+'Inputs'!$B$31+'Inputs'!$B$32,'Inputs'!$B$30+'Inputs'!$B$31+'Inputs'!$B$32)/1000+'Inputs'!$B$21+'Inputs'!$B$9+'Inputs'!$B$10))^2+('Inputs'!$B$6/2)^2))))*'Results'!$B$8),"")</x:f>
        <x:v>334.6135018718825</x:v>
      </x:c>
      <x:c r="N147" t="n">
        <x:f>IF(AND(ISNUMBER('Results'!C7),ISNUMBER('Results'!B7),ISNUMBER('Results'!$B$8),ISNUMBER('Inputs'!$B$6),ISNUMBER('Inputs'!$B$7),ISNUMBER('Inputs'!$B$8),ISNUMBER('Inputs'!$B$9),ISNUMBER('Inputs'!$B$10),ISNUMBER('Inputs'!$B$21),ISNUMBER('Inputs'!$B$24),ISNUMBER('Inputs'!$B$28)),((('Results'!C7*(1-'Inputs'!$B$24)*(0.5*((((147-43)*MAX('Inputs'!$B$33,'Inputs'!$B$29+'Inputs'!$B$31+'Inputs'!$B$32,'Inputs'!$B$30+'Inputs'!$B$31+'Inputs'!$B$32)/1000+'Inputs'!$B$21)+'Inputs'!$B$9)/SQRT((((147-43)*MAX('Inputs'!$B$33,'Inputs'!$B$29+'Inputs'!$B$31+'Inputs'!$B$32,'Inputs'!$B$30+'Inputs'!$B$31+'Inputs'!$B$32)/1000+'Inputs'!$B$21)+'Inputs'!$B$9)^2+('Inputs'!$B$8/2)^2)-(((147-43)*MAX('Inputs'!$B$33,'Inputs'!$B$29+'Inputs'!$B$31+'Inputs'!$B$32,'Inputs'!$B$30+'Inputs'!$B$31+'Inputs'!$B$32)/1000+'Inputs'!$B$21))/SQRT((((147-43)*MAX('Inputs'!$B$33,'Inputs'!$B$29+'Inputs'!$B$31+'Inputs'!$B$32,'Inputs'!$B$30+'Inputs'!$B$31+'Inputs'!$B$32)/1000+'Inputs'!$B$21))^2+('Inputs'!$B$8/2)^2)))-'Results'!B7*(1+'Inputs'!$B$24)*(0.5*((((147-43)*MAX('Inputs'!$B$33,'Inputs'!$B$29+'Inputs'!$B$31+'Inputs'!$B$32,'Inputs'!$B$30+'Inputs'!$B$31+'Inputs'!$B$32)/1000+'Inputs'!$B$21+'Inputs'!$B$9+'Inputs'!$B$10)+'Inputs'!$B$7)/SQRT((((147-43)*MAX('Inputs'!$B$33,'Inputs'!$B$29+'Inputs'!$B$31+'Inputs'!$B$32,'Inputs'!$B$30+'Inputs'!$B$31+'Inputs'!$B$32)/1000+'Inputs'!$B$21+'Inputs'!$B$9+'Inputs'!$B$10)+'Inputs'!$B$7)^2+('Inputs'!$B$6/2)^2)-(((147-43)*MAX('Inputs'!$B$33,'Inputs'!$B$29+'Inputs'!$B$31+'Inputs'!$B$32,'Inputs'!$B$30+'Inputs'!$B$31+'Inputs'!$B$32)/1000+'Inputs'!$B$21+'Inputs'!$B$9+'Inputs'!$B$10))/SQRT((((147-43)*MAX('Inputs'!$B$33,'Inputs'!$B$29+'Inputs'!$B$31+'Inputs'!$B$32,'Inputs'!$B$30+'Inputs'!$B$31+'Inputs'!$B$32)/1000+'Inputs'!$B$21+'Inputs'!$B$9+'Inputs'!$B$10))^2+('Inputs'!$B$6/2)^2))))*'Results'!$B$8)-'Inputs'!$B$28*ABS((('Results'!C7*(1-'Inputs'!$B$24)*(0.5*((((147-43)*MAX('Inputs'!$B$33,'Inputs'!$B$29+'Inputs'!$B$31+'Inputs'!$B$32,'Inputs'!$B$30+'Inputs'!$B$31+'Inputs'!$B$32)/1000+'Inputs'!$B$21)+'Inputs'!$B$9)/SQRT((((147-43)*MAX('Inputs'!$B$33,'Inputs'!$B$29+'Inputs'!$B$31+'Inputs'!$B$32,'Inputs'!$B$30+'Inputs'!$B$31+'Inputs'!$B$32)/1000+'Inputs'!$B$21)+'Inputs'!$B$9)^2+('Inputs'!$B$8/2)^2)-(((147-43)*MAX('Inputs'!$B$33,'Inputs'!$B$29+'Inputs'!$B$31+'Inputs'!$B$32,'Inputs'!$B$30+'Inputs'!$B$31+'Inputs'!$B$32)/1000+'Inputs'!$B$21))/SQRT((((147-43)*MAX('Inputs'!$B$33,'Inputs'!$B$29+'Inputs'!$B$31+'Inputs'!$B$32,'Inputs'!$B$30+'Inputs'!$B$31+'Inputs'!$B$32)/1000+'Inputs'!$B$21))^2+('Inputs'!$B$8/2)^2)))-'Results'!B7*(1+'Inputs'!$B$24)*(0.5*((((147-43)*MAX('Inputs'!$B$33,'Inputs'!$B$29+'Inputs'!$B$31+'Inputs'!$B$32,'Inputs'!$B$30+'Inputs'!$B$31+'Inputs'!$B$32)/1000+'Inputs'!$B$21+'Inputs'!$B$9+'Inputs'!$B$10)+'Inputs'!$B$7)/SQRT((((147-43)*MAX('Inputs'!$B$33,'Inputs'!$B$29+'Inputs'!$B$31+'Inputs'!$B$32,'Inputs'!$B$30+'Inputs'!$B$31+'Inputs'!$B$32)/1000+'Inputs'!$B$21+'Inputs'!$B$9+'Inputs'!$B$10)+'Inputs'!$B$7)^2+('Inputs'!$B$6/2)^2)-(((147-43)*MAX('Inputs'!$B$33,'Inputs'!$B$29+'Inputs'!$B$31+'Inputs'!$B$32,'Inputs'!$B$30+'Inputs'!$B$31+'Inputs'!$B$32)/1000+'Inputs'!$B$21+'Inputs'!$B$9+'Inputs'!$B$10))/SQRT((((147-43)*MAX('Inputs'!$B$33,'Inputs'!$B$29+'Inputs'!$B$31+'Inputs'!$B$32,'Inputs'!$B$30+'Inputs'!$B$31+'Inputs'!$B$32)/1000+'Inputs'!$B$21+'Inputs'!$B$9+'Inputs'!$B$10))^2+('Inputs'!$B$6/2)^2))))*'Results'!$B$8))),"")</x:f>
        <x:v>308.3073449547936</x:v>
      </x:c>
      <x:c r="O147" t="n">
        <x:f>IF(AND(ISNUMBER('Results'!C7),ISNUMBER('Results'!B7),ISNUMBER('Results'!$B$8),ISNUMBER('Inputs'!$B$6),ISNUMBER('Inputs'!$B$7),ISNUMBER('Inputs'!$B$8),ISNUMBER('Inputs'!$B$9),ISNUMBER('Inputs'!$B$10),ISNUMBER('Inputs'!$B$21),ISNUMBER('Inputs'!$B$24),ISNUMBER('Inputs'!$B$28)),((('Results'!C7*(1+'Inputs'!$B$24)*(0.5*((((147-43)*MAX('Inputs'!$B$33,'Inputs'!$B$29+'Inputs'!$B$31+'Inputs'!$B$32,'Inputs'!$B$30+'Inputs'!$B$31+'Inputs'!$B$32)/1000+'Inputs'!$B$21)+'Inputs'!$B$9)/SQRT((((147-43)*MAX('Inputs'!$B$33,'Inputs'!$B$29+'Inputs'!$B$31+'Inputs'!$B$32,'Inputs'!$B$30+'Inputs'!$B$31+'Inputs'!$B$32)/1000+'Inputs'!$B$21)+'Inputs'!$B$9)^2+('Inputs'!$B$8/2)^2)-(((147-43)*MAX('Inputs'!$B$33,'Inputs'!$B$29+'Inputs'!$B$31+'Inputs'!$B$32,'Inputs'!$B$30+'Inputs'!$B$31+'Inputs'!$B$32)/1000+'Inputs'!$B$21))/SQRT((((147-43)*MAX('Inputs'!$B$33,'Inputs'!$B$29+'Inputs'!$B$31+'Inputs'!$B$32,'Inputs'!$B$30+'Inputs'!$B$31+'Inputs'!$B$32)/1000+'Inputs'!$B$21))^2+('Inputs'!$B$8/2)^2)))-'Results'!B7*(1-'Inputs'!$B$24)*(0.5*((((147-43)*MAX('Inputs'!$B$33,'Inputs'!$B$29+'Inputs'!$B$31+'Inputs'!$B$32,'Inputs'!$B$30+'Inputs'!$B$31+'Inputs'!$B$32)/1000+'Inputs'!$B$21+'Inputs'!$B$9+'Inputs'!$B$10)+'Inputs'!$B$7)/SQRT((((147-43)*MAX('Inputs'!$B$33,'Inputs'!$B$29+'Inputs'!$B$31+'Inputs'!$B$32,'Inputs'!$B$30+'Inputs'!$B$31+'Inputs'!$B$32)/1000+'Inputs'!$B$21+'Inputs'!$B$9+'Inputs'!$B$10)+'Inputs'!$B$7)^2+('Inputs'!$B$6/2)^2)-(((147-43)*MAX('Inputs'!$B$33,'Inputs'!$B$29+'Inputs'!$B$31+'Inputs'!$B$32,'Inputs'!$B$30+'Inputs'!$B$31+'Inputs'!$B$32)/1000+'Inputs'!$B$21+'Inputs'!$B$9+'Inputs'!$B$10))/SQRT((((147-43)*MAX('Inputs'!$B$33,'Inputs'!$B$29+'Inputs'!$B$31+'Inputs'!$B$32,'Inputs'!$B$30+'Inputs'!$B$31+'Inputs'!$B$32)/1000+'Inputs'!$B$21+'Inputs'!$B$9+'Inputs'!$B$10))^2+('Inputs'!$B$6/2)^2))))*'Results'!$B$8)+'Inputs'!$B$28*ABS((('Results'!C7*(1+'Inputs'!$B$24)*(0.5*((((147-43)*MAX('Inputs'!$B$33,'Inputs'!$B$29+'Inputs'!$B$31+'Inputs'!$B$32,'Inputs'!$B$30+'Inputs'!$B$31+'Inputs'!$B$32)/1000+'Inputs'!$B$21)+'Inputs'!$B$9)/SQRT((((147-43)*MAX('Inputs'!$B$33,'Inputs'!$B$29+'Inputs'!$B$31+'Inputs'!$B$32,'Inputs'!$B$30+'Inputs'!$B$31+'Inputs'!$B$32)/1000+'Inputs'!$B$21)+'Inputs'!$B$9)^2+('Inputs'!$B$8/2)^2)-(((147-43)*MAX('Inputs'!$B$33,'Inputs'!$B$29+'Inputs'!$B$31+'Inputs'!$B$32,'Inputs'!$B$30+'Inputs'!$B$31+'Inputs'!$B$32)/1000+'Inputs'!$B$21))/SQRT((((147-43)*MAX('Inputs'!$B$33,'Inputs'!$B$29+'Inputs'!$B$31+'Inputs'!$B$32,'Inputs'!$B$30+'Inputs'!$B$31+'Inputs'!$B$32)/1000+'Inputs'!$B$21))^2+('Inputs'!$B$8/2)^2)))-'Results'!B7*(1-'Inputs'!$B$24)*(0.5*((((147-43)*MAX('Inputs'!$B$33,'Inputs'!$B$29+'Inputs'!$B$31+'Inputs'!$B$32,'Inputs'!$B$30+'Inputs'!$B$31+'Inputs'!$B$32)/1000+'Inputs'!$B$21+'Inputs'!$B$9+'Inputs'!$B$10)+'Inputs'!$B$7)/SQRT((((147-43)*MAX('Inputs'!$B$33,'Inputs'!$B$29+'Inputs'!$B$31+'Inputs'!$B$32,'Inputs'!$B$30+'Inputs'!$B$31+'Inputs'!$B$32)/1000+'Inputs'!$B$21+'Inputs'!$B$9+'Inputs'!$B$10)+'Inputs'!$B$7)^2+('Inputs'!$B$6/2)^2)-(((147-43)*MAX('Inputs'!$B$33,'Inputs'!$B$29+'Inputs'!$B$31+'Inputs'!$B$32,'Inputs'!$B$30+'Inputs'!$B$31+'Inputs'!$B$32)/1000+'Inputs'!$B$21+'Inputs'!$B$9+'Inputs'!$B$10))/SQRT((((147-43)*MAX('Inputs'!$B$33,'Inputs'!$B$29+'Inputs'!$B$31+'Inputs'!$B$32,'Inputs'!$B$30+'Inputs'!$B$31+'Inputs'!$B$32)/1000+'Inputs'!$B$21+'Inputs'!$B$9+'Inputs'!$B$10))^2+('Inputs'!$B$6/2)^2))))*'Results'!$B$8))),"")</x:f>
        <x:v>361.927604244076</x:v>
      </x:c>
      <x:c r="P147" t="n">
        <x:f>IF(AND(MAX(J147,J146)&gt;0,J147&gt;J146+0.00000001),1,0)</x:f>
        <x:v>0</x:v>
      </x:c>
      <x:c r="Q147" t="n">
        <x:f>IF(AND(MAX(K147,K146)&gt;0,K147&gt;K146+0.00000001),1,0)</x:f>
        <x:v>0</x:v>
      </x:c>
      <x:c r="R147" t="n">
        <x:f>IF(AND(MAX(L147,L146)&gt;0,L147&gt;L146+0.00000001),1,0)</x:f>
        <x:v>0</x:v>
      </x:c>
      <x:c r="S147" t="n">
        <x:f>IF(AND(MAX(M147,M146)&gt;0,M147&gt;M146+0.00000001),1,0)</x:f>
        <x:v>0</x:v>
      </x:c>
      <x:c r="T147" t="n">
        <x:f>IF(AND(MAX(N147,N146)&gt;0,N147&gt;N146+0.00000001),1,0)</x:f>
        <x:v>0</x:v>
      </x:c>
      <x:c r="U147" t="n">
        <x:f>IF(AND(MAX(O147,O146)&gt;0,O147&gt;O146+0.00000001),1,0)</x:f>
        <x:v>0</x:v>
      </x:c>
    </x:row>
    <x:row r="148">
      <x:c r="J148" t="n">
        <x:f>IF(AND(ISNUMBER('Results'!B7),ISNUMBER('Results'!C7),ISNUMBER('Results'!$B$8),ISNUMBER('Inputs'!$B$6),ISNUMBER('Inputs'!$B$7),ISNUMBER('Inputs'!$B$8),ISNUMBER('Inputs'!$B$9),ISNUMBER('Inputs'!$B$10),ISNUMBER('Inputs'!$B$21),ISNUMBER('Inputs'!$B$24),ISNUMBER('Inputs'!$B$28)),(('Results'!B7*(0.5*((((148-43)*MAX('Inputs'!$B$33,'Inputs'!$B$29+'Inputs'!$B$31+'Inputs'!$B$32,'Inputs'!$B$30+'Inputs'!$B$31+'Inputs'!$B$32)/1000+'Inputs'!$B$21)+'Inputs'!$B$7)/SQRT((((148-43)*MAX('Inputs'!$B$33,'Inputs'!$B$29+'Inputs'!$B$31+'Inputs'!$B$32,'Inputs'!$B$30+'Inputs'!$B$31+'Inputs'!$B$32)/1000+'Inputs'!$B$21)+'Inputs'!$B$7)^2+('Inputs'!$B$6/2)^2)-(((148-43)*MAX('Inputs'!$B$33,'Inputs'!$B$29+'Inputs'!$B$31+'Inputs'!$B$32,'Inputs'!$B$30+'Inputs'!$B$31+'Inputs'!$B$32)/1000+'Inputs'!$B$21))/SQRT((((148-43)*MAX('Inputs'!$B$33,'Inputs'!$B$29+'Inputs'!$B$31+'Inputs'!$B$32,'Inputs'!$B$30+'Inputs'!$B$31+'Inputs'!$B$32)/1000+'Inputs'!$B$21))^2+('Inputs'!$B$6/2)^2)))-'Results'!C7*(0.5*((((148-43)*MAX('Inputs'!$B$33,'Inputs'!$B$29+'Inputs'!$B$31+'Inputs'!$B$32,'Inputs'!$B$30+'Inputs'!$B$31+'Inputs'!$B$32)/1000+'Inputs'!$B$21+'Inputs'!$B$7+'Inputs'!$B$10)+'Inputs'!$B$9)/SQRT((((148-43)*MAX('Inputs'!$B$33,'Inputs'!$B$29+'Inputs'!$B$31+'Inputs'!$B$32,'Inputs'!$B$30+'Inputs'!$B$31+'Inputs'!$B$32)/1000+'Inputs'!$B$21+'Inputs'!$B$7+'Inputs'!$B$10)+'Inputs'!$B$9)^2+('Inputs'!$B$8/2)^2)-(((148-43)*MAX('Inputs'!$B$33,'Inputs'!$B$29+'Inputs'!$B$31+'Inputs'!$B$32,'Inputs'!$B$30+'Inputs'!$B$31+'Inputs'!$B$32)/1000+'Inputs'!$B$21+'Inputs'!$B$7+'Inputs'!$B$10))/SQRT((((148-43)*MAX('Inputs'!$B$33,'Inputs'!$B$29+'Inputs'!$B$31+'Inputs'!$B$32,'Inputs'!$B$30+'Inputs'!$B$31+'Inputs'!$B$32)/1000+'Inputs'!$B$21+'Inputs'!$B$7+'Inputs'!$B$10))^2+('Inputs'!$B$8/2)^2))))*'Results'!$B$8),"")</x:f>
        <x:v>338.4850185720621</x:v>
      </x:c>
      <x:c r="K148" t="n">
        <x:f>IF(AND(ISNUMBER('Results'!B7),ISNUMBER('Results'!C7),ISNUMBER('Results'!$B$8),ISNUMBER('Inputs'!$B$6),ISNUMBER('Inputs'!$B$7),ISNUMBER('Inputs'!$B$8),ISNUMBER('Inputs'!$B$9),ISNUMBER('Inputs'!$B$10),ISNUMBER('Inputs'!$B$21),ISNUMBER('Inputs'!$B$24),ISNUMBER('Inputs'!$B$28)),((('Results'!B7*(1-'Inputs'!$B$24)*(0.5*((((148-43)*MAX('Inputs'!$B$33,'Inputs'!$B$29+'Inputs'!$B$31+'Inputs'!$B$32,'Inputs'!$B$30+'Inputs'!$B$31+'Inputs'!$B$32)/1000+'Inputs'!$B$21)+'Inputs'!$B$7)/SQRT((((148-43)*MAX('Inputs'!$B$33,'Inputs'!$B$29+'Inputs'!$B$31+'Inputs'!$B$32,'Inputs'!$B$30+'Inputs'!$B$31+'Inputs'!$B$32)/1000+'Inputs'!$B$21)+'Inputs'!$B$7)^2+('Inputs'!$B$6/2)^2)-(((148-43)*MAX('Inputs'!$B$33,'Inputs'!$B$29+'Inputs'!$B$31+'Inputs'!$B$32,'Inputs'!$B$30+'Inputs'!$B$31+'Inputs'!$B$32)/1000+'Inputs'!$B$21))/SQRT((((148-43)*MAX('Inputs'!$B$33,'Inputs'!$B$29+'Inputs'!$B$31+'Inputs'!$B$32,'Inputs'!$B$30+'Inputs'!$B$31+'Inputs'!$B$32)/1000+'Inputs'!$B$21))^2+('Inputs'!$B$6/2)^2)))-'Results'!C7*(1+'Inputs'!$B$24)*(0.5*((((148-43)*MAX('Inputs'!$B$33,'Inputs'!$B$29+'Inputs'!$B$31+'Inputs'!$B$32,'Inputs'!$B$30+'Inputs'!$B$31+'Inputs'!$B$32)/1000+'Inputs'!$B$21+'Inputs'!$B$7+'Inputs'!$B$10)+'Inputs'!$B$9)/SQRT((((148-43)*MAX('Inputs'!$B$33,'Inputs'!$B$29+'Inputs'!$B$31+'Inputs'!$B$32,'Inputs'!$B$30+'Inputs'!$B$31+'Inputs'!$B$32)/1000+'Inputs'!$B$21+'Inputs'!$B$7+'Inputs'!$B$10)+'Inputs'!$B$9)^2+('Inputs'!$B$8/2)^2)-(((148-43)*MAX('Inputs'!$B$33,'Inputs'!$B$29+'Inputs'!$B$31+'Inputs'!$B$32,'Inputs'!$B$30+'Inputs'!$B$31+'Inputs'!$B$32)/1000+'Inputs'!$B$21+'Inputs'!$B$7+'Inputs'!$B$10))/SQRT((((148-43)*MAX('Inputs'!$B$33,'Inputs'!$B$29+'Inputs'!$B$31+'Inputs'!$B$32,'Inputs'!$B$30+'Inputs'!$B$31+'Inputs'!$B$32)/1000+'Inputs'!$B$21+'Inputs'!$B$7+'Inputs'!$B$10))^2+('Inputs'!$B$8/2)^2))))*'Results'!$B$8)-'Inputs'!$B$28*ABS((('Results'!B7*(1-'Inputs'!$B$24)*(0.5*((((148-43)*MAX('Inputs'!$B$33,'Inputs'!$B$29+'Inputs'!$B$31+'Inputs'!$B$32,'Inputs'!$B$30+'Inputs'!$B$31+'Inputs'!$B$32)/1000+'Inputs'!$B$21)+'Inputs'!$B$7)/SQRT((((148-43)*MAX('Inputs'!$B$33,'Inputs'!$B$29+'Inputs'!$B$31+'Inputs'!$B$32,'Inputs'!$B$30+'Inputs'!$B$31+'Inputs'!$B$32)/1000+'Inputs'!$B$21)+'Inputs'!$B$7)^2+('Inputs'!$B$6/2)^2)-(((148-43)*MAX('Inputs'!$B$33,'Inputs'!$B$29+'Inputs'!$B$31+'Inputs'!$B$32,'Inputs'!$B$30+'Inputs'!$B$31+'Inputs'!$B$32)/1000+'Inputs'!$B$21))/SQRT((((148-43)*MAX('Inputs'!$B$33,'Inputs'!$B$29+'Inputs'!$B$31+'Inputs'!$B$32,'Inputs'!$B$30+'Inputs'!$B$31+'Inputs'!$B$32)/1000+'Inputs'!$B$21))^2+('Inputs'!$B$6/2)^2)))-'Results'!C7*(1+'Inputs'!$B$24)*(0.5*((((148-43)*MAX('Inputs'!$B$33,'Inputs'!$B$29+'Inputs'!$B$31+'Inputs'!$B$32,'Inputs'!$B$30+'Inputs'!$B$31+'Inputs'!$B$32)/1000+'Inputs'!$B$21+'Inputs'!$B$7+'Inputs'!$B$10)+'Inputs'!$B$9)/SQRT((((148-43)*MAX('Inputs'!$B$33,'Inputs'!$B$29+'Inputs'!$B$31+'Inputs'!$B$32,'Inputs'!$B$30+'Inputs'!$B$31+'Inputs'!$B$32)/1000+'Inputs'!$B$21+'Inputs'!$B$7+'Inputs'!$B$10)+'Inputs'!$B$9)^2+('Inputs'!$B$8/2)^2)-(((148-43)*MAX('Inputs'!$B$33,'Inputs'!$B$29+'Inputs'!$B$31+'Inputs'!$B$32,'Inputs'!$B$30+'Inputs'!$B$31+'Inputs'!$B$32)/1000+'Inputs'!$B$21+'Inputs'!$B$7+'Inputs'!$B$10))/SQRT((((148-43)*MAX('Inputs'!$B$33,'Inputs'!$B$29+'Inputs'!$B$31+'Inputs'!$B$32,'Inputs'!$B$30+'Inputs'!$B$31+'Inputs'!$B$32)/1000+'Inputs'!$B$21+'Inputs'!$B$7+'Inputs'!$B$10))^2+('Inputs'!$B$8/2)^2))))*'Results'!$B$8))),"")</x:f>
        <x:v>312.01174986861656</x:v>
      </x:c>
      <x:c r="L148" t="n">
        <x:f>IF(AND(ISNUMBER('Results'!B7),ISNUMBER('Results'!C7),ISNUMBER('Results'!$B$8),ISNUMBER('Inputs'!$B$6),ISNUMBER('Inputs'!$B$7),ISNUMBER('Inputs'!$B$8),ISNUMBER('Inputs'!$B$9),ISNUMBER('Inputs'!$B$10),ISNUMBER('Inputs'!$B$21),ISNUMBER('Inputs'!$B$24),ISNUMBER('Inputs'!$B$28)),((('Results'!B7*(1+'Inputs'!$B$24)*(0.5*((((148-43)*MAX('Inputs'!$B$33,'Inputs'!$B$29+'Inputs'!$B$31+'Inputs'!$B$32,'Inputs'!$B$30+'Inputs'!$B$31+'Inputs'!$B$32)/1000+'Inputs'!$B$21)+'Inputs'!$B$7)/SQRT((((148-43)*MAX('Inputs'!$B$33,'Inputs'!$B$29+'Inputs'!$B$31+'Inputs'!$B$32,'Inputs'!$B$30+'Inputs'!$B$31+'Inputs'!$B$32)/1000+'Inputs'!$B$21)+'Inputs'!$B$7)^2+('Inputs'!$B$6/2)^2)-(((148-43)*MAX('Inputs'!$B$33,'Inputs'!$B$29+'Inputs'!$B$31+'Inputs'!$B$32,'Inputs'!$B$30+'Inputs'!$B$31+'Inputs'!$B$32)/1000+'Inputs'!$B$21))/SQRT((((148-43)*MAX('Inputs'!$B$33,'Inputs'!$B$29+'Inputs'!$B$31+'Inputs'!$B$32,'Inputs'!$B$30+'Inputs'!$B$31+'Inputs'!$B$32)/1000+'Inputs'!$B$21))^2+('Inputs'!$B$6/2)^2)))-'Results'!C7*(1-'Inputs'!$B$24)*(0.5*((((148-43)*MAX('Inputs'!$B$33,'Inputs'!$B$29+'Inputs'!$B$31+'Inputs'!$B$32,'Inputs'!$B$30+'Inputs'!$B$31+'Inputs'!$B$32)/1000+'Inputs'!$B$21+'Inputs'!$B$7+'Inputs'!$B$10)+'Inputs'!$B$9)/SQRT((((148-43)*MAX('Inputs'!$B$33,'Inputs'!$B$29+'Inputs'!$B$31+'Inputs'!$B$32,'Inputs'!$B$30+'Inputs'!$B$31+'Inputs'!$B$32)/1000+'Inputs'!$B$21+'Inputs'!$B$7+'Inputs'!$B$10)+'Inputs'!$B$9)^2+('Inputs'!$B$8/2)^2)-(((148-43)*MAX('Inputs'!$B$33,'Inputs'!$B$29+'Inputs'!$B$31+'Inputs'!$B$32,'Inputs'!$B$30+'Inputs'!$B$31+'Inputs'!$B$32)/1000+'Inputs'!$B$21+'Inputs'!$B$7+'Inputs'!$B$10))/SQRT((((148-43)*MAX('Inputs'!$B$33,'Inputs'!$B$29+'Inputs'!$B$31+'Inputs'!$B$32,'Inputs'!$B$30+'Inputs'!$B$31+'Inputs'!$B$32)/1000+'Inputs'!$B$21+'Inputs'!$B$7+'Inputs'!$B$10))^2+('Inputs'!$B$8/2)^2))))*'Results'!$B$8)+'Inputs'!$B$28*ABS((('Results'!B7*(1+'Inputs'!$B$24)*(0.5*((((148-43)*MAX('Inputs'!$B$33,'Inputs'!$B$29+'Inputs'!$B$31+'Inputs'!$B$32,'Inputs'!$B$30+'Inputs'!$B$31+'Inputs'!$B$32)/1000+'Inputs'!$B$21)+'Inputs'!$B$7)/SQRT((((148-43)*MAX('Inputs'!$B$33,'Inputs'!$B$29+'Inputs'!$B$31+'Inputs'!$B$32,'Inputs'!$B$30+'Inputs'!$B$31+'Inputs'!$B$32)/1000+'Inputs'!$B$21)+'Inputs'!$B$7)^2+('Inputs'!$B$6/2)^2)-(((148-43)*MAX('Inputs'!$B$33,'Inputs'!$B$29+'Inputs'!$B$31+'Inputs'!$B$32,'Inputs'!$B$30+'Inputs'!$B$31+'Inputs'!$B$32)/1000+'Inputs'!$B$21))/SQRT((((148-43)*MAX('Inputs'!$B$33,'Inputs'!$B$29+'Inputs'!$B$31+'Inputs'!$B$32,'Inputs'!$B$30+'Inputs'!$B$31+'Inputs'!$B$32)/1000+'Inputs'!$B$21))^2+('Inputs'!$B$6/2)^2)))-'Results'!C7*(1-'Inputs'!$B$24)*(0.5*((((148-43)*MAX('Inputs'!$B$33,'Inputs'!$B$29+'Inputs'!$B$31+'Inputs'!$B$32,'Inputs'!$B$30+'Inputs'!$B$31+'Inputs'!$B$32)/1000+'Inputs'!$B$21+'Inputs'!$B$7+'Inputs'!$B$10)+'Inputs'!$B$9)/SQRT((((148-43)*MAX('Inputs'!$B$33,'Inputs'!$B$29+'Inputs'!$B$31+'Inputs'!$B$32,'Inputs'!$B$30+'Inputs'!$B$31+'Inputs'!$B$32)/1000+'Inputs'!$B$21+'Inputs'!$B$7+'Inputs'!$B$10)+'Inputs'!$B$9)^2+('Inputs'!$B$8/2)^2)-(((148-43)*MAX('Inputs'!$B$33,'Inputs'!$B$29+'Inputs'!$B$31+'Inputs'!$B$32,'Inputs'!$B$30+'Inputs'!$B$31+'Inputs'!$B$32)/1000+'Inputs'!$B$21+'Inputs'!$B$7+'Inputs'!$B$10))/SQRT((((148-43)*MAX('Inputs'!$B$33,'Inputs'!$B$29+'Inputs'!$B$31+'Inputs'!$B$32,'Inputs'!$B$30+'Inputs'!$B$31+'Inputs'!$B$32)/1000+'Inputs'!$B$21+'Inputs'!$B$7+'Inputs'!$B$10))^2+('Inputs'!$B$8/2)^2))))*'Results'!$B$8))),"")</x:f>
        <x:v>365.9634470412805</x:v>
      </x:c>
      <x:c r="M148" t="n">
        <x:f>IF(AND(ISNUMBER('Results'!C7),ISNUMBER('Results'!B7),ISNUMBER('Results'!$B$8),ISNUMBER('Inputs'!$B$6),ISNUMBER('Inputs'!$B$7),ISNUMBER('Inputs'!$B$8),ISNUMBER('Inputs'!$B$9),ISNUMBER('Inputs'!$B$10),ISNUMBER('Inputs'!$B$21),ISNUMBER('Inputs'!$B$24),ISNUMBER('Inputs'!$B$28)),(('Results'!C7*(0.5*((((148-43)*MAX('Inputs'!$B$33,'Inputs'!$B$29+'Inputs'!$B$31+'Inputs'!$B$32,'Inputs'!$B$30+'Inputs'!$B$31+'Inputs'!$B$32)/1000+'Inputs'!$B$21)+'Inputs'!$B$9)/SQRT((((148-43)*MAX('Inputs'!$B$33,'Inputs'!$B$29+'Inputs'!$B$31+'Inputs'!$B$32,'Inputs'!$B$30+'Inputs'!$B$31+'Inputs'!$B$32)/1000+'Inputs'!$B$21)+'Inputs'!$B$9)^2+('Inputs'!$B$8/2)^2)-(((148-43)*MAX('Inputs'!$B$33,'Inputs'!$B$29+'Inputs'!$B$31+'Inputs'!$B$32,'Inputs'!$B$30+'Inputs'!$B$31+'Inputs'!$B$32)/1000+'Inputs'!$B$21))/SQRT((((148-43)*MAX('Inputs'!$B$33,'Inputs'!$B$29+'Inputs'!$B$31+'Inputs'!$B$32,'Inputs'!$B$30+'Inputs'!$B$31+'Inputs'!$B$32)/1000+'Inputs'!$B$21))^2+('Inputs'!$B$8/2)^2)))-'Results'!B7*(0.5*((((148-43)*MAX('Inputs'!$B$33,'Inputs'!$B$29+'Inputs'!$B$31+'Inputs'!$B$32,'Inputs'!$B$30+'Inputs'!$B$31+'Inputs'!$B$32)/1000+'Inputs'!$B$21+'Inputs'!$B$9+'Inputs'!$B$10)+'Inputs'!$B$7)/SQRT((((148-43)*MAX('Inputs'!$B$33,'Inputs'!$B$29+'Inputs'!$B$31+'Inputs'!$B$32,'Inputs'!$B$30+'Inputs'!$B$31+'Inputs'!$B$32)/1000+'Inputs'!$B$21+'Inputs'!$B$9+'Inputs'!$B$10)+'Inputs'!$B$7)^2+('Inputs'!$B$6/2)^2)-(((148-43)*MAX('Inputs'!$B$33,'Inputs'!$B$29+'Inputs'!$B$31+'Inputs'!$B$32,'Inputs'!$B$30+'Inputs'!$B$31+'Inputs'!$B$32)/1000+'Inputs'!$B$21+'Inputs'!$B$9+'Inputs'!$B$10))/SQRT((((148-43)*MAX('Inputs'!$B$33,'Inputs'!$B$29+'Inputs'!$B$31+'Inputs'!$B$32,'Inputs'!$B$30+'Inputs'!$B$31+'Inputs'!$B$32)/1000+'Inputs'!$B$21+'Inputs'!$B$9+'Inputs'!$B$10))^2+('Inputs'!$B$6/2)^2))))*'Results'!$B$8),"")</x:f>
        <x:v>328.39993216651396</x:v>
      </x:c>
      <x:c r="N148" t="n">
        <x:f>IF(AND(ISNUMBER('Results'!C7),ISNUMBER('Results'!B7),ISNUMBER('Results'!$B$8),ISNUMBER('Inputs'!$B$6),ISNUMBER('Inputs'!$B$7),ISNUMBER('Inputs'!$B$8),ISNUMBER('Inputs'!$B$9),ISNUMBER('Inputs'!$B$10),ISNUMBER('Inputs'!$B$21),ISNUMBER('Inputs'!$B$24),ISNUMBER('Inputs'!$B$28)),((('Results'!C7*(1-'Inputs'!$B$24)*(0.5*((((148-43)*MAX('Inputs'!$B$33,'Inputs'!$B$29+'Inputs'!$B$31+'Inputs'!$B$32,'Inputs'!$B$30+'Inputs'!$B$31+'Inputs'!$B$32)/1000+'Inputs'!$B$21)+'Inputs'!$B$9)/SQRT((((148-43)*MAX('Inputs'!$B$33,'Inputs'!$B$29+'Inputs'!$B$31+'Inputs'!$B$32,'Inputs'!$B$30+'Inputs'!$B$31+'Inputs'!$B$32)/1000+'Inputs'!$B$21)+'Inputs'!$B$9)^2+('Inputs'!$B$8/2)^2)-(((148-43)*MAX('Inputs'!$B$33,'Inputs'!$B$29+'Inputs'!$B$31+'Inputs'!$B$32,'Inputs'!$B$30+'Inputs'!$B$31+'Inputs'!$B$32)/1000+'Inputs'!$B$21))/SQRT((((148-43)*MAX('Inputs'!$B$33,'Inputs'!$B$29+'Inputs'!$B$31+'Inputs'!$B$32,'Inputs'!$B$30+'Inputs'!$B$31+'Inputs'!$B$32)/1000+'Inputs'!$B$21))^2+('Inputs'!$B$8/2)^2)))-'Results'!B7*(1+'Inputs'!$B$24)*(0.5*((((148-43)*MAX('Inputs'!$B$33,'Inputs'!$B$29+'Inputs'!$B$31+'Inputs'!$B$32,'Inputs'!$B$30+'Inputs'!$B$31+'Inputs'!$B$32)/1000+'Inputs'!$B$21+'Inputs'!$B$9+'Inputs'!$B$10)+'Inputs'!$B$7)/SQRT((((148-43)*MAX('Inputs'!$B$33,'Inputs'!$B$29+'Inputs'!$B$31+'Inputs'!$B$32,'Inputs'!$B$30+'Inputs'!$B$31+'Inputs'!$B$32)/1000+'Inputs'!$B$21+'Inputs'!$B$9+'Inputs'!$B$10)+'Inputs'!$B$7)^2+('Inputs'!$B$6/2)^2)-(((148-43)*MAX('Inputs'!$B$33,'Inputs'!$B$29+'Inputs'!$B$31+'Inputs'!$B$32,'Inputs'!$B$30+'Inputs'!$B$31+'Inputs'!$B$32)/1000+'Inputs'!$B$21+'Inputs'!$B$9+'Inputs'!$B$10))/SQRT((((148-43)*MAX('Inputs'!$B$33,'Inputs'!$B$29+'Inputs'!$B$31+'Inputs'!$B$32,'Inputs'!$B$30+'Inputs'!$B$31+'Inputs'!$B$32)/1000+'Inputs'!$B$21+'Inputs'!$B$9+'Inputs'!$B$10))^2+('Inputs'!$B$6/2)^2))))*'Results'!$B$8)-'Inputs'!$B$28*ABS((('Results'!C7*(1-'Inputs'!$B$24)*(0.5*((((148-43)*MAX('Inputs'!$B$33,'Inputs'!$B$29+'Inputs'!$B$31+'Inputs'!$B$32,'Inputs'!$B$30+'Inputs'!$B$31+'Inputs'!$B$32)/1000+'Inputs'!$B$21)+'Inputs'!$B$9)/SQRT((((148-43)*MAX('Inputs'!$B$33,'Inputs'!$B$29+'Inputs'!$B$31+'Inputs'!$B$32,'Inputs'!$B$30+'Inputs'!$B$31+'Inputs'!$B$32)/1000+'Inputs'!$B$21)+'Inputs'!$B$9)^2+('Inputs'!$B$8/2)^2)-(((148-43)*MAX('Inputs'!$B$33,'Inputs'!$B$29+'Inputs'!$B$31+'Inputs'!$B$32,'Inputs'!$B$30+'Inputs'!$B$31+'Inputs'!$B$32)/1000+'Inputs'!$B$21))/SQRT((((148-43)*MAX('Inputs'!$B$33,'Inputs'!$B$29+'Inputs'!$B$31+'Inputs'!$B$32,'Inputs'!$B$30+'Inputs'!$B$31+'Inputs'!$B$32)/1000+'Inputs'!$B$21))^2+('Inputs'!$B$8/2)^2)))-'Results'!B7*(1+'Inputs'!$B$24)*(0.5*((((148-43)*MAX('Inputs'!$B$33,'Inputs'!$B$29+'Inputs'!$B$31+'Inputs'!$B$32,'Inputs'!$B$30+'Inputs'!$B$31+'Inputs'!$B$32)/1000+'Inputs'!$B$21+'Inputs'!$B$9+'Inputs'!$B$10)+'Inputs'!$B$7)/SQRT((((148-43)*MAX('Inputs'!$B$33,'Inputs'!$B$29+'Inputs'!$B$31+'Inputs'!$B$32,'Inputs'!$B$30+'Inputs'!$B$31+'Inputs'!$B$32)/1000+'Inputs'!$B$21+'Inputs'!$B$9+'Inputs'!$B$10)+'Inputs'!$B$7)^2+('Inputs'!$B$6/2)^2)-(((148-43)*MAX('Inputs'!$B$33,'Inputs'!$B$29+'Inputs'!$B$31+'Inputs'!$B$32,'Inputs'!$B$30+'Inputs'!$B$31+'Inputs'!$B$32)/1000+'Inputs'!$B$21+'Inputs'!$B$9+'Inputs'!$B$10))/SQRT((((148-43)*MAX('Inputs'!$B$33,'Inputs'!$B$29+'Inputs'!$B$31+'Inputs'!$B$32,'Inputs'!$B$30+'Inputs'!$B$31+'Inputs'!$B$32)/1000+'Inputs'!$B$21+'Inputs'!$B$9+'Inputs'!$B$10))^2+('Inputs'!$B$6/2)^2))))*'Results'!$B$8))),"")</x:f>
        <x:v>302.5589058041947</x:v>
      </x:c>
      <x:c r="O148" t="n">
        <x:f>IF(AND(ISNUMBER('Results'!C7),ISNUMBER('Results'!B7),ISNUMBER('Results'!$B$8),ISNUMBER('Inputs'!$B$6),ISNUMBER('Inputs'!$B$7),ISNUMBER('Inputs'!$B$8),ISNUMBER('Inputs'!$B$9),ISNUMBER('Inputs'!$B$10),ISNUMBER('Inputs'!$B$21),ISNUMBER('Inputs'!$B$24),ISNUMBER('Inputs'!$B$28)),((('Results'!C7*(1+'Inputs'!$B$24)*(0.5*((((148-43)*MAX('Inputs'!$B$33,'Inputs'!$B$29+'Inputs'!$B$31+'Inputs'!$B$32,'Inputs'!$B$30+'Inputs'!$B$31+'Inputs'!$B$32)/1000+'Inputs'!$B$21)+'Inputs'!$B$9)/SQRT((((148-43)*MAX('Inputs'!$B$33,'Inputs'!$B$29+'Inputs'!$B$31+'Inputs'!$B$32,'Inputs'!$B$30+'Inputs'!$B$31+'Inputs'!$B$32)/1000+'Inputs'!$B$21)+'Inputs'!$B$9)^2+('Inputs'!$B$8/2)^2)-(((148-43)*MAX('Inputs'!$B$33,'Inputs'!$B$29+'Inputs'!$B$31+'Inputs'!$B$32,'Inputs'!$B$30+'Inputs'!$B$31+'Inputs'!$B$32)/1000+'Inputs'!$B$21))/SQRT((((148-43)*MAX('Inputs'!$B$33,'Inputs'!$B$29+'Inputs'!$B$31+'Inputs'!$B$32,'Inputs'!$B$30+'Inputs'!$B$31+'Inputs'!$B$32)/1000+'Inputs'!$B$21))^2+('Inputs'!$B$8/2)^2)))-'Results'!B7*(1-'Inputs'!$B$24)*(0.5*((((148-43)*MAX('Inputs'!$B$33,'Inputs'!$B$29+'Inputs'!$B$31+'Inputs'!$B$32,'Inputs'!$B$30+'Inputs'!$B$31+'Inputs'!$B$32)/1000+'Inputs'!$B$21+'Inputs'!$B$9+'Inputs'!$B$10)+'Inputs'!$B$7)/SQRT((((148-43)*MAX('Inputs'!$B$33,'Inputs'!$B$29+'Inputs'!$B$31+'Inputs'!$B$32,'Inputs'!$B$30+'Inputs'!$B$31+'Inputs'!$B$32)/1000+'Inputs'!$B$21+'Inputs'!$B$9+'Inputs'!$B$10)+'Inputs'!$B$7)^2+('Inputs'!$B$6/2)^2)-(((148-43)*MAX('Inputs'!$B$33,'Inputs'!$B$29+'Inputs'!$B$31+'Inputs'!$B$32,'Inputs'!$B$30+'Inputs'!$B$31+'Inputs'!$B$32)/1000+'Inputs'!$B$21+'Inputs'!$B$9+'Inputs'!$B$10))/SQRT((((148-43)*MAX('Inputs'!$B$33,'Inputs'!$B$29+'Inputs'!$B$31+'Inputs'!$B$32,'Inputs'!$B$30+'Inputs'!$B$31+'Inputs'!$B$32)/1000+'Inputs'!$B$21+'Inputs'!$B$9+'Inputs'!$B$10))^2+('Inputs'!$B$6/2)^2))))*'Results'!$B$8)+'Inputs'!$B$28*ABS((('Results'!C7*(1+'Inputs'!$B$24)*(0.5*((((148-43)*MAX('Inputs'!$B$33,'Inputs'!$B$29+'Inputs'!$B$31+'Inputs'!$B$32,'Inputs'!$B$30+'Inputs'!$B$31+'Inputs'!$B$32)/1000+'Inputs'!$B$21)+'Inputs'!$B$9)/SQRT((((148-43)*MAX('Inputs'!$B$33,'Inputs'!$B$29+'Inputs'!$B$31+'Inputs'!$B$32,'Inputs'!$B$30+'Inputs'!$B$31+'Inputs'!$B$32)/1000+'Inputs'!$B$21)+'Inputs'!$B$9)^2+('Inputs'!$B$8/2)^2)-(((148-43)*MAX('Inputs'!$B$33,'Inputs'!$B$29+'Inputs'!$B$31+'Inputs'!$B$32,'Inputs'!$B$30+'Inputs'!$B$31+'Inputs'!$B$32)/1000+'Inputs'!$B$21))/SQRT((((148-43)*MAX('Inputs'!$B$33,'Inputs'!$B$29+'Inputs'!$B$31+'Inputs'!$B$32,'Inputs'!$B$30+'Inputs'!$B$31+'Inputs'!$B$32)/1000+'Inputs'!$B$21))^2+('Inputs'!$B$8/2)^2)))-'Results'!B7*(1-'Inputs'!$B$24)*(0.5*((((148-43)*MAX('Inputs'!$B$33,'Inputs'!$B$29+'Inputs'!$B$31+'Inputs'!$B$32,'Inputs'!$B$30+'Inputs'!$B$31+'Inputs'!$B$32)/1000+'Inputs'!$B$21+'Inputs'!$B$9+'Inputs'!$B$10)+'Inputs'!$B$7)/SQRT((((148-43)*MAX('Inputs'!$B$33,'Inputs'!$B$29+'Inputs'!$B$31+'Inputs'!$B$32,'Inputs'!$B$30+'Inputs'!$B$31+'Inputs'!$B$32)/1000+'Inputs'!$B$21+'Inputs'!$B$9+'Inputs'!$B$10)+'Inputs'!$B$7)^2+('Inputs'!$B$6/2)^2)-(((148-43)*MAX('Inputs'!$B$33,'Inputs'!$B$29+'Inputs'!$B$31+'Inputs'!$B$32,'Inputs'!$B$30+'Inputs'!$B$31+'Inputs'!$B$32)/1000+'Inputs'!$B$21+'Inputs'!$B$9+'Inputs'!$B$10))/SQRT((((148-43)*MAX('Inputs'!$B$33,'Inputs'!$B$29+'Inputs'!$B$31+'Inputs'!$B$32,'Inputs'!$B$30+'Inputs'!$B$31+'Inputs'!$B$32)/1000+'Inputs'!$B$21+'Inputs'!$B$9+'Inputs'!$B$10))^2+('Inputs'!$B$6/2)^2))))*'Results'!$B$8))),"")</x:f>
        <x:v>355.23264587135895</x:v>
      </x:c>
      <x:c r="P148" t="n">
        <x:f>IF(AND(MAX(J148,J147)&gt;0,J148&gt;J147+0.00000001),1,0)</x:f>
        <x:v>0</x:v>
      </x:c>
      <x:c r="Q148" t="n">
        <x:f>IF(AND(MAX(K148,K147)&gt;0,K148&gt;K147+0.00000001),1,0)</x:f>
        <x:v>0</x:v>
      </x:c>
      <x:c r="R148" t="n">
        <x:f>IF(AND(MAX(L148,L147)&gt;0,L148&gt;L147+0.00000001),1,0)</x:f>
        <x:v>0</x:v>
      </x:c>
      <x:c r="S148" t="n">
        <x:f>IF(AND(MAX(M148,M147)&gt;0,M148&gt;M147+0.00000001),1,0)</x:f>
        <x:v>0</x:v>
      </x:c>
      <x:c r="T148" t="n">
        <x:f>IF(AND(MAX(N148,N147)&gt;0,N148&gt;N147+0.00000001),1,0)</x:f>
        <x:v>0</x:v>
      </x:c>
      <x:c r="U148" t="n">
        <x:f>IF(AND(MAX(O148,O147)&gt;0,O148&gt;O147+0.00000001),1,0)</x:f>
        <x:v>0</x:v>
      </x:c>
    </x:row>
    <x:row r="149">
      <x:c r="J149" t="n">
        <x:f>IF(AND(ISNUMBER('Results'!B7),ISNUMBER('Results'!C7),ISNUMBER('Results'!$B$8),ISNUMBER('Inputs'!$B$6),ISNUMBER('Inputs'!$B$7),ISNUMBER('Inputs'!$B$8),ISNUMBER('Inputs'!$B$9),ISNUMBER('Inputs'!$B$10),ISNUMBER('Inputs'!$B$21),ISNUMBER('Inputs'!$B$24),ISNUMBER('Inputs'!$B$28)),(('Results'!B7*(0.5*((((149-43)*MAX('Inputs'!$B$33,'Inputs'!$B$29+'Inputs'!$B$31+'Inputs'!$B$32,'Inputs'!$B$30+'Inputs'!$B$31+'Inputs'!$B$32)/1000+'Inputs'!$B$21)+'Inputs'!$B$7)/SQRT((((149-43)*MAX('Inputs'!$B$33,'Inputs'!$B$29+'Inputs'!$B$31+'Inputs'!$B$32,'Inputs'!$B$30+'Inputs'!$B$31+'Inputs'!$B$32)/1000+'Inputs'!$B$21)+'Inputs'!$B$7)^2+('Inputs'!$B$6/2)^2)-(((149-43)*MAX('Inputs'!$B$33,'Inputs'!$B$29+'Inputs'!$B$31+'Inputs'!$B$32,'Inputs'!$B$30+'Inputs'!$B$31+'Inputs'!$B$32)/1000+'Inputs'!$B$21))/SQRT((((149-43)*MAX('Inputs'!$B$33,'Inputs'!$B$29+'Inputs'!$B$31+'Inputs'!$B$32,'Inputs'!$B$30+'Inputs'!$B$31+'Inputs'!$B$32)/1000+'Inputs'!$B$21))^2+('Inputs'!$B$6/2)^2)))-'Results'!C7*(0.5*((((149-43)*MAX('Inputs'!$B$33,'Inputs'!$B$29+'Inputs'!$B$31+'Inputs'!$B$32,'Inputs'!$B$30+'Inputs'!$B$31+'Inputs'!$B$32)/1000+'Inputs'!$B$21+'Inputs'!$B$7+'Inputs'!$B$10)+'Inputs'!$B$9)/SQRT((((149-43)*MAX('Inputs'!$B$33,'Inputs'!$B$29+'Inputs'!$B$31+'Inputs'!$B$32,'Inputs'!$B$30+'Inputs'!$B$31+'Inputs'!$B$32)/1000+'Inputs'!$B$21+'Inputs'!$B$7+'Inputs'!$B$10)+'Inputs'!$B$9)^2+('Inputs'!$B$8/2)^2)-(((149-43)*MAX('Inputs'!$B$33,'Inputs'!$B$29+'Inputs'!$B$31+'Inputs'!$B$32,'Inputs'!$B$30+'Inputs'!$B$31+'Inputs'!$B$32)/1000+'Inputs'!$B$21+'Inputs'!$B$7+'Inputs'!$B$10))/SQRT((((149-43)*MAX('Inputs'!$B$33,'Inputs'!$B$29+'Inputs'!$B$31+'Inputs'!$B$32,'Inputs'!$B$30+'Inputs'!$B$31+'Inputs'!$B$32)/1000+'Inputs'!$B$21+'Inputs'!$B$7+'Inputs'!$B$10))^2+('Inputs'!$B$8/2)^2))))*'Results'!$B$8),"")</x:f>
        <x:v>332.24064091696107</x:v>
      </x:c>
      <x:c r="K149" t="n">
        <x:f>IF(AND(ISNUMBER('Results'!B7),ISNUMBER('Results'!C7),ISNUMBER('Results'!$B$8),ISNUMBER('Inputs'!$B$6),ISNUMBER('Inputs'!$B$7),ISNUMBER('Inputs'!$B$8),ISNUMBER('Inputs'!$B$9),ISNUMBER('Inputs'!$B$10),ISNUMBER('Inputs'!$B$21),ISNUMBER('Inputs'!$B$24),ISNUMBER('Inputs'!$B$28)),((('Results'!B7*(1-'Inputs'!$B$24)*(0.5*((((149-43)*MAX('Inputs'!$B$33,'Inputs'!$B$29+'Inputs'!$B$31+'Inputs'!$B$32,'Inputs'!$B$30+'Inputs'!$B$31+'Inputs'!$B$32)/1000+'Inputs'!$B$21)+'Inputs'!$B$7)/SQRT((((149-43)*MAX('Inputs'!$B$33,'Inputs'!$B$29+'Inputs'!$B$31+'Inputs'!$B$32,'Inputs'!$B$30+'Inputs'!$B$31+'Inputs'!$B$32)/1000+'Inputs'!$B$21)+'Inputs'!$B$7)^2+('Inputs'!$B$6/2)^2)-(((149-43)*MAX('Inputs'!$B$33,'Inputs'!$B$29+'Inputs'!$B$31+'Inputs'!$B$32,'Inputs'!$B$30+'Inputs'!$B$31+'Inputs'!$B$32)/1000+'Inputs'!$B$21))/SQRT((((149-43)*MAX('Inputs'!$B$33,'Inputs'!$B$29+'Inputs'!$B$31+'Inputs'!$B$32,'Inputs'!$B$30+'Inputs'!$B$31+'Inputs'!$B$32)/1000+'Inputs'!$B$21))^2+('Inputs'!$B$6/2)^2)))-'Results'!C7*(1+'Inputs'!$B$24)*(0.5*((((149-43)*MAX('Inputs'!$B$33,'Inputs'!$B$29+'Inputs'!$B$31+'Inputs'!$B$32,'Inputs'!$B$30+'Inputs'!$B$31+'Inputs'!$B$32)/1000+'Inputs'!$B$21+'Inputs'!$B$7+'Inputs'!$B$10)+'Inputs'!$B$9)/SQRT((((149-43)*MAX('Inputs'!$B$33,'Inputs'!$B$29+'Inputs'!$B$31+'Inputs'!$B$32,'Inputs'!$B$30+'Inputs'!$B$31+'Inputs'!$B$32)/1000+'Inputs'!$B$21+'Inputs'!$B$7+'Inputs'!$B$10)+'Inputs'!$B$9)^2+('Inputs'!$B$8/2)^2)-(((149-43)*MAX('Inputs'!$B$33,'Inputs'!$B$29+'Inputs'!$B$31+'Inputs'!$B$32,'Inputs'!$B$30+'Inputs'!$B$31+'Inputs'!$B$32)/1000+'Inputs'!$B$21+'Inputs'!$B$7+'Inputs'!$B$10))/SQRT((((149-43)*MAX('Inputs'!$B$33,'Inputs'!$B$29+'Inputs'!$B$31+'Inputs'!$B$32,'Inputs'!$B$30+'Inputs'!$B$31+'Inputs'!$B$32)/1000+'Inputs'!$B$21+'Inputs'!$B$7+'Inputs'!$B$10))^2+('Inputs'!$B$8/2)^2))))*'Results'!$B$8)-'Inputs'!$B$28*ABS((('Results'!B7*(1-'Inputs'!$B$24)*(0.5*((((149-43)*MAX('Inputs'!$B$33,'Inputs'!$B$29+'Inputs'!$B$31+'Inputs'!$B$32,'Inputs'!$B$30+'Inputs'!$B$31+'Inputs'!$B$32)/1000+'Inputs'!$B$21)+'Inputs'!$B$7)/SQRT((((149-43)*MAX('Inputs'!$B$33,'Inputs'!$B$29+'Inputs'!$B$31+'Inputs'!$B$32,'Inputs'!$B$30+'Inputs'!$B$31+'Inputs'!$B$32)/1000+'Inputs'!$B$21)+'Inputs'!$B$7)^2+('Inputs'!$B$6/2)^2)-(((149-43)*MAX('Inputs'!$B$33,'Inputs'!$B$29+'Inputs'!$B$31+'Inputs'!$B$32,'Inputs'!$B$30+'Inputs'!$B$31+'Inputs'!$B$32)/1000+'Inputs'!$B$21))/SQRT((((149-43)*MAX('Inputs'!$B$33,'Inputs'!$B$29+'Inputs'!$B$31+'Inputs'!$B$32,'Inputs'!$B$30+'Inputs'!$B$31+'Inputs'!$B$32)/1000+'Inputs'!$B$21))^2+('Inputs'!$B$6/2)^2)))-'Results'!C7*(1+'Inputs'!$B$24)*(0.5*((((149-43)*MAX('Inputs'!$B$33,'Inputs'!$B$29+'Inputs'!$B$31+'Inputs'!$B$32,'Inputs'!$B$30+'Inputs'!$B$31+'Inputs'!$B$32)/1000+'Inputs'!$B$21+'Inputs'!$B$7+'Inputs'!$B$10)+'Inputs'!$B$9)/SQRT((((149-43)*MAX('Inputs'!$B$33,'Inputs'!$B$29+'Inputs'!$B$31+'Inputs'!$B$32,'Inputs'!$B$30+'Inputs'!$B$31+'Inputs'!$B$32)/1000+'Inputs'!$B$21+'Inputs'!$B$7+'Inputs'!$B$10)+'Inputs'!$B$9)^2+('Inputs'!$B$8/2)^2)-(((149-43)*MAX('Inputs'!$B$33,'Inputs'!$B$29+'Inputs'!$B$31+'Inputs'!$B$32,'Inputs'!$B$30+'Inputs'!$B$31+'Inputs'!$B$32)/1000+'Inputs'!$B$21+'Inputs'!$B$7+'Inputs'!$B$10))/SQRT((((149-43)*MAX('Inputs'!$B$33,'Inputs'!$B$29+'Inputs'!$B$31+'Inputs'!$B$32,'Inputs'!$B$30+'Inputs'!$B$31+'Inputs'!$B$32)/1000+'Inputs'!$B$21+'Inputs'!$B$7+'Inputs'!$B$10))^2+('Inputs'!$B$8/2)^2))))*'Results'!$B$8))),"")</x:f>
        <x:v>306.2333789313708</x:v>
      </x:c>
      <x:c r="L149" t="n">
        <x:f>IF(AND(ISNUMBER('Results'!B7),ISNUMBER('Results'!C7),ISNUMBER('Results'!$B$8),ISNUMBER('Inputs'!$B$6),ISNUMBER('Inputs'!$B$7),ISNUMBER('Inputs'!$B$8),ISNUMBER('Inputs'!$B$9),ISNUMBER('Inputs'!$B$10),ISNUMBER('Inputs'!$B$21),ISNUMBER('Inputs'!$B$24),ISNUMBER('Inputs'!$B$28)),((('Results'!B7*(1+'Inputs'!$B$24)*(0.5*((((149-43)*MAX('Inputs'!$B$33,'Inputs'!$B$29+'Inputs'!$B$31+'Inputs'!$B$32,'Inputs'!$B$30+'Inputs'!$B$31+'Inputs'!$B$32)/1000+'Inputs'!$B$21)+'Inputs'!$B$7)/SQRT((((149-43)*MAX('Inputs'!$B$33,'Inputs'!$B$29+'Inputs'!$B$31+'Inputs'!$B$32,'Inputs'!$B$30+'Inputs'!$B$31+'Inputs'!$B$32)/1000+'Inputs'!$B$21)+'Inputs'!$B$7)^2+('Inputs'!$B$6/2)^2)-(((149-43)*MAX('Inputs'!$B$33,'Inputs'!$B$29+'Inputs'!$B$31+'Inputs'!$B$32,'Inputs'!$B$30+'Inputs'!$B$31+'Inputs'!$B$32)/1000+'Inputs'!$B$21))/SQRT((((149-43)*MAX('Inputs'!$B$33,'Inputs'!$B$29+'Inputs'!$B$31+'Inputs'!$B$32,'Inputs'!$B$30+'Inputs'!$B$31+'Inputs'!$B$32)/1000+'Inputs'!$B$21))^2+('Inputs'!$B$6/2)^2)))-'Results'!C7*(1-'Inputs'!$B$24)*(0.5*((((149-43)*MAX('Inputs'!$B$33,'Inputs'!$B$29+'Inputs'!$B$31+'Inputs'!$B$32,'Inputs'!$B$30+'Inputs'!$B$31+'Inputs'!$B$32)/1000+'Inputs'!$B$21+'Inputs'!$B$7+'Inputs'!$B$10)+'Inputs'!$B$9)/SQRT((((149-43)*MAX('Inputs'!$B$33,'Inputs'!$B$29+'Inputs'!$B$31+'Inputs'!$B$32,'Inputs'!$B$30+'Inputs'!$B$31+'Inputs'!$B$32)/1000+'Inputs'!$B$21+'Inputs'!$B$7+'Inputs'!$B$10)+'Inputs'!$B$9)^2+('Inputs'!$B$8/2)^2)-(((149-43)*MAX('Inputs'!$B$33,'Inputs'!$B$29+'Inputs'!$B$31+'Inputs'!$B$32,'Inputs'!$B$30+'Inputs'!$B$31+'Inputs'!$B$32)/1000+'Inputs'!$B$21+'Inputs'!$B$7+'Inputs'!$B$10))/SQRT((((149-43)*MAX('Inputs'!$B$33,'Inputs'!$B$29+'Inputs'!$B$31+'Inputs'!$B$32,'Inputs'!$B$30+'Inputs'!$B$31+'Inputs'!$B$32)/1000+'Inputs'!$B$21+'Inputs'!$B$7+'Inputs'!$B$10))^2+('Inputs'!$B$8/2)^2))))*'Results'!$B$8)+'Inputs'!$B$28*ABS((('Results'!B7*(1+'Inputs'!$B$24)*(0.5*((((149-43)*MAX('Inputs'!$B$33,'Inputs'!$B$29+'Inputs'!$B$31+'Inputs'!$B$32,'Inputs'!$B$30+'Inputs'!$B$31+'Inputs'!$B$32)/1000+'Inputs'!$B$21)+'Inputs'!$B$7)/SQRT((((149-43)*MAX('Inputs'!$B$33,'Inputs'!$B$29+'Inputs'!$B$31+'Inputs'!$B$32,'Inputs'!$B$30+'Inputs'!$B$31+'Inputs'!$B$32)/1000+'Inputs'!$B$21)+'Inputs'!$B$7)^2+('Inputs'!$B$6/2)^2)-(((149-43)*MAX('Inputs'!$B$33,'Inputs'!$B$29+'Inputs'!$B$31+'Inputs'!$B$32,'Inputs'!$B$30+'Inputs'!$B$31+'Inputs'!$B$32)/1000+'Inputs'!$B$21))/SQRT((((149-43)*MAX('Inputs'!$B$33,'Inputs'!$B$29+'Inputs'!$B$31+'Inputs'!$B$32,'Inputs'!$B$30+'Inputs'!$B$31+'Inputs'!$B$32)/1000+'Inputs'!$B$21))^2+('Inputs'!$B$6/2)^2)))-'Results'!C7*(1-'Inputs'!$B$24)*(0.5*((((149-43)*MAX('Inputs'!$B$33,'Inputs'!$B$29+'Inputs'!$B$31+'Inputs'!$B$32,'Inputs'!$B$30+'Inputs'!$B$31+'Inputs'!$B$32)/1000+'Inputs'!$B$21+'Inputs'!$B$7+'Inputs'!$B$10)+'Inputs'!$B$9)/SQRT((((149-43)*MAX('Inputs'!$B$33,'Inputs'!$B$29+'Inputs'!$B$31+'Inputs'!$B$32,'Inputs'!$B$30+'Inputs'!$B$31+'Inputs'!$B$32)/1000+'Inputs'!$B$21+'Inputs'!$B$7+'Inputs'!$B$10)+'Inputs'!$B$9)^2+('Inputs'!$B$8/2)^2)-(((149-43)*MAX('Inputs'!$B$33,'Inputs'!$B$29+'Inputs'!$B$31+'Inputs'!$B$32,'Inputs'!$B$30+'Inputs'!$B$31+'Inputs'!$B$32)/1000+'Inputs'!$B$21+'Inputs'!$B$7+'Inputs'!$B$10))/SQRT((((149-43)*MAX('Inputs'!$B$33,'Inputs'!$B$29+'Inputs'!$B$31+'Inputs'!$B$32,'Inputs'!$B$30+'Inputs'!$B$31+'Inputs'!$B$32)/1000+'Inputs'!$B$21+'Inputs'!$B$7+'Inputs'!$B$10))^2+('Inputs'!$B$8/2)^2))))*'Results'!$B$8))),"")</x:f>
        <x:v>359.23687447515584</x:v>
      </x:c>
      <x:c r="M149" t="n">
        <x:f>IF(AND(ISNUMBER('Results'!C7),ISNUMBER('Results'!B7),ISNUMBER('Results'!$B$8),ISNUMBER('Inputs'!$B$6),ISNUMBER('Inputs'!$B$7),ISNUMBER('Inputs'!$B$8),ISNUMBER('Inputs'!$B$9),ISNUMBER('Inputs'!$B$10),ISNUMBER('Inputs'!$B$21),ISNUMBER('Inputs'!$B$24),ISNUMBER('Inputs'!$B$28)),(('Results'!C7*(0.5*((((149-43)*MAX('Inputs'!$B$33,'Inputs'!$B$29+'Inputs'!$B$31+'Inputs'!$B$32,'Inputs'!$B$30+'Inputs'!$B$31+'Inputs'!$B$32)/1000+'Inputs'!$B$21)+'Inputs'!$B$9)/SQRT((((149-43)*MAX('Inputs'!$B$33,'Inputs'!$B$29+'Inputs'!$B$31+'Inputs'!$B$32,'Inputs'!$B$30+'Inputs'!$B$31+'Inputs'!$B$32)/1000+'Inputs'!$B$21)+'Inputs'!$B$9)^2+('Inputs'!$B$8/2)^2)-(((149-43)*MAX('Inputs'!$B$33,'Inputs'!$B$29+'Inputs'!$B$31+'Inputs'!$B$32,'Inputs'!$B$30+'Inputs'!$B$31+'Inputs'!$B$32)/1000+'Inputs'!$B$21))/SQRT((((149-43)*MAX('Inputs'!$B$33,'Inputs'!$B$29+'Inputs'!$B$31+'Inputs'!$B$32,'Inputs'!$B$30+'Inputs'!$B$31+'Inputs'!$B$32)/1000+'Inputs'!$B$21))^2+('Inputs'!$B$8/2)^2)))-'Results'!B7*(0.5*((((149-43)*MAX('Inputs'!$B$33,'Inputs'!$B$29+'Inputs'!$B$31+'Inputs'!$B$32,'Inputs'!$B$30+'Inputs'!$B$31+'Inputs'!$B$32)/1000+'Inputs'!$B$21+'Inputs'!$B$9+'Inputs'!$B$10)+'Inputs'!$B$7)/SQRT((((149-43)*MAX('Inputs'!$B$33,'Inputs'!$B$29+'Inputs'!$B$31+'Inputs'!$B$32,'Inputs'!$B$30+'Inputs'!$B$31+'Inputs'!$B$32)/1000+'Inputs'!$B$21+'Inputs'!$B$9+'Inputs'!$B$10)+'Inputs'!$B$7)^2+('Inputs'!$B$6/2)^2)-(((149-43)*MAX('Inputs'!$B$33,'Inputs'!$B$29+'Inputs'!$B$31+'Inputs'!$B$32,'Inputs'!$B$30+'Inputs'!$B$31+'Inputs'!$B$32)/1000+'Inputs'!$B$21+'Inputs'!$B$9+'Inputs'!$B$10))/SQRT((((149-43)*MAX('Inputs'!$B$33,'Inputs'!$B$29+'Inputs'!$B$31+'Inputs'!$B$32,'Inputs'!$B$30+'Inputs'!$B$31+'Inputs'!$B$32)/1000+'Inputs'!$B$21+'Inputs'!$B$9+'Inputs'!$B$10))^2+('Inputs'!$B$6/2)^2))))*'Results'!$B$8),"")</x:f>
        <x:v>322.3178139367564</x:v>
      </x:c>
      <x:c r="N149" t="n">
        <x:f>IF(AND(ISNUMBER('Results'!C7),ISNUMBER('Results'!B7),ISNUMBER('Results'!$B$8),ISNUMBER('Inputs'!$B$6),ISNUMBER('Inputs'!$B$7),ISNUMBER('Inputs'!$B$8),ISNUMBER('Inputs'!$B$9),ISNUMBER('Inputs'!$B$10),ISNUMBER('Inputs'!$B$21),ISNUMBER('Inputs'!$B$24),ISNUMBER('Inputs'!$B$28)),((('Results'!C7*(1-'Inputs'!$B$24)*(0.5*((((149-43)*MAX('Inputs'!$B$33,'Inputs'!$B$29+'Inputs'!$B$31+'Inputs'!$B$32,'Inputs'!$B$30+'Inputs'!$B$31+'Inputs'!$B$32)/1000+'Inputs'!$B$21)+'Inputs'!$B$9)/SQRT((((149-43)*MAX('Inputs'!$B$33,'Inputs'!$B$29+'Inputs'!$B$31+'Inputs'!$B$32,'Inputs'!$B$30+'Inputs'!$B$31+'Inputs'!$B$32)/1000+'Inputs'!$B$21)+'Inputs'!$B$9)^2+('Inputs'!$B$8/2)^2)-(((149-43)*MAX('Inputs'!$B$33,'Inputs'!$B$29+'Inputs'!$B$31+'Inputs'!$B$32,'Inputs'!$B$30+'Inputs'!$B$31+'Inputs'!$B$32)/1000+'Inputs'!$B$21))/SQRT((((149-43)*MAX('Inputs'!$B$33,'Inputs'!$B$29+'Inputs'!$B$31+'Inputs'!$B$32,'Inputs'!$B$30+'Inputs'!$B$31+'Inputs'!$B$32)/1000+'Inputs'!$B$21))^2+('Inputs'!$B$8/2)^2)))-'Results'!B7*(1+'Inputs'!$B$24)*(0.5*((((149-43)*MAX('Inputs'!$B$33,'Inputs'!$B$29+'Inputs'!$B$31+'Inputs'!$B$32,'Inputs'!$B$30+'Inputs'!$B$31+'Inputs'!$B$32)/1000+'Inputs'!$B$21+'Inputs'!$B$9+'Inputs'!$B$10)+'Inputs'!$B$7)/SQRT((((149-43)*MAX('Inputs'!$B$33,'Inputs'!$B$29+'Inputs'!$B$31+'Inputs'!$B$32,'Inputs'!$B$30+'Inputs'!$B$31+'Inputs'!$B$32)/1000+'Inputs'!$B$21+'Inputs'!$B$9+'Inputs'!$B$10)+'Inputs'!$B$7)^2+('Inputs'!$B$6/2)^2)-(((149-43)*MAX('Inputs'!$B$33,'Inputs'!$B$29+'Inputs'!$B$31+'Inputs'!$B$32,'Inputs'!$B$30+'Inputs'!$B$31+'Inputs'!$B$32)/1000+'Inputs'!$B$21+'Inputs'!$B$9+'Inputs'!$B$10))/SQRT((((149-43)*MAX('Inputs'!$B$33,'Inputs'!$B$29+'Inputs'!$B$31+'Inputs'!$B$32,'Inputs'!$B$30+'Inputs'!$B$31+'Inputs'!$B$32)/1000+'Inputs'!$B$21+'Inputs'!$B$9+'Inputs'!$B$10))^2+('Inputs'!$B$6/2)^2))))*'Results'!$B$8)-'Inputs'!$B$28*ABS((('Results'!C7*(1-'Inputs'!$B$24)*(0.5*((((149-43)*MAX('Inputs'!$B$33,'Inputs'!$B$29+'Inputs'!$B$31+'Inputs'!$B$32,'Inputs'!$B$30+'Inputs'!$B$31+'Inputs'!$B$32)/1000+'Inputs'!$B$21)+'Inputs'!$B$9)/SQRT((((149-43)*MAX('Inputs'!$B$33,'Inputs'!$B$29+'Inputs'!$B$31+'Inputs'!$B$32,'Inputs'!$B$30+'Inputs'!$B$31+'Inputs'!$B$32)/1000+'Inputs'!$B$21)+'Inputs'!$B$9)^2+('Inputs'!$B$8/2)^2)-(((149-43)*MAX('Inputs'!$B$33,'Inputs'!$B$29+'Inputs'!$B$31+'Inputs'!$B$32,'Inputs'!$B$30+'Inputs'!$B$31+'Inputs'!$B$32)/1000+'Inputs'!$B$21))/SQRT((((149-43)*MAX('Inputs'!$B$33,'Inputs'!$B$29+'Inputs'!$B$31+'Inputs'!$B$32,'Inputs'!$B$30+'Inputs'!$B$31+'Inputs'!$B$32)/1000+'Inputs'!$B$21))^2+('Inputs'!$B$8/2)^2)))-'Results'!B7*(1+'Inputs'!$B$24)*(0.5*((((149-43)*MAX('Inputs'!$B$33,'Inputs'!$B$29+'Inputs'!$B$31+'Inputs'!$B$32,'Inputs'!$B$30+'Inputs'!$B$31+'Inputs'!$B$32)/1000+'Inputs'!$B$21+'Inputs'!$B$9+'Inputs'!$B$10)+'Inputs'!$B$7)/SQRT((((149-43)*MAX('Inputs'!$B$33,'Inputs'!$B$29+'Inputs'!$B$31+'Inputs'!$B$32,'Inputs'!$B$30+'Inputs'!$B$31+'Inputs'!$B$32)/1000+'Inputs'!$B$21+'Inputs'!$B$9+'Inputs'!$B$10)+'Inputs'!$B$7)^2+('Inputs'!$B$6/2)^2)-(((149-43)*MAX('Inputs'!$B$33,'Inputs'!$B$29+'Inputs'!$B$31+'Inputs'!$B$32,'Inputs'!$B$30+'Inputs'!$B$31+'Inputs'!$B$32)/1000+'Inputs'!$B$21+'Inputs'!$B$9+'Inputs'!$B$10))/SQRT((((149-43)*MAX('Inputs'!$B$33,'Inputs'!$B$29+'Inputs'!$B$31+'Inputs'!$B$32,'Inputs'!$B$30+'Inputs'!$B$31+'Inputs'!$B$32)/1000+'Inputs'!$B$21+'Inputs'!$B$9+'Inputs'!$B$10))^2+('Inputs'!$B$6/2)^2))))*'Results'!$B$8))),"")</x:f>
        <x:v>296.9323156298957</x:v>
      </x:c>
      <x:c r="O149" t="n">
        <x:f>IF(AND(ISNUMBER('Results'!C7),ISNUMBER('Results'!B7),ISNUMBER('Results'!$B$8),ISNUMBER('Inputs'!$B$6),ISNUMBER('Inputs'!$B$7),ISNUMBER('Inputs'!$B$8),ISNUMBER('Inputs'!$B$9),ISNUMBER('Inputs'!$B$10),ISNUMBER('Inputs'!$B$21),ISNUMBER('Inputs'!$B$24),ISNUMBER('Inputs'!$B$28)),((('Results'!C7*(1+'Inputs'!$B$24)*(0.5*((((149-43)*MAX('Inputs'!$B$33,'Inputs'!$B$29+'Inputs'!$B$31+'Inputs'!$B$32,'Inputs'!$B$30+'Inputs'!$B$31+'Inputs'!$B$32)/1000+'Inputs'!$B$21)+'Inputs'!$B$9)/SQRT((((149-43)*MAX('Inputs'!$B$33,'Inputs'!$B$29+'Inputs'!$B$31+'Inputs'!$B$32,'Inputs'!$B$30+'Inputs'!$B$31+'Inputs'!$B$32)/1000+'Inputs'!$B$21)+'Inputs'!$B$9)^2+('Inputs'!$B$8/2)^2)-(((149-43)*MAX('Inputs'!$B$33,'Inputs'!$B$29+'Inputs'!$B$31+'Inputs'!$B$32,'Inputs'!$B$30+'Inputs'!$B$31+'Inputs'!$B$32)/1000+'Inputs'!$B$21))/SQRT((((149-43)*MAX('Inputs'!$B$33,'Inputs'!$B$29+'Inputs'!$B$31+'Inputs'!$B$32,'Inputs'!$B$30+'Inputs'!$B$31+'Inputs'!$B$32)/1000+'Inputs'!$B$21))^2+('Inputs'!$B$8/2)^2)))-'Results'!B7*(1-'Inputs'!$B$24)*(0.5*((((149-43)*MAX('Inputs'!$B$33,'Inputs'!$B$29+'Inputs'!$B$31+'Inputs'!$B$32,'Inputs'!$B$30+'Inputs'!$B$31+'Inputs'!$B$32)/1000+'Inputs'!$B$21+'Inputs'!$B$9+'Inputs'!$B$10)+'Inputs'!$B$7)/SQRT((((149-43)*MAX('Inputs'!$B$33,'Inputs'!$B$29+'Inputs'!$B$31+'Inputs'!$B$32,'Inputs'!$B$30+'Inputs'!$B$31+'Inputs'!$B$32)/1000+'Inputs'!$B$21+'Inputs'!$B$9+'Inputs'!$B$10)+'Inputs'!$B$7)^2+('Inputs'!$B$6/2)^2)-(((149-43)*MAX('Inputs'!$B$33,'Inputs'!$B$29+'Inputs'!$B$31+'Inputs'!$B$32,'Inputs'!$B$30+'Inputs'!$B$31+'Inputs'!$B$32)/1000+'Inputs'!$B$21+'Inputs'!$B$9+'Inputs'!$B$10))/SQRT((((149-43)*MAX('Inputs'!$B$33,'Inputs'!$B$29+'Inputs'!$B$31+'Inputs'!$B$32,'Inputs'!$B$30+'Inputs'!$B$31+'Inputs'!$B$32)/1000+'Inputs'!$B$21+'Inputs'!$B$9+'Inputs'!$B$10))^2+('Inputs'!$B$6/2)^2))))*'Results'!$B$8)+'Inputs'!$B$28*ABS((('Results'!C7*(1+'Inputs'!$B$24)*(0.5*((((149-43)*MAX('Inputs'!$B$33,'Inputs'!$B$29+'Inputs'!$B$31+'Inputs'!$B$32,'Inputs'!$B$30+'Inputs'!$B$31+'Inputs'!$B$32)/1000+'Inputs'!$B$21)+'Inputs'!$B$9)/SQRT((((149-43)*MAX('Inputs'!$B$33,'Inputs'!$B$29+'Inputs'!$B$31+'Inputs'!$B$32,'Inputs'!$B$30+'Inputs'!$B$31+'Inputs'!$B$32)/1000+'Inputs'!$B$21)+'Inputs'!$B$9)^2+('Inputs'!$B$8/2)^2)-(((149-43)*MAX('Inputs'!$B$33,'Inputs'!$B$29+'Inputs'!$B$31+'Inputs'!$B$32,'Inputs'!$B$30+'Inputs'!$B$31+'Inputs'!$B$32)/1000+'Inputs'!$B$21))/SQRT((((149-43)*MAX('Inputs'!$B$33,'Inputs'!$B$29+'Inputs'!$B$31+'Inputs'!$B$32,'Inputs'!$B$30+'Inputs'!$B$31+'Inputs'!$B$32)/1000+'Inputs'!$B$21))^2+('Inputs'!$B$8/2)^2)))-'Results'!B7*(1-'Inputs'!$B$24)*(0.5*((((149-43)*MAX('Inputs'!$B$33,'Inputs'!$B$29+'Inputs'!$B$31+'Inputs'!$B$32,'Inputs'!$B$30+'Inputs'!$B$31+'Inputs'!$B$32)/1000+'Inputs'!$B$21+'Inputs'!$B$9+'Inputs'!$B$10)+'Inputs'!$B$7)/SQRT((((149-43)*MAX('Inputs'!$B$33,'Inputs'!$B$29+'Inputs'!$B$31+'Inputs'!$B$32,'Inputs'!$B$30+'Inputs'!$B$31+'Inputs'!$B$32)/1000+'Inputs'!$B$21+'Inputs'!$B$9+'Inputs'!$B$10)+'Inputs'!$B$7)^2+('Inputs'!$B$6/2)^2)-(((149-43)*MAX('Inputs'!$B$33,'Inputs'!$B$29+'Inputs'!$B$31+'Inputs'!$B$32,'Inputs'!$B$30+'Inputs'!$B$31+'Inputs'!$B$32)/1000+'Inputs'!$B$21+'Inputs'!$B$9+'Inputs'!$B$10))/SQRT((((149-43)*MAX('Inputs'!$B$33,'Inputs'!$B$29+'Inputs'!$B$31+'Inputs'!$B$32,'Inputs'!$B$30+'Inputs'!$B$31+'Inputs'!$B$32)/1000+'Inputs'!$B$21+'Inputs'!$B$9+'Inputs'!$B$10))^2+('Inputs'!$B$6/2)^2))))*'Results'!$B$8))),"")</x:f>
        <x:v>348.67906041309317</x:v>
      </x:c>
      <x:c r="P149" t="n">
        <x:f>IF(AND(MAX(J149,J148)&gt;0,J149&gt;J148+0.00000001),1,0)</x:f>
        <x:v>0</x:v>
      </x:c>
      <x:c r="Q149" t="n">
        <x:f>IF(AND(MAX(K149,K148)&gt;0,K149&gt;K148+0.00000001),1,0)</x:f>
        <x:v>0</x:v>
      </x:c>
      <x:c r="R149" t="n">
        <x:f>IF(AND(MAX(L149,L148)&gt;0,L149&gt;L148+0.00000001),1,0)</x:f>
        <x:v>0</x:v>
      </x:c>
      <x:c r="S149" t="n">
        <x:f>IF(AND(MAX(M149,M148)&gt;0,M149&gt;M148+0.00000001),1,0)</x:f>
        <x:v>0</x:v>
      </x:c>
      <x:c r="T149" t="n">
        <x:f>IF(AND(MAX(N149,N148)&gt;0,N149&gt;N148+0.00000001),1,0)</x:f>
        <x:v>0</x:v>
      </x:c>
      <x:c r="U149" t="n">
        <x:f>IF(AND(MAX(O149,O148)&gt;0,O149&gt;O148+0.00000001),1,0)</x:f>
        <x:v>0</x:v>
      </x:c>
    </x:row>
    <x:row r="150">
      <x:c r="J150" t="n">
        <x:f>IF(AND(ISNUMBER('Results'!B7),ISNUMBER('Results'!C7),ISNUMBER('Results'!$B$8),ISNUMBER('Inputs'!$B$6),ISNUMBER('Inputs'!$B$7),ISNUMBER('Inputs'!$B$8),ISNUMBER('Inputs'!$B$9),ISNUMBER('Inputs'!$B$10),ISNUMBER('Inputs'!$B$21),ISNUMBER('Inputs'!$B$24),ISNUMBER('Inputs'!$B$28)),(('Results'!B7*(0.5*((((150-43)*MAX('Inputs'!$B$33,'Inputs'!$B$29+'Inputs'!$B$31+'Inputs'!$B$32,'Inputs'!$B$30+'Inputs'!$B$31+'Inputs'!$B$32)/1000+'Inputs'!$B$21)+'Inputs'!$B$7)/SQRT((((150-43)*MAX('Inputs'!$B$33,'Inputs'!$B$29+'Inputs'!$B$31+'Inputs'!$B$32,'Inputs'!$B$30+'Inputs'!$B$31+'Inputs'!$B$32)/1000+'Inputs'!$B$21)+'Inputs'!$B$7)^2+('Inputs'!$B$6/2)^2)-(((150-43)*MAX('Inputs'!$B$33,'Inputs'!$B$29+'Inputs'!$B$31+'Inputs'!$B$32,'Inputs'!$B$30+'Inputs'!$B$31+'Inputs'!$B$32)/1000+'Inputs'!$B$21))/SQRT((((150-43)*MAX('Inputs'!$B$33,'Inputs'!$B$29+'Inputs'!$B$31+'Inputs'!$B$32,'Inputs'!$B$30+'Inputs'!$B$31+'Inputs'!$B$32)/1000+'Inputs'!$B$21))^2+('Inputs'!$B$6/2)^2)))-'Results'!C7*(0.5*((((150-43)*MAX('Inputs'!$B$33,'Inputs'!$B$29+'Inputs'!$B$31+'Inputs'!$B$32,'Inputs'!$B$30+'Inputs'!$B$31+'Inputs'!$B$32)/1000+'Inputs'!$B$21+'Inputs'!$B$7+'Inputs'!$B$10)+'Inputs'!$B$9)/SQRT((((150-43)*MAX('Inputs'!$B$33,'Inputs'!$B$29+'Inputs'!$B$31+'Inputs'!$B$32,'Inputs'!$B$30+'Inputs'!$B$31+'Inputs'!$B$32)/1000+'Inputs'!$B$21+'Inputs'!$B$7+'Inputs'!$B$10)+'Inputs'!$B$9)^2+('Inputs'!$B$8/2)^2)-(((150-43)*MAX('Inputs'!$B$33,'Inputs'!$B$29+'Inputs'!$B$31+'Inputs'!$B$32,'Inputs'!$B$30+'Inputs'!$B$31+'Inputs'!$B$32)/1000+'Inputs'!$B$21+'Inputs'!$B$7+'Inputs'!$B$10))/SQRT((((150-43)*MAX('Inputs'!$B$33,'Inputs'!$B$29+'Inputs'!$B$31+'Inputs'!$B$32,'Inputs'!$B$30+'Inputs'!$B$31+'Inputs'!$B$32)/1000+'Inputs'!$B$21+'Inputs'!$B$7+'Inputs'!$B$10))^2+('Inputs'!$B$8/2)^2))))*'Results'!$B$8),"")</x:f>
        <x:v>326.1280184144179</x:v>
      </x:c>
      <x:c r="K150" t="n">
        <x:f>IF(AND(ISNUMBER('Results'!B7),ISNUMBER('Results'!C7),ISNUMBER('Results'!$B$8),ISNUMBER('Inputs'!$B$6),ISNUMBER('Inputs'!$B$7),ISNUMBER('Inputs'!$B$8),ISNUMBER('Inputs'!$B$9),ISNUMBER('Inputs'!$B$10),ISNUMBER('Inputs'!$B$21),ISNUMBER('Inputs'!$B$24),ISNUMBER('Inputs'!$B$28)),((('Results'!B7*(1-'Inputs'!$B$24)*(0.5*((((150-43)*MAX('Inputs'!$B$33,'Inputs'!$B$29+'Inputs'!$B$31+'Inputs'!$B$32,'Inputs'!$B$30+'Inputs'!$B$31+'Inputs'!$B$32)/1000+'Inputs'!$B$21)+'Inputs'!$B$7)/SQRT((((150-43)*MAX('Inputs'!$B$33,'Inputs'!$B$29+'Inputs'!$B$31+'Inputs'!$B$32,'Inputs'!$B$30+'Inputs'!$B$31+'Inputs'!$B$32)/1000+'Inputs'!$B$21)+'Inputs'!$B$7)^2+('Inputs'!$B$6/2)^2)-(((150-43)*MAX('Inputs'!$B$33,'Inputs'!$B$29+'Inputs'!$B$31+'Inputs'!$B$32,'Inputs'!$B$30+'Inputs'!$B$31+'Inputs'!$B$32)/1000+'Inputs'!$B$21))/SQRT((((150-43)*MAX('Inputs'!$B$33,'Inputs'!$B$29+'Inputs'!$B$31+'Inputs'!$B$32,'Inputs'!$B$30+'Inputs'!$B$31+'Inputs'!$B$32)/1000+'Inputs'!$B$21))^2+('Inputs'!$B$6/2)^2)))-'Results'!C7*(1+'Inputs'!$B$24)*(0.5*((((150-43)*MAX('Inputs'!$B$33,'Inputs'!$B$29+'Inputs'!$B$31+'Inputs'!$B$32,'Inputs'!$B$30+'Inputs'!$B$31+'Inputs'!$B$32)/1000+'Inputs'!$B$21+'Inputs'!$B$7+'Inputs'!$B$10)+'Inputs'!$B$9)/SQRT((((150-43)*MAX('Inputs'!$B$33,'Inputs'!$B$29+'Inputs'!$B$31+'Inputs'!$B$32,'Inputs'!$B$30+'Inputs'!$B$31+'Inputs'!$B$32)/1000+'Inputs'!$B$21+'Inputs'!$B$7+'Inputs'!$B$10)+'Inputs'!$B$9)^2+('Inputs'!$B$8/2)^2)-(((150-43)*MAX('Inputs'!$B$33,'Inputs'!$B$29+'Inputs'!$B$31+'Inputs'!$B$32,'Inputs'!$B$30+'Inputs'!$B$31+'Inputs'!$B$32)/1000+'Inputs'!$B$21+'Inputs'!$B$7+'Inputs'!$B$10))/SQRT((((150-43)*MAX('Inputs'!$B$33,'Inputs'!$B$29+'Inputs'!$B$31+'Inputs'!$B$32,'Inputs'!$B$30+'Inputs'!$B$31+'Inputs'!$B$32)/1000+'Inputs'!$B$21+'Inputs'!$B$7+'Inputs'!$B$10))^2+('Inputs'!$B$8/2)^2))))*'Results'!$B$8)-'Inputs'!$B$28*ABS((('Results'!B7*(1-'Inputs'!$B$24)*(0.5*((((150-43)*MAX('Inputs'!$B$33,'Inputs'!$B$29+'Inputs'!$B$31+'Inputs'!$B$32,'Inputs'!$B$30+'Inputs'!$B$31+'Inputs'!$B$32)/1000+'Inputs'!$B$21)+'Inputs'!$B$7)/SQRT((((150-43)*MAX('Inputs'!$B$33,'Inputs'!$B$29+'Inputs'!$B$31+'Inputs'!$B$32,'Inputs'!$B$30+'Inputs'!$B$31+'Inputs'!$B$32)/1000+'Inputs'!$B$21)+'Inputs'!$B$7)^2+('Inputs'!$B$6/2)^2)-(((150-43)*MAX('Inputs'!$B$33,'Inputs'!$B$29+'Inputs'!$B$31+'Inputs'!$B$32,'Inputs'!$B$30+'Inputs'!$B$31+'Inputs'!$B$32)/1000+'Inputs'!$B$21))/SQRT((((150-43)*MAX('Inputs'!$B$33,'Inputs'!$B$29+'Inputs'!$B$31+'Inputs'!$B$32,'Inputs'!$B$30+'Inputs'!$B$31+'Inputs'!$B$32)/1000+'Inputs'!$B$21))^2+('Inputs'!$B$6/2)^2)))-'Results'!C7*(1+'Inputs'!$B$24)*(0.5*((((150-43)*MAX('Inputs'!$B$33,'Inputs'!$B$29+'Inputs'!$B$31+'Inputs'!$B$32,'Inputs'!$B$30+'Inputs'!$B$31+'Inputs'!$B$32)/1000+'Inputs'!$B$21+'Inputs'!$B$7+'Inputs'!$B$10)+'Inputs'!$B$9)/SQRT((((150-43)*MAX('Inputs'!$B$33,'Inputs'!$B$29+'Inputs'!$B$31+'Inputs'!$B$32,'Inputs'!$B$30+'Inputs'!$B$31+'Inputs'!$B$32)/1000+'Inputs'!$B$21+'Inputs'!$B$7+'Inputs'!$B$10)+'Inputs'!$B$9)^2+('Inputs'!$B$8/2)^2)-(((150-43)*MAX('Inputs'!$B$33,'Inputs'!$B$29+'Inputs'!$B$31+'Inputs'!$B$32,'Inputs'!$B$30+'Inputs'!$B$31+'Inputs'!$B$32)/1000+'Inputs'!$B$21+'Inputs'!$B$7+'Inputs'!$B$10))/SQRT((((150-43)*MAX('Inputs'!$B$33,'Inputs'!$B$29+'Inputs'!$B$31+'Inputs'!$B$32,'Inputs'!$B$30+'Inputs'!$B$31+'Inputs'!$B$32)/1000+'Inputs'!$B$21+'Inputs'!$B$7+'Inputs'!$B$10))^2+('Inputs'!$B$8/2)^2))))*'Results'!$B$8))),"")</x:f>
        <x:v>300.5771595695408</x:v>
      </x:c>
      <x:c r="L150" t="n">
        <x:f>IF(AND(ISNUMBER('Results'!B7),ISNUMBER('Results'!C7),ISNUMBER('Results'!$B$8),ISNUMBER('Inputs'!$B$6),ISNUMBER('Inputs'!$B$7),ISNUMBER('Inputs'!$B$8),ISNUMBER('Inputs'!$B$9),ISNUMBER('Inputs'!$B$10),ISNUMBER('Inputs'!$B$21),ISNUMBER('Inputs'!$B$24),ISNUMBER('Inputs'!$B$28)),((('Results'!B7*(1+'Inputs'!$B$24)*(0.5*((((150-43)*MAX('Inputs'!$B$33,'Inputs'!$B$29+'Inputs'!$B$31+'Inputs'!$B$32,'Inputs'!$B$30+'Inputs'!$B$31+'Inputs'!$B$32)/1000+'Inputs'!$B$21)+'Inputs'!$B$7)/SQRT((((150-43)*MAX('Inputs'!$B$33,'Inputs'!$B$29+'Inputs'!$B$31+'Inputs'!$B$32,'Inputs'!$B$30+'Inputs'!$B$31+'Inputs'!$B$32)/1000+'Inputs'!$B$21)+'Inputs'!$B$7)^2+('Inputs'!$B$6/2)^2)-(((150-43)*MAX('Inputs'!$B$33,'Inputs'!$B$29+'Inputs'!$B$31+'Inputs'!$B$32,'Inputs'!$B$30+'Inputs'!$B$31+'Inputs'!$B$32)/1000+'Inputs'!$B$21))/SQRT((((150-43)*MAX('Inputs'!$B$33,'Inputs'!$B$29+'Inputs'!$B$31+'Inputs'!$B$32,'Inputs'!$B$30+'Inputs'!$B$31+'Inputs'!$B$32)/1000+'Inputs'!$B$21))^2+('Inputs'!$B$6/2)^2)))-'Results'!C7*(1-'Inputs'!$B$24)*(0.5*((((150-43)*MAX('Inputs'!$B$33,'Inputs'!$B$29+'Inputs'!$B$31+'Inputs'!$B$32,'Inputs'!$B$30+'Inputs'!$B$31+'Inputs'!$B$32)/1000+'Inputs'!$B$21+'Inputs'!$B$7+'Inputs'!$B$10)+'Inputs'!$B$9)/SQRT((((150-43)*MAX('Inputs'!$B$33,'Inputs'!$B$29+'Inputs'!$B$31+'Inputs'!$B$32,'Inputs'!$B$30+'Inputs'!$B$31+'Inputs'!$B$32)/1000+'Inputs'!$B$21+'Inputs'!$B$7+'Inputs'!$B$10)+'Inputs'!$B$9)^2+('Inputs'!$B$8/2)^2)-(((150-43)*MAX('Inputs'!$B$33,'Inputs'!$B$29+'Inputs'!$B$31+'Inputs'!$B$32,'Inputs'!$B$30+'Inputs'!$B$31+'Inputs'!$B$32)/1000+'Inputs'!$B$21+'Inputs'!$B$7+'Inputs'!$B$10))/SQRT((((150-43)*MAX('Inputs'!$B$33,'Inputs'!$B$29+'Inputs'!$B$31+'Inputs'!$B$32,'Inputs'!$B$30+'Inputs'!$B$31+'Inputs'!$B$32)/1000+'Inputs'!$B$21+'Inputs'!$B$7+'Inputs'!$B$10))^2+('Inputs'!$B$8/2)^2))))*'Results'!$B$8)+'Inputs'!$B$28*ABS((('Results'!B7*(1+'Inputs'!$B$24)*(0.5*((((150-43)*MAX('Inputs'!$B$33,'Inputs'!$B$29+'Inputs'!$B$31+'Inputs'!$B$32,'Inputs'!$B$30+'Inputs'!$B$31+'Inputs'!$B$32)/1000+'Inputs'!$B$21)+'Inputs'!$B$7)/SQRT((((150-43)*MAX('Inputs'!$B$33,'Inputs'!$B$29+'Inputs'!$B$31+'Inputs'!$B$32,'Inputs'!$B$30+'Inputs'!$B$31+'Inputs'!$B$32)/1000+'Inputs'!$B$21)+'Inputs'!$B$7)^2+('Inputs'!$B$6/2)^2)-(((150-43)*MAX('Inputs'!$B$33,'Inputs'!$B$29+'Inputs'!$B$31+'Inputs'!$B$32,'Inputs'!$B$30+'Inputs'!$B$31+'Inputs'!$B$32)/1000+'Inputs'!$B$21))/SQRT((((150-43)*MAX('Inputs'!$B$33,'Inputs'!$B$29+'Inputs'!$B$31+'Inputs'!$B$32,'Inputs'!$B$30+'Inputs'!$B$31+'Inputs'!$B$32)/1000+'Inputs'!$B$21))^2+('Inputs'!$B$6/2)^2)))-'Results'!C7*(1-'Inputs'!$B$24)*(0.5*((((150-43)*MAX('Inputs'!$B$33,'Inputs'!$B$29+'Inputs'!$B$31+'Inputs'!$B$32,'Inputs'!$B$30+'Inputs'!$B$31+'Inputs'!$B$32)/1000+'Inputs'!$B$21+'Inputs'!$B$7+'Inputs'!$B$10)+'Inputs'!$B$9)/SQRT((((150-43)*MAX('Inputs'!$B$33,'Inputs'!$B$29+'Inputs'!$B$31+'Inputs'!$B$32,'Inputs'!$B$30+'Inputs'!$B$31+'Inputs'!$B$32)/1000+'Inputs'!$B$21+'Inputs'!$B$7+'Inputs'!$B$10)+'Inputs'!$B$9)^2+('Inputs'!$B$8/2)^2)-(((150-43)*MAX('Inputs'!$B$33,'Inputs'!$B$29+'Inputs'!$B$31+'Inputs'!$B$32,'Inputs'!$B$30+'Inputs'!$B$31+'Inputs'!$B$32)/1000+'Inputs'!$B$21+'Inputs'!$B$7+'Inputs'!$B$10))/SQRT((((150-43)*MAX('Inputs'!$B$33,'Inputs'!$B$29+'Inputs'!$B$31+'Inputs'!$B$32,'Inputs'!$B$30+'Inputs'!$B$31+'Inputs'!$B$32)/1000+'Inputs'!$B$21+'Inputs'!$B$7+'Inputs'!$B$10))^2+('Inputs'!$B$8/2)^2))))*'Results'!$B$8))),"")</x:f>
        <x:v>352.65197809341663</x:v>
      </x:c>
      <x:c r="M150" t="n">
        <x:f>IF(AND(ISNUMBER('Results'!C7),ISNUMBER('Results'!B7),ISNUMBER('Results'!$B$8),ISNUMBER('Inputs'!$B$6),ISNUMBER('Inputs'!$B$7),ISNUMBER('Inputs'!$B$8),ISNUMBER('Inputs'!$B$9),ISNUMBER('Inputs'!$B$10),ISNUMBER('Inputs'!$B$21),ISNUMBER('Inputs'!$B$24),ISNUMBER('Inputs'!$B$28)),(('Results'!C7*(0.5*((((150-43)*MAX('Inputs'!$B$33,'Inputs'!$B$29+'Inputs'!$B$31+'Inputs'!$B$32,'Inputs'!$B$30+'Inputs'!$B$31+'Inputs'!$B$32)/1000+'Inputs'!$B$21)+'Inputs'!$B$9)/SQRT((((150-43)*MAX('Inputs'!$B$33,'Inputs'!$B$29+'Inputs'!$B$31+'Inputs'!$B$32,'Inputs'!$B$30+'Inputs'!$B$31+'Inputs'!$B$32)/1000+'Inputs'!$B$21)+'Inputs'!$B$9)^2+('Inputs'!$B$8/2)^2)-(((150-43)*MAX('Inputs'!$B$33,'Inputs'!$B$29+'Inputs'!$B$31+'Inputs'!$B$32,'Inputs'!$B$30+'Inputs'!$B$31+'Inputs'!$B$32)/1000+'Inputs'!$B$21))/SQRT((((150-43)*MAX('Inputs'!$B$33,'Inputs'!$B$29+'Inputs'!$B$31+'Inputs'!$B$32,'Inputs'!$B$30+'Inputs'!$B$31+'Inputs'!$B$32)/1000+'Inputs'!$B$21))^2+('Inputs'!$B$8/2)^2)))-'Results'!B7*(0.5*((((150-43)*MAX('Inputs'!$B$33,'Inputs'!$B$29+'Inputs'!$B$31+'Inputs'!$B$32,'Inputs'!$B$30+'Inputs'!$B$31+'Inputs'!$B$32)/1000+'Inputs'!$B$21+'Inputs'!$B$9+'Inputs'!$B$10)+'Inputs'!$B$7)/SQRT((((150-43)*MAX('Inputs'!$B$33,'Inputs'!$B$29+'Inputs'!$B$31+'Inputs'!$B$32,'Inputs'!$B$30+'Inputs'!$B$31+'Inputs'!$B$32)/1000+'Inputs'!$B$21+'Inputs'!$B$9+'Inputs'!$B$10)+'Inputs'!$B$7)^2+('Inputs'!$B$6/2)^2)-(((150-43)*MAX('Inputs'!$B$33,'Inputs'!$B$29+'Inputs'!$B$31+'Inputs'!$B$32,'Inputs'!$B$30+'Inputs'!$B$31+'Inputs'!$B$32)/1000+'Inputs'!$B$21+'Inputs'!$B$9+'Inputs'!$B$10))/SQRT((((150-43)*MAX('Inputs'!$B$33,'Inputs'!$B$29+'Inputs'!$B$31+'Inputs'!$B$32,'Inputs'!$B$30+'Inputs'!$B$31+'Inputs'!$B$32)/1000+'Inputs'!$B$21+'Inputs'!$B$9+'Inputs'!$B$10))^2+('Inputs'!$B$6/2)^2))))*'Results'!$B$8),"")</x:f>
        <x:v>316.36427080817094</x:v>
      </x:c>
      <x:c r="N150" t="n">
        <x:f>IF(AND(ISNUMBER('Results'!C7),ISNUMBER('Results'!B7),ISNUMBER('Results'!$B$8),ISNUMBER('Inputs'!$B$6),ISNUMBER('Inputs'!$B$7),ISNUMBER('Inputs'!$B$8),ISNUMBER('Inputs'!$B$9),ISNUMBER('Inputs'!$B$10),ISNUMBER('Inputs'!$B$21),ISNUMBER('Inputs'!$B$24),ISNUMBER('Inputs'!$B$28)),((('Results'!C7*(1-'Inputs'!$B$24)*(0.5*((((150-43)*MAX('Inputs'!$B$33,'Inputs'!$B$29+'Inputs'!$B$31+'Inputs'!$B$32,'Inputs'!$B$30+'Inputs'!$B$31+'Inputs'!$B$32)/1000+'Inputs'!$B$21)+'Inputs'!$B$9)/SQRT((((150-43)*MAX('Inputs'!$B$33,'Inputs'!$B$29+'Inputs'!$B$31+'Inputs'!$B$32,'Inputs'!$B$30+'Inputs'!$B$31+'Inputs'!$B$32)/1000+'Inputs'!$B$21)+'Inputs'!$B$9)^2+('Inputs'!$B$8/2)^2)-(((150-43)*MAX('Inputs'!$B$33,'Inputs'!$B$29+'Inputs'!$B$31+'Inputs'!$B$32,'Inputs'!$B$30+'Inputs'!$B$31+'Inputs'!$B$32)/1000+'Inputs'!$B$21))/SQRT((((150-43)*MAX('Inputs'!$B$33,'Inputs'!$B$29+'Inputs'!$B$31+'Inputs'!$B$32,'Inputs'!$B$30+'Inputs'!$B$31+'Inputs'!$B$32)/1000+'Inputs'!$B$21))^2+('Inputs'!$B$8/2)^2)))-'Results'!B7*(1+'Inputs'!$B$24)*(0.5*((((150-43)*MAX('Inputs'!$B$33,'Inputs'!$B$29+'Inputs'!$B$31+'Inputs'!$B$32,'Inputs'!$B$30+'Inputs'!$B$31+'Inputs'!$B$32)/1000+'Inputs'!$B$21+'Inputs'!$B$9+'Inputs'!$B$10)+'Inputs'!$B$7)/SQRT((((150-43)*MAX('Inputs'!$B$33,'Inputs'!$B$29+'Inputs'!$B$31+'Inputs'!$B$32,'Inputs'!$B$30+'Inputs'!$B$31+'Inputs'!$B$32)/1000+'Inputs'!$B$21+'Inputs'!$B$9+'Inputs'!$B$10)+'Inputs'!$B$7)^2+('Inputs'!$B$6/2)^2)-(((150-43)*MAX('Inputs'!$B$33,'Inputs'!$B$29+'Inputs'!$B$31+'Inputs'!$B$32,'Inputs'!$B$30+'Inputs'!$B$31+'Inputs'!$B$32)/1000+'Inputs'!$B$21+'Inputs'!$B$9+'Inputs'!$B$10))/SQRT((((150-43)*MAX('Inputs'!$B$33,'Inputs'!$B$29+'Inputs'!$B$31+'Inputs'!$B$32,'Inputs'!$B$30+'Inputs'!$B$31+'Inputs'!$B$32)/1000+'Inputs'!$B$21+'Inputs'!$B$9+'Inputs'!$B$10))^2+('Inputs'!$B$6/2)^2))))*'Results'!$B$8)-'Inputs'!$B$28*ABS((('Results'!C7*(1-'Inputs'!$B$24)*(0.5*((((150-43)*MAX('Inputs'!$B$33,'Inputs'!$B$29+'Inputs'!$B$31+'Inputs'!$B$32,'Inputs'!$B$30+'Inputs'!$B$31+'Inputs'!$B$32)/1000+'Inputs'!$B$21)+'Inputs'!$B$9)/SQRT((((150-43)*MAX('Inputs'!$B$33,'Inputs'!$B$29+'Inputs'!$B$31+'Inputs'!$B$32,'Inputs'!$B$30+'Inputs'!$B$31+'Inputs'!$B$32)/1000+'Inputs'!$B$21)+'Inputs'!$B$9)^2+('Inputs'!$B$8/2)^2)-(((150-43)*MAX('Inputs'!$B$33,'Inputs'!$B$29+'Inputs'!$B$31+'Inputs'!$B$32,'Inputs'!$B$30+'Inputs'!$B$31+'Inputs'!$B$32)/1000+'Inputs'!$B$21))/SQRT((((150-43)*MAX('Inputs'!$B$33,'Inputs'!$B$29+'Inputs'!$B$31+'Inputs'!$B$32,'Inputs'!$B$30+'Inputs'!$B$31+'Inputs'!$B$32)/1000+'Inputs'!$B$21))^2+('Inputs'!$B$8/2)^2)))-'Results'!B7*(1+'Inputs'!$B$24)*(0.5*((((150-43)*MAX('Inputs'!$B$33,'Inputs'!$B$29+'Inputs'!$B$31+'Inputs'!$B$32,'Inputs'!$B$30+'Inputs'!$B$31+'Inputs'!$B$32)/1000+'Inputs'!$B$21+'Inputs'!$B$9+'Inputs'!$B$10)+'Inputs'!$B$7)/SQRT((((150-43)*MAX('Inputs'!$B$33,'Inputs'!$B$29+'Inputs'!$B$31+'Inputs'!$B$32,'Inputs'!$B$30+'Inputs'!$B$31+'Inputs'!$B$32)/1000+'Inputs'!$B$21+'Inputs'!$B$9+'Inputs'!$B$10)+'Inputs'!$B$7)^2+('Inputs'!$B$6/2)^2)-(((150-43)*MAX('Inputs'!$B$33,'Inputs'!$B$29+'Inputs'!$B$31+'Inputs'!$B$32,'Inputs'!$B$30+'Inputs'!$B$31+'Inputs'!$B$32)/1000+'Inputs'!$B$21+'Inputs'!$B$9+'Inputs'!$B$10))/SQRT((((150-43)*MAX('Inputs'!$B$33,'Inputs'!$B$29+'Inputs'!$B$31+'Inputs'!$B$32,'Inputs'!$B$30+'Inputs'!$B$31+'Inputs'!$B$32)/1000+'Inputs'!$B$21+'Inputs'!$B$9+'Inputs'!$B$10))^2+('Inputs'!$B$6/2)^2))))*'Results'!$B$8))),"")</x:f>
        <x:v>291.42490594456814</x:v>
      </x:c>
      <x:c r="O150" t="n">
        <x:f>IF(AND(ISNUMBER('Results'!C7),ISNUMBER('Results'!B7),ISNUMBER('Results'!$B$8),ISNUMBER('Inputs'!$B$6),ISNUMBER('Inputs'!$B$7),ISNUMBER('Inputs'!$B$8),ISNUMBER('Inputs'!$B$9),ISNUMBER('Inputs'!$B$10),ISNUMBER('Inputs'!$B$21),ISNUMBER('Inputs'!$B$24),ISNUMBER('Inputs'!$B$28)),((('Results'!C7*(1+'Inputs'!$B$24)*(0.5*((((150-43)*MAX('Inputs'!$B$33,'Inputs'!$B$29+'Inputs'!$B$31+'Inputs'!$B$32,'Inputs'!$B$30+'Inputs'!$B$31+'Inputs'!$B$32)/1000+'Inputs'!$B$21)+'Inputs'!$B$9)/SQRT((((150-43)*MAX('Inputs'!$B$33,'Inputs'!$B$29+'Inputs'!$B$31+'Inputs'!$B$32,'Inputs'!$B$30+'Inputs'!$B$31+'Inputs'!$B$32)/1000+'Inputs'!$B$21)+'Inputs'!$B$9)^2+('Inputs'!$B$8/2)^2)-(((150-43)*MAX('Inputs'!$B$33,'Inputs'!$B$29+'Inputs'!$B$31+'Inputs'!$B$32,'Inputs'!$B$30+'Inputs'!$B$31+'Inputs'!$B$32)/1000+'Inputs'!$B$21))/SQRT((((150-43)*MAX('Inputs'!$B$33,'Inputs'!$B$29+'Inputs'!$B$31+'Inputs'!$B$32,'Inputs'!$B$30+'Inputs'!$B$31+'Inputs'!$B$32)/1000+'Inputs'!$B$21))^2+('Inputs'!$B$8/2)^2)))-'Results'!B7*(1-'Inputs'!$B$24)*(0.5*((((150-43)*MAX('Inputs'!$B$33,'Inputs'!$B$29+'Inputs'!$B$31+'Inputs'!$B$32,'Inputs'!$B$30+'Inputs'!$B$31+'Inputs'!$B$32)/1000+'Inputs'!$B$21+'Inputs'!$B$9+'Inputs'!$B$10)+'Inputs'!$B$7)/SQRT((((150-43)*MAX('Inputs'!$B$33,'Inputs'!$B$29+'Inputs'!$B$31+'Inputs'!$B$32,'Inputs'!$B$30+'Inputs'!$B$31+'Inputs'!$B$32)/1000+'Inputs'!$B$21+'Inputs'!$B$9+'Inputs'!$B$10)+'Inputs'!$B$7)^2+('Inputs'!$B$6/2)^2)-(((150-43)*MAX('Inputs'!$B$33,'Inputs'!$B$29+'Inputs'!$B$31+'Inputs'!$B$32,'Inputs'!$B$30+'Inputs'!$B$31+'Inputs'!$B$32)/1000+'Inputs'!$B$21+'Inputs'!$B$9+'Inputs'!$B$10))/SQRT((((150-43)*MAX('Inputs'!$B$33,'Inputs'!$B$29+'Inputs'!$B$31+'Inputs'!$B$32,'Inputs'!$B$30+'Inputs'!$B$31+'Inputs'!$B$32)/1000+'Inputs'!$B$21+'Inputs'!$B$9+'Inputs'!$B$10))^2+('Inputs'!$B$6/2)^2))))*'Results'!$B$8)+'Inputs'!$B$28*ABS((('Results'!C7*(1+'Inputs'!$B$24)*(0.5*((((150-43)*MAX('Inputs'!$B$33,'Inputs'!$B$29+'Inputs'!$B$31+'Inputs'!$B$32,'Inputs'!$B$30+'Inputs'!$B$31+'Inputs'!$B$32)/1000+'Inputs'!$B$21)+'Inputs'!$B$9)/SQRT((((150-43)*MAX('Inputs'!$B$33,'Inputs'!$B$29+'Inputs'!$B$31+'Inputs'!$B$32,'Inputs'!$B$30+'Inputs'!$B$31+'Inputs'!$B$32)/1000+'Inputs'!$B$21)+'Inputs'!$B$9)^2+('Inputs'!$B$8/2)^2)-(((150-43)*MAX('Inputs'!$B$33,'Inputs'!$B$29+'Inputs'!$B$31+'Inputs'!$B$32,'Inputs'!$B$30+'Inputs'!$B$31+'Inputs'!$B$32)/1000+'Inputs'!$B$21))/SQRT((((150-43)*MAX('Inputs'!$B$33,'Inputs'!$B$29+'Inputs'!$B$31+'Inputs'!$B$32,'Inputs'!$B$30+'Inputs'!$B$31+'Inputs'!$B$32)/1000+'Inputs'!$B$21))^2+('Inputs'!$B$8/2)^2)))-'Results'!B7*(1-'Inputs'!$B$24)*(0.5*((((150-43)*MAX('Inputs'!$B$33,'Inputs'!$B$29+'Inputs'!$B$31+'Inputs'!$B$32,'Inputs'!$B$30+'Inputs'!$B$31+'Inputs'!$B$32)/1000+'Inputs'!$B$21+'Inputs'!$B$9+'Inputs'!$B$10)+'Inputs'!$B$7)/SQRT((((150-43)*MAX('Inputs'!$B$33,'Inputs'!$B$29+'Inputs'!$B$31+'Inputs'!$B$32,'Inputs'!$B$30+'Inputs'!$B$31+'Inputs'!$B$32)/1000+'Inputs'!$B$21+'Inputs'!$B$9+'Inputs'!$B$10)+'Inputs'!$B$7)^2+('Inputs'!$B$6/2)^2)-(((150-43)*MAX('Inputs'!$B$33,'Inputs'!$B$29+'Inputs'!$B$31+'Inputs'!$B$32,'Inputs'!$B$30+'Inputs'!$B$31+'Inputs'!$B$32)/1000+'Inputs'!$B$21+'Inputs'!$B$9+'Inputs'!$B$10))/SQRT((((150-43)*MAX('Inputs'!$B$33,'Inputs'!$B$29+'Inputs'!$B$31+'Inputs'!$B$32,'Inputs'!$B$30+'Inputs'!$B$31+'Inputs'!$B$32)/1000+'Inputs'!$B$21+'Inputs'!$B$9+'Inputs'!$B$10))^2+('Inputs'!$B$6/2)^2))))*'Results'!$B$8))),"")</x:f>
        <x:v>342.263756863689</x:v>
      </x:c>
      <x:c r="P150" t="n">
        <x:f>IF(AND(MAX(J150,J149)&gt;0,J150&gt;J149+0.00000001),1,0)</x:f>
        <x:v>0</x:v>
      </x:c>
      <x:c r="Q150" t="n">
        <x:f>IF(AND(MAX(K150,K149)&gt;0,K150&gt;K149+0.00000001),1,0)</x:f>
        <x:v>0</x:v>
      </x:c>
      <x:c r="R150" t="n">
        <x:f>IF(AND(MAX(L150,L149)&gt;0,L150&gt;L149+0.00000001),1,0)</x:f>
        <x:v>0</x:v>
      </x:c>
      <x:c r="S150" t="n">
        <x:f>IF(AND(MAX(M150,M149)&gt;0,M150&gt;M149+0.00000001),1,0)</x:f>
        <x:v>0</x:v>
      </x:c>
      <x:c r="T150" t="n">
        <x:f>IF(AND(MAX(N150,N149)&gt;0,N150&gt;N149+0.00000001),1,0)</x:f>
        <x:v>0</x:v>
      </x:c>
      <x:c r="U150" t="n">
        <x:f>IF(AND(MAX(O150,O149)&gt;0,O150&gt;O149+0.00000001),1,0)</x:f>
        <x:v>0</x:v>
      </x:c>
    </x:row>
    <x:row r="151">
      <x:c r="J151" t="n">
        <x:f>IF(AND(ISNUMBER('Results'!B7),ISNUMBER('Results'!C7),ISNUMBER('Results'!$B$8),ISNUMBER('Inputs'!$B$6),ISNUMBER('Inputs'!$B$7),ISNUMBER('Inputs'!$B$8),ISNUMBER('Inputs'!$B$9),ISNUMBER('Inputs'!$B$10),ISNUMBER('Inputs'!$B$21),ISNUMBER('Inputs'!$B$24),ISNUMBER('Inputs'!$B$28)),(('Results'!B7*(0.5*((((151-43)*MAX('Inputs'!$B$33,'Inputs'!$B$29+'Inputs'!$B$31+'Inputs'!$B$32,'Inputs'!$B$30+'Inputs'!$B$31+'Inputs'!$B$32)/1000+'Inputs'!$B$21)+'Inputs'!$B$7)/SQRT((((151-43)*MAX('Inputs'!$B$33,'Inputs'!$B$29+'Inputs'!$B$31+'Inputs'!$B$32,'Inputs'!$B$30+'Inputs'!$B$31+'Inputs'!$B$32)/1000+'Inputs'!$B$21)+'Inputs'!$B$7)^2+('Inputs'!$B$6/2)^2)-(((151-43)*MAX('Inputs'!$B$33,'Inputs'!$B$29+'Inputs'!$B$31+'Inputs'!$B$32,'Inputs'!$B$30+'Inputs'!$B$31+'Inputs'!$B$32)/1000+'Inputs'!$B$21))/SQRT((((151-43)*MAX('Inputs'!$B$33,'Inputs'!$B$29+'Inputs'!$B$31+'Inputs'!$B$32,'Inputs'!$B$30+'Inputs'!$B$31+'Inputs'!$B$32)/1000+'Inputs'!$B$21))^2+('Inputs'!$B$6/2)^2)))-'Results'!C7*(0.5*((((151-43)*MAX('Inputs'!$B$33,'Inputs'!$B$29+'Inputs'!$B$31+'Inputs'!$B$32,'Inputs'!$B$30+'Inputs'!$B$31+'Inputs'!$B$32)/1000+'Inputs'!$B$21+'Inputs'!$B$7+'Inputs'!$B$10)+'Inputs'!$B$9)/SQRT((((151-43)*MAX('Inputs'!$B$33,'Inputs'!$B$29+'Inputs'!$B$31+'Inputs'!$B$32,'Inputs'!$B$30+'Inputs'!$B$31+'Inputs'!$B$32)/1000+'Inputs'!$B$21+'Inputs'!$B$7+'Inputs'!$B$10)+'Inputs'!$B$9)^2+('Inputs'!$B$8/2)^2)-(((151-43)*MAX('Inputs'!$B$33,'Inputs'!$B$29+'Inputs'!$B$31+'Inputs'!$B$32,'Inputs'!$B$30+'Inputs'!$B$31+'Inputs'!$B$32)/1000+'Inputs'!$B$21+'Inputs'!$B$7+'Inputs'!$B$10))/SQRT((((151-43)*MAX('Inputs'!$B$33,'Inputs'!$B$29+'Inputs'!$B$31+'Inputs'!$B$32,'Inputs'!$B$30+'Inputs'!$B$31+'Inputs'!$B$32)/1000+'Inputs'!$B$21+'Inputs'!$B$7+'Inputs'!$B$10))^2+('Inputs'!$B$8/2)^2))))*'Results'!$B$8),"")</x:f>
        <x:v>320.14426107519904</x:v>
      </x:c>
      <x:c r="K151" t="n">
        <x:f>IF(AND(ISNUMBER('Results'!B7),ISNUMBER('Results'!C7),ISNUMBER('Results'!$B$8),ISNUMBER('Inputs'!$B$6),ISNUMBER('Inputs'!$B$7),ISNUMBER('Inputs'!$B$8),ISNUMBER('Inputs'!$B$9),ISNUMBER('Inputs'!$B$10),ISNUMBER('Inputs'!$B$21),ISNUMBER('Inputs'!$B$24),ISNUMBER('Inputs'!$B$28)),((('Results'!B7*(1-'Inputs'!$B$24)*(0.5*((((151-43)*MAX('Inputs'!$B$33,'Inputs'!$B$29+'Inputs'!$B$31+'Inputs'!$B$32,'Inputs'!$B$30+'Inputs'!$B$31+'Inputs'!$B$32)/1000+'Inputs'!$B$21)+'Inputs'!$B$7)/SQRT((((151-43)*MAX('Inputs'!$B$33,'Inputs'!$B$29+'Inputs'!$B$31+'Inputs'!$B$32,'Inputs'!$B$30+'Inputs'!$B$31+'Inputs'!$B$32)/1000+'Inputs'!$B$21)+'Inputs'!$B$7)^2+('Inputs'!$B$6/2)^2)-(((151-43)*MAX('Inputs'!$B$33,'Inputs'!$B$29+'Inputs'!$B$31+'Inputs'!$B$32,'Inputs'!$B$30+'Inputs'!$B$31+'Inputs'!$B$32)/1000+'Inputs'!$B$21))/SQRT((((151-43)*MAX('Inputs'!$B$33,'Inputs'!$B$29+'Inputs'!$B$31+'Inputs'!$B$32,'Inputs'!$B$30+'Inputs'!$B$31+'Inputs'!$B$32)/1000+'Inputs'!$B$21))^2+('Inputs'!$B$6/2)^2)))-'Results'!C7*(1+'Inputs'!$B$24)*(0.5*((((151-43)*MAX('Inputs'!$B$33,'Inputs'!$B$29+'Inputs'!$B$31+'Inputs'!$B$32,'Inputs'!$B$30+'Inputs'!$B$31+'Inputs'!$B$32)/1000+'Inputs'!$B$21+'Inputs'!$B$7+'Inputs'!$B$10)+'Inputs'!$B$9)/SQRT((((151-43)*MAX('Inputs'!$B$33,'Inputs'!$B$29+'Inputs'!$B$31+'Inputs'!$B$32,'Inputs'!$B$30+'Inputs'!$B$31+'Inputs'!$B$32)/1000+'Inputs'!$B$21+'Inputs'!$B$7+'Inputs'!$B$10)+'Inputs'!$B$9)^2+('Inputs'!$B$8/2)^2)-(((151-43)*MAX('Inputs'!$B$33,'Inputs'!$B$29+'Inputs'!$B$31+'Inputs'!$B$32,'Inputs'!$B$30+'Inputs'!$B$31+'Inputs'!$B$32)/1000+'Inputs'!$B$21+'Inputs'!$B$7+'Inputs'!$B$10))/SQRT((((151-43)*MAX('Inputs'!$B$33,'Inputs'!$B$29+'Inputs'!$B$31+'Inputs'!$B$32,'Inputs'!$B$30+'Inputs'!$B$31+'Inputs'!$B$32)/1000+'Inputs'!$B$21+'Inputs'!$B$7+'Inputs'!$B$10))^2+('Inputs'!$B$8/2)^2))))*'Results'!$B$8)-'Inputs'!$B$28*ABS((('Results'!B7*(1-'Inputs'!$B$24)*(0.5*((((151-43)*MAX('Inputs'!$B$33,'Inputs'!$B$29+'Inputs'!$B$31+'Inputs'!$B$32,'Inputs'!$B$30+'Inputs'!$B$31+'Inputs'!$B$32)/1000+'Inputs'!$B$21)+'Inputs'!$B$7)/SQRT((((151-43)*MAX('Inputs'!$B$33,'Inputs'!$B$29+'Inputs'!$B$31+'Inputs'!$B$32,'Inputs'!$B$30+'Inputs'!$B$31+'Inputs'!$B$32)/1000+'Inputs'!$B$21)+'Inputs'!$B$7)^2+('Inputs'!$B$6/2)^2)-(((151-43)*MAX('Inputs'!$B$33,'Inputs'!$B$29+'Inputs'!$B$31+'Inputs'!$B$32,'Inputs'!$B$30+'Inputs'!$B$31+'Inputs'!$B$32)/1000+'Inputs'!$B$21))/SQRT((((151-43)*MAX('Inputs'!$B$33,'Inputs'!$B$29+'Inputs'!$B$31+'Inputs'!$B$32,'Inputs'!$B$30+'Inputs'!$B$31+'Inputs'!$B$32)/1000+'Inputs'!$B$21))^2+('Inputs'!$B$6/2)^2)))-'Results'!C7*(1+'Inputs'!$B$24)*(0.5*((((151-43)*MAX('Inputs'!$B$33,'Inputs'!$B$29+'Inputs'!$B$31+'Inputs'!$B$32,'Inputs'!$B$30+'Inputs'!$B$31+'Inputs'!$B$32)/1000+'Inputs'!$B$21+'Inputs'!$B$7+'Inputs'!$B$10)+'Inputs'!$B$9)/SQRT((((151-43)*MAX('Inputs'!$B$33,'Inputs'!$B$29+'Inputs'!$B$31+'Inputs'!$B$32,'Inputs'!$B$30+'Inputs'!$B$31+'Inputs'!$B$32)/1000+'Inputs'!$B$21+'Inputs'!$B$7+'Inputs'!$B$10)+'Inputs'!$B$9)^2+('Inputs'!$B$8/2)^2)-(((151-43)*MAX('Inputs'!$B$33,'Inputs'!$B$29+'Inputs'!$B$31+'Inputs'!$B$32,'Inputs'!$B$30+'Inputs'!$B$31+'Inputs'!$B$32)/1000+'Inputs'!$B$21+'Inputs'!$B$7+'Inputs'!$B$10))/SQRT((((151-43)*MAX('Inputs'!$B$33,'Inputs'!$B$29+'Inputs'!$B$31+'Inputs'!$B$32,'Inputs'!$B$30+'Inputs'!$B$31+'Inputs'!$B$32)/1000+'Inputs'!$B$21+'Inputs'!$B$7+'Inputs'!$B$10))^2+('Inputs'!$B$8/2)^2))))*'Results'!$B$8))),"")</x:f>
        <x:v>295.04041024328427</x:v>
      </x:c>
      <x:c r="L151" t="n">
        <x:f>IF(AND(ISNUMBER('Results'!B7),ISNUMBER('Results'!C7),ISNUMBER('Results'!$B$8),ISNUMBER('Inputs'!$B$6),ISNUMBER('Inputs'!$B$7),ISNUMBER('Inputs'!$B$8),ISNUMBER('Inputs'!$B$9),ISNUMBER('Inputs'!$B$10),ISNUMBER('Inputs'!$B$21),ISNUMBER('Inputs'!$B$24),ISNUMBER('Inputs'!$B$28)),((('Results'!B7*(1+'Inputs'!$B$24)*(0.5*((((151-43)*MAX('Inputs'!$B$33,'Inputs'!$B$29+'Inputs'!$B$31+'Inputs'!$B$32,'Inputs'!$B$30+'Inputs'!$B$31+'Inputs'!$B$32)/1000+'Inputs'!$B$21)+'Inputs'!$B$7)/SQRT((((151-43)*MAX('Inputs'!$B$33,'Inputs'!$B$29+'Inputs'!$B$31+'Inputs'!$B$32,'Inputs'!$B$30+'Inputs'!$B$31+'Inputs'!$B$32)/1000+'Inputs'!$B$21)+'Inputs'!$B$7)^2+('Inputs'!$B$6/2)^2)-(((151-43)*MAX('Inputs'!$B$33,'Inputs'!$B$29+'Inputs'!$B$31+'Inputs'!$B$32,'Inputs'!$B$30+'Inputs'!$B$31+'Inputs'!$B$32)/1000+'Inputs'!$B$21))/SQRT((((151-43)*MAX('Inputs'!$B$33,'Inputs'!$B$29+'Inputs'!$B$31+'Inputs'!$B$32,'Inputs'!$B$30+'Inputs'!$B$31+'Inputs'!$B$32)/1000+'Inputs'!$B$21))^2+('Inputs'!$B$6/2)^2)))-'Results'!C7*(1-'Inputs'!$B$24)*(0.5*((((151-43)*MAX('Inputs'!$B$33,'Inputs'!$B$29+'Inputs'!$B$31+'Inputs'!$B$32,'Inputs'!$B$30+'Inputs'!$B$31+'Inputs'!$B$32)/1000+'Inputs'!$B$21+'Inputs'!$B$7+'Inputs'!$B$10)+'Inputs'!$B$9)/SQRT((((151-43)*MAX('Inputs'!$B$33,'Inputs'!$B$29+'Inputs'!$B$31+'Inputs'!$B$32,'Inputs'!$B$30+'Inputs'!$B$31+'Inputs'!$B$32)/1000+'Inputs'!$B$21+'Inputs'!$B$7+'Inputs'!$B$10)+'Inputs'!$B$9)^2+('Inputs'!$B$8/2)^2)-(((151-43)*MAX('Inputs'!$B$33,'Inputs'!$B$29+'Inputs'!$B$31+'Inputs'!$B$32,'Inputs'!$B$30+'Inputs'!$B$31+'Inputs'!$B$32)/1000+'Inputs'!$B$21+'Inputs'!$B$7+'Inputs'!$B$10))/SQRT((((151-43)*MAX('Inputs'!$B$33,'Inputs'!$B$29+'Inputs'!$B$31+'Inputs'!$B$32,'Inputs'!$B$30+'Inputs'!$B$31+'Inputs'!$B$32)/1000+'Inputs'!$B$21+'Inputs'!$B$7+'Inputs'!$B$10))^2+('Inputs'!$B$8/2)^2))))*'Results'!$B$8)+'Inputs'!$B$28*ABS((('Results'!B7*(1+'Inputs'!$B$24)*(0.5*((((151-43)*MAX('Inputs'!$B$33,'Inputs'!$B$29+'Inputs'!$B$31+'Inputs'!$B$32,'Inputs'!$B$30+'Inputs'!$B$31+'Inputs'!$B$32)/1000+'Inputs'!$B$21)+'Inputs'!$B$7)/SQRT((((151-43)*MAX('Inputs'!$B$33,'Inputs'!$B$29+'Inputs'!$B$31+'Inputs'!$B$32,'Inputs'!$B$30+'Inputs'!$B$31+'Inputs'!$B$32)/1000+'Inputs'!$B$21)+'Inputs'!$B$7)^2+('Inputs'!$B$6/2)^2)-(((151-43)*MAX('Inputs'!$B$33,'Inputs'!$B$29+'Inputs'!$B$31+'Inputs'!$B$32,'Inputs'!$B$30+'Inputs'!$B$31+'Inputs'!$B$32)/1000+'Inputs'!$B$21))/SQRT((((151-43)*MAX('Inputs'!$B$33,'Inputs'!$B$29+'Inputs'!$B$31+'Inputs'!$B$32,'Inputs'!$B$30+'Inputs'!$B$31+'Inputs'!$B$32)/1000+'Inputs'!$B$21))^2+('Inputs'!$B$6/2)^2)))-'Results'!C7*(1-'Inputs'!$B$24)*(0.5*((((151-43)*MAX('Inputs'!$B$33,'Inputs'!$B$29+'Inputs'!$B$31+'Inputs'!$B$32,'Inputs'!$B$30+'Inputs'!$B$31+'Inputs'!$B$32)/1000+'Inputs'!$B$21+'Inputs'!$B$7+'Inputs'!$B$10)+'Inputs'!$B$9)/SQRT((((151-43)*MAX('Inputs'!$B$33,'Inputs'!$B$29+'Inputs'!$B$31+'Inputs'!$B$32,'Inputs'!$B$30+'Inputs'!$B$31+'Inputs'!$B$32)/1000+'Inputs'!$B$21+'Inputs'!$B$7+'Inputs'!$B$10)+'Inputs'!$B$9)^2+('Inputs'!$B$8/2)^2)-(((151-43)*MAX('Inputs'!$B$33,'Inputs'!$B$29+'Inputs'!$B$31+'Inputs'!$B$32,'Inputs'!$B$30+'Inputs'!$B$31+'Inputs'!$B$32)/1000+'Inputs'!$B$21+'Inputs'!$B$7+'Inputs'!$B$10))/SQRT((((151-43)*MAX('Inputs'!$B$33,'Inputs'!$B$29+'Inputs'!$B$31+'Inputs'!$B$32,'Inputs'!$B$30+'Inputs'!$B$31+'Inputs'!$B$32)/1000+'Inputs'!$B$21+'Inputs'!$B$7+'Inputs'!$B$10))^2+('Inputs'!$B$8/2)^2))))*'Results'!$B$8))),"")</x:f>
        <x:v>346.20565272586686</x:v>
      </x:c>
      <x:c r="M151" t="n">
        <x:f>IF(AND(ISNUMBER('Results'!C7),ISNUMBER('Results'!B7),ISNUMBER('Results'!$B$8),ISNUMBER('Inputs'!$B$6),ISNUMBER('Inputs'!$B$7),ISNUMBER('Inputs'!$B$8),ISNUMBER('Inputs'!$B$9),ISNUMBER('Inputs'!$B$10),ISNUMBER('Inputs'!$B$21),ISNUMBER('Inputs'!$B$24),ISNUMBER('Inputs'!$B$28)),(('Results'!C7*(0.5*((((151-43)*MAX('Inputs'!$B$33,'Inputs'!$B$29+'Inputs'!$B$31+'Inputs'!$B$32,'Inputs'!$B$30+'Inputs'!$B$31+'Inputs'!$B$32)/1000+'Inputs'!$B$21)+'Inputs'!$B$9)/SQRT((((151-43)*MAX('Inputs'!$B$33,'Inputs'!$B$29+'Inputs'!$B$31+'Inputs'!$B$32,'Inputs'!$B$30+'Inputs'!$B$31+'Inputs'!$B$32)/1000+'Inputs'!$B$21)+'Inputs'!$B$9)^2+('Inputs'!$B$8/2)^2)-(((151-43)*MAX('Inputs'!$B$33,'Inputs'!$B$29+'Inputs'!$B$31+'Inputs'!$B$32,'Inputs'!$B$30+'Inputs'!$B$31+'Inputs'!$B$32)/1000+'Inputs'!$B$21))/SQRT((((151-43)*MAX('Inputs'!$B$33,'Inputs'!$B$29+'Inputs'!$B$31+'Inputs'!$B$32,'Inputs'!$B$30+'Inputs'!$B$31+'Inputs'!$B$32)/1000+'Inputs'!$B$21))^2+('Inputs'!$B$8/2)^2)))-'Results'!B7*(0.5*((((151-43)*MAX('Inputs'!$B$33,'Inputs'!$B$29+'Inputs'!$B$31+'Inputs'!$B$32,'Inputs'!$B$30+'Inputs'!$B$31+'Inputs'!$B$32)/1000+'Inputs'!$B$21+'Inputs'!$B$9+'Inputs'!$B$10)+'Inputs'!$B$7)/SQRT((((151-43)*MAX('Inputs'!$B$33,'Inputs'!$B$29+'Inputs'!$B$31+'Inputs'!$B$32,'Inputs'!$B$30+'Inputs'!$B$31+'Inputs'!$B$32)/1000+'Inputs'!$B$21+'Inputs'!$B$9+'Inputs'!$B$10)+'Inputs'!$B$7)^2+('Inputs'!$B$6/2)^2)-(((151-43)*MAX('Inputs'!$B$33,'Inputs'!$B$29+'Inputs'!$B$31+'Inputs'!$B$32,'Inputs'!$B$30+'Inputs'!$B$31+'Inputs'!$B$32)/1000+'Inputs'!$B$21+'Inputs'!$B$9+'Inputs'!$B$10))/SQRT((((151-43)*MAX('Inputs'!$B$33,'Inputs'!$B$29+'Inputs'!$B$31+'Inputs'!$B$32,'Inputs'!$B$30+'Inputs'!$B$31+'Inputs'!$B$32)/1000+'Inputs'!$B$21+'Inputs'!$B$9+'Inputs'!$B$10))^2+('Inputs'!$B$6/2)^2))))*'Results'!$B$8),"")</x:f>
        <x:v>310.5364802043409</x:v>
      </x:c>
      <x:c r="N151" t="n">
        <x:f>IF(AND(ISNUMBER('Results'!C7),ISNUMBER('Results'!B7),ISNUMBER('Results'!$B$8),ISNUMBER('Inputs'!$B$6),ISNUMBER('Inputs'!$B$7),ISNUMBER('Inputs'!$B$8),ISNUMBER('Inputs'!$B$9),ISNUMBER('Inputs'!$B$10),ISNUMBER('Inputs'!$B$21),ISNUMBER('Inputs'!$B$24),ISNUMBER('Inputs'!$B$28)),((('Results'!C7*(1-'Inputs'!$B$24)*(0.5*((((151-43)*MAX('Inputs'!$B$33,'Inputs'!$B$29+'Inputs'!$B$31+'Inputs'!$B$32,'Inputs'!$B$30+'Inputs'!$B$31+'Inputs'!$B$32)/1000+'Inputs'!$B$21)+'Inputs'!$B$9)/SQRT((((151-43)*MAX('Inputs'!$B$33,'Inputs'!$B$29+'Inputs'!$B$31+'Inputs'!$B$32,'Inputs'!$B$30+'Inputs'!$B$31+'Inputs'!$B$32)/1000+'Inputs'!$B$21)+'Inputs'!$B$9)^2+('Inputs'!$B$8/2)^2)-(((151-43)*MAX('Inputs'!$B$33,'Inputs'!$B$29+'Inputs'!$B$31+'Inputs'!$B$32,'Inputs'!$B$30+'Inputs'!$B$31+'Inputs'!$B$32)/1000+'Inputs'!$B$21))/SQRT((((151-43)*MAX('Inputs'!$B$33,'Inputs'!$B$29+'Inputs'!$B$31+'Inputs'!$B$32,'Inputs'!$B$30+'Inputs'!$B$31+'Inputs'!$B$32)/1000+'Inputs'!$B$21))^2+('Inputs'!$B$8/2)^2)))-'Results'!B7*(1+'Inputs'!$B$24)*(0.5*((((151-43)*MAX('Inputs'!$B$33,'Inputs'!$B$29+'Inputs'!$B$31+'Inputs'!$B$32,'Inputs'!$B$30+'Inputs'!$B$31+'Inputs'!$B$32)/1000+'Inputs'!$B$21+'Inputs'!$B$9+'Inputs'!$B$10)+'Inputs'!$B$7)/SQRT((((151-43)*MAX('Inputs'!$B$33,'Inputs'!$B$29+'Inputs'!$B$31+'Inputs'!$B$32,'Inputs'!$B$30+'Inputs'!$B$31+'Inputs'!$B$32)/1000+'Inputs'!$B$21+'Inputs'!$B$9+'Inputs'!$B$10)+'Inputs'!$B$7)^2+('Inputs'!$B$6/2)^2)-(((151-43)*MAX('Inputs'!$B$33,'Inputs'!$B$29+'Inputs'!$B$31+'Inputs'!$B$32,'Inputs'!$B$30+'Inputs'!$B$31+'Inputs'!$B$32)/1000+'Inputs'!$B$21+'Inputs'!$B$9+'Inputs'!$B$10))/SQRT((((151-43)*MAX('Inputs'!$B$33,'Inputs'!$B$29+'Inputs'!$B$31+'Inputs'!$B$32,'Inputs'!$B$30+'Inputs'!$B$31+'Inputs'!$B$32)/1000+'Inputs'!$B$21+'Inputs'!$B$9+'Inputs'!$B$10))^2+('Inputs'!$B$6/2)^2))))*'Results'!$B$8)-'Inputs'!$B$28*ABS((('Results'!C7*(1-'Inputs'!$B$24)*(0.5*((((151-43)*MAX('Inputs'!$B$33,'Inputs'!$B$29+'Inputs'!$B$31+'Inputs'!$B$32,'Inputs'!$B$30+'Inputs'!$B$31+'Inputs'!$B$32)/1000+'Inputs'!$B$21)+'Inputs'!$B$9)/SQRT((((151-43)*MAX('Inputs'!$B$33,'Inputs'!$B$29+'Inputs'!$B$31+'Inputs'!$B$32,'Inputs'!$B$30+'Inputs'!$B$31+'Inputs'!$B$32)/1000+'Inputs'!$B$21)+'Inputs'!$B$9)^2+('Inputs'!$B$8/2)^2)-(((151-43)*MAX('Inputs'!$B$33,'Inputs'!$B$29+'Inputs'!$B$31+'Inputs'!$B$32,'Inputs'!$B$30+'Inputs'!$B$31+'Inputs'!$B$32)/1000+'Inputs'!$B$21))/SQRT((((151-43)*MAX('Inputs'!$B$33,'Inputs'!$B$29+'Inputs'!$B$31+'Inputs'!$B$32,'Inputs'!$B$30+'Inputs'!$B$31+'Inputs'!$B$32)/1000+'Inputs'!$B$21))^2+('Inputs'!$B$8/2)^2)))-'Results'!B7*(1+'Inputs'!$B$24)*(0.5*((((151-43)*MAX('Inputs'!$B$33,'Inputs'!$B$29+'Inputs'!$B$31+'Inputs'!$B$32,'Inputs'!$B$30+'Inputs'!$B$31+'Inputs'!$B$32)/1000+'Inputs'!$B$21+'Inputs'!$B$9+'Inputs'!$B$10)+'Inputs'!$B$7)/SQRT((((151-43)*MAX('Inputs'!$B$33,'Inputs'!$B$29+'Inputs'!$B$31+'Inputs'!$B$32,'Inputs'!$B$30+'Inputs'!$B$31+'Inputs'!$B$32)/1000+'Inputs'!$B$21+'Inputs'!$B$9+'Inputs'!$B$10)+'Inputs'!$B$7)^2+('Inputs'!$B$6/2)^2)-(((151-43)*MAX('Inputs'!$B$33,'Inputs'!$B$29+'Inputs'!$B$31+'Inputs'!$B$32,'Inputs'!$B$30+'Inputs'!$B$31+'Inputs'!$B$32)/1000+'Inputs'!$B$21+'Inputs'!$B$9+'Inputs'!$B$10))/SQRT((((151-43)*MAX('Inputs'!$B$33,'Inputs'!$B$29+'Inputs'!$B$31+'Inputs'!$B$32,'Inputs'!$B$30+'Inputs'!$B$31+'Inputs'!$B$32)/1000+'Inputs'!$B$21+'Inputs'!$B$9+'Inputs'!$B$10))^2+('Inputs'!$B$6/2)^2))))*'Results'!$B$8))),"")</x:f>
        <x:v>286.0340581541943</x:v>
      </x:c>
      <x:c r="O151" t="n">
        <x:f>IF(AND(ISNUMBER('Results'!C7),ISNUMBER('Results'!B7),ISNUMBER('Results'!$B$8),ISNUMBER('Inputs'!$B$6),ISNUMBER('Inputs'!$B$7),ISNUMBER('Inputs'!$B$8),ISNUMBER('Inputs'!$B$9),ISNUMBER('Inputs'!$B$10),ISNUMBER('Inputs'!$B$21),ISNUMBER('Inputs'!$B$24),ISNUMBER('Inputs'!$B$28)),((('Results'!C7*(1+'Inputs'!$B$24)*(0.5*((((151-43)*MAX('Inputs'!$B$33,'Inputs'!$B$29+'Inputs'!$B$31+'Inputs'!$B$32,'Inputs'!$B$30+'Inputs'!$B$31+'Inputs'!$B$32)/1000+'Inputs'!$B$21)+'Inputs'!$B$9)/SQRT((((151-43)*MAX('Inputs'!$B$33,'Inputs'!$B$29+'Inputs'!$B$31+'Inputs'!$B$32,'Inputs'!$B$30+'Inputs'!$B$31+'Inputs'!$B$32)/1000+'Inputs'!$B$21)+'Inputs'!$B$9)^2+('Inputs'!$B$8/2)^2)-(((151-43)*MAX('Inputs'!$B$33,'Inputs'!$B$29+'Inputs'!$B$31+'Inputs'!$B$32,'Inputs'!$B$30+'Inputs'!$B$31+'Inputs'!$B$32)/1000+'Inputs'!$B$21))/SQRT((((151-43)*MAX('Inputs'!$B$33,'Inputs'!$B$29+'Inputs'!$B$31+'Inputs'!$B$32,'Inputs'!$B$30+'Inputs'!$B$31+'Inputs'!$B$32)/1000+'Inputs'!$B$21))^2+('Inputs'!$B$8/2)^2)))-'Results'!B7*(1-'Inputs'!$B$24)*(0.5*((((151-43)*MAX('Inputs'!$B$33,'Inputs'!$B$29+'Inputs'!$B$31+'Inputs'!$B$32,'Inputs'!$B$30+'Inputs'!$B$31+'Inputs'!$B$32)/1000+'Inputs'!$B$21+'Inputs'!$B$9+'Inputs'!$B$10)+'Inputs'!$B$7)/SQRT((((151-43)*MAX('Inputs'!$B$33,'Inputs'!$B$29+'Inputs'!$B$31+'Inputs'!$B$32,'Inputs'!$B$30+'Inputs'!$B$31+'Inputs'!$B$32)/1000+'Inputs'!$B$21+'Inputs'!$B$9+'Inputs'!$B$10)+'Inputs'!$B$7)^2+('Inputs'!$B$6/2)^2)-(((151-43)*MAX('Inputs'!$B$33,'Inputs'!$B$29+'Inputs'!$B$31+'Inputs'!$B$32,'Inputs'!$B$30+'Inputs'!$B$31+'Inputs'!$B$32)/1000+'Inputs'!$B$21+'Inputs'!$B$9+'Inputs'!$B$10))/SQRT((((151-43)*MAX('Inputs'!$B$33,'Inputs'!$B$29+'Inputs'!$B$31+'Inputs'!$B$32,'Inputs'!$B$30+'Inputs'!$B$31+'Inputs'!$B$32)/1000+'Inputs'!$B$21+'Inputs'!$B$9+'Inputs'!$B$10))^2+('Inputs'!$B$6/2)^2))))*'Results'!$B$8)+'Inputs'!$B$28*ABS((('Results'!C7*(1+'Inputs'!$B$24)*(0.5*((((151-43)*MAX('Inputs'!$B$33,'Inputs'!$B$29+'Inputs'!$B$31+'Inputs'!$B$32,'Inputs'!$B$30+'Inputs'!$B$31+'Inputs'!$B$32)/1000+'Inputs'!$B$21)+'Inputs'!$B$9)/SQRT((((151-43)*MAX('Inputs'!$B$33,'Inputs'!$B$29+'Inputs'!$B$31+'Inputs'!$B$32,'Inputs'!$B$30+'Inputs'!$B$31+'Inputs'!$B$32)/1000+'Inputs'!$B$21)+'Inputs'!$B$9)^2+('Inputs'!$B$8/2)^2)-(((151-43)*MAX('Inputs'!$B$33,'Inputs'!$B$29+'Inputs'!$B$31+'Inputs'!$B$32,'Inputs'!$B$30+'Inputs'!$B$31+'Inputs'!$B$32)/1000+'Inputs'!$B$21))/SQRT((((151-43)*MAX('Inputs'!$B$33,'Inputs'!$B$29+'Inputs'!$B$31+'Inputs'!$B$32,'Inputs'!$B$30+'Inputs'!$B$31+'Inputs'!$B$32)/1000+'Inputs'!$B$21))^2+('Inputs'!$B$8/2)^2)))-'Results'!B7*(1-'Inputs'!$B$24)*(0.5*((((151-43)*MAX('Inputs'!$B$33,'Inputs'!$B$29+'Inputs'!$B$31+'Inputs'!$B$32,'Inputs'!$B$30+'Inputs'!$B$31+'Inputs'!$B$32)/1000+'Inputs'!$B$21+'Inputs'!$B$9+'Inputs'!$B$10)+'Inputs'!$B$7)/SQRT((((151-43)*MAX('Inputs'!$B$33,'Inputs'!$B$29+'Inputs'!$B$31+'Inputs'!$B$32,'Inputs'!$B$30+'Inputs'!$B$31+'Inputs'!$B$32)/1000+'Inputs'!$B$21+'Inputs'!$B$9+'Inputs'!$B$10)+'Inputs'!$B$7)^2+('Inputs'!$B$6/2)^2)-(((151-43)*MAX('Inputs'!$B$33,'Inputs'!$B$29+'Inputs'!$B$31+'Inputs'!$B$32,'Inputs'!$B$30+'Inputs'!$B$31+'Inputs'!$B$32)/1000+'Inputs'!$B$21+'Inputs'!$B$9+'Inputs'!$B$10))/SQRT((((151-43)*MAX('Inputs'!$B$33,'Inputs'!$B$29+'Inputs'!$B$31+'Inputs'!$B$32,'Inputs'!$B$30+'Inputs'!$B$31+'Inputs'!$B$32)/1000+'Inputs'!$B$21+'Inputs'!$B$9+'Inputs'!$B$10))^2+('Inputs'!$B$6/2)^2))))*'Results'!$B$8))),"")</x:f>
        <x:v>335.9837020481642</x:v>
      </x:c>
      <x:c r="P151" t="n">
        <x:f>IF(AND(MAX(J151,J150)&gt;0,J151&gt;J150+0.00000001),1,0)</x:f>
        <x:v>0</x:v>
      </x:c>
      <x:c r="Q151" t="n">
        <x:f>IF(AND(MAX(K151,K150)&gt;0,K151&gt;K150+0.00000001),1,0)</x:f>
        <x:v>0</x:v>
      </x:c>
      <x:c r="R151" t="n">
        <x:f>IF(AND(MAX(L151,L150)&gt;0,L151&gt;L150+0.00000001),1,0)</x:f>
        <x:v>0</x:v>
      </x:c>
      <x:c r="S151" t="n">
        <x:f>IF(AND(MAX(M151,M150)&gt;0,M151&gt;M150+0.00000001),1,0)</x:f>
        <x:v>0</x:v>
      </x:c>
      <x:c r="T151" t="n">
        <x:f>IF(AND(MAX(N151,N150)&gt;0,N151&gt;N150+0.00000001),1,0)</x:f>
        <x:v>0</x:v>
      </x:c>
      <x:c r="U151" t="n">
        <x:f>IF(AND(MAX(O151,O150)&gt;0,O151&gt;O150+0.00000001),1,0)</x:f>
        <x:v>0</x:v>
      </x:c>
    </x:row>
    <x:row r="152">
      <x:c r="J152" t="n">
        <x:f>IF(AND(ISNUMBER('Results'!B7),ISNUMBER('Results'!C7),ISNUMBER('Results'!$B$8),ISNUMBER('Inputs'!$B$6),ISNUMBER('Inputs'!$B$7),ISNUMBER('Inputs'!$B$8),ISNUMBER('Inputs'!$B$9),ISNUMBER('Inputs'!$B$10),ISNUMBER('Inputs'!$B$21),ISNUMBER('Inputs'!$B$24),ISNUMBER('Inputs'!$B$28)),(('Results'!B7*(0.5*((((152-43)*MAX('Inputs'!$B$33,'Inputs'!$B$29+'Inputs'!$B$31+'Inputs'!$B$32,'Inputs'!$B$30+'Inputs'!$B$31+'Inputs'!$B$32)/1000+'Inputs'!$B$21)+'Inputs'!$B$7)/SQRT((((152-43)*MAX('Inputs'!$B$33,'Inputs'!$B$29+'Inputs'!$B$31+'Inputs'!$B$32,'Inputs'!$B$30+'Inputs'!$B$31+'Inputs'!$B$32)/1000+'Inputs'!$B$21)+'Inputs'!$B$7)^2+('Inputs'!$B$6/2)^2)-(((152-43)*MAX('Inputs'!$B$33,'Inputs'!$B$29+'Inputs'!$B$31+'Inputs'!$B$32,'Inputs'!$B$30+'Inputs'!$B$31+'Inputs'!$B$32)/1000+'Inputs'!$B$21))/SQRT((((152-43)*MAX('Inputs'!$B$33,'Inputs'!$B$29+'Inputs'!$B$31+'Inputs'!$B$32,'Inputs'!$B$30+'Inputs'!$B$31+'Inputs'!$B$32)/1000+'Inputs'!$B$21))^2+('Inputs'!$B$6/2)^2)))-'Results'!C7*(0.5*((((152-43)*MAX('Inputs'!$B$33,'Inputs'!$B$29+'Inputs'!$B$31+'Inputs'!$B$32,'Inputs'!$B$30+'Inputs'!$B$31+'Inputs'!$B$32)/1000+'Inputs'!$B$21+'Inputs'!$B$7+'Inputs'!$B$10)+'Inputs'!$B$9)/SQRT((((152-43)*MAX('Inputs'!$B$33,'Inputs'!$B$29+'Inputs'!$B$31+'Inputs'!$B$32,'Inputs'!$B$30+'Inputs'!$B$31+'Inputs'!$B$32)/1000+'Inputs'!$B$21+'Inputs'!$B$7+'Inputs'!$B$10)+'Inputs'!$B$9)^2+('Inputs'!$B$8/2)^2)-(((152-43)*MAX('Inputs'!$B$33,'Inputs'!$B$29+'Inputs'!$B$31+'Inputs'!$B$32,'Inputs'!$B$30+'Inputs'!$B$31+'Inputs'!$B$32)/1000+'Inputs'!$B$21+'Inputs'!$B$7+'Inputs'!$B$10))/SQRT((((152-43)*MAX('Inputs'!$B$33,'Inputs'!$B$29+'Inputs'!$B$31+'Inputs'!$B$32,'Inputs'!$B$30+'Inputs'!$B$31+'Inputs'!$B$32)/1000+'Inputs'!$B$21+'Inputs'!$B$7+'Inputs'!$B$10))^2+('Inputs'!$B$8/2)^2))))*'Results'!$B$8),"")</x:f>
        <x:v>314.2865338830719</x:v>
      </x:c>
      <x:c r="K152" t="n">
        <x:f>IF(AND(ISNUMBER('Results'!B7),ISNUMBER('Results'!C7),ISNUMBER('Results'!$B$8),ISNUMBER('Inputs'!$B$6),ISNUMBER('Inputs'!$B$7),ISNUMBER('Inputs'!$B$8),ISNUMBER('Inputs'!$B$9),ISNUMBER('Inputs'!$B$10),ISNUMBER('Inputs'!$B$21),ISNUMBER('Inputs'!$B$24),ISNUMBER('Inputs'!$B$28)),((('Results'!B7*(1-'Inputs'!$B$24)*(0.5*((((152-43)*MAX('Inputs'!$B$33,'Inputs'!$B$29+'Inputs'!$B$31+'Inputs'!$B$32,'Inputs'!$B$30+'Inputs'!$B$31+'Inputs'!$B$32)/1000+'Inputs'!$B$21)+'Inputs'!$B$7)/SQRT((((152-43)*MAX('Inputs'!$B$33,'Inputs'!$B$29+'Inputs'!$B$31+'Inputs'!$B$32,'Inputs'!$B$30+'Inputs'!$B$31+'Inputs'!$B$32)/1000+'Inputs'!$B$21)+'Inputs'!$B$7)^2+('Inputs'!$B$6/2)^2)-(((152-43)*MAX('Inputs'!$B$33,'Inputs'!$B$29+'Inputs'!$B$31+'Inputs'!$B$32,'Inputs'!$B$30+'Inputs'!$B$31+'Inputs'!$B$32)/1000+'Inputs'!$B$21))/SQRT((((152-43)*MAX('Inputs'!$B$33,'Inputs'!$B$29+'Inputs'!$B$31+'Inputs'!$B$32,'Inputs'!$B$30+'Inputs'!$B$31+'Inputs'!$B$32)/1000+'Inputs'!$B$21))^2+('Inputs'!$B$6/2)^2)))-'Results'!C7*(1+'Inputs'!$B$24)*(0.5*((((152-43)*MAX('Inputs'!$B$33,'Inputs'!$B$29+'Inputs'!$B$31+'Inputs'!$B$32,'Inputs'!$B$30+'Inputs'!$B$31+'Inputs'!$B$32)/1000+'Inputs'!$B$21+'Inputs'!$B$7+'Inputs'!$B$10)+'Inputs'!$B$9)/SQRT((((152-43)*MAX('Inputs'!$B$33,'Inputs'!$B$29+'Inputs'!$B$31+'Inputs'!$B$32,'Inputs'!$B$30+'Inputs'!$B$31+'Inputs'!$B$32)/1000+'Inputs'!$B$21+'Inputs'!$B$7+'Inputs'!$B$10)+'Inputs'!$B$9)^2+('Inputs'!$B$8/2)^2)-(((152-43)*MAX('Inputs'!$B$33,'Inputs'!$B$29+'Inputs'!$B$31+'Inputs'!$B$32,'Inputs'!$B$30+'Inputs'!$B$31+'Inputs'!$B$32)/1000+'Inputs'!$B$21+'Inputs'!$B$7+'Inputs'!$B$10))/SQRT((((152-43)*MAX('Inputs'!$B$33,'Inputs'!$B$29+'Inputs'!$B$31+'Inputs'!$B$32,'Inputs'!$B$30+'Inputs'!$B$31+'Inputs'!$B$32)/1000+'Inputs'!$B$21+'Inputs'!$B$7+'Inputs'!$B$10))^2+('Inputs'!$B$8/2)^2))))*'Results'!$B$8)-'Inputs'!$B$28*ABS((('Results'!B7*(1-'Inputs'!$B$24)*(0.5*((((152-43)*MAX('Inputs'!$B$33,'Inputs'!$B$29+'Inputs'!$B$31+'Inputs'!$B$32,'Inputs'!$B$30+'Inputs'!$B$31+'Inputs'!$B$32)/1000+'Inputs'!$B$21)+'Inputs'!$B$7)/SQRT((((152-43)*MAX('Inputs'!$B$33,'Inputs'!$B$29+'Inputs'!$B$31+'Inputs'!$B$32,'Inputs'!$B$30+'Inputs'!$B$31+'Inputs'!$B$32)/1000+'Inputs'!$B$21)+'Inputs'!$B$7)^2+('Inputs'!$B$6/2)^2)-(((152-43)*MAX('Inputs'!$B$33,'Inputs'!$B$29+'Inputs'!$B$31+'Inputs'!$B$32,'Inputs'!$B$30+'Inputs'!$B$31+'Inputs'!$B$32)/1000+'Inputs'!$B$21))/SQRT((((152-43)*MAX('Inputs'!$B$33,'Inputs'!$B$29+'Inputs'!$B$31+'Inputs'!$B$32,'Inputs'!$B$30+'Inputs'!$B$31+'Inputs'!$B$32)/1000+'Inputs'!$B$21))^2+('Inputs'!$B$6/2)^2)))-'Results'!C7*(1+'Inputs'!$B$24)*(0.5*((((152-43)*MAX('Inputs'!$B$33,'Inputs'!$B$29+'Inputs'!$B$31+'Inputs'!$B$32,'Inputs'!$B$30+'Inputs'!$B$31+'Inputs'!$B$32)/1000+'Inputs'!$B$21+'Inputs'!$B$7+'Inputs'!$B$10)+'Inputs'!$B$9)/SQRT((((152-43)*MAX('Inputs'!$B$33,'Inputs'!$B$29+'Inputs'!$B$31+'Inputs'!$B$32,'Inputs'!$B$30+'Inputs'!$B$31+'Inputs'!$B$32)/1000+'Inputs'!$B$21+'Inputs'!$B$7+'Inputs'!$B$10)+'Inputs'!$B$9)^2+('Inputs'!$B$8/2)^2)-(((152-43)*MAX('Inputs'!$B$33,'Inputs'!$B$29+'Inputs'!$B$31+'Inputs'!$B$32,'Inputs'!$B$30+'Inputs'!$B$31+'Inputs'!$B$32)/1000+'Inputs'!$B$21+'Inputs'!$B$7+'Inputs'!$B$10))/SQRT((((152-43)*MAX('Inputs'!$B$33,'Inputs'!$B$29+'Inputs'!$B$31+'Inputs'!$B$32,'Inputs'!$B$30+'Inputs'!$B$31+'Inputs'!$B$32)/1000+'Inputs'!$B$21+'Inputs'!$B$7+'Inputs'!$B$10))^2+('Inputs'!$B$8/2)^2))))*'Results'!$B$8))),"")</x:f>
        <x:v>289.6205004081436</x:v>
      </x:c>
      <x:c r="L152" t="n">
        <x:f>IF(AND(ISNUMBER('Results'!B7),ISNUMBER('Results'!C7),ISNUMBER('Results'!$B$8),ISNUMBER('Inputs'!$B$6),ISNUMBER('Inputs'!$B$7),ISNUMBER('Inputs'!$B$8),ISNUMBER('Inputs'!$B$9),ISNUMBER('Inputs'!$B$10),ISNUMBER('Inputs'!$B$21),ISNUMBER('Inputs'!$B$24),ISNUMBER('Inputs'!$B$28)),((('Results'!B7*(1+'Inputs'!$B$24)*(0.5*((((152-43)*MAX('Inputs'!$B$33,'Inputs'!$B$29+'Inputs'!$B$31+'Inputs'!$B$32,'Inputs'!$B$30+'Inputs'!$B$31+'Inputs'!$B$32)/1000+'Inputs'!$B$21)+'Inputs'!$B$7)/SQRT((((152-43)*MAX('Inputs'!$B$33,'Inputs'!$B$29+'Inputs'!$B$31+'Inputs'!$B$32,'Inputs'!$B$30+'Inputs'!$B$31+'Inputs'!$B$32)/1000+'Inputs'!$B$21)+'Inputs'!$B$7)^2+('Inputs'!$B$6/2)^2)-(((152-43)*MAX('Inputs'!$B$33,'Inputs'!$B$29+'Inputs'!$B$31+'Inputs'!$B$32,'Inputs'!$B$30+'Inputs'!$B$31+'Inputs'!$B$32)/1000+'Inputs'!$B$21))/SQRT((((152-43)*MAX('Inputs'!$B$33,'Inputs'!$B$29+'Inputs'!$B$31+'Inputs'!$B$32,'Inputs'!$B$30+'Inputs'!$B$31+'Inputs'!$B$32)/1000+'Inputs'!$B$21))^2+('Inputs'!$B$6/2)^2)))-'Results'!C7*(1-'Inputs'!$B$24)*(0.5*((((152-43)*MAX('Inputs'!$B$33,'Inputs'!$B$29+'Inputs'!$B$31+'Inputs'!$B$32,'Inputs'!$B$30+'Inputs'!$B$31+'Inputs'!$B$32)/1000+'Inputs'!$B$21+'Inputs'!$B$7+'Inputs'!$B$10)+'Inputs'!$B$9)/SQRT((((152-43)*MAX('Inputs'!$B$33,'Inputs'!$B$29+'Inputs'!$B$31+'Inputs'!$B$32,'Inputs'!$B$30+'Inputs'!$B$31+'Inputs'!$B$32)/1000+'Inputs'!$B$21+'Inputs'!$B$7+'Inputs'!$B$10)+'Inputs'!$B$9)^2+('Inputs'!$B$8/2)^2)-(((152-43)*MAX('Inputs'!$B$33,'Inputs'!$B$29+'Inputs'!$B$31+'Inputs'!$B$32,'Inputs'!$B$30+'Inputs'!$B$31+'Inputs'!$B$32)/1000+'Inputs'!$B$21+'Inputs'!$B$7+'Inputs'!$B$10))/SQRT((((152-43)*MAX('Inputs'!$B$33,'Inputs'!$B$29+'Inputs'!$B$31+'Inputs'!$B$32,'Inputs'!$B$30+'Inputs'!$B$31+'Inputs'!$B$32)/1000+'Inputs'!$B$21+'Inputs'!$B$7+'Inputs'!$B$10))^2+('Inputs'!$B$8/2)^2))))*'Results'!$B$8)+'Inputs'!$B$28*ABS((('Results'!B7*(1+'Inputs'!$B$24)*(0.5*((((152-43)*MAX('Inputs'!$B$33,'Inputs'!$B$29+'Inputs'!$B$31+'Inputs'!$B$32,'Inputs'!$B$30+'Inputs'!$B$31+'Inputs'!$B$32)/1000+'Inputs'!$B$21)+'Inputs'!$B$7)/SQRT((((152-43)*MAX('Inputs'!$B$33,'Inputs'!$B$29+'Inputs'!$B$31+'Inputs'!$B$32,'Inputs'!$B$30+'Inputs'!$B$31+'Inputs'!$B$32)/1000+'Inputs'!$B$21)+'Inputs'!$B$7)^2+('Inputs'!$B$6/2)^2)-(((152-43)*MAX('Inputs'!$B$33,'Inputs'!$B$29+'Inputs'!$B$31+'Inputs'!$B$32,'Inputs'!$B$30+'Inputs'!$B$31+'Inputs'!$B$32)/1000+'Inputs'!$B$21))/SQRT((((152-43)*MAX('Inputs'!$B$33,'Inputs'!$B$29+'Inputs'!$B$31+'Inputs'!$B$32,'Inputs'!$B$30+'Inputs'!$B$31+'Inputs'!$B$32)/1000+'Inputs'!$B$21))^2+('Inputs'!$B$6/2)^2)))-'Results'!C7*(1-'Inputs'!$B$24)*(0.5*((((152-43)*MAX('Inputs'!$B$33,'Inputs'!$B$29+'Inputs'!$B$31+'Inputs'!$B$32,'Inputs'!$B$30+'Inputs'!$B$31+'Inputs'!$B$32)/1000+'Inputs'!$B$21+'Inputs'!$B$7+'Inputs'!$B$10)+'Inputs'!$B$9)/SQRT((((152-43)*MAX('Inputs'!$B$33,'Inputs'!$B$29+'Inputs'!$B$31+'Inputs'!$B$32,'Inputs'!$B$30+'Inputs'!$B$31+'Inputs'!$B$32)/1000+'Inputs'!$B$21+'Inputs'!$B$7+'Inputs'!$B$10)+'Inputs'!$B$9)^2+('Inputs'!$B$8/2)^2)-(((152-43)*MAX('Inputs'!$B$33,'Inputs'!$B$29+'Inputs'!$B$31+'Inputs'!$B$32,'Inputs'!$B$30+'Inputs'!$B$31+'Inputs'!$B$32)/1000+'Inputs'!$B$21+'Inputs'!$B$7+'Inputs'!$B$10))/SQRT((((152-43)*MAX('Inputs'!$B$33,'Inputs'!$B$29+'Inputs'!$B$31+'Inputs'!$B$32,'Inputs'!$B$30+'Inputs'!$B$31+'Inputs'!$B$32)/1000+'Inputs'!$B$21+'Inputs'!$B$7+'Inputs'!$B$10))^2+('Inputs'!$B$8/2)^2))))*'Results'!$B$8))),"")</x:f>
        <x:v>339.8948522822924</x:v>
      </x:c>
      <x:c r="M152" t="n">
        <x:f>IF(AND(ISNUMBER('Results'!C7),ISNUMBER('Results'!B7),ISNUMBER('Results'!$B$8),ISNUMBER('Inputs'!$B$6),ISNUMBER('Inputs'!$B$7),ISNUMBER('Inputs'!$B$8),ISNUMBER('Inputs'!$B$9),ISNUMBER('Inputs'!$B$10),ISNUMBER('Inputs'!$B$21),ISNUMBER('Inputs'!$B$24),ISNUMBER('Inputs'!$B$28)),(('Results'!C7*(0.5*((((152-43)*MAX('Inputs'!$B$33,'Inputs'!$B$29+'Inputs'!$B$31+'Inputs'!$B$32,'Inputs'!$B$30+'Inputs'!$B$31+'Inputs'!$B$32)/1000+'Inputs'!$B$21)+'Inputs'!$B$9)/SQRT((((152-43)*MAX('Inputs'!$B$33,'Inputs'!$B$29+'Inputs'!$B$31+'Inputs'!$B$32,'Inputs'!$B$30+'Inputs'!$B$31+'Inputs'!$B$32)/1000+'Inputs'!$B$21)+'Inputs'!$B$9)^2+('Inputs'!$B$8/2)^2)-(((152-43)*MAX('Inputs'!$B$33,'Inputs'!$B$29+'Inputs'!$B$31+'Inputs'!$B$32,'Inputs'!$B$30+'Inputs'!$B$31+'Inputs'!$B$32)/1000+'Inputs'!$B$21))/SQRT((((152-43)*MAX('Inputs'!$B$33,'Inputs'!$B$29+'Inputs'!$B$31+'Inputs'!$B$32,'Inputs'!$B$30+'Inputs'!$B$31+'Inputs'!$B$32)/1000+'Inputs'!$B$21))^2+('Inputs'!$B$8/2)^2)))-'Results'!B7*(0.5*((((152-43)*MAX('Inputs'!$B$33,'Inputs'!$B$29+'Inputs'!$B$31+'Inputs'!$B$32,'Inputs'!$B$30+'Inputs'!$B$31+'Inputs'!$B$32)/1000+'Inputs'!$B$21+'Inputs'!$B$9+'Inputs'!$B$10)+'Inputs'!$B$7)/SQRT((((152-43)*MAX('Inputs'!$B$33,'Inputs'!$B$29+'Inputs'!$B$31+'Inputs'!$B$32,'Inputs'!$B$30+'Inputs'!$B$31+'Inputs'!$B$32)/1000+'Inputs'!$B$21+'Inputs'!$B$9+'Inputs'!$B$10)+'Inputs'!$B$7)^2+('Inputs'!$B$6/2)^2)-(((152-43)*MAX('Inputs'!$B$33,'Inputs'!$B$29+'Inputs'!$B$31+'Inputs'!$B$32,'Inputs'!$B$30+'Inputs'!$B$31+'Inputs'!$B$32)/1000+'Inputs'!$B$21+'Inputs'!$B$9+'Inputs'!$B$10))/SQRT((((152-43)*MAX('Inputs'!$B$33,'Inputs'!$B$29+'Inputs'!$B$31+'Inputs'!$B$32,'Inputs'!$B$30+'Inputs'!$B$31+'Inputs'!$B$32)/1000+'Inputs'!$B$21+'Inputs'!$B$9+'Inputs'!$B$10))^2+('Inputs'!$B$6/2)^2))))*'Results'!$B$8),"")</x:f>
        <x:v>304.8316732262199</x:v>
      </x:c>
      <x:c r="N152" t="n">
        <x:f>IF(AND(ISNUMBER('Results'!C7),ISNUMBER('Results'!B7),ISNUMBER('Results'!$B$8),ISNUMBER('Inputs'!$B$6),ISNUMBER('Inputs'!$B$7),ISNUMBER('Inputs'!$B$8),ISNUMBER('Inputs'!$B$9),ISNUMBER('Inputs'!$B$10),ISNUMBER('Inputs'!$B$21),ISNUMBER('Inputs'!$B$24),ISNUMBER('Inputs'!$B$28)),((('Results'!C7*(1-'Inputs'!$B$24)*(0.5*((((152-43)*MAX('Inputs'!$B$33,'Inputs'!$B$29+'Inputs'!$B$31+'Inputs'!$B$32,'Inputs'!$B$30+'Inputs'!$B$31+'Inputs'!$B$32)/1000+'Inputs'!$B$21)+'Inputs'!$B$9)/SQRT((((152-43)*MAX('Inputs'!$B$33,'Inputs'!$B$29+'Inputs'!$B$31+'Inputs'!$B$32,'Inputs'!$B$30+'Inputs'!$B$31+'Inputs'!$B$32)/1000+'Inputs'!$B$21)+'Inputs'!$B$9)^2+('Inputs'!$B$8/2)^2)-(((152-43)*MAX('Inputs'!$B$33,'Inputs'!$B$29+'Inputs'!$B$31+'Inputs'!$B$32,'Inputs'!$B$30+'Inputs'!$B$31+'Inputs'!$B$32)/1000+'Inputs'!$B$21))/SQRT((((152-43)*MAX('Inputs'!$B$33,'Inputs'!$B$29+'Inputs'!$B$31+'Inputs'!$B$32,'Inputs'!$B$30+'Inputs'!$B$31+'Inputs'!$B$32)/1000+'Inputs'!$B$21))^2+('Inputs'!$B$8/2)^2)))-'Results'!B7*(1+'Inputs'!$B$24)*(0.5*((((152-43)*MAX('Inputs'!$B$33,'Inputs'!$B$29+'Inputs'!$B$31+'Inputs'!$B$32,'Inputs'!$B$30+'Inputs'!$B$31+'Inputs'!$B$32)/1000+'Inputs'!$B$21+'Inputs'!$B$9+'Inputs'!$B$10)+'Inputs'!$B$7)/SQRT((((152-43)*MAX('Inputs'!$B$33,'Inputs'!$B$29+'Inputs'!$B$31+'Inputs'!$B$32,'Inputs'!$B$30+'Inputs'!$B$31+'Inputs'!$B$32)/1000+'Inputs'!$B$21+'Inputs'!$B$9+'Inputs'!$B$10)+'Inputs'!$B$7)^2+('Inputs'!$B$6/2)^2)-(((152-43)*MAX('Inputs'!$B$33,'Inputs'!$B$29+'Inputs'!$B$31+'Inputs'!$B$32,'Inputs'!$B$30+'Inputs'!$B$31+'Inputs'!$B$32)/1000+'Inputs'!$B$21+'Inputs'!$B$9+'Inputs'!$B$10))/SQRT((((152-43)*MAX('Inputs'!$B$33,'Inputs'!$B$29+'Inputs'!$B$31+'Inputs'!$B$32,'Inputs'!$B$30+'Inputs'!$B$31+'Inputs'!$B$32)/1000+'Inputs'!$B$21+'Inputs'!$B$9+'Inputs'!$B$10))^2+('Inputs'!$B$6/2)^2))))*'Results'!$B$8)-'Inputs'!$B$28*ABS((('Results'!C7*(1-'Inputs'!$B$24)*(0.5*((((152-43)*MAX('Inputs'!$B$33,'Inputs'!$B$29+'Inputs'!$B$31+'Inputs'!$B$32,'Inputs'!$B$30+'Inputs'!$B$31+'Inputs'!$B$32)/1000+'Inputs'!$B$21)+'Inputs'!$B$9)/SQRT((((152-43)*MAX('Inputs'!$B$33,'Inputs'!$B$29+'Inputs'!$B$31+'Inputs'!$B$32,'Inputs'!$B$30+'Inputs'!$B$31+'Inputs'!$B$32)/1000+'Inputs'!$B$21)+'Inputs'!$B$9)^2+('Inputs'!$B$8/2)^2)-(((152-43)*MAX('Inputs'!$B$33,'Inputs'!$B$29+'Inputs'!$B$31+'Inputs'!$B$32,'Inputs'!$B$30+'Inputs'!$B$31+'Inputs'!$B$32)/1000+'Inputs'!$B$21))/SQRT((((152-43)*MAX('Inputs'!$B$33,'Inputs'!$B$29+'Inputs'!$B$31+'Inputs'!$B$32,'Inputs'!$B$30+'Inputs'!$B$31+'Inputs'!$B$32)/1000+'Inputs'!$B$21))^2+('Inputs'!$B$8/2)^2)))-'Results'!B7*(1+'Inputs'!$B$24)*(0.5*((((152-43)*MAX('Inputs'!$B$33,'Inputs'!$B$29+'Inputs'!$B$31+'Inputs'!$B$32,'Inputs'!$B$30+'Inputs'!$B$31+'Inputs'!$B$32)/1000+'Inputs'!$B$21+'Inputs'!$B$9+'Inputs'!$B$10)+'Inputs'!$B$7)/SQRT((((152-43)*MAX('Inputs'!$B$33,'Inputs'!$B$29+'Inputs'!$B$31+'Inputs'!$B$32,'Inputs'!$B$30+'Inputs'!$B$31+'Inputs'!$B$32)/1000+'Inputs'!$B$21+'Inputs'!$B$9+'Inputs'!$B$10)+'Inputs'!$B$7)^2+('Inputs'!$B$6/2)^2)-(((152-43)*MAX('Inputs'!$B$33,'Inputs'!$B$29+'Inputs'!$B$31+'Inputs'!$B$32,'Inputs'!$B$30+'Inputs'!$B$31+'Inputs'!$B$32)/1000+'Inputs'!$B$21+'Inputs'!$B$9+'Inputs'!$B$10))/SQRT((((152-43)*MAX('Inputs'!$B$33,'Inputs'!$B$29+'Inputs'!$B$31+'Inputs'!$B$32,'Inputs'!$B$30+'Inputs'!$B$31+'Inputs'!$B$32)/1000+'Inputs'!$B$21+'Inputs'!$B$9+'Inputs'!$B$10))^2+('Inputs'!$B$6/2)^2))))*'Results'!$B$8))),"")</x:f>
        <x:v>280.7572034501449</x:v>
      </x:c>
      <x:c r="O152" t="n">
        <x:f>IF(AND(ISNUMBER('Results'!C7),ISNUMBER('Results'!B7),ISNUMBER('Results'!$B$8),ISNUMBER('Inputs'!$B$6),ISNUMBER('Inputs'!$B$7),ISNUMBER('Inputs'!$B$8),ISNUMBER('Inputs'!$B$9),ISNUMBER('Inputs'!$B$10),ISNUMBER('Inputs'!$B$21),ISNUMBER('Inputs'!$B$24),ISNUMBER('Inputs'!$B$28)),((('Results'!C7*(1+'Inputs'!$B$24)*(0.5*((((152-43)*MAX('Inputs'!$B$33,'Inputs'!$B$29+'Inputs'!$B$31+'Inputs'!$B$32,'Inputs'!$B$30+'Inputs'!$B$31+'Inputs'!$B$32)/1000+'Inputs'!$B$21)+'Inputs'!$B$9)/SQRT((((152-43)*MAX('Inputs'!$B$33,'Inputs'!$B$29+'Inputs'!$B$31+'Inputs'!$B$32,'Inputs'!$B$30+'Inputs'!$B$31+'Inputs'!$B$32)/1000+'Inputs'!$B$21)+'Inputs'!$B$9)^2+('Inputs'!$B$8/2)^2)-(((152-43)*MAX('Inputs'!$B$33,'Inputs'!$B$29+'Inputs'!$B$31+'Inputs'!$B$32,'Inputs'!$B$30+'Inputs'!$B$31+'Inputs'!$B$32)/1000+'Inputs'!$B$21))/SQRT((((152-43)*MAX('Inputs'!$B$33,'Inputs'!$B$29+'Inputs'!$B$31+'Inputs'!$B$32,'Inputs'!$B$30+'Inputs'!$B$31+'Inputs'!$B$32)/1000+'Inputs'!$B$21))^2+('Inputs'!$B$8/2)^2)))-'Results'!B7*(1-'Inputs'!$B$24)*(0.5*((((152-43)*MAX('Inputs'!$B$33,'Inputs'!$B$29+'Inputs'!$B$31+'Inputs'!$B$32,'Inputs'!$B$30+'Inputs'!$B$31+'Inputs'!$B$32)/1000+'Inputs'!$B$21+'Inputs'!$B$9+'Inputs'!$B$10)+'Inputs'!$B$7)/SQRT((((152-43)*MAX('Inputs'!$B$33,'Inputs'!$B$29+'Inputs'!$B$31+'Inputs'!$B$32,'Inputs'!$B$30+'Inputs'!$B$31+'Inputs'!$B$32)/1000+'Inputs'!$B$21+'Inputs'!$B$9+'Inputs'!$B$10)+'Inputs'!$B$7)^2+('Inputs'!$B$6/2)^2)-(((152-43)*MAX('Inputs'!$B$33,'Inputs'!$B$29+'Inputs'!$B$31+'Inputs'!$B$32,'Inputs'!$B$30+'Inputs'!$B$31+'Inputs'!$B$32)/1000+'Inputs'!$B$21+'Inputs'!$B$9+'Inputs'!$B$10))/SQRT((((152-43)*MAX('Inputs'!$B$33,'Inputs'!$B$29+'Inputs'!$B$31+'Inputs'!$B$32,'Inputs'!$B$30+'Inputs'!$B$31+'Inputs'!$B$32)/1000+'Inputs'!$B$21+'Inputs'!$B$9+'Inputs'!$B$10))^2+('Inputs'!$B$6/2)^2))))*'Results'!$B$8)+'Inputs'!$B$28*ABS((('Results'!C7*(1+'Inputs'!$B$24)*(0.5*((((152-43)*MAX('Inputs'!$B$33,'Inputs'!$B$29+'Inputs'!$B$31+'Inputs'!$B$32,'Inputs'!$B$30+'Inputs'!$B$31+'Inputs'!$B$32)/1000+'Inputs'!$B$21)+'Inputs'!$B$9)/SQRT((((152-43)*MAX('Inputs'!$B$33,'Inputs'!$B$29+'Inputs'!$B$31+'Inputs'!$B$32,'Inputs'!$B$30+'Inputs'!$B$31+'Inputs'!$B$32)/1000+'Inputs'!$B$21)+'Inputs'!$B$9)^2+('Inputs'!$B$8/2)^2)-(((152-43)*MAX('Inputs'!$B$33,'Inputs'!$B$29+'Inputs'!$B$31+'Inputs'!$B$32,'Inputs'!$B$30+'Inputs'!$B$31+'Inputs'!$B$32)/1000+'Inputs'!$B$21))/SQRT((((152-43)*MAX('Inputs'!$B$33,'Inputs'!$B$29+'Inputs'!$B$31+'Inputs'!$B$32,'Inputs'!$B$30+'Inputs'!$B$31+'Inputs'!$B$32)/1000+'Inputs'!$B$21))^2+('Inputs'!$B$8/2)^2)))-'Results'!B7*(1-'Inputs'!$B$24)*(0.5*((((152-43)*MAX('Inputs'!$B$33,'Inputs'!$B$29+'Inputs'!$B$31+'Inputs'!$B$32,'Inputs'!$B$30+'Inputs'!$B$31+'Inputs'!$B$32)/1000+'Inputs'!$B$21+'Inputs'!$B$9+'Inputs'!$B$10)+'Inputs'!$B$7)/SQRT((((152-43)*MAX('Inputs'!$B$33,'Inputs'!$B$29+'Inputs'!$B$31+'Inputs'!$B$32,'Inputs'!$B$30+'Inputs'!$B$31+'Inputs'!$B$32)/1000+'Inputs'!$B$21+'Inputs'!$B$9+'Inputs'!$B$10)+'Inputs'!$B$7)^2+('Inputs'!$B$6/2)^2)-(((152-43)*MAX('Inputs'!$B$33,'Inputs'!$B$29+'Inputs'!$B$31+'Inputs'!$B$32,'Inputs'!$B$30+'Inputs'!$B$31+'Inputs'!$B$32)/1000+'Inputs'!$B$21+'Inputs'!$B$9+'Inputs'!$B$10))/SQRT((((152-43)*MAX('Inputs'!$B$33,'Inputs'!$B$29+'Inputs'!$B$31+'Inputs'!$B$32,'Inputs'!$B$30+'Inputs'!$B$31+'Inputs'!$B$32)/1000+'Inputs'!$B$21+'Inputs'!$B$9+'Inputs'!$B$10))^2+('Inputs'!$B$6/2)^2))))*'Results'!$B$8))),"")</x:f>
        <x:v>329.8359204880595</x:v>
      </x:c>
      <x:c r="P152" t="n">
        <x:f>IF(AND(MAX(J152,J151)&gt;0,J152&gt;J151+0.00000001),1,0)</x:f>
        <x:v>0</x:v>
      </x:c>
      <x:c r="Q152" t="n">
        <x:f>IF(AND(MAX(K152,K151)&gt;0,K152&gt;K151+0.00000001),1,0)</x:f>
        <x:v>0</x:v>
      </x:c>
      <x:c r="R152" t="n">
        <x:f>IF(AND(MAX(L152,L151)&gt;0,L152&gt;L151+0.00000001),1,0)</x:f>
        <x:v>0</x:v>
      </x:c>
      <x:c r="S152" t="n">
        <x:f>IF(AND(MAX(M152,M151)&gt;0,M152&gt;M151+0.00000001),1,0)</x:f>
        <x:v>0</x:v>
      </x:c>
      <x:c r="T152" t="n">
        <x:f>IF(AND(MAX(N152,N151)&gt;0,N152&gt;N151+0.00000001),1,0)</x:f>
        <x:v>0</x:v>
      </x:c>
      <x:c r="U152" t="n">
        <x:f>IF(AND(MAX(O152,O151)&gt;0,O152&gt;O151+0.00000001),1,0)</x:f>
        <x:v>0</x:v>
      </x:c>
    </x:row>
    <x:row r="153">
      <x:c r="J153" t="n">
        <x:f>IF(AND(ISNUMBER('Results'!B7),ISNUMBER('Results'!C7),ISNUMBER('Results'!$B$8),ISNUMBER('Inputs'!$B$6),ISNUMBER('Inputs'!$B$7),ISNUMBER('Inputs'!$B$8),ISNUMBER('Inputs'!$B$9),ISNUMBER('Inputs'!$B$10),ISNUMBER('Inputs'!$B$21),ISNUMBER('Inputs'!$B$24),ISNUMBER('Inputs'!$B$28)),(('Results'!B7*(0.5*((((153-43)*MAX('Inputs'!$B$33,'Inputs'!$B$29+'Inputs'!$B$31+'Inputs'!$B$32,'Inputs'!$B$30+'Inputs'!$B$31+'Inputs'!$B$32)/1000+'Inputs'!$B$21)+'Inputs'!$B$7)/SQRT((((153-43)*MAX('Inputs'!$B$33,'Inputs'!$B$29+'Inputs'!$B$31+'Inputs'!$B$32,'Inputs'!$B$30+'Inputs'!$B$31+'Inputs'!$B$32)/1000+'Inputs'!$B$21)+'Inputs'!$B$7)^2+('Inputs'!$B$6/2)^2)-(((153-43)*MAX('Inputs'!$B$33,'Inputs'!$B$29+'Inputs'!$B$31+'Inputs'!$B$32,'Inputs'!$B$30+'Inputs'!$B$31+'Inputs'!$B$32)/1000+'Inputs'!$B$21))/SQRT((((153-43)*MAX('Inputs'!$B$33,'Inputs'!$B$29+'Inputs'!$B$31+'Inputs'!$B$32,'Inputs'!$B$30+'Inputs'!$B$31+'Inputs'!$B$32)/1000+'Inputs'!$B$21))^2+('Inputs'!$B$6/2)^2)))-'Results'!C7*(0.5*((((153-43)*MAX('Inputs'!$B$33,'Inputs'!$B$29+'Inputs'!$B$31+'Inputs'!$B$32,'Inputs'!$B$30+'Inputs'!$B$31+'Inputs'!$B$32)/1000+'Inputs'!$B$21+'Inputs'!$B$7+'Inputs'!$B$10)+'Inputs'!$B$9)/SQRT((((153-43)*MAX('Inputs'!$B$33,'Inputs'!$B$29+'Inputs'!$B$31+'Inputs'!$B$32,'Inputs'!$B$30+'Inputs'!$B$31+'Inputs'!$B$32)/1000+'Inputs'!$B$21+'Inputs'!$B$7+'Inputs'!$B$10)+'Inputs'!$B$9)^2+('Inputs'!$B$8/2)^2)-(((153-43)*MAX('Inputs'!$B$33,'Inputs'!$B$29+'Inputs'!$B$31+'Inputs'!$B$32,'Inputs'!$B$30+'Inputs'!$B$31+'Inputs'!$B$32)/1000+'Inputs'!$B$21+'Inputs'!$B$7+'Inputs'!$B$10))/SQRT((((153-43)*MAX('Inputs'!$B$33,'Inputs'!$B$29+'Inputs'!$B$31+'Inputs'!$B$32,'Inputs'!$B$30+'Inputs'!$B$31+'Inputs'!$B$32)/1000+'Inputs'!$B$21+'Inputs'!$B$7+'Inputs'!$B$10))^2+('Inputs'!$B$8/2)^2))))*'Results'!$B$8),"")</x:f>
        <x:v>308.55205658713214</x:v>
      </x:c>
      <x:c r="K153" t="n">
        <x:f>IF(AND(ISNUMBER('Results'!B7),ISNUMBER('Results'!C7),ISNUMBER('Results'!$B$8),ISNUMBER('Inputs'!$B$6),ISNUMBER('Inputs'!$B$7),ISNUMBER('Inputs'!$B$8),ISNUMBER('Inputs'!$B$9),ISNUMBER('Inputs'!$B$10),ISNUMBER('Inputs'!$B$21),ISNUMBER('Inputs'!$B$24),ISNUMBER('Inputs'!$B$28)),((('Results'!B7*(1-'Inputs'!$B$24)*(0.5*((((153-43)*MAX('Inputs'!$B$33,'Inputs'!$B$29+'Inputs'!$B$31+'Inputs'!$B$32,'Inputs'!$B$30+'Inputs'!$B$31+'Inputs'!$B$32)/1000+'Inputs'!$B$21)+'Inputs'!$B$7)/SQRT((((153-43)*MAX('Inputs'!$B$33,'Inputs'!$B$29+'Inputs'!$B$31+'Inputs'!$B$32,'Inputs'!$B$30+'Inputs'!$B$31+'Inputs'!$B$32)/1000+'Inputs'!$B$21)+'Inputs'!$B$7)^2+('Inputs'!$B$6/2)^2)-(((153-43)*MAX('Inputs'!$B$33,'Inputs'!$B$29+'Inputs'!$B$31+'Inputs'!$B$32,'Inputs'!$B$30+'Inputs'!$B$31+'Inputs'!$B$32)/1000+'Inputs'!$B$21))/SQRT((((153-43)*MAX('Inputs'!$B$33,'Inputs'!$B$29+'Inputs'!$B$31+'Inputs'!$B$32,'Inputs'!$B$30+'Inputs'!$B$31+'Inputs'!$B$32)/1000+'Inputs'!$B$21))^2+('Inputs'!$B$6/2)^2)))-'Results'!C7*(1+'Inputs'!$B$24)*(0.5*((((153-43)*MAX('Inputs'!$B$33,'Inputs'!$B$29+'Inputs'!$B$31+'Inputs'!$B$32,'Inputs'!$B$30+'Inputs'!$B$31+'Inputs'!$B$32)/1000+'Inputs'!$B$21+'Inputs'!$B$7+'Inputs'!$B$10)+'Inputs'!$B$9)/SQRT((((153-43)*MAX('Inputs'!$B$33,'Inputs'!$B$29+'Inputs'!$B$31+'Inputs'!$B$32,'Inputs'!$B$30+'Inputs'!$B$31+'Inputs'!$B$32)/1000+'Inputs'!$B$21+'Inputs'!$B$7+'Inputs'!$B$10)+'Inputs'!$B$9)^2+('Inputs'!$B$8/2)^2)-(((153-43)*MAX('Inputs'!$B$33,'Inputs'!$B$29+'Inputs'!$B$31+'Inputs'!$B$32,'Inputs'!$B$30+'Inputs'!$B$31+'Inputs'!$B$32)/1000+'Inputs'!$B$21+'Inputs'!$B$7+'Inputs'!$B$10))/SQRT((((153-43)*MAX('Inputs'!$B$33,'Inputs'!$B$29+'Inputs'!$B$31+'Inputs'!$B$32,'Inputs'!$B$30+'Inputs'!$B$31+'Inputs'!$B$32)/1000+'Inputs'!$B$21+'Inputs'!$B$7+'Inputs'!$B$10))^2+('Inputs'!$B$8/2)^2))))*'Results'!$B$8)-'Inputs'!$B$28*ABS((('Results'!B7*(1-'Inputs'!$B$24)*(0.5*((((153-43)*MAX('Inputs'!$B$33,'Inputs'!$B$29+'Inputs'!$B$31+'Inputs'!$B$32,'Inputs'!$B$30+'Inputs'!$B$31+'Inputs'!$B$32)/1000+'Inputs'!$B$21)+'Inputs'!$B$7)/SQRT((((153-43)*MAX('Inputs'!$B$33,'Inputs'!$B$29+'Inputs'!$B$31+'Inputs'!$B$32,'Inputs'!$B$30+'Inputs'!$B$31+'Inputs'!$B$32)/1000+'Inputs'!$B$21)+'Inputs'!$B$7)^2+('Inputs'!$B$6/2)^2)-(((153-43)*MAX('Inputs'!$B$33,'Inputs'!$B$29+'Inputs'!$B$31+'Inputs'!$B$32,'Inputs'!$B$30+'Inputs'!$B$31+'Inputs'!$B$32)/1000+'Inputs'!$B$21))/SQRT((((153-43)*MAX('Inputs'!$B$33,'Inputs'!$B$29+'Inputs'!$B$31+'Inputs'!$B$32,'Inputs'!$B$30+'Inputs'!$B$31+'Inputs'!$B$32)/1000+'Inputs'!$B$21))^2+('Inputs'!$B$6/2)^2)))-'Results'!C7*(1+'Inputs'!$B$24)*(0.5*((((153-43)*MAX('Inputs'!$B$33,'Inputs'!$B$29+'Inputs'!$B$31+'Inputs'!$B$32,'Inputs'!$B$30+'Inputs'!$B$31+'Inputs'!$B$32)/1000+'Inputs'!$B$21+'Inputs'!$B$7+'Inputs'!$B$10)+'Inputs'!$B$9)/SQRT((((153-43)*MAX('Inputs'!$B$33,'Inputs'!$B$29+'Inputs'!$B$31+'Inputs'!$B$32,'Inputs'!$B$30+'Inputs'!$B$31+'Inputs'!$B$32)/1000+'Inputs'!$B$21+'Inputs'!$B$7+'Inputs'!$B$10)+'Inputs'!$B$9)^2+('Inputs'!$B$8/2)^2)-(((153-43)*MAX('Inputs'!$B$33,'Inputs'!$B$29+'Inputs'!$B$31+'Inputs'!$B$32,'Inputs'!$B$30+'Inputs'!$B$31+'Inputs'!$B$32)/1000+'Inputs'!$B$21+'Inputs'!$B$7+'Inputs'!$B$10))/SQRT((((153-43)*MAX('Inputs'!$B$33,'Inputs'!$B$29+'Inputs'!$B$31+'Inputs'!$B$32,'Inputs'!$B$30+'Inputs'!$B$31+'Inputs'!$B$32)/1000+'Inputs'!$B$21+'Inputs'!$B$7+'Inputs'!$B$10))^2+('Inputs'!$B$8/2)^2))))*'Results'!$B$8))),"")</x:f>
        <x:v>284.3148503259099</x:v>
      </x:c>
      <x:c r="L153" t="n">
        <x:f>IF(AND(ISNUMBER('Results'!B7),ISNUMBER('Results'!C7),ISNUMBER('Results'!$B$8),ISNUMBER('Inputs'!$B$6),ISNUMBER('Inputs'!$B$7),ISNUMBER('Inputs'!$B$8),ISNUMBER('Inputs'!$B$9),ISNUMBER('Inputs'!$B$10),ISNUMBER('Inputs'!$B$21),ISNUMBER('Inputs'!$B$24),ISNUMBER('Inputs'!$B$28)),((('Results'!B7*(1+'Inputs'!$B$24)*(0.5*((((153-43)*MAX('Inputs'!$B$33,'Inputs'!$B$29+'Inputs'!$B$31+'Inputs'!$B$32,'Inputs'!$B$30+'Inputs'!$B$31+'Inputs'!$B$32)/1000+'Inputs'!$B$21)+'Inputs'!$B$7)/SQRT((((153-43)*MAX('Inputs'!$B$33,'Inputs'!$B$29+'Inputs'!$B$31+'Inputs'!$B$32,'Inputs'!$B$30+'Inputs'!$B$31+'Inputs'!$B$32)/1000+'Inputs'!$B$21)+'Inputs'!$B$7)^2+('Inputs'!$B$6/2)^2)-(((153-43)*MAX('Inputs'!$B$33,'Inputs'!$B$29+'Inputs'!$B$31+'Inputs'!$B$32,'Inputs'!$B$30+'Inputs'!$B$31+'Inputs'!$B$32)/1000+'Inputs'!$B$21))/SQRT((((153-43)*MAX('Inputs'!$B$33,'Inputs'!$B$29+'Inputs'!$B$31+'Inputs'!$B$32,'Inputs'!$B$30+'Inputs'!$B$31+'Inputs'!$B$32)/1000+'Inputs'!$B$21))^2+('Inputs'!$B$6/2)^2)))-'Results'!C7*(1-'Inputs'!$B$24)*(0.5*((((153-43)*MAX('Inputs'!$B$33,'Inputs'!$B$29+'Inputs'!$B$31+'Inputs'!$B$32,'Inputs'!$B$30+'Inputs'!$B$31+'Inputs'!$B$32)/1000+'Inputs'!$B$21+'Inputs'!$B$7+'Inputs'!$B$10)+'Inputs'!$B$9)/SQRT((((153-43)*MAX('Inputs'!$B$33,'Inputs'!$B$29+'Inputs'!$B$31+'Inputs'!$B$32,'Inputs'!$B$30+'Inputs'!$B$31+'Inputs'!$B$32)/1000+'Inputs'!$B$21+'Inputs'!$B$7+'Inputs'!$B$10)+'Inputs'!$B$9)^2+('Inputs'!$B$8/2)^2)-(((153-43)*MAX('Inputs'!$B$33,'Inputs'!$B$29+'Inputs'!$B$31+'Inputs'!$B$32,'Inputs'!$B$30+'Inputs'!$B$31+'Inputs'!$B$32)/1000+'Inputs'!$B$21+'Inputs'!$B$7+'Inputs'!$B$10))/SQRT((((153-43)*MAX('Inputs'!$B$33,'Inputs'!$B$29+'Inputs'!$B$31+'Inputs'!$B$32,'Inputs'!$B$30+'Inputs'!$B$31+'Inputs'!$B$32)/1000+'Inputs'!$B$21+'Inputs'!$B$7+'Inputs'!$B$10))^2+('Inputs'!$B$8/2)^2))))*'Results'!$B$8)+'Inputs'!$B$28*ABS((('Results'!B7*(1+'Inputs'!$B$24)*(0.5*((((153-43)*MAX('Inputs'!$B$33,'Inputs'!$B$29+'Inputs'!$B$31+'Inputs'!$B$32,'Inputs'!$B$30+'Inputs'!$B$31+'Inputs'!$B$32)/1000+'Inputs'!$B$21)+'Inputs'!$B$7)/SQRT((((153-43)*MAX('Inputs'!$B$33,'Inputs'!$B$29+'Inputs'!$B$31+'Inputs'!$B$32,'Inputs'!$B$30+'Inputs'!$B$31+'Inputs'!$B$32)/1000+'Inputs'!$B$21)+'Inputs'!$B$7)^2+('Inputs'!$B$6/2)^2)-(((153-43)*MAX('Inputs'!$B$33,'Inputs'!$B$29+'Inputs'!$B$31+'Inputs'!$B$32,'Inputs'!$B$30+'Inputs'!$B$31+'Inputs'!$B$32)/1000+'Inputs'!$B$21))/SQRT((((153-43)*MAX('Inputs'!$B$33,'Inputs'!$B$29+'Inputs'!$B$31+'Inputs'!$B$32,'Inputs'!$B$30+'Inputs'!$B$31+'Inputs'!$B$32)/1000+'Inputs'!$B$21))^2+('Inputs'!$B$6/2)^2)))-'Results'!C7*(1-'Inputs'!$B$24)*(0.5*((((153-43)*MAX('Inputs'!$B$33,'Inputs'!$B$29+'Inputs'!$B$31+'Inputs'!$B$32,'Inputs'!$B$30+'Inputs'!$B$31+'Inputs'!$B$32)/1000+'Inputs'!$B$21+'Inputs'!$B$7+'Inputs'!$B$10)+'Inputs'!$B$9)/SQRT((((153-43)*MAX('Inputs'!$B$33,'Inputs'!$B$29+'Inputs'!$B$31+'Inputs'!$B$32,'Inputs'!$B$30+'Inputs'!$B$31+'Inputs'!$B$32)/1000+'Inputs'!$B$21+'Inputs'!$B$7+'Inputs'!$B$10)+'Inputs'!$B$9)^2+('Inputs'!$B$8/2)^2)-(((153-43)*MAX('Inputs'!$B$33,'Inputs'!$B$29+'Inputs'!$B$31+'Inputs'!$B$32,'Inputs'!$B$30+'Inputs'!$B$31+'Inputs'!$B$32)/1000+'Inputs'!$B$21+'Inputs'!$B$7+'Inputs'!$B$10))/SQRT((((153-43)*MAX('Inputs'!$B$33,'Inputs'!$B$29+'Inputs'!$B$31+'Inputs'!$B$32,'Inputs'!$B$30+'Inputs'!$B$31+'Inputs'!$B$32)/1000+'Inputs'!$B$21+'Inputs'!$B$7+'Inputs'!$B$10))^2+('Inputs'!$B$8/2)^2))))*'Results'!$B$8))),"")</x:f>
        <x:v>333.71658952539286</x:v>
      </x:c>
      <x:c r="M153" t="n">
        <x:f>IF(AND(ISNUMBER('Results'!C7),ISNUMBER('Results'!B7),ISNUMBER('Results'!$B$8),ISNUMBER('Inputs'!$B$6),ISNUMBER('Inputs'!$B$7),ISNUMBER('Inputs'!$B$8),ISNUMBER('Inputs'!$B$9),ISNUMBER('Inputs'!$B$10),ISNUMBER('Inputs'!$B$21),ISNUMBER('Inputs'!$B$24),ISNUMBER('Inputs'!$B$28)),(('Results'!C7*(0.5*((((153-43)*MAX('Inputs'!$B$33,'Inputs'!$B$29+'Inputs'!$B$31+'Inputs'!$B$32,'Inputs'!$B$30+'Inputs'!$B$31+'Inputs'!$B$32)/1000+'Inputs'!$B$21)+'Inputs'!$B$9)/SQRT((((153-43)*MAX('Inputs'!$B$33,'Inputs'!$B$29+'Inputs'!$B$31+'Inputs'!$B$32,'Inputs'!$B$30+'Inputs'!$B$31+'Inputs'!$B$32)/1000+'Inputs'!$B$21)+'Inputs'!$B$9)^2+('Inputs'!$B$8/2)^2)-(((153-43)*MAX('Inputs'!$B$33,'Inputs'!$B$29+'Inputs'!$B$31+'Inputs'!$B$32,'Inputs'!$B$30+'Inputs'!$B$31+'Inputs'!$B$32)/1000+'Inputs'!$B$21))/SQRT((((153-43)*MAX('Inputs'!$B$33,'Inputs'!$B$29+'Inputs'!$B$31+'Inputs'!$B$32,'Inputs'!$B$30+'Inputs'!$B$31+'Inputs'!$B$32)/1000+'Inputs'!$B$21))^2+('Inputs'!$B$8/2)^2)))-'Results'!B7*(0.5*((((153-43)*MAX('Inputs'!$B$33,'Inputs'!$B$29+'Inputs'!$B$31+'Inputs'!$B$32,'Inputs'!$B$30+'Inputs'!$B$31+'Inputs'!$B$32)/1000+'Inputs'!$B$21+'Inputs'!$B$9+'Inputs'!$B$10)+'Inputs'!$B$7)/SQRT((((153-43)*MAX('Inputs'!$B$33,'Inputs'!$B$29+'Inputs'!$B$31+'Inputs'!$B$32,'Inputs'!$B$30+'Inputs'!$B$31+'Inputs'!$B$32)/1000+'Inputs'!$B$21+'Inputs'!$B$9+'Inputs'!$B$10)+'Inputs'!$B$7)^2+('Inputs'!$B$6/2)^2)-(((153-43)*MAX('Inputs'!$B$33,'Inputs'!$B$29+'Inputs'!$B$31+'Inputs'!$B$32,'Inputs'!$B$30+'Inputs'!$B$31+'Inputs'!$B$32)/1000+'Inputs'!$B$21+'Inputs'!$B$9+'Inputs'!$B$10))/SQRT((((153-43)*MAX('Inputs'!$B$33,'Inputs'!$B$29+'Inputs'!$B$31+'Inputs'!$B$32,'Inputs'!$B$30+'Inputs'!$B$31+'Inputs'!$B$32)/1000+'Inputs'!$B$21+'Inputs'!$B$9+'Inputs'!$B$10))^2+('Inputs'!$B$6/2)^2))))*'Results'!$B$8),"")</x:f>
        <x:v>299.2471344530876</x:v>
      </x:c>
      <x:c r="N153" t="n">
        <x:f>IF(AND(ISNUMBER('Results'!C7),ISNUMBER('Results'!B7),ISNUMBER('Results'!$B$8),ISNUMBER('Inputs'!$B$6),ISNUMBER('Inputs'!$B$7),ISNUMBER('Inputs'!$B$8),ISNUMBER('Inputs'!$B$9),ISNUMBER('Inputs'!$B$10),ISNUMBER('Inputs'!$B$21),ISNUMBER('Inputs'!$B$24),ISNUMBER('Inputs'!$B$28)),((('Results'!C7*(1-'Inputs'!$B$24)*(0.5*((((153-43)*MAX('Inputs'!$B$33,'Inputs'!$B$29+'Inputs'!$B$31+'Inputs'!$B$32,'Inputs'!$B$30+'Inputs'!$B$31+'Inputs'!$B$32)/1000+'Inputs'!$B$21)+'Inputs'!$B$9)/SQRT((((153-43)*MAX('Inputs'!$B$33,'Inputs'!$B$29+'Inputs'!$B$31+'Inputs'!$B$32,'Inputs'!$B$30+'Inputs'!$B$31+'Inputs'!$B$32)/1000+'Inputs'!$B$21)+'Inputs'!$B$9)^2+('Inputs'!$B$8/2)^2)-(((153-43)*MAX('Inputs'!$B$33,'Inputs'!$B$29+'Inputs'!$B$31+'Inputs'!$B$32,'Inputs'!$B$30+'Inputs'!$B$31+'Inputs'!$B$32)/1000+'Inputs'!$B$21))/SQRT((((153-43)*MAX('Inputs'!$B$33,'Inputs'!$B$29+'Inputs'!$B$31+'Inputs'!$B$32,'Inputs'!$B$30+'Inputs'!$B$31+'Inputs'!$B$32)/1000+'Inputs'!$B$21))^2+('Inputs'!$B$8/2)^2)))-'Results'!B7*(1+'Inputs'!$B$24)*(0.5*((((153-43)*MAX('Inputs'!$B$33,'Inputs'!$B$29+'Inputs'!$B$31+'Inputs'!$B$32,'Inputs'!$B$30+'Inputs'!$B$31+'Inputs'!$B$32)/1000+'Inputs'!$B$21+'Inputs'!$B$9+'Inputs'!$B$10)+'Inputs'!$B$7)/SQRT((((153-43)*MAX('Inputs'!$B$33,'Inputs'!$B$29+'Inputs'!$B$31+'Inputs'!$B$32,'Inputs'!$B$30+'Inputs'!$B$31+'Inputs'!$B$32)/1000+'Inputs'!$B$21+'Inputs'!$B$9+'Inputs'!$B$10)+'Inputs'!$B$7)^2+('Inputs'!$B$6/2)^2)-(((153-43)*MAX('Inputs'!$B$33,'Inputs'!$B$29+'Inputs'!$B$31+'Inputs'!$B$32,'Inputs'!$B$30+'Inputs'!$B$31+'Inputs'!$B$32)/1000+'Inputs'!$B$21+'Inputs'!$B$9+'Inputs'!$B$10))/SQRT((((153-43)*MAX('Inputs'!$B$33,'Inputs'!$B$29+'Inputs'!$B$31+'Inputs'!$B$32,'Inputs'!$B$30+'Inputs'!$B$31+'Inputs'!$B$32)/1000+'Inputs'!$B$21+'Inputs'!$B$9+'Inputs'!$B$10))^2+('Inputs'!$B$6/2)^2))))*'Results'!$B$8)-'Inputs'!$B$28*ABS((('Results'!C7*(1-'Inputs'!$B$24)*(0.5*((((153-43)*MAX('Inputs'!$B$33,'Inputs'!$B$29+'Inputs'!$B$31+'Inputs'!$B$32,'Inputs'!$B$30+'Inputs'!$B$31+'Inputs'!$B$32)/1000+'Inputs'!$B$21)+'Inputs'!$B$9)/SQRT((((153-43)*MAX('Inputs'!$B$33,'Inputs'!$B$29+'Inputs'!$B$31+'Inputs'!$B$32,'Inputs'!$B$30+'Inputs'!$B$31+'Inputs'!$B$32)/1000+'Inputs'!$B$21)+'Inputs'!$B$9)^2+('Inputs'!$B$8/2)^2)-(((153-43)*MAX('Inputs'!$B$33,'Inputs'!$B$29+'Inputs'!$B$31+'Inputs'!$B$32,'Inputs'!$B$30+'Inputs'!$B$31+'Inputs'!$B$32)/1000+'Inputs'!$B$21))/SQRT((((153-43)*MAX('Inputs'!$B$33,'Inputs'!$B$29+'Inputs'!$B$31+'Inputs'!$B$32,'Inputs'!$B$30+'Inputs'!$B$31+'Inputs'!$B$32)/1000+'Inputs'!$B$21))^2+('Inputs'!$B$8/2)^2)))-'Results'!B7*(1+'Inputs'!$B$24)*(0.5*((((153-43)*MAX('Inputs'!$B$33,'Inputs'!$B$29+'Inputs'!$B$31+'Inputs'!$B$32,'Inputs'!$B$30+'Inputs'!$B$31+'Inputs'!$B$32)/1000+'Inputs'!$B$21+'Inputs'!$B$9+'Inputs'!$B$10)+'Inputs'!$B$7)/SQRT((((153-43)*MAX('Inputs'!$B$33,'Inputs'!$B$29+'Inputs'!$B$31+'Inputs'!$B$32,'Inputs'!$B$30+'Inputs'!$B$31+'Inputs'!$B$32)/1000+'Inputs'!$B$21+'Inputs'!$B$9+'Inputs'!$B$10)+'Inputs'!$B$7)^2+('Inputs'!$B$6/2)^2)-(((153-43)*MAX('Inputs'!$B$33,'Inputs'!$B$29+'Inputs'!$B$31+'Inputs'!$B$32,'Inputs'!$B$30+'Inputs'!$B$31+'Inputs'!$B$32)/1000+'Inputs'!$B$21+'Inputs'!$B$9+'Inputs'!$B$10))/SQRT((((153-43)*MAX('Inputs'!$B$33,'Inputs'!$B$29+'Inputs'!$B$31+'Inputs'!$B$32,'Inputs'!$B$30+'Inputs'!$B$31+'Inputs'!$B$32)/1000+'Inputs'!$B$21+'Inputs'!$B$9+'Inputs'!$B$10))^2+('Inputs'!$B$6/2)^2))))*'Results'!$B$8))),"")</x:f>
        <x:v>275.5918226281612</x:v>
      </x:c>
      <x:c r="O153" t="n">
        <x:f>IF(AND(ISNUMBER('Results'!C7),ISNUMBER('Results'!B7),ISNUMBER('Results'!$B$8),ISNUMBER('Inputs'!$B$6),ISNUMBER('Inputs'!$B$7),ISNUMBER('Inputs'!$B$8),ISNUMBER('Inputs'!$B$9),ISNUMBER('Inputs'!$B$10),ISNUMBER('Inputs'!$B$21),ISNUMBER('Inputs'!$B$24),ISNUMBER('Inputs'!$B$28)),((('Results'!C7*(1+'Inputs'!$B$24)*(0.5*((((153-43)*MAX('Inputs'!$B$33,'Inputs'!$B$29+'Inputs'!$B$31+'Inputs'!$B$32,'Inputs'!$B$30+'Inputs'!$B$31+'Inputs'!$B$32)/1000+'Inputs'!$B$21)+'Inputs'!$B$9)/SQRT((((153-43)*MAX('Inputs'!$B$33,'Inputs'!$B$29+'Inputs'!$B$31+'Inputs'!$B$32,'Inputs'!$B$30+'Inputs'!$B$31+'Inputs'!$B$32)/1000+'Inputs'!$B$21)+'Inputs'!$B$9)^2+('Inputs'!$B$8/2)^2)-(((153-43)*MAX('Inputs'!$B$33,'Inputs'!$B$29+'Inputs'!$B$31+'Inputs'!$B$32,'Inputs'!$B$30+'Inputs'!$B$31+'Inputs'!$B$32)/1000+'Inputs'!$B$21))/SQRT((((153-43)*MAX('Inputs'!$B$33,'Inputs'!$B$29+'Inputs'!$B$31+'Inputs'!$B$32,'Inputs'!$B$30+'Inputs'!$B$31+'Inputs'!$B$32)/1000+'Inputs'!$B$21))^2+('Inputs'!$B$8/2)^2)))-'Results'!B7*(1-'Inputs'!$B$24)*(0.5*((((153-43)*MAX('Inputs'!$B$33,'Inputs'!$B$29+'Inputs'!$B$31+'Inputs'!$B$32,'Inputs'!$B$30+'Inputs'!$B$31+'Inputs'!$B$32)/1000+'Inputs'!$B$21+'Inputs'!$B$9+'Inputs'!$B$10)+'Inputs'!$B$7)/SQRT((((153-43)*MAX('Inputs'!$B$33,'Inputs'!$B$29+'Inputs'!$B$31+'Inputs'!$B$32,'Inputs'!$B$30+'Inputs'!$B$31+'Inputs'!$B$32)/1000+'Inputs'!$B$21+'Inputs'!$B$9+'Inputs'!$B$10)+'Inputs'!$B$7)^2+('Inputs'!$B$6/2)^2)-(((153-43)*MAX('Inputs'!$B$33,'Inputs'!$B$29+'Inputs'!$B$31+'Inputs'!$B$32,'Inputs'!$B$30+'Inputs'!$B$31+'Inputs'!$B$32)/1000+'Inputs'!$B$21+'Inputs'!$B$9+'Inputs'!$B$10))/SQRT((((153-43)*MAX('Inputs'!$B$33,'Inputs'!$B$29+'Inputs'!$B$31+'Inputs'!$B$32,'Inputs'!$B$30+'Inputs'!$B$31+'Inputs'!$B$32)/1000+'Inputs'!$B$21+'Inputs'!$B$9+'Inputs'!$B$10))^2+('Inputs'!$B$6/2)^2))))*'Results'!$B$8)+'Inputs'!$B$28*ABS((('Results'!C7*(1+'Inputs'!$B$24)*(0.5*((((153-43)*MAX('Inputs'!$B$33,'Inputs'!$B$29+'Inputs'!$B$31+'Inputs'!$B$32,'Inputs'!$B$30+'Inputs'!$B$31+'Inputs'!$B$32)/1000+'Inputs'!$B$21)+'Inputs'!$B$9)/SQRT((((153-43)*MAX('Inputs'!$B$33,'Inputs'!$B$29+'Inputs'!$B$31+'Inputs'!$B$32,'Inputs'!$B$30+'Inputs'!$B$31+'Inputs'!$B$32)/1000+'Inputs'!$B$21)+'Inputs'!$B$9)^2+('Inputs'!$B$8/2)^2)-(((153-43)*MAX('Inputs'!$B$33,'Inputs'!$B$29+'Inputs'!$B$31+'Inputs'!$B$32,'Inputs'!$B$30+'Inputs'!$B$31+'Inputs'!$B$32)/1000+'Inputs'!$B$21))/SQRT((((153-43)*MAX('Inputs'!$B$33,'Inputs'!$B$29+'Inputs'!$B$31+'Inputs'!$B$32,'Inputs'!$B$30+'Inputs'!$B$31+'Inputs'!$B$32)/1000+'Inputs'!$B$21))^2+('Inputs'!$B$8/2)^2)))-'Results'!B7*(1-'Inputs'!$B$24)*(0.5*((((153-43)*MAX('Inputs'!$B$33,'Inputs'!$B$29+'Inputs'!$B$31+'Inputs'!$B$32,'Inputs'!$B$30+'Inputs'!$B$31+'Inputs'!$B$32)/1000+'Inputs'!$B$21+'Inputs'!$B$9+'Inputs'!$B$10)+'Inputs'!$B$7)/SQRT((((153-43)*MAX('Inputs'!$B$33,'Inputs'!$B$29+'Inputs'!$B$31+'Inputs'!$B$32,'Inputs'!$B$30+'Inputs'!$B$31+'Inputs'!$B$32)/1000+'Inputs'!$B$21+'Inputs'!$B$9+'Inputs'!$B$10)+'Inputs'!$B$7)^2+('Inputs'!$B$6/2)^2)-(((153-43)*MAX('Inputs'!$B$33,'Inputs'!$B$29+'Inputs'!$B$31+'Inputs'!$B$32,'Inputs'!$B$30+'Inputs'!$B$31+'Inputs'!$B$32)/1000+'Inputs'!$B$21+'Inputs'!$B$9+'Inputs'!$B$10))/SQRT((((153-43)*MAX('Inputs'!$B$33,'Inputs'!$B$29+'Inputs'!$B$31+'Inputs'!$B$32,'Inputs'!$B$30+'Inputs'!$B$31+'Inputs'!$B$32)/1000+'Inputs'!$B$21+'Inputs'!$B$9+'Inputs'!$B$10))^2+('Inputs'!$B$6/2)^2))))*'Results'!$B$8))),"")</x:f>
        <x:v>323.8174941835164</x:v>
      </x:c>
      <x:c r="P153" t="n">
        <x:f>IF(AND(MAX(J153,J152)&gt;0,J153&gt;J152+0.00000001),1,0)</x:f>
        <x:v>0</x:v>
      </x:c>
      <x:c r="Q153" t="n">
        <x:f>IF(AND(MAX(K153,K152)&gt;0,K153&gt;K152+0.00000001),1,0)</x:f>
        <x:v>0</x:v>
      </x:c>
      <x:c r="R153" t="n">
        <x:f>IF(AND(MAX(L153,L152)&gt;0,L153&gt;L152+0.00000001),1,0)</x:f>
        <x:v>0</x:v>
      </x:c>
      <x:c r="S153" t="n">
        <x:f>IF(AND(MAX(M153,M152)&gt;0,M153&gt;M152+0.00000001),1,0)</x:f>
        <x:v>0</x:v>
      </x:c>
      <x:c r="T153" t="n">
        <x:f>IF(AND(MAX(N153,N152)&gt;0,N153&gt;N152+0.00000001),1,0)</x:f>
        <x:v>0</x:v>
      </x:c>
      <x:c r="U153" t="n">
        <x:f>IF(AND(MAX(O153,O152)&gt;0,O153&gt;O152+0.00000001),1,0)</x:f>
        <x:v>0</x:v>
      </x:c>
    </x:row>
    <x:row r="154">
      <x:c r="J154" t="n">
        <x:f>IF(AND(ISNUMBER('Results'!B7),ISNUMBER('Results'!C7),ISNUMBER('Results'!$B$8),ISNUMBER('Inputs'!$B$6),ISNUMBER('Inputs'!$B$7),ISNUMBER('Inputs'!$B$8),ISNUMBER('Inputs'!$B$9),ISNUMBER('Inputs'!$B$10),ISNUMBER('Inputs'!$B$21),ISNUMBER('Inputs'!$B$24),ISNUMBER('Inputs'!$B$28)),(('Results'!B7*(0.5*((((154-43)*MAX('Inputs'!$B$33,'Inputs'!$B$29+'Inputs'!$B$31+'Inputs'!$B$32,'Inputs'!$B$30+'Inputs'!$B$31+'Inputs'!$B$32)/1000+'Inputs'!$B$21)+'Inputs'!$B$7)/SQRT((((154-43)*MAX('Inputs'!$B$33,'Inputs'!$B$29+'Inputs'!$B$31+'Inputs'!$B$32,'Inputs'!$B$30+'Inputs'!$B$31+'Inputs'!$B$32)/1000+'Inputs'!$B$21)+'Inputs'!$B$7)^2+('Inputs'!$B$6/2)^2)-(((154-43)*MAX('Inputs'!$B$33,'Inputs'!$B$29+'Inputs'!$B$31+'Inputs'!$B$32,'Inputs'!$B$30+'Inputs'!$B$31+'Inputs'!$B$32)/1000+'Inputs'!$B$21))/SQRT((((154-43)*MAX('Inputs'!$B$33,'Inputs'!$B$29+'Inputs'!$B$31+'Inputs'!$B$32,'Inputs'!$B$30+'Inputs'!$B$31+'Inputs'!$B$32)/1000+'Inputs'!$B$21))^2+('Inputs'!$B$6/2)^2)))-'Results'!C7*(0.5*((((154-43)*MAX('Inputs'!$B$33,'Inputs'!$B$29+'Inputs'!$B$31+'Inputs'!$B$32,'Inputs'!$B$30+'Inputs'!$B$31+'Inputs'!$B$32)/1000+'Inputs'!$B$21+'Inputs'!$B$7+'Inputs'!$B$10)+'Inputs'!$B$9)/SQRT((((154-43)*MAX('Inputs'!$B$33,'Inputs'!$B$29+'Inputs'!$B$31+'Inputs'!$B$32,'Inputs'!$B$30+'Inputs'!$B$31+'Inputs'!$B$32)/1000+'Inputs'!$B$21+'Inputs'!$B$7+'Inputs'!$B$10)+'Inputs'!$B$9)^2+('Inputs'!$B$8/2)^2)-(((154-43)*MAX('Inputs'!$B$33,'Inputs'!$B$29+'Inputs'!$B$31+'Inputs'!$B$32,'Inputs'!$B$30+'Inputs'!$B$31+'Inputs'!$B$32)/1000+'Inputs'!$B$21+'Inputs'!$B$7+'Inputs'!$B$10))/SQRT((((154-43)*MAX('Inputs'!$B$33,'Inputs'!$B$29+'Inputs'!$B$31+'Inputs'!$B$32,'Inputs'!$B$30+'Inputs'!$B$31+'Inputs'!$B$32)/1000+'Inputs'!$B$21+'Inputs'!$B$7+'Inputs'!$B$10))^2+('Inputs'!$B$8/2)^2))))*'Results'!$B$8),"")</x:f>
        <x:v>302.9381034213161</x:v>
      </x:c>
      <x:c r="K154" t="n">
        <x:f>IF(AND(ISNUMBER('Results'!B7),ISNUMBER('Results'!C7),ISNUMBER('Results'!$B$8),ISNUMBER('Inputs'!$B$6),ISNUMBER('Inputs'!$B$7),ISNUMBER('Inputs'!$B$8),ISNUMBER('Inputs'!$B$9),ISNUMBER('Inputs'!$B$10),ISNUMBER('Inputs'!$B$21),ISNUMBER('Inputs'!$B$24),ISNUMBER('Inputs'!$B$28)),((('Results'!B7*(1-'Inputs'!$B$24)*(0.5*((((154-43)*MAX('Inputs'!$B$33,'Inputs'!$B$29+'Inputs'!$B$31+'Inputs'!$B$32,'Inputs'!$B$30+'Inputs'!$B$31+'Inputs'!$B$32)/1000+'Inputs'!$B$21)+'Inputs'!$B$7)/SQRT((((154-43)*MAX('Inputs'!$B$33,'Inputs'!$B$29+'Inputs'!$B$31+'Inputs'!$B$32,'Inputs'!$B$30+'Inputs'!$B$31+'Inputs'!$B$32)/1000+'Inputs'!$B$21)+'Inputs'!$B$7)^2+('Inputs'!$B$6/2)^2)-(((154-43)*MAX('Inputs'!$B$33,'Inputs'!$B$29+'Inputs'!$B$31+'Inputs'!$B$32,'Inputs'!$B$30+'Inputs'!$B$31+'Inputs'!$B$32)/1000+'Inputs'!$B$21))/SQRT((((154-43)*MAX('Inputs'!$B$33,'Inputs'!$B$29+'Inputs'!$B$31+'Inputs'!$B$32,'Inputs'!$B$30+'Inputs'!$B$31+'Inputs'!$B$32)/1000+'Inputs'!$B$21))^2+('Inputs'!$B$6/2)^2)))-'Results'!C7*(1+'Inputs'!$B$24)*(0.5*((((154-43)*MAX('Inputs'!$B$33,'Inputs'!$B$29+'Inputs'!$B$31+'Inputs'!$B$32,'Inputs'!$B$30+'Inputs'!$B$31+'Inputs'!$B$32)/1000+'Inputs'!$B$21+'Inputs'!$B$7+'Inputs'!$B$10)+'Inputs'!$B$9)/SQRT((((154-43)*MAX('Inputs'!$B$33,'Inputs'!$B$29+'Inputs'!$B$31+'Inputs'!$B$32,'Inputs'!$B$30+'Inputs'!$B$31+'Inputs'!$B$32)/1000+'Inputs'!$B$21+'Inputs'!$B$7+'Inputs'!$B$10)+'Inputs'!$B$9)^2+('Inputs'!$B$8/2)^2)-(((154-43)*MAX('Inputs'!$B$33,'Inputs'!$B$29+'Inputs'!$B$31+'Inputs'!$B$32,'Inputs'!$B$30+'Inputs'!$B$31+'Inputs'!$B$32)/1000+'Inputs'!$B$21+'Inputs'!$B$7+'Inputs'!$B$10))/SQRT((((154-43)*MAX('Inputs'!$B$33,'Inputs'!$B$29+'Inputs'!$B$31+'Inputs'!$B$32,'Inputs'!$B$30+'Inputs'!$B$31+'Inputs'!$B$32)/1000+'Inputs'!$B$21+'Inputs'!$B$7+'Inputs'!$B$10))^2+('Inputs'!$B$8/2)^2))))*'Results'!$B$8)-'Inputs'!$B$28*ABS((('Results'!B7*(1-'Inputs'!$B$24)*(0.5*((((154-43)*MAX('Inputs'!$B$33,'Inputs'!$B$29+'Inputs'!$B$31+'Inputs'!$B$32,'Inputs'!$B$30+'Inputs'!$B$31+'Inputs'!$B$32)/1000+'Inputs'!$B$21)+'Inputs'!$B$7)/SQRT((((154-43)*MAX('Inputs'!$B$33,'Inputs'!$B$29+'Inputs'!$B$31+'Inputs'!$B$32,'Inputs'!$B$30+'Inputs'!$B$31+'Inputs'!$B$32)/1000+'Inputs'!$B$21)+'Inputs'!$B$7)^2+('Inputs'!$B$6/2)^2)-(((154-43)*MAX('Inputs'!$B$33,'Inputs'!$B$29+'Inputs'!$B$31+'Inputs'!$B$32,'Inputs'!$B$30+'Inputs'!$B$31+'Inputs'!$B$32)/1000+'Inputs'!$B$21))/SQRT((((154-43)*MAX('Inputs'!$B$33,'Inputs'!$B$29+'Inputs'!$B$31+'Inputs'!$B$32,'Inputs'!$B$30+'Inputs'!$B$31+'Inputs'!$B$32)/1000+'Inputs'!$B$21))^2+('Inputs'!$B$6/2)^2)))-'Results'!C7*(1+'Inputs'!$B$24)*(0.5*((((154-43)*MAX('Inputs'!$B$33,'Inputs'!$B$29+'Inputs'!$B$31+'Inputs'!$B$32,'Inputs'!$B$30+'Inputs'!$B$31+'Inputs'!$B$32)/1000+'Inputs'!$B$21+'Inputs'!$B$7+'Inputs'!$B$10)+'Inputs'!$B$9)/SQRT((((154-43)*MAX('Inputs'!$B$33,'Inputs'!$B$29+'Inputs'!$B$31+'Inputs'!$B$32,'Inputs'!$B$30+'Inputs'!$B$31+'Inputs'!$B$32)/1000+'Inputs'!$B$21+'Inputs'!$B$7+'Inputs'!$B$10)+'Inputs'!$B$9)^2+('Inputs'!$B$8/2)^2)-(((154-43)*MAX('Inputs'!$B$33,'Inputs'!$B$29+'Inputs'!$B$31+'Inputs'!$B$32,'Inputs'!$B$30+'Inputs'!$B$31+'Inputs'!$B$32)/1000+'Inputs'!$B$21+'Inputs'!$B$7+'Inputs'!$B$10))/SQRT((((154-43)*MAX('Inputs'!$B$33,'Inputs'!$B$29+'Inputs'!$B$31+'Inputs'!$B$32,'Inputs'!$B$30+'Inputs'!$B$31+'Inputs'!$B$32)/1000+'Inputs'!$B$21+'Inputs'!$B$7+'Inputs'!$B$10))^2+('Inputs'!$B$8/2)^2))))*'Results'!$B$8))),"")</x:f>
        <x:v>279.1209308075942</x:v>
      </x:c>
      <x:c r="L154" t="n">
        <x:f>IF(AND(ISNUMBER('Results'!B7),ISNUMBER('Results'!C7),ISNUMBER('Results'!$B$8),ISNUMBER('Inputs'!$B$6),ISNUMBER('Inputs'!$B$7),ISNUMBER('Inputs'!$B$8),ISNUMBER('Inputs'!$B$9),ISNUMBER('Inputs'!$B$10),ISNUMBER('Inputs'!$B$21),ISNUMBER('Inputs'!$B$24),ISNUMBER('Inputs'!$B$28)),((('Results'!B7*(1+'Inputs'!$B$24)*(0.5*((((154-43)*MAX('Inputs'!$B$33,'Inputs'!$B$29+'Inputs'!$B$31+'Inputs'!$B$32,'Inputs'!$B$30+'Inputs'!$B$31+'Inputs'!$B$32)/1000+'Inputs'!$B$21)+'Inputs'!$B$7)/SQRT((((154-43)*MAX('Inputs'!$B$33,'Inputs'!$B$29+'Inputs'!$B$31+'Inputs'!$B$32,'Inputs'!$B$30+'Inputs'!$B$31+'Inputs'!$B$32)/1000+'Inputs'!$B$21)+'Inputs'!$B$7)^2+('Inputs'!$B$6/2)^2)-(((154-43)*MAX('Inputs'!$B$33,'Inputs'!$B$29+'Inputs'!$B$31+'Inputs'!$B$32,'Inputs'!$B$30+'Inputs'!$B$31+'Inputs'!$B$32)/1000+'Inputs'!$B$21))/SQRT((((154-43)*MAX('Inputs'!$B$33,'Inputs'!$B$29+'Inputs'!$B$31+'Inputs'!$B$32,'Inputs'!$B$30+'Inputs'!$B$31+'Inputs'!$B$32)/1000+'Inputs'!$B$21))^2+('Inputs'!$B$6/2)^2)))-'Results'!C7*(1-'Inputs'!$B$24)*(0.5*((((154-43)*MAX('Inputs'!$B$33,'Inputs'!$B$29+'Inputs'!$B$31+'Inputs'!$B$32,'Inputs'!$B$30+'Inputs'!$B$31+'Inputs'!$B$32)/1000+'Inputs'!$B$21+'Inputs'!$B$7+'Inputs'!$B$10)+'Inputs'!$B$9)/SQRT((((154-43)*MAX('Inputs'!$B$33,'Inputs'!$B$29+'Inputs'!$B$31+'Inputs'!$B$32,'Inputs'!$B$30+'Inputs'!$B$31+'Inputs'!$B$32)/1000+'Inputs'!$B$21+'Inputs'!$B$7+'Inputs'!$B$10)+'Inputs'!$B$9)^2+('Inputs'!$B$8/2)^2)-(((154-43)*MAX('Inputs'!$B$33,'Inputs'!$B$29+'Inputs'!$B$31+'Inputs'!$B$32,'Inputs'!$B$30+'Inputs'!$B$31+'Inputs'!$B$32)/1000+'Inputs'!$B$21+'Inputs'!$B$7+'Inputs'!$B$10))/SQRT((((154-43)*MAX('Inputs'!$B$33,'Inputs'!$B$29+'Inputs'!$B$31+'Inputs'!$B$32,'Inputs'!$B$30+'Inputs'!$B$31+'Inputs'!$B$32)/1000+'Inputs'!$B$21+'Inputs'!$B$7+'Inputs'!$B$10))^2+('Inputs'!$B$8/2)^2))))*'Results'!$B$8)+'Inputs'!$B$28*ABS((('Results'!B7*(1+'Inputs'!$B$24)*(0.5*((((154-43)*MAX('Inputs'!$B$33,'Inputs'!$B$29+'Inputs'!$B$31+'Inputs'!$B$32,'Inputs'!$B$30+'Inputs'!$B$31+'Inputs'!$B$32)/1000+'Inputs'!$B$21)+'Inputs'!$B$7)/SQRT((((154-43)*MAX('Inputs'!$B$33,'Inputs'!$B$29+'Inputs'!$B$31+'Inputs'!$B$32,'Inputs'!$B$30+'Inputs'!$B$31+'Inputs'!$B$32)/1000+'Inputs'!$B$21)+'Inputs'!$B$7)^2+('Inputs'!$B$6/2)^2)-(((154-43)*MAX('Inputs'!$B$33,'Inputs'!$B$29+'Inputs'!$B$31+'Inputs'!$B$32,'Inputs'!$B$30+'Inputs'!$B$31+'Inputs'!$B$32)/1000+'Inputs'!$B$21))/SQRT((((154-43)*MAX('Inputs'!$B$33,'Inputs'!$B$29+'Inputs'!$B$31+'Inputs'!$B$32,'Inputs'!$B$30+'Inputs'!$B$31+'Inputs'!$B$32)/1000+'Inputs'!$B$21))^2+('Inputs'!$B$6/2)^2)))-'Results'!C7*(1-'Inputs'!$B$24)*(0.5*((((154-43)*MAX('Inputs'!$B$33,'Inputs'!$B$29+'Inputs'!$B$31+'Inputs'!$B$32,'Inputs'!$B$30+'Inputs'!$B$31+'Inputs'!$B$32)/1000+'Inputs'!$B$21+'Inputs'!$B$7+'Inputs'!$B$10)+'Inputs'!$B$9)/SQRT((((154-43)*MAX('Inputs'!$B$33,'Inputs'!$B$29+'Inputs'!$B$31+'Inputs'!$B$32,'Inputs'!$B$30+'Inputs'!$B$31+'Inputs'!$B$32)/1000+'Inputs'!$B$21+'Inputs'!$B$7+'Inputs'!$B$10)+'Inputs'!$B$9)^2+('Inputs'!$B$8/2)^2)-(((154-43)*MAX('Inputs'!$B$33,'Inputs'!$B$29+'Inputs'!$B$31+'Inputs'!$B$32,'Inputs'!$B$30+'Inputs'!$B$31+'Inputs'!$B$32)/1000+'Inputs'!$B$21+'Inputs'!$B$7+'Inputs'!$B$10))/SQRT((((154-43)*MAX('Inputs'!$B$33,'Inputs'!$B$29+'Inputs'!$B$31+'Inputs'!$B$32,'Inputs'!$B$30+'Inputs'!$B$31+'Inputs'!$B$32)/1000+'Inputs'!$B$21+'Inputs'!$B$7+'Inputs'!$B$10))^2+('Inputs'!$B$8/2)^2))))*'Results'!$B$8))),"")</x:f>
        <x:v>327.6679357658439</x:v>
      </x:c>
      <x:c r="M154" t="n">
        <x:f>IF(AND(ISNUMBER('Results'!C7),ISNUMBER('Results'!B7),ISNUMBER('Results'!$B$8),ISNUMBER('Inputs'!$B$6),ISNUMBER('Inputs'!$B$7),ISNUMBER('Inputs'!$B$8),ISNUMBER('Inputs'!$B$9),ISNUMBER('Inputs'!$B$10),ISNUMBER('Inputs'!$B$21),ISNUMBER('Inputs'!$B$24),ISNUMBER('Inputs'!$B$28)),(('Results'!C7*(0.5*((((154-43)*MAX('Inputs'!$B$33,'Inputs'!$B$29+'Inputs'!$B$31+'Inputs'!$B$32,'Inputs'!$B$30+'Inputs'!$B$31+'Inputs'!$B$32)/1000+'Inputs'!$B$21)+'Inputs'!$B$9)/SQRT((((154-43)*MAX('Inputs'!$B$33,'Inputs'!$B$29+'Inputs'!$B$31+'Inputs'!$B$32,'Inputs'!$B$30+'Inputs'!$B$31+'Inputs'!$B$32)/1000+'Inputs'!$B$21)+'Inputs'!$B$9)^2+('Inputs'!$B$8/2)^2)-(((154-43)*MAX('Inputs'!$B$33,'Inputs'!$B$29+'Inputs'!$B$31+'Inputs'!$B$32,'Inputs'!$B$30+'Inputs'!$B$31+'Inputs'!$B$32)/1000+'Inputs'!$B$21))/SQRT((((154-43)*MAX('Inputs'!$B$33,'Inputs'!$B$29+'Inputs'!$B$31+'Inputs'!$B$32,'Inputs'!$B$30+'Inputs'!$B$31+'Inputs'!$B$32)/1000+'Inputs'!$B$21))^2+('Inputs'!$B$8/2)^2)))-'Results'!B7*(0.5*((((154-43)*MAX('Inputs'!$B$33,'Inputs'!$B$29+'Inputs'!$B$31+'Inputs'!$B$32,'Inputs'!$B$30+'Inputs'!$B$31+'Inputs'!$B$32)/1000+'Inputs'!$B$21+'Inputs'!$B$9+'Inputs'!$B$10)+'Inputs'!$B$7)/SQRT((((154-43)*MAX('Inputs'!$B$33,'Inputs'!$B$29+'Inputs'!$B$31+'Inputs'!$B$32,'Inputs'!$B$30+'Inputs'!$B$31+'Inputs'!$B$32)/1000+'Inputs'!$B$21+'Inputs'!$B$9+'Inputs'!$B$10)+'Inputs'!$B$7)^2+('Inputs'!$B$6/2)^2)-(((154-43)*MAX('Inputs'!$B$33,'Inputs'!$B$29+'Inputs'!$B$31+'Inputs'!$B$32,'Inputs'!$B$30+'Inputs'!$B$31+'Inputs'!$B$32)/1000+'Inputs'!$B$21+'Inputs'!$B$9+'Inputs'!$B$10))/SQRT((((154-43)*MAX('Inputs'!$B$33,'Inputs'!$B$29+'Inputs'!$B$31+'Inputs'!$B$32,'Inputs'!$B$30+'Inputs'!$B$31+'Inputs'!$B$32)/1000+'Inputs'!$B$21+'Inputs'!$B$9+'Inputs'!$B$10))^2+('Inputs'!$B$6/2)^2))))*'Results'!$B$8),"")</x:f>
        <x:v>293.7802016720363</x:v>
      </x:c>
      <x:c r="N154" t="n">
        <x:f>IF(AND(ISNUMBER('Results'!C7),ISNUMBER('Results'!B7),ISNUMBER('Results'!$B$8),ISNUMBER('Inputs'!$B$6),ISNUMBER('Inputs'!$B$7),ISNUMBER('Inputs'!$B$8),ISNUMBER('Inputs'!$B$9),ISNUMBER('Inputs'!$B$10),ISNUMBER('Inputs'!$B$21),ISNUMBER('Inputs'!$B$24),ISNUMBER('Inputs'!$B$28)),((('Results'!C7*(1-'Inputs'!$B$24)*(0.5*((((154-43)*MAX('Inputs'!$B$33,'Inputs'!$B$29+'Inputs'!$B$31+'Inputs'!$B$32,'Inputs'!$B$30+'Inputs'!$B$31+'Inputs'!$B$32)/1000+'Inputs'!$B$21)+'Inputs'!$B$9)/SQRT((((154-43)*MAX('Inputs'!$B$33,'Inputs'!$B$29+'Inputs'!$B$31+'Inputs'!$B$32,'Inputs'!$B$30+'Inputs'!$B$31+'Inputs'!$B$32)/1000+'Inputs'!$B$21)+'Inputs'!$B$9)^2+('Inputs'!$B$8/2)^2)-(((154-43)*MAX('Inputs'!$B$33,'Inputs'!$B$29+'Inputs'!$B$31+'Inputs'!$B$32,'Inputs'!$B$30+'Inputs'!$B$31+'Inputs'!$B$32)/1000+'Inputs'!$B$21))/SQRT((((154-43)*MAX('Inputs'!$B$33,'Inputs'!$B$29+'Inputs'!$B$31+'Inputs'!$B$32,'Inputs'!$B$30+'Inputs'!$B$31+'Inputs'!$B$32)/1000+'Inputs'!$B$21))^2+('Inputs'!$B$8/2)^2)))-'Results'!B7*(1+'Inputs'!$B$24)*(0.5*((((154-43)*MAX('Inputs'!$B$33,'Inputs'!$B$29+'Inputs'!$B$31+'Inputs'!$B$32,'Inputs'!$B$30+'Inputs'!$B$31+'Inputs'!$B$32)/1000+'Inputs'!$B$21+'Inputs'!$B$9+'Inputs'!$B$10)+'Inputs'!$B$7)/SQRT((((154-43)*MAX('Inputs'!$B$33,'Inputs'!$B$29+'Inputs'!$B$31+'Inputs'!$B$32,'Inputs'!$B$30+'Inputs'!$B$31+'Inputs'!$B$32)/1000+'Inputs'!$B$21+'Inputs'!$B$9+'Inputs'!$B$10)+'Inputs'!$B$7)^2+('Inputs'!$B$6/2)^2)-(((154-43)*MAX('Inputs'!$B$33,'Inputs'!$B$29+'Inputs'!$B$31+'Inputs'!$B$32,'Inputs'!$B$30+'Inputs'!$B$31+'Inputs'!$B$32)/1000+'Inputs'!$B$21+'Inputs'!$B$9+'Inputs'!$B$10))/SQRT((((154-43)*MAX('Inputs'!$B$33,'Inputs'!$B$29+'Inputs'!$B$31+'Inputs'!$B$32,'Inputs'!$B$30+'Inputs'!$B$31+'Inputs'!$B$32)/1000+'Inputs'!$B$21+'Inputs'!$B$9+'Inputs'!$B$10))^2+('Inputs'!$B$6/2)^2))))*'Results'!$B$8)-'Inputs'!$B$28*ABS((('Results'!C7*(1-'Inputs'!$B$24)*(0.5*((((154-43)*MAX('Inputs'!$B$33,'Inputs'!$B$29+'Inputs'!$B$31+'Inputs'!$B$32,'Inputs'!$B$30+'Inputs'!$B$31+'Inputs'!$B$32)/1000+'Inputs'!$B$21)+'Inputs'!$B$9)/SQRT((((154-43)*MAX('Inputs'!$B$33,'Inputs'!$B$29+'Inputs'!$B$31+'Inputs'!$B$32,'Inputs'!$B$30+'Inputs'!$B$31+'Inputs'!$B$32)/1000+'Inputs'!$B$21)+'Inputs'!$B$9)^2+('Inputs'!$B$8/2)^2)-(((154-43)*MAX('Inputs'!$B$33,'Inputs'!$B$29+'Inputs'!$B$31+'Inputs'!$B$32,'Inputs'!$B$30+'Inputs'!$B$31+'Inputs'!$B$32)/1000+'Inputs'!$B$21))/SQRT((((154-43)*MAX('Inputs'!$B$33,'Inputs'!$B$29+'Inputs'!$B$31+'Inputs'!$B$32,'Inputs'!$B$30+'Inputs'!$B$31+'Inputs'!$B$32)/1000+'Inputs'!$B$21))^2+('Inputs'!$B$8/2)^2)))-'Results'!B7*(1+'Inputs'!$B$24)*(0.5*((((154-43)*MAX('Inputs'!$B$33,'Inputs'!$B$29+'Inputs'!$B$31+'Inputs'!$B$32,'Inputs'!$B$30+'Inputs'!$B$31+'Inputs'!$B$32)/1000+'Inputs'!$B$21+'Inputs'!$B$9+'Inputs'!$B$10)+'Inputs'!$B$7)/SQRT((((154-43)*MAX('Inputs'!$B$33,'Inputs'!$B$29+'Inputs'!$B$31+'Inputs'!$B$32,'Inputs'!$B$30+'Inputs'!$B$31+'Inputs'!$B$32)/1000+'Inputs'!$B$21+'Inputs'!$B$9+'Inputs'!$B$10)+'Inputs'!$B$7)^2+('Inputs'!$B$6/2)^2)-(((154-43)*MAX('Inputs'!$B$33,'Inputs'!$B$29+'Inputs'!$B$31+'Inputs'!$B$32,'Inputs'!$B$30+'Inputs'!$B$31+'Inputs'!$B$32)/1000+'Inputs'!$B$21+'Inputs'!$B$9+'Inputs'!$B$10))/SQRT((((154-43)*MAX('Inputs'!$B$33,'Inputs'!$B$29+'Inputs'!$B$31+'Inputs'!$B$32,'Inputs'!$B$30+'Inputs'!$B$31+'Inputs'!$B$32)/1000+'Inputs'!$B$21+'Inputs'!$B$9+'Inputs'!$B$10))^2+('Inputs'!$B$6/2)^2))))*'Results'!$B$8))),"")</x:f>
        <x:v>270.5354458406952</x:v>
      </x:c>
      <x:c r="O154" t="n">
        <x:f>IF(AND(ISNUMBER('Results'!C7),ISNUMBER('Results'!B7),ISNUMBER('Results'!$B$8),ISNUMBER('Inputs'!$B$6),ISNUMBER('Inputs'!$B$7),ISNUMBER('Inputs'!$B$8),ISNUMBER('Inputs'!$B$9),ISNUMBER('Inputs'!$B$10),ISNUMBER('Inputs'!$B$21),ISNUMBER('Inputs'!$B$24),ISNUMBER('Inputs'!$B$28)),((('Results'!C7*(1+'Inputs'!$B$24)*(0.5*((((154-43)*MAX('Inputs'!$B$33,'Inputs'!$B$29+'Inputs'!$B$31+'Inputs'!$B$32,'Inputs'!$B$30+'Inputs'!$B$31+'Inputs'!$B$32)/1000+'Inputs'!$B$21)+'Inputs'!$B$9)/SQRT((((154-43)*MAX('Inputs'!$B$33,'Inputs'!$B$29+'Inputs'!$B$31+'Inputs'!$B$32,'Inputs'!$B$30+'Inputs'!$B$31+'Inputs'!$B$32)/1000+'Inputs'!$B$21)+'Inputs'!$B$9)^2+('Inputs'!$B$8/2)^2)-(((154-43)*MAX('Inputs'!$B$33,'Inputs'!$B$29+'Inputs'!$B$31+'Inputs'!$B$32,'Inputs'!$B$30+'Inputs'!$B$31+'Inputs'!$B$32)/1000+'Inputs'!$B$21))/SQRT((((154-43)*MAX('Inputs'!$B$33,'Inputs'!$B$29+'Inputs'!$B$31+'Inputs'!$B$32,'Inputs'!$B$30+'Inputs'!$B$31+'Inputs'!$B$32)/1000+'Inputs'!$B$21))^2+('Inputs'!$B$8/2)^2)))-'Results'!B7*(1-'Inputs'!$B$24)*(0.5*((((154-43)*MAX('Inputs'!$B$33,'Inputs'!$B$29+'Inputs'!$B$31+'Inputs'!$B$32,'Inputs'!$B$30+'Inputs'!$B$31+'Inputs'!$B$32)/1000+'Inputs'!$B$21+'Inputs'!$B$9+'Inputs'!$B$10)+'Inputs'!$B$7)/SQRT((((154-43)*MAX('Inputs'!$B$33,'Inputs'!$B$29+'Inputs'!$B$31+'Inputs'!$B$32,'Inputs'!$B$30+'Inputs'!$B$31+'Inputs'!$B$32)/1000+'Inputs'!$B$21+'Inputs'!$B$9+'Inputs'!$B$10)+'Inputs'!$B$7)^2+('Inputs'!$B$6/2)^2)-(((154-43)*MAX('Inputs'!$B$33,'Inputs'!$B$29+'Inputs'!$B$31+'Inputs'!$B$32,'Inputs'!$B$30+'Inputs'!$B$31+'Inputs'!$B$32)/1000+'Inputs'!$B$21+'Inputs'!$B$9+'Inputs'!$B$10))/SQRT((((154-43)*MAX('Inputs'!$B$33,'Inputs'!$B$29+'Inputs'!$B$31+'Inputs'!$B$32,'Inputs'!$B$30+'Inputs'!$B$31+'Inputs'!$B$32)/1000+'Inputs'!$B$21+'Inputs'!$B$9+'Inputs'!$B$10))^2+('Inputs'!$B$6/2)^2))))*'Results'!$B$8)+'Inputs'!$B$28*ABS((('Results'!C7*(1+'Inputs'!$B$24)*(0.5*((((154-43)*MAX('Inputs'!$B$33,'Inputs'!$B$29+'Inputs'!$B$31+'Inputs'!$B$32,'Inputs'!$B$30+'Inputs'!$B$31+'Inputs'!$B$32)/1000+'Inputs'!$B$21)+'Inputs'!$B$9)/SQRT((((154-43)*MAX('Inputs'!$B$33,'Inputs'!$B$29+'Inputs'!$B$31+'Inputs'!$B$32,'Inputs'!$B$30+'Inputs'!$B$31+'Inputs'!$B$32)/1000+'Inputs'!$B$21)+'Inputs'!$B$9)^2+('Inputs'!$B$8/2)^2)-(((154-43)*MAX('Inputs'!$B$33,'Inputs'!$B$29+'Inputs'!$B$31+'Inputs'!$B$32,'Inputs'!$B$30+'Inputs'!$B$31+'Inputs'!$B$32)/1000+'Inputs'!$B$21))/SQRT((((154-43)*MAX('Inputs'!$B$33,'Inputs'!$B$29+'Inputs'!$B$31+'Inputs'!$B$32,'Inputs'!$B$30+'Inputs'!$B$31+'Inputs'!$B$32)/1000+'Inputs'!$B$21))^2+('Inputs'!$B$8/2)^2)))-'Results'!B7*(1-'Inputs'!$B$24)*(0.5*((((154-43)*MAX('Inputs'!$B$33,'Inputs'!$B$29+'Inputs'!$B$31+'Inputs'!$B$32,'Inputs'!$B$30+'Inputs'!$B$31+'Inputs'!$B$32)/1000+'Inputs'!$B$21+'Inputs'!$B$9+'Inputs'!$B$10)+'Inputs'!$B$7)/SQRT((((154-43)*MAX('Inputs'!$B$33,'Inputs'!$B$29+'Inputs'!$B$31+'Inputs'!$B$32,'Inputs'!$B$30+'Inputs'!$B$31+'Inputs'!$B$32)/1000+'Inputs'!$B$21+'Inputs'!$B$9+'Inputs'!$B$10)+'Inputs'!$B$7)^2+('Inputs'!$B$6/2)^2)-(((154-43)*MAX('Inputs'!$B$33,'Inputs'!$B$29+'Inputs'!$B$31+'Inputs'!$B$32,'Inputs'!$B$30+'Inputs'!$B$31+'Inputs'!$B$32)/1000+'Inputs'!$B$21+'Inputs'!$B$9+'Inputs'!$B$10))/SQRT((((154-43)*MAX('Inputs'!$B$33,'Inputs'!$B$29+'Inputs'!$B$31+'Inputs'!$B$32,'Inputs'!$B$30+'Inputs'!$B$31+'Inputs'!$B$32)/1000+'Inputs'!$B$21+'Inputs'!$B$9+'Inputs'!$B$10))^2+('Inputs'!$B$6/2)^2))))*'Results'!$B$8))),"")</x:f>
        <x:v>317.92556231892877</x:v>
      </x:c>
      <x:c r="P154" t="n">
        <x:f>IF(AND(MAX(J154,J153)&gt;0,J154&gt;J153+0.00000001),1,0)</x:f>
        <x:v>0</x:v>
      </x:c>
      <x:c r="Q154" t="n">
        <x:f>IF(AND(MAX(K154,K153)&gt;0,K154&gt;K153+0.00000001),1,0)</x:f>
        <x:v>0</x:v>
      </x:c>
      <x:c r="R154" t="n">
        <x:f>IF(AND(MAX(L154,L153)&gt;0,L154&gt;L153+0.00000001),1,0)</x:f>
        <x:v>0</x:v>
      </x:c>
      <x:c r="S154" t="n">
        <x:f>IF(AND(MAX(M154,M153)&gt;0,M154&gt;M153+0.00000001),1,0)</x:f>
        <x:v>0</x:v>
      </x:c>
      <x:c r="T154" t="n">
        <x:f>IF(AND(MAX(N154,N153)&gt;0,N154&gt;N153+0.00000001),1,0)</x:f>
        <x:v>0</x:v>
      </x:c>
      <x:c r="U154" t="n">
        <x:f>IF(AND(MAX(O154,O153)&gt;0,O154&gt;O153+0.00000001),1,0)</x:f>
        <x:v>0</x:v>
      </x:c>
    </x:row>
    <x:row r="155">
      <x:c r="J155" t="n">
        <x:f>IF(AND(ISNUMBER('Results'!B7),ISNUMBER('Results'!C7),ISNUMBER('Results'!$B$8),ISNUMBER('Inputs'!$B$6),ISNUMBER('Inputs'!$B$7),ISNUMBER('Inputs'!$B$8),ISNUMBER('Inputs'!$B$9),ISNUMBER('Inputs'!$B$10),ISNUMBER('Inputs'!$B$21),ISNUMBER('Inputs'!$B$24),ISNUMBER('Inputs'!$B$28)),(('Results'!B7*(0.5*((((155-43)*MAX('Inputs'!$B$33,'Inputs'!$B$29+'Inputs'!$B$31+'Inputs'!$B$32,'Inputs'!$B$30+'Inputs'!$B$31+'Inputs'!$B$32)/1000+'Inputs'!$B$21)+'Inputs'!$B$7)/SQRT((((155-43)*MAX('Inputs'!$B$33,'Inputs'!$B$29+'Inputs'!$B$31+'Inputs'!$B$32,'Inputs'!$B$30+'Inputs'!$B$31+'Inputs'!$B$32)/1000+'Inputs'!$B$21)+'Inputs'!$B$7)^2+('Inputs'!$B$6/2)^2)-(((155-43)*MAX('Inputs'!$B$33,'Inputs'!$B$29+'Inputs'!$B$31+'Inputs'!$B$32,'Inputs'!$B$30+'Inputs'!$B$31+'Inputs'!$B$32)/1000+'Inputs'!$B$21))/SQRT((((155-43)*MAX('Inputs'!$B$33,'Inputs'!$B$29+'Inputs'!$B$31+'Inputs'!$B$32,'Inputs'!$B$30+'Inputs'!$B$31+'Inputs'!$B$32)/1000+'Inputs'!$B$21))^2+('Inputs'!$B$6/2)^2)))-'Results'!C7*(0.5*((((155-43)*MAX('Inputs'!$B$33,'Inputs'!$B$29+'Inputs'!$B$31+'Inputs'!$B$32,'Inputs'!$B$30+'Inputs'!$B$31+'Inputs'!$B$32)/1000+'Inputs'!$B$21+'Inputs'!$B$7+'Inputs'!$B$10)+'Inputs'!$B$9)/SQRT((((155-43)*MAX('Inputs'!$B$33,'Inputs'!$B$29+'Inputs'!$B$31+'Inputs'!$B$32,'Inputs'!$B$30+'Inputs'!$B$31+'Inputs'!$B$32)/1000+'Inputs'!$B$21+'Inputs'!$B$7+'Inputs'!$B$10)+'Inputs'!$B$9)^2+('Inputs'!$B$8/2)^2)-(((155-43)*MAX('Inputs'!$B$33,'Inputs'!$B$29+'Inputs'!$B$31+'Inputs'!$B$32,'Inputs'!$B$30+'Inputs'!$B$31+'Inputs'!$B$32)/1000+'Inputs'!$B$21+'Inputs'!$B$7+'Inputs'!$B$10))/SQRT((((155-43)*MAX('Inputs'!$B$33,'Inputs'!$B$29+'Inputs'!$B$31+'Inputs'!$B$32,'Inputs'!$B$30+'Inputs'!$B$31+'Inputs'!$B$32)/1000+'Inputs'!$B$21+'Inputs'!$B$7+'Inputs'!$B$10))^2+('Inputs'!$B$8/2)^2))))*'Results'!$B$8),"")</x:f>
        <x:v>297.4420027576559</x:v>
      </x:c>
      <x:c r="K155" t="n">
        <x:f>IF(AND(ISNUMBER('Results'!B7),ISNUMBER('Results'!C7),ISNUMBER('Results'!$B$8),ISNUMBER('Inputs'!$B$6),ISNUMBER('Inputs'!$B$7),ISNUMBER('Inputs'!$B$8),ISNUMBER('Inputs'!$B$9),ISNUMBER('Inputs'!$B$10),ISNUMBER('Inputs'!$B$21),ISNUMBER('Inputs'!$B$24),ISNUMBER('Inputs'!$B$28)),((('Results'!B7*(1-'Inputs'!$B$24)*(0.5*((((155-43)*MAX('Inputs'!$B$33,'Inputs'!$B$29+'Inputs'!$B$31+'Inputs'!$B$32,'Inputs'!$B$30+'Inputs'!$B$31+'Inputs'!$B$32)/1000+'Inputs'!$B$21)+'Inputs'!$B$7)/SQRT((((155-43)*MAX('Inputs'!$B$33,'Inputs'!$B$29+'Inputs'!$B$31+'Inputs'!$B$32,'Inputs'!$B$30+'Inputs'!$B$31+'Inputs'!$B$32)/1000+'Inputs'!$B$21)+'Inputs'!$B$7)^2+('Inputs'!$B$6/2)^2)-(((155-43)*MAX('Inputs'!$B$33,'Inputs'!$B$29+'Inputs'!$B$31+'Inputs'!$B$32,'Inputs'!$B$30+'Inputs'!$B$31+'Inputs'!$B$32)/1000+'Inputs'!$B$21))/SQRT((((155-43)*MAX('Inputs'!$B$33,'Inputs'!$B$29+'Inputs'!$B$31+'Inputs'!$B$32,'Inputs'!$B$30+'Inputs'!$B$31+'Inputs'!$B$32)/1000+'Inputs'!$B$21))^2+('Inputs'!$B$6/2)^2)))-'Results'!C7*(1+'Inputs'!$B$24)*(0.5*((((155-43)*MAX('Inputs'!$B$33,'Inputs'!$B$29+'Inputs'!$B$31+'Inputs'!$B$32,'Inputs'!$B$30+'Inputs'!$B$31+'Inputs'!$B$32)/1000+'Inputs'!$B$21+'Inputs'!$B$7+'Inputs'!$B$10)+'Inputs'!$B$9)/SQRT((((155-43)*MAX('Inputs'!$B$33,'Inputs'!$B$29+'Inputs'!$B$31+'Inputs'!$B$32,'Inputs'!$B$30+'Inputs'!$B$31+'Inputs'!$B$32)/1000+'Inputs'!$B$21+'Inputs'!$B$7+'Inputs'!$B$10)+'Inputs'!$B$9)^2+('Inputs'!$B$8/2)^2)-(((155-43)*MAX('Inputs'!$B$33,'Inputs'!$B$29+'Inputs'!$B$31+'Inputs'!$B$32,'Inputs'!$B$30+'Inputs'!$B$31+'Inputs'!$B$32)/1000+'Inputs'!$B$21+'Inputs'!$B$7+'Inputs'!$B$10))/SQRT((((155-43)*MAX('Inputs'!$B$33,'Inputs'!$B$29+'Inputs'!$B$31+'Inputs'!$B$32,'Inputs'!$B$30+'Inputs'!$B$31+'Inputs'!$B$32)/1000+'Inputs'!$B$21+'Inputs'!$B$7+'Inputs'!$B$10))^2+('Inputs'!$B$8/2)^2))))*'Results'!$B$8)-'Inputs'!$B$28*ABS((('Results'!B7*(1-'Inputs'!$B$24)*(0.5*((((155-43)*MAX('Inputs'!$B$33,'Inputs'!$B$29+'Inputs'!$B$31+'Inputs'!$B$32,'Inputs'!$B$30+'Inputs'!$B$31+'Inputs'!$B$32)/1000+'Inputs'!$B$21)+'Inputs'!$B$7)/SQRT((((155-43)*MAX('Inputs'!$B$33,'Inputs'!$B$29+'Inputs'!$B$31+'Inputs'!$B$32,'Inputs'!$B$30+'Inputs'!$B$31+'Inputs'!$B$32)/1000+'Inputs'!$B$21)+'Inputs'!$B$7)^2+('Inputs'!$B$6/2)^2)-(((155-43)*MAX('Inputs'!$B$33,'Inputs'!$B$29+'Inputs'!$B$31+'Inputs'!$B$32,'Inputs'!$B$30+'Inputs'!$B$31+'Inputs'!$B$32)/1000+'Inputs'!$B$21))/SQRT((((155-43)*MAX('Inputs'!$B$33,'Inputs'!$B$29+'Inputs'!$B$31+'Inputs'!$B$32,'Inputs'!$B$30+'Inputs'!$B$31+'Inputs'!$B$32)/1000+'Inputs'!$B$21))^2+('Inputs'!$B$6/2)^2)))-'Results'!C7*(1+'Inputs'!$B$24)*(0.5*((((155-43)*MAX('Inputs'!$B$33,'Inputs'!$B$29+'Inputs'!$B$31+'Inputs'!$B$32,'Inputs'!$B$30+'Inputs'!$B$31+'Inputs'!$B$32)/1000+'Inputs'!$B$21+'Inputs'!$B$7+'Inputs'!$B$10)+'Inputs'!$B$9)/SQRT((((155-43)*MAX('Inputs'!$B$33,'Inputs'!$B$29+'Inputs'!$B$31+'Inputs'!$B$32,'Inputs'!$B$30+'Inputs'!$B$31+'Inputs'!$B$32)/1000+'Inputs'!$B$21+'Inputs'!$B$7+'Inputs'!$B$10)+'Inputs'!$B$9)^2+('Inputs'!$B$8/2)^2)-(((155-43)*MAX('Inputs'!$B$33,'Inputs'!$B$29+'Inputs'!$B$31+'Inputs'!$B$32,'Inputs'!$B$30+'Inputs'!$B$31+'Inputs'!$B$32)/1000+'Inputs'!$B$21+'Inputs'!$B$7+'Inputs'!$B$10))/SQRT((((155-43)*MAX('Inputs'!$B$33,'Inputs'!$B$29+'Inputs'!$B$31+'Inputs'!$B$32,'Inputs'!$B$30+'Inputs'!$B$31+'Inputs'!$B$32)/1000+'Inputs'!$B$21+'Inputs'!$B$7+'Inputs'!$B$10))^2+('Inputs'!$B$8/2)^2))))*'Results'!$B$8))),"")</x:f>
        <x:v>274.0362628946095</x:v>
      </x:c>
      <x:c r="L155" t="n">
        <x:f>IF(AND(ISNUMBER('Results'!B7),ISNUMBER('Results'!C7),ISNUMBER('Results'!$B$8),ISNUMBER('Inputs'!$B$6),ISNUMBER('Inputs'!$B$7),ISNUMBER('Inputs'!$B$8),ISNUMBER('Inputs'!$B$9),ISNUMBER('Inputs'!$B$10),ISNUMBER('Inputs'!$B$21),ISNUMBER('Inputs'!$B$24),ISNUMBER('Inputs'!$B$28)),((('Results'!B7*(1+'Inputs'!$B$24)*(0.5*((((155-43)*MAX('Inputs'!$B$33,'Inputs'!$B$29+'Inputs'!$B$31+'Inputs'!$B$32,'Inputs'!$B$30+'Inputs'!$B$31+'Inputs'!$B$32)/1000+'Inputs'!$B$21)+'Inputs'!$B$7)/SQRT((((155-43)*MAX('Inputs'!$B$33,'Inputs'!$B$29+'Inputs'!$B$31+'Inputs'!$B$32,'Inputs'!$B$30+'Inputs'!$B$31+'Inputs'!$B$32)/1000+'Inputs'!$B$21)+'Inputs'!$B$7)^2+('Inputs'!$B$6/2)^2)-(((155-43)*MAX('Inputs'!$B$33,'Inputs'!$B$29+'Inputs'!$B$31+'Inputs'!$B$32,'Inputs'!$B$30+'Inputs'!$B$31+'Inputs'!$B$32)/1000+'Inputs'!$B$21))/SQRT((((155-43)*MAX('Inputs'!$B$33,'Inputs'!$B$29+'Inputs'!$B$31+'Inputs'!$B$32,'Inputs'!$B$30+'Inputs'!$B$31+'Inputs'!$B$32)/1000+'Inputs'!$B$21))^2+('Inputs'!$B$6/2)^2)))-'Results'!C7*(1-'Inputs'!$B$24)*(0.5*((((155-43)*MAX('Inputs'!$B$33,'Inputs'!$B$29+'Inputs'!$B$31+'Inputs'!$B$32,'Inputs'!$B$30+'Inputs'!$B$31+'Inputs'!$B$32)/1000+'Inputs'!$B$21+'Inputs'!$B$7+'Inputs'!$B$10)+'Inputs'!$B$9)/SQRT((((155-43)*MAX('Inputs'!$B$33,'Inputs'!$B$29+'Inputs'!$B$31+'Inputs'!$B$32,'Inputs'!$B$30+'Inputs'!$B$31+'Inputs'!$B$32)/1000+'Inputs'!$B$21+'Inputs'!$B$7+'Inputs'!$B$10)+'Inputs'!$B$9)^2+('Inputs'!$B$8/2)^2)-(((155-43)*MAX('Inputs'!$B$33,'Inputs'!$B$29+'Inputs'!$B$31+'Inputs'!$B$32,'Inputs'!$B$30+'Inputs'!$B$31+'Inputs'!$B$32)/1000+'Inputs'!$B$21+'Inputs'!$B$7+'Inputs'!$B$10))/SQRT((((155-43)*MAX('Inputs'!$B$33,'Inputs'!$B$29+'Inputs'!$B$31+'Inputs'!$B$32,'Inputs'!$B$30+'Inputs'!$B$31+'Inputs'!$B$32)/1000+'Inputs'!$B$21+'Inputs'!$B$7+'Inputs'!$B$10))^2+('Inputs'!$B$8/2)^2))))*'Results'!$B$8)+'Inputs'!$B$28*ABS((('Results'!B7*(1+'Inputs'!$B$24)*(0.5*((((155-43)*MAX('Inputs'!$B$33,'Inputs'!$B$29+'Inputs'!$B$31+'Inputs'!$B$32,'Inputs'!$B$30+'Inputs'!$B$31+'Inputs'!$B$32)/1000+'Inputs'!$B$21)+'Inputs'!$B$7)/SQRT((((155-43)*MAX('Inputs'!$B$33,'Inputs'!$B$29+'Inputs'!$B$31+'Inputs'!$B$32,'Inputs'!$B$30+'Inputs'!$B$31+'Inputs'!$B$32)/1000+'Inputs'!$B$21)+'Inputs'!$B$7)^2+('Inputs'!$B$6/2)^2)-(((155-43)*MAX('Inputs'!$B$33,'Inputs'!$B$29+'Inputs'!$B$31+'Inputs'!$B$32,'Inputs'!$B$30+'Inputs'!$B$31+'Inputs'!$B$32)/1000+'Inputs'!$B$21))/SQRT((((155-43)*MAX('Inputs'!$B$33,'Inputs'!$B$29+'Inputs'!$B$31+'Inputs'!$B$32,'Inputs'!$B$30+'Inputs'!$B$31+'Inputs'!$B$32)/1000+'Inputs'!$B$21))^2+('Inputs'!$B$6/2)^2)))-'Results'!C7*(1-'Inputs'!$B$24)*(0.5*((((155-43)*MAX('Inputs'!$B$33,'Inputs'!$B$29+'Inputs'!$B$31+'Inputs'!$B$32,'Inputs'!$B$30+'Inputs'!$B$31+'Inputs'!$B$32)/1000+'Inputs'!$B$21+'Inputs'!$B$7+'Inputs'!$B$10)+'Inputs'!$B$9)/SQRT((((155-43)*MAX('Inputs'!$B$33,'Inputs'!$B$29+'Inputs'!$B$31+'Inputs'!$B$32,'Inputs'!$B$30+'Inputs'!$B$31+'Inputs'!$B$32)/1000+'Inputs'!$B$21+'Inputs'!$B$7+'Inputs'!$B$10)+'Inputs'!$B$9)^2+('Inputs'!$B$8/2)^2)-(((155-43)*MAX('Inputs'!$B$33,'Inputs'!$B$29+'Inputs'!$B$31+'Inputs'!$B$32,'Inputs'!$B$30+'Inputs'!$B$31+'Inputs'!$B$32)/1000+'Inputs'!$B$21+'Inputs'!$B$7+'Inputs'!$B$10))/SQRT((((155-43)*MAX('Inputs'!$B$33,'Inputs'!$B$29+'Inputs'!$B$31+'Inputs'!$B$32,'Inputs'!$B$30+'Inputs'!$B$31+'Inputs'!$B$32)/1000+'Inputs'!$B$21+'Inputs'!$B$7+'Inputs'!$B$10))^2+('Inputs'!$B$8/2)^2))))*'Results'!$B$8))),"")</x:f>
        <x:v>321.74602048650905</x:v>
      </x:c>
      <x:c r="M155" t="n">
        <x:f>IF(AND(ISNUMBER('Results'!C7),ISNUMBER('Results'!B7),ISNUMBER('Results'!$B$8),ISNUMBER('Inputs'!$B$6),ISNUMBER('Inputs'!$B$7),ISNUMBER('Inputs'!$B$8),ISNUMBER('Inputs'!$B$9),ISNUMBER('Inputs'!$B$10),ISNUMBER('Inputs'!$B$21),ISNUMBER('Inputs'!$B$24),ISNUMBER('Inputs'!$B$28)),(('Results'!C7*(0.5*((((155-43)*MAX('Inputs'!$B$33,'Inputs'!$B$29+'Inputs'!$B$31+'Inputs'!$B$32,'Inputs'!$B$30+'Inputs'!$B$31+'Inputs'!$B$32)/1000+'Inputs'!$B$21)+'Inputs'!$B$9)/SQRT((((155-43)*MAX('Inputs'!$B$33,'Inputs'!$B$29+'Inputs'!$B$31+'Inputs'!$B$32,'Inputs'!$B$30+'Inputs'!$B$31+'Inputs'!$B$32)/1000+'Inputs'!$B$21)+'Inputs'!$B$9)^2+('Inputs'!$B$8/2)^2)-(((155-43)*MAX('Inputs'!$B$33,'Inputs'!$B$29+'Inputs'!$B$31+'Inputs'!$B$32,'Inputs'!$B$30+'Inputs'!$B$31+'Inputs'!$B$32)/1000+'Inputs'!$B$21))/SQRT((((155-43)*MAX('Inputs'!$B$33,'Inputs'!$B$29+'Inputs'!$B$31+'Inputs'!$B$32,'Inputs'!$B$30+'Inputs'!$B$31+'Inputs'!$B$32)/1000+'Inputs'!$B$21))^2+('Inputs'!$B$8/2)^2)))-'Results'!B7*(0.5*((((155-43)*MAX('Inputs'!$B$33,'Inputs'!$B$29+'Inputs'!$B$31+'Inputs'!$B$32,'Inputs'!$B$30+'Inputs'!$B$31+'Inputs'!$B$32)/1000+'Inputs'!$B$21+'Inputs'!$B$9+'Inputs'!$B$10)+'Inputs'!$B$7)/SQRT((((155-43)*MAX('Inputs'!$B$33,'Inputs'!$B$29+'Inputs'!$B$31+'Inputs'!$B$32,'Inputs'!$B$30+'Inputs'!$B$31+'Inputs'!$B$32)/1000+'Inputs'!$B$21+'Inputs'!$B$9+'Inputs'!$B$10)+'Inputs'!$B$7)^2+('Inputs'!$B$6/2)^2)-(((155-43)*MAX('Inputs'!$B$33,'Inputs'!$B$29+'Inputs'!$B$31+'Inputs'!$B$32,'Inputs'!$B$30+'Inputs'!$B$31+'Inputs'!$B$32)/1000+'Inputs'!$B$21+'Inputs'!$B$9+'Inputs'!$B$10))/SQRT((((155-43)*MAX('Inputs'!$B$33,'Inputs'!$B$29+'Inputs'!$B$31+'Inputs'!$B$32,'Inputs'!$B$30+'Inputs'!$B$31+'Inputs'!$B$32)/1000+'Inputs'!$B$21+'Inputs'!$B$9+'Inputs'!$B$10))^2+('Inputs'!$B$6/2)^2))))*'Results'!$B$8),"")</x:f>
        <x:v>288.4282655424164</x:v>
      </x:c>
      <x:c r="N155" t="n">
        <x:f>IF(AND(ISNUMBER('Results'!C7),ISNUMBER('Results'!B7),ISNUMBER('Results'!$B$8),ISNUMBER('Inputs'!$B$6),ISNUMBER('Inputs'!$B$7),ISNUMBER('Inputs'!$B$8),ISNUMBER('Inputs'!$B$9),ISNUMBER('Inputs'!$B$10),ISNUMBER('Inputs'!$B$21),ISNUMBER('Inputs'!$B$24),ISNUMBER('Inputs'!$B$28)),((('Results'!C7*(1-'Inputs'!$B$24)*(0.5*((((155-43)*MAX('Inputs'!$B$33,'Inputs'!$B$29+'Inputs'!$B$31+'Inputs'!$B$32,'Inputs'!$B$30+'Inputs'!$B$31+'Inputs'!$B$32)/1000+'Inputs'!$B$21)+'Inputs'!$B$9)/SQRT((((155-43)*MAX('Inputs'!$B$33,'Inputs'!$B$29+'Inputs'!$B$31+'Inputs'!$B$32,'Inputs'!$B$30+'Inputs'!$B$31+'Inputs'!$B$32)/1000+'Inputs'!$B$21)+'Inputs'!$B$9)^2+('Inputs'!$B$8/2)^2)-(((155-43)*MAX('Inputs'!$B$33,'Inputs'!$B$29+'Inputs'!$B$31+'Inputs'!$B$32,'Inputs'!$B$30+'Inputs'!$B$31+'Inputs'!$B$32)/1000+'Inputs'!$B$21))/SQRT((((155-43)*MAX('Inputs'!$B$33,'Inputs'!$B$29+'Inputs'!$B$31+'Inputs'!$B$32,'Inputs'!$B$30+'Inputs'!$B$31+'Inputs'!$B$32)/1000+'Inputs'!$B$21))^2+('Inputs'!$B$8/2)^2)))-'Results'!B7*(1+'Inputs'!$B$24)*(0.5*((((155-43)*MAX('Inputs'!$B$33,'Inputs'!$B$29+'Inputs'!$B$31+'Inputs'!$B$32,'Inputs'!$B$30+'Inputs'!$B$31+'Inputs'!$B$32)/1000+'Inputs'!$B$21+'Inputs'!$B$9+'Inputs'!$B$10)+'Inputs'!$B$7)/SQRT((((155-43)*MAX('Inputs'!$B$33,'Inputs'!$B$29+'Inputs'!$B$31+'Inputs'!$B$32,'Inputs'!$B$30+'Inputs'!$B$31+'Inputs'!$B$32)/1000+'Inputs'!$B$21+'Inputs'!$B$9+'Inputs'!$B$10)+'Inputs'!$B$7)^2+('Inputs'!$B$6/2)^2)-(((155-43)*MAX('Inputs'!$B$33,'Inputs'!$B$29+'Inputs'!$B$31+'Inputs'!$B$32,'Inputs'!$B$30+'Inputs'!$B$31+'Inputs'!$B$32)/1000+'Inputs'!$B$21+'Inputs'!$B$9+'Inputs'!$B$10))/SQRT((((155-43)*MAX('Inputs'!$B$33,'Inputs'!$B$29+'Inputs'!$B$31+'Inputs'!$B$32,'Inputs'!$B$30+'Inputs'!$B$31+'Inputs'!$B$32)/1000+'Inputs'!$B$21+'Inputs'!$B$9+'Inputs'!$B$10))^2+('Inputs'!$B$6/2)^2))))*'Results'!$B$8)-'Inputs'!$B$28*ABS((('Results'!C7*(1-'Inputs'!$B$24)*(0.5*((((155-43)*MAX('Inputs'!$B$33,'Inputs'!$B$29+'Inputs'!$B$31+'Inputs'!$B$32,'Inputs'!$B$30+'Inputs'!$B$31+'Inputs'!$B$32)/1000+'Inputs'!$B$21)+'Inputs'!$B$9)/SQRT((((155-43)*MAX('Inputs'!$B$33,'Inputs'!$B$29+'Inputs'!$B$31+'Inputs'!$B$32,'Inputs'!$B$30+'Inputs'!$B$31+'Inputs'!$B$32)/1000+'Inputs'!$B$21)+'Inputs'!$B$9)^2+('Inputs'!$B$8/2)^2)-(((155-43)*MAX('Inputs'!$B$33,'Inputs'!$B$29+'Inputs'!$B$31+'Inputs'!$B$32,'Inputs'!$B$30+'Inputs'!$B$31+'Inputs'!$B$32)/1000+'Inputs'!$B$21))/SQRT((((155-43)*MAX('Inputs'!$B$33,'Inputs'!$B$29+'Inputs'!$B$31+'Inputs'!$B$32,'Inputs'!$B$30+'Inputs'!$B$31+'Inputs'!$B$32)/1000+'Inputs'!$B$21))^2+('Inputs'!$B$8/2)^2)))-'Results'!B7*(1+'Inputs'!$B$24)*(0.5*((((155-43)*MAX('Inputs'!$B$33,'Inputs'!$B$29+'Inputs'!$B$31+'Inputs'!$B$32,'Inputs'!$B$30+'Inputs'!$B$31+'Inputs'!$B$32)/1000+'Inputs'!$B$21+'Inputs'!$B$9+'Inputs'!$B$10)+'Inputs'!$B$7)/SQRT((((155-43)*MAX('Inputs'!$B$33,'Inputs'!$B$29+'Inputs'!$B$31+'Inputs'!$B$32,'Inputs'!$B$30+'Inputs'!$B$31+'Inputs'!$B$32)/1000+'Inputs'!$B$21+'Inputs'!$B$9+'Inputs'!$B$10)+'Inputs'!$B$7)^2+('Inputs'!$B$6/2)^2)-(((155-43)*MAX('Inputs'!$B$33,'Inputs'!$B$29+'Inputs'!$B$31+'Inputs'!$B$32,'Inputs'!$B$30+'Inputs'!$B$31+'Inputs'!$B$32)/1000+'Inputs'!$B$21+'Inputs'!$B$9+'Inputs'!$B$10))/SQRT((((155-43)*MAX('Inputs'!$B$33,'Inputs'!$B$29+'Inputs'!$B$31+'Inputs'!$B$32,'Inputs'!$B$30+'Inputs'!$B$31+'Inputs'!$B$32)/1000+'Inputs'!$B$21+'Inputs'!$B$9+'Inputs'!$B$10))^2+('Inputs'!$B$6/2)^2))))*'Results'!$B$8))),"")</x:f>
        <x:v>265.58565228859345</x:v>
      </x:c>
      <x:c r="O155" t="n">
        <x:f>IF(AND(ISNUMBER('Results'!C7),ISNUMBER('Results'!B7),ISNUMBER('Results'!$B$8),ISNUMBER('Inputs'!$B$6),ISNUMBER('Inputs'!$B$7),ISNUMBER('Inputs'!$B$8),ISNUMBER('Inputs'!$B$9),ISNUMBER('Inputs'!$B$10),ISNUMBER('Inputs'!$B$21),ISNUMBER('Inputs'!$B$24),ISNUMBER('Inputs'!$B$28)),((('Results'!C7*(1+'Inputs'!$B$24)*(0.5*((((155-43)*MAX('Inputs'!$B$33,'Inputs'!$B$29+'Inputs'!$B$31+'Inputs'!$B$32,'Inputs'!$B$30+'Inputs'!$B$31+'Inputs'!$B$32)/1000+'Inputs'!$B$21)+'Inputs'!$B$9)/SQRT((((155-43)*MAX('Inputs'!$B$33,'Inputs'!$B$29+'Inputs'!$B$31+'Inputs'!$B$32,'Inputs'!$B$30+'Inputs'!$B$31+'Inputs'!$B$32)/1000+'Inputs'!$B$21)+'Inputs'!$B$9)^2+('Inputs'!$B$8/2)^2)-(((155-43)*MAX('Inputs'!$B$33,'Inputs'!$B$29+'Inputs'!$B$31+'Inputs'!$B$32,'Inputs'!$B$30+'Inputs'!$B$31+'Inputs'!$B$32)/1000+'Inputs'!$B$21))/SQRT((((155-43)*MAX('Inputs'!$B$33,'Inputs'!$B$29+'Inputs'!$B$31+'Inputs'!$B$32,'Inputs'!$B$30+'Inputs'!$B$31+'Inputs'!$B$32)/1000+'Inputs'!$B$21))^2+('Inputs'!$B$8/2)^2)))-'Results'!B7*(1-'Inputs'!$B$24)*(0.5*((((155-43)*MAX('Inputs'!$B$33,'Inputs'!$B$29+'Inputs'!$B$31+'Inputs'!$B$32,'Inputs'!$B$30+'Inputs'!$B$31+'Inputs'!$B$32)/1000+'Inputs'!$B$21+'Inputs'!$B$9+'Inputs'!$B$10)+'Inputs'!$B$7)/SQRT((((155-43)*MAX('Inputs'!$B$33,'Inputs'!$B$29+'Inputs'!$B$31+'Inputs'!$B$32,'Inputs'!$B$30+'Inputs'!$B$31+'Inputs'!$B$32)/1000+'Inputs'!$B$21+'Inputs'!$B$9+'Inputs'!$B$10)+'Inputs'!$B$7)^2+('Inputs'!$B$6/2)^2)-(((155-43)*MAX('Inputs'!$B$33,'Inputs'!$B$29+'Inputs'!$B$31+'Inputs'!$B$32,'Inputs'!$B$30+'Inputs'!$B$31+'Inputs'!$B$32)/1000+'Inputs'!$B$21+'Inputs'!$B$9+'Inputs'!$B$10))/SQRT((((155-43)*MAX('Inputs'!$B$33,'Inputs'!$B$29+'Inputs'!$B$31+'Inputs'!$B$32,'Inputs'!$B$30+'Inputs'!$B$31+'Inputs'!$B$32)/1000+'Inputs'!$B$21+'Inputs'!$B$9+'Inputs'!$B$10))^2+('Inputs'!$B$6/2)^2))))*'Results'!$B$8)+'Inputs'!$B$28*ABS((('Results'!C7*(1+'Inputs'!$B$24)*(0.5*((((155-43)*MAX('Inputs'!$B$33,'Inputs'!$B$29+'Inputs'!$B$31+'Inputs'!$B$32,'Inputs'!$B$30+'Inputs'!$B$31+'Inputs'!$B$32)/1000+'Inputs'!$B$21)+'Inputs'!$B$9)/SQRT((((155-43)*MAX('Inputs'!$B$33,'Inputs'!$B$29+'Inputs'!$B$31+'Inputs'!$B$32,'Inputs'!$B$30+'Inputs'!$B$31+'Inputs'!$B$32)/1000+'Inputs'!$B$21)+'Inputs'!$B$9)^2+('Inputs'!$B$8/2)^2)-(((155-43)*MAX('Inputs'!$B$33,'Inputs'!$B$29+'Inputs'!$B$31+'Inputs'!$B$32,'Inputs'!$B$30+'Inputs'!$B$31+'Inputs'!$B$32)/1000+'Inputs'!$B$21))/SQRT((((155-43)*MAX('Inputs'!$B$33,'Inputs'!$B$29+'Inputs'!$B$31+'Inputs'!$B$32,'Inputs'!$B$30+'Inputs'!$B$31+'Inputs'!$B$32)/1000+'Inputs'!$B$21))^2+('Inputs'!$B$8/2)^2)))-'Results'!B7*(1-'Inputs'!$B$24)*(0.5*((((155-43)*MAX('Inputs'!$B$33,'Inputs'!$B$29+'Inputs'!$B$31+'Inputs'!$B$32,'Inputs'!$B$30+'Inputs'!$B$31+'Inputs'!$B$32)/1000+'Inputs'!$B$21+'Inputs'!$B$9+'Inputs'!$B$10)+'Inputs'!$B$7)/SQRT((((155-43)*MAX('Inputs'!$B$33,'Inputs'!$B$29+'Inputs'!$B$31+'Inputs'!$B$32,'Inputs'!$B$30+'Inputs'!$B$31+'Inputs'!$B$32)/1000+'Inputs'!$B$21+'Inputs'!$B$9+'Inputs'!$B$10)+'Inputs'!$B$7)^2+('Inputs'!$B$6/2)^2)-(((155-43)*MAX('Inputs'!$B$33,'Inputs'!$B$29+'Inputs'!$B$31+'Inputs'!$B$32,'Inputs'!$B$30+'Inputs'!$B$31+'Inputs'!$B$32)/1000+'Inputs'!$B$21+'Inputs'!$B$9+'Inputs'!$B$10))/SQRT((((155-43)*MAX('Inputs'!$B$33,'Inputs'!$B$29+'Inputs'!$B$31+'Inputs'!$B$32,'Inputs'!$B$30+'Inputs'!$B$31+'Inputs'!$B$32)/1000+'Inputs'!$B$21+'Inputs'!$B$9+'Inputs'!$B$10))^2+('Inputs'!$B$6/2)^2))))*'Results'!$B$8))),"")</x:f>
        <x:v>312.1573208990499</x:v>
      </x:c>
      <x:c r="P155" t="n">
        <x:f>IF(AND(MAX(J155,J154)&gt;0,J155&gt;J154+0.00000001),1,0)</x:f>
        <x:v>0</x:v>
      </x:c>
      <x:c r="Q155" t="n">
        <x:f>IF(AND(MAX(K155,K154)&gt;0,K155&gt;K154+0.00000001),1,0)</x:f>
        <x:v>0</x:v>
      </x:c>
      <x:c r="R155" t="n">
        <x:f>IF(AND(MAX(L155,L154)&gt;0,L155&gt;L154+0.00000001),1,0)</x:f>
        <x:v>0</x:v>
      </x:c>
      <x:c r="S155" t="n">
        <x:f>IF(AND(MAX(M155,M154)&gt;0,M155&gt;M154+0.00000001),1,0)</x:f>
        <x:v>0</x:v>
      </x:c>
      <x:c r="T155" t="n">
        <x:f>IF(AND(MAX(N155,N154)&gt;0,N155&gt;N154+0.00000001),1,0)</x:f>
        <x:v>0</x:v>
      </x:c>
      <x:c r="U155" t="n">
        <x:f>IF(AND(MAX(O155,O154)&gt;0,O155&gt;O154+0.00000001),1,0)</x:f>
        <x:v>0</x:v>
      </x:c>
    </x:row>
    <x:row r="156">
      <x:c r="J156" t="n">
        <x:f>IF(AND(ISNUMBER('Results'!B7),ISNUMBER('Results'!C7),ISNUMBER('Results'!$B$8),ISNUMBER('Inputs'!$B$6),ISNUMBER('Inputs'!$B$7),ISNUMBER('Inputs'!$B$8),ISNUMBER('Inputs'!$B$9),ISNUMBER('Inputs'!$B$10),ISNUMBER('Inputs'!$B$21),ISNUMBER('Inputs'!$B$24),ISNUMBER('Inputs'!$B$28)),(('Results'!B7*(0.5*((((156-43)*MAX('Inputs'!$B$33,'Inputs'!$B$29+'Inputs'!$B$31+'Inputs'!$B$32,'Inputs'!$B$30+'Inputs'!$B$31+'Inputs'!$B$32)/1000+'Inputs'!$B$21)+'Inputs'!$B$7)/SQRT((((156-43)*MAX('Inputs'!$B$33,'Inputs'!$B$29+'Inputs'!$B$31+'Inputs'!$B$32,'Inputs'!$B$30+'Inputs'!$B$31+'Inputs'!$B$32)/1000+'Inputs'!$B$21)+'Inputs'!$B$7)^2+('Inputs'!$B$6/2)^2)-(((156-43)*MAX('Inputs'!$B$33,'Inputs'!$B$29+'Inputs'!$B$31+'Inputs'!$B$32,'Inputs'!$B$30+'Inputs'!$B$31+'Inputs'!$B$32)/1000+'Inputs'!$B$21))/SQRT((((156-43)*MAX('Inputs'!$B$33,'Inputs'!$B$29+'Inputs'!$B$31+'Inputs'!$B$32,'Inputs'!$B$30+'Inputs'!$B$31+'Inputs'!$B$32)/1000+'Inputs'!$B$21))^2+('Inputs'!$B$6/2)^2)))-'Results'!C7*(0.5*((((156-43)*MAX('Inputs'!$B$33,'Inputs'!$B$29+'Inputs'!$B$31+'Inputs'!$B$32,'Inputs'!$B$30+'Inputs'!$B$31+'Inputs'!$B$32)/1000+'Inputs'!$B$21+'Inputs'!$B$7+'Inputs'!$B$10)+'Inputs'!$B$9)/SQRT((((156-43)*MAX('Inputs'!$B$33,'Inputs'!$B$29+'Inputs'!$B$31+'Inputs'!$B$32,'Inputs'!$B$30+'Inputs'!$B$31+'Inputs'!$B$32)/1000+'Inputs'!$B$21+'Inputs'!$B$7+'Inputs'!$B$10)+'Inputs'!$B$9)^2+('Inputs'!$B$8/2)^2)-(((156-43)*MAX('Inputs'!$B$33,'Inputs'!$B$29+'Inputs'!$B$31+'Inputs'!$B$32,'Inputs'!$B$30+'Inputs'!$B$31+'Inputs'!$B$32)/1000+'Inputs'!$B$21+'Inputs'!$B$7+'Inputs'!$B$10))/SQRT((((156-43)*MAX('Inputs'!$B$33,'Inputs'!$B$29+'Inputs'!$B$31+'Inputs'!$B$32,'Inputs'!$B$30+'Inputs'!$B$31+'Inputs'!$B$32)/1000+'Inputs'!$B$21+'Inputs'!$B$7+'Inputs'!$B$10))^2+('Inputs'!$B$8/2)^2))))*'Results'!$B$8),"")</x:f>
        <x:v>292.0611366994393</x:v>
      </x:c>
      <x:c r="K156" t="n">
        <x:f>IF(AND(ISNUMBER('Results'!B7),ISNUMBER('Results'!C7),ISNUMBER('Results'!$B$8),ISNUMBER('Inputs'!$B$6),ISNUMBER('Inputs'!$B$7),ISNUMBER('Inputs'!$B$8),ISNUMBER('Inputs'!$B$9),ISNUMBER('Inputs'!$B$10),ISNUMBER('Inputs'!$B$21),ISNUMBER('Inputs'!$B$24),ISNUMBER('Inputs'!$B$28)),((('Results'!B7*(1-'Inputs'!$B$24)*(0.5*((((156-43)*MAX('Inputs'!$B$33,'Inputs'!$B$29+'Inputs'!$B$31+'Inputs'!$B$32,'Inputs'!$B$30+'Inputs'!$B$31+'Inputs'!$B$32)/1000+'Inputs'!$B$21)+'Inputs'!$B$7)/SQRT((((156-43)*MAX('Inputs'!$B$33,'Inputs'!$B$29+'Inputs'!$B$31+'Inputs'!$B$32,'Inputs'!$B$30+'Inputs'!$B$31+'Inputs'!$B$32)/1000+'Inputs'!$B$21)+'Inputs'!$B$7)^2+('Inputs'!$B$6/2)^2)-(((156-43)*MAX('Inputs'!$B$33,'Inputs'!$B$29+'Inputs'!$B$31+'Inputs'!$B$32,'Inputs'!$B$30+'Inputs'!$B$31+'Inputs'!$B$32)/1000+'Inputs'!$B$21))/SQRT((((156-43)*MAX('Inputs'!$B$33,'Inputs'!$B$29+'Inputs'!$B$31+'Inputs'!$B$32,'Inputs'!$B$30+'Inputs'!$B$31+'Inputs'!$B$32)/1000+'Inputs'!$B$21))^2+('Inputs'!$B$6/2)^2)))-'Results'!C7*(1+'Inputs'!$B$24)*(0.5*((((156-43)*MAX('Inputs'!$B$33,'Inputs'!$B$29+'Inputs'!$B$31+'Inputs'!$B$32,'Inputs'!$B$30+'Inputs'!$B$31+'Inputs'!$B$32)/1000+'Inputs'!$B$21+'Inputs'!$B$7+'Inputs'!$B$10)+'Inputs'!$B$9)/SQRT((((156-43)*MAX('Inputs'!$B$33,'Inputs'!$B$29+'Inputs'!$B$31+'Inputs'!$B$32,'Inputs'!$B$30+'Inputs'!$B$31+'Inputs'!$B$32)/1000+'Inputs'!$B$21+'Inputs'!$B$7+'Inputs'!$B$10)+'Inputs'!$B$9)^2+('Inputs'!$B$8/2)^2)-(((156-43)*MAX('Inputs'!$B$33,'Inputs'!$B$29+'Inputs'!$B$31+'Inputs'!$B$32,'Inputs'!$B$30+'Inputs'!$B$31+'Inputs'!$B$32)/1000+'Inputs'!$B$21+'Inputs'!$B$7+'Inputs'!$B$10))/SQRT((((156-43)*MAX('Inputs'!$B$33,'Inputs'!$B$29+'Inputs'!$B$31+'Inputs'!$B$32,'Inputs'!$B$30+'Inputs'!$B$31+'Inputs'!$B$32)/1000+'Inputs'!$B$21+'Inputs'!$B$7+'Inputs'!$B$10))^2+('Inputs'!$B$8/2)^2))))*'Results'!$B$8)-'Inputs'!$B$28*ABS((('Results'!B7*(1-'Inputs'!$B$24)*(0.5*((((156-43)*MAX('Inputs'!$B$33,'Inputs'!$B$29+'Inputs'!$B$31+'Inputs'!$B$32,'Inputs'!$B$30+'Inputs'!$B$31+'Inputs'!$B$32)/1000+'Inputs'!$B$21)+'Inputs'!$B$7)/SQRT((((156-43)*MAX('Inputs'!$B$33,'Inputs'!$B$29+'Inputs'!$B$31+'Inputs'!$B$32,'Inputs'!$B$30+'Inputs'!$B$31+'Inputs'!$B$32)/1000+'Inputs'!$B$21)+'Inputs'!$B$7)^2+('Inputs'!$B$6/2)^2)-(((156-43)*MAX('Inputs'!$B$33,'Inputs'!$B$29+'Inputs'!$B$31+'Inputs'!$B$32,'Inputs'!$B$30+'Inputs'!$B$31+'Inputs'!$B$32)/1000+'Inputs'!$B$21))/SQRT((((156-43)*MAX('Inputs'!$B$33,'Inputs'!$B$29+'Inputs'!$B$31+'Inputs'!$B$32,'Inputs'!$B$30+'Inputs'!$B$31+'Inputs'!$B$32)/1000+'Inputs'!$B$21))^2+('Inputs'!$B$6/2)^2)))-'Results'!C7*(1+'Inputs'!$B$24)*(0.5*((((156-43)*MAX('Inputs'!$B$33,'Inputs'!$B$29+'Inputs'!$B$31+'Inputs'!$B$32,'Inputs'!$B$30+'Inputs'!$B$31+'Inputs'!$B$32)/1000+'Inputs'!$B$21+'Inputs'!$B$7+'Inputs'!$B$10)+'Inputs'!$B$9)/SQRT((((156-43)*MAX('Inputs'!$B$33,'Inputs'!$B$29+'Inputs'!$B$31+'Inputs'!$B$32,'Inputs'!$B$30+'Inputs'!$B$31+'Inputs'!$B$32)/1000+'Inputs'!$B$21+'Inputs'!$B$7+'Inputs'!$B$10)+'Inputs'!$B$9)^2+('Inputs'!$B$8/2)^2)-(((156-43)*MAX('Inputs'!$B$33,'Inputs'!$B$29+'Inputs'!$B$31+'Inputs'!$B$32,'Inputs'!$B$30+'Inputs'!$B$31+'Inputs'!$B$32)/1000+'Inputs'!$B$21+'Inputs'!$B$7+'Inputs'!$B$10))/SQRT((((156-43)*MAX('Inputs'!$B$33,'Inputs'!$B$29+'Inputs'!$B$31+'Inputs'!$B$32,'Inputs'!$B$30+'Inputs'!$B$31+'Inputs'!$B$32)/1000+'Inputs'!$B$21+'Inputs'!$B$7+'Inputs'!$B$10))^2+('Inputs'!$B$8/2)^2))))*'Results'!$B$8))),"")</x:f>
        <x:v>269.05841748390696</x:v>
      </x:c>
      <x:c r="L156" t="n">
        <x:f>IF(AND(ISNUMBER('Results'!B7),ISNUMBER('Results'!C7),ISNUMBER('Results'!$B$8),ISNUMBER('Inputs'!$B$6),ISNUMBER('Inputs'!$B$7),ISNUMBER('Inputs'!$B$8),ISNUMBER('Inputs'!$B$9),ISNUMBER('Inputs'!$B$10),ISNUMBER('Inputs'!$B$21),ISNUMBER('Inputs'!$B$24),ISNUMBER('Inputs'!$B$28)),((('Results'!B7*(1+'Inputs'!$B$24)*(0.5*((((156-43)*MAX('Inputs'!$B$33,'Inputs'!$B$29+'Inputs'!$B$31+'Inputs'!$B$32,'Inputs'!$B$30+'Inputs'!$B$31+'Inputs'!$B$32)/1000+'Inputs'!$B$21)+'Inputs'!$B$7)/SQRT((((156-43)*MAX('Inputs'!$B$33,'Inputs'!$B$29+'Inputs'!$B$31+'Inputs'!$B$32,'Inputs'!$B$30+'Inputs'!$B$31+'Inputs'!$B$32)/1000+'Inputs'!$B$21)+'Inputs'!$B$7)^2+('Inputs'!$B$6/2)^2)-(((156-43)*MAX('Inputs'!$B$33,'Inputs'!$B$29+'Inputs'!$B$31+'Inputs'!$B$32,'Inputs'!$B$30+'Inputs'!$B$31+'Inputs'!$B$32)/1000+'Inputs'!$B$21))/SQRT((((156-43)*MAX('Inputs'!$B$33,'Inputs'!$B$29+'Inputs'!$B$31+'Inputs'!$B$32,'Inputs'!$B$30+'Inputs'!$B$31+'Inputs'!$B$32)/1000+'Inputs'!$B$21))^2+('Inputs'!$B$6/2)^2)))-'Results'!C7*(1-'Inputs'!$B$24)*(0.5*((((156-43)*MAX('Inputs'!$B$33,'Inputs'!$B$29+'Inputs'!$B$31+'Inputs'!$B$32,'Inputs'!$B$30+'Inputs'!$B$31+'Inputs'!$B$32)/1000+'Inputs'!$B$21+'Inputs'!$B$7+'Inputs'!$B$10)+'Inputs'!$B$9)/SQRT((((156-43)*MAX('Inputs'!$B$33,'Inputs'!$B$29+'Inputs'!$B$31+'Inputs'!$B$32,'Inputs'!$B$30+'Inputs'!$B$31+'Inputs'!$B$32)/1000+'Inputs'!$B$21+'Inputs'!$B$7+'Inputs'!$B$10)+'Inputs'!$B$9)^2+('Inputs'!$B$8/2)^2)-(((156-43)*MAX('Inputs'!$B$33,'Inputs'!$B$29+'Inputs'!$B$31+'Inputs'!$B$32,'Inputs'!$B$30+'Inputs'!$B$31+'Inputs'!$B$32)/1000+'Inputs'!$B$21+'Inputs'!$B$7+'Inputs'!$B$10))/SQRT((((156-43)*MAX('Inputs'!$B$33,'Inputs'!$B$29+'Inputs'!$B$31+'Inputs'!$B$32,'Inputs'!$B$30+'Inputs'!$B$31+'Inputs'!$B$32)/1000+'Inputs'!$B$21+'Inputs'!$B$7+'Inputs'!$B$10))^2+('Inputs'!$B$8/2)^2))))*'Results'!$B$8)+'Inputs'!$B$28*ABS((('Results'!B7*(1+'Inputs'!$B$24)*(0.5*((((156-43)*MAX('Inputs'!$B$33,'Inputs'!$B$29+'Inputs'!$B$31+'Inputs'!$B$32,'Inputs'!$B$30+'Inputs'!$B$31+'Inputs'!$B$32)/1000+'Inputs'!$B$21)+'Inputs'!$B$7)/SQRT((((156-43)*MAX('Inputs'!$B$33,'Inputs'!$B$29+'Inputs'!$B$31+'Inputs'!$B$32,'Inputs'!$B$30+'Inputs'!$B$31+'Inputs'!$B$32)/1000+'Inputs'!$B$21)+'Inputs'!$B$7)^2+('Inputs'!$B$6/2)^2)-(((156-43)*MAX('Inputs'!$B$33,'Inputs'!$B$29+'Inputs'!$B$31+'Inputs'!$B$32,'Inputs'!$B$30+'Inputs'!$B$31+'Inputs'!$B$32)/1000+'Inputs'!$B$21))/SQRT((((156-43)*MAX('Inputs'!$B$33,'Inputs'!$B$29+'Inputs'!$B$31+'Inputs'!$B$32,'Inputs'!$B$30+'Inputs'!$B$31+'Inputs'!$B$32)/1000+'Inputs'!$B$21))^2+('Inputs'!$B$6/2)^2)))-'Results'!C7*(1-'Inputs'!$B$24)*(0.5*((((156-43)*MAX('Inputs'!$B$33,'Inputs'!$B$29+'Inputs'!$B$31+'Inputs'!$B$32,'Inputs'!$B$30+'Inputs'!$B$31+'Inputs'!$B$32)/1000+'Inputs'!$B$21+'Inputs'!$B$7+'Inputs'!$B$10)+'Inputs'!$B$9)/SQRT((((156-43)*MAX('Inputs'!$B$33,'Inputs'!$B$29+'Inputs'!$B$31+'Inputs'!$B$32,'Inputs'!$B$30+'Inputs'!$B$31+'Inputs'!$B$32)/1000+'Inputs'!$B$21+'Inputs'!$B$7+'Inputs'!$B$10)+'Inputs'!$B$9)^2+('Inputs'!$B$8/2)^2)-(((156-43)*MAX('Inputs'!$B$33,'Inputs'!$B$29+'Inputs'!$B$31+'Inputs'!$B$32,'Inputs'!$B$30+'Inputs'!$B$31+'Inputs'!$B$32)/1000+'Inputs'!$B$21+'Inputs'!$B$7+'Inputs'!$B$10))/SQRT((((156-43)*MAX('Inputs'!$B$33,'Inputs'!$B$29+'Inputs'!$B$31+'Inputs'!$B$32,'Inputs'!$B$30+'Inputs'!$B$31+'Inputs'!$B$32)/1000+'Inputs'!$B$21+'Inputs'!$B$7+'Inputs'!$B$10))^2+('Inputs'!$B$8/2)^2))))*'Results'!$B$8))),"")</x:f>
        <x:v>315.9480309023992</x:v>
      </x:c>
      <x:c r="M156" t="n">
        <x:f>IF(AND(ISNUMBER('Results'!C7),ISNUMBER('Results'!B7),ISNUMBER('Results'!$B$8),ISNUMBER('Inputs'!$B$6),ISNUMBER('Inputs'!$B$7),ISNUMBER('Inputs'!$B$8),ISNUMBER('Inputs'!$B$9),ISNUMBER('Inputs'!$B$10),ISNUMBER('Inputs'!$B$21),ISNUMBER('Inputs'!$B$24),ISNUMBER('Inputs'!$B$28)),(('Results'!C7*(0.5*((((156-43)*MAX('Inputs'!$B$33,'Inputs'!$B$29+'Inputs'!$B$31+'Inputs'!$B$32,'Inputs'!$B$30+'Inputs'!$B$31+'Inputs'!$B$32)/1000+'Inputs'!$B$21)+'Inputs'!$B$9)/SQRT((((156-43)*MAX('Inputs'!$B$33,'Inputs'!$B$29+'Inputs'!$B$31+'Inputs'!$B$32,'Inputs'!$B$30+'Inputs'!$B$31+'Inputs'!$B$32)/1000+'Inputs'!$B$21)+'Inputs'!$B$9)^2+('Inputs'!$B$8/2)^2)-(((156-43)*MAX('Inputs'!$B$33,'Inputs'!$B$29+'Inputs'!$B$31+'Inputs'!$B$32,'Inputs'!$B$30+'Inputs'!$B$31+'Inputs'!$B$32)/1000+'Inputs'!$B$21))/SQRT((((156-43)*MAX('Inputs'!$B$33,'Inputs'!$B$29+'Inputs'!$B$31+'Inputs'!$B$32,'Inputs'!$B$30+'Inputs'!$B$31+'Inputs'!$B$32)/1000+'Inputs'!$B$21))^2+('Inputs'!$B$8/2)^2)))-'Results'!B7*(0.5*((((156-43)*MAX('Inputs'!$B$33,'Inputs'!$B$29+'Inputs'!$B$31+'Inputs'!$B$32,'Inputs'!$B$30+'Inputs'!$B$31+'Inputs'!$B$32)/1000+'Inputs'!$B$21+'Inputs'!$B$9+'Inputs'!$B$10)+'Inputs'!$B$7)/SQRT((((156-43)*MAX('Inputs'!$B$33,'Inputs'!$B$29+'Inputs'!$B$31+'Inputs'!$B$32,'Inputs'!$B$30+'Inputs'!$B$31+'Inputs'!$B$32)/1000+'Inputs'!$B$21+'Inputs'!$B$9+'Inputs'!$B$10)+'Inputs'!$B$7)^2+('Inputs'!$B$6/2)^2)-(((156-43)*MAX('Inputs'!$B$33,'Inputs'!$B$29+'Inputs'!$B$31+'Inputs'!$B$32,'Inputs'!$B$30+'Inputs'!$B$31+'Inputs'!$B$32)/1000+'Inputs'!$B$21+'Inputs'!$B$9+'Inputs'!$B$10))/SQRT((((156-43)*MAX('Inputs'!$B$33,'Inputs'!$B$29+'Inputs'!$B$31+'Inputs'!$B$32,'Inputs'!$B$30+'Inputs'!$B$31+'Inputs'!$B$32)/1000+'Inputs'!$B$21+'Inputs'!$B$9+'Inputs'!$B$10))^2+('Inputs'!$B$6/2)^2))))*'Results'!$B$8),"")</x:f>
        <x:v>283.18876920128474</x:v>
      </x:c>
      <x:c r="N156" t="n">
        <x:f>IF(AND(ISNUMBER('Results'!C7),ISNUMBER('Results'!B7),ISNUMBER('Results'!$B$8),ISNUMBER('Inputs'!$B$6),ISNUMBER('Inputs'!$B$7),ISNUMBER('Inputs'!$B$8),ISNUMBER('Inputs'!$B$9),ISNUMBER('Inputs'!$B$10),ISNUMBER('Inputs'!$B$21),ISNUMBER('Inputs'!$B$24),ISNUMBER('Inputs'!$B$28)),((('Results'!C7*(1-'Inputs'!$B$24)*(0.5*((((156-43)*MAX('Inputs'!$B$33,'Inputs'!$B$29+'Inputs'!$B$31+'Inputs'!$B$32,'Inputs'!$B$30+'Inputs'!$B$31+'Inputs'!$B$32)/1000+'Inputs'!$B$21)+'Inputs'!$B$9)/SQRT((((156-43)*MAX('Inputs'!$B$33,'Inputs'!$B$29+'Inputs'!$B$31+'Inputs'!$B$32,'Inputs'!$B$30+'Inputs'!$B$31+'Inputs'!$B$32)/1000+'Inputs'!$B$21)+'Inputs'!$B$9)^2+('Inputs'!$B$8/2)^2)-(((156-43)*MAX('Inputs'!$B$33,'Inputs'!$B$29+'Inputs'!$B$31+'Inputs'!$B$32,'Inputs'!$B$30+'Inputs'!$B$31+'Inputs'!$B$32)/1000+'Inputs'!$B$21))/SQRT((((156-43)*MAX('Inputs'!$B$33,'Inputs'!$B$29+'Inputs'!$B$31+'Inputs'!$B$32,'Inputs'!$B$30+'Inputs'!$B$31+'Inputs'!$B$32)/1000+'Inputs'!$B$21))^2+('Inputs'!$B$8/2)^2)))-'Results'!B7*(1+'Inputs'!$B$24)*(0.5*((((156-43)*MAX('Inputs'!$B$33,'Inputs'!$B$29+'Inputs'!$B$31+'Inputs'!$B$32,'Inputs'!$B$30+'Inputs'!$B$31+'Inputs'!$B$32)/1000+'Inputs'!$B$21+'Inputs'!$B$9+'Inputs'!$B$10)+'Inputs'!$B$7)/SQRT((((156-43)*MAX('Inputs'!$B$33,'Inputs'!$B$29+'Inputs'!$B$31+'Inputs'!$B$32,'Inputs'!$B$30+'Inputs'!$B$31+'Inputs'!$B$32)/1000+'Inputs'!$B$21+'Inputs'!$B$9+'Inputs'!$B$10)+'Inputs'!$B$7)^2+('Inputs'!$B$6/2)^2)-(((156-43)*MAX('Inputs'!$B$33,'Inputs'!$B$29+'Inputs'!$B$31+'Inputs'!$B$32,'Inputs'!$B$30+'Inputs'!$B$31+'Inputs'!$B$32)/1000+'Inputs'!$B$21+'Inputs'!$B$9+'Inputs'!$B$10))/SQRT((((156-43)*MAX('Inputs'!$B$33,'Inputs'!$B$29+'Inputs'!$B$31+'Inputs'!$B$32,'Inputs'!$B$30+'Inputs'!$B$31+'Inputs'!$B$32)/1000+'Inputs'!$B$21+'Inputs'!$B$9+'Inputs'!$B$10))^2+('Inputs'!$B$6/2)^2))))*'Results'!$B$8)-'Inputs'!$B$28*ABS((('Results'!C7*(1-'Inputs'!$B$24)*(0.5*((((156-43)*MAX('Inputs'!$B$33,'Inputs'!$B$29+'Inputs'!$B$31+'Inputs'!$B$32,'Inputs'!$B$30+'Inputs'!$B$31+'Inputs'!$B$32)/1000+'Inputs'!$B$21)+'Inputs'!$B$9)/SQRT((((156-43)*MAX('Inputs'!$B$33,'Inputs'!$B$29+'Inputs'!$B$31+'Inputs'!$B$32,'Inputs'!$B$30+'Inputs'!$B$31+'Inputs'!$B$32)/1000+'Inputs'!$B$21)+'Inputs'!$B$9)^2+('Inputs'!$B$8/2)^2)-(((156-43)*MAX('Inputs'!$B$33,'Inputs'!$B$29+'Inputs'!$B$31+'Inputs'!$B$32,'Inputs'!$B$30+'Inputs'!$B$31+'Inputs'!$B$32)/1000+'Inputs'!$B$21))/SQRT((((156-43)*MAX('Inputs'!$B$33,'Inputs'!$B$29+'Inputs'!$B$31+'Inputs'!$B$32,'Inputs'!$B$30+'Inputs'!$B$31+'Inputs'!$B$32)/1000+'Inputs'!$B$21))^2+('Inputs'!$B$8/2)^2)))-'Results'!B7*(1+'Inputs'!$B$24)*(0.5*((((156-43)*MAX('Inputs'!$B$33,'Inputs'!$B$29+'Inputs'!$B$31+'Inputs'!$B$32,'Inputs'!$B$30+'Inputs'!$B$31+'Inputs'!$B$32)/1000+'Inputs'!$B$21+'Inputs'!$B$9+'Inputs'!$B$10)+'Inputs'!$B$7)/SQRT((((156-43)*MAX('Inputs'!$B$33,'Inputs'!$B$29+'Inputs'!$B$31+'Inputs'!$B$32,'Inputs'!$B$30+'Inputs'!$B$31+'Inputs'!$B$32)/1000+'Inputs'!$B$21+'Inputs'!$B$9+'Inputs'!$B$10)+'Inputs'!$B$7)^2+('Inputs'!$B$6/2)^2)-(((156-43)*MAX('Inputs'!$B$33,'Inputs'!$B$29+'Inputs'!$B$31+'Inputs'!$B$32,'Inputs'!$B$30+'Inputs'!$B$31+'Inputs'!$B$32)/1000+'Inputs'!$B$21+'Inputs'!$B$9+'Inputs'!$B$10))/SQRT((((156-43)*MAX('Inputs'!$B$33,'Inputs'!$B$29+'Inputs'!$B$31+'Inputs'!$B$32,'Inputs'!$B$30+'Inputs'!$B$31+'Inputs'!$B$32)/1000+'Inputs'!$B$21+'Inputs'!$B$9+'Inputs'!$B$10))^2+('Inputs'!$B$6/2)^2))))*'Results'!$B$8))),"")</x:f>
        <x:v>260.74006985775213</x:v>
      </x:c>
      <x:c r="O156" t="n">
        <x:f>IF(AND(ISNUMBER('Results'!C7),ISNUMBER('Results'!B7),ISNUMBER('Results'!$B$8),ISNUMBER('Inputs'!$B$6),ISNUMBER('Inputs'!$B$7),ISNUMBER('Inputs'!$B$8),ISNUMBER('Inputs'!$B$9),ISNUMBER('Inputs'!$B$10),ISNUMBER('Inputs'!$B$21),ISNUMBER('Inputs'!$B$24),ISNUMBER('Inputs'!$B$28)),((('Results'!C7*(1+'Inputs'!$B$24)*(0.5*((((156-43)*MAX('Inputs'!$B$33,'Inputs'!$B$29+'Inputs'!$B$31+'Inputs'!$B$32,'Inputs'!$B$30+'Inputs'!$B$31+'Inputs'!$B$32)/1000+'Inputs'!$B$21)+'Inputs'!$B$9)/SQRT((((156-43)*MAX('Inputs'!$B$33,'Inputs'!$B$29+'Inputs'!$B$31+'Inputs'!$B$32,'Inputs'!$B$30+'Inputs'!$B$31+'Inputs'!$B$32)/1000+'Inputs'!$B$21)+'Inputs'!$B$9)^2+('Inputs'!$B$8/2)^2)-(((156-43)*MAX('Inputs'!$B$33,'Inputs'!$B$29+'Inputs'!$B$31+'Inputs'!$B$32,'Inputs'!$B$30+'Inputs'!$B$31+'Inputs'!$B$32)/1000+'Inputs'!$B$21))/SQRT((((156-43)*MAX('Inputs'!$B$33,'Inputs'!$B$29+'Inputs'!$B$31+'Inputs'!$B$32,'Inputs'!$B$30+'Inputs'!$B$31+'Inputs'!$B$32)/1000+'Inputs'!$B$21))^2+('Inputs'!$B$8/2)^2)))-'Results'!B7*(1-'Inputs'!$B$24)*(0.5*((((156-43)*MAX('Inputs'!$B$33,'Inputs'!$B$29+'Inputs'!$B$31+'Inputs'!$B$32,'Inputs'!$B$30+'Inputs'!$B$31+'Inputs'!$B$32)/1000+'Inputs'!$B$21+'Inputs'!$B$9+'Inputs'!$B$10)+'Inputs'!$B$7)/SQRT((((156-43)*MAX('Inputs'!$B$33,'Inputs'!$B$29+'Inputs'!$B$31+'Inputs'!$B$32,'Inputs'!$B$30+'Inputs'!$B$31+'Inputs'!$B$32)/1000+'Inputs'!$B$21+'Inputs'!$B$9+'Inputs'!$B$10)+'Inputs'!$B$7)^2+('Inputs'!$B$6/2)^2)-(((156-43)*MAX('Inputs'!$B$33,'Inputs'!$B$29+'Inputs'!$B$31+'Inputs'!$B$32,'Inputs'!$B$30+'Inputs'!$B$31+'Inputs'!$B$32)/1000+'Inputs'!$B$21+'Inputs'!$B$9+'Inputs'!$B$10))/SQRT((((156-43)*MAX('Inputs'!$B$33,'Inputs'!$B$29+'Inputs'!$B$31+'Inputs'!$B$32,'Inputs'!$B$30+'Inputs'!$B$31+'Inputs'!$B$32)/1000+'Inputs'!$B$21+'Inputs'!$B$9+'Inputs'!$B$10))^2+('Inputs'!$B$6/2)^2))))*'Results'!$B$8)+'Inputs'!$B$28*ABS((('Results'!C7*(1+'Inputs'!$B$24)*(0.5*((((156-43)*MAX('Inputs'!$B$33,'Inputs'!$B$29+'Inputs'!$B$31+'Inputs'!$B$32,'Inputs'!$B$30+'Inputs'!$B$31+'Inputs'!$B$32)/1000+'Inputs'!$B$21)+'Inputs'!$B$9)/SQRT((((156-43)*MAX('Inputs'!$B$33,'Inputs'!$B$29+'Inputs'!$B$31+'Inputs'!$B$32,'Inputs'!$B$30+'Inputs'!$B$31+'Inputs'!$B$32)/1000+'Inputs'!$B$21)+'Inputs'!$B$9)^2+('Inputs'!$B$8/2)^2)-(((156-43)*MAX('Inputs'!$B$33,'Inputs'!$B$29+'Inputs'!$B$31+'Inputs'!$B$32,'Inputs'!$B$30+'Inputs'!$B$31+'Inputs'!$B$32)/1000+'Inputs'!$B$21))/SQRT((((156-43)*MAX('Inputs'!$B$33,'Inputs'!$B$29+'Inputs'!$B$31+'Inputs'!$B$32,'Inputs'!$B$30+'Inputs'!$B$31+'Inputs'!$B$32)/1000+'Inputs'!$B$21))^2+('Inputs'!$B$8/2)^2)))-'Results'!B7*(1-'Inputs'!$B$24)*(0.5*((((156-43)*MAX('Inputs'!$B$33,'Inputs'!$B$29+'Inputs'!$B$31+'Inputs'!$B$32,'Inputs'!$B$30+'Inputs'!$B$31+'Inputs'!$B$32)/1000+'Inputs'!$B$21+'Inputs'!$B$9+'Inputs'!$B$10)+'Inputs'!$B$7)/SQRT((((156-43)*MAX('Inputs'!$B$33,'Inputs'!$B$29+'Inputs'!$B$31+'Inputs'!$B$32,'Inputs'!$B$30+'Inputs'!$B$31+'Inputs'!$B$32)/1000+'Inputs'!$B$21+'Inputs'!$B$9+'Inputs'!$B$10)+'Inputs'!$B$7)^2+('Inputs'!$B$6/2)^2)-(((156-43)*MAX('Inputs'!$B$33,'Inputs'!$B$29+'Inputs'!$B$31+'Inputs'!$B$32,'Inputs'!$B$30+'Inputs'!$B$31+'Inputs'!$B$32)/1000+'Inputs'!$B$21+'Inputs'!$B$9+'Inputs'!$B$10))/SQRT((((156-43)*MAX('Inputs'!$B$33,'Inputs'!$B$29+'Inputs'!$B$31+'Inputs'!$B$32,'Inputs'!$B$30+'Inputs'!$B$31+'Inputs'!$B$32)/1000+'Inputs'!$B$21+'Inputs'!$B$9+'Inputs'!$B$10))^2+('Inputs'!$B$6/2)^2))))*'Results'!$B$8))),"")</x:f>
        <x:v>306.5100223220246</x:v>
      </x:c>
      <x:c r="P156" t="n">
        <x:f>IF(AND(MAX(J156,J155)&gt;0,J156&gt;J155+0.00000001),1,0)</x:f>
        <x:v>0</x:v>
      </x:c>
      <x:c r="Q156" t="n">
        <x:f>IF(AND(MAX(K156,K155)&gt;0,K156&gt;K155+0.00000001),1,0)</x:f>
        <x:v>0</x:v>
      </x:c>
      <x:c r="R156" t="n">
        <x:f>IF(AND(MAX(L156,L155)&gt;0,L156&gt;L155+0.00000001),1,0)</x:f>
        <x:v>0</x:v>
      </x:c>
      <x:c r="S156" t="n">
        <x:f>IF(AND(MAX(M156,M155)&gt;0,M156&gt;M155+0.00000001),1,0)</x:f>
        <x:v>0</x:v>
      </x:c>
      <x:c r="T156" t="n">
        <x:f>IF(AND(MAX(N156,N155)&gt;0,N156&gt;N155+0.00000001),1,0)</x:f>
        <x:v>0</x:v>
      </x:c>
      <x:c r="U156" t="n">
        <x:f>IF(AND(MAX(O156,O155)&gt;0,O156&gt;O155+0.00000001),1,0)</x:f>
        <x:v>0</x:v>
      </x:c>
    </x:row>
    <x:row r="157">
      <x:c r="J157" t="n">
        <x:f>IF(AND(ISNUMBER('Results'!B7),ISNUMBER('Results'!C7),ISNUMBER('Results'!$B$8),ISNUMBER('Inputs'!$B$6),ISNUMBER('Inputs'!$B$7),ISNUMBER('Inputs'!$B$8),ISNUMBER('Inputs'!$B$9),ISNUMBER('Inputs'!$B$10),ISNUMBER('Inputs'!$B$21),ISNUMBER('Inputs'!$B$24),ISNUMBER('Inputs'!$B$28)),(('Results'!B7*(0.5*((((157-43)*MAX('Inputs'!$B$33,'Inputs'!$B$29+'Inputs'!$B$31+'Inputs'!$B$32,'Inputs'!$B$30+'Inputs'!$B$31+'Inputs'!$B$32)/1000+'Inputs'!$B$21)+'Inputs'!$B$7)/SQRT((((157-43)*MAX('Inputs'!$B$33,'Inputs'!$B$29+'Inputs'!$B$31+'Inputs'!$B$32,'Inputs'!$B$30+'Inputs'!$B$31+'Inputs'!$B$32)/1000+'Inputs'!$B$21)+'Inputs'!$B$7)^2+('Inputs'!$B$6/2)^2)-(((157-43)*MAX('Inputs'!$B$33,'Inputs'!$B$29+'Inputs'!$B$31+'Inputs'!$B$32,'Inputs'!$B$30+'Inputs'!$B$31+'Inputs'!$B$32)/1000+'Inputs'!$B$21))/SQRT((((157-43)*MAX('Inputs'!$B$33,'Inputs'!$B$29+'Inputs'!$B$31+'Inputs'!$B$32,'Inputs'!$B$30+'Inputs'!$B$31+'Inputs'!$B$32)/1000+'Inputs'!$B$21))^2+('Inputs'!$B$6/2)^2)))-'Results'!C7*(0.5*((((157-43)*MAX('Inputs'!$B$33,'Inputs'!$B$29+'Inputs'!$B$31+'Inputs'!$B$32,'Inputs'!$B$30+'Inputs'!$B$31+'Inputs'!$B$32)/1000+'Inputs'!$B$21+'Inputs'!$B$7+'Inputs'!$B$10)+'Inputs'!$B$9)/SQRT((((157-43)*MAX('Inputs'!$B$33,'Inputs'!$B$29+'Inputs'!$B$31+'Inputs'!$B$32,'Inputs'!$B$30+'Inputs'!$B$31+'Inputs'!$B$32)/1000+'Inputs'!$B$21+'Inputs'!$B$7+'Inputs'!$B$10)+'Inputs'!$B$9)^2+('Inputs'!$B$8/2)^2)-(((157-43)*MAX('Inputs'!$B$33,'Inputs'!$B$29+'Inputs'!$B$31+'Inputs'!$B$32,'Inputs'!$B$30+'Inputs'!$B$31+'Inputs'!$B$32)/1000+'Inputs'!$B$21+'Inputs'!$B$7+'Inputs'!$B$10))/SQRT((((157-43)*MAX('Inputs'!$B$33,'Inputs'!$B$29+'Inputs'!$B$31+'Inputs'!$B$32,'Inputs'!$B$30+'Inputs'!$B$31+'Inputs'!$B$32)/1000+'Inputs'!$B$21+'Inputs'!$B$7+'Inputs'!$B$10))^2+('Inputs'!$B$8/2)^2))))*'Results'!$B$8),"")</x:f>
        <x:v>286.7929406200589</x:v>
      </x:c>
      <x:c r="K157" t="n">
        <x:f>IF(AND(ISNUMBER('Results'!B7),ISNUMBER('Results'!C7),ISNUMBER('Results'!$B$8),ISNUMBER('Inputs'!$B$6),ISNUMBER('Inputs'!$B$7),ISNUMBER('Inputs'!$B$8),ISNUMBER('Inputs'!$B$9),ISNUMBER('Inputs'!$B$10),ISNUMBER('Inputs'!$B$21),ISNUMBER('Inputs'!$B$24),ISNUMBER('Inputs'!$B$28)),((('Results'!B7*(1-'Inputs'!$B$24)*(0.5*((((157-43)*MAX('Inputs'!$B$33,'Inputs'!$B$29+'Inputs'!$B$31+'Inputs'!$B$32,'Inputs'!$B$30+'Inputs'!$B$31+'Inputs'!$B$32)/1000+'Inputs'!$B$21)+'Inputs'!$B$7)/SQRT((((157-43)*MAX('Inputs'!$B$33,'Inputs'!$B$29+'Inputs'!$B$31+'Inputs'!$B$32,'Inputs'!$B$30+'Inputs'!$B$31+'Inputs'!$B$32)/1000+'Inputs'!$B$21)+'Inputs'!$B$7)^2+('Inputs'!$B$6/2)^2)-(((157-43)*MAX('Inputs'!$B$33,'Inputs'!$B$29+'Inputs'!$B$31+'Inputs'!$B$32,'Inputs'!$B$30+'Inputs'!$B$31+'Inputs'!$B$32)/1000+'Inputs'!$B$21))/SQRT((((157-43)*MAX('Inputs'!$B$33,'Inputs'!$B$29+'Inputs'!$B$31+'Inputs'!$B$32,'Inputs'!$B$30+'Inputs'!$B$31+'Inputs'!$B$32)/1000+'Inputs'!$B$21))^2+('Inputs'!$B$6/2)^2)))-'Results'!C7*(1+'Inputs'!$B$24)*(0.5*((((157-43)*MAX('Inputs'!$B$33,'Inputs'!$B$29+'Inputs'!$B$31+'Inputs'!$B$32,'Inputs'!$B$30+'Inputs'!$B$31+'Inputs'!$B$32)/1000+'Inputs'!$B$21+'Inputs'!$B$7+'Inputs'!$B$10)+'Inputs'!$B$9)/SQRT((((157-43)*MAX('Inputs'!$B$33,'Inputs'!$B$29+'Inputs'!$B$31+'Inputs'!$B$32,'Inputs'!$B$30+'Inputs'!$B$31+'Inputs'!$B$32)/1000+'Inputs'!$B$21+'Inputs'!$B$7+'Inputs'!$B$10)+'Inputs'!$B$9)^2+('Inputs'!$B$8/2)^2)-(((157-43)*MAX('Inputs'!$B$33,'Inputs'!$B$29+'Inputs'!$B$31+'Inputs'!$B$32,'Inputs'!$B$30+'Inputs'!$B$31+'Inputs'!$B$32)/1000+'Inputs'!$B$21+'Inputs'!$B$7+'Inputs'!$B$10))/SQRT((((157-43)*MAX('Inputs'!$B$33,'Inputs'!$B$29+'Inputs'!$B$31+'Inputs'!$B$32,'Inputs'!$B$30+'Inputs'!$B$31+'Inputs'!$B$32)/1000+'Inputs'!$B$21+'Inputs'!$B$7+'Inputs'!$B$10))^2+('Inputs'!$B$8/2)^2))))*'Results'!$B$8)-'Inputs'!$B$28*ABS((('Results'!B7*(1-'Inputs'!$B$24)*(0.5*((((157-43)*MAX('Inputs'!$B$33,'Inputs'!$B$29+'Inputs'!$B$31+'Inputs'!$B$32,'Inputs'!$B$30+'Inputs'!$B$31+'Inputs'!$B$32)/1000+'Inputs'!$B$21)+'Inputs'!$B$7)/SQRT((((157-43)*MAX('Inputs'!$B$33,'Inputs'!$B$29+'Inputs'!$B$31+'Inputs'!$B$32,'Inputs'!$B$30+'Inputs'!$B$31+'Inputs'!$B$32)/1000+'Inputs'!$B$21)+'Inputs'!$B$7)^2+('Inputs'!$B$6/2)^2)-(((157-43)*MAX('Inputs'!$B$33,'Inputs'!$B$29+'Inputs'!$B$31+'Inputs'!$B$32,'Inputs'!$B$30+'Inputs'!$B$31+'Inputs'!$B$32)/1000+'Inputs'!$B$21))/SQRT((((157-43)*MAX('Inputs'!$B$33,'Inputs'!$B$29+'Inputs'!$B$31+'Inputs'!$B$32,'Inputs'!$B$30+'Inputs'!$B$31+'Inputs'!$B$32)/1000+'Inputs'!$B$21))^2+('Inputs'!$B$6/2)^2)))-'Results'!C7*(1+'Inputs'!$B$24)*(0.5*((((157-43)*MAX('Inputs'!$B$33,'Inputs'!$B$29+'Inputs'!$B$31+'Inputs'!$B$32,'Inputs'!$B$30+'Inputs'!$B$31+'Inputs'!$B$32)/1000+'Inputs'!$B$21+'Inputs'!$B$7+'Inputs'!$B$10)+'Inputs'!$B$9)/SQRT((((157-43)*MAX('Inputs'!$B$33,'Inputs'!$B$29+'Inputs'!$B$31+'Inputs'!$B$32,'Inputs'!$B$30+'Inputs'!$B$31+'Inputs'!$B$32)/1000+'Inputs'!$B$21+'Inputs'!$B$7+'Inputs'!$B$10)+'Inputs'!$B$9)^2+('Inputs'!$B$8/2)^2)-(((157-43)*MAX('Inputs'!$B$33,'Inputs'!$B$29+'Inputs'!$B$31+'Inputs'!$B$32,'Inputs'!$B$30+'Inputs'!$B$31+'Inputs'!$B$32)/1000+'Inputs'!$B$21+'Inputs'!$B$7+'Inputs'!$B$10))/SQRT((((157-43)*MAX('Inputs'!$B$33,'Inputs'!$B$29+'Inputs'!$B$31+'Inputs'!$B$32,'Inputs'!$B$30+'Inputs'!$B$31+'Inputs'!$B$32)/1000+'Inputs'!$B$21+'Inputs'!$B$7+'Inputs'!$B$10))^2+('Inputs'!$B$8/2)^2))))*'Results'!$B$8))),"")</x:f>
        <x:v>264.1850149024521</x:v>
      </x:c>
      <x:c r="L157" t="n">
        <x:f>IF(AND(ISNUMBER('Results'!B7),ISNUMBER('Results'!C7),ISNUMBER('Results'!$B$8),ISNUMBER('Inputs'!$B$6),ISNUMBER('Inputs'!$B$7),ISNUMBER('Inputs'!$B$8),ISNUMBER('Inputs'!$B$9),ISNUMBER('Inputs'!$B$10),ISNUMBER('Inputs'!$B$21),ISNUMBER('Inputs'!$B$24),ISNUMBER('Inputs'!$B$28)),((('Results'!B7*(1+'Inputs'!$B$24)*(0.5*((((157-43)*MAX('Inputs'!$B$33,'Inputs'!$B$29+'Inputs'!$B$31+'Inputs'!$B$32,'Inputs'!$B$30+'Inputs'!$B$31+'Inputs'!$B$32)/1000+'Inputs'!$B$21)+'Inputs'!$B$7)/SQRT((((157-43)*MAX('Inputs'!$B$33,'Inputs'!$B$29+'Inputs'!$B$31+'Inputs'!$B$32,'Inputs'!$B$30+'Inputs'!$B$31+'Inputs'!$B$32)/1000+'Inputs'!$B$21)+'Inputs'!$B$7)^2+('Inputs'!$B$6/2)^2)-(((157-43)*MAX('Inputs'!$B$33,'Inputs'!$B$29+'Inputs'!$B$31+'Inputs'!$B$32,'Inputs'!$B$30+'Inputs'!$B$31+'Inputs'!$B$32)/1000+'Inputs'!$B$21))/SQRT((((157-43)*MAX('Inputs'!$B$33,'Inputs'!$B$29+'Inputs'!$B$31+'Inputs'!$B$32,'Inputs'!$B$30+'Inputs'!$B$31+'Inputs'!$B$32)/1000+'Inputs'!$B$21))^2+('Inputs'!$B$6/2)^2)))-'Results'!C7*(1-'Inputs'!$B$24)*(0.5*((((157-43)*MAX('Inputs'!$B$33,'Inputs'!$B$29+'Inputs'!$B$31+'Inputs'!$B$32,'Inputs'!$B$30+'Inputs'!$B$31+'Inputs'!$B$32)/1000+'Inputs'!$B$21+'Inputs'!$B$7+'Inputs'!$B$10)+'Inputs'!$B$9)/SQRT((((157-43)*MAX('Inputs'!$B$33,'Inputs'!$B$29+'Inputs'!$B$31+'Inputs'!$B$32,'Inputs'!$B$30+'Inputs'!$B$31+'Inputs'!$B$32)/1000+'Inputs'!$B$21+'Inputs'!$B$7+'Inputs'!$B$10)+'Inputs'!$B$9)^2+('Inputs'!$B$8/2)^2)-(((157-43)*MAX('Inputs'!$B$33,'Inputs'!$B$29+'Inputs'!$B$31+'Inputs'!$B$32,'Inputs'!$B$30+'Inputs'!$B$31+'Inputs'!$B$32)/1000+'Inputs'!$B$21+'Inputs'!$B$7+'Inputs'!$B$10))/SQRT((((157-43)*MAX('Inputs'!$B$33,'Inputs'!$B$29+'Inputs'!$B$31+'Inputs'!$B$32,'Inputs'!$B$30+'Inputs'!$B$31+'Inputs'!$B$32)/1000+'Inputs'!$B$21+'Inputs'!$B$7+'Inputs'!$B$10))^2+('Inputs'!$B$8/2)^2))))*'Results'!$B$8)+'Inputs'!$B$28*ABS((('Results'!B7*(1+'Inputs'!$B$24)*(0.5*((((157-43)*MAX('Inputs'!$B$33,'Inputs'!$B$29+'Inputs'!$B$31+'Inputs'!$B$32,'Inputs'!$B$30+'Inputs'!$B$31+'Inputs'!$B$32)/1000+'Inputs'!$B$21)+'Inputs'!$B$7)/SQRT((((157-43)*MAX('Inputs'!$B$33,'Inputs'!$B$29+'Inputs'!$B$31+'Inputs'!$B$32,'Inputs'!$B$30+'Inputs'!$B$31+'Inputs'!$B$32)/1000+'Inputs'!$B$21)+'Inputs'!$B$7)^2+('Inputs'!$B$6/2)^2)-(((157-43)*MAX('Inputs'!$B$33,'Inputs'!$B$29+'Inputs'!$B$31+'Inputs'!$B$32,'Inputs'!$B$30+'Inputs'!$B$31+'Inputs'!$B$32)/1000+'Inputs'!$B$21))/SQRT((((157-43)*MAX('Inputs'!$B$33,'Inputs'!$B$29+'Inputs'!$B$31+'Inputs'!$B$32,'Inputs'!$B$30+'Inputs'!$B$31+'Inputs'!$B$32)/1000+'Inputs'!$B$21))^2+('Inputs'!$B$6/2)^2)))-'Results'!C7*(1-'Inputs'!$B$24)*(0.5*((((157-43)*MAX('Inputs'!$B$33,'Inputs'!$B$29+'Inputs'!$B$31+'Inputs'!$B$32,'Inputs'!$B$30+'Inputs'!$B$31+'Inputs'!$B$32)/1000+'Inputs'!$B$21+'Inputs'!$B$7+'Inputs'!$B$10)+'Inputs'!$B$9)/SQRT((((157-43)*MAX('Inputs'!$B$33,'Inputs'!$B$29+'Inputs'!$B$31+'Inputs'!$B$32,'Inputs'!$B$30+'Inputs'!$B$31+'Inputs'!$B$32)/1000+'Inputs'!$B$21+'Inputs'!$B$7+'Inputs'!$B$10)+'Inputs'!$B$9)^2+('Inputs'!$B$8/2)^2)-(((157-43)*MAX('Inputs'!$B$33,'Inputs'!$B$29+'Inputs'!$B$31+'Inputs'!$B$32,'Inputs'!$B$30+'Inputs'!$B$31+'Inputs'!$B$32)/1000+'Inputs'!$B$21+'Inputs'!$B$7+'Inputs'!$B$10))/SQRT((((157-43)*MAX('Inputs'!$B$33,'Inputs'!$B$29+'Inputs'!$B$31+'Inputs'!$B$32,'Inputs'!$B$30+'Inputs'!$B$31+'Inputs'!$B$32)/1000+'Inputs'!$B$21+'Inputs'!$B$7+'Inputs'!$B$10))^2+('Inputs'!$B$8/2)^2))))*'Results'!$B$8))),"")</x:f>
        <x:v>310.27121146257133</x:v>
      </x:c>
      <x:c r="M157" t="n">
        <x:f>IF(AND(ISNUMBER('Results'!C7),ISNUMBER('Results'!B7),ISNUMBER('Results'!$B$8),ISNUMBER('Inputs'!$B$6),ISNUMBER('Inputs'!$B$7),ISNUMBER('Inputs'!$B$8),ISNUMBER('Inputs'!$B$9),ISNUMBER('Inputs'!$B$10),ISNUMBER('Inputs'!$B$21),ISNUMBER('Inputs'!$B$24),ISNUMBER('Inputs'!$B$28)),(('Results'!C7*(0.5*((((157-43)*MAX('Inputs'!$B$33,'Inputs'!$B$29+'Inputs'!$B$31+'Inputs'!$B$32,'Inputs'!$B$30+'Inputs'!$B$31+'Inputs'!$B$32)/1000+'Inputs'!$B$21)+'Inputs'!$B$9)/SQRT((((157-43)*MAX('Inputs'!$B$33,'Inputs'!$B$29+'Inputs'!$B$31+'Inputs'!$B$32,'Inputs'!$B$30+'Inputs'!$B$31+'Inputs'!$B$32)/1000+'Inputs'!$B$21)+'Inputs'!$B$9)^2+('Inputs'!$B$8/2)^2)-(((157-43)*MAX('Inputs'!$B$33,'Inputs'!$B$29+'Inputs'!$B$31+'Inputs'!$B$32,'Inputs'!$B$30+'Inputs'!$B$31+'Inputs'!$B$32)/1000+'Inputs'!$B$21))/SQRT((((157-43)*MAX('Inputs'!$B$33,'Inputs'!$B$29+'Inputs'!$B$31+'Inputs'!$B$32,'Inputs'!$B$30+'Inputs'!$B$31+'Inputs'!$B$32)/1000+'Inputs'!$B$21))^2+('Inputs'!$B$8/2)^2)))-'Results'!B7*(0.5*((((157-43)*MAX('Inputs'!$B$33,'Inputs'!$B$29+'Inputs'!$B$31+'Inputs'!$B$32,'Inputs'!$B$30+'Inputs'!$B$31+'Inputs'!$B$32)/1000+'Inputs'!$B$21+'Inputs'!$B$9+'Inputs'!$B$10)+'Inputs'!$B$7)/SQRT((((157-43)*MAX('Inputs'!$B$33,'Inputs'!$B$29+'Inputs'!$B$31+'Inputs'!$B$32,'Inputs'!$B$30+'Inputs'!$B$31+'Inputs'!$B$32)/1000+'Inputs'!$B$21+'Inputs'!$B$9+'Inputs'!$B$10)+'Inputs'!$B$7)^2+('Inputs'!$B$6/2)^2)-(((157-43)*MAX('Inputs'!$B$33,'Inputs'!$B$29+'Inputs'!$B$31+'Inputs'!$B$32,'Inputs'!$B$30+'Inputs'!$B$31+'Inputs'!$B$32)/1000+'Inputs'!$B$21+'Inputs'!$B$9+'Inputs'!$B$10))/SQRT((((157-43)*MAX('Inputs'!$B$33,'Inputs'!$B$29+'Inputs'!$B$31+'Inputs'!$B$32,'Inputs'!$B$30+'Inputs'!$B$31+'Inputs'!$B$32)/1000+'Inputs'!$B$21+'Inputs'!$B$9+'Inputs'!$B$10))^2+('Inputs'!$B$6/2)^2))))*'Results'!$B$8),"")</x:f>
        <x:v>278.0592078155261</x:v>
      </x:c>
      <x:c r="N157" t="n">
        <x:f>IF(AND(ISNUMBER('Results'!C7),ISNUMBER('Results'!B7),ISNUMBER('Results'!$B$8),ISNUMBER('Inputs'!$B$6),ISNUMBER('Inputs'!$B$7),ISNUMBER('Inputs'!$B$8),ISNUMBER('Inputs'!$B$9),ISNUMBER('Inputs'!$B$10),ISNUMBER('Inputs'!$B$21),ISNUMBER('Inputs'!$B$24),ISNUMBER('Inputs'!$B$28)),((('Results'!C7*(1-'Inputs'!$B$24)*(0.5*((((157-43)*MAX('Inputs'!$B$33,'Inputs'!$B$29+'Inputs'!$B$31+'Inputs'!$B$32,'Inputs'!$B$30+'Inputs'!$B$31+'Inputs'!$B$32)/1000+'Inputs'!$B$21)+'Inputs'!$B$9)/SQRT((((157-43)*MAX('Inputs'!$B$33,'Inputs'!$B$29+'Inputs'!$B$31+'Inputs'!$B$32,'Inputs'!$B$30+'Inputs'!$B$31+'Inputs'!$B$32)/1000+'Inputs'!$B$21)+'Inputs'!$B$9)^2+('Inputs'!$B$8/2)^2)-(((157-43)*MAX('Inputs'!$B$33,'Inputs'!$B$29+'Inputs'!$B$31+'Inputs'!$B$32,'Inputs'!$B$30+'Inputs'!$B$31+'Inputs'!$B$32)/1000+'Inputs'!$B$21))/SQRT((((157-43)*MAX('Inputs'!$B$33,'Inputs'!$B$29+'Inputs'!$B$31+'Inputs'!$B$32,'Inputs'!$B$30+'Inputs'!$B$31+'Inputs'!$B$32)/1000+'Inputs'!$B$21))^2+('Inputs'!$B$8/2)^2)))-'Results'!B7*(1+'Inputs'!$B$24)*(0.5*((((157-43)*MAX('Inputs'!$B$33,'Inputs'!$B$29+'Inputs'!$B$31+'Inputs'!$B$32,'Inputs'!$B$30+'Inputs'!$B$31+'Inputs'!$B$32)/1000+'Inputs'!$B$21+'Inputs'!$B$9+'Inputs'!$B$10)+'Inputs'!$B$7)/SQRT((((157-43)*MAX('Inputs'!$B$33,'Inputs'!$B$29+'Inputs'!$B$31+'Inputs'!$B$32,'Inputs'!$B$30+'Inputs'!$B$31+'Inputs'!$B$32)/1000+'Inputs'!$B$21+'Inputs'!$B$9+'Inputs'!$B$10)+'Inputs'!$B$7)^2+('Inputs'!$B$6/2)^2)-(((157-43)*MAX('Inputs'!$B$33,'Inputs'!$B$29+'Inputs'!$B$31+'Inputs'!$B$32,'Inputs'!$B$30+'Inputs'!$B$31+'Inputs'!$B$32)/1000+'Inputs'!$B$21+'Inputs'!$B$9+'Inputs'!$B$10))/SQRT((((157-43)*MAX('Inputs'!$B$33,'Inputs'!$B$29+'Inputs'!$B$31+'Inputs'!$B$32,'Inputs'!$B$30+'Inputs'!$B$31+'Inputs'!$B$32)/1000+'Inputs'!$B$21+'Inputs'!$B$9+'Inputs'!$B$10))^2+('Inputs'!$B$6/2)^2))))*'Results'!$B$8)-'Inputs'!$B$28*ABS((('Results'!C7*(1-'Inputs'!$B$24)*(0.5*((((157-43)*MAX('Inputs'!$B$33,'Inputs'!$B$29+'Inputs'!$B$31+'Inputs'!$B$32,'Inputs'!$B$30+'Inputs'!$B$31+'Inputs'!$B$32)/1000+'Inputs'!$B$21)+'Inputs'!$B$9)/SQRT((((157-43)*MAX('Inputs'!$B$33,'Inputs'!$B$29+'Inputs'!$B$31+'Inputs'!$B$32,'Inputs'!$B$30+'Inputs'!$B$31+'Inputs'!$B$32)/1000+'Inputs'!$B$21)+'Inputs'!$B$9)^2+('Inputs'!$B$8/2)^2)-(((157-43)*MAX('Inputs'!$B$33,'Inputs'!$B$29+'Inputs'!$B$31+'Inputs'!$B$32,'Inputs'!$B$30+'Inputs'!$B$31+'Inputs'!$B$32)/1000+'Inputs'!$B$21))/SQRT((((157-43)*MAX('Inputs'!$B$33,'Inputs'!$B$29+'Inputs'!$B$31+'Inputs'!$B$32,'Inputs'!$B$30+'Inputs'!$B$31+'Inputs'!$B$32)/1000+'Inputs'!$B$21))^2+('Inputs'!$B$8/2)^2)))-'Results'!B7*(1+'Inputs'!$B$24)*(0.5*((((157-43)*MAX('Inputs'!$B$33,'Inputs'!$B$29+'Inputs'!$B$31+'Inputs'!$B$32,'Inputs'!$B$30+'Inputs'!$B$31+'Inputs'!$B$32)/1000+'Inputs'!$B$21+'Inputs'!$B$9+'Inputs'!$B$10)+'Inputs'!$B$7)/SQRT((((157-43)*MAX('Inputs'!$B$33,'Inputs'!$B$29+'Inputs'!$B$31+'Inputs'!$B$32,'Inputs'!$B$30+'Inputs'!$B$31+'Inputs'!$B$32)/1000+'Inputs'!$B$21+'Inputs'!$B$9+'Inputs'!$B$10)+'Inputs'!$B$7)^2+('Inputs'!$B$6/2)^2)-(((157-43)*MAX('Inputs'!$B$33,'Inputs'!$B$29+'Inputs'!$B$31+'Inputs'!$B$32,'Inputs'!$B$30+'Inputs'!$B$31+'Inputs'!$B$32)/1000+'Inputs'!$B$21+'Inputs'!$B$9+'Inputs'!$B$10))/SQRT((((157-43)*MAX('Inputs'!$B$33,'Inputs'!$B$29+'Inputs'!$B$31+'Inputs'!$B$32,'Inputs'!$B$30+'Inputs'!$B$31+'Inputs'!$B$32)/1000+'Inputs'!$B$21+'Inputs'!$B$9+'Inputs'!$B$10))^2+('Inputs'!$B$6/2)^2))))*'Results'!$B$8))),"")</x:f>
        <x:v>255.99637470602758</x:v>
      </x:c>
      <x:c r="O157" t="n">
        <x:f>IF(AND(ISNUMBER('Results'!C7),ISNUMBER('Results'!B7),ISNUMBER('Results'!$B$8),ISNUMBER('Inputs'!$B$6),ISNUMBER('Inputs'!$B$7),ISNUMBER('Inputs'!$B$8),ISNUMBER('Inputs'!$B$9),ISNUMBER('Inputs'!$B$10),ISNUMBER('Inputs'!$B$21),ISNUMBER('Inputs'!$B$24),ISNUMBER('Inputs'!$B$28)),((('Results'!C7*(1+'Inputs'!$B$24)*(0.5*((((157-43)*MAX('Inputs'!$B$33,'Inputs'!$B$29+'Inputs'!$B$31+'Inputs'!$B$32,'Inputs'!$B$30+'Inputs'!$B$31+'Inputs'!$B$32)/1000+'Inputs'!$B$21)+'Inputs'!$B$9)/SQRT((((157-43)*MAX('Inputs'!$B$33,'Inputs'!$B$29+'Inputs'!$B$31+'Inputs'!$B$32,'Inputs'!$B$30+'Inputs'!$B$31+'Inputs'!$B$32)/1000+'Inputs'!$B$21)+'Inputs'!$B$9)^2+('Inputs'!$B$8/2)^2)-(((157-43)*MAX('Inputs'!$B$33,'Inputs'!$B$29+'Inputs'!$B$31+'Inputs'!$B$32,'Inputs'!$B$30+'Inputs'!$B$31+'Inputs'!$B$32)/1000+'Inputs'!$B$21))/SQRT((((157-43)*MAX('Inputs'!$B$33,'Inputs'!$B$29+'Inputs'!$B$31+'Inputs'!$B$32,'Inputs'!$B$30+'Inputs'!$B$31+'Inputs'!$B$32)/1000+'Inputs'!$B$21))^2+('Inputs'!$B$8/2)^2)))-'Results'!B7*(1-'Inputs'!$B$24)*(0.5*((((157-43)*MAX('Inputs'!$B$33,'Inputs'!$B$29+'Inputs'!$B$31+'Inputs'!$B$32,'Inputs'!$B$30+'Inputs'!$B$31+'Inputs'!$B$32)/1000+'Inputs'!$B$21+'Inputs'!$B$9+'Inputs'!$B$10)+'Inputs'!$B$7)/SQRT((((157-43)*MAX('Inputs'!$B$33,'Inputs'!$B$29+'Inputs'!$B$31+'Inputs'!$B$32,'Inputs'!$B$30+'Inputs'!$B$31+'Inputs'!$B$32)/1000+'Inputs'!$B$21+'Inputs'!$B$9+'Inputs'!$B$10)+'Inputs'!$B$7)^2+('Inputs'!$B$6/2)^2)-(((157-43)*MAX('Inputs'!$B$33,'Inputs'!$B$29+'Inputs'!$B$31+'Inputs'!$B$32,'Inputs'!$B$30+'Inputs'!$B$31+'Inputs'!$B$32)/1000+'Inputs'!$B$21+'Inputs'!$B$9+'Inputs'!$B$10))/SQRT((((157-43)*MAX('Inputs'!$B$33,'Inputs'!$B$29+'Inputs'!$B$31+'Inputs'!$B$32,'Inputs'!$B$30+'Inputs'!$B$31+'Inputs'!$B$32)/1000+'Inputs'!$B$21+'Inputs'!$B$9+'Inputs'!$B$10))^2+('Inputs'!$B$6/2)^2))))*'Results'!$B$8)+'Inputs'!$B$28*ABS((('Results'!C7*(1+'Inputs'!$B$24)*(0.5*((((157-43)*MAX('Inputs'!$B$33,'Inputs'!$B$29+'Inputs'!$B$31+'Inputs'!$B$32,'Inputs'!$B$30+'Inputs'!$B$31+'Inputs'!$B$32)/1000+'Inputs'!$B$21)+'Inputs'!$B$9)/SQRT((((157-43)*MAX('Inputs'!$B$33,'Inputs'!$B$29+'Inputs'!$B$31+'Inputs'!$B$32,'Inputs'!$B$30+'Inputs'!$B$31+'Inputs'!$B$32)/1000+'Inputs'!$B$21)+'Inputs'!$B$9)^2+('Inputs'!$B$8/2)^2)-(((157-43)*MAX('Inputs'!$B$33,'Inputs'!$B$29+'Inputs'!$B$31+'Inputs'!$B$32,'Inputs'!$B$30+'Inputs'!$B$31+'Inputs'!$B$32)/1000+'Inputs'!$B$21))/SQRT((((157-43)*MAX('Inputs'!$B$33,'Inputs'!$B$29+'Inputs'!$B$31+'Inputs'!$B$32,'Inputs'!$B$30+'Inputs'!$B$31+'Inputs'!$B$32)/1000+'Inputs'!$B$21))^2+('Inputs'!$B$8/2)^2)))-'Results'!B7*(1-'Inputs'!$B$24)*(0.5*((((157-43)*MAX('Inputs'!$B$33,'Inputs'!$B$29+'Inputs'!$B$31+'Inputs'!$B$32,'Inputs'!$B$30+'Inputs'!$B$31+'Inputs'!$B$32)/1000+'Inputs'!$B$21+'Inputs'!$B$9+'Inputs'!$B$10)+'Inputs'!$B$7)/SQRT((((157-43)*MAX('Inputs'!$B$33,'Inputs'!$B$29+'Inputs'!$B$31+'Inputs'!$B$32,'Inputs'!$B$30+'Inputs'!$B$31+'Inputs'!$B$32)/1000+'Inputs'!$B$21+'Inputs'!$B$9+'Inputs'!$B$10)+'Inputs'!$B$7)^2+('Inputs'!$B$6/2)^2)-(((157-43)*MAX('Inputs'!$B$33,'Inputs'!$B$29+'Inputs'!$B$31+'Inputs'!$B$32,'Inputs'!$B$30+'Inputs'!$B$31+'Inputs'!$B$32)/1000+'Inputs'!$B$21+'Inputs'!$B$9+'Inputs'!$B$10))/SQRT((((157-43)*MAX('Inputs'!$B$33,'Inputs'!$B$29+'Inputs'!$B$31+'Inputs'!$B$32,'Inputs'!$B$30+'Inputs'!$B$31+'Inputs'!$B$32)/1000+'Inputs'!$B$21+'Inputs'!$B$9+'Inputs'!$B$10))^2+('Inputs'!$B$6/2)^2))))*'Results'!$B$8))),"")</x:f>
        <x:v>300.9809748954165</x:v>
      </x:c>
      <x:c r="P157" t="n">
        <x:f>IF(AND(MAX(J157,J156)&gt;0,J157&gt;J156+0.00000001),1,0)</x:f>
        <x:v>0</x:v>
      </x:c>
      <x:c r="Q157" t="n">
        <x:f>IF(AND(MAX(K157,K156)&gt;0,K157&gt;K156+0.00000001),1,0)</x:f>
        <x:v>0</x:v>
      </x:c>
      <x:c r="R157" t="n">
        <x:f>IF(AND(MAX(L157,L156)&gt;0,L157&gt;L156+0.00000001),1,0)</x:f>
        <x:v>0</x:v>
      </x:c>
      <x:c r="S157" t="n">
        <x:f>IF(AND(MAX(M157,M156)&gt;0,M157&gt;M156+0.00000001),1,0)</x:f>
        <x:v>0</x:v>
      </x:c>
      <x:c r="T157" t="n">
        <x:f>IF(AND(MAX(N157,N156)&gt;0,N157&gt;N156+0.00000001),1,0)</x:f>
        <x:v>0</x:v>
      </x:c>
      <x:c r="U157" t="n">
        <x:f>IF(AND(MAX(O157,O156)&gt;0,O157&gt;O156+0.00000001),1,0)</x:f>
        <x:v>0</x:v>
      </x:c>
    </x:row>
    <x:row r="158">
      <x:c r="J158" t="n">
        <x:f>IF(AND(ISNUMBER('Results'!B7),ISNUMBER('Results'!C7),ISNUMBER('Results'!$B$8),ISNUMBER('Inputs'!$B$6),ISNUMBER('Inputs'!$B$7),ISNUMBER('Inputs'!$B$8),ISNUMBER('Inputs'!$B$9),ISNUMBER('Inputs'!$B$10),ISNUMBER('Inputs'!$B$21),ISNUMBER('Inputs'!$B$24),ISNUMBER('Inputs'!$B$28)),(('Results'!B7*(0.5*((((158-43)*MAX('Inputs'!$B$33,'Inputs'!$B$29+'Inputs'!$B$31+'Inputs'!$B$32,'Inputs'!$B$30+'Inputs'!$B$31+'Inputs'!$B$32)/1000+'Inputs'!$B$21)+'Inputs'!$B$7)/SQRT((((158-43)*MAX('Inputs'!$B$33,'Inputs'!$B$29+'Inputs'!$B$31+'Inputs'!$B$32,'Inputs'!$B$30+'Inputs'!$B$31+'Inputs'!$B$32)/1000+'Inputs'!$B$21)+'Inputs'!$B$7)^2+('Inputs'!$B$6/2)^2)-(((158-43)*MAX('Inputs'!$B$33,'Inputs'!$B$29+'Inputs'!$B$31+'Inputs'!$B$32,'Inputs'!$B$30+'Inputs'!$B$31+'Inputs'!$B$32)/1000+'Inputs'!$B$21))/SQRT((((158-43)*MAX('Inputs'!$B$33,'Inputs'!$B$29+'Inputs'!$B$31+'Inputs'!$B$32,'Inputs'!$B$30+'Inputs'!$B$31+'Inputs'!$B$32)/1000+'Inputs'!$B$21))^2+('Inputs'!$B$6/2)^2)))-'Results'!C7*(0.5*((((158-43)*MAX('Inputs'!$B$33,'Inputs'!$B$29+'Inputs'!$B$31+'Inputs'!$B$32,'Inputs'!$B$30+'Inputs'!$B$31+'Inputs'!$B$32)/1000+'Inputs'!$B$21+'Inputs'!$B$7+'Inputs'!$B$10)+'Inputs'!$B$9)/SQRT((((158-43)*MAX('Inputs'!$B$33,'Inputs'!$B$29+'Inputs'!$B$31+'Inputs'!$B$32,'Inputs'!$B$30+'Inputs'!$B$31+'Inputs'!$B$32)/1000+'Inputs'!$B$21+'Inputs'!$B$7+'Inputs'!$B$10)+'Inputs'!$B$9)^2+('Inputs'!$B$8/2)^2)-(((158-43)*MAX('Inputs'!$B$33,'Inputs'!$B$29+'Inputs'!$B$31+'Inputs'!$B$32,'Inputs'!$B$30+'Inputs'!$B$31+'Inputs'!$B$32)/1000+'Inputs'!$B$21+'Inputs'!$B$7+'Inputs'!$B$10))/SQRT((((158-43)*MAX('Inputs'!$B$33,'Inputs'!$B$29+'Inputs'!$B$31+'Inputs'!$B$32,'Inputs'!$B$30+'Inputs'!$B$31+'Inputs'!$B$32)/1000+'Inputs'!$B$21+'Inputs'!$B$7+'Inputs'!$B$10))^2+('Inputs'!$B$8/2)^2))))*'Results'!$B$8),"")</x:f>
        <x:v>281.63490265290324</x:v>
      </x:c>
      <x:c r="K158" t="n">
        <x:f>IF(AND(ISNUMBER('Results'!B7),ISNUMBER('Results'!C7),ISNUMBER('Results'!$B$8),ISNUMBER('Inputs'!$B$6),ISNUMBER('Inputs'!$B$7),ISNUMBER('Inputs'!$B$8),ISNUMBER('Inputs'!$B$9),ISNUMBER('Inputs'!$B$10),ISNUMBER('Inputs'!$B$21),ISNUMBER('Inputs'!$B$24),ISNUMBER('Inputs'!$B$28)),((('Results'!B7*(1-'Inputs'!$B$24)*(0.5*((((158-43)*MAX('Inputs'!$B$33,'Inputs'!$B$29+'Inputs'!$B$31+'Inputs'!$B$32,'Inputs'!$B$30+'Inputs'!$B$31+'Inputs'!$B$32)/1000+'Inputs'!$B$21)+'Inputs'!$B$7)/SQRT((((158-43)*MAX('Inputs'!$B$33,'Inputs'!$B$29+'Inputs'!$B$31+'Inputs'!$B$32,'Inputs'!$B$30+'Inputs'!$B$31+'Inputs'!$B$32)/1000+'Inputs'!$B$21)+'Inputs'!$B$7)^2+('Inputs'!$B$6/2)^2)-(((158-43)*MAX('Inputs'!$B$33,'Inputs'!$B$29+'Inputs'!$B$31+'Inputs'!$B$32,'Inputs'!$B$30+'Inputs'!$B$31+'Inputs'!$B$32)/1000+'Inputs'!$B$21))/SQRT((((158-43)*MAX('Inputs'!$B$33,'Inputs'!$B$29+'Inputs'!$B$31+'Inputs'!$B$32,'Inputs'!$B$30+'Inputs'!$B$31+'Inputs'!$B$32)/1000+'Inputs'!$B$21))^2+('Inputs'!$B$6/2)^2)))-'Results'!C7*(1+'Inputs'!$B$24)*(0.5*((((158-43)*MAX('Inputs'!$B$33,'Inputs'!$B$29+'Inputs'!$B$31+'Inputs'!$B$32,'Inputs'!$B$30+'Inputs'!$B$31+'Inputs'!$B$32)/1000+'Inputs'!$B$21+'Inputs'!$B$7+'Inputs'!$B$10)+'Inputs'!$B$9)/SQRT((((158-43)*MAX('Inputs'!$B$33,'Inputs'!$B$29+'Inputs'!$B$31+'Inputs'!$B$32,'Inputs'!$B$30+'Inputs'!$B$31+'Inputs'!$B$32)/1000+'Inputs'!$B$21+'Inputs'!$B$7+'Inputs'!$B$10)+'Inputs'!$B$9)^2+('Inputs'!$B$8/2)^2)-(((158-43)*MAX('Inputs'!$B$33,'Inputs'!$B$29+'Inputs'!$B$31+'Inputs'!$B$32,'Inputs'!$B$30+'Inputs'!$B$31+'Inputs'!$B$32)/1000+'Inputs'!$B$21+'Inputs'!$B$7+'Inputs'!$B$10))/SQRT((((158-43)*MAX('Inputs'!$B$33,'Inputs'!$B$29+'Inputs'!$B$31+'Inputs'!$B$32,'Inputs'!$B$30+'Inputs'!$B$31+'Inputs'!$B$32)/1000+'Inputs'!$B$21+'Inputs'!$B$7+'Inputs'!$B$10))^2+('Inputs'!$B$8/2)^2))))*'Results'!$B$8)-'Inputs'!$B$28*ABS((('Results'!B7*(1-'Inputs'!$B$24)*(0.5*((((158-43)*MAX('Inputs'!$B$33,'Inputs'!$B$29+'Inputs'!$B$31+'Inputs'!$B$32,'Inputs'!$B$30+'Inputs'!$B$31+'Inputs'!$B$32)/1000+'Inputs'!$B$21)+'Inputs'!$B$7)/SQRT((((158-43)*MAX('Inputs'!$B$33,'Inputs'!$B$29+'Inputs'!$B$31+'Inputs'!$B$32,'Inputs'!$B$30+'Inputs'!$B$31+'Inputs'!$B$32)/1000+'Inputs'!$B$21)+'Inputs'!$B$7)^2+('Inputs'!$B$6/2)^2)-(((158-43)*MAX('Inputs'!$B$33,'Inputs'!$B$29+'Inputs'!$B$31+'Inputs'!$B$32,'Inputs'!$B$30+'Inputs'!$B$31+'Inputs'!$B$32)/1000+'Inputs'!$B$21))/SQRT((((158-43)*MAX('Inputs'!$B$33,'Inputs'!$B$29+'Inputs'!$B$31+'Inputs'!$B$32,'Inputs'!$B$30+'Inputs'!$B$31+'Inputs'!$B$32)/1000+'Inputs'!$B$21))^2+('Inputs'!$B$6/2)^2)))-'Results'!C7*(1+'Inputs'!$B$24)*(0.5*((((158-43)*MAX('Inputs'!$B$33,'Inputs'!$B$29+'Inputs'!$B$31+'Inputs'!$B$32,'Inputs'!$B$30+'Inputs'!$B$31+'Inputs'!$B$32)/1000+'Inputs'!$B$21+'Inputs'!$B$7+'Inputs'!$B$10)+'Inputs'!$B$9)/SQRT((((158-43)*MAX('Inputs'!$B$33,'Inputs'!$B$29+'Inputs'!$B$31+'Inputs'!$B$32,'Inputs'!$B$30+'Inputs'!$B$31+'Inputs'!$B$32)/1000+'Inputs'!$B$21+'Inputs'!$B$7+'Inputs'!$B$10)+'Inputs'!$B$9)^2+('Inputs'!$B$8/2)^2)-(((158-43)*MAX('Inputs'!$B$33,'Inputs'!$B$29+'Inputs'!$B$31+'Inputs'!$B$32,'Inputs'!$B$30+'Inputs'!$B$31+'Inputs'!$B$32)/1000+'Inputs'!$B$21+'Inputs'!$B$7+'Inputs'!$B$10))/SQRT((((158-43)*MAX('Inputs'!$B$33,'Inputs'!$B$29+'Inputs'!$B$31+'Inputs'!$B$32,'Inputs'!$B$30+'Inputs'!$B$31+'Inputs'!$B$32)/1000+'Inputs'!$B$21+'Inputs'!$B$7+'Inputs'!$B$10))^2+('Inputs'!$B$8/2)^2))))*'Results'!$B$8))),"")</x:f>
        <x:v>259.4137244360279</x:v>
      </x:c>
      <x:c r="L158" t="n">
        <x:f>IF(AND(ISNUMBER('Results'!B7),ISNUMBER('Results'!C7),ISNUMBER('Results'!$B$8),ISNUMBER('Inputs'!$B$6),ISNUMBER('Inputs'!$B$7),ISNUMBER('Inputs'!$B$8),ISNUMBER('Inputs'!$B$9),ISNUMBER('Inputs'!$B$10),ISNUMBER('Inputs'!$B$21),ISNUMBER('Inputs'!$B$24),ISNUMBER('Inputs'!$B$28)),((('Results'!B7*(1+'Inputs'!$B$24)*(0.5*((((158-43)*MAX('Inputs'!$B$33,'Inputs'!$B$29+'Inputs'!$B$31+'Inputs'!$B$32,'Inputs'!$B$30+'Inputs'!$B$31+'Inputs'!$B$32)/1000+'Inputs'!$B$21)+'Inputs'!$B$7)/SQRT((((158-43)*MAX('Inputs'!$B$33,'Inputs'!$B$29+'Inputs'!$B$31+'Inputs'!$B$32,'Inputs'!$B$30+'Inputs'!$B$31+'Inputs'!$B$32)/1000+'Inputs'!$B$21)+'Inputs'!$B$7)^2+('Inputs'!$B$6/2)^2)-(((158-43)*MAX('Inputs'!$B$33,'Inputs'!$B$29+'Inputs'!$B$31+'Inputs'!$B$32,'Inputs'!$B$30+'Inputs'!$B$31+'Inputs'!$B$32)/1000+'Inputs'!$B$21))/SQRT((((158-43)*MAX('Inputs'!$B$33,'Inputs'!$B$29+'Inputs'!$B$31+'Inputs'!$B$32,'Inputs'!$B$30+'Inputs'!$B$31+'Inputs'!$B$32)/1000+'Inputs'!$B$21))^2+('Inputs'!$B$6/2)^2)))-'Results'!C7*(1-'Inputs'!$B$24)*(0.5*((((158-43)*MAX('Inputs'!$B$33,'Inputs'!$B$29+'Inputs'!$B$31+'Inputs'!$B$32,'Inputs'!$B$30+'Inputs'!$B$31+'Inputs'!$B$32)/1000+'Inputs'!$B$21+'Inputs'!$B$7+'Inputs'!$B$10)+'Inputs'!$B$9)/SQRT((((158-43)*MAX('Inputs'!$B$33,'Inputs'!$B$29+'Inputs'!$B$31+'Inputs'!$B$32,'Inputs'!$B$30+'Inputs'!$B$31+'Inputs'!$B$32)/1000+'Inputs'!$B$21+'Inputs'!$B$7+'Inputs'!$B$10)+'Inputs'!$B$9)^2+('Inputs'!$B$8/2)^2)-(((158-43)*MAX('Inputs'!$B$33,'Inputs'!$B$29+'Inputs'!$B$31+'Inputs'!$B$32,'Inputs'!$B$30+'Inputs'!$B$31+'Inputs'!$B$32)/1000+'Inputs'!$B$21+'Inputs'!$B$7+'Inputs'!$B$10))/SQRT((((158-43)*MAX('Inputs'!$B$33,'Inputs'!$B$29+'Inputs'!$B$31+'Inputs'!$B$32,'Inputs'!$B$30+'Inputs'!$B$31+'Inputs'!$B$32)/1000+'Inputs'!$B$21+'Inputs'!$B$7+'Inputs'!$B$10))^2+('Inputs'!$B$8/2)^2))))*'Results'!$B$8)+'Inputs'!$B$28*ABS((('Results'!B7*(1+'Inputs'!$B$24)*(0.5*((((158-43)*MAX('Inputs'!$B$33,'Inputs'!$B$29+'Inputs'!$B$31+'Inputs'!$B$32,'Inputs'!$B$30+'Inputs'!$B$31+'Inputs'!$B$32)/1000+'Inputs'!$B$21)+'Inputs'!$B$7)/SQRT((((158-43)*MAX('Inputs'!$B$33,'Inputs'!$B$29+'Inputs'!$B$31+'Inputs'!$B$32,'Inputs'!$B$30+'Inputs'!$B$31+'Inputs'!$B$32)/1000+'Inputs'!$B$21)+'Inputs'!$B$7)^2+('Inputs'!$B$6/2)^2)-(((158-43)*MAX('Inputs'!$B$33,'Inputs'!$B$29+'Inputs'!$B$31+'Inputs'!$B$32,'Inputs'!$B$30+'Inputs'!$B$31+'Inputs'!$B$32)/1000+'Inputs'!$B$21))/SQRT((((158-43)*MAX('Inputs'!$B$33,'Inputs'!$B$29+'Inputs'!$B$31+'Inputs'!$B$32,'Inputs'!$B$30+'Inputs'!$B$31+'Inputs'!$B$32)/1000+'Inputs'!$B$21))^2+('Inputs'!$B$6/2)^2)))-'Results'!C7*(1-'Inputs'!$B$24)*(0.5*((((158-43)*MAX('Inputs'!$B$33,'Inputs'!$B$29+'Inputs'!$B$31+'Inputs'!$B$32,'Inputs'!$B$30+'Inputs'!$B$31+'Inputs'!$B$32)/1000+'Inputs'!$B$21+'Inputs'!$B$7+'Inputs'!$B$10)+'Inputs'!$B$9)/SQRT((((158-43)*MAX('Inputs'!$B$33,'Inputs'!$B$29+'Inputs'!$B$31+'Inputs'!$B$32,'Inputs'!$B$30+'Inputs'!$B$31+'Inputs'!$B$32)/1000+'Inputs'!$B$21+'Inputs'!$B$7+'Inputs'!$B$10)+'Inputs'!$B$9)^2+('Inputs'!$B$8/2)^2)-(((158-43)*MAX('Inputs'!$B$33,'Inputs'!$B$29+'Inputs'!$B$31+'Inputs'!$B$32,'Inputs'!$B$30+'Inputs'!$B$31+'Inputs'!$B$32)/1000+'Inputs'!$B$21+'Inputs'!$B$7+'Inputs'!$B$10))/SQRT((((158-43)*MAX('Inputs'!$B$33,'Inputs'!$B$29+'Inputs'!$B$31+'Inputs'!$B$32,'Inputs'!$B$30+'Inputs'!$B$31+'Inputs'!$B$32)/1000+'Inputs'!$B$21+'Inputs'!$B$7+'Inputs'!$B$10))^2+('Inputs'!$B$8/2)^2))))*'Results'!$B$8))),"")</x:f>
        <x:v>304.7128632996976</x:v>
      </x:c>
      <x:c r="M158" t="n">
        <x:f>IF(AND(ISNUMBER('Results'!C7),ISNUMBER('Results'!B7),ISNUMBER('Results'!$B$8),ISNUMBER('Inputs'!$B$6),ISNUMBER('Inputs'!$B$7),ISNUMBER('Inputs'!$B$8),ISNUMBER('Inputs'!$B$9),ISNUMBER('Inputs'!$B$10),ISNUMBER('Inputs'!$B$21),ISNUMBER('Inputs'!$B$24),ISNUMBER('Inputs'!$B$28)),(('Results'!C7*(0.5*((((158-43)*MAX('Inputs'!$B$33,'Inputs'!$B$29+'Inputs'!$B$31+'Inputs'!$B$32,'Inputs'!$B$30+'Inputs'!$B$31+'Inputs'!$B$32)/1000+'Inputs'!$B$21)+'Inputs'!$B$9)/SQRT((((158-43)*MAX('Inputs'!$B$33,'Inputs'!$B$29+'Inputs'!$B$31+'Inputs'!$B$32,'Inputs'!$B$30+'Inputs'!$B$31+'Inputs'!$B$32)/1000+'Inputs'!$B$21)+'Inputs'!$B$9)^2+('Inputs'!$B$8/2)^2)-(((158-43)*MAX('Inputs'!$B$33,'Inputs'!$B$29+'Inputs'!$B$31+'Inputs'!$B$32,'Inputs'!$B$30+'Inputs'!$B$31+'Inputs'!$B$32)/1000+'Inputs'!$B$21))/SQRT((((158-43)*MAX('Inputs'!$B$33,'Inputs'!$B$29+'Inputs'!$B$31+'Inputs'!$B$32,'Inputs'!$B$30+'Inputs'!$B$31+'Inputs'!$B$32)/1000+'Inputs'!$B$21))^2+('Inputs'!$B$8/2)^2)))-'Results'!B7*(0.5*((((158-43)*MAX('Inputs'!$B$33,'Inputs'!$B$29+'Inputs'!$B$31+'Inputs'!$B$32,'Inputs'!$B$30+'Inputs'!$B$31+'Inputs'!$B$32)/1000+'Inputs'!$B$21+'Inputs'!$B$9+'Inputs'!$B$10)+'Inputs'!$B$7)/SQRT((((158-43)*MAX('Inputs'!$B$33,'Inputs'!$B$29+'Inputs'!$B$31+'Inputs'!$B$32,'Inputs'!$B$30+'Inputs'!$B$31+'Inputs'!$B$32)/1000+'Inputs'!$B$21+'Inputs'!$B$9+'Inputs'!$B$10)+'Inputs'!$B$7)^2+('Inputs'!$B$6/2)^2)-(((158-43)*MAX('Inputs'!$B$33,'Inputs'!$B$29+'Inputs'!$B$31+'Inputs'!$B$32,'Inputs'!$B$30+'Inputs'!$B$31+'Inputs'!$B$32)/1000+'Inputs'!$B$21+'Inputs'!$B$9+'Inputs'!$B$10))/SQRT((((158-43)*MAX('Inputs'!$B$33,'Inputs'!$B$29+'Inputs'!$B$31+'Inputs'!$B$32,'Inputs'!$B$30+'Inputs'!$B$31+'Inputs'!$B$32)/1000+'Inputs'!$B$21+'Inputs'!$B$9+'Inputs'!$B$10))^2+('Inputs'!$B$6/2)^2))))*'Results'!$B$8),"")</x:f>
        <x:v>273.037128085896</x:v>
      </x:c>
      <x:c r="N158" t="n">
        <x:f>IF(AND(ISNUMBER('Results'!C7),ISNUMBER('Results'!B7),ISNUMBER('Results'!$B$8),ISNUMBER('Inputs'!$B$6),ISNUMBER('Inputs'!$B$7),ISNUMBER('Inputs'!$B$8),ISNUMBER('Inputs'!$B$9),ISNUMBER('Inputs'!$B$10),ISNUMBER('Inputs'!$B$21),ISNUMBER('Inputs'!$B$24),ISNUMBER('Inputs'!$B$28)),((('Results'!C7*(1-'Inputs'!$B$24)*(0.5*((((158-43)*MAX('Inputs'!$B$33,'Inputs'!$B$29+'Inputs'!$B$31+'Inputs'!$B$32,'Inputs'!$B$30+'Inputs'!$B$31+'Inputs'!$B$32)/1000+'Inputs'!$B$21)+'Inputs'!$B$9)/SQRT((((158-43)*MAX('Inputs'!$B$33,'Inputs'!$B$29+'Inputs'!$B$31+'Inputs'!$B$32,'Inputs'!$B$30+'Inputs'!$B$31+'Inputs'!$B$32)/1000+'Inputs'!$B$21)+'Inputs'!$B$9)^2+('Inputs'!$B$8/2)^2)-(((158-43)*MAX('Inputs'!$B$33,'Inputs'!$B$29+'Inputs'!$B$31+'Inputs'!$B$32,'Inputs'!$B$30+'Inputs'!$B$31+'Inputs'!$B$32)/1000+'Inputs'!$B$21))/SQRT((((158-43)*MAX('Inputs'!$B$33,'Inputs'!$B$29+'Inputs'!$B$31+'Inputs'!$B$32,'Inputs'!$B$30+'Inputs'!$B$31+'Inputs'!$B$32)/1000+'Inputs'!$B$21))^2+('Inputs'!$B$8/2)^2)))-'Results'!B7*(1+'Inputs'!$B$24)*(0.5*((((158-43)*MAX('Inputs'!$B$33,'Inputs'!$B$29+'Inputs'!$B$31+'Inputs'!$B$32,'Inputs'!$B$30+'Inputs'!$B$31+'Inputs'!$B$32)/1000+'Inputs'!$B$21+'Inputs'!$B$9+'Inputs'!$B$10)+'Inputs'!$B$7)/SQRT((((158-43)*MAX('Inputs'!$B$33,'Inputs'!$B$29+'Inputs'!$B$31+'Inputs'!$B$32,'Inputs'!$B$30+'Inputs'!$B$31+'Inputs'!$B$32)/1000+'Inputs'!$B$21+'Inputs'!$B$9+'Inputs'!$B$10)+'Inputs'!$B$7)^2+('Inputs'!$B$6/2)^2)-(((158-43)*MAX('Inputs'!$B$33,'Inputs'!$B$29+'Inputs'!$B$31+'Inputs'!$B$32,'Inputs'!$B$30+'Inputs'!$B$31+'Inputs'!$B$32)/1000+'Inputs'!$B$21+'Inputs'!$B$9+'Inputs'!$B$10))/SQRT((((158-43)*MAX('Inputs'!$B$33,'Inputs'!$B$29+'Inputs'!$B$31+'Inputs'!$B$32,'Inputs'!$B$30+'Inputs'!$B$31+'Inputs'!$B$32)/1000+'Inputs'!$B$21+'Inputs'!$B$9+'Inputs'!$B$10))^2+('Inputs'!$B$6/2)^2))))*'Results'!$B$8)-'Inputs'!$B$28*ABS((('Results'!C7*(1-'Inputs'!$B$24)*(0.5*((((158-43)*MAX('Inputs'!$B$33,'Inputs'!$B$29+'Inputs'!$B$31+'Inputs'!$B$32,'Inputs'!$B$30+'Inputs'!$B$31+'Inputs'!$B$32)/1000+'Inputs'!$B$21)+'Inputs'!$B$9)/SQRT((((158-43)*MAX('Inputs'!$B$33,'Inputs'!$B$29+'Inputs'!$B$31+'Inputs'!$B$32,'Inputs'!$B$30+'Inputs'!$B$31+'Inputs'!$B$32)/1000+'Inputs'!$B$21)+'Inputs'!$B$9)^2+('Inputs'!$B$8/2)^2)-(((158-43)*MAX('Inputs'!$B$33,'Inputs'!$B$29+'Inputs'!$B$31+'Inputs'!$B$32,'Inputs'!$B$30+'Inputs'!$B$31+'Inputs'!$B$32)/1000+'Inputs'!$B$21))/SQRT((((158-43)*MAX('Inputs'!$B$33,'Inputs'!$B$29+'Inputs'!$B$31+'Inputs'!$B$32,'Inputs'!$B$30+'Inputs'!$B$31+'Inputs'!$B$32)/1000+'Inputs'!$B$21))^2+('Inputs'!$B$8/2)^2)))-'Results'!B7*(1+'Inputs'!$B$24)*(0.5*((((158-43)*MAX('Inputs'!$B$33,'Inputs'!$B$29+'Inputs'!$B$31+'Inputs'!$B$32,'Inputs'!$B$30+'Inputs'!$B$31+'Inputs'!$B$32)/1000+'Inputs'!$B$21+'Inputs'!$B$9+'Inputs'!$B$10)+'Inputs'!$B$7)/SQRT((((158-43)*MAX('Inputs'!$B$33,'Inputs'!$B$29+'Inputs'!$B$31+'Inputs'!$B$32,'Inputs'!$B$30+'Inputs'!$B$31+'Inputs'!$B$32)/1000+'Inputs'!$B$21+'Inputs'!$B$9+'Inputs'!$B$10)+'Inputs'!$B$7)^2+('Inputs'!$B$6/2)^2)-(((158-43)*MAX('Inputs'!$B$33,'Inputs'!$B$29+'Inputs'!$B$31+'Inputs'!$B$32,'Inputs'!$B$30+'Inputs'!$B$31+'Inputs'!$B$32)/1000+'Inputs'!$B$21+'Inputs'!$B$9+'Inputs'!$B$10))/SQRT((((158-43)*MAX('Inputs'!$B$33,'Inputs'!$B$29+'Inputs'!$B$31+'Inputs'!$B$32,'Inputs'!$B$30+'Inputs'!$B$31+'Inputs'!$B$32)/1000+'Inputs'!$B$21+'Inputs'!$B$9+'Inputs'!$B$10))^2+('Inputs'!$B$6/2)^2))))*'Results'!$B$8))),"")</x:f>
        <x:v>251.35229080529044</x:v>
      </x:c>
      <x:c r="O158" t="n">
        <x:f>IF(AND(ISNUMBER('Results'!C7),ISNUMBER('Results'!B7),ISNUMBER('Results'!$B$8),ISNUMBER('Inputs'!$B$6),ISNUMBER('Inputs'!$B$7),ISNUMBER('Inputs'!$B$8),ISNUMBER('Inputs'!$B$9),ISNUMBER('Inputs'!$B$10),ISNUMBER('Inputs'!$B$21),ISNUMBER('Inputs'!$B$24),ISNUMBER('Inputs'!$B$28)),((('Results'!C7*(1+'Inputs'!$B$24)*(0.5*((((158-43)*MAX('Inputs'!$B$33,'Inputs'!$B$29+'Inputs'!$B$31+'Inputs'!$B$32,'Inputs'!$B$30+'Inputs'!$B$31+'Inputs'!$B$32)/1000+'Inputs'!$B$21)+'Inputs'!$B$9)/SQRT((((158-43)*MAX('Inputs'!$B$33,'Inputs'!$B$29+'Inputs'!$B$31+'Inputs'!$B$32,'Inputs'!$B$30+'Inputs'!$B$31+'Inputs'!$B$32)/1000+'Inputs'!$B$21)+'Inputs'!$B$9)^2+('Inputs'!$B$8/2)^2)-(((158-43)*MAX('Inputs'!$B$33,'Inputs'!$B$29+'Inputs'!$B$31+'Inputs'!$B$32,'Inputs'!$B$30+'Inputs'!$B$31+'Inputs'!$B$32)/1000+'Inputs'!$B$21))/SQRT((((158-43)*MAX('Inputs'!$B$33,'Inputs'!$B$29+'Inputs'!$B$31+'Inputs'!$B$32,'Inputs'!$B$30+'Inputs'!$B$31+'Inputs'!$B$32)/1000+'Inputs'!$B$21))^2+('Inputs'!$B$8/2)^2)))-'Results'!B7*(1-'Inputs'!$B$24)*(0.5*((((158-43)*MAX('Inputs'!$B$33,'Inputs'!$B$29+'Inputs'!$B$31+'Inputs'!$B$32,'Inputs'!$B$30+'Inputs'!$B$31+'Inputs'!$B$32)/1000+'Inputs'!$B$21+'Inputs'!$B$9+'Inputs'!$B$10)+'Inputs'!$B$7)/SQRT((((158-43)*MAX('Inputs'!$B$33,'Inputs'!$B$29+'Inputs'!$B$31+'Inputs'!$B$32,'Inputs'!$B$30+'Inputs'!$B$31+'Inputs'!$B$32)/1000+'Inputs'!$B$21+'Inputs'!$B$9+'Inputs'!$B$10)+'Inputs'!$B$7)^2+('Inputs'!$B$6/2)^2)-(((158-43)*MAX('Inputs'!$B$33,'Inputs'!$B$29+'Inputs'!$B$31+'Inputs'!$B$32,'Inputs'!$B$30+'Inputs'!$B$31+'Inputs'!$B$32)/1000+'Inputs'!$B$21+'Inputs'!$B$9+'Inputs'!$B$10))/SQRT((((158-43)*MAX('Inputs'!$B$33,'Inputs'!$B$29+'Inputs'!$B$31+'Inputs'!$B$32,'Inputs'!$B$30+'Inputs'!$B$31+'Inputs'!$B$32)/1000+'Inputs'!$B$21+'Inputs'!$B$9+'Inputs'!$B$10))^2+('Inputs'!$B$6/2)^2))))*'Results'!$B$8)+'Inputs'!$B$28*ABS((('Results'!C7*(1+'Inputs'!$B$24)*(0.5*((((158-43)*MAX('Inputs'!$B$33,'Inputs'!$B$29+'Inputs'!$B$31+'Inputs'!$B$32,'Inputs'!$B$30+'Inputs'!$B$31+'Inputs'!$B$32)/1000+'Inputs'!$B$21)+'Inputs'!$B$9)/SQRT((((158-43)*MAX('Inputs'!$B$33,'Inputs'!$B$29+'Inputs'!$B$31+'Inputs'!$B$32,'Inputs'!$B$30+'Inputs'!$B$31+'Inputs'!$B$32)/1000+'Inputs'!$B$21)+'Inputs'!$B$9)^2+('Inputs'!$B$8/2)^2)-(((158-43)*MAX('Inputs'!$B$33,'Inputs'!$B$29+'Inputs'!$B$31+'Inputs'!$B$32,'Inputs'!$B$30+'Inputs'!$B$31+'Inputs'!$B$32)/1000+'Inputs'!$B$21))/SQRT((((158-43)*MAX('Inputs'!$B$33,'Inputs'!$B$29+'Inputs'!$B$31+'Inputs'!$B$32,'Inputs'!$B$30+'Inputs'!$B$31+'Inputs'!$B$32)/1000+'Inputs'!$B$21))^2+('Inputs'!$B$8/2)^2)))-'Results'!B7*(1-'Inputs'!$B$24)*(0.5*((((158-43)*MAX('Inputs'!$B$33,'Inputs'!$B$29+'Inputs'!$B$31+'Inputs'!$B$32,'Inputs'!$B$30+'Inputs'!$B$31+'Inputs'!$B$32)/1000+'Inputs'!$B$21+'Inputs'!$B$9+'Inputs'!$B$10)+'Inputs'!$B$7)/SQRT((((158-43)*MAX('Inputs'!$B$33,'Inputs'!$B$29+'Inputs'!$B$31+'Inputs'!$B$32,'Inputs'!$B$30+'Inputs'!$B$31+'Inputs'!$B$32)/1000+'Inputs'!$B$21+'Inputs'!$B$9+'Inputs'!$B$10)+'Inputs'!$B$7)^2+('Inputs'!$B$6/2)^2)-(((158-43)*MAX('Inputs'!$B$33,'Inputs'!$B$29+'Inputs'!$B$31+'Inputs'!$B$32,'Inputs'!$B$30+'Inputs'!$B$31+'Inputs'!$B$32)/1000+'Inputs'!$B$21+'Inputs'!$B$9+'Inputs'!$B$10))/SQRT((((158-43)*MAX('Inputs'!$B$33,'Inputs'!$B$29+'Inputs'!$B$31+'Inputs'!$B$32,'Inputs'!$B$30+'Inputs'!$B$31+'Inputs'!$B$32)/1000+'Inputs'!$B$21+'Inputs'!$B$9+'Inputs'!$B$10))^2+('Inputs'!$B$6/2)^2))))*'Results'!$B$8))),"")</x:f>
        <x:v>295.5675423008498</x:v>
      </x:c>
      <x:c r="P158" t="n">
        <x:f>IF(AND(MAX(J158,J157)&gt;0,J158&gt;J157+0.00000001),1,0)</x:f>
        <x:v>0</x:v>
      </x:c>
      <x:c r="Q158" t="n">
        <x:f>IF(AND(MAX(K158,K157)&gt;0,K158&gt;K157+0.00000001),1,0)</x:f>
        <x:v>0</x:v>
      </x:c>
      <x:c r="R158" t="n">
        <x:f>IF(AND(MAX(L158,L157)&gt;0,L158&gt;L157+0.00000001),1,0)</x:f>
        <x:v>0</x:v>
      </x:c>
      <x:c r="S158" t="n">
        <x:f>IF(AND(MAX(M158,M157)&gt;0,M158&gt;M157+0.00000001),1,0)</x:f>
        <x:v>0</x:v>
      </x:c>
      <x:c r="T158" t="n">
        <x:f>IF(AND(MAX(N158,N157)&gt;0,N158&gt;N157+0.00000001),1,0)</x:f>
        <x:v>0</x:v>
      </x:c>
      <x:c r="U158" t="n">
        <x:f>IF(AND(MAX(O158,O157)&gt;0,O158&gt;O157+0.00000001),1,0)</x:f>
        <x:v>0</x:v>
      </x:c>
    </x:row>
    <x:row r="159">
      <x:c r="J159" t="n">
        <x:f>IF(AND(ISNUMBER('Results'!B7),ISNUMBER('Results'!C7),ISNUMBER('Results'!$B$8),ISNUMBER('Inputs'!$B$6),ISNUMBER('Inputs'!$B$7),ISNUMBER('Inputs'!$B$8),ISNUMBER('Inputs'!$B$9),ISNUMBER('Inputs'!$B$10),ISNUMBER('Inputs'!$B$21),ISNUMBER('Inputs'!$B$24),ISNUMBER('Inputs'!$B$28)),(('Results'!B7*(0.5*((((159-43)*MAX('Inputs'!$B$33,'Inputs'!$B$29+'Inputs'!$B$31+'Inputs'!$B$32,'Inputs'!$B$30+'Inputs'!$B$31+'Inputs'!$B$32)/1000+'Inputs'!$B$21)+'Inputs'!$B$7)/SQRT((((159-43)*MAX('Inputs'!$B$33,'Inputs'!$B$29+'Inputs'!$B$31+'Inputs'!$B$32,'Inputs'!$B$30+'Inputs'!$B$31+'Inputs'!$B$32)/1000+'Inputs'!$B$21)+'Inputs'!$B$7)^2+('Inputs'!$B$6/2)^2)-(((159-43)*MAX('Inputs'!$B$33,'Inputs'!$B$29+'Inputs'!$B$31+'Inputs'!$B$32,'Inputs'!$B$30+'Inputs'!$B$31+'Inputs'!$B$32)/1000+'Inputs'!$B$21))/SQRT((((159-43)*MAX('Inputs'!$B$33,'Inputs'!$B$29+'Inputs'!$B$31+'Inputs'!$B$32,'Inputs'!$B$30+'Inputs'!$B$31+'Inputs'!$B$32)/1000+'Inputs'!$B$21))^2+('Inputs'!$B$6/2)^2)))-'Results'!C7*(0.5*((((159-43)*MAX('Inputs'!$B$33,'Inputs'!$B$29+'Inputs'!$B$31+'Inputs'!$B$32,'Inputs'!$B$30+'Inputs'!$B$31+'Inputs'!$B$32)/1000+'Inputs'!$B$21+'Inputs'!$B$7+'Inputs'!$B$10)+'Inputs'!$B$9)/SQRT((((159-43)*MAX('Inputs'!$B$33,'Inputs'!$B$29+'Inputs'!$B$31+'Inputs'!$B$32,'Inputs'!$B$30+'Inputs'!$B$31+'Inputs'!$B$32)/1000+'Inputs'!$B$21+'Inputs'!$B$7+'Inputs'!$B$10)+'Inputs'!$B$9)^2+('Inputs'!$B$8/2)^2)-(((159-43)*MAX('Inputs'!$B$33,'Inputs'!$B$29+'Inputs'!$B$31+'Inputs'!$B$32,'Inputs'!$B$30+'Inputs'!$B$31+'Inputs'!$B$32)/1000+'Inputs'!$B$21+'Inputs'!$B$7+'Inputs'!$B$10))/SQRT((((159-43)*MAX('Inputs'!$B$33,'Inputs'!$B$29+'Inputs'!$B$31+'Inputs'!$B$32,'Inputs'!$B$30+'Inputs'!$B$31+'Inputs'!$B$32)/1000+'Inputs'!$B$21+'Inputs'!$B$7+'Inputs'!$B$10))^2+('Inputs'!$B$8/2)^2))))*'Results'!$B$8),"")</x:f>
        <x:v>276.58456313733103</x:v>
      </x:c>
      <x:c r="K159" t="n">
        <x:f>IF(AND(ISNUMBER('Results'!B7),ISNUMBER('Results'!C7),ISNUMBER('Results'!$B$8),ISNUMBER('Inputs'!$B$6),ISNUMBER('Inputs'!$B$7),ISNUMBER('Inputs'!$B$8),ISNUMBER('Inputs'!$B$9),ISNUMBER('Inputs'!$B$10),ISNUMBER('Inputs'!$B$21),ISNUMBER('Inputs'!$B$24),ISNUMBER('Inputs'!$B$28)),((('Results'!B7*(1-'Inputs'!$B$24)*(0.5*((((159-43)*MAX('Inputs'!$B$33,'Inputs'!$B$29+'Inputs'!$B$31+'Inputs'!$B$32,'Inputs'!$B$30+'Inputs'!$B$31+'Inputs'!$B$32)/1000+'Inputs'!$B$21)+'Inputs'!$B$7)/SQRT((((159-43)*MAX('Inputs'!$B$33,'Inputs'!$B$29+'Inputs'!$B$31+'Inputs'!$B$32,'Inputs'!$B$30+'Inputs'!$B$31+'Inputs'!$B$32)/1000+'Inputs'!$B$21)+'Inputs'!$B$7)^2+('Inputs'!$B$6/2)^2)-(((159-43)*MAX('Inputs'!$B$33,'Inputs'!$B$29+'Inputs'!$B$31+'Inputs'!$B$32,'Inputs'!$B$30+'Inputs'!$B$31+'Inputs'!$B$32)/1000+'Inputs'!$B$21))/SQRT((((159-43)*MAX('Inputs'!$B$33,'Inputs'!$B$29+'Inputs'!$B$31+'Inputs'!$B$32,'Inputs'!$B$30+'Inputs'!$B$31+'Inputs'!$B$32)/1000+'Inputs'!$B$21))^2+('Inputs'!$B$6/2)^2)))-'Results'!C7*(1+'Inputs'!$B$24)*(0.5*((((159-43)*MAX('Inputs'!$B$33,'Inputs'!$B$29+'Inputs'!$B$31+'Inputs'!$B$32,'Inputs'!$B$30+'Inputs'!$B$31+'Inputs'!$B$32)/1000+'Inputs'!$B$21+'Inputs'!$B$7+'Inputs'!$B$10)+'Inputs'!$B$9)/SQRT((((159-43)*MAX('Inputs'!$B$33,'Inputs'!$B$29+'Inputs'!$B$31+'Inputs'!$B$32,'Inputs'!$B$30+'Inputs'!$B$31+'Inputs'!$B$32)/1000+'Inputs'!$B$21+'Inputs'!$B$7+'Inputs'!$B$10)+'Inputs'!$B$9)^2+('Inputs'!$B$8/2)^2)-(((159-43)*MAX('Inputs'!$B$33,'Inputs'!$B$29+'Inputs'!$B$31+'Inputs'!$B$32,'Inputs'!$B$30+'Inputs'!$B$31+'Inputs'!$B$32)/1000+'Inputs'!$B$21+'Inputs'!$B$7+'Inputs'!$B$10))/SQRT((((159-43)*MAX('Inputs'!$B$33,'Inputs'!$B$29+'Inputs'!$B$31+'Inputs'!$B$32,'Inputs'!$B$30+'Inputs'!$B$31+'Inputs'!$B$32)/1000+'Inputs'!$B$21+'Inputs'!$B$7+'Inputs'!$B$10))^2+('Inputs'!$B$8/2)^2))))*'Results'!$B$8)-'Inputs'!$B$28*ABS((('Results'!B7*(1-'Inputs'!$B$24)*(0.5*((((159-43)*MAX('Inputs'!$B$33,'Inputs'!$B$29+'Inputs'!$B$31+'Inputs'!$B$32,'Inputs'!$B$30+'Inputs'!$B$31+'Inputs'!$B$32)/1000+'Inputs'!$B$21)+'Inputs'!$B$7)/SQRT((((159-43)*MAX('Inputs'!$B$33,'Inputs'!$B$29+'Inputs'!$B$31+'Inputs'!$B$32,'Inputs'!$B$30+'Inputs'!$B$31+'Inputs'!$B$32)/1000+'Inputs'!$B$21)+'Inputs'!$B$7)^2+('Inputs'!$B$6/2)^2)-(((159-43)*MAX('Inputs'!$B$33,'Inputs'!$B$29+'Inputs'!$B$31+'Inputs'!$B$32,'Inputs'!$B$30+'Inputs'!$B$31+'Inputs'!$B$32)/1000+'Inputs'!$B$21))/SQRT((((159-43)*MAX('Inputs'!$B$33,'Inputs'!$B$29+'Inputs'!$B$31+'Inputs'!$B$32,'Inputs'!$B$30+'Inputs'!$B$31+'Inputs'!$B$32)/1000+'Inputs'!$B$21))^2+('Inputs'!$B$6/2)^2)))-'Results'!C7*(1+'Inputs'!$B$24)*(0.5*((((159-43)*MAX('Inputs'!$B$33,'Inputs'!$B$29+'Inputs'!$B$31+'Inputs'!$B$32,'Inputs'!$B$30+'Inputs'!$B$31+'Inputs'!$B$32)/1000+'Inputs'!$B$21+'Inputs'!$B$7+'Inputs'!$B$10)+'Inputs'!$B$9)/SQRT((((159-43)*MAX('Inputs'!$B$33,'Inputs'!$B$29+'Inputs'!$B$31+'Inputs'!$B$32,'Inputs'!$B$30+'Inputs'!$B$31+'Inputs'!$B$32)/1000+'Inputs'!$B$21+'Inputs'!$B$7+'Inputs'!$B$10)+'Inputs'!$B$9)^2+('Inputs'!$B$8/2)^2)-(((159-43)*MAX('Inputs'!$B$33,'Inputs'!$B$29+'Inputs'!$B$31+'Inputs'!$B$32,'Inputs'!$B$30+'Inputs'!$B$31+'Inputs'!$B$32)/1000+'Inputs'!$B$21+'Inputs'!$B$7+'Inputs'!$B$10))/SQRT((((159-43)*MAX('Inputs'!$B$33,'Inputs'!$B$29+'Inputs'!$B$31+'Inputs'!$B$32,'Inputs'!$B$30+'Inputs'!$B$31+'Inputs'!$B$32)/1000+'Inputs'!$B$21+'Inputs'!$B$7+'Inputs'!$B$10))^2+('Inputs'!$B$8/2)^2))))*'Results'!$B$8))),"")</x:f>
        <x:v>254.74226381705873</x:v>
      </x:c>
      <x:c r="L159" t="n">
        <x:f>IF(AND(ISNUMBER('Results'!B7),ISNUMBER('Results'!C7),ISNUMBER('Results'!$B$8),ISNUMBER('Inputs'!$B$6),ISNUMBER('Inputs'!$B$7),ISNUMBER('Inputs'!$B$8),ISNUMBER('Inputs'!$B$9),ISNUMBER('Inputs'!$B$10),ISNUMBER('Inputs'!$B$21),ISNUMBER('Inputs'!$B$24),ISNUMBER('Inputs'!$B$28)),((('Results'!B7*(1+'Inputs'!$B$24)*(0.5*((((159-43)*MAX('Inputs'!$B$33,'Inputs'!$B$29+'Inputs'!$B$31+'Inputs'!$B$32,'Inputs'!$B$30+'Inputs'!$B$31+'Inputs'!$B$32)/1000+'Inputs'!$B$21)+'Inputs'!$B$7)/SQRT((((159-43)*MAX('Inputs'!$B$33,'Inputs'!$B$29+'Inputs'!$B$31+'Inputs'!$B$32,'Inputs'!$B$30+'Inputs'!$B$31+'Inputs'!$B$32)/1000+'Inputs'!$B$21)+'Inputs'!$B$7)^2+('Inputs'!$B$6/2)^2)-(((159-43)*MAX('Inputs'!$B$33,'Inputs'!$B$29+'Inputs'!$B$31+'Inputs'!$B$32,'Inputs'!$B$30+'Inputs'!$B$31+'Inputs'!$B$32)/1000+'Inputs'!$B$21))/SQRT((((159-43)*MAX('Inputs'!$B$33,'Inputs'!$B$29+'Inputs'!$B$31+'Inputs'!$B$32,'Inputs'!$B$30+'Inputs'!$B$31+'Inputs'!$B$32)/1000+'Inputs'!$B$21))^2+('Inputs'!$B$6/2)^2)))-'Results'!C7*(1-'Inputs'!$B$24)*(0.5*((((159-43)*MAX('Inputs'!$B$33,'Inputs'!$B$29+'Inputs'!$B$31+'Inputs'!$B$32,'Inputs'!$B$30+'Inputs'!$B$31+'Inputs'!$B$32)/1000+'Inputs'!$B$21+'Inputs'!$B$7+'Inputs'!$B$10)+'Inputs'!$B$9)/SQRT((((159-43)*MAX('Inputs'!$B$33,'Inputs'!$B$29+'Inputs'!$B$31+'Inputs'!$B$32,'Inputs'!$B$30+'Inputs'!$B$31+'Inputs'!$B$32)/1000+'Inputs'!$B$21+'Inputs'!$B$7+'Inputs'!$B$10)+'Inputs'!$B$9)^2+('Inputs'!$B$8/2)^2)-(((159-43)*MAX('Inputs'!$B$33,'Inputs'!$B$29+'Inputs'!$B$31+'Inputs'!$B$32,'Inputs'!$B$30+'Inputs'!$B$31+'Inputs'!$B$32)/1000+'Inputs'!$B$21+'Inputs'!$B$7+'Inputs'!$B$10))/SQRT((((159-43)*MAX('Inputs'!$B$33,'Inputs'!$B$29+'Inputs'!$B$31+'Inputs'!$B$32,'Inputs'!$B$30+'Inputs'!$B$31+'Inputs'!$B$32)/1000+'Inputs'!$B$21+'Inputs'!$B$7+'Inputs'!$B$10))^2+('Inputs'!$B$8/2)^2))))*'Results'!$B$8)+'Inputs'!$B$28*ABS((('Results'!B7*(1+'Inputs'!$B$24)*(0.5*((((159-43)*MAX('Inputs'!$B$33,'Inputs'!$B$29+'Inputs'!$B$31+'Inputs'!$B$32,'Inputs'!$B$30+'Inputs'!$B$31+'Inputs'!$B$32)/1000+'Inputs'!$B$21)+'Inputs'!$B$7)/SQRT((((159-43)*MAX('Inputs'!$B$33,'Inputs'!$B$29+'Inputs'!$B$31+'Inputs'!$B$32,'Inputs'!$B$30+'Inputs'!$B$31+'Inputs'!$B$32)/1000+'Inputs'!$B$21)+'Inputs'!$B$7)^2+('Inputs'!$B$6/2)^2)-(((159-43)*MAX('Inputs'!$B$33,'Inputs'!$B$29+'Inputs'!$B$31+'Inputs'!$B$32,'Inputs'!$B$30+'Inputs'!$B$31+'Inputs'!$B$32)/1000+'Inputs'!$B$21))/SQRT((((159-43)*MAX('Inputs'!$B$33,'Inputs'!$B$29+'Inputs'!$B$31+'Inputs'!$B$32,'Inputs'!$B$30+'Inputs'!$B$31+'Inputs'!$B$32)/1000+'Inputs'!$B$21))^2+('Inputs'!$B$6/2)^2)))-'Results'!C7*(1-'Inputs'!$B$24)*(0.5*((((159-43)*MAX('Inputs'!$B$33,'Inputs'!$B$29+'Inputs'!$B$31+'Inputs'!$B$32,'Inputs'!$B$30+'Inputs'!$B$31+'Inputs'!$B$32)/1000+'Inputs'!$B$21+'Inputs'!$B$7+'Inputs'!$B$10)+'Inputs'!$B$9)/SQRT((((159-43)*MAX('Inputs'!$B$33,'Inputs'!$B$29+'Inputs'!$B$31+'Inputs'!$B$32,'Inputs'!$B$30+'Inputs'!$B$31+'Inputs'!$B$32)/1000+'Inputs'!$B$21+'Inputs'!$B$7+'Inputs'!$B$10)+'Inputs'!$B$9)^2+('Inputs'!$B$8/2)^2)-(((159-43)*MAX('Inputs'!$B$33,'Inputs'!$B$29+'Inputs'!$B$31+'Inputs'!$B$32,'Inputs'!$B$30+'Inputs'!$B$31+'Inputs'!$B$32)/1000+'Inputs'!$B$21+'Inputs'!$B$7+'Inputs'!$B$10))/SQRT((((159-43)*MAX('Inputs'!$B$33,'Inputs'!$B$29+'Inputs'!$B$31+'Inputs'!$B$32,'Inputs'!$B$30+'Inputs'!$B$31+'Inputs'!$B$32)/1000+'Inputs'!$B$21+'Inputs'!$B$7+'Inputs'!$B$10))^2+('Inputs'!$B$8/2)^2))))*'Results'!$B$8))),"")</x:f>
        <x:v>299.27034363269877</x:v>
      </x:c>
      <x:c r="M159" t="n">
        <x:f>IF(AND(ISNUMBER('Results'!C7),ISNUMBER('Results'!B7),ISNUMBER('Results'!$B$8),ISNUMBER('Inputs'!$B$6),ISNUMBER('Inputs'!$B$7),ISNUMBER('Inputs'!$B$8),ISNUMBER('Inputs'!$B$9),ISNUMBER('Inputs'!$B$10),ISNUMBER('Inputs'!$B$21),ISNUMBER('Inputs'!$B$24),ISNUMBER('Inputs'!$B$28)),(('Results'!C7*(0.5*((((159-43)*MAX('Inputs'!$B$33,'Inputs'!$B$29+'Inputs'!$B$31+'Inputs'!$B$32,'Inputs'!$B$30+'Inputs'!$B$31+'Inputs'!$B$32)/1000+'Inputs'!$B$21)+'Inputs'!$B$9)/SQRT((((159-43)*MAX('Inputs'!$B$33,'Inputs'!$B$29+'Inputs'!$B$31+'Inputs'!$B$32,'Inputs'!$B$30+'Inputs'!$B$31+'Inputs'!$B$32)/1000+'Inputs'!$B$21)+'Inputs'!$B$9)^2+('Inputs'!$B$8/2)^2)-(((159-43)*MAX('Inputs'!$B$33,'Inputs'!$B$29+'Inputs'!$B$31+'Inputs'!$B$32,'Inputs'!$B$30+'Inputs'!$B$31+'Inputs'!$B$32)/1000+'Inputs'!$B$21))/SQRT((((159-43)*MAX('Inputs'!$B$33,'Inputs'!$B$29+'Inputs'!$B$31+'Inputs'!$B$32,'Inputs'!$B$30+'Inputs'!$B$31+'Inputs'!$B$32)/1000+'Inputs'!$B$21))^2+('Inputs'!$B$8/2)^2)))-'Results'!B7*(0.5*((((159-43)*MAX('Inputs'!$B$33,'Inputs'!$B$29+'Inputs'!$B$31+'Inputs'!$B$32,'Inputs'!$B$30+'Inputs'!$B$31+'Inputs'!$B$32)/1000+'Inputs'!$B$21+'Inputs'!$B$9+'Inputs'!$B$10)+'Inputs'!$B$7)/SQRT((((159-43)*MAX('Inputs'!$B$33,'Inputs'!$B$29+'Inputs'!$B$31+'Inputs'!$B$32,'Inputs'!$B$30+'Inputs'!$B$31+'Inputs'!$B$32)/1000+'Inputs'!$B$21+'Inputs'!$B$9+'Inputs'!$B$10)+'Inputs'!$B$7)^2+('Inputs'!$B$6/2)^2)-(((159-43)*MAX('Inputs'!$B$33,'Inputs'!$B$29+'Inputs'!$B$31+'Inputs'!$B$32,'Inputs'!$B$30+'Inputs'!$B$31+'Inputs'!$B$32)/1000+'Inputs'!$B$21+'Inputs'!$B$9+'Inputs'!$B$10))/SQRT((((159-43)*MAX('Inputs'!$B$33,'Inputs'!$B$29+'Inputs'!$B$31+'Inputs'!$B$32,'Inputs'!$B$30+'Inputs'!$B$31+'Inputs'!$B$32)/1000+'Inputs'!$B$21+'Inputs'!$B$9+'Inputs'!$B$10))^2+('Inputs'!$B$6/2)^2))))*'Results'!$B$8),"")</x:f>
        <x:v>268.1201277079265</x:v>
      </x:c>
      <x:c r="N159" t="n">
        <x:f>IF(AND(ISNUMBER('Results'!C7),ISNUMBER('Results'!B7),ISNUMBER('Results'!$B$8),ISNUMBER('Inputs'!$B$6),ISNUMBER('Inputs'!$B$7),ISNUMBER('Inputs'!$B$8),ISNUMBER('Inputs'!$B$9),ISNUMBER('Inputs'!$B$10),ISNUMBER('Inputs'!$B$21),ISNUMBER('Inputs'!$B$24),ISNUMBER('Inputs'!$B$28)),((('Results'!C7*(1-'Inputs'!$B$24)*(0.5*((((159-43)*MAX('Inputs'!$B$33,'Inputs'!$B$29+'Inputs'!$B$31+'Inputs'!$B$32,'Inputs'!$B$30+'Inputs'!$B$31+'Inputs'!$B$32)/1000+'Inputs'!$B$21)+'Inputs'!$B$9)/SQRT((((159-43)*MAX('Inputs'!$B$33,'Inputs'!$B$29+'Inputs'!$B$31+'Inputs'!$B$32,'Inputs'!$B$30+'Inputs'!$B$31+'Inputs'!$B$32)/1000+'Inputs'!$B$21)+'Inputs'!$B$9)^2+('Inputs'!$B$8/2)^2)-(((159-43)*MAX('Inputs'!$B$33,'Inputs'!$B$29+'Inputs'!$B$31+'Inputs'!$B$32,'Inputs'!$B$30+'Inputs'!$B$31+'Inputs'!$B$32)/1000+'Inputs'!$B$21))/SQRT((((159-43)*MAX('Inputs'!$B$33,'Inputs'!$B$29+'Inputs'!$B$31+'Inputs'!$B$32,'Inputs'!$B$30+'Inputs'!$B$31+'Inputs'!$B$32)/1000+'Inputs'!$B$21))^2+('Inputs'!$B$8/2)^2)))-'Results'!B7*(1+'Inputs'!$B$24)*(0.5*((((159-43)*MAX('Inputs'!$B$33,'Inputs'!$B$29+'Inputs'!$B$31+'Inputs'!$B$32,'Inputs'!$B$30+'Inputs'!$B$31+'Inputs'!$B$32)/1000+'Inputs'!$B$21+'Inputs'!$B$9+'Inputs'!$B$10)+'Inputs'!$B$7)/SQRT((((159-43)*MAX('Inputs'!$B$33,'Inputs'!$B$29+'Inputs'!$B$31+'Inputs'!$B$32,'Inputs'!$B$30+'Inputs'!$B$31+'Inputs'!$B$32)/1000+'Inputs'!$B$21+'Inputs'!$B$9+'Inputs'!$B$10)+'Inputs'!$B$7)^2+('Inputs'!$B$6/2)^2)-(((159-43)*MAX('Inputs'!$B$33,'Inputs'!$B$29+'Inputs'!$B$31+'Inputs'!$B$32,'Inputs'!$B$30+'Inputs'!$B$31+'Inputs'!$B$32)/1000+'Inputs'!$B$21+'Inputs'!$B$9+'Inputs'!$B$10))/SQRT((((159-43)*MAX('Inputs'!$B$33,'Inputs'!$B$29+'Inputs'!$B$31+'Inputs'!$B$32,'Inputs'!$B$30+'Inputs'!$B$31+'Inputs'!$B$32)/1000+'Inputs'!$B$21+'Inputs'!$B$9+'Inputs'!$B$10))^2+('Inputs'!$B$6/2)^2))))*'Results'!$B$8)-'Inputs'!$B$28*ABS((('Results'!C7*(1-'Inputs'!$B$24)*(0.5*((((159-43)*MAX('Inputs'!$B$33,'Inputs'!$B$29+'Inputs'!$B$31+'Inputs'!$B$32,'Inputs'!$B$30+'Inputs'!$B$31+'Inputs'!$B$32)/1000+'Inputs'!$B$21)+'Inputs'!$B$9)/SQRT((((159-43)*MAX('Inputs'!$B$33,'Inputs'!$B$29+'Inputs'!$B$31+'Inputs'!$B$32,'Inputs'!$B$30+'Inputs'!$B$31+'Inputs'!$B$32)/1000+'Inputs'!$B$21)+'Inputs'!$B$9)^2+('Inputs'!$B$8/2)^2)-(((159-43)*MAX('Inputs'!$B$33,'Inputs'!$B$29+'Inputs'!$B$31+'Inputs'!$B$32,'Inputs'!$B$30+'Inputs'!$B$31+'Inputs'!$B$32)/1000+'Inputs'!$B$21))/SQRT((((159-43)*MAX('Inputs'!$B$33,'Inputs'!$B$29+'Inputs'!$B$31+'Inputs'!$B$32,'Inputs'!$B$30+'Inputs'!$B$31+'Inputs'!$B$32)/1000+'Inputs'!$B$21))^2+('Inputs'!$B$8/2)^2)))-'Results'!B7*(1+'Inputs'!$B$24)*(0.5*((((159-43)*MAX('Inputs'!$B$33,'Inputs'!$B$29+'Inputs'!$B$31+'Inputs'!$B$32,'Inputs'!$B$30+'Inputs'!$B$31+'Inputs'!$B$32)/1000+'Inputs'!$B$21+'Inputs'!$B$9+'Inputs'!$B$10)+'Inputs'!$B$7)/SQRT((((159-43)*MAX('Inputs'!$B$33,'Inputs'!$B$29+'Inputs'!$B$31+'Inputs'!$B$32,'Inputs'!$B$30+'Inputs'!$B$31+'Inputs'!$B$32)/1000+'Inputs'!$B$21+'Inputs'!$B$9+'Inputs'!$B$10)+'Inputs'!$B$7)^2+('Inputs'!$B$6/2)^2)-(((159-43)*MAX('Inputs'!$B$33,'Inputs'!$B$29+'Inputs'!$B$31+'Inputs'!$B$32,'Inputs'!$B$30+'Inputs'!$B$31+'Inputs'!$B$32)/1000+'Inputs'!$B$21+'Inputs'!$B$9+'Inputs'!$B$10))/SQRT((((159-43)*MAX('Inputs'!$B$33,'Inputs'!$B$29+'Inputs'!$B$31+'Inputs'!$B$32,'Inputs'!$B$30+'Inputs'!$B$31+'Inputs'!$B$32)/1000+'Inputs'!$B$21+'Inputs'!$B$9+'Inputs'!$B$10))^2+('Inputs'!$B$6/2)^2))))*'Results'!$B$8))),"")</x:f>
        <x:v>246.80558944322604</x:v>
      </x:c>
      <x:c r="O159" t="n">
        <x:f>IF(AND(ISNUMBER('Results'!C7),ISNUMBER('Results'!B7),ISNUMBER('Results'!$B$8),ISNUMBER('Inputs'!$B$6),ISNUMBER('Inputs'!$B$7),ISNUMBER('Inputs'!$B$8),ISNUMBER('Inputs'!$B$9),ISNUMBER('Inputs'!$B$10),ISNUMBER('Inputs'!$B$21),ISNUMBER('Inputs'!$B$24),ISNUMBER('Inputs'!$B$28)),((('Results'!C7*(1+'Inputs'!$B$24)*(0.5*((((159-43)*MAX('Inputs'!$B$33,'Inputs'!$B$29+'Inputs'!$B$31+'Inputs'!$B$32,'Inputs'!$B$30+'Inputs'!$B$31+'Inputs'!$B$32)/1000+'Inputs'!$B$21)+'Inputs'!$B$9)/SQRT((((159-43)*MAX('Inputs'!$B$33,'Inputs'!$B$29+'Inputs'!$B$31+'Inputs'!$B$32,'Inputs'!$B$30+'Inputs'!$B$31+'Inputs'!$B$32)/1000+'Inputs'!$B$21)+'Inputs'!$B$9)^2+('Inputs'!$B$8/2)^2)-(((159-43)*MAX('Inputs'!$B$33,'Inputs'!$B$29+'Inputs'!$B$31+'Inputs'!$B$32,'Inputs'!$B$30+'Inputs'!$B$31+'Inputs'!$B$32)/1000+'Inputs'!$B$21))/SQRT((((159-43)*MAX('Inputs'!$B$33,'Inputs'!$B$29+'Inputs'!$B$31+'Inputs'!$B$32,'Inputs'!$B$30+'Inputs'!$B$31+'Inputs'!$B$32)/1000+'Inputs'!$B$21))^2+('Inputs'!$B$8/2)^2)))-'Results'!B7*(1-'Inputs'!$B$24)*(0.5*((((159-43)*MAX('Inputs'!$B$33,'Inputs'!$B$29+'Inputs'!$B$31+'Inputs'!$B$32,'Inputs'!$B$30+'Inputs'!$B$31+'Inputs'!$B$32)/1000+'Inputs'!$B$21+'Inputs'!$B$9+'Inputs'!$B$10)+'Inputs'!$B$7)/SQRT((((159-43)*MAX('Inputs'!$B$33,'Inputs'!$B$29+'Inputs'!$B$31+'Inputs'!$B$32,'Inputs'!$B$30+'Inputs'!$B$31+'Inputs'!$B$32)/1000+'Inputs'!$B$21+'Inputs'!$B$9+'Inputs'!$B$10)+'Inputs'!$B$7)^2+('Inputs'!$B$6/2)^2)-(((159-43)*MAX('Inputs'!$B$33,'Inputs'!$B$29+'Inputs'!$B$31+'Inputs'!$B$32,'Inputs'!$B$30+'Inputs'!$B$31+'Inputs'!$B$32)/1000+'Inputs'!$B$21+'Inputs'!$B$9+'Inputs'!$B$10))/SQRT((((159-43)*MAX('Inputs'!$B$33,'Inputs'!$B$29+'Inputs'!$B$31+'Inputs'!$B$32,'Inputs'!$B$30+'Inputs'!$B$31+'Inputs'!$B$32)/1000+'Inputs'!$B$21+'Inputs'!$B$9+'Inputs'!$B$10))^2+('Inputs'!$B$6/2)^2))))*'Results'!$B$8)+'Inputs'!$B$28*ABS((('Results'!C7*(1+'Inputs'!$B$24)*(0.5*((((159-43)*MAX('Inputs'!$B$33,'Inputs'!$B$29+'Inputs'!$B$31+'Inputs'!$B$32,'Inputs'!$B$30+'Inputs'!$B$31+'Inputs'!$B$32)/1000+'Inputs'!$B$21)+'Inputs'!$B$9)/SQRT((((159-43)*MAX('Inputs'!$B$33,'Inputs'!$B$29+'Inputs'!$B$31+'Inputs'!$B$32,'Inputs'!$B$30+'Inputs'!$B$31+'Inputs'!$B$32)/1000+'Inputs'!$B$21)+'Inputs'!$B$9)^2+('Inputs'!$B$8/2)^2)-(((159-43)*MAX('Inputs'!$B$33,'Inputs'!$B$29+'Inputs'!$B$31+'Inputs'!$B$32,'Inputs'!$B$30+'Inputs'!$B$31+'Inputs'!$B$32)/1000+'Inputs'!$B$21))/SQRT((((159-43)*MAX('Inputs'!$B$33,'Inputs'!$B$29+'Inputs'!$B$31+'Inputs'!$B$32,'Inputs'!$B$30+'Inputs'!$B$31+'Inputs'!$B$32)/1000+'Inputs'!$B$21))^2+('Inputs'!$B$8/2)^2)))-'Results'!B7*(1-'Inputs'!$B$24)*(0.5*((((159-43)*MAX('Inputs'!$B$33,'Inputs'!$B$29+'Inputs'!$B$31+'Inputs'!$B$32,'Inputs'!$B$30+'Inputs'!$B$31+'Inputs'!$B$32)/1000+'Inputs'!$B$21+'Inputs'!$B$9+'Inputs'!$B$10)+'Inputs'!$B$7)/SQRT((((159-43)*MAX('Inputs'!$B$33,'Inputs'!$B$29+'Inputs'!$B$31+'Inputs'!$B$32,'Inputs'!$B$30+'Inputs'!$B$31+'Inputs'!$B$32)/1000+'Inputs'!$B$21+'Inputs'!$B$9+'Inputs'!$B$10)+'Inputs'!$B$7)^2+('Inputs'!$B$6/2)^2)-(((159-43)*MAX('Inputs'!$B$33,'Inputs'!$B$29+'Inputs'!$B$31+'Inputs'!$B$32,'Inputs'!$B$30+'Inputs'!$B$31+'Inputs'!$B$32)/1000+'Inputs'!$B$21+'Inputs'!$B$9+'Inputs'!$B$10))/SQRT((((159-43)*MAX('Inputs'!$B$33,'Inputs'!$B$29+'Inputs'!$B$31+'Inputs'!$B$32,'Inputs'!$B$30+'Inputs'!$B$31+'Inputs'!$B$32)/1000+'Inputs'!$B$21+'Inputs'!$B$9+'Inputs'!$B$10))^2+('Inputs'!$B$6/2)^2))))*'Results'!$B$8))),"")</x:f>
        <x:v>290.2671430125538</x:v>
      </x:c>
      <x:c r="P159" t="n">
        <x:f>IF(AND(MAX(J159,J158)&gt;0,J159&gt;J158+0.00000001),1,0)</x:f>
        <x:v>0</x:v>
      </x:c>
      <x:c r="Q159" t="n">
        <x:f>IF(AND(MAX(K159,K158)&gt;0,K159&gt;K158+0.00000001),1,0)</x:f>
        <x:v>0</x:v>
      </x:c>
      <x:c r="R159" t="n">
        <x:f>IF(AND(MAX(L159,L158)&gt;0,L159&gt;L158+0.00000001),1,0)</x:f>
        <x:v>0</x:v>
      </x:c>
      <x:c r="S159" t="n">
        <x:f>IF(AND(MAX(M159,M158)&gt;0,M159&gt;M158+0.00000001),1,0)</x:f>
        <x:v>0</x:v>
      </x:c>
      <x:c r="T159" t="n">
        <x:f>IF(AND(MAX(N159,N158)&gt;0,N159&gt;N158+0.00000001),1,0)</x:f>
        <x:v>0</x:v>
      </x:c>
      <x:c r="U159" t="n">
        <x:f>IF(AND(MAX(O159,O158)&gt;0,O159&gt;O158+0.00000001),1,0)</x:f>
        <x:v>0</x:v>
      </x:c>
    </x:row>
    <x:row r="160">
      <x:c r="J160" t="n">
        <x:f>IF(AND(ISNUMBER('Results'!B7),ISNUMBER('Results'!C7),ISNUMBER('Results'!$B$8),ISNUMBER('Inputs'!$B$6),ISNUMBER('Inputs'!$B$7),ISNUMBER('Inputs'!$B$8),ISNUMBER('Inputs'!$B$9),ISNUMBER('Inputs'!$B$10),ISNUMBER('Inputs'!$B$21),ISNUMBER('Inputs'!$B$24),ISNUMBER('Inputs'!$B$28)),(('Results'!B7*(0.5*((((160-43)*MAX('Inputs'!$B$33,'Inputs'!$B$29+'Inputs'!$B$31+'Inputs'!$B$32,'Inputs'!$B$30+'Inputs'!$B$31+'Inputs'!$B$32)/1000+'Inputs'!$B$21)+'Inputs'!$B$7)/SQRT((((160-43)*MAX('Inputs'!$B$33,'Inputs'!$B$29+'Inputs'!$B$31+'Inputs'!$B$32,'Inputs'!$B$30+'Inputs'!$B$31+'Inputs'!$B$32)/1000+'Inputs'!$B$21)+'Inputs'!$B$7)^2+('Inputs'!$B$6/2)^2)-(((160-43)*MAX('Inputs'!$B$33,'Inputs'!$B$29+'Inputs'!$B$31+'Inputs'!$B$32,'Inputs'!$B$30+'Inputs'!$B$31+'Inputs'!$B$32)/1000+'Inputs'!$B$21))/SQRT((((160-43)*MAX('Inputs'!$B$33,'Inputs'!$B$29+'Inputs'!$B$31+'Inputs'!$B$32,'Inputs'!$B$30+'Inputs'!$B$31+'Inputs'!$B$32)/1000+'Inputs'!$B$21))^2+('Inputs'!$B$6/2)^2)))-'Results'!C7*(0.5*((((160-43)*MAX('Inputs'!$B$33,'Inputs'!$B$29+'Inputs'!$B$31+'Inputs'!$B$32,'Inputs'!$B$30+'Inputs'!$B$31+'Inputs'!$B$32)/1000+'Inputs'!$B$21+'Inputs'!$B$7+'Inputs'!$B$10)+'Inputs'!$B$9)/SQRT((((160-43)*MAX('Inputs'!$B$33,'Inputs'!$B$29+'Inputs'!$B$31+'Inputs'!$B$32,'Inputs'!$B$30+'Inputs'!$B$31+'Inputs'!$B$32)/1000+'Inputs'!$B$21+'Inputs'!$B$7+'Inputs'!$B$10)+'Inputs'!$B$9)^2+('Inputs'!$B$8/2)^2)-(((160-43)*MAX('Inputs'!$B$33,'Inputs'!$B$29+'Inputs'!$B$31+'Inputs'!$B$32,'Inputs'!$B$30+'Inputs'!$B$31+'Inputs'!$B$32)/1000+'Inputs'!$B$21+'Inputs'!$B$7+'Inputs'!$B$10))/SQRT((((160-43)*MAX('Inputs'!$B$33,'Inputs'!$B$29+'Inputs'!$B$31+'Inputs'!$B$32,'Inputs'!$B$30+'Inputs'!$B$31+'Inputs'!$B$32)/1000+'Inputs'!$B$21+'Inputs'!$B$7+'Inputs'!$B$10))^2+('Inputs'!$B$8/2)^2))))*'Results'!$B$8),"")</x:f>
        <x:v>271.6395140254308</x:v>
      </x:c>
      <x:c r="K160" t="n">
        <x:f>IF(AND(ISNUMBER('Results'!B7),ISNUMBER('Results'!C7),ISNUMBER('Results'!$B$8),ISNUMBER('Inputs'!$B$6),ISNUMBER('Inputs'!$B$7),ISNUMBER('Inputs'!$B$8),ISNUMBER('Inputs'!$B$9),ISNUMBER('Inputs'!$B$10),ISNUMBER('Inputs'!$B$21),ISNUMBER('Inputs'!$B$24),ISNUMBER('Inputs'!$B$28)),((('Results'!B7*(1-'Inputs'!$B$24)*(0.5*((((160-43)*MAX('Inputs'!$B$33,'Inputs'!$B$29+'Inputs'!$B$31+'Inputs'!$B$32,'Inputs'!$B$30+'Inputs'!$B$31+'Inputs'!$B$32)/1000+'Inputs'!$B$21)+'Inputs'!$B$7)/SQRT((((160-43)*MAX('Inputs'!$B$33,'Inputs'!$B$29+'Inputs'!$B$31+'Inputs'!$B$32,'Inputs'!$B$30+'Inputs'!$B$31+'Inputs'!$B$32)/1000+'Inputs'!$B$21)+'Inputs'!$B$7)^2+('Inputs'!$B$6/2)^2)-(((160-43)*MAX('Inputs'!$B$33,'Inputs'!$B$29+'Inputs'!$B$31+'Inputs'!$B$32,'Inputs'!$B$30+'Inputs'!$B$31+'Inputs'!$B$32)/1000+'Inputs'!$B$21))/SQRT((((160-43)*MAX('Inputs'!$B$33,'Inputs'!$B$29+'Inputs'!$B$31+'Inputs'!$B$32,'Inputs'!$B$30+'Inputs'!$B$31+'Inputs'!$B$32)/1000+'Inputs'!$B$21))^2+('Inputs'!$B$6/2)^2)))-'Results'!C7*(1+'Inputs'!$B$24)*(0.5*((((160-43)*MAX('Inputs'!$B$33,'Inputs'!$B$29+'Inputs'!$B$31+'Inputs'!$B$32,'Inputs'!$B$30+'Inputs'!$B$31+'Inputs'!$B$32)/1000+'Inputs'!$B$21+'Inputs'!$B$7+'Inputs'!$B$10)+'Inputs'!$B$9)/SQRT((((160-43)*MAX('Inputs'!$B$33,'Inputs'!$B$29+'Inputs'!$B$31+'Inputs'!$B$32,'Inputs'!$B$30+'Inputs'!$B$31+'Inputs'!$B$32)/1000+'Inputs'!$B$21+'Inputs'!$B$7+'Inputs'!$B$10)+'Inputs'!$B$9)^2+('Inputs'!$B$8/2)^2)-(((160-43)*MAX('Inputs'!$B$33,'Inputs'!$B$29+'Inputs'!$B$31+'Inputs'!$B$32,'Inputs'!$B$30+'Inputs'!$B$31+'Inputs'!$B$32)/1000+'Inputs'!$B$21+'Inputs'!$B$7+'Inputs'!$B$10))/SQRT((((160-43)*MAX('Inputs'!$B$33,'Inputs'!$B$29+'Inputs'!$B$31+'Inputs'!$B$32,'Inputs'!$B$30+'Inputs'!$B$31+'Inputs'!$B$32)/1000+'Inputs'!$B$21+'Inputs'!$B$7+'Inputs'!$B$10))^2+('Inputs'!$B$8/2)^2))))*'Results'!$B$8)-'Inputs'!$B$28*ABS((('Results'!B7*(1-'Inputs'!$B$24)*(0.5*((((160-43)*MAX('Inputs'!$B$33,'Inputs'!$B$29+'Inputs'!$B$31+'Inputs'!$B$32,'Inputs'!$B$30+'Inputs'!$B$31+'Inputs'!$B$32)/1000+'Inputs'!$B$21)+'Inputs'!$B$7)/SQRT((((160-43)*MAX('Inputs'!$B$33,'Inputs'!$B$29+'Inputs'!$B$31+'Inputs'!$B$32,'Inputs'!$B$30+'Inputs'!$B$31+'Inputs'!$B$32)/1000+'Inputs'!$B$21)+'Inputs'!$B$7)^2+('Inputs'!$B$6/2)^2)-(((160-43)*MAX('Inputs'!$B$33,'Inputs'!$B$29+'Inputs'!$B$31+'Inputs'!$B$32,'Inputs'!$B$30+'Inputs'!$B$31+'Inputs'!$B$32)/1000+'Inputs'!$B$21))/SQRT((((160-43)*MAX('Inputs'!$B$33,'Inputs'!$B$29+'Inputs'!$B$31+'Inputs'!$B$32,'Inputs'!$B$30+'Inputs'!$B$31+'Inputs'!$B$32)/1000+'Inputs'!$B$21))^2+('Inputs'!$B$6/2)^2)))-'Results'!C7*(1+'Inputs'!$B$24)*(0.5*((((160-43)*MAX('Inputs'!$B$33,'Inputs'!$B$29+'Inputs'!$B$31+'Inputs'!$B$32,'Inputs'!$B$30+'Inputs'!$B$31+'Inputs'!$B$32)/1000+'Inputs'!$B$21+'Inputs'!$B$7+'Inputs'!$B$10)+'Inputs'!$B$9)/SQRT((((160-43)*MAX('Inputs'!$B$33,'Inputs'!$B$29+'Inputs'!$B$31+'Inputs'!$B$32,'Inputs'!$B$30+'Inputs'!$B$31+'Inputs'!$B$32)/1000+'Inputs'!$B$21+'Inputs'!$B$7+'Inputs'!$B$10)+'Inputs'!$B$9)^2+('Inputs'!$B$8/2)^2)-(((160-43)*MAX('Inputs'!$B$33,'Inputs'!$B$29+'Inputs'!$B$31+'Inputs'!$B$32,'Inputs'!$B$30+'Inputs'!$B$31+'Inputs'!$B$32)/1000+'Inputs'!$B$21+'Inputs'!$B$7+'Inputs'!$B$10))/SQRT((((160-43)*MAX('Inputs'!$B$33,'Inputs'!$B$29+'Inputs'!$B$31+'Inputs'!$B$32,'Inputs'!$B$30+'Inputs'!$B$31+'Inputs'!$B$32)/1000+'Inputs'!$B$21+'Inputs'!$B$7+'Inputs'!$B$10))^2+('Inputs'!$B$8/2)^2))))*'Results'!$B$8))),"")</x:f>
        <x:v>250.16839867583852</x:v>
      </x:c>
      <x:c r="L160" t="n">
        <x:f>IF(AND(ISNUMBER('Results'!B7),ISNUMBER('Results'!C7),ISNUMBER('Results'!$B$8),ISNUMBER('Inputs'!$B$6),ISNUMBER('Inputs'!$B$7),ISNUMBER('Inputs'!$B$8),ISNUMBER('Inputs'!$B$9),ISNUMBER('Inputs'!$B$10),ISNUMBER('Inputs'!$B$21),ISNUMBER('Inputs'!$B$24),ISNUMBER('Inputs'!$B$28)),((('Results'!B7*(1+'Inputs'!$B$24)*(0.5*((((160-43)*MAX('Inputs'!$B$33,'Inputs'!$B$29+'Inputs'!$B$31+'Inputs'!$B$32,'Inputs'!$B$30+'Inputs'!$B$31+'Inputs'!$B$32)/1000+'Inputs'!$B$21)+'Inputs'!$B$7)/SQRT((((160-43)*MAX('Inputs'!$B$33,'Inputs'!$B$29+'Inputs'!$B$31+'Inputs'!$B$32,'Inputs'!$B$30+'Inputs'!$B$31+'Inputs'!$B$32)/1000+'Inputs'!$B$21)+'Inputs'!$B$7)^2+('Inputs'!$B$6/2)^2)-(((160-43)*MAX('Inputs'!$B$33,'Inputs'!$B$29+'Inputs'!$B$31+'Inputs'!$B$32,'Inputs'!$B$30+'Inputs'!$B$31+'Inputs'!$B$32)/1000+'Inputs'!$B$21))/SQRT((((160-43)*MAX('Inputs'!$B$33,'Inputs'!$B$29+'Inputs'!$B$31+'Inputs'!$B$32,'Inputs'!$B$30+'Inputs'!$B$31+'Inputs'!$B$32)/1000+'Inputs'!$B$21))^2+('Inputs'!$B$6/2)^2)))-'Results'!C7*(1-'Inputs'!$B$24)*(0.5*((((160-43)*MAX('Inputs'!$B$33,'Inputs'!$B$29+'Inputs'!$B$31+'Inputs'!$B$32,'Inputs'!$B$30+'Inputs'!$B$31+'Inputs'!$B$32)/1000+'Inputs'!$B$21+'Inputs'!$B$7+'Inputs'!$B$10)+'Inputs'!$B$9)/SQRT((((160-43)*MAX('Inputs'!$B$33,'Inputs'!$B$29+'Inputs'!$B$31+'Inputs'!$B$32,'Inputs'!$B$30+'Inputs'!$B$31+'Inputs'!$B$32)/1000+'Inputs'!$B$21+'Inputs'!$B$7+'Inputs'!$B$10)+'Inputs'!$B$9)^2+('Inputs'!$B$8/2)^2)-(((160-43)*MAX('Inputs'!$B$33,'Inputs'!$B$29+'Inputs'!$B$31+'Inputs'!$B$32,'Inputs'!$B$30+'Inputs'!$B$31+'Inputs'!$B$32)/1000+'Inputs'!$B$21+'Inputs'!$B$7+'Inputs'!$B$10))/SQRT((((160-43)*MAX('Inputs'!$B$33,'Inputs'!$B$29+'Inputs'!$B$31+'Inputs'!$B$32,'Inputs'!$B$30+'Inputs'!$B$31+'Inputs'!$B$32)/1000+'Inputs'!$B$21+'Inputs'!$B$7+'Inputs'!$B$10))^2+('Inputs'!$B$8/2)^2))))*'Results'!$B$8)+'Inputs'!$B$28*ABS((('Results'!B7*(1+'Inputs'!$B$24)*(0.5*((((160-43)*MAX('Inputs'!$B$33,'Inputs'!$B$29+'Inputs'!$B$31+'Inputs'!$B$32,'Inputs'!$B$30+'Inputs'!$B$31+'Inputs'!$B$32)/1000+'Inputs'!$B$21)+'Inputs'!$B$7)/SQRT((((160-43)*MAX('Inputs'!$B$33,'Inputs'!$B$29+'Inputs'!$B$31+'Inputs'!$B$32,'Inputs'!$B$30+'Inputs'!$B$31+'Inputs'!$B$32)/1000+'Inputs'!$B$21)+'Inputs'!$B$7)^2+('Inputs'!$B$6/2)^2)-(((160-43)*MAX('Inputs'!$B$33,'Inputs'!$B$29+'Inputs'!$B$31+'Inputs'!$B$32,'Inputs'!$B$30+'Inputs'!$B$31+'Inputs'!$B$32)/1000+'Inputs'!$B$21))/SQRT((((160-43)*MAX('Inputs'!$B$33,'Inputs'!$B$29+'Inputs'!$B$31+'Inputs'!$B$32,'Inputs'!$B$30+'Inputs'!$B$31+'Inputs'!$B$32)/1000+'Inputs'!$B$21))^2+('Inputs'!$B$6/2)^2)))-'Results'!C7*(1-'Inputs'!$B$24)*(0.5*((((160-43)*MAX('Inputs'!$B$33,'Inputs'!$B$29+'Inputs'!$B$31+'Inputs'!$B$32,'Inputs'!$B$30+'Inputs'!$B$31+'Inputs'!$B$32)/1000+'Inputs'!$B$21+'Inputs'!$B$7+'Inputs'!$B$10)+'Inputs'!$B$9)/SQRT((((160-43)*MAX('Inputs'!$B$33,'Inputs'!$B$29+'Inputs'!$B$31+'Inputs'!$B$32,'Inputs'!$B$30+'Inputs'!$B$31+'Inputs'!$B$32)/1000+'Inputs'!$B$21+'Inputs'!$B$7+'Inputs'!$B$10)+'Inputs'!$B$9)^2+('Inputs'!$B$8/2)^2)-(((160-43)*MAX('Inputs'!$B$33,'Inputs'!$B$29+'Inputs'!$B$31+'Inputs'!$B$32,'Inputs'!$B$30+'Inputs'!$B$31+'Inputs'!$B$32)/1000+'Inputs'!$B$21+'Inputs'!$B$7+'Inputs'!$B$10))/SQRT((((160-43)*MAX('Inputs'!$B$33,'Inputs'!$B$29+'Inputs'!$B$31+'Inputs'!$B$32,'Inputs'!$B$30+'Inputs'!$B$31+'Inputs'!$B$32)/1000+'Inputs'!$B$21+'Inputs'!$B$7+'Inputs'!$B$10))^2+('Inputs'!$B$8/2)^2))))*'Results'!$B$8))),"")</x:f>
        <x:v>293.941065127478</x:v>
      </x:c>
      <x:c r="M160" t="n">
        <x:f>IF(AND(ISNUMBER('Results'!C7),ISNUMBER('Results'!B7),ISNUMBER('Results'!$B$8),ISNUMBER('Inputs'!$B$6),ISNUMBER('Inputs'!$B$7),ISNUMBER('Inputs'!$B$8),ISNUMBER('Inputs'!$B$9),ISNUMBER('Inputs'!$B$10),ISNUMBER('Inputs'!$B$21),ISNUMBER('Inputs'!$B$24),ISNUMBER('Inputs'!$B$28)),(('Results'!C7*(0.5*((((160-43)*MAX('Inputs'!$B$33,'Inputs'!$B$29+'Inputs'!$B$31+'Inputs'!$B$32,'Inputs'!$B$30+'Inputs'!$B$31+'Inputs'!$B$32)/1000+'Inputs'!$B$21)+'Inputs'!$B$9)/SQRT((((160-43)*MAX('Inputs'!$B$33,'Inputs'!$B$29+'Inputs'!$B$31+'Inputs'!$B$32,'Inputs'!$B$30+'Inputs'!$B$31+'Inputs'!$B$32)/1000+'Inputs'!$B$21)+'Inputs'!$B$9)^2+('Inputs'!$B$8/2)^2)-(((160-43)*MAX('Inputs'!$B$33,'Inputs'!$B$29+'Inputs'!$B$31+'Inputs'!$B$32,'Inputs'!$B$30+'Inputs'!$B$31+'Inputs'!$B$32)/1000+'Inputs'!$B$21))/SQRT((((160-43)*MAX('Inputs'!$B$33,'Inputs'!$B$29+'Inputs'!$B$31+'Inputs'!$B$32,'Inputs'!$B$30+'Inputs'!$B$31+'Inputs'!$B$32)/1000+'Inputs'!$B$21))^2+('Inputs'!$B$8/2)^2)))-'Results'!B7*(0.5*((((160-43)*MAX('Inputs'!$B$33,'Inputs'!$B$29+'Inputs'!$B$31+'Inputs'!$B$32,'Inputs'!$B$30+'Inputs'!$B$31+'Inputs'!$B$32)/1000+'Inputs'!$B$21+'Inputs'!$B$9+'Inputs'!$B$10)+'Inputs'!$B$7)/SQRT((((160-43)*MAX('Inputs'!$B$33,'Inputs'!$B$29+'Inputs'!$B$31+'Inputs'!$B$32,'Inputs'!$B$30+'Inputs'!$B$31+'Inputs'!$B$32)/1000+'Inputs'!$B$21+'Inputs'!$B$9+'Inputs'!$B$10)+'Inputs'!$B$7)^2+('Inputs'!$B$6/2)^2)-(((160-43)*MAX('Inputs'!$B$33,'Inputs'!$B$29+'Inputs'!$B$31+'Inputs'!$B$32,'Inputs'!$B$30+'Inputs'!$B$31+'Inputs'!$B$32)/1000+'Inputs'!$B$21+'Inputs'!$B$9+'Inputs'!$B$10))/SQRT((((160-43)*MAX('Inputs'!$B$33,'Inputs'!$B$29+'Inputs'!$B$31+'Inputs'!$B$32,'Inputs'!$B$30+'Inputs'!$B$31+'Inputs'!$B$32)/1000+'Inputs'!$B$21+'Inputs'!$B$9+'Inputs'!$B$10))^2+('Inputs'!$B$6/2)^2))))*'Results'!$B$8),"")</x:f>
        <x:v>263.3058547943108</x:v>
      </x:c>
      <x:c r="N160" t="n">
        <x:f>IF(AND(ISNUMBER('Results'!C7),ISNUMBER('Results'!B7),ISNUMBER('Results'!$B$8),ISNUMBER('Inputs'!$B$6),ISNUMBER('Inputs'!$B$7),ISNUMBER('Inputs'!$B$8),ISNUMBER('Inputs'!$B$9),ISNUMBER('Inputs'!$B$10),ISNUMBER('Inputs'!$B$21),ISNUMBER('Inputs'!$B$24),ISNUMBER('Inputs'!$B$28)),((('Results'!C7*(1-'Inputs'!$B$24)*(0.5*((((160-43)*MAX('Inputs'!$B$33,'Inputs'!$B$29+'Inputs'!$B$31+'Inputs'!$B$32,'Inputs'!$B$30+'Inputs'!$B$31+'Inputs'!$B$32)/1000+'Inputs'!$B$21)+'Inputs'!$B$9)/SQRT((((160-43)*MAX('Inputs'!$B$33,'Inputs'!$B$29+'Inputs'!$B$31+'Inputs'!$B$32,'Inputs'!$B$30+'Inputs'!$B$31+'Inputs'!$B$32)/1000+'Inputs'!$B$21)+'Inputs'!$B$9)^2+('Inputs'!$B$8/2)^2)-(((160-43)*MAX('Inputs'!$B$33,'Inputs'!$B$29+'Inputs'!$B$31+'Inputs'!$B$32,'Inputs'!$B$30+'Inputs'!$B$31+'Inputs'!$B$32)/1000+'Inputs'!$B$21))/SQRT((((160-43)*MAX('Inputs'!$B$33,'Inputs'!$B$29+'Inputs'!$B$31+'Inputs'!$B$32,'Inputs'!$B$30+'Inputs'!$B$31+'Inputs'!$B$32)/1000+'Inputs'!$B$21))^2+('Inputs'!$B$8/2)^2)))-'Results'!B7*(1+'Inputs'!$B$24)*(0.5*((((160-43)*MAX('Inputs'!$B$33,'Inputs'!$B$29+'Inputs'!$B$31+'Inputs'!$B$32,'Inputs'!$B$30+'Inputs'!$B$31+'Inputs'!$B$32)/1000+'Inputs'!$B$21+'Inputs'!$B$9+'Inputs'!$B$10)+'Inputs'!$B$7)/SQRT((((160-43)*MAX('Inputs'!$B$33,'Inputs'!$B$29+'Inputs'!$B$31+'Inputs'!$B$32,'Inputs'!$B$30+'Inputs'!$B$31+'Inputs'!$B$32)/1000+'Inputs'!$B$21+'Inputs'!$B$9+'Inputs'!$B$10)+'Inputs'!$B$7)^2+('Inputs'!$B$6/2)^2)-(((160-43)*MAX('Inputs'!$B$33,'Inputs'!$B$29+'Inputs'!$B$31+'Inputs'!$B$32,'Inputs'!$B$30+'Inputs'!$B$31+'Inputs'!$B$32)/1000+'Inputs'!$B$21+'Inputs'!$B$9+'Inputs'!$B$10))/SQRT((((160-43)*MAX('Inputs'!$B$33,'Inputs'!$B$29+'Inputs'!$B$31+'Inputs'!$B$32,'Inputs'!$B$30+'Inputs'!$B$31+'Inputs'!$B$32)/1000+'Inputs'!$B$21+'Inputs'!$B$9+'Inputs'!$B$10))^2+('Inputs'!$B$6/2)^2))))*'Results'!$B$8)-'Inputs'!$B$28*ABS((('Results'!C7*(1-'Inputs'!$B$24)*(0.5*((((160-43)*MAX('Inputs'!$B$33,'Inputs'!$B$29+'Inputs'!$B$31+'Inputs'!$B$32,'Inputs'!$B$30+'Inputs'!$B$31+'Inputs'!$B$32)/1000+'Inputs'!$B$21)+'Inputs'!$B$9)/SQRT((((160-43)*MAX('Inputs'!$B$33,'Inputs'!$B$29+'Inputs'!$B$31+'Inputs'!$B$32,'Inputs'!$B$30+'Inputs'!$B$31+'Inputs'!$B$32)/1000+'Inputs'!$B$21)+'Inputs'!$B$9)^2+('Inputs'!$B$8/2)^2)-(((160-43)*MAX('Inputs'!$B$33,'Inputs'!$B$29+'Inputs'!$B$31+'Inputs'!$B$32,'Inputs'!$B$30+'Inputs'!$B$31+'Inputs'!$B$32)/1000+'Inputs'!$B$21))/SQRT((((160-43)*MAX('Inputs'!$B$33,'Inputs'!$B$29+'Inputs'!$B$31+'Inputs'!$B$32,'Inputs'!$B$30+'Inputs'!$B$31+'Inputs'!$B$32)/1000+'Inputs'!$B$21))^2+('Inputs'!$B$8/2)^2)))-'Results'!B7*(1+'Inputs'!$B$24)*(0.5*((((160-43)*MAX('Inputs'!$B$33,'Inputs'!$B$29+'Inputs'!$B$31+'Inputs'!$B$32,'Inputs'!$B$30+'Inputs'!$B$31+'Inputs'!$B$32)/1000+'Inputs'!$B$21+'Inputs'!$B$9+'Inputs'!$B$10)+'Inputs'!$B$7)/SQRT((((160-43)*MAX('Inputs'!$B$33,'Inputs'!$B$29+'Inputs'!$B$31+'Inputs'!$B$32,'Inputs'!$B$30+'Inputs'!$B$31+'Inputs'!$B$32)/1000+'Inputs'!$B$21+'Inputs'!$B$9+'Inputs'!$B$10)+'Inputs'!$B$7)^2+('Inputs'!$B$6/2)^2)-(((160-43)*MAX('Inputs'!$B$33,'Inputs'!$B$29+'Inputs'!$B$31+'Inputs'!$B$32,'Inputs'!$B$30+'Inputs'!$B$31+'Inputs'!$B$32)/1000+'Inputs'!$B$21+'Inputs'!$B$9+'Inputs'!$B$10))/SQRT((((160-43)*MAX('Inputs'!$B$33,'Inputs'!$B$29+'Inputs'!$B$31+'Inputs'!$B$32,'Inputs'!$B$30+'Inputs'!$B$31+'Inputs'!$B$32)/1000+'Inputs'!$B$21+'Inputs'!$B$9+'Inputs'!$B$10))^2+('Inputs'!$B$6/2)^2))))*'Results'!$B$8))),"")</x:f>
        <x:v>242.35408868917912</x:v>
      </x:c>
      <x:c r="O160" t="n">
        <x:f>IF(AND(ISNUMBER('Results'!C7),ISNUMBER('Results'!B7),ISNUMBER('Results'!$B$8),ISNUMBER('Inputs'!$B$6),ISNUMBER('Inputs'!$B$7),ISNUMBER('Inputs'!$B$8),ISNUMBER('Inputs'!$B$9),ISNUMBER('Inputs'!$B$10),ISNUMBER('Inputs'!$B$21),ISNUMBER('Inputs'!$B$24),ISNUMBER('Inputs'!$B$28)),((('Results'!C7*(1+'Inputs'!$B$24)*(0.5*((((160-43)*MAX('Inputs'!$B$33,'Inputs'!$B$29+'Inputs'!$B$31+'Inputs'!$B$32,'Inputs'!$B$30+'Inputs'!$B$31+'Inputs'!$B$32)/1000+'Inputs'!$B$21)+'Inputs'!$B$9)/SQRT((((160-43)*MAX('Inputs'!$B$33,'Inputs'!$B$29+'Inputs'!$B$31+'Inputs'!$B$32,'Inputs'!$B$30+'Inputs'!$B$31+'Inputs'!$B$32)/1000+'Inputs'!$B$21)+'Inputs'!$B$9)^2+('Inputs'!$B$8/2)^2)-(((160-43)*MAX('Inputs'!$B$33,'Inputs'!$B$29+'Inputs'!$B$31+'Inputs'!$B$32,'Inputs'!$B$30+'Inputs'!$B$31+'Inputs'!$B$32)/1000+'Inputs'!$B$21))/SQRT((((160-43)*MAX('Inputs'!$B$33,'Inputs'!$B$29+'Inputs'!$B$31+'Inputs'!$B$32,'Inputs'!$B$30+'Inputs'!$B$31+'Inputs'!$B$32)/1000+'Inputs'!$B$21))^2+('Inputs'!$B$8/2)^2)))-'Results'!B7*(1-'Inputs'!$B$24)*(0.5*((((160-43)*MAX('Inputs'!$B$33,'Inputs'!$B$29+'Inputs'!$B$31+'Inputs'!$B$32,'Inputs'!$B$30+'Inputs'!$B$31+'Inputs'!$B$32)/1000+'Inputs'!$B$21+'Inputs'!$B$9+'Inputs'!$B$10)+'Inputs'!$B$7)/SQRT((((160-43)*MAX('Inputs'!$B$33,'Inputs'!$B$29+'Inputs'!$B$31+'Inputs'!$B$32,'Inputs'!$B$30+'Inputs'!$B$31+'Inputs'!$B$32)/1000+'Inputs'!$B$21+'Inputs'!$B$9+'Inputs'!$B$10)+'Inputs'!$B$7)^2+('Inputs'!$B$6/2)^2)-(((160-43)*MAX('Inputs'!$B$33,'Inputs'!$B$29+'Inputs'!$B$31+'Inputs'!$B$32,'Inputs'!$B$30+'Inputs'!$B$31+'Inputs'!$B$32)/1000+'Inputs'!$B$21+'Inputs'!$B$9+'Inputs'!$B$10))/SQRT((((160-43)*MAX('Inputs'!$B$33,'Inputs'!$B$29+'Inputs'!$B$31+'Inputs'!$B$32,'Inputs'!$B$30+'Inputs'!$B$31+'Inputs'!$B$32)/1000+'Inputs'!$B$21+'Inputs'!$B$9+'Inputs'!$B$10))^2+('Inputs'!$B$6/2)^2))))*'Results'!$B$8)+'Inputs'!$B$28*ABS((('Results'!C7*(1+'Inputs'!$B$24)*(0.5*((((160-43)*MAX('Inputs'!$B$33,'Inputs'!$B$29+'Inputs'!$B$31+'Inputs'!$B$32,'Inputs'!$B$30+'Inputs'!$B$31+'Inputs'!$B$32)/1000+'Inputs'!$B$21)+'Inputs'!$B$9)/SQRT((((160-43)*MAX('Inputs'!$B$33,'Inputs'!$B$29+'Inputs'!$B$31+'Inputs'!$B$32,'Inputs'!$B$30+'Inputs'!$B$31+'Inputs'!$B$32)/1000+'Inputs'!$B$21)+'Inputs'!$B$9)^2+('Inputs'!$B$8/2)^2)-(((160-43)*MAX('Inputs'!$B$33,'Inputs'!$B$29+'Inputs'!$B$31+'Inputs'!$B$32,'Inputs'!$B$30+'Inputs'!$B$31+'Inputs'!$B$32)/1000+'Inputs'!$B$21))/SQRT((((160-43)*MAX('Inputs'!$B$33,'Inputs'!$B$29+'Inputs'!$B$31+'Inputs'!$B$32,'Inputs'!$B$30+'Inputs'!$B$31+'Inputs'!$B$32)/1000+'Inputs'!$B$21))^2+('Inputs'!$B$8/2)^2)))-'Results'!B7*(1-'Inputs'!$B$24)*(0.5*((((160-43)*MAX('Inputs'!$B$33,'Inputs'!$B$29+'Inputs'!$B$31+'Inputs'!$B$32,'Inputs'!$B$30+'Inputs'!$B$31+'Inputs'!$B$32)/1000+'Inputs'!$B$21+'Inputs'!$B$9+'Inputs'!$B$10)+'Inputs'!$B$7)/SQRT((((160-43)*MAX('Inputs'!$B$33,'Inputs'!$B$29+'Inputs'!$B$31+'Inputs'!$B$32,'Inputs'!$B$30+'Inputs'!$B$31+'Inputs'!$B$32)/1000+'Inputs'!$B$21+'Inputs'!$B$9+'Inputs'!$B$10)+'Inputs'!$B$7)^2+('Inputs'!$B$6/2)^2)-(((160-43)*MAX('Inputs'!$B$33,'Inputs'!$B$29+'Inputs'!$B$31+'Inputs'!$B$32,'Inputs'!$B$30+'Inputs'!$B$31+'Inputs'!$B$32)/1000+'Inputs'!$B$21+'Inputs'!$B$9+'Inputs'!$B$10))/SQRT((((160-43)*MAX('Inputs'!$B$33,'Inputs'!$B$29+'Inputs'!$B$31+'Inputs'!$B$32,'Inputs'!$B$30+'Inputs'!$B$31+'Inputs'!$B$32)/1000+'Inputs'!$B$21+'Inputs'!$B$9+'Inputs'!$B$10))^2+('Inputs'!$B$6/2)^2))))*'Results'!$B$8))),"")</x:f>
        <x:v>285.0772496747493</x:v>
      </x:c>
      <x:c r="P160" t="n">
        <x:f>IF(AND(MAX(J160,J159)&gt;0,J160&gt;J159+0.00000001),1,0)</x:f>
        <x:v>0</x:v>
      </x:c>
      <x:c r="Q160" t="n">
        <x:f>IF(AND(MAX(K160,K159)&gt;0,K160&gt;K159+0.00000001),1,0)</x:f>
        <x:v>0</x:v>
      </x:c>
      <x:c r="R160" t="n">
        <x:f>IF(AND(MAX(L160,L159)&gt;0,L160&gt;L159+0.00000001),1,0)</x:f>
        <x:v>0</x:v>
      </x:c>
      <x:c r="S160" t="n">
        <x:f>IF(AND(MAX(M160,M159)&gt;0,M160&gt;M159+0.00000001),1,0)</x:f>
        <x:v>0</x:v>
      </x:c>
      <x:c r="T160" t="n">
        <x:f>IF(AND(MAX(N160,N159)&gt;0,N160&gt;N159+0.00000001),1,0)</x:f>
        <x:v>0</x:v>
      </x:c>
      <x:c r="U160" t="n">
        <x:f>IF(AND(MAX(O160,O159)&gt;0,O160&gt;O159+0.00000001),1,0)</x:f>
        <x:v>0</x:v>
      </x:c>
    </x:row>
    <x:row r="161">
      <x:c r="J161" t="n">
        <x:f>IF(AND(ISNUMBER('Results'!B7),ISNUMBER('Results'!C7),ISNUMBER('Results'!$B$8),ISNUMBER('Inputs'!$B$6),ISNUMBER('Inputs'!$B$7),ISNUMBER('Inputs'!$B$8),ISNUMBER('Inputs'!$B$9),ISNUMBER('Inputs'!$B$10),ISNUMBER('Inputs'!$B$21),ISNUMBER('Inputs'!$B$24),ISNUMBER('Inputs'!$B$28)),(('Results'!B7*(0.5*((((161-43)*MAX('Inputs'!$B$33,'Inputs'!$B$29+'Inputs'!$B$31+'Inputs'!$B$32,'Inputs'!$B$30+'Inputs'!$B$31+'Inputs'!$B$32)/1000+'Inputs'!$B$21)+'Inputs'!$B$7)/SQRT((((161-43)*MAX('Inputs'!$B$33,'Inputs'!$B$29+'Inputs'!$B$31+'Inputs'!$B$32,'Inputs'!$B$30+'Inputs'!$B$31+'Inputs'!$B$32)/1000+'Inputs'!$B$21)+'Inputs'!$B$7)^2+('Inputs'!$B$6/2)^2)-(((161-43)*MAX('Inputs'!$B$33,'Inputs'!$B$29+'Inputs'!$B$31+'Inputs'!$B$32,'Inputs'!$B$30+'Inputs'!$B$31+'Inputs'!$B$32)/1000+'Inputs'!$B$21))/SQRT((((161-43)*MAX('Inputs'!$B$33,'Inputs'!$B$29+'Inputs'!$B$31+'Inputs'!$B$32,'Inputs'!$B$30+'Inputs'!$B$31+'Inputs'!$B$32)/1000+'Inputs'!$B$21))^2+('Inputs'!$B$6/2)^2)))-'Results'!C7*(0.5*((((161-43)*MAX('Inputs'!$B$33,'Inputs'!$B$29+'Inputs'!$B$31+'Inputs'!$B$32,'Inputs'!$B$30+'Inputs'!$B$31+'Inputs'!$B$32)/1000+'Inputs'!$B$21+'Inputs'!$B$7+'Inputs'!$B$10)+'Inputs'!$B$9)/SQRT((((161-43)*MAX('Inputs'!$B$33,'Inputs'!$B$29+'Inputs'!$B$31+'Inputs'!$B$32,'Inputs'!$B$30+'Inputs'!$B$31+'Inputs'!$B$32)/1000+'Inputs'!$B$21+'Inputs'!$B$7+'Inputs'!$B$10)+'Inputs'!$B$9)^2+('Inputs'!$B$8/2)^2)-(((161-43)*MAX('Inputs'!$B$33,'Inputs'!$B$29+'Inputs'!$B$31+'Inputs'!$B$32,'Inputs'!$B$30+'Inputs'!$B$31+'Inputs'!$B$32)/1000+'Inputs'!$B$21+'Inputs'!$B$7+'Inputs'!$B$10))/SQRT((((161-43)*MAX('Inputs'!$B$33,'Inputs'!$B$29+'Inputs'!$B$31+'Inputs'!$B$32,'Inputs'!$B$30+'Inputs'!$B$31+'Inputs'!$B$32)/1000+'Inputs'!$B$21+'Inputs'!$B$7+'Inputs'!$B$10))^2+('Inputs'!$B$8/2)^2))))*'Results'!$B$8),"")</x:f>
        <x:v>266.7973982538966</x:v>
      </x:c>
      <x:c r="K161" t="n">
        <x:f>IF(AND(ISNUMBER('Results'!B7),ISNUMBER('Results'!C7),ISNUMBER('Results'!$B$8),ISNUMBER('Inputs'!$B$6),ISNUMBER('Inputs'!$B$7),ISNUMBER('Inputs'!$B$8),ISNUMBER('Inputs'!$B$9),ISNUMBER('Inputs'!$B$10),ISNUMBER('Inputs'!$B$21),ISNUMBER('Inputs'!$B$24),ISNUMBER('Inputs'!$B$28)),((('Results'!B7*(1-'Inputs'!$B$24)*(0.5*((((161-43)*MAX('Inputs'!$B$33,'Inputs'!$B$29+'Inputs'!$B$31+'Inputs'!$B$32,'Inputs'!$B$30+'Inputs'!$B$31+'Inputs'!$B$32)/1000+'Inputs'!$B$21)+'Inputs'!$B$7)/SQRT((((161-43)*MAX('Inputs'!$B$33,'Inputs'!$B$29+'Inputs'!$B$31+'Inputs'!$B$32,'Inputs'!$B$30+'Inputs'!$B$31+'Inputs'!$B$32)/1000+'Inputs'!$B$21)+'Inputs'!$B$7)^2+('Inputs'!$B$6/2)^2)-(((161-43)*MAX('Inputs'!$B$33,'Inputs'!$B$29+'Inputs'!$B$31+'Inputs'!$B$32,'Inputs'!$B$30+'Inputs'!$B$31+'Inputs'!$B$32)/1000+'Inputs'!$B$21))/SQRT((((161-43)*MAX('Inputs'!$B$33,'Inputs'!$B$29+'Inputs'!$B$31+'Inputs'!$B$32,'Inputs'!$B$30+'Inputs'!$B$31+'Inputs'!$B$32)/1000+'Inputs'!$B$21))^2+('Inputs'!$B$6/2)^2)))-'Results'!C7*(1+'Inputs'!$B$24)*(0.5*((((161-43)*MAX('Inputs'!$B$33,'Inputs'!$B$29+'Inputs'!$B$31+'Inputs'!$B$32,'Inputs'!$B$30+'Inputs'!$B$31+'Inputs'!$B$32)/1000+'Inputs'!$B$21+'Inputs'!$B$7+'Inputs'!$B$10)+'Inputs'!$B$9)/SQRT((((161-43)*MAX('Inputs'!$B$33,'Inputs'!$B$29+'Inputs'!$B$31+'Inputs'!$B$32,'Inputs'!$B$30+'Inputs'!$B$31+'Inputs'!$B$32)/1000+'Inputs'!$B$21+'Inputs'!$B$7+'Inputs'!$B$10)+'Inputs'!$B$9)^2+('Inputs'!$B$8/2)^2)-(((161-43)*MAX('Inputs'!$B$33,'Inputs'!$B$29+'Inputs'!$B$31+'Inputs'!$B$32,'Inputs'!$B$30+'Inputs'!$B$31+'Inputs'!$B$32)/1000+'Inputs'!$B$21+'Inputs'!$B$7+'Inputs'!$B$10))/SQRT((((161-43)*MAX('Inputs'!$B$33,'Inputs'!$B$29+'Inputs'!$B$31+'Inputs'!$B$32,'Inputs'!$B$30+'Inputs'!$B$31+'Inputs'!$B$32)/1000+'Inputs'!$B$21+'Inputs'!$B$7+'Inputs'!$B$10))^2+('Inputs'!$B$8/2)^2))))*'Results'!$B$8)-'Inputs'!$B$28*ABS((('Results'!B7*(1-'Inputs'!$B$24)*(0.5*((((161-43)*MAX('Inputs'!$B$33,'Inputs'!$B$29+'Inputs'!$B$31+'Inputs'!$B$32,'Inputs'!$B$30+'Inputs'!$B$31+'Inputs'!$B$32)/1000+'Inputs'!$B$21)+'Inputs'!$B$7)/SQRT((((161-43)*MAX('Inputs'!$B$33,'Inputs'!$B$29+'Inputs'!$B$31+'Inputs'!$B$32,'Inputs'!$B$30+'Inputs'!$B$31+'Inputs'!$B$32)/1000+'Inputs'!$B$21)+'Inputs'!$B$7)^2+('Inputs'!$B$6/2)^2)-(((161-43)*MAX('Inputs'!$B$33,'Inputs'!$B$29+'Inputs'!$B$31+'Inputs'!$B$32,'Inputs'!$B$30+'Inputs'!$B$31+'Inputs'!$B$32)/1000+'Inputs'!$B$21))/SQRT((((161-43)*MAX('Inputs'!$B$33,'Inputs'!$B$29+'Inputs'!$B$31+'Inputs'!$B$32,'Inputs'!$B$30+'Inputs'!$B$31+'Inputs'!$B$32)/1000+'Inputs'!$B$21))^2+('Inputs'!$B$6/2)^2)))-'Results'!C7*(1+'Inputs'!$B$24)*(0.5*((((161-43)*MAX('Inputs'!$B$33,'Inputs'!$B$29+'Inputs'!$B$31+'Inputs'!$B$32,'Inputs'!$B$30+'Inputs'!$B$31+'Inputs'!$B$32)/1000+'Inputs'!$B$21+'Inputs'!$B$7+'Inputs'!$B$10)+'Inputs'!$B$9)/SQRT((((161-43)*MAX('Inputs'!$B$33,'Inputs'!$B$29+'Inputs'!$B$31+'Inputs'!$B$32,'Inputs'!$B$30+'Inputs'!$B$31+'Inputs'!$B$32)/1000+'Inputs'!$B$21+'Inputs'!$B$7+'Inputs'!$B$10)+'Inputs'!$B$9)^2+('Inputs'!$B$8/2)^2)-(((161-43)*MAX('Inputs'!$B$33,'Inputs'!$B$29+'Inputs'!$B$31+'Inputs'!$B$32,'Inputs'!$B$30+'Inputs'!$B$31+'Inputs'!$B$32)/1000+'Inputs'!$B$21+'Inputs'!$B$7+'Inputs'!$B$10))/SQRT((((161-43)*MAX('Inputs'!$B$33,'Inputs'!$B$29+'Inputs'!$B$31+'Inputs'!$B$32,'Inputs'!$B$30+'Inputs'!$B$31+'Inputs'!$B$32)/1000+'Inputs'!$B$21+'Inputs'!$B$7+'Inputs'!$B$10))^2+('Inputs'!$B$8/2)^2))))*'Results'!$B$8))),"")</x:f>
        <x:v>245.6899419591936</x:v>
      </x:c>
      <x:c r="L161" t="n">
        <x:f>IF(AND(ISNUMBER('Results'!B7),ISNUMBER('Results'!C7),ISNUMBER('Results'!$B$8),ISNUMBER('Inputs'!$B$6),ISNUMBER('Inputs'!$B$7),ISNUMBER('Inputs'!$B$8),ISNUMBER('Inputs'!$B$9),ISNUMBER('Inputs'!$B$10),ISNUMBER('Inputs'!$B$21),ISNUMBER('Inputs'!$B$24),ISNUMBER('Inputs'!$B$28)),((('Results'!B7*(1+'Inputs'!$B$24)*(0.5*((((161-43)*MAX('Inputs'!$B$33,'Inputs'!$B$29+'Inputs'!$B$31+'Inputs'!$B$32,'Inputs'!$B$30+'Inputs'!$B$31+'Inputs'!$B$32)/1000+'Inputs'!$B$21)+'Inputs'!$B$7)/SQRT((((161-43)*MAX('Inputs'!$B$33,'Inputs'!$B$29+'Inputs'!$B$31+'Inputs'!$B$32,'Inputs'!$B$30+'Inputs'!$B$31+'Inputs'!$B$32)/1000+'Inputs'!$B$21)+'Inputs'!$B$7)^2+('Inputs'!$B$6/2)^2)-(((161-43)*MAX('Inputs'!$B$33,'Inputs'!$B$29+'Inputs'!$B$31+'Inputs'!$B$32,'Inputs'!$B$30+'Inputs'!$B$31+'Inputs'!$B$32)/1000+'Inputs'!$B$21))/SQRT((((161-43)*MAX('Inputs'!$B$33,'Inputs'!$B$29+'Inputs'!$B$31+'Inputs'!$B$32,'Inputs'!$B$30+'Inputs'!$B$31+'Inputs'!$B$32)/1000+'Inputs'!$B$21))^2+('Inputs'!$B$6/2)^2)))-'Results'!C7*(1-'Inputs'!$B$24)*(0.5*((((161-43)*MAX('Inputs'!$B$33,'Inputs'!$B$29+'Inputs'!$B$31+'Inputs'!$B$32,'Inputs'!$B$30+'Inputs'!$B$31+'Inputs'!$B$32)/1000+'Inputs'!$B$21+'Inputs'!$B$7+'Inputs'!$B$10)+'Inputs'!$B$9)/SQRT((((161-43)*MAX('Inputs'!$B$33,'Inputs'!$B$29+'Inputs'!$B$31+'Inputs'!$B$32,'Inputs'!$B$30+'Inputs'!$B$31+'Inputs'!$B$32)/1000+'Inputs'!$B$21+'Inputs'!$B$7+'Inputs'!$B$10)+'Inputs'!$B$9)^2+('Inputs'!$B$8/2)^2)-(((161-43)*MAX('Inputs'!$B$33,'Inputs'!$B$29+'Inputs'!$B$31+'Inputs'!$B$32,'Inputs'!$B$30+'Inputs'!$B$31+'Inputs'!$B$32)/1000+'Inputs'!$B$21+'Inputs'!$B$7+'Inputs'!$B$10))/SQRT((((161-43)*MAX('Inputs'!$B$33,'Inputs'!$B$29+'Inputs'!$B$31+'Inputs'!$B$32,'Inputs'!$B$30+'Inputs'!$B$31+'Inputs'!$B$32)/1000+'Inputs'!$B$21+'Inputs'!$B$7+'Inputs'!$B$10))^2+('Inputs'!$B$8/2)^2))))*'Results'!$B$8)+'Inputs'!$B$28*ABS((('Results'!B7*(1+'Inputs'!$B$24)*(0.5*((((161-43)*MAX('Inputs'!$B$33,'Inputs'!$B$29+'Inputs'!$B$31+'Inputs'!$B$32,'Inputs'!$B$30+'Inputs'!$B$31+'Inputs'!$B$32)/1000+'Inputs'!$B$21)+'Inputs'!$B$7)/SQRT((((161-43)*MAX('Inputs'!$B$33,'Inputs'!$B$29+'Inputs'!$B$31+'Inputs'!$B$32,'Inputs'!$B$30+'Inputs'!$B$31+'Inputs'!$B$32)/1000+'Inputs'!$B$21)+'Inputs'!$B$7)^2+('Inputs'!$B$6/2)^2)-(((161-43)*MAX('Inputs'!$B$33,'Inputs'!$B$29+'Inputs'!$B$31+'Inputs'!$B$32,'Inputs'!$B$30+'Inputs'!$B$31+'Inputs'!$B$32)/1000+'Inputs'!$B$21))/SQRT((((161-43)*MAX('Inputs'!$B$33,'Inputs'!$B$29+'Inputs'!$B$31+'Inputs'!$B$32,'Inputs'!$B$30+'Inputs'!$B$31+'Inputs'!$B$32)/1000+'Inputs'!$B$21))^2+('Inputs'!$B$6/2)^2)))-'Results'!C7*(1-'Inputs'!$B$24)*(0.5*((((161-43)*MAX('Inputs'!$B$33,'Inputs'!$B$29+'Inputs'!$B$31+'Inputs'!$B$32,'Inputs'!$B$30+'Inputs'!$B$31+'Inputs'!$B$32)/1000+'Inputs'!$B$21+'Inputs'!$B$7+'Inputs'!$B$10)+'Inputs'!$B$9)/SQRT((((161-43)*MAX('Inputs'!$B$33,'Inputs'!$B$29+'Inputs'!$B$31+'Inputs'!$B$32,'Inputs'!$B$30+'Inputs'!$B$31+'Inputs'!$B$32)/1000+'Inputs'!$B$21+'Inputs'!$B$7+'Inputs'!$B$10)+'Inputs'!$B$9)^2+('Inputs'!$B$8/2)^2)-(((161-43)*MAX('Inputs'!$B$33,'Inputs'!$B$29+'Inputs'!$B$31+'Inputs'!$B$32,'Inputs'!$B$30+'Inputs'!$B$31+'Inputs'!$B$32)/1000+'Inputs'!$B$21+'Inputs'!$B$7+'Inputs'!$B$10))/SQRT((((161-43)*MAX('Inputs'!$B$33,'Inputs'!$B$29+'Inputs'!$B$31+'Inputs'!$B$32,'Inputs'!$B$30+'Inputs'!$B$31+'Inputs'!$B$32)/1000+'Inputs'!$B$21+'Inputs'!$B$7+'Inputs'!$B$10))^2+('Inputs'!$B$8/2)^2))))*'Results'!$B$8))),"")</x:f>
        <x:v>288.72249522039</x:v>
      </x:c>
      <x:c r="M161" t="n">
        <x:f>IF(AND(ISNUMBER('Results'!C7),ISNUMBER('Results'!B7),ISNUMBER('Results'!$B$8),ISNUMBER('Inputs'!$B$6),ISNUMBER('Inputs'!$B$7),ISNUMBER('Inputs'!$B$8),ISNUMBER('Inputs'!$B$9),ISNUMBER('Inputs'!$B$10),ISNUMBER('Inputs'!$B$21),ISNUMBER('Inputs'!$B$24),ISNUMBER('Inputs'!$B$28)),(('Results'!C7*(0.5*((((161-43)*MAX('Inputs'!$B$33,'Inputs'!$B$29+'Inputs'!$B$31+'Inputs'!$B$32,'Inputs'!$B$30+'Inputs'!$B$31+'Inputs'!$B$32)/1000+'Inputs'!$B$21)+'Inputs'!$B$9)/SQRT((((161-43)*MAX('Inputs'!$B$33,'Inputs'!$B$29+'Inputs'!$B$31+'Inputs'!$B$32,'Inputs'!$B$30+'Inputs'!$B$31+'Inputs'!$B$32)/1000+'Inputs'!$B$21)+'Inputs'!$B$9)^2+('Inputs'!$B$8/2)^2)-(((161-43)*MAX('Inputs'!$B$33,'Inputs'!$B$29+'Inputs'!$B$31+'Inputs'!$B$32,'Inputs'!$B$30+'Inputs'!$B$31+'Inputs'!$B$32)/1000+'Inputs'!$B$21))/SQRT((((161-43)*MAX('Inputs'!$B$33,'Inputs'!$B$29+'Inputs'!$B$31+'Inputs'!$B$32,'Inputs'!$B$30+'Inputs'!$B$31+'Inputs'!$B$32)/1000+'Inputs'!$B$21))^2+('Inputs'!$B$8/2)^2)))-'Results'!B7*(0.5*((((161-43)*MAX('Inputs'!$B$33,'Inputs'!$B$29+'Inputs'!$B$31+'Inputs'!$B$32,'Inputs'!$B$30+'Inputs'!$B$31+'Inputs'!$B$32)/1000+'Inputs'!$B$21+'Inputs'!$B$9+'Inputs'!$B$10)+'Inputs'!$B$7)/SQRT((((161-43)*MAX('Inputs'!$B$33,'Inputs'!$B$29+'Inputs'!$B$31+'Inputs'!$B$32,'Inputs'!$B$30+'Inputs'!$B$31+'Inputs'!$B$32)/1000+'Inputs'!$B$21+'Inputs'!$B$9+'Inputs'!$B$10)+'Inputs'!$B$7)^2+('Inputs'!$B$6/2)^2)-(((161-43)*MAX('Inputs'!$B$33,'Inputs'!$B$29+'Inputs'!$B$31+'Inputs'!$B$32,'Inputs'!$B$30+'Inputs'!$B$31+'Inputs'!$B$32)/1000+'Inputs'!$B$21+'Inputs'!$B$9+'Inputs'!$B$10))/SQRT((((161-43)*MAX('Inputs'!$B$33,'Inputs'!$B$29+'Inputs'!$B$31+'Inputs'!$B$32,'Inputs'!$B$30+'Inputs'!$B$31+'Inputs'!$B$32)/1000+'Inputs'!$B$21+'Inputs'!$B$9+'Inputs'!$B$10))^2+('Inputs'!$B$6/2)^2))))*'Results'!$B$8),"")</x:f>
        <x:v>258.59200726300526</x:v>
      </x:c>
      <x:c r="N161" t="n">
        <x:f>IF(AND(ISNUMBER('Results'!C7),ISNUMBER('Results'!B7),ISNUMBER('Results'!$B$8),ISNUMBER('Inputs'!$B$6),ISNUMBER('Inputs'!$B$7),ISNUMBER('Inputs'!$B$8),ISNUMBER('Inputs'!$B$9),ISNUMBER('Inputs'!$B$10),ISNUMBER('Inputs'!$B$21),ISNUMBER('Inputs'!$B$24),ISNUMBER('Inputs'!$B$28)),((('Results'!C7*(1-'Inputs'!$B$24)*(0.5*((((161-43)*MAX('Inputs'!$B$33,'Inputs'!$B$29+'Inputs'!$B$31+'Inputs'!$B$32,'Inputs'!$B$30+'Inputs'!$B$31+'Inputs'!$B$32)/1000+'Inputs'!$B$21)+'Inputs'!$B$9)/SQRT((((161-43)*MAX('Inputs'!$B$33,'Inputs'!$B$29+'Inputs'!$B$31+'Inputs'!$B$32,'Inputs'!$B$30+'Inputs'!$B$31+'Inputs'!$B$32)/1000+'Inputs'!$B$21)+'Inputs'!$B$9)^2+('Inputs'!$B$8/2)^2)-(((161-43)*MAX('Inputs'!$B$33,'Inputs'!$B$29+'Inputs'!$B$31+'Inputs'!$B$32,'Inputs'!$B$30+'Inputs'!$B$31+'Inputs'!$B$32)/1000+'Inputs'!$B$21))/SQRT((((161-43)*MAX('Inputs'!$B$33,'Inputs'!$B$29+'Inputs'!$B$31+'Inputs'!$B$32,'Inputs'!$B$30+'Inputs'!$B$31+'Inputs'!$B$32)/1000+'Inputs'!$B$21))^2+('Inputs'!$B$8/2)^2)))-'Results'!B7*(1+'Inputs'!$B$24)*(0.5*((((161-43)*MAX('Inputs'!$B$33,'Inputs'!$B$29+'Inputs'!$B$31+'Inputs'!$B$32,'Inputs'!$B$30+'Inputs'!$B$31+'Inputs'!$B$32)/1000+'Inputs'!$B$21+'Inputs'!$B$9+'Inputs'!$B$10)+'Inputs'!$B$7)/SQRT((((161-43)*MAX('Inputs'!$B$33,'Inputs'!$B$29+'Inputs'!$B$31+'Inputs'!$B$32,'Inputs'!$B$30+'Inputs'!$B$31+'Inputs'!$B$32)/1000+'Inputs'!$B$21+'Inputs'!$B$9+'Inputs'!$B$10)+'Inputs'!$B$7)^2+('Inputs'!$B$6/2)^2)-(((161-43)*MAX('Inputs'!$B$33,'Inputs'!$B$29+'Inputs'!$B$31+'Inputs'!$B$32,'Inputs'!$B$30+'Inputs'!$B$31+'Inputs'!$B$32)/1000+'Inputs'!$B$21+'Inputs'!$B$9+'Inputs'!$B$10))/SQRT((((161-43)*MAX('Inputs'!$B$33,'Inputs'!$B$29+'Inputs'!$B$31+'Inputs'!$B$32,'Inputs'!$B$30+'Inputs'!$B$31+'Inputs'!$B$32)/1000+'Inputs'!$B$21+'Inputs'!$B$9+'Inputs'!$B$10))^2+('Inputs'!$B$6/2)^2))))*'Results'!$B$8)-'Inputs'!$B$28*ABS((('Results'!C7*(1-'Inputs'!$B$24)*(0.5*((((161-43)*MAX('Inputs'!$B$33,'Inputs'!$B$29+'Inputs'!$B$31+'Inputs'!$B$32,'Inputs'!$B$30+'Inputs'!$B$31+'Inputs'!$B$32)/1000+'Inputs'!$B$21)+'Inputs'!$B$9)/SQRT((((161-43)*MAX('Inputs'!$B$33,'Inputs'!$B$29+'Inputs'!$B$31+'Inputs'!$B$32,'Inputs'!$B$30+'Inputs'!$B$31+'Inputs'!$B$32)/1000+'Inputs'!$B$21)+'Inputs'!$B$9)^2+('Inputs'!$B$8/2)^2)-(((161-43)*MAX('Inputs'!$B$33,'Inputs'!$B$29+'Inputs'!$B$31+'Inputs'!$B$32,'Inputs'!$B$30+'Inputs'!$B$31+'Inputs'!$B$32)/1000+'Inputs'!$B$21))/SQRT((((161-43)*MAX('Inputs'!$B$33,'Inputs'!$B$29+'Inputs'!$B$31+'Inputs'!$B$32,'Inputs'!$B$30+'Inputs'!$B$31+'Inputs'!$B$32)/1000+'Inputs'!$B$21))^2+('Inputs'!$B$8/2)^2)))-'Results'!B7*(1+'Inputs'!$B$24)*(0.5*((((161-43)*MAX('Inputs'!$B$33,'Inputs'!$B$29+'Inputs'!$B$31+'Inputs'!$B$32,'Inputs'!$B$30+'Inputs'!$B$31+'Inputs'!$B$32)/1000+'Inputs'!$B$21+'Inputs'!$B$9+'Inputs'!$B$10)+'Inputs'!$B$7)/SQRT((((161-43)*MAX('Inputs'!$B$33,'Inputs'!$B$29+'Inputs'!$B$31+'Inputs'!$B$32,'Inputs'!$B$30+'Inputs'!$B$31+'Inputs'!$B$32)/1000+'Inputs'!$B$21+'Inputs'!$B$9+'Inputs'!$B$10)+'Inputs'!$B$7)^2+('Inputs'!$B$6/2)^2)-(((161-43)*MAX('Inputs'!$B$33,'Inputs'!$B$29+'Inputs'!$B$31+'Inputs'!$B$32,'Inputs'!$B$30+'Inputs'!$B$31+'Inputs'!$B$32)/1000+'Inputs'!$B$21+'Inputs'!$B$9+'Inputs'!$B$10))/SQRT((((161-43)*MAX('Inputs'!$B$33,'Inputs'!$B$29+'Inputs'!$B$31+'Inputs'!$B$32,'Inputs'!$B$30+'Inputs'!$B$31+'Inputs'!$B$32)/1000+'Inputs'!$B$21+'Inputs'!$B$9+'Inputs'!$B$10))^2+('Inputs'!$B$6/2)^2))))*'Results'!$B$8))),"")</x:f>
        <x:v>237.99565282799642</x:v>
      </x:c>
      <x:c r="O161" t="n">
        <x:f>IF(AND(ISNUMBER('Results'!C7),ISNUMBER('Results'!B7),ISNUMBER('Results'!$B$8),ISNUMBER('Inputs'!$B$6),ISNUMBER('Inputs'!$B$7),ISNUMBER('Inputs'!$B$8),ISNUMBER('Inputs'!$B$9),ISNUMBER('Inputs'!$B$10),ISNUMBER('Inputs'!$B$21),ISNUMBER('Inputs'!$B$24),ISNUMBER('Inputs'!$B$28)),((('Results'!C7*(1+'Inputs'!$B$24)*(0.5*((((161-43)*MAX('Inputs'!$B$33,'Inputs'!$B$29+'Inputs'!$B$31+'Inputs'!$B$32,'Inputs'!$B$30+'Inputs'!$B$31+'Inputs'!$B$32)/1000+'Inputs'!$B$21)+'Inputs'!$B$9)/SQRT((((161-43)*MAX('Inputs'!$B$33,'Inputs'!$B$29+'Inputs'!$B$31+'Inputs'!$B$32,'Inputs'!$B$30+'Inputs'!$B$31+'Inputs'!$B$32)/1000+'Inputs'!$B$21)+'Inputs'!$B$9)^2+('Inputs'!$B$8/2)^2)-(((161-43)*MAX('Inputs'!$B$33,'Inputs'!$B$29+'Inputs'!$B$31+'Inputs'!$B$32,'Inputs'!$B$30+'Inputs'!$B$31+'Inputs'!$B$32)/1000+'Inputs'!$B$21))/SQRT((((161-43)*MAX('Inputs'!$B$33,'Inputs'!$B$29+'Inputs'!$B$31+'Inputs'!$B$32,'Inputs'!$B$30+'Inputs'!$B$31+'Inputs'!$B$32)/1000+'Inputs'!$B$21))^2+('Inputs'!$B$8/2)^2)))-'Results'!B7*(1-'Inputs'!$B$24)*(0.5*((((161-43)*MAX('Inputs'!$B$33,'Inputs'!$B$29+'Inputs'!$B$31+'Inputs'!$B$32,'Inputs'!$B$30+'Inputs'!$B$31+'Inputs'!$B$32)/1000+'Inputs'!$B$21+'Inputs'!$B$9+'Inputs'!$B$10)+'Inputs'!$B$7)/SQRT((((161-43)*MAX('Inputs'!$B$33,'Inputs'!$B$29+'Inputs'!$B$31+'Inputs'!$B$32,'Inputs'!$B$30+'Inputs'!$B$31+'Inputs'!$B$32)/1000+'Inputs'!$B$21+'Inputs'!$B$9+'Inputs'!$B$10)+'Inputs'!$B$7)^2+('Inputs'!$B$6/2)^2)-(((161-43)*MAX('Inputs'!$B$33,'Inputs'!$B$29+'Inputs'!$B$31+'Inputs'!$B$32,'Inputs'!$B$30+'Inputs'!$B$31+'Inputs'!$B$32)/1000+'Inputs'!$B$21+'Inputs'!$B$9+'Inputs'!$B$10))/SQRT((((161-43)*MAX('Inputs'!$B$33,'Inputs'!$B$29+'Inputs'!$B$31+'Inputs'!$B$32,'Inputs'!$B$30+'Inputs'!$B$31+'Inputs'!$B$32)/1000+'Inputs'!$B$21+'Inputs'!$B$9+'Inputs'!$B$10))^2+('Inputs'!$B$6/2)^2))))*'Results'!$B$8)+'Inputs'!$B$28*ABS((('Results'!C7*(1+'Inputs'!$B$24)*(0.5*((((161-43)*MAX('Inputs'!$B$33,'Inputs'!$B$29+'Inputs'!$B$31+'Inputs'!$B$32,'Inputs'!$B$30+'Inputs'!$B$31+'Inputs'!$B$32)/1000+'Inputs'!$B$21)+'Inputs'!$B$9)/SQRT((((161-43)*MAX('Inputs'!$B$33,'Inputs'!$B$29+'Inputs'!$B$31+'Inputs'!$B$32,'Inputs'!$B$30+'Inputs'!$B$31+'Inputs'!$B$32)/1000+'Inputs'!$B$21)+'Inputs'!$B$9)^2+('Inputs'!$B$8/2)^2)-(((161-43)*MAX('Inputs'!$B$33,'Inputs'!$B$29+'Inputs'!$B$31+'Inputs'!$B$32,'Inputs'!$B$30+'Inputs'!$B$31+'Inputs'!$B$32)/1000+'Inputs'!$B$21))/SQRT((((161-43)*MAX('Inputs'!$B$33,'Inputs'!$B$29+'Inputs'!$B$31+'Inputs'!$B$32,'Inputs'!$B$30+'Inputs'!$B$31+'Inputs'!$B$32)/1000+'Inputs'!$B$21))^2+('Inputs'!$B$8/2)^2)))-'Results'!B7*(1-'Inputs'!$B$24)*(0.5*((((161-43)*MAX('Inputs'!$B$33,'Inputs'!$B$29+'Inputs'!$B$31+'Inputs'!$B$32,'Inputs'!$B$30+'Inputs'!$B$31+'Inputs'!$B$32)/1000+'Inputs'!$B$21+'Inputs'!$B$9+'Inputs'!$B$10)+'Inputs'!$B$7)/SQRT((((161-43)*MAX('Inputs'!$B$33,'Inputs'!$B$29+'Inputs'!$B$31+'Inputs'!$B$32,'Inputs'!$B$30+'Inputs'!$B$31+'Inputs'!$B$32)/1000+'Inputs'!$B$21+'Inputs'!$B$9+'Inputs'!$B$10)+'Inputs'!$B$7)^2+('Inputs'!$B$6/2)^2)-(((161-43)*MAX('Inputs'!$B$33,'Inputs'!$B$29+'Inputs'!$B$31+'Inputs'!$B$32,'Inputs'!$B$30+'Inputs'!$B$31+'Inputs'!$B$32)/1000+'Inputs'!$B$21+'Inputs'!$B$9+'Inputs'!$B$10))/SQRT((((161-43)*MAX('Inputs'!$B$33,'Inputs'!$B$29+'Inputs'!$B$31+'Inputs'!$B$32,'Inputs'!$B$30+'Inputs'!$B$31+'Inputs'!$B$32)/1000+'Inputs'!$B$21+'Inputs'!$B$9+'Inputs'!$B$10))^2+('Inputs'!$B$6/2)^2))))*'Results'!$B$8))),"")</x:f>
        <x:v>279.99538844242016</x:v>
      </x:c>
      <x:c r="P161" t="n">
        <x:f>IF(AND(MAX(J161,J160)&gt;0,J161&gt;J160+0.00000001),1,0)</x:f>
        <x:v>0</x:v>
      </x:c>
      <x:c r="Q161" t="n">
        <x:f>IF(AND(MAX(K161,K160)&gt;0,K161&gt;K160+0.00000001),1,0)</x:f>
        <x:v>0</x:v>
      </x:c>
      <x:c r="R161" t="n">
        <x:f>IF(AND(MAX(L161,L160)&gt;0,L161&gt;L160+0.00000001),1,0)</x:f>
        <x:v>0</x:v>
      </x:c>
      <x:c r="S161" t="n">
        <x:f>IF(AND(MAX(M161,M160)&gt;0,M161&gt;M160+0.00000001),1,0)</x:f>
        <x:v>0</x:v>
      </x:c>
      <x:c r="T161" t="n">
        <x:f>IF(AND(MAX(N161,N160)&gt;0,N161&gt;N160+0.00000001),1,0)</x:f>
        <x:v>0</x:v>
      </x:c>
      <x:c r="U161" t="n">
        <x:f>IF(AND(MAX(O161,O160)&gt;0,O161&gt;O160+0.00000001),1,0)</x:f>
        <x:v>0</x:v>
      </x:c>
    </x:row>
    <x:row r="162">
      <x:c r="J162" t="n">
        <x:f>IF(AND(ISNUMBER('Results'!B7),ISNUMBER('Results'!C7),ISNUMBER('Results'!$B$8),ISNUMBER('Inputs'!$B$6),ISNUMBER('Inputs'!$B$7),ISNUMBER('Inputs'!$B$8),ISNUMBER('Inputs'!$B$9),ISNUMBER('Inputs'!$B$10),ISNUMBER('Inputs'!$B$21),ISNUMBER('Inputs'!$B$24),ISNUMBER('Inputs'!$B$28)),(('Results'!B7*(0.5*((((162-43)*MAX('Inputs'!$B$33,'Inputs'!$B$29+'Inputs'!$B$31+'Inputs'!$B$32,'Inputs'!$B$30+'Inputs'!$B$31+'Inputs'!$B$32)/1000+'Inputs'!$B$21)+'Inputs'!$B$7)/SQRT((((162-43)*MAX('Inputs'!$B$33,'Inputs'!$B$29+'Inputs'!$B$31+'Inputs'!$B$32,'Inputs'!$B$30+'Inputs'!$B$31+'Inputs'!$B$32)/1000+'Inputs'!$B$21)+'Inputs'!$B$7)^2+('Inputs'!$B$6/2)^2)-(((162-43)*MAX('Inputs'!$B$33,'Inputs'!$B$29+'Inputs'!$B$31+'Inputs'!$B$32,'Inputs'!$B$30+'Inputs'!$B$31+'Inputs'!$B$32)/1000+'Inputs'!$B$21))/SQRT((((162-43)*MAX('Inputs'!$B$33,'Inputs'!$B$29+'Inputs'!$B$31+'Inputs'!$B$32,'Inputs'!$B$30+'Inputs'!$B$31+'Inputs'!$B$32)/1000+'Inputs'!$B$21))^2+('Inputs'!$B$6/2)^2)))-'Results'!C7*(0.5*((((162-43)*MAX('Inputs'!$B$33,'Inputs'!$B$29+'Inputs'!$B$31+'Inputs'!$B$32,'Inputs'!$B$30+'Inputs'!$B$31+'Inputs'!$B$32)/1000+'Inputs'!$B$21+'Inputs'!$B$7+'Inputs'!$B$10)+'Inputs'!$B$9)/SQRT((((162-43)*MAX('Inputs'!$B$33,'Inputs'!$B$29+'Inputs'!$B$31+'Inputs'!$B$32,'Inputs'!$B$30+'Inputs'!$B$31+'Inputs'!$B$32)/1000+'Inputs'!$B$21+'Inputs'!$B$7+'Inputs'!$B$10)+'Inputs'!$B$9)^2+('Inputs'!$B$8/2)^2)-(((162-43)*MAX('Inputs'!$B$33,'Inputs'!$B$29+'Inputs'!$B$31+'Inputs'!$B$32,'Inputs'!$B$30+'Inputs'!$B$31+'Inputs'!$B$32)/1000+'Inputs'!$B$21+'Inputs'!$B$7+'Inputs'!$B$10))/SQRT((((162-43)*MAX('Inputs'!$B$33,'Inputs'!$B$29+'Inputs'!$B$31+'Inputs'!$B$32,'Inputs'!$B$30+'Inputs'!$B$31+'Inputs'!$B$32)/1000+'Inputs'!$B$21+'Inputs'!$B$7+'Inputs'!$B$10))^2+('Inputs'!$B$8/2)^2))))*'Results'!$B$8),"")</x:f>
        <x:v>262.0559090851095</x:v>
      </x:c>
      <x:c r="K162" t="n">
        <x:f>IF(AND(ISNUMBER('Results'!B7),ISNUMBER('Results'!C7),ISNUMBER('Results'!$B$8),ISNUMBER('Inputs'!$B$6),ISNUMBER('Inputs'!$B$7),ISNUMBER('Inputs'!$B$8),ISNUMBER('Inputs'!$B$9),ISNUMBER('Inputs'!$B$10),ISNUMBER('Inputs'!$B$21),ISNUMBER('Inputs'!$B$24),ISNUMBER('Inputs'!$B$28)),((('Results'!B7*(1-'Inputs'!$B$24)*(0.5*((((162-43)*MAX('Inputs'!$B$33,'Inputs'!$B$29+'Inputs'!$B$31+'Inputs'!$B$32,'Inputs'!$B$30+'Inputs'!$B$31+'Inputs'!$B$32)/1000+'Inputs'!$B$21)+'Inputs'!$B$7)/SQRT((((162-43)*MAX('Inputs'!$B$33,'Inputs'!$B$29+'Inputs'!$B$31+'Inputs'!$B$32,'Inputs'!$B$30+'Inputs'!$B$31+'Inputs'!$B$32)/1000+'Inputs'!$B$21)+'Inputs'!$B$7)^2+('Inputs'!$B$6/2)^2)-(((162-43)*MAX('Inputs'!$B$33,'Inputs'!$B$29+'Inputs'!$B$31+'Inputs'!$B$32,'Inputs'!$B$30+'Inputs'!$B$31+'Inputs'!$B$32)/1000+'Inputs'!$B$21))/SQRT((((162-43)*MAX('Inputs'!$B$33,'Inputs'!$B$29+'Inputs'!$B$31+'Inputs'!$B$32,'Inputs'!$B$30+'Inputs'!$B$31+'Inputs'!$B$32)/1000+'Inputs'!$B$21))^2+('Inputs'!$B$6/2)^2)))-'Results'!C7*(1+'Inputs'!$B$24)*(0.5*((((162-43)*MAX('Inputs'!$B$33,'Inputs'!$B$29+'Inputs'!$B$31+'Inputs'!$B$32,'Inputs'!$B$30+'Inputs'!$B$31+'Inputs'!$B$32)/1000+'Inputs'!$B$21+'Inputs'!$B$7+'Inputs'!$B$10)+'Inputs'!$B$9)/SQRT((((162-43)*MAX('Inputs'!$B$33,'Inputs'!$B$29+'Inputs'!$B$31+'Inputs'!$B$32,'Inputs'!$B$30+'Inputs'!$B$31+'Inputs'!$B$32)/1000+'Inputs'!$B$21+'Inputs'!$B$7+'Inputs'!$B$10)+'Inputs'!$B$9)^2+('Inputs'!$B$8/2)^2)-(((162-43)*MAX('Inputs'!$B$33,'Inputs'!$B$29+'Inputs'!$B$31+'Inputs'!$B$32,'Inputs'!$B$30+'Inputs'!$B$31+'Inputs'!$B$32)/1000+'Inputs'!$B$21+'Inputs'!$B$7+'Inputs'!$B$10))/SQRT((((162-43)*MAX('Inputs'!$B$33,'Inputs'!$B$29+'Inputs'!$B$31+'Inputs'!$B$32,'Inputs'!$B$30+'Inputs'!$B$31+'Inputs'!$B$32)/1000+'Inputs'!$B$21+'Inputs'!$B$7+'Inputs'!$B$10))^2+('Inputs'!$B$8/2)^2))))*'Results'!$B$8)-'Inputs'!$B$28*ABS((('Results'!B7*(1-'Inputs'!$B$24)*(0.5*((((162-43)*MAX('Inputs'!$B$33,'Inputs'!$B$29+'Inputs'!$B$31+'Inputs'!$B$32,'Inputs'!$B$30+'Inputs'!$B$31+'Inputs'!$B$32)/1000+'Inputs'!$B$21)+'Inputs'!$B$7)/SQRT((((162-43)*MAX('Inputs'!$B$33,'Inputs'!$B$29+'Inputs'!$B$31+'Inputs'!$B$32,'Inputs'!$B$30+'Inputs'!$B$31+'Inputs'!$B$32)/1000+'Inputs'!$B$21)+'Inputs'!$B$7)^2+('Inputs'!$B$6/2)^2)-(((162-43)*MAX('Inputs'!$B$33,'Inputs'!$B$29+'Inputs'!$B$31+'Inputs'!$B$32,'Inputs'!$B$30+'Inputs'!$B$31+'Inputs'!$B$32)/1000+'Inputs'!$B$21))/SQRT((((162-43)*MAX('Inputs'!$B$33,'Inputs'!$B$29+'Inputs'!$B$31+'Inputs'!$B$32,'Inputs'!$B$30+'Inputs'!$B$31+'Inputs'!$B$32)/1000+'Inputs'!$B$21))^2+('Inputs'!$B$6/2)^2)))-'Results'!C7*(1+'Inputs'!$B$24)*(0.5*((((162-43)*MAX('Inputs'!$B$33,'Inputs'!$B$29+'Inputs'!$B$31+'Inputs'!$B$32,'Inputs'!$B$30+'Inputs'!$B$31+'Inputs'!$B$32)/1000+'Inputs'!$B$21+'Inputs'!$B$7+'Inputs'!$B$10)+'Inputs'!$B$9)/SQRT((((162-43)*MAX('Inputs'!$B$33,'Inputs'!$B$29+'Inputs'!$B$31+'Inputs'!$B$32,'Inputs'!$B$30+'Inputs'!$B$31+'Inputs'!$B$32)/1000+'Inputs'!$B$21+'Inputs'!$B$7+'Inputs'!$B$10)+'Inputs'!$B$9)^2+('Inputs'!$B$8/2)^2)-(((162-43)*MAX('Inputs'!$B$33,'Inputs'!$B$29+'Inputs'!$B$31+'Inputs'!$B$32,'Inputs'!$B$30+'Inputs'!$B$31+'Inputs'!$B$32)/1000+'Inputs'!$B$21+'Inputs'!$B$7+'Inputs'!$B$10))/SQRT((((162-43)*MAX('Inputs'!$B$33,'Inputs'!$B$29+'Inputs'!$B$31+'Inputs'!$B$32,'Inputs'!$B$30+'Inputs'!$B$31+'Inputs'!$B$32)/1000+'Inputs'!$B$21+'Inputs'!$B$7+'Inputs'!$B$10))^2+('Inputs'!$B$8/2)^2))))*'Results'!$B$8))),"")</x:f>
        <x:v>241.304753320393</x:v>
      </x:c>
      <x:c r="L162" t="n">
        <x:f>IF(AND(ISNUMBER('Results'!B7),ISNUMBER('Results'!C7),ISNUMBER('Results'!$B$8),ISNUMBER('Inputs'!$B$6),ISNUMBER('Inputs'!$B$7),ISNUMBER('Inputs'!$B$8),ISNUMBER('Inputs'!$B$9),ISNUMBER('Inputs'!$B$10),ISNUMBER('Inputs'!$B$21),ISNUMBER('Inputs'!$B$24),ISNUMBER('Inputs'!$B$28)),((('Results'!B7*(1+'Inputs'!$B$24)*(0.5*((((162-43)*MAX('Inputs'!$B$33,'Inputs'!$B$29+'Inputs'!$B$31+'Inputs'!$B$32,'Inputs'!$B$30+'Inputs'!$B$31+'Inputs'!$B$32)/1000+'Inputs'!$B$21)+'Inputs'!$B$7)/SQRT((((162-43)*MAX('Inputs'!$B$33,'Inputs'!$B$29+'Inputs'!$B$31+'Inputs'!$B$32,'Inputs'!$B$30+'Inputs'!$B$31+'Inputs'!$B$32)/1000+'Inputs'!$B$21)+'Inputs'!$B$7)^2+('Inputs'!$B$6/2)^2)-(((162-43)*MAX('Inputs'!$B$33,'Inputs'!$B$29+'Inputs'!$B$31+'Inputs'!$B$32,'Inputs'!$B$30+'Inputs'!$B$31+'Inputs'!$B$32)/1000+'Inputs'!$B$21))/SQRT((((162-43)*MAX('Inputs'!$B$33,'Inputs'!$B$29+'Inputs'!$B$31+'Inputs'!$B$32,'Inputs'!$B$30+'Inputs'!$B$31+'Inputs'!$B$32)/1000+'Inputs'!$B$21))^2+('Inputs'!$B$6/2)^2)))-'Results'!C7*(1-'Inputs'!$B$24)*(0.5*((((162-43)*MAX('Inputs'!$B$33,'Inputs'!$B$29+'Inputs'!$B$31+'Inputs'!$B$32,'Inputs'!$B$30+'Inputs'!$B$31+'Inputs'!$B$32)/1000+'Inputs'!$B$21+'Inputs'!$B$7+'Inputs'!$B$10)+'Inputs'!$B$9)/SQRT((((162-43)*MAX('Inputs'!$B$33,'Inputs'!$B$29+'Inputs'!$B$31+'Inputs'!$B$32,'Inputs'!$B$30+'Inputs'!$B$31+'Inputs'!$B$32)/1000+'Inputs'!$B$21+'Inputs'!$B$7+'Inputs'!$B$10)+'Inputs'!$B$9)^2+('Inputs'!$B$8/2)^2)-(((162-43)*MAX('Inputs'!$B$33,'Inputs'!$B$29+'Inputs'!$B$31+'Inputs'!$B$32,'Inputs'!$B$30+'Inputs'!$B$31+'Inputs'!$B$32)/1000+'Inputs'!$B$21+'Inputs'!$B$7+'Inputs'!$B$10))/SQRT((((162-43)*MAX('Inputs'!$B$33,'Inputs'!$B$29+'Inputs'!$B$31+'Inputs'!$B$32,'Inputs'!$B$30+'Inputs'!$B$31+'Inputs'!$B$32)/1000+'Inputs'!$B$21+'Inputs'!$B$7+'Inputs'!$B$10))^2+('Inputs'!$B$8/2)^2))))*'Results'!$B$8)+'Inputs'!$B$28*ABS((('Results'!B7*(1+'Inputs'!$B$24)*(0.5*((((162-43)*MAX('Inputs'!$B$33,'Inputs'!$B$29+'Inputs'!$B$31+'Inputs'!$B$32,'Inputs'!$B$30+'Inputs'!$B$31+'Inputs'!$B$32)/1000+'Inputs'!$B$21)+'Inputs'!$B$7)/SQRT((((162-43)*MAX('Inputs'!$B$33,'Inputs'!$B$29+'Inputs'!$B$31+'Inputs'!$B$32,'Inputs'!$B$30+'Inputs'!$B$31+'Inputs'!$B$32)/1000+'Inputs'!$B$21)+'Inputs'!$B$7)^2+('Inputs'!$B$6/2)^2)-(((162-43)*MAX('Inputs'!$B$33,'Inputs'!$B$29+'Inputs'!$B$31+'Inputs'!$B$32,'Inputs'!$B$30+'Inputs'!$B$31+'Inputs'!$B$32)/1000+'Inputs'!$B$21))/SQRT((((162-43)*MAX('Inputs'!$B$33,'Inputs'!$B$29+'Inputs'!$B$31+'Inputs'!$B$32,'Inputs'!$B$30+'Inputs'!$B$31+'Inputs'!$B$32)/1000+'Inputs'!$B$21))^2+('Inputs'!$B$6/2)^2)))-'Results'!C7*(1-'Inputs'!$B$24)*(0.5*((((162-43)*MAX('Inputs'!$B$33,'Inputs'!$B$29+'Inputs'!$B$31+'Inputs'!$B$32,'Inputs'!$B$30+'Inputs'!$B$31+'Inputs'!$B$32)/1000+'Inputs'!$B$21+'Inputs'!$B$7+'Inputs'!$B$10)+'Inputs'!$B$9)/SQRT((((162-43)*MAX('Inputs'!$B$33,'Inputs'!$B$29+'Inputs'!$B$31+'Inputs'!$B$32,'Inputs'!$B$30+'Inputs'!$B$31+'Inputs'!$B$32)/1000+'Inputs'!$B$21+'Inputs'!$B$7+'Inputs'!$B$10)+'Inputs'!$B$9)^2+('Inputs'!$B$8/2)^2)-(((162-43)*MAX('Inputs'!$B$33,'Inputs'!$B$29+'Inputs'!$B$31+'Inputs'!$B$32,'Inputs'!$B$30+'Inputs'!$B$31+'Inputs'!$B$32)/1000+'Inputs'!$B$21+'Inputs'!$B$7+'Inputs'!$B$10))/SQRT((((162-43)*MAX('Inputs'!$B$33,'Inputs'!$B$29+'Inputs'!$B$31+'Inputs'!$B$32,'Inputs'!$B$30+'Inputs'!$B$31+'Inputs'!$B$32)/1000+'Inputs'!$B$21+'Inputs'!$B$7+'Inputs'!$B$10))^2+('Inputs'!$B$8/2)^2))))*'Results'!$B$8))),"")</x:f>
        <x:v>283.6121554088219</x:v>
      </x:c>
      <x:c r="M162" t="n">
        <x:f>IF(AND(ISNUMBER('Results'!C7),ISNUMBER('Results'!B7),ISNUMBER('Results'!$B$8),ISNUMBER('Inputs'!$B$6),ISNUMBER('Inputs'!$B$7),ISNUMBER('Inputs'!$B$8),ISNUMBER('Inputs'!$B$9),ISNUMBER('Inputs'!$B$10),ISNUMBER('Inputs'!$B$21),ISNUMBER('Inputs'!$B$24),ISNUMBER('Inputs'!$B$28)),(('Results'!C7*(0.5*((((162-43)*MAX('Inputs'!$B$33,'Inputs'!$B$29+'Inputs'!$B$31+'Inputs'!$B$32,'Inputs'!$B$30+'Inputs'!$B$31+'Inputs'!$B$32)/1000+'Inputs'!$B$21)+'Inputs'!$B$9)/SQRT((((162-43)*MAX('Inputs'!$B$33,'Inputs'!$B$29+'Inputs'!$B$31+'Inputs'!$B$32,'Inputs'!$B$30+'Inputs'!$B$31+'Inputs'!$B$32)/1000+'Inputs'!$B$21)+'Inputs'!$B$9)^2+('Inputs'!$B$8/2)^2)-(((162-43)*MAX('Inputs'!$B$33,'Inputs'!$B$29+'Inputs'!$B$31+'Inputs'!$B$32,'Inputs'!$B$30+'Inputs'!$B$31+'Inputs'!$B$32)/1000+'Inputs'!$B$21))/SQRT((((162-43)*MAX('Inputs'!$B$33,'Inputs'!$B$29+'Inputs'!$B$31+'Inputs'!$B$32,'Inputs'!$B$30+'Inputs'!$B$31+'Inputs'!$B$32)/1000+'Inputs'!$B$21))^2+('Inputs'!$B$8/2)^2)))-'Results'!B7*(0.5*((((162-43)*MAX('Inputs'!$B$33,'Inputs'!$B$29+'Inputs'!$B$31+'Inputs'!$B$32,'Inputs'!$B$30+'Inputs'!$B$31+'Inputs'!$B$32)/1000+'Inputs'!$B$21+'Inputs'!$B$9+'Inputs'!$B$10)+'Inputs'!$B$7)/SQRT((((162-43)*MAX('Inputs'!$B$33,'Inputs'!$B$29+'Inputs'!$B$31+'Inputs'!$B$32,'Inputs'!$B$30+'Inputs'!$B$31+'Inputs'!$B$32)/1000+'Inputs'!$B$21+'Inputs'!$B$9+'Inputs'!$B$10)+'Inputs'!$B$7)^2+('Inputs'!$B$6/2)^2)-(((162-43)*MAX('Inputs'!$B$33,'Inputs'!$B$29+'Inputs'!$B$31+'Inputs'!$B$32,'Inputs'!$B$30+'Inputs'!$B$31+'Inputs'!$B$32)/1000+'Inputs'!$B$21+'Inputs'!$B$9+'Inputs'!$B$10))/SQRT((((162-43)*MAX('Inputs'!$B$33,'Inputs'!$B$29+'Inputs'!$B$31+'Inputs'!$B$32,'Inputs'!$B$30+'Inputs'!$B$31+'Inputs'!$B$32)/1000+'Inputs'!$B$21+'Inputs'!$B$9+'Inputs'!$B$10))^2+('Inputs'!$B$6/2)^2))))*'Results'!$B$8),"")</x:f>
        <x:v>253.97633219506628</x:v>
      </x:c>
      <x:c r="N162" t="n">
        <x:f>IF(AND(ISNUMBER('Results'!C7),ISNUMBER('Results'!B7),ISNUMBER('Results'!$B$8),ISNUMBER('Inputs'!$B$6),ISNUMBER('Inputs'!$B$7),ISNUMBER('Inputs'!$B$8),ISNUMBER('Inputs'!$B$9),ISNUMBER('Inputs'!$B$10),ISNUMBER('Inputs'!$B$21),ISNUMBER('Inputs'!$B$24),ISNUMBER('Inputs'!$B$28)),((('Results'!C7*(1-'Inputs'!$B$24)*(0.5*((((162-43)*MAX('Inputs'!$B$33,'Inputs'!$B$29+'Inputs'!$B$31+'Inputs'!$B$32,'Inputs'!$B$30+'Inputs'!$B$31+'Inputs'!$B$32)/1000+'Inputs'!$B$21)+'Inputs'!$B$9)/SQRT((((162-43)*MAX('Inputs'!$B$33,'Inputs'!$B$29+'Inputs'!$B$31+'Inputs'!$B$32,'Inputs'!$B$30+'Inputs'!$B$31+'Inputs'!$B$32)/1000+'Inputs'!$B$21)+'Inputs'!$B$9)^2+('Inputs'!$B$8/2)^2)-(((162-43)*MAX('Inputs'!$B$33,'Inputs'!$B$29+'Inputs'!$B$31+'Inputs'!$B$32,'Inputs'!$B$30+'Inputs'!$B$31+'Inputs'!$B$32)/1000+'Inputs'!$B$21))/SQRT((((162-43)*MAX('Inputs'!$B$33,'Inputs'!$B$29+'Inputs'!$B$31+'Inputs'!$B$32,'Inputs'!$B$30+'Inputs'!$B$31+'Inputs'!$B$32)/1000+'Inputs'!$B$21))^2+('Inputs'!$B$8/2)^2)))-'Results'!B7*(1+'Inputs'!$B$24)*(0.5*((((162-43)*MAX('Inputs'!$B$33,'Inputs'!$B$29+'Inputs'!$B$31+'Inputs'!$B$32,'Inputs'!$B$30+'Inputs'!$B$31+'Inputs'!$B$32)/1000+'Inputs'!$B$21+'Inputs'!$B$9+'Inputs'!$B$10)+'Inputs'!$B$7)/SQRT((((162-43)*MAX('Inputs'!$B$33,'Inputs'!$B$29+'Inputs'!$B$31+'Inputs'!$B$32,'Inputs'!$B$30+'Inputs'!$B$31+'Inputs'!$B$32)/1000+'Inputs'!$B$21+'Inputs'!$B$9+'Inputs'!$B$10)+'Inputs'!$B$7)^2+('Inputs'!$B$6/2)^2)-(((162-43)*MAX('Inputs'!$B$33,'Inputs'!$B$29+'Inputs'!$B$31+'Inputs'!$B$32,'Inputs'!$B$30+'Inputs'!$B$31+'Inputs'!$B$32)/1000+'Inputs'!$B$21+'Inputs'!$B$9+'Inputs'!$B$10))/SQRT((((162-43)*MAX('Inputs'!$B$33,'Inputs'!$B$29+'Inputs'!$B$31+'Inputs'!$B$32,'Inputs'!$B$30+'Inputs'!$B$31+'Inputs'!$B$32)/1000+'Inputs'!$B$21+'Inputs'!$B$9+'Inputs'!$B$10))^2+('Inputs'!$B$6/2)^2))))*'Results'!$B$8)-'Inputs'!$B$28*ABS((('Results'!C7*(1-'Inputs'!$B$24)*(0.5*((((162-43)*MAX('Inputs'!$B$33,'Inputs'!$B$29+'Inputs'!$B$31+'Inputs'!$B$32,'Inputs'!$B$30+'Inputs'!$B$31+'Inputs'!$B$32)/1000+'Inputs'!$B$21)+'Inputs'!$B$9)/SQRT((((162-43)*MAX('Inputs'!$B$33,'Inputs'!$B$29+'Inputs'!$B$31+'Inputs'!$B$32,'Inputs'!$B$30+'Inputs'!$B$31+'Inputs'!$B$32)/1000+'Inputs'!$B$21)+'Inputs'!$B$9)^2+('Inputs'!$B$8/2)^2)-(((162-43)*MAX('Inputs'!$B$33,'Inputs'!$B$29+'Inputs'!$B$31+'Inputs'!$B$32,'Inputs'!$B$30+'Inputs'!$B$31+'Inputs'!$B$32)/1000+'Inputs'!$B$21))/SQRT((((162-43)*MAX('Inputs'!$B$33,'Inputs'!$B$29+'Inputs'!$B$31+'Inputs'!$B$32,'Inputs'!$B$30+'Inputs'!$B$31+'Inputs'!$B$32)/1000+'Inputs'!$B$21))^2+('Inputs'!$B$8/2)^2)))-'Results'!B7*(1+'Inputs'!$B$24)*(0.5*((((162-43)*MAX('Inputs'!$B$33,'Inputs'!$B$29+'Inputs'!$B$31+'Inputs'!$B$32,'Inputs'!$B$30+'Inputs'!$B$31+'Inputs'!$B$32)/1000+'Inputs'!$B$21+'Inputs'!$B$9+'Inputs'!$B$10)+'Inputs'!$B$7)/SQRT((((162-43)*MAX('Inputs'!$B$33,'Inputs'!$B$29+'Inputs'!$B$31+'Inputs'!$B$32,'Inputs'!$B$30+'Inputs'!$B$31+'Inputs'!$B$32)/1000+'Inputs'!$B$21+'Inputs'!$B$9+'Inputs'!$B$10)+'Inputs'!$B$7)^2+('Inputs'!$B$6/2)^2)-(((162-43)*MAX('Inputs'!$B$33,'Inputs'!$B$29+'Inputs'!$B$31+'Inputs'!$B$32,'Inputs'!$B$30+'Inputs'!$B$31+'Inputs'!$B$32)/1000+'Inputs'!$B$21+'Inputs'!$B$9+'Inputs'!$B$10))/SQRT((((162-43)*MAX('Inputs'!$B$33,'Inputs'!$B$29+'Inputs'!$B$31+'Inputs'!$B$32,'Inputs'!$B$30+'Inputs'!$B$31+'Inputs'!$B$32)/1000+'Inputs'!$B$21+'Inputs'!$B$9+'Inputs'!$B$10))^2+('Inputs'!$B$6/2)^2))))*'Results'!$B$8))),"")</x:f>
        <x:v>233.72819176560262</x:v>
      </x:c>
      <x:c r="O162" t="n">
        <x:f>IF(AND(ISNUMBER('Results'!C7),ISNUMBER('Results'!B7),ISNUMBER('Results'!$B$8),ISNUMBER('Inputs'!$B$6),ISNUMBER('Inputs'!$B$7),ISNUMBER('Inputs'!$B$8),ISNUMBER('Inputs'!$B$9),ISNUMBER('Inputs'!$B$10),ISNUMBER('Inputs'!$B$21),ISNUMBER('Inputs'!$B$24),ISNUMBER('Inputs'!$B$28)),((('Results'!C7*(1+'Inputs'!$B$24)*(0.5*((((162-43)*MAX('Inputs'!$B$33,'Inputs'!$B$29+'Inputs'!$B$31+'Inputs'!$B$32,'Inputs'!$B$30+'Inputs'!$B$31+'Inputs'!$B$32)/1000+'Inputs'!$B$21)+'Inputs'!$B$9)/SQRT((((162-43)*MAX('Inputs'!$B$33,'Inputs'!$B$29+'Inputs'!$B$31+'Inputs'!$B$32,'Inputs'!$B$30+'Inputs'!$B$31+'Inputs'!$B$32)/1000+'Inputs'!$B$21)+'Inputs'!$B$9)^2+('Inputs'!$B$8/2)^2)-(((162-43)*MAX('Inputs'!$B$33,'Inputs'!$B$29+'Inputs'!$B$31+'Inputs'!$B$32,'Inputs'!$B$30+'Inputs'!$B$31+'Inputs'!$B$32)/1000+'Inputs'!$B$21))/SQRT((((162-43)*MAX('Inputs'!$B$33,'Inputs'!$B$29+'Inputs'!$B$31+'Inputs'!$B$32,'Inputs'!$B$30+'Inputs'!$B$31+'Inputs'!$B$32)/1000+'Inputs'!$B$21))^2+('Inputs'!$B$8/2)^2)))-'Results'!B7*(1-'Inputs'!$B$24)*(0.5*((((162-43)*MAX('Inputs'!$B$33,'Inputs'!$B$29+'Inputs'!$B$31+'Inputs'!$B$32,'Inputs'!$B$30+'Inputs'!$B$31+'Inputs'!$B$32)/1000+'Inputs'!$B$21+'Inputs'!$B$9+'Inputs'!$B$10)+'Inputs'!$B$7)/SQRT((((162-43)*MAX('Inputs'!$B$33,'Inputs'!$B$29+'Inputs'!$B$31+'Inputs'!$B$32,'Inputs'!$B$30+'Inputs'!$B$31+'Inputs'!$B$32)/1000+'Inputs'!$B$21+'Inputs'!$B$9+'Inputs'!$B$10)+'Inputs'!$B$7)^2+('Inputs'!$B$6/2)^2)-(((162-43)*MAX('Inputs'!$B$33,'Inputs'!$B$29+'Inputs'!$B$31+'Inputs'!$B$32,'Inputs'!$B$30+'Inputs'!$B$31+'Inputs'!$B$32)/1000+'Inputs'!$B$21+'Inputs'!$B$9+'Inputs'!$B$10))/SQRT((((162-43)*MAX('Inputs'!$B$33,'Inputs'!$B$29+'Inputs'!$B$31+'Inputs'!$B$32,'Inputs'!$B$30+'Inputs'!$B$31+'Inputs'!$B$32)/1000+'Inputs'!$B$21+'Inputs'!$B$9+'Inputs'!$B$10))^2+('Inputs'!$B$6/2)^2))))*'Results'!$B$8)+'Inputs'!$B$28*ABS((('Results'!C7*(1+'Inputs'!$B$24)*(0.5*((((162-43)*MAX('Inputs'!$B$33,'Inputs'!$B$29+'Inputs'!$B$31+'Inputs'!$B$32,'Inputs'!$B$30+'Inputs'!$B$31+'Inputs'!$B$32)/1000+'Inputs'!$B$21)+'Inputs'!$B$9)/SQRT((((162-43)*MAX('Inputs'!$B$33,'Inputs'!$B$29+'Inputs'!$B$31+'Inputs'!$B$32,'Inputs'!$B$30+'Inputs'!$B$31+'Inputs'!$B$32)/1000+'Inputs'!$B$21)+'Inputs'!$B$9)^2+('Inputs'!$B$8/2)^2)-(((162-43)*MAX('Inputs'!$B$33,'Inputs'!$B$29+'Inputs'!$B$31+'Inputs'!$B$32,'Inputs'!$B$30+'Inputs'!$B$31+'Inputs'!$B$32)/1000+'Inputs'!$B$21))/SQRT((((162-43)*MAX('Inputs'!$B$33,'Inputs'!$B$29+'Inputs'!$B$31+'Inputs'!$B$32,'Inputs'!$B$30+'Inputs'!$B$31+'Inputs'!$B$32)/1000+'Inputs'!$B$21))^2+('Inputs'!$B$8/2)^2)))-'Results'!B7*(1-'Inputs'!$B$24)*(0.5*((((162-43)*MAX('Inputs'!$B$33,'Inputs'!$B$29+'Inputs'!$B$31+'Inputs'!$B$32,'Inputs'!$B$30+'Inputs'!$B$31+'Inputs'!$B$32)/1000+'Inputs'!$B$21+'Inputs'!$B$9+'Inputs'!$B$10)+'Inputs'!$B$7)/SQRT((((162-43)*MAX('Inputs'!$B$33,'Inputs'!$B$29+'Inputs'!$B$31+'Inputs'!$B$32,'Inputs'!$B$30+'Inputs'!$B$31+'Inputs'!$B$32)/1000+'Inputs'!$B$21+'Inputs'!$B$9+'Inputs'!$B$10)+'Inputs'!$B$7)^2+('Inputs'!$B$6/2)^2)-(((162-43)*MAX('Inputs'!$B$33,'Inputs'!$B$29+'Inputs'!$B$31+'Inputs'!$B$32,'Inputs'!$B$30+'Inputs'!$B$31+'Inputs'!$B$32)/1000+'Inputs'!$B$21+'Inputs'!$B$9+'Inputs'!$B$10))/SQRT((((162-43)*MAX('Inputs'!$B$33,'Inputs'!$B$29+'Inputs'!$B$31+'Inputs'!$B$32,'Inputs'!$B$30+'Inputs'!$B$31+'Inputs'!$B$32)/1000+'Inputs'!$B$21+'Inputs'!$B$9+'Inputs'!$B$10))^2+('Inputs'!$B$6/2)^2))))*'Results'!$B$8))),"")</x:f>
        <x:v>275.0191382897625</x:v>
      </x:c>
      <x:c r="P162" t="n">
        <x:f>IF(AND(MAX(J162,J161)&gt;0,J162&gt;J161+0.00000001),1,0)</x:f>
        <x:v>0</x:v>
      </x:c>
      <x:c r="Q162" t="n">
        <x:f>IF(AND(MAX(K162,K161)&gt;0,K162&gt;K161+0.00000001),1,0)</x:f>
        <x:v>0</x:v>
      </x:c>
      <x:c r="R162" t="n">
        <x:f>IF(AND(MAX(L162,L161)&gt;0,L162&gt;L161+0.00000001),1,0)</x:f>
        <x:v>0</x:v>
      </x:c>
      <x:c r="S162" t="n">
        <x:f>IF(AND(MAX(M162,M161)&gt;0,M162&gt;M161+0.00000001),1,0)</x:f>
        <x:v>0</x:v>
      </x:c>
      <x:c r="T162" t="n">
        <x:f>IF(AND(MAX(N162,N161)&gt;0,N162&gt;N161+0.00000001),1,0)</x:f>
        <x:v>0</x:v>
      </x:c>
      <x:c r="U162" t="n">
        <x:f>IF(AND(MAX(O162,O161)&gt;0,O162&gt;O161+0.00000001),1,0)</x:f>
        <x:v>0</x:v>
      </x:c>
    </x:row>
    <x:row r="163">
      <x:c r="J163" t="n">
        <x:f>IF(AND(ISNUMBER('Results'!B7),ISNUMBER('Results'!C7),ISNUMBER('Results'!$B$8),ISNUMBER('Inputs'!$B$6),ISNUMBER('Inputs'!$B$7),ISNUMBER('Inputs'!$B$8),ISNUMBER('Inputs'!$B$9),ISNUMBER('Inputs'!$B$10),ISNUMBER('Inputs'!$B$21),ISNUMBER('Inputs'!$B$24),ISNUMBER('Inputs'!$B$28)),(('Results'!B7*(0.5*((((163-43)*MAX('Inputs'!$B$33,'Inputs'!$B$29+'Inputs'!$B$31+'Inputs'!$B$32,'Inputs'!$B$30+'Inputs'!$B$31+'Inputs'!$B$32)/1000+'Inputs'!$B$21)+'Inputs'!$B$7)/SQRT((((163-43)*MAX('Inputs'!$B$33,'Inputs'!$B$29+'Inputs'!$B$31+'Inputs'!$B$32,'Inputs'!$B$30+'Inputs'!$B$31+'Inputs'!$B$32)/1000+'Inputs'!$B$21)+'Inputs'!$B$7)^2+('Inputs'!$B$6/2)^2)-(((163-43)*MAX('Inputs'!$B$33,'Inputs'!$B$29+'Inputs'!$B$31+'Inputs'!$B$32,'Inputs'!$B$30+'Inputs'!$B$31+'Inputs'!$B$32)/1000+'Inputs'!$B$21))/SQRT((((163-43)*MAX('Inputs'!$B$33,'Inputs'!$B$29+'Inputs'!$B$31+'Inputs'!$B$32,'Inputs'!$B$30+'Inputs'!$B$31+'Inputs'!$B$32)/1000+'Inputs'!$B$21))^2+('Inputs'!$B$6/2)^2)))-'Results'!C7*(0.5*((((163-43)*MAX('Inputs'!$B$33,'Inputs'!$B$29+'Inputs'!$B$31+'Inputs'!$B$32,'Inputs'!$B$30+'Inputs'!$B$31+'Inputs'!$B$32)/1000+'Inputs'!$B$21+'Inputs'!$B$7+'Inputs'!$B$10)+'Inputs'!$B$9)/SQRT((((163-43)*MAX('Inputs'!$B$33,'Inputs'!$B$29+'Inputs'!$B$31+'Inputs'!$B$32,'Inputs'!$B$30+'Inputs'!$B$31+'Inputs'!$B$32)/1000+'Inputs'!$B$21+'Inputs'!$B$7+'Inputs'!$B$10)+'Inputs'!$B$9)^2+('Inputs'!$B$8/2)^2)-(((163-43)*MAX('Inputs'!$B$33,'Inputs'!$B$29+'Inputs'!$B$31+'Inputs'!$B$32,'Inputs'!$B$30+'Inputs'!$B$31+'Inputs'!$B$32)/1000+'Inputs'!$B$21+'Inputs'!$B$7+'Inputs'!$B$10))/SQRT((((163-43)*MAX('Inputs'!$B$33,'Inputs'!$B$29+'Inputs'!$B$31+'Inputs'!$B$32,'Inputs'!$B$30+'Inputs'!$B$31+'Inputs'!$B$32)/1000+'Inputs'!$B$21+'Inputs'!$B$7+'Inputs'!$B$10))^2+('Inputs'!$B$8/2)^2))))*'Results'!$B$8),"")</x:f>
        <x:v>257.4127894211891</x:v>
      </x:c>
      <x:c r="K163" t="n">
        <x:f>IF(AND(ISNUMBER('Results'!B7),ISNUMBER('Results'!C7),ISNUMBER('Results'!$B$8),ISNUMBER('Inputs'!$B$6),ISNUMBER('Inputs'!$B$7),ISNUMBER('Inputs'!$B$8),ISNUMBER('Inputs'!$B$9),ISNUMBER('Inputs'!$B$10),ISNUMBER('Inputs'!$B$21),ISNUMBER('Inputs'!$B$24),ISNUMBER('Inputs'!$B$28)),((('Results'!B7*(1-'Inputs'!$B$24)*(0.5*((((163-43)*MAX('Inputs'!$B$33,'Inputs'!$B$29+'Inputs'!$B$31+'Inputs'!$B$32,'Inputs'!$B$30+'Inputs'!$B$31+'Inputs'!$B$32)/1000+'Inputs'!$B$21)+'Inputs'!$B$7)/SQRT((((163-43)*MAX('Inputs'!$B$33,'Inputs'!$B$29+'Inputs'!$B$31+'Inputs'!$B$32,'Inputs'!$B$30+'Inputs'!$B$31+'Inputs'!$B$32)/1000+'Inputs'!$B$21)+'Inputs'!$B$7)^2+('Inputs'!$B$6/2)^2)-(((163-43)*MAX('Inputs'!$B$33,'Inputs'!$B$29+'Inputs'!$B$31+'Inputs'!$B$32,'Inputs'!$B$30+'Inputs'!$B$31+'Inputs'!$B$32)/1000+'Inputs'!$B$21))/SQRT((((163-43)*MAX('Inputs'!$B$33,'Inputs'!$B$29+'Inputs'!$B$31+'Inputs'!$B$32,'Inputs'!$B$30+'Inputs'!$B$31+'Inputs'!$B$32)/1000+'Inputs'!$B$21))^2+('Inputs'!$B$6/2)^2)))-'Results'!C7*(1+'Inputs'!$B$24)*(0.5*((((163-43)*MAX('Inputs'!$B$33,'Inputs'!$B$29+'Inputs'!$B$31+'Inputs'!$B$32,'Inputs'!$B$30+'Inputs'!$B$31+'Inputs'!$B$32)/1000+'Inputs'!$B$21+'Inputs'!$B$7+'Inputs'!$B$10)+'Inputs'!$B$9)/SQRT((((163-43)*MAX('Inputs'!$B$33,'Inputs'!$B$29+'Inputs'!$B$31+'Inputs'!$B$32,'Inputs'!$B$30+'Inputs'!$B$31+'Inputs'!$B$32)/1000+'Inputs'!$B$21+'Inputs'!$B$7+'Inputs'!$B$10)+'Inputs'!$B$9)^2+('Inputs'!$B$8/2)^2)-(((163-43)*MAX('Inputs'!$B$33,'Inputs'!$B$29+'Inputs'!$B$31+'Inputs'!$B$32,'Inputs'!$B$30+'Inputs'!$B$31+'Inputs'!$B$32)/1000+'Inputs'!$B$21+'Inputs'!$B$7+'Inputs'!$B$10))/SQRT((((163-43)*MAX('Inputs'!$B$33,'Inputs'!$B$29+'Inputs'!$B$31+'Inputs'!$B$32,'Inputs'!$B$30+'Inputs'!$B$31+'Inputs'!$B$32)/1000+'Inputs'!$B$21+'Inputs'!$B$7+'Inputs'!$B$10))^2+('Inputs'!$B$8/2)^2))))*'Results'!$B$8)-'Inputs'!$B$28*ABS((('Results'!B7*(1-'Inputs'!$B$24)*(0.5*((((163-43)*MAX('Inputs'!$B$33,'Inputs'!$B$29+'Inputs'!$B$31+'Inputs'!$B$32,'Inputs'!$B$30+'Inputs'!$B$31+'Inputs'!$B$32)/1000+'Inputs'!$B$21)+'Inputs'!$B$7)/SQRT((((163-43)*MAX('Inputs'!$B$33,'Inputs'!$B$29+'Inputs'!$B$31+'Inputs'!$B$32,'Inputs'!$B$30+'Inputs'!$B$31+'Inputs'!$B$32)/1000+'Inputs'!$B$21)+'Inputs'!$B$7)^2+('Inputs'!$B$6/2)^2)-(((163-43)*MAX('Inputs'!$B$33,'Inputs'!$B$29+'Inputs'!$B$31+'Inputs'!$B$32,'Inputs'!$B$30+'Inputs'!$B$31+'Inputs'!$B$32)/1000+'Inputs'!$B$21))/SQRT((((163-43)*MAX('Inputs'!$B$33,'Inputs'!$B$29+'Inputs'!$B$31+'Inputs'!$B$32,'Inputs'!$B$30+'Inputs'!$B$31+'Inputs'!$B$32)/1000+'Inputs'!$B$21))^2+('Inputs'!$B$6/2)^2)))-'Results'!C7*(1+'Inputs'!$B$24)*(0.5*((((163-43)*MAX('Inputs'!$B$33,'Inputs'!$B$29+'Inputs'!$B$31+'Inputs'!$B$32,'Inputs'!$B$30+'Inputs'!$B$31+'Inputs'!$B$32)/1000+'Inputs'!$B$21+'Inputs'!$B$7+'Inputs'!$B$10)+'Inputs'!$B$9)/SQRT((((163-43)*MAX('Inputs'!$B$33,'Inputs'!$B$29+'Inputs'!$B$31+'Inputs'!$B$32,'Inputs'!$B$30+'Inputs'!$B$31+'Inputs'!$B$32)/1000+'Inputs'!$B$21+'Inputs'!$B$7+'Inputs'!$B$10)+'Inputs'!$B$9)^2+('Inputs'!$B$8/2)^2)-(((163-43)*MAX('Inputs'!$B$33,'Inputs'!$B$29+'Inputs'!$B$31+'Inputs'!$B$32,'Inputs'!$B$30+'Inputs'!$B$31+'Inputs'!$B$32)/1000+'Inputs'!$B$21+'Inputs'!$B$7+'Inputs'!$B$10))/SQRT((((163-43)*MAX('Inputs'!$B$33,'Inputs'!$B$29+'Inputs'!$B$31+'Inputs'!$B$32,'Inputs'!$B$30+'Inputs'!$B$31+'Inputs'!$B$32)/1000+'Inputs'!$B$21+'Inputs'!$B$7+'Inputs'!$B$10))^2+('Inputs'!$B$8/2)^2))))*'Results'!$B$8))),"")</x:f>
        <x:v>237.01073848381156</x:v>
      </x:c>
      <x:c r="L163" t="n">
        <x:f>IF(AND(ISNUMBER('Results'!B7),ISNUMBER('Results'!C7),ISNUMBER('Results'!$B$8),ISNUMBER('Inputs'!$B$6),ISNUMBER('Inputs'!$B$7),ISNUMBER('Inputs'!$B$8),ISNUMBER('Inputs'!$B$9),ISNUMBER('Inputs'!$B$10),ISNUMBER('Inputs'!$B$21),ISNUMBER('Inputs'!$B$24),ISNUMBER('Inputs'!$B$28)),((('Results'!B7*(1+'Inputs'!$B$24)*(0.5*((((163-43)*MAX('Inputs'!$B$33,'Inputs'!$B$29+'Inputs'!$B$31+'Inputs'!$B$32,'Inputs'!$B$30+'Inputs'!$B$31+'Inputs'!$B$32)/1000+'Inputs'!$B$21)+'Inputs'!$B$7)/SQRT((((163-43)*MAX('Inputs'!$B$33,'Inputs'!$B$29+'Inputs'!$B$31+'Inputs'!$B$32,'Inputs'!$B$30+'Inputs'!$B$31+'Inputs'!$B$32)/1000+'Inputs'!$B$21)+'Inputs'!$B$7)^2+('Inputs'!$B$6/2)^2)-(((163-43)*MAX('Inputs'!$B$33,'Inputs'!$B$29+'Inputs'!$B$31+'Inputs'!$B$32,'Inputs'!$B$30+'Inputs'!$B$31+'Inputs'!$B$32)/1000+'Inputs'!$B$21))/SQRT((((163-43)*MAX('Inputs'!$B$33,'Inputs'!$B$29+'Inputs'!$B$31+'Inputs'!$B$32,'Inputs'!$B$30+'Inputs'!$B$31+'Inputs'!$B$32)/1000+'Inputs'!$B$21))^2+('Inputs'!$B$6/2)^2)))-'Results'!C7*(1-'Inputs'!$B$24)*(0.5*((((163-43)*MAX('Inputs'!$B$33,'Inputs'!$B$29+'Inputs'!$B$31+'Inputs'!$B$32,'Inputs'!$B$30+'Inputs'!$B$31+'Inputs'!$B$32)/1000+'Inputs'!$B$21+'Inputs'!$B$7+'Inputs'!$B$10)+'Inputs'!$B$9)/SQRT((((163-43)*MAX('Inputs'!$B$33,'Inputs'!$B$29+'Inputs'!$B$31+'Inputs'!$B$32,'Inputs'!$B$30+'Inputs'!$B$31+'Inputs'!$B$32)/1000+'Inputs'!$B$21+'Inputs'!$B$7+'Inputs'!$B$10)+'Inputs'!$B$9)^2+('Inputs'!$B$8/2)^2)-(((163-43)*MAX('Inputs'!$B$33,'Inputs'!$B$29+'Inputs'!$B$31+'Inputs'!$B$32,'Inputs'!$B$30+'Inputs'!$B$31+'Inputs'!$B$32)/1000+'Inputs'!$B$21+'Inputs'!$B$7+'Inputs'!$B$10))/SQRT((((163-43)*MAX('Inputs'!$B$33,'Inputs'!$B$29+'Inputs'!$B$31+'Inputs'!$B$32,'Inputs'!$B$30+'Inputs'!$B$31+'Inputs'!$B$32)/1000+'Inputs'!$B$21+'Inputs'!$B$7+'Inputs'!$B$10))^2+('Inputs'!$B$8/2)^2))))*'Results'!$B$8)+'Inputs'!$B$28*ABS((('Results'!B7*(1+'Inputs'!$B$24)*(0.5*((((163-43)*MAX('Inputs'!$B$33,'Inputs'!$B$29+'Inputs'!$B$31+'Inputs'!$B$32,'Inputs'!$B$30+'Inputs'!$B$31+'Inputs'!$B$32)/1000+'Inputs'!$B$21)+'Inputs'!$B$7)/SQRT((((163-43)*MAX('Inputs'!$B$33,'Inputs'!$B$29+'Inputs'!$B$31+'Inputs'!$B$32,'Inputs'!$B$30+'Inputs'!$B$31+'Inputs'!$B$32)/1000+'Inputs'!$B$21)+'Inputs'!$B$7)^2+('Inputs'!$B$6/2)^2)-(((163-43)*MAX('Inputs'!$B$33,'Inputs'!$B$29+'Inputs'!$B$31+'Inputs'!$B$32,'Inputs'!$B$30+'Inputs'!$B$31+'Inputs'!$B$32)/1000+'Inputs'!$B$21))/SQRT((((163-43)*MAX('Inputs'!$B$33,'Inputs'!$B$29+'Inputs'!$B$31+'Inputs'!$B$32,'Inputs'!$B$30+'Inputs'!$B$31+'Inputs'!$B$32)/1000+'Inputs'!$B$21))^2+('Inputs'!$B$6/2)^2)))-'Results'!C7*(1-'Inputs'!$B$24)*(0.5*((((163-43)*MAX('Inputs'!$B$33,'Inputs'!$B$29+'Inputs'!$B$31+'Inputs'!$B$32,'Inputs'!$B$30+'Inputs'!$B$31+'Inputs'!$B$32)/1000+'Inputs'!$B$21+'Inputs'!$B$7+'Inputs'!$B$10)+'Inputs'!$B$9)/SQRT((((163-43)*MAX('Inputs'!$B$33,'Inputs'!$B$29+'Inputs'!$B$31+'Inputs'!$B$32,'Inputs'!$B$30+'Inputs'!$B$31+'Inputs'!$B$32)/1000+'Inputs'!$B$21+'Inputs'!$B$7+'Inputs'!$B$10)+'Inputs'!$B$9)^2+('Inputs'!$B$8/2)^2)-(((163-43)*MAX('Inputs'!$B$33,'Inputs'!$B$29+'Inputs'!$B$31+'Inputs'!$B$32,'Inputs'!$B$30+'Inputs'!$B$31+'Inputs'!$B$32)/1000+'Inputs'!$B$21+'Inputs'!$B$7+'Inputs'!$B$10))/SQRT((((163-43)*MAX('Inputs'!$B$33,'Inputs'!$B$29+'Inputs'!$B$31+'Inputs'!$B$32,'Inputs'!$B$30+'Inputs'!$B$31+'Inputs'!$B$32)/1000+'Inputs'!$B$21+'Inputs'!$B$7+'Inputs'!$B$10))^2+('Inputs'!$B$8/2)^2))))*'Results'!$B$8))),"")</x:f>
        <x:v>278.60762051291584</x:v>
      </x:c>
      <x:c r="M163" t="n">
        <x:f>IF(AND(ISNUMBER('Results'!C7),ISNUMBER('Results'!B7),ISNUMBER('Results'!$B$8),ISNUMBER('Inputs'!$B$6),ISNUMBER('Inputs'!$B$7),ISNUMBER('Inputs'!$B$8),ISNUMBER('Inputs'!$B$9),ISNUMBER('Inputs'!$B$10),ISNUMBER('Inputs'!$B$21),ISNUMBER('Inputs'!$B$24),ISNUMBER('Inputs'!$B$28)),(('Results'!C7*(0.5*((((163-43)*MAX('Inputs'!$B$33,'Inputs'!$B$29+'Inputs'!$B$31+'Inputs'!$B$32,'Inputs'!$B$30+'Inputs'!$B$31+'Inputs'!$B$32)/1000+'Inputs'!$B$21)+'Inputs'!$B$9)/SQRT((((163-43)*MAX('Inputs'!$B$33,'Inputs'!$B$29+'Inputs'!$B$31+'Inputs'!$B$32,'Inputs'!$B$30+'Inputs'!$B$31+'Inputs'!$B$32)/1000+'Inputs'!$B$21)+'Inputs'!$B$9)^2+('Inputs'!$B$8/2)^2)-(((163-43)*MAX('Inputs'!$B$33,'Inputs'!$B$29+'Inputs'!$B$31+'Inputs'!$B$32,'Inputs'!$B$30+'Inputs'!$B$31+'Inputs'!$B$32)/1000+'Inputs'!$B$21))/SQRT((((163-43)*MAX('Inputs'!$B$33,'Inputs'!$B$29+'Inputs'!$B$31+'Inputs'!$B$32,'Inputs'!$B$30+'Inputs'!$B$31+'Inputs'!$B$32)/1000+'Inputs'!$B$21))^2+('Inputs'!$B$8/2)^2)))-'Results'!B7*(0.5*((((163-43)*MAX('Inputs'!$B$33,'Inputs'!$B$29+'Inputs'!$B$31+'Inputs'!$B$32,'Inputs'!$B$30+'Inputs'!$B$31+'Inputs'!$B$32)/1000+'Inputs'!$B$21+'Inputs'!$B$9+'Inputs'!$B$10)+'Inputs'!$B$7)/SQRT((((163-43)*MAX('Inputs'!$B$33,'Inputs'!$B$29+'Inputs'!$B$31+'Inputs'!$B$32,'Inputs'!$B$30+'Inputs'!$B$31+'Inputs'!$B$32)/1000+'Inputs'!$B$21+'Inputs'!$B$9+'Inputs'!$B$10)+'Inputs'!$B$7)^2+('Inputs'!$B$6/2)^2)-(((163-43)*MAX('Inputs'!$B$33,'Inputs'!$B$29+'Inputs'!$B$31+'Inputs'!$B$32,'Inputs'!$B$30+'Inputs'!$B$31+'Inputs'!$B$32)/1000+'Inputs'!$B$21+'Inputs'!$B$9+'Inputs'!$B$10))/SQRT((((163-43)*MAX('Inputs'!$B$33,'Inputs'!$B$29+'Inputs'!$B$31+'Inputs'!$B$32,'Inputs'!$B$30+'Inputs'!$B$31+'Inputs'!$B$32)/1000+'Inputs'!$B$21+'Inputs'!$B$9+'Inputs'!$B$10))^2+('Inputs'!$B$6/2)^2))))*'Results'!$B$8),"")</x:f>
        <x:v>249.45662516590997</x:v>
      </x:c>
      <x:c r="N163" t="n">
        <x:f>IF(AND(ISNUMBER('Results'!C7),ISNUMBER('Results'!B7),ISNUMBER('Results'!$B$8),ISNUMBER('Inputs'!$B$6),ISNUMBER('Inputs'!$B$7),ISNUMBER('Inputs'!$B$8),ISNUMBER('Inputs'!$B$9),ISNUMBER('Inputs'!$B$10),ISNUMBER('Inputs'!$B$21),ISNUMBER('Inputs'!$B$24),ISNUMBER('Inputs'!$B$28)),((('Results'!C7*(1-'Inputs'!$B$24)*(0.5*((((163-43)*MAX('Inputs'!$B$33,'Inputs'!$B$29+'Inputs'!$B$31+'Inputs'!$B$32,'Inputs'!$B$30+'Inputs'!$B$31+'Inputs'!$B$32)/1000+'Inputs'!$B$21)+'Inputs'!$B$9)/SQRT((((163-43)*MAX('Inputs'!$B$33,'Inputs'!$B$29+'Inputs'!$B$31+'Inputs'!$B$32,'Inputs'!$B$30+'Inputs'!$B$31+'Inputs'!$B$32)/1000+'Inputs'!$B$21)+'Inputs'!$B$9)^2+('Inputs'!$B$8/2)^2)-(((163-43)*MAX('Inputs'!$B$33,'Inputs'!$B$29+'Inputs'!$B$31+'Inputs'!$B$32,'Inputs'!$B$30+'Inputs'!$B$31+'Inputs'!$B$32)/1000+'Inputs'!$B$21))/SQRT((((163-43)*MAX('Inputs'!$B$33,'Inputs'!$B$29+'Inputs'!$B$31+'Inputs'!$B$32,'Inputs'!$B$30+'Inputs'!$B$31+'Inputs'!$B$32)/1000+'Inputs'!$B$21))^2+('Inputs'!$B$8/2)^2)))-'Results'!B7*(1+'Inputs'!$B$24)*(0.5*((((163-43)*MAX('Inputs'!$B$33,'Inputs'!$B$29+'Inputs'!$B$31+'Inputs'!$B$32,'Inputs'!$B$30+'Inputs'!$B$31+'Inputs'!$B$32)/1000+'Inputs'!$B$21+'Inputs'!$B$9+'Inputs'!$B$10)+'Inputs'!$B$7)/SQRT((((163-43)*MAX('Inputs'!$B$33,'Inputs'!$B$29+'Inputs'!$B$31+'Inputs'!$B$32,'Inputs'!$B$30+'Inputs'!$B$31+'Inputs'!$B$32)/1000+'Inputs'!$B$21+'Inputs'!$B$9+'Inputs'!$B$10)+'Inputs'!$B$7)^2+('Inputs'!$B$6/2)^2)-(((163-43)*MAX('Inputs'!$B$33,'Inputs'!$B$29+'Inputs'!$B$31+'Inputs'!$B$32,'Inputs'!$B$30+'Inputs'!$B$31+'Inputs'!$B$32)/1000+'Inputs'!$B$21+'Inputs'!$B$9+'Inputs'!$B$10))/SQRT((((163-43)*MAX('Inputs'!$B$33,'Inputs'!$B$29+'Inputs'!$B$31+'Inputs'!$B$32,'Inputs'!$B$30+'Inputs'!$B$31+'Inputs'!$B$32)/1000+'Inputs'!$B$21+'Inputs'!$B$9+'Inputs'!$B$10))^2+('Inputs'!$B$6/2)^2))))*'Results'!$B$8)-'Inputs'!$B$28*ABS((('Results'!C7*(1-'Inputs'!$B$24)*(0.5*((((163-43)*MAX('Inputs'!$B$33,'Inputs'!$B$29+'Inputs'!$B$31+'Inputs'!$B$32,'Inputs'!$B$30+'Inputs'!$B$31+'Inputs'!$B$32)/1000+'Inputs'!$B$21)+'Inputs'!$B$9)/SQRT((((163-43)*MAX('Inputs'!$B$33,'Inputs'!$B$29+'Inputs'!$B$31+'Inputs'!$B$32,'Inputs'!$B$30+'Inputs'!$B$31+'Inputs'!$B$32)/1000+'Inputs'!$B$21)+'Inputs'!$B$9)^2+('Inputs'!$B$8/2)^2)-(((163-43)*MAX('Inputs'!$B$33,'Inputs'!$B$29+'Inputs'!$B$31+'Inputs'!$B$32,'Inputs'!$B$30+'Inputs'!$B$31+'Inputs'!$B$32)/1000+'Inputs'!$B$21))/SQRT((((163-43)*MAX('Inputs'!$B$33,'Inputs'!$B$29+'Inputs'!$B$31+'Inputs'!$B$32,'Inputs'!$B$30+'Inputs'!$B$31+'Inputs'!$B$32)/1000+'Inputs'!$B$21))^2+('Inputs'!$B$8/2)^2)))-'Results'!B7*(1+'Inputs'!$B$24)*(0.5*((((163-43)*MAX('Inputs'!$B$33,'Inputs'!$B$29+'Inputs'!$B$31+'Inputs'!$B$32,'Inputs'!$B$30+'Inputs'!$B$31+'Inputs'!$B$32)/1000+'Inputs'!$B$21+'Inputs'!$B$9+'Inputs'!$B$10)+'Inputs'!$B$7)/SQRT((((163-43)*MAX('Inputs'!$B$33,'Inputs'!$B$29+'Inputs'!$B$31+'Inputs'!$B$32,'Inputs'!$B$30+'Inputs'!$B$31+'Inputs'!$B$32)/1000+'Inputs'!$B$21+'Inputs'!$B$9+'Inputs'!$B$10)+'Inputs'!$B$7)^2+('Inputs'!$B$6/2)^2)-(((163-43)*MAX('Inputs'!$B$33,'Inputs'!$B$29+'Inputs'!$B$31+'Inputs'!$B$32,'Inputs'!$B$30+'Inputs'!$B$31+'Inputs'!$B$32)/1000+'Inputs'!$B$21+'Inputs'!$B$9+'Inputs'!$B$10))/SQRT((((163-43)*MAX('Inputs'!$B$33,'Inputs'!$B$29+'Inputs'!$B$31+'Inputs'!$B$32,'Inputs'!$B$30+'Inputs'!$B$31+'Inputs'!$B$32)/1000+'Inputs'!$B$21+'Inputs'!$B$9+'Inputs'!$B$10))^2+('Inputs'!$B$6/2)^2))))*'Results'!$B$8))),"")</x:f>
        <x:v>229.5496604097525</x:v>
      </x:c>
      <x:c r="O163" t="n">
        <x:f>IF(AND(ISNUMBER('Results'!C7),ISNUMBER('Results'!B7),ISNUMBER('Results'!$B$8),ISNUMBER('Inputs'!$B$6),ISNUMBER('Inputs'!$B$7),ISNUMBER('Inputs'!$B$8),ISNUMBER('Inputs'!$B$9),ISNUMBER('Inputs'!$B$10),ISNUMBER('Inputs'!$B$21),ISNUMBER('Inputs'!$B$24),ISNUMBER('Inputs'!$B$28)),((('Results'!C7*(1+'Inputs'!$B$24)*(0.5*((((163-43)*MAX('Inputs'!$B$33,'Inputs'!$B$29+'Inputs'!$B$31+'Inputs'!$B$32,'Inputs'!$B$30+'Inputs'!$B$31+'Inputs'!$B$32)/1000+'Inputs'!$B$21)+'Inputs'!$B$9)/SQRT((((163-43)*MAX('Inputs'!$B$33,'Inputs'!$B$29+'Inputs'!$B$31+'Inputs'!$B$32,'Inputs'!$B$30+'Inputs'!$B$31+'Inputs'!$B$32)/1000+'Inputs'!$B$21)+'Inputs'!$B$9)^2+('Inputs'!$B$8/2)^2)-(((163-43)*MAX('Inputs'!$B$33,'Inputs'!$B$29+'Inputs'!$B$31+'Inputs'!$B$32,'Inputs'!$B$30+'Inputs'!$B$31+'Inputs'!$B$32)/1000+'Inputs'!$B$21))/SQRT((((163-43)*MAX('Inputs'!$B$33,'Inputs'!$B$29+'Inputs'!$B$31+'Inputs'!$B$32,'Inputs'!$B$30+'Inputs'!$B$31+'Inputs'!$B$32)/1000+'Inputs'!$B$21))^2+('Inputs'!$B$8/2)^2)))-'Results'!B7*(1-'Inputs'!$B$24)*(0.5*((((163-43)*MAX('Inputs'!$B$33,'Inputs'!$B$29+'Inputs'!$B$31+'Inputs'!$B$32,'Inputs'!$B$30+'Inputs'!$B$31+'Inputs'!$B$32)/1000+'Inputs'!$B$21+'Inputs'!$B$9+'Inputs'!$B$10)+'Inputs'!$B$7)/SQRT((((163-43)*MAX('Inputs'!$B$33,'Inputs'!$B$29+'Inputs'!$B$31+'Inputs'!$B$32,'Inputs'!$B$30+'Inputs'!$B$31+'Inputs'!$B$32)/1000+'Inputs'!$B$21+'Inputs'!$B$9+'Inputs'!$B$10)+'Inputs'!$B$7)^2+('Inputs'!$B$6/2)^2)-(((163-43)*MAX('Inputs'!$B$33,'Inputs'!$B$29+'Inputs'!$B$31+'Inputs'!$B$32,'Inputs'!$B$30+'Inputs'!$B$31+'Inputs'!$B$32)/1000+'Inputs'!$B$21+'Inputs'!$B$9+'Inputs'!$B$10))/SQRT((((163-43)*MAX('Inputs'!$B$33,'Inputs'!$B$29+'Inputs'!$B$31+'Inputs'!$B$32,'Inputs'!$B$30+'Inputs'!$B$31+'Inputs'!$B$32)/1000+'Inputs'!$B$21+'Inputs'!$B$9+'Inputs'!$B$10))^2+('Inputs'!$B$6/2)^2))))*'Results'!$B$8)+'Inputs'!$B$28*ABS((('Results'!C7*(1+'Inputs'!$B$24)*(0.5*((((163-43)*MAX('Inputs'!$B$33,'Inputs'!$B$29+'Inputs'!$B$31+'Inputs'!$B$32,'Inputs'!$B$30+'Inputs'!$B$31+'Inputs'!$B$32)/1000+'Inputs'!$B$21)+'Inputs'!$B$9)/SQRT((((163-43)*MAX('Inputs'!$B$33,'Inputs'!$B$29+'Inputs'!$B$31+'Inputs'!$B$32,'Inputs'!$B$30+'Inputs'!$B$31+'Inputs'!$B$32)/1000+'Inputs'!$B$21)+'Inputs'!$B$9)^2+('Inputs'!$B$8/2)^2)-(((163-43)*MAX('Inputs'!$B$33,'Inputs'!$B$29+'Inputs'!$B$31+'Inputs'!$B$32,'Inputs'!$B$30+'Inputs'!$B$31+'Inputs'!$B$32)/1000+'Inputs'!$B$21))/SQRT((((163-43)*MAX('Inputs'!$B$33,'Inputs'!$B$29+'Inputs'!$B$31+'Inputs'!$B$32,'Inputs'!$B$30+'Inputs'!$B$31+'Inputs'!$B$32)/1000+'Inputs'!$B$21))^2+('Inputs'!$B$8/2)^2)))-'Results'!B7*(1-'Inputs'!$B$24)*(0.5*((((163-43)*MAX('Inputs'!$B$33,'Inputs'!$B$29+'Inputs'!$B$31+'Inputs'!$B$32,'Inputs'!$B$30+'Inputs'!$B$31+'Inputs'!$B$32)/1000+'Inputs'!$B$21+'Inputs'!$B$9+'Inputs'!$B$10)+'Inputs'!$B$7)/SQRT((((163-43)*MAX('Inputs'!$B$33,'Inputs'!$B$29+'Inputs'!$B$31+'Inputs'!$B$32,'Inputs'!$B$30+'Inputs'!$B$31+'Inputs'!$B$32)/1000+'Inputs'!$B$21+'Inputs'!$B$9+'Inputs'!$B$10)+'Inputs'!$B$7)^2+('Inputs'!$B$6/2)^2)-(((163-43)*MAX('Inputs'!$B$33,'Inputs'!$B$29+'Inputs'!$B$31+'Inputs'!$B$32,'Inputs'!$B$30+'Inputs'!$B$31+'Inputs'!$B$32)/1000+'Inputs'!$B$21+'Inputs'!$B$9+'Inputs'!$B$10))/SQRT((((163-43)*MAX('Inputs'!$B$33,'Inputs'!$B$29+'Inputs'!$B$31+'Inputs'!$B$32,'Inputs'!$B$30+'Inputs'!$B$31+'Inputs'!$B$32)/1000+'Inputs'!$B$21+'Inputs'!$B$9+'Inputs'!$B$10))^2+('Inputs'!$B$6/2)^2))))*'Results'!$B$8))),"")</x:f>
        <x:v>270.14613029026344</x:v>
      </x:c>
      <x:c r="P163" t="n">
        <x:f>IF(AND(MAX(J163,J162)&gt;0,J163&gt;J162+0.00000001),1,0)</x:f>
        <x:v>0</x:v>
      </x:c>
      <x:c r="Q163" t="n">
        <x:f>IF(AND(MAX(K163,K162)&gt;0,K163&gt;K162+0.00000001),1,0)</x:f>
        <x:v>0</x:v>
      </x:c>
      <x:c r="R163" t="n">
        <x:f>IF(AND(MAX(L163,L162)&gt;0,L163&gt;L162+0.00000001),1,0)</x:f>
        <x:v>0</x:v>
      </x:c>
      <x:c r="S163" t="n">
        <x:f>IF(AND(MAX(M163,M162)&gt;0,M163&gt;M162+0.00000001),1,0)</x:f>
        <x:v>0</x:v>
      </x:c>
      <x:c r="T163" t="n">
        <x:f>IF(AND(MAX(N163,N162)&gt;0,N163&gt;N162+0.00000001),1,0)</x:f>
        <x:v>0</x:v>
      </x:c>
      <x:c r="U163" t="n">
        <x:f>IF(AND(MAX(O163,O162)&gt;0,O163&gt;O162+0.00000001),1,0)</x:f>
        <x:v>0</x:v>
      </x:c>
    </x:row>
    <x:row r="164">
      <x:c r="J164" t="n">
        <x:f>IF(AND(ISNUMBER('Results'!B7),ISNUMBER('Results'!C7),ISNUMBER('Results'!$B$8),ISNUMBER('Inputs'!$B$6),ISNUMBER('Inputs'!$B$7),ISNUMBER('Inputs'!$B$8),ISNUMBER('Inputs'!$B$9),ISNUMBER('Inputs'!$B$10),ISNUMBER('Inputs'!$B$21),ISNUMBER('Inputs'!$B$24),ISNUMBER('Inputs'!$B$28)),(('Results'!B7*(0.5*((((164-43)*MAX('Inputs'!$B$33,'Inputs'!$B$29+'Inputs'!$B$31+'Inputs'!$B$32,'Inputs'!$B$30+'Inputs'!$B$31+'Inputs'!$B$32)/1000+'Inputs'!$B$21)+'Inputs'!$B$7)/SQRT((((164-43)*MAX('Inputs'!$B$33,'Inputs'!$B$29+'Inputs'!$B$31+'Inputs'!$B$32,'Inputs'!$B$30+'Inputs'!$B$31+'Inputs'!$B$32)/1000+'Inputs'!$B$21)+'Inputs'!$B$7)^2+('Inputs'!$B$6/2)^2)-(((164-43)*MAX('Inputs'!$B$33,'Inputs'!$B$29+'Inputs'!$B$31+'Inputs'!$B$32,'Inputs'!$B$30+'Inputs'!$B$31+'Inputs'!$B$32)/1000+'Inputs'!$B$21))/SQRT((((164-43)*MAX('Inputs'!$B$33,'Inputs'!$B$29+'Inputs'!$B$31+'Inputs'!$B$32,'Inputs'!$B$30+'Inputs'!$B$31+'Inputs'!$B$32)/1000+'Inputs'!$B$21))^2+('Inputs'!$B$6/2)^2)))-'Results'!C7*(0.5*((((164-43)*MAX('Inputs'!$B$33,'Inputs'!$B$29+'Inputs'!$B$31+'Inputs'!$B$32,'Inputs'!$B$30+'Inputs'!$B$31+'Inputs'!$B$32)/1000+'Inputs'!$B$21+'Inputs'!$B$7+'Inputs'!$B$10)+'Inputs'!$B$9)/SQRT((((164-43)*MAX('Inputs'!$B$33,'Inputs'!$B$29+'Inputs'!$B$31+'Inputs'!$B$32,'Inputs'!$B$30+'Inputs'!$B$31+'Inputs'!$B$32)/1000+'Inputs'!$B$21+'Inputs'!$B$7+'Inputs'!$B$10)+'Inputs'!$B$9)^2+('Inputs'!$B$8/2)^2)-(((164-43)*MAX('Inputs'!$B$33,'Inputs'!$B$29+'Inputs'!$B$31+'Inputs'!$B$32,'Inputs'!$B$30+'Inputs'!$B$31+'Inputs'!$B$32)/1000+'Inputs'!$B$21+'Inputs'!$B$7+'Inputs'!$B$10))/SQRT((((164-43)*MAX('Inputs'!$B$33,'Inputs'!$B$29+'Inputs'!$B$31+'Inputs'!$B$32,'Inputs'!$B$30+'Inputs'!$B$31+'Inputs'!$B$32)/1000+'Inputs'!$B$21+'Inputs'!$B$7+'Inputs'!$B$10))^2+('Inputs'!$B$8/2)^2))))*'Results'!$B$8),"")</x:f>
        <x:v>252.8658310945157</x:v>
      </x:c>
      <x:c r="K164" t="n">
        <x:f>IF(AND(ISNUMBER('Results'!B7),ISNUMBER('Results'!C7),ISNUMBER('Results'!$B$8),ISNUMBER('Inputs'!$B$6),ISNUMBER('Inputs'!$B$7),ISNUMBER('Inputs'!$B$8),ISNUMBER('Inputs'!$B$9),ISNUMBER('Inputs'!$B$10),ISNUMBER('Inputs'!$B$21),ISNUMBER('Inputs'!$B$24),ISNUMBER('Inputs'!$B$28)),((('Results'!B7*(1-'Inputs'!$B$24)*(0.5*((((164-43)*MAX('Inputs'!$B$33,'Inputs'!$B$29+'Inputs'!$B$31+'Inputs'!$B$32,'Inputs'!$B$30+'Inputs'!$B$31+'Inputs'!$B$32)/1000+'Inputs'!$B$21)+'Inputs'!$B$7)/SQRT((((164-43)*MAX('Inputs'!$B$33,'Inputs'!$B$29+'Inputs'!$B$31+'Inputs'!$B$32,'Inputs'!$B$30+'Inputs'!$B$31+'Inputs'!$B$32)/1000+'Inputs'!$B$21)+'Inputs'!$B$7)^2+('Inputs'!$B$6/2)^2)-(((164-43)*MAX('Inputs'!$B$33,'Inputs'!$B$29+'Inputs'!$B$31+'Inputs'!$B$32,'Inputs'!$B$30+'Inputs'!$B$31+'Inputs'!$B$32)/1000+'Inputs'!$B$21))/SQRT((((164-43)*MAX('Inputs'!$B$33,'Inputs'!$B$29+'Inputs'!$B$31+'Inputs'!$B$32,'Inputs'!$B$30+'Inputs'!$B$31+'Inputs'!$B$32)/1000+'Inputs'!$B$21))^2+('Inputs'!$B$6/2)^2)))-'Results'!C7*(1+'Inputs'!$B$24)*(0.5*((((164-43)*MAX('Inputs'!$B$33,'Inputs'!$B$29+'Inputs'!$B$31+'Inputs'!$B$32,'Inputs'!$B$30+'Inputs'!$B$31+'Inputs'!$B$32)/1000+'Inputs'!$B$21+'Inputs'!$B$7+'Inputs'!$B$10)+'Inputs'!$B$9)/SQRT((((164-43)*MAX('Inputs'!$B$33,'Inputs'!$B$29+'Inputs'!$B$31+'Inputs'!$B$32,'Inputs'!$B$30+'Inputs'!$B$31+'Inputs'!$B$32)/1000+'Inputs'!$B$21+'Inputs'!$B$7+'Inputs'!$B$10)+'Inputs'!$B$9)^2+('Inputs'!$B$8/2)^2)-(((164-43)*MAX('Inputs'!$B$33,'Inputs'!$B$29+'Inputs'!$B$31+'Inputs'!$B$32,'Inputs'!$B$30+'Inputs'!$B$31+'Inputs'!$B$32)/1000+'Inputs'!$B$21+'Inputs'!$B$7+'Inputs'!$B$10))/SQRT((((164-43)*MAX('Inputs'!$B$33,'Inputs'!$B$29+'Inputs'!$B$31+'Inputs'!$B$32,'Inputs'!$B$30+'Inputs'!$B$31+'Inputs'!$B$32)/1000+'Inputs'!$B$21+'Inputs'!$B$7+'Inputs'!$B$10))^2+('Inputs'!$B$8/2)^2))))*'Results'!$B$8)-'Inputs'!$B$28*ABS((('Results'!B7*(1-'Inputs'!$B$24)*(0.5*((((164-43)*MAX('Inputs'!$B$33,'Inputs'!$B$29+'Inputs'!$B$31+'Inputs'!$B$32,'Inputs'!$B$30+'Inputs'!$B$31+'Inputs'!$B$32)/1000+'Inputs'!$B$21)+'Inputs'!$B$7)/SQRT((((164-43)*MAX('Inputs'!$B$33,'Inputs'!$B$29+'Inputs'!$B$31+'Inputs'!$B$32,'Inputs'!$B$30+'Inputs'!$B$31+'Inputs'!$B$32)/1000+'Inputs'!$B$21)+'Inputs'!$B$7)^2+('Inputs'!$B$6/2)^2)-(((164-43)*MAX('Inputs'!$B$33,'Inputs'!$B$29+'Inputs'!$B$31+'Inputs'!$B$32,'Inputs'!$B$30+'Inputs'!$B$31+'Inputs'!$B$32)/1000+'Inputs'!$B$21))/SQRT((((164-43)*MAX('Inputs'!$B$33,'Inputs'!$B$29+'Inputs'!$B$31+'Inputs'!$B$32,'Inputs'!$B$30+'Inputs'!$B$31+'Inputs'!$B$32)/1000+'Inputs'!$B$21))^2+('Inputs'!$B$6/2)^2)))-'Results'!C7*(1+'Inputs'!$B$24)*(0.5*((((164-43)*MAX('Inputs'!$B$33,'Inputs'!$B$29+'Inputs'!$B$31+'Inputs'!$B$32,'Inputs'!$B$30+'Inputs'!$B$31+'Inputs'!$B$32)/1000+'Inputs'!$B$21+'Inputs'!$B$7+'Inputs'!$B$10)+'Inputs'!$B$9)/SQRT((((164-43)*MAX('Inputs'!$B$33,'Inputs'!$B$29+'Inputs'!$B$31+'Inputs'!$B$32,'Inputs'!$B$30+'Inputs'!$B$31+'Inputs'!$B$32)/1000+'Inputs'!$B$21+'Inputs'!$B$7+'Inputs'!$B$10)+'Inputs'!$B$9)^2+('Inputs'!$B$8/2)^2)-(((164-43)*MAX('Inputs'!$B$33,'Inputs'!$B$29+'Inputs'!$B$31+'Inputs'!$B$32,'Inputs'!$B$30+'Inputs'!$B$31+'Inputs'!$B$32)/1000+'Inputs'!$B$21+'Inputs'!$B$7+'Inputs'!$B$10))/SQRT((((164-43)*MAX('Inputs'!$B$33,'Inputs'!$B$29+'Inputs'!$B$31+'Inputs'!$B$32,'Inputs'!$B$30+'Inputs'!$B$31+'Inputs'!$B$32)/1000+'Inputs'!$B$21+'Inputs'!$B$7+'Inputs'!$B$10))^2+('Inputs'!$B$8/2)^2))))*'Results'!$B$8))),"")</x:f>
        <x:v>232.80584858760614</x:v>
      </x:c>
      <x:c r="L164" t="n">
        <x:f>IF(AND(ISNUMBER('Results'!B7),ISNUMBER('Results'!C7),ISNUMBER('Results'!$B$8),ISNUMBER('Inputs'!$B$6),ISNUMBER('Inputs'!$B$7),ISNUMBER('Inputs'!$B$8),ISNUMBER('Inputs'!$B$9),ISNUMBER('Inputs'!$B$10),ISNUMBER('Inputs'!$B$21),ISNUMBER('Inputs'!$B$24),ISNUMBER('Inputs'!$B$28)),((('Results'!B7*(1+'Inputs'!$B$24)*(0.5*((((164-43)*MAX('Inputs'!$B$33,'Inputs'!$B$29+'Inputs'!$B$31+'Inputs'!$B$32,'Inputs'!$B$30+'Inputs'!$B$31+'Inputs'!$B$32)/1000+'Inputs'!$B$21)+'Inputs'!$B$7)/SQRT((((164-43)*MAX('Inputs'!$B$33,'Inputs'!$B$29+'Inputs'!$B$31+'Inputs'!$B$32,'Inputs'!$B$30+'Inputs'!$B$31+'Inputs'!$B$32)/1000+'Inputs'!$B$21)+'Inputs'!$B$7)^2+('Inputs'!$B$6/2)^2)-(((164-43)*MAX('Inputs'!$B$33,'Inputs'!$B$29+'Inputs'!$B$31+'Inputs'!$B$32,'Inputs'!$B$30+'Inputs'!$B$31+'Inputs'!$B$32)/1000+'Inputs'!$B$21))/SQRT((((164-43)*MAX('Inputs'!$B$33,'Inputs'!$B$29+'Inputs'!$B$31+'Inputs'!$B$32,'Inputs'!$B$30+'Inputs'!$B$31+'Inputs'!$B$32)/1000+'Inputs'!$B$21))^2+('Inputs'!$B$6/2)^2)))-'Results'!C7*(1-'Inputs'!$B$24)*(0.5*((((164-43)*MAX('Inputs'!$B$33,'Inputs'!$B$29+'Inputs'!$B$31+'Inputs'!$B$32,'Inputs'!$B$30+'Inputs'!$B$31+'Inputs'!$B$32)/1000+'Inputs'!$B$21+'Inputs'!$B$7+'Inputs'!$B$10)+'Inputs'!$B$9)/SQRT((((164-43)*MAX('Inputs'!$B$33,'Inputs'!$B$29+'Inputs'!$B$31+'Inputs'!$B$32,'Inputs'!$B$30+'Inputs'!$B$31+'Inputs'!$B$32)/1000+'Inputs'!$B$21+'Inputs'!$B$7+'Inputs'!$B$10)+'Inputs'!$B$9)^2+('Inputs'!$B$8/2)^2)-(((164-43)*MAX('Inputs'!$B$33,'Inputs'!$B$29+'Inputs'!$B$31+'Inputs'!$B$32,'Inputs'!$B$30+'Inputs'!$B$31+'Inputs'!$B$32)/1000+'Inputs'!$B$21+'Inputs'!$B$7+'Inputs'!$B$10))/SQRT((((164-43)*MAX('Inputs'!$B$33,'Inputs'!$B$29+'Inputs'!$B$31+'Inputs'!$B$32,'Inputs'!$B$30+'Inputs'!$B$31+'Inputs'!$B$32)/1000+'Inputs'!$B$21+'Inputs'!$B$7+'Inputs'!$B$10))^2+('Inputs'!$B$8/2)^2))))*'Results'!$B$8)+'Inputs'!$B$28*ABS((('Results'!B7*(1+'Inputs'!$B$24)*(0.5*((((164-43)*MAX('Inputs'!$B$33,'Inputs'!$B$29+'Inputs'!$B$31+'Inputs'!$B$32,'Inputs'!$B$30+'Inputs'!$B$31+'Inputs'!$B$32)/1000+'Inputs'!$B$21)+'Inputs'!$B$7)/SQRT((((164-43)*MAX('Inputs'!$B$33,'Inputs'!$B$29+'Inputs'!$B$31+'Inputs'!$B$32,'Inputs'!$B$30+'Inputs'!$B$31+'Inputs'!$B$32)/1000+'Inputs'!$B$21)+'Inputs'!$B$7)^2+('Inputs'!$B$6/2)^2)-(((164-43)*MAX('Inputs'!$B$33,'Inputs'!$B$29+'Inputs'!$B$31+'Inputs'!$B$32,'Inputs'!$B$30+'Inputs'!$B$31+'Inputs'!$B$32)/1000+'Inputs'!$B$21))/SQRT((((164-43)*MAX('Inputs'!$B$33,'Inputs'!$B$29+'Inputs'!$B$31+'Inputs'!$B$32,'Inputs'!$B$30+'Inputs'!$B$31+'Inputs'!$B$32)/1000+'Inputs'!$B$21))^2+('Inputs'!$B$6/2)^2)))-'Results'!C7*(1-'Inputs'!$B$24)*(0.5*((((164-43)*MAX('Inputs'!$B$33,'Inputs'!$B$29+'Inputs'!$B$31+'Inputs'!$B$32,'Inputs'!$B$30+'Inputs'!$B$31+'Inputs'!$B$32)/1000+'Inputs'!$B$21+'Inputs'!$B$7+'Inputs'!$B$10)+'Inputs'!$B$9)/SQRT((((164-43)*MAX('Inputs'!$B$33,'Inputs'!$B$29+'Inputs'!$B$31+'Inputs'!$B$32,'Inputs'!$B$30+'Inputs'!$B$31+'Inputs'!$B$32)/1000+'Inputs'!$B$21+'Inputs'!$B$7+'Inputs'!$B$10)+'Inputs'!$B$9)^2+('Inputs'!$B$8/2)^2)-(((164-43)*MAX('Inputs'!$B$33,'Inputs'!$B$29+'Inputs'!$B$31+'Inputs'!$B$32,'Inputs'!$B$30+'Inputs'!$B$31+'Inputs'!$B$32)/1000+'Inputs'!$B$21+'Inputs'!$B$7+'Inputs'!$B$10))/SQRT((((164-43)*MAX('Inputs'!$B$33,'Inputs'!$B$29+'Inputs'!$B$31+'Inputs'!$B$32,'Inputs'!$B$30+'Inputs'!$B$31+'Inputs'!$B$32)/1000+'Inputs'!$B$21+'Inputs'!$B$7+'Inputs'!$B$10))^2+('Inputs'!$B$8/2)^2))))*'Results'!$B$8))),"")</x:f>
        <x:v>273.70651791218154</x:v>
      </x:c>
      <x:c r="M164" t="n">
        <x:f>IF(AND(ISNUMBER('Results'!C7),ISNUMBER('Results'!B7),ISNUMBER('Results'!$B$8),ISNUMBER('Inputs'!$B$6),ISNUMBER('Inputs'!$B$7),ISNUMBER('Inputs'!$B$8),ISNUMBER('Inputs'!$B$9),ISNUMBER('Inputs'!$B$10),ISNUMBER('Inputs'!$B$21),ISNUMBER('Inputs'!$B$24),ISNUMBER('Inputs'!$B$28)),(('Results'!C7*(0.5*((((164-43)*MAX('Inputs'!$B$33,'Inputs'!$B$29+'Inputs'!$B$31+'Inputs'!$B$32,'Inputs'!$B$30+'Inputs'!$B$31+'Inputs'!$B$32)/1000+'Inputs'!$B$21)+'Inputs'!$B$9)/SQRT((((164-43)*MAX('Inputs'!$B$33,'Inputs'!$B$29+'Inputs'!$B$31+'Inputs'!$B$32,'Inputs'!$B$30+'Inputs'!$B$31+'Inputs'!$B$32)/1000+'Inputs'!$B$21)+'Inputs'!$B$9)^2+('Inputs'!$B$8/2)^2)-(((164-43)*MAX('Inputs'!$B$33,'Inputs'!$B$29+'Inputs'!$B$31+'Inputs'!$B$32,'Inputs'!$B$30+'Inputs'!$B$31+'Inputs'!$B$32)/1000+'Inputs'!$B$21))/SQRT((((164-43)*MAX('Inputs'!$B$33,'Inputs'!$B$29+'Inputs'!$B$31+'Inputs'!$B$32,'Inputs'!$B$30+'Inputs'!$B$31+'Inputs'!$B$32)/1000+'Inputs'!$B$21))^2+('Inputs'!$B$8/2)^2)))-'Results'!B7*(0.5*((((164-43)*MAX('Inputs'!$B$33,'Inputs'!$B$29+'Inputs'!$B$31+'Inputs'!$B$32,'Inputs'!$B$30+'Inputs'!$B$31+'Inputs'!$B$32)/1000+'Inputs'!$B$21+'Inputs'!$B$9+'Inputs'!$B$10)+'Inputs'!$B$7)/SQRT((((164-43)*MAX('Inputs'!$B$33,'Inputs'!$B$29+'Inputs'!$B$31+'Inputs'!$B$32,'Inputs'!$B$30+'Inputs'!$B$31+'Inputs'!$B$32)/1000+'Inputs'!$B$21+'Inputs'!$B$9+'Inputs'!$B$10)+'Inputs'!$B$7)^2+('Inputs'!$B$6/2)^2)-(((164-43)*MAX('Inputs'!$B$33,'Inputs'!$B$29+'Inputs'!$B$31+'Inputs'!$B$32,'Inputs'!$B$30+'Inputs'!$B$31+'Inputs'!$B$32)/1000+'Inputs'!$B$21+'Inputs'!$B$9+'Inputs'!$B$10))/SQRT((((164-43)*MAX('Inputs'!$B$33,'Inputs'!$B$29+'Inputs'!$B$31+'Inputs'!$B$32,'Inputs'!$B$30+'Inputs'!$B$31+'Inputs'!$B$32)/1000+'Inputs'!$B$21+'Inputs'!$B$9+'Inputs'!$B$10))^2+('Inputs'!$B$6/2)^2))))*'Results'!$B$8),"")</x:f>
        <x:v>245.03072955342657</x:v>
      </x:c>
      <x:c r="N164" t="n">
        <x:f>IF(AND(ISNUMBER('Results'!C7),ISNUMBER('Results'!B7),ISNUMBER('Results'!$B$8),ISNUMBER('Inputs'!$B$6),ISNUMBER('Inputs'!$B$7),ISNUMBER('Inputs'!$B$8),ISNUMBER('Inputs'!$B$9),ISNUMBER('Inputs'!$B$10),ISNUMBER('Inputs'!$B$21),ISNUMBER('Inputs'!$B$24),ISNUMBER('Inputs'!$B$28)),((('Results'!C7*(1-'Inputs'!$B$24)*(0.5*((((164-43)*MAX('Inputs'!$B$33,'Inputs'!$B$29+'Inputs'!$B$31+'Inputs'!$B$32,'Inputs'!$B$30+'Inputs'!$B$31+'Inputs'!$B$32)/1000+'Inputs'!$B$21)+'Inputs'!$B$9)/SQRT((((164-43)*MAX('Inputs'!$B$33,'Inputs'!$B$29+'Inputs'!$B$31+'Inputs'!$B$32,'Inputs'!$B$30+'Inputs'!$B$31+'Inputs'!$B$32)/1000+'Inputs'!$B$21)+'Inputs'!$B$9)^2+('Inputs'!$B$8/2)^2)-(((164-43)*MAX('Inputs'!$B$33,'Inputs'!$B$29+'Inputs'!$B$31+'Inputs'!$B$32,'Inputs'!$B$30+'Inputs'!$B$31+'Inputs'!$B$32)/1000+'Inputs'!$B$21))/SQRT((((164-43)*MAX('Inputs'!$B$33,'Inputs'!$B$29+'Inputs'!$B$31+'Inputs'!$B$32,'Inputs'!$B$30+'Inputs'!$B$31+'Inputs'!$B$32)/1000+'Inputs'!$B$21))^2+('Inputs'!$B$8/2)^2)))-'Results'!B7*(1+'Inputs'!$B$24)*(0.5*((((164-43)*MAX('Inputs'!$B$33,'Inputs'!$B$29+'Inputs'!$B$31+'Inputs'!$B$32,'Inputs'!$B$30+'Inputs'!$B$31+'Inputs'!$B$32)/1000+'Inputs'!$B$21+'Inputs'!$B$9+'Inputs'!$B$10)+'Inputs'!$B$7)/SQRT((((164-43)*MAX('Inputs'!$B$33,'Inputs'!$B$29+'Inputs'!$B$31+'Inputs'!$B$32,'Inputs'!$B$30+'Inputs'!$B$31+'Inputs'!$B$32)/1000+'Inputs'!$B$21+'Inputs'!$B$9+'Inputs'!$B$10)+'Inputs'!$B$7)^2+('Inputs'!$B$6/2)^2)-(((164-43)*MAX('Inputs'!$B$33,'Inputs'!$B$29+'Inputs'!$B$31+'Inputs'!$B$32,'Inputs'!$B$30+'Inputs'!$B$31+'Inputs'!$B$32)/1000+'Inputs'!$B$21+'Inputs'!$B$9+'Inputs'!$B$10))/SQRT((((164-43)*MAX('Inputs'!$B$33,'Inputs'!$B$29+'Inputs'!$B$31+'Inputs'!$B$32,'Inputs'!$B$30+'Inputs'!$B$31+'Inputs'!$B$32)/1000+'Inputs'!$B$21+'Inputs'!$B$9+'Inputs'!$B$10))^2+('Inputs'!$B$6/2)^2))))*'Results'!$B$8)-'Inputs'!$B$28*ABS((('Results'!C7*(1-'Inputs'!$B$24)*(0.5*((((164-43)*MAX('Inputs'!$B$33,'Inputs'!$B$29+'Inputs'!$B$31+'Inputs'!$B$32,'Inputs'!$B$30+'Inputs'!$B$31+'Inputs'!$B$32)/1000+'Inputs'!$B$21)+'Inputs'!$B$9)/SQRT((((164-43)*MAX('Inputs'!$B$33,'Inputs'!$B$29+'Inputs'!$B$31+'Inputs'!$B$32,'Inputs'!$B$30+'Inputs'!$B$31+'Inputs'!$B$32)/1000+'Inputs'!$B$21)+'Inputs'!$B$9)^2+('Inputs'!$B$8/2)^2)-(((164-43)*MAX('Inputs'!$B$33,'Inputs'!$B$29+'Inputs'!$B$31+'Inputs'!$B$32,'Inputs'!$B$30+'Inputs'!$B$31+'Inputs'!$B$32)/1000+'Inputs'!$B$21))/SQRT((((164-43)*MAX('Inputs'!$B$33,'Inputs'!$B$29+'Inputs'!$B$31+'Inputs'!$B$32,'Inputs'!$B$30+'Inputs'!$B$31+'Inputs'!$B$32)/1000+'Inputs'!$B$21))^2+('Inputs'!$B$8/2)^2)))-'Results'!B7*(1+'Inputs'!$B$24)*(0.5*((((164-43)*MAX('Inputs'!$B$33,'Inputs'!$B$29+'Inputs'!$B$31+'Inputs'!$B$32,'Inputs'!$B$30+'Inputs'!$B$31+'Inputs'!$B$32)/1000+'Inputs'!$B$21+'Inputs'!$B$9+'Inputs'!$B$10)+'Inputs'!$B$7)/SQRT((((164-43)*MAX('Inputs'!$B$33,'Inputs'!$B$29+'Inputs'!$B$31+'Inputs'!$B$32,'Inputs'!$B$30+'Inputs'!$B$31+'Inputs'!$B$32)/1000+'Inputs'!$B$21+'Inputs'!$B$9+'Inputs'!$B$10)+'Inputs'!$B$7)^2+('Inputs'!$B$6/2)^2)-(((164-43)*MAX('Inputs'!$B$33,'Inputs'!$B$29+'Inputs'!$B$31+'Inputs'!$B$32,'Inputs'!$B$30+'Inputs'!$B$31+'Inputs'!$B$32)/1000+'Inputs'!$B$21+'Inputs'!$B$9+'Inputs'!$B$10))/SQRT((((164-43)*MAX('Inputs'!$B$33,'Inputs'!$B$29+'Inputs'!$B$31+'Inputs'!$B$32,'Inputs'!$B$30+'Inputs'!$B$31+'Inputs'!$B$32)/1000+'Inputs'!$B$21+'Inputs'!$B$9+'Inputs'!$B$10))^2+('Inputs'!$B$6/2)^2))))*'Results'!$B$8))),"")</x:f>
        <x:v>225.45805802915035</x:v>
      </x:c>
      <x:c r="O164" t="n">
        <x:f>IF(AND(ISNUMBER('Results'!C7),ISNUMBER('Results'!B7),ISNUMBER('Results'!$B$8),ISNUMBER('Inputs'!$B$6),ISNUMBER('Inputs'!$B$7),ISNUMBER('Inputs'!$B$8),ISNUMBER('Inputs'!$B$9),ISNUMBER('Inputs'!$B$10),ISNUMBER('Inputs'!$B$21),ISNUMBER('Inputs'!$B$24),ISNUMBER('Inputs'!$B$28)),((('Results'!C7*(1+'Inputs'!$B$24)*(0.5*((((164-43)*MAX('Inputs'!$B$33,'Inputs'!$B$29+'Inputs'!$B$31+'Inputs'!$B$32,'Inputs'!$B$30+'Inputs'!$B$31+'Inputs'!$B$32)/1000+'Inputs'!$B$21)+'Inputs'!$B$9)/SQRT((((164-43)*MAX('Inputs'!$B$33,'Inputs'!$B$29+'Inputs'!$B$31+'Inputs'!$B$32,'Inputs'!$B$30+'Inputs'!$B$31+'Inputs'!$B$32)/1000+'Inputs'!$B$21)+'Inputs'!$B$9)^2+('Inputs'!$B$8/2)^2)-(((164-43)*MAX('Inputs'!$B$33,'Inputs'!$B$29+'Inputs'!$B$31+'Inputs'!$B$32,'Inputs'!$B$30+'Inputs'!$B$31+'Inputs'!$B$32)/1000+'Inputs'!$B$21))/SQRT((((164-43)*MAX('Inputs'!$B$33,'Inputs'!$B$29+'Inputs'!$B$31+'Inputs'!$B$32,'Inputs'!$B$30+'Inputs'!$B$31+'Inputs'!$B$32)/1000+'Inputs'!$B$21))^2+('Inputs'!$B$8/2)^2)))-'Results'!B7*(1-'Inputs'!$B$24)*(0.5*((((164-43)*MAX('Inputs'!$B$33,'Inputs'!$B$29+'Inputs'!$B$31+'Inputs'!$B$32,'Inputs'!$B$30+'Inputs'!$B$31+'Inputs'!$B$32)/1000+'Inputs'!$B$21+'Inputs'!$B$9+'Inputs'!$B$10)+'Inputs'!$B$7)/SQRT((((164-43)*MAX('Inputs'!$B$33,'Inputs'!$B$29+'Inputs'!$B$31+'Inputs'!$B$32,'Inputs'!$B$30+'Inputs'!$B$31+'Inputs'!$B$32)/1000+'Inputs'!$B$21+'Inputs'!$B$9+'Inputs'!$B$10)+'Inputs'!$B$7)^2+('Inputs'!$B$6/2)^2)-(((164-43)*MAX('Inputs'!$B$33,'Inputs'!$B$29+'Inputs'!$B$31+'Inputs'!$B$32,'Inputs'!$B$30+'Inputs'!$B$31+'Inputs'!$B$32)/1000+'Inputs'!$B$21+'Inputs'!$B$9+'Inputs'!$B$10))/SQRT((((164-43)*MAX('Inputs'!$B$33,'Inputs'!$B$29+'Inputs'!$B$31+'Inputs'!$B$32,'Inputs'!$B$30+'Inputs'!$B$31+'Inputs'!$B$32)/1000+'Inputs'!$B$21+'Inputs'!$B$9+'Inputs'!$B$10))^2+('Inputs'!$B$6/2)^2))))*'Results'!$B$8)+'Inputs'!$B$28*ABS((('Results'!C7*(1+'Inputs'!$B$24)*(0.5*((((164-43)*MAX('Inputs'!$B$33,'Inputs'!$B$29+'Inputs'!$B$31+'Inputs'!$B$32,'Inputs'!$B$30+'Inputs'!$B$31+'Inputs'!$B$32)/1000+'Inputs'!$B$21)+'Inputs'!$B$9)/SQRT((((164-43)*MAX('Inputs'!$B$33,'Inputs'!$B$29+'Inputs'!$B$31+'Inputs'!$B$32,'Inputs'!$B$30+'Inputs'!$B$31+'Inputs'!$B$32)/1000+'Inputs'!$B$21)+'Inputs'!$B$9)^2+('Inputs'!$B$8/2)^2)-(((164-43)*MAX('Inputs'!$B$33,'Inputs'!$B$29+'Inputs'!$B$31+'Inputs'!$B$32,'Inputs'!$B$30+'Inputs'!$B$31+'Inputs'!$B$32)/1000+'Inputs'!$B$21))/SQRT((((164-43)*MAX('Inputs'!$B$33,'Inputs'!$B$29+'Inputs'!$B$31+'Inputs'!$B$32,'Inputs'!$B$30+'Inputs'!$B$31+'Inputs'!$B$32)/1000+'Inputs'!$B$21))^2+('Inputs'!$B$8/2)^2)))-'Results'!B7*(1-'Inputs'!$B$24)*(0.5*((((164-43)*MAX('Inputs'!$B$33,'Inputs'!$B$29+'Inputs'!$B$31+'Inputs'!$B$32,'Inputs'!$B$30+'Inputs'!$B$31+'Inputs'!$B$32)/1000+'Inputs'!$B$21+'Inputs'!$B$9+'Inputs'!$B$10)+'Inputs'!$B$7)/SQRT((((164-43)*MAX('Inputs'!$B$33,'Inputs'!$B$29+'Inputs'!$B$31+'Inputs'!$B$32,'Inputs'!$B$30+'Inputs'!$B$31+'Inputs'!$B$32)/1000+'Inputs'!$B$21+'Inputs'!$B$9+'Inputs'!$B$10)+'Inputs'!$B$7)^2+('Inputs'!$B$6/2)^2)-(((164-43)*MAX('Inputs'!$B$33,'Inputs'!$B$29+'Inputs'!$B$31+'Inputs'!$B$32,'Inputs'!$B$30+'Inputs'!$B$31+'Inputs'!$B$32)/1000+'Inputs'!$B$21+'Inputs'!$B$9+'Inputs'!$B$10))/SQRT((((164-43)*MAX('Inputs'!$B$33,'Inputs'!$B$29+'Inputs'!$B$31+'Inputs'!$B$32,'Inputs'!$B$30+'Inputs'!$B$31+'Inputs'!$B$32)/1000+'Inputs'!$B$21+'Inputs'!$B$9+'Inputs'!$B$10))^2+('Inputs'!$B$6/2)^2))))*'Results'!$B$8))),"")</x:f>
        <x:v>265.3740468720823</x:v>
      </x:c>
      <x:c r="P164" t="n">
        <x:f>IF(AND(MAX(J164,J163)&gt;0,J164&gt;J163+0.00000001),1,0)</x:f>
        <x:v>0</x:v>
      </x:c>
      <x:c r="Q164" t="n">
        <x:f>IF(AND(MAX(K164,K163)&gt;0,K164&gt;K163+0.00000001),1,0)</x:f>
        <x:v>0</x:v>
      </x:c>
      <x:c r="R164" t="n">
        <x:f>IF(AND(MAX(L164,L163)&gt;0,L164&gt;L163+0.00000001),1,0)</x:f>
        <x:v>0</x:v>
      </x:c>
      <x:c r="S164" t="n">
        <x:f>IF(AND(MAX(M164,M163)&gt;0,M164&gt;M163+0.00000001),1,0)</x:f>
        <x:v>0</x:v>
      </x:c>
      <x:c r="T164" t="n">
        <x:f>IF(AND(MAX(N164,N163)&gt;0,N164&gt;N163+0.00000001),1,0)</x:f>
        <x:v>0</x:v>
      </x:c>
      <x:c r="U164" t="n">
        <x:f>IF(AND(MAX(O164,O163)&gt;0,O164&gt;O163+0.00000001),1,0)</x:f>
        <x:v>0</x:v>
      </x:c>
    </x:row>
    <x:row r="165">
      <x:c r="J165" t="n">
        <x:f>IF(AND(ISNUMBER('Results'!B7),ISNUMBER('Results'!C7),ISNUMBER('Results'!$B$8),ISNUMBER('Inputs'!$B$6),ISNUMBER('Inputs'!$B$7),ISNUMBER('Inputs'!$B$8),ISNUMBER('Inputs'!$B$9),ISNUMBER('Inputs'!$B$10),ISNUMBER('Inputs'!$B$21),ISNUMBER('Inputs'!$B$24),ISNUMBER('Inputs'!$B$28)),(('Results'!B7*(0.5*((((165-43)*MAX('Inputs'!$B$33,'Inputs'!$B$29+'Inputs'!$B$31+'Inputs'!$B$32,'Inputs'!$B$30+'Inputs'!$B$31+'Inputs'!$B$32)/1000+'Inputs'!$B$21)+'Inputs'!$B$7)/SQRT((((165-43)*MAX('Inputs'!$B$33,'Inputs'!$B$29+'Inputs'!$B$31+'Inputs'!$B$32,'Inputs'!$B$30+'Inputs'!$B$31+'Inputs'!$B$32)/1000+'Inputs'!$B$21)+'Inputs'!$B$7)^2+('Inputs'!$B$6/2)^2)-(((165-43)*MAX('Inputs'!$B$33,'Inputs'!$B$29+'Inputs'!$B$31+'Inputs'!$B$32,'Inputs'!$B$30+'Inputs'!$B$31+'Inputs'!$B$32)/1000+'Inputs'!$B$21))/SQRT((((165-43)*MAX('Inputs'!$B$33,'Inputs'!$B$29+'Inputs'!$B$31+'Inputs'!$B$32,'Inputs'!$B$30+'Inputs'!$B$31+'Inputs'!$B$32)/1000+'Inputs'!$B$21))^2+('Inputs'!$B$6/2)^2)))-'Results'!C7*(0.5*((((165-43)*MAX('Inputs'!$B$33,'Inputs'!$B$29+'Inputs'!$B$31+'Inputs'!$B$32,'Inputs'!$B$30+'Inputs'!$B$31+'Inputs'!$B$32)/1000+'Inputs'!$B$21+'Inputs'!$B$7+'Inputs'!$B$10)+'Inputs'!$B$9)/SQRT((((165-43)*MAX('Inputs'!$B$33,'Inputs'!$B$29+'Inputs'!$B$31+'Inputs'!$B$32,'Inputs'!$B$30+'Inputs'!$B$31+'Inputs'!$B$32)/1000+'Inputs'!$B$21+'Inputs'!$B$7+'Inputs'!$B$10)+'Inputs'!$B$9)^2+('Inputs'!$B$8/2)^2)-(((165-43)*MAX('Inputs'!$B$33,'Inputs'!$B$29+'Inputs'!$B$31+'Inputs'!$B$32,'Inputs'!$B$30+'Inputs'!$B$31+'Inputs'!$B$32)/1000+'Inputs'!$B$21+'Inputs'!$B$7+'Inputs'!$B$10))/SQRT((((165-43)*MAX('Inputs'!$B$33,'Inputs'!$B$29+'Inputs'!$B$31+'Inputs'!$B$32,'Inputs'!$B$30+'Inputs'!$B$31+'Inputs'!$B$32)/1000+'Inputs'!$B$21+'Inputs'!$B$7+'Inputs'!$B$10))^2+('Inputs'!$B$8/2)^2))))*'Results'!$B$8),"")</x:f>
        <x:v>248.41287413798798</x:v>
      </x:c>
      <x:c r="K165" t="n">
        <x:f>IF(AND(ISNUMBER('Results'!B7),ISNUMBER('Results'!C7),ISNUMBER('Results'!$B$8),ISNUMBER('Inputs'!$B$6),ISNUMBER('Inputs'!$B$7),ISNUMBER('Inputs'!$B$8),ISNUMBER('Inputs'!$B$9),ISNUMBER('Inputs'!$B$10),ISNUMBER('Inputs'!$B$21),ISNUMBER('Inputs'!$B$24),ISNUMBER('Inputs'!$B$28)),((('Results'!B7*(1-'Inputs'!$B$24)*(0.5*((((165-43)*MAX('Inputs'!$B$33,'Inputs'!$B$29+'Inputs'!$B$31+'Inputs'!$B$32,'Inputs'!$B$30+'Inputs'!$B$31+'Inputs'!$B$32)/1000+'Inputs'!$B$21)+'Inputs'!$B$7)/SQRT((((165-43)*MAX('Inputs'!$B$33,'Inputs'!$B$29+'Inputs'!$B$31+'Inputs'!$B$32,'Inputs'!$B$30+'Inputs'!$B$31+'Inputs'!$B$32)/1000+'Inputs'!$B$21)+'Inputs'!$B$7)^2+('Inputs'!$B$6/2)^2)-(((165-43)*MAX('Inputs'!$B$33,'Inputs'!$B$29+'Inputs'!$B$31+'Inputs'!$B$32,'Inputs'!$B$30+'Inputs'!$B$31+'Inputs'!$B$32)/1000+'Inputs'!$B$21))/SQRT((((165-43)*MAX('Inputs'!$B$33,'Inputs'!$B$29+'Inputs'!$B$31+'Inputs'!$B$32,'Inputs'!$B$30+'Inputs'!$B$31+'Inputs'!$B$32)/1000+'Inputs'!$B$21))^2+('Inputs'!$B$6/2)^2)))-'Results'!C7*(1+'Inputs'!$B$24)*(0.5*((((165-43)*MAX('Inputs'!$B$33,'Inputs'!$B$29+'Inputs'!$B$31+'Inputs'!$B$32,'Inputs'!$B$30+'Inputs'!$B$31+'Inputs'!$B$32)/1000+'Inputs'!$B$21+'Inputs'!$B$7+'Inputs'!$B$10)+'Inputs'!$B$9)/SQRT((((165-43)*MAX('Inputs'!$B$33,'Inputs'!$B$29+'Inputs'!$B$31+'Inputs'!$B$32,'Inputs'!$B$30+'Inputs'!$B$31+'Inputs'!$B$32)/1000+'Inputs'!$B$21+'Inputs'!$B$7+'Inputs'!$B$10)+'Inputs'!$B$9)^2+('Inputs'!$B$8/2)^2)-(((165-43)*MAX('Inputs'!$B$33,'Inputs'!$B$29+'Inputs'!$B$31+'Inputs'!$B$32,'Inputs'!$B$30+'Inputs'!$B$31+'Inputs'!$B$32)/1000+'Inputs'!$B$21+'Inputs'!$B$7+'Inputs'!$B$10))/SQRT((((165-43)*MAX('Inputs'!$B$33,'Inputs'!$B$29+'Inputs'!$B$31+'Inputs'!$B$32,'Inputs'!$B$30+'Inputs'!$B$31+'Inputs'!$B$32)/1000+'Inputs'!$B$21+'Inputs'!$B$7+'Inputs'!$B$10))^2+('Inputs'!$B$8/2)^2))))*'Results'!$B$8)-'Inputs'!$B$28*ABS((('Results'!B7*(1-'Inputs'!$B$24)*(0.5*((((165-43)*MAX('Inputs'!$B$33,'Inputs'!$B$29+'Inputs'!$B$31+'Inputs'!$B$32,'Inputs'!$B$30+'Inputs'!$B$31+'Inputs'!$B$32)/1000+'Inputs'!$B$21)+'Inputs'!$B$7)/SQRT((((165-43)*MAX('Inputs'!$B$33,'Inputs'!$B$29+'Inputs'!$B$31+'Inputs'!$B$32,'Inputs'!$B$30+'Inputs'!$B$31+'Inputs'!$B$32)/1000+'Inputs'!$B$21)+'Inputs'!$B$7)^2+('Inputs'!$B$6/2)^2)-(((165-43)*MAX('Inputs'!$B$33,'Inputs'!$B$29+'Inputs'!$B$31+'Inputs'!$B$32,'Inputs'!$B$30+'Inputs'!$B$31+'Inputs'!$B$32)/1000+'Inputs'!$B$21))/SQRT((((165-43)*MAX('Inputs'!$B$33,'Inputs'!$B$29+'Inputs'!$B$31+'Inputs'!$B$32,'Inputs'!$B$30+'Inputs'!$B$31+'Inputs'!$B$32)/1000+'Inputs'!$B$21))^2+('Inputs'!$B$6/2)^2)))-'Results'!C7*(1+'Inputs'!$B$24)*(0.5*((((165-43)*MAX('Inputs'!$B$33,'Inputs'!$B$29+'Inputs'!$B$31+'Inputs'!$B$32,'Inputs'!$B$30+'Inputs'!$B$31+'Inputs'!$B$32)/1000+'Inputs'!$B$21+'Inputs'!$B$7+'Inputs'!$B$10)+'Inputs'!$B$9)/SQRT((((165-43)*MAX('Inputs'!$B$33,'Inputs'!$B$29+'Inputs'!$B$31+'Inputs'!$B$32,'Inputs'!$B$30+'Inputs'!$B$31+'Inputs'!$B$32)/1000+'Inputs'!$B$21+'Inputs'!$B$7+'Inputs'!$B$10)+'Inputs'!$B$9)^2+('Inputs'!$B$8/2)^2)-(((165-43)*MAX('Inputs'!$B$33,'Inputs'!$B$29+'Inputs'!$B$31+'Inputs'!$B$32,'Inputs'!$B$30+'Inputs'!$B$31+'Inputs'!$B$32)/1000+'Inputs'!$B$21+'Inputs'!$B$7+'Inputs'!$B$10))/SQRT((((165-43)*MAX('Inputs'!$B$33,'Inputs'!$B$29+'Inputs'!$B$31+'Inputs'!$B$32,'Inputs'!$B$30+'Inputs'!$B$31+'Inputs'!$B$32)/1000+'Inputs'!$B$21+'Inputs'!$B$7+'Inputs'!$B$10))^2+('Inputs'!$B$8/2)^2))))*'Results'!$B$8))),"")</x:f>
        <x:v>228.68807950744878</x:v>
      </x:c>
      <x:c r="L165" t="n">
        <x:f>IF(AND(ISNUMBER('Results'!B7),ISNUMBER('Results'!C7),ISNUMBER('Results'!$B$8),ISNUMBER('Inputs'!$B$6),ISNUMBER('Inputs'!$B$7),ISNUMBER('Inputs'!$B$8),ISNUMBER('Inputs'!$B$9),ISNUMBER('Inputs'!$B$10),ISNUMBER('Inputs'!$B$21),ISNUMBER('Inputs'!$B$24),ISNUMBER('Inputs'!$B$28)),((('Results'!B7*(1+'Inputs'!$B$24)*(0.5*((((165-43)*MAX('Inputs'!$B$33,'Inputs'!$B$29+'Inputs'!$B$31+'Inputs'!$B$32,'Inputs'!$B$30+'Inputs'!$B$31+'Inputs'!$B$32)/1000+'Inputs'!$B$21)+'Inputs'!$B$7)/SQRT((((165-43)*MAX('Inputs'!$B$33,'Inputs'!$B$29+'Inputs'!$B$31+'Inputs'!$B$32,'Inputs'!$B$30+'Inputs'!$B$31+'Inputs'!$B$32)/1000+'Inputs'!$B$21)+'Inputs'!$B$7)^2+('Inputs'!$B$6/2)^2)-(((165-43)*MAX('Inputs'!$B$33,'Inputs'!$B$29+'Inputs'!$B$31+'Inputs'!$B$32,'Inputs'!$B$30+'Inputs'!$B$31+'Inputs'!$B$32)/1000+'Inputs'!$B$21))/SQRT((((165-43)*MAX('Inputs'!$B$33,'Inputs'!$B$29+'Inputs'!$B$31+'Inputs'!$B$32,'Inputs'!$B$30+'Inputs'!$B$31+'Inputs'!$B$32)/1000+'Inputs'!$B$21))^2+('Inputs'!$B$6/2)^2)))-'Results'!C7*(1-'Inputs'!$B$24)*(0.5*((((165-43)*MAX('Inputs'!$B$33,'Inputs'!$B$29+'Inputs'!$B$31+'Inputs'!$B$32,'Inputs'!$B$30+'Inputs'!$B$31+'Inputs'!$B$32)/1000+'Inputs'!$B$21+'Inputs'!$B$7+'Inputs'!$B$10)+'Inputs'!$B$9)/SQRT((((165-43)*MAX('Inputs'!$B$33,'Inputs'!$B$29+'Inputs'!$B$31+'Inputs'!$B$32,'Inputs'!$B$30+'Inputs'!$B$31+'Inputs'!$B$32)/1000+'Inputs'!$B$21+'Inputs'!$B$7+'Inputs'!$B$10)+'Inputs'!$B$9)^2+('Inputs'!$B$8/2)^2)-(((165-43)*MAX('Inputs'!$B$33,'Inputs'!$B$29+'Inputs'!$B$31+'Inputs'!$B$32,'Inputs'!$B$30+'Inputs'!$B$31+'Inputs'!$B$32)/1000+'Inputs'!$B$21+'Inputs'!$B$7+'Inputs'!$B$10))/SQRT((((165-43)*MAX('Inputs'!$B$33,'Inputs'!$B$29+'Inputs'!$B$31+'Inputs'!$B$32,'Inputs'!$B$30+'Inputs'!$B$31+'Inputs'!$B$32)/1000+'Inputs'!$B$21+'Inputs'!$B$7+'Inputs'!$B$10))^2+('Inputs'!$B$8/2)^2))))*'Results'!$B$8)+'Inputs'!$B$28*ABS((('Results'!B7*(1+'Inputs'!$B$24)*(0.5*((((165-43)*MAX('Inputs'!$B$33,'Inputs'!$B$29+'Inputs'!$B$31+'Inputs'!$B$32,'Inputs'!$B$30+'Inputs'!$B$31+'Inputs'!$B$32)/1000+'Inputs'!$B$21)+'Inputs'!$B$7)/SQRT((((165-43)*MAX('Inputs'!$B$33,'Inputs'!$B$29+'Inputs'!$B$31+'Inputs'!$B$32,'Inputs'!$B$30+'Inputs'!$B$31+'Inputs'!$B$32)/1000+'Inputs'!$B$21)+'Inputs'!$B$7)^2+('Inputs'!$B$6/2)^2)-(((165-43)*MAX('Inputs'!$B$33,'Inputs'!$B$29+'Inputs'!$B$31+'Inputs'!$B$32,'Inputs'!$B$30+'Inputs'!$B$31+'Inputs'!$B$32)/1000+'Inputs'!$B$21))/SQRT((((165-43)*MAX('Inputs'!$B$33,'Inputs'!$B$29+'Inputs'!$B$31+'Inputs'!$B$32,'Inputs'!$B$30+'Inputs'!$B$31+'Inputs'!$B$32)/1000+'Inputs'!$B$21))^2+('Inputs'!$B$6/2)^2)))-'Results'!C7*(1-'Inputs'!$B$24)*(0.5*((((165-43)*MAX('Inputs'!$B$33,'Inputs'!$B$29+'Inputs'!$B$31+'Inputs'!$B$32,'Inputs'!$B$30+'Inputs'!$B$31+'Inputs'!$B$32)/1000+'Inputs'!$B$21+'Inputs'!$B$7+'Inputs'!$B$10)+'Inputs'!$B$9)/SQRT((((165-43)*MAX('Inputs'!$B$33,'Inputs'!$B$29+'Inputs'!$B$31+'Inputs'!$B$32,'Inputs'!$B$30+'Inputs'!$B$31+'Inputs'!$B$32)/1000+'Inputs'!$B$21+'Inputs'!$B$7+'Inputs'!$B$10)+'Inputs'!$B$9)^2+('Inputs'!$B$8/2)^2)-(((165-43)*MAX('Inputs'!$B$33,'Inputs'!$B$29+'Inputs'!$B$31+'Inputs'!$B$32,'Inputs'!$B$30+'Inputs'!$B$31+'Inputs'!$B$32)/1000+'Inputs'!$B$21+'Inputs'!$B$7+'Inputs'!$B$10))/SQRT((((165-43)*MAX('Inputs'!$B$33,'Inputs'!$B$29+'Inputs'!$B$31+'Inputs'!$B$32,'Inputs'!$B$30+'Inputs'!$B$31+'Inputs'!$B$32)/1000+'Inputs'!$B$21+'Inputs'!$B$7+'Inputs'!$B$10))^2+('Inputs'!$B$8/2)^2))))*'Results'!$B$8))),"")</x:f>
        <x:v>268.9065267604891</x:v>
      </x:c>
      <x:c r="M165" t="n">
        <x:f>IF(AND(ISNUMBER('Results'!C7),ISNUMBER('Results'!B7),ISNUMBER('Results'!$B$8),ISNUMBER('Inputs'!$B$6),ISNUMBER('Inputs'!$B$7),ISNUMBER('Inputs'!$B$8),ISNUMBER('Inputs'!$B$9),ISNUMBER('Inputs'!$B$10),ISNUMBER('Inputs'!$B$21),ISNUMBER('Inputs'!$B$24),ISNUMBER('Inputs'!$B$28)),(('Results'!C7*(0.5*((((165-43)*MAX('Inputs'!$B$33,'Inputs'!$B$29+'Inputs'!$B$31+'Inputs'!$B$32,'Inputs'!$B$30+'Inputs'!$B$31+'Inputs'!$B$32)/1000+'Inputs'!$B$21)+'Inputs'!$B$9)/SQRT((((165-43)*MAX('Inputs'!$B$33,'Inputs'!$B$29+'Inputs'!$B$31+'Inputs'!$B$32,'Inputs'!$B$30+'Inputs'!$B$31+'Inputs'!$B$32)/1000+'Inputs'!$B$21)+'Inputs'!$B$9)^2+('Inputs'!$B$8/2)^2)-(((165-43)*MAX('Inputs'!$B$33,'Inputs'!$B$29+'Inputs'!$B$31+'Inputs'!$B$32,'Inputs'!$B$30+'Inputs'!$B$31+'Inputs'!$B$32)/1000+'Inputs'!$B$21))/SQRT((((165-43)*MAX('Inputs'!$B$33,'Inputs'!$B$29+'Inputs'!$B$31+'Inputs'!$B$32,'Inputs'!$B$30+'Inputs'!$B$31+'Inputs'!$B$32)/1000+'Inputs'!$B$21))^2+('Inputs'!$B$8/2)^2)))-'Results'!B7*(0.5*((((165-43)*MAX('Inputs'!$B$33,'Inputs'!$B$29+'Inputs'!$B$31+'Inputs'!$B$32,'Inputs'!$B$30+'Inputs'!$B$31+'Inputs'!$B$32)/1000+'Inputs'!$B$21+'Inputs'!$B$9+'Inputs'!$B$10)+'Inputs'!$B$7)/SQRT((((165-43)*MAX('Inputs'!$B$33,'Inputs'!$B$29+'Inputs'!$B$31+'Inputs'!$B$32,'Inputs'!$B$30+'Inputs'!$B$31+'Inputs'!$B$32)/1000+'Inputs'!$B$21+'Inputs'!$B$9+'Inputs'!$B$10)+'Inputs'!$B$7)^2+('Inputs'!$B$6/2)^2)-(((165-43)*MAX('Inputs'!$B$33,'Inputs'!$B$29+'Inputs'!$B$31+'Inputs'!$B$32,'Inputs'!$B$30+'Inputs'!$B$31+'Inputs'!$B$32)/1000+'Inputs'!$B$21+'Inputs'!$B$9+'Inputs'!$B$10))/SQRT((((165-43)*MAX('Inputs'!$B$33,'Inputs'!$B$29+'Inputs'!$B$31+'Inputs'!$B$32,'Inputs'!$B$30+'Inputs'!$B$31+'Inputs'!$B$32)/1000+'Inputs'!$B$21+'Inputs'!$B$9+'Inputs'!$B$10))^2+('Inputs'!$B$6/2)^2))))*'Results'!$B$8),"")</x:f>
        <x:v>240.69653582615427</x:v>
      </x:c>
      <x:c r="N165" t="n">
        <x:f>IF(AND(ISNUMBER('Results'!C7),ISNUMBER('Results'!B7),ISNUMBER('Results'!$B$8),ISNUMBER('Inputs'!$B$6),ISNUMBER('Inputs'!$B$7),ISNUMBER('Inputs'!$B$8),ISNUMBER('Inputs'!$B$9),ISNUMBER('Inputs'!$B$10),ISNUMBER('Inputs'!$B$21),ISNUMBER('Inputs'!$B$24),ISNUMBER('Inputs'!$B$28)),((('Results'!C7*(1-'Inputs'!$B$24)*(0.5*((((165-43)*MAX('Inputs'!$B$33,'Inputs'!$B$29+'Inputs'!$B$31+'Inputs'!$B$32,'Inputs'!$B$30+'Inputs'!$B$31+'Inputs'!$B$32)/1000+'Inputs'!$B$21)+'Inputs'!$B$9)/SQRT((((165-43)*MAX('Inputs'!$B$33,'Inputs'!$B$29+'Inputs'!$B$31+'Inputs'!$B$32,'Inputs'!$B$30+'Inputs'!$B$31+'Inputs'!$B$32)/1000+'Inputs'!$B$21)+'Inputs'!$B$9)^2+('Inputs'!$B$8/2)^2)-(((165-43)*MAX('Inputs'!$B$33,'Inputs'!$B$29+'Inputs'!$B$31+'Inputs'!$B$32,'Inputs'!$B$30+'Inputs'!$B$31+'Inputs'!$B$32)/1000+'Inputs'!$B$21))/SQRT((((165-43)*MAX('Inputs'!$B$33,'Inputs'!$B$29+'Inputs'!$B$31+'Inputs'!$B$32,'Inputs'!$B$30+'Inputs'!$B$31+'Inputs'!$B$32)/1000+'Inputs'!$B$21))^2+('Inputs'!$B$8/2)^2)))-'Results'!B7*(1+'Inputs'!$B$24)*(0.5*((((165-43)*MAX('Inputs'!$B$33,'Inputs'!$B$29+'Inputs'!$B$31+'Inputs'!$B$32,'Inputs'!$B$30+'Inputs'!$B$31+'Inputs'!$B$32)/1000+'Inputs'!$B$21+'Inputs'!$B$9+'Inputs'!$B$10)+'Inputs'!$B$7)/SQRT((((165-43)*MAX('Inputs'!$B$33,'Inputs'!$B$29+'Inputs'!$B$31+'Inputs'!$B$32,'Inputs'!$B$30+'Inputs'!$B$31+'Inputs'!$B$32)/1000+'Inputs'!$B$21+'Inputs'!$B$9+'Inputs'!$B$10)+'Inputs'!$B$7)^2+('Inputs'!$B$6/2)^2)-(((165-43)*MAX('Inputs'!$B$33,'Inputs'!$B$29+'Inputs'!$B$31+'Inputs'!$B$32,'Inputs'!$B$30+'Inputs'!$B$31+'Inputs'!$B$32)/1000+'Inputs'!$B$21+'Inputs'!$B$9+'Inputs'!$B$10))/SQRT((((165-43)*MAX('Inputs'!$B$33,'Inputs'!$B$29+'Inputs'!$B$31+'Inputs'!$B$32,'Inputs'!$B$30+'Inputs'!$B$31+'Inputs'!$B$32)/1000+'Inputs'!$B$21+'Inputs'!$B$9+'Inputs'!$B$10))^2+('Inputs'!$B$6/2)^2))))*'Results'!$B$8)-'Inputs'!$B$28*ABS((('Results'!C7*(1-'Inputs'!$B$24)*(0.5*((((165-43)*MAX('Inputs'!$B$33,'Inputs'!$B$29+'Inputs'!$B$31+'Inputs'!$B$32,'Inputs'!$B$30+'Inputs'!$B$31+'Inputs'!$B$32)/1000+'Inputs'!$B$21)+'Inputs'!$B$9)/SQRT((((165-43)*MAX('Inputs'!$B$33,'Inputs'!$B$29+'Inputs'!$B$31+'Inputs'!$B$32,'Inputs'!$B$30+'Inputs'!$B$31+'Inputs'!$B$32)/1000+'Inputs'!$B$21)+'Inputs'!$B$9)^2+('Inputs'!$B$8/2)^2)-(((165-43)*MAX('Inputs'!$B$33,'Inputs'!$B$29+'Inputs'!$B$31+'Inputs'!$B$32,'Inputs'!$B$30+'Inputs'!$B$31+'Inputs'!$B$32)/1000+'Inputs'!$B$21))/SQRT((((165-43)*MAX('Inputs'!$B$33,'Inputs'!$B$29+'Inputs'!$B$31+'Inputs'!$B$32,'Inputs'!$B$30+'Inputs'!$B$31+'Inputs'!$B$32)/1000+'Inputs'!$B$21))^2+('Inputs'!$B$8/2)^2)))-'Results'!B7*(1+'Inputs'!$B$24)*(0.5*((((165-43)*MAX('Inputs'!$B$33,'Inputs'!$B$29+'Inputs'!$B$31+'Inputs'!$B$32,'Inputs'!$B$30+'Inputs'!$B$31+'Inputs'!$B$32)/1000+'Inputs'!$B$21+'Inputs'!$B$9+'Inputs'!$B$10)+'Inputs'!$B$7)/SQRT((((165-43)*MAX('Inputs'!$B$33,'Inputs'!$B$29+'Inputs'!$B$31+'Inputs'!$B$32,'Inputs'!$B$30+'Inputs'!$B$31+'Inputs'!$B$32)/1000+'Inputs'!$B$21+'Inputs'!$B$9+'Inputs'!$B$10)+'Inputs'!$B$7)^2+('Inputs'!$B$6/2)^2)-(((165-43)*MAX('Inputs'!$B$33,'Inputs'!$B$29+'Inputs'!$B$31+'Inputs'!$B$32,'Inputs'!$B$30+'Inputs'!$B$31+'Inputs'!$B$32)/1000+'Inputs'!$B$21+'Inputs'!$B$9+'Inputs'!$B$10))/SQRT((((165-43)*MAX('Inputs'!$B$33,'Inputs'!$B$29+'Inputs'!$B$31+'Inputs'!$B$32,'Inputs'!$B$30+'Inputs'!$B$31+'Inputs'!$B$32)/1000+'Inputs'!$B$21+'Inputs'!$B$9+'Inputs'!$B$10))^2+('Inputs'!$B$6/2)^2))))*'Results'!$B$8))),"")</x:f>
        <x:v>221.45142759392718</x:v>
      </x:c>
      <x:c r="O165" t="n">
        <x:f>IF(AND(ISNUMBER('Results'!C7),ISNUMBER('Results'!B7),ISNUMBER('Results'!$B$8),ISNUMBER('Inputs'!$B$6),ISNUMBER('Inputs'!$B$7),ISNUMBER('Inputs'!$B$8),ISNUMBER('Inputs'!$B$9),ISNUMBER('Inputs'!$B$10),ISNUMBER('Inputs'!$B$21),ISNUMBER('Inputs'!$B$24),ISNUMBER('Inputs'!$B$28)),((('Results'!C7*(1+'Inputs'!$B$24)*(0.5*((((165-43)*MAX('Inputs'!$B$33,'Inputs'!$B$29+'Inputs'!$B$31+'Inputs'!$B$32,'Inputs'!$B$30+'Inputs'!$B$31+'Inputs'!$B$32)/1000+'Inputs'!$B$21)+'Inputs'!$B$9)/SQRT((((165-43)*MAX('Inputs'!$B$33,'Inputs'!$B$29+'Inputs'!$B$31+'Inputs'!$B$32,'Inputs'!$B$30+'Inputs'!$B$31+'Inputs'!$B$32)/1000+'Inputs'!$B$21)+'Inputs'!$B$9)^2+('Inputs'!$B$8/2)^2)-(((165-43)*MAX('Inputs'!$B$33,'Inputs'!$B$29+'Inputs'!$B$31+'Inputs'!$B$32,'Inputs'!$B$30+'Inputs'!$B$31+'Inputs'!$B$32)/1000+'Inputs'!$B$21))/SQRT((((165-43)*MAX('Inputs'!$B$33,'Inputs'!$B$29+'Inputs'!$B$31+'Inputs'!$B$32,'Inputs'!$B$30+'Inputs'!$B$31+'Inputs'!$B$32)/1000+'Inputs'!$B$21))^2+('Inputs'!$B$8/2)^2)))-'Results'!B7*(1-'Inputs'!$B$24)*(0.5*((((165-43)*MAX('Inputs'!$B$33,'Inputs'!$B$29+'Inputs'!$B$31+'Inputs'!$B$32,'Inputs'!$B$30+'Inputs'!$B$31+'Inputs'!$B$32)/1000+'Inputs'!$B$21+'Inputs'!$B$9+'Inputs'!$B$10)+'Inputs'!$B$7)/SQRT((((165-43)*MAX('Inputs'!$B$33,'Inputs'!$B$29+'Inputs'!$B$31+'Inputs'!$B$32,'Inputs'!$B$30+'Inputs'!$B$31+'Inputs'!$B$32)/1000+'Inputs'!$B$21+'Inputs'!$B$9+'Inputs'!$B$10)+'Inputs'!$B$7)^2+('Inputs'!$B$6/2)^2)-(((165-43)*MAX('Inputs'!$B$33,'Inputs'!$B$29+'Inputs'!$B$31+'Inputs'!$B$32,'Inputs'!$B$30+'Inputs'!$B$31+'Inputs'!$B$32)/1000+'Inputs'!$B$21+'Inputs'!$B$9+'Inputs'!$B$10))/SQRT((((165-43)*MAX('Inputs'!$B$33,'Inputs'!$B$29+'Inputs'!$B$31+'Inputs'!$B$32,'Inputs'!$B$30+'Inputs'!$B$31+'Inputs'!$B$32)/1000+'Inputs'!$B$21+'Inputs'!$B$9+'Inputs'!$B$10))^2+('Inputs'!$B$6/2)^2))))*'Results'!$B$8)+'Inputs'!$B$28*ABS((('Results'!C7*(1+'Inputs'!$B$24)*(0.5*((((165-43)*MAX('Inputs'!$B$33,'Inputs'!$B$29+'Inputs'!$B$31+'Inputs'!$B$32,'Inputs'!$B$30+'Inputs'!$B$31+'Inputs'!$B$32)/1000+'Inputs'!$B$21)+'Inputs'!$B$9)/SQRT((((165-43)*MAX('Inputs'!$B$33,'Inputs'!$B$29+'Inputs'!$B$31+'Inputs'!$B$32,'Inputs'!$B$30+'Inputs'!$B$31+'Inputs'!$B$32)/1000+'Inputs'!$B$21)+'Inputs'!$B$9)^2+('Inputs'!$B$8/2)^2)-(((165-43)*MAX('Inputs'!$B$33,'Inputs'!$B$29+'Inputs'!$B$31+'Inputs'!$B$32,'Inputs'!$B$30+'Inputs'!$B$31+'Inputs'!$B$32)/1000+'Inputs'!$B$21))/SQRT((((165-43)*MAX('Inputs'!$B$33,'Inputs'!$B$29+'Inputs'!$B$31+'Inputs'!$B$32,'Inputs'!$B$30+'Inputs'!$B$31+'Inputs'!$B$32)/1000+'Inputs'!$B$21))^2+('Inputs'!$B$8/2)^2)))-'Results'!B7*(1-'Inputs'!$B$24)*(0.5*((((165-43)*MAX('Inputs'!$B$33,'Inputs'!$B$29+'Inputs'!$B$31+'Inputs'!$B$32,'Inputs'!$B$30+'Inputs'!$B$31+'Inputs'!$B$32)/1000+'Inputs'!$B$21+'Inputs'!$B$9+'Inputs'!$B$10)+'Inputs'!$B$7)/SQRT((((165-43)*MAX('Inputs'!$B$33,'Inputs'!$B$29+'Inputs'!$B$31+'Inputs'!$B$32,'Inputs'!$B$30+'Inputs'!$B$31+'Inputs'!$B$32)/1000+'Inputs'!$B$21+'Inputs'!$B$9+'Inputs'!$B$10)+'Inputs'!$B$7)^2+('Inputs'!$B$6/2)^2)-(((165-43)*MAX('Inputs'!$B$33,'Inputs'!$B$29+'Inputs'!$B$31+'Inputs'!$B$32,'Inputs'!$B$30+'Inputs'!$B$31+'Inputs'!$B$32)/1000+'Inputs'!$B$21+'Inputs'!$B$9+'Inputs'!$B$10))/SQRT((((165-43)*MAX('Inputs'!$B$33,'Inputs'!$B$29+'Inputs'!$B$31+'Inputs'!$B$32,'Inputs'!$B$30+'Inputs'!$B$31+'Inputs'!$B$32)/1000+'Inputs'!$B$21+'Inputs'!$B$9+'Inputs'!$B$10))^2+('Inputs'!$B$6/2)^2))))*'Results'!$B$8))),"")</x:f>
        <x:v>260.7006210521624</x:v>
      </x:c>
      <x:c r="P165" t="n">
        <x:f>IF(AND(MAX(J165,J164)&gt;0,J165&gt;J164+0.00000001),1,0)</x:f>
        <x:v>0</x:v>
      </x:c>
      <x:c r="Q165" t="n">
        <x:f>IF(AND(MAX(K165,K164)&gt;0,K165&gt;K164+0.00000001),1,0)</x:f>
        <x:v>0</x:v>
      </x:c>
      <x:c r="R165" t="n">
        <x:f>IF(AND(MAX(L165,L164)&gt;0,L165&gt;L164+0.00000001),1,0)</x:f>
        <x:v>0</x:v>
      </x:c>
      <x:c r="S165" t="n">
        <x:f>IF(AND(MAX(M165,M164)&gt;0,M165&gt;M164+0.00000001),1,0)</x:f>
        <x:v>0</x:v>
      </x:c>
      <x:c r="T165" t="n">
        <x:f>IF(AND(MAX(N165,N164)&gt;0,N165&gt;N164+0.00000001),1,0)</x:f>
        <x:v>0</x:v>
      </x:c>
      <x:c r="U165" t="n">
        <x:f>IF(AND(MAX(O165,O164)&gt;0,O165&gt;O164+0.00000001),1,0)</x:f>
        <x:v>0</x:v>
      </x:c>
    </x:row>
    <x:row r="166">
      <x:c r="J166" t="n">
        <x:f>IF(AND(ISNUMBER('Results'!B7),ISNUMBER('Results'!C7),ISNUMBER('Results'!$B$8),ISNUMBER('Inputs'!$B$6),ISNUMBER('Inputs'!$B$7),ISNUMBER('Inputs'!$B$8),ISNUMBER('Inputs'!$B$9),ISNUMBER('Inputs'!$B$10),ISNUMBER('Inputs'!$B$21),ISNUMBER('Inputs'!$B$24),ISNUMBER('Inputs'!$B$28)),(('Results'!B7*(0.5*((((166-43)*MAX('Inputs'!$B$33,'Inputs'!$B$29+'Inputs'!$B$31+'Inputs'!$B$32,'Inputs'!$B$30+'Inputs'!$B$31+'Inputs'!$B$32)/1000+'Inputs'!$B$21)+'Inputs'!$B$7)/SQRT((((166-43)*MAX('Inputs'!$B$33,'Inputs'!$B$29+'Inputs'!$B$31+'Inputs'!$B$32,'Inputs'!$B$30+'Inputs'!$B$31+'Inputs'!$B$32)/1000+'Inputs'!$B$21)+'Inputs'!$B$7)^2+('Inputs'!$B$6/2)^2)-(((166-43)*MAX('Inputs'!$B$33,'Inputs'!$B$29+'Inputs'!$B$31+'Inputs'!$B$32,'Inputs'!$B$30+'Inputs'!$B$31+'Inputs'!$B$32)/1000+'Inputs'!$B$21))/SQRT((((166-43)*MAX('Inputs'!$B$33,'Inputs'!$B$29+'Inputs'!$B$31+'Inputs'!$B$32,'Inputs'!$B$30+'Inputs'!$B$31+'Inputs'!$B$32)/1000+'Inputs'!$B$21))^2+('Inputs'!$B$6/2)^2)))-'Results'!C7*(0.5*((((166-43)*MAX('Inputs'!$B$33,'Inputs'!$B$29+'Inputs'!$B$31+'Inputs'!$B$32,'Inputs'!$B$30+'Inputs'!$B$31+'Inputs'!$B$32)/1000+'Inputs'!$B$21+'Inputs'!$B$7+'Inputs'!$B$10)+'Inputs'!$B$9)/SQRT((((166-43)*MAX('Inputs'!$B$33,'Inputs'!$B$29+'Inputs'!$B$31+'Inputs'!$B$32,'Inputs'!$B$30+'Inputs'!$B$31+'Inputs'!$B$32)/1000+'Inputs'!$B$21+'Inputs'!$B$7+'Inputs'!$B$10)+'Inputs'!$B$9)^2+('Inputs'!$B$8/2)^2)-(((166-43)*MAX('Inputs'!$B$33,'Inputs'!$B$29+'Inputs'!$B$31+'Inputs'!$B$32,'Inputs'!$B$30+'Inputs'!$B$31+'Inputs'!$B$32)/1000+'Inputs'!$B$21+'Inputs'!$B$7+'Inputs'!$B$10))/SQRT((((166-43)*MAX('Inputs'!$B$33,'Inputs'!$B$29+'Inputs'!$B$31+'Inputs'!$B$32,'Inputs'!$B$30+'Inputs'!$B$31+'Inputs'!$B$32)/1000+'Inputs'!$B$21+'Inputs'!$B$7+'Inputs'!$B$10))^2+('Inputs'!$B$8/2)^2))))*'Results'!$B$8),"")</x:f>
        <x:v>244.05180603802162</x:v>
      </x:c>
      <x:c r="K166" t="n">
        <x:f>IF(AND(ISNUMBER('Results'!B7),ISNUMBER('Results'!C7),ISNUMBER('Results'!$B$8),ISNUMBER('Inputs'!$B$6),ISNUMBER('Inputs'!$B$7),ISNUMBER('Inputs'!$B$8),ISNUMBER('Inputs'!$B$9),ISNUMBER('Inputs'!$B$10),ISNUMBER('Inputs'!$B$21),ISNUMBER('Inputs'!$B$24),ISNUMBER('Inputs'!$B$28)),((('Results'!B7*(1-'Inputs'!$B$24)*(0.5*((((166-43)*MAX('Inputs'!$B$33,'Inputs'!$B$29+'Inputs'!$B$31+'Inputs'!$B$32,'Inputs'!$B$30+'Inputs'!$B$31+'Inputs'!$B$32)/1000+'Inputs'!$B$21)+'Inputs'!$B$7)/SQRT((((166-43)*MAX('Inputs'!$B$33,'Inputs'!$B$29+'Inputs'!$B$31+'Inputs'!$B$32,'Inputs'!$B$30+'Inputs'!$B$31+'Inputs'!$B$32)/1000+'Inputs'!$B$21)+'Inputs'!$B$7)^2+('Inputs'!$B$6/2)^2)-(((166-43)*MAX('Inputs'!$B$33,'Inputs'!$B$29+'Inputs'!$B$31+'Inputs'!$B$32,'Inputs'!$B$30+'Inputs'!$B$31+'Inputs'!$B$32)/1000+'Inputs'!$B$21))/SQRT((((166-43)*MAX('Inputs'!$B$33,'Inputs'!$B$29+'Inputs'!$B$31+'Inputs'!$B$32,'Inputs'!$B$30+'Inputs'!$B$31+'Inputs'!$B$32)/1000+'Inputs'!$B$21))^2+('Inputs'!$B$6/2)^2)))-'Results'!C7*(1+'Inputs'!$B$24)*(0.5*((((166-43)*MAX('Inputs'!$B$33,'Inputs'!$B$29+'Inputs'!$B$31+'Inputs'!$B$32,'Inputs'!$B$30+'Inputs'!$B$31+'Inputs'!$B$32)/1000+'Inputs'!$B$21+'Inputs'!$B$7+'Inputs'!$B$10)+'Inputs'!$B$9)/SQRT((((166-43)*MAX('Inputs'!$B$33,'Inputs'!$B$29+'Inputs'!$B$31+'Inputs'!$B$32,'Inputs'!$B$30+'Inputs'!$B$31+'Inputs'!$B$32)/1000+'Inputs'!$B$21+'Inputs'!$B$7+'Inputs'!$B$10)+'Inputs'!$B$9)^2+('Inputs'!$B$8/2)^2)-(((166-43)*MAX('Inputs'!$B$33,'Inputs'!$B$29+'Inputs'!$B$31+'Inputs'!$B$32,'Inputs'!$B$30+'Inputs'!$B$31+'Inputs'!$B$32)/1000+'Inputs'!$B$21+'Inputs'!$B$7+'Inputs'!$B$10))/SQRT((((166-43)*MAX('Inputs'!$B$33,'Inputs'!$B$29+'Inputs'!$B$31+'Inputs'!$B$32,'Inputs'!$B$30+'Inputs'!$B$31+'Inputs'!$B$32)/1000+'Inputs'!$B$21+'Inputs'!$B$7+'Inputs'!$B$10))^2+('Inputs'!$B$8/2)^2))))*'Results'!$B$8)-'Inputs'!$B$28*ABS((('Results'!B7*(1-'Inputs'!$B$24)*(0.5*((((166-43)*MAX('Inputs'!$B$33,'Inputs'!$B$29+'Inputs'!$B$31+'Inputs'!$B$32,'Inputs'!$B$30+'Inputs'!$B$31+'Inputs'!$B$32)/1000+'Inputs'!$B$21)+'Inputs'!$B$7)/SQRT((((166-43)*MAX('Inputs'!$B$33,'Inputs'!$B$29+'Inputs'!$B$31+'Inputs'!$B$32,'Inputs'!$B$30+'Inputs'!$B$31+'Inputs'!$B$32)/1000+'Inputs'!$B$21)+'Inputs'!$B$7)^2+('Inputs'!$B$6/2)^2)-(((166-43)*MAX('Inputs'!$B$33,'Inputs'!$B$29+'Inputs'!$B$31+'Inputs'!$B$32,'Inputs'!$B$30+'Inputs'!$B$31+'Inputs'!$B$32)/1000+'Inputs'!$B$21))/SQRT((((166-43)*MAX('Inputs'!$B$33,'Inputs'!$B$29+'Inputs'!$B$31+'Inputs'!$B$32,'Inputs'!$B$30+'Inputs'!$B$31+'Inputs'!$B$32)/1000+'Inputs'!$B$21))^2+('Inputs'!$B$6/2)^2)))-'Results'!C7*(1+'Inputs'!$B$24)*(0.5*((((166-43)*MAX('Inputs'!$B$33,'Inputs'!$B$29+'Inputs'!$B$31+'Inputs'!$B$32,'Inputs'!$B$30+'Inputs'!$B$31+'Inputs'!$B$32)/1000+'Inputs'!$B$21+'Inputs'!$B$7+'Inputs'!$B$10)+'Inputs'!$B$9)/SQRT((((166-43)*MAX('Inputs'!$B$33,'Inputs'!$B$29+'Inputs'!$B$31+'Inputs'!$B$32,'Inputs'!$B$30+'Inputs'!$B$31+'Inputs'!$B$32)/1000+'Inputs'!$B$21+'Inputs'!$B$7+'Inputs'!$B$10)+'Inputs'!$B$9)^2+('Inputs'!$B$8/2)^2)-(((166-43)*MAX('Inputs'!$B$33,'Inputs'!$B$29+'Inputs'!$B$31+'Inputs'!$B$32,'Inputs'!$B$30+'Inputs'!$B$31+'Inputs'!$B$32)/1000+'Inputs'!$B$21+'Inputs'!$B$7+'Inputs'!$B$10))/SQRT((((166-43)*MAX('Inputs'!$B$33,'Inputs'!$B$29+'Inputs'!$B$31+'Inputs'!$B$32,'Inputs'!$B$30+'Inputs'!$B$31+'Inputs'!$B$32)/1000+'Inputs'!$B$21+'Inputs'!$B$7+'Inputs'!$B$10))^2+('Inputs'!$B$8/2)^2))))*'Results'!$B$8))),"")</x:f>
        <x:v>224.65547116411585</x:v>
      </x:c>
      <x:c r="L166" t="n">
        <x:f>IF(AND(ISNUMBER('Results'!B7),ISNUMBER('Results'!C7),ISNUMBER('Results'!$B$8),ISNUMBER('Inputs'!$B$6),ISNUMBER('Inputs'!$B$7),ISNUMBER('Inputs'!$B$8),ISNUMBER('Inputs'!$B$9),ISNUMBER('Inputs'!$B$10),ISNUMBER('Inputs'!$B$21),ISNUMBER('Inputs'!$B$24),ISNUMBER('Inputs'!$B$28)),((('Results'!B7*(1+'Inputs'!$B$24)*(0.5*((((166-43)*MAX('Inputs'!$B$33,'Inputs'!$B$29+'Inputs'!$B$31+'Inputs'!$B$32,'Inputs'!$B$30+'Inputs'!$B$31+'Inputs'!$B$32)/1000+'Inputs'!$B$21)+'Inputs'!$B$7)/SQRT((((166-43)*MAX('Inputs'!$B$33,'Inputs'!$B$29+'Inputs'!$B$31+'Inputs'!$B$32,'Inputs'!$B$30+'Inputs'!$B$31+'Inputs'!$B$32)/1000+'Inputs'!$B$21)+'Inputs'!$B$7)^2+('Inputs'!$B$6/2)^2)-(((166-43)*MAX('Inputs'!$B$33,'Inputs'!$B$29+'Inputs'!$B$31+'Inputs'!$B$32,'Inputs'!$B$30+'Inputs'!$B$31+'Inputs'!$B$32)/1000+'Inputs'!$B$21))/SQRT((((166-43)*MAX('Inputs'!$B$33,'Inputs'!$B$29+'Inputs'!$B$31+'Inputs'!$B$32,'Inputs'!$B$30+'Inputs'!$B$31+'Inputs'!$B$32)/1000+'Inputs'!$B$21))^2+('Inputs'!$B$6/2)^2)))-'Results'!C7*(1-'Inputs'!$B$24)*(0.5*((((166-43)*MAX('Inputs'!$B$33,'Inputs'!$B$29+'Inputs'!$B$31+'Inputs'!$B$32,'Inputs'!$B$30+'Inputs'!$B$31+'Inputs'!$B$32)/1000+'Inputs'!$B$21+'Inputs'!$B$7+'Inputs'!$B$10)+'Inputs'!$B$9)/SQRT((((166-43)*MAX('Inputs'!$B$33,'Inputs'!$B$29+'Inputs'!$B$31+'Inputs'!$B$32,'Inputs'!$B$30+'Inputs'!$B$31+'Inputs'!$B$32)/1000+'Inputs'!$B$21+'Inputs'!$B$7+'Inputs'!$B$10)+'Inputs'!$B$9)^2+('Inputs'!$B$8/2)^2)-(((166-43)*MAX('Inputs'!$B$33,'Inputs'!$B$29+'Inputs'!$B$31+'Inputs'!$B$32,'Inputs'!$B$30+'Inputs'!$B$31+'Inputs'!$B$32)/1000+'Inputs'!$B$21+'Inputs'!$B$7+'Inputs'!$B$10))/SQRT((((166-43)*MAX('Inputs'!$B$33,'Inputs'!$B$29+'Inputs'!$B$31+'Inputs'!$B$32,'Inputs'!$B$30+'Inputs'!$B$31+'Inputs'!$B$32)/1000+'Inputs'!$B$21+'Inputs'!$B$7+'Inputs'!$B$10))^2+('Inputs'!$B$8/2)^2))))*'Results'!$B$8)+'Inputs'!$B$28*ABS((('Results'!B7*(1+'Inputs'!$B$24)*(0.5*((((166-43)*MAX('Inputs'!$B$33,'Inputs'!$B$29+'Inputs'!$B$31+'Inputs'!$B$32,'Inputs'!$B$30+'Inputs'!$B$31+'Inputs'!$B$32)/1000+'Inputs'!$B$21)+'Inputs'!$B$7)/SQRT((((166-43)*MAX('Inputs'!$B$33,'Inputs'!$B$29+'Inputs'!$B$31+'Inputs'!$B$32,'Inputs'!$B$30+'Inputs'!$B$31+'Inputs'!$B$32)/1000+'Inputs'!$B$21)+'Inputs'!$B$7)^2+('Inputs'!$B$6/2)^2)-(((166-43)*MAX('Inputs'!$B$33,'Inputs'!$B$29+'Inputs'!$B$31+'Inputs'!$B$32,'Inputs'!$B$30+'Inputs'!$B$31+'Inputs'!$B$32)/1000+'Inputs'!$B$21))/SQRT((((166-43)*MAX('Inputs'!$B$33,'Inputs'!$B$29+'Inputs'!$B$31+'Inputs'!$B$32,'Inputs'!$B$30+'Inputs'!$B$31+'Inputs'!$B$32)/1000+'Inputs'!$B$21))^2+('Inputs'!$B$6/2)^2)))-'Results'!C7*(1-'Inputs'!$B$24)*(0.5*((((166-43)*MAX('Inputs'!$B$33,'Inputs'!$B$29+'Inputs'!$B$31+'Inputs'!$B$32,'Inputs'!$B$30+'Inputs'!$B$31+'Inputs'!$B$32)/1000+'Inputs'!$B$21+'Inputs'!$B$7+'Inputs'!$B$10)+'Inputs'!$B$9)/SQRT((((166-43)*MAX('Inputs'!$B$33,'Inputs'!$B$29+'Inputs'!$B$31+'Inputs'!$B$32,'Inputs'!$B$30+'Inputs'!$B$31+'Inputs'!$B$32)/1000+'Inputs'!$B$21+'Inputs'!$B$7+'Inputs'!$B$10)+'Inputs'!$B$9)^2+('Inputs'!$B$8/2)^2)-(((166-43)*MAX('Inputs'!$B$33,'Inputs'!$B$29+'Inputs'!$B$31+'Inputs'!$B$32,'Inputs'!$B$30+'Inputs'!$B$31+'Inputs'!$B$32)/1000+'Inputs'!$B$21+'Inputs'!$B$7+'Inputs'!$B$10))/SQRT((((166-43)*MAX('Inputs'!$B$33,'Inputs'!$B$29+'Inputs'!$B$31+'Inputs'!$B$32,'Inputs'!$B$30+'Inputs'!$B$31+'Inputs'!$B$32)/1000+'Inputs'!$B$21+'Inputs'!$B$7+'Inputs'!$B$10))^2+('Inputs'!$B$8/2)^2))))*'Results'!$B$8))),"")</x:f>
        <x:v>264.2053771826648</x:v>
      </x:c>
      <x:c r="M166" t="n">
        <x:f>IF(AND(ISNUMBER('Results'!C7),ISNUMBER('Results'!B7),ISNUMBER('Results'!$B$8),ISNUMBER('Inputs'!$B$6),ISNUMBER('Inputs'!$B$7),ISNUMBER('Inputs'!$B$8),ISNUMBER('Inputs'!$B$9),ISNUMBER('Inputs'!$B$10),ISNUMBER('Inputs'!$B$21),ISNUMBER('Inputs'!$B$24),ISNUMBER('Inputs'!$B$28)),(('Results'!C7*(0.5*((((166-43)*MAX('Inputs'!$B$33,'Inputs'!$B$29+'Inputs'!$B$31+'Inputs'!$B$32,'Inputs'!$B$30+'Inputs'!$B$31+'Inputs'!$B$32)/1000+'Inputs'!$B$21)+'Inputs'!$B$9)/SQRT((((166-43)*MAX('Inputs'!$B$33,'Inputs'!$B$29+'Inputs'!$B$31+'Inputs'!$B$32,'Inputs'!$B$30+'Inputs'!$B$31+'Inputs'!$B$32)/1000+'Inputs'!$B$21)+'Inputs'!$B$9)^2+('Inputs'!$B$8/2)^2)-(((166-43)*MAX('Inputs'!$B$33,'Inputs'!$B$29+'Inputs'!$B$31+'Inputs'!$B$32,'Inputs'!$B$30+'Inputs'!$B$31+'Inputs'!$B$32)/1000+'Inputs'!$B$21))/SQRT((((166-43)*MAX('Inputs'!$B$33,'Inputs'!$B$29+'Inputs'!$B$31+'Inputs'!$B$32,'Inputs'!$B$30+'Inputs'!$B$31+'Inputs'!$B$32)/1000+'Inputs'!$B$21))^2+('Inputs'!$B$8/2)^2)))-'Results'!B7*(0.5*((((166-43)*MAX('Inputs'!$B$33,'Inputs'!$B$29+'Inputs'!$B$31+'Inputs'!$B$32,'Inputs'!$B$30+'Inputs'!$B$31+'Inputs'!$B$32)/1000+'Inputs'!$B$21+'Inputs'!$B$9+'Inputs'!$B$10)+'Inputs'!$B$7)/SQRT((((166-43)*MAX('Inputs'!$B$33,'Inputs'!$B$29+'Inputs'!$B$31+'Inputs'!$B$32,'Inputs'!$B$30+'Inputs'!$B$31+'Inputs'!$B$32)/1000+'Inputs'!$B$21+'Inputs'!$B$9+'Inputs'!$B$10)+'Inputs'!$B$7)^2+('Inputs'!$B$6/2)^2)-(((166-43)*MAX('Inputs'!$B$33,'Inputs'!$B$29+'Inputs'!$B$31+'Inputs'!$B$32,'Inputs'!$B$30+'Inputs'!$B$31+'Inputs'!$B$32)/1000+'Inputs'!$B$21+'Inputs'!$B$9+'Inputs'!$B$10))/SQRT((((166-43)*MAX('Inputs'!$B$33,'Inputs'!$B$29+'Inputs'!$B$31+'Inputs'!$B$32,'Inputs'!$B$30+'Inputs'!$B$31+'Inputs'!$B$32)/1000+'Inputs'!$B$21+'Inputs'!$B$9+'Inputs'!$B$10))^2+('Inputs'!$B$6/2)^2))))*'Results'!$B$8),"")</x:f>
        <x:v>236.45198081445832</x:v>
      </x:c>
      <x:c r="N166" t="n">
        <x:f>IF(AND(ISNUMBER('Results'!C7),ISNUMBER('Results'!B7),ISNUMBER('Results'!$B$8),ISNUMBER('Inputs'!$B$6),ISNUMBER('Inputs'!$B$7),ISNUMBER('Inputs'!$B$8),ISNUMBER('Inputs'!$B$9),ISNUMBER('Inputs'!$B$10),ISNUMBER('Inputs'!$B$21),ISNUMBER('Inputs'!$B$24),ISNUMBER('Inputs'!$B$28)),((('Results'!C7*(1-'Inputs'!$B$24)*(0.5*((((166-43)*MAX('Inputs'!$B$33,'Inputs'!$B$29+'Inputs'!$B$31+'Inputs'!$B$32,'Inputs'!$B$30+'Inputs'!$B$31+'Inputs'!$B$32)/1000+'Inputs'!$B$21)+'Inputs'!$B$9)/SQRT((((166-43)*MAX('Inputs'!$B$33,'Inputs'!$B$29+'Inputs'!$B$31+'Inputs'!$B$32,'Inputs'!$B$30+'Inputs'!$B$31+'Inputs'!$B$32)/1000+'Inputs'!$B$21)+'Inputs'!$B$9)^2+('Inputs'!$B$8/2)^2)-(((166-43)*MAX('Inputs'!$B$33,'Inputs'!$B$29+'Inputs'!$B$31+'Inputs'!$B$32,'Inputs'!$B$30+'Inputs'!$B$31+'Inputs'!$B$32)/1000+'Inputs'!$B$21))/SQRT((((166-43)*MAX('Inputs'!$B$33,'Inputs'!$B$29+'Inputs'!$B$31+'Inputs'!$B$32,'Inputs'!$B$30+'Inputs'!$B$31+'Inputs'!$B$32)/1000+'Inputs'!$B$21))^2+('Inputs'!$B$8/2)^2)))-'Results'!B7*(1+'Inputs'!$B$24)*(0.5*((((166-43)*MAX('Inputs'!$B$33,'Inputs'!$B$29+'Inputs'!$B$31+'Inputs'!$B$32,'Inputs'!$B$30+'Inputs'!$B$31+'Inputs'!$B$32)/1000+'Inputs'!$B$21+'Inputs'!$B$9+'Inputs'!$B$10)+'Inputs'!$B$7)/SQRT((((166-43)*MAX('Inputs'!$B$33,'Inputs'!$B$29+'Inputs'!$B$31+'Inputs'!$B$32,'Inputs'!$B$30+'Inputs'!$B$31+'Inputs'!$B$32)/1000+'Inputs'!$B$21+'Inputs'!$B$9+'Inputs'!$B$10)+'Inputs'!$B$7)^2+('Inputs'!$B$6/2)^2)-(((166-43)*MAX('Inputs'!$B$33,'Inputs'!$B$29+'Inputs'!$B$31+'Inputs'!$B$32,'Inputs'!$B$30+'Inputs'!$B$31+'Inputs'!$B$32)/1000+'Inputs'!$B$21+'Inputs'!$B$9+'Inputs'!$B$10))/SQRT((((166-43)*MAX('Inputs'!$B$33,'Inputs'!$B$29+'Inputs'!$B$31+'Inputs'!$B$32,'Inputs'!$B$30+'Inputs'!$B$31+'Inputs'!$B$32)/1000+'Inputs'!$B$21+'Inputs'!$B$9+'Inputs'!$B$10))^2+('Inputs'!$B$6/2)^2))))*'Results'!$B$8)-'Inputs'!$B$28*ABS((('Results'!C7*(1-'Inputs'!$B$24)*(0.5*((((166-43)*MAX('Inputs'!$B$33,'Inputs'!$B$29+'Inputs'!$B$31+'Inputs'!$B$32,'Inputs'!$B$30+'Inputs'!$B$31+'Inputs'!$B$32)/1000+'Inputs'!$B$21)+'Inputs'!$B$9)/SQRT((((166-43)*MAX('Inputs'!$B$33,'Inputs'!$B$29+'Inputs'!$B$31+'Inputs'!$B$32,'Inputs'!$B$30+'Inputs'!$B$31+'Inputs'!$B$32)/1000+'Inputs'!$B$21)+'Inputs'!$B$9)^2+('Inputs'!$B$8/2)^2)-(((166-43)*MAX('Inputs'!$B$33,'Inputs'!$B$29+'Inputs'!$B$31+'Inputs'!$B$32,'Inputs'!$B$30+'Inputs'!$B$31+'Inputs'!$B$32)/1000+'Inputs'!$B$21))/SQRT((((166-43)*MAX('Inputs'!$B$33,'Inputs'!$B$29+'Inputs'!$B$31+'Inputs'!$B$32,'Inputs'!$B$30+'Inputs'!$B$31+'Inputs'!$B$32)/1000+'Inputs'!$B$21))^2+('Inputs'!$B$8/2)^2)))-'Results'!B7*(1+'Inputs'!$B$24)*(0.5*((((166-43)*MAX('Inputs'!$B$33,'Inputs'!$B$29+'Inputs'!$B$31+'Inputs'!$B$32,'Inputs'!$B$30+'Inputs'!$B$31+'Inputs'!$B$32)/1000+'Inputs'!$B$21+'Inputs'!$B$9+'Inputs'!$B$10)+'Inputs'!$B$7)/SQRT((((166-43)*MAX('Inputs'!$B$33,'Inputs'!$B$29+'Inputs'!$B$31+'Inputs'!$B$32,'Inputs'!$B$30+'Inputs'!$B$31+'Inputs'!$B$32)/1000+'Inputs'!$B$21+'Inputs'!$B$9+'Inputs'!$B$10)+'Inputs'!$B$7)^2+('Inputs'!$B$6/2)^2)-(((166-43)*MAX('Inputs'!$B$33,'Inputs'!$B$29+'Inputs'!$B$31+'Inputs'!$B$32,'Inputs'!$B$30+'Inputs'!$B$31+'Inputs'!$B$32)/1000+'Inputs'!$B$21+'Inputs'!$B$9+'Inputs'!$B$10))/SQRT((((166-43)*MAX('Inputs'!$B$33,'Inputs'!$B$29+'Inputs'!$B$31+'Inputs'!$B$32,'Inputs'!$B$30+'Inputs'!$B$31+'Inputs'!$B$32)/1000+'Inputs'!$B$21+'Inputs'!$B$9+'Inputs'!$B$10))^2+('Inputs'!$B$6/2)^2))))*'Results'!$B$8))),"")</x:f>
        <x:v>217.5278551002175</x:v>
      </x:c>
      <x:c r="O166" t="n">
        <x:f>IF(AND(ISNUMBER('Results'!C7),ISNUMBER('Results'!B7),ISNUMBER('Results'!$B$8),ISNUMBER('Inputs'!$B$6),ISNUMBER('Inputs'!$B$7),ISNUMBER('Inputs'!$B$8),ISNUMBER('Inputs'!$B$9),ISNUMBER('Inputs'!$B$10),ISNUMBER('Inputs'!$B$21),ISNUMBER('Inputs'!$B$24),ISNUMBER('Inputs'!$B$28)),((('Results'!C7*(1+'Inputs'!$B$24)*(0.5*((((166-43)*MAX('Inputs'!$B$33,'Inputs'!$B$29+'Inputs'!$B$31+'Inputs'!$B$32,'Inputs'!$B$30+'Inputs'!$B$31+'Inputs'!$B$32)/1000+'Inputs'!$B$21)+'Inputs'!$B$9)/SQRT((((166-43)*MAX('Inputs'!$B$33,'Inputs'!$B$29+'Inputs'!$B$31+'Inputs'!$B$32,'Inputs'!$B$30+'Inputs'!$B$31+'Inputs'!$B$32)/1000+'Inputs'!$B$21)+'Inputs'!$B$9)^2+('Inputs'!$B$8/2)^2)-(((166-43)*MAX('Inputs'!$B$33,'Inputs'!$B$29+'Inputs'!$B$31+'Inputs'!$B$32,'Inputs'!$B$30+'Inputs'!$B$31+'Inputs'!$B$32)/1000+'Inputs'!$B$21))/SQRT((((166-43)*MAX('Inputs'!$B$33,'Inputs'!$B$29+'Inputs'!$B$31+'Inputs'!$B$32,'Inputs'!$B$30+'Inputs'!$B$31+'Inputs'!$B$32)/1000+'Inputs'!$B$21))^2+('Inputs'!$B$8/2)^2)))-'Results'!B7*(1-'Inputs'!$B$24)*(0.5*((((166-43)*MAX('Inputs'!$B$33,'Inputs'!$B$29+'Inputs'!$B$31+'Inputs'!$B$32,'Inputs'!$B$30+'Inputs'!$B$31+'Inputs'!$B$32)/1000+'Inputs'!$B$21+'Inputs'!$B$9+'Inputs'!$B$10)+'Inputs'!$B$7)/SQRT((((166-43)*MAX('Inputs'!$B$33,'Inputs'!$B$29+'Inputs'!$B$31+'Inputs'!$B$32,'Inputs'!$B$30+'Inputs'!$B$31+'Inputs'!$B$32)/1000+'Inputs'!$B$21+'Inputs'!$B$9+'Inputs'!$B$10)+'Inputs'!$B$7)^2+('Inputs'!$B$6/2)^2)-(((166-43)*MAX('Inputs'!$B$33,'Inputs'!$B$29+'Inputs'!$B$31+'Inputs'!$B$32,'Inputs'!$B$30+'Inputs'!$B$31+'Inputs'!$B$32)/1000+'Inputs'!$B$21+'Inputs'!$B$9+'Inputs'!$B$10))/SQRT((((166-43)*MAX('Inputs'!$B$33,'Inputs'!$B$29+'Inputs'!$B$31+'Inputs'!$B$32,'Inputs'!$B$30+'Inputs'!$B$31+'Inputs'!$B$32)/1000+'Inputs'!$B$21+'Inputs'!$B$9+'Inputs'!$B$10))^2+('Inputs'!$B$6/2)^2))))*'Results'!$B$8)+'Inputs'!$B$28*ABS((('Results'!C7*(1+'Inputs'!$B$24)*(0.5*((((166-43)*MAX('Inputs'!$B$33,'Inputs'!$B$29+'Inputs'!$B$31+'Inputs'!$B$32,'Inputs'!$B$30+'Inputs'!$B$31+'Inputs'!$B$32)/1000+'Inputs'!$B$21)+'Inputs'!$B$9)/SQRT((((166-43)*MAX('Inputs'!$B$33,'Inputs'!$B$29+'Inputs'!$B$31+'Inputs'!$B$32,'Inputs'!$B$30+'Inputs'!$B$31+'Inputs'!$B$32)/1000+'Inputs'!$B$21)+'Inputs'!$B$9)^2+('Inputs'!$B$8/2)^2)-(((166-43)*MAX('Inputs'!$B$33,'Inputs'!$B$29+'Inputs'!$B$31+'Inputs'!$B$32,'Inputs'!$B$30+'Inputs'!$B$31+'Inputs'!$B$32)/1000+'Inputs'!$B$21))/SQRT((((166-43)*MAX('Inputs'!$B$33,'Inputs'!$B$29+'Inputs'!$B$31+'Inputs'!$B$32,'Inputs'!$B$30+'Inputs'!$B$31+'Inputs'!$B$32)/1000+'Inputs'!$B$21))^2+('Inputs'!$B$8/2)^2)))-'Results'!B7*(1-'Inputs'!$B$24)*(0.5*((((166-43)*MAX('Inputs'!$B$33,'Inputs'!$B$29+'Inputs'!$B$31+'Inputs'!$B$32,'Inputs'!$B$30+'Inputs'!$B$31+'Inputs'!$B$32)/1000+'Inputs'!$B$21+'Inputs'!$B$9+'Inputs'!$B$10)+'Inputs'!$B$7)/SQRT((((166-43)*MAX('Inputs'!$B$33,'Inputs'!$B$29+'Inputs'!$B$31+'Inputs'!$B$32,'Inputs'!$B$30+'Inputs'!$B$31+'Inputs'!$B$32)/1000+'Inputs'!$B$21+'Inputs'!$B$9+'Inputs'!$B$10)+'Inputs'!$B$7)^2+('Inputs'!$B$6/2)^2)-(((166-43)*MAX('Inputs'!$B$33,'Inputs'!$B$29+'Inputs'!$B$31+'Inputs'!$B$32,'Inputs'!$B$30+'Inputs'!$B$31+'Inputs'!$B$32)/1000+'Inputs'!$B$21+'Inputs'!$B$9+'Inputs'!$B$10))/SQRT((((166-43)*MAX('Inputs'!$B$33,'Inputs'!$B$29+'Inputs'!$B$31+'Inputs'!$B$32,'Inputs'!$B$30+'Inputs'!$B$31+'Inputs'!$B$32)/1000+'Inputs'!$B$21+'Inputs'!$B$9+'Inputs'!$B$10))^2+('Inputs'!$B$6/2)^2))))*'Results'!$B$8))),"")</x:f>
        <x:v>256.12363565222734</x:v>
      </x:c>
      <x:c r="P166" t="n">
        <x:f>IF(AND(MAX(J166,J165)&gt;0,J166&gt;J165+0.00000001),1,0)</x:f>
        <x:v>0</x:v>
      </x:c>
      <x:c r="Q166" t="n">
        <x:f>IF(AND(MAX(K166,K165)&gt;0,K166&gt;K165+0.00000001),1,0)</x:f>
        <x:v>0</x:v>
      </x:c>
      <x:c r="R166" t="n">
        <x:f>IF(AND(MAX(L166,L165)&gt;0,L166&gt;L165+0.00000001),1,0)</x:f>
        <x:v>0</x:v>
      </x:c>
      <x:c r="S166" t="n">
        <x:f>IF(AND(MAX(M166,M165)&gt;0,M166&gt;M165+0.00000001),1,0)</x:f>
        <x:v>0</x:v>
      </x:c>
      <x:c r="T166" t="n">
        <x:f>IF(AND(MAX(N166,N165)&gt;0,N166&gt;N165+0.00000001),1,0)</x:f>
        <x:v>0</x:v>
      </x:c>
      <x:c r="U166" t="n">
        <x:f>IF(AND(MAX(O166,O165)&gt;0,O166&gt;O165+0.00000001),1,0)</x:f>
        <x:v>0</x:v>
      </x:c>
    </x:row>
    <x:row r="167">
      <x:c r="J167" t="n">
        <x:f>IF(AND(ISNUMBER('Results'!B7),ISNUMBER('Results'!C7),ISNUMBER('Results'!$B$8),ISNUMBER('Inputs'!$B$6),ISNUMBER('Inputs'!$B$7),ISNUMBER('Inputs'!$B$8),ISNUMBER('Inputs'!$B$9),ISNUMBER('Inputs'!$B$10),ISNUMBER('Inputs'!$B$21),ISNUMBER('Inputs'!$B$24),ISNUMBER('Inputs'!$B$28)),(('Results'!B7*(0.5*((((167-43)*MAX('Inputs'!$B$33,'Inputs'!$B$29+'Inputs'!$B$31+'Inputs'!$B$32,'Inputs'!$B$30+'Inputs'!$B$31+'Inputs'!$B$32)/1000+'Inputs'!$B$21)+'Inputs'!$B$7)/SQRT((((167-43)*MAX('Inputs'!$B$33,'Inputs'!$B$29+'Inputs'!$B$31+'Inputs'!$B$32,'Inputs'!$B$30+'Inputs'!$B$31+'Inputs'!$B$32)/1000+'Inputs'!$B$21)+'Inputs'!$B$7)^2+('Inputs'!$B$6/2)^2)-(((167-43)*MAX('Inputs'!$B$33,'Inputs'!$B$29+'Inputs'!$B$31+'Inputs'!$B$32,'Inputs'!$B$30+'Inputs'!$B$31+'Inputs'!$B$32)/1000+'Inputs'!$B$21))/SQRT((((167-43)*MAX('Inputs'!$B$33,'Inputs'!$B$29+'Inputs'!$B$31+'Inputs'!$B$32,'Inputs'!$B$30+'Inputs'!$B$31+'Inputs'!$B$32)/1000+'Inputs'!$B$21))^2+('Inputs'!$B$6/2)^2)))-'Results'!C7*(0.5*((((167-43)*MAX('Inputs'!$B$33,'Inputs'!$B$29+'Inputs'!$B$31+'Inputs'!$B$32,'Inputs'!$B$30+'Inputs'!$B$31+'Inputs'!$B$32)/1000+'Inputs'!$B$21+'Inputs'!$B$7+'Inputs'!$B$10)+'Inputs'!$B$9)/SQRT((((167-43)*MAX('Inputs'!$B$33,'Inputs'!$B$29+'Inputs'!$B$31+'Inputs'!$B$32,'Inputs'!$B$30+'Inputs'!$B$31+'Inputs'!$B$32)/1000+'Inputs'!$B$21+'Inputs'!$B$7+'Inputs'!$B$10)+'Inputs'!$B$9)^2+('Inputs'!$B$8/2)^2)-(((167-43)*MAX('Inputs'!$B$33,'Inputs'!$B$29+'Inputs'!$B$31+'Inputs'!$B$32,'Inputs'!$B$30+'Inputs'!$B$31+'Inputs'!$B$32)/1000+'Inputs'!$B$21+'Inputs'!$B$7+'Inputs'!$B$10))/SQRT((((167-43)*MAX('Inputs'!$B$33,'Inputs'!$B$29+'Inputs'!$B$31+'Inputs'!$B$32,'Inputs'!$B$30+'Inputs'!$B$31+'Inputs'!$B$32)/1000+'Inputs'!$B$21+'Inputs'!$B$7+'Inputs'!$B$10))^2+('Inputs'!$B$8/2)^2))))*'Results'!$B$8),"")</x:f>
        <x:v>239.78056097305503</x:v>
      </x:c>
      <x:c r="K167" t="n">
        <x:f>IF(AND(ISNUMBER('Results'!B7),ISNUMBER('Results'!C7),ISNUMBER('Results'!$B$8),ISNUMBER('Inputs'!$B$6),ISNUMBER('Inputs'!$B$7),ISNUMBER('Inputs'!$B$8),ISNUMBER('Inputs'!$B$9),ISNUMBER('Inputs'!$B$10),ISNUMBER('Inputs'!$B$21),ISNUMBER('Inputs'!$B$24),ISNUMBER('Inputs'!$B$28)),((('Results'!B7*(1-'Inputs'!$B$24)*(0.5*((((167-43)*MAX('Inputs'!$B$33,'Inputs'!$B$29+'Inputs'!$B$31+'Inputs'!$B$32,'Inputs'!$B$30+'Inputs'!$B$31+'Inputs'!$B$32)/1000+'Inputs'!$B$21)+'Inputs'!$B$7)/SQRT((((167-43)*MAX('Inputs'!$B$33,'Inputs'!$B$29+'Inputs'!$B$31+'Inputs'!$B$32,'Inputs'!$B$30+'Inputs'!$B$31+'Inputs'!$B$32)/1000+'Inputs'!$B$21)+'Inputs'!$B$7)^2+('Inputs'!$B$6/2)^2)-(((167-43)*MAX('Inputs'!$B$33,'Inputs'!$B$29+'Inputs'!$B$31+'Inputs'!$B$32,'Inputs'!$B$30+'Inputs'!$B$31+'Inputs'!$B$32)/1000+'Inputs'!$B$21))/SQRT((((167-43)*MAX('Inputs'!$B$33,'Inputs'!$B$29+'Inputs'!$B$31+'Inputs'!$B$32,'Inputs'!$B$30+'Inputs'!$B$31+'Inputs'!$B$32)/1000+'Inputs'!$B$21))^2+('Inputs'!$B$6/2)^2)))-'Results'!C7*(1+'Inputs'!$B$24)*(0.5*((((167-43)*MAX('Inputs'!$B$33,'Inputs'!$B$29+'Inputs'!$B$31+'Inputs'!$B$32,'Inputs'!$B$30+'Inputs'!$B$31+'Inputs'!$B$32)/1000+'Inputs'!$B$21+'Inputs'!$B$7+'Inputs'!$B$10)+'Inputs'!$B$9)/SQRT((((167-43)*MAX('Inputs'!$B$33,'Inputs'!$B$29+'Inputs'!$B$31+'Inputs'!$B$32,'Inputs'!$B$30+'Inputs'!$B$31+'Inputs'!$B$32)/1000+'Inputs'!$B$21+'Inputs'!$B$7+'Inputs'!$B$10)+'Inputs'!$B$9)^2+('Inputs'!$B$8/2)^2)-(((167-43)*MAX('Inputs'!$B$33,'Inputs'!$B$29+'Inputs'!$B$31+'Inputs'!$B$32,'Inputs'!$B$30+'Inputs'!$B$31+'Inputs'!$B$32)/1000+'Inputs'!$B$21+'Inputs'!$B$7+'Inputs'!$B$10))/SQRT((((167-43)*MAX('Inputs'!$B$33,'Inputs'!$B$29+'Inputs'!$B$31+'Inputs'!$B$32,'Inputs'!$B$30+'Inputs'!$B$31+'Inputs'!$B$32)/1000+'Inputs'!$B$21+'Inputs'!$B$7+'Inputs'!$B$10))^2+('Inputs'!$B$8/2)^2))))*'Results'!$B$8)-'Inputs'!$B$28*ABS((('Results'!B7*(1-'Inputs'!$B$24)*(0.5*((((167-43)*MAX('Inputs'!$B$33,'Inputs'!$B$29+'Inputs'!$B$31+'Inputs'!$B$32,'Inputs'!$B$30+'Inputs'!$B$31+'Inputs'!$B$32)/1000+'Inputs'!$B$21)+'Inputs'!$B$7)/SQRT((((167-43)*MAX('Inputs'!$B$33,'Inputs'!$B$29+'Inputs'!$B$31+'Inputs'!$B$32,'Inputs'!$B$30+'Inputs'!$B$31+'Inputs'!$B$32)/1000+'Inputs'!$B$21)+'Inputs'!$B$7)^2+('Inputs'!$B$6/2)^2)-(((167-43)*MAX('Inputs'!$B$33,'Inputs'!$B$29+'Inputs'!$B$31+'Inputs'!$B$32,'Inputs'!$B$30+'Inputs'!$B$31+'Inputs'!$B$32)/1000+'Inputs'!$B$21))/SQRT((((167-43)*MAX('Inputs'!$B$33,'Inputs'!$B$29+'Inputs'!$B$31+'Inputs'!$B$32,'Inputs'!$B$30+'Inputs'!$B$31+'Inputs'!$B$32)/1000+'Inputs'!$B$21))^2+('Inputs'!$B$6/2)^2)))-'Results'!C7*(1+'Inputs'!$B$24)*(0.5*((((167-43)*MAX('Inputs'!$B$33,'Inputs'!$B$29+'Inputs'!$B$31+'Inputs'!$B$32,'Inputs'!$B$30+'Inputs'!$B$31+'Inputs'!$B$32)/1000+'Inputs'!$B$21+'Inputs'!$B$7+'Inputs'!$B$10)+'Inputs'!$B$9)/SQRT((((167-43)*MAX('Inputs'!$B$33,'Inputs'!$B$29+'Inputs'!$B$31+'Inputs'!$B$32,'Inputs'!$B$30+'Inputs'!$B$31+'Inputs'!$B$32)/1000+'Inputs'!$B$21+'Inputs'!$B$7+'Inputs'!$B$10)+'Inputs'!$B$9)^2+('Inputs'!$B$8/2)^2)-(((167-43)*MAX('Inputs'!$B$33,'Inputs'!$B$29+'Inputs'!$B$31+'Inputs'!$B$32,'Inputs'!$B$30+'Inputs'!$B$31+'Inputs'!$B$32)/1000+'Inputs'!$B$21+'Inputs'!$B$7+'Inputs'!$B$10))/SQRT((((167-43)*MAX('Inputs'!$B$33,'Inputs'!$B$29+'Inputs'!$B$31+'Inputs'!$B$32,'Inputs'!$B$30+'Inputs'!$B$31+'Inputs'!$B$32)/1000+'Inputs'!$B$21+'Inputs'!$B$7+'Inputs'!$B$10))^2+('Inputs'!$B$8/2)^2))))*'Results'!$B$8))),"")</x:f>
        <x:v>220.70610681750858</x:v>
      </x:c>
      <x:c r="L167" t="n">
        <x:f>IF(AND(ISNUMBER('Results'!B7),ISNUMBER('Results'!C7),ISNUMBER('Results'!$B$8),ISNUMBER('Inputs'!$B$6),ISNUMBER('Inputs'!$B$7),ISNUMBER('Inputs'!$B$8),ISNUMBER('Inputs'!$B$9),ISNUMBER('Inputs'!$B$10),ISNUMBER('Inputs'!$B$21),ISNUMBER('Inputs'!$B$24),ISNUMBER('Inputs'!$B$28)),((('Results'!B7*(1+'Inputs'!$B$24)*(0.5*((((167-43)*MAX('Inputs'!$B$33,'Inputs'!$B$29+'Inputs'!$B$31+'Inputs'!$B$32,'Inputs'!$B$30+'Inputs'!$B$31+'Inputs'!$B$32)/1000+'Inputs'!$B$21)+'Inputs'!$B$7)/SQRT((((167-43)*MAX('Inputs'!$B$33,'Inputs'!$B$29+'Inputs'!$B$31+'Inputs'!$B$32,'Inputs'!$B$30+'Inputs'!$B$31+'Inputs'!$B$32)/1000+'Inputs'!$B$21)+'Inputs'!$B$7)^2+('Inputs'!$B$6/2)^2)-(((167-43)*MAX('Inputs'!$B$33,'Inputs'!$B$29+'Inputs'!$B$31+'Inputs'!$B$32,'Inputs'!$B$30+'Inputs'!$B$31+'Inputs'!$B$32)/1000+'Inputs'!$B$21))/SQRT((((167-43)*MAX('Inputs'!$B$33,'Inputs'!$B$29+'Inputs'!$B$31+'Inputs'!$B$32,'Inputs'!$B$30+'Inputs'!$B$31+'Inputs'!$B$32)/1000+'Inputs'!$B$21))^2+('Inputs'!$B$6/2)^2)))-'Results'!C7*(1-'Inputs'!$B$24)*(0.5*((((167-43)*MAX('Inputs'!$B$33,'Inputs'!$B$29+'Inputs'!$B$31+'Inputs'!$B$32,'Inputs'!$B$30+'Inputs'!$B$31+'Inputs'!$B$32)/1000+'Inputs'!$B$21+'Inputs'!$B$7+'Inputs'!$B$10)+'Inputs'!$B$9)/SQRT((((167-43)*MAX('Inputs'!$B$33,'Inputs'!$B$29+'Inputs'!$B$31+'Inputs'!$B$32,'Inputs'!$B$30+'Inputs'!$B$31+'Inputs'!$B$32)/1000+'Inputs'!$B$21+'Inputs'!$B$7+'Inputs'!$B$10)+'Inputs'!$B$9)^2+('Inputs'!$B$8/2)^2)-(((167-43)*MAX('Inputs'!$B$33,'Inputs'!$B$29+'Inputs'!$B$31+'Inputs'!$B$32,'Inputs'!$B$30+'Inputs'!$B$31+'Inputs'!$B$32)/1000+'Inputs'!$B$21+'Inputs'!$B$7+'Inputs'!$B$10))/SQRT((((167-43)*MAX('Inputs'!$B$33,'Inputs'!$B$29+'Inputs'!$B$31+'Inputs'!$B$32,'Inputs'!$B$30+'Inputs'!$B$31+'Inputs'!$B$32)/1000+'Inputs'!$B$21+'Inputs'!$B$7+'Inputs'!$B$10))^2+('Inputs'!$B$8/2)^2))))*'Results'!$B$8)+'Inputs'!$B$28*ABS((('Results'!B7*(1+'Inputs'!$B$24)*(0.5*((((167-43)*MAX('Inputs'!$B$33,'Inputs'!$B$29+'Inputs'!$B$31+'Inputs'!$B$32,'Inputs'!$B$30+'Inputs'!$B$31+'Inputs'!$B$32)/1000+'Inputs'!$B$21)+'Inputs'!$B$7)/SQRT((((167-43)*MAX('Inputs'!$B$33,'Inputs'!$B$29+'Inputs'!$B$31+'Inputs'!$B$32,'Inputs'!$B$30+'Inputs'!$B$31+'Inputs'!$B$32)/1000+'Inputs'!$B$21)+'Inputs'!$B$7)^2+('Inputs'!$B$6/2)^2)-(((167-43)*MAX('Inputs'!$B$33,'Inputs'!$B$29+'Inputs'!$B$31+'Inputs'!$B$32,'Inputs'!$B$30+'Inputs'!$B$31+'Inputs'!$B$32)/1000+'Inputs'!$B$21))/SQRT((((167-43)*MAX('Inputs'!$B$33,'Inputs'!$B$29+'Inputs'!$B$31+'Inputs'!$B$32,'Inputs'!$B$30+'Inputs'!$B$31+'Inputs'!$B$32)/1000+'Inputs'!$B$21))^2+('Inputs'!$B$6/2)^2)))-'Results'!C7*(1-'Inputs'!$B$24)*(0.5*((((167-43)*MAX('Inputs'!$B$33,'Inputs'!$B$29+'Inputs'!$B$31+'Inputs'!$B$32,'Inputs'!$B$30+'Inputs'!$B$31+'Inputs'!$B$32)/1000+'Inputs'!$B$21+'Inputs'!$B$7+'Inputs'!$B$10)+'Inputs'!$B$9)/SQRT((((167-43)*MAX('Inputs'!$B$33,'Inputs'!$B$29+'Inputs'!$B$31+'Inputs'!$B$32,'Inputs'!$B$30+'Inputs'!$B$31+'Inputs'!$B$32)/1000+'Inputs'!$B$21+'Inputs'!$B$7+'Inputs'!$B$10)+'Inputs'!$B$9)^2+('Inputs'!$B$8/2)^2)-(((167-43)*MAX('Inputs'!$B$33,'Inputs'!$B$29+'Inputs'!$B$31+'Inputs'!$B$32,'Inputs'!$B$30+'Inputs'!$B$31+'Inputs'!$B$32)/1000+'Inputs'!$B$21+'Inputs'!$B$7+'Inputs'!$B$10))/SQRT((((167-43)*MAX('Inputs'!$B$33,'Inputs'!$B$29+'Inputs'!$B$31+'Inputs'!$B$32,'Inputs'!$B$30+'Inputs'!$B$31+'Inputs'!$B$32)/1000+'Inputs'!$B$21+'Inputs'!$B$7+'Inputs'!$B$10))^2+('Inputs'!$B$8/2)^2))))*'Results'!$B$8))),"")</x:f>
        <x:v>259.60084945564296</x:v>
      </x:c>
      <x:c r="M167" t="n">
        <x:f>IF(AND(ISNUMBER('Results'!C7),ISNUMBER('Results'!B7),ISNUMBER('Results'!$B$8),ISNUMBER('Inputs'!$B$6),ISNUMBER('Inputs'!$B$7),ISNUMBER('Inputs'!$B$8),ISNUMBER('Inputs'!$B$9),ISNUMBER('Inputs'!$B$10),ISNUMBER('Inputs'!$B$21),ISNUMBER('Inputs'!$B$24),ISNUMBER('Inputs'!$B$28)),(('Results'!C7*(0.5*((((167-43)*MAX('Inputs'!$B$33,'Inputs'!$B$29+'Inputs'!$B$31+'Inputs'!$B$32,'Inputs'!$B$30+'Inputs'!$B$31+'Inputs'!$B$32)/1000+'Inputs'!$B$21)+'Inputs'!$B$9)/SQRT((((167-43)*MAX('Inputs'!$B$33,'Inputs'!$B$29+'Inputs'!$B$31+'Inputs'!$B$32,'Inputs'!$B$30+'Inputs'!$B$31+'Inputs'!$B$32)/1000+'Inputs'!$B$21)+'Inputs'!$B$9)^2+('Inputs'!$B$8/2)^2)-(((167-43)*MAX('Inputs'!$B$33,'Inputs'!$B$29+'Inputs'!$B$31+'Inputs'!$B$32,'Inputs'!$B$30+'Inputs'!$B$31+'Inputs'!$B$32)/1000+'Inputs'!$B$21))/SQRT((((167-43)*MAX('Inputs'!$B$33,'Inputs'!$B$29+'Inputs'!$B$31+'Inputs'!$B$32,'Inputs'!$B$30+'Inputs'!$B$31+'Inputs'!$B$32)/1000+'Inputs'!$B$21))^2+('Inputs'!$B$8/2)^2)))-'Results'!B7*(0.5*((((167-43)*MAX('Inputs'!$B$33,'Inputs'!$B$29+'Inputs'!$B$31+'Inputs'!$B$32,'Inputs'!$B$30+'Inputs'!$B$31+'Inputs'!$B$32)/1000+'Inputs'!$B$21+'Inputs'!$B$9+'Inputs'!$B$10)+'Inputs'!$B$7)/SQRT((((167-43)*MAX('Inputs'!$B$33,'Inputs'!$B$29+'Inputs'!$B$31+'Inputs'!$B$32,'Inputs'!$B$30+'Inputs'!$B$31+'Inputs'!$B$32)/1000+'Inputs'!$B$21+'Inputs'!$B$9+'Inputs'!$B$10)+'Inputs'!$B$7)^2+('Inputs'!$B$6/2)^2)-(((167-43)*MAX('Inputs'!$B$33,'Inputs'!$B$29+'Inputs'!$B$31+'Inputs'!$B$32,'Inputs'!$B$30+'Inputs'!$B$31+'Inputs'!$B$32)/1000+'Inputs'!$B$21+'Inputs'!$B$9+'Inputs'!$B$10))/SQRT((((167-43)*MAX('Inputs'!$B$33,'Inputs'!$B$29+'Inputs'!$B$31+'Inputs'!$B$32,'Inputs'!$B$30+'Inputs'!$B$31+'Inputs'!$B$32)/1000+'Inputs'!$B$21+'Inputs'!$B$9+'Inputs'!$B$10))^2+('Inputs'!$B$6/2)^2))))*'Results'!$B$8),"")</x:f>
        <x:v>232.29504696742683</x:v>
      </x:c>
      <x:c r="N167" t="n">
        <x:f>IF(AND(ISNUMBER('Results'!C7),ISNUMBER('Results'!B7),ISNUMBER('Results'!$B$8),ISNUMBER('Inputs'!$B$6),ISNUMBER('Inputs'!$B$7),ISNUMBER('Inputs'!$B$8),ISNUMBER('Inputs'!$B$9),ISNUMBER('Inputs'!$B$10),ISNUMBER('Inputs'!$B$21),ISNUMBER('Inputs'!$B$24),ISNUMBER('Inputs'!$B$28)),((('Results'!C7*(1-'Inputs'!$B$24)*(0.5*((((167-43)*MAX('Inputs'!$B$33,'Inputs'!$B$29+'Inputs'!$B$31+'Inputs'!$B$32,'Inputs'!$B$30+'Inputs'!$B$31+'Inputs'!$B$32)/1000+'Inputs'!$B$21)+'Inputs'!$B$9)/SQRT((((167-43)*MAX('Inputs'!$B$33,'Inputs'!$B$29+'Inputs'!$B$31+'Inputs'!$B$32,'Inputs'!$B$30+'Inputs'!$B$31+'Inputs'!$B$32)/1000+'Inputs'!$B$21)+'Inputs'!$B$9)^2+('Inputs'!$B$8/2)^2)-(((167-43)*MAX('Inputs'!$B$33,'Inputs'!$B$29+'Inputs'!$B$31+'Inputs'!$B$32,'Inputs'!$B$30+'Inputs'!$B$31+'Inputs'!$B$32)/1000+'Inputs'!$B$21))/SQRT((((167-43)*MAX('Inputs'!$B$33,'Inputs'!$B$29+'Inputs'!$B$31+'Inputs'!$B$32,'Inputs'!$B$30+'Inputs'!$B$31+'Inputs'!$B$32)/1000+'Inputs'!$B$21))^2+('Inputs'!$B$8/2)^2)))-'Results'!B7*(1+'Inputs'!$B$24)*(0.5*((((167-43)*MAX('Inputs'!$B$33,'Inputs'!$B$29+'Inputs'!$B$31+'Inputs'!$B$32,'Inputs'!$B$30+'Inputs'!$B$31+'Inputs'!$B$32)/1000+'Inputs'!$B$21+'Inputs'!$B$9+'Inputs'!$B$10)+'Inputs'!$B$7)/SQRT((((167-43)*MAX('Inputs'!$B$33,'Inputs'!$B$29+'Inputs'!$B$31+'Inputs'!$B$32,'Inputs'!$B$30+'Inputs'!$B$31+'Inputs'!$B$32)/1000+'Inputs'!$B$21+'Inputs'!$B$9+'Inputs'!$B$10)+'Inputs'!$B$7)^2+('Inputs'!$B$6/2)^2)-(((167-43)*MAX('Inputs'!$B$33,'Inputs'!$B$29+'Inputs'!$B$31+'Inputs'!$B$32,'Inputs'!$B$30+'Inputs'!$B$31+'Inputs'!$B$32)/1000+'Inputs'!$B$21+'Inputs'!$B$9+'Inputs'!$B$10))/SQRT((((167-43)*MAX('Inputs'!$B$33,'Inputs'!$B$29+'Inputs'!$B$31+'Inputs'!$B$32,'Inputs'!$B$30+'Inputs'!$B$31+'Inputs'!$B$32)/1000+'Inputs'!$B$21+'Inputs'!$B$9+'Inputs'!$B$10))^2+('Inputs'!$B$6/2)^2))))*'Results'!$B$8)-'Inputs'!$B$28*ABS((('Results'!C7*(1-'Inputs'!$B$24)*(0.5*((((167-43)*MAX('Inputs'!$B$33,'Inputs'!$B$29+'Inputs'!$B$31+'Inputs'!$B$32,'Inputs'!$B$30+'Inputs'!$B$31+'Inputs'!$B$32)/1000+'Inputs'!$B$21)+'Inputs'!$B$9)/SQRT((((167-43)*MAX('Inputs'!$B$33,'Inputs'!$B$29+'Inputs'!$B$31+'Inputs'!$B$32,'Inputs'!$B$30+'Inputs'!$B$31+'Inputs'!$B$32)/1000+'Inputs'!$B$21)+'Inputs'!$B$9)^2+('Inputs'!$B$8/2)^2)-(((167-43)*MAX('Inputs'!$B$33,'Inputs'!$B$29+'Inputs'!$B$31+'Inputs'!$B$32,'Inputs'!$B$30+'Inputs'!$B$31+'Inputs'!$B$32)/1000+'Inputs'!$B$21))/SQRT((((167-43)*MAX('Inputs'!$B$33,'Inputs'!$B$29+'Inputs'!$B$31+'Inputs'!$B$32,'Inputs'!$B$30+'Inputs'!$B$31+'Inputs'!$B$32)/1000+'Inputs'!$B$21))^2+('Inputs'!$B$8/2)^2)))-'Results'!B7*(1+'Inputs'!$B$24)*(0.5*((((167-43)*MAX('Inputs'!$B$33,'Inputs'!$B$29+'Inputs'!$B$31+'Inputs'!$B$32,'Inputs'!$B$30+'Inputs'!$B$31+'Inputs'!$B$32)/1000+'Inputs'!$B$21+'Inputs'!$B$9+'Inputs'!$B$10)+'Inputs'!$B$7)/SQRT((((167-43)*MAX('Inputs'!$B$33,'Inputs'!$B$29+'Inputs'!$B$31+'Inputs'!$B$32,'Inputs'!$B$30+'Inputs'!$B$31+'Inputs'!$B$32)/1000+'Inputs'!$B$21+'Inputs'!$B$9+'Inputs'!$B$10)+'Inputs'!$B$7)^2+('Inputs'!$B$6/2)^2)-(((167-43)*MAX('Inputs'!$B$33,'Inputs'!$B$29+'Inputs'!$B$31+'Inputs'!$B$32,'Inputs'!$B$30+'Inputs'!$B$31+'Inputs'!$B$32)/1000+'Inputs'!$B$21+'Inputs'!$B$9+'Inputs'!$B$10))/SQRT((((167-43)*MAX('Inputs'!$B$33,'Inputs'!$B$29+'Inputs'!$B$31+'Inputs'!$B$32,'Inputs'!$B$30+'Inputs'!$B$31+'Inputs'!$B$32)/1000+'Inputs'!$B$21+'Inputs'!$B$9+'Inputs'!$B$10))^2+('Inputs'!$B$6/2)^2))))*'Results'!$B$8))),"")</x:f>
        <x:v>213.6854688813625</x:v>
      </x:c>
      <x:c r="O167" t="n">
        <x:f>IF(AND(ISNUMBER('Results'!C7),ISNUMBER('Results'!B7),ISNUMBER('Results'!$B$8),ISNUMBER('Inputs'!$B$6),ISNUMBER('Inputs'!$B$7),ISNUMBER('Inputs'!$B$8),ISNUMBER('Inputs'!$B$9),ISNUMBER('Inputs'!$B$10),ISNUMBER('Inputs'!$B$21),ISNUMBER('Inputs'!$B$24),ISNUMBER('Inputs'!$B$28)),((('Results'!C7*(1+'Inputs'!$B$24)*(0.5*((((167-43)*MAX('Inputs'!$B$33,'Inputs'!$B$29+'Inputs'!$B$31+'Inputs'!$B$32,'Inputs'!$B$30+'Inputs'!$B$31+'Inputs'!$B$32)/1000+'Inputs'!$B$21)+'Inputs'!$B$9)/SQRT((((167-43)*MAX('Inputs'!$B$33,'Inputs'!$B$29+'Inputs'!$B$31+'Inputs'!$B$32,'Inputs'!$B$30+'Inputs'!$B$31+'Inputs'!$B$32)/1000+'Inputs'!$B$21)+'Inputs'!$B$9)^2+('Inputs'!$B$8/2)^2)-(((167-43)*MAX('Inputs'!$B$33,'Inputs'!$B$29+'Inputs'!$B$31+'Inputs'!$B$32,'Inputs'!$B$30+'Inputs'!$B$31+'Inputs'!$B$32)/1000+'Inputs'!$B$21))/SQRT((((167-43)*MAX('Inputs'!$B$33,'Inputs'!$B$29+'Inputs'!$B$31+'Inputs'!$B$32,'Inputs'!$B$30+'Inputs'!$B$31+'Inputs'!$B$32)/1000+'Inputs'!$B$21))^2+('Inputs'!$B$8/2)^2)))-'Results'!B7*(1-'Inputs'!$B$24)*(0.5*((((167-43)*MAX('Inputs'!$B$33,'Inputs'!$B$29+'Inputs'!$B$31+'Inputs'!$B$32,'Inputs'!$B$30+'Inputs'!$B$31+'Inputs'!$B$32)/1000+'Inputs'!$B$21+'Inputs'!$B$9+'Inputs'!$B$10)+'Inputs'!$B$7)/SQRT((((167-43)*MAX('Inputs'!$B$33,'Inputs'!$B$29+'Inputs'!$B$31+'Inputs'!$B$32,'Inputs'!$B$30+'Inputs'!$B$31+'Inputs'!$B$32)/1000+'Inputs'!$B$21+'Inputs'!$B$9+'Inputs'!$B$10)+'Inputs'!$B$7)^2+('Inputs'!$B$6/2)^2)-(((167-43)*MAX('Inputs'!$B$33,'Inputs'!$B$29+'Inputs'!$B$31+'Inputs'!$B$32,'Inputs'!$B$30+'Inputs'!$B$31+'Inputs'!$B$32)/1000+'Inputs'!$B$21+'Inputs'!$B$9+'Inputs'!$B$10))/SQRT((((167-43)*MAX('Inputs'!$B$33,'Inputs'!$B$29+'Inputs'!$B$31+'Inputs'!$B$32,'Inputs'!$B$30+'Inputs'!$B$31+'Inputs'!$B$32)/1000+'Inputs'!$B$21+'Inputs'!$B$9+'Inputs'!$B$10))^2+('Inputs'!$B$6/2)^2))))*'Results'!$B$8)+'Inputs'!$B$28*ABS((('Results'!C7*(1+'Inputs'!$B$24)*(0.5*((((167-43)*MAX('Inputs'!$B$33,'Inputs'!$B$29+'Inputs'!$B$31+'Inputs'!$B$32,'Inputs'!$B$30+'Inputs'!$B$31+'Inputs'!$B$32)/1000+'Inputs'!$B$21)+'Inputs'!$B$9)/SQRT((((167-43)*MAX('Inputs'!$B$33,'Inputs'!$B$29+'Inputs'!$B$31+'Inputs'!$B$32,'Inputs'!$B$30+'Inputs'!$B$31+'Inputs'!$B$32)/1000+'Inputs'!$B$21)+'Inputs'!$B$9)^2+('Inputs'!$B$8/2)^2)-(((167-43)*MAX('Inputs'!$B$33,'Inputs'!$B$29+'Inputs'!$B$31+'Inputs'!$B$32,'Inputs'!$B$30+'Inputs'!$B$31+'Inputs'!$B$32)/1000+'Inputs'!$B$21))/SQRT((((167-43)*MAX('Inputs'!$B$33,'Inputs'!$B$29+'Inputs'!$B$31+'Inputs'!$B$32,'Inputs'!$B$30+'Inputs'!$B$31+'Inputs'!$B$32)/1000+'Inputs'!$B$21))^2+('Inputs'!$B$8/2)^2)))-'Results'!B7*(1-'Inputs'!$B$24)*(0.5*((((167-43)*MAX('Inputs'!$B$33,'Inputs'!$B$29+'Inputs'!$B$31+'Inputs'!$B$32,'Inputs'!$B$30+'Inputs'!$B$31+'Inputs'!$B$32)/1000+'Inputs'!$B$21+'Inputs'!$B$9+'Inputs'!$B$10)+'Inputs'!$B$7)/SQRT((((167-43)*MAX('Inputs'!$B$33,'Inputs'!$B$29+'Inputs'!$B$31+'Inputs'!$B$32,'Inputs'!$B$30+'Inputs'!$B$31+'Inputs'!$B$32)/1000+'Inputs'!$B$21+'Inputs'!$B$9+'Inputs'!$B$10)+'Inputs'!$B$7)^2+('Inputs'!$B$6/2)^2)-(((167-43)*MAX('Inputs'!$B$33,'Inputs'!$B$29+'Inputs'!$B$31+'Inputs'!$B$32,'Inputs'!$B$30+'Inputs'!$B$31+'Inputs'!$B$32)/1000+'Inputs'!$B$21+'Inputs'!$B$9+'Inputs'!$B$10))/SQRT((((167-43)*MAX('Inputs'!$B$33,'Inputs'!$B$29+'Inputs'!$B$31+'Inputs'!$B$32,'Inputs'!$B$30+'Inputs'!$B$31+'Inputs'!$B$32)/1000+'Inputs'!$B$21+'Inputs'!$B$9+'Inputs'!$B$10))^2+('Inputs'!$B$6/2)^2))))*'Results'!$B$8))),"")</x:f>
        <x:v>251.64092249956408</x:v>
      </x:c>
      <x:c r="P167" t="n">
        <x:f>IF(AND(MAX(J167,J166)&gt;0,J167&gt;J166+0.00000001),1,0)</x:f>
        <x:v>0</x:v>
      </x:c>
      <x:c r="Q167" t="n">
        <x:f>IF(AND(MAX(K167,K166)&gt;0,K167&gt;K166+0.00000001),1,0)</x:f>
        <x:v>0</x:v>
      </x:c>
      <x:c r="R167" t="n">
        <x:f>IF(AND(MAX(L167,L166)&gt;0,L167&gt;L166+0.00000001),1,0)</x:f>
        <x:v>0</x:v>
      </x:c>
      <x:c r="S167" t="n">
        <x:f>IF(AND(MAX(M167,M166)&gt;0,M167&gt;M166+0.00000001),1,0)</x:f>
        <x:v>0</x:v>
      </x:c>
      <x:c r="T167" t="n">
        <x:f>IF(AND(MAX(N167,N166)&gt;0,N167&gt;N166+0.00000001),1,0)</x:f>
        <x:v>0</x:v>
      </x:c>
      <x:c r="U167" t="n">
        <x:f>IF(AND(MAX(O167,O166)&gt;0,O167&gt;O166+0.00000001),1,0)</x:f>
        <x:v>0</x:v>
      </x:c>
    </x:row>
    <x:row r="168">
      <x:c r="J168" t="n">
        <x:f>IF(AND(ISNUMBER('Results'!B7),ISNUMBER('Results'!C7),ISNUMBER('Results'!$B$8),ISNUMBER('Inputs'!$B$6),ISNUMBER('Inputs'!$B$7),ISNUMBER('Inputs'!$B$8),ISNUMBER('Inputs'!$B$9),ISNUMBER('Inputs'!$B$10),ISNUMBER('Inputs'!$B$21),ISNUMBER('Inputs'!$B$24),ISNUMBER('Inputs'!$B$28)),(('Results'!B7*(0.5*((((168-43)*MAX('Inputs'!$B$33,'Inputs'!$B$29+'Inputs'!$B$31+'Inputs'!$B$32,'Inputs'!$B$30+'Inputs'!$B$31+'Inputs'!$B$32)/1000+'Inputs'!$B$21)+'Inputs'!$B$7)/SQRT((((168-43)*MAX('Inputs'!$B$33,'Inputs'!$B$29+'Inputs'!$B$31+'Inputs'!$B$32,'Inputs'!$B$30+'Inputs'!$B$31+'Inputs'!$B$32)/1000+'Inputs'!$B$21)+'Inputs'!$B$7)^2+('Inputs'!$B$6/2)^2)-(((168-43)*MAX('Inputs'!$B$33,'Inputs'!$B$29+'Inputs'!$B$31+'Inputs'!$B$32,'Inputs'!$B$30+'Inputs'!$B$31+'Inputs'!$B$32)/1000+'Inputs'!$B$21))/SQRT((((168-43)*MAX('Inputs'!$B$33,'Inputs'!$B$29+'Inputs'!$B$31+'Inputs'!$B$32,'Inputs'!$B$30+'Inputs'!$B$31+'Inputs'!$B$32)/1000+'Inputs'!$B$21))^2+('Inputs'!$B$6/2)^2)))-'Results'!C7*(0.5*((((168-43)*MAX('Inputs'!$B$33,'Inputs'!$B$29+'Inputs'!$B$31+'Inputs'!$B$32,'Inputs'!$B$30+'Inputs'!$B$31+'Inputs'!$B$32)/1000+'Inputs'!$B$21+'Inputs'!$B$7+'Inputs'!$B$10)+'Inputs'!$B$9)/SQRT((((168-43)*MAX('Inputs'!$B$33,'Inputs'!$B$29+'Inputs'!$B$31+'Inputs'!$B$32,'Inputs'!$B$30+'Inputs'!$B$31+'Inputs'!$B$32)/1000+'Inputs'!$B$21+'Inputs'!$B$7+'Inputs'!$B$10)+'Inputs'!$B$9)^2+('Inputs'!$B$8/2)^2)-(((168-43)*MAX('Inputs'!$B$33,'Inputs'!$B$29+'Inputs'!$B$31+'Inputs'!$B$32,'Inputs'!$B$30+'Inputs'!$B$31+'Inputs'!$B$32)/1000+'Inputs'!$B$21+'Inputs'!$B$7+'Inputs'!$B$10))/SQRT((((168-43)*MAX('Inputs'!$B$33,'Inputs'!$B$29+'Inputs'!$B$31+'Inputs'!$B$32,'Inputs'!$B$30+'Inputs'!$B$31+'Inputs'!$B$32)/1000+'Inputs'!$B$21+'Inputs'!$B$7+'Inputs'!$B$10))^2+('Inputs'!$B$8/2)^2))))*'Results'!$B$8),"")</x:f>
        <x:v>235.5971190401791</x:v>
      </x:c>
      <x:c r="K168" t="n">
        <x:f>IF(AND(ISNUMBER('Results'!B7),ISNUMBER('Results'!C7),ISNUMBER('Results'!$B$8),ISNUMBER('Inputs'!$B$6),ISNUMBER('Inputs'!$B$7),ISNUMBER('Inputs'!$B$8),ISNUMBER('Inputs'!$B$9),ISNUMBER('Inputs'!$B$10),ISNUMBER('Inputs'!$B$21),ISNUMBER('Inputs'!$B$24),ISNUMBER('Inputs'!$B$28)),((('Results'!B7*(1-'Inputs'!$B$24)*(0.5*((((168-43)*MAX('Inputs'!$B$33,'Inputs'!$B$29+'Inputs'!$B$31+'Inputs'!$B$32,'Inputs'!$B$30+'Inputs'!$B$31+'Inputs'!$B$32)/1000+'Inputs'!$B$21)+'Inputs'!$B$7)/SQRT((((168-43)*MAX('Inputs'!$B$33,'Inputs'!$B$29+'Inputs'!$B$31+'Inputs'!$B$32,'Inputs'!$B$30+'Inputs'!$B$31+'Inputs'!$B$32)/1000+'Inputs'!$B$21)+'Inputs'!$B$7)^2+('Inputs'!$B$6/2)^2)-(((168-43)*MAX('Inputs'!$B$33,'Inputs'!$B$29+'Inputs'!$B$31+'Inputs'!$B$32,'Inputs'!$B$30+'Inputs'!$B$31+'Inputs'!$B$32)/1000+'Inputs'!$B$21))/SQRT((((168-43)*MAX('Inputs'!$B$33,'Inputs'!$B$29+'Inputs'!$B$31+'Inputs'!$B$32,'Inputs'!$B$30+'Inputs'!$B$31+'Inputs'!$B$32)/1000+'Inputs'!$B$21))^2+('Inputs'!$B$6/2)^2)))-'Results'!C7*(1+'Inputs'!$B$24)*(0.5*((((168-43)*MAX('Inputs'!$B$33,'Inputs'!$B$29+'Inputs'!$B$31+'Inputs'!$B$32,'Inputs'!$B$30+'Inputs'!$B$31+'Inputs'!$B$32)/1000+'Inputs'!$B$21+'Inputs'!$B$7+'Inputs'!$B$10)+'Inputs'!$B$9)/SQRT((((168-43)*MAX('Inputs'!$B$33,'Inputs'!$B$29+'Inputs'!$B$31+'Inputs'!$B$32,'Inputs'!$B$30+'Inputs'!$B$31+'Inputs'!$B$32)/1000+'Inputs'!$B$21+'Inputs'!$B$7+'Inputs'!$B$10)+'Inputs'!$B$9)^2+('Inputs'!$B$8/2)^2)-(((168-43)*MAX('Inputs'!$B$33,'Inputs'!$B$29+'Inputs'!$B$31+'Inputs'!$B$32,'Inputs'!$B$30+'Inputs'!$B$31+'Inputs'!$B$32)/1000+'Inputs'!$B$21+'Inputs'!$B$7+'Inputs'!$B$10))/SQRT((((168-43)*MAX('Inputs'!$B$33,'Inputs'!$B$29+'Inputs'!$B$31+'Inputs'!$B$32,'Inputs'!$B$30+'Inputs'!$B$31+'Inputs'!$B$32)/1000+'Inputs'!$B$21+'Inputs'!$B$7+'Inputs'!$B$10))^2+('Inputs'!$B$8/2)^2))))*'Results'!$B$8)-'Inputs'!$B$28*ABS((('Results'!B7*(1-'Inputs'!$B$24)*(0.5*((((168-43)*MAX('Inputs'!$B$33,'Inputs'!$B$29+'Inputs'!$B$31+'Inputs'!$B$32,'Inputs'!$B$30+'Inputs'!$B$31+'Inputs'!$B$32)/1000+'Inputs'!$B$21)+'Inputs'!$B$7)/SQRT((((168-43)*MAX('Inputs'!$B$33,'Inputs'!$B$29+'Inputs'!$B$31+'Inputs'!$B$32,'Inputs'!$B$30+'Inputs'!$B$31+'Inputs'!$B$32)/1000+'Inputs'!$B$21)+'Inputs'!$B$7)^2+('Inputs'!$B$6/2)^2)-(((168-43)*MAX('Inputs'!$B$33,'Inputs'!$B$29+'Inputs'!$B$31+'Inputs'!$B$32,'Inputs'!$B$30+'Inputs'!$B$31+'Inputs'!$B$32)/1000+'Inputs'!$B$21))/SQRT((((168-43)*MAX('Inputs'!$B$33,'Inputs'!$B$29+'Inputs'!$B$31+'Inputs'!$B$32,'Inputs'!$B$30+'Inputs'!$B$31+'Inputs'!$B$32)/1000+'Inputs'!$B$21))^2+('Inputs'!$B$6/2)^2)))-'Results'!C7*(1+'Inputs'!$B$24)*(0.5*((((168-43)*MAX('Inputs'!$B$33,'Inputs'!$B$29+'Inputs'!$B$31+'Inputs'!$B$32,'Inputs'!$B$30+'Inputs'!$B$31+'Inputs'!$B$32)/1000+'Inputs'!$B$21+'Inputs'!$B$7+'Inputs'!$B$10)+'Inputs'!$B$9)/SQRT((((168-43)*MAX('Inputs'!$B$33,'Inputs'!$B$29+'Inputs'!$B$31+'Inputs'!$B$32,'Inputs'!$B$30+'Inputs'!$B$31+'Inputs'!$B$32)/1000+'Inputs'!$B$21+'Inputs'!$B$7+'Inputs'!$B$10)+'Inputs'!$B$9)^2+('Inputs'!$B$8/2)^2)-(((168-43)*MAX('Inputs'!$B$33,'Inputs'!$B$29+'Inputs'!$B$31+'Inputs'!$B$32,'Inputs'!$B$30+'Inputs'!$B$31+'Inputs'!$B$32)/1000+'Inputs'!$B$21+'Inputs'!$B$7+'Inputs'!$B$10))/SQRT((((168-43)*MAX('Inputs'!$B$33,'Inputs'!$B$29+'Inputs'!$B$31+'Inputs'!$B$32,'Inputs'!$B$30+'Inputs'!$B$31+'Inputs'!$B$32)/1000+'Inputs'!$B$21+'Inputs'!$B$7+'Inputs'!$B$10))^2+('Inputs'!$B$8/2)^2))))*'Results'!$B$8))),"")</x:f>
        <x:v>216.83811234954774</x:v>
      </x:c>
      <x:c r="L168" t="n">
        <x:f>IF(AND(ISNUMBER('Results'!B7),ISNUMBER('Results'!C7),ISNUMBER('Results'!$B$8),ISNUMBER('Inputs'!$B$6),ISNUMBER('Inputs'!$B$7),ISNUMBER('Inputs'!$B$8),ISNUMBER('Inputs'!$B$9),ISNUMBER('Inputs'!$B$10),ISNUMBER('Inputs'!$B$21),ISNUMBER('Inputs'!$B$24),ISNUMBER('Inputs'!$B$28)),((('Results'!B7*(1+'Inputs'!$B$24)*(0.5*((((168-43)*MAX('Inputs'!$B$33,'Inputs'!$B$29+'Inputs'!$B$31+'Inputs'!$B$32,'Inputs'!$B$30+'Inputs'!$B$31+'Inputs'!$B$32)/1000+'Inputs'!$B$21)+'Inputs'!$B$7)/SQRT((((168-43)*MAX('Inputs'!$B$33,'Inputs'!$B$29+'Inputs'!$B$31+'Inputs'!$B$32,'Inputs'!$B$30+'Inputs'!$B$31+'Inputs'!$B$32)/1000+'Inputs'!$B$21)+'Inputs'!$B$7)^2+('Inputs'!$B$6/2)^2)-(((168-43)*MAX('Inputs'!$B$33,'Inputs'!$B$29+'Inputs'!$B$31+'Inputs'!$B$32,'Inputs'!$B$30+'Inputs'!$B$31+'Inputs'!$B$32)/1000+'Inputs'!$B$21))/SQRT((((168-43)*MAX('Inputs'!$B$33,'Inputs'!$B$29+'Inputs'!$B$31+'Inputs'!$B$32,'Inputs'!$B$30+'Inputs'!$B$31+'Inputs'!$B$32)/1000+'Inputs'!$B$21))^2+('Inputs'!$B$6/2)^2)))-'Results'!C7*(1-'Inputs'!$B$24)*(0.5*((((168-43)*MAX('Inputs'!$B$33,'Inputs'!$B$29+'Inputs'!$B$31+'Inputs'!$B$32,'Inputs'!$B$30+'Inputs'!$B$31+'Inputs'!$B$32)/1000+'Inputs'!$B$21+'Inputs'!$B$7+'Inputs'!$B$10)+'Inputs'!$B$9)/SQRT((((168-43)*MAX('Inputs'!$B$33,'Inputs'!$B$29+'Inputs'!$B$31+'Inputs'!$B$32,'Inputs'!$B$30+'Inputs'!$B$31+'Inputs'!$B$32)/1000+'Inputs'!$B$21+'Inputs'!$B$7+'Inputs'!$B$10)+'Inputs'!$B$9)^2+('Inputs'!$B$8/2)^2)-(((168-43)*MAX('Inputs'!$B$33,'Inputs'!$B$29+'Inputs'!$B$31+'Inputs'!$B$32,'Inputs'!$B$30+'Inputs'!$B$31+'Inputs'!$B$32)/1000+'Inputs'!$B$21+'Inputs'!$B$7+'Inputs'!$B$10))/SQRT((((168-43)*MAX('Inputs'!$B$33,'Inputs'!$B$29+'Inputs'!$B$31+'Inputs'!$B$32,'Inputs'!$B$30+'Inputs'!$B$31+'Inputs'!$B$32)/1000+'Inputs'!$B$21+'Inputs'!$B$7+'Inputs'!$B$10))^2+('Inputs'!$B$8/2)^2))))*'Results'!$B$8)+'Inputs'!$B$28*ABS((('Results'!B7*(1+'Inputs'!$B$24)*(0.5*((((168-43)*MAX('Inputs'!$B$33,'Inputs'!$B$29+'Inputs'!$B$31+'Inputs'!$B$32,'Inputs'!$B$30+'Inputs'!$B$31+'Inputs'!$B$32)/1000+'Inputs'!$B$21)+'Inputs'!$B$7)/SQRT((((168-43)*MAX('Inputs'!$B$33,'Inputs'!$B$29+'Inputs'!$B$31+'Inputs'!$B$32,'Inputs'!$B$30+'Inputs'!$B$31+'Inputs'!$B$32)/1000+'Inputs'!$B$21)+'Inputs'!$B$7)^2+('Inputs'!$B$6/2)^2)-(((168-43)*MAX('Inputs'!$B$33,'Inputs'!$B$29+'Inputs'!$B$31+'Inputs'!$B$32,'Inputs'!$B$30+'Inputs'!$B$31+'Inputs'!$B$32)/1000+'Inputs'!$B$21))/SQRT((((168-43)*MAX('Inputs'!$B$33,'Inputs'!$B$29+'Inputs'!$B$31+'Inputs'!$B$32,'Inputs'!$B$30+'Inputs'!$B$31+'Inputs'!$B$32)/1000+'Inputs'!$B$21))^2+('Inputs'!$B$6/2)^2)))-'Results'!C7*(1-'Inputs'!$B$24)*(0.5*((((168-43)*MAX('Inputs'!$B$33,'Inputs'!$B$29+'Inputs'!$B$31+'Inputs'!$B$32,'Inputs'!$B$30+'Inputs'!$B$31+'Inputs'!$B$32)/1000+'Inputs'!$B$21+'Inputs'!$B$7+'Inputs'!$B$10)+'Inputs'!$B$9)/SQRT((((168-43)*MAX('Inputs'!$B$33,'Inputs'!$B$29+'Inputs'!$B$31+'Inputs'!$B$32,'Inputs'!$B$30+'Inputs'!$B$31+'Inputs'!$B$32)/1000+'Inputs'!$B$21+'Inputs'!$B$7+'Inputs'!$B$10)+'Inputs'!$B$9)^2+('Inputs'!$B$8/2)^2)-(((168-43)*MAX('Inputs'!$B$33,'Inputs'!$B$29+'Inputs'!$B$31+'Inputs'!$B$32,'Inputs'!$B$30+'Inputs'!$B$31+'Inputs'!$B$32)/1000+'Inputs'!$B$21+'Inputs'!$B$7+'Inputs'!$B$10))/SQRT((((168-43)*MAX('Inputs'!$B$33,'Inputs'!$B$29+'Inputs'!$B$31+'Inputs'!$B$32,'Inputs'!$B$30+'Inputs'!$B$31+'Inputs'!$B$32)/1000+'Inputs'!$B$21+'Inputs'!$B$7+'Inputs'!$B$10))^2+('Inputs'!$B$8/2)^2))))*'Results'!$B$8))),"")</x:f>
        <x:v>255.0907731769813</x:v>
      </x:c>
      <x:c r="M168" t="n">
        <x:f>IF(AND(ISNUMBER('Results'!C7),ISNUMBER('Results'!B7),ISNUMBER('Results'!$B$8),ISNUMBER('Inputs'!$B$6),ISNUMBER('Inputs'!$B$7),ISNUMBER('Inputs'!$B$8),ISNUMBER('Inputs'!$B$9),ISNUMBER('Inputs'!$B$10),ISNUMBER('Inputs'!$B$21),ISNUMBER('Inputs'!$B$24),ISNUMBER('Inputs'!$B$28)),(('Results'!C7*(0.5*((((168-43)*MAX('Inputs'!$B$33,'Inputs'!$B$29+'Inputs'!$B$31+'Inputs'!$B$32,'Inputs'!$B$30+'Inputs'!$B$31+'Inputs'!$B$32)/1000+'Inputs'!$B$21)+'Inputs'!$B$9)/SQRT((((168-43)*MAX('Inputs'!$B$33,'Inputs'!$B$29+'Inputs'!$B$31+'Inputs'!$B$32,'Inputs'!$B$30+'Inputs'!$B$31+'Inputs'!$B$32)/1000+'Inputs'!$B$21)+'Inputs'!$B$9)^2+('Inputs'!$B$8/2)^2)-(((168-43)*MAX('Inputs'!$B$33,'Inputs'!$B$29+'Inputs'!$B$31+'Inputs'!$B$32,'Inputs'!$B$30+'Inputs'!$B$31+'Inputs'!$B$32)/1000+'Inputs'!$B$21))/SQRT((((168-43)*MAX('Inputs'!$B$33,'Inputs'!$B$29+'Inputs'!$B$31+'Inputs'!$B$32,'Inputs'!$B$30+'Inputs'!$B$31+'Inputs'!$B$32)/1000+'Inputs'!$B$21))^2+('Inputs'!$B$8/2)^2)))-'Results'!B7*(0.5*((((168-43)*MAX('Inputs'!$B$33,'Inputs'!$B$29+'Inputs'!$B$31+'Inputs'!$B$32,'Inputs'!$B$30+'Inputs'!$B$31+'Inputs'!$B$32)/1000+'Inputs'!$B$21+'Inputs'!$B$9+'Inputs'!$B$10)+'Inputs'!$B$7)/SQRT((((168-43)*MAX('Inputs'!$B$33,'Inputs'!$B$29+'Inputs'!$B$31+'Inputs'!$B$32,'Inputs'!$B$30+'Inputs'!$B$31+'Inputs'!$B$32)/1000+'Inputs'!$B$21+'Inputs'!$B$9+'Inputs'!$B$10)+'Inputs'!$B$7)^2+('Inputs'!$B$6/2)^2)-(((168-43)*MAX('Inputs'!$B$33,'Inputs'!$B$29+'Inputs'!$B$31+'Inputs'!$B$32,'Inputs'!$B$30+'Inputs'!$B$31+'Inputs'!$B$32)/1000+'Inputs'!$B$21+'Inputs'!$B$9+'Inputs'!$B$10))/SQRT((((168-43)*MAX('Inputs'!$B$33,'Inputs'!$B$29+'Inputs'!$B$31+'Inputs'!$B$32,'Inputs'!$B$30+'Inputs'!$B$31+'Inputs'!$B$32)/1000+'Inputs'!$B$21+'Inputs'!$B$9+'Inputs'!$B$10))^2+('Inputs'!$B$6/2)^2))))*'Results'!$B$8),"")</x:f>
        <x:v>228.2237615980539</x:v>
      </x:c>
      <x:c r="N168" t="n">
        <x:f>IF(AND(ISNUMBER('Results'!C7),ISNUMBER('Results'!B7),ISNUMBER('Results'!$B$8),ISNUMBER('Inputs'!$B$6),ISNUMBER('Inputs'!$B$7),ISNUMBER('Inputs'!$B$8),ISNUMBER('Inputs'!$B$9),ISNUMBER('Inputs'!$B$10),ISNUMBER('Inputs'!$B$21),ISNUMBER('Inputs'!$B$24),ISNUMBER('Inputs'!$B$28)),((('Results'!C7*(1-'Inputs'!$B$24)*(0.5*((((168-43)*MAX('Inputs'!$B$33,'Inputs'!$B$29+'Inputs'!$B$31+'Inputs'!$B$32,'Inputs'!$B$30+'Inputs'!$B$31+'Inputs'!$B$32)/1000+'Inputs'!$B$21)+'Inputs'!$B$9)/SQRT((((168-43)*MAX('Inputs'!$B$33,'Inputs'!$B$29+'Inputs'!$B$31+'Inputs'!$B$32,'Inputs'!$B$30+'Inputs'!$B$31+'Inputs'!$B$32)/1000+'Inputs'!$B$21)+'Inputs'!$B$9)^2+('Inputs'!$B$8/2)^2)-(((168-43)*MAX('Inputs'!$B$33,'Inputs'!$B$29+'Inputs'!$B$31+'Inputs'!$B$32,'Inputs'!$B$30+'Inputs'!$B$31+'Inputs'!$B$32)/1000+'Inputs'!$B$21))/SQRT((((168-43)*MAX('Inputs'!$B$33,'Inputs'!$B$29+'Inputs'!$B$31+'Inputs'!$B$32,'Inputs'!$B$30+'Inputs'!$B$31+'Inputs'!$B$32)/1000+'Inputs'!$B$21))^2+('Inputs'!$B$8/2)^2)))-'Results'!B7*(1+'Inputs'!$B$24)*(0.5*((((168-43)*MAX('Inputs'!$B$33,'Inputs'!$B$29+'Inputs'!$B$31+'Inputs'!$B$32,'Inputs'!$B$30+'Inputs'!$B$31+'Inputs'!$B$32)/1000+'Inputs'!$B$21+'Inputs'!$B$9+'Inputs'!$B$10)+'Inputs'!$B$7)/SQRT((((168-43)*MAX('Inputs'!$B$33,'Inputs'!$B$29+'Inputs'!$B$31+'Inputs'!$B$32,'Inputs'!$B$30+'Inputs'!$B$31+'Inputs'!$B$32)/1000+'Inputs'!$B$21+'Inputs'!$B$9+'Inputs'!$B$10)+'Inputs'!$B$7)^2+('Inputs'!$B$6/2)^2)-(((168-43)*MAX('Inputs'!$B$33,'Inputs'!$B$29+'Inputs'!$B$31+'Inputs'!$B$32,'Inputs'!$B$30+'Inputs'!$B$31+'Inputs'!$B$32)/1000+'Inputs'!$B$21+'Inputs'!$B$9+'Inputs'!$B$10))/SQRT((((168-43)*MAX('Inputs'!$B$33,'Inputs'!$B$29+'Inputs'!$B$31+'Inputs'!$B$32,'Inputs'!$B$30+'Inputs'!$B$31+'Inputs'!$B$32)/1000+'Inputs'!$B$21+'Inputs'!$B$9+'Inputs'!$B$10))^2+('Inputs'!$B$6/2)^2))))*'Results'!$B$8)-'Inputs'!$B$28*ABS((('Results'!C7*(1-'Inputs'!$B$24)*(0.5*((((168-43)*MAX('Inputs'!$B$33,'Inputs'!$B$29+'Inputs'!$B$31+'Inputs'!$B$32,'Inputs'!$B$30+'Inputs'!$B$31+'Inputs'!$B$32)/1000+'Inputs'!$B$21)+'Inputs'!$B$9)/SQRT((((168-43)*MAX('Inputs'!$B$33,'Inputs'!$B$29+'Inputs'!$B$31+'Inputs'!$B$32,'Inputs'!$B$30+'Inputs'!$B$31+'Inputs'!$B$32)/1000+'Inputs'!$B$21)+'Inputs'!$B$9)^2+('Inputs'!$B$8/2)^2)-(((168-43)*MAX('Inputs'!$B$33,'Inputs'!$B$29+'Inputs'!$B$31+'Inputs'!$B$32,'Inputs'!$B$30+'Inputs'!$B$31+'Inputs'!$B$32)/1000+'Inputs'!$B$21))/SQRT((((168-43)*MAX('Inputs'!$B$33,'Inputs'!$B$29+'Inputs'!$B$31+'Inputs'!$B$32,'Inputs'!$B$30+'Inputs'!$B$31+'Inputs'!$B$32)/1000+'Inputs'!$B$21))^2+('Inputs'!$B$8/2)^2)))-'Results'!B7*(1+'Inputs'!$B$24)*(0.5*((((168-43)*MAX('Inputs'!$B$33,'Inputs'!$B$29+'Inputs'!$B$31+'Inputs'!$B$32,'Inputs'!$B$30+'Inputs'!$B$31+'Inputs'!$B$32)/1000+'Inputs'!$B$21+'Inputs'!$B$9+'Inputs'!$B$10)+'Inputs'!$B$7)/SQRT((((168-43)*MAX('Inputs'!$B$33,'Inputs'!$B$29+'Inputs'!$B$31+'Inputs'!$B$32,'Inputs'!$B$30+'Inputs'!$B$31+'Inputs'!$B$32)/1000+'Inputs'!$B$21+'Inputs'!$B$9+'Inputs'!$B$10)+'Inputs'!$B$7)^2+('Inputs'!$B$6/2)^2)-(((168-43)*MAX('Inputs'!$B$33,'Inputs'!$B$29+'Inputs'!$B$31+'Inputs'!$B$32,'Inputs'!$B$30+'Inputs'!$B$31+'Inputs'!$B$32)/1000+'Inputs'!$B$21+'Inputs'!$B$9+'Inputs'!$B$10))/SQRT((((168-43)*MAX('Inputs'!$B$33,'Inputs'!$B$29+'Inputs'!$B$31+'Inputs'!$B$32,'Inputs'!$B$30+'Inputs'!$B$31+'Inputs'!$B$32)/1000+'Inputs'!$B$21+'Inputs'!$B$9+'Inputs'!$B$10))^2+('Inputs'!$B$6/2)^2))))*'Results'!$B$8))),"")</x:f>
        <x:v>209.92243890813614</x:v>
      </x:c>
      <x:c r="O168" t="n">
        <x:f>IF(AND(ISNUMBER('Results'!C7),ISNUMBER('Results'!B7),ISNUMBER('Results'!$B$8),ISNUMBER('Inputs'!$B$6),ISNUMBER('Inputs'!$B$7),ISNUMBER('Inputs'!$B$8),ISNUMBER('Inputs'!$B$9),ISNUMBER('Inputs'!$B$10),ISNUMBER('Inputs'!$B$21),ISNUMBER('Inputs'!$B$24),ISNUMBER('Inputs'!$B$28)),((('Results'!C7*(1+'Inputs'!$B$24)*(0.5*((((168-43)*MAX('Inputs'!$B$33,'Inputs'!$B$29+'Inputs'!$B$31+'Inputs'!$B$32,'Inputs'!$B$30+'Inputs'!$B$31+'Inputs'!$B$32)/1000+'Inputs'!$B$21)+'Inputs'!$B$9)/SQRT((((168-43)*MAX('Inputs'!$B$33,'Inputs'!$B$29+'Inputs'!$B$31+'Inputs'!$B$32,'Inputs'!$B$30+'Inputs'!$B$31+'Inputs'!$B$32)/1000+'Inputs'!$B$21)+'Inputs'!$B$9)^2+('Inputs'!$B$8/2)^2)-(((168-43)*MAX('Inputs'!$B$33,'Inputs'!$B$29+'Inputs'!$B$31+'Inputs'!$B$32,'Inputs'!$B$30+'Inputs'!$B$31+'Inputs'!$B$32)/1000+'Inputs'!$B$21))/SQRT((((168-43)*MAX('Inputs'!$B$33,'Inputs'!$B$29+'Inputs'!$B$31+'Inputs'!$B$32,'Inputs'!$B$30+'Inputs'!$B$31+'Inputs'!$B$32)/1000+'Inputs'!$B$21))^2+('Inputs'!$B$8/2)^2)))-'Results'!B7*(1-'Inputs'!$B$24)*(0.5*((((168-43)*MAX('Inputs'!$B$33,'Inputs'!$B$29+'Inputs'!$B$31+'Inputs'!$B$32,'Inputs'!$B$30+'Inputs'!$B$31+'Inputs'!$B$32)/1000+'Inputs'!$B$21+'Inputs'!$B$9+'Inputs'!$B$10)+'Inputs'!$B$7)/SQRT((((168-43)*MAX('Inputs'!$B$33,'Inputs'!$B$29+'Inputs'!$B$31+'Inputs'!$B$32,'Inputs'!$B$30+'Inputs'!$B$31+'Inputs'!$B$32)/1000+'Inputs'!$B$21+'Inputs'!$B$9+'Inputs'!$B$10)+'Inputs'!$B$7)^2+('Inputs'!$B$6/2)^2)-(((168-43)*MAX('Inputs'!$B$33,'Inputs'!$B$29+'Inputs'!$B$31+'Inputs'!$B$32,'Inputs'!$B$30+'Inputs'!$B$31+'Inputs'!$B$32)/1000+'Inputs'!$B$21+'Inputs'!$B$9+'Inputs'!$B$10))/SQRT((((168-43)*MAX('Inputs'!$B$33,'Inputs'!$B$29+'Inputs'!$B$31+'Inputs'!$B$32,'Inputs'!$B$30+'Inputs'!$B$31+'Inputs'!$B$32)/1000+'Inputs'!$B$21+'Inputs'!$B$9+'Inputs'!$B$10))^2+('Inputs'!$B$6/2)^2))))*'Results'!$B$8)+'Inputs'!$B$28*ABS((('Results'!C7*(1+'Inputs'!$B$24)*(0.5*((((168-43)*MAX('Inputs'!$B$33,'Inputs'!$B$29+'Inputs'!$B$31+'Inputs'!$B$32,'Inputs'!$B$30+'Inputs'!$B$31+'Inputs'!$B$32)/1000+'Inputs'!$B$21)+'Inputs'!$B$9)/SQRT((((168-43)*MAX('Inputs'!$B$33,'Inputs'!$B$29+'Inputs'!$B$31+'Inputs'!$B$32,'Inputs'!$B$30+'Inputs'!$B$31+'Inputs'!$B$32)/1000+'Inputs'!$B$21)+'Inputs'!$B$9)^2+('Inputs'!$B$8/2)^2)-(((168-43)*MAX('Inputs'!$B$33,'Inputs'!$B$29+'Inputs'!$B$31+'Inputs'!$B$32,'Inputs'!$B$30+'Inputs'!$B$31+'Inputs'!$B$32)/1000+'Inputs'!$B$21))/SQRT((((168-43)*MAX('Inputs'!$B$33,'Inputs'!$B$29+'Inputs'!$B$31+'Inputs'!$B$32,'Inputs'!$B$30+'Inputs'!$B$31+'Inputs'!$B$32)/1000+'Inputs'!$B$21))^2+('Inputs'!$B$8/2)^2)))-'Results'!B7*(1-'Inputs'!$B$24)*(0.5*((((168-43)*MAX('Inputs'!$B$33,'Inputs'!$B$29+'Inputs'!$B$31+'Inputs'!$B$32,'Inputs'!$B$30+'Inputs'!$B$31+'Inputs'!$B$32)/1000+'Inputs'!$B$21+'Inputs'!$B$9+'Inputs'!$B$10)+'Inputs'!$B$7)/SQRT((((168-43)*MAX('Inputs'!$B$33,'Inputs'!$B$29+'Inputs'!$B$31+'Inputs'!$B$32,'Inputs'!$B$30+'Inputs'!$B$31+'Inputs'!$B$32)/1000+'Inputs'!$B$21+'Inputs'!$B$9+'Inputs'!$B$10)+'Inputs'!$B$7)^2+('Inputs'!$B$6/2)^2)-(((168-43)*MAX('Inputs'!$B$33,'Inputs'!$B$29+'Inputs'!$B$31+'Inputs'!$B$32,'Inputs'!$B$30+'Inputs'!$B$31+'Inputs'!$B$32)/1000+'Inputs'!$B$21+'Inputs'!$B$9+'Inputs'!$B$10))/SQRT((((168-43)*MAX('Inputs'!$B$33,'Inputs'!$B$29+'Inputs'!$B$31+'Inputs'!$B$32,'Inputs'!$B$30+'Inputs'!$B$31+'Inputs'!$B$32)/1000+'Inputs'!$B$21+'Inputs'!$B$9+'Inputs'!$B$10))^2+('Inputs'!$B$6/2)^2))))*'Results'!$B$8))),"")</x:f>
        <x:v>247.25036161534172</x:v>
      </x:c>
      <x:c r="P168" t="n">
        <x:f>IF(AND(MAX(J168,J167)&gt;0,J168&gt;J167+0.00000001),1,0)</x:f>
        <x:v>0</x:v>
      </x:c>
      <x:c r="Q168" t="n">
        <x:f>IF(AND(MAX(K168,K167)&gt;0,K168&gt;K167+0.00000001),1,0)</x:f>
        <x:v>0</x:v>
      </x:c>
      <x:c r="R168" t="n">
        <x:f>IF(AND(MAX(L168,L167)&gt;0,L168&gt;L167+0.00000001),1,0)</x:f>
        <x:v>0</x:v>
      </x:c>
      <x:c r="S168" t="n">
        <x:f>IF(AND(MAX(M168,M167)&gt;0,M168&gt;M167+0.00000001),1,0)</x:f>
        <x:v>0</x:v>
      </x:c>
      <x:c r="T168" t="n">
        <x:f>IF(AND(MAX(N168,N167)&gt;0,N168&gt;N167+0.00000001),1,0)</x:f>
        <x:v>0</x:v>
      </x:c>
      <x:c r="U168" t="n">
        <x:f>IF(AND(MAX(O168,O167)&gt;0,O168&gt;O167+0.00000001),1,0)</x:f>
        <x:v>0</x:v>
      </x:c>
    </x:row>
    <x:row r="169">
      <x:c r="J169" t="n">
        <x:f>IF(AND(ISNUMBER('Results'!B7),ISNUMBER('Results'!C7),ISNUMBER('Results'!$B$8),ISNUMBER('Inputs'!$B$6),ISNUMBER('Inputs'!$B$7),ISNUMBER('Inputs'!$B$8),ISNUMBER('Inputs'!$B$9),ISNUMBER('Inputs'!$B$10),ISNUMBER('Inputs'!$B$21),ISNUMBER('Inputs'!$B$24),ISNUMBER('Inputs'!$B$28)),(('Results'!B7*(0.5*((((169-43)*MAX('Inputs'!$B$33,'Inputs'!$B$29+'Inputs'!$B$31+'Inputs'!$B$32,'Inputs'!$B$30+'Inputs'!$B$31+'Inputs'!$B$32)/1000+'Inputs'!$B$21)+'Inputs'!$B$7)/SQRT((((169-43)*MAX('Inputs'!$B$33,'Inputs'!$B$29+'Inputs'!$B$31+'Inputs'!$B$32,'Inputs'!$B$30+'Inputs'!$B$31+'Inputs'!$B$32)/1000+'Inputs'!$B$21)+'Inputs'!$B$7)^2+('Inputs'!$B$6/2)^2)-(((169-43)*MAX('Inputs'!$B$33,'Inputs'!$B$29+'Inputs'!$B$31+'Inputs'!$B$32,'Inputs'!$B$30+'Inputs'!$B$31+'Inputs'!$B$32)/1000+'Inputs'!$B$21))/SQRT((((169-43)*MAX('Inputs'!$B$33,'Inputs'!$B$29+'Inputs'!$B$31+'Inputs'!$B$32,'Inputs'!$B$30+'Inputs'!$B$31+'Inputs'!$B$32)/1000+'Inputs'!$B$21))^2+('Inputs'!$B$6/2)^2)))-'Results'!C7*(0.5*((((169-43)*MAX('Inputs'!$B$33,'Inputs'!$B$29+'Inputs'!$B$31+'Inputs'!$B$32,'Inputs'!$B$30+'Inputs'!$B$31+'Inputs'!$B$32)/1000+'Inputs'!$B$21+'Inputs'!$B$7+'Inputs'!$B$10)+'Inputs'!$B$9)/SQRT((((169-43)*MAX('Inputs'!$B$33,'Inputs'!$B$29+'Inputs'!$B$31+'Inputs'!$B$32,'Inputs'!$B$30+'Inputs'!$B$31+'Inputs'!$B$32)/1000+'Inputs'!$B$21+'Inputs'!$B$7+'Inputs'!$B$10)+'Inputs'!$B$9)^2+('Inputs'!$B$8/2)^2)-(((169-43)*MAX('Inputs'!$B$33,'Inputs'!$B$29+'Inputs'!$B$31+'Inputs'!$B$32,'Inputs'!$B$30+'Inputs'!$B$31+'Inputs'!$B$32)/1000+'Inputs'!$B$21+'Inputs'!$B$7+'Inputs'!$B$10))/SQRT((((169-43)*MAX('Inputs'!$B$33,'Inputs'!$B$29+'Inputs'!$B$31+'Inputs'!$B$32,'Inputs'!$B$30+'Inputs'!$B$31+'Inputs'!$B$32)/1000+'Inputs'!$B$21+'Inputs'!$B$7+'Inputs'!$B$10))^2+('Inputs'!$B$8/2)^2))))*'Results'!$B$8),"")</x:f>
        <x:v>231.4995054722164</x:v>
      </x:c>
      <x:c r="K169" t="n">
        <x:f>IF(AND(ISNUMBER('Results'!B7),ISNUMBER('Results'!C7),ISNUMBER('Results'!$B$8),ISNUMBER('Inputs'!$B$6),ISNUMBER('Inputs'!$B$7),ISNUMBER('Inputs'!$B$8),ISNUMBER('Inputs'!$B$9),ISNUMBER('Inputs'!$B$10),ISNUMBER('Inputs'!$B$21),ISNUMBER('Inputs'!$B$24),ISNUMBER('Inputs'!$B$28)),((('Results'!B7*(1-'Inputs'!$B$24)*(0.5*((((169-43)*MAX('Inputs'!$B$33,'Inputs'!$B$29+'Inputs'!$B$31+'Inputs'!$B$32,'Inputs'!$B$30+'Inputs'!$B$31+'Inputs'!$B$32)/1000+'Inputs'!$B$21)+'Inputs'!$B$7)/SQRT((((169-43)*MAX('Inputs'!$B$33,'Inputs'!$B$29+'Inputs'!$B$31+'Inputs'!$B$32,'Inputs'!$B$30+'Inputs'!$B$31+'Inputs'!$B$32)/1000+'Inputs'!$B$21)+'Inputs'!$B$7)^2+('Inputs'!$B$6/2)^2)-(((169-43)*MAX('Inputs'!$B$33,'Inputs'!$B$29+'Inputs'!$B$31+'Inputs'!$B$32,'Inputs'!$B$30+'Inputs'!$B$31+'Inputs'!$B$32)/1000+'Inputs'!$B$21))/SQRT((((169-43)*MAX('Inputs'!$B$33,'Inputs'!$B$29+'Inputs'!$B$31+'Inputs'!$B$32,'Inputs'!$B$30+'Inputs'!$B$31+'Inputs'!$B$32)/1000+'Inputs'!$B$21))^2+('Inputs'!$B$6/2)^2)))-'Results'!C7*(1+'Inputs'!$B$24)*(0.5*((((169-43)*MAX('Inputs'!$B$33,'Inputs'!$B$29+'Inputs'!$B$31+'Inputs'!$B$32,'Inputs'!$B$30+'Inputs'!$B$31+'Inputs'!$B$32)/1000+'Inputs'!$B$21+'Inputs'!$B$7+'Inputs'!$B$10)+'Inputs'!$B$9)/SQRT((((169-43)*MAX('Inputs'!$B$33,'Inputs'!$B$29+'Inputs'!$B$31+'Inputs'!$B$32,'Inputs'!$B$30+'Inputs'!$B$31+'Inputs'!$B$32)/1000+'Inputs'!$B$21+'Inputs'!$B$7+'Inputs'!$B$10)+'Inputs'!$B$9)^2+('Inputs'!$B$8/2)^2)-(((169-43)*MAX('Inputs'!$B$33,'Inputs'!$B$29+'Inputs'!$B$31+'Inputs'!$B$32,'Inputs'!$B$30+'Inputs'!$B$31+'Inputs'!$B$32)/1000+'Inputs'!$B$21+'Inputs'!$B$7+'Inputs'!$B$10))/SQRT((((169-43)*MAX('Inputs'!$B$33,'Inputs'!$B$29+'Inputs'!$B$31+'Inputs'!$B$32,'Inputs'!$B$30+'Inputs'!$B$31+'Inputs'!$B$32)/1000+'Inputs'!$B$21+'Inputs'!$B$7+'Inputs'!$B$10))^2+('Inputs'!$B$8/2)^2))))*'Results'!$B$8)-'Inputs'!$B$28*ABS((('Results'!B7*(1-'Inputs'!$B$24)*(0.5*((((169-43)*MAX('Inputs'!$B$33,'Inputs'!$B$29+'Inputs'!$B$31+'Inputs'!$B$32,'Inputs'!$B$30+'Inputs'!$B$31+'Inputs'!$B$32)/1000+'Inputs'!$B$21)+'Inputs'!$B$7)/SQRT((((169-43)*MAX('Inputs'!$B$33,'Inputs'!$B$29+'Inputs'!$B$31+'Inputs'!$B$32,'Inputs'!$B$30+'Inputs'!$B$31+'Inputs'!$B$32)/1000+'Inputs'!$B$21)+'Inputs'!$B$7)^2+('Inputs'!$B$6/2)^2)-(((169-43)*MAX('Inputs'!$B$33,'Inputs'!$B$29+'Inputs'!$B$31+'Inputs'!$B$32,'Inputs'!$B$30+'Inputs'!$B$31+'Inputs'!$B$32)/1000+'Inputs'!$B$21))/SQRT((((169-43)*MAX('Inputs'!$B$33,'Inputs'!$B$29+'Inputs'!$B$31+'Inputs'!$B$32,'Inputs'!$B$30+'Inputs'!$B$31+'Inputs'!$B$32)/1000+'Inputs'!$B$21))^2+('Inputs'!$B$6/2)^2)))-'Results'!C7*(1+'Inputs'!$B$24)*(0.5*((((169-43)*MAX('Inputs'!$B$33,'Inputs'!$B$29+'Inputs'!$B$31+'Inputs'!$B$32,'Inputs'!$B$30+'Inputs'!$B$31+'Inputs'!$B$32)/1000+'Inputs'!$B$21+'Inputs'!$B$7+'Inputs'!$B$10)+'Inputs'!$B$9)/SQRT((((169-43)*MAX('Inputs'!$B$33,'Inputs'!$B$29+'Inputs'!$B$31+'Inputs'!$B$32,'Inputs'!$B$30+'Inputs'!$B$31+'Inputs'!$B$32)/1000+'Inputs'!$B$21+'Inputs'!$B$7+'Inputs'!$B$10)+'Inputs'!$B$9)^2+('Inputs'!$B$8/2)^2)-(((169-43)*MAX('Inputs'!$B$33,'Inputs'!$B$29+'Inputs'!$B$31+'Inputs'!$B$32,'Inputs'!$B$30+'Inputs'!$B$31+'Inputs'!$B$32)/1000+'Inputs'!$B$21+'Inputs'!$B$7+'Inputs'!$B$10))/SQRT((((169-43)*MAX('Inputs'!$B$33,'Inputs'!$B$29+'Inputs'!$B$31+'Inputs'!$B$32,'Inputs'!$B$30+'Inputs'!$B$31+'Inputs'!$B$32)/1000+'Inputs'!$B$21+'Inputs'!$B$7+'Inputs'!$B$10))^2+('Inputs'!$B$8/2)^2))))*'Results'!$B$8))),"")</x:f>
        <x:v>213.04965553810374</x:v>
      </x:c>
      <x:c r="L169" t="n">
        <x:f>IF(AND(ISNUMBER('Results'!B7),ISNUMBER('Results'!C7),ISNUMBER('Results'!$B$8),ISNUMBER('Inputs'!$B$6),ISNUMBER('Inputs'!$B$7),ISNUMBER('Inputs'!$B$8),ISNUMBER('Inputs'!$B$9),ISNUMBER('Inputs'!$B$10),ISNUMBER('Inputs'!$B$21),ISNUMBER('Inputs'!$B$24),ISNUMBER('Inputs'!$B$28)),((('Results'!B7*(1+'Inputs'!$B$24)*(0.5*((((169-43)*MAX('Inputs'!$B$33,'Inputs'!$B$29+'Inputs'!$B$31+'Inputs'!$B$32,'Inputs'!$B$30+'Inputs'!$B$31+'Inputs'!$B$32)/1000+'Inputs'!$B$21)+'Inputs'!$B$7)/SQRT((((169-43)*MAX('Inputs'!$B$33,'Inputs'!$B$29+'Inputs'!$B$31+'Inputs'!$B$32,'Inputs'!$B$30+'Inputs'!$B$31+'Inputs'!$B$32)/1000+'Inputs'!$B$21)+'Inputs'!$B$7)^2+('Inputs'!$B$6/2)^2)-(((169-43)*MAX('Inputs'!$B$33,'Inputs'!$B$29+'Inputs'!$B$31+'Inputs'!$B$32,'Inputs'!$B$30+'Inputs'!$B$31+'Inputs'!$B$32)/1000+'Inputs'!$B$21))/SQRT((((169-43)*MAX('Inputs'!$B$33,'Inputs'!$B$29+'Inputs'!$B$31+'Inputs'!$B$32,'Inputs'!$B$30+'Inputs'!$B$31+'Inputs'!$B$32)/1000+'Inputs'!$B$21))^2+('Inputs'!$B$6/2)^2)))-'Results'!C7*(1-'Inputs'!$B$24)*(0.5*((((169-43)*MAX('Inputs'!$B$33,'Inputs'!$B$29+'Inputs'!$B$31+'Inputs'!$B$32,'Inputs'!$B$30+'Inputs'!$B$31+'Inputs'!$B$32)/1000+'Inputs'!$B$21+'Inputs'!$B$7+'Inputs'!$B$10)+'Inputs'!$B$9)/SQRT((((169-43)*MAX('Inputs'!$B$33,'Inputs'!$B$29+'Inputs'!$B$31+'Inputs'!$B$32,'Inputs'!$B$30+'Inputs'!$B$31+'Inputs'!$B$32)/1000+'Inputs'!$B$21+'Inputs'!$B$7+'Inputs'!$B$10)+'Inputs'!$B$9)^2+('Inputs'!$B$8/2)^2)-(((169-43)*MAX('Inputs'!$B$33,'Inputs'!$B$29+'Inputs'!$B$31+'Inputs'!$B$32,'Inputs'!$B$30+'Inputs'!$B$31+'Inputs'!$B$32)/1000+'Inputs'!$B$21+'Inputs'!$B$7+'Inputs'!$B$10))/SQRT((((169-43)*MAX('Inputs'!$B$33,'Inputs'!$B$29+'Inputs'!$B$31+'Inputs'!$B$32,'Inputs'!$B$30+'Inputs'!$B$31+'Inputs'!$B$32)/1000+'Inputs'!$B$21+'Inputs'!$B$7+'Inputs'!$B$10))^2+('Inputs'!$B$8/2)^2))))*'Results'!$B$8)+'Inputs'!$B$28*ABS((('Results'!B7*(1+'Inputs'!$B$24)*(0.5*((((169-43)*MAX('Inputs'!$B$33,'Inputs'!$B$29+'Inputs'!$B$31+'Inputs'!$B$32,'Inputs'!$B$30+'Inputs'!$B$31+'Inputs'!$B$32)/1000+'Inputs'!$B$21)+'Inputs'!$B$7)/SQRT((((169-43)*MAX('Inputs'!$B$33,'Inputs'!$B$29+'Inputs'!$B$31+'Inputs'!$B$32,'Inputs'!$B$30+'Inputs'!$B$31+'Inputs'!$B$32)/1000+'Inputs'!$B$21)+'Inputs'!$B$7)^2+('Inputs'!$B$6/2)^2)-(((169-43)*MAX('Inputs'!$B$33,'Inputs'!$B$29+'Inputs'!$B$31+'Inputs'!$B$32,'Inputs'!$B$30+'Inputs'!$B$31+'Inputs'!$B$32)/1000+'Inputs'!$B$21))/SQRT((((169-43)*MAX('Inputs'!$B$33,'Inputs'!$B$29+'Inputs'!$B$31+'Inputs'!$B$32,'Inputs'!$B$30+'Inputs'!$B$31+'Inputs'!$B$32)/1000+'Inputs'!$B$21))^2+('Inputs'!$B$6/2)^2)))-'Results'!C7*(1-'Inputs'!$B$24)*(0.5*((((169-43)*MAX('Inputs'!$B$33,'Inputs'!$B$29+'Inputs'!$B$31+'Inputs'!$B$32,'Inputs'!$B$30+'Inputs'!$B$31+'Inputs'!$B$32)/1000+'Inputs'!$B$21+'Inputs'!$B$7+'Inputs'!$B$10)+'Inputs'!$B$9)/SQRT((((169-43)*MAX('Inputs'!$B$33,'Inputs'!$B$29+'Inputs'!$B$31+'Inputs'!$B$32,'Inputs'!$B$30+'Inputs'!$B$31+'Inputs'!$B$32)/1000+'Inputs'!$B$21+'Inputs'!$B$7+'Inputs'!$B$10)+'Inputs'!$B$9)^2+('Inputs'!$B$8/2)^2)-(((169-43)*MAX('Inputs'!$B$33,'Inputs'!$B$29+'Inputs'!$B$31+'Inputs'!$B$32,'Inputs'!$B$30+'Inputs'!$B$31+'Inputs'!$B$32)/1000+'Inputs'!$B$21+'Inputs'!$B$7+'Inputs'!$B$10))/SQRT((((169-43)*MAX('Inputs'!$B$33,'Inputs'!$B$29+'Inputs'!$B$31+'Inputs'!$B$32,'Inputs'!$B$30+'Inputs'!$B$31+'Inputs'!$B$32)/1000+'Inputs'!$B$21+'Inputs'!$B$7+'Inputs'!$B$10))^2+('Inputs'!$B$8/2)^2))))*'Results'!$B$8))),"")</x:f>
        <x:v>250.6730264232241</x:v>
      </x:c>
      <x:c r="M169" t="n">
        <x:f>IF(AND(ISNUMBER('Results'!C7),ISNUMBER('Results'!B7),ISNUMBER('Results'!$B$8),ISNUMBER('Inputs'!$B$6),ISNUMBER('Inputs'!$B$7),ISNUMBER('Inputs'!$B$8),ISNUMBER('Inputs'!$B$9),ISNUMBER('Inputs'!$B$10),ISNUMBER('Inputs'!$B$21),ISNUMBER('Inputs'!$B$24),ISNUMBER('Inputs'!$B$28)),(('Results'!C7*(0.5*((((169-43)*MAX('Inputs'!$B$33,'Inputs'!$B$29+'Inputs'!$B$31+'Inputs'!$B$32,'Inputs'!$B$30+'Inputs'!$B$31+'Inputs'!$B$32)/1000+'Inputs'!$B$21)+'Inputs'!$B$9)/SQRT((((169-43)*MAX('Inputs'!$B$33,'Inputs'!$B$29+'Inputs'!$B$31+'Inputs'!$B$32,'Inputs'!$B$30+'Inputs'!$B$31+'Inputs'!$B$32)/1000+'Inputs'!$B$21)+'Inputs'!$B$9)^2+('Inputs'!$B$8/2)^2)-(((169-43)*MAX('Inputs'!$B$33,'Inputs'!$B$29+'Inputs'!$B$31+'Inputs'!$B$32,'Inputs'!$B$30+'Inputs'!$B$31+'Inputs'!$B$32)/1000+'Inputs'!$B$21))/SQRT((((169-43)*MAX('Inputs'!$B$33,'Inputs'!$B$29+'Inputs'!$B$31+'Inputs'!$B$32,'Inputs'!$B$30+'Inputs'!$B$31+'Inputs'!$B$32)/1000+'Inputs'!$B$21))^2+('Inputs'!$B$8/2)^2)))-'Results'!B7*(0.5*((((169-43)*MAX('Inputs'!$B$33,'Inputs'!$B$29+'Inputs'!$B$31+'Inputs'!$B$32,'Inputs'!$B$30+'Inputs'!$B$31+'Inputs'!$B$32)/1000+'Inputs'!$B$21+'Inputs'!$B$9+'Inputs'!$B$10)+'Inputs'!$B$7)/SQRT((((169-43)*MAX('Inputs'!$B$33,'Inputs'!$B$29+'Inputs'!$B$31+'Inputs'!$B$32,'Inputs'!$B$30+'Inputs'!$B$31+'Inputs'!$B$32)/1000+'Inputs'!$B$21+'Inputs'!$B$9+'Inputs'!$B$10)+'Inputs'!$B$7)^2+('Inputs'!$B$6/2)^2)-(((169-43)*MAX('Inputs'!$B$33,'Inputs'!$B$29+'Inputs'!$B$31+'Inputs'!$B$32,'Inputs'!$B$30+'Inputs'!$B$31+'Inputs'!$B$32)/1000+'Inputs'!$B$21+'Inputs'!$B$9+'Inputs'!$B$10))/SQRT((((169-43)*MAX('Inputs'!$B$33,'Inputs'!$B$29+'Inputs'!$B$31+'Inputs'!$B$32,'Inputs'!$B$30+'Inputs'!$B$31+'Inputs'!$B$32)/1000+'Inputs'!$B$21+'Inputs'!$B$9+'Inputs'!$B$10))^2+('Inputs'!$B$6/2)^2))))*'Results'!$B$8),"")</x:f>
        <x:v>224.2361961189864</x:v>
      </x:c>
      <x:c r="N169" t="n">
        <x:f>IF(AND(ISNUMBER('Results'!C7),ISNUMBER('Results'!B7),ISNUMBER('Results'!$B$8),ISNUMBER('Inputs'!$B$6),ISNUMBER('Inputs'!$B$7),ISNUMBER('Inputs'!$B$8),ISNUMBER('Inputs'!$B$9),ISNUMBER('Inputs'!$B$10),ISNUMBER('Inputs'!$B$21),ISNUMBER('Inputs'!$B$24),ISNUMBER('Inputs'!$B$28)),((('Results'!C7*(1-'Inputs'!$B$24)*(0.5*((((169-43)*MAX('Inputs'!$B$33,'Inputs'!$B$29+'Inputs'!$B$31+'Inputs'!$B$32,'Inputs'!$B$30+'Inputs'!$B$31+'Inputs'!$B$32)/1000+'Inputs'!$B$21)+'Inputs'!$B$9)/SQRT((((169-43)*MAX('Inputs'!$B$33,'Inputs'!$B$29+'Inputs'!$B$31+'Inputs'!$B$32,'Inputs'!$B$30+'Inputs'!$B$31+'Inputs'!$B$32)/1000+'Inputs'!$B$21)+'Inputs'!$B$9)^2+('Inputs'!$B$8/2)^2)-(((169-43)*MAX('Inputs'!$B$33,'Inputs'!$B$29+'Inputs'!$B$31+'Inputs'!$B$32,'Inputs'!$B$30+'Inputs'!$B$31+'Inputs'!$B$32)/1000+'Inputs'!$B$21))/SQRT((((169-43)*MAX('Inputs'!$B$33,'Inputs'!$B$29+'Inputs'!$B$31+'Inputs'!$B$32,'Inputs'!$B$30+'Inputs'!$B$31+'Inputs'!$B$32)/1000+'Inputs'!$B$21))^2+('Inputs'!$B$8/2)^2)))-'Results'!B7*(1+'Inputs'!$B$24)*(0.5*((((169-43)*MAX('Inputs'!$B$33,'Inputs'!$B$29+'Inputs'!$B$31+'Inputs'!$B$32,'Inputs'!$B$30+'Inputs'!$B$31+'Inputs'!$B$32)/1000+'Inputs'!$B$21+'Inputs'!$B$9+'Inputs'!$B$10)+'Inputs'!$B$7)/SQRT((((169-43)*MAX('Inputs'!$B$33,'Inputs'!$B$29+'Inputs'!$B$31+'Inputs'!$B$32,'Inputs'!$B$30+'Inputs'!$B$31+'Inputs'!$B$32)/1000+'Inputs'!$B$21+'Inputs'!$B$9+'Inputs'!$B$10)+'Inputs'!$B$7)^2+('Inputs'!$B$6/2)^2)-(((169-43)*MAX('Inputs'!$B$33,'Inputs'!$B$29+'Inputs'!$B$31+'Inputs'!$B$32,'Inputs'!$B$30+'Inputs'!$B$31+'Inputs'!$B$32)/1000+'Inputs'!$B$21+'Inputs'!$B$9+'Inputs'!$B$10))/SQRT((((169-43)*MAX('Inputs'!$B$33,'Inputs'!$B$29+'Inputs'!$B$31+'Inputs'!$B$32,'Inputs'!$B$30+'Inputs'!$B$31+'Inputs'!$B$32)/1000+'Inputs'!$B$21+'Inputs'!$B$9+'Inputs'!$B$10))^2+('Inputs'!$B$6/2)^2))))*'Results'!$B$8)-'Inputs'!$B$28*ABS((('Results'!C7*(1-'Inputs'!$B$24)*(0.5*((((169-43)*MAX('Inputs'!$B$33,'Inputs'!$B$29+'Inputs'!$B$31+'Inputs'!$B$32,'Inputs'!$B$30+'Inputs'!$B$31+'Inputs'!$B$32)/1000+'Inputs'!$B$21)+'Inputs'!$B$9)/SQRT((((169-43)*MAX('Inputs'!$B$33,'Inputs'!$B$29+'Inputs'!$B$31+'Inputs'!$B$32,'Inputs'!$B$30+'Inputs'!$B$31+'Inputs'!$B$32)/1000+'Inputs'!$B$21)+'Inputs'!$B$9)^2+('Inputs'!$B$8/2)^2)-(((169-43)*MAX('Inputs'!$B$33,'Inputs'!$B$29+'Inputs'!$B$31+'Inputs'!$B$32,'Inputs'!$B$30+'Inputs'!$B$31+'Inputs'!$B$32)/1000+'Inputs'!$B$21))/SQRT((((169-43)*MAX('Inputs'!$B$33,'Inputs'!$B$29+'Inputs'!$B$31+'Inputs'!$B$32,'Inputs'!$B$30+'Inputs'!$B$31+'Inputs'!$B$32)/1000+'Inputs'!$B$21))^2+('Inputs'!$B$8/2)^2)))-'Results'!B7*(1+'Inputs'!$B$24)*(0.5*((((169-43)*MAX('Inputs'!$B$33,'Inputs'!$B$29+'Inputs'!$B$31+'Inputs'!$B$32,'Inputs'!$B$30+'Inputs'!$B$31+'Inputs'!$B$32)/1000+'Inputs'!$B$21+'Inputs'!$B$9+'Inputs'!$B$10)+'Inputs'!$B$7)/SQRT((((169-43)*MAX('Inputs'!$B$33,'Inputs'!$B$29+'Inputs'!$B$31+'Inputs'!$B$32,'Inputs'!$B$30+'Inputs'!$B$31+'Inputs'!$B$32)/1000+'Inputs'!$B$21+'Inputs'!$B$9+'Inputs'!$B$10)+'Inputs'!$B$7)^2+('Inputs'!$B$6/2)^2)-(((169-43)*MAX('Inputs'!$B$33,'Inputs'!$B$29+'Inputs'!$B$31+'Inputs'!$B$32,'Inputs'!$B$30+'Inputs'!$B$31+'Inputs'!$B$32)/1000+'Inputs'!$B$21+'Inputs'!$B$9+'Inputs'!$B$10))/SQRT((((169-43)*MAX('Inputs'!$B$33,'Inputs'!$B$29+'Inputs'!$B$31+'Inputs'!$B$32,'Inputs'!$B$30+'Inputs'!$B$31+'Inputs'!$B$32)/1000+'Inputs'!$B$21+'Inputs'!$B$9+'Inputs'!$B$10))^2+('Inputs'!$B$6/2)^2))))*'Results'!$B$8))),"")</x:f>
        <x:v>206.23697608011332</x:v>
      </x:c>
      <x:c r="O169" t="n">
        <x:f>IF(AND(ISNUMBER('Results'!C7),ISNUMBER('Results'!B7),ISNUMBER('Results'!$B$8),ISNUMBER('Inputs'!$B$6),ISNUMBER('Inputs'!$B$7),ISNUMBER('Inputs'!$B$8),ISNUMBER('Inputs'!$B$9),ISNUMBER('Inputs'!$B$10),ISNUMBER('Inputs'!$B$21),ISNUMBER('Inputs'!$B$24),ISNUMBER('Inputs'!$B$28)),((('Results'!C7*(1+'Inputs'!$B$24)*(0.5*((((169-43)*MAX('Inputs'!$B$33,'Inputs'!$B$29+'Inputs'!$B$31+'Inputs'!$B$32,'Inputs'!$B$30+'Inputs'!$B$31+'Inputs'!$B$32)/1000+'Inputs'!$B$21)+'Inputs'!$B$9)/SQRT((((169-43)*MAX('Inputs'!$B$33,'Inputs'!$B$29+'Inputs'!$B$31+'Inputs'!$B$32,'Inputs'!$B$30+'Inputs'!$B$31+'Inputs'!$B$32)/1000+'Inputs'!$B$21)+'Inputs'!$B$9)^2+('Inputs'!$B$8/2)^2)-(((169-43)*MAX('Inputs'!$B$33,'Inputs'!$B$29+'Inputs'!$B$31+'Inputs'!$B$32,'Inputs'!$B$30+'Inputs'!$B$31+'Inputs'!$B$32)/1000+'Inputs'!$B$21))/SQRT((((169-43)*MAX('Inputs'!$B$33,'Inputs'!$B$29+'Inputs'!$B$31+'Inputs'!$B$32,'Inputs'!$B$30+'Inputs'!$B$31+'Inputs'!$B$32)/1000+'Inputs'!$B$21))^2+('Inputs'!$B$8/2)^2)))-'Results'!B7*(1-'Inputs'!$B$24)*(0.5*((((169-43)*MAX('Inputs'!$B$33,'Inputs'!$B$29+'Inputs'!$B$31+'Inputs'!$B$32,'Inputs'!$B$30+'Inputs'!$B$31+'Inputs'!$B$32)/1000+'Inputs'!$B$21+'Inputs'!$B$9+'Inputs'!$B$10)+'Inputs'!$B$7)/SQRT((((169-43)*MAX('Inputs'!$B$33,'Inputs'!$B$29+'Inputs'!$B$31+'Inputs'!$B$32,'Inputs'!$B$30+'Inputs'!$B$31+'Inputs'!$B$32)/1000+'Inputs'!$B$21+'Inputs'!$B$9+'Inputs'!$B$10)+'Inputs'!$B$7)^2+('Inputs'!$B$6/2)^2)-(((169-43)*MAX('Inputs'!$B$33,'Inputs'!$B$29+'Inputs'!$B$31+'Inputs'!$B$32,'Inputs'!$B$30+'Inputs'!$B$31+'Inputs'!$B$32)/1000+'Inputs'!$B$21+'Inputs'!$B$9+'Inputs'!$B$10))/SQRT((((169-43)*MAX('Inputs'!$B$33,'Inputs'!$B$29+'Inputs'!$B$31+'Inputs'!$B$32,'Inputs'!$B$30+'Inputs'!$B$31+'Inputs'!$B$32)/1000+'Inputs'!$B$21+'Inputs'!$B$9+'Inputs'!$B$10))^2+('Inputs'!$B$6/2)^2))))*'Results'!$B$8)+'Inputs'!$B$28*ABS((('Results'!C7*(1+'Inputs'!$B$24)*(0.5*((((169-43)*MAX('Inputs'!$B$33,'Inputs'!$B$29+'Inputs'!$B$31+'Inputs'!$B$32,'Inputs'!$B$30+'Inputs'!$B$31+'Inputs'!$B$32)/1000+'Inputs'!$B$21)+'Inputs'!$B$9)/SQRT((((169-43)*MAX('Inputs'!$B$33,'Inputs'!$B$29+'Inputs'!$B$31+'Inputs'!$B$32,'Inputs'!$B$30+'Inputs'!$B$31+'Inputs'!$B$32)/1000+'Inputs'!$B$21)+'Inputs'!$B$9)^2+('Inputs'!$B$8/2)^2)-(((169-43)*MAX('Inputs'!$B$33,'Inputs'!$B$29+'Inputs'!$B$31+'Inputs'!$B$32,'Inputs'!$B$30+'Inputs'!$B$31+'Inputs'!$B$32)/1000+'Inputs'!$B$21))/SQRT((((169-43)*MAX('Inputs'!$B$33,'Inputs'!$B$29+'Inputs'!$B$31+'Inputs'!$B$32,'Inputs'!$B$30+'Inputs'!$B$31+'Inputs'!$B$32)/1000+'Inputs'!$B$21))^2+('Inputs'!$B$8/2)^2)))-'Results'!B7*(1-'Inputs'!$B$24)*(0.5*((((169-43)*MAX('Inputs'!$B$33,'Inputs'!$B$29+'Inputs'!$B$31+'Inputs'!$B$32,'Inputs'!$B$30+'Inputs'!$B$31+'Inputs'!$B$32)/1000+'Inputs'!$B$21+'Inputs'!$B$9+'Inputs'!$B$10)+'Inputs'!$B$7)/SQRT((((169-43)*MAX('Inputs'!$B$33,'Inputs'!$B$29+'Inputs'!$B$31+'Inputs'!$B$32,'Inputs'!$B$30+'Inputs'!$B$31+'Inputs'!$B$32)/1000+'Inputs'!$B$21+'Inputs'!$B$9+'Inputs'!$B$10)+'Inputs'!$B$7)^2+('Inputs'!$B$6/2)^2)-(((169-43)*MAX('Inputs'!$B$33,'Inputs'!$B$29+'Inputs'!$B$31+'Inputs'!$B$32,'Inputs'!$B$30+'Inputs'!$B$31+'Inputs'!$B$32)/1000+'Inputs'!$B$21+'Inputs'!$B$9+'Inputs'!$B$10))/SQRT((((169-43)*MAX('Inputs'!$B$33,'Inputs'!$B$29+'Inputs'!$B$31+'Inputs'!$B$32,'Inputs'!$B$30+'Inputs'!$B$31+'Inputs'!$B$32)/1000+'Inputs'!$B$21+'Inputs'!$B$9+'Inputs'!$B$10))^2+('Inputs'!$B$6/2)^2))))*'Results'!$B$8))),"")</x:f>
        <x:v>242.94988039290413</x:v>
      </x:c>
      <x:c r="P169" t="n">
        <x:f>IF(AND(MAX(J169,J168)&gt;0,J169&gt;J168+0.00000001),1,0)</x:f>
        <x:v>0</x:v>
      </x:c>
      <x:c r="Q169" t="n">
        <x:f>IF(AND(MAX(K169,K168)&gt;0,K169&gt;K168+0.00000001),1,0)</x:f>
        <x:v>0</x:v>
      </x:c>
      <x:c r="R169" t="n">
        <x:f>IF(AND(MAX(L169,L168)&gt;0,L169&gt;L168+0.00000001),1,0)</x:f>
        <x:v>0</x:v>
      </x:c>
      <x:c r="S169" t="n">
        <x:f>IF(AND(MAX(M169,M168)&gt;0,M169&gt;M168+0.00000001),1,0)</x:f>
        <x:v>0</x:v>
      </x:c>
      <x:c r="T169" t="n">
        <x:f>IF(AND(MAX(N169,N168)&gt;0,N169&gt;N168+0.00000001),1,0)</x:f>
        <x:v>0</x:v>
      </x:c>
      <x:c r="U169" t="n">
        <x:f>IF(AND(MAX(O169,O168)&gt;0,O169&gt;O168+0.00000001),1,0)</x:f>
        <x:v>0</x:v>
      </x:c>
    </x:row>
    <x:row r="170">
      <x:c r="J170" t="n">
        <x:f>IF(AND(ISNUMBER('Results'!B7),ISNUMBER('Results'!C7),ISNUMBER('Results'!$B$8),ISNUMBER('Inputs'!$B$6),ISNUMBER('Inputs'!$B$7),ISNUMBER('Inputs'!$B$8),ISNUMBER('Inputs'!$B$9),ISNUMBER('Inputs'!$B$10),ISNUMBER('Inputs'!$B$21),ISNUMBER('Inputs'!$B$24),ISNUMBER('Inputs'!$B$28)),(('Results'!B7*(0.5*((((170-43)*MAX('Inputs'!$B$33,'Inputs'!$B$29+'Inputs'!$B$31+'Inputs'!$B$32,'Inputs'!$B$30+'Inputs'!$B$31+'Inputs'!$B$32)/1000+'Inputs'!$B$21)+'Inputs'!$B$7)/SQRT((((170-43)*MAX('Inputs'!$B$33,'Inputs'!$B$29+'Inputs'!$B$31+'Inputs'!$B$32,'Inputs'!$B$30+'Inputs'!$B$31+'Inputs'!$B$32)/1000+'Inputs'!$B$21)+'Inputs'!$B$7)^2+('Inputs'!$B$6/2)^2)-(((170-43)*MAX('Inputs'!$B$33,'Inputs'!$B$29+'Inputs'!$B$31+'Inputs'!$B$32,'Inputs'!$B$30+'Inputs'!$B$31+'Inputs'!$B$32)/1000+'Inputs'!$B$21))/SQRT((((170-43)*MAX('Inputs'!$B$33,'Inputs'!$B$29+'Inputs'!$B$31+'Inputs'!$B$32,'Inputs'!$B$30+'Inputs'!$B$31+'Inputs'!$B$32)/1000+'Inputs'!$B$21))^2+('Inputs'!$B$6/2)^2)))-'Results'!C7*(0.5*((((170-43)*MAX('Inputs'!$B$33,'Inputs'!$B$29+'Inputs'!$B$31+'Inputs'!$B$32,'Inputs'!$B$30+'Inputs'!$B$31+'Inputs'!$B$32)/1000+'Inputs'!$B$21+'Inputs'!$B$7+'Inputs'!$B$10)+'Inputs'!$B$9)/SQRT((((170-43)*MAX('Inputs'!$B$33,'Inputs'!$B$29+'Inputs'!$B$31+'Inputs'!$B$32,'Inputs'!$B$30+'Inputs'!$B$31+'Inputs'!$B$32)/1000+'Inputs'!$B$21+'Inputs'!$B$7+'Inputs'!$B$10)+'Inputs'!$B$9)^2+('Inputs'!$B$8/2)^2)-(((170-43)*MAX('Inputs'!$B$33,'Inputs'!$B$29+'Inputs'!$B$31+'Inputs'!$B$32,'Inputs'!$B$30+'Inputs'!$B$31+'Inputs'!$B$32)/1000+'Inputs'!$B$21+'Inputs'!$B$7+'Inputs'!$B$10))/SQRT((((170-43)*MAX('Inputs'!$B$33,'Inputs'!$B$29+'Inputs'!$B$31+'Inputs'!$B$32,'Inputs'!$B$30+'Inputs'!$B$31+'Inputs'!$B$32)/1000+'Inputs'!$B$21+'Inputs'!$B$7+'Inputs'!$B$10))^2+('Inputs'!$B$8/2)^2))))*'Results'!$B$8),"")</x:f>
        <x:v>227.4857898474854</x:v>
      </x:c>
      <x:c r="K170" t="n">
        <x:f>IF(AND(ISNUMBER('Results'!B7),ISNUMBER('Results'!C7),ISNUMBER('Results'!$B$8),ISNUMBER('Inputs'!$B$6),ISNUMBER('Inputs'!$B$7),ISNUMBER('Inputs'!$B$8),ISNUMBER('Inputs'!$B$9),ISNUMBER('Inputs'!$B$10),ISNUMBER('Inputs'!$B$21),ISNUMBER('Inputs'!$B$24),ISNUMBER('Inputs'!$B$28)),((('Results'!B7*(1-'Inputs'!$B$24)*(0.5*((((170-43)*MAX('Inputs'!$B$33,'Inputs'!$B$29+'Inputs'!$B$31+'Inputs'!$B$32,'Inputs'!$B$30+'Inputs'!$B$31+'Inputs'!$B$32)/1000+'Inputs'!$B$21)+'Inputs'!$B$7)/SQRT((((170-43)*MAX('Inputs'!$B$33,'Inputs'!$B$29+'Inputs'!$B$31+'Inputs'!$B$32,'Inputs'!$B$30+'Inputs'!$B$31+'Inputs'!$B$32)/1000+'Inputs'!$B$21)+'Inputs'!$B$7)^2+('Inputs'!$B$6/2)^2)-(((170-43)*MAX('Inputs'!$B$33,'Inputs'!$B$29+'Inputs'!$B$31+'Inputs'!$B$32,'Inputs'!$B$30+'Inputs'!$B$31+'Inputs'!$B$32)/1000+'Inputs'!$B$21))/SQRT((((170-43)*MAX('Inputs'!$B$33,'Inputs'!$B$29+'Inputs'!$B$31+'Inputs'!$B$32,'Inputs'!$B$30+'Inputs'!$B$31+'Inputs'!$B$32)/1000+'Inputs'!$B$21))^2+('Inputs'!$B$6/2)^2)))-'Results'!C7*(1+'Inputs'!$B$24)*(0.5*((((170-43)*MAX('Inputs'!$B$33,'Inputs'!$B$29+'Inputs'!$B$31+'Inputs'!$B$32,'Inputs'!$B$30+'Inputs'!$B$31+'Inputs'!$B$32)/1000+'Inputs'!$B$21+'Inputs'!$B$7+'Inputs'!$B$10)+'Inputs'!$B$9)/SQRT((((170-43)*MAX('Inputs'!$B$33,'Inputs'!$B$29+'Inputs'!$B$31+'Inputs'!$B$32,'Inputs'!$B$30+'Inputs'!$B$31+'Inputs'!$B$32)/1000+'Inputs'!$B$21+'Inputs'!$B$7+'Inputs'!$B$10)+'Inputs'!$B$9)^2+('Inputs'!$B$8/2)^2)-(((170-43)*MAX('Inputs'!$B$33,'Inputs'!$B$29+'Inputs'!$B$31+'Inputs'!$B$32,'Inputs'!$B$30+'Inputs'!$B$31+'Inputs'!$B$32)/1000+'Inputs'!$B$21+'Inputs'!$B$7+'Inputs'!$B$10))/SQRT((((170-43)*MAX('Inputs'!$B$33,'Inputs'!$B$29+'Inputs'!$B$31+'Inputs'!$B$32,'Inputs'!$B$30+'Inputs'!$B$31+'Inputs'!$B$32)/1000+'Inputs'!$B$21+'Inputs'!$B$7+'Inputs'!$B$10))^2+('Inputs'!$B$8/2)^2))))*'Results'!$B$8)-'Inputs'!$B$28*ABS((('Results'!B7*(1-'Inputs'!$B$24)*(0.5*((((170-43)*MAX('Inputs'!$B$33,'Inputs'!$B$29+'Inputs'!$B$31+'Inputs'!$B$32,'Inputs'!$B$30+'Inputs'!$B$31+'Inputs'!$B$32)/1000+'Inputs'!$B$21)+'Inputs'!$B$7)/SQRT((((170-43)*MAX('Inputs'!$B$33,'Inputs'!$B$29+'Inputs'!$B$31+'Inputs'!$B$32,'Inputs'!$B$30+'Inputs'!$B$31+'Inputs'!$B$32)/1000+'Inputs'!$B$21)+'Inputs'!$B$7)^2+('Inputs'!$B$6/2)^2)-(((170-43)*MAX('Inputs'!$B$33,'Inputs'!$B$29+'Inputs'!$B$31+'Inputs'!$B$32,'Inputs'!$B$30+'Inputs'!$B$31+'Inputs'!$B$32)/1000+'Inputs'!$B$21))/SQRT((((170-43)*MAX('Inputs'!$B$33,'Inputs'!$B$29+'Inputs'!$B$31+'Inputs'!$B$32,'Inputs'!$B$30+'Inputs'!$B$31+'Inputs'!$B$32)/1000+'Inputs'!$B$21))^2+('Inputs'!$B$6/2)^2)))-'Results'!C7*(1+'Inputs'!$B$24)*(0.5*((((170-43)*MAX('Inputs'!$B$33,'Inputs'!$B$29+'Inputs'!$B$31+'Inputs'!$B$32,'Inputs'!$B$30+'Inputs'!$B$31+'Inputs'!$B$32)/1000+'Inputs'!$B$21+'Inputs'!$B$7+'Inputs'!$B$10)+'Inputs'!$B$9)/SQRT((((170-43)*MAX('Inputs'!$B$33,'Inputs'!$B$29+'Inputs'!$B$31+'Inputs'!$B$32,'Inputs'!$B$30+'Inputs'!$B$31+'Inputs'!$B$32)/1000+'Inputs'!$B$21+'Inputs'!$B$7+'Inputs'!$B$10)+'Inputs'!$B$9)^2+('Inputs'!$B$8/2)^2)-(((170-43)*MAX('Inputs'!$B$33,'Inputs'!$B$29+'Inputs'!$B$31+'Inputs'!$B$32,'Inputs'!$B$30+'Inputs'!$B$31+'Inputs'!$B$32)/1000+'Inputs'!$B$21+'Inputs'!$B$7+'Inputs'!$B$10))/SQRT((((170-43)*MAX('Inputs'!$B$33,'Inputs'!$B$29+'Inputs'!$B$31+'Inputs'!$B$32,'Inputs'!$B$30+'Inputs'!$B$31+'Inputs'!$B$32)/1000+'Inputs'!$B$21+'Inputs'!$B$7+'Inputs'!$B$10))^2+('Inputs'!$B$8/2)^2))))*'Results'!$B$8))),"")</x:f>
        <x:v>209.33894532405012</x:v>
      </x:c>
      <x:c r="L170" t="n">
        <x:f>IF(AND(ISNUMBER('Results'!B7),ISNUMBER('Results'!C7),ISNUMBER('Results'!$B$8),ISNUMBER('Inputs'!$B$6),ISNUMBER('Inputs'!$B$7),ISNUMBER('Inputs'!$B$8),ISNUMBER('Inputs'!$B$9),ISNUMBER('Inputs'!$B$10),ISNUMBER('Inputs'!$B$21),ISNUMBER('Inputs'!$B$24),ISNUMBER('Inputs'!$B$28)),((('Results'!B7*(1+'Inputs'!$B$24)*(0.5*((((170-43)*MAX('Inputs'!$B$33,'Inputs'!$B$29+'Inputs'!$B$31+'Inputs'!$B$32,'Inputs'!$B$30+'Inputs'!$B$31+'Inputs'!$B$32)/1000+'Inputs'!$B$21)+'Inputs'!$B$7)/SQRT((((170-43)*MAX('Inputs'!$B$33,'Inputs'!$B$29+'Inputs'!$B$31+'Inputs'!$B$32,'Inputs'!$B$30+'Inputs'!$B$31+'Inputs'!$B$32)/1000+'Inputs'!$B$21)+'Inputs'!$B$7)^2+('Inputs'!$B$6/2)^2)-(((170-43)*MAX('Inputs'!$B$33,'Inputs'!$B$29+'Inputs'!$B$31+'Inputs'!$B$32,'Inputs'!$B$30+'Inputs'!$B$31+'Inputs'!$B$32)/1000+'Inputs'!$B$21))/SQRT((((170-43)*MAX('Inputs'!$B$33,'Inputs'!$B$29+'Inputs'!$B$31+'Inputs'!$B$32,'Inputs'!$B$30+'Inputs'!$B$31+'Inputs'!$B$32)/1000+'Inputs'!$B$21))^2+('Inputs'!$B$6/2)^2)))-'Results'!C7*(1-'Inputs'!$B$24)*(0.5*((((170-43)*MAX('Inputs'!$B$33,'Inputs'!$B$29+'Inputs'!$B$31+'Inputs'!$B$32,'Inputs'!$B$30+'Inputs'!$B$31+'Inputs'!$B$32)/1000+'Inputs'!$B$21+'Inputs'!$B$7+'Inputs'!$B$10)+'Inputs'!$B$9)/SQRT((((170-43)*MAX('Inputs'!$B$33,'Inputs'!$B$29+'Inputs'!$B$31+'Inputs'!$B$32,'Inputs'!$B$30+'Inputs'!$B$31+'Inputs'!$B$32)/1000+'Inputs'!$B$21+'Inputs'!$B$7+'Inputs'!$B$10)+'Inputs'!$B$9)^2+('Inputs'!$B$8/2)^2)-(((170-43)*MAX('Inputs'!$B$33,'Inputs'!$B$29+'Inputs'!$B$31+'Inputs'!$B$32,'Inputs'!$B$30+'Inputs'!$B$31+'Inputs'!$B$32)/1000+'Inputs'!$B$21+'Inputs'!$B$7+'Inputs'!$B$10))/SQRT((((170-43)*MAX('Inputs'!$B$33,'Inputs'!$B$29+'Inputs'!$B$31+'Inputs'!$B$32,'Inputs'!$B$30+'Inputs'!$B$31+'Inputs'!$B$32)/1000+'Inputs'!$B$21+'Inputs'!$B$7+'Inputs'!$B$10))^2+('Inputs'!$B$8/2)^2))))*'Results'!$B$8)+'Inputs'!$B$28*ABS((('Results'!B7*(1+'Inputs'!$B$24)*(0.5*((((170-43)*MAX('Inputs'!$B$33,'Inputs'!$B$29+'Inputs'!$B$31+'Inputs'!$B$32,'Inputs'!$B$30+'Inputs'!$B$31+'Inputs'!$B$32)/1000+'Inputs'!$B$21)+'Inputs'!$B$7)/SQRT((((170-43)*MAX('Inputs'!$B$33,'Inputs'!$B$29+'Inputs'!$B$31+'Inputs'!$B$32,'Inputs'!$B$30+'Inputs'!$B$31+'Inputs'!$B$32)/1000+'Inputs'!$B$21)+'Inputs'!$B$7)^2+('Inputs'!$B$6/2)^2)-(((170-43)*MAX('Inputs'!$B$33,'Inputs'!$B$29+'Inputs'!$B$31+'Inputs'!$B$32,'Inputs'!$B$30+'Inputs'!$B$31+'Inputs'!$B$32)/1000+'Inputs'!$B$21))/SQRT((((170-43)*MAX('Inputs'!$B$33,'Inputs'!$B$29+'Inputs'!$B$31+'Inputs'!$B$32,'Inputs'!$B$30+'Inputs'!$B$31+'Inputs'!$B$32)/1000+'Inputs'!$B$21))^2+('Inputs'!$B$6/2)^2)))-'Results'!C7*(1-'Inputs'!$B$24)*(0.5*((((170-43)*MAX('Inputs'!$B$33,'Inputs'!$B$29+'Inputs'!$B$31+'Inputs'!$B$32,'Inputs'!$B$30+'Inputs'!$B$31+'Inputs'!$B$32)/1000+'Inputs'!$B$21+'Inputs'!$B$7+'Inputs'!$B$10)+'Inputs'!$B$9)/SQRT((((170-43)*MAX('Inputs'!$B$33,'Inputs'!$B$29+'Inputs'!$B$31+'Inputs'!$B$32,'Inputs'!$B$30+'Inputs'!$B$31+'Inputs'!$B$32)/1000+'Inputs'!$B$21+'Inputs'!$B$7+'Inputs'!$B$10)+'Inputs'!$B$9)^2+('Inputs'!$B$8/2)^2)-(((170-43)*MAX('Inputs'!$B$33,'Inputs'!$B$29+'Inputs'!$B$31+'Inputs'!$B$32,'Inputs'!$B$30+'Inputs'!$B$31+'Inputs'!$B$32)/1000+'Inputs'!$B$21+'Inputs'!$B$7+'Inputs'!$B$10))/SQRT((((170-43)*MAX('Inputs'!$B$33,'Inputs'!$B$29+'Inputs'!$B$31+'Inputs'!$B$32,'Inputs'!$B$30+'Inputs'!$B$31+'Inputs'!$B$32)/1000+'Inputs'!$B$21+'Inputs'!$B$7+'Inputs'!$B$10))^2+('Inputs'!$B$8/2)^2))))*'Results'!$B$8))),"")</x:f>
        <x:v>246.34553490050598</x:v>
      </x:c>
      <x:c r="M170" t="n">
        <x:f>IF(AND(ISNUMBER('Results'!C7),ISNUMBER('Results'!B7),ISNUMBER('Results'!$B$8),ISNUMBER('Inputs'!$B$6),ISNUMBER('Inputs'!$B$7),ISNUMBER('Inputs'!$B$8),ISNUMBER('Inputs'!$B$9),ISNUMBER('Inputs'!$B$10),ISNUMBER('Inputs'!$B$21),ISNUMBER('Inputs'!$B$24),ISNUMBER('Inputs'!$B$28)),(('Results'!C7*(0.5*((((170-43)*MAX('Inputs'!$B$33,'Inputs'!$B$29+'Inputs'!$B$31+'Inputs'!$B$32,'Inputs'!$B$30+'Inputs'!$B$31+'Inputs'!$B$32)/1000+'Inputs'!$B$21)+'Inputs'!$B$9)/SQRT((((170-43)*MAX('Inputs'!$B$33,'Inputs'!$B$29+'Inputs'!$B$31+'Inputs'!$B$32,'Inputs'!$B$30+'Inputs'!$B$31+'Inputs'!$B$32)/1000+'Inputs'!$B$21)+'Inputs'!$B$9)^2+('Inputs'!$B$8/2)^2)-(((170-43)*MAX('Inputs'!$B$33,'Inputs'!$B$29+'Inputs'!$B$31+'Inputs'!$B$32,'Inputs'!$B$30+'Inputs'!$B$31+'Inputs'!$B$32)/1000+'Inputs'!$B$21))/SQRT((((170-43)*MAX('Inputs'!$B$33,'Inputs'!$B$29+'Inputs'!$B$31+'Inputs'!$B$32,'Inputs'!$B$30+'Inputs'!$B$31+'Inputs'!$B$32)/1000+'Inputs'!$B$21))^2+('Inputs'!$B$8/2)^2)))-'Results'!B7*(0.5*((((170-43)*MAX('Inputs'!$B$33,'Inputs'!$B$29+'Inputs'!$B$31+'Inputs'!$B$32,'Inputs'!$B$30+'Inputs'!$B$31+'Inputs'!$B$32)/1000+'Inputs'!$B$21+'Inputs'!$B$9+'Inputs'!$B$10)+'Inputs'!$B$7)/SQRT((((170-43)*MAX('Inputs'!$B$33,'Inputs'!$B$29+'Inputs'!$B$31+'Inputs'!$B$32,'Inputs'!$B$30+'Inputs'!$B$31+'Inputs'!$B$32)/1000+'Inputs'!$B$21+'Inputs'!$B$9+'Inputs'!$B$10)+'Inputs'!$B$7)^2+('Inputs'!$B$6/2)^2)-(((170-43)*MAX('Inputs'!$B$33,'Inputs'!$B$29+'Inputs'!$B$31+'Inputs'!$B$32,'Inputs'!$B$30+'Inputs'!$B$31+'Inputs'!$B$32)/1000+'Inputs'!$B$21+'Inputs'!$B$9+'Inputs'!$B$10))/SQRT((((170-43)*MAX('Inputs'!$B$33,'Inputs'!$B$29+'Inputs'!$B$31+'Inputs'!$B$32,'Inputs'!$B$30+'Inputs'!$B$31+'Inputs'!$B$32)/1000+'Inputs'!$B$21+'Inputs'!$B$9+'Inputs'!$B$10))^2+('Inputs'!$B$6/2)^2))))*'Results'!$B$8),"")</x:f>
        <x:v>220.33046527103065</x:v>
      </x:c>
      <x:c r="N170" t="n">
        <x:f>IF(AND(ISNUMBER('Results'!C7),ISNUMBER('Results'!B7),ISNUMBER('Results'!$B$8),ISNUMBER('Inputs'!$B$6),ISNUMBER('Inputs'!$B$7),ISNUMBER('Inputs'!$B$8),ISNUMBER('Inputs'!$B$9),ISNUMBER('Inputs'!$B$10),ISNUMBER('Inputs'!$B$21),ISNUMBER('Inputs'!$B$24),ISNUMBER('Inputs'!$B$28)),((('Results'!C7*(1-'Inputs'!$B$24)*(0.5*((((170-43)*MAX('Inputs'!$B$33,'Inputs'!$B$29+'Inputs'!$B$31+'Inputs'!$B$32,'Inputs'!$B$30+'Inputs'!$B$31+'Inputs'!$B$32)/1000+'Inputs'!$B$21)+'Inputs'!$B$9)/SQRT((((170-43)*MAX('Inputs'!$B$33,'Inputs'!$B$29+'Inputs'!$B$31+'Inputs'!$B$32,'Inputs'!$B$30+'Inputs'!$B$31+'Inputs'!$B$32)/1000+'Inputs'!$B$21)+'Inputs'!$B$9)^2+('Inputs'!$B$8/2)^2)-(((170-43)*MAX('Inputs'!$B$33,'Inputs'!$B$29+'Inputs'!$B$31+'Inputs'!$B$32,'Inputs'!$B$30+'Inputs'!$B$31+'Inputs'!$B$32)/1000+'Inputs'!$B$21))/SQRT((((170-43)*MAX('Inputs'!$B$33,'Inputs'!$B$29+'Inputs'!$B$31+'Inputs'!$B$32,'Inputs'!$B$30+'Inputs'!$B$31+'Inputs'!$B$32)/1000+'Inputs'!$B$21))^2+('Inputs'!$B$8/2)^2)))-'Results'!B7*(1+'Inputs'!$B$24)*(0.5*((((170-43)*MAX('Inputs'!$B$33,'Inputs'!$B$29+'Inputs'!$B$31+'Inputs'!$B$32,'Inputs'!$B$30+'Inputs'!$B$31+'Inputs'!$B$32)/1000+'Inputs'!$B$21+'Inputs'!$B$9+'Inputs'!$B$10)+'Inputs'!$B$7)/SQRT((((170-43)*MAX('Inputs'!$B$33,'Inputs'!$B$29+'Inputs'!$B$31+'Inputs'!$B$32,'Inputs'!$B$30+'Inputs'!$B$31+'Inputs'!$B$32)/1000+'Inputs'!$B$21+'Inputs'!$B$9+'Inputs'!$B$10)+'Inputs'!$B$7)^2+('Inputs'!$B$6/2)^2)-(((170-43)*MAX('Inputs'!$B$33,'Inputs'!$B$29+'Inputs'!$B$31+'Inputs'!$B$32,'Inputs'!$B$30+'Inputs'!$B$31+'Inputs'!$B$32)/1000+'Inputs'!$B$21+'Inputs'!$B$9+'Inputs'!$B$10))/SQRT((((170-43)*MAX('Inputs'!$B$33,'Inputs'!$B$29+'Inputs'!$B$31+'Inputs'!$B$32,'Inputs'!$B$30+'Inputs'!$B$31+'Inputs'!$B$32)/1000+'Inputs'!$B$21+'Inputs'!$B$9+'Inputs'!$B$10))^2+('Inputs'!$B$6/2)^2))))*'Results'!$B$8)-'Inputs'!$B$28*ABS((('Results'!C7*(1-'Inputs'!$B$24)*(0.5*((((170-43)*MAX('Inputs'!$B$33,'Inputs'!$B$29+'Inputs'!$B$31+'Inputs'!$B$32,'Inputs'!$B$30+'Inputs'!$B$31+'Inputs'!$B$32)/1000+'Inputs'!$B$21)+'Inputs'!$B$9)/SQRT((((170-43)*MAX('Inputs'!$B$33,'Inputs'!$B$29+'Inputs'!$B$31+'Inputs'!$B$32,'Inputs'!$B$30+'Inputs'!$B$31+'Inputs'!$B$32)/1000+'Inputs'!$B$21)+'Inputs'!$B$9)^2+('Inputs'!$B$8/2)^2)-(((170-43)*MAX('Inputs'!$B$33,'Inputs'!$B$29+'Inputs'!$B$31+'Inputs'!$B$32,'Inputs'!$B$30+'Inputs'!$B$31+'Inputs'!$B$32)/1000+'Inputs'!$B$21))/SQRT((((170-43)*MAX('Inputs'!$B$33,'Inputs'!$B$29+'Inputs'!$B$31+'Inputs'!$B$32,'Inputs'!$B$30+'Inputs'!$B$31+'Inputs'!$B$32)/1000+'Inputs'!$B$21))^2+('Inputs'!$B$8/2)^2)))-'Results'!B7*(1+'Inputs'!$B$24)*(0.5*((((170-43)*MAX('Inputs'!$B$33,'Inputs'!$B$29+'Inputs'!$B$31+'Inputs'!$B$32,'Inputs'!$B$30+'Inputs'!$B$31+'Inputs'!$B$32)/1000+'Inputs'!$B$21+'Inputs'!$B$9+'Inputs'!$B$10)+'Inputs'!$B$7)/SQRT((((170-43)*MAX('Inputs'!$B$33,'Inputs'!$B$29+'Inputs'!$B$31+'Inputs'!$B$32,'Inputs'!$B$30+'Inputs'!$B$31+'Inputs'!$B$32)/1000+'Inputs'!$B$21+'Inputs'!$B$9+'Inputs'!$B$10)+'Inputs'!$B$7)^2+('Inputs'!$B$6/2)^2)-(((170-43)*MAX('Inputs'!$B$33,'Inputs'!$B$29+'Inputs'!$B$31+'Inputs'!$B$32,'Inputs'!$B$30+'Inputs'!$B$31+'Inputs'!$B$32)/1000+'Inputs'!$B$21+'Inputs'!$B$9+'Inputs'!$B$10))/SQRT((((170-43)*MAX('Inputs'!$B$33,'Inputs'!$B$29+'Inputs'!$B$31+'Inputs'!$B$32,'Inputs'!$B$30+'Inputs'!$B$31+'Inputs'!$B$32)/1000+'Inputs'!$B$21+'Inputs'!$B$9+'Inputs'!$B$10))^2+('Inputs'!$B$6/2)^2))))*'Results'!$B$8))),"")</x:f>
        <x:v>202.6273315102287</x:v>
      </x:c>
      <x:c r="O170" t="n">
        <x:f>IF(AND(ISNUMBER('Results'!C7),ISNUMBER('Results'!B7),ISNUMBER('Results'!$B$8),ISNUMBER('Inputs'!$B$6),ISNUMBER('Inputs'!$B$7),ISNUMBER('Inputs'!$B$8),ISNUMBER('Inputs'!$B$9),ISNUMBER('Inputs'!$B$10),ISNUMBER('Inputs'!$B$21),ISNUMBER('Inputs'!$B$24),ISNUMBER('Inputs'!$B$28)),((('Results'!C7*(1+'Inputs'!$B$24)*(0.5*((((170-43)*MAX('Inputs'!$B$33,'Inputs'!$B$29+'Inputs'!$B$31+'Inputs'!$B$32,'Inputs'!$B$30+'Inputs'!$B$31+'Inputs'!$B$32)/1000+'Inputs'!$B$21)+'Inputs'!$B$9)/SQRT((((170-43)*MAX('Inputs'!$B$33,'Inputs'!$B$29+'Inputs'!$B$31+'Inputs'!$B$32,'Inputs'!$B$30+'Inputs'!$B$31+'Inputs'!$B$32)/1000+'Inputs'!$B$21)+'Inputs'!$B$9)^2+('Inputs'!$B$8/2)^2)-(((170-43)*MAX('Inputs'!$B$33,'Inputs'!$B$29+'Inputs'!$B$31+'Inputs'!$B$32,'Inputs'!$B$30+'Inputs'!$B$31+'Inputs'!$B$32)/1000+'Inputs'!$B$21))/SQRT((((170-43)*MAX('Inputs'!$B$33,'Inputs'!$B$29+'Inputs'!$B$31+'Inputs'!$B$32,'Inputs'!$B$30+'Inputs'!$B$31+'Inputs'!$B$32)/1000+'Inputs'!$B$21))^2+('Inputs'!$B$8/2)^2)))-'Results'!B7*(1-'Inputs'!$B$24)*(0.5*((((170-43)*MAX('Inputs'!$B$33,'Inputs'!$B$29+'Inputs'!$B$31+'Inputs'!$B$32,'Inputs'!$B$30+'Inputs'!$B$31+'Inputs'!$B$32)/1000+'Inputs'!$B$21+'Inputs'!$B$9+'Inputs'!$B$10)+'Inputs'!$B$7)/SQRT((((170-43)*MAX('Inputs'!$B$33,'Inputs'!$B$29+'Inputs'!$B$31+'Inputs'!$B$32,'Inputs'!$B$30+'Inputs'!$B$31+'Inputs'!$B$32)/1000+'Inputs'!$B$21+'Inputs'!$B$9+'Inputs'!$B$10)+'Inputs'!$B$7)^2+('Inputs'!$B$6/2)^2)-(((170-43)*MAX('Inputs'!$B$33,'Inputs'!$B$29+'Inputs'!$B$31+'Inputs'!$B$32,'Inputs'!$B$30+'Inputs'!$B$31+'Inputs'!$B$32)/1000+'Inputs'!$B$21+'Inputs'!$B$9+'Inputs'!$B$10))/SQRT((((170-43)*MAX('Inputs'!$B$33,'Inputs'!$B$29+'Inputs'!$B$31+'Inputs'!$B$32,'Inputs'!$B$30+'Inputs'!$B$31+'Inputs'!$B$32)/1000+'Inputs'!$B$21+'Inputs'!$B$9+'Inputs'!$B$10))^2+('Inputs'!$B$6/2)^2))))*'Results'!$B$8)+'Inputs'!$B$28*ABS((('Results'!C7*(1+'Inputs'!$B$24)*(0.5*((((170-43)*MAX('Inputs'!$B$33,'Inputs'!$B$29+'Inputs'!$B$31+'Inputs'!$B$32,'Inputs'!$B$30+'Inputs'!$B$31+'Inputs'!$B$32)/1000+'Inputs'!$B$21)+'Inputs'!$B$9)/SQRT((((170-43)*MAX('Inputs'!$B$33,'Inputs'!$B$29+'Inputs'!$B$31+'Inputs'!$B$32,'Inputs'!$B$30+'Inputs'!$B$31+'Inputs'!$B$32)/1000+'Inputs'!$B$21)+'Inputs'!$B$9)^2+('Inputs'!$B$8/2)^2)-(((170-43)*MAX('Inputs'!$B$33,'Inputs'!$B$29+'Inputs'!$B$31+'Inputs'!$B$32,'Inputs'!$B$30+'Inputs'!$B$31+'Inputs'!$B$32)/1000+'Inputs'!$B$21))/SQRT((((170-43)*MAX('Inputs'!$B$33,'Inputs'!$B$29+'Inputs'!$B$31+'Inputs'!$B$32,'Inputs'!$B$30+'Inputs'!$B$31+'Inputs'!$B$32)/1000+'Inputs'!$B$21))^2+('Inputs'!$B$8/2)^2)))-'Results'!B7*(1-'Inputs'!$B$24)*(0.5*((((170-43)*MAX('Inputs'!$B$33,'Inputs'!$B$29+'Inputs'!$B$31+'Inputs'!$B$32,'Inputs'!$B$30+'Inputs'!$B$31+'Inputs'!$B$32)/1000+'Inputs'!$B$21+'Inputs'!$B$9+'Inputs'!$B$10)+'Inputs'!$B$7)/SQRT((((170-43)*MAX('Inputs'!$B$33,'Inputs'!$B$29+'Inputs'!$B$31+'Inputs'!$B$32,'Inputs'!$B$30+'Inputs'!$B$31+'Inputs'!$B$32)/1000+'Inputs'!$B$21+'Inputs'!$B$9+'Inputs'!$B$10)+'Inputs'!$B$7)^2+('Inputs'!$B$6/2)^2)-(((170-43)*MAX('Inputs'!$B$33,'Inputs'!$B$29+'Inputs'!$B$31+'Inputs'!$B$32,'Inputs'!$B$30+'Inputs'!$B$31+'Inputs'!$B$32)/1000+'Inputs'!$B$21+'Inputs'!$B$9+'Inputs'!$B$10))/SQRT((((170-43)*MAX('Inputs'!$B$33,'Inputs'!$B$29+'Inputs'!$B$31+'Inputs'!$B$32,'Inputs'!$B$30+'Inputs'!$B$31+'Inputs'!$B$32)/1000+'Inputs'!$B$21+'Inputs'!$B$9+'Inputs'!$B$10))^2+('Inputs'!$B$6/2)^2))))*'Results'!$B$8))),"")</x:f>
        <x:v>238.73745276838522</x:v>
      </x:c>
      <x:c r="P170" t="n">
        <x:f>IF(AND(MAX(J170,J169)&gt;0,J170&gt;J169+0.00000001),1,0)</x:f>
        <x:v>0</x:v>
      </x:c>
      <x:c r="Q170" t="n">
        <x:f>IF(AND(MAX(K170,K169)&gt;0,K170&gt;K169+0.00000001),1,0)</x:f>
        <x:v>0</x:v>
      </x:c>
      <x:c r="R170" t="n">
        <x:f>IF(AND(MAX(L170,L169)&gt;0,L170&gt;L169+0.00000001),1,0)</x:f>
        <x:v>0</x:v>
      </x:c>
      <x:c r="S170" t="n">
        <x:f>IF(AND(MAX(M170,M169)&gt;0,M170&gt;M169+0.00000001),1,0)</x:f>
        <x:v>0</x:v>
      </x:c>
      <x:c r="T170" t="n">
        <x:f>IF(AND(MAX(N170,N169)&gt;0,N170&gt;N169+0.00000001),1,0)</x:f>
        <x:v>0</x:v>
      </x:c>
      <x:c r="U170" t="n">
        <x:f>IF(AND(MAX(O170,O169)&gt;0,O170&gt;O169+0.00000001),1,0)</x:f>
        <x:v>0</x:v>
      </x:c>
    </x:row>
    <x:row r="171">
      <x:c r="J171" t="n">
        <x:f>IF(AND(ISNUMBER('Results'!B7),ISNUMBER('Results'!C7),ISNUMBER('Results'!$B$8),ISNUMBER('Inputs'!$B$6),ISNUMBER('Inputs'!$B$7),ISNUMBER('Inputs'!$B$8),ISNUMBER('Inputs'!$B$9),ISNUMBER('Inputs'!$B$10),ISNUMBER('Inputs'!$B$21),ISNUMBER('Inputs'!$B$24),ISNUMBER('Inputs'!$B$28)),(('Results'!B7*(0.5*((((171-43)*MAX('Inputs'!$B$33,'Inputs'!$B$29+'Inputs'!$B$31+'Inputs'!$B$32,'Inputs'!$B$30+'Inputs'!$B$31+'Inputs'!$B$32)/1000+'Inputs'!$B$21)+'Inputs'!$B$7)/SQRT((((171-43)*MAX('Inputs'!$B$33,'Inputs'!$B$29+'Inputs'!$B$31+'Inputs'!$B$32,'Inputs'!$B$30+'Inputs'!$B$31+'Inputs'!$B$32)/1000+'Inputs'!$B$21)+'Inputs'!$B$7)^2+('Inputs'!$B$6/2)^2)-(((171-43)*MAX('Inputs'!$B$33,'Inputs'!$B$29+'Inputs'!$B$31+'Inputs'!$B$32,'Inputs'!$B$30+'Inputs'!$B$31+'Inputs'!$B$32)/1000+'Inputs'!$B$21))/SQRT((((171-43)*MAX('Inputs'!$B$33,'Inputs'!$B$29+'Inputs'!$B$31+'Inputs'!$B$32,'Inputs'!$B$30+'Inputs'!$B$31+'Inputs'!$B$32)/1000+'Inputs'!$B$21))^2+('Inputs'!$B$6/2)^2)))-'Results'!C7*(0.5*((((171-43)*MAX('Inputs'!$B$33,'Inputs'!$B$29+'Inputs'!$B$31+'Inputs'!$B$32,'Inputs'!$B$30+'Inputs'!$B$31+'Inputs'!$B$32)/1000+'Inputs'!$B$21+'Inputs'!$B$7+'Inputs'!$B$10)+'Inputs'!$B$9)/SQRT((((171-43)*MAX('Inputs'!$B$33,'Inputs'!$B$29+'Inputs'!$B$31+'Inputs'!$B$32,'Inputs'!$B$30+'Inputs'!$B$31+'Inputs'!$B$32)/1000+'Inputs'!$B$21+'Inputs'!$B$7+'Inputs'!$B$10)+'Inputs'!$B$9)^2+('Inputs'!$B$8/2)^2)-(((171-43)*MAX('Inputs'!$B$33,'Inputs'!$B$29+'Inputs'!$B$31+'Inputs'!$B$32,'Inputs'!$B$30+'Inputs'!$B$31+'Inputs'!$B$32)/1000+'Inputs'!$B$21+'Inputs'!$B$7+'Inputs'!$B$10))/SQRT((((171-43)*MAX('Inputs'!$B$33,'Inputs'!$B$29+'Inputs'!$B$31+'Inputs'!$B$32,'Inputs'!$B$30+'Inputs'!$B$31+'Inputs'!$B$32)/1000+'Inputs'!$B$21+'Inputs'!$B$7+'Inputs'!$B$10))^2+('Inputs'!$B$8/2)^2))))*'Results'!$B$8),"")</x:f>
        <x:v>223.55408529420882</x:v>
      </x:c>
      <x:c r="K171" t="n">
        <x:f>IF(AND(ISNUMBER('Results'!B7),ISNUMBER('Results'!C7),ISNUMBER('Results'!$B$8),ISNUMBER('Inputs'!$B$6),ISNUMBER('Inputs'!$B$7),ISNUMBER('Inputs'!$B$8),ISNUMBER('Inputs'!$B$9),ISNUMBER('Inputs'!$B$10),ISNUMBER('Inputs'!$B$21),ISNUMBER('Inputs'!$B$24),ISNUMBER('Inputs'!$B$28)),((('Results'!B7*(1-'Inputs'!$B$24)*(0.5*((((171-43)*MAX('Inputs'!$B$33,'Inputs'!$B$29+'Inputs'!$B$31+'Inputs'!$B$32,'Inputs'!$B$30+'Inputs'!$B$31+'Inputs'!$B$32)/1000+'Inputs'!$B$21)+'Inputs'!$B$7)/SQRT((((171-43)*MAX('Inputs'!$B$33,'Inputs'!$B$29+'Inputs'!$B$31+'Inputs'!$B$32,'Inputs'!$B$30+'Inputs'!$B$31+'Inputs'!$B$32)/1000+'Inputs'!$B$21)+'Inputs'!$B$7)^2+('Inputs'!$B$6/2)^2)-(((171-43)*MAX('Inputs'!$B$33,'Inputs'!$B$29+'Inputs'!$B$31+'Inputs'!$B$32,'Inputs'!$B$30+'Inputs'!$B$31+'Inputs'!$B$32)/1000+'Inputs'!$B$21))/SQRT((((171-43)*MAX('Inputs'!$B$33,'Inputs'!$B$29+'Inputs'!$B$31+'Inputs'!$B$32,'Inputs'!$B$30+'Inputs'!$B$31+'Inputs'!$B$32)/1000+'Inputs'!$B$21))^2+('Inputs'!$B$6/2)^2)))-'Results'!C7*(1+'Inputs'!$B$24)*(0.5*((((171-43)*MAX('Inputs'!$B$33,'Inputs'!$B$29+'Inputs'!$B$31+'Inputs'!$B$32,'Inputs'!$B$30+'Inputs'!$B$31+'Inputs'!$B$32)/1000+'Inputs'!$B$21+'Inputs'!$B$7+'Inputs'!$B$10)+'Inputs'!$B$9)/SQRT((((171-43)*MAX('Inputs'!$B$33,'Inputs'!$B$29+'Inputs'!$B$31+'Inputs'!$B$32,'Inputs'!$B$30+'Inputs'!$B$31+'Inputs'!$B$32)/1000+'Inputs'!$B$21+'Inputs'!$B$7+'Inputs'!$B$10)+'Inputs'!$B$9)^2+('Inputs'!$B$8/2)^2)-(((171-43)*MAX('Inputs'!$B$33,'Inputs'!$B$29+'Inputs'!$B$31+'Inputs'!$B$32,'Inputs'!$B$30+'Inputs'!$B$31+'Inputs'!$B$32)/1000+'Inputs'!$B$21+'Inputs'!$B$7+'Inputs'!$B$10))/SQRT((((171-43)*MAX('Inputs'!$B$33,'Inputs'!$B$29+'Inputs'!$B$31+'Inputs'!$B$32,'Inputs'!$B$30+'Inputs'!$B$31+'Inputs'!$B$32)/1000+'Inputs'!$B$21+'Inputs'!$B$7+'Inputs'!$B$10))^2+('Inputs'!$B$8/2)^2))))*'Results'!$B$8)-'Inputs'!$B$28*ABS((('Results'!B7*(1-'Inputs'!$B$24)*(0.5*((((171-43)*MAX('Inputs'!$B$33,'Inputs'!$B$29+'Inputs'!$B$31+'Inputs'!$B$32,'Inputs'!$B$30+'Inputs'!$B$31+'Inputs'!$B$32)/1000+'Inputs'!$B$21)+'Inputs'!$B$7)/SQRT((((171-43)*MAX('Inputs'!$B$33,'Inputs'!$B$29+'Inputs'!$B$31+'Inputs'!$B$32,'Inputs'!$B$30+'Inputs'!$B$31+'Inputs'!$B$32)/1000+'Inputs'!$B$21)+'Inputs'!$B$7)^2+('Inputs'!$B$6/2)^2)-(((171-43)*MAX('Inputs'!$B$33,'Inputs'!$B$29+'Inputs'!$B$31+'Inputs'!$B$32,'Inputs'!$B$30+'Inputs'!$B$31+'Inputs'!$B$32)/1000+'Inputs'!$B$21))/SQRT((((171-43)*MAX('Inputs'!$B$33,'Inputs'!$B$29+'Inputs'!$B$31+'Inputs'!$B$32,'Inputs'!$B$30+'Inputs'!$B$31+'Inputs'!$B$32)/1000+'Inputs'!$B$21))^2+('Inputs'!$B$6/2)^2)))-'Results'!C7*(1+'Inputs'!$B$24)*(0.5*((((171-43)*MAX('Inputs'!$B$33,'Inputs'!$B$29+'Inputs'!$B$31+'Inputs'!$B$32,'Inputs'!$B$30+'Inputs'!$B$31+'Inputs'!$B$32)/1000+'Inputs'!$B$21+'Inputs'!$B$7+'Inputs'!$B$10)+'Inputs'!$B$9)/SQRT((((171-43)*MAX('Inputs'!$B$33,'Inputs'!$B$29+'Inputs'!$B$31+'Inputs'!$B$32,'Inputs'!$B$30+'Inputs'!$B$31+'Inputs'!$B$32)/1000+'Inputs'!$B$21+'Inputs'!$B$7+'Inputs'!$B$10)+'Inputs'!$B$9)^2+('Inputs'!$B$8/2)^2)-(((171-43)*MAX('Inputs'!$B$33,'Inputs'!$B$29+'Inputs'!$B$31+'Inputs'!$B$32,'Inputs'!$B$30+'Inputs'!$B$31+'Inputs'!$B$32)/1000+'Inputs'!$B$21+'Inputs'!$B$7+'Inputs'!$B$10))/SQRT((((171-43)*MAX('Inputs'!$B$33,'Inputs'!$B$29+'Inputs'!$B$31+'Inputs'!$B$32,'Inputs'!$B$30+'Inputs'!$B$31+'Inputs'!$B$32)/1000+'Inputs'!$B$21+'Inputs'!$B$7+'Inputs'!$B$10))^2+('Inputs'!$B$8/2)^2))))*'Results'!$B$8))),"")</x:f>
        <x:v>205.70423107326297</x:v>
      </x:c>
      <x:c r="L171" t="n">
        <x:f>IF(AND(ISNUMBER('Results'!B7),ISNUMBER('Results'!C7),ISNUMBER('Results'!$B$8),ISNUMBER('Inputs'!$B$6),ISNUMBER('Inputs'!$B$7),ISNUMBER('Inputs'!$B$8),ISNUMBER('Inputs'!$B$9),ISNUMBER('Inputs'!$B$10),ISNUMBER('Inputs'!$B$21),ISNUMBER('Inputs'!$B$24),ISNUMBER('Inputs'!$B$28)),((('Results'!B7*(1+'Inputs'!$B$24)*(0.5*((((171-43)*MAX('Inputs'!$B$33,'Inputs'!$B$29+'Inputs'!$B$31+'Inputs'!$B$32,'Inputs'!$B$30+'Inputs'!$B$31+'Inputs'!$B$32)/1000+'Inputs'!$B$21)+'Inputs'!$B$7)/SQRT((((171-43)*MAX('Inputs'!$B$33,'Inputs'!$B$29+'Inputs'!$B$31+'Inputs'!$B$32,'Inputs'!$B$30+'Inputs'!$B$31+'Inputs'!$B$32)/1000+'Inputs'!$B$21)+'Inputs'!$B$7)^2+('Inputs'!$B$6/2)^2)-(((171-43)*MAX('Inputs'!$B$33,'Inputs'!$B$29+'Inputs'!$B$31+'Inputs'!$B$32,'Inputs'!$B$30+'Inputs'!$B$31+'Inputs'!$B$32)/1000+'Inputs'!$B$21))/SQRT((((171-43)*MAX('Inputs'!$B$33,'Inputs'!$B$29+'Inputs'!$B$31+'Inputs'!$B$32,'Inputs'!$B$30+'Inputs'!$B$31+'Inputs'!$B$32)/1000+'Inputs'!$B$21))^2+('Inputs'!$B$6/2)^2)))-'Results'!C7*(1-'Inputs'!$B$24)*(0.5*((((171-43)*MAX('Inputs'!$B$33,'Inputs'!$B$29+'Inputs'!$B$31+'Inputs'!$B$32,'Inputs'!$B$30+'Inputs'!$B$31+'Inputs'!$B$32)/1000+'Inputs'!$B$21+'Inputs'!$B$7+'Inputs'!$B$10)+'Inputs'!$B$9)/SQRT((((171-43)*MAX('Inputs'!$B$33,'Inputs'!$B$29+'Inputs'!$B$31+'Inputs'!$B$32,'Inputs'!$B$30+'Inputs'!$B$31+'Inputs'!$B$32)/1000+'Inputs'!$B$21+'Inputs'!$B$7+'Inputs'!$B$10)+'Inputs'!$B$9)^2+('Inputs'!$B$8/2)^2)-(((171-43)*MAX('Inputs'!$B$33,'Inputs'!$B$29+'Inputs'!$B$31+'Inputs'!$B$32,'Inputs'!$B$30+'Inputs'!$B$31+'Inputs'!$B$32)/1000+'Inputs'!$B$21+'Inputs'!$B$7+'Inputs'!$B$10))/SQRT((((171-43)*MAX('Inputs'!$B$33,'Inputs'!$B$29+'Inputs'!$B$31+'Inputs'!$B$32,'Inputs'!$B$30+'Inputs'!$B$31+'Inputs'!$B$32)/1000+'Inputs'!$B$21+'Inputs'!$B$7+'Inputs'!$B$10))^2+('Inputs'!$B$8/2)^2))))*'Results'!$B$8)+'Inputs'!$B$28*ABS((('Results'!B7*(1+'Inputs'!$B$24)*(0.5*((((171-43)*MAX('Inputs'!$B$33,'Inputs'!$B$29+'Inputs'!$B$31+'Inputs'!$B$32,'Inputs'!$B$30+'Inputs'!$B$31+'Inputs'!$B$32)/1000+'Inputs'!$B$21)+'Inputs'!$B$7)/SQRT((((171-43)*MAX('Inputs'!$B$33,'Inputs'!$B$29+'Inputs'!$B$31+'Inputs'!$B$32,'Inputs'!$B$30+'Inputs'!$B$31+'Inputs'!$B$32)/1000+'Inputs'!$B$21)+'Inputs'!$B$7)^2+('Inputs'!$B$6/2)^2)-(((171-43)*MAX('Inputs'!$B$33,'Inputs'!$B$29+'Inputs'!$B$31+'Inputs'!$B$32,'Inputs'!$B$30+'Inputs'!$B$31+'Inputs'!$B$32)/1000+'Inputs'!$B$21))/SQRT((((171-43)*MAX('Inputs'!$B$33,'Inputs'!$B$29+'Inputs'!$B$31+'Inputs'!$B$32,'Inputs'!$B$30+'Inputs'!$B$31+'Inputs'!$B$32)/1000+'Inputs'!$B$21))^2+('Inputs'!$B$6/2)^2)))-'Results'!C7*(1-'Inputs'!$B$24)*(0.5*((((171-43)*MAX('Inputs'!$B$33,'Inputs'!$B$29+'Inputs'!$B$31+'Inputs'!$B$32,'Inputs'!$B$30+'Inputs'!$B$31+'Inputs'!$B$32)/1000+'Inputs'!$B$21+'Inputs'!$B$7+'Inputs'!$B$10)+'Inputs'!$B$9)/SQRT((((171-43)*MAX('Inputs'!$B$33,'Inputs'!$B$29+'Inputs'!$B$31+'Inputs'!$B$32,'Inputs'!$B$30+'Inputs'!$B$31+'Inputs'!$B$32)/1000+'Inputs'!$B$21+'Inputs'!$B$7+'Inputs'!$B$10)+'Inputs'!$B$9)^2+('Inputs'!$B$8/2)^2)-(((171-43)*MAX('Inputs'!$B$33,'Inputs'!$B$29+'Inputs'!$B$31+'Inputs'!$B$32,'Inputs'!$B$30+'Inputs'!$B$31+'Inputs'!$B$32)/1000+'Inputs'!$B$21+'Inputs'!$B$7+'Inputs'!$B$10))/SQRT((((171-43)*MAX('Inputs'!$B$33,'Inputs'!$B$29+'Inputs'!$B$31+'Inputs'!$B$32,'Inputs'!$B$30+'Inputs'!$B$31+'Inputs'!$B$32)/1000+'Inputs'!$B$21+'Inputs'!$B$7+'Inputs'!$B$10))^2+('Inputs'!$B$8/2)^2))))*'Results'!$B$8))),"")</x:f>
        <x:v>242.10627108949524</x:v>
      </x:c>
      <x:c r="M171" t="n">
        <x:f>IF(AND(ISNUMBER('Results'!C7),ISNUMBER('Results'!B7),ISNUMBER('Results'!$B$8),ISNUMBER('Inputs'!$B$6),ISNUMBER('Inputs'!$B$7),ISNUMBER('Inputs'!$B$8),ISNUMBER('Inputs'!$B$9),ISNUMBER('Inputs'!$B$10),ISNUMBER('Inputs'!$B$21),ISNUMBER('Inputs'!$B$24),ISNUMBER('Inputs'!$B$28)),(('Results'!C7*(0.5*((((171-43)*MAX('Inputs'!$B$33,'Inputs'!$B$29+'Inputs'!$B$31+'Inputs'!$B$32,'Inputs'!$B$30+'Inputs'!$B$31+'Inputs'!$B$32)/1000+'Inputs'!$B$21)+'Inputs'!$B$9)/SQRT((((171-43)*MAX('Inputs'!$B$33,'Inputs'!$B$29+'Inputs'!$B$31+'Inputs'!$B$32,'Inputs'!$B$30+'Inputs'!$B$31+'Inputs'!$B$32)/1000+'Inputs'!$B$21)+'Inputs'!$B$9)^2+('Inputs'!$B$8/2)^2)-(((171-43)*MAX('Inputs'!$B$33,'Inputs'!$B$29+'Inputs'!$B$31+'Inputs'!$B$32,'Inputs'!$B$30+'Inputs'!$B$31+'Inputs'!$B$32)/1000+'Inputs'!$B$21))/SQRT((((171-43)*MAX('Inputs'!$B$33,'Inputs'!$B$29+'Inputs'!$B$31+'Inputs'!$B$32,'Inputs'!$B$30+'Inputs'!$B$31+'Inputs'!$B$32)/1000+'Inputs'!$B$21))^2+('Inputs'!$B$8/2)^2)))-'Results'!B7*(0.5*((((171-43)*MAX('Inputs'!$B$33,'Inputs'!$B$29+'Inputs'!$B$31+'Inputs'!$B$32,'Inputs'!$B$30+'Inputs'!$B$31+'Inputs'!$B$32)/1000+'Inputs'!$B$21+'Inputs'!$B$9+'Inputs'!$B$10)+'Inputs'!$B$7)/SQRT((((171-43)*MAX('Inputs'!$B$33,'Inputs'!$B$29+'Inputs'!$B$31+'Inputs'!$B$32,'Inputs'!$B$30+'Inputs'!$B$31+'Inputs'!$B$32)/1000+'Inputs'!$B$21+'Inputs'!$B$9+'Inputs'!$B$10)+'Inputs'!$B$7)^2+('Inputs'!$B$6/2)^2)-(((171-43)*MAX('Inputs'!$B$33,'Inputs'!$B$29+'Inputs'!$B$31+'Inputs'!$B$32,'Inputs'!$B$30+'Inputs'!$B$31+'Inputs'!$B$32)/1000+'Inputs'!$B$21+'Inputs'!$B$9+'Inputs'!$B$10))/SQRT((((171-43)*MAX('Inputs'!$B$33,'Inputs'!$B$29+'Inputs'!$B$31+'Inputs'!$B$32,'Inputs'!$B$30+'Inputs'!$B$31+'Inputs'!$B$32)/1000+'Inputs'!$B$21+'Inputs'!$B$9+'Inputs'!$B$10))^2+('Inputs'!$B$6/2)^2))))*'Results'!$B$8),"")</x:f>
        <x:v>216.50472634633863</x:v>
      </x:c>
      <x:c r="N171" t="n">
        <x:f>IF(AND(ISNUMBER('Results'!C7),ISNUMBER('Results'!B7),ISNUMBER('Results'!$B$8),ISNUMBER('Inputs'!$B$6),ISNUMBER('Inputs'!$B$7),ISNUMBER('Inputs'!$B$8),ISNUMBER('Inputs'!$B$9),ISNUMBER('Inputs'!$B$10),ISNUMBER('Inputs'!$B$21),ISNUMBER('Inputs'!$B$24),ISNUMBER('Inputs'!$B$28)),((('Results'!C7*(1-'Inputs'!$B$24)*(0.5*((((171-43)*MAX('Inputs'!$B$33,'Inputs'!$B$29+'Inputs'!$B$31+'Inputs'!$B$32,'Inputs'!$B$30+'Inputs'!$B$31+'Inputs'!$B$32)/1000+'Inputs'!$B$21)+'Inputs'!$B$9)/SQRT((((171-43)*MAX('Inputs'!$B$33,'Inputs'!$B$29+'Inputs'!$B$31+'Inputs'!$B$32,'Inputs'!$B$30+'Inputs'!$B$31+'Inputs'!$B$32)/1000+'Inputs'!$B$21)+'Inputs'!$B$9)^2+('Inputs'!$B$8/2)^2)-(((171-43)*MAX('Inputs'!$B$33,'Inputs'!$B$29+'Inputs'!$B$31+'Inputs'!$B$32,'Inputs'!$B$30+'Inputs'!$B$31+'Inputs'!$B$32)/1000+'Inputs'!$B$21))/SQRT((((171-43)*MAX('Inputs'!$B$33,'Inputs'!$B$29+'Inputs'!$B$31+'Inputs'!$B$32,'Inputs'!$B$30+'Inputs'!$B$31+'Inputs'!$B$32)/1000+'Inputs'!$B$21))^2+('Inputs'!$B$8/2)^2)))-'Results'!B7*(1+'Inputs'!$B$24)*(0.5*((((171-43)*MAX('Inputs'!$B$33,'Inputs'!$B$29+'Inputs'!$B$31+'Inputs'!$B$32,'Inputs'!$B$30+'Inputs'!$B$31+'Inputs'!$B$32)/1000+'Inputs'!$B$21+'Inputs'!$B$9+'Inputs'!$B$10)+'Inputs'!$B$7)/SQRT((((171-43)*MAX('Inputs'!$B$33,'Inputs'!$B$29+'Inputs'!$B$31+'Inputs'!$B$32,'Inputs'!$B$30+'Inputs'!$B$31+'Inputs'!$B$32)/1000+'Inputs'!$B$21+'Inputs'!$B$9+'Inputs'!$B$10)+'Inputs'!$B$7)^2+('Inputs'!$B$6/2)^2)-(((171-43)*MAX('Inputs'!$B$33,'Inputs'!$B$29+'Inputs'!$B$31+'Inputs'!$B$32,'Inputs'!$B$30+'Inputs'!$B$31+'Inputs'!$B$32)/1000+'Inputs'!$B$21+'Inputs'!$B$9+'Inputs'!$B$10))/SQRT((((171-43)*MAX('Inputs'!$B$33,'Inputs'!$B$29+'Inputs'!$B$31+'Inputs'!$B$32,'Inputs'!$B$30+'Inputs'!$B$31+'Inputs'!$B$32)/1000+'Inputs'!$B$21+'Inputs'!$B$9+'Inputs'!$B$10))^2+('Inputs'!$B$6/2)^2))))*'Results'!$B$8)-'Inputs'!$B$28*ABS((('Results'!C7*(1-'Inputs'!$B$24)*(0.5*((((171-43)*MAX('Inputs'!$B$33,'Inputs'!$B$29+'Inputs'!$B$31+'Inputs'!$B$32,'Inputs'!$B$30+'Inputs'!$B$31+'Inputs'!$B$32)/1000+'Inputs'!$B$21)+'Inputs'!$B$9)/SQRT((((171-43)*MAX('Inputs'!$B$33,'Inputs'!$B$29+'Inputs'!$B$31+'Inputs'!$B$32,'Inputs'!$B$30+'Inputs'!$B$31+'Inputs'!$B$32)/1000+'Inputs'!$B$21)+'Inputs'!$B$9)^2+('Inputs'!$B$8/2)^2)-(((171-43)*MAX('Inputs'!$B$33,'Inputs'!$B$29+'Inputs'!$B$31+'Inputs'!$B$32,'Inputs'!$B$30+'Inputs'!$B$31+'Inputs'!$B$32)/1000+'Inputs'!$B$21))/SQRT((((171-43)*MAX('Inputs'!$B$33,'Inputs'!$B$29+'Inputs'!$B$31+'Inputs'!$B$32,'Inputs'!$B$30+'Inputs'!$B$31+'Inputs'!$B$32)/1000+'Inputs'!$B$21))^2+('Inputs'!$B$8/2)^2)))-'Results'!B7*(1+'Inputs'!$B$24)*(0.5*((((171-43)*MAX('Inputs'!$B$33,'Inputs'!$B$29+'Inputs'!$B$31+'Inputs'!$B$32,'Inputs'!$B$30+'Inputs'!$B$31+'Inputs'!$B$32)/1000+'Inputs'!$B$21+'Inputs'!$B$9+'Inputs'!$B$10)+'Inputs'!$B$7)/SQRT((((171-43)*MAX('Inputs'!$B$33,'Inputs'!$B$29+'Inputs'!$B$31+'Inputs'!$B$32,'Inputs'!$B$30+'Inputs'!$B$31+'Inputs'!$B$32)/1000+'Inputs'!$B$21+'Inputs'!$B$9+'Inputs'!$B$10)+'Inputs'!$B$7)^2+('Inputs'!$B$6/2)^2)-(((171-43)*MAX('Inputs'!$B$33,'Inputs'!$B$29+'Inputs'!$B$31+'Inputs'!$B$32,'Inputs'!$B$30+'Inputs'!$B$31+'Inputs'!$B$32)/1000+'Inputs'!$B$21+'Inputs'!$B$9+'Inputs'!$B$10))/SQRT((((171-43)*MAX('Inputs'!$B$33,'Inputs'!$B$29+'Inputs'!$B$31+'Inputs'!$B$32,'Inputs'!$B$30+'Inputs'!$B$31+'Inputs'!$B$32)/1000+'Inputs'!$B$21+'Inputs'!$B$9+'Inputs'!$B$10))^2+('Inputs'!$B$6/2)^2))))*'Results'!$B$8))),"")</x:f>
        <x:v>199.09179580431322</x:v>
      </x:c>
      <x:c r="O171" t="n">
        <x:f>IF(AND(ISNUMBER('Results'!C7),ISNUMBER('Results'!B7),ISNUMBER('Results'!$B$8),ISNUMBER('Inputs'!$B$6),ISNUMBER('Inputs'!$B$7),ISNUMBER('Inputs'!$B$8),ISNUMBER('Inputs'!$B$9),ISNUMBER('Inputs'!$B$10),ISNUMBER('Inputs'!$B$21),ISNUMBER('Inputs'!$B$24),ISNUMBER('Inputs'!$B$28)),((('Results'!C7*(1+'Inputs'!$B$24)*(0.5*((((171-43)*MAX('Inputs'!$B$33,'Inputs'!$B$29+'Inputs'!$B$31+'Inputs'!$B$32,'Inputs'!$B$30+'Inputs'!$B$31+'Inputs'!$B$32)/1000+'Inputs'!$B$21)+'Inputs'!$B$9)/SQRT((((171-43)*MAX('Inputs'!$B$33,'Inputs'!$B$29+'Inputs'!$B$31+'Inputs'!$B$32,'Inputs'!$B$30+'Inputs'!$B$31+'Inputs'!$B$32)/1000+'Inputs'!$B$21)+'Inputs'!$B$9)^2+('Inputs'!$B$8/2)^2)-(((171-43)*MAX('Inputs'!$B$33,'Inputs'!$B$29+'Inputs'!$B$31+'Inputs'!$B$32,'Inputs'!$B$30+'Inputs'!$B$31+'Inputs'!$B$32)/1000+'Inputs'!$B$21))/SQRT((((171-43)*MAX('Inputs'!$B$33,'Inputs'!$B$29+'Inputs'!$B$31+'Inputs'!$B$32,'Inputs'!$B$30+'Inputs'!$B$31+'Inputs'!$B$32)/1000+'Inputs'!$B$21))^2+('Inputs'!$B$8/2)^2)))-'Results'!B7*(1-'Inputs'!$B$24)*(0.5*((((171-43)*MAX('Inputs'!$B$33,'Inputs'!$B$29+'Inputs'!$B$31+'Inputs'!$B$32,'Inputs'!$B$30+'Inputs'!$B$31+'Inputs'!$B$32)/1000+'Inputs'!$B$21+'Inputs'!$B$9+'Inputs'!$B$10)+'Inputs'!$B$7)/SQRT((((171-43)*MAX('Inputs'!$B$33,'Inputs'!$B$29+'Inputs'!$B$31+'Inputs'!$B$32,'Inputs'!$B$30+'Inputs'!$B$31+'Inputs'!$B$32)/1000+'Inputs'!$B$21+'Inputs'!$B$9+'Inputs'!$B$10)+'Inputs'!$B$7)^2+('Inputs'!$B$6/2)^2)-(((171-43)*MAX('Inputs'!$B$33,'Inputs'!$B$29+'Inputs'!$B$31+'Inputs'!$B$32,'Inputs'!$B$30+'Inputs'!$B$31+'Inputs'!$B$32)/1000+'Inputs'!$B$21+'Inputs'!$B$9+'Inputs'!$B$10))/SQRT((((171-43)*MAX('Inputs'!$B$33,'Inputs'!$B$29+'Inputs'!$B$31+'Inputs'!$B$32,'Inputs'!$B$30+'Inputs'!$B$31+'Inputs'!$B$32)/1000+'Inputs'!$B$21+'Inputs'!$B$9+'Inputs'!$B$10))^2+('Inputs'!$B$6/2)^2))))*'Results'!$B$8)+'Inputs'!$B$28*ABS((('Results'!C7*(1+'Inputs'!$B$24)*(0.5*((((171-43)*MAX('Inputs'!$B$33,'Inputs'!$B$29+'Inputs'!$B$31+'Inputs'!$B$32,'Inputs'!$B$30+'Inputs'!$B$31+'Inputs'!$B$32)/1000+'Inputs'!$B$21)+'Inputs'!$B$9)/SQRT((((171-43)*MAX('Inputs'!$B$33,'Inputs'!$B$29+'Inputs'!$B$31+'Inputs'!$B$32,'Inputs'!$B$30+'Inputs'!$B$31+'Inputs'!$B$32)/1000+'Inputs'!$B$21)+'Inputs'!$B$9)^2+('Inputs'!$B$8/2)^2)-(((171-43)*MAX('Inputs'!$B$33,'Inputs'!$B$29+'Inputs'!$B$31+'Inputs'!$B$32,'Inputs'!$B$30+'Inputs'!$B$31+'Inputs'!$B$32)/1000+'Inputs'!$B$21))/SQRT((((171-43)*MAX('Inputs'!$B$33,'Inputs'!$B$29+'Inputs'!$B$31+'Inputs'!$B$32,'Inputs'!$B$30+'Inputs'!$B$31+'Inputs'!$B$32)/1000+'Inputs'!$B$21))^2+('Inputs'!$B$8/2)^2)))-'Results'!B7*(1-'Inputs'!$B$24)*(0.5*((((171-43)*MAX('Inputs'!$B$33,'Inputs'!$B$29+'Inputs'!$B$31+'Inputs'!$B$32,'Inputs'!$B$30+'Inputs'!$B$31+'Inputs'!$B$32)/1000+'Inputs'!$B$21+'Inputs'!$B$9+'Inputs'!$B$10)+'Inputs'!$B$7)/SQRT((((171-43)*MAX('Inputs'!$B$33,'Inputs'!$B$29+'Inputs'!$B$31+'Inputs'!$B$32,'Inputs'!$B$30+'Inputs'!$B$31+'Inputs'!$B$32)/1000+'Inputs'!$B$21+'Inputs'!$B$9+'Inputs'!$B$10)+'Inputs'!$B$7)^2+('Inputs'!$B$6/2)^2)-(((171-43)*MAX('Inputs'!$B$33,'Inputs'!$B$29+'Inputs'!$B$31+'Inputs'!$B$32,'Inputs'!$B$30+'Inputs'!$B$31+'Inputs'!$B$32)/1000+'Inputs'!$B$21+'Inputs'!$B$9+'Inputs'!$B$10))/SQRT((((171-43)*MAX('Inputs'!$B$33,'Inputs'!$B$29+'Inputs'!$B$31+'Inputs'!$B$32,'Inputs'!$B$30+'Inputs'!$B$31+'Inputs'!$B$32)/1000+'Inputs'!$B$21+'Inputs'!$B$9+'Inputs'!$B$10))^2+('Inputs'!$B$6/2)^2))))*'Results'!$B$8))),"")</x:f>
        <x:v>234.61109838570175</x:v>
      </x:c>
      <x:c r="P171" t="n">
        <x:f>IF(AND(MAX(J171,J170)&gt;0,J171&gt;J170+0.00000001),1,0)</x:f>
        <x:v>0</x:v>
      </x:c>
      <x:c r="Q171" t="n">
        <x:f>IF(AND(MAX(K171,K170)&gt;0,K171&gt;K170+0.00000001),1,0)</x:f>
        <x:v>0</x:v>
      </x:c>
      <x:c r="R171" t="n">
        <x:f>IF(AND(MAX(L171,L170)&gt;0,L171&gt;L170+0.00000001),1,0)</x:f>
        <x:v>0</x:v>
      </x:c>
      <x:c r="S171" t="n">
        <x:f>IF(AND(MAX(M171,M170)&gt;0,M171&gt;M170+0.00000001),1,0)</x:f>
        <x:v>0</x:v>
      </x:c>
      <x:c r="T171" t="n">
        <x:f>IF(AND(MAX(N171,N170)&gt;0,N171&gt;N170+0.00000001),1,0)</x:f>
        <x:v>0</x:v>
      </x:c>
      <x:c r="U171" t="n">
        <x:f>IF(AND(MAX(O171,O170)&gt;0,O171&gt;O170+0.00000001),1,0)</x:f>
        <x:v>0</x:v>
      </x:c>
    </x:row>
    <x:row r="172">
      <x:c r="J172" t="n">
        <x:f>IF(AND(ISNUMBER('Results'!B7),ISNUMBER('Results'!C7),ISNUMBER('Results'!$B$8),ISNUMBER('Inputs'!$B$6),ISNUMBER('Inputs'!$B$7),ISNUMBER('Inputs'!$B$8),ISNUMBER('Inputs'!$B$9),ISNUMBER('Inputs'!$B$10),ISNUMBER('Inputs'!$B$21),ISNUMBER('Inputs'!$B$24),ISNUMBER('Inputs'!$B$28)),(('Results'!B7*(0.5*((((172-43)*MAX('Inputs'!$B$33,'Inputs'!$B$29+'Inputs'!$B$31+'Inputs'!$B$32,'Inputs'!$B$30+'Inputs'!$B$31+'Inputs'!$B$32)/1000+'Inputs'!$B$21)+'Inputs'!$B$7)/SQRT((((172-43)*MAX('Inputs'!$B$33,'Inputs'!$B$29+'Inputs'!$B$31+'Inputs'!$B$32,'Inputs'!$B$30+'Inputs'!$B$31+'Inputs'!$B$32)/1000+'Inputs'!$B$21)+'Inputs'!$B$7)^2+('Inputs'!$B$6/2)^2)-(((172-43)*MAX('Inputs'!$B$33,'Inputs'!$B$29+'Inputs'!$B$31+'Inputs'!$B$32,'Inputs'!$B$30+'Inputs'!$B$31+'Inputs'!$B$32)/1000+'Inputs'!$B$21))/SQRT((((172-43)*MAX('Inputs'!$B$33,'Inputs'!$B$29+'Inputs'!$B$31+'Inputs'!$B$32,'Inputs'!$B$30+'Inputs'!$B$31+'Inputs'!$B$32)/1000+'Inputs'!$B$21))^2+('Inputs'!$B$6/2)^2)))-'Results'!C7*(0.5*((((172-43)*MAX('Inputs'!$B$33,'Inputs'!$B$29+'Inputs'!$B$31+'Inputs'!$B$32,'Inputs'!$B$30+'Inputs'!$B$31+'Inputs'!$B$32)/1000+'Inputs'!$B$21+'Inputs'!$B$7+'Inputs'!$B$10)+'Inputs'!$B$9)/SQRT((((172-43)*MAX('Inputs'!$B$33,'Inputs'!$B$29+'Inputs'!$B$31+'Inputs'!$B$32,'Inputs'!$B$30+'Inputs'!$B$31+'Inputs'!$B$32)/1000+'Inputs'!$B$21+'Inputs'!$B$7+'Inputs'!$B$10)+'Inputs'!$B$9)^2+('Inputs'!$B$8/2)^2)-(((172-43)*MAX('Inputs'!$B$33,'Inputs'!$B$29+'Inputs'!$B$31+'Inputs'!$B$32,'Inputs'!$B$30+'Inputs'!$B$31+'Inputs'!$B$32)/1000+'Inputs'!$B$21+'Inputs'!$B$7+'Inputs'!$B$10))/SQRT((((172-43)*MAX('Inputs'!$B$33,'Inputs'!$B$29+'Inputs'!$B$31+'Inputs'!$B$32,'Inputs'!$B$30+'Inputs'!$B$31+'Inputs'!$B$32)/1000+'Inputs'!$B$21+'Inputs'!$B$7+'Inputs'!$B$10))^2+('Inputs'!$B$8/2)^2))))*'Results'!$B$8),"")</x:f>
        <x:v>219.70254769148883</x:v>
      </x:c>
      <x:c r="K172" t="n">
        <x:f>IF(AND(ISNUMBER('Results'!B7),ISNUMBER('Results'!C7),ISNUMBER('Results'!$B$8),ISNUMBER('Inputs'!$B$6),ISNUMBER('Inputs'!$B$7),ISNUMBER('Inputs'!$B$8),ISNUMBER('Inputs'!$B$9),ISNUMBER('Inputs'!$B$10),ISNUMBER('Inputs'!$B$21),ISNUMBER('Inputs'!$B$24),ISNUMBER('Inputs'!$B$28)),((('Results'!B7*(1-'Inputs'!$B$24)*(0.5*((((172-43)*MAX('Inputs'!$B$33,'Inputs'!$B$29+'Inputs'!$B$31+'Inputs'!$B$32,'Inputs'!$B$30+'Inputs'!$B$31+'Inputs'!$B$32)/1000+'Inputs'!$B$21)+'Inputs'!$B$7)/SQRT((((172-43)*MAX('Inputs'!$B$33,'Inputs'!$B$29+'Inputs'!$B$31+'Inputs'!$B$32,'Inputs'!$B$30+'Inputs'!$B$31+'Inputs'!$B$32)/1000+'Inputs'!$B$21)+'Inputs'!$B$7)^2+('Inputs'!$B$6/2)^2)-(((172-43)*MAX('Inputs'!$B$33,'Inputs'!$B$29+'Inputs'!$B$31+'Inputs'!$B$32,'Inputs'!$B$30+'Inputs'!$B$31+'Inputs'!$B$32)/1000+'Inputs'!$B$21))/SQRT((((172-43)*MAX('Inputs'!$B$33,'Inputs'!$B$29+'Inputs'!$B$31+'Inputs'!$B$32,'Inputs'!$B$30+'Inputs'!$B$31+'Inputs'!$B$32)/1000+'Inputs'!$B$21))^2+('Inputs'!$B$6/2)^2)))-'Results'!C7*(1+'Inputs'!$B$24)*(0.5*((((172-43)*MAX('Inputs'!$B$33,'Inputs'!$B$29+'Inputs'!$B$31+'Inputs'!$B$32,'Inputs'!$B$30+'Inputs'!$B$31+'Inputs'!$B$32)/1000+'Inputs'!$B$21+'Inputs'!$B$7+'Inputs'!$B$10)+'Inputs'!$B$9)/SQRT((((172-43)*MAX('Inputs'!$B$33,'Inputs'!$B$29+'Inputs'!$B$31+'Inputs'!$B$32,'Inputs'!$B$30+'Inputs'!$B$31+'Inputs'!$B$32)/1000+'Inputs'!$B$21+'Inputs'!$B$7+'Inputs'!$B$10)+'Inputs'!$B$9)^2+('Inputs'!$B$8/2)^2)-(((172-43)*MAX('Inputs'!$B$33,'Inputs'!$B$29+'Inputs'!$B$31+'Inputs'!$B$32,'Inputs'!$B$30+'Inputs'!$B$31+'Inputs'!$B$32)/1000+'Inputs'!$B$21+'Inputs'!$B$7+'Inputs'!$B$10))/SQRT((((172-43)*MAX('Inputs'!$B$33,'Inputs'!$B$29+'Inputs'!$B$31+'Inputs'!$B$32,'Inputs'!$B$30+'Inputs'!$B$31+'Inputs'!$B$32)/1000+'Inputs'!$B$21+'Inputs'!$B$7+'Inputs'!$B$10))^2+('Inputs'!$B$8/2)^2))))*'Results'!$B$8)-'Inputs'!$B$28*ABS((('Results'!B7*(1-'Inputs'!$B$24)*(0.5*((((172-43)*MAX('Inputs'!$B$33,'Inputs'!$B$29+'Inputs'!$B$31+'Inputs'!$B$32,'Inputs'!$B$30+'Inputs'!$B$31+'Inputs'!$B$32)/1000+'Inputs'!$B$21)+'Inputs'!$B$7)/SQRT((((172-43)*MAX('Inputs'!$B$33,'Inputs'!$B$29+'Inputs'!$B$31+'Inputs'!$B$32,'Inputs'!$B$30+'Inputs'!$B$31+'Inputs'!$B$32)/1000+'Inputs'!$B$21)+'Inputs'!$B$7)^2+('Inputs'!$B$6/2)^2)-(((172-43)*MAX('Inputs'!$B$33,'Inputs'!$B$29+'Inputs'!$B$31+'Inputs'!$B$32,'Inputs'!$B$30+'Inputs'!$B$31+'Inputs'!$B$32)/1000+'Inputs'!$B$21))/SQRT((((172-43)*MAX('Inputs'!$B$33,'Inputs'!$B$29+'Inputs'!$B$31+'Inputs'!$B$32,'Inputs'!$B$30+'Inputs'!$B$31+'Inputs'!$B$32)/1000+'Inputs'!$B$21))^2+('Inputs'!$B$6/2)^2)))-'Results'!C7*(1+'Inputs'!$B$24)*(0.5*((((172-43)*MAX('Inputs'!$B$33,'Inputs'!$B$29+'Inputs'!$B$31+'Inputs'!$B$32,'Inputs'!$B$30+'Inputs'!$B$31+'Inputs'!$B$32)/1000+'Inputs'!$B$21+'Inputs'!$B$7+'Inputs'!$B$10)+'Inputs'!$B$9)/SQRT((((172-43)*MAX('Inputs'!$B$33,'Inputs'!$B$29+'Inputs'!$B$31+'Inputs'!$B$32,'Inputs'!$B$30+'Inputs'!$B$31+'Inputs'!$B$32)/1000+'Inputs'!$B$21+'Inputs'!$B$7+'Inputs'!$B$10)+'Inputs'!$B$9)^2+('Inputs'!$B$8/2)^2)-(((172-43)*MAX('Inputs'!$B$33,'Inputs'!$B$29+'Inputs'!$B$31+'Inputs'!$B$32,'Inputs'!$B$30+'Inputs'!$B$31+'Inputs'!$B$32)/1000+'Inputs'!$B$21+'Inputs'!$B$7+'Inputs'!$B$10))/SQRT((((172-43)*MAX('Inputs'!$B$33,'Inputs'!$B$29+'Inputs'!$B$31+'Inputs'!$B$32,'Inputs'!$B$30+'Inputs'!$B$31+'Inputs'!$B$32)/1000+'Inputs'!$B$21+'Inputs'!$B$7+'Inputs'!$B$10))^2+('Inputs'!$B$8/2)^2))))*'Results'!$B$8))),"")</x:f>
        <x:v>202.1438018353597</x:v>
      </x:c>
      <x:c r="L172" t="n">
        <x:f>IF(AND(ISNUMBER('Results'!B7),ISNUMBER('Results'!C7),ISNUMBER('Results'!$B$8),ISNUMBER('Inputs'!$B$6),ISNUMBER('Inputs'!$B$7),ISNUMBER('Inputs'!$B$8),ISNUMBER('Inputs'!$B$9),ISNUMBER('Inputs'!$B$10),ISNUMBER('Inputs'!$B$21),ISNUMBER('Inputs'!$B$24),ISNUMBER('Inputs'!$B$28)),((('Results'!B7*(1+'Inputs'!$B$24)*(0.5*((((172-43)*MAX('Inputs'!$B$33,'Inputs'!$B$29+'Inputs'!$B$31+'Inputs'!$B$32,'Inputs'!$B$30+'Inputs'!$B$31+'Inputs'!$B$32)/1000+'Inputs'!$B$21)+'Inputs'!$B$7)/SQRT((((172-43)*MAX('Inputs'!$B$33,'Inputs'!$B$29+'Inputs'!$B$31+'Inputs'!$B$32,'Inputs'!$B$30+'Inputs'!$B$31+'Inputs'!$B$32)/1000+'Inputs'!$B$21)+'Inputs'!$B$7)^2+('Inputs'!$B$6/2)^2)-(((172-43)*MAX('Inputs'!$B$33,'Inputs'!$B$29+'Inputs'!$B$31+'Inputs'!$B$32,'Inputs'!$B$30+'Inputs'!$B$31+'Inputs'!$B$32)/1000+'Inputs'!$B$21))/SQRT((((172-43)*MAX('Inputs'!$B$33,'Inputs'!$B$29+'Inputs'!$B$31+'Inputs'!$B$32,'Inputs'!$B$30+'Inputs'!$B$31+'Inputs'!$B$32)/1000+'Inputs'!$B$21))^2+('Inputs'!$B$6/2)^2)))-'Results'!C7*(1-'Inputs'!$B$24)*(0.5*((((172-43)*MAX('Inputs'!$B$33,'Inputs'!$B$29+'Inputs'!$B$31+'Inputs'!$B$32,'Inputs'!$B$30+'Inputs'!$B$31+'Inputs'!$B$32)/1000+'Inputs'!$B$21+'Inputs'!$B$7+'Inputs'!$B$10)+'Inputs'!$B$9)/SQRT((((172-43)*MAX('Inputs'!$B$33,'Inputs'!$B$29+'Inputs'!$B$31+'Inputs'!$B$32,'Inputs'!$B$30+'Inputs'!$B$31+'Inputs'!$B$32)/1000+'Inputs'!$B$21+'Inputs'!$B$7+'Inputs'!$B$10)+'Inputs'!$B$9)^2+('Inputs'!$B$8/2)^2)-(((172-43)*MAX('Inputs'!$B$33,'Inputs'!$B$29+'Inputs'!$B$31+'Inputs'!$B$32,'Inputs'!$B$30+'Inputs'!$B$31+'Inputs'!$B$32)/1000+'Inputs'!$B$21+'Inputs'!$B$7+'Inputs'!$B$10))/SQRT((((172-43)*MAX('Inputs'!$B$33,'Inputs'!$B$29+'Inputs'!$B$31+'Inputs'!$B$32,'Inputs'!$B$30+'Inputs'!$B$31+'Inputs'!$B$32)/1000+'Inputs'!$B$21+'Inputs'!$B$7+'Inputs'!$B$10))^2+('Inputs'!$B$8/2)^2))))*'Results'!$B$8)+'Inputs'!$B$28*ABS((('Results'!B7*(1+'Inputs'!$B$24)*(0.5*((((172-43)*MAX('Inputs'!$B$33,'Inputs'!$B$29+'Inputs'!$B$31+'Inputs'!$B$32,'Inputs'!$B$30+'Inputs'!$B$31+'Inputs'!$B$32)/1000+'Inputs'!$B$21)+'Inputs'!$B$7)/SQRT((((172-43)*MAX('Inputs'!$B$33,'Inputs'!$B$29+'Inputs'!$B$31+'Inputs'!$B$32,'Inputs'!$B$30+'Inputs'!$B$31+'Inputs'!$B$32)/1000+'Inputs'!$B$21)+'Inputs'!$B$7)^2+('Inputs'!$B$6/2)^2)-(((172-43)*MAX('Inputs'!$B$33,'Inputs'!$B$29+'Inputs'!$B$31+'Inputs'!$B$32,'Inputs'!$B$30+'Inputs'!$B$31+'Inputs'!$B$32)/1000+'Inputs'!$B$21))/SQRT((((172-43)*MAX('Inputs'!$B$33,'Inputs'!$B$29+'Inputs'!$B$31+'Inputs'!$B$32,'Inputs'!$B$30+'Inputs'!$B$31+'Inputs'!$B$32)/1000+'Inputs'!$B$21))^2+('Inputs'!$B$6/2)^2)))-'Results'!C7*(1-'Inputs'!$B$24)*(0.5*((((172-43)*MAX('Inputs'!$B$33,'Inputs'!$B$29+'Inputs'!$B$31+'Inputs'!$B$32,'Inputs'!$B$30+'Inputs'!$B$31+'Inputs'!$B$32)/1000+'Inputs'!$B$21+'Inputs'!$B$7+'Inputs'!$B$10)+'Inputs'!$B$9)/SQRT((((172-43)*MAX('Inputs'!$B$33,'Inputs'!$B$29+'Inputs'!$B$31+'Inputs'!$B$32,'Inputs'!$B$30+'Inputs'!$B$31+'Inputs'!$B$32)/1000+'Inputs'!$B$21+'Inputs'!$B$7+'Inputs'!$B$10)+'Inputs'!$B$9)^2+('Inputs'!$B$8/2)^2)-(((172-43)*MAX('Inputs'!$B$33,'Inputs'!$B$29+'Inputs'!$B$31+'Inputs'!$B$32,'Inputs'!$B$30+'Inputs'!$B$31+'Inputs'!$B$32)/1000+'Inputs'!$B$21+'Inputs'!$B$7+'Inputs'!$B$10))/SQRT((((172-43)*MAX('Inputs'!$B$33,'Inputs'!$B$29+'Inputs'!$B$31+'Inputs'!$B$32,'Inputs'!$B$30+'Inputs'!$B$31+'Inputs'!$B$32)/1000+'Inputs'!$B$21+'Inputs'!$B$7+'Inputs'!$B$10))^2+('Inputs'!$B$8/2)^2))))*'Results'!$B$8))),"")</x:f>
        <x:v>237.95325338672905</x:v>
      </x:c>
      <x:c r="M172" t="n">
        <x:f>IF(AND(ISNUMBER('Results'!C7),ISNUMBER('Results'!B7),ISNUMBER('Results'!$B$8),ISNUMBER('Inputs'!$B$6),ISNUMBER('Inputs'!$B$7),ISNUMBER('Inputs'!$B$8),ISNUMBER('Inputs'!$B$9),ISNUMBER('Inputs'!$B$10),ISNUMBER('Inputs'!$B$21),ISNUMBER('Inputs'!$B$24),ISNUMBER('Inputs'!$B$28)),(('Results'!C7*(0.5*((((172-43)*MAX('Inputs'!$B$33,'Inputs'!$B$29+'Inputs'!$B$31+'Inputs'!$B$32,'Inputs'!$B$30+'Inputs'!$B$31+'Inputs'!$B$32)/1000+'Inputs'!$B$21)+'Inputs'!$B$9)/SQRT((((172-43)*MAX('Inputs'!$B$33,'Inputs'!$B$29+'Inputs'!$B$31+'Inputs'!$B$32,'Inputs'!$B$30+'Inputs'!$B$31+'Inputs'!$B$32)/1000+'Inputs'!$B$21)+'Inputs'!$B$9)^2+('Inputs'!$B$8/2)^2)-(((172-43)*MAX('Inputs'!$B$33,'Inputs'!$B$29+'Inputs'!$B$31+'Inputs'!$B$32,'Inputs'!$B$30+'Inputs'!$B$31+'Inputs'!$B$32)/1000+'Inputs'!$B$21))/SQRT((((172-43)*MAX('Inputs'!$B$33,'Inputs'!$B$29+'Inputs'!$B$31+'Inputs'!$B$32,'Inputs'!$B$30+'Inputs'!$B$31+'Inputs'!$B$32)/1000+'Inputs'!$B$21))^2+('Inputs'!$B$8/2)^2)))-'Results'!B7*(0.5*((((172-43)*MAX('Inputs'!$B$33,'Inputs'!$B$29+'Inputs'!$B$31+'Inputs'!$B$32,'Inputs'!$B$30+'Inputs'!$B$31+'Inputs'!$B$32)/1000+'Inputs'!$B$21+'Inputs'!$B$9+'Inputs'!$B$10)+'Inputs'!$B$7)/SQRT((((172-43)*MAX('Inputs'!$B$33,'Inputs'!$B$29+'Inputs'!$B$31+'Inputs'!$B$32,'Inputs'!$B$30+'Inputs'!$B$31+'Inputs'!$B$32)/1000+'Inputs'!$B$21+'Inputs'!$B$9+'Inputs'!$B$10)+'Inputs'!$B$7)^2+('Inputs'!$B$6/2)^2)-(((172-43)*MAX('Inputs'!$B$33,'Inputs'!$B$29+'Inputs'!$B$31+'Inputs'!$B$32,'Inputs'!$B$30+'Inputs'!$B$31+'Inputs'!$B$32)/1000+'Inputs'!$B$21+'Inputs'!$B$9+'Inputs'!$B$10))/SQRT((((172-43)*MAX('Inputs'!$B$33,'Inputs'!$B$29+'Inputs'!$B$31+'Inputs'!$B$32,'Inputs'!$B$30+'Inputs'!$B$31+'Inputs'!$B$32)/1000+'Inputs'!$B$21+'Inputs'!$B$9+'Inputs'!$B$10))^2+('Inputs'!$B$6/2)^2))))*'Results'!$B$8),"")</x:f>
        <x:v>212.7571784081615</x:v>
      </x:c>
      <x:c r="N172" t="n">
        <x:f>IF(AND(ISNUMBER('Results'!C7),ISNUMBER('Results'!B7),ISNUMBER('Results'!$B$8),ISNUMBER('Inputs'!$B$6),ISNUMBER('Inputs'!$B$7),ISNUMBER('Inputs'!$B$8),ISNUMBER('Inputs'!$B$9),ISNUMBER('Inputs'!$B$10),ISNUMBER('Inputs'!$B$21),ISNUMBER('Inputs'!$B$24),ISNUMBER('Inputs'!$B$28)),((('Results'!C7*(1-'Inputs'!$B$24)*(0.5*((((172-43)*MAX('Inputs'!$B$33,'Inputs'!$B$29+'Inputs'!$B$31+'Inputs'!$B$32,'Inputs'!$B$30+'Inputs'!$B$31+'Inputs'!$B$32)/1000+'Inputs'!$B$21)+'Inputs'!$B$9)/SQRT((((172-43)*MAX('Inputs'!$B$33,'Inputs'!$B$29+'Inputs'!$B$31+'Inputs'!$B$32,'Inputs'!$B$30+'Inputs'!$B$31+'Inputs'!$B$32)/1000+'Inputs'!$B$21)+'Inputs'!$B$9)^2+('Inputs'!$B$8/2)^2)-(((172-43)*MAX('Inputs'!$B$33,'Inputs'!$B$29+'Inputs'!$B$31+'Inputs'!$B$32,'Inputs'!$B$30+'Inputs'!$B$31+'Inputs'!$B$32)/1000+'Inputs'!$B$21))/SQRT((((172-43)*MAX('Inputs'!$B$33,'Inputs'!$B$29+'Inputs'!$B$31+'Inputs'!$B$32,'Inputs'!$B$30+'Inputs'!$B$31+'Inputs'!$B$32)/1000+'Inputs'!$B$21))^2+('Inputs'!$B$8/2)^2)))-'Results'!B7*(1+'Inputs'!$B$24)*(0.5*((((172-43)*MAX('Inputs'!$B$33,'Inputs'!$B$29+'Inputs'!$B$31+'Inputs'!$B$32,'Inputs'!$B$30+'Inputs'!$B$31+'Inputs'!$B$32)/1000+'Inputs'!$B$21+'Inputs'!$B$9+'Inputs'!$B$10)+'Inputs'!$B$7)/SQRT((((172-43)*MAX('Inputs'!$B$33,'Inputs'!$B$29+'Inputs'!$B$31+'Inputs'!$B$32,'Inputs'!$B$30+'Inputs'!$B$31+'Inputs'!$B$32)/1000+'Inputs'!$B$21+'Inputs'!$B$9+'Inputs'!$B$10)+'Inputs'!$B$7)^2+('Inputs'!$B$6/2)^2)-(((172-43)*MAX('Inputs'!$B$33,'Inputs'!$B$29+'Inputs'!$B$31+'Inputs'!$B$32,'Inputs'!$B$30+'Inputs'!$B$31+'Inputs'!$B$32)/1000+'Inputs'!$B$21+'Inputs'!$B$9+'Inputs'!$B$10))/SQRT((((172-43)*MAX('Inputs'!$B$33,'Inputs'!$B$29+'Inputs'!$B$31+'Inputs'!$B$32,'Inputs'!$B$30+'Inputs'!$B$31+'Inputs'!$B$32)/1000+'Inputs'!$B$21+'Inputs'!$B$9+'Inputs'!$B$10))^2+('Inputs'!$B$6/2)^2))))*'Results'!$B$8)-'Inputs'!$B$28*ABS((('Results'!C7*(1-'Inputs'!$B$24)*(0.5*((((172-43)*MAX('Inputs'!$B$33,'Inputs'!$B$29+'Inputs'!$B$31+'Inputs'!$B$32,'Inputs'!$B$30+'Inputs'!$B$31+'Inputs'!$B$32)/1000+'Inputs'!$B$21)+'Inputs'!$B$9)/SQRT((((172-43)*MAX('Inputs'!$B$33,'Inputs'!$B$29+'Inputs'!$B$31+'Inputs'!$B$32,'Inputs'!$B$30+'Inputs'!$B$31+'Inputs'!$B$32)/1000+'Inputs'!$B$21)+'Inputs'!$B$9)^2+('Inputs'!$B$8/2)^2)-(((172-43)*MAX('Inputs'!$B$33,'Inputs'!$B$29+'Inputs'!$B$31+'Inputs'!$B$32,'Inputs'!$B$30+'Inputs'!$B$31+'Inputs'!$B$32)/1000+'Inputs'!$B$21))/SQRT((((172-43)*MAX('Inputs'!$B$33,'Inputs'!$B$29+'Inputs'!$B$31+'Inputs'!$B$32,'Inputs'!$B$30+'Inputs'!$B$31+'Inputs'!$B$32)/1000+'Inputs'!$B$21))^2+('Inputs'!$B$8/2)^2)))-'Results'!B7*(1+'Inputs'!$B$24)*(0.5*((((172-43)*MAX('Inputs'!$B$33,'Inputs'!$B$29+'Inputs'!$B$31+'Inputs'!$B$32,'Inputs'!$B$30+'Inputs'!$B$31+'Inputs'!$B$32)/1000+'Inputs'!$B$21+'Inputs'!$B$9+'Inputs'!$B$10)+'Inputs'!$B$7)/SQRT((((172-43)*MAX('Inputs'!$B$33,'Inputs'!$B$29+'Inputs'!$B$31+'Inputs'!$B$32,'Inputs'!$B$30+'Inputs'!$B$31+'Inputs'!$B$32)/1000+'Inputs'!$B$21+'Inputs'!$B$9+'Inputs'!$B$10)+'Inputs'!$B$7)^2+('Inputs'!$B$6/2)^2)-(((172-43)*MAX('Inputs'!$B$33,'Inputs'!$B$29+'Inputs'!$B$31+'Inputs'!$B$32,'Inputs'!$B$30+'Inputs'!$B$31+'Inputs'!$B$32)/1000+'Inputs'!$B$21+'Inputs'!$B$9+'Inputs'!$B$10))/SQRT((((172-43)*MAX('Inputs'!$B$33,'Inputs'!$B$29+'Inputs'!$B$31+'Inputs'!$B$32,'Inputs'!$B$30+'Inputs'!$B$31+'Inputs'!$B$32)/1000+'Inputs'!$B$21+'Inputs'!$B$9+'Inputs'!$B$10))^2+('Inputs'!$B$6/2)^2))))*'Results'!$B$8))),"")</x:f>
        <x:v>195.6286983373693</x:v>
      </x:c>
      <x:c r="O172" t="n">
        <x:f>IF(AND(ISNUMBER('Results'!C7),ISNUMBER('Results'!B7),ISNUMBER('Results'!$B$8),ISNUMBER('Inputs'!$B$6),ISNUMBER('Inputs'!$B$7),ISNUMBER('Inputs'!$B$8),ISNUMBER('Inputs'!$B$9),ISNUMBER('Inputs'!$B$10),ISNUMBER('Inputs'!$B$21),ISNUMBER('Inputs'!$B$24),ISNUMBER('Inputs'!$B$28)),((('Results'!C7*(1+'Inputs'!$B$24)*(0.5*((((172-43)*MAX('Inputs'!$B$33,'Inputs'!$B$29+'Inputs'!$B$31+'Inputs'!$B$32,'Inputs'!$B$30+'Inputs'!$B$31+'Inputs'!$B$32)/1000+'Inputs'!$B$21)+'Inputs'!$B$9)/SQRT((((172-43)*MAX('Inputs'!$B$33,'Inputs'!$B$29+'Inputs'!$B$31+'Inputs'!$B$32,'Inputs'!$B$30+'Inputs'!$B$31+'Inputs'!$B$32)/1000+'Inputs'!$B$21)+'Inputs'!$B$9)^2+('Inputs'!$B$8/2)^2)-(((172-43)*MAX('Inputs'!$B$33,'Inputs'!$B$29+'Inputs'!$B$31+'Inputs'!$B$32,'Inputs'!$B$30+'Inputs'!$B$31+'Inputs'!$B$32)/1000+'Inputs'!$B$21))/SQRT((((172-43)*MAX('Inputs'!$B$33,'Inputs'!$B$29+'Inputs'!$B$31+'Inputs'!$B$32,'Inputs'!$B$30+'Inputs'!$B$31+'Inputs'!$B$32)/1000+'Inputs'!$B$21))^2+('Inputs'!$B$8/2)^2)))-'Results'!B7*(1-'Inputs'!$B$24)*(0.5*((((172-43)*MAX('Inputs'!$B$33,'Inputs'!$B$29+'Inputs'!$B$31+'Inputs'!$B$32,'Inputs'!$B$30+'Inputs'!$B$31+'Inputs'!$B$32)/1000+'Inputs'!$B$21+'Inputs'!$B$9+'Inputs'!$B$10)+'Inputs'!$B$7)/SQRT((((172-43)*MAX('Inputs'!$B$33,'Inputs'!$B$29+'Inputs'!$B$31+'Inputs'!$B$32,'Inputs'!$B$30+'Inputs'!$B$31+'Inputs'!$B$32)/1000+'Inputs'!$B$21+'Inputs'!$B$9+'Inputs'!$B$10)+'Inputs'!$B$7)^2+('Inputs'!$B$6/2)^2)-(((172-43)*MAX('Inputs'!$B$33,'Inputs'!$B$29+'Inputs'!$B$31+'Inputs'!$B$32,'Inputs'!$B$30+'Inputs'!$B$31+'Inputs'!$B$32)/1000+'Inputs'!$B$21+'Inputs'!$B$9+'Inputs'!$B$10))/SQRT((((172-43)*MAX('Inputs'!$B$33,'Inputs'!$B$29+'Inputs'!$B$31+'Inputs'!$B$32,'Inputs'!$B$30+'Inputs'!$B$31+'Inputs'!$B$32)/1000+'Inputs'!$B$21+'Inputs'!$B$9+'Inputs'!$B$10))^2+('Inputs'!$B$6/2)^2))))*'Results'!$B$8)+'Inputs'!$B$28*ABS((('Results'!C7*(1+'Inputs'!$B$24)*(0.5*((((172-43)*MAX('Inputs'!$B$33,'Inputs'!$B$29+'Inputs'!$B$31+'Inputs'!$B$32,'Inputs'!$B$30+'Inputs'!$B$31+'Inputs'!$B$32)/1000+'Inputs'!$B$21)+'Inputs'!$B$9)/SQRT((((172-43)*MAX('Inputs'!$B$33,'Inputs'!$B$29+'Inputs'!$B$31+'Inputs'!$B$32,'Inputs'!$B$30+'Inputs'!$B$31+'Inputs'!$B$32)/1000+'Inputs'!$B$21)+'Inputs'!$B$9)^2+('Inputs'!$B$8/2)^2)-(((172-43)*MAX('Inputs'!$B$33,'Inputs'!$B$29+'Inputs'!$B$31+'Inputs'!$B$32,'Inputs'!$B$30+'Inputs'!$B$31+'Inputs'!$B$32)/1000+'Inputs'!$B$21))/SQRT((((172-43)*MAX('Inputs'!$B$33,'Inputs'!$B$29+'Inputs'!$B$31+'Inputs'!$B$32,'Inputs'!$B$30+'Inputs'!$B$31+'Inputs'!$B$32)/1000+'Inputs'!$B$21))^2+('Inputs'!$B$8/2)^2)))-'Results'!B7*(1-'Inputs'!$B$24)*(0.5*((((172-43)*MAX('Inputs'!$B$33,'Inputs'!$B$29+'Inputs'!$B$31+'Inputs'!$B$32,'Inputs'!$B$30+'Inputs'!$B$31+'Inputs'!$B$32)/1000+'Inputs'!$B$21+'Inputs'!$B$9+'Inputs'!$B$10)+'Inputs'!$B$7)/SQRT((((172-43)*MAX('Inputs'!$B$33,'Inputs'!$B$29+'Inputs'!$B$31+'Inputs'!$B$32,'Inputs'!$B$30+'Inputs'!$B$31+'Inputs'!$B$32)/1000+'Inputs'!$B$21+'Inputs'!$B$9+'Inputs'!$B$10)+'Inputs'!$B$7)^2+('Inputs'!$B$6/2)^2)-(((172-43)*MAX('Inputs'!$B$33,'Inputs'!$B$29+'Inputs'!$B$31+'Inputs'!$B$32,'Inputs'!$B$30+'Inputs'!$B$31+'Inputs'!$B$32)/1000+'Inputs'!$B$21+'Inputs'!$B$9+'Inputs'!$B$10))/SQRT((((172-43)*MAX('Inputs'!$B$33,'Inputs'!$B$29+'Inputs'!$B$31+'Inputs'!$B$32,'Inputs'!$B$30+'Inputs'!$B$31+'Inputs'!$B$32)/1000+'Inputs'!$B$21+'Inputs'!$B$9+'Inputs'!$B$10))^2+('Inputs'!$B$6/2)^2))))*'Results'!$B$8))),"")</x:f>
        <x:v>230.56888175794148</x:v>
      </x:c>
      <x:c r="P172" t="n">
        <x:f>IF(AND(MAX(J172,J171)&gt;0,J172&gt;J171+0.00000001),1,0)</x:f>
        <x:v>0</x:v>
      </x:c>
      <x:c r="Q172" t="n">
        <x:f>IF(AND(MAX(K172,K171)&gt;0,K172&gt;K171+0.00000001),1,0)</x:f>
        <x:v>0</x:v>
      </x:c>
      <x:c r="R172" t="n">
        <x:f>IF(AND(MAX(L172,L171)&gt;0,L172&gt;L171+0.00000001),1,0)</x:f>
        <x:v>0</x:v>
      </x:c>
      <x:c r="S172" t="n">
        <x:f>IF(AND(MAX(M172,M171)&gt;0,M172&gt;M171+0.00000001),1,0)</x:f>
        <x:v>0</x:v>
      </x:c>
      <x:c r="T172" t="n">
        <x:f>IF(AND(MAX(N172,N171)&gt;0,N172&gt;N171+0.00000001),1,0)</x:f>
        <x:v>0</x:v>
      </x:c>
      <x:c r="U172" t="n">
        <x:f>IF(AND(MAX(O172,O171)&gt;0,O172&gt;O171+0.00000001),1,0)</x:f>
        <x:v>0</x:v>
      </x:c>
    </x:row>
    <x:row r="173">
      <x:c r="J173" t="n">
        <x:f>IF(AND(ISNUMBER('Results'!B7),ISNUMBER('Results'!C7),ISNUMBER('Results'!$B$8),ISNUMBER('Inputs'!$B$6),ISNUMBER('Inputs'!$B$7),ISNUMBER('Inputs'!$B$8),ISNUMBER('Inputs'!$B$9),ISNUMBER('Inputs'!$B$10),ISNUMBER('Inputs'!$B$21),ISNUMBER('Inputs'!$B$24),ISNUMBER('Inputs'!$B$28)),(('Results'!B7*(0.5*((((173-43)*MAX('Inputs'!$B$33,'Inputs'!$B$29+'Inputs'!$B$31+'Inputs'!$B$32,'Inputs'!$B$30+'Inputs'!$B$31+'Inputs'!$B$32)/1000+'Inputs'!$B$21)+'Inputs'!$B$7)/SQRT((((173-43)*MAX('Inputs'!$B$33,'Inputs'!$B$29+'Inputs'!$B$31+'Inputs'!$B$32,'Inputs'!$B$30+'Inputs'!$B$31+'Inputs'!$B$32)/1000+'Inputs'!$B$21)+'Inputs'!$B$7)^2+('Inputs'!$B$6/2)^2)-(((173-43)*MAX('Inputs'!$B$33,'Inputs'!$B$29+'Inputs'!$B$31+'Inputs'!$B$32,'Inputs'!$B$30+'Inputs'!$B$31+'Inputs'!$B$32)/1000+'Inputs'!$B$21))/SQRT((((173-43)*MAX('Inputs'!$B$33,'Inputs'!$B$29+'Inputs'!$B$31+'Inputs'!$B$32,'Inputs'!$B$30+'Inputs'!$B$31+'Inputs'!$B$32)/1000+'Inputs'!$B$21))^2+('Inputs'!$B$6/2)^2)))-'Results'!C7*(0.5*((((173-43)*MAX('Inputs'!$B$33,'Inputs'!$B$29+'Inputs'!$B$31+'Inputs'!$B$32,'Inputs'!$B$30+'Inputs'!$B$31+'Inputs'!$B$32)/1000+'Inputs'!$B$21+'Inputs'!$B$7+'Inputs'!$B$10)+'Inputs'!$B$9)/SQRT((((173-43)*MAX('Inputs'!$B$33,'Inputs'!$B$29+'Inputs'!$B$31+'Inputs'!$B$32,'Inputs'!$B$30+'Inputs'!$B$31+'Inputs'!$B$32)/1000+'Inputs'!$B$21+'Inputs'!$B$7+'Inputs'!$B$10)+'Inputs'!$B$9)^2+('Inputs'!$B$8/2)^2)-(((173-43)*MAX('Inputs'!$B$33,'Inputs'!$B$29+'Inputs'!$B$31+'Inputs'!$B$32,'Inputs'!$B$30+'Inputs'!$B$31+'Inputs'!$B$32)/1000+'Inputs'!$B$21+'Inputs'!$B$7+'Inputs'!$B$10))/SQRT((((173-43)*MAX('Inputs'!$B$33,'Inputs'!$B$29+'Inputs'!$B$31+'Inputs'!$B$32,'Inputs'!$B$30+'Inputs'!$B$31+'Inputs'!$B$32)/1000+'Inputs'!$B$21+'Inputs'!$B$7+'Inputs'!$B$10))^2+('Inputs'!$B$8/2)^2))))*'Results'!$B$8),"")</x:f>
        <x:v>215.92937486845946</x:v>
      </x:c>
      <x:c r="K173" t="n">
        <x:f>IF(AND(ISNUMBER('Results'!B7),ISNUMBER('Results'!C7),ISNUMBER('Results'!$B$8),ISNUMBER('Inputs'!$B$6),ISNUMBER('Inputs'!$B$7),ISNUMBER('Inputs'!$B$8),ISNUMBER('Inputs'!$B$9),ISNUMBER('Inputs'!$B$10),ISNUMBER('Inputs'!$B$21),ISNUMBER('Inputs'!$B$24),ISNUMBER('Inputs'!$B$28)),((('Results'!B7*(1-'Inputs'!$B$24)*(0.5*((((173-43)*MAX('Inputs'!$B$33,'Inputs'!$B$29+'Inputs'!$B$31+'Inputs'!$B$32,'Inputs'!$B$30+'Inputs'!$B$31+'Inputs'!$B$32)/1000+'Inputs'!$B$21)+'Inputs'!$B$7)/SQRT((((173-43)*MAX('Inputs'!$B$33,'Inputs'!$B$29+'Inputs'!$B$31+'Inputs'!$B$32,'Inputs'!$B$30+'Inputs'!$B$31+'Inputs'!$B$32)/1000+'Inputs'!$B$21)+'Inputs'!$B$7)^2+('Inputs'!$B$6/2)^2)-(((173-43)*MAX('Inputs'!$B$33,'Inputs'!$B$29+'Inputs'!$B$31+'Inputs'!$B$32,'Inputs'!$B$30+'Inputs'!$B$31+'Inputs'!$B$32)/1000+'Inputs'!$B$21))/SQRT((((173-43)*MAX('Inputs'!$B$33,'Inputs'!$B$29+'Inputs'!$B$31+'Inputs'!$B$32,'Inputs'!$B$30+'Inputs'!$B$31+'Inputs'!$B$32)/1000+'Inputs'!$B$21))^2+('Inputs'!$B$6/2)^2)))-'Results'!C7*(1+'Inputs'!$B$24)*(0.5*((((173-43)*MAX('Inputs'!$B$33,'Inputs'!$B$29+'Inputs'!$B$31+'Inputs'!$B$32,'Inputs'!$B$30+'Inputs'!$B$31+'Inputs'!$B$32)/1000+'Inputs'!$B$21+'Inputs'!$B$7+'Inputs'!$B$10)+'Inputs'!$B$9)/SQRT((((173-43)*MAX('Inputs'!$B$33,'Inputs'!$B$29+'Inputs'!$B$31+'Inputs'!$B$32,'Inputs'!$B$30+'Inputs'!$B$31+'Inputs'!$B$32)/1000+'Inputs'!$B$21+'Inputs'!$B$7+'Inputs'!$B$10)+'Inputs'!$B$9)^2+('Inputs'!$B$8/2)^2)-(((173-43)*MAX('Inputs'!$B$33,'Inputs'!$B$29+'Inputs'!$B$31+'Inputs'!$B$32,'Inputs'!$B$30+'Inputs'!$B$31+'Inputs'!$B$32)/1000+'Inputs'!$B$21+'Inputs'!$B$7+'Inputs'!$B$10))/SQRT((((173-43)*MAX('Inputs'!$B$33,'Inputs'!$B$29+'Inputs'!$B$31+'Inputs'!$B$32,'Inputs'!$B$30+'Inputs'!$B$31+'Inputs'!$B$32)/1000+'Inputs'!$B$21+'Inputs'!$B$7+'Inputs'!$B$10))^2+('Inputs'!$B$8/2)^2))))*'Results'!$B$8)-'Inputs'!$B$28*ABS((('Results'!B7*(1-'Inputs'!$B$24)*(0.5*((((173-43)*MAX('Inputs'!$B$33,'Inputs'!$B$29+'Inputs'!$B$31+'Inputs'!$B$32,'Inputs'!$B$30+'Inputs'!$B$31+'Inputs'!$B$32)/1000+'Inputs'!$B$21)+'Inputs'!$B$7)/SQRT((((173-43)*MAX('Inputs'!$B$33,'Inputs'!$B$29+'Inputs'!$B$31+'Inputs'!$B$32,'Inputs'!$B$30+'Inputs'!$B$31+'Inputs'!$B$32)/1000+'Inputs'!$B$21)+'Inputs'!$B$7)^2+('Inputs'!$B$6/2)^2)-(((173-43)*MAX('Inputs'!$B$33,'Inputs'!$B$29+'Inputs'!$B$31+'Inputs'!$B$32,'Inputs'!$B$30+'Inputs'!$B$31+'Inputs'!$B$32)/1000+'Inputs'!$B$21))/SQRT((((173-43)*MAX('Inputs'!$B$33,'Inputs'!$B$29+'Inputs'!$B$31+'Inputs'!$B$32,'Inputs'!$B$30+'Inputs'!$B$31+'Inputs'!$B$32)/1000+'Inputs'!$B$21))^2+('Inputs'!$B$6/2)^2)))-'Results'!C7*(1+'Inputs'!$B$24)*(0.5*((((173-43)*MAX('Inputs'!$B$33,'Inputs'!$B$29+'Inputs'!$B$31+'Inputs'!$B$32,'Inputs'!$B$30+'Inputs'!$B$31+'Inputs'!$B$32)/1000+'Inputs'!$B$21+'Inputs'!$B$7+'Inputs'!$B$10)+'Inputs'!$B$9)/SQRT((((173-43)*MAX('Inputs'!$B$33,'Inputs'!$B$29+'Inputs'!$B$31+'Inputs'!$B$32,'Inputs'!$B$30+'Inputs'!$B$31+'Inputs'!$B$32)/1000+'Inputs'!$B$21+'Inputs'!$B$7+'Inputs'!$B$10)+'Inputs'!$B$9)^2+('Inputs'!$B$8/2)^2)-(((173-43)*MAX('Inputs'!$B$33,'Inputs'!$B$29+'Inputs'!$B$31+'Inputs'!$B$32,'Inputs'!$B$30+'Inputs'!$B$31+'Inputs'!$B$32)/1000+'Inputs'!$B$21+'Inputs'!$B$7+'Inputs'!$B$10))/SQRT((((173-43)*MAX('Inputs'!$B$33,'Inputs'!$B$29+'Inputs'!$B$31+'Inputs'!$B$32,'Inputs'!$B$30+'Inputs'!$B$31+'Inputs'!$B$32)/1000+'Inputs'!$B$21+'Inputs'!$B$7+'Inputs'!$B$10))^2+('Inputs'!$B$8/2)^2))))*'Results'!$B$8))),"")</x:f>
        <x:v>198.65598560067704</x:v>
      </x:c>
      <x:c r="L173" t="n">
        <x:f>IF(AND(ISNUMBER('Results'!B7),ISNUMBER('Results'!C7),ISNUMBER('Results'!$B$8),ISNUMBER('Inputs'!$B$6),ISNUMBER('Inputs'!$B$7),ISNUMBER('Inputs'!$B$8),ISNUMBER('Inputs'!$B$9),ISNUMBER('Inputs'!$B$10),ISNUMBER('Inputs'!$B$21),ISNUMBER('Inputs'!$B$24),ISNUMBER('Inputs'!$B$28)),((('Results'!B7*(1+'Inputs'!$B$24)*(0.5*((((173-43)*MAX('Inputs'!$B$33,'Inputs'!$B$29+'Inputs'!$B$31+'Inputs'!$B$32,'Inputs'!$B$30+'Inputs'!$B$31+'Inputs'!$B$32)/1000+'Inputs'!$B$21)+'Inputs'!$B$7)/SQRT((((173-43)*MAX('Inputs'!$B$33,'Inputs'!$B$29+'Inputs'!$B$31+'Inputs'!$B$32,'Inputs'!$B$30+'Inputs'!$B$31+'Inputs'!$B$32)/1000+'Inputs'!$B$21)+'Inputs'!$B$7)^2+('Inputs'!$B$6/2)^2)-(((173-43)*MAX('Inputs'!$B$33,'Inputs'!$B$29+'Inputs'!$B$31+'Inputs'!$B$32,'Inputs'!$B$30+'Inputs'!$B$31+'Inputs'!$B$32)/1000+'Inputs'!$B$21))/SQRT((((173-43)*MAX('Inputs'!$B$33,'Inputs'!$B$29+'Inputs'!$B$31+'Inputs'!$B$32,'Inputs'!$B$30+'Inputs'!$B$31+'Inputs'!$B$32)/1000+'Inputs'!$B$21))^2+('Inputs'!$B$6/2)^2)))-'Results'!C7*(1-'Inputs'!$B$24)*(0.5*((((173-43)*MAX('Inputs'!$B$33,'Inputs'!$B$29+'Inputs'!$B$31+'Inputs'!$B$32,'Inputs'!$B$30+'Inputs'!$B$31+'Inputs'!$B$32)/1000+'Inputs'!$B$21+'Inputs'!$B$7+'Inputs'!$B$10)+'Inputs'!$B$9)/SQRT((((173-43)*MAX('Inputs'!$B$33,'Inputs'!$B$29+'Inputs'!$B$31+'Inputs'!$B$32,'Inputs'!$B$30+'Inputs'!$B$31+'Inputs'!$B$32)/1000+'Inputs'!$B$21+'Inputs'!$B$7+'Inputs'!$B$10)+'Inputs'!$B$9)^2+('Inputs'!$B$8/2)^2)-(((173-43)*MAX('Inputs'!$B$33,'Inputs'!$B$29+'Inputs'!$B$31+'Inputs'!$B$32,'Inputs'!$B$30+'Inputs'!$B$31+'Inputs'!$B$32)/1000+'Inputs'!$B$21+'Inputs'!$B$7+'Inputs'!$B$10))/SQRT((((173-43)*MAX('Inputs'!$B$33,'Inputs'!$B$29+'Inputs'!$B$31+'Inputs'!$B$32,'Inputs'!$B$30+'Inputs'!$B$31+'Inputs'!$B$32)/1000+'Inputs'!$B$21+'Inputs'!$B$7+'Inputs'!$B$10))^2+('Inputs'!$B$8/2)^2))))*'Results'!$B$8)+'Inputs'!$B$28*ABS((('Results'!B7*(1+'Inputs'!$B$24)*(0.5*((((173-43)*MAX('Inputs'!$B$33,'Inputs'!$B$29+'Inputs'!$B$31+'Inputs'!$B$32,'Inputs'!$B$30+'Inputs'!$B$31+'Inputs'!$B$32)/1000+'Inputs'!$B$21)+'Inputs'!$B$7)/SQRT((((173-43)*MAX('Inputs'!$B$33,'Inputs'!$B$29+'Inputs'!$B$31+'Inputs'!$B$32,'Inputs'!$B$30+'Inputs'!$B$31+'Inputs'!$B$32)/1000+'Inputs'!$B$21)+'Inputs'!$B$7)^2+('Inputs'!$B$6/2)^2)-(((173-43)*MAX('Inputs'!$B$33,'Inputs'!$B$29+'Inputs'!$B$31+'Inputs'!$B$32,'Inputs'!$B$30+'Inputs'!$B$31+'Inputs'!$B$32)/1000+'Inputs'!$B$21))/SQRT((((173-43)*MAX('Inputs'!$B$33,'Inputs'!$B$29+'Inputs'!$B$31+'Inputs'!$B$32,'Inputs'!$B$30+'Inputs'!$B$31+'Inputs'!$B$32)/1000+'Inputs'!$B$21))^2+('Inputs'!$B$6/2)^2)))-'Results'!C7*(1-'Inputs'!$B$24)*(0.5*((((173-43)*MAX('Inputs'!$B$33,'Inputs'!$B$29+'Inputs'!$B$31+'Inputs'!$B$32,'Inputs'!$B$30+'Inputs'!$B$31+'Inputs'!$B$32)/1000+'Inputs'!$B$21+'Inputs'!$B$7+'Inputs'!$B$10)+'Inputs'!$B$9)/SQRT((((173-43)*MAX('Inputs'!$B$33,'Inputs'!$B$29+'Inputs'!$B$31+'Inputs'!$B$32,'Inputs'!$B$30+'Inputs'!$B$31+'Inputs'!$B$32)/1000+'Inputs'!$B$21+'Inputs'!$B$7+'Inputs'!$B$10)+'Inputs'!$B$9)^2+('Inputs'!$B$8/2)^2)-(((173-43)*MAX('Inputs'!$B$33,'Inputs'!$B$29+'Inputs'!$B$31+'Inputs'!$B$32,'Inputs'!$B$30+'Inputs'!$B$31+'Inputs'!$B$32)/1000+'Inputs'!$B$21+'Inputs'!$B$7+'Inputs'!$B$10))/SQRT((((173-43)*MAX('Inputs'!$B$33,'Inputs'!$B$29+'Inputs'!$B$31+'Inputs'!$B$32,'Inputs'!$B$30+'Inputs'!$B$31+'Inputs'!$B$32)/1000+'Inputs'!$B$21+'Inputs'!$B$7+'Inputs'!$B$10))^2+('Inputs'!$B$8/2)^2))))*'Results'!$B$8))),"")</x:f>
        <x:v>233.88454524406913</x:v>
      </x:c>
      <x:c r="M173" t="n">
        <x:f>IF(AND(ISNUMBER('Results'!C7),ISNUMBER('Results'!B7),ISNUMBER('Results'!$B$8),ISNUMBER('Inputs'!$B$6),ISNUMBER('Inputs'!$B$7),ISNUMBER('Inputs'!$B$8),ISNUMBER('Inputs'!$B$9),ISNUMBER('Inputs'!$B$10),ISNUMBER('Inputs'!$B$21),ISNUMBER('Inputs'!$B$24),ISNUMBER('Inputs'!$B$28)),(('Results'!C7*(0.5*((((173-43)*MAX('Inputs'!$B$33,'Inputs'!$B$29+'Inputs'!$B$31+'Inputs'!$B$32,'Inputs'!$B$30+'Inputs'!$B$31+'Inputs'!$B$32)/1000+'Inputs'!$B$21)+'Inputs'!$B$9)/SQRT((((173-43)*MAX('Inputs'!$B$33,'Inputs'!$B$29+'Inputs'!$B$31+'Inputs'!$B$32,'Inputs'!$B$30+'Inputs'!$B$31+'Inputs'!$B$32)/1000+'Inputs'!$B$21)+'Inputs'!$B$9)^2+('Inputs'!$B$8/2)^2)-(((173-43)*MAX('Inputs'!$B$33,'Inputs'!$B$29+'Inputs'!$B$31+'Inputs'!$B$32,'Inputs'!$B$30+'Inputs'!$B$31+'Inputs'!$B$32)/1000+'Inputs'!$B$21))/SQRT((((173-43)*MAX('Inputs'!$B$33,'Inputs'!$B$29+'Inputs'!$B$31+'Inputs'!$B$32,'Inputs'!$B$30+'Inputs'!$B$31+'Inputs'!$B$32)/1000+'Inputs'!$B$21))^2+('Inputs'!$B$8/2)^2)))-'Results'!B7*(0.5*((((173-43)*MAX('Inputs'!$B$33,'Inputs'!$B$29+'Inputs'!$B$31+'Inputs'!$B$32,'Inputs'!$B$30+'Inputs'!$B$31+'Inputs'!$B$32)/1000+'Inputs'!$B$21+'Inputs'!$B$9+'Inputs'!$B$10)+'Inputs'!$B$7)/SQRT((((173-43)*MAX('Inputs'!$B$33,'Inputs'!$B$29+'Inputs'!$B$31+'Inputs'!$B$32,'Inputs'!$B$30+'Inputs'!$B$31+'Inputs'!$B$32)/1000+'Inputs'!$B$21+'Inputs'!$B$9+'Inputs'!$B$10)+'Inputs'!$B$7)^2+('Inputs'!$B$6/2)^2)-(((173-43)*MAX('Inputs'!$B$33,'Inputs'!$B$29+'Inputs'!$B$31+'Inputs'!$B$32,'Inputs'!$B$30+'Inputs'!$B$31+'Inputs'!$B$32)/1000+'Inputs'!$B$21+'Inputs'!$B$9+'Inputs'!$B$10))/SQRT((((173-43)*MAX('Inputs'!$B$33,'Inputs'!$B$29+'Inputs'!$B$31+'Inputs'!$B$32,'Inputs'!$B$30+'Inputs'!$B$31+'Inputs'!$B$32)/1000+'Inputs'!$B$21+'Inputs'!$B$9+'Inputs'!$B$10))^2+('Inputs'!$B$6/2)^2))))*'Results'!$B$8),"")</x:f>
        <x:v>209.08606150874857</x:v>
      </x:c>
      <x:c r="N173" t="n">
        <x:f>IF(AND(ISNUMBER('Results'!C7),ISNUMBER('Results'!B7),ISNUMBER('Results'!$B$8),ISNUMBER('Inputs'!$B$6),ISNUMBER('Inputs'!$B$7),ISNUMBER('Inputs'!$B$8),ISNUMBER('Inputs'!$B$9),ISNUMBER('Inputs'!$B$10),ISNUMBER('Inputs'!$B$21),ISNUMBER('Inputs'!$B$24),ISNUMBER('Inputs'!$B$28)),((('Results'!C7*(1-'Inputs'!$B$24)*(0.5*((((173-43)*MAX('Inputs'!$B$33,'Inputs'!$B$29+'Inputs'!$B$31+'Inputs'!$B$32,'Inputs'!$B$30+'Inputs'!$B$31+'Inputs'!$B$32)/1000+'Inputs'!$B$21)+'Inputs'!$B$9)/SQRT((((173-43)*MAX('Inputs'!$B$33,'Inputs'!$B$29+'Inputs'!$B$31+'Inputs'!$B$32,'Inputs'!$B$30+'Inputs'!$B$31+'Inputs'!$B$32)/1000+'Inputs'!$B$21)+'Inputs'!$B$9)^2+('Inputs'!$B$8/2)^2)-(((173-43)*MAX('Inputs'!$B$33,'Inputs'!$B$29+'Inputs'!$B$31+'Inputs'!$B$32,'Inputs'!$B$30+'Inputs'!$B$31+'Inputs'!$B$32)/1000+'Inputs'!$B$21))/SQRT((((173-43)*MAX('Inputs'!$B$33,'Inputs'!$B$29+'Inputs'!$B$31+'Inputs'!$B$32,'Inputs'!$B$30+'Inputs'!$B$31+'Inputs'!$B$32)/1000+'Inputs'!$B$21))^2+('Inputs'!$B$8/2)^2)))-'Results'!B7*(1+'Inputs'!$B$24)*(0.5*((((173-43)*MAX('Inputs'!$B$33,'Inputs'!$B$29+'Inputs'!$B$31+'Inputs'!$B$32,'Inputs'!$B$30+'Inputs'!$B$31+'Inputs'!$B$32)/1000+'Inputs'!$B$21+'Inputs'!$B$9+'Inputs'!$B$10)+'Inputs'!$B$7)/SQRT((((173-43)*MAX('Inputs'!$B$33,'Inputs'!$B$29+'Inputs'!$B$31+'Inputs'!$B$32,'Inputs'!$B$30+'Inputs'!$B$31+'Inputs'!$B$32)/1000+'Inputs'!$B$21+'Inputs'!$B$9+'Inputs'!$B$10)+'Inputs'!$B$7)^2+('Inputs'!$B$6/2)^2)-(((173-43)*MAX('Inputs'!$B$33,'Inputs'!$B$29+'Inputs'!$B$31+'Inputs'!$B$32,'Inputs'!$B$30+'Inputs'!$B$31+'Inputs'!$B$32)/1000+'Inputs'!$B$21+'Inputs'!$B$9+'Inputs'!$B$10))/SQRT((((173-43)*MAX('Inputs'!$B$33,'Inputs'!$B$29+'Inputs'!$B$31+'Inputs'!$B$32,'Inputs'!$B$30+'Inputs'!$B$31+'Inputs'!$B$32)/1000+'Inputs'!$B$21+'Inputs'!$B$9+'Inputs'!$B$10))^2+('Inputs'!$B$6/2)^2))))*'Results'!$B$8)-'Inputs'!$B$28*ABS((('Results'!C7*(1-'Inputs'!$B$24)*(0.5*((((173-43)*MAX('Inputs'!$B$33,'Inputs'!$B$29+'Inputs'!$B$31+'Inputs'!$B$32,'Inputs'!$B$30+'Inputs'!$B$31+'Inputs'!$B$32)/1000+'Inputs'!$B$21)+'Inputs'!$B$9)/SQRT((((173-43)*MAX('Inputs'!$B$33,'Inputs'!$B$29+'Inputs'!$B$31+'Inputs'!$B$32,'Inputs'!$B$30+'Inputs'!$B$31+'Inputs'!$B$32)/1000+'Inputs'!$B$21)+'Inputs'!$B$9)^2+('Inputs'!$B$8/2)^2)-(((173-43)*MAX('Inputs'!$B$33,'Inputs'!$B$29+'Inputs'!$B$31+'Inputs'!$B$32,'Inputs'!$B$30+'Inputs'!$B$31+'Inputs'!$B$32)/1000+'Inputs'!$B$21))/SQRT((((173-43)*MAX('Inputs'!$B$33,'Inputs'!$B$29+'Inputs'!$B$31+'Inputs'!$B$32,'Inputs'!$B$30+'Inputs'!$B$31+'Inputs'!$B$32)/1000+'Inputs'!$B$21))^2+('Inputs'!$B$8/2)^2)))-'Results'!B7*(1+'Inputs'!$B$24)*(0.5*((((173-43)*MAX('Inputs'!$B$33,'Inputs'!$B$29+'Inputs'!$B$31+'Inputs'!$B$32,'Inputs'!$B$30+'Inputs'!$B$31+'Inputs'!$B$32)/1000+'Inputs'!$B$21+'Inputs'!$B$9+'Inputs'!$B$10)+'Inputs'!$B$7)/SQRT((((173-43)*MAX('Inputs'!$B$33,'Inputs'!$B$29+'Inputs'!$B$31+'Inputs'!$B$32,'Inputs'!$B$30+'Inputs'!$B$31+'Inputs'!$B$32)/1000+'Inputs'!$B$21+'Inputs'!$B$9+'Inputs'!$B$10)+'Inputs'!$B$7)^2+('Inputs'!$B$6/2)^2)-(((173-43)*MAX('Inputs'!$B$33,'Inputs'!$B$29+'Inputs'!$B$31+'Inputs'!$B$32,'Inputs'!$B$30+'Inputs'!$B$31+'Inputs'!$B$32)/1000+'Inputs'!$B$21+'Inputs'!$B$9+'Inputs'!$B$10))/SQRT((((173-43)*MAX('Inputs'!$B$33,'Inputs'!$B$29+'Inputs'!$B$31+'Inputs'!$B$32,'Inputs'!$B$30+'Inputs'!$B$31+'Inputs'!$B$32)/1000+'Inputs'!$B$21+'Inputs'!$B$9+'Inputs'!$B$10))^2+('Inputs'!$B$6/2)^2))))*'Results'!$B$8))),"")</x:f>
        <x:v>192.23640652805435</x:v>
      </x:c>
      <x:c r="O173" t="n">
        <x:f>IF(AND(ISNUMBER('Results'!C7),ISNUMBER('Results'!B7),ISNUMBER('Results'!$B$8),ISNUMBER('Inputs'!$B$6),ISNUMBER('Inputs'!$B$7),ISNUMBER('Inputs'!$B$8),ISNUMBER('Inputs'!$B$9),ISNUMBER('Inputs'!$B$10),ISNUMBER('Inputs'!$B$21),ISNUMBER('Inputs'!$B$24),ISNUMBER('Inputs'!$B$28)),((('Results'!C7*(1+'Inputs'!$B$24)*(0.5*((((173-43)*MAX('Inputs'!$B$33,'Inputs'!$B$29+'Inputs'!$B$31+'Inputs'!$B$32,'Inputs'!$B$30+'Inputs'!$B$31+'Inputs'!$B$32)/1000+'Inputs'!$B$21)+'Inputs'!$B$9)/SQRT((((173-43)*MAX('Inputs'!$B$33,'Inputs'!$B$29+'Inputs'!$B$31+'Inputs'!$B$32,'Inputs'!$B$30+'Inputs'!$B$31+'Inputs'!$B$32)/1000+'Inputs'!$B$21)+'Inputs'!$B$9)^2+('Inputs'!$B$8/2)^2)-(((173-43)*MAX('Inputs'!$B$33,'Inputs'!$B$29+'Inputs'!$B$31+'Inputs'!$B$32,'Inputs'!$B$30+'Inputs'!$B$31+'Inputs'!$B$32)/1000+'Inputs'!$B$21))/SQRT((((173-43)*MAX('Inputs'!$B$33,'Inputs'!$B$29+'Inputs'!$B$31+'Inputs'!$B$32,'Inputs'!$B$30+'Inputs'!$B$31+'Inputs'!$B$32)/1000+'Inputs'!$B$21))^2+('Inputs'!$B$8/2)^2)))-'Results'!B7*(1-'Inputs'!$B$24)*(0.5*((((173-43)*MAX('Inputs'!$B$33,'Inputs'!$B$29+'Inputs'!$B$31+'Inputs'!$B$32,'Inputs'!$B$30+'Inputs'!$B$31+'Inputs'!$B$32)/1000+'Inputs'!$B$21+'Inputs'!$B$9+'Inputs'!$B$10)+'Inputs'!$B$7)/SQRT((((173-43)*MAX('Inputs'!$B$33,'Inputs'!$B$29+'Inputs'!$B$31+'Inputs'!$B$32,'Inputs'!$B$30+'Inputs'!$B$31+'Inputs'!$B$32)/1000+'Inputs'!$B$21+'Inputs'!$B$9+'Inputs'!$B$10)+'Inputs'!$B$7)^2+('Inputs'!$B$6/2)^2)-(((173-43)*MAX('Inputs'!$B$33,'Inputs'!$B$29+'Inputs'!$B$31+'Inputs'!$B$32,'Inputs'!$B$30+'Inputs'!$B$31+'Inputs'!$B$32)/1000+'Inputs'!$B$21+'Inputs'!$B$9+'Inputs'!$B$10))/SQRT((((173-43)*MAX('Inputs'!$B$33,'Inputs'!$B$29+'Inputs'!$B$31+'Inputs'!$B$32,'Inputs'!$B$30+'Inputs'!$B$31+'Inputs'!$B$32)/1000+'Inputs'!$B$21+'Inputs'!$B$9+'Inputs'!$B$10))^2+('Inputs'!$B$6/2)^2))))*'Results'!$B$8)+'Inputs'!$B$28*ABS((('Results'!C7*(1+'Inputs'!$B$24)*(0.5*((((173-43)*MAX('Inputs'!$B$33,'Inputs'!$B$29+'Inputs'!$B$31+'Inputs'!$B$32,'Inputs'!$B$30+'Inputs'!$B$31+'Inputs'!$B$32)/1000+'Inputs'!$B$21)+'Inputs'!$B$9)/SQRT((((173-43)*MAX('Inputs'!$B$33,'Inputs'!$B$29+'Inputs'!$B$31+'Inputs'!$B$32,'Inputs'!$B$30+'Inputs'!$B$31+'Inputs'!$B$32)/1000+'Inputs'!$B$21)+'Inputs'!$B$9)^2+('Inputs'!$B$8/2)^2)-(((173-43)*MAX('Inputs'!$B$33,'Inputs'!$B$29+'Inputs'!$B$31+'Inputs'!$B$32,'Inputs'!$B$30+'Inputs'!$B$31+'Inputs'!$B$32)/1000+'Inputs'!$B$21))/SQRT((((173-43)*MAX('Inputs'!$B$33,'Inputs'!$B$29+'Inputs'!$B$31+'Inputs'!$B$32,'Inputs'!$B$30+'Inputs'!$B$31+'Inputs'!$B$32)/1000+'Inputs'!$B$21))^2+('Inputs'!$B$8/2)^2)))-'Results'!B7*(1-'Inputs'!$B$24)*(0.5*((((173-43)*MAX('Inputs'!$B$33,'Inputs'!$B$29+'Inputs'!$B$31+'Inputs'!$B$32,'Inputs'!$B$30+'Inputs'!$B$31+'Inputs'!$B$32)/1000+'Inputs'!$B$21+'Inputs'!$B$9+'Inputs'!$B$10)+'Inputs'!$B$7)/SQRT((((173-43)*MAX('Inputs'!$B$33,'Inputs'!$B$29+'Inputs'!$B$31+'Inputs'!$B$32,'Inputs'!$B$30+'Inputs'!$B$31+'Inputs'!$B$32)/1000+'Inputs'!$B$21+'Inputs'!$B$9+'Inputs'!$B$10)+'Inputs'!$B$7)^2+('Inputs'!$B$6/2)^2)-(((173-43)*MAX('Inputs'!$B$33,'Inputs'!$B$29+'Inputs'!$B$31+'Inputs'!$B$32,'Inputs'!$B$30+'Inputs'!$B$31+'Inputs'!$B$32)/1000+'Inputs'!$B$21+'Inputs'!$B$9+'Inputs'!$B$10))/SQRT((((173-43)*MAX('Inputs'!$B$33,'Inputs'!$B$29+'Inputs'!$B$31+'Inputs'!$B$32,'Inputs'!$B$30+'Inputs'!$B$31+'Inputs'!$B$32)/1000+'Inputs'!$B$21+'Inputs'!$B$9+'Inputs'!$B$10))^2+('Inputs'!$B$6/2)^2))))*'Results'!$B$8))),"")</x:f>
        <x:v>226.60891142683818</x:v>
      </x:c>
      <x:c r="P173" t="n">
        <x:f>IF(AND(MAX(J173,J172)&gt;0,J173&gt;J172+0.00000001),1,0)</x:f>
        <x:v>0</x:v>
      </x:c>
      <x:c r="Q173" t="n">
        <x:f>IF(AND(MAX(K173,K172)&gt;0,K173&gt;K172+0.00000001),1,0)</x:f>
        <x:v>0</x:v>
      </x:c>
      <x:c r="R173" t="n">
        <x:f>IF(AND(MAX(L173,L172)&gt;0,L173&gt;L172+0.00000001),1,0)</x:f>
        <x:v>0</x:v>
      </x:c>
      <x:c r="S173" t="n">
        <x:f>IF(AND(MAX(M173,M172)&gt;0,M173&gt;M172+0.00000001),1,0)</x:f>
        <x:v>0</x:v>
      </x:c>
      <x:c r="T173" t="n">
        <x:f>IF(AND(MAX(N173,N172)&gt;0,N173&gt;N172+0.00000001),1,0)</x:f>
        <x:v>0</x:v>
      </x:c>
      <x:c r="U173" t="n">
        <x:f>IF(AND(MAX(O173,O172)&gt;0,O173&gt;O172+0.00000001),1,0)</x:f>
        <x:v>0</x:v>
      </x:c>
    </x:row>
    <x:row r="174">
      <x:c r="J174" t="n">
        <x:f>IF(AND(ISNUMBER('Results'!B7),ISNUMBER('Results'!C7),ISNUMBER('Results'!$B$8),ISNUMBER('Inputs'!$B$6),ISNUMBER('Inputs'!$B$7),ISNUMBER('Inputs'!$B$8),ISNUMBER('Inputs'!$B$9),ISNUMBER('Inputs'!$B$10),ISNUMBER('Inputs'!$B$21),ISNUMBER('Inputs'!$B$24),ISNUMBER('Inputs'!$B$28)),(('Results'!B7*(0.5*((((174-43)*MAX('Inputs'!$B$33,'Inputs'!$B$29+'Inputs'!$B$31+'Inputs'!$B$32,'Inputs'!$B$30+'Inputs'!$B$31+'Inputs'!$B$32)/1000+'Inputs'!$B$21)+'Inputs'!$B$7)/SQRT((((174-43)*MAX('Inputs'!$B$33,'Inputs'!$B$29+'Inputs'!$B$31+'Inputs'!$B$32,'Inputs'!$B$30+'Inputs'!$B$31+'Inputs'!$B$32)/1000+'Inputs'!$B$21)+'Inputs'!$B$7)^2+('Inputs'!$B$6/2)^2)-(((174-43)*MAX('Inputs'!$B$33,'Inputs'!$B$29+'Inputs'!$B$31+'Inputs'!$B$32,'Inputs'!$B$30+'Inputs'!$B$31+'Inputs'!$B$32)/1000+'Inputs'!$B$21))/SQRT((((174-43)*MAX('Inputs'!$B$33,'Inputs'!$B$29+'Inputs'!$B$31+'Inputs'!$B$32,'Inputs'!$B$30+'Inputs'!$B$31+'Inputs'!$B$32)/1000+'Inputs'!$B$21))^2+('Inputs'!$B$6/2)^2)))-'Results'!C7*(0.5*((((174-43)*MAX('Inputs'!$B$33,'Inputs'!$B$29+'Inputs'!$B$31+'Inputs'!$B$32,'Inputs'!$B$30+'Inputs'!$B$31+'Inputs'!$B$32)/1000+'Inputs'!$B$21+'Inputs'!$B$7+'Inputs'!$B$10)+'Inputs'!$B$9)/SQRT((((174-43)*MAX('Inputs'!$B$33,'Inputs'!$B$29+'Inputs'!$B$31+'Inputs'!$B$32,'Inputs'!$B$30+'Inputs'!$B$31+'Inputs'!$B$32)/1000+'Inputs'!$B$21+'Inputs'!$B$7+'Inputs'!$B$10)+'Inputs'!$B$9)^2+('Inputs'!$B$8/2)^2)-(((174-43)*MAX('Inputs'!$B$33,'Inputs'!$B$29+'Inputs'!$B$31+'Inputs'!$B$32,'Inputs'!$B$30+'Inputs'!$B$31+'Inputs'!$B$32)/1000+'Inputs'!$B$21+'Inputs'!$B$7+'Inputs'!$B$10))/SQRT((((174-43)*MAX('Inputs'!$B$33,'Inputs'!$B$29+'Inputs'!$B$31+'Inputs'!$B$32,'Inputs'!$B$30+'Inputs'!$B$31+'Inputs'!$B$32)/1000+'Inputs'!$B$21+'Inputs'!$B$7+'Inputs'!$B$10))^2+('Inputs'!$B$8/2)^2))))*'Results'!$B$8),"")</x:f>
        <x:v>212.23280580324203</x:v>
      </x:c>
      <x:c r="K174" t="n">
        <x:f>IF(AND(ISNUMBER('Results'!B7),ISNUMBER('Results'!C7),ISNUMBER('Results'!$B$8),ISNUMBER('Inputs'!$B$6),ISNUMBER('Inputs'!$B$7),ISNUMBER('Inputs'!$B$8),ISNUMBER('Inputs'!$B$9),ISNUMBER('Inputs'!$B$10),ISNUMBER('Inputs'!$B$21),ISNUMBER('Inputs'!$B$24),ISNUMBER('Inputs'!$B$28)),((('Results'!B7*(1-'Inputs'!$B$24)*(0.5*((((174-43)*MAX('Inputs'!$B$33,'Inputs'!$B$29+'Inputs'!$B$31+'Inputs'!$B$32,'Inputs'!$B$30+'Inputs'!$B$31+'Inputs'!$B$32)/1000+'Inputs'!$B$21)+'Inputs'!$B$7)/SQRT((((174-43)*MAX('Inputs'!$B$33,'Inputs'!$B$29+'Inputs'!$B$31+'Inputs'!$B$32,'Inputs'!$B$30+'Inputs'!$B$31+'Inputs'!$B$32)/1000+'Inputs'!$B$21)+'Inputs'!$B$7)^2+('Inputs'!$B$6/2)^2)-(((174-43)*MAX('Inputs'!$B$33,'Inputs'!$B$29+'Inputs'!$B$31+'Inputs'!$B$32,'Inputs'!$B$30+'Inputs'!$B$31+'Inputs'!$B$32)/1000+'Inputs'!$B$21))/SQRT((((174-43)*MAX('Inputs'!$B$33,'Inputs'!$B$29+'Inputs'!$B$31+'Inputs'!$B$32,'Inputs'!$B$30+'Inputs'!$B$31+'Inputs'!$B$32)/1000+'Inputs'!$B$21))^2+('Inputs'!$B$6/2)^2)))-'Results'!C7*(1+'Inputs'!$B$24)*(0.5*((((174-43)*MAX('Inputs'!$B$33,'Inputs'!$B$29+'Inputs'!$B$31+'Inputs'!$B$32,'Inputs'!$B$30+'Inputs'!$B$31+'Inputs'!$B$32)/1000+'Inputs'!$B$21+'Inputs'!$B$7+'Inputs'!$B$10)+'Inputs'!$B$9)/SQRT((((174-43)*MAX('Inputs'!$B$33,'Inputs'!$B$29+'Inputs'!$B$31+'Inputs'!$B$32,'Inputs'!$B$30+'Inputs'!$B$31+'Inputs'!$B$32)/1000+'Inputs'!$B$21+'Inputs'!$B$7+'Inputs'!$B$10)+'Inputs'!$B$9)^2+('Inputs'!$B$8/2)^2)-(((174-43)*MAX('Inputs'!$B$33,'Inputs'!$B$29+'Inputs'!$B$31+'Inputs'!$B$32,'Inputs'!$B$30+'Inputs'!$B$31+'Inputs'!$B$32)/1000+'Inputs'!$B$21+'Inputs'!$B$7+'Inputs'!$B$10))/SQRT((((174-43)*MAX('Inputs'!$B$33,'Inputs'!$B$29+'Inputs'!$B$31+'Inputs'!$B$32,'Inputs'!$B$30+'Inputs'!$B$31+'Inputs'!$B$32)/1000+'Inputs'!$B$21+'Inputs'!$B$7+'Inputs'!$B$10))^2+('Inputs'!$B$8/2)^2))))*'Results'!$B$8)-'Inputs'!$B$28*ABS((('Results'!B7*(1-'Inputs'!$B$24)*(0.5*((((174-43)*MAX('Inputs'!$B$33,'Inputs'!$B$29+'Inputs'!$B$31+'Inputs'!$B$32,'Inputs'!$B$30+'Inputs'!$B$31+'Inputs'!$B$32)/1000+'Inputs'!$B$21)+'Inputs'!$B$7)/SQRT((((174-43)*MAX('Inputs'!$B$33,'Inputs'!$B$29+'Inputs'!$B$31+'Inputs'!$B$32,'Inputs'!$B$30+'Inputs'!$B$31+'Inputs'!$B$32)/1000+'Inputs'!$B$21)+'Inputs'!$B$7)^2+('Inputs'!$B$6/2)^2)-(((174-43)*MAX('Inputs'!$B$33,'Inputs'!$B$29+'Inputs'!$B$31+'Inputs'!$B$32,'Inputs'!$B$30+'Inputs'!$B$31+'Inputs'!$B$32)/1000+'Inputs'!$B$21))/SQRT((((174-43)*MAX('Inputs'!$B$33,'Inputs'!$B$29+'Inputs'!$B$31+'Inputs'!$B$32,'Inputs'!$B$30+'Inputs'!$B$31+'Inputs'!$B$32)/1000+'Inputs'!$B$21))^2+('Inputs'!$B$6/2)^2)))-'Results'!C7*(1+'Inputs'!$B$24)*(0.5*((((174-43)*MAX('Inputs'!$B$33,'Inputs'!$B$29+'Inputs'!$B$31+'Inputs'!$B$32,'Inputs'!$B$30+'Inputs'!$B$31+'Inputs'!$B$32)/1000+'Inputs'!$B$21+'Inputs'!$B$7+'Inputs'!$B$10)+'Inputs'!$B$9)/SQRT((((174-43)*MAX('Inputs'!$B$33,'Inputs'!$B$29+'Inputs'!$B$31+'Inputs'!$B$32,'Inputs'!$B$30+'Inputs'!$B$31+'Inputs'!$B$32)/1000+'Inputs'!$B$21+'Inputs'!$B$7+'Inputs'!$B$10)+'Inputs'!$B$9)^2+('Inputs'!$B$8/2)^2)-(((174-43)*MAX('Inputs'!$B$33,'Inputs'!$B$29+'Inputs'!$B$31+'Inputs'!$B$32,'Inputs'!$B$30+'Inputs'!$B$31+'Inputs'!$B$32)/1000+'Inputs'!$B$21+'Inputs'!$B$7+'Inputs'!$B$10))/SQRT((((174-43)*MAX('Inputs'!$B$33,'Inputs'!$B$29+'Inputs'!$B$31+'Inputs'!$B$32,'Inputs'!$B$30+'Inputs'!$B$31+'Inputs'!$B$32)/1000+'Inputs'!$B$21+'Inputs'!$B$7+'Inputs'!$B$10))^2+('Inputs'!$B$8/2)^2))))*'Results'!$B$8))),"")</x:f>
        <x:v>195.23914855700477</x:v>
      </x:c>
      <x:c r="L174" t="n">
        <x:f>IF(AND(ISNUMBER('Results'!B7),ISNUMBER('Results'!C7),ISNUMBER('Results'!$B$8),ISNUMBER('Inputs'!$B$6),ISNUMBER('Inputs'!$B$7),ISNUMBER('Inputs'!$B$8),ISNUMBER('Inputs'!$B$9),ISNUMBER('Inputs'!$B$10),ISNUMBER('Inputs'!$B$21),ISNUMBER('Inputs'!$B$24),ISNUMBER('Inputs'!$B$28)),((('Results'!B7*(1+'Inputs'!$B$24)*(0.5*((((174-43)*MAX('Inputs'!$B$33,'Inputs'!$B$29+'Inputs'!$B$31+'Inputs'!$B$32,'Inputs'!$B$30+'Inputs'!$B$31+'Inputs'!$B$32)/1000+'Inputs'!$B$21)+'Inputs'!$B$7)/SQRT((((174-43)*MAX('Inputs'!$B$33,'Inputs'!$B$29+'Inputs'!$B$31+'Inputs'!$B$32,'Inputs'!$B$30+'Inputs'!$B$31+'Inputs'!$B$32)/1000+'Inputs'!$B$21)+'Inputs'!$B$7)^2+('Inputs'!$B$6/2)^2)-(((174-43)*MAX('Inputs'!$B$33,'Inputs'!$B$29+'Inputs'!$B$31+'Inputs'!$B$32,'Inputs'!$B$30+'Inputs'!$B$31+'Inputs'!$B$32)/1000+'Inputs'!$B$21))/SQRT((((174-43)*MAX('Inputs'!$B$33,'Inputs'!$B$29+'Inputs'!$B$31+'Inputs'!$B$32,'Inputs'!$B$30+'Inputs'!$B$31+'Inputs'!$B$32)/1000+'Inputs'!$B$21))^2+('Inputs'!$B$6/2)^2)))-'Results'!C7*(1-'Inputs'!$B$24)*(0.5*((((174-43)*MAX('Inputs'!$B$33,'Inputs'!$B$29+'Inputs'!$B$31+'Inputs'!$B$32,'Inputs'!$B$30+'Inputs'!$B$31+'Inputs'!$B$32)/1000+'Inputs'!$B$21+'Inputs'!$B$7+'Inputs'!$B$10)+'Inputs'!$B$9)/SQRT((((174-43)*MAX('Inputs'!$B$33,'Inputs'!$B$29+'Inputs'!$B$31+'Inputs'!$B$32,'Inputs'!$B$30+'Inputs'!$B$31+'Inputs'!$B$32)/1000+'Inputs'!$B$21+'Inputs'!$B$7+'Inputs'!$B$10)+'Inputs'!$B$9)^2+('Inputs'!$B$8/2)^2)-(((174-43)*MAX('Inputs'!$B$33,'Inputs'!$B$29+'Inputs'!$B$31+'Inputs'!$B$32,'Inputs'!$B$30+'Inputs'!$B$31+'Inputs'!$B$32)/1000+'Inputs'!$B$21+'Inputs'!$B$7+'Inputs'!$B$10))/SQRT((((174-43)*MAX('Inputs'!$B$33,'Inputs'!$B$29+'Inputs'!$B$31+'Inputs'!$B$32,'Inputs'!$B$30+'Inputs'!$B$31+'Inputs'!$B$32)/1000+'Inputs'!$B$21+'Inputs'!$B$7+'Inputs'!$B$10))^2+('Inputs'!$B$8/2)^2))))*'Results'!$B$8)+'Inputs'!$B$28*ABS((('Results'!B7*(1+'Inputs'!$B$24)*(0.5*((((174-43)*MAX('Inputs'!$B$33,'Inputs'!$B$29+'Inputs'!$B$31+'Inputs'!$B$32,'Inputs'!$B$30+'Inputs'!$B$31+'Inputs'!$B$32)/1000+'Inputs'!$B$21)+'Inputs'!$B$7)/SQRT((((174-43)*MAX('Inputs'!$B$33,'Inputs'!$B$29+'Inputs'!$B$31+'Inputs'!$B$32,'Inputs'!$B$30+'Inputs'!$B$31+'Inputs'!$B$32)/1000+'Inputs'!$B$21)+'Inputs'!$B$7)^2+('Inputs'!$B$6/2)^2)-(((174-43)*MAX('Inputs'!$B$33,'Inputs'!$B$29+'Inputs'!$B$31+'Inputs'!$B$32,'Inputs'!$B$30+'Inputs'!$B$31+'Inputs'!$B$32)/1000+'Inputs'!$B$21))/SQRT((((174-43)*MAX('Inputs'!$B$33,'Inputs'!$B$29+'Inputs'!$B$31+'Inputs'!$B$32,'Inputs'!$B$30+'Inputs'!$B$31+'Inputs'!$B$32)/1000+'Inputs'!$B$21))^2+('Inputs'!$B$6/2)^2)))-'Results'!C7*(1-'Inputs'!$B$24)*(0.5*((((174-43)*MAX('Inputs'!$B$33,'Inputs'!$B$29+'Inputs'!$B$31+'Inputs'!$B$32,'Inputs'!$B$30+'Inputs'!$B$31+'Inputs'!$B$32)/1000+'Inputs'!$B$21+'Inputs'!$B$7+'Inputs'!$B$10)+'Inputs'!$B$9)/SQRT((((174-43)*MAX('Inputs'!$B$33,'Inputs'!$B$29+'Inputs'!$B$31+'Inputs'!$B$32,'Inputs'!$B$30+'Inputs'!$B$31+'Inputs'!$B$32)/1000+'Inputs'!$B$21+'Inputs'!$B$7+'Inputs'!$B$10)+'Inputs'!$B$9)^2+('Inputs'!$B$8/2)^2)-(((174-43)*MAX('Inputs'!$B$33,'Inputs'!$B$29+'Inputs'!$B$31+'Inputs'!$B$32,'Inputs'!$B$30+'Inputs'!$B$31+'Inputs'!$B$32)/1000+'Inputs'!$B$21+'Inputs'!$B$7+'Inputs'!$B$10))/SQRT((((174-43)*MAX('Inputs'!$B$33,'Inputs'!$B$29+'Inputs'!$B$31+'Inputs'!$B$32,'Inputs'!$B$30+'Inputs'!$B$31+'Inputs'!$B$32)/1000+'Inputs'!$B$21+'Inputs'!$B$7+'Inputs'!$B$10))^2+('Inputs'!$B$8/2)^2))))*'Results'!$B$8))),"")</x:f>
        <x:v>229.89825430801355</x:v>
      </x:c>
      <x:c r="M174" t="n">
        <x:f>IF(AND(ISNUMBER('Results'!C7),ISNUMBER('Results'!B7),ISNUMBER('Results'!$B$8),ISNUMBER('Inputs'!$B$6),ISNUMBER('Inputs'!$B$7),ISNUMBER('Inputs'!$B$8),ISNUMBER('Inputs'!$B$9),ISNUMBER('Inputs'!$B$10),ISNUMBER('Inputs'!$B$21),ISNUMBER('Inputs'!$B$24),ISNUMBER('Inputs'!$B$28)),(('Results'!C7*(0.5*((((174-43)*MAX('Inputs'!$B$33,'Inputs'!$B$29+'Inputs'!$B$31+'Inputs'!$B$32,'Inputs'!$B$30+'Inputs'!$B$31+'Inputs'!$B$32)/1000+'Inputs'!$B$21)+'Inputs'!$B$9)/SQRT((((174-43)*MAX('Inputs'!$B$33,'Inputs'!$B$29+'Inputs'!$B$31+'Inputs'!$B$32,'Inputs'!$B$30+'Inputs'!$B$31+'Inputs'!$B$32)/1000+'Inputs'!$B$21)+'Inputs'!$B$9)^2+('Inputs'!$B$8/2)^2)-(((174-43)*MAX('Inputs'!$B$33,'Inputs'!$B$29+'Inputs'!$B$31+'Inputs'!$B$32,'Inputs'!$B$30+'Inputs'!$B$31+'Inputs'!$B$32)/1000+'Inputs'!$B$21))/SQRT((((174-43)*MAX('Inputs'!$B$33,'Inputs'!$B$29+'Inputs'!$B$31+'Inputs'!$B$32,'Inputs'!$B$30+'Inputs'!$B$31+'Inputs'!$B$32)/1000+'Inputs'!$B$21))^2+('Inputs'!$B$8/2)^2)))-'Results'!B7*(0.5*((((174-43)*MAX('Inputs'!$B$33,'Inputs'!$B$29+'Inputs'!$B$31+'Inputs'!$B$32,'Inputs'!$B$30+'Inputs'!$B$31+'Inputs'!$B$32)/1000+'Inputs'!$B$21+'Inputs'!$B$9+'Inputs'!$B$10)+'Inputs'!$B$7)/SQRT((((174-43)*MAX('Inputs'!$B$33,'Inputs'!$B$29+'Inputs'!$B$31+'Inputs'!$B$32,'Inputs'!$B$30+'Inputs'!$B$31+'Inputs'!$B$32)/1000+'Inputs'!$B$21+'Inputs'!$B$9+'Inputs'!$B$10)+'Inputs'!$B$7)^2+('Inputs'!$B$6/2)^2)-(((174-43)*MAX('Inputs'!$B$33,'Inputs'!$B$29+'Inputs'!$B$31+'Inputs'!$B$32,'Inputs'!$B$30+'Inputs'!$B$31+'Inputs'!$B$32)/1000+'Inputs'!$B$21+'Inputs'!$B$9+'Inputs'!$B$10))/SQRT((((174-43)*MAX('Inputs'!$B$33,'Inputs'!$B$29+'Inputs'!$B$31+'Inputs'!$B$32,'Inputs'!$B$30+'Inputs'!$B$31+'Inputs'!$B$32)/1000+'Inputs'!$B$21+'Inputs'!$B$9+'Inputs'!$B$10))^2+('Inputs'!$B$6/2)^2))))*'Results'!$B$8),"")</x:f>
        <x:v>205.48965590698873</x:v>
      </x:c>
      <x:c r="N174" t="n">
        <x:f>IF(AND(ISNUMBER('Results'!C7),ISNUMBER('Results'!B7),ISNUMBER('Results'!$B$8),ISNUMBER('Inputs'!$B$6),ISNUMBER('Inputs'!$B$7),ISNUMBER('Inputs'!$B$8),ISNUMBER('Inputs'!$B$9),ISNUMBER('Inputs'!$B$10),ISNUMBER('Inputs'!$B$21),ISNUMBER('Inputs'!$B$24),ISNUMBER('Inputs'!$B$28)),((('Results'!C7*(1-'Inputs'!$B$24)*(0.5*((((174-43)*MAX('Inputs'!$B$33,'Inputs'!$B$29+'Inputs'!$B$31+'Inputs'!$B$32,'Inputs'!$B$30+'Inputs'!$B$31+'Inputs'!$B$32)/1000+'Inputs'!$B$21)+'Inputs'!$B$9)/SQRT((((174-43)*MAX('Inputs'!$B$33,'Inputs'!$B$29+'Inputs'!$B$31+'Inputs'!$B$32,'Inputs'!$B$30+'Inputs'!$B$31+'Inputs'!$B$32)/1000+'Inputs'!$B$21)+'Inputs'!$B$9)^2+('Inputs'!$B$8/2)^2)-(((174-43)*MAX('Inputs'!$B$33,'Inputs'!$B$29+'Inputs'!$B$31+'Inputs'!$B$32,'Inputs'!$B$30+'Inputs'!$B$31+'Inputs'!$B$32)/1000+'Inputs'!$B$21))/SQRT((((174-43)*MAX('Inputs'!$B$33,'Inputs'!$B$29+'Inputs'!$B$31+'Inputs'!$B$32,'Inputs'!$B$30+'Inputs'!$B$31+'Inputs'!$B$32)/1000+'Inputs'!$B$21))^2+('Inputs'!$B$8/2)^2)))-'Results'!B7*(1+'Inputs'!$B$24)*(0.5*((((174-43)*MAX('Inputs'!$B$33,'Inputs'!$B$29+'Inputs'!$B$31+'Inputs'!$B$32,'Inputs'!$B$30+'Inputs'!$B$31+'Inputs'!$B$32)/1000+'Inputs'!$B$21+'Inputs'!$B$9+'Inputs'!$B$10)+'Inputs'!$B$7)/SQRT((((174-43)*MAX('Inputs'!$B$33,'Inputs'!$B$29+'Inputs'!$B$31+'Inputs'!$B$32,'Inputs'!$B$30+'Inputs'!$B$31+'Inputs'!$B$32)/1000+'Inputs'!$B$21+'Inputs'!$B$9+'Inputs'!$B$10)+'Inputs'!$B$7)^2+('Inputs'!$B$6/2)^2)-(((174-43)*MAX('Inputs'!$B$33,'Inputs'!$B$29+'Inputs'!$B$31+'Inputs'!$B$32,'Inputs'!$B$30+'Inputs'!$B$31+'Inputs'!$B$32)/1000+'Inputs'!$B$21+'Inputs'!$B$9+'Inputs'!$B$10))/SQRT((((174-43)*MAX('Inputs'!$B$33,'Inputs'!$B$29+'Inputs'!$B$31+'Inputs'!$B$32,'Inputs'!$B$30+'Inputs'!$B$31+'Inputs'!$B$32)/1000+'Inputs'!$B$21+'Inputs'!$B$9+'Inputs'!$B$10))^2+('Inputs'!$B$6/2)^2))))*'Results'!$B$8)-'Inputs'!$B$28*ABS((('Results'!C7*(1-'Inputs'!$B$24)*(0.5*((((174-43)*MAX('Inputs'!$B$33,'Inputs'!$B$29+'Inputs'!$B$31+'Inputs'!$B$32,'Inputs'!$B$30+'Inputs'!$B$31+'Inputs'!$B$32)/1000+'Inputs'!$B$21)+'Inputs'!$B$9)/SQRT((((174-43)*MAX('Inputs'!$B$33,'Inputs'!$B$29+'Inputs'!$B$31+'Inputs'!$B$32,'Inputs'!$B$30+'Inputs'!$B$31+'Inputs'!$B$32)/1000+'Inputs'!$B$21)+'Inputs'!$B$9)^2+('Inputs'!$B$8/2)^2)-(((174-43)*MAX('Inputs'!$B$33,'Inputs'!$B$29+'Inputs'!$B$31+'Inputs'!$B$32,'Inputs'!$B$30+'Inputs'!$B$31+'Inputs'!$B$32)/1000+'Inputs'!$B$21))/SQRT((((174-43)*MAX('Inputs'!$B$33,'Inputs'!$B$29+'Inputs'!$B$31+'Inputs'!$B$32,'Inputs'!$B$30+'Inputs'!$B$31+'Inputs'!$B$32)/1000+'Inputs'!$B$21))^2+('Inputs'!$B$8/2)^2)))-'Results'!B7*(1+'Inputs'!$B$24)*(0.5*((((174-43)*MAX('Inputs'!$B$33,'Inputs'!$B$29+'Inputs'!$B$31+'Inputs'!$B$32,'Inputs'!$B$30+'Inputs'!$B$31+'Inputs'!$B$32)/1000+'Inputs'!$B$21+'Inputs'!$B$9+'Inputs'!$B$10)+'Inputs'!$B$7)/SQRT((((174-43)*MAX('Inputs'!$B$33,'Inputs'!$B$29+'Inputs'!$B$31+'Inputs'!$B$32,'Inputs'!$B$30+'Inputs'!$B$31+'Inputs'!$B$32)/1000+'Inputs'!$B$21+'Inputs'!$B$9+'Inputs'!$B$10)+'Inputs'!$B$7)^2+('Inputs'!$B$6/2)^2)-(((174-43)*MAX('Inputs'!$B$33,'Inputs'!$B$29+'Inputs'!$B$31+'Inputs'!$B$32,'Inputs'!$B$30+'Inputs'!$B$31+'Inputs'!$B$32)/1000+'Inputs'!$B$21+'Inputs'!$B$9+'Inputs'!$B$10))/SQRT((((174-43)*MAX('Inputs'!$B$33,'Inputs'!$B$29+'Inputs'!$B$31+'Inputs'!$B$32,'Inputs'!$B$30+'Inputs'!$B$31+'Inputs'!$B$32)/1000+'Inputs'!$B$21+'Inputs'!$B$9+'Inputs'!$B$10))^2+('Inputs'!$B$6/2)^2))))*'Results'!$B$8))),"")</x:f>
        <x:v>188.9133251128621</x:v>
      </x:c>
      <x:c r="O174" t="n">
        <x:f>IF(AND(ISNUMBER('Results'!C7),ISNUMBER('Results'!B7),ISNUMBER('Results'!$B$8),ISNUMBER('Inputs'!$B$6),ISNUMBER('Inputs'!$B$7),ISNUMBER('Inputs'!$B$8),ISNUMBER('Inputs'!$B$9),ISNUMBER('Inputs'!$B$10),ISNUMBER('Inputs'!$B$21),ISNUMBER('Inputs'!$B$24),ISNUMBER('Inputs'!$B$28)),((('Results'!C7*(1+'Inputs'!$B$24)*(0.5*((((174-43)*MAX('Inputs'!$B$33,'Inputs'!$B$29+'Inputs'!$B$31+'Inputs'!$B$32,'Inputs'!$B$30+'Inputs'!$B$31+'Inputs'!$B$32)/1000+'Inputs'!$B$21)+'Inputs'!$B$9)/SQRT((((174-43)*MAX('Inputs'!$B$33,'Inputs'!$B$29+'Inputs'!$B$31+'Inputs'!$B$32,'Inputs'!$B$30+'Inputs'!$B$31+'Inputs'!$B$32)/1000+'Inputs'!$B$21)+'Inputs'!$B$9)^2+('Inputs'!$B$8/2)^2)-(((174-43)*MAX('Inputs'!$B$33,'Inputs'!$B$29+'Inputs'!$B$31+'Inputs'!$B$32,'Inputs'!$B$30+'Inputs'!$B$31+'Inputs'!$B$32)/1000+'Inputs'!$B$21))/SQRT((((174-43)*MAX('Inputs'!$B$33,'Inputs'!$B$29+'Inputs'!$B$31+'Inputs'!$B$32,'Inputs'!$B$30+'Inputs'!$B$31+'Inputs'!$B$32)/1000+'Inputs'!$B$21))^2+('Inputs'!$B$8/2)^2)))-'Results'!B7*(1-'Inputs'!$B$24)*(0.5*((((174-43)*MAX('Inputs'!$B$33,'Inputs'!$B$29+'Inputs'!$B$31+'Inputs'!$B$32,'Inputs'!$B$30+'Inputs'!$B$31+'Inputs'!$B$32)/1000+'Inputs'!$B$21+'Inputs'!$B$9+'Inputs'!$B$10)+'Inputs'!$B$7)/SQRT((((174-43)*MAX('Inputs'!$B$33,'Inputs'!$B$29+'Inputs'!$B$31+'Inputs'!$B$32,'Inputs'!$B$30+'Inputs'!$B$31+'Inputs'!$B$32)/1000+'Inputs'!$B$21+'Inputs'!$B$9+'Inputs'!$B$10)+'Inputs'!$B$7)^2+('Inputs'!$B$6/2)^2)-(((174-43)*MAX('Inputs'!$B$33,'Inputs'!$B$29+'Inputs'!$B$31+'Inputs'!$B$32,'Inputs'!$B$30+'Inputs'!$B$31+'Inputs'!$B$32)/1000+'Inputs'!$B$21+'Inputs'!$B$9+'Inputs'!$B$10))/SQRT((((174-43)*MAX('Inputs'!$B$33,'Inputs'!$B$29+'Inputs'!$B$31+'Inputs'!$B$32,'Inputs'!$B$30+'Inputs'!$B$31+'Inputs'!$B$32)/1000+'Inputs'!$B$21+'Inputs'!$B$9+'Inputs'!$B$10))^2+('Inputs'!$B$6/2)^2))))*'Results'!$B$8)+'Inputs'!$B$28*ABS((('Results'!C7*(1+'Inputs'!$B$24)*(0.5*((((174-43)*MAX('Inputs'!$B$33,'Inputs'!$B$29+'Inputs'!$B$31+'Inputs'!$B$32,'Inputs'!$B$30+'Inputs'!$B$31+'Inputs'!$B$32)/1000+'Inputs'!$B$21)+'Inputs'!$B$9)/SQRT((((174-43)*MAX('Inputs'!$B$33,'Inputs'!$B$29+'Inputs'!$B$31+'Inputs'!$B$32,'Inputs'!$B$30+'Inputs'!$B$31+'Inputs'!$B$32)/1000+'Inputs'!$B$21)+'Inputs'!$B$9)^2+('Inputs'!$B$8/2)^2)-(((174-43)*MAX('Inputs'!$B$33,'Inputs'!$B$29+'Inputs'!$B$31+'Inputs'!$B$32,'Inputs'!$B$30+'Inputs'!$B$31+'Inputs'!$B$32)/1000+'Inputs'!$B$21))/SQRT((((174-43)*MAX('Inputs'!$B$33,'Inputs'!$B$29+'Inputs'!$B$31+'Inputs'!$B$32,'Inputs'!$B$30+'Inputs'!$B$31+'Inputs'!$B$32)/1000+'Inputs'!$B$21))^2+('Inputs'!$B$8/2)^2)))-'Results'!B7*(1-'Inputs'!$B$24)*(0.5*((((174-43)*MAX('Inputs'!$B$33,'Inputs'!$B$29+'Inputs'!$B$31+'Inputs'!$B$32,'Inputs'!$B$30+'Inputs'!$B$31+'Inputs'!$B$32)/1000+'Inputs'!$B$21+'Inputs'!$B$9+'Inputs'!$B$10)+'Inputs'!$B$7)/SQRT((((174-43)*MAX('Inputs'!$B$33,'Inputs'!$B$29+'Inputs'!$B$31+'Inputs'!$B$32,'Inputs'!$B$30+'Inputs'!$B$31+'Inputs'!$B$32)/1000+'Inputs'!$B$21+'Inputs'!$B$9+'Inputs'!$B$10)+'Inputs'!$B$7)^2+('Inputs'!$B$6/2)^2)-(((174-43)*MAX('Inputs'!$B$33,'Inputs'!$B$29+'Inputs'!$B$31+'Inputs'!$B$32,'Inputs'!$B$30+'Inputs'!$B$31+'Inputs'!$B$32)/1000+'Inputs'!$B$21+'Inputs'!$B$9+'Inputs'!$B$10))/SQRT((((174-43)*MAX('Inputs'!$B$33,'Inputs'!$B$29+'Inputs'!$B$31+'Inputs'!$B$32,'Inputs'!$B$30+'Inputs'!$B$31+'Inputs'!$B$32)/1000+'Inputs'!$B$21+'Inputs'!$B$9+'Inputs'!$B$10))^2+('Inputs'!$B$6/2)^2))))*'Results'!$B$8))),"")</x:f>
        <x:v>222.7293391220394</x:v>
      </x:c>
      <x:c r="P174" t="n">
        <x:f>IF(AND(MAX(J174,J173)&gt;0,J174&gt;J173+0.00000001),1,0)</x:f>
        <x:v>0</x:v>
      </x:c>
      <x:c r="Q174" t="n">
        <x:f>IF(AND(MAX(K174,K173)&gt;0,K174&gt;K173+0.00000001),1,0)</x:f>
        <x:v>0</x:v>
      </x:c>
      <x:c r="R174" t="n">
        <x:f>IF(AND(MAX(L174,L173)&gt;0,L174&gt;L173+0.00000001),1,0)</x:f>
        <x:v>0</x:v>
      </x:c>
      <x:c r="S174" t="n">
        <x:f>IF(AND(MAX(M174,M173)&gt;0,M174&gt;M173+0.00000001),1,0)</x:f>
        <x:v>0</x:v>
      </x:c>
      <x:c r="T174" t="n">
        <x:f>IF(AND(MAX(N174,N173)&gt;0,N174&gt;N173+0.00000001),1,0)</x:f>
        <x:v>0</x:v>
      </x:c>
      <x:c r="U174" t="n">
        <x:f>IF(AND(MAX(O174,O173)&gt;0,O174&gt;O173+0.00000001),1,0)</x:f>
        <x:v>0</x:v>
      </x:c>
    </x:row>
    <x:row r="175">
      <x:c r="J175" t="n">
        <x:f>IF(AND(ISNUMBER('Results'!B7),ISNUMBER('Results'!C7),ISNUMBER('Results'!$B$8),ISNUMBER('Inputs'!$B$6),ISNUMBER('Inputs'!$B$7),ISNUMBER('Inputs'!$B$8),ISNUMBER('Inputs'!$B$9),ISNUMBER('Inputs'!$B$10),ISNUMBER('Inputs'!$B$21),ISNUMBER('Inputs'!$B$24),ISNUMBER('Inputs'!$B$28)),(('Results'!B7*(0.5*((((175-43)*MAX('Inputs'!$B$33,'Inputs'!$B$29+'Inputs'!$B$31+'Inputs'!$B$32,'Inputs'!$B$30+'Inputs'!$B$31+'Inputs'!$B$32)/1000+'Inputs'!$B$21)+'Inputs'!$B$7)/SQRT((((175-43)*MAX('Inputs'!$B$33,'Inputs'!$B$29+'Inputs'!$B$31+'Inputs'!$B$32,'Inputs'!$B$30+'Inputs'!$B$31+'Inputs'!$B$32)/1000+'Inputs'!$B$21)+'Inputs'!$B$7)^2+('Inputs'!$B$6/2)^2)-(((175-43)*MAX('Inputs'!$B$33,'Inputs'!$B$29+'Inputs'!$B$31+'Inputs'!$B$32,'Inputs'!$B$30+'Inputs'!$B$31+'Inputs'!$B$32)/1000+'Inputs'!$B$21))/SQRT((((175-43)*MAX('Inputs'!$B$33,'Inputs'!$B$29+'Inputs'!$B$31+'Inputs'!$B$32,'Inputs'!$B$30+'Inputs'!$B$31+'Inputs'!$B$32)/1000+'Inputs'!$B$21))^2+('Inputs'!$B$6/2)^2)))-'Results'!C7*(0.5*((((175-43)*MAX('Inputs'!$B$33,'Inputs'!$B$29+'Inputs'!$B$31+'Inputs'!$B$32,'Inputs'!$B$30+'Inputs'!$B$31+'Inputs'!$B$32)/1000+'Inputs'!$B$21+'Inputs'!$B$7+'Inputs'!$B$10)+'Inputs'!$B$9)/SQRT((((175-43)*MAX('Inputs'!$B$33,'Inputs'!$B$29+'Inputs'!$B$31+'Inputs'!$B$32,'Inputs'!$B$30+'Inputs'!$B$31+'Inputs'!$B$32)/1000+'Inputs'!$B$21+'Inputs'!$B$7+'Inputs'!$B$10)+'Inputs'!$B$9)^2+('Inputs'!$B$8/2)^2)-(((175-43)*MAX('Inputs'!$B$33,'Inputs'!$B$29+'Inputs'!$B$31+'Inputs'!$B$32,'Inputs'!$B$30+'Inputs'!$B$31+'Inputs'!$B$32)/1000+'Inputs'!$B$21+'Inputs'!$B$7+'Inputs'!$B$10))/SQRT((((175-43)*MAX('Inputs'!$B$33,'Inputs'!$B$29+'Inputs'!$B$31+'Inputs'!$B$32,'Inputs'!$B$30+'Inputs'!$B$31+'Inputs'!$B$32)/1000+'Inputs'!$B$21+'Inputs'!$B$7+'Inputs'!$B$10))^2+('Inputs'!$B$8/2)^2))))*'Results'!$B$8),"")</x:f>
        <x:v>208.6111198230682</x:v>
      </x:c>
      <x:c r="K175" t="n">
        <x:f>IF(AND(ISNUMBER('Results'!B7),ISNUMBER('Results'!C7),ISNUMBER('Results'!$B$8),ISNUMBER('Inputs'!$B$6),ISNUMBER('Inputs'!$B$7),ISNUMBER('Inputs'!$B$8),ISNUMBER('Inputs'!$B$9),ISNUMBER('Inputs'!$B$10),ISNUMBER('Inputs'!$B$21),ISNUMBER('Inputs'!$B$24),ISNUMBER('Inputs'!$B$28)),((('Results'!B7*(1-'Inputs'!$B$24)*(0.5*((((175-43)*MAX('Inputs'!$B$33,'Inputs'!$B$29+'Inputs'!$B$31+'Inputs'!$B$32,'Inputs'!$B$30+'Inputs'!$B$31+'Inputs'!$B$32)/1000+'Inputs'!$B$21)+'Inputs'!$B$7)/SQRT((((175-43)*MAX('Inputs'!$B$33,'Inputs'!$B$29+'Inputs'!$B$31+'Inputs'!$B$32,'Inputs'!$B$30+'Inputs'!$B$31+'Inputs'!$B$32)/1000+'Inputs'!$B$21)+'Inputs'!$B$7)^2+('Inputs'!$B$6/2)^2)-(((175-43)*MAX('Inputs'!$B$33,'Inputs'!$B$29+'Inputs'!$B$31+'Inputs'!$B$32,'Inputs'!$B$30+'Inputs'!$B$31+'Inputs'!$B$32)/1000+'Inputs'!$B$21))/SQRT((((175-43)*MAX('Inputs'!$B$33,'Inputs'!$B$29+'Inputs'!$B$31+'Inputs'!$B$32,'Inputs'!$B$30+'Inputs'!$B$31+'Inputs'!$B$32)/1000+'Inputs'!$B$21))^2+('Inputs'!$B$6/2)^2)))-'Results'!C7*(1+'Inputs'!$B$24)*(0.5*((((175-43)*MAX('Inputs'!$B$33,'Inputs'!$B$29+'Inputs'!$B$31+'Inputs'!$B$32,'Inputs'!$B$30+'Inputs'!$B$31+'Inputs'!$B$32)/1000+'Inputs'!$B$21+'Inputs'!$B$7+'Inputs'!$B$10)+'Inputs'!$B$9)/SQRT((((175-43)*MAX('Inputs'!$B$33,'Inputs'!$B$29+'Inputs'!$B$31+'Inputs'!$B$32,'Inputs'!$B$30+'Inputs'!$B$31+'Inputs'!$B$32)/1000+'Inputs'!$B$21+'Inputs'!$B$7+'Inputs'!$B$10)+'Inputs'!$B$9)^2+('Inputs'!$B$8/2)^2)-(((175-43)*MAX('Inputs'!$B$33,'Inputs'!$B$29+'Inputs'!$B$31+'Inputs'!$B$32,'Inputs'!$B$30+'Inputs'!$B$31+'Inputs'!$B$32)/1000+'Inputs'!$B$21+'Inputs'!$B$7+'Inputs'!$B$10))/SQRT((((175-43)*MAX('Inputs'!$B$33,'Inputs'!$B$29+'Inputs'!$B$31+'Inputs'!$B$32,'Inputs'!$B$30+'Inputs'!$B$31+'Inputs'!$B$32)/1000+'Inputs'!$B$21+'Inputs'!$B$7+'Inputs'!$B$10))^2+('Inputs'!$B$8/2)^2))))*'Results'!$B$8)-'Inputs'!$B$28*ABS((('Results'!B7*(1-'Inputs'!$B$24)*(0.5*((((175-43)*MAX('Inputs'!$B$33,'Inputs'!$B$29+'Inputs'!$B$31+'Inputs'!$B$32,'Inputs'!$B$30+'Inputs'!$B$31+'Inputs'!$B$32)/1000+'Inputs'!$B$21)+'Inputs'!$B$7)/SQRT((((175-43)*MAX('Inputs'!$B$33,'Inputs'!$B$29+'Inputs'!$B$31+'Inputs'!$B$32,'Inputs'!$B$30+'Inputs'!$B$31+'Inputs'!$B$32)/1000+'Inputs'!$B$21)+'Inputs'!$B$7)^2+('Inputs'!$B$6/2)^2)-(((175-43)*MAX('Inputs'!$B$33,'Inputs'!$B$29+'Inputs'!$B$31+'Inputs'!$B$32,'Inputs'!$B$30+'Inputs'!$B$31+'Inputs'!$B$32)/1000+'Inputs'!$B$21))/SQRT((((175-43)*MAX('Inputs'!$B$33,'Inputs'!$B$29+'Inputs'!$B$31+'Inputs'!$B$32,'Inputs'!$B$30+'Inputs'!$B$31+'Inputs'!$B$32)/1000+'Inputs'!$B$21))^2+('Inputs'!$B$6/2)^2)))-'Results'!C7*(1+'Inputs'!$B$24)*(0.5*((((175-43)*MAX('Inputs'!$B$33,'Inputs'!$B$29+'Inputs'!$B$31+'Inputs'!$B$32,'Inputs'!$B$30+'Inputs'!$B$31+'Inputs'!$B$32)/1000+'Inputs'!$B$21+'Inputs'!$B$7+'Inputs'!$B$10)+'Inputs'!$B$9)/SQRT((((175-43)*MAX('Inputs'!$B$33,'Inputs'!$B$29+'Inputs'!$B$31+'Inputs'!$B$32,'Inputs'!$B$30+'Inputs'!$B$31+'Inputs'!$B$32)/1000+'Inputs'!$B$21+'Inputs'!$B$7+'Inputs'!$B$10)+'Inputs'!$B$9)^2+('Inputs'!$B$8/2)^2)-(((175-43)*MAX('Inputs'!$B$33,'Inputs'!$B$29+'Inputs'!$B$31+'Inputs'!$B$32,'Inputs'!$B$30+'Inputs'!$B$31+'Inputs'!$B$32)/1000+'Inputs'!$B$21+'Inputs'!$B$7+'Inputs'!$B$10))/SQRT((((175-43)*MAX('Inputs'!$B$33,'Inputs'!$B$29+'Inputs'!$B$31+'Inputs'!$B$32,'Inputs'!$B$30+'Inputs'!$B$31+'Inputs'!$B$32)/1000+'Inputs'!$B$21+'Inputs'!$B$7+'Inputs'!$B$10))^2+('Inputs'!$B$8/2)^2))))*'Results'!$B$8))),"")</x:f>
        <x:v>191.8916943473454</x:v>
      </x:c>
      <x:c r="L175" t="n">
        <x:f>IF(AND(ISNUMBER('Results'!B7),ISNUMBER('Results'!C7),ISNUMBER('Results'!$B$8),ISNUMBER('Inputs'!$B$6),ISNUMBER('Inputs'!$B$7),ISNUMBER('Inputs'!$B$8),ISNUMBER('Inputs'!$B$9),ISNUMBER('Inputs'!$B$10),ISNUMBER('Inputs'!$B$21),ISNUMBER('Inputs'!$B$24),ISNUMBER('Inputs'!$B$28)),((('Results'!B7*(1+'Inputs'!$B$24)*(0.5*((((175-43)*MAX('Inputs'!$B$33,'Inputs'!$B$29+'Inputs'!$B$31+'Inputs'!$B$32,'Inputs'!$B$30+'Inputs'!$B$31+'Inputs'!$B$32)/1000+'Inputs'!$B$21)+'Inputs'!$B$7)/SQRT((((175-43)*MAX('Inputs'!$B$33,'Inputs'!$B$29+'Inputs'!$B$31+'Inputs'!$B$32,'Inputs'!$B$30+'Inputs'!$B$31+'Inputs'!$B$32)/1000+'Inputs'!$B$21)+'Inputs'!$B$7)^2+('Inputs'!$B$6/2)^2)-(((175-43)*MAX('Inputs'!$B$33,'Inputs'!$B$29+'Inputs'!$B$31+'Inputs'!$B$32,'Inputs'!$B$30+'Inputs'!$B$31+'Inputs'!$B$32)/1000+'Inputs'!$B$21))/SQRT((((175-43)*MAX('Inputs'!$B$33,'Inputs'!$B$29+'Inputs'!$B$31+'Inputs'!$B$32,'Inputs'!$B$30+'Inputs'!$B$31+'Inputs'!$B$32)/1000+'Inputs'!$B$21))^2+('Inputs'!$B$6/2)^2)))-'Results'!C7*(1-'Inputs'!$B$24)*(0.5*((((175-43)*MAX('Inputs'!$B$33,'Inputs'!$B$29+'Inputs'!$B$31+'Inputs'!$B$32,'Inputs'!$B$30+'Inputs'!$B$31+'Inputs'!$B$32)/1000+'Inputs'!$B$21+'Inputs'!$B$7+'Inputs'!$B$10)+'Inputs'!$B$9)/SQRT((((175-43)*MAX('Inputs'!$B$33,'Inputs'!$B$29+'Inputs'!$B$31+'Inputs'!$B$32,'Inputs'!$B$30+'Inputs'!$B$31+'Inputs'!$B$32)/1000+'Inputs'!$B$21+'Inputs'!$B$7+'Inputs'!$B$10)+'Inputs'!$B$9)^2+('Inputs'!$B$8/2)^2)-(((175-43)*MAX('Inputs'!$B$33,'Inputs'!$B$29+'Inputs'!$B$31+'Inputs'!$B$32,'Inputs'!$B$30+'Inputs'!$B$31+'Inputs'!$B$32)/1000+'Inputs'!$B$21+'Inputs'!$B$7+'Inputs'!$B$10))/SQRT((((175-43)*MAX('Inputs'!$B$33,'Inputs'!$B$29+'Inputs'!$B$31+'Inputs'!$B$32,'Inputs'!$B$30+'Inputs'!$B$31+'Inputs'!$B$32)/1000+'Inputs'!$B$21+'Inputs'!$B$7+'Inputs'!$B$10))^2+('Inputs'!$B$8/2)^2))))*'Results'!$B$8)+'Inputs'!$B$28*ABS((('Results'!B7*(1+'Inputs'!$B$24)*(0.5*((((175-43)*MAX('Inputs'!$B$33,'Inputs'!$B$29+'Inputs'!$B$31+'Inputs'!$B$32,'Inputs'!$B$30+'Inputs'!$B$31+'Inputs'!$B$32)/1000+'Inputs'!$B$21)+'Inputs'!$B$7)/SQRT((((175-43)*MAX('Inputs'!$B$33,'Inputs'!$B$29+'Inputs'!$B$31+'Inputs'!$B$32,'Inputs'!$B$30+'Inputs'!$B$31+'Inputs'!$B$32)/1000+'Inputs'!$B$21)+'Inputs'!$B$7)^2+('Inputs'!$B$6/2)^2)-(((175-43)*MAX('Inputs'!$B$33,'Inputs'!$B$29+'Inputs'!$B$31+'Inputs'!$B$32,'Inputs'!$B$30+'Inputs'!$B$31+'Inputs'!$B$32)/1000+'Inputs'!$B$21))/SQRT((((175-43)*MAX('Inputs'!$B$33,'Inputs'!$B$29+'Inputs'!$B$31+'Inputs'!$B$32,'Inputs'!$B$30+'Inputs'!$B$31+'Inputs'!$B$32)/1000+'Inputs'!$B$21))^2+('Inputs'!$B$6/2)^2)))-'Results'!C7*(1-'Inputs'!$B$24)*(0.5*((((175-43)*MAX('Inputs'!$B$33,'Inputs'!$B$29+'Inputs'!$B$31+'Inputs'!$B$32,'Inputs'!$B$30+'Inputs'!$B$31+'Inputs'!$B$32)/1000+'Inputs'!$B$21+'Inputs'!$B$7+'Inputs'!$B$10)+'Inputs'!$B$9)/SQRT((((175-43)*MAX('Inputs'!$B$33,'Inputs'!$B$29+'Inputs'!$B$31+'Inputs'!$B$32,'Inputs'!$B$30+'Inputs'!$B$31+'Inputs'!$B$32)/1000+'Inputs'!$B$21+'Inputs'!$B$7+'Inputs'!$B$10)+'Inputs'!$B$9)^2+('Inputs'!$B$8/2)^2)-(((175-43)*MAX('Inputs'!$B$33,'Inputs'!$B$29+'Inputs'!$B$31+'Inputs'!$B$32,'Inputs'!$B$30+'Inputs'!$B$31+'Inputs'!$B$32)/1000+'Inputs'!$B$21+'Inputs'!$B$7+'Inputs'!$B$10))/SQRT((((175-43)*MAX('Inputs'!$B$33,'Inputs'!$B$29+'Inputs'!$B$31+'Inputs'!$B$32,'Inputs'!$B$30+'Inputs'!$B$31+'Inputs'!$B$32)/1000+'Inputs'!$B$21+'Inputs'!$B$7+'Inputs'!$B$10))^2+('Inputs'!$B$8/2)^2))))*'Results'!$B$8))),"")</x:f>
        <x:v>225.99253156032458</x:v>
      </x:c>
      <x:c r="M175" t="n">
        <x:f>IF(AND(ISNUMBER('Results'!C7),ISNUMBER('Results'!B7),ISNUMBER('Results'!$B$8),ISNUMBER('Inputs'!$B$6),ISNUMBER('Inputs'!$B$7),ISNUMBER('Inputs'!$B$8),ISNUMBER('Inputs'!$B$9),ISNUMBER('Inputs'!$B$10),ISNUMBER('Inputs'!$B$21),ISNUMBER('Inputs'!$B$24),ISNUMBER('Inputs'!$B$28)),(('Results'!C7*(0.5*((((175-43)*MAX('Inputs'!$B$33,'Inputs'!$B$29+'Inputs'!$B$31+'Inputs'!$B$32,'Inputs'!$B$30+'Inputs'!$B$31+'Inputs'!$B$32)/1000+'Inputs'!$B$21)+'Inputs'!$B$9)/SQRT((((175-43)*MAX('Inputs'!$B$33,'Inputs'!$B$29+'Inputs'!$B$31+'Inputs'!$B$32,'Inputs'!$B$30+'Inputs'!$B$31+'Inputs'!$B$32)/1000+'Inputs'!$B$21)+'Inputs'!$B$9)^2+('Inputs'!$B$8/2)^2)-(((175-43)*MAX('Inputs'!$B$33,'Inputs'!$B$29+'Inputs'!$B$31+'Inputs'!$B$32,'Inputs'!$B$30+'Inputs'!$B$31+'Inputs'!$B$32)/1000+'Inputs'!$B$21))/SQRT((((175-43)*MAX('Inputs'!$B$33,'Inputs'!$B$29+'Inputs'!$B$31+'Inputs'!$B$32,'Inputs'!$B$30+'Inputs'!$B$31+'Inputs'!$B$32)/1000+'Inputs'!$B$21))^2+('Inputs'!$B$8/2)^2)))-'Results'!B7*(0.5*((((175-43)*MAX('Inputs'!$B$33,'Inputs'!$B$29+'Inputs'!$B$31+'Inputs'!$B$32,'Inputs'!$B$30+'Inputs'!$B$31+'Inputs'!$B$32)/1000+'Inputs'!$B$21+'Inputs'!$B$9+'Inputs'!$B$10)+'Inputs'!$B$7)/SQRT((((175-43)*MAX('Inputs'!$B$33,'Inputs'!$B$29+'Inputs'!$B$31+'Inputs'!$B$32,'Inputs'!$B$30+'Inputs'!$B$31+'Inputs'!$B$32)/1000+'Inputs'!$B$21+'Inputs'!$B$9+'Inputs'!$B$10)+'Inputs'!$B$7)^2+('Inputs'!$B$6/2)^2)-(((175-43)*MAX('Inputs'!$B$33,'Inputs'!$B$29+'Inputs'!$B$31+'Inputs'!$B$32,'Inputs'!$B$30+'Inputs'!$B$31+'Inputs'!$B$32)/1000+'Inputs'!$B$21+'Inputs'!$B$9+'Inputs'!$B$10))/SQRT((((175-43)*MAX('Inputs'!$B$33,'Inputs'!$B$29+'Inputs'!$B$31+'Inputs'!$B$32,'Inputs'!$B$30+'Inputs'!$B$31+'Inputs'!$B$32)/1000+'Inputs'!$B$21+'Inputs'!$B$9+'Inputs'!$B$10))^2+('Inputs'!$B$6/2)^2))))*'Results'!$B$8),"")</x:f>
        <x:v>201.96628128713127</x:v>
      </x:c>
      <x:c r="N175" t="n">
        <x:f>IF(AND(ISNUMBER('Results'!C7),ISNUMBER('Results'!B7),ISNUMBER('Results'!$B$8),ISNUMBER('Inputs'!$B$6),ISNUMBER('Inputs'!$B$7),ISNUMBER('Inputs'!$B$8),ISNUMBER('Inputs'!$B$9),ISNUMBER('Inputs'!$B$10),ISNUMBER('Inputs'!$B$21),ISNUMBER('Inputs'!$B$24),ISNUMBER('Inputs'!$B$28)),((('Results'!C7*(1-'Inputs'!$B$24)*(0.5*((((175-43)*MAX('Inputs'!$B$33,'Inputs'!$B$29+'Inputs'!$B$31+'Inputs'!$B$32,'Inputs'!$B$30+'Inputs'!$B$31+'Inputs'!$B$32)/1000+'Inputs'!$B$21)+'Inputs'!$B$9)/SQRT((((175-43)*MAX('Inputs'!$B$33,'Inputs'!$B$29+'Inputs'!$B$31+'Inputs'!$B$32,'Inputs'!$B$30+'Inputs'!$B$31+'Inputs'!$B$32)/1000+'Inputs'!$B$21)+'Inputs'!$B$9)^2+('Inputs'!$B$8/2)^2)-(((175-43)*MAX('Inputs'!$B$33,'Inputs'!$B$29+'Inputs'!$B$31+'Inputs'!$B$32,'Inputs'!$B$30+'Inputs'!$B$31+'Inputs'!$B$32)/1000+'Inputs'!$B$21))/SQRT((((175-43)*MAX('Inputs'!$B$33,'Inputs'!$B$29+'Inputs'!$B$31+'Inputs'!$B$32,'Inputs'!$B$30+'Inputs'!$B$31+'Inputs'!$B$32)/1000+'Inputs'!$B$21))^2+('Inputs'!$B$8/2)^2)))-'Results'!B7*(1+'Inputs'!$B$24)*(0.5*((((175-43)*MAX('Inputs'!$B$33,'Inputs'!$B$29+'Inputs'!$B$31+'Inputs'!$B$32,'Inputs'!$B$30+'Inputs'!$B$31+'Inputs'!$B$32)/1000+'Inputs'!$B$21+'Inputs'!$B$9+'Inputs'!$B$10)+'Inputs'!$B$7)/SQRT((((175-43)*MAX('Inputs'!$B$33,'Inputs'!$B$29+'Inputs'!$B$31+'Inputs'!$B$32,'Inputs'!$B$30+'Inputs'!$B$31+'Inputs'!$B$32)/1000+'Inputs'!$B$21+'Inputs'!$B$9+'Inputs'!$B$10)+'Inputs'!$B$7)^2+('Inputs'!$B$6/2)^2)-(((175-43)*MAX('Inputs'!$B$33,'Inputs'!$B$29+'Inputs'!$B$31+'Inputs'!$B$32,'Inputs'!$B$30+'Inputs'!$B$31+'Inputs'!$B$32)/1000+'Inputs'!$B$21+'Inputs'!$B$9+'Inputs'!$B$10))/SQRT((((175-43)*MAX('Inputs'!$B$33,'Inputs'!$B$29+'Inputs'!$B$31+'Inputs'!$B$32,'Inputs'!$B$30+'Inputs'!$B$31+'Inputs'!$B$32)/1000+'Inputs'!$B$21+'Inputs'!$B$9+'Inputs'!$B$10))^2+('Inputs'!$B$6/2)^2))))*'Results'!$B$8)-'Inputs'!$B$28*ABS((('Results'!C7*(1-'Inputs'!$B$24)*(0.5*((((175-43)*MAX('Inputs'!$B$33,'Inputs'!$B$29+'Inputs'!$B$31+'Inputs'!$B$32,'Inputs'!$B$30+'Inputs'!$B$31+'Inputs'!$B$32)/1000+'Inputs'!$B$21)+'Inputs'!$B$9)/SQRT((((175-43)*MAX('Inputs'!$B$33,'Inputs'!$B$29+'Inputs'!$B$31+'Inputs'!$B$32,'Inputs'!$B$30+'Inputs'!$B$31+'Inputs'!$B$32)/1000+'Inputs'!$B$21)+'Inputs'!$B$9)^2+('Inputs'!$B$8/2)^2)-(((175-43)*MAX('Inputs'!$B$33,'Inputs'!$B$29+'Inputs'!$B$31+'Inputs'!$B$32,'Inputs'!$B$30+'Inputs'!$B$31+'Inputs'!$B$32)/1000+'Inputs'!$B$21))/SQRT((((175-43)*MAX('Inputs'!$B$33,'Inputs'!$B$29+'Inputs'!$B$31+'Inputs'!$B$32,'Inputs'!$B$30+'Inputs'!$B$31+'Inputs'!$B$32)/1000+'Inputs'!$B$21))^2+('Inputs'!$B$8/2)^2)))-'Results'!B7*(1+'Inputs'!$B$24)*(0.5*((((175-43)*MAX('Inputs'!$B$33,'Inputs'!$B$29+'Inputs'!$B$31+'Inputs'!$B$32,'Inputs'!$B$30+'Inputs'!$B$31+'Inputs'!$B$32)/1000+'Inputs'!$B$21+'Inputs'!$B$9+'Inputs'!$B$10)+'Inputs'!$B$7)/SQRT((((175-43)*MAX('Inputs'!$B$33,'Inputs'!$B$29+'Inputs'!$B$31+'Inputs'!$B$32,'Inputs'!$B$30+'Inputs'!$B$31+'Inputs'!$B$32)/1000+'Inputs'!$B$21+'Inputs'!$B$9+'Inputs'!$B$10)+'Inputs'!$B$7)^2+('Inputs'!$B$6/2)^2)-(((175-43)*MAX('Inputs'!$B$33,'Inputs'!$B$29+'Inputs'!$B$31+'Inputs'!$B$32,'Inputs'!$B$30+'Inputs'!$B$31+'Inputs'!$B$32)/1000+'Inputs'!$B$21+'Inputs'!$B$9+'Inputs'!$B$10))/SQRT((((175-43)*MAX('Inputs'!$B$33,'Inputs'!$B$29+'Inputs'!$B$31+'Inputs'!$B$32,'Inputs'!$B$30+'Inputs'!$B$31+'Inputs'!$B$32)/1000+'Inputs'!$B$21+'Inputs'!$B$9+'Inputs'!$B$10))^2+('Inputs'!$B$6/2)^2))))*'Results'!$B$8))),"")</x:f>
        <x:v>185.65789542124665</x:v>
      </x:c>
      <x:c r="O175" t="n">
        <x:f>IF(AND(ISNUMBER('Results'!C7),ISNUMBER('Results'!B7),ISNUMBER('Results'!$B$8),ISNUMBER('Inputs'!$B$6),ISNUMBER('Inputs'!$B$7),ISNUMBER('Inputs'!$B$8),ISNUMBER('Inputs'!$B$9),ISNUMBER('Inputs'!$B$10),ISNUMBER('Inputs'!$B$21),ISNUMBER('Inputs'!$B$24),ISNUMBER('Inputs'!$B$28)),((('Results'!C7*(1+'Inputs'!$B$24)*(0.5*((((175-43)*MAX('Inputs'!$B$33,'Inputs'!$B$29+'Inputs'!$B$31+'Inputs'!$B$32,'Inputs'!$B$30+'Inputs'!$B$31+'Inputs'!$B$32)/1000+'Inputs'!$B$21)+'Inputs'!$B$9)/SQRT((((175-43)*MAX('Inputs'!$B$33,'Inputs'!$B$29+'Inputs'!$B$31+'Inputs'!$B$32,'Inputs'!$B$30+'Inputs'!$B$31+'Inputs'!$B$32)/1000+'Inputs'!$B$21)+'Inputs'!$B$9)^2+('Inputs'!$B$8/2)^2)-(((175-43)*MAX('Inputs'!$B$33,'Inputs'!$B$29+'Inputs'!$B$31+'Inputs'!$B$32,'Inputs'!$B$30+'Inputs'!$B$31+'Inputs'!$B$32)/1000+'Inputs'!$B$21))/SQRT((((175-43)*MAX('Inputs'!$B$33,'Inputs'!$B$29+'Inputs'!$B$31+'Inputs'!$B$32,'Inputs'!$B$30+'Inputs'!$B$31+'Inputs'!$B$32)/1000+'Inputs'!$B$21))^2+('Inputs'!$B$8/2)^2)))-'Results'!B7*(1-'Inputs'!$B$24)*(0.5*((((175-43)*MAX('Inputs'!$B$33,'Inputs'!$B$29+'Inputs'!$B$31+'Inputs'!$B$32,'Inputs'!$B$30+'Inputs'!$B$31+'Inputs'!$B$32)/1000+'Inputs'!$B$21+'Inputs'!$B$9+'Inputs'!$B$10)+'Inputs'!$B$7)/SQRT((((175-43)*MAX('Inputs'!$B$33,'Inputs'!$B$29+'Inputs'!$B$31+'Inputs'!$B$32,'Inputs'!$B$30+'Inputs'!$B$31+'Inputs'!$B$32)/1000+'Inputs'!$B$21+'Inputs'!$B$9+'Inputs'!$B$10)+'Inputs'!$B$7)^2+('Inputs'!$B$6/2)^2)-(((175-43)*MAX('Inputs'!$B$33,'Inputs'!$B$29+'Inputs'!$B$31+'Inputs'!$B$32,'Inputs'!$B$30+'Inputs'!$B$31+'Inputs'!$B$32)/1000+'Inputs'!$B$21+'Inputs'!$B$9+'Inputs'!$B$10))/SQRT((((175-43)*MAX('Inputs'!$B$33,'Inputs'!$B$29+'Inputs'!$B$31+'Inputs'!$B$32,'Inputs'!$B$30+'Inputs'!$B$31+'Inputs'!$B$32)/1000+'Inputs'!$B$21+'Inputs'!$B$9+'Inputs'!$B$10))^2+('Inputs'!$B$6/2)^2))))*'Results'!$B$8)+'Inputs'!$B$28*ABS((('Results'!C7*(1+'Inputs'!$B$24)*(0.5*((((175-43)*MAX('Inputs'!$B$33,'Inputs'!$B$29+'Inputs'!$B$31+'Inputs'!$B$32,'Inputs'!$B$30+'Inputs'!$B$31+'Inputs'!$B$32)/1000+'Inputs'!$B$21)+'Inputs'!$B$9)/SQRT((((175-43)*MAX('Inputs'!$B$33,'Inputs'!$B$29+'Inputs'!$B$31+'Inputs'!$B$32,'Inputs'!$B$30+'Inputs'!$B$31+'Inputs'!$B$32)/1000+'Inputs'!$B$21)+'Inputs'!$B$9)^2+('Inputs'!$B$8/2)^2)-(((175-43)*MAX('Inputs'!$B$33,'Inputs'!$B$29+'Inputs'!$B$31+'Inputs'!$B$32,'Inputs'!$B$30+'Inputs'!$B$31+'Inputs'!$B$32)/1000+'Inputs'!$B$21))/SQRT((((175-43)*MAX('Inputs'!$B$33,'Inputs'!$B$29+'Inputs'!$B$31+'Inputs'!$B$32,'Inputs'!$B$30+'Inputs'!$B$31+'Inputs'!$B$32)/1000+'Inputs'!$B$21))^2+('Inputs'!$B$8/2)^2)))-'Results'!B7*(1-'Inputs'!$B$24)*(0.5*((((175-43)*MAX('Inputs'!$B$33,'Inputs'!$B$29+'Inputs'!$B$31+'Inputs'!$B$32,'Inputs'!$B$30+'Inputs'!$B$31+'Inputs'!$B$32)/1000+'Inputs'!$B$21+'Inputs'!$B$9+'Inputs'!$B$10)+'Inputs'!$B$7)/SQRT((((175-43)*MAX('Inputs'!$B$33,'Inputs'!$B$29+'Inputs'!$B$31+'Inputs'!$B$32,'Inputs'!$B$30+'Inputs'!$B$31+'Inputs'!$B$32)/1000+'Inputs'!$B$21+'Inputs'!$B$9+'Inputs'!$B$10)+'Inputs'!$B$7)^2+('Inputs'!$B$6/2)^2)-(((175-43)*MAX('Inputs'!$B$33,'Inputs'!$B$29+'Inputs'!$B$31+'Inputs'!$B$32,'Inputs'!$B$30+'Inputs'!$B$31+'Inputs'!$B$32)/1000+'Inputs'!$B$21+'Inputs'!$B$9+'Inputs'!$B$10))/SQRT((((175-43)*MAX('Inputs'!$B$33,'Inputs'!$B$29+'Inputs'!$B$31+'Inputs'!$B$32,'Inputs'!$B$30+'Inputs'!$B$31+'Inputs'!$B$32)/1000+'Inputs'!$B$21+'Inputs'!$B$9+'Inputs'!$B$10))^2+('Inputs'!$B$6/2)^2))))*'Results'!$B$8))),"")</x:f>
        <x:v>218.92835892159778</x:v>
      </x:c>
      <x:c r="P175" t="n">
        <x:f>IF(AND(MAX(J175,J174)&gt;0,J175&gt;J174+0.00000001),1,0)</x:f>
        <x:v>0</x:v>
      </x:c>
      <x:c r="Q175" t="n">
        <x:f>IF(AND(MAX(K175,K174)&gt;0,K175&gt;K174+0.00000001),1,0)</x:f>
        <x:v>0</x:v>
      </x:c>
      <x:c r="R175" t="n">
        <x:f>IF(AND(MAX(L175,L174)&gt;0,L175&gt;L174+0.00000001),1,0)</x:f>
        <x:v>0</x:v>
      </x:c>
      <x:c r="S175" t="n">
        <x:f>IF(AND(MAX(M175,M174)&gt;0,M175&gt;M174+0.00000001),1,0)</x:f>
        <x:v>0</x:v>
      </x:c>
      <x:c r="T175" t="n">
        <x:f>IF(AND(MAX(N175,N174)&gt;0,N175&gt;N174+0.00000001),1,0)</x:f>
        <x:v>0</x:v>
      </x:c>
      <x:c r="U175" t="n">
        <x:f>IF(AND(MAX(O175,O174)&gt;0,O175&gt;O174+0.00000001),1,0)</x:f>
        <x:v>0</x:v>
      </x:c>
    </x:row>
    <x:row r="176">
      <x:c r="J176" t="n">
        <x:f>IF(AND(ISNUMBER('Results'!B7),ISNUMBER('Results'!C7),ISNUMBER('Results'!$B$8),ISNUMBER('Inputs'!$B$6),ISNUMBER('Inputs'!$B$7),ISNUMBER('Inputs'!$B$8),ISNUMBER('Inputs'!$B$9),ISNUMBER('Inputs'!$B$10),ISNUMBER('Inputs'!$B$21),ISNUMBER('Inputs'!$B$24),ISNUMBER('Inputs'!$B$28)),(('Results'!B7*(0.5*((((176-43)*MAX('Inputs'!$B$33,'Inputs'!$B$29+'Inputs'!$B$31+'Inputs'!$B$32,'Inputs'!$B$30+'Inputs'!$B$31+'Inputs'!$B$32)/1000+'Inputs'!$B$21)+'Inputs'!$B$7)/SQRT((((176-43)*MAX('Inputs'!$B$33,'Inputs'!$B$29+'Inputs'!$B$31+'Inputs'!$B$32,'Inputs'!$B$30+'Inputs'!$B$31+'Inputs'!$B$32)/1000+'Inputs'!$B$21)+'Inputs'!$B$7)^2+('Inputs'!$B$6/2)^2)-(((176-43)*MAX('Inputs'!$B$33,'Inputs'!$B$29+'Inputs'!$B$31+'Inputs'!$B$32,'Inputs'!$B$30+'Inputs'!$B$31+'Inputs'!$B$32)/1000+'Inputs'!$B$21))/SQRT((((176-43)*MAX('Inputs'!$B$33,'Inputs'!$B$29+'Inputs'!$B$31+'Inputs'!$B$32,'Inputs'!$B$30+'Inputs'!$B$31+'Inputs'!$B$32)/1000+'Inputs'!$B$21))^2+('Inputs'!$B$6/2)^2)))-'Results'!C7*(0.5*((((176-43)*MAX('Inputs'!$B$33,'Inputs'!$B$29+'Inputs'!$B$31+'Inputs'!$B$32,'Inputs'!$B$30+'Inputs'!$B$31+'Inputs'!$B$32)/1000+'Inputs'!$B$21+'Inputs'!$B$7+'Inputs'!$B$10)+'Inputs'!$B$9)/SQRT((((176-43)*MAX('Inputs'!$B$33,'Inputs'!$B$29+'Inputs'!$B$31+'Inputs'!$B$32,'Inputs'!$B$30+'Inputs'!$B$31+'Inputs'!$B$32)/1000+'Inputs'!$B$21+'Inputs'!$B$7+'Inputs'!$B$10)+'Inputs'!$B$9)^2+('Inputs'!$B$8/2)^2)-(((176-43)*MAX('Inputs'!$B$33,'Inputs'!$B$29+'Inputs'!$B$31+'Inputs'!$B$32,'Inputs'!$B$30+'Inputs'!$B$31+'Inputs'!$B$32)/1000+'Inputs'!$B$21+'Inputs'!$B$7+'Inputs'!$B$10))/SQRT((((176-43)*MAX('Inputs'!$B$33,'Inputs'!$B$29+'Inputs'!$B$31+'Inputs'!$B$32,'Inputs'!$B$30+'Inputs'!$B$31+'Inputs'!$B$32)/1000+'Inputs'!$B$21+'Inputs'!$B$7+'Inputs'!$B$10))^2+('Inputs'!$B$8/2)^2))))*'Results'!$B$8),"")</x:f>
        <x:v>205.06263580690074</x:v>
      </x:c>
      <x:c r="K176" t="n">
        <x:f>IF(AND(ISNUMBER('Results'!B7),ISNUMBER('Results'!C7),ISNUMBER('Results'!$B$8),ISNUMBER('Inputs'!$B$6),ISNUMBER('Inputs'!$B$7),ISNUMBER('Inputs'!$B$8),ISNUMBER('Inputs'!$B$9),ISNUMBER('Inputs'!$B$10),ISNUMBER('Inputs'!$B$21),ISNUMBER('Inputs'!$B$24),ISNUMBER('Inputs'!$B$28)),((('Results'!B7*(1-'Inputs'!$B$24)*(0.5*((((176-43)*MAX('Inputs'!$B$33,'Inputs'!$B$29+'Inputs'!$B$31+'Inputs'!$B$32,'Inputs'!$B$30+'Inputs'!$B$31+'Inputs'!$B$32)/1000+'Inputs'!$B$21)+'Inputs'!$B$7)/SQRT((((176-43)*MAX('Inputs'!$B$33,'Inputs'!$B$29+'Inputs'!$B$31+'Inputs'!$B$32,'Inputs'!$B$30+'Inputs'!$B$31+'Inputs'!$B$32)/1000+'Inputs'!$B$21)+'Inputs'!$B$7)^2+('Inputs'!$B$6/2)^2)-(((176-43)*MAX('Inputs'!$B$33,'Inputs'!$B$29+'Inputs'!$B$31+'Inputs'!$B$32,'Inputs'!$B$30+'Inputs'!$B$31+'Inputs'!$B$32)/1000+'Inputs'!$B$21))/SQRT((((176-43)*MAX('Inputs'!$B$33,'Inputs'!$B$29+'Inputs'!$B$31+'Inputs'!$B$32,'Inputs'!$B$30+'Inputs'!$B$31+'Inputs'!$B$32)/1000+'Inputs'!$B$21))^2+('Inputs'!$B$6/2)^2)))-'Results'!C7*(1+'Inputs'!$B$24)*(0.5*((((176-43)*MAX('Inputs'!$B$33,'Inputs'!$B$29+'Inputs'!$B$31+'Inputs'!$B$32,'Inputs'!$B$30+'Inputs'!$B$31+'Inputs'!$B$32)/1000+'Inputs'!$B$21+'Inputs'!$B$7+'Inputs'!$B$10)+'Inputs'!$B$9)/SQRT((((176-43)*MAX('Inputs'!$B$33,'Inputs'!$B$29+'Inputs'!$B$31+'Inputs'!$B$32,'Inputs'!$B$30+'Inputs'!$B$31+'Inputs'!$B$32)/1000+'Inputs'!$B$21+'Inputs'!$B$7+'Inputs'!$B$10)+'Inputs'!$B$9)^2+('Inputs'!$B$8/2)^2)-(((176-43)*MAX('Inputs'!$B$33,'Inputs'!$B$29+'Inputs'!$B$31+'Inputs'!$B$32,'Inputs'!$B$30+'Inputs'!$B$31+'Inputs'!$B$32)/1000+'Inputs'!$B$21+'Inputs'!$B$7+'Inputs'!$B$10))/SQRT((((176-43)*MAX('Inputs'!$B$33,'Inputs'!$B$29+'Inputs'!$B$31+'Inputs'!$B$32,'Inputs'!$B$30+'Inputs'!$B$31+'Inputs'!$B$32)/1000+'Inputs'!$B$21+'Inputs'!$B$7+'Inputs'!$B$10))^2+('Inputs'!$B$8/2)^2))))*'Results'!$B$8)-'Inputs'!$B$28*ABS((('Results'!B7*(1-'Inputs'!$B$24)*(0.5*((((176-43)*MAX('Inputs'!$B$33,'Inputs'!$B$29+'Inputs'!$B$31+'Inputs'!$B$32,'Inputs'!$B$30+'Inputs'!$B$31+'Inputs'!$B$32)/1000+'Inputs'!$B$21)+'Inputs'!$B$7)/SQRT((((176-43)*MAX('Inputs'!$B$33,'Inputs'!$B$29+'Inputs'!$B$31+'Inputs'!$B$32,'Inputs'!$B$30+'Inputs'!$B$31+'Inputs'!$B$32)/1000+'Inputs'!$B$21)+'Inputs'!$B$7)^2+('Inputs'!$B$6/2)^2)-(((176-43)*MAX('Inputs'!$B$33,'Inputs'!$B$29+'Inputs'!$B$31+'Inputs'!$B$32,'Inputs'!$B$30+'Inputs'!$B$31+'Inputs'!$B$32)/1000+'Inputs'!$B$21))/SQRT((((176-43)*MAX('Inputs'!$B$33,'Inputs'!$B$29+'Inputs'!$B$31+'Inputs'!$B$32,'Inputs'!$B$30+'Inputs'!$B$31+'Inputs'!$B$32)/1000+'Inputs'!$B$21))^2+('Inputs'!$B$6/2)^2)))-'Results'!C7*(1+'Inputs'!$B$24)*(0.5*((((176-43)*MAX('Inputs'!$B$33,'Inputs'!$B$29+'Inputs'!$B$31+'Inputs'!$B$32,'Inputs'!$B$30+'Inputs'!$B$31+'Inputs'!$B$32)/1000+'Inputs'!$B$21+'Inputs'!$B$7+'Inputs'!$B$10)+'Inputs'!$B$9)/SQRT((((176-43)*MAX('Inputs'!$B$33,'Inputs'!$B$29+'Inputs'!$B$31+'Inputs'!$B$32,'Inputs'!$B$30+'Inputs'!$B$31+'Inputs'!$B$32)/1000+'Inputs'!$B$21+'Inputs'!$B$7+'Inputs'!$B$10)+'Inputs'!$B$9)^2+('Inputs'!$B$8/2)^2)-(((176-43)*MAX('Inputs'!$B$33,'Inputs'!$B$29+'Inputs'!$B$31+'Inputs'!$B$32,'Inputs'!$B$30+'Inputs'!$B$31+'Inputs'!$B$32)/1000+'Inputs'!$B$21+'Inputs'!$B$7+'Inputs'!$B$10))/SQRT((((176-43)*MAX('Inputs'!$B$33,'Inputs'!$B$29+'Inputs'!$B$31+'Inputs'!$B$32,'Inputs'!$B$30+'Inputs'!$B$31+'Inputs'!$B$32)/1000+'Inputs'!$B$21+'Inputs'!$B$7+'Inputs'!$B$10))^2+('Inputs'!$B$8/2)^2))))*'Results'!$B$8))),"")</x:f>
        <x:v>188.61206332994192</x:v>
      </x:c>
      <x:c r="L176" t="n">
        <x:f>IF(AND(ISNUMBER('Results'!B7),ISNUMBER('Results'!C7),ISNUMBER('Results'!$B$8),ISNUMBER('Inputs'!$B$6),ISNUMBER('Inputs'!$B$7),ISNUMBER('Inputs'!$B$8),ISNUMBER('Inputs'!$B$9),ISNUMBER('Inputs'!$B$10),ISNUMBER('Inputs'!$B$21),ISNUMBER('Inputs'!$B$24),ISNUMBER('Inputs'!$B$28)),((('Results'!B7*(1+'Inputs'!$B$24)*(0.5*((((176-43)*MAX('Inputs'!$B$33,'Inputs'!$B$29+'Inputs'!$B$31+'Inputs'!$B$32,'Inputs'!$B$30+'Inputs'!$B$31+'Inputs'!$B$32)/1000+'Inputs'!$B$21)+'Inputs'!$B$7)/SQRT((((176-43)*MAX('Inputs'!$B$33,'Inputs'!$B$29+'Inputs'!$B$31+'Inputs'!$B$32,'Inputs'!$B$30+'Inputs'!$B$31+'Inputs'!$B$32)/1000+'Inputs'!$B$21)+'Inputs'!$B$7)^2+('Inputs'!$B$6/2)^2)-(((176-43)*MAX('Inputs'!$B$33,'Inputs'!$B$29+'Inputs'!$B$31+'Inputs'!$B$32,'Inputs'!$B$30+'Inputs'!$B$31+'Inputs'!$B$32)/1000+'Inputs'!$B$21))/SQRT((((176-43)*MAX('Inputs'!$B$33,'Inputs'!$B$29+'Inputs'!$B$31+'Inputs'!$B$32,'Inputs'!$B$30+'Inputs'!$B$31+'Inputs'!$B$32)/1000+'Inputs'!$B$21))^2+('Inputs'!$B$6/2)^2)))-'Results'!C7*(1-'Inputs'!$B$24)*(0.5*((((176-43)*MAX('Inputs'!$B$33,'Inputs'!$B$29+'Inputs'!$B$31+'Inputs'!$B$32,'Inputs'!$B$30+'Inputs'!$B$31+'Inputs'!$B$32)/1000+'Inputs'!$B$21+'Inputs'!$B$7+'Inputs'!$B$10)+'Inputs'!$B$9)/SQRT((((176-43)*MAX('Inputs'!$B$33,'Inputs'!$B$29+'Inputs'!$B$31+'Inputs'!$B$32,'Inputs'!$B$30+'Inputs'!$B$31+'Inputs'!$B$32)/1000+'Inputs'!$B$21+'Inputs'!$B$7+'Inputs'!$B$10)+'Inputs'!$B$9)^2+('Inputs'!$B$8/2)^2)-(((176-43)*MAX('Inputs'!$B$33,'Inputs'!$B$29+'Inputs'!$B$31+'Inputs'!$B$32,'Inputs'!$B$30+'Inputs'!$B$31+'Inputs'!$B$32)/1000+'Inputs'!$B$21+'Inputs'!$B$7+'Inputs'!$B$10))/SQRT((((176-43)*MAX('Inputs'!$B$33,'Inputs'!$B$29+'Inputs'!$B$31+'Inputs'!$B$32,'Inputs'!$B$30+'Inputs'!$B$31+'Inputs'!$B$32)/1000+'Inputs'!$B$21+'Inputs'!$B$7+'Inputs'!$B$10))^2+('Inputs'!$B$8/2)^2))))*'Results'!$B$8)+'Inputs'!$B$28*ABS((('Results'!B7*(1+'Inputs'!$B$24)*(0.5*((((176-43)*MAX('Inputs'!$B$33,'Inputs'!$B$29+'Inputs'!$B$31+'Inputs'!$B$32,'Inputs'!$B$30+'Inputs'!$B$31+'Inputs'!$B$32)/1000+'Inputs'!$B$21)+'Inputs'!$B$7)/SQRT((((176-43)*MAX('Inputs'!$B$33,'Inputs'!$B$29+'Inputs'!$B$31+'Inputs'!$B$32,'Inputs'!$B$30+'Inputs'!$B$31+'Inputs'!$B$32)/1000+'Inputs'!$B$21)+'Inputs'!$B$7)^2+('Inputs'!$B$6/2)^2)-(((176-43)*MAX('Inputs'!$B$33,'Inputs'!$B$29+'Inputs'!$B$31+'Inputs'!$B$32,'Inputs'!$B$30+'Inputs'!$B$31+'Inputs'!$B$32)/1000+'Inputs'!$B$21))/SQRT((((176-43)*MAX('Inputs'!$B$33,'Inputs'!$B$29+'Inputs'!$B$31+'Inputs'!$B$32,'Inputs'!$B$30+'Inputs'!$B$31+'Inputs'!$B$32)/1000+'Inputs'!$B$21))^2+('Inputs'!$B$6/2)^2)))-'Results'!C7*(1-'Inputs'!$B$24)*(0.5*((((176-43)*MAX('Inputs'!$B$33,'Inputs'!$B$29+'Inputs'!$B$31+'Inputs'!$B$32,'Inputs'!$B$30+'Inputs'!$B$31+'Inputs'!$B$32)/1000+'Inputs'!$B$21+'Inputs'!$B$7+'Inputs'!$B$10)+'Inputs'!$B$9)/SQRT((((176-43)*MAX('Inputs'!$B$33,'Inputs'!$B$29+'Inputs'!$B$31+'Inputs'!$B$32,'Inputs'!$B$30+'Inputs'!$B$31+'Inputs'!$B$32)/1000+'Inputs'!$B$21+'Inputs'!$B$7+'Inputs'!$B$10)+'Inputs'!$B$9)^2+('Inputs'!$B$8/2)^2)-(((176-43)*MAX('Inputs'!$B$33,'Inputs'!$B$29+'Inputs'!$B$31+'Inputs'!$B$32,'Inputs'!$B$30+'Inputs'!$B$31+'Inputs'!$B$32)/1000+'Inputs'!$B$21+'Inputs'!$B$7+'Inputs'!$B$10))/SQRT((((176-43)*MAX('Inputs'!$B$33,'Inputs'!$B$29+'Inputs'!$B$31+'Inputs'!$B$32,'Inputs'!$B$30+'Inputs'!$B$31+'Inputs'!$B$32)/1000+'Inputs'!$B$21+'Inputs'!$B$7+'Inputs'!$B$10))^2+('Inputs'!$B$8/2)^2))))*'Results'!$B$8))),"")</x:f>
        <x:v>222.16557046139786</x:v>
      </x:c>
      <x:c r="M176" t="n">
        <x:f>IF(AND(ISNUMBER('Results'!C7),ISNUMBER('Results'!B7),ISNUMBER('Results'!$B$8),ISNUMBER('Inputs'!$B$6),ISNUMBER('Inputs'!$B$7),ISNUMBER('Inputs'!$B$8),ISNUMBER('Inputs'!$B$9),ISNUMBER('Inputs'!$B$10),ISNUMBER('Inputs'!$B$21),ISNUMBER('Inputs'!$B$24),ISNUMBER('Inputs'!$B$28)),(('Results'!C7*(0.5*((((176-43)*MAX('Inputs'!$B$33,'Inputs'!$B$29+'Inputs'!$B$31+'Inputs'!$B$32,'Inputs'!$B$30+'Inputs'!$B$31+'Inputs'!$B$32)/1000+'Inputs'!$B$21)+'Inputs'!$B$9)/SQRT((((176-43)*MAX('Inputs'!$B$33,'Inputs'!$B$29+'Inputs'!$B$31+'Inputs'!$B$32,'Inputs'!$B$30+'Inputs'!$B$31+'Inputs'!$B$32)/1000+'Inputs'!$B$21)+'Inputs'!$B$9)^2+('Inputs'!$B$8/2)^2)-(((176-43)*MAX('Inputs'!$B$33,'Inputs'!$B$29+'Inputs'!$B$31+'Inputs'!$B$32,'Inputs'!$B$30+'Inputs'!$B$31+'Inputs'!$B$32)/1000+'Inputs'!$B$21))/SQRT((((176-43)*MAX('Inputs'!$B$33,'Inputs'!$B$29+'Inputs'!$B$31+'Inputs'!$B$32,'Inputs'!$B$30+'Inputs'!$B$31+'Inputs'!$B$32)/1000+'Inputs'!$B$21))^2+('Inputs'!$B$8/2)^2)))-'Results'!B7*(0.5*((((176-43)*MAX('Inputs'!$B$33,'Inputs'!$B$29+'Inputs'!$B$31+'Inputs'!$B$32,'Inputs'!$B$30+'Inputs'!$B$31+'Inputs'!$B$32)/1000+'Inputs'!$B$21+'Inputs'!$B$9+'Inputs'!$B$10)+'Inputs'!$B$7)/SQRT((((176-43)*MAX('Inputs'!$B$33,'Inputs'!$B$29+'Inputs'!$B$31+'Inputs'!$B$32,'Inputs'!$B$30+'Inputs'!$B$31+'Inputs'!$B$32)/1000+'Inputs'!$B$21+'Inputs'!$B$9+'Inputs'!$B$10)+'Inputs'!$B$7)^2+('Inputs'!$B$6/2)^2)-(((176-43)*MAX('Inputs'!$B$33,'Inputs'!$B$29+'Inputs'!$B$31+'Inputs'!$B$32,'Inputs'!$B$30+'Inputs'!$B$31+'Inputs'!$B$32)/1000+'Inputs'!$B$21+'Inputs'!$B$9+'Inputs'!$B$10))/SQRT((((176-43)*MAX('Inputs'!$B$33,'Inputs'!$B$29+'Inputs'!$B$31+'Inputs'!$B$32,'Inputs'!$B$30+'Inputs'!$B$31+'Inputs'!$B$32)/1000+'Inputs'!$B$21+'Inputs'!$B$9+'Inputs'!$B$10))^2+('Inputs'!$B$6/2)^2))))*'Results'!$B$8),"")</x:f>
        <x:v>198.51429597989284</x:v>
      </x:c>
      <x:c r="N176" t="n">
        <x:f>IF(AND(ISNUMBER('Results'!C7),ISNUMBER('Results'!B7),ISNUMBER('Results'!$B$8),ISNUMBER('Inputs'!$B$6),ISNUMBER('Inputs'!$B$7),ISNUMBER('Inputs'!$B$8),ISNUMBER('Inputs'!$B$9),ISNUMBER('Inputs'!$B$10),ISNUMBER('Inputs'!$B$21),ISNUMBER('Inputs'!$B$24),ISNUMBER('Inputs'!$B$28)),((('Results'!C7*(1-'Inputs'!$B$24)*(0.5*((((176-43)*MAX('Inputs'!$B$33,'Inputs'!$B$29+'Inputs'!$B$31+'Inputs'!$B$32,'Inputs'!$B$30+'Inputs'!$B$31+'Inputs'!$B$32)/1000+'Inputs'!$B$21)+'Inputs'!$B$9)/SQRT((((176-43)*MAX('Inputs'!$B$33,'Inputs'!$B$29+'Inputs'!$B$31+'Inputs'!$B$32,'Inputs'!$B$30+'Inputs'!$B$31+'Inputs'!$B$32)/1000+'Inputs'!$B$21)+'Inputs'!$B$9)^2+('Inputs'!$B$8/2)^2)-(((176-43)*MAX('Inputs'!$B$33,'Inputs'!$B$29+'Inputs'!$B$31+'Inputs'!$B$32,'Inputs'!$B$30+'Inputs'!$B$31+'Inputs'!$B$32)/1000+'Inputs'!$B$21))/SQRT((((176-43)*MAX('Inputs'!$B$33,'Inputs'!$B$29+'Inputs'!$B$31+'Inputs'!$B$32,'Inputs'!$B$30+'Inputs'!$B$31+'Inputs'!$B$32)/1000+'Inputs'!$B$21))^2+('Inputs'!$B$8/2)^2)))-'Results'!B7*(1+'Inputs'!$B$24)*(0.5*((((176-43)*MAX('Inputs'!$B$33,'Inputs'!$B$29+'Inputs'!$B$31+'Inputs'!$B$32,'Inputs'!$B$30+'Inputs'!$B$31+'Inputs'!$B$32)/1000+'Inputs'!$B$21+'Inputs'!$B$9+'Inputs'!$B$10)+'Inputs'!$B$7)/SQRT((((176-43)*MAX('Inputs'!$B$33,'Inputs'!$B$29+'Inputs'!$B$31+'Inputs'!$B$32,'Inputs'!$B$30+'Inputs'!$B$31+'Inputs'!$B$32)/1000+'Inputs'!$B$21+'Inputs'!$B$9+'Inputs'!$B$10)+'Inputs'!$B$7)^2+('Inputs'!$B$6/2)^2)-(((176-43)*MAX('Inputs'!$B$33,'Inputs'!$B$29+'Inputs'!$B$31+'Inputs'!$B$32,'Inputs'!$B$30+'Inputs'!$B$31+'Inputs'!$B$32)/1000+'Inputs'!$B$21+'Inputs'!$B$9+'Inputs'!$B$10))/SQRT((((176-43)*MAX('Inputs'!$B$33,'Inputs'!$B$29+'Inputs'!$B$31+'Inputs'!$B$32,'Inputs'!$B$30+'Inputs'!$B$31+'Inputs'!$B$32)/1000+'Inputs'!$B$21+'Inputs'!$B$9+'Inputs'!$B$10))^2+('Inputs'!$B$6/2)^2))))*'Results'!$B$8)-'Inputs'!$B$28*ABS((('Results'!C7*(1-'Inputs'!$B$24)*(0.5*((((176-43)*MAX('Inputs'!$B$33,'Inputs'!$B$29+'Inputs'!$B$31+'Inputs'!$B$32,'Inputs'!$B$30+'Inputs'!$B$31+'Inputs'!$B$32)/1000+'Inputs'!$B$21)+'Inputs'!$B$9)/SQRT((((176-43)*MAX('Inputs'!$B$33,'Inputs'!$B$29+'Inputs'!$B$31+'Inputs'!$B$32,'Inputs'!$B$30+'Inputs'!$B$31+'Inputs'!$B$32)/1000+'Inputs'!$B$21)+'Inputs'!$B$9)^2+('Inputs'!$B$8/2)^2)-(((176-43)*MAX('Inputs'!$B$33,'Inputs'!$B$29+'Inputs'!$B$31+'Inputs'!$B$32,'Inputs'!$B$30+'Inputs'!$B$31+'Inputs'!$B$32)/1000+'Inputs'!$B$21))/SQRT((((176-43)*MAX('Inputs'!$B$33,'Inputs'!$B$29+'Inputs'!$B$31+'Inputs'!$B$32,'Inputs'!$B$30+'Inputs'!$B$31+'Inputs'!$B$32)/1000+'Inputs'!$B$21))^2+('Inputs'!$B$8/2)^2)))-'Results'!B7*(1+'Inputs'!$B$24)*(0.5*((((176-43)*MAX('Inputs'!$B$33,'Inputs'!$B$29+'Inputs'!$B$31+'Inputs'!$B$32,'Inputs'!$B$30+'Inputs'!$B$31+'Inputs'!$B$32)/1000+'Inputs'!$B$21+'Inputs'!$B$9+'Inputs'!$B$10)+'Inputs'!$B$7)/SQRT((((176-43)*MAX('Inputs'!$B$33,'Inputs'!$B$29+'Inputs'!$B$31+'Inputs'!$B$32,'Inputs'!$B$30+'Inputs'!$B$31+'Inputs'!$B$32)/1000+'Inputs'!$B$21+'Inputs'!$B$9+'Inputs'!$B$10)+'Inputs'!$B$7)^2+('Inputs'!$B$6/2)^2)-(((176-43)*MAX('Inputs'!$B$33,'Inputs'!$B$29+'Inputs'!$B$31+'Inputs'!$B$32,'Inputs'!$B$30+'Inputs'!$B$31+'Inputs'!$B$32)/1000+'Inputs'!$B$21+'Inputs'!$B$9+'Inputs'!$B$10))/SQRT((((176-43)*MAX('Inputs'!$B$33,'Inputs'!$B$29+'Inputs'!$B$31+'Inputs'!$B$32,'Inputs'!$B$30+'Inputs'!$B$31+'Inputs'!$B$32)/1000+'Inputs'!$B$21+'Inputs'!$B$9+'Inputs'!$B$10))^2+('Inputs'!$B$6/2)^2))))*'Results'!$B$8))),"")</x:f>
        <x:v>182.46859465291016</x:v>
      </x:c>
      <x:c r="O176" t="n">
        <x:f>IF(AND(ISNUMBER('Results'!C7),ISNUMBER('Results'!B7),ISNUMBER('Results'!$B$8),ISNUMBER('Inputs'!$B$6),ISNUMBER('Inputs'!$B$7),ISNUMBER('Inputs'!$B$8),ISNUMBER('Inputs'!$B$9),ISNUMBER('Inputs'!$B$10),ISNUMBER('Inputs'!$B$21),ISNUMBER('Inputs'!$B$24),ISNUMBER('Inputs'!$B$28)),((('Results'!C7*(1+'Inputs'!$B$24)*(0.5*((((176-43)*MAX('Inputs'!$B$33,'Inputs'!$B$29+'Inputs'!$B$31+'Inputs'!$B$32,'Inputs'!$B$30+'Inputs'!$B$31+'Inputs'!$B$32)/1000+'Inputs'!$B$21)+'Inputs'!$B$9)/SQRT((((176-43)*MAX('Inputs'!$B$33,'Inputs'!$B$29+'Inputs'!$B$31+'Inputs'!$B$32,'Inputs'!$B$30+'Inputs'!$B$31+'Inputs'!$B$32)/1000+'Inputs'!$B$21)+'Inputs'!$B$9)^2+('Inputs'!$B$8/2)^2)-(((176-43)*MAX('Inputs'!$B$33,'Inputs'!$B$29+'Inputs'!$B$31+'Inputs'!$B$32,'Inputs'!$B$30+'Inputs'!$B$31+'Inputs'!$B$32)/1000+'Inputs'!$B$21))/SQRT((((176-43)*MAX('Inputs'!$B$33,'Inputs'!$B$29+'Inputs'!$B$31+'Inputs'!$B$32,'Inputs'!$B$30+'Inputs'!$B$31+'Inputs'!$B$32)/1000+'Inputs'!$B$21))^2+('Inputs'!$B$8/2)^2)))-'Results'!B7*(1-'Inputs'!$B$24)*(0.5*((((176-43)*MAX('Inputs'!$B$33,'Inputs'!$B$29+'Inputs'!$B$31+'Inputs'!$B$32,'Inputs'!$B$30+'Inputs'!$B$31+'Inputs'!$B$32)/1000+'Inputs'!$B$21+'Inputs'!$B$9+'Inputs'!$B$10)+'Inputs'!$B$7)/SQRT((((176-43)*MAX('Inputs'!$B$33,'Inputs'!$B$29+'Inputs'!$B$31+'Inputs'!$B$32,'Inputs'!$B$30+'Inputs'!$B$31+'Inputs'!$B$32)/1000+'Inputs'!$B$21+'Inputs'!$B$9+'Inputs'!$B$10)+'Inputs'!$B$7)^2+('Inputs'!$B$6/2)^2)-(((176-43)*MAX('Inputs'!$B$33,'Inputs'!$B$29+'Inputs'!$B$31+'Inputs'!$B$32,'Inputs'!$B$30+'Inputs'!$B$31+'Inputs'!$B$32)/1000+'Inputs'!$B$21+'Inputs'!$B$9+'Inputs'!$B$10))/SQRT((((176-43)*MAX('Inputs'!$B$33,'Inputs'!$B$29+'Inputs'!$B$31+'Inputs'!$B$32,'Inputs'!$B$30+'Inputs'!$B$31+'Inputs'!$B$32)/1000+'Inputs'!$B$21+'Inputs'!$B$9+'Inputs'!$B$10))^2+('Inputs'!$B$6/2)^2))))*'Results'!$B$8)+'Inputs'!$B$28*ABS((('Results'!C7*(1+'Inputs'!$B$24)*(0.5*((((176-43)*MAX('Inputs'!$B$33,'Inputs'!$B$29+'Inputs'!$B$31+'Inputs'!$B$32,'Inputs'!$B$30+'Inputs'!$B$31+'Inputs'!$B$32)/1000+'Inputs'!$B$21)+'Inputs'!$B$9)/SQRT((((176-43)*MAX('Inputs'!$B$33,'Inputs'!$B$29+'Inputs'!$B$31+'Inputs'!$B$32,'Inputs'!$B$30+'Inputs'!$B$31+'Inputs'!$B$32)/1000+'Inputs'!$B$21)+'Inputs'!$B$9)^2+('Inputs'!$B$8/2)^2)-(((176-43)*MAX('Inputs'!$B$33,'Inputs'!$B$29+'Inputs'!$B$31+'Inputs'!$B$32,'Inputs'!$B$30+'Inputs'!$B$31+'Inputs'!$B$32)/1000+'Inputs'!$B$21))/SQRT((((176-43)*MAX('Inputs'!$B$33,'Inputs'!$B$29+'Inputs'!$B$31+'Inputs'!$B$32,'Inputs'!$B$30+'Inputs'!$B$31+'Inputs'!$B$32)/1000+'Inputs'!$B$21))^2+('Inputs'!$B$8/2)^2)))-'Results'!B7*(1-'Inputs'!$B$24)*(0.5*((((176-43)*MAX('Inputs'!$B$33,'Inputs'!$B$29+'Inputs'!$B$31+'Inputs'!$B$32,'Inputs'!$B$30+'Inputs'!$B$31+'Inputs'!$B$32)/1000+'Inputs'!$B$21+'Inputs'!$B$9+'Inputs'!$B$10)+'Inputs'!$B$7)/SQRT((((176-43)*MAX('Inputs'!$B$33,'Inputs'!$B$29+'Inputs'!$B$31+'Inputs'!$B$32,'Inputs'!$B$30+'Inputs'!$B$31+'Inputs'!$B$32)/1000+'Inputs'!$B$21+'Inputs'!$B$9+'Inputs'!$B$10)+'Inputs'!$B$7)^2+('Inputs'!$B$6/2)^2)-(((176-43)*MAX('Inputs'!$B$33,'Inputs'!$B$29+'Inputs'!$B$31+'Inputs'!$B$32,'Inputs'!$B$30+'Inputs'!$B$31+'Inputs'!$B$32)/1000+'Inputs'!$B$21+'Inputs'!$B$9+'Inputs'!$B$10))/SQRT((((176-43)*MAX('Inputs'!$B$33,'Inputs'!$B$29+'Inputs'!$B$31+'Inputs'!$B$32,'Inputs'!$B$30+'Inputs'!$B$31+'Inputs'!$B$32)/1000+'Inputs'!$B$21+'Inputs'!$B$9+'Inputs'!$B$10))^2+('Inputs'!$B$6/2)^2))))*'Results'!$B$8))),"")</x:f>
        <x:v>215.20420641508485</x:v>
      </x:c>
      <x:c r="P176" t="n">
        <x:f>IF(AND(MAX(J176,J175)&gt;0,J176&gt;J175+0.00000001),1,0)</x:f>
        <x:v>0</x:v>
      </x:c>
      <x:c r="Q176" t="n">
        <x:f>IF(AND(MAX(K176,K175)&gt;0,K176&gt;K175+0.00000001),1,0)</x:f>
        <x:v>0</x:v>
      </x:c>
      <x:c r="R176" t="n">
        <x:f>IF(AND(MAX(L176,L175)&gt;0,L176&gt;L175+0.00000001),1,0)</x:f>
        <x:v>0</x:v>
      </x:c>
      <x:c r="S176" t="n">
        <x:f>IF(AND(MAX(M176,M175)&gt;0,M176&gt;M175+0.00000001),1,0)</x:f>
        <x:v>0</x:v>
      </x:c>
      <x:c r="T176" t="n">
        <x:f>IF(AND(MAX(N176,N175)&gt;0,N176&gt;N175+0.00000001),1,0)</x:f>
        <x:v>0</x:v>
      </x:c>
      <x:c r="U176" t="n">
        <x:f>IF(AND(MAX(O176,O175)&gt;0,O176&gt;O175+0.00000001),1,0)</x:f>
        <x:v>0</x:v>
      </x:c>
    </x:row>
    <x:row r="177">
      <x:c r="J177" t="n">
        <x:f>IF(AND(ISNUMBER('Results'!B7),ISNUMBER('Results'!C7),ISNUMBER('Results'!$B$8),ISNUMBER('Inputs'!$B$6),ISNUMBER('Inputs'!$B$7),ISNUMBER('Inputs'!$B$8),ISNUMBER('Inputs'!$B$9),ISNUMBER('Inputs'!$B$10),ISNUMBER('Inputs'!$B$21),ISNUMBER('Inputs'!$B$24),ISNUMBER('Inputs'!$B$28)),(('Results'!B7*(0.5*((((177-43)*MAX('Inputs'!$B$33,'Inputs'!$B$29+'Inputs'!$B$31+'Inputs'!$B$32,'Inputs'!$B$30+'Inputs'!$B$31+'Inputs'!$B$32)/1000+'Inputs'!$B$21)+'Inputs'!$B$7)/SQRT((((177-43)*MAX('Inputs'!$B$33,'Inputs'!$B$29+'Inputs'!$B$31+'Inputs'!$B$32,'Inputs'!$B$30+'Inputs'!$B$31+'Inputs'!$B$32)/1000+'Inputs'!$B$21)+'Inputs'!$B$7)^2+('Inputs'!$B$6/2)^2)-(((177-43)*MAX('Inputs'!$B$33,'Inputs'!$B$29+'Inputs'!$B$31+'Inputs'!$B$32,'Inputs'!$B$30+'Inputs'!$B$31+'Inputs'!$B$32)/1000+'Inputs'!$B$21))/SQRT((((177-43)*MAX('Inputs'!$B$33,'Inputs'!$B$29+'Inputs'!$B$31+'Inputs'!$B$32,'Inputs'!$B$30+'Inputs'!$B$31+'Inputs'!$B$32)/1000+'Inputs'!$B$21))^2+('Inputs'!$B$6/2)^2)))-'Results'!C7*(0.5*((((177-43)*MAX('Inputs'!$B$33,'Inputs'!$B$29+'Inputs'!$B$31+'Inputs'!$B$32,'Inputs'!$B$30+'Inputs'!$B$31+'Inputs'!$B$32)/1000+'Inputs'!$B$21+'Inputs'!$B$7+'Inputs'!$B$10)+'Inputs'!$B$9)/SQRT((((177-43)*MAX('Inputs'!$B$33,'Inputs'!$B$29+'Inputs'!$B$31+'Inputs'!$B$32,'Inputs'!$B$30+'Inputs'!$B$31+'Inputs'!$B$32)/1000+'Inputs'!$B$21+'Inputs'!$B$7+'Inputs'!$B$10)+'Inputs'!$B$9)^2+('Inputs'!$B$8/2)^2)-(((177-43)*MAX('Inputs'!$B$33,'Inputs'!$B$29+'Inputs'!$B$31+'Inputs'!$B$32,'Inputs'!$B$30+'Inputs'!$B$31+'Inputs'!$B$32)/1000+'Inputs'!$B$21+'Inputs'!$B$7+'Inputs'!$B$10))/SQRT((((177-43)*MAX('Inputs'!$B$33,'Inputs'!$B$29+'Inputs'!$B$31+'Inputs'!$B$32,'Inputs'!$B$30+'Inputs'!$B$31+'Inputs'!$B$32)/1000+'Inputs'!$B$21+'Inputs'!$B$7+'Inputs'!$B$10))^2+('Inputs'!$B$8/2)^2))))*'Results'!$B$8),"")</x:f>
        <x:v>201.58571139170508</x:v>
      </x:c>
      <x:c r="K177" t="n">
        <x:f>IF(AND(ISNUMBER('Results'!B7),ISNUMBER('Results'!C7),ISNUMBER('Results'!$B$8),ISNUMBER('Inputs'!$B$6),ISNUMBER('Inputs'!$B$7),ISNUMBER('Inputs'!$B$8),ISNUMBER('Inputs'!$B$9),ISNUMBER('Inputs'!$B$10),ISNUMBER('Inputs'!$B$21),ISNUMBER('Inputs'!$B$24),ISNUMBER('Inputs'!$B$28)),((('Results'!B7*(1-'Inputs'!$B$24)*(0.5*((((177-43)*MAX('Inputs'!$B$33,'Inputs'!$B$29+'Inputs'!$B$31+'Inputs'!$B$32,'Inputs'!$B$30+'Inputs'!$B$31+'Inputs'!$B$32)/1000+'Inputs'!$B$21)+'Inputs'!$B$7)/SQRT((((177-43)*MAX('Inputs'!$B$33,'Inputs'!$B$29+'Inputs'!$B$31+'Inputs'!$B$32,'Inputs'!$B$30+'Inputs'!$B$31+'Inputs'!$B$32)/1000+'Inputs'!$B$21)+'Inputs'!$B$7)^2+('Inputs'!$B$6/2)^2)-(((177-43)*MAX('Inputs'!$B$33,'Inputs'!$B$29+'Inputs'!$B$31+'Inputs'!$B$32,'Inputs'!$B$30+'Inputs'!$B$31+'Inputs'!$B$32)/1000+'Inputs'!$B$21))/SQRT((((177-43)*MAX('Inputs'!$B$33,'Inputs'!$B$29+'Inputs'!$B$31+'Inputs'!$B$32,'Inputs'!$B$30+'Inputs'!$B$31+'Inputs'!$B$32)/1000+'Inputs'!$B$21))^2+('Inputs'!$B$6/2)^2)))-'Results'!C7*(1+'Inputs'!$B$24)*(0.5*((((177-43)*MAX('Inputs'!$B$33,'Inputs'!$B$29+'Inputs'!$B$31+'Inputs'!$B$32,'Inputs'!$B$30+'Inputs'!$B$31+'Inputs'!$B$32)/1000+'Inputs'!$B$21+'Inputs'!$B$7+'Inputs'!$B$10)+'Inputs'!$B$9)/SQRT((((177-43)*MAX('Inputs'!$B$33,'Inputs'!$B$29+'Inputs'!$B$31+'Inputs'!$B$32,'Inputs'!$B$30+'Inputs'!$B$31+'Inputs'!$B$32)/1000+'Inputs'!$B$21+'Inputs'!$B$7+'Inputs'!$B$10)+'Inputs'!$B$9)^2+('Inputs'!$B$8/2)^2)-(((177-43)*MAX('Inputs'!$B$33,'Inputs'!$B$29+'Inputs'!$B$31+'Inputs'!$B$32,'Inputs'!$B$30+'Inputs'!$B$31+'Inputs'!$B$32)/1000+'Inputs'!$B$21+'Inputs'!$B$7+'Inputs'!$B$10))/SQRT((((177-43)*MAX('Inputs'!$B$33,'Inputs'!$B$29+'Inputs'!$B$31+'Inputs'!$B$32,'Inputs'!$B$30+'Inputs'!$B$31+'Inputs'!$B$32)/1000+'Inputs'!$B$21+'Inputs'!$B$7+'Inputs'!$B$10))^2+('Inputs'!$B$8/2)^2))))*'Results'!$B$8)-'Inputs'!$B$28*ABS((('Results'!B7*(1-'Inputs'!$B$24)*(0.5*((((177-43)*MAX('Inputs'!$B$33,'Inputs'!$B$29+'Inputs'!$B$31+'Inputs'!$B$32,'Inputs'!$B$30+'Inputs'!$B$31+'Inputs'!$B$32)/1000+'Inputs'!$B$21)+'Inputs'!$B$7)/SQRT((((177-43)*MAX('Inputs'!$B$33,'Inputs'!$B$29+'Inputs'!$B$31+'Inputs'!$B$32,'Inputs'!$B$30+'Inputs'!$B$31+'Inputs'!$B$32)/1000+'Inputs'!$B$21)+'Inputs'!$B$7)^2+('Inputs'!$B$6/2)^2)-(((177-43)*MAX('Inputs'!$B$33,'Inputs'!$B$29+'Inputs'!$B$31+'Inputs'!$B$32,'Inputs'!$B$30+'Inputs'!$B$31+'Inputs'!$B$32)/1000+'Inputs'!$B$21))/SQRT((((177-43)*MAX('Inputs'!$B$33,'Inputs'!$B$29+'Inputs'!$B$31+'Inputs'!$B$32,'Inputs'!$B$30+'Inputs'!$B$31+'Inputs'!$B$32)/1000+'Inputs'!$B$21))^2+('Inputs'!$B$6/2)^2)))-'Results'!C7*(1+'Inputs'!$B$24)*(0.5*((((177-43)*MAX('Inputs'!$B$33,'Inputs'!$B$29+'Inputs'!$B$31+'Inputs'!$B$32,'Inputs'!$B$30+'Inputs'!$B$31+'Inputs'!$B$32)/1000+'Inputs'!$B$21+'Inputs'!$B$7+'Inputs'!$B$10)+'Inputs'!$B$9)/SQRT((((177-43)*MAX('Inputs'!$B$33,'Inputs'!$B$29+'Inputs'!$B$31+'Inputs'!$B$32,'Inputs'!$B$30+'Inputs'!$B$31+'Inputs'!$B$32)/1000+'Inputs'!$B$21+'Inputs'!$B$7+'Inputs'!$B$10)+'Inputs'!$B$9)^2+('Inputs'!$B$8/2)^2)-(((177-43)*MAX('Inputs'!$B$33,'Inputs'!$B$29+'Inputs'!$B$31+'Inputs'!$B$32,'Inputs'!$B$30+'Inputs'!$B$31+'Inputs'!$B$32)/1000+'Inputs'!$B$21+'Inputs'!$B$7+'Inputs'!$B$10))/SQRT((((177-43)*MAX('Inputs'!$B$33,'Inputs'!$B$29+'Inputs'!$B$31+'Inputs'!$B$32,'Inputs'!$B$30+'Inputs'!$B$31+'Inputs'!$B$32)/1000+'Inputs'!$B$21+'Inputs'!$B$7+'Inputs'!$B$10))^2+('Inputs'!$B$8/2)^2))))*'Results'!$B$8))),"")</x:f>
        <x:v>185.39873184164617</x:v>
      </x:c>
      <x:c r="L177" t="n">
        <x:f>IF(AND(ISNUMBER('Results'!B7),ISNUMBER('Results'!C7),ISNUMBER('Results'!$B$8),ISNUMBER('Inputs'!$B$6),ISNUMBER('Inputs'!$B$7),ISNUMBER('Inputs'!$B$8),ISNUMBER('Inputs'!$B$9),ISNUMBER('Inputs'!$B$10),ISNUMBER('Inputs'!$B$21),ISNUMBER('Inputs'!$B$24),ISNUMBER('Inputs'!$B$28)),((('Results'!B7*(1+'Inputs'!$B$24)*(0.5*((((177-43)*MAX('Inputs'!$B$33,'Inputs'!$B$29+'Inputs'!$B$31+'Inputs'!$B$32,'Inputs'!$B$30+'Inputs'!$B$31+'Inputs'!$B$32)/1000+'Inputs'!$B$21)+'Inputs'!$B$7)/SQRT((((177-43)*MAX('Inputs'!$B$33,'Inputs'!$B$29+'Inputs'!$B$31+'Inputs'!$B$32,'Inputs'!$B$30+'Inputs'!$B$31+'Inputs'!$B$32)/1000+'Inputs'!$B$21)+'Inputs'!$B$7)^2+('Inputs'!$B$6/2)^2)-(((177-43)*MAX('Inputs'!$B$33,'Inputs'!$B$29+'Inputs'!$B$31+'Inputs'!$B$32,'Inputs'!$B$30+'Inputs'!$B$31+'Inputs'!$B$32)/1000+'Inputs'!$B$21))/SQRT((((177-43)*MAX('Inputs'!$B$33,'Inputs'!$B$29+'Inputs'!$B$31+'Inputs'!$B$32,'Inputs'!$B$30+'Inputs'!$B$31+'Inputs'!$B$32)/1000+'Inputs'!$B$21))^2+('Inputs'!$B$6/2)^2)))-'Results'!C7*(1-'Inputs'!$B$24)*(0.5*((((177-43)*MAX('Inputs'!$B$33,'Inputs'!$B$29+'Inputs'!$B$31+'Inputs'!$B$32,'Inputs'!$B$30+'Inputs'!$B$31+'Inputs'!$B$32)/1000+'Inputs'!$B$21+'Inputs'!$B$7+'Inputs'!$B$10)+'Inputs'!$B$9)/SQRT((((177-43)*MAX('Inputs'!$B$33,'Inputs'!$B$29+'Inputs'!$B$31+'Inputs'!$B$32,'Inputs'!$B$30+'Inputs'!$B$31+'Inputs'!$B$32)/1000+'Inputs'!$B$21+'Inputs'!$B$7+'Inputs'!$B$10)+'Inputs'!$B$9)^2+('Inputs'!$B$8/2)^2)-(((177-43)*MAX('Inputs'!$B$33,'Inputs'!$B$29+'Inputs'!$B$31+'Inputs'!$B$32,'Inputs'!$B$30+'Inputs'!$B$31+'Inputs'!$B$32)/1000+'Inputs'!$B$21+'Inputs'!$B$7+'Inputs'!$B$10))/SQRT((((177-43)*MAX('Inputs'!$B$33,'Inputs'!$B$29+'Inputs'!$B$31+'Inputs'!$B$32,'Inputs'!$B$30+'Inputs'!$B$31+'Inputs'!$B$32)/1000+'Inputs'!$B$21+'Inputs'!$B$7+'Inputs'!$B$10))^2+('Inputs'!$B$8/2)^2))))*'Results'!$B$8)+'Inputs'!$B$28*ABS((('Results'!B7*(1+'Inputs'!$B$24)*(0.5*((((177-43)*MAX('Inputs'!$B$33,'Inputs'!$B$29+'Inputs'!$B$31+'Inputs'!$B$32,'Inputs'!$B$30+'Inputs'!$B$31+'Inputs'!$B$32)/1000+'Inputs'!$B$21)+'Inputs'!$B$7)/SQRT((((177-43)*MAX('Inputs'!$B$33,'Inputs'!$B$29+'Inputs'!$B$31+'Inputs'!$B$32,'Inputs'!$B$30+'Inputs'!$B$31+'Inputs'!$B$32)/1000+'Inputs'!$B$21)+'Inputs'!$B$7)^2+('Inputs'!$B$6/2)^2)-(((177-43)*MAX('Inputs'!$B$33,'Inputs'!$B$29+'Inputs'!$B$31+'Inputs'!$B$32,'Inputs'!$B$30+'Inputs'!$B$31+'Inputs'!$B$32)/1000+'Inputs'!$B$21))/SQRT((((177-43)*MAX('Inputs'!$B$33,'Inputs'!$B$29+'Inputs'!$B$31+'Inputs'!$B$32,'Inputs'!$B$30+'Inputs'!$B$31+'Inputs'!$B$32)/1000+'Inputs'!$B$21))^2+('Inputs'!$B$6/2)^2)))-'Results'!C7*(1-'Inputs'!$B$24)*(0.5*((((177-43)*MAX('Inputs'!$B$33,'Inputs'!$B$29+'Inputs'!$B$31+'Inputs'!$B$32,'Inputs'!$B$30+'Inputs'!$B$31+'Inputs'!$B$32)/1000+'Inputs'!$B$21+'Inputs'!$B$7+'Inputs'!$B$10)+'Inputs'!$B$9)/SQRT((((177-43)*MAX('Inputs'!$B$33,'Inputs'!$B$29+'Inputs'!$B$31+'Inputs'!$B$32,'Inputs'!$B$30+'Inputs'!$B$31+'Inputs'!$B$32)/1000+'Inputs'!$B$21+'Inputs'!$B$7+'Inputs'!$B$10)+'Inputs'!$B$9)^2+('Inputs'!$B$8/2)^2)-(((177-43)*MAX('Inputs'!$B$33,'Inputs'!$B$29+'Inputs'!$B$31+'Inputs'!$B$32,'Inputs'!$B$30+'Inputs'!$B$31+'Inputs'!$B$32)/1000+'Inputs'!$B$21+'Inputs'!$B$7+'Inputs'!$B$10))/SQRT((((177-43)*MAX('Inputs'!$B$33,'Inputs'!$B$29+'Inputs'!$B$31+'Inputs'!$B$32,'Inputs'!$B$30+'Inputs'!$B$31+'Inputs'!$B$32)/1000+'Inputs'!$B$21+'Inputs'!$B$7+'Inputs'!$B$10))^2+('Inputs'!$B$8/2)^2))))*'Results'!$B$8))),"")</x:f>
        <x:v>218.41560609760336</x:v>
      </x:c>
      <x:c r="M177" t="n">
        <x:f>IF(AND(ISNUMBER('Results'!C7),ISNUMBER('Results'!B7),ISNUMBER('Results'!$B$8),ISNUMBER('Inputs'!$B$6),ISNUMBER('Inputs'!$B$7),ISNUMBER('Inputs'!$B$8),ISNUMBER('Inputs'!$B$9),ISNUMBER('Inputs'!$B$10),ISNUMBER('Inputs'!$B$21),ISNUMBER('Inputs'!$B$24),ISNUMBER('Inputs'!$B$28)),(('Results'!C7*(0.5*((((177-43)*MAX('Inputs'!$B$33,'Inputs'!$B$29+'Inputs'!$B$31+'Inputs'!$B$32,'Inputs'!$B$30+'Inputs'!$B$31+'Inputs'!$B$32)/1000+'Inputs'!$B$21)+'Inputs'!$B$9)/SQRT((((177-43)*MAX('Inputs'!$B$33,'Inputs'!$B$29+'Inputs'!$B$31+'Inputs'!$B$32,'Inputs'!$B$30+'Inputs'!$B$31+'Inputs'!$B$32)/1000+'Inputs'!$B$21)+'Inputs'!$B$9)^2+('Inputs'!$B$8/2)^2)-(((177-43)*MAX('Inputs'!$B$33,'Inputs'!$B$29+'Inputs'!$B$31+'Inputs'!$B$32,'Inputs'!$B$30+'Inputs'!$B$31+'Inputs'!$B$32)/1000+'Inputs'!$B$21))/SQRT((((177-43)*MAX('Inputs'!$B$33,'Inputs'!$B$29+'Inputs'!$B$31+'Inputs'!$B$32,'Inputs'!$B$30+'Inputs'!$B$31+'Inputs'!$B$32)/1000+'Inputs'!$B$21))^2+('Inputs'!$B$8/2)^2)))-'Results'!B7*(0.5*((((177-43)*MAX('Inputs'!$B$33,'Inputs'!$B$29+'Inputs'!$B$31+'Inputs'!$B$32,'Inputs'!$B$30+'Inputs'!$B$31+'Inputs'!$B$32)/1000+'Inputs'!$B$21+'Inputs'!$B$9+'Inputs'!$B$10)+'Inputs'!$B$7)/SQRT((((177-43)*MAX('Inputs'!$B$33,'Inputs'!$B$29+'Inputs'!$B$31+'Inputs'!$B$32,'Inputs'!$B$30+'Inputs'!$B$31+'Inputs'!$B$32)/1000+'Inputs'!$B$21+'Inputs'!$B$9+'Inputs'!$B$10)+'Inputs'!$B$7)^2+('Inputs'!$B$6/2)^2)-(((177-43)*MAX('Inputs'!$B$33,'Inputs'!$B$29+'Inputs'!$B$31+'Inputs'!$B$32,'Inputs'!$B$30+'Inputs'!$B$31+'Inputs'!$B$32)/1000+'Inputs'!$B$21+'Inputs'!$B$9+'Inputs'!$B$10))/SQRT((((177-43)*MAX('Inputs'!$B$33,'Inputs'!$B$29+'Inputs'!$B$31+'Inputs'!$B$32,'Inputs'!$B$30+'Inputs'!$B$31+'Inputs'!$B$32)/1000+'Inputs'!$B$21+'Inputs'!$B$9+'Inputs'!$B$10))^2+('Inputs'!$B$6/2)^2))))*'Results'!$B$8),"")</x:f>
        <x:v>195.13209618708154</x:v>
      </x:c>
      <x:c r="N177" t="n">
        <x:f>IF(AND(ISNUMBER('Results'!C7),ISNUMBER('Results'!B7),ISNUMBER('Results'!$B$8),ISNUMBER('Inputs'!$B$6),ISNUMBER('Inputs'!$B$7),ISNUMBER('Inputs'!$B$8),ISNUMBER('Inputs'!$B$9),ISNUMBER('Inputs'!$B$10),ISNUMBER('Inputs'!$B$21),ISNUMBER('Inputs'!$B$24),ISNUMBER('Inputs'!$B$28)),((('Results'!C7*(1-'Inputs'!$B$24)*(0.5*((((177-43)*MAX('Inputs'!$B$33,'Inputs'!$B$29+'Inputs'!$B$31+'Inputs'!$B$32,'Inputs'!$B$30+'Inputs'!$B$31+'Inputs'!$B$32)/1000+'Inputs'!$B$21)+'Inputs'!$B$9)/SQRT((((177-43)*MAX('Inputs'!$B$33,'Inputs'!$B$29+'Inputs'!$B$31+'Inputs'!$B$32,'Inputs'!$B$30+'Inputs'!$B$31+'Inputs'!$B$32)/1000+'Inputs'!$B$21)+'Inputs'!$B$9)^2+('Inputs'!$B$8/2)^2)-(((177-43)*MAX('Inputs'!$B$33,'Inputs'!$B$29+'Inputs'!$B$31+'Inputs'!$B$32,'Inputs'!$B$30+'Inputs'!$B$31+'Inputs'!$B$32)/1000+'Inputs'!$B$21))/SQRT((((177-43)*MAX('Inputs'!$B$33,'Inputs'!$B$29+'Inputs'!$B$31+'Inputs'!$B$32,'Inputs'!$B$30+'Inputs'!$B$31+'Inputs'!$B$32)/1000+'Inputs'!$B$21))^2+('Inputs'!$B$8/2)^2)))-'Results'!B7*(1+'Inputs'!$B$24)*(0.5*((((177-43)*MAX('Inputs'!$B$33,'Inputs'!$B$29+'Inputs'!$B$31+'Inputs'!$B$32,'Inputs'!$B$30+'Inputs'!$B$31+'Inputs'!$B$32)/1000+'Inputs'!$B$21+'Inputs'!$B$9+'Inputs'!$B$10)+'Inputs'!$B$7)/SQRT((((177-43)*MAX('Inputs'!$B$33,'Inputs'!$B$29+'Inputs'!$B$31+'Inputs'!$B$32,'Inputs'!$B$30+'Inputs'!$B$31+'Inputs'!$B$32)/1000+'Inputs'!$B$21+'Inputs'!$B$9+'Inputs'!$B$10)+'Inputs'!$B$7)^2+('Inputs'!$B$6/2)^2)-(((177-43)*MAX('Inputs'!$B$33,'Inputs'!$B$29+'Inputs'!$B$31+'Inputs'!$B$32,'Inputs'!$B$30+'Inputs'!$B$31+'Inputs'!$B$32)/1000+'Inputs'!$B$21+'Inputs'!$B$9+'Inputs'!$B$10))/SQRT((((177-43)*MAX('Inputs'!$B$33,'Inputs'!$B$29+'Inputs'!$B$31+'Inputs'!$B$32,'Inputs'!$B$30+'Inputs'!$B$31+'Inputs'!$B$32)/1000+'Inputs'!$B$21+'Inputs'!$B$9+'Inputs'!$B$10))^2+('Inputs'!$B$6/2)^2))))*'Results'!$B$8)-'Inputs'!$B$28*ABS((('Results'!C7*(1-'Inputs'!$B$24)*(0.5*((((177-43)*MAX('Inputs'!$B$33,'Inputs'!$B$29+'Inputs'!$B$31+'Inputs'!$B$32,'Inputs'!$B$30+'Inputs'!$B$31+'Inputs'!$B$32)/1000+'Inputs'!$B$21)+'Inputs'!$B$9)/SQRT((((177-43)*MAX('Inputs'!$B$33,'Inputs'!$B$29+'Inputs'!$B$31+'Inputs'!$B$32,'Inputs'!$B$30+'Inputs'!$B$31+'Inputs'!$B$32)/1000+'Inputs'!$B$21)+'Inputs'!$B$9)^2+('Inputs'!$B$8/2)^2)-(((177-43)*MAX('Inputs'!$B$33,'Inputs'!$B$29+'Inputs'!$B$31+'Inputs'!$B$32,'Inputs'!$B$30+'Inputs'!$B$31+'Inputs'!$B$32)/1000+'Inputs'!$B$21))/SQRT((((177-43)*MAX('Inputs'!$B$33,'Inputs'!$B$29+'Inputs'!$B$31+'Inputs'!$B$32,'Inputs'!$B$30+'Inputs'!$B$31+'Inputs'!$B$32)/1000+'Inputs'!$B$21))^2+('Inputs'!$B$8/2)^2)))-'Results'!B7*(1+'Inputs'!$B$24)*(0.5*((((177-43)*MAX('Inputs'!$B$33,'Inputs'!$B$29+'Inputs'!$B$31+'Inputs'!$B$32,'Inputs'!$B$30+'Inputs'!$B$31+'Inputs'!$B$32)/1000+'Inputs'!$B$21+'Inputs'!$B$9+'Inputs'!$B$10)+'Inputs'!$B$7)/SQRT((((177-43)*MAX('Inputs'!$B$33,'Inputs'!$B$29+'Inputs'!$B$31+'Inputs'!$B$32,'Inputs'!$B$30+'Inputs'!$B$31+'Inputs'!$B$32)/1000+'Inputs'!$B$21+'Inputs'!$B$9+'Inputs'!$B$10)+'Inputs'!$B$7)^2+('Inputs'!$B$6/2)^2)-(((177-43)*MAX('Inputs'!$B$33,'Inputs'!$B$29+'Inputs'!$B$31+'Inputs'!$B$32,'Inputs'!$B$30+'Inputs'!$B$31+'Inputs'!$B$32)/1000+'Inputs'!$B$21+'Inputs'!$B$9+'Inputs'!$B$10))/SQRT((((177-43)*MAX('Inputs'!$B$33,'Inputs'!$B$29+'Inputs'!$B$31+'Inputs'!$B$32,'Inputs'!$B$30+'Inputs'!$B$31+'Inputs'!$B$32)/1000+'Inputs'!$B$21+'Inputs'!$B$9+'Inputs'!$B$10))^2+('Inputs'!$B$6/2)^2))))*'Results'!$B$8))),"")</x:f>
        <x:v>179.3439351583042</x:v>
      </x:c>
      <x:c r="O177" t="n">
        <x:f>IF(AND(ISNUMBER('Results'!C7),ISNUMBER('Results'!B7),ISNUMBER('Results'!$B$8),ISNUMBER('Inputs'!$B$6),ISNUMBER('Inputs'!$B$7),ISNUMBER('Inputs'!$B$8),ISNUMBER('Inputs'!$B$9),ISNUMBER('Inputs'!$B$10),ISNUMBER('Inputs'!$B$21),ISNUMBER('Inputs'!$B$24),ISNUMBER('Inputs'!$B$28)),((('Results'!C7*(1+'Inputs'!$B$24)*(0.5*((((177-43)*MAX('Inputs'!$B$33,'Inputs'!$B$29+'Inputs'!$B$31+'Inputs'!$B$32,'Inputs'!$B$30+'Inputs'!$B$31+'Inputs'!$B$32)/1000+'Inputs'!$B$21)+'Inputs'!$B$9)/SQRT((((177-43)*MAX('Inputs'!$B$33,'Inputs'!$B$29+'Inputs'!$B$31+'Inputs'!$B$32,'Inputs'!$B$30+'Inputs'!$B$31+'Inputs'!$B$32)/1000+'Inputs'!$B$21)+'Inputs'!$B$9)^2+('Inputs'!$B$8/2)^2)-(((177-43)*MAX('Inputs'!$B$33,'Inputs'!$B$29+'Inputs'!$B$31+'Inputs'!$B$32,'Inputs'!$B$30+'Inputs'!$B$31+'Inputs'!$B$32)/1000+'Inputs'!$B$21))/SQRT((((177-43)*MAX('Inputs'!$B$33,'Inputs'!$B$29+'Inputs'!$B$31+'Inputs'!$B$32,'Inputs'!$B$30+'Inputs'!$B$31+'Inputs'!$B$32)/1000+'Inputs'!$B$21))^2+('Inputs'!$B$8/2)^2)))-'Results'!B7*(1-'Inputs'!$B$24)*(0.5*((((177-43)*MAX('Inputs'!$B$33,'Inputs'!$B$29+'Inputs'!$B$31+'Inputs'!$B$32,'Inputs'!$B$30+'Inputs'!$B$31+'Inputs'!$B$32)/1000+'Inputs'!$B$21+'Inputs'!$B$9+'Inputs'!$B$10)+'Inputs'!$B$7)/SQRT((((177-43)*MAX('Inputs'!$B$33,'Inputs'!$B$29+'Inputs'!$B$31+'Inputs'!$B$32,'Inputs'!$B$30+'Inputs'!$B$31+'Inputs'!$B$32)/1000+'Inputs'!$B$21+'Inputs'!$B$9+'Inputs'!$B$10)+'Inputs'!$B$7)^2+('Inputs'!$B$6/2)^2)-(((177-43)*MAX('Inputs'!$B$33,'Inputs'!$B$29+'Inputs'!$B$31+'Inputs'!$B$32,'Inputs'!$B$30+'Inputs'!$B$31+'Inputs'!$B$32)/1000+'Inputs'!$B$21+'Inputs'!$B$9+'Inputs'!$B$10))/SQRT((((177-43)*MAX('Inputs'!$B$33,'Inputs'!$B$29+'Inputs'!$B$31+'Inputs'!$B$32,'Inputs'!$B$30+'Inputs'!$B$31+'Inputs'!$B$32)/1000+'Inputs'!$B$21+'Inputs'!$B$9+'Inputs'!$B$10))^2+('Inputs'!$B$6/2)^2))))*'Results'!$B$8)+'Inputs'!$B$28*ABS((('Results'!C7*(1+'Inputs'!$B$24)*(0.5*((((177-43)*MAX('Inputs'!$B$33,'Inputs'!$B$29+'Inputs'!$B$31+'Inputs'!$B$32,'Inputs'!$B$30+'Inputs'!$B$31+'Inputs'!$B$32)/1000+'Inputs'!$B$21)+'Inputs'!$B$9)/SQRT((((177-43)*MAX('Inputs'!$B$33,'Inputs'!$B$29+'Inputs'!$B$31+'Inputs'!$B$32,'Inputs'!$B$30+'Inputs'!$B$31+'Inputs'!$B$32)/1000+'Inputs'!$B$21)+'Inputs'!$B$9)^2+('Inputs'!$B$8/2)^2)-(((177-43)*MAX('Inputs'!$B$33,'Inputs'!$B$29+'Inputs'!$B$31+'Inputs'!$B$32,'Inputs'!$B$30+'Inputs'!$B$31+'Inputs'!$B$32)/1000+'Inputs'!$B$21))/SQRT((((177-43)*MAX('Inputs'!$B$33,'Inputs'!$B$29+'Inputs'!$B$31+'Inputs'!$B$32,'Inputs'!$B$30+'Inputs'!$B$31+'Inputs'!$B$32)/1000+'Inputs'!$B$21))^2+('Inputs'!$B$8/2)^2)))-'Results'!B7*(1-'Inputs'!$B$24)*(0.5*((((177-43)*MAX('Inputs'!$B$33,'Inputs'!$B$29+'Inputs'!$B$31+'Inputs'!$B$32,'Inputs'!$B$30+'Inputs'!$B$31+'Inputs'!$B$32)/1000+'Inputs'!$B$21+'Inputs'!$B$9+'Inputs'!$B$10)+'Inputs'!$B$7)/SQRT((((177-43)*MAX('Inputs'!$B$33,'Inputs'!$B$29+'Inputs'!$B$31+'Inputs'!$B$32,'Inputs'!$B$30+'Inputs'!$B$31+'Inputs'!$B$32)/1000+'Inputs'!$B$21+'Inputs'!$B$9+'Inputs'!$B$10)+'Inputs'!$B$7)^2+('Inputs'!$B$6/2)^2)-(((177-43)*MAX('Inputs'!$B$33,'Inputs'!$B$29+'Inputs'!$B$31+'Inputs'!$B$32,'Inputs'!$B$30+'Inputs'!$B$31+'Inputs'!$B$32)/1000+'Inputs'!$B$21+'Inputs'!$B$9+'Inputs'!$B$10))/SQRT((((177-43)*MAX('Inputs'!$B$33,'Inputs'!$B$29+'Inputs'!$B$31+'Inputs'!$B$32,'Inputs'!$B$30+'Inputs'!$B$31+'Inputs'!$B$32)/1000+'Inputs'!$B$21+'Inputs'!$B$9+'Inputs'!$B$10))^2+('Inputs'!$B$6/2)^2))))*'Results'!$B$8))),"")</x:f>
        <x:v>211.55515787053497</x:v>
      </x:c>
      <x:c r="P177" t="n">
        <x:f>IF(AND(MAX(J177,J176)&gt;0,J177&gt;J176+0.00000001),1,0)</x:f>
        <x:v>0</x:v>
      </x:c>
      <x:c r="Q177" t="n">
        <x:f>IF(AND(MAX(K177,K176)&gt;0,K177&gt;K176+0.00000001),1,0)</x:f>
        <x:v>0</x:v>
      </x:c>
      <x:c r="R177" t="n">
        <x:f>IF(AND(MAX(L177,L176)&gt;0,L177&gt;L176+0.00000001),1,0)</x:f>
        <x:v>0</x:v>
      </x:c>
      <x:c r="S177" t="n">
        <x:f>IF(AND(MAX(M177,M176)&gt;0,M177&gt;M176+0.00000001),1,0)</x:f>
        <x:v>0</x:v>
      </x:c>
      <x:c r="T177" t="n">
        <x:f>IF(AND(MAX(N177,N176)&gt;0,N177&gt;N176+0.00000001),1,0)</x:f>
        <x:v>0</x:v>
      </x:c>
      <x:c r="U177" t="n">
        <x:f>IF(AND(MAX(O177,O176)&gt;0,O177&gt;O176+0.00000001),1,0)</x:f>
        <x:v>0</x:v>
      </x:c>
    </x:row>
    <x:row r="178">
      <x:c r="J178" t="n">
        <x:f>IF(AND(ISNUMBER('Results'!B7),ISNUMBER('Results'!C7),ISNUMBER('Results'!$B$8),ISNUMBER('Inputs'!$B$6),ISNUMBER('Inputs'!$B$7),ISNUMBER('Inputs'!$B$8),ISNUMBER('Inputs'!$B$9),ISNUMBER('Inputs'!$B$10),ISNUMBER('Inputs'!$B$21),ISNUMBER('Inputs'!$B$24),ISNUMBER('Inputs'!$B$28)),(('Results'!B7*(0.5*((((178-43)*MAX('Inputs'!$B$33,'Inputs'!$B$29+'Inputs'!$B$31+'Inputs'!$B$32,'Inputs'!$B$30+'Inputs'!$B$31+'Inputs'!$B$32)/1000+'Inputs'!$B$21)+'Inputs'!$B$7)/SQRT((((178-43)*MAX('Inputs'!$B$33,'Inputs'!$B$29+'Inputs'!$B$31+'Inputs'!$B$32,'Inputs'!$B$30+'Inputs'!$B$31+'Inputs'!$B$32)/1000+'Inputs'!$B$21)+'Inputs'!$B$7)^2+('Inputs'!$B$6/2)^2)-(((178-43)*MAX('Inputs'!$B$33,'Inputs'!$B$29+'Inputs'!$B$31+'Inputs'!$B$32,'Inputs'!$B$30+'Inputs'!$B$31+'Inputs'!$B$32)/1000+'Inputs'!$B$21))/SQRT((((178-43)*MAX('Inputs'!$B$33,'Inputs'!$B$29+'Inputs'!$B$31+'Inputs'!$B$32,'Inputs'!$B$30+'Inputs'!$B$31+'Inputs'!$B$32)/1000+'Inputs'!$B$21))^2+('Inputs'!$B$6/2)^2)))-'Results'!C7*(0.5*((((178-43)*MAX('Inputs'!$B$33,'Inputs'!$B$29+'Inputs'!$B$31+'Inputs'!$B$32,'Inputs'!$B$30+'Inputs'!$B$31+'Inputs'!$B$32)/1000+'Inputs'!$B$21+'Inputs'!$B$7+'Inputs'!$B$10)+'Inputs'!$B$9)/SQRT((((178-43)*MAX('Inputs'!$B$33,'Inputs'!$B$29+'Inputs'!$B$31+'Inputs'!$B$32,'Inputs'!$B$30+'Inputs'!$B$31+'Inputs'!$B$32)/1000+'Inputs'!$B$21+'Inputs'!$B$7+'Inputs'!$B$10)+'Inputs'!$B$9)^2+('Inputs'!$B$8/2)^2)-(((178-43)*MAX('Inputs'!$B$33,'Inputs'!$B$29+'Inputs'!$B$31+'Inputs'!$B$32,'Inputs'!$B$30+'Inputs'!$B$31+'Inputs'!$B$32)/1000+'Inputs'!$B$21+'Inputs'!$B$7+'Inputs'!$B$10))/SQRT((((178-43)*MAX('Inputs'!$B$33,'Inputs'!$B$29+'Inputs'!$B$31+'Inputs'!$B$32,'Inputs'!$B$30+'Inputs'!$B$31+'Inputs'!$B$32)/1000+'Inputs'!$B$21+'Inputs'!$B$7+'Inputs'!$B$10))^2+('Inputs'!$B$8/2)^2))))*'Results'!$B$8),"")</x:f>
        <x:v>198.17874218343522</x:v>
      </x:c>
      <x:c r="K178" t="n">
        <x:f>IF(AND(ISNUMBER('Results'!B7),ISNUMBER('Results'!C7),ISNUMBER('Results'!$B$8),ISNUMBER('Inputs'!$B$6),ISNUMBER('Inputs'!$B$7),ISNUMBER('Inputs'!$B$8),ISNUMBER('Inputs'!$B$9),ISNUMBER('Inputs'!$B$10),ISNUMBER('Inputs'!$B$21),ISNUMBER('Inputs'!$B$24),ISNUMBER('Inputs'!$B$28)),((('Results'!B7*(1-'Inputs'!$B$24)*(0.5*((((178-43)*MAX('Inputs'!$B$33,'Inputs'!$B$29+'Inputs'!$B$31+'Inputs'!$B$32,'Inputs'!$B$30+'Inputs'!$B$31+'Inputs'!$B$32)/1000+'Inputs'!$B$21)+'Inputs'!$B$7)/SQRT((((178-43)*MAX('Inputs'!$B$33,'Inputs'!$B$29+'Inputs'!$B$31+'Inputs'!$B$32,'Inputs'!$B$30+'Inputs'!$B$31+'Inputs'!$B$32)/1000+'Inputs'!$B$21)+'Inputs'!$B$7)^2+('Inputs'!$B$6/2)^2)-(((178-43)*MAX('Inputs'!$B$33,'Inputs'!$B$29+'Inputs'!$B$31+'Inputs'!$B$32,'Inputs'!$B$30+'Inputs'!$B$31+'Inputs'!$B$32)/1000+'Inputs'!$B$21))/SQRT((((178-43)*MAX('Inputs'!$B$33,'Inputs'!$B$29+'Inputs'!$B$31+'Inputs'!$B$32,'Inputs'!$B$30+'Inputs'!$B$31+'Inputs'!$B$32)/1000+'Inputs'!$B$21))^2+('Inputs'!$B$6/2)^2)))-'Results'!C7*(1+'Inputs'!$B$24)*(0.5*((((178-43)*MAX('Inputs'!$B$33,'Inputs'!$B$29+'Inputs'!$B$31+'Inputs'!$B$32,'Inputs'!$B$30+'Inputs'!$B$31+'Inputs'!$B$32)/1000+'Inputs'!$B$21+'Inputs'!$B$7+'Inputs'!$B$10)+'Inputs'!$B$9)/SQRT((((178-43)*MAX('Inputs'!$B$33,'Inputs'!$B$29+'Inputs'!$B$31+'Inputs'!$B$32,'Inputs'!$B$30+'Inputs'!$B$31+'Inputs'!$B$32)/1000+'Inputs'!$B$21+'Inputs'!$B$7+'Inputs'!$B$10)+'Inputs'!$B$9)^2+('Inputs'!$B$8/2)^2)-(((178-43)*MAX('Inputs'!$B$33,'Inputs'!$B$29+'Inputs'!$B$31+'Inputs'!$B$32,'Inputs'!$B$30+'Inputs'!$B$31+'Inputs'!$B$32)/1000+'Inputs'!$B$21+'Inputs'!$B$7+'Inputs'!$B$10))/SQRT((((178-43)*MAX('Inputs'!$B$33,'Inputs'!$B$29+'Inputs'!$B$31+'Inputs'!$B$32,'Inputs'!$B$30+'Inputs'!$B$31+'Inputs'!$B$32)/1000+'Inputs'!$B$21+'Inputs'!$B$7+'Inputs'!$B$10))^2+('Inputs'!$B$8/2)^2))))*'Results'!$B$8)-'Inputs'!$B$28*ABS((('Results'!B7*(1-'Inputs'!$B$24)*(0.5*((((178-43)*MAX('Inputs'!$B$33,'Inputs'!$B$29+'Inputs'!$B$31+'Inputs'!$B$32,'Inputs'!$B$30+'Inputs'!$B$31+'Inputs'!$B$32)/1000+'Inputs'!$B$21)+'Inputs'!$B$7)/SQRT((((178-43)*MAX('Inputs'!$B$33,'Inputs'!$B$29+'Inputs'!$B$31+'Inputs'!$B$32,'Inputs'!$B$30+'Inputs'!$B$31+'Inputs'!$B$32)/1000+'Inputs'!$B$21)+'Inputs'!$B$7)^2+('Inputs'!$B$6/2)^2)-(((178-43)*MAX('Inputs'!$B$33,'Inputs'!$B$29+'Inputs'!$B$31+'Inputs'!$B$32,'Inputs'!$B$30+'Inputs'!$B$31+'Inputs'!$B$32)/1000+'Inputs'!$B$21))/SQRT((((178-43)*MAX('Inputs'!$B$33,'Inputs'!$B$29+'Inputs'!$B$31+'Inputs'!$B$32,'Inputs'!$B$30+'Inputs'!$B$31+'Inputs'!$B$32)/1000+'Inputs'!$B$21))^2+('Inputs'!$B$6/2)^2)))-'Results'!C7*(1+'Inputs'!$B$24)*(0.5*((((178-43)*MAX('Inputs'!$B$33,'Inputs'!$B$29+'Inputs'!$B$31+'Inputs'!$B$32,'Inputs'!$B$30+'Inputs'!$B$31+'Inputs'!$B$32)/1000+'Inputs'!$B$21+'Inputs'!$B$7+'Inputs'!$B$10)+'Inputs'!$B$9)/SQRT((((178-43)*MAX('Inputs'!$B$33,'Inputs'!$B$29+'Inputs'!$B$31+'Inputs'!$B$32,'Inputs'!$B$30+'Inputs'!$B$31+'Inputs'!$B$32)/1000+'Inputs'!$B$21+'Inputs'!$B$7+'Inputs'!$B$10)+'Inputs'!$B$9)^2+('Inputs'!$B$8/2)^2)-(((178-43)*MAX('Inputs'!$B$33,'Inputs'!$B$29+'Inputs'!$B$31+'Inputs'!$B$32,'Inputs'!$B$30+'Inputs'!$B$31+'Inputs'!$B$32)/1000+'Inputs'!$B$21+'Inputs'!$B$7+'Inputs'!$B$10))/SQRT((((178-43)*MAX('Inputs'!$B$33,'Inputs'!$B$29+'Inputs'!$B$31+'Inputs'!$B$32,'Inputs'!$B$30+'Inputs'!$B$31+'Inputs'!$B$32)/1000+'Inputs'!$B$21+'Inputs'!$B$7+'Inputs'!$B$10))^2+('Inputs'!$B$8/2)^2))))*'Results'!$B$8))),"")</x:f>
        <x:v>182.2502114656216</x:v>
      </x:c>
      <x:c r="L178" t="n">
        <x:f>IF(AND(ISNUMBER('Results'!B7),ISNUMBER('Results'!C7),ISNUMBER('Results'!$B$8),ISNUMBER('Inputs'!$B$6),ISNUMBER('Inputs'!$B$7),ISNUMBER('Inputs'!$B$8),ISNUMBER('Inputs'!$B$9),ISNUMBER('Inputs'!$B$10),ISNUMBER('Inputs'!$B$21),ISNUMBER('Inputs'!$B$24),ISNUMBER('Inputs'!$B$28)),((('Results'!B7*(1+'Inputs'!$B$24)*(0.5*((((178-43)*MAX('Inputs'!$B$33,'Inputs'!$B$29+'Inputs'!$B$31+'Inputs'!$B$32,'Inputs'!$B$30+'Inputs'!$B$31+'Inputs'!$B$32)/1000+'Inputs'!$B$21)+'Inputs'!$B$7)/SQRT((((178-43)*MAX('Inputs'!$B$33,'Inputs'!$B$29+'Inputs'!$B$31+'Inputs'!$B$32,'Inputs'!$B$30+'Inputs'!$B$31+'Inputs'!$B$32)/1000+'Inputs'!$B$21)+'Inputs'!$B$7)^2+('Inputs'!$B$6/2)^2)-(((178-43)*MAX('Inputs'!$B$33,'Inputs'!$B$29+'Inputs'!$B$31+'Inputs'!$B$32,'Inputs'!$B$30+'Inputs'!$B$31+'Inputs'!$B$32)/1000+'Inputs'!$B$21))/SQRT((((178-43)*MAX('Inputs'!$B$33,'Inputs'!$B$29+'Inputs'!$B$31+'Inputs'!$B$32,'Inputs'!$B$30+'Inputs'!$B$31+'Inputs'!$B$32)/1000+'Inputs'!$B$21))^2+('Inputs'!$B$6/2)^2)))-'Results'!C7*(1-'Inputs'!$B$24)*(0.5*((((178-43)*MAX('Inputs'!$B$33,'Inputs'!$B$29+'Inputs'!$B$31+'Inputs'!$B$32,'Inputs'!$B$30+'Inputs'!$B$31+'Inputs'!$B$32)/1000+'Inputs'!$B$21+'Inputs'!$B$7+'Inputs'!$B$10)+'Inputs'!$B$9)/SQRT((((178-43)*MAX('Inputs'!$B$33,'Inputs'!$B$29+'Inputs'!$B$31+'Inputs'!$B$32,'Inputs'!$B$30+'Inputs'!$B$31+'Inputs'!$B$32)/1000+'Inputs'!$B$21+'Inputs'!$B$7+'Inputs'!$B$10)+'Inputs'!$B$9)^2+('Inputs'!$B$8/2)^2)-(((178-43)*MAX('Inputs'!$B$33,'Inputs'!$B$29+'Inputs'!$B$31+'Inputs'!$B$32,'Inputs'!$B$30+'Inputs'!$B$31+'Inputs'!$B$32)/1000+'Inputs'!$B$21+'Inputs'!$B$7+'Inputs'!$B$10))/SQRT((((178-43)*MAX('Inputs'!$B$33,'Inputs'!$B$29+'Inputs'!$B$31+'Inputs'!$B$32,'Inputs'!$B$30+'Inputs'!$B$31+'Inputs'!$B$32)/1000+'Inputs'!$B$21+'Inputs'!$B$7+'Inputs'!$B$10))^2+('Inputs'!$B$8/2)^2))))*'Results'!$B$8)+'Inputs'!$B$28*ABS((('Results'!B7*(1+'Inputs'!$B$24)*(0.5*((((178-43)*MAX('Inputs'!$B$33,'Inputs'!$B$29+'Inputs'!$B$31+'Inputs'!$B$32,'Inputs'!$B$30+'Inputs'!$B$31+'Inputs'!$B$32)/1000+'Inputs'!$B$21)+'Inputs'!$B$7)/SQRT((((178-43)*MAX('Inputs'!$B$33,'Inputs'!$B$29+'Inputs'!$B$31+'Inputs'!$B$32,'Inputs'!$B$30+'Inputs'!$B$31+'Inputs'!$B$32)/1000+'Inputs'!$B$21)+'Inputs'!$B$7)^2+('Inputs'!$B$6/2)^2)-(((178-43)*MAX('Inputs'!$B$33,'Inputs'!$B$29+'Inputs'!$B$31+'Inputs'!$B$32,'Inputs'!$B$30+'Inputs'!$B$31+'Inputs'!$B$32)/1000+'Inputs'!$B$21))/SQRT((((178-43)*MAX('Inputs'!$B$33,'Inputs'!$B$29+'Inputs'!$B$31+'Inputs'!$B$32,'Inputs'!$B$30+'Inputs'!$B$31+'Inputs'!$B$32)/1000+'Inputs'!$B$21))^2+('Inputs'!$B$6/2)^2)))-'Results'!C7*(1-'Inputs'!$B$24)*(0.5*((((178-43)*MAX('Inputs'!$B$33,'Inputs'!$B$29+'Inputs'!$B$31+'Inputs'!$B$32,'Inputs'!$B$30+'Inputs'!$B$31+'Inputs'!$B$32)/1000+'Inputs'!$B$21+'Inputs'!$B$7+'Inputs'!$B$10)+'Inputs'!$B$9)/SQRT((((178-43)*MAX('Inputs'!$B$33,'Inputs'!$B$29+'Inputs'!$B$31+'Inputs'!$B$32,'Inputs'!$B$30+'Inputs'!$B$31+'Inputs'!$B$32)/1000+'Inputs'!$B$21+'Inputs'!$B$7+'Inputs'!$B$10)+'Inputs'!$B$9)^2+('Inputs'!$B$8/2)^2)-(((178-43)*MAX('Inputs'!$B$33,'Inputs'!$B$29+'Inputs'!$B$31+'Inputs'!$B$32,'Inputs'!$B$30+'Inputs'!$B$31+'Inputs'!$B$32)/1000+'Inputs'!$B$21+'Inputs'!$B$7+'Inputs'!$B$10))/SQRT((((178-43)*MAX('Inputs'!$B$33,'Inputs'!$B$29+'Inputs'!$B$31+'Inputs'!$B$32,'Inputs'!$B$30+'Inputs'!$B$31+'Inputs'!$B$32)/1000+'Inputs'!$B$21+'Inputs'!$B$7+'Inputs'!$B$10))^2+('Inputs'!$B$8/2)^2))))*'Results'!$B$8))),"")</x:f>
        <x:v>214.7409143337374</x:v>
      </x:c>
      <x:c r="M178" t="n">
        <x:f>IF(AND(ISNUMBER('Results'!C7),ISNUMBER('Results'!B7),ISNUMBER('Results'!$B$8),ISNUMBER('Inputs'!$B$6),ISNUMBER('Inputs'!$B$7),ISNUMBER('Inputs'!$B$8),ISNUMBER('Inputs'!$B$9),ISNUMBER('Inputs'!$B$10),ISNUMBER('Inputs'!$B$21),ISNUMBER('Inputs'!$B$24),ISNUMBER('Inputs'!$B$28)),(('Results'!C7*(0.5*((((178-43)*MAX('Inputs'!$B$33,'Inputs'!$B$29+'Inputs'!$B$31+'Inputs'!$B$32,'Inputs'!$B$30+'Inputs'!$B$31+'Inputs'!$B$32)/1000+'Inputs'!$B$21)+'Inputs'!$B$9)/SQRT((((178-43)*MAX('Inputs'!$B$33,'Inputs'!$B$29+'Inputs'!$B$31+'Inputs'!$B$32,'Inputs'!$B$30+'Inputs'!$B$31+'Inputs'!$B$32)/1000+'Inputs'!$B$21)+'Inputs'!$B$9)^2+('Inputs'!$B$8/2)^2)-(((178-43)*MAX('Inputs'!$B$33,'Inputs'!$B$29+'Inputs'!$B$31+'Inputs'!$B$32,'Inputs'!$B$30+'Inputs'!$B$31+'Inputs'!$B$32)/1000+'Inputs'!$B$21))/SQRT((((178-43)*MAX('Inputs'!$B$33,'Inputs'!$B$29+'Inputs'!$B$31+'Inputs'!$B$32,'Inputs'!$B$30+'Inputs'!$B$31+'Inputs'!$B$32)/1000+'Inputs'!$B$21))^2+('Inputs'!$B$8/2)^2)))-'Results'!B7*(0.5*((((178-43)*MAX('Inputs'!$B$33,'Inputs'!$B$29+'Inputs'!$B$31+'Inputs'!$B$32,'Inputs'!$B$30+'Inputs'!$B$31+'Inputs'!$B$32)/1000+'Inputs'!$B$21+'Inputs'!$B$9+'Inputs'!$B$10)+'Inputs'!$B$7)/SQRT((((178-43)*MAX('Inputs'!$B$33,'Inputs'!$B$29+'Inputs'!$B$31+'Inputs'!$B$32,'Inputs'!$B$30+'Inputs'!$B$31+'Inputs'!$B$32)/1000+'Inputs'!$B$21+'Inputs'!$B$9+'Inputs'!$B$10)+'Inputs'!$B$7)^2+('Inputs'!$B$6/2)^2)-(((178-43)*MAX('Inputs'!$B$33,'Inputs'!$B$29+'Inputs'!$B$31+'Inputs'!$B$32,'Inputs'!$B$30+'Inputs'!$B$31+'Inputs'!$B$32)/1000+'Inputs'!$B$21+'Inputs'!$B$9+'Inputs'!$B$10))/SQRT((((178-43)*MAX('Inputs'!$B$33,'Inputs'!$B$29+'Inputs'!$B$31+'Inputs'!$B$32,'Inputs'!$B$30+'Inputs'!$B$31+'Inputs'!$B$32)/1000+'Inputs'!$B$21+'Inputs'!$B$9+'Inputs'!$B$10))^2+('Inputs'!$B$6/2)^2))))*'Results'!$B$8),"")</x:f>
        <x:v>191.8181152107815</x:v>
      </x:c>
      <x:c r="N178" t="n">
        <x:f>IF(AND(ISNUMBER('Results'!C7),ISNUMBER('Results'!B7),ISNUMBER('Results'!$B$8),ISNUMBER('Inputs'!$B$6),ISNUMBER('Inputs'!$B$7),ISNUMBER('Inputs'!$B$8),ISNUMBER('Inputs'!$B$9),ISNUMBER('Inputs'!$B$10),ISNUMBER('Inputs'!$B$21),ISNUMBER('Inputs'!$B$24),ISNUMBER('Inputs'!$B$28)),((('Results'!C7*(1-'Inputs'!$B$24)*(0.5*((((178-43)*MAX('Inputs'!$B$33,'Inputs'!$B$29+'Inputs'!$B$31+'Inputs'!$B$32,'Inputs'!$B$30+'Inputs'!$B$31+'Inputs'!$B$32)/1000+'Inputs'!$B$21)+'Inputs'!$B$9)/SQRT((((178-43)*MAX('Inputs'!$B$33,'Inputs'!$B$29+'Inputs'!$B$31+'Inputs'!$B$32,'Inputs'!$B$30+'Inputs'!$B$31+'Inputs'!$B$32)/1000+'Inputs'!$B$21)+'Inputs'!$B$9)^2+('Inputs'!$B$8/2)^2)-(((178-43)*MAX('Inputs'!$B$33,'Inputs'!$B$29+'Inputs'!$B$31+'Inputs'!$B$32,'Inputs'!$B$30+'Inputs'!$B$31+'Inputs'!$B$32)/1000+'Inputs'!$B$21))/SQRT((((178-43)*MAX('Inputs'!$B$33,'Inputs'!$B$29+'Inputs'!$B$31+'Inputs'!$B$32,'Inputs'!$B$30+'Inputs'!$B$31+'Inputs'!$B$32)/1000+'Inputs'!$B$21))^2+('Inputs'!$B$8/2)^2)))-'Results'!B7*(1+'Inputs'!$B$24)*(0.5*((((178-43)*MAX('Inputs'!$B$33,'Inputs'!$B$29+'Inputs'!$B$31+'Inputs'!$B$32,'Inputs'!$B$30+'Inputs'!$B$31+'Inputs'!$B$32)/1000+'Inputs'!$B$21+'Inputs'!$B$9+'Inputs'!$B$10)+'Inputs'!$B$7)/SQRT((((178-43)*MAX('Inputs'!$B$33,'Inputs'!$B$29+'Inputs'!$B$31+'Inputs'!$B$32,'Inputs'!$B$30+'Inputs'!$B$31+'Inputs'!$B$32)/1000+'Inputs'!$B$21+'Inputs'!$B$9+'Inputs'!$B$10)+'Inputs'!$B$7)^2+('Inputs'!$B$6/2)^2)-(((178-43)*MAX('Inputs'!$B$33,'Inputs'!$B$29+'Inputs'!$B$31+'Inputs'!$B$32,'Inputs'!$B$30+'Inputs'!$B$31+'Inputs'!$B$32)/1000+'Inputs'!$B$21+'Inputs'!$B$9+'Inputs'!$B$10))/SQRT((((178-43)*MAX('Inputs'!$B$33,'Inputs'!$B$29+'Inputs'!$B$31+'Inputs'!$B$32,'Inputs'!$B$30+'Inputs'!$B$31+'Inputs'!$B$32)/1000+'Inputs'!$B$21+'Inputs'!$B$9+'Inputs'!$B$10))^2+('Inputs'!$B$6/2)^2))))*'Results'!$B$8)-'Inputs'!$B$28*ABS((('Results'!C7*(1-'Inputs'!$B$24)*(0.5*((((178-43)*MAX('Inputs'!$B$33,'Inputs'!$B$29+'Inputs'!$B$31+'Inputs'!$B$32,'Inputs'!$B$30+'Inputs'!$B$31+'Inputs'!$B$32)/1000+'Inputs'!$B$21)+'Inputs'!$B$9)/SQRT((((178-43)*MAX('Inputs'!$B$33,'Inputs'!$B$29+'Inputs'!$B$31+'Inputs'!$B$32,'Inputs'!$B$30+'Inputs'!$B$31+'Inputs'!$B$32)/1000+'Inputs'!$B$21)+'Inputs'!$B$9)^2+('Inputs'!$B$8/2)^2)-(((178-43)*MAX('Inputs'!$B$33,'Inputs'!$B$29+'Inputs'!$B$31+'Inputs'!$B$32,'Inputs'!$B$30+'Inputs'!$B$31+'Inputs'!$B$32)/1000+'Inputs'!$B$21))/SQRT((((178-43)*MAX('Inputs'!$B$33,'Inputs'!$B$29+'Inputs'!$B$31+'Inputs'!$B$32,'Inputs'!$B$30+'Inputs'!$B$31+'Inputs'!$B$32)/1000+'Inputs'!$B$21))^2+('Inputs'!$B$8/2)^2)))-'Results'!B7*(1+'Inputs'!$B$24)*(0.5*((((178-43)*MAX('Inputs'!$B$33,'Inputs'!$B$29+'Inputs'!$B$31+'Inputs'!$B$32,'Inputs'!$B$30+'Inputs'!$B$31+'Inputs'!$B$32)/1000+'Inputs'!$B$21+'Inputs'!$B$9+'Inputs'!$B$10)+'Inputs'!$B$7)/SQRT((((178-43)*MAX('Inputs'!$B$33,'Inputs'!$B$29+'Inputs'!$B$31+'Inputs'!$B$32,'Inputs'!$B$30+'Inputs'!$B$31+'Inputs'!$B$32)/1000+'Inputs'!$B$21+'Inputs'!$B$9+'Inputs'!$B$10)+'Inputs'!$B$7)^2+('Inputs'!$B$6/2)^2)-(((178-43)*MAX('Inputs'!$B$33,'Inputs'!$B$29+'Inputs'!$B$31+'Inputs'!$B$32,'Inputs'!$B$30+'Inputs'!$B$31+'Inputs'!$B$32)/1000+'Inputs'!$B$21+'Inputs'!$B$9+'Inputs'!$B$10))/SQRT((((178-43)*MAX('Inputs'!$B$33,'Inputs'!$B$29+'Inputs'!$B$31+'Inputs'!$B$32,'Inputs'!$B$30+'Inputs'!$B$31+'Inputs'!$B$32)/1000+'Inputs'!$B$21+'Inputs'!$B$9+'Inputs'!$B$10))^2+('Inputs'!$B$6/2)^2))))*'Results'!$B$8))),"")</x:f>
        <x:v>176.2824637233227</x:v>
      </x:c>
      <x:c r="O178" t="n">
        <x:f>IF(AND(ISNUMBER('Results'!C7),ISNUMBER('Results'!B7),ISNUMBER('Results'!$B$8),ISNUMBER('Inputs'!$B$6),ISNUMBER('Inputs'!$B$7),ISNUMBER('Inputs'!$B$8),ISNUMBER('Inputs'!$B$9),ISNUMBER('Inputs'!$B$10),ISNUMBER('Inputs'!$B$21),ISNUMBER('Inputs'!$B$24),ISNUMBER('Inputs'!$B$28)),((('Results'!C7*(1+'Inputs'!$B$24)*(0.5*((((178-43)*MAX('Inputs'!$B$33,'Inputs'!$B$29+'Inputs'!$B$31+'Inputs'!$B$32,'Inputs'!$B$30+'Inputs'!$B$31+'Inputs'!$B$32)/1000+'Inputs'!$B$21)+'Inputs'!$B$9)/SQRT((((178-43)*MAX('Inputs'!$B$33,'Inputs'!$B$29+'Inputs'!$B$31+'Inputs'!$B$32,'Inputs'!$B$30+'Inputs'!$B$31+'Inputs'!$B$32)/1000+'Inputs'!$B$21)+'Inputs'!$B$9)^2+('Inputs'!$B$8/2)^2)-(((178-43)*MAX('Inputs'!$B$33,'Inputs'!$B$29+'Inputs'!$B$31+'Inputs'!$B$32,'Inputs'!$B$30+'Inputs'!$B$31+'Inputs'!$B$32)/1000+'Inputs'!$B$21))/SQRT((((178-43)*MAX('Inputs'!$B$33,'Inputs'!$B$29+'Inputs'!$B$31+'Inputs'!$B$32,'Inputs'!$B$30+'Inputs'!$B$31+'Inputs'!$B$32)/1000+'Inputs'!$B$21))^2+('Inputs'!$B$8/2)^2)))-'Results'!B7*(1-'Inputs'!$B$24)*(0.5*((((178-43)*MAX('Inputs'!$B$33,'Inputs'!$B$29+'Inputs'!$B$31+'Inputs'!$B$32,'Inputs'!$B$30+'Inputs'!$B$31+'Inputs'!$B$32)/1000+'Inputs'!$B$21+'Inputs'!$B$9+'Inputs'!$B$10)+'Inputs'!$B$7)/SQRT((((178-43)*MAX('Inputs'!$B$33,'Inputs'!$B$29+'Inputs'!$B$31+'Inputs'!$B$32,'Inputs'!$B$30+'Inputs'!$B$31+'Inputs'!$B$32)/1000+'Inputs'!$B$21+'Inputs'!$B$9+'Inputs'!$B$10)+'Inputs'!$B$7)^2+('Inputs'!$B$6/2)^2)-(((178-43)*MAX('Inputs'!$B$33,'Inputs'!$B$29+'Inputs'!$B$31+'Inputs'!$B$32,'Inputs'!$B$30+'Inputs'!$B$31+'Inputs'!$B$32)/1000+'Inputs'!$B$21+'Inputs'!$B$9+'Inputs'!$B$10))/SQRT((((178-43)*MAX('Inputs'!$B$33,'Inputs'!$B$29+'Inputs'!$B$31+'Inputs'!$B$32,'Inputs'!$B$30+'Inputs'!$B$31+'Inputs'!$B$32)/1000+'Inputs'!$B$21+'Inputs'!$B$9+'Inputs'!$B$10))^2+('Inputs'!$B$6/2)^2))))*'Results'!$B$8)+'Inputs'!$B$28*ABS((('Results'!C7*(1+'Inputs'!$B$24)*(0.5*((((178-43)*MAX('Inputs'!$B$33,'Inputs'!$B$29+'Inputs'!$B$31+'Inputs'!$B$32,'Inputs'!$B$30+'Inputs'!$B$31+'Inputs'!$B$32)/1000+'Inputs'!$B$21)+'Inputs'!$B$9)/SQRT((((178-43)*MAX('Inputs'!$B$33,'Inputs'!$B$29+'Inputs'!$B$31+'Inputs'!$B$32,'Inputs'!$B$30+'Inputs'!$B$31+'Inputs'!$B$32)/1000+'Inputs'!$B$21)+'Inputs'!$B$9)^2+('Inputs'!$B$8/2)^2)-(((178-43)*MAX('Inputs'!$B$33,'Inputs'!$B$29+'Inputs'!$B$31+'Inputs'!$B$32,'Inputs'!$B$30+'Inputs'!$B$31+'Inputs'!$B$32)/1000+'Inputs'!$B$21))/SQRT((((178-43)*MAX('Inputs'!$B$33,'Inputs'!$B$29+'Inputs'!$B$31+'Inputs'!$B$32,'Inputs'!$B$30+'Inputs'!$B$31+'Inputs'!$B$32)/1000+'Inputs'!$B$21))^2+('Inputs'!$B$8/2)^2)))-'Results'!B7*(1-'Inputs'!$B$24)*(0.5*((((178-43)*MAX('Inputs'!$B$33,'Inputs'!$B$29+'Inputs'!$B$31+'Inputs'!$B$32,'Inputs'!$B$30+'Inputs'!$B$31+'Inputs'!$B$32)/1000+'Inputs'!$B$21+'Inputs'!$B$9+'Inputs'!$B$10)+'Inputs'!$B$7)/SQRT((((178-43)*MAX('Inputs'!$B$33,'Inputs'!$B$29+'Inputs'!$B$31+'Inputs'!$B$32,'Inputs'!$B$30+'Inputs'!$B$31+'Inputs'!$B$32)/1000+'Inputs'!$B$21+'Inputs'!$B$9+'Inputs'!$B$10)+'Inputs'!$B$7)^2+('Inputs'!$B$6/2)^2)-(((178-43)*MAX('Inputs'!$B$33,'Inputs'!$B$29+'Inputs'!$B$31+'Inputs'!$B$32,'Inputs'!$B$30+'Inputs'!$B$31+'Inputs'!$B$32)/1000+'Inputs'!$B$21+'Inputs'!$B$9+'Inputs'!$B$10))/SQRT((((178-43)*MAX('Inputs'!$B$33,'Inputs'!$B$29+'Inputs'!$B$31+'Inputs'!$B$32,'Inputs'!$B$30+'Inputs'!$B$31+'Inputs'!$B$32)/1000+'Inputs'!$B$21+'Inputs'!$B$9+'Inputs'!$B$10))^2+('Inputs'!$B$6/2)^2))))*'Results'!$B$8))),"")</x:f>
        <x:v>207.97952940633715</x:v>
      </x:c>
      <x:c r="P178" t="n">
        <x:f>IF(AND(MAX(J178,J177)&gt;0,J178&gt;J177+0.00000001),1,0)</x:f>
        <x:v>0</x:v>
      </x:c>
      <x:c r="Q178" t="n">
        <x:f>IF(AND(MAX(K178,K177)&gt;0,K178&gt;K177+0.00000001),1,0)</x:f>
        <x:v>0</x:v>
      </x:c>
      <x:c r="R178" t="n">
        <x:f>IF(AND(MAX(L178,L177)&gt;0,L178&gt;L177+0.00000001),1,0)</x:f>
        <x:v>0</x:v>
      </x:c>
      <x:c r="S178" t="n">
        <x:f>IF(AND(MAX(M178,M177)&gt;0,M178&gt;M177+0.00000001),1,0)</x:f>
        <x:v>0</x:v>
      </x:c>
      <x:c r="T178" t="n">
        <x:f>IF(AND(MAX(N178,N177)&gt;0,N178&gt;N177+0.00000001),1,0)</x:f>
        <x:v>0</x:v>
      </x:c>
      <x:c r="U178" t="n">
        <x:f>IF(AND(MAX(O178,O177)&gt;0,O178&gt;O177+0.00000001),1,0)</x:f>
        <x:v>0</x:v>
      </x:c>
    </x:row>
    <x:row r="179">
      <x:c r="J179" t="n">
        <x:f>IF(AND(ISNUMBER('Results'!B7),ISNUMBER('Results'!C7),ISNUMBER('Results'!$B$8),ISNUMBER('Inputs'!$B$6),ISNUMBER('Inputs'!$B$7),ISNUMBER('Inputs'!$B$8),ISNUMBER('Inputs'!$B$9),ISNUMBER('Inputs'!$B$10),ISNUMBER('Inputs'!$B$21),ISNUMBER('Inputs'!$B$24),ISNUMBER('Inputs'!$B$28)),(('Results'!B7*(0.5*((((179-43)*MAX('Inputs'!$B$33,'Inputs'!$B$29+'Inputs'!$B$31+'Inputs'!$B$32,'Inputs'!$B$30+'Inputs'!$B$31+'Inputs'!$B$32)/1000+'Inputs'!$B$21)+'Inputs'!$B$7)/SQRT((((179-43)*MAX('Inputs'!$B$33,'Inputs'!$B$29+'Inputs'!$B$31+'Inputs'!$B$32,'Inputs'!$B$30+'Inputs'!$B$31+'Inputs'!$B$32)/1000+'Inputs'!$B$21)+'Inputs'!$B$7)^2+('Inputs'!$B$6/2)^2)-(((179-43)*MAX('Inputs'!$B$33,'Inputs'!$B$29+'Inputs'!$B$31+'Inputs'!$B$32,'Inputs'!$B$30+'Inputs'!$B$31+'Inputs'!$B$32)/1000+'Inputs'!$B$21))/SQRT((((179-43)*MAX('Inputs'!$B$33,'Inputs'!$B$29+'Inputs'!$B$31+'Inputs'!$B$32,'Inputs'!$B$30+'Inputs'!$B$31+'Inputs'!$B$32)/1000+'Inputs'!$B$21))^2+('Inputs'!$B$6/2)^2)))-'Results'!C7*(0.5*((((179-43)*MAX('Inputs'!$B$33,'Inputs'!$B$29+'Inputs'!$B$31+'Inputs'!$B$32,'Inputs'!$B$30+'Inputs'!$B$31+'Inputs'!$B$32)/1000+'Inputs'!$B$21+'Inputs'!$B$7+'Inputs'!$B$10)+'Inputs'!$B$9)/SQRT((((179-43)*MAX('Inputs'!$B$33,'Inputs'!$B$29+'Inputs'!$B$31+'Inputs'!$B$32,'Inputs'!$B$30+'Inputs'!$B$31+'Inputs'!$B$32)/1000+'Inputs'!$B$21+'Inputs'!$B$7+'Inputs'!$B$10)+'Inputs'!$B$9)^2+('Inputs'!$B$8/2)^2)-(((179-43)*MAX('Inputs'!$B$33,'Inputs'!$B$29+'Inputs'!$B$31+'Inputs'!$B$32,'Inputs'!$B$30+'Inputs'!$B$31+'Inputs'!$B$32)/1000+'Inputs'!$B$21+'Inputs'!$B$7+'Inputs'!$B$10))/SQRT((((179-43)*MAX('Inputs'!$B$33,'Inputs'!$B$29+'Inputs'!$B$31+'Inputs'!$B$32,'Inputs'!$B$30+'Inputs'!$B$31+'Inputs'!$B$32)/1000+'Inputs'!$B$21+'Inputs'!$B$7+'Inputs'!$B$10))^2+('Inputs'!$B$8/2)^2))))*'Results'!$B$8),"")</x:f>
        <x:v>194.8401609737245</x:v>
      </x:c>
      <x:c r="K179" t="n">
        <x:f>IF(AND(ISNUMBER('Results'!B7),ISNUMBER('Results'!C7),ISNUMBER('Results'!$B$8),ISNUMBER('Inputs'!$B$6),ISNUMBER('Inputs'!$B$7),ISNUMBER('Inputs'!$B$8),ISNUMBER('Inputs'!$B$9),ISNUMBER('Inputs'!$B$10),ISNUMBER('Inputs'!$B$21),ISNUMBER('Inputs'!$B$24),ISNUMBER('Inputs'!$B$28)),((('Results'!B7*(1-'Inputs'!$B$24)*(0.5*((((179-43)*MAX('Inputs'!$B$33,'Inputs'!$B$29+'Inputs'!$B$31+'Inputs'!$B$32,'Inputs'!$B$30+'Inputs'!$B$31+'Inputs'!$B$32)/1000+'Inputs'!$B$21)+'Inputs'!$B$7)/SQRT((((179-43)*MAX('Inputs'!$B$33,'Inputs'!$B$29+'Inputs'!$B$31+'Inputs'!$B$32,'Inputs'!$B$30+'Inputs'!$B$31+'Inputs'!$B$32)/1000+'Inputs'!$B$21)+'Inputs'!$B$7)^2+('Inputs'!$B$6/2)^2)-(((179-43)*MAX('Inputs'!$B$33,'Inputs'!$B$29+'Inputs'!$B$31+'Inputs'!$B$32,'Inputs'!$B$30+'Inputs'!$B$31+'Inputs'!$B$32)/1000+'Inputs'!$B$21))/SQRT((((179-43)*MAX('Inputs'!$B$33,'Inputs'!$B$29+'Inputs'!$B$31+'Inputs'!$B$32,'Inputs'!$B$30+'Inputs'!$B$31+'Inputs'!$B$32)/1000+'Inputs'!$B$21))^2+('Inputs'!$B$6/2)^2)))-'Results'!C7*(1+'Inputs'!$B$24)*(0.5*((((179-43)*MAX('Inputs'!$B$33,'Inputs'!$B$29+'Inputs'!$B$31+'Inputs'!$B$32,'Inputs'!$B$30+'Inputs'!$B$31+'Inputs'!$B$32)/1000+'Inputs'!$B$21+'Inputs'!$B$7+'Inputs'!$B$10)+'Inputs'!$B$9)/SQRT((((179-43)*MAX('Inputs'!$B$33,'Inputs'!$B$29+'Inputs'!$B$31+'Inputs'!$B$32,'Inputs'!$B$30+'Inputs'!$B$31+'Inputs'!$B$32)/1000+'Inputs'!$B$21+'Inputs'!$B$7+'Inputs'!$B$10)+'Inputs'!$B$9)^2+('Inputs'!$B$8/2)^2)-(((179-43)*MAX('Inputs'!$B$33,'Inputs'!$B$29+'Inputs'!$B$31+'Inputs'!$B$32,'Inputs'!$B$30+'Inputs'!$B$31+'Inputs'!$B$32)/1000+'Inputs'!$B$21+'Inputs'!$B$7+'Inputs'!$B$10))/SQRT((((179-43)*MAX('Inputs'!$B$33,'Inputs'!$B$29+'Inputs'!$B$31+'Inputs'!$B$32,'Inputs'!$B$30+'Inputs'!$B$31+'Inputs'!$B$32)/1000+'Inputs'!$B$21+'Inputs'!$B$7+'Inputs'!$B$10))^2+('Inputs'!$B$8/2)^2))))*'Results'!$B$8)-'Inputs'!$B$28*ABS((('Results'!B7*(1-'Inputs'!$B$24)*(0.5*((((179-43)*MAX('Inputs'!$B$33,'Inputs'!$B$29+'Inputs'!$B$31+'Inputs'!$B$32,'Inputs'!$B$30+'Inputs'!$B$31+'Inputs'!$B$32)/1000+'Inputs'!$B$21)+'Inputs'!$B$7)/SQRT((((179-43)*MAX('Inputs'!$B$33,'Inputs'!$B$29+'Inputs'!$B$31+'Inputs'!$B$32,'Inputs'!$B$30+'Inputs'!$B$31+'Inputs'!$B$32)/1000+'Inputs'!$B$21)+'Inputs'!$B$7)^2+('Inputs'!$B$6/2)^2)-(((179-43)*MAX('Inputs'!$B$33,'Inputs'!$B$29+'Inputs'!$B$31+'Inputs'!$B$32,'Inputs'!$B$30+'Inputs'!$B$31+'Inputs'!$B$32)/1000+'Inputs'!$B$21))/SQRT((((179-43)*MAX('Inputs'!$B$33,'Inputs'!$B$29+'Inputs'!$B$31+'Inputs'!$B$32,'Inputs'!$B$30+'Inputs'!$B$31+'Inputs'!$B$32)/1000+'Inputs'!$B$21))^2+('Inputs'!$B$6/2)^2)))-'Results'!C7*(1+'Inputs'!$B$24)*(0.5*((((179-43)*MAX('Inputs'!$B$33,'Inputs'!$B$29+'Inputs'!$B$31+'Inputs'!$B$32,'Inputs'!$B$30+'Inputs'!$B$31+'Inputs'!$B$32)/1000+'Inputs'!$B$21+'Inputs'!$B$7+'Inputs'!$B$10)+'Inputs'!$B$9)/SQRT((((179-43)*MAX('Inputs'!$B$33,'Inputs'!$B$29+'Inputs'!$B$31+'Inputs'!$B$32,'Inputs'!$B$30+'Inputs'!$B$31+'Inputs'!$B$32)/1000+'Inputs'!$B$21+'Inputs'!$B$7+'Inputs'!$B$10)+'Inputs'!$B$9)^2+('Inputs'!$B$8/2)^2)-(((179-43)*MAX('Inputs'!$B$33,'Inputs'!$B$29+'Inputs'!$B$31+'Inputs'!$B$32,'Inputs'!$B$30+'Inputs'!$B$31+'Inputs'!$B$32)/1000+'Inputs'!$B$21+'Inputs'!$B$7+'Inputs'!$B$10))/SQRT((((179-43)*MAX('Inputs'!$B$33,'Inputs'!$B$29+'Inputs'!$B$31+'Inputs'!$B$32,'Inputs'!$B$30+'Inputs'!$B$31+'Inputs'!$B$32)/1000+'Inputs'!$B$21+'Inputs'!$B$7+'Inputs'!$B$10))^2+('Inputs'!$B$8/2)^2))))*'Results'!$B$8))),"")</x:f>
        <x:v>179.16504830430313</x:v>
      </x:c>
      <x:c r="L179" t="n">
        <x:f>IF(AND(ISNUMBER('Results'!B7),ISNUMBER('Results'!C7),ISNUMBER('Results'!$B$8),ISNUMBER('Inputs'!$B$6),ISNUMBER('Inputs'!$B$7),ISNUMBER('Inputs'!$B$8),ISNUMBER('Inputs'!$B$9),ISNUMBER('Inputs'!$B$10),ISNUMBER('Inputs'!$B$21),ISNUMBER('Inputs'!$B$24),ISNUMBER('Inputs'!$B$28)),((('Results'!B7*(1+'Inputs'!$B$24)*(0.5*((((179-43)*MAX('Inputs'!$B$33,'Inputs'!$B$29+'Inputs'!$B$31+'Inputs'!$B$32,'Inputs'!$B$30+'Inputs'!$B$31+'Inputs'!$B$32)/1000+'Inputs'!$B$21)+'Inputs'!$B$7)/SQRT((((179-43)*MAX('Inputs'!$B$33,'Inputs'!$B$29+'Inputs'!$B$31+'Inputs'!$B$32,'Inputs'!$B$30+'Inputs'!$B$31+'Inputs'!$B$32)/1000+'Inputs'!$B$21)+'Inputs'!$B$7)^2+('Inputs'!$B$6/2)^2)-(((179-43)*MAX('Inputs'!$B$33,'Inputs'!$B$29+'Inputs'!$B$31+'Inputs'!$B$32,'Inputs'!$B$30+'Inputs'!$B$31+'Inputs'!$B$32)/1000+'Inputs'!$B$21))/SQRT((((179-43)*MAX('Inputs'!$B$33,'Inputs'!$B$29+'Inputs'!$B$31+'Inputs'!$B$32,'Inputs'!$B$30+'Inputs'!$B$31+'Inputs'!$B$32)/1000+'Inputs'!$B$21))^2+('Inputs'!$B$6/2)^2)))-'Results'!C7*(1-'Inputs'!$B$24)*(0.5*((((179-43)*MAX('Inputs'!$B$33,'Inputs'!$B$29+'Inputs'!$B$31+'Inputs'!$B$32,'Inputs'!$B$30+'Inputs'!$B$31+'Inputs'!$B$32)/1000+'Inputs'!$B$21+'Inputs'!$B$7+'Inputs'!$B$10)+'Inputs'!$B$9)/SQRT((((179-43)*MAX('Inputs'!$B$33,'Inputs'!$B$29+'Inputs'!$B$31+'Inputs'!$B$32,'Inputs'!$B$30+'Inputs'!$B$31+'Inputs'!$B$32)/1000+'Inputs'!$B$21+'Inputs'!$B$7+'Inputs'!$B$10)+'Inputs'!$B$9)^2+('Inputs'!$B$8/2)^2)-(((179-43)*MAX('Inputs'!$B$33,'Inputs'!$B$29+'Inputs'!$B$31+'Inputs'!$B$32,'Inputs'!$B$30+'Inputs'!$B$31+'Inputs'!$B$32)/1000+'Inputs'!$B$21+'Inputs'!$B$7+'Inputs'!$B$10))/SQRT((((179-43)*MAX('Inputs'!$B$33,'Inputs'!$B$29+'Inputs'!$B$31+'Inputs'!$B$32,'Inputs'!$B$30+'Inputs'!$B$31+'Inputs'!$B$32)/1000+'Inputs'!$B$21+'Inputs'!$B$7+'Inputs'!$B$10))^2+('Inputs'!$B$8/2)^2))))*'Results'!$B$8)+'Inputs'!$B$28*ABS((('Results'!B7*(1+'Inputs'!$B$24)*(0.5*((((179-43)*MAX('Inputs'!$B$33,'Inputs'!$B$29+'Inputs'!$B$31+'Inputs'!$B$32,'Inputs'!$B$30+'Inputs'!$B$31+'Inputs'!$B$32)/1000+'Inputs'!$B$21)+'Inputs'!$B$7)/SQRT((((179-43)*MAX('Inputs'!$B$33,'Inputs'!$B$29+'Inputs'!$B$31+'Inputs'!$B$32,'Inputs'!$B$30+'Inputs'!$B$31+'Inputs'!$B$32)/1000+'Inputs'!$B$21)+'Inputs'!$B$7)^2+('Inputs'!$B$6/2)^2)-(((179-43)*MAX('Inputs'!$B$33,'Inputs'!$B$29+'Inputs'!$B$31+'Inputs'!$B$32,'Inputs'!$B$30+'Inputs'!$B$31+'Inputs'!$B$32)/1000+'Inputs'!$B$21))/SQRT((((179-43)*MAX('Inputs'!$B$33,'Inputs'!$B$29+'Inputs'!$B$31+'Inputs'!$B$32,'Inputs'!$B$30+'Inputs'!$B$31+'Inputs'!$B$32)/1000+'Inputs'!$B$21))^2+('Inputs'!$B$6/2)^2)))-'Results'!C7*(1-'Inputs'!$B$24)*(0.5*((((179-43)*MAX('Inputs'!$B$33,'Inputs'!$B$29+'Inputs'!$B$31+'Inputs'!$B$32,'Inputs'!$B$30+'Inputs'!$B$31+'Inputs'!$B$32)/1000+'Inputs'!$B$21+'Inputs'!$B$7+'Inputs'!$B$10)+'Inputs'!$B$9)/SQRT((((179-43)*MAX('Inputs'!$B$33,'Inputs'!$B$29+'Inputs'!$B$31+'Inputs'!$B$32,'Inputs'!$B$30+'Inputs'!$B$31+'Inputs'!$B$32)/1000+'Inputs'!$B$21+'Inputs'!$B$7+'Inputs'!$B$10)+'Inputs'!$B$9)^2+('Inputs'!$B$8/2)^2)-(((179-43)*MAX('Inputs'!$B$33,'Inputs'!$B$29+'Inputs'!$B$31+'Inputs'!$B$32,'Inputs'!$B$30+'Inputs'!$B$31+'Inputs'!$B$32)/1000+'Inputs'!$B$21+'Inputs'!$B$7+'Inputs'!$B$10))/SQRT((((179-43)*MAX('Inputs'!$B$33,'Inputs'!$B$29+'Inputs'!$B$31+'Inputs'!$B$32,'Inputs'!$B$30+'Inputs'!$B$31+'Inputs'!$B$32)/1000+'Inputs'!$B$21+'Inputs'!$B$7+'Inputs'!$B$10))^2+('Inputs'!$B$8/2)^2))))*'Results'!$B$8))),"")</x:f>
        <x:v>211.13981097164424</x:v>
      </x:c>
      <x:c r="M179" t="n">
        <x:f>IF(AND(ISNUMBER('Results'!C7),ISNUMBER('Results'!B7),ISNUMBER('Results'!$B$8),ISNUMBER('Inputs'!$B$6),ISNUMBER('Inputs'!$B$7),ISNUMBER('Inputs'!$B$8),ISNUMBER('Inputs'!$B$9),ISNUMBER('Inputs'!$B$10),ISNUMBER('Inputs'!$B$21),ISNUMBER('Inputs'!$B$24),ISNUMBER('Inputs'!$B$28)),(('Results'!C7*(0.5*((((179-43)*MAX('Inputs'!$B$33,'Inputs'!$B$29+'Inputs'!$B$31+'Inputs'!$B$32,'Inputs'!$B$30+'Inputs'!$B$31+'Inputs'!$B$32)/1000+'Inputs'!$B$21)+'Inputs'!$B$9)/SQRT((((179-43)*MAX('Inputs'!$B$33,'Inputs'!$B$29+'Inputs'!$B$31+'Inputs'!$B$32,'Inputs'!$B$30+'Inputs'!$B$31+'Inputs'!$B$32)/1000+'Inputs'!$B$21)+'Inputs'!$B$9)^2+('Inputs'!$B$8/2)^2)-(((179-43)*MAX('Inputs'!$B$33,'Inputs'!$B$29+'Inputs'!$B$31+'Inputs'!$B$32,'Inputs'!$B$30+'Inputs'!$B$31+'Inputs'!$B$32)/1000+'Inputs'!$B$21))/SQRT((((179-43)*MAX('Inputs'!$B$33,'Inputs'!$B$29+'Inputs'!$B$31+'Inputs'!$B$32,'Inputs'!$B$30+'Inputs'!$B$31+'Inputs'!$B$32)/1000+'Inputs'!$B$21))^2+('Inputs'!$B$8/2)^2)))-'Results'!B7*(0.5*((((179-43)*MAX('Inputs'!$B$33,'Inputs'!$B$29+'Inputs'!$B$31+'Inputs'!$B$32,'Inputs'!$B$30+'Inputs'!$B$31+'Inputs'!$B$32)/1000+'Inputs'!$B$21+'Inputs'!$B$9+'Inputs'!$B$10)+'Inputs'!$B$7)/SQRT((((179-43)*MAX('Inputs'!$B$33,'Inputs'!$B$29+'Inputs'!$B$31+'Inputs'!$B$32,'Inputs'!$B$30+'Inputs'!$B$31+'Inputs'!$B$32)/1000+'Inputs'!$B$21+'Inputs'!$B$9+'Inputs'!$B$10)+'Inputs'!$B$7)^2+('Inputs'!$B$6/2)^2)-(((179-43)*MAX('Inputs'!$B$33,'Inputs'!$B$29+'Inputs'!$B$31+'Inputs'!$B$32,'Inputs'!$B$30+'Inputs'!$B$31+'Inputs'!$B$32)/1000+'Inputs'!$B$21+'Inputs'!$B$9+'Inputs'!$B$10))/SQRT((((179-43)*MAX('Inputs'!$B$33,'Inputs'!$B$29+'Inputs'!$B$31+'Inputs'!$B$32,'Inputs'!$B$30+'Inputs'!$B$31+'Inputs'!$B$32)/1000+'Inputs'!$B$21+'Inputs'!$B$9+'Inputs'!$B$10))^2+('Inputs'!$B$6/2)^2))))*'Results'!$B$8),"")</x:f>
        <x:v>188.57082268807167</x:v>
      </x:c>
      <x:c r="N179" t="n">
        <x:f>IF(AND(ISNUMBER('Results'!C7),ISNUMBER('Results'!B7),ISNUMBER('Results'!$B$8),ISNUMBER('Inputs'!$B$6),ISNUMBER('Inputs'!$B$7),ISNUMBER('Inputs'!$B$8),ISNUMBER('Inputs'!$B$9),ISNUMBER('Inputs'!$B$10),ISNUMBER('Inputs'!$B$21),ISNUMBER('Inputs'!$B$24),ISNUMBER('Inputs'!$B$28)),((('Results'!C7*(1-'Inputs'!$B$24)*(0.5*((((179-43)*MAX('Inputs'!$B$33,'Inputs'!$B$29+'Inputs'!$B$31+'Inputs'!$B$32,'Inputs'!$B$30+'Inputs'!$B$31+'Inputs'!$B$32)/1000+'Inputs'!$B$21)+'Inputs'!$B$9)/SQRT((((179-43)*MAX('Inputs'!$B$33,'Inputs'!$B$29+'Inputs'!$B$31+'Inputs'!$B$32,'Inputs'!$B$30+'Inputs'!$B$31+'Inputs'!$B$32)/1000+'Inputs'!$B$21)+'Inputs'!$B$9)^2+('Inputs'!$B$8/2)^2)-(((179-43)*MAX('Inputs'!$B$33,'Inputs'!$B$29+'Inputs'!$B$31+'Inputs'!$B$32,'Inputs'!$B$30+'Inputs'!$B$31+'Inputs'!$B$32)/1000+'Inputs'!$B$21))/SQRT((((179-43)*MAX('Inputs'!$B$33,'Inputs'!$B$29+'Inputs'!$B$31+'Inputs'!$B$32,'Inputs'!$B$30+'Inputs'!$B$31+'Inputs'!$B$32)/1000+'Inputs'!$B$21))^2+('Inputs'!$B$8/2)^2)))-'Results'!B7*(1+'Inputs'!$B$24)*(0.5*((((179-43)*MAX('Inputs'!$B$33,'Inputs'!$B$29+'Inputs'!$B$31+'Inputs'!$B$32,'Inputs'!$B$30+'Inputs'!$B$31+'Inputs'!$B$32)/1000+'Inputs'!$B$21+'Inputs'!$B$9+'Inputs'!$B$10)+'Inputs'!$B$7)/SQRT((((179-43)*MAX('Inputs'!$B$33,'Inputs'!$B$29+'Inputs'!$B$31+'Inputs'!$B$32,'Inputs'!$B$30+'Inputs'!$B$31+'Inputs'!$B$32)/1000+'Inputs'!$B$21+'Inputs'!$B$9+'Inputs'!$B$10)+'Inputs'!$B$7)^2+('Inputs'!$B$6/2)^2)-(((179-43)*MAX('Inputs'!$B$33,'Inputs'!$B$29+'Inputs'!$B$31+'Inputs'!$B$32,'Inputs'!$B$30+'Inputs'!$B$31+'Inputs'!$B$32)/1000+'Inputs'!$B$21+'Inputs'!$B$9+'Inputs'!$B$10))/SQRT((((179-43)*MAX('Inputs'!$B$33,'Inputs'!$B$29+'Inputs'!$B$31+'Inputs'!$B$32,'Inputs'!$B$30+'Inputs'!$B$31+'Inputs'!$B$32)/1000+'Inputs'!$B$21+'Inputs'!$B$9+'Inputs'!$B$10))^2+('Inputs'!$B$6/2)^2))))*'Results'!$B$8)-'Inputs'!$B$28*ABS((('Results'!C7*(1-'Inputs'!$B$24)*(0.5*((((179-43)*MAX('Inputs'!$B$33,'Inputs'!$B$29+'Inputs'!$B$31+'Inputs'!$B$32,'Inputs'!$B$30+'Inputs'!$B$31+'Inputs'!$B$32)/1000+'Inputs'!$B$21)+'Inputs'!$B$9)/SQRT((((179-43)*MAX('Inputs'!$B$33,'Inputs'!$B$29+'Inputs'!$B$31+'Inputs'!$B$32,'Inputs'!$B$30+'Inputs'!$B$31+'Inputs'!$B$32)/1000+'Inputs'!$B$21)+'Inputs'!$B$9)^2+('Inputs'!$B$8/2)^2)-(((179-43)*MAX('Inputs'!$B$33,'Inputs'!$B$29+'Inputs'!$B$31+'Inputs'!$B$32,'Inputs'!$B$30+'Inputs'!$B$31+'Inputs'!$B$32)/1000+'Inputs'!$B$21))/SQRT((((179-43)*MAX('Inputs'!$B$33,'Inputs'!$B$29+'Inputs'!$B$31+'Inputs'!$B$32,'Inputs'!$B$30+'Inputs'!$B$31+'Inputs'!$B$32)/1000+'Inputs'!$B$21))^2+('Inputs'!$B$8/2)^2)))-'Results'!B7*(1+'Inputs'!$B$24)*(0.5*((((179-43)*MAX('Inputs'!$B$33,'Inputs'!$B$29+'Inputs'!$B$31+'Inputs'!$B$32,'Inputs'!$B$30+'Inputs'!$B$31+'Inputs'!$B$32)/1000+'Inputs'!$B$21+'Inputs'!$B$9+'Inputs'!$B$10)+'Inputs'!$B$7)/SQRT((((179-43)*MAX('Inputs'!$B$33,'Inputs'!$B$29+'Inputs'!$B$31+'Inputs'!$B$32,'Inputs'!$B$30+'Inputs'!$B$31+'Inputs'!$B$32)/1000+'Inputs'!$B$21+'Inputs'!$B$9+'Inputs'!$B$10)+'Inputs'!$B$7)^2+('Inputs'!$B$6/2)^2)-(((179-43)*MAX('Inputs'!$B$33,'Inputs'!$B$29+'Inputs'!$B$31+'Inputs'!$B$32,'Inputs'!$B$30+'Inputs'!$B$31+'Inputs'!$B$32)/1000+'Inputs'!$B$21+'Inputs'!$B$9+'Inputs'!$B$10))/SQRT((((179-43)*MAX('Inputs'!$B$33,'Inputs'!$B$29+'Inputs'!$B$31+'Inputs'!$B$32,'Inputs'!$B$30+'Inputs'!$B$31+'Inputs'!$B$32)/1000+'Inputs'!$B$21+'Inputs'!$B$9+'Inputs'!$B$10))^2+('Inputs'!$B$6/2)^2))))*'Results'!$B$8))),"")</x:f>
        <x:v>173.2827608590903</x:v>
      </x:c>
      <x:c r="O179" t="n">
        <x:f>IF(AND(ISNUMBER('Results'!C7),ISNUMBER('Results'!B7),ISNUMBER('Results'!$B$8),ISNUMBER('Inputs'!$B$6),ISNUMBER('Inputs'!$B$7),ISNUMBER('Inputs'!$B$8),ISNUMBER('Inputs'!$B$9),ISNUMBER('Inputs'!$B$10),ISNUMBER('Inputs'!$B$21),ISNUMBER('Inputs'!$B$24),ISNUMBER('Inputs'!$B$28)),((('Results'!C7*(1+'Inputs'!$B$24)*(0.5*((((179-43)*MAX('Inputs'!$B$33,'Inputs'!$B$29+'Inputs'!$B$31+'Inputs'!$B$32,'Inputs'!$B$30+'Inputs'!$B$31+'Inputs'!$B$32)/1000+'Inputs'!$B$21)+'Inputs'!$B$9)/SQRT((((179-43)*MAX('Inputs'!$B$33,'Inputs'!$B$29+'Inputs'!$B$31+'Inputs'!$B$32,'Inputs'!$B$30+'Inputs'!$B$31+'Inputs'!$B$32)/1000+'Inputs'!$B$21)+'Inputs'!$B$9)^2+('Inputs'!$B$8/2)^2)-(((179-43)*MAX('Inputs'!$B$33,'Inputs'!$B$29+'Inputs'!$B$31+'Inputs'!$B$32,'Inputs'!$B$30+'Inputs'!$B$31+'Inputs'!$B$32)/1000+'Inputs'!$B$21))/SQRT((((179-43)*MAX('Inputs'!$B$33,'Inputs'!$B$29+'Inputs'!$B$31+'Inputs'!$B$32,'Inputs'!$B$30+'Inputs'!$B$31+'Inputs'!$B$32)/1000+'Inputs'!$B$21))^2+('Inputs'!$B$8/2)^2)))-'Results'!B7*(1-'Inputs'!$B$24)*(0.5*((((179-43)*MAX('Inputs'!$B$33,'Inputs'!$B$29+'Inputs'!$B$31+'Inputs'!$B$32,'Inputs'!$B$30+'Inputs'!$B$31+'Inputs'!$B$32)/1000+'Inputs'!$B$21+'Inputs'!$B$9+'Inputs'!$B$10)+'Inputs'!$B$7)/SQRT((((179-43)*MAX('Inputs'!$B$33,'Inputs'!$B$29+'Inputs'!$B$31+'Inputs'!$B$32,'Inputs'!$B$30+'Inputs'!$B$31+'Inputs'!$B$32)/1000+'Inputs'!$B$21+'Inputs'!$B$9+'Inputs'!$B$10)+'Inputs'!$B$7)^2+('Inputs'!$B$6/2)^2)-(((179-43)*MAX('Inputs'!$B$33,'Inputs'!$B$29+'Inputs'!$B$31+'Inputs'!$B$32,'Inputs'!$B$30+'Inputs'!$B$31+'Inputs'!$B$32)/1000+'Inputs'!$B$21+'Inputs'!$B$9+'Inputs'!$B$10))/SQRT((((179-43)*MAX('Inputs'!$B$33,'Inputs'!$B$29+'Inputs'!$B$31+'Inputs'!$B$32,'Inputs'!$B$30+'Inputs'!$B$31+'Inputs'!$B$32)/1000+'Inputs'!$B$21+'Inputs'!$B$9+'Inputs'!$B$10))^2+('Inputs'!$B$6/2)^2))))*'Results'!$B$8)+'Inputs'!$B$28*ABS((('Results'!C7*(1+'Inputs'!$B$24)*(0.5*((((179-43)*MAX('Inputs'!$B$33,'Inputs'!$B$29+'Inputs'!$B$31+'Inputs'!$B$32,'Inputs'!$B$30+'Inputs'!$B$31+'Inputs'!$B$32)/1000+'Inputs'!$B$21)+'Inputs'!$B$9)/SQRT((((179-43)*MAX('Inputs'!$B$33,'Inputs'!$B$29+'Inputs'!$B$31+'Inputs'!$B$32,'Inputs'!$B$30+'Inputs'!$B$31+'Inputs'!$B$32)/1000+'Inputs'!$B$21)+'Inputs'!$B$9)^2+('Inputs'!$B$8/2)^2)-(((179-43)*MAX('Inputs'!$B$33,'Inputs'!$B$29+'Inputs'!$B$31+'Inputs'!$B$32,'Inputs'!$B$30+'Inputs'!$B$31+'Inputs'!$B$32)/1000+'Inputs'!$B$21))/SQRT((((179-43)*MAX('Inputs'!$B$33,'Inputs'!$B$29+'Inputs'!$B$31+'Inputs'!$B$32,'Inputs'!$B$30+'Inputs'!$B$31+'Inputs'!$B$32)/1000+'Inputs'!$B$21))^2+('Inputs'!$B$8/2)^2)))-'Results'!B7*(1-'Inputs'!$B$24)*(0.5*((((179-43)*MAX('Inputs'!$B$33,'Inputs'!$B$29+'Inputs'!$B$31+'Inputs'!$B$32,'Inputs'!$B$30+'Inputs'!$B$31+'Inputs'!$B$32)/1000+'Inputs'!$B$21+'Inputs'!$B$9+'Inputs'!$B$10)+'Inputs'!$B$7)/SQRT((((179-43)*MAX('Inputs'!$B$33,'Inputs'!$B$29+'Inputs'!$B$31+'Inputs'!$B$32,'Inputs'!$B$30+'Inputs'!$B$31+'Inputs'!$B$32)/1000+'Inputs'!$B$21+'Inputs'!$B$9+'Inputs'!$B$10)+'Inputs'!$B$7)^2+('Inputs'!$B$6/2)^2)-(((179-43)*MAX('Inputs'!$B$33,'Inputs'!$B$29+'Inputs'!$B$31+'Inputs'!$B$32,'Inputs'!$B$30+'Inputs'!$B$31+'Inputs'!$B$32)/1000+'Inputs'!$B$21+'Inputs'!$B$9+'Inputs'!$B$10))/SQRT((((179-43)*MAX('Inputs'!$B$33,'Inputs'!$B$29+'Inputs'!$B$31+'Inputs'!$B$32,'Inputs'!$B$30+'Inputs'!$B$31+'Inputs'!$B$32)/1000+'Inputs'!$B$21+'Inputs'!$B$9+'Inputs'!$B$10))^2+('Inputs'!$B$6/2)^2))))*'Results'!$B$8))),"")</x:f>
        <x:v>204.4756761691139</x:v>
      </x:c>
      <x:c r="P179" t="n">
        <x:f>IF(AND(MAX(J179,J178)&gt;0,J179&gt;J178+0.00000001),1,0)</x:f>
        <x:v>0</x:v>
      </x:c>
      <x:c r="Q179" t="n">
        <x:f>IF(AND(MAX(K179,K178)&gt;0,K179&gt;K178+0.00000001),1,0)</x:f>
        <x:v>0</x:v>
      </x:c>
      <x:c r="R179" t="n">
        <x:f>IF(AND(MAX(L179,L178)&gt;0,L179&gt;L178+0.00000001),1,0)</x:f>
        <x:v>0</x:v>
      </x:c>
      <x:c r="S179" t="n">
        <x:f>IF(AND(MAX(M179,M178)&gt;0,M179&gt;M178+0.00000001),1,0)</x:f>
        <x:v>0</x:v>
      </x:c>
      <x:c r="T179" t="n">
        <x:f>IF(AND(MAX(N179,N178)&gt;0,N179&gt;N178+0.00000001),1,0)</x:f>
        <x:v>0</x:v>
      </x:c>
      <x:c r="U179" t="n">
        <x:f>IF(AND(MAX(O179,O178)&gt;0,O179&gt;O178+0.00000001),1,0)</x:f>
        <x:v>0</x:v>
      </x:c>
    </x:row>
    <x:row r="180">
      <x:c r="J180" t="n">
        <x:f>IF(AND(ISNUMBER('Results'!B7),ISNUMBER('Results'!C7),ISNUMBER('Results'!$B$8),ISNUMBER('Inputs'!$B$6),ISNUMBER('Inputs'!$B$7),ISNUMBER('Inputs'!$B$8),ISNUMBER('Inputs'!$B$9),ISNUMBER('Inputs'!$B$10),ISNUMBER('Inputs'!$B$21),ISNUMBER('Inputs'!$B$24),ISNUMBER('Inputs'!$B$28)),(('Results'!B7*(0.5*((((180-43)*MAX('Inputs'!$B$33,'Inputs'!$B$29+'Inputs'!$B$31+'Inputs'!$B$32,'Inputs'!$B$30+'Inputs'!$B$31+'Inputs'!$B$32)/1000+'Inputs'!$B$21)+'Inputs'!$B$7)/SQRT((((180-43)*MAX('Inputs'!$B$33,'Inputs'!$B$29+'Inputs'!$B$31+'Inputs'!$B$32,'Inputs'!$B$30+'Inputs'!$B$31+'Inputs'!$B$32)/1000+'Inputs'!$B$21)+'Inputs'!$B$7)^2+('Inputs'!$B$6/2)^2)-(((180-43)*MAX('Inputs'!$B$33,'Inputs'!$B$29+'Inputs'!$B$31+'Inputs'!$B$32,'Inputs'!$B$30+'Inputs'!$B$31+'Inputs'!$B$32)/1000+'Inputs'!$B$21))/SQRT((((180-43)*MAX('Inputs'!$B$33,'Inputs'!$B$29+'Inputs'!$B$31+'Inputs'!$B$32,'Inputs'!$B$30+'Inputs'!$B$31+'Inputs'!$B$32)/1000+'Inputs'!$B$21))^2+('Inputs'!$B$6/2)^2)))-'Results'!C7*(0.5*((((180-43)*MAX('Inputs'!$B$33,'Inputs'!$B$29+'Inputs'!$B$31+'Inputs'!$B$32,'Inputs'!$B$30+'Inputs'!$B$31+'Inputs'!$B$32)/1000+'Inputs'!$B$21+'Inputs'!$B$7+'Inputs'!$B$10)+'Inputs'!$B$9)/SQRT((((180-43)*MAX('Inputs'!$B$33,'Inputs'!$B$29+'Inputs'!$B$31+'Inputs'!$B$32,'Inputs'!$B$30+'Inputs'!$B$31+'Inputs'!$B$32)/1000+'Inputs'!$B$21+'Inputs'!$B$7+'Inputs'!$B$10)+'Inputs'!$B$9)^2+('Inputs'!$B$8/2)^2)-(((180-43)*MAX('Inputs'!$B$33,'Inputs'!$B$29+'Inputs'!$B$31+'Inputs'!$B$32,'Inputs'!$B$30+'Inputs'!$B$31+'Inputs'!$B$32)/1000+'Inputs'!$B$21+'Inputs'!$B$7+'Inputs'!$B$10))/SQRT((((180-43)*MAX('Inputs'!$B$33,'Inputs'!$B$29+'Inputs'!$B$31+'Inputs'!$B$32,'Inputs'!$B$30+'Inputs'!$B$31+'Inputs'!$B$32)/1000+'Inputs'!$B$21+'Inputs'!$B$7+'Inputs'!$B$10))^2+('Inputs'!$B$8/2)^2))))*'Results'!$B$8),"")</x:f>
        <x:v>191.56843696310574</x:v>
      </x:c>
      <x:c r="K180" t="n">
        <x:f>IF(AND(ISNUMBER('Results'!B7),ISNUMBER('Results'!C7),ISNUMBER('Results'!$B$8),ISNUMBER('Inputs'!$B$6),ISNUMBER('Inputs'!$B$7),ISNUMBER('Inputs'!$B$8),ISNUMBER('Inputs'!$B$9),ISNUMBER('Inputs'!$B$10),ISNUMBER('Inputs'!$B$21),ISNUMBER('Inputs'!$B$24),ISNUMBER('Inputs'!$B$28)),((('Results'!B7*(1-'Inputs'!$B$24)*(0.5*((((180-43)*MAX('Inputs'!$B$33,'Inputs'!$B$29+'Inputs'!$B$31+'Inputs'!$B$32,'Inputs'!$B$30+'Inputs'!$B$31+'Inputs'!$B$32)/1000+'Inputs'!$B$21)+'Inputs'!$B$7)/SQRT((((180-43)*MAX('Inputs'!$B$33,'Inputs'!$B$29+'Inputs'!$B$31+'Inputs'!$B$32,'Inputs'!$B$30+'Inputs'!$B$31+'Inputs'!$B$32)/1000+'Inputs'!$B$21)+'Inputs'!$B$7)^2+('Inputs'!$B$6/2)^2)-(((180-43)*MAX('Inputs'!$B$33,'Inputs'!$B$29+'Inputs'!$B$31+'Inputs'!$B$32,'Inputs'!$B$30+'Inputs'!$B$31+'Inputs'!$B$32)/1000+'Inputs'!$B$21))/SQRT((((180-43)*MAX('Inputs'!$B$33,'Inputs'!$B$29+'Inputs'!$B$31+'Inputs'!$B$32,'Inputs'!$B$30+'Inputs'!$B$31+'Inputs'!$B$32)/1000+'Inputs'!$B$21))^2+('Inputs'!$B$6/2)^2)))-'Results'!C7*(1+'Inputs'!$B$24)*(0.5*((((180-43)*MAX('Inputs'!$B$33,'Inputs'!$B$29+'Inputs'!$B$31+'Inputs'!$B$32,'Inputs'!$B$30+'Inputs'!$B$31+'Inputs'!$B$32)/1000+'Inputs'!$B$21+'Inputs'!$B$7+'Inputs'!$B$10)+'Inputs'!$B$9)/SQRT((((180-43)*MAX('Inputs'!$B$33,'Inputs'!$B$29+'Inputs'!$B$31+'Inputs'!$B$32,'Inputs'!$B$30+'Inputs'!$B$31+'Inputs'!$B$32)/1000+'Inputs'!$B$21+'Inputs'!$B$7+'Inputs'!$B$10)+'Inputs'!$B$9)^2+('Inputs'!$B$8/2)^2)-(((180-43)*MAX('Inputs'!$B$33,'Inputs'!$B$29+'Inputs'!$B$31+'Inputs'!$B$32,'Inputs'!$B$30+'Inputs'!$B$31+'Inputs'!$B$32)/1000+'Inputs'!$B$21+'Inputs'!$B$7+'Inputs'!$B$10))/SQRT((((180-43)*MAX('Inputs'!$B$33,'Inputs'!$B$29+'Inputs'!$B$31+'Inputs'!$B$32,'Inputs'!$B$30+'Inputs'!$B$31+'Inputs'!$B$32)/1000+'Inputs'!$B$21+'Inputs'!$B$7+'Inputs'!$B$10))^2+('Inputs'!$B$8/2)^2))))*'Results'!$B$8)-'Inputs'!$B$28*ABS((('Results'!B7*(1-'Inputs'!$B$24)*(0.5*((((180-43)*MAX('Inputs'!$B$33,'Inputs'!$B$29+'Inputs'!$B$31+'Inputs'!$B$32,'Inputs'!$B$30+'Inputs'!$B$31+'Inputs'!$B$32)/1000+'Inputs'!$B$21)+'Inputs'!$B$7)/SQRT((((180-43)*MAX('Inputs'!$B$33,'Inputs'!$B$29+'Inputs'!$B$31+'Inputs'!$B$32,'Inputs'!$B$30+'Inputs'!$B$31+'Inputs'!$B$32)/1000+'Inputs'!$B$21)+'Inputs'!$B$7)^2+('Inputs'!$B$6/2)^2)-(((180-43)*MAX('Inputs'!$B$33,'Inputs'!$B$29+'Inputs'!$B$31+'Inputs'!$B$32,'Inputs'!$B$30+'Inputs'!$B$31+'Inputs'!$B$32)/1000+'Inputs'!$B$21))/SQRT((((180-43)*MAX('Inputs'!$B$33,'Inputs'!$B$29+'Inputs'!$B$31+'Inputs'!$B$32,'Inputs'!$B$30+'Inputs'!$B$31+'Inputs'!$B$32)/1000+'Inputs'!$B$21))^2+('Inputs'!$B$6/2)^2)))-'Results'!C7*(1+'Inputs'!$B$24)*(0.5*((((180-43)*MAX('Inputs'!$B$33,'Inputs'!$B$29+'Inputs'!$B$31+'Inputs'!$B$32,'Inputs'!$B$30+'Inputs'!$B$31+'Inputs'!$B$32)/1000+'Inputs'!$B$21+'Inputs'!$B$7+'Inputs'!$B$10)+'Inputs'!$B$9)/SQRT((((180-43)*MAX('Inputs'!$B$33,'Inputs'!$B$29+'Inputs'!$B$31+'Inputs'!$B$32,'Inputs'!$B$30+'Inputs'!$B$31+'Inputs'!$B$32)/1000+'Inputs'!$B$21+'Inputs'!$B$7+'Inputs'!$B$10)+'Inputs'!$B$9)^2+('Inputs'!$B$8/2)^2)-(((180-43)*MAX('Inputs'!$B$33,'Inputs'!$B$29+'Inputs'!$B$31+'Inputs'!$B$32,'Inputs'!$B$30+'Inputs'!$B$31+'Inputs'!$B$32)/1000+'Inputs'!$B$21+'Inputs'!$B$7+'Inputs'!$B$10))/SQRT((((180-43)*MAX('Inputs'!$B$33,'Inputs'!$B$29+'Inputs'!$B$31+'Inputs'!$B$32,'Inputs'!$B$30+'Inputs'!$B$31+'Inputs'!$B$32)/1000+'Inputs'!$B$21+'Inputs'!$B$7+'Inputs'!$B$10))^2+('Inputs'!$B$8/2)^2))))*'Results'!$B$8))),"")</x:f>
        <x:v>176.14182225838223</x:v>
      </x:c>
      <x:c r="L180" t="n">
        <x:f>IF(AND(ISNUMBER('Results'!B7),ISNUMBER('Results'!C7),ISNUMBER('Results'!$B$8),ISNUMBER('Inputs'!$B$6),ISNUMBER('Inputs'!$B$7),ISNUMBER('Inputs'!$B$8),ISNUMBER('Inputs'!$B$9),ISNUMBER('Inputs'!$B$10),ISNUMBER('Inputs'!$B$21),ISNUMBER('Inputs'!$B$24),ISNUMBER('Inputs'!$B$28)),((('Results'!B7*(1+'Inputs'!$B$24)*(0.5*((((180-43)*MAX('Inputs'!$B$33,'Inputs'!$B$29+'Inputs'!$B$31+'Inputs'!$B$32,'Inputs'!$B$30+'Inputs'!$B$31+'Inputs'!$B$32)/1000+'Inputs'!$B$21)+'Inputs'!$B$7)/SQRT((((180-43)*MAX('Inputs'!$B$33,'Inputs'!$B$29+'Inputs'!$B$31+'Inputs'!$B$32,'Inputs'!$B$30+'Inputs'!$B$31+'Inputs'!$B$32)/1000+'Inputs'!$B$21)+'Inputs'!$B$7)^2+('Inputs'!$B$6/2)^2)-(((180-43)*MAX('Inputs'!$B$33,'Inputs'!$B$29+'Inputs'!$B$31+'Inputs'!$B$32,'Inputs'!$B$30+'Inputs'!$B$31+'Inputs'!$B$32)/1000+'Inputs'!$B$21))/SQRT((((180-43)*MAX('Inputs'!$B$33,'Inputs'!$B$29+'Inputs'!$B$31+'Inputs'!$B$32,'Inputs'!$B$30+'Inputs'!$B$31+'Inputs'!$B$32)/1000+'Inputs'!$B$21))^2+('Inputs'!$B$6/2)^2)))-'Results'!C7*(1-'Inputs'!$B$24)*(0.5*((((180-43)*MAX('Inputs'!$B$33,'Inputs'!$B$29+'Inputs'!$B$31+'Inputs'!$B$32,'Inputs'!$B$30+'Inputs'!$B$31+'Inputs'!$B$32)/1000+'Inputs'!$B$21+'Inputs'!$B$7+'Inputs'!$B$10)+'Inputs'!$B$9)/SQRT((((180-43)*MAX('Inputs'!$B$33,'Inputs'!$B$29+'Inputs'!$B$31+'Inputs'!$B$32,'Inputs'!$B$30+'Inputs'!$B$31+'Inputs'!$B$32)/1000+'Inputs'!$B$21+'Inputs'!$B$7+'Inputs'!$B$10)+'Inputs'!$B$9)^2+('Inputs'!$B$8/2)^2)-(((180-43)*MAX('Inputs'!$B$33,'Inputs'!$B$29+'Inputs'!$B$31+'Inputs'!$B$32,'Inputs'!$B$30+'Inputs'!$B$31+'Inputs'!$B$32)/1000+'Inputs'!$B$21+'Inputs'!$B$7+'Inputs'!$B$10))/SQRT((((180-43)*MAX('Inputs'!$B$33,'Inputs'!$B$29+'Inputs'!$B$31+'Inputs'!$B$32,'Inputs'!$B$30+'Inputs'!$B$31+'Inputs'!$B$32)/1000+'Inputs'!$B$21+'Inputs'!$B$7+'Inputs'!$B$10))^2+('Inputs'!$B$8/2)^2))))*'Results'!$B$8)+'Inputs'!$B$28*ABS((('Results'!B7*(1+'Inputs'!$B$24)*(0.5*((((180-43)*MAX('Inputs'!$B$33,'Inputs'!$B$29+'Inputs'!$B$31+'Inputs'!$B$32,'Inputs'!$B$30+'Inputs'!$B$31+'Inputs'!$B$32)/1000+'Inputs'!$B$21)+'Inputs'!$B$7)/SQRT((((180-43)*MAX('Inputs'!$B$33,'Inputs'!$B$29+'Inputs'!$B$31+'Inputs'!$B$32,'Inputs'!$B$30+'Inputs'!$B$31+'Inputs'!$B$32)/1000+'Inputs'!$B$21)+'Inputs'!$B$7)^2+('Inputs'!$B$6/2)^2)-(((180-43)*MAX('Inputs'!$B$33,'Inputs'!$B$29+'Inputs'!$B$31+'Inputs'!$B$32,'Inputs'!$B$30+'Inputs'!$B$31+'Inputs'!$B$32)/1000+'Inputs'!$B$21))/SQRT((((180-43)*MAX('Inputs'!$B$33,'Inputs'!$B$29+'Inputs'!$B$31+'Inputs'!$B$32,'Inputs'!$B$30+'Inputs'!$B$31+'Inputs'!$B$32)/1000+'Inputs'!$B$21))^2+('Inputs'!$B$6/2)^2)))-'Results'!C7*(1-'Inputs'!$B$24)*(0.5*((((180-43)*MAX('Inputs'!$B$33,'Inputs'!$B$29+'Inputs'!$B$31+'Inputs'!$B$32,'Inputs'!$B$30+'Inputs'!$B$31+'Inputs'!$B$32)/1000+'Inputs'!$B$21+'Inputs'!$B$7+'Inputs'!$B$10)+'Inputs'!$B$9)/SQRT((((180-43)*MAX('Inputs'!$B$33,'Inputs'!$B$29+'Inputs'!$B$31+'Inputs'!$B$32,'Inputs'!$B$30+'Inputs'!$B$31+'Inputs'!$B$32)/1000+'Inputs'!$B$21+'Inputs'!$B$7+'Inputs'!$B$10)+'Inputs'!$B$9)^2+('Inputs'!$B$8/2)^2)-(((180-43)*MAX('Inputs'!$B$33,'Inputs'!$B$29+'Inputs'!$B$31+'Inputs'!$B$32,'Inputs'!$B$30+'Inputs'!$B$31+'Inputs'!$B$32)/1000+'Inputs'!$B$21+'Inputs'!$B$7+'Inputs'!$B$10))/SQRT((((180-43)*MAX('Inputs'!$B$33,'Inputs'!$B$29+'Inputs'!$B$31+'Inputs'!$B$32,'Inputs'!$B$30+'Inputs'!$B$31+'Inputs'!$B$32)/1000+'Inputs'!$B$21+'Inputs'!$B$7+'Inputs'!$B$10))^2+('Inputs'!$B$8/2)^2))))*'Results'!$B$8))),"")</x:f>
        <x:v>207.61065091588904</x:v>
      </x:c>
      <x:c r="M180" t="n">
        <x:f>IF(AND(ISNUMBER('Results'!C7),ISNUMBER('Results'!B7),ISNUMBER('Results'!$B$8),ISNUMBER('Inputs'!$B$6),ISNUMBER('Inputs'!$B$7),ISNUMBER('Inputs'!$B$8),ISNUMBER('Inputs'!$B$9),ISNUMBER('Inputs'!$B$10),ISNUMBER('Inputs'!$B$21),ISNUMBER('Inputs'!$B$24),ISNUMBER('Inputs'!$B$28)),(('Results'!C7*(0.5*((((180-43)*MAX('Inputs'!$B$33,'Inputs'!$B$29+'Inputs'!$B$31+'Inputs'!$B$32,'Inputs'!$B$30+'Inputs'!$B$31+'Inputs'!$B$32)/1000+'Inputs'!$B$21)+'Inputs'!$B$9)/SQRT((((180-43)*MAX('Inputs'!$B$33,'Inputs'!$B$29+'Inputs'!$B$31+'Inputs'!$B$32,'Inputs'!$B$30+'Inputs'!$B$31+'Inputs'!$B$32)/1000+'Inputs'!$B$21)+'Inputs'!$B$9)^2+('Inputs'!$B$8/2)^2)-(((180-43)*MAX('Inputs'!$B$33,'Inputs'!$B$29+'Inputs'!$B$31+'Inputs'!$B$32,'Inputs'!$B$30+'Inputs'!$B$31+'Inputs'!$B$32)/1000+'Inputs'!$B$21))/SQRT((((180-43)*MAX('Inputs'!$B$33,'Inputs'!$B$29+'Inputs'!$B$31+'Inputs'!$B$32,'Inputs'!$B$30+'Inputs'!$B$31+'Inputs'!$B$32)/1000+'Inputs'!$B$21))^2+('Inputs'!$B$8/2)^2)))-'Results'!B7*(0.5*((((180-43)*MAX('Inputs'!$B$33,'Inputs'!$B$29+'Inputs'!$B$31+'Inputs'!$B$32,'Inputs'!$B$30+'Inputs'!$B$31+'Inputs'!$B$32)/1000+'Inputs'!$B$21+'Inputs'!$B$9+'Inputs'!$B$10)+'Inputs'!$B$7)/SQRT((((180-43)*MAX('Inputs'!$B$33,'Inputs'!$B$29+'Inputs'!$B$31+'Inputs'!$B$32,'Inputs'!$B$30+'Inputs'!$B$31+'Inputs'!$B$32)/1000+'Inputs'!$B$21+'Inputs'!$B$9+'Inputs'!$B$10)+'Inputs'!$B$7)^2+('Inputs'!$B$6/2)^2)-(((180-43)*MAX('Inputs'!$B$33,'Inputs'!$B$29+'Inputs'!$B$31+'Inputs'!$B$32,'Inputs'!$B$30+'Inputs'!$B$31+'Inputs'!$B$32)/1000+'Inputs'!$B$21+'Inputs'!$B$9+'Inputs'!$B$10))/SQRT((((180-43)*MAX('Inputs'!$B$33,'Inputs'!$B$29+'Inputs'!$B$31+'Inputs'!$B$32,'Inputs'!$B$30+'Inputs'!$B$31+'Inputs'!$B$32)/1000+'Inputs'!$B$21+'Inputs'!$B$9+'Inputs'!$B$10))^2+('Inputs'!$B$6/2)^2))))*'Results'!$B$8),"")</x:f>
        <x:v>185.38872383208582</x:v>
      </x:c>
      <x:c r="N180" t="n">
        <x:f>IF(AND(ISNUMBER('Results'!C7),ISNUMBER('Results'!B7),ISNUMBER('Results'!$B$8),ISNUMBER('Inputs'!$B$6),ISNUMBER('Inputs'!$B$7),ISNUMBER('Inputs'!$B$8),ISNUMBER('Inputs'!$B$9),ISNUMBER('Inputs'!$B$10),ISNUMBER('Inputs'!$B$21),ISNUMBER('Inputs'!$B$24),ISNUMBER('Inputs'!$B$28)),((('Results'!C7*(1-'Inputs'!$B$24)*(0.5*((((180-43)*MAX('Inputs'!$B$33,'Inputs'!$B$29+'Inputs'!$B$31+'Inputs'!$B$32,'Inputs'!$B$30+'Inputs'!$B$31+'Inputs'!$B$32)/1000+'Inputs'!$B$21)+'Inputs'!$B$9)/SQRT((((180-43)*MAX('Inputs'!$B$33,'Inputs'!$B$29+'Inputs'!$B$31+'Inputs'!$B$32,'Inputs'!$B$30+'Inputs'!$B$31+'Inputs'!$B$32)/1000+'Inputs'!$B$21)+'Inputs'!$B$9)^2+('Inputs'!$B$8/2)^2)-(((180-43)*MAX('Inputs'!$B$33,'Inputs'!$B$29+'Inputs'!$B$31+'Inputs'!$B$32,'Inputs'!$B$30+'Inputs'!$B$31+'Inputs'!$B$32)/1000+'Inputs'!$B$21))/SQRT((((180-43)*MAX('Inputs'!$B$33,'Inputs'!$B$29+'Inputs'!$B$31+'Inputs'!$B$32,'Inputs'!$B$30+'Inputs'!$B$31+'Inputs'!$B$32)/1000+'Inputs'!$B$21))^2+('Inputs'!$B$8/2)^2)))-'Results'!B7*(1+'Inputs'!$B$24)*(0.5*((((180-43)*MAX('Inputs'!$B$33,'Inputs'!$B$29+'Inputs'!$B$31+'Inputs'!$B$32,'Inputs'!$B$30+'Inputs'!$B$31+'Inputs'!$B$32)/1000+'Inputs'!$B$21+'Inputs'!$B$9+'Inputs'!$B$10)+'Inputs'!$B$7)/SQRT((((180-43)*MAX('Inputs'!$B$33,'Inputs'!$B$29+'Inputs'!$B$31+'Inputs'!$B$32,'Inputs'!$B$30+'Inputs'!$B$31+'Inputs'!$B$32)/1000+'Inputs'!$B$21+'Inputs'!$B$9+'Inputs'!$B$10)+'Inputs'!$B$7)^2+('Inputs'!$B$6/2)^2)-(((180-43)*MAX('Inputs'!$B$33,'Inputs'!$B$29+'Inputs'!$B$31+'Inputs'!$B$32,'Inputs'!$B$30+'Inputs'!$B$31+'Inputs'!$B$32)/1000+'Inputs'!$B$21+'Inputs'!$B$9+'Inputs'!$B$10))/SQRT((((180-43)*MAX('Inputs'!$B$33,'Inputs'!$B$29+'Inputs'!$B$31+'Inputs'!$B$32,'Inputs'!$B$30+'Inputs'!$B$31+'Inputs'!$B$32)/1000+'Inputs'!$B$21+'Inputs'!$B$9+'Inputs'!$B$10))^2+('Inputs'!$B$6/2)^2))))*'Results'!$B$8)-'Inputs'!$B$28*ABS((('Results'!C7*(1-'Inputs'!$B$24)*(0.5*((((180-43)*MAX('Inputs'!$B$33,'Inputs'!$B$29+'Inputs'!$B$31+'Inputs'!$B$32,'Inputs'!$B$30+'Inputs'!$B$31+'Inputs'!$B$32)/1000+'Inputs'!$B$21)+'Inputs'!$B$9)/SQRT((((180-43)*MAX('Inputs'!$B$33,'Inputs'!$B$29+'Inputs'!$B$31+'Inputs'!$B$32,'Inputs'!$B$30+'Inputs'!$B$31+'Inputs'!$B$32)/1000+'Inputs'!$B$21)+'Inputs'!$B$9)^2+('Inputs'!$B$8/2)^2)-(((180-43)*MAX('Inputs'!$B$33,'Inputs'!$B$29+'Inputs'!$B$31+'Inputs'!$B$32,'Inputs'!$B$30+'Inputs'!$B$31+'Inputs'!$B$32)/1000+'Inputs'!$B$21))/SQRT((((180-43)*MAX('Inputs'!$B$33,'Inputs'!$B$29+'Inputs'!$B$31+'Inputs'!$B$32,'Inputs'!$B$30+'Inputs'!$B$31+'Inputs'!$B$32)/1000+'Inputs'!$B$21))^2+('Inputs'!$B$8/2)^2)))-'Results'!B7*(1+'Inputs'!$B$24)*(0.5*((((180-43)*MAX('Inputs'!$B$33,'Inputs'!$B$29+'Inputs'!$B$31+'Inputs'!$B$32,'Inputs'!$B$30+'Inputs'!$B$31+'Inputs'!$B$32)/1000+'Inputs'!$B$21+'Inputs'!$B$9+'Inputs'!$B$10)+'Inputs'!$B$7)/SQRT((((180-43)*MAX('Inputs'!$B$33,'Inputs'!$B$29+'Inputs'!$B$31+'Inputs'!$B$32,'Inputs'!$B$30+'Inputs'!$B$31+'Inputs'!$B$32)/1000+'Inputs'!$B$21+'Inputs'!$B$9+'Inputs'!$B$10)+'Inputs'!$B$7)^2+('Inputs'!$B$6/2)^2)-(((180-43)*MAX('Inputs'!$B$33,'Inputs'!$B$29+'Inputs'!$B$31+'Inputs'!$B$32,'Inputs'!$B$30+'Inputs'!$B$31+'Inputs'!$B$32)/1000+'Inputs'!$B$21+'Inputs'!$B$9+'Inputs'!$B$10))/SQRT((((180-43)*MAX('Inputs'!$B$33,'Inputs'!$B$29+'Inputs'!$B$31+'Inputs'!$B$32,'Inputs'!$B$30+'Inputs'!$B$31+'Inputs'!$B$32)/1000+'Inputs'!$B$21+'Inputs'!$B$9+'Inputs'!$B$10))^2+('Inputs'!$B$6/2)^2))))*'Results'!$B$8))),"")</x:f>
        <x:v>170.34344009760127</x:v>
      </x:c>
      <x:c r="O180" t="n">
        <x:f>IF(AND(ISNUMBER('Results'!C7),ISNUMBER('Results'!B7),ISNUMBER('Results'!$B$8),ISNUMBER('Inputs'!$B$6),ISNUMBER('Inputs'!$B$7),ISNUMBER('Inputs'!$B$8),ISNUMBER('Inputs'!$B$9),ISNUMBER('Inputs'!$B$10),ISNUMBER('Inputs'!$B$21),ISNUMBER('Inputs'!$B$24),ISNUMBER('Inputs'!$B$28)),((('Results'!C7*(1+'Inputs'!$B$24)*(0.5*((((180-43)*MAX('Inputs'!$B$33,'Inputs'!$B$29+'Inputs'!$B$31+'Inputs'!$B$32,'Inputs'!$B$30+'Inputs'!$B$31+'Inputs'!$B$32)/1000+'Inputs'!$B$21)+'Inputs'!$B$9)/SQRT((((180-43)*MAX('Inputs'!$B$33,'Inputs'!$B$29+'Inputs'!$B$31+'Inputs'!$B$32,'Inputs'!$B$30+'Inputs'!$B$31+'Inputs'!$B$32)/1000+'Inputs'!$B$21)+'Inputs'!$B$9)^2+('Inputs'!$B$8/2)^2)-(((180-43)*MAX('Inputs'!$B$33,'Inputs'!$B$29+'Inputs'!$B$31+'Inputs'!$B$32,'Inputs'!$B$30+'Inputs'!$B$31+'Inputs'!$B$32)/1000+'Inputs'!$B$21))/SQRT((((180-43)*MAX('Inputs'!$B$33,'Inputs'!$B$29+'Inputs'!$B$31+'Inputs'!$B$32,'Inputs'!$B$30+'Inputs'!$B$31+'Inputs'!$B$32)/1000+'Inputs'!$B$21))^2+('Inputs'!$B$8/2)^2)))-'Results'!B7*(1-'Inputs'!$B$24)*(0.5*((((180-43)*MAX('Inputs'!$B$33,'Inputs'!$B$29+'Inputs'!$B$31+'Inputs'!$B$32,'Inputs'!$B$30+'Inputs'!$B$31+'Inputs'!$B$32)/1000+'Inputs'!$B$21+'Inputs'!$B$9+'Inputs'!$B$10)+'Inputs'!$B$7)/SQRT((((180-43)*MAX('Inputs'!$B$33,'Inputs'!$B$29+'Inputs'!$B$31+'Inputs'!$B$32,'Inputs'!$B$30+'Inputs'!$B$31+'Inputs'!$B$32)/1000+'Inputs'!$B$21+'Inputs'!$B$9+'Inputs'!$B$10)+'Inputs'!$B$7)^2+('Inputs'!$B$6/2)^2)-(((180-43)*MAX('Inputs'!$B$33,'Inputs'!$B$29+'Inputs'!$B$31+'Inputs'!$B$32,'Inputs'!$B$30+'Inputs'!$B$31+'Inputs'!$B$32)/1000+'Inputs'!$B$21+'Inputs'!$B$9+'Inputs'!$B$10))/SQRT((((180-43)*MAX('Inputs'!$B$33,'Inputs'!$B$29+'Inputs'!$B$31+'Inputs'!$B$32,'Inputs'!$B$30+'Inputs'!$B$31+'Inputs'!$B$32)/1000+'Inputs'!$B$21+'Inputs'!$B$9+'Inputs'!$B$10))^2+('Inputs'!$B$6/2)^2))))*'Results'!$B$8)+'Inputs'!$B$28*ABS((('Results'!C7*(1+'Inputs'!$B$24)*(0.5*((((180-43)*MAX('Inputs'!$B$33,'Inputs'!$B$29+'Inputs'!$B$31+'Inputs'!$B$32,'Inputs'!$B$30+'Inputs'!$B$31+'Inputs'!$B$32)/1000+'Inputs'!$B$21)+'Inputs'!$B$9)/SQRT((((180-43)*MAX('Inputs'!$B$33,'Inputs'!$B$29+'Inputs'!$B$31+'Inputs'!$B$32,'Inputs'!$B$30+'Inputs'!$B$31+'Inputs'!$B$32)/1000+'Inputs'!$B$21)+'Inputs'!$B$9)^2+('Inputs'!$B$8/2)^2)-(((180-43)*MAX('Inputs'!$B$33,'Inputs'!$B$29+'Inputs'!$B$31+'Inputs'!$B$32,'Inputs'!$B$30+'Inputs'!$B$31+'Inputs'!$B$32)/1000+'Inputs'!$B$21))/SQRT((((180-43)*MAX('Inputs'!$B$33,'Inputs'!$B$29+'Inputs'!$B$31+'Inputs'!$B$32,'Inputs'!$B$30+'Inputs'!$B$31+'Inputs'!$B$32)/1000+'Inputs'!$B$21))^2+('Inputs'!$B$8/2)^2)))-'Results'!B7*(1-'Inputs'!$B$24)*(0.5*((((180-43)*MAX('Inputs'!$B$33,'Inputs'!$B$29+'Inputs'!$B$31+'Inputs'!$B$32,'Inputs'!$B$30+'Inputs'!$B$31+'Inputs'!$B$32)/1000+'Inputs'!$B$21+'Inputs'!$B$9+'Inputs'!$B$10)+'Inputs'!$B$7)/SQRT((((180-43)*MAX('Inputs'!$B$33,'Inputs'!$B$29+'Inputs'!$B$31+'Inputs'!$B$32,'Inputs'!$B$30+'Inputs'!$B$31+'Inputs'!$B$32)/1000+'Inputs'!$B$21+'Inputs'!$B$9+'Inputs'!$B$10)+'Inputs'!$B$7)^2+('Inputs'!$B$6/2)^2)-(((180-43)*MAX('Inputs'!$B$33,'Inputs'!$B$29+'Inputs'!$B$31+'Inputs'!$B$32,'Inputs'!$B$30+'Inputs'!$B$31+'Inputs'!$B$32)/1000+'Inputs'!$B$21+'Inputs'!$B$9+'Inputs'!$B$10))/SQRT((((180-43)*MAX('Inputs'!$B$33,'Inputs'!$B$29+'Inputs'!$B$31+'Inputs'!$B$32,'Inputs'!$B$30+'Inputs'!$B$31+'Inputs'!$B$32)/1000+'Inputs'!$B$21+'Inputs'!$B$9+'Inputs'!$B$10))^2+('Inputs'!$B$6/2)^2))))*'Results'!$B$8))),"")</x:f>
        <x:v>201.04199151845253</x:v>
      </x:c>
      <x:c r="P180" t="n">
        <x:f>IF(AND(MAX(J180,J179)&gt;0,J180&gt;J179+0.00000001),1,0)</x:f>
        <x:v>0</x:v>
      </x:c>
      <x:c r="Q180" t="n">
        <x:f>IF(AND(MAX(K180,K179)&gt;0,K180&gt;K179+0.00000001),1,0)</x:f>
        <x:v>0</x:v>
      </x:c>
      <x:c r="R180" t="n">
        <x:f>IF(AND(MAX(L180,L179)&gt;0,L180&gt;L179+0.00000001),1,0)</x:f>
        <x:v>0</x:v>
      </x:c>
      <x:c r="S180" t="n">
        <x:f>IF(AND(MAX(M180,M179)&gt;0,M180&gt;M179+0.00000001),1,0)</x:f>
        <x:v>0</x:v>
      </x:c>
      <x:c r="T180" t="n">
        <x:f>IF(AND(MAX(N180,N179)&gt;0,N180&gt;N179+0.00000001),1,0)</x:f>
        <x:v>0</x:v>
      </x:c>
      <x:c r="U180" t="n">
        <x:f>IF(AND(MAX(O180,O179)&gt;0,O180&gt;O179+0.00000001),1,0)</x:f>
        <x:v>0</x:v>
      </x:c>
    </x:row>
    <x:row r="181">
      <x:c r="J181" t="n">
        <x:f>IF(AND(ISNUMBER('Results'!B7),ISNUMBER('Results'!C7),ISNUMBER('Results'!$B$8),ISNUMBER('Inputs'!$B$6),ISNUMBER('Inputs'!$B$7),ISNUMBER('Inputs'!$B$8),ISNUMBER('Inputs'!$B$9),ISNUMBER('Inputs'!$B$10),ISNUMBER('Inputs'!$B$21),ISNUMBER('Inputs'!$B$24),ISNUMBER('Inputs'!$B$28)),(('Results'!B7*(0.5*((((181-43)*MAX('Inputs'!$B$33,'Inputs'!$B$29+'Inputs'!$B$31+'Inputs'!$B$32,'Inputs'!$B$30+'Inputs'!$B$31+'Inputs'!$B$32)/1000+'Inputs'!$B$21)+'Inputs'!$B$7)/SQRT((((181-43)*MAX('Inputs'!$B$33,'Inputs'!$B$29+'Inputs'!$B$31+'Inputs'!$B$32,'Inputs'!$B$30+'Inputs'!$B$31+'Inputs'!$B$32)/1000+'Inputs'!$B$21)+'Inputs'!$B$7)^2+('Inputs'!$B$6/2)^2)-(((181-43)*MAX('Inputs'!$B$33,'Inputs'!$B$29+'Inputs'!$B$31+'Inputs'!$B$32,'Inputs'!$B$30+'Inputs'!$B$31+'Inputs'!$B$32)/1000+'Inputs'!$B$21))/SQRT((((181-43)*MAX('Inputs'!$B$33,'Inputs'!$B$29+'Inputs'!$B$31+'Inputs'!$B$32,'Inputs'!$B$30+'Inputs'!$B$31+'Inputs'!$B$32)/1000+'Inputs'!$B$21))^2+('Inputs'!$B$6/2)^2)))-'Results'!C7*(0.5*((((181-43)*MAX('Inputs'!$B$33,'Inputs'!$B$29+'Inputs'!$B$31+'Inputs'!$B$32,'Inputs'!$B$30+'Inputs'!$B$31+'Inputs'!$B$32)/1000+'Inputs'!$B$21+'Inputs'!$B$7+'Inputs'!$B$10)+'Inputs'!$B$9)/SQRT((((181-43)*MAX('Inputs'!$B$33,'Inputs'!$B$29+'Inputs'!$B$31+'Inputs'!$B$32,'Inputs'!$B$30+'Inputs'!$B$31+'Inputs'!$B$32)/1000+'Inputs'!$B$21+'Inputs'!$B$7+'Inputs'!$B$10)+'Inputs'!$B$9)^2+('Inputs'!$B$8/2)^2)-(((181-43)*MAX('Inputs'!$B$33,'Inputs'!$B$29+'Inputs'!$B$31+'Inputs'!$B$32,'Inputs'!$B$30+'Inputs'!$B$31+'Inputs'!$B$32)/1000+'Inputs'!$B$21+'Inputs'!$B$7+'Inputs'!$B$10))/SQRT((((181-43)*MAX('Inputs'!$B$33,'Inputs'!$B$29+'Inputs'!$B$31+'Inputs'!$B$32,'Inputs'!$B$30+'Inputs'!$B$31+'Inputs'!$B$32)/1000+'Inputs'!$B$21+'Inputs'!$B$7+'Inputs'!$B$10))^2+('Inputs'!$B$8/2)^2))))*'Results'!$B$8),"")</x:f>
        <x:v>188.36207499160767</x:v>
      </x:c>
      <x:c r="K181" t="n">
        <x:f>IF(AND(ISNUMBER('Results'!B7),ISNUMBER('Results'!C7),ISNUMBER('Results'!$B$8),ISNUMBER('Inputs'!$B$6),ISNUMBER('Inputs'!$B$7),ISNUMBER('Inputs'!$B$8),ISNUMBER('Inputs'!$B$9),ISNUMBER('Inputs'!$B$10),ISNUMBER('Inputs'!$B$21),ISNUMBER('Inputs'!$B$24),ISNUMBER('Inputs'!$B$28)),((('Results'!B7*(1-'Inputs'!$B$24)*(0.5*((((181-43)*MAX('Inputs'!$B$33,'Inputs'!$B$29+'Inputs'!$B$31+'Inputs'!$B$32,'Inputs'!$B$30+'Inputs'!$B$31+'Inputs'!$B$32)/1000+'Inputs'!$B$21)+'Inputs'!$B$7)/SQRT((((181-43)*MAX('Inputs'!$B$33,'Inputs'!$B$29+'Inputs'!$B$31+'Inputs'!$B$32,'Inputs'!$B$30+'Inputs'!$B$31+'Inputs'!$B$32)/1000+'Inputs'!$B$21)+'Inputs'!$B$7)^2+('Inputs'!$B$6/2)^2)-(((181-43)*MAX('Inputs'!$B$33,'Inputs'!$B$29+'Inputs'!$B$31+'Inputs'!$B$32,'Inputs'!$B$30+'Inputs'!$B$31+'Inputs'!$B$32)/1000+'Inputs'!$B$21))/SQRT((((181-43)*MAX('Inputs'!$B$33,'Inputs'!$B$29+'Inputs'!$B$31+'Inputs'!$B$32,'Inputs'!$B$30+'Inputs'!$B$31+'Inputs'!$B$32)/1000+'Inputs'!$B$21))^2+('Inputs'!$B$6/2)^2)))-'Results'!C7*(1+'Inputs'!$B$24)*(0.5*((((181-43)*MAX('Inputs'!$B$33,'Inputs'!$B$29+'Inputs'!$B$31+'Inputs'!$B$32,'Inputs'!$B$30+'Inputs'!$B$31+'Inputs'!$B$32)/1000+'Inputs'!$B$21+'Inputs'!$B$7+'Inputs'!$B$10)+'Inputs'!$B$9)/SQRT((((181-43)*MAX('Inputs'!$B$33,'Inputs'!$B$29+'Inputs'!$B$31+'Inputs'!$B$32,'Inputs'!$B$30+'Inputs'!$B$31+'Inputs'!$B$32)/1000+'Inputs'!$B$21+'Inputs'!$B$7+'Inputs'!$B$10)+'Inputs'!$B$9)^2+('Inputs'!$B$8/2)^2)-(((181-43)*MAX('Inputs'!$B$33,'Inputs'!$B$29+'Inputs'!$B$31+'Inputs'!$B$32,'Inputs'!$B$30+'Inputs'!$B$31+'Inputs'!$B$32)/1000+'Inputs'!$B$21+'Inputs'!$B$7+'Inputs'!$B$10))/SQRT((((181-43)*MAX('Inputs'!$B$33,'Inputs'!$B$29+'Inputs'!$B$31+'Inputs'!$B$32,'Inputs'!$B$30+'Inputs'!$B$31+'Inputs'!$B$32)/1000+'Inputs'!$B$21+'Inputs'!$B$7+'Inputs'!$B$10))^2+('Inputs'!$B$8/2)^2))))*'Results'!$B$8)-'Inputs'!$B$28*ABS((('Results'!B7*(1-'Inputs'!$B$24)*(0.5*((((181-43)*MAX('Inputs'!$B$33,'Inputs'!$B$29+'Inputs'!$B$31+'Inputs'!$B$32,'Inputs'!$B$30+'Inputs'!$B$31+'Inputs'!$B$32)/1000+'Inputs'!$B$21)+'Inputs'!$B$7)/SQRT((((181-43)*MAX('Inputs'!$B$33,'Inputs'!$B$29+'Inputs'!$B$31+'Inputs'!$B$32,'Inputs'!$B$30+'Inputs'!$B$31+'Inputs'!$B$32)/1000+'Inputs'!$B$21)+'Inputs'!$B$7)^2+('Inputs'!$B$6/2)^2)-(((181-43)*MAX('Inputs'!$B$33,'Inputs'!$B$29+'Inputs'!$B$31+'Inputs'!$B$32,'Inputs'!$B$30+'Inputs'!$B$31+'Inputs'!$B$32)/1000+'Inputs'!$B$21))/SQRT((((181-43)*MAX('Inputs'!$B$33,'Inputs'!$B$29+'Inputs'!$B$31+'Inputs'!$B$32,'Inputs'!$B$30+'Inputs'!$B$31+'Inputs'!$B$32)/1000+'Inputs'!$B$21))^2+('Inputs'!$B$6/2)^2)))-'Results'!C7*(1+'Inputs'!$B$24)*(0.5*((((181-43)*MAX('Inputs'!$B$33,'Inputs'!$B$29+'Inputs'!$B$31+'Inputs'!$B$32,'Inputs'!$B$30+'Inputs'!$B$31+'Inputs'!$B$32)/1000+'Inputs'!$B$21+'Inputs'!$B$7+'Inputs'!$B$10)+'Inputs'!$B$9)/SQRT((((181-43)*MAX('Inputs'!$B$33,'Inputs'!$B$29+'Inputs'!$B$31+'Inputs'!$B$32,'Inputs'!$B$30+'Inputs'!$B$31+'Inputs'!$B$32)/1000+'Inputs'!$B$21+'Inputs'!$B$7+'Inputs'!$B$10)+'Inputs'!$B$9)^2+('Inputs'!$B$8/2)^2)-(((181-43)*MAX('Inputs'!$B$33,'Inputs'!$B$29+'Inputs'!$B$31+'Inputs'!$B$32,'Inputs'!$B$30+'Inputs'!$B$31+'Inputs'!$B$32)/1000+'Inputs'!$B$21+'Inputs'!$B$7+'Inputs'!$B$10))/SQRT((((181-43)*MAX('Inputs'!$B$33,'Inputs'!$B$29+'Inputs'!$B$31+'Inputs'!$B$32,'Inputs'!$B$30+'Inputs'!$B$31+'Inputs'!$B$32)/1000+'Inputs'!$B$21+'Inputs'!$B$7+'Inputs'!$B$10))^2+('Inputs'!$B$8/2)^2))))*'Results'!$B$8))),"")</x:f>
        <x:v>173.17914631260905</x:v>
      </x:c>
      <x:c r="L181" t="n">
        <x:f>IF(AND(ISNUMBER('Results'!B7),ISNUMBER('Results'!C7),ISNUMBER('Results'!$B$8),ISNUMBER('Inputs'!$B$6),ISNUMBER('Inputs'!$B$7),ISNUMBER('Inputs'!$B$8),ISNUMBER('Inputs'!$B$9),ISNUMBER('Inputs'!$B$10),ISNUMBER('Inputs'!$B$21),ISNUMBER('Inputs'!$B$24),ISNUMBER('Inputs'!$B$28)),((('Results'!B7*(1+'Inputs'!$B$24)*(0.5*((((181-43)*MAX('Inputs'!$B$33,'Inputs'!$B$29+'Inputs'!$B$31+'Inputs'!$B$32,'Inputs'!$B$30+'Inputs'!$B$31+'Inputs'!$B$32)/1000+'Inputs'!$B$21)+'Inputs'!$B$7)/SQRT((((181-43)*MAX('Inputs'!$B$33,'Inputs'!$B$29+'Inputs'!$B$31+'Inputs'!$B$32,'Inputs'!$B$30+'Inputs'!$B$31+'Inputs'!$B$32)/1000+'Inputs'!$B$21)+'Inputs'!$B$7)^2+('Inputs'!$B$6/2)^2)-(((181-43)*MAX('Inputs'!$B$33,'Inputs'!$B$29+'Inputs'!$B$31+'Inputs'!$B$32,'Inputs'!$B$30+'Inputs'!$B$31+'Inputs'!$B$32)/1000+'Inputs'!$B$21))/SQRT((((181-43)*MAX('Inputs'!$B$33,'Inputs'!$B$29+'Inputs'!$B$31+'Inputs'!$B$32,'Inputs'!$B$30+'Inputs'!$B$31+'Inputs'!$B$32)/1000+'Inputs'!$B$21))^2+('Inputs'!$B$6/2)^2)))-'Results'!C7*(1-'Inputs'!$B$24)*(0.5*((((181-43)*MAX('Inputs'!$B$33,'Inputs'!$B$29+'Inputs'!$B$31+'Inputs'!$B$32,'Inputs'!$B$30+'Inputs'!$B$31+'Inputs'!$B$32)/1000+'Inputs'!$B$21+'Inputs'!$B$7+'Inputs'!$B$10)+'Inputs'!$B$9)/SQRT((((181-43)*MAX('Inputs'!$B$33,'Inputs'!$B$29+'Inputs'!$B$31+'Inputs'!$B$32,'Inputs'!$B$30+'Inputs'!$B$31+'Inputs'!$B$32)/1000+'Inputs'!$B$21+'Inputs'!$B$7+'Inputs'!$B$10)+'Inputs'!$B$9)^2+('Inputs'!$B$8/2)^2)-(((181-43)*MAX('Inputs'!$B$33,'Inputs'!$B$29+'Inputs'!$B$31+'Inputs'!$B$32,'Inputs'!$B$30+'Inputs'!$B$31+'Inputs'!$B$32)/1000+'Inputs'!$B$21+'Inputs'!$B$7+'Inputs'!$B$10))/SQRT((((181-43)*MAX('Inputs'!$B$33,'Inputs'!$B$29+'Inputs'!$B$31+'Inputs'!$B$32,'Inputs'!$B$30+'Inputs'!$B$31+'Inputs'!$B$32)/1000+'Inputs'!$B$21+'Inputs'!$B$7+'Inputs'!$B$10))^2+('Inputs'!$B$8/2)^2))))*'Results'!$B$8)+'Inputs'!$B$28*ABS((('Results'!B7*(1+'Inputs'!$B$24)*(0.5*((((181-43)*MAX('Inputs'!$B$33,'Inputs'!$B$29+'Inputs'!$B$31+'Inputs'!$B$32,'Inputs'!$B$30+'Inputs'!$B$31+'Inputs'!$B$32)/1000+'Inputs'!$B$21)+'Inputs'!$B$7)/SQRT((((181-43)*MAX('Inputs'!$B$33,'Inputs'!$B$29+'Inputs'!$B$31+'Inputs'!$B$32,'Inputs'!$B$30+'Inputs'!$B$31+'Inputs'!$B$32)/1000+'Inputs'!$B$21)+'Inputs'!$B$7)^2+('Inputs'!$B$6/2)^2)-(((181-43)*MAX('Inputs'!$B$33,'Inputs'!$B$29+'Inputs'!$B$31+'Inputs'!$B$32,'Inputs'!$B$30+'Inputs'!$B$31+'Inputs'!$B$32)/1000+'Inputs'!$B$21))/SQRT((((181-43)*MAX('Inputs'!$B$33,'Inputs'!$B$29+'Inputs'!$B$31+'Inputs'!$B$32,'Inputs'!$B$30+'Inputs'!$B$31+'Inputs'!$B$32)/1000+'Inputs'!$B$21))^2+('Inputs'!$B$6/2)^2)))-'Results'!C7*(1-'Inputs'!$B$24)*(0.5*((((181-43)*MAX('Inputs'!$B$33,'Inputs'!$B$29+'Inputs'!$B$31+'Inputs'!$B$32,'Inputs'!$B$30+'Inputs'!$B$31+'Inputs'!$B$32)/1000+'Inputs'!$B$21+'Inputs'!$B$7+'Inputs'!$B$10)+'Inputs'!$B$9)/SQRT((((181-43)*MAX('Inputs'!$B$33,'Inputs'!$B$29+'Inputs'!$B$31+'Inputs'!$B$32,'Inputs'!$B$30+'Inputs'!$B$31+'Inputs'!$B$32)/1000+'Inputs'!$B$21+'Inputs'!$B$7+'Inputs'!$B$10)+'Inputs'!$B$9)^2+('Inputs'!$B$8/2)^2)-(((181-43)*MAX('Inputs'!$B$33,'Inputs'!$B$29+'Inputs'!$B$31+'Inputs'!$B$32,'Inputs'!$B$30+'Inputs'!$B$31+'Inputs'!$B$32)/1000+'Inputs'!$B$21+'Inputs'!$B$7+'Inputs'!$B$10))/SQRT((((181-43)*MAX('Inputs'!$B$33,'Inputs'!$B$29+'Inputs'!$B$31+'Inputs'!$B$32,'Inputs'!$B$30+'Inputs'!$B$31+'Inputs'!$B$32)/1000+'Inputs'!$B$21+'Inputs'!$B$7+'Inputs'!$B$10))^2+('Inputs'!$B$8/2)^2))))*'Results'!$B$8))),"")</x:f>
        <x:v>204.15182734738715</x:v>
      </x:c>
      <x:c r="M181" t="n">
        <x:f>IF(AND(ISNUMBER('Results'!C7),ISNUMBER('Results'!B7),ISNUMBER('Results'!$B$8),ISNUMBER('Inputs'!$B$6),ISNUMBER('Inputs'!$B$7),ISNUMBER('Inputs'!$B$8),ISNUMBER('Inputs'!$B$9),ISNUMBER('Inputs'!$B$10),ISNUMBER('Inputs'!$B$21),ISNUMBER('Inputs'!$B$24),ISNUMBER('Inputs'!$B$28)),(('Results'!C7*(0.5*((((181-43)*MAX('Inputs'!$B$33,'Inputs'!$B$29+'Inputs'!$B$31+'Inputs'!$B$32,'Inputs'!$B$30+'Inputs'!$B$31+'Inputs'!$B$32)/1000+'Inputs'!$B$21)+'Inputs'!$B$9)/SQRT((((181-43)*MAX('Inputs'!$B$33,'Inputs'!$B$29+'Inputs'!$B$31+'Inputs'!$B$32,'Inputs'!$B$30+'Inputs'!$B$31+'Inputs'!$B$32)/1000+'Inputs'!$B$21)+'Inputs'!$B$9)^2+('Inputs'!$B$8/2)^2)-(((181-43)*MAX('Inputs'!$B$33,'Inputs'!$B$29+'Inputs'!$B$31+'Inputs'!$B$32,'Inputs'!$B$30+'Inputs'!$B$31+'Inputs'!$B$32)/1000+'Inputs'!$B$21))/SQRT((((181-43)*MAX('Inputs'!$B$33,'Inputs'!$B$29+'Inputs'!$B$31+'Inputs'!$B$32,'Inputs'!$B$30+'Inputs'!$B$31+'Inputs'!$B$32)/1000+'Inputs'!$B$21))^2+('Inputs'!$B$8/2)^2)))-'Results'!B7*(0.5*((((181-43)*MAX('Inputs'!$B$33,'Inputs'!$B$29+'Inputs'!$B$31+'Inputs'!$B$32,'Inputs'!$B$30+'Inputs'!$B$31+'Inputs'!$B$32)/1000+'Inputs'!$B$21+'Inputs'!$B$9+'Inputs'!$B$10)+'Inputs'!$B$7)/SQRT((((181-43)*MAX('Inputs'!$B$33,'Inputs'!$B$29+'Inputs'!$B$31+'Inputs'!$B$32,'Inputs'!$B$30+'Inputs'!$B$31+'Inputs'!$B$32)/1000+'Inputs'!$B$21+'Inputs'!$B$9+'Inputs'!$B$10)+'Inputs'!$B$7)^2+('Inputs'!$B$6/2)^2)-(((181-43)*MAX('Inputs'!$B$33,'Inputs'!$B$29+'Inputs'!$B$31+'Inputs'!$B$32,'Inputs'!$B$30+'Inputs'!$B$31+'Inputs'!$B$32)/1000+'Inputs'!$B$21+'Inputs'!$B$9+'Inputs'!$B$10))/SQRT((((181-43)*MAX('Inputs'!$B$33,'Inputs'!$B$29+'Inputs'!$B$31+'Inputs'!$B$32,'Inputs'!$B$30+'Inputs'!$B$31+'Inputs'!$B$32)/1000+'Inputs'!$B$21+'Inputs'!$B$9+'Inputs'!$B$10))^2+('Inputs'!$B$6/2)^2))))*'Results'!$B$8),"")</x:f>
        <x:v>182.2703586802482</x:v>
      </x:c>
      <x:c r="N181" t="n">
        <x:f>IF(AND(ISNUMBER('Results'!C7),ISNUMBER('Results'!B7),ISNUMBER('Results'!$B$8),ISNUMBER('Inputs'!$B$6),ISNUMBER('Inputs'!$B$7),ISNUMBER('Inputs'!$B$8),ISNUMBER('Inputs'!$B$9),ISNUMBER('Inputs'!$B$10),ISNUMBER('Inputs'!$B$21),ISNUMBER('Inputs'!$B$24),ISNUMBER('Inputs'!$B$28)),((('Results'!C7*(1-'Inputs'!$B$24)*(0.5*((((181-43)*MAX('Inputs'!$B$33,'Inputs'!$B$29+'Inputs'!$B$31+'Inputs'!$B$32,'Inputs'!$B$30+'Inputs'!$B$31+'Inputs'!$B$32)/1000+'Inputs'!$B$21)+'Inputs'!$B$9)/SQRT((((181-43)*MAX('Inputs'!$B$33,'Inputs'!$B$29+'Inputs'!$B$31+'Inputs'!$B$32,'Inputs'!$B$30+'Inputs'!$B$31+'Inputs'!$B$32)/1000+'Inputs'!$B$21)+'Inputs'!$B$9)^2+('Inputs'!$B$8/2)^2)-(((181-43)*MAX('Inputs'!$B$33,'Inputs'!$B$29+'Inputs'!$B$31+'Inputs'!$B$32,'Inputs'!$B$30+'Inputs'!$B$31+'Inputs'!$B$32)/1000+'Inputs'!$B$21))/SQRT((((181-43)*MAX('Inputs'!$B$33,'Inputs'!$B$29+'Inputs'!$B$31+'Inputs'!$B$32,'Inputs'!$B$30+'Inputs'!$B$31+'Inputs'!$B$32)/1000+'Inputs'!$B$21))^2+('Inputs'!$B$8/2)^2)))-'Results'!B7*(1+'Inputs'!$B$24)*(0.5*((((181-43)*MAX('Inputs'!$B$33,'Inputs'!$B$29+'Inputs'!$B$31+'Inputs'!$B$32,'Inputs'!$B$30+'Inputs'!$B$31+'Inputs'!$B$32)/1000+'Inputs'!$B$21+'Inputs'!$B$9+'Inputs'!$B$10)+'Inputs'!$B$7)/SQRT((((181-43)*MAX('Inputs'!$B$33,'Inputs'!$B$29+'Inputs'!$B$31+'Inputs'!$B$32,'Inputs'!$B$30+'Inputs'!$B$31+'Inputs'!$B$32)/1000+'Inputs'!$B$21+'Inputs'!$B$9+'Inputs'!$B$10)+'Inputs'!$B$7)^2+('Inputs'!$B$6/2)^2)-(((181-43)*MAX('Inputs'!$B$33,'Inputs'!$B$29+'Inputs'!$B$31+'Inputs'!$B$32,'Inputs'!$B$30+'Inputs'!$B$31+'Inputs'!$B$32)/1000+'Inputs'!$B$21+'Inputs'!$B$9+'Inputs'!$B$10))/SQRT((((181-43)*MAX('Inputs'!$B$33,'Inputs'!$B$29+'Inputs'!$B$31+'Inputs'!$B$32,'Inputs'!$B$30+'Inputs'!$B$31+'Inputs'!$B$32)/1000+'Inputs'!$B$21+'Inputs'!$B$9+'Inputs'!$B$10))^2+('Inputs'!$B$6/2)^2))))*'Results'!$B$8)-'Inputs'!$B$28*ABS((('Results'!C7*(1-'Inputs'!$B$24)*(0.5*((((181-43)*MAX('Inputs'!$B$33,'Inputs'!$B$29+'Inputs'!$B$31+'Inputs'!$B$32,'Inputs'!$B$30+'Inputs'!$B$31+'Inputs'!$B$32)/1000+'Inputs'!$B$21)+'Inputs'!$B$9)/SQRT((((181-43)*MAX('Inputs'!$B$33,'Inputs'!$B$29+'Inputs'!$B$31+'Inputs'!$B$32,'Inputs'!$B$30+'Inputs'!$B$31+'Inputs'!$B$32)/1000+'Inputs'!$B$21)+'Inputs'!$B$9)^2+('Inputs'!$B$8/2)^2)-(((181-43)*MAX('Inputs'!$B$33,'Inputs'!$B$29+'Inputs'!$B$31+'Inputs'!$B$32,'Inputs'!$B$30+'Inputs'!$B$31+'Inputs'!$B$32)/1000+'Inputs'!$B$21))/SQRT((((181-43)*MAX('Inputs'!$B$33,'Inputs'!$B$29+'Inputs'!$B$31+'Inputs'!$B$32,'Inputs'!$B$30+'Inputs'!$B$31+'Inputs'!$B$32)/1000+'Inputs'!$B$21))^2+('Inputs'!$B$8/2)^2)))-'Results'!B7*(1+'Inputs'!$B$24)*(0.5*((((181-43)*MAX('Inputs'!$B$33,'Inputs'!$B$29+'Inputs'!$B$31+'Inputs'!$B$32,'Inputs'!$B$30+'Inputs'!$B$31+'Inputs'!$B$32)/1000+'Inputs'!$B$21+'Inputs'!$B$9+'Inputs'!$B$10)+'Inputs'!$B$7)/SQRT((((181-43)*MAX('Inputs'!$B$33,'Inputs'!$B$29+'Inputs'!$B$31+'Inputs'!$B$32,'Inputs'!$B$30+'Inputs'!$B$31+'Inputs'!$B$32)/1000+'Inputs'!$B$21+'Inputs'!$B$9+'Inputs'!$B$10)+'Inputs'!$B$7)^2+('Inputs'!$B$6/2)^2)-(((181-43)*MAX('Inputs'!$B$33,'Inputs'!$B$29+'Inputs'!$B$31+'Inputs'!$B$32,'Inputs'!$B$30+'Inputs'!$B$31+'Inputs'!$B$32)/1000+'Inputs'!$B$21+'Inputs'!$B$9+'Inputs'!$B$10))/SQRT((((181-43)*MAX('Inputs'!$B$33,'Inputs'!$B$29+'Inputs'!$B$31+'Inputs'!$B$32,'Inputs'!$B$30+'Inputs'!$B$31+'Inputs'!$B$32)/1000+'Inputs'!$B$21+'Inputs'!$B$9+'Inputs'!$B$10))^2+('Inputs'!$B$6/2)^2))))*'Results'!$B$8))),"")</x:f>
        <x:v>167.46314729398688</x:v>
      </x:c>
      <x:c r="O181" t="n">
        <x:f>IF(AND(ISNUMBER('Results'!C7),ISNUMBER('Results'!B7),ISNUMBER('Results'!$B$8),ISNUMBER('Inputs'!$B$6),ISNUMBER('Inputs'!$B$7),ISNUMBER('Inputs'!$B$8),ISNUMBER('Inputs'!$B$9),ISNUMBER('Inputs'!$B$10),ISNUMBER('Inputs'!$B$21),ISNUMBER('Inputs'!$B$24),ISNUMBER('Inputs'!$B$28)),((('Results'!C7*(1+'Inputs'!$B$24)*(0.5*((((181-43)*MAX('Inputs'!$B$33,'Inputs'!$B$29+'Inputs'!$B$31+'Inputs'!$B$32,'Inputs'!$B$30+'Inputs'!$B$31+'Inputs'!$B$32)/1000+'Inputs'!$B$21)+'Inputs'!$B$9)/SQRT((((181-43)*MAX('Inputs'!$B$33,'Inputs'!$B$29+'Inputs'!$B$31+'Inputs'!$B$32,'Inputs'!$B$30+'Inputs'!$B$31+'Inputs'!$B$32)/1000+'Inputs'!$B$21)+'Inputs'!$B$9)^2+('Inputs'!$B$8/2)^2)-(((181-43)*MAX('Inputs'!$B$33,'Inputs'!$B$29+'Inputs'!$B$31+'Inputs'!$B$32,'Inputs'!$B$30+'Inputs'!$B$31+'Inputs'!$B$32)/1000+'Inputs'!$B$21))/SQRT((((181-43)*MAX('Inputs'!$B$33,'Inputs'!$B$29+'Inputs'!$B$31+'Inputs'!$B$32,'Inputs'!$B$30+'Inputs'!$B$31+'Inputs'!$B$32)/1000+'Inputs'!$B$21))^2+('Inputs'!$B$8/2)^2)))-'Results'!B7*(1-'Inputs'!$B$24)*(0.5*((((181-43)*MAX('Inputs'!$B$33,'Inputs'!$B$29+'Inputs'!$B$31+'Inputs'!$B$32,'Inputs'!$B$30+'Inputs'!$B$31+'Inputs'!$B$32)/1000+'Inputs'!$B$21+'Inputs'!$B$9+'Inputs'!$B$10)+'Inputs'!$B$7)/SQRT((((181-43)*MAX('Inputs'!$B$33,'Inputs'!$B$29+'Inputs'!$B$31+'Inputs'!$B$32,'Inputs'!$B$30+'Inputs'!$B$31+'Inputs'!$B$32)/1000+'Inputs'!$B$21+'Inputs'!$B$9+'Inputs'!$B$10)+'Inputs'!$B$7)^2+('Inputs'!$B$6/2)^2)-(((181-43)*MAX('Inputs'!$B$33,'Inputs'!$B$29+'Inputs'!$B$31+'Inputs'!$B$32,'Inputs'!$B$30+'Inputs'!$B$31+'Inputs'!$B$32)/1000+'Inputs'!$B$21+'Inputs'!$B$9+'Inputs'!$B$10))/SQRT((((181-43)*MAX('Inputs'!$B$33,'Inputs'!$B$29+'Inputs'!$B$31+'Inputs'!$B$32,'Inputs'!$B$30+'Inputs'!$B$31+'Inputs'!$B$32)/1000+'Inputs'!$B$21+'Inputs'!$B$9+'Inputs'!$B$10))^2+('Inputs'!$B$6/2)^2))))*'Results'!$B$8)+'Inputs'!$B$28*ABS((('Results'!C7*(1+'Inputs'!$B$24)*(0.5*((((181-43)*MAX('Inputs'!$B$33,'Inputs'!$B$29+'Inputs'!$B$31+'Inputs'!$B$32,'Inputs'!$B$30+'Inputs'!$B$31+'Inputs'!$B$32)/1000+'Inputs'!$B$21)+'Inputs'!$B$9)/SQRT((((181-43)*MAX('Inputs'!$B$33,'Inputs'!$B$29+'Inputs'!$B$31+'Inputs'!$B$32,'Inputs'!$B$30+'Inputs'!$B$31+'Inputs'!$B$32)/1000+'Inputs'!$B$21)+'Inputs'!$B$9)^2+('Inputs'!$B$8/2)^2)-(((181-43)*MAX('Inputs'!$B$33,'Inputs'!$B$29+'Inputs'!$B$31+'Inputs'!$B$32,'Inputs'!$B$30+'Inputs'!$B$31+'Inputs'!$B$32)/1000+'Inputs'!$B$21))/SQRT((((181-43)*MAX('Inputs'!$B$33,'Inputs'!$B$29+'Inputs'!$B$31+'Inputs'!$B$32,'Inputs'!$B$30+'Inputs'!$B$31+'Inputs'!$B$32)/1000+'Inputs'!$B$21))^2+('Inputs'!$B$8/2)^2)))-'Results'!B7*(1-'Inputs'!$B$24)*(0.5*((((181-43)*MAX('Inputs'!$B$33,'Inputs'!$B$29+'Inputs'!$B$31+'Inputs'!$B$32,'Inputs'!$B$30+'Inputs'!$B$31+'Inputs'!$B$32)/1000+'Inputs'!$B$21+'Inputs'!$B$9+'Inputs'!$B$10)+'Inputs'!$B$7)/SQRT((((181-43)*MAX('Inputs'!$B$33,'Inputs'!$B$29+'Inputs'!$B$31+'Inputs'!$B$32,'Inputs'!$B$30+'Inputs'!$B$31+'Inputs'!$B$32)/1000+'Inputs'!$B$21+'Inputs'!$B$9+'Inputs'!$B$10)+'Inputs'!$B$7)^2+('Inputs'!$B$6/2)^2)-(((181-43)*MAX('Inputs'!$B$33,'Inputs'!$B$29+'Inputs'!$B$31+'Inputs'!$B$32,'Inputs'!$B$30+'Inputs'!$B$31+'Inputs'!$B$32)/1000+'Inputs'!$B$21+'Inputs'!$B$9+'Inputs'!$B$10))/SQRT((((181-43)*MAX('Inputs'!$B$33,'Inputs'!$B$29+'Inputs'!$B$31+'Inputs'!$B$32,'Inputs'!$B$30+'Inputs'!$B$31+'Inputs'!$B$32)/1000+'Inputs'!$B$21+'Inputs'!$B$9+'Inputs'!$B$10))^2+('Inputs'!$B$6/2)^2))))*'Results'!$B$8))),"")</x:f>
        <x:v>197.67690621937783</x:v>
      </x:c>
      <x:c r="P181" t="n">
        <x:f>IF(AND(MAX(J181,J180)&gt;0,J181&gt;J180+0.00000001),1,0)</x:f>
        <x:v>0</x:v>
      </x:c>
      <x:c r="Q181" t="n">
        <x:f>IF(AND(MAX(K181,K180)&gt;0,K181&gt;K180+0.00000001),1,0)</x:f>
        <x:v>0</x:v>
      </x:c>
      <x:c r="R181" t="n">
        <x:f>IF(AND(MAX(L181,L180)&gt;0,L181&gt;L180+0.00000001),1,0)</x:f>
        <x:v>0</x:v>
      </x:c>
      <x:c r="S181" t="n">
        <x:f>IF(AND(MAX(M181,M180)&gt;0,M181&gt;M180+0.00000001),1,0)</x:f>
        <x:v>0</x:v>
      </x:c>
      <x:c r="T181" t="n">
        <x:f>IF(AND(MAX(N181,N180)&gt;0,N181&gt;N180+0.00000001),1,0)</x:f>
        <x:v>0</x:v>
      </x:c>
      <x:c r="U181" t="n">
        <x:f>IF(AND(MAX(O181,O180)&gt;0,O181&gt;O180+0.00000001),1,0)</x:f>
        <x:v>0</x:v>
      </x:c>
    </x:row>
    <x:row r="182">
      <x:c r="J182" t="n">
        <x:f>IF(AND(ISNUMBER('Results'!B7),ISNUMBER('Results'!C7),ISNUMBER('Results'!$B$8),ISNUMBER('Inputs'!$B$6),ISNUMBER('Inputs'!$B$7),ISNUMBER('Inputs'!$B$8),ISNUMBER('Inputs'!$B$9),ISNUMBER('Inputs'!$B$10),ISNUMBER('Inputs'!$B$21),ISNUMBER('Inputs'!$B$24),ISNUMBER('Inputs'!$B$28)),(('Results'!B7*(0.5*((((182-43)*MAX('Inputs'!$B$33,'Inputs'!$B$29+'Inputs'!$B$31+'Inputs'!$B$32,'Inputs'!$B$30+'Inputs'!$B$31+'Inputs'!$B$32)/1000+'Inputs'!$B$21)+'Inputs'!$B$7)/SQRT((((182-43)*MAX('Inputs'!$B$33,'Inputs'!$B$29+'Inputs'!$B$31+'Inputs'!$B$32,'Inputs'!$B$30+'Inputs'!$B$31+'Inputs'!$B$32)/1000+'Inputs'!$B$21)+'Inputs'!$B$7)^2+('Inputs'!$B$6/2)^2)-(((182-43)*MAX('Inputs'!$B$33,'Inputs'!$B$29+'Inputs'!$B$31+'Inputs'!$B$32,'Inputs'!$B$30+'Inputs'!$B$31+'Inputs'!$B$32)/1000+'Inputs'!$B$21))/SQRT((((182-43)*MAX('Inputs'!$B$33,'Inputs'!$B$29+'Inputs'!$B$31+'Inputs'!$B$32,'Inputs'!$B$30+'Inputs'!$B$31+'Inputs'!$B$32)/1000+'Inputs'!$B$21))^2+('Inputs'!$B$6/2)^2)))-'Results'!C7*(0.5*((((182-43)*MAX('Inputs'!$B$33,'Inputs'!$B$29+'Inputs'!$B$31+'Inputs'!$B$32,'Inputs'!$B$30+'Inputs'!$B$31+'Inputs'!$B$32)/1000+'Inputs'!$B$21+'Inputs'!$B$7+'Inputs'!$B$10)+'Inputs'!$B$9)/SQRT((((182-43)*MAX('Inputs'!$B$33,'Inputs'!$B$29+'Inputs'!$B$31+'Inputs'!$B$32,'Inputs'!$B$30+'Inputs'!$B$31+'Inputs'!$B$32)/1000+'Inputs'!$B$21+'Inputs'!$B$7+'Inputs'!$B$10)+'Inputs'!$B$9)^2+('Inputs'!$B$8/2)^2)-(((182-43)*MAX('Inputs'!$B$33,'Inputs'!$B$29+'Inputs'!$B$31+'Inputs'!$B$32,'Inputs'!$B$30+'Inputs'!$B$31+'Inputs'!$B$32)/1000+'Inputs'!$B$21+'Inputs'!$B$7+'Inputs'!$B$10))/SQRT((((182-43)*MAX('Inputs'!$B$33,'Inputs'!$B$29+'Inputs'!$B$31+'Inputs'!$B$32,'Inputs'!$B$30+'Inputs'!$B$31+'Inputs'!$B$32)/1000+'Inputs'!$B$21+'Inputs'!$B$7+'Inputs'!$B$10))^2+('Inputs'!$B$8/2)^2))))*'Results'!$B$8),"")</x:f>
        <x:v>185.2196147773361</x:v>
      </x:c>
      <x:c r="K182" t="n">
        <x:f>IF(AND(ISNUMBER('Results'!B7),ISNUMBER('Results'!C7),ISNUMBER('Results'!$B$8),ISNUMBER('Inputs'!$B$6),ISNUMBER('Inputs'!$B$7),ISNUMBER('Inputs'!$B$8),ISNUMBER('Inputs'!$B$9),ISNUMBER('Inputs'!$B$10),ISNUMBER('Inputs'!$B$21),ISNUMBER('Inputs'!$B$24),ISNUMBER('Inputs'!$B$28)),((('Results'!B7*(1-'Inputs'!$B$24)*(0.5*((((182-43)*MAX('Inputs'!$B$33,'Inputs'!$B$29+'Inputs'!$B$31+'Inputs'!$B$32,'Inputs'!$B$30+'Inputs'!$B$31+'Inputs'!$B$32)/1000+'Inputs'!$B$21)+'Inputs'!$B$7)/SQRT((((182-43)*MAX('Inputs'!$B$33,'Inputs'!$B$29+'Inputs'!$B$31+'Inputs'!$B$32,'Inputs'!$B$30+'Inputs'!$B$31+'Inputs'!$B$32)/1000+'Inputs'!$B$21)+'Inputs'!$B$7)^2+('Inputs'!$B$6/2)^2)-(((182-43)*MAX('Inputs'!$B$33,'Inputs'!$B$29+'Inputs'!$B$31+'Inputs'!$B$32,'Inputs'!$B$30+'Inputs'!$B$31+'Inputs'!$B$32)/1000+'Inputs'!$B$21))/SQRT((((182-43)*MAX('Inputs'!$B$33,'Inputs'!$B$29+'Inputs'!$B$31+'Inputs'!$B$32,'Inputs'!$B$30+'Inputs'!$B$31+'Inputs'!$B$32)/1000+'Inputs'!$B$21))^2+('Inputs'!$B$6/2)^2)))-'Results'!C7*(1+'Inputs'!$B$24)*(0.5*((((182-43)*MAX('Inputs'!$B$33,'Inputs'!$B$29+'Inputs'!$B$31+'Inputs'!$B$32,'Inputs'!$B$30+'Inputs'!$B$31+'Inputs'!$B$32)/1000+'Inputs'!$B$21+'Inputs'!$B$7+'Inputs'!$B$10)+'Inputs'!$B$9)/SQRT((((182-43)*MAX('Inputs'!$B$33,'Inputs'!$B$29+'Inputs'!$B$31+'Inputs'!$B$32,'Inputs'!$B$30+'Inputs'!$B$31+'Inputs'!$B$32)/1000+'Inputs'!$B$21+'Inputs'!$B$7+'Inputs'!$B$10)+'Inputs'!$B$9)^2+('Inputs'!$B$8/2)^2)-(((182-43)*MAX('Inputs'!$B$33,'Inputs'!$B$29+'Inputs'!$B$31+'Inputs'!$B$32,'Inputs'!$B$30+'Inputs'!$B$31+'Inputs'!$B$32)/1000+'Inputs'!$B$21+'Inputs'!$B$7+'Inputs'!$B$10))/SQRT((((182-43)*MAX('Inputs'!$B$33,'Inputs'!$B$29+'Inputs'!$B$31+'Inputs'!$B$32,'Inputs'!$B$30+'Inputs'!$B$31+'Inputs'!$B$32)/1000+'Inputs'!$B$21+'Inputs'!$B$7+'Inputs'!$B$10))^2+('Inputs'!$B$8/2)^2))))*'Results'!$B$8)-'Inputs'!$B$28*ABS((('Results'!B7*(1-'Inputs'!$B$24)*(0.5*((((182-43)*MAX('Inputs'!$B$33,'Inputs'!$B$29+'Inputs'!$B$31+'Inputs'!$B$32,'Inputs'!$B$30+'Inputs'!$B$31+'Inputs'!$B$32)/1000+'Inputs'!$B$21)+'Inputs'!$B$7)/SQRT((((182-43)*MAX('Inputs'!$B$33,'Inputs'!$B$29+'Inputs'!$B$31+'Inputs'!$B$32,'Inputs'!$B$30+'Inputs'!$B$31+'Inputs'!$B$32)/1000+'Inputs'!$B$21)+'Inputs'!$B$7)^2+('Inputs'!$B$6/2)^2)-(((182-43)*MAX('Inputs'!$B$33,'Inputs'!$B$29+'Inputs'!$B$31+'Inputs'!$B$32,'Inputs'!$B$30+'Inputs'!$B$31+'Inputs'!$B$32)/1000+'Inputs'!$B$21))/SQRT((((182-43)*MAX('Inputs'!$B$33,'Inputs'!$B$29+'Inputs'!$B$31+'Inputs'!$B$32,'Inputs'!$B$30+'Inputs'!$B$31+'Inputs'!$B$32)/1000+'Inputs'!$B$21))^2+('Inputs'!$B$6/2)^2)))-'Results'!C7*(1+'Inputs'!$B$24)*(0.5*((((182-43)*MAX('Inputs'!$B$33,'Inputs'!$B$29+'Inputs'!$B$31+'Inputs'!$B$32,'Inputs'!$B$30+'Inputs'!$B$31+'Inputs'!$B$32)/1000+'Inputs'!$B$21+'Inputs'!$B$7+'Inputs'!$B$10)+'Inputs'!$B$9)/SQRT((((182-43)*MAX('Inputs'!$B$33,'Inputs'!$B$29+'Inputs'!$B$31+'Inputs'!$B$32,'Inputs'!$B$30+'Inputs'!$B$31+'Inputs'!$B$32)/1000+'Inputs'!$B$21+'Inputs'!$B$7+'Inputs'!$B$10)+'Inputs'!$B$9)^2+('Inputs'!$B$8/2)^2)-(((182-43)*MAX('Inputs'!$B$33,'Inputs'!$B$29+'Inputs'!$B$31+'Inputs'!$B$32,'Inputs'!$B$30+'Inputs'!$B$31+'Inputs'!$B$32)/1000+'Inputs'!$B$21+'Inputs'!$B$7+'Inputs'!$B$10))/SQRT((((182-43)*MAX('Inputs'!$B$33,'Inputs'!$B$29+'Inputs'!$B$31+'Inputs'!$B$32,'Inputs'!$B$30+'Inputs'!$B$31+'Inputs'!$B$32)/1000+'Inputs'!$B$21+'Inputs'!$B$7+'Inputs'!$B$10))^2+('Inputs'!$B$8/2)^2))))*'Results'!$B$8))),"")</x:f>
        <x:v>170.27566582897714</x:v>
      </x:c>
      <x:c r="L182" t="n">
        <x:f>IF(AND(ISNUMBER('Results'!B7),ISNUMBER('Results'!C7),ISNUMBER('Results'!$B$8),ISNUMBER('Inputs'!$B$6),ISNUMBER('Inputs'!$B$7),ISNUMBER('Inputs'!$B$8),ISNUMBER('Inputs'!$B$9),ISNUMBER('Inputs'!$B$10),ISNUMBER('Inputs'!$B$21),ISNUMBER('Inputs'!$B$24),ISNUMBER('Inputs'!$B$28)),((('Results'!B7*(1+'Inputs'!$B$24)*(0.5*((((182-43)*MAX('Inputs'!$B$33,'Inputs'!$B$29+'Inputs'!$B$31+'Inputs'!$B$32,'Inputs'!$B$30+'Inputs'!$B$31+'Inputs'!$B$32)/1000+'Inputs'!$B$21)+'Inputs'!$B$7)/SQRT((((182-43)*MAX('Inputs'!$B$33,'Inputs'!$B$29+'Inputs'!$B$31+'Inputs'!$B$32,'Inputs'!$B$30+'Inputs'!$B$31+'Inputs'!$B$32)/1000+'Inputs'!$B$21)+'Inputs'!$B$7)^2+('Inputs'!$B$6/2)^2)-(((182-43)*MAX('Inputs'!$B$33,'Inputs'!$B$29+'Inputs'!$B$31+'Inputs'!$B$32,'Inputs'!$B$30+'Inputs'!$B$31+'Inputs'!$B$32)/1000+'Inputs'!$B$21))/SQRT((((182-43)*MAX('Inputs'!$B$33,'Inputs'!$B$29+'Inputs'!$B$31+'Inputs'!$B$32,'Inputs'!$B$30+'Inputs'!$B$31+'Inputs'!$B$32)/1000+'Inputs'!$B$21))^2+('Inputs'!$B$6/2)^2)))-'Results'!C7*(1-'Inputs'!$B$24)*(0.5*((((182-43)*MAX('Inputs'!$B$33,'Inputs'!$B$29+'Inputs'!$B$31+'Inputs'!$B$32,'Inputs'!$B$30+'Inputs'!$B$31+'Inputs'!$B$32)/1000+'Inputs'!$B$21+'Inputs'!$B$7+'Inputs'!$B$10)+'Inputs'!$B$9)/SQRT((((182-43)*MAX('Inputs'!$B$33,'Inputs'!$B$29+'Inputs'!$B$31+'Inputs'!$B$32,'Inputs'!$B$30+'Inputs'!$B$31+'Inputs'!$B$32)/1000+'Inputs'!$B$21+'Inputs'!$B$7+'Inputs'!$B$10)+'Inputs'!$B$9)^2+('Inputs'!$B$8/2)^2)-(((182-43)*MAX('Inputs'!$B$33,'Inputs'!$B$29+'Inputs'!$B$31+'Inputs'!$B$32,'Inputs'!$B$30+'Inputs'!$B$31+'Inputs'!$B$32)/1000+'Inputs'!$B$21+'Inputs'!$B$7+'Inputs'!$B$10))/SQRT((((182-43)*MAX('Inputs'!$B$33,'Inputs'!$B$29+'Inputs'!$B$31+'Inputs'!$B$32,'Inputs'!$B$30+'Inputs'!$B$31+'Inputs'!$B$32)/1000+'Inputs'!$B$21+'Inputs'!$B$7+'Inputs'!$B$10))^2+('Inputs'!$B$8/2)^2))))*'Results'!$B$8)+'Inputs'!$B$28*ABS((('Results'!B7*(1+'Inputs'!$B$24)*(0.5*((((182-43)*MAX('Inputs'!$B$33,'Inputs'!$B$29+'Inputs'!$B$31+'Inputs'!$B$32,'Inputs'!$B$30+'Inputs'!$B$31+'Inputs'!$B$32)/1000+'Inputs'!$B$21)+'Inputs'!$B$7)/SQRT((((182-43)*MAX('Inputs'!$B$33,'Inputs'!$B$29+'Inputs'!$B$31+'Inputs'!$B$32,'Inputs'!$B$30+'Inputs'!$B$31+'Inputs'!$B$32)/1000+'Inputs'!$B$21)+'Inputs'!$B$7)^2+('Inputs'!$B$6/2)^2)-(((182-43)*MAX('Inputs'!$B$33,'Inputs'!$B$29+'Inputs'!$B$31+'Inputs'!$B$32,'Inputs'!$B$30+'Inputs'!$B$31+'Inputs'!$B$32)/1000+'Inputs'!$B$21))/SQRT((((182-43)*MAX('Inputs'!$B$33,'Inputs'!$B$29+'Inputs'!$B$31+'Inputs'!$B$32,'Inputs'!$B$30+'Inputs'!$B$31+'Inputs'!$B$32)/1000+'Inputs'!$B$21))^2+('Inputs'!$B$6/2)^2)))-'Results'!C7*(1-'Inputs'!$B$24)*(0.5*((((182-43)*MAX('Inputs'!$B$33,'Inputs'!$B$29+'Inputs'!$B$31+'Inputs'!$B$32,'Inputs'!$B$30+'Inputs'!$B$31+'Inputs'!$B$32)/1000+'Inputs'!$B$21+'Inputs'!$B$7+'Inputs'!$B$10)+'Inputs'!$B$9)/SQRT((((182-43)*MAX('Inputs'!$B$33,'Inputs'!$B$29+'Inputs'!$B$31+'Inputs'!$B$32,'Inputs'!$B$30+'Inputs'!$B$31+'Inputs'!$B$32)/1000+'Inputs'!$B$21+'Inputs'!$B$7+'Inputs'!$B$10)+'Inputs'!$B$9)^2+('Inputs'!$B$8/2)^2)-(((182-43)*MAX('Inputs'!$B$33,'Inputs'!$B$29+'Inputs'!$B$31+'Inputs'!$B$32,'Inputs'!$B$30+'Inputs'!$B$31+'Inputs'!$B$32)/1000+'Inputs'!$B$21+'Inputs'!$B$7+'Inputs'!$B$10))/SQRT((((182-43)*MAX('Inputs'!$B$33,'Inputs'!$B$29+'Inputs'!$B$31+'Inputs'!$B$32,'Inputs'!$B$30+'Inputs'!$B$31+'Inputs'!$B$32)/1000+'Inputs'!$B$21+'Inputs'!$B$7+'Inputs'!$B$10))^2+('Inputs'!$B$8/2)^2))))*'Results'!$B$8))),"")</x:f>
        <x:v>200.7617709056416</x:v>
      </x:c>
      <x:c r="M182" t="n">
        <x:f>IF(AND(ISNUMBER('Results'!C7),ISNUMBER('Results'!B7),ISNUMBER('Results'!$B$8),ISNUMBER('Inputs'!$B$6),ISNUMBER('Inputs'!$B$7),ISNUMBER('Inputs'!$B$8),ISNUMBER('Inputs'!$B$9),ISNUMBER('Inputs'!$B$10),ISNUMBER('Inputs'!$B$21),ISNUMBER('Inputs'!$B$24),ISNUMBER('Inputs'!$B$28)),(('Results'!C7*(0.5*((((182-43)*MAX('Inputs'!$B$33,'Inputs'!$B$29+'Inputs'!$B$31+'Inputs'!$B$32,'Inputs'!$B$30+'Inputs'!$B$31+'Inputs'!$B$32)/1000+'Inputs'!$B$21)+'Inputs'!$B$9)/SQRT((((182-43)*MAX('Inputs'!$B$33,'Inputs'!$B$29+'Inputs'!$B$31+'Inputs'!$B$32,'Inputs'!$B$30+'Inputs'!$B$31+'Inputs'!$B$32)/1000+'Inputs'!$B$21)+'Inputs'!$B$9)^2+('Inputs'!$B$8/2)^2)-(((182-43)*MAX('Inputs'!$B$33,'Inputs'!$B$29+'Inputs'!$B$31+'Inputs'!$B$32,'Inputs'!$B$30+'Inputs'!$B$31+'Inputs'!$B$32)/1000+'Inputs'!$B$21))/SQRT((((182-43)*MAX('Inputs'!$B$33,'Inputs'!$B$29+'Inputs'!$B$31+'Inputs'!$B$32,'Inputs'!$B$30+'Inputs'!$B$31+'Inputs'!$B$32)/1000+'Inputs'!$B$21))^2+('Inputs'!$B$8/2)^2)))-'Results'!B7*(0.5*((((182-43)*MAX('Inputs'!$B$33,'Inputs'!$B$29+'Inputs'!$B$31+'Inputs'!$B$32,'Inputs'!$B$30+'Inputs'!$B$31+'Inputs'!$B$32)/1000+'Inputs'!$B$21+'Inputs'!$B$9+'Inputs'!$B$10)+'Inputs'!$B$7)/SQRT((((182-43)*MAX('Inputs'!$B$33,'Inputs'!$B$29+'Inputs'!$B$31+'Inputs'!$B$32,'Inputs'!$B$30+'Inputs'!$B$31+'Inputs'!$B$32)/1000+'Inputs'!$B$21+'Inputs'!$B$9+'Inputs'!$B$10)+'Inputs'!$B$7)^2+('Inputs'!$B$6/2)^2)-(((182-43)*MAX('Inputs'!$B$33,'Inputs'!$B$29+'Inputs'!$B$31+'Inputs'!$B$32,'Inputs'!$B$30+'Inputs'!$B$31+'Inputs'!$B$32)/1000+'Inputs'!$B$21+'Inputs'!$B$9+'Inputs'!$B$10))/SQRT((((182-43)*MAX('Inputs'!$B$33,'Inputs'!$B$29+'Inputs'!$B$31+'Inputs'!$B$32,'Inputs'!$B$30+'Inputs'!$B$31+'Inputs'!$B$32)/1000+'Inputs'!$B$21+'Inputs'!$B$9+'Inputs'!$B$10))^2+('Inputs'!$B$6/2)^2))))*'Results'!$B$8),"")</x:f>
        <x:v>179.21430135027967</x:v>
      </x:c>
      <x:c r="N182" t="n">
        <x:f>IF(AND(ISNUMBER('Results'!C7),ISNUMBER('Results'!B7),ISNUMBER('Results'!$B$8),ISNUMBER('Inputs'!$B$6),ISNUMBER('Inputs'!$B$7),ISNUMBER('Inputs'!$B$8),ISNUMBER('Inputs'!$B$9),ISNUMBER('Inputs'!$B$10),ISNUMBER('Inputs'!$B$21),ISNUMBER('Inputs'!$B$24),ISNUMBER('Inputs'!$B$28)),((('Results'!C7*(1-'Inputs'!$B$24)*(0.5*((((182-43)*MAX('Inputs'!$B$33,'Inputs'!$B$29+'Inputs'!$B$31+'Inputs'!$B$32,'Inputs'!$B$30+'Inputs'!$B$31+'Inputs'!$B$32)/1000+'Inputs'!$B$21)+'Inputs'!$B$9)/SQRT((((182-43)*MAX('Inputs'!$B$33,'Inputs'!$B$29+'Inputs'!$B$31+'Inputs'!$B$32,'Inputs'!$B$30+'Inputs'!$B$31+'Inputs'!$B$32)/1000+'Inputs'!$B$21)+'Inputs'!$B$9)^2+('Inputs'!$B$8/2)^2)-(((182-43)*MAX('Inputs'!$B$33,'Inputs'!$B$29+'Inputs'!$B$31+'Inputs'!$B$32,'Inputs'!$B$30+'Inputs'!$B$31+'Inputs'!$B$32)/1000+'Inputs'!$B$21))/SQRT((((182-43)*MAX('Inputs'!$B$33,'Inputs'!$B$29+'Inputs'!$B$31+'Inputs'!$B$32,'Inputs'!$B$30+'Inputs'!$B$31+'Inputs'!$B$32)/1000+'Inputs'!$B$21))^2+('Inputs'!$B$8/2)^2)))-'Results'!B7*(1+'Inputs'!$B$24)*(0.5*((((182-43)*MAX('Inputs'!$B$33,'Inputs'!$B$29+'Inputs'!$B$31+'Inputs'!$B$32,'Inputs'!$B$30+'Inputs'!$B$31+'Inputs'!$B$32)/1000+'Inputs'!$B$21+'Inputs'!$B$9+'Inputs'!$B$10)+'Inputs'!$B$7)/SQRT((((182-43)*MAX('Inputs'!$B$33,'Inputs'!$B$29+'Inputs'!$B$31+'Inputs'!$B$32,'Inputs'!$B$30+'Inputs'!$B$31+'Inputs'!$B$32)/1000+'Inputs'!$B$21+'Inputs'!$B$9+'Inputs'!$B$10)+'Inputs'!$B$7)^2+('Inputs'!$B$6/2)^2)-(((182-43)*MAX('Inputs'!$B$33,'Inputs'!$B$29+'Inputs'!$B$31+'Inputs'!$B$32,'Inputs'!$B$30+'Inputs'!$B$31+'Inputs'!$B$32)/1000+'Inputs'!$B$21+'Inputs'!$B$9+'Inputs'!$B$10))/SQRT((((182-43)*MAX('Inputs'!$B$33,'Inputs'!$B$29+'Inputs'!$B$31+'Inputs'!$B$32,'Inputs'!$B$30+'Inputs'!$B$31+'Inputs'!$B$32)/1000+'Inputs'!$B$21+'Inputs'!$B$9+'Inputs'!$B$10))^2+('Inputs'!$B$6/2)^2))))*'Results'!$B$8)-'Inputs'!$B$28*ABS((('Results'!C7*(1-'Inputs'!$B$24)*(0.5*((((182-43)*MAX('Inputs'!$B$33,'Inputs'!$B$29+'Inputs'!$B$31+'Inputs'!$B$32,'Inputs'!$B$30+'Inputs'!$B$31+'Inputs'!$B$32)/1000+'Inputs'!$B$21)+'Inputs'!$B$9)/SQRT((((182-43)*MAX('Inputs'!$B$33,'Inputs'!$B$29+'Inputs'!$B$31+'Inputs'!$B$32,'Inputs'!$B$30+'Inputs'!$B$31+'Inputs'!$B$32)/1000+'Inputs'!$B$21)+'Inputs'!$B$9)^2+('Inputs'!$B$8/2)^2)-(((182-43)*MAX('Inputs'!$B$33,'Inputs'!$B$29+'Inputs'!$B$31+'Inputs'!$B$32,'Inputs'!$B$30+'Inputs'!$B$31+'Inputs'!$B$32)/1000+'Inputs'!$B$21))/SQRT((((182-43)*MAX('Inputs'!$B$33,'Inputs'!$B$29+'Inputs'!$B$31+'Inputs'!$B$32,'Inputs'!$B$30+'Inputs'!$B$31+'Inputs'!$B$32)/1000+'Inputs'!$B$21))^2+('Inputs'!$B$8/2)^2)))-'Results'!B7*(1+'Inputs'!$B$24)*(0.5*((((182-43)*MAX('Inputs'!$B$33,'Inputs'!$B$29+'Inputs'!$B$31+'Inputs'!$B$32,'Inputs'!$B$30+'Inputs'!$B$31+'Inputs'!$B$32)/1000+'Inputs'!$B$21+'Inputs'!$B$9+'Inputs'!$B$10)+'Inputs'!$B$7)/SQRT((((182-43)*MAX('Inputs'!$B$33,'Inputs'!$B$29+'Inputs'!$B$31+'Inputs'!$B$32,'Inputs'!$B$30+'Inputs'!$B$31+'Inputs'!$B$32)/1000+'Inputs'!$B$21+'Inputs'!$B$9+'Inputs'!$B$10)+'Inputs'!$B$7)^2+('Inputs'!$B$6/2)^2)-(((182-43)*MAX('Inputs'!$B$33,'Inputs'!$B$29+'Inputs'!$B$31+'Inputs'!$B$32,'Inputs'!$B$30+'Inputs'!$B$31+'Inputs'!$B$32)/1000+'Inputs'!$B$21+'Inputs'!$B$9+'Inputs'!$B$10))/SQRT((((182-43)*MAX('Inputs'!$B$33,'Inputs'!$B$29+'Inputs'!$B$31+'Inputs'!$B$32,'Inputs'!$B$30+'Inputs'!$B$31+'Inputs'!$B$32)/1000+'Inputs'!$B$21+'Inputs'!$B$9+'Inputs'!$B$10))^2+('Inputs'!$B$6/2)^2))))*'Results'!$B$8))),"")</x:f>
        <x:v>164.64055993596466</x:v>
      </x:c>
      <x:c r="O182" t="n">
        <x:f>IF(AND(ISNUMBER('Results'!C7),ISNUMBER('Results'!B7),ISNUMBER('Results'!$B$8),ISNUMBER('Inputs'!$B$6),ISNUMBER('Inputs'!$B$7),ISNUMBER('Inputs'!$B$8),ISNUMBER('Inputs'!$B$9),ISNUMBER('Inputs'!$B$10),ISNUMBER('Inputs'!$B$21),ISNUMBER('Inputs'!$B$24),ISNUMBER('Inputs'!$B$28)),((('Results'!C7*(1+'Inputs'!$B$24)*(0.5*((((182-43)*MAX('Inputs'!$B$33,'Inputs'!$B$29+'Inputs'!$B$31+'Inputs'!$B$32,'Inputs'!$B$30+'Inputs'!$B$31+'Inputs'!$B$32)/1000+'Inputs'!$B$21)+'Inputs'!$B$9)/SQRT((((182-43)*MAX('Inputs'!$B$33,'Inputs'!$B$29+'Inputs'!$B$31+'Inputs'!$B$32,'Inputs'!$B$30+'Inputs'!$B$31+'Inputs'!$B$32)/1000+'Inputs'!$B$21)+'Inputs'!$B$9)^2+('Inputs'!$B$8/2)^2)-(((182-43)*MAX('Inputs'!$B$33,'Inputs'!$B$29+'Inputs'!$B$31+'Inputs'!$B$32,'Inputs'!$B$30+'Inputs'!$B$31+'Inputs'!$B$32)/1000+'Inputs'!$B$21))/SQRT((((182-43)*MAX('Inputs'!$B$33,'Inputs'!$B$29+'Inputs'!$B$31+'Inputs'!$B$32,'Inputs'!$B$30+'Inputs'!$B$31+'Inputs'!$B$32)/1000+'Inputs'!$B$21))^2+('Inputs'!$B$8/2)^2)))-'Results'!B7*(1-'Inputs'!$B$24)*(0.5*((((182-43)*MAX('Inputs'!$B$33,'Inputs'!$B$29+'Inputs'!$B$31+'Inputs'!$B$32,'Inputs'!$B$30+'Inputs'!$B$31+'Inputs'!$B$32)/1000+'Inputs'!$B$21+'Inputs'!$B$9+'Inputs'!$B$10)+'Inputs'!$B$7)/SQRT((((182-43)*MAX('Inputs'!$B$33,'Inputs'!$B$29+'Inputs'!$B$31+'Inputs'!$B$32,'Inputs'!$B$30+'Inputs'!$B$31+'Inputs'!$B$32)/1000+'Inputs'!$B$21+'Inputs'!$B$9+'Inputs'!$B$10)+'Inputs'!$B$7)^2+('Inputs'!$B$6/2)^2)-(((182-43)*MAX('Inputs'!$B$33,'Inputs'!$B$29+'Inputs'!$B$31+'Inputs'!$B$32,'Inputs'!$B$30+'Inputs'!$B$31+'Inputs'!$B$32)/1000+'Inputs'!$B$21+'Inputs'!$B$9+'Inputs'!$B$10))/SQRT((((182-43)*MAX('Inputs'!$B$33,'Inputs'!$B$29+'Inputs'!$B$31+'Inputs'!$B$32,'Inputs'!$B$30+'Inputs'!$B$31+'Inputs'!$B$32)/1000+'Inputs'!$B$21+'Inputs'!$B$9+'Inputs'!$B$10))^2+('Inputs'!$B$6/2)^2))))*'Results'!$B$8)+'Inputs'!$B$28*ABS((('Results'!C7*(1+'Inputs'!$B$24)*(0.5*((((182-43)*MAX('Inputs'!$B$33,'Inputs'!$B$29+'Inputs'!$B$31+'Inputs'!$B$32,'Inputs'!$B$30+'Inputs'!$B$31+'Inputs'!$B$32)/1000+'Inputs'!$B$21)+'Inputs'!$B$9)/SQRT((((182-43)*MAX('Inputs'!$B$33,'Inputs'!$B$29+'Inputs'!$B$31+'Inputs'!$B$32,'Inputs'!$B$30+'Inputs'!$B$31+'Inputs'!$B$32)/1000+'Inputs'!$B$21)+'Inputs'!$B$9)^2+('Inputs'!$B$8/2)^2)-(((182-43)*MAX('Inputs'!$B$33,'Inputs'!$B$29+'Inputs'!$B$31+'Inputs'!$B$32,'Inputs'!$B$30+'Inputs'!$B$31+'Inputs'!$B$32)/1000+'Inputs'!$B$21))/SQRT((((182-43)*MAX('Inputs'!$B$33,'Inputs'!$B$29+'Inputs'!$B$31+'Inputs'!$B$32,'Inputs'!$B$30+'Inputs'!$B$31+'Inputs'!$B$32)/1000+'Inputs'!$B$21))^2+('Inputs'!$B$8/2)^2)))-'Results'!B7*(1-'Inputs'!$B$24)*(0.5*((((182-43)*MAX('Inputs'!$B$33,'Inputs'!$B$29+'Inputs'!$B$31+'Inputs'!$B$32,'Inputs'!$B$30+'Inputs'!$B$31+'Inputs'!$B$32)/1000+'Inputs'!$B$21+'Inputs'!$B$9+'Inputs'!$B$10)+'Inputs'!$B$7)/SQRT((((182-43)*MAX('Inputs'!$B$33,'Inputs'!$B$29+'Inputs'!$B$31+'Inputs'!$B$32,'Inputs'!$B$30+'Inputs'!$B$31+'Inputs'!$B$32)/1000+'Inputs'!$B$21+'Inputs'!$B$9+'Inputs'!$B$10)+'Inputs'!$B$7)^2+('Inputs'!$B$6/2)^2)-(((182-43)*MAX('Inputs'!$B$33,'Inputs'!$B$29+'Inputs'!$B$31+'Inputs'!$B$32,'Inputs'!$B$30+'Inputs'!$B$31+'Inputs'!$B$32)/1000+'Inputs'!$B$21+'Inputs'!$B$9+'Inputs'!$B$10))/SQRT((((182-43)*MAX('Inputs'!$B$33,'Inputs'!$B$29+'Inputs'!$B$31+'Inputs'!$B$32,'Inputs'!$B$30+'Inputs'!$B$31+'Inputs'!$B$32)/1000+'Inputs'!$B$21+'Inputs'!$B$9+'Inputs'!$B$10))^2+('Inputs'!$B$6/2)^2))))*'Results'!$B$8))),"")</x:f>
        <x:v>194.3788876432053</x:v>
      </x:c>
      <x:c r="P182" t="n">
        <x:f>IF(AND(MAX(J182,J181)&gt;0,J182&gt;J181+0.00000001),1,0)</x:f>
        <x:v>0</x:v>
      </x:c>
      <x:c r="Q182" t="n">
        <x:f>IF(AND(MAX(K182,K181)&gt;0,K182&gt;K181+0.00000001),1,0)</x:f>
        <x:v>0</x:v>
      </x:c>
      <x:c r="R182" t="n">
        <x:f>IF(AND(MAX(L182,L181)&gt;0,L182&gt;L181+0.00000001),1,0)</x:f>
        <x:v>0</x:v>
      </x:c>
      <x:c r="S182" t="n">
        <x:f>IF(AND(MAX(M182,M181)&gt;0,M182&gt;M181+0.00000001),1,0)</x:f>
        <x:v>0</x:v>
      </x:c>
      <x:c r="T182" t="n">
        <x:f>IF(AND(MAX(N182,N181)&gt;0,N182&gt;N181+0.00000001),1,0)</x:f>
        <x:v>0</x:v>
      </x:c>
      <x:c r="U182" t="n">
        <x:f>IF(AND(MAX(O182,O181)&gt;0,O182&gt;O181+0.00000001),1,0)</x:f>
        <x:v>0</x:v>
      </x:c>
    </x:row>
    <x:row r="183">
      <x:c r="J183" t="n">
        <x:f>IF(AND(ISNUMBER('Results'!B7),ISNUMBER('Results'!C7),ISNUMBER('Results'!$B$8),ISNUMBER('Inputs'!$B$6),ISNUMBER('Inputs'!$B$7),ISNUMBER('Inputs'!$B$8),ISNUMBER('Inputs'!$B$9),ISNUMBER('Inputs'!$B$10),ISNUMBER('Inputs'!$B$21),ISNUMBER('Inputs'!$B$24),ISNUMBER('Inputs'!$B$28)),(('Results'!B7*(0.5*((((183-43)*MAX('Inputs'!$B$33,'Inputs'!$B$29+'Inputs'!$B$31+'Inputs'!$B$32,'Inputs'!$B$30+'Inputs'!$B$31+'Inputs'!$B$32)/1000+'Inputs'!$B$21)+'Inputs'!$B$7)/SQRT((((183-43)*MAX('Inputs'!$B$33,'Inputs'!$B$29+'Inputs'!$B$31+'Inputs'!$B$32,'Inputs'!$B$30+'Inputs'!$B$31+'Inputs'!$B$32)/1000+'Inputs'!$B$21)+'Inputs'!$B$7)^2+('Inputs'!$B$6/2)^2)-(((183-43)*MAX('Inputs'!$B$33,'Inputs'!$B$29+'Inputs'!$B$31+'Inputs'!$B$32,'Inputs'!$B$30+'Inputs'!$B$31+'Inputs'!$B$32)/1000+'Inputs'!$B$21))/SQRT((((183-43)*MAX('Inputs'!$B$33,'Inputs'!$B$29+'Inputs'!$B$31+'Inputs'!$B$32,'Inputs'!$B$30+'Inputs'!$B$31+'Inputs'!$B$32)/1000+'Inputs'!$B$21))^2+('Inputs'!$B$6/2)^2)))-'Results'!C7*(0.5*((((183-43)*MAX('Inputs'!$B$33,'Inputs'!$B$29+'Inputs'!$B$31+'Inputs'!$B$32,'Inputs'!$B$30+'Inputs'!$B$31+'Inputs'!$B$32)/1000+'Inputs'!$B$21+'Inputs'!$B$7+'Inputs'!$B$10)+'Inputs'!$B$9)/SQRT((((183-43)*MAX('Inputs'!$B$33,'Inputs'!$B$29+'Inputs'!$B$31+'Inputs'!$B$32,'Inputs'!$B$30+'Inputs'!$B$31+'Inputs'!$B$32)/1000+'Inputs'!$B$21+'Inputs'!$B$7+'Inputs'!$B$10)+'Inputs'!$B$9)^2+('Inputs'!$B$8/2)^2)-(((183-43)*MAX('Inputs'!$B$33,'Inputs'!$B$29+'Inputs'!$B$31+'Inputs'!$B$32,'Inputs'!$B$30+'Inputs'!$B$31+'Inputs'!$B$32)/1000+'Inputs'!$B$21+'Inputs'!$B$7+'Inputs'!$B$10))/SQRT((((183-43)*MAX('Inputs'!$B$33,'Inputs'!$B$29+'Inputs'!$B$31+'Inputs'!$B$32,'Inputs'!$B$30+'Inputs'!$B$31+'Inputs'!$B$32)/1000+'Inputs'!$B$21+'Inputs'!$B$7+'Inputs'!$B$10))^2+('Inputs'!$B$8/2)^2))))*'Results'!$B$8),"")</x:f>
        <x:v>182.13963016376763</x:v>
      </x:c>
      <x:c r="K183" t="n">
        <x:f>IF(AND(ISNUMBER('Results'!B7),ISNUMBER('Results'!C7),ISNUMBER('Results'!$B$8),ISNUMBER('Inputs'!$B$6),ISNUMBER('Inputs'!$B$7),ISNUMBER('Inputs'!$B$8),ISNUMBER('Inputs'!$B$9),ISNUMBER('Inputs'!$B$10),ISNUMBER('Inputs'!$B$21),ISNUMBER('Inputs'!$B$24),ISNUMBER('Inputs'!$B$28)),((('Results'!B7*(1-'Inputs'!$B$24)*(0.5*((((183-43)*MAX('Inputs'!$B$33,'Inputs'!$B$29+'Inputs'!$B$31+'Inputs'!$B$32,'Inputs'!$B$30+'Inputs'!$B$31+'Inputs'!$B$32)/1000+'Inputs'!$B$21)+'Inputs'!$B$7)/SQRT((((183-43)*MAX('Inputs'!$B$33,'Inputs'!$B$29+'Inputs'!$B$31+'Inputs'!$B$32,'Inputs'!$B$30+'Inputs'!$B$31+'Inputs'!$B$32)/1000+'Inputs'!$B$21)+'Inputs'!$B$7)^2+('Inputs'!$B$6/2)^2)-(((183-43)*MAX('Inputs'!$B$33,'Inputs'!$B$29+'Inputs'!$B$31+'Inputs'!$B$32,'Inputs'!$B$30+'Inputs'!$B$31+'Inputs'!$B$32)/1000+'Inputs'!$B$21))/SQRT((((183-43)*MAX('Inputs'!$B$33,'Inputs'!$B$29+'Inputs'!$B$31+'Inputs'!$B$32,'Inputs'!$B$30+'Inputs'!$B$31+'Inputs'!$B$32)/1000+'Inputs'!$B$21))^2+('Inputs'!$B$6/2)^2)))-'Results'!C7*(1+'Inputs'!$B$24)*(0.5*((((183-43)*MAX('Inputs'!$B$33,'Inputs'!$B$29+'Inputs'!$B$31+'Inputs'!$B$32,'Inputs'!$B$30+'Inputs'!$B$31+'Inputs'!$B$32)/1000+'Inputs'!$B$21+'Inputs'!$B$7+'Inputs'!$B$10)+'Inputs'!$B$9)/SQRT((((183-43)*MAX('Inputs'!$B$33,'Inputs'!$B$29+'Inputs'!$B$31+'Inputs'!$B$32,'Inputs'!$B$30+'Inputs'!$B$31+'Inputs'!$B$32)/1000+'Inputs'!$B$21+'Inputs'!$B$7+'Inputs'!$B$10)+'Inputs'!$B$9)^2+('Inputs'!$B$8/2)^2)-(((183-43)*MAX('Inputs'!$B$33,'Inputs'!$B$29+'Inputs'!$B$31+'Inputs'!$B$32,'Inputs'!$B$30+'Inputs'!$B$31+'Inputs'!$B$32)/1000+'Inputs'!$B$21+'Inputs'!$B$7+'Inputs'!$B$10))/SQRT((((183-43)*MAX('Inputs'!$B$33,'Inputs'!$B$29+'Inputs'!$B$31+'Inputs'!$B$32,'Inputs'!$B$30+'Inputs'!$B$31+'Inputs'!$B$32)/1000+'Inputs'!$B$21+'Inputs'!$B$7+'Inputs'!$B$10))^2+('Inputs'!$B$8/2)^2))))*'Results'!$B$8)-'Inputs'!$B$28*ABS((('Results'!B7*(1-'Inputs'!$B$24)*(0.5*((((183-43)*MAX('Inputs'!$B$33,'Inputs'!$B$29+'Inputs'!$B$31+'Inputs'!$B$32,'Inputs'!$B$30+'Inputs'!$B$31+'Inputs'!$B$32)/1000+'Inputs'!$B$21)+'Inputs'!$B$7)/SQRT((((183-43)*MAX('Inputs'!$B$33,'Inputs'!$B$29+'Inputs'!$B$31+'Inputs'!$B$32,'Inputs'!$B$30+'Inputs'!$B$31+'Inputs'!$B$32)/1000+'Inputs'!$B$21)+'Inputs'!$B$7)^2+('Inputs'!$B$6/2)^2)-(((183-43)*MAX('Inputs'!$B$33,'Inputs'!$B$29+'Inputs'!$B$31+'Inputs'!$B$32,'Inputs'!$B$30+'Inputs'!$B$31+'Inputs'!$B$32)/1000+'Inputs'!$B$21))/SQRT((((183-43)*MAX('Inputs'!$B$33,'Inputs'!$B$29+'Inputs'!$B$31+'Inputs'!$B$32,'Inputs'!$B$30+'Inputs'!$B$31+'Inputs'!$B$32)/1000+'Inputs'!$B$21))^2+('Inputs'!$B$6/2)^2)))-'Results'!C7*(1+'Inputs'!$B$24)*(0.5*((((183-43)*MAX('Inputs'!$B$33,'Inputs'!$B$29+'Inputs'!$B$31+'Inputs'!$B$32,'Inputs'!$B$30+'Inputs'!$B$31+'Inputs'!$B$32)/1000+'Inputs'!$B$21+'Inputs'!$B$7+'Inputs'!$B$10)+'Inputs'!$B$9)/SQRT((((183-43)*MAX('Inputs'!$B$33,'Inputs'!$B$29+'Inputs'!$B$31+'Inputs'!$B$32,'Inputs'!$B$30+'Inputs'!$B$31+'Inputs'!$B$32)/1000+'Inputs'!$B$21+'Inputs'!$B$7+'Inputs'!$B$10)+'Inputs'!$B$9)^2+('Inputs'!$B$8/2)^2)-(((183-43)*MAX('Inputs'!$B$33,'Inputs'!$B$29+'Inputs'!$B$31+'Inputs'!$B$32,'Inputs'!$B$30+'Inputs'!$B$31+'Inputs'!$B$32)/1000+'Inputs'!$B$21+'Inputs'!$B$7+'Inputs'!$B$10))/SQRT((((183-43)*MAX('Inputs'!$B$33,'Inputs'!$B$29+'Inputs'!$B$31+'Inputs'!$B$32,'Inputs'!$B$30+'Inputs'!$B$31+'Inputs'!$B$32)/1000+'Inputs'!$B$21+'Inputs'!$B$7+'Inputs'!$B$10))^2+('Inputs'!$B$8/2)^2))))*'Results'!$B$8))),"")</x:f>
        <x:v>167.43005784797188</x:v>
      </x:c>
      <x:c r="L183" t="n">
        <x:f>IF(AND(ISNUMBER('Results'!B7),ISNUMBER('Results'!C7),ISNUMBER('Results'!$B$8),ISNUMBER('Inputs'!$B$6),ISNUMBER('Inputs'!$B$7),ISNUMBER('Inputs'!$B$8),ISNUMBER('Inputs'!$B$9),ISNUMBER('Inputs'!$B$10),ISNUMBER('Inputs'!$B$21),ISNUMBER('Inputs'!$B$24),ISNUMBER('Inputs'!$B$28)),((('Results'!B7*(1+'Inputs'!$B$24)*(0.5*((((183-43)*MAX('Inputs'!$B$33,'Inputs'!$B$29+'Inputs'!$B$31+'Inputs'!$B$32,'Inputs'!$B$30+'Inputs'!$B$31+'Inputs'!$B$32)/1000+'Inputs'!$B$21)+'Inputs'!$B$7)/SQRT((((183-43)*MAX('Inputs'!$B$33,'Inputs'!$B$29+'Inputs'!$B$31+'Inputs'!$B$32,'Inputs'!$B$30+'Inputs'!$B$31+'Inputs'!$B$32)/1000+'Inputs'!$B$21)+'Inputs'!$B$7)^2+('Inputs'!$B$6/2)^2)-(((183-43)*MAX('Inputs'!$B$33,'Inputs'!$B$29+'Inputs'!$B$31+'Inputs'!$B$32,'Inputs'!$B$30+'Inputs'!$B$31+'Inputs'!$B$32)/1000+'Inputs'!$B$21))/SQRT((((183-43)*MAX('Inputs'!$B$33,'Inputs'!$B$29+'Inputs'!$B$31+'Inputs'!$B$32,'Inputs'!$B$30+'Inputs'!$B$31+'Inputs'!$B$32)/1000+'Inputs'!$B$21))^2+('Inputs'!$B$6/2)^2)))-'Results'!C7*(1-'Inputs'!$B$24)*(0.5*((((183-43)*MAX('Inputs'!$B$33,'Inputs'!$B$29+'Inputs'!$B$31+'Inputs'!$B$32,'Inputs'!$B$30+'Inputs'!$B$31+'Inputs'!$B$32)/1000+'Inputs'!$B$21+'Inputs'!$B$7+'Inputs'!$B$10)+'Inputs'!$B$9)/SQRT((((183-43)*MAX('Inputs'!$B$33,'Inputs'!$B$29+'Inputs'!$B$31+'Inputs'!$B$32,'Inputs'!$B$30+'Inputs'!$B$31+'Inputs'!$B$32)/1000+'Inputs'!$B$21+'Inputs'!$B$7+'Inputs'!$B$10)+'Inputs'!$B$9)^2+('Inputs'!$B$8/2)^2)-(((183-43)*MAX('Inputs'!$B$33,'Inputs'!$B$29+'Inputs'!$B$31+'Inputs'!$B$32,'Inputs'!$B$30+'Inputs'!$B$31+'Inputs'!$B$32)/1000+'Inputs'!$B$21+'Inputs'!$B$7+'Inputs'!$B$10))/SQRT((((183-43)*MAX('Inputs'!$B$33,'Inputs'!$B$29+'Inputs'!$B$31+'Inputs'!$B$32,'Inputs'!$B$30+'Inputs'!$B$31+'Inputs'!$B$32)/1000+'Inputs'!$B$21+'Inputs'!$B$7+'Inputs'!$B$10))^2+('Inputs'!$B$8/2)^2))))*'Results'!$B$8)+'Inputs'!$B$28*ABS((('Results'!B7*(1+'Inputs'!$B$24)*(0.5*((((183-43)*MAX('Inputs'!$B$33,'Inputs'!$B$29+'Inputs'!$B$31+'Inputs'!$B$32,'Inputs'!$B$30+'Inputs'!$B$31+'Inputs'!$B$32)/1000+'Inputs'!$B$21)+'Inputs'!$B$7)/SQRT((((183-43)*MAX('Inputs'!$B$33,'Inputs'!$B$29+'Inputs'!$B$31+'Inputs'!$B$32,'Inputs'!$B$30+'Inputs'!$B$31+'Inputs'!$B$32)/1000+'Inputs'!$B$21)+'Inputs'!$B$7)^2+('Inputs'!$B$6/2)^2)-(((183-43)*MAX('Inputs'!$B$33,'Inputs'!$B$29+'Inputs'!$B$31+'Inputs'!$B$32,'Inputs'!$B$30+'Inputs'!$B$31+'Inputs'!$B$32)/1000+'Inputs'!$B$21))/SQRT((((183-43)*MAX('Inputs'!$B$33,'Inputs'!$B$29+'Inputs'!$B$31+'Inputs'!$B$32,'Inputs'!$B$30+'Inputs'!$B$31+'Inputs'!$B$32)/1000+'Inputs'!$B$21))^2+('Inputs'!$B$6/2)^2)))-'Results'!C7*(1-'Inputs'!$B$24)*(0.5*((((183-43)*MAX('Inputs'!$B$33,'Inputs'!$B$29+'Inputs'!$B$31+'Inputs'!$B$32,'Inputs'!$B$30+'Inputs'!$B$31+'Inputs'!$B$32)/1000+'Inputs'!$B$21+'Inputs'!$B$7+'Inputs'!$B$10)+'Inputs'!$B$9)/SQRT((((183-43)*MAX('Inputs'!$B$33,'Inputs'!$B$29+'Inputs'!$B$31+'Inputs'!$B$32,'Inputs'!$B$30+'Inputs'!$B$31+'Inputs'!$B$32)/1000+'Inputs'!$B$21+'Inputs'!$B$7+'Inputs'!$B$10)+'Inputs'!$B$9)^2+('Inputs'!$B$8/2)^2)-(((183-43)*MAX('Inputs'!$B$33,'Inputs'!$B$29+'Inputs'!$B$31+'Inputs'!$B$32,'Inputs'!$B$30+'Inputs'!$B$31+'Inputs'!$B$32)/1000+'Inputs'!$B$21+'Inputs'!$B$7+'Inputs'!$B$10))/SQRT((((183-43)*MAX('Inputs'!$B$33,'Inputs'!$B$29+'Inputs'!$B$31+'Inputs'!$B$32,'Inputs'!$B$30+'Inputs'!$B$31+'Inputs'!$B$32)/1000+'Inputs'!$B$21+'Inputs'!$B$7+'Inputs'!$B$10))^2+('Inputs'!$B$8/2)^2))))*'Results'!$B$8))),"")</x:f>
        <x:v>197.43894888036417</x:v>
      </x:c>
      <x:c r="M183" t="n">
        <x:f>IF(AND(ISNUMBER('Results'!C7),ISNUMBER('Results'!B7),ISNUMBER('Results'!$B$8),ISNUMBER('Inputs'!$B$6),ISNUMBER('Inputs'!$B$7),ISNUMBER('Inputs'!$B$8),ISNUMBER('Inputs'!$B$9),ISNUMBER('Inputs'!$B$10),ISNUMBER('Inputs'!$B$21),ISNUMBER('Inputs'!$B$24),ISNUMBER('Inputs'!$B$28)),(('Results'!C7*(0.5*((((183-43)*MAX('Inputs'!$B$33,'Inputs'!$B$29+'Inputs'!$B$31+'Inputs'!$B$32,'Inputs'!$B$30+'Inputs'!$B$31+'Inputs'!$B$32)/1000+'Inputs'!$B$21)+'Inputs'!$B$9)/SQRT((((183-43)*MAX('Inputs'!$B$33,'Inputs'!$B$29+'Inputs'!$B$31+'Inputs'!$B$32,'Inputs'!$B$30+'Inputs'!$B$31+'Inputs'!$B$32)/1000+'Inputs'!$B$21)+'Inputs'!$B$9)^2+('Inputs'!$B$8/2)^2)-(((183-43)*MAX('Inputs'!$B$33,'Inputs'!$B$29+'Inputs'!$B$31+'Inputs'!$B$32,'Inputs'!$B$30+'Inputs'!$B$31+'Inputs'!$B$32)/1000+'Inputs'!$B$21))/SQRT((((183-43)*MAX('Inputs'!$B$33,'Inputs'!$B$29+'Inputs'!$B$31+'Inputs'!$B$32,'Inputs'!$B$30+'Inputs'!$B$31+'Inputs'!$B$32)/1000+'Inputs'!$B$21))^2+('Inputs'!$B$8/2)^2)))-'Results'!B7*(0.5*((((183-43)*MAX('Inputs'!$B$33,'Inputs'!$B$29+'Inputs'!$B$31+'Inputs'!$B$32,'Inputs'!$B$30+'Inputs'!$B$31+'Inputs'!$B$32)/1000+'Inputs'!$B$21+'Inputs'!$B$9+'Inputs'!$B$10)+'Inputs'!$B$7)/SQRT((((183-43)*MAX('Inputs'!$B$33,'Inputs'!$B$29+'Inputs'!$B$31+'Inputs'!$B$32,'Inputs'!$B$30+'Inputs'!$B$31+'Inputs'!$B$32)/1000+'Inputs'!$B$21+'Inputs'!$B$9+'Inputs'!$B$10)+'Inputs'!$B$7)^2+('Inputs'!$B$6/2)^2)-(((183-43)*MAX('Inputs'!$B$33,'Inputs'!$B$29+'Inputs'!$B$31+'Inputs'!$B$32,'Inputs'!$B$30+'Inputs'!$B$31+'Inputs'!$B$32)/1000+'Inputs'!$B$21+'Inputs'!$B$9+'Inputs'!$B$10))/SQRT((((183-43)*MAX('Inputs'!$B$33,'Inputs'!$B$29+'Inputs'!$B$31+'Inputs'!$B$32,'Inputs'!$B$30+'Inputs'!$B$31+'Inputs'!$B$32)/1000+'Inputs'!$B$21+'Inputs'!$B$9+'Inputs'!$B$10))^2+('Inputs'!$B$6/2)^2))))*'Results'!$B$8),"")</x:f>
        <x:v>176.21915930469115</x:v>
      </x:c>
      <x:c r="N183" t="n">
        <x:f>IF(AND(ISNUMBER('Results'!C7),ISNUMBER('Results'!B7),ISNUMBER('Results'!$B$8),ISNUMBER('Inputs'!$B$6),ISNUMBER('Inputs'!$B$7),ISNUMBER('Inputs'!$B$8),ISNUMBER('Inputs'!$B$9),ISNUMBER('Inputs'!$B$10),ISNUMBER('Inputs'!$B$21),ISNUMBER('Inputs'!$B$24),ISNUMBER('Inputs'!$B$28)),((('Results'!C7*(1-'Inputs'!$B$24)*(0.5*((((183-43)*MAX('Inputs'!$B$33,'Inputs'!$B$29+'Inputs'!$B$31+'Inputs'!$B$32,'Inputs'!$B$30+'Inputs'!$B$31+'Inputs'!$B$32)/1000+'Inputs'!$B$21)+'Inputs'!$B$9)/SQRT((((183-43)*MAX('Inputs'!$B$33,'Inputs'!$B$29+'Inputs'!$B$31+'Inputs'!$B$32,'Inputs'!$B$30+'Inputs'!$B$31+'Inputs'!$B$32)/1000+'Inputs'!$B$21)+'Inputs'!$B$9)^2+('Inputs'!$B$8/2)^2)-(((183-43)*MAX('Inputs'!$B$33,'Inputs'!$B$29+'Inputs'!$B$31+'Inputs'!$B$32,'Inputs'!$B$30+'Inputs'!$B$31+'Inputs'!$B$32)/1000+'Inputs'!$B$21))/SQRT((((183-43)*MAX('Inputs'!$B$33,'Inputs'!$B$29+'Inputs'!$B$31+'Inputs'!$B$32,'Inputs'!$B$30+'Inputs'!$B$31+'Inputs'!$B$32)/1000+'Inputs'!$B$21))^2+('Inputs'!$B$8/2)^2)))-'Results'!B7*(1+'Inputs'!$B$24)*(0.5*((((183-43)*MAX('Inputs'!$B$33,'Inputs'!$B$29+'Inputs'!$B$31+'Inputs'!$B$32,'Inputs'!$B$30+'Inputs'!$B$31+'Inputs'!$B$32)/1000+'Inputs'!$B$21+'Inputs'!$B$9+'Inputs'!$B$10)+'Inputs'!$B$7)/SQRT((((183-43)*MAX('Inputs'!$B$33,'Inputs'!$B$29+'Inputs'!$B$31+'Inputs'!$B$32,'Inputs'!$B$30+'Inputs'!$B$31+'Inputs'!$B$32)/1000+'Inputs'!$B$21+'Inputs'!$B$9+'Inputs'!$B$10)+'Inputs'!$B$7)^2+('Inputs'!$B$6/2)^2)-(((183-43)*MAX('Inputs'!$B$33,'Inputs'!$B$29+'Inputs'!$B$31+'Inputs'!$B$32,'Inputs'!$B$30+'Inputs'!$B$31+'Inputs'!$B$32)/1000+'Inputs'!$B$21+'Inputs'!$B$9+'Inputs'!$B$10))/SQRT((((183-43)*MAX('Inputs'!$B$33,'Inputs'!$B$29+'Inputs'!$B$31+'Inputs'!$B$32,'Inputs'!$B$30+'Inputs'!$B$31+'Inputs'!$B$32)/1000+'Inputs'!$B$21+'Inputs'!$B$9+'Inputs'!$B$10))^2+('Inputs'!$B$6/2)^2))))*'Results'!$B$8)-'Inputs'!$B$28*ABS((('Results'!C7*(1-'Inputs'!$B$24)*(0.5*((((183-43)*MAX('Inputs'!$B$33,'Inputs'!$B$29+'Inputs'!$B$31+'Inputs'!$B$32,'Inputs'!$B$30+'Inputs'!$B$31+'Inputs'!$B$32)/1000+'Inputs'!$B$21)+'Inputs'!$B$9)/SQRT((((183-43)*MAX('Inputs'!$B$33,'Inputs'!$B$29+'Inputs'!$B$31+'Inputs'!$B$32,'Inputs'!$B$30+'Inputs'!$B$31+'Inputs'!$B$32)/1000+'Inputs'!$B$21)+'Inputs'!$B$9)^2+('Inputs'!$B$8/2)^2)-(((183-43)*MAX('Inputs'!$B$33,'Inputs'!$B$29+'Inputs'!$B$31+'Inputs'!$B$32,'Inputs'!$B$30+'Inputs'!$B$31+'Inputs'!$B$32)/1000+'Inputs'!$B$21))/SQRT((((183-43)*MAX('Inputs'!$B$33,'Inputs'!$B$29+'Inputs'!$B$31+'Inputs'!$B$32,'Inputs'!$B$30+'Inputs'!$B$31+'Inputs'!$B$32)/1000+'Inputs'!$B$21))^2+('Inputs'!$B$8/2)^2)))-'Results'!B7*(1+'Inputs'!$B$24)*(0.5*((((183-43)*MAX('Inputs'!$B$33,'Inputs'!$B$29+'Inputs'!$B$31+'Inputs'!$B$32,'Inputs'!$B$30+'Inputs'!$B$31+'Inputs'!$B$32)/1000+'Inputs'!$B$21+'Inputs'!$B$9+'Inputs'!$B$10)+'Inputs'!$B$7)/SQRT((((183-43)*MAX('Inputs'!$B$33,'Inputs'!$B$29+'Inputs'!$B$31+'Inputs'!$B$32,'Inputs'!$B$30+'Inputs'!$B$31+'Inputs'!$B$32)/1000+'Inputs'!$B$21+'Inputs'!$B$9+'Inputs'!$B$10)+'Inputs'!$B$7)^2+('Inputs'!$B$6/2)^2)-(((183-43)*MAX('Inputs'!$B$33,'Inputs'!$B$29+'Inputs'!$B$31+'Inputs'!$B$32,'Inputs'!$B$30+'Inputs'!$B$31+'Inputs'!$B$32)/1000+'Inputs'!$B$21+'Inputs'!$B$9+'Inputs'!$B$10))/SQRT((((183-43)*MAX('Inputs'!$B$33,'Inputs'!$B$29+'Inputs'!$B$31+'Inputs'!$B$32,'Inputs'!$B$30+'Inputs'!$B$31+'Inputs'!$B$32)/1000+'Inputs'!$B$21+'Inputs'!$B$9+'Inputs'!$B$10))^2+('Inputs'!$B$6/2)^2))))*'Results'!$B$8))),"")</x:f>
        <x:v>161.8743864611411</x:v>
      </x:c>
      <x:c r="O183" t="n">
        <x:f>IF(AND(ISNUMBER('Results'!C7),ISNUMBER('Results'!B7),ISNUMBER('Results'!$B$8),ISNUMBER('Inputs'!$B$6),ISNUMBER('Inputs'!$B$7),ISNUMBER('Inputs'!$B$8),ISNUMBER('Inputs'!$B$9),ISNUMBER('Inputs'!$B$10),ISNUMBER('Inputs'!$B$21),ISNUMBER('Inputs'!$B$24),ISNUMBER('Inputs'!$B$28)),((('Results'!C7*(1+'Inputs'!$B$24)*(0.5*((((183-43)*MAX('Inputs'!$B$33,'Inputs'!$B$29+'Inputs'!$B$31+'Inputs'!$B$32,'Inputs'!$B$30+'Inputs'!$B$31+'Inputs'!$B$32)/1000+'Inputs'!$B$21)+'Inputs'!$B$9)/SQRT((((183-43)*MAX('Inputs'!$B$33,'Inputs'!$B$29+'Inputs'!$B$31+'Inputs'!$B$32,'Inputs'!$B$30+'Inputs'!$B$31+'Inputs'!$B$32)/1000+'Inputs'!$B$21)+'Inputs'!$B$9)^2+('Inputs'!$B$8/2)^2)-(((183-43)*MAX('Inputs'!$B$33,'Inputs'!$B$29+'Inputs'!$B$31+'Inputs'!$B$32,'Inputs'!$B$30+'Inputs'!$B$31+'Inputs'!$B$32)/1000+'Inputs'!$B$21))/SQRT((((183-43)*MAX('Inputs'!$B$33,'Inputs'!$B$29+'Inputs'!$B$31+'Inputs'!$B$32,'Inputs'!$B$30+'Inputs'!$B$31+'Inputs'!$B$32)/1000+'Inputs'!$B$21))^2+('Inputs'!$B$8/2)^2)))-'Results'!B7*(1-'Inputs'!$B$24)*(0.5*((((183-43)*MAX('Inputs'!$B$33,'Inputs'!$B$29+'Inputs'!$B$31+'Inputs'!$B$32,'Inputs'!$B$30+'Inputs'!$B$31+'Inputs'!$B$32)/1000+'Inputs'!$B$21+'Inputs'!$B$9+'Inputs'!$B$10)+'Inputs'!$B$7)/SQRT((((183-43)*MAX('Inputs'!$B$33,'Inputs'!$B$29+'Inputs'!$B$31+'Inputs'!$B$32,'Inputs'!$B$30+'Inputs'!$B$31+'Inputs'!$B$32)/1000+'Inputs'!$B$21+'Inputs'!$B$9+'Inputs'!$B$10)+'Inputs'!$B$7)^2+('Inputs'!$B$6/2)^2)-(((183-43)*MAX('Inputs'!$B$33,'Inputs'!$B$29+'Inputs'!$B$31+'Inputs'!$B$32,'Inputs'!$B$30+'Inputs'!$B$31+'Inputs'!$B$32)/1000+'Inputs'!$B$21+'Inputs'!$B$9+'Inputs'!$B$10))/SQRT((((183-43)*MAX('Inputs'!$B$33,'Inputs'!$B$29+'Inputs'!$B$31+'Inputs'!$B$32,'Inputs'!$B$30+'Inputs'!$B$31+'Inputs'!$B$32)/1000+'Inputs'!$B$21+'Inputs'!$B$9+'Inputs'!$B$10))^2+('Inputs'!$B$6/2)^2))))*'Results'!$B$8)+'Inputs'!$B$28*ABS((('Results'!C7*(1+'Inputs'!$B$24)*(0.5*((((183-43)*MAX('Inputs'!$B$33,'Inputs'!$B$29+'Inputs'!$B$31+'Inputs'!$B$32,'Inputs'!$B$30+'Inputs'!$B$31+'Inputs'!$B$32)/1000+'Inputs'!$B$21)+'Inputs'!$B$9)/SQRT((((183-43)*MAX('Inputs'!$B$33,'Inputs'!$B$29+'Inputs'!$B$31+'Inputs'!$B$32,'Inputs'!$B$30+'Inputs'!$B$31+'Inputs'!$B$32)/1000+'Inputs'!$B$21)+'Inputs'!$B$9)^2+('Inputs'!$B$8/2)^2)-(((183-43)*MAX('Inputs'!$B$33,'Inputs'!$B$29+'Inputs'!$B$31+'Inputs'!$B$32,'Inputs'!$B$30+'Inputs'!$B$31+'Inputs'!$B$32)/1000+'Inputs'!$B$21))/SQRT((((183-43)*MAX('Inputs'!$B$33,'Inputs'!$B$29+'Inputs'!$B$31+'Inputs'!$B$32,'Inputs'!$B$30+'Inputs'!$B$31+'Inputs'!$B$32)/1000+'Inputs'!$B$21))^2+('Inputs'!$B$8/2)^2)))-'Results'!B7*(1-'Inputs'!$B$24)*(0.5*((((183-43)*MAX('Inputs'!$B$33,'Inputs'!$B$29+'Inputs'!$B$31+'Inputs'!$B$32,'Inputs'!$B$30+'Inputs'!$B$31+'Inputs'!$B$32)/1000+'Inputs'!$B$21+'Inputs'!$B$9+'Inputs'!$B$10)+'Inputs'!$B$7)/SQRT((((183-43)*MAX('Inputs'!$B$33,'Inputs'!$B$29+'Inputs'!$B$31+'Inputs'!$B$32,'Inputs'!$B$30+'Inputs'!$B$31+'Inputs'!$B$32)/1000+'Inputs'!$B$21+'Inputs'!$B$9+'Inputs'!$B$10)+'Inputs'!$B$7)^2+('Inputs'!$B$6/2)^2)-(((183-43)*MAX('Inputs'!$B$33,'Inputs'!$B$29+'Inputs'!$B$31+'Inputs'!$B$32,'Inputs'!$B$30+'Inputs'!$B$31+'Inputs'!$B$32)/1000+'Inputs'!$B$21+'Inputs'!$B$9+'Inputs'!$B$10))/SQRT((((183-43)*MAX('Inputs'!$B$33,'Inputs'!$B$29+'Inputs'!$B$31+'Inputs'!$B$32,'Inputs'!$B$30+'Inputs'!$B$31+'Inputs'!$B$32)/1000+'Inputs'!$B$21+'Inputs'!$B$9+'Inputs'!$B$10))^2+('Inputs'!$B$6/2)^2))))*'Results'!$B$8))),"")</x:f>
        <x:v>191.14643897753754</x:v>
      </x:c>
      <x:c r="P183" t="n">
        <x:f>IF(AND(MAX(J183,J182)&gt;0,J183&gt;J182+0.00000001),1,0)</x:f>
        <x:v>0</x:v>
      </x:c>
      <x:c r="Q183" t="n">
        <x:f>IF(AND(MAX(K183,K182)&gt;0,K183&gt;K182+0.00000001),1,0)</x:f>
        <x:v>0</x:v>
      </x:c>
      <x:c r="R183" t="n">
        <x:f>IF(AND(MAX(L183,L182)&gt;0,L183&gt;L182+0.00000001),1,0)</x:f>
        <x:v>0</x:v>
      </x:c>
      <x:c r="S183" t="n">
        <x:f>IF(AND(MAX(M183,M182)&gt;0,M183&gt;M182+0.00000001),1,0)</x:f>
        <x:v>0</x:v>
      </x:c>
      <x:c r="T183" t="n">
        <x:f>IF(AND(MAX(N183,N182)&gt;0,N183&gt;N182+0.00000001),1,0)</x:f>
        <x:v>0</x:v>
      </x:c>
      <x:c r="U183" t="n">
        <x:f>IF(AND(MAX(O183,O182)&gt;0,O183&gt;O182+0.00000001),1,0)</x:f>
        <x:v>0</x:v>
      </x:c>
    </x:row>
    <x:row r="184">
      <x:c r="J184" t="n">
        <x:f>IF(AND(ISNUMBER('Results'!B7),ISNUMBER('Results'!C7),ISNUMBER('Results'!$B$8),ISNUMBER('Inputs'!$B$6),ISNUMBER('Inputs'!$B$7),ISNUMBER('Inputs'!$B$8),ISNUMBER('Inputs'!$B$9),ISNUMBER('Inputs'!$B$10),ISNUMBER('Inputs'!$B$21),ISNUMBER('Inputs'!$B$24),ISNUMBER('Inputs'!$B$28)),(('Results'!B7*(0.5*((((184-43)*MAX('Inputs'!$B$33,'Inputs'!$B$29+'Inputs'!$B$31+'Inputs'!$B$32,'Inputs'!$B$30+'Inputs'!$B$31+'Inputs'!$B$32)/1000+'Inputs'!$B$21)+'Inputs'!$B$7)/SQRT((((184-43)*MAX('Inputs'!$B$33,'Inputs'!$B$29+'Inputs'!$B$31+'Inputs'!$B$32,'Inputs'!$B$30+'Inputs'!$B$31+'Inputs'!$B$32)/1000+'Inputs'!$B$21)+'Inputs'!$B$7)^2+('Inputs'!$B$6/2)^2)-(((184-43)*MAX('Inputs'!$B$33,'Inputs'!$B$29+'Inputs'!$B$31+'Inputs'!$B$32,'Inputs'!$B$30+'Inputs'!$B$31+'Inputs'!$B$32)/1000+'Inputs'!$B$21))/SQRT((((184-43)*MAX('Inputs'!$B$33,'Inputs'!$B$29+'Inputs'!$B$31+'Inputs'!$B$32,'Inputs'!$B$30+'Inputs'!$B$31+'Inputs'!$B$32)/1000+'Inputs'!$B$21))^2+('Inputs'!$B$6/2)^2)))-'Results'!C7*(0.5*((((184-43)*MAX('Inputs'!$B$33,'Inputs'!$B$29+'Inputs'!$B$31+'Inputs'!$B$32,'Inputs'!$B$30+'Inputs'!$B$31+'Inputs'!$B$32)/1000+'Inputs'!$B$21+'Inputs'!$B$7+'Inputs'!$B$10)+'Inputs'!$B$9)/SQRT((((184-43)*MAX('Inputs'!$B$33,'Inputs'!$B$29+'Inputs'!$B$31+'Inputs'!$B$32,'Inputs'!$B$30+'Inputs'!$B$31+'Inputs'!$B$32)/1000+'Inputs'!$B$21+'Inputs'!$B$7+'Inputs'!$B$10)+'Inputs'!$B$9)^2+('Inputs'!$B$8/2)^2)-(((184-43)*MAX('Inputs'!$B$33,'Inputs'!$B$29+'Inputs'!$B$31+'Inputs'!$B$32,'Inputs'!$B$30+'Inputs'!$B$31+'Inputs'!$B$32)/1000+'Inputs'!$B$21+'Inputs'!$B$7+'Inputs'!$B$10))/SQRT((((184-43)*MAX('Inputs'!$B$33,'Inputs'!$B$29+'Inputs'!$B$31+'Inputs'!$B$32,'Inputs'!$B$30+'Inputs'!$B$31+'Inputs'!$B$32)/1000+'Inputs'!$B$21+'Inputs'!$B$7+'Inputs'!$B$10))^2+('Inputs'!$B$8/2)^2))))*'Results'!$B$8),"")</x:f>
        <x:v>179.12072837621346</x:v>
      </x:c>
      <x:c r="K184" t="n">
        <x:f>IF(AND(ISNUMBER('Results'!B7),ISNUMBER('Results'!C7),ISNUMBER('Results'!$B$8),ISNUMBER('Inputs'!$B$6),ISNUMBER('Inputs'!$B$7),ISNUMBER('Inputs'!$B$8),ISNUMBER('Inputs'!$B$9),ISNUMBER('Inputs'!$B$10),ISNUMBER('Inputs'!$B$21),ISNUMBER('Inputs'!$B$24),ISNUMBER('Inputs'!$B$28)),((('Results'!B7*(1-'Inputs'!$B$24)*(0.5*((((184-43)*MAX('Inputs'!$B$33,'Inputs'!$B$29+'Inputs'!$B$31+'Inputs'!$B$32,'Inputs'!$B$30+'Inputs'!$B$31+'Inputs'!$B$32)/1000+'Inputs'!$B$21)+'Inputs'!$B$7)/SQRT((((184-43)*MAX('Inputs'!$B$33,'Inputs'!$B$29+'Inputs'!$B$31+'Inputs'!$B$32,'Inputs'!$B$30+'Inputs'!$B$31+'Inputs'!$B$32)/1000+'Inputs'!$B$21)+'Inputs'!$B$7)^2+('Inputs'!$B$6/2)^2)-(((184-43)*MAX('Inputs'!$B$33,'Inputs'!$B$29+'Inputs'!$B$31+'Inputs'!$B$32,'Inputs'!$B$30+'Inputs'!$B$31+'Inputs'!$B$32)/1000+'Inputs'!$B$21))/SQRT((((184-43)*MAX('Inputs'!$B$33,'Inputs'!$B$29+'Inputs'!$B$31+'Inputs'!$B$32,'Inputs'!$B$30+'Inputs'!$B$31+'Inputs'!$B$32)/1000+'Inputs'!$B$21))^2+('Inputs'!$B$6/2)^2)))-'Results'!C7*(1+'Inputs'!$B$24)*(0.5*((((184-43)*MAX('Inputs'!$B$33,'Inputs'!$B$29+'Inputs'!$B$31+'Inputs'!$B$32,'Inputs'!$B$30+'Inputs'!$B$31+'Inputs'!$B$32)/1000+'Inputs'!$B$21+'Inputs'!$B$7+'Inputs'!$B$10)+'Inputs'!$B$9)/SQRT((((184-43)*MAX('Inputs'!$B$33,'Inputs'!$B$29+'Inputs'!$B$31+'Inputs'!$B$32,'Inputs'!$B$30+'Inputs'!$B$31+'Inputs'!$B$32)/1000+'Inputs'!$B$21+'Inputs'!$B$7+'Inputs'!$B$10)+'Inputs'!$B$9)^2+('Inputs'!$B$8/2)^2)-(((184-43)*MAX('Inputs'!$B$33,'Inputs'!$B$29+'Inputs'!$B$31+'Inputs'!$B$32,'Inputs'!$B$30+'Inputs'!$B$31+'Inputs'!$B$32)/1000+'Inputs'!$B$21+'Inputs'!$B$7+'Inputs'!$B$10))/SQRT((((184-43)*MAX('Inputs'!$B$33,'Inputs'!$B$29+'Inputs'!$B$31+'Inputs'!$B$32,'Inputs'!$B$30+'Inputs'!$B$31+'Inputs'!$B$32)/1000+'Inputs'!$B$21+'Inputs'!$B$7+'Inputs'!$B$10))^2+('Inputs'!$B$8/2)^2))))*'Results'!$B$8)-'Inputs'!$B$28*ABS((('Results'!B7*(1-'Inputs'!$B$24)*(0.5*((((184-43)*MAX('Inputs'!$B$33,'Inputs'!$B$29+'Inputs'!$B$31+'Inputs'!$B$32,'Inputs'!$B$30+'Inputs'!$B$31+'Inputs'!$B$32)/1000+'Inputs'!$B$21)+'Inputs'!$B$7)/SQRT((((184-43)*MAX('Inputs'!$B$33,'Inputs'!$B$29+'Inputs'!$B$31+'Inputs'!$B$32,'Inputs'!$B$30+'Inputs'!$B$31+'Inputs'!$B$32)/1000+'Inputs'!$B$21)+'Inputs'!$B$7)^2+('Inputs'!$B$6/2)^2)-(((184-43)*MAX('Inputs'!$B$33,'Inputs'!$B$29+'Inputs'!$B$31+'Inputs'!$B$32,'Inputs'!$B$30+'Inputs'!$B$31+'Inputs'!$B$32)/1000+'Inputs'!$B$21))/SQRT((((184-43)*MAX('Inputs'!$B$33,'Inputs'!$B$29+'Inputs'!$B$31+'Inputs'!$B$32,'Inputs'!$B$30+'Inputs'!$B$31+'Inputs'!$B$32)/1000+'Inputs'!$B$21))^2+('Inputs'!$B$6/2)^2)))-'Results'!C7*(1+'Inputs'!$B$24)*(0.5*((((184-43)*MAX('Inputs'!$B$33,'Inputs'!$B$29+'Inputs'!$B$31+'Inputs'!$B$32,'Inputs'!$B$30+'Inputs'!$B$31+'Inputs'!$B$32)/1000+'Inputs'!$B$21+'Inputs'!$B$7+'Inputs'!$B$10)+'Inputs'!$B$9)/SQRT((((184-43)*MAX('Inputs'!$B$33,'Inputs'!$B$29+'Inputs'!$B$31+'Inputs'!$B$32,'Inputs'!$B$30+'Inputs'!$B$31+'Inputs'!$B$32)/1000+'Inputs'!$B$21+'Inputs'!$B$7+'Inputs'!$B$10)+'Inputs'!$B$9)^2+('Inputs'!$B$8/2)^2)-(((184-43)*MAX('Inputs'!$B$33,'Inputs'!$B$29+'Inputs'!$B$31+'Inputs'!$B$32,'Inputs'!$B$30+'Inputs'!$B$31+'Inputs'!$B$32)/1000+'Inputs'!$B$21+'Inputs'!$B$7+'Inputs'!$B$10))/SQRT((((184-43)*MAX('Inputs'!$B$33,'Inputs'!$B$29+'Inputs'!$B$31+'Inputs'!$B$32,'Inputs'!$B$30+'Inputs'!$B$31+'Inputs'!$B$32)/1000+'Inputs'!$B$21+'Inputs'!$B$7+'Inputs'!$B$10))^2+('Inputs'!$B$8/2)^2))))*'Results'!$B$8))),"")</x:f>
        <x:v>164.6410303983074</x:v>
      </x:c>
      <x:c r="L184" t="n">
        <x:f>IF(AND(ISNUMBER('Results'!B7),ISNUMBER('Results'!C7),ISNUMBER('Results'!$B$8),ISNUMBER('Inputs'!$B$6),ISNUMBER('Inputs'!$B$7),ISNUMBER('Inputs'!$B$8),ISNUMBER('Inputs'!$B$9),ISNUMBER('Inputs'!$B$10),ISNUMBER('Inputs'!$B$21),ISNUMBER('Inputs'!$B$24),ISNUMBER('Inputs'!$B$28)),((('Results'!B7*(1+'Inputs'!$B$24)*(0.5*((((184-43)*MAX('Inputs'!$B$33,'Inputs'!$B$29+'Inputs'!$B$31+'Inputs'!$B$32,'Inputs'!$B$30+'Inputs'!$B$31+'Inputs'!$B$32)/1000+'Inputs'!$B$21)+'Inputs'!$B$7)/SQRT((((184-43)*MAX('Inputs'!$B$33,'Inputs'!$B$29+'Inputs'!$B$31+'Inputs'!$B$32,'Inputs'!$B$30+'Inputs'!$B$31+'Inputs'!$B$32)/1000+'Inputs'!$B$21)+'Inputs'!$B$7)^2+('Inputs'!$B$6/2)^2)-(((184-43)*MAX('Inputs'!$B$33,'Inputs'!$B$29+'Inputs'!$B$31+'Inputs'!$B$32,'Inputs'!$B$30+'Inputs'!$B$31+'Inputs'!$B$32)/1000+'Inputs'!$B$21))/SQRT((((184-43)*MAX('Inputs'!$B$33,'Inputs'!$B$29+'Inputs'!$B$31+'Inputs'!$B$32,'Inputs'!$B$30+'Inputs'!$B$31+'Inputs'!$B$32)/1000+'Inputs'!$B$21))^2+('Inputs'!$B$6/2)^2)))-'Results'!C7*(1-'Inputs'!$B$24)*(0.5*((((184-43)*MAX('Inputs'!$B$33,'Inputs'!$B$29+'Inputs'!$B$31+'Inputs'!$B$32,'Inputs'!$B$30+'Inputs'!$B$31+'Inputs'!$B$32)/1000+'Inputs'!$B$21+'Inputs'!$B$7+'Inputs'!$B$10)+'Inputs'!$B$9)/SQRT((((184-43)*MAX('Inputs'!$B$33,'Inputs'!$B$29+'Inputs'!$B$31+'Inputs'!$B$32,'Inputs'!$B$30+'Inputs'!$B$31+'Inputs'!$B$32)/1000+'Inputs'!$B$21+'Inputs'!$B$7+'Inputs'!$B$10)+'Inputs'!$B$9)^2+('Inputs'!$B$8/2)^2)-(((184-43)*MAX('Inputs'!$B$33,'Inputs'!$B$29+'Inputs'!$B$31+'Inputs'!$B$32,'Inputs'!$B$30+'Inputs'!$B$31+'Inputs'!$B$32)/1000+'Inputs'!$B$21+'Inputs'!$B$7+'Inputs'!$B$10))/SQRT((((184-43)*MAX('Inputs'!$B$33,'Inputs'!$B$29+'Inputs'!$B$31+'Inputs'!$B$32,'Inputs'!$B$30+'Inputs'!$B$31+'Inputs'!$B$32)/1000+'Inputs'!$B$21+'Inputs'!$B$7+'Inputs'!$B$10))^2+('Inputs'!$B$8/2)^2))))*'Results'!$B$8)+'Inputs'!$B$28*ABS((('Results'!B7*(1+'Inputs'!$B$24)*(0.5*((((184-43)*MAX('Inputs'!$B$33,'Inputs'!$B$29+'Inputs'!$B$31+'Inputs'!$B$32,'Inputs'!$B$30+'Inputs'!$B$31+'Inputs'!$B$32)/1000+'Inputs'!$B$21)+'Inputs'!$B$7)/SQRT((((184-43)*MAX('Inputs'!$B$33,'Inputs'!$B$29+'Inputs'!$B$31+'Inputs'!$B$32,'Inputs'!$B$30+'Inputs'!$B$31+'Inputs'!$B$32)/1000+'Inputs'!$B$21)+'Inputs'!$B$7)^2+('Inputs'!$B$6/2)^2)-(((184-43)*MAX('Inputs'!$B$33,'Inputs'!$B$29+'Inputs'!$B$31+'Inputs'!$B$32,'Inputs'!$B$30+'Inputs'!$B$31+'Inputs'!$B$32)/1000+'Inputs'!$B$21))/SQRT((((184-43)*MAX('Inputs'!$B$33,'Inputs'!$B$29+'Inputs'!$B$31+'Inputs'!$B$32,'Inputs'!$B$30+'Inputs'!$B$31+'Inputs'!$B$32)/1000+'Inputs'!$B$21))^2+('Inputs'!$B$6/2)^2)))-'Results'!C7*(1-'Inputs'!$B$24)*(0.5*((((184-43)*MAX('Inputs'!$B$33,'Inputs'!$B$29+'Inputs'!$B$31+'Inputs'!$B$32,'Inputs'!$B$30+'Inputs'!$B$31+'Inputs'!$B$32)/1000+'Inputs'!$B$21+'Inputs'!$B$7+'Inputs'!$B$10)+'Inputs'!$B$9)/SQRT((((184-43)*MAX('Inputs'!$B$33,'Inputs'!$B$29+'Inputs'!$B$31+'Inputs'!$B$32,'Inputs'!$B$30+'Inputs'!$B$31+'Inputs'!$B$32)/1000+'Inputs'!$B$21+'Inputs'!$B$7+'Inputs'!$B$10)+'Inputs'!$B$9)^2+('Inputs'!$B$8/2)^2)-(((184-43)*MAX('Inputs'!$B$33,'Inputs'!$B$29+'Inputs'!$B$31+'Inputs'!$B$32,'Inputs'!$B$30+'Inputs'!$B$31+'Inputs'!$B$32)/1000+'Inputs'!$B$21+'Inputs'!$B$7+'Inputs'!$B$10))/SQRT((((184-43)*MAX('Inputs'!$B$33,'Inputs'!$B$29+'Inputs'!$B$31+'Inputs'!$B$32,'Inputs'!$B$30+'Inputs'!$B$31+'Inputs'!$B$32)/1000+'Inputs'!$B$21+'Inputs'!$B$7+'Inputs'!$B$10))^2+('Inputs'!$B$8/2)^2))))*'Results'!$B$8))),"")</x:f>
        <x:v>194.1818644129717</x:v>
      </x:c>
      <x:c r="M184" t="n">
        <x:f>IF(AND(ISNUMBER('Results'!C7),ISNUMBER('Results'!B7),ISNUMBER('Results'!$B$8),ISNUMBER('Inputs'!$B$6),ISNUMBER('Inputs'!$B$7),ISNUMBER('Inputs'!$B$8),ISNUMBER('Inputs'!$B$9),ISNUMBER('Inputs'!$B$10),ISNUMBER('Inputs'!$B$21),ISNUMBER('Inputs'!$B$24),ISNUMBER('Inputs'!$B$28)),(('Results'!C7*(0.5*((((184-43)*MAX('Inputs'!$B$33,'Inputs'!$B$29+'Inputs'!$B$31+'Inputs'!$B$32,'Inputs'!$B$30+'Inputs'!$B$31+'Inputs'!$B$32)/1000+'Inputs'!$B$21)+'Inputs'!$B$9)/SQRT((((184-43)*MAX('Inputs'!$B$33,'Inputs'!$B$29+'Inputs'!$B$31+'Inputs'!$B$32,'Inputs'!$B$30+'Inputs'!$B$31+'Inputs'!$B$32)/1000+'Inputs'!$B$21)+'Inputs'!$B$9)^2+('Inputs'!$B$8/2)^2)-(((184-43)*MAX('Inputs'!$B$33,'Inputs'!$B$29+'Inputs'!$B$31+'Inputs'!$B$32,'Inputs'!$B$30+'Inputs'!$B$31+'Inputs'!$B$32)/1000+'Inputs'!$B$21))/SQRT((((184-43)*MAX('Inputs'!$B$33,'Inputs'!$B$29+'Inputs'!$B$31+'Inputs'!$B$32,'Inputs'!$B$30+'Inputs'!$B$31+'Inputs'!$B$32)/1000+'Inputs'!$B$21))^2+('Inputs'!$B$8/2)^2)))-'Results'!B7*(0.5*((((184-43)*MAX('Inputs'!$B$33,'Inputs'!$B$29+'Inputs'!$B$31+'Inputs'!$B$32,'Inputs'!$B$30+'Inputs'!$B$31+'Inputs'!$B$32)/1000+'Inputs'!$B$21+'Inputs'!$B$9+'Inputs'!$B$10)+'Inputs'!$B$7)/SQRT((((184-43)*MAX('Inputs'!$B$33,'Inputs'!$B$29+'Inputs'!$B$31+'Inputs'!$B$32,'Inputs'!$B$30+'Inputs'!$B$31+'Inputs'!$B$32)/1000+'Inputs'!$B$21+'Inputs'!$B$9+'Inputs'!$B$10)+'Inputs'!$B$7)^2+('Inputs'!$B$6/2)^2)-(((184-43)*MAX('Inputs'!$B$33,'Inputs'!$B$29+'Inputs'!$B$31+'Inputs'!$B$32,'Inputs'!$B$30+'Inputs'!$B$31+'Inputs'!$B$32)/1000+'Inputs'!$B$21+'Inputs'!$B$9+'Inputs'!$B$10))/SQRT((((184-43)*MAX('Inputs'!$B$33,'Inputs'!$B$29+'Inputs'!$B$31+'Inputs'!$B$32,'Inputs'!$B$30+'Inputs'!$B$31+'Inputs'!$B$32)/1000+'Inputs'!$B$21+'Inputs'!$B$9+'Inputs'!$B$10))^2+('Inputs'!$B$6/2)^2))))*'Results'!$B$8),"")</x:f>
        <x:v>173.2835726242124</x:v>
      </x:c>
      <x:c r="N184" t="n">
        <x:f>IF(AND(ISNUMBER('Results'!C7),ISNUMBER('Results'!B7),ISNUMBER('Results'!$B$8),ISNUMBER('Inputs'!$B$6),ISNUMBER('Inputs'!$B$7),ISNUMBER('Inputs'!$B$8),ISNUMBER('Inputs'!$B$9),ISNUMBER('Inputs'!$B$10),ISNUMBER('Inputs'!$B$21),ISNUMBER('Inputs'!$B$24),ISNUMBER('Inputs'!$B$28)),((('Results'!C7*(1-'Inputs'!$B$24)*(0.5*((((184-43)*MAX('Inputs'!$B$33,'Inputs'!$B$29+'Inputs'!$B$31+'Inputs'!$B$32,'Inputs'!$B$30+'Inputs'!$B$31+'Inputs'!$B$32)/1000+'Inputs'!$B$21)+'Inputs'!$B$9)/SQRT((((184-43)*MAX('Inputs'!$B$33,'Inputs'!$B$29+'Inputs'!$B$31+'Inputs'!$B$32,'Inputs'!$B$30+'Inputs'!$B$31+'Inputs'!$B$32)/1000+'Inputs'!$B$21)+'Inputs'!$B$9)^2+('Inputs'!$B$8/2)^2)-(((184-43)*MAX('Inputs'!$B$33,'Inputs'!$B$29+'Inputs'!$B$31+'Inputs'!$B$32,'Inputs'!$B$30+'Inputs'!$B$31+'Inputs'!$B$32)/1000+'Inputs'!$B$21))/SQRT((((184-43)*MAX('Inputs'!$B$33,'Inputs'!$B$29+'Inputs'!$B$31+'Inputs'!$B$32,'Inputs'!$B$30+'Inputs'!$B$31+'Inputs'!$B$32)/1000+'Inputs'!$B$21))^2+('Inputs'!$B$8/2)^2)))-'Results'!B7*(1+'Inputs'!$B$24)*(0.5*((((184-43)*MAX('Inputs'!$B$33,'Inputs'!$B$29+'Inputs'!$B$31+'Inputs'!$B$32,'Inputs'!$B$30+'Inputs'!$B$31+'Inputs'!$B$32)/1000+'Inputs'!$B$21+'Inputs'!$B$9+'Inputs'!$B$10)+'Inputs'!$B$7)/SQRT((((184-43)*MAX('Inputs'!$B$33,'Inputs'!$B$29+'Inputs'!$B$31+'Inputs'!$B$32,'Inputs'!$B$30+'Inputs'!$B$31+'Inputs'!$B$32)/1000+'Inputs'!$B$21+'Inputs'!$B$9+'Inputs'!$B$10)+'Inputs'!$B$7)^2+('Inputs'!$B$6/2)^2)-(((184-43)*MAX('Inputs'!$B$33,'Inputs'!$B$29+'Inputs'!$B$31+'Inputs'!$B$32,'Inputs'!$B$30+'Inputs'!$B$31+'Inputs'!$B$32)/1000+'Inputs'!$B$21+'Inputs'!$B$9+'Inputs'!$B$10))/SQRT((((184-43)*MAX('Inputs'!$B$33,'Inputs'!$B$29+'Inputs'!$B$31+'Inputs'!$B$32,'Inputs'!$B$30+'Inputs'!$B$31+'Inputs'!$B$32)/1000+'Inputs'!$B$21+'Inputs'!$B$9+'Inputs'!$B$10))^2+('Inputs'!$B$6/2)^2))))*'Results'!$B$8)-'Inputs'!$B$28*ABS((('Results'!C7*(1-'Inputs'!$B$24)*(0.5*((((184-43)*MAX('Inputs'!$B$33,'Inputs'!$B$29+'Inputs'!$B$31+'Inputs'!$B$32,'Inputs'!$B$30+'Inputs'!$B$31+'Inputs'!$B$32)/1000+'Inputs'!$B$21)+'Inputs'!$B$9)/SQRT((((184-43)*MAX('Inputs'!$B$33,'Inputs'!$B$29+'Inputs'!$B$31+'Inputs'!$B$32,'Inputs'!$B$30+'Inputs'!$B$31+'Inputs'!$B$32)/1000+'Inputs'!$B$21)+'Inputs'!$B$9)^2+('Inputs'!$B$8/2)^2)-(((184-43)*MAX('Inputs'!$B$33,'Inputs'!$B$29+'Inputs'!$B$31+'Inputs'!$B$32,'Inputs'!$B$30+'Inputs'!$B$31+'Inputs'!$B$32)/1000+'Inputs'!$B$21))/SQRT((((184-43)*MAX('Inputs'!$B$33,'Inputs'!$B$29+'Inputs'!$B$31+'Inputs'!$B$32,'Inputs'!$B$30+'Inputs'!$B$31+'Inputs'!$B$32)/1000+'Inputs'!$B$21))^2+('Inputs'!$B$8/2)^2)))-'Results'!B7*(1+'Inputs'!$B$24)*(0.5*((((184-43)*MAX('Inputs'!$B$33,'Inputs'!$B$29+'Inputs'!$B$31+'Inputs'!$B$32,'Inputs'!$B$30+'Inputs'!$B$31+'Inputs'!$B$32)/1000+'Inputs'!$B$21+'Inputs'!$B$9+'Inputs'!$B$10)+'Inputs'!$B$7)/SQRT((((184-43)*MAX('Inputs'!$B$33,'Inputs'!$B$29+'Inputs'!$B$31+'Inputs'!$B$32,'Inputs'!$B$30+'Inputs'!$B$31+'Inputs'!$B$32)/1000+'Inputs'!$B$21+'Inputs'!$B$9+'Inputs'!$B$10)+'Inputs'!$B$7)^2+('Inputs'!$B$6/2)^2)-(((184-43)*MAX('Inputs'!$B$33,'Inputs'!$B$29+'Inputs'!$B$31+'Inputs'!$B$32,'Inputs'!$B$30+'Inputs'!$B$31+'Inputs'!$B$32)/1000+'Inputs'!$B$21+'Inputs'!$B$9+'Inputs'!$B$10))/SQRT((((184-43)*MAX('Inputs'!$B$33,'Inputs'!$B$29+'Inputs'!$B$31+'Inputs'!$B$32,'Inputs'!$B$30+'Inputs'!$B$31+'Inputs'!$B$32)/1000+'Inputs'!$B$21+'Inputs'!$B$9+'Inputs'!$B$10))^2+('Inputs'!$B$6/2)^2))))*'Results'!$B$8))),"")</x:f>
        <x:v>159.16336558258325</x:v>
      </x:c>
      <x:c r="O184" t="n">
        <x:f>IF(AND(ISNUMBER('Results'!C7),ISNUMBER('Results'!B7),ISNUMBER('Results'!$B$8),ISNUMBER('Inputs'!$B$6),ISNUMBER('Inputs'!$B$7),ISNUMBER('Inputs'!$B$8),ISNUMBER('Inputs'!$B$9),ISNUMBER('Inputs'!$B$10),ISNUMBER('Inputs'!$B$21),ISNUMBER('Inputs'!$B$24),ISNUMBER('Inputs'!$B$28)),((('Results'!C7*(1+'Inputs'!$B$24)*(0.5*((((184-43)*MAX('Inputs'!$B$33,'Inputs'!$B$29+'Inputs'!$B$31+'Inputs'!$B$32,'Inputs'!$B$30+'Inputs'!$B$31+'Inputs'!$B$32)/1000+'Inputs'!$B$21)+'Inputs'!$B$9)/SQRT((((184-43)*MAX('Inputs'!$B$33,'Inputs'!$B$29+'Inputs'!$B$31+'Inputs'!$B$32,'Inputs'!$B$30+'Inputs'!$B$31+'Inputs'!$B$32)/1000+'Inputs'!$B$21)+'Inputs'!$B$9)^2+('Inputs'!$B$8/2)^2)-(((184-43)*MAX('Inputs'!$B$33,'Inputs'!$B$29+'Inputs'!$B$31+'Inputs'!$B$32,'Inputs'!$B$30+'Inputs'!$B$31+'Inputs'!$B$32)/1000+'Inputs'!$B$21))/SQRT((((184-43)*MAX('Inputs'!$B$33,'Inputs'!$B$29+'Inputs'!$B$31+'Inputs'!$B$32,'Inputs'!$B$30+'Inputs'!$B$31+'Inputs'!$B$32)/1000+'Inputs'!$B$21))^2+('Inputs'!$B$8/2)^2)))-'Results'!B7*(1-'Inputs'!$B$24)*(0.5*((((184-43)*MAX('Inputs'!$B$33,'Inputs'!$B$29+'Inputs'!$B$31+'Inputs'!$B$32,'Inputs'!$B$30+'Inputs'!$B$31+'Inputs'!$B$32)/1000+'Inputs'!$B$21+'Inputs'!$B$9+'Inputs'!$B$10)+'Inputs'!$B$7)/SQRT((((184-43)*MAX('Inputs'!$B$33,'Inputs'!$B$29+'Inputs'!$B$31+'Inputs'!$B$32,'Inputs'!$B$30+'Inputs'!$B$31+'Inputs'!$B$32)/1000+'Inputs'!$B$21+'Inputs'!$B$9+'Inputs'!$B$10)+'Inputs'!$B$7)^2+('Inputs'!$B$6/2)^2)-(((184-43)*MAX('Inputs'!$B$33,'Inputs'!$B$29+'Inputs'!$B$31+'Inputs'!$B$32,'Inputs'!$B$30+'Inputs'!$B$31+'Inputs'!$B$32)/1000+'Inputs'!$B$21+'Inputs'!$B$9+'Inputs'!$B$10))/SQRT((((184-43)*MAX('Inputs'!$B$33,'Inputs'!$B$29+'Inputs'!$B$31+'Inputs'!$B$32,'Inputs'!$B$30+'Inputs'!$B$31+'Inputs'!$B$32)/1000+'Inputs'!$B$21+'Inputs'!$B$9+'Inputs'!$B$10))^2+('Inputs'!$B$6/2)^2))))*'Results'!$B$8)+'Inputs'!$B$28*ABS((('Results'!C7*(1+'Inputs'!$B$24)*(0.5*((((184-43)*MAX('Inputs'!$B$33,'Inputs'!$B$29+'Inputs'!$B$31+'Inputs'!$B$32,'Inputs'!$B$30+'Inputs'!$B$31+'Inputs'!$B$32)/1000+'Inputs'!$B$21)+'Inputs'!$B$9)/SQRT((((184-43)*MAX('Inputs'!$B$33,'Inputs'!$B$29+'Inputs'!$B$31+'Inputs'!$B$32,'Inputs'!$B$30+'Inputs'!$B$31+'Inputs'!$B$32)/1000+'Inputs'!$B$21)+'Inputs'!$B$9)^2+('Inputs'!$B$8/2)^2)-(((184-43)*MAX('Inputs'!$B$33,'Inputs'!$B$29+'Inputs'!$B$31+'Inputs'!$B$32,'Inputs'!$B$30+'Inputs'!$B$31+'Inputs'!$B$32)/1000+'Inputs'!$B$21))/SQRT((((184-43)*MAX('Inputs'!$B$33,'Inputs'!$B$29+'Inputs'!$B$31+'Inputs'!$B$32,'Inputs'!$B$30+'Inputs'!$B$31+'Inputs'!$B$32)/1000+'Inputs'!$B$21))^2+('Inputs'!$B$8/2)^2)))-'Results'!B7*(1-'Inputs'!$B$24)*(0.5*((((184-43)*MAX('Inputs'!$B$33,'Inputs'!$B$29+'Inputs'!$B$31+'Inputs'!$B$32,'Inputs'!$B$30+'Inputs'!$B$31+'Inputs'!$B$32)/1000+'Inputs'!$B$21+'Inputs'!$B$9+'Inputs'!$B$10)+'Inputs'!$B$7)/SQRT((((184-43)*MAX('Inputs'!$B$33,'Inputs'!$B$29+'Inputs'!$B$31+'Inputs'!$B$32,'Inputs'!$B$30+'Inputs'!$B$31+'Inputs'!$B$32)/1000+'Inputs'!$B$21+'Inputs'!$B$9+'Inputs'!$B$10)+'Inputs'!$B$7)^2+('Inputs'!$B$6/2)^2)-(((184-43)*MAX('Inputs'!$B$33,'Inputs'!$B$29+'Inputs'!$B$31+'Inputs'!$B$32,'Inputs'!$B$30+'Inputs'!$B$31+'Inputs'!$B$32)/1000+'Inputs'!$B$21+'Inputs'!$B$9+'Inputs'!$B$10))/SQRT((((184-43)*MAX('Inputs'!$B$33,'Inputs'!$B$29+'Inputs'!$B$31+'Inputs'!$B$32,'Inputs'!$B$30+'Inputs'!$B$31+'Inputs'!$B$32)/1000+'Inputs'!$B$21+'Inputs'!$B$9+'Inputs'!$B$10))^2+('Inputs'!$B$6/2)^2))))*'Results'!$B$8))),"")</x:f>
        <x:v>187.97809844588565</x:v>
      </x:c>
      <x:c r="P184" t="n">
        <x:f>IF(AND(MAX(J184,J183)&gt;0,J184&gt;J183+0.00000001),1,0)</x:f>
        <x:v>0</x:v>
      </x:c>
      <x:c r="Q184" t="n">
        <x:f>IF(AND(MAX(K184,K183)&gt;0,K184&gt;K183+0.00000001),1,0)</x:f>
        <x:v>0</x:v>
      </x:c>
      <x:c r="R184" t="n">
        <x:f>IF(AND(MAX(L184,L183)&gt;0,L184&gt;L183+0.00000001),1,0)</x:f>
        <x:v>0</x:v>
      </x:c>
      <x:c r="S184" t="n">
        <x:f>IF(AND(MAX(M184,M183)&gt;0,M184&gt;M183+0.00000001),1,0)</x:f>
        <x:v>0</x:v>
      </x:c>
      <x:c r="T184" t="n">
        <x:f>IF(AND(MAX(N184,N183)&gt;0,N184&gt;N183+0.00000001),1,0)</x:f>
        <x:v>0</x:v>
      </x:c>
      <x:c r="U184" t="n">
        <x:f>IF(AND(MAX(O184,O183)&gt;0,O184&gt;O183+0.00000001),1,0)</x:f>
        <x:v>0</x:v>
      </x:c>
    </x:row>
    <x:row r="185">
      <x:c r="J185" t="n">
        <x:f>IF(AND(ISNUMBER('Results'!B7),ISNUMBER('Results'!C7),ISNUMBER('Results'!$B$8),ISNUMBER('Inputs'!$B$6),ISNUMBER('Inputs'!$B$7),ISNUMBER('Inputs'!$B$8),ISNUMBER('Inputs'!$B$9),ISNUMBER('Inputs'!$B$10),ISNUMBER('Inputs'!$B$21),ISNUMBER('Inputs'!$B$24),ISNUMBER('Inputs'!$B$28)),(('Results'!B7*(0.5*((((185-43)*MAX('Inputs'!$B$33,'Inputs'!$B$29+'Inputs'!$B$31+'Inputs'!$B$32,'Inputs'!$B$30+'Inputs'!$B$31+'Inputs'!$B$32)/1000+'Inputs'!$B$21)+'Inputs'!$B$7)/SQRT((((185-43)*MAX('Inputs'!$B$33,'Inputs'!$B$29+'Inputs'!$B$31+'Inputs'!$B$32,'Inputs'!$B$30+'Inputs'!$B$31+'Inputs'!$B$32)/1000+'Inputs'!$B$21)+'Inputs'!$B$7)^2+('Inputs'!$B$6/2)^2)-(((185-43)*MAX('Inputs'!$B$33,'Inputs'!$B$29+'Inputs'!$B$31+'Inputs'!$B$32,'Inputs'!$B$30+'Inputs'!$B$31+'Inputs'!$B$32)/1000+'Inputs'!$B$21))/SQRT((((185-43)*MAX('Inputs'!$B$33,'Inputs'!$B$29+'Inputs'!$B$31+'Inputs'!$B$32,'Inputs'!$B$30+'Inputs'!$B$31+'Inputs'!$B$32)/1000+'Inputs'!$B$21))^2+('Inputs'!$B$6/2)^2)))-'Results'!C7*(0.5*((((185-43)*MAX('Inputs'!$B$33,'Inputs'!$B$29+'Inputs'!$B$31+'Inputs'!$B$32,'Inputs'!$B$30+'Inputs'!$B$31+'Inputs'!$B$32)/1000+'Inputs'!$B$21+'Inputs'!$B$7+'Inputs'!$B$10)+'Inputs'!$B$9)/SQRT((((185-43)*MAX('Inputs'!$B$33,'Inputs'!$B$29+'Inputs'!$B$31+'Inputs'!$B$32,'Inputs'!$B$30+'Inputs'!$B$31+'Inputs'!$B$32)/1000+'Inputs'!$B$21+'Inputs'!$B$7+'Inputs'!$B$10)+'Inputs'!$B$9)^2+('Inputs'!$B$8/2)^2)-(((185-43)*MAX('Inputs'!$B$33,'Inputs'!$B$29+'Inputs'!$B$31+'Inputs'!$B$32,'Inputs'!$B$30+'Inputs'!$B$31+'Inputs'!$B$32)/1000+'Inputs'!$B$21+'Inputs'!$B$7+'Inputs'!$B$10))/SQRT((((185-43)*MAX('Inputs'!$B$33,'Inputs'!$B$29+'Inputs'!$B$31+'Inputs'!$B$32,'Inputs'!$B$30+'Inputs'!$B$31+'Inputs'!$B$32)/1000+'Inputs'!$B$21+'Inputs'!$B$7+'Inputs'!$B$10))^2+('Inputs'!$B$8/2)^2))))*'Results'!$B$8),"")</x:f>
        <x:v>176.1615492880051</x:v>
      </x:c>
      <x:c r="K185" t="n">
        <x:f>IF(AND(ISNUMBER('Results'!B7),ISNUMBER('Results'!C7),ISNUMBER('Results'!$B$8),ISNUMBER('Inputs'!$B$6),ISNUMBER('Inputs'!$B$7),ISNUMBER('Inputs'!$B$8),ISNUMBER('Inputs'!$B$9),ISNUMBER('Inputs'!$B$10),ISNUMBER('Inputs'!$B$21),ISNUMBER('Inputs'!$B$24),ISNUMBER('Inputs'!$B$28)),((('Results'!B7*(1-'Inputs'!$B$24)*(0.5*((((185-43)*MAX('Inputs'!$B$33,'Inputs'!$B$29+'Inputs'!$B$31+'Inputs'!$B$32,'Inputs'!$B$30+'Inputs'!$B$31+'Inputs'!$B$32)/1000+'Inputs'!$B$21)+'Inputs'!$B$7)/SQRT((((185-43)*MAX('Inputs'!$B$33,'Inputs'!$B$29+'Inputs'!$B$31+'Inputs'!$B$32,'Inputs'!$B$30+'Inputs'!$B$31+'Inputs'!$B$32)/1000+'Inputs'!$B$21)+'Inputs'!$B$7)^2+('Inputs'!$B$6/2)^2)-(((185-43)*MAX('Inputs'!$B$33,'Inputs'!$B$29+'Inputs'!$B$31+'Inputs'!$B$32,'Inputs'!$B$30+'Inputs'!$B$31+'Inputs'!$B$32)/1000+'Inputs'!$B$21))/SQRT((((185-43)*MAX('Inputs'!$B$33,'Inputs'!$B$29+'Inputs'!$B$31+'Inputs'!$B$32,'Inputs'!$B$30+'Inputs'!$B$31+'Inputs'!$B$32)/1000+'Inputs'!$B$21))^2+('Inputs'!$B$6/2)^2)))-'Results'!C7*(1+'Inputs'!$B$24)*(0.5*((((185-43)*MAX('Inputs'!$B$33,'Inputs'!$B$29+'Inputs'!$B$31+'Inputs'!$B$32,'Inputs'!$B$30+'Inputs'!$B$31+'Inputs'!$B$32)/1000+'Inputs'!$B$21+'Inputs'!$B$7+'Inputs'!$B$10)+'Inputs'!$B$9)/SQRT((((185-43)*MAX('Inputs'!$B$33,'Inputs'!$B$29+'Inputs'!$B$31+'Inputs'!$B$32,'Inputs'!$B$30+'Inputs'!$B$31+'Inputs'!$B$32)/1000+'Inputs'!$B$21+'Inputs'!$B$7+'Inputs'!$B$10)+'Inputs'!$B$9)^2+('Inputs'!$B$8/2)^2)-(((185-43)*MAX('Inputs'!$B$33,'Inputs'!$B$29+'Inputs'!$B$31+'Inputs'!$B$32,'Inputs'!$B$30+'Inputs'!$B$31+'Inputs'!$B$32)/1000+'Inputs'!$B$21+'Inputs'!$B$7+'Inputs'!$B$10))/SQRT((((185-43)*MAX('Inputs'!$B$33,'Inputs'!$B$29+'Inputs'!$B$31+'Inputs'!$B$32,'Inputs'!$B$30+'Inputs'!$B$31+'Inputs'!$B$32)/1000+'Inputs'!$B$21+'Inputs'!$B$7+'Inputs'!$B$10))^2+('Inputs'!$B$8/2)^2))))*'Results'!$B$8)-'Inputs'!$B$28*ABS((('Results'!B7*(1-'Inputs'!$B$24)*(0.5*((((185-43)*MAX('Inputs'!$B$33,'Inputs'!$B$29+'Inputs'!$B$31+'Inputs'!$B$32,'Inputs'!$B$30+'Inputs'!$B$31+'Inputs'!$B$32)/1000+'Inputs'!$B$21)+'Inputs'!$B$7)/SQRT((((185-43)*MAX('Inputs'!$B$33,'Inputs'!$B$29+'Inputs'!$B$31+'Inputs'!$B$32,'Inputs'!$B$30+'Inputs'!$B$31+'Inputs'!$B$32)/1000+'Inputs'!$B$21)+'Inputs'!$B$7)^2+('Inputs'!$B$6/2)^2)-(((185-43)*MAX('Inputs'!$B$33,'Inputs'!$B$29+'Inputs'!$B$31+'Inputs'!$B$32,'Inputs'!$B$30+'Inputs'!$B$31+'Inputs'!$B$32)/1000+'Inputs'!$B$21))/SQRT((((185-43)*MAX('Inputs'!$B$33,'Inputs'!$B$29+'Inputs'!$B$31+'Inputs'!$B$32,'Inputs'!$B$30+'Inputs'!$B$31+'Inputs'!$B$32)/1000+'Inputs'!$B$21))^2+('Inputs'!$B$6/2)^2)))-'Results'!C7*(1+'Inputs'!$B$24)*(0.5*((((185-43)*MAX('Inputs'!$B$33,'Inputs'!$B$29+'Inputs'!$B$31+'Inputs'!$B$32,'Inputs'!$B$30+'Inputs'!$B$31+'Inputs'!$B$32)/1000+'Inputs'!$B$21+'Inputs'!$B$7+'Inputs'!$B$10)+'Inputs'!$B$9)/SQRT((((185-43)*MAX('Inputs'!$B$33,'Inputs'!$B$29+'Inputs'!$B$31+'Inputs'!$B$32,'Inputs'!$B$30+'Inputs'!$B$31+'Inputs'!$B$32)/1000+'Inputs'!$B$21+'Inputs'!$B$7+'Inputs'!$B$10)+'Inputs'!$B$9)^2+('Inputs'!$B$8/2)^2)-(((185-43)*MAX('Inputs'!$B$33,'Inputs'!$B$29+'Inputs'!$B$31+'Inputs'!$B$32,'Inputs'!$B$30+'Inputs'!$B$31+'Inputs'!$B$32)/1000+'Inputs'!$B$21+'Inputs'!$B$7+'Inputs'!$B$10))/SQRT((((185-43)*MAX('Inputs'!$B$33,'Inputs'!$B$29+'Inputs'!$B$31+'Inputs'!$B$32,'Inputs'!$B$30+'Inputs'!$B$31+'Inputs'!$B$32)/1000+'Inputs'!$B$21+'Inputs'!$B$7+'Inputs'!$B$10))^2+('Inputs'!$B$8/2)^2))))*'Results'!$B$8))),"")</x:f>
        <x:v>161.90732181566946</x:v>
      </x:c>
      <x:c r="L185" t="n">
        <x:f>IF(AND(ISNUMBER('Results'!B7),ISNUMBER('Results'!C7),ISNUMBER('Results'!$B$8),ISNUMBER('Inputs'!$B$6),ISNUMBER('Inputs'!$B$7),ISNUMBER('Inputs'!$B$8),ISNUMBER('Inputs'!$B$9),ISNUMBER('Inputs'!$B$10),ISNUMBER('Inputs'!$B$21),ISNUMBER('Inputs'!$B$24),ISNUMBER('Inputs'!$B$28)),((('Results'!B7*(1+'Inputs'!$B$24)*(0.5*((((185-43)*MAX('Inputs'!$B$33,'Inputs'!$B$29+'Inputs'!$B$31+'Inputs'!$B$32,'Inputs'!$B$30+'Inputs'!$B$31+'Inputs'!$B$32)/1000+'Inputs'!$B$21)+'Inputs'!$B$7)/SQRT((((185-43)*MAX('Inputs'!$B$33,'Inputs'!$B$29+'Inputs'!$B$31+'Inputs'!$B$32,'Inputs'!$B$30+'Inputs'!$B$31+'Inputs'!$B$32)/1000+'Inputs'!$B$21)+'Inputs'!$B$7)^2+('Inputs'!$B$6/2)^2)-(((185-43)*MAX('Inputs'!$B$33,'Inputs'!$B$29+'Inputs'!$B$31+'Inputs'!$B$32,'Inputs'!$B$30+'Inputs'!$B$31+'Inputs'!$B$32)/1000+'Inputs'!$B$21))/SQRT((((185-43)*MAX('Inputs'!$B$33,'Inputs'!$B$29+'Inputs'!$B$31+'Inputs'!$B$32,'Inputs'!$B$30+'Inputs'!$B$31+'Inputs'!$B$32)/1000+'Inputs'!$B$21))^2+('Inputs'!$B$6/2)^2)))-'Results'!C7*(1-'Inputs'!$B$24)*(0.5*((((185-43)*MAX('Inputs'!$B$33,'Inputs'!$B$29+'Inputs'!$B$31+'Inputs'!$B$32,'Inputs'!$B$30+'Inputs'!$B$31+'Inputs'!$B$32)/1000+'Inputs'!$B$21+'Inputs'!$B$7+'Inputs'!$B$10)+'Inputs'!$B$9)/SQRT((((185-43)*MAX('Inputs'!$B$33,'Inputs'!$B$29+'Inputs'!$B$31+'Inputs'!$B$32,'Inputs'!$B$30+'Inputs'!$B$31+'Inputs'!$B$32)/1000+'Inputs'!$B$21+'Inputs'!$B$7+'Inputs'!$B$10)+'Inputs'!$B$9)^2+('Inputs'!$B$8/2)^2)-(((185-43)*MAX('Inputs'!$B$33,'Inputs'!$B$29+'Inputs'!$B$31+'Inputs'!$B$32,'Inputs'!$B$30+'Inputs'!$B$31+'Inputs'!$B$32)/1000+'Inputs'!$B$21+'Inputs'!$B$7+'Inputs'!$B$10))/SQRT((((185-43)*MAX('Inputs'!$B$33,'Inputs'!$B$29+'Inputs'!$B$31+'Inputs'!$B$32,'Inputs'!$B$30+'Inputs'!$B$31+'Inputs'!$B$32)/1000+'Inputs'!$B$21+'Inputs'!$B$7+'Inputs'!$B$10))^2+('Inputs'!$B$8/2)^2))))*'Results'!$B$8)+'Inputs'!$B$28*ABS((('Results'!B7*(1+'Inputs'!$B$24)*(0.5*((((185-43)*MAX('Inputs'!$B$33,'Inputs'!$B$29+'Inputs'!$B$31+'Inputs'!$B$32,'Inputs'!$B$30+'Inputs'!$B$31+'Inputs'!$B$32)/1000+'Inputs'!$B$21)+'Inputs'!$B$7)/SQRT((((185-43)*MAX('Inputs'!$B$33,'Inputs'!$B$29+'Inputs'!$B$31+'Inputs'!$B$32,'Inputs'!$B$30+'Inputs'!$B$31+'Inputs'!$B$32)/1000+'Inputs'!$B$21)+'Inputs'!$B$7)^2+('Inputs'!$B$6/2)^2)-(((185-43)*MAX('Inputs'!$B$33,'Inputs'!$B$29+'Inputs'!$B$31+'Inputs'!$B$32,'Inputs'!$B$30+'Inputs'!$B$31+'Inputs'!$B$32)/1000+'Inputs'!$B$21))/SQRT((((185-43)*MAX('Inputs'!$B$33,'Inputs'!$B$29+'Inputs'!$B$31+'Inputs'!$B$32,'Inputs'!$B$30+'Inputs'!$B$31+'Inputs'!$B$32)/1000+'Inputs'!$B$21))^2+('Inputs'!$B$6/2)^2)))-'Results'!C7*(1-'Inputs'!$B$24)*(0.5*((((185-43)*MAX('Inputs'!$B$33,'Inputs'!$B$29+'Inputs'!$B$31+'Inputs'!$B$32,'Inputs'!$B$30+'Inputs'!$B$31+'Inputs'!$B$32)/1000+'Inputs'!$B$21+'Inputs'!$B$7+'Inputs'!$B$10)+'Inputs'!$B$9)/SQRT((((185-43)*MAX('Inputs'!$B$33,'Inputs'!$B$29+'Inputs'!$B$31+'Inputs'!$B$32,'Inputs'!$B$30+'Inputs'!$B$31+'Inputs'!$B$32)/1000+'Inputs'!$B$21+'Inputs'!$B$7+'Inputs'!$B$10)+'Inputs'!$B$9)^2+('Inputs'!$B$8/2)^2)-(((185-43)*MAX('Inputs'!$B$33,'Inputs'!$B$29+'Inputs'!$B$31+'Inputs'!$B$32,'Inputs'!$B$30+'Inputs'!$B$31+'Inputs'!$B$32)/1000+'Inputs'!$B$21+'Inputs'!$B$7+'Inputs'!$B$10))/SQRT((((185-43)*MAX('Inputs'!$B$33,'Inputs'!$B$29+'Inputs'!$B$31+'Inputs'!$B$32,'Inputs'!$B$30+'Inputs'!$B$31+'Inputs'!$B$32)/1000+'Inputs'!$B$21+'Inputs'!$B$7+'Inputs'!$B$10))^2+('Inputs'!$B$8/2)^2))))*'Results'!$B$8))),"")</x:f>
        <x:v>190.98905570854438</x:v>
      </x:c>
      <x:c r="M185" t="n">
        <x:f>IF(AND(ISNUMBER('Results'!C7),ISNUMBER('Results'!B7),ISNUMBER('Results'!$B$8),ISNUMBER('Inputs'!$B$6),ISNUMBER('Inputs'!$B$7),ISNUMBER('Inputs'!$B$8),ISNUMBER('Inputs'!$B$9),ISNUMBER('Inputs'!$B$10),ISNUMBER('Inputs'!$B$21),ISNUMBER('Inputs'!$B$24),ISNUMBER('Inputs'!$B$28)),(('Results'!C7*(0.5*((((185-43)*MAX('Inputs'!$B$33,'Inputs'!$B$29+'Inputs'!$B$31+'Inputs'!$B$32,'Inputs'!$B$30+'Inputs'!$B$31+'Inputs'!$B$32)/1000+'Inputs'!$B$21)+'Inputs'!$B$9)/SQRT((((185-43)*MAX('Inputs'!$B$33,'Inputs'!$B$29+'Inputs'!$B$31+'Inputs'!$B$32,'Inputs'!$B$30+'Inputs'!$B$31+'Inputs'!$B$32)/1000+'Inputs'!$B$21)+'Inputs'!$B$9)^2+('Inputs'!$B$8/2)^2)-(((185-43)*MAX('Inputs'!$B$33,'Inputs'!$B$29+'Inputs'!$B$31+'Inputs'!$B$32,'Inputs'!$B$30+'Inputs'!$B$31+'Inputs'!$B$32)/1000+'Inputs'!$B$21))/SQRT((((185-43)*MAX('Inputs'!$B$33,'Inputs'!$B$29+'Inputs'!$B$31+'Inputs'!$B$32,'Inputs'!$B$30+'Inputs'!$B$31+'Inputs'!$B$32)/1000+'Inputs'!$B$21))^2+('Inputs'!$B$8/2)^2)))-'Results'!B7*(0.5*((((185-43)*MAX('Inputs'!$B$33,'Inputs'!$B$29+'Inputs'!$B$31+'Inputs'!$B$32,'Inputs'!$B$30+'Inputs'!$B$31+'Inputs'!$B$32)/1000+'Inputs'!$B$21+'Inputs'!$B$9+'Inputs'!$B$10)+'Inputs'!$B$7)/SQRT((((185-43)*MAX('Inputs'!$B$33,'Inputs'!$B$29+'Inputs'!$B$31+'Inputs'!$B$32,'Inputs'!$B$30+'Inputs'!$B$31+'Inputs'!$B$32)/1000+'Inputs'!$B$21+'Inputs'!$B$9+'Inputs'!$B$10)+'Inputs'!$B$7)^2+('Inputs'!$B$6/2)^2)-(((185-43)*MAX('Inputs'!$B$33,'Inputs'!$B$29+'Inputs'!$B$31+'Inputs'!$B$32,'Inputs'!$B$30+'Inputs'!$B$31+'Inputs'!$B$32)/1000+'Inputs'!$B$21+'Inputs'!$B$9+'Inputs'!$B$10))/SQRT((((185-43)*MAX('Inputs'!$B$33,'Inputs'!$B$29+'Inputs'!$B$31+'Inputs'!$B$32,'Inputs'!$B$30+'Inputs'!$B$31+'Inputs'!$B$32)/1000+'Inputs'!$B$21+'Inputs'!$B$9+'Inputs'!$B$10))^2+('Inputs'!$B$6/2)^2))))*'Results'!$B$8),"")</x:f>
        <x:v>170.4062132906997</x:v>
      </x:c>
      <x:c r="N185" t="n">
        <x:f>IF(AND(ISNUMBER('Results'!C7),ISNUMBER('Results'!B7),ISNUMBER('Results'!$B$8),ISNUMBER('Inputs'!$B$6),ISNUMBER('Inputs'!$B$7),ISNUMBER('Inputs'!$B$8),ISNUMBER('Inputs'!$B$9),ISNUMBER('Inputs'!$B$10),ISNUMBER('Inputs'!$B$21),ISNUMBER('Inputs'!$B$24),ISNUMBER('Inputs'!$B$28)),((('Results'!C7*(1-'Inputs'!$B$24)*(0.5*((((185-43)*MAX('Inputs'!$B$33,'Inputs'!$B$29+'Inputs'!$B$31+'Inputs'!$B$32,'Inputs'!$B$30+'Inputs'!$B$31+'Inputs'!$B$32)/1000+'Inputs'!$B$21)+'Inputs'!$B$9)/SQRT((((185-43)*MAX('Inputs'!$B$33,'Inputs'!$B$29+'Inputs'!$B$31+'Inputs'!$B$32,'Inputs'!$B$30+'Inputs'!$B$31+'Inputs'!$B$32)/1000+'Inputs'!$B$21)+'Inputs'!$B$9)^2+('Inputs'!$B$8/2)^2)-(((185-43)*MAX('Inputs'!$B$33,'Inputs'!$B$29+'Inputs'!$B$31+'Inputs'!$B$32,'Inputs'!$B$30+'Inputs'!$B$31+'Inputs'!$B$32)/1000+'Inputs'!$B$21))/SQRT((((185-43)*MAX('Inputs'!$B$33,'Inputs'!$B$29+'Inputs'!$B$31+'Inputs'!$B$32,'Inputs'!$B$30+'Inputs'!$B$31+'Inputs'!$B$32)/1000+'Inputs'!$B$21))^2+('Inputs'!$B$8/2)^2)))-'Results'!B7*(1+'Inputs'!$B$24)*(0.5*((((185-43)*MAX('Inputs'!$B$33,'Inputs'!$B$29+'Inputs'!$B$31+'Inputs'!$B$32,'Inputs'!$B$30+'Inputs'!$B$31+'Inputs'!$B$32)/1000+'Inputs'!$B$21+'Inputs'!$B$9+'Inputs'!$B$10)+'Inputs'!$B$7)/SQRT((((185-43)*MAX('Inputs'!$B$33,'Inputs'!$B$29+'Inputs'!$B$31+'Inputs'!$B$32,'Inputs'!$B$30+'Inputs'!$B$31+'Inputs'!$B$32)/1000+'Inputs'!$B$21+'Inputs'!$B$9+'Inputs'!$B$10)+'Inputs'!$B$7)^2+('Inputs'!$B$6/2)^2)-(((185-43)*MAX('Inputs'!$B$33,'Inputs'!$B$29+'Inputs'!$B$31+'Inputs'!$B$32,'Inputs'!$B$30+'Inputs'!$B$31+'Inputs'!$B$32)/1000+'Inputs'!$B$21+'Inputs'!$B$9+'Inputs'!$B$10))/SQRT((((185-43)*MAX('Inputs'!$B$33,'Inputs'!$B$29+'Inputs'!$B$31+'Inputs'!$B$32,'Inputs'!$B$30+'Inputs'!$B$31+'Inputs'!$B$32)/1000+'Inputs'!$B$21+'Inputs'!$B$9+'Inputs'!$B$10))^2+('Inputs'!$B$6/2)^2))))*'Results'!$B$8)-'Inputs'!$B$28*ABS((('Results'!C7*(1-'Inputs'!$B$24)*(0.5*((((185-43)*MAX('Inputs'!$B$33,'Inputs'!$B$29+'Inputs'!$B$31+'Inputs'!$B$32,'Inputs'!$B$30+'Inputs'!$B$31+'Inputs'!$B$32)/1000+'Inputs'!$B$21)+'Inputs'!$B$9)/SQRT((((185-43)*MAX('Inputs'!$B$33,'Inputs'!$B$29+'Inputs'!$B$31+'Inputs'!$B$32,'Inputs'!$B$30+'Inputs'!$B$31+'Inputs'!$B$32)/1000+'Inputs'!$B$21)+'Inputs'!$B$9)^2+('Inputs'!$B$8/2)^2)-(((185-43)*MAX('Inputs'!$B$33,'Inputs'!$B$29+'Inputs'!$B$31+'Inputs'!$B$32,'Inputs'!$B$30+'Inputs'!$B$31+'Inputs'!$B$32)/1000+'Inputs'!$B$21))/SQRT((((185-43)*MAX('Inputs'!$B$33,'Inputs'!$B$29+'Inputs'!$B$31+'Inputs'!$B$32,'Inputs'!$B$30+'Inputs'!$B$31+'Inputs'!$B$32)/1000+'Inputs'!$B$21))^2+('Inputs'!$B$8/2)^2)))-'Results'!B7*(1+'Inputs'!$B$24)*(0.5*((((185-43)*MAX('Inputs'!$B$33,'Inputs'!$B$29+'Inputs'!$B$31+'Inputs'!$B$32,'Inputs'!$B$30+'Inputs'!$B$31+'Inputs'!$B$32)/1000+'Inputs'!$B$21+'Inputs'!$B$9+'Inputs'!$B$10)+'Inputs'!$B$7)/SQRT((((185-43)*MAX('Inputs'!$B$33,'Inputs'!$B$29+'Inputs'!$B$31+'Inputs'!$B$32,'Inputs'!$B$30+'Inputs'!$B$31+'Inputs'!$B$32)/1000+'Inputs'!$B$21+'Inputs'!$B$9+'Inputs'!$B$10)+'Inputs'!$B$7)^2+('Inputs'!$B$6/2)^2)-(((185-43)*MAX('Inputs'!$B$33,'Inputs'!$B$29+'Inputs'!$B$31+'Inputs'!$B$32,'Inputs'!$B$30+'Inputs'!$B$31+'Inputs'!$B$32)/1000+'Inputs'!$B$21+'Inputs'!$B$9+'Inputs'!$B$10))/SQRT((((185-43)*MAX('Inputs'!$B$33,'Inputs'!$B$29+'Inputs'!$B$31+'Inputs'!$B$32,'Inputs'!$B$30+'Inputs'!$B$31+'Inputs'!$B$32)/1000+'Inputs'!$B$21+'Inputs'!$B$9+'Inputs'!$B$10))^2+('Inputs'!$B$6/2)^2))))*'Results'!$B$8))),"")</x:f>
        <x:v>156.50626562316867</x:v>
      </x:c>
      <x:c r="O185" t="n">
        <x:f>IF(AND(ISNUMBER('Results'!C7),ISNUMBER('Results'!B7),ISNUMBER('Results'!$B$8),ISNUMBER('Inputs'!$B$6),ISNUMBER('Inputs'!$B$7),ISNUMBER('Inputs'!$B$8),ISNUMBER('Inputs'!$B$9),ISNUMBER('Inputs'!$B$10),ISNUMBER('Inputs'!$B$21),ISNUMBER('Inputs'!$B$24),ISNUMBER('Inputs'!$B$28)),((('Results'!C7*(1+'Inputs'!$B$24)*(0.5*((((185-43)*MAX('Inputs'!$B$33,'Inputs'!$B$29+'Inputs'!$B$31+'Inputs'!$B$32,'Inputs'!$B$30+'Inputs'!$B$31+'Inputs'!$B$32)/1000+'Inputs'!$B$21)+'Inputs'!$B$9)/SQRT((((185-43)*MAX('Inputs'!$B$33,'Inputs'!$B$29+'Inputs'!$B$31+'Inputs'!$B$32,'Inputs'!$B$30+'Inputs'!$B$31+'Inputs'!$B$32)/1000+'Inputs'!$B$21)+'Inputs'!$B$9)^2+('Inputs'!$B$8/2)^2)-(((185-43)*MAX('Inputs'!$B$33,'Inputs'!$B$29+'Inputs'!$B$31+'Inputs'!$B$32,'Inputs'!$B$30+'Inputs'!$B$31+'Inputs'!$B$32)/1000+'Inputs'!$B$21))/SQRT((((185-43)*MAX('Inputs'!$B$33,'Inputs'!$B$29+'Inputs'!$B$31+'Inputs'!$B$32,'Inputs'!$B$30+'Inputs'!$B$31+'Inputs'!$B$32)/1000+'Inputs'!$B$21))^2+('Inputs'!$B$8/2)^2)))-'Results'!B7*(1-'Inputs'!$B$24)*(0.5*((((185-43)*MAX('Inputs'!$B$33,'Inputs'!$B$29+'Inputs'!$B$31+'Inputs'!$B$32,'Inputs'!$B$30+'Inputs'!$B$31+'Inputs'!$B$32)/1000+'Inputs'!$B$21+'Inputs'!$B$9+'Inputs'!$B$10)+'Inputs'!$B$7)/SQRT((((185-43)*MAX('Inputs'!$B$33,'Inputs'!$B$29+'Inputs'!$B$31+'Inputs'!$B$32,'Inputs'!$B$30+'Inputs'!$B$31+'Inputs'!$B$32)/1000+'Inputs'!$B$21+'Inputs'!$B$9+'Inputs'!$B$10)+'Inputs'!$B$7)^2+('Inputs'!$B$6/2)^2)-(((185-43)*MAX('Inputs'!$B$33,'Inputs'!$B$29+'Inputs'!$B$31+'Inputs'!$B$32,'Inputs'!$B$30+'Inputs'!$B$31+'Inputs'!$B$32)/1000+'Inputs'!$B$21+'Inputs'!$B$9+'Inputs'!$B$10))/SQRT((((185-43)*MAX('Inputs'!$B$33,'Inputs'!$B$29+'Inputs'!$B$31+'Inputs'!$B$32,'Inputs'!$B$30+'Inputs'!$B$31+'Inputs'!$B$32)/1000+'Inputs'!$B$21+'Inputs'!$B$9+'Inputs'!$B$10))^2+('Inputs'!$B$6/2)^2))))*'Results'!$B$8)+'Inputs'!$B$28*ABS((('Results'!C7*(1+'Inputs'!$B$24)*(0.5*((((185-43)*MAX('Inputs'!$B$33,'Inputs'!$B$29+'Inputs'!$B$31+'Inputs'!$B$32,'Inputs'!$B$30+'Inputs'!$B$31+'Inputs'!$B$32)/1000+'Inputs'!$B$21)+'Inputs'!$B$9)/SQRT((((185-43)*MAX('Inputs'!$B$33,'Inputs'!$B$29+'Inputs'!$B$31+'Inputs'!$B$32,'Inputs'!$B$30+'Inputs'!$B$31+'Inputs'!$B$32)/1000+'Inputs'!$B$21)+'Inputs'!$B$9)^2+('Inputs'!$B$8/2)^2)-(((185-43)*MAX('Inputs'!$B$33,'Inputs'!$B$29+'Inputs'!$B$31+'Inputs'!$B$32,'Inputs'!$B$30+'Inputs'!$B$31+'Inputs'!$B$32)/1000+'Inputs'!$B$21))/SQRT((((185-43)*MAX('Inputs'!$B$33,'Inputs'!$B$29+'Inputs'!$B$31+'Inputs'!$B$32,'Inputs'!$B$30+'Inputs'!$B$31+'Inputs'!$B$32)/1000+'Inputs'!$B$21))^2+('Inputs'!$B$8/2)^2)))-'Results'!B7*(1-'Inputs'!$B$24)*(0.5*((((185-43)*MAX('Inputs'!$B$33,'Inputs'!$B$29+'Inputs'!$B$31+'Inputs'!$B$32,'Inputs'!$B$30+'Inputs'!$B$31+'Inputs'!$B$32)/1000+'Inputs'!$B$21+'Inputs'!$B$9+'Inputs'!$B$10)+'Inputs'!$B$7)/SQRT((((185-43)*MAX('Inputs'!$B$33,'Inputs'!$B$29+'Inputs'!$B$31+'Inputs'!$B$32,'Inputs'!$B$30+'Inputs'!$B$31+'Inputs'!$B$32)/1000+'Inputs'!$B$21+'Inputs'!$B$9+'Inputs'!$B$10)+'Inputs'!$B$7)^2+('Inputs'!$B$6/2)^2)-(((185-43)*MAX('Inputs'!$B$33,'Inputs'!$B$29+'Inputs'!$B$31+'Inputs'!$B$32,'Inputs'!$B$30+'Inputs'!$B$31+'Inputs'!$B$32)/1000+'Inputs'!$B$21+'Inputs'!$B$9+'Inputs'!$B$10))/SQRT((((185-43)*MAX('Inputs'!$B$33,'Inputs'!$B$29+'Inputs'!$B$31+'Inputs'!$B$32,'Inputs'!$B$30+'Inputs'!$B$31+'Inputs'!$B$32)/1000+'Inputs'!$B$21+'Inputs'!$B$9+'Inputs'!$B$10))^2+('Inputs'!$B$6/2)^2))))*'Results'!$B$8))),"")</x:f>
        <x:v>184.8724385374935</x:v>
      </x:c>
      <x:c r="P185" t="n">
        <x:f>IF(AND(MAX(J185,J184)&gt;0,J185&gt;J184+0.00000001),1,0)</x:f>
        <x:v>0</x:v>
      </x:c>
      <x:c r="Q185" t="n">
        <x:f>IF(AND(MAX(K185,K184)&gt;0,K185&gt;K184+0.00000001),1,0)</x:f>
        <x:v>0</x:v>
      </x:c>
      <x:c r="R185" t="n">
        <x:f>IF(AND(MAX(L185,L184)&gt;0,L185&gt;L184+0.00000001),1,0)</x:f>
        <x:v>0</x:v>
      </x:c>
      <x:c r="S185" t="n">
        <x:f>IF(AND(MAX(M185,M184)&gt;0,M185&gt;M184+0.00000001),1,0)</x:f>
        <x:v>0</x:v>
      </x:c>
      <x:c r="T185" t="n">
        <x:f>IF(AND(MAX(N185,N184)&gt;0,N185&gt;N184+0.00000001),1,0)</x:f>
        <x:v>0</x:v>
      </x:c>
      <x:c r="U185" t="n">
        <x:f>IF(AND(MAX(O185,O184)&gt;0,O185&gt;O184+0.00000001),1,0)</x:f>
        <x:v>0</x:v>
      </x:c>
    </x:row>
    <x:row r="186">
      <x:c r="J186" t="n">
        <x:f>IF(AND(ISNUMBER('Results'!B7),ISNUMBER('Results'!C7),ISNUMBER('Results'!$B$8),ISNUMBER('Inputs'!$B$6),ISNUMBER('Inputs'!$B$7),ISNUMBER('Inputs'!$B$8),ISNUMBER('Inputs'!$B$9),ISNUMBER('Inputs'!$B$10),ISNUMBER('Inputs'!$B$21),ISNUMBER('Inputs'!$B$24),ISNUMBER('Inputs'!$B$28)),(('Results'!B7*(0.5*((((186-43)*MAX('Inputs'!$B$33,'Inputs'!$B$29+'Inputs'!$B$31+'Inputs'!$B$32,'Inputs'!$B$30+'Inputs'!$B$31+'Inputs'!$B$32)/1000+'Inputs'!$B$21)+'Inputs'!$B$7)/SQRT((((186-43)*MAX('Inputs'!$B$33,'Inputs'!$B$29+'Inputs'!$B$31+'Inputs'!$B$32,'Inputs'!$B$30+'Inputs'!$B$31+'Inputs'!$B$32)/1000+'Inputs'!$B$21)+'Inputs'!$B$7)^2+('Inputs'!$B$6/2)^2)-(((186-43)*MAX('Inputs'!$B$33,'Inputs'!$B$29+'Inputs'!$B$31+'Inputs'!$B$32,'Inputs'!$B$30+'Inputs'!$B$31+'Inputs'!$B$32)/1000+'Inputs'!$B$21))/SQRT((((186-43)*MAX('Inputs'!$B$33,'Inputs'!$B$29+'Inputs'!$B$31+'Inputs'!$B$32,'Inputs'!$B$30+'Inputs'!$B$31+'Inputs'!$B$32)/1000+'Inputs'!$B$21))^2+('Inputs'!$B$6/2)^2)))-'Results'!C7*(0.5*((((186-43)*MAX('Inputs'!$B$33,'Inputs'!$B$29+'Inputs'!$B$31+'Inputs'!$B$32,'Inputs'!$B$30+'Inputs'!$B$31+'Inputs'!$B$32)/1000+'Inputs'!$B$21+'Inputs'!$B$7+'Inputs'!$B$10)+'Inputs'!$B$9)/SQRT((((186-43)*MAX('Inputs'!$B$33,'Inputs'!$B$29+'Inputs'!$B$31+'Inputs'!$B$32,'Inputs'!$B$30+'Inputs'!$B$31+'Inputs'!$B$32)/1000+'Inputs'!$B$21+'Inputs'!$B$7+'Inputs'!$B$10)+'Inputs'!$B$9)^2+('Inputs'!$B$8/2)^2)-(((186-43)*MAX('Inputs'!$B$33,'Inputs'!$B$29+'Inputs'!$B$31+'Inputs'!$B$32,'Inputs'!$B$30+'Inputs'!$B$31+'Inputs'!$B$32)/1000+'Inputs'!$B$21+'Inputs'!$B$7+'Inputs'!$B$10))/SQRT((((186-43)*MAX('Inputs'!$B$33,'Inputs'!$B$29+'Inputs'!$B$31+'Inputs'!$B$32,'Inputs'!$B$30+'Inputs'!$B$31+'Inputs'!$B$32)/1000+'Inputs'!$B$21+'Inputs'!$B$7+'Inputs'!$B$10))^2+('Inputs'!$B$8/2)^2))))*'Results'!$B$8),"")</x:f>
        <x:v>173.260764696804</x:v>
      </x:c>
      <x:c r="K186" t="n">
        <x:f>IF(AND(ISNUMBER('Results'!B7),ISNUMBER('Results'!C7),ISNUMBER('Results'!$B$8),ISNUMBER('Inputs'!$B$6),ISNUMBER('Inputs'!$B$7),ISNUMBER('Inputs'!$B$8),ISNUMBER('Inputs'!$B$9),ISNUMBER('Inputs'!$B$10),ISNUMBER('Inputs'!$B$21),ISNUMBER('Inputs'!$B$24),ISNUMBER('Inputs'!$B$28)),((('Results'!B7*(1-'Inputs'!$B$24)*(0.5*((((186-43)*MAX('Inputs'!$B$33,'Inputs'!$B$29+'Inputs'!$B$31+'Inputs'!$B$32,'Inputs'!$B$30+'Inputs'!$B$31+'Inputs'!$B$32)/1000+'Inputs'!$B$21)+'Inputs'!$B$7)/SQRT((((186-43)*MAX('Inputs'!$B$33,'Inputs'!$B$29+'Inputs'!$B$31+'Inputs'!$B$32,'Inputs'!$B$30+'Inputs'!$B$31+'Inputs'!$B$32)/1000+'Inputs'!$B$21)+'Inputs'!$B$7)^2+('Inputs'!$B$6/2)^2)-(((186-43)*MAX('Inputs'!$B$33,'Inputs'!$B$29+'Inputs'!$B$31+'Inputs'!$B$32,'Inputs'!$B$30+'Inputs'!$B$31+'Inputs'!$B$32)/1000+'Inputs'!$B$21))/SQRT((((186-43)*MAX('Inputs'!$B$33,'Inputs'!$B$29+'Inputs'!$B$31+'Inputs'!$B$32,'Inputs'!$B$30+'Inputs'!$B$31+'Inputs'!$B$32)/1000+'Inputs'!$B$21))^2+('Inputs'!$B$6/2)^2)))-'Results'!C7*(1+'Inputs'!$B$24)*(0.5*((((186-43)*MAX('Inputs'!$B$33,'Inputs'!$B$29+'Inputs'!$B$31+'Inputs'!$B$32,'Inputs'!$B$30+'Inputs'!$B$31+'Inputs'!$B$32)/1000+'Inputs'!$B$21+'Inputs'!$B$7+'Inputs'!$B$10)+'Inputs'!$B$9)/SQRT((((186-43)*MAX('Inputs'!$B$33,'Inputs'!$B$29+'Inputs'!$B$31+'Inputs'!$B$32,'Inputs'!$B$30+'Inputs'!$B$31+'Inputs'!$B$32)/1000+'Inputs'!$B$21+'Inputs'!$B$7+'Inputs'!$B$10)+'Inputs'!$B$9)^2+('Inputs'!$B$8/2)^2)-(((186-43)*MAX('Inputs'!$B$33,'Inputs'!$B$29+'Inputs'!$B$31+'Inputs'!$B$32,'Inputs'!$B$30+'Inputs'!$B$31+'Inputs'!$B$32)/1000+'Inputs'!$B$21+'Inputs'!$B$7+'Inputs'!$B$10))/SQRT((((186-43)*MAX('Inputs'!$B$33,'Inputs'!$B$29+'Inputs'!$B$31+'Inputs'!$B$32,'Inputs'!$B$30+'Inputs'!$B$31+'Inputs'!$B$32)/1000+'Inputs'!$B$21+'Inputs'!$B$7+'Inputs'!$B$10))^2+('Inputs'!$B$8/2)^2))))*'Results'!$B$8)-'Inputs'!$B$28*ABS((('Results'!B7*(1-'Inputs'!$B$24)*(0.5*((((186-43)*MAX('Inputs'!$B$33,'Inputs'!$B$29+'Inputs'!$B$31+'Inputs'!$B$32,'Inputs'!$B$30+'Inputs'!$B$31+'Inputs'!$B$32)/1000+'Inputs'!$B$21)+'Inputs'!$B$7)/SQRT((((186-43)*MAX('Inputs'!$B$33,'Inputs'!$B$29+'Inputs'!$B$31+'Inputs'!$B$32,'Inputs'!$B$30+'Inputs'!$B$31+'Inputs'!$B$32)/1000+'Inputs'!$B$21)+'Inputs'!$B$7)^2+('Inputs'!$B$6/2)^2)-(((186-43)*MAX('Inputs'!$B$33,'Inputs'!$B$29+'Inputs'!$B$31+'Inputs'!$B$32,'Inputs'!$B$30+'Inputs'!$B$31+'Inputs'!$B$32)/1000+'Inputs'!$B$21))/SQRT((((186-43)*MAX('Inputs'!$B$33,'Inputs'!$B$29+'Inputs'!$B$31+'Inputs'!$B$32,'Inputs'!$B$30+'Inputs'!$B$31+'Inputs'!$B$32)/1000+'Inputs'!$B$21))^2+('Inputs'!$B$6/2)^2)))-'Results'!C7*(1+'Inputs'!$B$24)*(0.5*((((186-43)*MAX('Inputs'!$B$33,'Inputs'!$B$29+'Inputs'!$B$31+'Inputs'!$B$32,'Inputs'!$B$30+'Inputs'!$B$31+'Inputs'!$B$32)/1000+'Inputs'!$B$21+'Inputs'!$B$7+'Inputs'!$B$10)+'Inputs'!$B$9)/SQRT((((186-43)*MAX('Inputs'!$B$33,'Inputs'!$B$29+'Inputs'!$B$31+'Inputs'!$B$32,'Inputs'!$B$30+'Inputs'!$B$31+'Inputs'!$B$32)/1000+'Inputs'!$B$21+'Inputs'!$B$7+'Inputs'!$B$10)+'Inputs'!$B$9)^2+('Inputs'!$B$8/2)^2)-(((186-43)*MAX('Inputs'!$B$33,'Inputs'!$B$29+'Inputs'!$B$31+'Inputs'!$B$32,'Inputs'!$B$30+'Inputs'!$B$31+'Inputs'!$B$32)/1000+'Inputs'!$B$21+'Inputs'!$B$7+'Inputs'!$B$10))/SQRT((((186-43)*MAX('Inputs'!$B$33,'Inputs'!$B$29+'Inputs'!$B$31+'Inputs'!$B$32,'Inputs'!$B$30+'Inputs'!$B$31+'Inputs'!$B$32)/1000+'Inputs'!$B$21+'Inputs'!$B$7+'Inputs'!$B$10))^2+('Inputs'!$B$8/2)^2))))*'Results'!$B$8))),"")</x:f>
        <x:v>159.22770007083773</x:v>
      </x:c>
      <x:c r="L186" t="n">
        <x:f>IF(AND(ISNUMBER('Results'!B7),ISNUMBER('Results'!C7),ISNUMBER('Results'!$B$8),ISNUMBER('Inputs'!$B$6),ISNUMBER('Inputs'!$B$7),ISNUMBER('Inputs'!$B$8),ISNUMBER('Inputs'!$B$9),ISNUMBER('Inputs'!$B$10),ISNUMBER('Inputs'!$B$21),ISNUMBER('Inputs'!$B$24),ISNUMBER('Inputs'!$B$28)),((('Results'!B7*(1+'Inputs'!$B$24)*(0.5*((((186-43)*MAX('Inputs'!$B$33,'Inputs'!$B$29+'Inputs'!$B$31+'Inputs'!$B$32,'Inputs'!$B$30+'Inputs'!$B$31+'Inputs'!$B$32)/1000+'Inputs'!$B$21)+'Inputs'!$B$7)/SQRT((((186-43)*MAX('Inputs'!$B$33,'Inputs'!$B$29+'Inputs'!$B$31+'Inputs'!$B$32,'Inputs'!$B$30+'Inputs'!$B$31+'Inputs'!$B$32)/1000+'Inputs'!$B$21)+'Inputs'!$B$7)^2+('Inputs'!$B$6/2)^2)-(((186-43)*MAX('Inputs'!$B$33,'Inputs'!$B$29+'Inputs'!$B$31+'Inputs'!$B$32,'Inputs'!$B$30+'Inputs'!$B$31+'Inputs'!$B$32)/1000+'Inputs'!$B$21))/SQRT((((186-43)*MAX('Inputs'!$B$33,'Inputs'!$B$29+'Inputs'!$B$31+'Inputs'!$B$32,'Inputs'!$B$30+'Inputs'!$B$31+'Inputs'!$B$32)/1000+'Inputs'!$B$21))^2+('Inputs'!$B$6/2)^2)))-'Results'!C7*(1-'Inputs'!$B$24)*(0.5*((((186-43)*MAX('Inputs'!$B$33,'Inputs'!$B$29+'Inputs'!$B$31+'Inputs'!$B$32,'Inputs'!$B$30+'Inputs'!$B$31+'Inputs'!$B$32)/1000+'Inputs'!$B$21+'Inputs'!$B$7+'Inputs'!$B$10)+'Inputs'!$B$9)/SQRT((((186-43)*MAX('Inputs'!$B$33,'Inputs'!$B$29+'Inputs'!$B$31+'Inputs'!$B$32,'Inputs'!$B$30+'Inputs'!$B$31+'Inputs'!$B$32)/1000+'Inputs'!$B$21+'Inputs'!$B$7+'Inputs'!$B$10)+'Inputs'!$B$9)^2+('Inputs'!$B$8/2)^2)-(((186-43)*MAX('Inputs'!$B$33,'Inputs'!$B$29+'Inputs'!$B$31+'Inputs'!$B$32,'Inputs'!$B$30+'Inputs'!$B$31+'Inputs'!$B$32)/1000+'Inputs'!$B$21+'Inputs'!$B$7+'Inputs'!$B$10))/SQRT((((186-43)*MAX('Inputs'!$B$33,'Inputs'!$B$29+'Inputs'!$B$31+'Inputs'!$B$32,'Inputs'!$B$30+'Inputs'!$B$31+'Inputs'!$B$32)/1000+'Inputs'!$B$21+'Inputs'!$B$7+'Inputs'!$B$10))^2+('Inputs'!$B$8/2)^2))))*'Results'!$B$8)+'Inputs'!$B$28*ABS((('Results'!B7*(1+'Inputs'!$B$24)*(0.5*((((186-43)*MAX('Inputs'!$B$33,'Inputs'!$B$29+'Inputs'!$B$31+'Inputs'!$B$32,'Inputs'!$B$30+'Inputs'!$B$31+'Inputs'!$B$32)/1000+'Inputs'!$B$21)+'Inputs'!$B$7)/SQRT((((186-43)*MAX('Inputs'!$B$33,'Inputs'!$B$29+'Inputs'!$B$31+'Inputs'!$B$32,'Inputs'!$B$30+'Inputs'!$B$31+'Inputs'!$B$32)/1000+'Inputs'!$B$21)+'Inputs'!$B$7)^2+('Inputs'!$B$6/2)^2)-(((186-43)*MAX('Inputs'!$B$33,'Inputs'!$B$29+'Inputs'!$B$31+'Inputs'!$B$32,'Inputs'!$B$30+'Inputs'!$B$31+'Inputs'!$B$32)/1000+'Inputs'!$B$21))/SQRT((((186-43)*MAX('Inputs'!$B$33,'Inputs'!$B$29+'Inputs'!$B$31+'Inputs'!$B$32,'Inputs'!$B$30+'Inputs'!$B$31+'Inputs'!$B$32)/1000+'Inputs'!$B$21))^2+('Inputs'!$B$6/2)^2)))-'Results'!C7*(1-'Inputs'!$B$24)*(0.5*((((186-43)*MAX('Inputs'!$B$33,'Inputs'!$B$29+'Inputs'!$B$31+'Inputs'!$B$32,'Inputs'!$B$30+'Inputs'!$B$31+'Inputs'!$B$32)/1000+'Inputs'!$B$21+'Inputs'!$B$7+'Inputs'!$B$10)+'Inputs'!$B$9)/SQRT((((186-43)*MAX('Inputs'!$B$33,'Inputs'!$B$29+'Inputs'!$B$31+'Inputs'!$B$32,'Inputs'!$B$30+'Inputs'!$B$31+'Inputs'!$B$32)/1000+'Inputs'!$B$21+'Inputs'!$B$7+'Inputs'!$B$10)+'Inputs'!$B$9)^2+('Inputs'!$B$8/2)^2)-(((186-43)*MAX('Inputs'!$B$33,'Inputs'!$B$29+'Inputs'!$B$31+'Inputs'!$B$32,'Inputs'!$B$30+'Inputs'!$B$31+'Inputs'!$B$32)/1000+'Inputs'!$B$21+'Inputs'!$B$7+'Inputs'!$B$10))/SQRT((((186-43)*MAX('Inputs'!$B$33,'Inputs'!$B$29+'Inputs'!$B$31+'Inputs'!$B$32,'Inputs'!$B$30+'Inputs'!$B$31+'Inputs'!$B$32)/1000+'Inputs'!$B$21+'Inputs'!$B$7+'Inputs'!$B$10))^2+('Inputs'!$B$8/2)^2))))*'Results'!$B$8))),"")</x:f>
        <x:v>187.85909525867828</x:v>
      </x:c>
      <x:c r="M186" t="n">
        <x:f>IF(AND(ISNUMBER('Results'!C7),ISNUMBER('Results'!B7),ISNUMBER('Results'!$B$8),ISNUMBER('Inputs'!$B$6),ISNUMBER('Inputs'!$B$7),ISNUMBER('Inputs'!$B$8),ISNUMBER('Inputs'!$B$9),ISNUMBER('Inputs'!$B$10),ISNUMBER('Inputs'!$B$21),ISNUMBER('Inputs'!$B$24),ISNUMBER('Inputs'!$B$28)),(('Results'!C7*(0.5*((((186-43)*MAX('Inputs'!$B$33,'Inputs'!$B$29+'Inputs'!$B$31+'Inputs'!$B$32,'Inputs'!$B$30+'Inputs'!$B$31+'Inputs'!$B$32)/1000+'Inputs'!$B$21)+'Inputs'!$B$9)/SQRT((((186-43)*MAX('Inputs'!$B$33,'Inputs'!$B$29+'Inputs'!$B$31+'Inputs'!$B$32,'Inputs'!$B$30+'Inputs'!$B$31+'Inputs'!$B$32)/1000+'Inputs'!$B$21)+'Inputs'!$B$9)^2+('Inputs'!$B$8/2)^2)-(((186-43)*MAX('Inputs'!$B$33,'Inputs'!$B$29+'Inputs'!$B$31+'Inputs'!$B$32,'Inputs'!$B$30+'Inputs'!$B$31+'Inputs'!$B$32)/1000+'Inputs'!$B$21))/SQRT((((186-43)*MAX('Inputs'!$B$33,'Inputs'!$B$29+'Inputs'!$B$31+'Inputs'!$B$32,'Inputs'!$B$30+'Inputs'!$B$31+'Inputs'!$B$32)/1000+'Inputs'!$B$21))^2+('Inputs'!$B$8/2)^2)))-'Results'!B7*(0.5*((((186-43)*MAX('Inputs'!$B$33,'Inputs'!$B$29+'Inputs'!$B$31+'Inputs'!$B$32,'Inputs'!$B$30+'Inputs'!$B$31+'Inputs'!$B$32)/1000+'Inputs'!$B$21+'Inputs'!$B$9+'Inputs'!$B$10)+'Inputs'!$B$7)/SQRT((((186-43)*MAX('Inputs'!$B$33,'Inputs'!$B$29+'Inputs'!$B$31+'Inputs'!$B$32,'Inputs'!$B$30+'Inputs'!$B$31+'Inputs'!$B$32)/1000+'Inputs'!$B$21+'Inputs'!$B$9+'Inputs'!$B$10)+'Inputs'!$B$7)^2+('Inputs'!$B$6/2)^2)-(((186-43)*MAX('Inputs'!$B$33,'Inputs'!$B$29+'Inputs'!$B$31+'Inputs'!$B$32,'Inputs'!$B$30+'Inputs'!$B$31+'Inputs'!$B$32)/1000+'Inputs'!$B$21+'Inputs'!$B$9+'Inputs'!$B$10))/SQRT((((186-43)*MAX('Inputs'!$B$33,'Inputs'!$B$29+'Inputs'!$B$31+'Inputs'!$B$32,'Inputs'!$B$30+'Inputs'!$B$31+'Inputs'!$B$32)/1000+'Inputs'!$B$21+'Inputs'!$B$9+'Inputs'!$B$10))^2+('Inputs'!$B$6/2)^2))))*'Results'!$B$8),"")</x:f>
        <x:v>167.58578447991633</x:v>
      </x:c>
      <x:c r="N186" t="n">
        <x:f>IF(AND(ISNUMBER('Results'!C7),ISNUMBER('Results'!B7),ISNUMBER('Results'!$B$8),ISNUMBER('Inputs'!$B$6),ISNUMBER('Inputs'!$B$7),ISNUMBER('Inputs'!$B$8),ISNUMBER('Inputs'!$B$9),ISNUMBER('Inputs'!$B$10),ISNUMBER('Inputs'!$B$21),ISNUMBER('Inputs'!$B$24),ISNUMBER('Inputs'!$B$28)),((('Results'!C7*(1-'Inputs'!$B$24)*(0.5*((((186-43)*MAX('Inputs'!$B$33,'Inputs'!$B$29+'Inputs'!$B$31+'Inputs'!$B$32,'Inputs'!$B$30+'Inputs'!$B$31+'Inputs'!$B$32)/1000+'Inputs'!$B$21)+'Inputs'!$B$9)/SQRT((((186-43)*MAX('Inputs'!$B$33,'Inputs'!$B$29+'Inputs'!$B$31+'Inputs'!$B$32,'Inputs'!$B$30+'Inputs'!$B$31+'Inputs'!$B$32)/1000+'Inputs'!$B$21)+'Inputs'!$B$9)^2+('Inputs'!$B$8/2)^2)-(((186-43)*MAX('Inputs'!$B$33,'Inputs'!$B$29+'Inputs'!$B$31+'Inputs'!$B$32,'Inputs'!$B$30+'Inputs'!$B$31+'Inputs'!$B$32)/1000+'Inputs'!$B$21))/SQRT((((186-43)*MAX('Inputs'!$B$33,'Inputs'!$B$29+'Inputs'!$B$31+'Inputs'!$B$32,'Inputs'!$B$30+'Inputs'!$B$31+'Inputs'!$B$32)/1000+'Inputs'!$B$21))^2+('Inputs'!$B$8/2)^2)))-'Results'!B7*(1+'Inputs'!$B$24)*(0.5*((((186-43)*MAX('Inputs'!$B$33,'Inputs'!$B$29+'Inputs'!$B$31+'Inputs'!$B$32,'Inputs'!$B$30+'Inputs'!$B$31+'Inputs'!$B$32)/1000+'Inputs'!$B$21+'Inputs'!$B$9+'Inputs'!$B$10)+'Inputs'!$B$7)/SQRT((((186-43)*MAX('Inputs'!$B$33,'Inputs'!$B$29+'Inputs'!$B$31+'Inputs'!$B$32,'Inputs'!$B$30+'Inputs'!$B$31+'Inputs'!$B$32)/1000+'Inputs'!$B$21+'Inputs'!$B$9+'Inputs'!$B$10)+'Inputs'!$B$7)^2+('Inputs'!$B$6/2)^2)-(((186-43)*MAX('Inputs'!$B$33,'Inputs'!$B$29+'Inputs'!$B$31+'Inputs'!$B$32,'Inputs'!$B$30+'Inputs'!$B$31+'Inputs'!$B$32)/1000+'Inputs'!$B$21+'Inputs'!$B$9+'Inputs'!$B$10))/SQRT((((186-43)*MAX('Inputs'!$B$33,'Inputs'!$B$29+'Inputs'!$B$31+'Inputs'!$B$32,'Inputs'!$B$30+'Inputs'!$B$31+'Inputs'!$B$32)/1000+'Inputs'!$B$21+'Inputs'!$B$9+'Inputs'!$B$10))^2+('Inputs'!$B$6/2)^2))))*'Results'!$B$8)-'Inputs'!$B$28*ABS((('Results'!C7*(1-'Inputs'!$B$24)*(0.5*((((186-43)*MAX('Inputs'!$B$33,'Inputs'!$B$29+'Inputs'!$B$31+'Inputs'!$B$32,'Inputs'!$B$30+'Inputs'!$B$31+'Inputs'!$B$32)/1000+'Inputs'!$B$21)+'Inputs'!$B$9)/SQRT((((186-43)*MAX('Inputs'!$B$33,'Inputs'!$B$29+'Inputs'!$B$31+'Inputs'!$B$32,'Inputs'!$B$30+'Inputs'!$B$31+'Inputs'!$B$32)/1000+'Inputs'!$B$21)+'Inputs'!$B$9)^2+('Inputs'!$B$8/2)^2)-(((186-43)*MAX('Inputs'!$B$33,'Inputs'!$B$29+'Inputs'!$B$31+'Inputs'!$B$32,'Inputs'!$B$30+'Inputs'!$B$31+'Inputs'!$B$32)/1000+'Inputs'!$B$21))/SQRT((((186-43)*MAX('Inputs'!$B$33,'Inputs'!$B$29+'Inputs'!$B$31+'Inputs'!$B$32,'Inputs'!$B$30+'Inputs'!$B$31+'Inputs'!$B$32)/1000+'Inputs'!$B$21))^2+('Inputs'!$B$8/2)^2)))-'Results'!B7*(1+'Inputs'!$B$24)*(0.5*((((186-43)*MAX('Inputs'!$B$33,'Inputs'!$B$29+'Inputs'!$B$31+'Inputs'!$B$32,'Inputs'!$B$30+'Inputs'!$B$31+'Inputs'!$B$32)/1000+'Inputs'!$B$21+'Inputs'!$B$9+'Inputs'!$B$10)+'Inputs'!$B$7)/SQRT((((186-43)*MAX('Inputs'!$B$33,'Inputs'!$B$29+'Inputs'!$B$31+'Inputs'!$B$32,'Inputs'!$B$30+'Inputs'!$B$31+'Inputs'!$B$32)/1000+'Inputs'!$B$21+'Inputs'!$B$9+'Inputs'!$B$10)+'Inputs'!$B$7)^2+('Inputs'!$B$6/2)^2)-(((186-43)*MAX('Inputs'!$B$33,'Inputs'!$B$29+'Inputs'!$B$31+'Inputs'!$B$32,'Inputs'!$B$30+'Inputs'!$B$31+'Inputs'!$B$32)/1000+'Inputs'!$B$21+'Inputs'!$B$9+'Inputs'!$B$10))/SQRT((((186-43)*MAX('Inputs'!$B$33,'Inputs'!$B$29+'Inputs'!$B$31+'Inputs'!$B$32,'Inputs'!$B$30+'Inputs'!$B$31+'Inputs'!$B$32)/1000+'Inputs'!$B$21+'Inputs'!$B$9+'Inputs'!$B$10))^2+('Inputs'!$B$6/2)^2))))*'Results'!$B$8))),"")</x:f>
        <x:v>153.9018838590808</x:v>
      </x:c>
      <x:c r="O186" t="n">
        <x:f>IF(AND(ISNUMBER('Results'!C7),ISNUMBER('Results'!B7),ISNUMBER('Results'!$B$8),ISNUMBER('Inputs'!$B$6),ISNUMBER('Inputs'!$B$7),ISNUMBER('Inputs'!$B$8),ISNUMBER('Inputs'!$B$9),ISNUMBER('Inputs'!$B$10),ISNUMBER('Inputs'!$B$21),ISNUMBER('Inputs'!$B$24),ISNUMBER('Inputs'!$B$28)),((('Results'!C7*(1+'Inputs'!$B$24)*(0.5*((((186-43)*MAX('Inputs'!$B$33,'Inputs'!$B$29+'Inputs'!$B$31+'Inputs'!$B$32,'Inputs'!$B$30+'Inputs'!$B$31+'Inputs'!$B$32)/1000+'Inputs'!$B$21)+'Inputs'!$B$9)/SQRT((((186-43)*MAX('Inputs'!$B$33,'Inputs'!$B$29+'Inputs'!$B$31+'Inputs'!$B$32,'Inputs'!$B$30+'Inputs'!$B$31+'Inputs'!$B$32)/1000+'Inputs'!$B$21)+'Inputs'!$B$9)^2+('Inputs'!$B$8/2)^2)-(((186-43)*MAX('Inputs'!$B$33,'Inputs'!$B$29+'Inputs'!$B$31+'Inputs'!$B$32,'Inputs'!$B$30+'Inputs'!$B$31+'Inputs'!$B$32)/1000+'Inputs'!$B$21))/SQRT((((186-43)*MAX('Inputs'!$B$33,'Inputs'!$B$29+'Inputs'!$B$31+'Inputs'!$B$32,'Inputs'!$B$30+'Inputs'!$B$31+'Inputs'!$B$32)/1000+'Inputs'!$B$21))^2+('Inputs'!$B$8/2)^2)))-'Results'!B7*(1-'Inputs'!$B$24)*(0.5*((((186-43)*MAX('Inputs'!$B$33,'Inputs'!$B$29+'Inputs'!$B$31+'Inputs'!$B$32,'Inputs'!$B$30+'Inputs'!$B$31+'Inputs'!$B$32)/1000+'Inputs'!$B$21+'Inputs'!$B$9+'Inputs'!$B$10)+'Inputs'!$B$7)/SQRT((((186-43)*MAX('Inputs'!$B$33,'Inputs'!$B$29+'Inputs'!$B$31+'Inputs'!$B$32,'Inputs'!$B$30+'Inputs'!$B$31+'Inputs'!$B$32)/1000+'Inputs'!$B$21+'Inputs'!$B$9+'Inputs'!$B$10)+'Inputs'!$B$7)^2+('Inputs'!$B$6/2)^2)-(((186-43)*MAX('Inputs'!$B$33,'Inputs'!$B$29+'Inputs'!$B$31+'Inputs'!$B$32,'Inputs'!$B$30+'Inputs'!$B$31+'Inputs'!$B$32)/1000+'Inputs'!$B$21+'Inputs'!$B$9+'Inputs'!$B$10))/SQRT((((186-43)*MAX('Inputs'!$B$33,'Inputs'!$B$29+'Inputs'!$B$31+'Inputs'!$B$32,'Inputs'!$B$30+'Inputs'!$B$31+'Inputs'!$B$32)/1000+'Inputs'!$B$21+'Inputs'!$B$9+'Inputs'!$B$10))^2+('Inputs'!$B$6/2)^2))))*'Results'!$B$8)+'Inputs'!$B$28*ABS((('Results'!C7*(1+'Inputs'!$B$24)*(0.5*((((186-43)*MAX('Inputs'!$B$33,'Inputs'!$B$29+'Inputs'!$B$31+'Inputs'!$B$32,'Inputs'!$B$30+'Inputs'!$B$31+'Inputs'!$B$32)/1000+'Inputs'!$B$21)+'Inputs'!$B$9)/SQRT((((186-43)*MAX('Inputs'!$B$33,'Inputs'!$B$29+'Inputs'!$B$31+'Inputs'!$B$32,'Inputs'!$B$30+'Inputs'!$B$31+'Inputs'!$B$32)/1000+'Inputs'!$B$21)+'Inputs'!$B$9)^2+('Inputs'!$B$8/2)^2)-(((186-43)*MAX('Inputs'!$B$33,'Inputs'!$B$29+'Inputs'!$B$31+'Inputs'!$B$32,'Inputs'!$B$30+'Inputs'!$B$31+'Inputs'!$B$32)/1000+'Inputs'!$B$21))/SQRT((((186-43)*MAX('Inputs'!$B$33,'Inputs'!$B$29+'Inputs'!$B$31+'Inputs'!$B$32,'Inputs'!$B$30+'Inputs'!$B$31+'Inputs'!$B$32)/1000+'Inputs'!$B$21))^2+('Inputs'!$B$8/2)^2)))-'Results'!B7*(1-'Inputs'!$B$24)*(0.5*((((186-43)*MAX('Inputs'!$B$33,'Inputs'!$B$29+'Inputs'!$B$31+'Inputs'!$B$32,'Inputs'!$B$30+'Inputs'!$B$31+'Inputs'!$B$32)/1000+'Inputs'!$B$21+'Inputs'!$B$9+'Inputs'!$B$10)+'Inputs'!$B$7)/SQRT((((186-43)*MAX('Inputs'!$B$33,'Inputs'!$B$29+'Inputs'!$B$31+'Inputs'!$B$32,'Inputs'!$B$30+'Inputs'!$B$31+'Inputs'!$B$32)/1000+'Inputs'!$B$21+'Inputs'!$B$9+'Inputs'!$B$10)+'Inputs'!$B$7)^2+('Inputs'!$B$6/2)^2)-(((186-43)*MAX('Inputs'!$B$33,'Inputs'!$B$29+'Inputs'!$B$31+'Inputs'!$B$32,'Inputs'!$B$30+'Inputs'!$B$31+'Inputs'!$B$32)/1000+'Inputs'!$B$21+'Inputs'!$B$9+'Inputs'!$B$10))/SQRT((((186-43)*MAX('Inputs'!$B$33,'Inputs'!$B$29+'Inputs'!$B$31+'Inputs'!$B$32,'Inputs'!$B$30+'Inputs'!$B$31+'Inputs'!$B$32)/1000+'Inputs'!$B$21+'Inputs'!$B$9+'Inputs'!$B$10))^2+('Inputs'!$B$6/2)^2))))*'Results'!$B$8))),"")</x:f>
        <x:v>181.82806524778752</x:v>
      </x:c>
      <x:c r="P186" t="n">
        <x:f>IF(AND(MAX(J186,J185)&gt;0,J186&gt;J185+0.00000001),1,0)</x:f>
        <x:v>0</x:v>
      </x:c>
      <x:c r="Q186" t="n">
        <x:f>IF(AND(MAX(K186,K185)&gt;0,K186&gt;K185+0.00000001),1,0)</x:f>
        <x:v>0</x:v>
      </x:c>
      <x:c r="R186" t="n">
        <x:f>IF(AND(MAX(L186,L185)&gt;0,L186&gt;L185+0.00000001),1,0)</x:f>
        <x:v>0</x:v>
      </x:c>
      <x:c r="S186" t="n">
        <x:f>IF(AND(MAX(M186,M185)&gt;0,M186&gt;M185+0.00000001),1,0)</x:f>
        <x:v>0</x:v>
      </x:c>
      <x:c r="T186" t="n">
        <x:f>IF(AND(MAX(N186,N185)&gt;0,N186&gt;N185+0.00000001),1,0)</x:f>
        <x:v>0</x:v>
      </x:c>
      <x:c r="U186" t="n">
        <x:f>IF(AND(MAX(O186,O185)&gt;0,O186&gt;O185+0.00000001),1,0)</x:f>
        <x:v>0</x:v>
      </x:c>
    </x:row>
    <x:row r="187">
      <x:c r="J187" t="n">
        <x:f>IF(AND(ISNUMBER('Results'!B7),ISNUMBER('Results'!C7),ISNUMBER('Results'!$B$8),ISNUMBER('Inputs'!$B$6),ISNUMBER('Inputs'!$B$7),ISNUMBER('Inputs'!$B$8),ISNUMBER('Inputs'!$B$9),ISNUMBER('Inputs'!$B$10),ISNUMBER('Inputs'!$B$21),ISNUMBER('Inputs'!$B$24),ISNUMBER('Inputs'!$B$28)),(('Results'!B7*(0.5*((((187-43)*MAX('Inputs'!$B$33,'Inputs'!$B$29+'Inputs'!$B$31+'Inputs'!$B$32,'Inputs'!$B$30+'Inputs'!$B$31+'Inputs'!$B$32)/1000+'Inputs'!$B$21)+'Inputs'!$B$7)/SQRT((((187-43)*MAX('Inputs'!$B$33,'Inputs'!$B$29+'Inputs'!$B$31+'Inputs'!$B$32,'Inputs'!$B$30+'Inputs'!$B$31+'Inputs'!$B$32)/1000+'Inputs'!$B$21)+'Inputs'!$B$7)^2+('Inputs'!$B$6/2)^2)-(((187-43)*MAX('Inputs'!$B$33,'Inputs'!$B$29+'Inputs'!$B$31+'Inputs'!$B$32,'Inputs'!$B$30+'Inputs'!$B$31+'Inputs'!$B$32)/1000+'Inputs'!$B$21))/SQRT((((187-43)*MAX('Inputs'!$B$33,'Inputs'!$B$29+'Inputs'!$B$31+'Inputs'!$B$32,'Inputs'!$B$30+'Inputs'!$B$31+'Inputs'!$B$32)/1000+'Inputs'!$B$21))^2+('Inputs'!$B$6/2)^2)))-'Results'!C7*(0.5*((((187-43)*MAX('Inputs'!$B$33,'Inputs'!$B$29+'Inputs'!$B$31+'Inputs'!$B$32,'Inputs'!$B$30+'Inputs'!$B$31+'Inputs'!$B$32)/1000+'Inputs'!$B$21+'Inputs'!$B$7+'Inputs'!$B$10)+'Inputs'!$B$9)/SQRT((((187-43)*MAX('Inputs'!$B$33,'Inputs'!$B$29+'Inputs'!$B$31+'Inputs'!$B$32,'Inputs'!$B$30+'Inputs'!$B$31+'Inputs'!$B$32)/1000+'Inputs'!$B$21+'Inputs'!$B$7+'Inputs'!$B$10)+'Inputs'!$B$9)^2+('Inputs'!$B$8/2)^2)-(((187-43)*MAX('Inputs'!$B$33,'Inputs'!$B$29+'Inputs'!$B$31+'Inputs'!$B$32,'Inputs'!$B$30+'Inputs'!$B$31+'Inputs'!$B$32)/1000+'Inputs'!$B$21+'Inputs'!$B$7+'Inputs'!$B$10))/SQRT((((187-43)*MAX('Inputs'!$B$33,'Inputs'!$B$29+'Inputs'!$B$31+'Inputs'!$B$32,'Inputs'!$B$30+'Inputs'!$B$31+'Inputs'!$B$32)/1000+'Inputs'!$B$21+'Inputs'!$B$7+'Inputs'!$B$10))^2+('Inputs'!$B$8/2)^2))))*'Results'!$B$8),"")</x:f>
        <x:v>170.4170776113926</x:v>
      </x:c>
      <x:c r="K187" t="n">
        <x:f>IF(AND(ISNUMBER('Results'!B7),ISNUMBER('Results'!C7),ISNUMBER('Results'!$B$8),ISNUMBER('Inputs'!$B$6),ISNUMBER('Inputs'!$B$7),ISNUMBER('Inputs'!$B$8),ISNUMBER('Inputs'!$B$9),ISNUMBER('Inputs'!$B$10),ISNUMBER('Inputs'!$B$21),ISNUMBER('Inputs'!$B$24),ISNUMBER('Inputs'!$B$28)),((('Results'!B7*(1-'Inputs'!$B$24)*(0.5*((((187-43)*MAX('Inputs'!$B$33,'Inputs'!$B$29+'Inputs'!$B$31+'Inputs'!$B$32,'Inputs'!$B$30+'Inputs'!$B$31+'Inputs'!$B$32)/1000+'Inputs'!$B$21)+'Inputs'!$B$7)/SQRT((((187-43)*MAX('Inputs'!$B$33,'Inputs'!$B$29+'Inputs'!$B$31+'Inputs'!$B$32,'Inputs'!$B$30+'Inputs'!$B$31+'Inputs'!$B$32)/1000+'Inputs'!$B$21)+'Inputs'!$B$7)^2+('Inputs'!$B$6/2)^2)-(((187-43)*MAX('Inputs'!$B$33,'Inputs'!$B$29+'Inputs'!$B$31+'Inputs'!$B$32,'Inputs'!$B$30+'Inputs'!$B$31+'Inputs'!$B$32)/1000+'Inputs'!$B$21))/SQRT((((187-43)*MAX('Inputs'!$B$33,'Inputs'!$B$29+'Inputs'!$B$31+'Inputs'!$B$32,'Inputs'!$B$30+'Inputs'!$B$31+'Inputs'!$B$32)/1000+'Inputs'!$B$21))^2+('Inputs'!$B$6/2)^2)))-'Results'!C7*(1+'Inputs'!$B$24)*(0.5*((((187-43)*MAX('Inputs'!$B$33,'Inputs'!$B$29+'Inputs'!$B$31+'Inputs'!$B$32,'Inputs'!$B$30+'Inputs'!$B$31+'Inputs'!$B$32)/1000+'Inputs'!$B$21+'Inputs'!$B$7+'Inputs'!$B$10)+'Inputs'!$B$9)/SQRT((((187-43)*MAX('Inputs'!$B$33,'Inputs'!$B$29+'Inputs'!$B$31+'Inputs'!$B$32,'Inputs'!$B$30+'Inputs'!$B$31+'Inputs'!$B$32)/1000+'Inputs'!$B$21+'Inputs'!$B$7+'Inputs'!$B$10)+'Inputs'!$B$9)^2+('Inputs'!$B$8/2)^2)-(((187-43)*MAX('Inputs'!$B$33,'Inputs'!$B$29+'Inputs'!$B$31+'Inputs'!$B$32,'Inputs'!$B$30+'Inputs'!$B$31+'Inputs'!$B$32)/1000+'Inputs'!$B$21+'Inputs'!$B$7+'Inputs'!$B$10))/SQRT((((187-43)*MAX('Inputs'!$B$33,'Inputs'!$B$29+'Inputs'!$B$31+'Inputs'!$B$32,'Inputs'!$B$30+'Inputs'!$B$31+'Inputs'!$B$32)/1000+'Inputs'!$B$21+'Inputs'!$B$7+'Inputs'!$B$10))^2+('Inputs'!$B$8/2)^2))))*'Results'!$B$8)-'Inputs'!$B$28*ABS((('Results'!B7*(1-'Inputs'!$B$24)*(0.5*((((187-43)*MAX('Inputs'!$B$33,'Inputs'!$B$29+'Inputs'!$B$31+'Inputs'!$B$32,'Inputs'!$B$30+'Inputs'!$B$31+'Inputs'!$B$32)/1000+'Inputs'!$B$21)+'Inputs'!$B$7)/SQRT((((187-43)*MAX('Inputs'!$B$33,'Inputs'!$B$29+'Inputs'!$B$31+'Inputs'!$B$32,'Inputs'!$B$30+'Inputs'!$B$31+'Inputs'!$B$32)/1000+'Inputs'!$B$21)+'Inputs'!$B$7)^2+('Inputs'!$B$6/2)^2)-(((187-43)*MAX('Inputs'!$B$33,'Inputs'!$B$29+'Inputs'!$B$31+'Inputs'!$B$32,'Inputs'!$B$30+'Inputs'!$B$31+'Inputs'!$B$32)/1000+'Inputs'!$B$21))/SQRT((((187-43)*MAX('Inputs'!$B$33,'Inputs'!$B$29+'Inputs'!$B$31+'Inputs'!$B$32,'Inputs'!$B$30+'Inputs'!$B$31+'Inputs'!$B$32)/1000+'Inputs'!$B$21))^2+('Inputs'!$B$6/2)^2)))-'Results'!C7*(1+'Inputs'!$B$24)*(0.5*((((187-43)*MAX('Inputs'!$B$33,'Inputs'!$B$29+'Inputs'!$B$31+'Inputs'!$B$32,'Inputs'!$B$30+'Inputs'!$B$31+'Inputs'!$B$32)/1000+'Inputs'!$B$21+'Inputs'!$B$7+'Inputs'!$B$10)+'Inputs'!$B$9)/SQRT((((187-43)*MAX('Inputs'!$B$33,'Inputs'!$B$29+'Inputs'!$B$31+'Inputs'!$B$32,'Inputs'!$B$30+'Inputs'!$B$31+'Inputs'!$B$32)/1000+'Inputs'!$B$21+'Inputs'!$B$7+'Inputs'!$B$10)+'Inputs'!$B$9)^2+('Inputs'!$B$8/2)^2)-(((187-43)*MAX('Inputs'!$B$33,'Inputs'!$B$29+'Inputs'!$B$31+'Inputs'!$B$32,'Inputs'!$B$30+'Inputs'!$B$31+'Inputs'!$B$32)/1000+'Inputs'!$B$21+'Inputs'!$B$7+'Inputs'!$B$10))/SQRT((((187-43)*MAX('Inputs'!$B$33,'Inputs'!$B$29+'Inputs'!$B$31+'Inputs'!$B$32,'Inputs'!$B$30+'Inputs'!$B$31+'Inputs'!$B$32)/1000+'Inputs'!$B$21+'Inputs'!$B$7+'Inputs'!$B$10))^2+('Inputs'!$B$8/2)^2))))*'Results'!$B$8))),"")</x:f>
        <x:v>156.6009621075221</x:v>
      </x:c>
      <x:c r="L187" t="n">
        <x:f>IF(AND(ISNUMBER('Results'!B7),ISNUMBER('Results'!C7),ISNUMBER('Results'!$B$8),ISNUMBER('Inputs'!$B$6),ISNUMBER('Inputs'!$B$7),ISNUMBER('Inputs'!$B$8),ISNUMBER('Inputs'!$B$9),ISNUMBER('Inputs'!$B$10),ISNUMBER('Inputs'!$B$21),ISNUMBER('Inputs'!$B$24),ISNUMBER('Inputs'!$B$28)),((('Results'!B7*(1+'Inputs'!$B$24)*(0.5*((((187-43)*MAX('Inputs'!$B$33,'Inputs'!$B$29+'Inputs'!$B$31+'Inputs'!$B$32,'Inputs'!$B$30+'Inputs'!$B$31+'Inputs'!$B$32)/1000+'Inputs'!$B$21)+'Inputs'!$B$7)/SQRT((((187-43)*MAX('Inputs'!$B$33,'Inputs'!$B$29+'Inputs'!$B$31+'Inputs'!$B$32,'Inputs'!$B$30+'Inputs'!$B$31+'Inputs'!$B$32)/1000+'Inputs'!$B$21)+'Inputs'!$B$7)^2+('Inputs'!$B$6/2)^2)-(((187-43)*MAX('Inputs'!$B$33,'Inputs'!$B$29+'Inputs'!$B$31+'Inputs'!$B$32,'Inputs'!$B$30+'Inputs'!$B$31+'Inputs'!$B$32)/1000+'Inputs'!$B$21))/SQRT((((187-43)*MAX('Inputs'!$B$33,'Inputs'!$B$29+'Inputs'!$B$31+'Inputs'!$B$32,'Inputs'!$B$30+'Inputs'!$B$31+'Inputs'!$B$32)/1000+'Inputs'!$B$21))^2+('Inputs'!$B$6/2)^2)))-'Results'!C7*(1-'Inputs'!$B$24)*(0.5*((((187-43)*MAX('Inputs'!$B$33,'Inputs'!$B$29+'Inputs'!$B$31+'Inputs'!$B$32,'Inputs'!$B$30+'Inputs'!$B$31+'Inputs'!$B$32)/1000+'Inputs'!$B$21+'Inputs'!$B$7+'Inputs'!$B$10)+'Inputs'!$B$9)/SQRT((((187-43)*MAX('Inputs'!$B$33,'Inputs'!$B$29+'Inputs'!$B$31+'Inputs'!$B$32,'Inputs'!$B$30+'Inputs'!$B$31+'Inputs'!$B$32)/1000+'Inputs'!$B$21+'Inputs'!$B$7+'Inputs'!$B$10)+'Inputs'!$B$9)^2+('Inputs'!$B$8/2)^2)-(((187-43)*MAX('Inputs'!$B$33,'Inputs'!$B$29+'Inputs'!$B$31+'Inputs'!$B$32,'Inputs'!$B$30+'Inputs'!$B$31+'Inputs'!$B$32)/1000+'Inputs'!$B$21+'Inputs'!$B$7+'Inputs'!$B$10))/SQRT((((187-43)*MAX('Inputs'!$B$33,'Inputs'!$B$29+'Inputs'!$B$31+'Inputs'!$B$32,'Inputs'!$B$30+'Inputs'!$B$31+'Inputs'!$B$32)/1000+'Inputs'!$B$21+'Inputs'!$B$7+'Inputs'!$B$10))^2+('Inputs'!$B$8/2)^2))))*'Results'!$B$8)+'Inputs'!$B$28*ABS((('Results'!B7*(1+'Inputs'!$B$24)*(0.5*((((187-43)*MAX('Inputs'!$B$33,'Inputs'!$B$29+'Inputs'!$B$31+'Inputs'!$B$32,'Inputs'!$B$30+'Inputs'!$B$31+'Inputs'!$B$32)/1000+'Inputs'!$B$21)+'Inputs'!$B$7)/SQRT((((187-43)*MAX('Inputs'!$B$33,'Inputs'!$B$29+'Inputs'!$B$31+'Inputs'!$B$32,'Inputs'!$B$30+'Inputs'!$B$31+'Inputs'!$B$32)/1000+'Inputs'!$B$21)+'Inputs'!$B$7)^2+('Inputs'!$B$6/2)^2)-(((187-43)*MAX('Inputs'!$B$33,'Inputs'!$B$29+'Inputs'!$B$31+'Inputs'!$B$32,'Inputs'!$B$30+'Inputs'!$B$31+'Inputs'!$B$32)/1000+'Inputs'!$B$21))/SQRT((((187-43)*MAX('Inputs'!$B$33,'Inputs'!$B$29+'Inputs'!$B$31+'Inputs'!$B$32,'Inputs'!$B$30+'Inputs'!$B$31+'Inputs'!$B$32)/1000+'Inputs'!$B$21))^2+('Inputs'!$B$6/2)^2)))-'Results'!C7*(1-'Inputs'!$B$24)*(0.5*((((187-43)*MAX('Inputs'!$B$33,'Inputs'!$B$29+'Inputs'!$B$31+'Inputs'!$B$32,'Inputs'!$B$30+'Inputs'!$B$31+'Inputs'!$B$32)/1000+'Inputs'!$B$21+'Inputs'!$B$7+'Inputs'!$B$10)+'Inputs'!$B$9)/SQRT((((187-43)*MAX('Inputs'!$B$33,'Inputs'!$B$29+'Inputs'!$B$31+'Inputs'!$B$32,'Inputs'!$B$30+'Inputs'!$B$31+'Inputs'!$B$32)/1000+'Inputs'!$B$21+'Inputs'!$B$7+'Inputs'!$B$10)+'Inputs'!$B$9)^2+('Inputs'!$B$8/2)^2)-(((187-43)*MAX('Inputs'!$B$33,'Inputs'!$B$29+'Inputs'!$B$31+'Inputs'!$B$32,'Inputs'!$B$30+'Inputs'!$B$31+'Inputs'!$B$32)/1000+'Inputs'!$B$21+'Inputs'!$B$7+'Inputs'!$B$10))/SQRT((((187-43)*MAX('Inputs'!$B$33,'Inputs'!$B$29+'Inputs'!$B$31+'Inputs'!$B$32,'Inputs'!$B$30+'Inputs'!$B$31+'Inputs'!$B$32)/1000+'Inputs'!$B$21+'Inputs'!$B$7+'Inputs'!$B$10))^2+('Inputs'!$B$8/2)^2))))*'Results'!$B$8))),"")</x:f>
        <x:v>184.79058907561068</x:v>
      </x:c>
      <x:c r="M187" t="n">
        <x:f>IF(AND(ISNUMBER('Results'!C7),ISNUMBER('Results'!B7),ISNUMBER('Results'!$B$8),ISNUMBER('Inputs'!$B$6),ISNUMBER('Inputs'!$B$7),ISNUMBER('Inputs'!$B$8),ISNUMBER('Inputs'!$B$9),ISNUMBER('Inputs'!$B$10),ISNUMBER('Inputs'!$B$21),ISNUMBER('Inputs'!$B$24),ISNUMBER('Inputs'!$B$28)),(('Results'!C7*(0.5*((((187-43)*MAX('Inputs'!$B$33,'Inputs'!$B$29+'Inputs'!$B$31+'Inputs'!$B$32,'Inputs'!$B$30+'Inputs'!$B$31+'Inputs'!$B$32)/1000+'Inputs'!$B$21)+'Inputs'!$B$9)/SQRT((((187-43)*MAX('Inputs'!$B$33,'Inputs'!$B$29+'Inputs'!$B$31+'Inputs'!$B$32,'Inputs'!$B$30+'Inputs'!$B$31+'Inputs'!$B$32)/1000+'Inputs'!$B$21)+'Inputs'!$B$9)^2+('Inputs'!$B$8/2)^2)-(((187-43)*MAX('Inputs'!$B$33,'Inputs'!$B$29+'Inputs'!$B$31+'Inputs'!$B$32,'Inputs'!$B$30+'Inputs'!$B$31+'Inputs'!$B$32)/1000+'Inputs'!$B$21))/SQRT((((187-43)*MAX('Inputs'!$B$33,'Inputs'!$B$29+'Inputs'!$B$31+'Inputs'!$B$32,'Inputs'!$B$30+'Inputs'!$B$31+'Inputs'!$B$32)/1000+'Inputs'!$B$21))^2+('Inputs'!$B$8/2)^2)))-'Results'!B7*(0.5*((((187-43)*MAX('Inputs'!$B$33,'Inputs'!$B$29+'Inputs'!$B$31+'Inputs'!$B$32,'Inputs'!$B$30+'Inputs'!$B$31+'Inputs'!$B$32)/1000+'Inputs'!$B$21+'Inputs'!$B$9+'Inputs'!$B$10)+'Inputs'!$B$7)/SQRT((((187-43)*MAX('Inputs'!$B$33,'Inputs'!$B$29+'Inputs'!$B$31+'Inputs'!$B$32,'Inputs'!$B$30+'Inputs'!$B$31+'Inputs'!$B$32)/1000+'Inputs'!$B$21+'Inputs'!$B$9+'Inputs'!$B$10)+'Inputs'!$B$7)^2+('Inputs'!$B$6/2)^2)-(((187-43)*MAX('Inputs'!$B$33,'Inputs'!$B$29+'Inputs'!$B$31+'Inputs'!$B$32,'Inputs'!$B$30+'Inputs'!$B$31+'Inputs'!$B$32)/1000+'Inputs'!$B$21+'Inputs'!$B$9+'Inputs'!$B$10))/SQRT((((187-43)*MAX('Inputs'!$B$33,'Inputs'!$B$29+'Inputs'!$B$31+'Inputs'!$B$32,'Inputs'!$B$30+'Inputs'!$B$31+'Inputs'!$B$32)/1000+'Inputs'!$B$21+'Inputs'!$B$9+'Inputs'!$B$10))^2+('Inputs'!$B$6/2)^2))))*'Results'!$B$8),"")</x:f>
        <x:v>164.8210198645379</x:v>
      </x:c>
      <x:c r="N187" t="n">
        <x:f>IF(AND(ISNUMBER('Results'!C7),ISNUMBER('Results'!B7),ISNUMBER('Results'!$B$8),ISNUMBER('Inputs'!$B$6),ISNUMBER('Inputs'!$B$7),ISNUMBER('Inputs'!$B$8),ISNUMBER('Inputs'!$B$9),ISNUMBER('Inputs'!$B$10),ISNUMBER('Inputs'!$B$21),ISNUMBER('Inputs'!$B$24),ISNUMBER('Inputs'!$B$28)),((('Results'!C7*(1-'Inputs'!$B$24)*(0.5*((((187-43)*MAX('Inputs'!$B$33,'Inputs'!$B$29+'Inputs'!$B$31+'Inputs'!$B$32,'Inputs'!$B$30+'Inputs'!$B$31+'Inputs'!$B$32)/1000+'Inputs'!$B$21)+'Inputs'!$B$9)/SQRT((((187-43)*MAX('Inputs'!$B$33,'Inputs'!$B$29+'Inputs'!$B$31+'Inputs'!$B$32,'Inputs'!$B$30+'Inputs'!$B$31+'Inputs'!$B$32)/1000+'Inputs'!$B$21)+'Inputs'!$B$9)^2+('Inputs'!$B$8/2)^2)-(((187-43)*MAX('Inputs'!$B$33,'Inputs'!$B$29+'Inputs'!$B$31+'Inputs'!$B$32,'Inputs'!$B$30+'Inputs'!$B$31+'Inputs'!$B$32)/1000+'Inputs'!$B$21))/SQRT((((187-43)*MAX('Inputs'!$B$33,'Inputs'!$B$29+'Inputs'!$B$31+'Inputs'!$B$32,'Inputs'!$B$30+'Inputs'!$B$31+'Inputs'!$B$32)/1000+'Inputs'!$B$21))^2+('Inputs'!$B$8/2)^2)))-'Results'!B7*(1+'Inputs'!$B$24)*(0.5*((((187-43)*MAX('Inputs'!$B$33,'Inputs'!$B$29+'Inputs'!$B$31+'Inputs'!$B$32,'Inputs'!$B$30+'Inputs'!$B$31+'Inputs'!$B$32)/1000+'Inputs'!$B$21+'Inputs'!$B$9+'Inputs'!$B$10)+'Inputs'!$B$7)/SQRT((((187-43)*MAX('Inputs'!$B$33,'Inputs'!$B$29+'Inputs'!$B$31+'Inputs'!$B$32,'Inputs'!$B$30+'Inputs'!$B$31+'Inputs'!$B$32)/1000+'Inputs'!$B$21+'Inputs'!$B$9+'Inputs'!$B$10)+'Inputs'!$B$7)^2+('Inputs'!$B$6/2)^2)-(((187-43)*MAX('Inputs'!$B$33,'Inputs'!$B$29+'Inputs'!$B$31+'Inputs'!$B$32,'Inputs'!$B$30+'Inputs'!$B$31+'Inputs'!$B$32)/1000+'Inputs'!$B$21+'Inputs'!$B$9+'Inputs'!$B$10))/SQRT((((187-43)*MAX('Inputs'!$B$33,'Inputs'!$B$29+'Inputs'!$B$31+'Inputs'!$B$32,'Inputs'!$B$30+'Inputs'!$B$31+'Inputs'!$B$32)/1000+'Inputs'!$B$21+'Inputs'!$B$9+'Inputs'!$B$10))^2+('Inputs'!$B$6/2)^2))))*'Results'!$B$8)-'Inputs'!$B$28*ABS((('Results'!C7*(1-'Inputs'!$B$24)*(0.5*((((187-43)*MAX('Inputs'!$B$33,'Inputs'!$B$29+'Inputs'!$B$31+'Inputs'!$B$32,'Inputs'!$B$30+'Inputs'!$B$31+'Inputs'!$B$32)/1000+'Inputs'!$B$21)+'Inputs'!$B$9)/SQRT((((187-43)*MAX('Inputs'!$B$33,'Inputs'!$B$29+'Inputs'!$B$31+'Inputs'!$B$32,'Inputs'!$B$30+'Inputs'!$B$31+'Inputs'!$B$32)/1000+'Inputs'!$B$21)+'Inputs'!$B$9)^2+('Inputs'!$B$8/2)^2)-(((187-43)*MAX('Inputs'!$B$33,'Inputs'!$B$29+'Inputs'!$B$31+'Inputs'!$B$32,'Inputs'!$B$30+'Inputs'!$B$31+'Inputs'!$B$32)/1000+'Inputs'!$B$21))/SQRT((((187-43)*MAX('Inputs'!$B$33,'Inputs'!$B$29+'Inputs'!$B$31+'Inputs'!$B$32,'Inputs'!$B$30+'Inputs'!$B$31+'Inputs'!$B$32)/1000+'Inputs'!$B$21))^2+('Inputs'!$B$8/2)^2)))-'Results'!B7*(1+'Inputs'!$B$24)*(0.5*((((187-43)*MAX('Inputs'!$B$33,'Inputs'!$B$29+'Inputs'!$B$31+'Inputs'!$B$32,'Inputs'!$B$30+'Inputs'!$B$31+'Inputs'!$B$32)/1000+'Inputs'!$B$21+'Inputs'!$B$9+'Inputs'!$B$10)+'Inputs'!$B$7)/SQRT((((187-43)*MAX('Inputs'!$B$33,'Inputs'!$B$29+'Inputs'!$B$31+'Inputs'!$B$32,'Inputs'!$B$30+'Inputs'!$B$31+'Inputs'!$B$32)/1000+'Inputs'!$B$21+'Inputs'!$B$9+'Inputs'!$B$10)+'Inputs'!$B$7)^2+('Inputs'!$B$6/2)^2)-(((187-43)*MAX('Inputs'!$B$33,'Inputs'!$B$29+'Inputs'!$B$31+'Inputs'!$B$32,'Inputs'!$B$30+'Inputs'!$B$31+'Inputs'!$B$32)/1000+'Inputs'!$B$21+'Inputs'!$B$9+'Inputs'!$B$10))/SQRT((((187-43)*MAX('Inputs'!$B$33,'Inputs'!$B$29+'Inputs'!$B$31+'Inputs'!$B$32,'Inputs'!$B$30+'Inputs'!$B$31+'Inputs'!$B$32)/1000+'Inputs'!$B$21+'Inputs'!$B$9+'Inputs'!$B$10))^2+('Inputs'!$B$6/2)^2))))*'Results'!$B$8))),"")</x:f>
        <x:v>151.34904587277816</x:v>
      </x:c>
      <x:c r="O187" t="n">
        <x:f>IF(AND(ISNUMBER('Results'!C7),ISNUMBER('Results'!B7),ISNUMBER('Results'!$B$8),ISNUMBER('Inputs'!$B$6),ISNUMBER('Inputs'!$B$7),ISNUMBER('Inputs'!$B$8),ISNUMBER('Inputs'!$B$9),ISNUMBER('Inputs'!$B$10),ISNUMBER('Inputs'!$B$21),ISNUMBER('Inputs'!$B$24),ISNUMBER('Inputs'!$B$28)),((('Results'!C7*(1+'Inputs'!$B$24)*(0.5*((((187-43)*MAX('Inputs'!$B$33,'Inputs'!$B$29+'Inputs'!$B$31+'Inputs'!$B$32,'Inputs'!$B$30+'Inputs'!$B$31+'Inputs'!$B$32)/1000+'Inputs'!$B$21)+'Inputs'!$B$9)/SQRT((((187-43)*MAX('Inputs'!$B$33,'Inputs'!$B$29+'Inputs'!$B$31+'Inputs'!$B$32,'Inputs'!$B$30+'Inputs'!$B$31+'Inputs'!$B$32)/1000+'Inputs'!$B$21)+'Inputs'!$B$9)^2+('Inputs'!$B$8/2)^2)-(((187-43)*MAX('Inputs'!$B$33,'Inputs'!$B$29+'Inputs'!$B$31+'Inputs'!$B$32,'Inputs'!$B$30+'Inputs'!$B$31+'Inputs'!$B$32)/1000+'Inputs'!$B$21))/SQRT((((187-43)*MAX('Inputs'!$B$33,'Inputs'!$B$29+'Inputs'!$B$31+'Inputs'!$B$32,'Inputs'!$B$30+'Inputs'!$B$31+'Inputs'!$B$32)/1000+'Inputs'!$B$21))^2+('Inputs'!$B$8/2)^2)))-'Results'!B7*(1-'Inputs'!$B$24)*(0.5*((((187-43)*MAX('Inputs'!$B$33,'Inputs'!$B$29+'Inputs'!$B$31+'Inputs'!$B$32,'Inputs'!$B$30+'Inputs'!$B$31+'Inputs'!$B$32)/1000+'Inputs'!$B$21+'Inputs'!$B$9+'Inputs'!$B$10)+'Inputs'!$B$7)/SQRT((((187-43)*MAX('Inputs'!$B$33,'Inputs'!$B$29+'Inputs'!$B$31+'Inputs'!$B$32,'Inputs'!$B$30+'Inputs'!$B$31+'Inputs'!$B$32)/1000+'Inputs'!$B$21+'Inputs'!$B$9+'Inputs'!$B$10)+'Inputs'!$B$7)^2+('Inputs'!$B$6/2)^2)-(((187-43)*MAX('Inputs'!$B$33,'Inputs'!$B$29+'Inputs'!$B$31+'Inputs'!$B$32,'Inputs'!$B$30+'Inputs'!$B$31+'Inputs'!$B$32)/1000+'Inputs'!$B$21+'Inputs'!$B$9+'Inputs'!$B$10))/SQRT((((187-43)*MAX('Inputs'!$B$33,'Inputs'!$B$29+'Inputs'!$B$31+'Inputs'!$B$32,'Inputs'!$B$30+'Inputs'!$B$31+'Inputs'!$B$32)/1000+'Inputs'!$B$21+'Inputs'!$B$9+'Inputs'!$B$10))^2+('Inputs'!$B$6/2)^2))))*'Results'!$B$8)+'Inputs'!$B$28*ABS((('Results'!C7*(1+'Inputs'!$B$24)*(0.5*((((187-43)*MAX('Inputs'!$B$33,'Inputs'!$B$29+'Inputs'!$B$31+'Inputs'!$B$32,'Inputs'!$B$30+'Inputs'!$B$31+'Inputs'!$B$32)/1000+'Inputs'!$B$21)+'Inputs'!$B$9)/SQRT((((187-43)*MAX('Inputs'!$B$33,'Inputs'!$B$29+'Inputs'!$B$31+'Inputs'!$B$32,'Inputs'!$B$30+'Inputs'!$B$31+'Inputs'!$B$32)/1000+'Inputs'!$B$21)+'Inputs'!$B$9)^2+('Inputs'!$B$8/2)^2)-(((187-43)*MAX('Inputs'!$B$33,'Inputs'!$B$29+'Inputs'!$B$31+'Inputs'!$B$32,'Inputs'!$B$30+'Inputs'!$B$31+'Inputs'!$B$32)/1000+'Inputs'!$B$21))/SQRT((((187-43)*MAX('Inputs'!$B$33,'Inputs'!$B$29+'Inputs'!$B$31+'Inputs'!$B$32,'Inputs'!$B$30+'Inputs'!$B$31+'Inputs'!$B$32)/1000+'Inputs'!$B$21))^2+('Inputs'!$B$8/2)^2)))-'Results'!B7*(1-'Inputs'!$B$24)*(0.5*((((187-43)*MAX('Inputs'!$B$33,'Inputs'!$B$29+'Inputs'!$B$31+'Inputs'!$B$32,'Inputs'!$B$30+'Inputs'!$B$31+'Inputs'!$B$32)/1000+'Inputs'!$B$21+'Inputs'!$B$9+'Inputs'!$B$10)+'Inputs'!$B$7)/SQRT((((187-43)*MAX('Inputs'!$B$33,'Inputs'!$B$29+'Inputs'!$B$31+'Inputs'!$B$32,'Inputs'!$B$30+'Inputs'!$B$31+'Inputs'!$B$32)/1000+'Inputs'!$B$21+'Inputs'!$B$9+'Inputs'!$B$10)+'Inputs'!$B$7)^2+('Inputs'!$B$6/2)^2)-(((187-43)*MAX('Inputs'!$B$33,'Inputs'!$B$29+'Inputs'!$B$31+'Inputs'!$B$32,'Inputs'!$B$30+'Inputs'!$B$31+'Inputs'!$B$32)/1000+'Inputs'!$B$21+'Inputs'!$B$9+'Inputs'!$B$10))/SQRT((((187-43)*MAX('Inputs'!$B$33,'Inputs'!$B$29+'Inputs'!$B$31+'Inputs'!$B$32,'Inputs'!$B$30+'Inputs'!$B$31+'Inputs'!$B$32)/1000+'Inputs'!$B$21+'Inputs'!$B$9+'Inputs'!$B$10))^2+('Inputs'!$B$6/2)^2))))*'Results'!$B$8))),"")</x:f>
        <x:v>178.84361732982742</x:v>
      </x:c>
      <x:c r="P187" t="n">
        <x:f>IF(AND(MAX(J187,J186)&gt;0,J187&gt;J186+0.00000001),1,0)</x:f>
        <x:v>0</x:v>
      </x:c>
      <x:c r="Q187" t="n">
        <x:f>IF(AND(MAX(K187,K186)&gt;0,K187&gt;K186+0.00000001),1,0)</x:f>
        <x:v>0</x:v>
      </x:c>
      <x:c r="R187" t="n">
        <x:f>IF(AND(MAX(L187,L186)&gt;0,L187&gt;L186+0.00000001),1,0)</x:f>
        <x:v>0</x:v>
      </x:c>
      <x:c r="S187" t="n">
        <x:f>IF(AND(MAX(M187,M186)&gt;0,M187&gt;M186+0.00000001),1,0)</x:f>
        <x:v>0</x:v>
      </x:c>
      <x:c r="T187" t="n">
        <x:f>IF(AND(MAX(N187,N186)&gt;0,N187&gt;N186+0.00000001),1,0)</x:f>
        <x:v>0</x:v>
      </x:c>
      <x:c r="U187" t="n">
        <x:f>IF(AND(MAX(O187,O186)&gt;0,O187&gt;O186+0.00000001),1,0)</x:f>
        <x:v>0</x:v>
      </x:c>
    </x:row>
    <x:row r="188">
      <x:c r="J188" t="n">
        <x:f>IF(AND(ISNUMBER('Results'!B7),ISNUMBER('Results'!C7),ISNUMBER('Results'!$B$8),ISNUMBER('Inputs'!$B$6),ISNUMBER('Inputs'!$B$7),ISNUMBER('Inputs'!$B$8),ISNUMBER('Inputs'!$B$9),ISNUMBER('Inputs'!$B$10),ISNUMBER('Inputs'!$B$21),ISNUMBER('Inputs'!$B$24),ISNUMBER('Inputs'!$B$28)),(('Results'!B7*(0.5*((((188-43)*MAX('Inputs'!$B$33,'Inputs'!$B$29+'Inputs'!$B$31+'Inputs'!$B$32,'Inputs'!$B$30+'Inputs'!$B$31+'Inputs'!$B$32)/1000+'Inputs'!$B$21)+'Inputs'!$B$7)/SQRT((((188-43)*MAX('Inputs'!$B$33,'Inputs'!$B$29+'Inputs'!$B$31+'Inputs'!$B$32,'Inputs'!$B$30+'Inputs'!$B$31+'Inputs'!$B$32)/1000+'Inputs'!$B$21)+'Inputs'!$B$7)^2+('Inputs'!$B$6/2)^2)-(((188-43)*MAX('Inputs'!$B$33,'Inputs'!$B$29+'Inputs'!$B$31+'Inputs'!$B$32,'Inputs'!$B$30+'Inputs'!$B$31+'Inputs'!$B$32)/1000+'Inputs'!$B$21))/SQRT((((188-43)*MAX('Inputs'!$B$33,'Inputs'!$B$29+'Inputs'!$B$31+'Inputs'!$B$32,'Inputs'!$B$30+'Inputs'!$B$31+'Inputs'!$B$32)/1000+'Inputs'!$B$21))^2+('Inputs'!$B$6/2)^2)))-'Results'!C7*(0.5*((((188-43)*MAX('Inputs'!$B$33,'Inputs'!$B$29+'Inputs'!$B$31+'Inputs'!$B$32,'Inputs'!$B$30+'Inputs'!$B$31+'Inputs'!$B$32)/1000+'Inputs'!$B$21+'Inputs'!$B$7+'Inputs'!$B$10)+'Inputs'!$B$9)/SQRT((((188-43)*MAX('Inputs'!$B$33,'Inputs'!$B$29+'Inputs'!$B$31+'Inputs'!$B$32,'Inputs'!$B$30+'Inputs'!$B$31+'Inputs'!$B$32)/1000+'Inputs'!$B$21+'Inputs'!$B$7+'Inputs'!$B$10)+'Inputs'!$B$9)^2+('Inputs'!$B$8/2)^2)-(((188-43)*MAX('Inputs'!$B$33,'Inputs'!$B$29+'Inputs'!$B$31+'Inputs'!$B$32,'Inputs'!$B$30+'Inputs'!$B$31+'Inputs'!$B$32)/1000+'Inputs'!$B$21+'Inputs'!$B$7+'Inputs'!$B$10))/SQRT((((188-43)*MAX('Inputs'!$B$33,'Inputs'!$B$29+'Inputs'!$B$31+'Inputs'!$B$32,'Inputs'!$B$30+'Inputs'!$B$31+'Inputs'!$B$32)/1000+'Inputs'!$B$21+'Inputs'!$B$7+'Inputs'!$B$10))^2+('Inputs'!$B$8/2)^2))))*'Results'!$B$8),"")</x:f>
        <x:v>167.62922154929822</x:v>
      </x:c>
      <x:c r="K188" t="n">
        <x:f>IF(AND(ISNUMBER('Results'!B7),ISNUMBER('Results'!C7),ISNUMBER('Results'!$B$8),ISNUMBER('Inputs'!$B$6),ISNUMBER('Inputs'!$B$7),ISNUMBER('Inputs'!$B$8),ISNUMBER('Inputs'!$B$9),ISNUMBER('Inputs'!$B$10),ISNUMBER('Inputs'!$B$21),ISNUMBER('Inputs'!$B$24),ISNUMBER('Inputs'!$B$28)),((('Results'!B7*(1-'Inputs'!$B$24)*(0.5*((((188-43)*MAX('Inputs'!$B$33,'Inputs'!$B$29+'Inputs'!$B$31+'Inputs'!$B$32,'Inputs'!$B$30+'Inputs'!$B$31+'Inputs'!$B$32)/1000+'Inputs'!$B$21)+'Inputs'!$B$7)/SQRT((((188-43)*MAX('Inputs'!$B$33,'Inputs'!$B$29+'Inputs'!$B$31+'Inputs'!$B$32,'Inputs'!$B$30+'Inputs'!$B$31+'Inputs'!$B$32)/1000+'Inputs'!$B$21)+'Inputs'!$B$7)^2+('Inputs'!$B$6/2)^2)-(((188-43)*MAX('Inputs'!$B$33,'Inputs'!$B$29+'Inputs'!$B$31+'Inputs'!$B$32,'Inputs'!$B$30+'Inputs'!$B$31+'Inputs'!$B$32)/1000+'Inputs'!$B$21))/SQRT((((188-43)*MAX('Inputs'!$B$33,'Inputs'!$B$29+'Inputs'!$B$31+'Inputs'!$B$32,'Inputs'!$B$30+'Inputs'!$B$31+'Inputs'!$B$32)/1000+'Inputs'!$B$21))^2+('Inputs'!$B$6/2)^2)))-'Results'!C7*(1+'Inputs'!$B$24)*(0.5*((((188-43)*MAX('Inputs'!$B$33,'Inputs'!$B$29+'Inputs'!$B$31+'Inputs'!$B$32,'Inputs'!$B$30+'Inputs'!$B$31+'Inputs'!$B$32)/1000+'Inputs'!$B$21+'Inputs'!$B$7+'Inputs'!$B$10)+'Inputs'!$B$9)/SQRT((((188-43)*MAX('Inputs'!$B$33,'Inputs'!$B$29+'Inputs'!$B$31+'Inputs'!$B$32,'Inputs'!$B$30+'Inputs'!$B$31+'Inputs'!$B$32)/1000+'Inputs'!$B$21+'Inputs'!$B$7+'Inputs'!$B$10)+'Inputs'!$B$9)^2+('Inputs'!$B$8/2)^2)-(((188-43)*MAX('Inputs'!$B$33,'Inputs'!$B$29+'Inputs'!$B$31+'Inputs'!$B$32,'Inputs'!$B$30+'Inputs'!$B$31+'Inputs'!$B$32)/1000+'Inputs'!$B$21+'Inputs'!$B$7+'Inputs'!$B$10))/SQRT((((188-43)*MAX('Inputs'!$B$33,'Inputs'!$B$29+'Inputs'!$B$31+'Inputs'!$B$32,'Inputs'!$B$30+'Inputs'!$B$31+'Inputs'!$B$32)/1000+'Inputs'!$B$21+'Inputs'!$B$7+'Inputs'!$B$10))^2+('Inputs'!$B$8/2)^2))))*'Results'!$B$8)-'Inputs'!$B$28*ABS((('Results'!B7*(1-'Inputs'!$B$24)*(0.5*((((188-43)*MAX('Inputs'!$B$33,'Inputs'!$B$29+'Inputs'!$B$31+'Inputs'!$B$32,'Inputs'!$B$30+'Inputs'!$B$31+'Inputs'!$B$32)/1000+'Inputs'!$B$21)+'Inputs'!$B$7)/SQRT((((188-43)*MAX('Inputs'!$B$33,'Inputs'!$B$29+'Inputs'!$B$31+'Inputs'!$B$32,'Inputs'!$B$30+'Inputs'!$B$31+'Inputs'!$B$32)/1000+'Inputs'!$B$21)+'Inputs'!$B$7)^2+('Inputs'!$B$6/2)^2)-(((188-43)*MAX('Inputs'!$B$33,'Inputs'!$B$29+'Inputs'!$B$31+'Inputs'!$B$32,'Inputs'!$B$30+'Inputs'!$B$31+'Inputs'!$B$32)/1000+'Inputs'!$B$21))/SQRT((((188-43)*MAX('Inputs'!$B$33,'Inputs'!$B$29+'Inputs'!$B$31+'Inputs'!$B$32,'Inputs'!$B$30+'Inputs'!$B$31+'Inputs'!$B$32)/1000+'Inputs'!$B$21))^2+('Inputs'!$B$6/2)^2)))-'Results'!C7*(1+'Inputs'!$B$24)*(0.5*((((188-43)*MAX('Inputs'!$B$33,'Inputs'!$B$29+'Inputs'!$B$31+'Inputs'!$B$32,'Inputs'!$B$30+'Inputs'!$B$31+'Inputs'!$B$32)/1000+'Inputs'!$B$21+'Inputs'!$B$7+'Inputs'!$B$10)+'Inputs'!$B$9)/SQRT((((188-43)*MAX('Inputs'!$B$33,'Inputs'!$B$29+'Inputs'!$B$31+'Inputs'!$B$32,'Inputs'!$B$30+'Inputs'!$B$31+'Inputs'!$B$32)/1000+'Inputs'!$B$21+'Inputs'!$B$7+'Inputs'!$B$10)+'Inputs'!$B$9)^2+('Inputs'!$B$8/2)^2)-(((188-43)*MAX('Inputs'!$B$33,'Inputs'!$B$29+'Inputs'!$B$31+'Inputs'!$B$32,'Inputs'!$B$30+'Inputs'!$B$31+'Inputs'!$B$32)/1000+'Inputs'!$B$21+'Inputs'!$B$7+'Inputs'!$B$10))/SQRT((((188-43)*MAX('Inputs'!$B$33,'Inputs'!$B$29+'Inputs'!$B$31+'Inputs'!$B$32,'Inputs'!$B$30+'Inputs'!$B$31+'Inputs'!$B$32)/1000+'Inputs'!$B$21+'Inputs'!$B$7+'Inputs'!$B$10))^2+('Inputs'!$B$8/2)^2))))*'Results'!$B$8))),"")</x:f>
        <x:v>154.02593319024194</x:v>
      </x:c>
      <x:c r="L188" t="n">
        <x:f>IF(AND(ISNUMBER('Results'!B7),ISNUMBER('Results'!C7),ISNUMBER('Results'!$B$8),ISNUMBER('Inputs'!$B$6),ISNUMBER('Inputs'!$B$7),ISNUMBER('Inputs'!$B$8),ISNUMBER('Inputs'!$B$9),ISNUMBER('Inputs'!$B$10),ISNUMBER('Inputs'!$B$21),ISNUMBER('Inputs'!$B$24),ISNUMBER('Inputs'!$B$28)),((('Results'!B7*(1+'Inputs'!$B$24)*(0.5*((((188-43)*MAX('Inputs'!$B$33,'Inputs'!$B$29+'Inputs'!$B$31+'Inputs'!$B$32,'Inputs'!$B$30+'Inputs'!$B$31+'Inputs'!$B$32)/1000+'Inputs'!$B$21)+'Inputs'!$B$7)/SQRT((((188-43)*MAX('Inputs'!$B$33,'Inputs'!$B$29+'Inputs'!$B$31+'Inputs'!$B$32,'Inputs'!$B$30+'Inputs'!$B$31+'Inputs'!$B$32)/1000+'Inputs'!$B$21)+'Inputs'!$B$7)^2+('Inputs'!$B$6/2)^2)-(((188-43)*MAX('Inputs'!$B$33,'Inputs'!$B$29+'Inputs'!$B$31+'Inputs'!$B$32,'Inputs'!$B$30+'Inputs'!$B$31+'Inputs'!$B$32)/1000+'Inputs'!$B$21))/SQRT((((188-43)*MAX('Inputs'!$B$33,'Inputs'!$B$29+'Inputs'!$B$31+'Inputs'!$B$32,'Inputs'!$B$30+'Inputs'!$B$31+'Inputs'!$B$32)/1000+'Inputs'!$B$21))^2+('Inputs'!$B$6/2)^2)))-'Results'!C7*(1-'Inputs'!$B$24)*(0.5*((((188-43)*MAX('Inputs'!$B$33,'Inputs'!$B$29+'Inputs'!$B$31+'Inputs'!$B$32,'Inputs'!$B$30+'Inputs'!$B$31+'Inputs'!$B$32)/1000+'Inputs'!$B$21+'Inputs'!$B$7+'Inputs'!$B$10)+'Inputs'!$B$9)/SQRT((((188-43)*MAX('Inputs'!$B$33,'Inputs'!$B$29+'Inputs'!$B$31+'Inputs'!$B$32,'Inputs'!$B$30+'Inputs'!$B$31+'Inputs'!$B$32)/1000+'Inputs'!$B$21+'Inputs'!$B$7+'Inputs'!$B$10)+'Inputs'!$B$9)^2+('Inputs'!$B$8/2)^2)-(((188-43)*MAX('Inputs'!$B$33,'Inputs'!$B$29+'Inputs'!$B$31+'Inputs'!$B$32,'Inputs'!$B$30+'Inputs'!$B$31+'Inputs'!$B$32)/1000+'Inputs'!$B$21+'Inputs'!$B$7+'Inputs'!$B$10))/SQRT((((188-43)*MAX('Inputs'!$B$33,'Inputs'!$B$29+'Inputs'!$B$31+'Inputs'!$B$32,'Inputs'!$B$30+'Inputs'!$B$31+'Inputs'!$B$32)/1000+'Inputs'!$B$21+'Inputs'!$B$7+'Inputs'!$B$10))^2+('Inputs'!$B$8/2)^2))))*'Results'!$B$8)+'Inputs'!$B$28*ABS((('Results'!B7*(1+'Inputs'!$B$24)*(0.5*((((188-43)*MAX('Inputs'!$B$33,'Inputs'!$B$29+'Inputs'!$B$31+'Inputs'!$B$32,'Inputs'!$B$30+'Inputs'!$B$31+'Inputs'!$B$32)/1000+'Inputs'!$B$21)+'Inputs'!$B$7)/SQRT((((188-43)*MAX('Inputs'!$B$33,'Inputs'!$B$29+'Inputs'!$B$31+'Inputs'!$B$32,'Inputs'!$B$30+'Inputs'!$B$31+'Inputs'!$B$32)/1000+'Inputs'!$B$21)+'Inputs'!$B$7)^2+('Inputs'!$B$6/2)^2)-(((188-43)*MAX('Inputs'!$B$33,'Inputs'!$B$29+'Inputs'!$B$31+'Inputs'!$B$32,'Inputs'!$B$30+'Inputs'!$B$31+'Inputs'!$B$32)/1000+'Inputs'!$B$21))/SQRT((((188-43)*MAX('Inputs'!$B$33,'Inputs'!$B$29+'Inputs'!$B$31+'Inputs'!$B$32,'Inputs'!$B$30+'Inputs'!$B$31+'Inputs'!$B$32)/1000+'Inputs'!$B$21))^2+('Inputs'!$B$6/2)^2)))-'Results'!C7*(1-'Inputs'!$B$24)*(0.5*((((188-43)*MAX('Inputs'!$B$33,'Inputs'!$B$29+'Inputs'!$B$31+'Inputs'!$B$32,'Inputs'!$B$30+'Inputs'!$B$31+'Inputs'!$B$32)/1000+'Inputs'!$B$21+'Inputs'!$B$7+'Inputs'!$B$10)+'Inputs'!$B$9)/SQRT((((188-43)*MAX('Inputs'!$B$33,'Inputs'!$B$29+'Inputs'!$B$31+'Inputs'!$B$32,'Inputs'!$B$30+'Inputs'!$B$31+'Inputs'!$B$32)/1000+'Inputs'!$B$21+'Inputs'!$B$7+'Inputs'!$B$10)+'Inputs'!$B$9)^2+('Inputs'!$B$8/2)^2)-(((188-43)*MAX('Inputs'!$B$33,'Inputs'!$B$29+'Inputs'!$B$31+'Inputs'!$B$32,'Inputs'!$B$30+'Inputs'!$B$31+'Inputs'!$B$32)/1000+'Inputs'!$B$21+'Inputs'!$B$7+'Inputs'!$B$10))/SQRT((((188-43)*MAX('Inputs'!$B$33,'Inputs'!$B$29+'Inputs'!$B$31+'Inputs'!$B$32,'Inputs'!$B$30+'Inputs'!$B$31+'Inputs'!$B$32)/1000+'Inputs'!$B$21+'Inputs'!$B$7+'Inputs'!$B$10))^2+('Inputs'!$B$8/2)^2))))*'Results'!$B$8))),"")</x:f>
        <x:v>181.78217593799573</x:v>
      </x:c>
      <x:c r="M188" t="n">
        <x:f>IF(AND(ISNUMBER('Results'!C7),ISNUMBER('Results'!B7),ISNUMBER('Results'!$B$8),ISNUMBER('Inputs'!$B$6),ISNUMBER('Inputs'!$B$7),ISNUMBER('Inputs'!$B$8),ISNUMBER('Inputs'!$B$9),ISNUMBER('Inputs'!$B$10),ISNUMBER('Inputs'!$B$21),ISNUMBER('Inputs'!$B$24),ISNUMBER('Inputs'!$B$28)),(('Results'!C7*(0.5*((((188-43)*MAX('Inputs'!$B$33,'Inputs'!$B$29+'Inputs'!$B$31+'Inputs'!$B$32,'Inputs'!$B$30+'Inputs'!$B$31+'Inputs'!$B$32)/1000+'Inputs'!$B$21)+'Inputs'!$B$9)/SQRT((((188-43)*MAX('Inputs'!$B$33,'Inputs'!$B$29+'Inputs'!$B$31+'Inputs'!$B$32,'Inputs'!$B$30+'Inputs'!$B$31+'Inputs'!$B$32)/1000+'Inputs'!$B$21)+'Inputs'!$B$9)^2+('Inputs'!$B$8/2)^2)-(((188-43)*MAX('Inputs'!$B$33,'Inputs'!$B$29+'Inputs'!$B$31+'Inputs'!$B$32,'Inputs'!$B$30+'Inputs'!$B$31+'Inputs'!$B$32)/1000+'Inputs'!$B$21))/SQRT((((188-43)*MAX('Inputs'!$B$33,'Inputs'!$B$29+'Inputs'!$B$31+'Inputs'!$B$32,'Inputs'!$B$30+'Inputs'!$B$31+'Inputs'!$B$32)/1000+'Inputs'!$B$21))^2+('Inputs'!$B$8/2)^2)))-'Results'!B7*(0.5*((((188-43)*MAX('Inputs'!$B$33,'Inputs'!$B$29+'Inputs'!$B$31+'Inputs'!$B$32,'Inputs'!$B$30+'Inputs'!$B$31+'Inputs'!$B$32)/1000+'Inputs'!$B$21+'Inputs'!$B$9+'Inputs'!$B$10)+'Inputs'!$B$7)/SQRT((((188-43)*MAX('Inputs'!$B$33,'Inputs'!$B$29+'Inputs'!$B$31+'Inputs'!$B$32,'Inputs'!$B$30+'Inputs'!$B$31+'Inputs'!$B$32)/1000+'Inputs'!$B$21+'Inputs'!$B$9+'Inputs'!$B$10)+'Inputs'!$B$7)^2+('Inputs'!$B$6/2)^2)-(((188-43)*MAX('Inputs'!$B$33,'Inputs'!$B$29+'Inputs'!$B$31+'Inputs'!$B$32,'Inputs'!$B$30+'Inputs'!$B$31+'Inputs'!$B$32)/1000+'Inputs'!$B$21+'Inputs'!$B$9+'Inputs'!$B$10))/SQRT((((188-43)*MAX('Inputs'!$B$33,'Inputs'!$B$29+'Inputs'!$B$31+'Inputs'!$B$32,'Inputs'!$B$30+'Inputs'!$B$31+'Inputs'!$B$32)/1000+'Inputs'!$B$21+'Inputs'!$B$9+'Inputs'!$B$10))^2+('Inputs'!$B$6/2)^2))))*'Results'!$B$8),"")</x:f>
        <x:v>162.11068292772885</x:v>
      </x:c>
      <x:c r="N188" t="n">
        <x:f>IF(AND(ISNUMBER('Results'!C7),ISNUMBER('Results'!B7),ISNUMBER('Results'!$B$8),ISNUMBER('Inputs'!$B$6),ISNUMBER('Inputs'!$B$7),ISNUMBER('Inputs'!$B$8),ISNUMBER('Inputs'!$B$9),ISNUMBER('Inputs'!$B$10),ISNUMBER('Inputs'!$B$21),ISNUMBER('Inputs'!$B$24),ISNUMBER('Inputs'!$B$28)),((('Results'!C7*(1-'Inputs'!$B$24)*(0.5*((((188-43)*MAX('Inputs'!$B$33,'Inputs'!$B$29+'Inputs'!$B$31+'Inputs'!$B$32,'Inputs'!$B$30+'Inputs'!$B$31+'Inputs'!$B$32)/1000+'Inputs'!$B$21)+'Inputs'!$B$9)/SQRT((((188-43)*MAX('Inputs'!$B$33,'Inputs'!$B$29+'Inputs'!$B$31+'Inputs'!$B$32,'Inputs'!$B$30+'Inputs'!$B$31+'Inputs'!$B$32)/1000+'Inputs'!$B$21)+'Inputs'!$B$9)^2+('Inputs'!$B$8/2)^2)-(((188-43)*MAX('Inputs'!$B$33,'Inputs'!$B$29+'Inputs'!$B$31+'Inputs'!$B$32,'Inputs'!$B$30+'Inputs'!$B$31+'Inputs'!$B$32)/1000+'Inputs'!$B$21))/SQRT((((188-43)*MAX('Inputs'!$B$33,'Inputs'!$B$29+'Inputs'!$B$31+'Inputs'!$B$32,'Inputs'!$B$30+'Inputs'!$B$31+'Inputs'!$B$32)/1000+'Inputs'!$B$21))^2+('Inputs'!$B$8/2)^2)))-'Results'!B7*(1+'Inputs'!$B$24)*(0.5*((((188-43)*MAX('Inputs'!$B$33,'Inputs'!$B$29+'Inputs'!$B$31+'Inputs'!$B$32,'Inputs'!$B$30+'Inputs'!$B$31+'Inputs'!$B$32)/1000+'Inputs'!$B$21+'Inputs'!$B$9+'Inputs'!$B$10)+'Inputs'!$B$7)/SQRT((((188-43)*MAX('Inputs'!$B$33,'Inputs'!$B$29+'Inputs'!$B$31+'Inputs'!$B$32,'Inputs'!$B$30+'Inputs'!$B$31+'Inputs'!$B$32)/1000+'Inputs'!$B$21+'Inputs'!$B$9+'Inputs'!$B$10)+'Inputs'!$B$7)^2+('Inputs'!$B$6/2)^2)-(((188-43)*MAX('Inputs'!$B$33,'Inputs'!$B$29+'Inputs'!$B$31+'Inputs'!$B$32,'Inputs'!$B$30+'Inputs'!$B$31+'Inputs'!$B$32)/1000+'Inputs'!$B$21+'Inputs'!$B$9+'Inputs'!$B$10))/SQRT((((188-43)*MAX('Inputs'!$B$33,'Inputs'!$B$29+'Inputs'!$B$31+'Inputs'!$B$32,'Inputs'!$B$30+'Inputs'!$B$31+'Inputs'!$B$32)/1000+'Inputs'!$B$21+'Inputs'!$B$9+'Inputs'!$B$10))^2+('Inputs'!$B$6/2)^2))))*'Results'!$B$8)-'Inputs'!$B$28*ABS((('Results'!C7*(1-'Inputs'!$B$24)*(0.5*((((188-43)*MAX('Inputs'!$B$33,'Inputs'!$B$29+'Inputs'!$B$31+'Inputs'!$B$32,'Inputs'!$B$30+'Inputs'!$B$31+'Inputs'!$B$32)/1000+'Inputs'!$B$21)+'Inputs'!$B$9)/SQRT((((188-43)*MAX('Inputs'!$B$33,'Inputs'!$B$29+'Inputs'!$B$31+'Inputs'!$B$32,'Inputs'!$B$30+'Inputs'!$B$31+'Inputs'!$B$32)/1000+'Inputs'!$B$21)+'Inputs'!$B$9)^2+('Inputs'!$B$8/2)^2)-(((188-43)*MAX('Inputs'!$B$33,'Inputs'!$B$29+'Inputs'!$B$31+'Inputs'!$B$32,'Inputs'!$B$30+'Inputs'!$B$31+'Inputs'!$B$32)/1000+'Inputs'!$B$21))/SQRT((((188-43)*MAX('Inputs'!$B$33,'Inputs'!$B$29+'Inputs'!$B$31+'Inputs'!$B$32,'Inputs'!$B$30+'Inputs'!$B$31+'Inputs'!$B$32)/1000+'Inputs'!$B$21))^2+('Inputs'!$B$8/2)^2)))-'Results'!B7*(1+'Inputs'!$B$24)*(0.5*((((188-43)*MAX('Inputs'!$B$33,'Inputs'!$B$29+'Inputs'!$B$31+'Inputs'!$B$32,'Inputs'!$B$30+'Inputs'!$B$31+'Inputs'!$B$32)/1000+'Inputs'!$B$21+'Inputs'!$B$9+'Inputs'!$B$10)+'Inputs'!$B$7)/SQRT((((188-43)*MAX('Inputs'!$B$33,'Inputs'!$B$29+'Inputs'!$B$31+'Inputs'!$B$32,'Inputs'!$B$30+'Inputs'!$B$31+'Inputs'!$B$32)/1000+'Inputs'!$B$21+'Inputs'!$B$9+'Inputs'!$B$10)+'Inputs'!$B$7)^2+('Inputs'!$B$6/2)^2)-(((188-43)*MAX('Inputs'!$B$33,'Inputs'!$B$29+'Inputs'!$B$31+'Inputs'!$B$32,'Inputs'!$B$30+'Inputs'!$B$31+'Inputs'!$B$32)/1000+'Inputs'!$B$21+'Inputs'!$B$9+'Inputs'!$B$10))/SQRT((((188-43)*MAX('Inputs'!$B$33,'Inputs'!$B$29+'Inputs'!$B$31+'Inputs'!$B$32,'Inputs'!$B$30+'Inputs'!$B$31+'Inputs'!$B$32)/1000+'Inputs'!$B$21+'Inputs'!$B$9+'Inputs'!$B$10))^2+('Inputs'!$B$6/2)^2))))*'Results'!$B$8))),"")</x:f>
        <x:v>148.84660491576182</x:v>
      </x:c>
      <x:c r="O188" t="n">
        <x:f>IF(AND(ISNUMBER('Results'!C7),ISNUMBER('Results'!B7),ISNUMBER('Results'!$B$8),ISNUMBER('Inputs'!$B$6),ISNUMBER('Inputs'!$B$7),ISNUMBER('Inputs'!$B$8),ISNUMBER('Inputs'!$B$9),ISNUMBER('Inputs'!$B$10),ISNUMBER('Inputs'!$B$21),ISNUMBER('Inputs'!$B$24),ISNUMBER('Inputs'!$B$28)),((('Results'!C7*(1+'Inputs'!$B$24)*(0.5*((((188-43)*MAX('Inputs'!$B$33,'Inputs'!$B$29+'Inputs'!$B$31+'Inputs'!$B$32,'Inputs'!$B$30+'Inputs'!$B$31+'Inputs'!$B$32)/1000+'Inputs'!$B$21)+'Inputs'!$B$9)/SQRT((((188-43)*MAX('Inputs'!$B$33,'Inputs'!$B$29+'Inputs'!$B$31+'Inputs'!$B$32,'Inputs'!$B$30+'Inputs'!$B$31+'Inputs'!$B$32)/1000+'Inputs'!$B$21)+'Inputs'!$B$9)^2+('Inputs'!$B$8/2)^2)-(((188-43)*MAX('Inputs'!$B$33,'Inputs'!$B$29+'Inputs'!$B$31+'Inputs'!$B$32,'Inputs'!$B$30+'Inputs'!$B$31+'Inputs'!$B$32)/1000+'Inputs'!$B$21))/SQRT((((188-43)*MAX('Inputs'!$B$33,'Inputs'!$B$29+'Inputs'!$B$31+'Inputs'!$B$32,'Inputs'!$B$30+'Inputs'!$B$31+'Inputs'!$B$32)/1000+'Inputs'!$B$21))^2+('Inputs'!$B$8/2)^2)))-'Results'!B7*(1-'Inputs'!$B$24)*(0.5*((((188-43)*MAX('Inputs'!$B$33,'Inputs'!$B$29+'Inputs'!$B$31+'Inputs'!$B$32,'Inputs'!$B$30+'Inputs'!$B$31+'Inputs'!$B$32)/1000+'Inputs'!$B$21+'Inputs'!$B$9+'Inputs'!$B$10)+'Inputs'!$B$7)/SQRT((((188-43)*MAX('Inputs'!$B$33,'Inputs'!$B$29+'Inputs'!$B$31+'Inputs'!$B$32,'Inputs'!$B$30+'Inputs'!$B$31+'Inputs'!$B$32)/1000+'Inputs'!$B$21+'Inputs'!$B$9+'Inputs'!$B$10)+'Inputs'!$B$7)^2+('Inputs'!$B$6/2)^2)-(((188-43)*MAX('Inputs'!$B$33,'Inputs'!$B$29+'Inputs'!$B$31+'Inputs'!$B$32,'Inputs'!$B$30+'Inputs'!$B$31+'Inputs'!$B$32)/1000+'Inputs'!$B$21+'Inputs'!$B$9+'Inputs'!$B$10))/SQRT((((188-43)*MAX('Inputs'!$B$33,'Inputs'!$B$29+'Inputs'!$B$31+'Inputs'!$B$32,'Inputs'!$B$30+'Inputs'!$B$31+'Inputs'!$B$32)/1000+'Inputs'!$B$21+'Inputs'!$B$9+'Inputs'!$B$10))^2+('Inputs'!$B$6/2)^2))))*'Results'!$B$8)+'Inputs'!$B$28*ABS((('Results'!C7*(1+'Inputs'!$B$24)*(0.5*((((188-43)*MAX('Inputs'!$B$33,'Inputs'!$B$29+'Inputs'!$B$31+'Inputs'!$B$32,'Inputs'!$B$30+'Inputs'!$B$31+'Inputs'!$B$32)/1000+'Inputs'!$B$21)+'Inputs'!$B$9)/SQRT((((188-43)*MAX('Inputs'!$B$33,'Inputs'!$B$29+'Inputs'!$B$31+'Inputs'!$B$32,'Inputs'!$B$30+'Inputs'!$B$31+'Inputs'!$B$32)/1000+'Inputs'!$B$21)+'Inputs'!$B$9)^2+('Inputs'!$B$8/2)^2)-(((188-43)*MAX('Inputs'!$B$33,'Inputs'!$B$29+'Inputs'!$B$31+'Inputs'!$B$32,'Inputs'!$B$30+'Inputs'!$B$31+'Inputs'!$B$32)/1000+'Inputs'!$B$21))/SQRT((((188-43)*MAX('Inputs'!$B$33,'Inputs'!$B$29+'Inputs'!$B$31+'Inputs'!$B$32,'Inputs'!$B$30+'Inputs'!$B$31+'Inputs'!$B$32)/1000+'Inputs'!$B$21))^2+('Inputs'!$B$8/2)^2)))-'Results'!B7*(1-'Inputs'!$B$24)*(0.5*((((188-43)*MAX('Inputs'!$B$33,'Inputs'!$B$29+'Inputs'!$B$31+'Inputs'!$B$32,'Inputs'!$B$30+'Inputs'!$B$31+'Inputs'!$B$32)/1000+'Inputs'!$B$21+'Inputs'!$B$9+'Inputs'!$B$10)+'Inputs'!$B$7)/SQRT((((188-43)*MAX('Inputs'!$B$33,'Inputs'!$B$29+'Inputs'!$B$31+'Inputs'!$B$32,'Inputs'!$B$30+'Inputs'!$B$31+'Inputs'!$B$32)/1000+'Inputs'!$B$21+'Inputs'!$B$9+'Inputs'!$B$10)+'Inputs'!$B$7)^2+('Inputs'!$B$6/2)^2)-(((188-43)*MAX('Inputs'!$B$33,'Inputs'!$B$29+'Inputs'!$B$31+'Inputs'!$B$32,'Inputs'!$B$30+'Inputs'!$B$31+'Inputs'!$B$32)/1000+'Inputs'!$B$21+'Inputs'!$B$9+'Inputs'!$B$10))/SQRT((((188-43)*MAX('Inputs'!$B$33,'Inputs'!$B$29+'Inputs'!$B$31+'Inputs'!$B$32,'Inputs'!$B$30+'Inputs'!$B$31+'Inputs'!$B$32)/1000+'Inputs'!$B$21+'Inputs'!$B$9+'Inputs'!$B$10))^2+('Inputs'!$B$6/2)^2))))*'Results'!$B$8))),"")</x:f>
        <x:v>175.91776555712548</x:v>
      </x:c>
      <x:c r="P188" t="n">
        <x:f>IF(AND(MAX(J188,J187)&gt;0,J188&gt;J187+0.00000001),1,0)</x:f>
        <x:v>0</x:v>
      </x:c>
      <x:c r="Q188" t="n">
        <x:f>IF(AND(MAX(K188,K187)&gt;0,K188&gt;K187+0.00000001),1,0)</x:f>
        <x:v>0</x:v>
      </x:c>
      <x:c r="R188" t="n">
        <x:f>IF(AND(MAX(L188,L187)&gt;0,L188&gt;L187+0.00000001),1,0)</x:f>
        <x:v>0</x:v>
      </x:c>
      <x:c r="S188" t="n">
        <x:f>IF(AND(MAX(M188,M187)&gt;0,M188&gt;M187+0.00000001),1,0)</x:f>
        <x:v>0</x:v>
      </x:c>
      <x:c r="T188" t="n">
        <x:f>IF(AND(MAX(N188,N187)&gt;0,N188&gt;N187+0.00000001),1,0)</x:f>
        <x:v>0</x:v>
      </x:c>
      <x:c r="U188" t="n">
        <x:f>IF(AND(MAX(O188,O187)&gt;0,O188&gt;O187+0.00000001),1,0)</x:f>
        <x:v>0</x:v>
      </x:c>
    </x:row>
    <x:row r="189">
      <x:c r="J189" t="n">
        <x:f>IF(AND(ISNUMBER('Results'!B7),ISNUMBER('Results'!C7),ISNUMBER('Results'!$B$8),ISNUMBER('Inputs'!$B$6),ISNUMBER('Inputs'!$B$7),ISNUMBER('Inputs'!$B$8),ISNUMBER('Inputs'!$B$9),ISNUMBER('Inputs'!$B$10),ISNUMBER('Inputs'!$B$21),ISNUMBER('Inputs'!$B$24),ISNUMBER('Inputs'!$B$28)),(('Results'!B7*(0.5*((((189-43)*MAX('Inputs'!$B$33,'Inputs'!$B$29+'Inputs'!$B$31+'Inputs'!$B$32,'Inputs'!$B$30+'Inputs'!$B$31+'Inputs'!$B$32)/1000+'Inputs'!$B$21)+'Inputs'!$B$7)/SQRT((((189-43)*MAX('Inputs'!$B$33,'Inputs'!$B$29+'Inputs'!$B$31+'Inputs'!$B$32,'Inputs'!$B$30+'Inputs'!$B$31+'Inputs'!$B$32)/1000+'Inputs'!$B$21)+'Inputs'!$B$7)^2+('Inputs'!$B$6/2)^2)-(((189-43)*MAX('Inputs'!$B$33,'Inputs'!$B$29+'Inputs'!$B$31+'Inputs'!$B$32,'Inputs'!$B$30+'Inputs'!$B$31+'Inputs'!$B$32)/1000+'Inputs'!$B$21))/SQRT((((189-43)*MAX('Inputs'!$B$33,'Inputs'!$B$29+'Inputs'!$B$31+'Inputs'!$B$32,'Inputs'!$B$30+'Inputs'!$B$31+'Inputs'!$B$32)/1000+'Inputs'!$B$21))^2+('Inputs'!$B$6/2)^2)))-'Results'!C7*(0.5*((((189-43)*MAX('Inputs'!$B$33,'Inputs'!$B$29+'Inputs'!$B$31+'Inputs'!$B$32,'Inputs'!$B$30+'Inputs'!$B$31+'Inputs'!$B$32)/1000+'Inputs'!$B$21+'Inputs'!$B$7+'Inputs'!$B$10)+'Inputs'!$B$9)/SQRT((((189-43)*MAX('Inputs'!$B$33,'Inputs'!$B$29+'Inputs'!$B$31+'Inputs'!$B$32,'Inputs'!$B$30+'Inputs'!$B$31+'Inputs'!$B$32)/1000+'Inputs'!$B$21+'Inputs'!$B$7+'Inputs'!$B$10)+'Inputs'!$B$9)^2+('Inputs'!$B$8/2)^2)-(((189-43)*MAX('Inputs'!$B$33,'Inputs'!$B$29+'Inputs'!$B$31+'Inputs'!$B$32,'Inputs'!$B$30+'Inputs'!$B$31+'Inputs'!$B$32)/1000+'Inputs'!$B$21+'Inputs'!$B$7+'Inputs'!$B$10))/SQRT((((189-43)*MAX('Inputs'!$B$33,'Inputs'!$B$29+'Inputs'!$B$31+'Inputs'!$B$32,'Inputs'!$B$30+'Inputs'!$B$31+'Inputs'!$B$32)/1000+'Inputs'!$B$21+'Inputs'!$B$7+'Inputs'!$B$10))^2+('Inputs'!$B$8/2)^2))))*'Results'!$B$8),"")</x:f>
        <x:v>164.8959598454909</x:v>
      </x:c>
      <x:c r="K189" t="n">
        <x:f>IF(AND(ISNUMBER('Results'!B7),ISNUMBER('Results'!C7),ISNUMBER('Results'!$B$8),ISNUMBER('Inputs'!$B$6),ISNUMBER('Inputs'!$B$7),ISNUMBER('Inputs'!$B$8),ISNUMBER('Inputs'!$B$9),ISNUMBER('Inputs'!$B$10),ISNUMBER('Inputs'!$B$21),ISNUMBER('Inputs'!$B$24),ISNUMBER('Inputs'!$B$28)),((('Results'!B7*(1-'Inputs'!$B$24)*(0.5*((((189-43)*MAX('Inputs'!$B$33,'Inputs'!$B$29+'Inputs'!$B$31+'Inputs'!$B$32,'Inputs'!$B$30+'Inputs'!$B$31+'Inputs'!$B$32)/1000+'Inputs'!$B$21)+'Inputs'!$B$7)/SQRT((((189-43)*MAX('Inputs'!$B$33,'Inputs'!$B$29+'Inputs'!$B$31+'Inputs'!$B$32,'Inputs'!$B$30+'Inputs'!$B$31+'Inputs'!$B$32)/1000+'Inputs'!$B$21)+'Inputs'!$B$7)^2+('Inputs'!$B$6/2)^2)-(((189-43)*MAX('Inputs'!$B$33,'Inputs'!$B$29+'Inputs'!$B$31+'Inputs'!$B$32,'Inputs'!$B$30+'Inputs'!$B$31+'Inputs'!$B$32)/1000+'Inputs'!$B$21))/SQRT((((189-43)*MAX('Inputs'!$B$33,'Inputs'!$B$29+'Inputs'!$B$31+'Inputs'!$B$32,'Inputs'!$B$30+'Inputs'!$B$31+'Inputs'!$B$32)/1000+'Inputs'!$B$21))^2+('Inputs'!$B$6/2)^2)))-'Results'!C7*(1+'Inputs'!$B$24)*(0.5*((((189-43)*MAX('Inputs'!$B$33,'Inputs'!$B$29+'Inputs'!$B$31+'Inputs'!$B$32,'Inputs'!$B$30+'Inputs'!$B$31+'Inputs'!$B$32)/1000+'Inputs'!$B$21+'Inputs'!$B$7+'Inputs'!$B$10)+'Inputs'!$B$9)/SQRT((((189-43)*MAX('Inputs'!$B$33,'Inputs'!$B$29+'Inputs'!$B$31+'Inputs'!$B$32,'Inputs'!$B$30+'Inputs'!$B$31+'Inputs'!$B$32)/1000+'Inputs'!$B$21+'Inputs'!$B$7+'Inputs'!$B$10)+'Inputs'!$B$9)^2+('Inputs'!$B$8/2)^2)-(((189-43)*MAX('Inputs'!$B$33,'Inputs'!$B$29+'Inputs'!$B$31+'Inputs'!$B$32,'Inputs'!$B$30+'Inputs'!$B$31+'Inputs'!$B$32)/1000+'Inputs'!$B$21+'Inputs'!$B$7+'Inputs'!$B$10))/SQRT((((189-43)*MAX('Inputs'!$B$33,'Inputs'!$B$29+'Inputs'!$B$31+'Inputs'!$B$32,'Inputs'!$B$30+'Inputs'!$B$31+'Inputs'!$B$32)/1000+'Inputs'!$B$21+'Inputs'!$B$7+'Inputs'!$B$10))^2+('Inputs'!$B$8/2)^2))))*'Results'!$B$8)-'Inputs'!$B$28*ABS((('Results'!B7*(1-'Inputs'!$B$24)*(0.5*((((189-43)*MAX('Inputs'!$B$33,'Inputs'!$B$29+'Inputs'!$B$31+'Inputs'!$B$32,'Inputs'!$B$30+'Inputs'!$B$31+'Inputs'!$B$32)/1000+'Inputs'!$B$21)+'Inputs'!$B$7)/SQRT((((189-43)*MAX('Inputs'!$B$33,'Inputs'!$B$29+'Inputs'!$B$31+'Inputs'!$B$32,'Inputs'!$B$30+'Inputs'!$B$31+'Inputs'!$B$32)/1000+'Inputs'!$B$21)+'Inputs'!$B$7)^2+('Inputs'!$B$6/2)^2)-(((189-43)*MAX('Inputs'!$B$33,'Inputs'!$B$29+'Inputs'!$B$31+'Inputs'!$B$32,'Inputs'!$B$30+'Inputs'!$B$31+'Inputs'!$B$32)/1000+'Inputs'!$B$21))/SQRT((((189-43)*MAX('Inputs'!$B$33,'Inputs'!$B$29+'Inputs'!$B$31+'Inputs'!$B$32,'Inputs'!$B$30+'Inputs'!$B$31+'Inputs'!$B$32)/1000+'Inputs'!$B$21))^2+('Inputs'!$B$6/2)^2)))-'Results'!C7*(1+'Inputs'!$B$24)*(0.5*((((189-43)*MAX('Inputs'!$B$33,'Inputs'!$B$29+'Inputs'!$B$31+'Inputs'!$B$32,'Inputs'!$B$30+'Inputs'!$B$31+'Inputs'!$B$32)/1000+'Inputs'!$B$21+'Inputs'!$B$7+'Inputs'!$B$10)+'Inputs'!$B$9)/SQRT((((189-43)*MAX('Inputs'!$B$33,'Inputs'!$B$29+'Inputs'!$B$31+'Inputs'!$B$32,'Inputs'!$B$30+'Inputs'!$B$31+'Inputs'!$B$32)/1000+'Inputs'!$B$21+'Inputs'!$B$7+'Inputs'!$B$10)+'Inputs'!$B$9)^2+('Inputs'!$B$8/2)^2)-(((189-43)*MAX('Inputs'!$B$33,'Inputs'!$B$29+'Inputs'!$B$31+'Inputs'!$B$32,'Inputs'!$B$30+'Inputs'!$B$31+'Inputs'!$B$32)/1000+'Inputs'!$B$21+'Inputs'!$B$7+'Inputs'!$B$10))/SQRT((((189-43)*MAX('Inputs'!$B$33,'Inputs'!$B$29+'Inputs'!$B$31+'Inputs'!$B$32,'Inputs'!$B$30+'Inputs'!$B$31+'Inputs'!$B$32)/1000+'Inputs'!$B$21+'Inputs'!$B$7+'Inputs'!$B$10))^2+('Inputs'!$B$8/2)^2))))*'Results'!$B$8))),"")</x:f>
        <x:v>151.50146626247354</x:v>
      </x:c>
      <x:c r="L189" t="n">
        <x:f>IF(AND(ISNUMBER('Results'!B7),ISNUMBER('Results'!C7),ISNUMBER('Results'!$B$8),ISNUMBER('Inputs'!$B$6),ISNUMBER('Inputs'!$B$7),ISNUMBER('Inputs'!$B$8),ISNUMBER('Inputs'!$B$9),ISNUMBER('Inputs'!$B$10),ISNUMBER('Inputs'!$B$21),ISNUMBER('Inputs'!$B$24),ISNUMBER('Inputs'!$B$28)),((('Results'!B7*(1+'Inputs'!$B$24)*(0.5*((((189-43)*MAX('Inputs'!$B$33,'Inputs'!$B$29+'Inputs'!$B$31+'Inputs'!$B$32,'Inputs'!$B$30+'Inputs'!$B$31+'Inputs'!$B$32)/1000+'Inputs'!$B$21)+'Inputs'!$B$7)/SQRT((((189-43)*MAX('Inputs'!$B$33,'Inputs'!$B$29+'Inputs'!$B$31+'Inputs'!$B$32,'Inputs'!$B$30+'Inputs'!$B$31+'Inputs'!$B$32)/1000+'Inputs'!$B$21)+'Inputs'!$B$7)^2+('Inputs'!$B$6/2)^2)-(((189-43)*MAX('Inputs'!$B$33,'Inputs'!$B$29+'Inputs'!$B$31+'Inputs'!$B$32,'Inputs'!$B$30+'Inputs'!$B$31+'Inputs'!$B$32)/1000+'Inputs'!$B$21))/SQRT((((189-43)*MAX('Inputs'!$B$33,'Inputs'!$B$29+'Inputs'!$B$31+'Inputs'!$B$32,'Inputs'!$B$30+'Inputs'!$B$31+'Inputs'!$B$32)/1000+'Inputs'!$B$21))^2+('Inputs'!$B$6/2)^2)))-'Results'!C7*(1-'Inputs'!$B$24)*(0.5*((((189-43)*MAX('Inputs'!$B$33,'Inputs'!$B$29+'Inputs'!$B$31+'Inputs'!$B$32,'Inputs'!$B$30+'Inputs'!$B$31+'Inputs'!$B$32)/1000+'Inputs'!$B$21+'Inputs'!$B$7+'Inputs'!$B$10)+'Inputs'!$B$9)/SQRT((((189-43)*MAX('Inputs'!$B$33,'Inputs'!$B$29+'Inputs'!$B$31+'Inputs'!$B$32,'Inputs'!$B$30+'Inputs'!$B$31+'Inputs'!$B$32)/1000+'Inputs'!$B$21+'Inputs'!$B$7+'Inputs'!$B$10)+'Inputs'!$B$9)^2+('Inputs'!$B$8/2)^2)-(((189-43)*MAX('Inputs'!$B$33,'Inputs'!$B$29+'Inputs'!$B$31+'Inputs'!$B$32,'Inputs'!$B$30+'Inputs'!$B$31+'Inputs'!$B$32)/1000+'Inputs'!$B$21+'Inputs'!$B$7+'Inputs'!$B$10))/SQRT((((189-43)*MAX('Inputs'!$B$33,'Inputs'!$B$29+'Inputs'!$B$31+'Inputs'!$B$32,'Inputs'!$B$30+'Inputs'!$B$31+'Inputs'!$B$32)/1000+'Inputs'!$B$21+'Inputs'!$B$7+'Inputs'!$B$10))^2+('Inputs'!$B$8/2)^2))))*'Results'!$B$8)+'Inputs'!$B$28*ABS((('Results'!B7*(1+'Inputs'!$B$24)*(0.5*((((189-43)*MAX('Inputs'!$B$33,'Inputs'!$B$29+'Inputs'!$B$31+'Inputs'!$B$32,'Inputs'!$B$30+'Inputs'!$B$31+'Inputs'!$B$32)/1000+'Inputs'!$B$21)+'Inputs'!$B$7)/SQRT((((189-43)*MAX('Inputs'!$B$33,'Inputs'!$B$29+'Inputs'!$B$31+'Inputs'!$B$32,'Inputs'!$B$30+'Inputs'!$B$31+'Inputs'!$B$32)/1000+'Inputs'!$B$21)+'Inputs'!$B$7)^2+('Inputs'!$B$6/2)^2)-(((189-43)*MAX('Inputs'!$B$33,'Inputs'!$B$29+'Inputs'!$B$31+'Inputs'!$B$32,'Inputs'!$B$30+'Inputs'!$B$31+'Inputs'!$B$32)/1000+'Inputs'!$B$21))/SQRT((((189-43)*MAX('Inputs'!$B$33,'Inputs'!$B$29+'Inputs'!$B$31+'Inputs'!$B$32,'Inputs'!$B$30+'Inputs'!$B$31+'Inputs'!$B$32)/1000+'Inputs'!$B$21))^2+('Inputs'!$B$6/2)^2)))-'Results'!C7*(1-'Inputs'!$B$24)*(0.5*((((189-43)*MAX('Inputs'!$B$33,'Inputs'!$B$29+'Inputs'!$B$31+'Inputs'!$B$32,'Inputs'!$B$30+'Inputs'!$B$31+'Inputs'!$B$32)/1000+'Inputs'!$B$21+'Inputs'!$B$7+'Inputs'!$B$10)+'Inputs'!$B$9)/SQRT((((189-43)*MAX('Inputs'!$B$33,'Inputs'!$B$29+'Inputs'!$B$31+'Inputs'!$B$32,'Inputs'!$B$30+'Inputs'!$B$31+'Inputs'!$B$32)/1000+'Inputs'!$B$21+'Inputs'!$B$7+'Inputs'!$B$10)+'Inputs'!$B$9)^2+('Inputs'!$B$8/2)^2)-(((189-43)*MAX('Inputs'!$B$33,'Inputs'!$B$29+'Inputs'!$B$31+'Inputs'!$B$32,'Inputs'!$B$30+'Inputs'!$B$31+'Inputs'!$B$32)/1000+'Inputs'!$B$21+'Inputs'!$B$7+'Inputs'!$B$10))/SQRT((((189-43)*MAX('Inputs'!$B$33,'Inputs'!$B$29+'Inputs'!$B$31+'Inputs'!$B$32,'Inputs'!$B$30+'Inputs'!$B$31+'Inputs'!$B$32)/1000+'Inputs'!$B$21+'Inputs'!$B$7+'Inputs'!$B$10))^2+('Inputs'!$B$8/2)^2))))*'Results'!$B$8))),"")</x:f>
        <x:v>178.83252664858645</x:v>
      </x:c>
      <x:c r="M189" t="n">
        <x:f>IF(AND(ISNUMBER('Results'!C7),ISNUMBER('Results'!B7),ISNUMBER('Results'!$B$8),ISNUMBER('Inputs'!$B$6),ISNUMBER('Inputs'!$B$7),ISNUMBER('Inputs'!$B$8),ISNUMBER('Inputs'!$B$9),ISNUMBER('Inputs'!$B$10),ISNUMBER('Inputs'!$B$21),ISNUMBER('Inputs'!$B$24),ISNUMBER('Inputs'!$B$28)),(('Results'!C7*(0.5*((((189-43)*MAX('Inputs'!$B$33,'Inputs'!$B$29+'Inputs'!$B$31+'Inputs'!$B$32,'Inputs'!$B$30+'Inputs'!$B$31+'Inputs'!$B$32)/1000+'Inputs'!$B$21)+'Inputs'!$B$9)/SQRT((((189-43)*MAX('Inputs'!$B$33,'Inputs'!$B$29+'Inputs'!$B$31+'Inputs'!$B$32,'Inputs'!$B$30+'Inputs'!$B$31+'Inputs'!$B$32)/1000+'Inputs'!$B$21)+'Inputs'!$B$9)^2+('Inputs'!$B$8/2)^2)-(((189-43)*MAX('Inputs'!$B$33,'Inputs'!$B$29+'Inputs'!$B$31+'Inputs'!$B$32,'Inputs'!$B$30+'Inputs'!$B$31+'Inputs'!$B$32)/1000+'Inputs'!$B$21))/SQRT((((189-43)*MAX('Inputs'!$B$33,'Inputs'!$B$29+'Inputs'!$B$31+'Inputs'!$B$32,'Inputs'!$B$30+'Inputs'!$B$31+'Inputs'!$B$32)/1000+'Inputs'!$B$21))^2+('Inputs'!$B$8/2)^2)))-'Results'!B7*(0.5*((((189-43)*MAX('Inputs'!$B$33,'Inputs'!$B$29+'Inputs'!$B$31+'Inputs'!$B$32,'Inputs'!$B$30+'Inputs'!$B$31+'Inputs'!$B$32)/1000+'Inputs'!$B$21+'Inputs'!$B$9+'Inputs'!$B$10)+'Inputs'!$B$7)/SQRT((((189-43)*MAX('Inputs'!$B$33,'Inputs'!$B$29+'Inputs'!$B$31+'Inputs'!$B$32,'Inputs'!$B$30+'Inputs'!$B$31+'Inputs'!$B$32)/1000+'Inputs'!$B$21+'Inputs'!$B$9+'Inputs'!$B$10)+'Inputs'!$B$7)^2+('Inputs'!$B$6/2)^2)-(((189-43)*MAX('Inputs'!$B$33,'Inputs'!$B$29+'Inputs'!$B$31+'Inputs'!$B$32,'Inputs'!$B$30+'Inputs'!$B$31+'Inputs'!$B$32)/1000+'Inputs'!$B$21+'Inputs'!$B$9+'Inputs'!$B$10))/SQRT((((189-43)*MAX('Inputs'!$B$33,'Inputs'!$B$29+'Inputs'!$B$31+'Inputs'!$B$32,'Inputs'!$B$30+'Inputs'!$B$31+'Inputs'!$B$32)/1000+'Inputs'!$B$21+'Inputs'!$B$9+'Inputs'!$B$10))^2+('Inputs'!$B$6/2)^2))))*'Results'!$B$8),"")</x:f>
        <x:v>159.4535662875266</x:v>
      </x:c>
      <x:c r="N189" t="n">
        <x:f>IF(AND(ISNUMBER('Results'!C7),ISNUMBER('Results'!B7),ISNUMBER('Results'!$B$8),ISNUMBER('Inputs'!$B$6),ISNUMBER('Inputs'!$B$7),ISNUMBER('Inputs'!$B$8),ISNUMBER('Inputs'!$B$9),ISNUMBER('Inputs'!$B$10),ISNUMBER('Inputs'!$B$21),ISNUMBER('Inputs'!$B$24),ISNUMBER('Inputs'!$B$28)),((('Results'!C7*(1-'Inputs'!$B$24)*(0.5*((((189-43)*MAX('Inputs'!$B$33,'Inputs'!$B$29+'Inputs'!$B$31+'Inputs'!$B$32,'Inputs'!$B$30+'Inputs'!$B$31+'Inputs'!$B$32)/1000+'Inputs'!$B$21)+'Inputs'!$B$9)/SQRT((((189-43)*MAX('Inputs'!$B$33,'Inputs'!$B$29+'Inputs'!$B$31+'Inputs'!$B$32,'Inputs'!$B$30+'Inputs'!$B$31+'Inputs'!$B$32)/1000+'Inputs'!$B$21)+'Inputs'!$B$9)^2+('Inputs'!$B$8/2)^2)-(((189-43)*MAX('Inputs'!$B$33,'Inputs'!$B$29+'Inputs'!$B$31+'Inputs'!$B$32,'Inputs'!$B$30+'Inputs'!$B$31+'Inputs'!$B$32)/1000+'Inputs'!$B$21))/SQRT((((189-43)*MAX('Inputs'!$B$33,'Inputs'!$B$29+'Inputs'!$B$31+'Inputs'!$B$32,'Inputs'!$B$30+'Inputs'!$B$31+'Inputs'!$B$32)/1000+'Inputs'!$B$21))^2+('Inputs'!$B$8/2)^2)))-'Results'!B7*(1+'Inputs'!$B$24)*(0.5*((((189-43)*MAX('Inputs'!$B$33,'Inputs'!$B$29+'Inputs'!$B$31+'Inputs'!$B$32,'Inputs'!$B$30+'Inputs'!$B$31+'Inputs'!$B$32)/1000+'Inputs'!$B$21+'Inputs'!$B$9+'Inputs'!$B$10)+'Inputs'!$B$7)/SQRT((((189-43)*MAX('Inputs'!$B$33,'Inputs'!$B$29+'Inputs'!$B$31+'Inputs'!$B$32,'Inputs'!$B$30+'Inputs'!$B$31+'Inputs'!$B$32)/1000+'Inputs'!$B$21+'Inputs'!$B$9+'Inputs'!$B$10)+'Inputs'!$B$7)^2+('Inputs'!$B$6/2)^2)-(((189-43)*MAX('Inputs'!$B$33,'Inputs'!$B$29+'Inputs'!$B$31+'Inputs'!$B$32,'Inputs'!$B$30+'Inputs'!$B$31+'Inputs'!$B$32)/1000+'Inputs'!$B$21+'Inputs'!$B$9+'Inputs'!$B$10))/SQRT((((189-43)*MAX('Inputs'!$B$33,'Inputs'!$B$29+'Inputs'!$B$31+'Inputs'!$B$32,'Inputs'!$B$30+'Inputs'!$B$31+'Inputs'!$B$32)/1000+'Inputs'!$B$21+'Inputs'!$B$9+'Inputs'!$B$10))^2+('Inputs'!$B$6/2)^2))))*'Results'!$B$8)-'Inputs'!$B$28*ABS((('Results'!C7*(1-'Inputs'!$B$24)*(0.5*((((189-43)*MAX('Inputs'!$B$33,'Inputs'!$B$29+'Inputs'!$B$31+'Inputs'!$B$32,'Inputs'!$B$30+'Inputs'!$B$31+'Inputs'!$B$32)/1000+'Inputs'!$B$21)+'Inputs'!$B$9)/SQRT((((189-43)*MAX('Inputs'!$B$33,'Inputs'!$B$29+'Inputs'!$B$31+'Inputs'!$B$32,'Inputs'!$B$30+'Inputs'!$B$31+'Inputs'!$B$32)/1000+'Inputs'!$B$21)+'Inputs'!$B$9)^2+('Inputs'!$B$8/2)^2)-(((189-43)*MAX('Inputs'!$B$33,'Inputs'!$B$29+'Inputs'!$B$31+'Inputs'!$B$32,'Inputs'!$B$30+'Inputs'!$B$31+'Inputs'!$B$32)/1000+'Inputs'!$B$21))/SQRT((((189-43)*MAX('Inputs'!$B$33,'Inputs'!$B$29+'Inputs'!$B$31+'Inputs'!$B$32,'Inputs'!$B$30+'Inputs'!$B$31+'Inputs'!$B$32)/1000+'Inputs'!$B$21))^2+('Inputs'!$B$8/2)^2)))-'Results'!B7*(1+'Inputs'!$B$24)*(0.5*((((189-43)*MAX('Inputs'!$B$33,'Inputs'!$B$29+'Inputs'!$B$31+'Inputs'!$B$32,'Inputs'!$B$30+'Inputs'!$B$31+'Inputs'!$B$32)/1000+'Inputs'!$B$21+'Inputs'!$B$9+'Inputs'!$B$10)+'Inputs'!$B$7)/SQRT((((189-43)*MAX('Inputs'!$B$33,'Inputs'!$B$29+'Inputs'!$B$31+'Inputs'!$B$32,'Inputs'!$B$30+'Inputs'!$B$31+'Inputs'!$B$32)/1000+'Inputs'!$B$21+'Inputs'!$B$9+'Inputs'!$B$10)+'Inputs'!$B$7)^2+('Inputs'!$B$6/2)^2)-(((189-43)*MAX('Inputs'!$B$33,'Inputs'!$B$29+'Inputs'!$B$31+'Inputs'!$B$32,'Inputs'!$B$30+'Inputs'!$B$31+'Inputs'!$B$32)/1000+'Inputs'!$B$21+'Inputs'!$B$9+'Inputs'!$B$10))/SQRT((((189-43)*MAX('Inputs'!$B$33,'Inputs'!$B$29+'Inputs'!$B$31+'Inputs'!$B$32,'Inputs'!$B$30+'Inputs'!$B$31+'Inputs'!$B$32)/1000+'Inputs'!$B$21+'Inputs'!$B$9+'Inputs'!$B$10))^2+('Inputs'!$B$6/2)^2))))*'Results'!$B$8))),"")</x:f>
        <x:v>146.39344128136227</x:v>
      </x:c>
      <x:c r="O189" t="n">
        <x:f>IF(AND(ISNUMBER('Results'!C7),ISNUMBER('Results'!B7),ISNUMBER('Results'!$B$8),ISNUMBER('Inputs'!$B$6),ISNUMBER('Inputs'!$B$7),ISNUMBER('Inputs'!$B$8),ISNUMBER('Inputs'!$B$9),ISNUMBER('Inputs'!$B$10),ISNUMBER('Inputs'!$B$21),ISNUMBER('Inputs'!$B$24),ISNUMBER('Inputs'!$B$28)),((('Results'!C7*(1+'Inputs'!$B$24)*(0.5*((((189-43)*MAX('Inputs'!$B$33,'Inputs'!$B$29+'Inputs'!$B$31+'Inputs'!$B$32,'Inputs'!$B$30+'Inputs'!$B$31+'Inputs'!$B$32)/1000+'Inputs'!$B$21)+'Inputs'!$B$9)/SQRT((((189-43)*MAX('Inputs'!$B$33,'Inputs'!$B$29+'Inputs'!$B$31+'Inputs'!$B$32,'Inputs'!$B$30+'Inputs'!$B$31+'Inputs'!$B$32)/1000+'Inputs'!$B$21)+'Inputs'!$B$9)^2+('Inputs'!$B$8/2)^2)-(((189-43)*MAX('Inputs'!$B$33,'Inputs'!$B$29+'Inputs'!$B$31+'Inputs'!$B$32,'Inputs'!$B$30+'Inputs'!$B$31+'Inputs'!$B$32)/1000+'Inputs'!$B$21))/SQRT((((189-43)*MAX('Inputs'!$B$33,'Inputs'!$B$29+'Inputs'!$B$31+'Inputs'!$B$32,'Inputs'!$B$30+'Inputs'!$B$31+'Inputs'!$B$32)/1000+'Inputs'!$B$21))^2+('Inputs'!$B$8/2)^2)))-'Results'!B7*(1-'Inputs'!$B$24)*(0.5*((((189-43)*MAX('Inputs'!$B$33,'Inputs'!$B$29+'Inputs'!$B$31+'Inputs'!$B$32,'Inputs'!$B$30+'Inputs'!$B$31+'Inputs'!$B$32)/1000+'Inputs'!$B$21+'Inputs'!$B$9+'Inputs'!$B$10)+'Inputs'!$B$7)/SQRT((((189-43)*MAX('Inputs'!$B$33,'Inputs'!$B$29+'Inputs'!$B$31+'Inputs'!$B$32,'Inputs'!$B$30+'Inputs'!$B$31+'Inputs'!$B$32)/1000+'Inputs'!$B$21+'Inputs'!$B$9+'Inputs'!$B$10)+'Inputs'!$B$7)^2+('Inputs'!$B$6/2)^2)-(((189-43)*MAX('Inputs'!$B$33,'Inputs'!$B$29+'Inputs'!$B$31+'Inputs'!$B$32,'Inputs'!$B$30+'Inputs'!$B$31+'Inputs'!$B$32)/1000+'Inputs'!$B$21+'Inputs'!$B$9+'Inputs'!$B$10))/SQRT((((189-43)*MAX('Inputs'!$B$33,'Inputs'!$B$29+'Inputs'!$B$31+'Inputs'!$B$32,'Inputs'!$B$30+'Inputs'!$B$31+'Inputs'!$B$32)/1000+'Inputs'!$B$21+'Inputs'!$B$9+'Inputs'!$B$10))^2+('Inputs'!$B$6/2)^2))))*'Results'!$B$8)+'Inputs'!$B$28*ABS((('Results'!C7*(1+'Inputs'!$B$24)*(0.5*((((189-43)*MAX('Inputs'!$B$33,'Inputs'!$B$29+'Inputs'!$B$31+'Inputs'!$B$32,'Inputs'!$B$30+'Inputs'!$B$31+'Inputs'!$B$32)/1000+'Inputs'!$B$21)+'Inputs'!$B$9)/SQRT((((189-43)*MAX('Inputs'!$B$33,'Inputs'!$B$29+'Inputs'!$B$31+'Inputs'!$B$32,'Inputs'!$B$30+'Inputs'!$B$31+'Inputs'!$B$32)/1000+'Inputs'!$B$21)+'Inputs'!$B$9)^2+('Inputs'!$B$8/2)^2)-(((189-43)*MAX('Inputs'!$B$33,'Inputs'!$B$29+'Inputs'!$B$31+'Inputs'!$B$32,'Inputs'!$B$30+'Inputs'!$B$31+'Inputs'!$B$32)/1000+'Inputs'!$B$21))/SQRT((((189-43)*MAX('Inputs'!$B$33,'Inputs'!$B$29+'Inputs'!$B$31+'Inputs'!$B$32,'Inputs'!$B$30+'Inputs'!$B$31+'Inputs'!$B$32)/1000+'Inputs'!$B$21))^2+('Inputs'!$B$8/2)^2)))-'Results'!B7*(1-'Inputs'!$B$24)*(0.5*((((189-43)*MAX('Inputs'!$B$33,'Inputs'!$B$29+'Inputs'!$B$31+'Inputs'!$B$32,'Inputs'!$B$30+'Inputs'!$B$31+'Inputs'!$B$32)/1000+'Inputs'!$B$21+'Inputs'!$B$9+'Inputs'!$B$10)+'Inputs'!$B$7)/SQRT((((189-43)*MAX('Inputs'!$B$33,'Inputs'!$B$29+'Inputs'!$B$31+'Inputs'!$B$32,'Inputs'!$B$30+'Inputs'!$B$31+'Inputs'!$B$32)/1000+'Inputs'!$B$21+'Inputs'!$B$9+'Inputs'!$B$10)+'Inputs'!$B$7)^2+('Inputs'!$B$6/2)^2)-(((189-43)*MAX('Inputs'!$B$33,'Inputs'!$B$29+'Inputs'!$B$31+'Inputs'!$B$32,'Inputs'!$B$30+'Inputs'!$B$31+'Inputs'!$B$32)/1000+'Inputs'!$B$21+'Inputs'!$B$9+'Inputs'!$B$10))/SQRT((((189-43)*MAX('Inputs'!$B$33,'Inputs'!$B$29+'Inputs'!$B$31+'Inputs'!$B$32,'Inputs'!$B$30+'Inputs'!$B$31+'Inputs'!$B$32)/1000+'Inputs'!$B$21+'Inputs'!$B$9+'Inputs'!$B$10))^2+('Inputs'!$B$6/2)^2))))*'Results'!$B$8))),"")</x:f>
        <x:v>173.0492119980897</x:v>
      </x:c>
      <x:c r="P189" t="n">
        <x:f>IF(AND(MAX(J189,J188)&gt;0,J189&gt;J188+0.00000001),1,0)</x:f>
        <x:v>0</x:v>
      </x:c>
      <x:c r="Q189" t="n">
        <x:f>IF(AND(MAX(K189,K188)&gt;0,K189&gt;K188+0.00000001),1,0)</x:f>
        <x:v>0</x:v>
      </x:c>
      <x:c r="R189" t="n">
        <x:f>IF(AND(MAX(L189,L188)&gt;0,L189&gt;L188+0.00000001),1,0)</x:f>
        <x:v>0</x:v>
      </x:c>
      <x:c r="S189" t="n">
        <x:f>IF(AND(MAX(M189,M188)&gt;0,M189&gt;M188+0.00000001),1,0)</x:f>
        <x:v>0</x:v>
      </x:c>
      <x:c r="T189" t="n">
        <x:f>IF(AND(MAX(N189,N188)&gt;0,N189&gt;N188+0.00000001),1,0)</x:f>
        <x:v>0</x:v>
      </x:c>
      <x:c r="U189" t="n">
        <x:f>IF(AND(MAX(O189,O188)&gt;0,O189&gt;O188+0.00000001),1,0)</x:f>
        <x:v>0</x:v>
      </x:c>
    </x:row>
    <x:row r="190">
      <x:c r="J190" t="n">
        <x:f>IF(AND(ISNUMBER('Results'!B7),ISNUMBER('Results'!C7),ISNUMBER('Results'!$B$8),ISNUMBER('Inputs'!$B$6),ISNUMBER('Inputs'!$B$7),ISNUMBER('Inputs'!$B$8),ISNUMBER('Inputs'!$B$9),ISNUMBER('Inputs'!$B$10),ISNUMBER('Inputs'!$B$21),ISNUMBER('Inputs'!$B$24),ISNUMBER('Inputs'!$B$28)),(('Results'!B7*(0.5*((((190-43)*MAX('Inputs'!$B$33,'Inputs'!$B$29+'Inputs'!$B$31+'Inputs'!$B$32,'Inputs'!$B$30+'Inputs'!$B$31+'Inputs'!$B$32)/1000+'Inputs'!$B$21)+'Inputs'!$B$7)/SQRT((((190-43)*MAX('Inputs'!$B$33,'Inputs'!$B$29+'Inputs'!$B$31+'Inputs'!$B$32,'Inputs'!$B$30+'Inputs'!$B$31+'Inputs'!$B$32)/1000+'Inputs'!$B$21)+'Inputs'!$B$7)^2+('Inputs'!$B$6/2)^2)-(((190-43)*MAX('Inputs'!$B$33,'Inputs'!$B$29+'Inputs'!$B$31+'Inputs'!$B$32,'Inputs'!$B$30+'Inputs'!$B$31+'Inputs'!$B$32)/1000+'Inputs'!$B$21))/SQRT((((190-43)*MAX('Inputs'!$B$33,'Inputs'!$B$29+'Inputs'!$B$31+'Inputs'!$B$32,'Inputs'!$B$30+'Inputs'!$B$31+'Inputs'!$B$32)/1000+'Inputs'!$B$21))^2+('Inputs'!$B$6/2)^2)))-'Results'!C7*(0.5*((((190-43)*MAX('Inputs'!$B$33,'Inputs'!$B$29+'Inputs'!$B$31+'Inputs'!$B$32,'Inputs'!$B$30+'Inputs'!$B$31+'Inputs'!$B$32)/1000+'Inputs'!$B$21+'Inputs'!$B$7+'Inputs'!$B$10)+'Inputs'!$B$9)/SQRT((((190-43)*MAX('Inputs'!$B$33,'Inputs'!$B$29+'Inputs'!$B$31+'Inputs'!$B$32,'Inputs'!$B$30+'Inputs'!$B$31+'Inputs'!$B$32)/1000+'Inputs'!$B$21+'Inputs'!$B$7+'Inputs'!$B$10)+'Inputs'!$B$9)^2+('Inputs'!$B$8/2)^2)-(((190-43)*MAX('Inputs'!$B$33,'Inputs'!$B$29+'Inputs'!$B$31+'Inputs'!$B$32,'Inputs'!$B$30+'Inputs'!$B$31+'Inputs'!$B$32)/1000+'Inputs'!$B$21+'Inputs'!$B$7+'Inputs'!$B$10))/SQRT((((190-43)*MAX('Inputs'!$B$33,'Inputs'!$B$29+'Inputs'!$B$31+'Inputs'!$B$32,'Inputs'!$B$30+'Inputs'!$B$31+'Inputs'!$B$32)/1000+'Inputs'!$B$21+'Inputs'!$B$7+'Inputs'!$B$10))^2+('Inputs'!$B$8/2)^2))))*'Results'!$B$8),"")</x:f>
        <x:v>162.2160849723947</x:v>
      </x:c>
      <x:c r="K190" t="n">
        <x:f>IF(AND(ISNUMBER('Results'!B7),ISNUMBER('Results'!C7),ISNUMBER('Results'!$B$8),ISNUMBER('Inputs'!$B$6),ISNUMBER('Inputs'!$B$7),ISNUMBER('Inputs'!$B$8),ISNUMBER('Inputs'!$B$9),ISNUMBER('Inputs'!$B$10),ISNUMBER('Inputs'!$B$21),ISNUMBER('Inputs'!$B$24),ISNUMBER('Inputs'!$B$28)),((('Results'!B7*(1-'Inputs'!$B$24)*(0.5*((((190-43)*MAX('Inputs'!$B$33,'Inputs'!$B$29+'Inputs'!$B$31+'Inputs'!$B$32,'Inputs'!$B$30+'Inputs'!$B$31+'Inputs'!$B$32)/1000+'Inputs'!$B$21)+'Inputs'!$B$7)/SQRT((((190-43)*MAX('Inputs'!$B$33,'Inputs'!$B$29+'Inputs'!$B$31+'Inputs'!$B$32,'Inputs'!$B$30+'Inputs'!$B$31+'Inputs'!$B$32)/1000+'Inputs'!$B$21)+'Inputs'!$B$7)^2+('Inputs'!$B$6/2)^2)-(((190-43)*MAX('Inputs'!$B$33,'Inputs'!$B$29+'Inputs'!$B$31+'Inputs'!$B$32,'Inputs'!$B$30+'Inputs'!$B$31+'Inputs'!$B$32)/1000+'Inputs'!$B$21))/SQRT((((190-43)*MAX('Inputs'!$B$33,'Inputs'!$B$29+'Inputs'!$B$31+'Inputs'!$B$32,'Inputs'!$B$30+'Inputs'!$B$31+'Inputs'!$B$32)/1000+'Inputs'!$B$21))^2+('Inputs'!$B$6/2)^2)))-'Results'!C7*(1+'Inputs'!$B$24)*(0.5*((((190-43)*MAX('Inputs'!$B$33,'Inputs'!$B$29+'Inputs'!$B$31+'Inputs'!$B$32,'Inputs'!$B$30+'Inputs'!$B$31+'Inputs'!$B$32)/1000+'Inputs'!$B$21+'Inputs'!$B$7+'Inputs'!$B$10)+'Inputs'!$B$9)/SQRT((((190-43)*MAX('Inputs'!$B$33,'Inputs'!$B$29+'Inputs'!$B$31+'Inputs'!$B$32,'Inputs'!$B$30+'Inputs'!$B$31+'Inputs'!$B$32)/1000+'Inputs'!$B$21+'Inputs'!$B$7+'Inputs'!$B$10)+'Inputs'!$B$9)^2+('Inputs'!$B$8/2)^2)-(((190-43)*MAX('Inputs'!$B$33,'Inputs'!$B$29+'Inputs'!$B$31+'Inputs'!$B$32,'Inputs'!$B$30+'Inputs'!$B$31+'Inputs'!$B$32)/1000+'Inputs'!$B$21+'Inputs'!$B$7+'Inputs'!$B$10))/SQRT((((190-43)*MAX('Inputs'!$B$33,'Inputs'!$B$29+'Inputs'!$B$31+'Inputs'!$B$32,'Inputs'!$B$30+'Inputs'!$B$31+'Inputs'!$B$32)/1000+'Inputs'!$B$21+'Inputs'!$B$7+'Inputs'!$B$10))^2+('Inputs'!$B$8/2)^2))))*'Results'!$B$8)-'Inputs'!$B$28*ABS((('Results'!B7*(1-'Inputs'!$B$24)*(0.5*((((190-43)*MAX('Inputs'!$B$33,'Inputs'!$B$29+'Inputs'!$B$31+'Inputs'!$B$32,'Inputs'!$B$30+'Inputs'!$B$31+'Inputs'!$B$32)/1000+'Inputs'!$B$21)+'Inputs'!$B$7)/SQRT((((190-43)*MAX('Inputs'!$B$33,'Inputs'!$B$29+'Inputs'!$B$31+'Inputs'!$B$32,'Inputs'!$B$30+'Inputs'!$B$31+'Inputs'!$B$32)/1000+'Inputs'!$B$21)+'Inputs'!$B$7)^2+('Inputs'!$B$6/2)^2)-(((190-43)*MAX('Inputs'!$B$33,'Inputs'!$B$29+'Inputs'!$B$31+'Inputs'!$B$32,'Inputs'!$B$30+'Inputs'!$B$31+'Inputs'!$B$32)/1000+'Inputs'!$B$21))/SQRT((((190-43)*MAX('Inputs'!$B$33,'Inputs'!$B$29+'Inputs'!$B$31+'Inputs'!$B$32,'Inputs'!$B$30+'Inputs'!$B$31+'Inputs'!$B$32)/1000+'Inputs'!$B$21))^2+('Inputs'!$B$6/2)^2)))-'Results'!C7*(1+'Inputs'!$B$24)*(0.5*((((190-43)*MAX('Inputs'!$B$33,'Inputs'!$B$29+'Inputs'!$B$31+'Inputs'!$B$32,'Inputs'!$B$30+'Inputs'!$B$31+'Inputs'!$B$32)/1000+'Inputs'!$B$21+'Inputs'!$B$7+'Inputs'!$B$10)+'Inputs'!$B$9)/SQRT((((190-43)*MAX('Inputs'!$B$33,'Inputs'!$B$29+'Inputs'!$B$31+'Inputs'!$B$32,'Inputs'!$B$30+'Inputs'!$B$31+'Inputs'!$B$32)/1000+'Inputs'!$B$21+'Inputs'!$B$7+'Inputs'!$B$10)+'Inputs'!$B$9)^2+('Inputs'!$B$8/2)^2)-(((190-43)*MAX('Inputs'!$B$33,'Inputs'!$B$29+'Inputs'!$B$31+'Inputs'!$B$32,'Inputs'!$B$30+'Inputs'!$B$31+'Inputs'!$B$32)/1000+'Inputs'!$B$21+'Inputs'!$B$7+'Inputs'!$B$10))/SQRT((((190-43)*MAX('Inputs'!$B$33,'Inputs'!$B$29+'Inputs'!$B$31+'Inputs'!$B$32,'Inputs'!$B$30+'Inputs'!$B$31+'Inputs'!$B$32)/1000+'Inputs'!$B$21+'Inputs'!$B$7+'Inputs'!$B$10))^2+('Inputs'!$B$8/2)^2))))*'Results'!$B$8))),"")</x:f>
        <x:v>149.02644131528834</x:v>
      </x:c>
      <x:c r="L190" t="n">
        <x:f>IF(AND(ISNUMBER('Results'!B7),ISNUMBER('Results'!C7),ISNUMBER('Results'!$B$8),ISNUMBER('Inputs'!$B$6),ISNUMBER('Inputs'!$B$7),ISNUMBER('Inputs'!$B$8),ISNUMBER('Inputs'!$B$9),ISNUMBER('Inputs'!$B$10),ISNUMBER('Inputs'!$B$21),ISNUMBER('Inputs'!$B$24),ISNUMBER('Inputs'!$B$28)),((('Results'!B7*(1+'Inputs'!$B$24)*(0.5*((((190-43)*MAX('Inputs'!$B$33,'Inputs'!$B$29+'Inputs'!$B$31+'Inputs'!$B$32,'Inputs'!$B$30+'Inputs'!$B$31+'Inputs'!$B$32)/1000+'Inputs'!$B$21)+'Inputs'!$B$7)/SQRT((((190-43)*MAX('Inputs'!$B$33,'Inputs'!$B$29+'Inputs'!$B$31+'Inputs'!$B$32,'Inputs'!$B$30+'Inputs'!$B$31+'Inputs'!$B$32)/1000+'Inputs'!$B$21)+'Inputs'!$B$7)^2+('Inputs'!$B$6/2)^2)-(((190-43)*MAX('Inputs'!$B$33,'Inputs'!$B$29+'Inputs'!$B$31+'Inputs'!$B$32,'Inputs'!$B$30+'Inputs'!$B$31+'Inputs'!$B$32)/1000+'Inputs'!$B$21))/SQRT((((190-43)*MAX('Inputs'!$B$33,'Inputs'!$B$29+'Inputs'!$B$31+'Inputs'!$B$32,'Inputs'!$B$30+'Inputs'!$B$31+'Inputs'!$B$32)/1000+'Inputs'!$B$21))^2+('Inputs'!$B$6/2)^2)))-'Results'!C7*(1-'Inputs'!$B$24)*(0.5*((((190-43)*MAX('Inputs'!$B$33,'Inputs'!$B$29+'Inputs'!$B$31+'Inputs'!$B$32,'Inputs'!$B$30+'Inputs'!$B$31+'Inputs'!$B$32)/1000+'Inputs'!$B$21+'Inputs'!$B$7+'Inputs'!$B$10)+'Inputs'!$B$9)/SQRT((((190-43)*MAX('Inputs'!$B$33,'Inputs'!$B$29+'Inputs'!$B$31+'Inputs'!$B$32,'Inputs'!$B$30+'Inputs'!$B$31+'Inputs'!$B$32)/1000+'Inputs'!$B$21+'Inputs'!$B$7+'Inputs'!$B$10)+'Inputs'!$B$9)^2+('Inputs'!$B$8/2)^2)-(((190-43)*MAX('Inputs'!$B$33,'Inputs'!$B$29+'Inputs'!$B$31+'Inputs'!$B$32,'Inputs'!$B$30+'Inputs'!$B$31+'Inputs'!$B$32)/1000+'Inputs'!$B$21+'Inputs'!$B$7+'Inputs'!$B$10))/SQRT((((190-43)*MAX('Inputs'!$B$33,'Inputs'!$B$29+'Inputs'!$B$31+'Inputs'!$B$32,'Inputs'!$B$30+'Inputs'!$B$31+'Inputs'!$B$32)/1000+'Inputs'!$B$21+'Inputs'!$B$7+'Inputs'!$B$10))^2+('Inputs'!$B$8/2)^2))))*'Results'!$B$8)+'Inputs'!$B$28*ABS((('Results'!B7*(1+'Inputs'!$B$24)*(0.5*((((190-43)*MAX('Inputs'!$B$33,'Inputs'!$B$29+'Inputs'!$B$31+'Inputs'!$B$32,'Inputs'!$B$30+'Inputs'!$B$31+'Inputs'!$B$32)/1000+'Inputs'!$B$21)+'Inputs'!$B$7)/SQRT((((190-43)*MAX('Inputs'!$B$33,'Inputs'!$B$29+'Inputs'!$B$31+'Inputs'!$B$32,'Inputs'!$B$30+'Inputs'!$B$31+'Inputs'!$B$32)/1000+'Inputs'!$B$21)+'Inputs'!$B$7)^2+('Inputs'!$B$6/2)^2)-(((190-43)*MAX('Inputs'!$B$33,'Inputs'!$B$29+'Inputs'!$B$31+'Inputs'!$B$32,'Inputs'!$B$30+'Inputs'!$B$31+'Inputs'!$B$32)/1000+'Inputs'!$B$21))/SQRT((((190-43)*MAX('Inputs'!$B$33,'Inputs'!$B$29+'Inputs'!$B$31+'Inputs'!$B$32,'Inputs'!$B$30+'Inputs'!$B$31+'Inputs'!$B$32)/1000+'Inputs'!$B$21))^2+('Inputs'!$B$6/2)^2)))-'Results'!C7*(1-'Inputs'!$B$24)*(0.5*((((190-43)*MAX('Inputs'!$B$33,'Inputs'!$B$29+'Inputs'!$B$31+'Inputs'!$B$32,'Inputs'!$B$30+'Inputs'!$B$31+'Inputs'!$B$32)/1000+'Inputs'!$B$21+'Inputs'!$B$7+'Inputs'!$B$10)+'Inputs'!$B$9)/SQRT((((190-43)*MAX('Inputs'!$B$33,'Inputs'!$B$29+'Inputs'!$B$31+'Inputs'!$B$32,'Inputs'!$B$30+'Inputs'!$B$31+'Inputs'!$B$32)/1000+'Inputs'!$B$21+'Inputs'!$B$7+'Inputs'!$B$10)+'Inputs'!$B$9)^2+('Inputs'!$B$8/2)^2)-(((190-43)*MAX('Inputs'!$B$33,'Inputs'!$B$29+'Inputs'!$B$31+'Inputs'!$B$32,'Inputs'!$B$30+'Inputs'!$B$31+'Inputs'!$B$32)/1000+'Inputs'!$B$21+'Inputs'!$B$7+'Inputs'!$B$10))/SQRT((((190-43)*MAX('Inputs'!$B$33,'Inputs'!$B$29+'Inputs'!$B$31+'Inputs'!$B$32,'Inputs'!$B$30+'Inputs'!$B$31+'Inputs'!$B$32)/1000+'Inputs'!$B$21+'Inputs'!$B$7+'Inputs'!$B$10))^2+('Inputs'!$B$8/2)^2))))*'Results'!$B$8))),"")</x:f>
        <x:v>175.94034330407862</x:v>
      </x:c>
      <x:c r="M190" t="n">
        <x:f>IF(AND(ISNUMBER('Results'!C7),ISNUMBER('Results'!B7),ISNUMBER('Results'!$B$8),ISNUMBER('Inputs'!$B$6),ISNUMBER('Inputs'!$B$7),ISNUMBER('Inputs'!$B$8),ISNUMBER('Inputs'!$B$9),ISNUMBER('Inputs'!$B$10),ISNUMBER('Inputs'!$B$21),ISNUMBER('Inputs'!$B$24),ISNUMBER('Inputs'!$B$28)),(('Results'!C7*(0.5*((((190-43)*MAX('Inputs'!$B$33,'Inputs'!$B$29+'Inputs'!$B$31+'Inputs'!$B$32,'Inputs'!$B$30+'Inputs'!$B$31+'Inputs'!$B$32)/1000+'Inputs'!$B$21)+'Inputs'!$B$9)/SQRT((((190-43)*MAX('Inputs'!$B$33,'Inputs'!$B$29+'Inputs'!$B$31+'Inputs'!$B$32,'Inputs'!$B$30+'Inputs'!$B$31+'Inputs'!$B$32)/1000+'Inputs'!$B$21)+'Inputs'!$B$9)^2+('Inputs'!$B$8/2)^2)-(((190-43)*MAX('Inputs'!$B$33,'Inputs'!$B$29+'Inputs'!$B$31+'Inputs'!$B$32,'Inputs'!$B$30+'Inputs'!$B$31+'Inputs'!$B$32)/1000+'Inputs'!$B$21))/SQRT((((190-43)*MAX('Inputs'!$B$33,'Inputs'!$B$29+'Inputs'!$B$31+'Inputs'!$B$32,'Inputs'!$B$30+'Inputs'!$B$31+'Inputs'!$B$32)/1000+'Inputs'!$B$21))^2+('Inputs'!$B$8/2)^2)))-'Results'!B7*(0.5*((((190-43)*MAX('Inputs'!$B$33,'Inputs'!$B$29+'Inputs'!$B$31+'Inputs'!$B$32,'Inputs'!$B$30+'Inputs'!$B$31+'Inputs'!$B$32)/1000+'Inputs'!$B$21+'Inputs'!$B$9+'Inputs'!$B$10)+'Inputs'!$B$7)/SQRT((((190-43)*MAX('Inputs'!$B$33,'Inputs'!$B$29+'Inputs'!$B$31+'Inputs'!$B$32,'Inputs'!$B$30+'Inputs'!$B$31+'Inputs'!$B$32)/1000+'Inputs'!$B$21+'Inputs'!$B$9+'Inputs'!$B$10)+'Inputs'!$B$7)^2+('Inputs'!$B$6/2)^2)-(((190-43)*MAX('Inputs'!$B$33,'Inputs'!$B$29+'Inputs'!$B$31+'Inputs'!$B$32,'Inputs'!$B$30+'Inputs'!$B$31+'Inputs'!$B$32)/1000+'Inputs'!$B$21+'Inputs'!$B$9+'Inputs'!$B$10))/SQRT((((190-43)*MAX('Inputs'!$B$33,'Inputs'!$B$29+'Inputs'!$B$31+'Inputs'!$B$32,'Inputs'!$B$30+'Inputs'!$B$31+'Inputs'!$B$32)/1000+'Inputs'!$B$21+'Inputs'!$B$9+'Inputs'!$B$10))^2+('Inputs'!$B$6/2)^2))))*'Results'!$B$8),"")</x:f>
        <x:v>156.848491032269</x:v>
      </x:c>
      <x:c r="N190" t="n">
        <x:f>IF(AND(ISNUMBER('Results'!C7),ISNUMBER('Results'!B7),ISNUMBER('Results'!$B$8),ISNUMBER('Inputs'!$B$6),ISNUMBER('Inputs'!$B$7),ISNUMBER('Inputs'!$B$8),ISNUMBER('Inputs'!$B$9),ISNUMBER('Inputs'!$B$10),ISNUMBER('Inputs'!$B$21),ISNUMBER('Inputs'!$B$24),ISNUMBER('Inputs'!$B$28)),((('Results'!C7*(1-'Inputs'!$B$24)*(0.5*((((190-43)*MAX('Inputs'!$B$33,'Inputs'!$B$29+'Inputs'!$B$31+'Inputs'!$B$32,'Inputs'!$B$30+'Inputs'!$B$31+'Inputs'!$B$32)/1000+'Inputs'!$B$21)+'Inputs'!$B$9)/SQRT((((190-43)*MAX('Inputs'!$B$33,'Inputs'!$B$29+'Inputs'!$B$31+'Inputs'!$B$32,'Inputs'!$B$30+'Inputs'!$B$31+'Inputs'!$B$32)/1000+'Inputs'!$B$21)+'Inputs'!$B$9)^2+('Inputs'!$B$8/2)^2)-(((190-43)*MAX('Inputs'!$B$33,'Inputs'!$B$29+'Inputs'!$B$31+'Inputs'!$B$32,'Inputs'!$B$30+'Inputs'!$B$31+'Inputs'!$B$32)/1000+'Inputs'!$B$21))/SQRT((((190-43)*MAX('Inputs'!$B$33,'Inputs'!$B$29+'Inputs'!$B$31+'Inputs'!$B$32,'Inputs'!$B$30+'Inputs'!$B$31+'Inputs'!$B$32)/1000+'Inputs'!$B$21))^2+('Inputs'!$B$8/2)^2)))-'Results'!B7*(1+'Inputs'!$B$24)*(0.5*((((190-43)*MAX('Inputs'!$B$33,'Inputs'!$B$29+'Inputs'!$B$31+'Inputs'!$B$32,'Inputs'!$B$30+'Inputs'!$B$31+'Inputs'!$B$32)/1000+'Inputs'!$B$21+'Inputs'!$B$9+'Inputs'!$B$10)+'Inputs'!$B$7)/SQRT((((190-43)*MAX('Inputs'!$B$33,'Inputs'!$B$29+'Inputs'!$B$31+'Inputs'!$B$32,'Inputs'!$B$30+'Inputs'!$B$31+'Inputs'!$B$32)/1000+'Inputs'!$B$21+'Inputs'!$B$9+'Inputs'!$B$10)+'Inputs'!$B$7)^2+('Inputs'!$B$6/2)^2)-(((190-43)*MAX('Inputs'!$B$33,'Inputs'!$B$29+'Inputs'!$B$31+'Inputs'!$B$32,'Inputs'!$B$30+'Inputs'!$B$31+'Inputs'!$B$32)/1000+'Inputs'!$B$21+'Inputs'!$B$9+'Inputs'!$B$10))/SQRT((((190-43)*MAX('Inputs'!$B$33,'Inputs'!$B$29+'Inputs'!$B$31+'Inputs'!$B$32,'Inputs'!$B$30+'Inputs'!$B$31+'Inputs'!$B$32)/1000+'Inputs'!$B$21+'Inputs'!$B$9+'Inputs'!$B$10))^2+('Inputs'!$B$6/2)^2))))*'Results'!$B$8)-'Inputs'!$B$28*ABS((('Results'!C7*(1-'Inputs'!$B$24)*(0.5*((((190-43)*MAX('Inputs'!$B$33,'Inputs'!$B$29+'Inputs'!$B$31+'Inputs'!$B$32,'Inputs'!$B$30+'Inputs'!$B$31+'Inputs'!$B$32)/1000+'Inputs'!$B$21)+'Inputs'!$B$9)/SQRT((((190-43)*MAX('Inputs'!$B$33,'Inputs'!$B$29+'Inputs'!$B$31+'Inputs'!$B$32,'Inputs'!$B$30+'Inputs'!$B$31+'Inputs'!$B$32)/1000+'Inputs'!$B$21)+'Inputs'!$B$9)^2+('Inputs'!$B$8/2)^2)-(((190-43)*MAX('Inputs'!$B$33,'Inputs'!$B$29+'Inputs'!$B$31+'Inputs'!$B$32,'Inputs'!$B$30+'Inputs'!$B$31+'Inputs'!$B$32)/1000+'Inputs'!$B$21))/SQRT((((190-43)*MAX('Inputs'!$B$33,'Inputs'!$B$29+'Inputs'!$B$31+'Inputs'!$B$32,'Inputs'!$B$30+'Inputs'!$B$31+'Inputs'!$B$32)/1000+'Inputs'!$B$21))^2+('Inputs'!$B$8/2)^2)))-'Results'!B7*(1+'Inputs'!$B$24)*(0.5*((((190-43)*MAX('Inputs'!$B$33,'Inputs'!$B$29+'Inputs'!$B$31+'Inputs'!$B$32,'Inputs'!$B$30+'Inputs'!$B$31+'Inputs'!$B$32)/1000+'Inputs'!$B$21+'Inputs'!$B$9+'Inputs'!$B$10)+'Inputs'!$B$7)/SQRT((((190-43)*MAX('Inputs'!$B$33,'Inputs'!$B$29+'Inputs'!$B$31+'Inputs'!$B$32,'Inputs'!$B$30+'Inputs'!$B$31+'Inputs'!$B$32)/1000+'Inputs'!$B$21+'Inputs'!$B$9+'Inputs'!$B$10)+'Inputs'!$B$7)^2+('Inputs'!$B$6/2)^2)-(((190-43)*MAX('Inputs'!$B$33,'Inputs'!$B$29+'Inputs'!$B$31+'Inputs'!$B$32,'Inputs'!$B$30+'Inputs'!$B$31+'Inputs'!$B$32)/1000+'Inputs'!$B$21+'Inputs'!$B$9+'Inputs'!$B$10))/SQRT((((190-43)*MAX('Inputs'!$B$33,'Inputs'!$B$29+'Inputs'!$B$31+'Inputs'!$B$32,'Inputs'!$B$30+'Inputs'!$B$31+'Inputs'!$B$32)/1000+'Inputs'!$B$21+'Inputs'!$B$9+'Inputs'!$B$10))^2+('Inputs'!$B$6/2)^2))))*'Results'!$B$8))),"")</x:f>
        <x:v>143.98846168776578</x:v>
      </x:c>
      <x:c r="O190" t="n">
        <x:f>IF(AND(ISNUMBER('Results'!C7),ISNUMBER('Results'!B7),ISNUMBER('Results'!$B$8),ISNUMBER('Inputs'!$B$6),ISNUMBER('Inputs'!$B$7),ISNUMBER('Inputs'!$B$8),ISNUMBER('Inputs'!$B$9),ISNUMBER('Inputs'!$B$10),ISNUMBER('Inputs'!$B$21),ISNUMBER('Inputs'!$B$24),ISNUMBER('Inputs'!$B$28)),((('Results'!C7*(1+'Inputs'!$B$24)*(0.5*((((190-43)*MAX('Inputs'!$B$33,'Inputs'!$B$29+'Inputs'!$B$31+'Inputs'!$B$32,'Inputs'!$B$30+'Inputs'!$B$31+'Inputs'!$B$32)/1000+'Inputs'!$B$21)+'Inputs'!$B$9)/SQRT((((190-43)*MAX('Inputs'!$B$33,'Inputs'!$B$29+'Inputs'!$B$31+'Inputs'!$B$32,'Inputs'!$B$30+'Inputs'!$B$31+'Inputs'!$B$32)/1000+'Inputs'!$B$21)+'Inputs'!$B$9)^2+('Inputs'!$B$8/2)^2)-(((190-43)*MAX('Inputs'!$B$33,'Inputs'!$B$29+'Inputs'!$B$31+'Inputs'!$B$32,'Inputs'!$B$30+'Inputs'!$B$31+'Inputs'!$B$32)/1000+'Inputs'!$B$21))/SQRT((((190-43)*MAX('Inputs'!$B$33,'Inputs'!$B$29+'Inputs'!$B$31+'Inputs'!$B$32,'Inputs'!$B$30+'Inputs'!$B$31+'Inputs'!$B$32)/1000+'Inputs'!$B$21))^2+('Inputs'!$B$8/2)^2)))-'Results'!B7*(1-'Inputs'!$B$24)*(0.5*((((190-43)*MAX('Inputs'!$B$33,'Inputs'!$B$29+'Inputs'!$B$31+'Inputs'!$B$32,'Inputs'!$B$30+'Inputs'!$B$31+'Inputs'!$B$32)/1000+'Inputs'!$B$21+'Inputs'!$B$9+'Inputs'!$B$10)+'Inputs'!$B$7)/SQRT((((190-43)*MAX('Inputs'!$B$33,'Inputs'!$B$29+'Inputs'!$B$31+'Inputs'!$B$32,'Inputs'!$B$30+'Inputs'!$B$31+'Inputs'!$B$32)/1000+'Inputs'!$B$21+'Inputs'!$B$9+'Inputs'!$B$10)+'Inputs'!$B$7)^2+('Inputs'!$B$6/2)^2)-(((190-43)*MAX('Inputs'!$B$33,'Inputs'!$B$29+'Inputs'!$B$31+'Inputs'!$B$32,'Inputs'!$B$30+'Inputs'!$B$31+'Inputs'!$B$32)/1000+'Inputs'!$B$21+'Inputs'!$B$9+'Inputs'!$B$10))/SQRT((((190-43)*MAX('Inputs'!$B$33,'Inputs'!$B$29+'Inputs'!$B$31+'Inputs'!$B$32,'Inputs'!$B$30+'Inputs'!$B$31+'Inputs'!$B$32)/1000+'Inputs'!$B$21+'Inputs'!$B$9+'Inputs'!$B$10))^2+('Inputs'!$B$6/2)^2))))*'Results'!$B$8)+'Inputs'!$B$28*ABS((('Results'!C7*(1+'Inputs'!$B$24)*(0.5*((((190-43)*MAX('Inputs'!$B$33,'Inputs'!$B$29+'Inputs'!$B$31+'Inputs'!$B$32,'Inputs'!$B$30+'Inputs'!$B$31+'Inputs'!$B$32)/1000+'Inputs'!$B$21)+'Inputs'!$B$9)/SQRT((((190-43)*MAX('Inputs'!$B$33,'Inputs'!$B$29+'Inputs'!$B$31+'Inputs'!$B$32,'Inputs'!$B$30+'Inputs'!$B$31+'Inputs'!$B$32)/1000+'Inputs'!$B$21)+'Inputs'!$B$9)^2+('Inputs'!$B$8/2)^2)-(((190-43)*MAX('Inputs'!$B$33,'Inputs'!$B$29+'Inputs'!$B$31+'Inputs'!$B$32,'Inputs'!$B$30+'Inputs'!$B$31+'Inputs'!$B$32)/1000+'Inputs'!$B$21))/SQRT((((190-43)*MAX('Inputs'!$B$33,'Inputs'!$B$29+'Inputs'!$B$31+'Inputs'!$B$32,'Inputs'!$B$30+'Inputs'!$B$31+'Inputs'!$B$32)/1000+'Inputs'!$B$21))^2+('Inputs'!$B$8/2)^2)))-'Results'!B7*(1-'Inputs'!$B$24)*(0.5*((((190-43)*MAX('Inputs'!$B$33,'Inputs'!$B$29+'Inputs'!$B$31+'Inputs'!$B$32,'Inputs'!$B$30+'Inputs'!$B$31+'Inputs'!$B$32)/1000+'Inputs'!$B$21+'Inputs'!$B$9+'Inputs'!$B$10)+'Inputs'!$B$7)/SQRT((((190-43)*MAX('Inputs'!$B$33,'Inputs'!$B$29+'Inputs'!$B$31+'Inputs'!$B$32,'Inputs'!$B$30+'Inputs'!$B$31+'Inputs'!$B$32)/1000+'Inputs'!$B$21+'Inputs'!$B$9+'Inputs'!$B$10)+'Inputs'!$B$7)^2+('Inputs'!$B$6/2)^2)-(((190-43)*MAX('Inputs'!$B$33,'Inputs'!$B$29+'Inputs'!$B$31+'Inputs'!$B$32,'Inputs'!$B$30+'Inputs'!$B$31+'Inputs'!$B$32)/1000+'Inputs'!$B$21+'Inputs'!$B$9+'Inputs'!$B$10))/SQRT((((190-43)*MAX('Inputs'!$B$33,'Inputs'!$B$29+'Inputs'!$B$31+'Inputs'!$B$32,'Inputs'!$B$30+'Inputs'!$B$31+'Inputs'!$B$32)/1000+'Inputs'!$B$21+'Inputs'!$B$9+'Inputs'!$B$10))^2+('Inputs'!$B$6/2)^2))))*'Results'!$B$8))),"")</x:f>
        <x:v>170.23668930233958</x:v>
      </x:c>
      <x:c r="P190" t="n">
        <x:f>IF(AND(MAX(J190,J189)&gt;0,J190&gt;J189+0.00000001),1,0)</x:f>
        <x:v>0</x:v>
      </x:c>
      <x:c r="Q190" t="n">
        <x:f>IF(AND(MAX(K190,K189)&gt;0,K190&gt;K189+0.00000001),1,0)</x:f>
        <x:v>0</x:v>
      </x:c>
      <x:c r="R190" t="n">
        <x:f>IF(AND(MAX(L190,L189)&gt;0,L190&gt;L189+0.00000001),1,0)</x:f>
        <x:v>0</x:v>
      </x:c>
      <x:c r="S190" t="n">
        <x:f>IF(AND(MAX(M190,M189)&gt;0,M190&gt;M189+0.00000001),1,0)</x:f>
        <x:v>0</x:v>
      </x:c>
      <x:c r="T190" t="n">
        <x:f>IF(AND(MAX(N190,N189)&gt;0,N190&gt;N189+0.00000001),1,0)</x:f>
        <x:v>0</x:v>
      </x:c>
      <x:c r="U190" t="n">
        <x:f>IF(AND(MAX(O190,O189)&gt;0,O190&gt;O189+0.00000001),1,0)</x:f>
        <x:v>0</x:v>
      </x:c>
    </x:row>
    <x:row r="191">
      <x:c r="J191" t="n">
        <x:f>IF(AND(ISNUMBER('Results'!B7),ISNUMBER('Results'!C7),ISNUMBER('Results'!$B$8),ISNUMBER('Inputs'!$B$6),ISNUMBER('Inputs'!$B$7),ISNUMBER('Inputs'!$B$8),ISNUMBER('Inputs'!$B$9),ISNUMBER('Inputs'!$B$10),ISNUMBER('Inputs'!$B$21),ISNUMBER('Inputs'!$B$24),ISNUMBER('Inputs'!$B$28)),(('Results'!B7*(0.5*((((191-43)*MAX('Inputs'!$B$33,'Inputs'!$B$29+'Inputs'!$B$31+'Inputs'!$B$32,'Inputs'!$B$30+'Inputs'!$B$31+'Inputs'!$B$32)/1000+'Inputs'!$B$21)+'Inputs'!$B$7)/SQRT((((191-43)*MAX('Inputs'!$B$33,'Inputs'!$B$29+'Inputs'!$B$31+'Inputs'!$B$32,'Inputs'!$B$30+'Inputs'!$B$31+'Inputs'!$B$32)/1000+'Inputs'!$B$21)+'Inputs'!$B$7)^2+('Inputs'!$B$6/2)^2)-(((191-43)*MAX('Inputs'!$B$33,'Inputs'!$B$29+'Inputs'!$B$31+'Inputs'!$B$32,'Inputs'!$B$30+'Inputs'!$B$31+'Inputs'!$B$32)/1000+'Inputs'!$B$21))/SQRT((((191-43)*MAX('Inputs'!$B$33,'Inputs'!$B$29+'Inputs'!$B$31+'Inputs'!$B$32,'Inputs'!$B$30+'Inputs'!$B$31+'Inputs'!$B$32)/1000+'Inputs'!$B$21))^2+('Inputs'!$B$6/2)^2)))-'Results'!C7*(0.5*((((191-43)*MAX('Inputs'!$B$33,'Inputs'!$B$29+'Inputs'!$B$31+'Inputs'!$B$32,'Inputs'!$B$30+'Inputs'!$B$31+'Inputs'!$B$32)/1000+'Inputs'!$B$21+'Inputs'!$B$7+'Inputs'!$B$10)+'Inputs'!$B$9)/SQRT((((191-43)*MAX('Inputs'!$B$33,'Inputs'!$B$29+'Inputs'!$B$31+'Inputs'!$B$32,'Inputs'!$B$30+'Inputs'!$B$31+'Inputs'!$B$32)/1000+'Inputs'!$B$21+'Inputs'!$B$7+'Inputs'!$B$10)+'Inputs'!$B$9)^2+('Inputs'!$B$8/2)^2)-(((191-43)*MAX('Inputs'!$B$33,'Inputs'!$B$29+'Inputs'!$B$31+'Inputs'!$B$32,'Inputs'!$B$30+'Inputs'!$B$31+'Inputs'!$B$32)/1000+'Inputs'!$B$21+'Inputs'!$B$7+'Inputs'!$B$10))/SQRT((((191-43)*MAX('Inputs'!$B$33,'Inputs'!$B$29+'Inputs'!$B$31+'Inputs'!$B$32,'Inputs'!$B$30+'Inputs'!$B$31+'Inputs'!$B$32)/1000+'Inputs'!$B$21+'Inputs'!$B$7+'Inputs'!$B$10))^2+('Inputs'!$B$8/2)^2))))*'Results'!$B$8),"")</x:f>
        <x:v>159.5884178713896</x:v>
      </x:c>
      <x:c r="K191" t="n">
        <x:f>IF(AND(ISNUMBER('Results'!B7),ISNUMBER('Results'!C7),ISNUMBER('Results'!$B$8),ISNUMBER('Inputs'!$B$6),ISNUMBER('Inputs'!$B$7),ISNUMBER('Inputs'!$B$8),ISNUMBER('Inputs'!$B$9),ISNUMBER('Inputs'!$B$10),ISNUMBER('Inputs'!$B$21),ISNUMBER('Inputs'!$B$24),ISNUMBER('Inputs'!$B$28)),((('Results'!B7*(1-'Inputs'!$B$24)*(0.5*((((191-43)*MAX('Inputs'!$B$33,'Inputs'!$B$29+'Inputs'!$B$31+'Inputs'!$B$32,'Inputs'!$B$30+'Inputs'!$B$31+'Inputs'!$B$32)/1000+'Inputs'!$B$21)+'Inputs'!$B$7)/SQRT((((191-43)*MAX('Inputs'!$B$33,'Inputs'!$B$29+'Inputs'!$B$31+'Inputs'!$B$32,'Inputs'!$B$30+'Inputs'!$B$31+'Inputs'!$B$32)/1000+'Inputs'!$B$21)+'Inputs'!$B$7)^2+('Inputs'!$B$6/2)^2)-(((191-43)*MAX('Inputs'!$B$33,'Inputs'!$B$29+'Inputs'!$B$31+'Inputs'!$B$32,'Inputs'!$B$30+'Inputs'!$B$31+'Inputs'!$B$32)/1000+'Inputs'!$B$21))/SQRT((((191-43)*MAX('Inputs'!$B$33,'Inputs'!$B$29+'Inputs'!$B$31+'Inputs'!$B$32,'Inputs'!$B$30+'Inputs'!$B$31+'Inputs'!$B$32)/1000+'Inputs'!$B$21))^2+('Inputs'!$B$6/2)^2)))-'Results'!C7*(1+'Inputs'!$B$24)*(0.5*((((191-43)*MAX('Inputs'!$B$33,'Inputs'!$B$29+'Inputs'!$B$31+'Inputs'!$B$32,'Inputs'!$B$30+'Inputs'!$B$31+'Inputs'!$B$32)/1000+'Inputs'!$B$21+'Inputs'!$B$7+'Inputs'!$B$10)+'Inputs'!$B$9)/SQRT((((191-43)*MAX('Inputs'!$B$33,'Inputs'!$B$29+'Inputs'!$B$31+'Inputs'!$B$32,'Inputs'!$B$30+'Inputs'!$B$31+'Inputs'!$B$32)/1000+'Inputs'!$B$21+'Inputs'!$B$7+'Inputs'!$B$10)+'Inputs'!$B$9)^2+('Inputs'!$B$8/2)^2)-(((191-43)*MAX('Inputs'!$B$33,'Inputs'!$B$29+'Inputs'!$B$31+'Inputs'!$B$32,'Inputs'!$B$30+'Inputs'!$B$31+'Inputs'!$B$32)/1000+'Inputs'!$B$21+'Inputs'!$B$7+'Inputs'!$B$10))/SQRT((((191-43)*MAX('Inputs'!$B$33,'Inputs'!$B$29+'Inputs'!$B$31+'Inputs'!$B$32,'Inputs'!$B$30+'Inputs'!$B$31+'Inputs'!$B$32)/1000+'Inputs'!$B$21+'Inputs'!$B$7+'Inputs'!$B$10))^2+('Inputs'!$B$8/2)^2))))*'Results'!$B$8)-'Inputs'!$B$28*ABS((('Results'!B7*(1-'Inputs'!$B$24)*(0.5*((((191-43)*MAX('Inputs'!$B$33,'Inputs'!$B$29+'Inputs'!$B$31+'Inputs'!$B$32,'Inputs'!$B$30+'Inputs'!$B$31+'Inputs'!$B$32)/1000+'Inputs'!$B$21)+'Inputs'!$B$7)/SQRT((((191-43)*MAX('Inputs'!$B$33,'Inputs'!$B$29+'Inputs'!$B$31+'Inputs'!$B$32,'Inputs'!$B$30+'Inputs'!$B$31+'Inputs'!$B$32)/1000+'Inputs'!$B$21)+'Inputs'!$B$7)^2+('Inputs'!$B$6/2)^2)-(((191-43)*MAX('Inputs'!$B$33,'Inputs'!$B$29+'Inputs'!$B$31+'Inputs'!$B$32,'Inputs'!$B$30+'Inputs'!$B$31+'Inputs'!$B$32)/1000+'Inputs'!$B$21))/SQRT((((191-43)*MAX('Inputs'!$B$33,'Inputs'!$B$29+'Inputs'!$B$31+'Inputs'!$B$32,'Inputs'!$B$30+'Inputs'!$B$31+'Inputs'!$B$32)/1000+'Inputs'!$B$21))^2+('Inputs'!$B$6/2)^2)))-'Results'!C7*(1+'Inputs'!$B$24)*(0.5*((((191-43)*MAX('Inputs'!$B$33,'Inputs'!$B$29+'Inputs'!$B$31+'Inputs'!$B$32,'Inputs'!$B$30+'Inputs'!$B$31+'Inputs'!$B$32)/1000+'Inputs'!$B$21+'Inputs'!$B$7+'Inputs'!$B$10)+'Inputs'!$B$9)/SQRT((((191-43)*MAX('Inputs'!$B$33,'Inputs'!$B$29+'Inputs'!$B$31+'Inputs'!$B$32,'Inputs'!$B$30+'Inputs'!$B$31+'Inputs'!$B$32)/1000+'Inputs'!$B$21+'Inputs'!$B$7+'Inputs'!$B$10)+'Inputs'!$B$9)^2+('Inputs'!$B$8/2)^2)-(((191-43)*MAX('Inputs'!$B$33,'Inputs'!$B$29+'Inputs'!$B$31+'Inputs'!$B$32,'Inputs'!$B$30+'Inputs'!$B$31+'Inputs'!$B$32)/1000+'Inputs'!$B$21+'Inputs'!$B$7+'Inputs'!$B$10))/SQRT((((191-43)*MAX('Inputs'!$B$33,'Inputs'!$B$29+'Inputs'!$B$31+'Inputs'!$B$32,'Inputs'!$B$30+'Inputs'!$B$31+'Inputs'!$B$32)/1000+'Inputs'!$B$21+'Inputs'!$B$7+'Inputs'!$B$10))^2+('Inputs'!$B$8/2)^2))))*'Results'!$B$8))),"")</x:f>
        <x:v>146.59976476665054</x:v>
      </x:c>
      <x:c r="L191" t="n">
        <x:f>IF(AND(ISNUMBER('Results'!B7),ISNUMBER('Results'!C7),ISNUMBER('Results'!$B$8),ISNUMBER('Inputs'!$B$6),ISNUMBER('Inputs'!$B$7),ISNUMBER('Inputs'!$B$8),ISNUMBER('Inputs'!$B$9),ISNUMBER('Inputs'!$B$10),ISNUMBER('Inputs'!$B$21),ISNUMBER('Inputs'!$B$24),ISNUMBER('Inputs'!$B$28)),((('Results'!B7*(1+'Inputs'!$B$24)*(0.5*((((191-43)*MAX('Inputs'!$B$33,'Inputs'!$B$29+'Inputs'!$B$31+'Inputs'!$B$32,'Inputs'!$B$30+'Inputs'!$B$31+'Inputs'!$B$32)/1000+'Inputs'!$B$21)+'Inputs'!$B$7)/SQRT((((191-43)*MAX('Inputs'!$B$33,'Inputs'!$B$29+'Inputs'!$B$31+'Inputs'!$B$32,'Inputs'!$B$30+'Inputs'!$B$31+'Inputs'!$B$32)/1000+'Inputs'!$B$21)+'Inputs'!$B$7)^2+('Inputs'!$B$6/2)^2)-(((191-43)*MAX('Inputs'!$B$33,'Inputs'!$B$29+'Inputs'!$B$31+'Inputs'!$B$32,'Inputs'!$B$30+'Inputs'!$B$31+'Inputs'!$B$32)/1000+'Inputs'!$B$21))/SQRT((((191-43)*MAX('Inputs'!$B$33,'Inputs'!$B$29+'Inputs'!$B$31+'Inputs'!$B$32,'Inputs'!$B$30+'Inputs'!$B$31+'Inputs'!$B$32)/1000+'Inputs'!$B$21))^2+('Inputs'!$B$6/2)^2)))-'Results'!C7*(1-'Inputs'!$B$24)*(0.5*((((191-43)*MAX('Inputs'!$B$33,'Inputs'!$B$29+'Inputs'!$B$31+'Inputs'!$B$32,'Inputs'!$B$30+'Inputs'!$B$31+'Inputs'!$B$32)/1000+'Inputs'!$B$21+'Inputs'!$B$7+'Inputs'!$B$10)+'Inputs'!$B$9)/SQRT((((191-43)*MAX('Inputs'!$B$33,'Inputs'!$B$29+'Inputs'!$B$31+'Inputs'!$B$32,'Inputs'!$B$30+'Inputs'!$B$31+'Inputs'!$B$32)/1000+'Inputs'!$B$21+'Inputs'!$B$7+'Inputs'!$B$10)+'Inputs'!$B$9)^2+('Inputs'!$B$8/2)^2)-(((191-43)*MAX('Inputs'!$B$33,'Inputs'!$B$29+'Inputs'!$B$31+'Inputs'!$B$32,'Inputs'!$B$30+'Inputs'!$B$31+'Inputs'!$B$32)/1000+'Inputs'!$B$21+'Inputs'!$B$7+'Inputs'!$B$10))/SQRT((((191-43)*MAX('Inputs'!$B$33,'Inputs'!$B$29+'Inputs'!$B$31+'Inputs'!$B$32,'Inputs'!$B$30+'Inputs'!$B$31+'Inputs'!$B$32)/1000+'Inputs'!$B$21+'Inputs'!$B$7+'Inputs'!$B$10))^2+('Inputs'!$B$8/2)^2))))*'Results'!$B$8)+'Inputs'!$B$28*ABS((('Results'!B7*(1+'Inputs'!$B$24)*(0.5*((((191-43)*MAX('Inputs'!$B$33,'Inputs'!$B$29+'Inputs'!$B$31+'Inputs'!$B$32,'Inputs'!$B$30+'Inputs'!$B$31+'Inputs'!$B$32)/1000+'Inputs'!$B$21)+'Inputs'!$B$7)/SQRT((((191-43)*MAX('Inputs'!$B$33,'Inputs'!$B$29+'Inputs'!$B$31+'Inputs'!$B$32,'Inputs'!$B$30+'Inputs'!$B$31+'Inputs'!$B$32)/1000+'Inputs'!$B$21)+'Inputs'!$B$7)^2+('Inputs'!$B$6/2)^2)-(((191-43)*MAX('Inputs'!$B$33,'Inputs'!$B$29+'Inputs'!$B$31+'Inputs'!$B$32,'Inputs'!$B$30+'Inputs'!$B$31+'Inputs'!$B$32)/1000+'Inputs'!$B$21))/SQRT((((191-43)*MAX('Inputs'!$B$33,'Inputs'!$B$29+'Inputs'!$B$31+'Inputs'!$B$32,'Inputs'!$B$30+'Inputs'!$B$31+'Inputs'!$B$32)/1000+'Inputs'!$B$21))^2+('Inputs'!$B$6/2)^2)))-'Results'!C7*(1-'Inputs'!$B$24)*(0.5*((((191-43)*MAX('Inputs'!$B$33,'Inputs'!$B$29+'Inputs'!$B$31+'Inputs'!$B$32,'Inputs'!$B$30+'Inputs'!$B$31+'Inputs'!$B$32)/1000+'Inputs'!$B$21+'Inputs'!$B$7+'Inputs'!$B$10)+'Inputs'!$B$9)/SQRT((((191-43)*MAX('Inputs'!$B$33,'Inputs'!$B$29+'Inputs'!$B$31+'Inputs'!$B$32,'Inputs'!$B$30+'Inputs'!$B$31+'Inputs'!$B$32)/1000+'Inputs'!$B$21+'Inputs'!$B$7+'Inputs'!$B$10)+'Inputs'!$B$9)^2+('Inputs'!$B$8/2)^2)-(((191-43)*MAX('Inputs'!$B$33,'Inputs'!$B$29+'Inputs'!$B$31+'Inputs'!$B$32,'Inputs'!$B$30+'Inputs'!$B$31+'Inputs'!$B$32)/1000+'Inputs'!$B$21+'Inputs'!$B$7+'Inputs'!$B$10))/SQRT((((191-43)*MAX('Inputs'!$B$33,'Inputs'!$B$29+'Inputs'!$B$31+'Inputs'!$B$32,'Inputs'!$B$30+'Inputs'!$B$31+'Inputs'!$B$32)/1000+'Inputs'!$B$21+'Inputs'!$B$7+'Inputs'!$B$10))^2+('Inputs'!$B$8/2)^2))))*'Results'!$B$8))),"")</x:f>
        <x:v>173.10435857730442</x:v>
      </x:c>
      <x:c r="M191" t="n">
        <x:f>IF(AND(ISNUMBER('Results'!C7),ISNUMBER('Results'!B7),ISNUMBER('Results'!$B$8),ISNUMBER('Inputs'!$B$6),ISNUMBER('Inputs'!$B$7),ISNUMBER('Inputs'!$B$8),ISNUMBER('Inputs'!$B$9),ISNUMBER('Inputs'!$B$10),ISNUMBER('Inputs'!$B$21),ISNUMBER('Inputs'!$B$24),ISNUMBER('Inputs'!$B$28)),(('Results'!C7*(0.5*((((191-43)*MAX('Inputs'!$B$33,'Inputs'!$B$29+'Inputs'!$B$31+'Inputs'!$B$32,'Inputs'!$B$30+'Inputs'!$B$31+'Inputs'!$B$32)/1000+'Inputs'!$B$21)+'Inputs'!$B$9)/SQRT((((191-43)*MAX('Inputs'!$B$33,'Inputs'!$B$29+'Inputs'!$B$31+'Inputs'!$B$32,'Inputs'!$B$30+'Inputs'!$B$31+'Inputs'!$B$32)/1000+'Inputs'!$B$21)+'Inputs'!$B$9)^2+('Inputs'!$B$8/2)^2)-(((191-43)*MAX('Inputs'!$B$33,'Inputs'!$B$29+'Inputs'!$B$31+'Inputs'!$B$32,'Inputs'!$B$30+'Inputs'!$B$31+'Inputs'!$B$32)/1000+'Inputs'!$B$21))/SQRT((((191-43)*MAX('Inputs'!$B$33,'Inputs'!$B$29+'Inputs'!$B$31+'Inputs'!$B$32,'Inputs'!$B$30+'Inputs'!$B$31+'Inputs'!$B$32)/1000+'Inputs'!$B$21))^2+('Inputs'!$B$8/2)^2)))-'Results'!B7*(0.5*((((191-43)*MAX('Inputs'!$B$33,'Inputs'!$B$29+'Inputs'!$B$31+'Inputs'!$B$32,'Inputs'!$B$30+'Inputs'!$B$31+'Inputs'!$B$32)/1000+'Inputs'!$B$21+'Inputs'!$B$9+'Inputs'!$B$10)+'Inputs'!$B$7)/SQRT((((191-43)*MAX('Inputs'!$B$33,'Inputs'!$B$29+'Inputs'!$B$31+'Inputs'!$B$32,'Inputs'!$B$30+'Inputs'!$B$31+'Inputs'!$B$32)/1000+'Inputs'!$B$21+'Inputs'!$B$9+'Inputs'!$B$10)+'Inputs'!$B$7)^2+('Inputs'!$B$6/2)^2)-(((191-43)*MAX('Inputs'!$B$33,'Inputs'!$B$29+'Inputs'!$B$31+'Inputs'!$B$32,'Inputs'!$B$30+'Inputs'!$B$31+'Inputs'!$B$32)/1000+'Inputs'!$B$21+'Inputs'!$B$9+'Inputs'!$B$10))/SQRT((((191-43)*MAX('Inputs'!$B$33,'Inputs'!$B$29+'Inputs'!$B$31+'Inputs'!$B$32,'Inputs'!$B$30+'Inputs'!$B$31+'Inputs'!$B$32)/1000+'Inputs'!$B$21+'Inputs'!$B$9+'Inputs'!$B$10))^2+('Inputs'!$B$6/2)^2))))*'Results'!$B$8),"")</x:f>
        <x:v>154.294306067241</x:v>
      </x:c>
      <x:c r="N191" t="n">
        <x:f>IF(AND(ISNUMBER('Results'!C7),ISNUMBER('Results'!B7),ISNUMBER('Results'!$B$8),ISNUMBER('Inputs'!$B$6),ISNUMBER('Inputs'!$B$7),ISNUMBER('Inputs'!$B$8),ISNUMBER('Inputs'!$B$9),ISNUMBER('Inputs'!$B$10),ISNUMBER('Inputs'!$B$21),ISNUMBER('Inputs'!$B$24),ISNUMBER('Inputs'!$B$28)),((('Results'!C7*(1-'Inputs'!$B$24)*(0.5*((((191-43)*MAX('Inputs'!$B$33,'Inputs'!$B$29+'Inputs'!$B$31+'Inputs'!$B$32,'Inputs'!$B$30+'Inputs'!$B$31+'Inputs'!$B$32)/1000+'Inputs'!$B$21)+'Inputs'!$B$9)/SQRT((((191-43)*MAX('Inputs'!$B$33,'Inputs'!$B$29+'Inputs'!$B$31+'Inputs'!$B$32,'Inputs'!$B$30+'Inputs'!$B$31+'Inputs'!$B$32)/1000+'Inputs'!$B$21)+'Inputs'!$B$9)^2+('Inputs'!$B$8/2)^2)-(((191-43)*MAX('Inputs'!$B$33,'Inputs'!$B$29+'Inputs'!$B$31+'Inputs'!$B$32,'Inputs'!$B$30+'Inputs'!$B$31+'Inputs'!$B$32)/1000+'Inputs'!$B$21))/SQRT((((191-43)*MAX('Inputs'!$B$33,'Inputs'!$B$29+'Inputs'!$B$31+'Inputs'!$B$32,'Inputs'!$B$30+'Inputs'!$B$31+'Inputs'!$B$32)/1000+'Inputs'!$B$21))^2+('Inputs'!$B$8/2)^2)))-'Results'!B7*(1+'Inputs'!$B$24)*(0.5*((((191-43)*MAX('Inputs'!$B$33,'Inputs'!$B$29+'Inputs'!$B$31+'Inputs'!$B$32,'Inputs'!$B$30+'Inputs'!$B$31+'Inputs'!$B$32)/1000+'Inputs'!$B$21+'Inputs'!$B$9+'Inputs'!$B$10)+'Inputs'!$B$7)/SQRT((((191-43)*MAX('Inputs'!$B$33,'Inputs'!$B$29+'Inputs'!$B$31+'Inputs'!$B$32,'Inputs'!$B$30+'Inputs'!$B$31+'Inputs'!$B$32)/1000+'Inputs'!$B$21+'Inputs'!$B$9+'Inputs'!$B$10)+'Inputs'!$B$7)^2+('Inputs'!$B$6/2)^2)-(((191-43)*MAX('Inputs'!$B$33,'Inputs'!$B$29+'Inputs'!$B$31+'Inputs'!$B$32,'Inputs'!$B$30+'Inputs'!$B$31+'Inputs'!$B$32)/1000+'Inputs'!$B$21+'Inputs'!$B$9+'Inputs'!$B$10))/SQRT((((191-43)*MAX('Inputs'!$B$33,'Inputs'!$B$29+'Inputs'!$B$31+'Inputs'!$B$32,'Inputs'!$B$30+'Inputs'!$B$31+'Inputs'!$B$32)/1000+'Inputs'!$B$21+'Inputs'!$B$9+'Inputs'!$B$10))^2+('Inputs'!$B$6/2)^2))))*'Results'!$B$8)-'Inputs'!$B$28*ABS((('Results'!C7*(1-'Inputs'!$B$24)*(0.5*((((191-43)*MAX('Inputs'!$B$33,'Inputs'!$B$29+'Inputs'!$B$31+'Inputs'!$B$32,'Inputs'!$B$30+'Inputs'!$B$31+'Inputs'!$B$32)/1000+'Inputs'!$B$21)+'Inputs'!$B$9)/SQRT((((191-43)*MAX('Inputs'!$B$33,'Inputs'!$B$29+'Inputs'!$B$31+'Inputs'!$B$32,'Inputs'!$B$30+'Inputs'!$B$31+'Inputs'!$B$32)/1000+'Inputs'!$B$21)+'Inputs'!$B$9)^2+('Inputs'!$B$8/2)^2)-(((191-43)*MAX('Inputs'!$B$33,'Inputs'!$B$29+'Inputs'!$B$31+'Inputs'!$B$32,'Inputs'!$B$30+'Inputs'!$B$31+'Inputs'!$B$32)/1000+'Inputs'!$B$21))/SQRT((((191-43)*MAX('Inputs'!$B$33,'Inputs'!$B$29+'Inputs'!$B$31+'Inputs'!$B$32,'Inputs'!$B$30+'Inputs'!$B$31+'Inputs'!$B$32)/1000+'Inputs'!$B$21))^2+('Inputs'!$B$8/2)^2)))-'Results'!B7*(1+'Inputs'!$B$24)*(0.5*((((191-43)*MAX('Inputs'!$B$33,'Inputs'!$B$29+'Inputs'!$B$31+'Inputs'!$B$32,'Inputs'!$B$30+'Inputs'!$B$31+'Inputs'!$B$32)/1000+'Inputs'!$B$21+'Inputs'!$B$9+'Inputs'!$B$10)+'Inputs'!$B$7)/SQRT((((191-43)*MAX('Inputs'!$B$33,'Inputs'!$B$29+'Inputs'!$B$31+'Inputs'!$B$32,'Inputs'!$B$30+'Inputs'!$B$31+'Inputs'!$B$32)/1000+'Inputs'!$B$21+'Inputs'!$B$9+'Inputs'!$B$10)+'Inputs'!$B$7)^2+('Inputs'!$B$6/2)^2)-(((191-43)*MAX('Inputs'!$B$33,'Inputs'!$B$29+'Inputs'!$B$31+'Inputs'!$B$32,'Inputs'!$B$30+'Inputs'!$B$31+'Inputs'!$B$32)/1000+'Inputs'!$B$21+'Inputs'!$B$9+'Inputs'!$B$10))/SQRT((((191-43)*MAX('Inputs'!$B$33,'Inputs'!$B$29+'Inputs'!$B$31+'Inputs'!$B$32,'Inputs'!$B$30+'Inputs'!$B$31+'Inputs'!$B$32)/1000+'Inputs'!$B$21+'Inputs'!$B$9+'Inputs'!$B$10))^2+('Inputs'!$B$6/2)^2))))*'Results'!$B$8))),"")</x:f>
        <x:v>141.63059867144503</x:v>
      </x:c>
      <x:c r="O191" t="n">
        <x:f>IF(AND(ISNUMBER('Results'!C7),ISNUMBER('Results'!B7),ISNUMBER('Results'!$B$8),ISNUMBER('Inputs'!$B$6),ISNUMBER('Inputs'!$B$7),ISNUMBER('Inputs'!$B$8),ISNUMBER('Inputs'!$B$9),ISNUMBER('Inputs'!$B$10),ISNUMBER('Inputs'!$B$21),ISNUMBER('Inputs'!$B$24),ISNUMBER('Inputs'!$B$28)),((('Results'!C7*(1+'Inputs'!$B$24)*(0.5*((((191-43)*MAX('Inputs'!$B$33,'Inputs'!$B$29+'Inputs'!$B$31+'Inputs'!$B$32,'Inputs'!$B$30+'Inputs'!$B$31+'Inputs'!$B$32)/1000+'Inputs'!$B$21)+'Inputs'!$B$9)/SQRT((((191-43)*MAX('Inputs'!$B$33,'Inputs'!$B$29+'Inputs'!$B$31+'Inputs'!$B$32,'Inputs'!$B$30+'Inputs'!$B$31+'Inputs'!$B$32)/1000+'Inputs'!$B$21)+'Inputs'!$B$9)^2+('Inputs'!$B$8/2)^2)-(((191-43)*MAX('Inputs'!$B$33,'Inputs'!$B$29+'Inputs'!$B$31+'Inputs'!$B$32,'Inputs'!$B$30+'Inputs'!$B$31+'Inputs'!$B$32)/1000+'Inputs'!$B$21))/SQRT((((191-43)*MAX('Inputs'!$B$33,'Inputs'!$B$29+'Inputs'!$B$31+'Inputs'!$B$32,'Inputs'!$B$30+'Inputs'!$B$31+'Inputs'!$B$32)/1000+'Inputs'!$B$21))^2+('Inputs'!$B$8/2)^2)))-'Results'!B7*(1-'Inputs'!$B$24)*(0.5*((((191-43)*MAX('Inputs'!$B$33,'Inputs'!$B$29+'Inputs'!$B$31+'Inputs'!$B$32,'Inputs'!$B$30+'Inputs'!$B$31+'Inputs'!$B$32)/1000+'Inputs'!$B$21+'Inputs'!$B$9+'Inputs'!$B$10)+'Inputs'!$B$7)/SQRT((((191-43)*MAX('Inputs'!$B$33,'Inputs'!$B$29+'Inputs'!$B$31+'Inputs'!$B$32,'Inputs'!$B$30+'Inputs'!$B$31+'Inputs'!$B$32)/1000+'Inputs'!$B$21+'Inputs'!$B$9+'Inputs'!$B$10)+'Inputs'!$B$7)^2+('Inputs'!$B$6/2)^2)-(((191-43)*MAX('Inputs'!$B$33,'Inputs'!$B$29+'Inputs'!$B$31+'Inputs'!$B$32,'Inputs'!$B$30+'Inputs'!$B$31+'Inputs'!$B$32)/1000+'Inputs'!$B$21+'Inputs'!$B$9+'Inputs'!$B$10))/SQRT((((191-43)*MAX('Inputs'!$B$33,'Inputs'!$B$29+'Inputs'!$B$31+'Inputs'!$B$32,'Inputs'!$B$30+'Inputs'!$B$31+'Inputs'!$B$32)/1000+'Inputs'!$B$21+'Inputs'!$B$9+'Inputs'!$B$10))^2+('Inputs'!$B$6/2)^2))))*'Results'!$B$8)+'Inputs'!$B$28*ABS((('Results'!C7*(1+'Inputs'!$B$24)*(0.5*((((191-43)*MAX('Inputs'!$B$33,'Inputs'!$B$29+'Inputs'!$B$31+'Inputs'!$B$32,'Inputs'!$B$30+'Inputs'!$B$31+'Inputs'!$B$32)/1000+'Inputs'!$B$21)+'Inputs'!$B$9)/SQRT((((191-43)*MAX('Inputs'!$B$33,'Inputs'!$B$29+'Inputs'!$B$31+'Inputs'!$B$32,'Inputs'!$B$30+'Inputs'!$B$31+'Inputs'!$B$32)/1000+'Inputs'!$B$21)+'Inputs'!$B$9)^2+('Inputs'!$B$8/2)^2)-(((191-43)*MAX('Inputs'!$B$33,'Inputs'!$B$29+'Inputs'!$B$31+'Inputs'!$B$32,'Inputs'!$B$30+'Inputs'!$B$31+'Inputs'!$B$32)/1000+'Inputs'!$B$21))/SQRT((((191-43)*MAX('Inputs'!$B$33,'Inputs'!$B$29+'Inputs'!$B$31+'Inputs'!$B$32,'Inputs'!$B$30+'Inputs'!$B$31+'Inputs'!$B$32)/1000+'Inputs'!$B$21))^2+('Inputs'!$B$8/2)^2)))-'Results'!B7*(1-'Inputs'!$B$24)*(0.5*((((191-43)*MAX('Inputs'!$B$33,'Inputs'!$B$29+'Inputs'!$B$31+'Inputs'!$B$32,'Inputs'!$B$30+'Inputs'!$B$31+'Inputs'!$B$32)/1000+'Inputs'!$B$21+'Inputs'!$B$9+'Inputs'!$B$10)+'Inputs'!$B$7)/SQRT((((191-43)*MAX('Inputs'!$B$33,'Inputs'!$B$29+'Inputs'!$B$31+'Inputs'!$B$32,'Inputs'!$B$30+'Inputs'!$B$31+'Inputs'!$B$32)/1000+'Inputs'!$B$21+'Inputs'!$B$9+'Inputs'!$B$10)+'Inputs'!$B$7)^2+('Inputs'!$B$6/2)^2)-(((191-43)*MAX('Inputs'!$B$33,'Inputs'!$B$29+'Inputs'!$B$31+'Inputs'!$B$32,'Inputs'!$B$30+'Inputs'!$B$31+'Inputs'!$B$32)/1000+'Inputs'!$B$21+'Inputs'!$B$9+'Inputs'!$B$10))/SQRT((((191-43)*MAX('Inputs'!$B$33,'Inputs'!$B$29+'Inputs'!$B$31+'Inputs'!$B$32,'Inputs'!$B$30+'Inputs'!$B$31+'Inputs'!$B$32)/1000+'Inputs'!$B$21+'Inputs'!$B$9+'Inputs'!$B$10))^2+('Inputs'!$B$6/2)^2))))*'Results'!$B$8))),"")</x:f>
        <x:v>167.47895999908266</x:v>
      </x:c>
      <x:c r="P191" t="n">
        <x:f>IF(AND(MAX(J191,J190)&gt;0,J191&gt;J190+0.00000001),1,0)</x:f>
        <x:v>0</x:v>
      </x:c>
      <x:c r="Q191" t="n">
        <x:f>IF(AND(MAX(K191,K190)&gt;0,K191&gt;K190+0.00000001),1,0)</x:f>
        <x:v>0</x:v>
      </x:c>
      <x:c r="R191" t="n">
        <x:f>IF(AND(MAX(L191,L190)&gt;0,L191&gt;L190+0.00000001),1,0)</x:f>
        <x:v>0</x:v>
      </x:c>
      <x:c r="S191" t="n">
        <x:f>IF(AND(MAX(M191,M190)&gt;0,M191&gt;M190+0.00000001),1,0)</x:f>
        <x:v>0</x:v>
      </x:c>
      <x:c r="T191" t="n">
        <x:f>IF(AND(MAX(N191,N190)&gt;0,N191&gt;N190+0.00000001),1,0)</x:f>
        <x:v>0</x:v>
      </x:c>
      <x:c r="U191" t="n">
        <x:f>IF(AND(MAX(O191,O190)&gt;0,O191&gt;O190+0.00000001),1,0)</x:f>
        <x:v>0</x:v>
      </x:c>
    </x:row>
    <x:row r="192">
      <x:c r="J192" t="n">
        <x:f>IF(AND(ISNUMBER('Results'!B7),ISNUMBER('Results'!C7),ISNUMBER('Results'!$B$8),ISNUMBER('Inputs'!$B$6),ISNUMBER('Inputs'!$B$7),ISNUMBER('Inputs'!$B$8),ISNUMBER('Inputs'!$B$9),ISNUMBER('Inputs'!$B$10),ISNUMBER('Inputs'!$B$21),ISNUMBER('Inputs'!$B$24),ISNUMBER('Inputs'!$B$28)),(('Results'!B7*(0.5*((((192-43)*MAX('Inputs'!$B$33,'Inputs'!$B$29+'Inputs'!$B$31+'Inputs'!$B$32,'Inputs'!$B$30+'Inputs'!$B$31+'Inputs'!$B$32)/1000+'Inputs'!$B$21)+'Inputs'!$B$7)/SQRT((((192-43)*MAX('Inputs'!$B$33,'Inputs'!$B$29+'Inputs'!$B$31+'Inputs'!$B$32,'Inputs'!$B$30+'Inputs'!$B$31+'Inputs'!$B$32)/1000+'Inputs'!$B$21)+'Inputs'!$B$7)^2+('Inputs'!$B$6/2)^2)-(((192-43)*MAX('Inputs'!$B$33,'Inputs'!$B$29+'Inputs'!$B$31+'Inputs'!$B$32,'Inputs'!$B$30+'Inputs'!$B$31+'Inputs'!$B$32)/1000+'Inputs'!$B$21))/SQRT((((192-43)*MAX('Inputs'!$B$33,'Inputs'!$B$29+'Inputs'!$B$31+'Inputs'!$B$32,'Inputs'!$B$30+'Inputs'!$B$31+'Inputs'!$B$32)/1000+'Inputs'!$B$21))^2+('Inputs'!$B$6/2)^2)))-'Results'!C7*(0.5*((((192-43)*MAX('Inputs'!$B$33,'Inputs'!$B$29+'Inputs'!$B$31+'Inputs'!$B$32,'Inputs'!$B$30+'Inputs'!$B$31+'Inputs'!$B$32)/1000+'Inputs'!$B$21+'Inputs'!$B$7+'Inputs'!$B$10)+'Inputs'!$B$9)/SQRT((((192-43)*MAX('Inputs'!$B$33,'Inputs'!$B$29+'Inputs'!$B$31+'Inputs'!$B$32,'Inputs'!$B$30+'Inputs'!$B$31+'Inputs'!$B$32)/1000+'Inputs'!$B$21+'Inputs'!$B$7+'Inputs'!$B$10)+'Inputs'!$B$9)^2+('Inputs'!$B$8/2)^2)-(((192-43)*MAX('Inputs'!$B$33,'Inputs'!$B$29+'Inputs'!$B$31+'Inputs'!$B$32,'Inputs'!$B$30+'Inputs'!$B$31+'Inputs'!$B$32)/1000+'Inputs'!$B$21+'Inputs'!$B$7+'Inputs'!$B$10))/SQRT((((192-43)*MAX('Inputs'!$B$33,'Inputs'!$B$29+'Inputs'!$B$31+'Inputs'!$B$32,'Inputs'!$B$30+'Inputs'!$B$31+'Inputs'!$B$32)/1000+'Inputs'!$B$21+'Inputs'!$B$7+'Inputs'!$B$10))^2+('Inputs'!$B$8/2)^2))))*'Results'!$B$8),"")</x:f>
        <x:v>157.01180729598073</x:v>
      </x:c>
      <x:c r="K192" t="n">
        <x:f>IF(AND(ISNUMBER('Results'!B7),ISNUMBER('Results'!C7),ISNUMBER('Results'!$B$8),ISNUMBER('Inputs'!$B$6),ISNUMBER('Inputs'!$B$7),ISNUMBER('Inputs'!$B$8),ISNUMBER('Inputs'!$B$9),ISNUMBER('Inputs'!$B$10),ISNUMBER('Inputs'!$B$21),ISNUMBER('Inputs'!$B$24),ISNUMBER('Inputs'!$B$28)),((('Results'!B7*(1-'Inputs'!$B$24)*(0.5*((((192-43)*MAX('Inputs'!$B$33,'Inputs'!$B$29+'Inputs'!$B$31+'Inputs'!$B$32,'Inputs'!$B$30+'Inputs'!$B$31+'Inputs'!$B$32)/1000+'Inputs'!$B$21)+'Inputs'!$B$7)/SQRT((((192-43)*MAX('Inputs'!$B$33,'Inputs'!$B$29+'Inputs'!$B$31+'Inputs'!$B$32,'Inputs'!$B$30+'Inputs'!$B$31+'Inputs'!$B$32)/1000+'Inputs'!$B$21)+'Inputs'!$B$7)^2+('Inputs'!$B$6/2)^2)-(((192-43)*MAX('Inputs'!$B$33,'Inputs'!$B$29+'Inputs'!$B$31+'Inputs'!$B$32,'Inputs'!$B$30+'Inputs'!$B$31+'Inputs'!$B$32)/1000+'Inputs'!$B$21))/SQRT((((192-43)*MAX('Inputs'!$B$33,'Inputs'!$B$29+'Inputs'!$B$31+'Inputs'!$B$32,'Inputs'!$B$30+'Inputs'!$B$31+'Inputs'!$B$32)/1000+'Inputs'!$B$21))^2+('Inputs'!$B$6/2)^2)))-'Results'!C7*(1+'Inputs'!$B$24)*(0.5*((((192-43)*MAX('Inputs'!$B$33,'Inputs'!$B$29+'Inputs'!$B$31+'Inputs'!$B$32,'Inputs'!$B$30+'Inputs'!$B$31+'Inputs'!$B$32)/1000+'Inputs'!$B$21+'Inputs'!$B$7+'Inputs'!$B$10)+'Inputs'!$B$9)/SQRT((((192-43)*MAX('Inputs'!$B$33,'Inputs'!$B$29+'Inputs'!$B$31+'Inputs'!$B$32,'Inputs'!$B$30+'Inputs'!$B$31+'Inputs'!$B$32)/1000+'Inputs'!$B$21+'Inputs'!$B$7+'Inputs'!$B$10)+'Inputs'!$B$9)^2+('Inputs'!$B$8/2)^2)-(((192-43)*MAX('Inputs'!$B$33,'Inputs'!$B$29+'Inputs'!$B$31+'Inputs'!$B$32,'Inputs'!$B$30+'Inputs'!$B$31+'Inputs'!$B$32)/1000+'Inputs'!$B$21+'Inputs'!$B$7+'Inputs'!$B$10))/SQRT((((192-43)*MAX('Inputs'!$B$33,'Inputs'!$B$29+'Inputs'!$B$31+'Inputs'!$B$32,'Inputs'!$B$30+'Inputs'!$B$31+'Inputs'!$B$32)/1000+'Inputs'!$B$21+'Inputs'!$B$7+'Inputs'!$B$10))^2+('Inputs'!$B$8/2)^2))))*'Results'!$B$8)-'Inputs'!$B$28*ABS((('Results'!B7*(1-'Inputs'!$B$24)*(0.5*((((192-43)*MAX('Inputs'!$B$33,'Inputs'!$B$29+'Inputs'!$B$31+'Inputs'!$B$32,'Inputs'!$B$30+'Inputs'!$B$31+'Inputs'!$B$32)/1000+'Inputs'!$B$21)+'Inputs'!$B$7)/SQRT((((192-43)*MAX('Inputs'!$B$33,'Inputs'!$B$29+'Inputs'!$B$31+'Inputs'!$B$32,'Inputs'!$B$30+'Inputs'!$B$31+'Inputs'!$B$32)/1000+'Inputs'!$B$21)+'Inputs'!$B$7)^2+('Inputs'!$B$6/2)^2)-(((192-43)*MAX('Inputs'!$B$33,'Inputs'!$B$29+'Inputs'!$B$31+'Inputs'!$B$32,'Inputs'!$B$30+'Inputs'!$B$31+'Inputs'!$B$32)/1000+'Inputs'!$B$21))/SQRT((((192-43)*MAX('Inputs'!$B$33,'Inputs'!$B$29+'Inputs'!$B$31+'Inputs'!$B$32,'Inputs'!$B$30+'Inputs'!$B$31+'Inputs'!$B$32)/1000+'Inputs'!$B$21))^2+('Inputs'!$B$6/2)^2)))-'Results'!C7*(1+'Inputs'!$B$24)*(0.5*((((192-43)*MAX('Inputs'!$B$33,'Inputs'!$B$29+'Inputs'!$B$31+'Inputs'!$B$32,'Inputs'!$B$30+'Inputs'!$B$31+'Inputs'!$B$32)/1000+'Inputs'!$B$21+'Inputs'!$B$7+'Inputs'!$B$10)+'Inputs'!$B$9)/SQRT((((192-43)*MAX('Inputs'!$B$33,'Inputs'!$B$29+'Inputs'!$B$31+'Inputs'!$B$32,'Inputs'!$B$30+'Inputs'!$B$31+'Inputs'!$B$32)/1000+'Inputs'!$B$21+'Inputs'!$B$7+'Inputs'!$B$10)+'Inputs'!$B$9)^2+('Inputs'!$B$8/2)^2)-(((192-43)*MAX('Inputs'!$B$33,'Inputs'!$B$29+'Inputs'!$B$31+'Inputs'!$B$32,'Inputs'!$B$30+'Inputs'!$B$31+'Inputs'!$B$32)/1000+'Inputs'!$B$21+'Inputs'!$B$7+'Inputs'!$B$10))/SQRT((((192-43)*MAX('Inputs'!$B$33,'Inputs'!$B$29+'Inputs'!$B$31+'Inputs'!$B$32,'Inputs'!$B$30+'Inputs'!$B$31+'Inputs'!$B$32)/1000+'Inputs'!$B$21+'Inputs'!$B$7+'Inputs'!$B$10))^2+('Inputs'!$B$8/2)^2))))*'Results'!$B$8))),"")</x:f>
        <x:v>144.22036885153733</x:v>
      </x:c>
      <x:c r="L192" t="n">
        <x:f>IF(AND(ISNUMBER('Results'!B7),ISNUMBER('Results'!C7),ISNUMBER('Results'!$B$8),ISNUMBER('Inputs'!$B$6),ISNUMBER('Inputs'!$B$7),ISNUMBER('Inputs'!$B$8),ISNUMBER('Inputs'!$B$9),ISNUMBER('Inputs'!$B$10),ISNUMBER('Inputs'!$B$21),ISNUMBER('Inputs'!$B$24),ISNUMBER('Inputs'!$B$28)),((('Results'!B7*(1+'Inputs'!$B$24)*(0.5*((((192-43)*MAX('Inputs'!$B$33,'Inputs'!$B$29+'Inputs'!$B$31+'Inputs'!$B$32,'Inputs'!$B$30+'Inputs'!$B$31+'Inputs'!$B$32)/1000+'Inputs'!$B$21)+'Inputs'!$B$7)/SQRT((((192-43)*MAX('Inputs'!$B$33,'Inputs'!$B$29+'Inputs'!$B$31+'Inputs'!$B$32,'Inputs'!$B$30+'Inputs'!$B$31+'Inputs'!$B$32)/1000+'Inputs'!$B$21)+'Inputs'!$B$7)^2+('Inputs'!$B$6/2)^2)-(((192-43)*MAX('Inputs'!$B$33,'Inputs'!$B$29+'Inputs'!$B$31+'Inputs'!$B$32,'Inputs'!$B$30+'Inputs'!$B$31+'Inputs'!$B$32)/1000+'Inputs'!$B$21))/SQRT((((192-43)*MAX('Inputs'!$B$33,'Inputs'!$B$29+'Inputs'!$B$31+'Inputs'!$B$32,'Inputs'!$B$30+'Inputs'!$B$31+'Inputs'!$B$32)/1000+'Inputs'!$B$21))^2+('Inputs'!$B$6/2)^2)))-'Results'!C7*(1-'Inputs'!$B$24)*(0.5*((((192-43)*MAX('Inputs'!$B$33,'Inputs'!$B$29+'Inputs'!$B$31+'Inputs'!$B$32,'Inputs'!$B$30+'Inputs'!$B$31+'Inputs'!$B$32)/1000+'Inputs'!$B$21+'Inputs'!$B$7+'Inputs'!$B$10)+'Inputs'!$B$9)/SQRT((((192-43)*MAX('Inputs'!$B$33,'Inputs'!$B$29+'Inputs'!$B$31+'Inputs'!$B$32,'Inputs'!$B$30+'Inputs'!$B$31+'Inputs'!$B$32)/1000+'Inputs'!$B$21+'Inputs'!$B$7+'Inputs'!$B$10)+'Inputs'!$B$9)^2+('Inputs'!$B$8/2)^2)-(((192-43)*MAX('Inputs'!$B$33,'Inputs'!$B$29+'Inputs'!$B$31+'Inputs'!$B$32,'Inputs'!$B$30+'Inputs'!$B$31+'Inputs'!$B$32)/1000+'Inputs'!$B$21+'Inputs'!$B$7+'Inputs'!$B$10))/SQRT((((192-43)*MAX('Inputs'!$B$33,'Inputs'!$B$29+'Inputs'!$B$31+'Inputs'!$B$32,'Inputs'!$B$30+'Inputs'!$B$31+'Inputs'!$B$32)/1000+'Inputs'!$B$21+'Inputs'!$B$7+'Inputs'!$B$10))^2+('Inputs'!$B$8/2)^2))))*'Results'!$B$8)+'Inputs'!$B$28*ABS((('Results'!B7*(1+'Inputs'!$B$24)*(0.5*((((192-43)*MAX('Inputs'!$B$33,'Inputs'!$B$29+'Inputs'!$B$31+'Inputs'!$B$32,'Inputs'!$B$30+'Inputs'!$B$31+'Inputs'!$B$32)/1000+'Inputs'!$B$21)+'Inputs'!$B$7)/SQRT((((192-43)*MAX('Inputs'!$B$33,'Inputs'!$B$29+'Inputs'!$B$31+'Inputs'!$B$32,'Inputs'!$B$30+'Inputs'!$B$31+'Inputs'!$B$32)/1000+'Inputs'!$B$21)+'Inputs'!$B$7)^2+('Inputs'!$B$6/2)^2)-(((192-43)*MAX('Inputs'!$B$33,'Inputs'!$B$29+'Inputs'!$B$31+'Inputs'!$B$32,'Inputs'!$B$30+'Inputs'!$B$31+'Inputs'!$B$32)/1000+'Inputs'!$B$21))/SQRT((((192-43)*MAX('Inputs'!$B$33,'Inputs'!$B$29+'Inputs'!$B$31+'Inputs'!$B$32,'Inputs'!$B$30+'Inputs'!$B$31+'Inputs'!$B$32)/1000+'Inputs'!$B$21))^2+('Inputs'!$B$6/2)^2)))-'Results'!C7*(1-'Inputs'!$B$24)*(0.5*((((192-43)*MAX('Inputs'!$B$33,'Inputs'!$B$29+'Inputs'!$B$31+'Inputs'!$B$32,'Inputs'!$B$30+'Inputs'!$B$31+'Inputs'!$B$32)/1000+'Inputs'!$B$21+'Inputs'!$B$7+'Inputs'!$B$10)+'Inputs'!$B$9)/SQRT((((192-43)*MAX('Inputs'!$B$33,'Inputs'!$B$29+'Inputs'!$B$31+'Inputs'!$B$32,'Inputs'!$B$30+'Inputs'!$B$31+'Inputs'!$B$32)/1000+'Inputs'!$B$21+'Inputs'!$B$7+'Inputs'!$B$10)+'Inputs'!$B$9)^2+('Inputs'!$B$8/2)^2)-(((192-43)*MAX('Inputs'!$B$33,'Inputs'!$B$29+'Inputs'!$B$31+'Inputs'!$B$32,'Inputs'!$B$30+'Inputs'!$B$31+'Inputs'!$B$32)/1000+'Inputs'!$B$21+'Inputs'!$B$7+'Inputs'!$B$10))/SQRT((((192-43)*MAX('Inputs'!$B$33,'Inputs'!$B$29+'Inputs'!$B$31+'Inputs'!$B$32,'Inputs'!$B$30+'Inputs'!$B$31+'Inputs'!$B$32)/1000+'Inputs'!$B$21+'Inputs'!$B$7+'Inputs'!$B$10))^2+('Inputs'!$B$8/2)^2))))*'Results'!$B$8))),"")</x:f>
        <x:v>170.32333501196564</x:v>
      </x:c>
      <x:c r="M192" t="n">
        <x:f>IF(AND(ISNUMBER('Results'!C7),ISNUMBER('Results'!B7),ISNUMBER('Results'!$B$8),ISNUMBER('Inputs'!$B$6),ISNUMBER('Inputs'!$B$7),ISNUMBER('Inputs'!$B$8),ISNUMBER('Inputs'!$B$9),ISNUMBER('Inputs'!$B$10),ISNUMBER('Inputs'!$B$21),ISNUMBER('Inputs'!$B$24),ISNUMBER('Inputs'!$B$28)),(('Results'!C7*(0.5*((((192-43)*MAX('Inputs'!$B$33,'Inputs'!$B$29+'Inputs'!$B$31+'Inputs'!$B$32,'Inputs'!$B$30+'Inputs'!$B$31+'Inputs'!$B$32)/1000+'Inputs'!$B$21)+'Inputs'!$B$9)/SQRT((((192-43)*MAX('Inputs'!$B$33,'Inputs'!$B$29+'Inputs'!$B$31+'Inputs'!$B$32,'Inputs'!$B$30+'Inputs'!$B$31+'Inputs'!$B$32)/1000+'Inputs'!$B$21)+'Inputs'!$B$9)^2+('Inputs'!$B$8/2)^2)-(((192-43)*MAX('Inputs'!$B$33,'Inputs'!$B$29+'Inputs'!$B$31+'Inputs'!$B$32,'Inputs'!$B$30+'Inputs'!$B$31+'Inputs'!$B$32)/1000+'Inputs'!$B$21))/SQRT((((192-43)*MAX('Inputs'!$B$33,'Inputs'!$B$29+'Inputs'!$B$31+'Inputs'!$B$32,'Inputs'!$B$30+'Inputs'!$B$31+'Inputs'!$B$32)/1000+'Inputs'!$B$21))^2+('Inputs'!$B$8/2)^2)))-'Results'!B7*(0.5*((((192-43)*MAX('Inputs'!$B$33,'Inputs'!$B$29+'Inputs'!$B$31+'Inputs'!$B$32,'Inputs'!$B$30+'Inputs'!$B$31+'Inputs'!$B$32)/1000+'Inputs'!$B$21+'Inputs'!$B$9+'Inputs'!$B$10)+'Inputs'!$B$7)/SQRT((((192-43)*MAX('Inputs'!$B$33,'Inputs'!$B$29+'Inputs'!$B$31+'Inputs'!$B$32,'Inputs'!$B$30+'Inputs'!$B$31+'Inputs'!$B$32)/1000+'Inputs'!$B$21+'Inputs'!$B$9+'Inputs'!$B$10)+'Inputs'!$B$7)^2+('Inputs'!$B$6/2)^2)-(((192-43)*MAX('Inputs'!$B$33,'Inputs'!$B$29+'Inputs'!$B$31+'Inputs'!$B$32,'Inputs'!$B$30+'Inputs'!$B$31+'Inputs'!$B$32)/1000+'Inputs'!$B$21+'Inputs'!$B$9+'Inputs'!$B$10))/SQRT((((192-43)*MAX('Inputs'!$B$33,'Inputs'!$B$29+'Inputs'!$B$31+'Inputs'!$B$32,'Inputs'!$B$30+'Inputs'!$B$31+'Inputs'!$B$32)/1000+'Inputs'!$B$21+'Inputs'!$B$9+'Inputs'!$B$10))^2+('Inputs'!$B$6/2)^2))))*'Results'!$B$8),"")</x:f>
        <x:v>151.78988747271364</x:v>
      </x:c>
      <x:c r="N192" t="n">
        <x:f>IF(AND(ISNUMBER('Results'!C7),ISNUMBER('Results'!B7),ISNUMBER('Results'!$B$8),ISNUMBER('Inputs'!$B$6),ISNUMBER('Inputs'!$B$7),ISNUMBER('Inputs'!$B$8),ISNUMBER('Inputs'!$B$9),ISNUMBER('Inputs'!$B$10),ISNUMBER('Inputs'!$B$21),ISNUMBER('Inputs'!$B$24),ISNUMBER('Inputs'!$B$28)),((('Results'!C7*(1-'Inputs'!$B$24)*(0.5*((((192-43)*MAX('Inputs'!$B$33,'Inputs'!$B$29+'Inputs'!$B$31+'Inputs'!$B$32,'Inputs'!$B$30+'Inputs'!$B$31+'Inputs'!$B$32)/1000+'Inputs'!$B$21)+'Inputs'!$B$9)/SQRT((((192-43)*MAX('Inputs'!$B$33,'Inputs'!$B$29+'Inputs'!$B$31+'Inputs'!$B$32,'Inputs'!$B$30+'Inputs'!$B$31+'Inputs'!$B$32)/1000+'Inputs'!$B$21)+'Inputs'!$B$9)^2+('Inputs'!$B$8/2)^2)-(((192-43)*MAX('Inputs'!$B$33,'Inputs'!$B$29+'Inputs'!$B$31+'Inputs'!$B$32,'Inputs'!$B$30+'Inputs'!$B$31+'Inputs'!$B$32)/1000+'Inputs'!$B$21))/SQRT((((192-43)*MAX('Inputs'!$B$33,'Inputs'!$B$29+'Inputs'!$B$31+'Inputs'!$B$32,'Inputs'!$B$30+'Inputs'!$B$31+'Inputs'!$B$32)/1000+'Inputs'!$B$21))^2+('Inputs'!$B$8/2)^2)))-'Results'!B7*(1+'Inputs'!$B$24)*(0.5*((((192-43)*MAX('Inputs'!$B$33,'Inputs'!$B$29+'Inputs'!$B$31+'Inputs'!$B$32,'Inputs'!$B$30+'Inputs'!$B$31+'Inputs'!$B$32)/1000+'Inputs'!$B$21+'Inputs'!$B$9+'Inputs'!$B$10)+'Inputs'!$B$7)/SQRT((((192-43)*MAX('Inputs'!$B$33,'Inputs'!$B$29+'Inputs'!$B$31+'Inputs'!$B$32,'Inputs'!$B$30+'Inputs'!$B$31+'Inputs'!$B$32)/1000+'Inputs'!$B$21+'Inputs'!$B$9+'Inputs'!$B$10)+'Inputs'!$B$7)^2+('Inputs'!$B$6/2)^2)-(((192-43)*MAX('Inputs'!$B$33,'Inputs'!$B$29+'Inputs'!$B$31+'Inputs'!$B$32,'Inputs'!$B$30+'Inputs'!$B$31+'Inputs'!$B$32)/1000+'Inputs'!$B$21+'Inputs'!$B$9+'Inputs'!$B$10))/SQRT((((192-43)*MAX('Inputs'!$B$33,'Inputs'!$B$29+'Inputs'!$B$31+'Inputs'!$B$32,'Inputs'!$B$30+'Inputs'!$B$31+'Inputs'!$B$32)/1000+'Inputs'!$B$21+'Inputs'!$B$9+'Inputs'!$B$10))^2+('Inputs'!$B$6/2)^2))))*'Results'!$B$8)-'Inputs'!$B$28*ABS((('Results'!C7*(1-'Inputs'!$B$24)*(0.5*((((192-43)*MAX('Inputs'!$B$33,'Inputs'!$B$29+'Inputs'!$B$31+'Inputs'!$B$32,'Inputs'!$B$30+'Inputs'!$B$31+'Inputs'!$B$32)/1000+'Inputs'!$B$21)+'Inputs'!$B$9)/SQRT((((192-43)*MAX('Inputs'!$B$33,'Inputs'!$B$29+'Inputs'!$B$31+'Inputs'!$B$32,'Inputs'!$B$30+'Inputs'!$B$31+'Inputs'!$B$32)/1000+'Inputs'!$B$21)+'Inputs'!$B$9)^2+('Inputs'!$B$8/2)^2)-(((192-43)*MAX('Inputs'!$B$33,'Inputs'!$B$29+'Inputs'!$B$31+'Inputs'!$B$32,'Inputs'!$B$30+'Inputs'!$B$31+'Inputs'!$B$32)/1000+'Inputs'!$B$21))/SQRT((((192-43)*MAX('Inputs'!$B$33,'Inputs'!$B$29+'Inputs'!$B$31+'Inputs'!$B$32,'Inputs'!$B$30+'Inputs'!$B$31+'Inputs'!$B$32)/1000+'Inputs'!$B$21))^2+('Inputs'!$B$8/2)^2)))-'Results'!B7*(1+'Inputs'!$B$24)*(0.5*((((192-43)*MAX('Inputs'!$B$33,'Inputs'!$B$29+'Inputs'!$B$31+'Inputs'!$B$32,'Inputs'!$B$30+'Inputs'!$B$31+'Inputs'!$B$32)/1000+'Inputs'!$B$21+'Inputs'!$B$9+'Inputs'!$B$10)+'Inputs'!$B$7)/SQRT((((192-43)*MAX('Inputs'!$B$33,'Inputs'!$B$29+'Inputs'!$B$31+'Inputs'!$B$32,'Inputs'!$B$30+'Inputs'!$B$31+'Inputs'!$B$32)/1000+'Inputs'!$B$21+'Inputs'!$B$9+'Inputs'!$B$10)+'Inputs'!$B$7)^2+('Inputs'!$B$6/2)^2)-(((192-43)*MAX('Inputs'!$B$33,'Inputs'!$B$29+'Inputs'!$B$31+'Inputs'!$B$32,'Inputs'!$B$30+'Inputs'!$B$31+'Inputs'!$B$32)/1000+'Inputs'!$B$21+'Inputs'!$B$9+'Inputs'!$B$10))/SQRT((((192-43)*MAX('Inputs'!$B$33,'Inputs'!$B$29+'Inputs'!$B$31+'Inputs'!$B$32,'Inputs'!$B$30+'Inputs'!$B$31+'Inputs'!$B$32)/1000+'Inputs'!$B$21+'Inputs'!$B$9+'Inputs'!$B$10))^2+('Inputs'!$B$6/2)^2))))*'Results'!$B$8))),"")</x:f>
        <x:v>139.31880999115688</x:v>
      </x:c>
      <x:c r="O192" t="n">
        <x:f>IF(AND(ISNUMBER('Results'!C7),ISNUMBER('Results'!B7),ISNUMBER('Results'!$B$8),ISNUMBER('Inputs'!$B$6),ISNUMBER('Inputs'!$B$7),ISNUMBER('Inputs'!$B$8),ISNUMBER('Inputs'!$B$9),ISNUMBER('Inputs'!$B$10),ISNUMBER('Inputs'!$B$21),ISNUMBER('Inputs'!$B$24),ISNUMBER('Inputs'!$B$28)),((('Results'!C7*(1+'Inputs'!$B$24)*(0.5*((((192-43)*MAX('Inputs'!$B$33,'Inputs'!$B$29+'Inputs'!$B$31+'Inputs'!$B$32,'Inputs'!$B$30+'Inputs'!$B$31+'Inputs'!$B$32)/1000+'Inputs'!$B$21)+'Inputs'!$B$9)/SQRT((((192-43)*MAX('Inputs'!$B$33,'Inputs'!$B$29+'Inputs'!$B$31+'Inputs'!$B$32,'Inputs'!$B$30+'Inputs'!$B$31+'Inputs'!$B$32)/1000+'Inputs'!$B$21)+'Inputs'!$B$9)^2+('Inputs'!$B$8/2)^2)-(((192-43)*MAX('Inputs'!$B$33,'Inputs'!$B$29+'Inputs'!$B$31+'Inputs'!$B$32,'Inputs'!$B$30+'Inputs'!$B$31+'Inputs'!$B$32)/1000+'Inputs'!$B$21))/SQRT((((192-43)*MAX('Inputs'!$B$33,'Inputs'!$B$29+'Inputs'!$B$31+'Inputs'!$B$32,'Inputs'!$B$30+'Inputs'!$B$31+'Inputs'!$B$32)/1000+'Inputs'!$B$21))^2+('Inputs'!$B$8/2)^2)))-'Results'!B7*(1-'Inputs'!$B$24)*(0.5*((((192-43)*MAX('Inputs'!$B$33,'Inputs'!$B$29+'Inputs'!$B$31+'Inputs'!$B$32,'Inputs'!$B$30+'Inputs'!$B$31+'Inputs'!$B$32)/1000+'Inputs'!$B$21+'Inputs'!$B$9+'Inputs'!$B$10)+'Inputs'!$B$7)/SQRT((((192-43)*MAX('Inputs'!$B$33,'Inputs'!$B$29+'Inputs'!$B$31+'Inputs'!$B$32,'Inputs'!$B$30+'Inputs'!$B$31+'Inputs'!$B$32)/1000+'Inputs'!$B$21+'Inputs'!$B$9+'Inputs'!$B$10)+'Inputs'!$B$7)^2+('Inputs'!$B$6/2)^2)-(((192-43)*MAX('Inputs'!$B$33,'Inputs'!$B$29+'Inputs'!$B$31+'Inputs'!$B$32,'Inputs'!$B$30+'Inputs'!$B$31+'Inputs'!$B$32)/1000+'Inputs'!$B$21+'Inputs'!$B$9+'Inputs'!$B$10))/SQRT((((192-43)*MAX('Inputs'!$B$33,'Inputs'!$B$29+'Inputs'!$B$31+'Inputs'!$B$32,'Inputs'!$B$30+'Inputs'!$B$31+'Inputs'!$B$32)/1000+'Inputs'!$B$21+'Inputs'!$B$9+'Inputs'!$B$10))^2+('Inputs'!$B$6/2)^2))))*'Results'!$B$8)+'Inputs'!$B$28*ABS((('Results'!C7*(1+'Inputs'!$B$24)*(0.5*((((192-43)*MAX('Inputs'!$B$33,'Inputs'!$B$29+'Inputs'!$B$31+'Inputs'!$B$32,'Inputs'!$B$30+'Inputs'!$B$31+'Inputs'!$B$32)/1000+'Inputs'!$B$21)+'Inputs'!$B$9)/SQRT((((192-43)*MAX('Inputs'!$B$33,'Inputs'!$B$29+'Inputs'!$B$31+'Inputs'!$B$32,'Inputs'!$B$30+'Inputs'!$B$31+'Inputs'!$B$32)/1000+'Inputs'!$B$21)+'Inputs'!$B$9)^2+('Inputs'!$B$8/2)^2)-(((192-43)*MAX('Inputs'!$B$33,'Inputs'!$B$29+'Inputs'!$B$31+'Inputs'!$B$32,'Inputs'!$B$30+'Inputs'!$B$31+'Inputs'!$B$32)/1000+'Inputs'!$B$21))/SQRT((((192-43)*MAX('Inputs'!$B$33,'Inputs'!$B$29+'Inputs'!$B$31+'Inputs'!$B$32,'Inputs'!$B$30+'Inputs'!$B$31+'Inputs'!$B$32)/1000+'Inputs'!$B$21))^2+('Inputs'!$B$8/2)^2)))-'Results'!B7*(1-'Inputs'!$B$24)*(0.5*((((192-43)*MAX('Inputs'!$B$33,'Inputs'!$B$29+'Inputs'!$B$31+'Inputs'!$B$32,'Inputs'!$B$30+'Inputs'!$B$31+'Inputs'!$B$32)/1000+'Inputs'!$B$21+'Inputs'!$B$9+'Inputs'!$B$10)+'Inputs'!$B$7)/SQRT((((192-43)*MAX('Inputs'!$B$33,'Inputs'!$B$29+'Inputs'!$B$31+'Inputs'!$B$32,'Inputs'!$B$30+'Inputs'!$B$31+'Inputs'!$B$32)/1000+'Inputs'!$B$21+'Inputs'!$B$9+'Inputs'!$B$10)+'Inputs'!$B$7)^2+('Inputs'!$B$6/2)^2)-(((192-43)*MAX('Inputs'!$B$33,'Inputs'!$B$29+'Inputs'!$B$31+'Inputs'!$B$32,'Inputs'!$B$30+'Inputs'!$B$31+'Inputs'!$B$32)/1000+'Inputs'!$B$21+'Inputs'!$B$9+'Inputs'!$B$10))/SQRT((((192-43)*MAX('Inputs'!$B$33,'Inputs'!$B$29+'Inputs'!$B$31+'Inputs'!$B$32,'Inputs'!$B$30+'Inputs'!$B$31+'Inputs'!$B$32)/1000+'Inputs'!$B$21+'Inputs'!$B$9+'Inputs'!$B$10))^2+('Inputs'!$B$6/2)^2))))*'Results'!$B$8))),"")</x:f>
        <x:v>164.77481580773576</x:v>
      </x:c>
      <x:c r="P192" t="n">
        <x:f>IF(AND(MAX(J192,J191)&gt;0,J192&gt;J191+0.00000001),1,0)</x:f>
        <x:v>0</x:v>
      </x:c>
      <x:c r="Q192" t="n">
        <x:f>IF(AND(MAX(K192,K191)&gt;0,K192&gt;K191+0.00000001),1,0)</x:f>
        <x:v>0</x:v>
      </x:c>
      <x:c r="R192" t="n">
        <x:f>IF(AND(MAX(L192,L191)&gt;0,L192&gt;L191+0.00000001),1,0)</x:f>
        <x:v>0</x:v>
      </x:c>
      <x:c r="S192" t="n">
        <x:f>IF(AND(MAX(M192,M191)&gt;0,M192&gt;M191+0.00000001),1,0)</x:f>
        <x:v>0</x:v>
      </x:c>
      <x:c r="T192" t="n">
        <x:f>IF(AND(MAX(N192,N191)&gt;0,N192&gt;N191+0.00000001),1,0)</x:f>
        <x:v>0</x:v>
      </x:c>
      <x:c r="U192" t="n">
        <x:f>IF(AND(MAX(O192,O191)&gt;0,O192&gt;O191+0.00000001),1,0)</x:f>
        <x:v>0</x:v>
      </x:c>
    </x:row>
    <x:row r="193">
      <x:c r="J193" t="n">
        <x:f>IF(AND(ISNUMBER('Results'!B7),ISNUMBER('Results'!C7),ISNUMBER('Results'!$B$8),ISNUMBER('Inputs'!$B$6),ISNUMBER('Inputs'!$B$7),ISNUMBER('Inputs'!$B$8),ISNUMBER('Inputs'!$B$9),ISNUMBER('Inputs'!$B$10),ISNUMBER('Inputs'!$B$21),ISNUMBER('Inputs'!$B$24),ISNUMBER('Inputs'!$B$28)),(('Results'!B7*(0.5*((((193-43)*MAX('Inputs'!$B$33,'Inputs'!$B$29+'Inputs'!$B$31+'Inputs'!$B$32,'Inputs'!$B$30+'Inputs'!$B$31+'Inputs'!$B$32)/1000+'Inputs'!$B$21)+'Inputs'!$B$7)/SQRT((((193-43)*MAX('Inputs'!$B$33,'Inputs'!$B$29+'Inputs'!$B$31+'Inputs'!$B$32,'Inputs'!$B$30+'Inputs'!$B$31+'Inputs'!$B$32)/1000+'Inputs'!$B$21)+'Inputs'!$B$7)^2+('Inputs'!$B$6/2)^2)-(((193-43)*MAX('Inputs'!$B$33,'Inputs'!$B$29+'Inputs'!$B$31+'Inputs'!$B$32,'Inputs'!$B$30+'Inputs'!$B$31+'Inputs'!$B$32)/1000+'Inputs'!$B$21))/SQRT((((193-43)*MAX('Inputs'!$B$33,'Inputs'!$B$29+'Inputs'!$B$31+'Inputs'!$B$32,'Inputs'!$B$30+'Inputs'!$B$31+'Inputs'!$B$32)/1000+'Inputs'!$B$21))^2+('Inputs'!$B$6/2)^2)))-'Results'!C7*(0.5*((((193-43)*MAX('Inputs'!$B$33,'Inputs'!$B$29+'Inputs'!$B$31+'Inputs'!$B$32,'Inputs'!$B$30+'Inputs'!$B$31+'Inputs'!$B$32)/1000+'Inputs'!$B$21+'Inputs'!$B$7+'Inputs'!$B$10)+'Inputs'!$B$9)/SQRT((((193-43)*MAX('Inputs'!$B$33,'Inputs'!$B$29+'Inputs'!$B$31+'Inputs'!$B$32,'Inputs'!$B$30+'Inputs'!$B$31+'Inputs'!$B$32)/1000+'Inputs'!$B$21+'Inputs'!$B$7+'Inputs'!$B$10)+'Inputs'!$B$9)^2+('Inputs'!$B$8/2)^2)-(((193-43)*MAX('Inputs'!$B$33,'Inputs'!$B$29+'Inputs'!$B$31+'Inputs'!$B$32,'Inputs'!$B$30+'Inputs'!$B$31+'Inputs'!$B$32)/1000+'Inputs'!$B$21+'Inputs'!$B$7+'Inputs'!$B$10))/SQRT((((193-43)*MAX('Inputs'!$B$33,'Inputs'!$B$29+'Inputs'!$B$31+'Inputs'!$B$32,'Inputs'!$B$30+'Inputs'!$B$31+'Inputs'!$B$32)/1000+'Inputs'!$B$21+'Inputs'!$B$7+'Inputs'!$B$10))^2+('Inputs'!$B$8/2)^2))))*'Results'!$B$8),"")</x:f>
        <x:v>154.48512916670273</x:v>
      </x:c>
      <x:c r="K193" t="n">
        <x:f>IF(AND(ISNUMBER('Results'!B7),ISNUMBER('Results'!C7),ISNUMBER('Results'!$B$8),ISNUMBER('Inputs'!$B$6),ISNUMBER('Inputs'!$B$7),ISNUMBER('Inputs'!$B$8),ISNUMBER('Inputs'!$B$9),ISNUMBER('Inputs'!$B$10),ISNUMBER('Inputs'!$B$21),ISNUMBER('Inputs'!$B$24),ISNUMBER('Inputs'!$B$28)),((('Results'!B7*(1-'Inputs'!$B$24)*(0.5*((((193-43)*MAX('Inputs'!$B$33,'Inputs'!$B$29+'Inputs'!$B$31+'Inputs'!$B$32,'Inputs'!$B$30+'Inputs'!$B$31+'Inputs'!$B$32)/1000+'Inputs'!$B$21)+'Inputs'!$B$7)/SQRT((((193-43)*MAX('Inputs'!$B$33,'Inputs'!$B$29+'Inputs'!$B$31+'Inputs'!$B$32,'Inputs'!$B$30+'Inputs'!$B$31+'Inputs'!$B$32)/1000+'Inputs'!$B$21)+'Inputs'!$B$7)^2+('Inputs'!$B$6/2)^2)-(((193-43)*MAX('Inputs'!$B$33,'Inputs'!$B$29+'Inputs'!$B$31+'Inputs'!$B$32,'Inputs'!$B$30+'Inputs'!$B$31+'Inputs'!$B$32)/1000+'Inputs'!$B$21))/SQRT((((193-43)*MAX('Inputs'!$B$33,'Inputs'!$B$29+'Inputs'!$B$31+'Inputs'!$B$32,'Inputs'!$B$30+'Inputs'!$B$31+'Inputs'!$B$32)/1000+'Inputs'!$B$21))^2+('Inputs'!$B$6/2)^2)))-'Results'!C7*(1+'Inputs'!$B$24)*(0.5*((((193-43)*MAX('Inputs'!$B$33,'Inputs'!$B$29+'Inputs'!$B$31+'Inputs'!$B$32,'Inputs'!$B$30+'Inputs'!$B$31+'Inputs'!$B$32)/1000+'Inputs'!$B$21+'Inputs'!$B$7+'Inputs'!$B$10)+'Inputs'!$B$9)/SQRT((((193-43)*MAX('Inputs'!$B$33,'Inputs'!$B$29+'Inputs'!$B$31+'Inputs'!$B$32,'Inputs'!$B$30+'Inputs'!$B$31+'Inputs'!$B$32)/1000+'Inputs'!$B$21+'Inputs'!$B$7+'Inputs'!$B$10)+'Inputs'!$B$9)^2+('Inputs'!$B$8/2)^2)-(((193-43)*MAX('Inputs'!$B$33,'Inputs'!$B$29+'Inputs'!$B$31+'Inputs'!$B$32,'Inputs'!$B$30+'Inputs'!$B$31+'Inputs'!$B$32)/1000+'Inputs'!$B$21+'Inputs'!$B$7+'Inputs'!$B$10))/SQRT((((193-43)*MAX('Inputs'!$B$33,'Inputs'!$B$29+'Inputs'!$B$31+'Inputs'!$B$32,'Inputs'!$B$30+'Inputs'!$B$31+'Inputs'!$B$32)/1000+'Inputs'!$B$21+'Inputs'!$B$7+'Inputs'!$B$10))^2+('Inputs'!$B$8/2)^2))))*'Results'!$B$8)-'Inputs'!$B$28*ABS((('Results'!B7*(1-'Inputs'!$B$24)*(0.5*((((193-43)*MAX('Inputs'!$B$33,'Inputs'!$B$29+'Inputs'!$B$31+'Inputs'!$B$32,'Inputs'!$B$30+'Inputs'!$B$31+'Inputs'!$B$32)/1000+'Inputs'!$B$21)+'Inputs'!$B$7)/SQRT((((193-43)*MAX('Inputs'!$B$33,'Inputs'!$B$29+'Inputs'!$B$31+'Inputs'!$B$32,'Inputs'!$B$30+'Inputs'!$B$31+'Inputs'!$B$32)/1000+'Inputs'!$B$21)+'Inputs'!$B$7)^2+('Inputs'!$B$6/2)^2)-(((193-43)*MAX('Inputs'!$B$33,'Inputs'!$B$29+'Inputs'!$B$31+'Inputs'!$B$32,'Inputs'!$B$30+'Inputs'!$B$31+'Inputs'!$B$32)/1000+'Inputs'!$B$21))/SQRT((((193-43)*MAX('Inputs'!$B$33,'Inputs'!$B$29+'Inputs'!$B$31+'Inputs'!$B$32,'Inputs'!$B$30+'Inputs'!$B$31+'Inputs'!$B$32)/1000+'Inputs'!$B$21))^2+('Inputs'!$B$6/2)^2)))-'Results'!C7*(1+'Inputs'!$B$24)*(0.5*((((193-43)*MAX('Inputs'!$B$33,'Inputs'!$B$29+'Inputs'!$B$31+'Inputs'!$B$32,'Inputs'!$B$30+'Inputs'!$B$31+'Inputs'!$B$32)/1000+'Inputs'!$B$21+'Inputs'!$B$7+'Inputs'!$B$10)+'Inputs'!$B$9)/SQRT((((193-43)*MAX('Inputs'!$B$33,'Inputs'!$B$29+'Inputs'!$B$31+'Inputs'!$B$32,'Inputs'!$B$30+'Inputs'!$B$31+'Inputs'!$B$32)/1000+'Inputs'!$B$21+'Inputs'!$B$7+'Inputs'!$B$10)+'Inputs'!$B$9)^2+('Inputs'!$B$8/2)^2)-(((193-43)*MAX('Inputs'!$B$33,'Inputs'!$B$29+'Inputs'!$B$31+'Inputs'!$B$32,'Inputs'!$B$30+'Inputs'!$B$31+'Inputs'!$B$32)/1000+'Inputs'!$B$21+'Inputs'!$B$7+'Inputs'!$B$10))/SQRT((((193-43)*MAX('Inputs'!$B$33,'Inputs'!$B$29+'Inputs'!$B$31+'Inputs'!$B$32,'Inputs'!$B$30+'Inputs'!$B$31+'Inputs'!$B$32)/1000+'Inputs'!$B$21+'Inputs'!$B$7+'Inputs'!$B$10))^2+('Inputs'!$B$8/2)^2))))*'Results'!$B$8))),"")</x:f>
        <x:v>141.8872110229475</x:v>
      </x:c>
      <x:c r="L193" t="n">
        <x:f>IF(AND(ISNUMBER('Results'!B7),ISNUMBER('Results'!C7),ISNUMBER('Results'!$B$8),ISNUMBER('Inputs'!$B$6),ISNUMBER('Inputs'!$B$7),ISNUMBER('Inputs'!$B$8),ISNUMBER('Inputs'!$B$9),ISNUMBER('Inputs'!$B$10),ISNUMBER('Inputs'!$B$21),ISNUMBER('Inputs'!$B$24),ISNUMBER('Inputs'!$B$28)),((('Results'!B7*(1+'Inputs'!$B$24)*(0.5*((((193-43)*MAX('Inputs'!$B$33,'Inputs'!$B$29+'Inputs'!$B$31+'Inputs'!$B$32,'Inputs'!$B$30+'Inputs'!$B$31+'Inputs'!$B$32)/1000+'Inputs'!$B$21)+'Inputs'!$B$7)/SQRT((((193-43)*MAX('Inputs'!$B$33,'Inputs'!$B$29+'Inputs'!$B$31+'Inputs'!$B$32,'Inputs'!$B$30+'Inputs'!$B$31+'Inputs'!$B$32)/1000+'Inputs'!$B$21)+'Inputs'!$B$7)^2+('Inputs'!$B$6/2)^2)-(((193-43)*MAX('Inputs'!$B$33,'Inputs'!$B$29+'Inputs'!$B$31+'Inputs'!$B$32,'Inputs'!$B$30+'Inputs'!$B$31+'Inputs'!$B$32)/1000+'Inputs'!$B$21))/SQRT((((193-43)*MAX('Inputs'!$B$33,'Inputs'!$B$29+'Inputs'!$B$31+'Inputs'!$B$32,'Inputs'!$B$30+'Inputs'!$B$31+'Inputs'!$B$32)/1000+'Inputs'!$B$21))^2+('Inputs'!$B$6/2)^2)))-'Results'!C7*(1-'Inputs'!$B$24)*(0.5*((((193-43)*MAX('Inputs'!$B$33,'Inputs'!$B$29+'Inputs'!$B$31+'Inputs'!$B$32,'Inputs'!$B$30+'Inputs'!$B$31+'Inputs'!$B$32)/1000+'Inputs'!$B$21+'Inputs'!$B$7+'Inputs'!$B$10)+'Inputs'!$B$9)/SQRT((((193-43)*MAX('Inputs'!$B$33,'Inputs'!$B$29+'Inputs'!$B$31+'Inputs'!$B$32,'Inputs'!$B$30+'Inputs'!$B$31+'Inputs'!$B$32)/1000+'Inputs'!$B$21+'Inputs'!$B$7+'Inputs'!$B$10)+'Inputs'!$B$9)^2+('Inputs'!$B$8/2)^2)-(((193-43)*MAX('Inputs'!$B$33,'Inputs'!$B$29+'Inputs'!$B$31+'Inputs'!$B$32,'Inputs'!$B$30+'Inputs'!$B$31+'Inputs'!$B$32)/1000+'Inputs'!$B$21+'Inputs'!$B$7+'Inputs'!$B$10))/SQRT((((193-43)*MAX('Inputs'!$B$33,'Inputs'!$B$29+'Inputs'!$B$31+'Inputs'!$B$32,'Inputs'!$B$30+'Inputs'!$B$31+'Inputs'!$B$32)/1000+'Inputs'!$B$21+'Inputs'!$B$7+'Inputs'!$B$10))^2+('Inputs'!$B$8/2)^2))))*'Results'!$B$8)+'Inputs'!$B$28*ABS((('Results'!B7*(1+'Inputs'!$B$24)*(0.5*((((193-43)*MAX('Inputs'!$B$33,'Inputs'!$B$29+'Inputs'!$B$31+'Inputs'!$B$32,'Inputs'!$B$30+'Inputs'!$B$31+'Inputs'!$B$32)/1000+'Inputs'!$B$21)+'Inputs'!$B$7)/SQRT((((193-43)*MAX('Inputs'!$B$33,'Inputs'!$B$29+'Inputs'!$B$31+'Inputs'!$B$32,'Inputs'!$B$30+'Inputs'!$B$31+'Inputs'!$B$32)/1000+'Inputs'!$B$21)+'Inputs'!$B$7)^2+('Inputs'!$B$6/2)^2)-(((193-43)*MAX('Inputs'!$B$33,'Inputs'!$B$29+'Inputs'!$B$31+'Inputs'!$B$32,'Inputs'!$B$30+'Inputs'!$B$31+'Inputs'!$B$32)/1000+'Inputs'!$B$21))/SQRT((((193-43)*MAX('Inputs'!$B$33,'Inputs'!$B$29+'Inputs'!$B$31+'Inputs'!$B$32,'Inputs'!$B$30+'Inputs'!$B$31+'Inputs'!$B$32)/1000+'Inputs'!$B$21))^2+('Inputs'!$B$6/2)^2)))-'Results'!C7*(1-'Inputs'!$B$24)*(0.5*((((193-43)*MAX('Inputs'!$B$33,'Inputs'!$B$29+'Inputs'!$B$31+'Inputs'!$B$32,'Inputs'!$B$30+'Inputs'!$B$31+'Inputs'!$B$32)/1000+'Inputs'!$B$21+'Inputs'!$B$7+'Inputs'!$B$10)+'Inputs'!$B$9)/SQRT((((193-43)*MAX('Inputs'!$B$33,'Inputs'!$B$29+'Inputs'!$B$31+'Inputs'!$B$32,'Inputs'!$B$30+'Inputs'!$B$31+'Inputs'!$B$32)/1000+'Inputs'!$B$21+'Inputs'!$B$7+'Inputs'!$B$10)+'Inputs'!$B$9)^2+('Inputs'!$B$8/2)^2)-(((193-43)*MAX('Inputs'!$B$33,'Inputs'!$B$29+'Inputs'!$B$31+'Inputs'!$B$32,'Inputs'!$B$30+'Inputs'!$B$31+'Inputs'!$B$32)/1000+'Inputs'!$B$21+'Inputs'!$B$7+'Inputs'!$B$10))/SQRT((((193-43)*MAX('Inputs'!$B$33,'Inputs'!$B$29+'Inputs'!$B$31+'Inputs'!$B$32,'Inputs'!$B$30+'Inputs'!$B$31+'Inputs'!$B$32)/1000+'Inputs'!$B$21+'Inputs'!$B$7+'Inputs'!$B$10))^2+('Inputs'!$B$8/2)^2))))*'Results'!$B$8))),"")</x:f>
        <x:v>167.5960643299759</x:v>
      </x:c>
      <x:c r="M193" t="n">
        <x:f>IF(AND(ISNUMBER('Results'!C7),ISNUMBER('Results'!B7),ISNUMBER('Results'!$B$8),ISNUMBER('Inputs'!$B$6),ISNUMBER('Inputs'!$B$7),ISNUMBER('Inputs'!$B$8),ISNUMBER('Inputs'!$B$9),ISNUMBER('Inputs'!$B$10),ISNUMBER('Inputs'!$B$21),ISNUMBER('Inputs'!$B$24),ISNUMBER('Inputs'!$B$28)),(('Results'!C7*(0.5*((((193-43)*MAX('Inputs'!$B$33,'Inputs'!$B$29+'Inputs'!$B$31+'Inputs'!$B$32,'Inputs'!$B$30+'Inputs'!$B$31+'Inputs'!$B$32)/1000+'Inputs'!$B$21)+'Inputs'!$B$9)/SQRT((((193-43)*MAX('Inputs'!$B$33,'Inputs'!$B$29+'Inputs'!$B$31+'Inputs'!$B$32,'Inputs'!$B$30+'Inputs'!$B$31+'Inputs'!$B$32)/1000+'Inputs'!$B$21)+'Inputs'!$B$9)^2+('Inputs'!$B$8/2)^2)-(((193-43)*MAX('Inputs'!$B$33,'Inputs'!$B$29+'Inputs'!$B$31+'Inputs'!$B$32,'Inputs'!$B$30+'Inputs'!$B$31+'Inputs'!$B$32)/1000+'Inputs'!$B$21))/SQRT((((193-43)*MAX('Inputs'!$B$33,'Inputs'!$B$29+'Inputs'!$B$31+'Inputs'!$B$32,'Inputs'!$B$30+'Inputs'!$B$31+'Inputs'!$B$32)/1000+'Inputs'!$B$21))^2+('Inputs'!$B$8/2)^2)))-'Results'!B7*(0.5*((((193-43)*MAX('Inputs'!$B$33,'Inputs'!$B$29+'Inputs'!$B$31+'Inputs'!$B$32,'Inputs'!$B$30+'Inputs'!$B$31+'Inputs'!$B$32)/1000+'Inputs'!$B$21+'Inputs'!$B$9+'Inputs'!$B$10)+'Inputs'!$B$7)/SQRT((((193-43)*MAX('Inputs'!$B$33,'Inputs'!$B$29+'Inputs'!$B$31+'Inputs'!$B$32,'Inputs'!$B$30+'Inputs'!$B$31+'Inputs'!$B$32)/1000+'Inputs'!$B$21+'Inputs'!$B$9+'Inputs'!$B$10)+'Inputs'!$B$7)^2+('Inputs'!$B$6/2)^2)-(((193-43)*MAX('Inputs'!$B$33,'Inputs'!$B$29+'Inputs'!$B$31+'Inputs'!$B$32,'Inputs'!$B$30+'Inputs'!$B$31+'Inputs'!$B$32)/1000+'Inputs'!$B$21+'Inputs'!$B$9+'Inputs'!$B$10))/SQRT((((193-43)*MAX('Inputs'!$B$33,'Inputs'!$B$29+'Inputs'!$B$31+'Inputs'!$B$32,'Inputs'!$B$30+'Inputs'!$B$31+'Inputs'!$B$32)/1000+'Inputs'!$B$21+'Inputs'!$B$9+'Inputs'!$B$10))^2+('Inputs'!$B$6/2)^2))))*'Results'!$B$8),"")</x:f>
        <x:v>149.33413787344364</x:v>
      </x:c>
      <x:c r="N193" t="n">
        <x:f>IF(AND(ISNUMBER('Results'!C7),ISNUMBER('Results'!B7),ISNUMBER('Results'!$B$8),ISNUMBER('Inputs'!$B$6),ISNUMBER('Inputs'!$B$7),ISNUMBER('Inputs'!$B$8),ISNUMBER('Inputs'!$B$9),ISNUMBER('Inputs'!$B$10),ISNUMBER('Inputs'!$B$21),ISNUMBER('Inputs'!$B$24),ISNUMBER('Inputs'!$B$28)),((('Results'!C7*(1-'Inputs'!$B$24)*(0.5*((((193-43)*MAX('Inputs'!$B$33,'Inputs'!$B$29+'Inputs'!$B$31+'Inputs'!$B$32,'Inputs'!$B$30+'Inputs'!$B$31+'Inputs'!$B$32)/1000+'Inputs'!$B$21)+'Inputs'!$B$9)/SQRT((((193-43)*MAX('Inputs'!$B$33,'Inputs'!$B$29+'Inputs'!$B$31+'Inputs'!$B$32,'Inputs'!$B$30+'Inputs'!$B$31+'Inputs'!$B$32)/1000+'Inputs'!$B$21)+'Inputs'!$B$9)^2+('Inputs'!$B$8/2)^2)-(((193-43)*MAX('Inputs'!$B$33,'Inputs'!$B$29+'Inputs'!$B$31+'Inputs'!$B$32,'Inputs'!$B$30+'Inputs'!$B$31+'Inputs'!$B$32)/1000+'Inputs'!$B$21))/SQRT((((193-43)*MAX('Inputs'!$B$33,'Inputs'!$B$29+'Inputs'!$B$31+'Inputs'!$B$32,'Inputs'!$B$30+'Inputs'!$B$31+'Inputs'!$B$32)/1000+'Inputs'!$B$21))^2+('Inputs'!$B$8/2)^2)))-'Results'!B7*(1+'Inputs'!$B$24)*(0.5*((((193-43)*MAX('Inputs'!$B$33,'Inputs'!$B$29+'Inputs'!$B$31+'Inputs'!$B$32,'Inputs'!$B$30+'Inputs'!$B$31+'Inputs'!$B$32)/1000+'Inputs'!$B$21+'Inputs'!$B$9+'Inputs'!$B$10)+'Inputs'!$B$7)/SQRT((((193-43)*MAX('Inputs'!$B$33,'Inputs'!$B$29+'Inputs'!$B$31+'Inputs'!$B$32,'Inputs'!$B$30+'Inputs'!$B$31+'Inputs'!$B$32)/1000+'Inputs'!$B$21+'Inputs'!$B$9+'Inputs'!$B$10)+'Inputs'!$B$7)^2+('Inputs'!$B$6/2)^2)-(((193-43)*MAX('Inputs'!$B$33,'Inputs'!$B$29+'Inputs'!$B$31+'Inputs'!$B$32,'Inputs'!$B$30+'Inputs'!$B$31+'Inputs'!$B$32)/1000+'Inputs'!$B$21+'Inputs'!$B$9+'Inputs'!$B$10))/SQRT((((193-43)*MAX('Inputs'!$B$33,'Inputs'!$B$29+'Inputs'!$B$31+'Inputs'!$B$32,'Inputs'!$B$30+'Inputs'!$B$31+'Inputs'!$B$32)/1000+'Inputs'!$B$21+'Inputs'!$B$9+'Inputs'!$B$10))^2+('Inputs'!$B$6/2)^2))))*'Results'!$B$8)-'Inputs'!$B$28*ABS((('Results'!C7*(1-'Inputs'!$B$24)*(0.5*((((193-43)*MAX('Inputs'!$B$33,'Inputs'!$B$29+'Inputs'!$B$31+'Inputs'!$B$32,'Inputs'!$B$30+'Inputs'!$B$31+'Inputs'!$B$32)/1000+'Inputs'!$B$21)+'Inputs'!$B$9)/SQRT((((193-43)*MAX('Inputs'!$B$33,'Inputs'!$B$29+'Inputs'!$B$31+'Inputs'!$B$32,'Inputs'!$B$30+'Inputs'!$B$31+'Inputs'!$B$32)/1000+'Inputs'!$B$21)+'Inputs'!$B$9)^2+('Inputs'!$B$8/2)^2)-(((193-43)*MAX('Inputs'!$B$33,'Inputs'!$B$29+'Inputs'!$B$31+'Inputs'!$B$32,'Inputs'!$B$30+'Inputs'!$B$31+'Inputs'!$B$32)/1000+'Inputs'!$B$21))/SQRT((((193-43)*MAX('Inputs'!$B$33,'Inputs'!$B$29+'Inputs'!$B$31+'Inputs'!$B$32,'Inputs'!$B$30+'Inputs'!$B$31+'Inputs'!$B$32)/1000+'Inputs'!$B$21))^2+('Inputs'!$B$8/2)^2)))-'Results'!B7*(1+'Inputs'!$B$24)*(0.5*((((193-43)*MAX('Inputs'!$B$33,'Inputs'!$B$29+'Inputs'!$B$31+'Inputs'!$B$32,'Inputs'!$B$30+'Inputs'!$B$31+'Inputs'!$B$32)/1000+'Inputs'!$B$21+'Inputs'!$B$9+'Inputs'!$B$10)+'Inputs'!$B$7)/SQRT((((193-43)*MAX('Inputs'!$B$33,'Inputs'!$B$29+'Inputs'!$B$31+'Inputs'!$B$32,'Inputs'!$B$30+'Inputs'!$B$31+'Inputs'!$B$32)/1000+'Inputs'!$B$21+'Inputs'!$B$9+'Inputs'!$B$10)+'Inputs'!$B$7)^2+('Inputs'!$B$6/2)^2)-(((193-43)*MAX('Inputs'!$B$33,'Inputs'!$B$29+'Inputs'!$B$31+'Inputs'!$B$32,'Inputs'!$B$30+'Inputs'!$B$31+'Inputs'!$B$32)/1000+'Inputs'!$B$21+'Inputs'!$B$9+'Inputs'!$B$10))/SQRT((((193-43)*MAX('Inputs'!$B$33,'Inputs'!$B$29+'Inputs'!$B$31+'Inputs'!$B$32,'Inputs'!$B$30+'Inputs'!$B$31+'Inputs'!$B$32)/1000+'Inputs'!$B$21+'Inputs'!$B$9+'Inputs'!$B$10))^2+('Inputs'!$B$6/2)^2))))*'Results'!$B$8))),"")</x:f>
        <x:v>137.05207804257114</x:v>
      </x:c>
      <x:c r="O193" t="n">
        <x:f>IF(AND(ISNUMBER('Results'!C7),ISNUMBER('Results'!B7),ISNUMBER('Results'!$B$8),ISNUMBER('Inputs'!$B$6),ISNUMBER('Inputs'!$B$7),ISNUMBER('Inputs'!$B$8),ISNUMBER('Inputs'!$B$9),ISNUMBER('Inputs'!$B$10),ISNUMBER('Inputs'!$B$21),ISNUMBER('Inputs'!$B$24),ISNUMBER('Inputs'!$B$28)),((('Results'!C7*(1+'Inputs'!$B$24)*(0.5*((((193-43)*MAX('Inputs'!$B$33,'Inputs'!$B$29+'Inputs'!$B$31+'Inputs'!$B$32,'Inputs'!$B$30+'Inputs'!$B$31+'Inputs'!$B$32)/1000+'Inputs'!$B$21)+'Inputs'!$B$9)/SQRT((((193-43)*MAX('Inputs'!$B$33,'Inputs'!$B$29+'Inputs'!$B$31+'Inputs'!$B$32,'Inputs'!$B$30+'Inputs'!$B$31+'Inputs'!$B$32)/1000+'Inputs'!$B$21)+'Inputs'!$B$9)^2+('Inputs'!$B$8/2)^2)-(((193-43)*MAX('Inputs'!$B$33,'Inputs'!$B$29+'Inputs'!$B$31+'Inputs'!$B$32,'Inputs'!$B$30+'Inputs'!$B$31+'Inputs'!$B$32)/1000+'Inputs'!$B$21))/SQRT((((193-43)*MAX('Inputs'!$B$33,'Inputs'!$B$29+'Inputs'!$B$31+'Inputs'!$B$32,'Inputs'!$B$30+'Inputs'!$B$31+'Inputs'!$B$32)/1000+'Inputs'!$B$21))^2+('Inputs'!$B$8/2)^2)))-'Results'!B7*(1-'Inputs'!$B$24)*(0.5*((((193-43)*MAX('Inputs'!$B$33,'Inputs'!$B$29+'Inputs'!$B$31+'Inputs'!$B$32,'Inputs'!$B$30+'Inputs'!$B$31+'Inputs'!$B$32)/1000+'Inputs'!$B$21+'Inputs'!$B$9+'Inputs'!$B$10)+'Inputs'!$B$7)/SQRT((((193-43)*MAX('Inputs'!$B$33,'Inputs'!$B$29+'Inputs'!$B$31+'Inputs'!$B$32,'Inputs'!$B$30+'Inputs'!$B$31+'Inputs'!$B$32)/1000+'Inputs'!$B$21+'Inputs'!$B$9+'Inputs'!$B$10)+'Inputs'!$B$7)^2+('Inputs'!$B$6/2)^2)-(((193-43)*MAX('Inputs'!$B$33,'Inputs'!$B$29+'Inputs'!$B$31+'Inputs'!$B$32,'Inputs'!$B$30+'Inputs'!$B$31+'Inputs'!$B$32)/1000+'Inputs'!$B$21+'Inputs'!$B$9+'Inputs'!$B$10))/SQRT((((193-43)*MAX('Inputs'!$B$33,'Inputs'!$B$29+'Inputs'!$B$31+'Inputs'!$B$32,'Inputs'!$B$30+'Inputs'!$B$31+'Inputs'!$B$32)/1000+'Inputs'!$B$21+'Inputs'!$B$9+'Inputs'!$B$10))^2+('Inputs'!$B$6/2)^2))))*'Results'!$B$8)+'Inputs'!$B$28*ABS((('Results'!C7*(1+'Inputs'!$B$24)*(0.5*((((193-43)*MAX('Inputs'!$B$33,'Inputs'!$B$29+'Inputs'!$B$31+'Inputs'!$B$32,'Inputs'!$B$30+'Inputs'!$B$31+'Inputs'!$B$32)/1000+'Inputs'!$B$21)+'Inputs'!$B$9)/SQRT((((193-43)*MAX('Inputs'!$B$33,'Inputs'!$B$29+'Inputs'!$B$31+'Inputs'!$B$32,'Inputs'!$B$30+'Inputs'!$B$31+'Inputs'!$B$32)/1000+'Inputs'!$B$21)+'Inputs'!$B$9)^2+('Inputs'!$B$8/2)^2)-(((193-43)*MAX('Inputs'!$B$33,'Inputs'!$B$29+'Inputs'!$B$31+'Inputs'!$B$32,'Inputs'!$B$30+'Inputs'!$B$31+'Inputs'!$B$32)/1000+'Inputs'!$B$21))/SQRT((((193-43)*MAX('Inputs'!$B$33,'Inputs'!$B$29+'Inputs'!$B$31+'Inputs'!$B$32,'Inputs'!$B$30+'Inputs'!$B$31+'Inputs'!$B$32)/1000+'Inputs'!$B$21))^2+('Inputs'!$B$8/2)^2)))-'Results'!B7*(1-'Inputs'!$B$24)*(0.5*((((193-43)*MAX('Inputs'!$B$33,'Inputs'!$B$29+'Inputs'!$B$31+'Inputs'!$B$32,'Inputs'!$B$30+'Inputs'!$B$31+'Inputs'!$B$32)/1000+'Inputs'!$B$21+'Inputs'!$B$9+'Inputs'!$B$10)+'Inputs'!$B$7)/SQRT((((193-43)*MAX('Inputs'!$B$33,'Inputs'!$B$29+'Inputs'!$B$31+'Inputs'!$B$32,'Inputs'!$B$30+'Inputs'!$B$31+'Inputs'!$B$32)/1000+'Inputs'!$B$21+'Inputs'!$B$9+'Inputs'!$B$10)+'Inputs'!$B$7)^2+('Inputs'!$B$6/2)^2)-(((193-43)*MAX('Inputs'!$B$33,'Inputs'!$B$29+'Inputs'!$B$31+'Inputs'!$B$32,'Inputs'!$B$30+'Inputs'!$B$31+'Inputs'!$B$32)/1000+'Inputs'!$B$21+'Inputs'!$B$9+'Inputs'!$B$10))/SQRT((((193-43)*MAX('Inputs'!$B$33,'Inputs'!$B$29+'Inputs'!$B$31+'Inputs'!$B$32,'Inputs'!$B$30+'Inputs'!$B$31+'Inputs'!$B$32)/1000+'Inputs'!$B$21+'Inputs'!$B$9+'Inputs'!$B$10))^2+('Inputs'!$B$6/2)^2))))*'Results'!$B$8))),"")</x:f>
        <x:v>162.1230769608635</x:v>
      </x:c>
      <x:c r="P193" t="n">
        <x:f>IF(AND(MAX(J193,J192)&gt;0,J193&gt;J192+0.00000001),1,0)</x:f>
        <x:v>0</x:v>
      </x:c>
      <x:c r="Q193" t="n">
        <x:f>IF(AND(MAX(K193,K192)&gt;0,K193&gt;K192+0.00000001),1,0)</x:f>
        <x:v>0</x:v>
      </x:c>
      <x:c r="R193" t="n">
        <x:f>IF(AND(MAX(L193,L192)&gt;0,L193&gt;L192+0.00000001),1,0)</x:f>
        <x:v>0</x:v>
      </x:c>
      <x:c r="S193" t="n">
        <x:f>IF(AND(MAX(M193,M192)&gt;0,M193&gt;M192+0.00000001),1,0)</x:f>
        <x:v>0</x:v>
      </x:c>
      <x:c r="T193" t="n">
        <x:f>IF(AND(MAX(N193,N192)&gt;0,N193&gt;N192+0.00000001),1,0)</x:f>
        <x:v>0</x:v>
      </x:c>
      <x:c r="U193" t="n">
        <x:f>IF(AND(MAX(O193,O192)&gt;0,O193&gt;O192+0.00000001),1,0)</x:f>
        <x:v>0</x:v>
      </x:c>
    </x:row>
    <x:row r="194">
      <x:c r="J194" t="n">
        <x:f>IF(AND(ISNUMBER('Results'!B7),ISNUMBER('Results'!C7),ISNUMBER('Results'!$B$8),ISNUMBER('Inputs'!$B$6),ISNUMBER('Inputs'!$B$7),ISNUMBER('Inputs'!$B$8),ISNUMBER('Inputs'!$B$9),ISNUMBER('Inputs'!$B$10),ISNUMBER('Inputs'!$B$21),ISNUMBER('Inputs'!$B$24),ISNUMBER('Inputs'!$B$28)),(('Results'!B7*(0.5*((((194-43)*MAX('Inputs'!$B$33,'Inputs'!$B$29+'Inputs'!$B$31+'Inputs'!$B$32,'Inputs'!$B$30+'Inputs'!$B$31+'Inputs'!$B$32)/1000+'Inputs'!$B$21)+'Inputs'!$B$7)/SQRT((((194-43)*MAX('Inputs'!$B$33,'Inputs'!$B$29+'Inputs'!$B$31+'Inputs'!$B$32,'Inputs'!$B$30+'Inputs'!$B$31+'Inputs'!$B$32)/1000+'Inputs'!$B$21)+'Inputs'!$B$7)^2+('Inputs'!$B$6/2)^2)-(((194-43)*MAX('Inputs'!$B$33,'Inputs'!$B$29+'Inputs'!$B$31+'Inputs'!$B$32,'Inputs'!$B$30+'Inputs'!$B$31+'Inputs'!$B$32)/1000+'Inputs'!$B$21))/SQRT((((194-43)*MAX('Inputs'!$B$33,'Inputs'!$B$29+'Inputs'!$B$31+'Inputs'!$B$32,'Inputs'!$B$30+'Inputs'!$B$31+'Inputs'!$B$32)/1000+'Inputs'!$B$21))^2+('Inputs'!$B$6/2)^2)))-'Results'!C7*(0.5*((((194-43)*MAX('Inputs'!$B$33,'Inputs'!$B$29+'Inputs'!$B$31+'Inputs'!$B$32,'Inputs'!$B$30+'Inputs'!$B$31+'Inputs'!$B$32)/1000+'Inputs'!$B$21+'Inputs'!$B$7+'Inputs'!$B$10)+'Inputs'!$B$9)/SQRT((((194-43)*MAX('Inputs'!$B$33,'Inputs'!$B$29+'Inputs'!$B$31+'Inputs'!$B$32,'Inputs'!$B$30+'Inputs'!$B$31+'Inputs'!$B$32)/1000+'Inputs'!$B$21+'Inputs'!$B$7+'Inputs'!$B$10)+'Inputs'!$B$9)^2+('Inputs'!$B$8/2)^2)-(((194-43)*MAX('Inputs'!$B$33,'Inputs'!$B$29+'Inputs'!$B$31+'Inputs'!$B$32,'Inputs'!$B$30+'Inputs'!$B$31+'Inputs'!$B$32)/1000+'Inputs'!$B$21+'Inputs'!$B$7+'Inputs'!$B$10))/SQRT((((194-43)*MAX('Inputs'!$B$33,'Inputs'!$B$29+'Inputs'!$B$31+'Inputs'!$B$32,'Inputs'!$B$30+'Inputs'!$B$31+'Inputs'!$B$32)/1000+'Inputs'!$B$21+'Inputs'!$B$7+'Inputs'!$B$10))^2+('Inputs'!$B$8/2)^2))))*'Results'!$B$8),"")</x:f>
        <x:v>152.00728593787562</x:v>
      </x:c>
      <x:c r="K194" t="n">
        <x:f>IF(AND(ISNUMBER('Results'!B7),ISNUMBER('Results'!C7),ISNUMBER('Results'!$B$8),ISNUMBER('Inputs'!$B$6),ISNUMBER('Inputs'!$B$7),ISNUMBER('Inputs'!$B$8),ISNUMBER('Inputs'!$B$9),ISNUMBER('Inputs'!$B$10),ISNUMBER('Inputs'!$B$21),ISNUMBER('Inputs'!$B$24),ISNUMBER('Inputs'!$B$28)),((('Results'!B7*(1-'Inputs'!$B$24)*(0.5*((((194-43)*MAX('Inputs'!$B$33,'Inputs'!$B$29+'Inputs'!$B$31+'Inputs'!$B$32,'Inputs'!$B$30+'Inputs'!$B$31+'Inputs'!$B$32)/1000+'Inputs'!$B$21)+'Inputs'!$B$7)/SQRT((((194-43)*MAX('Inputs'!$B$33,'Inputs'!$B$29+'Inputs'!$B$31+'Inputs'!$B$32,'Inputs'!$B$30+'Inputs'!$B$31+'Inputs'!$B$32)/1000+'Inputs'!$B$21)+'Inputs'!$B$7)^2+('Inputs'!$B$6/2)^2)-(((194-43)*MAX('Inputs'!$B$33,'Inputs'!$B$29+'Inputs'!$B$31+'Inputs'!$B$32,'Inputs'!$B$30+'Inputs'!$B$31+'Inputs'!$B$32)/1000+'Inputs'!$B$21))/SQRT((((194-43)*MAX('Inputs'!$B$33,'Inputs'!$B$29+'Inputs'!$B$31+'Inputs'!$B$32,'Inputs'!$B$30+'Inputs'!$B$31+'Inputs'!$B$32)/1000+'Inputs'!$B$21))^2+('Inputs'!$B$6/2)^2)))-'Results'!C7*(1+'Inputs'!$B$24)*(0.5*((((194-43)*MAX('Inputs'!$B$33,'Inputs'!$B$29+'Inputs'!$B$31+'Inputs'!$B$32,'Inputs'!$B$30+'Inputs'!$B$31+'Inputs'!$B$32)/1000+'Inputs'!$B$21+'Inputs'!$B$7+'Inputs'!$B$10)+'Inputs'!$B$9)/SQRT((((194-43)*MAX('Inputs'!$B$33,'Inputs'!$B$29+'Inputs'!$B$31+'Inputs'!$B$32,'Inputs'!$B$30+'Inputs'!$B$31+'Inputs'!$B$32)/1000+'Inputs'!$B$21+'Inputs'!$B$7+'Inputs'!$B$10)+'Inputs'!$B$9)^2+('Inputs'!$B$8/2)^2)-(((194-43)*MAX('Inputs'!$B$33,'Inputs'!$B$29+'Inputs'!$B$31+'Inputs'!$B$32,'Inputs'!$B$30+'Inputs'!$B$31+'Inputs'!$B$32)/1000+'Inputs'!$B$21+'Inputs'!$B$7+'Inputs'!$B$10))/SQRT((((194-43)*MAX('Inputs'!$B$33,'Inputs'!$B$29+'Inputs'!$B$31+'Inputs'!$B$32,'Inputs'!$B$30+'Inputs'!$B$31+'Inputs'!$B$32)/1000+'Inputs'!$B$21+'Inputs'!$B$7+'Inputs'!$B$10))^2+('Inputs'!$B$8/2)^2))))*'Results'!$B$8)-'Inputs'!$B$28*ABS((('Results'!B7*(1-'Inputs'!$B$24)*(0.5*((((194-43)*MAX('Inputs'!$B$33,'Inputs'!$B$29+'Inputs'!$B$31+'Inputs'!$B$32,'Inputs'!$B$30+'Inputs'!$B$31+'Inputs'!$B$32)/1000+'Inputs'!$B$21)+'Inputs'!$B$7)/SQRT((((194-43)*MAX('Inputs'!$B$33,'Inputs'!$B$29+'Inputs'!$B$31+'Inputs'!$B$32,'Inputs'!$B$30+'Inputs'!$B$31+'Inputs'!$B$32)/1000+'Inputs'!$B$21)+'Inputs'!$B$7)^2+('Inputs'!$B$6/2)^2)-(((194-43)*MAX('Inputs'!$B$33,'Inputs'!$B$29+'Inputs'!$B$31+'Inputs'!$B$32,'Inputs'!$B$30+'Inputs'!$B$31+'Inputs'!$B$32)/1000+'Inputs'!$B$21))/SQRT((((194-43)*MAX('Inputs'!$B$33,'Inputs'!$B$29+'Inputs'!$B$31+'Inputs'!$B$32,'Inputs'!$B$30+'Inputs'!$B$31+'Inputs'!$B$32)/1000+'Inputs'!$B$21))^2+('Inputs'!$B$6/2)^2)))-'Results'!C7*(1+'Inputs'!$B$24)*(0.5*((((194-43)*MAX('Inputs'!$B$33,'Inputs'!$B$29+'Inputs'!$B$31+'Inputs'!$B$32,'Inputs'!$B$30+'Inputs'!$B$31+'Inputs'!$B$32)/1000+'Inputs'!$B$21+'Inputs'!$B$7+'Inputs'!$B$10)+'Inputs'!$B$9)/SQRT((((194-43)*MAX('Inputs'!$B$33,'Inputs'!$B$29+'Inputs'!$B$31+'Inputs'!$B$32,'Inputs'!$B$30+'Inputs'!$B$31+'Inputs'!$B$32)/1000+'Inputs'!$B$21+'Inputs'!$B$7+'Inputs'!$B$10)+'Inputs'!$B$9)^2+('Inputs'!$B$8/2)^2)-(((194-43)*MAX('Inputs'!$B$33,'Inputs'!$B$29+'Inputs'!$B$31+'Inputs'!$B$32,'Inputs'!$B$30+'Inputs'!$B$31+'Inputs'!$B$32)/1000+'Inputs'!$B$21+'Inputs'!$B$7+'Inputs'!$B$10))/SQRT((((194-43)*MAX('Inputs'!$B$33,'Inputs'!$B$29+'Inputs'!$B$31+'Inputs'!$B$32,'Inputs'!$B$30+'Inputs'!$B$31+'Inputs'!$B$32)/1000+'Inputs'!$B$21+'Inputs'!$B$7+'Inputs'!$B$10))^2+('Inputs'!$B$8/2)^2))))*'Results'!$B$8))),"")</x:f>
        <x:v>139.59927336390578</x:v>
      </x:c>
      <x:c r="L194" t="n">
        <x:f>IF(AND(ISNUMBER('Results'!B7),ISNUMBER('Results'!C7),ISNUMBER('Results'!$B$8),ISNUMBER('Inputs'!$B$6),ISNUMBER('Inputs'!$B$7),ISNUMBER('Inputs'!$B$8),ISNUMBER('Inputs'!$B$9),ISNUMBER('Inputs'!$B$10),ISNUMBER('Inputs'!$B$21),ISNUMBER('Inputs'!$B$24),ISNUMBER('Inputs'!$B$28)),((('Results'!B7*(1+'Inputs'!$B$24)*(0.5*((((194-43)*MAX('Inputs'!$B$33,'Inputs'!$B$29+'Inputs'!$B$31+'Inputs'!$B$32,'Inputs'!$B$30+'Inputs'!$B$31+'Inputs'!$B$32)/1000+'Inputs'!$B$21)+'Inputs'!$B$7)/SQRT((((194-43)*MAX('Inputs'!$B$33,'Inputs'!$B$29+'Inputs'!$B$31+'Inputs'!$B$32,'Inputs'!$B$30+'Inputs'!$B$31+'Inputs'!$B$32)/1000+'Inputs'!$B$21)+'Inputs'!$B$7)^2+('Inputs'!$B$6/2)^2)-(((194-43)*MAX('Inputs'!$B$33,'Inputs'!$B$29+'Inputs'!$B$31+'Inputs'!$B$32,'Inputs'!$B$30+'Inputs'!$B$31+'Inputs'!$B$32)/1000+'Inputs'!$B$21))/SQRT((((194-43)*MAX('Inputs'!$B$33,'Inputs'!$B$29+'Inputs'!$B$31+'Inputs'!$B$32,'Inputs'!$B$30+'Inputs'!$B$31+'Inputs'!$B$32)/1000+'Inputs'!$B$21))^2+('Inputs'!$B$6/2)^2)))-'Results'!C7*(1-'Inputs'!$B$24)*(0.5*((((194-43)*MAX('Inputs'!$B$33,'Inputs'!$B$29+'Inputs'!$B$31+'Inputs'!$B$32,'Inputs'!$B$30+'Inputs'!$B$31+'Inputs'!$B$32)/1000+'Inputs'!$B$21+'Inputs'!$B$7+'Inputs'!$B$10)+'Inputs'!$B$9)/SQRT((((194-43)*MAX('Inputs'!$B$33,'Inputs'!$B$29+'Inputs'!$B$31+'Inputs'!$B$32,'Inputs'!$B$30+'Inputs'!$B$31+'Inputs'!$B$32)/1000+'Inputs'!$B$21+'Inputs'!$B$7+'Inputs'!$B$10)+'Inputs'!$B$9)^2+('Inputs'!$B$8/2)^2)-(((194-43)*MAX('Inputs'!$B$33,'Inputs'!$B$29+'Inputs'!$B$31+'Inputs'!$B$32,'Inputs'!$B$30+'Inputs'!$B$31+'Inputs'!$B$32)/1000+'Inputs'!$B$21+'Inputs'!$B$7+'Inputs'!$B$10))/SQRT((((194-43)*MAX('Inputs'!$B$33,'Inputs'!$B$29+'Inputs'!$B$31+'Inputs'!$B$32,'Inputs'!$B$30+'Inputs'!$B$31+'Inputs'!$B$32)/1000+'Inputs'!$B$21+'Inputs'!$B$7+'Inputs'!$B$10))^2+('Inputs'!$B$8/2)^2))))*'Results'!$B$8)+'Inputs'!$B$28*ABS((('Results'!B7*(1+'Inputs'!$B$24)*(0.5*((((194-43)*MAX('Inputs'!$B$33,'Inputs'!$B$29+'Inputs'!$B$31+'Inputs'!$B$32,'Inputs'!$B$30+'Inputs'!$B$31+'Inputs'!$B$32)/1000+'Inputs'!$B$21)+'Inputs'!$B$7)/SQRT((((194-43)*MAX('Inputs'!$B$33,'Inputs'!$B$29+'Inputs'!$B$31+'Inputs'!$B$32,'Inputs'!$B$30+'Inputs'!$B$31+'Inputs'!$B$32)/1000+'Inputs'!$B$21)+'Inputs'!$B$7)^2+('Inputs'!$B$6/2)^2)-(((194-43)*MAX('Inputs'!$B$33,'Inputs'!$B$29+'Inputs'!$B$31+'Inputs'!$B$32,'Inputs'!$B$30+'Inputs'!$B$31+'Inputs'!$B$32)/1000+'Inputs'!$B$21))/SQRT((((194-43)*MAX('Inputs'!$B$33,'Inputs'!$B$29+'Inputs'!$B$31+'Inputs'!$B$32,'Inputs'!$B$30+'Inputs'!$B$31+'Inputs'!$B$32)/1000+'Inputs'!$B$21))^2+('Inputs'!$B$6/2)^2)))-'Results'!C7*(1-'Inputs'!$B$24)*(0.5*((((194-43)*MAX('Inputs'!$B$33,'Inputs'!$B$29+'Inputs'!$B$31+'Inputs'!$B$32,'Inputs'!$B$30+'Inputs'!$B$31+'Inputs'!$B$32)/1000+'Inputs'!$B$21+'Inputs'!$B$7+'Inputs'!$B$10)+'Inputs'!$B$9)/SQRT((((194-43)*MAX('Inputs'!$B$33,'Inputs'!$B$29+'Inputs'!$B$31+'Inputs'!$B$32,'Inputs'!$B$30+'Inputs'!$B$31+'Inputs'!$B$32)/1000+'Inputs'!$B$21+'Inputs'!$B$7+'Inputs'!$B$10)+'Inputs'!$B$9)^2+('Inputs'!$B$8/2)^2)-(((194-43)*MAX('Inputs'!$B$33,'Inputs'!$B$29+'Inputs'!$B$31+'Inputs'!$B$32,'Inputs'!$B$30+'Inputs'!$B$31+'Inputs'!$B$32)/1000+'Inputs'!$B$21+'Inputs'!$B$7+'Inputs'!$B$10))/SQRT((((194-43)*MAX('Inputs'!$B$33,'Inputs'!$B$29+'Inputs'!$B$31+'Inputs'!$B$32,'Inputs'!$B$30+'Inputs'!$B$31+'Inputs'!$B$32)/1000+'Inputs'!$B$21+'Inputs'!$B$7+'Inputs'!$B$10))^2+('Inputs'!$B$8/2)^2))))*'Results'!$B$8))),"")</x:f>
        <x:v>164.92136675153773</x:v>
      </x:c>
      <x:c r="M194" t="n">
        <x:f>IF(AND(ISNUMBER('Results'!C7),ISNUMBER('Results'!B7),ISNUMBER('Results'!$B$8),ISNUMBER('Inputs'!$B$6),ISNUMBER('Inputs'!$B$7),ISNUMBER('Inputs'!$B$8),ISNUMBER('Inputs'!$B$9),ISNUMBER('Inputs'!$B$10),ISNUMBER('Inputs'!$B$21),ISNUMBER('Inputs'!$B$24),ISNUMBER('Inputs'!$B$28)),(('Results'!C7*(0.5*((((194-43)*MAX('Inputs'!$B$33,'Inputs'!$B$29+'Inputs'!$B$31+'Inputs'!$B$32,'Inputs'!$B$30+'Inputs'!$B$31+'Inputs'!$B$32)/1000+'Inputs'!$B$21)+'Inputs'!$B$9)/SQRT((((194-43)*MAX('Inputs'!$B$33,'Inputs'!$B$29+'Inputs'!$B$31+'Inputs'!$B$32,'Inputs'!$B$30+'Inputs'!$B$31+'Inputs'!$B$32)/1000+'Inputs'!$B$21)+'Inputs'!$B$9)^2+('Inputs'!$B$8/2)^2)-(((194-43)*MAX('Inputs'!$B$33,'Inputs'!$B$29+'Inputs'!$B$31+'Inputs'!$B$32,'Inputs'!$B$30+'Inputs'!$B$31+'Inputs'!$B$32)/1000+'Inputs'!$B$21))/SQRT((((194-43)*MAX('Inputs'!$B$33,'Inputs'!$B$29+'Inputs'!$B$31+'Inputs'!$B$32,'Inputs'!$B$30+'Inputs'!$B$31+'Inputs'!$B$32)/1000+'Inputs'!$B$21))^2+('Inputs'!$B$8/2)^2)))-'Results'!B7*(0.5*((((194-43)*MAX('Inputs'!$B$33,'Inputs'!$B$29+'Inputs'!$B$31+'Inputs'!$B$32,'Inputs'!$B$30+'Inputs'!$B$31+'Inputs'!$B$32)/1000+'Inputs'!$B$21+'Inputs'!$B$9+'Inputs'!$B$10)+'Inputs'!$B$7)/SQRT((((194-43)*MAX('Inputs'!$B$33,'Inputs'!$B$29+'Inputs'!$B$31+'Inputs'!$B$32,'Inputs'!$B$30+'Inputs'!$B$31+'Inputs'!$B$32)/1000+'Inputs'!$B$21+'Inputs'!$B$9+'Inputs'!$B$10)+'Inputs'!$B$7)^2+('Inputs'!$B$6/2)^2)-(((194-43)*MAX('Inputs'!$B$33,'Inputs'!$B$29+'Inputs'!$B$31+'Inputs'!$B$32,'Inputs'!$B$30+'Inputs'!$B$31+'Inputs'!$B$32)/1000+'Inputs'!$B$21+'Inputs'!$B$9+'Inputs'!$B$10))/SQRT((((194-43)*MAX('Inputs'!$B$33,'Inputs'!$B$29+'Inputs'!$B$31+'Inputs'!$B$32,'Inputs'!$B$30+'Inputs'!$B$31+'Inputs'!$B$32)/1000+'Inputs'!$B$21+'Inputs'!$B$9+'Inputs'!$B$10))^2+('Inputs'!$B$6/2)^2))))*'Results'!$B$8),"")</x:f>
        <x:v>146.9259858197477</x:v>
      </x:c>
      <x:c r="N194" t="n">
        <x:f>IF(AND(ISNUMBER('Results'!C7),ISNUMBER('Results'!B7),ISNUMBER('Results'!$B$8),ISNUMBER('Inputs'!$B$6),ISNUMBER('Inputs'!$B$7),ISNUMBER('Inputs'!$B$8),ISNUMBER('Inputs'!$B$9),ISNUMBER('Inputs'!$B$10),ISNUMBER('Inputs'!$B$21),ISNUMBER('Inputs'!$B$24),ISNUMBER('Inputs'!$B$28)),((('Results'!C7*(1-'Inputs'!$B$24)*(0.5*((((194-43)*MAX('Inputs'!$B$33,'Inputs'!$B$29+'Inputs'!$B$31+'Inputs'!$B$32,'Inputs'!$B$30+'Inputs'!$B$31+'Inputs'!$B$32)/1000+'Inputs'!$B$21)+'Inputs'!$B$9)/SQRT((((194-43)*MAX('Inputs'!$B$33,'Inputs'!$B$29+'Inputs'!$B$31+'Inputs'!$B$32,'Inputs'!$B$30+'Inputs'!$B$31+'Inputs'!$B$32)/1000+'Inputs'!$B$21)+'Inputs'!$B$9)^2+('Inputs'!$B$8/2)^2)-(((194-43)*MAX('Inputs'!$B$33,'Inputs'!$B$29+'Inputs'!$B$31+'Inputs'!$B$32,'Inputs'!$B$30+'Inputs'!$B$31+'Inputs'!$B$32)/1000+'Inputs'!$B$21))/SQRT((((194-43)*MAX('Inputs'!$B$33,'Inputs'!$B$29+'Inputs'!$B$31+'Inputs'!$B$32,'Inputs'!$B$30+'Inputs'!$B$31+'Inputs'!$B$32)/1000+'Inputs'!$B$21))^2+('Inputs'!$B$8/2)^2)))-'Results'!B7*(1+'Inputs'!$B$24)*(0.5*((((194-43)*MAX('Inputs'!$B$33,'Inputs'!$B$29+'Inputs'!$B$31+'Inputs'!$B$32,'Inputs'!$B$30+'Inputs'!$B$31+'Inputs'!$B$32)/1000+'Inputs'!$B$21+'Inputs'!$B$9+'Inputs'!$B$10)+'Inputs'!$B$7)/SQRT((((194-43)*MAX('Inputs'!$B$33,'Inputs'!$B$29+'Inputs'!$B$31+'Inputs'!$B$32,'Inputs'!$B$30+'Inputs'!$B$31+'Inputs'!$B$32)/1000+'Inputs'!$B$21+'Inputs'!$B$9+'Inputs'!$B$10)+'Inputs'!$B$7)^2+('Inputs'!$B$6/2)^2)-(((194-43)*MAX('Inputs'!$B$33,'Inputs'!$B$29+'Inputs'!$B$31+'Inputs'!$B$32,'Inputs'!$B$30+'Inputs'!$B$31+'Inputs'!$B$32)/1000+'Inputs'!$B$21+'Inputs'!$B$9+'Inputs'!$B$10))/SQRT((((194-43)*MAX('Inputs'!$B$33,'Inputs'!$B$29+'Inputs'!$B$31+'Inputs'!$B$32,'Inputs'!$B$30+'Inputs'!$B$31+'Inputs'!$B$32)/1000+'Inputs'!$B$21+'Inputs'!$B$9+'Inputs'!$B$10))^2+('Inputs'!$B$6/2)^2))))*'Results'!$B$8)-'Inputs'!$B$28*ABS((('Results'!C7*(1-'Inputs'!$B$24)*(0.5*((((194-43)*MAX('Inputs'!$B$33,'Inputs'!$B$29+'Inputs'!$B$31+'Inputs'!$B$32,'Inputs'!$B$30+'Inputs'!$B$31+'Inputs'!$B$32)/1000+'Inputs'!$B$21)+'Inputs'!$B$9)/SQRT((((194-43)*MAX('Inputs'!$B$33,'Inputs'!$B$29+'Inputs'!$B$31+'Inputs'!$B$32,'Inputs'!$B$30+'Inputs'!$B$31+'Inputs'!$B$32)/1000+'Inputs'!$B$21)+'Inputs'!$B$9)^2+('Inputs'!$B$8/2)^2)-(((194-43)*MAX('Inputs'!$B$33,'Inputs'!$B$29+'Inputs'!$B$31+'Inputs'!$B$32,'Inputs'!$B$30+'Inputs'!$B$31+'Inputs'!$B$32)/1000+'Inputs'!$B$21))/SQRT((((194-43)*MAX('Inputs'!$B$33,'Inputs'!$B$29+'Inputs'!$B$31+'Inputs'!$B$32,'Inputs'!$B$30+'Inputs'!$B$31+'Inputs'!$B$32)/1000+'Inputs'!$B$21))^2+('Inputs'!$B$8/2)^2)))-'Results'!B7*(1+'Inputs'!$B$24)*(0.5*((((194-43)*MAX('Inputs'!$B$33,'Inputs'!$B$29+'Inputs'!$B$31+'Inputs'!$B$32,'Inputs'!$B$30+'Inputs'!$B$31+'Inputs'!$B$32)/1000+'Inputs'!$B$21+'Inputs'!$B$9+'Inputs'!$B$10)+'Inputs'!$B$7)/SQRT((((194-43)*MAX('Inputs'!$B$33,'Inputs'!$B$29+'Inputs'!$B$31+'Inputs'!$B$32,'Inputs'!$B$30+'Inputs'!$B$31+'Inputs'!$B$32)/1000+'Inputs'!$B$21+'Inputs'!$B$9+'Inputs'!$B$10)+'Inputs'!$B$7)^2+('Inputs'!$B$6/2)^2)-(((194-43)*MAX('Inputs'!$B$33,'Inputs'!$B$29+'Inputs'!$B$31+'Inputs'!$B$32,'Inputs'!$B$30+'Inputs'!$B$31+'Inputs'!$B$32)/1000+'Inputs'!$B$21+'Inputs'!$B$9+'Inputs'!$B$10))/SQRT((((194-43)*MAX('Inputs'!$B$33,'Inputs'!$B$29+'Inputs'!$B$31+'Inputs'!$B$32,'Inputs'!$B$30+'Inputs'!$B$31+'Inputs'!$B$32)/1000+'Inputs'!$B$21+'Inputs'!$B$9+'Inputs'!$B$10))^2+('Inputs'!$B$6/2)^2))))*'Results'!$B$8))),"")</x:f>
        <x:v>134.8294092836377</x:v>
      </x:c>
      <x:c r="O194" t="n">
        <x:f>IF(AND(ISNUMBER('Results'!C7),ISNUMBER('Results'!B7),ISNUMBER('Results'!$B$8),ISNUMBER('Inputs'!$B$6),ISNUMBER('Inputs'!$B$7),ISNUMBER('Inputs'!$B$8),ISNUMBER('Inputs'!$B$9),ISNUMBER('Inputs'!$B$10),ISNUMBER('Inputs'!$B$21),ISNUMBER('Inputs'!$B$24),ISNUMBER('Inputs'!$B$28)),((('Results'!C7*(1+'Inputs'!$B$24)*(0.5*((((194-43)*MAX('Inputs'!$B$33,'Inputs'!$B$29+'Inputs'!$B$31+'Inputs'!$B$32,'Inputs'!$B$30+'Inputs'!$B$31+'Inputs'!$B$32)/1000+'Inputs'!$B$21)+'Inputs'!$B$9)/SQRT((((194-43)*MAX('Inputs'!$B$33,'Inputs'!$B$29+'Inputs'!$B$31+'Inputs'!$B$32,'Inputs'!$B$30+'Inputs'!$B$31+'Inputs'!$B$32)/1000+'Inputs'!$B$21)+'Inputs'!$B$9)^2+('Inputs'!$B$8/2)^2)-(((194-43)*MAX('Inputs'!$B$33,'Inputs'!$B$29+'Inputs'!$B$31+'Inputs'!$B$32,'Inputs'!$B$30+'Inputs'!$B$31+'Inputs'!$B$32)/1000+'Inputs'!$B$21))/SQRT((((194-43)*MAX('Inputs'!$B$33,'Inputs'!$B$29+'Inputs'!$B$31+'Inputs'!$B$32,'Inputs'!$B$30+'Inputs'!$B$31+'Inputs'!$B$32)/1000+'Inputs'!$B$21))^2+('Inputs'!$B$8/2)^2)))-'Results'!B7*(1-'Inputs'!$B$24)*(0.5*((((194-43)*MAX('Inputs'!$B$33,'Inputs'!$B$29+'Inputs'!$B$31+'Inputs'!$B$32,'Inputs'!$B$30+'Inputs'!$B$31+'Inputs'!$B$32)/1000+'Inputs'!$B$21+'Inputs'!$B$9+'Inputs'!$B$10)+'Inputs'!$B$7)/SQRT((((194-43)*MAX('Inputs'!$B$33,'Inputs'!$B$29+'Inputs'!$B$31+'Inputs'!$B$32,'Inputs'!$B$30+'Inputs'!$B$31+'Inputs'!$B$32)/1000+'Inputs'!$B$21+'Inputs'!$B$9+'Inputs'!$B$10)+'Inputs'!$B$7)^2+('Inputs'!$B$6/2)^2)-(((194-43)*MAX('Inputs'!$B$33,'Inputs'!$B$29+'Inputs'!$B$31+'Inputs'!$B$32,'Inputs'!$B$30+'Inputs'!$B$31+'Inputs'!$B$32)/1000+'Inputs'!$B$21+'Inputs'!$B$9+'Inputs'!$B$10))/SQRT((((194-43)*MAX('Inputs'!$B$33,'Inputs'!$B$29+'Inputs'!$B$31+'Inputs'!$B$32,'Inputs'!$B$30+'Inputs'!$B$31+'Inputs'!$B$32)/1000+'Inputs'!$B$21+'Inputs'!$B$9+'Inputs'!$B$10))^2+('Inputs'!$B$6/2)^2))))*'Results'!$B$8)+'Inputs'!$B$28*ABS((('Results'!C7*(1+'Inputs'!$B$24)*(0.5*((((194-43)*MAX('Inputs'!$B$33,'Inputs'!$B$29+'Inputs'!$B$31+'Inputs'!$B$32,'Inputs'!$B$30+'Inputs'!$B$31+'Inputs'!$B$32)/1000+'Inputs'!$B$21)+'Inputs'!$B$9)/SQRT((((194-43)*MAX('Inputs'!$B$33,'Inputs'!$B$29+'Inputs'!$B$31+'Inputs'!$B$32,'Inputs'!$B$30+'Inputs'!$B$31+'Inputs'!$B$32)/1000+'Inputs'!$B$21)+'Inputs'!$B$9)^2+('Inputs'!$B$8/2)^2)-(((194-43)*MAX('Inputs'!$B$33,'Inputs'!$B$29+'Inputs'!$B$31+'Inputs'!$B$32,'Inputs'!$B$30+'Inputs'!$B$31+'Inputs'!$B$32)/1000+'Inputs'!$B$21))/SQRT((((194-43)*MAX('Inputs'!$B$33,'Inputs'!$B$29+'Inputs'!$B$31+'Inputs'!$B$32,'Inputs'!$B$30+'Inputs'!$B$31+'Inputs'!$B$32)/1000+'Inputs'!$B$21))^2+('Inputs'!$B$8/2)^2)))-'Results'!B7*(1-'Inputs'!$B$24)*(0.5*((((194-43)*MAX('Inputs'!$B$33,'Inputs'!$B$29+'Inputs'!$B$31+'Inputs'!$B$32,'Inputs'!$B$30+'Inputs'!$B$31+'Inputs'!$B$32)/1000+'Inputs'!$B$21+'Inputs'!$B$9+'Inputs'!$B$10)+'Inputs'!$B$7)/SQRT((((194-43)*MAX('Inputs'!$B$33,'Inputs'!$B$29+'Inputs'!$B$31+'Inputs'!$B$32,'Inputs'!$B$30+'Inputs'!$B$31+'Inputs'!$B$32)/1000+'Inputs'!$B$21+'Inputs'!$B$9+'Inputs'!$B$10)+'Inputs'!$B$7)^2+('Inputs'!$B$6/2)^2)-(((194-43)*MAX('Inputs'!$B$33,'Inputs'!$B$29+'Inputs'!$B$31+'Inputs'!$B$32,'Inputs'!$B$30+'Inputs'!$B$31+'Inputs'!$B$32)/1000+'Inputs'!$B$21+'Inputs'!$B$9+'Inputs'!$B$10))/SQRT((((194-43)*MAX('Inputs'!$B$33,'Inputs'!$B$29+'Inputs'!$B$31+'Inputs'!$B$32,'Inputs'!$B$30+'Inputs'!$B$31+'Inputs'!$B$32)/1000+'Inputs'!$B$21+'Inputs'!$B$9+'Inputs'!$B$10))^2+('Inputs'!$B$6/2)^2))))*'Results'!$B$8))),"")</x:f>
        <x:v>159.52259153955484</x:v>
      </x:c>
      <x:c r="P194" t="n">
        <x:f>IF(AND(MAX(J194,J193)&gt;0,J194&gt;J193+0.00000001),1,0)</x:f>
        <x:v>0</x:v>
      </x:c>
      <x:c r="Q194" t="n">
        <x:f>IF(AND(MAX(K194,K193)&gt;0,K194&gt;K193+0.00000001),1,0)</x:f>
        <x:v>0</x:v>
      </x:c>
      <x:c r="R194" t="n">
        <x:f>IF(AND(MAX(L194,L193)&gt;0,L194&gt;L193+0.00000001),1,0)</x:f>
        <x:v>0</x:v>
      </x:c>
      <x:c r="S194" t="n">
        <x:f>IF(AND(MAX(M194,M193)&gt;0,M194&gt;M193+0.00000001),1,0)</x:f>
        <x:v>0</x:v>
      </x:c>
      <x:c r="T194" t="n">
        <x:f>IF(AND(MAX(N194,N193)&gt;0,N194&gt;N193+0.00000001),1,0)</x:f>
        <x:v>0</x:v>
      </x:c>
      <x:c r="U194" t="n">
        <x:f>IF(AND(MAX(O194,O193)&gt;0,O194&gt;O193+0.00000001),1,0)</x:f>
        <x:v>0</x:v>
      </x:c>
    </x:row>
    <x:row r="195">
      <x:c r="J195" t="n">
        <x:f>IF(AND(ISNUMBER('Results'!B7),ISNUMBER('Results'!C7),ISNUMBER('Results'!$B$8),ISNUMBER('Inputs'!$B$6),ISNUMBER('Inputs'!$B$7),ISNUMBER('Inputs'!$B$8),ISNUMBER('Inputs'!$B$9),ISNUMBER('Inputs'!$B$10),ISNUMBER('Inputs'!$B$21),ISNUMBER('Inputs'!$B$24),ISNUMBER('Inputs'!$B$28)),(('Results'!B7*(0.5*((((195-43)*MAX('Inputs'!$B$33,'Inputs'!$B$29+'Inputs'!$B$31+'Inputs'!$B$32,'Inputs'!$B$30+'Inputs'!$B$31+'Inputs'!$B$32)/1000+'Inputs'!$B$21)+'Inputs'!$B$7)/SQRT((((195-43)*MAX('Inputs'!$B$33,'Inputs'!$B$29+'Inputs'!$B$31+'Inputs'!$B$32,'Inputs'!$B$30+'Inputs'!$B$31+'Inputs'!$B$32)/1000+'Inputs'!$B$21)+'Inputs'!$B$7)^2+('Inputs'!$B$6/2)^2)-(((195-43)*MAX('Inputs'!$B$33,'Inputs'!$B$29+'Inputs'!$B$31+'Inputs'!$B$32,'Inputs'!$B$30+'Inputs'!$B$31+'Inputs'!$B$32)/1000+'Inputs'!$B$21))/SQRT((((195-43)*MAX('Inputs'!$B$33,'Inputs'!$B$29+'Inputs'!$B$31+'Inputs'!$B$32,'Inputs'!$B$30+'Inputs'!$B$31+'Inputs'!$B$32)/1000+'Inputs'!$B$21))^2+('Inputs'!$B$6/2)^2)))-'Results'!C7*(0.5*((((195-43)*MAX('Inputs'!$B$33,'Inputs'!$B$29+'Inputs'!$B$31+'Inputs'!$B$32,'Inputs'!$B$30+'Inputs'!$B$31+'Inputs'!$B$32)/1000+'Inputs'!$B$21+'Inputs'!$B$7+'Inputs'!$B$10)+'Inputs'!$B$9)/SQRT((((195-43)*MAX('Inputs'!$B$33,'Inputs'!$B$29+'Inputs'!$B$31+'Inputs'!$B$32,'Inputs'!$B$30+'Inputs'!$B$31+'Inputs'!$B$32)/1000+'Inputs'!$B$21+'Inputs'!$B$7+'Inputs'!$B$10)+'Inputs'!$B$9)^2+('Inputs'!$B$8/2)^2)-(((195-43)*MAX('Inputs'!$B$33,'Inputs'!$B$29+'Inputs'!$B$31+'Inputs'!$B$32,'Inputs'!$B$30+'Inputs'!$B$31+'Inputs'!$B$32)/1000+'Inputs'!$B$21+'Inputs'!$B$7+'Inputs'!$B$10))/SQRT((((195-43)*MAX('Inputs'!$B$33,'Inputs'!$B$29+'Inputs'!$B$31+'Inputs'!$B$32,'Inputs'!$B$30+'Inputs'!$B$31+'Inputs'!$B$32)/1000+'Inputs'!$B$21+'Inputs'!$B$7+'Inputs'!$B$10))^2+('Inputs'!$B$8/2)^2))))*'Results'!$B$8),"")</x:f>
        <x:v>149.5772059762553</x:v>
      </x:c>
      <x:c r="K195" t="n">
        <x:f>IF(AND(ISNUMBER('Results'!B7),ISNUMBER('Results'!C7),ISNUMBER('Results'!$B$8),ISNUMBER('Inputs'!$B$6),ISNUMBER('Inputs'!$B$7),ISNUMBER('Inputs'!$B$8),ISNUMBER('Inputs'!$B$9),ISNUMBER('Inputs'!$B$10),ISNUMBER('Inputs'!$B$21),ISNUMBER('Inputs'!$B$24),ISNUMBER('Inputs'!$B$28)),((('Results'!B7*(1-'Inputs'!$B$24)*(0.5*((((195-43)*MAX('Inputs'!$B$33,'Inputs'!$B$29+'Inputs'!$B$31+'Inputs'!$B$32,'Inputs'!$B$30+'Inputs'!$B$31+'Inputs'!$B$32)/1000+'Inputs'!$B$21)+'Inputs'!$B$7)/SQRT((((195-43)*MAX('Inputs'!$B$33,'Inputs'!$B$29+'Inputs'!$B$31+'Inputs'!$B$32,'Inputs'!$B$30+'Inputs'!$B$31+'Inputs'!$B$32)/1000+'Inputs'!$B$21)+'Inputs'!$B$7)^2+('Inputs'!$B$6/2)^2)-(((195-43)*MAX('Inputs'!$B$33,'Inputs'!$B$29+'Inputs'!$B$31+'Inputs'!$B$32,'Inputs'!$B$30+'Inputs'!$B$31+'Inputs'!$B$32)/1000+'Inputs'!$B$21))/SQRT((((195-43)*MAX('Inputs'!$B$33,'Inputs'!$B$29+'Inputs'!$B$31+'Inputs'!$B$32,'Inputs'!$B$30+'Inputs'!$B$31+'Inputs'!$B$32)/1000+'Inputs'!$B$21))^2+('Inputs'!$B$6/2)^2)))-'Results'!C7*(1+'Inputs'!$B$24)*(0.5*((((195-43)*MAX('Inputs'!$B$33,'Inputs'!$B$29+'Inputs'!$B$31+'Inputs'!$B$32,'Inputs'!$B$30+'Inputs'!$B$31+'Inputs'!$B$32)/1000+'Inputs'!$B$21+'Inputs'!$B$7+'Inputs'!$B$10)+'Inputs'!$B$9)/SQRT((((195-43)*MAX('Inputs'!$B$33,'Inputs'!$B$29+'Inputs'!$B$31+'Inputs'!$B$32,'Inputs'!$B$30+'Inputs'!$B$31+'Inputs'!$B$32)/1000+'Inputs'!$B$21+'Inputs'!$B$7+'Inputs'!$B$10)+'Inputs'!$B$9)^2+('Inputs'!$B$8/2)^2)-(((195-43)*MAX('Inputs'!$B$33,'Inputs'!$B$29+'Inputs'!$B$31+'Inputs'!$B$32,'Inputs'!$B$30+'Inputs'!$B$31+'Inputs'!$B$32)/1000+'Inputs'!$B$21+'Inputs'!$B$7+'Inputs'!$B$10))/SQRT((((195-43)*MAX('Inputs'!$B$33,'Inputs'!$B$29+'Inputs'!$B$31+'Inputs'!$B$32,'Inputs'!$B$30+'Inputs'!$B$31+'Inputs'!$B$32)/1000+'Inputs'!$B$21+'Inputs'!$B$7+'Inputs'!$B$10))^2+('Inputs'!$B$8/2)^2))))*'Results'!$B$8)-'Inputs'!$B$28*ABS((('Results'!B7*(1-'Inputs'!$B$24)*(0.5*((((195-43)*MAX('Inputs'!$B$33,'Inputs'!$B$29+'Inputs'!$B$31+'Inputs'!$B$32,'Inputs'!$B$30+'Inputs'!$B$31+'Inputs'!$B$32)/1000+'Inputs'!$B$21)+'Inputs'!$B$7)/SQRT((((195-43)*MAX('Inputs'!$B$33,'Inputs'!$B$29+'Inputs'!$B$31+'Inputs'!$B$32,'Inputs'!$B$30+'Inputs'!$B$31+'Inputs'!$B$32)/1000+'Inputs'!$B$21)+'Inputs'!$B$7)^2+('Inputs'!$B$6/2)^2)-(((195-43)*MAX('Inputs'!$B$33,'Inputs'!$B$29+'Inputs'!$B$31+'Inputs'!$B$32,'Inputs'!$B$30+'Inputs'!$B$31+'Inputs'!$B$32)/1000+'Inputs'!$B$21))/SQRT((((195-43)*MAX('Inputs'!$B$33,'Inputs'!$B$29+'Inputs'!$B$31+'Inputs'!$B$32,'Inputs'!$B$30+'Inputs'!$B$31+'Inputs'!$B$32)/1000+'Inputs'!$B$21))^2+('Inputs'!$B$6/2)^2)))-'Results'!C7*(1+'Inputs'!$B$24)*(0.5*((((195-43)*MAX('Inputs'!$B$33,'Inputs'!$B$29+'Inputs'!$B$31+'Inputs'!$B$32,'Inputs'!$B$30+'Inputs'!$B$31+'Inputs'!$B$32)/1000+'Inputs'!$B$21+'Inputs'!$B$7+'Inputs'!$B$10)+'Inputs'!$B$9)/SQRT((((195-43)*MAX('Inputs'!$B$33,'Inputs'!$B$29+'Inputs'!$B$31+'Inputs'!$B$32,'Inputs'!$B$30+'Inputs'!$B$31+'Inputs'!$B$32)/1000+'Inputs'!$B$21+'Inputs'!$B$7+'Inputs'!$B$10)+'Inputs'!$B$9)^2+('Inputs'!$B$8/2)^2)-(((195-43)*MAX('Inputs'!$B$33,'Inputs'!$B$29+'Inputs'!$B$31+'Inputs'!$B$32,'Inputs'!$B$30+'Inputs'!$B$31+'Inputs'!$B$32)/1000+'Inputs'!$B$21+'Inputs'!$B$7+'Inputs'!$B$10))/SQRT((((195-43)*MAX('Inputs'!$B$33,'Inputs'!$B$29+'Inputs'!$B$31+'Inputs'!$B$32,'Inputs'!$B$30+'Inputs'!$B$31+'Inputs'!$B$32)/1000+'Inputs'!$B$21+'Inputs'!$B$7+'Inputs'!$B$10))^2+('Inputs'!$B$8/2)^2))))*'Results'!$B$8))),"")</x:f>
        <x:v>137.35556201050613</x:v>
      </x:c>
      <x:c r="L195" t="n">
        <x:f>IF(AND(ISNUMBER('Results'!B7),ISNUMBER('Results'!C7),ISNUMBER('Results'!$B$8),ISNUMBER('Inputs'!$B$6),ISNUMBER('Inputs'!$B$7),ISNUMBER('Inputs'!$B$8),ISNUMBER('Inputs'!$B$9),ISNUMBER('Inputs'!$B$10),ISNUMBER('Inputs'!$B$21),ISNUMBER('Inputs'!$B$24),ISNUMBER('Inputs'!$B$28)),((('Results'!B7*(1+'Inputs'!$B$24)*(0.5*((((195-43)*MAX('Inputs'!$B$33,'Inputs'!$B$29+'Inputs'!$B$31+'Inputs'!$B$32,'Inputs'!$B$30+'Inputs'!$B$31+'Inputs'!$B$32)/1000+'Inputs'!$B$21)+'Inputs'!$B$7)/SQRT((((195-43)*MAX('Inputs'!$B$33,'Inputs'!$B$29+'Inputs'!$B$31+'Inputs'!$B$32,'Inputs'!$B$30+'Inputs'!$B$31+'Inputs'!$B$32)/1000+'Inputs'!$B$21)+'Inputs'!$B$7)^2+('Inputs'!$B$6/2)^2)-(((195-43)*MAX('Inputs'!$B$33,'Inputs'!$B$29+'Inputs'!$B$31+'Inputs'!$B$32,'Inputs'!$B$30+'Inputs'!$B$31+'Inputs'!$B$32)/1000+'Inputs'!$B$21))/SQRT((((195-43)*MAX('Inputs'!$B$33,'Inputs'!$B$29+'Inputs'!$B$31+'Inputs'!$B$32,'Inputs'!$B$30+'Inputs'!$B$31+'Inputs'!$B$32)/1000+'Inputs'!$B$21))^2+('Inputs'!$B$6/2)^2)))-'Results'!C7*(1-'Inputs'!$B$24)*(0.5*((((195-43)*MAX('Inputs'!$B$33,'Inputs'!$B$29+'Inputs'!$B$31+'Inputs'!$B$32,'Inputs'!$B$30+'Inputs'!$B$31+'Inputs'!$B$32)/1000+'Inputs'!$B$21+'Inputs'!$B$7+'Inputs'!$B$10)+'Inputs'!$B$9)/SQRT((((195-43)*MAX('Inputs'!$B$33,'Inputs'!$B$29+'Inputs'!$B$31+'Inputs'!$B$32,'Inputs'!$B$30+'Inputs'!$B$31+'Inputs'!$B$32)/1000+'Inputs'!$B$21+'Inputs'!$B$7+'Inputs'!$B$10)+'Inputs'!$B$9)^2+('Inputs'!$B$8/2)^2)-(((195-43)*MAX('Inputs'!$B$33,'Inputs'!$B$29+'Inputs'!$B$31+'Inputs'!$B$32,'Inputs'!$B$30+'Inputs'!$B$31+'Inputs'!$B$32)/1000+'Inputs'!$B$21+'Inputs'!$B$7+'Inputs'!$B$10))/SQRT((((195-43)*MAX('Inputs'!$B$33,'Inputs'!$B$29+'Inputs'!$B$31+'Inputs'!$B$32,'Inputs'!$B$30+'Inputs'!$B$31+'Inputs'!$B$32)/1000+'Inputs'!$B$21+'Inputs'!$B$7+'Inputs'!$B$10))^2+('Inputs'!$B$8/2)^2))))*'Results'!$B$8)+'Inputs'!$B$28*ABS((('Results'!B7*(1+'Inputs'!$B$24)*(0.5*((((195-43)*MAX('Inputs'!$B$33,'Inputs'!$B$29+'Inputs'!$B$31+'Inputs'!$B$32,'Inputs'!$B$30+'Inputs'!$B$31+'Inputs'!$B$32)/1000+'Inputs'!$B$21)+'Inputs'!$B$7)/SQRT((((195-43)*MAX('Inputs'!$B$33,'Inputs'!$B$29+'Inputs'!$B$31+'Inputs'!$B$32,'Inputs'!$B$30+'Inputs'!$B$31+'Inputs'!$B$32)/1000+'Inputs'!$B$21)+'Inputs'!$B$7)^2+('Inputs'!$B$6/2)^2)-(((195-43)*MAX('Inputs'!$B$33,'Inputs'!$B$29+'Inputs'!$B$31+'Inputs'!$B$32,'Inputs'!$B$30+'Inputs'!$B$31+'Inputs'!$B$32)/1000+'Inputs'!$B$21))/SQRT((((195-43)*MAX('Inputs'!$B$33,'Inputs'!$B$29+'Inputs'!$B$31+'Inputs'!$B$32,'Inputs'!$B$30+'Inputs'!$B$31+'Inputs'!$B$32)/1000+'Inputs'!$B$21))^2+('Inputs'!$B$6/2)^2)))-'Results'!C7*(1-'Inputs'!$B$24)*(0.5*((((195-43)*MAX('Inputs'!$B$33,'Inputs'!$B$29+'Inputs'!$B$31+'Inputs'!$B$32,'Inputs'!$B$30+'Inputs'!$B$31+'Inputs'!$B$32)/1000+'Inputs'!$B$21+'Inputs'!$B$7+'Inputs'!$B$10)+'Inputs'!$B$9)/SQRT((((195-43)*MAX('Inputs'!$B$33,'Inputs'!$B$29+'Inputs'!$B$31+'Inputs'!$B$32,'Inputs'!$B$30+'Inputs'!$B$31+'Inputs'!$B$32)/1000+'Inputs'!$B$21+'Inputs'!$B$7+'Inputs'!$B$10)+'Inputs'!$B$9)^2+('Inputs'!$B$8/2)^2)-(((195-43)*MAX('Inputs'!$B$33,'Inputs'!$B$29+'Inputs'!$B$31+'Inputs'!$B$32,'Inputs'!$B$30+'Inputs'!$B$31+'Inputs'!$B$32)/1000+'Inputs'!$B$21+'Inputs'!$B$7+'Inputs'!$B$10))/SQRT((((195-43)*MAX('Inputs'!$B$33,'Inputs'!$B$29+'Inputs'!$B$31+'Inputs'!$B$32,'Inputs'!$B$30+'Inputs'!$B$31+'Inputs'!$B$32)/1000+'Inputs'!$B$21+'Inputs'!$B$7+'Inputs'!$B$10))^2+('Inputs'!$B$8/2)^2))))*'Results'!$B$8))),"")</x:f>
        <x:v>162.29809032799773</x:v>
      </x:c>
      <x:c r="M195" t="n">
        <x:f>IF(AND(ISNUMBER('Results'!C7),ISNUMBER('Results'!B7),ISNUMBER('Results'!$B$8),ISNUMBER('Inputs'!$B$6),ISNUMBER('Inputs'!$B$7),ISNUMBER('Inputs'!$B$8),ISNUMBER('Inputs'!$B$9),ISNUMBER('Inputs'!$B$10),ISNUMBER('Inputs'!$B$21),ISNUMBER('Inputs'!$B$24),ISNUMBER('Inputs'!$B$28)),(('Results'!C7*(0.5*((((195-43)*MAX('Inputs'!$B$33,'Inputs'!$B$29+'Inputs'!$B$31+'Inputs'!$B$32,'Inputs'!$B$30+'Inputs'!$B$31+'Inputs'!$B$32)/1000+'Inputs'!$B$21)+'Inputs'!$B$9)/SQRT((((195-43)*MAX('Inputs'!$B$33,'Inputs'!$B$29+'Inputs'!$B$31+'Inputs'!$B$32,'Inputs'!$B$30+'Inputs'!$B$31+'Inputs'!$B$32)/1000+'Inputs'!$B$21)+'Inputs'!$B$9)^2+('Inputs'!$B$8/2)^2)-(((195-43)*MAX('Inputs'!$B$33,'Inputs'!$B$29+'Inputs'!$B$31+'Inputs'!$B$32,'Inputs'!$B$30+'Inputs'!$B$31+'Inputs'!$B$32)/1000+'Inputs'!$B$21))/SQRT((((195-43)*MAX('Inputs'!$B$33,'Inputs'!$B$29+'Inputs'!$B$31+'Inputs'!$B$32,'Inputs'!$B$30+'Inputs'!$B$31+'Inputs'!$B$32)/1000+'Inputs'!$B$21))^2+('Inputs'!$B$8/2)^2)))-'Results'!B7*(0.5*((((195-43)*MAX('Inputs'!$B$33,'Inputs'!$B$29+'Inputs'!$B$31+'Inputs'!$B$32,'Inputs'!$B$30+'Inputs'!$B$31+'Inputs'!$B$32)/1000+'Inputs'!$B$21+'Inputs'!$B$9+'Inputs'!$B$10)+'Inputs'!$B$7)/SQRT((((195-43)*MAX('Inputs'!$B$33,'Inputs'!$B$29+'Inputs'!$B$31+'Inputs'!$B$32,'Inputs'!$B$30+'Inputs'!$B$31+'Inputs'!$B$32)/1000+'Inputs'!$B$21+'Inputs'!$B$9+'Inputs'!$B$10)+'Inputs'!$B$7)^2+('Inputs'!$B$6/2)^2)-(((195-43)*MAX('Inputs'!$B$33,'Inputs'!$B$29+'Inputs'!$B$31+'Inputs'!$B$32,'Inputs'!$B$30+'Inputs'!$B$31+'Inputs'!$B$32)/1000+'Inputs'!$B$21+'Inputs'!$B$9+'Inputs'!$B$10))/SQRT((((195-43)*MAX('Inputs'!$B$33,'Inputs'!$B$29+'Inputs'!$B$31+'Inputs'!$B$32,'Inputs'!$B$30+'Inputs'!$B$31+'Inputs'!$B$32)/1000+'Inputs'!$B$21+'Inputs'!$B$9+'Inputs'!$B$10))^2+('Inputs'!$B$6/2)^2))))*'Results'!$B$8),"")</x:f>
        <x:v>144.56438518019564</x:v>
      </x:c>
      <x:c r="N195" t="n">
        <x:f>IF(AND(ISNUMBER('Results'!C7),ISNUMBER('Results'!B7),ISNUMBER('Results'!$B$8),ISNUMBER('Inputs'!$B$6),ISNUMBER('Inputs'!$B$7),ISNUMBER('Inputs'!$B$8),ISNUMBER('Inputs'!$B$9),ISNUMBER('Inputs'!$B$10),ISNUMBER('Inputs'!$B$21),ISNUMBER('Inputs'!$B$24),ISNUMBER('Inputs'!$B$28)),((('Results'!C7*(1-'Inputs'!$B$24)*(0.5*((((195-43)*MAX('Inputs'!$B$33,'Inputs'!$B$29+'Inputs'!$B$31+'Inputs'!$B$32,'Inputs'!$B$30+'Inputs'!$B$31+'Inputs'!$B$32)/1000+'Inputs'!$B$21)+'Inputs'!$B$9)/SQRT((((195-43)*MAX('Inputs'!$B$33,'Inputs'!$B$29+'Inputs'!$B$31+'Inputs'!$B$32,'Inputs'!$B$30+'Inputs'!$B$31+'Inputs'!$B$32)/1000+'Inputs'!$B$21)+'Inputs'!$B$9)^2+('Inputs'!$B$8/2)^2)-(((195-43)*MAX('Inputs'!$B$33,'Inputs'!$B$29+'Inputs'!$B$31+'Inputs'!$B$32,'Inputs'!$B$30+'Inputs'!$B$31+'Inputs'!$B$32)/1000+'Inputs'!$B$21))/SQRT((((195-43)*MAX('Inputs'!$B$33,'Inputs'!$B$29+'Inputs'!$B$31+'Inputs'!$B$32,'Inputs'!$B$30+'Inputs'!$B$31+'Inputs'!$B$32)/1000+'Inputs'!$B$21))^2+('Inputs'!$B$8/2)^2)))-'Results'!B7*(1+'Inputs'!$B$24)*(0.5*((((195-43)*MAX('Inputs'!$B$33,'Inputs'!$B$29+'Inputs'!$B$31+'Inputs'!$B$32,'Inputs'!$B$30+'Inputs'!$B$31+'Inputs'!$B$32)/1000+'Inputs'!$B$21+'Inputs'!$B$9+'Inputs'!$B$10)+'Inputs'!$B$7)/SQRT((((195-43)*MAX('Inputs'!$B$33,'Inputs'!$B$29+'Inputs'!$B$31+'Inputs'!$B$32,'Inputs'!$B$30+'Inputs'!$B$31+'Inputs'!$B$32)/1000+'Inputs'!$B$21+'Inputs'!$B$9+'Inputs'!$B$10)+'Inputs'!$B$7)^2+('Inputs'!$B$6/2)^2)-(((195-43)*MAX('Inputs'!$B$33,'Inputs'!$B$29+'Inputs'!$B$31+'Inputs'!$B$32,'Inputs'!$B$30+'Inputs'!$B$31+'Inputs'!$B$32)/1000+'Inputs'!$B$21+'Inputs'!$B$9+'Inputs'!$B$10))/SQRT((((195-43)*MAX('Inputs'!$B$33,'Inputs'!$B$29+'Inputs'!$B$31+'Inputs'!$B$32,'Inputs'!$B$30+'Inputs'!$B$31+'Inputs'!$B$32)/1000+'Inputs'!$B$21+'Inputs'!$B$9+'Inputs'!$B$10))^2+('Inputs'!$B$6/2)^2))))*'Results'!$B$8)-'Inputs'!$B$28*ABS((('Results'!C7*(1-'Inputs'!$B$24)*(0.5*((((195-43)*MAX('Inputs'!$B$33,'Inputs'!$B$29+'Inputs'!$B$31+'Inputs'!$B$32,'Inputs'!$B$30+'Inputs'!$B$31+'Inputs'!$B$32)/1000+'Inputs'!$B$21)+'Inputs'!$B$9)/SQRT((((195-43)*MAX('Inputs'!$B$33,'Inputs'!$B$29+'Inputs'!$B$31+'Inputs'!$B$32,'Inputs'!$B$30+'Inputs'!$B$31+'Inputs'!$B$32)/1000+'Inputs'!$B$21)+'Inputs'!$B$9)^2+('Inputs'!$B$8/2)^2)-(((195-43)*MAX('Inputs'!$B$33,'Inputs'!$B$29+'Inputs'!$B$31+'Inputs'!$B$32,'Inputs'!$B$30+'Inputs'!$B$31+'Inputs'!$B$32)/1000+'Inputs'!$B$21))/SQRT((((195-43)*MAX('Inputs'!$B$33,'Inputs'!$B$29+'Inputs'!$B$31+'Inputs'!$B$32,'Inputs'!$B$30+'Inputs'!$B$31+'Inputs'!$B$32)/1000+'Inputs'!$B$21))^2+('Inputs'!$B$8/2)^2)))-'Results'!B7*(1+'Inputs'!$B$24)*(0.5*((((195-43)*MAX('Inputs'!$B$33,'Inputs'!$B$29+'Inputs'!$B$31+'Inputs'!$B$32,'Inputs'!$B$30+'Inputs'!$B$31+'Inputs'!$B$32)/1000+'Inputs'!$B$21+'Inputs'!$B$9+'Inputs'!$B$10)+'Inputs'!$B$7)/SQRT((((195-43)*MAX('Inputs'!$B$33,'Inputs'!$B$29+'Inputs'!$B$31+'Inputs'!$B$32,'Inputs'!$B$30+'Inputs'!$B$31+'Inputs'!$B$32)/1000+'Inputs'!$B$21+'Inputs'!$B$9+'Inputs'!$B$10)+'Inputs'!$B$7)^2+('Inputs'!$B$6/2)^2)-(((195-43)*MAX('Inputs'!$B$33,'Inputs'!$B$29+'Inputs'!$B$31+'Inputs'!$B$32,'Inputs'!$B$30+'Inputs'!$B$31+'Inputs'!$B$32)/1000+'Inputs'!$B$21+'Inputs'!$B$9+'Inputs'!$B$10))/SQRT((((195-43)*MAX('Inputs'!$B$33,'Inputs'!$B$29+'Inputs'!$B$31+'Inputs'!$B$32,'Inputs'!$B$30+'Inputs'!$B$31+'Inputs'!$B$32)/1000+'Inputs'!$B$21+'Inputs'!$B$9+'Inputs'!$B$10))^2+('Inputs'!$B$6/2)^2))))*'Results'!$B$8))),"")</x:f>
        <x:v>132.64983367073407</x:v>
      </x:c>
      <x:c r="O195" t="n">
        <x:f>IF(AND(ISNUMBER('Results'!C7),ISNUMBER('Results'!B7),ISNUMBER('Results'!$B$8),ISNUMBER('Inputs'!$B$6),ISNUMBER('Inputs'!$B$7),ISNUMBER('Inputs'!$B$8),ISNUMBER('Inputs'!$B$9),ISNUMBER('Inputs'!$B$10),ISNUMBER('Inputs'!$B$21),ISNUMBER('Inputs'!$B$24),ISNUMBER('Inputs'!$B$28)),((('Results'!C7*(1+'Inputs'!$B$24)*(0.5*((((195-43)*MAX('Inputs'!$B$33,'Inputs'!$B$29+'Inputs'!$B$31+'Inputs'!$B$32,'Inputs'!$B$30+'Inputs'!$B$31+'Inputs'!$B$32)/1000+'Inputs'!$B$21)+'Inputs'!$B$9)/SQRT((((195-43)*MAX('Inputs'!$B$33,'Inputs'!$B$29+'Inputs'!$B$31+'Inputs'!$B$32,'Inputs'!$B$30+'Inputs'!$B$31+'Inputs'!$B$32)/1000+'Inputs'!$B$21)+'Inputs'!$B$9)^2+('Inputs'!$B$8/2)^2)-(((195-43)*MAX('Inputs'!$B$33,'Inputs'!$B$29+'Inputs'!$B$31+'Inputs'!$B$32,'Inputs'!$B$30+'Inputs'!$B$31+'Inputs'!$B$32)/1000+'Inputs'!$B$21))/SQRT((((195-43)*MAX('Inputs'!$B$33,'Inputs'!$B$29+'Inputs'!$B$31+'Inputs'!$B$32,'Inputs'!$B$30+'Inputs'!$B$31+'Inputs'!$B$32)/1000+'Inputs'!$B$21))^2+('Inputs'!$B$8/2)^2)))-'Results'!B7*(1-'Inputs'!$B$24)*(0.5*((((195-43)*MAX('Inputs'!$B$33,'Inputs'!$B$29+'Inputs'!$B$31+'Inputs'!$B$32,'Inputs'!$B$30+'Inputs'!$B$31+'Inputs'!$B$32)/1000+'Inputs'!$B$21+'Inputs'!$B$9+'Inputs'!$B$10)+'Inputs'!$B$7)/SQRT((((195-43)*MAX('Inputs'!$B$33,'Inputs'!$B$29+'Inputs'!$B$31+'Inputs'!$B$32,'Inputs'!$B$30+'Inputs'!$B$31+'Inputs'!$B$32)/1000+'Inputs'!$B$21+'Inputs'!$B$9+'Inputs'!$B$10)+'Inputs'!$B$7)^2+('Inputs'!$B$6/2)^2)-(((195-43)*MAX('Inputs'!$B$33,'Inputs'!$B$29+'Inputs'!$B$31+'Inputs'!$B$32,'Inputs'!$B$30+'Inputs'!$B$31+'Inputs'!$B$32)/1000+'Inputs'!$B$21+'Inputs'!$B$9+'Inputs'!$B$10))/SQRT((((195-43)*MAX('Inputs'!$B$33,'Inputs'!$B$29+'Inputs'!$B$31+'Inputs'!$B$32,'Inputs'!$B$30+'Inputs'!$B$31+'Inputs'!$B$32)/1000+'Inputs'!$B$21+'Inputs'!$B$9+'Inputs'!$B$10))^2+('Inputs'!$B$6/2)^2))))*'Results'!$B$8)+'Inputs'!$B$28*ABS((('Results'!C7*(1+'Inputs'!$B$24)*(0.5*((((195-43)*MAX('Inputs'!$B$33,'Inputs'!$B$29+'Inputs'!$B$31+'Inputs'!$B$32,'Inputs'!$B$30+'Inputs'!$B$31+'Inputs'!$B$32)/1000+'Inputs'!$B$21)+'Inputs'!$B$9)/SQRT((((195-43)*MAX('Inputs'!$B$33,'Inputs'!$B$29+'Inputs'!$B$31+'Inputs'!$B$32,'Inputs'!$B$30+'Inputs'!$B$31+'Inputs'!$B$32)/1000+'Inputs'!$B$21)+'Inputs'!$B$9)^2+('Inputs'!$B$8/2)^2)-(((195-43)*MAX('Inputs'!$B$33,'Inputs'!$B$29+'Inputs'!$B$31+'Inputs'!$B$32,'Inputs'!$B$30+'Inputs'!$B$31+'Inputs'!$B$32)/1000+'Inputs'!$B$21))/SQRT((((195-43)*MAX('Inputs'!$B$33,'Inputs'!$B$29+'Inputs'!$B$31+'Inputs'!$B$32,'Inputs'!$B$30+'Inputs'!$B$31+'Inputs'!$B$32)/1000+'Inputs'!$B$21))^2+('Inputs'!$B$8/2)^2)))-'Results'!B7*(1-'Inputs'!$B$24)*(0.5*((((195-43)*MAX('Inputs'!$B$33,'Inputs'!$B$29+'Inputs'!$B$31+'Inputs'!$B$32,'Inputs'!$B$30+'Inputs'!$B$31+'Inputs'!$B$32)/1000+'Inputs'!$B$21+'Inputs'!$B$9+'Inputs'!$B$10)+'Inputs'!$B$7)/SQRT((((195-43)*MAX('Inputs'!$B$33,'Inputs'!$B$29+'Inputs'!$B$31+'Inputs'!$B$32,'Inputs'!$B$30+'Inputs'!$B$31+'Inputs'!$B$32)/1000+'Inputs'!$B$21+'Inputs'!$B$9+'Inputs'!$B$10)+'Inputs'!$B$7)^2+('Inputs'!$B$6/2)^2)-(((195-43)*MAX('Inputs'!$B$33,'Inputs'!$B$29+'Inputs'!$B$31+'Inputs'!$B$32,'Inputs'!$B$30+'Inputs'!$B$31+'Inputs'!$B$32)/1000+'Inputs'!$B$21+'Inputs'!$B$9+'Inputs'!$B$10))/SQRT((((195-43)*MAX('Inputs'!$B$33,'Inputs'!$B$29+'Inputs'!$B$31+'Inputs'!$B$32,'Inputs'!$B$30+'Inputs'!$B$31+'Inputs'!$B$32)/1000+'Inputs'!$B$21+'Inputs'!$B$9+'Inputs'!$B$10))^2+('Inputs'!$B$6/2)^2))))*'Results'!$B$8))),"")</x:f>
        <x:v>156.97223482128373</x:v>
      </x:c>
      <x:c r="P195" t="n">
        <x:f>IF(AND(MAX(J195,J194)&gt;0,J195&gt;J194+0.00000001),1,0)</x:f>
        <x:v>0</x:v>
      </x:c>
      <x:c r="Q195" t="n">
        <x:f>IF(AND(MAX(K195,K194)&gt;0,K195&gt;K194+0.00000001),1,0)</x:f>
        <x:v>0</x:v>
      </x:c>
      <x:c r="R195" t="n">
        <x:f>IF(AND(MAX(L195,L194)&gt;0,L195&gt;L194+0.00000001),1,0)</x:f>
        <x:v>0</x:v>
      </x:c>
      <x:c r="S195" t="n">
        <x:f>IF(AND(MAX(M195,M194)&gt;0,M195&gt;M194+0.00000001),1,0)</x:f>
        <x:v>0</x:v>
      </x:c>
      <x:c r="T195" t="n">
        <x:f>IF(AND(MAX(N195,N194)&gt;0,N195&gt;N194+0.00000001),1,0)</x:f>
        <x:v>0</x:v>
      </x:c>
      <x:c r="U195" t="n">
        <x:f>IF(AND(MAX(O195,O194)&gt;0,O195&gt;O194+0.00000001),1,0)</x:f>
        <x:v>0</x:v>
      </x:c>
    </x:row>
    <x:row r="196">
      <x:c r="J196" t="n">
        <x:f>IF(AND(ISNUMBER('Results'!B7),ISNUMBER('Results'!C7),ISNUMBER('Results'!$B$8),ISNUMBER('Inputs'!$B$6),ISNUMBER('Inputs'!$B$7),ISNUMBER('Inputs'!$B$8),ISNUMBER('Inputs'!$B$9),ISNUMBER('Inputs'!$B$10),ISNUMBER('Inputs'!$B$21),ISNUMBER('Inputs'!$B$24),ISNUMBER('Inputs'!$B$28)),(('Results'!B7*(0.5*((((196-43)*MAX('Inputs'!$B$33,'Inputs'!$B$29+'Inputs'!$B$31+'Inputs'!$B$32,'Inputs'!$B$30+'Inputs'!$B$31+'Inputs'!$B$32)/1000+'Inputs'!$B$21)+'Inputs'!$B$7)/SQRT((((196-43)*MAX('Inputs'!$B$33,'Inputs'!$B$29+'Inputs'!$B$31+'Inputs'!$B$32,'Inputs'!$B$30+'Inputs'!$B$31+'Inputs'!$B$32)/1000+'Inputs'!$B$21)+'Inputs'!$B$7)^2+('Inputs'!$B$6/2)^2)-(((196-43)*MAX('Inputs'!$B$33,'Inputs'!$B$29+'Inputs'!$B$31+'Inputs'!$B$32,'Inputs'!$B$30+'Inputs'!$B$31+'Inputs'!$B$32)/1000+'Inputs'!$B$21))/SQRT((((196-43)*MAX('Inputs'!$B$33,'Inputs'!$B$29+'Inputs'!$B$31+'Inputs'!$B$32,'Inputs'!$B$30+'Inputs'!$B$31+'Inputs'!$B$32)/1000+'Inputs'!$B$21))^2+('Inputs'!$B$6/2)^2)))-'Results'!C7*(0.5*((((196-43)*MAX('Inputs'!$B$33,'Inputs'!$B$29+'Inputs'!$B$31+'Inputs'!$B$32,'Inputs'!$B$30+'Inputs'!$B$31+'Inputs'!$B$32)/1000+'Inputs'!$B$21+'Inputs'!$B$7+'Inputs'!$B$10)+'Inputs'!$B$9)/SQRT((((196-43)*MAX('Inputs'!$B$33,'Inputs'!$B$29+'Inputs'!$B$31+'Inputs'!$B$32,'Inputs'!$B$30+'Inputs'!$B$31+'Inputs'!$B$32)/1000+'Inputs'!$B$21+'Inputs'!$B$7+'Inputs'!$B$10)+'Inputs'!$B$9)^2+('Inputs'!$B$8/2)^2)-(((196-43)*MAX('Inputs'!$B$33,'Inputs'!$B$29+'Inputs'!$B$31+'Inputs'!$B$32,'Inputs'!$B$30+'Inputs'!$B$31+'Inputs'!$B$32)/1000+'Inputs'!$B$21+'Inputs'!$B$7+'Inputs'!$B$10))/SQRT((((196-43)*MAX('Inputs'!$B$33,'Inputs'!$B$29+'Inputs'!$B$31+'Inputs'!$B$32,'Inputs'!$B$30+'Inputs'!$B$31+'Inputs'!$B$32)/1000+'Inputs'!$B$21+'Inputs'!$B$7+'Inputs'!$B$10))^2+('Inputs'!$B$8/2)^2))))*'Results'!$B$8),"")</x:f>
        <x:v>147.19384295161373</x:v>
      </x:c>
      <x:c r="K196" t="n">
        <x:f>IF(AND(ISNUMBER('Results'!B7),ISNUMBER('Results'!C7),ISNUMBER('Results'!$B$8),ISNUMBER('Inputs'!$B$6),ISNUMBER('Inputs'!$B$7),ISNUMBER('Inputs'!$B$8),ISNUMBER('Inputs'!$B$9),ISNUMBER('Inputs'!$B$10),ISNUMBER('Inputs'!$B$21),ISNUMBER('Inputs'!$B$24),ISNUMBER('Inputs'!$B$28)),((('Results'!B7*(1-'Inputs'!$B$24)*(0.5*((((196-43)*MAX('Inputs'!$B$33,'Inputs'!$B$29+'Inputs'!$B$31+'Inputs'!$B$32,'Inputs'!$B$30+'Inputs'!$B$31+'Inputs'!$B$32)/1000+'Inputs'!$B$21)+'Inputs'!$B$7)/SQRT((((196-43)*MAX('Inputs'!$B$33,'Inputs'!$B$29+'Inputs'!$B$31+'Inputs'!$B$32,'Inputs'!$B$30+'Inputs'!$B$31+'Inputs'!$B$32)/1000+'Inputs'!$B$21)+'Inputs'!$B$7)^2+('Inputs'!$B$6/2)^2)-(((196-43)*MAX('Inputs'!$B$33,'Inputs'!$B$29+'Inputs'!$B$31+'Inputs'!$B$32,'Inputs'!$B$30+'Inputs'!$B$31+'Inputs'!$B$32)/1000+'Inputs'!$B$21))/SQRT((((196-43)*MAX('Inputs'!$B$33,'Inputs'!$B$29+'Inputs'!$B$31+'Inputs'!$B$32,'Inputs'!$B$30+'Inputs'!$B$31+'Inputs'!$B$32)/1000+'Inputs'!$B$21))^2+('Inputs'!$B$6/2)^2)))-'Results'!C7*(1+'Inputs'!$B$24)*(0.5*((((196-43)*MAX('Inputs'!$B$33,'Inputs'!$B$29+'Inputs'!$B$31+'Inputs'!$B$32,'Inputs'!$B$30+'Inputs'!$B$31+'Inputs'!$B$32)/1000+'Inputs'!$B$21+'Inputs'!$B$7+'Inputs'!$B$10)+'Inputs'!$B$9)/SQRT((((196-43)*MAX('Inputs'!$B$33,'Inputs'!$B$29+'Inputs'!$B$31+'Inputs'!$B$32,'Inputs'!$B$30+'Inputs'!$B$31+'Inputs'!$B$32)/1000+'Inputs'!$B$21+'Inputs'!$B$7+'Inputs'!$B$10)+'Inputs'!$B$9)^2+('Inputs'!$B$8/2)^2)-(((196-43)*MAX('Inputs'!$B$33,'Inputs'!$B$29+'Inputs'!$B$31+'Inputs'!$B$32,'Inputs'!$B$30+'Inputs'!$B$31+'Inputs'!$B$32)/1000+'Inputs'!$B$21+'Inputs'!$B$7+'Inputs'!$B$10))/SQRT((((196-43)*MAX('Inputs'!$B$33,'Inputs'!$B$29+'Inputs'!$B$31+'Inputs'!$B$32,'Inputs'!$B$30+'Inputs'!$B$31+'Inputs'!$B$32)/1000+'Inputs'!$B$21+'Inputs'!$B$7+'Inputs'!$B$10))^2+('Inputs'!$B$8/2)^2))))*'Results'!$B$8)-'Inputs'!$B$28*ABS((('Results'!B7*(1-'Inputs'!$B$24)*(0.5*((((196-43)*MAX('Inputs'!$B$33,'Inputs'!$B$29+'Inputs'!$B$31+'Inputs'!$B$32,'Inputs'!$B$30+'Inputs'!$B$31+'Inputs'!$B$32)/1000+'Inputs'!$B$21)+'Inputs'!$B$7)/SQRT((((196-43)*MAX('Inputs'!$B$33,'Inputs'!$B$29+'Inputs'!$B$31+'Inputs'!$B$32,'Inputs'!$B$30+'Inputs'!$B$31+'Inputs'!$B$32)/1000+'Inputs'!$B$21)+'Inputs'!$B$7)^2+('Inputs'!$B$6/2)^2)-(((196-43)*MAX('Inputs'!$B$33,'Inputs'!$B$29+'Inputs'!$B$31+'Inputs'!$B$32,'Inputs'!$B$30+'Inputs'!$B$31+'Inputs'!$B$32)/1000+'Inputs'!$B$21))/SQRT((((196-43)*MAX('Inputs'!$B$33,'Inputs'!$B$29+'Inputs'!$B$31+'Inputs'!$B$32,'Inputs'!$B$30+'Inputs'!$B$31+'Inputs'!$B$32)/1000+'Inputs'!$B$21))^2+('Inputs'!$B$6/2)^2)))-'Results'!C7*(1+'Inputs'!$B$24)*(0.5*((((196-43)*MAX('Inputs'!$B$33,'Inputs'!$B$29+'Inputs'!$B$31+'Inputs'!$B$32,'Inputs'!$B$30+'Inputs'!$B$31+'Inputs'!$B$32)/1000+'Inputs'!$B$21+'Inputs'!$B$7+'Inputs'!$B$10)+'Inputs'!$B$9)/SQRT((((196-43)*MAX('Inputs'!$B$33,'Inputs'!$B$29+'Inputs'!$B$31+'Inputs'!$B$32,'Inputs'!$B$30+'Inputs'!$B$31+'Inputs'!$B$32)/1000+'Inputs'!$B$21+'Inputs'!$B$7+'Inputs'!$B$10)+'Inputs'!$B$9)^2+('Inputs'!$B$8/2)^2)-(((196-43)*MAX('Inputs'!$B$33,'Inputs'!$B$29+'Inputs'!$B$31+'Inputs'!$B$32,'Inputs'!$B$30+'Inputs'!$B$31+'Inputs'!$B$32)/1000+'Inputs'!$B$21+'Inputs'!$B$7+'Inputs'!$B$10))/SQRT((((196-43)*MAX('Inputs'!$B$33,'Inputs'!$B$29+'Inputs'!$B$31+'Inputs'!$B$32,'Inputs'!$B$30+'Inputs'!$B$31+'Inputs'!$B$32)/1000+'Inputs'!$B$21+'Inputs'!$B$7+'Inputs'!$B$10))^2+('Inputs'!$B$8/2)^2))))*'Results'!$B$8))),"")</x:f>
        <x:v>135.15510658602656</x:v>
      </x:c>
      <x:c r="L196" t="n">
        <x:f>IF(AND(ISNUMBER('Results'!B7),ISNUMBER('Results'!C7),ISNUMBER('Results'!$B$8),ISNUMBER('Inputs'!$B$6),ISNUMBER('Inputs'!$B$7),ISNUMBER('Inputs'!$B$8),ISNUMBER('Inputs'!$B$9),ISNUMBER('Inputs'!$B$10),ISNUMBER('Inputs'!$B$21),ISNUMBER('Inputs'!$B$24),ISNUMBER('Inputs'!$B$28)),((('Results'!B7*(1+'Inputs'!$B$24)*(0.5*((((196-43)*MAX('Inputs'!$B$33,'Inputs'!$B$29+'Inputs'!$B$31+'Inputs'!$B$32,'Inputs'!$B$30+'Inputs'!$B$31+'Inputs'!$B$32)/1000+'Inputs'!$B$21)+'Inputs'!$B$7)/SQRT((((196-43)*MAX('Inputs'!$B$33,'Inputs'!$B$29+'Inputs'!$B$31+'Inputs'!$B$32,'Inputs'!$B$30+'Inputs'!$B$31+'Inputs'!$B$32)/1000+'Inputs'!$B$21)+'Inputs'!$B$7)^2+('Inputs'!$B$6/2)^2)-(((196-43)*MAX('Inputs'!$B$33,'Inputs'!$B$29+'Inputs'!$B$31+'Inputs'!$B$32,'Inputs'!$B$30+'Inputs'!$B$31+'Inputs'!$B$32)/1000+'Inputs'!$B$21))/SQRT((((196-43)*MAX('Inputs'!$B$33,'Inputs'!$B$29+'Inputs'!$B$31+'Inputs'!$B$32,'Inputs'!$B$30+'Inputs'!$B$31+'Inputs'!$B$32)/1000+'Inputs'!$B$21))^2+('Inputs'!$B$6/2)^2)))-'Results'!C7*(1-'Inputs'!$B$24)*(0.5*((((196-43)*MAX('Inputs'!$B$33,'Inputs'!$B$29+'Inputs'!$B$31+'Inputs'!$B$32,'Inputs'!$B$30+'Inputs'!$B$31+'Inputs'!$B$32)/1000+'Inputs'!$B$21+'Inputs'!$B$7+'Inputs'!$B$10)+'Inputs'!$B$9)/SQRT((((196-43)*MAX('Inputs'!$B$33,'Inputs'!$B$29+'Inputs'!$B$31+'Inputs'!$B$32,'Inputs'!$B$30+'Inputs'!$B$31+'Inputs'!$B$32)/1000+'Inputs'!$B$21+'Inputs'!$B$7+'Inputs'!$B$10)+'Inputs'!$B$9)^2+('Inputs'!$B$8/2)^2)-(((196-43)*MAX('Inputs'!$B$33,'Inputs'!$B$29+'Inputs'!$B$31+'Inputs'!$B$32,'Inputs'!$B$30+'Inputs'!$B$31+'Inputs'!$B$32)/1000+'Inputs'!$B$21+'Inputs'!$B$7+'Inputs'!$B$10))/SQRT((((196-43)*MAX('Inputs'!$B$33,'Inputs'!$B$29+'Inputs'!$B$31+'Inputs'!$B$32,'Inputs'!$B$30+'Inputs'!$B$31+'Inputs'!$B$32)/1000+'Inputs'!$B$21+'Inputs'!$B$7+'Inputs'!$B$10))^2+('Inputs'!$B$8/2)^2))))*'Results'!$B$8)+'Inputs'!$B$28*ABS((('Results'!B7*(1+'Inputs'!$B$24)*(0.5*((((196-43)*MAX('Inputs'!$B$33,'Inputs'!$B$29+'Inputs'!$B$31+'Inputs'!$B$32,'Inputs'!$B$30+'Inputs'!$B$31+'Inputs'!$B$32)/1000+'Inputs'!$B$21)+'Inputs'!$B$7)/SQRT((((196-43)*MAX('Inputs'!$B$33,'Inputs'!$B$29+'Inputs'!$B$31+'Inputs'!$B$32,'Inputs'!$B$30+'Inputs'!$B$31+'Inputs'!$B$32)/1000+'Inputs'!$B$21)+'Inputs'!$B$7)^2+('Inputs'!$B$6/2)^2)-(((196-43)*MAX('Inputs'!$B$33,'Inputs'!$B$29+'Inputs'!$B$31+'Inputs'!$B$32,'Inputs'!$B$30+'Inputs'!$B$31+'Inputs'!$B$32)/1000+'Inputs'!$B$21))/SQRT((((196-43)*MAX('Inputs'!$B$33,'Inputs'!$B$29+'Inputs'!$B$31+'Inputs'!$B$32,'Inputs'!$B$30+'Inputs'!$B$31+'Inputs'!$B$32)/1000+'Inputs'!$B$21))^2+('Inputs'!$B$6/2)^2)))-'Results'!C7*(1-'Inputs'!$B$24)*(0.5*((((196-43)*MAX('Inputs'!$B$33,'Inputs'!$B$29+'Inputs'!$B$31+'Inputs'!$B$32,'Inputs'!$B$30+'Inputs'!$B$31+'Inputs'!$B$32)/1000+'Inputs'!$B$21+'Inputs'!$B$7+'Inputs'!$B$10)+'Inputs'!$B$9)/SQRT((((196-43)*MAX('Inputs'!$B$33,'Inputs'!$B$29+'Inputs'!$B$31+'Inputs'!$B$32,'Inputs'!$B$30+'Inputs'!$B$31+'Inputs'!$B$32)/1000+'Inputs'!$B$21+'Inputs'!$B$7+'Inputs'!$B$10)+'Inputs'!$B$9)^2+('Inputs'!$B$8/2)^2)-(((196-43)*MAX('Inputs'!$B$33,'Inputs'!$B$29+'Inputs'!$B$31+'Inputs'!$B$32,'Inputs'!$B$30+'Inputs'!$B$31+'Inputs'!$B$32)/1000+'Inputs'!$B$21+'Inputs'!$B$7+'Inputs'!$B$10))/SQRT((((196-43)*MAX('Inputs'!$B$33,'Inputs'!$B$29+'Inputs'!$B$31+'Inputs'!$B$32,'Inputs'!$B$30+'Inputs'!$B$31+'Inputs'!$B$32)/1000+'Inputs'!$B$21+'Inputs'!$B$7+'Inputs'!$B$10))^2+('Inputs'!$B$8/2)^2))))*'Results'!$B$8))),"")</x:f>
        <x:v>159.7251102875174</x:v>
      </x:c>
      <x:c r="M196" t="n">
        <x:f>IF(AND(ISNUMBER('Results'!C7),ISNUMBER('Results'!B7),ISNUMBER('Results'!$B$8),ISNUMBER('Inputs'!$B$6),ISNUMBER('Inputs'!$B$7),ISNUMBER('Inputs'!$B$8),ISNUMBER('Inputs'!$B$9),ISNUMBER('Inputs'!$B$10),ISNUMBER('Inputs'!$B$21),ISNUMBER('Inputs'!$B$24),ISNUMBER('Inputs'!$B$28)),(('Results'!C7*(0.5*((((196-43)*MAX('Inputs'!$B$33,'Inputs'!$B$29+'Inputs'!$B$31+'Inputs'!$B$32,'Inputs'!$B$30+'Inputs'!$B$31+'Inputs'!$B$32)/1000+'Inputs'!$B$21)+'Inputs'!$B$9)/SQRT((((196-43)*MAX('Inputs'!$B$33,'Inputs'!$B$29+'Inputs'!$B$31+'Inputs'!$B$32,'Inputs'!$B$30+'Inputs'!$B$31+'Inputs'!$B$32)/1000+'Inputs'!$B$21)+'Inputs'!$B$9)^2+('Inputs'!$B$8/2)^2)-(((196-43)*MAX('Inputs'!$B$33,'Inputs'!$B$29+'Inputs'!$B$31+'Inputs'!$B$32,'Inputs'!$B$30+'Inputs'!$B$31+'Inputs'!$B$32)/1000+'Inputs'!$B$21))/SQRT((((196-43)*MAX('Inputs'!$B$33,'Inputs'!$B$29+'Inputs'!$B$31+'Inputs'!$B$32,'Inputs'!$B$30+'Inputs'!$B$31+'Inputs'!$B$32)/1000+'Inputs'!$B$21))^2+('Inputs'!$B$8/2)^2)))-'Results'!B7*(0.5*((((196-43)*MAX('Inputs'!$B$33,'Inputs'!$B$29+'Inputs'!$B$31+'Inputs'!$B$32,'Inputs'!$B$30+'Inputs'!$B$31+'Inputs'!$B$32)/1000+'Inputs'!$B$21+'Inputs'!$B$9+'Inputs'!$B$10)+'Inputs'!$B$7)/SQRT((((196-43)*MAX('Inputs'!$B$33,'Inputs'!$B$29+'Inputs'!$B$31+'Inputs'!$B$32,'Inputs'!$B$30+'Inputs'!$B$31+'Inputs'!$B$32)/1000+'Inputs'!$B$21+'Inputs'!$B$9+'Inputs'!$B$10)+'Inputs'!$B$7)^2+('Inputs'!$B$6/2)^2)-(((196-43)*MAX('Inputs'!$B$33,'Inputs'!$B$29+'Inputs'!$B$31+'Inputs'!$B$32,'Inputs'!$B$30+'Inputs'!$B$31+'Inputs'!$B$32)/1000+'Inputs'!$B$21+'Inputs'!$B$9+'Inputs'!$B$10))/SQRT((((196-43)*MAX('Inputs'!$B$33,'Inputs'!$B$29+'Inputs'!$B$31+'Inputs'!$B$32,'Inputs'!$B$30+'Inputs'!$B$31+'Inputs'!$B$32)/1000+'Inputs'!$B$21+'Inputs'!$B$9+'Inputs'!$B$10))^2+('Inputs'!$B$6/2)^2))))*'Results'!$B$8),"")</x:f>
        <x:v>142.2483145459579</x:v>
      </x:c>
      <x:c r="N196" t="n">
        <x:f>IF(AND(ISNUMBER('Results'!C7),ISNUMBER('Results'!B7),ISNUMBER('Results'!$B$8),ISNUMBER('Inputs'!$B$6),ISNUMBER('Inputs'!$B$7),ISNUMBER('Inputs'!$B$8),ISNUMBER('Inputs'!$B$9),ISNUMBER('Inputs'!$B$10),ISNUMBER('Inputs'!$B$21),ISNUMBER('Inputs'!$B$24),ISNUMBER('Inputs'!$B$28)),((('Results'!C7*(1-'Inputs'!$B$24)*(0.5*((((196-43)*MAX('Inputs'!$B$33,'Inputs'!$B$29+'Inputs'!$B$31+'Inputs'!$B$32,'Inputs'!$B$30+'Inputs'!$B$31+'Inputs'!$B$32)/1000+'Inputs'!$B$21)+'Inputs'!$B$9)/SQRT((((196-43)*MAX('Inputs'!$B$33,'Inputs'!$B$29+'Inputs'!$B$31+'Inputs'!$B$32,'Inputs'!$B$30+'Inputs'!$B$31+'Inputs'!$B$32)/1000+'Inputs'!$B$21)+'Inputs'!$B$9)^2+('Inputs'!$B$8/2)^2)-(((196-43)*MAX('Inputs'!$B$33,'Inputs'!$B$29+'Inputs'!$B$31+'Inputs'!$B$32,'Inputs'!$B$30+'Inputs'!$B$31+'Inputs'!$B$32)/1000+'Inputs'!$B$21))/SQRT((((196-43)*MAX('Inputs'!$B$33,'Inputs'!$B$29+'Inputs'!$B$31+'Inputs'!$B$32,'Inputs'!$B$30+'Inputs'!$B$31+'Inputs'!$B$32)/1000+'Inputs'!$B$21))^2+('Inputs'!$B$8/2)^2)))-'Results'!B7*(1+'Inputs'!$B$24)*(0.5*((((196-43)*MAX('Inputs'!$B$33,'Inputs'!$B$29+'Inputs'!$B$31+'Inputs'!$B$32,'Inputs'!$B$30+'Inputs'!$B$31+'Inputs'!$B$32)/1000+'Inputs'!$B$21+'Inputs'!$B$9+'Inputs'!$B$10)+'Inputs'!$B$7)/SQRT((((196-43)*MAX('Inputs'!$B$33,'Inputs'!$B$29+'Inputs'!$B$31+'Inputs'!$B$32,'Inputs'!$B$30+'Inputs'!$B$31+'Inputs'!$B$32)/1000+'Inputs'!$B$21+'Inputs'!$B$9+'Inputs'!$B$10)+'Inputs'!$B$7)^2+('Inputs'!$B$6/2)^2)-(((196-43)*MAX('Inputs'!$B$33,'Inputs'!$B$29+'Inputs'!$B$31+'Inputs'!$B$32,'Inputs'!$B$30+'Inputs'!$B$31+'Inputs'!$B$32)/1000+'Inputs'!$B$21+'Inputs'!$B$9+'Inputs'!$B$10))/SQRT((((196-43)*MAX('Inputs'!$B$33,'Inputs'!$B$29+'Inputs'!$B$31+'Inputs'!$B$32,'Inputs'!$B$30+'Inputs'!$B$31+'Inputs'!$B$32)/1000+'Inputs'!$B$21+'Inputs'!$B$9+'Inputs'!$B$10))^2+('Inputs'!$B$6/2)^2))))*'Results'!$B$8)-'Inputs'!$B$28*ABS((('Results'!C7*(1-'Inputs'!$B$24)*(0.5*((((196-43)*MAX('Inputs'!$B$33,'Inputs'!$B$29+'Inputs'!$B$31+'Inputs'!$B$32,'Inputs'!$B$30+'Inputs'!$B$31+'Inputs'!$B$32)/1000+'Inputs'!$B$21)+'Inputs'!$B$9)/SQRT((((196-43)*MAX('Inputs'!$B$33,'Inputs'!$B$29+'Inputs'!$B$31+'Inputs'!$B$32,'Inputs'!$B$30+'Inputs'!$B$31+'Inputs'!$B$32)/1000+'Inputs'!$B$21)+'Inputs'!$B$9)^2+('Inputs'!$B$8/2)^2)-(((196-43)*MAX('Inputs'!$B$33,'Inputs'!$B$29+'Inputs'!$B$31+'Inputs'!$B$32,'Inputs'!$B$30+'Inputs'!$B$31+'Inputs'!$B$32)/1000+'Inputs'!$B$21))/SQRT((((196-43)*MAX('Inputs'!$B$33,'Inputs'!$B$29+'Inputs'!$B$31+'Inputs'!$B$32,'Inputs'!$B$30+'Inputs'!$B$31+'Inputs'!$B$32)/1000+'Inputs'!$B$21))^2+('Inputs'!$B$8/2)^2)))-'Results'!B7*(1+'Inputs'!$B$24)*(0.5*((((196-43)*MAX('Inputs'!$B$33,'Inputs'!$B$29+'Inputs'!$B$31+'Inputs'!$B$32,'Inputs'!$B$30+'Inputs'!$B$31+'Inputs'!$B$32)/1000+'Inputs'!$B$21+'Inputs'!$B$9+'Inputs'!$B$10)+'Inputs'!$B$7)/SQRT((((196-43)*MAX('Inputs'!$B$33,'Inputs'!$B$29+'Inputs'!$B$31+'Inputs'!$B$32,'Inputs'!$B$30+'Inputs'!$B$31+'Inputs'!$B$32)/1000+'Inputs'!$B$21+'Inputs'!$B$9+'Inputs'!$B$10)+'Inputs'!$B$7)^2+('Inputs'!$B$6/2)^2)-(((196-43)*MAX('Inputs'!$B$33,'Inputs'!$B$29+'Inputs'!$B$31+'Inputs'!$B$32,'Inputs'!$B$30+'Inputs'!$B$31+'Inputs'!$B$32)/1000+'Inputs'!$B$21+'Inputs'!$B$9+'Inputs'!$B$10))/SQRT((((196-43)*MAX('Inputs'!$B$33,'Inputs'!$B$29+'Inputs'!$B$31+'Inputs'!$B$32,'Inputs'!$B$30+'Inputs'!$B$31+'Inputs'!$B$32)/1000+'Inputs'!$B$21+'Inputs'!$B$9+'Inputs'!$B$10))^2+('Inputs'!$B$6/2)^2))))*'Results'!$B$8))),"")</x:f>
        <x:v>130.51240410562778</x:v>
      </x:c>
      <x:c r="O196" t="n">
        <x:f>IF(AND(ISNUMBER('Results'!C7),ISNUMBER('Results'!B7),ISNUMBER('Results'!$B$8),ISNUMBER('Inputs'!$B$6),ISNUMBER('Inputs'!$B$7),ISNUMBER('Inputs'!$B$8),ISNUMBER('Inputs'!$B$9),ISNUMBER('Inputs'!$B$10),ISNUMBER('Inputs'!$B$21),ISNUMBER('Inputs'!$B$24),ISNUMBER('Inputs'!$B$28)),((('Results'!C7*(1+'Inputs'!$B$24)*(0.5*((((196-43)*MAX('Inputs'!$B$33,'Inputs'!$B$29+'Inputs'!$B$31+'Inputs'!$B$32,'Inputs'!$B$30+'Inputs'!$B$31+'Inputs'!$B$32)/1000+'Inputs'!$B$21)+'Inputs'!$B$9)/SQRT((((196-43)*MAX('Inputs'!$B$33,'Inputs'!$B$29+'Inputs'!$B$31+'Inputs'!$B$32,'Inputs'!$B$30+'Inputs'!$B$31+'Inputs'!$B$32)/1000+'Inputs'!$B$21)+'Inputs'!$B$9)^2+('Inputs'!$B$8/2)^2)-(((196-43)*MAX('Inputs'!$B$33,'Inputs'!$B$29+'Inputs'!$B$31+'Inputs'!$B$32,'Inputs'!$B$30+'Inputs'!$B$31+'Inputs'!$B$32)/1000+'Inputs'!$B$21))/SQRT((((196-43)*MAX('Inputs'!$B$33,'Inputs'!$B$29+'Inputs'!$B$31+'Inputs'!$B$32,'Inputs'!$B$30+'Inputs'!$B$31+'Inputs'!$B$32)/1000+'Inputs'!$B$21))^2+('Inputs'!$B$8/2)^2)))-'Results'!B7*(1-'Inputs'!$B$24)*(0.5*((((196-43)*MAX('Inputs'!$B$33,'Inputs'!$B$29+'Inputs'!$B$31+'Inputs'!$B$32,'Inputs'!$B$30+'Inputs'!$B$31+'Inputs'!$B$32)/1000+'Inputs'!$B$21+'Inputs'!$B$9+'Inputs'!$B$10)+'Inputs'!$B$7)/SQRT((((196-43)*MAX('Inputs'!$B$33,'Inputs'!$B$29+'Inputs'!$B$31+'Inputs'!$B$32,'Inputs'!$B$30+'Inputs'!$B$31+'Inputs'!$B$32)/1000+'Inputs'!$B$21+'Inputs'!$B$9+'Inputs'!$B$10)+'Inputs'!$B$7)^2+('Inputs'!$B$6/2)^2)-(((196-43)*MAX('Inputs'!$B$33,'Inputs'!$B$29+'Inputs'!$B$31+'Inputs'!$B$32,'Inputs'!$B$30+'Inputs'!$B$31+'Inputs'!$B$32)/1000+'Inputs'!$B$21+'Inputs'!$B$9+'Inputs'!$B$10))/SQRT((((196-43)*MAX('Inputs'!$B$33,'Inputs'!$B$29+'Inputs'!$B$31+'Inputs'!$B$32,'Inputs'!$B$30+'Inputs'!$B$31+'Inputs'!$B$32)/1000+'Inputs'!$B$21+'Inputs'!$B$9+'Inputs'!$B$10))^2+('Inputs'!$B$6/2)^2))))*'Results'!$B$8)+'Inputs'!$B$28*ABS((('Results'!C7*(1+'Inputs'!$B$24)*(0.5*((((196-43)*MAX('Inputs'!$B$33,'Inputs'!$B$29+'Inputs'!$B$31+'Inputs'!$B$32,'Inputs'!$B$30+'Inputs'!$B$31+'Inputs'!$B$32)/1000+'Inputs'!$B$21)+'Inputs'!$B$9)/SQRT((((196-43)*MAX('Inputs'!$B$33,'Inputs'!$B$29+'Inputs'!$B$31+'Inputs'!$B$32,'Inputs'!$B$30+'Inputs'!$B$31+'Inputs'!$B$32)/1000+'Inputs'!$B$21)+'Inputs'!$B$9)^2+('Inputs'!$B$8/2)^2)-(((196-43)*MAX('Inputs'!$B$33,'Inputs'!$B$29+'Inputs'!$B$31+'Inputs'!$B$32,'Inputs'!$B$30+'Inputs'!$B$31+'Inputs'!$B$32)/1000+'Inputs'!$B$21))/SQRT((((196-43)*MAX('Inputs'!$B$33,'Inputs'!$B$29+'Inputs'!$B$31+'Inputs'!$B$32,'Inputs'!$B$30+'Inputs'!$B$31+'Inputs'!$B$32)/1000+'Inputs'!$B$21))^2+('Inputs'!$B$8/2)^2)))-'Results'!B7*(1-'Inputs'!$B$24)*(0.5*((((196-43)*MAX('Inputs'!$B$33,'Inputs'!$B$29+'Inputs'!$B$31+'Inputs'!$B$32,'Inputs'!$B$30+'Inputs'!$B$31+'Inputs'!$B$32)/1000+'Inputs'!$B$21+'Inputs'!$B$9+'Inputs'!$B$10)+'Inputs'!$B$7)/SQRT((((196-43)*MAX('Inputs'!$B$33,'Inputs'!$B$29+'Inputs'!$B$31+'Inputs'!$B$32,'Inputs'!$B$30+'Inputs'!$B$31+'Inputs'!$B$32)/1000+'Inputs'!$B$21+'Inputs'!$B$9+'Inputs'!$B$10)+'Inputs'!$B$7)^2+('Inputs'!$B$6/2)^2)-(((196-43)*MAX('Inputs'!$B$33,'Inputs'!$B$29+'Inputs'!$B$31+'Inputs'!$B$32,'Inputs'!$B$30+'Inputs'!$B$31+'Inputs'!$B$32)/1000+'Inputs'!$B$21+'Inputs'!$B$9+'Inputs'!$B$10))/SQRT((((196-43)*MAX('Inputs'!$B$33,'Inputs'!$B$29+'Inputs'!$B$31+'Inputs'!$B$32,'Inputs'!$B$30+'Inputs'!$B$31+'Inputs'!$B$32)/1000+'Inputs'!$B$21+'Inputs'!$B$9+'Inputs'!$B$10))^2+('Inputs'!$B$6/2)^2))))*'Results'!$B$8))),"")</x:f>
        <x:v>154.47090864029138</x:v>
      </x:c>
      <x:c r="P196" t="n">
        <x:f>IF(AND(MAX(J196,J195)&gt;0,J196&gt;J195+0.00000001),1,0)</x:f>
        <x:v>0</x:v>
      </x:c>
      <x:c r="Q196" t="n">
        <x:f>IF(AND(MAX(K196,K195)&gt;0,K196&gt;K195+0.00000001),1,0)</x:f>
        <x:v>0</x:v>
      </x:c>
      <x:c r="R196" t="n">
        <x:f>IF(AND(MAX(L196,L195)&gt;0,L196&gt;L195+0.00000001),1,0)</x:f>
        <x:v>0</x:v>
      </x:c>
      <x:c r="S196" t="n">
        <x:f>IF(AND(MAX(M196,M195)&gt;0,M196&gt;M195+0.00000001),1,0)</x:f>
        <x:v>0</x:v>
      </x:c>
      <x:c r="T196" t="n">
        <x:f>IF(AND(MAX(N196,N195)&gt;0,N196&gt;N195+0.00000001),1,0)</x:f>
        <x:v>0</x:v>
      </x:c>
      <x:c r="U196" t="n">
        <x:f>IF(AND(MAX(O196,O195)&gt;0,O196&gt;O195+0.00000001),1,0)</x:f>
        <x:v>0</x:v>
      </x:c>
    </x:row>
    <x:row r="197">
      <x:c r="J197" t="n">
        <x:f>IF(AND(ISNUMBER('Results'!B7),ISNUMBER('Results'!C7),ISNUMBER('Results'!$B$8),ISNUMBER('Inputs'!$B$6),ISNUMBER('Inputs'!$B$7),ISNUMBER('Inputs'!$B$8),ISNUMBER('Inputs'!$B$9),ISNUMBER('Inputs'!$B$10),ISNUMBER('Inputs'!$B$21),ISNUMBER('Inputs'!$B$24),ISNUMBER('Inputs'!$B$28)),(('Results'!B7*(0.5*((((197-43)*MAX('Inputs'!$B$33,'Inputs'!$B$29+'Inputs'!$B$31+'Inputs'!$B$32,'Inputs'!$B$30+'Inputs'!$B$31+'Inputs'!$B$32)/1000+'Inputs'!$B$21)+'Inputs'!$B$7)/SQRT((((197-43)*MAX('Inputs'!$B$33,'Inputs'!$B$29+'Inputs'!$B$31+'Inputs'!$B$32,'Inputs'!$B$30+'Inputs'!$B$31+'Inputs'!$B$32)/1000+'Inputs'!$B$21)+'Inputs'!$B$7)^2+('Inputs'!$B$6/2)^2)-(((197-43)*MAX('Inputs'!$B$33,'Inputs'!$B$29+'Inputs'!$B$31+'Inputs'!$B$32,'Inputs'!$B$30+'Inputs'!$B$31+'Inputs'!$B$32)/1000+'Inputs'!$B$21))/SQRT((((197-43)*MAX('Inputs'!$B$33,'Inputs'!$B$29+'Inputs'!$B$31+'Inputs'!$B$32,'Inputs'!$B$30+'Inputs'!$B$31+'Inputs'!$B$32)/1000+'Inputs'!$B$21))^2+('Inputs'!$B$6/2)^2)))-'Results'!C7*(0.5*((((197-43)*MAX('Inputs'!$B$33,'Inputs'!$B$29+'Inputs'!$B$31+'Inputs'!$B$32,'Inputs'!$B$30+'Inputs'!$B$31+'Inputs'!$B$32)/1000+'Inputs'!$B$21+'Inputs'!$B$7+'Inputs'!$B$10)+'Inputs'!$B$9)/SQRT((((197-43)*MAX('Inputs'!$B$33,'Inputs'!$B$29+'Inputs'!$B$31+'Inputs'!$B$32,'Inputs'!$B$30+'Inputs'!$B$31+'Inputs'!$B$32)/1000+'Inputs'!$B$21+'Inputs'!$B$7+'Inputs'!$B$10)+'Inputs'!$B$9)^2+('Inputs'!$B$8/2)^2)-(((197-43)*MAX('Inputs'!$B$33,'Inputs'!$B$29+'Inputs'!$B$31+'Inputs'!$B$32,'Inputs'!$B$30+'Inputs'!$B$31+'Inputs'!$B$32)/1000+'Inputs'!$B$21+'Inputs'!$B$7+'Inputs'!$B$10))/SQRT((((197-43)*MAX('Inputs'!$B$33,'Inputs'!$B$29+'Inputs'!$B$31+'Inputs'!$B$32,'Inputs'!$B$30+'Inputs'!$B$31+'Inputs'!$B$32)/1000+'Inputs'!$B$21+'Inputs'!$B$7+'Inputs'!$B$10))^2+('Inputs'!$B$8/2)^2))))*'Results'!$B$8),"")</x:f>
        <x:v>144.85617523924273</x:v>
      </x:c>
      <x:c r="K197" t="n">
        <x:f>IF(AND(ISNUMBER('Results'!B7),ISNUMBER('Results'!C7),ISNUMBER('Results'!$B$8),ISNUMBER('Inputs'!$B$6),ISNUMBER('Inputs'!$B$7),ISNUMBER('Inputs'!$B$8),ISNUMBER('Inputs'!$B$9),ISNUMBER('Inputs'!$B$10),ISNUMBER('Inputs'!$B$21),ISNUMBER('Inputs'!$B$24),ISNUMBER('Inputs'!$B$28)),((('Results'!B7*(1-'Inputs'!$B$24)*(0.5*((((197-43)*MAX('Inputs'!$B$33,'Inputs'!$B$29+'Inputs'!$B$31+'Inputs'!$B$32,'Inputs'!$B$30+'Inputs'!$B$31+'Inputs'!$B$32)/1000+'Inputs'!$B$21)+'Inputs'!$B$7)/SQRT((((197-43)*MAX('Inputs'!$B$33,'Inputs'!$B$29+'Inputs'!$B$31+'Inputs'!$B$32,'Inputs'!$B$30+'Inputs'!$B$31+'Inputs'!$B$32)/1000+'Inputs'!$B$21)+'Inputs'!$B$7)^2+('Inputs'!$B$6/2)^2)-(((197-43)*MAX('Inputs'!$B$33,'Inputs'!$B$29+'Inputs'!$B$31+'Inputs'!$B$32,'Inputs'!$B$30+'Inputs'!$B$31+'Inputs'!$B$32)/1000+'Inputs'!$B$21))/SQRT((((197-43)*MAX('Inputs'!$B$33,'Inputs'!$B$29+'Inputs'!$B$31+'Inputs'!$B$32,'Inputs'!$B$30+'Inputs'!$B$31+'Inputs'!$B$32)/1000+'Inputs'!$B$21))^2+('Inputs'!$B$6/2)^2)))-'Results'!C7*(1+'Inputs'!$B$24)*(0.5*((((197-43)*MAX('Inputs'!$B$33,'Inputs'!$B$29+'Inputs'!$B$31+'Inputs'!$B$32,'Inputs'!$B$30+'Inputs'!$B$31+'Inputs'!$B$32)/1000+'Inputs'!$B$21+'Inputs'!$B$7+'Inputs'!$B$10)+'Inputs'!$B$9)/SQRT((((197-43)*MAX('Inputs'!$B$33,'Inputs'!$B$29+'Inputs'!$B$31+'Inputs'!$B$32,'Inputs'!$B$30+'Inputs'!$B$31+'Inputs'!$B$32)/1000+'Inputs'!$B$21+'Inputs'!$B$7+'Inputs'!$B$10)+'Inputs'!$B$9)^2+('Inputs'!$B$8/2)^2)-(((197-43)*MAX('Inputs'!$B$33,'Inputs'!$B$29+'Inputs'!$B$31+'Inputs'!$B$32,'Inputs'!$B$30+'Inputs'!$B$31+'Inputs'!$B$32)/1000+'Inputs'!$B$21+'Inputs'!$B$7+'Inputs'!$B$10))/SQRT((((197-43)*MAX('Inputs'!$B$33,'Inputs'!$B$29+'Inputs'!$B$31+'Inputs'!$B$32,'Inputs'!$B$30+'Inputs'!$B$31+'Inputs'!$B$32)/1000+'Inputs'!$B$21+'Inputs'!$B$7+'Inputs'!$B$10))^2+('Inputs'!$B$8/2)^2))))*'Results'!$B$8)-'Inputs'!$B$28*ABS((('Results'!B7*(1-'Inputs'!$B$24)*(0.5*((((197-43)*MAX('Inputs'!$B$33,'Inputs'!$B$29+'Inputs'!$B$31+'Inputs'!$B$32,'Inputs'!$B$30+'Inputs'!$B$31+'Inputs'!$B$32)/1000+'Inputs'!$B$21)+'Inputs'!$B$7)/SQRT((((197-43)*MAX('Inputs'!$B$33,'Inputs'!$B$29+'Inputs'!$B$31+'Inputs'!$B$32,'Inputs'!$B$30+'Inputs'!$B$31+'Inputs'!$B$32)/1000+'Inputs'!$B$21)+'Inputs'!$B$7)^2+('Inputs'!$B$6/2)^2)-(((197-43)*MAX('Inputs'!$B$33,'Inputs'!$B$29+'Inputs'!$B$31+'Inputs'!$B$32,'Inputs'!$B$30+'Inputs'!$B$31+'Inputs'!$B$32)/1000+'Inputs'!$B$21))/SQRT((((197-43)*MAX('Inputs'!$B$33,'Inputs'!$B$29+'Inputs'!$B$31+'Inputs'!$B$32,'Inputs'!$B$30+'Inputs'!$B$31+'Inputs'!$B$32)/1000+'Inputs'!$B$21))^2+('Inputs'!$B$6/2)^2)))-'Results'!C7*(1+'Inputs'!$B$24)*(0.5*((((197-43)*MAX('Inputs'!$B$33,'Inputs'!$B$29+'Inputs'!$B$31+'Inputs'!$B$32,'Inputs'!$B$30+'Inputs'!$B$31+'Inputs'!$B$32)/1000+'Inputs'!$B$21+'Inputs'!$B$7+'Inputs'!$B$10)+'Inputs'!$B$9)/SQRT((((197-43)*MAX('Inputs'!$B$33,'Inputs'!$B$29+'Inputs'!$B$31+'Inputs'!$B$32,'Inputs'!$B$30+'Inputs'!$B$31+'Inputs'!$B$32)/1000+'Inputs'!$B$21+'Inputs'!$B$7+'Inputs'!$B$10)+'Inputs'!$B$9)^2+('Inputs'!$B$8/2)^2)-(((197-43)*MAX('Inputs'!$B$33,'Inputs'!$B$29+'Inputs'!$B$31+'Inputs'!$B$32,'Inputs'!$B$30+'Inputs'!$B$31+'Inputs'!$B$32)/1000+'Inputs'!$B$21+'Inputs'!$B$7+'Inputs'!$B$10))/SQRT((((197-43)*MAX('Inputs'!$B$33,'Inputs'!$B$29+'Inputs'!$B$31+'Inputs'!$B$32,'Inputs'!$B$30+'Inputs'!$B$31+'Inputs'!$B$32)/1000+'Inputs'!$B$21+'Inputs'!$B$7+'Inputs'!$B$10))^2+('Inputs'!$B$8/2)^2))))*'Results'!$B$8))),"")</x:f>
        <x:v>132.99695964610999</x:v>
      </x:c>
      <x:c r="L197" t="n">
        <x:f>IF(AND(ISNUMBER('Results'!B7),ISNUMBER('Results'!C7),ISNUMBER('Results'!$B$8),ISNUMBER('Inputs'!$B$6),ISNUMBER('Inputs'!$B$7),ISNUMBER('Inputs'!$B$8),ISNUMBER('Inputs'!$B$9),ISNUMBER('Inputs'!$B$10),ISNUMBER('Inputs'!$B$21),ISNUMBER('Inputs'!$B$24),ISNUMBER('Inputs'!$B$28)),((('Results'!B7*(1+'Inputs'!$B$24)*(0.5*((((197-43)*MAX('Inputs'!$B$33,'Inputs'!$B$29+'Inputs'!$B$31+'Inputs'!$B$32,'Inputs'!$B$30+'Inputs'!$B$31+'Inputs'!$B$32)/1000+'Inputs'!$B$21)+'Inputs'!$B$7)/SQRT((((197-43)*MAX('Inputs'!$B$33,'Inputs'!$B$29+'Inputs'!$B$31+'Inputs'!$B$32,'Inputs'!$B$30+'Inputs'!$B$31+'Inputs'!$B$32)/1000+'Inputs'!$B$21)+'Inputs'!$B$7)^2+('Inputs'!$B$6/2)^2)-(((197-43)*MAX('Inputs'!$B$33,'Inputs'!$B$29+'Inputs'!$B$31+'Inputs'!$B$32,'Inputs'!$B$30+'Inputs'!$B$31+'Inputs'!$B$32)/1000+'Inputs'!$B$21))/SQRT((((197-43)*MAX('Inputs'!$B$33,'Inputs'!$B$29+'Inputs'!$B$31+'Inputs'!$B$32,'Inputs'!$B$30+'Inputs'!$B$31+'Inputs'!$B$32)/1000+'Inputs'!$B$21))^2+('Inputs'!$B$6/2)^2)))-'Results'!C7*(1-'Inputs'!$B$24)*(0.5*((((197-43)*MAX('Inputs'!$B$33,'Inputs'!$B$29+'Inputs'!$B$31+'Inputs'!$B$32,'Inputs'!$B$30+'Inputs'!$B$31+'Inputs'!$B$32)/1000+'Inputs'!$B$21+'Inputs'!$B$7+'Inputs'!$B$10)+'Inputs'!$B$9)/SQRT((((197-43)*MAX('Inputs'!$B$33,'Inputs'!$B$29+'Inputs'!$B$31+'Inputs'!$B$32,'Inputs'!$B$30+'Inputs'!$B$31+'Inputs'!$B$32)/1000+'Inputs'!$B$21+'Inputs'!$B$7+'Inputs'!$B$10)+'Inputs'!$B$9)^2+('Inputs'!$B$8/2)^2)-(((197-43)*MAX('Inputs'!$B$33,'Inputs'!$B$29+'Inputs'!$B$31+'Inputs'!$B$32,'Inputs'!$B$30+'Inputs'!$B$31+'Inputs'!$B$32)/1000+'Inputs'!$B$21+'Inputs'!$B$7+'Inputs'!$B$10))/SQRT((((197-43)*MAX('Inputs'!$B$33,'Inputs'!$B$29+'Inputs'!$B$31+'Inputs'!$B$32,'Inputs'!$B$30+'Inputs'!$B$31+'Inputs'!$B$32)/1000+'Inputs'!$B$21+'Inputs'!$B$7+'Inputs'!$B$10))^2+('Inputs'!$B$8/2)^2))))*'Results'!$B$8)+'Inputs'!$B$28*ABS((('Results'!B7*(1+'Inputs'!$B$24)*(0.5*((((197-43)*MAX('Inputs'!$B$33,'Inputs'!$B$29+'Inputs'!$B$31+'Inputs'!$B$32,'Inputs'!$B$30+'Inputs'!$B$31+'Inputs'!$B$32)/1000+'Inputs'!$B$21)+'Inputs'!$B$7)/SQRT((((197-43)*MAX('Inputs'!$B$33,'Inputs'!$B$29+'Inputs'!$B$31+'Inputs'!$B$32,'Inputs'!$B$30+'Inputs'!$B$31+'Inputs'!$B$32)/1000+'Inputs'!$B$21)+'Inputs'!$B$7)^2+('Inputs'!$B$6/2)^2)-(((197-43)*MAX('Inputs'!$B$33,'Inputs'!$B$29+'Inputs'!$B$31+'Inputs'!$B$32,'Inputs'!$B$30+'Inputs'!$B$31+'Inputs'!$B$32)/1000+'Inputs'!$B$21))/SQRT((((197-43)*MAX('Inputs'!$B$33,'Inputs'!$B$29+'Inputs'!$B$31+'Inputs'!$B$32,'Inputs'!$B$30+'Inputs'!$B$31+'Inputs'!$B$32)/1000+'Inputs'!$B$21))^2+('Inputs'!$B$6/2)^2)))-'Results'!C7*(1-'Inputs'!$B$24)*(0.5*((((197-43)*MAX('Inputs'!$B$33,'Inputs'!$B$29+'Inputs'!$B$31+'Inputs'!$B$32,'Inputs'!$B$30+'Inputs'!$B$31+'Inputs'!$B$32)/1000+'Inputs'!$B$21+'Inputs'!$B$7+'Inputs'!$B$10)+'Inputs'!$B$9)/SQRT((((197-43)*MAX('Inputs'!$B$33,'Inputs'!$B$29+'Inputs'!$B$31+'Inputs'!$B$32,'Inputs'!$B$30+'Inputs'!$B$31+'Inputs'!$B$32)/1000+'Inputs'!$B$21+'Inputs'!$B$7+'Inputs'!$B$10)+'Inputs'!$B$9)^2+('Inputs'!$B$8/2)^2)-(((197-43)*MAX('Inputs'!$B$33,'Inputs'!$B$29+'Inputs'!$B$31+'Inputs'!$B$32,'Inputs'!$B$30+'Inputs'!$B$31+'Inputs'!$B$32)/1000+'Inputs'!$B$21+'Inputs'!$B$7+'Inputs'!$B$10))/SQRT((((197-43)*MAX('Inputs'!$B$33,'Inputs'!$B$29+'Inputs'!$B$31+'Inputs'!$B$32,'Inputs'!$B$30+'Inputs'!$B$31+'Inputs'!$B$32)/1000+'Inputs'!$B$21+'Inputs'!$B$7+'Inputs'!$B$10))^2+('Inputs'!$B$8/2)^2))))*'Results'!$B$8))),"")</x:f>
        <x:v>157.2013283935513</x:v>
      </x:c>
      <x:c r="M197" t="n">
        <x:f>IF(AND(ISNUMBER('Results'!C7),ISNUMBER('Results'!B7),ISNUMBER('Results'!$B$8),ISNUMBER('Inputs'!$B$6),ISNUMBER('Inputs'!$B$7),ISNUMBER('Inputs'!$B$8),ISNUMBER('Inputs'!$B$9),ISNUMBER('Inputs'!$B$10),ISNUMBER('Inputs'!$B$21),ISNUMBER('Inputs'!$B$24),ISNUMBER('Inputs'!$B$28)),(('Results'!C7*(0.5*((((197-43)*MAX('Inputs'!$B$33,'Inputs'!$B$29+'Inputs'!$B$31+'Inputs'!$B$32,'Inputs'!$B$30+'Inputs'!$B$31+'Inputs'!$B$32)/1000+'Inputs'!$B$21)+'Inputs'!$B$9)/SQRT((((197-43)*MAX('Inputs'!$B$33,'Inputs'!$B$29+'Inputs'!$B$31+'Inputs'!$B$32,'Inputs'!$B$30+'Inputs'!$B$31+'Inputs'!$B$32)/1000+'Inputs'!$B$21)+'Inputs'!$B$9)^2+('Inputs'!$B$8/2)^2)-(((197-43)*MAX('Inputs'!$B$33,'Inputs'!$B$29+'Inputs'!$B$31+'Inputs'!$B$32,'Inputs'!$B$30+'Inputs'!$B$31+'Inputs'!$B$32)/1000+'Inputs'!$B$21))/SQRT((((197-43)*MAX('Inputs'!$B$33,'Inputs'!$B$29+'Inputs'!$B$31+'Inputs'!$B$32,'Inputs'!$B$30+'Inputs'!$B$31+'Inputs'!$B$32)/1000+'Inputs'!$B$21))^2+('Inputs'!$B$8/2)^2)))-'Results'!B7*(0.5*((((197-43)*MAX('Inputs'!$B$33,'Inputs'!$B$29+'Inputs'!$B$31+'Inputs'!$B$32,'Inputs'!$B$30+'Inputs'!$B$31+'Inputs'!$B$32)/1000+'Inputs'!$B$21+'Inputs'!$B$9+'Inputs'!$B$10)+'Inputs'!$B$7)/SQRT((((197-43)*MAX('Inputs'!$B$33,'Inputs'!$B$29+'Inputs'!$B$31+'Inputs'!$B$32,'Inputs'!$B$30+'Inputs'!$B$31+'Inputs'!$B$32)/1000+'Inputs'!$B$21+'Inputs'!$B$9+'Inputs'!$B$10)+'Inputs'!$B$7)^2+('Inputs'!$B$6/2)^2)-(((197-43)*MAX('Inputs'!$B$33,'Inputs'!$B$29+'Inputs'!$B$31+'Inputs'!$B$32,'Inputs'!$B$30+'Inputs'!$B$31+'Inputs'!$B$32)/1000+'Inputs'!$B$21+'Inputs'!$B$9+'Inputs'!$B$10))/SQRT((((197-43)*MAX('Inputs'!$B$33,'Inputs'!$B$29+'Inputs'!$B$31+'Inputs'!$B$32,'Inputs'!$B$30+'Inputs'!$B$31+'Inputs'!$B$32)/1000+'Inputs'!$B$21+'Inputs'!$B$9+'Inputs'!$B$10))^2+('Inputs'!$B$6/2)^2))))*'Results'!$B$8),"")</x:f>
        <x:v>139.9767766468008</x:v>
      </x:c>
      <x:c r="N197" t="n">
        <x:f>IF(AND(ISNUMBER('Results'!C7),ISNUMBER('Results'!B7),ISNUMBER('Results'!$B$8),ISNUMBER('Inputs'!$B$6),ISNUMBER('Inputs'!$B$7),ISNUMBER('Inputs'!$B$8),ISNUMBER('Inputs'!$B$9),ISNUMBER('Inputs'!$B$10),ISNUMBER('Inputs'!$B$21),ISNUMBER('Inputs'!$B$24),ISNUMBER('Inputs'!$B$28)),((('Results'!C7*(1-'Inputs'!$B$24)*(0.5*((((197-43)*MAX('Inputs'!$B$33,'Inputs'!$B$29+'Inputs'!$B$31+'Inputs'!$B$32,'Inputs'!$B$30+'Inputs'!$B$31+'Inputs'!$B$32)/1000+'Inputs'!$B$21)+'Inputs'!$B$9)/SQRT((((197-43)*MAX('Inputs'!$B$33,'Inputs'!$B$29+'Inputs'!$B$31+'Inputs'!$B$32,'Inputs'!$B$30+'Inputs'!$B$31+'Inputs'!$B$32)/1000+'Inputs'!$B$21)+'Inputs'!$B$9)^2+('Inputs'!$B$8/2)^2)-(((197-43)*MAX('Inputs'!$B$33,'Inputs'!$B$29+'Inputs'!$B$31+'Inputs'!$B$32,'Inputs'!$B$30+'Inputs'!$B$31+'Inputs'!$B$32)/1000+'Inputs'!$B$21))/SQRT((((197-43)*MAX('Inputs'!$B$33,'Inputs'!$B$29+'Inputs'!$B$31+'Inputs'!$B$32,'Inputs'!$B$30+'Inputs'!$B$31+'Inputs'!$B$32)/1000+'Inputs'!$B$21))^2+('Inputs'!$B$8/2)^2)))-'Results'!B7*(1+'Inputs'!$B$24)*(0.5*((((197-43)*MAX('Inputs'!$B$33,'Inputs'!$B$29+'Inputs'!$B$31+'Inputs'!$B$32,'Inputs'!$B$30+'Inputs'!$B$31+'Inputs'!$B$32)/1000+'Inputs'!$B$21+'Inputs'!$B$9+'Inputs'!$B$10)+'Inputs'!$B$7)/SQRT((((197-43)*MAX('Inputs'!$B$33,'Inputs'!$B$29+'Inputs'!$B$31+'Inputs'!$B$32,'Inputs'!$B$30+'Inputs'!$B$31+'Inputs'!$B$32)/1000+'Inputs'!$B$21+'Inputs'!$B$9+'Inputs'!$B$10)+'Inputs'!$B$7)^2+('Inputs'!$B$6/2)^2)-(((197-43)*MAX('Inputs'!$B$33,'Inputs'!$B$29+'Inputs'!$B$31+'Inputs'!$B$32,'Inputs'!$B$30+'Inputs'!$B$31+'Inputs'!$B$32)/1000+'Inputs'!$B$21+'Inputs'!$B$9+'Inputs'!$B$10))/SQRT((((197-43)*MAX('Inputs'!$B$33,'Inputs'!$B$29+'Inputs'!$B$31+'Inputs'!$B$32,'Inputs'!$B$30+'Inputs'!$B$31+'Inputs'!$B$32)/1000+'Inputs'!$B$21+'Inputs'!$B$9+'Inputs'!$B$10))^2+('Inputs'!$B$6/2)^2))))*'Results'!$B$8)-'Inputs'!$B$28*ABS((('Results'!C7*(1-'Inputs'!$B$24)*(0.5*((((197-43)*MAX('Inputs'!$B$33,'Inputs'!$B$29+'Inputs'!$B$31+'Inputs'!$B$32,'Inputs'!$B$30+'Inputs'!$B$31+'Inputs'!$B$32)/1000+'Inputs'!$B$21)+'Inputs'!$B$9)/SQRT((((197-43)*MAX('Inputs'!$B$33,'Inputs'!$B$29+'Inputs'!$B$31+'Inputs'!$B$32,'Inputs'!$B$30+'Inputs'!$B$31+'Inputs'!$B$32)/1000+'Inputs'!$B$21)+'Inputs'!$B$9)^2+('Inputs'!$B$8/2)^2)-(((197-43)*MAX('Inputs'!$B$33,'Inputs'!$B$29+'Inputs'!$B$31+'Inputs'!$B$32,'Inputs'!$B$30+'Inputs'!$B$31+'Inputs'!$B$32)/1000+'Inputs'!$B$21))/SQRT((((197-43)*MAX('Inputs'!$B$33,'Inputs'!$B$29+'Inputs'!$B$31+'Inputs'!$B$32,'Inputs'!$B$30+'Inputs'!$B$31+'Inputs'!$B$32)/1000+'Inputs'!$B$21))^2+('Inputs'!$B$8/2)^2)))-'Results'!B7*(1+'Inputs'!$B$24)*(0.5*((((197-43)*MAX('Inputs'!$B$33,'Inputs'!$B$29+'Inputs'!$B$31+'Inputs'!$B$32,'Inputs'!$B$30+'Inputs'!$B$31+'Inputs'!$B$32)/1000+'Inputs'!$B$21+'Inputs'!$B$9+'Inputs'!$B$10)+'Inputs'!$B$7)/SQRT((((197-43)*MAX('Inputs'!$B$33,'Inputs'!$B$29+'Inputs'!$B$31+'Inputs'!$B$32,'Inputs'!$B$30+'Inputs'!$B$31+'Inputs'!$B$32)/1000+'Inputs'!$B$21+'Inputs'!$B$9+'Inputs'!$B$10)+'Inputs'!$B$7)^2+('Inputs'!$B$6/2)^2)-(((197-43)*MAX('Inputs'!$B$33,'Inputs'!$B$29+'Inputs'!$B$31+'Inputs'!$B$32,'Inputs'!$B$30+'Inputs'!$B$31+'Inputs'!$B$32)/1000+'Inputs'!$B$21+'Inputs'!$B$9+'Inputs'!$B$10))/SQRT((((197-43)*MAX('Inputs'!$B$33,'Inputs'!$B$29+'Inputs'!$B$31+'Inputs'!$B$32,'Inputs'!$B$30+'Inputs'!$B$31+'Inputs'!$B$32)/1000+'Inputs'!$B$21+'Inputs'!$B$9+'Inputs'!$B$10))^2+('Inputs'!$B$6/2)^2))))*'Results'!$B$8))),"")</x:f>
        <x:v>128.41619589324807</x:v>
      </x:c>
      <x:c r="O197" t="n">
        <x:f>IF(AND(ISNUMBER('Results'!C7),ISNUMBER('Results'!B7),ISNUMBER('Results'!$B$8),ISNUMBER('Inputs'!$B$6),ISNUMBER('Inputs'!$B$7),ISNUMBER('Inputs'!$B$8),ISNUMBER('Inputs'!$B$9),ISNUMBER('Inputs'!$B$10),ISNUMBER('Inputs'!$B$21),ISNUMBER('Inputs'!$B$24),ISNUMBER('Inputs'!$B$28)),((('Results'!C7*(1+'Inputs'!$B$24)*(0.5*((((197-43)*MAX('Inputs'!$B$33,'Inputs'!$B$29+'Inputs'!$B$31+'Inputs'!$B$32,'Inputs'!$B$30+'Inputs'!$B$31+'Inputs'!$B$32)/1000+'Inputs'!$B$21)+'Inputs'!$B$9)/SQRT((((197-43)*MAX('Inputs'!$B$33,'Inputs'!$B$29+'Inputs'!$B$31+'Inputs'!$B$32,'Inputs'!$B$30+'Inputs'!$B$31+'Inputs'!$B$32)/1000+'Inputs'!$B$21)+'Inputs'!$B$9)^2+('Inputs'!$B$8/2)^2)-(((197-43)*MAX('Inputs'!$B$33,'Inputs'!$B$29+'Inputs'!$B$31+'Inputs'!$B$32,'Inputs'!$B$30+'Inputs'!$B$31+'Inputs'!$B$32)/1000+'Inputs'!$B$21))/SQRT((((197-43)*MAX('Inputs'!$B$33,'Inputs'!$B$29+'Inputs'!$B$31+'Inputs'!$B$32,'Inputs'!$B$30+'Inputs'!$B$31+'Inputs'!$B$32)/1000+'Inputs'!$B$21))^2+('Inputs'!$B$8/2)^2)))-'Results'!B7*(1-'Inputs'!$B$24)*(0.5*((((197-43)*MAX('Inputs'!$B$33,'Inputs'!$B$29+'Inputs'!$B$31+'Inputs'!$B$32,'Inputs'!$B$30+'Inputs'!$B$31+'Inputs'!$B$32)/1000+'Inputs'!$B$21+'Inputs'!$B$9+'Inputs'!$B$10)+'Inputs'!$B$7)/SQRT((((197-43)*MAX('Inputs'!$B$33,'Inputs'!$B$29+'Inputs'!$B$31+'Inputs'!$B$32,'Inputs'!$B$30+'Inputs'!$B$31+'Inputs'!$B$32)/1000+'Inputs'!$B$21+'Inputs'!$B$9+'Inputs'!$B$10)+'Inputs'!$B$7)^2+('Inputs'!$B$6/2)^2)-(((197-43)*MAX('Inputs'!$B$33,'Inputs'!$B$29+'Inputs'!$B$31+'Inputs'!$B$32,'Inputs'!$B$30+'Inputs'!$B$31+'Inputs'!$B$32)/1000+'Inputs'!$B$21+'Inputs'!$B$9+'Inputs'!$B$10))/SQRT((((197-43)*MAX('Inputs'!$B$33,'Inputs'!$B$29+'Inputs'!$B$31+'Inputs'!$B$32,'Inputs'!$B$30+'Inputs'!$B$31+'Inputs'!$B$32)/1000+'Inputs'!$B$21+'Inputs'!$B$9+'Inputs'!$B$10))^2+('Inputs'!$B$6/2)^2))))*'Results'!$B$8)+'Inputs'!$B$28*ABS((('Results'!C7*(1+'Inputs'!$B$24)*(0.5*((((197-43)*MAX('Inputs'!$B$33,'Inputs'!$B$29+'Inputs'!$B$31+'Inputs'!$B$32,'Inputs'!$B$30+'Inputs'!$B$31+'Inputs'!$B$32)/1000+'Inputs'!$B$21)+'Inputs'!$B$9)/SQRT((((197-43)*MAX('Inputs'!$B$33,'Inputs'!$B$29+'Inputs'!$B$31+'Inputs'!$B$32,'Inputs'!$B$30+'Inputs'!$B$31+'Inputs'!$B$32)/1000+'Inputs'!$B$21)+'Inputs'!$B$9)^2+('Inputs'!$B$8/2)^2)-(((197-43)*MAX('Inputs'!$B$33,'Inputs'!$B$29+'Inputs'!$B$31+'Inputs'!$B$32,'Inputs'!$B$30+'Inputs'!$B$31+'Inputs'!$B$32)/1000+'Inputs'!$B$21))/SQRT((((197-43)*MAX('Inputs'!$B$33,'Inputs'!$B$29+'Inputs'!$B$31+'Inputs'!$B$32,'Inputs'!$B$30+'Inputs'!$B$31+'Inputs'!$B$32)/1000+'Inputs'!$B$21))^2+('Inputs'!$B$8/2)^2)))-'Results'!B7*(1-'Inputs'!$B$24)*(0.5*((((197-43)*MAX('Inputs'!$B$33,'Inputs'!$B$29+'Inputs'!$B$31+'Inputs'!$B$32,'Inputs'!$B$30+'Inputs'!$B$31+'Inputs'!$B$32)/1000+'Inputs'!$B$21+'Inputs'!$B$9+'Inputs'!$B$10)+'Inputs'!$B$7)/SQRT((((197-43)*MAX('Inputs'!$B$33,'Inputs'!$B$29+'Inputs'!$B$31+'Inputs'!$B$32,'Inputs'!$B$30+'Inputs'!$B$31+'Inputs'!$B$32)/1000+'Inputs'!$B$21+'Inputs'!$B$9+'Inputs'!$B$10)+'Inputs'!$B$7)^2+('Inputs'!$B$6/2)^2)-(((197-43)*MAX('Inputs'!$B$33,'Inputs'!$B$29+'Inputs'!$B$31+'Inputs'!$B$32,'Inputs'!$B$30+'Inputs'!$B$31+'Inputs'!$B$32)/1000+'Inputs'!$B$21+'Inputs'!$B$9+'Inputs'!$B$10))/SQRT((((197-43)*MAX('Inputs'!$B$33,'Inputs'!$B$29+'Inputs'!$B$31+'Inputs'!$B$32,'Inputs'!$B$30+'Inputs'!$B$31+'Inputs'!$B$32)/1000+'Inputs'!$B$21+'Inputs'!$B$9+'Inputs'!$B$10))^2+('Inputs'!$B$6/2)^2))))*'Results'!$B$8))),"")</x:f>
        <x:v>152.01754076048118</x:v>
      </x:c>
      <x:c r="P197" t="n">
        <x:f>IF(AND(MAX(J197,J196)&gt;0,J197&gt;J196+0.00000001),1,0)</x:f>
        <x:v>0</x:v>
      </x:c>
      <x:c r="Q197" t="n">
        <x:f>IF(AND(MAX(K197,K196)&gt;0,K197&gt;K196+0.00000001),1,0)</x:f>
        <x:v>0</x:v>
      </x:c>
      <x:c r="R197" t="n">
        <x:f>IF(AND(MAX(L197,L196)&gt;0,L197&gt;L196+0.00000001),1,0)</x:f>
        <x:v>0</x:v>
      </x:c>
      <x:c r="S197" t="n">
        <x:f>IF(AND(MAX(M197,M196)&gt;0,M197&gt;M196+0.00000001),1,0)</x:f>
        <x:v>0</x:v>
      </x:c>
      <x:c r="T197" t="n">
        <x:f>IF(AND(MAX(N197,N196)&gt;0,N197&gt;N196+0.00000001),1,0)</x:f>
        <x:v>0</x:v>
      </x:c>
      <x:c r="U197" t="n">
        <x:f>IF(AND(MAX(O197,O196)&gt;0,O197&gt;O196+0.00000001),1,0)</x:f>
        <x:v>0</x:v>
      </x:c>
    </x:row>
    <x:row r="198">
      <x:c r="J198" t="n">
        <x:f>IF(AND(ISNUMBER('Results'!B7),ISNUMBER('Results'!C7),ISNUMBER('Results'!$B$8),ISNUMBER('Inputs'!$B$6),ISNUMBER('Inputs'!$B$7),ISNUMBER('Inputs'!$B$8),ISNUMBER('Inputs'!$B$9),ISNUMBER('Inputs'!$B$10),ISNUMBER('Inputs'!$B$21),ISNUMBER('Inputs'!$B$24),ISNUMBER('Inputs'!$B$28)),(('Results'!B7*(0.5*((((198-43)*MAX('Inputs'!$B$33,'Inputs'!$B$29+'Inputs'!$B$31+'Inputs'!$B$32,'Inputs'!$B$30+'Inputs'!$B$31+'Inputs'!$B$32)/1000+'Inputs'!$B$21)+'Inputs'!$B$7)/SQRT((((198-43)*MAX('Inputs'!$B$33,'Inputs'!$B$29+'Inputs'!$B$31+'Inputs'!$B$32,'Inputs'!$B$30+'Inputs'!$B$31+'Inputs'!$B$32)/1000+'Inputs'!$B$21)+'Inputs'!$B$7)^2+('Inputs'!$B$6/2)^2)-(((198-43)*MAX('Inputs'!$B$33,'Inputs'!$B$29+'Inputs'!$B$31+'Inputs'!$B$32,'Inputs'!$B$30+'Inputs'!$B$31+'Inputs'!$B$32)/1000+'Inputs'!$B$21))/SQRT((((198-43)*MAX('Inputs'!$B$33,'Inputs'!$B$29+'Inputs'!$B$31+'Inputs'!$B$32,'Inputs'!$B$30+'Inputs'!$B$31+'Inputs'!$B$32)/1000+'Inputs'!$B$21))^2+('Inputs'!$B$6/2)^2)))-'Results'!C7*(0.5*((((198-43)*MAX('Inputs'!$B$33,'Inputs'!$B$29+'Inputs'!$B$31+'Inputs'!$B$32,'Inputs'!$B$30+'Inputs'!$B$31+'Inputs'!$B$32)/1000+'Inputs'!$B$21+'Inputs'!$B$7+'Inputs'!$B$10)+'Inputs'!$B$9)/SQRT((((198-43)*MAX('Inputs'!$B$33,'Inputs'!$B$29+'Inputs'!$B$31+'Inputs'!$B$32,'Inputs'!$B$30+'Inputs'!$B$31+'Inputs'!$B$32)/1000+'Inputs'!$B$21+'Inputs'!$B$7+'Inputs'!$B$10)+'Inputs'!$B$9)^2+('Inputs'!$B$8/2)^2)-(((198-43)*MAX('Inputs'!$B$33,'Inputs'!$B$29+'Inputs'!$B$31+'Inputs'!$B$32,'Inputs'!$B$30+'Inputs'!$B$31+'Inputs'!$B$32)/1000+'Inputs'!$B$21+'Inputs'!$B$7+'Inputs'!$B$10))/SQRT((((198-43)*MAX('Inputs'!$B$33,'Inputs'!$B$29+'Inputs'!$B$31+'Inputs'!$B$32,'Inputs'!$B$30+'Inputs'!$B$31+'Inputs'!$B$32)/1000+'Inputs'!$B$21+'Inputs'!$B$7+'Inputs'!$B$10))^2+('Inputs'!$B$8/2)^2))))*'Results'!$B$8),"")</x:f>
        <x:v>142.56320533434499</x:v>
      </x:c>
      <x:c r="K198" t="n">
        <x:f>IF(AND(ISNUMBER('Results'!B7),ISNUMBER('Results'!C7),ISNUMBER('Results'!$B$8),ISNUMBER('Inputs'!$B$6),ISNUMBER('Inputs'!$B$7),ISNUMBER('Inputs'!$B$8),ISNUMBER('Inputs'!$B$9),ISNUMBER('Inputs'!$B$10),ISNUMBER('Inputs'!$B$21),ISNUMBER('Inputs'!$B$24),ISNUMBER('Inputs'!$B$28)),((('Results'!B7*(1-'Inputs'!$B$24)*(0.5*((((198-43)*MAX('Inputs'!$B$33,'Inputs'!$B$29+'Inputs'!$B$31+'Inputs'!$B$32,'Inputs'!$B$30+'Inputs'!$B$31+'Inputs'!$B$32)/1000+'Inputs'!$B$21)+'Inputs'!$B$7)/SQRT((((198-43)*MAX('Inputs'!$B$33,'Inputs'!$B$29+'Inputs'!$B$31+'Inputs'!$B$32,'Inputs'!$B$30+'Inputs'!$B$31+'Inputs'!$B$32)/1000+'Inputs'!$B$21)+'Inputs'!$B$7)^2+('Inputs'!$B$6/2)^2)-(((198-43)*MAX('Inputs'!$B$33,'Inputs'!$B$29+'Inputs'!$B$31+'Inputs'!$B$32,'Inputs'!$B$30+'Inputs'!$B$31+'Inputs'!$B$32)/1000+'Inputs'!$B$21))/SQRT((((198-43)*MAX('Inputs'!$B$33,'Inputs'!$B$29+'Inputs'!$B$31+'Inputs'!$B$32,'Inputs'!$B$30+'Inputs'!$B$31+'Inputs'!$B$32)/1000+'Inputs'!$B$21))^2+('Inputs'!$B$6/2)^2)))-'Results'!C7*(1+'Inputs'!$B$24)*(0.5*((((198-43)*MAX('Inputs'!$B$33,'Inputs'!$B$29+'Inputs'!$B$31+'Inputs'!$B$32,'Inputs'!$B$30+'Inputs'!$B$31+'Inputs'!$B$32)/1000+'Inputs'!$B$21+'Inputs'!$B$7+'Inputs'!$B$10)+'Inputs'!$B$9)/SQRT((((198-43)*MAX('Inputs'!$B$33,'Inputs'!$B$29+'Inputs'!$B$31+'Inputs'!$B$32,'Inputs'!$B$30+'Inputs'!$B$31+'Inputs'!$B$32)/1000+'Inputs'!$B$21+'Inputs'!$B$7+'Inputs'!$B$10)+'Inputs'!$B$9)^2+('Inputs'!$B$8/2)^2)-(((198-43)*MAX('Inputs'!$B$33,'Inputs'!$B$29+'Inputs'!$B$31+'Inputs'!$B$32,'Inputs'!$B$30+'Inputs'!$B$31+'Inputs'!$B$32)/1000+'Inputs'!$B$21+'Inputs'!$B$7+'Inputs'!$B$10))/SQRT((((198-43)*MAX('Inputs'!$B$33,'Inputs'!$B$29+'Inputs'!$B$31+'Inputs'!$B$32,'Inputs'!$B$30+'Inputs'!$B$31+'Inputs'!$B$32)/1000+'Inputs'!$B$21+'Inputs'!$B$7+'Inputs'!$B$10))^2+('Inputs'!$B$8/2)^2))))*'Results'!$B$8)-'Inputs'!$B$28*ABS((('Results'!B7*(1-'Inputs'!$B$24)*(0.5*((((198-43)*MAX('Inputs'!$B$33,'Inputs'!$B$29+'Inputs'!$B$31+'Inputs'!$B$32,'Inputs'!$B$30+'Inputs'!$B$31+'Inputs'!$B$32)/1000+'Inputs'!$B$21)+'Inputs'!$B$7)/SQRT((((198-43)*MAX('Inputs'!$B$33,'Inputs'!$B$29+'Inputs'!$B$31+'Inputs'!$B$32,'Inputs'!$B$30+'Inputs'!$B$31+'Inputs'!$B$32)/1000+'Inputs'!$B$21)+'Inputs'!$B$7)^2+('Inputs'!$B$6/2)^2)-(((198-43)*MAX('Inputs'!$B$33,'Inputs'!$B$29+'Inputs'!$B$31+'Inputs'!$B$32,'Inputs'!$B$30+'Inputs'!$B$31+'Inputs'!$B$32)/1000+'Inputs'!$B$21))/SQRT((((198-43)*MAX('Inputs'!$B$33,'Inputs'!$B$29+'Inputs'!$B$31+'Inputs'!$B$32,'Inputs'!$B$30+'Inputs'!$B$31+'Inputs'!$B$32)/1000+'Inputs'!$B$21))^2+('Inputs'!$B$6/2)^2)))-'Results'!C7*(1+'Inputs'!$B$24)*(0.5*((((198-43)*MAX('Inputs'!$B$33,'Inputs'!$B$29+'Inputs'!$B$31+'Inputs'!$B$32,'Inputs'!$B$30+'Inputs'!$B$31+'Inputs'!$B$32)/1000+'Inputs'!$B$21+'Inputs'!$B$7+'Inputs'!$B$10)+'Inputs'!$B$9)/SQRT((((198-43)*MAX('Inputs'!$B$33,'Inputs'!$B$29+'Inputs'!$B$31+'Inputs'!$B$32,'Inputs'!$B$30+'Inputs'!$B$31+'Inputs'!$B$32)/1000+'Inputs'!$B$21+'Inputs'!$B$7+'Inputs'!$B$10)+'Inputs'!$B$9)^2+('Inputs'!$B$8/2)^2)-(((198-43)*MAX('Inputs'!$B$33,'Inputs'!$B$29+'Inputs'!$B$31+'Inputs'!$B$32,'Inputs'!$B$30+'Inputs'!$B$31+'Inputs'!$B$32)/1000+'Inputs'!$B$21+'Inputs'!$B$7+'Inputs'!$B$10))/SQRT((((198-43)*MAX('Inputs'!$B$33,'Inputs'!$B$29+'Inputs'!$B$31+'Inputs'!$B$32,'Inputs'!$B$30+'Inputs'!$B$31+'Inputs'!$B$32)/1000+'Inputs'!$B$21+'Inputs'!$B$7+'Inputs'!$B$10))^2+('Inputs'!$B$8/2)^2))))*'Results'!$B$8))),"")</x:f>
        <x:v>130.88019613497914</x:v>
      </x:c>
      <x:c r="L198" t="n">
        <x:f>IF(AND(ISNUMBER('Results'!B7),ISNUMBER('Results'!C7),ISNUMBER('Results'!$B$8),ISNUMBER('Inputs'!$B$6),ISNUMBER('Inputs'!$B$7),ISNUMBER('Inputs'!$B$8),ISNUMBER('Inputs'!$B$9),ISNUMBER('Inputs'!$B$10),ISNUMBER('Inputs'!$B$21),ISNUMBER('Inputs'!$B$24),ISNUMBER('Inputs'!$B$28)),((('Results'!B7*(1+'Inputs'!$B$24)*(0.5*((((198-43)*MAX('Inputs'!$B$33,'Inputs'!$B$29+'Inputs'!$B$31+'Inputs'!$B$32,'Inputs'!$B$30+'Inputs'!$B$31+'Inputs'!$B$32)/1000+'Inputs'!$B$21)+'Inputs'!$B$7)/SQRT((((198-43)*MAX('Inputs'!$B$33,'Inputs'!$B$29+'Inputs'!$B$31+'Inputs'!$B$32,'Inputs'!$B$30+'Inputs'!$B$31+'Inputs'!$B$32)/1000+'Inputs'!$B$21)+'Inputs'!$B$7)^2+('Inputs'!$B$6/2)^2)-(((198-43)*MAX('Inputs'!$B$33,'Inputs'!$B$29+'Inputs'!$B$31+'Inputs'!$B$32,'Inputs'!$B$30+'Inputs'!$B$31+'Inputs'!$B$32)/1000+'Inputs'!$B$21))/SQRT((((198-43)*MAX('Inputs'!$B$33,'Inputs'!$B$29+'Inputs'!$B$31+'Inputs'!$B$32,'Inputs'!$B$30+'Inputs'!$B$31+'Inputs'!$B$32)/1000+'Inputs'!$B$21))^2+('Inputs'!$B$6/2)^2)))-'Results'!C7*(1-'Inputs'!$B$24)*(0.5*((((198-43)*MAX('Inputs'!$B$33,'Inputs'!$B$29+'Inputs'!$B$31+'Inputs'!$B$32,'Inputs'!$B$30+'Inputs'!$B$31+'Inputs'!$B$32)/1000+'Inputs'!$B$21+'Inputs'!$B$7+'Inputs'!$B$10)+'Inputs'!$B$9)/SQRT((((198-43)*MAX('Inputs'!$B$33,'Inputs'!$B$29+'Inputs'!$B$31+'Inputs'!$B$32,'Inputs'!$B$30+'Inputs'!$B$31+'Inputs'!$B$32)/1000+'Inputs'!$B$21+'Inputs'!$B$7+'Inputs'!$B$10)+'Inputs'!$B$9)^2+('Inputs'!$B$8/2)^2)-(((198-43)*MAX('Inputs'!$B$33,'Inputs'!$B$29+'Inputs'!$B$31+'Inputs'!$B$32,'Inputs'!$B$30+'Inputs'!$B$31+'Inputs'!$B$32)/1000+'Inputs'!$B$21+'Inputs'!$B$7+'Inputs'!$B$10))/SQRT((((198-43)*MAX('Inputs'!$B$33,'Inputs'!$B$29+'Inputs'!$B$31+'Inputs'!$B$32,'Inputs'!$B$30+'Inputs'!$B$31+'Inputs'!$B$32)/1000+'Inputs'!$B$21+'Inputs'!$B$7+'Inputs'!$B$10))^2+('Inputs'!$B$8/2)^2))))*'Results'!$B$8)+'Inputs'!$B$28*ABS((('Results'!B7*(1+'Inputs'!$B$24)*(0.5*((((198-43)*MAX('Inputs'!$B$33,'Inputs'!$B$29+'Inputs'!$B$31+'Inputs'!$B$32,'Inputs'!$B$30+'Inputs'!$B$31+'Inputs'!$B$32)/1000+'Inputs'!$B$21)+'Inputs'!$B$7)/SQRT((((198-43)*MAX('Inputs'!$B$33,'Inputs'!$B$29+'Inputs'!$B$31+'Inputs'!$B$32,'Inputs'!$B$30+'Inputs'!$B$31+'Inputs'!$B$32)/1000+'Inputs'!$B$21)+'Inputs'!$B$7)^2+('Inputs'!$B$6/2)^2)-(((198-43)*MAX('Inputs'!$B$33,'Inputs'!$B$29+'Inputs'!$B$31+'Inputs'!$B$32,'Inputs'!$B$30+'Inputs'!$B$31+'Inputs'!$B$32)/1000+'Inputs'!$B$21))/SQRT((((198-43)*MAX('Inputs'!$B$33,'Inputs'!$B$29+'Inputs'!$B$31+'Inputs'!$B$32,'Inputs'!$B$30+'Inputs'!$B$31+'Inputs'!$B$32)/1000+'Inputs'!$B$21))^2+('Inputs'!$B$6/2)^2)))-'Results'!C7*(1-'Inputs'!$B$24)*(0.5*((((198-43)*MAX('Inputs'!$B$33,'Inputs'!$B$29+'Inputs'!$B$31+'Inputs'!$B$32,'Inputs'!$B$30+'Inputs'!$B$31+'Inputs'!$B$32)/1000+'Inputs'!$B$21+'Inputs'!$B$7+'Inputs'!$B$10)+'Inputs'!$B$9)/SQRT((((198-43)*MAX('Inputs'!$B$33,'Inputs'!$B$29+'Inputs'!$B$31+'Inputs'!$B$32,'Inputs'!$B$30+'Inputs'!$B$31+'Inputs'!$B$32)/1000+'Inputs'!$B$21+'Inputs'!$B$7+'Inputs'!$B$10)+'Inputs'!$B$9)^2+('Inputs'!$B$8/2)^2)-(((198-43)*MAX('Inputs'!$B$33,'Inputs'!$B$29+'Inputs'!$B$31+'Inputs'!$B$32,'Inputs'!$B$30+'Inputs'!$B$31+'Inputs'!$B$32)/1000+'Inputs'!$B$21+'Inputs'!$B$7+'Inputs'!$B$10))/SQRT((((198-43)*MAX('Inputs'!$B$33,'Inputs'!$B$29+'Inputs'!$B$31+'Inputs'!$B$32,'Inputs'!$B$30+'Inputs'!$B$31+'Inputs'!$B$32)/1000+'Inputs'!$B$21+'Inputs'!$B$7+'Inputs'!$B$10))^2+('Inputs'!$B$8/2)^2))))*'Results'!$B$8))),"")</x:f>
        <x:v>154.7256723160949</x:v>
      </x:c>
      <x:c r="M198" t="n">
        <x:f>IF(AND(ISNUMBER('Results'!C7),ISNUMBER('Results'!B7),ISNUMBER('Results'!$B$8),ISNUMBER('Inputs'!$B$6),ISNUMBER('Inputs'!$B$7),ISNUMBER('Inputs'!$B$8),ISNUMBER('Inputs'!$B$9),ISNUMBER('Inputs'!$B$10),ISNUMBER('Inputs'!$B$21),ISNUMBER('Inputs'!$B$24),ISNUMBER('Inputs'!$B$28)),(('Results'!C7*(0.5*((((198-43)*MAX('Inputs'!$B$33,'Inputs'!$B$29+'Inputs'!$B$31+'Inputs'!$B$32,'Inputs'!$B$30+'Inputs'!$B$31+'Inputs'!$B$32)/1000+'Inputs'!$B$21)+'Inputs'!$B$9)/SQRT((((198-43)*MAX('Inputs'!$B$33,'Inputs'!$B$29+'Inputs'!$B$31+'Inputs'!$B$32,'Inputs'!$B$30+'Inputs'!$B$31+'Inputs'!$B$32)/1000+'Inputs'!$B$21)+'Inputs'!$B$9)^2+('Inputs'!$B$8/2)^2)-(((198-43)*MAX('Inputs'!$B$33,'Inputs'!$B$29+'Inputs'!$B$31+'Inputs'!$B$32,'Inputs'!$B$30+'Inputs'!$B$31+'Inputs'!$B$32)/1000+'Inputs'!$B$21))/SQRT((((198-43)*MAX('Inputs'!$B$33,'Inputs'!$B$29+'Inputs'!$B$31+'Inputs'!$B$32,'Inputs'!$B$30+'Inputs'!$B$31+'Inputs'!$B$32)/1000+'Inputs'!$B$21))^2+('Inputs'!$B$8/2)^2)))-'Results'!B7*(0.5*((((198-43)*MAX('Inputs'!$B$33,'Inputs'!$B$29+'Inputs'!$B$31+'Inputs'!$B$32,'Inputs'!$B$30+'Inputs'!$B$31+'Inputs'!$B$32)/1000+'Inputs'!$B$21+'Inputs'!$B$9+'Inputs'!$B$10)+'Inputs'!$B$7)/SQRT((((198-43)*MAX('Inputs'!$B$33,'Inputs'!$B$29+'Inputs'!$B$31+'Inputs'!$B$32,'Inputs'!$B$30+'Inputs'!$B$31+'Inputs'!$B$32)/1000+'Inputs'!$B$21+'Inputs'!$B$9+'Inputs'!$B$10)+'Inputs'!$B$7)^2+('Inputs'!$B$6/2)^2)-(((198-43)*MAX('Inputs'!$B$33,'Inputs'!$B$29+'Inputs'!$B$31+'Inputs'!$B$32,'Inputs'!$B$30+'Inputs'!$B$31+'Inputs'!$B$32)/1000+'Inputs'!$B$21+'Inputs'!$B$9+'Inputs'!$B$10))/SQRT((((198-43)*MAX('Inputs'!$B$33,'Inputs'!$B$29+'Inputs'!$B$31+'Inputs'!$B$32,'Inputs'!$B$30+'Inputs'!$B$31+'Inputs'!$B$32)/1000+'Inputs'!$B$21+'Inputs'!$B$9+'Inputs'!$B$10))^2+('Inputs'!$B$6/2)^2))))*'Results'!$B$8),"")</x:f>
        <x:v>137.74879777869666</x:v>
      </x:c>
      <x:c r="N198" t="n">
        <x:f>IF(AND(ISNUMBER('Results'!C7),ISNUMBER('Results'!B7),ISNUMBER('Results'!$B$8),ISNUMBER('Inputs'!$B$6),ISNUMBER('Inputs'!$B$7),ISNUMBER('Inputs'!$B$8),ISNUMBER('Inputs'!$B$9),ISNUMBER('Inputs'!$B$10),ISNUMBER('Inputs'!$B$21),ISNUMBER('Inputs'!$B$24),ISNUMBER('Inputs'!$B$28)),((('Results'!C7*(1-'Inputs'!$B$24)*(0.5*((((198-43)*MAX('Inputs'!$B$33,'Inputs'!$B$29+'Inputs'!$B$31+'Inputs'!$B$32,'Inputs'!$B$30+'Inputs'!$B$31+'Inputs'!$B$32)/1000+'Inputs'!$B$21)+'Inputs'!$B$9)/SQRT((((198-43)*MAX('Inputs'!$B$33,'Inputs'!$B$29+'Inputs'!$B$31+'Inputs'!$B$32,'Inputs'!$B$30+'Inputs'!$B$31+'Inputs'!$B$32)/1000+'Inputs'!$B$21)+'Inputs'!$B$9)^2+('Inputs'!$B$8/2)^2)-(((198-43)*MAX('Inputs'!$B$33,'Inputs'!$B$29+'Inputs'!$B$31+'Inputs'!$B$32,'Inputs'!$B$30+'Inputs'!$B$31+'Inputs'!$B$32)/1000+'Inputs'!$B$21))/SQRT((((198-43)*MAX('Inputs'!$B$33,'Inputs'!$B$29+'Inputs'!$B$31+'Inputs'!$B$32,'Inputs'!$B$30+'Inputs'!$B$31+'Inputs'!$B$32)/1000+'Inputs'!$B$21))^2+('Inputs'!$B$8/2)^2)))-'Results'!B7*(1+'Inputs'!$B$24)*(0.5*((((198-43)*MAX('Inputs'!$B$33,'Inputs'!$B$29+'Inputs'!$B$31+'Inputs'!$B$32,'Inputs'!$B$30+'Inputs'!$B$31+'Inputs'!$B$32)/1000+'Inputs'!$B$21+'Inputs'!$B$9+'Inputs'!$B$10)+'Inputs'!$B$7)/SQRT((((198-43)*MAX('Inputs'!$B$33,'Inputs'!$B$29+'Inputs'!$B$31+'Inputs'!$B$32,'Inputs'!$B$30+'Inputs'!$B$31+'Inputs'!$B$32)/1000+'Inputs'!$B$21+'Inputs'!$B$9+'Inputs'!$B$10)+'Inputs'!$B$7)^2+('Inputs'!$B$6/2)^2)-(((198-43)*MAX('Inputs'!$B$33,'Inputs'!$B$29+'Inputs'!$B$31+'Inputs'!$B$32,'Inputs'!$B$30+'Inputs'!$B$31+'Inputs'!$B$32)/1000+'Inputs'!$B$21+'Inputs'!$B$9+'Inputs'!$B$10))/SQRT((((198-43)*MAX('Inputs'!$B$33,'Inputs'!$B$29+'Inputs'!$B$31+'Inputs'!$B$32,'Inputs'!$B$30+'Inputs'!$B$31+'Inputs'!$B$32)/1000+'Inputs'!$B$21+'Inputs'!$B$9+'Inputs'!$B$10))^2+('Inputs'!$B$6/2)^2))))*'Results'!$B$8)-'Inputs'!$B$28*ABS((('Results'!C7*(1-'Inputs'!$B$24)*(0.5*((((198-43)*MAX('Inputs'!$B$33,'Inputs'!$B$29+'Inputs'!$B$31+'Inputs'!$B$32,'Inputs'!$B$30+'Inputs'!$B$31+'Inputs'!$B$32)/1000+'Inputs'!$B$21)+'Inputs'!$B$9)/SQRT((((198-43)*MAX('Inputs'!$B$33,'Inputs'!$B$29+'Inputs'!$B$31+'Inputs'!$B$32,'Inputs'!$B$30+'Inputs'!$B$31+'Inputs'!$B$32)/1000+'Inputs'!$B$21)+'Inputs'!$B$9)^2+('Inputs'!$B$8/2)^2)-(((198-43)*MAX('Inputs'!$B$33,'Inputs'!$B$29+'Inputs'!$B$31+'Inputs'!$B$32,'Inputs'!$B$30+'Inputs'!$B$31+'Inputs'!$B$32)/1000+'Inputs'!$B$21))/SQRT((((198-43)*MAX('Inputs'!$B$33,'Inputs'!$B$29+'Inputs'!$B$31+'Inputs'!$B$32,'Inputs'!$B$30+'Inputs'!$B$31+'Inputs'!$B$32)/1000+'Inputs'!$B$21))^2+('Inputs'!$B$8/2)^2)))-'Results'!B7*(1+'Inputs'!$B$24)*(0.5*((((198-43)*MAX('Inputs'!$B$33,'Inputs'!$B$29+'Inputs'!$B$31+'Inputs'!$B$32,'Inputs'!$B$30+'Inputs'!$B$31+'Inputs'!$B$32)/1000+'Inputs'!$B$21+'Inputs'!$B$9+'Inputs'!$B$10)+'Inputs'!$B$7)/SQRT((((198-43)*MAX('Inputs'!$B$33,'Inputs'!$B$29+'Inputs'!$B$31+'Inputs'!$B$32,'Inputs'!$B$30+'Inputs'!$B$31+'Inputs'!$B$32)/1000+'Inputs'!$B$21+'Inputs'!$B$9+'Inputs'!$B$10)+'Inputs'!$B$7)^2+('Inputs'!$B$6/2)^2)-(((198-43)*MAX('Inputs'!$B$33,'Inputs'!$B$29+'Inputs'!$B$31+'Inputs'!$B$32,'Inputs'!$B$30+'Inputs'!$B$31+'Inputs'!$B$32)/1000+'Inputs'!$B$21+'Inputs'!$B$9+'Inputs'!$B$10))/SQRT((((198-43)*MAX('Inputs'!$B$33,'Inputs'!$B$29+'Inputs'!$B$31+'Inputs'!$B$32,'Inputs'!$B$30+'Inputs'!$B$31+'Inputs'!$B$32)/1000+'Inputs'!$B$21+'Inputs'!$B$9+'Inputs'!$B$10))^2+('Inputs'!$B$6/2)^2))))*'Results'!$B$8))),"")</x:f>
        <x:v>126.3603062102359</x:v>
      </x:c>
      <x:c r="O198" t="n">
        <x:f>IF(AND(ISNUMBER('Results'!C7),ISNUMBER('Results'!B7),ISNUMBER('Results'!$B$8),ISNUMBER('Inputs'!$B$6),ISNUMBER('Inputs'!$B$7),ISNUMBER('Inputs'!$B$8),ISNUMBER('Inputs'!$B$9),ISNUMBER('Inputs'!$B$10),ISNUMBER('Inputs'!$B$21),ISNUMBER('Inputs'!$B$24),ISNUMBER('Inputs'!$B$28)),((('Results'!C7*(1+'Inputs'!$B$24)*(0.5*((((198-43)*MAX('Inputs'!$B$33,'Inputs'!$B$29+'Inputs'!$B$31+'Inputs'!$B$32,'Inputs'!$B$30+'Inputs'!$B$31+'Inputs'!$B$32)/1000+'Inputs'!$B$21)+'Inputs'!$B$9)/SQRT((((198-43)*MAX('Inputs'!$B$33,'Inputs'!$B$29+'Inputs'!$B$31+'Inputs'!$B$32,'Inputs'!$B$30+'Inputs'!$B$31+'Inputs'!$B$32)/1000+'Inputs'!$B$21)+'Inputs'!$B$9)^2+('Inputs'!$B$8/2)^2)-(((198-43)*MAX('Inputs'!$B$33,'Inputs'!$B$29+'Inputs'!$B$31+'Inputs'!$B$32,'Inputs'!$B$30+'Inputs'!$B$31+'Inputs'!$B$32)/1000+'Inputs'!$B$21))/SQRT((((198-43)*MAX('Inputs'!$B$33,'Inputs'!$B$29+'Inputs'!$B$31+'Inputs'!$B$32,'Inputs'!$B$30+'Inputs'!$B$31+'Inputs'!$B$32)/1000+'Inputs'!$B$21))^2+('Inputs'!$B$8/2)^2)))-'Results'!B7*(1-'Inputs'!$B$24)*(0.5*((((198-43)*MAX('Inputs'!$B$33,'Inputs'!$B$29+'Inputs'!$B$31+'Inputs'!$B$32,'Inputs'!$B$30+'Inputs'!$B$31+'Inputs'!$B$32)/1000+'Inputs'!$B$21+'Inputs'!$B$9+'Inputs'!$B$10)+'Inputs'!$B$7)/SQRT((((198-43)*MAX('Inputs'!$B$33,'Inputs'!$B$29+'Inputs'!$B$31+'Inputs'!$B$32,'Inputs'!$B$30+'Inputs'!$B$31+'Inputs'!$B$32)/1000+'Inputs'!$B$21+'Inputs'!$B$9+'Inputs'!$B$10)+'Inputs'!$B$7)^2+('Inputs'!$B$6/2)^2)-(((198-43)*MAX('Inputs'!$B$33,'Inputs'!$B$29+'Inputs'!$B$31+'Inputs'!$B$32,'Inputs'!$B$30+'Inputs'!$B$31+'Inputs'!$B$32)/1000+'Inputs'!$B$21+'Inputs'!$B$9+'Inputs'!$B$10))/SQRT((((198-43)*MAX('Inputs'!$B$33,'Inputs'!$B$29+'Inputs'!$B$31+'Inputs'!$B$32,'Inputs'!$B$30+'Inputs'!$B$31+'Inputs'!$B$32)/1000+'Inputs'!$B$21+'Inputs'!$B$9+'Inputs'!$B$10))^2+('Inputs'!$B$6/2)^2))))*'Results'!$B$8)+'Inputs'!$B$28*ABS((('Results'!C7*(1+'Inputs'!$B$24)*(0.5*((((198-43)*MAX('Inputs'!$B$33,'Inputs'!$B$29+'Inputs'!$B$31+'Inputs'!$B$32,'Inputs'!$B$30+'Inputs'!$B$31+'Inputs'!$B$32)/1000+'Inputs'!$B$21)+'Inputs'!$B$9)/SQRT((((198-43)*MAX('Inputs'!$B$33,'Inputs'!$B$29+'Inputs'!$B$31+'Inputs'!$B$32,'Inputs'!$B$30+'Inputs'!$B$31+'Inputs'!$B$32)/1000+'Inputs'!$B$21)+'Inputs'!$B$9)^2+('Inputs'!$B$8/2)^2)-(((198-43)*MAX('Inputs'!$B$33,'Inputs'!$B$29+'Inputs'!$B$31+'Inputs'!$B$32,'Inputs'!$B$30+'Inputs'!$B$31+'Inputs'!$B$32)/1000+'Inputs'!$B$21))/SQRT((((198-43)*MAX('Inputs'!$B$33,'Inputs'!$B$29+'Inputs'!$B$31+'Inputs'!$B$32,'Inputs'!$B$30+'Inputs'!$B$31+'Inputs'!$B$32)/1000+'Inputs'!$B$21))^2+('Inputs'!$B$8/2)^2)))-'Results'!B7*(1-'Inputs'!$B$24)*(0.5*((((198-43)*MAX('Inputs'!$B$33,'Inputs'!$B$29+'Inputs'!$B$31+'Inputs'!$B$32,'Inputs'!$B$30+'Inputs'!$B$31+'Inputs'!$B$32)/1000+'Inputs'!$B$21+'Inputs'!$B$9+'Inputs'!$B$10)+'Inputs'!$B$7)/SQRT((((198-43)*MAX('Inputs'!$B$33,'Inputs'!$B$29+'Inputs'!$B$31+'Inputs'!$B$32,'Inputs'!$B$30+'Inputs'!$B$31+'Inputs'!$B$32)/1000+'Inputs'!$B$21+'Inputs'!$B$9+'Inputs'!$B$10)+'Inputs'!$B$7)^2+('Inputs'!$B$6/2)^2)-(((198-43)*MAX('Inputs'!$B$33,'Inputs'!$B$29+'Inputs'!$B$31+'Inputs'!$B$32,'Inputs'!$B$30+'Inputs'!$B$31+'Inputs'!$B$32)/1000+'Inputs'!$B$21+'Inputs'!$B$9+'Inputs'!$B$10))/SQRT((((198-43)*MAX('Inputs'!$B$33,'Inputs'!$B$29+'Inputs'!$B$31+'Inputs'!$B$32,'Inputs'!$B$30+'Inputs'!$B$31+'Inputs'!$B$32)/1000+'Inputs'!$B$21+'Inputs'!$B$9+'Inputs'!$B$10))^2+('Inputs'!$B$6/2)^2))))*'Results'!$B$8))),"")</x:f>
        <x:v>149.61108426079173</x:v>
      </x:c>
      <x:c r="P198" t="n">
        <x:f>IF(AND(MAX(J198,J197)&gt;0,J198&gt;J197+0.00000001),1,0)</x:f>
        <x:v>0</x:v>
      </x:c>
      <x:c r="Q198" t="n">
        <x:f>IF(AND(MAX(K198,K197)&gt;0,K198&gt;K197+0.00000001),1,0)</x:f>
        <x:v>0</x:v>
      </x:c>
      <x:c r="R198" t="n">
        <x:f>IF(AND(MAX(L198,L197)&gt;0,L198&gt;L197+0.00000001),1,0)</x:f>
        <x:v>0</x:v>
      </x:c>
      <x:c r="S198" t="n">
        <x:f>IF(AND(MAX(M198,M197)&gt;0,M198&gt;M197+0.00000001),1,0)</x:f>
        <x:v>0</x:v>
      </x:c>
      <x:c r="T198" t="n">
        <x:f>IF(AND(MAX(N198,N197)&gt;0,N198&gt;N197+0.00000001),1,0)</x:f>
        <x:v>0</x:v>
      </x:c>
      <x:c r="U198" t="n">
        <x:f>IF(AND(MAX(O198,O197)&gt;0,O198&gt;O197+0.00000001),1,0)</x:f>
        <x:v>0</x:v>
      </x:c>
    </x:row>
    <x:row r="199">
      <x:c r="J199" t="n">
        <x:f>IF(AND(ISNUMBER('Results'!B7),ISNUMBER('Results'!C7),ISNUMBER('Results'!$B$8),ISNUMBER('Inputs'!$B$6),ISNUMBER('Inputs'!$B$7),ISNUMBER('Inputs'!$B$8),ISNUMBER('Inputs'!$B$9),ISNUMBER('Inputs'!$B$10),ISNUMBER('Inputs'!$B$21),ISNUMBER('Inputs'!$B$24),ISNUMBER('Inputs'!$B$28)),(('Results'!B7*(0.5*((((199-43)*MAX('Inputs'!$B$33,'Inputs'!$B$29+'Inputs'!$B$31+'Inputs'!$B$32,'Inputs'!$B$30+'Inputs'!$B$31+'Inputs'!$B$32)/1000+'Inputs'!$B$21)+'Inputs'!$B$7)/SQRT((((199-43)*MAX('Inputs'!$B$33,'Inputs'!$B$29+'Inputs'!$B$31+'Inputs'!$B$32,'Inputs'!$B$30+'Inputs'!$B$31+'Inputs'!$B$32)/1000+'Inputs'!$B$21)+'Inputs'!$B$7)^2+('Inputs'!$B$6/2)^2)-(((199-43)*MAX('Inputs'!$B$33,'Inputs'!$B$29+'Inputs'!$B$31+'Inputs'!$B$32,'Inputs'!$B$30+'Inputs'!$B$31+'Inputs'!$B$32)/1000+'Inputs'!$B$21))/SQRT((((199-43)*MAX('Inputs'!$B$33,'Inputs'!$B$29+'Inputs'!$B$31+'Inputs'!$B$32,'Inputs'!$B$30+'Inputs'!$B$31+'Inputs'!$B$32)/1000+'Inputs'!$B$21))^2+('Inputs'!$B$6/2)^2)))-'Results'!C7*(0.5*((((199-43)*MAX('Inputs'!$B$33,'Inputs'!$B$29+'Inputs'!$B$31+'Inputs'!$B$32,'Inputs'!$B$30+'Inputs'!$B$31+'Inputs'!$B$32)/1000+'Inputs'!$B$21+'Inputs'!$B$7+'Inputs'!$B$10)+'Inputs'!$B$9)/SQRT((((199-43)*MAX('Inputs'!$B$33,'Inputs'!$B$29+'Inputs'!$B$31+'Inputs'!$B$32,'Inputs'!$B$30+'Inputs'!$B$31+'Inputs'!$B$32)/1000+'Inputs'!$B$21+'Inputs'!$B$7+'Inputs'!$B$10)+'Inputs'!$B$9)^2+('Inputs'!$B$8/2)^2)-(((199-43)*MAX('Inputs'!$B$33,'Inputs'!$B$29+'Inputs'!$B$31+'Inputs'!$B$32,'Inputs'!$B$30+'Inputs'!$B$31+'Inputs'!$B$32)/1000+'Inputs'!$B$21+'Inputs'!$B$7+'Inputs'!$B$10))/SQRT((((199-43)*MAX('Inputs'!$B$33,'Inputs'!$B$29+'Inputs'!$B$31+'Inputs'!$B$32,'Inputs'!$B$30+'Inputs'!$B$31+'Inputs'!$B$32)/1000+'Inputs'!$B$21+'Inputs'!$B$7+'Inputs'!$B$10))^2+('Inputs'!$B$8/2)^2))))*'Results'!$B$8),"")</x:f>
        <x:v>140.31395927833103</x:v>
      </x:c>
      <x:c r="K199" t="n">
        <x:f>IF(AND(ISNUMBER('Results'!B7),ISNUMBER('Results'!C7),ISNUMBER('Results'!$B$8),ISNUMBER('Inputs'!$B$6),ISNUMBER('Inputs'!$B$7),ISNUMBER('Inputs'!$B$8),ISNUMBER('Inputs'!$B$9),ISNUMBER('Inputs'!$B$10),ISNUMBER('Inputs'!$B$21),ISNUMBER('Inputs'!$B$24),ISNUMBER('Inputs'!$B$28)),((('Results'!B7*(1-'Inputs'!$B$24)*(0.5*((((199-43)*MAX('Inputs'!$B$33,'Inputs'!$B$29+'Inputs'!$B$31+'Inputs'!$B$32,'Inputs'!$B$30+'Inputs'!$B$31+'Inputs'!$B$32)/1000+'Inputs'!$B$21)+'Inputs'!$B$7)/SQRT((((199-43)*MAX('Inputs'!$B$33,'Inputs'!$B$29+'Inputs'!$B$31+'Inputs'!$B$32,'Inputs'!$B$30+'Inputs'!$B$31+'Inputs'!$B$32)/1000+'Inputs'!$B$21)+'Inputs'!$B$7)^2+('Inputs'!$B$6/2)^2)-(((199-43)*MAX('Inputs'!$B$33,'Inputs'!$B$29+'Inputs'!$B$31+'Inputs'!$B$32,'Inputs'!$B$30+'Inputs'!$B$31+'Inputs'!$B$32)/1000+'Inputs'!$B$21))/SQRT((((199-43)*MAX('Inputs'!$B$33,'Inputs'!$B$29+'Inputs'!$B$31+'Inputs'!$B$32,'Inputs'!$B$30+'Inputs'!$B$31+'Inputs'!$B$32)/1000+'Inputs'!$B$21))^2+('Inputs'!$B$6/2)^2)))-'Results'!C7*(1+'Inputs'!$B$24)*(0.5*((((199-43)*MAX('Inputs'!$B$33,'Inputs'!$B$29+'Inputs'!$B$31+'Inputs'!$B$32,'Inputs'!$B$30+'Inputs'!$B$31+'Inputs'!$B$32)/1000+'Inputs'!$B$21+'Inputs'!$B$7+'Inputs'!$B$10)+'Inputs'!$B$9)/SQRT((((199-43)*MAX('Inputs'!$B$33,'Inputs'!$B$29+'Inputs'!$B$31+'Inputs'!$B$32,'Inputs'!$B$30+'Inputs'!$B$31+'Inputs'!$B$32)/1000+'Inputs'!$B$21+'Inputs'!$B$7+'Inputs'!$B$10)+'Inputs'!$B$9)^2+('Inputs'!$B$8/2)^2)-(((199-43)*MAX('Inputs'!$B$33,'Inputs'!$B$29+'Inputs'!$B$31+'Inputs'!$B$32,'Inputs'!$B$30+'Inputs'!$B$31+'Inputs'!$B$32)/1000+'Inputs'!$B$21+'Inputs'!$B$7+'Inputs'!$B$10))/SQRT((((199-43)*MAX('Inputs'!$B$33,'Inputs'!$B$29+'Inputs'!$B$31+'Inputs'!$B$32,'Inputs'!$B$30+'Inputs'!$B$31+'Inputs'!$B$32)/1000+'Inputs'!$B$21+'Inputs'!$B$7+'Inputs'!$B$10))^2+('Inputs'!$B$8/2)^2))))*'Results'!$B$8)-'Inputs'!$B$28*ABS((('Results'!B7*(1-'Inputs'!$B$24)*(0.5*((((199-43)*MAX('Inputs'!$B$33,'Inputs'!$B$29+'Inputs'!$B$31+'Inputs'!$B$32,'Inputs'!$B$30+'Inputs'!$B$31+'Inputs'!$B$32)/1000+'Inputs'!$B$21)+'Inputs'!$B$7)/SQRT((((199-43)*MAX('Inputs'!$B$33,'Inputs'!$B$29+'Inputs'!$B$31+'Inputs'!$B$32,'Inputs'!$B$30+'Inputs'!$B$31+'Inputs'!$B$32)/1000+'Inputs'!$B$21)+'Inputs'!$B$7)^2+('Inputs'!$B$6/2)^2)-(((199-43)*MAX('Inputs'!$B$33,'Inputs'!$B$29+'Inputs'!$B$31+'Inputs'!$B$32,'Inputs'!$B$30+'Inputs'!$B$31+'Inputs'!$B$32)/1000+'Inputs'!$B$21))/SQRT((((199-43)*MAX('Inputs'!$B$33,'Inputs'!$B$29+'Inputs'!$B$31+'Inputs'!$B$32,'Inputs'!$B$30+'Inputs'!$B$31+'Inputs'!$B$32)/1000+'Inputs'!$B$21))^2+('Inputs'!$B$6/2)^2)))-'Results'!C7*(1+'Inputs'!$B$24)*(0.5*((((199-43)*MAX('Inputs'!$B$33,'Inputs'!$B$29+'Inputs'!$B$31+'Inputs'!$B$32,'Inputs'!$B$30+'Inputs'!$B$31+'Inputs'!$B$32)/1000+'Inputs'!$B$21+'Inputs'!$B$7+'Inputs'!$B$10)+'Inputs'!$B$9)/SQRT((((199-43)*MAX('Inputs'!$B$33,'Inputs'!$B$29+'Inputs'!$B$31+'Inputs'!$B$32,'Inputs'!$B$30+'Inputs'!$B$31+'Inputs'!$B$32)/1000+'Inputs'!$B$21+'Inputs'!$B$7+'Inputs'!$B$10)+'Inputs'!$B$9)^2+('Inputs'!$B$8/2)^2)-(((199-43)*MAX('Inputs'!$B$33,'Inputs'!$B$29+'Inputs'!$B$31+'Inputs'!$B$32,'Inputs'!$B$30+'Inputs'!$B$31+'Inputs'!$B$32)/1000+'Inputs'!$B$21+'Inputs'!$B$7+'Inputs'!$B$10))/SQRT((((199-43)*MAX('Inputs'!$B$33,'Inputs'!$B$29+'Inputs'!$B$31+'Inputs'!$B$32,'Inputs'!$B$30+'Inputs'!$B$31+'Inputs'!$B$32)/1000+'Inputs'!$B$21+'Inputs'!$B$7+'Inputs'!$B$10))^2+('Inputs'!$B$8/2)^2))))*'Results'!$B$8))),"")</x:f>
        <x:v>128.80391285270355</x:v>
      </x:c>
      <x:c r="L199" t="n">
        <x:f>IF(AND(ISNUMBER('Results'!B7),ISNUMBER('Results'!C7),ISNUMBER('Results'!$B$8),ISNUMBER('Inputs'!$B$6),ISNUMBER('Inputs'!$B$7),ISNUMBER('Inputs'!$B$8),ISNUMBER('Inputs'!$B$9),ISNUMBER('Inputs'!$B$10),ISNUMBER('Inputs'!$B$21),ISNUMBER('Inputs'!$B$24),ISNUMBER('Inputs'!$B$28)),((('Results'!B7*(1+'Inputs'!$B$24)*(0.5*((((199-43)*MAX('Inputs'!$B$33,'Inputs'!$B$29+'Inputs'!$B$31+'Inputs'!$B$32,'Inputs'!$B$30+'Inputs'!$B$31+'Inputs'!$B$32)/1000+'Inputs'!$B$21)+'Inputs'!$B$7)/SQRT((((199-43)*MAX('Inputs'!$B$33,'Inputs'!$B$29+'Inputs'!$B$31+'Inputs'!$B$32,'Inputs'!$B$30+'Inputs'!$B$31+'Inputs'!$B$32)/1000+'Inputs'!$B$21)+'Inputs'!$B$7)^2+('Inputs'!$B$6/2)^2)-(((199-43)*MAX('Inputs'!$B$33,'Inputs'!$B$29+'Inputs'!$B$31+'Inputs'!$B$32,'Inputs'!$B$30+'Inputs'!$B$31+'Inputs'!$B$32)/1000+'Inputs'!$B$21))/SQRT((((199-43)*MAX('Inputs'!$B$33,'Inputs'!$B$29+'Inputs'!$B$31+'Inputs'!$B$32,'Inputs'!$B$30+'Inputs'!$B$31+'Inputs'!$B$32)/1000+'Inputs'!$B$21))^2+('Inputs'!$B$6/2)^2)))-'Results'!C7*(1-'Inputs'!$B$24)*(0.5*((((199-43)*MAX('Inputs'!$B$33,'Inputs'!$B$29+'Inputs'!$B$31+'Inputs'!$B$32,'Inputs'!$B$30+'Inputs'!$B$31+'Inputs'!$B$32)/1000+'Inputs'!$B$21+'Inputs'!$B$7+'Inputs'!$B$10)+'Inputs'!$B$9)/SQRT((((199-43)*MAX('Inputs'!$B$33,'Inputs'!$B$29+'Inputs'!$B$31+'Inputs'!$B$32,'Inputs'!$B$30+'Inputs'!$B$31+'Inputs'!$B$32)/1000+'Inputs'!$B$21+'Inputs'!$B$7+'Inputs'!$B$10)+'Inputs'!$B$9)^2+('Inputs'!$B$8/2)^2)-(((199-43)*MAX('Inputs'!$B$33,'Inputs'!$B$29+'Inputs'!$B$31+'Inputs'!$B$32,'Inputs'!$B$30+'Inputs'!$B$31+'Inputs'!$B$32)/1000+'Inputs'!$B$21+'Inputs'!$B$7+'Inputs'!$B$10))/SQRT((((199-43)*MAX('Inputs'!$B$33,'Inputs'!$B$29+'Inputs'!$B$31+'Inputs'!$B$32,'Inputs'!$B$30+'Inputs'!$B$31+'Inputs'!$B$32)/1000+'Inputs'!$B$21+'Inputs'!$B$7+'Inputs'!$B$10))^2+('Inputs'!$B$8/2)^2))))*'Results'!$B$8)+'Inputs'!$B$28*ABS((('Results'!B7*(1+'Inputs'!$B$24)*(0.5*((((199-43)*MAX('Inputs'!$B$33,'Inputs'!$B$29+'Inputs'!$B$31+'Inputs'!$B$32,'Inputs'!$B$30+'Inputs'!$B$31+'Inputs'!$B$32)/1000+'Inputs'!$B$21)+'Inputs'!$B$7)/SQRT((((199-43)*MAX('Inputs'!$B$33,'Inputs'!$B$29+'Inputs'!$B$31+'Inputs'!$B$32,'Inputs'!$B$30+'Inputs'!$B$31+'Inputs'!$B$32)/1000+'Inputs'!$B$21)+'Inputs'!$B$7)^2+('Inputs'!$B$6/2)^2)-(((199-43)*MAX('Inputs'!$B$33,'Inputs'!$B$29+'Inputs'!$B$31+'Inputs'!$B$32,'Inputs'!$B$30+'Inputs'!$B$31+'Inputs'!$B$32)/1000+'Inputs'!$B$21))/SQRT((((199-43)*MAX('Inputs'!$B$33,'Inputs'!$B$29+'Inputs'!$B$31+'Inputs'!$B$32,'Inputs'!$B$30+'Inputs'!$B$31+'Inputs'!$B$32)/1000+'Inputs'!$B$21))^2+('Inputs'!$B$6/2)^2)))-'Results'!C7*(1-'Inputs'!$B$24)*(0.5*((((199-43)*MAX('Inputs'!$B$33,'Inputs'!$B$29+'Inputs'!$B$31+'Inputs'!$B$32,'Inputs'!$B$30+'Inputs'!$B$31+'Inputs'!$B$32)/1000+'Inputs'!$B$21+'Inputs'!$B$7+'Inputs'!$B$10)+'Inputs'!$B$9)/SQRT((((199-43)*MAX('Inputs'!$B$33,'Inputs'!$B$29+'Inputs'!$B$31+'Inputs'!$B$32,'Inputs'!$B$30+'Inputs'!$B$31+'Inputs'!$B$32)/1000+'Inputs'!$B$21+'Inputs'!$B$7+'Inputs'!$B$10)+'Inputs'!$B$9)^2+('Inputs'!$B$8/2)^2)-(((199-43)*MAX('Inputs'!$B$33,'Inputs'!$B$29+'Inputs'!$B$31+'Inputs'!$B$32,'Inputs'!$B$30+'Inputs'!$B$31+'Inputs'!$B$32)/1000+'Inputs'!$B$21+'Inputs'!$B$7+'Inputs'!$B$10))/SQRT((((199-43)*MAX('Inputs'!$B$33,'Inputs'!$B$29+'Inputs'!$B$31+'Inputs'!$B$32,'Inputs'!$B$30+'Inputs'!$B$31+'Inputs'!$B$32)/1000+'Inputs'!$B$21+'Inputs'!$B$7+'Inputs'!$B$10))^2+('Inputs'!$B$8/2)^2))))*'Results'!$B$8))),"")</x:f>
        <x:v>152.2970950157175</x:v>
      </x:c>
      <x:c r="M199" t="n">
        <x:f>IF(AND(ISNUMBER('Results'!C7),ISNUMBER('Results'!B7),ISNUMBER('Results'!$B$8),ISNUMBER('Inputs'!$B$6),ISNUMBER('Inputs'!$B$7),ISNUMBER('Inputs'!$B$8),ISNUMBER('Inputs'!$B$9),ISNUMBER('Inputs'!$B$10),ISNUMBER('Inputs'!$B$21),ISNUMBER('Inputs'!$B$24),ISNUMBER('Inputs'!$B$28)),(('Results'!C7*(0.5*((((199-43)*MAX('Inputs'!$B$33,'Inputs'!$B$29+'Inputs'!$B$31+'Inputs'!$B$32,'Inputs'!$B$30+'Inputs'!$B$31+'Inputs'!$B$32)/1000+'Inputs'!$B$21)+'Inputs'!$B$9)/SQRT((((199-43)*MAX('Inputs'!$B$33,'Inputs'!$B$29+'Inputs'!$B$31+'Inputs'!$B$32,'Inputs'!$B$30+'Inputs'!$B$31+'Inputs'!$B$32)/1000+'Inputs'!$B$21)+'Inputs'!$B$9)^2+('Inputs'!$B$8/2)^2)-(((199-43)*MAX('Inputs'!$B$33,'Inputs'!$B$29+'Inputs'!$B$31+'Inputs'!$B$32,'Inputs'!$B$30+'Inputs'!$B$31+'Inputs'!$B$32)/1000+'Inputs'!$B$21))/SQRT((((199-43)*MAX('Inputs'!$B$33,'Inputs'!$B$29+'Inputs'!$B$31+'Inputs'!$B$32,'Inputs'!$B$30+'Inputs'!$B$31+'Inputs'!$B$32)/1000+'Inputs'!$B$21))^2+('Inputs'!$B$8/2)^2)))-'Results'!B7*(0.5*((((199-43)*MAX('Inputs'!$B$33,'Inputs'!$B$29+'Inputs'!$B$31+'Inputs'!$B$32,'Inputs'!$B$30+'Inputs'!$B$31+'Inputs'!$B$32)/1000+'Inputs'!$B$21+'Inputs'!$B$9+'Inputs'!$B$10)+'Inputs'!$B$7)/SQRT((((199-43)*MAX('Inputs'!$B$33,'Inputs'!$B$29+'Inputs'!$B$31+'Inputs'!$B$32,'Inputs'!$B$30+'Inputs'!$B$31+'Inputs'!$B$32)/1000+'Inputs'!$B$21+'Inputs'!$B$9+'Inputs'!$B$10)+'Inputs'!$B$7)^2+('Inputs'!$B$6/2)^2)-(((199-43)*MAX('Inputs'!$B$33,'Inputs'!$B$29+'Inputs'!$B$31+'Inputs'!$B$32,'Inputs'!$B$30+'Inputs'!$B$31+'Inputs'!$B$32)/1000+'Inputs'!$B$21+'Inputs'!$B$9+'Inputs'!$B$10))/SQRT((((199-43)*MAX('Inputs'!$B$33,'Inputs'!$B$29+'Inputs'!$B$31+'Inputs'!$B$32,'Inputs'!$B$30+'Inputs'!$B$31+'Inputs'!$B$32)/1000+'Inputs'!$B$21+'Inputs'!$B$9+'Inputs'!$B$10))^2+('Inputs'!$B$6/2)^2))))*'Results'!$B$8),"")</x:f>
        <x:v>135.56342724306685</x:v>
      </x:c>
      <x:c r="N199" t="n">
        <x:f>IF(AND(ISNUMBER('Results'!C7),ISNUMBER('Results'!B7),ISNUMBER('Results'!$B$8),ISNUMBER('Inputs'!$B$6),ISNUMBER('Inputs'!$B$7),ISNUMBER('Inputs'!$B$8),ISNUMBER('Inputs'!$B$9),ISNUMBER('Inputs'!$B$10),ISNUMBER('Inputs'!$B$21),ISNUMBER('Inputs'!$B$24),ISNUMBER('Inputs'!$B$28)),((('Results'!C7*(1-'Inputs'!$B$24)*(0.5*((((199-43)*MAX('Inputs'!$B$33,'Inputs'!$B$29+'Inputs'!$B$31+'Inputs'!$B$32,'Inputs'!$B$30+'Inputs'!$B$31+'Inputs'!$B$32)/1000+'Inputs'!$B$21)+'Inputs'!$B$9)/SQRT((((199-43)*MAX('Inputs'!$B$33,'Inputs'!$B$29+'Inputs'!$B$31+'Inputs'!$B$32,'Inputs'!$B$30+'Inputs'!$B$31+'Inputs'!$B$32)/1000+'Inputs'!$B$21)+'Inputs'!$B$9)^2+('Inputs'!$B$8/2)^2)-(((199-43)*MAX('Inputs'!$B$33,'Inputs'!$B$29+'Inputs'!$B$31+'Inputs'!$B$32,'Inputs'!$B$30+'Inputs'!$B$31+'Inputs'!$B$32)/1000+'Inputs'!$B$21))/SQRT((((199-43)*MAX('Inputs'!$B$33,'Inputs'!$B$29+'Inputs'!$B$31+'Inputs'!$B$32,'Inputs'!$B$30+'Inputs'!$B$31+'Inputs'!$B$32)/1000+'Inputs'!$B$21))^2+('Inputs'!$B$8/2)^2)))-'Results'!B7*(1+'Inputs'!$B$24)*(0.5*((((199-43)*MAX('Inputs'!$B$33,'Inputs'!$B$29+'Inputs'!$B$31+'Inputs'!$B$32,'Inputs'!$B$30+'Inputs'!$B$31+'Inputs'!$B$32)/1000+'Inputs'!$B$21+'Inputs'!$B$9+'Inputs'!$B$10)+'Inputs'!$B$7)/SQRT((((199-43)*MAX('Inputs'!$B$33,'Inputs'!$B$29+'Inputs'!$B$31+'Inputs'!$B$32,'Inputs'!$B$30+'Inputs'!$B$31+'Inputs'!$B$32)/1000+'Inputs'!$B$21+'Inputs'!$B$9+'Inputs'!$B$10)+'Inputs'!$B$7)^2+('Inputs'!$B$6/2)^2)-(((199-43)*MAX('Inputs'!$B$33,'Inputs'!$B$29+'Inputs'!$B$31+'Inputs'!$B$32,'Inputs'!$B$30+'Inputs'!$B$31+'Inputs'!$B$32)/1000+'Inputs'!$B$21+'Inputs'!$B$9+'Inputs'!$B$10))/SQRT((((199-43)*MAX('Inputs'!$B$33,'Inputs'!$B$29+'Inputs'!$B$31+'Inputs'!$B$32,'Inputs'!$B$30+'Inputs'!$B$31+'Inputs'!$B$32)/1000+'Inputs'!$B$21+'Inputs'!$B$9+'Inputs'!$B$10))^2+('Inputs'!$B$6/2)^2))))*'Results'!$B$8)-'Inputs'!$B$28*ABS((('Results'!C7*(1-'Inputs'!$B$24)*(0.5*((((199-43)*MAX('Inputs'!$B$33,'Inputs'!$B$29+'Inputs'!$B$31+'Inputs'!$B$32,'Inputs'!$B$30+'Inputs'!$B$31+'Inputs'!$B$32)/1000+'Inputs'!$B$21)+'Inputs'!$B$9)/SQRT((((199-43)*MAX('Inputs'!$B$33,'Inputs'!$B$29+'Inputs'!$B$31+'Inputs'!$B$32,'Inputs'!$B$30+'Inputs'!$B$31+'Inputs'!$B$32)/1000+'Inputs'!$B$21)+'Inputs'!$B$9)^2+('Inputs'!$B$8/2)^2)-(((199-43)*MAX('Inputs'!$B$33,'Inputs'!$B$29+'Inputs'!$B$31+'Inputs'!$B$32,'Inputs'!$B$30+'Inputs'!$B$31+'Inputs'!$B$32)/1000+'Inputs'!$B$21))/SQRT((((199-43)*MAX('Inputs'!$B$33,'Inputs'!$B$29+'Inputs'!$B$31+'Inputs'!$B$32,'Inputs'!$B$30+'Inputs'!$B$31+'Inputs'!$B$32)/1000+'Inputs'!$B$21))^2+('Inputs'!$B$8/2)^2)))-'Results'!B7*(1+'Inputs'!$B$24)*(0.5*((((199-43)*MAX('Inputs'!$B$33,'Inputs'!$B$29+'Inputs'!$B$31+'Inputs'!$B$32,'Inputs'!$B$30+'Inputs'!$B$31+'Inputs'!$B$32)/1000+'Inputs'!$B$21+'Inputs'!$B$9+'Inputs'!$B$10)+'Inputs'!$B$7)/SQRT((((199-43)*MAX('Inputs'!$B$33,'Inputs'!$B$29+'Inputs'!$B$31+'Inputs'!$B$32,'Inputs'!$B$30+'Inputs'!$B$31+'Inputs'!$B$32)/1000+'Inputs'!$B$21+'Inputs'!$B$9+'Inputs'!$B$10)+'Inputs'!$B$7)^2+('Inputs'!$B$6/2)^2)-(((199-43)*MAX('Inputs'!$B$33,'Inputs'!$B$29+'Inputs'!$B$31+'Inputs'!$B$32,'Inputs'!$B$30+'Inputs'!$B$31+'Inputs'!$B$32)/1000+'Inputs'!$B$21+'Inputs'!$B$9+'Inputs'!$B$10))/SQRT((((199-43)*MAX('Inputs'!$B$33,'Inputs'!$B$29+'Inputs'!$B$31+'Inputs'!$B$32,'Inputs'!$B$30+'Inputs'!$B$31+'Inputs'!$B$32)/1000+'Inputs'!$B$21+'Inputs'!$B$9+'Inputs'!$B$10))^2+('Inputs'!$B$6/2)^2))))*'Results'!$B$8))),"")</x:f>
        <x:v>124.34385358429256</x:v>
      </x:c>
      <x:c r="O199" t="n">
        <x:f>IF(AND(ISNUMBER('Results'!C7),ISNUMBER('Results'!B7),ISNUMBER('Results'!$B$8),ISNUMBER('Inputs'!$B$6),ISNUMBER('Inputs'!$B$7),ISNUMBER('Inputs'!$B$8),ISNUMBER('Inputs'!$B$9),ISNUMBER('Inputs'!$B$10),ISNUMBER('Inputs'!$B$21),ISNUMBER('Inputs'!$B$24),ISNUMBER('Inputs'!$B$28)),((('Results'!C7*(1+'Inputs'!$B$24)*(0.5*((((199-43)*MAX('Inputs'!$B$33,'Inputs'!$B$29+'Inputs'!$B$31+'Inputs'!$B$32,'Inputs'!$B$30+'Inputs'!$B$31+'Inputs'!$B$32)/1000+'Inputs'!$B$21)+'Inputs'!$B$9)/SQRT((((199-43)*MAX('Inputs'!$B$33,'Inputs'!$B$29+'Inputs'!$B$31+'Inputs'!$B$32,'Inputs'!$B$30+'Inputs'!$B$31+'Inputs'!$B$32)/1000+'Inputs'!$B$21)+'Inputs'!$B$9)^2+('Inputs'!$B$8/2)^2)-(((199-43)*MAX('Inputs'!$B$33,'Inputs'!$B$29+'Inputs'!$B$31+'Inputs'!$B$32,'Inputs'!$B$30+'Inputs'!$B$31+'Inputs'!$B$32)/1000+'Inputs'!$B$21))/SQRT((((199-43)*MAX('Inputs'!$B$33,'Inputs'!$B$29+'Inputs'!$B$31+'Inputs'!$B$32,'Inputs'!$B$30+'Inputs'!$B$31+'Inputs'!$B$32)/1000+'Inputs'!$B$21))^2+('Inputs'!$B$8/2)^2)))-'Results'!B7*(1-'Inputs'!$B$24)*(0.5*((((199-43)*MAX('Inputs'!$B$33,'Inputs'!$B$29+'Inputs'!$B$31+'Inputs'!$B$32,'Inputs'!$B$30+'Inputs'!$B$31+'Inputs'!$B$32)/1000+'Inputs'!$B$21+'Inputs'!$B$9+'Inputs'!$B$10)+'Inputs'!$B$7)/SQRT((((199-43)*MAX('Inputs'!$B$33,'Inputs'!$B$29+'Inputs'!$B$31+'Inputs'!$B$32,'Inputs'!$B$30+'Inputs'!$B$31+'Inputs'!$B$32)/1000+'Inputs'!$B$21+'Inputs'!$B$9+'Inputs'!$B$10)+'Inputs'!$B$7)^2+('Inputs'!$B$6/2)^2)-(((199-43)*MAX('Inputs'!$B$33,'Inputs'!$B$29+'Inputs'!$B$31+'Inputs'!$B$32,'Inputs'!$B$30+'Inputs'!$B$31+'Inputs'!$B$32)/1000+'Inputs'!$B$21+'Inputs'!$B$9+'Inputs'!$B$10))/SQRT((((199-43)*MAX('Inputs'!$B$33,'Inputs'!$B$29+'Inputs'!$B$31+'Inputs'!$B$32,'Inputs'!$B$30+'Inputs'!$B$31+'Inputs'!$B$32)/1000+'Inputs'!$B$21+'Inputs'!$B$9+'Inputs'!$B$10))^2+('Inputs'!$B$6/2)^2))))*'Results'!$B$8)+'Inputs'!$B$28*ABS((('Results'!C7*(1+'Inputs'!$B$24)*(0.5*((((199-43)*MAX('Inputs'!$B$33,'Inputs'!$B$29+'Inputs'!$B$31+'Inputs'!$B$32,'Inputs'!$B$30+'Inputs'!$B$31+'Inputs'!$B$32)/1000+'Inputs'!$B$21)+'Inputs'!$B$9)/SQRT((((199-43)*MAX('Inputs'!$B$33,'Inputs'!$B$29+'Inputs'!$B$31+'Inputs'!$B$32,'Inputs'!$B$30+'Inputs'!$B$31+'Inputs'!$B$32)/1000+'Inputs'!$B$21)+'Inputs'!$B$9)^2+('Inputs'!$B$8/2)^2)-(((199-43)*MAX('Inputs'!$B$33,'Inputs'!$B$29+'Inputs'!$B$31+'Inputs'!$B$32,'Inputs'!$B$30+'Inputs'!$B$31+'Inputs'!$B$32)/1000+'Inputs'!$B$21))/SQRT((((199-43)*MAX('Inputs'!$B$33,'Inputs'!$B$29+'Inputs'!$B$31+'Inputs'!$B$32,'Inputs'!$B$30+'Inputs'!$B$31+'Inputs'!$B$32)/1000+'Inputs'!$B$21))^2+('Inputs'!$B$8/2)^2)))-'Results'!B7*(1-'Inputs'!$B$24)*(0.5*((((199-43)*MAX('Inputs'!$B$33,'Inputs'!$B$29+'Inputs'!$B$31+'Inputs'!$B$32,'Inputs'!$B$30+'Inputs'!$B$31+'Inputs'!$B$32)/1000+'Inputs'!$B$21+'Inputs'!$B$9+'Inputs'!$B$10)+'Inputs'!$B$7)/SQRT((((199-43)*MAX('Inputs'!$B$33,'Inputs'!$B$29+'Inputs'!$B$31+'Inputs'!$B$32,'Inputs'!$B$30+'Inputs'!$B$31+'Inputs'!$B$32)/1000+'Inputs'!$B$21+'Inputs'!$B$9+'Inputs'!$B$10)+'Inputs'!$B$7)^2+('Inputs'!$B$6/2)^2)-(((199-43)*MAX('Inputs'!$B$33,'Inputs'!$B$29+'Inputs'!$B$31+'Inputs'!$B$32,'Inputs'!$B$30+'Inputs'!$B$31+'Inputs'!$B$32)/1000+'Inputs'!$B$21+'Inputs'!$B$9+'Inputs'!$B$10))/SQRT((((199-43)*MAX('Inputs'!$B$33,'Inputs'!$B$29+'Inputs'!$B$31+'Inputs'!$B$32,'Inputs'!$B$30+'Inputs'!$B$31+'Inputs'!$B$32)/1000+'Inputs'!$B$21+'Inputs'!$B$9+'Inputs'!$B$10))^2+('Inputs'!$B$6/2)^2))))*'Results'!$B$8))),"")</x:f>
        <x:v>147.25051693306443</x:v>
      </x:c>
      <x:c r="P199" t="n">
        <x:f>IF(AND(MAX(J199,J198)&gt;0,J199&gt;J198+0.00000001),1,0)</x:f>
        <x:v>0</x:v>
      </x:c>
      <x:c r="Q199" t="n">
        <x:f>IF(AND(MAX(K199,K198)&gt;0,K199&gt;K198+0.00000001),1,0)</x:f>
        <x:v>0</x:v>
      </x:c>
      <x:c r="R199" t="n">
        <x:f>IF(AND(MAX(L199,L198)&gt;0,L199&gt;L198+0.00000001),1,0)</x:f>
        <x:v>0</x:v>
      </x:c>
      <x:c r="S199" t="n">
        <x:f>IF(AND(MAX(M199,M198)&gt;0,M199&gt;M198+0.00000001),1,0)</x:f>
        <x:v>0</x:v>
      </x:c>
      <x:c r="T199" t="n">
        <x:f>IF(AND(MAX(N199,N198)&gt;0,N199&gt;N198+0.00000001),1,0)</x:f>
        <x:v>0</x:v>
      </x:c>
      <x:c r="U199" t="n">
        <x:f>IF(AND(MAX(O199,O198)&gt;0,O199&gt;O198+0.00000001),1,0)</x:f>
        <x:v>0</x:v>
      </x:c>
    </x:row>
    <x:row r="200">
      <x:c r="J200" t="n">
        <x:f>IF(AND(ISNUMBER('Results'!B7),ISNUMBER('Results'!C7),ISNUMBER('Results'!$B$8),ISNUMBER('Inputs'!$B$6),ISNUMBER('Inputs'!$B$7),ISNUMBER('Inputs'!$B$8),ISNUMBER('Inputs'!$B$9),ISNUMBER('Inputs'!$B$10),ISNUMBER('Inputs'!$B$21),ISNUMBER('Inputs'!$B$24),ISNUMBER('Inputs'!$B$28)),(('Results'!B7*(0.5*((((200-43)*MAX('Inputs'!$B$33,'Inputs'!$B$29+'Inputs'!$B$31+'Inputs'!$B$32,'Inputs'!$B$30+'Inputs'!$B$31+'Inputs'!$B$32)/1000+'Inputs'!$B$21)+'Inputs'!$B$7)/SQRT((((200-43)*MAX('Inputs'!$B$33,'Inputs'!$B$29+'Inputs'!$B$31+'Inputs'!$B$32,'Inputs'!$B$30+'Inputs'!$B$31+'Inputs'!$B$32)/1000+'Inputs'!$B$21)+'Inputs'!$B$7)^2+('Inputs'!$B$6/2)^2)-(((200-43)*MAX('Inputs'!$B$33,'Inputs'!$B$29+'Inputs'!$B$31+'Inputs'!$B$32,'Inputs'!$B$30+'Inputs'!$B$31+'Inputs'!$B$32)/1000+'Inputs'!$B$21))/SQRT((((200-43)*MAX('Inputs'!$B$33,'Inputs'!$B$29+'Inputs'!$B$31+'Inputs'!$B$32,'Inputs'!$B$30+'Inputs'!$B$31+'Inputs'!$B$32)/1000+'Inputs'!$B$21))^2+('Inputs'!$B$6/2)^2)))-'Results'!C7*(0.5*((((200-43)*MAX('Inputs'!$B$33,'Inputs'!$B$29+'Inputs'!$B$31+'Inputs'!$B$32,'Inputs'!$B$30+'Inputs'!$B$31+'Inputs'!$B$32)/1000+'Inputs'!$B$21+'Inputs'!$B$7+'Inputs'!$B$10)+'Inputs'!$B$9)/SQRT((((200-43)*MAX('Inputs'!$B$33,'Inputs'!$B$29+'Inputs'!$B$31+'Inputs'!$B$32,'Inputs'!$B$30+'Inputs'!$B$31+'Inputs'!$B$32)/1000+'Inputs'!$B$21+'Inputs'!$B$7+'Inputs'!$B$10)+'Inputs'!$B$9)^2+('Inputs'!$B$8/2)^2)-(((200-43)*MAX('Inputs'!$B$33,'Inputs'!$B$29+'Inputs'!$B$31+'Inputs'!$B$32,'Inputs'!$B$30+'Inputs'!$B$31+'Inputs'!$B$32)/1000+'Inputs'!$B$21+'Inputs'!$B$7+'Inputs'!$B$10))/SQRT((((200-43)*MAX('Inputs'!$B$33,'Inputs'!$B$29+'Inputs'!$B$31+'Inputs'!$B$32,'Inputs'!$B$30+'Inputs'!$B$31+'Inputs'!$B$32)/1000+'Inputs'!$B$21+'Inputs'!$B$7+'Inputs'!$B$10))^2+('Inputs'!$B$8/2)^2))))*'Results'!$B$8),"")</x:f>
        <x:v>138.10748609689216</x:v>
      </x:c>
      <x:c r="K200" t="n">
        <x:f>IF(AND(ISNUMBER('Results'!B7),ISNUMBER('Results'!C7),ISNUMBER('Results'!$B$8),ISNUMBER('Inputs'!$B$6),ISNUMBER('Inputs'!$B$7),ISNUMBER('Inputs'!$B$8),ISNUMBER('Inputs'!$B$9),ISNUMBER('Inputs'!$B$10),ISNUMBER('Inputs'!$B$21),ISNUMBER('Inputs'!$B$24),ISNUMBER('Inputs'!$B$28)),((('Results'!B7*(1-'Inputs'!$B$24)*(0.5*((((200-43)*MAX('Inputs'!$B$33,'Inputs'!$B$29+'Inputs'!$B$31+'Inputs'!$B$32,'Inputs'!$B$30+'Inputs'!$B$31+'Inputs'!$B$32)/1000+'Inputs'!$B$21)+'Inputs'!$B$7)/SQRT((((200-43)*MAX('Inputs'!$B$33,'Inputs'!$B$29+'Inputs'!$B$31+'Inputs'!$B$32,'Inputs'!$B$30+'Inputs'!$B$31+'Inputs'!$B$32)/1000+'Inputs'!$B$21)+'Inputs'!$B$7)^2+('Inputs'!$B$6/2)^2)-(((200-43)*MAX('Inputs'!$B$33,'Inputs'!$B$29+'Inputs'!$B$31+'Inputs'!$B$32,'Inputs'!$B$30+'Inputs'!$B$31+'Inputs'!$B$32)/1000+'Inputs'!$B$21))/SQRT((((200-43)*MAX('Inputs'!$B$33,'Inputs'!$B$29+'Inputs'!$B$31+'Inputs'!$B$32,'Inputs'!$B$30+'Inputs'!$B$31+'Inputs'!$B$32)/1000+'Inputs'!$B$21))^2+('Inputs'!$B$6/2)^2)))-'Results'!C7*(1+'Inputs'!$B$24)*(0.5*((((200-43)*MAX('Inputs'!$B$33,'Inputs'!$B$29+'Inputs'!$B$31+'Inputs'!$B$32,'Inputs'!$B$30+'Inputs'!$B$31+'Inputs'!$B$32)/1000+'Inputs'!$B$21+'Inputs'!$B$7+'Inputs'!$B$10)+'Inputs'!$B$9)/SQRT((((200-43)*MAX('Inputs'!$B$33,'Inputs'!$B$29+'Inputs'!$B$31+'Inputs'!$B$32,'Inputs'!$B$30+'Inputs'!$B$31+'Inputs'!$B$32)/1000+'Inputs'!$B$21+'Inputs'!$B$7+'Inputs'!$B$10)+'Inputs'!$B$9)^2+('Inputs'!$B$8/2)^2)-(((200-43)*MAX('Inputs'!$B$33,'Inputs'!$B$29+'Inputs'!$B$31+'Inputs'!$B$32,'Inputs'!$B$30+'Inputs'!$B$31+'Inputs'!$B$32)/1000+'Inputs'!$B$21+'Inputs'!$B$7+'Inputs'!$B$10))/SQRT((((200-43)*MAX('Inputs'!$B$33,'Inputs'!$B$29+'Inputs'!$B$31+'Inputs'!$B$32,'Inputs'!$B$30+'Inputs'!$B$31+'Inputs'!$B$32)/1000+'Inputs'!$B$21+'Inputs'!$B$7+'Inputs'!$B$10))^2+('Inputs'!$B$8/2)^2))))*'Results'!$B$8)-'Inputs'!$B$28*ABS((('Results'!B7*(1-'Inputs'!$B$24)*(0.5*((((200-43)*MAX('Inputs'!$B$33,'Inputs'!$B$29+'Inputs'!$B$31+'Inputs'!$B$32,'Inputs'!$B$30+'Inputs'!$B$31+'Inputs'!$B$32)/1000+'Inputs'!$B$21)+'Inputs'!$B$7)/SQRT((((200-43)*MAX('Inputs'!$B$33,'Inputs'!$B$29+'Inputs'!$B$31+'Inputs'!$B$32,'Inputs'!$B$30+'Inputs'!$B$31+'Inputs'!$B$32)/1000+'Inputs'!$B$21)+'Inputs'!$B$7)^2+('Inputs'!$B$6/2)^2)-(((200-43)*MAX('Inputs'!$B$33,'Inputs'!$B$29+'Inputs'!$B$31+'Inputs'!$B$32,'Inputs'!$B$30+'Inputs'!$B$31+'Inputs'!$B$32)/1000+'Inputs'!$B$21))/SQRT((((200-43)*MAX('Inputs'!$B$33,'Inputs'!$B$29+'Inputs'!$B$31+'Inputs'!$B$32,'Inputs'!$B$30+'Inputs'!$B$31+'Inputs'!$B$32)/1000+'Inputs'!$B$21))^2+('Inputs'!$B$6/2)^2)))-'Results'!C7*(1+'Inputs'!$B$24)*(0.5*((((200-43)*MAX('Inputs'!$B$33,'Inputs'!$B$29+'Inputs'!$B$31+'Inputs'!$B$32,'Inputs'!$B$30+'Inputs'!$B$31+'Inputs'!$B$32)/1000+'Inputs'!$B$21+'Inputs'!$B$7+'Inputs'!$B$10)+'Inputs'!$B$9)/SQRT((((200-43)*MAX('Inputs'!$B$33,'Inputs'!$B$29+'Inputs'!$B$31+'Inputs'!$B$32,'Inputs'!$B$30+'Inputs'!$B$31+'Inputs'!$B$32)/1000+'Inputs'!$B$21+'Inputs'!$B$7+'Inputs'!$B$10)+'Inputs'!$B$9)^2+('Inputs'!$B$8/2)^2)-(((200-43)*MAX('Inputs'!$B$33,'Inputs'!$B$29+'Inputs'!$B$31+'Inputs'!$B$32,'Inputs'!$B$30+'Inputs'!$B$31+'Inputs'!$B$32)/1000+'Inputs'!$B$21+'Inputs'!$B$7+'Inputs'!$B$10))/SQRT((((200-43)*MAX('Inputs'!$B$33,'Inputs'!$B$29+'Inputs'!$B$31+'Inputs'!$B$32,'Inputs'!$B$30+'Inputs'!$B$31+'Inputs'!$B$32)/1000+'Inputs'!$B$21+'Inputs'!$B$7+'Inputs'!$B$10))^2+('Inputs'!$B$8/2)^2))))*'Results'!$B$8))),"")</x:f>
        <x:v>126.76722793339829</x:v>
      </x:c>
      <x:c r="L200" t="n">
        <x:f>IF(AND(ISNUMBER('Results'!B7),ISNUMBER('Results'!C7),ISNUMBER('Results'!$B$8),ISNUMBER('Inputs'!$B$6),ISNUMBER('Inputs'!$B$7),ISNUMBER('Inputs'!$B$8),ISNUMBER('Inputs'!$B$9),ISNUMBER('Inputs'!$B$10),ISNUMBER('Inputs'!$B$21),ISNUMBER('Inputs'!$B$24),ISNUMBER('Inputs'!$B$28)),((('Results'!B7*(1+'Inputs'!$B$24)*(0.5*((((200-43)*MAX('Inputs'!$B$33,'Inputs'!$B$29+'Inputs'!$B$31+'Inputs'!$B$32,'Inputs'!$B$30+'Inputs'!$B$31+'Inputs'!$B$32)/1000+'Inputs'!$B$21)+'Inputs'!$B$7)/SQRT((((200-43)*MAX('Inputs'!$B$33,'Inputs'!$B$29+'Inputs'!$B$31+'Inputs'!$B$32,'Inputs'!$B$30+'Inputs'!$B$31+'Inputs'!$B$32)/1000+'Inputs'!$B$21)+'Inputs'!$B$7)^2+('Inputs'!$B$6/2)^2)-(((200-43)*MAX('Inputs'!$B$33,'Inputs'!$B$29+'Inputs'!$B$31+'Inputs'!$B$32,'Inputs'!$B$30+'Inputs'!$B$31+'Inputs'!$B$32)/1000+'Inputs'!$B$21))/SQRT((((200-43)*MAX('Inputs'!$B$33,'Inputs'!$B$29+'Inputs'!$B$31+'Inputs'!$B$32,'Inputs'!$B$30+'Inputs'!$B$31+'Inputs'!$B$32)/1000+'Inputs'!$B$21))^2+('Inputs'!$B$6/2)^2)))-'Results'!C7*(1-'Inputs'!$B$24)*(0.5*((((200-43)*MAX('Inputs'!$B$33,'Inputs'!$B$29+'Inputs'!$B$31+'Inputs'!$B$32,'Inputs'!$B$30+'Inputs'!$B$31+'Inputs'!$B$32)/1000+'Inputs'!$B$21+'Inputs'!$B$7+'Inputs'!$B$10)+'Inputs'!$B$9)/SQRT((((200-43)*MAX('Inputs'!$B$33,'Inputs'!$B$29+'Inputs'!$B$31+'Inputs'!$B$32,'Inputs'!$B$30+'Inputs'!$B$31+'Inputs'!$B$32)/1000+'Inputs'!$B$21+'Inputs'!$B$7+'Inputs'!$B$10)+'Inputs'!$B$9)^2+('Inputs'!$B$8/2)^2)-(((200-43)*MAX('Inputs'!$B$33,'Inputs'!$B$29+'Inputs'!$B$31+'Inputs'!$B$32,'Inputs'!$B$30+'Inputs'!$B$31+'Inputs'!$B$32)/1000+'Inputs'!$B$21+'Inputs'!$B$7+'Inputs'!$B$10))/SQRT((((200-43)*MAX('Inputs'!$B$33,'Inputs'!$B$29+'Inputs'!$B$31+'Inputs'!$B$32,'Inputs'!$B$30+'Inputs'!$B$31+'Inputs'!$B$32)/1000+'Inputs'!$B$21+'Inputs'!$B$7+'Inputs'!$B$10))^2+('Inputs'!$B$8/2)^2))))*'Results'!$B$8)+'Inputs'!$B$28*ABS((('Results'!B7*(1+'Inputs'!$B$24)*(0.5*((((200-43)*MAX('Inputs'!$B$33,'Inputs'!$B$29+'Inputs'!$B$31+'Inputs'!$B$32,'Inputs'!$B$30+'Inputs'!$B$31+'Inputs'!$B$32)/1000+'Inputs'!$B$21)+'Inputs'!$B$7)/SQRT((((200-43)*MAX('Inputs'!$B$33,'Inputs'!$B$29+'Inputs'!$B$31+'Inputs'!$B$32,'Inputs'!$B$30+'Inputs'!$B$31+'Inputs'!$B$32)/1000+'Inputs'!$B$21)+'Inputs'!$B$7)^2+('Inputs'!$B$6/2)^2)-(((200-43)*MAX('Inputs'!$B$33,'Inputs'!$B$29+'Inputs'!$B$31+'Inputs'!$B$32,'Inputs'!$B$30+'Inputs'!$B$31+'Inputs'!$B$32)/1000+'Inputs'!$B$21))/SQRT((((200-43)*MAX('Inputs'!$B$33,'Inputs'!$B$29+'Inputs'!$B$31+'Inputs'!$B$32,'Inputs'!$B$30+'Inputs'!$B$31+'Inputs'!$B$32)/1000+'Inputs'!$B$21))^2+('Inputs'!$B$6/2)^2)))-'Results'!C7*(1-'Inputs'!$B$24)*(0.5*((((200-43)*MAX('Inputs'!$B$33,'Inputs'!$B$29+'Inputs'!$B$31+'Inputs'!$B$32,'Inputs'!$B$30+'Inputs'!$B$31+'Inputs'!$B$32)/1000+'Inputs'!$B$21+'Inputs'!$B$7+'Inputs'!$B$10)+'Inputs'!$B$9)/SQRT((((200-43)*MAX('Inputs'!$B$33,'Inputs'!$B$29+'Inputs'!$B$31+'Inputs'!$B$32,'Inputs'!$B$30+'Inputs'!$B$31+'Inputs'!$B$32)/1000+'Inputs'!$B$21+'Inputs'!$B$7+'Inputs'!$B$10)+'Inputs'!$B$9)^2+('Inputs'!$B$8/2)^2)-(((200-43)*MAX('Inputs'!$B$33,'Inputs'!$B$29+'Inputs'!$B$31+'Inputs'!$B$32,'Inputs'!$B$30+'Inputs'!$B$31+'Inputs'!$B$32)/1000+'Inputs'!$B$21+'Inputs'!$B$7+'Inputs'!$B$10))/SQRT((((200-43)*MAX('Inputs'!$B$33,'Inputs'!$B$29+'Inputs'!$B$31+'Inputs'!$B$32,'Inputs'!$B$30+'Inputs'!$B$31+'Inputs'!$B$32)/1000+'Inputs'!$B$21+'Inputs'!$B$7+'Inputs'!$B$10))^2+('Inputs'!$B$8/2)^2))))*'Results'!$B$8))),"")</x:f>
        <x:v>149.91457414024387</x:v>
      </x:c>
      <x:c r="M200" t="n">
        <x:f>IF(AND(ISNUMBER('Results'!C7),ISNUMBER('Results'!B7),ISNUMBER('Results'!$B$8),ISNUMBER('Inputs'!$B$6),ISNUMBER('Inputs'!$B$7),ISNUMBER('Inputs'!$B$8),ISNUMBER('Inputs'!$B$9),ISNUMBER('Inputs'!$B$10),ISNUMBER('Inputs'!$B$21),ISNUMBER('Inputs'!$B$24),ISNUMBER('Inputs'!$B$28)),(('Results'!C7*(0.5*((((200-43)*MAX('Inputs'!$B$33,'Inputs'!$B$29+'Inputs'!$B$31+'Inputs'!$B$32,'Inputs'!$B$30+'Inputs'!$B$31+'Inputs'!$B$32)/1000+'Inputs'!$B$21)+'Inputs'!$B$9)/SQRT((((200-43)*MAX('Inputs'!$B$33,'Inputs'!$B$29+'Inputs'!$B$31+'Inputs'!$B$32,'Inputs'!$B$30+'Inputs'!$B$31+'Inputs'!$B$32)/1000+'Inputs'!$B$21)+'Inputs'!$B$9)^2+('Inputs'!$B$8/2)^2)-(((200-43)*MAX('Inputs'!$B$33,'Inputs'!$B$29+'Inputs'!$B$31+'Inputs'!$B$32,'Inputs'!$B$30+'Inputs'!$B$31+'Inputs'!$B$32)/1000+'Inputs'!$B$21))/SQRT((((200-43)*MAX('Inputs'!$B$33,'Inputs'!$B$29+'Inputs'!$B$31+'Inputs'!$B$32,'Inputs'!$B$30+'Inputs'!$B$31+'Inputs'!$B$32)/1000+'Inputs'!$B$21))^2+('Inputs'!$B$8/2)^2)))-'Results'!B7*(0.5*((((200-43)*MAX('Inputs'!$B$33,'Inputs'!$B$29+'Inputs'!$B$31+'Inputs'!$B$32,'Inputs'!$B$30+'Inputs'!$B$31+'Inputs'!$B$32)/1000+'Inputs'!$B$21+'Inputs'!$B$9+'Inputs'!$B$10)+'Inputs'!$B$7)/SQRT((((200-43)*MAX('Inputs'!$B$33,'Inputs'!$B$29+'Inputs'!$B$31+'Inputs'!$B$32,'Inputs'!$B$30+'Inputs'!$B$31+'Inputs'!$B$32)/1000+'Inputs'!$B$21+'Inputs'!$B$9+'Inputs'!$B$10)+'Inputs'!$B$7)^2+('Inputs'!$B$6/2)^2)-(((200-43)*MAX('Inputs'!$B$33,'Inputs'!$B$29+'Inputs'!$B$31+'Inputs'!$B$32,'Inputs'!$B$30+'Inputs'!$B$31+'Inputs'!$B$32)/1000+'Inputs'!$B$21+'Inputs'!$B$9+'Inputs'!$B$10))/SQRT((((200-43)*MAX('Inputs'!$B$33,'Inputs'!$B$29+'Inputs'!$B$31+'Inputs'!$B$32,'Inputs'!$B$30+'Inputs'!$B$31+'Inputs'!$B$32)/1000+'Inputs'!$B$21+'Inputs'!$B$9+'Inputs'!$B$10))^2+('Inputs'!$B$6/2)^2))))*'Results'!$B$8),"")</x:f>
        <x:v>133.41973679753195</x:v>
      </x:c>
      <x:c r="N200" t="n">
        <x:f>IF(AND(ISNUMBER('Results'!C7),ISNUMBER('Results'!B7),ISNUMBER('Results'!$B$8),ISNUMBER('Inputs'!$B$6),ISNUMBER('Inputs'!$B$7),ISNUMBER('Inputs'!$B$8),ISNUMBER('Inputs'!$B$9),ISNUMBER('Inputs'!$B$10),ISNUMBER('Inputs'!$B$21),ISNUMBER('Inputs'!$B$24),ISNUMBER('Inputs'!$B$28)),((('Results'!C7*(1-'Inputs'!$B$24)*(0.5*((((200-43)*MAX('Inputs'!$B$33,'Inputs'!$B$29+'Inputs'!$B$31+'Inputs'!$B$32,'Inputs'!$B$30+'Inputs'!$B$31+'Inputs'!$B$32)/1000+'Inputs'!$B$21)+'Inputs'!$B$9)/SQRT((((200-43)*MAX('Inputs'!$B$33,'Inputs'!$B$29+'Inputs'!$B$31+'Inputs'!$B$32,'Inputs'!$B$30+'Inputs'!$B$31+'Inputs'!$B$32)/1000+'Inputs'!$B$21)+'Inputs'!$B$9)^2+('Inputs'!$B$8/2)^2)-(((200-43)*MAX('Inputs'!$B$33,'Inputs'!$B$29+'Inputs'!$B$31+'Inputs'!$B$32,'Inputs'!$B$30+'Inputs'!$B$31+'Inputs'!$B$32)/1000+'Inputs'!$B$21))/SQRT((((200-43)*MAX('Inputs'!$B$33,'Inputs'!$B$29+'Inputs'!$B$31+'Inputs'!$B$32,'Inputs'!$B$30+'Inputs'!$B$31+'Inputs'!$B$32)/1000+'Inputs'!$B$21))^2+('Inputs'!$B$8/2)^2)))-'Results'!B7*(1+'Inputs'!$B$24)*(0.5*((((200-43)*MAX('Inputs'!$B$33,'Inputs'!$B$29+'Inputs'!$B$31+'Inputs'!$B$32,'Inputs'!$B$30+'Inputs'!$B$31+'Inputs'!$B$32)/1000+'Inputs'!$B$21+'Inputs'!$B$9+'Inputs'!$B$10)+'Inputs'!$B$7)/SQRT((((200-43)*MAX('Inputs'!$B$33,'Inputs'!$B$29+'Inputs'!$B$31+'Inputs'!$B$32,'Inputs'!$B$30+'Inputs'!$B$31+'Inputs'!$B$32)/1000+'Inputs'!$B$21+'Inputs'!$B$9+'Inputs'!$B$10)+'Inputs'!$B$7)^2+('Inputs'!$B$6/2)^2)-(((200-43)*MAX('Inputs'!$B$33,'Inputs'!$B$29+'Inputs'!$B$31+'Inputs'!$B$32,'Inputs'!$B$30+'Inputs'!$B$31+'Inputs'!$B$32)/1000+'Inputs'!$B$21+'Inputs'!$B$9+'Inputs'!$B$10))/SQRT((((200-43)*MAX('Inputs'!$B$33,'Inputs'!$B$29+'Inputs'!$B$31+'Inputs'!$B$32,'Inputs'!$B$30+'Inputs'!$B$31+'Inputs'!$B$32)/1000+'Inputs'!$B$21+'Inputs'!$B$9+'Inputs'!$B$10))^2+('Inputs'!$B$6/2)^2))))*'Results'!$B$8)-'Inputs'!$B$28*ABS((('Results'!C7*(1-'Inputs'!$B$24)*(0.5*((((200-43)*MAX('Inputs'!$B$33,'Inputs'!$B$29+'Inputs'!$B$31+'Inputs'!$B$32,'Inputs'!$B$30+'Inputs'!$B$31+'Inputs'!$B$32)/1000+'Inputs'!$B$21)+'Inputs'!$B$9)/SQRT((((200-43)*MAX('Inputs'!$B$33,'Inputs'!$B$29+'Inputs'!$B$31+'Inputs'!$B$32,'Inputs'!$B$30+'Inputs'!$B$31+'Inputs'!$B$32)/1000+'Inputs'!$B$21)+'Inputs'!$B$9)^2+('Inputs'!$B$8/2)^2)-(((200-43)*MAX('Inputs'!$B$33,'Inputs'!$B$29+'Inputs'!$B$31+'Inputs'!$B$32,'Inputs'!$B$30+'Inputs'!$B$31+'Inputs'!$B$32)/1000+'Inputs'!$B$21))/SQRT((((200-43)*MAX('Inputs'!$B$33,'Inputs'!$B$29+'Inputs'!$B$31+'Inputs'!$B$32,'Inputs'!$B$30+'Inputs'!$B$31+'Inputs'!$B$32)/1000+'Inputs'!$B$21))^2+('Inputs'!$B$8/2)^2)))-'Results'!B7*(1+'Inputs'!$B$24)*(0.5*((((200-43)*MAX('Inputs'!$B$33,'Inputs'!$B$29+'Inputs'!$B$31+'Inputs'!$B$32,'Inputs'!$B$30+'Inputs'!$B$31+'Inputs'!$B$32)/1000+'Inputs'!$B$21+'Inputs'!$B$9+'Inputs'!$B$10)+'Inputs'!$B$7)/SQRT((((200-43)*MAX('Inputs'!$B$33,'Inputs'!$B$29+'Inputs'!$B$31+'Inputs'!$B$32,'Inputs'!$B$30+'Inputs'!$B$31+'Inputs'!$B$32)/1000+'Inputs'!$B$21+'Inputs'!$B$9+'Inputs'!$B$10)+'Inputs'!$B$7)^2+('Inputs'!$B$6/2)^2)-(((200-43)*MAX('Inputs'!$B$33,'Inputs'!$B$29+'Inputs'!$B$31+'Inputs'!$B$32,'Inputs'!$B$30+'Inputs'!$B$31+'Inputs'!$B$32)/1000+'Inputs'!$B$21+'Inputs'!$B$9+'Inputs'!$B$10))/SQRT((((200-43)*MAX('Inputs'!$B$33,'Inputs'!$B$29+'Inputs'!$B$31+'Inputs'!$B$32,'Inputs'!$B$30+'Inputs'!$B$31+'Inputs'!$B$32)/1000+'Inputs'!$B$21+'Inputs'!$B$9+'Inputs'!$B$10))^2+('Inputs'!$B$6/2)^2))))*'Results'!$B$8))),"")</x:f>
        <x:v>122.36597738420802</x:v>
      </x:c>
      <x:c r="O200" t="n">
        <x:f>IF(AND(ISNUMBER('Results'!C7),ISNUMBER('Results'!B7),ISNUMBER('Results'!$B$8),ISNUMBER('Inputs'!$B$6),ISNUMBER('Inputs'!$B$7),ISNUMBER('Inputs'!$B$8),ISNUMBER('Inputs'!$B$9),ISNUMBER('Inputs'!$B$10),ISNUMBER('Inputs'!$B$21),ISNUMBER('Inputs'!$B$24),ISNUMBER('Inputs'!$B$28)),((('Results'!C7*(1+'Inputs'!$B$24)*(0.5*((((200-43)*MAX('Inputs'!$B$33,'Inputs'!$B$29+'Inputs'!$B$31+'Inputs'!$B$32,'Inputs'!$B$30+'Inputs'!$B$31+'Inputs'!$B$32)/1000+'Inputs'!$B$21)+'Inputs'!$B$9)/SQRT((((200-43)*MAX('Inputs'!$B$33,'Inputs'!$B$29+'Inputs'!$B$31+'Inputs'!$B$32,'Inputs'!$B$30+'Inputs'!$B$31+'Inputs'!$B$32)/1000+'Inputs'!$B$21)+'Inputs'!$B$9)^2+('Inputs'!$B$8/2)^2)-(((200-43)*MAX('Inputs'!$B$33,'Inputs'!$B$29+'Inputs'!$B$31+'Inputs'!$B$32,'Inputs'!$B$30+'Inputs'!$B$31+'Inputs'!$B$32)/1000+'Inputs'!$B$21))/SQRT((((200-43)*MAX('Inputs'!$B$33,'Inputs'!$B$29+'Inputs'!$B$31+'Inputs'!$B$32,'Inputs'!$B$30+'Inputs'!$B$31+'Inputs'!$B$32)/1000+'Inputs'!$B$21))^2+('Inputs'!$B$8/2)^2)))-'Results'!B7*(1-'Inputs'!$B$24)*(0.5*((((200-43)*MAX('Inputs'!$B$33,'Inputs'!$B$29+'Inputs'!$B$31+'Inputs'!$B$32,'Inputs'!$B$30+'Inputs'!$B$31+'Inputs'!$B$32)/1000+'Inputs'!$B$21+'Inputs'!$B$9+'Inputs'!$B$10)+'Inputs'!$B$7)/SQRT((((200-43)*MAX('Inputs'!$B$33,'Inputs'!$B$29+'Inputs'!$B$31+'Inputs'!$B$32,'Inputs'!$B$30+'Inputs'!$B$31+'Inputs'!$B$32)/1000+'Inputs'!$B$21+'Inputs'!$B$9+'Inputs'!$B$10)+'Inputs'!$B$7)^2+('Inputs'!$B$6/2)^2)-(((200-43)*MAX('Inputs'!$B$33,'Inputs'!$B$29+'Inputs'!$B$31+'Inputs'!$B$32,'Inputs'!$B$30+'Inputs'!$B$31+'Inputs'!$B$32)/1000+'Inputs'!$B$21+'Inputs'!$B$9+'Inputs'!$B$10))/SQRT((((200-43)*MAX('Inputs'!$B$33,'Inputs'!$B$29+'Inputs'!$B$31+'Inputs'!$B$32,'Inputs'!$B$30+'Inputs'!$B$31+'Inputs'!$B$32)/1000+'Inputs'!$B$21+'Inputs'!$B$9+'Inputs'!$B$10))^2+('Inputs'!$B$6/2)^2))))*'Results'!$B$8)+'Inputs'!$B$28*ABS((('Results'!C7*(1+'Inputs'!$B$24)*(0.5*((((200-43)*MAX('Inputs'!$B$33,'Inputs'!$B$29+'Inputs'!$B$31+'Inputs'!$B$32,'Inputs'!$B$30+'Inputs'!$B$31+'Inputs'!$B$32)/1000+'Inputs'!$B$21)+'Inputs'!$B$9)/SQRT((((200-43)*MAX('Inputs'!$B$33,'Inputs'!$B$29+'Inputs'!$B$31+'Inputs'!$B$32,'Inputs'!$B$30+'Inputs'!$B$31+'Inputs'!$B$32)/1000+'Inputs'!$B$21)+'Inputs'!$B$9)^2+('Inputs'!$B$8/2)^2)-(((200-43)*MAX('Inputs'!$B$33,'Inputs'!$B$29+'Inputs'!$B$31+'Inputs'!$B$32,'Inputs'!$B$30+'Inputs'!$B$31+'Inputs'!$B$32)/1000+'Inputs'!$B$21))/SQRT((((200-43)*MAX('Inputs'!$B$33,'Inputs'!$B$29+'Inputs'!$B$31+'Inputs'!$B$32,'Inputs'!$B$30+'Inputs'!$B$31+'Inputs'!$B$32)/1000+'Inputs'!$B$21))^2+('Inputs'!$B$8/2)^2)))-'Results'!B7*(1-'Inputs'!$B$24)*(0.5*((((200-43)*MAX('Inputs'!$B$33,'Inputs'!$B$29+'Inputs'!$B$31+'Inputs'!$B$32,'Inputs'!$B$30+'Inputs'!$B$31+'Inputs'!$B$32)/1000+'Inputs'!$B$21+'Inputs'!$B$9+'Inputs'!$B$10)+'Inputs'!$B$7)/SQRT((((200-43)*MAX('Inputs'!$B$33,'Inputs'!$B$29+'Inputs'!$B$31+'Inputs'!$B$32,'Inputs'!$B$30+'Inputs'!$B$31+'Inputs'!$B$32)/1000+'Inputs'!$B$21+'Inputs'!$B$9+'Inputs'!$B$10)+'Inputs'!$B$7)^2+('Inputs'!$B$6/2)^2)-(((200-43)*MAX('Inputs'!$B$33,'Inputs'!$B$29+'Inputs'!$B$31+'Inputs'!$B$32,'Inputs'!$B$30+'Inputs'!$B$31+'Inputs'!$B$32)/1000+'Inputs'!$B$21+'Inputs'!$B$9+'Inputs'!$B$10))/SQRT((((200-43)*MAX('Inputs'!$B$33,'Inputs'!$B$29+'Inputs'!$B$31+'Inputs'!$B$32,'Inputs'!$B$30+'Inputs'!$B$31+'Inputs'!$B$32)/1000+'Inputs'!$B$21+'Inputs'!$B$9+'Inputs'!$B$10))^2+('Inputs'!$B$6/2)^2))))*'Results'!$B$8))),"")</x:f>
        <x:v>144.93484069227137</x:v>
      </x:c>
      <x:c r="P200" t="n">
        <x:f>IF(AND(MAX(J200,J199)&gt;0,J200&gt;J199+0.00000001),1,0)</x:f>
        <x:v>0</x:v>
      </x:c>
      <x:c r="Q200" t="n">
        <x:f>IF(AND(MAX(K200,K199)&gt;0,K200&gt;K199+0.00000001),1,0)</x:f>
        <x:v>0</x:v>
      </x:c>
      <x:c r="R200" t="n">
        <x:f>IF(AND(MAX(L200,L199)&gt;0,L200&gt;L199+0.00000001),1,0)</x:f>
        <x:v>0</x:v>
      </x:c>
      <x:c r="S200" t="n">
        <x:f>IF(AND(MAX(M200,M199)&gt;0,M200&gt;M199+0.00000001),1,0)</x:f>
        <x:v>0</x:v>
      </x:c>
      <x:c r="T200" t="n">
        <x:f>IF(AND(MAX(N200,N199)&gt;0,N200&gt;N199+0.00000001),1,0)</x:f>
        <x:v>0</x:v>
      </x:c>
      <x:c r="U200" t="n">
        <x:f>IF(AND(MAX(O200,O199)&gt;0,O200&gt;O199+0.00000001),1,0)</x:f>
        <x:v>0</x:v>
      </x:c>
    </x:row>
    <x:row r="201">
      <x:c r="J201" t="n">
        <x:f>IF(AND(ISNUMBER('Results'!B7),ISNUMBER('Results'!C7),ISNUMBER('Results'!$B$8),ISNUMBER('Inputs'!$B$6),ISNUMBER('Inputs'!$B$7),ISNUMBER('Inputs'!$B$8),ISNUMBER('Inputs'!$B$9),ISNUMBER('Inputs'!$B$10),ISNUMBER('Inputs'!$B$21),ISNUMBER('Inputs'!$B$24),ISNUMBER('Inputs'!$B$28)),(('Results'!B7*(0.5*((((201-43)*MAX('Inputs'!$B$33,'Inputs'!$B$29+'Inputs'!$B$31+'Inputs'!$B$32,'Inputs'!$B$30+'Inputs'!$B$31+'Inputs'!$B$32)/1000+'Inputs'!$B$21)+'Inputs'!$B$7)/SQRT((((201-43)*MAX('Inputs'!$B$33,'Inputs'!$B$29+'Inputs'!$B$31+'Inputs'!$B$32,'Inputs'!$B$30+'Inputs'!$B$31+'Inputs'!$B$32)/1000+'Inputs'!$B$21)+'Inputs'!$B$7)^2+('Inputs'!$B$6/2)^2)-(((201-43)*MAX('Inputs'!$B$33,'Inputs'!$B$29+'Inputs'!$B$31+'Inputs'!$B$32,'Inputs'!$B$30+'Inputs'!$B$31+'Inputs'!$B$32)/1000+'Inputs'!$B$21))/SQRT((((201-43)*MAX('Inputs'!$B$33,'Inputs'!$B$29+'Inputs'!$B$31+'Inputs'!$B$32,'Inputs'!$B$30+'Inputs'!$B$31+'Inputs'!$B$32)/1000+'Inputs'!$B$21))^2+('Inputs'!$B$6/2)^2)))-'Results'!C7*(0.5*((((201-43)*MAX('Inputs'!$B$33,'Inputs'!$B$29+'Inputs'!$B$31+'Inputs'!$B$32,'Inputs'!$B$30+'Inputs'!$B$31+'Inputs'!$B$32)/1000+'Inputs'!$B$21+'Inputs'!$B$7+'Inputs'!$B$10)+'Inputs'!$B$9)/SQRT((((201-43)*MAX('Inputs'!$B$33,'Inputs'!$B$29+'Inputs'!$B$31+'Inputs'!$B$32,'Inputs'!$B$30+'Inputs'!$B$31+'Inputs'!$B$32)/1000+'Inputs'!$B$21+'Inputs'!$B$7+'Inputs'!$B$10)+'Inputs'!$B$9)^2+('Inputs'!$B$8/2)^2)-(((201-43)*MAX('Inputs'!$B$33,'Inputs'!$B$29+'Inputs'!$B$31+'Inputs'!$B$32,'Inputs'!$B$30+'Inputs'!$B$31+'Inputs'!$B$32)/1000+'Inputs'!$B$21+'Inputs'!$B$7+'Inputs'!$B$10))/SQRT((((201-43)*MAX('Inputs'!$B$33,'Inputs'!$B$29+'Inputs'!$B$31+'Inputs'!$B$32,'Inputs'!$B$30+'Inputs'!$B$31+'Inputs'!$B$32)/1000+'Inputs'!$B$21+'Inputs'!$B$7+'Inputs'!$B$10))^2+('Inputs'!$B$8/2)^2))))*'Results'!$B$8),"")</x:f>
        <x:v>135.9428572498362</x:v>
      </x:c>
      <x:c r="K201" t="n">
        <x:f>IF(AND(ISNUMBER('Results'!B7),ISNUMBER('Results'!C7),ISNUMBER('Results'!$B$8),ISNUMBER('Inputs'!$B$6),ISNUMBER('Inputs'!$B$7),ISNUMBER('Inputs'!$B$8),ISNUMBER('Inputs'!$B$9),ISNUMBER('Inputs'!$B$10),ISNUMBER('Inputs'!$B$21),ISNUMBER('Inputs'!$B$24),ISNUMBER('Inputs'!$B$28)),((('Results'!B7*(1-'Inputs'!$B$24)*(0.5*((((201-43)*MAX('Inputs'!$B$33,'Inputs'!$B$29+'Inputs'!$B$31+'Inputs'!$B$32,'Inputs'!$B$30+'Inputs'!$B$31+'Inputs'!$B$32)/1000+'Inputs'!$B$21)+'Inputs'!$B$7)/SQRT((((201-43)*MAX('Inputs'!$B$33,'Inputs'!$B$29+'Inputs'!$B$31+'Inputs'!$B$32,'Inputs'!$B$30+'Inputs'!$B$31+'Inputs'!$B$32)/1000+'Inputs'!$B$21)+'Inputs'!$B$7)^2+('Inputs'!$B$6/2)^2)-(((201-43)*MAX('Inputs'!$B$33,'Inputs'!$B$29+'Inputs'!$B$31+'Inputs'!$B$32,'Inputs'!$B$30+'Inputs'!$B$31+'Inputs'!$B$32)/1000+'Inputs'!$B$21))/SQRT((((201-43)*MAX('Inputs'!$B$33,'Inputs'!$B$29+'Inputs'!$B$31+'Inputs'!$B$32,'Inputs'!$B$30+'Inputs'!$B$31+'Inputs'!$B$32)/1000+'Inputs'!$B$21))^2+('Inputs'!$B$6/2)^2)))-'Results'!C7*(1+'Inputs'!$B$24)*(0.5*((((201-43)*MAX('Inputs'!$B$33,'Inputs'!$B$29+'Inputs'!$B$31+'Inputs'!$B$32,'Inputs'!$B$30+'Inputs'!$B$31+'Inputs'!$B$32)/1000+'Inputs'!$B$21+'Inputs'!$B$7+'Inputs'!$B$10)+'Inputs'!$B$9)/SQRT((((201-43)*MAX('Inputs'!$B$33,'Inputs'!$B$29+'Inputs'!$B$31+'Inputs'!$B$32,'Inputs'!$B$30+'Inputs'!$B$31+'Inputs'!$B$32)/1000+'Inputs'!$B$21+'Inputs'!$B$7+'Inputs'!$B$10)+'Inputs'!$B$9)^2+('Inputs'!$B$8/2)^2)-(((201-43)*MAX('Inputs'!$B$33,'Inputs'!$B$29+'Inputs'!$B$31+'Inputs'!$B$32,'Inputs'!$B$30+'Inputs'!$B$31+'Inputs'!$B$32)/1000+'Inputs'!$B$21+'Inputs'!$B$7+'Inputs'!$B$10))/SQRT((((201-43)*MAX('Inputs'!$B$33,'Inputs'!$B$29+'Inputs'!$B$31+'Inputs'!$B$32,'Inputs'!$B$30+'Inputs'!$B$31+'Inputs'!$B$32)/1000+'Inputs'!$B$21+'Inputs'!$B$7+'Inputs'!$B$10))^2+('Inputs'!$B$8/2)^2))))*'Results'!$B$8)-'Inputs'!$B$28*ABS((('Results'!B7*(1-'Inputs'!$B$24)*(0.5*((((201-43)*MAX('Inputs'!$B$33,'Inputs'!$B$29+'Inputs'!$B$31+'Inputs'!$B$32,'Inputs'!$B$30+'Inputs'!$B$31+'Inputs'!$B$32)/1000+'Inputs'!$B$21)+'Inputs'!$B$7)/SQRT((((201-43)*MAX('Inputs'!$B$33,'Inputs'!$B$29+'Inputs'!$B$31+'Inputs'!$B$32,'Inputs'!$B$30+'Inputs'!$B$31+'Inputs'!$B$32)/1000+'Inputs'!$B$21)+'Inputs'!$B$7)^2+('Inputs'!$B$6/2)^2)-(((201-43)*MAX('Inputs'!$B$33,'Inputs'!$B$29+'Inputs'!$B$31+'Inputs'!$B$32,'Inputs'!$B$30+'Inputs'!$B$31+'Inputs'!$B$32)/1000+'Inputs'!$B$21))/SQRT((((201-43)*MAX('Inputs'!$B$33,'Inputs'!$B$29+'Inputs'!$B$31+'Inputs'!$B$32,'Inputs'!$B$30+'Inputs'!$B$31+'Inputs'!$B$32)/1000+'Inputs'!$B$21))^2+('Inputs'!$B$6/2)^2)))-'Results'!C7*(1+'Inputs'!$B$24)*(0.5*((((201-43)*MAX('Inputs'!$B$33,'Inputs'!$B$29+'Inputs'!$B$31+'Inputs'!$B$32,'Inputs'!$B$30+'Inputs'!$B$31+'Inputs'!$B$32)/1000+'Inputs'!$B$21+'Inputs'!$B$7+'Inputs'!$B$10)+'Inputs'!$B$9)/SQRT((((201-43)*MAX('Inputs'!$B$33,'Inputs'!$B$29+'Inputs'!$B$31+'Inputs'!$B$32,'Inputs'!$B$30+'Inputs'!$B$31+'Inputs'!$B$32)/1000+'Inputs'!$B$21+'Inputs'!$B$7+'Inputs'!$B$10)+'Inputs'!$B$9)^2+('Inputs'!$B$8/2)^2)-(((201-43)*MAX('Inputs'!$B$33,'Inputs'!$B$29+'Inputs'!$B$31+'Inputs'!$B$32,'Inputs'!$B$30+'Inputs'!$B$31+'Inputs'!$B$32)/1000+'Inputs'!$B$21+'Inputs'!$B$7+'Inputs'!$B$10))/SQRT((((201-43)*MAX('Inputs'!$B$33,'Inputs'!$B$29+'Inputs'!$B$31+'Inputs'!$B$32,'Inputs'!$B$30+'Inputs'!$B$31+'Inputs'!$B$32)/1000+'Inputs'!$B$21+'Inputs'!$B$7+'Inputs'!$B$10))^2+('Inputs'!$B$8/2)^2))))*'Results'!$B$8))),"")</x:f>
        <x:v>124.76928033434267</x:v>
      </x:c>
      <x:c r="L201" t="n">
        <x:f>IF(AND(ISNUMBER('Results'!B7),ISNUMBER('Results'!C7),ISNUMBER('Results'!$B$8),ISNUMBER('Inputs'!$B$6),ISNUMBER('Inputs'!$B$7),ISNUMBER('Inputs'!$B$8),ISNUMBER('Inputs'!$B$9),ISNUMBER('Inputs'!$B$10),ISNUMBER('Inputs'!$B$21),ISNUMBER('Inputs'!$B$24),ISNUMBER('Inputs'!$B$28)),((('Results'!B7*(1+'Inputs'!$B$24)*(0.5*((((201-43)*MAX('Inputs'!$B$33,'Inputs'!$B$29+'Inputs'!$B$31+'Inputs'!$B$32,'Inputs'!$B$30+'Inputs'!$B$31+'Inputs'!$B$32)/1000+'Inputs'!$B$21)+'Inputs'!$B$7)/SQRT((((201-43)*MAX('Inputs'!$B$33,'Inputs'!$B$29+'Inputs'!$B$31+'Inputs'!$B$32,'Inputs'!$B$30+'Inputs'!$B$31+'Inputs'!$B$32)/1000+'Inputs'!$B$21)+'Inputs'!$B$7)^2+('Inputs'!$B$6/2)^2)-(((201-43)*MAX('Inputs'!$B$33,'Inputs'!$B$29+'Inputs'!$B$31+'Inputs'!$B$32,'Inputs'!$B$30+'Inputs'!$B$31+'Inputs'!$B$32)/1000+'Inputs'!$B$21))/SQRT((((201-43)*MAX('Inputs'!$B$33,'Inputs'!$B$29+'Inputs'!$B$31+'Inputs'!$B$32,'Inputs'!$B$30+'Inputs'!$B$31+'Inputs'!$B$32)/1000+'Inputs'!$B$21))^2+('Inputs'!$B$6/2)^2)))-'Results'!C7*(1-'Inputs'!$B$24)*(0.5*((((201-43)*MAX('Inputs'!$B$33,'Inputs'!$B$29+'Inputs'!$B$31+'Inputs'!$B$32,'Inputs'!$B$30+'Inputs'!$B$31+'Inputs'!$B$32)/1000+'Inputs'!$B$21+'Inputs'!$B$7+'Inputs'!$B$10)+'Inputs'!$B$9)/SQRT((((201-43)*MAX('Inputs'!$B$33,'Inputs'!$B$29+'Inputs'!$B$31+'Inputs'!$B$32,'Inputs'!$B$30+'Inputs'!$B$31+'Inputs'!$B$32)/1000+'Inputs'!$B$21+'Inputs'!$B$7+'Inputs'!$B$10)+'Inputs'!$B$9)^2+('Inputs'!$B$8/2)^2)-(((201-43)*MAX('Inputs'!$B$33,'Inputs'!$B$29+'Inputs'!$B$31+'Inputs'!$B$32,'Inputs'!$B$30+'Inputs'!$B$31+'Inputs'!$B$32)/1000+'Inputs'!$B$21+'Inputs'!$B$7+'Inputs'!$B$10))/SQRT((((201-43)*MAX('Inputs'!$B$33,'Inputs'!$B$29+'Inputs'!$B$31+'Inputs'!$B$32,'Inputs'!$B$30+'Inputs'!$B$31+'Inputs'!$B$32)/1000+'Inputs'!$B$21+'Inputs'!$B$7+'Inputs'!$B$10))^2+('Inputs'!$B$8/2)^2))))*'Results'!$B$8)+'Inputs'!$B$28*ABS((('Results'!B7*(1+'Inputs'!$B$24)*(0.5*((((201-43)*MAX('Inputs'!$B$33,'Inputs'!$B$29+'Inputs'!$B$31+'Inputs'!$B$32,'Inputs'!$B$30+'Inputs'!$B$31+'Inputs'!$B$32)/1000+'Inputs'!$B$21)+'Inputs'!$B$7)/SQRT((((201-43)*MAX('Inputs'!$B$33,'Inputs'!$B$29+'Inputs'!$B$31+'Inputs'!$B$32,'Inputs'!$B$30+'Inputs'!$B$31+'Inputs'!$B$32)/1000+'Inputs'!$B$21)+'Inputs'!$B$7)^2+('Inputs'!$B$6/2)^2)-(((201-43)*MAX('Inputs'!$B$33,'Inputs'!$B$29+'Inputs'!$B$31+'Inputs'!$B$32,'Inputs'!$B$30+'Inputs'!$B$31+'Inputs'!$B$32)/1000+'Inputs'!$B$21))/SQRT((((201-43)*MAX('Inputs'!$B$33,'Inputs'!$B$29+'Inputs'!$B$31+'Inputs'!$B$32,'Inputs'!$B$30+'Inputs'!$B$31+'Inputs'!$B$32)/1000+'Inputs'!$B$21))^2+('Inputs'!$B$6/2)^2)))-'Results'!C7*(1-'Inputs'!$B$24)*(0.5*((((201-43)*MAX('Inputs'!$B$33,'Inputs'!$B$29+'Inputs'!$B$31+'Inputs'!$B$32,'Inputs'!$B$30+'Inputs'!$B$31+'Inputs'!$B$32)/1000+'Inputs'!$B$21+'Inputs'!$B$7+'Inputs'!$B$10)+'Inputs'!$B$9)/SQRT((((201-43)*MAX('Inputs'!$B$33,'Inputs'!$B$29+'Inputs'!$B$31+'Inputs'!$B$32,'Inputs'!$B$30+'Inputs'!$B$31+'Inputs'!$B$32)/1000+'Inputs'!$B$21+'Inputs'!$B$7+'Inputs'!$B$10)+'Inputs'!$B$9)^2+('Inputs'!$B$8/2)^2)-(((201-43)*MAX('Inputs'!$B$33,'Inputs'!$B$29+'Inputs'!$B$31+'Inputs'!$B$32,'Inputs'!$B$30+'Inputs'!$B$31+'Inputs'!$B$32)/1000+'Inputs'!$B$21+'Inputs'!$B$7+'Inputs'!$B$10))/SQRT((((201-43)*MAX('Inputs'!$B$33,'Inputs'!$B$29+'Inputs'!$B$31+'Inputs'!$B$32,'Inputs'!$B$30+'Inputs'!$B$31+'Inputs'!$B$32)/1000+'Inputs'!$B$21+'Inputs'!$B$7+'Inputs'!$B$10))^2+('Inputs'!$B$8/2)^2))))*'Results'!$B$8))),"")</x:f>
        <x:v>147.57711143406675</x:v>
      </x:c>
      <x:c r="M201" t="n">
        <x:f>IF(AND(ISNUMBER('Results'!C7),ISNUMBER('Results'!B7),ISNUMBER('Results'!$B$8),ISNUMBER('Inputs'!$B$6),ISNUMBER('Inputs'!$B$7),ISNUMBER('Inputs'!$B$8),ISNUMBER('Inputs'!$B$9),ISNUMBER('Inputs'!$B$10),ISNUMBER('Inputs'!$B$21),ISNUMBER('Inputs'!$B$24),ISNUMBER('Inputs'!$B$28)),(('Results'!C7*(0.5*((((201-43)*MAX('Inputs'!$B$33,'Inputs'!$B$29+'Inputs'!$B$31+'Inputs'!$B$32,'Inputs'!$B$30+'Inputs'!$B$31+'Inputs'!$B$32)/1000+'Inputs'!$B$21)+'Inputs'!$B$9)/SQRT((((201-43)*MAX('Inputs'!$B$33,'Inputs'!$B$29+'Inputs'!$B$31+'Inputs'!$B$32,'Inputs'!$B$30+'Inputs'!$B$31+'Inputs'!$B$32)/1000+'Inputs'!$B$21)+'Inputs'!$B$9)^2+('Inputs'!$B$8/2)^2)-(((201-43)*MAX('Inputs'!$B$33,'Inputs'!$B$29+'Inputs'!$B$31+'Inputs'!$B$32,'Inputs'!$B$30+'Inputs'!$B$31+'Inputs'!$B$32)/1000+'Inputs'!$B$21))/SQRT((((201-43)*MAX('Inputs'!$B$33,'Inputs'!$B$29+'Inputs'!$B$31+'Inputs'!$B$32,'Inputs'!$B$30+'Inputs'!$B$31+'Inputs'!$B$32)/1000+'Inputs'!$B$21))^2+('Inputs'!$B$8/2)^2)))-'Results'!B7*(0.5*((((201-43)*MAX('Inputs'!$B$33,'Inputs'!$B$29+'Inputs'!$B$31+'Inputs'!$B$32,'Inputs'!$B$30+'Inputs'!$B$31+'Inputs'!$B$32)/1000+'Inputs'!$B$21+'Inputs'!$B$9+'Inputs'!$B$10)+'Inputs'!$B$7)/SQRT((((201-43)*MAX('Inputs'!$B$33,'Inputs'!$B$29+'Inputs'!$B$31+'Inputs'!$B$32,'Inputs'!$B$30+'Inputs'!$B$31+'Inputs'!$B$32)/1000+'Inputs'!$B$21+'Inputs'!$B$9+'Inputs'!$B$10)+'Inputs'!$B$7)^2+('Inputs'!$B$6/2)^2)-(((201-43)*MAX('Inputs'!$B$33,'Inputs'!$B$29+'Inputs'!$B$31+'Inputs'!$B$32,'Inputs'!$B$30+'Inputs'!$B$31+'Inputs'!$B$32)/1000+'Inputs'!$B$21+'Inputs'!$B$9+'Inputs'!$B$10))/SQRT((((201-43)*MAX('Inputs'!$B$33,'Inputs'!$B$29+'Inputs'!$B$31+'Inputs'!$B$32,'Inputs'!$B$30+'Inputs'!$B$31+'Inputs'!$B$32)/1000+'Inputs'!$B$21+'Inputs'!$B$9+'Inputs'!$B$10))^2+('Inputs'!$B$6/2)^2))))*'Results'!$B$8),"")</x:f>
        <x:v>131.31682011815604</x:v>
      </x:c>
      <x:c r="N201" t="n">
        <x:f>IF(AND(ISNUMBER('Results'!C7),ISNUMBER('Results'!B7),ISNUMBER('Results'!$B$8),ISNUMBER('Inputs'!$B$6),ISNUMBER('Inputs'!$B$7),ISNUMBER('Inputs'!$B$8),ISNUMBER('Inputs'!$B$9),ISNUMBER('Inputs'!$B$10),ISNUMBER('Inputs'!$B$21),ISNUMBER('Inputs'!$B$24),ISNUMBER('Inputs'!$B$28)),((('Results'!C7*(1-'Inputs'!$B$24)*(0.5*((((201-43)*MAX('Inputs'!$B$33,'Inputs'!$B$29+'Inputs'!$B$31+'Inputs'!$B$32,'Inputs'!$B$30+'Inputs'!$B$31+'Inputs'!$B$32)/1000+'Inputs'!$B$21)+'Inputs'!$B$9)/SQRT((((201-43)*MAX('Inputs'!$B$33,'Inputs'!$B$29+'Inputs'!$B$31+'Inputs'!$B$32,'Inputs'!$B$30+'Inputs'!$B$31+'Inputs'!$B$32)/1000+'Inputs'!$B$21)+'Inputs'!$B$9)^2+('Inputs'!$B$8/2)^2)-(((201-43)*MAX('Inputs'!$B$33,'Inputs'!$B$29+'Inputs'!$B$31+'Inputs'!$B$32,'Inputs'!$B$30+'Inputs'!$B$31+'Inputs'!$B$32)/1000+'Inputs'!$B$21))/SQRT((((201-43)*MAX('Inputs'!$B$33,'Inputs'!$B$29+'Inputs'!$B$31+'Inputs'!$B$32,'Inputs'!$B$30+'Inputs'!$B$31+'Inputs'!$B$32)/1000+'Inputs'!$B$21))^2+('Inputs'!$B$8/2)^2)))-'Results'!B7*(1+'Inputs'!$B$24)*(0.5*((((201-43)*MAX('Inputs'!$B$33,'Inputs'!$B$29+'Inputs'!$B$31+'Inputs'!$B$32,'Inputs'!$B$30+'Inputs'!$B$31+'Inputs'!$B$32)/1000+'Inputs'!$B$21+'Inputs'!$B$9+'Inputs'!$B$10)+'Inputs'!$B$7)/SQRT((((201-43)*MAX('Inputs'!$B$33,'Inputs'!$B$29+'Inputs'!$B$31+'Inputs'!$B$32,'Inputs'!$B$30+'Inputs'!$B$31+'Inputs'!$B$32)/1000+'Inputs'!$B$21+'Inputs'!$B$9+'Inputs'!$B$10)+'Inputs'!$B$7)^2+('Inputs'!$B$6/2)^2)-(((201-43)*MAX('Inputs'!$B$33,'Inputs'!$B$29+'Inputs'!$B$31+'Inputs'!$B$32,'Inputs'!$B$30+'Inputs'!$B$31+'Inputs'!$B$32)/1000+'Inputs'!$B$21+'Inputs'!$B$9+'Inputs'!$B$10))/SQRT((((201-43)*MAX('Inputs'!$B$33,'Inputs'!$B$29+'Inputs'!$B$31+'Inputs'!$B$32,'Inputs'!$B$30+'Inputs'!$B$31+'Inputs'!$B$32)/1000+'Inputs'!$B$21+'Inputs'!$B$9+'Inputs'!$B$10))^2+('Inputs'!$B$6/2)^2))))*'Results'!$B$8)-'Inputs'!$B$28*ABS((('Results'!C7*(1-'Inputs'!$B$24)*(0.5*((((201-43)*MAX('Inputs'!$B$33,'Inputs'!$B$29+'Inputs'!$B$31+'Inputs'!$B$32,'Inputs'!$B$30+'Inputs'!$B$31+'Inputs'!$B$32)/1000+'Inputs'!$B$21)+'Inputs'!$B$9)/SQRT((((201-43)*MAX('Inputs'!$B$33,'Inputs'!$B$29+'Inputs'!$B$31+'Inputs'!$B$32,'Inputs'!$B$30+'Inputs'!$B$31+'Inputs'!$B$32)/1000+'Inputs'!$B$21)+'Inputs'!$B$9)^2+('Inputs'!$B$8/2)^2)-(((201-43)*MAX('Inputs'!$B$33,'Inputs'!$B$29+'Inputs'!$B$31+'Inputs'!$B$32,'Inputs'!$B$30+'Inputs'!$B$31+'Inputs'!$B$32)/1000+'Inputs'!$B$21))/SQRT((((201-43)*MAX('Inputs'!$B$33,'Inputs'!$B$29+'Inputs'!$B$31+'Inputs'!$B$32,'Inputs'!$B$30+'Inputs'!$B$31+'Inputs'!$B$32)/1000+'Inputs'!$B$21))^2+('Inputs'!$B$8/2)^2)))-'Results'!B7*(1+'Inputs'!$B$24)*(0.5*((((201-43)*MAX('Inputs'!$B$33,'Inputs'!$B$29+'Inputs'!$B$31+'Inputs'!$B$32,'Inputs'!$B$30+'Inputs'!$B$31+'Inputs'!$B$32)/1000+'Inputs'!$B$21+'Inputs'!$B$9+'Inputs'!$B$10)+'Inputs'!$B$7)/SQRT((((201-43)*MAX('Inputs'!$B$33,'Inputs'!$B$29+'Inputs'!$B$31+'Inputs'!$B$32,'Inputs'!$B$30+'Inputs'!$B$31+'Inputs'!$B$32)/1000+'Inputs'!$B$21+'Inputs'!$B$9+'Inputs'!$B$10)+'Inputs'!$B$7)^2+('Inputs'!$B$6/2)^2)-(((201-43)*MAX('Inputs'!$B$33,'Inputs'!$B$29+'Inputs'!$B$31+'Inputs'!$B$32,'Inputs'!$B$30+'Inputs'!$B$31+'Inputs'!$B$32)/1000+'Inputs'!$B$21+'Inputs'!$B$9+'Inputs'!$B$10))/SQRT((((201-43)*MAX('Inputs'!$B$33,'Inputs'!$B$29+'Inputs'!$B$31+'Inputs'!$B$32,'Inputs'!$B$30+'Inputs'!$B$31+'Inputs'!$B$32)/1000+'Inputs'!$B$21+'Inputs'!$B$9+'Inputs'!$B$10))^2+('Inputs'!$B$6/2)^2))))*'Results'!$B$8))),"")</x:f>
        <x:v>120.42583732055957</x:v>
      </x:c>
      <x:c r="O201" t="n">
        <x:f>IF(AND(ISNUMBER('Results'!C7),ISNUMBER('Results'!B7),ISNUMBER('Results'!$B$8),ISNUMBER('Inputs'!$B$6),ISNUMBER('Inputs'!$B$7),ISNUMBER('Inputs'!$B$8),ISNUMBER('Inputs'!$B$9),ISNUMBER('Inputs'!$B$10),ISNUMBER('Inputs'!$B$21),ISNUMBER('Inputs'!$B$24),ISNUMBER('Inputs'!$B$28)),((('Results'!C7*(1+'Inputs'!$B$24)*(0.5*((((201-43)*MAX('Inputs'!$B$33,'Inputs'!$B$29+'Inputs'!$B$31+'Inputs'!$B$32,'Inputs'!$B$30+'Inputs'!$B$31+'Inputs'!$B$32)/1000+'Inputs'!$B$21)+'Inputs'!$B$9)/SQRT((((201-43)*MAX('Inputs'!$B$33,'Inputs'!$B$29+'Inputs'!$B$31+'Inputs'!$B$32,'Inputs'!$B$30+'Inputs'!$B$31+'Inputs'!$B$32)/1000+'Inputs'!$B$21)+'Inputs'!$B$9)^2+('Inputs'!$B$8/2)^2)-(((201-43)*MAX('Inputs'!$B$33,'Inputs'!$B$29+'Inputs'!$B$31+'Inputs'!$B$32,'Inputs'!$B$30+'Inputs'!$B$31+'Inputs'!$B$32)/1000+'Inputs'!$B$21))/SQRT((((201-43)*MAX('Inputs'!$B$33,'Inputs'!$B$29+'Inputs'!$B$31+'Inputs'!$B$32,'Inputs'!$B$30+'Inputs'!$B$31+'Inputs'!$B$32)/1000+'Inputs'!$B$21))^2+('Inputs'!$B$8/2)^2)))-'Results'!B7*(1-'Inputs'!$B$24)*(0.5*((((201-43)*MAX('Inputs'!$B$33,'Inputs'!$B$29+'Inputs'!$B$31+'Inputs'!$B$32,'Inputs'!$B$30+'Inputs'!$B$31+'Inputs'!$B$32)/1000+'Inputs'!$B$21+'Inputs'!$B$9+'Inputs'!$B$10)+'Inputs'!$B$7)/SQRT((((201-43)*MAX('Inputs'!$B$33,'Inputs'!$B$29+'Inputs'!$B$31+'Inputs'!$B$32,'Inputs'!$B$30+'Inputs'!$B$31+'Inputs'!$B$32)/1000+'Inputs'!$B$21+'Inputs'!$B$9+'Inputs'!$B$10)+'Inputs'!$B$7)^2+('Inputs'!$B$6/2)^2)-(((201-43)*MAX('Inputs'!$B$33,'Inputs'!$B$29+'Inputs'!$B$31+'Inputs'!$B$32,'Inputs'!$B$30+'Inputs'!$B$31+'Inputs'!$B$32)/1000+'Inputs'!$B$21+'Inputs'!$B$9+'Inputs'!$B$10))/SQRT((((201-43)*MAX('Inputs'!$B$33,'Inputs'!$B$29+'Inputs'!$B$31+'Inputs'!$B$32,'Inputs'!$B$30+'Inputs'!$B$31+'Inputs'!$B$32)/1000+'Inputs'!$B$21+'Inputs'!$B$9+'Inputs'!$B$10))^2+('Inputs'!$B$6/2)^2))))*'Results'!$B$8)+'Inputs'!$B$28*ABS((('Results'!C7*(1+'Inputs'!$B$24)*(0.5*((((201-43)*MAX('Inputs'!$B$33,'Inputs'!$B$29+'Inputs'!$B$31+'Inputs'!$B$32,'Inputs'!$B$30+'Inputs'!$B$31+'Inputs'!$B$32)/1000+'Inputs'!$B$21)+'Inputs'!$B$9)/SQRT((((201-43)*MAX('Inputs'!$B$33,'Inputs'!$B$29+'Inputs'!$B$31+'Inputs'!$B$32,'Inputs'!$B$30+'Inputs'!$B$31+'Inputs'!$B$32)/1000+'Inputs'!$B$21)+'Inputs'!$B$9)^2+('Inputs'!$B$8/2)^2)-(((201-43)*MAX('Inputs'!$B$33,'Inputs'!$B$29+'Inputs'!$B$31+'Inputs'!$B$32,'Inputs'!$B$30+'Inputs'!$B$31+'Inputs'!$B$32)/1000+'Inputs'!$B$21))/SQRT((((201-43)*MAX('Inputs'!$B$33,'Inputs'!$B$29+'Inputs'!$B$31+'Inputs'!$B$32,'Inputs'!$B$30+'Inputs'!$B$31+'Inputs'!$B$32)/1000+'Inputs'!$B$21))^2+('Inputs'!$B$8/2)^2)))-'Results'!B7*(1-'Inputs'!$B$24)*(0.5*((((201-43)*MAX('Inputs'!$B$33,'Inputs'!$B$29+'Inputs'!$B$31+'Inputs'!$B$32,'Inputs'!$B$30+'Inputs'!$B$31+'Inputs'!$B$32)/1000+'Inputs'!$B$21+'Inputs'!$B$9+'Inputs'!$B$10)+'Inputs'!$B$7)/SQRT((((201-43)*MAX('Inputs'!$B$33,'Inputs'!$B$29+'Inputs'!$B$31+'Inputs'!$B$32,'Inputs'!$B$30+'Inputs'!$B$31+'Inputs'!$B$32)/1000+'Inputs'!$B$21+'Inputs'!$B$9+'Inputs'!$B$10)+'Inputs'!$B$7)^2+('Inputs'!$B$6/2)^2)-(((201-43)*MAX('Inputs'!$B$33,'Inputs'!$B$29+'Inputs'!$B$31+'Inputs'!$B$32,'Inputs'!$B$30+'Inputs'!$B$31+'Inputs'!$B$32)/1000+'Inputs'!$B$21+'Inputs'!$B$9+'Inputs'!$B$10))/SQRT((((201-43)*MAX('Inputs'!$B$33,'Inputs'!$B$29+'Inputs'!$B$31+'Inputs'!$B$32,'Inputs'!$B$30+'Inputs'!$B$31+'Inputs'!$B$32)/1000+'Inputs'!$B$21+'Inputs'!$B$9+'Inputs'!$B$10))^2+('Inputs'!$B$6/2)^2))))*'Results'!$B$8))),"")</x:f>
        <x:v>142.6630809990882</x:v>
      </x:c>
      <x:c r="P201" t="n">
        <x:f>IF(AND(MAX(J201,J200)&gt;0,J201&gt;J200+0.00000001),1,0)</x:f>
        <x:v>0</x:v>
      </x:c>
      <x:c r="Q201" t="n">
        <x:f>IF(AND(MAX(K201,K200)&gt;0,K201&gt;K200+0.00000001),1,0)</x:f>
        <x:v>0</x:v>
      </x:c>
      <x:c r="R201" t="n">
        <x:f>IF(AND(MAX(L201,L200)&gt;0,L201&gt;L200+0.00000001),1,0)</x:f>
        <x:v>0</x:v>
      </x:c>
      <x:c r="S201" t="n">
        <x:f>IF(AND(MAX(M201,M200)&gt;0,M201&gt;M200+0.00000001),1,0)</x:f>
        <x:v>0</x:v>
      </x:c>
      <x:c r="T201" t="n">
        <x:f>IF(AND(MAX(N201,N200)&gt;0,N201&gt;N200+0.00000001),1,0)</x:f>
        <x:v>0</x:v>
      </x:c>
      <x:c r="U201" t="n">
        <x:f>IF(AND(MAX(O201,O200)&gt;0,O201&gt;O200+0.00000001),1,0)</x:f>
        <x:v>0</x:v>
      </x:c>
    </x:row>
    <x:row r="202">
      <x:c r="J202" t="n">
        <x:f>IF(AND(ISNUMBER('Results'!B7),ISNUMBER('Results'!C7),ISNUMBER('Results'!$B$8),ISNUMBER('Inputs'!$B$6),ISNUMBER('Inputs'!$B$7),ISNUMBER('Inputs'!$B$8),ISNUMBER('Inputs'!$B$9),ISNUMBER('Inputs'!$B$10),ISNUMBER('Inputs'!$B$21),ISNUMBER('Inputs'!$B$24),ISNUMBER('Inputs'!$B$28)),(('Results'!B7*(0.5*((((202-43)*MAX('Inputs'!$B$33,'Inputs'!$B$29+'Inputs'!$B$31+'Inputs'!$B$32,'Inputs'!$B$30+'Inputs'!$B$31+'Inputs'!$B$32)/1000+'Inputs'!$B$21)+'Inputs'!$B$7)/SQRT((((202-43)*MAX('Inputs'!$B$33,'Inputs'!$B$29+'Inputs'!$B$31+'Inputs'!$B$32,'Inputs'!$B$30+'Inputs'!$B$31+'Inputs'!$B$32)/1000+'Inputs'!$B$21)+'Inputs'!$B$7)^2+('Inputs'!$B$6/2)^2)-(((202-43)*MAX('Inputs'!$B$33,'Inputs'!$B$29+'Inputs'!$B$31+'Inputs'!$B$32,'Inputs'!$B$30+'Inputs'!$B$31+'Inputs'!$B$32)/1000+'Inputs'!$B$21))/SQRT((((202-43)*MAX('Inputs'!$B$33,'Inputs'!$B$29+'Inputs'!$B$31+'Inputs'!$B$32,'Inputs'!$B$30+'Inputs'!$B$31+'Inputs'!$B$32)/1000+'Inputs'!$B$21))^2+('Inputs'!$B$6/2)^2)))-'Results'!C7*(0.5*((((202-43)*MAX('Inputs'!$B$33,'Inputs'!$B$29+'Inputs'!$B$31+'Inputs'!$B$32,'Inputs'!$B$30+'Inputs'!$B$31+'Inputs'!$B$32)/1000+'Inputs'!$B$21+'Inputs'!$B$7+'Inputs'!$B$10)+'Inputs'!$B$9)/SQRT((((202-43)*MAX('Inputs'!$B$33,'Inputs'!$B$29+'Inputs'!$B$31+'Inputs'!$B$32,'Inputs'!$B$30+'Inputs'!$B$31+'Inputs'!$B$32)/1000+'Inputs'!$B$21+'Inputs'!$B$7+'Inputs'!$B$10)+'Inputs'!$B$9)^2+('Inputs'!$B$8/2)^2)-(((202-43)*MAX('Inputs'!$B$33,'Inputs'!$B$29+'Inputs'!$B$31+'Inputs'!$B$32,'Inputs'!$B$30+'Inputs'!$B$31+'Inputs'!$B$32)/1000+'Inputs'!$B$21+'Inputs'!$B$7+'Inputs'!$B$10))/SQRT((((202-43)*MAX('Inputs'!$B$33,'Inputs'!$B$29+'Inputs'!$B$31+'Inputs'!$B$32,'Inputs'!$B$30+'Inputs'!$B$31+'Inputs'!$B$32)/1000+'Inputs'!$B$21+'Inputs'!$B$7+'Inputs'!$B$10))^2+('Inputs'!$B$8/2)^2))))*'Results'!$B$8),"")</x:f>
        <x:v>133.81916609256146</x:v>
      </x:c>
      <x:c r="K202" t="n">
        <x:f>IF(AND(ISNUMBER('Results'!B7),ISNUMBER('Results'!C7),ISNUMBER('Results'!$B$8),ISNUMBER('Inputs'!$B$6),ISNUMBER('Inputs'!$B$7),ISNUMBER('Inputs'!$B$8),ISNUMBER('Inputs'!$B$9),ISNUMBER('Inputs'!$B$10),ISNUMBER('Inputs'!$B$21),ISNUMBER('Inputs'!$B$24),ISNUMBER('Inputs'!$B$28)),((('Results'!B7*(1-'Inputs'!$B$24)*(0.5*((((202-43)*MAX('Inputs'!$B$33,'Inputs'!$B$29+'Inputs'!$B$31+'Inputs'!$B$32,'Inputs'!$B$30+'Inputs'!$B$31+'Inputs'!$B$32)/1000+'Inputs'!$B$21)+'Inputs'!$B$7)/SQRT((((202-43)*MAX('Inputs'!$B$33,'Inputs'!$B$29+'Inputs'!$B$31+'Inputs'!$B$32,'Inputs'!$B$30+'Inputs'!$B$31+'Inputs'!$B$32)/1000+'Inputs'!$B$21)+'Inputs'!$B$7)^2+('Inputs'!$B$6/2)^2)-(((202-43)*MAX('Inputs'!$B$33,'Inputs'!$B$29+'Inputs'!$B$31+'Inputs'!$B$32,'Inputs'!$B$30+'Inputs'!$B$31+'Inputs'!$B$32)/1000+'Inputs'!$B$21))/SQRT((((202-43)*MAX('Inputs'!$B$33,'Inputs'!$B$29+'Inputs'!$B$31+'Inputs'!$B$32,'Inputs'!$B$30+'Inputs'!$B$31+'Inputs'!$B$32)/1000+'Inputs'!$B$21))^2+('Inputs'!$B$6/2)^2)))-'Results'!C7*(1+'Inputs'!$B$24)*(0.5*((((202-43)*MAX('Inputs'!$B$33,'Inputs'!$B$29+'Inputs'!$B$31+'Inputs'!$B$32,'Inputs'!$B$30+'Inputs'!$B$31+'Inputs'!$B$32)/1000+'Inputs'!$B$21+'Inputs'!$B$7+'Inputs'!$B$10)+'Inputs'!$B$9)/SQRT((((202-43)*MAX('Inputs'!$B$33,'Inputs'!$B$29+'Inputs'!$B$31+'Inputs'!$B$32,'Inputs'!$B$30+'Inputs'!$B$31+'Inputs'!$B$32)/1000+'Inputs'!$B$21+'Inputs'!$B$7+'Inputs'!$B$10)+'Inputs'!$B$9)^2+('Inputs'!$B$8/2)^2)-(((202-43)*MAX('Inputs'!$B$33,'Inputs'!$B$29+'Inputs'!$B$31+'Inputs'!$B$32,'Inputs'!$B$30+'Inputs'!$B$31+'Inputs'!$B$32)/1000+'Inputs'!$B$21+'Inputs'!$B$7+'Inputs'!$B$10))/SQRT((((202-43)*MAX('Inputs'!$B$33,'Inputs'!$B$29+'Inputs'!$B$31+'Inputs'!$B$32,'Inputs'!$B$30+'Inputs'!$B$31+'Inputs'!$B$32)/1000+'Inputs'!$B$21+'Inputs'!$B$7+'Inputs'!$B$10))^2+('Inputs'!$B$8/2)^2))))*'Results'!$B$8)-'Inputs'!$B$28*ABS((('Results'!B7*(1-'Inputs'!$B$24)*(0.5*((((202-43)*MAX('Inputs'!$B$33,'Inputs'!$B$29+'Inputs'!$B$31+'Inputs'!$B$32,'Inputs'!$B$30+'Inputs'!$B$31+'Inputs'!$B$32)/1000+'Inputs'!$B$21)+'Inputs'!$B$7)/SQRT((((202-43)*MAX('Inputs'!$B$33,'Inputs'!$B$29+'Inputs'!$B$31+'Inputs'!$B$32,'Inputs'!$B$30+'Inputs'!$B$31+'Inputs'!$B$32)/1000+'Inputs'!$B$21)+'Inputs'!$B$7)^2+('Inputs'!$B$6/2)^2)-(((202-43)*MAX('Inputs'!$B$33,'Inputs'!$B$29+'Inputs'!$B$31+'Inputs'!$B$32,'Inputs'!$B$30+'Inputs'!$B$31+'Inputs'!$B$32)/1000+'Inputs'!$B$21))/SQRT((((202-43)*MAX('Inputs'!$B$33,'Inputs'!$B$29+'Inputs'!$B$31+'Inputs'!$B$32,'Inputs'!$B$30+'Inputs'!$B$31+'Inputs'!$B$32)/1000+'Inputs'!$B$21))^2+('Inputs'!$B$6/2)^2)))-'Results'!C7*(1+'Inputs'!$B$24)*(0.5*((((202-43)*MAX('Inputs'!$B$33,'Inputs'!$B$29+'Inputs'!$B$31+'Inputs'!$B$32,'Inputs'!$B$30+'Inputs'!$B$31+'Inputs'!$B$32)/1000+'Inputs'!$B$21+'Inputs'!$B$7+'Inputs'!$B$10)+'Inputs'!$B$9)/SQRT((((202-43)*MAX('Inputs'!$B$33,'Inputs'!$B$29+'Inputs'!$B$31+'Inputs'!$B$32,'Inputs'!$B$30+'Inputs'!$B$31+'Inputs'!$B$32)/1000+'Inputs'!$B$21+'Inputs'!$B$7+'Inputs'!$B$10)+'Inputs'!$B$9)^2+('Inputs'!$B$8/2)^2)-(((202-43)*MAX('Inputs'!$B$33,'Inputs'!$B$29+'Inputs'!$B$31+'Inputs'!$B$32,'Inputs'!$B$30+'Inputs'!$B$31+'Inputs'!$B$32)/1000+'Inputs'!$B$21+'Inputs'!$B$7+'Inputs'!$B$10))/SQRT((((202-43)*MAX('Inputs'!$B$33,'Inputs'!$B$29+'Inputs'!$B$31+'Inputs'!$B$32,'Inputs'!$B$30+'Inputs'!$B$31+'Inputs'!$B$32)/1000+'Inputs'!$B$21+'Inputs'!$B$7+'Inputs'!$B$10))^2+('Inputs'!$B$8/2)^2))))*'Results'!$B$8))),"")</x:f>
        <x:v>122.8092293359044</x:v>
      </x:c>
      <x:c r="L202" t="n">
        <x:f>IF(AND(ISNUMBER('Results'!B7),ISNUMBER('Results'!C7),ISNUMBER('Results'!$B$8),ISNUMBER('Inputs'!$B$6),ISNUMBER('Inputs'!$B$7),ISNUMBER('Inputs'!$B$8),ISNUMBER('Inputs'!$B$9),ISNUMBER('Inputs'!$B$10),ISNUMBER('Inputs'!$B$21),ISNUMBER('Inputs'!$B$24),ISNUMBER('Inputs'!$B$28)),((('Results'!B7*(1+'Inputs'!$B$24)*(0.5*((((202-43)*MAX('Inputs'!$B$33,'Inputs'!$B$29+'Inputs'!$B$31+'Inputs'!$B$32,'Inputs'!$B$30+'Inputs'!$B$31+'Inputs'!$B$32)/1000+'Inputs'!$B$21)+'Inputs'!$B$7)/SQRT((((202-43)*MAX('Inputs'!$B$33,'Inputs'!$B$29+'Inputs'!$B$31+'Inputs'!$B$32,'Inputs'!$B$30+'Inputs'!$B$31+'Inputs'!$B$32)/1000+'Inputs'!$B$21)+'Inputs'!$B$7)^2+('Inputs'!$B$6/2)^2)-(((202-43)*MAX('Inputs'!$B$33,'Inputs'!$B$29+'Inputs'!$B$31+'Inputs'!$B$32,'Inputs'!$B$30+'Inputs'!$B$31+'Inputs'!$B$32)/1000+'Inputs'!$B$21))/SQRT((((202-43)*MAX('Inputs'!$B$33,'Inputs'!$B$29+'Inputs'!$B$31+'Inputs'!$B$32,'Inputs'!$B$30+'Inputs'!$B$31+'Inputs'!$B$32)/1000+'Inputs'!$B$21))^2+('Inputs'!$B$6/2)^2)))-'Results'!C7*(1-'Inputs'!$B$24)*(0.5*((((202-43)*MAX('Inputs'!$B$33,'Inputs'!$B$29+'Inputs'!$B$31+'Inputs'!$B$32,'Inputs'!$B$30+'Inputs'!$B$31+'Inputs'!$B$32)/1000+'Inputs'!$B$21+'Inputs'!$B$7+'Inputs'!$B$10)+'Inputs'!$B$9)/SQRT((((202-43)*MAX('Inputs'!$B$33,'Inputs'!$B$29+'Inputs'!$B$31+'Inputs'!$B$32,'Inputs'!$B$30+'Inputs'!$B$31+'Inputs'!$B$32)/1000+'Inputs'!$B$21+'Inputs'!$B$7+'Inputs'!$B$10)+'Inputs'!$B$9)^2+('Inputs'!$B$8/2)^2)-(((202-43)*MAX('Inputs'!$B$33,'Inputs'!$B$29+'Inputs'!$B$31+'Inputs'!$B$32,'Inputs'!$B$30+'Inputs'!$B$31+'Inputs'!$B$32)/1000+'Inputs'!$B$21+'Inputs'!$B$7+'Inputs'!$B$10))/SQRT((((202-43)*MAX('Inputs'!$B$33,'Inputs'!$B$29+'Inputs'!$B$31+'Inputs'!$B$32,'Inputs'!$B$30+'Inputs'!$B$31+'Inputs'!$B$32)/1000+'Inputs'!$B$21+'Inputs'!$B$7+'Inputs'!$B$10))^2+('Inputs'!$B$8/2)^2))))*'Results'!$B$8)+'Inputs'!$B$28*ABS((('Results'!B7*(1+'Inputs'!$B$24)*(0.5*((((202-43)*MAX('Inputs'!$B$33,'Inputs'!$B$29+'Inputs'!$B$31+'Inputs'!$B$32,'Inputs'!$B$30+'Inputs'!$B$31+'Inputs'!$B$32)/1000+'Inputs'!$B$21)+'Inputs'!$B$7)/SQRT((((202-43)*MAX('Inputs'!$B$33,'Inputs'!$B$29+'Inputs'!$B$31+'Inputs'!$B$32,'Inputs'!$B$30+'Inputs'!$B$31+'Inputs'!$B$32)/1000+'Inputs'!$B$21)+'Inputs'!$B$7)^2+('Inputs'!$B$6/2)^2)-(((202-43)*MAX('Inputs'!$B$33,'Inputs'!$B$29+'Inputs'!$B$31+'Inputs'!$B$32,'Inputs'!$B$30+'Inputs'!$B$31+'Inputs'!$B$32)/1000+'Inputs'!$B$21))/SQRT((((202-43)*MAX('Inputs'!$B$33,'Inputs'!$B$29+'Inputs'!$B$31+'Inputs'!$B$32,'Inputs'!$B$30+'Inputs'!$B$31+'Inputs'!$B$32)/1000+'Inputs'!$B$21))^2+('Inputs'!$B$6/2)^2)))-'Results'!C7*(1-'Inputs'!$B$24)*(0.5*((((202-43)*MAX('Inputs'!$B$33,'Inputs'!$B$29+'Inputs'!$B$31+'Inputs'!$B$32,'Inputs'!$B$30+'Inputs'!$B$31+'Inputs'!$B$32)/1000+'Inputs'!$B$21+'Inputs'!$B$7+'Inputs'!$B$10)+'Inputs'!$B$9)/SQRT((((202-43)*MAX('Inputs'!$B$33,'Inputs'!$B$29+'Inputs'!$B$31+'Inputs'!$B$32,'Inputs'!$B$30+'Inputs'!$B$31+'Inputs'!$B$32)/1000+'Inputs'!$B$21+'Inputs'!$B$7+'Inputs'!$B$10)+'Inputs'!$B$9)^2+('Inputs'!$B$8/2)^2)-(((202-43)*MAX('Inputs'!$B$33,'Inputs'!$B$29+'Inputs'!$B$31+'Inputs'!$B$32,'Inputs'!$B$30+'Inputs'!$B$31+'Inputs'!$B$32)/1000+'Inputs'!$B$21+'Inputs'!$B$7+'Inputs'!$B$10))/SQRT((((202-43)*MAX('Inputs'!$B$33,'Inputs'!$B$29+'Inputs'!$B$31+'Inputs'!$B$32,'Inputs'!$B$30+'Inputs'!$B$31+'Inputs'!$B$32)/1000+'Inputs'!$B$21+'Inputs'!$B$7+'Inputs'!$B$10))^2+('Inputs'!$B$8/2)^2))))*'Results'!$B$8))),"")</x:f>
        <x:v>145.28373215995845</x:v>
      </x:c>
      <x:c r="M202" t="n">
        <x:f>IF(AND(ISNUMBER('Results'!C7),ISNUMBER('Results'!B7),ISNUMBER('Results'!$B$8),ISNUMBER('Inputs'!$B$6),ISNUMBER('Inputs'!$B$7),ISNUMBER('Inputs'!$B$8),ISNUMBER('Inputs'!$B$9),ISNUMBER('Inputs'!$B$10),ISNUMBER('Inputs'!$B$21),ISNUMBER('Inputs'!$B$24),ISNUMBER('Inputs'!$B$28)),(('Results'!C7*(0.5*((((202-43)*MAX('Inputs'!$B$33,'Inputs'!$B$29+'Inputs'!$B$31+'Inputs'!$B$32,'Inputs'!$B$30+'Inputs'!$B$31+'Inputs'!$B$32)/1000+'Inputs'!$B$21)+'Inputs'!$B$9)/SQRT((((202-43)*MAX('Inputs'!$B$33,'Inputs'!$B$29+'Inputs'!$B$31+'Inputs'!$B$32,'Inputs'!$B$30+'Inputs'!$B$31+'Inputs'!$B$32)/1000+'Inputs'!$B$21)+'Inputs'!$B$9)^2+('Inputs'!$B$8/2)^2)-(((202-43)*MAX('Inputs'!$B$33,'Inputs'!$B$29+'Inputs'!$B$31+'Inputs'!$B$32,'Inputs'!$B$30+'Inputs'!$B$31+'Inputs'!$B$32)/1000+'Inputs'!$B$21))/SQRT((((202-43)*MAX('Inputs'!$B$33,'Inputs'!$B$29+'Inputs'!$B$31+'Inputs'!$B$32,'Inputs'!$B$30+'Inputs'!$B$31+'Inputs'!$B$32)/1000+'Inputs'!$B$21))^2+('Inputs'!$B$8/2)^2)))-'Results'!B7*(0.5*((((202-43)*MAX('Inputs'!$B$33,'Inputs'!$B$29+'Inputs'!$B$31+'Inputs'!$B$32,'Inputs'!$B$30+'Inputs'!$B$31+'Inputs'!$B$32)/1000+'Inputs'!$B$21+'Inputs'!$B$9+'Inputs'!$B$10)+'Inputs'!$B$7)/SQRT((((202-43)*MAX('Inputs'!$B$33,'Inputs'!$B$29+'Inputs'!$B$31+'Inputs'!$B$32,'Inputs'!$B$30+'Inputs'!$B$31+'Inputs'!$B$32)/1000+'Inputs'!$B$21+'Inputs'!$B$9+'Inputs'!$B$10)+'Inputs'!$B$7)^2+('Inputs'!$B$6/2)^2)-(((202-43)*MAX('Inputs'!$B$33,'Inputs'!$B$29+'Inputs'!$B$31+'Inputs'!$B$32,'Inputs'!$B$30+'Inputs'!$B$31+'Inputs'!$B$32)/1000+'Inputs'!$B$21+'Inputs'!$B$9+'Inputs'!$B$10))/SQRT((((202-43)*MAX('Inputs'!$B$33,'Inputs'!$B$29+'Inputs'!$B$31+'Inputs'!$B$32,'Inputs'!$B$30+'Inputs'!$B$31+'Inputs'!$B$32)/1000+'Inputs'!$B$21+'Inputs'!$B$9+'Inputs'!$B$10))^2+('Inputs'!$B$6/2)^2))))*'Results'!$B$8),"")</x:f>
        <x:v>129.25379227306513</x:v>
      </x:c>
      <x:c r="N202" t="n">
        <x:f>IF(AND(ISNUMBER('Results'!C7),ISNUMBER('Results'!B7),ISNUMBER('Results'!$B$8),ISNUMBER('Inputs'!$B$6),ISNUMBER('Inputs'!$B$7),ISNUMBER('Inputs'!$B$8),ISNUMBER('Inputs'!$B$9),ISNUMBER('Inputs'!$B$10),ISNUMBER('Inputs'!$B$21),ISNUMBER('Inputs'!$B$24),ISNUMBER('Inputs'!$B$28)),((('Results'!C7*(1-'Inputs'!$B$24)*(0.5*((((202-43)*MAX('Inputs'!$B$33,'Inputs'!$B$29+'Inputs'!$B$31+'Inputs'!$B$32,'Inputs'!$B$30+'Inputs'!$B$31+'Inputs'!$B$32)/1000+'Inputs'!$B$21)+'Inputs'!$B$9)/SQRT((((202-43)*MAX('Inputs'!$B$33,'Inputs'!$B$29+'Inputs'!$B$31+'Inputs'!$B$32,'Inputs'!$B$30+'Inputs'!$B$31+'Inputs'!$B$32)/1000+'Inputs'!$B$21)+'Inputs'!$B$9)^2+('Inputs'!$B$8/2)^2)-(((202-43)*MAX('Inputs'!$B$33,'Inputs'!$B$29+'Inputs'!$B$31+'Inputs'!$B$32,'Inputs'!$B$30+'Inputs'!$B$31+'Inputs'!$B$32)/1000+'Inputs'!$B$21))/SQRT((((202-43)*MAX('Inputs'!$B$33,'Inputs'!$B$29+'Inputs'!$B$31+'Inputs'!$B$32,'Inputs'!$B$30+'Inputs'!$B$31+'Inputs'!$B$32)/1000+'Inputs'!$B$21))^2+('Inputs'!$B$8/2)^2)))-'Results'!B7*(1+'Inputs'!$B$24)*(0.5*((((202-43)*MAX('Inputs'!$B$33,'Inputs'!$B$29+'Inputs'!$B$31+'Inputs'!$B$32,'Inputs'!$B$30+'Inputs'!$B$31+'Inputs'!$B$32)/1000+'Inputs'!$B$21+'Inputs'!$B$9+'Inputs'!$B$10)+'Inputs'!$B$7)/SQRT((((202-43)*MAX('Inputs'!$B$33,'Inputs'!$B$29+'Inputs'!$B$31+'Inputs'!$B$32,'Inputs'!$B$30+'Inputs'!$B$31+'Inputs'!$B$32)/1000+'Inputs'!$B$21+'Inputs'!$B$9+'Inputs'!$B$10)+'Inputs'!$B$7)^2+('Inputs'!$B$6/2)^2)-(((202-43)*MAX('Inputs'!$B$33,'Inputs'!$B$29+'Inputs'!$B$31+'Inputs'!$B$32,'Inputs'!$B$30+'Inputs'!$B$31+'Inputs'!$B$32)/1000+'Inputs'!$B$21+'Inputs'!$B$9+'Inputs'!$B$10))/SQRT((((202-43)*MAX('Inputs'!$B$33,'Inputs'!$B$29+'Inputs'!$B$31+'Inputs'!$B$32,'Inputs'!$B$30+'Inputs'!$B$31+'Inputs'!$B$32)/1000+'Inputs'!$B$21+'Inputs'!$B$9+'Inputs'!$B$10))^2+('Inputs'!$B$6/2)^2))))*'Results'!$B$8)-'Inputs'!$B$28*ABS((('Results'!C7*(1-'Inputs'!$B$24)*(0.5*((((202-43)*MAX('Inputs'!$B$33,'Inputs'!$B$29+'Inputs'!$B$31+'Inputs'!$B$32,'Inputs'!$B$30+'Inputs'!$B$31+'Inputs'!$B$32)/1000+'Inputs'!$B$21)+'Inputs'!$B$9)/SQRT((((202-43)*MAX('Inputs'!$B$33,'Inputs'!$B$29+'Inputs'!$B$31+'Inputs'!$B$32,'Inputs'!$B$30+'Inputs'!$B$31+'Inputs'!$B$32)/1000+'Inputs'!$B$21)+'Inputs'!$B$9)^2+('Inputs'!$B$8/2)^2)-(((202-43)*MAX('Inputs'!$B$33,'Inputs'!$B$29+'Inputs'!$B$31+'Inputs'!$B$32,'Inputs'!$B$30+'Inputs'!$B$31+'Inputs'!$B$32)/1000+'Inputs'!$B$21))/SQRT((((202-43)*MAX('Inputs'!$B$33,'Inputs'!$B$29+'Inputs'!$B$31+'Inputs'!$B$32,'Inputs'!$B$30+'Inputs'!$B$31+'Inputs'!$B$32)/1000+'Inputs'!$B$21))^2+('Inputs'!$B$8/2)^2)))-'Results'!B7*(1+'Inputs'!$B$24)*(0.5*((((202-43)*MAX('Inputs'!$B$33,'Inputs'!$B$29+'Inputs'!$B$31+'Inputs'!$B$32,'Inputs'!$B$30+'Inputs'!$B$31+'Inputs'!$B$32)/1000+'Inputs'!$B$21+'Inputs'!$B$9+'Inputs'!$B$10)+'Inputs'!$B$7)/SQRT((((202-43)*MAX('Inputs'!$B$33,'Inputs'!$B$29+'Inputs'!$B$31+'Inputs'!$B$32,'Inputs'!$B$30+'Inputs'!$B$31+'Inputs'!$B$32)/1000+'Inputs'!$B$21+'Inputs'!$B$9+'Inputs'!$B$10)+'Inputs'!$B$7)^2+('Inputs'!$B$6/2)^2)-(((202-43)*MAX('Inputs'!$B$33,'Inputs'!$B$29+'Inputs'!$B$31+'Inputs'!$B$32,'Inputs'!$B$30+'Inputs'!$B$31+'Inputs'!$B$32)/1000+'Inputs'!$B$21+'Inputs'!$B$9+'Inputs'!$B$10))/SQRT((((202-43)*MAX('Inputs'!$B$33,'Inputs'!$B$29+'Inputs'!$B$31+'Inputs'!$B$32,'Inputs'!$B$30+'Inputs'!$B$31+'Inputs'!$B$32)/1000+'Inputs'!$B$21+'Inputs'!$B$9+'Inputs'!$B$10))^2+('Inputs'!$B$6/2)^2))))*'Results'!$B$8))),"")</x:f>
        <x:v>118.5226129569682</x:v>
      </x:c>
      <x:c r="O202" t="n">
        <x:f>IF(AND(ISNUMBER('Results'!C7),ISNUMBER('Results'!B7),ISNUMBER('Results'!$B$8),ISNUMBER('Inputs'!$B$6),ISNUMBER('Inputs'!$B$7),ISNUMBER('Inputs'!$B$8),ISNUMBER('Inputs'!$B$9),ISNUMBER('Inputs'!$B$10),ISNUMBER('Inputs'!$B$21),ISNUMBER('Inputs'!$B$24),ISNUMBER('Inputs'!$B$28)),((('Results'!C7*(1+'Inputs'!$B$24)*(0.5*((((202-43)*MAX('Inputs'!$B$33,'Inputs'!$B$29+'Inputs'!$B$31+'Inputs'!$B$32,'Inputs'!$B$30+'Inputs'!$B$31+'Inputs'!$B$32)/1000+'Inputs'!$B$21)+'Inputs'!$B$9)/SQRT((((202-43)*MAX('Inputs'!$B$33,'Inputs'!$B$29+'Inputs'!$B$31+'Inputs'!$B$32,'Inputs'!$B$30+'Inputs'!$B$31+'Inputs'!$B$32)/1000+'Inputs'!$B$21)+'Inputs'!$B$9)^2+('Inputs'!$B$8/2)^2)-(((202-43)*MAX('Inputs'!$B$33,'Inputs'!$B$29+'Inputs'!$B$31+'Inputs'!$B$32,'Inputs'!$B$30+'Inputs'!$B$31+'Inputs'!$B$32)/1000+'Inputs'!$B$21))/SQRT((((202-43)*MAX('Inputs'!$B$33,'Inputs'!$B$29+'Inputs'!$B$31+'Inputs'!$B$32,'Inputs'!$B$30+'Inputs'!$B$31+'Inputs'!$B$32)/1000+'Inputs'!$B$21))^2+('Inputs'!$B$8/2)^2)))-'Results'!B7*(1-'Inputs'!$B$24)*(0.5*((((202-43)*MAX('Inputs'!$B$33,'Inputs'!$B$29+'Inputs'!$B$31+'Inputs'!$B$32,'Inputs'!$B$30+'Inputs'!$B$31+'Inputs'!$B$32)/1000+'Inputs'!$B$21+'Inputs'!$B$9+'Inputs'!$B$10)+'Inputs'!$B$7)/SQRT((((202-43)*MAX('Inputs'!$B$33,'Inputs'!$B$29+'Inputs'!$B$31+'Inputs'!$B$32,'Inputs'!$B$30+'Inputs'!$B$31+'Inputs'!$B$32)/1000+'Inputs'!$B$21+'Inputs'!$B$9+'Inputs'!$B$10)+'Inputs'!$B$7)^2+('Inputs'!$B$6/2)^2)-(((202-43)*MAX('Inputs'!$B$33,'Inputs'!$B$29+'Inputs'!$B$31+'Inputs'!$B$32,'Inputs'!$B$30+'Inputs'!$B$31+'Inputs'!$B$32)/1000+'Inputs'!$B$21+'Inputs'!$B$9+'Inputs'!$B$10))/SQRT((((202-43)*MAX('Inputs'!$B$33,'Inputs'!$B$29+'Inputs'!$B$31+'Inputs'!$B$32,'Inputs'!$B$30+'Inputs'!$B$31+'Inputs'!$B$32)/1000+'Inputs'!$B$21+'Inputs'!$B$9+'Inputs'!$B$10))^2+('Inputs'!$B$6/2)^2))))*'Results'!$B$8)+'Inputs'!$B$28*ABS((('Results'!C7*(1+'Inputs'!$B$24)*(0.5*((((202-43)*MAX('Inputs'!$B$33,'Inputs'!$B$29+'Inputs'!$B$31+'Inputs'!$B$32,'Inputs'!$B$30+'Inputs'!$B$31+'Inputs'!$B$32)/1000+'Inputs'!$B$21)+'Inputs'!$B$9)/SQRT((((202-43)*MAX('Inputs'!$B$33,'Inputs'!$B$29+'Inputs'!$B$31+'Inputs'!$B$32,'Inputs'!$B$30+'Inputs'!$B$31+'Inputs'!$B$32)/1000+'Inputs'!$B$21)+'Inputs'!$B$9)^2+('Inputs'!$B$8/2)^2)-(((202-43)*MAX('Inputs'!$B$33,'Inputs'!$B$29+'Inputs'!$B$31+'Inputs'!$B$32,'Inputs'!$B$30+'Inputs'!$B$31+'Inputs'!$B$32)/1000+'Inputs'!$B$21))/SQRT((((202-43)*MAX('Inputs'!$B$33,'Inputs'!$B$29+'Inputs'!$B$31+'Inputs'!$B$32,'Inputs'!$B$30+'Inputs'!$B$31+'Inputs'!$B$32)/1000+'Inputs'!$B$21))^2+('Inputs'!$B$8/2)^2)))-'Results'!B7*(1-'Inputs'!$B$24)*(0.5*((((202-43)*MAX('Inputs'!$B$33,'Inputs'!$B$29+'Inputs'!$B$31+'Inputs'!$B$32,'Inputs'!$B$30+'Inputs'!$B$31+'Inputs'!$B$32)/1000+'Inputs'!$B$21+'Inputs'!$B$9+'Inputs'!$B$10)+'Inputs'!$B$7)/SQRT((((202-43)*MAX('Inputs'!$B$33,'Inputs'!$B$29+'Inputs'!$B$31+'Inputs'!$B$32,'Inputs'!$B$30+'Inputs'!$B$31+'Inputs'!$B$32)/1000+'Inputs'!$B$21+'Inputs'!$B$9+'Inputs'!$B$10)+'Inputs'!$B$7)^2+('Inputs'!$B$6/2)^2)-(((202-43)*MAX('Inputs'!$B$33,'Inputs'!$B$29+'Inputs'!$B$31+'Inputs'!$B$32,'Inputs'!$B$30+'Inputs'!$B$31+'Inputs'!$B$32)/1000+'Inputs'!$B$21+'Inputs'!$B$9+'Inputs'!$B$10))/SQRT((((202-43)*MAX('Inputs'!$B$33,'Inputs'!$B$29+'Inputs'!$B$31+'Inputs'!$B$32,'Inputs'!$B$30+'Inputs'!$B$31+'Inputs'!$B$32)/1000+'Inputs'!$B$21+'Inputs'!$B$9+'Inputs'!$B$10))^2+('Inputs'!$B$6/2)^2))))*'Results'!$B$8))),"")</x:f>
        <x:v>140.43428629468247</x:v>
      </x:c>
      <x:c r="P202" t="n">
        <x:f>IF(AND(MAX(J202,J201)&gt;0,J202&gt;J201+0.00000001),1,0)</x:f>
        <x:v>0</x:v>
      </x:c>
      <x:c r="Q202" t="n">
        <x:f>IF(AND(MAX(K202,K201)&gt;0,K202&gt;K201+0.00000001),1,0)</x:f>
        <x:v>0</x:v>
      </x:c>
      <x:c r="R202" t="n">
        <x:f>IF(AND(MAX(L202,L201)&gt;0,L202&gt;L201+0.00000001),1,0)</x:f>
        <x:v>0</x:v>
      </x:c>
      <x:c r="S202" t="n">
        <x:f>IF(AND(MAX(M202,M201)&gt;0,M202&gt;M201+0.00000001),1,0)</x:f>
        <x:v>0</x:v>
      </x:c>
      <x:c r="T202" t="n">
        <x:f>IF(AND(MAX(N202,N201)&gt;0,N202&gt;N201+0.00000001),1,0)</x:f>
        <x:v>0</x:v>
      </x:c>
      <x:c r="U202" t="n">
        <x:f>IF(AND(MAX(O202,O201)&gt;0,O202&gt;O201+0.00000001),1,0)</x:f>
        <x:v>0</x:v>
      </x:c>
    </x:row>
    <x:row r="203">
      <x:c r="J203" t="n">
        <x:f>IF(AND(ISNUMBER('Results'!B7),ISNUMBER('Results'!C7),ISNUMBER('Results'!$B$8),ISNUMBER('Inputs'!$B$6),ISNUMBER('Inputs'!$B$7),ISNUMBER('Inputs'!$B$8),ISNUMBER('Inputs'!$B$9),ISNUMBER('Inputs'!$B$10),ISNUMBER('Inputs'!$B$21),ISNUMBER('Inputs'!$B$24),ISNUMBER('Inputs'!$B$28)),(('Results'!B7*(0.5*((((203-43)*MAX('Inputs'!$B$33,'Inputs'!$B$29+'Inputs'!$B$31+'Inputs'!$B$32,'Inputs'!$B$30+'Inputs'!$B$31+'Inputs'!$B$32)/1000+'Inputs'!$B$21)+'Inputs'!$B$7)/SQRT((((203-43)*MAX('Inputs'!$B$33,'Inputs'!$B$29+'Inputs'!$B$31+'Inputs'!$B$32,'Inputs'!$B$30+'Inputs'!$B$31+'Inputs'!$B$32)/1000+'Inputs'!$B$21)+'Inputs'!$B$7)^2+('Inputs'!$B$6/2)^2)-(((203-43)*MAX('Inputs'!$B$33,'Inputs'!$B$29+'Inputs'!$B$31+'Inputs'!$B$32,'Inputs'!$B$30+'Inputs'!$B$31+'Inputs'!$B$32)/1000+'Inputs'!$B$21))/SQRT((((203-43)*MAX('Inputs'!$B$33,'Inputs'!$B$29+'Inputs'!$B$31+'Inputs'!$B$32,'Inputs'!$B$30+'Inputs'!$B$31+'Inputs'!$B$32)/1000+'Inputs'!$B$21))^2+('Inputs'!$B$6/2)^2)))-'Results'!C7*(0.5*((((203-43)*MAX('Inputs'!$B$33,'Inputs'!$B$29+'Inputs'!$B$31+'Inputs'!$B$32,'Inputs'!$B$30+'Inputs'!$B$31+'Inputs'!$B$32)/1000+'Inputs'!$B$21+'Inputs'!$B$7+'Inputs'!$B$10)+'Inputs'!$B$9)/SQRT((((203-43)*MAX('Inputs'!$B$33,'Inputs'!$B$29+'Inputs'!$B$31+'Inputs'!$B$32,'Inputs'!$B$30+'Inputs'!$B$31+'Inputs'!$B$32)/1000+'Inputs'!$B$21+'Inputs'!$B$7+'Inputs'!$B$10)+'Inputs'!$B$9)^2+('Inputs'!$B$8/2)^2)-(((203-43)*MAX('Inputs'!$B$33,'Inputs'!$B$29+'Inputs'!$B$31+'Inputs'!$B$32,'Inputs'!$B$30+'Inputs'!$B$31+'Inputs'!$B$32)/1000+'Inputs'!$B$21+'Inputs'!$B$7+'Inputs'!$B$10))/SQRT((((203-43)*MAX('Inputs'!$B$33,'Inputs'!$B$29+'Inputs'!$B$31+'Inputs'!$B$32,'Inputs'!$B$30+'Inputs'!$B$31+'Inputs'!$B$32)/1000+'Inputs'!$B$21+'Inputs'!$B$7+'Inputs'!$B$10))^2+('Inputs'!$B$8/2)^2))))*'Results'!$B$8),"")</x:f>
        <x:v>131.73552734907946</x:v>
      </x:c>
      <x:c r="K203" t="n">
        <x:f>IF(AND(ISNUMBER('Results'!B7),ISNUMBER('Results'!C7),ISNUMBER('Results'!$B$8),ISNUMBER('Inputs'!$B$6),ISNUMBER('Inputs'!$B$7),ISNUMBER('Inputs'!$B$8),ISNUMBER('Inputs'!$B$9),ISNUMBER('Inputs'!$B$10),ISNUMBER('Inputs'!$B$21),ISNUMBER('Inputs'!$B$24),ISNUMBER('Inputs'!$B$28)),((('Results'!B7*(1-'Inputs'!$B$24)*(0.5*((((203-43)*MAX('Inputs'!$B$33,'Inputs'!$B$29+'Inputs'!$B$31+'Inputs'!$B$32,'Inputs'!$B$30+'Inputs'!$B$31+'Inputs'!$B$32)/1000+'Inputs'!$B$21)+'Inputs'!$B$7)/SQRT((((203-43)*MAX('Inputs'!$B$33,'Inputs'!$B$29+'Inputs'!$B$31+'Inputs'!$B$32,'Inputs'!$B$30+'Inputs'!$B$31+'Inputs'!$B$32)/1000+'Inputs'!$B$21)+'Inputs'!$B$7)^2+('Inputs'!$B$6/2)^2)-(((203-43)*MAX('Inputs'!$B$33,'Inputs'!$B$29+'Inputs'!$B$31+'Inputs'!$B$32,'Inputs'!$B$30+'Inputs'!$B$31+'Inputs'!$B$32)/1000+'Inputs'!$B$21))/SQRT((((203-43)*MAX('Inputs'!$B$33,'Inputs'!$B$29+'Inputs'!$B$31+'Inputs'!$B$32,'Inputs'!$B$30+'Inputs'!$B$31+'Inputs'!$B$32)/1000+'Inputs'!$B$21))^2+('Inputs'!$B$6/2)^2)))-'Results'!C7*(1+'Inputs'!$B$24)*(0.5*((((203-43)*MAX('Inputs'!$B$33,'Inputs'!$B$29+'Inputs'!$B$31+'Inputs'!$B$32,'Inputs'!$B$30+'Inputs'!$B$31+'Inputs'!$B$32)/1000+'Inputs'!$B$21+'Inputs'!$B$7+'Inputs'!$B$10)+'Inputs'!$B$9)/SQRT((((203-43)*MAX('Inputs'!$B$33,'Inputs'!$B$29+'Inputs'!$B$31+'Inputs'!$B$32,'Inputs'!$B$30+'Inputs'!$B$31+'Inputs'!$B$32)/1000+'Inputs'!$B$21+'Inputs'!$B$7+'Inputs'!$B$10)+'Inputs'!$B$9)^2+('Inputs'!$B$8/2)^2)-(((203-43)*MAX('Inputs'!$B$33,'Inputs'!$B$29+'Inputs'!$B$31+'Inputs'!$B$32,'Inputs'!$B$30+'Inputs'!$B$31+'Inputs'!$B$32)/1000+'Inputs'!$B$21+'Inputs'!$B$7+'Inputs'!$B$10))/SQRT((((203-43)*MAX('Inputs'!$B$33,'Inputs'!$B$29+'Inputs'!$B$31+'Inputs'!$B$32,'Inputs'!$B$30+'Inputs'!$B$31+'Inputs'!$B$32)/1000+'Inputs'!$B$21+'Inputs'!$B$7+'Inputs'!$B$10))^2+('Inputs'!$B$8/2)^2))))*'Results'!$B$8)-'Inputs'!$B$28*ABS((('Results'!B7*(1-'Inputs'!$B$24)*(0.5*((((203-43)*MAX('Inputs'!$B$33,'Inputs'!$B$29+'Inputs'!$B$31+'Inputs'!$B$32,'Inputs'!$B$30+'Inputs'!$B$31+'Inputs'!$B$32)/1000+'Inputs'!$B$21)+'Inputs'!$B$7)/SQRT((((203-43)*MAX('Inputs'!$B$33,'Inputs'!$B$29+'Inputs'!$B$31+'Inputs'!$B$32,'Inputs'!$B$30+'Inputs'!$B$31+'Inputs'!$B$32)/1000+'Inputs'!$B$21)+'Inputs'!$B$7)^2+('Inputs'!$B$6/2)^2)-(((203-43)*MAX('Inputs'!$B$33,'Inputs'!$B$29+'Inputs'!$B$31+'Inputs'!$B$32,'Inputs'!$B$30+'Inputs'!$B$31+'Inputs'!$B$32)/1000+'Inputs'!$B$21))/SQRT((((203-43)*MAX('Inputs'!$B$33,'Inputs'!$B$29+'Inputs'!$B$31+'Inputs'!$B$32,'Inputs'!$B$30+'Inputs'!$B$31+'Inputs'!$B$32)/1000+'Inputs'!$B$21))^2+('Inputs'!$B$6/2)^2)))-'Results'!C7*(1+'Inputs'!$B$24)*(0.5*((((203-43)*MAX('Inputs'!$B$33,'Inputs'!$B$29+'Inputs'!$B$31+'Inputs'!$B$32,'Inputs'!$B$30+'Inputs'!$B$31+'Inputs'!$B$32)/1000+'Inputs'!$B$21+'Inputs'!$B$7+'Inputs'!$B$10)+'Inputs'!$B$9)/SQRT((((203-43)*MAX('Inputs'!$B$33,'Inputs'!$B$29+'Inputs'!$B$31+'Inputs'!$B$32,'Inputs'!$B$30+'Inputs'!$B$31+'Inputs'!$B$32)/1000+'Inputs'!$B$21+'Inputs'!$B$7+'Inputs'!$B$10)+'Inputs'!$B$9)^2+('Inputs'!$B$8/2)^2)-(((203-43)*MAX('Inputs'!$B$33,'Inputs'!$B$29+'Inputs'!$B$31+'Inputs'!$B$32,'Inputs'!$B$30+'Inputs'!$B$31+'Inputs'!$B$32)/1000+'Inputs'!$B$21+'Inputs'!$B$7+'Inputs'!$B$10))/SQRT((((203-43)*MAX('Inputs'!$B$33,'Inputs'!$B$29+'Inputs'!$B$31+'Inputs'!$B$32,'Inputs'!$B$30+'Inputs'!$B$31+'Inputs'!$B$32)/1000+'Inputs'!$B$21+'Inputs'!$B$7+'Inputs'!$B$10))^2+('Inputs'!$B$8/2)^2))))*'Results'!$B$8))),"")</x:f>
        <x:v>120.88625405218595</x:v>
      </x:c>
      <x:c r="L203" t="n">
        <x:f>IF(AND(ISNUMBER('Results'!B7),ISNUMBER('Results'!C7),ISNUMBER('Results'!$B$8),ISNUMBER('Inputs'!$B$6),ISNUMBER('Inputs'!$B$7),ISNUMBER('Inputs'!$B$8),ISNUMBER('Inputs'!$B$9),ISNUMBER('Inputs'!$B$10),ISNUMBER('Inputs'!$B$21),ISNUMBER('Inputs'!$B$24),ISNUMBER('Inputs'!$B$28)),((('Results'!B7*(1+'Inputs'!$B$24)*(0.5*((((203-43)*MAX('Inputs'!$B$33,'Inputs'!$B$29+'Inputs'!$B$31+'Inputs'!$B$32,'Inputs'!$B$30+'Inputs'!$B$31+'Inputs'!$B$32)/1000+'Inputs'!$B$21)+'Inputs'!$B$7)/SQRT((((203-43)*MAX('Inputs'!$B$33,'Inputs'!$B$29+'Inputs'!$B$31+'Inputs'!$B$32,'Inputs'!$B$30+'Inputs'!$B$31+'Inputs'!$B$32)/1000+'Inputs'!$B$21)+'Inputs'!$B$7)^2+('Inputs'!$B$6/2)^2)-(((203-43)*MAX('Inputs'!$B$33,'Inputs'!$B$29+'Inputs'!$B$31+'Inputs'!$B$32,'Inputs'!$B$30+'Inputs'!$B$31+'Inputs'!$B$32)/1000+'Inputs'!$B$21))/SQRT((((203-43)*MAX('Inputs'!$B$33,'Inputs'!$B$29+'Inputs'!$B$31+'Inputs'!$B$32,'Inputs'!$B$30+'Inputs'!$B$31+'Inputs'!$B$32)/1000+'Inputs'!$B$21))^2+('Inputs'!$B$6/2)^2)))-'Results'!C7*(1-'Inputs'!$B$24)*(0.5*((((203-43)*MAX('Inputs'!$B$33,'Inputs'!$B$29+'Inputs'!$B$31+'Inputs'!$B$32,'Inputs'!$B$30+'Inputs'!$B$31+'Inputs'!$B$32)/1000+'Inputs'!$B$21+'Inputs'!$B$7+'Inputs'!$B$10)+'Inputs'!$B$9)/SQRT((((203-43)*MAX('Inputs'!$B$33,'Inputs'!$B$29+'Inputs'!$B$31+'Inputs'!$B$32,'Inputs'!$B$30+'Inputs'!$B$31+'Inputs'!$B$32)/1000+'Inputs'!$B$21+'Inputs'!$B$7+'Inputs'!$B$10)+'Inputs'!$B$9)^2+('Inputs'!$B$8/2)^2)-(((203-43)*MAX('Inputs'!$B$33,'Inputs'!$B$29+'Inputs'!$B$31+'Inputs'!$B$32,'Inputs'!$B$30+'Inputs'!$B$31+'Inputs'!$B$32)/1000+'Inputs'!$B$21+'Inputs'!$B$7+'Inputs'!$B$10))/SQRT((((203-43)*MAX('Inputs'!$B$33,'Inputs'!$B$29+'Inputs'!$B$31+'Inputs'!$B$32,'Inputs'!$B$30+'Inputs'!$B$31+'Inputs'!$B$32)/1000+'Inputs'!$B$21+'Inputs'!$B$7+'Inputs'!$B$10))^2+('Inputs'!$B$8/2)^2))))*'Results'!$B$8)+'Inputs'!$B$28*ABS((('Results'!B7*(1+'Inputs'!$B$24)*(0.5*((((203-43)*MAX('Inputs'!$B$33,'Inputs'!$B$29+'Inputs'!$B$31+'Inputs'!$B$32,'Inputs'!$B$30+'Inputs'!$B$31+'Inputs'!$B$32)/1000+'Inputs'!$B$21)+'Inputs'!$B$7)/SQRT((((203-43)*MAX('Inputs'!$B$33,'Inputs'!$B$29+'Inputs'!$B$31+'Inputs'!$B$32,'Inputs'!$B$30+'Inputs'!$B$31+'Inputs'!$B$32)/1000+'Inputs'!$B$21)+'Inputs'!$B$7)^2+('Inputs'!$B$6/2)^2)-(((203-43)*MAX('Inputs'!$B$33,'Inputs'!$B$29+'Inputs'!$B$31+'Inputs'!$B$32,'Inputs'!$B$30+'Inputs'!$B$31+'Inputs'!$B$32)/1000+'Inputs'!$B$21))/SQRT((((203-43)*MAX('Inputs'!$B$33,'Inputs'!$B$29+'Inputs'!$B$31+'Inputs'!$B$32,'Inputs'!$B$30+'Inputs'!$B$31+'Inputs'!$B$32)/1000+'Inputs'!$B$21))^2+('Inputs'!$B$6/2)^2)))-'Results'!C7*(1-'Inputs'!$B$24)*(0.5*((((203-43)*MAX('Inputs'!$B$33,'Inputs'!$B$29+'Inputs'!$B$31+'Inputs'!$B$32,'Inputs'!$B$30+'Inputs'!$B$31+'Inputs'!$B$32)/1000+'Inputs'!$B$21+'Inputs'!$B$7+'Inputs'!$B$10)+'Inputs'!$B$9)/SQRT((((203-43)*MAX('Inputs'!$B$33,'Inputs'!$B$29+'Inputs'!$B$31+'Inputs'!$B$32,'Inputs'!$B$30+'Inputs'!$B$31+'Inputs'!$B$32)/1000+'Inputs'!$B$21+'Inputs'!$B$7+'Inputs'!$B$10)+'Inputs'!$B$9)^2+('Inputs'!$B$8/2)^2)-(((203-43)*MAX('Inputs'!$B$33,'Inputs'!$B$29+'Inputs'!$B$31+'Inputs'!$B$32,'Inputs'!$B$30+'Inputs'!$B$31+'Inputs'!$B$32)/1000+'Inputs'!$B$21+'Inputs'!$B$7+'Inputs'!$B$10))/SQRT((((203-43)*MAX('Inputs'!$B$33,'Inputs'!$B$29+'Inputs'!$B$31+'Inputs'!$B$32,'Inputs'!$B$30+'Inputs'!$B$31+'Inputs'!$B$32)/1000+'Inputs'!$B$21+'Inputs'!$B$7+'Inputs'!$B$10))^2+('Inputs'!$B$8/2)^2))))*'Results'!$B$8))),"")</x:f>
        <x:v>143.0334845332824</x:v>
      </x:c>
      <x:c r="M203" t="n">
        <x:f>IF(AND(ISNUMBER('Results'!C7),ISNUMBER('Results'!B7),ISNUMBER('Results'!$B$8),ISNUMBER('Inputs'!$B$6),ISNUMBER('Inputs'!$B$7),ISNUMBER('Inputs'!$B$8),ISNUMBER('Inputs'!$B$9),ISNUMBER('Inputs'!$B$10),ISNUMBER('Inputs'!$B$21),ISNUMBER('Inputs'!$B$24),ISNUMBER('Inputs'!$B$28)),(('Results'!C7*(0.5*((((203-43)*MAX('Inputs'!$B$33,'Inputs'!$B$29+'Inputs'!$B$31+'Inputs'!$B$32,'Inputs'!$B$30+'Inputs'!$B$31+'Inputs'!$B$32)/1000+'Inputs'!$B$21)+'Inputs'!$B$9)/SQRT((((203-43)*MAX('Inputs'!$B$33,'Inputs'!$B$29+'Inputs'!$B$31+'Inputs'!$B$32,'Inputs'!$B$30+'Inputs'!$B$31+'Inputs'!$B$32)/1000+'Inputs'!$B$21)+'Inputs'!$B$9)^2+('Inputs'!$B$8/2)^2)-(((203-43)*MAX('Inputs'!$B$33,'Inputs'!$B$29+'Inputs'!$B$31+'Inputs'!$B$32,'Inputs'!$B$30+'Inputs'!$B$31+'Inputs'!$B$32)/1000+'Inputs'!$B$21))/SQRT((((203-43)*MAX('Inputs'!$B$33,'Inputs'!$B$29+'Inputs'!$B$31+'Inputs'!$B$32,'Inputs'!$B$30+'Inputs'!$B$31+'Inputs'!$B$32)/1000+'Inputs'!$B$21))^2+('Inputs'!$B$8/2)^2)))-'Results'!B7*(0.5*((((203-43)*MAX('Inputs'!$B$33,'Inputs'!$B$29+'Inputs'!$B$31+'Inputs'!$B$32,'Inputs'!$B$30+'Inputs'!$B$31+'Inputs'!$B$32)/1000+'Inputs'!$B$21+'Inputs'!$B$9+'Inputs'!$B$10)+'Inputs'!$B$7)/SQRT((((203-43)*MAX('Inputs'!$B$33,'Inputs'!$B$29+'Inputs'!$B$31+'Inputs'!$B$32,'Inputs'!$B$30+'Inputs'!$B$31+'Inputs'!$B$32)/1000+'Inputs'!$B$21+'Inputs'!$B$9+'Inputs'!$B$10)+'Inputs'!$B$7)^2+('Inputs'!$B$6/2)^2)-(((203-43)*MAX('Inputs'!$B$33,'Inputs'!$B$29+'Inputs'!$B$31+'Inputs'!$B$32,'Inputs'!$B$30+'Inputs'!$B$31+'Inputs'!$B$32)/1000+'Inputs'!$B$21+'Inputs'!$B$9+'Inputs'!$B$10))/SQRT((((203-43)*MAX('Inputs'!$B$33,'Inputs'!$B$29+'Inputs'!$B$31+'Inputs'!$B$32,'Inputs'!$B$30+'Inputs'!$B$31+'Inputs'!$B$32)/1000+'Inputs'!$B$21+'Inputs'!$B$9+'Inputs'!$B$10))^2+('Inputs'!$B$6/2)^2))))*'Results'!$B$8),"")</x:f>
        <x:v>127.2297892073514</x:v>
      </x:c>
      <x:c r="N203" t="n">
        <x:f>IF(AND(ISNUMBER('Results'!C7),ISNUMBER('Results'!B7),ISNUMBER('Results'!$B$8),ISNUMBER('Inputs'!$B$6),ISNUMBER('Inputs'!$B$7),ISNUMBER('Inputs'!$B$8),ISNUMBER('Inputs'!$B$9),ISNUMBER('Inputs'!$B$10),ISNUMBER('Inputs'!$B$21),ISNUMBER('Inputs'!$B$24),ISNUMBER('Inputs'!$B$28)),((('Results'!C7*(1-'Inputs'!$B$24)*(0.5*((((203-43)*MAX('Inputs'!$B$33,'Inputs'!$B$29+'Inputs'!$B$31+'Inputs'!$B$32,'Inputs'!$B$30+'Inputs'!$B$31+'Inputs'!$B$32)/1000+'Inputs'!$B$21)+'Inputs'!$B$9)/SQRT((((203-43)*MAX('Inputs'!$B$33,'Inputs'!$B$29+'Inputs'!$B$31+'Inputs'!$B$32,'Inputs'!$B$30+'Inputs'!$B$31+'Inputs'!$B$32)/1000+'Inputs'!$B$21)+'Inputs'!$B$9)^2+('Inputs'!$B$8/2)^2)-(((203-43)*MAX('Inputs'!$B$33,'Inputs'!$B$29+'Inputs'!$B$31+'Inputs'!$B$32,'Inputs'!$B$30+'Inputs'!$B$31+'Inputs'!$B$32)/1000+'Inputs'!$B$21))/SQRT((((203-43)*MAX('Inputs'!$B$33,'Inputs'!$B$29+'Inputs'!$B$31+'Inputs'!$B$32,'Inputs'!$B$30+'Inputs'!$B$31+'Inputs'!$B$32)/1000+'Inputs'!$B$21))^2+('Inputs'!$B$8/2)^2)))-'Results'!B7*(1+'Inputs'!$B$24)*(0.5*((((203-43)*MAX('Inputs'!$B$33,'Inputs'!$B$29+'Inputs'!$B$31+'Inputs'!$B$32,'Inputs'!$B$30+'Inputs'!$B$31+'Inputs'!$B$32)/1000+'Inputs'!$B$21+'Inputs'!$B$9+'Inputs'!$B$10)+'Inputs'!$B$7)/SQRT((((203-43)*MAX('Inputs'!$B$33,'Inputs'!$B$29+'Inputs'!$B$31+'Inputs'!$B$32,'Inputs'!$B$30+'Inputs'!$B$31+'Inputs'!$B$32)/1000+'Inputs'!$B$21+'Inputs'!$B$9+'Inputs'!$B$10)+'Inputs'!$B$7)^2+('Inputs'!$B$6/2)^2)-(((203-43)*MAX('Inputs'!$B$33,'Inputs'!$B$29+'Inputs'!$B$31+'Inputs'!$B$32,'Inputs'!$B$30+'Inputs'!$B$31+'Inputs'!$B$32)/1000+'Inputs'!$B$21+'Inputs'!$B$9+'Inputs'!$B$10))/SQRT((((203-43)*MAX('Inputs'!$B$33,'Inputs'!$B$29+'Inputs'!$B$31+'Inputs'!$B$32,'Inputs'!$B$30+'Inputs'!$B$31+'Inputs'!$B$32)/1000+'Inputs'!$B$21+'Inputs'!$B$9+'Inputs'!$B$10))^2+('Inputs'!$B$6/2)^2))))*'Results'!$B$8)-'Inputs'!$B$28*ABS((('Results'!C7*(1-'Inputs'!$B$24)*(0.5*((((203-43)*MAX('Inputs'!$B$33,'Inputs'!$B$29+'Inputs'!$B$31+'Inputs'!$B$32,'Inputs'!$B$30+'Inputs'!$B$31+'Inputs'!$B$32)/1000+'Inputs'!$B$21)+'Inputs'!$B$9)/SQRT((((203-43)*MAX('Inputs'!$B$33,'Inputs'!$B$29+'Inputs'!$B$31+'Inputs'!$B$32,'Inputs'!$B$30+'Inputs'!$B$31+'Inputs'!$B$32)/1000+'Inputs'!$B$21)+'Inputs'!$B$9)^2+('Inputs'!$B$8/2)^2)-(((203-43)*MAX('Inputs'!$B$33,'Inputs'!$B$29+'Inputs'!$B$31+'Inputs'!$B$32,'Inputs'!$B$30+'Inputs'!$B$31+'Inputs'!$B$32)/1000+'Inputs'!$B$21))/SQRT((((203-43)*MAX('Inputs'!$B$33,'Inputs'!$B$29+'Inputs'!$B$31+'Inputs'!$B$32,'Inputs'!$B$30+'Inputs'!$B$31+'Inputs'!$B$32)/1000+'Inputs'!$B$21))^2+('Inputs'!$B$8/2)^2)))-'Results'!B7*(1+'Inputs'!$B$24)*(0.5*((((203-43)*MAX('Inputs'!$B$33,'Inputs'!$B$29+'Inputs'!$B$31+'Inputs'!$B$32,'Inputs'!$B$30+'Inputs'!$B$31+'Inputs'!$B$32)/1000+'Inputs'!$B$21+'Inputs'!$B$9+'Inputs'!$B$10)+'Inputs'!$B$7)/SQRT((((203-43)*MAX('Inputs'!$B$33,'Inputs'!$B$29+'Inputs'!$B$31+'Inputs'!$B$32,'Inputs'!$B$30+'Inputs'!$B$31+'Inputs'!$B$32)/1000+'Inputs'!$B$21+'Inputs'!$B$9+'Inputs'!$B$10)+'Inputs'!$B$7)^2+('Inputs'!$B$6/2)^2)-(((203-43)*MAX('Inputs'!$B$33,'Inputs'!$B$29+'Inputs'!$B$31+'Inputs'!$B$32,'Inputs'!$B$30+'Inputs'!$B$31+'Inputs'!$B$32)/1000+'Inputs'!$B$21+'Inputs'!$B$9+'Inputs'!$B$10))/SQRT((((203-43)*MAX('Inputs'!$B$33,'Inputs'!$B$29+'Inputs'!$B$31+'Inputs'!$B$32,'Inputs'!$B$30+'Inputs'!$B$31+'Inputs'!$B$32)/1000+'Inputs'!$B$21+'Inputs'!$B$9+'Inputs'!$B$10))^2+('Inputs'!$B$6/2)^2))))*'Results'!$B$8))),"")</x:f>
        <x:v>116.65550323183288</x:v>
      </x:c>
      <x:c r="O203" t="n">
        <x:f>IF(AND(ISNUMBER('Results'!C7),ISNUMBER('Results'!B7),ISNUMBER('Results'!$B$8),ISNUMBER('Inputs'!$B$6),ISNUMBER('Inputs'!$B$7),ISNUMBER('Inputs'!$B$8),ISNUMBER('Inputs'!$B$9),ISNUMBER('Inputs'!$B$10),ISNUMBER('Inputs'!$B$21),ISNUMBER('Inputs'!$B$24),ISNUMBER('Inputs'!$B$28)),((('Results'!C7*(1+'Inputs'!$B$24)*(0.5*((((203-43)*MAX('Inputs'!$B$33,'Inputs'!$B$29+'Inputs'!$B$31+'Inputs'!$B$32,'Inputs'!$B$30+'Inputs'!$B$31+'Inputs'!$B$32)/1000+'Inputs'!$B$21)+'Inputs'!$B$9)/SQRT((((203-43)*MAX('Inputs'!$B$33,'Inputs'!$B$29+'Inputs'!$B$31+'Inputs'!$B$32,'Inputs'!$B$30+'Inputs'!$B$31+'Inputs'!$B$32)/1000+'Inputs'!$B$21)+'Inputs'!$B$9)^2+('Inputs'!$B$8/2)^2)-(((203-43)*MAX('Inputs'!$B$33,'Inputs'!$B$29+'Inputs'!$B$31+'Inputs'!$B$32,'Inputs'!$B$30+'Inputs'!$B$31+'Inputs'!$B$32)/1000+'Inputs'!$B$21))/SQRT((((203-43)*MAX('Inputs'!$B$33,'Inputs'!$B$29+'Inputs'!$B$31+'Inputs'!$B$32,'Inputs'!$B$30+'Inputs'!$B$31+'Inputs'!$B$32)/1000+'Inputs'!$B$21))^2+('Inputs'!$B$8/2)^2)))-'Results'!B7*(1-'Inputs'!$B$24)*(0.5*((((203-43)*MAX('Inputs'!$B$33,'Inputs'!$B$29+'Inputs'!$B$31+'Inputs'!$B$32,'Inputs'!$B$30+'Inputs'!$B$31+'Inputs'!$B$32)/1000+'Inputs'!$B$21+'Inputs'!$B$9+'Inputs'!$B$10)+'Inputs'!$B$7)/SQRT((((203-43)*MAX('Inputs'!$B$33,'Inputs'!$B$29+'Inputs'!$B$31+'Inputs'!$B$32,'Inputs'!$B$30+'Inputs'!$B$31+'Inputs'!$B$32)/1000+'Inputs'!$B$21+'Inputs'!$B$9+'Inputs'!$B$10)+'Inputs'!$B$7)^2+('Inputs'!$B$6/2)^2)-(((203-43)*MAX('Inputs'!$B$33,'Inputs'!$B$29+'Inputs'!$B$31+'Inputs'!$B$32,'Inputs'!$B$30+'Inputs'!$B$31+'Inputs'!$B$32)/1000+'Inputs'!$B$21+'Inputs'!$B$9+'Inputs'!$B$10))/SQRT((((203-43)*MAX('Inputs'!$B$33,'Inputs'!$B$29+'Inputs'!$B$31+'Inputs'!$B$32,'Inputs'!$B$30+'Inputs'!$B$31+'Inputs'!$B$32)/1000+'Inputs'!$B$21+'Inputs'!$B$9+'Inputs'!$B$10))^2+('Inputs'!$B$6/2)^2))))*'Results'!$B$8)+'Inputs'!$B$28*ABS((('Results'!C7*(1+'Inputs'!$B$24)*(0.5*((((203-43)*MAX('Inputs'!$B$33,'Inputs'!$B$29+'Inputs'!$B$31+'Inputs'!$B$32,'Inputs'!$B$30+'Inputs'!$B$31+'Inputs'!$B$32)/1000+'Inputs'!$B$21)+'Inputs'!$B$9)/SQRT((((203-43)*MAX('Inputs'!$B$33,'Inputs'!$B$29+'Inputs'!$B$31+'Inputs'!$B$32,'Inputs'!$B$30+'Inputs'!$B$31+'Inputs'!$B$32)/1000+'Inputs'!$B$21)+'Inputs'!$B$9)^2+('Inputs'!$B$8/2)^2)-(((203-43)*MAX('Inputs'!$B$33,'Inputs'!$B$29+'Inputs'!$B$31+'Inputs'!$B$32,'Inputs'!$B$30+'Inputs'!$B$31+'Inputs'!$B$32)/1000+'Inputs'!$B$21))/SQRT((((203-43)*MAX('Inputs'!$B$33,'Inputs'!$B$29+'Inputs'!$B$31+'Inputs'!$B$32,'Inputs'!$B$30+'Inputs'!$B$31+'Inputs'!$B$32)/1000+'Inputs'!$B$21))^2+('Inputs'!$B$8/2)^2)))-'Results'!B7*(1-'Inputs'!$B$24)*(0.5*((((203-43)*MAX('Inputs'!$B$33,'Inputs'!$B$29+'Inputs'!$B$31+'Inputs'!$B$32,'Inputs'!$B$30+'Inputs'!$B$31+'Inputs'!$B$32)/1000+'Inputs'!$B$21+'Inputs'!$B$9+'Inputs'!$B$10)+'Inputs'!$B$7)/SQRT((((203-43)*MAX('Inputs'!$B$33,'Inputs'!$B$29+'Inputs'!$B$31+'Inputs'!$B$32,'Inputs'!$B$30+'Inputs'!$B$31+'Inputs'!$B$32)/1000+'Inputs'!$B$21+'Inputs'!$B$9+'Inputs'!$B$10)+'Inputs'!$B$7)^2+('Inputs'!$B$6/2)^2)-(((203-43)*MAX('Inputs'!$B$33,'Inputs'!$B$29+'Inputs'!$B$31+'Inputs'!$B$32,'Inputs'!$B$30+'Inputs'!$B$31+'Inputs'!$B$32)/1000+'Inputs'!$B$21+'Inputs'!$B$9+'Inputs'!$B$10))/SQRT((((203-43)*MAX('Inputs'!$B$33,'Inputs'!$B$29+'Inputs'!$B$31+'Inputs'!$B$32,'Inputs'!$B$30+'Inputs'!$B$31+'Inputs'!$B$32)/1000+'Inputs'!$B$21+'Inputs'!$B$9+'Inputs'!$B$10))^2+('Inputs'!$B$6/2)^2))))*'Results'!$B$8))),"")</x:f>
        <x:v>138.24752744762264</x:v>
      </x:c>
      <x:c r="P203" t="n">
        <x:f>IF(AND(MAX(J203,J202)&gt;0,J203&gt;J202+0.00000001),1,0)</x:f>
        <x:v>0</x:v>
      </x:c>
      <x:c r="Q203" t="n">
        <x:f>IF(AND(MAX(K203,K202)&gt;0,K203&gt;K202+0.00000001),1,0)</x:f>
        <x:v>0</x:v>
      </x:c>
      <x:c r="R203" t="n">
        <x:f>IF(AND(MAX(L203,L202)&gt;0,L203&gt;L202+0.00000001),1,0)</x:f>
        <x:v>0</x:v>
      </x:c>
      <x:c r="S203" t="n">
        <x:f>IF(AND(MAX(M203,M202)&gt;0,M203&gt;M202+0.00000001),1,0)</x:f>
        <x:v>0</x:v>
      </x:c>
      <x:c r="T203" t="n">
        <x:f>IF(AND(MAX(N203,N202)&gt;0,N203&gt;N202+0.00000001),1,0)</x:f>
        <x:v>0</x:v>
      </x:c>
      <x:c r="U203" t="n">
        <x:f>IF(AND(MAX(O203,O202)&gt;0,O203&gt;O202+0.00000001),1,0)</x:f>
        <x:v>0</x:v>
      </x:c>
    </x:row>
    <x:row r="204">
      <x:c r="J204" t="n">
        <x:f>IF(AND(ISNUMBER('Results'!B7),ISNUMBER('Results'!C7),ISNUMBER('Results'!$B$8),ISNUMBER('Inputs'!$B$6),ISNUMBER('Inputs'!$B$7),ISNUMBER('Inputs'!$B$8),ISNUMBER('Inputs'!$B$9),ISNUMBER('Inputs'!$B$10),ISNUMBER('Inputs'!$B$21),ISNUMBER('Inputs'!$B$24),ISNUMBER('Inputs'!$B$28)),(('Results'!B7*(0.5*((((204-43)*MAX('Inputs'!$B$33,'Inputs'!$B$29+'Inputs'!$B$31+'Inputs'!$B$32,'Inputs'!$B$30+'Inputs'!$B$31+'Inputs'!$B$32)/1000+'Inputs'!$B$21)+'Inputs'!$B$7)/SQRT((((204-43)*MAX('Inputs'!$B$33,'Inputs'!$B$29+'Inputs'!$B$31+'Inputs'!$B$32,'Inputs'!$B$30+'Inputs'!$B$31+'Inputs'!$B$32)/1000+'Inputs'!$B$21)+'Inputs'!$B$7)^2+('Inputs'!$B$6/2)^2)-(((204-43)*MAX('Inputs'!$B$33,'Inputs'!$B$29+'Inputs'!$B$31+'Inputs'!$B$32,'Inputs'!$B$30+'Inputs'!$B$31+'Inputs'!$B$32)/1000+'Inputs'!$B$21))/SQRT((((204-43)*MAX('Inputs'!$B$33,'Inputs'!$B$29+'Inputs'!$B$31+'Inputs'!$B$32,'Inputs'!$B$30+'Inputs'!$B$31+'Inputs'!$B$32)/1000+'Inputs'!$B$21))^2+('Inputs'!$B$6/2)^2)))-'Results'!C7*(0.5*((((204-43)*MAX('Inputs'!$B$33,'Inputs'!$B$29+'Inputs'!$B$31+'Inputs'!$B$32,'Inputs'!$B$30+'Inputs'!$B$31+'Inputs'!$B$32)/1000+'Inputs'!$B$21+'Inputs'!$B$7+'Inputs'!$B$10)+'Inputs'!$B$9)/SQRT((((204-43)*MAX('Inputs'!$B$33,'Inputs'!$B$29+'Inputs'!$B$31+'Inputs'!$B$32,'Inputs'!$B$30+'Inputs'!$B$31+'Inputs'!$B$32)/1000+'Inputs'!$B$21+'Inputs'!$B$7+'Inputs'!$B$10)+'Inputs'!$B$9)^2+('Inputs'!$B$8/2)^2)-(((204-43)*MAX('Inputs'!$B$33,'Inputs'!$B$29+'Inputs'!$B$31+'Inputs'!$B$32,'Inputs'!$B$30+'Inputs'!$B$31+'Inputs'!$B$32)/1000+'Inputs'!$B$21+'Inputs'!$B$7+'Inputs'!$B$10))/SQRT((((204-43)*MAX('Inputs'!$B$33,'Inputs'!$B$29+'Inputs'!$B$31+'Inputs'!$B$32,'Inputs'!$B$30+'Inputs'!$B$31+'Inputs'!$B$32)/1000+'Inputs'!$B$21+'Inputs'!$B$7+'Inputs'!$B$10))^2+('Inputs'!$B$8/2)^2))))*'Results'!$B$8),"")</x:f>
        <x:v>129.6910765964798</x:v>
      </x:c>
      <x:c r="K204" t="n">
        <x:f>IF(AND(ISNUMBER('Results'!B7),ISNUMBER('Results'!C7),ISNUMBER('Results'!$B$8),ISNUMBER('Inputs'!$B$6),ISNUMBER('Inputs'!$B$7),ISNUMBER('Inputs'!$B$8),ISNUMBER('Inputs'!$B$9),ISNUMBER('Inputs'!$B$10),ISNUMBER('Inputs'!$B$21),ISNUMBER('Inputs'!$B$24),ISNUMBER('Inputs'!$B$28)),((('Results'!B7*(1-'Inputs'!$B$24)*(0.5*((((204-43)*MAX('Inputs'!$B$33,'Inputs'!$B$29+'Inputs'!$B$31+'Inputs'!$B$32,'Inputs'!$B$30+'Inputs'!$B$31+'Inputs'!$B$32)/1000+'Inputs'!$B$21)+'Inputs'!$B$7)/SQRT((((204-43)*MAX('Inputs'!$B$33,'Inputs'!$B$29+'Inputs'!$B$31+'Inputs'!$B$32,'Inputs'!$B$30+'Inputs'!$B$31+'Inputs'!$B$32)/1000+'Inputs'!$B$21)+'Inputs'!$B$7)^2+('Inputs'!$B$6/2)^2)-(((204-43)*MAX('Inputs'!$B$33,'Inputs'!$B$29+'Inputs'!$B$31+'Inputs'!$B$32,'Inputs'!$B$30+'Inputs'!$B$31+'Inputs'!$B$32)/1000+'Inputs'!$B$21))/SQRT((((204-43)*MAX('Inputs'!$B$33,'Inputs'!$B$29+'Inputs'!$B$31+'Inputs'!$B$32,'Inputs'!$B$30+'Inputs'!$B$31+'Inputs'!$B$32)/1000+'Inputs'!$B$21))^2+('Inputs'!$B$6/2)^2)))-'Results'!C7*(1+'Inputs'!$B$24)*(0.5*((((204-43)*MAX('Inputs'!$B$33,'Inputs'!$B$29+'Inputs'!$B$31+'Inputs'!$B$32,'Inputs'!$B$30+'Inputs'!$B$31+'Inputs'!$B$32)/1000+'Inputs'!$B$21+'Inputs'!$B$7+'Inputs'!$B$10)+'Inputs'!$B$9)/SQRT((((204-43)*MAX('Inputs'!$B$33,'Inputs'!$B$29+'Inputs'!$B$31+'Inputs'!$B$32,'Inputs'!$B$30+'Inputs'!$B$31+'Inputs'!$B$32)/1000+'Inputs'!$B$21+'Inputs'!$B$7+'Inputs'!$B$10)+'Inputs'!$B$9)^2+('Inputs'!$B$8/2)^2)-(((204-43)*MAX('Inputs'!$B$33,'Inputs'!$B$29+'Inputs'!$B$31+'Inputs'!$B$32,'Inputs'!$B$30+'Inputs'!$B$31+'Inputs'!$B$32)/1000+'Inputs'!$B$21+'Inputs'!$B$7+'Inputs'!$B$10))/SQRT((((204-43)*MAX('Inputs'!$B$33,'Inputs'!$B$29+'Inputs'!$B$31+'Inputs'!$B$32,'Inputs'!$B$30+'Inputs'!$B$31+'Inputs'!$B$32)/1000+'Inputs'!$B$21+'Inputs'!$B$7+'Inputs'!$B$10))^2+('Inputs'!$B$8/2)^2))))*'Results'!$B$8)-'Inputs'!$B$28*ABS((('Results'!B7*(1-'Inputs'!$B$24)*(0.5*((((204-43)*MAX('Inputs'!$B$33,'Inputs'!$B$29+'Inputs'!$B$31+'Inputs'!$B$32,'Inputs'!$B$30+'Inputs'!$B$31+'Inputs'!$B$32)/1000+'Inputs'!$B$21)+'Inputs'!$B$7)/SQRT((((204-43)*MAX('Inputs'!$B$33,'Inputs'!$B$29+'Inputs'!$B$31+'Inputs'!$B$32,'Inputs'!$B$30+'Inputs'!$B$31+'Inputs'!$B$32)/1000+'Inputs'!$B$21)+'Inputs'!$B$7)^2+('Inputs'!$B$6/2)^2)-(((204-43)*MAX('Inputs'!$B$33,'Inputs'!$B$29+'Inputs'!$B$31+'Inputs'!$B$32,'Inputs'!$B$30+'Inputs'!$B$31+'Inputs'!$B$32)/1000+'Inputs'!$B$21))/SQRT((((204-43)*MAX('Inputs'!$B$33,'Inputs'!$B$29+'Inputs'!$B$31+'Inputs'!$B$32,'Inputs'!$B$30+'Inputs'!$B$31+'Inputs'!$B$32)/1000+'Inputs'!$B$21))^2+('Inputs'!$B$6/2)^2)))-'Results'!C7*(1+'Inputs'!$B$24)*(0.5*((((204-43)*MAX('Inputs'!$B$33,'Inputs'!$B$29+'Inputs'!$B$31+'Inputs'!$B$32,'Inputs'!$B$30+'Inputs'!$B$31+'Inputs'!$B$32)/1000+'Inputs'!$B$21+'Inputs'!$B$7+'Inputs'!$B$10)+'Inputs'!$B$9)/SQRT((((204-43)*MAX('Inputs'!$B$33,'Inputs'!$B$29+'Inputs'!$B$31+'Inputs'!$B$32,'Inputs'!$B$30+'Inputs'!$B$31+'Inputs'!$B$32)/1000+'Inputs'!$B$21+'Inputs'!$B$7+'Inputs'!$B$10)+'Inputs'!$B$9)^2+('Inputs'!$B$8/2)^2)-(((204-43)*MAX('Inputs'!$B$33,'Inputs'!$B$29+'Inputs'!$B$31+'Inputs'!$B$32,'Inputs'!$B$30+'Inputs'!$B$31+'Inputs'!$B$32)/1000+'Inputs'!$B$21+'Inputs'!$B$7+'Inputs'!$B$10))/SQRT((((204-43)*MAX('Inputs'!$B$33,'Inputs'!$B$29+'Inputs'!$B$31+'Inputs'!$B$32,'Inputs'!$B$30+'Inputs'!$B$31+'Inputs'!$B$32)/1000+'Inputs'!$B$21+'Inputs'!$B$7+'Inputs'!$B$10))^2+('Inputs'!$B$8/2)^2))))*'Results'!$B$8))),"")</x:f>
        <x:v>118.9995529522951</x:v>
      </x:c>
      <x:c r="L204" t="n">
        <x:f>IF(AND(ISNUMBER('Results'!B7),ISNUMBER('Results'!C7),ISNUMBER('Results'!$B$8),ISNUMBER('Inputs'!$B$6),ISNUMBER('Inputs'!$B$7),ISNUMBER('Inputs'!$B$8),ISNUMBER('Inputs'!$B$9),ISNUMBER('Inputs'!$B$10),ISNUMBER('Inputs'!$B$21),ISNUMBER('Inputs'!$B$24),ISNUMBER('Inputs'!$B$28)),((('Results'!B7*(1+'Inputs'!$B$24)*(0.5*((((204-43)*MAX('Inputs'!$B$33,'Inputs'!$B$29+'Inputs'!$B$31+'Inputs'!$B$32,'Inputs'!$B$30+'Inputs'!$B$31+'Inputs'!$B$32)/1000+'Inputs'!$B$21)+'Inputs'!$B$7)/SQRT((((204-43)*MAX('Inputs'!$B$33,'Inputs'!$B$29+'Inputs'!$B$31+'Inputs'!$B$32,'Inputs'!$B$30+'Inputs'!$B$31+'Inputs'!$B$32)/1000+'Inputs'!$B$21)+'Inputs'!$B$7)^2+('Inputs'!$B$6/2)^2)-(((204-43)*MAX('Inputs'!$B$33,'Inputs'!$B$29+'Inputs'!$B$31+'Inputs'!$B$32,'Inputs'!$B$30+'Inputs'!$B$31+'Inputs'!$B$32)/1000+'Inputs'!$B$21))/SQRT((((204-43)*MAX('Inputs'!$B$33,'Inputs'!$B$29+'Inputs'!$B$31+'Inputs'!$B$32,'Inputs'!$B$30+'Inputs'!$B$31+'Inputs'!$B$32)/1000+'Inputs'!$B$21))^2+('Inputs'!$B$6/2)^2)))-'Results'!C7*(1-'Inputs'!$B$24)*(0.5*((((204-43)*MAX('Inputs'!$B$33,'Inputs'!$B$29+'Inputs'!$B$31+'Inputs'!$B$32,'Inputs'!$B$30+'Inputs'!$B$31+'Inputs'!$B$32)/1000+'Inputs'!$B$21+'Inputs'!$B$7+'Inputs'!$B$10)+'Inputs'!$B$9)/SQRT((((204-43)*MAX('Inputs'!$B$33,'Inputs'!$B$29+'Inputs'!$B$31+'Inputs'!$B$32,'Inputs'!$B$30+'Inputs'!$B$31+'Inputs'!$B$32)/1000+'Inputs'!$B$21+'Inputs'!$B$7+'Inputs'!$B$10)+'Inputs'!$B$9)^2+('Inputs'!$B$8/2)^2)-(((204-43)*MAX('Inputs'!$B$33,'Inputs'!$B$29+'Inputs'!$B$31+'Inputs'!$B$32,'Inputs'!$B$30+'Inputs'!$B$31+'Inputs'!$B$32)/1000+'Inputs'!$B$21+'Inputs'!$B$7+'Inputs'!$B$10))/SQRT((((204-43)*MAX('Inputs'!$B$33,'Inputs'!$B$29+'Inputs'!$B$31+'Inputs'!$B$32,'Inputs'!$B$30+'Inputs'!$B$31+'Inputs'!$B$32)/1000+'Inputs'!$B$21+'Inputs'!$B$7+'Inputs'!$B$10))^2+('Inputs'!$B$8/2)^2))))*'Results'!$B$8)+'Inputs'!$B$28*ABS((('Results'!B7*(1+'Inputs'!$B$24)*(0.5*((((204-43)*MAX('Inputs'!$B$33,'Inputs'!$B$29+'Inputs'!$B$31+'Inputs'!$B$32,'Inputs'!$B$30+'Inputs'!$B$31+'Inputs'!$B$32)/1000+'Inputs'!$B$21)+'Inputs'!$B$7)/SQRT((((204-43)*MAX('Inputs'!$B$33,'Inputs'!$B$29+'Inputs'!$B$31+'Inputs'!$B$32,'Inputs'!$B$30+'Inputs'!$B$31+'Inputs'!$B$32)/1000+'Inputs'!$B$21)+'Inputs'!$B$7)^2+('Inputs'!$B$6/2)^2)-(((204-43)*MAX('Inputs'!$B$33,'Inputs'!$B$29+'Inputs'!$B$31+'Inputs'!$B$32,'Inputs'!$B$30+'Inputs'!$B$31+'Inputs'!$B$32)/1000+'Inputs'!$B$21))/SQRT((((204-43)*MAX('Inputs'!$B$33,'Inputs'!$B$29+'Inputs'!$B$31+'Inputs'!$B$32,'Inputs'!$B$30+'Inputs'!$B$31+'Inputs'!$B$32)/1000+'Inputs'!$B$21))^2+('Inputs'!$B$6/2)^2)))-'Results'!C7*(1-'Inputs'!$B$24)*(0.5*((((204-43)*MAX('Inputs'!$B$33,'Inputs'!$B$29+'Inputs'!$B$31+'Inputs'!$B$32,'Inputs'!$B$30+'Inputs'!$B$31+'Inputs'!$B$32)/1000+'Inputs'!$B$21+'Inputs'!$B$7+'Inputs'!$B$10)+'Inputs'!$B$9)/SQRT((((204-43)*MAX('Inputs'!$B$33,'Inputs'!$B$29+'Inputs'!$B$31+'Inputs'!$B$32,'Inputs'!$B$30+'Inputs'!$B$31+'Inputs'!$B$32)/1000+'Inputs'!$B$21+'Inputs'!$B$7+'Inputs'!$B$10)+'Inputs'!$B$9)^2+('Inputs'!$B$8/2)^2)-(((204-43)*MAX('Inputs'!$B$33,'Inputs'!$B$29+'Inputs'!$B$31+'Inputs'!$B$32,'Inputs'!$B$30+'Inputs'!$B$31+'Inputs'!$B$32)/1000+'Inputs'!$B$21+'Inputs'!$B$7+'Inputs'!$B$10))/SQRT((((204-43)*MAX('Inputs'!$B$33,'Inputs'!$B$29+'Inputs'!$B$31+'Inputs'!$B$32,'Inputs'!$B$30+'Inputs'!$B$31+'Inputs'!$B$32)/1000+'Inputs'!$B$21+'Inputs'!$B$7+'Inputs'!$B$10))^2+('Inputs'!$B$8/2)^2))))*'Results'!$B$8))),"")</x:f>
        <x:v>140.82543916849187</x:v>
      </x:c>
      <x:c r="M204" t="n">
        <x:f>IF(AND(ISNUMBER('Results'!C7),ISNUMBER('Results'!B7),ISNUMBER('Results'!$B$8),ISNUMBER('Inputs'!$B$6),ISNUMBER('Inputs'!$B$7),ISNUMBER('Inputs'!$B$8),ISNUMBER('Inputs'!$B$9),ISNUMBER('Inputs'!$B$10),ISNUMBER('Inputs'!$B$21),ISNUMBER('Inputs'!$B$24),ISNUMBER('Inputs'!$B$28)),(('Results'!C7*(0.5*((((204-43)*MAX('Inputs'!$B$33,'Inputs'!$B$29+'Inputs'!$B$31+'Inputs'!$B$32,'Inputs'!$B$30+'Inputs'!$B$31+'Inputs'!$B$32)/1000+'Inputs'!$B$21)+'Inputs'!$B$9)/SQRT((((204-43)*MAX('Inputs'!$B$33,'Inputs'!$B$29+'Inputs'!$B$31+'Inputs'!$B$32,'Inputs'!$B$30+'Inputs'!$B$31+'Inputs'!$B$32)/1000+'Inputs'!$B$21)+'Inputs'!$B$9)^2+('Inputs'!$B$8/2)^2)-(((204-43)*MAX('Inputs'!$B$33,'Inputs'!$B$29+'Inputs'!$B$31+'Inputs'!$B$32,'Inputs'!$B$30+'Inputs'!$B$31+'Inputs'!$B$32)/1000+'Inputs'!$B$21))/SQRT((((204-43)*MAX('Inputs'!$B$33,'Inputs'!$B$29+'Inputs'!$B$31+'Inputs'!$B$32,'Inputs'!$B$30+'Inputs'!$B$31+'Inputs'!$B$32)/1000+'Inputs'!$B$21))^2+('Inputs'!$B$8/2)^2)))-'Results'!B7*(0.5*((((204-43)*MAX('Inputs'!$B$33,'Inputs'!$B$29+'Inputs'!$B$31+'Inputs'!$B$32,'Inputs'!$B$30+'Inputs'!$B$31+'Inputs'!$B$32)/1000+'Inputs'!$B$21+'Inputs'!$B$9+'Inputs'!$B$10)+'Inputs'!$B$7)/SQRT((((204-43)*MAX('Inputs'!$B$33,'Inputs'!$B$29+'Inputs'!$B$31+'Inputs'!$B$32,'Inputs'!$B$30+'Inputs'!$B$31+'Inputs'!$B$32)/1000+'Inputs'!$B$21+'Inputs'!$B$9+'Inputs'!$B$10)+'Inputs'!$B$7)^2+('Inputs'!$B$6/2)^2)-(((204-43)*MAX('Inputs'!$B$33,'Inputs'!$B$29+'Inputs'!$B$31+'Inputs'!$B$32,'Inputs'!$B$30+'Inputs'!$B$31+'Inputs'!$B$32)/1000+'Inputs'!$B$21+'Inputs'!$B$9+'Inputs'!$B$10))/SQRT((((204-43)*MAX('Inputs'!$B$33,'Inputs'!$B$29+'Inputs'!$B$31+'Inputs'!$B$32,'Inputs'!$B$30+'Inputs'!$B$31+'Inputs'!$B$32)/1000+'Inputs'!$B$21+'Inputs'!$B$9+'Inputs'!$B$10))^2+('Inputs'!$B$6/2)^2))))*'Results'!$B$8),"")</x:f>
        <x:v>125.24396723916104</x:v>
      </x:c>
      <x:c r="N204" t="n">
        <x:f>IF(AND(ISNUMBER('Results'!C7),ISNUMBER('Results'!B7),ISNUMBER('Results'!$B$8),ISNUMBER('Inputs'!$B$6),ISNUMBER('Inputs'!$B$7),ISNUMBER('Inputs'!$B$8),ISNUMBER('Inputs'!$B$9),ISNUMBER('Inputs'!$B$10),ISNUMBER('Inputs'!$B$21),ISNUMBER('Inputs'!$B$24),ISNUMBER('Inputs'!$B$28)),((('Results'!C7*(1-'Inputs'!$B$24)*(0.5*((((204-43)*MAX('Inputs'!$B$33,'Inputs'!$B$29+'Inputs'!$B$31+'Inputs'!$B$32,'Inputs'!$B$30+'Inputs'!$B$31+'Inputs'!$B$32)/1000+'Inputs'!$B$21)+'Inputs'!$B$9)/SQRT((((204-43)*MAX('Inputs'!$B$33,'Inputs'!$B$29+'Inputs'!$B$31+'Inputs'!$B$32,'Inputs'!$B$30+'Inputs'!$B$31+'Inputs'!$B$32)/1000+'Inputs'!$B$21)+'Inputs'!$B$9)^2+('Inputs'!$B$8/2)^2)-(((204-43)*MAX('Inputs'!$B$33,'Inputs'!$B$29+'Inputs'!$B$31+'Inputs'!$B$32,'Inputs'!$B$30+'Inputs'!$B$31+'Inputs'!$B$32)/1000+'Inputs'!$B$21))/SQRT((((204-43)*MAX('Inputs'!$B$33,'Inputs'!$B$29+'Inputs'!$B$31+'Inputs'!$B$32,'Inputs'!$B$30+'Inputs'!$B$31+'Inputs'!$B$32)/1000+'Inputs'!$B$21))^2+('Inputs'!$B$8/2)^2)))-'Results'!B7*(1+'Inputs'!$B$24)*(0.5*((((204-43)*MAX('Inputs'!$B$33,'Inputs'!$B$29+'Inputs'!$B$31+'Inputs'!$B$32,'Inputs'!$B$30+'Inputs'!$B$31+'Inputs'!$B$32)/1000+'Inputs'!$B$21+'Inputs'!$B$9+'Inputs'!$B$10)+'Inputs'!$B$7)/SQRT((((204-43)*MAX('Inputs'!$B$33,'Inputs'!$B$29+'Inputs'!$B$31+'Inputs'!$B$32,'Inputs'!$B$30+'Inputs'!$B$31+'Inputs'!$B$32)/1000+'Inputs'!$B$21+'Inputs'!$B$9+'Inputs'!$B$10)+'Inputs'!$B$7)^2+('Inputs'!$B$6/2)^2)-(((204-43)*MAX('Inputs'!$B$33,'Inputs'!$B$29+'Inputs'!$B$31+'Inputs'!$B$32,'Inputs'!$B$30+'Inputs'!$B$31+'Inputs'!$B$32)/1000+'Inputs'!$B$21+'Inputs'!$B$9+'Inputs'!$B$10))/SQRT((((204-43)*MAX('Inputs'!$B$33,'Inputs'!$B$29+'Inputs'!$B$31+'Inputs'!$B$32,'Inputs'!$B$30+'Inputs'!$B$31+'Inputs'!$B$32)/1000+'Inputs'!$B$21+'Inputs'!$B$9+'Inputs'!$B$10))^2+('Inputs'!$B$6/2)^2))))*'Results'!$B$8)-'Inputs'!$B$28*ABS((('Results'!C7*(1-'Inputs'!$B$24)*(0.5*((((204-43)*MAX('Inputs'!$B$33,'Inputs'!$B$29+'Inputs'!$B$31+'Inputs'!$B$32,'Inputs'!$B$30+'Inputs'!$B$31+'Inputs'!$B$32)/1000+'Inputs'!$B$21)+'Inputs'!$B$9)/SQRT((((204-43)*MAX('Inputs'!$B$33,'Inputs'!$B$29+'Inputs'!$B$31+'Inputs'!$B$32,'Inputs'!$B$30+'Inputs'!$B$31+'Inputs'!$B$32)/1000+'Inputs'!$B$21)+'Inputs'!$B$9)^2+('Inputs'!$B$8/2)^2)-(((204-43)*MAX('Inputs'!$B$33,'Inputs'!$B$29+'Inputs'!$B$31+'Inputs'!$B$32,'Inputs'!$B$30+'Inputs'!$B$31+'Inputs'!$B$32)/1000+'Inputs'!$B$21))/SQRT((((204-43)*MAX('Inputs'!$B$33,'Inputs'!$B$29+'Inputs'!$B$31+'Inputs'!$B$32,'Inputs'!$B$30+'Inputs'!$B$31+'Inputs'!$B$32)/1000+'Inputs'!$B$21))^2+('Inputs'!$B$8/2)^2)))-'Results'!B7*(1+'Inputs'!$B$24)*(0.5*((((204-43)*MAX('Inputs'!$B$33,'Inputs'!$B$29+'Inputs'!$B$31+'Inputs'!$B$32,'Inputs'!$B$30+'Inputs'!$B$31+'Inputs'!$B$32)/1000+'Inputs'!$B$21+'Inputs'!$B$9+'Inputs'!$B$10)+'Inputs'!$B$7)/SQRT((((204-43)*MAX('Inputs'!$B$33,'Inputs'!$B$29+'Inputs'!$B$31+'Inputs'!$B$32,'Inputs'!$B$30+'Inputs'!$B$31+'Inputs'!$B$32)/1000+'Inputs'!$B$21+'Inputs'!$B$9+'Inputs'!$B$10)+'Inputs'!$B$7)^2+('Inputs'!$B$6/2)^2)-(((204-43)*MAX('Inputs'!$B$33,'Inputs'!$B$29+'Inputs'!$B$31+'Inputs'!$B$32,'Inputs'!$B$30+'Inputs'!$B$31+'Inputs'!$B$32)/1000+'Inputs'!$B$21+'Inputs'!$B$9+'Inputs'!$B$10))/SQRT((((204-43)*MAX('Inputs'!$B$33,'Inputs'!$B$29+'Inputs'!$B$31+'Inputs'!$B$32,'Inputs'!$B$30+'Inputs'!$B$31+'Inputs'!$B$32)/1000+'Inputs'!$B$21+'Inputs'!$B$9+'Inputs'!$B$10))^2+('Inputs'!$B$6/2)^2))))*'Results'!$B$8))),"")</x:f>
        <x:v>114.82372599044713</x:v>
      </x:c>
      <x:c r="O204" t="n">
        <x:f>IF(AND(ISNUMBER('Results'!C7),ISNUMBER('Results'!B7),ISNUMBER('Results'!$B$8),ISNUMBER('Inputs'!$B$6),ISNUMBER('Inputs'!$B$7),ISNUMBER('Inputs'!$B$8),ISNUMBER('Inputs'!$B$9),ISNUMBER('Inputs'!$B$10),ISNUMBER('Inputs'!$B$21),ISNUMBER('Inputs'!$B$24),ISNUMBER('Inputs'!$B$28)),((('Results'!C7*(1+'Inputs'!$B$24)*(0.5*((((204-43)*MAX('Inputs'!$B$33,'Inputs'!$B$29+'Inputs'!$B$31+'Inputs'!$B$32,'Inputs'!$B$30+'Inputs'!$B$31+'Inputs'!$B$32)/1000+'Inputs'!$B$21)+'Inputs'!$B$9)/SQRT((((204-43)*MAX('Inputs'!$B$33,'Inputs'!$B$29+'Inputs'!$B$31+'Inputs'!$B$32,'Inputs'!$B$30+'Inputs'!$B$31+'Inputs'!$B$32)/1000+'Inputs'!$B$21)+'Inputs'!$B$9)^2+('Inputs'!$B$8/2)^2)-(((204-43)*MAX('Inputs'!$B$33,'Inputs'!$B$29+'Inputs'!$B$31+'Inputs'!$B$32,'Inputs'!$B$30+'Inputs'!$B$31+'Inputs'!$B$32)/1000+'Inputs'!$B$21))/SQRT((((204-43)*MAX('Inputs'!$B$33,'Inputs'!$B$29+'Inputs'!$B$31+'Inputs'!$B$32,'Inputs'!$B$30+'Inputs'!$B$31+'Inputs'!$B$32)/1000+'Inputs'!$B$21))^2+('Inputs'!$B$8/2)^2)))-'Results'!B7*(1-'Inputs'!$B$24)*(0.5*((((204-43)*MAX('Inputs'!$B$33,'Inputs'!$B$29+'Inputs'!$B$31+'Inputs'!$B$32,'Inputs'!$B$30+'Inputs'!$B$31+'Inputs'!$B$32)/1000+'Inputs'!$B$21+'Inputs'!$B$9+'Inputs'!$B$10)+'Inputs'!$B$7)/SQRT((((204-43)*MAX('Inputs'!$B$33,'Inputs'!$B$29+'Inputs'!$B$31+'Inputs'!$B$32,'Inputs'!$B$30+'Inputs'!$B$31+'Inputs'!$B$32)/1000+'Inputs'!$B$21+'Inputs'!$B$9+'Inputs'!$B$10)+'Inputs'!$B$7)^2+('Inputs'!$B$6/2)^2)-(((204-43)*MAX('Inputs'!$B$33,'Inputs'!$B$29+'Inputs'!$B$31+'Inputs'!$B$32,'Inputs'!$B$30+'Inputs'!$B$31+'Inputs'!$B$32)/1000+'Inputs'!$B$21+'Inputs'!$B$9+'Inputs'!$B$10))/SQRT((((204-43)*MAX('Inputs'!$B$33,'Inputs'!$B$29+'Inputs'!$B$31+'Inputs'!$B$32,'Inputs'!$B$30+'Inputs'!$B$31+'Inputs'!$B$32)/1000+'Inputs'!$B$21+'Inputs'!$B$9+'Inputs'!$B$10))^2+('Inputs'!$B$6/2)^2))))*'Results'!$B$8)+'Inputs'!$B$28*ABS((('Results'!C7*(1+'Inputs'!$B$24)*(0.5*((((204-43)*MAX('Inputs'!$B$33,'Inputs'!$B$29+'Inputs'!$B$31+'Inputs'!$B$32,'Inputs'!$B$30+'Inputs'!$B$31+'Inputs'!$B$32)/1000+'Inputs'!$B$21)+'Inputs'!$B$9)/SQRT((((204-43)*MAX('Inputs'!$B$33,'Inputs'!$B$29+'Inputs'!$B$31+'Inputs'!$B$32,'Inputs'!$B$30+'Inputs'!$B$31+'Inputs'!$B$32)/1000+'Inputs'!$B$21)+'Inputs'!$B$9)^2+('Inputs'!$B$8/2)^2)-(((204-43)*MAX('Inputs'!$B$33,'Inputs'!$B$29+'Inputs'!$B$31+'Inputs'!$B$32,'Inputs'!$B$30+'Inputs'!$B$31+'Inputs'!$B$32)/1000+'Inputs'!$B$21))/SQRT((((204-43)*MAX('Inputs'!$B$33,'Inputs'!$B$29+'Inputs'!$B$31+'Inputs'!$B$32,'Inputs'!$B$30+'Inputs'!$B$31+'Inputs'!$B$32)/1000+'Inputs'!$B$21))^2+('Inputs'!$B$8/2)^2)))-'Results'!B7*(1-'Inputs'!$B$24)*(0.5*((((204-43)*MAX('Inputs'!$B$33,'Inputs'!$B$29+'Inputs'!$B$31+'Inputs'!$B$32,'Inputs'!$B$30+'Inputs'!$B$31+'Inputs'!$B$32)/1000+'Inputs'!$B$21+'Inputs'!$B$9+'Inputs'!$B$10)+'Inputs'!$B$7)/SQRT((((204-43)*MAX('Inputs'!$B$33,'Inputs'!$B$29+'Inputs'!$B$31+'Inputs'!$B$32,'Inputs'!$B$30+'Inputs'!$B$31+'Inputs'!$B$32)/1000+'Inputs'!$B$21+'Inputs'!$B$9+'Inputs'!$B$10)+'Inputs'!$B$7)^2+('Inputs'!$B$6/2)^2)-(((204-43)*MAX('Inputs'!$B$33,'Inputs'!$B$29+'Inputs'!$B$31+'Inputs'!$B$32,'Inputs'!$B$30+'Inputs'!$B$31+'Inputs'!$B$32)/1000+'Inputs'!$B$21+'Inputs'!$B$9+'Inputs'!$B$10))/SQRT((((204-43)*MAX('Inputs'!$B$33,'Inputs'!$B$29+'Inputs'!$B$31+'Inputs'!$B$32,'Inputs'!$B$30+'Inputs'!$B$31+'Inputs'!$B$32)/1000+'Inputs'!$B$21+'Inputs'!$B$9+'Inputs'!$B$10))^2+('Inputs'!$B$6/2)^2))))*'Results'!$B$8))),"")</x:f>
        <x:v>136.10189721279664</x:v>
      </x:c>
      <x:c r="P204" t="n">
        <x:f>IF(AND(MAX(J204,J203)&gt;0,J204&gt;J203+0.00000001),1,0)</x:f>
        <x:v>0</x:v>
      </x:c>
      <x:c r="Q204" t="n">
        <x:f>IF(AND(MAX(K204,K203)&gt;0,K204&gt;K203+0.00000001),1,0)</x:f>
        <x:v>0</x:v>
      </x:c>
      <x:c r="R204" t="n">
        <x:f>IF(AND(MAX(L204,L203)&gt;0,L204&gt;L203+0.00000001),1,0)</x:f>
        <x:v>0</x:v>
      </x:c>
      <x:c r="S204" t="n">
        <x:f>IF(AND(MAX(M204,M203)&gt;0,M204&gt;M203+0.00000001),1,0)</x:f>
        <x:v>0</x:v>
      </x:c>
      <x:c r="T204" t="n">
        <x:f>IF(AND(MAX(N204,N203)&gt;0,N204&gt;N203+0.00000001),1,0)</x:f>
        <x:v>0</x:v>
      </x:c>
      <x:c r="U204" t="n">
        <x:f>IF(AND(MAX(O204,O203)&gt;0,O204&gt;O203+0.00000001),1,0)</x:f>
        <x:v>0</x:v>
      </x:c>
    </x:row>
    <x:row r="205">
      <x:c r="J205" t="n">
        <x:f>IF(AND(ISNUMBER('Results'!B7),ISNUMBER('Results'!C7),ISNUMBER('Results'!$B$8),ISNUMBER('Inputs'!$B$6),ISNUMBER('Inputs'!$B$7),ISNUMBER('Inputs'!$B$8),ISNUMBER('Inputs'!$B$9),ISNUMBER('Inputs'!$B$10),ISNUMBER('Inputs'!$B$21),ISNUMBER('Inputs'!$B$24),ISNUMBER('Inputs'!$B$28)),(('Results'!B7*(0.5*((((205-43)*MAX('Inputs'!$B$33,'Inputs'!$B$29+'Inputs'!$B$31+'Inputs'!$B$32,'Inputs'!$B$30+'Inputs'!$B$31+'Inputs'!$B$32)/1000+'Inputs'!$B$21)+'Inputs'!$B$7)/SQRT((((205-43)*MAX('Inputs'!$B$33,'Inputs'!$B$29+'Inputs'!$B$31+'Inputs'!$B$32,'Inputs'!$B$30+'Inputs'!$B$31+'Inputs'!$B$32)/1000+'Inputs'!$B$21)+'Inputs'!$B$7)^2+('Inputs'!$B$6/2)^2)-(((205-43)*MAX('Inputs'!$B$33,'Inputs'!$B$29+'Inputs'!$B$31+'Inputs'!$B$32,'Inputs'!$B$30+'Inputs'!$B$31+'Inputs'!$B$32)/1000+'Inputs'!$B$21))/SQRT((((205-43)*MAX('Inputs'!$B$33,'Inputs'!$B$29+'Inputs'!$B$31+'Inputs'!$B$32,'Inputs'!$B$30+'Inputs'!$B$31+'Inputs'!$B$32)/1000+'Inputs'!$B$21))^2+('Inputs'!$B$6/2)^2)))-'Results'!C7*(0.5*((((205-43)*MAX('Inputs'!$B$33,'Inputs'!$B$29+'Inputs'!$B$31+'Inputs'!$B$32,'Inputs'!$B$30+'Inputs'!$B$31+'Inputs'!$B$32)/1000+'Inputs'!$B$21+'Inputs'!$B$7+'Inputs'!$B$10)+'Inputs'!$B$9)/SQRT((((205-43)*MAX('Inputs'!$B$33,'Inputs'!$B$29+'Inputs'!$B$31+'Inputs'!$B$32,'Inputs'!$B$30+'Inputs'!$B$31+'Inputs'!$B$32)/1000+'Inputs'!$B$21+'Inputs'!$B$7+'Inputs'!$B$10)+'Inputs'!$B$9)^2+('Inputs'!$B$8/2)^2)-(((205-43)*MAX('Inputs'!$B$33,'Inputs'!$B$29+'Inputs'!$B$31+'Inputs'!$B$32,'Inputs'!$B$30+'Inputs'!$B$31+'Inputs'!$B$32)/1000+'Inputs'!$B$21+'Inputs'!$B$7+'Inputs'!$B$10))/SQRT((((205-43)*MAX('Inputs'!$B$33,'Inputs'!$B$29+'Inputs'!$B$31+'Inputs'!$B$32,'Inputs'!$B$30+'Inputs'!$B$31+'Inputs'!$B$32)/1000+'Inputs'!$B$21+'Inputs'!$B$7+'Inputs'!$B$10))^2+('Inputs'!$B$8/2)^2))))*'Results'!$B$8),"")</x:f>
        <x:v>127.68496976071108</x:v>
      </x:c>
      <x:c r="K205" t="n">
        <x:f>IF(AND(ISNUMBER('Results'!B7),ISNUMBER('Results'!C7),ISNUMBER('Results'!$B$8),ISNUMBER('Inputs'!$B$6),ISNUMBER('Inputs'!$B$7),ISNUMBER('Inputs'!$B$8),ISNUMBER('Inputs'!$B$9),ISNUMBER('Inputs'!$B$10),ISNUMBER('Inputs'!$B$21),ISNUMBER('Inputs'!$B$24),ISNUMBER('Inputs'!$B$28)),((('Results'!B7*(1-'Inputs'!$B$24)*(0.5*((((205-43)*MAX('Inputs'!$B$33,'Inputs'!$B$29+'Inputs'!$B$31+'Inputs'!$B$32,'Inputs'!$B$30+'Inputs'!$B$31+'Inputs'!$B$32)/1000+'Inputs'!$B$21)+'Inputs'!$B$7)/SQRT((((205-43)*MAX('Inputs'!$B$33,'Inputs'!$B$29+'Inputs'!$B$31+'Inputs'!$B$32,'Inputs'!$B$30+'Inputs'!$B$31+'Inputs'!$B$32)/1000+'Inputs'!$B$21)+'Inputs'!$B$7)^2+('Inputs'!$B$6/2)^2)-(((205-43)*MAX('Inputs'!$B$33,'Inputs'!$B$29+'Inputs'!$B$31+'Inputs'!$B$32,'Inputs'!$B$30+'Inputs'!$B$31+'Inputs'!$B$32)/1000+'Inputs'!$B$21))/SQRT((((205-43)*MAX('Inputs'!$B$33,'Inputs'!$B$29+'Inputs'!$B$31+'Inputs'!$B$32,'Inputs'!$B$30+'Inputs'!$B$31+'Inputs'!$B$32)/1000+'Inputs'!$B$21))^2+('Inputs'!$B$6/2)^2)))-'Results'!C7*(1+'Inputs'!$B$24)*(0.5*((((205-43)*MAX('Inputs'!$B$33,'Inputs'!$B$29+'Inputs'!$B$31+'Inputs'!$B$32,'Inputs'!$B$30+'Inputs'!$B$31+'Inputs'!$B$32)/1000+'Inputs'!$B$21+'Inputs'!$B$7+'Inputs'!$B$10)+'Inputs'!$B$9)/SQRT((((205-43)*MAX('Inputs'!$B$33,'Inputs'!$B$29+'Inputs'!$B$31+'Inputs'!$B$32,'Inputs'!$B$30+'Inputs'!$B$31+'Inputs'!$B$32)/1000+'Inputs'!$B$21+'Inputs'!$B$7+'Inputs'!$B$10)+'Inputs'!$B$9)^2+('Inputs'!$B$8/2)^2)-(((205-43)*MAX('Inputs'!$B$33,'Inputs'!$B$29+'Inputs'!$B$31+'Inputs'!$B$32,'Inputs'!$B$30+'Inputs'!$B$31+'Inputs'!$B$32)/1000+'Inputs'!$B$21+'Inputs'!$B$7+'Inputs'!$B$10))/SQRT((((205-43)*MAX('Inputs'!$B$33,'Inputs'!$B$29+'Inputs'!$B$31+'Inputs'!$B$32,'Inputs'!$B$30+'Inputs'!$B$31+'Inputs'!$B$32)/1000+'Inputs'!$B$21+'Inputs'!$B$7+'Inputs'!$B$10))^2+('Inputs'!$B$8/2)^2))))*'Results'!$B$8)-'Inputs'!$B$28*ABS((('Results'!B7*(1-'Inputs'!$B$24)*(0.5*((((205-43)*MAX('Inputs'!$B$33,'Inputs'!$B$29+'Inputs'!$B$31+'Inputs'!$B$32,'Inputs'!$B$30+'Inputs'!$B$31+'Inputs'!$B$32)/1000+'Inputs'!$B$21)+'Inputs'!$B$7)/SQRT((((205-43)*MAX('Inputs'!$B$33,'Inputs'!$B$29+'Inputs'!$B$31+'Inputs'!$B$32,'Inputs'!$B$30+'Inputs'!$B$31+'Inputs'!$B$32)/1000+'Inputs'!$B$21)+'Inputs'!$B$7)^2+('Inputs'!$B$6/2)^2)-(((205-43)*MAX('Inputs'!$B$33,'Inputs'!$B$29+'Inputs'!$B$31+'Inputs'!$B$32,'Inputs'!$B$30+'Inputs'!$B$31+'Inputs'!$B$32)/1000+'Inputs'!$B$21))/SQRT((((205-43)*MAX('Inputs'!$B$33,'Inputs'!$B$29+'Inputs'!$B$31+'Inputs'!$B$32,'Inputs'!$B$30+'Inputs'!$B$31+'Inputs'!$B$32)/1000+'Inputs'!$B$21))^2+('Inputs'!$B$6/2)^2)))-'Results'!C7*(1+'Inputs'!$B$24)*(0.5*((((205-43)*MAX('Inputs'!$B$33,'Inputs'!$B$29+'Inputs'!$B$31+'Inputs'!$B$32,'Inputs'!$B$30+'Inputs'!$B$31+'Inputs'!$B$32)/1000+'Inputs'!$B$21+'Inputs'!$B$7+'Inputs'!$B$10)+'Inputs'!$B$9)/SQRT((((205-43)*MAX('Inputs'!$B$33,'Inputs'!$B$29+'Inputs'!$B$31+'Inputs'!$B$32,'Inputs'!$B$30+'Inputs'!$B$31+'Inputs'!$B$32)/1000+'Inputs'!$B$21+'Inputs'!$B$7+'Inputs'!$B$10)+'Inputs'!$B$9)^2+('Inputs'!$B$8/2)^2)-(((205-43)*MAX('Inputs'!$B$33,'Inputs'!$B$29+'Inputs'!$B$31+'Inputs'!$B$32,'Inputs'!$B$30+'Inputs'!$B$31+'Inputs'!$B$32)/1000+'Inputs'!$B$21+'Inputs'!$B$7+'Inputs'!$B$10))/SQRT((((205-43)*MAX('Inputs'!$B$33,'Inputs'!$B$29+'Inputs'!$B$31+'Inputs'!$B$32,'Inputs'!$B$30+'Inputs'!$B$31+'Inputs'!$B$32)/1000+'Inputs'!$B$21+'Inputs'!$B$7+'Inputs'!$B$10))^2+('Inputs'!$B$8/2)^2))))*'Results'!$B$8))),"")</x:f>
        <x:v>117.14834339212294</x:v>
      </x:c>
      <x:c r="L205" t="n">
        <x:f>IF(AND(ISNUMBER('Results'!B7),ISNUMBER('Results'!C7),ISNUMBER('Results'!$B$8),ISNUMBER('Inputs'!$B$6),ISNUMBER('Inputs'!$B$7),ISNUMBER('Inputs'!$B$8),ISNUMBER('Inputs'!$B$9),ISNUMBER('Inputs'!$B$10),ISNUMBER('Inputs'!$B$21),ISNUMBER('Inputs'!$B$24),ISNUMBER('Inputs'!$B$28)),((('Results'!B7*(1+'Inputs'!$B$24)*(0.5*((((205-43)*MAX('Inputs'!$B$33,'Inputs'!$B$29+'Inputs'!$B$31+'Inputs'!$B$32,'Inputs'!$B$30+'Inputs'!$B$31+'Inputs'!$B$32)/1000+'Inputs'!$B$21)+'Inputs'!$B$7)/SQRT((((205-43)*MAX('Inputs'!$B$33,'Inputs'!$B$29+'Inputs'!$B$31+'Inputs'!$B$32,'Inputs'!$B$30+'Inputs'!$B$31+'Inputs'!$B$32)/1000+'Inputs'!$B$21)+'Inputs'!$B$7)^2+('Inputs'!$B$6/2)^2)-(((205-43)*MAX('Inputs'!$B$33,'Inputs'!$B$29+'Inputs'!$B$31+'Inputs'!$B$32,'Inputs'!$B$30+'Inputs'!$B$31+'Inputs'!$B$32)/1000+'Inputs'!$B$21))/SQRT((((205-43)*MAX('Inputs'!$B$33,'Inputs'!$B$29+'Inputs'!$B$31+'Inputs'!$B$32,'Inputs'!$B$30+'Inputs'!$B$31+'Inputs'!$B$32)/1000+'Inputs'!$B$21))^2+('Inputs'!$B$6/2)^2)))-'Results'!C7*(1-'Inputs'!$B$24)*(0.5*((((205-43)*MAX('Inputs'!$B$33,'Inputs'!$B$29+'Inputs'!$B$31+'Inputs'!$B$32,'Inputs'!$B$30+'Inputs'!$B$31+'Inputs'!$B$32)/1000+'Inputs'!$B$21+'Inputs'!$B$7+'Inputs'!$B$10)+'Inputs'!$B$9)/SQRT((((205-43)*MAX('Inputs'!$B$33,'Inputs'!$B$29+'Inputs'!$B$31+'Inputs'!$B$32,'Inputs'!$B$30+'Inputs'!$B$31+'Inputs'!$B$32)/1000+'Inputs'!$B$21+'Inputs'!$B$7+'Inputs'!$B$10)+'Inputs'!$B$9)^2+('Inputs'!$B$8/2)^2)-(((205-43)*MAX('Inputs'!$B$33,'Inputs'!$B$29+'Inputs'!$B$31+'Inputs'!$B$32,'Inputs'!$B$30+'Inputs'!$B$31+'Inputs'!$B$32)/1000+'Inputs'!$B$21+'Inputs'!$B$7+'Inputs'!$B$10))/SQRT((((205-43)*MAX('Inputs'!$B$33,'Inputs'!$B$29+'Inputs'!$B$31+'Inputs'!$B$32,'Inputs'!$B$30+'Inputs'!$B$31+'Inputs'!$B$32)/1000+'Inputs'!$B$21+'Inputs'!$B$7+'Inputs'!$B$10))^2+('Inputs'!$B$8/2)^2))))*'Results'!$B$8)+'Inputs'!$B$28*ABS((('Results'!B7*(1+'Inputs'!$B$24)*(0.5*((((205-43)*MAX('Inputs'!$B$33,'Inputs'!$B$29+'Inputs'!$B$31+'Inputs'!$B$32,'Inputs'!$B$30+'Inputs'!$B$31+'Inputs'!$B$32)/1000+'Inputs'!$B$21)+'Inputs'!$B$7)/SQRT((((205-43)*MAX('Inputs'!$B$33,'Inputs'!$B$29+'Inputs'!$B$31+'Inputs'!$B$32,'Inputs'!$B$30+'Inputs'!$B$31+'Inputs'!$B$32)/1000+'Inputs'!$B$21)+'Inputs'!$B$7)^2+('Inputs'!$B$6/2)^2)-(((205-43)*MAX('Inputs'!$B$33,'Inputs'!$B$29+'Inputs'!$B$31+'Inputs'!$B$32,'Inputs'!$B$30+'Inputs'!$B$31+'Inputs'!$B$32)/1000+'Inputs'!$B$21))/SQRT((((205-43)*MAX('Inputs'!$B$33,'Inputs'!$B$29+'Inputs'!$B$31+'Inputs'!$B$32,'Inputs'!$B$30+'Inputs'!$B$31+'Inputs'!$B$32)/1000+'Inputs'!$B$21))^2+('Inputs'!$B$6/2)^2)))-'Results'!C7*(1-'Inputs'!$B$24)*(0.5*((((205-43)*MAX('Inputs'!$B$33,'Inputs'!$B$29+'Inputs'!$B$31+'Inputs'!$B$32,'Inputs'!$B$30+'Inputs'!$B$31+'Inputs'!$B$32)/1000+'Inputs'!$B$21+'Inputs'!$B$7+'Inputs'!$B$10)+'Inputs'!$B$9)/SQRT((((205-43)*MAX('Inputs'!$B$33,'Inputs'!$B$29+'Inputs'!$B$31+'Inputs'!$B$32,'Inputs'!$B$30+'Inputs'!$B$31+'Inputs'!$B$32)/1000+'Inputs'!$B$21+'Inputs'!$B$7+'Inputs'!$B$10)+'Inputs'!$B$9)^2+('Inputs'!$B$8/2)^2)-(((205-43)*MAX('Inputs'!$B$33,'Inputs'!$B$29+'Inputs'!$B$31+'Inputs'!$B$32,'Inputs'!$B$30+'Inputs'!$B$31+'Inputs'!$B$32)/1000+'Inputs'!$B$21+'Inputs'!$B$7+'Inputs'!$B$10))/SQRT((((205-43)*MAX('Inputs'!$B$33,'Inputs'!$B$29+'Inputs'!$B$31+'Inputs'!$B$32,'Inputs'!$B$30+'Inputs'!$B$31+'Inputs'!$B$32)/1000+'Inputs'!$B$21+'Inputs'!$B$7+'Inputs'!$B$10))^2+('Inputs'!$B$8/2)^2))))*'Results'!$B$8))),"")</x:f>
        <x:v>138.65868853777843</x:v>
      </x:c>
      <x:c r="M205" t="n">
        <x:f>IF(AND(ISNUMBER('Results'!C7),ISNUMBER('Results'!B7),ISNUMBER('Results'!$B$8),ISNUMBER('Inputs'!$B$6),ISNUMBER('Inputs'!$B$7),ISNUMBER('Inputs'!$B$8),ISNUMBER('Inputs'!$B$9),ISNUMBER('Inputs'!$B$10),ISNUMBER('Inputs'!$B$21),ISNUMBER('Inputs'!$B$24),ISNUMBER('Inputs'!$B$28)),(('Results'!C7*(0.5*((((205-43)*MAX('Inputs'!$B$33,'Inputs'!$B$29+'Inputs'!$B$31+'Inputs'!$B$32,'Inputs'!$B$30+'Inputs'!$B$31+'Inputs'!$B$32)/1000+'Inputs'!$B$21)+'Inputs'!$B$9)/SQRT((((205-43)*MAX('Inputs'!$B$33,'Inputs'!$B$29+'Inputs'!$B$31+'Inputs'!$B$32,'Inputs'!$B$30+'Inputs'!$B$31+'Inputs'!$B$32)/1000+'Inputs'!$B$21)+'Inputs'!$B$9)^2+('Inputs'!$B$8/2)^2)-(((205-43)*MAX('Inputs'!$B$33,'Inputs'!$B$29+'Inputs'!$B$31+'Inputs'!$B$32,'Inputs'!$B$30+'Inputs'!$B$31+'Inputs'!$B$32)/1000+'Inputs'!$B$21))/SQRT((((205-43)*MAX('Inputs'!$B$33,'Inputs'!$B$29+'Inputs'!$B$31+'Inputs'!$B$32,'Inputs'!$B$30+'Inputs'!$B$31+'Inputs'!$B$32)/1000+'Inputs'!$B$21))^2+('Inputs'!$B$8/2)^2)))-'Results'!B7*(0.5*((((205-43)*MAX('Inputs'!$B$33,'Inputs'!$B$29+'Inputs'!$B$31+'Inputs'!$B$32,'Inputs'!$B$30+'Inputs'!$B$31+'Inputs'!$B$32)/1000+'Inputs'!$B$21+'Inputs'!$B$9+'Inputs'!$B$10)+'Inputs'!$B$7)/SQRT((((205-43)*MAX('Inputs'!$B$33,'Inputs'!$B$29+'Inputs'!$B$31+'Inputs'!$B$32,'Inputs'!$B$30+'Inputs'!$B$31+'Inputs'!$B$32)/1000+'Inputs'!$B$21+'Inputs'!$B$9+'Inputs'!$B$10)+'Inputs'!$B$7)^2+('Inputs'!$B$6/2)^2)-(((205-43)*MAX('Inputs'!$B$33,'Inputs'!$B$29+'Inputs'!$B$31+'Inputs'!$B$32,'Inputs'!$B$30+'Inputs'!$B$31+'Inputs'!$B$32)/1000+'Inputs'!$B$21+'Inputs'!$B$9+'Inputs'!$B$10))/SQRT((((205-43)*MAX('Inputs'!$B$33,'Inputs'!$B$29+'Inputs'!$B$31+'Inputs'!$B$32,'Inputs'!$B$30+'Inputs'!$B$31+'Inputs'!$B$32)/1000+'Inputs'!$B$21+'Inputs'!$B$9+'Inputs'!$B$10))^2+('Inputs'!$B$6/2)^2))))*'Results'!$B$8),"")</x:f>
        <x:v>123.29550256684156</x:v>
      </x:c>
      <x:c r="N205" t="n">
        <x:f>IF(AND(ISNUMBER('Results'!C7),ISNUMBER('Results'!B7),ISNUMBER('Results'!$B$8),ISNUMBER('Inputs'!$B$6),ISNUMBER('Inputs'!$B$7),ISNUMBER('Inputs'!$B$8),ISNUMBER('Inputs'!$B$9),ISNUMBER('Inputs'!$B$10),ISNUMBER('Inputs'!$B$21),ISNUMBER('Inputs'!$B$24),ISNUMBER('Inputs'!$B$28)),((('Results'!C7*(1-'Inputs'!$B$24)*(0.5*((((205-43)*MAX('Inputs'!$B$33,'Inputs'!$B$29+'Inputs'!$B$31+'Inputs'!$B$32,'Inputs'!$B$30+'Inputs'!$B$31+'Inputs'!$B$32)/1000+'Inputs'!$B$21)+'Inputs'!$B$9)/SQRT((((205-43)*MAX('Inputs'!$B$33,'Inputs'!$B$29+'Inputs'!$B$31+'Inputs'!$B$32,'Inputs'!$B$30+'Inputs'!$B$31+'Inputs'!$B$32)/1000+'Inputs'!$B$21)+'Inputs'!$B$9)^2+('Inputs'!$B$8/2)^2)-(((205-43)*MAX('Inputs'!$B$33,'Inputs'!$B$29+'Inputs'!$B$31+'Inputs'!$B$32,'Inputs'!$B$30+'Inputs'!$B$31+'Inputs'!$B$32)/1000+'Inputs'!$B$21))/SQRT((((205-43)*MAX('Inputs'!$B$33,'Inputs'!$B$29+'Inputs'!$B$31+'Inputs'!$B$32,'Inputs'!$B$30+'Inputs'!$B$31+'Inputs'!$B$32)/1000+'Inputs'!$B$21))^2+('Inputs'!$B$8/2)^2)))-'Results'!B7*(1+'Inputs'!$B$24)*(0.5*((((205-43)*MAX('Inputs'!$B$33,'Inputs'!$B$29+'Inputs'!$B$31+'Inputs'!$B$32,'Inputs'!$B$30+'Inputs'!$B$31+'Inputs'!$B$32)/1000+'Inputs'!$B$21+'Inputs'!$B$9+'Inputs'!$B$10)+'Inputs'!$B$7)/SQRT((((205-43)*MAX('Inputs'!$B$33,'Inputs'!$B$29+'Inputs'!$B$31+'Inputs'!$B$32,'Inputs'!$B$30+'Inputs'!$B$31+'Inputs'!$B$32)/1000+'Inputs'!$B$21+'Inputs'!$B$9+'Inputs'!$B$10)+'Inputs'!$B$7)^2+('Inputs'!$B$6/2)^2)-(((205-43)*MAX('Inputs'!$B$33,'Inputs'!$B$29+'Inputs'!$B$31+'Inputs'!$B$32,'Inputs'!$B$30+'Inputs'!$B$31+'Inputs'!$B$32)/1000+'Inputs'!$B$21+'Inputs'!$B$9+'Inputs'!$B$10))/SQRT((((205-43)*MAX('Inputs'!$B$33,'Inputs'!$B$29+'Inputs'!$B$31+'Inputs'!$B$32,'Inputs'!$B$30+'Inputs'!$B$31+'Inputs'!$B$32)/1000+'Inputs'!$B$21+'Inputs'!$B$9+'Inputs'!$B$10))^2+('Inputs'!$B$6/2)^2))))*'Results'!$B$8)-'Inputs'!$B$28*ABS((('Results'!C7*(1-'Inputs'!$B$24)*(0.5*((((205-43)*MAX('Inputs'!$B$33,'Inputs'!$B$29+'Inputs'!$B$31+'Inputs'!$B$32,'Inputs'!$B$30+'Inputs'!$B$31+'Inputs'!$B$32)/1000+'Inputs'!$B$21)+'Inputs'!$B$9)/SQRT((((205-43)*MAX('Inputs'!$B$33,'Inputs'!$B$29+'Inputs'!$B$31+'Inputs'!$B$32,'Inputs'!$B$30+'Inputs'!$B$31+'Inputs'!$B$32)/1000+'Inputs'!$B$21)+'Inputs'!$B$9)^2+('Inputs'!$B$8/2)^2)-(((205-43)*MAX('Inputs'!$B$33,'Inputs'!$B$29+'Inputs'!$B$31+'Inputs'!$B$32,'Inputs'!$B$30+'Inputs'!$B$31+'Inputs'!$B$32)/1000+'Inputs'!$B$21))/SQRT((((205-43)*MAX('Inputs'!$B$33,'Inputs'!$B$29+'Inputs'!$B$31+'Inputs'!$B$32,'Inputs'!$B$30+'Inputs'!$B$31+'Inputs'!$B$32)/1000+'Inputs'!$B$21))^2+('Inputs'!$B$8/2)^2)))-'Results'!B7*(1+'Inputs'!$B$24)*(0.5*((((205-43)*MAX('Inputs'!$B$33,'Inputs'!$B$29+'Inputs'!$B$31+'Inputs'!$B$32,'Inputs'!$B$30+'Inputs'!$B$31+'Inputs'!$B$32)/1000+'Inputs'!$B$21+'Inputs'!$B$9+'Inputs'!$B$10)+'Inputs'!$B$7)/SQRT((((205-43)*MAX('Inputs'!$B$33,'Inputs'!$B$29+'Inputs'!$B$31+'Inputs'!$B$32,'Inputs'!$B$30+'Inputs'!$B$31+'Inputs'!$B$32)/1000+'Inputs'!$B$21+'Inputs'!$B$9+'Inputs'!$B$10)+'Inputs'!$B$7)^2+('Inputs'!$B$6/2)^2)-(((205-43)*MAX('Inputs'!$B$33,'Inputs'!$B$29+'Inputs'!$B$31+'Inputs'!$B$32,'Inputs'!$B$30+'Inputs'!$B$31+'Inputs'!$B$32)/1000+'Inputs'!$B$21+'Inputs'!$B$9+'Inputs'!$B$10))/SQRT((((205-43)*MAX('Inputs'!$B$33,'Inputs'!$B$29+'Inputs'!$B$31+'Inputs'!$B$32,'Inputs'!$B$30+'Inputs'!$B$31+'Inputs'!$B$32)/1000+'Inputs'!$B$21+'Inputs'!$B$9+'Inputs'!$B$10))^2+('Inputs'!$B$6/2)^2))))*'Results'!$B$8))),"")</x:f>
        <x:v>113.0265175273835</x:v>
      </x:c>
      <x:c r="O205" t="n">
        <x:f>IF(AND(ISNUMBER('Results'!C7),ISNUMBER('Results'!B7),ISNUMBER('Results'!$B$8),ISNUMBER('Inputs'!$B$6),ISNUMBER('Inputs'!$B$7),ISNUMBER('Inputs'!$B$8),ISNUMBER('Inputs'!$B$9),ISNUMBER('Inputs'!$B$10),ISNUMBER('Inputs'!$B$21),ISNUMBER('Inputs'!$B$24),ISNUMBER('Inputs'!$B$28)),((('Results'!C7*(1+'Inputs'!$B$24)*(0.5*((((205-43)*MAX('Inputs'!$B$33,'Inputs'!$B$29+'Inputs'!$B$31+'Inputs'!$B$32,'Inputs'!$B$30+'Inputs'!$B$31+'Inputs'!$B$32)/1000+'Inputs'!$B$21)+'Inputs'!$B$9)/SQRT((((205-43)*MAX('Inputs'!$B$33,'Inputs'!$B$29+'Inputs'!$B$31+'Inputs'!$B$32,'Inputs'!$B$30+'Inputs'!$B$31+'Inputs'!$B$32)/1000+'Inputs'!$B$21)+'Inputs'!$B$9)^2+('Inputs'!$B$8/2)^2)-(((205-43)*MAX('Inputs'!$B$33,'Inputs'!$B$29+'Inputs'!$B$31+'Inputs'!$B$32,'Inputs'!$B$30+'Inputs'!$B$31+'Inputs'!$B$32)/1000+'Inputs'!$B$21))/SQRT((((205-43)*MAX('Inputs'!$B$33,'Inputs'!$B$29+'Inputs'!$B$31+'Inputs'!$B$32,'Inputs'!$B$30+'Inputs'!$B$31+'Inputs'!$B$32)/1000+'Inputs'!$B$21))^2+('Inputs'!$B$8/2)^2)))-'Results'!B7*(1-'Inputs'!$B$24)*(0.5*((((205-43)*MAX('Inputs'!$B$33,'Inputs'!$B$29+'Inputs'!$B$31+'Inputs'!$B$32,'Inputs'!$B$30+'Inputs'!$B$31+'Inputs'!$B$32)/1000+'Inputs'!$B$21+'Inputs'!$B$9+'Inputs'!$B$10)+'Inputs'!$B$7)/SQRT((((205-43)*MAX('Inputs'!$B$33,'Inputs'!$B$29+'Inputs'!$B$31+'Inputs'!$B$32,'Inputs'!$B$30+'Inputs'!$B$31+'Inputs'!$B$32)/1000+'Inputs'!$B$21+'Inputs'!$B$9+'Inputs'!$B$10)+'Inputs'!$B$7)^2+('Inputs'!$B$6/2)^2)-(((205-43)*MAX('Inputs'!$B$33,'Inputs'!$B$29+'Inputs'!$B$31+'Inputs'!$B$32,'Inputs'!$B$30+'Inputs'!$B$31+'Inputs'!$B$32)/1000+'Inputs'!$B$21+'Inputs'!$B$9+'Inputs'!$B$10))/SQRT((((205-43)*MAX('Inputs'!$B$33,'Inputs'!$B$29+'Inputs'!$B$31+'Inputs'!$B$32,'Inputs'!$B$30+'Inputs'!$B$31+'Inputs'!$B$32)/1000+'Inputs'!$B$21+'Inputs'!$B$9+'Inputs'!$B$10))^2+('Inputs'!$B$6/2)^2))))*'Results'!$B$8)+'Inputs'!$B$28*ABS((('Results'!C7*(1+'Inputs'!$B$24)*(0.5*((((205-43)*MAX('Inputs'!$B$33,'Inputs'!$B$29+'Inputs'!$B$31+'Inputs'!$B$32,'Inputs'!$B$30+'Inputs'!$B$31+'Inputs'!$B$32)/1000+'Inputs'!$B$21)+'Inputs'!$B$9)/SQRT((((205-43)*MAX('Inputs'!$B$33,'Inputs'!$B$29+'Inputs'!$B$31+'Inputs'!$B$32,'Inputs'!$B$30+'Inputs'!$B$31+'Inputs'!$B$32)/1000+'Inputs'!$B$21)+'Inputs'!$B$9)^2+('Inputs'!$B$8/2)^2)-(((205-43)*MAX('Inputs'!$B$33,'Inputs'!$B$29+'Inputs'!$B$31+'Inputs'!$B$32,'Inputs'!$B$30+'Inputs'!$B$31+'Inputs'!$B$32)/1000+'Inputs'!$B$21))/SQRT((((205-43)*MAX('Inputs'!$B$33,'Inputs'!$B$29+'Inputs'!$B$31+'Inputs'!$B$32,'Inputs'!$B$30+'Inputs'!$B$31+'Inputs'!$B$32)/1000+'Inputs'!$B$21))^2+('Inputs'!$B$8/2)^2)))-'Results'!B7*(1-'Inputs'!$B$24)*(0.5*((((205-43)*MAX('Inputs'!$B$33,'Inputs'!$B$29+'Inputs'!$B$31+'Inputs'!$B$32,'Inputs'!$B$30+'Inputs'!$B$31+'Inputs'!$B$32)/1000+'Inputs'!$B$21+'Inputs'!$B$9+'Inputs'!$B$10)+'Inputs'!$B$7)/SQRT((((205-43)*MAX('Inputs'!$B$33,'Inputs'!$B$29+'Inputs'!$B$31+'Inputs'!$B$32,'Inputs'!$B$30+'Inputs'!$B$31+'Inputs'!$B$32)/1000+'Inputs'!$B$21+'Inputs'!$B$9+'Inputs'!$B$10)+'Inputs'!$B$7)^2+('Inputs'!$B$6/2)^2)-(((205-43)*MAX('Inputs'!$B$33,'Inputs'!$B$29+'Inputs'!$B$31+'Inputs'!$B$32,'Inputs'!$B$30+'Inputs'!$B$31+'Inputs'!$B$32)/1000+'Inputs'!$B$21+'Inputs'!$B$9+'Inputs'!$B$10))/SQRT((((205-43)*MAX('Inputs'!$B$33,'Inputs'!$B$29+'Inputs'!$B$31+'Inputs'!$B$32,'Inputs'!$B$30+'Inputs'!$B$31+'Inputs'!$B$32)/1000+'Inputs'!$B$21+'Inputs'!$B$9+'Inputs'!$B$10))^2+('Inputs'!$B$6/2)^2))))*'Results'!$B$8))),"")</x:f>
        <x:v>133.9965097022066</x:v>
      </x:c>
      <x:c r="P205" t="n">
        <x:f>IF(AND(MAX(J205,J204)&gt;0,J205&gt;J204+0.00000001),1,0)</x:f>
        <x:v>0</x:v>
      </x:c>
      <x:c r="Q205" t="n">
        <x:f>IF(AND(MAX(K205,K204)&gt;0,K205&gt;K204+0.00000001),1,0)</x:f>
        <x:v>0</x:v>
      </x:c>
      <x:c r="R205" t="n">
        <x:f>IF(AND(MAX(L205,L204)&gt;0,L205&gt;L204+0.00000001),1,0)</x:f>
        <x:v>0</x:v>
      </x:c>
      <x:c r="S205" t="n">
        <x:f>IF(AND(MAX(M205,M204)&gt;0,M205&gt;M204+0.00000001),1,0)</x:f>
        <x:v>0</x:v>
      </x:c>
      <x:c r="T205" t="n">
        <x:f>IF(AND(MAX(N205,N204)&gt;0,N205&gt;N204+0.00000001),1,0)</x:f>
        <x:v>0</x:v>
      </x:c>
      <x:c r="U205" t="n">
        <x:f>IF(AND(MAX(O205,O204)&gt;0,O205&gt;O204+0.00000001),1,0)</x:f>
        <x:v>0</x:v>
      </x:c>
    </x:row>
    <x:row r="206">
      <x:c r="J206" t="n">
        <x:f>IF(AND(ISNUMBER('Results'!B7),ISNUMBER('Results'!C7),ISNUMBER('Results'!$B$8),ISNUMBER('Inputs'!$B$6),ISNUMBER('Inputs'!$B$7),ISNUMBER('Inputs'!$B$8),ISNUMBER('Inputs'!$B$9),ISNUMBER('Inputs'!$B$10),ISNUMBER('Inputs'!$B$21),ISNUMBER('Inputs'!$B$24),ISNUMBER('Inputs'!$B$28)),(('Results'!B7*(0.5*((((206-43)*MAX('Inputs'!$B$33,'Inputs'!$B$29+'Inputs'!$B$31+'Inputs'!$B$32,'Inputs'!$B$30+'Inputs'!$B$31+'Inputs'!$B$32)/1000+'Inputs'!$B$21)+'Inputs'!$B$7)/SQRT((((206-43)*MAX('Inputs'!$B$33,'Inputs'!$B$29+'Inputs'!$B$31+'Inputs'!$B$32,'Inputs'!$B$30+'Inputs'!$B$31+'Inputs'!$B$32)/1000+'Inputs'!$B$21)+'Inputs'!$B$7)^2+('Inputs'!$B$6/2)^2)-(((206-43)*MAX('Inputs'!$B$33,'Inputs'!$B$29+'Inputs'!$B$31+'Inputs'!$B$32,'Inputs'!$B$30+'Inputs'!$B$31+'Inputs'!$B$32)/1000+'Inputs'!$B$21))/SQRT((((206-43)*MAX('Inputs'!$B$33,'Inputs'!$B$29+'Inputs'!$B$31+'Inputs'!$B$32,'Inputs'!$B$30+'Inputs'!$B$31+'Inputs'!$B$32)/1000+'Inputs'!$B$21))^2+('Inputs'!$B$6/2)^2)))-'Results'!C7*(0.5*((((206-43)*MAX('Inputs'!$B$33,'Inputs'!$B$29+'Inputs'!$B$31+'Inputs'!$B$32,'Inputs'!$B$30+'Inputs'!$B$31+'Inputs'!$B$32)/1000+'Inputs'!$B$21+'Inputs'!$B$7+'Inputs'!$B$10)+'Inputs'!$B$9)/SQRT((((206-43)*MAX('Inputs'!$B$33,'Inputs'!$B$29+'Inputs'!$B$31+'Inputs'!$B$32,'Inputs'!$B$30+'Inputs'!$B$31+'Inputs'!$B$32)/1000+'Inputs'!$B$21+'Inputs'!$B$7+'Inputs'!$B$10)+'Inputs'!$B$9)^2+('Inputs'!$B$8/2)^2)-(((206-43)*MAX('Inputs'!$B$33,'Inputs'!$B$29+'Inputs'!$B$31+'Inputs'!$B$32,'Inputs'!$B$30+'Inputs'!$B$31+'Inputs'!$B$32)/1000+'Inputs'!$B$21+'Inputs'!$B$7+'Inputs'!$B$10))/SQRT((((206-43)*MAX('Inputs'!$B$33,'Inputs'!$B$29+'Inputs'!$B$31+'Inputs'!$B$32,'Inputs'!$B$30+'Inputs'!$B$31+'Inputs'!$B$32)/1000+'Inputs'!$B$21+'Inputs'!$B$7+'Inputs'!$B$10))^2+('Inputs'!$B$8/2)^2))))*'Results'!$B$8),"")</x:f>
        <x:v>125.71638262352005</x:v>
      </x:c>
      <x:c r="K206" t="n">
        <x:f>IF(AND(ISNUMBER('Results'!B7),ISNUMBER('Results'!C7),ISNUMBER('Results'!$B$8),ISNUMBER('Inputs'!$B$6),ISNUMBER('Inputs'!$B$7),ISNUMBER('Inputs'!$B$8),ISNUMBER('Inputs'!$B$9),ISNUMBER('Inputs'!$B$10),ISNUMBER('Inputs'!$B$21),ISNUMBER('Inputs'!$B$24),ISNUMBER('Inputs'!$B$28)),((('Results'!B7*(1-'Inputs'!$B$24)*(0.5*((((206-43)*MAX('Inputs'!$B$33,'Inputs'!$B$29+'Inputs'!$B$31+'Inputs'!$B$32,'Inputs'!$B$30+'Inputs'!$B$31+'Inputs'!$B$32)/1000+'Inputs'!$B$21)+'Inputs'!$B$7)/SQRT((((206-43)*MAX('Inputs'!$B$33,'Inputs'!$B$29+'Inputs'!$B$31+'Inputs'!$B$32,'Inputs'!$B$30+'Inputs'!$B$31+'Inputs'!$B$32)/1000+'Inputs'!$B$21)+'Inputs'!$B$7)^2+('Inputs'!$B$6/2)^2)-(((206-43)*MAX('Inputs'!$B$33,'Inputs'!$B$29+'Inputs'!$B$31+'Inputs'!$B$32,'Inputs'!$B$30+'Inputs'!$B$31+'Inputs'!$B$32)/1000+'Inputs'!$B$21))/SQRT((((206-43)*MAX('Inputs'!$B$33,'Inputs'!$B$29+'Inputs'!$B$31+'Inputs'!$B$32,'Inputs'!$B$30+'Inputs'!$B$31+'Inputs'!$B$32)/1000+'Inputs'!$B$21))^2+('Inputs'!$B$6/2)^2)))-'Results'!C7*(1+'Inputs'!$B$24)*(0.5*((((206-43)*MAX('Inputs'!$B$33,'Inputs'!$B$29+'Inputs'!$B$31+'Inputs'!$B$32,'Inputs'!$B$30+'Inputs'!$B$31+'Inputs'!$B$32)/1000+'Inputs'!$B$21+'Inputs'!$B$7+'Inputs'!$B$10)+'Inputs'!$B$9)/SQRT((((206-43)*MAX('Inputs'!$B$33,'Inputs'!$B$29+'Inputs'!$B$31+'Inputs'!$B$32,'Inputs'!$B$30+'Inputs'!$B$31+'Inputs'!$B$32)/1000+'Inputs'!$B$21+'Inputs'!$B$7+'Inputs'!$B$10)+'Inputs'!$B$9)^2+('Inputs'!$B$8/2)^2)-(((206-43)*MAX('Inputs'!$B$33,'Inputs'!$B$29+'Inputs'!$B$31+'Inputs'!$B$32,'Inputs'!$B$30+'Inputs'!$B$31+'Inputs'!$B$32)/1000+'Inputs'!$B$21+'Inputs'!$B$7+'Inputs'!$B$10))/SQRT((((206-43)*MAX('Inputs'!$B$33,'Inputs'!$B$29+'Inputs'!$B$31+'Inputs'!$B$32,'Inputs'!$B$30+'Inputs'!$B$31+'Inputs'!$B$32)/1000+'Inputs'!$B$21+'Inputs'!$B$7+'Inputs'!$B$10))^2+('Inputs'!$B$8/2)^2))))*'Results'!$B$8)-'Inputs'!$B$28*ABS((('Results'!B7*(1-'Inputs'!$B$24)*(0.5*((((206-43)*MAX('Inputs'!$B$33,'Inputs'!$B$29+'Inputs'!$B$31+'Inputs'!$B$32,'Inputs'!$B$30+'Inputs'!$B$31+'Inputs'!$B$32)/1000+'Inputs'!$B$21)+'Inputs'!$B$7)/SQRT((((206-43)*MAX('Inputs'!$B$33,'Inputs'!$B$29+'Inputs'!$B$31+'Inputs'!$B$32,'Inputs'!$B$30+'Inputs'!$B$31+'Inputs'!$B$32)/1000+'Inputs'!$B$21)+'Inputs'!$B$7)^2+('Inputs'!$B$6/2)^2)-(((206-43)*MAX('Inputs'!$B$33,'Inputs'!$B$29+'Inputs'!$B$31+'Inputs'!$B$32,'Inputs'!$B$30+'Inputs'!$B$31+'Inputs'!$B$32)/1000+'Inputs'!$B$21))/SQRT((((206-43)*MAX('Inputs'!$B$33,'Inputs'!$B$29+'Inputs'!$B$31+'Inputs'!$B$32,'Inputs'!$B$30+'Inputs'!$B$31+'Inputs'!$B$32)/1000+'Inputs'!$B$21))^2+('Inputs'!$B$6/2)^2)))-'Results'!C7*(1+'Inputs'!$B$24)*(0.5*((((206-43)*MAX('Inputs'!$B$33,'Inputs'!$B$29+'Inputs'!$B$31+'Inputs'!$B$32,'Inputs'!$B$30+'Inputs'!$B$31+'Inputs'!$B$32)/1000+'Inputs'!$B$21+'Inputs'!$B$7+'Inputs'!$B$10)+'Inputs'!$B$9)/SQRT((((206-43)*MAX('Inputs'!$B$33,'Inputs'!$B$29+'Inputs'!$B$31+'Inputs'!$B$32,'Inputs'!$B$30+'Inputs'!$B$31+'Inputs'!$B$32)/1000+'Inputs'!$B$21+'Inputs'!$B$7+'Inputs'!$B$10)+'Inputs'!$B$9)^2+('Inputs'!$B$8/2)^2)-(((206-43)*MAX('Inputs'!$B$33,'Inputs'!$B$29+'Inputs'!$B$31+'Inputs'!$B$32,'Inputs'!$B$30+'Inputs'!$B$31+'Inputs'!$B$32)/1000+'Inputs'!$B$21+'Inputs'!$B$7+'Inputs'!$B$10))/SQRT((((206-43)*MAX('Inputs'!$B$33,'Inputs'!$B$29+'Inputs'!$B$31+'Inputs'!$B$32,'Inputs'!$B$30+'Inputs'!$B$31+'Inputs'!$B$32)/1000+'Inputs'!$B$21+'Inputs'!$B$7+'Inputs'!$B$10))^2+('Inputs'!$B$8/2)^2))))*'Results'!$B$8))),"")</x:f>
        <x:v>115.33186115648229</x:v>
      </x:c>
      <x:c r="L206" t="n">
        <x:f>IF(AND(ISNUMBER('Results'!B7),ISNUMBER('Results'!C7),ISNUMBER('Results'!$B$8),ISNUMBER('Inputs'!$B$6),ISNUMBER('Inputs'!$B$7),ISNUMBER('Inputs'!$B$8),ISNUMBER('Inputs'!$B$9),ISNUMBER('Inputs'!$B$10),ISNUMBER('Inputs'!$B$21),ISNUMBER('Inputs'!$B$24),ISNUMBER('Inputs'!$B$28)),((('Results'!B7*(1+'Inputs'!$B$24)*(0.5*((((206-43)*MAX('Inputs'!$B$33,'Inputs'!$B$29+'Inputs'!$B$31+'Inputs'!$B$32,'Inputs'!$B$30+'Inputs'!$B$31+'Inputs'!$B$32)/1000+'Inputs'!$B$21)+'Inputs'!$B$7)/SQRT((((206-43)*MAX('Inputs'!$B$33,'Inputs'!$B$29+'Inputs'!$B$31+'Inputs'!$B$32,'Inputs'!$B$30+'Inputs'!$B$31+'Inputs'!$B$32)/1000+'Inputs'!$B$21)+'Inputs'!$B$7)^2+('Inputs'!$B$6/2)^2)-(((206-43)*MAX('Inputs'!$B$33,'Inputs'!$B$29+'Inputs'!$B$31+'Inputs'!$B$32,'Inputs'!$B$30+'Inputs'!$B$31+'Inputs'!$B$32)/1000+'Inputs'!$B$21))/SQRT((((206-43)*MAX('Inputs'!$B$33,'Inputs'!$B$29+'Inputs'!$B$31+'Inputs'!$B$32,'Inputs'!$B$30+'Inputs'!$B$31+'Inputs'!$B$32)/1000+'Inputs'!$B$21))^2+('Inputs'!$B$6/2)^2)))-'Results'!C7*(1-'Inputs'!$B$24)*(0.5*((((206-43)*MAX('Inputs'!$B$33,'Inputs'!$B$29+'Inputs'!$B$31+'Inputs'!$B$32,'Inputs'!$B$30+'Inputs'!$B$31+'Inputs'!$B$32)/1000+'Inputs'!$B$21+'Inputs'!$B$7+'Inputs'!$B$10)+'Inputs'!$B$9)/SQRT((((206-43)*MAX('Inputs'!$B$33,'Inputs'!$B$29+'Inputs'!$B$31+'Inputs'!$B$32,'Inputs'!$B$30+'Inputs'!$B$31+'Inputs'!$B$32)/1000+'Inputs'!$B$21+'Inputs'!$B$7+'Inputs'!$B$10)+'Inputs'!$B$9)^2+('Inputs'!$B$8/2)^2)-(((206-43)*MAX('Inputs'!$B$33,'Inputs'!$B$29+'Inputs'!$B$31+'Inputs'!$B$32,'Inputs'!$B$30+'Inputs'!$B$31+'Inputs'!$B$32)/1000+'Inputs'!$B$21+'Inputs'!$B$7+'Inputs'!$B$10))/SQRT((((206-43)*MAX('Inputs'!$B$33,'Inputs'!$B$29+'Inputs'!$B$31+'Inputs'!$B$32,'Inputs'!$B$30+'Inputs'!$B$31+'Inputs'!$B$32)/1000+'Inputs'!$B$21+'Inputs'!$B$7+'Inputs'!$B$10))^2+('Inputs'!$B$8/2)^2))))*'Results'!$B$8)+'Inputs'!$B$28*ABS((('Results'!B7*(1+'Inputs'!$B$24)*(0.5*((((206-43)*MAX('Inputs'!$B$33,'Inputs'!$B$29+'Inputs'!$B$31+'Inputs'!$B$32,'Inputs'!$B$30+'Inputs'!$B$31+'Inputs'!$B$32)/1000+'Inputs'!$B$21)+'Inputs'!$B$7)/SQRT((((206-43)*MAX('Inputs'!$B$33,'Inputs'!$B$29+'Inputs'!$B$31+'Inputs'!$B$32,'Inputs'!$B$30+'Inputs'!$B$31+'Inputs'!$B$32)/1000+'Inputs'!$B$21)+'Inputs'!$B$7)^2+('Inputs'!$B$6/2)^2)-(((206-43)*MAX('Inputs'!$B$33,'Inputs'!$B$29+'Inputs'!$B$31+'Inputs'!$B$32,'Inputs'!$B$30+'Inputs'!$B$31+'Inputs'!$B$32)/1000+'Inputs'!$B$21))/SQRT((((206-43)*MAX('Inputs'!$B$33,'Inputs'!$B$29+'Inputs'!$B$31+'Inputs'!$B$32,'Inputs'!$B$30+'Inputs'!$B$31+'Inputs'!$B$32)/1000+'Inputs'!$B$21))^2+('Inputs'!$B$6/2)^2)))-'Results'!C7*(1-'Inputs'!$B$24)*(0.5*((((206-43)*MAX('Inputs'!$B$33,'Inputs'!$B$29+'Inputs'!$B$31+'Inputs'!$B$32,'Inputs'!$B$30+'Inputs'!$B$31+'Inputs'!$B$32)/1000+'Inputs'!$B$21+'Inputs'!$B$7+'Inputs'!$B$10)+'Inputs'!$B$9)/SQRT((((206-43)*MAX('Inputs'!$B$33,'Inputs'!$B$29+'Inputs'!$B$31+'Inputs'!$B$32,'Inputs'!$B$30+'Inputs'!$B$31+'Inputs'!$B$32)/1000+'Inputs'!$B$21+'Inputs'!$B$7+'Inputs'!$B$10)+'Inputs'!$B$9)^2+('Inputs'!$B$8/2)^2)-(((206-43)*MAX('Inputs'!$B$33,'Inputs'!$B$29+'Inputs'!$B$31+'Inputs'!$B$32,'Inputs'!$B$30+'Inputs'!$B$31+'Inputs'!$B$32)/1000+'Inputs'!$B$21+'Inputs'!$B$7+'Inputs'!$B$10))/SQRT((((206-43)*MAX('Inputs'!$B$33,'Inputs'!$B$29+'Inputs'!$B$31+'Inputs'!$B$32,'Inputs'!$B$30+'Inputs'!$B$31+'Inputs'!$B$32)/1000+'Inputs'!$B$21+'Inputs'!$B$7+'Inputs'!$B$10))^2+('Inputs'!$B$8/2)^2))))*'Results'!$B$8))),"")</x:f>
        <x:v>136.53234644170118</x:v>
      </x:c>
      <x:c r="M206" t="n">
        <x:f>IF(AND(ISNUMBER('Results'!C7),ISNUMBER('Results'!B7),ISNUMBER('Results'!$B$8),ISNUMBER('Inputs'!$B$6),ISNUMBER('Inputs'!$B$7),ISNUMBER('Inputs'!$B$8),ISNUMBER('Inputs'!$B$9),ISNUMBER('Inputs'!$B$10),ISNUMBER('Inputs'!$B$21),ISNUMBER('Inputs'!$B$24),ISNUMBER('Inputs'!$B$28)),(('Results'!C7*(0.5*((((206-43)*MAX('Inputs'!$B$33,'Inputs'!$B$29+'Inputs'!$B$31+'Inputs'!$B$32,'Inputs'!$B$30+'Inputs'!$B$31+'Inputs'!$B$32)/1000+'Inputs'!$B$21)+'Inputs'!$B$9)/SQRT((((206-43)*MAX('Inputs'!$B$33,'Inputs'!$B$29+'Inputs'!$B$31+'Inputs'!$B$32,'Inputs'!$B$30+'Inputs'!$B$31+'Inputs'!$B$32)/1000+'Inputs'!$B$21)+'Inputs'!$B$9)^2+('Inputs'!$B$8/2)^2)-(((206-43)*MAX('Inputs'!$B$33,'Inputs'!$B$29+'Inputs'!$B$31+'Inputs'!$B$32,'Inputs'!$B$30+'Inputs'!$B$31+'Inputs'!$B$32)/1000+'Inputs'!$B$21))/SQRT((((206-43)*MAX('Inputs'!$B$33,'Inputs'!$B$29+'Inputs'!$B$31+'Inputs'!$B$32,'Inputs'!$B$30+'Inputs'!$B$31+'Inputs'!$B$32)/1000+'Inputs'!$B$21))^2+('Inputs'!$B$8/2)^2)))-'Results'!B7*(0.5*((((206-43)*MAX('Inputs'!$B$33,'Inputs'!$B$29+'Inputs'!$B$31+'Inputs'!$B$32,'Inputs'!$B$30+'Inputs'!$B$31+'Inputs'!$B$32)/1000+'Inputs'!$B$21+'Inputs'!$B$9+'Inputs'!$B$10)+'Inputs'!$B$7)/SQRT((((206-43)*MAX('Inputs'!$B$33,'Inputs'!$B$29+'Inputs'!$B$31+'Inputs'!$B$32,'Inputs'!$B$30+'Inputs'!$B$31+'Inputs'!$B$32)/1000+'Inputs'!$B$21+'Inputs'!$B$9+'Inputs'!$B$10)+'Inputs'!$B$7)^2+('Inputs'!$B$6/2)^2)-(((206-43)*MAX('Inputs'!$B$33,'Inputs'!$B$29+'Inputs'!$B$31+'Inputs'!$B$32,'Inputs'!$B$30+'Inputs'!$B$31+'Inputs'!$B$32)/1000+'Inputs'!$B$21+'Inputs'!$B$9+'Inputs'!$B$10))/SQRT((((206-43)*MAX('Inputs'!$B$33,'Inputs'!$B$29+'Inputs'!$B$31+'Inputs'!$B$32,'Inputs'!$B$30+'Inputs'!$B$31+'Inputs'!$B$32)/1000+'Inputs'!$B$21+'Inputs'!$B$9+'Inputs'!$B$10))^2+('Inputs'!$B$6/2)^2))))*'Results'!$B$8),"")</x:f>
        <x:v>121.38359078699516</x:v>
      </x:c>
      <x:c r="N206" t="n">
        <x:f>IF(AND(ISNUMBER('Results'!C7),ISNUMBER('Results'!B7),ISNUMBER('Results'!$B$8),ISNUMBER('Inputs'!$B$6),ISNUMBER('Inputs'!$B$7),ISNUMBER('Inputs'!$B$8),ISNUMBER('Inputs'!$B$9),ISNUMBER('Inputs'!$B$10),ISNUMBER('Inputs'!$B$21),ISNUMBER('Inputs'!$B$24),ISNUMBER('Inputs'!$B$28)),((('Results'!C7*(1-'Inputs'!$B$24)*(0.5*((((206-43)*MAX('Inputs'!$B$33,'Inputs'!$B$29+'Inputs'!$B$31+'Inputs'!$B$32,'Inputs'!$B$30+'Inputs'!$B$31+'Inputs'!$B$32)/1000+'Inputs'!$B$21)+'Inputs'!$B$9)/SQRT((((206-43)*MAX('Inputs'!$B$33,'Inputs'!$B$29+'Inputs'!$B$31+'Inputs'!$B$32,'Inputs'!$B$30+'Inputs'!$B$31+'Inputs'!$B$32)/1000+'Inputs'!$B$21)+'Inputs'!$B$9)^2+('Inputs'!$B$8/2)^2)-(((206-43)*MAX('Inputs'!$B$33,'Inputs'!$B$29+'Inputs'!$B$31+'Inputs'!$B$32,'Inputs'!$B$30+'Inputs'!$B$31+'Inputs'!$B$32)/1000+'Inputs'!$B$21))/SQRT((((206-43)*MAX('Inputs'!$B$33,'Inputs'!$B$29+'Inputs'!$B$31+'Inputs'!$B$32,'Inputs'!$B$30+'Inputs'!$B$31+'Inputs'!$B$32)/1000+'Inputs'!$B$21))^2+('Inputs'!$B$8/2)^2)))-'Results'!B7*(1+'Inputs'!$B$24)*(0.5*((((206-43)*MAX('Inputs'!$B$33,'Inputs'!$B$29+'Inputs'!$B$31+'Inputs'!$B$32,'Inputs'!$B$30+'Inputs'!$B$31+'Inputs'!$B$32)/1000+'Inputs'!$B$21+'Inputs'!$B$9+'Inputs'!$B$10)+'Inputs'!$B$7)/SQRT((((206-43)*MAX('Inputs'!$B$33,'Inputs'!$B$29+'Inputs'!$B$31+'Inputs'!$B$32,'Inputs'!$B$30+'Inputs'!$B$31+'Inputs'!$B$32)/1000+'Inputs'!$B$21+'Inputs'!$B$9+'Inputs'!$B$10)+'Inputs'!$B$7)^2+('Inputs'!$B$6/2)^2)-(((206-43)*MAX('Inputs'!$B$33,'Inputs'!$B$29+'Inputs'!$B$31+'Inputs'!$B$32,'Inputs'!$B$30+'Inputs'!$B$31+'Inputs'!$B$32)/1000+'Inputs'!$B$21+'Inputs'!$B$9+'Inputs'!$B$10))/SQRT((((206-43)*MAX('Inputs'!$B$33,'Inputs'!$B$29+'Inputs'!$B$31+'Inputs'!$B$32,'Inputs'!$B$30+'Inputs'!$B$31+'Inputs'!$B$32)/1000+'Inputs'!$B$21+'Inputs'!$B$9+'Inputs'!$B$10))^2+('Inputs'!$B$6/2)^2))))*'Results'!$B$8)-'Inputs'!$B$28*ABS((('Results'!C7*(1-'Inputs'!$B$24)*(0.5*((((206-43)*MAX('Inputs'!$B$33,'Inputs'!$B$29+'Inputs'!$B$31+'Inputs'!$B$32,'Inputs'!$B$30+'Inputs'!$B$31+'Inputs'!$B$32)/1000+'Inputs'!$B$21)+'Inputs'!$B$9)/SQRT((((206-43)*MAX('Inputs'!$B$33,'Inputs'!$B$29+'Inputs'!$B$31+'Inputs'!$B$32,'Inputs'!$B$30+'Inputs'!$B$31+'Inputs'!$B$32)/1000+'Inputs'!$B$21)+'Inputs'!$B$9)^2+('Inputs'!$B$8/2)^2)-(((206-43)*MAX('Inputs'!$B$33,'Inputs'!$B$29+'Inputs'!$B$31+'Inputs'!$B$32,'Inputs'!$B$30+'Inputs'!$B$31+'Inputs'!$B$32)/1000+'Inputs'!$B$21))/SQRT((((206-43)*MAX('Inputs'!$B$33,'Inputs'!$B$29+'Inputs'!$B$31+'Inputs'!$B$32,'Inputs'!$B$30+'Inputs'!$B$31+'Inputs'!$B$32)/1000+'Inputs'!$B$21))^2+('Inputs'!$B$8/2)^2)))-'Results'!B7*(1+'Inputs'!$B$24)*(0.5*((((206-43)*MAX('Inputs'!$B$33,'Inputs'!$B$29+'Inputs'!$B$31+'Inputs'!$B$32,'Inputs'!$B$30+'Inputs'!$B$31+'Inputs'!$B$32)/1000+'Inputs'!$B$21+'Inputs'!$B$9+'Inputs'!$B$10)+'Inputs'!$B$7)/SQRT((((206-43)*MAX('Inputs'!$B$33,'Inputs'!$B$29+'Inputs'!$B$31+'Inputs'!$B$32,'Inputs'!$B$30+'Inputs'!$B$31+'Inputs'!$B$32)/1000+'Inputs'!$B$21+'Inputs'!$B$9+'Inputs'!$B$10)+'Inputs'!$B$7)^2+('Inputs'!$B$6/2)^2)-(((206-43)*MAX('Inputs'!$B$33,'Inputs'!$B$29+'Inputs'!$B$31+'Inputs'!$B$32,'Inputs'!$B$30+'Inputs'!$B$31+'Inputs'!$B$32)/1000+'Inputs'!$B$21+'Inputs'!$B$9+'Inputs'!$B$10))/SQRT((((206-43)*MAX('Inputs'!$B$33,'Inputs'!$B$29+'Inputs'!$B$31+'Inputs'!$B$32,'Inputs'!$B$30+'Inputs'!$B$31+'Inputs'!$B$32)/1000+'Inputs'!$B$21+'Inputs'!$B$9+'Inputs'!$B$10))^2+('Inputs'!$B$6/2)^2))))*'Results'!$B$8))),"")</x:f>
        <x:v>111.26313213900379</x:v>
      </x:c>
      <x:c r="O206" t="n">
        <x:f>IF(AND(ISNUMBER('Results'!C7),ISNUMBER('Results'!B7),ISNUMBER('Results'!$B$8),ISNUMBER('Inputs'!$B$6),ISNUMBER('Inputs'!$B$7),ISNUMBER('Inputs'!$B$8),ISNUMBER('Inputs'!$B$9),ISNUMBER('Inputs'!$B$10),ISNUMBER('Inputs'!$B$21),ISNUMBER('Inputs'!$B$24),ISNUMBER('Inputs'!$B$28)),((('Results'!C7*(1+'Inputs'!$B$24)*(0.5*((((206-43)*MAX('Inputs'!$B$33,'Inputs'!$B$29+'Inputs'!$B$31+'Inputs'!$B$32,'Inputs'!$B$30+'Inputs'!$B$31+'Inputs'!$B$32)/1000+'Inputs'!$B$21)+'Inputs'!$B$9)/SQRT((((206-43)*MAX('Inputs'!$B$33,'Inputs'!$B$29+'Inputs'!$B$31+'Inputs'!$B$32,'Inputs'!$B$30+'Inputs'!$B$31+'Inputs'!$B$32)/1000+'Inputs'!$B$21)+'Inputs'!$B$9)^2+('Inputs'!$B$8/2)^2)-(((206-43)*MAX('Inputs'!$B$33,'Inputs'!$B$29+'Inputs'!$B$31+'Inputs'!$B$32,'Inputs'!$B$30+'Inputs'!$B$31+'Inputs'!$B$32)/1000+'Inputs'!$B$21))/SQRT((((206-43)*MAX('Inputs'!$B$33,'Inputs'!$B$29+'Inputs'!$B$31+'Inputs'!$B$32,'Inputs'!$B$30+'Inputs'!$B$31+'Inputs'!$B$32)/1000+'Inputs'!$B$21))^2+('Inputs'!$B$8/2)^2)))-'Results'!B7*(1-'Inputs'!$B$24)*(0.5*((((206-43)*MAX('Inputs'!$B$33,'Inputs'!$B$29+'Inputs'!$B$31+'Inputs'!$B$32,'Inputs'!$B$30+'Inputs'!$B$31+'Inputs'!$B$32)/1000+'Inputs'!$B$21+'Inputs'!$B$9+'Inputs'!$B$10)+'Inputs'!$B$7)/SQRT((((206-43)*MAX('Inputs'!$B$33,'Inputs'!$B$29+'Inputs'!$B$31+'Inputs'!$B$32,'Inputs'!$B$30+'Inputs'!$B$31+'Inputs'!$B$32)/1000+'Inputs'!$B$21+'Inputs'!$B$9+'Inputs'!$B$10)+'Inputs'!$B$7)^2+('Inputs'!$B$6/2)^2)-(((206-43)*MAX('Inputs'!$B$33,'Inputs'!$B$29+'Inputs'!$B$31+'Inputs'!$B$32,'Inputs'!$B$30+'Inputs'!$B$31+'Inputs'!$B$32)/1000+'Inputs'!$B$21+'Inputs'!$B$9+'Inputs'!$B$10))/SQRT((((206-43)*MAX('Inputs'!$B$33,'Inputs'!$B$29+'Inputs'!$B$31+'Inputs'!$B$32,'Inputs'!$B$30+'Inputs'!$B$31+'Inputs'!$B$32)/1000+'Inputs'!$B$21+'Inputs'!$B$9+'Inputs'!$B$10))^2+('Inputs'!$B$6/2)^2))))*'Results'!$B$8)+'Inputs'!$B$28*ABS((('Results'!C7*(1+'Inputs'!$B$24)*(0.5*((((206-43)*MAX('Inputs'!$B$33,'Inputs'!$B$29+'Inputs'!$B$31+'Inputs'!$B$32,'Inputs'!$B$30+'Inputs'!$B$31+'Inputs'!$B$32)/1000+'Inputs'!$B$21)+'Inputs'!$B$9)/SQRT((((206-43)*MAX('Inputs'!$B$33,'Inputs'!$B$29+'Inputs'!$B$31+'Inputs'!$B$32,'Inputs'!$B$30+'Inputs'!$B$31+'Inputs'!$B$32)/1000+'Inputs'!$B$21)+'Inputs'!$B$9)^2+('Inputs'!$B$8/2)^2)-(((206-43)*MAX('Inputs'!$B$33,'Inputs'!$B$29+'Inputs'!$B$31+'Inputs'!$B$32,'Inputs'!$B$30+'Inputs'!$B$31+'Inputs'!$B$32)/1000+'Inputs'!$B$21))/SQRT((((206-43)*MAX('Inputs'!$B$33,'Inputs'!$B$29+'Inputs'!$B$31+'Inputs'!$B$32,'Inputs'!$B$30+'Inputs'!$B$31+'Inputs'!$B$32)/1000+'Inputs'!$B$21))^2+('Inputs'!$B$8/2)^2)))-'Results'!B7*(1-'Inputs'!$B$24)*(0.5*((((206-43)*MAX('Inputs'!$B$33,'Inputs'!$B$29+'Inputs'!$B$31+'Inputs'!$B$32,'Inputs'!$B$30+'Inputs'!$B$31+'Inputs'!$B$32)/1000+'Inputs'!$B$21+'Inputs'!$B$9+'Inputs'!$B$10)+'Inputs'!$B$7)/SQRT((((206-43)*MAX('Inputs'!$B$33,'Inputs'!$B$29+'Inputs'!$B$31+'Inputs'!$B$32,'Inputs'!$B$30+'Inputs'!$B$31+'Inputs'!$B$32)/1000+'Inputs'!$B$21+'Inputs'!$B$9+'Inputs'!$B$10)+'Inputs'!$B$7)^2+('Inputs'!$B$6/2)^2)-(((206-43)*MAX('Inputs'!$B$33,'Inputs'!$B$29+'Inputs'!$B$31+'Inputs'!$B$32,'Inputs'!$B$30+'Inputs'!$B$31+'Inputs'!$B$32)/1000+'Inputs'!$B$21+'Inputs'!$B$9+'Inputs'!$B$10))/SQRT((((206-43)*MAX('Inputs'!$B$33,'Inputs'!$B$29+'Inputs'!$B$31+'Inputs'!$B$32,'Inputs'!$B$30+'Inputs'!$B$31+'Inputs'!$B$32)/1000+'Inputs'!$B$21+'Inputs'!$B$9+'Inputs'!$B$10))^2+('Inputs'!$B$6/2)^2))))*'Results'!$B$8))),"")</x:f>
        <x:v>131.9304998674751</x:v>
      </x:c>
      <x:c r="P206" t="n">
        <x:f>IF(AND(MAX(J206,J205)&gt;0,J206&gt;J205+0.00000001),1,0)</x:f>
        <x:v>0</x:v>
      </x:c>
      <x:c r="Q206" t="n">
        <x:f>IF(AND(MAX(K206,K205)&gt;0,K206&gt;K205+0.00000001),1,0)</x:f>
        <x:v>0</x:v>
      </x:c>
      <x:c r="R206" t="n">
        <x:f>IF(AND(MAX(L206,L205)&gt;0,L206&gt;L205+0.00000001),1,0)</x:f>
        <x:v>0</x:v>
      </x:c>
      <x:c r="S206" t="n">
        <x:f>IF(AND(MAX(M206,M205)&gt;0,M206&gt;M205+0.00000001),1,0)</x:f>
        <x:v>0</x:v>
      </x:c>
      <x:c r="T206" t="n">
        <x:f>IF(AND(MAX(N206,N205)&gt;0,N206&gt;N205+0.00000001),1,0)</x:f>
        <x:v>0</x:v>
      </x:c>
      <x:c r="U206" t="n">
        <x:f>IF(AND(MAX(O206,O205)&gt;0,O206&gt;O205+0.00000001),1,0)</x:f>
        <x:v>0</x:v>
      </x:c>
    </x:row>
    <x:row r="207">
      <x:c r="J207" t="n">
        <x:f>IF(AND(ISNUMBER('Results'!B7),ISNUMBER('Results'!C7),ISNUMBER('Results'!$B$8),ISNUMBER('Inputs'!$B$6),ISNUMBER('Inputs'!$B$7),ISNUMBER('Inputs'!$B$8),ISNUMBER('Inputs'!$B$9),ISNUMBER('Inputs'!$B$10),ISNUMBER('Inputs'!$B$21),ISNUMBER('Inputs'!$B$24),ISNUMBER('Inputs'!$B$28)),(('Results'!B7*(0.5*((((207-43)*MAX('Inputs'!$B$33,'Inputs'!$B$29+'Inputs'!$B$31+'Inputs'!$B$32,'Inputs'!$B$30+'Inputs'!$B$31+'Inputs'!$B$32)/1000+'Inputs'!$B$21)+'Inputs'!$B$7)/SQRT((((207-43)*MAX('Inputs'!$B$33,'Inputs'!$B$29+'Inputs'!$B$31+'Inputs'!$B$32,'Inputs'!$B$30+'Inputs'!$B$31+'Inputs'!$B$32)/1000+'Inputs'!$B$21)+'Inputs'!$B$7)^2+('Inputs'!$B$6/2)^2)-(((207-43)*MAX('Inputs'!$B$33,'Inputs'!$B$29+'Inputs'!$B$31+'Inputs'!$B$32,'Inputs'!$B$30+'Inputs'!$B$31+'Inputs'!$B$32)/1000+'Inputs'!$B$21))/SQRT((((207-43)*MAX('Inputs'!$B$33,'Inputs'!$B$29+'Inputs'!$B$31+'Inputs'!$B$32,'Inputs'!$B$30+'Inputs'!$B$31+'Inputs'!$B$32)/1000+'Inputs'!$B$21))^2+('Inputs'!$B$6/2)^2)))-'Results'!C7*(0.5*((((207-43)*MAX('Inputs'!$B$33,'Inputs'!$B$29+'Inputs'!$B$31+'Inputs'!$B$32,'Inputs'!$B$30+'Inputs'!$B$31+'Inputs'!$B$32)/1000+'Inputs'!$B$21+'Inputs'!$B$7+'Inputs'!$B$10)+'Inputs'!$B$9)/SQRT((((207-43)*MAX('Inputs'!$B$33,'Inputs'!$B$29+'Inputs'!$B$31+'Inputs'!$B$32,'Inputs'!$B$30+'Inputs'!$B$31+'Inputs'!$B$32)/1000+'Inputs'!$B$21+'Inputs'!$B$7+'Inputs'!$B$10)+'Inputs'!$B$9)^2+('Inputs'!$B$8/2)^2)-(((207-43)*MAX('Inputs'!$B$33,'Inputs'!$B$29+'Inputs'!$B$31+'Inputs'!$B$32,'Inputs'!$B$30+'Inputs'!$B$31+'Inputs'!$B$32)/1000+'Inputs'!$B$21+'Inputs'!$B$7+'Inputs'!$B$10))/SQRT((((207-43)*MAX('Inputs'!$B$33,'Inputs'!$B$29+'Inputs'!$B$31+'Inputs'!$B$32,'Inputs'!$B$30+'Inputs'!$B$31+'Inputs'!$B$32)/1000+'Inputs'!$B$21+'Inputs'!$B$7+'Inputs'!$B$10))^2+('Inputs'!$B$8/2)^2))))*'Results'!$B$8),"")</x:f>
        <x:v>123.7845103404546</x:v>
      </x:c>
      <x:c r="K207" t="n">
        <x:f>IF(AND(ISNUMBER('Results'!B7),ISNUMBER('Results'!C7),ISNUMBER('Results'!$B$8),ISNUMBER('Inputs'!$B$6),ISNUMBER('Inputs'!$B$7),ISNUMBER('Inputs'!$B$8),ISNUMBER('Inputs'!$B$9),ISNUMBER('Inputs'!$B$10),ISNUMBER('Inputs'!$B$21),ISNUMBER('Inputs'!$B$24),ISNUMBER('Inputs'!$B$28)),((('Results'!B7*(1-'Inputs'!$B$24)*(0.5*((((207-43)*MAX('Inputs'!$B$33,'Inputs'!$B$29+'Inputs'!$B$31+'Inputs'!$B$32,'Inputs'!$B$30+'Inputs'!$B$31+'Inputs'!$B$32)/1000+'Inputs'!$B$21)+'Inputs'!$B$7)/SQRT((((207-43)*MAX('Inputs'!$B$33,'Inputs'!$B$29+'Inputs'!$B$31+'Inputs'!$B$32,'Inputs'!$B$30+'Inputs'!$B$31+'Inputs'!$B$32)/1000+'Inputs'!$B$21)+'Inputs'!$B$7)^2+('Inputs'!$B$6/2)^2)-(((207-43)*MAX('Inputs'!$B$33,'Inputs'!$B$29+'Inputs'!$B$31+'Inputs'!$B$32,'Inputs'!$B$30+'Inputs'!$B$31+'Inputs'!$B$32)/1000+'Inputs'!$B$21))/SQRT((((207-43)*MAX('Inputs'!$B$33,'Inputs'!$B$29+'Inputs'!$B$31+'Inputs'!$B$32,'Inputs'!$B$30+'Inputs'!$B$31+'Inputs'!$B$32)/1000+'Inputs'!$B$21))^2+('Inputs'!$B$6/2)^2)))-'Results'!C7*(1+'Inputs'!$B$24)*(0.5*((((207-43)*MAX('Inputs'!$B$33,'Inputs'!$B$29+'Inputs'!$B$31+'Inputs'!$B$32,'Inputs'!$B$30+'Inputs'!$B$31+'Inputs'!$B$32)/1000+'Inputs'!$B$21+'Inputs'!$B$7+'Inputs'!$B$10)+'Inputs'!$B$9)/SQRT((((207-43)*MAX('Inputs'!$B$33,'Inputs'!$B$29+'Inputs'!$B$31+'Inputs'!$B$32,'Inputs'!$B$30+'Inputs'!$B$31+'Inputs'!$B$32)/1000+'Inputs'!$B$21+'Inputs'!$B$7+'Inputs'!$B$10)+'Inputs'!$B$9)^2+('Inputs'!$B$8/2)^2)-(((207-43)*MAX('Inputs'!$B$33,'Inputs'!$B$29+'Inputs'!$B$31+'Inputs'!$B$32,'Inputs'!$B$30+'Inputs'!$B$31+'Inputs'!$B$32)/1000+'Inputs'!$B$21+'Inputs'!$B$7+'Inputs'!$B$10))/SQRT((((207-43)*MAX('Inputs'!$B$33,'Inputs'!$B$29+'Inputs'!$B$31+'Inputs'!$B$32,'Inputs'!$B$30+'Inputs'!$B$31+'Inputs'!$B$32)/1000+'Inputs'!$B$21+'Inputs'!$B$7+'Inputs'!$B$10))^2+('Inputs'!$B$8/2)^2))))*'Results'!$B$8)-'Inputs'!$B$28*ABS((('Results'!B7*(1-'Inputs'!$B$24)*(0.5*((((207-43)*MAX('Inputs'!$B$33,'Inputs'!$B$29+'Inputs'!$B$31+'Inputs'!$B$32,'Inputs'!$B$30+'Inputs'!$B$31+'Inputs'!$B$32)/1000+'Inputs'!$B$21)+'Inputs'!$B$7)/SQRT((((207-43)*MAX('Inputs'!$B$33,'Inputs'!$B$29+'Inputs'!$B$31+'Inputs'!$B$32,'Inputs'!$B$30+'Inputs'!$B$31+'Inputs'!$B$32)/1000+'Inputs'!$B$21)+'Inputs'!$B$7)^2+('Inputs'!$B$6/2)^2)-(((207-43)*MAX('Inputs'!$B$33,'Inputs'!$B$29+'Inputs'!$B$31+'Inputs'!$B$32,'Inputs'!$B$30+'Inputs'!$B$31+'Inputs'!$B$32)/1000+'Inputs'!$B$21))/SQRT((((207-43)*MAX('Inputs'!$B$33,'Inputs'!$B$29+'Inputs'!$B$31+'Inputs'!$B$32,'Inputs'!$B$30+'Inputs'!$B$31+'Inputs'!$B$32)/1000+'Inputs'!$B$21))^2+('Inputs'!$B$6/2)^2)))-'Results'!C7*(1+'Inputs'!$B$24)*(0.5*((((207-43)*MAX('Inputs'!$B$33,'Inputs'!$B$29+'Inputs'!$B$31+'Inputs'!$B$32,'Inputs'!$B$30+'Inputs'!$B$31+'Inputs'!$B$32)/1000+'Inputs'!$B$21+'Inputs'!$B$7+'Inputs'!$B$10)+'Inputs'!$B$9)/SQRT((((207-43)*MAX('Inputs'!$B$33,'Inputs'!$B$29+'Inputs'!$B$31+'Inputs'!$B$32,'Inputs'!$B$30+'Inputs'!$B$31+'Inputs'!$B$32)/1000+'Inputs'!$B$21+'Inputs'!$B$7+'Inputs'!$B$10)+'Inputs'!$B$9)^2+('Inputs'!$B$8/2)^2)-(((207-43)*MAX('Inputs'!$B$33,'Inputs'!$B$29+'Inputs'!$B$31+'Inputs'!$B$32,'Inputs'!$B$30+'Inputs'!$B$31+'Inputs'!$B$32)/1000+'Inputs'!$B$21+'Inputs'!$B$7+'Inputs'!$B$10))/SQRT((((207-43)*MAX('Inputs'!$B$33,'Inputs'!$B$29+'Inputs'!$B$31+'Inputs'!$B$32,'Inputs'!$B$30+'Inputs'!$B$31+'Inputs'!$B$32)/1000+'Inputs'!$B$21+'Inputs'!$B$7+'Inputs'!$B$10))^2+('Inputs'!$B$8/2)^2))))*'Results'!$B$8))),"")</x:f>
        <x:v>113.5493600115206</x:v>
      </x:c>
      <x:c r="L207" t="n">
        <x:f>IF(AND(ISNUMBER('Results'!B7),ISNUMBER('Results'!C7),ISNUMBER('Results'!$B$8),ISNUMBER('Inputs'!$B$6),ISNUMBER('Inputs'!$B$7),ISNUMBER('Inputs'!$B$8),ISNUMBER('Inputs'!$B$9),ISNUMBER('Inputs'!$B$10),ISNUMBER('Inputs'!$B$21),ISNUMBER('Inputs'!$B$24),ISNUMBER('Inputs'!$B$28)),((('Results'!B7*(1+'Inputs'!$B$24)*(0.5*((((207-43)*MAX('Inputs'!$B$33,'Inputs'!$B$29+'Inputs'!$B$31+'Inputs'!$B$32,'Inputs'!$B$30+'Inputs'!$B$31+'Inputs'!$B$32)/1000+'Inputs'!$B$21)+'Inputs'!$B$7)/SQRT((((207-43)*MAX('Inputs'!$B$33,'Inputs'!$B$29+'Inputs'!$B$31+'Inputs'!$B$32,'Inputs'!$B$30+'Inputs'!$B$31+'Inputs'!$B$32)/1000+'Inputs'!$B$21)+'Inputs'!$B$7)^2+('Inputs'!$B$6/2)^2)-(((207-43)*MAX('Inputs'!$B$33,'Inputs'!$B$29+'Inputs'!$B$31+'Inputs'!$B$32,'Inputs'!$B$30+'Inputs'!$B$31+'Inputs'!$B$32)/1000+'Inputs'!$B$21))/SQRT((((207-43)*MAX('Inputs'!$B$33,'Inputs'!$B$29+'Inputs'!$B$31+'Inputs'!$B$32,'Inputs'!$B$30+'Inputs'!$B$31+'Inputs'!$B$32)/1000+'Inputs'!$B$21))^2+('Inputs'!$B$6/2)^2)))-'Results'!C7*(1-'Inputs'!$B$24)*(0.5*((((207-43)*MAX('Inputs'!$B$33,'Inputs'!$B$29+'Inputs'!$B$31+'Inputs'!$B$32,'Inputs'!$B$30+'Inputs'!$B$31+'Inputs'!$B$32)/1000+'Inputs'!$B$21+'Inputs'!$B$7+'Inputs'!$B$10)+'Inputs'!$B$9)/SQRT((((207-43)*MAX('Inputs'!$B$33,'Inputs'!$B$29+'Inputs'!$B$31+'Inputs'!$B$32,'Inputs'!$B$30+'Inputs'!$B$31+'Inputs'!$B$32)/1000+'Inputs'!$B$21+'Inputs'!$B$7+'Inputs'!$B$10)+'Inputs'!$B$9)^2+('Inputs'!$B$8/2)^2)-(((207-43)*MAX('Inputs'!$B$33,'Inputs'!$B$29+'Inputs'!$B$31+'Inputs'!$B$32,'Inputs'!$B$30+'Inputs'!$B$31+'Inputs'!$B$32)/1000+'Inputs'!$B$21+'Inputs'!$B$7+'Inputs'!$B$10))/SQRT((((207-43)*MAX('Inputs'!$B$33,'Inputs'!$B$29+'Inputs'!$B$31+'Inputs'!$B$32,'Inputs'!$B$30+'Inputs'!$B$31+'Inputs'!$B$32)/1000+'Inputs'!$B$21+'Inputs'!$B$7+'Inputs'!$B$10))^2+('Inputs'!$B$8/2)^2))))*'Results'!$B$8)+'Inputs'!$B$28*ABS((('Results'!B7*(1+'Inputs'!$B$24)*(0.5*((((207-43)*MAX('Inputs'!$B$33,'Inputs'!$B$29+'Inputs'!$B$31+'Inputs'!$B$32,'Inputs'!$B$30+'Inputs'!$B$31+'Inputs'!$B$32)/1000+'Inputs'!$B$21)+'Inputs'!$B$7)/SQRT((((207-43)*MAX('Inputs'!$B$33,'Inputs'!$B$29+'Inputs'!$B$31+'Inputs'!$B$32,'Inputs'!$B$30+'Inputs'!$B$31+'Inputs'!$B$32)/1000+'Inputs'!$B$21)+'Inputs'!$B$7)^2+('Inputs'!$B$6/2)^2)-(((207-43)*MAX('Inputs'!$B$33,'Inputs'!$B$29+'Inputs'!$B$31+'Inputs'!$B$32,'Inputs'!$B$30+'Inputs'!$B$31+'Inputs'!$B$32)/1000+'Inputs'!$B$21))/SQRT((((207-43)*MAX('Inputs'!$B$33,'Inputs'!$B$29+'Inputs'!$B$31+'Inputs'!$B$32,'Inputs'!$B$30+'Inputs'!$B$31+'Inputs'!$B$32)/1000+'Inputs'!$B$21))^2+('Inputs'!$B$6/2)^2)))-'Results'!C7*(1-'Inputs'!$B$24)*(0.5*((((207-43)*MAX('Inputs'!$B$33,'Inputs'!$B$29+'Inputs'!$B$31+'Inputs'!$B$32,'Inputs'!$B$30+'Inputs'!$B$31+'Inputs'!$B$32)/1000+'Inputs'!$B$21+'Inputs'!$B$7+'Inputs'!$B$10)+'Inputs'!$B$9)/SQRT((((207-43)*MAX('Inputs'!$B$33,'Inputs'!$B$29+'Inputs'!$B$31+'Inputs'!$B$32,'Inputs'!$B$30+'Inputs'!$B$31+'Inputs'!$B$32)/1000+'Inputs'!$B$21+'Inputs'!$B$7+'Inputs'!$B$10)+'Inputs'!$B$9)^2+('Inputs'!$B$8/2)^2)-(((207-43)*MAX('Inputs'!$B$33,'Inputs'!$B$29+'Inputs'!$B$31+'Inputs'!$B$32,'Inputs'!$B$30+'Inputs'!$B$31+'Inputs'!$B$32)/1000+'Inputs'!$B$21+'Inputs'!$B$7+'Inputs'!$B$10))/SQRT((((207-43)*MAX('Inputs'!$B$33,'Inputs'!$B$29+'Inputs'!$B$31+'Inputs'!$B$32,'Inputs'!$B$30+'Inputs'!$B$31+'Inputs'!$B$32)/1000+'Inputs'!$B$21+'Inputs'!$B$7+'Inputs'!$B$10))^2+('Inputs'!$B$8/2)^2))))*'Results'!$B$8))),"")</x:f>
        <x:v>134.4455474916951</x:v>
      </x:c>
      <x:c r="M207" t="n">
        <x:f>IF(AND(ISNUMBER('Results'!C7),ISNUMBER('Results'!B7),ISNUMBER('Results'!$B$8),ISNUMBER('Inputs'!$B$6),ISNUMBER('Inputs'!$B$7),ISNUMBER('Inputs'!$B$8),ISNUMBER('Inputs'!$B$9),ISNUMBER('Inputs'!$B$10),ISNUMBER('Inputs'!$B$21),ISNUMBER('Inputs'!$B$24),ISNUMBER('Inputs'!$B$28)),(('Results'!C7*(0.5*((((207-43)*MAX('Inputs'!$B$33,'Inputs'!$B$29+'Inputs'!$B$31+'Inputs'!$B$32,'Inputs'!$B$30+'Inputs'!$B$31+'Inputs'!$B$32)/1000+'Inputs'!$B$21)+'Inputs'!$B$9)/SQRT((((207-43)*MAX('Inputs'!$B$33,'Inputs'!$B$29+'Inputs'!$B$31+'Inputs'!$B$32,'Inputs'!$B$30+'Inputs'!$B$31+'Inputs'!$B$32)/1000+'Inputs'!$B$21)+'Inputs'!$B$9)^2+('Inputs'!$B$8/2)^2)-(((207-43)*MAX('Inputs'!$B$33,'Inputs'!$B$29+'Inputs'!$B$31+'Inputs'!$B$32,'Inputs'!$B$30+'Inputs'!$B$31+'Inputs'!$B$32)/1000+'Inputs'!$B$21))/SQRT((((207-43)*MAX('Inputs'!$B$33,'Inputs'!$B$29+'Inputs'!$B$31+'Inputs'!$B$32,'Inputs'!$B$30+'Inputs'!$B$31+'Inputs'!$B$32)/1000+'Inputs'!$B$21))^2+('Inputs'!$B$8/2)^2)))-'Results'!B7*(0.5*((((207-43)*MAX('Inputs'!$B$33,'Inputs'!$B$29+'Inputs'!$B$31+'Inputs'!$B$32,'Inputs'!$B$30+'Inputs'!$B$31+'Inputs'!$B$32)/1000+'Inputs'!$B$21+'Inputs'!$B$9+'Inputs'!$B$10)+'Inputs'!$B$7)/SQRT((((207-43)*MAX('Inputs'!$B$33,'Inputs'!$B$29+'Inputs'!$B$31+'Inputs'!$B$32,'Inputs'!$B$30+'Inputs'!$B$31+'Inputs'!$B$32)/1000+'Inputs'!$B$21+'Inputs'!$B$9+'Inputs'!$B$10)+'Inputs'!$B$7)^2+('Inputs'!$B$6/2)^2)-(((207-43)*MAX('Inputs'!$B$33,'Inputs'!$B$29+'Inputs'!$B$31+'Inputs'!$B$32,'Inputs'!$B$30+'Inputs'!$B$31+'Inputs'!$B$32)/1000+'Inputs'!$B$21+'Inputs'!$B$9+'Inputs'!$B$10))/SQRT((((207-43)*MAX('Inputs'!$B$33,'Inputs'!$B$29+'Inputs'!$B$31+'Inputs'!$B$32,'Inputs'!$B$30+'Inputs'!$B$31+'Inputs'!$B$32)/1000+'Inputs'!$B$21+'Inputs'!$B$9+'Inputs'!$B$10))^2+('Inputs'!$B$6/2)^2))))*'Results'!$B$8),"")</x:f>
        <x:v>119.50744642334668</x:v>
      </x:c>
      <x:c r="N207" t="n">
        <x:f>IF(AND(ISNUMBER('Results'!C7),ISNUMBER('Results'!B7),ISNUMBER('Results'!$B$8),ISNUMBER('Inputs'!$B$6),ISNUMBER('Inputs'!$B$7),ISNUMBER('Inputs'!$B$8),ISNUMBER('Inputs'!$B$9),ISNUMBER('Inputs'!$B$10),ISNUMBER('Inputs'!$B$21),ISNUMBER('Inputs'!$B$24),ISNUMBER('Inputs'!$B$28)),((('Results'!C7*(1-'Inputs'!$B$24)*(0.5*((((207-43)*MAX('Inputs'!$B$33,'Inputs'!$B$29+'Inputs'!$B$31+'Inputs'!$B$32,'Inputs'!$B$30+'Inputs'!$B$31+'Inputs'!$B$32)/1000+'Inputs'!$B$21)+'Inputs'!$B$9)/SQRT((((207-43)*MAX('Inputs'!$B$33,'Inputs'!$B$29+'Inputs'!$B$31+'Inputs'!$B$32,'Inputs'!$B$30+'Inputs'!$B$31+'Inputs'!$B$32)/1000+'Inputs'!$B$21)+'Inputs'!$B$9)^2+('Inputs'!$B$8/2)^2)-(((207-43)*MAX('Inputs'!$B$33,'Inputs'!$B$29+'Inputs'!$B$31+'Inputs'!$B$32,'Inputs'!$B$30+'Inputs'!$B$31+'Inputs'!$B$32)/1000+'Inputs'!$B$21))/SQRT((((207-43)*MAX('Inputs'!$B$33,'Inputs'!$B$29+'Inputs'!$B$31+'Inputs'!$B$32,'Inputs'!$B$30+'Inputs'!$B$31+'Inputs'!$B$32)/1000+'Inputs'!$B$21))^2+('Inputs'!$B$8/2)^2)))-'Results'!B7*(1+'Inputs'!$B$24)*(0.5*((((207-43)*MAX('Inputs'!$B$33,'Inputs'!$B$29+'Inputs'!$B$31+'Inputs'!$B$32,'Inputs'!$B$30+'Inputs'!$B$31+'Inputs'!$B$32)/1000+'Inputs'!$B$21+'Inputs'!$B$9+'Inputs'!$B$10)+'Inputs'!$B$7)/SQRT((((207-43)*MAX('Inputs'!$B$33,'Inputs'!$B$29+'Inputs'!$B$31+'Inputs'!$B$32,'Inputs'!$B$30+'Inputs'!$B$31+'Inputs'!$B$32)/1000+'Inputs'!$B$21+'Inputs'!$B$9+'Inputs'!$B$10)+'Inputs'!$B$7)^2+('Inputs'!$B$6/2)^2)-(((207-43)*MAX('Inputs'!$B$33,'Inputs'!$B$29+'Inputs'!$B$31+'Inputs'!$B$32,'Inputs'!$B$30+'Inputs'!$B$31+'Inputs'!$B$32)/1000+'Inputs'!$B$21+'Inputs'!$B$9+'Inputs'!$B$10))/SQRT((((207-43)*MAX('Inputs'!$B$33,'Inputs'!$B$29+'Inputs'!$B$31+'Inputs'!$B$32,'Inputs'!$B$30+'Inputs'!$B$31+'Inputs'!$B$32)/1000+'Inputs'!$B$21+'Inputs'!$B$9+'Inputs'!$B$10))^2+('Inputs'!$B$6/2)^2))))*'Results'!$B$8)-'Inputs'!$B$28*ABS((('Results'!C7*(1-'Inputs'!$B$24)*(0.5*((((207-43)*MAX('Inputs'!$B$33,'Inputs'!$B$29+'Inputs'!$B$31+'Inputs'!$B$32,'Inputs'!$B$30+'Inputs'!$B$31+'Inputs'!$B$32)/1000+'Inputs'!$B$21)+'Inputs'!$B$9)/SQRT((((207-43)*MAX('Inputs'!$B$33,'Inputs'!$B$29+'Inputs'!$B$31+'Inputs'!$B$32,'Inputs'!$B$30+'Inputs'!$B$31+'Inputs'!$B$32)/1000+'Inputs'!$B$21)+'Inputs'!$B$9)^2+('Inputs'!$B$8/2)^2)-(((207-43)*MAX('Inputs'!$B$33,'Inputs'!$B$29+'Inputs'!$B$31+'Inputs'!$B$32,'Inputs'!$B$30+'Inputs'!$B$31+'Inputs'!$B$32)/1000+'Inputs'!$B$21))/SQRT((((207-43)*MAX('Inputs'!$B$33,'Inputs'!$B$29+'Inputs'!$B$31+'Inputs'!$B$32,'Inputs'!$B$30+'Inputs'!$B$31+'Inputs'!$B$32)/1000+'Inputs'!$B$21))^2+('Inputs'!$B$8/2)^2)))-'Results'!B7*(1+'Inputs'!$B$24)*(0.5*((((207-43)*MAX('Inputs'!$B$33,'Inputs'!$B$29+'Inputs'!$B$31+'Inputs'!$B$32,'Inputs'!$B$30+'Inputs'!$B$31+'Inputs'!$B$32)/1000+'Inputs'!$B$21+'Inputs'!$B$9+'Inputs'!$B$10)+'Inputs'!$B$7)/SQRT((((207-43)*MAX('Inputs'!$B$33,'Inputs'!$B$29+'Inputs'!$B$31+'Inputs'!$B$32,'Inputs'!$B$30+'Inputs'!$B$31+'Inputs'!$B$32)/1000+'Inputs'!$B$21+'Inputs'!$B$9+'Inputs'!$B$10)+'Inputs'!$B$7)^2+('Inputs'!$B$6/2)^2)-(((207-43)*MAX('Inputs'!$B$33,'Inputs'!$B$29+'Inputs'!$B$31+'Inputs'!$B$32,'Inputs'!$B$30+'Inputs'!$B$31+'Inputs'!$B$32)/1000+'Inputs'!$B$21+'Inputs'!$B$9+'Inputs'!$B$10))/SQRT((((207-43)*MAX('Inputs'!$B$33,'Inputs'!$B$29+'Inputs'!$B$31+'Inputs'!$B$32,'Inputs'!$B$30+'Inputs'!$B$31+'Inputs'!$B$32)/1000+'Inputs'!$B$21+'Inputs'!$B$9+'Inputs'!$B$10))^2+('Inputs'!$B$6/2)^2))))*'Results'!$B$8))),"")</x:f>
        <x:v>109.5328416860106</x:v>
      </x:c>
      <x:c r="O207" t="n">
        <x:f>IF(AND(ISNUMBER('Results'!C7),ISNUMBER('Results'!B7),ISNUMBER('Results'!$B$8),ISNUMBER('Inputs'!$B$6),ISNUMBER('Inputs'!$B$7),ISNUMBER('Inputs'!$B$8),ISNUMBER('Inputs'!$B$9),ISNUMBER('Inputs'!$B$10),ISNUMBER('Inputs'!$B$21),ISNUMBER('Inputs'!$B$24),ISNUMBER('Inputs'!$B$28)),((('Results'!C7*(1+'Inputs'!$B$24)*(0.5*((((207-43)*MAX('Inputs'!$B$33,'Inputs'!$B$29+'Inputs'!$B$31+'Inputs'!$B$32,'Inputs'!$B$30+'Inputs'!$B$31+'Inputs'!$B$32)/1000+'Inputs'!$B$21)+'Inputs'!$B$9)/SQRT((((207-43)*MAX('Inputs'!$B$33,'Inputs'!$B$29+'Inputs'!$B$31+'Inputs'!$B$32,'Inputs'!$B$30+'Inputs'!$B$31+'Inputs'!$B$32)/1000+'Inputs'!$B$21)+'Inputs'!$B$9)^2+('Inputs'!$B$8/2)^2)-(((207-43)*MAX('Inputs'!$B$33,'Inputs'!$B$29+'Inputs'!$B$31+'Inputs'!$B$32,'Inputs'!$B$30+'Inputs'!$B$31+'Inputs'!$B$32)/1000+'Inputs'!$B$21))/SQRT((((207-43)*MAX('Inputs'!$B$33,'Inputs'!$B$29+'Inputs'!$B$31+'Inputs'!$B$32,'Inputs'!$B$30+'Inputs'!$B$31+'Inputs'!$B$32)/1000+'Inputs'!$B$21))^2+('Inputs'!$B$8/2)^2)))-'Results'!B7*(1-'Inputs'!$B$24)*(0.5*((((207-43)*MAX('Inputs'!$B$33,'Inputs'!$B$29+'Inputs'!$B$31+'Inputs'!$B$32,'Inputs'!$B$30+'Inputs'!$B$31+'Inputs'!$B$32)/1000+'Inputs'!$B$21+'Inputs'!$B$9+'Inputs'!$B$10)+'Inputs'!$B$7)/SQRT((((207-43)*MAX('Inputs'!$B$33,'Inputs'!$B$29+'Inputs'!$B$31+'Inputs'!$B$32,'Inputs'!$B$30+'Inputs'!$B$31+'Inputs'!$B$32)/1000+'Inputs'!$B$21+'Inputs'!$B$9+'Inputs'!$B$10)+'Inputs'!$B$7)^2+('Inputs'!$B$6/2)^2)-(((207-43)*MAX('Inputs'!$B$33,'Inputs'!$B$29+'Inputs'!$B$31+'Inputs'!$B$32,'Inputs'!$B$30+'Inputs'!$B$31+'Inputs'!$B$32)/1000+'Inputs'!$B$21+'Inputs'!$B$9+'Inputs'!$B$10))/SQRT((((207-43)*MAX('Inputs'!$B$33,'Inputs'!$B$29+'Inputs'!$B$31+'Inputs'!$B$32,'Inputs'!$B$30+'Inputs'!$B$31+'Inputs'!$B$32)/1000+'Inputs'!$B$21+'Inputs'!$B$9+'Inputs'!$B$10))^2+('Inputs'!$B$6/2)^2))))*'Results'!$B$8)+'Inputs'!$B$28*ABS((('Results'!C7*(1+'Inputs'!$B$24)*(0.5*((((207-43)*MAX('Inputs'!$B$33,'Inputs'!$B$29+'Inputs'!$B$31+'Inputs'!$B$32,'Inputs'!$B$30+'Inputs'!$B$31+'Inputs'!$B$32)/1000+'Inputs'!$B$21)+'Inputs'!$B$9)/SQRT((((207-43)*MAX('Inputs'!$B$33,'Inputs'!$B$29+'Inputs'!$B$31+'Inputs'!$B$32,'Inputs'!$B$30+'Inputs'!$B$31+'Inputs'!$B$32)/1000+'Inputs'!$B$21)+'Inputs'!$B$9)^2+('Inputs'!$B$8/2)^2)-(((207-43)*MAX('Inputs'!$B$33,'Inputs'!$B$29+'Inputs'!$B$31+'Inputs'!$B$32,'Inputs'!$B$30+'Inputs'!$B$31+'Inputs'!$B$32)/1000+'Inputs'!$B$21))/SQRT((((207-43)*MAX('Inputs'!$B$33,'Inputs'!$B$29+'Inputs'!$B$31+'Inputs'!$B$32,'Inputs'!$B$30+'Inputs'!$B$31+'Inputs'!$B$32)/1000+'Inputs'!$B$21))^2+('Inputs'!$B$8/2)^2)))-'Results'!B7*(1-'Inputs'!$B$24)*(0.5*((((207-43)*MAX('Inputs'!$B$33,'Inputs'!$B$29+'Inputs'!$B$31+'Inputs'!$B$32,'Inputs'!$B$30+'Inputs'!$B$31+'Inputs'!$B$32)/1000+'Inputs'!$B$21+'Inputs'!$B$9+'Inputs'!$B$10)+'Inputs'!$B$7)/SQRT((((207-43)*MAX('Inputs'!$B$33,'Inputs'!$B$29+'Inputs'!$B$31+'Inputs'!$B$32,'Inputs'!$B$30+'Inputs'!$B$31+'Inputs'!$B$32)/1000+'Inputs'!$B$21+'Inputs'!$B$9+'Inputs'!$B$10)+'Inputs'!$B$7)^2+('Inputs'!$B$6/2)^2)-(((207-43)*MAX('Inputs'!$B$33,'Inputs'!$B$29+'Inputs'!$B$31+'Inputs'!$B$32,'Inputs'!$B$30+'Inputs'!$B$31+'Inputs'!$B$32)/1000+'Inputs'!$B$21+'Inputs'!$B$9+'Inputs'!$B$10))/SQRT((((207-43)*MAX('Inputs'!$B$33,'Inputs'!$B$29+'Inputs'!$B$31+'Inputs'!$B$32,'Inputs'!$B$30+'Inputs'!$B$31+'Inputs'!$B$32)/1000+'Inputs'!$B$21+'Inputs'!$B$9+'Inputs'!$B$10))^2+('Inputs'!$B$6/2)^2))))*'Results'!$B$8))),"")</x:f>
        <x:v>129.90302299396367</x:v>
      </x:c>
      <x:c r="P207" t="n">
        <x:f>IF(AND(MAX(J207,J206)&gt;0,J207&gt;J206+0.00000001),1,0)</x:f>
        <x:v>0</x:v>
      </x:c>
      <x:c r="Q207" t="n">
        <x:f>IF(AND(MAX(K207,K206)&gt;0,K207&gt;K206+0.00000001),1,0)</x:f>
        <x:v>0</x:v>
      </x:c>
      <x:c r="R207" t="n">
        <x:f>IF(AND(MAX(L207,L206)&gt;0,L207&gt;L206+0.00000001),1,0)</x:f>
        <x:v>0</x:v>
      </x:c>
      <x:c r="S207" t="n">
        <x:f>IF(AND(MAX(M207,M206)&gt;0,M207&gt;M206+0.00000001),1,0)</x:f>
        <x:v>0</x:v>
      </x:c>
      <x:c r="T207" t="n">
        <x:f>IF(AND(MAX(N207,N206)&gt;0,N207&gt;N206+0.00000001),1,0)</x:f>
        <x:v>0</x:v>
      </x:c>
      <x:c r="U207" t="n">
        <x:f>IF(AND(MAX(O207,O206)&gt;0,O207&gt;O206+0.00000001),1,0)</x:f>
        <x:v>0</x:v>
      </x:c>
    </x:row>
    <x:row r="208">
      <x:c r="J208" t="n">
        <x:f>IF(AND(ISNUMBER('Results'!B7),ISNUMBER('Results'!C7),ISNUMBER('Results'!$B$8),ISNUMBER('Inputs'!$B$6),ISNUMBER('Inputs'!$B$7),ISNUMBER('Inputs'!$B$8),ISNUMBER('Inputs'!$B$9),ISNUMBER('Inputs'!$B$10),ISNUMBER('Inputs'!$B$21),ISNUMBER('Inputs'!$B$24),ISNUMBER('Inputs'!$B$28)),(('Results'!B7*(0.5*((((208-43)*MAX('Inputs'!$B$33,'Inputs'!$B$29+'Inputs'!$B$31+'Inputs'!$B$32,'Inputs'!$B$30+'Inputs'!$B$31+'Inputs'!$B$32)/1000+'Inputs'!$B$21)+'Inputs'!$B$7)/SQRT((((208-43)*MAX('Inputs'!$B$33,'Inputs'!$B$29+'Inputs'!$B$31+'Inputs'!$B$32,'Inputs'!$B$30+'Inputs'!$B$31+'Inputs'!$B$32)/1000+'Inputs'!$B$21)+'Inputs'!$B$7)^2+('Inputs'!$B$6/2)^2)-(((208-43)*MAX('Inputs'!$B$33,'Inputs'!$B$29+'Inputs'!$B$31+'Inputs'!$B$32,'Inputs'!$B$30+'Inputs'!$B$31+'Inputs'!$B$32)/1000+'Inputs'!$B$21))/SQRT((((208-43)*MAX('Inputs'!$B$33,'Inputs'!$B$29+'Inputs'!$B$31+'Inputs'!$B$32,'Inputs'!$B$30+'Inputs'!$B$31+'Inputs'!$B$32)/1000+'Inputs'!$B$21))^2+('Inputs'!$B$6/2)^2)))-'Results'!C7*(0.5*((((208-43)*MAX('Inputs'!$B$33,'Inputs'!$B$29+'Inputs'!$B$31+'Inputs'!$B$32,'Inputs'!$B$30+'Inputs'!$B$31+'Inputs'!$B$32)/1000+'Inputs'!$B$21+'Inputs'!$B$7+'Inputs'!$B$10)+'Inputs'!$B$9)/SQRT((((208-43)*MAX('Inputs'!$B$33,'Inputs'!$B$29+'Inputs'!$B$31+'Inputs'!$B$32,'Inputs'!$B$30+'Inputs'!$B$31+'Inputs'!$B$32)/1000+'Inputs'!$B$21+'Inputs'!$B$7+'Inputs'!$B$10)+'Inputs'!$B$9)^2+('Inputs'!$B$8/2)^2)-(((208-43)*MAX('Inputs'!$B$33,'Inputs'!$B$29+'Inputs'!$B$31+'Inputs'!$B$32,'Inputs'!$B$30+'Inputs'!$B$31+'Inputs'!$B$32)/1000+'Inputs'!$B$21+'Inputs'!$B$7+'Inputs'!$B$10))/SQRT((((208-43)*MAX('Inputs'!$B$33,'Inputs'!$B$29+'Inputs'!$B$31+'Inputs'!$B$32,'Inputs'!$B$30+'Inputs'!$B$31+'Inputs'!$B$32)/1000+'Inputs'!$B$21+'Inputs'!$B$7+'Inputs'!$B$10))^2+('Inputs'!$B$8/2)^2))))*'Results'!$B$8),"")</x:f>
        <x:v>121.88856696974331</x:v>
      </x:c>
      <x:c r="K208" t="n">
        <x:f>IF(AND(ISNUMBER('Results'!B7),ISNUMBER('Results'!C7),ISNUMBER('Results'!$B$8),ISNUMBER('Inputs'!$B$6),ISNUMBER('Inputs'!$B$7),ISNUMBER('Inputs'!$B$8),ISNUMBER('Inputs'!$B$9),ISNUMBER('Inputs'!$B$10),ISNUMBER('Inputs'!$B$21),ISNUMBER('Inputs'!$B$24),ISNUMBER('Inputs'!$B$28)),((('Results'!B7*(1-'Inputs'!$B$24)*(0.5*((((208-43)*MAX('Inputs'!$B$33,'Inputs'!$B$29+'Inputs'!$B$31+'Inputs'!$B$32,'Inputs'!$B$30+'Inputs'!$B$31+'Inputs'!$B$32)/1000+'Inputs'!$B$21)+'Inputs'!$B$7)/SQRT((((208-43)*MAX('Inputs'!$B$33,'Inputs'!$B$29+'Inputs'!$B$31+'Inputs'!$B$32,'Inputs'!$B$30+'Inputs'!$B$31+'Inputs'!$B$32)/1000+'Inputs'!$B$21)+'Inputs'!$B$7)^2+('Inputs'!$B$6/2)^2)-(((208-43)*MAX('Inputs'!$B$33,'Inputs'!$B$29+'Inputs'!$B$31+'Inputs'!$B$32,'Inputs'!$B$30+'Inputs'!$B$31+'Inputs'!$B$32)/1000+'Inputs'!$B$21))/SQRT((((208-43)*MAX('Inputs'!$B$33,'Inputs'!$B$29+'Inputs'!$B$31+'Inputs'!$B$32,'Inputs'!$B$30+'Inputs'!$B$31+'Inputs'!$B$32)/1000+'Inputs'!$B$21))^2+('Inputs'!$B$6/2)^2)))-'Results'!C7*(1+'Inputs'!$B$24)*(0.5*((((208-43)*MAX('Inputs'!$B$33,'Inputs'!$B$29+'Inputs'!$B$31+'Inputs'!$B$32,'Inputs'!$B$30+'Inputs'!$B$31+'Inputs'!$B$32)/1000+'Inputs'!$B$21+'Inputs'!$B$7+'Inputs'!$B$10)+'Inputs'!$B$9)/SQRT((((208-43)*MAX('Inputs'!$B$33,'Inputs'!$B$29+'Inputs'!$B$31+'Inputs'!$B$32,'Inputs'!$B$30+'Inputs'!$B$31+'Inputs'!$B$32)/1000+'Inputs'!$B$21+'Inputs'!$B$7+'Inputs'!$B$10)+'Inputs'!$B$9)^2+('Inputs'!$B$8/2)^2)-(((208-43)*MAX('Inputs'!$B$33,'Inputs'!$B$29+'Inputs'!$B$31+'Inputs'!$B$32,'Inputs'!$B$30+'Inputs'!$B$31+'Inputs'!$B$32)/1000+'Inputs'!$B$21+'Inputs'!$B$7+'Inputs'!$B$10))/SQRT((((208-43)*MAX('Inputs'!$B$33,'Inputs'!$B$29+'Inputs'!$B$31+'Inputs'!$B$32,'Inputs'!$B$30+'Inputs'!$B$31+'Inputs'!$B$32)/1000+'Inputs'!$B$21+'Inputs'!$B$7+'Inputs'!$B$10))^2+('Inputs'!$B$8/2)^2))))*'Results'!$B$8)-'Inputs'!$B$28*ABS((('Results'!B7*(1-'Inputs'!$B$24)*(0.5*((((208-43)*MAX('Inputs'!$B$33,'Inputs'!$B$29+'Inputs'!$B$31+'Inputs'!$B$32,'Inputs'!$B$30+'Inputs'!$B$31+'Inputs'!$B$32)/1000+'Inputs'!$B$21)+'Inputs'!$B$7)/SQRT((((208-43)*MAX('Inputs'!$B$33,'Inputs'!$B$29+'Inputs'!$B$31+'Inputs'!$B$32,'Inputs'!$B$30+'Inputs'!$B$31+'Inputs'!$B$32)/1000+'Inputs'!$B$21)+'Inputs'!$B$7)^2+('Inputs'!$B$6/2)^2)-(((208-43)*MAX('Inputs'!$B$33,'Inputs'!$B$29+'Inputs'!$B$31+'Inputs'!$B$32,'Inputs'!$B$30+'Inputs'!$B$31+'Inputs'!$B$32)/1000+'Inputs'!$B$21))/SQRT((((208-43)*MAX('Inputs'!$B$33,'Inputs'!$B$29+'Inputs'!$B$31+'Inputs'!$B$32,'Inputs'!$B$30+'Inputs'!$B$31+'Inputs'!$B$32)/1000+'Inputs'!$B$21))^2+('Inputs'!$B$6/2)^2)))-'Results'!C7*(1+'Inputs'!$B$24)*(0.5*((((208-43)*MAX('Inputs'!$B$33,'Inputs'!$B$29+'Inputs'!$B$31+'Inputs'!$B$32,'Inputs'!$B$30+'Inputs'!$B$31+'Inputs'!$B$32)/1000+'Inputs'!$B$21+'Inputs'!$B$7+'Inputs'!$B$10)+'Inputs'!$B$9)/SQRT((((208-43)*MAX('Inputs'!$B$33,'Inputs'!$B$29+'Inputs'!$B$31+'Inputs'!$B$32,'Inputs'!$B$30+'Inputs'!$B$31+'Inputs'!$B$32)/1000+'Inputs'!$B$21+'Inputs'!$B$7+'Inputs'!$B$10)+'Inputs'!$B$9)^2+('Inputs'!$B$8/2)^2)-(((208-43)*MAX('Inputs'!$B$33,'Inputs'!$B$29+'Inputs'!$B$31+'Inputs'!$B$32,'Inputs'!$B$30+'Inputs'!$B$31+'Inputs'!$B$32)/1000+'Inputs'!$B$21+'Inputs'!$B$7+'Inputs'!$B$10))/SQRT((((208-43)*MAX('Inputs'!$B$33,'Inputs'!$B$29+'Inputs'!$B$31+'Inputs'!$B$32,'Inputs'!$B$30+'Inputs'!$B$31+'Inputs'!$B$32)/1000+'Inputs'!$B$21+'Inputs'!$B$7+'Inputs'!$B$10))^2+('Inputs'!$B$8/2)^2))))*'Results'!$B$8))),"")</x:f>
        <x:v>111.80011126723304</x:v>
      </x:c>
      <x:c r="L208" t="n">
        <x:f>IF(AND(ISNUMBER('Results'!B7),ISNUMBER('Results'!C7),ISNUMBER('Results'!$B$8),ISNUMBER('Inputs'!$B$6),ISNUMBER('Inputs'!$B$7),ISNUMBER('Inputs'!$B$8),ISNUMBER('Inputs'!$B$9),ISNUMBER('Inputs'!$B$10),ISNUMBER('Inputs'!$B$21),ISNUMBER('Inputs'!$B$24),ISNUMBER('Inputs'!$B$28)),((('Results'!B7*(1+'Inputs'!$B$24)*(0.5*((((208-43)*MAX('Inputs'!$B$33,'Inputs'!$B$29+'Inputs'!$B$31+'Inputs'!$B$32,'Inputs'!$B$30+'Inputs'!$B$31+'Inputs'!$B$32)/1000+'Inputs'!$B$21)+'Inputs'!$B$7)/SQRT((((208-43)*MAX('Inputs'!$B$33,'Inputs'!$B$29+'Inputs'!$B$31+'Inputs'!$B$32,'Inputs'!$B$30+'Inputs'!$B$31+'Inputs'!$B$32)/1000+'Inputs'!$B$21)+'Inputs'!$B$7)^2+('Inputs'!$B$6/2)^2)-(((208-43)*MAX('Inputs'!$B$33,'Inputs'!$B$29+'Inputs'!$B$31+'Inputs'!$B$32,'Inputs'!$B$30+'Inputs'!$B$31+'Inputs'!$B$32)/1000+'Inputs'!$B$21))/SQRT((((208-43)*MAX('Inputs'!$B$33,'Inputs'!$B$29+'Inputs'!$B$31+'Inputs'!$B$32,'Inputs'!$B$30+'Inputs'!$B$31+'Inputs'!$B$32)/1000+'Inputs'!$B$21))^2+('Inputs'!$B$6/2)^2)))-'Results'!C7*(1-'Inputs'!$B$24)*(0.5*((((208-43)*MAX('Inputs'!$B$33,'Inputs'!$B$29+'Inputs'!$B$31+'Inputs'!$B$32,'Inputs'!$B$30+'Inputs'!$B$31+'Inputs'!$B$32)/1000+'Inputs'!$B$21+'Inputs'!$B$7+'Inputs'!$B$10)+'Inputs'!$B$9)/SQRT((((208-43)*MAX('Inputs'!$B$33,'Inputs'!$B$29+'Inputs'!$B$31+'Inputs'!$B$32,'Inputs'!$B$30+'Inputs'!$B$31+'Inputs'!$B$32)/1000+'Inputs'!$B$21+'Inputs'!$B$7+'Inputs'!$B$10)+'Inputs'!$B$9)^2+('Inputs'!$B$8/2)^2)-(((208-43)*MAX('Inputs'!$B$33,'Inputs'!$B$29+'Inputs'!$B$31+'Inputs'!$B$32,'Inputs'!$B$30+'Inputs'!$B$31+'Inputs'!$B$32)/1000+'Inputs'!$B$21+'Inputs'!$B$7+'Inputs'!$B$10))/SQRT((((208-43)*MAX('Inputs'!$B$33,'Inputs'!$B$29+'Inputs'!$B$31+'Inputs'!$B$32,'Inputs'!$B$30+'Inputs'!$B$31+'Inputs'!$B$32)/1000+'Inputs'!$B$21+'Inputs'!$B$7+'Inputs'!$B$10))^2+('Inputs'!$B$8/2)^2))))*'Results'!$B$8)+'Inputs'!$B$28*ABS((('Results'!B7*(1+'Inputs'!$B$24)*(0.5*((((208-43)*MAX('Inputs'!$B$33,'Inputs'!$B$29+'Inputs'!$B$31+'Inputs'!$B$32,'Inputs'!$B$30+'Inputs'!$B$31+'Inputs'!$B$32)/1000+'Inputs'!$B$21)+'Inputs'!$B$7)/SQRT((((208-43)*MAX('Inputs'!$B$33,'Inputs'!$B$29+'Inputs'!$B$31+'Inputs'!$B$32,'Inputs'!$B$30+'Inputs'!$B$31+'Inputs'!$B$32)/1000+'Inputs'!$B$21)+'Inputs'!$B$7)^2+('Inputs'!$B$6/2)^2)-(((208-43)*MAX('Inputs'!$B$33,'Inputs'!$B$29+'Inputs'!$B$31+'Inputs'!$B$32,'Inputs'!$B$30+'Inputs'!$B$31+'Inputs'!$B$32)/1000+'Inputs'!$B$21))/SQRT((((208-43)*MAX('Inputs'!$B$33,'Inputs'!$B$29+'Inputs'!$B$31+'Inputs'!$B$32,'Inputs'!$B$30+'Inputs'!$B$31+'Inputs'!$B$32)/1000+'Inputs'!$B$21))^2+('Inputs'!$B$6/2)^2)))-'Results'!C7*(1-'Inputs'!$B$24)*(0.5*((((208-43)*MAX('Inputs'!$B$33,'Inputs'!$B$29+'Inputs'!$B$31+'Inputs'!$B$32,'Inputs'!$B$30+'Inputs'!$B$31+'Inputs'!$B$32)/1000+'Inputs'!$B$21+'Inputs'!$B$7+'Inputs'!$B$10)+'Inputs'!$B$9)/SQRT((((208-43)*MAX('Inputs'!$B$33,'Inputs'!$B$29+'Inputs'!$B$31+'Inputs'!$B$32,'Inputs'!$B$30+'Inputs'!$B$31+'Inputs'!$B$32)/1000+'Inputs'!$B$21+'Inputs'!$B$7+'Inputs'!$B$10)+'Inputs'!$B$9)^2+('Inputs'!$B$8/2)^2)-(((208-43)*MAX('Inputs'!$B$33,'Inputs'!$B$29+'Inputs'!$B$31+'Inputs'!$B$32,'Inputs'!$B$30+'Inputs'!$B$31+'Inputs'!$B$32)/1000+'Inputs'!$B$21+'Inputs'!$B$7+'Inputs'!$B$10))/SQRT((((208-43)*MAX('Inputs'!$B$33,'Inputs'!$B$29+'Inputs'!$B$31+'Inputs'!$B$32,'Inputs'!$B$30+'Inputs'!$B$31+'Inputs'!$B$32)/1000+'Inputs'!$B$21+'Inputs'!$B$7+'Inputs'!$B$10))^2+('Inputs'!$B$8/2)^2))))*'Results'!$B$8))),"")</x:f>
        <x:v>132.39744660425606</x:v>
      </x:c>
      <x:c r="M208" t="n">
        <x:f>IF(AND(ISNUMBER('Results'!C7),ISNUMBER('Results'!B7),ISNUMBER('Results'!$B$8),ISNUMBER('Inputs'!$B$6),ISNUMBER('Inputs'!$B$7),ISNUMBER('Inputs'!$B$8),ISNUMBER('Inputs'!$B$9),ISNUMBER('Inputs'!$B$10),ISNUMBER('Inputs'!$B$21),ISNUMBER('Inputs'!$B$24),ISNUMBER('Inputs'!$B$28)),(('Results'!C7*(0.5*((((208-43)*MAX('Inputs'!$B$33,'Inputs'!$B$29+'Inputs'!$B$31+'Inputs'!$B$32,'Inputs'!$B$30+'Inputs'!$B$31+'Inputs'!$B$32)/1000+'Inputs'!$B$21)+'Inputs'!$B$9)/SQRT((((208-43)*MAX('Inputs'!$B$33,'Inputs'!$B$29+'Inputs'!$B$31+'Inputs'!$B$32,'Inputs'!$B$30+'Inputs'!$B$31+'Inputs'!$B$32)/1000+'Inputs'!$B$21)+'Inputs'!$B$9)^2+('Inputs'!$B$8/2)^2)-(((208-43)*MAX('Inputs'!$B$33,'Inputs'!$B$29+'Inputs'!$B$31+'Inputs'!$B$32,'Inputs'!$B$30+'Inputs'!$B$31+'Inputs'!$B$32)/1000+'Inputs'!$B$21))/SQRT((((208-43)*MAX('Inputs'!$B$33,'Inputs'!$B$29+'Inputs'!$B$31+'Inputs'!$B$32,'Inputs'!$B$30+'Inputs'!$B$31+'Inputs'!$B$32)/1000+'Inputs'!$B$21))^2+('Inputs'!$B$8/2)^2)))-'Results'!B7*(0.5*((((208-43)*MAX('Inputs'!$B$33,'Inputs'!$B$29+'Inputs'!$B$31+'Inputs'!$B$32,'Inputs'!$B$30+'Inputs'!$B$31+'Inputs'!$B$32)/1000+'Inputs'!$B$21+'Inputs'!$B$9+'Inputs'!$B$10)+'Inputs'!$B$7)/SQRT((((208-43)*MAX('Inputs'!$B$33,'Inputs'!$B$29+'Inputs'!$B$31+'Inputs'!$B$32,'Inputs'!$B$30+'Inputs'!$B$31+'Inputs'!$B$32)/1000+'Inputs'!$B$21+'Inputs'!$B$9+'Inputs'!$B$10)+'Inputs'!$B$7)^2+('Inputs'!$B$6/2)^2)-(((208-43)*MAX('Inputs'!$B$33,'Inputs'!$B$29+'Inputs'!$B$31+'Inputs'!$B$32,'Inputs'!$B$30+'Inputs'!$B$31+'Inputs'!$B$32)/1000+'Inputs'!$B$21+'Inputs'!$B$9+'Inputs'!$B$10))/SQRT((((208-43)*MAX('Inputs'!$B$33,'Inputs'!$B$29+'Inputs'!$B$31+'Inputs'!$B$32,'Inputs'!$B$30+'Inputs'!$B$31+'Inputs'!$B$32)/1000+'Inputs'!$B$21+'Inputs'!$B$9+'Inputs'!$B$10))^2+('Inputs'!$B$6/2)^2))))*'Results'!$B$8),"")</x:f>
        <x:v>117.66630246624318</x:v>
      </x:c>
      <x:c r="N208" t="n">
        <x:f>IF(AND(ISNUMBER('Results'!C7),ISNUMBER('Results'!B7),ISNUMBER('Results'!$B$8),ISNUMBER('Inputs'!$B$6),ISNUMBER('Inputs'!$B$7),ISNUMBER('Inputs'!$B$8),ISNUMBER('Inputs'!$B$9),ISNUMBER('Inputs'!$B$10),ISNUMBER('Inputs'!$B$21),ISNUMBER('Inputs'!$B$24),ISNUMBER('Inputs'!$B$28)),((('Results'!C7*(1-'Inputs'!$B$24)*(0.5*((((208-43)*MAX('Inputs'!$B$33,'Inputs'!$B$29+'Inputs'!$B$31+'Inputs'!$B$32,'Inputs'!$B$30+'Inputs'!$B$31+'Inputs'!$B$32)/1000+'Inputs'!$B$21)+'Inputs'!$B$9)/SQRT((((208-43)*MAX('Inputs'!$B$33,'Inputs'!$B$29+'Inputs'!$B$31+'Inputs'!$B$32,'Inputs'!$B$30+'Inputs'!$B$31+'Inputs'!$B$32)/1000+'Inputs'!$B$21)+'Inputs'!$B$9)^2+('Inputs'!$B$8/2)^2)-(((208-43)*MAX('Inputs'!$B$33,'Inputs'!$B$29+'Inputs'!$B$31+'Inputs'!$B$32,'Inputs'!$B$30+'Inputs'!$B$31+'Inputs'!$B$32)/1000+'Inputs'!$B$21))/SQRT((((208-43)*MAX('Inputs'!$B$33,'Inputs'!$B$29+'Inputs'!$B$31+'Inputs'!$B$32,'Inputs'!$B$30+'Inputs'!$B$31+'Inputs'!$B$32)/1000+'Inputs'!$B$21))^2+('Inputs'!$B$8/2)^2)))-'Results'!B7*(1+'Inputs'!$B$24)*(0.5*((((208-43)*MAX('Inputs'!$B$33,'Inputs'!$B$29+'Inputs'!$B$31+'Inputs'!$B$32,'Inputs'!$B$30+'Inputs'!$B$31+'Inputs'!$B$32)/1000+'Inputs'!$B$21+'Inputs'!$B$9+'Inputs'!$B$10)+'Inputs'!$B$7)/SQRT((((208-43)*MAX('Inputs'!$B$33,'Inputs'!$B$29+'Inputs'!$B$31+'Inputs'!$B$32,'Inputs'!$B$30+'Inputs'!$B$31+'Inputs'!$B$32)/1000+'Inputs'!$B$21+'Inputs'!$B$9+'Inputs'!$B$10)+'Inputs'!$B$7)^2+('Inputs'!$B$6/2)^2)-(((208-43)*MAX('Inputs'!$B$33,'Inputs'!$B$29+'Inputs'!$B$31+'Inputs'!$B$32,'Inputs'!$B$30+'Inputs'!$B$31+'Inputs'!$B$32)/1000+'Inputs'!$B$21+'Inputs'!$B$9+'Inputs'!$B$10))/SQRT((((208-43)*MAX('Inputs'!$B$33,'Inputs'!$B$29+'Inputs'!$B$31+'Inputs'!$B$32,'Inputs'!$B$30+'Inputs'!$B$31+'Inputs'!$B$32)/1000+'Inputs'!$B$21+'Inputs'!$B$9+'Inputs'!$B$10))^2+('Inputs'!$B$6/2)^2))))*'Results'!$B$8)-'Inputs'!$B$28*ABS((('Results'!C7*(1-'Inputs'!$B$24)*(0.5*((((208-43)*MAX('Inputs'!$B$33,'Inputs'!$B$29+'Inputs'!$B$31+'Inputs'!$B$32,'Inputs'!$B$30+'Inputs'!$B$31+'Inputs'!$B$32)/1000+'Inputs'!$B$21)+'Inputs'!$B$9)/SQRT((((208-43)*MAX('Inputs'!$B$33,'Inputs'!$B$29+'Inputs'!$B$31+'Inputs'!$B$32,'Inputs'!$B$30+'Inputs'!$B$31+'Inputs'!$B$32)/1000+'Inputs'!$B$21)+'Inputs'!$B$9)^2+('Inputs'!$B$8/2)^2)-(((208-43)*MAX('Inputs'!$B$33,'Inputs'!$B$29+'Inputs'!$B$31+'Inputs'!$B$32,'Inputs'!$B$30+'Inputs'!$B$31+'Inputs'!$B$32)/1000+'Inputs'!$B$21))/SQRT((((208-43)*MAX('Inputs'!$B$33,'Inputs'!$B$29+'Inputs'!$B$31+'Inputs'!$B$32,'Inputs'!$B$30+'Inputs'!$B$31+'Inputs'!$B$32)/1000+'Inputs'!$B$21))^2+('Inputs'!$B$8/2)^2)))-'Results'!B7*(1+'Inputs'!$B$24)*(0.5*((((208-43)*MAX('Inputs'!$B$33,'Inputs'!$B$29+'Inputs'!$B$31+'Inputs'!$B$32,'Inputs'!$B$30+'Inputs'!$B$31+'Inputs'!$B$32)/1000+'Inputs'!$B$21+'Inputs'!$B$9+'Inputs'!$B$10)+'Inputs'!$B$7)/SQRT((((208-43)*MAX('Inputs'!$B$33,'Inputs'!$B$29+'Inputs'!$B$31+'Inputs'!$B$32,'Inputs'!$B$30+'Inputs'!$B$31+'Inputs'!$B$32)/1000+'Inputs'!$B$21+'Inputs'!$B$9+'Inputs'!$B$10)+'Inputs'!$B$7)^2+('Inputs'!$B$6/2)^2)-(((208-43)*MAX('Inputs'!$B$33,'Inputs'!$B$29+'Inputs'!$B$31+'Inputs'!$B$32,'Inputs'!$B$30+'Inputs'!$B$31+'Inputs'!$B$32)/1000+'Inputs'!$B$21+'Inputs'!$B$9+'Inputs'!$B$10))/SQRT((((208-43)*MAX('Inputs'!$B$33,'Inputs'!$B$29+'Inputs'!$B$31+'Inputs'!$B$32,'Inputs'!$B$30+'Inputs'!$B$31+'Inputs'!$B$32)/1000+'Inputs'!$B$21+'Inputs'!$B$9+'Inputs'!$B$10))^2+('Inputs'!$B$6/2)^2))))*'Results'!$B$8))),"")</x:f>
        <x:v>107.83493516587035</x:v>
      </x:c>
      <x:c r="O208" t="n">
        <x:f>IF(AND(ISNUMBER('Results'!C7),ISNUMBER('Results'!B7),ISNUMBER('Results'!$B$8),ISNUMBER('Inputs'!$B$6),ISNUMBER('Inputs'!$B$7),ISNUMBER('Inputs'!$B$8),ISNUMBER('Inputs'!$B$9),ISNUMBER('Inputs'!$B$10),ISNUMBER('Inputs'!$B$21),ISNUMBER('Inputs'!$B$24),ISNUMBER('Inputs'!$B$28)),((('Results'!C7*(1+'Inputs'!$B$24)*(0.5*((((208-43)*MAX('Inputs'!$B$33,'Inputs'!$B$29+'Inputs'!$B$31+'Inputs'!$B$32,'Inputs'!$B$30+'Inputs'!$B$31+'Inputs'!$B$32)/1000+'Inputs'!$B$21)+'Inputs'!$B$9)/SQRT((((208-43)*MAX('Inputs'!$B$33,'Inputs'!$B$29+'Inputs'!$B$31+'Inputs'!$B$32,'Inputs'!$B$30+'Inputs'!$B$31+'Inputs'!$B$32)/1000+'Inputs'!$B$21)+'Inputs'!$B$9)^2+('Inputs'!$B$8/2)^2)-(((208-43)*MAX('Inputs'!$B$33,'Inputs'!$B$29+'Inputs'!$B$31+'Inputs'!$B$32,'Inputs'!$B$30+'Inputs'!$B$31+'Inputs'!$B$32)/1000+'Inputs'!$B$21))/SQRT((((208-43)*MAX('Inputs'!$B$33,'Inputs'!$B$29+'Inputs'!$B$31+'Inputs'!$B$32,'Inputs'!$B$30+'Inputs'!$B$31+'Inputs'!$B$32)/1000+'Inputs'!$B$21))^2+('Inputs'!$B$8/2)^2)))-'Results'!B7*(1-'Inputs'!$B$24)*(0.5*((((208-43)*MAX('Inputs'!$B$33,'Inputs'!$B$29+'Inputs'!$B$31+'Inputs'!$B$32,'Inputs'!$B$30+'Inputs'!$B$31+'Inputs'!$B$32)/1000+'Inputs'!$B$21+'Inputs'!$B$9+'Inputs'!$B$10)+'Inputs'!$B$7)/SQRT((((208-43)*MAX('Inputs'!$B$33,'Inputs'!$B$29+'Inputs'!$B$31+'Inputs'!$B$32,'Inputs'!$B$30+'Inputs'!$B$31+'Inputs'!$B$32)/1000+'Inputs'!$B$21+'Inputs'!$B$9+'Inputs'!$B$10)+'Inputs'!$B$7)^2+('Inputs'!$B$6/2)^2)-(((208-43)*MAX('Inputs'!$B$33,'Inputs'!$B$29+'Inputs'!$B$31+'Inputs'!$B$32,'Inputs'!$B$30+'Inputs'!$B$31+'Inputs'!$B$32)/1000+'Inputs'!$B$21+'Inputs'!$B$9+'Inputs'!$B$10))/SQRT((((208-43)*MAX('Inputs'!$B$33,'Inputs'!$B$29+'Inputs'!$B$31+'Inputs'!$B$32,'Inputs'!$B$30+'Inputs'!$B$31+'Inputs'!$B$32)/1000+'Inputs'!$B$21+'Inputs'!$B$9+'Inputs'!$B$10))^2+('Inputs'!$B$6/2)^2))))*'Results'!$B$8)+'Inputs'!$B$28*ABS((('Results'!C7*(1+'Inputs'!$B$24)*(0.5*((((208-43)*MAX('Inputs'!$B$33,'Inputs'!$B$29+'Inputs'!$B$31+'Inputs'!$B$32,'Inputs'!$B$30+'Inputs'!$B$31+'Inputs'!$B$32)/1000+'Inputs'!$B$21)+'Inputs'!$B$9)/SQRT((((208-43)*MAX('Inputs'!$B$33,'Inputs'!$B$29+'Inputs'!$B$31+'Inputs'!$B$32,'Inputs'!$B$30+'Inputs'!$B$31+'Inputs'!$B$32)/1000+'Inputs'!$B$21)+'Inputs'!$B$9)^2+('Inputs'!$B$8/2)^2)-(((208-43)*MAX('Inputs'!$B$33,'Inputs'!$B$29+'Inputs'!$B$31+'Inputs'!$B$32,'Inputs'!$B$30+'Inputs'!$B$31+'Inputs'!$B$32)/1000+'Inputs'!$B$21))/SQRT((((208-43)*MAX('Inputs'!$B$33,'Inputs'!$B$29+'Inputs'!$B$31+'Inputs'!$B$32,'Inputs'!$B$30+'Inputs'!$B$31+'Inputs'!$B$32)/1000+'Inputs'!$B$21))^2+('Inputs'!$B$8/2)^2)))-'Results'!B7*(1-'Inputs'!$B$24)*(0.5*((((208-43)*MAX('Inputs'!$B$33,'Inputs'!$B$29+'Inputs'!$B$31+'Inputs'!$B$32,'Inputs'!$B$30+'Inputs'!$B$31+'Inputs'!$B$32)/1000+'Inputs'!$B$21+'Inputs'!$B$9+'Inputs'!$B$10)+'Inputs'!$B$7)/SQRT((((208-43)*MAX('Inputs'!$B$33,'Inputs'!$B$29+'Inputs'!$B$31+'Inputs'!$B$32,'Inputs'!$B$30+'Inputs'!$B$31+'Inputs'!$B$32)/1000+'Inputs'!$B$21+'Inputs'!$B$9+'Inputs'!$B$10)+'Inputs'!$B$7)^2+('Inputs'!$B$6/2)^2)-(((208-43)*MAX('Inputs'!$B$33,'Inputs'!$B$29+'Inputs'!$B$31+'Inputs'!$B$32,'Inputs'!$B$30+'Inputs'!$B$31+'Inputs'!$B$32)/1000+'Inputs'!$B$21+'Inputs'!$B$9+'Inputs'!$B$10))/SQRT((((208-43)*MAX('Inputs'!$B$33,'Inputs'!$B$29+'Inputs'!$B$31+'Inputs'!$B$32,'Inputs'!$B$30+'Inputs'!$B$31+'Inputs'!$B$32)/1000+'Inputs'!$B$21+'Inputs'!$B$9+'Inputs'!$B$10))^2+('Inputs'!$B$6/2)^2))))*'Results'!$B$8))),"")</x:f>
        <x:v>127.9132542063066</x:v>
      </x:c>
      <x:c r="P208" t="n">
        <x:f>IF(AND(MAX(J208,J207)&gt;0,J208&gt;J207+0.00000001),1,0)</x:f>
        <x:v>0</x:v>
      </x:c>
      <x:c r="Q208" t="n">
        <x:f>IF(AND(MAX(K208,K207)&gt;0,K208&gt;K207+0.00000001),1,0)</x:f>
        <x:v>0</x:v>
      </x:c>
      <x:c r="R208" t="n">
        <x:f>IF(AND(MAX(L208,L207)&gt;0,L208&gt;L207+0.00000001),1,0)</x:f>
        <x:v>0</x:v>
      </x:c>
      <x:c r="S208" t="n">
        <x:f>IF(AND(MAX(M208,M207)&gt;0,M208&gt;M207+0.00000001),1,0)</x:f>
        <x:v>0</x:v>
      </x:c>
      <x:c r="T208" t="n">
        <x:f>IF(AND(MAX(N208,N207)&gt;0,N208&gt;N207+0.00000001),1,0)</x:f>
        <x:v>0</x:v>
      </x:c>
      <x:c r="U208" t="n">
        <x:f>IF(AND(MAX(O208,O207)&gt;0,O208&gt;O207+0.00000001),1,0)</x:f>
        <x:v>0</x:v>
      </x:c>
    </x:row>
    <x:row r="209">
      <x:c r="J209" t="n">
        <x:f>IF(AND(ISNUMBER('Results'!B7),ISNUMBER('Results'!C7),ISNUMBER('Results'!$B$8),ISNUMBER('Inputs'!$B$6),ISNUMBER('Inputs'!$B$7),ISNUMBER('Inputs'!$B$8),ISNUMBER('Inputs'!$B$9),ISNUMBER('Inputs'!$B$10),ISNUMBER('Inputs'!$B$21),ISNUMBER('Inputs'!$B$24),ISNUMBER('Inputs'!$B$28)),(('Results'!B7*(0.5*((((209-43)*MAX('Inputs'!$B$33,'Inputs'!$B$29+'Inputs'!$B$31+'Inputs'!$B$32,'Inputs'!$B$30+'Inputs'!$B$31+'Inputs'!$B$32)/1000+'Inputs'!$B$21)+'Inputs'!$B$7)/SQRT((((209-43)*MAX('Inputs'!$B$33,'Inputs'!$B$29+'Inputs'!$B$31+'Inputs'!$B$32,'Inputs'!$B$30+'Inputs'!$B$31+'Inputs'!$B$32)/1000+'Inputs'!$B$21)+'Inputs'!$B$7)^2+('Inputs'!$B$6/2)^2)-(((209-43)*MAX('Inputs'!$B$33,'Inputs'!$B$29+'Inputs'!$B$31+'Inputs'!$B$32,'Inputs'!$B$30+'Inputs'!$B$31+'Inputs'!$B$32)/1000+'Inputs'!$B$21))/SQRT((((209-43)*MAX('Inputs'!$B$33,'Inputs'!$B$29+'Inputs'!$B$31+'Inputs'!$B$32,'Inputs'!$B$30+'Inputs'!$B$31+'Inputs'!$B$32)/1000+'Inputs'!$B$21))^2+('Inputs'!$B$6/2)^2)))-'Results'!C7*(0.5*((((209-43)*MAX('Inputs'!$B$33,'Inputs'!$B$29+'Inputs'!$B$31+'Inputs'!$B$32,'Inputs'!$B$30+'Inputs'!$B$31+'Inputs'!$B$32)/1000+'Inputs'!$B$21+'Inputs'!$B$7+'Inputs'!$B$10)+'Inputs'!$B$9)/SQRT((((209-43)*MAX('Inputs'!$B$33,'Inputs'!$B$29+'Inputs'!$B$31+'Inputs'!$B$32,'Inputs'!$B$30+'Inputs'!$B$31+'Inputs'!$B$32)/1000+'Inputs'!$B$21+'Inputs'!$B$7+'Inputs'!$B$10)+'Inputs'!$B$9)^2+('Inputs'!$B$8/2)^2)-(((209-43)*MAX('Inputs'!$B$33,'Inputs'!$B$29+'Inputs'!$B$31+'Inputs'!$B$32,'Inputs'!$B$30+'Inputs'!$B$31+'Inputs'!$B$32)/1000+'Inputs'!$B$21+'Inputs'!$B$7+'Inputs'!$B$10))/SQRT((((209-43)*MAX('Inputs'!$B$33,'Inputs'!$B$29+'Inputs'!$B$31+'Inputs'!$B$32,'Inputs'!$B$30+'Inputs'!$B$31+'Inputs'!$B$32)/1000+'Inputs'!$B$21+'Inputs'!$B$7+'Inputs'!$B$10))^2+('Inputs'!$B$8/2)^2))))*'Results'!$B$8),"")</x:f>
        <x:v>120.02778501190116</x:v>
      </x:c>
      <x:c r="K209" t="n">
        <x:f>IF(AND(ISNUMBER('Results'!B7),ISNUMBER('Results'!C7),ISNUMBER('Results'!$B$8),ISNUMBER('Inputs'!$B$6),ISNUMBER('Inputs'!$B$7),ISNUMBER('Inputs'!$B$8),ISNUMBER('Inputs'!$B$9),ISNUMBER('Inputs'!$B$10),ISNUMBER('Inputs'!$B$21),ISNUMBER('Inputs'!$B$24),ISNUMBER('Inputs'!$B$28)),((('Results'!B7*(1-'Inputs'!$B$24)*(0.5*((((209-43)*MAX('Inputs'!$B$33,'Inputs'!$B$29+'Inputs'!$B$31+'Inputs'!$B$32,'Inputs'!$B$30+'Inputs'!$B$31+'Inputs'!$B$32)/1000+'Inputs'!$B$21)+'Inputs'!$B$7)/SQRT((((209-43)*MAX('Inputs'!$B$33,'Inputs'!$B$29+'Inputs'!$B$31+'Inputs'!$B$32,'Inputs'!$B$30+'Inputs'!$B$31+'Inputs'!$B$32)/1000+'Inputs'!$B$21)+'Inputs'!$B$7)^2+('Inputs'!$B$6/2)^2)-(((209-43)*MAX('Inputs'!$B$33,'Inputs'!$B$29+'Inputs'!$B$31+'Inputs'!$B$32,'Inputs'!$B$30+'Inputs'!$B$31+'Inputs'!$B$32)/1000+'Inputs'!$B$21))/SQRT((((209-43)*MAX('Inputs'!$B$33,'Inputs'!$B$29+'Inputs'!$B$31+'Inputs'!$B$32,'Inputs'!$B$30+'Inputs'!$B$31+'Inputs'!$B$32)/1000+'Inputs'!$B$21))^2+('Inputs'!$B$6/2)^2)))-'Results'!C7*(1+'Inputs'!$B$24)*(0.5*((((209-43)*MAX('Inputs'!$B$33,'Inputs'!$B$29+'Inputs'!$B$31+'Inputs'!$B$32,'Inputs'!$B$30+'Inputs'!$B$31+'Inputs'!$B$32)/1000+'Inputs'!$B$21+'Inputs'!$B$7+'Inputs'!$B$10)+'Inputs'!$B$9)/SQRT((((209-43)*MAX('Inputs'!$B$33,'Inputs'!$B$29+'Inputs'!$B$31+'Inputs'!$B$32,'Inputs'!$B$30+'Inputs'!$B$31+'Inputs'!$B$32)/1000+'Inputs'!$B$21+'Inputs'!$B$7+'Inputs'!$B$10)+'Inputs'!$B$9)^2+('Inputs'!$B$8/2)^2)-(((209-43)*MAX('Inputs'!$B$33,'Inputs'!$B$29+'Inputs'!$B$31+'Inputs'!$B$32,'Inputs'!$B$30+'Inputs'!$B$31+'Inputs'!$B$32)/1000+'Inputs'!$B$21+'Inputs'!$B$7+'Inputs'!$B$10))/SQRT((((209-43)*MAX('Inputs'!$B$33,'Inputs'!$B$29+'Inputs'!$B$31+'Inputs'!$B$32,'Inputs'!$B$30+'Inputs'!$B$31+'Inputs'!$B$32)/1000+'Inputs'!$B$21+'Inputs'!$B$7+'Inputs'!$B$10))^2+('Inputs'!$B$8/2)^2))))*'Results'!$B$8)-'Inputs'!$B$28*ABS((('Results'!B7*(1-'Inputs'!$B$24)*(0.5*((((209-43)*MAX('Inputs'!$B$33,'Inputs'!$B$29+'Inputs'!$B$31+'Inputs'!$B$32,'Inputs'!$B$30+'Inputs'!$B$31+'Inputs'!$B$32)/1000+'Inputs'!$B$21)+'Inputs'!$B$7)/SQRT((((209-43)*MAX('Inputs'!$B$33,'Inputs'!$B$29+'Inputs'!$B$31+'Inputs'!$B$32,'Inputs'!$B$30+'Inputs'!$B$31+'Inputs'!$B$32)/1000+'Inputs'!$B$21)+'Inputs'!$B$7)^2+('Inputs'!$B$6/2)^2)-(((209-43)*MAX('Inputs'!$B$33,'Inputs'!$B$29+'Inputs'!$B$31+'Inputs'!$B$32,'Inputs'!$B$30+'Inputs'!$B$31+'Inputs'!$B$32)/1000+'Inputs'!$B$21))/SQRT((((209-43)*MAX('Inputs'!$B$33,'Inputs'!$B$29+'Inputs'!$B$31+'Inputs'!$B$32,'Inputs'!$B$30+'Inputs'!$B$31+'Inputs'!$B$32)/1000+'Inputs'!$B$21))^2+('Inputs'!$B$6/2)^2)))-'Results'!C7*(1+'Inputs'!$B$24)*(0.5*((((209-43)*MAX('Inputs'!$B$33,'Inputs'!$B$29+'Inputs'!$B$31+'Inputs'!$B$32,'Inputs'!$B$30+'Inputs'!$B$31+'Inputs'!$B$32)/1000+'Inputs'!$B$21+'Inputs'!$B$7+'Inputs'!$B$10)+'Inputs'!$B$9)/SQRT((((209-43)*MAX('Inputs'!$B$33,'Inputs'!$B$29+'Inputs'!$B$31+'Inputs'!$B$32,'Inputs'!$B$30+'Inputs'!$B$31+'Inputs'!$B$32)/1000+'Inputs'!$B$21+'Inputs'!$B$7+'Inputs'!$B$10)+'Inputs'!$B$9)^2+('Inputs'!$B$8/2)^2)-(((209-43)*MAX('Inputs'!$B$33,'Inputs'!$B$29+'Inputs'!$B$31+'Inputs'!$B$32,'Inputs'!$B$30+'Inputs'!$B$31+'Inputs'!$B$32)/1000+'Inputs'!$B$21+'Inputs'!$B$7+'Inputs'!$B$10))/SQRT((((209-43)*MAX('Inputs'!$B$33,'Inputs'!$B$29+'Inputs'!$B$31+'Inputs'!$B$32,'Inputs'!$B$30+'Inputs'!$B$31+'Inputs'!$B$32)/1000+'Inputs'!$B$21+'Inputs'!$B$7+'Inputs'!$B$10))^2+('Inputs'!$B$8/2)^2))))*'Results'!$B$8))),"")</x:f>
        <x:v>110.0834033499356</x:v>
      </x:c>
      <x:c r="L209" t="n">
        <x:f>IF(AND(ISNUMBER('Results'!B7),ISNUMBER('Results'!C7),ISNUMBER('Results'!$B$8),ISNUMBER('Inputs'!$B$6),ISNUMBER('Inputs'!$B$7),ISNUMBER('Inputs'!$B$8),ISNUMBER('Inputs'!$B$9),ISNUMBER('Inputs'!$B$10),ISNUMBER('Inputs'!$B$21),ISNUMBER('Inputs'!$B$24),ISNUMBER('Inputs'!$B$28)),((('Results'!B7*(1+'Inputs'!$B$24)*(0.5*((((209-43)*MAX('Inputs'!$B$33,'Inputs'!$B$29+'Inputs'!$B$31+'Inputs'!$B$32,'Inputs'!$B$30+'Inputs'!$B$31+'Inputs'!$B$32)/1000+'Inputs'!$B$21)+'Inputs'!$B$7)/SQRT((((209-43)*MAX('Inputs'!$B$33,'Inputs'!$B$29+'Inputs'!$B$31+'Inputs'!$B$32,'Inputs'!$B$30+'Inputs'!$B$31+'Inputs'!$B$32)/1000+'Inputs'!$B$21)+'Inputs'!$B$7)^2+('Inputs'!$B$6/2)^2)-(((209-43)*MAX('Inputs'!$B$33,'Inputs'!$B$29+'Inputs'!$B$31+'Inputs'!$B$32,'Inputs'!$B$30+'Inputs'!$B$31+'Inputs'!$B$32)/1000+'Inputs'!$B$21))/SQRT((((209-43)*MAX('Inputs'!$B$33,'Inputs'!$B$29+'Inputs'!$B$31+'Inputs'!$B$32,'Inputs'!$B$30+'Inputs'!$B$31+'Inputs'!$B$32)/1000+'Inputs'!$B$21))^2+('Inputs'!$B$6/2)^2)))-'Results'!C7*(1-'Inputs'!$B$24)*(0.5*((((209-43)*MAX('Inputs'!$B$33,'Inputs'!$B$29+'Inputs'!$B$31+'Inputs'!$B$32,'Inputs'!$B$30+'Inputs'!$B$31+'Inputs'!$B$32)/1000+'Inputs'!$B$21+'Inputs'!$B$7+'Inputs'!$B$10)+'Inputs'!$B$9)/SQRT((((209-43)*MAX('Inputs'!$B$33,'Inputs'!$B$29+'Inputs'!$B$31+'Inputs'!$B$32,'Inputs'!$B$30+'Inputs'!$B$31+'Inputs'!$B$32)/1000+'Inputs'!$B$21+'Inputs'!$B$7+'Inputs'!$B$10)+'Inputs'!$B$9)^2+('Inputs'!$B$8/2)^2)-(((209-43)*MAX('Inputs'!$B$33,'Inputs'!$B$29+'Inputs'!$B$31+'Inputs'!$B$32,'Inputs'!$B$30+'Inputs'!$B$31+'Inputs'!$B$32)/1000+'Inputs'!$B$21+'Inputs'!$B$7+'Inputs'!$B$10))/SQRT((((209-43)*MAX('Inputs'!$B$33,'Inputs'!$B$29+'Inputs'!$B$31+'Inputs'!$B$32,'Inputs'!$B$30+'Inputs'!$B$31+'Inputs'!$B$32)/1000+'Inputs'!$B$21+'Inputs'!$B$7+'Inputs'!$B$10))^2+('Inputs'!$B$8/2)^2))))*'Results'!$B$8)+'Inputs'!$B$28*ABS((('Results'!B7*(1+'Inputs'!$B$24)*(0.5*((((209-43)*MAX('Inputs'!$B$33,'Inputs'!$B$29+'Inputs'!$B$31+'Inputs'!$B$32,'Inputs'!$B$30+'Inputs'!$B$31+'Inputs'!$B$32)/1000+'Inputs'!$B$21)+'Inputs'!$B$7)/SQRT((((209-43)*MAX('Inputs'!$B$33,'Inputs'!$B$29+'Inputs'!$B$31+'Inputs'!$B$32,'Inputs'!$B$30+'Inputs'!$B$31+'Inputs'!$B$32)/1000+'Inputs'!$B$21)+'Inputs'!$B$7)^2+('Inputs'!$B$6/2)^2)-(((209-43)*MAX('Inputs'!$B$33,'Inputs'!$B$29+'Inputs'!$B$31+'Inputs'!$B$32,'Inputs'!$B$30+'Inputs'!$B$31+'Inputs'!$B$32)/1000+'Inputs'!$B$21))/SQRT((((209-43)*MAX('Inputs'!$B$33,'Inputs'!$B$29+'Inputs'!$B$31+'Inputs'!$B$32,'Inputs'!$B$30+'Inputs'!$B$31+'Inputs'!$B$32)/1000+'Inputs'!$B$21))^2+('Inputs'!$B$6/2)^2)))-'Results'!C7*(1-'Inputs'!$B$24)*(0.5*((((209-43)*MAX('Inputs'!$B$33,'Inputs'!$B$29+'Inputs'!$B$31+'Inputs'!$B$32,'Inputs'!$B$30+'Inputs'!$B$31+'Inputs'!$B$32)/1000+'Inputs'!$B$21+'Inputs'!$B$7+'Inputs'!$B$10)+'Inputs'!$B$9)/SQRT((((209-43)*MAX('Inputs'!$B$33,'Inputs'!$B$29+'Inputs'!$B$31+'Inputs'!$B$32,'Inputs'!$B$30+'Inputs'!$B$31+'Inputs'!$B$32)/1000+'Inputs'!$B$21+'Inputs'!$B$7+'Inputs'!$B$10)+'Inputs'!$B$9)^2+('Inputs'!$B$8/2)^2)-(((209-43)*MAX('Inputs'!$B$33,'Inputs'!$B$29+'Inputs'!$B$31+'Inputs'!$B$32,'Inputs'!$B$30+'Inputs'!$B$31+'Inputs'!$B$32)/1000+'Inputs'!$B$21+'Inputs'!$B$7+'Inputs'!$B$10))/SQRT((((209-43)*MAX('Inputs'!$B$33,'Inputs'!$B$29+'Inputs'!$B$31+'Inputs'!$B$32,'Inputs'!$B$30+'Inputs'!$B$31+'Inputs'!$B$32)/1000+'Inputs'!$B$21+'Inputs'!$B$7+'Inputs'!$B$10))^2+('Inputs'!$B$8/2)^2))))*'Results'!$B$8))),"")</x:f>
        <x:v>130.38721850664254</x:v>
      </x:c>
      <x:c r="M209" t="n">
        <x:f>IF(AND(ISNUMBER('Results'!C7),ISNUMBER('Results'!B7),ISNUMBER('Results'!$B$8),ISNUMBER('Inputs'!$B$6),ISNUMBER('Inputs'!$B$7),ISNUMBER('Inputs'!$B$8),ISNUMBER('Inputs'!$B$9),ISNUMBER('Inputs'!$B$10),ISNUMBER('Inputs'!$B$21),ISNUMBER('Inputs'!$B$24),ISNUMBER('Inputs'!$B$28)),(('Results'!C7*(0.5*((((209-43)*MAX('Inputs'!$B$33,'Inputs'!$B$29+'Inputs'!$B$31+'Inputs'!$B$32,'Inputs'!$B$30+'Inputs'!$B$31+'Inputs'!$B$32)/1000+'Inputs'!$B$21)+'Inputs'!$B$9)/SQRT((((209-43)*MAX('Inputs'!$B$33,'Inputs'!$B$29+'Inputs'!$B$31+'Inputs'!$B$32,'Inputs'!$B$30+'Inputs'!$B$31+'Inputs'!$B$32)/1000+'Inputs'!$B$21)+'Inputs'!$B$9)^2+('Inputs'!$B$8/2)^2)-(((209-43)*MAX('Inputs'!$B$33,'Inputs'!$B$29+'Inputs'!$B$31+'Inputs'!$B$32,'Inputs'!$B$30+'Inputs'!$B$31+'Inputs'!$B$32)/1000+'Inputs'!$B$21))/SQRT((((209-43)*MAX('Inputs'!$B$33,'Inputs'!$B$29+'Inputs'!$B$31+'Inputs'!$B$32,'Inputs'!$B$30+'Inputs'!$B$31+'Inputs'!$B$32)/1000+'Inputs'!$B$21))^2+('Inputs'!$B$8/2)^2)))-'Results'!B7*(0.5*((((209-43)*MAX('Inputs'!$B$33,'Inputs'!$B$29+'Inputs'!$B$31+'Inputs'!$B$32,'Inputs'!$B$30+'Inputs'!$B$31+'Inputs'!$B$32)/1000+'Inputs'!$B$21+'Inputs'!$B$9+'Inputs'!$B$10)+'Inputs'!$B$7)/SQRT((((209-43)*MAX('Inputs'!$B$33,'Inputs'!$B$29+'Inputs'!$B$31+'Inputs'!$B$32,'Inputs'!$B$30+'Inputs'!$B$31+'Inputs'!$B$32)/1000+'Inputs'!$B$21+'Inputs'!$B$9+'Inputs'!$B$10)+'Inputs'!$B$7)^2+('Inputs'!$B$6/2)^2)-(((209-43)*MAX('Inputs'!$B$33,'Inputs'!$B$29+'Inputs'!$B$31+'Inputs'!$B$32,'Inputs'!$B$30+'Inputs'!$B$31+'Inputs'!$B$32)/1000+'Inputs'!$B$21+'Inputs'!$B$9+'Inputs'!$B$10))/SQRT((((209-43)*MAX('Inputs'!$B$33,'Inputs'!$B$29+'Inputs'!$B$31+'Inputs'!$B$32,'Inputs'!$B$30+'Inputs'!$B$31+'Inputs'!$B$32)/1000+'Inputs'!$B$21+'Inputs'!$B$9+'Inputs'!$B$10))^2+('Inputs'!$B$6/2)^2))))*'Results'!$B$8),"")</x:f>
        <x:v>115.85940992263743</x:v>
      </x:c>
      <x:c r="N209" t="n">
        <x:f>IF(AND(ISNUMBER('Results'!C7),ISNUMBER('Results'!B7),ISNUMBER('Results'!$B$8),ISNUMBER('Inputs'!$B$6),ISNUMBER('Inputs'!$B$7),ISNUMBER('Inputs'!$B$8),ISNUMBER('Inputs'!$B$9),ISNUMBER('Inputs'!$B$10),ISNUMBER('Inputs'!$B$21),ISNUMBER('Inputs'!$B$24),ISNUMBER('Inputs'!$B$28)),((('Results'!C7*(1-'Inputs'!$B$24)*(0.5*((((209-43)*MAX('Inputs'!$B$33,'Inputs'!$B$29+'Inputs'!$B$31+'Inputs'!$B$32,'Inputs'!$B$30+'Inputs'!$B$31+'Inputs'!$B$32)/1000+'Inputs'!$B$21)+'Inputs'!$B$9)/SQRT((((209-43)*MAX('Inputs'!$B$33,'Inputs'!$B$29+'Inputs'!$B$31+'Inputs'!$B$32,'Inputs'!$B$30+'Inputs'!$B$31+'Inputs'!$B$32)/1000+'Inputs'!$B$21)+'Inputs'!$B$9)^2+('Inputs'!$B$8/2)^2)-(((209-43)*MAX('Inputs'!$B$33,'Inputs'!$B$29+'Inputs'!$B$31+'Inputs'!$B$32,'Inputs'!$B$30+'Inputs'!$B$31+'Inputs'!$B$32)/1000+'Inputs'!$B$21))/SQRT((((209-43)*MAX('Inputs'!$B$33,'Inputs'!$B$29+'Inputs'!$B$31+'Inputs'!$B$32,'Inputs'!$B$30+'Inputs'!$B$31+'Inputs'!$B$32)/1000+'Inputs'!$B$21))^2+('Inputs'!$B$8/2)^2)))-'Results'!B7*(1+'Inputs'!$B$24)*(0.5*((((209-43)*MAX('Inputs'!$B$33,'Inputs'!$B$29+'Inputs'!$B$31+'Inputs'!$B$32,'Inputs'!$B$30+'Inputs'!$B$31+'Inputs'!$B$32)/1000+'Inputs'!$B$21+'Inputs'!$B$9+'Inputs'!$B$10)+'Inputs'!$B$7)/SQRT((((209-43)*MAX('Inputs'!$B$33,'Inputs'!$B$29+'Inputs'!$B$31+'Inputs'!$B$32,'Inputs'!$B$30+'Inputs'!$B$31+'Inputs'!$B$32)/1000+'Inputs'!$B$21+'Inputs'!$B$9+'Inputs'!$B$10)+'Inputs'!$B$7)^2+('Inputs'!$B$6/2)^2)-(((209-43)*MAX('Inputs'!$B$33,'Inputs'!$B$29+'Inputs'!$B$31+'Inputs'!$B$32,'Inputs'!$B$30+'Inputs'!$B$31+'Inputs'!$B$32)/1000+'Inputs'!$B$21+'Inputs'!$B$9+'Inputs'!$B$10))/SQRT((((209-43)*MAX('Inputs'!$B$33,'Inputs'!$B$29+'Inputs'!$B$31+'Inputs'!$B$32,'Inputs'!$B$30+'Inputs'!$B$31+'Inputs'!$B$32)/1000+'Inputs'!$B$21+'Inputs'!$B$9+'Inputs'!$B$10))^2+('Inputs'!$B$6/2)^2))))*'Results'!$B$8)-'Inputs'!$B$28*ABS((('Results'!C7*(1-'Inputs'!$B$24)*(0.5*((((209-43)*MAX('Inputs'!$B$33,'Inputs'!$B$29+'Inputs'!$B$31+'Inputs'!$B$32,'Inputs'!$B$30+'Inputs'!$B$31+'Inputs'!$B$32)/1000+'Inputs'!$B$21)+'Inputs'!$B$9)/SQRT((((209-43)*MAX('Inputs'!$B$33,'Inputs'!$B$29+'Inputs'!$B$31+'Inputs'!$B$32,'Inputs'!$B$30+'Inputs'!$B$31+'Inputs'!$B$32)/1000+'Inputs'!$B$21)+'Inputs'!$B$9)^2+('Inputs'!$B$8/2)^2)-(((209-43)*MAX('Inputs'!$B$33,'Inputs'!$B$29+'Inputs'!$B$31+'Inputs'!$B$32,'Inputs'!$B$30+'Inputs'!$B$31+'Inputs'!$B$32)/1000+'Inputs'!$B$21))/SQRT((((209-43)*MAX('Inputs'!$B$33,'Inputs'!$B$29+'Inputs'!$B$31+'Inputs'!$B$32,'Inputs'!$B$30+'Inputs'!$B$31+'Inputs'!$B$32)/1000+'Inputs'!$B$21))^2+('Inputs'!$B$8/2)^2)))-'Results'!B7*(1+'Inputs'!$B$24)*(0.5*((((209-43)*MAX('Inputs'!$B$33,'Inputs'!$B$29+'Inputs'!$B$31+'Inputs'!$B$32,'Inputs'!$B$30+'Inputs'!$B$31+'Inputs'!$B$32)/1000+'Inputs'!$B$21+'Inputs'!$B$9+'Inputs'!$B$10)+'Inputs'!$B$7)/SQRT((((209-43)*MAX('Inputs'!$B$33,'Inputs'!$B$29+'Inputs'!$B$31+'Inputs'!$B$32,'Inputs'!$B$30+'Inputs'!$B$31+'Inputs'!$B$32)/1000+'Inputs'!$B$21+'Inputs'!$B$9+'Inputs'!$B$10)+'Inputs'!$B$7)^2+('Inputs'!$B$6/2)^2)-(((209-43)*MAX('Inputs'!$B$33,'Inputs'!$B$29+'Inputs'!$B$31+'Inputs'!$B$32,'Inputs'!$B$30+'Inputs'!$B$31+'Inputs'!$B$32)/1000+'Inputs'!$B$21+'Inputs'!$B$9+'Inputs'!$B$10))/SQRT((((209-43)*MAX('Inputs'!$B$33,'Inputs'!$B$29+'Inputs'!$B$31+'Inputs'!$B$32,'Inputs'!$B$30+'Inputs'!$B$31+'Inputs'!$B$32)/1000+'Inputs'!$B$21+'Inputs'!$B$9+'Inputs'!$B$10))^2+('Inputs'!$B$6/2)^2))))*'Results'!$B$8))),"")</x:f>
        <x:v>106.16871829497094</x:v>
      </x:c>
      <x:c r="O209" t="n">
        <x:f>IF(AND(ISNUMBER('Results'!C7),ISNUMBER('Results'!B7),ISNUMBER('Results'!$B$8),ISNUMBER('Inputs'!$B$6),ISNUMBER('Inputs'!$B$7),ISNUMBER('Inputs'!$B$8),ISNUMBER('Inputs'!$B$9),ISNUMBER('Inputs'!$B$10),ISNUMBER('Inputs'!$B$21),ISNUMBER('Inputs'!$B$24),ISNUMBER('Inputs'!$B$28)),((('Results'!C7*(1+'Inputs'!$B$24)*(0.5*((((209-43)*MAX('Inputs'!$B$33,'Inputs'!$B$29+'Inputs'!$B$31+'Inputs'!$B$32,'Inputs'!$B$30+'Inputs'!$B$31+'Inputs'!$B$32)/1000+'Inputs'!$B$21)+'Inputs'!$B$9)/SQRT((((209-43)*MAX('Inputs'!$B$33,'Inputs'!$B$29+'Inputs'!$B$31+'Inputs'!$B$32,'Inputs'!$B$30+'Inputs'!$B$31+'Inputs'!$B$32)/1000+'Inputs'!$B$21)+'Inputs'!$B$9)^2+('Inputs'!$B$8/2)^2)-(((209-43)*MAX('Inputs'!$B$33,'Inputs'!$B$29+'Inputs'!$B$31+'Inputs'!$B$32,'Inputs'!$B$30+'Inputs'!$B$31+'Inputs'!$B$32)/1000+'Inputs'!$B$21))/SQRT((((209-43)*MAX('Inputs'!$B$33,'Inputs'!$B$29+'Inputs'!$B$31+'Inputs'!$B$32,'Inputs'!$B$30+'Inputs'!$B$31+'Inputs'!$B$32)/1000+'Inputs'!$B$21))^2+('Inputs'!$B$8/2)^2)))-'Results'!B7*(1-'Inputs'!$B$24)*(0.5*((((209-43)*MAX('Inputs'!$B$33,'Inputs'!$B$29+'Inputs'!$B$31+'Inputs'!$B$32,'Inputs'!$B$30+'Inputs'!$B$31+'Inputs'!$B$32)/1000+'Inputs'!$B$21+'Inputs'!$B$9+'Inputs'!$B$10)+'Inputs'!$B$7)/SQRT((((209-43)*MAX('Inputs'!$B$33,'Inputs'!$B$29+'Inputs'!$B$31+'Inputs'!$B$32,'Inputs'!$B$30+'Inputs'!$B$31+'Inputs'!$B$32)/1000+'Inputs'!$B$21+'Inputs'!$B$9+'Inputs'!$B$10)+'Inputs'!$B$7)^2+('Inputs'!$B$6/2)^2)-(((209-43)*MAX('Inputs'!$B$33,'Inputs'!$B$29+'Inputs'!$B$31+'Inputs'!$B$32,'Inputs'!$B$30+'Inputs'!$B$31+'Inputs'!$B$32)/1000+'Inputs'!$B$21+'Inputs'!$B$9+'Inputs'!$B$10))/SQRT((((209-43)*MAX('Inputs'!$B$33,'Inputs'!$B$29+'Inputs'!$B$31+'Inputs'!$B$32,'Inputs'!$B$30+'Inputs'!$B$31+'Inputs'!$B$32)/1000+'Inputs'!$B$21+'Inputs'!$B$9+'Inputs'!$B$10))^2+('Inputs'!$B$6/2)^2))))*'Results'!$B$8)+'Inputs'!$B$28*ABS((('Results'!C7*(1+'Inputs'!$B$24)*(0.5*((((209-43)*MAX('Inputs'!$B$33,'Inputs'!$B$29+'Inputs'!$B$31+'Inputs'!$B$32,'Inputs'!$B$30+'Inputs'!$B$31+'Inputs'!$B$32)/1000+'Inputs'!$B$21)+'Inputs'!$B$9)/SQRT((((209-43)*MAX('Inputs'!$B$33,'Inputs'!$B$29+'Inputs'!$B$31+'Inputs'!$B$32,'Inputs'!$B$30+'Inputs'!$B$31+'Inputs'!$B$32)/1000+'Inputs'!$B$21)+'Inputs'!$B$9)^2+('Inputs'!$B$8/2)^2)-(((209-43)*MAX('Inputs'!$B$33,'Inputs'!$B$29+'Inputs'!$B$31+'Inputs'!$B$32,'Inputs'!$B$30+'Inputs'!$B$31+'Inputs'!$B$32)/1000+'Inputs'!$B$21))/SQRT((((209-43)*MAX('Inputs'!$B$33,'Inputs'!$B$29+'Inputs'!$B$31+'Inputs'!$B$32,'Inputs'!$B$30+'Inputs'!$B$31+'Inputs'!$B$32)/1000+'Inputs'!$B$21))^2+('Inputs'!$B$8/2)^2)))-'Results'!B7*(1-'Inputs'!$B$24)*(0.5*((((209-43)*MAX('Inputs'!$B$33,'Inputs'!$B$29+'Inputs'!$B$31+'Inputs'!$B$32,'Inputs'!$B$30+'Inputs'!$B$31+'Inputs'!$B$32)/1000+'Inputs'!$B$21+'Inputs'!$B$9+'Inputs'!$B$10)+'Inputs'!$B$7)/SQRT((((209-43)*MAX('Inputs'!$B$33,'Inputs'!$B$29+'Inputs'!$B$31+'Inputs'!$B$32,'Inputs'!$B$30+'Inputs'!$B$31+'Inputs'!$B$32)/1000+'Inputs'!$B$21+'Inputs'!$B$9+'Inputs'!$B$10)+'Inputs'!$B$7)^2+('Inputs'!$B$6/2)^2)-(((209-43)*MAX('Inputs'!$B$33,'Inputs'!$B$29+'Inputs'!$B$31+'Inputs'!$B$32,'Inputs'!$B$30+'Inputs'!$B$31+'Inputs'!$B$32)/1000+'Inputs'!$B$21+'Inputs'!$B$9+'Inputs'!$B$10))/SQRT((((209-43)*MAX('Inputs'!$B$33,'Inputs'!$B$29+'Inputs'!$B$31+'Inputs'!$B$32,'Inputs'!$B$30+'Inputs'!$B$31+'Inputs'!$B$32)/1000+'Inputs'!$B$21+'Inputs'!$B$9+'Inputs'!$B$10))^2+('Inputs'!$B$6/2)^2))))*'Results'!$B$8))),"")</x:f>
        <x:v>125.96038798520227</x:v>
      </x:c>
      <x:c r="P209" t="n">
        <x:f>IF(AND(MAX(J209,J208)&gt;0,J209&gt;J208+0.00000001),1,0)</x:f>
        <x:v>0</x:v>
      </x:c>
      <x:c r="Q209" t="n">
        <x:f>IF(AND(MAX(K209,K208)&gt;0,K209&gt;K208+0.00000001),1,0)</x:f>
        <x:v>0</x:v>
      </x:c>
      <x:c r="R209" t="n">
        <x:f>IF(AND(MAX(L209,L208)&gt;0,L209&gt;L208+0.00000001),1,0)</x:f>
        <x:v>0</x:v>
      </x:c>
      <x:c r="S209" t="n">
        <x:f>IF(AND(MAX(M209,M208)&gt;0,M209&gt;M208+0.00000001),1,0)</x:f>
        <x:v>0</x:v>
      </x:c>
      <x:c r="T209" t="n">
        <x:f>IF(AND(MAX(N209,N208)&gt;0,N209&gt;N208+0.00000001),1,0)</x:f>
        <x:v>0</x:v>
      </x:c>
      <x:c r="U209" t="n">
        <x:f>IF(AND(MAX(O209,O208)&gt;0,O209&gt;O208+0.00000001),1,0)</x:f>
        <x:v>0</x:v>
      </x:c>
    </x:row>
    <x:row r="210">
      <x:c r="J210" t="n">
        <x:f>IF(AND(ISNUMBER('Results'!B7),ISNUMBER('Results'!C7),ISNUMBER('Results'!$B$8),ISNUMBER('Inputs'!$B$6),ISNUMBER('Inputs'!$B$7),ISNUMBER('Inputs'!$B$8),ISNUMBER('Inputs'!$B$9),ISNUMBER('Inputs'!$B$10),ISNUMBER('Inputs'!$B$21),ISNUMBER('Inputs'!$B$24),ISNUMBER('Inputs'!$B$28)),(('Results'!B7*(0.5*((((210-43)*MAX('Inputs'!$B$33,'Inputs'!$B$29+'Inputs'!$B$31+'Inputs'!$B$32,'Inputs'!$B$30+'Inputs'!$B$31+'Inputs'!$B$32)/1000+'Inputs'!$B$21)+'Inputs'!$B$7)/SQRT((((210-43)*MAX('Inputs'!$B$33,'Inputs'!$B$29+'Inputs'!$B$31+'Inputs'!$B$32,'Inputs'!$B$30+'Inputs'!$B$31+'Inputs'!$B$32)/1000+'Inputs'!$B$21)+'Inputs'!$B$7)^2+('Inputs'!$B$6/2)^2)-(((210-43)*MAX('Inputs'!$B$33,'Inputs'!$B$29+'Inputs'!$B$31+'Inputs'!$B$32,'Inputs'!$B$30+'Inputs'!$B$31+'Inputs'!$B$32)/1000+'Inputs'!$B$21))/SQRT((((210-43)*MAX('Inputs'!$B$33,'Inputs'!$B$29+'Inputs'!$B$31+'Inputs'!$B$32,'Inputs'!$B$30+'Inputs'!$B$31+'Inputs'!$B$32)/1000+'Inputs'!$B$21))^2+('Inputs'!$B$6/2)^2)))-'Results'!C7*(0.5*((((210-43)*MAX('Inputs'!$B$33,'Inputs'!$B$29+'Inputs'!$B$31+'Inputs'!$B$32,'Inputs'!$B$30+'Inputs'!$B$31+'Inputs'!$B$32)/1000+'Inputs'!$B$21+'Inputs'!$B$7+'Inputs'!$B$10)+'Inputs'!$B$9)/SQRT((((210-43)*MAX('Inputs'!$B$33,'Inputs'!$B$29+'Inputs'!$B$31+'Inputs'!$B$32,'Inputs'!$B$30+'Inputs'!$B$31+'Inputs'!$B$32)/1000+'Inputs'!$B$21+'Inputs'!$B$7+'Inputs'!$B$10)+'Inputs'!$B$9)^2+('Inputs'!$B$8/2)^2)-(((210-43)*MAX('Inputs'!$B$33,'Inputs'!$B$29+'Inputs'!$B$31+'Inputs'!$B$32,'Inputs'!$B$30+'Inputs'!$B$31+'Inputs'!$B$32)/1000+'Inputs'!$B$21+'Inputs'!$B$7+'Inputs'!$B$10))/SQRT((((210-43)*MAX('Inputs'!$B$33,'Inputs'!$B$29+'Inputs'!$B$31+'Inputs'!$B$32,'Inputs'!$B$30+'Inputs'!$B$31+'Inputs'!$B$32)/1000+'Inputs'!$B$21+'Inputs'!$B$7+'Inputs'!$B$10))^2+('Inputs'!$B$8/2)^2))))*'Results'!$B$8),"")</x:f>
        <x:v>118.20141495992493</x:v>
      </x:c>
      <x:c r="K210" t="n">
        <x:f>IF(AND(ISNUMBER('Results'!B7),ISNUMBER('Results'!C7),ISNUMBER('Results'!$B$8),ISNUMBER('Inputs'!$B$6),ISNUMBER('Inputs'!$B$7),ISNUMBER('Inputs'!$B$8),ISNUMBER('Inputs'!$B$9),ISNUMBER('Inputs'!$B$10),ISNUMBER('Inputs'!$B$21),ISNUMBER('Inputs'!$B$24),ISNUMBER('Inputs'!$B$28)),((('Results'!B7*(1-'Inputs'!$B$24)*(0.5*((((210-43)*MAX('Inputs'!$B$33,'Inputs'!$B$29+'Inputs'!$B$31+'Inputs'!$B$32,'Inputs'!$B$30+'Inputs'!$B$31+'Inputs'!$B$32)/1000+'Inputs'!$B$21)+'Inputs'!$B$7)/SQRT((((210-43)*MAX('Inputs'!$B$33,'Inputs'!$B$29+'Inputs'!$B$31+'Inputs'!$B$32,'Inputs'!$B$30+'Inputs'!$B$31+'Inputs'!$B$32)/1000+'Inputs'!$B$21)+'Inputs'!$B$7)^2+('Inputs'!$B$6/2)^2)-(((210-43)*MAX('Inputs'!$B$33,'Inputs'!$B$29+'Inputs'!$B$31+'Inputs'!$B$32,'Inputs'!$B$30+'Inputs'!$B$31+'Inputs'!$B$32)/1000+'Inputs'!$B$21))/SQRT((((210-43)*MAX('Inputs'!$B$33,'Inputs'!$B$29+'Inputs'!$B$31+'Inputs'!$B$32,'Inputs'!$B$30+'Inputs'!$B$31+'Inputs'!$B$32)/1000+'Inputs'!$B$21))^2+('Inputs'!$B$6/2)^2)))-'Results'!C7*(1+'Inputs'!$B$24)*(0.5*((((210-43)*MAX('Inputs'!$B$33,'Inputs'!$B$29+'Inputs'!$B$31+'Inputs'!$B$32,'Inputs'!$B$30+'Inputs'!$B$31+'Inputs'!$B$32)/1000+'Inputs'!$B$21+'Inputs'!$B$7+'Inputs'!$B$10)+'Inputs'!$B$9)/SQRT((((210-43)*MAX('Inputs'!$B$33,'Inputs'!$B$29+'Inputs'!$B$31+'Inputs'!$B$32,'Inputs'!$B$30+'Inputs'!$B$31+'Inputs'!$B$32)/1000+'Inputs'!$B$21+'Inputs'!$B$7+'Inputs'!$B$10)+'Inputs'!$B$9)^2+('Inputs'!$B$8/2)^2)-(((210-43)*MAX('Inputs'!$B$33,'Inputs'!$B$29+'Inputs'!$B$31+'Inputs'!$B$32,'Inputs'!$B$30+'Inputs'!$B$31+'Inputs'!$B$32)/1000+'Inputs'!$B$21+'Inputs'!$B$7+'Inputs'!$B$10))/SQRT((((210-43)*MAX('Inputs'!$B$33,'Inputs'!$B$29+'Inputs'!$B$31+'Inputs'!$B$32,'Inputs'!$B$30+'Inputs'!$B$31+'Inputs'!$B$32)/1000+'Inputs'!$B$21+'Inputs'!$B$7+'Inputs'!$B$10))^2+('Inputs'!$B$8/2)^2))))*'Results'!$B$8)-'Inputs'!$B$28*ABS((('Results'!B7*(1-'Inputs'!$B$24)*(0.5*((((210-43)*MAX('Inputs'!$B$33,'Inputs'!$B$29+'Inputs'!$B$31+'Inputs'!$B$32,'Inputs'!$B$30+'Inputs'!$B$31+'Inputs'!$B$32)/1000+'Inputs'!$B$21)+'Inputs'!$B$7)/SQRT((((210-43)*MAX('Inputs'!$B$33,'Inputs'!$B$29+'Inputs'!$B$31+'Inputs'!$B$32,'Inputs'!$B$30+'Inputs'!$B$31+'Inputs'!$B$32)/1000+'Inputs'!$B$21)+'Inputs'!$B$7)^2+('Inputs'!$B$6/2)^2)-(((210-43)*MAX('Inputs'!$B$33,'Inputs'!$B$29+'Inputs'!$B$31+'Inputs'!$B$32,'Inputs'!$B$30+'Inputs'!$B$31+'Inputs'!$B$32)/1000+'Inputs'!$B$21))/SQRT((((210-43)*MAX('Inputs'!$B$33,'Inputs'!$B$29+'Inputs'!$B$31+'Inputs'!$B$32,'Inputs'!$B$30+'Inputs'!$B$31+'Inputs'!$B$32)/1000+'Inputs'!$B$21))^2+('Inputs'!$B$6/2)^2)))-'Results'!C7*(1+'Inputs'!$B$24)*(0.5*((((210-43)*MAX('Inputs'!$B$33,'Inputs'!$B$29+'Inputs'!$B$31+'Inputs'!$B$32,'Inputs'!$B$30+'Inputs'!$B$31+'Inputs'!$B$32)/1000+'Inputs'!$B$21+'Inputs'!$B$7+'Inputs'!$B$10)+'Inputs'!$B$9)/SQRT((((210-43)*MAX('Inputs'!$B$33,'Inputs'!$B$29+'Inputs'!$B$31+'Inputs'!$B$32,'Inputs'!$B$30+'Inputs'!$B$31+'Inputs'!$B$32)/1000+'Inputs'!$B$21+'Inputs'!$B$7+'Inputs'!$B$10)+'Inputs'!$B$9)^2+('Inputs'!$B$8/2)^2)-(((210-43)*MAX('Inputs'!$B$33,'Inputs'!$B$29+'Inputs'!$B$31+'Inputs'!$B$32,'Inputs'!$B$30+'Inputs'!$B$31+'Inputs'!$B$32)/1000+'Inputs'!$B$21+'Inputs'!$B$7+'Inputs'!$B$10))/SQRT((((210-43)*MAX('Inputs'!$B$33,'Inputs'!$B$29+'Inputs'!$B$31+'Inputs'!$B$32,'Inputs'!$B$30+'Inputs'!$B$31+'Inputs'!$B$32)/1000+'Inputs'!$B$21+'Inputs'!$B$7+'Inputs'!$B$10))^2+('Inputs'!$B$8/2)^2))))*'Results'!$B$8))),"")</x:f>
        <x:v>108.3985413845734</x:v>
      </x:c>
      <x:c r="L210" t="n">
        <x:f>IF(AND(ISNUMBER('Results'!B7),ISNUMBER('Results'!C7),ISNUMBER('Results'!$B$8),ISNUMBER('Inputs'!$B$6),ISNUMBER('Inputs'!$B$7),ISNUMBER('Inputs'!$B$8),ISNUMBER('Inputs'!$B$9),ISNUMBER('Inputs'!$B$10),ISNUMBER('Inputs'!$B$21),ISNUMBER('Inputs'!$B$24),ISNUMBER('Inputs'!$B$28)),((('Results'!B7*(1+'Inputs'!$B$24)*(0.5*((((210-43)*MAX('Inputs'!$B$33,'Inputs'!$B$29+'Inputs'!$B$31+'Inputs'!$B$32,'Inputs'!$B$30+'Inputs'!$B$31+'Inputs'!$B$32)/1000+'Inputs'!$B$21)+'Inputs'!$B$7)/SQRT((((210-43)*MAX('Inputs'!$B$33,'Inputs'!$B$29+'Inputs'!$B$31+'Inputs'!$B$32,'Inputs'!$B$30+'Inputs'!$B$31+'Inputs'!$B$32)/1000+'Inputs'!$B$21)+'Inputs'!$B$7)^2+('Inputs'!$B$6/2)^2)-(((210-43)*MAX('Inputs'!$B$33,'Inputs'!$B$29+'Inputs'!$B$31+'Inputs'!$B$32,'Inputs'!$B$30+'Inputs'!$B$31+'Inputs'!$B$32)/1000+'Inputs'!$B$21))/SQRT((((210-43)*MAX('Inputs'!$B$33,'Inputs'!$B$29+'Inputs'!$B$31+'Inputs'!$B$32,'Inputs'!$B$30+'Inputs'!$B$31+'Inputs'!$B$32)/1000+'Inputs'!$B$21))^2+('Inputs'!$B$6/2)^2)))-'Results'!C7*(1-'Inputs'!$B$24)*(0.5*((((210-43)*MAX('Inputs'!$B$33,'Inputs'!$B$29+'Inputs'!$B$31+'Inputs'!$B$32,'Inputs'!$B$30+'Inputs'!$B$31+'Inputs'!$B$32)/1000+'Inputs'!$B$21+'Inputs'!$B$7+'Inputs'!$B$10)+'Inputs'!$B$9)/SQRT((((210-43)*MAX('Inputs'!$B$33,'Inputs'!$B$29+'Inputs'!$B$31+'Inputs'!$B$32,'Inputs'!$B$30+'Inputs'!$B$31+'Inputs'!$B$32)/1000+'Inputs'!$B$21+'Inputs'!$B$7+'Inputs'!$B$10)+'Inputs'!$B$9)^2+('Inputs'!$B$8/2)^2)-(((210-43)*MAX('Inputs'!$B$33,'Inputs'!$B$29+'Inputs'!$B$31+'Inputs'!$B$32,'Inputs'!$B$30+'Inputs'!$B$31+'Inputs'!$B$32)/1000+'Inputs'!$B$21+'Inputs'!$B$7+'Inputs'!$B$10))/SQRT((((210-43)*MAX('Inputs'!$B$33,'Inputs'!$B$29+'Inputs'!$B$31+'Inputs'!$B$32,'Inputs'!$B$30+'Inputs'!$B$31+'Inputs'!$B$32)/1000+'Inputs'!$B$21+'Inputs'!$B$7+'Inputs'!$B$10))^2+('Inputs'!$B$8/2)^2))))*'Results'!$B$8)+'Inputs'!$B$28*ABS((('Results'!B7*(1+'Inputs'!$B$24)*(0.5*((((210-43)*MAX('Inputs'!$B$33,'Inputs'!$B$29+'Inputs'!$B$31+'Inputs'!$B$32,'Inputs'!$B$30+'Inputs'!$B$31+'Inputs'!$B$32)/1000+'Inputs'!$B$21)+'Inputs'!$B$7)/SQRT((((210-43)*MAX('Inputs'!$B$33,'Inputs'!$B$29+'Inputs'!$B$31+'Inputs'!$B$32,'Inputs'!$B$30+'Inputs'!$B$31+'Inputs'!$B$32)/1000+'Inputs'!$B$21)+'Inputs'!$B$7)^2+('Inputs'!$B$6/2)^2)-(((210-43)*MAX('Inputs'!$B$33,'Inputs'!$B$29+'Inputs'!$B$31+'Inputs'!$B$32,'Inputs'!$B$30+'Inputs'!$B$31+'Inputs'!$B$32)/1000+'Inputs'!$B$21))/SQRT((((210-43)*MAX('Inputs'!$B$33,'Inputs'!$B$29+'Inputs'!$B$31+'Inputs'!$B$32,'Inputs'!$B$30+'Inputs'!$B$31+'Inputs'!$B$32)/1000+'Inputs'!$B$21))^2+('Inputs'!$B$6/2)^2)))-'Results'!C7*(1-'Inputs'!$B$24)*(0.5*((((210-43)*MAX('Inputs'!$B$33,'Inputs'!$B$29+'Inputs'!$B$31+'Inputs'!$B$32,'Inputs'!$B$30+'Inputs'!$B$31+'Inputs'!$B$32)/1000+'Inputs'!$B$21+'Inputs'!$B$7+'Inputs'!$B$10)+'Inputs'!$B$9)/SQRT((((210-43)*MAX('Inputs'!$B$33,'Inputs'!$B$29+'Inputs'!$B$31+'Inputs'!$B$32,'Inputs'!$B$30+'Inputs'!$B$31+'Inputs'!$B$32)/1000+'Inputs'!$B$21+'Inputs'!$B$7+'Inputs'!$B$10)+'Inputs'!$B$9)^2+('Inputs'!$B$8/2)^2)-(((210-43)*MAX('Inputs'!$B$33,'Inputs'!$B$29+'Inputs'!$B$31+'Inputs'!$B$32,'Inputs'!$B$30+'Inputs'!$B$31+'Inputs'!$B$32)/1000+'Inputs'!$B$21+'Inputs'!$B$7+'Inputs'!$B$10))/SQRT((((210-43)*MAX('Inputs'!$B$33,'Inputs'!$B$29+'Inputs'!$B$31+'Inputs'!$B$32,'Inputs'!$B$30+'Inputs'!$B$31+'Inputs'!$B$32)/1000+'Inputs'!$B$21+'Inputs'!$B$7+'Inputs'!$B$10))^2+('Inputs'!$B$8/2)^2))))*'Results'!$B$8))),"")</x:f>
        <x:v>128.41405725394543</x:v>
      </x:c>
      <x:c r="M210" t="n">
        <x:f>IF(AND(ISNUMBER('Results'!C7),ISNUMBER('Results'!B7),ISNUMBER('Results'!$B$8),ISNUMBER('Inputs'!$B$6),ISNUMBER('Inputs'!$B$7),ISNUMBER('Inputs'!$B$8),ISNUMBER('Inputs'!$B$9),ISNUMBER('Inputs'!$B$10),ISNUMBER('Inputs'!$B$21),ISNUMBER('Inputs'!$B$24),ISNUMBER('Inputs'!$B$28)),(('Results'!C7*(0.5*((((210-43)*MAX('Inputs'!$B$33,'Inputs'!$B$29+'Inputs'!$B$31+'Inputs'!$B$32,'Inputs'!$B$30+'Inputs'!$B$31+'Inputs'!$B$32)/1000+'Inputs'!$B$21)+'Inputs'!$B$9)/SQRT((((210-43)*MAX('Inputs'!$B$33,'Inputs'!$B$29+'Inputs'!$B$31+'Inputs'!$B$32,'Inputs'!$B$30+'Inputs'!$B$31+'Inputs'!$B$32)/1000+'Inputs'!$B$21)+'Inputs'!$B$9)^2+('Inputs'!$B$8/2)^2)-(((210-43)*MAX('Inputs'!$B$33,'Inputs'!$B$29+'Inputs'!$B$31+'Inputs'!$B$32,'Inputs'!$B$30+'Inputs'!$B$31+'Inputs'!$B$32)/1000+'Inputs'!$B$21))/SQRT((((210-43)*MAX('Inputs'!$B$33,'Inputs'!$B$29+'Inputs'!$B$31+'Inputs'!$B$32,'Inputs'!$B$30+'Inputs'!$B$31+'Inputs'!$B$32)/1000+'Inputs'!$B$21))^2+('Inputs'!$B$8/2)^2)))-'Results'!B7*(0.5*((((210-43)*MAX('Inputs'!$B$33,'Inputs'!$B$29+'Inputs'!$B$31+'Inputs'!$B$32,'Inputs'!$B$30+'Inputs'!$B$31+'Inputs'!$B$32)/1000+'Inputs'!$B$21+'Inputs'!$B$9+'Inputs'!$B$10)+'Inputs'!$B$7)/SQRT((((210-43)*MAX('Inputs'!$B$33,'Inputs'!$B$29+'Inputs'!$B$31+'Inputs'!$B$32,'Inputs'!$B$30+'Inputs'!$B$31+'Inputs'!$B$32)/1000+'Inputs'!$B$21+'Inputs'!$B$9+'Inputs'!$B$10)+'Inputs'!$B$7)^2+('Inputs'!$B$6/2)^2)-(((210-43)*MAX('Inputs'!$B$33,'Inputs'!$B$29+'Inputs'!$B$31+'Inputs'!$B$32,'Inputs'!$B$30+'Inputs'!$B$31+'Inputs'!$B$32)/1000+'Inputs'!$B$21+'Inputs'!$B$9+'Inputs'!$B$10))/SQRT((((210-43)*MAX('Inputs'!$B$33,'Inputs'!$B$29+'Inputs'!$B$31+'Inputs'!$B$32,'Inputs'!$B$30+'Inputs'!$B$31+'Inputs'!$B$32)/1000+'Inputs'!$B$21+'Inputs'!$B$9+'Inputs'!$B$10))^2+('Inputs'!$B$6/2)^2))))*'Results'!$B$8),"")</x:f>
        <x:v>114.08603737642404</x:v>
      </x:c>
      <x:c r="N210" t="n">
        <x:f>IF(AND(ISNUMBER('Results'!C7),ISNUMBER('Results'!B7),ISNUMBER('Results'!$B$8),ISNUMBER('Inputs'!$B$6),ISNUMBER('Inputs'!$B$7),ISNUMBER('Inputs'!$B$8),ISNUMBER('Inputs'!$B$9),ISNUMBER('Inputs'!$B$10),ISNUMBER('Inputs'!$B$21),ISNUMBER('Inputs'!$B$24),ISNUMBER('Inputs'!$B$28)),((('Results'!C7*(1-'Inputs'!$B$24)*(0.5*((((210-43)*MAX('Inputs'!$B$33,'Inputs'!$B$29+'Inputs'!$B$31+'Inputs'!$B$32,'Inputs'!$B$30+'Inputs'!$B$31+'Inputs'!$B$32)/1000+'Inputs'!$B$21)+'Inputs'!$B$9)/SQRT((((210-43)*MAX('Inputs'!$B$33,'Inputs'!$B$29+'Inputs'!$B$31+'Inputs'!$B$32,'Inputs'!$B$30+'Inputs'!$B$31+'Inputs'!$B$32)/1000+'Inputs'!$B$21)+'Inputs'!$B$9)^2+('Inputs'!$B$8/2)^2)-(((210-43)*MAX('Inputs'!$B$33,'Inputs'!$B$29+'Inputs'!$B$31+'Inputs'!$B$32,'Inputs'!$B$30+'Inputs'!$B$31+'Inputs'!$B$32)/1000+'Inputs'!$B$21))/SQRT((((210-43)*MAX('Inputs'!$B$33,'Inputs'!$B$29+'Inputs'!$B$31+'Inputs'!$B$32,'Inputs'!$B$30+'Inputs'!$B$31+'Inputs'!$B$32)/1000+'Inputs'!$B$21))^2+('Inputs'!$B$8/2)^2)))-'Results'!B7*(1+'Inputs'!$B$24)*(0.5*((((210-43)*MAX('Inputs'!$B$33,'Inputs'!$B$29+'Inputs'!$B$31+'Inputs'!$B$32,'Inputs'!$B$30+'Inputs'!$B$31+'Inputs'!$B$32)/1000+'Inputs'!$B$21+'Inputs'!$B$9+'Inputs'!$B$10)+'Inputs'!$B$7)/SQRT((((210-43)*MAX('Inputs'!$B$33,'Inputs'!$B$29+'Inputs'!$B$31+'Inputs'!$B$32,'Inputs'!$B$30+'Inputs'!$B$31+'Inputs'!$B$32)/1000+'Inputs'!$B$21+'Inputs'!$B$9+'Inputs'!$B$10)+'Inputs'!$B$7)^2+('Inputs'!$B$6/2)^2)-(((210-43)*MAX('Inputs'!$B$33,'Inputs'!$B$29+'Inputs'!$B$31+'Inputs'!$B$32,'Inputs'!$B$30+'Inputs'!$B$31+'Inputs'!$B$32)/1000+'Inputs'!$B$21+'Inputs'!$B$9+'Inputs'!$B$10))/SQRT((((210-43)*MAX('Inputs'!$B$33,'Inputs'!$B$29+'Inputs'!$B$31+'Inputs'!$B$32,'Inputs'!$B$30+'Inputs'!$B$31+'Inputs'!$B$32)/1000+'Inputs'!$B$21+'Inputs'!$B$9+'Inputs'!$B$10))^2+('Inputs'!$B$6/2)^2))))*'Results'!$B$8)-'Inputs'!$B$28*ABS((('Results'!C7*(1-'Inputs'!$B$24)*(0.5*((((210-43)*MAX('Inputs'!$B$33,'Inputs'!$B$29+'Inputs'!$B$31+'Inputs'!$B$32,'Inputs'!$B$30+'Inputs'!$B$31+'Inputs'!$B$32)/1000+'Inputs'!$B$21)+'Inputs'!$B$9)/SQRT((((210-43)*MAX('Inputs'!$B$33,'Inputs'!$B$29+'Inputs'!$B$31+'Inputs'!$B$32,'Inputs'!$B$30+'Inputs'!$B$31+'Inputs'!$B$32)/1000+'Inputs'!$B$21)+'Inputs'!$B$9)^2+('Inputs'!$B$8/2)^2)-(((210-43)*MAX('Inputs'!$B$33,'Inputs'!$B$29+'Inputs'!$B$31+'Inputs'!$B$32,'Inputs'!$B$30+'Inputs'!$B$31+'Inputs'!$B$32)/1000+'Inputs'!$B$21))/SQRT((((210-43)*MAX('Inputs'!$B$33,'Inputs'!$B$29+'Inputs'!$B$31+'Inputs'!$B$32,'Inputs'!$B$30+'Inputs'!$B$31+'Inputs'!$B$32)/1000+'Inputs'!$B$21))^2+('Inputs'!$B$8/2)^2)))-'Results'!B7*(1+'Inputs'!$B$24)*(0.5*((((210-43)*MAX('Inputs'!$B$33,'Inputs'!$B$29+'Inputs'!$B$31+'Inputs'!$B$32,'Inputs'!$B$30+'Inputs'!$B$31+'Inputs'!$B$32)/1000+'Inputs'!$B$21+'Inputs'!$B$9+'Inputs'!$B$10)+'Inputs'!$B$7)/SQRT((((210-43)*MAX('Inputs'!$B$33,'Inputs'!$B$29+'Inputs'!$B$31+'Inputs'!$B$32,'Inputs'!$B$30+'Inputs'!$B$31+'Inputs'!$B$32)/1000+'Inputs'!$B$21+'Inputs'!$B$9+'Inputs'!$B$10)+'Inputs'!$B$7)^2+('Inputs'!$B$6/2)^2)-(((210-43)*MAX('Inputs'!$B$33,'Inputs'!$B$29+'Inputs'!$B$31+'Inputs'!$B$32,'Inputs'!$B$30+'Inputs'!$B$31+'Inputs'!$B$32)/1000+'Inputs'!$B$21+'Inputs'!$B$9+'Inputs'!$B$10))/SQRT((((210-43)*MAX('Inputs'!$B$33,'Inputs'!$B$29+'Inputs'!$B$31+'Inputs'!$B$32,'Inputs'!$B$30+'Inputs'!$B$31+'Inputs'!$B$32)/1000+'Inputs'!$B$21+'Inputs'!$B$9+'Inputs'!$B$10))^2+('Inputs'!$B$6/2)^2))))*'Results'!$B$8))),"")</x:f>
        <x:v>104.53351310039288</x:v>
      </x:c>
      <x:c r="O210" t="n">
        <x:f>IF(AND(ISNUMBER('Results'!C7),ISNUMBER('Results'!B7),ISNUMBER('Results'!$B$8),ISNUMBER('Inputs'!$B$6),ISNUMBER('Inputs'!$B$7),ISNUMBER('Inputs'!$B$8),ISNUMBER('Inputs'!$B$9),ISNUMBER('Inputs'!$B$10),ISNUMBER('Inputs'!$B$21),ISNUMBER('Inputs'!$B$24),ISNUMBER('Inputs'!$B$28)),((('Results'!C7*(1+'Inputs'!$B$24)*(0.5*((((210-43)*MAX('Inputs'!$B$33,'Inputs'!$B$29+'Inputs'!$B$31+'Inputs'!$B$32,'Inputs'!$B$30+'Inputs'!$B$31+'Inputs'!$B$32)/1000+'Inputs'!$B$21)+'Inputs'!$B$9)/SQRT((((210-43)*MAX('Inputs'!$B$33,'Inputs'!$B$29+'Inputs'!$B$31+'Inputs'!$B$32,'Inputs'!$B$30+'Inputs'!$B$31+'Inputs'!$B$32)/1000+'Inputs'!$B$21)+'Inputs'!$B$9)^2+('Inputs'!$B$8/2)^2)-(((210-43)*MAX('Inputs'!$B$33,'Inputs'!$B$29+'Inputs'!$B$31+'Inputs'!$B$32,'Inputs'!$B$30+'Inputs'!$B$31+'Inputs'!$B$32)/1000+'Inputs'!$B$21))/SQRT((((210-43)*MAX('Inputs'!$B$33,'Inputs'!$B$29+'Inputs'!$B$31+'Inputs'!$B$32,'Inputs'!$B$30+'Inputs'!$B$31+'Inputs'!$B$32)/1000+'Inputs'!$B$21))^2+('Inputs'!$B$8/2)^2)))-'Results'!B7*(1-'Inputs'!$B$24)*(0.5*((((210-43)*MAX('Inputs'!$B$33,'Inputs'!$B$29+'Inputs'!$B$31+'Inputs'!$B$32,'Inputs'!$B$30+'Inputs'!$B$31+'Inputs'!$B$32)/1000+'Inputs'!$B$21+'Inputs'!$B$9+'Inputs'!$B$10)+'Inputs'!$B$7)/SQRT((((210-43)*MAX('Inputs'!$B$33,'Inputs'!$B$29+'Inputs'!$B$31+'Inputs'!$B$32,'Inputs'!$B$30+'Inputs'!$B$31+'Inputs'!$B$32)/1000+'Inputs'!$B$21+'Inputs'!$B$9+'Inputs'!$B$10)+'Inputs'!$B$7)^2+('Inputs'!$B$6/2)^2)-(((210-43)*MAX('Inputs'!$B$33,'Inputs'!$B$29+'Inputs'!$B$31+'Inputs'!$B$32,'Inputs'!$B$30+'Inputs'!$B$31+'Inputs'!$B$32)/1000+'Inputs'!$B$21+'Inputs'!$B$9+'Inputs'!$B$10))/SQRT((((210-43)*MAX('Inputs'!$B$33,'Inputs'!$B$29+'Inputs'!$B$31+'Inputs'!$B$32,'Inputs'!$B$30+'Inputs'!$B$31+'Inputs'!$B$32)/1000+'Inputs'!$B$21+'Inputs'!$B$9+'Inputs'!$B$10))^2+('Inputs'!$B$6/2)^2))))*'Results'!$B$8)+'Inputs'!$B$28*ABS((('Results'!C7*(1+'Inputs'!$B$24)*(0.5*((((210-43)*MAX('Inputs'!$B$33,'Inputs'!$B$29+'Inputs'!$B$31+'Inputs'!$B$32,'Inputs'!$B$30+'Inputs'!$B$31+'Inputs'!$B$32)/1000+'Inputs'!$B$21)+'Inputs'!$B$9)/SQRT((((210-43)*MAX('Inputs'!$B$33,'Inputs'!$B$29+'Inputs'!$B$31+'Inputs'!$B$32,'Inputs'!$B$30+'Inputs'!$B$31+'Inputs'!$B$32)/1000+'Inputs'!$B$21)+'Inputs'!$B$9)^2+('Inputs'!$B$8/2)^2)-(((210-43)*MAX('Inputs'!$B$33,'Inputs'!$B$29+'Inputs'!$B$31+'Inputs'!$B$32,'Inputs'!$B$30+'Inputs'!$B$31+'Inputs'!$B$32)/1000+'Inputs'!$B$21))/SQRT((((210-43)*MAX('Inputs'!$B$33,'Inputs'!$B$29+'Inputs'!$B$31+'Inputs'!$B$32,'Inputs'!$B$30+'Inputs'!$B$31+'Inputs'!$B$32)/1000+'Inputs'!$B$21))^2+('Inputs'!$B$8/2)^2)))-'Results'!B7*(1-'Inputs'!$B$24)*(0.5*((((210-43)*MAX('Inputs'!$B$33,'Inputs'!$B$29+'Inputs'!$B$31+'Inputs'!$B$32,'Inputs'!$B$30+'Inputs'!$B$31+'Inputs'!$B$32)/1000+'Inputs'!$B$21+'Inputs'!$B$9+'Inputs'!$B$10)+'Inputs'!$B$7)/SQRT((((210-43)*MAX('Inputs'!$B$33,'Inputs'!$B$29+'Inputs'!$B$31+'Inputs'!$B$32,'Inputs'!$B$30+'Inputs'!$B$31+'Inputs'!$B$32)/1000+'Inputs'!$B$21+'Inputs'!$B$9+'Inputs'!$B$10)+'Inputs'!$B$7)^2+('Inputs'!$B$6/2)^2)-(((210-43)*MAX('Inputs'!$B$33,'Inputs'!$B$29+'Inputs'!$B$31+'Inputs'!$B$32,'Inputs'!$B$30+'Inputs'!$B$31+'Inputs'!$B$32)/1000+'Inputs'!$B$21+'Inputs'!$B$9+'Inputs'!$B$10))/SQRT((((210-43)*MAX('Inputs'!$B$33,'Inputs'!$B$29+'Inputs'!$B$31+'Inputs'!$B$32,'Inputs'!$B$30+'Inputs'!$B$31+'Inputs'!$B$32)/1000+'Inputs'!$B$21+'Inputs'!$B$9+'Inputs'!$B$10))^2+('Inputs'!$B$6/2)^2))))*'Results'!$B$8))),"")</x:f>
        <x:v>124.04363769531939</x:v>
      </x:c>
      <x:c r="P210" t="n">
        <x:f>IF(AND(MAX(J210,J209)&gt;0,J210&gt;J209+0.00000001),1,0)</x:f>
        <x:v>0</x:v>
      </x:c>
      <x:c r="Q210" t="n">
        <x:f>IF(AND(MAX(K210,K209)&gt;0,K210&gt;K209+0.00000001),1,0)</x:f>
        <x:v>0</x:v>
      </x:c>
      <x:c r="R210" t="n">
        <x:f>IF(AND(MAX(L210,L209)&gt;0,L210&gt;L209+0.00000001),1,0)</x:f>
        <x:v>0</x:v>
      </x:c>
      <x:c r="S210" t="n">
        <x:f>IF(AND(MAX(M210,M209)&gt;0,M210&gt;M209+0.00000001),1,0)</x:f>
        <x:v>0</x:v>
      </x:c>
      <x:c r="T210" t="n">
        <x:f>IF(AND(MAX(N210,N209)&gt;0,N210&gt;N209+0.00000001),1,0)</x:f>
        <x:v>0</x:v>
      </x:c>
      <x:c r="U210" t="n">
        <x:f>IF(AND(MAX(O210,O209)&gt;0,O210&gt;O209+0.00000001),1,0)</x:f>
        <x:v>0</x:v>
      </x:c>
    </x:row>
    <x:row r="211">
      <x:c r="J211" t="n">
        <x:f>IF(AND(ISNUMBER('Results'!B7),ISNUMBER('Results'!C7),ISNUMBER('Results'!$B$8),ISNUMBER('Inputs'!$B$6),ISNUMBER('Inputs'!$B$7),ISNUMBER('Inputs'!$B$8),ISNUMBER('Inputs'!$B$9),ISNUMBER('Inputs'!$B$10),ISNUMBER('Inputs'!$B$21),ISNUMBER('Inputs'!$B$24),ISNUMBER('Inputs'!$B$28)),(('Results'!B7*(0.5*((((211-43)*MAX('Inputs'!$B$33,'Inputs'!$B$29+'Inputs'!$B$31+'Inputs'!$B$32,'Inputs'!$B$30+'Inputs'!$B$31+'Inputs'!$B$32)/1000+'Inputs'!$B$21)+'Inputs'!$B$7)/SQRT((((211-43)*MAX('Inputs'!$B$33,'Inputs'!$B$29+'Inputs'!$B$31+'Inputs'!$B$32,'Inputs'!$B$30+'Inputs'!$B$31+'Inputs'!$B$32)/1000+'Inputs'!$B$21)+'Inputs'!$B$7)^2+('Inputs'!$B$6/2)^2)-(((211-43)*MAX('Inputs'!$B$33,'Inputs'!$B$29+'Inputs'!$B$31+'Inputs'!$B$32,'Inputs'!$B$30+'Inputs'!$B$31+'Inputs'!$B$32)/1000+'Inputs'!$B$21))/SQRT((((211-43)*MAX('Inputs'!$B$33,'Inputs'!$B$29+'Inputs'!$B$31+'Inputs'!$B$32,'Inputs'!$B$30+'Inputs'!$B$31+'Inputs'!$B$32)/1000+'Inputs'!$B$21))^2+('Inputs'!$B$6/2)^2)))-'Results'!C7*(0.5*((((211-43)*MAX('Inputs'!$B$33,'Inputs'!$B$29+'Inputs'!$B$31+'Inputs'!$B$32,'Inputs'!$B$30+'Inputs'!$B$31+'Inputs'!$B$32)/1000+'Inputs'!$B$21+'Inputs'!$B$7+'Inputs'!$B$10)+'Inputs'!$B$9)/SQRT((((211-43)*MAX('Inputs'!$B$33,'Inputs'!$B$29+'Inputs'!$B$31+'Inputs'!$B$32,'Inputs'!$B$30+'Inputs'!$B$31+'Inputs'!$B$32)/1000+'Inputs'!$B$21+'Inputs'!$B$7+'Inputs'!$B$10)+'Inputs'!$B$9)^2+('Inputs'!$B$8/2)^2)-(((211-43)*MAX('Inputs'!$B$33,'Inputs'!$B$29+'Inputs'!$B$31+'Inputs'!$B$32,'Inputs'!$B$30+'Inputs'!$B$31+'Inputs'!$B$32)/1000+'Inputs'!$B$21+'Inputs'!$B$7+'Inputs'!$B$10))/SQRT((((211-43)*MAX('Inputs'!$B$33,'Inputs'!$B$29+'Inputs'!$B$31+'Inputs'!$B$32,'Inputs'!$B$30+'Inputs'!$B$31+'Inputs'!$B$32)/1000+'Inputs'!$B$21+'Inputs'!$B$7+'Inputs'!$B$10))^2+('Inputs'!$B$8/2)^2))))*'Results'!$B$8),"")</x:f>
        <x:v>116.40872485988695</x:v>
      </x:c>
      <x:c r="K211" t="n">
        <x:f>IF(AND(ISNUMBER('Results'!B7),ISNUMBER('Results'!C7),ISNUMBER('Results'!$B$8),ISNUMBER('Inputs'!$B$6),ISNUMBER('Inputs'!$B$7),ISNUMBER('Inputs'!$B$8),ISNUMBER('Inputs'!$B$9),ISNUMBER('Inputs'!$B$10),ISNUMBER('Inputs'!$B$21),ISNUMBER('Inputs'!$B$24),ISNUMBER('Inputs'!$B$28)),((('Results'!B7*(1-'Inputs'!$B$24)*(0.5*((((211-43)*MAX('Inputs'!$B$33,'Inputs'!$B$29+'Inputs'!$B$31+'Inputs'!$B$32,'Inputs'!$B$30+'Inputs'!$B$31+'Inputs'!$B$32)/1000+'Inputs'!$B$21)+'Inputs'!$B$7)/SQRT((((211-43)*MAX('Inputs'!$B$33,'Inputs'!$B$29+'Inputs'!$B$31+'Inputs'!$B$32,'Inputs'!$B$30+'Inputs'!$B$31+'Inputs'!$B$32)/1000+'Inputs'!$B$21)+'Inputs'!$B$7)^2+('Inputs'!$B$6/2)^2)-(((211-43)*MAX('Inputs'!$B$33,'Inputs'!$B$29+'Inputs'!$B$31+'Inputs'!$B$32,'Inputs'!$B$30+'Inputs'!$B$31+'Inputs'!$B$32)/1000+'Inputs'!$B$21))/SQRT((((211-43)*MAX('Inputs'!$B$33,'Inputs'!$B$29+'Inputs'!$B$31+'Inputs'!$B$32,'Inputs'!$B$30+'Inputs'!$B$31+'Inputs'!$B$32)/1000+'Inputs'!$B$21))^2+('Inputs'!$B$6/2)^2)))-'Results'!C7*(1+'Inputs'!$B$24)*(0.5*((((211-43)*MAX('Inputs'!$B$33,'Inputs'!$B$29+'Inputs'!$B$31+'Inputs'!$B$32,'Inputs'!$B$30+'Inputs'!$B$31+'Inputs'!$B$32)/1000+'Inputs'!$B$21+'Inputs'!$B$7+'Inputs'!$B$10)+'Inputs'!$B$9)/SQRT((((211-43)*MAX('Inputs'!$B$33,'Inputs'!$B$29+'Inputs'!$B$31+'Inputs'!$B$32,'Inputs'!$B$30+'Inputs'!$B$31+'Inputs'!$B$32)/1000+'Inputs'!$B$21+'Inputs'!$B$7+'Inputs'!$B$10)+'Inputs'!$B$9)^2+('Inputs'!$B$8/2)^2)-(((211-43)*MAX('Inputs'!$B$33,'Inputs'!$B$29+'Inputs'!$B$31+'Inputs'!$B$32,'Inputs'!$B$30+'Inputs'!$B$31+'Inputs'!$B$32)/1000+'Inputs'!$B$21+'Inputs'!$B$7+'Inputs'!$B$10))/SQRT((((211-43)*MAX('Inputs'!$B$33,'Inputs'!$B$29+'Inputs'!$B$31+'Inputs'!$B$32,'Inputs'!$B$30+'Inputs'!$B$31+'Inputs'!$B$32)/1000+'Inputs'!$B$21+'Inputs'!$B$7+'Inputs'!$B$10))^2+('Inputs'!$B$8/2)^2))))*'Results'!$B$8)-'Inputs'!$B$28*ABS((('Results'!B7*(1-'Inputs'!$B$24)*(0.5*((((211-43)*MAX('Inputs'!$B$33,'Inputs'!$B$29+'Inputs'!$B$31+'Inputs'!$B$32,'Inputs'!$B$30+'Inputs'!$B$31+'Inputs'!$B$32)/1000+'Inputs'!$B$21)+'Inputs'!$B$7)/SQRT((((211-43)*MAX('Inputs'!$B$33,'Inputs'!$B$29+'Inputs'!$B$31+'Inputs'!$B$32,'Inputs'!$B$30+'Inputs'!$B$31+'Inputs'!$B$32)/1000+'Inputs'!$B$21)+'Inputs'!$B$7)^2+('Inputs'!$B$6/2)^2)-(((211-43)*MAX('Inputs'!$B$33,'Inputs'!$B$29+'Inputs'!$B$31+'Inputs'!$B$32,'Inputs'!$B$30+'Inputs'!$B$31+'Inputs'!$B$32)/1000+'Inputs'!$B$21))/SQRT((((211-43)*MAX('Inputs'!$B$33,'Inputs'!$B$29+'Inputs'!$B$31+'Inputs'!$B$32,'Inputs'!$B$30+'Inputs'!$B$31+'Inputs'!$B$32)/1000+'Inputs'!$B$21))^2+('Inputs'!$B$6/2)^2)))-'Results'!C7*(1+'Inputs'!$B$24)*(0.5*((((211-43)*MAX('Inputs'!$B$33,'Inputs'!$B$29+'Inputs'!$B$31+'Inputs'!$B$32,'Inputs'!$B$30+'Inputs'!$B$31+'Inputs'!$B$32)/1000+'Inputs'!$B$21+'Inputs'!$B$7+'Inputs'!$B$10)+'Inputs'!$B$9)/SQRT((((211-43)*MAX('Inputs'!$B$33,'Inputs'!$B$29+'Inputs'!$B$31+'Inputs'!$B$32,'Inputs'!$B$30+'Inputs'!$B$31+'Inputs'!$B$32)/1000+'Inputs'!$B$21+'Inputs'!$B$7+'Inputs'!$B$10)+'Inputs'!$B$9)^2+('Inputs'!$B$8/2)^2)-(((211-43)*MAX('Inputs'!$B$33,'Inputs'!$B$29+'Inputs'!$B$31+'Inputs'!$B$32,'Inputs'!$B$30+'Inputs'!$B$31+'Inputs'!$B$32)/1000+'Inputs'!$B$21+'Inputs'!$B$7+'Inputs'!$B$10))/SQRT((((211-43)*MAX('Inputs'!$B$33,'Inputs'!$B$29+'Inputs'!$B$31+'Inputs'!$B$32,'Inputs'!$B$30+'Inputs'!$B$31+'Inputs'!$B$32)/1000+'Inputs'!$B$21+'Inputs'!$B$7+'Inputs'!$B$10))^2+('Inputs'!$B$8/2)^2))))*'Results'!$B$8))),"")</x:f>
        <x:v>106.74484678668529</x:v>
      </x:c>
      <x:c r="L211" t="n">
        <x:f>IF(AND(ISNUMBER('Results'!B7),ISNUMBER('Results'!C7),ISNUMBER('Results'!$B$8),ISNUMBER('Inputs'!$B$6),ISNUMBER('Inputs'!$B$7),ISNUMBER('Inputs'!$B$8),ISNUMBER('Inputs'!$B$9),ISNUMBER('Inputs'!$B$10),ISNUMBER('Inputs'!$B$21),ISNUMBER('Inputs'!$B$24),ISNUMBER('Inputs'!$B$28)),((('Results'!B7*(1+'Inputs'!$B$24)*(0.5*((((211-43)*MAX('Inputs'!$B$33,'Inputs'!$B$29+'Inputs'!$B$31+'Inputs'!$B$32,'Inputs'!$B$30+'Inputs'!$B$31+'Inputs'!$B$32)/1000+'Inputs'!$B$21)+'Inputs'!$B$7)/SQRT((((211-43)*MAX('Inputs'!$B$33,'Inputs'!$B$29+'Inputs'!$B$31+'Inputs'!$B$32,'Inputs'!$B$30+'Inputs'!$B$31+'Inputs'!$B$32)/1000+'Inputs'!$B$21)+'Inputs'!$B$7)^2+('Inputs'!$B$6/2)^2)-(((211-43)*MAX('Inputs'!$B$33,'Inputs'!$B$29+'Inputs'!$B$31+'Inputs'!$B$32,'Inputs'!$B$30+'Inputs'!$B$31+'Inputs'!$B$32)/1000+'Inputs'!$B$21))/SQRT((((211-43)*MAX('Inputs'!$B$33,'Inputs'!$B$29+'Inputs'!$B$31+'Inputs'!$B$32,'Inputs'!$B$30+'Inputs'!$B$31+'Inputs'!$B$32)/1000+'Inputs'!$B$21))^2+('Inputs'!$B$6/2)^2)))-'Results'!C7*(1-'Inputs'!$B$24)*(0.5*((((211-43)*MAX('Inputs'!$B$33,'Inputs'!$B$29+'Inputs'!$B$31+'Inputs'!$B$32,'Inputs'!$B$30+'Inputs'!$B$31+'Inputs'!$B$32)/1000+'Inputs'!$B$21+'Inputs'!$B$7+'Inputs'!$B$10)+'Inputs'!$B$9)/SQRT((((211-43)*MAX('Inputs'!$B$33,'Inputs'!$B$29+'Inputs'!$B$31+'Inputs'!$B$32,'Inputs'!$B$30+'Inputs'!$B$31+'Inputs'!$B$32)/1000+'Inputs'!$B$21+'Inputs'!$B$7+'Inputs'!$B$10)+'Inputs'!$B$9)^2+('Inputs'!$B$8/2)^2)-(((211-43)*MAX('Inputs'!$B$33,'Inputs'!$B$29+'Inputs'!$B$31+'Inputs'!$B$32,'Inputs'!$B$30+'Inputs'!$B$31+'Inputs'!$B$32)/1000+'Inputs'!$B$21+'Inputs'!$B$7+'Inputs'!$B$10))/SQRT((((211-43)*MAX('Inputs'!$B$33,'Inputs'!$B$29+'Inputs'!$B$31+'Inputs'!$B$32,'Inputs'!$B$30+'Inputs'!$B$31+'Inputs'!$B$32)/1000+'Inputs'!$B$21+'Inputs'!$B$7+'Inputs'!$B$10))^2+('Inputs'!$B$8/2)^2))))*'Results'!$B$8)+'Inputs'!$B$28*ABS((('Results'!B7*(1+'Inputs'!$B$24)*(0.5*((((211-43)*MAX('Inputs'!$B$33,'Inputs'!$B$29+'Inputs'!$B$31+'Inputs'!$B$32,'Inputs'!$B$30+'Inputs'!$B$31+'Inputs'!$B$32)/1000+'Inputs'!$B$21)+'Inputs'!$B$7)/SQRT((((211-43)*MAX('Inputs'!$B$33,'Inputs'!$B$29+'Inputs'!$B$31+'Inputs'!$B$32,'Inputs'!$B$30+'Inputs'!$B$31+'Inputs'!$B$32)/1000+'Inputs'!$B$21)+'Inputs'!$B$7)^2+('Inputs'!$B$6/2)^2)-(((211-43)*MAX('Inputs'!$B$33,'Inputs'!$B$29+'Inputs'!$B$31+'Inputs'!$B$32,'Inputs'!$B$30+'Inputs'!$B$31+'Inputs'!$B$32)/1000+'Inputs'!$B$21))/SQRT((((211-43)*MAX('Inputs'!$B$33,'Inputs'!$B$29+'Inputs'!$B$31+'Inputs'!$B$32,'Inputs'!$B$30+'Inputs'!$B$31+'Inputs'!$B$32)/1000+'Inputs'!$B$21))^2+('Inputs'!$B$6/2)^2)))-'Results'!C7*(1-'Inputs'!$B$24)*(0.5*((((211-43)*MAX('Inputs'!$B$33,'Inputs'!$B$29+'Inputs'!$B$31+'Inputs'!$B$32,'Inputs'!$B$30+'Inputs'!$B$31+'Inputs'!$B$32)/1000+'Inputs'!$B$21+'Inputs'!$B$7+'Inputs'!$B$10)+'Inputs'!$B$9)/SQRT((((211-43)*MAX('Inputs'!$B$33,'Inputs'!$B$29+'Inputs'!$B$31+'Inputs'!$B$32,'Inputs'!$B$30+'Inputs'!$B$31+'Inputs'!$B$32)/1000+'Inputs'!$B$21+'Inputs'!$B$7+'Inputs'!$B$10)+'Inputs'!$B$9)^2+('Inputs'!$B$8/2)^2)-(((211-43)*MAX('Inputs'!$B$33,'Inputs'!$B$29+'Inputs'!$B$31+'Inputs'!$B$32,'Inputs'!$B$30+'Inputs'!$B$31+'Inputs'!$B$32)/1000+'Inputs'!$B$21+'Inputs'!$B$7+'Inputs'!$B$10))/SQRT((((211-43)*MAX('Inputs'!$B$33,'Inputs'!$B$29+'Inputs'!$B$31+'Inputs'!$B$32,'Inputs'!$B$30+'Inputs'!$B$31+'Inputs'!$B$32)/1000+'Inputs'!$B$21+'Inputs'!$B$7+'Inputs'!$B$10))^2+('Inputs'!$B$8/2)^2))))*'Results'!$B$8))),"")</x:f>
        <x:v>126.47717575732098</x:v>
      </x:c>
      <x:c r="M211" t="n">
        <x:f>IF(AND(ISNUMBER('Results'!C7),ISNUMBER('Results'!B7),ISNUMBER('Results'!$B$8),ISNUMBER('Inputs'!$B$6),ISNUMBER('Inputs'!$B$7),ISNUMBER('Inputs'!$B$8),ISNUMBER('Inputs'!$B$9),ISNUMBER('Inputs'!$B$10),ISNUMBER('Inputs'!$B$21),ISNUMBER('Inputs'!$B$24),ISNUMBER('Inputs'!$B$28)),(('Results'!C7*(0.5*((((211-43)*MAX('Inputs'!$B$33,'Inputs'!$B$29+'Inputs'!$B$31+'Inputs'!$B$32,'Inputs'!$B$30+'Inputs'!$B$31+'Inputs'!$B$32)/1000+'Inputs'!$B$21)+'Inputs'!$B$9)/SQRT((((211-43)*MAX('Inputs'!$B$33,'Inputs'!$B$29+'Inputs'!$B$31+'Inputs'!$B$32,'Inputs'!$B$30+'Inputs'!$B$31+'Inputs'!$B$32)/1000+'Inputs'!$B$21)+'Inputs'!$B$9)^2+('Inputs'!$B$8/2)^2)-(((211-43)*MAX('Inputs'!$B$33,'Inputs'!$B$29+'Inputs'!$B$31+'Inputs'!$B$32,'Inputs'!$B$30+'Inputs'!$B$31+'Inputs'!$B$32)/1000+'Inputs'!$B$21))/SQRT((((211-43)*MAX('Inputs'!$B$33,'Inputs'!$B$29+'Inputs'!$B$31+'Inputs'!$B$32,'Inputs'!$B$30+'Inputs'!$B$31+'Inputs'!$B$32)/1000+'Inputs'!$B$21))^2+('Inputs'!$B$8/2)^2)))-'Results'!B7*(0.5*((((211-43)*MAX('Inputs'!$B$33,'Inputs'!$B$29+'Inputs'!$B$31+'Inputs'!$B$32,'Inputs'!$B$30+'Inputs'!$B$31+'Inputs'!$B$32)/1000+'Inputs'!$B$21+'Inputs'!$B$9+'Inputs'!$B$10)+'Inputs'!$B$7)/SQRT((((211-43)*MAX('Inputs'!$B$33,'Inputs'!$B$29+'Inputs'!$B$31+'Inputs'!$B$32,'Inputs'!$B$30+'Inputs'!$B$31+'Inputs'!$B$32)/1000+'Inputs'!$B$21+'Inputs'!$B$9+'Inputs'!$B$10)+'Inputs'!$B$7)^2+('Inputs'!$B$6/2)^2)-(((211-43)*MAX('Inputs'!$B$33,'Inputs'!$B$29+'Inputs'!$B$31+'Inputs'!$B$32,'Inputs'!$B$30+'Inputs'!$B$31+'Inputs'!$B$32)/1000+'Inputs'!$B$21+'Inputs'!$B$9+'Inputs'!$B$10))/SQRT((((211-43)*MAX('Inputs'!$B$33,'Inputs'!$B$29+'Inputs'!$B$31+'Inputs'!$B$32,'Inputs'!$B$30+'Inputs'!$B$31+'Inputs'!$B$32)/1000+'Inputs'!$B$21+'Inputs'!$B$9+'Inputs'!$B$10))^2+('Inputs'!$B$6/2)^2))))*'Results'!$B$8),"")</x:f>
        <x:v>112.34547055893972</x:v>
      </x:c>
      <x:c r="N211" t="n">
        <x:f>IF(AND(ISNUMBER('Results'!C7),ISNUMBER('Results'!B7),ISNUMBER('Results'!$B$8),ISNUMBER('Inputs'!$B$6),ISNUMBER('Inputs'!$B$7),ISNUMBER('Inputs'!$B$8),ISNUMBER('Inputs'!$B$9),ISNUMBER('Inputs'!$B$10),ISNUMBER('Inputs'!$B$21),ISNUMBER('Inputs'!$B$24),ISNUMBER('Inputs'!$B$28)),((('Results'!C7*(1-'Inputs'!$B$24)*(0.5*((((211-43)*MAX('Inputs'!$B$33,'Inputs'!$B$29+'Inputs'!$B$31+'Inputs'!$B$32,'Inputs'!$B$30+'Inputs'!$B$31+'Inputs'!$B$32)/1000+'Inputs'!$B$21)+'Inputs'!$B$9)/SQRT((((211-43)*MAX('Inputs'!$B$33,'Inputs'!$B$29+'Inputs'!$B$31+'Inputs'!$B$32,'Inputs'!$B$30+'Inputs'!$B$31+'Inputs'!$B$32)/1000+'Inputs'!$B$21)+'Inputs'!$B$9)^2+('Inputs'!$B$8/2)^2)-(((211-43)*MAX('Inputs'!$B$33,'Inputs'!$B$29+'Inputs'!$B$31+'Inputs'!$B$32,'Inputs'!$B$30+'Inputs'!$B$31+'Inputs'!$B$32)/1000+'Inputs'!$B$21))/SQRT((((211-43)*MAX('Inputs'!$B$33,'Inputs'!$B$29+'Inputs'!$B$31+'Inputs'!$B$32,'Inputs'!$B$30+'Inputs'!$B$31+'Inputs'!$B$32)/1000+'Inputs'!$B$21))^2+('Inputs'!$B$8/2)^2)))-'Results'!B7*(1+'Inputs'!$B$24)*(0.5*((((211-43)*MAX('Inputs'!$B$33,'Inputs'!$B$29+'Inputs'!$B$31+'Inputs'!$B$32,'Inputs'!$B$30+'Inputs'!$B$31+'Inputs'!$B$32)/1000+'Inputs'!$B$21+'Inputs'!$B$9+'Inputs'!$B$10)+'Inputs'!$B$7)/SQRT((((211-43)*MAX('Inputs'!$B$33,'Inputs'!$B$29+'Inputs'!$B$31+'Inputs'!$B$32,'Inputs'!$B$30+'Inputs'!$B$31+'Inputs'!$B$32)/1000+'Inputs'!$B$21+'Inputs'!$B$9+'Inputs'!$B$10)+'Inputs'!$B$7)^2+('Inputs'!$B$6/2)^2)-(((211-43)*MAX('Inputs'!$B$33,'Inputs'!$B$29+'Inputs'!$B$31+'Inputs'!$B$32,'Inputs'!$B$30+'Inputs'!$B$31+'Inputs'!$B$32)/1000+'Inputs'!$B$21+'Inputs'!$B$9+'Inputs'!$B$10))/SQRT((((211-43)*MAX('Inputs'!$B$33,'Inputs'!$B$29+'Inputs'!$B$31+'Inputs'!$B$32,'Inputs'!$B$30+'Inputs'!$B$31+'Inputs'!$B$32)/1000+'Inputs'!$B$21+'Inputs'!$B$9+'Inputs'!$B$10))^2+('Inputs'!$B$6/2)^2))))*'Results'!$B$8)-'Inputs'!$B$28*ABS((('Results'!C7*(1-'Inputs'!$B$24)*(0.5*((((211-43)*MAX('Inputs'!$B$33,'Inputs'!$B$29+'Inputs'!$B$31+'Inputs'!$B$32,'Inputs'!$B$30+'Inputs'!$B$31+'Inputs'!$B$32)/1000+'Inputs'!$B$21)+'Inputs'!$B$9)/SQRT((((211-43)*MAX('Inputs'!$B$33,'Inputs'!$B$29+'Inputs'!$B$31+'Inputs'!$B$32,'Inputs'!$B$30+'Inputs'!$B$31+'Inputs'!$B$32)/1000+'Inputs'!$B$21)+'Inputs'!$B$9)^2+('Inputs'!$B$8/2)^2)-(((211-43)*MAX('Inputs'!$B$33,'Inputs'!$B$29+'Inputs'!$B$31+'Inputs'!$B$32,'Inputs'!$B$30+'Inputs'!$B$31+'Inputs'!$B$32)/1000+'Inputs'!$B$21))/SQRT((((211-43)*MAX('Inputs'!$B$33,'Inputs'!$B$29+'Inputs'!$B$31+'Inputs'!$B$32,'Inputs'!$B$30+'Inputs'!$B$31+'Inputs'!$B$32)/1000+'Inputs'!$B$21))^2+('Inputs'!$B$8/2)^2)))-'Results'!B7*(1+'Inputs'!$B$24)*(0.5*((((211-43)*MAX('Inputs'!$B$33,'Inputs'!$B$29+'Inputs'!$B$31+'Inputs'!$B$32,'Inputs'!$B$30+'Inputs'!$B$31+'Inputs'!$B$32)/1000+'Inputs'!$B$21+'Inputs'!$B$9+'Inputs'!$B$10)+'Inputs'!$B$7)/SQRT((((211-43)*MAX('Inputs'!$B$33,'Inputs'!$B$29+'Inputs'!$B$31+'Inputs'!$B$32,'Inputs'!$B$30+'Inputs'!$B$31+'Inputs'!$B$32)/1000+'Inputs'!$B$21+'Inputs'!$B$9+'Inputs'!$B$10)+'Inputs'!$B$7)^2+('Inputs'!$B$6/2)^2)-(((211-43)*MAX('Inputs'!$B$33,'Inputs'!$B$29+'Inputs'!$B$31+'Inputs'!$B$32,'Inputs'!$B$30+'Inputs'!$B$31+'Inputs'!$B$32)/1000+'Inputs'!$B$21+'Inputs'!$B$9+'Inputs'!$B$10))/SQRT((((211-43)*MAX('Inputs'!$B$33,'Inputs'!$B$29+'Inputs'!$B$31+'Inputs'!$B$32,'Inputs'!$B$30+'Inputs'!$B$31+'Inputs'!$B$32)/1000+'Inputs'!$B$21+'Inputs'!$B$9+'Inputs'!$B$10))^2+('Inputs'!$B$6/2)^2))))*'Results'!$B$8))),"")</x:f>
        <x:v>102.92865752111828</x:v>
      </x:c>
      <x:c r="O211" t="n">
        <x:f>IF(AND(ISNUMBER('Results'!C7),ISNUMBER('Results'!B7),ISNUMBER('Results'!$B$8),ISNUMBER('Inputs'!$B$6),ISNUMBER('Inputs'!$B$7),ISNUMBER('Inputs'!$B$8),ISNUMBER('Inputs'!$B$9),ISNUMBER('Inputs'!$B$10),ISNUMBER('Inputs'!$B$21),ISNUMBER('Inputs'!$B$24),ISNUMBER('Inputs'!$B$28)),((('Results'!C7*(1+'Inputs'!$B$24)*(0.5*((((211-43)*MAX('Inputs'!$B$33,'Inputs'!$B$29+'Inputs'!$B$31+'Inputs'!$B$32,'Inputs'!$B$30+'Inputs'!$B$31+'Inputs'!$B$32)/1000+'Inputs'!$B$21)+'Inputs'!$B$9)/SQRT((((211-43)*MAX('Inputs'!$B$33,'Inputs'!$B$29+'Inputs'!$B$31+'Inputs'!$B$32,'Inputs'!$B$30+'Inputs'!$B$31+'Inputs'!$B$32)/1000+'Inputs'!$B$21)+'Inputs'!$B$9)^2+('Inputs'!$B$8/2)^2)-(((211-43)*MAX('Inputs'!$B$33,'Inputs'!$B$29+'Inputs'!$B$31+'Inputs'!$B$32,'Inputs'!$B$30+'Inputs'!$B$31+'Inputs'!$B$32)/1000+'Inputs'!$B$21))/SQRT((((211-43)*MAX('Inputs'!$B$33,'Inputs'!$B$29+'Inputs'!$B$31+'Inputs'!$B$32,'Inputs'!$B$30+'Inputs'!$B$31+'Inputs'!$B$32)/1000+'Inputs'!$B$21))^2+('Inputs'!$B$8/2)^2)))-'Results'!B7*(1-'Inputs'!$B$24)*(0.5*((((211-43)*MAX('Inputs'!$B$33,'Inputs'!$B$29+'Inputs'!$B$31+'Inputs'!$B$32,'Inputs'!$B$30+'Inputs'!$B$31+'Inputs'!$B$32)/1000+'Inputs'!$B$21+'Inputs'!$B$9+'Inputs'!$B$10)+'Inputs'!$B$7)/SQRT((((211-43)*MAX('Inputs'!$B$33,'Inputs'!$B$29+'Inputs'!$B$31+'Inputs'!$B$32,'Inputs'!$B$30+'Inputs'!$B$31+'Inputs'!$B$32)/1000+'Inputs'!$B$21+'Inputs'!$B$9+'Inputs'!$B$10)+'Inputs'!$B$7)^2+('Inputs'!$B$6/2)^2)-(((211-43)*MAX('Inputs'!$B$33,'Inputs'!$B$29+'Inputs'!$B$31+'Inputs'!$B$32,'Inputs'!$B$30+'Inputs'!$B$31+'Inputs'!$B$32)/1000+'Inputs'!$B$21+'Inputs'!$B$9+'Inputs'!$B$10))/SQRT((((211-43)*MAX('Inputs'!$B$33,'Inputs'!$B$29+'Inputs'!$B$31+'Inputs'!$B$32,'Inputs'!$B$30+'Inputs'!$B$31+'Inputs'!$B$32)/1000+'Inputs'!$B$21+'Inputs'!$B$9+'Inputs'!$B$10))^2+('Inputs'!$B$6/2)^2))))*'Results'!$B$8)+'Inputs'!$B$28*ABS((('Results'!C7*(1+'Inputs'!$B$24)*(0.5*((((211-43)*MAX('Inputs'!$B$33,'Inputs'!$B$29+'Inputs'!$B$31+'Inputs'!$B$32,'Inputs'!$B$30+'Inputs'!$B$31+'Inputs'!$B$32)/1000+'Inputs'!$B$21)+'Inputs'!$B$9)/SQRT((((211-43)*MAX('Inputs'!$B$33,'Inputs'!$B$29+'Inputs'!$B$31+'Inputs'!$B$32,'Inputs'!$B$30+'Inputs'!$B$31+'Inputs'!$B$32)/1000+'Inputs'!$B$21)+'Inputs'!$B$9)^2+('Inputs'!$B$8/2)^2)-(((211-43)*MAX('Inputs'!$B$33,'Inputs'!$B$29+'Inputs'!$B$31+'Inputs'!$B$32,'Inputs'!$B$30+'Inputs'!$B$31+'Inputs'!$B$32)/1000+'Inputs'!$B$21))/SQRT((((211-43)*MAX('Inputs'!$B$33,'Inputs'!$B$29+'Inputs'!$B$31+'Inputs'!$B$32,'Inputs'!$B$30+'Inputs'!$B$31+'Inputs'!$B$32)/1000+'Inputs'!$B$21))^2+('Inputs'!$B$8/2)^2)))-'Results'!B7*(1-'Inputs'!$B$24)*(0.5*((((211-43)*MAX('Inputs'!$B$33,'Inputs'!$B$29+'Inputs'!$B$31+'Inputs'!$B$32,'Inputs'!$B$30+'Inputs'!$B$31+'Inputs'!$B$32)/1000+'Inputs'!$B$21+'Inputs'!$B$9+'Inputs'!$B$10)+'Inputs'!$B$7)/SQRT((((211-43)*MAX('Inputs'!$B$33,'Inputs'!$B$29+'Inputs'!$B$31+'Inputs'!$B$32,'Inputs'!$B$30+'Inputs'!$B$31+'Inputs'!$B$32)/1000+'Inputs'!$B$21+'Inputs'!$B$9+'Inputs'!$B$10)+'Inputs'!$B$7)^2+('Inputs'!$B$6/2)^2)-(((211-43)*MAX('Inputs'!$B$33,'Inputs'!$B$29+'Inputs'!$B$31+'Inputs'!$B$32,'Inputs'!$B$30+'Inputs'!$B$31+'Inputs'!$B$32)/1000+'Inputs'!$B$21+'Inputs'!$B$9+'Inputs'!$B$10))/SQRT((((211-43)*MAX('Inputs'!$B$33,'Inputs'!$B$29+'Inputs'!$B$31+'Inputs'!$B$32,'Inputs'!$B$30+'Inputs'!$B$31+'Inputs'!$B$32)/1000+'Inputs'!$B$21+'Inputs'!$B$9+'Inputs'!$B$10))^2+('Inputs'!$B$6/2)^2))))*'Results'!$B$8))),"")</x:f>
        <x:v>122.16223512411634</x:v>
      </x:c>
      <x:c r="P211" t="n">
        <x:f>IF(AND(MAX(J211,J210)&gt;0,J211&gt;J210+0.00000001),1,0)</x:f>
        <x:v>0</x:v>
      </x:c>
      <x:c r="Q211" t="n">
        <x:f>IF(AND(MAX(K211,K210)&gt;0,K211&gt;K210+0.00000001),1,0)</x:f>
        <x:v>0</x:v>
      </x:c>
      <x:c r="R211" t="n">
        <x:f>IF(AND(MAX(L211,L210)&gt;0,L211&gt;L210+0.00000001),1,0)</x:f>
        <x:v>0</x:v>
      </x:c>
      <x:c r="S211" t="n">
        <x:f>IF(AND(MAX(M211,M210)&gt;0,M211&gt;M210+0.00000001),1,0)</x:f>
        <x:v>0</x:v>
      </x:c>
      <x:c r="T211" t="n">
        <x:f>IF(AND(MAX(N211,N210)&gt;0,N211&gt;N210+0.00000001),1,0)</x:f>
        <x:v>0</x:v>
      </x:c>
      <x:c r="U211" t="n">
        <x:f>IF(AND(MAX(O211,O210)&gt;0,O211&gt;O210+0.00000001),1,0)</x:f>
        <x:v>0</x:v>
      </x:c>
    </x:row>
    <x:row r="212">
      <x:c r="J212" t="n">
        <x:f>IF(AND(ISNUMBER('Results'!B7),ISNUMBER('Results'!C7),ISNUMBER('Results'!$B$8),ISNUMBER('Inputs'!$B$6),ISNUMBER('Inputs'!$B$7),ISNUMBER('Inputs'!$B$8),ISNUMBER('Inputs'!$B$9),ISNUMBER('Inputs'!$B$10),ISNUMBER('Inputs'!$B$21),ISNUMBER('Inputs'!$B$24),ISNUMBER('Inputs'!$B$28)),(('Results'!B7*(0.5*((((212-43)*MAX('Inputs'!$B$33,'Inputs'!$B$29+'Inputs'!$B$31+'Inputs'!$B$32,'Inputs'!$B$30+'Inputs'!$B$31+'Inputs'!$B$32)/1000+'Inputs'!$B$21)+'Inputs'!$B$7)/SQRT((((212-43)*MAX('Inputs'!$B$33,'Inputs'!$B$29+'Inputs'!$B$31+'Inputs'!$B$32,'Inputs'!$B$30+'Inputs'!$B$31+'Inputs'!$B$32)/1000+'Inputs'!$B$21)+'Inputs'!$B$7)^2+('Inputs'!$B$6/2)^2)-(((212-43)*MAX('Inputs'!$B$33,'Inputs'!$B$29+'Inputs'!$B$31+'Inputs'!$B$32,'Inputs'!$B$30+'Inputs'!$B$31+'Inputs'!$B$32)/1000+'Inputs'!$B$21))/SQRT((((212-43)*MAX('Inputs'!$B$33,'Inputs'!$B$29+'Inputs'!$B$31+'Inputs'!$B$32,'Inputs'!$B$30+'Inputs'!$B$31+'Inputs'!$B$32)/1000+'Inputs'!$B$21))^2+('Inputs'!$B$6/2)^2)))-'Results'!C7*(0.5*((((212-43)*MAX('Inputs'!$B$33,'Inputs'!$B$29+'Inputs'!$B$31+'Inputs'!$B$32,'Inputs'!$B$30+'Inputs'!$B$31+'Inputs'!$B$32)/1000+'Inputs'!$B$21+'Inputs'!$B$7+'Inputs'!$B$10)+'Inputs'!$B$9)/SQRT((((212-43)*MAX('Inputs'!$B$33,'Inputs'!$B$29+'Inputs'!$B$31+'Inputs'!$B$32,'Inputs'!$B$30+'Inputs'!$B$31+'Inputs'!$B$32)/1000+'Inputs'!$B$21+'Inputs'!$B$7+'Inputs'!$B$10)+'Inputs'!$B$9)^2+('Inputs'!$B$8/2)^2)-(((212-43)*MAX('Inputs'!$B$33,'Inputs'!$B$29+'Inputs'!$B$31+'Inputs'!$B$32,'Inputs'!$B$30+'Inputs'!$B$31+'Inputs'!$B$32)/1000+'Inputs'!$B$21+'Inputs'!$B$7+'Inputs'!$B$10))/SQRT((((212-43)*MAX('Inputs'!$B$33,'Inputs'!$B$29+'Inputs'!$B$31+'Inputs'!$B$32,'Inputs'!$B$30+'Inputs'!$B$31+'Inputs'!$B$32)/1000+'Inputs'!$B$21+'Inputs'!$B$7+'Inputs'!$B$10))^2+('Inputs'!$B$8/2)^2))))*'Results'!$B$8),"")</x:f>
        <x:v>114.64899988176364</x:v>
      </x:c>
      <x:c r="K212" t="n">
        <x:f>IF(AND(ISNUMBER('Results'!B7),ISNUMBER('Results'!C7),ISNUMBER('Results'!$B$8),ISNUMBER('Inputs'!$B$6),ISNUMBER('Inputs'!$B$7),ISNUMBER('Inputs'!$B$8),ISNUMBER('Inputs'!$B$9),ISNUMBER('Inputs'!$B$10),ISNUMBER('Inputs'!$B$21),ISNUMBER('Inputs'!$B$24),ISNUMBER('Inputs'!$B$28)),((('Results'!B7*(1-'Inputs'!$B$24)*(0.5*((((212-43)*MAX('Inputs'!$B$33,'Inputs'!$B$29+'Inputs'!$B$31+'Inputs'!$B$32,'Inputs'!$B$30+'Inputs'!$B$31+'Inputs'!$B$32)/1000+'Inputs'!$B$21)+'Inputs'!$B$7)/SQRT((((212-43)*MAX('Inputs'!$B$33,'Inputs'!$B$29+'Inputs'!$B$31+'Inputs'!$B$32,'Inputs'!$B$30+'Inputs'!$B$31+'Inputs'!$B$32)/1000+'Inputs'!$B$21)+'Inputs'!$B$7)^2+('Inputs'!$B$6/2)^2)-(((212-43)*MAX('Inputs'!$B$33,'Inputs'!$B$29+'Inputs'!$B$31+'Inputs'!$B$32,'Inputs'!$B$30+'Inputs'!$B$31+'Inputs'!$B$32)/1000+'Inputs'!$B$21))/SQRT((((212-43)*MAX('Inputs'!$B$33,'Inputs'!$B$29+'Inputs'!$B$31+'Inputs'!$B$32,'Inputs'!$B$30+'Inputs'!$B$31+'Inputs'!$B$32)/1000+'Inputs'!$B$21))^2+('Inputs'!$B$6/2)^2)))-'Results'!C7*(1+'Inputs'!$B$24)*(0.5*((((212-43)*MAX('Inputs'!$B$33,'Inputs'!$B$29+'Inputs'!$B$31+'Inputs'!$B$32,'Inputs'!$B$30+'Inputs'!$B$31+'Inputs'!$B$32)/1000+'Inputs'!$B$21+'Inputs'!$B$7+'Inputs'!$B$10)+'Inputs'!$B$9)/SQRT((((212-43)*MAX('Inputs'!$B$33,'Inputs'!$B$29+'Inputs'!$B$31+'Inputs'!$B$32,'Inputs'!$B$30+'Inputs'!$B$31+'Inputs'!$B$32)/1000+'Inputs'!$B$21+'Inputs'!$B$7+'Inputs'!$B$10)+'Inputs'!$B$9)^2+('Inputs'!$B$8/2)^2)-(((212-43)*MAX('Inputs'!$B$33,'Inputs'!$B$29+'Inputs'!$B$31+'Inputs'!$B$32,'Inputs'!$B$30+'Inputs'!$B$31+'Inputs'!$B$32)/1000+'Inputs'!$B$21+'Inputs'!$B$7+'Inputs'!$B$10))/SQRT((((212-43)*MAX('Inputs'!$B$33,'Inputs'!$B$29+'Inputs'!$B$31+'Inputs'!$B$32,'Inputs'!$B$30+'Inputs'!$B$31+'Inputs'!$B$32)/1000+'Inputs'!$B$21+'Inputs'!$B$7+'Inputs'!$B$10))^2+('Inputs'!$B$8/2)^2))))*'Results'!$B$8)-'Inputs'!$B$28*ABS((('Results'!B7*(1-'Inputs'!$B$24)*(0.5*((((212-43)*MAX('Inputs'!$B$33,'Inputs'!$B$29+'Inputs'!$B$31+'Inputs'!$B$32,'Inputs'!$B$30+'Inputs'!$B$31+'Inputs'!$B$32)/1000+'Inputs'!$B$21)+'Inputs'!$B$7)/SQRT((((212-43)*MAX('Inputs'!$B$33,'Inputs'!$B$29+'Inputs'!$B$31+'Inputs'!$B$32,'Inputs'!$B$30+'Inputs'!$B$31+'Inputs'!$B$32)/1000+'Inputs'!$B$21)+'Inputs'!$B$7)^2+('Inputs'!$B$6/2)^2)-(((212-43)*MAX('Inputs'!$B$33,'Inputs'!$B$29+'Inputs'!$B$31+'Inputs'!$B$32,'Inputs'!$B$30+'Inputs'!$B$31+'Inputs'!$B$32)/1000+'Inputs'!$B$21))/SQRT((((212-43)*MAX('Inputs'!$B$33,'Inputs'!$B$29+'Inputs'!$B$31+'Inputs'!$B$32,'Inputs'!$B$30+'Inputs'!$B$31+'Inputs'!$B$32)/1000+'Inputs'!$B$21))^2+('Inputs'!$B$6/2)^2)))-'Results'!C7*(1+'Inputs'!$B$24)*(0.5*((((212-43)*MAX('Inputs'!$B$33,'Inputs'!$B$29+'Inputs'!$B$31+'Inputs'!$B$32,'Inputs'!$B$30+'Inputs'!$B$31+'Inputs'!$B$32)/1000+'Inputs'!$B$21+'Inputs'!$B$7+'Inputs'!$B$10)+'Inputs'!$B$9)/SQRT((((212-43)*MAX('Inputs'!$B$33,'Inputs'!$B$29+'Inputs'!$B$31+'Inputs'!$B$32,'Inputs'!$B$30+'Inputs'!$B$31+'Inputs'!$B$32)/1000+'Inputs'!$B$21+'Inputs'!$B$7+'Inputs'!$B$10)+'Inputs'!$B$9)^2+('Inputs'!$B$8/2)^2)-(((212-43)*MAX('Inputs'!$B$33,'Inputs'!$B$29+'Inputs'!$B$31+'Inputs'!$B$32,'Inputs'!$B$30+'Inputs'!$B$31+'Inputs'!$B$32)/1000+'Inputs'!$B$21+'Inputs'!$B$7+'Inputs'!$B$10))/SQRT((((212-43)*MAX('Inputs'!$B$33,'Inputs'!$B$29+'Inputs'!$B$31+'Inputs'!$B$32,'Inputs'!$B$30+'Inputs'!$B$31+'Inputs'!$B$32)/1000+'Inputs'!$B$21+'Inputs'!$B$7+'Inputs'!$B$10))^2+('Inputs'!$B$8/2)^2))))*'Results'!$B$8))),"")</x:f>
        <x:v>105.12165686387347</x:v>
      </x:c>
      <x:c r="L212" t="n">
        <x:f>IF(AND(ISNUMBER('Results'!B7),ISNUMBER('Results'!C7),ISNUMBER('Results'!$B$8),ISNUMBER('Inputs'!$B$6),ISNUMBER('Inputs'!$B$7),ISNUMBER('Inputs'!$B$8),ISNUMBER('Inputs'!$B$9),ISNUMBER('Inputs'!$B$10),ISNUMBER('Inputs'!$B$21),ISNUMBER('Inputs'!$B$24),ISNUMBER('Inputs'!$B$28)),((('Results'!B7*(1+'Inputs'!$B$24)*(0.5*((((212-43)*MAX('Inputs'!$B$33,'Inputs'!$B$29+'Inputs'!$B$31+'Inputs'!$B$32,'Inputs'!$B$30+'Inputs'!$B$31+'Inputs'!$B$32)/1000+'Inputs'!$B$21)+'Inputs'!$B$7)/SQRT((((212-43)*MAX('Inputs'!$B$33,'Inputs'!$B$29+'Inputs'!$B$31+'Inputs'!$B$32,'Inputs'!$B$30+'Inputs'!$B$31+'Inputs'!$B$32)/1000+'Inputs'!$B$21)+'Inputs'!$B$7)^2+('Inputs'!$B$6/2)^2)-(((212-43)*MAX('Inputs'!$B$33,'Inputs'!$B$29+'Inputs'!$B$31+'Inputs'!$B$32,'Inputs'!$B$30+'Inputs'!$B$31+'Inputs'!$B$32)/1000+'Inputs'!$B$21))/SQRT((((212-43)*MAX('Inputs'!$B$33,'Inputs'!$B$29+'Inputs'!$B$31+'Inputs'!$B$32,'Inputs'!$B$30+'Inputs'!$B$31+'Inputs'!$B$32)/1000+'Inputs'!$B$21))^2+('Inputs'!$B$6/2)^2)))-'Results'!C7*(1-'Inputs'!$B$24)*(0.5*((((212-43)*MAX('Inputs'!$B$33,'Inputs'!$B$29+'Inputs'!$B$31+'Inputs'!$B$32,'Inputs'!$B$30+'Inputs'!$B$31+'Inputs'!$B$32)/1000+'Inputs'!$B$21+'Inputs'!$B$7+'Inputs'!$B$10)+'Inputs'!$B$9)/SQRT((((212-43)*MAX('Inputs'!$B$33,'Inputs'!$B$29+'Inputs'!$B$31+'Inputs'!$B$32,'Inputs'!$B$30+'Inputs'!$B$31+'Inputs'!$B$32)/1000+'Inputs'!$B$21+'Inputs'!$B$7+'Inputs'!$B$10)+'Inputs'!$B$9)^2+('Inputs'!$B$8/2)^2)-(((212-43)*MAX('Inputs'!$B$33,'Inputs'!$B$29+'Inputs'!$B$31+'Inputs'!$B$32,'Inputs'!$B$30+'Inputs'!$B$31+'Inputs'!$B$32)/1000+'Inputs'!$B$21+'Inputs'!$B$7+'Inputs'!$B$10))/SQRT((((212-43)*MAX('Inputs'!$B$33,'Inputs'!$B$29+'Inputs'!$B$31+'Inputs'!$B$32,'Inputs'!$B$30+'Inputs'!$B$31+'Inputs'!$B$32)/1000+'Inputs'!$B$21+'Inputs'!$B$7+'Inputs'!$B$10))^2+('Inputs'!$B$8/2)^2))))*'Results'!$B$8)+'Inputs'!$B$28*ABS((('Results'!B7*(1+'Inputs'!$B$24)*(0.5*((((212-43)*MAX('Inputs'!$B$33,'Inputs'!$B$29+'Inputs'!$B$31+'Inputs'!$B$32,'Inputs'!$B$30+'Inputs'!$B$31+'Inputs'!$B$32)/1000+'Inputs'!$B$21)+'Inputs'!$B$7)/SQRT((((212-43)*MAX('Inputs'!$B$33,'Inputs'!$B$29+'Inputs'!$B$31+'Inputs'!$B$32,'Inputs'!$B$30+'Inputs'!$B$31+'Inputs'!$B$32)/1000+'Inputs'!$B$21)+'Inputs'!$B$7)^2+('Inputs'!$B$6/2)^2)-(((212-43)*MAX('Inputs'!$B$33,'Inputs'!$B$29+'Inputs'!$B$31+'Inputs'!$B$32,'Inputs'!$B$30+'Inputs'!$B$31+'Inputs'!$B$32)/1000+'Inputs'!$B$21))/SQRT((((212-43)*MAX('Inputs'!$B$33,'Inputs'!$B$29+'Inputs'!$B$31+'Inputs'!$B$32,'Inputs'!$B$30+'Inputs'!$B$31+'Inputs'!$B$32)/1000+'Inputs'!$B$21))^2+('Inputs'!$B$6/2)^2)))-'Results'!C7*(1-'Inputs'!$B$24)*(0.5*((((212-43)*MAX('Inputs'!$B$33,'Inputs'!$B$29+'Inputs'!$B$31+'Inputs'!$B$32,'Inputs'!$B$30+'Inputs'!$B$31+'Inputs'!$B$32)/1000+'Inputs'!$B$21+'Inputs'!$B$7+'Inputs'!$B$10)+'Inputs'!$B$9)/SQRT((((212-43)*MAX('Inputs'!$B$33,'Inputs'!$B$29+'Inputs'!$B$31+'Inputs'!$B$32,'Inputs'!$B$30+'Inputs'!$B$31+'Inputs'!$B$32)/1000+'Inputs'!$B$21+'Inputs'!$B$7+'Inputs'!$B$10)+'Inputs'!$B$9)^2+('Inputs'!$B$8/2)^2)-(((212-43)*MAX('Inputs'!$B$33,'Inputs'!$B$29+'Inputs'!$B$31+'Inputs'!$B$32,'Inputs'!$B$30+'Inputs'!$B$31+'Inputs'!$B$32)/1000+'Inputs'!$B$21+'Inputs'!$B$7+'Inputs'!$B$10))/SQRT((((212-43)*MAX('Inputs'!$B$33,'Inputs'!$B$29+'Inputs'!$B$31+'Inputs'!$B$32,'Inputs'!$B$30+'Inputs'!$B$31+'Inputs'!$B$32)/1000+'Inputs'!$B$21+'Inputs'!$B$7+'Inputs'!$B$10))^2+('Inputs'!$B$8/2)^2))))*'Results'!$B$8))),"")</x:f>
        <x:v>124.57580532321192</x:v>
      </x:c>
      <x:c r="M212" t="n">
        <x:f>IF(AND(ISNUMBER('Results'!C7),ISNUMBER('Results'!B7),ISNUMBER('Results'!$B$8),ISNUMBER('Inputs'!$B$6),ISNUMBER('Inputs'!$B$7),ISNUMBER('Inputs'!$B$8),ISNUMBER('Inputs'!$B$9),ISNUMBER('Inputs'!$B$10),ISNUMBER('Inputs'!$B$21),ISNUMBER('Inputs'!$B$24),ISNUMBER('Inputs'!$B$28)),(('Results'!C7*(0.5*((((212-43)*MAX('Inputs'!$B$33,'Inputs'!$B$29+'Inputs'!$B$31+'Inputs'!$B$32,'Inputs'!$B$30+'Inputs'!$B$31+'Inputs'!$B$32)/1000+'Inputs'!$B$21)+'Inputs'!$B$9)/SQRT((((212-43)*MAX('Inputs'!$B$33,'Inputs'!$B$29+'Inputs'!$B$31+'Inputs'!$B$32,'Inputs'!$B$30+'Inputs'!$B$31+'Inputs'!$B$32)/1000+'Inputs'!$B$21)+'Inputs'!$B$9)^2+('Inputs'!$B$8/2)^2)-(((212-43)*MAX('Inputs'!$B$33,'Inputs'!$B$29+'Inputs'!$B$31+'Inputs'!$B$32,'Inputs'!$B$30+'Inputs'!$B$31+'Inputs'!$B$32)/1000+'Inputs'!$B$21))/SQRT((((212-43)*MAX('Inputs'!$B$33,'Inputs'!$B$29+'Inputs'!$B$31+'Inputs'!$B$32,'Inputs'!$B$30+'Inputs'!$B$31+'Inputs'!$B$32)/1000+'Inputs'!$B$21))^2+('Inputs'!$B$8/2)^2)))-'Results'!B7*(0.5*((((212-43)*MAX('Inputs'!$B$33,'Inputs'!$B$29+'Inputs'!$B$31+'Inputs'!$B$32,'Inputs'!$B$30+'Inputs'!$B$31+'Inputs'!$B$32)/1000+'Inputs'!$B$21+'Inputs'!$B$9+'Inputs'!$B$10)+'Inputs'!$B$7)/SQRT((((212-43)*MAX('Inputs'!$B$33,'Inputs'!$B$29+'Inputs'!$B$31+'Inputs'!$B$32,'Inputs'!$B$30+'Inputs'!$B$31+'Inputs'!$B$32)/1000+'Inputs'!$B$21+'Inputs'!$B$9+'Inputs'!$B$10)+'Inputs'!$B$7)^2+('Inputs'!$B$6/2)^2)-(((212-43)*MAX('Inputs'!$B$33,'Inputs'!$B$29+'Inputs'!$B$31+'Inputs'!$B$32,'Inputs'!$B$30+'Inputs'!$B$31+'Inputs'!$B$32)/1000+'Inputs'!$B$21+'Inputs'!$B$9+'Inputs'!$B$10))/SQRT((((212-43)*MAX('Inputs'!$B$33,'Inputs'!$B$29+'Inputs'!$B$31+'Inputs'!$B$32,'Inputs'!$B$30+'Inputs'!$B$31+'Inputs'!$B$32)/1000+'Inputs'!$B$21+'Inputs'!$B$9+'Inputs'!$B$10))^2+('Inputs'!$B$6/2)^2))))*'Results'!$B$8),"")</x:f>
        <x:v>110.63701192946888</x:v>
      </x:c>
      <x:c r="N212" t="n">
        <x:f>IF(AND(ISNUMBER('Results'!C7),ISNUMBER('Results'!B7),ISNUMBER('Results'!$B$8),ISNUMBER('Inputs'!$B$6),ISNUMBER('Inputs'!$B$7),ISNUMBER('Inputs'!$B$8),ISNUMBER('Inputs'!$B$9),ISNUMBER('Inputs'!$B$10),ISNUMBER('Inputs'!$B$21),ISNUMBER('Inputs'!$B$24),ISNUMBER('Inputs'!$B$28)),((('Results'!C7*(1-'Inputs'!$B$24)*(0.5*((((212-43)*MAX('Inputs'!$B$33,'Inputs'!$B$29+'Inputs'!$B$31+'Inputs'!$B$32,'Inputs'!$B$30+'Inputs'!$B$31+'Inputs'!$B$32)/1000+'Inputs'!$B$21)+'Inputs'!$B$9)/SQRT((((212-43)*MAX('Inputs'!$B$33,'Inputs'!$B$29+'Inputs'!$B$31+'Inputs'!$B$32,'Inputs'!$B$30+'Inputs'!$B$31+'Inputs'!$B$32)/1000+'Inputs'!$B$21)+'Inputs'!$B$9)^2+('Inputs'!$B$8/2)^2)-(((212-43)*MAX('Inputs'!$B$33,'Inputs'!$B$29+'Inputs'!$B$31+'Inputs'!$B$32,'Inputs'!$B$30+'Inputs'!$B$31+'Inputs'!$B$32)/1000+'Inputs'!$B$21))/SQRT((((212-43)*MAX('Inputs'!$B$33,'Inputs'!$B$29+'Inputs'!$B$31+'Inputs'!$B$32,'Inputs'!$B$30+'Inputs'!$B$31+'Inputs'!$B$32)/1000+'Inputs'!$B$21))^2+('Inputs'!$B$8/2)^2)))-'Results'!B7*(1+'Inputs'!$B$24)*(0.5*((((212-43)*MAX('Inputs'!$B$33,'Inputs'!$B$29+'Inputs'!$B$31+'Inputs'!$B$32,'Inputs'!$B$30+'Inputs'!$B$31+'Inputs'!$B$32)/1000+'Inputs'!$B$21+'Inputs'!$B$9+'Inputs'!$B$10)+'Inputs'!$B$7)/SQRT((((212-43)*MAX('Inputs'!$B$33,'Inputs'!$B$29+'Inputs'!$B$31+'Inputs'!$B$32,'Inputs'!$B$30+'Inputs'!$B$31+'Inputs'!$B$32)/1000+'Inputs'!$B$21+'Inputs'!$B$9+'Inputs'!$B$10)+'Inputs'!$B$7)^2+('Inputs'!$B$6/2)^2)-(((212-43)*MAX('Inputs'!$B$33,'Inputs'!$B$29+'Inputs'!$B$31+'Inputs'!$B$32,'Inputs'!$B$30+'Inputs'!$B$31+'Inputs'!$B$32)/1000+'Inputs'!$B$21+'Inputs'!$B$9+'Inputs'!$B$10))/SQRT((((212-43)*MAX('Inputs'!$B$33,'Inputs'!$B$29+'Inputs'!$B$31+'Inputs'!$B$32,'Inputs'!$B$30+'Inputs'!$B$31+'Inputs'!$B$32)/1000+'Inputs'!$B$21+'Inputs'!$B$9+'Inputs'!$B$10))^2+('Inputs'!$B$6/2)^2))))*'Results'!$B$8)-'Inputs'!$B$28*ABS((('Results'!C7*(1-'Inputs'!$B$24)*(0.5*((((212-43)*MAX('Inputs'!$B$33,'Inputs'!$B$29+'Inputs'!$B$31+'Inputs'!$B$32,'Inputs'!$B$30+'Inputs'!$B$31+'Inputs'!$B$32)/1000+'Inputs'!$B$21)+'Inputs'!$B$9)/SQRT((((212-43)*MAX('Inputs'!$B$33,'Inputs'!$B$29+'Inputs'!$B$31+'Inputs'!$B$32,'Inputs'!$B$30+'Inputs'!$B$31+'Inputs'!$B$32)/1000+'Inputs'!$B$21)+'Inputs'!$B$9)^2+('Inputs'!$B$8/2)^2)-(((212-43)*MAX('Inputs'!$B$33,'Inputs'!$B$29+'Inputs'!$B$31+'Inputs'!$B$32,'Inputs'!$B$30+'Inputs'!$B$31+'Inputs'!$B$32)/1000+'Inputs'!$B$21))/SQRT((((212-43)*MAX('Inputs'!$B$33,'Inputs'!$B$29+'Inputs'!$B$31+'Inputs'!$B$32,'Inputs'!$B$30+'Inputs'!$B$31+'Inputs'!$B$32)/1000+'Inputs'!$B$21))^2+('Inputs'!$B$8/2)^2)))-'Results'!B7*(1+'Inputs'!$B$24)*(0.5*((((212-43)*MAX('Inputs'!$B$33,'Inputs'!$B$29+'Inputs'!$B$31+'Inputs'!$B$32,'Inputs'!$B$30+'Inputs'!$B$31+'Inputs'!$B$32)/1000+'Inputs'!$B$21+'Inputs'!$B$9+'Inputs'!$B$10)+'Inputs'!$B$7)/SQRT((((212-43)*MAX('Inputs'!$B$33,'Inputs'!$B$29+'Inputs'!$B$31+'Inputs'!$B$32,'Inputs'!$B$30+'Inputs'!$B$31+'Inputs'!$B$32)/1000+'Inputs'!$B$21+'Inputs'!$B$9+'Inputs'!$B$10)+'Inputs'!$B$7)^2+('Inputs'!$B$6/2)^2)-(((212-43)*MAX('Inputs'!$B$33,'Inputs'!$B$29+'Inputs'!$B$31+'Inputs'!$B$32,'Inputs'!$B$30+'Inputs'!$B$31+'Inputs'!$B$32)/1000+'Inputs'!$B$21+'Inputs'!$B$9+'Inputs'!$B$10))/SQRT((((212-43)*MAX('Inputs'!$B$33,'Inputs'!$B$29+'Inputs'!$B$31+'Inputs'!$B$32,'Inputs'!$B$30+'Inputs'!$B$31+'Inputs'!$B$32)/1000+'Inputs'!$B$21+'Inputs'!$B$9+'Inputs'!$B$10))^2+('Inputs'!$B$6/2)^2))))*'Results'!$B$8))),"")</x:f>
        <x:v>101.35350501853094</x:v>
      </x:c>
      <x:c r="O212" t="n">
        <x:f>IF(AND(ISNUMBER('Results'!C7),ISNUMBER('Results'!B7),ISNUMBER('Results'!$B$8),ISNUMBER('Inputs'!$B$6),ISNUMBER('Inputs'!$B$7),ISNUMBER('Inputs'!$B$8),ISNUMBER('Inputs'!$B$9),ISNUMBER('Inputs'!$B$10),ISNUMBER('Inputs'!$B$21),ISNUMBER('Inputs'!$B$24),ISNUMBER('Inputs'!$B$28)),((('Results'!C7*(1+'Inputs'!$B$24)*(0.5*((((212-43)*MAX('Inputs'!$B$33,'Inputs'!$B$29+'Inputs'!$B$31+'Inputs'!$B$32,'Inputs'!$B$30+'Inputs'!$B$31+'Inputs'!$B$32)/1000+'Inputs'!$B$21)+'Inputs'!$B$9)/SQRT((((212-43)*MAX('Inputs'!$B$33,'Inputs'!$B$29+'Inputs'!$B$31+'Inputs'!$B$32,'Inputs'!$B$30+'Inputs'!$B$31+'Inputs'!$B$32)/1000+'Inputs'!$B$21)+'Inputs'!$B$9)^2+('Inputs'!$B$8/2)^2)-(((212-43)*MAX('Inputs'!$B$33,'Inputs'!$B$29+'Inputs'!$B$31+'Inputs'!$B$32,'Inputs'!$B$30+'Inputs'!$B$31+'Inputs'!$B$32)/1000+'Inputs'!$B$21))/SQRT((((212-43)*MAX('Inputs'!$B$33,'Inputs'!$B$29+'Inputs'!$B$31+'Inputs'!$B$32,'Inputs'!$B$30+'Inputs'!$B$31+'Inputs'!$B$32)/1000+'Inputs'!$B$21))^2+('Inputs'!$B$8/2)^2)))-'Results'!B7*(1-'Inputs'!$B$24)*(0.5*((((212-43)*MAX('Inputs'!$B$33,'Inputs'!$B$29+'Inputs'!$B$31+'Inputs'!$B$32,'Inputs'!$B$30+'Inputs'!$B$31+'Inputs'!$B$32)/1000+'Inputs'!$B$21+'Inputs'!$B$9+'Inputs'!$B$10)+'Inputs'!$B$7)/SQRT((((212-43)*MAX('Inputs'!$B$33,'Inputs'!$B$29+'Inputs'!$B$31+'Inputs'!$B$32,'Inputs'!$B$30+'Inputs'!$B$31+'Inputs'!$B$32)/1000+'Inputs'!$B$21+'Inputs'!$B$9+'Inputs'!$B$10)+'Inputs'!$B$7)^2+('Inputs'!$B$6/2)^2)-(((212-43)*MAX('Inputs'!$B$33,'Inputs'!$B$29+'Inputs'!$B$31+'Inputs'!$B$32,'Inputs'!$B$30+'Inputs'!$B$31+'Inputs'!$B$32)/1000+'Inputs'!$B$21+'Inputs'!$B$9+'Inputs'!$B$10))/SQRT((((212-43)*MAX('Inputs'!$B$33,'Inputs'!$B$29+'Inputs'!$B$31+'Inputs'!$B$32,'Inputs'!$B$30+'Inputs'!$B$31+'Inputs'!$B$32)/1000+'Inputs'!$B$21+'Inputs'!$B$9+'Inputs'!$B$10))^2+('Inputs'!$B$6/2)^2))))*'Results'!$B$8)+'Inputs'!$B$28*ABS((('Results'!C7*(1+'Inputs'!$B$24)*(0.5*((((212-43)*MAX('Inputs'!$B$33,'Inputs'!$B$29+'Inputs'!$B$31+'Inputs'!$B$32,'Inputs'!$B$30+'Inputs'!$B$31+'Inputs'!$B$32)/1000+'Inputs'!$B$21)+'Inputs'!$B$9)/SQRT((((212-43)*MAX('Inputs'!$B$33,'Inputs'!$B$29+'Inputs'!$B$31+'Inputs'!$B$32,'Inputs'!$B$30+'Inputs'!$B$31+'Inputs'!$B$32)/1000+'Inputs'!$B$21)+'Inputs'!$B$9)^2+('Inputs'!$B$8/2)^2)-(((212-43)*MAX('Inputs'!$B$33,'Inputs'!$B$29+'Inputs'!$B$31+'Inputs'!$B$32,'Inputs'!$B$30+'Inputs'!$B$31+'Inputs'!$B$32)/1000+'Inputs'!$B$21))/SQRT((((212-43)*MAX('Inputs'!$B$33,'Inputs'!$B$29+'Inputs'!$B$31+'Inputs'!$B$32,'Inputs'!$B$30+'Inputs'!$B$31+'Inputs'!$B$32)/1000+'Inputs'!$B$21))^2+('Inputs'!$B$8/2)^2)))-'Results'!B7*(1-'Inputs'!$B$24)*(0.5*((((212-43)*MAX('Inputs'!$B$33,'Inputs'!$B$29+'Inputs'!$B$31+'Inputs'!$B$32,'Inputs'!$B$30+'Inputs'!$B$31+'Inputs'!$B$32)/1000+'Inputs'!$B$21+'Inputs'!$B$9+'Inputs'!$B$10)+'Inputs'!$B$7)/SQRT((((212-43)*MAX('Inputs'!$B$33,'Inputs'!$B$29+'Inputs'!$B$31+'Inputs'!$B$32,'Inputs'!$B$30+'Inputs'!$B$31+'Inputs'!$B$32)/1000+'Inputs'!$B$21+'Inputs'!$B$9+'Inputs'!$B$10)+'Inputs'!$B$7)^2+('Inputs'!$B$6/2)^2)-(((212-43)*MAX('Inputs'!$B$33,'Inputs'!$B$29+'Inputs'!$B$31+'Inputs'!$B$32,'Inputs'!$B$30+'Inputs'!$B$31+'Inputs'!$B$32)/1000+'Inputs'!$B$21+'Inputs'!$B$9+'Inputs'!$B$10))/SQRT((((212-43)*MAX('Inputs'!$B$33,'Inputs'!$B$29+'Inputs'!$B$31+'Inputs'!$B$32,'Inputs'!$B$30+'Inputs'!$B$31+'Inputs'!$B$32)/1000+'Inputs'!$B$21+'Inputs'!$B$9+'Inputs'!$B$10))^2+('Inputs'!$B$6/2)^2))))*'Results'!$B$8))),"")</x:f>
        <x:v>120.31543003140307</x:v>
      </x:c>
      <x:c r="P212" t="n">
        <x:f>IF(AND(MAX(J212,J211)&gt;0,J212&gt;J211+0.00000001),1,0)</x:f>
        <x:v>0</x:v>
      </x:c>
      <x:c r="Q212" t="n">
        <x:f>IF(AND(MAX(K212,K211)&gt;0,K212&gt;K211+0.00000001),1,0)</x:f>
        <x:v>0</x:v>
      </x:c>
      <x:c r="R212" t="n">
        <x:f>IF(AND(MAX(L212,L211)&gt;0,L212&gt;L211+0.00000001),1,0)</x:f>
        <x:v>0</x:v>
      </x:c>
      <x:c r="S212" t="n">
        <x:f>IF(AND(MAX(M212,M211)&gt;0,M212&gt;M211+0.00000001),1,0)</x:f>
        <x:v>0</x:v>
      </x:c>
      <x:c r="T212" t="n">
        <x:f>IF(AND(MAX(N212,N211)&gt;0,N212&gt;N211+0.00000001),1,0)</x:f>
        <x:v>0</x:v>
      </x:c>
      <x:c r="U212" t="n">
        <x:f>IF(AND(MAX(O212,O211)&gt;0,O212&gt;O211+0.00000001),1,0)</x:f>
        <x:v>0</x:v>
      </x:c>
    </x:row>
    <x:row r="213">
      <x:c r="J213" t="n">
        <x:f>IF(AND(ISNUMBER('Results'!B7),ISNUMBER('Results'!C7),ISNUMBER('Results'!$B$8),ISNUMBER('Inputs'!$B$6),ISNUMBER('Inputs'!$B$7),ISNUMBER('Inputs'!$B$8),ISNUMBER('Inputs'!$B$9),ISNUMBER('Inputs'!$B$10),ISNUMBER('Inputs'!$B$21),ISNUMBER('Inputs'!$B$24),ISNUMBER('Inputs'!$B$28)),(('Results'!B7*(0.5*((((213-43)*MAX('Inputs'!$B$33,'Inputs'!$B$29+'Inputs'!$B$31+'Inputs'!$B$32,'Inputs'!$B$30+'Inputs'!$B$31+'Inputs'!$B$32)/1000+'Inputs'!$B$21)+'Inputs'!$B$7)/SQRT((((213-43)*MAX('Inputs'!$B$33,'Inputs'!$B$29+'Inputs'!$B$31+'Inputs'!$B$32,'Inputs'!$B$30+'Inputs'!$B$31+'Inputs'!$B$32)/1000+'Inputs'!$B$21)+'Inputs'!$B$7)^2+('Inputs'!$B$6/2)^2)-(((213-43)*MAX('Inputs'!$B$33,'Inputs'!$B$29+'Inputs'!$B$31+'Inputs'!$B$32,'Inputs'!$B$30+'Inputs'!$B$31+'Inputs'!$B$32)/1000+'Inputs'!$B$21))/SQRT((((213-43)*MAX('Inputs'!$B$33,'Inputs'!$B$29+'Inputs'!$B$31+'Inputs'!$B$32,'Inputs'!$B$30+'Inputs'!$B$31+'Inputs'!$B$32)/1000+'Inputs'!$B$21))^2+('Inputs'!$B$6/2)^2)))-'Results'!C7*(0.5*((((213-43)*MAX('Inputs'!$B$33,'Inputs'!$B$29+'Inputs'!$B$31+'Inputs'!$B$32,'Inputs'!$B$30+'Inputs'!$B$31+'Inputs'!$B$32)/1000+'Inputs'!$B$21+'Inputs'!$B$7+'Inputs'!$B$10)+'Inputs'!$B$9)/SQRT((((213-43)*MAX('Inputs'!$B$33,'Inputs'!$B$29+'Inputs'!$B$31+'Inputs'!$B$32,'Inputs'!$B$30+'Inputs'!$B$31+'Inputs'!$B$32)/1000+'Inputs'!$B$21+'Inputs'!$B$7+'Inputs'!$B$10)+'Inputs'!$B$9)^2+('Inputs'!$B$8/2)^2)-(((213-43)*MAX('Inputs'!$B$33,'Inputs'!$B$29+'Inputs'!$B$31+'Inputs'!$B$32,'Inputs'!$B$30+'Inputs'!$B$31+'Inputs'!$B$32)/1000+'Inputs'!$B$21+'Inputs'!$B$7+'Inputs'!$B$10))/SQRT((((213-43)*MAX('Inputs'!$B$33,'Inputs'!$B$29+'Inputs'!$B$31+'Inputs'!$B$32,'Inputs'!$B$30+'Inputs'!$B$31+'Inputs'!$B$32)/1000+'Inputs'!$B$21+'Inputs'!$B$7+'Inputs'!$B$10))^2+('Inputs'!$B$8/2)^2))))*'Results'!$B$8),"")</x:f>
        <x:v>112.92154190034245</x:v>
      </x:c>
      <x:c r="K213" t="n">
        <x:f>IF(AND(ISNUMBER('Results'!B7),ISNUMBER('Results'!C7),ISNUMBER('Results'!$B$8),ISNUMBER('Inputs'!$B$6),ISNUMBER('Inputs'!$B$7),ISNUMBER('Inputs'!$B$8),ISNUMBER('Inputs'!$B$9),ISNUMBER('Inputs'!$B$10),ISNUMBER('Inputs'!$B$21),ISNUMBER('Inputs'!$B$24),ISNUMBER('Inputs'!$B$28)),((('Results'!B7*(1-'Inputs'!$B$24)*(0.5*((((213-43)*MAX('Inputs'!$B$33,'Inputs'!$B$29+'Inputs'!$B$31+'Inputs'!$B$32,'Inputs'!$B$30+'Inputs'!$B$31+'Inputs'!$B$32)/1000+'Inputs'!$B$21)+'Inputs'!$B$7)/SQRT((((213-43)*MAX('Inputs'!$B$33,'Inputs'!$B$29+'Inputs'!$B$31+'Inputs'!$B$32,'Inputs'!$B$30+'Inputs'!$B$31+'Inputs'!$B$32)/1000+'Inputs'!$B$21)+'Inputs'!$B$7)^2+('Inputs'!$B$6/2)^2)-(((213-43)*MAX('Inputs'!$B$33,'Inputs'!$B$29+'Inputs'!$B$31+'Inputs'!$B$32,'Inputs'!$B$30+'Inputs'!$B$31+'Inputs'!$B$32)/1000+'Inputs'!$B$21))/SQRT((((213-43)*MAX('Inputs'!$B$33,'Inputs'!$B$29+'Inputs'!$B$31+'Inputs'!$B$32,'Inputs'!$B$30+'Inputs'!$B$31+'Inputs'!$B$32)/1000+'Inputs'!$B$21))^2+('Inputs'!$B$6/2)^2)))-'Results'!C7*(1+'Inputs'!$B$24)*(0.5*((((213-43)*MAX('Inputs'!$B$33,'Inputs'!$B$29+'Inputs'!$B$31+'Inputs'!$B$32,'Inputs'!$B$30+'Inputs'!$B$31+'Inputs'!$B$32)/1000+'Inputs'!$B$21+'Inputs'!$B$7+'Inputs'!$B$10)+'Inputs'!$B$9)/SQRT((((213-43)*MAX('Inputs'!$B$33,'Inputs'!$B$29+'Inputs'!$B$31+'Inputs'!$B$32,'Inputs'!$B$30+'Inputs'!$B$31+'Inputs'!$B$32)/1000+'Inputs'!$B$21+'Inputs'!$B$7+'Inputs'!$B$10)+'Inputs'!$B$9)^2+('Inputs'!$B$8/2)^2)-(((213-43)*MAX('Inputs'!$B$33,'Inputs'!$B$29+'Inputs'!$B$31+'Inputs'!$B$32,'Inputs'!$B$30+'Inputs'!$B$31+'Inputs'!$B$32)/1000+'Inputs'!$B$21+'Inputs'!$B$7+'Inputs'!$B$10))/SQRT((((213-43)*MAX('Inputs'!$B$33,'Inputs'!$B$29+'Inputs'!$B$31+'Inputs'!$B$32,'Inputs'!$B$30+'Inputs'!$B$31+'Inputs'!$B$32)/1000+'Inputs'!$B$21+'Inputs'!$B$7+'Inputs'!$B$10))^2+('Inputs'!$B$8/2)^2))))*'Results'!$B$8)-'Inputs'!$B$28*ABS((('Results'!B7*(1-'Inputs'!$B$24)*(0.5*((((213-43)*MAX('Inputs'!$B$33,'Inputs'!$B$29+'Inputs'!$B$31+'Inputs'!$B$32,'Inputs'!$B$30+'Inputs'!$B$31+'Inputs'!$B$32)/1000+'Inputs'!$B$21)+'Inputs'!$B$7)/SQRT((((213-43)*MAX('Inputs'!$B$33,'Inputs'!$B$29+'Inputs'!$B$31+'Inputs'!$B$32,'Inputs'!$B$30+'Inputs'!$B$31+'Inputs'!$B$32)/1000+'Inputs'!$B$21)+'Inputs'!$B$7)^2+('Inputs'!$B$6/2)^2)-(((213-43)*MAX('Inputs'!$B$33,'Inputs'!$B$29+'Inputs'!$B$31+'Inputs'!$B$32,'Inputs'!$B$30+'Inputs'!$B$31+'Inputs'!$B$32)/1000+'Inputs'!$B$21))/SQRT((((213-43)*MAX('Inputs'!$B$33,'Inputs'!$B$29+'Inputs'!$B$31+'Inputs'!$B$32,'Inputs'!$B$30+'Inputs'!$B$31+'Inputs'!$B$32)/1000+'Inputs'!$B$21))^2+('Inputs'!$B$6/2)^2)))-'Results'!C7*(1+'Inputs'!$B$24)*(0.5*((((213-43)*MAX('Inputs'!$B$33,'Inputs'!$B$29+'Inputs'!$B$31+'Inputs'!$B$32,'Inputs'!$B$30+'Inputs'!$B$31+'Inputs'!$B$32)/1000+'Inputs'!$B$21+'Inputs'!$B$7+'Inputs'!$B$10)+'Inputs'!$B$9)/SQRT((((213-43)*MAX('Inputs'!$B$33,'Inputs'!$B$29+'Inputs'!$B$31+'Inputs'!$B$32,'Inputs'!$B$30+'Inputs'!$B$31+'Inputs'!$B$32)/1000+'Inputs'!$B$21+'Inputs'!$B$7+'Inputs'!$B$10)+'Inputs'!$B$9)^2+('Inputs'!$B$8/2)^2)-(((213-43)*MAX('Inputs'!$B$33,'Inputs'!$B$29+'Inputs'!$B$31+'Inputs'!$B$32,'Inputs'!$B$30+'Inputs'!$B$31+'Inputs'!$B$32)/1000+'Inputs'!$B$21+'Inputs'!$B$7+'Inputs'!$B$10))/SQRT((((213-43)*MAX('Inputs'!$B$33,'Inputs'!$B$29+'Inputs'!$B$31+'Inputs'!$B$32,'Inputs'!$B$30+'Inputs'!$B$31+'Inputs'!$B$32)/1000+'Inputs'!$B$21+'Inputs'!$B$7+'Inputs'!$B$10))^2+('Inputs'!$B$8/2)^2))))*'Results'!$B$8))),"")</x:f>
        <x:v>103.52832442663367</x:v>
      </x:c>
      <x:c r="L213" t="n">
        <x:f>IF(AND(ISNUMBER('Results'!B7),ISNUMBER('Results'!C7),ISNUMBER('Results'!$B$8),ISNUMBER('Inputs'!$B$6),ISNUMBER('Inputs'!$B$7),ISNUMBER('Inputs'!$B$8),ISNUMBER('Inputs'!$B$9),ISNUMBER('Inputs'!$B$10),ISNUMBER('Inputs'!$B$21),ISNUMBER('Inputs'!$B$24),ISNUMBER('Inputs'!$B$28)),((('Results'!B7*(1+'Inputs'!$B$24)*(0.5*((((213-43)*MAX('Inputs'!$B$33,'Inputs'!$B$29+'Inputs'!$B$31+'Inputs'!$B$32,'Inputs'!$B$30+'Inputs'!$B$31+'Inputs'!$B$32)/1000+'Inputs'!$B$21)+'Inputs'!$B$7)/SQRT((((213-43)*MAX('Inputs'!$B$33,'Inputs'!$B$29+'Inputs'!$B$31+'Inputs'!$B$32,'Inputs'!$B$30+'Inputs'!$B$31+'Inputs'!$B$32)/1000+'Inputs'!$B$21)+'Inputs'!$B$7)^2+('Inputs'!$B$6/2)^2)-(((213-43)*MAX('Inputs'!$B$33,'Inputs'!$B$29+'Inputs'!$B$31+'Inputs'!$B$32,'Inputs'!$B$30+'Inputs'!$B$31+'Inputs'!$B$32)/1000+'Inputs'!$B$21))/SQRT((((213-43)*MAX('Inputs'!$B$33,'Inputs'!$B$29+'Inputs'!$B$31+'Inputs'!$B$32,'Inputs'!$B$30+'Inputs'!$B$31+'Inputs'!$B$32)/1000+'Inputs'!$B$21))^2+('Inputs'!$B$6/2)^2)))-'Results'!C7*(1-'Inputs'!$B$24)*(0.5*((((213-43)*MAX('Inputs'!$B$33,'Inputs'!$B$29+'Inputs'!$B$31+'Inputs'!$B$32,'Inputs'!$B$30+'Inputs'!$B$31+'Inputs'!$B$32)/1000+'Inputs'!$B$21+'Inputs'!$B$7+'Inputs'!$B$10)+'Inputs'!$B$9)/SQRT((((213-43)*MAX('Inputs'!$B$33,'Inputs'!$B$29+'Inputs'!$B$31+'Inputs'!$B$32,'Inputs'!$B$30+'Inputs'!$B$31+'Inputs'!$B$32)/1000+'Inputs'!$B$21+'Inputs'!$B$7+'Inputs'!$B$10)+'Inputs'!$B$9)^2+('Inputs'!$B$8/2)^2)-(((213-43)*MAX('Inputs'!$B$33,'Inputs'!$B$29+'Inputs'!$B$31+'Inputs'!$B$32,'Inputs'!$B$30+'Inputs'!$B$31+'Inputs'!$B$32)/1000+'Inputs'!$B$21+'Inputs'!$B$7+'Inputs'!$B$10))/SQRT((((213-43)*MAX('Inputs'!$B$33,'Inputs'!$B$29+'Inputs'!$B$31+'Inputs'!$B$32,'Inputs'!$B$30+'Inputs'!$B$31+'Inputs'!$B$32)/1000+'Inputs'!$B$21+'Inputs'!$B$7+'Inputs'!$B$10))^2+('Inputs'!$B$8/2)^2))))*'Results'!$B$8)+'Inputs'!$B$28*ABS((('Results'!B7*(1+'Inputs'!$B$24)*(0.5*((((213-43)*MAX('Inputs'!$B$33,'Inputs'!$B$29+'Inputs'!$B$31+'Inputs'!$B$32,'Inputs'!$B$30+'Inputs'!$B$31+'Inputs'!$B$32)/1000+'Inputs'!$B$21)+'Inputs'!$B$7)/SQRT((((213-43)*MAX('Inputs'!$B$33,'Inputs'!$B$29+'Inputs'!$B$31+'Inputs'!$B$32,'Inputs'!$B$30+'Inputs'!$B$31+'Inputs'!$B$32)/1000+'Inputs'!$B$21)+'Inputs'!$B$7)^2+('Inputs'!$B$6/2)^2)-(((213-43)*MAX('Inputs'!$B$33,'Inputs'!$B$29+'Inputs'!$B$31+'Inputs'!$B$32,'Inputs'!$B$30+'Inputs'!$B$31+'Inputs'!$B$32)/1000+'Inputs'!$B$21))/SQRT((((213-43)*MAX('Inputs'!$B$33,'Inputs'!$B$29+'Inputs'!$B$31+'Inputs'!$B$32,'Inputs'!$B$30+'Inputs'!$B$31+'Inputs'!$B$32)/1000+'Inputs'!$B$21))^2+('Inputs'!$B$6/2)^2)))-'Results'!C7*(1-'Inputs'!$B$24)*(0.5*((((213-43)*MAX('Inputs'!$B$33,'Inputs'!$B$29+'Inputs'!$B$31+'Inputs'!$B$32,'Inputs'!$B$30+'Inputs'!$B$31+'Inputs'!$B$32)/1000+'Inputs'!$B$21+'Inputs'!$B$7+'Inputs'!$B$10)+'Inputs'!$B$9)/SQRT((((213-43)*MAX('Inputs'!$B$33,'Inputs'!$B$29+'Inputs'!$B$31+'Inputs'!$B$32,'Inputs'!$B$30+'Inputs'!$B$31+'Inputs'!$B$32)/1000+'Inputs'!$B$21+'Inputs'!$B$7+'Inputs'!$B$10)+'Inputs'!$B$9)^2+('Inputs'!$B$8/2)^2)-(((213-43)*MAX('Inputs'!$B$33,'Inputs'!$B$29+'Inputs'!$B$31+'Inputs'!$B$32,'Inputs'!$B$30+'Inputs'!$B$31+'Inputs'!$B$32)/1000+'Inputs'!$B$21+'Inputs'!$B$7+'Inputs'!$B$10))/SQRT((((213-43)*MAX('Inputs'!$B$33,'Inputs'!$B$29+'Inputs'!$B$31+'Inputs'!$B$32,'Inputs'!$B$30+'Inputs'!$B$31+'Inputs'!$B$32)/1000+'Inputs'!$B$21+'Inputs'!$B$7+'Inputs'!$B$10))^2+('Inputs'!$B$8/2)^2))))*'Results'!$B$8))),"")</x:f>
        <x:v>122.7091952033872</x:v>
      </x:c>
      <x:c r="M213" t="n">
        <x:f>IF(AND(ISNUMBER('Results'!C7),ISNUMBER('Results'!B7),ISNUMBER('Results'!$B$8),ISNUMBER('Inputs'!$B$6),ISNUMBER('Inputs'!$B$7),ISNUMBER('Inputs'!$B$8),ISNUMBER('Inputs'!$B$9),ISNUMBER('Inputs'!$B$10),ISNUMBER('Inputs'!$B$21),ISNUMBER('Inputs'!$B$24),ISNUMBER('Inputs'!$B$28)),(('Results'!C7*(0.5*((((213-43)*MAX('Inputs'!$B$33,'Inputs'!$B$29+'Inputs'!$B$31+'Inputs'!$B$32,'Inputs'!$B$30+'Inputs'!$B$31+'Inputs'!$B$32)/1000+'Inputs'!$B$21)+'Inputs'!$B$9)/SQRT((((213-43)*MAX('Inputs'!$B$33,'Inputs'!$B$29+'Inputs'!$B$31+'Inputs'!$B$32,'Inputs'!$B$30+'Inputs'!$B$31+'Inputs'!$B$32)/1000+'Inputs'!$B$21)+'Inputs'!$B$9)^2+('Inputs'!$B$8/2)^2)-(((213-43)*MAX('Inputs'!$B$33,'Inputs'!$B$29+'Inputs'!$B$31+'Inputs'!$B$32,'Inputs'!$B$30+'Inputs'!$B$31+'Inputs'!$B$32)/1000+'Inputs'!$B$21))/SQRT((((213-43)*MAX('Inputs'!$B$33,'Inputs'!$B$29+'Inputs'!$B$31+'Inputs'!$B$32,'Inputs'!$B$30+'Inputs'!$B$31+'Inputs'!$B$32)/1000+'Inputs'!$B$21))^2+('Inputs'!$B$8/2)^2)))-'Results'!B7*(0.5*((((213-43)*MAX('Inputs'!$B$33,'Inputs'!$B$29+'Inputs'!$B$31+'Inputs'!$B$32,'Inputs'!$B$30+'Inputs'!$B$31+'Inputs'!$B$32)/1000+'Inputs'!$B$21+'Inputs'!$B$9+'Inputs'!$B$10)+'Inputs'!$B$7)/SQRT((((213-43)*MAX('Inputs'!$B$33,'Inputs'!$B$29+'Inputs'!$B$31+'Inputs'!$B$32,'Inputs'!$B$30+'Inputs'!$B$31+'Inputs'!$B$32)/1000+'Inputs'!$B$21+'Inputs'!$B$9+'Inputs'!$B$10)+'Inputs'!$B$7)^2+('Inputs'!$B$6/2)^2)-(((213-43)*MAX('Inputs'!$B$33,'Inputs'!$B$29+'Inputs'!$B$31+'Inputs'!$B$32,'Inputs'!$B$30+'Inputs'!$B$31+'Inputs'!$B$32)/1000+'Inputs'!$B$21+'Inputs'!$B$9+'Inputs'!$B$10))/SQRT((((213-43)*MAX('Inputs'!$B$33,'Inputs'!$B$29+'Inputs'!$B$31+'Inputs'!$B$32,'Inputs'!$B$30+'Inputs'!$B$31+'Inputs'!$B$32)/1000+'Inputs'!$B$21+'Inputs'!$B$9+'Inputs'!$B$10))^2+('Inputs'!$B$6/2)^2))))*'Results'!$B$8),"")</x:f>
        <x:v>108.95998026560167</x:v>
      </x:c>
      <x:c r="N213" t="n">
        <x:f>IF(AND(ISNUMBER('Results'!C7),ISNUMBER('Results'!B7),ISNUMBER('Results'!$B$8),ISNUMBER('Inputs'!$B$6),ISNUMBER('Inputs'!$B$7),ISNUMBER('Inputs'!$B$8),ISNUMBER('Inputs'!$B$9),ISNUMBER('Inputs'!$B$10),ISNUMBER('Inputs'!$B$21),ISNUMBER('Inputs'!$B$24),ISNUMBER('Inputs'!$B$28)),((('Results'!C7*(1-'Inputs'!$B$24)*(0.5*((((213-43)*MAX('Inputs'!$B$33,'Inputs'!$B$29+'Inputs'!$B$31+'Inputs'!$B$32,'Inputs'!$B$30+'Inputs'!$B$31+'Inputs'!$B$32)/1000+'Inputs'!$B$21)+'Inputs'!$B$9)/SQRT((((213-43)*MAX('Inputs'!$B$33,'Inputs'!$B$29+'Inputs'!$B$31+'Inputs'!$B$32,'Inputs'!$B$30+'Inputs'!$B$31+'Inputs'!$B$32)/1000+'Inputs'!$B$21)+'Inputs'!$B$9)^2+('Inputs'!$B$8/2)^2)-(((213-43)*MAX('Inputs'!$B$33,'Inputs'!$B$29+'Inputs'!$B$31+'Inputs'!$B$32,'Inputs'!$B$30+'Inputs'!$B$31+'Inputs'!$B$32)/1000+'Inputs'!$B$21))/SQRT((((213-43)*MAX('Inputs'!$B$33,'Inputs'!$B$29+'Inputs'!$B$31+'Inputs'!$B$32,'Inputs'!$B$30+'Inputs'!$B$31+'Inputs'!$B$32)/1000+'Inputs'!$B$21))^2+('Inputs'!$B$8/2)^2)))-'Results'!B7*(1+'Inputs'!$B$24)*(0.5*((((213-43)*MAX('Inputs'!$B$33,'Inputs'!$B$29+'Inputs'!$B$31+'Inputs'!$B$32,'Inputs'!$B$30+'Inputs'!$B$31+'Inputs'!$B$32)/1000+'Inputs'!$B$21+'Inputs'!$B$9+'Inputs'!$B$10)+'Inputs'!$B$7)/SQRT((((213-43)*MAX('Inputs'!$B$33,'Inputs'!$B$29+'Inputs'!$B$31+'Inputs'!$B$32,'Inputs'!$B$30+'Inputs'!$B$31+'Inputs'!$B$32)/1000+'Inputs'!$B$21+'Inputs'!$B$9+'Inputs'!$B$10)+'Inputs'!$B$7)^2+('Inputs'!$B$6/2)^2)-(((213-43)*MAX('Inputs'!$B$33,'Inputs'!$B$29+'Inputs'!$B$31+'Inputs'!$B$32,'Inputs'!$B$30+'Inputs'!$B$31+'Inputs'!$B$32)/1000+'Inputs'!$B$21+'Inputs'!$B$9+'Inputs'!$B$10))/SQRT((((213-43)*MAX('Inputs'!$B$33,'Inputs'!$B$29+'Inputs'!$B$31+'Inputs'!$B$32,'Inputs'!$B$30+'Inputs'!$B$31+'Inputs'!$B$32)/1000+'Inputs'!$B$21+'Inputs'!$B$9+'Inputs'!$B$10))^2+('Inputs'!$B$6/2)^2))))*'Results'!$B$8)-'Inputs'!$B$28*ABS((('Results'!C7*(1-'Inputs'!$B$24)*(0.5*((((213-43)*MAX('Inputs'!$B$33,'Inputs'!$B$29+'Inputs'!$B$31+'Inputs'!$B$32,'Inputs'!$B$30+'Inputs'!$B$31+'Inputs'!$B$32)/1000+'Inputs'!$B$21)+'Inputs'!$B$9)/SQRT((((213-43)*MAX('Inputs'!$B$33,'Inputs'!$B$29+'Inputs'!$B$31+'Inputs'!$B$32,'Inputs'!$B$30+'Inputs'!$B$31+'Inputs'!$B$32)/1000+'Inputs'!$B$21)+'Inputs'!$B$9)^2+('Inputs'!$B$8/2)^2)-(((213-43)*MAX('Inputs'!$B$33,'Inputs'!$B$29+'Inputs'!$B$31+'Inputs'!$B$32,'Inputs'!$B$30+'Inputs'!$B$31+'Inputs'!$B$32)/1000+'Inputs'!$B$21))/SQRT((((213-43)*MAX('Inputs'!$B$33,'Inputs'!$B$29+'Inputs'!$B$31+'Inputs'!$B$32,'Inputs'!$B$30+'Inputs'!$B$31+'Inputs'!$B$32)/1000+'Inputs'!$B$21))^2+('Inputs'!$B$8/2)^2)))-'Results'!B7*(1+'Inputs'!$B$24)*(0.5*((((213-43)*MAX('Inputs'!$B$33,'Inputs'!$B$29+'Inputs'!$B$31+'Inputs'!$B$32,'Inputs'!$B$30+'Inputs'!$B$31+'Inputs'!$B$32)/1000+'Inputs'!$B$21+'Inputs'!$B$9+'Inputs'!$B$10)+'Inputs'!$B$7)/SQRT((((213-43)*MAX('Inputs'!$B$33,'Inputs'!$B$29+'Inputs'!$B$31+'Inputs'!$B$32,'Inputs'!$B$30+'Inputs'!$B$31+'Inputs'!$B$32)/1000+'Inputs'!$B$21+'Inputs'!$B$9+'Inputs'!$B$10)+'Inputs'!$B$7)^2+('Inputs'!$B$6/2)^2)-(((213-43)*MAX('Inputs'!$B$33,'Inputs'!$B$29+'Inputs'!$B$31+'Inputs'!$B$32,'Inputs'!$B$30+'Inputs'!$B$31+'Inputs'!$B$32)/1000+'Inputs'!$B$21+'Inputs'!$B$9+'Inputs'!$B$10))/SQRT((((213-43)*MAX('Inputs'!$B$33,'Inputs'!$B$29+'Inputs'!$B$31+'Inputs'!$B$32,'Inputs'!$B$30+'Inputs'!$B$31+'Inputs'!$B$32)/1000+'Inputs'!$B$21+'Inputs'!$B$9+'Inputs'!$B$10))^2+('Inputs'!$B$6/2)^2))))*'Results'!$B$8))),"")</x:f>
        <x:v>99.8074241960658</x:v>
      </x:c>
      <x:c r="O213" t="n">
        <x:f>IF(AND(ISNUMBER('Results'!C7),ISNUMBER('Results'!B7),ISNUMBER('Results'!$B$8),ISNUMBER('Inputs'!$B$6),ISNUMBER('Inputs'!$B$7),ISNUMBER('Inputs'!$B$8),ISNUMBER('Inputs'!$B$9),ISNUMBER('Inputs'!$B$10),ISNUMBER('Inputs'!$B$21),ISNUMBER('Inputs'!$B$24),ISNUMBER('Inputs'!$B$28)),((('Results'!C7*(1+'Inputs'!$B$24)*(0.5*((((213-43)*MAX('Inputs'!$B$33,'Inputs'!$B$29+'Inputs'!$B$31+'Inputs'!$B$32,'Inputs'!$B$30+'Inputs'!$B$31+'Inputs'!$B$32)/1000+'Inputs'!$B$21)+'Inputs'!$B$9)/SQRT((((213-43)*MAX('Inputs'!$B$33,'Inputs'!$B$29+'Inputs'!$B$31+'Inputs'!$B$32,'Inputs'!$B$30+'Inputs'!$B$31+'Inputs'!$B$32)/1000+'Inputs'!$B$21)+'Inputs'!$B$9)^2+('Inputs'!$B$8/2)^2)-(((213-43)*MAX('Inputs'!$B$33,'Inputs'!$B$29+'Inputs'!$B$31+'Inputs'!$B$32,'Inputs'!$B$30+'Inputs'!$B$31+'Inputs'!$B$32)/1000+'Inputs'!$B$21))/SQRT((((213-43)*MAX('Inputs'!$B$33,'Inputs'!$B$29+'Inputs'!$B$31+'Inputs'!$B$32,'Inputs'!$B$30+'Inputs'!$B$31+'Inputs'!$B$32)/1000+'Inputs'!$B$21))^2+('Inputs'!$B$8/2)^2)))-'Results'!B7*(1-'Inputs'!$B$24)*(0.5*((((213-43)*MAX('Inputs'!$B$33,'Inputs'!$B$29+'Inputs'!$B$31+'Inputs'!$B$32,'Inputs'!$B$30+'Inputs'!$B$31+'Inputs'!$B$32)/1000+'Inputs'!$B$21+'Inputs'!$B$9+'Inputs'!$B$10)+'Inputs'!$B$7)/SQRT((((213-43)*MAX('Inputs'!$B$33,'Inputs'!$B$29+'Inputs'!$B$31+'Inputs'!$B$32,'Inputs'!$B$30+'Inputs'!$B$31+'Inputs'!$B$32)/1000+'Inputs'!$B$21+'Inputs'!$B$9+'Inputs'!$B$10)+'Inputs'!$B$7)^2+('Inputs'!$B$6/2)^2)-(((213-43)*MAX('Inputs'!$B$33,'Inputs'!$B$29+'Inputs'!$B$31+'Inputs'!$B$32,'Inputs'!$B$30+'Inputs'!$B$31+'Inputs'!$B$32)/1000+'Inputs'!$B$21+'Inputs'!$B$9+'Inputs'!$B$10))/SQRT((((213-43)*MAX('Inputs'!$B$33,'Inputs'!$B$29+'Inputs'!$B$31+'Inputs'!$B$32,'Inputs'!$B$30+'Inputs'!$B$31+'Inputs'!$B$32)/1000+'Inputs'!$B$21+'Inputs'!$B$9+'Inputs'!$B$10))^2+('Inputs'!$B$6/2)^2))))*'Results'!$B$8)+'Inputs'!$B$28*ABS((('Results'!C7*(1+'Inputs'!$B$24)*(0.5*((((213-43)*MAX('Inputs'!$B$33,'Inputs'!$B$29+'Inputs'!$B$31+'Inputs'!$B$32,'Inputs'!$B$30+'Inputs'!$B$31+'Inputs'!$B$32)/1000+'Inputs'!$B$21)+'Inputs'!$B$9)/SQRT((((213-43)*MAX('Inputs'!$B$33,'Inputs'!$B$29+'Inputs'!$B$31+'Inputs'!$B$32,'Inputs'!$B$30+'Inputs'!$B$31+'Inputs'!$B$32)/1000+'Inputs'!$B$21)+'Inputs'!$B$9)^2+('Inputs'!$B$8/2)^2)-(((213-43)*MAX('Inputs'!$B$33,'Inputs'!$B$29+'Inputs'!$B$31+'Inputs'!$B$32,'Inputs'!$B$30+'Inputs'!$B$31+'Inputs'!$B$32)/1000+'Inputs'!$B$21))/SQRT((((213-43)*MAX('Inputs'!$B$33,'Inputs'!$B$29+'Inputs'!$B$31+'Inputs'!$B$32,'Inputs'!$B$30+'Inputs'!$B$31+'Inputs'!$B$32)/1000+'Inputs'!$B$21))^2+('Inputs'!$B$8/2)^2)))-'Results'!B7*(1-'Inputs'!$B$24)*(0.5*((((213-43)*MAX('Inputs'!$B$33,'Inputs'!$B$29+'Inputs'!$B$31+'Inputs'!$B$32,'Inputs'!$B$30+'Inputs'!$B$31+'Inputs'!$B$32)/1000+'Inputs'!$B$21+'Inputs'!$B$9+'Inputs'!$B$10)+'Inputs'!$B$7)/SQRT((((213-43)*MAX('Inputs'!$B$33,'Inputs'!$B$29+'Inputs'!$B$31+'Inputs'!$B$32,'Inputs'!$B$30+'Inputs'!$B$31+'Inputs'!$B$32)/1000+'Inputs'!$B$21+'Inputs'!$B$9+'Inputs'!$B$10)+'Inputs'!$B$7)^2+('Inputs'!$B$6/2)^2)-(((213-43)*MAX('Inputs'!$B$33,'Inputs'!$B$29+'Inputs'!$B$31+'Inputs'!$B$32,'Inputs'!$B$30+'Inputs'!$B$31+'Inputs'!$B$32)/1000+'Inputs'!$B$21+'Inputs'!$B$9+'Inputs'!$B$10))/SQRT((((213-43)*MAX('Inputs'!$B$33,'Inputs'!$B$29+'Inputs'!$B$31+'Inputs'!$B$32,'Inputs'!$B$30+'Inputs'!$B$31+'Inputs'!$B$32)/1000+'Inputs'!$B$21+'Inputs'!$B$9+'Inputs'!$B$10))^2+('Inputs'!$B$6/2)^2))))*'Results'!$B$8))),"")</x:f>
        <x:v>118.50248970948026</x:v>
      </x:c>
      <x:c r="P213" t="n">
        <x:f>IF(AND(MAX(J213,J212)&gt;0,J213&gt;J212+0.00000001),1,0)</x:f>
        <x:v>0</x:v>
      </x:c>
      <x:c r="Q213" t="n">
        <x:f>IF(AND(MAX(K213,K212)&gt;0,K213&gt;K212+0.00000001),1,0)</x:f>
        <x:v>0</x:v>
      </x:c>
      <x:c r="R213" t="n">
        <x:f>IF(AND(MAX(L213,L212)&gt;0,L213&gt;L212+0.00000001),1,0)</x:f>
        <x:v>0</x:v>
      </x:c>
      <x:c r="S213" t="n">
        <x:f>IF(AND(MAX(M213,M212)&gt;0,M213&gt;M212+0.00000001),1,0)</x:f>
        <x:v>0</x:v>
      </x:c>
      <x:c r="T213" t="n">
        <x:f>IF(AND(MAX(N213,N212)&gt;0,N213&gt;N212+0.00000001),1,0)</x:f>
        <x:v>0</x:v>
      </x:c>
      <x:c r="U213" t="n">
        <x:f>IF(AND(MAX(O213,O212)&gt;0,O213&gt;O212+0.00000001),1,0)</x:f>
        <x:v>0</x:v>
      </x:c>
    </x:row>
    <x:row r="214">
      <x:c r="J214" t="n">
        <x:f>IF(AND(ISNUMBER('Results'!B7),ISNUMBER('Results'!C7),ISNUMBER('Results'!$B$8),ISNUMBER('Inputs'!$B$6),ISNUMBER('Inputs'!$B$7),ISNUMBER('Inputs'!$B$8),ISNUMBER('Inputs'!$B$9),ISNUMBER('Inputs'!$B$10),ISNUMBER('Inputs'!$B$21),ISNUMBER('Inputs'!$B$24),ISNUMBER('Inputs'!$B$28)),(('Results'!B7*(0.5*((((214-43)*MAX('Inputs'!$B$33,'Inputs'!$B$29+'Inputs'!$B$31+'Inputs'!$B$32,'Inputs'!$B$30+'Inputs'!$B$31+'Inputs'!$B$32)/1000+'Inputs'!$B$21)+'Inputs'!$B$7)/SQRT((((214-43)*MAX('Inputs'!$B$33,'Inputs'!$B$29+'Inputs'!$B$31+'Inputs'!$B$32,'Inputs'!$B$30+'Inputs'!$B$31+'Inputs'!$B$32)/1000+'Inputs'!$B$21)+'Inputs'!$B$7)^2+('Inputs'!$B$6/2)^2)-(((214-43)*MAX('Inputs'!$B$33,'Inputs'!$B$29+'Inputs'!$B$31+'Inputs'!$B$32,'Inputs'!$B$30+'Inputs'!$B$31+'Inputs'!$B$32)/1000+'Inputs'!$B$21))/SQRT((((214-43)*MAX('Inputs'!$B$33,'Inputs'!$B$29+'Inputs'!$B$31+'Inputs'!$B$32,'Inputs'!$B$30+'Inputs'!$B$31+'Inputs'!$B$32)/1000+'Inputs'!$B$21))^2+('Inputs'!$B$6/2)^2)))-'Results'!C7*(0.5*((((214-43)*MAX('Inputs'!$B$33,'Inputs'!$B$29+'Inputs'!$B$31+'Inputs'!$B$32,'Inputs'!$B$30+'Inputs'!$B$31+'Inputs'!$B$32)/1000+'Inputs'!$B$21+'Inputs'!$B$7+'Inputs'!$B$10)+'Inputs'!$B$9)/SQRT((((214-43)*MAX('Inputs'!$B$33,'Inputs'!$B$29+'Inputs'!$B$31+'Inputs'!$B$32,'Inputs'!$B$30+'Inputs'!$B$31+'Inputs'!$B$32)/1000+'Inputs'!$B$21+'Inputs'!$B$7+'Inputs'!$B$10)+'Inputs'!$B$9)^2+('Inputs'!$B$8/2)^2)-(((214-43)*MAX('Inputs'!$B$33,'Inputs'!$B$29+'Inputs'!$B$31+'Inputs'!$B$32,'Inputs'!$B$30+'Inputs'!$B$31+'Inputs'!$B$32)/1000+'Inputs'!$B$21+'Inputs'!$B$7+'Inputs'!$B$10))/SQRT((((214-43)*MAX('Inputs'!$B$33,'Inputs'!$B$29+'Inputs'!$B$31+'Inputs'!$B$32,'Inputs'!$B$30+'Inputs'!$B$31+'Inputs'!$B$32)/1000+'Inputs'!$B$21+'Inputs'!$B$7+'Inputs'!$B$10))^2+('Inputs'!$B$8/2)^2))))*'Results'!$B$8),"")</x:f>
        <x:v>111.22566908600162</x:v>
      </x:c>
      <x:c r="K214" t="n">
        <x:f>IF(AND(ISNUMBER('Results'!B7),ISNUMBER('Results'!C7),ISNUMBER('Results'!$B$8),ISNUMBER('Inputs'!$B$6),ISNUMBER('Inputs'!$B$7),ISNUMBER('Inputs'!$B$8),ISNUMBER('Inputs'!$B$9),ISNUMBER('Inputs'!$B$10),ISNUMBER('Inputs'!$B$21),ISNUMBER('Inputs'!$B$24),ISNUMBER('Inputs'!$B$28)),((('Results'!B7*(1-'Inputs'!$B$24)*(0.5*((((214-43)*MAX('Inputs'!$B$33,'Inputs'!$B$29+'Inputs'!$B$31+'Inputs'!$B$32,'Inputs'!$B$30+'Inputs'!$B$31+'Inputs'!$B$32)/1000+'Inputs'!$B$21)+'Inputs'!$B$7)/SQRT((((214-43)*MAX('Inputs'!$B$33,'Inputs'!$B$29+'Inputs'!$B$31+'Inputs'!$B$32,'Inputs'!$B$30+'Inputs'!$B$31+'Inputs'!$B$32)/1000+'Inputs'!$B$21)+'Inputs'!$B$7)^2+('Inputs'!$B$6/2)^2)-(((214-43)*MAX('Inputs'!$B$33,'Inputs'!$B$29+'Inputs'!$B$31+'Inputs'!$B$32,'Inputs'!$B$30+'Inputs'!$B$31+'Inputs'!$B$32)/1000+'Inputs'!$B$21))/SQRT((((214-43)*MAX('Inputs'!$B$33,'Inputs'!$B$29+'Inputs'!$B$31+'Inputs'!$B$32,'Inputs'!$B$30+'Inputs'!$B$31+'Inputs'!$B$32)/1000+'Inputs'!$B$21))^2+('Inputs'!$B$6/2)^2)))-'Results'!C7*(1+'Inputs'!$B$24)*(0.5*((((214-43)*MAX('Inputs'!$B$33,'Inputs'!$B$29+'Inputs'!$B$31+'Inputs'!$B$32,'Inputs'!$B$30+'Inputs'!$B$31+'Inputs'!$B$32)/1000+'Inputs'!$B$21+'Inputs'!$B$7+'Inputs'!$B$10)+'Inputs'!$B$9)/SQRT((((214-43)*MAX('Inputs'!$B$33,'Inputs'!$B$29+'Inputs'!$B$31+'Inputs'!$B$32,'Inputs'!$B$30+'Inputs'!$B$31+'Inputs'!$B$32)/1000+'Inputs'!$B$21+'Inputs'!$B$7+'Inputs'!$B$10)+'Inputs'!$B$9)^2+('Inputs'!$B$8/2)^2)-(((214-43)*MAX('Inputs'!$B$33,'Inputs'!$B$29+'Inputs'!$B$31+'Inputs'!$B$32,'Inputs'!$B$30+'Inputs'!$B$31+'Inputs'!$B$32)/1000+'Inputs'!$B$21+'Inputs'!$B$7+'Inputs'!$B$10))/SQRT((((214-43)*MAX('Inputs'!$B$33,'Inputs'!$B$29+'Inputs'!$B$31+'Inputs'!$B$32,'Inputs'!$B$30+'Inputs'!$B$31+'Inputs'!$B$32)/1000+'Inputs'!$B$21+'Inputs'!$B$7+'Inputs'!$B$10))^2+('Inputs'!$B$8/2)^2))))*'Results'!$B$8)-'Inputs'!$B$28*ABS((('Results'!B7*(1-'Inputs'!$B$24)*(0.5*((((214-43)*MAX('Inputs'!$B$33,'Inputs'!$B$29+'Inputs'!$B$31+'Inputs'!$B$32,'Inputs'!$B$30+'Inputs'!$B$31+'Inputs'!$B$32)/1000+'Inputs'!$B$21)+'Inputs'!$B$7)/SQRT((((214-43)*MAX('Inputs'!$B$33,'Inputs'!$B$29+'Inputs'!$B$31+'Inputs'!$B$32,'Inputs'!$B$30+'Inputs'!$B$31+'Inputs'!$B$32)/1000+'Inputs'!$B$21)+'Inputs'!$B$7)^2+('Inputs'!$B$6/2)^2)-(((214-43)*MAX('Inputs'!$B$33,'Inputs'!$B$29+'Inputs'!$B$31+'Inputs'!$B$32,'Inputs'!$B$30+'Inputs'!$B$31+'Inputs'!$B$32)/1000+'Inputs'!$B$21))/SQRT((((214-43)*MAX('Inputs'!$B$33,'Inputs'!$B$29+'Inputs'!$B$31+'Inputs'!$B$32,'Inputs'!$B$30+'Inputs'!$B$31+'Inputs'!$B$32)/1000+'Inputs'!$B$21))^2+('Inputs'!$B$6/2)^2)))-'Results'!C7*(1+'Inputs'!$B$24)*(0.5*((((214-43)*MAX('Inputs'!$B$33,'Inputs'!$B$29+'Inputs'!$B$31+'Inputs'!$B$32,'Inputs'!$B$30+'Inputs'!$B$31+'Inputs'!$B$32)/1000+'Inputs'!$B$21+'Inputs'!$B$7+'Inputs'!$B$10)+'Inputs'!$B$9)/SQRT((((214-43)*MAX('Inputs'!$B$33,'Inputs'!$B$29+'Inputs'!$B$31+'Inputs'!$B$32,'Inputs'!$B$30+'Inputs'!$B$31+'Inputs'!$B$32)/1000+'Inputs'!$B$21+'Inputs'!$B$7+'Inputs'!$B$10)+'Inputs'!$B$9)^2+('Inputs'!$B$8/2)^2)-(((214-43)*MAX('Inputs'!$B$33,'Inputs'!$B$29+'Inputs'!$B$31+'Inputs'!$B$32,'Inputs'!$B$30+'Inputs'!$B$31+'Inputs'!$B$32)/1000+'Inputs'!$B$21+'Inputs'!$B$7+'Inputs'!$B$10))/SQRT((((214-43)*MAX('Inputs'!$B$33,'Inputs'!$B$29+'Inputs'!$B$31+'Inputs'!$B$32,'Inputs'!$B$30+'Inputs'!$B$31+'Inputs'!$B$32)/1000+'Inputs'!$B$21+'Inputs'!$B$7+'Inputs'!$B$10))^2+('Inputs'!$B$8/2)^2))))*'Results'!$B$8))),"")</x:f>
        <x:v>101.96421740835392</x:v>
      </x:c>
      <x:c r="L214" t="n">
        <x:f>IF(AND(ISNUMBER('Results'!B7),ISNUMBER('Results'!C7),ISNUMBER('Results'!$B$8),ISNUMBER('Inputs'!$B$6),ISNUMBER('Inputs'!$B$7),ISNUMBER('Inputs'!$B$8),ISNUMBER('Inputs'!$B$9),ISNUMBER('Inputs'!$B$10),ISNUMBER('Inputs'!$B$21),ISNUMBER('Inputs'!$B$24),ISNUMBER('Inputs'!$B$28)),((('Results'!B7*(1+'Inputs'!$B$24)*(0.5*((((214-43)*MAX('Inputs'!$B$33,'Inputs'!$B$29+'Inputs'!$B$31+'Inputs'!$B$32,'Inputs'!$B$30+'Inputs'!$B$31+'Inputs'!$B$32)/1000+'Inputs'!$B$21)+'Inputs'!$B$7)/SQRT((((214-43)*MAX('Inputs'!$B$33,'Inputs'!$B$29+'Inputs'!$B$31+'Inputs'!$B$32,'Inputs'!$B$30+'Inputs'!$B$31+'Inputs'!$B$32)/1000+'Inputs'!$B$21)+'Inputs'!$B$7)^2+('Inputs'!$B$6/2)^2)-(((214-43)*MAX('Inputs'!$B$33,'Inputs'!$B$29+'Inputs'!$B$31+'Inputs'!$B$32,'Inputs'!$B$30+'Inputs'!$B$31+'Inputs'!$B$32)/1000+'Inputs'!$B$21))/SQRT((((214-43)*MAX('Inputs'!$B$33,'Inputs'!$B$29+'Inputs'!$B$31+'Inputs'!$B$32,'Inputs'!$B$30+'Inputs'!$B$31+'Inputs'!$B$32)/1000+'Inputs'!$B$21))^2+('Inputs'!$B$6/2)^2)))-'Results'!C7*(1-'Inputs'!$B$24)*(0.5*((((214-43)*MAX('Inputs'!$B$33,'Inputs'!$B$29+'Inputs'!$B$31+'Inputs'!$B$32,'Inputs'!$B$30+'Inputs'!$B$31+'Inputs'!$B$32)/1000+'Inputs'!$B$21+'Inputs'!$B$7+'Inputs'!$B$10)+'Inputs'!$B$9)/SQRT((((214-43)*MAX('Inputs'!$B$33,'Inputs'!$B$29+'Inputs'!$B$31+'Inputs'!$B$32,'Inputs'!$B$30+'Inputs'!$B$31+'Inputs'!$B$32)/1000+'Inputs'!$B$21+'Inputs'!$B$7+'Inputs'!$B$10)+'Inputs'!$B$9)^2+('Inputs'!$B$8/2)^2)-(((214-43)*MAX('Inputs'!$B$33,'Inputs'!$B$29+'Inputs'!$B$31+'Inputs'!$B$32,'Inputs'!$B$30+'Inputs'!$B$31+'Inputs'!$B$32)/1000+'Inputs'!$B$21+'Inputs'!$B$7+'Inputs'!$B$10))/SQRT((((214-43)*MAX('Inputs'!$B$33,'Inputs'!$B$29+'Inputs'!$B$31+'Inputs'!$B$32,'Inputs'!$B$30+'Inputs'!$B$31+'Inputs'!$B$32)/1000+'Inputs'!$B$21+'Inputs'!$B$7+'Inputs'!$B$10))^2+('Inputs'!$B$8/2)^2))))*'Results'!$B$8)+'Inputs'!$B$28*ABS((('Results'!B7*(1+'Inputs'!$B$24)*(0.5*((((214-43)*MAX('Inputs'!$B$33,'Inputs'!$B$29+'Inputs'!$B$31+'Inputs'!$B$32,'Inputs'!$B$30+'Inputs'!$B$31+'Inputs'!$B$32)/1000+'Inputs'!$B$21)+'Inputs'!$B$7)/SQRT((((214-43)*MAX('Inputs'!$B$33,'Inputs'!$B$29+'Inputs'!$B$31+'Inputs'!$B$32,'Inputs'!$B$30+'Inputs'!$B$31+'Inputs'!$B$32)/1000+'Inputs'!$B$21)+'Inputs'!$B$7)^2+('Inputs'!$B$6/2)^2)-(((214-43)*MAX('Inputs'!$B$33,'Inputs'!$B$29+'Inputs'!$B$31+'Inputs'!$B$32,'Inputs'!$B$30+'Inputs'!$B$31+'Inputs'!$B$32)/1000+'Inputs'!$B$21))/SQRT((((214-43)*MAX('Inputs'!$B$33,'Inputs'!$B$29+'Inputs'!$B$31+'Inputs'!$B$32,'Inputs'!$B$30+'Inputs'!$B$31+'Inputs'!$B$32)/1000+'Inputs'!$B$21))^2+('Inputs'!$B$6/2)^2)))-'Results'!C7*(1-'Inputs'!$B$24)*(0.5*((((214-43)*MAX('Inputs'!$B$33,'Inputs'!$B$29+'Inputs'!$B$31+'Inputs'!$B$32,'Inputs'!$B$30+'Inputs'!$B$31+'Inputs'!$B$32)/1000+'Inputs'!$B$21+'Inputs'!$B$7+'Inputs'!$B$10)+'Inputs'!$B$9)/SQRT((((214-43)*MAX('Inputs'!$B$33,'Inputs'!$B$29+'Inputs'!$B$31+'Inputs'!$B$32,'Inputs'!$B$30+'Inputs'!$B$31+'Inputs'!$B$32)/1000+'Inputs'!$B$21+'Inputs'!$B$7+'Inputs'!$B$10)+'Inputs'!$B$9)^2+('Inputs'!$B$8/2)^2)-(((214-43)*MAX('Inputs'!$B$33,'Inputs'!$B$29+'Inputs'!$B$31+'Inputs'!$B$32,'Inputs'!$B$30+'Inputs'!$B$31+'Inputs'!$B$32)/1000+'Inputs'!$B$21+'Inputs'!$B$7+'Inputs'!$B$10))/SQRT((((214-43)*MAX('Inputs'!$B$33,'Inputs'!$B$29+'Inputs'!$B$31+'Inputs'!$B$32,'Inputs'!$B$30+'Inputs'!$B$31+'Inputs'!$B$32)/1000+'Inputs'!$B$21+'Inputs'!$B$7+'Inputs'!$B$10))^2+('Inputs'!$B$8/2)^2))))*'Results'!$B$8))),"")</x:f>
        <x:v>120.87661215558069</x:v>
      </x:c>
      <x:c r="M214" t="n">
        <x:f>IF(AND(ISNUMBER('Results'!C7),ISNUMBER('Results'!B7),ISNUMBER('Results'!$B$8),ISNUMBER('Inputs'!$B$6),ISNUMBER('Inputs'!$B$7),ISNUMBER('Inputs'!$B$8),ISNUMBER('Inputs'!$B$9),ISNUMBER('Inputs'!$B$10),ISNUMBER('Inputs'!$B$21),ISNUMBER('Inputs'!$B$24),ISNUMBER('Inputs'!$B$28)),(('Results'!C7*(0.5*((((214-43)*MAX('Inputs'!$B$33,'Inputs'!$B$29+'Inputs'!$B$31+'Inputs'!$B$32,'Inputs'!$B$30+'Inputs'!$B$31+'Inputs'!$B$32)/1000+'Inputs'!$B$21)+'Inputs'!$B$9)/SQRT((((214-43)*MAX('Inputs'!$B$33,'Inputs'!$B$29+'Inputs'!$B$31+'Inputs'!$B$32,'Inputs'!$B$30+'Inputs'!$B$31+'Inputs'!$B$32)/1000+'Inputs'!$B$21)+'Inputs'!$B$9)^2+('Inputs'!$B$8/2)^2)-(((214-43)*MAX('Inputs'!$B$33,'Inputs'!$B$29+'Inputs'!$B$31+'Inputs'!$B$32,'Inputs'!$B$30+'Inputs'!$B$31+'Inputs'!$B$32)/1000+'Inputs'!$B$21))/SQRT((((214-43)*MAX('Inputs'!$B$33,'Inputs'!$B$29+'Inputs'!$B$31+'Inputs'!$B$32,'Inputs'!$B$30+'Inputs'!$B$31+'Inputs'!$B$32)/1000+'Inputs'!$B$21))^2+('Inputs'!$B$8/2)^2)))-'Results'!B7*(0.5*((((214-43)*MAX('Inputs'!$B$33,'Inputs'!$B$29+'Inputs'!$B$31+'Inputs'!$B$32,'Inputs'!$B$30+'Inputs'!$B$31+'Inputs'!$B$32)/1000+'Inputs'!$B$21+'Inputs'!$B$9+'Inputs'!$B$10)+'Inputs'!$B$7)/SQRT((((214-43)*MAX('Inputs'!$B$33,'Inputs'!$B$29+'Inputs'!$B$31+'Inputs'!$B$32,'Inputs'!$B$30+'Inputs'!$B$31+'Inputs'!$B$32)/1000+'Inputs'!$B$21+'Inputs'!$B$9+'Inputs'!$B$10)+'Inputs'!$B$7)^2+('Inputs'!$B$6/2)^2)-(((214-43)*MAX('Inputs'!$B$33,'Inputs'!$B$29+'Inputs'!$B$31+'Inputs'!$B$32,'Inputs'!$B$30+'Inputs'!$B$31+'Inputs'!$B$32)/1000+'Inputs'!$B$21+'Inputs'!$B$9+'Inputs'!$B$10))/SQRT((((214-43)*MAX('Inputs'!$B$33,'Inputs'!$B$29+'Inputs'!$B$31+'Inputs'!$B$32,'Inputs'!$B$30+'Inputs'!$B$31+'Inputs'!$B$32)/1000+'Inputs'!$B$21+'Inputs'!$B$9+'Inputs'!$B$10))^2+('Inputs'!$B$6/2)^2))))*'Results'!$B$8),"")</x:f>
        <x:v>107.3137102632435</x:v>
      </x:c>
      <x:c r="N214" t="n">
        <x:f>IF(AND(ISNUMBER('Results'!C7),ISNUMBER('Results'!B7),ISNUMBER('Results'!$B$8),ISNUMBER('Inputs'!$B$6),ISNUMBER('Inputs'!$B$7),ISNUMBER('Inputs'!$B$8),ISNUMBER('Inputs'!$B$9),ISNUMBER('Inputs'!$B$10),ISNUMBER('Inputs'!$B$21),ISNUMBER('Inputs'!$B$24),ISNUMBER('Inputs'!$B$28)),((('Results'!C7*(1-'Inputs'!$B$24)*(0.5*((((214-43)*MAX('Inputs'!$B$33,'Inputs'!$B$29+'Inputs'!$B$31+'Inputs'!$B$32,'Inputs'!$B$30+'Inputs'!$B$31+'Inputs'!$B$32)/1000+'Inputs'!$B$21)+'Inputs'!$B$9)/SQRT((((214-43)*MAX('Inputs'!$B$33,'Inputs'!$B$29+'Inputs'!$B$31+'Inputs'!$B$32,'Inputs'!$B$30+'Inputs'!$B$31+'Inputs'!$B$32)/1000+'Inputs'!$B$21)+'Inputs'!$B$9)^2+('Inputs'!$B$8/2)^2)-(((214-43)*MAX('Inputs'!$B$33,'Inputs'!$B$29+'Inputs'!$B$31+'Inputs'!$B$32,'Inputs'!$B$30+'Inputs'!$B$31+'Inputs'!$B$32)/1000+'Inputs'!$B$21))/SQRT((((214-43)*MAX('Inputs'!$B$33,'Inputs'!$B$29+'Inputs'!$B$31+'Inputs'!$B$32,'Inputs'!$B$30+'Inputs'!$B$31+'Inputs'!$B$32)/1000+'Inputs'!$B$21))^2+('Inputs'!$B$8/2)^2)))-'Results'!B7*(1+'Inputs'!$B$24)*(0.5*((((214-43)*MAX('Inputs'!$B$33,'Inputs'!$B$29+'Inputs'!$B$31+'Inputs'!$B$32,'Inputs'!$B$30+'Inputs'!$B$31+'Inputs'!$B$32)/1000+'Inputs'!$B$21+'Inputs'!$B$9+'Inputs'!$B$10)+'Inputs'!$B$7)/SQRT((((214-43)*MAX('Inputs'!$B$33,'Inputs'!$B$29+'Inputs'!$B$31+'Inputs'!$B$32,'Inputs'!$B$30+'Inputs'!$B$31+'Inputs'!$B$32)/1000+'Inputs'!$B$21+'Inputs'!$B$9+'Inputs'!$B$10)+'Inputs'!$B$7)^2+('Inputs'!$B$6/2)^2)-(((214-43)*MAX('Inputs'!$B$33,'Inputs'!$B$29+'Inputs'!$B$31+'Inputs'!$B$32,'Inputs'!$B$30+'Inputs'!$B$31+'Inputs'!$B$32)/1000+'Inputs'!$B$21+'Inputs'!$B$9+'Inputs'!$B$10))/SQRT((((214-43)*MAX('Inputs'!$B$33,'Inputs'!$B$29+'Inputs'!$B$31+'Inputs'!$B$32,'Inputs'!$B$30+'Inputs'!$B$31+'Inputs'!$B$32)/1000+'Inputs'!$B$21+'Inputs'!$B$9+'Inputs'!$B$10))^2+('Inputs'!$B$6/2)^2))))*'Results'!$B$8)-'Inputs'!$B$28*ABS((('Results'!C7*(1-'Inputs'!$B$24)*(0.5*((((214-43)*MAX('Inputs'!$B$33,'Inputs'!$B$29+'Inputs'!$B$31+'Inputs'!$B$32,'Inputs'!$B$30+'Inputs'!$B$31+'Inputs'!$B$32)/1000+'Inputs'!$B$21)+'Inputs'!$B$9)/SQRT((((214-43)*MAX('Inputs'!$B$33,'Inputs'!$B$29+'Inputs'!$B$31+'Inputs'!$B$32,'Inputs'!$B$30+'Inputs'!$B$31+'Inputs'!$B$32)/1000+'Inputs'!$B$21)+'Inputs'!$B$9)^2+('Inputs'!$B$8/2)^2)-(((214-43)*MAX('Inputs'!$B$33,'Inputs'!$B$29+'Inputs'!$B$31+'Inputs'!$B$32,'Inputs'!$B$30+'Inputs'!$B$31+'Inputs'!$B$32)/1000+'Inputs'!$B$21))/SQRT((((214-43)*MAX('Inputs'!$B$33,'Inputs'!$B$29+'Inputs'!$B$31+'Inputs'!$B$32,'Inputs'!$B$30+'Inputs'!$B$31+'Inputs'!$B$32)/1000+'Inputs'!$B$21))^2+('Inputs'!$B$8/2)^2)))-'Results'!B7*(1+'Inputs'!$B$24)*(0.5*((((214-43)*MAX('Inputs'!$B$33,'Inputs'!$B$29+'Inputs'!$B$31+'Inputs'!$B$32,'Inputs'!$B$30+'Inputs'!$B$31+'Inputs'!$B$32)/1000+'Inputs'!$B$21+'Inputs'!$B$9+'Inputs'!$B$10)+'Inputs'!$B$7)/SQRT((((214-43)*MAX('Inputs'!$B$33,'Inputs'!$B$29+'Inputs'!$B$31+'Inputs'!$B$32,'Inputs'!$B$30+'Inputs'!$B$31+'Inputs'!$B$32)/1000+'Inputs'!$B$21+'Inputs'!$B$9+'Inputs'!$B$10)+'Inputs'!$B$7)^2+('Inputs'!$B$6/2)^2)-(((214-43)*MAX('Inputs'!$B$33,'Inputs'!$B$29+'Inputs'!$B$31+'Inputs'!$B$32,'Inputs'!$B$30+'Inputs'!$B$31+'Inputs'!$B$32)/1000+'Inputs'!$B$21+'Inputs'!$B$9+'Inputs'!$B$10))/SQRT((((214-43)*MAX('Inputs'!$B$33,'Inputs'!$B$29+'Inputs'!$B$31+'Inputs'!$B$32,'Inputs'!$B$30+'Inputs'!$B$31+'Inputs'!$B$32)/1000+'Inputs'!$B$21+'Inputs'!$B$9+'Inputs'!$B$10))^2+('Inputs'!$B$6/2)^2))))*'Results'!$B$8))),"")</x:f>
        <x:v>98.28979842782088</x:v>
      </x:c>
      <x:c r="O214" t="n">
        <x:f>IF(AND(ISNUMBER('Results'!C7),ISNUMBER('Results'!B7),ISNUMBER('Results'!$B$8),ISNUMBER('Inputs'!$B$6),ISNUMBER('Inputs'!$B$7),ISNUMBER('Inputs'!$B$8),ISNUMBER('Inputs'!$B$9),ISNUMBER('Inputs'!$B$10),ISNUMBER('Inputs'!$B$21),ISNUMBER('Inputs'!$B$24),ISNUMBER('Inputs'!$B$28)),((('Results'!C7*(1+'Inputs'!$B$24)*(0.5*((((214-43)*MAX('Inputs'!$B$33,'Inputs'!$B$29+'Inputs'!$B$31+'Inputs'!$B$32,'Inputs'!$B$30+'Inputs'!$B$31+'Inputs'!$B$32)/1000+'Inputs'!$B$21)+'Inputs'!$B$9)/SQRT((((214-43)*MAX('Inputs'!$B$33,'Inputs'!$B$29+'Inputs'!$B$31+'Inputs'!$B$32,'Inputs'!$B$30+'Inputs'!$B$31+'Inputs'!$B$32)/1000+'Inputs'!$B$21)+'Inputs'!$B$9)^2+('Inputs'!$B$8/2)^2)-(((214-43)*MAX('Inputs'!$B$33,'Inputs'!$B$29+'Inputs'!$B$31+'Inputs'!$B$32,'Inputs'!$B$30+'Inputs'!$B$31+'Inputs'!$B$32)/1000+'Inputs'!$B$21))/SQRT((((214-43)*MAX('Inputs'!$B$33,'Inputs'!$B$29+'Inputs'!$B$31+'Inputs'!$B$32,'Inputs'!$B$30+'Inputs'!$B$31+'Inputs'!$B$32)/1000+'Inputs'!$B$21))^2+('Inputs'!$B$8/2)^2)))-'Results'!B7*(1-'Inputs'!$B$24)*(0.5*((((214-43)*MAX('Inputs'!$B$33,'Inputs'!$B$29+'Inputs'!$B$31+'Inputs'!$B$32,'Inputs'!$B$30+'Inputs'!$B$31+'Inputs'!$B$32)/1000+'Inputs'!$B$21+'Inputs'!$B$9+'Inputs'!$B$10)+'Inputs'!$B$7)/SQRT((((214-43)*MAX('Inputs'!$B$33,'Inputs'!$B$29+'Inputs'!$B$31+'Inputs'!$B$32,'Inputs'!$B$30+'Inputs'!$B$31+'Inputs'!$B$32)/1000+'Inputs'!$B$21+'Inputs'!$B$9+'Inputs'!$B$10)+'Inputs'!$B$7)^2+('Inputs'!$B$6/2)^2)-(((214-43)*MAX('Inputs'!$B$33,'Inputs'!$B$29+'Inputs'!$B$31+'Inputs'!$B$32,'Inputs'!$B$30+'Inputs'!$B$31+'Inputs'!$B$32)/1000+'Inputs'!$B$21+'Inputs'!$B$9+'Inputs'!$B$10))/SQRT((((214-43)*MAX('Inputs'!$B$33,'Inputs'!$B$29+'Inputs'!$B$31+'Inputs'!$B$32,'Inputs'!$B$30+'Inputs'!$B$31+'Inputs'!$B$32)/1000+'Inputs'!$B$21+'Inputs'!$B$9+'Inputs'!$B$10))^2+('Inputs'!$B$6/2)^2))))*'Results'!$B$8)+'Inputs'!$B$28*ABS((('Results'!C7*(1+'Inputs'!$B$24)*(0.5*((((214-43)*MAX('Inputs'!$B$33,'Inputs'!$B$29+'Inputs'!$B$31+'Inputs'!$B$32,'Inputs'!$B$30+'Inputs'!$B$31+'Inputs'!$B$32)/1000+'Inputs'!$B$21)+'Inputs'!$B$9)/SQRT((((214-43)*MAX('Inputs'!$B$33,'Inputs'!$B$29+'Inputs'!$B$31+'Inputs'!$B$32,'Inputs'!$B$30+'Inputs'!$B$31+'Inputs'!$B$32)/1000+'Inputs'!$B$21)+'Inputs'!$B$9)^2+('Inputs'!$B$8/2)^2)-(((214-43)*MAX('Inputs'!$B$33,'Inputs'!$B$29+'Inputs'!$B$31+'Inputs'!$B$32,'Inputs'!$B$30+'Inputs'!$B$31+'Inputs'!$B$32)/1000+'Inputs'!$B$21))/SQRT((((214-43)*MAX('Inputs'!$B$33,'Inputs'!$B$29+'Inputs'!$B$31+'Inputs'!$B$32,'Inputs'!$B$30+'Inputs'!$B$31+'Inputs'!$B$32)/1000+'Inputs'!$B$21))^2+('Inputs'!$B$8/2)^2)))-'Results'!B7*(1-'Inputs'!$B$24)*(0.5*((((214-43)*MAX('Inputs'!$B$33,'Inputs'!$B$29+'Inputs'!$B$31+'Inputs'!$B$32,'Inputs'!$B$30+'Inputs'!$B$31+'Inputs'!$B$32)/1000+'Inputs'!$B$21+'Inputs'!$B$9+'Inputs'!$B$10)+'Inputs'!$B$7)/SQRT((((214-43)*MAX('Inputs'!$B$33,'Inputs'!$B$29+'Inputs'!$B$31+'Inputs'!$B$32,'Inputs'!$B$30+'Inputs'!$B$31+'Inputs'!$B$32)/1000+'Inputs'!$B$21+'Inputs'!$B$9+'Inputs'!$B$10)+'Inputs'!$B$7)^2+('Inputs'!$B$6/2)^2)-(((214-43)*MAX('Inputs'!$B$33,'Inputs'!$B$29+'Inputs'!$B$31+'Inputs'!$B$32,'Inputs'!$B$30+'Inputs'!$B$31+'Inputs'!$B$32)/1000+'Inputs'!$B$21+'Inputs'!$B$9+'Inputs'!$B$10))/SQRT((((214-43)*MAX('Inputs'!$B$33,'Inputs'!$B$29+'Inputs'!$B$31+'Inputs'!$B$32,'Inputs'!$B$30+'Inputs'!$B$31+'Inputs'!$B$32)/1000+'Inputs'!$B$21+'Inputs'!$B$9+'Inputs'!$B$10))^2+('Inputs'!$B$6/2)^2))))*'Results'!$B$8))),"")</x:f>
        <x:v>116.72269855364087</x:v>
      </x:c>
      <x:c r="P214" t="n">
        <x:f>IF(AND(MAX(J214,J213)&gt;0,J214&gt;J213+0.00000001),1,0)</x:f>
        <x:v>0</x:v>
      </x:c>
      <x:c r="Q214" t="n">
        <x:f>IF(AND(MAX(K214,K213)&gt;0,K214&gt;K213+0.00000001),1,0)</x:f>
        <x:v>0</x:v>
      </x:c>
      <x:c r="R214" t="n">
        <x:f>IF(AND(MAX(L214,L213)&gt;0,L214&gt;L213+0.00000001),1,0)</x:f>
        <x:v>0</x:v>
      </x:c>
      <x:c r="S214" t="n">
        <x:f>IF(AND(MAX(M214,M213)&gt;0,M214&gt;M213+0.00000001),1,0)</x:f>
        <x:v>0</x:v>
      </x:c>
      <x:c r="T214" t="n">
        <x:f>IF(AND(MAX(N214,N213)&gt;0,N214&gt;N213+0.00000001),1,0)</x:f>
        <x:v>0</x:v>
      </x:c>
      <x:c r="U214" t="n">
        <x:f>IF(AND(MAX(O214,O213)&gt;0,O214&gt;O213+0.00000001),1,0)</x:f>
        <x:v>0</x:v>
      </x:c>
    </x:row>
    <x:row r="215">
      <x:c r="J215" t="n">
        <x:f>IF(AND(ISNUMBER('Results'!B7),ISNUMBER('Results'!C7),ISNUMBER('Results'!$B$8),ISNUMBER('Inputs'!$B$6),ISNUMBER('Inputs'!$B$7),ISNUMBER('Inputs'!$B$8),ISNUMBER('Inputs'!$B$9),ISNUMBER('Inputs'!$B$10),ISNUMBER('Inputs'!$B$21),ISNUMBER('Inputs'!$B$24),ISNUMBER('Inputs'!$B$28)),(('Results'!B7*(0.5*((((215-43)*MAX('Inputs'!$B$33,'Inputs'!$B$29+'Inputs'!$B$31+'Inputs'!$B$32,'Inputs'!$B$30+'Inputs'!$B$31+'Inputs'!$B$32)/1000+'Inputs'!$B$21)+'Inputs'!$B$7)/SQRT((((215-43)*MAX('Inputs'!$B$33,'Inputs'!$B$29+'Inputs'!$B$31+'Inputs'!$B$32,'Inputs'!$B$30+'Inputs'!$B$31+'Inputs'!$B$32)/1000+'Inputs'!$B$21)+'Inputs'!$B$7)^2+('Inputs'!$B$6/2)^2)-(((215-43)*MAX('Inputs'!$B$33,'Inputs'!$B$29+'Inputs'!$B$31+'Inputs'!$B$32,'Inputs'!$B$30+'Inputs'!$B$31+'Inputs'!$B$32)/1000+'Inputs'!$B$21))/SQRT((((215-43)*MAX('Inputs'!$B$33,'Inputs'!$B$29+'Inputs'!$B$31+'Inputs'!$B$32,'Inputs'!$B$30+'Inputs'!$B$31+'Inputs'!$B$32)/1000+'Inputs'!$B$21))^2+('Inputs'!$B$6/2)^2)))-'Results'!C7*(0.5*((((215-43)*MAX('Inputs'!$B$33,'Inputs'!$B$29+'Inputs'!$B$31+'Inputs'!$B$32,'Inputs'!$B$30+'Inputs'!$B$31+'Inputs'!$B$32)/1000+'Inputs'!$B$21+'Inputs'!$B$7+'Inputs'!$B$10)+'Inputs'!$B$9)/SQRT((((215-43)*MAX('Inputs'!$B$33,'Inputs'!$B$29+'Inputs'!$B$31+'Inputs'!$B$32,'Inputs'!$B$30+'Inputs'!$B$31+'Inputs'!$B$32)/1000+'Inputs'!$B$21+'Inputs'!$B$7+'Inputs'!$B$10)+'Inputs'!$B$9)^2+('Inputs'!$B$8/2)^2)-(((215-43)*MAX('Inputs'!$B$33,'Inputs'!$B$29+'Inputs'!$B$31+'Inputs'!$B$32,'Inputs'!$B$30+'Inputs'!$B$31+'Inputs'!$B$32)/1000+'Inputs'!$B$21+'Inputs'!$B$7+'Inputs'!$B$10))/SQRT((((215-43)*MAX('Inputs'!$B$33,'Inputs'!$B$29+'Inputs'!$B$31+'Inputs'!$B$32,'Inputs'!$B$30+'Inputs'!$B$31+'Inputs'!$B$32)/1000+'Inputs'!$B$21+'Inputs'!$B$7+'Inputs'!$B$10))^2+('Inputs'!$B$8/2)^2))))*'Results'!$B$8),"")</x:f>
        <x:v>109.56071550522641</x:v>
      </x:c>
      <x:c r="K215" t="n">
        <x:f>IF(AND(ISNUMBER('Results'!B7),ISNUMBER('Results'!C7),ISNUMBER('Results'!$B$8),ISNUMBER('Inputs'!$B$6),ISNUMBER('Inputs'!$B$7),ISNUMBER('Inputs'!$B$8),ISNUMBER('Inputs'!$B$9),ISNUMBER('Inputs'!$B$10),ISNUMBER('Inputs'!$B$21),ISNUMBER('Inputs'!$B$24),ISNUMBER('Inputs'!$B$28)),((('Results'!B7*(1-'Inputs'!$B$24)*(0.5*((((215-43)*MAX('Inputs'!$B$33,'Inputs'!$B$29+'Inputs'!$B$31+'Inputs'!$B$32,'Inputs'!$B$30+'Inputs'!$B$31+'Inputs'!$B$32)/1000+'Inputs'!$B$21)+'Inputs'!$B$7)/SQRT((((215-43)*MAX('Inputs'!$B$33,'Inputs'!$B$29+'Inputs'!$B$31+'Inputs'!$B$32,'Inputs'!$B$30+'Inputs'!$B$31+'Inputs'!$B$32)/1000+'Inputs'!$B$21)+'Inputs'!$B$7)^2+('Inputs'!$B$6/2)^2)-(((215-43)*MAX('Inputs'!$B$33,'Inputs'!$B$29+'Inputs'!$B$31+'Inputs'!$B$32,'Inputs'!$B$30+'Inputs'!$B$31+'Inputs'!$B$32)/1000+'Inputs'!$B$21))/SQRT((((215-43)*MAX('Inputs'!$B$33,'Inputs'!$B$29+'Inputs'!$B$31+'Inputs'!$B$32,'Inputs'!$B$30+'Inputs'!$B$31+'Inputs'!$B$32)/1000+'Inputs'!$B$21))^2+('Inputs'!$B$6/2)^2)))-'Results'!C7*(1+'Inputs'!$B$24)*(0.5*((((215-43)*MAX('Inputs'!$B$33,'Inputs'!$B$29+'Inputs'!$B$31+'Inputs'!$B$32,'Inputs'!$B$30+'Inputs'!$B$31+'Inputs'!$B$32)/1000+'Inputs'!$B$21+'Inputs'!$B$7+'Inputs'!$B$10)+'Inputs'!$B$9)/SQRT((((215-43)*MAX('Inputs'!$B$33,'Inputs'!$B$29+'Inputs'!$B$31+'Inputs'!$B$32,'Inputs'!$B$30+'Inputs'!$B$31+'Inputs'!$B$32)/1000+'Inputs'!$B$21+'Inputs'!$B$7+'Inputs'!$B$10)+'Inputs'!$B$9)^2+('Inputs'!$B$8/2)^2)-(((215-43)*MAX('Inputs'!$B$33,'Inputs'!$B$29+'Inputs'!$B$31+'Inputs'!$B$32,'Inputs'!$B$30+'Inputs'!$B$31+'Inputs'!$B$32)/1000+'Inputs'!$B$21+'Inputs'!$B$7+'Inputs'!$B$10))/SQRT((((215-43)*MAX('Inputs'!$B$33,'Inputs'!$B$29+'Inputs'!$B$31+'Inputs'!$B$32,'Inputs'!$B$30+'Inputs'!$B$31+'Inputs'!$B$32)/1000+'Inputs'!$B$21+'Inputs'!$B$7+'Inputs'!$B$10))^2+('Inputs'!$B$8/2)^2))))*'Results'!$B$8)-'Inputs'!$B$28*ABS((('Results'!B7*(1-'Inputs'!$B$24)*(0.5*((((215-43)*MAX('Inputs'!$B$33,'Inputs'!$B$29+'Inputs'!$B$31+'Inputs'!$B$32,'Inputs'!$B$30+'Inputs'!$B$31+'Inputs'!$B$32)/1000+'Inputs'!$B$21)+'Inputs'!$B$7)/SQRT((((215-43)*MAX('Inputs'!$B$33,'Inputs'!$B$29+'Inputs'!$B$31+'Inputs'!$B$32,'Inputs'!$B$30+'Inputs'!$B$31+'Inputs'!$B$32)/1000+'Inputs'!$B$21)+'Inputs'!$B$7)^2+('Inputs'!$B$6/2)^2)-(((215-43)*MAX('Inputs'!$B$33,'Inputs'!$B$29+'Inputs'!$B$31+'Inputs'!$B$32,'Inputs'!$B$30+'Inputs'!$B$31+'Inputs'!$B$32)/1000+'Inputs'!$B$21))/SQRT((((215-43)*MAX('Inputs'!$B$33,'Inputs'!$B$29+'Inputs'!$B$31+'Inputs'!$B$32,'Inputs'!$B$30+'Inputs'!$B$31+'Inputs'!$B$32)/1000+'Inputs'!$B$21))^2+('Inputs'!$B$6/2)^2)))-'Results'!C7*(1+'Inputs'!$B$24)*(0.5*((((215-43)*MAX('Inputs'!$B$33,'Inputs'!$B$29+'Inputs'!$B$31+'Inputs'!$B$32,'Inputs'!$B$30+'Inputs'!$B$31+'Inputs'!$B$32)/1000+'Inputs'!$B$21+'Inputs'!$B$7+'Inputs'!$B$10)+'Inputs'!$B$9)/SQRT((((215-43)*MAX('Inputs'!$B$33,'Inputs'!$B$29+'Inputs'!$B$31+'Inputs'!$B$32,'Inputs'!$B$30+'Inputs'!$B$31+'Inputs'!$B$32)/1000+'Inputs'!$B$21+'Inputs'!$B$7+'Inputs'!$B$10)+'Inputs'!$B$9)^2+('Inputs'!$B$8/2)^2)-(((215-43)*MAX('Inputs'!$B$33,'Inputs'!$B$29+'Inputs'!$B$31+'Inputs'!$B$32,'Inputs'!$B$30+'Inputs'!$B$31+'Inputs'!$B$32)/1000+'Inputs'!$B$21+'Inputs'!$B$7+'Inputs'!$B$10))/SQRT((((215-43)*MAX('Inputs'!$B$33,'Inputs'!$B$29+'Inputs'!$B$31+'Inputs'!$B$32,'Inputs'!$B$30+'Inputs'!$B$31+'Inputs'!$B$32)/1000+'Inputs'!$B$21+'Inputs'!$B$7+'Inputs'!$B$10))^2+('Inputs'!$B$8/2)^2))))*'Results'!$B$8))),"")</x:f>
        <x:v>100.42871849435679</x:v>
      </x:c>
      <x:c r="L215" t="n">
        <x:f>IF(AND(ISNUMBER('Results'!B7),ISNUMBER('Results'!C7),ISNUMBER('Results'!$B$8),ISNUMBER('Inputs'!$B$6),ISNUMBER('Inputs'!$B$7),ISNUMBER('Inputs'!$B$8),ISNUMBER('Inputs'!$B$9),ISNUMBER('Inputs'!$B$10),ISNUMBER('Inputs'!$B$21),ISNUMBER('Inputs'!$B$24),ISNUMBER('Inputs'!$B$28)),((('Results'!B7*(1+'Inputs'!$B$24)*(0.5*((((215-43)*MAX('Inputs'!$B$33,'Inputs'!$B$29+'Inputs'!$B$31+'Inputs'!$B$32,'Inputs'!$B$30+'Inputs'!$B$31+'Inputs'!$B$32)/1000+'Inputs'!$B$21)+'Inputs'!$B$7)/SQRT((((215-43)*MAX('Inputs'!$B$33,'Inputs'!$B$29+'Inputs'!$B$31+'Inputs'!$B$32,'Inputs'!$B$30+'Inputs'!$B$31+'Inputs'!$B$32)/1000+'Inputs'!$B$21)+'Inputs'!$B$7)^2+('Inputs'!$B$6/2)^2)-(((215-43)*MAX('Inputs'!$B$33,'Inputs'!$B$29+'Inputs'!$B$31+'Inputs'!$B$32,'Inputs'!$B$30+'Inputs'!$B$31+'Inputs'!$B$32)/1000+'Inputs'!$B$21))/SQRT((((215-43)*MAX('Inputs'!$B$33,'Inputs'!$B$29+'Inputs'!$B$31+'Inputs'!$B$32,'Inputs'!$B$30+'Inputs'!$B$31+'Inputs'!$B$32)/1000+'Inputs'!$B$21))^2+('Inputs'!$B$6/2)^2)))-'Results'!C7*(1-'Inputs'!$B$24)*(0.5*((((215-43)*MAX('Inputs'!$B$33,'Inputs'!$B$29+'Inputs'!$B$31+'Inputs'!$B$32,'Inputs'!$B$30+'Inputs'!$B$31+'Inputs'!$B$32)/1000+'Inputs'!$B$21+'Inputs'!$B$7+'Inputs'!$B$10)+'Inputs'!$B$9)/SQRT((((215-43)*MAX('Inputs'!$B$33,'Inputs'!$B$29+'Inputs'!$B$31+'Inputs'!$B$32,'Inputs'!$B$30+'Inputs'!$B$31+'Inputs'!$B$32)/1000+'Inputs'!$B$21+'Inputs'!$B$7+'Inputs'!$B$10)+'Inputs'!$B$9)^2+('Inputs'!$B$8/2)^2)-(((215-43)*MAX('Inputs'!$B$33,'Inputs'!$B$29+'Inputs'!$B$31+'Inputs'!$B$32,'Inputs'!$B$30+'Inputs'!$B$31+'Inputs'!$B$32)/1000+'Inputs'!$B$21+'Inputs'!$B$7+'Inputs'!$B$10))/SQRT((((215-43)*MAX('Inputs'!$B$33,'Inputs'!$B$29+'Inputs'!$B$31+'Inputs'!$B$32,'Inputs'!$B$30+'Inputs'!$B$31+'Inputs'!$B$32)/1000+'Inputs'!$B$21+'Inputs'!$B$7+'Inputs'!$B$10))^2+('Inputs'!$B$8/2)^2))))*'Results'!$B$8)+'Inputs'!$B$28*ABS((('Results'!B7*(1+'Inputs'!$B$24)*(0.5*((((215-43)*MAX('Inputs'!$B$33,'Inputs'!$B$29+'Inputs'!$B$31+'Inputs'!$B$32,'Inputs'!$B$30+'Inputs'!$B$31+'Inputs'!$B$32)/1000+'Inputs'!$B$21)+'Inputs'!$B$7)/SQRT((((215-43)*MAX('Inputs'!$B$33,'Inputs'!$B$29+'Inputs'!$B$31+'Inputs'!$B$32,'Inputs'!$B$30+'Inputs'!$B$31+'Inputs'!$B$32)/1000+'Inputs'!$B$21)+'Inputs'!$B$7)^2+('Inputs'!$B$6/2)^2)-(((215-43)*MAX('Inputs'!$B$33,'Inputs'!$B$29+'Inputs'!$B$31+'Inputs'!$B$32,'Inputs'!$B$30+'Inputs'!$B$31+'Inputs'!$B$32)/1000+'Inputs'!$B$21))/SQRT((((215-43)*MAX('Inputs'!$B$33,'Inputs'!$B$29+'Inputs'!$B$31+'Inputs'!$B$32,'Inputs'!$B$30+'Inputs'!$B$31+'Inputs'!$B$32)/1000+'Inputs'!$B$21))^2+('Inputs'!$B$6/2)^2)))-'Results'!C7*(1-'Inputs'!$B$24)*(0.5*((((215-43)*MAX('Inputs'!$B$33,'Inputs'!$B$29+'Inputs'!$B$31+'Inputs'!$B$32,'Inputs'!$B$30+'Inputs'!$B$31+'Inputs'!$B$32)/1000+'Inputs'!$B$21+'Inputs'!$B$7+'Inputs'!$B$10)+'Inputs'!$B$9)/SQRT((((215-43)*MAX('Inputs'!$B$33,'Inputs'!$B$29+'Inputs'!$B$31+'Inputs'!$B$32,'Inputs'!$B$30+'Inputs'!$B$31+'Inputs'!$B$32)/1000+'Inputs'!$B$21+'Inputs'!$B$7+'Inputs'!$B$10)+'Inputs'!$B$9)^2+('Inputs'!$B$8/2)^2)-(((215-43)*MAX('Inputs'!$B$33,'Inputs'!$B$29+'Inputs'!$B$31+'Inputs'!$B$32,'Inputs'!$B$30+'Inputs'!$B$31+'Inputs'!$B$32)/1000+'Inputs'!$B$21+'Inputs'!$B$7+'Inputs'!$B$10))/SQRT((((215-43)*MAX('Inputs'!$B$33,'Inputs'!$B$29+'Inputs'!$B$31+'Inputs'!$B$32,'Inputs'!$B$30+'Inputs'!$B$31+'Inputs'!$B$32)/1000+'Inputs'!$B$21+'Inputs'!$B$7+'Inputs'!$B$10))^2+('Inputs'!$B$8/2)^2))))*'Results'!$B$8))),"")</x:f>
        <x:v>119.0773400145812</x:v>
      </x:c>
      <x:c r="M215" t="n">
        <x:f>IF(AND(ISNUMBER('Results'!C7),ISNUMBER('Results'!B7),ISNUMBER('Results'!$B$8),ISNUMBER('Inputs'!$B$6),ISNUMBER('Inputs'!$B$7),ISNUMBER('Inputs'!$B$8),ISNUMBER('Inputs'!$B$9),ISNUMBER('Inputs'!$B$10),ISNUMBER('Inputs'!$B$21),ISNUMBER('Inputs'!$B$24),ISNUMBER('Inputs'!$B$28)),(('Results'!C7*(0.5*((((215-43)*MAX('Inputs'!$B$33,'Inputs'!$B$29+'Inputs'!$B$31+'Inputs'!$B$32,'Inputs'!$B$30+'Inputs'!$B$31+'Inputs'!$B$32)/1000+'Inputs'!$B$21)+'Inputs'!$B$9)/SQRT((((215-43)*MAX('Inputs'!$B$33,'Inputs'!$B$29+'Inputs'!$B$31+'Inputs'!$B$32,'Inputs'!$B$30+'Inputs'!$B$31+'Inputs'!$B$32)/1000+'Inputs'!$B$21)+'Inputs'!$B$9)^2+('Inputs'!$B$8/2)^2)-(((215-43)*MAX('Inputs'!$B$33,'Inputs'!$B$29+'Inputs'!$B$31+'Inputs'!$B$32,'Inputs'!$B$30+'Inputs'!$B$31+'Inputs'!$B$32)/1000+'Inputs'!$B$21))/SQRT((((215-43)*MAX('Inputs'!$B$33,'Inputs'!$B$29+'Inputs'!$B$31+'Inputs'!$B$32,'Inputs'!$B$30+'Inputs'!$B$31+'Inputs'!$B$32)/1000+'Inputs'!$B$21))^2+('Inputs'!$B$8/2)^2)))-'Results'!B7*(0.5*((((215-43)*MAX('Inputs'!$B$33,'Inputs'!$B$29+'Inputs'!$B$31+'Inputs'!$B$32,'Inputs'!$B$30+'Inputs'!$B$31+'Inputs'!$B$32)/1000+'Inputs'!$B$21+'Inputs'!$B$9+'Inputs'!$B$10)+'Inputs'!$B$7)/SQRT((((215-43)*MAX('Inputs'!$B$33,'Inputs'!$B$29+'Inputs'!$B$31+'Inputs'!$B$32,'Inputs'!$B$30+'Inputs'!$B$31+'Inputs'!$B$32)/1000+'Inputs'!$B$21+'Inputs'!$B$9+'Inputs'!$B$10)+'Inputs'!$B$7)^2+('Inputs'!$B$6/2)^2)-(((215-43)*MAX('Inputs'!$B$33,'Inputs'!$B$29+'Inputs'!$B$31+'Inputs'!$B$32,'Inputs'!$B$30+'Inputs'!$B$31+'Inputs'!$B$32)/1000+'Inputs'!$B$21+'Inputs'!$B$9+'Inputs'!$B$10))/SQRT((((215-43)*MAX('Inputs'!$B$33,'Inputs'!$B$29+'Inputs'!$B$31+'Inputs'!$B$32,'Inputs'!$B$30+'Inputs'!$B$31+'Inputs'!$B$32)/1000+'Inputs'!$B$21+'Inputs'!$B$9+'Inputs'!$B$10))^2+('Inputs'!$B$6/2)^2))))*'Results'!$B$8),"")</x:f>
        <x:v>105.69755214614345</x:v>
      </x:c>
      <x:c r="N215" t="n">
        <x:f>IF(AND(ISNUMBER('Results'!C7),ISNUMBER('Results'!B7),ISNUMBER('Results'!$B$8),ISNUMBER('Inputs'!$B$6),ISNUMBER('Inputs'!$B$7),ISNUMBER('Inputs'!$B$8),ISNUMBER('Inputs'!$B$9),ISNUMBER('Inputs'!$B$10),ISNUMBER('Inputs'!$B$21),ISNUMBER('Inputs'!$B$24),ISNUMBER('Inputs'!$B$28)),((('Results'!C7*(1-'Inputs'!$B$24)*(0.5*((((215-43)*MAX('Inputs'!$B$33,'Inputs'!$B$29+'Inputs'!$B$31+'Inputs'!$B$32,'Inputs'!$B$30+'Inputs'!$B$31+'Inputs'!$B$32)/1000+'Inputs'!$B$21)+'Inputs'!$B$9)/SQRT((((215-43)*MAX('Inputs'!$B$33,'Inputs'!$B$29+'Inputs'!$B$31+'Inputs'!$B$32,'Inputs'!$B$30+'Inputs'!$B$31+'Inputs'!$B$32)/1000+'Inputs'!$B$21)+'Inputs'!$B$9)^2+('Inputs'!$B$8/2)^2)-(((215-43)*MAX('Inputs'!$B$33,'Inputs'!$B$29+'Inputs'!$B$31+'Inputs'!$B$32,'Inputs'!$B$30+'Inputs'!$B$31+'Inputs'!$B$32)/1000+'Inputs'!$B$21))/SQRT((((215-43)*MAX('Inputs'!$B$33,'Inputs'!$B$29+'Inputs'!$B$31+'Inputs'!$B$32,'Inputs'!$B$30+'Inputs'!$B$31+'Inputs'!$B$32)/1000+'Inputs'!$B$21))^2+('Inputs'!$B$8/2)^2)))-'Results'!B7*(1+'Inputs'!$B$24)*(0.5*((((215-43)*MAX('Inputs'!$B$33,'Inputs'!$B$29+'Inputs'!$B$31+'Inputs'!$B$32,'Inputs'!$B$30+'Inputs'!$B$31+'Inputs'!$B$32)/1000+'Inputs'!$B$21+'Inputs'!$B$9+'Inputs'!$B$10)+'Inputs'!$B$7)/SQRT((((215-43)*MAX('Inputs'!$B$33,'Inputs'!$B$29+'Inputs'!$B$31+'Inputs'!$B$32,'Inputs'!$B$30+'Inputs'!$B$31+'Inputs'!$B$32)/1000+'Inputs'!$B$21+'Inputs'!$B$9+'Inputs'!$B$10)+'Inputs'!$B$7)^2+('Inputs'!$B$6/2)^2)-(((215-43)*MAX('Inputs'!$B$33,'Inputs'!$B$29+'Inputs'!$B$31+'Inputs'!$B$32,'Inputs'!$B$30+'Inputs'!$B$31+'Inputs'!$B$32)/1000+'Inputs'!$B$21+'Inputs'!$B$9+'Inputs'!$B$10))/SQRT((((215-43)*MAX('Inputs'!$B$33,'Inputs'!$B$29+'Inputs'!$B$31+'Inputs'!$B$32,'Inputs'!$B$30+'Inputs'!$B$31+'Inputs'!$B$32)/1000+'Inputs'!$B$21+'Inputs'!$B$9+'Inputs'!$B$10))^2+('Inputs'!$B$6/2)^2))))*'Results'!$B$8)-'Inputs'!$B$28*ABS((('Results'!C7*(1-'Inputs'!$B$24)*(0.5*((((215-43)*MAX('Inputs'!$B$33,'Inputs'!$B$29+'Inputs'!$B$31+'Inputs'!$B$32,'Inputs'!$B$30+'Inputs'!$B$31+'Inputs'!$B$32)/1000+'Inputs'!$B$21)+'Inputs'!$B$9)/SQRT((((215-43)*MAX('Inputs'!$B$33,'Inputs'!$B$29+'Inputs'!$B$31+'Inputs'!$B$32,'Inputs'!$B$30+'Inputs'!$B$31+'Inputs'!$B$32)/1000+'Inputs'!$B$21)+'Inputs'!$B$9)^2+('Inputs'!$B$8/2)^2)-(((215-43)*MAX('Inputs'!$B$33,'Inputs'!$B$29+'Inputs'!$B$31+'Inputs'!$B$32,'Inputs'!$B$30+'Inputs'!$B$31+'Inputs'!$B$32)/1000+'Inputs'!$B$21))/SQRT((((215-43)*MAX('Inputs'!$B$33,'Inputs'!$B$29+'Inputs'!$B$31+'Inputs'!$B$32,'Inputs'!$B$30+'Inputs'!$B$31+'Inputs'!$B$32)/1000+'Inputs'!$B$21))^2+('Inputs'!$B$8/2)^2)))-'Results'!B7*(1+'Inputs'!$B$24)*(0.5*((((215-43)*MAX('Inputs'!$B$33,'Inputs'!$B$29+'Inputs'!$B$31+'Inputs'!$B$32,'Inputs'!$B$30+'Inputs'!$B$31+'Inputs'!$B$32)/1000+'Inputs'!$B$21+'Inputs'!$B$9+'Inputs'!$B$10)+'Inputs'!$B$7)/SQRT((((215-43)*MAX('Inputs'!$B$33,'Inputs'!$B$29+'Inputs'!$B$31+'Inputs'!$B$32,'Inputs'!$B$30+'Inputs'!$B$31+'Inputs'!$B$32)/1000+'Inputs'!$B$21+'Inputs'!$B$9+'Inputs'!$B$10)+'Inputs'!$B$7)^2+('Inputs'!$B$6/2)^2)-(((215-43)*MAX('Inputs'!$B$33,'Inputs'!$B$29+'Inputs'!$B$31+'Inputs'!$B$32,'Inputs'!$B$30+'Inputs'!$B$31+'Inputs'!$B$32)/1000+'Inputs'!$B$21+'Inputs'!$B$9+'Inputs'!$B$10))/SQRT((((215-43)*MAX('Inputs'!$B$33,'Inputs'!$B$29+'Inputs'!$B$31+'Inputs'!$B$32,'Inputs'!$B$30+'Inputs'!$B$31+'Inputs'!$B$32)/1000+'Inputs'!$B$21+'Inputs'!$B$9+'Inputs'!$B$10))^2+('Inputs'!$B$6/2)^2))))*'Results'!$B$8))),"")</x:f>
        <x:v>96.80002549600951</x:v>
      </x:c>
      <x:c r="O215" t="n">
        <x:f>IF(AND(ISNUMBER('Results'!C7),ISNUMBER('Results'!B7),ISNUMBER('Results'!$B$8),ISNUMBER('Inputs'!$B$6),ISNUMBER('Inputs'!$B$7),ISNUMBER('Inputs'!$B$8),ISNUMBER('Inputs'!$B$9),ISNUMBER('Inputs'!$B$10),ISNUMBER('Inputs'!$B$21),ISNUMBER('Inputs'!$B$24),ISNUMBER('Inputs'!$B$28)),((('Results'!C7*(1+'Inputs'!$B$24)*(0.5*((((215-43)*MAX('Inputs'!$B$33,'Inputs'!$B$29+'Inputs'!$B$31+'Inputs'!$B$32,'Inputs'!$B$30+'Inputs'!$B$31+'Inputs'!$B$32)/1000+'Inputs'!$B$21)+'Inputs'!$B$9)/SQRT((((215-43)*MAX('Inputs'!$B$33,'Inputs'!$B$29+'Inputs'!$B$31+'Inputs'!$B$32,'Inputs'!$B$30+'Inputs'!$B$31+'Inputs'!$B$32)/1000+'Inputs'!$B$21)+'Inputs'!$B$9)^2+('Inputs'!$B$8/2)^2)-(((215-43)*MAX('Inputs'!$B$33,'Inputs'!$B$29+'Inputs'!$B$31+'Inputs'!$B$32,'Inputs'!$B$30+'Inputs'!$B$31+'Inputs'!$B$32)/1000+'Inputs'!$B$21))/SQRT((((215-43)*MAX('Inputs'!$B$33,'Inputs'!$B$29+'Inputs'!$B$31+'Inputs'!$B$32,'Inputs'!$B$30+'Inputs'!$B$31+'Inputs'!$B$32)/1000+'Inputs'!$B$21))^2+('Inputs'!$B$8/2)^2)))-'Results'!B7*(1-'Inputs'!$B$24)*(0.5*((((215-43)*MAX('Inputs'!$B$33,'Inputs'!$B$29+'Inputs'!$B$31+'Inputs'!$B$32,'Inputs'!$B$30+'Inputs'!$B$31+'Inputs'!$B$32)/1000+'Inputs'!$B$21+'Inputs'!$B$9+'Inputs'!$B$10)+'Inputs'!$B$7)/SQRT((((215-43)*MAX('Inputs'!$B$33,'Inputs'!$B$29+'Inputs'!$B$31+'Inputs'!$B$32,'Inputs'!$B$30+'Inputs'!$B$31+'Inputs'!$B$32)/1000+'Inputs'!$B$21+'Inputs'!$B$9+'Inputs'!$B$10)+'Inputs'!$B$7)^2+('Inputs'!$B$6/2)^2)-(((215-43)*MAX('Inputs'!$B$33,'Inputs'!$B$29+'Inputs'!$B$31+'Inputs'!$B$32,'Inputs'!$B$30+'Inputs'!$B$31+'Inputs'!$B$32)/1000+'Inputs'!$B$21+'Inputs'!$B$9+'Inputs'!$B$10))/SQRT((((215-43)*MAX('Inputs'!$B$33,'Inputs'!$B$29+'Inputs'!$B$31+'Inputs'!$B$32,'Inputs'!$B$30+'Inputs'!$B$31+'Inputs'!$B$32)/1000+'Inputs'!$B$21+'Inputs'!$B$9+'Inputs'!$B$10))^2+('Inputs'!$B$6/2)^2))))*'Results'!$B$8)+'Inputs'!$B$28*ABS((('Results'!C7*(1+'Inputs'!$B$24)*(0.5*((((215-43)*MAX('Inputs'!$B$33,'Inputs'!$B$29+'Inputs'!$B$31+'Inputs'!$B$32,'Inputs'!$B$30+'Inputs'!$B$31+'Inputs'!$B$32)/1000+'Inputs'!$B$21)+'Inputs'!$B$9)/SQRT((((215-43)*MAX('Inputs'!$B$33,'Inputs'!$B$29+'Inputs'!$B$31+'Inputs'!$B$32,'Inputs'!$B$30+'Inputs'!$B$31+'Inputs'!$B$32)/1000+'Inputs'!$B$21)+'Inputs'!$B$9)^2+('Inputs'!$B$8/2)^2)-(((215-43)*MAX('Inputs'!$B$33,'Inputs'!$B$29+'Inputs'!$B$31+'Inputs'!$B$32,'Inputs'!$B$30+'Inputs'!$B$31+'Inputs'!$B$32)/1000+'Inputs'!$B$21))/SQRT((((215-43)*MAX('Inputs'!$B$33,'Inputs'!$B$29+'Inputs'!$B$31+'Inputs'!$B$32,'Inputs'!$B$30+'Inputs'!$B$31+'Inputs'!$B$32)/1000+'Inputs'!$B$21))^2+('Inputs'!$B$8/2)^2)))-'Results'!B7*(1-'Inputs'!$B$24)*(0.5*((((215-43)*MAX('Inputs'!$B$33,'Inputs'!$B$29+'Inputs'!$B$31+'Inputs'!$B$32,'Inputs'!$B$30+'Inputs'!$B$31+'Inputs'!$B$32)/1000+'Inputs'!$B$21+'Inputs'!$B$9+'Inputs'!$B$10)+'Inputs'!$B$7)/SQRT((((215-43)*MAX('Inputs'!$B$33,'Inputs'!$B$29+'Inputs'!$B$31+'Inputs'!$B$32,'Inputs'!$B$30+'Inputs'!$B$31+'Inputs'!$B$32)/1000+'Inputs'!$B$21+'Inputs'!$B$9+'Inputs'!$B$10)+'Inputs'!$B$7)^2+('Inputs'!$B$6/2)^2)-(((215-43)*MAX('Inputs'!$B$33,'Inputs'!$B$29+'Inputs'!$B$31+'Inputs'!$B$32,'Inputs'!$B$30+'Inputs'!$B$31+'Inputs'!$B$32)/1000+'Inputs'!$B$21+'Inputs'!$B$9+'Inputs'!$B$10))/SQRT((((215-43)*MAX('Inputs'!$B$33,'Inputs'!$B$29+'Inputs'!$B$31+'Inputs'!$B$32,'Inputs'!$B$30+'Inputs'!$B$31+'Inputs'!$B$32)/1000+'Inputs'!$B$21+'Inputs'!$B$9+'Inputs'!$B$10))^2+('Inputs'!$B$6/2)^2))))*'Results'!$B$8))),"")</x:f>
        <x:v>114.97535764289073</x:v>
      </x:c>
      <x:c r="P215" t="n">
        <x:f>IF(AND(MAX(J215,J214)&gt;0,J215&gt;J214+0.00000001),1,0)</x:f>
        <x:v>0</x:v>
      </x:c>
      <x:c r="Q215" t="n">
        <x:f>IF(AND(MAX(K215,K214)&gt;0,K215&gt;K214+0.00000001),1,0)</x:f>
        <x:v>0</x:v>
      </x:c>
      <x:c r="R215" t="n">
        <x:f>IF(AND(MAX(L215,L214)&gt;0,L215&gt;L214+0.00000001),1,0)</x:f>
        <x:v>0</x:v>
      </x:c>
      <x:c r="S215" t="n">
        <x:f>IF(AND(MAX(M215,M214)&gt;0,M215&gt;M214+0.00000001),1,0)</x:f>
        <x:v>0</x:v>
      </x:c>
      <x:c r="T215" t="n">
        <x:f>IF(AND(MAX(N215,N214)&gt;0,N215&gt;N214+0.00000001),1,0)</x:f>
        <x:v>0</x:v>
      </x:c>
      <x:c r="U215" t="n">
        <x:f>IF(AND(MAX(O215,O214)&gt;0,O215&gt;O214+0.00000001),1,0)</x:f>
        <x:v>0</x:v>
      </x:c>
    </x:row>
    <x:row r="216">
      <x:c r="J216" t="n">
        <x:f>IF(AND(ISNUMBER('Results'!B7),ISNUMBER('Results'!C7),ISNUMBER('Results'!$B$8),ISNUMBER('Inputs'!$B$6),ISNUMBER('Inputs'!$B$7),ISNUMBER('Inputs'!$B$8),ISNUMBER('Inputs'!$B$9),ISNUMBER('Inputs'!$B$10),ISNUMBER('Inputs'!$B$21),ISNUMBER('Inputs'!$B$24),ISNUMBER('Inputs'!$B$28)),(('Results'!B7*(0.5*((((216-43)*MAX('Inputs'!$B$33,'Inputs'!$B$29+'Inputs'!$B$31+'Inputs'!$B$32,'Inputs'!$B$30+'Inputs'!$B$31+'Inputs'!$B$32)/1000+'Inputs'!$B$21)+'Inputs'!$B$7)/SQRT((((216-43)*MAX('Inputs'!$B$33,'Inputs'!$B$29+'Inputs'!$B$31+'Inputs'!$B$32,'Inputs'!$B$30+'Inputs'!$B$31+'Inputs'!$B$32)/1000+'Inputs'!$B$21)+'Inputs'!$B$7)^2+('Inputs'!$B$6/2)^2)-(((216-43)*MAX('Inputs'!$B$33,'Inputs'!$B$29+'Inputs'!$B$31+'Inputs'!$B$32,'Inputs'!$B$30+'Inputs'!$B$31+'Inputs'!$B$32)/1000+'Inputs'!$B$21))/SQRT((((216-43)*MAX('Inputs'!$B$33,'Inputs'!$B$29+'Inputs'!$B$31+'Inputs'!$B$32,'Inputs'!$B$30+'Inputs'!$B$31+'Inputs'!$B$32)/1000+'Inputs'!$B$21))^2+('Inputs'!$B$6/2)^2)))-'Results'!C7*(0.5*((((216-43)*MAX('Inputs'!$B$33,'Inputs'!$B$29+'Inputs'!$B$31+'Inputs'!$B$32,'Inputs'!$B$30+'Inputs'!$B$31+'Inputs'!$B$32)/1000+'Inputs'!$B$21+'Inputs'!$B$7+'Inputs'!$B$10)+'Inputs'!$B$9)/SQRT((((216-43)*MAX('Inputs'!$B$33,'Inputs'!$B$29+'Inputs'!$B$31+'Inputs'!$B$32,'Inputs'!$B$30+'Inputs'!$B$31+'Inputs'!$B$32)/1000+'Inputs'!$B$21+'Inputs'!$B$7+'Inputs'!$B$10)+'Inputs'!$B$9)^2+('Inputs'!$B$8/2)^2)-(((216-43)*MAX('Inputs'!$B$33,'Inputs'!$B$29+'Inputs'!$B$31+'Inputs'!$B$32,'Inputs'!$B$30+'Inputs'!$B$31+'Inputs'!$B$32)/1000+'Inputs'!$B$21+'Inputs'!$B$7+'Inputs'!$B$10))/SQRT((((216-43)*MAX('Inputs'!$B$33,'Inputs'!$B$29+'Inputs'!$B$31+'Inputs'!$B$32,'Inputs'!$B$30+'Inputs'!$B$31+'Inputs'!$B$32)/1000+'Inputs'!$B$21+'Inputs'!$B$7+'Inputs'!$B$10))^2+('Inputs'!$B$8/2)^2))))*'Results'!$B$8),"")</x:f>
        <x:v>107.92603073062965</x:v>
      </x:c>
      <x:c r="K216" t="n">
        <x:f>IF(AND(ISNUMBER('Results'!B7),ISNUMBER('Results'!C7),ISNUMBER('Results'!$B$8),ISNUMBER('Inputs'!$B$6),ISNUMBER('Inputs'!$B$7),ISNUMBER('Inputs'!$B$8),ISNUMBER('Inputs'!$B$9),ISNUMBER('Inputs'!$B$10),ISNUMBER('Inputs'!$B$21),ISNUMBER('Inputs'!$B$24),ISNUMBER('Inputs'!$B$28)),((('Results'!B7*(1-'Inputs'!$B$24)*(0.5*((((216-43)*MAX('Inputs'!$B$33,'Inputs'!$B$29+'Inputs'!$B$31+'Inputs'!$B$32,'Inputs'!$B$30+'Inputs'!$B$31+'Inputs'!$B$32)/1000+'Inputs'!$B$21)+'Inputs'!$B$7)/SQRT((((216-43)*MAX('Inputs'!$B$33,'Inputs'!$B$29+'Inputs'!$B$31+'Inputs'!$B$32,'Inputs'!$B$30+'Inputs'!$B$31+'Inputs'!$B$32)/1000+'Inputs'!$B$21)+'Inputs'!$B$7)^2+('Inputs'!$B$6/2)^2)-(((216-43)*MAX('Inputs'!$B$33,'Inputs'!$B$29+'Inputs'!$B$31+'Inputs'!$B$32,'Inputs'!$B$30+'Inputs'!$B$31+'Inputs'!$B$32)/1000+'Inputs'!$B$21))/SQRT((((216-43)*MAX('Inputs'!$B$33,'Inputs'!$B$29+'Inputs'!$B$31+'Inputs'!$B$32,'Inputs'!$B$30+'Inputs'!$B$31+'Inputs'!$B$32)/1000+'Inputs'!$B$21))^2+('Inputs'!$B$6/2)^2)))-'Results'!C7*(1+'Inputs'!$B$24)*(0.5*((((216-43)*MAX('Inputs'!$B$33,'Inputs'!$B$29+'Inputs'!$B$31+'Inputs'!$B$32,'Inputs'!$B$30+'Inputs'!$B$31+'Inputs'!$B$32)/1000+'Inputs'!$B$21+'Inputs'!$B$7+'Inputs'!$B$10)+'Inputs'!$B$9)/SQRT((((216-43)*MAX('Inputs'!$B$33,'Inputs'!$B$29+'Inputs'!$B$31+'Inputs'!$B$32,'Inputs'!$B$30+'Inputs'!$B$31+'Inputs'!$B$32)/1000+'Inputs'!$B$21+'Inputs'!$B$7+'Inputs'!$B$10)+'Inputs'!$B$9)^2+('Inputs'!$B$8/2)^2)-(((216-43)*MAX('Inputs'!$B$33,'Inputs'!$B$29+'Inputs'!$B$31+'Inputs'!$B$32,'Inputs'!$B$30+'Inputs'!$B$31+'Inputs'!$B$32)/1000+'Inputs'!$B$21+'Inputs'!$B$7+'Inputs'!$B$10))/SQRT((((216-43)*MAX('Inputs'!$B$33,'Inputs'!$B$29+'Inputs'!$B$31+'Inputs'!$B$32,'Inputs'!$B$30+'Inputs'!$B$31+'Inputs'!$B$32)/1000+'Inputs'!$B$21+'Inputs'!$B$7+'Inputs'!$B$10))^2+('Inputs'!$B$8/2)^2))))*'Results'!$B$8)-'Inputs'!$B$28*ABS((('Results'!B7*(1-'Inputs'!$B$24)*(0.5*((((216-43)*MAX('Inputs'!$B$33,'Inputs'!$B$29+'Inputs'!$B$31+'Inputs'!$B$32,'Inputs'!$B$30+'Inputs'!$B$31+'Inputs'!$B$32)/1000+'Inputs'!$B$21)+'Inputs'!$B$7)/SQRT((((216-43)*MAX('Inputs'!$B$33,'Inputs'!$B$29+'Inputs'!$B$31+'Inputs'!$B$32,'Inputs'!$B$30+'Inputs'!$B$31+'Inputs'!$B$32)/1000+'Inputs'!$B$21)+'Inputs'!$B$7)^2+('Inputs'!$B$6/2)^2)-(((216-43)*MAX('Inputs'!$B$33,'Inputs'!$B$29+'Inputs'!$B$31+'Inputs'!$B$32,'Inputs'!$B$30+'Inputs'!$B$31+'Inputs'!$B$32)/1000+'Inputs'!$B$21))/SQRT((((216-43)*MAX('Inputs'!$B$33,'Inputs'!$B$29+'Inputs'!$B$31+'Inputs'!$B$32,'Inputs'!$B$30+'Inputs'!$B$31+'Inputs'!$B$32)/1000+'Inputs'!$B$21))^2+('Inputs'!$B$6/2)^2)))-'Results'!C7*(1+'Inputs'!$B$24)*(0.5*((((216-43)*MAX('Inputs'!$B$33,'Inputs'!$B$29+'Inputs'!$B$31+'Inputs'!$B$32,'Inputs'!$B$30+'Inputs'!$B$31+'Inputs'!$B$32)/1000+'Inputs'!$B$21+'Inputs'!$B$7+'Inputs'!$B$10)+'Inputs'!$B$9)/SQRT((((216-43)*MAX('Inputs'!$B$33,'Inputs'!$B$29+'Inputs'!$B$31+'Inputs'!$B$32,'Inputs'!$B$30+'Inputs'!$B$31+'Inputs'!$B$32)/1000+'Inputs'!$B$21+'Inputs'!$B$7+'Inputs'!$B$10)+'Inputs'!$B$9)^2+('Inputs'!$B$8/2)^2)-(((216-43)*MAX('Inputs'!$B$33,'Inputs'!$B$29+'Inputs'!$B$31+'Inputs'!$B$32,'Inputs'!$B$30+'Inputs'!$B$31+'Inputs'!$B$32)/1000+'Inputs'!$B$21+'Inputs'!$B$7+'Inputs'!$B$10))/SQRT((((216-43)*MAX('Inputs'!$B$33,'Inputs'!$B$29+'Inputs'!$B$31+'Inputs'!$B$32,'Inputs'!$B$30+'Inputs'!$B$31+'Inputs'!$B$32)/1000+'Inputs'!$B$21+'Inputs'!$B$7+'Inputs'!$B$10))^2+('Inputs'!$B$8/2)^2))))*'Results'!$B$8))),"")</x:f>
        <x:v>98.92122475976815</x:v>
      </x:c>
      <x:c r="L216" t="n">
        <x:f>IF(AND(ISNUMBER('Results'!B7),ISNUMBER('Results'!C7),ISNUMBER('Results'!$B$8),ISNUMBER('Inputs'!$B$6),ISNUMBER('Inputs'!$B$7),ISNUMBER('Inputs'!$B$8),ISNUMBER('Inputs'!$B$9),ISNUMBER('Inputs'!$B$10),ISNUMBER('Inputs'!$B$21),ISNUMBER('Inputs'!$B$24),ISNUMBER('Inputs'!$B$28)),((('Results'!B7*(1+'Inputs'!$B$24)*(0.5*((((216-43)*MAX('Inputs'!$B$33,'Inputs'!$B$29+'Inputs'!$B$31+'Inputs'!$B$32,'Inputs'!$B$30+'Inputs'!$B$31+'Inputs'!$B$32)/1000+'Inputs'!$B$21)+'Inputs'!$B$7)/SQRT((((216-43)*MAX('Inputs'!$B$33,'Inputs'!$B$29+'Inputs'!$B$31+'Inputs'!$B$32,'Inputs'!$B$30+'Inputs'!$B$31+'Inputs'!$B$32)/1000+'Inputs'!$B$21)+'Inputs'!$B$7)^2+('Inputs'!$B$6/2)^2)-(((216-43)*MAX('Inputs'!$B$33,'Inputs'!$B$29+'Inputs'!$B$31+'Inputs'!$B$32,'Inputs'!$B$30+'Inputs'!$B$31+'Inputs'!$B$32)/1000+'Inputs'!$B$21))/SQRT((((216-43)*MAX('Inputs'!$B$33,'Inputs'!$B$29+'Inputs'!$B$31+'Inputs'!$B$32,'Inputs'!$B$30+'Inputs'!$B$31+'Inputs'!$B$32)/1000+'Inputs'!$B$21))^2+('Inputs'!$B$6/2)^2)))-'Results'!C7*(1-'Inputs'!$B$24)*(0.5*((((216-43)*MAX('Inputs'!$B$33,'Inputs'!$B$29+'Inputs'!$B$31+'Inputs'!$B$32,'Inputs'!$B$30+'Inputs'!$B$31+'Inputs'!$B$32)/1000+'Inputs'!$B$21+'Inputs'!$B$7+'Inputs'!$B$10)+'Inputs'!$B$9)/SQRT((((216-43)*MAX('Inputs'!$B$33,'Inputs'!$B$29+'Inputs'!$B$31+'Inputs'!$B$32,'Inputs'!$B$30+'Inputs'!$B$31+'Inputs'!$B$32)/1000+'Inputs'!$B$21+'Inputs'!$B$7+'Inputs'!$B$10)+'Inputs'!$B$9)^2+('Inputs'!$B$8/2)^2)-(((216-43)*MAX('Inputs'!$B$33,'Inputs'!$B$29+'Inputs'!$B$31+'Inputs'!$B$32,'Inputs'!$B$30+'Inputs'!$B$31+'Inputs'!$B$32)/1000+'Inputs'!$B$21+'Inputs'!$B$7+'Inputs'!$B$10))/SQRT((((216-43)*MAX('Inputs'!$B$33,'Inputs'!$B$29+'Inputs'!$B$31+'Inputs'!$B$32,'Inputs'!$B$30+'Inputs'!$B$31+'Inputs'!$B$32)/1000+'Inputs'!$B$21+'Inputs'!$B$7+'Inputs'!$B$10))^2+('Inputs'!$B$8/2)^2))))*'Results'!$B$8)+'Inputs'!$B$28*ABS((('Results'!B7*(1+'Inputs'!$B$24)*(0.5*((((216-43)*MAX('Inputs'!$B$33,'Inputs'!$B$29+'Inputs'!$B$31+'Inputs'!$B$32,'Inputs'!$B$30+'Inputs'!$B$31+'Inputs'!$B$32)/1000+'Inputs'!$B$21)+'Inputs'!$B$7)/SQRT((((216-43)*MAX('Inputs'!$B$33,'Inputs'!$B$29+'Inputs'!$B$31+'Inputs'!$B$32,'Inputs'!$B$30+'Inputs'!$B$31+'Inputs'!$B$32)/1000+'Inputs'!$B$21)+'Inputs'!$B$7)^2+('Inputs'!$B$6/2)^2)-(((216-43)*MAX('Inputs'!$B$33,'Inputs'!$B$29+'Inputs'!$B$31+'Inputs'!$B$32,'Inputs'!$B$30+'Inputs'!$B$31+'Inputs'!$B$32)/1000+'Inputs'!$B$21))/SQRT((((216-43)*MAX('Inputs'!$B$33,'Inputs'!$B$29+'Inputs'!$B$31+'Inputs'!$B$32,'Inputs'!$B$30+'Inputs'!$B$31+'Inputs'!$B$32)/1000+'Inputs'!$B$21))^2+('Inputs'!$B$6/2)^2)))-'Results'!C7*(1-'Inputs'!$B$24)*(0.5*((((216-43)*MAX('Inputs'!$B$33,'Inputs'!$B$29+'Inputs'!$B$31+'Inputs'!$B$32,'Inputs'!$B$30+'Inputs'!$B$31+'Inputs'!$B$32)/1000+'Inputs'!$B$21+'Inputs'!$B$7+'Inputs'!$B$10)+'Inputs'!$B$9)/SQRT((((216-43)*MAX('Inputs'!$B$33,'Inputs'!$B$29+'Inputs'!$B$31+'Inputs'!$B$32,'Inputs'!$B$30+'Inputs'!$B$31+'Inputs'!$B$32)/1000+'Inputs'!$B$21+'Inputs'!$B$7+'Inputs'!$B$10)+'Inputs'!$B$9)^2+('Inputs'!$B$8/2)^2)-(((216-43)*MAX('Inputs'!$B$33,'Inputs'!$B$29+'Inputs'!$B$31+'Inputs'!$B$32,'Inputs'!$B$30+'Inputs'!$B$31+'Inputs'!$B$32)/1000+'Inputs'!$B$21+'Inputs'!$B$7+'Inputs'!$B$10))/SQRT((((216-43)*MAX('Inputs'!$B$33,'Inputs'!$B$29+'Inputs'!$B$31+'Inputs'!$B$32,'Inputs'!$B$30+'Inputs'!$B$31+'Inputs'!$B$32)/1000+'Inputs'!$B$21+'Inputs'!$B$7+'Inputs'!$B$10))^2+('Inputs'!$B$8/2)^2))))*'Results'!$B$8))),"")</x:f>
        <x:v>117.31067927352588</x:v>
      </x:c>
      <x:c r="M216" t="n">
        <x:f>IF(AND(ISNUMBER('Results'!C7),ISNUMBER('Results'!B7),ISNUMBER('Results'!$B$8),ISNUMBER('Inputs'!$B$6),ISNUMBER('Inputs'!$B$7),ISNUMBER('Inputs'!$B$8),ISNUMBER('Inputs'!$B$9),ISNUMBER('Inputs'!$B$10),ISNUMBER('Inputs'!$B$21),ISNUMBER('Inputs'!$B$24),ISNUMBER('Inputs'!$B$28)),(('Results'!C7*(0.5*((((216-43)*MAX('Inputs'!$B$33,'Inputs'!$B$29+'Inputs'!$B$31+'Inputs'!$B$32,'Inputs'!$B$30+'Inputs'!$B$31+'Inputs'!$B$32)/1000+'Inputs'!$B$21)+'Inputs'!$B$9)/SQRT((((216-43)*MAX('Inputs'!$B$33,'Inputs'!$B$29+'Inputs'!$B$31+'Inputs'!$B$32,'Inputs'!$B$30+'Inputs'!$B$31+'Inputs'!$B$32)/1000+'Inputs'!$B$21)+'Inputs'!$B$9)^2+('Inputs'!$B$8/2)^2)-(((216-43)*MAX('Inputs'!$B$33,'Inputs'!$B$29+'Inputs'!$B$31+'Inputs'!$B$32,'Inputs'!$B$30+'Inputs'!$B$31+'Inputs'!$B$32)/1000+'Inputs'!$B$21))/SQRT((((216-43)*MAX('Inputs'!$B$33,'Inputs'!$B$29+'Inputs'!$B$31+'Inputs'!$B$32,'Inputs'!$B$30+'Inputs'!$B$31+'Inputs'!$B$32)/1000+'Inputs'!$B$21))^2+('Inputs'!$B$8/2)^2)))-'Results'!B7*(0.5*((((216-43)*MAX('Inputs'!$B$33,'Inputs'!$B$29+'Inputs'!$B$31+'Inputs'!$B$32,'Inputs'!$B$30+'Inputs'!$B$31+'Inputs'!$B$32)/1000+'Inputs'!$B$21+'Inputs'!$B$9+'Inputs'!$B$10)+'Inputs'!$B$7)/SQRT((((216-43)*MAX('Inputs'!$B$33,'Inputs'!$B$29+'Inputs'!$B$31+'Inputs'!$B$32,'Inputs'!$B$30+'Inputs'!$B$31+'Inputs'!$B$32)/1000+'Inputs'!$B$21+'Inputs'!$B$9+'Inputs'!$B$10)+'Inputs'!$B$7)^2+('Inputs'!$B$6/2)^2)-(((216-43)*MAX('Inputs'!$B$33,'Inputs'!$B$29+'Inputs'!$B$31+'Inputs'!$B$32,'Inputs'!$B$30+'Inputs'!$B$31+'Inputs'!$B$32)/1000+'Inputs'!$B$21+'Inputs'!$B$9+'Inputs'!$B$10))/SQRT((((216-43)*MAX('Inputs'!$B$33,'Inputs'!$B$29+'Inputs'!$B$31+'Inputs'!$B$32,'Inputs'!$B$30+'Inputs'!$B$31+'Inputs'!$B$32)/1000+'Inputs'!$B$21+'Inputs'!$B$9+'Inputs'!$B$10))^2+('Inputs'!$B$6/2)^2))))*'Results'!$B$8),"")</x:f>
        <x:v>104.11087128471355</x:v>
      </x:c>
      <x:c r="N216" t="n">
        <x:f>IF(AND(ISNUMBER('Results'!C7),ISNUMBER('Results'!B7),ISNUMBER('Results'!$B$8),ISNUMBER('Inputs'!$B$6),ISNUMBER('Inputs'!$B$7),ISNUMBER('Inputs'!$B$8),ISNUMBER('Inputs'!$B$9),ISNUMBER('Inputs'!$B$10),ISNUMBER('Inputs'!$B$21),ISNUMBER('Inputs'!$B$24),ISNUMBER('Inputs'!$B$28)),((('Results'!C7*(1-'Inputs'!$B$24)*(0.5*((((216-43)*MAX('Inputs'!$B$33,'Inputs'!$B$29+'Inputs'!$B$31+'Inputs'!$B$32,'Inputs'!$B$30+'Inputs'!$B$31+'Inputs'!$B$32)/1000+'Inputs'!$B$21)+'Inputs'!$B$9)/SQRT((((216-43)*MAX('Inputs'!$B$33,'Inputs'!$B$29+'Inputs'!$B$31+'Inputs'!$B$32,'Inputs'!$B$30+'Inputs'!$B$31+'Inputs'!$B$32)/1000+'Inputs'!$B$21)+'Inputs'!$B$9)^2+('Inputs'!$B$8/2)^2)-(((216-43)*MAX('Inputs'!$B$33,'Inputs'!$B$29+'Inputs'!$B$31+'Inputs'!$B$32,'Inputs'!$B$30+'Inputs'!$B$31+'Inputs'!$B$32)/1000+'Inputs'!$B$21))/SQRT((((216-43)*MAX('Inputs'!$B$33,'Inputs'!$B$29+'Inputs'!$B$31+'Inputs'!$B$32,'Inputs'!$B$30+'Inputs'!$B$31+'Inputs'!$B$32)/1000+'Inputs'!$B$21))^2+('Inputs'!$B$8/2)^2)))-'Results'!B7*(1+'Inputs'!$B$24)*(0.5*((((216-43)*MAX('Inputs'!$B$33,'Inputs'!$B$29+'Inputs'!$B$31+'Inputs'!$B$32,'Inputs'!$B$30+'Inputs'!$B$31+'Inputs'!$B$32)/1000+'Inputs'!$B$21+'Inputs'!$B$9+'Inputs'!$B$10)+'Inputs'!$B$7)/SQRT((((216-43)*MAX('Inputs'!$B$33,'Inputs'!$B$29+'Inputs'!$B$31+'Inputs'!$B$32,'Inputs'!$B$30+'Inputs'!$B$31+'Inputs'!$B$32)/1000+'Inputs'!$B$21+'Inputs'!$B$9+'Inputs'!$B$10)+'Inputs'!$B$7)^2+('Inputs'!$B$6/2)^2)-(((216-43)*MAX('Inputs'!$B$33,'Inputs'!$B$29+'Inputs'!$B$31+'Inputs'!$B$32,'Inputs'!$B$30+'Inputs'!$B$31+'Inputs'!$B$32)/1000+'Inputs'!$B$21+'Inputs'!$B$9+'Inputs'!$B$10))/SQRT((((216-43)*MAX('Inputs'!$B$33,'Inputs'!$B$29+'Inputs'!$B$31+'Inputs'!$B$32,'Inputs'!$B$30+'Inputs'!$B$31+'Inputs'!$B$32)/1000+'Inputs'!$B$21+'Inputs'!$B$9+'Inputs'!$B$10))^2+('Inputs'!$B$6/2)^2))))*'Results'!$B$8)-'Inputs'!$B$28*ABS((('Results'!C7*(1-'Inputs'!$B$24)*(0.5*((((216-43)*MAX('Inputs'!$B$33,'Inputs'!$B$29+'Inputs'!$B$31+'Inputs'!$B$32,'Inputs'!$B$30+'Inputs'!$B$31+'Inputs'!$B$32)/1000+'Inputs'!$B$21)+'Inputs'!$B$9)/SQRT((((216-43)*MAX('Inputs'!$B$33,'Inputs'!$B$29+'Inputs'!$B$31+'Inputs'!$B$32,'Inputs'!$B$30+'Inputs'!$B$31+'Inputs'!$B$32)/1000+'Inputs'!$B$21)+'Inputs'!$B$9)^2+('Inputs'!$B$8/2)^2)-(((216-43)*MAX('Inputs'!$B$33,'Inputs'!$B$29+'Inputs'!$B$31+'Inputs'!$B$32,'Inputs'!$B$30+'Inputs'!$B$31+'Inputs'!$B$32)/1000+'Inputs'!$B$21))/SQRT((((216-43)*MAX('Inputs'!$B$33,'Inputs'!$B$29+'Inputs'!$B$31+'Inputs'!$B$32,'Inputs'!$B$30+'Inputs'!$B$31+'Inputs'!$B$32)/1000+'Inputs'!$B$21))^2+('Inputs'!$B$8/2)^2)))-'Results'!B7*(1+'Inputs'!$B$24)*(0.5*((((216-43)*MAX('Inputs'!$B$33,'Inputs'!$B$29+'Inputs'!$B$31+'Inputs'!$B$32,'Inputs'!$B$30+'Inputs'!$B$31+'Inputs'!$B$32)/1000+'Inputs'!$B$21+'Inputs'!$B$9+'Inputs'!$B$10)+'Inputs'!$B$7)/SQRT((((216-43)*MAX('Inputs'!$B$33,'Inputs'!$B$29+'Inputs'!$B$31+'Inputs'!$B$32,'Inputs'!$B$30+'Inputs'!$B$31+'Inputs'!$B$32)/1000+'Inputs'!$B$21+'Inputs'!$B$9+'Inputs'!$B$10)+'Inputs'!$B$7)^2+('Inputs'!$B$6/2)^2)-(((216-43)*MAX('Inputs'!$B$33,'Inputs'!$B$29+'Inputs'!$B$31+'Inputs'!$B$32,'Inputs'!$B$30+'Inputs'!$B$31+'Inputs'!$B$32)/1000+'Inputs'!$B$21+'Inputs'!$B$9+'Inputs'!$B$10))/SQRT((((216-43)*MAX('Inputs'!$B$33,'Inputs'!$B$29+'Inputs'!$B$31+'Inputs'!$B$32,'Inputs'!$B$30+'Inputs'!$B$31+'Inputs'!$B$32)/1000+'Inputs'!$B$21+'Inputs'!$B$9+'Inputs'!$B$10))^2+('Inputs'!$B$6/2)^2))))*'Results'!$B$8))),"")</x:f>
        <x:v>95.3375172370397</x:v>
      </x:c>
      <x:c r="O216" t="n">
        <x:f>IF(AND(ISNUMBER('Results'!C7),ISNUMBER('Results'!B7),ISNUMBER('Results'!$B$8),ISNUMBER('Inputs'!$B$6),ISNUMBER('Inputs'!$B$7),ISNUMBER('Inputs'!$B$8),ISNUMBER('Inputs'!$B$9),ISNUMBER('Inputs'!$B$10),ISNUMBER('Inputs'!$B$21),ISNUMBER('Inputs'!$B$24),ISNUMBER('Inputs'!$B$28)),((('Results'!C7*(1+'Inputs'!$B$24)*(0.5*((((216-43)*MAX('Inputs'!$B$33,'Inputs'!$B$29+'Inputs'!$B$31+'Inputs'!$B$32,'Inputs'!$B$30+'Inputs'!$B$31+'Inputs'!$B$32)/1000+'Inputs'!$B$21)+'Inputs'!$B$9)/SQRT((((216-43)*MAX('Inputs'!$B$33,'Inputs'!$B$29+'Inputs'!$B$31+'Inputs'!$B$32,'Inputs'!$B$30+'Inputs'!$B$31+'Inputs'!$B$32)/1000+'Inputs'!$B$21)+'Inputs'!$B$9)^2+('Inputs'!$B$8/2)^2)-(((216-43)*MAX('Inputs'!$B$33,'Inputs'!$B$29+'Inputs'!$B$31+'Inputs'!$B$32,'Inputs'!$B$30+'Inputs'!$B$31+'Inputs'!$B$32)/1000+'Inputs'!$B$21))/SQRT((((216-43)*MAX('Inputs'!$B$33,'Inputs'!$B$29+'Inputs'!$B$31+'Inputs'!$B$32,'Inputs'!$B$30+'Inputs'!$B$31+'Inputs'!$B$32)/1000+'Inputs'!$B$21))^2+('Inputs'!$B$8/2)^2)))-'Results'!B7*(1-'Inputs'!$B$24)*(0.5*((((216-43)*MAX('Inputs'!$B$33,'Inputs'!$B$29+'Inputs'!$B$31+'Inputs'!$B$32,'Inputs'!$B$30+'Inputs'!$B$31+'Inputs'!$B$32)/1000+'Inputs'!$B$21+'Inputs'!$B$9+'Inputs'!$B$10)+'Inputs'!$B$7)/SQRT((((216-43)*MAX('Inputs'!$B$33,'Inputs'!$B$29+'Inputs'!$B$31+'Inputs'!$B$32,'Inputs'!$B$30+'Inputs'!$B$31+'Inputs'!$B$32)/1000+'Inputs'!$B$21+'Inputs'!$B$9+'Inputs'!$B$10)+'Inputs'!$B$7)^2+('Inputs'!$B$6/2)^2)-(((216-43)*MAX('Inputs'!$B$33,'Inputs'!$B$29+'Inputs'!$B$31+'Inputs'!$B$32,'Inputs'!$B$30+'Inputs'!$B$31+'Inputs'!$B$32)/1000+'Inputs'!$B$21+'Inputs'!$B$9+'Inputs'!$B$10))/SQRT((((216-43)*MAX('Inputs'!$B$33,'Inputs'!$B$29+'Inputs'!$B$31+'Inputs'!$B$32,'Inputs'!$B$30+'Inputs'!$B$31+'Inputs'!$B$32)/1000+'Inputs'!$B$21+'Inputs'!$B$9+'Inputs'!$B$10))^2+('Inputs'!$B$6/2)^2))))*'Results'!$B$8)+'Inputs'!$B$28*ABS((('Results'!C7*(1+'Inputs'!$B$24)*(0.5*((((216-43)*MAX('Inputs'!$B$33,'Inputs'!$B$29+'Inputs'!$B$31+'Inputs'!$B$32,'Inputs'!$B$30+'Inputs'!$B$31+'Inputs'!$B$32)/1000+'Inputs'!$B$21)+'Inputs'!$B$9)/SQRT((((216-43)*MAX('Inputs'!$B$33,'Inputs'!$B$29+'Inputs'!$B$31+'Inputs'!$B$32,'Inputs'!$B$30+'Inputs'!$B$31+'Inputs'!$B$32)/1000+'Inputs'!$B$21)+'Inputs'!$B$9)^2+('Inputs'!$B$8/2)^2)-(((216-43)*MAX('Inputs'!$B$33,'Inputs'!$B$29+'Inputs'!$B$31+'Inputs'!$B$32,'Inputs'!$B$30+'Inputs'!$B$31+'Inputs'!$B$32)/1000+'Inputs'!$B$21))/SQRT((((216-43)*MAX('Inputs'!$B$33,'Inputs'!$B$29+'Inputs'!$B$31+'Inputs'!$B$32,'Inputs'!$B$30+'Inputs'!$B$31+'Inputs'!$B$32)/1000+'Inputs'!$B$21))^2+('Inputs'!$B$8/2)^2)))-'Results'!B7*(1-'Inputs'!$B$24)*(0.5*((((216-43)*MAX('Inputs'!$B$33,'Inputs'!$B$29+'Inputs'!$B$31+'Inputs'!$B$32,'Inputs'!$B$30+'Inputs'!$B$31+'Inputs'!$B$32)/1000+'Inputs'!$B$21+'Inputs'!$B$9+'Inputs'!$B$10)+'Inputs'!$B$7)/SQRT((((216-43)*MAX('Inputs'!$B$33,'Inputs'!$B$29+'Inputs'!$B$31+'Inputs'!$B$32,'Inputs'!$B$30+'Inputs'!$B$31+'Inputs'!$B$32)/1000+'Inputs'!$B$21+'Inputs'!$B$9+'Inputs'!$B$10)+'Inputs'!$B$7)^2+('Inputs'!$B$6/2)^2)-(((216-43)*MAX('Inputs'!$B$33,'Inputs'!$B$29+'Inputs'!$B$31+'Inputs'!$B$32,'Inputs'!$B$30+'Inputs'!$B$31+'Inputs'!$B$32)/1000+'Inputs'!$B$21+'Inputs'!$B$9+'Inputs'!$B$10))/SQRT((((216-43)*MAX('Inputs'!$B$33,'Inputs'!$B$29+'Inputs'!$B$31+'Inputs'!$B$32,'Inputs'!$B$30+'Inputs'!$B$31+'Inputs'!$B$32)/1000+'Inputs'!$B$21+'Inputs'!$B$9+'Inputs'!$B$10))^2+('Inputs'!$B$6/2)^2))))*'Results'!$B$8))),"")</x:f>
        <x:v>113.25978433064408</x:v>
      </x:c>
      <x:c r="P216" t="n">
        <x:f>IF(AND(MAX(J216,J215)&gt;0,J216&gt;J215+0.00000001),1,0)</x:f>
        <x:v>0</x:v>
      </x:c>
      <x:c r="Q216" t="n">
        <x:f>IF(AND(MAX(K216,K215)&gt;0,K216&gt;K215+0.00000001),1,0)</x:f>
        <x:v>0</x:v>
      </x:c>
      <x:c r="R216" t="n">
        <x:f>IF(AND(MAX(L216,L215)&gt;0,L216&gt;L215+0.00000001),1,0)</x:f>
        <x:v>0</x:v>
      </x:c>
      <x:c r="S216" t="n">
        <x:f>IF(AND(MAX(M216,M215)&gt;0,M216&gt;M215+0.00000001),1,0)</x:f>
        <x:v>0</x:v>
      </x:c>
      <x:c r="T216" t="n">
        <x:f>IF(AND(MAX(N216,N215)&gt;0,N216&gt;N215+0.00000001),1,0)</x:f>
        <x:v>0</x:v>
      </x:c>
      <x:c r="U216" t="n">
        <x:f>IF(AND(MAX(O216,O215)&gt;0,O216&gt;O215+0.00000001),1,0)</x:f>
        <x:v>0</x:v>
      </x:c>
    </x:row>
    <x:row r="217">
      <x:c r="J217" t="n">
        <x:f>IF(AND(ISNUMBER('Results'!B7),ISNUMBER('Results'!C7),ISNUMBER('Results'!$B$8),ISNUMBER('Inputs'!$B$6),ISNUMBER('Inputs'!$B$7),ISNUMBER('Inputs'!$B$8),ISNUMBER('Inputs'!$B$9),ISNUMBER('Inputs'!$B$10),ISNUMBER('Inputs'!$B$21),ISNUMBER('Inputs'!$B$24),ISNUMBER('Inputs'!$B$28)),(('Results'!B7*(0.5*((((217-43)*MAX('Inputs'!$B$33,'Inputs'!$B$29+'Inputs'!$B$31+'Inputs'!$B$32,'Inputs'!$B$30+'Inputs'!$B$31+'Inputs'!$B$32)/1000+'Inputs'!$B$21)+'Inputs'!$B$7)/SQRT((((217-43)*MAX('Inputs'!$B$33,'Inputs'!$B$29+'Inputs'!$B$31+'Inputs'!$B$32,'Inputs'!$B$30+'Inputs'!$B$31+'Inputs'!$B$32)/1000+'Inputs'!$B$21)+'Inputs'!$B$7)^2+('Inputs'!$B$6/2)^2)-(((217-43)*MAX('Inputs'!$B$33,'Inputs'!$B$29+'Inputs'!$B$31+'Inputs'!$B$32,'Inputs'!$B$30+'Inputs'!$B$31+'Inputs'!$B$32)/1000+'Inputs'!$B$21))/SQRT((((217-43)*MAX('Inputs'!$B$33,'Inputs'!$B$29+'Inputs'!$B$31+'Inputs'!$B$32,'Inputs'!$B$30+'Inputs'!$B$31+'Inputs'!$B$32)/1000+'Inputs'!$B$21))^2+('Inputs'!$B$6/2)^2)))-'Results'!C7*(0.5*((((217-43)*MAX('Inputs'!$B$33,'Inputs'!$B$29+'Inputs'!$B$31+'Inputs'!$B$32,'Inputs'!$B$30+'Inputs'!$B$31+'Inputs'!$B$32)/1000+'Inputs'!$B$21+'Inputs'!$B$7+'Inputs'!$B$10)+'Inputs'!$B$9)/SQRT((((217-43)*MAX('Inputs'!$B$33,'Inputs'!$B$29+'Inputs'!$B$31+'Inputs'!$B$32,'Inputs'!$B$30+'Inputs'!$B$31+'Inputs'!$B$32)/1000+'Inputs'!$B$21+'Inputs'!$B$7+'Inputs'!$B$10)+'Inputs'!$B$9)^2+('Inputs'!$B$8/2)^2)-(((217-43)*MAX('Inputs'!$B$33,'Inputs'!$B$29+'Inputs'!$B$31+'Inputs'!$B$32,'Inputs'!$B$30+'Inputs'!$B$31+'Inputs'!$B$32)/1000+'Inputs'!$B$21+'Inputs'!$B$7+'Inputs'!$B$10))/SQRT((((217-43)*MAX('Inputs'!$B$33,'Inputs'!$B$29+'Inputs'!$B$31+'Inputs'!$B$32,'Inputs'!$B$30+'Inputs'!$B$31+'Inputs'!$B$32)/1000+'Inputs'!$B$21+'Inputs'!$B$7+'Inputs'!$B$10))^2+('Inputs'!$B$8/2)^2))))*'Results'!$B$8),"")</x:f>
        <x:v>106.32097946036572</x:v>
      </x:c>
      <x:c r="K217" t="n">
        <x:f>IF(AND(ISNUMBER('Results'!B7),ISNUMBER('Results'!C7),ISNUMBER('Results'!$B$8),ISNUMBER('Inputs'!$B$6),ISNUMBER('Inputs'!$B$7),ISNUMBER('Inputs'!$B$8),ISNUMBER('Inputs'!$B$9),ISNUMBER('Inputs'!$B$10),ISNUMBER('Inputs'!$B$21),ISNUMBER('Inputs'!$B$24),ISNUMBER('Inputs'!$B$28)),((('Results'!B7*(1-'Inputs'!$B$24)*(0.5*((((217-43)*MAX('Inputs'!$B$33,'Inputs'!$B$29+'Inputs'!$B$31+'Inputs'!$B$32,'Inputs'!$B$30+'Inputs'!$B$31+'Inputs'!$B$32)/1000+'Inputs'!$B$21)+'Inputs'!$B$7)/SQRT((((217-43)*MAX('Inputs'!$B$33,'Inputs'!$B$29+'Inputs'!$B$31+'Inputs'!$B$32,'Inputs'!$B$30+'Inputs'!$B$31+'Inputs'!$B$32)/1000+'Inputs'!$B$21)+'Inputs'!$B$7)^2+('Inputs'!$B$6/2)^2)-(((217-43)*MAX('Inputs'!$B$33,'Inputs'!$B$29+'Inputs'!$B$31+'Inputs'!$B$32,'Inputs'!$B$30+'Inputs'!$B$31+'Inputs'!$B$32)/1000+'Inputs'!$B$21))/SQRT((((217-43)*MAX('Inputs'!$B$33,'Inputs'!$B$29+'Inputs'!$B$31+'Inputs'!$B$32,'Inputs'!$B$30+'Inputs'!$B$31+'Inputs'!$B$32)/1000+'Inputs'!$B$21))^2+('Inputs'!$B$6/2)^2)))-'Results'!C7*(1+'Inputs'!$B$24)*(0.5*((((217-43)*MAX('Inputs'!$B$33,'Inputs'!$B$29+'Inputs'!$B$31+'Inputs'!$B$32,'Inputs'!$B$30+'Inputs'!$B$31+'Inputs'!$B$32)/1000+'Inputs'!$B$21+'Inputs'!$B$7+'Inputs'!$B$10)+'Inputs'!$B$9)/SQRT((((217-43)*MAX('Inputs'!$B$33,'Inputs'!$B$29+'Inputs'!$B$31+'Inputs'!$B$32,'Inputs'!$B$30+'Inputs'!$B$31+'Inputs'!$B$32)/1000+'Inputs'!$B$21+'Inputs'!$B$7+'Inputs'!$B$10)+'Inputs'!$B$9)^2+('Inputs'!$B$8/2)^2)-(((217-43)*MAX('Inputs'!$B$33,'Inputs'!$B$29+'Inputs'!$B$31+'Inputs'!$B$32,'Inputs'!$B$30+'Inputs'!$B$31+'Inputs'!$B$32)/1000+'Inputs'!$B$21+'Inputs'!$B$7+'Inputs'!$B$10))/SQRT((((217-43)*MAX('Inputs'!$B$33,'Inputs'!$B$29+'Inputs'!$B$31+'Inputs'!$B$32,'Inputs'!$B$30+'Inputs'!$B$31+'Inputs'!$B$32)/1000+'Inputs'!$B$21+'Inputs'!$B$7+'Inputs'!$B$10))^2+('Inputs'!$B$8/2)^2))))*'Results'!$B$8)-'Inputs'!$B$28*ABS((('Results'!B7*(1-'Inputs'!$B$24)*(0.5*((((217-43)*MAX('Inputs'!$B$33,'Inputs'!$B$29+'Inputs'!$B$31+'Inputs'!$B$32,'Inputs'!$B$30+'Inputs'!$B$31+'Inputs'!$B$32)/1000+'Inputs'!$B$21)+'Inputs'!$B$7)/SQRT((((217-43)*MAX('Inputs'!$B$33,'Inputs'!$B$29+'Inputs'!$B$31+'Inputs'!$B$32,'Inputs'!$B$30+'Inputs'!$B$31+'Inputs'!$B$32)/1000+'Inputs'!$B$21)+'Inputs'!$B$7)^2+('Inputs'!$B$6/2)^2)-(((217-43)*MAX('Inputs'!$B$33,'Inputs'!$B$29+'Inputs'!$B$31+'Inputs'!$B$32,'Inputs'!$B$30+'Inputs'!$B$31+'Inputs'!$B$32)/1000+'Inputs'!$B$21))/SQRT((((217-43)*MAX('Inputs'!$B$33,'Inputs'!$B$29+'Inputs'!$B$31+'Inputs'!$B$32,'Inputs'!$B$30+'Inputs'!$B$31+'Inputs'!$B$32)/1000+'Inputs'!$B$21))^2+('Inputs'!$B$6/2)^2)))-'Results'!C7*(1+'Inputs'!$B$24)*(0.5*((((217-43)*MAX('Inputs'!$B$33,'Inputs'!$B$29+'Inputs'!$B$31+'Inputs'!$B$32,'Inputs'!$B$30+'Inputs'!$B$31+'Inputs'!$B$32)/1000+'Inputs'!$B$21+'Inputs'!$B$7+'Inputs'!$B$10)+'Inputs'!$B$9)/SQRT((((217-43)*MAX('Inputs'!$B$33,'Inputs'!$B$29+'Inputs'!$B$31+'Inputs'!$B$32,'Inputs'!$B$30+'Inputs'!$B$31+'Inputs'!$B$32)/1000+'Inputs'!$B$21+'Inputs'!$B$7+'Inputs'!$B$10)+'Inputs'!$B$9)^2+('Inputs'!$B$8/2)^2)-(((217-43)*MAX('Inputs'!$B$33,'Inputs'!$B$29+'Inputs'!$B$31+'Inputs'!$B$32,'Inputs'!$B$30+'Inputs'!$B$31+'Inputs'!$B$32)/1000+'Inputs'!$B$21+'Inputs'!$B$7+'Inputs'!$B$10))/SQRT((((217-43)*MAX('Inputs'!$B$33,'Inputs'!$B$29+'Inputs'!$B$31+'Inputs'!$B$32,'Inputs'!$B$30+'Inputs'!$B$31+'Inputs'!$B$32)/1000+'Inputs'!$B$21+'Inputs'!$B$7+'Inputs'!$B$10))^2+('Inputs'!$B$8/2)^2))))*'Results'!$B$8))),"")</x:f>
        <x:v>97.44114731611165</x:v>
      </x:c>
      <x:c r="L217" t="n">
        <x:f>IF(AND(ISNUMBER('Results'!B7),ISNUMBER('Results'!C7),ISNUMBER('Results'!$B$8),ISNUMBER('Inputs'!$B$6),ISNUMBER('Inputs'!$B$7),ISNUMBER('Inputs'!$B$8),ISNUMBER('Inputs'!$B$9),ISNUMBER('Inputs'!$B$10),ISNUMBER('Inputs'!$B$21),ISNUMBER('Inputs'!$B$24),ISNUMBER('Inputs'!$B$28)),((('Results'!B7*(1+'Inputs'!$B$24)*(0.5*((((217-43)*MAX('Inputs'!$B$33,'Inputs'!$B$29+'Inputs'!$B$31+'Inputs'!$B$32,'Inputs'!$B$30+'Inputs'!$B$31+'Inputs'!$B$32)/1000+'Inputs'!$B$21)+'Inputs'!$B$7)/SQRT((((217-43)*MAX('Inputs'!$B$33,'Inputs'!$B$29+'Inputs'!$B$31+'Inputs'!$B$32,'Inputs'!$B$30+'Inputs'!$B$31+'Inputs'!$B$32)/1000+'Inputs'!$B$21)+'Inputs'!$B$7)^2+('Inputs'!$B$6/2)^2)-(((217-43)*MAX('Inputs'!$B$33,'Inputs'!$B$29+'Inputs'!$B$31+'Inputs'!$B$32,'Inputs'!$B$30+'Inputs'!$B$31+'Inputs'!$B$32)/1000+'Inputs'!$B$21))/SQRT((((217-43)*MAX('Inputs'!$B$33,'Inputs'!$B$29+'Inputs'!$B$31+'Inputs'!$B$32,'Inputs'!$B$30+'Inputs'!$B$31+'Inputs'!$B$32)/1000+'Inputs'!$B$21))^2+('Inputs'!$B$6/2)^2)))-'Results'!C7*(1-'Inputs'!$B$24)*(0.5*((((217-43)*MAX('Inputs'!$B$33,'Inputs'!$B$29+'Inputs'!$B$31+'Inputs'!$B$32,'Inputs'!$B$30+'Inputs'!$B$31+'Inputs'!$B$32)/1000+'Inputs'!$B$21+'Inputs'!$B$7+'Inputs'!$B$10)+'Inputs'!$B$9)/SQRT((((217-43)*MAX('Inputs'!$B$33,'Inputs'!$B$29+'Inputs'!$B$31+'Inputs'!$B$32,'Inputs'!$B$30+'Inputs'!$B$31+'Inputs'!$B$32)/1000+'Inputs'!$B$21+'Inputs'!$B$7+'Inputs'!$B$10)+'Inputs'!$B$9)^2+('Inputs'!$B$8/2)^2)-(((217-43)*MAX('Inputs'!$B$33,'Inputs'!$B$29+'Inputs'!$B$31+'Inputs'!$B$32,'Inputs'!$B$30+'Inputs'!$B$31+'Inputs'!$B$32)/1000+'Inputs'!$B$21+'Inputs'!$B$7+'Inputs'!$B$10))/SQRT((((217-43)*MAX('Inputs'!$B$33,'Inputs'!$B$29+'Inputs'!$B$31+'Inputs'!$B$32,'Inputs'!$B$30+'Inputs'!$B$31+'Inputs'!$B$32)/1000+'Inputs'!$B$21+'Inputs'!$B$7+'Inputs'!$B$10))^2+('Inputs'!$B$8/2)^2))))*'Results'!$B$8)+'Inputs'!$B$28*ABS((('Results'!B7*(1+'Inputs'!$B$24)*(0.5*((((217-43)*MAX('Inputs'!$B$33,'Inputs'!$B$29+'Inputs'!$B$31+'Inputs'!$B$32,'Inputs'!$B$30+'Inputs'!$B$31+'Inputs'!$B$32)/1000+'Inputs'!$B$21)+'Inputs'!$B$7)/SQRT((((217-43)*MAX('Inputs'!$B$33,'Inputs'!$B$29+'Inputs'!$B$31+'Inputs'!$B$32,'Inputs'!$B$30+'Inputs'!$B$31+'Inputs'!$B$32)/1000+'Inputs'!$B$21)+'Inputs'!$B$7)^2+('Inputs'!$B$6/2)^2)-(((217-43)*MAX('Inputs'!$B$33,'Inputs'!$B$29+'Inputs'!$B$31+'Inputs'!$B$32,'Inputs'!$B$30+'Inputs'!$B$31+'Inputs'!$B$32)/1000+'Inputs'!$B$21))/SQRT((((217-43)*MAX('Inputs'!$B$33,'Inputs'!$B$29+'Inputs'!$B$31+'Inputs'!$B$32,'Inputs'!$B$30+'Inputs'!$B$31+'Inputs'!$B$32)/1000+'Inputs'!$B$21))^2+('Inputs'!$B$6/2)^2)))-'Results'!C7*(1-'Inputs'!$B$24)*(0.5*((((217-43)*MAX('Inputs'!$B$33,'Inputs'!$B$29+'Inputs'!$B$31+'Inputs'!$B$32,'Inputs'!$B$30+'Inputs'!$B$31+'Inputs'!$B$32)/1000+'Inputs'!$B$21+'Inputs'!$B$7+'Inputs'!$B$10)+'Inputs'!$B$9)/SQRT((((217-43)*MAX('Inputs'!$B$33,'Inputs'!$B$29+'Inputs'!$B$31+'Inputs'!$B$32,'Inputs'!$B$30+'Inputs'!$B$31+'Inputs'!$B$32)/1000+'Inputs'!$B$21+'Inputs'!$B$7+'Inputs'!$B$10)+'Inputs'!$B$9)^2+('Inputs'!$B$8/2)^2)-(((217-43)*MAX('Inputs'!$B$33,'Inputs'!$B$29+'Inputs'!$B$31+'Inputs'!$B$32,'Inputs'!$B$30+'Inputs'!$B$31+'Inputs'!$B$32)/1000+'Inputs'!$B$21+'Inputs'!$B$7+'Inputs'!$B$10))/SQRT((((217-43)*MAX('Inputs'!$B$33,'Inputs'!$B$29+'Inputs'!$B$31+'Inputs'!$B$32,'Inputs'!$B$30+'Inputs'!$B$31+'Inputs'!$B$32)/1000+'Inputs'!$B$21+'Inputs'!$B$7+'Inputs'!$B$10))^2+('Inputs'!$B$8/2)^2))))*'Results'!$B$8))),"")</x:f>
        <x:v>115.57594667527619</x:v>
      </x:c>
      <x:c r="M217" t="n">
        <x:f>IF(AND(ISNUMBER('Results'!C7),ISNUMBER('Results'!B7),ISNUMBER('Results'!$B$8),ISNUMBER('Inputs'!$B$6),ISNUMBER('Inputs'!$B$7),ISNUMBER('Inputs'!$B$8),ISNUMBER('Inputs'!$B$9),ISNUMBER('Inputs'!$B$10),ISNUMBER('Inputs'!$B$21),ISNUMBER('Inputs'!$B$24),ISNUMBER('Inputs'!$B$28)),(('Results'!C7*(0.5*((((217-43)*MAX('Inputs'!$B$33,'Inputs'!$B$29+'Inputs'!$B$31+'Inputs'!$B$32,'Inputs'!$B$30+'Inputs'!$B$31+'Inputs'!$B$32)/1000+'Inputs'!$B$21)+'Inputs'!$B$9)/SQRT((((217-43)*MAX('Inputs'!$B$33,'Inputs'!$B$29+'Inputs'!$B$31+'Inputs'!$B$32,'Inputs'!$B$30+'Inputs'!$B$31+'Inputs'!$B$32)/1000+'Inputs'!$B$21)+'Inputs'!$B$9)^2+('Inputs'!$B$8/2)^2)-(((217-43)*MAX('Inputs'!$B$33,'Inputs'!$B$29+'Inputs'!$B$31+'Inputs'!$B$32,'Inputs'!$B$30+'Inputs'!$B$31+'Inputs'!$B$32)/1000+'Inputs'!$B$21))/SQRT((((217-43)*MAX('Inputs'!$B$33,'Inputs'!$B$29+'Inputs'!$B$31+'Inputs'!$B$32,'Inputs'!$B$30+'Inputs'!$B$31+'Inputs'!$B$32)/1000+'Inputs'!$B$21))^2+('Inputs'!$B$8/2)^2)))-'Results'!B7*(0.5*((((217-43)*MAX('Inputs'!$B$33,'Inputs'!$B$29+'Inputs'!$B$31+'Inputs'!$B$32,'Inputs'!$B$30+'Inputs'!$B$31+'Inputs'!$B$32)/1000+'Inputs'!$B$21+'Inputs'!$B$9+'Inputs'!$B$10)+'Inputs'!$B$7)/SQRT((((217-43)*MAX('Inputs'!$B$33,'Inputs'!$B$29+'Inputs'!$B$31+'Inputs'!$B$32,'Inputs'!$B$30+'Inputs'!$B$31+'Inputs'!$B$32)/1000+'Inputs'!$B$21+'Inputs'!$B$9+'Inputs'!$B$10)+'Inputs'!$B$7)^2+('Inputs'!$B$6/2)^2)-(((217-43)*MAX('Inputs'!$B$33,'Inputs'!$B$29+'Inputs'!$B$31+'Inputs'!$B$32,'Inputs'!$B$30+'Inputs'!$B$31+'Inputs'!$B$32)/1000+'Inputs'!$B$21+'Inputs'!$B$9+'Inputs'!$B$10))/SQRT((((217-43)*MAX('Inputs'!$B$33,'Inputs'!$B$29+'Inputs'!$B$31+'Inputs'!$B$32,'Inputs'!$B$30+'Inputs'!$B$31+'Inputs'!$B$32)/1000+'Inputs'!$B$21+'Inputs'!$B$9+'Inputs'!$B$10))^2+('Inputs'!$B$6/2)^2))))*'Results'!$B$8),"")</x:f>
        <x:v>102.55304782403279</x:v>
      </x:c>
      <x:c r="N217" t="n">
        <x:f>IF(AND(ISNUMBER('Results'!C7),ISNUMBER('Results'!B7),ISNUMBER('Results'!$B$8),ISNUMBER('Inputs'!$B$6),ISNUMBER('Inputs'!$B$7),ISNUMBER('Inputs'!$B$8),ISNUMBER('Inputs'!$B$9),ISNUMBER('Inputs'!$B$10),ISNUMBER('Inputs'!$B$21),ISNUMBER('Inputs'!$B$24),ISNUMBER('Inputs'!$B$28)),((('Results'!C7*(1-'Inputs'!$B$24)*(0.5*((((217-43)*MAX('Inputs'!$B$33,'Inputs'!$B$29+'Inputs'!$B$31+'Inputs'!$B$32,'Inputs'!$B$30+'Inputs'!$B$31+'Inputs'!$B$32)/1000+'Inputs'!$B$21)+'Inputs'!$B$9)/SQRT((((217-43)*MAX('Inputs'!$B$33,'Inputs'!$B$29+'Inputs'!$B$31+'Inputs'!$B$32,'Inputs'!$B$30+'Inputs'!$B$31+'Inputs'!$B$32)/1000+'Inputs'!$B$21)+'Inputs'!$B$9)^2+('Inputs'!$B$8/2)^2)-(((217-43)*MAX('Inputs'!$B$33,'Inputs'!$B$29+'Inputs'!$B$31+'Inputs'!$B$32,'Inputs'!$B$30+'Inputs'!$B$31+'Inputs'!$B$32)/1000+'Inputs'!$B$21))/SQRT((((217-43)*MAX('Inputs'!$B$33,'Inputs'!$B$29+'Inputs'!$B$31+'Inputs'!$B$32,'Inputs'!$B$30+'Inputs'!$B$31+'Inputs'!$B$32)/1000+'Inputs'!$B$21))^2+('Inputs'!$B$8/2)^2)))-'Results'!B7*(1+'Inputs'!$B$24)*(0.5*((((217-43)*MAX('Inputs'!$B$33,'Inputs'!$B$29+'Inputs'!$B$31+'Inputs'!$B$32,'Inputs'!$B$30+'Inputs'!$B$31+'Inputs'!$B$32)/1000+'Inputs'!$B$21+'Inputs'!$B$9+'Inputs'!$B$10)+'Inputs'!$B$7)/SQRT((((217-43)*MAX('Inputs'!$B$33,'Inputs'!$B$29+'Inputs'!$B$31+'Inputs'!$B$32,'Inputs'!$B$30+'Inputs'!$B$31+'Inputs'!$B$32)/1000+'Inputs'!$B$21+'Inputs'!$B$9+'Inputs'!$B$10)+'Inputs'!$B$7)^2+('Inputs'!$B$6/2)^2)-(((217-43)*MAX('Inputs'!$B$33,'Inputs'!$B$29+'Inputs'!$B$31+'Inputs'!$B$32,'Inputs'!$B$30+'Inputs'!$B$31+'Inputs'!$B$32)/1000+'Inputs'!$B$21+'Inputs'!$B$9+'Inputs'!$B$10))/SQRT((((217-43)*MAX('Inputs'!$B$33,'Inputs'!$B$29+'Inputs'!$B$31+'Inputs'!$B$32,'Inputs'!$B$30+'Inputs'!$B$31+'Inputs'!$B$32)/1000+'Inputs'!$B$21+'Inputs'!$B$9+'Inputs'!$B$10))^2+('Inputs'!$B$6/2)^2))))*'Results'!$B$8)-'Inputs'!$B$28*ABS((('Results'!C7*(1-'Inputs'!$B$24)*(0.5*((((217-43)*MAX('Inputs'!$B$33,'Inputs'!$B$29+'Inputs'!$B$31+'Inputs'!$B$32,'Inputs'!$B$30+'Inputs'!$B$31+'Inputs'!$B$32)/1000+'Inputs'!$B$21)+'Inputs'!$B$9)/SQRT((((217-43)*MAX('Inputs'!$B$33,'Inputs'!$B$29+'Inputs'!$B$31+'Inputs'!$B$32,'Inputs'!$B$30+'Inputs'!$B$31+'Inputs'!$B$32)/1000+'Inputs'!$B$21)+'Inputs'!$B$9)^2+('Inputs'!$B$8/2)^2)-(((217-43)*MAX('Inputs'!$B$33,'Inputs'!$B$29+'Inputs'!$B$31+'Inputs'!$B$32,'Inputs'!$B$30+'Inputs'!$B$31+'Inputs'!$B$32)/1000+'Inputs'!$B$21))/SQRT((((217-43)*MAX('Inputs'!$B$33,'Inputs'!$B$29+'Inputs'!$B$31+'Inputs'!$B$32,'Inputs'!$B$30+'Inputs'!$B$31+'Inputs'!$B$32)/1000+'Inputs'!$B$21))^2+('Inputs'!$B$8/2)^2)))-'Results'!B7*(1+'Inputs'!$B$24)*(0.5*((((217-43)*MAX('Inputs'!$B$33,'Inputs'!$B$29+'Inputs'!$B$31+'Inputs'!$B$32,'Inputs'!$B$30+'Inputs'!$B$31+'Inputs'!$B$32)/1000+'Inputs'!$B$21+'Inputs'!$B$9+'Inputs'!$B$10)+'Inputs'!$B$7)/SQRT((((217-43)*MAX('Inputs'!$B$33,'Inputs'!$B$29+'Inputs'!$B$31+'Inputs'!$B$32,'Inputs'!$B$30+'Inputs'!$B$31+'Inputs'!$B$32)/1000+'Inputs'!$B$21+'Inputs'!$B$9+'Inputs'!$B$10)+'Inputs'!$B$7)^2+('Inputs'!$B$6/2)^2)-(((217-43)*MAX('Inputs'!$B$33,'Inputs'!$B$29+'Inputs'!$B$31+'Inputs'!$B$32,'Inputs'!$B$30+'Inputs'!$B$31+'Inputs'!$B$32)/1000+'Inputs'!$B$21+'Inputs'!$B$9+'Inputs'!$B$10))/SQRT((((217-43)*MAX('Inputs'!$B$33,'Inputs'!$B$29+'Inputs'!$B$31+'Inputs'!$B$32,'Inputs'!$B$30+'Inputs'!$B$31+'Inputs'!$B$32)/1000+'Inputs'!$B$21+'Inputs'!$B$9+'Inputs'!$B$10))^2+('Inputs'!$B$6/2)^2))))*'Results'!$B$8))),"")</x:f>
        <x:v>93.9016991961247</x:v>
      </x:c>
      <x:c r="O217" t="n">
        <x:f>IF(AND(ISNUMBER('Results'!C7),ISNUMBER('Results'!B7),ISNUMBER('Results'!$B$8),ISNUMBER('Inputs'!$B$6),ISNUMBER('Inputs'!$B$7),ISNUMBER('Inputs'!$B$8),ISNUMBER('Inputs'!$B$9),ISNUMBER('Inputs'!$B$10),ISNUMBER('Inputs'!$B$21),ISNUMBER('Inputs'!$B$24),ISNUMBER('Inputs'!$B$28)),((('Results'!C7*(1+'Inputs'!$B$24)*(0.5*((((217-43)*MAX('Inputs'!$B$33,'Inputs'!$B$29+'Inputs'!$B$31+'Inputs'!$B$32,'Inputs'!$B$30+'Inputs'!$B$31+'Inputs'!$B$32)/1000+'Inputs'!$B$21)+'Inputs'!$B$9)/SQRT((((217-43)*MAX('Inputs'!$B$33,'Inputs'!$B$29+'Inputs'!$B$31+'Inputs'!$B$32,'Inputs'!$B$30+'Inputs'!$B$31+'Inputs'!$B$32)/1000+'Inputs'!$B$21)+'Inputs'!$B$9)^2+('Inputs'!$B$8/2)^2)-(((217-43)*MAX('Inputs'!$B$33,'Inputs'!$B$29+'Inputs'!$B$31+'Inputs'!$B$32,'Inputs'!$B$30+'Inputs'!$B$31+'Inputs'!$B$32)/1000+'Inputs'!$B$21))/SQRT((((217-43)*MAX('Inputs'!$B$33,'Inputs'!$B$29+'Inputs'!$B$31+'Inputs'!$B$32,'Inputs'!$B$30+'Inputs'!$B$31+'Inputs'!$B$32)/1000+'Inputs'!$B$21))^2+('Inputs'!$B$8/2)^2)))-'Results'!B7*(1-'Inputs'!$B$24)*(0.5*((((217-43)*MAX('Inputs'!$B$33,'Inputs'!$B$29+'Inputs'!$B$31+'Inputs'!$B$32,'Inputs'!$B$30+'Inputs'!$B$31+'Inputs'!$B$32)/1000+'Inputs'!$B$21+'Inputs'!$B$9+'Inputs'!$B$10)+'Inputs'!$B$7)/SQRT((((217-43)*MAX('Inputs'!$B$33,'Inputs'!$B$29+'Inputs'!$B$31+'Inputs'!$B$32,'Inputs'!$B$30+'Inputs'!$B$31+'Inputs'!$B$32)/1000+'Inputs'!$B$21+'Inputs'!$B$9+'Inputs'!$B$10)+'Inputs'!$B$7)^2+('Inputs'!$B$6/2)^2)-(((217-43)*MAX('Inputs'!$B$33,'Inputs'!$B$29+'Inputs'!$B$31+'Inputs'!$B$32,'Inputs'!$B$30+'Inputs'!$B$31+'Inputs'!$B$32)/1000+'Inputs'!$B$21+'Inputs'!$B$9+'Inputs'!$B$10))/SQRT((((217-43)*MAX('Inputs'!$B$33,'Inputs'!$B$29+'Inputs'!$B$31+'Inputs'!$B$32,'Inputs'!$B$30+'Inputs'!$B$31+'Inputs'!$B$32)/1000+'Inputs'!$B$21+'Inputs'!$B$9+'Inputs'!$B$10))^2+('Inputs'!$B$6/2)^2))))*'Results'!$B$8)+'Inputs'!$B$28*ABS((('Results'!C7*(1+'Inputs'!$B$24)*(0.5*((((217-43)*MAX('Inputs'!$B$33,'Inputs'!$B$29+'Inputs'!$B$31+'Inputs'!$B$32,'Inputs'!$B$30+'Inputs'!$B$31+'Inputs'!$B$32)/1000+'Inputs'!$B$21)+'Inputs'!$B$9)/SQRT((((217-43)*MAX('Inputs'!$B$33,'Inputs'!$B$29+'Inputs'!$B$31+'Inputs'!$B$32,'Inputs'!$B$30+'Inputs'!$B$31+'Inputs'!$B$32)/1000+'Inputs'!$B$21)+'Inputs'!$B$9)^2+('Inputs'!$B$8/2)^2)-(((217-43)*MAX('Inputs'!$B$33,'Inputs'!$B$29+'Inputs'!$B$31+'Inputs'!$B$32,'Inputs'!$B$30+'Inputs'!$B$31+'Inputs'!$B$32)/1000+'Inputs'!$B$21))/SQRT((((217-43)*MAX('Inputs'!$B$33,'Inputs'!$B$29+'Inputs'!$B$31+'Inputs'!$B$32,'Inputs'!$B$30+'Inputs'!$B$31+'Inputs'!$B$32)/1000+'Inputs'!$B$21))^2+('Inputs'!$B$8/2)^2)))-'Results'!B7*(1-'Inputs'!$B$24)*(0.5*((((217-43)*MAX('Inputs'!$B$33,'Inputs'!$B$29+'Inputs'!$B$31+'Inputs'!$B$32,'Inputs'!$B$30+'Inputs'!$B$31+'Inputs'!$B$32)/1000+'Inputs'!$B$21+'Inputs'!$B$9+'Inputs'!$B$10)+'Inputs'!$B$7)/SQRT((((217-43)*MAX('Inputs'!$B$33,'Inputs'!$B$29+'Inputs'!$B$31+'Inputs'!$B$32,'Inputs'!$B$30+'Inputs'!$B$31+'Inputs'!$B$32)/1000+'Inputs'!$B$21+'Inputs'!$B$9+'Inputs'!$B$10)+'Inputs'!$B$7)^2+('Inputs'!$B$6/2)^2)-(((217-43)*MAX('Inputs'!$B$33,'Inputs'!$B$29+'Inputs'!$B$31+'Inputs'!$B$32,'Inputs'!$B$30+'Inputs'!$B$31+'Inputs'!$B$32)/1000+'Inputs'!$B$21+'Inputs'!$B$9+'Inputs'!$B$10))/SQRT((((217-43)*MAX('Inputs'!$B$33,'Inputs'!$B$29+'Inputs'!$B$31+'Inputs'!$B$32,'Inputs'!$B$30+'Inputs'!$B$31+'Inputs'!$B$32)/1000+'Inputs'!$B$21+'Inputs'!$B$9+'Inputs'!$B$10))^2+('Inputs'!$B$6/2)^2))))*'Results'!$B$8))),"")</x:f>
        <x:v>111.57531184527843</x:v>
      </x:c>
      <x:c r="P217" t="n">
        <x:f>IF(AND(MAX(J217,J216)&gt;0,J217&gt;J216+0.00000001),1,0)</x:f>
        <x:v>0</x:v>
      </x:c>
      <x:c r="Q217" t="n">
        <x:f>IF(AND(MAX(K217,K216)&gt;0,K217&gt;K216+0.00000001),1,0)</x:f>
        <x:v>0</x:v>
      </x:c>
      <x:c r="R217" t="n">
        <x:f>IF(AND(MAX(L217,L216)&gt;0,L217&gt;L216+0.00000001),1,0)</x:f>
        <x:v>0</x:v>
      </x:c>
      <x:c r="S217" t="n">
        <x:f>IF(AND(MAX(M217,M216)&gt;0,M217&gt;M216+0.00000001),1,0)</x:f>
        <x:v>0</x:v>
      </x:c>
      <x:c r="T217" t="n">
        <x:f>IF(AND(MAX(N217,N216)&gt;0,N217&gt;N216+0.00000001),1,0)</x:f>
        <x:v>0</x:v>
      </x:c>
      <x:c r="U217" t="n">
        <x:f>IF(AND(MAX(O217,O216)&gt;0,O217&gt;O216+0.00000001),1,0)</x:f>
        <x:v>0</x:v>
      </x:c>
    </x:row>
    <x:row r="218">
      <x:c r="J218" t="n">
        <x:f>IF(AND(ISNUMBER('Results'!B7),ISNUMBER('Results'!C7),ISNUMBER('Results'!$B$8),ISNUMBER('Inputs'!$B$6),ISNUMBER('Inputs'!$B$7),ISNUMBER('Inputs'!$B$8),ISNUMBER('Inputs'!$B$9),ISNUMBER('Inputs'!$B$10),ISNUMBER('Inputs'!$B$21),ISNUMBER('Inputs'!$B$24),ISNUMBER('Inputs'!$B$28)),(('Results'!B7*(0.5*((((218-43)*MAX('Inputs'!$B$33,'Inputs'!$B$29+'Inputs'!$B$31+'Inputs'!$B$32,'Inputs'!$B$30+'Inputs'!$B$31+'Inputs'!$B$32)/1000+'Inputs'!$B$21)+'Inputs'!$B$7)/SQRT((((218-43)*MAX('Inputs'!$B$33,'Inputs'!$B$29+'Inputs'!$B$31+'Inputs'!$B$32,'Inputs'!$B$30+'Inputs'!$B$31+'Inputs'!$B$32)/1000+'Inputs'!$B$21)+'Inputs'!$B$7)^2+('Inputs'!$B$6/2)^2)-(((218-43)*MAX('Inputs'!$B$33,'Inputs'!$B$29+'Inputs'!$B$31+'Inputs'!$B$32,'Inputs'!$B$30+'Inputs'!$B$31+'Inputs'!$B$32)/1000+'Inputs'!$B$21))/SQRT((((218-43)*MAX('Inputs'!$B$33,'Inputs'!$B$29+'Inputs'!$B$31+'Inputs'!$B$32,'Inputs'!$B$30+'Inputs'!$B$31+'Inputs'!$B$32)/1000+'Inputs'!$B$21))^2+('Inputs'!$B$6/2)^2)))-'Results'!C7*(0.5*((((218-43)*MAX('Inputs'!$B$33,'Inputs'!$B$29+'Inputs'!$B$31+'Inputs'!$B$32,'Inputs'!$B$30+'Inputs'!$B$31+'Inputs'!$B$32)/1000+'Inputs'!$B$21+'Inputs'!$B$7+'Inputs'!$B$10)+'Inputs'!$B$9)/SQRT((((218-43)*MAX('Inputs'!$B$33,'Inputs'!$B$29+'Inputs'!$B$31+'Inputs'!$B$32,'Inputs'!$B$30+'Inputs'!$B$31+'Inputs'!$B$32)/1000+'Inputs'!$B$21+'Inputs'!$B$7+'Inputs'!$B$10)+'Inputs'!$B$9)^2+('Inputs'!$B$8/2)^2)-(((218-43)*MAX('Inputs'!$B$33,'Inputs'!$B$29+'Inputs'!$B$31+'Inputs'!$B$32,'Inputs'!$B$30+'Inputs'!$B$31+'Inputs'!$B$32)/1000+'Inputs'!$B$21+'Inputs'!$B$7+'Inputs'!$B$10))/SQRT((((218-43)*MAX('Inputs'!$B$33,'Inputs'!$B$29+'Inputs'!$B$31+'Inputs'!$B$32,'Inputs'!$B$30+'Inputs'!$B$31+'Inputs'!$B$32)/1000+'Inputs'!$B$21+'Inputs'!$B$7+'Inputs'!$B$10))^2+('Inputs'!$B$8/2)^2))))*'Results'!$B$8),"")</x:f>
        <x:v>104.74494114667276</x:v>
      </x:c>
      <x:c r="K218" t="n">
        <x:f>IF(AND(ISNUMBER('Results'!B7),ISNUMBER('Results'!C7),ISNUMBER('Results'!$B$8),ISNUMBER('Inputs'!$B$6),ISNUMBER('Inputs'!$B$7),ISNUMBER('Inputs'!$B$8),ISNUMBER('Inputs'!$B$9),ISNUMBER('Inputs'!$B$10),ISNUMBER('Inputs'!$B$21),ISNUMBER('Inputs'!$B$24),ISNUMBER('Inputs'!$B$28)),((('Results'!B7*(1-'Inputs'!$B$24)*(0.5*((((218-43)*MAX('Inputs'!$B$33,'Inputs'!$B$29+'Inputs'!$B$31+'Inputs'!$B$32,'Inputs'!$B$30+'Inputs'!$B$31+'Inputs'!$B$32)/1000+'Inputs'!$B$21)+'Inputs'!$B$7)/SQRT((((218-43)*MAX('Inputs'!$B$33,'Inputs'!$B$29+'Inputs'!$B$31+'Inputs'!$B$32,'Inputs'!$B$30+'Inputs'!$B$31+'Inputs'!$B$32)/1000+'Inputs'!$B$21)+'Inputs'!$B$7)^2+('Inputs'!$B$6/2)^2)-(((218-43)*MAX('Inputs'!$B$33,'Inputs'!$B$29+'Inputs'!$B$31+'Inputs'!$B$32,'Inputs'!$B$30+'Inputs'!$B$31+'Inputs'!$B$32)/1000+'Inputs'!$B$21))/SQRT((((218-43)*MAX('Inputs'!$B$33,'Inputs'!$B$29+'Inputs'!$B$31+'Inputs'!$B$32,'Inputs'!$B$30+'Inputs'!$B$31+'Inputs'!$B$32)/1000+'Inputs'!$B$21))^2+('Inputs'!$B$6/2)^2)))-'Results'!C7*(1+'Inputs'!$B$24)*(0.5*((((218-43)*MAX('Inputs'!$B$33,'Inputs'!$B$29+'Inputs'!$B$31+'Inputs'!$B$32,'Inputs'!$B$30+'Inputs'!$B$31+'Inputs'!$B$32)/1000+'Inputs'!$B$21+'Inputs'!$B$7+'Inputs'!$B$10)+'Inputs'!$B$9)/SQRT((((218-43)*MAX('Inputs'!$B$33,'Inputs'!$B$29+'Inputs'!$B$31+'Inputs'!$B$32,'Inputs'!$B$30+'Inputs'!$B$31+'Inputs'!$B$32)/1000+'Inputs'!$B$21+'Inputs'!$B$7+'Inputs'!$B$10)+'Inputs'!$B$9)^2+('Inputs'!$B$8/2)^2)-(((218-43)*MAX('Inputs'!$B$33,'Inputs'!$B$29+'Inputs'!$B$31+'Inputs'!$B$32,'Inputs'!$B$30+'Inputs'!$B$31+'Inputs'!$B$32)/1000+'Inputs'!$B$21+'Inputs'!$B$7+'Inputs'!$B$10))/SQRT((((218-43)*MAX('Inputs'!$B$33,'Inputs'!$B$29+'Inputs'!$B$31+'Inputs'!$B$32,'Inputs'!$B$30+'Inputs'!$B$31+'Inputs'!$B$32)/1000+'Inputs'!$B$21+'Inputs'!$B$7+'Inputs'!$B$10))^2+('Inputs'!$B$8/2)^2))))*'Results'!$B$8)-'Inputs'!$B$28*ABS((('Results'!B7*(1-'Inputs'!$B$24)*(0.5*((((218-43)*MAX('Inputs'!$B$33,'Inputs'!$B$29+'Inputs'!$B$31+'Inputs'!$B$32,'Inputs'!$B$30+'Inputs'!$B$31+'Inputs'!$B$32)/1000+'Inputs'!$B$21)+'Inputs'!$B$7)/SQRT((((218-43)*MAX('Inputs'!$B$33,'Inputs'!$B$29+'Inputs'!$B$31+'Inputs'!$B$32,'Inputs'!$B$30+'Inputs'!$B$31+'Inputs'!$B$32)/1000+'Inputs'!$B$21)+'Inputs'!$B$7)^2+('Inputs'!$B$6/2)^2)-(((218-43)*MAX('Inputs'!$B$33,'Inputs'!$B$29+'Inputs'!$B$31+'Inputs'!$B$32,'Inputs'!$B$30+'Inputs'!$B$31+'Inputs'!$B$32)/1000+'Inputs'!$B$21))/SQRT((((218-43)*MAX('Inputs'!$B$33,'Inputs'!$B$29+'Inputs'!$B$31+'Inputs'!$B$32,'Inputs'!$B$30+'Inputs'!$B$31+'Inputs'!$B$32)/1000+'Inputs'!$B$21))^2+('Inputs'!$B$6/2)^2)))-'Results'!C7*(1+'Inputs'!$B$24)*(0.5*((((218-43)*MAX('Inputs'!$B$33,'Inputs'!$B$29+'Inputs'!$B$31+'Inputs'!$B$32,'Inputs'!$B$30+'Inputs'!$B$31+'Inputs'!$B$32)/1000+'Inputs'!$B$21+'Inputs'!$B$7+'Inputs'!$B$10)+'Inputs'!$B$9)/SQRT((((218-43)*MAX('Inputs'!$B$33,'Inputs'!$B$29+'Inputs'!$B$31+'Inputs'!$B$32,'Inputs'!$B$30+'Inputs'!$B$31+'Inputs'!$B$32)/1000+'Inputs'!$B$21+'Inputs'!$B$7+'Inputs'!$B$10)+'Inputs'!$B$9)^2+('Inputs'!$B$8/2)^2)-(((218-43)*MAX('Inputs'!$B$33,'Inputs'!$B$29+'Inputs'!$B$31+'Inputs'!$B$32,'Inputs'!$B$30+'Inputs'!$B$31+'Inputs'!$B$32)/1000+'Inputs'!$B$21+'Inputs'!$B$7+'Inputs'!$B$10))/SQRT((((218-43)*MAX('Inputs'!$B$33,'Inputs'!$B$29+'Inputs'!$B$31+'Inputs'!$B$32,'Inputs'!$B$30+'Inputs'!$B$31+'Inputs'!$B$32)/1000+'Inputs'!$B$21+'Inputs'!$B$7+'Inputs'!$B$10))^2+('Inputs'!$B$8/2)^2))))*'Results'!$B$8))),"")</x:f>
        <x:v>95.98791096637939</x:v>
      </x:c>
      <x:c r="L218" t="n">
        <x:f>IF(AND(ISNUMBER('Results'!B7),ISNUMBER('Results'!C7),ISNUMBER('Results'!$B$8),ISNUMBER('Inputs'!$B$6),ISNUMBER('Inputs'!$B$7),ISNUMBER('Inputs'!$B$8),ISNUMBER('Inputs'!$B$9),ISNUMBER('Inputs'!$B$10),ISNUMBER('Inputs'!$B$21),ISNUMBER('Inputs'!$B$24),ISNUMBER('Inputs'!$B$28)),((('Results'!B7*(1+'Inputs'!$B$24)*(0.5*((((218-43)*MAX('Inputs'!$B$33,'Inputs'!$B$29+'Inputs'!$B$31+'Inputs'!$B$32,'Inputs'!$B$30+'Inputs'!$B$31+'Inputs'!$B$32)/1000+'Inputs'!$B$21)+'Inputs'!$B$7)/SQRT((((218-43)*MAX('Inputs'!$B$33,'Inputs'!$B$29+'Inputs'!$B$31+'Inputs'!$B$32,'Inputs'!$B$30+'Inputs'!$B$31+'Inputs'!$B$32)/1000+'Inputs'!$B$21)+'Inputs'!$B$7)^2+('Inputs'!$B$6/2)^2)-(((218-43)*MAX('Inputs'!$B$33,'Inputs'!$B$29+'Inputs'!$B$31+'Inputs'!$B$32,'Inputs'!$B$30+'Inputs'!$B$31+'Inputs'!$B$32)/1000+'Inputs'!$B$21))/SQRT((((218-43)*MAX('Inputs'!$B$33,'Inputs'!$B$29+'Inputs'!$B$31+'Inputs'!$B$32,'Inputs'!$B$30+'Inputs'!$B$31+'Inputs'!$B$32)/1000+'Inputs'!$B$21))^2+('Inputs'!$B$6/2)^2)))-'Results'!C7*(1-'Inputs'!$B$24)*(0.5*((((218-43)*MAX('Inputs'!$B$33,'Inputs'!$B$29+'Inputs'!$B$31+'Inputs'!$B$32,'Inputs'!$B$30+'Inputs'!$B$31+'Inputs'!$B$32)/1000+'Inputs'!$B$21+'Inputs'!$B$7+'Inputs'!$B$10)+'Inputs'!$B$9)/SQRT((((218-43)*MAX('Inputs'!$B$33,'Inputs'!$B$29+'Inputs'!$B$31+'Inputs'!$B$32,'Inputs'!$B$30+'Inputs'!$B$31+'Inputs'!$B$32)/1000+'Inputs'!$B$21+'Inputs'!$B$7+'Inputs'!$B$10)+'Inputs'!$B$9)^2+('Inputs'!$B$8/2)^2)-(((218-43)*MAX('Inputs'!$B$33,'Inputs'!$B$29+'Inputs'!$B$31+'Inputs'!$B$32,'Inputs'!$B$30+'Inputs'!$B$31+'Inputs'!$B$32)/1000+'Inputs'!$B$21+'Inputs'!$B$7+'Inputs'!$B$10))/SQRT((((218-43)*MAX('Inputs'!$B$33,'Inputs'!$B$29+'Inputs'!$B$31+'Inputs'!$B$32,'Inputs'!$B$30+'Inputs'!$B$31+'Inputs'!$B$32)/1000+'Inputs'!$B$21+'Inputs'!$B$7+'Inputs'!$B$10))^2+('Inputs'!$B$8/2)^2))))*'Results'!$B$8)+'Inputs'!$B$28*ABS((('Results'!B7*(1+'Inputs'!$B$24)*(0.5*((((218-43)*MAX('Inputs'!$B$33,'Inputs'!$B$29+'Inputs'!$B$31+'Inputs'!$B$32,'Inputs'!$B$30+'Inputs'!$B$31+'Inputs'!$B$32)/1000+'Inputs'!$B$21)+'Inputs'!$B$7)/SQRT((((218-43)*MAX('Inputs'!$B$33,'Inputs'!$B$29+'Inputs'!$B$31+'Inputs'!$B$32,'Inputs'!$B$30+'Inputs'!$B$31+'Inputs'!$B$32)/1000+'Inputs'!$B$21)+'Inputs'!$B$7)^2+('Inputs'!$B$6/2)^2)-(((218-43)*MAX('Inputs'!$B$33,'Inputs'!$B$29+'Inputs'!$B$31+'Inputs'!$B$32,'Inputs'!$B$30+'Inputs'!$B$31+'Inputs'!$B$32)/1000+'Inputs'!$B$21))/SQRT((((218-43)*MAX('Inputs'!$B$33,'Inputs'!$B$29+'Inputs'!$B$31+'Inputs'!$B$32,'Inputs'!$B$30+'Inputs'!$B$31+'Inputs'!$B$32)/1000+'Inputs'!$B$21))^2+('Inputs'!$B$6/2)^2)))-'Results'!C7*(1-'Inputs'!$B$24)*(0.5*((((218-43)*MAX('Inputs'!$B$33,'Inputs'!$B$29+'Inputs'!$B$31+'Inputs'!$B$32,'Inputs'!$B$30+'Inputs'!$B$31+'Inputs'!$B$32)/1000+'Inputs'!$B$21+'Inputs'!$B$7+'Inputs'!$B$10)+'Inputs'!$B$9)/SQRT((((218-43)*MAX('Inputs'!$B$33,'Inputs'!$B$29+'Inputs'!$B$31+'Inputs'!$B$32,'Inputs'!$B$30+'Inputs'!$B$31+'Inputs'!$B$32)/1000+'Inputs'!$B$21+'Inputs'!$B$7+'Inputs'!$B$10)+'Inputs'!$B$9)^2+('Inputs'!$B$8/2)^2)-(((218-43)*MAX('Inputs'!$B$33,'Inputs'!$B$29+'Inputs'!$B$31+'Inputs'!$B$32,'Inputs'!$B$30+'Inputs'!$B$31+'Inputs'!$B$32)/1000+'Inputs'!$B$21+'Inputs'!$B$7+'Inputs'!$B$10))/SQRT((((218-43)*MAX('Inputs'!$B$33,'Inputs'!$B$29+'Inputs'!$B$31+'Inputs'!$B$32,'Inputs'!$B$30+'Inputs'!$B$31+'Inputs'!$B$32)/1000+'Inputs'!$B$21+'Inputs'!$B$7+'Inputs'!$B$10))^2+('Inputs'!$B$8/2)^2))))*'Results'!$B$8))),"")</x:f>
        <x:v>113.87247481359341</x:v>
      </x:c>
      <x:c r="M218" t="n">
        <x:f>IF(AND(ISNUMBER('Results'!C7),ISNUMBER('Results'!B7),ISNUMBER('Results'!$B$8),ISNUMBER('Inputs'!$B$6),ISNUMBER('Inputs'!$B$7),ISNUMBER('Inputs'!$B$8),ISNUMBER('Inputs'!$B$9),ISNUMBER('Inputs'!$B$10),ISNUMBER('Inputs'!$B$21),ISNUMBER('Inputs'!$B$24),ISNUMBER('Inputs'!$B$28)),(('Results'!C7*(0.5*((((218-43)*MAX('Inputs'!$B$33,'Inputs'!$B$29+'Inputs'!$B$31+'Inputs'!$B$32,'Inputs'!$B$30+'Inputs'!$B$31+'Inputs'!$B$32)/1000+'Inputs'!$B$21)+'Inputs'!$B$9)/SQRT((((218-43)*MAX('Inputs'!$B$33,'Inputs'!$B$29+'Inputs'!$B$31+'Inputs'!$B$32,'Inputs'!$B$30+'Inputs'!$B$31+'Inputs'!$B$32)/1000+'Inputs'!$B$21)+'Inputs'!$B$9)^2+('Inputs'!$B$8/2)^2)-(((218-43)*MAX('Inputs'!$B$33,'Inputs'!$B$29+'Inputs'!$B$31+'Inputs'!$B$32,'Inputs'!$B$30+'Inputs'!$B$31+'Inputs'!$B$32)/1000+'Inputs'!$B$21))/SQRT((((218-43)*MAX('Inputs'!$B$33,'Inputs'!$B$29+'Inputs'!$B$31+'Inputs'!$B$32,'Inputs'!$B$30+'Inputs'!$B$31+'Inputs'!$B$32)/1000+'Inputs'!$B$21))^2+('Inputs'!$B$8/2)^2)))-'Results'!B7*(0.5*((((218-43)*MAX('Inputs'!$B$33,'Inputs'!$B$29+'Inputs'!$B$31+'Inputs'!$B$32,'Inputs'!$B$30+'Inputs'!$B$31+'Inputs'!$B$32)/1000+'Inputs'!$B$21+'Inputs'!$B$9+'Inputs'!$B$10)+'Inputs'!$B$7)/SQRT((((218-43)*MAX('Inputs'!$B$33,'Inputs'!$B$29+'Inputs'!$B$31+'Inputs'!$B$32,'Inputs'!$B$30+'Inputs'!$B$31+'Inputs'!$B$32)/1000+'Inputs'!$B$21+'Inputs'!$B$9+'Inputs'!$B$10)+'Inputs'!$B$7)^2+('Inputs'!$B$6/2)^2)-(((218-43)*MAX('Inputs'!$B$33,'Inputs'!$B$29+'Inputs'!$B$31+'Inputs'!$B$32,'Inputs'!$B$30+'Inputs'!$B$31+'Inputs'!$B$32)/1000+'Inputs'!$B$21+'Inputs'!$B$9+'Inputs'!$B$10))/SQRT((((218-43)*MAX('Inputs'!$B$33,'Inputs'!$B$29+'Inputs'!$B$31+'Inputs'!$B$32,'Inputs'!$B$30+'Inputs'!$B$31+'Inputs'!$B$32)/1000+'Inputs'!$B$21+'Inputs'!$B$9+'Inputs'!$B$10))^2+('Inputs'!$B$6/2)^2))))*'Results'!$B$8),"")</x:f>
        <x:v>101.02347632077345</x:v>
      </x:c>
      <x:c r="N218" t="n">
        <x:f>IF(AND(ISNUMBER('Results'!C7),ISNUMBER('Results'!B7),ISNUMBER('Results'!$B$8),ISNUMBER('Inputs'!$B$6),ISNUMBER('Inputs'!$B$7),ISNUMBER('Inputs'!$B$8),ISNUMBER('Inputs'!$B$9),ISNUMBER('Inputs'!$B$10),ISNUMBER('Inputs'!$B$21),ISNUMBER('Inputs'!$B$24),ISNUMBER('Inputs'!$B$28)),((('Results'!C7*(1-'Inputs'!$B$24)*(0.5*((((218-43)*MAX('Inputs'!$B$33,'Inputs'!$B$29+'Inputs'!$B$31+'Inputs'!$B$32,'Inputs'!$B$30+'Inputs'!$B$31+'Inputs'!$B$32)/1000+'Inputs'!$B$21)+'Inputs'!$B$9)/SQRT((((218-43)*MAX('Inputs'!$B$33,'Inputs'!$B$29+'Inputs'!$B$31+'Inputs'!$B$32,'Inputs'!$B$30+'Inputs'!$B$31+'Inputs'!$B$32)/1000+'Inputs'!$B$21)+'Inputs'!$B$9)^2+('Inputs'!$B$8/2)^2)-(((218-43)*MAX('Inputs'!$B$33,'Inputs'!$B$29+'Inputs'!$B$31+'Inputs'!$B$32,'Inputs'!$B$30+'Inputs'!$B$31+'Inputs'!$B$32)/1000+'Inputs'!$B$21))/SQRT((((218-43)*MAX('Inputs'!$B$33,'Inputs'!$B$29+'Inputs'!$B$31+'Inputs'!$B$32,'Inputs'!$B$30+'Inputs'!$B$31+'Inputs'!$B$32)/1000+'Inputs'!$B$21))^2+('Inputs'!$B$8/2)^2)))-'Results'!B7*(1+'Inputs'!$B$24)*(0.5*((((218-43)*MAX('Inputs'!$B$33,'Inputs'!$B$29+'Inputs'!$B$31+'Inputs'!$B$32,'Inputs'!$B$30+'Inputs'!$B$31+'Inputs'!$B$32)/1000+'Inputs'!$B$21+'Inputs'!$B$9+'Inputs'!$B$10)+'Inputs'!$B$7)/SQRT((((218-43)*MAX('Inputs'!$B$33,'Inputs'!$B$29+'Inputs'!$B$31+'Inputs'!$B$32,'Inputs'!$B$30+'Inputs'!$B$31+'Inputs'!$B$32)/1000+'Inputs'!$B$21+'Inputs'!$B$9+'Inputs'!$B$10)+'Inputs'!$B$7)^2+('Inputs'!$B$6/2)^2)-(((218-43)*MAX('Inputs'!$B$33,'Inputs'!$B$29+'Inputs'!$B$31+'Inputs'!$B$32,'Inputs'!$B$30+'Inputs'!$B$31+'Inputs'!$B$32)/1000+'Inputs'!$B$21+'Inputs'!$B$9+'Inputs'!$B$10))/SQRT((((218-43)*MAX('Inputs'!$B$33,'Inputs'!$B$29+'Inputs'!$B$31+'Inputs'!$B$32,'Inputs'!$B$30+'Inputs'!$B$31+'Inputs'!$B$32)/1000+'Inputs'!$B$21+'Inputs'!$B$9+'Inputs'!$B$10))^2+('Inputs'!$B$6/2)^2))))*'Results'!$B$8)-'Inputs'!$B$28*ABS((('Results'!C7*(1-'Inputs'!$B$24)*(0.5*((((218-43)*MAX('Inputs'!$B$33,'Inputs'!$B$29+'Inputs'!$B$31+'Inputs'!$B$32,'Inputs'!$B$30+'Inputs'!$B$31+'Inputs'!$B$32)/1000+'Inputs'!$B$21)+'Inputs'!$B$9)/SQRT((((218-43)*MAX('Inputs'!$B$33,'Inputs'!$B$29+'Inputs'!$B$31+'Inputs'!$B$32,'Inputs'!$B$30+'Inputs'!$B$31+'Inputs'!$B$32)/1000+'Inputs'!$B$21)+'Inputs'!$B$9)^2+('Inputs'!$B$8/2)^2)-(((218-43)*MAX('Inputs'!$B$33,'Inputs'!$B$29+'Inputs'!$B$31+'Inputs'!$B$32,'Inputs'!$B$30+'Inputs'!$B$31+'Inputs'!$B$32)/1000+'Inputs'!$B$21))/SQRT((((218-43)*MAX('Inputs'!$B$33,'Inputs'!$B$29+'Inputs'!$B$31+'Inputs'!$B$32,'Inputs'!$B$30+'Inputs'!$B$31+'Inputs'!$B$32)/1000+'Inputs'!$B$21))^2+('Inputs'!$B$8/2)^2)))-'Results'!B7*(1+'Inputs'!$B$24)*(0.5*((((218-43)*MAX('Inputs'!$B$33,'Inputs'!$B$29+'Inputs'!$B$31+'Inputs'!$B$32,'Inputs'!$B$30+'Inputs'!$B$31+'Inputs'!$B$32)/1000+'Inputs'!$B$21+'Inputs'!$B$9+'Inputs'!$B$10)+'Inputs'!$B$7)/SQRT((((218-43)*MAX('Inputs'!$B$33,'Inputs'!$B$29+'Inputs'!$B$31+'Inputs'!$B$32,'Inputs'!$B$30+'Inputs'!$B$31+'Inputs'!$B$32)/1000+'Inputs'!$B$21+'Inputs'!$B$9+'Inputs'!$B$10)+'Inputs'!$B$7)^2+('Inputs'!$B$6/2)^2)-(((218-43)*MAX('Inputs'!$B$33,'Inputs'!$B$29+'Inputs'!$B$31+'Inputs'!$B$32,'Inputs'!$B$30+'Inputs'!$B$31+'Inputs'!$B$32)/1000+'Inputs'!$B$21+'Inputs'!$B$9+'Inputs'!$B$10))/SQRT((((218-43)*MAX('Inputs'!$B$33,'Inputs'!$B$29+'Inputs'!$B$31+'Inputs'!$B$32,'Inputs'!$B$30+'Inputs'!$B$31+'Inputs'!$B$32)/1000+'Inputs'!$B$21+'Inputs'!$B$9+'Inputs'!$B$10))^2+('Inputs'!$B$6/2)^2))))*'Results'!$B$8))),"")</x:f>
        <x:v>92.49201029017793</x:v>
      </x:c>
      <x:c r="O218" t="n">
        <x:f>IF(AND(ISNUMBER('Results'!C7),ISNUMBER('Results'!B7),ISNUMBER('Results'!$B$8),ISNUMBER('Inputs'!$B$6),ISNUMBER('Inputs'!$B$7),ISNUMBER('Inputs'!$B$8),ISNUMBER('Inputs'!$B$9),ISNUMBER('Inputs'!$B$10),ISNUMBER('Inputs'!$B$21),ISNUMBER('Inputs'!$B$24),ISNUMBER('Inputs'!$B$28)),((('Results'!C7*(1+'Inputs'!$B$24)*(0.5*((((218-43)*MAX('Inputs'!$B$33,'Inputs'!$B$29+'Inputs'!$B$31+'Inputs'!$B$32,'Inputs'!$B$30+'Inputs'!$B$31+'Inputs'!$B$32)/1000+'Inputs'!$B$21)+'Inputs'!$B$9)/SQRT((((218-43)*MAX('Inputs'!$B$33,'Inputs'!$B$29+'Inputs'!$B$31+'Inputs'!$B$32,'Inputs'!$B$30+'Inputs'!$B$31+'Inputs'!$B$32)/1000+'Inputs'!$B$21)+'Inputs'!$B$9)^2+('Inputs'!$B$8/2)^2)-(((218-43)*MAX('Inputs'!$B$33,'Inputs'!$B$29+'Inputs'!$B$31+'Inputs'!$B$32,'Inputs'!$B$30+'Inputs'!$B$31+'Inputs'!$B$32)/1000+'Inputs'!$B$21))/SQRT((((218-43)*MAX('Inputs'!$B$33,'Inputs'!$B$29+'Inputs'!$B$31+'Inputs'!$B$32,'Inputs'!$B$30+'Inputs'!$B$31+'Inputs'!$B$32)/1000+'Inputs'!$B$21))^2+('Inputs'!$B$8/2)^2)))-'Results'!B7*(1-'Inputs'!$B$24)*(0.5*((((218-43)*MAX('Inputs'!$B$33,'Inputs'!$B$29+'Inputs'!$B$31+'Inputs'!$B$32,'Inputs'!$B$30+'Inputs'!$B$31+'Inputs'!$B$32)/1000+'Inputs'!$B$21+'Inputs'!$B$9+'Inputs'!$B$10)+'Inputs'!$B$7)/SQRT((((218-43)*MAX('Inputs'!$B$33,'Inputs'!$B$29+'Inputs'!$B$31+'Inputs'!$B$32,'Inputs'!$B$30+'Inputs'!$B$31+'Inputs'!$B$32)/1000+'Inputs'!$B$21+'Inputs'!$B$9+'Inputs'!$B$10)+'Inputs'!$B$7)^2+('Inputs'!$B$6/2)^2)-(((218-43)*MAX('Inputs'!$B$33,'Inputs'!$B$29+'Inputs'!$B$31+'Inputs'!$B$32,'Inputs'!$B$30+'Inputs'!$B$31+'Inputs'!$B$32)/1000+'Inputs'!$B$21+'Inputs'!$B$9+'Inputs'!$B$10))/SQRT((((218-43)*MAX('Inputs'!$B$33,'Inputs'!$B$29+'Inputs'!$B$31+'Inputs'!$B$32,'Inputs'!$B$30+'Inputs'!$B$31+'Inputs'!$B$32)/1000+'Inputs'!$B$21+'Inputs'!$B$9+'Inputs'!$B$10))^2+('Inputs'!$B$6/2)^2))))*'Results'!$B$8)+'Inputs'!$B$28*ABS((('Results'!C7*(1+'Inputs'!$B$24)*(0.5*((((218-43)*MAX('Inputs'!$B$33,'Inputs'!$B$29+'Inputs'!$B$31+'Inputs'!$B$32,'Inputs'!$B$30+'Inputs'!$B$31+'Inputs'!$B$32)/1000+'Inputs'!$B$21)+'Inputs'!$B$9)/SQRT((((218-43)*MAX('Inputs'!$B$33,'Inputs'!$B$29+'Inputs'!$B$31+'Inputs'!$B$32,'Inputs'!$B$30+'Inputs'!$B$31+'Inputs'!$B$32)/1000+'Inputs'!$B$21)+'Inputs'!$B$9)^2+('Inputs'!$B$8/2)^2)-(((218-43)*MAX('Inputs'!$B$33,'Inputs'!$B$29+'Inputs'!$B$31+'Inputs'!$B$32,'Inputs'!$B$30+'Inputs'!$B$31+'Inputs'!$B$32)/1000+'Inputs'!$B$21))/SQRT((((218-43)*MAX('Inputs'!$B$33,'Inputs'!$B$29+'Inputs'!$B$31+'Inputs'!$B$32,'Inputs'!$B$30+'Inputs'!$B$31+'Inputs'!$B$32)/1000+'Inputs'!$B$21))^2+('Inputs'!$B$8/2)^2)))-'Results'!B7*(1-'Inputs'!$B$24)*(0.5*((((218-43)*MAX('Inputs'!$B$33,'Inputs'!$B$29+'Inputs'!$B$31+'Inputs'!$B$32,'Inputs'!$B$30+'Inputs'!$B$31+'Inputs'!$B$32)/1000+'Inputs'!$B$21+'Inputs'!$B$9+'Inputs'!$B$10)+'Inputs'!$B$7)/SQRT((((218-43)*MAX('Inputs'!$B$33,'Inputs'!$B$29+'Inputs'!$B$31+'Inputs'!$B$32,'Inputs'!$B$30+'Inputs'!$B$31+'Inputs'!$B$32)/1000+'Inputs'!$B$21+'Inputs'!$B$9+'Inputs'!$B$10)+'Inputs'!$B$7)^2+('Inputs'!$B$6/2)^2)-(((218-43)*MAX('Inputs'!$B$33,'Inputs'!$B$29+'Inputs'!$B$31+'Inputs'!$B$32,'Inputs'!$B$30+'Inputs'!$B$31+'Inputs'!$B$32)/1000+'Inputs'!$B$21+'Inputs'!$B$9+'Inputs'!$B$10))/SQRT((((218-43)*MAX('Inputs'!$B$33,'Inputs'!$B$29+'Inputs'!$B$31+'Inputs'!$B$32,'Inputs'!$B$30+'Inputs'!$B$31+'Inputs'!$B$32)/1000+'Inputs'!$B$21+'Inputs'!$B$9+'Inputs'!$B$10))^2+('Inputs'!$B$6/2)^2))))*'Results'!$B$8))),"")</x:f>
        <x:v>109.92128890026972</x:v>
      </x:c>
      <x:c r="P218" t="n">
        <x:f>IF(AND(MAX(J218,J217)&gt;0,J218&gt;J217+0.00000001),1,0)</x:f>
        <x:v>0</x:v>
      </x:c>
      <x:c r="Q218" t="n">
        <x:f>IF(AND(MAX(K218,K217)&gt;0,K218&gt;K217+0.00000001),1,0)</x:f>
        <x:v>0</x:v>
      </x:c>
      <x:c r="R218" t="n">
        <x:f>IF(AND(MAX(L218,L217)&gt;0,L218&gt;L217+0.00000001),1,0)</x:f>
        <x:v>0</x:v>
      </x:c>
      <x:c r="S218" t="n">
        <x:f>IF(AND(MAX(M218,M217)&gt;0,M218&gt;M217+0.00000001),1,0)</x:f>
        <x:v>0</x:v>
      </x:c>
      <x:c r="T218" t="n">
        <x:f>IF(AND(MAX(N218,N217)&gt;0,N218&gt;N217+0.00000001),1,0)</x:f>
        <x:v>0</x:v>
      </x:c>
      <x:c r="U218" t="n">
        <x:f>IF(AND(MAX(O218,O217)&gt;0,O218&gt;O217+0.00000001),1,0)</x:f>
        <x:v>0</x:v>
      </x:c>
    </x:row>
    <x:row r="219">
      <x:c r="J219" t="n">
        <x:f>IF(AND(ISNUMBER('Results'!B7),ISNUMBER('Results'!C7),ISNUMBER('Results'!$B$8),ISNUMBER('Inputs'!$B$6),ISNUMBER('Inputs'!$B$7),ISNUMBER('Inputs'!$B$8),ISNUMBER('Inputs'!$B$9),ISNUMBER('Inputs'!$B$10),ISNUMBER('Inputs'!$B$21),ISNUMBER('Inputs'!$B$24),ISNUMBER('Inputs'!$B$28)),(('Results'!B7*(0.5*((((219-43)*MAX('Inputs'!$B$33,'Inputs'!$B$29+'Inputs'!$B$31+'Inputs'!$B$32,'Inputs'!$B$30+'Inputs'!$B$31+'Inputs'!$B$32)/1000+'Inputs'!$B$21)+'Inputs'!$B$7)/SQRT((((219-43)*MAX('Inputs'!$B$33,'Inputs'!$B$29+'Inputs'!$B$31+'Inputs'!$B$32,'Inputs'!$B$30+'Inputs'!$B$31+'Inputs'!$B$32)/1000+'Inputs'!$B$21)+'Inputs'!$B$7)^2+('Inputs'!$B$6/2)^2)-(((219-43)*MAX('Inputs'!$B$33,'Inputs'!$B$29+'Inputs'!$B$31+'Inputs'!$B$32,'Inputs'!$B$30+'Inputs'!$B$31+'Inputs'!$B$32)/1000+'Inputs'!$B$21))/SQRT((((219-43)*MAX('Inputs'!$B$33,'Inputs'!$B$29+'Inputs'!$B$31+'Inputs'!$B$32,'Inputs'!$B$30+'Inputs'!$B$31+'Inputs'!$B$32)/1000+'Inputs'!$B$21))^2+('Inputs'!$B$6/2)^2)))-'Results'!C7*(0.5*((((219-43)*MAX('Inputs'!$B$33,'Inputs'!$B$29+'Inputs'!$B$31+'Inputs'!$B$32,'Inputs'!$B$30+'Inputs'!$B$31+'Inputs'!$B$32)/1000+'Inputs'!$B$21+'Inputs'!$B$7+'Inputs'!$B$10)+'Inputs'!$B$9)/SQRT((((219-43)*MAX('Inputs'!$B$33,'Inputs'!$B$29+'Inputs'!$B$31+'Inputs'!$B$32,'Inputs'!$B$30+'Inputs'!$B$31+'Inputs'!$B$32)/1000+'Inputs'!$B$21+'Inputs'!$B$7+'Inputs'!$B$10)+'Inputs'!$B$9)^2+('Inputs'!$B$8/2)^2)-(((219-43)*MAX('Inputs'!$B$33,'Inputs'!$B$29+'Inputs'!$B$31+'Inputs'!$B$32,'Inputs'!$B$30+'Inputs'!$B$31+'Inputs'!$B$32)/1000+'Inputs'!$B$21+'Inputs'!$B$7+'Inputs'!$B$10))/SQRT((((219-43)*MAX('Inputs'!$B$33,'Inputs'!$B$29+'Inputs'!$B$31+'Inputs'!$B$32,'Inputs'!$B$30+'Inputs'!$B$31+'Inputs'!$B$32)/1000+'Inputs'!$B$21+'Inputs'!$B$7+'Inputs'!$B$10))^2+('Inputs'!$B$8/2)^2))))*'Results'!$B$8),"")</x:f>
        <x:v>103.19730963344541</x:v>
      </x:c>
      <x:c r="K219" t="n">
        <x:f>IF(AND(ISNUMBER('Results'!B7),ISNUMBER('Results'!C7),ISNUMBER('Results'!$B$8),ISNUMBER('Inputs'!$B$6),ISNUMBER('Inputs'!$B$7),ISNUMBER('Inputs'!$B$8),ISNUMBER('Inputs'!$B$9),ISNUMBER('Inputs'!$B$10),ISNUMBER('Inputs'!$B$21),ISNUMBER('Inputs'!$B$24),ISNUMBER('Inputs'!$B$28)),((('Results'!B7*(1-'Inputs'!$B$24)*(0.5*((((219-43)*MAX('Inputs'!$B$33,'Inputs'!$B$29+'Inputs'!$B$31+'Inputs'!$B$32,'Inputs'!$B$30+'Inputs'!$B$31+'Inputs'!$B$32)/1000+'Inputs'!$B$21)+'Inputs'!$B$7)/SQRT((((219-43)*MAX('Inputs'!$B$33,'Inputs'!$B$29+'Inputs'!$B$31+'Inputs'!$B$32,'Inputs'!$B$30+'Inputs'!$B$31+'Inputs'!$B$32)/1000+'Inputs'!$B$21)+'Inputs'!$B$7)^2+('Inputs'!$B$6/2)^2)-(((219-43)*MAX('Inputs'!$B$33,'Inputs'!$B$29+'Inputs'!$B$31+'Inputs'!$B$32,'Inputs'!$B$30+'Inputs'!$B$31+'Inputs'!$B$32)/1000+'Inputs'!$B$21))/SQRT((((219-43)*MAX('Inputs'!$B$33,'Inputs'!$B$29+'Inputs'!$B$31+'Inputs'!$B$32,'Inputs'!$B$30+'Inputs'!$B$31+'Inputs'!$B$32)/1000+'Inputs'!$B$21))^2+('Inputs'!$B$6/2)^2)))-'Results'!C7*(1+'Inputs'!$B$24)*(0.5*((((219-43)*MAX('Inputs'!$B$33,'Inputs'!$B$29+'Inputs'!$B$31+'Inputs'!$B$32,'Inputs'!$B$30+'Inputs'!$B$31+'Inputs'!$B$32)/1000+'Inputs'!$B$21+'Inputs'!$B$7+'Inputs'!$B$10)+'Inputs'!$B$9)/SQRT((((219-43)*MAX('Inputs'!$B$33,'Inputs'!$B$29+'Inputs'!$B$31+'Inputs'!$B$32,'Inputs'!$B$30+'Inputs'!$B$31+'Inputs'!$B$32)/1000+'Inputs'!$B$21+'Inputs'!$B$7+'Inputs'!$B$10)+'Inputs'!$B$9)^2+('Inputs'!$B$8/2)^2)-(((219-43)*MAX('Inputs'!$B$33,'Inputs'!$B$29+'Inputs'!$B$31+'Inputs'!$B$32,'Inputs'!$B$30+'Inputs'!$B$31+'Inputs'!$B$32)/1000+'Inputs'!$B$21+'Inputs'!$B$7+'Inputs'!$B$10))/SQRT((((219-43)*MAX('Inputs'!$B$33,'Inputs'!$B$29+'Inputs'!$B$31+'Inputs'!$B$32,'Inputs'!$B$30+'Inputs'!$B$31+'Inputs'!$B$32)/1000+'Inputs'!$B$21+'Inputs'!$B$7+'Inputs'!$B$10))^2+('Inputs'!$B$8/2)^2))))*'Results'!$B$8)-'Inputs'!$B$28*ABS((('Results'!B7*(1-'Inputs'!$B$24)*(0.5*((((219-43)*MAX('Inputs'!$B$33,'Inputs'!$B$29+'Inputs'!$B$31+'Inputs'!$B$32,'Inputs'!$B$30+'Inputs'!$B$31+'Inputs'!$B$32)/1000+'Inputs'!$B$21)+'Inputs'!$B$7)/SQRT((((219-43)*MAX('Inputs'!$B$33,'Inputs'!$B$29+'Inputs'!$B$31+'Inputs'!$B$32,'Inputs'!$B$30+'Inputs'!$B$31+'Inputs'!$B$32)/1000+'Inputs'!$B$21)+'Inputs'!$B$7)^2+('Inputs'!$B$6/2)^2)-(((219-43)*MAX('Inputs'!$B$33,'Inputs'!$B$29+'Inputs'!$B$31+'Inputs'!$B$32,'Inputs'!$B$30+'Inputs'!$B$31+'Inputs'!$B$32)/1000+'Inputs'!$B$21))/SQRT((((219-43)*MAX('Inputs'!$B$33,'Inputs'!$B$29+'Inputs'!$B$31+'Inputs'!$B$32,'Inputs'!$B$30+'Inputs'!$B$31+'Inputs'!$B$32)/1000+'Inputs'!$B$21))^2+('Inputs'!$B$6/2)^2)))-'Results'!C7*(1+'Inputs'!$B$24)*(0.5*((((219-43)*MAX('Inputs'!$B$33,'Inputs'!$B$29+'Inputs'!$B$31+'Inputs'!$B$32,'Inputs'!$B$30+'Inputs'!$B$31+'Inputs'!$B$32)/1000+'Inputs'!$B$21+'Inputs'!$B$7+'Inputs'!$B$10)+'Inputs'!$B$9)/SQRT((((219-43)*MAX('Inputs'!$B$33,'Inputs'!$B$29+'Inputs'!$B$31+'Inputs'!$B$32,'Inputs'!$B$30+'Inputs'!$B$31+'Inputs'!$B$32)/1000+'Inputs'!$B$21+'Inputs'!$B$7+'Inputs'!$B$10)+'Inputs'!$B$9)^2+('Inputs'!$B$8/2)^2)-(((219-43)*MAX('Inputs'!$B$33,'Inputs'!$B$29+'Inputs'!$B$31+'Inputs'!$B$32,'Inputs'!$B$30+'Inputs'!$B$31+'Inputs'!$B$32)/1000+'Inputs'!$B$21+'Inputs'!$B$7+'Inputs'!$B$10))/SQRT((((219-43)*MAX('Inputs'!$B$33,'Inputs'!$B$29+'Inputs'!$B$31+'Inputs'!$B$32,'Inputs'!$B$30+'Inputs'!$B$31+'Inputs'!$B$32)/1000+'Inputs'!$B$21+'Inputs'!$B$7+'Inputs'!$B$10))^2+('Inputs'!$B$8/2)^2))))*'Results'!$B$8))),"")</x:f>
        <x:v>94.56095386849226</x:v>
      </x:c>
      <x:c r="L219" t="n">
        <x:f>IF(AND(ISNUMBER('Results'!B7),ISNUMBER('Results'!C7),ISNUMBER('Results'!$B$8),ISNUMBER('Inputs'!$B$6),ISNUMBER('Inputs'!$B$7),ISNUMBER('Inputs'!$B$8),ISNUMBER('Inputs'!$B$9),ISNUMBER('Inputs'!$B$10),ISNUMBER('Inputs'!$B$21),ISNUMBER('Inputs'!$B$24),ISNUMBER('Inputs'!$B$28)),((('Results'!B7*(1+'Inputs'!$B$24)*(0.5*((((219-43)*MAX('Inputs'!$B$33,'Inputs'!$B$29+'Inputs'!$B$31+'Inputs'!$B$32,'Inputs'!$B$30+'Inputs'!$B$31+'Inputs'!$B$32)/1000+'Inputs'!$B$21)+'Inputs'!$B$7)/SQRT((((219-43)*MAX('Inputs'!$B$33,'Inputs'!$B$29+'Inputs'!$B$31+'Inputs'!$B$32,'Inputs'!$B$30+'Inputs'!$B$31+'Inputs'!$B$32)/1000+'Inputs'!$B$21)+'Inputs'!$B$7)^2+('Inputs'!$B$6/2)^2)-(((219-43)*MAX('Inputs'!$B$33,'Inputs'!$B$29+'Inputs'!$B$31+'Inputs'!$B$32,'Inputs'!$B$30+'Inputs'!$B$31+'Inputs'!$B$32)/1000+'Inputs'!$B$21))/SQRT((((219-43)*MAX('Inputs'!$B$33,'Inputs'!$B$29+'Inputs'!$B$31+'Inputs'!$B$32,'Inputs'!$B$30+'Inputs'!$B$31+'Inputs'!$B$32)/1000+'Inputs'!$B$21))^2+('Inputs'!$B$6/2)^2)))-'Results'!C7*(1-'Inputs'!$B$24)*(0.5*((((219-43)*MAX('Inputs'!$B$33,'Inputs'!$B$29+'Inputs'!$B$31+'Inputs'!$B$32,'Inputs'!$B$30+'Inputs'!$B$31+'Inputs'!$B$32)/1000+'Inputs'!$B$21+'Inputs'!$B$7+'Inputs'!$B$10)+'Inputs'!$B$9)/SQRT((((219-43)*MAX('Inputs'!$B$33,'Inputs'!$B$29+'Inputs'!$B$31+'Inputs'!$B$32,'Inputs'!$B$30+'Inputs'!$B$31+'Inputs'!$B$32)/1000+'Inputs'!$B$21+'Inputs'!$B$7+'Inputs'!$B$10)+'Inputs'!$B$9)^2+('Inputs'!$B$8/2)^2)-(((219-43)*MAX('Inputs'!$B$33,'Inputs'!$B$29+'Inputs'!$B$31+'Inputs'!$B$32,'Inputs'!$B$30+'Inputs'!$B$31+'Inputs'!$B$32)/1000+'Inputs'!$B$21+'Inputs'!$B$7+'Inputs'!$B$10))/SQRT((((219-43)*MAX('Inputs'!$B$33,'Inputs'!$B$29+'Inputs'!$B$31+'Inputs'!$B$32,'Inputs'!$B$30+'Inputs'!$B$31+'Inputs'!$B$32)/1000+'Inputs'!$B$21+'Inputs'!$B$7+'Inputs'!$B$10))^2+('Inputs'!$B$8/2)^2))))*'Results'!$B$8)+'Inputs'!$B$28*ABS((('Results'!B7*(1+'Inputs'!$B$24)*(0.5*((((219-43)*MAX('Inputs'!$B$33,'Inputs'!$B$29+'Inputs'!$B$31+'Inputs'!$B$32,'Inputs'!$B$30+'Inputs'!$B$31+'Inputs'!$B$32)/1000+'Inputs'!$B$21)+'Inputs'!$B$7)/SQRT((((219-43)*MAX('Inputs'!$B$33,'Inputs'!$B$29+'Inputs'!$B$31+'Inputs'!$B$32,'Inputs'!$B$30+'Inputs'!$B$31+'Inputs'!$B$32)/1000+'Inputs'!$B$21)+'Inputs'!$B$7)^2+('Inputs'!$B$6/2)^2)-(((219-43)*MAX('Inputs'!$B$33,'Inputs'!$B$29+'Inputs'!$B$31+'Inputs'!$B$32,'Inputs'!$B$30+'Inputs'!$B$31+'Inputs'!$B$32)/1000+'Inputs'!$B$21))/SQRT((((219-43)*MAX('Inputs'!$B$33,'Inputs'!$B$29+'Inputs'!$B$31+'Inputs'!$B$32,'Inputs'!$B$30+'Inputs'!$B$31+'Inputs'!$B$32)/1000+'Inputs'!$B$21))^2+('Inputs'!$B$6/2)^2)))-'Results'!C7*(1-'Inputs'!$B$24)*(0.5*((((219-43)*MAX('Inputs'!$B$33,'Inputs'!$B$29+'Inputs'!$B$31+'Inputs'!$B$32,'Inputs'!$B$30+'Inputs'!$B$31+'Inputs'!$B$32)/1000+'Inputs'!$B$21+'Inputs'!$B$7+'Inputs'!$B$10)+'Inputs'!$B$9)/SQRT((((219-43)*MAX('Inputs'!$B$33,'Inputs'!$B$29+'Inputs'!$B$31+'Inputs'!$B$32,'Inputs'!$B$30+'Inputs'!$B$31+'Inputs'!$B$32)/1000+'Inputs'!$B$21+'Inputs'!$B$7+'Inputs'!$B$10)+'Inputs'!$B$9)^2+('Inputs'!$B$8/2)^2)-(((219-43)*MAX('Inputs'!$B$33,'Inputs'!$B$29+'Inputs'!$B$31+'Inputs'!$B$32,'Inputs'!$B$30+'Inputs'!$B$31+'Inputs'!$B$32)/1000+'Inputs'!$B$21+'Inputs'!$B$7+'Inputs'!$B$10))/SQRT((((219-43)*MAX('Inputs'!$B$33,'Inputs'!$B$29+'Inputs'!$B$31+'Inputs'!$B$32,'Inputs'!$B$30+'Inputs'!$B$31+'Inputs'!$B$32)/1000+'Inputs'!$B$21+'Inputs'!$B$7+'Inputs'!$B$10))^2+('Inputs'!$B$8/2)^2))))*'Results'!$B$8))),"")</x:f>
        <x:v>112.19961174400709</x:v>
      </x:c>
      <x:c r="M219" t="n">
        <x:f>IF(AND(ISNUMBER('Results'!C7),ISNUMBER('Results'!B7),ISNUMBER('Results'!$B$8),ISNUMBER('Inputs'!$B$6),ISNUMBER('Inputs'!$B$7),ISNUMBER('Inputs'!$B$8),ISNUMBER('Inputs'!$B$9),ISNUMBER('Inputs'!$B$10),ISNUMBER('Inputs'!$B$21),ISNUMBER('Inputs'!$B$24),ISNUMBER('Inputs'!$B$28)),(('Results'!C7*(0.5*((((219-43)*MAX('Inputs'!$B$33,'Inputs'!$B$29+'Inputs'!$B$31+'Inputs'!$B$32,'Inputs'!$B$30+'Inputs'!$B$31+'Inputs'!$B$32)/1000+'Inputs'!$B$21)+'Inputs'!$B$9)/SQRT((((219-43)*MAX('Inputs'!$B$33,'Inputs'!$B$29+'Inputs'!$B$31+'Inputs'!$B$32,'Inputs'!$B$30+'Inputs'!$B$31+'Inputs'!$B$32)/1000+'Inputs'!$B$21)+'Inputs'!$B$9)^2+('Inputs'!$B$8/2)^2)-(((219-43)*MAX('Inputs'!$B$33,'Inputs'!$B$29+'Inputs'!$B$31+'Inputs'!$B$32,'Inputs'!$B$30+'Inputs'!$B$31+'Inputs'!$B$32)/1000+'Inputs'!$B$21))/SQRT((((219-43)*MAX('Inputs'!$B$33,'Inputs'!$B$29+'Inputs'!$B$31+'Inputs'!$B$32,'Inputs'!$B$30+'Inputs'!$B$31+'Inputs'!$B$32)/1000+'Inputs'!$B$21))^2+('Inputs'!$B$8/2)^2)))-'Results'!B7*(0.5*((((219-43)*MAX('Inputs'!$B$33,'Inputs'!$B$29+'Inputs'!$B$31+'Inputs'!$B$32,'Inputs'!$B$30+'Inputs'!$B$31+'Inputs'!$B$32)/1000+'Inputs'!$B$21+'Inputs'!$B$9+'Inputs'!$B$10)+'Inputs'!$B$7)/SQRT((((219-43)*MAX('Inputs'!$B$33,'Inputs'!$B$29+'Inputs'!$B$31+'Inputs'!$B$32,'Inputs'!$B$30+'Inputs'!$B$31+'Inputs'!$B$32)/1000+'Inputs'!$B$21+'Inputs'!$B$9+'Inputs'!$B$10)+'Inputs'!$B$7)^2+('Inputs'!$B$6/2)^2)-(((219-43)*MAX('Inputs'!$B$33,'Inputs'!$B$29+'Inputs'!$B$31+'Inputs'!$B$32,'Inputs'!$B$30+'Inputs'!$B$31+'Inputs'!$B$32)/1000+'Inputs'!$B$21+'Inputs'!$B$9+'Inputs'!$B$10))/SQRT((((219-43)*MAX('Inputs'!$B$33,'Inputs'!$B$29+'Inputs'!$B$31+'Inputs'!$B$32,'Inputs'!$B$30+'Inputs'!$B$31+'Inputs'!$B$32)/1000+'Inputs'!$B$21+'Inputs'!$B$9+'Inputs'!$B$10))^2+('Inputs'!$B$6/2)^2))))*'Results'!$B$8),"")</x:f>
        <x:v>99.52156538895807</x:v>
      </x:c>
      <x:c r="N219" t="n">
        <x:f>IF(AND(ISNUMBER('Results'!C7),ISNUMBER('Results'!B7),ISNUMBER('Results'!$B$8),ISNUMBER('Inputs'!$B$6),ISNUMBER('Inputs'!$B$7),ISNUMBER('Inputs'!$B$8),ISNUMBER('Inputs'!$B$9),ISNUMBER('Inputs'!$B$10),ISNUMBER('Inputs'!$B$21),ISNUMBER('Inputs'!$B$24),ISNUMBER('Inputs'!$B$28)),((('Results'!C7*(1-'Inputs'!$B$24)*(0.5*((((219-43)*MAX('Inputs'!$B$33,'Inputs'!$B$29+'Inputs'!$B$31+'Inputs'!$B$32,'Inputs'!$B$30+'Inputs'!$B$31+'Inputs'!$B$32)/1000+'Inputs'!$B$21)+'Inputs'!$B$9)/SQRT((((219-43)*MAX('Inputs'!$B$33,'Inputs'!$B$29+'Inputs'!$B$31+'Inputs'!$B$32,'Inputs'!$B$30+'Inputs'!$B$31+'Inputs'!$B$32)/1000+'Inputs'!$B$21)+'Inputs'!$B$9)^2+('Inputs'!$B$8/2)^2)-(((219-43)*MAX('Inputs'!$B$33,'Inputs'!$B$29+'Inputs'!$B$31+'Inputs'!$B$32,'Inputs'!$B$30+'Inputs'!$B$31+'Inputs'!$B$32)/1000+'Inputs'!$B$21))/SQRT((((219-43)*MAX('Inputs'!$B$33,'Inputs'!$B$29+'Inputs'!$B$31+'Inputs'!$B$32,'Inputs'!$B$30+'Inputs'!$B$31+'Inputs'!$B$32)/1000+'Inputs'!$B$21))^2+('Inputs'!$B$8/2)^2)))-'Results'!B7*(1+'Inputs'!$B$24)*(0.5*((((219-43)*MAX('Inputs'!$B$33,'Inputs'!$B$29+'Inputs'!$B$31+'Inputs'!$B$32,'Inputs'!$B$30+'Inputs'!$B$31+'Inputs'!$B$32)/1000+'Inputs'!$B$21+'Inputs'!$B$9+'Inputs'!$B$10)+'Inputs'!$B$7)/SQRT((((219-43)*MAX('Inputs'!$B$33,'Inputs'!$B$29+'Inputs'!$B$31+'Inputs'!$B$32,'Inputs'!$B$30+'Inputs'!$B$31+'Inputs'!$B$32)/1000+'Inputs'!$B$21+'Inputs'!$B$9+'Inputs'!$B$10)+'Inputs'!$B$7)^2+('Inputs'!$B$6/2)^2)-(((219-43)*MAX('Inputs'!$B$33,'Inputs'!$B$29+'Inputs'!$B$31+'Inputs'!$B$32,'Inputs'!$B$30+'Inputs'!$B$31+'Inputs'!$B$32)/1000+'Inputs'!$B$21+'Inputs'!$B$9+'Inputs'!$B$10))/SQRT((((219-43)*MAX('Inputs'!$B$33,'Inputs'!$B$29+'Inputs'!$B$31+'Inputs'!$B$32,'Inputs'!$B$30+'Inputs'!$B$31+'Inputs'!$B$32)/1000+'Inputs'!$B$21+'Inputs'!$B$9+'Inputs'!$B$10))^2+('Inputs'!$B$6/2)^2))))*'Results'!$B$8)-'Inputs'!$B$28*ABS((('Results'!C7*(1-'Inputs'!$B$24)*(0.5*((((219-43)*MAX('Inputs'!$B$33,'Inputs'!$B$29+'Inputs'!$B$31+'Inputs'!$B$32,'Inputs'!$B$30+'Inputs'!$B$31+'Inputs'!$B$32)/1000+'Inputs'!$B$21)+'Inputs'!$B$9)/SQRT((((219-43)*MAX('Inputs'!$B$33,'Inputs'!$B$29+'Inputs'!$B$31+'Inputs'!$B$32,'Inputs'!$B$30+'Inputs'!$B$31+'Inputs'!$B$32)/1000+'Inputs'!$B$21)+'Inputs'!$B$9)^2+('Inputs'!$B$8/2)^2)-(((219-43)*MAX('Inputs'!$B$33,'Inputs'!$B$29+'Inputs'!$B$31+'Inputs'!$B$32,'Inputs'!$B$30+'Inputs'!$B$31+'Inputs'!$B$32)/1000+'Inputs'!$B$21))/SQRT((((219-43)*MAX('Inputs'!$B$33,'Inputs'!$B$29+'Inputs'!$B$31+'Inputs'!$B$32,'Inputs'!$B$30+'Inputs'!$B$31+'Inputs'!$B$32)/1000+'Inputs'!$B$21))^2+('Inputs'!$B$8/2)^2)))-'Results'!B7*(1+'Inputs'!$B$24)*(0.5*((((219-43)*MAX('Inputs'!$B$33,'Inputs'!$B$29+'Inputs'!$B$31+'Inputs'!$B$32,'Inputs'!$B$30+'Inputs'!$B$31+'Inputs'!$B$32)/1000+'Inputs'!$B$21+'Inputs'!$B$9+'Inputs'!$B$10)+'Inputs'!$B$7)/SQRT((((219-43)*MAX('Inputs'!$B$33,'Inputs'!$B$29+'Inputs'!$B$31+'Inputs'!$B$32,'Inputs'!$B$30+'Inputs'!$B$31+'Inputs'!$B$32)/1000+'Inputs'!$B$21+'Inputs'!$B$9+'Inputs'!$B$10)+'Inputs'!$B$7)^2+('Inputs'!$B$6/2)^2)-(((219-43)*MAX('Inputs'!$B$33,'Inputs'!$B$29+'Inputs'!$B$31+'Inputs'!$B$32,'Inputs'!$B$30+'Inputs'!$B$31+'Inputs'!$B$32)/1000+'Inputs'!$B$21+'Inputs'!$B$9+'Inputs'!$B$10))/SQRT((((219-43)*MAX('Inputs'!$B$33,'Inputs'!$B$29+'Inputs'!$B$31+'Inputs'!$B$32,'Inputs'!$B$30+'Inputs'!$B$31+'Inputs'!$B$32)/1000+'Inputs'!$B$21+'Inputs'!$B$9+'Inputs'!$B$10))^2+('Inputs'!$B$6/2)^2))))*'Results'!$B$8))),"")</x:f>
        <x:v>91.1079024789103</x:v>
      </x:c>
      <x:c r="O219" t="n">
        <x:f>IF(AND(ISNUMBER('Results'!C7),ISNUMBER('Results'!B7),ISNUMBER('Results'!$B$8),ISNUMBER('Inputs'!$B$6),ISNUMBER('Inputs'!$B$7),ISNUMBER('Inputs'!$B$8),ISNUMBER('Inputs'!$B$9),ISNUMBER('Inputs'!$B$10),ISNUMBER('Inputs'!$B$21),ISNUMBER('Inputs'!$B$24),ISNUMBER('Inputs'!$B$28)),((('Results'!C7*(1+'Inputs'!$B$24)*(0.5*((((219-43)*MAX('Inputs'!$B$33,'Inputs'!$B$29+'Inputs'!$B$31+'Inputs'!$B$32,'Inputs'!$B$30+'Inputs'!$B$31+'Inputs'!$B$32)/1000+'Inputs'!$B$21)+'Inputs'!$B$9)/SQRT((((219-43)*MAX('Inputs'!$B$33,'Inputs'!$B$29+'Inputs'!$B$31+'Inputs'!$B$32,'Inputs'!$B$30+'Inputs'!$B$31+'Inputs'!$B$32)/1000+'Inputs'!$B$21)+'Inputs'!$B$9)^2+('Inputs'!$B$8/2)^2)-(((219-43)*MAX('Inputs'!$B$33,'Inputs'!$B$29+'Inputs'!$B$31+'Inputs'!$B$32,'Inputs'!$B$30+'Inputs'!$B$31+'Inputs'!$B$32)/1000+'Inputs'!$B$21))/SQRT((((219-43)*MAX('Inputs'!$B$33,'Inputs'!$B$29+'Inputs'!$B$31+'Inputs'!$B$32,'Inputs'!$B$30+'Inputs'!$B$31+'Inputs'!$B$32)/1000+'Inputs'!$B$21))^2+('Inputs'!$B$8/2)^2)))-'Results'!B7*(1-'Inputs'!$B$24)*(0.5*((((219-43)*MAX('Inputs'!$B$33,'Inputs'!$B$29+'Inputs'!$B$31+'Inputs'!$B$32,'Inputs'!$B$30+'Inputs'!$B$31+'Inputs'!$B$32)/1000+'Inputs'!$B$21+'Inputs'!$B$9+'Inputs'!$B$10)+'Inputs'!$B$7)/SQRT((((219-43)*MAX('Inputs'!$B$33,'Inputs'!$B$29+'Inputs'!$B$31+'Inputs'!$B$32,'Inputs'!$B$30+'Inputs'!$B$31+'Inputs'!$B$32)/1000+'Inputs'!$B$21+'Inputs'!$B$9+'Inputs'!$B$10)+'Inputs'!$B$7)^2+('Inputs'!$B$6/2)^2)-(((219-43)*MAX('Inputs'!$B$33,'Inputs'!$B$29+'Inputs'!$B$31+'Inputs'!$B$32,'Inputs'!$B$30+'Inputs'!$B$31+'Inputs'!$B$32)/1000+'Inputs'!$B$21+'Inputs'!$B$9+'Inputs'!$B$10))/SQRT((((219-43)*MAX('Inputs'!$B$33,'Inputs'!$B$29+'Inputs'!$B$31+'Inputs'!$B$32,'Inputs'!$B$30+'Inputs'!$B$31+'Inputs'!$B$32)/1000+'Inputs'!$B$21+'Inputs'!$B$9+'Inputs'!$B$10))^2+('Inputs'!$B$6/2)^2))))*'Results'!$B$8)+'Inputs'!$B$28*ABS((('Results'!C7*(1+'Inputs'!$B$24)*(0.5*((((219-43)*MAX('Inputs'!$B$33,'Inputs'!$B$29+'Inputs'!$B$31+'Inputs'!$B$32,'Inputs'!$B$30+'Inputs'!$B$31+'Inputs'!$B$32)/1000+'Inputs'!$B$21)+'Inputs'!$B$9)/SQRT((((219-43)*MAX('Inputs'!$B$33,'Inputs'!$B$29+'Inputs'!$B$31+'Inputs'!$B$32,'Inputs'!$B$30+'Inputs'!$B$31+'Inputs'!$B$32)/1000+'Inputs'!$B$21)+'Inputs'!$B$9)^2+('Inputs'!$B$8/2)^2)-(((219-43)*MAX('Inputs'!$B$33,'Inputs'!$B$29+'Inputs'!$B$31+'Inputs'!$B$32,'Inputs'!$B$30+'Inputs'!$B$31+'Inputs'!$B$32)/1000+'Inputs'!$B$21))/SQRT((((219-43)*MAX('Inputs'!$B$33,'Inputs'!$B$29+'Inputs'!$B$31+'Inputs'!$B$32,'Inputs'!$B$30+'Inputs'!$B$31+'Inputs'!$B$32)/1000+'Inputs'!$B$21))^2+('Inputs'!$B$8/2)^2)))-'Results'!B7*(1-'Inputs'!$B$24)*(0.5*((((219-43)*MAX('Inputs'!$B$33,'Inputs'!$B$29+'Inputs'!$B$31+'Inputs'!$B$32,'Inputs'!$B$30+'Inputs'!$B$31+'Inputs'!$B$32)/1000+'Inputs'!$B$21+'Inputs'!$B$9+'Inputs'!$B$10)+'Inputs'!$B$7)/SQRT((((219-43)*MAX('Inputs'!$B$33,'Inputs'!$B$29+'Inputs'!$B$31+'Inputs'!$B$32,'Inputs'!$B$30+'Inputs'!$B$31+'Inputs'!$B$32)/1000+'Inputs'!$B$21+'Inputs'!$B$9+'Inputs'!$B$10)+'Inputs'!$B$7)^2+('Inputs'!$B$6/2)^2)-(((219-43)*MAX('Inputs'!$B$33,'Inputs'!$B$29+'Inputs'!$B$31+'Inputs'!$B$32,'Inputs'!$B$30+'Inputs'!$B$31+'Inputs'!$B$32)/1000+'Inputs'!$B$21+'Inputs'!$B$9+'Inputs'!$B$10))/SQRT((((219-43)*MAX('Inputs'!$B$33,'Inputs'!$B$29+'Inputs'!$B$31+'Inputs'!$B$32,'Inputs'!$B$30+'Inputs'!$B$31+'Inputs'!$B$32)/1000+'Inputs'!$B$21+'Inputs'!$B$9+'Inputs'!$B$10))^2+('Inputs'!$B$6/2)^2))))*'Results'!$B$8))),"")</x:f>
        <x:v>108.2970793138058</x:v>
      </x:c>
      <x:c r="P219" t="n">
        <x:f>IF(AND(MAX(J219,J218)&gt;0,J219&gt;J218+0.00000001),1,0)</x:f>
        <x:v>0</x:v>
      </x:c>
      <x:c r="Q219" t="n">
        <x:f>IF(AND(MAX(K219,K218)&gt;0,K219&gt;K218+0.00000001),1,0)</x:f>
        <x:v>0</x:v>
      </x:c>
      <x:c r="R219" t="n">
        <x:f>IF(AND(MAX(L219,L218)&gt;0,L219&gt;L218+0.00000001),1,0)</x:f>
        <x:v>0</x:v>
      </x:c>
      <x:c r="S219" t="n">
        <x:f>IF(AND(MAX(M219,M218)&gt;0,M219&gt;M218+0.00000001),1,0)</x:f>
        <x:v>0</x:v>
      </x:c>
      <x:c r="T219" t="n">
        <x:f>IF(AND(MAX(N219,N218)&gt;0,N219&gt;N218+0.00000001),1,0)</x:f>
        <x:v>0</x:v>
      </x:c>
      <x:c r="U219" t="n">
        <x:f>IF(AND(MAX(O219,O218)&gt;0,O219&gt;O218+0.00000001),1,0)</x:f>
        <x:v>0</x:v>
      </x:c>
    </x:row>
    <x:row r="220">
      <x:c r="J220" t="n">
        <x:f>IF(AND(ISNUMBER('Results'!B7),ISNUMBER('Results'!C7),ISNUMBER('Results'!$B$8),ISNUMBER('Inputs'!$B$6),ISNUMBER('Inputs'!$B$7),ISNUMBER('Inputs'!$B$8),ISNUMBER('Inputs'!$B$9),ISNUMBER('Inputs'!$B$10),ISNUMBER('Inputs'!$B$21),ISNUMBER('Inputs'!$B$24),ISNUMBER('Inputs'!$B$28)),(('Results'!B7*(0.5*((((220-43)*MAX('Inputs'!$B$33,'Inputs'!$B$29+'Inputs'!$B$31+'Inputs'!$B$32,'Inputs'!$B$30+'Inputs'!$B$31+'Inputs'!$B$32)/1000+'Inputs'!$B$21)+'Inputs'!$B$7)/SQRT((((220-43)*MAX('Inputs'!$B$33,'Inputs'!$B$29+'Inputs'!$B$31+'Inputs'!$B$32,'Inputs'!$B$30+'Inputs'!$B$31+'Inputs'!$B$32)/1000+'Inputs'!$B$21)+'Inputs'!$B$7)^2+('Inputs'!$B$6/2)^2)-(((220-43)*MAX('Inputs'!$B$33,'Inputs'!$B$29+'Inputs'!$B$31+'Inputs'!$B$32,'Inputs'!$B$30+'Inputs'!$B$31+'Inputs'!$B$32)/1000+'Inputs'!$B$21))/SQRT((((220-43)*MAX('Inputs'!$B$33,'Inputs'!$B$29+'Inputs'!$B$31+'Inputs'!$B$32,'Inputs'!$B$30+'Inputs'!$B$31+'Inputs'!$B$32)/1000+'Inputs'!$B$21))^2+('Inputs'!$B$6/2)^2)))-'Results'!C7*(0.5*((((220-43)*MAX('Inputs'!$B$33,'Inputs'!$B$29+'Inputs'!$B$31+'Inputs'!$B$32,'Inputs'!$B$30+'Inputs'!$B$31+'Inputs'!$B$32)/1000+'Inputs'!$B$21+'Inputs'!$B$7+'Inputs'!$B$10)+'Inputs'!$B$9)/SQRT((((220-43)*MAX('Inputs'!$B$33,'Inputs'!$B$29+'Inputs'!$B$31+'Inputs'!$B$32,'Inputs'!$B$30+'Inputs'!$B$31+'Inputs'!$B$32)/1000+'Inputs'!$B$21+'Inputs'!$B$7+'Inputs'!$B$10)+'Inputs'!$B$9)^2+('Inputs'!$B$8/2)^2)-(((220-43)*MAX('Inputs'!$B$33,'Inputs'!$B$29+'Inputs'!$B$31+'Inputs'!$B$32,'Inputs'!$B$30+'Inputs'!$B$31+'Inputs'!$B$32)/1000+'Inputs'!$B$21+'Inputs'!$B$7+'Inputs'!$B$10))/SQRT((((220-43)*MAX('Inputs'!$B$33,'Inputs'!$B$29+'Inputs'!$B$31+'Inputs'!$B$32,'Inputs'!$B$30+'Inputs'!$B$31+'Inputs'!$B$32)/1000+'Inputs'!$B$21+'Inputs'!$B$7+'Inputs'!$B$10))^2+('Inputs'!$B$8/2)^2))))*'Results'!$B$8),"")</x:f>
        <x:v>101.67749280260026</x:v>
      </x:c>
      <x:c r="K220" t="n">
        <x:f>IF(AND(ISNUMBER('Results'!B7),ISNUMBER('Results'!C7),ISNUMBER('Results'!$B$8),ISNUMBER('Inputs'!$B$6),ISNUMBER('Inputs'!$B$7),ISNUMBER('Inputs'!$B$8),ISNUMBER('Inputs'!$B$9),ISNUMBER('Inputs'!$B$10),ISNUMBER('Inputs'!$B$21),ISNUMBER('Inputs'!$B$24),ISNUMBER('Inputs'!$B$28)),((('Results'!B7*(1-'Inputs'!$B$24)*(0.5*((((220-43)*MAX('Inputs'!$B$33,'Inputs'!$B$29+'Inputs'!$B$31+'Inputs'!$B$32,'Inputs'!$B$30+'Inputs'!$B$31+'Inputs'!$B$32)/1000+'Inputs'!$B$21)+'Inputs'!$B$7)/SQRT((((220-43)*MAX('Inputs'!$B$33,'Inputs'!$B$29+'Inputs'!$B$31+'Inputs'!$B$32,'Inputs'!$B$30+'Inputs'!$B$31+'Inputs'!$B$32)/1000+'Inputs'!$B$21)+'Inputs'!$B$7)^2+('Inputs'!$B$6/2)^2)-(((220-43)*MAX('Inputs'!$B$33,'Inputs'!$B$29+'Inputs'!$B$31+'Inputs'!$B$32,'Inputs'!$B$30+'Inputs'!$B$31+'Inputs'!$B$32)/1000+'Inputs'!$B$21))/SQRT((((220-43)*MAX('Inputs'!$B$33,'Inputs'!$B$29+'Inputs'!$B$31+'Inputs'!$B$32,'Inputs'!$B$30+'Inputs'!$B$31+'Inputs'!$B$32)/1000+'Inputs'!$B$21))^2+('Inputs'!$B$6/2)^2)))-'Results'!C7*(1+'Inputs'!$B$24)*(0.5*((((220-43)*MAX('Inputs'!$B$33,'Inputs'!$B$29+'Inputs'!$B$31+'Inputs'!$B$32,'Inputs'!$B$30+'Inputs'!$B$31+'Inputs'!$B$32)/1000+'Inputs'!$B$21+'Inputs'!$B$7+'Inputs'!$B$10)+'Inputs'!$B$9)/SQRT((((220-43)*MAX('Inputs'!$B$33,'Inputs'!$B$29+'Inputs'!$B$31+'Inputs'!$B$32,'Inputs'!$B$30+'Inputs'!$B$31+'Inputs'!$B$32)/1000+'Inputs'!$B$21+'Inputs'!$B$7+'Inputs'!$B$10)+'Inputs'!$B$9)^2+('Inputs'!$B$8/2)^2)-(((220-43)*MAX('Inputs'!$B$33,'Inputs'!$B$29+'Inputs'!$B$31+'Inputs'!$B$32,'Inputs'!$B$30+'Inputs'!$B$31+'Inputs'!$B$32)/1000+'Inputs'!$B$21+'Inputs'!$B$7+'Inputs'!$B$10))/SQRT((((220-43)*MAX('Inputs'!$B$33,'Inputs'!$B$29+'Inputs'!$B$31+'Inputs'!$B$32,'Inputs'!$B$30+'Inputs'!$B$31+'Inputs'!$B$32)/1000+'Inputs'!$B$21+'Inputs'!$B$7+'Inputs'!$B$10))^2+('Inputs'!$B$8/2)^2))))*'Results'!$B$8)-'Inputs'!$B$28*ABS((('Results'!B7*(1-'Inputs'!$B$24)*(0.5*((((220-43)*MAX('Inputs'!$B$33,'Inputs'!$B$29+'Inputs'!$B$31+'Inputs'!$B$32,'Inputs'!$B$30+'Inputs'!$B$31+'Inputs'!$B$32)/1000+'Inputs'!$B$21)+'Inputs'!$B$7)/SQRT((((220-43)*MAX('Inputs'!$B$33,'Inputs'!$B$29+'Inputs'!$B$31+'Inputs'!$B$32,'Inputs'!$B$30+'Inputs'!$B$31+'Inputs'!$B$32)/1000+'Inputs'!$B$21)+'Inputs'!$B$7)^2+('Inputs'!$B$6/2)^2)-(((220-43)*MAX('Inputs'!$B$33,'Inputs'!$B$29+'Inputs'!$B$31+'Inputs'!$B$32,'Inputs'!$B$30+'Inputs'!$B$31+'Inputs'!$B$32)/1000+'Inputs'!$B$21))/SQRT((((220-43)*MAX('Inputs'!$B$33,'Inputs'!$B$29+'Inputs'!$B$31+'Inputs'!$B$32,'Inputs'!$B$30+'Inputs'!$B$31+'Inputs'!$B$32)/1000+'Inputs'!$B$21))^2+('Inputs'!$B$6/2)^2)))-'Results'!C7*(1+'Inputs'!$B$24)*(0.5*((((220-43)*MAX('Inputs'!$B$33,'Inputs'!$B$29+'Inputs'!$B$31+'Inputs'!$B$32,'Inputs'!$B$30+'Inputs'!$B$31+'Inputs'!$B$32)/1000+'Inputs'!$B$21+'Inputs'!$B$7+'Inputs'!$B$10)+'Inputs'!$B$9)/SQRT((((220-43)*MAX('Inputs'!$B$33,'Inputs'!$B$29+'Inputs'!$B$31+'Inputs'!$B$32,'Inputs'!$B$30+'Inputs'!$B$31+'Inputs'!$B$32)/1000+'Inputs'!$B$21+'Inputs'!$B$7+'Inputs'!$B$10)+'Inputs'!$B$9)^2+('Inputs'!$B$8/2)^2)-(((220-43)*MAX('Inputs'!$B$33,'Inputs'!$B$29+'Inputs'!$B$31+'Inputs'!$B$32,'Inputs'!$B$30+'Inputs'!$B$31+'Inputs'!$B$32)/1000+'Inputs'!$B$21+'Inputs'!$B$7+'Inputs'!$B$10))/SQRT((((220-43)*MAX('Inputs'!$B$33,'Inputs'!$B$29+'Inputs'!$B$31+'Inputs'!$B$32,'Inputs'!$B$30+'Inputs'!$B$31+'Inputs'!$B$32)/1000+'Inputs'!$B$21+'Inputs'!$B$7+'Inputs'!$B$10))^2+('Inputs'!$B$8/2)^2))))*'Results'!$B$8))),"")</x:f>
        <x:v>93.1597272069255</x:v>
      </x:c>
      <x:c r="L220" t="n">
        <x:f>IF(AND(ISNUMBER('Results'!B7),ISNUMBER('Results'!C7),ISNUMBER('Results'!$B$8),ISNUMBER('Inputs'!$B$6),ISNUMBER('Inputs'!$B$7),ISNUMBER('Inputs'!$B$8),ISNUMBER('Inputs'!$B$9),ISNUMBER('Inputs'!$B$10),ISNUMBER('Inputs'!$B$21),ISNUMBER('Inputs'!$B$24),ISNUMBER('Inputs'!$B$28)),((('Results'!B7*(1+'Inputs'!$B$24)*(0.5*((((220-43)*MAX('Inputs'!$B$33,'Inputs'!$B$29+'Inputs'!$B$31+'Inputs'!$B$32,'Inputs'!$B$30+'Inputs'!$B$31+'Inputs'!$B$32)/1000+'Inputs'!$B$21)+'Inputs'!$B$7)/SQRT((((220-43)*MAX('Inputs'!$B$33,'Inputs'!$B$29+'Inputs'!$B$31+'Inputs'!$B$32,'Inputs'!$B$30+'Inputs'!$B$31+'Inputs'!$B$32)/1000+'Inputs'!$B$21)+'Inputs'!$B$7)^2+('Inputs'!$B$6/2)^2)-(((220-43)*MAX('Inputs'!$B$33,'Inputs'!$B$29+'Inputs'!$B$31+'Inputs'!$B$32,'Inputs'!$B$30+'Inputs'!$B$31+'Inputs'!$B$32)/1000+'Inputs'!$B$21))/SQRT((((220-43)*MAX('Inputs'!$B$33,'Inputs'!$B$29+'Inputs'!$B$31+'Inputs'!$B$32,'Inputs'!$B$30+'Inputs'!$B$31+'Inputs'!$B$32)/1000+'Inputs'!$B$21))^2+('Inputs'!$B$6/2)^2)))-'Results'!C7*(1-'Inputs'!$B$24)*(0.5*((((220-43)*MAX('Inputs'!$B$33,'Inputs'!$B$29+'Inputs'!$B$31+'Inputs'!$B$32,'Inputs'!$B$30+'Inputs'!$B$31+'Inputs'!$B$32)/1000+'Inputs'!$B$21+'Inputs'!$B$7+'Inputs'!$B$10)+'Inputs'!$B$9)/SQRT((((220-43)*MAX('Inputs'!$B$33,'Inputs'!$B$29+'Inputs'!$B$31+'Inputs'!$B$32,'Inputs'!$B$30+'Inputs'!$B$31+'Inputs'!$B$32)/1000+'Inputs'!$B$21+'Inputs'!$B$7+'Inputs'!$B$10)+'Inputs'!$B$9)^2+('Inputs'!$B$8/2)^2)-(((220-43)*MAX('Inputs'!$B$33,'Inputs'!$B$29+'Inputs'!$B$31+'Inputs'!$B$32,'Inputs'!$B$30+'Inputs'!$B$31+'Inputs'!$B$32)/1000+'Inputs'!$B$21+'Inputs'!$B$7+'Inputs'!$B$10))/SQRT((((220-43)*MAX('Inputs'!$B$33,'Inputs'!$B$29+'Inputs'!$B$31+'Inputs'!$B$32,'Inputs'!$B$30+'Inputs'!$B$31+'Inputs'!$B$32)/1000+'Inputs'!$B$21+'Inputs'!$B$7+'Inputs'!$B$10))^2+('Inputs'!$B$8/2)^2))))*'Results'!$B$8)+'Inputs'!$B$28*ABS((('Results'!B7*(1+'Inputs'!$B$24)*(0.5*((((220-43)*MAX('Inputs'!$B$33,'Inputs'!$B$29+'Inputs'!$B$31+'Inputs'!$B$32,'Inputs'!$B$30+'Inputs'!$B$31+'Inputs'!$B$32)/1000+'Inputs'!$B$21)+'Inputs'!$B$7)/SQRT((((220-43)*MAX('Inputs'!$B$33,'Inputs'!$B$29+'Inputs'!$B$31+'Inputs'!$B$32,'Inputs'!$B$30+'Inputs'!$B$31+'Inputs'!$B$32)/1000+'Inputs'!$B$21)+'Inputs'!$B$7)^2+('Inputs'!$B$6/2)^2)-(((220-43)*MAX('Inputs'!$B$33,'Inputs'!$B$29+'Inputs'!$B$31+'Inputs'!$B$32,'Inputs'!$B$30+'Inputs'!$B$31+'Inputs'!$B$32)/1000+'Inputs'!$B$21))/SQRT((((220-43)*MAX('Inputs'!$B$33,'Inputs'!$B$29+'Inputs'!$B$31+'Inputs'!$B$32,'Inputs'!$B$30+'Inputs'!$B$31+'Inputs'!$B$32)/1000+'Inputs'!$B$21))^2+('Inputs'!$B$6/2)^2)))-'Results'!C7*(1-'Inputs'!$B$24)*(0.5*((((220-43)*MAX('Inputs'!$B$33,'Inputs'!$B$29+'Inputs'!$B$31+'Inputs'!$B$32,'Inputs'!$B$30+'Inputs'!$B$31+'Inputs'!$B$32)/1000+'Inputs'!$B$21+'Inputs'!$B$7+'Inputs'!$B$10)+'Inputs'!$B$9)/SQRT((((220-43)*MAX('Inputs'!$B$33,'Inputs'!$B$29+'Inputs'!$B$31+'Inputs'!$B$32,'Inputs'!$B$30+'Inputs'!$B$31+'Inputs'!$B$32)/1000+'Inputs'!$B$21+'Inputs'!$B$7+'Inputs'!$B$10)+'Inputs'!$B$9)^2+('Inputs'!$B$8/2)^2)-(((220-43)*MAX('Inputs'!$B$33,'Inputs'!$B$29+'Inputs'!$B$31+'Inputs'!$B$32,'Inputs'!$B$30+'Inputs'!$B$31+'Inputs'!$B$32)/1000+'Inputs'!$B$21+'Inputs'!$B$7+'Inputs'!$B$10))/SQRT((((220-43)*MAX('Inputs'!$B$33,'Inputs'!$B$29+'Inputs'!$B$31+'Inputs'!$B$32,'Inputs'!$B$30+'Inputs'!$B$31+'Inputs'!$B$32)/1000+'Inputs'!$B$21+'Inputs'!$B$7+'Inputs'!$B$10))^2+('Inputs'!$B$8/2)^2))))*'Results'!$B$8))),"")</x:f>
        <x:v>110.55672060412184</x:v>
      </x:c>
      <x:c r="M220" t="n">
        <x:f>IF(AND(ISNUMBER('Results'!C7),ISNUMBER('Results'!B7),ISNUMBER('Results'!$B$8),ISNUMBER('Inputs'!$B$6),ISNUMBER('Inputs'!$B$7),ISNUMBER('Inputs'!$B$8),ISNUMBER('Inputs'!$B$9),ISNUMBER('Inputs'!$B$10),ISNUMBER('Inputs'!$B$21),ISNUMBER('Inputs'!$B$24),ISNUMBER('Inputs'!$B$28)),(('Results'!C7*(0.5*((((220-43)*MAX('Inputs'!$B$33,'Inputs'!$B$29+'Inputs'!$B$31+'Inputs'!$B$32,'Inputs'!$B$30+'Inputs'!$B$31+'Inputs'!$B$32)/1000+'Inputs'!$B$21)+'Inputs'!$B$9)/SQRT((((220-43)*MAX('Inputs'!$B$33,'Inputs'!$B$29+'Inputs'!$B$31+'Inputs'!$B$32,'Inputs'!$B$30+'Inputs'!$B$31+'Inputs'!$B$32)/1000+'Inputs'!$B$21)+'Inputs'!$B$9)^2+('Inputs'!$B$8/2)^2)-(((220-43)*MAX('Inputs'!$B$33,'Inputs'!$B$29+'Inputs'!$B$31+'Inputs'!$B$32,'Inputs'!$B$30+'Inputs'!$B$31+'Inputs'!$B$32)/1000+'Inputs'!$B$21))/SQRT((((220-43)*MAX('Inputs'!$B$33,'Inputs'!$B$29+'Inputs'!$B$31+'Inputs'!$B$32,'Inputs'!$B$30+'Inputs'!$B$31+'Inputs'!$B$32)/1000+'Inputs'!$B$21))^2+('Inputs'!$B$8/2)^2)))-'Results'!B7*(0.5*((((220-43)*MAX('Inputs'!$B$33,'Inputs'!$B$29+'Inputs'!$B$31+'Inputs'!$B$32,'Inputs'!$B$30+'Inputs'!$B$31+'Inputs'!$B$32)/1000+'Inputs'!$B$21+'Inputs'!$B$9+'Inputs'!$B$10)+'Inputs'!$B$7)/SQRT((((220-43)*MAX('Inputs'!$B$33,'Inputs'!$B$29+'Inputs'!$B$31+'Inputs'!$B$32,'Inputs'!$B$30+'Inputs'!$B$31+'Inputs'!$B$32)/1000+'Inputs'!$B$21+'Inputs'!$B$9+'Inputs'!$B$10)+'Inputs'!$B$7)^2+('Inputs'!$B$6/2)^2)-(((220-43)*MAX('Inputs'!$B$33,'Inputs'!$B$29+'Inputs'!$B$31+'Inputs'!$B$32,'Inputs'!$B$30+'Inputs'!$B$31+'Inputs'!$B$32)/1000+'Inputs'!$B$21+'Inputs'!$B$9+'Inputs'!$B$10))/SQRT((((220-43)*MAX('Inputs'!$B$33,'Inputs'!$B$29+'Inputs'!$B$31+'Inputs'!$B$32,'Inputs'!$B$30+'Inputs'!$B$31+'Inputs'!$B$32)/1000+'Inputs'!$B$21+'Inputs'!$B$9+'Inputs'!$B$10))^2+('Inputs'!$B$6/2)^2))))*'Results'!$B$8),"")</x:f>
        <x:v>98.04673735431153</x:v>
      </x:c>
      <x:c r="N220" t="n">
        <x:f>IF(AND(ISNUMBER('Results'!C7),ISNUMBER('Results'!B7),ISNUMBER('Results'!$B$8),ISNUMBER('Inputs'!$B$6),ISNUMBER('Inputs'!$B$7),ISNUMBER('Inputs'!$B$8),ISNUMBER('Inputs'!$B$9),ISNUMBER('Inputs'!$B$10),ISNUMBER('Inputs'!$B$21),ISNUMBER('Inputs'!$B$24),ISNUMBER('Inputs'!$B$28)),((('Results'!C7*(1-'Inputs'!$B$24)*(0.5*((((220-43)*MAX('Inputs'!$B$33,'Inputs'!$B$29+'Inputs'!$B$31+'Inputs'!$B$32,'Inputs'!$B$30+'Inputs'!$B$31+'Inputs'!$B$32)/1000+'Inputs'!$B$21)+'Inputs'!$B$9)/SQRT((((220-43)*MAX('Inputs'!$B$33,'Inputs'!$B$29+'Inputs'!$B$31+'Inputs'!$B$32,'Inputs'!$B$30+'Inputs'!$B$31+'Inputs'!$B$32)/1000+'Inputs'!$B$21)+'Inputs'!$B$9)^2+('Inputs'!$B$8/2)^2)-(((220-43)*MAX('Inputs'!$B$33,'Inputs'!$B$29+'Inputs'!$B$31+'Inputs'!$B$32,'Inputs'!$B$30+'Inputs'!$B$31+'Inputs'!$B$32)/1000+'Inputs'!$B$21))/SQRT((((220-43)*MAX('Inputs'!$B$33,'Inputs'!$B$29+'Inputs'!$B$31+'Inputs'!$B$32,'Inputs'!$B$30+'Inputs'!$B$31+'Inputs'!$B$32)/1000+'Inputs'!$B$21))^2+('Inputs'!$B$8/2)^2)))-'Results'!B7*(1+'Inputs'!$B$24)*(0.5*((((220-43)*MAX('Inputs'!$B$33,'Inputs'!$B$29+'Inputs'!$B$31+'Inputs'!$B$32,'Inputs'!$B$30+'Inputs'!$B$31+'Inputs'!$B$32)/1000+'Inputs'!$B$21+'Inputs'!$B$9+'Inputs'!$B$10)+'Inputs'!$B$7)/SQRT((((220-43)*MAX('Inputs'!$B$33,'Inputs'!$B$29+'Inputs'!$B$31+'Inputs'!$B$32,'Inputs'!$B$30+'Inputs'!$B$31+'Inputs'!$B$32)/1000+'Inputs'!$B$21+'Inputs'!$B$9+'Inputs'!$B$10)+'Inputs'!$B$7)^2+('Inputs'!$B$6/2)^2)-(((220-43)*MAX('Inputs'!$B$33,'Inputs'!$B$29+'Inputs'!$B$31+'Inputs'!$B$32,'Inputs'!$B$30+'Inputs'!$B$31+'Inputs'!$B$32)/1000+'Inputs'!$B$21+'Inputs'!$B$9+'Inputs'!$B$10))/SQRT((((220-43)*MAX('Inputs'!$B$33,'Inputs'!$B$29+'Inputs'!$B$31+'Inputs'!$B$32,'Inputs'!$B$30+'Inputs'!$B$31+'Inputs'!$B$32)/1000+'Inputs'!$B$21+'Inputs'!$B$9+'Inputs'!$B$10))^2+('Inputs'!$B$6/2)^2))))*'Results'!$B$8)-'Inputs'!$B$28*ABS((('Results'!C7*(1-'Inputs'!$B$24)*(0.5*((((220-43)*MAX('Inputs'!$B$33,'Inputs'!$B$29+'Inputs'!$B$31+'Inputs'!$B$32,'Inputs'!$B$30+'Inputs'!$B$31+'Inputs'!$B$32)/1000+'Inputs'!$B$21)+'Inputs'!$B$9)/SQRT((((220-43)*MAX('Inputs'!$B$33,'Inputs'!$B$29+'Inputs'!$B$31+'Inputs'!$B$32,'Inputs'!$B$30+'Inputs'!$B$31+'Inputs'!$B$32)/1000+'Inputs'!$B$21)+'Inputs'!$B$9)^2+('Inputs'!$B$8/2)^2)-(((220-43)*MAX('Inputs'!$B$33,'Inputs'!$B$29+'Inputs'!$B$31+'Inputs'!$B$32,'Inputs'!$B$30+'Inputs'!$B$31+'Inputs'!$B$32)/1000+'Inputs'!$B$21))/SQRT((((220-43)*MAX('Inputs'!$B$33,'Inputs'!$B$29+'Inputs'!$B$31+'Inputs'!$B$32,'Inputs'!$B$30+'Inputs'!$B$31+'Inputs'!$B$32)/1000+'Inputs'!$B$21))^2+('Inputs'!$B$8/2)^2)))-'Results'!B7*(1+'Inputs'!$B$24)*(0.5*((((220-43)*MAX('Inputs'!$B$33,'Inputs'!$B$29+'Inputs'!$B$31+'Inputs'!$B$32,'Inputs'!$B$30+'Inputs'!$B$31+'Inputs'!$B$32)/1000+'Inputs'!$B$21+'Inputs'!$B$9+'Inputs'!$B$10)+'Inputs'!$B$7)/SQRT((((220-43)*MAX('Inputs'!$B$33,'Inputs'!$B$29+'Inputs'!$B$31+'Inputs'!$B$32,'Inputs'!$B$30+'Inputs'!$B$31+'Inputs'!$B$32)/1000+'Inputs'!$B$21+'Inputs'!$B$9+'Inputs'!$B$10)+'Inputs'!$B$7)^2+('Inputs'!$B$6/2)^2)-(((220-43)*MAX('Inputs'!$B$33,'Inputs'!$B$29+'Inputs'!$B$31+'Inputs'!$B$32,'Inputs'!$B$30+'Inputs'!$B$31+'Inputs'!$B$32)/1000+'Inputs'!$B$21+'Inputs'!$B$9+'Inputs'!$B$10))/SQRT((((220-43)*MAX('Inputs'!$B$33,'Inputs'!$B$29+'Inputs'!$B$31+'Inputs'!$B$32,'Inputs'!$B$30+'Inputs'!$B$31+'Inputs'!$B$32)/1000+'Inputs'!$B$21+'Inputs'!$B$9+'Inputs'!$B$10))^2+('Inputs'!$B$6/2)^2))))*'Results'!$B$8))),"")</x:f>
        <x:v>89.74884044390959</x:v>
      </x:c>
      <x:c r="O220" t="n">
        <x:f>IF(AND(ISNUMBER('Results'!C7),ISNUMBER('Results'!B7),ISNUMBER('Results'!$B$8),ISNUMBER('Inputs'!$B$6),ISNUMBER('Inputs'!$B$7),ISNUMBER('Inputs'!$B$8),ISNUMBER('Inputs'!$B$9),ISNUMBER('Inputs'!$B$10),ISNUMBER('Inputs'!$B$21),ISNUMBER('Inputs'!$B$24),ISNUMBER('Inputs'!$B$28)),((('Results'!C7*(1+'Inputs'!$B$24)*(0.5*((((220-43)*MAX('Inputs'!$B$33,'Inputs'!$B$29+'Inputs'!$B$31+'Inputs'!$B$32,'Inputs'!$B$30+'Inputs'!$B$31+'Inputs'!$B$32)/1000+'Inputs'!$B$21)+'Inputs'!$B$9)/SQRT((((220-43)*MAX('Inputs'!$B$33,'Inputs'!$B$29+'Inputs'!$B$31+'Inputs'!$B$32,'Inputs'!$B$30+'Inputs'!$B$31+'Inputs'!$B$32)/1000+'Inputs'!$B$21)+'Inputs'!$B$9)^2+('Inputs'!$B$8/2)^2)-(((220-43)*MAX('Inputs'!$B$33,'Inputs'!$B$29+'Inputs'!$B$31+'Inputs'!$B$32,'Inputs'!$B$30+'Inputs'!$B$31+'Inputs'!$B$32)/1000+'Inputs'!$B$21))/SQRT((((220-43)*MAX('Inputs'!$B$33,'Inputs'!$B$29+'Inputs'!$B$31+'Inputs'!$B$32,'Inputs'!$B$30+'Inputs'!$B$31+'Inputs'!$B$32)/1000+'Inputs'!$B$21))^2+('Inputs'!$B$8/2)^2)))-'Results'!B7*(1-'Inputs'!$B$24)*(0.5*((((220-43)*MAX('Inputs'!$B$33,'Inputs'!$B$29+'Inputs'!$B$31+'Inputs'!$B$32,'Inputs'!$B$30+'Inputs'!$B$31+'Inputs'!$B$32)/1000+'Inputs'!$B$21+'Inputs'!$B$9+'Inputs'!$B$10)+'Inputs'!$B$7)/SQRT((((220-43)*MAX('Inputs'!$B$33,'Inputs'!$B$29+'Inputs'!$B$31+'Inputs'!$B$32,'Inputs'!$B$30+'Inputs'!$B$31+'Inputs'!$B$32)/1000+'Inputs'!$B$21+'Inputs'!$B$9+'Inputs'!$B$10)+'Inputs'!$B$7)^2+('Inputs'!$B$6/2)^2)-(((220-43)*MAX('Inputs'!$B$33,'Inputs'!$B$29+'Inputs'!$B$31+'Inputs'!$B$32,'Inputs'!$B$30+'Inputs'!$B$31+'Inputs'!$B$32)/1000+'Inputs'!$B$21+'Inputs'!$B$9+'Inputs'!$B$10))/SQRT((((220-43)*MAX('Inputs'!$B$33,'Inputs'!$B$29+'Inputs'!$B$31+'Inputs'!$B$32,'Inputs'!$B$30+'Inputs'!$B$31+'Inputs'!$B$32)/1000+'Inputs'!$B$21+'Inputs'!$B$9+'Inputs'!$B$10))^2+('Inputs'!$B$6/2)^2))))*'Results'!$B$8)+'Inputs'!$B$28*ABS((('Results'!C7*(1+'Inputs'!$B$24)*(0.5*((((220-43)*MAX('Inputs'!$B$33,'Inputs'!$B$29+'Inputs'!$B$31+'Inputs'!$B$32,'Inputs'!$B$30+'Inputs'!$B$31+'Inputs'!$B$32)/1000+'Inputs'!$B$21)+'Inputs'!$B$9)/SQRT((((220-43)*MAX('Inputs'!$B$33,'Inputs'!$B$29+'Inputs'!$B$31+'Inputs'!$B$32,'Inputs'!$B$30+'Inputs'!$B$31+'Inputs'!$B$32)/1000+'Inputs'!$B$21)+'Inputs'!$B$9)^2+('Inputs'!$B$8/2)^2)-(((220-43)*MAX('Inputs'!$B$33,'Inputs'!$B$29+'Inputs'!$B$31+'Inputs'!$B$32,'Inputs'!$B$30+'Inputs'!$B$31+'Inputs'!$B$32)/1000+'Inputs'!$B$21))/SQRT((((220-43)*MAX('Inputs'!$B$33,'Inputs'!$B$29+'Inputs'!$B$31+'Inputs'!$B$32,'Inputs'!$B$30+'Inputs'!$B$31+'Inputs'!$B$32)/1000+'Inputs'!$B$21))^2+('Inputs'!$B$8/2)^2)))-'Results'!B7*(1-'Inputs'!$B$24)*(0.5*((((220-43)*MAX('Inputs'!$B$33,'Inputs'!$B$29+'Inputs'!$B$31+'Inputs'!$B$32,'Inputs'!$B$30+'Inputs'!$B$31+'Inputs'!$B$32)/1000+'Inputs'!$B$21+'Inputs'!$B$9+'Inputs'!$B$10)+'Inputs'!$B$7)/SQRT((((220-43)*MAX('Inputs'!$B$33,'Inputs'!$B$29+'Inputs'!$B$31+'Inputs'!$B$32,'Inputs'!$B$30+'Inputs'!$B$31+'Inputs'!$B$32)/1000+'Inputs'!$B$21+'Inputs'!$B$9+'Inputs'!$B$10)+'Inputs'!$B$7)^2+('Inputs'!$B$6/2)^2)-(((220-43)*MAX('Inputs'!$B$33,'Inputs'!$B$29+'Inputs'!$B$31+'Inputs'!$B$32,'Inputs'!$B$30+'Inputs'!$B$31+'Inputs'!$B$32)/1000+'Inputs'!$B$21+'Inputs'!$B$9+'Inputs'!$B$10))/SQRT((((220-43)*MAX('Inputs'!$B$33,'Inputs'!$B$29+'Inputs'!$B$31+'Inputs'!$B$32,'Inputs'!$B$30+'Inputs'!$B$31+'Inputs'!$B$32)/1000+'Inputs'!$B$21+'Inputs'!$B$9+'Inputs'!$B$10))^2+('Inputs'!$B$6/2)^2))))*'Results'!$B$8))),"")</x:f>
        <x:v>106.70206163762782</x:v>
      </x:c>
      <x:c r="P220" t="n">
        <x:f>IF(AND(MAX(J220,J219)&gt;0,J220&gt;J219+0.00000001),1,0)</x:f>
        <x:v>0</x:v>
      </x:c>
      <x:c r="Q220" t="n">
        <x:f>IF(AND(MAX(K220,K219)&gt;0,K220&gt;K219+0.00000001),1,0)</x:f>
        <x:v>0</x:v>
      </x:c>
      <x:c r="R220" t="n">
        <x:f>IF(AND(MAX(L220,L219)&gt;0,L220&gt;L219+0.00000001),1,0)</x:f>
        <x:v>0</x:v>
      </x:c>
      <x:c r="S220" t="n">
        <x:f>IF(AND(MAX(M220,M219)&gt;0,M220&gt;M219+0.00000001),1,0)</x:f>
        <x:v>0</x:v>
      </x:c>
      <x:c r="T220" t="n">
        <x:f>IF(AND(MAX(N220,N219)&gt;0,N220&gt;N219+0.00000001),1,0)</x:f>
        <x:v>0</x:v>
      </x:c>
      <x:c r="U220" t="n">
        <x:f>IF(AND(MAX(O220,O219)&gt;0,O220&gt;O219+0.00000001),1,0)</x:f>
        <x:v>0</x:v>
      </x:c>
    </x:row>
    <x:row r="221">
      <x:c r="J221" t="n">
        <x:f>IF(AND(ISNUMBER('Results'!B7),ISNUMBER('Results'!C7),ISNUMBER('Results'!$B$8),ISNUMBER('Inputs'!$B$6),ISNUMBER('Inputs'!$B$7),ISNUMBER('Inputs'!$B$8),ISNUMBER('Inputs'!$B$9),ISNUMBER('Inputs'!$B$10),ISNUMBER('Inputs'!$B$21),ISNUMBER('Inputs'!$B$24),ISNUMBER('Inputs'!$B$28)),(('Results'!B7*(0.5*((((221-43)*MAX('Inputs'!$B$33,'Inputs'!$B$29+'Inputs'!$B$31+'Inputs'!$B$32,'Inputs'!$B$30+'Inputs'!$B$31+'Inputs'!$B$32)/1000+'Inputs'!$B$21)+'Inputs'!$B$7)/SQRT((((221-43)*MAX('Inputs'!$B$33,'Inputs'!$B$29+'Inputs'!$B$31+'Inputs'!$B$32,'Inputs'!$B$30+'Inputs'!$B$31+'Inputs'!$B$32)/1000+'Inputs'!$B$21)+'Inputs'!$B$7)^2+('Inputs'!$B$6/2)^2)-(((221-43)*MAX('Inputs'!$B$33,'Inputs'!$B$29+'Inputs'!$B$31+'Inputs'!$B$32,'Inputs'!$B$30+'Inputs'!$B$31+'Inputs'!$B$32)/1000+'Inputs'!$B$21))/SQRT((((221-43)*MAX('Inputs'!$B$33,'Inputs'!$B$29+'Inputs'!$B$31+'Inputs'!$B$32,'Inputs'!$B$30+'Inputs'!$B$31+'Inputs'!$B$32)/1000+'Inputs'!$B$21))^2+('Inputs'!$B$6/2)^2)))-'Results'!C7*(0.5*((((221-43)*MAX('Inputs'!$B$33,'Inputs'!$B$29+'Inputs'!$B$31+'Inputs'!$B$32,'Inputs'!$B$30+'Inputs'!$B$31+'Inputs'!$B$32)/1000+'Inputs'!$B$21+'Inputs'!$B$7+'Inputs'!$B$10)+'Inputs'!$B$9)/SQRT((((221-43)*MAX('Inputs'!$B$33,'Inputs'!$B$29+'Inputs'!$B$31+'Inputs'!$B$32,'Inputs'!$B$30+'Inputs'!$B$31+'Inputs'!$B$32)/1000+'Inputs'!$B$21+'Inputs'!$B$7+'Inputs'!$B$10)+'Inputs'!$B$9)^2+('Inputs'!$B$8/2)^2)-(((221-43)*MAX('Inputs'!$B$33,'Inputs'!$B$29+'Inputs'!$B$31+'Inputs'!$B$32,'Inputs'!$B$30+'Inputs'!$B$31+'Inputs'!$B$32)/1000+'Inputs'!$B$21+'Inputs'!$B$7+'Inputs'!$B$10))/SQRT((((221-43)*MAX('Inputs'!$B$33,'Inputs'!$B$29+'Inputs'!$B$31+'Inputs'!$B$32,'Inputs'!$B$30+'Inputs'!$B$31+'Inputs'!$B$32)/1000+'Inputs'!$B$21+'Inputs'!$B$7+'Inputs'!$B$10))^2+('Inputs'!$B$8/2)^2))))*'Results'!$B$8),"")</x:f>
        <x:v>100.18491222907164</x:v>
      </x:c>
      <x:c r="K221" t="n">
        <x:f>IF(AND(ISNUMBER('Results'!B7),ISNUMBER('Results'!C7),ISNUMBER('Results'!$B$8),ISNUMBER('Inputs'!$B$6),ISNUMBER('Inputs'!$B$7),ISNUMBER('Inputs'!$B$8),ISNUMBER('Inputs'!$B$9),ISNUMBER('Inputs'!$B$10),ISNUMBER('Inputs'!$B$21),ISNUMBER('Inputs'!$B$24),ISNUMBER('Inputs'!$B$28)),((('Results'!B7*(1-'Inputs'!$B$24)*(0.5*((((221-43)*MAX('Inputs'!$B$33,'Inputs'!$B$29+'Inputs'!$B$31+'Inputs'!$B$32,'Inputs'!$B$30+'Inputs'!$B$31+'Inputs'!$B$32)/1000+'Inputs'!$B$21)+'Inputs'!$B$7)/SQRT((((221-43)*MAX('Inputs'!$B$33,'Inputs'!$B$29+'Inputs'!$B$31+'Inputs'!$B$32,'Inputs'!$B$30+'Inputs'!$B$31+'Inputs'!$B$32)/1000+'Inputs'!$B$21)+'Inputs'!$B$7)^2+('Inputs'!$B$6/2)^2)-(((221-43)*MAX('Inputs'!$B$33,'Inputs'!$B$29+'Inputs'!$B$31+'Inputs'!$B$32,'Inputs'!$B$30+'Inputs'!$B$31+'Inputs'!$B$32)/1000+'Inputs'!$B$21))/SQRT((((221-43)*MAX('Inputs'!$B$33,'Inputs'!$B$29+'Inputs'!$B$31+'Inputs'!$B$32,'Inputs'!$B$30+'Inputs'!$B$31+'Inputs'!$B$32)/1000+'Inputs'!$B$21))^2+('Inputs'!$B$6/2)^2)))-'Results'!C7*(1+'Inputs'!$B$24)*(0.5*((((221-43)*MAX('Inputs'!$B$33,'Inputs'!$B$29+'Inputs'!$B$31+'Inputs'!$B$32,'Inputs'!$B$30+'Inputs'!$B$31+'Inputs'!$B$32)/1000+'Inputs'!$B$21+'Inputs'!$B$7+'Inputs'!$B$10)+'Inputs'!$B$9)/SQRT((((221-43)*MAX('Inputs'!$B$33,'Inputs'!$B$29+'Inputs'!$B$31+'Inputs'!$B$32,'Inputs'!$B$30+'Inputs'!$B$31+'Inputs'!$B$32)/1000+'Inputs'!$B$21+'Inputs'!$B$7+'Inputs'!$B$10)+'Inputs'!$B$9)^2+('Inputs'!$B$8/2)^2)-(((221-43)*MAX('Inputs'!$B$33,'Inputs'!$B$29+'Inputs'!$B$31+'Inputs'!$B$32,'Inputs'!$B$30+'Inputs'!$B$31+'Inputs'!$B$32)/1000+'Inputs'!$B$21+'Inputs'!$B$7+'Inputs'!$B$10))/SQRT((((221-43)*MAX('Inputs'!$B$33,'Inputs'!$B$29+'Inputs'!$B$31+'Inputs'!$B$32,'Inputs'!$B$30+'Inputs'!$B$31+'Inputs'!$B$32)/1000+'Inputs'!$B$21+'Inputs'!$B$7+'Inputs'!$B$10))^2+('Inputs'!$B$8/2)^2))))*'Results'!$B$8)-'Inputs'!$B$28*ABS((('Results'!B7*(1-'Inputs'!$B$24)*(0.5*((((221-43)*MAX('Inputs'!$B$33,'Inputs'!$B$29+'Inputs'!$B$31+'Inputs'!$B$32,'Inputs'!$B$30+'Inputs'!$B$31+'Inputs'!$B$32)/1000+'Inputs'!$B$21)+'Inputs'!$B$7)/SQRT((((221-43)*MAX('Inputs'!$B$33,'Inputs'!$B$29+'Inputs'!$B$31+'Inputs'!$B$32,'Inputs'!$B$30+'Inputs'!$B$31+'Inputs'!$B$32)/1000+'Inputs'!$B$21)+'Inputs'!$B$7)^2+('Inputs'!$B$6/2)^2)-(((221-43)*MAX('Inputs'!$B$33,'Inputs'!$B$29+'Inputs'!$B$31+'Inputs'!$B$32,'Inputs'!$B$30+'Inputs'!$B$31+'Inputs'!$B$32)/1000+'Inputs'!$B$21))/SQRT((((221-43)*MAX('Inputs'!$B$33,'Inputs'!$B$29+'Inputs'!$B$31+'Inputs'!$B$32,'Inputs'!$B$30+'Inputs'!$B$31+'Inputs'!$B$32)/1000+'Inputs'!$B$21))^2+('Inputs'!$B$6/2)^2)))-'Results'!C7*(1+'Inputs'!$B$24)*(0.5*((((221-43)*MAX('Inputs'!$B$33,'Inputs'!$B$29+'Inputs'!$B$31+'Inputs'!$B$32,'Inputs'!$B$30+'Inputs'!$B$31+'Inputs'!$B$32)/1000+'Inputs'!$B$21+'Inputs'!$B$7+'Inputs'!$B$10)+'Inputs'!$B$9)/SQRT((((221-43)*MAX('Inputs'!$B$33,'Inputs'!$B$29+'Inputs'!$B$31+'Inputs'!$B$32,'Inputs'!$B$30+'Inputs'!$B$31+'Inputs'!$B$32)/1000+'Inputs'!$B$21+'Inputs'!$B$7+'Inputs'!$B$10)+'Inputs'!$B$9)^2+('Inputs'!$B$8/2)^2)-(((221-43)*MAX('Inputs'!$B$33,'Inputs'!$B$29+'Inputs'!$B$31+'Inputs'!$B$32,'Inputs'!$B$30+'Inputs'!$B$31+'Inputs'!$B$32)/1000+'Inputs'!$B$21+'Inputs'!$B$7+'Inputs'!$B$10))/SQRT((((221-43)*MAX('Inputs'!$B$33,'Inputs'!$B$29+'Inputs'!$B$31+'Inputs'!$B$32,'Inputs'!$B$30+'Inputs'!$B$31+'Inputs'!$B$32)/1000+'Inputs'!$B$21+'Inputs'!$B$7+'Inputs'!$B$10))^2+('Inputs'!$B$8/2)^2))))*'Results'!$B$8))),"")</x:f>
        <x:v>91.78369487235105</x:v>
      </x:c>
      <x:c r="L221" t="n">
        <x:f>IF(AND(ISNUMBER('Results'!B7),ISNUMBER('Results'!C7),ISNUMBER('Results'!$B$8),ISNUMBER('Inputs'!$B$6),ISNUMBER('Inputs'!$B$7),ISNUMBER('Inputs'!$B$8),ISNUMBER('Inputs'!$B$9),ISNUMBER('Inputs'!$B$10),ISNUMBER('Inputs'!$B$21),ISNUMBER('Inputs'!$B$24),ISNUMBER('Inputs'!$B$28)),((('Results'!B7*(1+'Inputs'!$B$24)*(0.5*((((221-43)*MAX('Inputs'!$B$33,'Inputs'!$B$29+'Inputs'!$B$31+'Inputs'!$B$32,'Inputs'!$B$30+'Inputs'!$B$31+'Inputs'!$B$32)/1000+'Inputs'!$B$21)+'Inputs'!$B$7)/SQRT((((221-43)*MAX('Inputs'!$B$33,'Inputs'!$B$29+'Inputs'!$B$31+'Inputs'!$B$32,'Inputs'!$B$30+'Inputs'!$B$31+'Inputs'!$B$32)/1000+'Inputs'!$B$21)+'Inputs'!$B$7)^2+('Inputs'!$B$6/2)^2)-(((221-43)*MAX('Inputs'!$B$33,'Inputs'!$B$29+'Inputs'!$B$31+'Inputs'!$B$32,'Inputs'!$B$30+'Inputs'!$B$31+'Inputs'!$B$32)/1000+'Inputs'!$B$21))/SQRT((((221-43)*MAX('Inputs'!$B$33,'Inputs'!$B$29+'Inputs'!$B$31+'Inputs'!$B$32,'Inputs'!$B$30+'Inputs'!$B$31+'Inputs'!$B$32)/1000+'Inputs'!$B$21))^2+('Inputs'!$B$6/2)^2)))-'Results'!C7*(1-'Inputs'!$B$24)*(0.5*((((221-43)*MAX('Inputs'!$B$33,'Inputs'!$B$29+'Inputs'!$B$31+'Inputs'!$B$32,'Inputs'!$B$30+'Inputs'!$B$31+'Inputs'!$B$32)/1000+'Inputs'!$B$21+'Inputs'!$B$7+'Inputs'!$B$10)+'Inputs'!$B$9)/SQRT((((221-43)*MAX('Inputs'!$B$33,'Inputs'!$B$29+'Inputs'!$B$31+'Inputs'!$B$32,'Inputs'!$B$30+'Inputs'!$B$31+'Inputs'!$B$32)/1000+'Inputs'!$B$21+'Inputs'!$B$7+'Inputs'!$B$10)+'Inputs'!$B$9)^2+('Inputs'!$B$8/2)^2)-(((221-43)*MAX('Inputs'!$B$33,'Inputs'!$B$29+'Inputs'!$B$31+'Inputs'!$B$32,'Inputs'!$B$30+'Inputs'!$B$31+'Inputs'!$B$32)/1000+'Inputs'!$B$21+'Inputs'!$B$7+'Inputs'!$B$10))/SQRT((((221-43)*MAX('Inputs'!$B$33,'Inputs'!$B$29+'Inputs'!$B$31+'Inputs'!$B$32,'Inputs'!$B$30+'Inputs'!$B$31+'Inputs'!$B$32)/1000+'Inputs'!$B$21+'Inputs'!$B$7+'Inputs'!$B$10))^2+('Inputs'!$B$8/2)^2))))*'Results'!$B$8)+'Inputs'!$B$28*ABS((('Results'!B7*(1+'Inputs'!$B$24)*(0.5*((((221-43)*MAX('Inputs'!$B$33,'Inputs'!$B$29+'Inputs'!$B$31+'Inputs'!$B$32,'Inputs'!$B$30+'Inputs'!$B$31+'Inputs'!$B$32)/1000+'Inputs'!$B$21)+'Inputs'!$B$7)/SQRT((((221-43)*MAX('Inputs'!$B$33,'Inputs'!$B$29+'Inputs'!$B$31+'Inputs'!$B$32,'Inputs'!$B$30+'Inputs'!$B$31+'Inputs'!$B$32)/1000+'Inputs'!$B$21)+'Inputs'!$B$7)^2+('Inputs'!$B$6/2)^2)-(((221-43)*MAX('Inputs'!$B$33,'Inputs'!$B$29+'Inputs'!$B$31+'Inputs'!$B$32,'Inputs'!$B$30+'Inputs'!$B$31+'Inputs'!$B$32)/1000+'Inputs'!$B$21))/SQRT((((221-43)*MAX('Inputs'!$B$33,'Inputs'!$B$29+'Inputs'!$B$31+'Inputs'!$B$32,'Inputs'!$B$30+'Inputs'!$B$31+'Inputs'!$B$32)/1000+'Inputs'!$B$21))^2+('Inputs'!$B$6/2)^2)))-'Results'!C7*(1-'Inputs'!$B$24)*(0.5*((((221-43)*MAX('Inputs'!$B$33,'Inputs'!$B$29+'Inputs'!$B$31+'Inputs'!$B$32,'Inputs'!$B$30+'Inputs'!$B$31+'Inputs'!$B$32)/1000+'Inputs'!$B$21+'Inputs'!$B$7+'Inputs'!$B$10)+'Inputs'!$B$9)/SQRT((((221-43)*MAX('Inputs'!$B$33,'Inputs'!$B$29+'Inputs'!$B$31+'Inputs'!$B$32,'Inputs'!$B$30+'Inputs'!$B$31+'Inputs'!$B$32)/1000+'Inputs'!$B$21+'Inputs'!$B$7+'Inputs'!$B$10)+'Inputs'!$B$9)^2+('Inputs'!$B$8/2)^2)-(((221-43)*MAX('Inputs'!$B$33,'Inputs'!$B$29+'Inputs'!$B$31+'Inputs'!$B$32,'Inputs'!$B$30+'Inputs'!$B$31+'Inputs'!$B$32)/1000+'Inputs'!$B$21+'Inputs'!$B$7+'Inputs'!$B$10))/SQRT((((221-43)*MAX('Inputs'!$B$33,'Inputs'!$B$29+'Inputs'!$B$31+'Inputs'!$B$32,'Inputs'!$B$30+'Inputs'!$B$31+'Inputs'!$B$32)/1000+'Inputs'!$B$21+'Inputs'!$B$7+'Inputs'!$B$10))^2+('Inputs'!$B$8/2)^2))))*'Results'!$B$8))),"")</x:f>
        <x:v>108.94317924318875</x:v>
      </x:c>
      <x:c r="M221" t="n">
        <x:f>IF(AND(ISNUMBER('Results'!C7),ISNUMBER('Results'!B7),ISNUMBER('Results'!$B$8),ISNUMBER('Inputs'!$B$6),ISNUMBER('Inputs'!$B$7),ISNUMBER('Inputs'!$B$8),ISNUMBER('Inputs'!$B$9),ISNUMBER('Inputs'!$B$10),ISNUMBER('Inputs'!$B$21),ISNUMBER('Inputs'!$B$24),ISNUMBER('Inputs'!$B$28)),(('Results'!C7*(0.5*((((221-43)*MAX('Inputs'!$B$33,'Inputs'!$B$29+'Inputs'!$B$31+'Inputs'!$B$32,'Inputs'!$B$30+'Inputs'!$B$31+'Inputs'!$B$32)/1000+'Inputs'!$B$21)+'Inputs'!$B$9)/SQRT((((221-43)*MAX('Inputs'!$B$33,'Inputs'!$B$29+'Inputs'!$B$31+'Inputs'!$B$32,'Inputs'!$B$30+'Inputs'!$B$31+'Inputs'!$B$32)/1000+'Inputs'!$B$21)+'Inputs'!$B$9)^2+('Inputs'!$B$8/2)^2)-(((221-43)*MAX('Inputs'!$B$33,'Inputs'!$B$29+'Inputs'!$B$31+'Inputs'!$B$32,'Inputs'!$B$30+'Inputs'!$B$31+'Inputs'!$B$32)/1000+'Inputs'!$B$21))/SQRT((((221-43)*MAX('Inputs'!$B$33,'Inputs'!$B$29+'Inputs'!$B$31+'Inputs'!$B$32,'Inputs'!$B$30+'Inputs'!$B$31+'Inputs'!$B$32)/1000+'Inputs'!$B$21))^2+('Inputs'!$B$8/2)^2)))-'Results'!B7*(0.5*((((221-43)*MAX('Inputs'!$B$33,'Inputs'!$B$29+'Inputs'!$B$31+'Inputs'!$B$32,'Inputs'!$B$30+'Inputs'!$B$31+'Inputs'!$B$32)/1000+'Inputs'!$B$21+'Inputs'!$B$9+'Inputs'!$B$10)+'Inputs'!$B$7)/SQRT((((221-43)*MAX('Inputs'!$B$33,'Inputs'!$B$29+'Inputs'!$B$31+'Inputs'!$B$32,'Inputs'!$B$30+'Inputs'!$B$31+'Inputs'!$B$32)/1000+'Inputs'!$B$21+'Inputs'!$B$9+'Inputs'!$B$10)+'Inputs'!$B$7)^2+('Inputs'!$B$6/2)^2)-(((221-43)*MAX('Inputs'!$B$33,'Inputs'!$B$29+'Inputs'!$B$31+'Inputs'!$B$32,'Inputs'!$B$30+'Inputs'!$B$31+'Inputs'!$B$32)/1000+'Inputs'!$B$21+'Inputs'!$B$9+'Inputs'!$B$10))/SQRT((((221-43)*MAX('Inputs'!$B$33,'Inputs'!$B$29+'Inputs'!$B$31+'Inputs'!$B$32,'Inputs'!$B$30+'Inputs'!$B$31+'Inputs'!$B$32)/1000+'Inputs'!$B$21+'Inputs'!$B$9+'Inputs'!$B$10))^2+('Inputs'!$B$6/2)^2))))*'Results'!$B$8),"")</x:f>
        <x:v>96.59842791705144</x:v>
      </x:c>
      <x:c r="N221" t="n">
        <x:f>IF(AND(ISNUMBER('Results'!C7),ISNUMBER('Results'!B7),ISNUMBER('Results'!$B$8),ISNUMBER('Inputs'!$B$6),ISNUMBER('Inputs'!$B$7),ISNUMBER('Inputs'!$B$8),ISNUMBER('Inputs'!$B$9),ISNUMBER('Inputs'!$B$10),ISNUMBER('Inputs'!$B$21),ISNUMBER('Inputs'!$B$24),ISNUMBER('Inputs'!$B$28)),((('Results'!C7*(1-'Inputs'!$B$24)*(0.5*((((221-43)*MAX('Inputs'!$B$33,'Inputs'!$B$29+'Inputs'!$B$31+'Inputs'!$B$32,'Inputs'!$B$30+'Inputs'!$B$31+'Inputs'!$B$32)/1000+'Inputs'!$B$21)+'Inputs'!$B$9)/SQRT((((221-43)*MAX('Inputs'!$B$33,'Inputs'!$B$29+'Inputs'!$B$31+'Inputs'!$B$32,'Inputs'!$B$30+'Inputs'!$B$31+'Inputs'!$B$32)/1000+'Inputs'!$B$21)+'Inputs'!$B$9)^2+('Inputs'!$B$8/2)^2)-(((221-43)*MAX('Inputs'!$B$33,'Inputs'!$B$29+'Inputs'!$B$31+'Inputs'!$B$32,'Inputs'!$B$30+'Inputs'!$B$31+'Inputs'!$B$32)/1000+'Inputs'!$B$21))/SQRT((((221-43)*MAX('Inputs'!$B$33,'Inputs'!$B$29+'Inputs'!$B$31+'Inputs'!$B$32,'Inputs'!$B$30+'Inputs'!$B$31+'Inputs'!$B$32)/1000+'Inputs'!$B$21))^2+('Inputs'!$B$8/2)^2)))-'Results'!B7*(1+'Inputs'!$B$24)*(0.5*((((221-43)*MAX('Inputs'!$B$33,'Inputs'!$B$29+'Inputs'!$B$31+'Inputs'!$B$32,'Inputs'!$B$30+'Inputs'!$B$31+'Inputs'!$B$32)/1000+'Inputs'!$B$21+'Inputs'!$B$9+'Inputs'!$B$10)+'Inputs'!$B$7)/SQRT((((221-43)*MAX('Inputs'!$B$33,'Inputs'!$B$29+'Inputs'!$B$31+'Inputs'!$B$32,'Inputs'!$B$30+'Inputs'!$B$31+'Inputs'!$B$32)/1000+'Inputs'!$B$21+'Inputs'!$B$9+'Inputs'!$B$10)+'Inputs'!$B$7)^2+('Inputs'!$B$6/2)^2)-(((221-43)*MAX('Inputs'!$B$33,'Inputs'!$B$29+'Inputs'!$B$31+'Inputs'!$B$32,'Inputs'!$B$30+'Inputs'!$B$31+'Inputs'!$B$32)/1000+'Inputs'!$B$21+'Inputs'!$B$9+'Inputs'!$B$10))/SQRT((((221-43)*MAX('Inputs'!$B$33,'Inputs'!$B$29+'Inputs'!$B$31+'Inputs'!$B$32,'Inputs'!$B$30+'Inputs'!$B$31+'Inputs'!$B$32)/1000+'Inputs'!$B$21+'Inputs'!$B$9+'Inputs'!$B$10))^2+('Inputs'!$B$6/2)^2))))*'Results'!$B$8)-'Inputs'!$B$28*ABS((('Results'!C7*(1-'Inputs'!$B$24)*(0.5*((((221-43)*MAX('Inputs'!$B$33,'Inputs'!$B$29+'Inputs'!$B$31+'Inputs'!$B$32,'Inputs'!$B$30+'Inputs'!$B$31+'Inputs'!$B$32)/1000+'Inputs'!$B$21)+'Inputs'!$B$9)/SQRT((((221-43)*MAX('Inputs'!$B$33,'Inputs'!$B$29+'Inputs'!$B$31+'Inputs'!$B$32,'Inputs'!$B$30+'Inputs'!$B$31+'Inputs'!$B$32)/1000+'Inputs'!$B$21)+'Inputs'!$B$9)^2+('Inputs'!$B$8/2)^2)-(((221-43)*MAX('Inputs'!$B$33,'Inputs'!$B$29+'Inputs'!$B$31+'Inputs'!$B$32,'Inputs'!$B$30+'Inputs'!$B$31+'Inputs'!$B$32)/1000+'Inputs'!$B$21))/SQRT((((221-43)*MAX('Inputs'!$B$33,'Inputs'!$B$29+'Inputs'!$B$31+'Inputs'!$B$32,'Inputs'!$B$30+'Inputs'!$B$31+'Inputs'!$B$32)/1000+'Inputs'!$B$21))^2+('Inputs'!$B$8/2)^2)))-'Results'!B7*(1+'Inputs'!$B$24)*(0.5*((((221-43)*MAX('Inputs'!$B$33,'Inputs'!$B$29+'Inputs'!$B$31+'Inputs'!$B$32,'Inputs'!$B$30+'Inputs'!$B$31+'Inputs'!$B$32)/1000+'Inputs'!$B$21+'Inputs'!$B$9+'Inputs'!$B$10)+'Inputs'!$B$7)/SQRT((((221-43)*MAX('Inputs'!$B$33,'Inputs'!$B$29+'Inputs'!$B$31+'Inputs'!$B$32,'Inputs'!$B$30+'Inputs'!$B$31+'Inputs'!$B$32)/1000+'Inputs'!$B$21+'Inputs'!$B$9+'Inputs'!$B$10)+'Inputs'!$B$7)^2+('Inputs'!$B$6/2)^2)-(((221-43)*MAX('Inputs'!$B$33,'Inputs'!$B$29+'Inputs'!$B$31+'Inputs'!$B$32,'Inputs'!$B$30+'Inputs'!$B$31+'Inputs'!$B$32)/1000+'Inputs'!$B$21+'Inputs'!$B$9+'Inputs'!$B$10))/SQRT((((221-43)*MAX('Inputs'!$B$33,'Inputs'!$B$29+'Inputs'!$B$31+'Inputs'!$B$32,'Inputs'!$B$30+'Inputs'!$B$31+'Inputs'!$B$32)/1000+'Inputs'!$B$21+'Inputs'!$B$9+'Inputs'!$B$10))^2+('Inputs'!$B$6/2)^2))))*'Results'!$B$8))),"")</x:f>
        <x:v>88.41430127555586</x:v>
      </x:c>
      <x:c r="O221" t="n">
        <x:f>IF(AND(ISNUMBER('Results'!C7),ISNUMBER('Results'!B7),ISNUMBER('Results'!$B$8),ISNUMBER('Inputs'!$B$6),ISNUMBER('Inputs'!$B$7),ISNUMBER('Inputs'!$B$8),ISNUMBER('Inputs'!$B$9),ISNUMBER('Inputs'!$B$10),ISNUMBER('Inputs'!$B$21),ISNUMBER('Inputs'!$B$24),ISNUMBER('Inputs'!$B$28)),((('Results'!C7*(1+'Inputs'!$B$24)*(0.5*((((221-43)*MAX('Inputs'!$B$33,'Inputs'!$B$29+'Inputs'!$B$31+'Inputs'!$B$32,'Inputs'!$B$30+'Inputs'!$B$31+'Inputs'!$B$32)/1000+'Inputs'!$B$21)+'Inputs'!$B$9)/SQRT((((221-43)*MAX('Inputs'!$B$33,'Inputs'!$B$29+'Inputs'!$B$31+'Inputs'!$B$32,'Inputs'!$B$30+'Inputs'!$B$31+'Inputs'!$B$32)/1000+'Inputs'!$B$21)+'Inputs'!$B$9)^2+('Inputs'!$B$8/2)^2)-(((221-43)*MAX('Inputs'!$B$33,'Inputs'!$B$29+'Inputs'!$B$31+'Inputs'!$B$32,'Inputs'!$B$30+'Inputs'!$B$31+'Inputs'!$B$32)/1000+'Inputs'!$B$21))/SQRT((((221-43)*MAX('Inputs'!$B$33,'Inputs'!$B$29+'Inputs'!$B$31+'Inputs'!$B$32,'Inputs'!$B$30+'Inputs'!$B$31+'Inputs'!$B$32)/1000+'Inputs'!$B$21))^2+('Inputs'!$B$8/2)^2)))-'Results'!B7*(1-'Inputs'!$B$24)*(0.5*((((221-43)*MAX('Inputs'!$B$33,'Inputs'!$B$29+'Inputs'!$B$31+'Inputs'!$B$32,'Inputs'!$B$30+'Inputs'!$B$31+'Inputs'!$B$32)/1000+'Inputs'!$B$21+'Inputs'!$B$9+'Inputs'!$B$10)+'Inputs'!$B$7)/SQRT((((221-43)*MAX('Inputs'!$B$33,'Inputs'!$B$29+'Inputs'!$B$31+'Inputs'!$B$32,'Inputs'!$B$30+'Inputs'!$B$31+'Inputs'!$B$32)/1000+'Inputs'!$B$21+'Inputs'!$B$9+'Inputs'!$B$10)+'Inputs'!$B$7)^2+('Inputs'!$B$6/2)^2)-(((221-43)*MAX('Inputs'!$B$33,'Inputs'!$B$29+'Inputs'!$B$31+'Inputs'!$B$32,'Inputs'!$B$30+'Inputs'!$B$31+'Inputs'!$B$32)/1000+'Inputs'!$B$21+'Inputs'!$B$9+'Inputs'!$B$10))/SQRT((((221-43)*MAX('Inputs'!$B$33,'Inputs'!$B$29+'Inputs'!$B$31+'Inputs'!$B$32,'Inputs'!$B$30+'Inputs'!$B$31+'Inputs'!$B$32)/1000+'Inputs'!$B$21+'Inputs'!$B$9+'Inputs'!$B$10))^2+('Inputs'!$B$6/2)^2))))*'Results'!$B$8)+'Inputs'!$B$28*ABS((('Results'!C7*(1+'Inputs'!$B$24)*(0.5*((((221-43)*MAX('Inputs'!$B$33,'Inputs'!$B$29+'Inputs'!$B$31+'Inputs'!$B$32,'Inputs'!$B$30+'Inputs'!$B$31+'Inputs'!$B$32)/1000+'Inputs'!$B$21)+'Inputs'!$B$9)/SQRT((((221-43)*MAX('Inputs'!$B$33,'Inputs'!$B$29+'Inputs'!$B$31+'Inputs'!$B$32,'Inputs'!$B$30+'Inputs'!$B$31+'Inputs'!$B$32)/1000+'Inputs'!$B$21)+'Inputs'!$B$9)^2+('Inputs'!$B$8/2)^2)-(((221-43)*MAX('Inputs'!$B$33,'Inputs'!$B$29+'Inputs'!$B$31+'Inputs'!$B$32,'Inputs'!$B$30+'Inputs'!$B$31+'Inputs'!$B$32)/1000+'Inputs'!$B$21))/SQRT((((221-43)*MAX('Inputs'!$B$33,'Inputs'!$B$29+'Inputs'!$B$31+'Inputs'!$B$32,'Inputs'!$B$30+'Inputs'!$B$31+'Inputs'!$B$32)/1000+'Inputs'!$B$21))^2+('Inputs'!$B$8/2)^2)))-'Results'!B7*(1-'Inputs'!$B$24)*(0.5*((((221-43)*MAX('Inputs'!$B$33,'Inputs'!$B$29+'Inputs'!$B$31+'Inputs'!$B$32,'Inputs'!$B$30+'Inputs'!$B$31+'Inputs'!$B$32)/1000+'Inputs'!$B$21+'Inputs'!$B$9+'Inputs'!$B$10)+'Inputs'!$B$7)/SQRT((((221-43)*MAX('Inputs'!$B$33,'Inputs'!$B$29+'Inputs'!$B$31+'Inputs'!$B$32,'Inputs'!$B$30+'Inputs'!$B$31+'Inputs'!$B$32)/1000+'Inputs'!$B$21+'Inputs'!$B$9+'Inputs'!$B$10)+'Inputs'!$B$7)^2+('Inputs'!$B$6/2)^2)-(((221-43)*MAX('Inputs'!$B$33,'Inputs'!$B$29+'Inputs'!$B$31+'Inputs'!$B$32,'Inputs'!$B$30+'Inputs'!$B$31+'Inputs'!$B$32)/1000+'Inputs'!$B$21+'Inputs'!$B$9+'Inputs'!$B$10))/SQRT((((221-43)*MAX('Inputs'!$B$33,'Inputs'!$B$29+'Inputs'!$B$31+'Inputs'!$B$32,'Inputs'!$B$30+'Inputs'!$B$31+'Inputs'!$B$32)/1000+'Inputs'!$B$21+'Inputs'!$B$9+'Inputs'!$B$10))^2+('Inputs'!$B$6/2)^2))))*'Results'!$B$8))),"")</x:f>
        <x:v>105.13562879493048</x:v>
      </x:c>
      <x:c r="P221" t="n">
        <x:f>IF(AND(MAX(J221,J220)&gt;0,J221&gt;J220+0.00000001),1,0)</x:f>
        <x:v>0</x:v>
      </x:c>
      <x:c r="Q221" t="n">
        <x:f>IF(AND(MAX(K221,K220)&gt;0,K221&gt;K220+0.00000001),1,0)</x:f>
        <x:v>0</x:v>
      </x:c>
      <x:c r="R221" t="n">
        <x:f>IF(AND(MAX(L221,L220)&gt;0,L221&gt;L220+0.00000001),1,0)</x:f>
        <x:v>0</x:v>
      </x:c>
      <x:c r="S221" t="n">
        <x:f>IF(AND(MAX(M221,M220)&gt;0,M221&gt;M220+0.00000001),1,0)</x:f>
        <x:v>0</x:v>
      </x:c>
      <x:c r="T221" t="n">
        <x:f>IF(AND(MAX(N221,N220)&gt;0,N221&gt;N220+0.00000001),1,0)</x:f>
        <x:v>0</x:v>
      </x:c>
      <x:c r="U221" t="n">
        <x:f>IF(AND(MAX(O221,O220)&gt;0,O221&gt;O220+0.00000001),1,0)</x:f>
        <x:v>0</x:v>
      </x:c>
    </x:row>
    <x:row r="222">
      <x:c r="J222" t="n">
        <x:f>IF(AND(ISNUMBER('Results'!B7),ISNUMBER('Results'!C7),ISNUMBER('Results'!$B$8),ISNUMBER('Inputs'!$B$6),ISNUMBER('Inputs'!$B$7),ISNUMBER('Inputs'!$B$8),ISNUMBER('Inputs'!$B$9),ISNUMBER('Inputs'!$B$10),ISNUMBER('Inputs'!$B$21),ISNUMBER('Inputs'!$B$24),ISNUMBER('Inputs'!$B$28)),(('Results'!B7*(0.5*((((222-43)*MAX('Inputs'!$B$33,'Inputs'!$B$29+'Inputs'!$B$31+'Inputs'!$B$32,'Inputs'!$B$30+'Inputs'!$B$31+'Inputs'!$B$32)/1000+'Inputs'!$B$21)+'Inputs'!$B$7)/SQRT((((222-43)*MAX('Inputs'!$B$33,'Inputs'!$B$29+'Inputs'!$B$31+'Inputs'!$B$32,'Inputs'!$B$30+'Inputs'!$B$31+'Inputs'!$B$32)/1000+'Inputs'!$B$21)+'Inputs'!$B$7)^2+('Inputs'!$B$6/2)^2)-(((222-43)*MAX('Inputs'!$B$33,'Inputs'!$B$29+'Inputs'!$B$31+'Inputs'!$B$32,'Inputs'!$B$30+'Inputs'!$B$31+'Inputs'!$B$32)/1000+'Inputs'!$B$21))/SQRT((((222-43)*MAX('Inputs'!$B$33,'Inputs'!$B$29+'Inputs'!$B$31+'Inputs'!$B$32,'Inputs'!$B$30+'Inputs'!$B$31+'Inputs'!$B$32)/1000+'Inputs'!$B$21))^2+('Inputs'!$B$6/2)^2)))-'Results'!C7*(0.5*((((222-43)*MAX('Inputs'!$B$33,'Inputs'!$B$29+'Inputs'!$B$31+'Inputs'!$B$32,'Inputs'!$B$30+'Inputs'!$B$31+'Inputs'!$B$32)/1000+'Inputs'!$B$21+'Inputs'!$B$7+'Inputs'!$B$10)+'Inputs'!$B$9)/SQRT((((222-43)*MAX('Inputs'!$B$33,'Inputs'!$B$29+'Inputs'!$B$31+'Inputs'!$B$32,'Inputs'!$B$30+'Inputs'!$B$31+'Inputs'!$B$32)/1000+'Inputs'!$B$21+'Inputs'!$B$7+'Inputs'!$B$10)+'Inputs'!$B$9)^2+('Inputs'!$B$8/2)^2)-(((222-43)*MAX('Inputs'!$B$33,'Inputs'!$B$29+'Inputs'!$B$31+'Inputs'!$B$32,'Inputs'!$B$30+'Inputs'!$B$31+'Inputs'!$B$32)/1000+'Inputs'!$B$21+'Inputs'!$B$7+'Inputs'!$B$10))/SQRT((((222-43)*MAX('Inputs'!$B$33,'Inputs'!$B$29+'Inputs'!$B$31+'Inputs'!$B$32,'Inputs'!$B$30+'Inputs'!$B$31+'Inputs'!$B$32)/1000+'Inputs'!$B$21+'Inputs'!$B$7+'Inputs'!$B$10))^2+('Inputs'!$B$8/2)^2))))*'Results'!$B$8),"")</x:f>
        <x:v>98.71900284427738</x:v>
      </x:c>
      <x:c r="K222" t="n">
        <x:f>IF(AND(ISNUMBER('Results'!B7),ISNUMBER('Results'!C7),ISNUMBER('Results'!$B$8),ISNUMBER('Inputs'!$B$6),ISNUMBER('Inputs'!$B$7),ISNUMBER('Inputs'!$B$8),ISNUMBER('Inputs'!$B$9),ISNUMBER('Inputs'!$B$10),ISNUMBER('Inputs'!$B$21),ISNUMBER('Inputs'!$B$24),ISNUMBER('Inputs'!$B$28)),((('Results'!B7*(1-'Inputs'!$B$24)*(0.5*((((222-43)*MAX('Inputs'!$B$33,'Inputs'!$B$29+'Inputs'!$B$31+'Inputs'!$B$32,'Inputs'!$B$30+'Inputs'!$B$31+'Inputs'!$B$32)/1000+'Inputs'!$B$21)+'Inputs'!$B$7)/SQRT((((222-43)*MAX('Inputs'!$B$33,'Inputs'!$B$29+'Inputs'!$B$31+'Inputs'!$B$32,'Inputs'!$B$30+'Inputs'!$B$31+'Inputs'!$B$32)/1000+'Inputs'!$B$21)+'Inputs'!$B$7)^2+('Inputs'!$B$6/2)^2)-(((222-43)*MAX('Inputs'!$B$33,'Inputs'!$B$29+'Inputs'!$B$31+'Inputs'!$B$32,'Inputs'!$B$30+'Inputs'!$B$31+'Inputs'!$B$32)/1000+'Inputs'!$B$21))/SQRT((((222-43)*MAX('Inputs'!$B$33,'Inputs'!$B$29+'Inputs'!$B$31+'Inputs'!$B$32,'Inputs'!$B$30+'Inputs'!$B$31+'Inputs'!$B$32)/1000+'Inputs'!$B$21))^2+('Inputs'!$B$6/2)^2)))-'Results'!C7*(1+'Inputs'!$B$24)*(0.5*((((222-43)*MAX('Inputs'!$B$33,'Inputs'!$B$29+'Inputs'!$B$31+'Inputs'!$B$32,'Inputs'!$B$30+'Inputs'!$B$31+'Inputs'!$B$32)/1000+'Inputs'!$B$21+'Inputs'!$B$7+'Inputs'!$B$10)+'Inputs'!$B$9)/SQRT((((222-43)*MAX('Inputs'!$B$33,'Inputs'!$B$29+'Inputs'!$B$31+'Inputs'!$B$32,'Inputs'!$B$30+'Inputs'!$B$31+'Inputs'!$B$32)/1000+'Inputs'!$B$21+'Inputs'!$B$7+'Inputs'!$B$10)+'Inputs'!$B$9)^2+('Inputs'!$B$8/2)^2)-(((222-43)*MAX('Inputs'!$B$33,'Inputs'!$B$29+'Inputs'!$B$31+'Inputs'!$B$32,'Inputs'!$B$30+'Inputs'!$B$31+'Inputs'!$B$32)/1000+'Inputs'!$B$21+'Inputs'!$B$7+'Inputs'!$B$10))/SQRT((((222-43)*MAX('Inputs'!$B$33,'Inputs'!$B$29+'Inputs'!$B$31+'Inputs'!$B$32,'Inputs'!$B$30+'Inputs'!$B$31+'Inputs'!$B$32)/1000+'Inputs'!$B$21+'Inputs'!$B$7+'Inputs'!$B$10))^2+('Inputs'!$B$8/2)^2))))*'Results'!$B$8)-'Inputs'!$B$28*ABS((('Results'!B7*(1-'Inputs'!$B$24)*(0.5*((((222-43)*MAX('Inputs'!$B$33,'Inputs'!$B$29+'Inputs'!$B$31+'Inputs'!$B$32,'Inputs'!$B$30+'Inputs'!$B$31+'Inputs'!$B$32)/1000+'Inputs'!$B$21)+'Inputs'!$B$7)/SQRT((((222-43)*MAX('Inputs'!$B$33,'Inputs'!$B$29+'Inputs'!$B$31+'Inputs'!$B$32,'Inputs'!$B$30+'Inputs'!$B$31+'Inputs'!$B$32)/1000+'Inputs'!$B$21)+'Inputs'!$B$7)^2+('Inputs'!$B$6/2)^2)-(((222-43)*MAX('Inputs'!$B$33,'Inputs'!$B$29+'Inputs'!$B$31+'Inputs'!$B$32,'Inputs'!$B$30+'Inputs'!$B$31+'Inputs'!$B$32)/1000+'Inputs'!$B$21))/SQRT((((222-43)*MAX('Inputs'!$B$33,'Inputs'!$B$29+'Inputs'!$B$31+'Inputs'!$B$32,'Inputs'!$B$30+'Inputs'!$B$31+'Inputs'!$B$32)/1000+'Inputs'!$B$21))^2+('Inputs'!$B$6/2)^2)))-'Results'!C7*(1+'Inputs'!$B$24)*(0.5*((((222-43)*MAX('Inputs'!$B$33,'Inputs'!$B$29+'Inputs'!$B$31+'Inputs'!$B$32,'Inputs'!$B$30+'Inputs'!$B$31+'Inputs'!$B$32)/1000+'Inputs'!$B$21+'Inputs'!$B$7+'Inputs'!$B$10)+'Inputs'!$B$9)/SQRT((((222-43)*MAX('Inputs'!$B$33,'Inputs'!$B$29+'Inputs'!$B$31+'Inputs'!$B$32,'Inputs'!$B$30+'Inputs'!$B$31+'Inputs'!$B$32)/1000+'Inputs'!$B$21+'Inputs'!$B$7+'Inputs'!$B$10)+'Inputs'!$B$9)^2+('Inputs'!$B$8/2)^2)-(((222-43)*MAX('Inputs'!$B$33,'Inputs'!$B$29+'Inputs'!$B$31+'Inputs'!$B$32,'Inputs'!$B$30+'Inputs'!$B$31+'Inputs'!$B$32)/1000+'Inputs'!$B$21+'Inputs'!$B$7+'Inputs'!$B$10))/SQRT((((222-43)*MAX('Inputs'!$B$33,'Inputs'!$B$29+'Inputs'!$B$31+'Inputs'!$B$32,'Inputs'!$B$30+'Inputs'!$B$31+'Inputs'!$B$32)/1000+'Inputs'!$B$21+'Inputs'!$B$7+'Inputs'!$B$10))^2+('Inputs'!$B$8/2)^2))))*'Results'!$B$8))),"")</x:f>
        <x:v>90.43233314914693</x:v>
      </x:c>
      <x:c r="L222" t="n">
        <x:f>IF(AND(ISNUMBER('Results'!B7),ISNUMBER('Results'!C7),ISNUMBER('Results'!$B$8),ISNUMBER('Inputs'!$B$6),ISNUMBER('Inputs'!$B$7),ISNUMBER('Inputs'!$B$8),ISNUMBER('Inputs'!$B$9),ISNUMBER('Inputs'!$B$10),ISNUMBER('Inputs'!$B$21),ISNUMBER('Inputs'!$B$24),ISNUMBER('Inputs'!$B$28)),((('Results'!B7*(1+'Inputs'!$B$24)*(0.5*((((222-43)*MAX('Inputs'!$B$33,'Inputs'!$B$29+'Inputs'!$B$31+'Inputs'!$B$32,'Inputs'!$B$30+'Inputs'!$B$31+'Inputs'!$B$32)/1000+'Inputs'!$B$21)+'Inputs'!$B$7)/SQRT((((222-43)*MAX('Inputs'!$B$33,'Inputs'!$B$29+'Inputs'!$B$31+'Inputs'!$B$32,'Inputs'!$B$30+'Inputs'!$B$31+'Inputs'!$B$32)/1000+'Inputs'!$B$21)+'Inputs'!$B$7)^2+('Inputs'!$B$6/2)^2)-(((222-43)*MAX('Inputs'!$B$33,'Inputs'!$B$29+'Inputs'!$B$31+'Inputs'!$B$32,'Inputs'!$B$30+'Inputs'!$B$31+'Inputs'!$B$32)/1000+'Inputs'!$B$21))/SQRT((((222-43)*MAX('Inputs'!$B$33,'Inputs'!$B$29+'Inputs'!$B$31+'Inputs'!$B$32,'Inputs'!$B$30+'Inputs'!$B$31+'Inputs'!$B$32)/1000+'Inputs'!$B$21))^2+('Inputs'!$B$6/2)^2)))-'Results'!C7*(1-'Inputs'!$B$24)*(0.5*((((222-43)*MAX('Inputs'!$B$33,'Inputs'!$B$29+'Inputs'!$B$31+'Inputs'!$B$32,'Inputs'!$B$30+'Inputs'!$B$31+'Inputs'!$B$32)/1000+'Inputs'!$B$21+'Inputs'!$B$7+'Inputs'!$B$10)+'Inputs'!$B$9)/SQRT((((222-43)*MAX('Inputs'!$B$33,'Inputs'!$B$29+'Inputs'!$B$31+'Inputs'!$B$32,'Inputs'!$B$30+'Inputs'!$B$31+'Inputs'!$B$32)/1000+'Inputs'!$B$21+'Inputs'!$B$7+'Inputs'!$B$10)+'Inputs'!$B$9)^2+('Inputs'!$B$8/2)^2)-(((222-43)*MAX('Inputs'!$B$33,'Inputs'!$B$29+'Inputs'!$B$31+'Inputs'!$B$32,'Inputs'!$B$30+'Inputs'!$B$31+'Inputs'!$B$32)/1000+'Inputs'!$B$21+'Inputs'!$B$7+'Inputs'!$B$10))/SQRT((((222-43)*MAX('Inputs'!$B$33,'Inputs'!$B$29+'Inputs'!$B$31+'Inputs'!$B$32,'Inputs'!$B$30+'Inputs'!$B$31+'Inputs'!$B$32)/1000+'Inputs'!$B$21+'Inputs'!$B$7+'Inputs'!$B$10))^2+('Inputs'!$B$8/2)^2))))*'Results'!$B$8)+'Inputs'!$B$28*ABS((('Results'!B7*(1+'Inputs'!$B$24)*(0.5*((((222-43)*MAX('Inputs'!$B$33,'Inputs'!$B$29+'Inputs'!$B$31+'Inputs'!$B$32,'Inputs'!$B$30+'Inputs'!$B$31+'Inputs'!$B$32)/1000+'Inputs'!$B$21)+'Inputs'!$B$7)/SQRT((((222-43)*MAX('Inputs'!$B$33,'Inputs'!$B$29+'Inputs'!$B$31+'Inputs'!$B$32,'Inputs'!$B$30+'Inputs'!$B$31+'Inputs'!$B$32)/1000+'Inputs'!$B$21)+'Inputs'!$B$7)^2+('Inputs'!$B$6/2)^2)-(((222-43)*MAX('Inputs'!$B$33,'Inputs'!$B$29+'Inputs'!$B$31+'Inputs'!$B$32,'Inputs'!$B$30+'Inputs'!$B$31+'Inputs'!$B$32)/1000+'Inputs'!$B$21))/SQRT((((222-43)*MAX('Inputs'!$B$33,'Inputs'!$B$29+'Inputs'!$B$31+'Inputs'!$B$32,'Inputs'!$B$30+'Inputs'!$B$31+'Inputs'!$B$32)/1000+'Inputs'!$B$21))^2+('Inputs'!$B$6/2)^2)))-'Results'!C7*(1-'Inputs'!$B$24)*(0.5*((((222-43)*MAX('Inputs'!$B$33,'Inputs'!$B$29+'Inputs'!$B$31+'Inputs'!$B$32,'Inputs'!$B$30+'Inputs'!$B$31+'Inputs'!$B$32)/1000+'Inputs'!$B$21+'Inputs'!$B$7+'Inputs'!$B$10)+'Inputs'!$B$9)/SQRT((((222-43)*MAX('Inputs'!$B$33,'Inputs'!$B$29+'Inputs'!$B$31+'Inputs'!$B$32,'Inputs'!$B$30+'Inputs'!$B$31+'Inputs'!$B$32)/1000+'Inputs'!$B$21+'Inputs'!$B$7+'Inputs'!$B$10)+'Inputs'!$B$9)^2+('Inputs'!$B$8/2)^2)-(((222-43)*MAX('Inputs'!$B$33,'Inputs'!$B$29+'Inputs'!$B$31+'Inputs'!$B$32,'Inputs'!$B$30+'Inputs'!$B$31+'Inputs'!$B$32)/1000+'Inputs'!$B$21+'Inputs'!$B$7+'Inputs'!$B$10))/SQRT((((222-43)*MAX('Inputs'!$B$33,'Inputs'!$B$29+'Inputs'!$B$31+'Inputs'!$B$32,'Inputs'!$B$30+'Inputs'!$B$31+'Inputs'!$B$32)/1000+'Inputs'!$B$21+'Inputs'!$B$7+'Inputs'!$B$10))^2+('Inputs'!$B$8/2)^2))))*'Results'!$B$8))),"")</x:f>
        <x:v>107.35837986076751</x:v>
      </x:c>
      <x:c r="M222" t="n">
        <x:f>IF(AND(ISNUMBER('Results'!C7),ISNUMBER('Results'!B7),ISNUMBER('Results'!$B$8),ISNUMBER('Inputs'!$B$6),ISNUMBER('Inputs'!$B$7),ISNUMBER('Inputs'!$B$8),ISNUMBER('Inputs'!$B$9),ISNUMBER('Inputs'!$B$10),ISNUMBER('Inputs'!$B$21),ISNUMBER('Inputs'!$B$24),ISNUMBER('Inputs'!$B$28)),(('Results'!C7*(0.5*((((222-43)*MAX('Inputs'!$B$33,'Inputs'!$B$29+'Inputs'!$B$31+'Inputs'!$B$32,'Inputs'!$B$30+'Inputs'!$B$31+'Inputs'!$B$32)/1000+'Inputs'!$B$21)+'Inputs'!$B$9)/SQRT((((222-43)*MAX('Inputs'!$B$33,'Inputs'!$B$29+'Inputs'!$B$31+'Inputs'!$B$32,'Inputs'!$B$30+'Inputs'!$B$31+'Inputs'!$B$32)/1000+'Inputs'!$B$21)+'Inputs'!$B$9)^2+('Inputs'!$B$8/2)^2)-(((222-43)*MAX('Inputs'!$B$33,'Inputs'!$B$29+'Inputs'!$B$31+'Inputs'!$B$32,'Inputs'!$B$30+'Inputs'!$B$31+'Inputs'!$B$32)/1000+'Inputs'!$B$21))/SQRT((((222-43)*MAX('Inputs'!$B$33,'Inputs'!$B$29+'Inputs'!$B$31+'Inputs'!$B$32,'Inputs'!$B$30+'Inputs'!$B$31+'Inputs'!$B$32)/1000+'Inputs'!$B$21))^2+('Inputs'!$B$8/2)^2)))-'Results'!B7*(0.5*((((222-43)*MAX('Inputs'!$B$33,'Inputs'!$B$29+'Inputs'!$B$31+'Inputs'!$B$32,'Inputs'!$B$30+'Inputs'!$B$31+'Inputs'!$B$32)/1000+'Inputs'!$B$21+'Inputs'!$B$9+'Inputs'!$B$10)+'Inputs'!$B$7)/SQRT((((222-43)*MAX('Inputs'!$B$33,'Inputs'!$B$29+'Inputs'!$B$31+'Inputs'!$B$32,'Inputs'!$B$30+'Inputs'!$B$31+'Inputs'!$B$32)/1000+'Inputs'!$B$21+'Inputs'!$B$9+'Inputs'!$B$10)+'Inputs'!$B$7)^2+('Inputs'!$B$6/2)^2)-(((222-43)*MAX('Inputs'!$B$33,'Inputs'!$B$29+'Inputs'!$B$31+'Inputs'!$B$32,'Inputs'!$B$30+'Inputs'!$B$31+'Inputs'!$B$32)/1000+'Inputs'!$B$21+'Inputs'!$B$9+'Inputs'!$B$10))/SQRT((((222-43)*MAX('Inputs'!$B$33,'Inputs'!$B$29+'Inputs'!$B$31+'Inputs'!$B$32,'Inputs'!$B$30+'Inputs'!$B$31+'Inputs'!$B$32)/1000+'Inputs'!$B$21+'Inputs'!$B$9+'Inputs'!$B$10))^2+('Inputs'!$B$6/2)^2))))*'Results'!$B$8),"")</x:f>
        <x:v>95.17608582295944</x:v>
      </x:c>
      <x:c r="N222" t="n">
        <x:f>IF(AND(ISNUMBER('Results'!C7),ISNUMBER('Results'!B7),ISNUMBER('Results'!$B$8),ISNUMBER('Inputs'!$B$6),ISNUMBER('Inputs'!$B$7),ISNUMBER('Inputs'!$B$8),ISNUMBER('Inputs'!$B$9),ISNUMBER('Inputs'!$B$10),ISNUMBER('Inputs'!$B$21),ISNUMBER('Inputs'!$B$24),ISNUMBER('Inputs'!$B$28)),((('Results'!C7*(1-'Inputs'!$B$24)*(0.5*((((222-43)*MAX('Inputs'!$B$33,'Inputs'!$B$29+'Inputs'!$B$31+'Inputs'!$B$32,'Inputs'!$B$30+'Inputs'!$B$31+'Inputs'!$B$32)/1000+'Inputs'!$B$21)+'Inputs'!$B$9)/SQRT((((222-43)*MAX('Inputs'!$B$33,'Inputs'!$B$29+'Inputs'!$B$31+'Inputs'!$B$32,'Inputs'!$B$30+'Inputs'!$B$31+'Inputs'!$B$32)/1000+'Inputs'!$B$21)+'Inputs'!$B$9)^2+('Inputs'!$B$8/2)^2)-(((222-43)*MAX('Inputs'!$B$33,'Inputs'!$B$29+'Inputs'!$B$31+'Inputs'!$B$32,'Inputs'!$B$30+'Inputs'!$B$31+'Inputs'!$B$32)/1000+'Inputs'!$B$21))/SQRT((((222-43)*MAX('Inputs'!$B$33,'Inputs'!$B$29+'Inputs'!$B$31+'Inputs'!$B$32,'Inputs'!$B$30+'Inputs'!$B$31+'Inputs'!$B$32)/1000+'Inputs'!$B$21))^2+('Inputs'!$B$8/2)^2)))-'Results'!B7*(1+'Inputs'!$B$24)*(0.5*((((222-43)*MAX('Inputs'!$B$33,'Inputs'!$B$29+'Inputs'!$B$31+'Inputs'!$B$32,'Inputs'!$B$30+'Inputs'!$B$31+'Inputs'!$B$32)/1000+'Inputs'!$B$21+'Inputs'!$B$9+'Inputs'!$B$10)+'Inputs'!$B$7)/SQRT((((222-43)*MAX('Inputs'!$B$33,'Inputs'!$B$29+'Inputs'!$B$31+'Inputs'!$B$32,'Inputs'!$B$30+'Inputs'!$B$31+'Inputs'!$B$32)/1000+'Inputs'!$B$21+'Inputs'!$B$9+'Inputs'!$B$10)+'Inputs'!$B$7)^2+('Inputs'!$B$6/2)^2)-(((222-43)*MAX('Inputs'!$B$33,'Inputs'!$B$29+'Inputs'!$B$31+'Inputs'!$B$32,'Inputs'!$B$30+'Inputs'!$B$31+'Inputs'!$B$32)/1000+'Inputs'!$B$21+'Inputs'!$B$9+'Inputs'!$B$10))/SQRT((((222-43)*MAX('Inputs'!$B$33,'Inputs'!$B$29+'Inputs'!$B$31+'Inputs'!$B$32,'Inputs'!$B$30+'Inputs'!$B$31+'Inputs'!$B$32)/1000+'Inputs'!$B$21+'Inputs'!$B$9+'Inputs'!$B$10))^2+('Inputs'!$B$6/2)^2))))*'Results'!$B$8)-'Inputs'!$B$28*ABS((('Results'!C7*(1-'Inputs'!$B$24)*(0.5*((((222-43)*MAX('Inputs'!$B$33,'Inputs'!$B$29+'Inputs'!$B$31+'Inputs'!$B$32,'Inputs'!$B$30+'Inputs'!$B$31+'Inputs'!$B$32)/1000+'Inputs'!$B$21)+'Inputs'!$B$9)/SQRT((((222-43)*MAX('Inputs'!$B$33,'Inputs'!$B$29+'Inputs'!$B$31+'Inputs'!$B$32,'Inputs'!$B$30+'Inputs'!$B$31+'Inputs'!$B$32)/1000+'Inputs'!$B$21)+'Inputs'!$B$9)^2+('Inputs'!$B$8/2)^2)-(((222-43)*MAX('Inputs'!$B$33,'Inputs'!$B$29+'Inputs'!$B$31+'Inputs'!$B$32,'Inputs'!$B$30+'Inputs'!$B$31+'Inputs'!$B$32)/1000+'Inputs'!$B$21))/SQRT((((222-43)*MAX('Inputs'!$B$33,'Inputs'!$B$29+'Inputs'!$B$31+'Inputs'!$B$32,'Inputs'!$B$30+'Inputs'!$B$31+'Inputs'!$B$32)/1000+'Inputs'!$B$21))^2+('Inputs'!$B$8/2)^2)))-'Results'!B7*(1+'Inputs'!$B$24)*(0.5*((((222-43)*MAX('Inputs'!$B$33,'Inputs'!$B$29+'Inputs'!$B$31+'Inputs'!$B$32,'Inputs'!$B$30+'Inputs'!$B$31+'Inputs'!$B$32)/1000+'Inputs'!$B$21+'Inputs'!$B$9+'Inputs'!$B$10)+'Inputs'!$B$7)/SQRT((((222-43)*MAX('Inputs'!$B$33,'Inputs'!$B$29+'Inputs'!$B$31+'Inputs'!$B$32,'Inputs'!$B$30+'Inputs'!$B$31+'Inputs'!$B$32)/1000+'Inputs'!$B$21+'Inputs'!$B$9+'Inputs'!$B$10)+'Inputs'!$B$7)^2+('Inputs'!$B$6/2)^2)-(((222-43)*MAX('Inputs'!$B$33,'Inputs'!$B$29+'Inputs'!$B$31+'Inputs'!$B$32,'Inputs'!$B$30+'Inputs'!$B$31+'Inputs'!$B$32)/1000+'Inputs'!$B$21+'Inputs'!$B$9+'Inputs'!$B$10))/SQRT((((222-43)*MAX('Inputs'!$B$33,'Inputs'!$B$29+'Inputs'!$B$31+'Inputs'!$B$32,'Inputs'!$B$30+'Inputs'!$B$31+'Inputs'!$B$32)/1000+'Inputs'!$B$21+'Inputs'!$B$9+'Inputs'!$B$10))^2+('Inputs'!$B$6/2)^2))))*'Results'!$B$8))),"")</x:f>
        <x:v>87.10377416762896</x:v>
      </x:c>
      <x:c r="O222" t="n">
        <x:f>IF(AND(ISNUMBER('Results'!C7),ISNUMBER('Results'!B7),ISNUMBER('Results'!$B$8),ISNUMBER('Inputs'!$B$6),ISNUMBER('Inputs'!$B$7),ISNUMBER('Inputs'!$B$8),ISNUMBER('Inputs'!$B$9),ISNUMBER('Inputs'!$B$10),ISNUMBER('Inputs'!$B$21),ISNUMBER('Inputs'!$B$24),ISNUMBER('Inputs'!$B$28)),((('Results'!C7*(1+'Inputs'!$B$24)*(0.5*((((222-43)*MAX('Inputs'!$B$33,'Inputs'!$B$29+'Inputs'!$B$31+'Inputs'!$B$32,'Inputs'!$B$30+'Inputs'!$B$31+'Inputs'!$B$32)/1000+'Inputs'!$B$21)+'Inputs'!$B$9)/SQRT((((222-43)*MAX('Inputs'!$B$33,'Inputs'!$B$29+'Inputs'!$B$31+'Inputs'!$B$32,'Inputs'!$B$30+'Inputs'!$B$31+'Inputs'!$B$32)/1000+'Inputs'!$B$21)+'Inputs'!$B$9)^2+('Inputs'!$B$8/2)^2)-(((222-43)*MAX('Inputs'!$B$33,'Inputs'!$B$29+'Inputs'!$B$31+'Inputs'!$B$32,'Inputs'!$B$30+'Inputs'!$B$31+'Inputs'!$B$32)/1000+'Inputs'!$B$21))/SQRT((((222-43)*MAX('Inputs'!$B$33,'Inputs'!$B$29+'Inputs'!$B$31+'Inputs'!$B$32,'Inputs'!$B$30+'Inputs'!$B$31+'Inputs'!$B$32)/1000+'Inputs'!$B$21))^2+('Inputs'!$B$8/2)^2)))-'Results'!B7*(1-'Inputs'!$B$24)*(0.5*((((222-43)*MAX('Inputs'!$B$33,'Inputs'!$B$29+'Inputs'!$B$31+'Inputs'!$B$32,'Inputs'!$B$30+'Inputs'!$B$31+'Inputs'!$B$32)/1000+'Inputs'!$B$21+'Inputs'!$B$9+'Inputs'!$B$10)+'Inputs'!$B$7)/SQRT((((222-43)*MAX('Inputs'!$B$33,'Inputs'!$B$29+'Inputs'!$B$31+'Inputs'!$B$32,'Inputs'!$B$30+'Inputs'!$B$31+'Inputs'!$B$32)/1000+'Inputs'!$B$21+'Inputs'!$B$9+'Inputs'!$B$10)+'Inputs'!$B$7)^2+('Inputs'!$B$6/2)^2)-(((222-43)*MAX('Inputs'!$B$33,'Inputs'!$B$29+'Inputs'!$B$31+'Inputs'!$B$32,'Inputs'!$B$30+'Inputs'!$B$31+'Inputs'!$B$32)/1000+'Inputs'!$B$21+'Inputs'!$B$9+'Inputs'!$B$10))/SQRT((((222-43)*MAX('Inputs'!$B$33,'Inputs'!$B$29+'Inputs'!$B$31+'Inputs'!$B$32,'Inputs'!$B$30+'Inputs'!$B$31+'Inputs'!$B$32)/1000+'Inputs'!$B$21+'Inputs'!$B$9+'Inputs'!$B$10))^2+('Inputs'!$B$6/2)^2))))*'Results'!$B$8)+'Inputs'!$B$28*ABS((('Results'!C7*(1+'Inputs'!$B$24)*(0.5*((((222-43)*MAX('Inputs'!$B$33,'Inputs'!$B$29+'Inputs'!$B$31+'Inputs'!$B$32,'Inputs'!$B$30+'Inputs'!$B$31+'Inputs'!$B$32)/1000+'Inputs'!$B$21)+'Inputs'!$B$9)/SQRT((((222-43)*MAX('Inputs'!$B$33,'Inputs'!$B$29+'Inputs'!$B$31+'Inputs'!$B$32,'Inputs'!$B$30+'Inputs'!$B$31+'Inputs'!$B$32)/1000+'Inputs'!$B$21)+'Inputs'!$B$9)^2+('Inputs'!$B$8/2)^2)-(((222-43)*MAX('Inputs'!$B$33,'Inputs'!$B$29+'Inputs'!$B$31+'Inputs'!$B$32,'Inputs'!$B$30+'Inputs'!$B$31+'Inputs'!$B$32)/1000+'Inputs'!$B$21))/SQRT((((222-43)*MAX('Inputs'!$B$33,'Inputs'!$B$29+'Inputs'!$B$31+'Inputs'!$B$32,'Inputs'!$B$30+'Inputs'!$B$31+'Inputs'!$B$32)/1000+'Inputs'!$B$21))^2+('Inputs'!$B$8/2)^2)))-'Results'!B7*(1-'Inputs'!$B$24)*(0.5*((((222-43)*MAX('Inputs'!$B$33,'Inputs'!$B$29+'Inputs'!$B$31+'Inputs'!$B$32,'Inputs'!$B$30+'Inputs'!$B$31+'Inputs'!$B$32)/1000+'Inputs'!$B$21+'Inputs'!$B$9+'Inputs'!$B$10)+'Inputs'!$B$7)/SQRT((((222-43)*MAX('Inputs'!$B$33,'Inputs'!$B$29+'Inputs'!$B$31+'Inputs'!$B$32,'Inputs'!$B$30+'Inputs'!$B$31+'Inputs'!$B$32)/1000+'Inputs'!$B$21+'Inputs'!$B$9+'Inputs'!$B$10)+'Inputs'!$B$7)^2+('Inputs'!$B$6/2)^2)-(((222-43)*MAX('Inputs'!$B$33,'Inputs'!$B$29+'Inputs'!$B$31+'Inputs'!$B$32,'Inputs'!$B$30+'Inputs'!$B$31+'Inputs'!$B$32)/1000+'Inputs'!$B$21+'Inputs'!$B$9+'Inputs'!$B$10))/SQRT((((222-43)*MAX('Inputs'!$B$33,'Inputs'!$B$29+'Inputs'!$B$31+'Inputs'!$B$32,'Inputs'!$B$30+'Inputs'!$B$31+'Inputs'!$B$32)/1000+'Inputs'!$B$21+'Inputs'!$B$9+'Inputs'!$B$10))^2+('Inputs'!$B$6/2)^2))))*'Results'!$B$8))),"")</x:f>
        <x:v>103.59718772715121</x:v>
      </x:c>
      <x:c r="P222" t="n">
        <x:f>IF(AND(MAX(J222,J221)&gt;0,J222&gt;J221+0.00000001),1,0)</x:f>
        <x:v>0</x:v>
      </x:c>
      <x:c r="Q222" t="n">
        <x:f>IF(AND(MAX(K222,K221)&gt;0,K222&gt;K221+0.00000001),1,0)</x:f>
        <x:v>0</x:v>
      </x:c>
      <x:c r="R222" t="n">
        <x:f>IF(AND(MAX(L222,L221)&gt;0,L222&gt;L221+0.00000001),1,0)</x:f>
        <x:v>0</x:v>
      </x:c>
      <x:c r="S222" t="n">
        <x:f>IF(AND(MAX(M222,M221)&gt;0,M222&gt;M221+0.00000001),1,0)</x:f>
        <x:v>0</x:v>
      </x:c>
      <x:c r="T222" t="n">
        <x:f>IF(AND(MAX(N222,N221)&gt;0,N222&gt;N221+0.00000001),1,0)</x:f>
        <x:v>0</x:v>
      </x:c>
      <x:c r="U222" t="n">
        <x:f>IF(AND(MAX(O222,O221)&gt;0,O222&gt;O221+0.00000001),1,0)</x:f>
        <x:v>0</x:v>
      </x:c>
    </x:row>
    <x:row r="223">
      <x:c r="J223" t="n">
        <x:f>IF(AND(ISNUMBER('Results'!B7),ISNUMBER('Results'!C7),ISNUMBER('Results'!$B$8),ISNUMBER('Inputs'!$B$6),ISNUMBER('Inputs'!$B$7),ISNUMBER('Inputs'!$B$8),ISNUMBER('Inputs'!$B$9),ISNUMBER('Inputs'!$B$10),ISNUMBER('Inputs'!$B$21),ISNUMBER('Inputs'!$B$24),ISNUMBER('Inputs'!$B$28)),(('Results'!B7*(0.5*((((223-43)*MAX('Inputs'!$B$33,'Inputs'!$B$29+'Inputs'!$B$31+'Inputs'!$B$32,'Inputs'!$B$30+'Inputs'!$B$31+'Inputs'!$B$32)/1000+'Inputs'!$B$21)+'Inputs'!$B$7)/SQRT((((223-43)*MAX('Inputs'!$B$33,'Inputs'!$B$29+'Inputs'!$B$31+'Inputs'!$B$32,'Inputs'!$B$30+'Inputs'!$B$31+'Inputs'!$B$32)/1000+'Inputs'!$B$21)+'Inputs'!$B$7)^2+('Inputs'!$B$6/2)^2)-(((223-43)*MAX('Inputs'!$B$33,'Inputs'!$B$29+'Inputs'!$B$31+'Inputs'!$B$32,'Inputs'!$B$30+'Inputs'!$B$31+'Inputs'!$B$32)/1000+'Inputs'!$B$21))/SQRT((((223-43)*MAX('Inputs'!$B$33,'Inputs'!$B$29+'Inputs'!$B$31+'Inputs'!$B$32,'Inputs'!$B$30+'Inputs'!$B$31+'Inputs'!$B$32)/1000+'Inputs'!$B$21))^2+('Inputs'!$B$6/2)^2)))-'Results'!C7*(0.5*((((223-43)*MAX('Inputs'!$B$33,'Inputs'!$B$29+'Inputs'!$B$31+'Inputs'!$B$32,'Inputs'!$B$30+'Inputs'!$B$31+'Inputs'!$B$32)/1000+'Inputs'!$B$21+'Inputs'!$B$7+'Inputs'!$B$10)+'Inputs'!$B$9)/SQRT((((223-43)*MAX('Inputs'!$B$33,'Inputs'!$B$29+'Inputs'!$B$31+'Inputs'!$B$32,'Inputs'!$B$30+'Inputs'!$B$31+'Inputs'!$B$32)/1000+'Inputs'!$B$21+'Inputs'!$B$7+'Inputs'!$B$10)+'Inputs'!$B$9)^2+('Inputs'!$B$8/2)^2)-(((223-43)*MAX('Inputs'!$B$33,'Inputs'!$B$29+'Inputs'!$B$31+'Inputs'!$B$32,'Inputs'!$B$30+'Inputs'!$B$31+'Inputs'!$B$32)/1000+'Inputs'!$B$21+'Inputs'!$B$7+'Inputs'!$B$10))/SQRT((((223-43)*MAX('Inputs'!$B$33,'Inputs'!$B$29+'Inputs'!$B$31+'Inputs'!$B$32,'Inputs'!$B$30+'Inputs'!$B$31+'Inputs'!$B$32)/1000+'Inputs'!$B$21+'Inputs'!$B$7+'Inputs'!$B$10))^2+('Inputs'!$B$8/2)^2))))*'Results'!$B$8),"")</x:f>
        <x:v>97.27921260782814</x:v>
      </x:c>
      <x:c r="K223" t="n">
        <x:f>IF(AND(ISNUMBER('Results'!B7),ISNUMBER('Results'!C7),ISNUMBER('Results'!$B$8),ISNUMBER('Inputs'!$B$6),ISNUMBER('Inputs'!$B$7),ISNUMBER('Inputs'!$B$8),ISNUMBER('Inputs'!$B$9),ISNUMBER('Inputs'!$B$10),ISNUMBER('Inputs'!$B$21),ISNUMBER('Inputs'!$B$24),ISNUMBER('Inputs'!$B$28)),((('Results'!B7*(1-'Inputs'!$B$24)*(0.5*((((223-43)*MAX('Inputs'!$B$33,'Inputs'!$B$29+'Inputs'!$B$31+'Inputs'!$B$32,'Inputs'!$B$30+'Inputs'!$B$31+'Inputs'!$B$32)/1000+'Inputs'!$B$21)+'Inputs'!$B$7)/SQRT((((223-43)*MAX('Inputs'!$B$33,'Inputs'!$B$29+'Inputs'!$B$31+'Inputs'!$B$32,'Inputs'!$B$30+'Inputs'!$B$31+'Inputs'!$B$32)/1000+'Inputs'!$B$21)+'Inputs'!$B$7)^2+('Inputs'!$B$6/2)^2)-(((223-43)*MAX('Inputs'!$B$33,'Inputs'!$B$29+'Inputs'!$B$31+'Inputs'!$B$32,'Inputs'!$B$30+'Inputs'!$B$31+'Inputs'!$B$32)/1000+'Inputs'!$B$21))/SQRT((((223-43)*MAX('Inputs'!$B$33,'Inputs'!$B$29+'Inputs'!$B$31+'Inputs'!$B$32,'Inputs'!$B$30+'Inputs'!$B$31+'Inputs'!$B$32)/1000+'Inputs'!$B$21))^2+('Inputs'!$B$6/2)^2)))-'Results'!C7*(1+'Inputs'!$B$24)*(0.5*((((223-43)*MAX('Inputs'!$B$33,'Inputs'!$B$29+'Inputs'!$B$31+'Inputs'!$B$32,'Inputs'!$B$30+'Inputs'!$B$31+'Inputs'!$B$32)/1000+'Inputs'!$B$21+'Inputs'!$B$7+'Inputs'!$B$10)+'Inputs'!$B$9)/SQRT((((223-43)*MAX('Inputs'!$B$33,'Inputs'!$B$29+'Inputs'!$B$31+'Inputs'!$B$32,'Inputs'!$B$30+'Inputs'!$B$31+'Inputs'!$B$32)/1000+'Inputs'!$B$21+'Inputs'!$B$7+'Inputs'!$B$10)+'Inputs'!$B$9)^2+('Inputs'!$B$8/2)^2)-(((223-43)*MAX('Inputs'!$B$33,'Inputs'!$B$29+'Inputs'!$B$31+'Inputs'!$B$32,'Inputs'!$B$30+'Inputs'!$B$31+'Inputs'!$B$32)/1000+'Inputs'!$B$21+'Inputs'!$B$7+'Inputs'!$B$10))/SQRT((((223-43)*MAX('Inputs'!$B$33,'Inputs'!$B$29+'Inputs'!$B$31+'Inputs'!$B$32,'Inputs'!$B$30+'Inputs'!$B$31+'Inputs'!$B$32)/1000+'Inputs'!$B$21+'Inputs'!$B$7+'Inputs'!$B$10))^2+('Inputs'!$B$8/2)^2))))*'Results'!$B$8)-'Inputs'!$B$28*ABS((('Results'!B7*(1-'Inputs'!$B$24)*(0.5*((((223-43)*MAX('Inputs'!$B$33,'Inputs'!$B$29+'Inputs'!$B$31+'Inputs'!$B$32,'Inputs'!$B$30+'Inputs'!$B$31+'Inputs'!$B$32)/1000+'Inputs'!$B$21)+'Inputs'!$B$7)/SQRT((((223-43)*MAX('Inputs'!$B$33,'Inputs'!$B$29+'Inputs'!$B$31+'Inputs'!$B$32,'Inputs'!$B$30+'Inputs'!$B$31+'Inputs'!$B$32)/1000+'Inputs'!$B$21)+'Inputs'!$B$7)^2+('Inputs'!$B$6/2)^2)-(((223-43)*MAX('Inputs'!$B$33,'Inputs'!$B$29+'Inputs'!$B$31+'Inputs'!$B$32,'Inputs'!$B$30+'Inputs'!$B$31+'Inputs'!$B$32)/1000+'Inputs'!$B$21))/SQRT((((223-43)*MAX('Inputs'!$B$33,'Inputs'!$B$29+'Inputs'!$B$31+'Inputs'!$B$32,'Inputs'!$B$30+'Inputs'!$B$31+'Inputs'!$B$32)/1000+'Inputs'!$B$21))^2+('Inputs'!$B$6/2)^2)))-'Results'!C7*(1+'Inputs'!$B$24)*(0.5*((((223-43)*MAX('Inputs'!$B$33,'Inputs'!$B$29+'Inputs'!$B$31+'Inputs'!$B$32,'Inputs'!$B$30+'Inputs'!$B$31+'Inputs'!$B$32)/1000+'Inputs'!$B$21+'Inputs'!$B$7+'Inputs'!$B$10)+'Inputs'!$B$9)/SQRT((((223-43)*MAX('Inputs'!$B$33,'Inputs'!$B$29+'Inputs'!$B$31+'Inputs'!$B$32,'Inputs'!$B$30+'Inputs'!$B$31+'Inputs'!$B$32)/1000+'Inputs'!$B$21+'Inputs'!$B$7+'Inputs'!$B$10)+'Inputs'!$B$9)^2+('Inputs'!$B$8/2)^2)-(((223-43)*MAX('Inputs'!$B$33,'Inputs'!$B$29+'Inputs'!$B$31+'Inputs'!$B$32,'Inputs'!$B$30+'Inputs'!$B$31+'Inputs'!$B$32)/1000+'Inputs'!$B$21+'Inputs'!$B$7+'Inputs'!$B$10))/SQRT((((223-43)*MAX('Inputs'!$B$33,'Inputs'!$B$29+'Inputs'!$B$31+'Inputs'!$B$32,'Inputs'!$B$30+'Inputs'!$B$31+'Inputs'!$B$32)/1000+'Inputs'!$B$21+'Inputs'!$B$7+'Inputs'!$B$10))^2+('Inputs'!$B$8/2)^2))))*'Results'!$B$8))),"")</x:f>
        <x:v>89.10513041056285</x:v>
      </x:c>
      <x:c r="L223" t="n">
        <x:f>IF(AND(ISNUMBER('Results'!B7),ISNUMBER('Results'!C7),ISNUMBER('Results'!$B$8),ISNUMBER('Inputs'!$B$6),ISNUMBER('Inputs'!$B$7),ISNUMBER('Inputs'!$B$8),ISNUMBER('Inputs'!$B$9),ISNUMBER('Inputs'!$B$10),ISNUMBER('Inputs'!$B$21),ISNUMBER('Inputs'!$B$24),ISNUMBER('Inputs'!$B$28)),((('Results'!B7*(1+'Inputs'!$B$24)*(0.5*((((223-43)*MAX('Inputs'!$B$33,'Inputs'!$B$29+'Inputs'!$B$31+'Inputs'!$B$32,'Inputs'!$B$30+'Inputs'!$B$31+'Inputs'!$B$32)/1000+'Inputs'!$B$21)+'Inputs'!$B$7)/SQRT((((223-43)*MAX('Inputs'!$B$33,'Inputs'!$B$29+'Inputs'!$B$31+'Inputs'!$B$32,'Inputs'!$B$30+'Inputs'!$B$31+'Inputs'!$B$32)/1000+'Inputs'!$B$21)+'Inputs'!$B$7)^2+('Inputs'!$B$6/2)^2)-(((223-43)*MAX('Inputs'!$B$33,'Inputs'!$B$29+'Inputs'!$B$31+'Inputs'!$B$32,'Inputs'!$B$30+'Inputs'!$B$31+'Inputs'!$B$32)/1000+'Inputs'!$B$21))/SQRT((((223-43)*MAX('Inputs'!$B$33,'Inputs'!$B$29+'Inputs'!$B$31+'Inputs'!$B$32,'Inputs'!$B$30+'Inputs'!$B$31+'Inputs'!$B$32)/1000+'Inputs'!$B$21))^2+('Inputs'!$B$6/2)^2)))-'Results'!C7*(1-'Inputs'!$B$24)*(0.5*((((223-43)*MAX('Inputs'!$B$33,'Inputs'!$B$29+'Inputs'!$B$31+'Inputs'!$B$32,'Inputs'!$B$30+'Inputs'!$B$31+'Inputs'!$B$32)/1000+'Inputs'!$B$21+'Inputs'!$B$7+'Inputs'!$B$10)+'Inputs'!$B$9)/SQRT((((223-43)*MAX('Inputs'!$B$33,'Inputs'!$B$29+'Inputs'!$B$31+'Inputs'!$B$32,'Inputs'!$B$30+'Inputs'!$B$31+'Inputs'!$B$32)/1000+'Inputs'!$B$21+'Inputs'!$B$7+'Inputs'!$B$10)+'Inputs'!$B$9)^2+('Inputs'!$B$8/2)^2)-(((223-43)*MAX('Inputs'!$B$33,'Inputs'!$B$29+'Inputs'!$B$31+'Inputs'!$B$32,'Inputs'!$B$30+'Inputs'!$B$31+'Inputs'!$B$32)/1000+'Inputs'!$B$21+'Inputs'!$B$7+'Inputs'!$B$10))/SQRT((((223-43)*MAX('Inputs'!$B$33,'Inputs'!$B$29+'Inputs'!$B$31+'Inputs'!$B$32,'Inputs'!$B$30+'Inputs'!$B$31+'Inputs'!$B$32)/1000+'Inputs'!$B$21+'Inputs'!$B$7+'Inputs'!$B$10))^2+('Inputs'!$B$8/2)^2))))*'Results'!$B$8)+'Inputs'!$B$28*ABS((('Results'!B7*(1+'Inputs'!$B$24)*(0.5*((((223-43)*MAX('Inputs'!$B$33,'Inputs'!$B$29+'Inputs'!$B$31+'Inputs'!$B$32,'Inputs'!$B$30+'Inputs'!$B$31+'Inputs'!$B$32)/1000+'Inputs'!$B$21)+'Inputs'!$B$7)/SQRT((((223-43)*MAX('Inputs'!$B$33,'Inputs'!$B$29+'Inputs'!$B$31+'Inputs'!$B$32,'Inputs'!$B$30+'Inputs'!$B$31+'Inputs'!$B$32)/1000+'Inputs'!$B$21)+'Inputs'!$B$7)^2+('Inputs'!$B$6/2)^2)-(((223-43)*MAX('Inputs'!$B$33,'Inputs'!$B$29+'Inputs'!$B$31+'Inputs'!$B$32,'Inputs'!$B$30+'Inputs'!$B$31+'Inputs'!$B$32)/1000+'Inputs'!$B$21))/SQRT((((223-43)*MAX('Inputs'!$B$33,'Inputs'!$B$29+'Inputs'!$B$31+'Inputs'!$B$32,'Inputs'!$B$30+'Inputs'!$B$31+'Inputs'!$B$32)/1000+'Inputs'!$B$21))^2+('Inputs'!$B$6/2)^2)))-'Results'!C7*(1-'Inputs'!$B$24)*(0.5*((((223-43)*MAX('Inputs'!$B$33,'Inputs'!$B$29+'Inputs'!$B$31+'Inputs'!$B$32,'Inputs'!$B$30+'Inputs'!$B$31+'Inputs'!$B$32)/1000+'Inputs'!$B$21+'Inputs'!$B$7+'Inputs'!$B$10)+'Inputs'!$B$9)/SQRT((((223-43)*MAX('Inputs'!$B$33,'Inputs'!$B$29+'Inputs'!$B$31+'Inputs'!$B$32,'Inputs'!$B$30+'Inputs'!$B$31+'Inputs'!$B$32)/1000+'Inputs'!$B$21+'Inputs'!$B$7+'Inputs'!$B$10)+'Inputs'!$B$9)^2+('Inputs'!$B$8/2)^2)-(((223-43)*MAX('Inputs'!$B$33,'Inputs'!$B$29+'Inputs'!$B$31+'Inputs'!$B$32,'Inputs'!$B$30+'Inputs'!$B$31+'Inputs'!$B$32)/1000+'Inputs'!$B$21+'Inputs'!$B$7+'Inputs'!$B$10))/SQRT((((223-43)*MAX('Inputs'!$B$33,'Inputs'!$B$29+'Inputs'!$B$31+'Inputs'!$B$32,'Inputs'!$B$30+'Inputs'!$B$31+'Inputs'!$B$32)/1000+'Inputs'!$B$21+'Inputs'!$B$7+'Inputs'!$B$10))^2+('Inputs'!$B$8/2)^2))))*'Results'!$B$8))),"")</x:f>
        <x:v>105.8017286542381</x:v>
      </x:c>
      <x:c r="M223" t="n">
        <x:f>IF(AND(ISNUMBER('Results'!C7),ISNUMBER('Results'!B7),ISNUMBER('Results'!$B$8),ISNUMBER('Inputs'!$B$6),ISNUMBER('Inputs'!$B$7),ISNUMBER('Inputs'!$B$8),ISNUMBER('Inputs'!$B$9),ISNUMBER('Inputs'!$B$10),ISNUMBER('Inputs'!$B$21),ISNUMBER('Inputs'!$B$24),ISNUMBER('Inputs'!$B$28)),(('Results'!C7*(0.5*((((223-43)*MAX('Inputs'!$B$33,'Inputs'!$B$29+'Inputs'!$B$31+'Inputs'!$B$32,'Inputs'!$B$30+'Inputs'!$B$31+'Inputs'!$B$32)/1000+'Inputs'!$B$21)+'Inputs'!$B$9)/SQRT((((223-43)*MAX('Inputs'!$B$33,'Inputs'!$B$29+'Inputs'!$B$31+'Inputs'!$B$32,'Inputs'!$B$30+'Inputs'!$B$31+'Inputs'!$B$32)/1000+'Inputs'!$B$21)+'Inputs'!$B$9)^2+('Inputs'!$B$8/2)^2)-(((223-43)*MAX('Inputs'!$B$33,'Inputs'!$B$29+'Inputs'!$B$31+'Inputs'!$B$32,'Inputs'!$B$30+'Inputs'!$B$31+'Inputs'!$B$32)/1000+'Inputs'!$B$21))/SQRT((((223-43)*MAX('Inputs'!$B$33,'Inputs'!$B$29+'Inputs'!$B$31+'Inputs'!$B$32,'Inputs'!$B$30+'Inputs'!$B$31+'Inputs'!$B$32)/1000+'Inputs'!$B$21))^2+('Inputs'!$B$8/2)^2)))-'Results'!B7*(0.5*((((223-43)*MAX('Inputs'!$B$33,'Inputs'!$B$29+'Inputs'!$B$31+'Inputs'!$B$32,'Inputs'!$B$30+'Inputs'!$B$31+'Inputs'!$B$32)/1000+'Inputs'!$B$21+'Inputs'!$B$9+'Inputs'!$B$10)+'Inputs'!$B$7)/SQRT((((223-43)*MAX('Inputs'!$B$33,'Inputs'!$B$29+'Inputs'!$B$31+'Inputs'!$B$32,'Inputs'!$B$30+'Inputs'!$B$31+'Inputs'!$B$32)/1000+'Inputs'!$B$21+'Inputs'!$B$9+'Inputs'!$B$10)+'Inputs'!$B$7)^2+('Inputs'!$B$6/2)^2)-(((223-43)*MAX('Inputs'!$B$33,'Inputs'!$B$29+'Inputs'!$B$31+'Inputs'!$B$32,'Inputs'!$B$30+'Inputs'!$B$31+'Inputs'!$B$32)/1000+'Inputs'!$B$21+'Inputs'!$B$9+'Inputs'!$B$10))/SQRT((((223-43)*MAX('Inputs'!$B$33,'Inputs'!$B$29+'Inputs'!$B$31+'Inputs'!$B$32,'Inputs'!$B$30+'Inputs'!$B$31+'Inputs'!$B$32)/1000+'Inputs'!$B$21+'Inputs'!$B$9+'Inputs'!$B$10))^2+('Inputs'!$B$6/2)^2))))*'Results'!$B$8),"")</x:f>
        <x:v>93.77917254251165</x:v>
      </x:c>
      <x:c r="N223" t="n">
        <x:f>IF(AND(ISNUMBER('Results'!C7),ISNUMBER('Results'!B7),ISNUMBER('Results'!$B$8),ISNUMBER('Inputs'!$B$6),ISNUMBER('Inputs'!$B$7),ISNUMBER('Inputs'!$B$8),ISNUMBER('Inputs'!$B$9),ISNUMBER('Inputs'!$B$10),ISNUMBER('Inputs'!$B$21),ISNUMBER('Inputs'!$B$24),ISNUMBER('Inputs'!$B$28)),((('Results'!C7*(1-'Inputs'!$B$24)*(0.5*((((223-43)*MAX('Inputs'!$B$33,'Inputs'!$B$29+'Inputs'!$B$31+'Inputs'!$B$32,'Inputs'!$B$30+'Inputs'!$B$31+'Inputs'!$B$32)/1000+'Inputs'!$B$21)+'Inputs'!$B$9)/SQRT((((223-43)*MAX('Inputs'!$B$33,'Inputs'!$B$29+'Inputs'!$B$31+'Inputs'!$B$32,'Inputs'!$B$30+'Inputs'!$B$31+'Inputs'!$B$32)/1000+'Inputs'!$B$21)+'Inputs'!$B$9)^2+('Inputs'!$B$8/2)^2)-(((223-43)*MAX('Inputs'!$B$33,'Inputs'!$B$29+'Inputs'!$B$31+'Inputs'!$B$32,'Inputs'!$B$30+'Inputs'!$B$31+'Inputs'!$B$32)/1000+'Inputs'!$B$21))/SQRT((((223-43)*MAX('Inputs'!$B$33,'Inputs'!$B$29+'Inputs'!$B$31+'Inputs'!$B$32,'Inputs'!$B$30+'Inputs'!$B$31+'Inputs'!$B$32)/1000+'Inputs'!$B$21))^2+('Inputs'!$B$8/2)^2)))-'Results'!B7*(1+'Inputs'!$B$24)*(0.5*((((223-43)*MAX('Inputs'!$B$33,'Inputs'!$B$29+'Inputs'!$B$31+'Inputs'!$B$32,'Inputs'!$B$30+'Inputs'!$B$31+'Inputs'!$B$32)/1000+'Inputs'!$B$21+'Inputs'!$B$9+'Inputs'!$B$10)+'Inputs'!$B$7)/SQRT((((223-43)*MAX('Inputs'!$B$33,'Inputs'!$B$29+'Inputs'!$B$31+'Inputs'!$B$32,'Inputs'!$B$30+'Inputs'!$B$31+'Inputs'!$B$32)/1000+'Inputs'!$B$21+'Inputs'!$B$9+'Inputs'!$B$10)+'Inputs'!$B$7)^2+('Inputs'!$B$6/2)^2)-(((223-43)*MAX('Inputs'!$B$33,'Inputs'!$B$29+'Inputs'!$B$31+'Inputs'!$B$32,'Inputs'!$B$30+'Inputs'!$B$31+'Inputs'!$B$32)/1000+'Inputs'!$B$21+'Inputs'!$B$9+'Inputs'!$B$10))/SQRT((((223-43)*MAX('Inputs'!$B$33,'Inputs'!$B$29+'Inputs'!$B$31+'Inputs'!$B$32,'Inputs'!$B$30+'Inputs'!$B$31+'Inputs'!$B$32)/1000+'Inputs'!$B$21+'Inputs'!$B$9+'Inputs'!$B$10))^2+('Inputs'!$B$6/2)^2))))*'Results'!$B$8)-'Inputs'!$B$28*ABS((('Results'!C7*(1-'Inputs'!$B$24)*(0.5*((((223-43)*MAX('Inputs'!$B$33,'Inputs'!$B$29+'Inputs'!$B$31+'Inputs'!$B$32,'Inputs'!$B$30+'Inputs'!$B$31+'Inputs'!$B$32)/1000+'Inputs'!$B$21)+'Inputs'!$B$9)/SQRT((((223-43)*MAX('Inputs'!$B$33,'Inputs'!$B$29+'Inputs'!$B$31+'Inputs'!$B$32,'Inputs'!$B$30+'Inputs'!$B$31+'Inputs'!$B$32)/1000+'Inputs'!$B$21)+'Inputs'!$B$9)^2+('Inputs'!$B$8/2)^2)-(((223-43)*MAX('Inputs'!$B$33,'Inputs'!$B$29+'Inputs'!$B$31+'Inputs'!$B$32,'Inputs'!$B$30+'Inputs'!$B$31+'Inputs'!$B$32)/1000+'Inputs'!$B$21))/SQRT((((223-43)*MAX('Inputs'!$B$33,'Inputs'!$B$29+'Inputs'!$B$31+'Inputs'!$B$32,'Inputs'!$B$30+'Inputs'!$B$31+'Inputs'!$B$32)/1000+'Inputs'!$B$21))^2+('Inputs'!$B$8/2)^2)))-'Results'!B7*(1+'Inputs'!$B$24)*(0.5*((((223-43)*MAX('Inputs'!$B$33,'Inputs'!$B$29+'Inputs'!$B$31+'Inputs'!$B$32,'Inputs'!$B$30+'Inputs'!$B$31+'Inputs'!$B$32)/1000+'Inputs'!$B$21+'Inputs'!$B$9+'Inputs'!$B$10)+'Inputs'!$B$7)/SQRT((((223-43)*MAX('Inputs'!$B$33,'Inputs'!$B$29+'Inputs'!$B$31+'Inputs'!$B$32,'Inputs'!$B$30+'Inputs'!$B$31+'Inputs'!$B$32)/1000+'Inputs'!$B$21+'Inputs'!$B$9+'Inputs'!$B$10)+'Inputs'!$B$7)^2+('Inputs'!$B$6/2)^2)-(((223-43)*MAX('Inputs'!$B$33,'Inputs'!$B$29+'Inputs'!$B$31+'Inputs'!$B$32,'Inputs'!$B$30+'Inputs'!$B$31+'Inputs'!$B$32)/1000+'Inputs'!$B$21+'Inputs'!$B$9+'Inputs'!$B$10))/SQRT((((223-43)*MAX('Inputs'!$B$33,'Inputs'!$B$29+'Inputs'!$B$31+'Inputs'!$B$32,'Inputs'!$B$30+'Inputs'!$B$31+'Inputs'!$B$32)/1000+'Inputs'!$B$21+'Inputs'!$B$9+'Inputs'!$B$10))^2+('Inputs'!$B$6/2)^2))))*'Results'!$B$8))),"")</x:f>
        <x:v>85.81676011939956</x:v>
      </x:c>
      <x:c r="O223" t="n">
        <x:f>IF(AND(ISNUMBER('Results'!C7),ISNUMBER('Results'!B7),ISNUMBER('Results'!$B$8),ISNUMBER('Inputs'!$B$6),ISNUMBER('Inputs'!$B$7),ISNUMBER('Inputs'!$B$8),ISNUMBER('Inputs'!$B$9),ISNUMBER('Inputs'!$B$10),ISNUMBER('Inputs'!$B$21),ISNUMBER('Inputs'!$B$24),ISNUMBER('Inputs'!$B$28)),((('Results'!C7*(1+'Inputs'!$B$24)*(0.5*((((223-43)*MAX('Inputs'!$B$33,'Inputs'!$B$29+'Inputs'!$B$31+'Inputs'!$B$32,'Inputs'!$B$30+'Inputs'!$B$31+'Inputs'!$B$32)/1000+'Inputs'!$B$21)+'Inputs'!$B$9)/SQRT((((223-43)*MAX('Inputs'!$B$33,'Inputs'!$B$29+'Inputs'!$B$31+'Inputs'!$B$32,'Inputs'!$B$30+'Inputs'!$B$31+'Inputs'!$B$32)/1000+'Inputs'!$B$21)+'Inputs'!$B$9)^2+('Inputs'!$B$8/2)^2)-(((223-43)*MAX('Inputs'!$B$33,'Inputs'!$B$29+'Inputs'!$B$31+'Inputs'!$B$32,'Inputs'!$B$30+'Inputs'!$B$31+'Inputs'!$B$32)/1000+'Inputs'!$B$21))/SQRT((((223-43)*MAX('Inputs'!$B$33,'Inputs'!$B$29+'Inputs'!$B$31+'Inputs'!$B$32,'Inputs'!$B$30+'Inputs'!$B$31+'Inputs'!$B$32)/1000+'Inputs'!$B$21))^2+('Inputs'!$B$8/2)^2)))-'Results'!B7*(1-'Inputs'!$B$24)*(0.5*((((223-43)*MAX('Inputs'!$B$33,'Inputs'!$B$29+'Inputs'!$B$31+'Inputs'!$B$32,'Inputs'!$B$30+'Inputs'!$B$31+'Inputs'!$B$32)/1000+'Inputs'!$B$21+'Inputs'!$B$9+'Inputs'!$B$10)+'Inputs'!$B$7)/SQRT((((223-43)*MAX('Inputs'!$B$33,'Inputs'!$B$29+'Inputs'!$B$31+'Inputs'!$B$32,'Inputs'!$B$30+'Inputs'!$B$31+'Inputs'!$B$32)/1000+'Inputs'!$B$21+'Inputs'!$B$9+'Inputs'!$B$10)+'Inputs'!$B$7)^2+('Inputs'!$B$6/2)^2)-(((223-43)*MAX('Inputs'!$B$33,'Inputs'!$B$29+'Inputs'!$B$31+'Inputs'!$B$32,'Inputs'!$B$30+'Inputs'!$B$31+'Inputs'!$B$32)/1000+'Inputs'!$B$21+'Inputs'!$B$9+'Inputs'!$B$10))/SQRT((((223-43)*MAX('Inputs'!$B$33,'Inputs'!$B$29+'Inputs'!$B$31+'Inputs'!$B$32,'Inputs'!$B$30+'Inputs'!$B$31+'Inputs'!$B$32)/1000+'Inputs'!$B$21+'Inputs'!$B$9+'Inputs'!$B$10))^2+('Inputs'!$B$6/2)^2))))*'Results'!$B$8)+'Inputs'!$B$28*ABS((('Results'!C7*(1+'Inputs'!$B$24)*(0.5*((((223-43)*MAX('Inputs'!$B$33,'Inputs'!$B$29+'Inputs'!$B$31+'Inputs'!$B$32,'Inputs'!$B$30+'Inputs'!$B$31+'Inputs'!$B$32)/1000+'Inputs'!$B$21)+'Inputs'!$B$9)/SQRT((((223-43)*MAX('Inputs'!$B$33,'Inputs'!$B$29+'Inputs'!$B$31+'Inputs'!$B$32,'Inputs'!$B$30+'Inputs'!$B$31+'Inputs'!$B$32)/1000+'Inputs'!$B$21)+'Inputs'!$B$9)^2+('Inputs'!$B$8/2)^2)-(((223-43)*MAX('Inputs'!$B$33,'Inputs'!$B$29+'Inputs'!$B$31+'Inputs'!$B$32,'Inputs'!$B$30+'Inputs'!$B$31+'Inputs'!$B$32)/1000+'Inputs'!$B$21))/SQRT((((223-43)*MAX('Inputs'!$B$33,'Inputs'!$B$29+'Inputs'!$B$31+'Inputs'!$B$32,'Inputs'!$B$30+'Inputs'!$B$31+'Inputs'!$B$32)/1000+'Inputs'!$B$21))^2+('Inputs'!$B$8/2)^2)))-'Results'!B7*(1-'Inputs'!$B$24)*(0.5*((((223-43)*MAX('Inputs'!$B$33,'Inputs'!$B$29+'Inputs'!$B$31+'Inputs'!$B$32,'Inputs'!$B$30+'Inputs'!$B$31+'Inputs'!$B$32)/1000+'Inputs'!$B$21+'Inputs'!$B$9+'Inputs'!$B$10)+'Inputs'!$B$7)/SQRT((((223-43)*MAX('Inputs'!$B$33,'Inputs'!$B$29+'Inputs'!$B$31+'Inputs'!$B$32,'Inputs'!$B$30+'Inputs'!$B$31+'Inputs'!$B$32)/1000+'Inputs'!$B$21+'Inputs'!$B$9+'Inputs'!$B$10)+'Inputs'!$B$7)^2+('Inputs'!$B$6/2)^2)-(((223-43)*MAX('Inputs'!$B$33,'Inputs'!$B$29+'Inputs'!$B$31+'Inputs'!$B$32,'Inputs'!$B$30+'Inputs'!$B$31+'Inputs'!$B$32)/1000+'Inputs'!$B$21+'Inputs'!$B$9+'Inputs'!$B$10))/SQRT((((223-43)*MAX('Inputs'!$B$33,'Inputs'!$B$29+'Inputs'!$B$31+'Inputs'!$B$32,'Inputs'!$B$30+'Inputs'!$B$31+'Inputs'!$B$32)/1000+'Inputs'!$B$21+'Inputs'!$B$9+'Inputs'!$B$10))^2+('Inputs'!$B$6/2)^2))))*'Results'!$B$8))),"")</x:f>
        <x:v>102.08615904941175</x:v>
      </x:c>
      <x:c r="P223" t="n">
        <x:f>IF(AND(MAX(J223,J222)&gt;0,J223&gt;J222+0.00000001),1,0)</x:f>
        <x:v>0</x:v>
      </x:c>
      <x:c r="Q223" t="n">
        <x:f>IF(AND(MAX(K223,K222)&gt;0,K223&gt;K222+0.00000001),1,0)</x:f>
        <x:v>0</x:v>
      </x:c>
      <x:c r="R223" t="n">
        <x:f>IF(AND(MAX(L223,L222)&gt;0,L223&gt;L222+0.00000001),1,0)</x:f>
        <x:v>0</x:v>
      </x:c>
      <x:c r="S223" t="n">
        <x:f>IF(AND(MAX(M223,M222)&gt;0,M223&gt;M222+0.00000001),1,0)</x:f>
        <x:v>0</x:v>
      </x:c>
      <x:c r="T223" t="n">
        <x:f>IF(AND(MAX(N223,N222)&gt;0,N223&gt;N222+0.00000001),1,0)</x:f>
        <x:v>0</x:v>
      </x:c>
      <x:c r="U223" t="n">
        <x:f>IF(AND(MAX(O223,O222)&gt;0,O223&gt;O222+0.00000001),1,0)</x:f>
        <x:v>0</x:v>
      </x:c>
    </x:row>
    <x:row r="224">
      <x:c r="J224" t="n">
        <x:f>IF(AND(ISNUMBER('Results'!B7),ISNUMBER('Results'!C7),ISNUMBER('Results'!$B$8),ISNUMBER('Inputs'!$B$6),ISNUMBER('Inputs'!$B$7),ISNUMBER('Inputs'!$B$8),ISNUMBER('Inputs'!$B$9),ISNUMBER('Inputs'!$B$10),ISNUMBER('Inputs'!$B$21),ISNUMBER('Inputs'!$B$24),ISNUMBER('Inputs'!$B$28)),(('Results'!B7*(0.5*((((224-43)*MAX('Inputs'!$B$33,'Inputs'!$B$29+'Inputs'!$B$31+'Inputs'!$B$32,'Inputs'!$B$30+'Inputs'!$B$31+'Inputs'!$B$32)/1000+'Inputs'!$B$21)+'Inputs'!$B$7)/SQRT((((224-43)*MAX('Inputs'!$B$33,'Inputs'!$B$29+'Inputs'!$B$31+'Inputs'!$B$32,'Inputs'!$B$30+'Inputs'!$B$31+'Inputs'!$B$32)/1000+'Inputs'!$B$21)+'Inputs'!$B$7)^2+('Inputs'!$B$6/2)^2)-(((224-43)*MAX('Inputs'!$B$33,'Inputs'!$B$29+'Inputs'!$B$31+'Inputs'!$B$32,'Inputs'!$B$30+'Inputs'!$B$31+'Inputs'!$B$32)/1000+'Inputs'!$B$21))/SQRT((((224-43)*MAX('Inputs'!$B$33,'Inputs'!$B$29+'Inputs'!$B$31+'Inputs'!$B$32,'Inputs'!$B$30+'Inputs'!$B$31+'Inputs'!$B$32)/1000+'Inputs'!$B$21))^2+('Inputs'!$B$6/2)^2)))-'Results'!C7*(0.5*((((224-43)*MAX('Inputs'!$B$33,'Inputs'!$B$29+'Inputs'!$B$31+'Inputs'!$B$32,'Inputs'!$B$30+'Inputs'!$B$31+'Inputs'!$B$32)/1000+'Inputs'!$B$21+'Inputs'!$B$7+'Inputs'!$B$10)+'Inputs'!$B$9)/SQRT((((224-43)*MAX('Inputs'!$B$33,'Inputs'!$B$29+'Inputs'!$B$31+'Inputs'!$B$32,'Inputs'!$B$30+'Inputs'!$B$31+'Inputs'!$B$32)/1000+'Inputs'!$B$21+'Inputs'!$B$7+'Inputs'!$B$10)+'Inputs'!$B$9)^2+('Inputs'!$B$8/2)^2)-(((224-43)*MAX('Inputs'!$B$33,'Inputs'!$B$29+'Inputs'!$B$31+'Inputs'!$B$32,'Inputs'!$B$30+'Inputs'!$B$31+'Inputs'!$B$32)/1000+'Inputs'!$B$21+'Inputs'!$B$7+'Inputs'!$B$10))/SQRT((((224-43)*MAX('Inputs'!$B$33,'Inputs'!$B$29+'Inputs'!$B$31+'Inputs'!$B$32,'Inputs'!$B$30+'Inputs'!$B$31+'Inputs'!$B$32)/1000+'Inputs'!$B$21+'Inputs'!$B$7+'Inputs'!$B$10))^2+('Inputs'!$B$8/2)^2))))*'Results'!$B$8),"")</x:f>
        <x:v>95.86500218735362</x:v>
      </x:c>
      <x:c r="K224" t="n">
        <x:f>IF(AND(ISNUMBER('Results'!B7),ISNUMBER('Results'!C7),ISNUMBER('Results'!$B$8),ISNUMBER('Inputs'!$B$6),ISNUMBER('Inputs'!$B$7),ISNUMBER('Inputs'!$B$8),ISNUMBER('Inputs'!$B$9),ISNUMBER('Inputs'!$B$10),ISNUMBER('Inputs'!$B$21),ISNUMBER('Inputs'!$B$24),ISNUMBER('Inputs'!$B$28)),((('Results'!B7*(1-'Inputs'!$B$24)*(0.5*((((224-43)*MAX('Inputs'!$B$33,'Inputs'!$B$29+'Inputs'!$B$31+'Inputs'!$B$32,'Inputs'!$B$30+'Inputs'!$B$31+'Inputs'!$B$32)/1000+'Inputs'!$B$21)+'Inputs'!$B$7)/SQRT((((224-43)*MAX('Inputs'!$B$33,'Inputs'!$B$29+'Inputs'!$B$31+'Inputs'!$B$32,'Inputs'!$B$30+'Inputs'!$B$31+'Inputs'!$B$32)/1000+'Inputs'!$B$21)+'Inputs'!$B$7)^2+('Inputs'!$B$6/2)^2)-(((224-43)*MAX('Inputs'!$B$33,'Inputs'!$B$29+'Inputs'!$B$31+'Inputs'!$B$32,'Inputs'!$B$30+'Inputs'!$B$31+'Inputs'!$B$32)/1000+'Inputs'!$B$21))/SQRT((((224-43)*MAX('Inputs'!$B$33,'Inputs'!$B$29+'Inputs'!$B$31+'Inputs'!$B$32,'Inputs'!$B$30+'Inputs'!$B$31+'Inputs'!$B$32)/1000+'Inputs'!$B$21))^2+('Inputs'!$B$6/2)^2)))-'Results'!C7*(1+'Inputs'!$B$24)*(0.5*((((224-43)*MAX('Inputs'!$B$33,'Inputs'!$B$29+'Inputs'!$B$31+'Inputs'!$B$32,'Inputs'!$B$30+'Inputs'!$B$31+'Inputs'!$B$32)/1000+'Inputs'!$B$21+'Inputs'!$B$7+'Inputs'!$B$10)+'Inputs'!$B$9)/SQRT((((224-43)*MAX('Inputs'!$B$33,'Inputs'!$B$29+'Inputs'!$B$31+'Inputs'!$B$32,'Inputs'!$B$30+'Inputs'!$B$31+'Inputs'!$B$32)/1000+'Inputs'!$B$21+'Inputs'!$B$7+'Inputs'!$B$10)+'Inputs'!$B$9)^2+('Inputs'!$B$8/2)^2)-(((224-43)*MAX('Inputs'!$B$33,'Inputs'!$B$29+'Inputs'!$B$31+'Inputs'!$B$32,'Inputs'!$B$30+'Inputs'!$B$31+'Inputs'!$B$32)/1000+'Inputs'!$B$21+'Inputs'!$B$7+'Inputs'!$B$10))/SQRT((((224-43)*MAX('Inputs'!$B$33,'Inputs'!$B$29+'Inputs'!$B$31+'Inputs'!$B$32,'Inputs'!$B$30+'Inputs'!$B$31+'Inputs'!$B$32)/1000+'Inputs'!$B$21+'Inputs'!$B$7+'Inputs'!$B$10))^2+('Inputs'!$B$8/2)^2))))*'Results'!$B$8)-'Inputs'!$B$28*ABS((('Results'!B7*(1-'Inputs'!$B$24)*(0.5*((((224-43)*MAX('Inputs'!$B$33,'Inputs'!$B$29+'Inputs'!$B$31+'Inputs'!$B$32,'Inputs'!$B$30+'Inputs'!$B$31+'Inputs'!$B$32)/1000+'Inputs'!$B$21)+'Inputs'!$B$7)/SQRT((((224-43)*MAX('Inputs'!$B$33,'Inputs'!$B$29+'Inputs'!$B$31+'Inputs'!$B$32,'Inputs'!$B$30+'Inputs'!$B$31+'Inputs'!$B$32)/1000+'Inputs'!$B$21)+'Inputs'!$B$7)^2+('Inputs'!$B$6/2)^2)-(((224-43)*MAX('Inputs'!$B$33,'Inputs'!$B$29+'Inputs'!$B$31+'Inputs'!$B$32,'Inputs'!$B$30+'Inputs'!$B$31+'Inputs'!$B$32)/1000+'Inputs'!$B$21))/SQRT((((224-43)*MAX('Inputs'!$B$33,'Inputs'!$B$29+'Inputs'!$B$31+'Inputs'!$B$32,'Inputs'!$B$30+'Inputs'!$B$31+'Inputs'!$B$32)/1000+'Inputs'!$B$21))^2+('Inputs'!$B$6/2)^2)))-'Results'!C7*(1+'Inputs'!$B$24)*(0.5*((((224-43)*MAX('Inputs'!$B$33,'Inputs'!$B$29+'Inputs'!$B$31+'Inputs'!$B$32,'Inputs'!$B$30+'Inputs'!$B$31+'Inputs'!$B$32)/1000+'Inputs'!$B$21+'Inputs'!$B$7+'Inputs'!$B$10)+'Inputs'!$B$9)/SQRT((((224-43)*MAX('Inputs'!$B$33,'Inputs'!$B$29+'Inputs'!$B$31+'Inputs'!$B$32,'Inputs'!$B$30+'Inputs'!$B$31+'Inputs'!$B$32)/1000+'Inputs'!$B$21+'Inputs'!$B$7+'Inputs'!$B$10)+'Inputs'!$B$9)^2+('Inputs'!$B$8/2)^2)-(((224-43)*MAX('Inputs'!$B$33,'Inputs'!$B$29+'Inputs'!$B$31+'Inputs'!$B$32,'Inputs'!$B$30+'Inputs'!$B$31+'Inputs'!$B$32)/1000+'Inputs'!$B$21+'Inputs'!$B$7+'Inputs'!$B$10))/SQRT((((224-43)*MAX('Inputs'!$B$33,'Inputs'!$B$29+'Inputs'!$B$31+'Inputs'!$B$32,'Inputs'!$B$30+'Inputs'!$B$31+'Inputs'!$B$32)/1000+'Inputs'!$B$21+'Inputs'!$B$7+'Inputs'!$B$10))^2+('Inputs'!$B$8/2)^2))))*'Results'!$B$8))),"")</x:f>
        <x:v>87.80158682142601</x:v>
      </x:c>
      <x:c r="L224" t="n">
        <x:f>IF(AND(ISNUMBER('Results'!B7),ISNUMBER('Results'!C7),ISNUMBER('Results'!$B$8),ISNUMBER('Inputs'!$B$6),ISNUMBER('Inputs'!$B$7),ISNUMBER('Inputs'!$B$8),ISNUMBER('Inputs'!$B$9),ISNUMBER('Inputs'!$B$10),ISNUMBER('Inputs'!$B$21),ISNUMBER('Inputs'!$B$24),ISNUMBER('Inputs'!$B$28)),((('Results'!B7*(1+'Inputs'!$B$24)*(0.5*((((224-43)*MAX('Inputs'!$B$33,'Inputs'!$B$29+'Inputs'!$B$31+'Inputs'!$B$32,'Inputs'!$B$30+'Inputs'!$B$31+'Inputs'!$B$32)/1000+'Inputs'!$B$21)+'Inputs'!$B$7)/SQRT((((224-43)*MAX('Inputs'!$B$33,'Inputs'!$B$29+'Inputs'!$B$31+'Inputs'!$B$32,'Inputs'!$B$30+'Inputs'!$B$31+'Inputs'!$B$32)/1000+'Inputs'!$B$21)+'Inputs'!$B$7)^2+('Inputs'!$B$6/2)^2)-(((224-43)*MAX('Inputs'!$B$33,'Inputs'!$B$29+'Inputs'!$B$31+'Inputs'!$B$32,'Inputs'!$B$30+'Inputs'!$B$31+'Inputs'!$B$32)/1000+'Inputs'!$B$21))/SQRT((((224-43)*MAX('Inputs'!$B$33,'Inputs'!$B$29+'Inputs'!$B$31+'Inputs'!$B$32,'Inputs'!$B$30+'Inputs'!$B$31+'Inputs'!$B$32)/1000+'Inputs'!$B$21))^2+('Inputs'!$B$6/2)^2)))-'Results'!C7*(1-'Inputs'!$B$24)*(0.5*((((224-43)*MAX('Inputs'!$B$33,'Inputs'!$B$29+'Inputs'!$B$31+'Inputs'!$B$32,'Inputs'!$B$30+'Inputs'!$B$31+'Inputs'!$B$32)/1000+'Inputs'!$B$21+'Inputs'!$B$7+'Inputs'!$B$10)+'Inputs'!$B$9)/SQRT((((224-43)*MAX('Inputs'!$B$33,'Inputs'!$B$29+'Inputs'!$B$31+'Inputs'!$B$32,'Inputs'!$B$30+'Inputs'!$B$31+'Inputs'!$B$32)/1000+'Inputs'!$B$21+'Inputs'!$B$7+'Inputs'!$B$10)+'Inputs'!$B$9)^2+('Inputs'!$B$8/2)^2)-(((224-43)*MAX('Inputs'!$B$33,'Inputs'!$B$29+'Inputs'!$B$31+'Inputs'!$B$32,'Inputs'!$B$30+'Inputs'!$B$31+'Inputs'!$B$32)/1000+'Inputs'!$B$21+'Inputs'!$B$7+'Inputs'!$B$10))/SQRT((((224-43)*MAX('Inputs'!$B$33,'Inputs'!$B$29+'Inputs'!$B$31+'Inputs'!$B$32,'Inputs'!$B$30+'Inputs'!$B$31+'Inputs'!$B$32)/1000+'Inputs'!$B$21+'Inputs'!$B$7+'Inputs'!$B$10))^2+('Inputs'!$B$8/2)^2))))*'Results'!$B$8)+'Inputs'!$B$28*ABS((('Results'!B7*(1+'Inputs'!$B$24)*(0.5*((((224-43)*MAX('Inputs'!$B$33,'Inputs'!$B$29+'Inputs'!$B$31+'Inputs'!$B$32,'Inputs'!$B$30+'Inputs'!$B$31+'Inputs'!$B$32)/1000+'Inputs'!$B$21)+'Inputs'!$B$7)/SQRT((((224-43)*MAX('Inputs'!$B$33,'Inputs'!$B$29+'Inputs'!$B$31+'Inputs'!$B$32,'Inputs'!$B$30+'Inputs'!$B$31+'Inputs'!$B$32)/1000+'Inputs'!$B$21)+'Inputs'!$B$7)^2+('Inputs'!$B$6/2)^2)-(((224-43)*MAX('Inputs'!$B$33,'Inputs'!$B$29+'Inputs'!$B$31+'Inputs'!$B$32,'Inputs'!$B$30+'Inputs'!$B$31+'Inputs'!$B$32)/1000+'Inputs'!$B$21))/SQRT((((224-43)*MAX('Inputs'!$B$33,'Inputs'!$B$29+'Inputs'!$B$31+'Inputs'!$B$32,'Inputs'!$B$30+'Inputs'!$B$31+'Inputs'!$B$32)/1000+'Inputs'!$B$21))^2+('Inputs'!$B$6/2)^2)))-'Results'!C7*(1-'Inputs'!$B$24)*(0.5*((((224-43)*MAX('Inputs'!$B$33,'Inputs'!$B$29+'Inputs'!$B$31+'Inputs'!$B$32,'Inputs'!$B$30+'Inputs'!$B$31+'Inputs'!$B$32)/1000+'Inputs'!$B$21+'Inputs'!$B$7+'Inputs'!$B$10)+'Inputs'!$B$9)/SQRT((((224-43)*MAX('Inputs'!$B$33,'Inputs'!$B$29+'Inputs'!$B$31+'Inputs'!$B$32,'Inputs'!$B$30+'Inputs'!$B$31+'Inputs'!$B$32)/1000+'Inputs'!$B$21+'Inputs'!$B$7+'Inputs'!$B$10)+'Inputs'!$B$9)^2+('Inputs'!$B$8/2)^2)-(((224-43)*MAX('Inputs'!$B$33,'Inputs'!$B$29+'Inputs'!$B$31+'Inputs'!$B$32,'Inputs'!$B$30+'Inputs'!$B$31+'Inputs'!$B$32)/1000+'Inputs'!$B$21+'Inputs'!$B$7+'Inputs'!$B$10))/SQRT((((224-43)*MAX('Inputs'!$B$33,'Inputs'!$B$29+'Inputs'!$B$31+'Inputs'!$B$32,'Inputs'!$B$30+'Inputs'!$B$31+'Inputs'!$B$32)/1000+'Inputs'!$B$21+'Inputs'!$B$7+'Inputs'!$B$10))^2+('Inputs'!$B$8/2)^2))))*'Results'!$B$8))),"")</x:f>
        <x:v>104.27264547502439</x:v>
      </x:c>
      <x:c r="M224" t="n">
        <x:f>IF(AND(ISNUMBER('Results'!C7),ISNUMBER('Results'!B7),ISNUMBER('Results'!$B$8),ISNUMBER('Inputs'!$B$6),ISNUMBER('Inputs'!$B$7),ISNUMBER('Inputs'!$B$8),ISNUMBER('Inputs'!$B$9),ISNUMBER('Inputs'!$B$10),ISNUMBER('Inputs'!$B$21),ISNUMBER('Inputs'!$B$24),ISNUMBER('Inputs'!$B$28)),(('Results'!C7*(0.5*((((224-43)*MAX('Inputs'!$B$33,'Inputs'!$B$29+'Inputs'!$B$31+'Inputs'!$B$32,'Inputs'!$B$30+'Inputs'!$B$31+'Inputs'!$B$32)/1000+'Inputs'!$B$21)+'Inputs'!$B$9)/SQRT((((224-43)*MAX('Inputs'!$B$33,'Inputs'!$B$29+'Inputs'!$B$31+'Inputs'!$B$32,'Inputs'!$B$30+'Inputs'!$B$31+'Inputs'!$B$32)/1000+'Inputs'!$B$21)+'Inputs'!$B$9)^2+('Inputs'!$B$8/2)^2)-(((224-43)*MAX('Inputs'!$B$33,'Inputs'!$B$29+'Inputs'!$B$31+'Inputs'!$B$32,'Inputs'!$B$30+'Inputs'!$B$31+'Inputs'!$B$32)/1000+'Inputs'!$B$21))/SQRT((((224-43)*MAX('Inputs'!$B$33,'Inputs'!$B$29+'Inputs'!$B$31+'Inputs'!$B$32,'Inputs'!$B$30+'Inputs'!$B$31+'Inputs'!$B$32)/1000+'Inputs'!$B$21))^2+('Inputs'!$B$8/2)^2)))-'Results'!B7*(0.5*((((224-43)*MAX('Inputs'!$B$33,'Inputs'!$B$29+'Inputs'!$B$31+'Inputs'!$B$32,'Inputs'!$B$30+'Inputs'!$B$31+'Inputs'!$B$32)/1000+'Inputs'!$B$21+'Inputs'!$B$9+'Inputs'!$B$10)+'Inputs'!$B$7)/SQRT((((224-43)*MAX('Inputs'!$B$33,'Inputs'!$B$29+'Inputs'!$B$31+'Inputs'!$B$32,'Inputs'!$B$30+'Inputs'!$B$31+'Inputs'!$B$32)/1000+'Inputs'!$B$21+'Inputs'!$B$9+'Inputs'!$B$10)+'Inputs'!$B$7)^2+('Inputs'!$B$6/2)^2)-(((224-43)*MAX('Inputs'!$B$33,'Inputs'!$B$29+'Inputs'!$B$31+'Inputs'!$B$32,'Inputs'!$B$30+'Inputs'!$B$31+'Inputs'!$B$32)/1000+'Inputs'!$B$21+'Inputs'!$B$9+'Inputs'!$B$10))/SQRT((((224-43)*MAX('Inputs'!$B$33,'Inputs'!$B$29+'Inputs'!$B$31+'Inputs'!$B$32,'Inputs'!$B$30+'Inputs'!$B$31+'Inputs'!$B$32)/1000+'Inputs'!$B$21+'Inputs'!$B$9+'Inputs'!$B$10))^2+('Inputs'!$B$6/2)^2))))*'Results'!$B$8),"")</x:f>
        <x:v>92.40716195794575</x:v>
      </x:c>
      <x:c r="N224" t="n">
        <x:f>IF(AND(ISNUMBER('Results'!C7),ISNUMBER('Results'!B7),ISNUMBER('Results'!$B$8),ISNUMBER('Inputs'!$B$6),ISNUMBER('Inputs'!$B$7),ISNUMBER('Inputs'!$B$8),ISNUMBER('Inputs'!$B$9),ISNUMBER('Inputs'!$B$10),ISNUMBER('Inputs'!$B$21),ISNUMBER('Inputs'!$B$24),ISNUMBER('Inputs'!$B$28)),((('Results'!C7*(1-'Inputs'!$B$24)*(0.5*((((224-43)*MAX('Inputs'!$B$33,'Inputs'!$B$29+'Inputs'!$B$31+'Inputs'!$B$32,'Inputs'!$B$30+'Inputs'!$B$31+'Inputs'!$B$32)/1000+'Inputs'!$B$21)+'Inputs'!$B$9)/SQRT((((224-43)*MAX('Inputs'!$B$33,'Inputs'!$B$29+'Inputs'!$B$31+'Inputs'!$B$32,'Inputs'!$B$30+'Inputs'!$B$31+'Inputs'!$B$32)/1000+'Inputs'!$B$21)+'Inputs'!$B$9)^2+('Inputs'!$B$8/2)^2)-(((224-43)*MAX('Inputs'!$B$33,'Inputs'!$B$29+'Inputs'!$B$31+'Inputs'!$B$32,'Inputs'!$B$30+'Inputs'!$B$31+'Inputs'!$B$32)/1000+'Inputs'!$B$21))/SQRT((((224-43)*MAX('Inputs'!$B$33,'Inputs'!$B$29+'Inputs'!$B$31+'Inputs'!$B$32,'Inputs'!$B$30+'Inputs'!$B$31+'Inputs'!$B$32)/1000+'Inputs'!$B$21))^2+('Inputs'!$B$8/2)^2)))-'Results'!B7*(1+'Inputs'!$B$24)*(0.5*((((224-43)*MAX('Inputs'!$B$33,'Inputs'!$B$29+'Inputs'!$B$31+'Inputs'!$B$32,'Inputs'!$B$30+'Inputs'!$B$31+'Inputs'!$B$32)/1000+'Inputs'!$B$21+'Inputs'!$B$9+'Inputs'!$B$10)+'Inputs'!$B$7)/SQRT((((224-43)*MAX('Inputs'!$B$33,'Inputs'!$B$29+'Inputs'!$B$31+'Inputs'!$B$32,'Inputs'!$B$30+'Inputs'!$B$31+'Inputs'!$B$32)/1000+'Inputs'!$B$21+'Inputs'!$B$9+'Inputs'!$B$10)+'Inputs'!$B$7)^2+('Inputs'!$B$6/2)^2)-(((224-43)*MAX('Inputs'!$B$33,'Inputs'!$B$29+'Inputs'!$B$31+'Inputs'!$B$32,'Inputs'!$B$30+'Inputs'!$B$31+'Inputs'!$B$32)/1000+'Inputs'!$B$21+'Inputs'!$B$9+'Inputs'!$B$10))/SQRT((((224-43)*MAX('Inputs'!$B$33,'Inputs'!$B$29+'Inputs'!$B$31+'Inputs'!$B$32,'Inputs'!$B$30+'Inputs'!$B$31+'Inputs'!$B$32)/1000+'Inputs'!$B$21+'Inputs'!$B$9+'Inputs'!$B$10))^2+('Inputs'!$B$6/2)^2))))*'Results'!$B$8)-'Inputs'!$B$28*ABS((('Results'!C7*(1-'Inputs'!$B$24)*(0.5*((((224-43)*MAX('Inputs'!$B$33,'Inputs'!$B$29+'Inputs'!$B$31+'Inputs'!$B$32,'Inputs'!$B$30+'Inputs'!$B$31+'Inputs'!$B$32)/1000+'Inputs'!$B$21)+'Inputs'!$B$9)/SQRT((((224-43)*MAX('Inputs'!$B$33,'Inputs'!$B$29+'Inputs'!$B$31+'Inputs'!$B$32,'Inputs'!$B$30+'Inputs'!$B$31+'Inputs'!$B$32)/1000+'Inputs'!$B$21)+'Inputs'!$B$9)^2+('Inputs'!$B$8/2)^2)-(((224-43)*MAX('Inputs'!$B$33,'Inputs'!$B$29+'Inputs'!$B$31+'Inputs'!$B$32,'Inputs'!$B$30+'Inputs'!$B$31+'Inputs'!$B$32)/1000+'Inputs'!$B$21))/SQRT((((224-43)*MAX('Inputs'!$B$33,'Inputs'!$B$29+'Inputs'!$B$31+'Inputs'!$B$32,'Inputs'!$B$30+'Inputs'!$B$31+'Inputs'!$B$32)/1000+'Inputs'!$B$21))^2+('Inputs'!$B$8/2)^2)))-'Results'!B7*(1+'Inputs'!$B$24)*(0.5*((((224-43)*MAX('Inputs'!$B$33,'Inputs'!$B$29+'Inputs'!$B$31+'Inputs'!$B$32,'Inputs'!$B$30+'Inputs'!$B$31+'Inputs'!$B$32)/1000+'Inputs'!$B$21+'Inputs'!$B$9+'Inputs'!$B$10)+'Inputs'!$B$7)/SQRT((((224-43)*MAX('Inputs'!$B$33,'Inputs'!$B$29+'Inputs'!$B$31+'Inputs'!$B$32,'Inputs'!$B$30+'Inputs'!$B$31+'Inputs'!$B$32)/1000+'Inputs'!$B$21+'Inputs'!$B$9+'Inputs'!$B$10)+'Inputs'!$B$7)^2+('Inputs'!$B$6/2)^2)-(((224-43)*MAX('Inputs'!$B$33,'Inputs'!$B$29+'Inputs'!$B$31+'Inputs'!$B$32,'Inputs'!$B$30+'Inputs'!$B$31+'Inputs'!$B$32)/1000+'Inputs'!$B$21+'Inputs'!$B$9+'Inputs'!$B$10))/SQRT((((224-43)*MAX('Inputs'!$B$33,'Inputs'!$B$29+'Inputs'!$B$31+'Inputs'!$B$32,'Inputs'!$B$30+'Inputs'!$B$31+'Inputs'!$B$32)/1000+'Inputs'!$B$21+'Inputs'!$B$9+'Inputs'!$B$10))^2+('Inputs'!$B$6/2)^2))))*'Results'!$B$8))),"")</x:f>
        <x:v>84.55277164509216</x:v>
      </x:c>
      <x:c r="O224" t="n">
        <x:f>IF(AND(ISNUMBER('Results'!C7),ISNUMBER('Results'!B7),ISNUMBER('Results'!$B$8),ISNUMBER('Inputs'!$B$6),ISNUMBER('Inputs'!$B$7),ISNUMBER('Inputs'!$B$8),ISNUMBER('Inputs'!$B$9),ISNUMBER('Inputs'!$B$10),ISNUMBER('Inputs'!$B$21),ISNUMBER('Inputs'!$B$24),ISNUMBER('Inputs'!$B$28)),((('Results'!C7*(1+'Inputs'!$B$24)*(0.5*((((224-43)*MAX('Inputs'!$B$33,'Inputs'!$B$29+'Inputs'!$B$31+'Inputs'!$B$32,'Inputs'!$B$30+'Inputs'!$B$31+'Inputs'!$B$32)/1000+'Inputs'!$B$21)+'Inputs'!$B$9)/SQRT((((224-43)*MAX('Inputs'!$B$33,'Inputs'!$B$29+'Inputs'!$B$31+'Inputs'!$B$32,'Inputs'!$B$30+'Inputs'!$B$31+'Inputs'!$B$32)/1000+'Inputs'!$B$21)+'Inputs'!$B$9)^2+('Inputs'!$B$8/2)^2)-(((224-43)*MAX('Inputs'!$B$33,'Inputs'!$B$29+'Inputs'!$B$31+'Inputs'!$B$32,'Inputs'!$B$30+'Inputs'!$B$31+'Inputs'!$B$32)/1000+'Inputs'!$B$21))/SQRT((((224-43)*MAX('Inputs'!$B$33,'Inputs'!$B$29+'Inputs'!$B$31+'Inputs'!$B$32,'Inputs'!$B$30+'Inputs'!$B$31+'Inputs'!$B$32)/1000+'Inputs'!$B$21))^2+('Inputs'!$B$8/2)^2)))-'Results'!B7*(1-'Inputs'!$B$24)*(0.5*((((224-43)*MAX('Inputs'!$B$33,'Inputs'!$B$29+'Inputs'!$B$31+'Inputs'!$B$32,'Inputs'!$B$30+'Inputs'!$B$31+'Inputs'!$B$32)/1000+'Inputs'!$B$21+'Inputs'!$B$9+'Inputs'!$B$10)+'Inputs'!$B$7)/SQRT((((224-43)*MAX('Inputs'!$B$33,'Inputs'!$B$29+'Inputs'!$B$31+'Inputs'!$B$32,'Inputs'!$B$30+'Inputs'!$B$31+'Inputs'!$B$32)/1000+'Inputs'!$B$21+'Inputs'!$B$9+'Inputs'!$B$10)+'Inputs'!$B$7)^2+('Inputs'!$B$6/2)^2)-(((224-43)*MAX('Inputs'!$B$33,'Inputs'!$B$29+'Inputs'!$B$31+'Inputs'!$B$32,'Inputs'!$B$30+'Inputs'!$B$31+'Inputs'!$B$32)/1000+'Inputs'!$B$21+'Inputs'!$B$9+'Inputs'!$B$10))/SQRT((((224-43)*MAX('Inputs'!$B$33,'Inputs'!$B$29+'Inputs'!$B$31+'Inputs'!$B$32,'Inputs'!$B$30+'Inputs'!$B$31+'Inputs'!$B$32)/1000+'Inputs'!$B$21+'Inputs'!$B$9+'Inputs'!$B$10))^2+('Inputs'!$B$6/2)^2))))*'Results'!$B$8)+'Inputs'!$B$28*ABS((('Results'!C7*(1+'Inputs'!$B$24)*(0.5*((((224-43)*MAX('Inputs'!$B$33,'Inputs'!$B$29+'Inputs'!$B$31+'Inputs'!$B$32,'Inputs'!$B$30+'Inputs'!$B$31+'Inputs'!$B$32)/1000+'Inputs'!$B$21)+'Inputs'!$B$9)/SQRT((((224-43)*MAX('Inputs'!$B$33,'Inputs'!$B$29+'Inputs'!$B$31+'Inputs'!$B$32,'Inputs'!$B$30+'Inputs'!$B$31+'Inputs'!$B$32)/1000+'Inputs'!$B$21)+'Inputs'!$B$9)^2+('Inputs'!$B$8/2)^2)-(((224-43)*MAX('Inputs'!$B$33,'Inputs'!$B$29+'Inputs'!$B$31+'Inputs'!$B$32,'Inputs'!$B$30+'Inputs'!$B$31+'Inputs'!$B$32)/1000+'Inputs'!$B$21))/SQRT((((224-43)*MAX('Inputs'!$B$33,'Inputs'!$B$29+'Inputs'!$B$31+'Inputs'!$B$32,'Inputs'!$B$30+'Inputs'!$B$31+'Inputs'!$B$32)/1000+'Inputs'!$B$21))^2+('Inputs'!$B$8/2)^2)))-'Results'!B7*(1-'Inputs'!$B$24)*(0.5*((((224-43)*MAX('Inputs'!$B$33,'Inputs'!$B$29+'Inputs'!$B$31+'Inputs'!$B$32,'Inputs'!$B$30+'Inputs'!$B$31+'Inputs'!$B$32)/1000+'Inputs'!$B$21+'Inputs'!$B$9+'Inputs'!$B$10)+'Inputs'!$B$7)/SQRT((((224-43)*MAX('Inputs'!$B$33,'Inputs'!$B$29+'Inputs'!$B$31+'Inputs'!$B$32,'Inputs'!$B$30+'Inputs'!$B$31+'Inputs'!$B$32)/1000+'Inputs'!$B$21+'Inputs'!$B$9+'Inputs'!$B$10)+'Inputs'!$B$7)^2+('Inputs'!$B$6/2)^2)-(((224-43)*MAX('Inputs'!$B$33,'Inputs'!$B$29+'Inputs'!$B$31+'Inputs'!$B$32,'Inputs'!$B$30+'Inputs'!$B$31+'Inputs'!$B$32)/1000+'Inputs'!$B$21+'Inputs'!$B$9+'Inputs'!$B$10))/SQRT((((224-43)*MAX('Inputs'!$B$33,'Inputs'!$B$29+'Inputs'!$B$31+'Inputs'!$B$32,'Inputs'!$B$30+'Inputs'!$B$31+'Inputs'!$B$32)/1000+'Inputs'!$B$21+'Inputs'!$B$9+'Inputs'!$B$10))^2+('Inputs'!$B$6/2)^2))))*'Results'!$B$8))),"")</x:f>
        <x:v>100.60197671447895</x:v>
      </x:c>
      <x:c r="P224" t="n">
        <x:f>IF(AND(MAX(J224,J223)&gt;0,J224&gt;J223+0.00000001),1,0)</x:f>
        <x:v>0</x:v>
      </x:c>
      <x:c r="Q224" t="n">
        <x:f>IF(AND(MAX(K224,K223)&gt;0,K224&gt;K223+0.00000001),1,0)</x:f>
        <x:v>0</x:v>
      </x:c>
      <x:c r="R224" t="n">
        <x:f>IF(AND(MAX(L224,L223)&gt;0,L224&gt;L223+0.00000001),1,0)</x:f>
        <x:v>0</x:v>
      </x:c>
      <x:c r="S224" t="n">
        <x:f>IF(AND(MAX(M224,M223)&gt;0,M224&gt;M223+0.00000001),1,0)</x:f>
        <x:v>0</x:v>
      </x:c>
      <x:c r="T224" t="n">
        <x:f>IF(AND(MAX(N224,N223)&gt;0,N224&gt;N223+0.00000001),1,0)</x:f>
        <x:v>0</x:v>
      </x:c>
      <x:c r="U224" t="n">
        <x:f>IF(AND(MAX(O224,O223)&gt;0,O224&gt;O223+0.00000001),1,0)</x:f>
        <x:v>0</x:v>
      </x:c>
    </x:row>
    <x:row r="225">
      <x:c r="J225" t="n">
        <x:f>IF(AND(ISNUMBER('Results'!B7),ISNUMBER('Results'!C7),ISNUMBER('Results'!$B$8),ISNUMBER('Inputs'!$B$6),ISNUMBER('Inputs'!$B$7),ISNUMBER('Inputs'!$B$8),ISNUMBER('Inputs'!$B$9),ISNUMBER('Inputs'!$B$10),ISNUMBER('Inputs'!$B$21),ISNUMBER('Inputs'!$B$24),ISNUMBER('Inputs'!$B$28)),(('Results'!B7*(0.5*((((225-43)*MAX('Inputs'!$B$33,'Inputs'!$B$29+'Inputs'!$B$31+'Inputs'!$B$32,'Inputs'!$B$30+'Inputs'!$B$31+'Inputs'!$B$32)/1000+'Inputs'!$B$21)+'Inputs'!$B$7)/SQRT((((225-43)*MAX('Inputs'!$B$33,'Inputs'!$B$29+'Inputs'!$B$31+'Inputs'!$B$32,'Inputs'!$B$30+'Inputs'!$B$31+'Inputs'!$B$32)/1000+'Inputs'!$B$21)+'Inputs'!$B$7)^2+('Inputs'!$B$6/2)^2)-(((225-43)*MAX('Inputs'!$B$33,'Inputs'!$B$29+'Inputs'!$B$31+'Inputs'!$B$32,'Inputs'!$B$30+'Inputs'!$B$31+'Inputs'!$B$32)/1000+'Inputs'!$B$21))/SQRT((((225-43)*MAX('Inputs'!$B$33,'Inputs'!$B$29+'Inputs'!$B$31+'Inputs'!$B$32,'Inputs'!$B$30+'Inputs'!$B$31+'Inputs'!$B$32)/1000+'Inputs'!$B$21))^2+('Inputs'!$B$6/2)^2)))-'Results'!C7*(0.5*((((225-43)*MAX('Inputs'!$B$33,'Inputs'!$B$29+'Inputs'!$B$31+'Inputs'!$B$32,'Inputs'!$B$30+'Inputs'!$B$31+'Inputs'!$B$32)/1000+'Inputs'!$B$21+'Inputs'!$B$7+'Inputs'!$B$10)+'Inputs'!$B$9)/SQRT((((225-43)*MAX('Inputs'!$B$33,'Inputs'!$B$29+'Inputs'!$B$31+'Inputs'!$B$32,'Inputs'!$B$30+'Inputs'!$B$31+'Inputs'!$B$32)/1000+'Inputs'!$B$21+'Inputs'!$B$7+'Inputs'!$B$10)+'Inputs'!$B$9)^2+('Inputs'!$B$8/2)^2)-(((225-43)*MAX('Inputs'!$B$33,'Inputs'!$B$29+'Inputs'!$B$31+'Inputs'!$B$32,'Inputs'!$B$30+'Inputs'!$B$31+'Inputs'!$B$32)/1000+'Inputs'!$B$21+'Inputs'!$B$7+'Inputs'!$B$10))/SQRT((((225-43)*MAX('Inputs'!$B$33,'Inputs'!$B$29+'Inputs'!$B$31+'Inputs'!$B$32,'Inputs'!$B$30+'Inputs'!$B$31+'Inputs'!$B$32)/1000+'Inputs'!$B$21+'Inputs'!$B$7+'Inputs'!$B$10))^2+('Inputs'!$B$8/2)^2))))*'Results'!$B$8),"")</x:f>
        <x:v>94.47584464624697</x:v>
      </x:c>
      <x:c r="K225" t="n">
        <x:f>IF(AND(ISNUMBER('Results'!B7),ISNUMBER('Results'!C7),ISNUMBER('Results'!$B$8),ISNUMBER('Inputs'!$B$6),ISNUMBER('Inputs'!$B$7),ISNUMBER('Inputs'!$B$8),ISNUMBER('Inputs'!$B$9),ISNUMBER('Inputs'!$B$10),ISNUMBER('Inputs'!$B$21),ISNUMBER('Inputs'!$B$24),ISNUMBER('Inputs'!$B$28)),((('Results'!B7*(1-'Inputs'!$B$24)*(0.5*((((225-43)*MAX('Inputs'!$B$33,'Inputs'!$B$29+'Inputs'!$B$31+'Inputs'!$B$32,'Inputs'!$B$30+'Inputs'!$B$31+'Inputs'!$B$32)/1000+'Inputs'!$B$21)+'Inputs'!$B$7)/SQRT((((225-43)*MAX('Inputs'!$B$33,'Inputs'!$B$29+'Inputs'!$B$31+'Inputs'!$B$32,'Inputs'!$B$30+'Inputs'!$B$31+'Inputs'!$B$32)/1000+'Inputs'!$B$21)+'Inputs'!$B$7)^2+('Inputs'!$B$6/2)^2)-(((225-43)*MAX('Inputs'!$B$33,'Inputs'!$B$29+'Inputs'!$B$31+'Inputs'!$B$32,'Inputs'!$B$30+'Inputs'!$B$31+'Inputs'!$B$32)/1000+'Inputs'!$B$21))/SQRT((((225-43)*MAX('Inputs'!$B$33,'Inputs'!$B$29+'Inputs'!$B$31+'Inputs'!$B$32,'Inputs'!$B$30+'Inputs'!$B$31+'Inputs'!$B$32)/1000+'Inputs'!$B$21))^2+('Inputs'!$B$6/2)^2)))-'Results'!C7*(1+'Inputs'!$B$24)*(0.5*((((225-43)*MAX('Inputs'!$B$33,'Inputs'!$B$29+'Inputs'!$B$31+'Inputs'!$B$32,'Inputs'!$B$30+'Inputs'!$B$31+'Inputs'!$B$32)/1000+'Inputs'!$B$21+'Inputs'!$B$7+'Inputs'!$B$10)+'Inputs'!$B$9)/SQRT((((225-43)*MAX('Inputs'!$B$33,'Inputs'!$B$29+'Inputs'!$B$31+'Inputs'!$B$32,'Inputs'!$B$30+'Inputs'!$B$31+'Inputs'!$B$32)/1000+'Inputs'!$B$21+'Inputs'!$B$7+'Inputs'!$B$10)+'Inputs'!$B$9)^2+('Inputs'!$B$8/2)^2)-(((225-43)*MAX('Inputs'!$B$33,'Inputs'!$B$29+'Inputs'!$B$31+'Inputs'!$B$32,'Inputs'!$B$30+'Inputs'!$B$31+'Inputs'!$B$32)/1000+'Inputs'!$B$21+'Inputs'!$B$7+'Inputs'!$B$10))/SQRT((((225-43)*MAX('Inputs'!$B$33,'Inputs'!$B$29+'Inputs'!$B$31+'Inputs'!$B$32,'Inputs'!$B$30+'Inputs'!$B$31+'Inputs'!$B$32)/1000+'Inputs'!$B$21+'Inputs'!$B$7+'Inputs'!$B$10))^2+('Inputs'!$B$8/2)^2))))*'Results'!$B$8)-'Inputs'!$B$28*ABS((('Results'!B7*(1-'Inputs'!$B$24)*(0.5*((((225-43)*MAX('Inputs'!$B$33,'Inputs'!$B$29+'Inputs'!$B$31+'Inputs'!$B$32,'Inputs'!$B$30+'Inputs'!$B$31+'Inputs'!$B$32)/1000+'Inputs'!$B$21)+'Inputs'!$B$7)/SQRT((((225-43)*MAX('Inputs'!$B$33,'Inputs'!$B$29+'Inputs'!$B$31+'Inputs'!$B$32,'Inputs'!$B$30+'Inputs'!$B$31+'Inputs'!$B$32)/1000+'Inputs'!$B$21)+'Inputs'!$B$7)^2+('Inputs'!$B$6/2)^2)-(((225-43)*MAX('Inputs'!$B$33,'Inputs'!$B$29+'Inputs'!$B$31+'Inputs'!$B$32,'Inputs'!$B$30+'Inputs'!$B$31+'Inputs'!$B$32)/1000+'Inputs'!$B$21))/SQRT((((225-43)*MAX('Inputs'!$B$33,'Inputs'!$B$29+'Inputs'!$B$31+'Inputs'!$B$32,'Inputs'!$B$30+'Inputs'!$B$31+'Inputs'!$B$32)/1000+'Inputs'!$B$21))^2+('Inputs'!$B$6/2)^2)))-'Results'!C7*(1+'Inputs'!$B$24)*(0.5*((((225-43)*MAX('Inputs'!$B$33,'Inputs'!$B$29+'Inputs'!$B$31+'Inputs'!$B$32,'Inputs'!$B$30+'Inputs'!$B$31+'Inputs'!$B$32)/1000+'Inputs'!$B$21+'Inputs'!$B$7+'Inputs'!$B$10)+'Inputs'!$B$9)/SQRT((((225-43)*MAX('Inputs'!$B$33,'Inputs'!$B$29+'Inputs'!$B$31+'Inputs'!$B$32,'Inputs'!$B$30+'Inputs'!$B$31+'Inputs'!$B$32)/1000+'Inputs'!$B$21+'Inputs'!$B$7+'Inputs'!$B$10)+'Inputs'!$B$9)^2+('Inputs'!$B$8/2)^2)-(((225-43)*MAX('Inputs'!$B$33,'Inputs'!$B$29+'Inputs'!$B$31+'Inputs'!$B$32,'Inputs'!$B$30+'Inputs'!$B$31+'Inputs'!$B$32)/1000+'Inputs'!$B$21+'Inputs'!$B$7+'Inputs'!$B$10))/SQRT((((225-43)*MAX('Inputs'!$B$33,'Inputs'!$B$29+'Inputs'!$B$31+'Inputs'!$B$32,'Inputs'!$B$30+'Inputs'!$B$31+'Inputs'!$B$32)/1000+'Inputs'!$B$21+'Inputs'!$B$7+'Inputs'!$B$10))^2+('Inputs'!$B$8/2)^2))))*'Results'!$B$8))),"")</x:f>
        <x:v>86.52121404820095</x:v>
      </x:c>
      <x:c r="L225" t="n">
        <x:f>IF(AND(ISNUMBER('Results'!B7),ISNUMBER('Results'!C7),ISNUMBER('Results'!$B$8),ISNUMBER('Inputs'!$B$6),ISNUMBER('Inputs'!$B$7),ISNUMBER('Inputs'!$B$8),ISNUMBER('Inputs'!$B$9),ISNUMBER('Inputs'!$B$10),ISNUMBER('Inputs'!$B$21),ISNUMBER('Inputs'!$B$24),ISNUMBER('Inputs'!$B$28)),((('Results'!B7*(1+'Inputs'!$B$24)*(0.5*((((225-43)*MAX('Inputs'!$B$33,'Inputs'!$B$29+'Inputs'!$B$31+'Inputs'!$B$32,'Inputs'!$B$30+'Inputs'!$B$31+'Inputs'!$B$32)/1000+'Inputs'!$B$21)+'Inputs'!$B$7)/SQRT((((225-43)*MAX('Inputs'!$B$33,'Inputs'!$B$29+'Inputs'!$B$31+'Inputs'!$B$32,'Inputs'!$B$30+'Inputs'!$B$31+'Inputs'!$B$32)/1000+'Inputs'!$B$21)+'Inputs'!$B$7)^2+('Inputs'!$B$6/2)^2)-(((225-43)*MAX('Inputs'!$B$33,'Inputs'!$B$29+'Inputs'!$B$31+'Inputs'!$B$32,'Inputs'!$B$30+'Inputs'!$B$31+'Inputs'!$B$32)/1000+'Inputs'!$B$21))/SQRT((((225-43)*MAX('Inputs'!$B$33,'Inputs'!$B$29+'Inputs'!$B$31+'Inputs'!$B$32,'Inputs'!$B$30+'Inputs'!$B$31+'Inputs'!$B$32)/1000+'Inputs'!$B$21))^2+('Inputs'!$B$6/2)^2)))-'Results'!C7*(1-'Inputs'!$B$24)*(0.5*((((225-43)*MAX('Inputs'!$B$33,'Inputs'!$B$29+'Inputs'!$B$31+'Inputs'!$B$32,'Inputs'!$B$30+'Inputs'!$B$31+'Inputs'!$B$32)/1000+'Inputs'!$B$21+'Inputs'!$B$7+'Inputs'!$B$10)+'Inputs'!$B$9)/SQRT((((225-43)*MAX('Inputs'!$B$33,'Inputs'!$B$29+'Inputs'!$B$31+'Inputs'!$B$32,'Inputs'!$B$30+'Inputs'!$B$31+'Inputs'!$B$32)/1000+'Inputs'!$B$21+'Inputs'!$B$7+'Inputs'!$B$10)+'Inputs'!$B$9)^2+('Inputs'!$B$8/2)^2)-(((225-43)*MAX('Inputs'!$B$33,'Inputs'!$B$29+'Inputs'!$B$31+'Inputs'!$B$32,'Inputs'!$B$30+'Inputs'!$B$31+'Inputs'!$B$32)/1000+'Inputs'!$B$21+'Inputs'!$B$7+'Inputs'!$B$10))/SQRT((((225-43)*MAX('Inputs'!$B$33,'Inputs'!$B$29+'Inputs'!$B$31+'Inputs'!$B$32,'Inputs'!$B$30+'Inputs'!$B$31+'Inputs'!$B$32)/1000+'Inputs'!$B$21+'Inputs'!$B$7+'Inputs'!$B$10))^2+('Inputs'!$B$8/2)^2))))*'Results'!$B$8)+'Inputs'!$B$28*ABS((('Results'!B7*(1+'Inputs'!$B$24)*(0.5*((((225-43)*MAX('Inputs'!$B$33,'Inputs'!$B$29+'Inputs'!$B$31+'Inputs'!$B$32,'Inputs'!$B$30+'Inputs'!$B$31+'Inputs'!$B$32)/1000+'Inputs'!$B$21)+'Inputs'!$B$7)/SQRT((((225-43)*MAX('Inputs'!$B$33,'Inputs'!$B$29+'Inputs'!$B$31+'Inputs'!$B$32,'Inputs'!$B$30+'Inputs'!$B$31+'Inputs'!$B$32)/1000+'Inputs'!$B$21)+'Inputs'!$B$7)^2+('Inputs'!$B$6/2)^2)-(((225-43)*MAX('Inputs'!$B$33,'Inputs'!$B$29+'Inputs'!$B$31+'Inputs'!$B$32,'Inputs'!$B$30+'Inputs'!$B$31+'Inputs'!$B$32)/1000+'Inputs'!$B$21))/SQRT((((225-43)*MAX('Inputs'!$B$33,'Inputs'!$B$29+'Inputs'!$B$31+'Inputs'!$B$32,'Inputs'!$B$30+'Inputs'!$B$31+'Inputs'!$B$32)/1000+'Inputs'!$B$21))^2+('Inputs'!$B$6/2)^2)))-'Results'!C7*(1-'Inputs'!$B$24)*(0.5*((((225-43)*MAX('Inputs'!$B$33,'Inputs'!$B$29+'Inputs'!$B$31+'Inputs'!$B$32,'Inputs'!$B$30+'Inputs'!$B$31+'Inputs'!$B$32)/1000+'Inputs'!$B$21+'Inputs'!$B$7+'Inputs'!$B$10)+'Inputs'!$B$9)/SQRT((((225-43)*MAX('Inputs'!$B$33,'Inputs'!$B$29+'Inputs'!$B$31+'Inputs'!$B$32,'Inputs'!$B$30+'Inputs'!$B$31+'Inputs'!$B$32)/1000+'Inputs'!$B$21+'Inputs'!$B$7+'Inputs'!$B$10)+'Inputs'!$B$9)^2+('Inputs'!$B$8/2)^2)-(((225-43)*MAX('Inputs'!$B$33,'Inputs'!$B$29+'Inputs'!$B$31+'Inputs'!$B$32,'Inputs'!$B$30+'Inputs'!$B$31+'Inputs'!$B$32)/1000+'Inputs'!$B$21+'Inputs'!$B$7+'Inputs'!$B$10))/SQRT((((225-43)*MAX('Inputs'!$B$33,'Inputs'!$B$29+'Inputs'!$B$31+'Inputs'!$B$32,'Inputs'!$B$30+'Inputs'!$B$31+'Inputs'!$B$32)/1000+'Inputs'!$B$21+'Inputs'!$B$7+'Inputs'!$B$10))^2+('Inputs'!$B$8/2)^2))))*'Results'!$B$8))),"")</x:f>
        <x:v>102.77056349331758</x:v>
      </x:c>
      <x:c r="M225" t="n">
        <x:f>IF(AND(ISNUMBER('Results'!C7),ISNUMBER('Results'!B7),ISNUMBER('Results'!$B$8),ISNUMBER('Inputs'!$B$6),ISNUMBER('Inputs'!$B$7),ISNUMBER('Inputs'!$B$8),ISNUMBER('Inputs'!$B$9),ISNUMBER('Inputs'!$B$10),ISNUMBER('Inputs'!$B$21),ISNUMBER('Inputs'!$B$24),ISNUMBER('Inputs'!$B$28)),(('Results'!C7*(0.5*((((225-43)*MAX('Inputs'!$B$33,'Inputs'!$B$29+'Inputs'!$B$31+'Inputs'!$B$32,'Inputs'!$B$30+'Inputs'!$B$31+'Inputs'!$B$32)/1000+'Inputs'!$B$21)+'Inputs'!$B$9)/SQRT((((225-43)*MAX('Inputs'!$B$33,'Inputs'!$B$29+'Inputs'!$B$31+'Inputs'!$B$32,'Inputs'!$B$30+'Inputs'!$B$31+'Inputs'!$B$32)/1000+'Inputs'!$B$21)+'Inputs'!$B$9)^2+('Inputs'!$B$8/2)^2)-(((225-43)*MAX('Inputs'!$B$33,'Inputs'!$B$29+'Inputs'!$B$31+'Inputs'!$B$32,'Inputs'!$B$30+'Inputs'!$B$31+'Inputs'!$B$32)/1000+'Inputs'!$B$21))/SQRT((((225-43)*MAX('Inputs'!$B$33,'Inputs'!$B$29+'Inputs'!$B$31+'Inputs'!$B$32,'Inputs'!$B$30+'Inputs'!$B$31+'Inputs'!$B$32)/1000+'Inputs'!$B$21))^2+('Inputs'!$B$8/2)^2)))-'Results'!B7*(0.5*((((225-43)*MAX('Inputs'!$B$33,'Inputs'!$B$29+'Inputs'!$B$31+'Inputs'!$B$32,'Inputs'!$B$30+'Inputs'!$B$31+'Inputs'!$B$32)/1000+'Inputs'!$B$21+'Inputs'!$B$9+'Inputs'!$B$10)+'Inputs'!$B$7)/SQRT((((225-43)*MAX('Inputs'!$B$33,'Inputs'!$B$29+'Inputs'!$B$31+'Inputs'!$B$32,'Inputs'!$B$30+'Inputs'!$B$31+'Inputs'!$B$32)/1000+'Inputs'!$B$21+'Inputs'!$B$9+'Inputs'!$B$10)+'Inputs'!$B$7)^2+('Inputs'!$B$6/2)^2)-(((225-43)*MAX('Inputs'!$B$33,'Inputs'!$B$29+'Inputs'!$B$31+'Inputs'!$B$32,'Inputs'!$B$30+'Inputs'!$B$31+'Inputs'!$B$32)/1000+'Inputs'!$B$21+'Inputs'!$B$9+'Inputs'!$B$10))/SQRT((((225-43)*MAX('Inputs'!$B$33,'Inputs'!$B$29+'Inputs'!$B$31+'Inputs'!$B$32,'Inputs'!$B$30+'Inputs'!$B$31+'Inputs'!$B$32)/1000+'Inputs'!$B$21+'Inputs'!$B$9+'Inputs'!$B$10))^2+('Inputs'!$B$6/2)^2))))*'Results'!$B$8),"")</x:f>
        <x:v>91.05954005806915</x:v>
      </x:c>
      <x:c r="N225" t="n">
        <x:f>IF(AND(ISNUMBER('Results'!C7),ISNUMBER('Results'!B7),ISNUMBER('Results'!$B$8),ISNUMBER('Inputs'!$B$6),ISNUMBER('Inputs'!$B$7),ISNUMBER('Inputs'!$B$8),ISNUMBER('Inputs'!$B$9),ISNUMBER('Inputs'!$B$10),ISNUMBER('Inputs'!$B$21),ISNUMBER('Inputs'!$B$24),ISNUMBER('Inputs'!$B$28)),((('Results'!C7*(1-'Inputs'!$B$24)*(0.5*((((225-43)*MAX('Inputs'!$B$33,'Inputs'!$B$29+'Inputs'!$B$31+'Inputs'!$B$32,'Inputs'!$B$30+'Inputs'!$B$31+'Inputs'!$B$32)/1000+'Inputs'!$B$21)+'Inputs'!$B$9)/SQRT((((225-43)*MAX('Inputs'!$B$33,'Inputs'!$B$29+'Inputs'!$B$31+'Inputs'!$B$32,'Inputs'!$B$30+'Inputs'!$B$31+'Inputs'!$B$32)/1000+'Inputs'!$B$21)+'Inputs'!$B$9)^2+('Inputs'!$B$8/2)^2)-(((225-43)*MAX('Inputs'!$B$33,'Inputs'!$B$29+'Inputs'!$B$31+'Inputs'!$B$32,'Inputs'!$B$30+'Inputs'!$B$31+'Inputs'!$B$32)/1000+'Inputs'!$B$21))/SQRT((((225-43)*MAX('Inputs'!$B$33,'Inputs'!$B$29+'Inputs'!$B$31+'Inputs'!$B$32,'Inputs'!$B$30+'Inputs'!$B$31+'Inputs'!$B$32)/1000+'Inputs'!$B$21))^2+('Inputs'!$B$8/2)^2)))-'Results'!B7*(1+'Inputs'!$B$24)*(0.5*((((225-43)*MAX('Inputs'!$B$33,'Inputs'!$B$29+'Inputs'!$B$31+'Inputs'!$B$32,'Inputs'!$B$30+'Inputs'!$B$31+'Inputs'!$B$32)/1000+'Inputs'!$B$21+'Inputs'!$B$9+'Inputs'!$B$10)+'Inputs'!$B$7)/SQRT((((225-43)*MAX('Inputs'!$B$33,'Inputs'!$B$29+'Inputs'!$B$31+'Inputs'!$B$32,'Inputs'!$B$30+'Inputs'!$B$31+'Inputs'!$B$32)/1000+'Inputs'!$B$21+'Inputs'!$B$9+'Inputs'!$B$10)+'Inputs'!$B$7)^2+('Inputs'!$B$6/2)^2)-(((225-43)*MAX('Inputs'!$B$33,'Inputs'!$B$29+'Inputs'!$B$31+'Inputs'!$B$32,'Inputs'!$B$30+'Inputs'!$B$31+'Inputs'!$B$32)/1000+'Inputs'!$B$21+'Inputs'!$B$9+'Inputs'!$B$10))/SQRT((((225-43)*MAX('Inputs'!$B$33,'Inputs'!$B$29+'Inputs'!$B$31+'Inputs'!$B$32,'Inputs'!$B$30+'Inputs'!$B$31+'Inputs'!$B$32)/1000+'Inputs'!$B$21+'Inputs'!$B$9+'Inputs'!$B$10))^2+('Inputs'!$B$6/2)^2))))*'Results'!$B$8)-'Inputs'!$B$28*ABS((('Results'!C7*(1-'Inputs'!$B$24)*(0.5*((((225-43)*MAX('Inputs'!$B$33,'Inputs'!$B$29+'Inputs'!$B$31+'Inputs'!$B$32,'Inputs'!$B$30+'Inputs'!$B$31+'Inputs'!$B$32)/1000+'Inputs'!$B$21)+'Inputs'!$B$9)/SQRT((((225-43)*MAX('Inputs'!$B$33,'Inputs'!$B$29+'Inputs'!$B$31+'Inputs'!$B$32,'Inputs'!$B$30+'Inputs'!$B$31+'Inputs'!$B$32)/1000+'Inputs'!$B$21)+'Inputs'!$B$9)^2+('Inputs'!$B$8/2)^2)-(((225-43)*MAX('Inputs'!$B$33,'Inputs'!$B$29+'Inputs'!$B$31+'Inputs'!$B$32,'Inputs'!$B$30+'Inputs'!$B$31+'Inputs'!$B$32)/1000+'Inputs'!$B$21))/SQRT((((225-43)*MAX('Inputs'!$B$33,'Inputs'!$B$29+'Inputs'!$B$31+'Inputs'!$B$32,'Inputs'!$B$30+'Inputs'!$B$31+'Inputs'!$B$32)/1000+'Inputs'!$B$21))^2+('Inputs'!$B$8/2)^2)))-'Results'!B7*(1+'Inputs'!$B$24)*(0.5*((((225-43)*MAX('Inputs'!$B$33,'Inputs'!$B$29+'Inputs'!$B$31+'Inputs'!$B$32,'Inputs'!$B$30+'Inputs'!$B$31+'Inputs'!$B$32)/1000+'Inputs'!$B$21+'Inputs'!$B$9+'Inputs'!$B$10)+'Inputs'!$B$7)/SQRT((((225-43)*MAX('Inputs'!$B$33,'Inputs'!$B$29+'Inputs'!$B$31+'Inputs'!$B$32,'Inputs'!$B$30+'Inputs'!$B$31+'Inputs'!$B$32)/1000+'Inputs'!$B$21+'Inputs'!$B$9+'Inputs'!$B$10)+'Inputs'!$B$7)^2+('Inputs'!$B$6/2)^2)-(((225-43)*MAX('Inputs'!$B$33,'Inputs'!$B$29+'Inputs'!$B$31+'Inputs'!$B$32,'Inputs'!$B$30+'Inputs'!$B$31+'Inputs'!$B$32)/1000+'Inputs'!$B$21+'Inputs'!$B$9+'Inputs'!$B$10))/SQRT((((225-43)*MAX('Inputs'!$B$33,'Inputs'!$B$29+'Inputs'!$B$31+'Inputs'!$B$32,'Inputs'!$B$30+'Inputs'!$B$31+'Inputs'!$B$32)/1000+'Inputs'!$B$21+'Inputs'!$B$9+'Inputs'!$B$10))^2+('Inputs'!$B$6/2)^2))))*'Results'!$B$8))),"")</x:f>
        <x:v>83.31133249053687</x:v>
      </x:c>
      <x:c r="O225" t="n">
        <x:f>IF(AND(ISNUMBER('Results'!C7),ISNUMBER('Results'!B7),ISNUMBER('Results'!$B$8),ISNUMBER('Inputs'!$B$6),ISNUMBER('Inputs'!$B$7),ISNUMBER('Inputs'!$B$8),ISNUMBER('Inputs'!$B$9),ISNUMBER('Inputs'!$B$10),ISNUMBER('Inputs'!$B$21),ISNUMBER('Inputs'!$B$24),ISNUMBER('Inputs'!$B$28)),((('Results'!C7*(1+'Inputs'!$B$24)*(0.5*((((225-43)*MAX('Inputs'!$B$33,'Inputs'!$B$29+'Inputs'!$B$31+'Inputs'!$B$32,'Inputs'!$B$30+'Inputs'!$B$31+'Inputs'!$B$32)/1000+'Inputs'!$B$21)+'Inputs'!$B$9)/SQRT((((225-43)*MAX('Inputs'!$B$33,'Inputs'!$B$29+'Inputs'!$B$31+'Inputs'!$B$32,'Inputs'!$B$30+'Inputs'!$B$31+'Inputs'!$B$32)/1000+'Inputs'!$B$21)+'Inputs'!$B$9)^2+('Inputs'!$B$8/2)^2)-(((225-43)*MAX('Inputs'!$B$33,'Inputs'!$B$29+'Inputs'!$B$31+'Inputs'!$B$32,'Inputs'!$B$30+'Inputs'!$B$31+'Inputs'!$B$32)/1000+'Inputs'!$B$21))/SQRT((((225-43)*MAX('Inputs'!$B$33,'Inputs'!$B$29+'Inputs'!$B$31+'Inputs'!$B$32,'Inputs'!$B$30+'Inputs'!$B$31+'Inputs'!$B$32)/1000+'Inputs'!$B$21))^2+('Inputs'!$B$8/2)^2)))-'Results'!B7*(1-'Inputs'!$B$24)*(0.5*((((225-43)*MAX('Inputs'!$B$33,'Inputs'!$B$29+'Inputs'!$B$31+'Inputs'!$B$32,'Inputs'!$B$30+'Inputs'!$B$31+'Inputs'!$B$32)/1000+'Inputs'!$B$21+'Inputs'!$B$9+'Inputs'!$B$10)+'Inputs'!$B$7)/SQRT((((225-43)*MAX('Inputs'!$B$33,'Inputs'!$B$29+'Inputs'!$B$31+'Inputs'!$B$32,'Inputs'!$B$30+'Inputs'!$B$31+'Inputs'!$B$32)/1000+'Inputs'!$B$21+'Inputs'!$B$9+'Inputs'!$B$10)+'Inputs'!$B$7)^2+('Inputs'!$B$6/2)^2)-(((225-43)*MAX('Inputs'!$B$33,'Inputs'!$B$29+'Inputs'!$B$31+'Inputs'!$B$32,'Inputs'!$B$30+'Inputs'!$B$31+'Inputs'!$B$32)/1000+'Inputs'!$B$21+'Inputs'!$B$9+'Inputs'!$B$10))/SQRT((((225-43)*MAX('Inputs'!$B$33,'Inputs'!$B$29+'Inputs'!$B$31+'Inputs'!$B$32,'Inputs'!$B$30+'Inputs'!$B$31+'Inputs'!$B$32)/1000+'Inputs'!$B$21+'Inputs'!$B$9+'Inputs'!$B$10))^2+('Inputs'!$B$6/2)^2))))*'Results'!$B$8)+'Inputs'!$B$28*ABS((('Results'!C7*(1+'Inputs'!$B$24)*(0.5*((((225-43)*MAX('Inputs'!$B$33,'Inputs'!$B$29+'Inputs'!$B$31+'Inputs'!$B$32,'Inputs'!$B$30+'Inputs'!$B$31+'Inputs'!$B$32)/1000+'Inputs'!$B$21)+'Inputs'!$B$9)/SQRT((((225-43)*MAX('Inputs'!$B$33,'Inputs'!$B$29+'Inputs'!$B$31+'Inputs'!$B$32,'Inputs'!$B$30+'Inputs'!$B$31+'Inputs'!$B$32)/1000+'Inputs'!$B$21)+'Inputs'!$B$9)^2+('Inputs'!$B$8/2)^2)-(((225-43)*MAX('Inputs'!$B$33,'Inputs'!$B$29+'Inputs'!$B$31+'Inputs'!$B$32,'Inputs'!$B$30+'Inputs'!$B$31+'Inputs'!$B$32)/1000+'Inputs'!$B$21))/SQRT((((225-43)*MAX('Inputs'!$B$33,'Inputs'!$B$29+'Inputs'!$B$31+'Inputs'!$B$32,'Inputs'!$B$30+'Inputs'!$B$31+'Inputs'!$B$32)/1000+'Inputs'!$B$21))^2+('Inputs'!$B$8/2)^2)))-'Results'!B7*(1-'Inputs'!$B$24)*(0.5*((((225-43)*MAX('Inputs'!$B$33,'Inputs'!$B$29+'Inputs'!$B$31+'Inputs'!$B$32,'Inputs'!$B$30+'Inputs'!$B$31+'Inputs'!$B$32)/1000+'Inputs'!$B$21+'Inputs'!$B$9+'Inputs'!$B$10)+'Inputs'!$B$7)/SQRT((((225-43)*MAX('Inputs'!$B$33,'Inputs'!$B$29+'Inputs'!$B$31+'Inputs'!$B$32,'Inputs'!$B$30+'Inputs'!$B$31+'Inputs'!$B$32)/1000+'Inputs'!$B$21+'Inputs'!$B$9+'Inputs'!$B$10)+'Inputs'!$B$7)^2+('Inputs'!$B$6/2)^2)-(((225-43)*MAX('Inputs'!$B$33,'Inputs'!$B$29+'Inputs'!$B$31+'Inputs'!$B$32,'Inputs'!$B$30+'Inputs'!$B$31+'Inputs'!$B$32)/1000+'Inputs'!$B$21+'Inputs'!$B$9+'Inputs'!$B$10))/SQRT((((225-43)*MAX('Inputs'!$B$33,'Inputs'!$B$29+'Inputs'!$B$31+'Inputs'!$B$32,'Inputs'!$B$30+'Inputs'!$B$31+'Inputs'!$B$32)/1000+'Inputs'!$B$21+'Inputs'!$B$9+'Inputs'!$B$10))^2+('Inputs'!$B$6/2)^2))))*'Results'!$B$8))),"")</x:f>
        <x:v>99.14408768503603</x:v>
      </x:c>
      <x:c r="P225" t="n">
        <x:f>IF(AND(MAX(J225,J224)&gt;0,J225&gt;J224+0.00000001),1,0)</x:f>
        <x:v>0</x:v>
      </x:c>
      <x:c r="Q225" t="n">
        <x:f>IF(AND(MAX(K225,K224)&gt;0,K225&gt;K224+0.00000001),1,0)</x:f>
        <x:v>0</x:v>
      </x:c>
      <x:c r="R225" t="n">
        <x:f>IF(AND(MAX(L225,L224)&gt;0,L225&gt;L224+0.00000001),1,0)</x:f>
        <x:v>0</x:v>
      </x:c>
      <x:c r="S225" t="n">
        <x:f>IF(AND(MAX(M225,M224)&gt;0,M225&gt;M224+0.00000001),1,0)</x:f>
        <x:v>0</x:v>
      </x:c>
      <x:c r="T225" t="n">
        <x:f>IF(AND(MAX(N225,N224)&gt;0,N225&gt;N224+0.00000001),1,0)</x:f>
        <x:v>0</x:v>
      </x:c>
      <x:c r="U225" t="n">
        <x:f>IF(AND(MAX(O225,O224)&gt;0,O225&gt;O224+0.00000001),1,0)</x:f>
        <x:v>0</x:v>
      </x:c>
    </x:row>
    <x:row r="226">
      <x:c r="J226" t="n">
        <x:f>IF(AND(ISNUMBER('Results'!B7),ISNUMBER('Results'!C7),ISNUMBER('Results'!$B$8),ISNUMBER('Inputs'!$B$6),ISNUMBER('Inputs'!$B$7),ISNUMBER('Inputs'!$B$8),ISNUMBER('Inputs'!$B$9),ISNUMBER('Inputs'!$B$10),ISNUMBER('Inputs'!$B$21),ISNUMBER('Inputs'!$B$24),ISNUMBER('Inputs'!$B$28)),(('Results'!B7*(0.5*((((226-43)*MAX('Inputs'!$B$33,'Inputs'!$B$29+'Inputs'!$B$31+'Inputs'!$B$32,'Inputs'!$B$30+'Inputs'!$B$31+'Inputs'!$B$32)/1000+'Inputs'!$B$21)+'Inputs'!$B$7)/SQRT((((226-43)*MAX('Inputs'!$B$33,'Inputs'!$B$29+'Inputs'!$B$31+'Inputs'!$B$32,'Inputs'!$B$30+'Inputs'!$B$31+'Inputs'!$B$32)/1000+'Inputs'!$B$21)+'Inputs'!$B$7)^2+('Inputs'!$B$6/2)^2)-(((226-43)*MAX('Inputs'!$B$33,'Inputs'!$B$29+'Inputs'!$B$31+'Inputs'!$B$32,'Inputs'!$B$30+'Inputs'!$B$31+'Inputs'!$B$32)/1000+'Inputs'!$B$21))/SQRT((((226-43)*MAX('Inputs'!$B$33,'Inputs'!$B$29+'Inputs'!$B$31+'Inputs'!$B$32,'Inputs'!$B$30+'Inputs'!$B$31+'Inputs'!$B$32)/1000+'Inputs'!$B$21))^2+('Inputs'!$B$6/2)^2)))-'Results'!C7*(0.5*((((226-43)*MAX('Inputs'!$B$33,'Inputs'!$B$29+'Inputs'!$B$31+'Inputs'!$B$32,'Inputs'!$B$30+'Inputs'!$B$31+'Inputs'!$B$32)/1000+'Inputs'!$B$21+'Inputs'!$B$7+'Inputs'!$B$10)+'Inputs'!$B$9)/SQRT((((226-43)*MAX('Inputs'!$B$33,'Inputs'!$B$29+'Inputs'!$B$31+'Inputs'!$B$32,'Inputs'!$B$30+'Inputs'!$B$31+'Inputs'!$B$32)/1000+'Inputs'!$B$21+'Inputs'!$B$7+'Inputs'!$B$10)+'Inputs'!$B$9)^2+('Inputs'!$B$8/2)^2)-(((226-43)*MAX('Inputs'!$B$33,'Inputs'!$B$29+'Inputs'!$B$31+'Inputs'!$B$32,'Inputs'!$B$30+'Inputs'!$B$31+'Inputs'!$B$32)/1000+'Inputs'!$B$21+'Inputs'!$B$7+'Inputs'!$B$10))/SQRT((((226-43)*MAX('Inputs'!$B$33,'Inputs'!$B$29+'Inputs'!$B$31+'Inputs'!$B$32,'Inputs'!$B$30+'Inputs'!$B$31+'Inputs'!$B$32)/1000+'Inputs'!$B$21+'Inputs'!$B$7+'Inputs'!$B$10))^2+('Inputs'!$B$8/2)^2))))*'Results'!$B$8),"")</x:f>
        <x:v>93.11122513914532</x:v>
      </x:c>
      <x:c r="K226" t="n">
        <x:f>IF(AND(ISNUMBER('Results'!B7),ISNUMBER('Results'!C7),ISNUMBER('Results'!$B$8),ISNUMBER('Inputs'!$B$6),ISNUMBER('Inputs'!$B$7),ISNUMBER('Inputs'!$B$8),ISNUMBER('Inputs'!$B$9),ISNUMBER('Inputs'!$B$10),ISNUMBER('Inputs'!$B$21),ISNUMBER('Inputs'!$B$24),ISNUMBER('Inputs'!$B$28)),((('Results'!B7*(1-'Inputs'!$B$24)*(0.5*((((226-43)*MAX('Inputs'!$B$33,'Inputs'!$B$29+'Inputs'!$B$31+'Inputs'!$B$32,'Inputs'!$B$30+'Inputs'!$B$31+'Inputs'!$B$32)/1000+'Inputs'!$B$21)+'Inputs'!$B$7)/SQRT((((226-43)*MAX('Inputs'!$B$33,'Inputs'!$B$29+'Inputs'!$B$31+'Inputs'!$B$32,'Inputs'!$B$30+'Inputs'!$B$31+'Inputs'!$B$32)/1000+'Inputs'!$B$21)+'Inputs'!$B$7)^2+('Inputs'!$B$6/2)^2)-(((226-43)*MAX('Inputs'!$B$33,'Inputs'!$B$29+'Inputs'!$B$31+'Inputs'!$B$32,'Inputs'!$B$30+'Inputs'!$B$31+'Inputs'!$B$32)/1000+'Inputs'!$B$21))/SQRT((((226-43)*MAX('Inputs'!$B$33,'Inputs'!$B$29+'Inputs'!$B$31+'Inputs'!$B$32,'Inputs'!$B$30+'Inputs'!$B$31+'Inputs'!$B$32)/1000+'Inputs'!$B$21))^2+('Inputs'!$B$6/2)^2)))-'Results'!C7*(1+'Inputs'!$B$24)*(0.5*((((226-43)*MAX('Inputs'!$B$33,'Inputs'!$B$29+'Inputs'!$B$31+'Inputs'!$B$32,'Inputs'!$B$30+'Inputs'!$B$31+'Inputs'!$B$32)/1000+'Inputs'!$B$21+'Inputs'!$B$7+'Inputs'!$B$10)+'Inputs'!$B$9)/SQRT((((226-43)*MAX('Inputs'!$B$33,'Inputs'!$B$29+'Inputs'!$B$31+'Inputs'!$B$32,'Inputs'!$B$30+'Inputs'!$B$31+'Inputs'!$B$32)/1000+'Inputs'!$B$21+'Inputs'!$B$7+'Inputs'!$B$10)+'Inputs'!$B$9)^2+('Inputs'!$B$8/2)^2)-(((226-43)*MAX('Inputs'!$B$33,'Inputs'!$B$29+'Inputs'!$B$31+'Inputs'!$B$32,'Inputs'!$B$30+'Inputs'!$B$31+'Inputs'!$B$32)/1000+'Inputs'!$B$21+'Inputs'!$B$7+'Inputs'!$B$10))/SQRT((((226-43)*MAX('Inputs'!$B$33,'Inputs'!$B$29+'Inputs'!$B$31+'Inputs'!$B$32,'Inputs'!$B$30+'Inputs'!$B$31+'Inputs'!$B$32)/1000+'Inputs'!$B$21+'Inputs'!$B$7+'Inputs'!$B$10))^2+('Inputs'!$B$8/2)^2))))*'Results'!$B$8)-'Inputs'!$B$28*ABS((('Results'!B7*(1-'Inputs'!$B$24)*(0.5*((((226-43)*MAX('Inputs'!$B$33,'Inputs'!$B$29+'Inputs'!$B$31+'Inputs'!$B$32,'Inputs'!$B$30+'Inputs'!$B$31+'Inputs'!$B$32)/1000+'Inputs'!$B$21)+'Inputs'!$B$7)/SQRT((((226-43)*MAX('Inputs'!$B$33,'Inputs'!$B$29+'Inputs'!$B$31+'Inputs'!$B$32,'Inputs'!$B$30+'Inputs'!$B$31+'Inputs'!$B$32)/1000+'Inputs'!$B$21)+'Inputs'!$B$7)^2+('Inputs'!$B$6/2)^2)-(((226-43)*MAX('Inputs'!$B$33,'Inputs'!$B$29+'Inputs'!$B$31+'Inputs'!$B$32,'Inputs'!$B$30+'Inputs'!$B$31+'Inputs'!$B$32)/1000+'Inputs'!$B$21))/SQRT((((226-43)*MAX('Inputs'!$B$33,'Inputs'!$B$29+'Inputs'!$B$31+'Inputs'!$B$32,'Inputs'!$B$30+'Inputs'!$B$31+'Inputs'!$B$32)/1000+'Inputs'!$B$21))^2+('Inputs'!$B$6/2)^2)))-'Results'!C7*(1+'Inputs'!$B$24)*(0.5*((((226-43)*MAX('Inputs'!$B$33,'Inputs'!$B$29+'Inputs'!$B$31+'Inputs'!$B$32,'Inputs'!$B$30+'Inputs'!$B$31+'Inputs'!$B$32)/1000+'Inputs'!$B$21+'Inputs'!$B$7+'Inputs'!$B$10)+'Inputs'!$B$9)/SQRT((((226-43)*MAX('Inputs'!$B$33,'Inputs'!$B$29+'Inputs'!$B$31+'Inputs'!$B$32,'Inputs'!$B$30+'Inputs'!$B$31+'Inputs'!$B$32)/1000+'Inputs'!$B$21+'Inputs'!$B$7+'Inputs'!$B$10)+'Inputs'!$B$9)^2+('Inputs'!$B$8/2)^2)-(((226-43)*MAX('Inputs'!$B$33,'Inputs'!$B$29+'Inputs'!$B$31+'Inputs'!$B$32,'Inputs'!$B$30+'Inputs'!$B$31+'Inputs'!$B$32)/1000+'Inputs'!$B$21+'Inputs'!$B$7+'Inputs'!$B$10))/SQRT((((226-43)*MAX('Inputs'!$B$33,'Inputs'!$B$29+'Inputs'!$B$31+'Inputs'!$B$32,'Inputs'!$B$30+'Inputs'!$B$31+'Inputs'!$B$32)/1000+'Inputs'!$B$21+'Inputs'!$B$7+'Inputs'!$B$10))^2+('Inputs'!$B$8/2)^2))))*'Results'!$B$8))),"")</x:f>
        <x:v>85.26353497623545</x:v>
      </x:c>
      <x:c r="L226" t="n">
        <x:f>IF(AND(ISNUMBER('Results'!B7),ISNUMBER('Results'!C7),ISNUMBER('Results'!$B$8),ISNUMBER('Inputs'!$B$6),ISNUMBER('Inputs'!$B$7),ISNUMBER('Inputs'!$B$8),ISNUMBER('Inputs'!$B$9),ISNUMBER('Inputs'!$B$10),ISNUMBER('Inputs'!$B$21),ISNUMBER('Inputs'!$B$24),ISNUMBER('Inputs'!$B$28)),((('Results'!B7*(1+'Inputs'!$B$24)*(0.5*((((226-43)*MAX('Inputs'!$B$33,'Inputs'!$B$29+'Inputs'!$B$31+'Inputs'!$B$32,'Inputs'!$B$30+'Inputs'!$B$31+'Inputs'!$B$32)/1000+'Inputs'!$B$21)+'Inputs'!$B$7)/SQRT((((226-43)*MAX('Inputs'!$B$33,'Inputs'!$B$29+'Inputs'!$B$31+'Inputs'!$B$32,'Inputs'!$B$30+'Inputs'!$B$31+'Inputs'!$B$32)/1000+'Inputs'!$B$21)+'Inputs'!$B$7)^2+('Inputs'!$B$6/2)^2)-(((226-43)*MAX('Inputs'!$B$33,'Inputs'!$B$29+'Inputs'!$B$31+'Inputs'!$B$32,'Inputs'!$B$30+'Inputs'!$B$31+'Inputs'!$B$32)/1000+'Inputs'!$B$21))/SQRT((((226-43)*MAX('Inputs'!$B$33,'Inputs'!$B$29+'Inputs'!$B$31+'Inputs'!$B$32,'Inputs'!$B$30+'Inputs'!$B$31+'Inputs'!$B$32)/1000+'Inputs'!$B$21))^2+('Inputs'!$B$6/2)^2)))-'Results'!C7*(1-'Inputs'!$B$24)*(0.5*((((226-43)*MAX('Inputs'!$B$33,'Inputs'!$B$29+'Inputs'!$B$31+'Inputs'!$B$32,'Inputs'!$B$30+'Inputs'!$B$31+'Inputs'!$B$32)/1000+'Inputs'!$B$21+'Inputs'!$B$7+'Inputs'!$B$10)+'Inputs'!$B$9)/SQRT((((226-43)*MAX('Inputs'!$B$33,'Inputs'!$B$29+'Inputs'!$B$31+'Inputs'!$B$32,'Inputs'!$B$30+'Inputs'!$B$31+'Inputs'!$B$32)/1000+'Inputs'!$B$21+'Inputs'!$B$7+'Inputs'!$B$10)+'Inputs'!$B$9)^2+('Inputs'!$B$8/2)^2)-(((226-43)*MAX('Inputs'!$B$33,'Inputs'!$B$29+'Inputs'!$B$31+'Inputs'!$B$32,'Inputs'!$B$30+'Inputs'!$B$31+'Inputs'!$B$32)/1000+'Inputs'!$B$21+'Inputs'!$B$7+'Inputs'!$B$10))/SQRT((((226-43)*MAX('Inputs'!$B$33,'Inputs'!$B$29+'Inputs'!$B$31+'Inputs'!$B$32,'Inputs'!$B$30+'Inputs'!$B$31+'Inputs'!$B$32)/1000+'Inputs'!$B$21+'Inputs'!$B$7+'Inputs'!$B$10))^2+('Inputs'!$B$8/2)^2))))*'Results'!$B$8)+'Inputs'!$B$28*ABS((('Results'!B7*(1+'Inputs'!$B$24)*(0.5*((((226-43)*MAX('Inputs'!$B$33,'Inputs'!$B$29+'Inputs'!$B$31+'Inputs'!$B$32,'Inputs'!$B$30+'Inputs'!$B$31+'Inputs'!$B$32)/1000+'Inputs'!$B$21)+'Inputs'!$B$7)/SQRT((((226-43)*MAX('Inputs'!$B$33,'Inputs'!$B$29+'Inputs'!$B$31+'Inputs'!$B$32,'Inputs'!$B$30+'Inputs'!$B$31+'Inputs'!$B$32)/1000+'Inputs'!$B$21)+'Inputs'!$B$7)^2+('Inputs'!$B$6/2)^2)-(((226-43)*MAX('Inputs'!$B$33,'Inputs'!$B$29+'Inputs'!$B$31+'Inputs'!$B$32,'Inputs'!$B$30+'Inputs'!$B$31+'Inputs'!$B$32)/1000+'Inputs'!$B$21))/SQRT((((226-43)*MAX('Inputs'!$B$33,'Inputs'!$B$29+'Inputs'!$B$31+'Inputs'!$B$32,'Inputs'!$B$30+'Inputs'!$B$31+'Inputs'!$B$32)/1000+'Inputs'!$B$21))^2+('Inputs'!$B$6/2)^2)))-'Results'!C7*(1-'Inputs'!$B$24)*(0.5*((((226-43)*MAX('Inputs'!$B$33,'Inputs'!$B$29+'Inputs'!$B$31+'Inputs'!$B$32,'Inputs'!$B$30+'Inputs'!$B$31+'Inputs'!$B$32)/1000+'Inputs'!$B$21+'Inputs'!$B$7+'Inputs'!$B$10)+'Inputs'!$B$9)/SQRT((((226-43)*MAX('Inputs'!$B$33,'Inputs'!$B$29+'Inputs'!$B$31+'Inputs'!$B$32,'Inputs'!$B$30+'Inputs'!$B$31+'Inputs'!$B$32)/1000+'Inputs'!$B$21+'Inputs'!$B$7+'Inputs'!$B$10)+'Inputs'!$B$9)^2+('Inputs'!$B$8/2)^2)-(((226-43)*MAX('Inputs'!$B$33,'Inputs'!$B$29+'Inputs'!$B$31+'Inputs'!$B$32,'Inputs'!$B$30+'Inputs'!$B$31+'Inputs'!$B$32)/1000+'Inputs'!$B$21+'Inputs'!$B$7+'Inputs'!$B$10))/SQRT((((226-43)*MAX('Inputs'!$B$33,'Inputs'!$B$29+'Inputs'!$B$31+'Inputs'!$B$32,'Inputs'!$B$30+'Inputs'!$B$31+'Inputs'!$B$32)/1000+'Inputs'!$B$21+'Inputs'!$B$7+'Inputs'!$B$10))^2+('Inputs'!$B$8/2)^2))))*'Results'!$B$8))),"")</x:f>
        <x:v>101.29492887110291</x:v>
      </x:c>
      <x:c r="M226" t="n">
        <x:f>IF(AND(ISNUMBER('Results'!C7),ISNUMBER('Results'!B7),ISNUMBER('Results'!$B$8),ISNUMBER('Inputs'!$B$6),ISNUMBER('Inputs'!$B$7),ISNUMBER('Inputs'!$B$8),ISNUMBER('Inputs'!$B$9),ISNUMBER('Inputs'!$B$10),ISNUMBER('Inputs'!$B$21),ISNUMBER('Inputs'!$B$24),ISNUMBER('Inputs'!$B$28)),(('Results'!C7*(0.5*((((226-43)*MAX('Inputs'!$B$33,'Inputs'!$B$29+'Inputs'!$B$31+'Inputs'!$B$32,'Inputs'!$B$30+'Inputs'!$B$31+'Inputs'!$B$32)/1000+'Inputs'!$B$21)+'Inputs'!$B$9)/SQRT((((226-43)*MAX('Inputs'!$B$33,'Inputs'!$B$29+'Inputs'!$B$31+'Inputs'!$B$32,'Inputs'!$B$30+'Inputs'!$B$31+'Inputs'!$B$32)/1000+'Inputs'!$B$21)+'Inputs'!$B$9)^2+('Inputs'!$B$8/2)^2)-(((226-43)*MAX('Inputs'!$B$33,'Inputs'!$B$29+'Inputs'!$B$31+'Inputs'!$B$32,'Inputs'!$B$30+'Inputs'!$B$31+'Inputs'!$B$32)/1000+'Inputs'!$B$21))/SQRT((((226-43)*MAX('Inputs'!$B$33,'Inputs'!$B$29+'Inputs'!$B$31+'Inputs'!$B$32,'Inputs'!$B$30+'Inputs'!$B$31+'Inputs'!$B$32)/1000+'Inputs'!$B$21))^2+('Inputs'!$B$8/2)^2)))-'Results'!B7*(0.5*((((226-43)*MAX('Inputs'!$B$33,'Inputs'!$B$29+'Inputs'!$B$31+'Inputs'!$B$32,'Inputs'!$B$30+'Inputs'!$B$31+'Inputs'!$B$32)/1000+'Inputs'!$B$21+'Inputs'!$B$9+'Inputs'!$B$10)+'Inputs'!$B$7)/SQRT((((226-43)*MAX('Inputs'!$B$33,'Inputs'!$B$29+'Inputs'!$B$31+'Inputs'!$B$32,'Inputs'!$B$30+'Inputs'!$B$31+'Inputs'!$B$32)/1000+'Inputs'!$B$21+'Inputs'!$B$9+'Inputs'!$B$10)+'Inputs'!$B$7)^2+('Inputs'!$B$6/2)^2)-(((226-43)*MAX('Inputs'!$B$33,'Inputs'!$B$29+'Inputs'!$B$31+'Inputs'!$B$32,'Inputs'!$B$30+'Inputs'!$B$31+'Inputs'!$B$32)/1000+'Inputs'!$B$21+'Inputs'!$B$9+'Inputs'!$B$10))/SQRT((((226-43)*MAX('Inputs'!$B$33,'Inputs'!$B$29+'Inputs'!$B$31+'Inputs'!$B$32,'Inputs'!$B$30+'Inputs'!$B$31+'Inputs'!$B$32)/1000+'Inputs'!$B$21+'Inputs'!$B$9+'Inputs'!$B$10))^2+('Inputs'!$B$6/2)^2))))*'Results'!$B$8),"")</x:f>
        <x:v>89.7358046406312</x:v>
      </x:c>
      <x:c r="N226" t="n">
        <x:f>IF(AND(ISNUMBER('Results'!C7),ISNUMBER('Results'!B7),ISNUMBER('Results'!$B$8),ISNUMBER('Inputs'!$B$6),ISNUMBER('Inputs'!$B$7),ISNUMBER('Inputs'!$B$8),ISNUMBER('Inputs'!$B$9),ISNUMBER('Inputs'!$B$10),ISNUMBER('Inputs'!$B$21),ISNUMBER('Inputs'!$B$24),ISNUMBER('Inputs'!$B$28)),((('Results'!C7*(1-'Inputs'!$B$24)*(0.5*((((226-43)*MAX('Inputs'!$B$33,'Inputs'!$B$29+'Inputs'!$B$31+'Inputs'!$B$32,'Inputs'!$B$30+'Inputs'!$B$31+'Inputs'!$B$32)/1000+'Inputs'!$B$21)+'Inputs'!$B$9)/SQRT((((226-43)*MAX('Inputs'!$B$33,'Inputs'!$B$29+'Inputs'!$B$31+'Inputs'!$B$32,'Inputs'!$B$30+'Inputs'!$B$31+'Inputs'!$B$32)/1000+'Inputs'!$B$21)+'Inputs'!$B$9)^2+('Inputs'!$B$8/2)^2)-(((226-43)*MAX('Inputs'!$B$33,'Inputs'!$B$29+'Inputs'!$B$31+'Inputs'!$B$32,'Inputs'!$B$30+'Inputs'!$B$31+'Inputs'!$B$32)/1000+'Inputs'!$B$21))/SQRT((((226-43)*MAX('Inputs'!$B$33,'Inputs'!$B$29+'Inputs'!$B$31+'Inputs'!$B$32,'Inputs'!$B$30+'Inputs'!$B$31+'Inputs'!$B$32)/1000+'Inputs'!$B$21))^2+('Inputs'!$B$8/2)^2)))-'Results'!B7*(1+'Inputs'!$B$24)*(0.5*((((226-43)*MAX('Inputs'!$B$33,'Inputs'!$B$29+'Inputs'!$B$31+'Inputs'!$B$32,'Inputs'!$B$30+'Inputs'!$B$31+'Inputs'!$B$32)/1000+'Inputs'!$B$21+'Inputs'!$B$9+'Inputs'!$B$10)+'Inputs'!$B$7)/SQRT((((226-43)*MAX('Inputs'!$B$33,'Inputs'!$B$29+'Inputs'!$B$31+'Inputs'!$B$32,'Inputs'!$B$30+'Inputs'!$B$31+'Inputs'!$B$32)/1000+'Inputs'!$B$21+'Inputs'!$B$9+'Inputs'!$B$10)+'Inputs'!$B$7)^2+('Inputs'!$B$6/2)^2)-(((226-43)*MAX('Inputs'!$B$33,'Inputs'!$B$29+'Inputs'!$B$31+'Inputs'!$B$32,'Inputs'!$B$30+'Inputs'!$B$31+'Inputs'!$B$32)/1000+'Inputs'!$B$21+'Inputs'!$B$9+'Inputs'!$B$10))/SQRT((((226-43)*MAX('Inputs'!$B$33,'Inputs'!$B$29+'Inputs'!$B$31+'Inputs'!$B$32,'Inputs'!$B$30+'Inputs'!$B$31+'Inputs'!$B$32)/1000+'Inputs'!$B$21+'Inputs'!$B$9+'Inputs'!$B$10))^2+('Inputs'!$B$6/2)^2))))*'Results'!$B$8)-'Inputs'!$B$28*ABS((('Results'!C7*(1-'Inputs'!$B$24)*(0.5*((((226-43)*MAX('Inputs'!$B$33,'Inputs'!$B$29+'Inputs'!$B$31+'Inputs'!$B$32,'Inputs'!$B$30+'Inputs'!$B$31+'Inputs'!$B$32)/1000+'Inputs'!$B$21)+'Inputs'!$B$9)/SQRT((((226-43)*MAX('Inputs'!$B$33,'Inputs'!$B$29+'Inputs'!$B$31+'Inputs'!$B$32,'Inputs'!$B$30+'Inputs'!$B$31+'Inputs'!$B$32)/1000+'Inputs'!$B$21)+'Inputs'!$B$9)^2+('Inputs'!$B$8/2)^2)-(((226-43)*MAX('Inputs'!$B$33,'Inputs'!$B$29+'Inputs'!$B$31+'Inputs'!$B$32,'Inputs'!$B$30+'Inputs'!$B$31+'Inputs'!$B$32)/1000+'Inputs'!$B$21))/SQRT((((226-43)*MAX('Inputs'!$B$33,'Inputs'!$B$29+'Inputs'!$B$31+'Inputs'!$B$32,'Inputs'!$B$30+'Inputs'!$B$31+'Inputs'!$B$32)/1000+'Inputs'!$B$21))^2+('Inputs'!$B$8/2)^2)))-'Results'!B7*(1+'Inputs'!$B$24)*(0.5*((((226-43)*MAX('Inputs'!$B$33,'Inputs'!$B$29+'Inputs'!$B$31+'Inputs'!$B$32,'Inputs'!$B$30+'Inputs'!$B$31+'Inputs'!$B$32)/1000+'Inputs'!$B$21+'Inputs'!$B$9+'Inputs'!$B$10)+'Inputs'!$B$7)/SQRT((((226-43)*MAX('Inputs'!$B$33,'Inputs'!$B$29+'Inputs'!$B$31+'Inputs'!$B$32,'Inputs'!$B$30+'Inputs'!$B$31+'Inputs'!$B$32)/1000+'Inputs'!$B$21+'Inputs'!$B$9+'Inputs'!$B$10)+'Inputs'!$B$7)^2+('Inputs'!$B$6/2)^2)-(((226-43)*MAX('Inputs'!$B$33,'Inputs'!$B$29+'Inputs'!$B$31+'Inputs'!$B$32,'Inputs'!$B$30+'Inputs'!$B$31+'Inputs'!$B$32)/1000+'Inputs'!$B$21+'Inputs'!$B$9+'Inputs'!$B$10))/SQRT((((226-43)*MAX('Inputs'!$B$33,'Inputs'!$B$29+'Inputs'!$B$31+'Inputs'!$B$32,'Inputs'!$B$30+'Inputs'!$B$31+'Inputs'!$B$32)/1000+'Inputs'!$B$21+'Inputs'!$B$9+'Inputs'!$B$10))^2+('Inputs'!$B$6/2)^2))))*'Results'!$B$8))),"")</x:f>
        <x:v>82.09197735684715</x:v>
      </x:c>
      <x:c r="O226" t="n">
        <x:f>IF(AND(ISNUMBER('Results'!C7),ISNUMBER('Results'!B7),ISNUMBER('Results'!$B$8),ISNUMBER('Inputs'!$B$6),ISNUMBER('Inputs'!$B$7),ISNUMBER('Inputs'!$B$8),ISNUMBER('Inputs'!$B$9),ISNUMBER('Inputs'!$B$10),ISNUMBER('Inputs'!$B$21),ISNUMBER('Inputs'!$B$24),ISNUMBER('Inputs'!$B$28)),((('Results'!C7*(1+'Inputs'!$B$24)*(0.5*((((226-43)*MAX('Inputs'!$B$33,'Inputs'!$B$29+'Inputs'!$B$31+'Inputs'!$B$32,'Inputs'!$B$30+'Inputs'!$B$31+'Inputs'!$B$32)/1000+'Inputs'!$B$21)+'Inputs'!$B$9)/SQRT((((226-43)*MAX('Inputs'!$B$33,'Inputs'!$B$29+'Inputs'!$B$31+'Inputs'!$B$32,'Inputs'!$B$30+'Inputs'!$B$31+'Inputs'!$B$32)/1000+'Inputs'!$B$21)+'Inputs'!$B$9)^2+('Inputs'!$B$8/2)^2)-(((226-43)*MAX('Inputs'!$B$33,'Inputs'!$B$29+'Inputs'!$B$31+'Inputs'!$B$32,'Inputs'!$B$30+'Inputs'!$B$31+'Inputs'!$B$32)/1000+'Inputs'!$B$21))/SQRT((((226-43)*MAX('Inputs'!$B$33,'Inputs'!$B$29+'Inputs'!$B$31+'Inputs'!$B$32,'Inputs'!$B$30+'Inputs'!$B$31+'Inputs'!$B$32)/1000+'Inputs'!$B$21))^2+('Inputs'!$B$8/2)^2)))-'Results'!B7*(1-'Inputs'!$B$24)*(0.5*((((226-43)*MAX('Inputs'!$B$33,'Inputs'!$B$29+'Inputs'!$B$31+'Inputs'!$B$32,'Inputs'!$B$30+'Inputs'!$B$31+'Inputs'!$B$32)/1000+'Inputs'!$B$21+'Inputs'!$B$9+'Inputs'!$B$10)+'Inputs'!$B$7)/SQRT((((226-43)*MAX('Inputs'!$B$33,'Inputs'!$B$29+'Inputs'!$B$31+'Inputs'!$B$32,'Inputs'!$B$30+'Inputs'!$B$31+'Inputs'!$B$32)/1000+'Inputs'!$B$21+'Inputs'!$B$9+'Inputs'!$B$10)+'Inputs'!$B$7)^2+('Inputs'!$B$6/2)^2)-(((226-43)*MAX('Inputs'!$B$33,'Inputs'!$B$29+'Inputs'!$B$31+'Inputs'!$B$32,'Inputs'!$B$30+'Inputs'!$B$31+'Inputs'!$B$32)/1000+'Inputs'!$B$21+'Inputs'!$B$9+'Inputs'!$B$10))/SQRT((((226-43)*MAX('Inputs'!$B$33,'Inputs'!$B$29+'Inputs'!$B$31+'Inputs'!$B$32,'Inputs'!$B$30+'Inputs'!$B$31+'Inputs'!$B$32)/1000+'Inputs'!$B$21+'Inputs'!$B$9+'Inputs'!$B$10))^2+('Inputs'!$B$6/2)^2))))*'Results'!$B$8)+'Inputs'!$B$28*ABS((('Results'!C7*(1+'Inputs'!$B$24)*(0.5*((((226-43)*MAX('Inputs'!$B$33,'Inputs'!$B$29+'Inputs'!$B$31+'Inputs'!$B$32,'Inputs'!$B$30+'Inputs'!$B$31+'Inputs'!$B$32)/1000+'Inputs'!$B$21)+'Inputs'!$B$9)/SQRT((((226-43)*MAX('Inputs'!$B$33,'Inputs'!$B$29+'Inputs'!$B$31+'Inputs'!$B$32,'Inputs'!$B$30+'Inputs'!$B$31+'Inputs'!$B$32)/1000+'Inputs'!$B$21)+'Inputs'!$B$9)^2+('Inputs'!$B$8/2)^2)-(((226-43)*MAX('Inputs'!$B$33,'Inputs'!$B$29+'Inputs'!$B$31+'Inputs'!$B$32,'Inputs'!$B$30+'Inputs'!$B$31+'Inputs'!$B$32)/1000+'Inputs'!$B$21))/SQRT((((226-43)*MAX('Inputs'!$B$33,'Inputs'!$B$29+'Inputs'!$B$31+'Inputs'!$B$32,'Inputs'!$B$30+'Inputs'!$B$31+'Inputs'!$B$32)/1000+'Inputs'!$B$21))^2+('Inputs'!$B$8/2)^2)))-'Results'!B7*(1-'Inputs'!$B$24)*(0.5*((((226-43)*MAX('Inputs'!$B$33,'Inputs'!$B$29+'Inputs'!$B$31+'Inputs'!$B$32,'Inputs'!$B$30+'Inputs'!$B$31+'Inputs'!$B$32)/1000+'Inputs'!$B$21+'Inputs'!$B$9+'Inputs'!$B$10)+'Inputs'!$B$7)/SQRT((((226-43)*MAX('Inputs'!$B$33,'Inputs'!$B$29+'Inputs'!$B$31+'Inputs'!$B$32,'Inputs'!$B$30+'Inputs'!$B$31+'Inputs'!$B$32)/1000+'Inputs'!$B$21+'Inputs'!$B$9+'Inputs'!$B$10)+'Inputs'!$B$7)^2+('Inputs'!$B$6/2)^2)-(((226-43)*MAX('Inputs'!$B$33,'Inputs'!$B$29+'Inputs'!$B$31+'Inputs'!$B$32,'Inputs'!$B$30+'Inputs'!$B$31+'Inputs'!$B$32)/1000+'Inputs'!$B$21+'Inputs'!$B$9+'Inputs'!$B$10))/SQRT((((226-43)*MAX('Inputs'!$B$33,'Inputs'!$B$29+'Inputs'!$B$31+'Inputs'!$B$32,'Inputs'!$B$30+'Inputs'!$B$31+'Inputs'!$B$32)/1000+'Inputs'!$B$21+'Inputs'!$B$9+'Inputs'!$B$10))^2+('Inputs'!$B$6/2)^2))))*'Results'!$B$8))),"")</x:f>
        <x:v>97.71195161407339</x:v>
      </x:c>
      <x:c r="P226" t="n">
        <x:f>IF(AND(MAX(J226,J225)&gt;0,J226&gt;J225+0.00000001),1,0)</x:f>
        <x:v>0</x:v>
      </x:c>
      <x:c r="Q226" t="n">
        <x:f>IF(AND(MAX(K226,K225)&gt;0,K226&gt;K225+0.00000001),1,0)</x:f>
        <x:v>0</x:v>
      </x:c>
      <x:c r="R226" t="n">
        <x:f>IF(AND(MAX(L226,L225)&gt;0,L226&gt;L225+0.00000001),1,0)</x:f>
        <x:v>0</x:v>
      </x:c>
      <x:c r="S226" t="n">
        <x:f>IF(AND(MAX(M226,M225)&gt;0,M226&gt;M225+0.00000001),1,0)</x:f>
        <x:v>0</x:v>
      </x:c>
      <x:c r="T226" t="n">
        <x:f>IF(AND(MAX(N226,N225)&gt;0,N226&gt;N225+0.00000001),1,0)</x:f>
        <x:v>0</x:v>
      </x:c>
      <x:c r="U226" t="n">
        <x:f>IF(AND(MAX(O226,O225)&gt;0,O226&gt;O225+0.00000001),1,0)</x:f>
        <x:v>0</x:v>
      </x:c>
    </x:row>
    <x:row r="227">
      <x:c r="J227" t="n">
        <x:f>IF(AND(ISNUMBER('Results'!B7),ISNUMBER('Results'!C7),ISNUMBER('Results'!$B$8),ISNUMBER('Inputs'!$B$6),ISNUMBER('Inputs'!$B$7),ISNUMBER('Inputs'!$B$8),ISNUMBER('Inputs'!$B$9),ISNUMBER('Inputs'!$B$10),ISNUMBER('Inputs'!$B$21),ISNUMBER('Inputs'!$B$24),ISNUMBER('Inputs'!$B$28)),(('Results'!B7*(0.5*((((227-43)*MAX('Inputs'!$B$33,'Inputs'!$B$29+'Inputs'!$B$31+'Inputs'!$B$32,'Inputs'!$B$30+'Inputs'!$B$31+'Inputs'!$B$32)/1000+'Inputs'!$B$21)+'Inputs'!$B$7)/SQRT((((227-43)*MAX('Inputs'!$B$33,'Inputs'!$B$29+'Inputs'!$B$31+'Inputs'!$B$32,'Inputs'!$B$30+'Inputs'!$B$31+'Inputs'!$B$32)/1000+'Inputs'!$B$21)+'Inputs'!$B$7)^2+('Inputs'!$B$6/2)^2)-(((227-43)*MAX('Inputs'!$B$33,'Inputs'!$B$29+'Inputs'!$B$31+'Inputs'!$B$32,'Inputs'!$B$30+'Inputs'!$B$31+'Inputs'!$B$32)/1000+'Inputs'!$B$21))/SQRT((((227-43)*MAX('Inputs'!$B$33,'Inputs'!$B$29+'Inputs'!$B$31+'Inputs'!$B$32,'Inputs'!$B$30+'Inputs'!$B$31+'Inputs'!$B$32)/1000+'Inputs'!$B$21))^2+('Inputs'!$B$6/2)^2)))-'Results'!C7*(0.5*((((227-43)*MAX('Inputs'!$B$33,'Inputs'!$B$29+'Inputs'!$B$31+'Inputs'!$B$32,'Inputs'!$B$30+'Inputs'!$B$31+'Inputs'!$B$32)/1000+'Inputs'!$B$21+'Inputs'!$B$7+'Inputs'!$B$10)+'Inputs'!$B$9)/SQRT((((227-43)*MAX('Inputs'!$B$33,'Inputs'!$B$29+'Inputs'!$B$31+'Inputs'!$B$32,'Inputs'!$B$30+'Inputs'!$B$31+'Inputs'!$B$32)/1000+'Inputs'!$B$21+'Inputs'!$B$7+'Inputs'!$B$10)+'Inputs'!$B$9)^2+('Inputs'!$B$8/2)^2)-(((227-43)*MAX('Inputs'!$B$33,'Inputs'!$B$29+'Inputs'!$B$31+'Inputs'!$B$32,'Inputs'!$B$30+'Inputs'!$B$31+'Inputs'!$B$32)/1000+'Inputs'!$B$21+'Inputs'!$B$7+'Inputs'!$B$10))/SQRT((((227-43)*MAX('Inputs'!$B$33,'Inputs'!$B$29+'Inputs'!$B$31+'Inputs'!$B$32,'Inputs'!$B$30+'Inputs'!$B$31+'Inputs'!$B$32)/1000+'Inputs'!$B$21+'Inputs'!$B$7+'Inputs'!$B$10))^2+('Inputs'!$B$8/2)^2))))*'Results'!$B$8),"")</x:f>
        <x:v>91.77064061498308</x:v>
      </x:c>
      <x:c r="K227" t="n">
        <x:f>IF(AND(ISNUMBER('Results'!B7),ISNUMBER('Results'!C7),ISNUMBER('Results'!$B$8),ISNUMBER('Inputs'!$B$6),ISNUMBER('Inputs'!$B$7),ISNUMBER('Inputs'!$B$8),ISNUMBER('Inputs'!$B$9),ISNUMBER('Inputs'!$B$10),ISNUMBER('Inputs'!$B$21),ISNUMBER('Inputs'!$B$24),ISNUMBER('Inputs'!$B$28)),((('Results'!B7*(1-'Inputs'!$B$24)*(0.5*((((227-43)*MAX('Inputs'!$B$33,'Inputs'!$B$29+'Inputs'!$B$31+'Inputs'!$B$32,'Inputs'!$B$30+'Inputs'!$B$31+'Inputs'!$B$32)/1000+'Inputs'!$B$21)+'Inputs'!$B$7)/SQRT((((227-43)*MAX('Inputs'!$B$33,'Inputs'!$B$29+'Inputs'!$B$31+'Inputs'!$B$32,'Inputs'!$B$30+'Inputs'!$B$31+'Inputs'!$B$32)/1000+'Inputs'!$B$21)+'Inputs'!$B$7)^2+('Inputs'!$B$6/2)^2)-(((227-43)*MAX('Inputs'!$B$33,'Inputs'!$B$29+'Inputs'!$B$31+'Inputs'!$B$32,'Inputs'!$B$30+'Inputs'!$B$31+'Inputs'!$B$32)/1000+'Inputs'!$B$21))/SQRT((((227-43)*MAX('Inputs'!$B$33,'Inputs'!$B$29+'Inputs'!$B$31+'Inputs'!$B$32,'Inputs'!$B$30+'Inputs'!$B$31+'Inputs'!$B$32)/1000+'Inputs'!$B$21))^2+('Inputs'!$B$6/2)^2)))-'Results'!C7*(1+'Inputs'!$B$24)*(0.5*((((227-43)*MAX('Inputs'!$B$33,'Inputs'!$B$29+'Inputs'!$B$31+'Inputs'!$B$32,'Inputs'!$B$30+'Inputs'!$B$31+'Inputs'!$B$32)/1000+'Inputs'!$B$21+'Inputs'!$B$7+'Inputs'!$B$10)+'Inputs'!$B$9)/SQRT((((227-43)*MAX('Inputs'!$B$33,'Inputs'!$B$29+'Inputs'!$B$31+'Inputs'!$B$32,'Inputs'!$B$30+'Inputs'!$B$31+'Inputs'!$B$32)/1000+'Inputs'!$B$21+'Inputs'!$B$7+'Inputs'!$B$10)+'Inputs'!$B$9)^2+('Inputs'!$B$8/2)^2)-(((227-43)*MAX('Inputs'!$B$33,'Inputs'!$B$29+'Inputs'!$B$31+'Inputs'!$B$32,'Inputs'!$B$30+'Inputs'!$B$31+'Inputs'!$B$32)/1000+'Inputs'!$B$21+'Inputs'!$B$7+'Inputs'!$B$10))/SQRT((((227-43)*MAX('Inputs'!$B$33,'Inputs'!$B$29+'Inputs'!$B$31+'Inputs'!$B$32,'Inputs'!$B$30+'Inputs'!$B$31+'Inputs'!$B$32)/1000+'Inputs'!$B$21+'Inputs'!$B$7+'Inputs'!$B$10))^2+('Inputs'!$B$8/2)^2))))*'Results'!$B$8)-'Inputs'!$B$28*ABS((('Results'!B7*(1-'Inputs'!$B$24)*(0.5*((((227-43)*MAX('Inputs'!$B$33,'Inputs'!$B$29+'Inputs'!$B$31+'Inputs'!$B$32,'Inputs'!$B$30+'Inputs'!$B$31+'Inputs'!$B$32)/1000+'Inputs'!$B$21)+'Inputs'!$B$7)/SQRT((((227-43)*MAX('Inputs'!$B$33,'Inputs'!$B$29+'Inputs'!$B$31+'Inputs'!$B$32,'Inputs'!$B$30+'Inputs'!$B$31+'Inputs'!$B$32)/1000+'Inputs'!$B$21)+'Inputs'!$B$7)^2+('Inputs'!$B$6/2)^2)-(((227-43)*MAX('Inputs'!$B$33,'Inputs'!$B$29+'Inputs'!$B$31+'Inputs'!$B$32,'Inputs'!$B$30+'Inputs'!$B$31+'Inputs'!$B$32)/1000+'Inputs'!$B$21))/SQRT((((227-43)*MAX('Inputs'!$B$33,'Inputs'!$B$29+'Inputs'!$B$31+'Inputs'!$B$32,'Inputs'!$B$30+'Inputs'!$B$31+'Inputs'!$B$32)/1000+'Inputs'!$B$21))^2+('Inputs'!$B$6/2)^2)))-'Results'!C7*(1+'Inputs'!$B$24)*(0.5*((((227-43)*MAX('Inputs'!$B$33,'Inputs'!$B$29+'Inputs'!$B$31+'Inputs'!$B$32,'Inputs'!$B$30+'Inputs'!$B$31+'Inputs'!$B$32)/1000+'Inputs'!$B$21+'Inputs'!$B$7+'Inputs'!$B$10)+'Inputs'!$B$9)/SQRT((((227-43)*MAX('Inputs'!$B$33,'Inputs'!$B$29+'Inputs'!$B$31+'Inputs'!$B$32,'Inputs'!$B$30+'Inputs'!$B$31+'Inputs'!$B$32)/1000+'Inputs'!$B$21+'Inputs'!$B$7+'Inputs'!$B$10)+'Inputs'!$B$9)^2+('Inputs'!$B$8/2)^2)-(((227-43)*MAX('Inputs'!$B$33,'Inputs'!$B$29+'Inputs'!$B$31+'Inputs'!$B$32,'Inputs'!$B$30+'Inputs'!$B$31+'Inputs'!$B$32)/1000+'Inputs'!$B$21+'Inputs'!$B$7+'Inputs'!$B$10))/SQRT((((227-43)*MAX('Inputs'!$B$33,'Inputs'!$B$29+'Inputs'!$B$31+'Inputs'!$B$32,'Inputs'!$B$30+'Inputs'!$B$31+'Inputs'!$B$32)/1000+'Inputs'!$B$21+'Inputs'!$B$7+'Inputs'!$B$10))^2+('Inputs'!$B$8/2)^2))))*'Results'!$B$8))),"")</x:f>
        <x:v>84.02808343403977</x:v>
      </x:c>
      <x:c r="L227" t="n">
        <x:f>IF(AND(ISNUMBER('Results'!B7),ISNUMBER('Results'!C7),ISNUMBER('Results'!$B$8),ISNUMBER('Inputs'!$B$6),ISNUMBER('Inputs'!$B$7),ISNUMBER('Inputs'!$B$8),ISNUMBER('Inputs'!$B$9),ISNUMBER('Inputs'!$B$10),ISNUMBER('Inputs'!$B$21),ISNUMBER('Inputs'!$B$24),ISNUMBER('Inputs'!$B$28)),((('Results'!B7*(1+'Inputs'!$B$24)*(0.5*((((227-43)*MAX('Inputs'!$B$33,'Inputs'!$B$29+'Inputs'!$B$31+'Inputs'!$B$32,'Inputs'!$B$30+'Inputs'!$B$31+'Inputs'!$B$32)/1000+'Inputs'!$B$21)+'Inputs'!$B$7)/SQRT((((227-43)*MAX('Inputs'!$B$33,'Inputs'!$B$29+'Inputs'!$B$31+'Inputs'!$B$32,'Inputs'!$B$30+'Inputs'!$B$31+'Inputs'!$B$32)/1000+'Inputs'!$B$21)+'Inputs'!$B$7)^2+('Inputs'!$B$6/2)^2)-(((227-43)*MAX('Inputs'!$B$33,'Inputs'!$B$29+'Inputs'!$B$31+'Inputs'!$B$32,'Inputs'!$B$30+'Inputs'!$B$31+'Inputs'!$B$32)/1000+'Inputs'!$B$21))/SQRT((((227-43)*MAX('Inputs'!$B$33,'Inputs'!$B$29+'Inputs'!$B$31+'Inputs'!$B$32,'Inputs'!$B$30+'Inputs'!$B$31+'Inputs'!$B$32)/1000+'Inputs'!$B$21))^2+('Inputs'!$B$6/2)^2)))-'Results'!C7*(1-'Inputs'!$B$24)*(0.5*((((227-43)*MAX('Inputs'!$B$33,'Inputs'!$B$29+'Inputs'!$B$31+'Inputs'!$B$32,'Inputs'!$B$30+'Inputs'!$B$31+'Inputs'!$B$32)/1000+'Inputs'!$B$21+'Inputs'!$B$7+'Inputs'!$B$10)+'Inputs'!$B$9)/SQRT((((227-43)*MAX('Inputs'!$B$33,'Inputs'!$B$29+'Inputs'!$B$31+'Inputs'!$B$32,'Inputs'!$B$30+'Inputs'!$B$31+'Inputs'!$B$32)/1000+'Inputs'!$B$21+'Inputs'!$B$7+'Inputs'!$B$10)+'Inputs'!$B$9)^2+('Inputs'!$B$8/2)^2)-(((227-43)*MAX('Inputs'!$B$33,'Inputs'!$B$29+'Inputs'!$B$31+'Inputs'!$B$32,'Inputs'!$B$30+'Inputs'!$B$31+'Inputs'!$B$32)/1000+'Inputs'!$B$21+'Inputs'!$B$7+'Inputs'!$B$10))/SQRT((((227-43)*MAX('Inputs'!$B$33,'Inputs'!$B$29+'Inputs'!$B$31+'Inputs'!$B$32,'Inputs'!$B$30+'Inputs'!$B$31+'Inputs'!$B$32)/1000+'Inputs'!$B$21+'Inputs'!$B$7+'Inputs'!$B$10))^2+('Inputs'!$B$8/2)^2))))*'Results'!$B$8)+'Inputs'!$B$28*ABS((('Results'!B7*(1+'Inputs'!$B$24)*(0.5*((((227-43)*MAX('Inputs'!$B$33,'Inputs'!$B$29+'Inputs'!$B$31+'Inputs'!$B$32,'Inputs'!$B$30+'Inputs'!$B$31+'Inputs'!$B$32)/1000+'Inputs'!$B$21)+'Inputs'!$B$7)/SQRT((((227-43)*MAX('Inputs'!$B$33,'Inputs'!$B$29+'Inputs'!$B$31+'Inputs'!$B$32,'Inputs'!$B$30+'Inputs'!$B$31+'Inputs'!$B$32)/1000+'Inputs'!$B$21)+'Inputs'!$B$7)^2+('Inputs'!$B$6/2)^2)-(((227-43)*MAX('Inputs'!$B$33,'Inputs'!$B$29+'Inputs'!$B$31+'Inputs'!$B$32,'Inputs'!$B$30+'Inputs'!$B$31+'Inputs'!$B$32)/1000+'Inputs'!$B$21))/SQRT((((227-43)*MAX('Inputs'!$B$33,'Inputs'!$B$29+'Inputs'!$B$31+'Inputs'!$B$32,'Inputs'!$B$30+'Inputs'!$B$31+'Inputs'!$B$32)/1000+'Inputs'!$B$21))^2+('Inputs'!$B$6/2)^2)))-'Results'!C7*(1-'Inputs'!$B$24)*(0.5*((((227-43)*MAX('Inputs'!$B$33,'Inputs'!$B$29+'Inputs'!$B$31+'Inputs'!$B$32,'Inputs'!$B$30+'Inputs'!$B$31+'Inputs'!$B$32)/1000+'Inputs'!$B$21+'Inputs'!$B$7+'Inputs'!$B$10)+'Inputs'!$B$9)/SQRT((((227-43)*MAX('Inputs'!$B$33,'Inputs'!$B$29+'Inputs'!$B$31+'Inputs'!$B$32,'Inputs'!$B$30+'Inputs'!$B$31+'Inputs'!$B$32)/1000+'Inputs'!$B$21+'Inputs'!$B$7+'Inputs'!$B$10)+'Inputs'!$B$9)^2+('Inputs'!$B$8/2)^2)-(((227-43)*MAX('Inputs'!$B$33,'Inputs'!$B$29+'Inputs'!$B$31+'Inputs'!$B$32,'Inputs'!$B$30+'Inputs'!$B$31+'Inputs'!$B$32)/1000+'Inputs'!$B$21+'Inputs'!$B$7+'Inputs'!$B$10))/SQRT((((227-43)*MAX('Inputs'!$B$33,'Inputs'!$B$29+'Inputs'!$B$31+'Inputs'!$B$32,'Inputs'!$B$30+'Inputs'!$B$31+'Inputs'!$B$32)/1000+'Inputs'!$B$21+'Inputs'!$B$7+'Inputs'!$B$10))^2+('Inputs'!$B$8/2)^2))))*'Results'!$B$8))),"")</x:f>
        <x:v>99.84520044331525</x:v>
      </x:c>
      <x:c r="M227" t="n">
        <x:f>IF(AND(ISNUMBER('Results'!C7),ISNUMBER('Results'!B7),ISNUMBER('Results'!$B$8),ISNUMBER('Inputs'!$B$6),ISNUMBER('Inputs'!$B$7),ISNUMBER('Inputs'!$B$8),ISNUMBER('Inputs'!$B$9),ISNUMBER('Inputs'!$B$10),ISNUMBER('Inputs'!$B$21),ISNUMBER('Inputs'!$B$24),ISNUMBER('Inputs'!$B$28)),(('Results'!C7*(0.5*((((227-43)*MAX('Inputs'!$B$33,'Inputs'!$B$29+'Inputs'!$B$31+'Inputs'!$B$32,'Inputs'!$B$30+'Inputs'!$B$31+'Inputs'!$B$32)/1000+'Inputs'!$B$21)+'Inputs'!$B$9)/SQRT((((227-43)*MAX('Inputs'!$B$33,'Inputs'!$B$29+'Inputs'!$B$31+'Inputs'!$B$32,'Inputs'!$B$30+'Inputs'!$B$31+'Inputs'!$B$32)/1000+'Inputs'!$B$21)+'Inputs'!$B$9)^2+('Inputs'!$B$8/2)^2)-(((227-43)*MAX('Inputs'!$B$33,'Inputs'!$B$29+'Inputs'!$B$31+'Inputs'!$B$32,'Inputs'!$B$30+'Inputs'!$B$31+'Inputs'!$B$32)/1000+'Inputs'!$B$21))/SQRT((((227-43)*MAX('Inputs'!$B$33,'Inputs'!$B$29+'Inputs'!$B$31+'Inputs'!$B$32,'Inputs'!$B$30+'Inputs'!$B$31+'Inputs'!$B$32)/1000+'Inputs'!$B$21))^2+('Inputs'!$B$8/2)^2)))-'Results'!B7*(0.5*((((227-43)*MAX('Inputs'!$B$33,'Inputs'!$B$29+'Inputs'!$B$31+'Inputs'!$B$32,'Inputs'!$B$30+'Inputs'!$B$31+'Inputs'!$B$32)/1000+'Inputs'!$B$21+'Inputs'!$B$9+'Inputs'!$B$10)+'Inputs'!$B$7)/SQRT((((227-43)*MAX('Inputs'!$B$33,'Inputs'!$B$29+'Inputs'!$B$31+'Inputs'!$B$32,'Inputs'!$B$30+'Inputs'!$B$31+'Inputs'!$B$32)/1000+'Inputs'!$B$21+'Inputs'!$B$9+'Inputs'!$B$10)+'Inputs'!$B$7)^2+('Inputs'!$B$6/2)^2)-(((227-43)*MAX('Inputs'!$B$33,'Inputs'!$B$29+'Inputs'!$B$31+'Inputs'!$B$32,'Inputs'!$B$30+'Inputs'!$B$31+'Inputs'!$B$32)/1000+'Inputs'!$B$21+'Inputs'!$B$9+'Inputs'!$B$10))/SQRT((((227-43)*MAX('Inputs'!$B$33,'Inputs'!$B$29+'Inputs'!$B$31+'Inputs'!$B$32,'Inputs'!$B$30+'Inputs'!$B$31+'Inputs'!$B$32)/1000+'Inputs'!$B$21+'Inputs'!$B$9+'Inputs'!$B$10))^2+('Inputs'!$B$6/2)^2))))*'Results'!$B$8),"")</x:f>
        <x:v>88.43546502209868</x:v>
      </x:c>
      <x:c r="N227" t="n">
        <x:f>IF(AND(ISNUMBER('Results'!C7),ISNUMBER('Results'!B7),ISNUMBER('Results'!$B$8),ISNUMBER('Inputs'!$B$6),ISNUMBER('Inputs'!$B$7),ISNUMBER('Inputs'!$B$8),ISNUMBER('Inputs'!$B$9),ISNUMBER('Inputs'!$B$10),ISNUMBER('Inputs'!$B$21),ISNUMBER('Inputs'!$B$24),ISNUMBER('Inputs'!$B$28)),((('Results'!C7*(1-'Inputs'!$B$24)*(0.5*((((227-43)*MAX('Inputs'!$B$33,'Inputs'!$B$29+'Inputs'!$B$31+'Inputs'!$B$32,'Inputs'!$B$30+'Inputs'!$B$31+'Inputs'!$B$32)/1000+'Inputs'!$B$21)+'Inputs'!$B$9)/SQRT((((227-43)*MAX('Inputs'!$B$33,'Inputs'!$B$29+'Inputs'!$B$31+'Inputs'!$B$32,'Inputs'!$B$30+'Inputs'!$B$31+'Inputs'!$B$32)/1000+'Inputs'!$B$21)+'Inputs'!$B$9)^2+('Inputs'!$B$8/2)^2)-(((227-43)*MAX('Inputs'!$B$33,'Inputs'!$B$29+'Inputs'!$B$31+'Inputs'!$B$32,'Inputs'!$B$30+'Inputs'!$B$31+'Inputs'!$B$32)/1000+'Inputs'!$B$21))/SQRT((((227-43)*MAX('Inputs'!$B$33,'Inputs'!$B$29+'Inputs'!$B$31+'Inputs'!$B$32,'Inputs'!$B$30+'Inputs'!$B$31+'Inputs'!$B$32)/1000+'Inputs'!$B$21))^2+('Inputs'!$B$8/2)^2)))-'Results'!B7*(1+'Inputs'!$B$24)*(0.5*((((227-43)*MAX('Inputs'!$B$33,'Inputs'!$B$29+'Inputs'!$B$31+'Inputs'!$B$32,'Inputs'!$B$30+'Inputs'!$B$31+'Inputs'!$B$32)/1000+'Inputs'!$B$21+'Inputs'!$B$9+'Inputs'!$B$10)+'Inputs'!$B$7)/SQRT((((227-43)*MAX('Inputs'!$B$33,'Inputs'!$B$29+'Inputs'!$B$31+'Inputs'!$B$32,'Inputs'!$B$30+'Inputs'!$B$31+'Inputs'!$B$32)/1000+'Inputs'!$B$21+'Inputs'!$B$9+'Inputs'!$B$10)+'Inputs'!$B$7)^2+('Inputs'!$B$6/2)^2)-(((227-43)*MAX('Inputs'!$B$33,'Inputs'!$B$29+'Inputs'!$B$31+'Inputs'!$B$32,'Inputs'!$B$30+'Inputs'!$B$31+'Inputs'!$B$32)/1000+'Inputs'!$B$21+'Inputs'!$B$9+'Inputs'!$B$10))/SQRT((((227-43)*MAX('Inputs'!$B$33,'Inputs'!$B$29+'Inputs'!$B$31+'Inputs'!$B$32,'Inputs'!$B$30+'Inputs'!$B$31+'Inputs'!$B$32)/1000+'Inputs'!$B$21+'Inputs'!$B$9+'Inputs'!$B$10))^2+('Inputs'!$B$6/2)^2))))*'Results'!$B$8)-'Inputs'!$B$28*ABS((('Results'!C7*(1-'Inputs'!$B$24)*(0.5*((((227-43)*MAX('Inputs'!$B$33,'Inputs'!$B$29+'Inputs'!$B$31+'Inputs'!$B$32,'Inputs'!$B$30+'Inputs'!$B$31+'Inputs'!$B$32)/1000+'Inputs'!$B$21)+'Inputs'!$B$9)/SQRT((((227-43)*MAX('Inputs'!$B$33,'Inputs'!$B$29+'Inputs'!$B$31+'Inputs'!$B$32,'Inputs'!$B$30+'Inputs'!$B$31+'Inputs'!$B$32)/1000+'Inputs'!$B$21)+'Inputs'!$B$9)^2+('Inputs'!$B$8/2)^2)-(((227-43)*MAX('Inputs'!$B$33,'Inputs'!$B$29+'Inputs'!$B$31+'Inputs'!$B$32,'Inputs'!$B$30+'Inputs'!$B$31+'Inputs'!$B$32)/1000+'Inputs'!$B$21))/SQRT((((227-43)*MAX('Inputs'!$B$33,'Inputs'!$B$29+'Inputs'!$B$31+'Inputs'!$B$32,'Inputs'!$B$30+'Inputs'!$B$31+'Inputs'!$B$32)/1000+'Inputs'!$B$21))^2+('Inputs'!$B$8/2)^2)))-'Results'!B7*(1+'Inputs'!$B$24)*(0.5*((((227-43)*MAX('Inputs'!$B$33,'Inputs'!$B$29+'Inputs'!$B$31+'Inputs'!$B$32,'Inputs'!$B$30+'Inputs'!$B$31+'Inputs'!$B$32)/1000+'Inputs'!$B$21+'Inputs'!$B$9+'Inputs'!$B$10)+'Inputs'!$B$7)/SQRT((((227-43)*MAX('Inputs'!$B$33,'Inputs'!$B$29+'Inputs'!$B$31+'Inputs'!$B$32,'Inputs'!$B$30+'Inputs'!$B$31+'Inputs'!$B$32)/1000+'Inputs'!$B$21+'Inputs'!$B$9+'Inputs'!$B$10)+'Inputs'!$B$7)^2+('Inputs'!$B$6/2)^2)-(((227-43)*MAX('Inputs'!$B$33,'Inputs'!$B$29+'Inputs'!$B$31+'Inputs'!$B$32,'Inputs'!$B$30+'Inputs'!$B$31+'Inputs'!$B$32)/1000+'Inputs'!$B$21+'Inputs'!$B$9+'Inputs'!$B$10))/SQRT((((227-43)*MAX('Inputs'!$B$33,'Inputs'!$B$29+'Inputs'!$B$31+'Inputs'!$B$32,'Inputs'!$B$30+'Inputs'!$B$31+'Inputs'!$B$32)/1000+'Inputs'!$B$21+'Inputs'!$B$9+'Inputs'!$B$10))^2+('Inputs'!$B$6/2)^2))))*'Results'!$B$8))),"")</x:f>
        <x:v>80.89425163097236</x:v>
      </x:c>
      <x:c r="O227" t="n">
        <x:f>IF(AND(ISNUMBER('Results'!C7),ISNUMBER('Results'!B7),ISNUMBER('Results'!$B$8),ISNUMBER('Inputs'!$B$6),ISNUMBER('Inputs'!$B$7),ISNUMBER('Inputs'!$B$8),ISNUMBER('Inputs'!$B$9),ISNUMBER('Inputs'!$B$10),ISNUMBER('Inputs'!$B$21),ISNUMBER('Inputs'!$B$24),ISNUMBER('Inputs'!$B$28)),((('Results'!C7*(1+'Inputs'!$B$24)*(0.5*((((227-43)*MAX('Inputs'!$B$33,'Inputs'!$B$29+'Inputs'!$B$31+'Inputs'!$B$32,'Inputs'!$B$30+'Inputs'!$B$31+'Inputs'!$B$32)/1000+'Inputs'!$B$21)+'Inputs'!$B$9)/SQRT((((227-43)*MAX('Inputs'!$B$33,'Inputs'!$B$29+'Inputs'!$B$31+'Inputs'!$B$32,'Inputs'!$B$30+'Inputs'!$B$31+'Inputs'!$B$32)/1000+'Inputs'!$B$21)+'Inputs'!$B$9)^2+('Inputs'!$B$8/2)^2)-(((227-43)*MAX('Inputs'!$B$33,'Inputs'!$B$29+'Inputs'!$B$31+'Inputs'!$B$32,'Inputs'!$B$30+'Inputs'!$B$31+'Inputs'!$B$32)/1000+'Inputs'!$B$21))/SQRT((((227-43)*MAX('Inputs'!$B$33,'Inputs'!$B$29+'Inputs'!$B$31+'Inputs'!$B$32,'Inputs'!$B$30+'Inputs'!$B$31+'Inputs'!$B$32)/1000+'Inputs'!$B$21))^2+('Inputs'!$B$8/2)^2)))-'Results'!B7*(1-'Inputs'!$B$24)*(0.5*((((227-43)*MAX('Inputs'!$B$33,'Inputs'!$B$29+'Inputs'!$B$31+'Inputs'!$B$32,'Inputs'!$B$30+'Inputs'!$B$31+'Inputs'!$B$32)/1000+'Inputs'!$B$21+'Inputs'!$B$9+'Inputs'!$B$10)+'Inputs'!$B$7)/SQRT((((227-43)*MAX('Inputs'!$B$33,'Inputs'!$B$29+'Inputs'!$B$31+'Inputs'!$B$32,'Inputs'!$B$30+'Inputs'!$B$31+'Inputs'!$B$32)/1000+'Inputs'!$B$21+'Inputs'!$B$9+'Inputs'!$B$10)+'Inputs'!$B$7)^2+('Inputs'!$B$6/2)^2)-(((227-43)*MAX('Inputs'!$B$33,'Inputs'!$B$29+'Inputs'!$B$31+'Inputs'!$B$32,'Inputs'!$B$30+'Inputs'!$B$31+'Inputs'!$B$32)/1000+'Inputs'!$B$21+'Inputs'!$B$9+'Inputs'!$B$10))/SQRT((((227-43)*MAX('Inputs'!$B$33,'Inputs'!$B$29+'Inputs'!$B$31+'Inputs'!$B$32,'Inputs'!$B$30+'Inputs'!$B$31+'Inputs'!$B$32)/1000+'Inputs'!$B$21+'Inputs'!$B$9+'Inputs'!$B$10))^2+('Inputs'!$B$6/2)^2))))*'Results'!$B$8)+'Inputs'!$B$28*ABS((('Results'!C7*(1+'Inputs'!$B$24)*(0.5*((((227-43)*MAX('Inputs'!$B$33,'Inputs'!$B$29+'Inputs'!$B$31+'Inputs'!$B$32,'Inputs'!$B$30+'Inputs'!$B$31+'Inputs'!$B$32)/1000+'Inputs'!$B$21)+'Inputs'!$B$9)/SQRT((((227-43)*MAX('Inputs'!$B$33,'Inputs'!$B$29+'Inputs'!$B$31+'Inputs'!$B$32,'Inputs'!$B$30+'Inputs'!$B$31+'Inputs'!$B$32)/1000+'Inputs'!$B$21)+'Inputs'!$B$9)^2+('Inputs'!$B$8/2)^2)-(((227-43)*MAX('Inputs'!$B$33,'Inputs'!$B$29+'Inputs'!$B$31+'Inputs'!$B$32,'Inputs'!$B$30+'Inputs'!$B$31+'Inputs'!$B$32)/1000+'Inputs'!$B$21))/SQRT((((227-43)*MAX('Inputs'!$B$33,'Inputs'!$B$29+'Inputs'!$B$31+'Inputs'!$B$32,'Inputs'!$B$30+'Inputs'!$B$31+'Inputs'!$B$32)/1000+'Inputs'!$B$21))^2+('Inputs'!$B$8/2)^2)))-'Results'!B7*(1-'Inputs'!$B$24)*(0.5*((((227-43)*MAX('Inputs'!$B$33,'Inputs'!$B$29+'Inputs'!$B$31+'Inputs'!$B$32,'Inputs'!$B$30+'Inputs'!$B$31+'Inputs'!$B$32)/1000+'Inputs'!$B$21+'Inputs'!$B$9+'Inputs'!$B$10)+'Inputs'!$B$7)/SQRT((((227-43)*MAX('Inputs'!$B$33,'Inputs'!$B$29+'Inputs'!$B$31+'Inputs'!$B$32,'Inputs'!$B$30+'Inputs'!$B$31+'Inputs'!$B$32)/1000+'Inputs'!$B$21+'Inputs'!$B$9+'Inputs'!$B$10)+'Inputs'!$B$7)^2+('Inputs'!$B$6/2)^2)-(((227-43)*MAX('Inputs'!$B$33,'Inputs'!$B$29+'Inputs'!$B$31+'Inputs'!$B$32,'Inputs'!$B$30+'Inputs'!$B$31+'Inputs'!$B$32)/1000+'Inputs'!$B$21+'Inputs'!$B$9+'Inputs'!$B$10))/SQRT((((227-43)*MAX('Inputs'!$B$33,'Inputs'!$B$29+'Inputs'!$B$31+'Inputs'!$B$32,'Inputs'!$B$30+'Inputs'!$B$31+'Inputs'!$B$32)/1000+'Inputs'!$B$21+'Inputs'!$B$9+'Inputs'!$B$10))^2+('Inputs'!$B$6/2)^2))))*'Results'!$B$8))),"")</x:f>
        <x:v>96.30504053322728</x:v>
      </x:c>
      <x:c r="P227" t="n">
        <x:f>IF(AND(MAX(J227,J226)&gt;0,J227&gt;J226+0.00000001),1,0)</x:f>
        <x:v>0</x:v>
      </x:c>
      <x:c r="Q227" t="n">
        <x:f>IF(AND(MAX(K227,K226)&gt;0,K227&gt;K226+0.00000001),1,0)</x:f>
        <x:v>0</x:v>
      </x:c>
      <x:c r="R227" t="n">
        <x:f>IF(AND(MAX(L227,L226)&gt;0,L227&gt;L226+0.00000001),1,0)</x:f>
        <x:v>0</x:v>
      </x:c>
      <x:c r="S227" t="n">
        <x:f>IF(AND(MAX(M227,M226)&gt;0,M227&gt;M226+0.00000001),1,0)</x:f>
        <x:v>0</x:v>
      </x:c>
      <x:c r="T227" t="n">
        <x:f>IF(AND(MAX(N227,N226)&gt;0,N227&gt;N226+0.00000001),1,0)</x:f>
        <x:v>0</x:v>
      </x:c>
      <x:c r="U227" t="n">
        <x:f>IF(AND(MAX(O227,O226)&gt;0,O227&gt;O226+0.00000001),1,0)</x:f>
        <x:v>0</x:v>
      </x:c>
    </x:row>
    <x:row r="228">
      <x:c r="J228" t="n">
        <x:f>IF(AND(ISNUMBER('Results'!B7),ISNUMBER('Results'!C7),ISNUMBER('Results'!$B$8),ISNUMBER('Inputs'!$B$6),ISNUMBER('Inputs'!$B$7),ISNUMBER('Inputs'!$B$8),ISNUMBER('Inputs'!$B$9),ISNUMBER('Inputs'!$B$10),ISNUMBER('Inputs'!$B$21),ISNUMBER('Inputs'!$B$24),ISNUMBER('Inputs'!$B$28)),(('Results'!B7*(0.5*((((228-43)*MAX('Inputs'!$B$33,'Inputs'!$B$29+'Inputs'!$B$31+'Inputs'!$B$32,'Inputs'!$B$30+'Inputs'!$B$31+'Inputs'!$B$32)/1000+'Inputs'!$B$21)+'Inputs'!$B$7)/SQRT((((228-43)*MAX('Inputs'!$B$33,'Inputs'!$B$29+'Inputs'!$B$31+'Inputs'!$B$32,'Inputs'!$B$30+'Inputs'!$B$31+'Inputs'!$B$32)/1000+'Inputs'!$B$21)+'Inputs'!$B$7)^2+('Inputs'!$B$6/2)^2)-(((228-43)*MAX('Inputs'!$B$33,'Inputs'!$B$29+'Inputs'!$B$31+'Inputs'!$B$32,'Inputs'!$B$30+'Inputs'!$B$31+'Inputs'!$B$32)/1000+'Inputs'!$B$21))/SQRT((((228-43)*MAX('Inputs'!$B$33,'Inputs'!$B$29+'Inputs'!$B$31+'Inputs'!$B$32,'Inputs'!$B$30+'Inputs'!$B$31+'Inputs'!$B$32)/1000+'Inputs'!$B$21))^2+('Inputs'!$B$6/2)^2)))-'Results'!C7*(0.5*((((228-43)*MAX('Inputs'!$B$33,'Inputs'!$B$29+'Inputs'!$B$31+'Inputs'!$B$32,'Inputs'!$B$30+'Inputs'!$B$31+'Inputs'!$B$32)/1000+'Inputs'!$B$21+'Inputs'!$B$7+'Inputs'!$B$10)+'Inputs'!$B$9)/SQRT((((228-43)*MAX('Inputs'!$B$33,'Inputs'!$B$29+'Inputs'!$B$31+'Inputs'!$B$32,'Inputs'!$B$30+'Inputs'!$B$31+'Inputs'!$B$32)/1000+'Inputs'!$B$21+'Inputs'!$B$7+'Inputs'!$B$10)+'Inputs'!$B$9)^2+('Inputs'!$B$8/2)^2)-(((228-43)*MAX('Inputs'!$B$33,'Inputs'!$B$29+'Inputs'!$B$31+'Inputs'!$B$32,'Inputs'!$B$30+'Inputs'!$B$31+'Inputs'!$B$32)/1000+'Inputs'!$B$21+'Inputs'!$B$7+'Inputs'!$B$10))/SQRT((((228-43)*MAX('Inputs'!$B$33,'Inputs'!$B$29+'Inputs'!$B$31+'Inputs'!$B$32,'Inputs'!$B$30+'Inputs'!$B$31+'Inputs'!$B$32)/1000+'Inputs'!$B$21+'Inputs'!$B$7+'Inputs'!$B$10))^2+('Inputs'!$B$8/2)^2))))*'Results'!$B$8),"")</x:f>
        <x:v>90.45359952745744</x:v>
      </x:c>
      <x:c r="K228" t="n">
        <x:f>IF(AND(ISNUMBER('Results'!B7),ISNUMBER('Results'!C7),ISNUMBER('Results'!$B$8),ISNUMBER('Inputs'!$B$6),ISNUMBER('Inputs'!$B$7),ISNUMBER('Inputs'!$B$8),ISNUMBER('Inputs'!$B$9),ISNUMBER('Inputs'!$B$10),ISNUMBER('Inputs'!$B$21),ISNUMBER('Inputs'!$B$24),ISNUMBER('Inputs'!$B$28)),((('Results'!B7*(1-'Inputs'!$B$24)*(0.5*((((228-43)*MAX('Inputs'!$B$33,'Inputs'!$B$29+'Inputs'!$B$31+'Inputs'!$B$32,'Inputs'!$B$30+'Inputs'!$B$31+'Inputs'!$B$32)/1000+'Inputs'!$B$21)+'Inputs'!$B$7)/SQRT((((228-43)*MAX('Inputs'!$B$33,'Inputs'!$B$29+'Inputs'!$B$31+'Inputs'!$B$32,'Inputs'!$B$30+'Inputs'!$B$31+'Inputs'!$B$32)/1000+'Inputs'!$B$21)+'Inputs'!$B$7)^2+('Inputs'!$B$6/2)^2)-(((228-43)*MAX('Inputs'!$B$33,'Inputs'!$B$29+'Inputs'!$B$31+'Inputs'!$B$32,'Inputs'!$B$30+'Inputs'!$B$31+'Inputs'!$B$32)/1000+'Inputs'!$B$21))/SQRT((((228-43)*MAX('Inputs'!$B$33,'Inputs'!$B$29+'Inputs'!$B$31+'Inputs'!$B$32,'Inputs'!$B$30+'Inputs'!$B$31+'Inputs'!$B$32)/1000+'Inputs'!$B$21))^2+('Inputs'!$B$6/2)^2)))-'Results'!C7*(1+'Inputs'!$B$24)*(0.5*((((228-43)*MAX('Inputs'!$B$33,'Inputs'!$B$29+'Inputs'!$B$31+'Inputs'!$B$32,'Inputs'!$B$30+'Inputs'!$B$31+'Inputs'!$B$32)/1000+'Inputs'!$B$21+'Inputs'!$B$7+'Inputs'!$B$10)+'Inputs'!$B$9)/SQRT((((228-43)*MAX('Inputs'!$B$33,'Inputs'!$B$29+'Inputs'!$B$31+'Inputs'!$B$32,'Inputs'!$B$30+'Inputs'!$B$31+'Inputs'!$B$32)/1000+'Inputs'!$B$21+'Inputs'!$B$7+'Inputs'!$B$10)+'Inputs'!$B$9)^2+('Inputs'!$B$8/2)^2)-(((228-43)*MAX('Inputs'!$B$33,'Inputs'!$B$29+'Inputs'!$B$31+'Inputs'!$B$32,'Inputs'!$B$30+'Inputs'!$B$31+'Inputs'!$B$32)/1000+'Inputs'!$B$21+'Inputs'!$B$7+'Inputs'!$B$10))/SQRT((((228-43)*MAX('Inputs'!$B$33,'Inputs'!$B$29+'Inputs'!$B$31+'Inputs'!$B$32,'Inputs'!$B$30+'Inputs'!$B$31+'Inputs'!$B$32)/1000+'Inputs'!$B$21+'Inputs'!$B$7+'Inputs'!$B$10))^2+('Inputs'!$B$8/2)^2))))*'Results'!$B$8)-'Inputs'!$B$28*ABS((('Results'!B7*(1-'Inputs'!$B$24)*(0.5*((((228-43)*MAX('Inputs'!$B$33,'Inputs'!$B$29+'Inputs'!$B$31+'Inputs'!$B$32,'Inputs'!$B$30+'Inputs'!$B$31+'Inputs'!$B$32)/1000+'Inputs'!$B$21)+'Inputs'!$B$7)/SQRT((((228-43)*MAX('Inputs'!$B$33,'Inputs'!$B$29+'Inputs'!$B$31+'Inputs'!$B$32,'Inputs'!$B$30+'Inputs'!$B$31+'Inputs'!$B$32)/1000+'Inputs'!$B$21)+'Inputs'!$B$7)^2+('Inputs'!$B$6/2)^2)-(((228-43)*MAX('Inputs'!$B$33,'Inputs'!$B$29+'Inputs'!$B$31+'Inputs'!$B$32,'Inputs'!$B$30+'Inputs'!$B$31+'Inputs'!$B$32)/1000+'Inputs'!$B$21))/SQRT((((228-43)*MAX('Inputs'!$B$33,'Inputs'!$B$29+'Inputs'!$B$31+'Inputs'!$B$32,'Inputs'!$B$30+'Inputs'!$B$31+'Inputs'!$B$32)/1000+'Inputs'!$B$21))^2+('Inputs'!$B$6/2)^2)))-'Results'!C7*(1+'Inputs'!$B$24)*(0.5*((((228-43)*MAX('Inputs'!$B$33,'Inputs'!$B$29+'Inputs'!$B$31+'Inputs'!$B$32,'Inputs'!$B$30+'Inputs'!$B$31+'Inputs'!$B$32)/1000+'Inputs'!$B$21+'Inputs'!$B$7+'Inputs'!$B$10)+'Inputs'!$B$9)/SQRT((((228-43)*MAX('Inputs'!$B$33,'Inputs'!$B$29+'Inputs'!$B$31+'Inputs'!$B$32,'Inputs'!$B$30+'Inputs'!$B$31+'Inputs'!$B$32)/1000+'Inputs'!$B$21+'Inputs'!$B$7+'Inputs'!$B$10)+'Inputs'!$B$9)^2+('Inputs'!$B$8/2)^2)-(((228-43)*MAX('Inputs'!$B$33,'Inputs'!$B$29+'Inputs'!$B$31+'Inputs'!$B$32,'Inputs'!$B$30+'Inputs'!$B$31+'Inputs'!$B$32)/1000+'Inputs'!$B$21+'Inputs'!$B$7+'Inputs'!$B$10))/SQRT((((228-43)*MAX('Inputs'!$B$33,'Inputs'!$B$29+'Inputs'!$B$31+'Inputs'!$B$32,'Inputs'!$B$30+'Inputs'!$B$31+'Inputs'!$B$32)/1000+'Inputs'!$B$21+'Inputs'!$B$7+'Inputs'!$B$10))^2+('Inputs'!$B$8/2)^2))))*'Results'!$B$8))),"")</x:f>
        <x:v>82.81440392445161</x:v>
      </x:c>
      <x:c r="L228" t="n">
        <x:f>IF(AND(ISNUMBER('Results'!B7),ISNUMBER('Results'!C7),ISNUMBER('Results'!$B$8),ISNUMBER('Inputs'!$B$6),ISNUMBER('Inputs'!$B$7),ISNUMBER('Inputs'!$B$8),ISNUMBER('Inputs'!$B$9),ISNUMBER('Inputs'!$B$10),ISNUMBER('Inputs'!$B$21),ISNUMBER('Inputs'!$B$24),ISNUMBER('Inputs'!$B$28)),((('Results'!B7*(1+'Inputs'!$B$24)*(0.5*((((228-43)*MAX('Inputs'!$B$33,'Inputs'!$B$29+'Inputs'!$B$31+'Inputs'!$B$32,'Inputs'!$B$30+'Inputs'!$B$31+'Inputs'!$B$32)/1000+'Inputs'!$B$21)+'Inputs'!$B$7)/SQRT((((228-43)*MAX('Inputs'!$B$33,'Inputs'!$B$29+'Inputs'!$B$31+'Inputs'!$B$32,'Inputs'!$B$30+'Inputs'!$B$31+'Inputs'!$B$32)/1000+'Inputs'!$B$21)+'Inputs'!$B$7)^2+('Inputs'!$B$6/2)^2)-(((228-43)*MAX('Inputs'!$B$33,'Inputs'!$B$29+'Inputs'!$B$31+'Inputs'!$B$32,'Inputs'!$B$30+'Inputs'!$B$31+'Inputs'!$B$32)/1000+'Inputs'!$B$21))/SQRT((((228-43)*MAX('Inputs'!$B$33,'Inputs'!$B$29+'Inputs'!$B$31+'Inputs'!$B$32,'Inputs'!$B$30+'Inputs'!$B$31+'Inputs'!$B$32)/1000+'Inputs'!$B$21))^2+('Inputs'!$B$6/2)^2)))-'Results'!C7*(1-'Inputs'!$B$24)*(0.5*((((228-43)*MAX('Inputs'!$B$33,'Inputs'!$B$29+'Inputs'!$B$31+'Inputs'!$B$32,'Inputs'!$B$30+'Inputs'!$B$31+'Inputs'!$B$32)/1000+'Inputs'!$B$21+'Inputs'!$B$7+'Inputs'!$B$10)+'Inputs'!$B$9)/SQRT((((228-43)*MAX('Inputs'!$B$33,'Inputs'!$B$29+'Inputs'!$B$31+'Inputs'!$B$32,'Inputs'!$B$30+'Inputs'!$B$31+'Inputs'!$B$32)/1000+'Inputs'!$B$21+'Inputs'!$B$7+'Inputs'!$B$10)+'Inputs'!$B$9)^2+('Inputs'!$B$8/2)^2)-(((228-43)*MAX('Inputs'!$B$33,'Inputs'!$B$29+'Inputs'!$B$31+'Inputs'!$B$32,'Inputs'!$B$30+'Inputs'!$B$31+'Inputs'!$B$32)/1000+'Inputs'!$B$21+'Inputs'!$B$7+'Inputs'!$B$10))/SQRT((((228-43)*MAX('Inputs'!$B$33,'Inputs'!$B$29+'Inputs'!$B$31+'Inputs'!$B$32,'Inputs'!$B$30+'Inputs'!$B$31+'Inputs'!$B$32)/1000+'Inputs'!$B$21+'Inputs'!$B$7+'Inputs'!$B$10))^2+('Inputs'!$B$8/2)^2))))*'Results'!$B$8)+'Inputs'!$B$28*ABS((('Results'!B7*(1+'Inputs'!$B$24)*(0.5*((((228-43)*MAX('Inputs'!$B$33,'Inputs'!$B$29+'Inputs'!$B$31+'Inputs'!$B$32,'Inputs'!$B$30+'Inputs'!$B$31+'Inputs'!$B$32)/1000+'Inputs'!$B$21)+'Inputs'!$B$7)/SQRT((((228-43)*MAX('Inputs'!$B$33,'Inputs'!$B$29+'Inputs'!$B$31+'Inputs'!$B$32,'Inputs'!$B$30+'Inputs'!$B$31+'Inputs'!$B$32)/1000+'Inputs'!$B$21)+'Inputs'!$B$7)^2+('Inputs'!$B$6/2)^2)-(((228-43)*MAX('Inputs'!$B$33,'Inputs'!$B$29+'Inputs'!$B$31+'Inputs'!$B$32,'Inputs'!$B$30+'Inputs'!$B$31+'Inputs'!$B$32)/1000+'Inputs'!$B$21))/SQRT((((228-43)*MAX('Inputs'!$B$33,'Inputs'!$B$29+'Inputs'!$B$31+'Inputs'!$B$32,'Inputs'!$B$30+'Inputs'!$B$31+'Inputs'!$B$32)/1000+'Inputs'!$B$21))^2+('Inputs'!$B$6/2)^2)))-'Results'!C7*(1-'Inputs'!$B$24)*(0.5*((((228-43)*MAX('Inputs'!$B$33,'Inputs'!$B$29+'Inputs'!$B$31+'Inputs'!$B$32,'Inputs'!$B$30+'Inputs'!$B$31+'Inputs'!$B$32)/1000+'Inputs'!$B$21+'Inputs'!$B$7+'Inputs'!$B$10)+'Inputs'!$B$9)/SQRT((((228-43)*MAX('Inputs'!$B$33,'Inputs'!$B$29+'Inputs'!$B$31+'Inputs'!$B$32,'Inputs'!$B$30+'Inputs'!$B$31+'Inputs'!$B$32)/1000+'Inputs'!$B$21+'Inputs'!$B$7+'Inputs'!$B$10)+'Inputs'!$B$9)^2+('Inputs'!$B$8/2)^2)-(((228-43)*MAX('Inputs'!$B$33,'Inputs'!$B$29+'Inputs'!$B$31+'Inputs'!$B$32,'Inputs'!$B$30+'Inputs'!$B$31+'Inputs'!$B$32)/1000+'Inputs'!$B$21+'Inputs'!$B$7+'Inputs'!$B$10))/SQRT((((228-43)*MAX('Inputs'!$B$33,'Inputs'!$B$29+'Inputs'!$B$31+'Inputs'!$B$32,'Inputs'!$B$30+'Inputs'!$B$31+'Inputs'!$B$32)/1000+'Inputs'!$B$21+'Inputs'!$B$7+'Inputs'!$B$10))^2+('Inputs'!$B$8/2)^2))))*'Results'!$B$8))),"")</x:f>
        <x:v>98.42084940695098</x:v>
      </x:c>
      <x:c r="M228" t="n">
        <x:f>IF(AND(ISNUMBER('Results'!C7),ISNUMBER('Results'!B7),ISNUMBER('Results'!$B$8),ISNUMBER('Inputs'!$B$6),ISNUMBER('Inputs'!$B$7),ISNUMBER('Inputs'!$B$8),ISNUMBER('Inputs'!$B$9),ISNUMBER('Inputs'!$B$10),ISNUMBER('Inputs'!$B$21),ISNUMBER('Inputs'!$B$24),ISNUMBER('Inputs'!$B$28)),(('Results'!C7*(0.5*((((228-43)*MAX('Inputs'!$B$33,'Inputs'!$B$29+'Inputs'!$B$31+'Inputs'!$B$32,'Inputs'!$B$30+'Inputs'!$B$31+'Inputs'!$B$32)/1000+'Inputs'!$B$21)+'Inputs'!$B$9)/SQRT((((228-43)*MAX('Inputs'!$B$33,'Inputs'!$B$29+'Inputs'!$B$31+'Inputs'!$B$32,'Inputs'!$B$30+'Inputs'!$B$31+'Inputs'!$B$32)/1000+'Inputs'!$B$21)+'Inputs'!$B$9)^2+('Inputs'!$B$8/2)^2)-(((228-43)*MAX('Inputs'!$B$33,'Inputs'!$B$29+'Inputs'!$B$31+'Inputs'!$B$32,'Inputs'!$B$30+'Inputs'!$B$31+'Inputs'!$B$32)/1000+'Inputs'!$B$21))/SQRT((((228-43)*MAX('Inputs'!$B$33,'Inputs'!$B$29+'Inputs'!$B$31+'Inputs'!$B$32,'Inputs'!$B$30+'Inputs'!$B$31+'Inputs'!$B$32)/1000+'Inputs'!$B$21))^2+('Inputs'!$B$8/2)^2)))-'Results'!B7*(0.5*((((228-43)*MAX('Inputs'!$B$33,'Inputs'!$B$29+'Inputs'!$B$31+'Inputs'!$B$32,'Inputs'!$B$30+'Inputs'!$B$31+'Inputs'!$B$32)/1000+'Inputs'!$B$21+'Inputs'!$B$9+'Inputs'!$B$10)+'Inputs'!$B$7)/SQRT((((228-43)*MAX('Inputs'!$B$33,'Inputs'!$B$29+'Inputs'!$B$31+'Inputs'!$B$32,'Inputs'!$B$30+'Inputs'!$B$31+'Inputs'!$B$32)/1000+'Inputs'!$B$21+'Inputs'!$B$9+'Inputs'!$B$10)+'Inputs'!$B$7)^2+('Inputs'!$B$6/2)^2)-(((228-43)*MAX('Inputs'!$B$33,'Inputs'!$B$29+'Inputs'!$B$31+'Inputs'!$B$32,'Inputs'!$B$30+'Inputs'!$B$31+'Inputs'!$B$32)/1000+'Inputs'!$B$21+'Inputs'!$B$9+'Inputs'!$B$10))/SQRT((((228-43)*MAX('Inputs'!$B$33,'Inputs'!$B$29+'Inputs'!$B$31+'Inputs'!$B$32,'Inputs'!$B$30+'Inputs'!$B$31+'Inputs'!$B$32)/1000+'Inputs'!$B$21+'Inputs'!$B$9+'Inputs'!$B$10))^2+('Inputs'!$B$6/2)^2))))*'Results'!$B$8),"")</x:f>
        <x:v>87.15804175467935</x:v>
      </x:c>
      <x:c r="N228" t="n">
        <x:f>IF(AND(ISNUMBER('Results'!C7),ISNUMBER('Results'!B7),ISNUMBER('Results'!$B$8),ISNUMBER('Inputs'!$B$6),ISNUMBER('Inputs'!$B$7),ISNUMBER('Inputs'!$B$8),ISNUMBER('Inputs'!$B$9),ISNUMBER('Inputs'!$B$10),ISNUMBER('Inputs'!$B$21),ISNUMBER('Inputs'!$B$24),ISNUMBER('Inputs'!$B$28)),((('Results'!C7*(1-'Inputs'!$B$24)*(0.5*((((228-43)*MAX('Inputs'!$B$33,'Inputs'!$B$29+'Inputs'!$B$31+'Inputs'!$B$32,'Inputs'!$B$30+'Inputs'!$B$31+'Inputs'!$B$32)/1000+'Inputs'!$B$21)+'Inputs'!$B$9)/SQRT((((228-43)*MAX('Inputs'!$B$33,'Inputs'!$B$29+'Inputs'!$B$31+'Inputs'!$B$32,'Inputs'!$B$30+'Inputs'!$B$31+'Inputs'!$B$32)/1000+'Inputs'!$B$21)+'Inputs'!$B$9)^2+('Inputs'!$B$8/2)^2)-(((228-43)*MAX('Inputs'!$B$33,'Inputs'!$B$29+'Inputs'!$B$31+'Inputs'!$B$32,'Inputs'!$B$30+'Inputs'!$B$31+'Inputs'!$B$32)/1000+'Inputs'!$B$21))/SQRT((((228-43)*MAX('Inputs'!$B$33,'Inputs'!$B$29+'Inputs'!$B$31+'Inputs'!$B$32,'Inputs'!$B$30+'Inputs'!$B$31+'Inputs'!$B$32)/1000+'Inputs'!$B$21))^2+('Inputs'!$B$8/2)^2)))-'Results'!B7*(1+'Inputs'!$B$24)*(0.5*((((228-43)*MAX('Inputs'!$B$33,'Inputs'!$B$29+'Inputs'!$B$31+'Inputs'!$B$32,'Inputs'!$B$30+'Inputs'!$B$31+'Inputs'!$B$32)/1000+'Inputs'!$B$21+'Inputs'!$B$9+'Inputs'!$B$10)+'Inputs'!$B$7)/SQRT((((228-43)*MAX('Inputs'!$B$33,'Inputs'!$B$29+'Inputs'!$B$31+'Inputs'!$B$32,'Inputs'!$B$30+'Inputs'!$B$31+'Inputs'!$B$32)/1000+'Inputs'!$B$21+'Inputs'!$B$9+'Inputs'!$B$10)+'Inputs'!$B$7)^2+('Inputs'!$B$6/2)^2)-(((228-43)*MAX('Inputs'!$B$33,'Inputs'!$B$29+'Inputs'!$B$31+'Inputs'!$B$32,'Inputs'!$B$30+'Inputs'!$B$31+'Inputs'!$B$32)/1000+'Inputs'!$B$21+'Inputs'!$B$9+'Inputs'!$B$10))/SQRT((((228-43)*MAX('Inputs'!$B$33,'Inputs'!$B$29+'Inputs'!$B$31+'Inputs'!$B$32,'Inputs'!$B$30+'Inputs'!$B$31+'Inputs'!$B$32)/1000+'Inputs'!$B$21+'Inputs'!$B$9+'Inputs'!$B$10))^2+('Inputs'!$B$6/2)^2))))*'Results'!$B$8)-'Inputs'!$B$28*ABS((('Results'!C7*(1-'Inputs'!$B$24)*(0.5*((((228-43)*MAX('Inputs'!$B$33,'Inputs'!$B$29+'Inputs'!$B$31+'Inputs'!$B$32,'Inputs'!$B$30+'Inputs'!$B$31+'Inputs'!$B$32)/1000+'Inputs'!$B$21)+'Inputs'!$B$9)/SQRT((((228-43)*MAX('Inputs'!$B$33,'Inputs'!$B$29+'Inputs'!$B$31+'Inputs'!$B$32,'Inputs'!$B$30+'Inputs'!$B$31+'Inputs'!$B$32)/1000+'Inputs'!$B$21)+'Inputs'!$B$9)^2+('Inputs'!$B$8/2)^2)-(((228-43)*MAX('Inputs'!$B$33,'Inputs'!$B$29+'Inputs'!$B$31+'Inputs'!$B$32,'Inputs'!$B$30+'Inputs'!$B$31+'Inputs'!$B$32)/1000+'Inputs'!$B$21))/SQRT((((228-43)*MAX('Inputs'!$B$33,'Inputs'!$B$29+'Inputs'!$B$31+'Inputs'!$B$32,'Inputs'!$B$30+'Inputs'!$B$31+'Inputs'!$B$32)/1000+'Inputs'!$B$21))^2+('Inputs'!$B$8/2)^2)))-'Results'!B7*(1+'Inputs'!$B$24)*(0.5*((((228-43)*MAX('Inputs'!$B$33,'Inputs'!$B$29+'Inputs'!$B$31+'Inputs'!$B$32,'Inputs'!$B$30+'Inputs'!$B$31+'Inputs'!$B$32)/1000+'Inputs'!$B$21+'Inputs'!$B$9+'Inputs'!$B$10)+'Inputs'!$B$7)/SQRT((((228-43)*MAX('Inputs'!$B$33,'Inputs'!$B$29+'Inputs'!$B$31+'Inputs'!$B$32,'Inputs'!$B$30+'Inputs'!$B$31+'Inputs'!$B$32)/1000+'Inputs'!$B$21+'Inputs'!$B$9+'Inputs'!$B$10)+'Inputs'!$B$7)^2+('Inputs'!$B$6/2)^2)-(((228-43)*MAX('Inputs'!$B$33,'Inputs'!$B$29+'Inputs'!$B$31+'Inputs'!$B$32,'Inputs'!$B$30+'Inputs'!$B$31+'Inputs'!$B$32)/1000+'Inputs'!$B$21+'Inputs'!$B$9+'Inputs'!$B$10))/SQRT((((228-43)*MAX('Inputs'!$B$33,'Inputs'!$B$29+'Inputs'!$B$31+'Inputs'!$B$32,'Inputs'!$B$30+'Inputs'!$B$31+'Inputs'!$B$32)/1000+'Inputs'!$B$21+'Inputs'!$B$9+'Inputs'!$B$10))^2+('Inputs'!$B$6/2)^2))))*'Results'!$B$8))),"")</x:f>
        <x:v>79.71771112298268</x:v>
      </x:c>
      <x:c r="O228" t="n">
        <x:f>IF(AND(ISNUMBER('Results'!C7),ISNUMBER('Results'!B7),ISNUMBER('Results'!$B$8),ISNUMBER('Inputs'!$B$6),ISNUMBER('Inputs'!$B$7),ISNUMBER('Inputs'!$B$8),ISNUMBER('Inputs'!$B$9),ISNUMBER('Inputs'!$B$10),ISNUMBER('Inputs'!$B$21),ISNUMBER('Inputs'!$B$24),ISNUMBER('Inputs'!$B$28)),((('Results'!C7*(1+'Inputs'!$B$24)*(0.5*((((228-43)*MAX('Inputs'!$B$33,'Inputs'!$B$29+'Inputs'!$B$31+'Inputs'!$B$32,'Inputs'!$B$30+'Inputs'!$B$31+'Inputs'!$B$32)/1000+'Inputs'!$B$21)+'Inputs'!$B$9)/SQRT((((228-43)*MAX('Inputs'!$B$33,'Inputs'!$B$29+'Inputs'!$B$31+'Inputs'!$B$32,'Inputs'!$B$30+'Inputs'!$B$31+'Inputs'!$B$32)/1000+'Inputs'!$B$21)+'Inputs'!$B$9)^2+('Inputs'!$B$8/2)^2)-(((228-43)*MAX('Inputs'!$B$33,'Inputs'!$B$29+'Inputs'!$B$31+'Inputs'!$B$32,'Inputs'!$B$30+'Inputs'!$B$31+'Inputs'!$B$32)/1000+'Inputs'!$B$21))/SQRT((((228-43)*MAX('Inputs'!$B$33,'Inputs'!$B$29+'Inputs'!$B$31+'Inputs'!$B$32,'Inputs'!$B$30+'Inputs'!$B$31+'Inputs'!$B$32)/1000+'Inputs'!$B$21))^2+('Inputs'!$B$8/2)^2)))-'Results'!B7*(1-'Inputs'!$B$24)*(0.5*((((228-43)*MAX('Inputs'!$B$33,'Inputs'!$B$29+'Inputs'!$B$31+'Inputs'!$B$32,'Inputs'!$B$30+'Inputs'!$B$31+'Inputs'!$B$32)/1000+'Inputs'!$B$21+'Inputs'!$B$9+'Inputs'!$B$10)+'Inputs'!$B$7)/SQRT((((228-43)*MAX('Inputs'!$B$33,'Inputs'!$B$29+'Inputs'!$B$31+'Inputs'!$B$32,'Inputs'!$B$30+'Inputs'!$B$31+'Inputs'!$B$32)/1000+'Inputs'!$B$21+'Inputs'!$B$9+'Inputs'!$B$10)+'Inputs'!$B$7)^2+('Inputs'!$B$6/2)^2)-(((228-43)*MAX('Inputs'!$B$33,'Inputs'!$B$29+'Inputs'!$B$31+'Inputs'!$B$32,'Inputs'!$B$30+'Inputs'!$B$31+'Inputs'!$B$32)/1000+'Inputs'!$B$21+'Inputs'!$B$9+'Inputs'!$B$10))/SQRT((((228-43)*MAX('Inputs'!$B$33,'Inputs'!$B$29+'Inputs'!$B$31+'Inputs'!$B$32,'Inputs'!$B$30+'Inputs'!$B$31+'Inputs'!$B$32)/1000+'Inputs'!$B$21+'Inputs'!$B$9+'Inputs'!$B$10))^2+('Inputs'!$B$6/2)^2))))*'Results'!$B$8)+'Inputs'!$B$28*ABS((('Results'!C7*(1+'Inputs'!$B$24)*(0.5*((((228-43)*MAX('Inputs'!$B$33,'Inputs'!$B$29+'Inputs'!$B$31+'Inputs'!$B$32,'Inputs'!$B$30+'Inputs'!$B$31+'Inputs'!$B$32)/1000+'Inputs'!$B$21)+'Inputs'!$B$9)/SQRT((((228-43)*MAX('Inputs'!$B$33,'Inputs'!$B$29+'Inputs'!$B$31+'Inputs'!$B$32,'Inputs'!$B$30+'Inputs'!$B$31+'Inputs'!$B$32)/1000+'Inputs'!$B$21)+'Inputs'!$B$9)^2+('Inputs'!$B$8/2)^2)-(((228-43)*MAX('Inputs'!$B$33,'Inputs'!$B$29+'Inputs'!$B$31+'Inputs'!$B$32,'Inputs'!$B$30+'Inputs'!$B$31+'Inputs'!$B$32)/1000+'Inputs'!$B$21))/SQRT((((228-43)*MAX('Inputs'!$B$33,'Inputs'!$B$29+'Inputs'!$B$31+'Inputs'!$B$32,'Inputs'!$B$30+'Inputs'!$B$31+'Inputs'!$B$32)/1000+'Inputs'!$B$21))^2+('Inputs'!$B$8/2)^2)))-'Results'!B7*(1-'Inputs'!$B$24)*(0.5*((((228-43)*MAX('Inputs'!$B$33,'Inputs'!$B$29+'Inputs'!$B$31+'Inputs'!$B$32,'Inputs'!$B$30+'Inputs'!$B$31+'Inputs'!$B$32)/1000+'Inputs'!$B$21+'Inputs'!$B$9+'Inputs'!$B$10)+'Inputs'!$B$7)/SQRT((((228-43)*MAX('Inputs'!$B$33,'Inputs'!$B$29+'Inputs'!$B$31+'Inputs'!$B$32,'Inputs'!$B$30+'Inputs'!$B$31+'Inputs'!$B$32)/1000+'Inputs'!$B$21+'Inputs'!$B$9+'Inputs'!$B$10)+'Inputs'!$B$7)^2+('Inputs'!$B$6/2)^2)-(((228-43)*MAX('Inputs'!$B$33,'Inputs'!$B$29+'Inputs'!$B$31+'Inputs'!$B$32,'Inputs'!$B$30+'Inputs'!$B$31+'Inputs'!$B$32)/1000+'Inputs'!$B$21+'Inputs'!$B$9+'Inputs'!$B$10))/SQRT((((228-43)*MAX('Inputs'!$B$33,'Inputs'!$B$29+'Inputs'!$B$31+'Inputs'!$B$32,'Inputs'!$B$30+'Inputs'!$B$31+'Inputs'!$B$32)/1000+'Inputs'!$B$21+'Inputs'!$B$9+'Inputs'!$B$10))^2+('Inputs'!$B$6/2)^2))))*'Results'!$B$8))),"")</x:f>
        <x:v>94.92283854889835</x:v>
      </x:c>
      <x:c r="P228" t="n">
        <x:f>IF(AND(MAX(J228,J227)&gt;0,J228&gt;J227+0.00000001),1,0)</x:f>
        <x:v>0</x:v>
      </x:c>
      <x:c r="Q228" t="n">
        <x:f>IF(AND(MAX(K228,K227)&gt;0,K228&gt;K227+0.00000001),1,0)</x:f>
        <x:v>0</x:v>
      </x:c>
      <x:c r="R228" t="n">
        <x:f>IF(AND(MAX(L228,L227)&gt;0,L228&gt;L227+0.00000001),1,0)</x:f>
        <x:v>0</x:v>
      </x:c>
      <x:c r="S228" t="n">
        <x:f>IF(AND(MAX(M228,M227)&gt;0,M228&gt;M227+0.00000001),1,0)</x:f>
        <x:v>0</x:v>
      </x:c>
      <x:c r="T228" t="n">
        <x:f>IF(AND(MAX(N228,N227)&gt;0,N228&gt;N227+0.00000001),1,0)</x:f>
        <x:v>0</x:v>
      </x:c>
      <x:c r="U228" t="n">
        <x:f>IF(AND(MAX(O228,O227)&gt;0,O228&gt;O227+0.00000001),1,0)</x:f>
        <x:v>0</x:v>
      </x:c>
    </x:row>
    <x:row r="229">
      <x:c r="J229" t="n">
        <x:f>IF(AND(ISNUMBER('Results'!B7),ISNUMBER('Results'!C7),ISNUMBER('Results'!$B$8),ISNUMBER('Inputs'!$B$6),ISNUMBER('Inputs'!$B$7),ISNUMBER('Inputs'!$B$8),ISNUMBER('Inputs'!$B$9),ISNUMBER('Inputs'!$B$10),ISNUMBER('Inputs'!$B$21),ISNUMBER('Inputs'!$B$24),ISNUMBER('Inputs'!$B$28)),(('Results'!B7*(0.5*((((229-43)*MAX('Inputs'!$B$33,'Inputs'!$B$29+'Inputs'!$B$31+'Inputs'!$B$32,'Inputs'!$B$30+'Inputs'!$B$31+'Inputs'!$B$32)/1000+'Inputs'!$B$21)+'Inputs'!$B$7)/SQRT((((229-43)*MAX('Inputs'!$B$33,'Inputs'!$B$29+'Inputs'!$B$31+'Inputs'!$B$32,'Inputs'!$B$30+'Inputs'!$B$31+'Inputs'!$B$32)/1000+'Inputs'!$B$21)+'Inputs'!$B$7)^2+('Inputs'!$B$6/2)^2)-(((229-43)*MAX('Inputs'!$B$33,'Inputs'!$B$29+'Inputs'!$B$31+'Inputs'!$B$32,'Inputs'!$B$30+'Inputs'!$B$31+'Inputs'!$B$32)/1000+'Inputs'!$B$21))/SQRT((((229-43)*MAX('Inputs'!$B$33,'Inputs'!$B$29+'Inputs'!$B$31+'Inputs'!$B$32,'Inputs'!$B$30+'Inputs'!$B$31+'Inputs'!$B$32)/1000+'Inputs'!$B$21))^2+('Inputs'!$B$6/2)^2)))-'Results'!C7*(0.5*((((229-43)*MAX('Inputs'!$B$33,'Inputs'!$B$29+'Inputs'!$B$31+'Inputs'!$B$32,'Inputs'!$B$30+'Inputs'!$B$31+'Inputs'!$B$32)/1000+'Inputs'!$B$21+'Inputs'!$B$7+'Inputs'!$B$10)+'Inputs'!$B$9)/SQRT((((229-43)*MAX('Inputs'!$B$33,'Inputs'!$B$29+'Inputs'!$B$31+'Inputs'!$B$32,'Inputs'!$B$30+'Inputs'!$B$31+'Inputs'!$B$32)/1000+'Inputs'!$B$21+'Inputs'!$B$7+'Inputs'!$B$10)+'Inputs'!$B$9)^2+('Inputs'!$B$8/2)^2)-(((229-43)*MAX('Inputs'!$B$33,'Inputs'!$B$29+'Inputs'!$B$31+'Inputs'!$B$32,'Inputs'!$B$30+'Inputs'!$B$31+'Inputs'!$B$32)/1000+'Inputs'!$B$21+'Inputs'!$B$7+'Inputs'!$B$10))/SQRT((((229-43)*MAX('Inputs'!$B$33,'Inputs'!$B$29+'Inputs'!$B$31+'Inputs'!$B$32,'Inputs'!$B$30+'Inputs'!$B$31+'Inputs'!$B$32)/1000+'Inputs'!$B$21+'Inputs'!$B$7+'Inputs'!$B$10))^2+('Inputs'!$B$8/2)^2))))*'Results'!$B$8),"")</x:f>
        <x:v>89.15962155271656</x:v>
      </x:c>
      <x:c r="K229" t="n">
        <x:f>IF(AND(ISNUMBER('Results'!B7),ISNUMBER('Results'!C7),ISNUMBER('Results'!$B$8),ISNUMBER('Inputs'!$B$6),ISNUMBER('Inputs'!$B$7),ISNUMBER('Inputs'!$B$8),ISNUMBER('Inputs'!$B$9),ISNUMBER('Inputs'!$B$10),ISNUMBER('Inputs'!$B$21),ISNUMBER('Inputs'!$B$24),ISNUMBER('Inputs'!$B$28)),((('Results'!B7*(1-'Inputs'!$B$24)*(0.5*((((229-43)*MAX('Inputs'!$B$33,'Inputs'!$B$29+'Inputs'!$B$31+'Inputs'!$B$32,'Inputs'!$B$30+'Inputs'!$B$31+'Inputs'!$B$32)/1000+'Inputs'!$B$21)+'Inputs'!$B$7)/SQRT((((229-43)*MAX('Inputs'!$B$33,'Inputs'!$B$29+'Inputs'!$B$31+'Inputs'!$B$32,'Inputs'!$B$30+'Inputs'!$B$31+'Inputs'!$B$32)/1000+'Inputs'!$B$21)+'Inputs'!$B$7)^2+('Inputs'!$B$6/2)^2)-(((229-43)*MAX('Inputs'!$B$33,'Inputs'!$B$29+'Inputs'!$B$31+'Inputs'!$B$32,'Inputs'!$B$30+'Inputs'!$B$31+'Inputs'!$B$32)/1000+'Inputs'!$B$21))/SQRT((((229-43)*MAX('Inputs'!$B$33,'Inputs'!$B$29+'Inputs'!$B$31+'Inputs'!$B$32,'Inputs'!$B$30+'Inputs'!$B$31+'Inputs'!$B$32)/1000+'Inputs'!$B$21))^2+('Inputs'!$B$6/2)^2)))-'Results'!C7*(1+'Inputs'!$B$24)*(0.5*((((229-43)*MAX('Inputs'!$B$33,'Inputs'!$B$29+'Inputs'!$B$31+'Inputs'!$B$32,'Inputs'!$B$30+'Inputs'!$B$31+'Inputs'!$B$32)/1000+'Inputs'!$B$21+'Inputs'!$B$7+'Inputs'!$B$10)+'Inputs'!$B$9)/SQRT((((229-43)*MAX('Inputs'!$B$33,'Inputs'!$B$29+'Inputs'!$B$31+'Inputs'!$B$32,'Inputs'!$B$30+'Inputs'!$B$31+'Inputs'!$B$32)/1000+'Inputs'!$B$21+'Inputs'!$B$7+'Inputs'!$B$10)+'Inputs'!$B$9)^2+('Inputs'!$B$8/2)^2)-(((229-43)*MAX('Inputs'!$B$33,'Inputs'!$B$29+'Inputs'!$B$31+'Inputs'!$B$32,'Inputs'!$B$30+'Inputs'!$B$31+'Inputs'!$B$32)/1000+'Inputs'!$B$21+'Inputs'!$B$7+'Inputs'!$B$10))/SQRT((((229-43)*MAX('Inputs'!$B$33,'Inputs'!$B$29+'Inputs'!$B$31+'Inputs'!$B$32,'Inputs'!$B$30+'Inputs'!$B$31+'Inputs'!$B$32)/1000+'Inputs'!$B$21+'Inputs'!$B$7+'Inputs'!$B$10))^2+('Inputs'!$B$8/2)^2))))*'Results'!$B$8)-'Inputs'!$B$28*ABS((('Results'!B7*(1-'Inputs'!$B$24)*(0.5*((((229-43)*MAX('Inputs'!$B$33,'Inputs'!$B$29+'Inputs'!$B$31+'Inputs'!$B$32,'Inputs'!$B$30+'Inputs'!$B$31+'Inputs'!$B$32)/1000+'Inputs'!$B$21)+'Inputs'!$B$7)/SQRT((((229-43)*MAX('Inputs'!$B$33,'Inputs'!$B$29+'Inputs'!$B$31+'Inputs'!$B$32,'Inputs'!$B$30+'Inputs'!$B$31+'Inputs'!$B$32)/1000+'Inputs'!$B$21)+'Inputs'!$B$7)^2+('Inputs'!$B$6/2)^2)-(((229-43)*MAX('Inputs'!$B$33,'Inputs'!$B$29+'Inputs'!$B$31+'Inputs'!$B$32,'Inputs'!$B$30+'Inputs'!$B$31+'Inputs'!$B$32)/1000+'Inputs'!$B$21))/SQRT((((229-43)*MAX('Inputs'!$B$33,'Inputs'!$B$29+'Inputs'!$B$31+'Inputs'!$B$32,'Inputs'!$B$30+'Inputs'!$B$31+'Inputs'!$B$32)/1000+'Inputs'!$B$21))^2+('Inputs'!$B$6/2)^2)))-'Results'!C7*(1+'Inputs'!$B$24)*(0.5*((((229-43)*MAX('Inputs'!$B$33,'Inputs'!$B$29+'Inputs'!$B$31+'Inputs'!$B$32,'Inputs'!$B$30+'Inputs'!$B$31+'Inputs'!$B$32)/1000+'Inputs'!$B$21+'Inputs'!$B$7+'Inputs'!$B$10)+'Inputs'!$B$9)/SQRT((((229-43)*MAX('Inputs'!$B$33,'Inputs'!$B$29+'Inputs'!$B$31+'Inputs'!$B$32,'Inputs'!$B$30+'Inputs'!$B$31+'Inputs'!$B$32)/1000+'Inputs'!$B$21+'Inputs'!$B$7+'Inputs'!$B$10)+'Inputs'!$B$9)^2+('Inputs'!$B$8/2)^2)-(((229-43)*MAX('Inputs'!$B$33,'Inputs'!$B$29+'Inputs'!$B$31+'Inputs'!$B$32,'Inputs'!$B$30+'Inputs'!$B$31+'Inputs'!$B$32)/1000+'Inputs'!$B$21+'Inputs'!$B$7+'Inputs'!$B$10))/SQRT((((229-43)*MAX('Inputs'!$B$33,'Inputs'!$B$29+'Inputs'!$B$31+'Inputs'!$B$32,'Inputs'!$B$30+'Inputs'!$B$31+'Inputs'!$B$32)/1000+'Inputs'!$B$21+'Inputs'!$B$7+'Inputs'!$B$10))^2+('Inputs'!$B$8/2)^2))))*'Results'!$B$8))),"")</x:f>
        <x:v>81.62205136250903</x:v>
      </x:c>
      <x:c r="L229" t="n">
        <x:f>IF(AND(ISNUMBER('Results'!B7),ISNUMBER('Results'!C7),ISNUMBER('Results'!$B$8),ISNUMBER('Inputs'!$B$6),ISNUMBER('Inputs'!$B$7),ISNUMBER('Inputs'!$B$8),ISNUMBER('Inputs'!$B$9),ISNUMBER('Inputs'!$B$10),ISNUMBER('Inputs'!$B$21),ISNUMBER('Inputs'!$B$24),ISNUMBER('Inputs'!$B$28)),((('Results'!B7*(1+'Inputs'!$B$24)*(0.5*((((229-43)*MAX('Inputs'!$B$33,'Inputs'!$B$29+'Inputs'!$B$31+'Inputs'!$B$32,'Inputs'!$B$30+'Inputs'!$B$31+'Inputs'!$B$32)/1000+'Inputs'!$B$21)+'Inputs'!$B$7)/SQRT((((229-43)*MAX('Inputs'!$B$33,'Inputs'!$B$29+'Inputs'!$B$31+'Inputs'!$B$32,'Inputs'!$B$30+'Inputs'!$B$31+'Inputs'!$B$32)/1000+'Inputs'!$B$21)+'Inputs'!$B$7)^2+('Inputs'!$B$6/2)^2)-(((229-43)*MAX('Inputs'!$B$33,'Inputs'!$B$29+'Inputs'!$B$31+'Inputs'!$B$32,'Inputs'!$B$30+'Inputs'!$B$31+'Inputs'!$B$32)/1000+'Inputs'!$B$21))/SQRT((((229-43)*MAX('Inputs'!$B$33,'Inputs'!$B$29+'Inputs'!$B$31+'Inputs'!$B$32,'Inputs'!$B$30+'Inputs'!$B$31+'Inputs'!$B$32)/1000+'Inputs'!$B$21))^2+('Inputs'!$B$6/2)^2)))-'Results'!C7*(1-'Inputs'!$B$24)*(0.5*((((229-43)*MAX('Inputs'!$B$33,'Inputs'!$B$29+'Inputs'!$B$31+'Inputs'!$B$32,'Inputs'!$B$30+'Inputs'!$B$31+'Inputs'!$B$32)/1000+'Inputs'!$B$21+'Inputs'!$B$7+'Inputs'!$B$10)+'Inputs'!$B$9)/SQRT((((229-43)*MAX('Inputs'!$B$33,'Inputs'!$B$29+'Inputs'!$B$31+'Inputs'!$B$32,'Inputs'!$B$30+'Inputs'!$B$31+'Inputs'!$B$32)/1000+'Inputs'!$B$21+'Inputs'!$B$7+'Inputs'!$B$10)+'Inputs'!$B$9)^2+('Inputs'!$B$8/2)^2)-(((229-43)*MAX('Inputs'!$B$33,'Inputs'!$B$29+'Inputs'!$B$31+'Inputs'!$B$32,'Inputs'!$B$30+'Inputs'!$B$31+'Inputs'!$B$32)/1000+'Inputs'!$B$21+'Inputs'!$B$7+'Inputs'!$B$10))/SQRT((((229-43)*MAX('Inputs'!$B$33,'Inputs'!$B$29+'Inputs'!$B$31+'Inputs'!$B$32,'Inputs'!$B$30+'Inputs'!$B$31+'Inputs'!$B$32)/1000+'Inputs'!$B$21+'Inputs'!$B$7+'Inputs'!$B$10))^2+('Inputs'!$B$8/2)^2))))*'Results'!$B$8)+'Inputs'!$B$28*ABS((('Results'!B7*(1+'Inputs'!$B$24)*(0.5*((((229-43)*MAX('Inputs'!$B$33,'Inputs'!$B$29+'Inputs'!$B$31+'Inputs'!$B$32,'Inputs'!$B$30+'Inputs'!$B$31+'Inputs'!$B$32)/1000+'Inputs'!$B$21)+'Inputs'!$B$7)/SQRT((((229-43)*MAX('Inputs'!$B$33,'Inputs'!$B$29+'Inputs'!$B$31+'Inputs'!$B$32,'Inputs'!$B$30+'Inputs'!$B$31+'Inputs'!$B$32)/1000+'Inputs'!$B$21)+'Inputs'!$B$7)^2+('Inputs'!$B$6/2)^2)-(((229-43)*MAX('Inputs'!$B$33,'Inputs'!$B$29+'Inputs'!$B$31+'Inputs'!$B$32,'Inputs'!$B$30+'Inputs'!$B$31+'Inputs'!$B$32)/1000+'Inputs'!$B$21))/SQRT((((229-43)*MAX('Inputs'!$B$33,'Inputs'!$B$29+'Inputs'!$B$31+'Inputs'!$B$32,'Inputs'!$B$30+'Inputs'!$B$31+'Inputs'!$B$32)/1000+'Inputs'!$B$21))^2+('Inputs'!$B$6/2)^2)))-'Results'!C7*(1-'Inputs'!$B$24)*(0.5*((((229-43)*MAX('Inputs'!$B$33,'Inputs'!$B$29+'Inputs'!$B$31+'Inputs'!$B$32,'Inputs'!$B$30+'Inputs'!$B$31+'Inputs'!$B$32)/1000+'Inputs'!$B$21+'Inputs'!$B$7+'Inputs'!$B$10)+'Inputs'!$B$9)/SQRT((((229-43)*MAX('Inputs'!$B$33,'Inputs'!$B$29+'Inputs'!$B$31+'Inputs'!$B$32,'Inputs'!$B$30+'Inputs'!$B$31+'Inputs'!$B$32)/1000+'Inputs'!$B$21+'Inputs'!$B$7+'Inputs'!$B$10)+'Inputs'!$B$9)^2+('Inputs'!$B$8/2)^2)-(((229-43)*MAX('Inputs'!$B$33,'Inputs'!$B$29+'Inputs'!$B$31+'Inputs'!$B$32,'Inputs'!$B$30+'Inputs'!$B$31+'Inputs'!$B$32)/1000+'Inputs'!$B$21+'Inputs'!$B$7+'Inputs'!$B$10))/SQRT((((229-43)*MAX('Inputs'!$B$33,'Inputs'!$B$29+'Inputs'!$B$31+'Inputs'!$B$32,'Inputs'!$B$30+'Inputs'!$B$31+'Inputs'!$B$32)/1000+'Inputs'!$B$21+'Inputs'!$B$7+'Inputs'!$B$10))^2+('Inputs'!$B$8/2)^2))))*'Results'!$B$8))),"")</x:f>
        <x:v>97.02135901793166</x:v>
      </x:c>
      <x:c r="M229" t="n">
        <x:f>IF(AND(ISNUMBER('Results'!C7),ISNUMBER('Results'!B7),ISNUMBER('Results'!$B$8),ISNUMBER('Inputs'!$B$6),ISNUMBER('Inputs'!$B$7),ISNUMBER('Inputs'!$B$8),ISNUMBER('Inputs'!$B$9),ISNUMBER('Inputs'!$B$10),ISNUMBER('Inputs'!$B$21),ISNUMBER('Inputs'!$B$24),ISNUMBER('Inputs'!$B$28)),(('Results'!C7*(0.5*((((229-43)*MAX('Inputs'!$B$33,'Inputs'!$B$29+'Inputs'!$B$31+'Inputs'!$B$32,'Inputs'!$B$30+'Inputs'!$B$31+'Inputs'!$B$32)/1000+'Inputs'!$B$21)+'Inputs'!$B$9)/SQRT((((229-43)*MAX('Inputs'!$B$33,'Inputs'!$B$29+'Inputs'!$B$31+'Inputs'!$B$32,'Inputs'!$B$30+'Inputs'!$B$31+'Inputs'!$B$32)/1000+'Inputs'!$B$21)+'Inputs'!$B$9)^2+('Inputs'!$B$8/2)^2)-(((229-43)*MAX('Inputs'!$B$33,'Inputs'!$B$29+'Inputs'!$B$31+'Inputs'!$B$32,'Inputs'!$B$30+'Inputs'!$B$31+'Inputs'!$B$32)/1000+'Inputs'!$B$21))/SQRT((((229-43)*MAX('Inputs'!$B$33,'Inputs'!$B$29+'Inputs'!$B$31+'Inputs'!$B$32,'Inputs'!$B$30+'Inputs'!$B$31+'Inputs'!$B$32)/1000+'Inputs'!$B$21))^2+('Inputs'!$B$8/2)^2)))-'Results'!B7*(0.5*((((229-43)*MAX('Inputs'!$B$33,'Inputs'!$B$29+'Inputs'!$B$31+'Inputs'!$B$32,'Inputs'!$B$30+'Inputs'!$B$31+'Inputs'!$B$32)/1000+'Inputs'!$B$21+'Inputs'!$B$9+'Inputs'!$B$10)+'Inputs'!$B$7)/SQRT((((229-43)*MAX('Inputs'!$B$33,'Inputs'!$B$29+'Inputs'!$B$31+'Inputs'!$B$32,'Inputs'!$B$30+'Inputs'!$B$31+'Inputs'!$B$32)/1000+'Inputs'!$B$21+'Inputs'!$B$9+'Inputs'!$B$10)+'Inputs'!$B$7)^2+('Inputs'!$B$6/2)^2)-(((229-43)*MAX('Inputs'!$B$33,'Inputs'!$B$29+'Inputs'!$B$31+'Inputs'!$B$32,'Inputs'!$B$30+'Inputs'!$B$31+'Inputs'!$B$32)/1000+'Inputs'!$B$21+'Inputs'!$B$9+'Inputs'!$B$10))/SQRT((((229-43)*MAX('Inputs'!$B$33,'Inputs'!$B$29+'Inputs'!$B$31+'Inputs'!$B$32,'Inputs'!$B$30+'Inputs'!$B$31+'Inputs'!$B$32)/1000+'Inputs'!$B$21+'Inputs'!$B$9+'Inputs'!$B$10))^2+('Inputs'!$B$6/2)^2))))*'Results'!$B$8),"")</x:f>
        <x:v>85.90306635040616</x:v>
      </x:c>
      <x:c r="N229" t="n">
        <x:f>IF(AND(ISNUMBER('Results'!C7),ISNUMBER('Results'!B7),ISNUMBER('Results'!$B$8),ISNUMBER('Inputs'!$B$6),ISNUMBER('Inputs'!$B$7),ISNUMBER('Inputs'!$B$8),ISNUMBER('Inputs'!$B$9),ISNUMBER('Inputs'!$B$10),ISNUMBER('Inputs'!$B$21),ISNUMBER('Inputs'!$B$24),ISNUMBER('Inputs'!$B$28)),((('Results'!C7*(1-'Inputs'!$B$24)*(0.5*((((229-43)*MAX('Inputs'!$B$33,'Inputs'!$B$29+'Inputs'!$B$31+'Inputs'!$B$32,'Inputs'!$B$30+'Inputs'!$B$31+'Inputs'!$B$32)/1000+'Inputs'!$B$21)+'Inputs'!$B$9)/SQRT((((229-43)*MAX('Inputs'!$B$33,'Inputs'!$B$29+'Inputs'!$B$31+'Inputs'!$B$32,'Inputs'!$B$30+'Inputs'!$B$31+'Inputs'!$B$32)/1000+'Inputs'!$B$21)+'Inputs'!$B$9)^2+('Inputs'!$B$8/2)^2)-(((229-43)*MAX('Inputs'!$B$33,'Inputs'!$B$29+'Inputs'!$B$31+'Inputs'!$B$32,'Inputs'!$B$30+'Inputs'!$B$31+'Inputs'!$B$32)/1000+'Inputs'!$B$21))/SQRT((((229-43)*MAX('Inputs'!$B$33,'Inputs'!$B$29+'Inputs'!$B$31+'Inputs'!$B$32,'Inputs'!$B$30+'Inputs'!$B$31+'Inputs'!$B$32)/1000+'Inputs'!$B$21))^2+('Inputs'!$B$8/2)^2)))-'Results'!B7*(1+'Inputs'!$B$24)*(0.5*((((229-43)*MAX('Inputs'!$B$33,'Inputs'!$B$29+'Inputs'!$B$31+'Inputs'!$B$32,'Inputs'!$B$30+'Inputs'!$B$31+'Inputs'!$B$32)/1000+'Inputs'!$B$21+'Inputs'!$B$9+'Inputs'!$B$10)+'Inputs'!$B$7)/SQRT((((229-43)*MAX('Inputs'!$B$33,'Inputs'!$B$29+'Inputs'!$B$31+'Inputs'!$B$32,'Inputs'!$B$30+'Inputs'!$B$31+'Inputs'!$B$32)/1000+'Inputs'!$B$21+'Inputs'!$B$9+'Inputs'!$B$10)+'Inputs'!$B$7)^2+('Inputs'!$B$6/2)^2)-(((229-43)*MAX('Inputs'!$B$33,'Inputs'!$B$29+'Inputs'!$B$31+'Inputs'!$B$32,'Inputs'!$B$30+'Inputs'!$B$31+'Inputs'!$B$32)/1000+'Inputs'!$B$21+'Inputs'!$B$9+'Inputs'!$B$10))/SQRT((((229-43)*MAX('Inputs'!$B$33,'Inputs'!$B$29+'Inputs'!$B$31+'Inputs'!$B$32,'Inputs'!$B$30+'Inputs'!$B$31+'Inputs'!$B$32)/1000+'Inputs'!$B$21+'Inputs'!$B$9+'Inputs'!$B$10))^2+('Inputs'!$B$6/2)^2))))*'Results'!$B$8)-'Inputs'!$B$28*ABS((('Results'!C7*(1-'Inputs'!$B$24)*(0.5*((((229-43)*MAX('Inputs'!$B$33,'Inputs'!$B$29+'Inputs'!$B$31+'Inputs'!$B$32,'Inputs'!$B$30+'Inputs'!$B$31+'Inputs'!$B$32)/1000+'Inputs'!$B$21)+'Inputs'!$B$9)/SQRT((((229-43)*MAX('Inputs'!$B$33,'Inputs'!$B$29+'Inputs'!$B$31+'Inputs'!$B$32,'Inputs'!$B$30+'Inputs'!$B$31+'Inputs'!$B$32)/1000+'Inputs'!$B$21)+'Inputs'!$B$9)^2+('Inputs'!$B$8/2)^2)-(((229-43)*MAX('Inputs'!$B$33,'Inputs'!$B$29+'Inputs'!$B$31+'Inputs'!$B$32,'Inputs'!$B$30+'Inputs'!$B$31+'Inputs'!$B$32)/1000+'Inputs'!$B$21))/SQRT((((229-43)*MAX('Inputs'!$B$33,'Inputs'!$B$29+'Inputs'!$B$31+'Inputs'!$B$32,'Inputs'!$B$30+'Inputs'!$B$31+'Inputs'!$B$32)/1000+'Inputs'!$B$21))^2+('Inputs'!$B$8/2)^2)))-'Results'!B7*(1+'Inputs'!$B$24)*(0.5*((((229-43)*MAX('Inputs'!$B$33,'Inputs'!$B$29+'Inputs'!$B$31+'Inputs'!$B$32,'Inputs'!$B$30+'Inputs'!$B$31+'Inputs'!$B$32)/1000+'Inputs'!$B$21+'Inputs'!$B$9+'Inputs'!$B$10)+'Inputs'!$B$7)/SQRT((((229-43)*MAX('Inputs'!$B$33,'Inputs'!$B$29+'Inputs'!$B$31+'Inputs'!$B$32,'Inputs'!$B$30+'Inputs'!$B$31+'Inputs'!$B$32)/1000+'Inputs'!$B$21+'Inputs'!$B$9+'Inputs'!$B$10)+'Inputs'!$B$7)^2+('Inputs'!$B$6/2)^2)-(((229-43)*MAX('Inputs'!$B$33,'Inputs'!$B$29+'Inputs'!$B$31+'Inputs'!$B$32,'Inputs'!$B$30+'Inputs'!$B$31+'Inputs'!$B$32)/1000+'Inputs'!$B$21+'Inputs'!$B$9+'Inputs'!$B$10))/SQRT((((229-43)*MAX('Inputs'!$B$33,'Inputs'!$B$29+'Inputs'!$B$31+'Inputs'!$B$32,'Inputs'!$B$30+'Inputs'!$B$31+'Inputs'!$B$32)/1000+'Inputs'!$B$21+'Inputs'!$B$9+'Inputs'!$B$10))^2+('Inputs'!$B$6/2)^2))))*'Results'!$B$8))),"")</x:f>
        <x:v>78.56192180991171</x:v>
      </x:c>
      <x:c r="O229" t="n">
        <x:f>IF(AND(ISNUMBER('Results'!C7),ISNUMBER('Results'!B7),ISNUMBER('Results'!$B$8),ISNUMBER('Inputs'!$B$6),ISNUMBER('Inputs'!$B$7),ISNUMBER('Inputs'!$B$8),ISNUMBER('Inputs'!$B$9),ISNUMBER('Inputs'!$B$10),ISNUMBER('Inputs'!$B$21),ISNUMBER('Inputs'!$B$24),ISNUMBER('Inputs'!$B$28)),((('Results'!C7*(1+'Inputs'!$B$24)*(0.5*((((229-43)*MAX('Inputs'!$B$33,'Inputs'!$B$29+'Inputs'!$B$31+'Inputs'!$B$32,'Inputs'!$B$30+'Inputs'!$B$31+'Inputs'!$B$32)/1000+'Inputs'!$B$21)+'Inputs'!$B$9)/SQRT((((229-43)*MAX('Inputs'!$B$33,'Inputs'!$B$29+'Inputs'!$B$31+'Inputs'!$B$32,'Inputs'!$B$30+'Inputs'!$B$31+'Inputs'!$B$32)/1000+'Inputs'!$B$21)+'Inputs'!$B$9)^2+('Inputs'!$B$8/2)^2)-(((229-43)*MAX('Inputs'!$B$33,'Inputs'!$B$29+'Inputs'!$B$31+'Inputs'!$B$32,'Inputs'!$B$30+'Inputs'!$B$31+'Inputs'!$B$32)/1000+'Inputs'!$B$21))/SQRT((((229-43)*MAX('Inputs'!$B$33,'Inputs'!$B$29+'Inputs'!$B$31+'Inputs'!$B$32,'Inputs'!$B$30+'Inputs'!$B$31+'Inputs'!$B$32)/1000+'Inputs'!$B$21))^2+('Inputs'!$B$8/2)^2)))-'Results'!B7*(1-'Inputs'!$B$24)*(0.5*((((229-43)*MAX('Inputs'!$B$33,'Inputs'!$B$29+'Inputs'!$B$31+'Inputs'!$B$32,'Inputs'!$B$30+'Inputs'!$B$31+'Inputs'!$B$32)/1000+'Inputs'!$B$21+'Inputs'!$B$9+'Inputs'!$B$10)+'Inputs'!$B$7)/SQRT((((229-43)*MAX('Inputs'!$B$33,'Inputs'!$B$29+'Inputs'!$B$31+'Inputs'!$B$32,'Inputs'!$B$30+'Inputs'!$B$31+'Inputs'!$B$32)/1000+'Inputs'!$B$21+'Inputs'!$B$9+'Inputs'!$B$10)+'Inputs'!$B$7)^2+('Inputs'!$B$6/2)^2)-(((229-43)*MAX('Inputs'!$B$33,'Inputs'!$B$29+'Inputs'!$B$31+'Inputs'!$B$32,'Inputs'!$B$30+'Inputs'!$B$31+'Inputs'!$B$32)/1000+'Inputs'!$B$21+'Inputs'!$B$9+'Inputs'!$B$10))/SQRT((((229-43)*MAX('Inputs'!$B$33,'Inputs'!$B$29+'Inputs'!$B$31+'Inputs'!$B$32,'Inputs'!$B$30+'Inputs'!$B$31+'Inputs'!$B$32)/1000+'Inputs'!$B$21+'Inputs'!$B$9+'Inputs'!$B$10))^2+('Inputs'!$B$6/2)^2))))*'Results'!$B$8)+'Inputs'!$B$28*ABS((('Results'!C7*(1+'Inputs'!$B$24)*(0.5*((((229-43)*MAX('Inputs'!$B$33,'Inputs'!$B$29+'Inputs'!$B$31+'Inputs'!$B$32,'Inputs'!$B$30+'Inputs'!$B$31+'Inputs'!$B$32)/1000+'Inputs'!$B$21)+'Inputs'!$B$9)/SQRT((((229-43)*MAX('Inputs'!$B$33,'Inputs'!$B$29+'Inputs'!$B$31+'Inputs'!$B$32,'Inputs'!$B$30+'Inputs'!$B$31+'Inputs'!$B$32)/1000+'Inputs'!$B$21)+'Inputs'!$B$9)^2+('Inputs'!$B$8/2)^2)-(((229-43)*MAX('Inputs'!$B$33,'Inputs'!$B$29+'Inputs'!$B$31+'Inputs'!$B$32,'Inputs'!$B$30+'Inputs'!$B$31+'Inputs'!$B$32)/1000+'Inputs'!$B$21))/SQRT((((229-43)*MAX('Inputs'!$B$33,'Inputs'!$B$29+'Inputs'!$B$31+'Inputs'!$B$32,'Inputs'!$B$30+'Inputs'!$B$31+'Inputs'!$B$32)/1000+'Inputs'!$B$21))^2+('Inputs'!$B$8/2)^2)))-'Results'!B7*(1-'Inputs'!$B$24)*(0.5*((((229-43)*MAX('Inputs'!$B$33,'Inputs'!$B$29+'Inputs'!$B$31+'Inputs'!$B$32,'Inputs'!$B$30+'Inputs'!$B$31+'Inputs'!$B$32)/1000+'Inputs'!$B$21+'Inputs'!$B$9+'Inputs'!$B$10)+'Inputs'!$B$7)/SQRT((((229-43)*MAX('Inputs'!$B$33,'Inputs'!$B$29+'Inputs'!$B$31+'Inputs'!$B$32,'Inputs'!$B$30+'Inputs'!$B$31+'Inputs'!$B$32)/1000+'Inputs'!$B$21+'Inputs'!$B$9+'Inputs'!$B$10)+'Inputs'!$B$7)^2+('Inputs'!$B$6/2)^2)-(((229-43)*MAX('Inputs'!$B$33,'Inputs'!$B$29+'Inputs'!$B$31+'Inputs'!$B$32,'Inputs'!$B$30+'Inputs'!$B$31+'Inputs'!$B$32)/1000+'Inputs'!$B$21+'Inputs'!$B$9+'Inputs'!$B$10))/SQRT((((229-43)*MAX('Inputs'!$B$33,'Inputs'!$B$29+'Inputs'!$B$31+'Inputs'!$B$32,'Inputs'!$B$30+'Inputs'!$B$31+'Inputs'!$B$32)/1000+'Inputs'!$B$21+'Inputs'!$B$9+'Inputs'!$B$10))^2+('Inputs'!$B$6/2)^2))))*'Results'!$B$8))),"")</x:f>
        <x:v>93.56484154595054</x:v>
      </x:c>
      <x:c r="P229" t="n">
        <x:f>IF(AND(MAX(J229,J228)&gt;0,J229&gt;J228+0.00000001),1,0)</x:f>
        <x:v>0</x:v>
      </x:c>
      <x:c r="Q229" t="n">
        <x:f>IF(AND(MAX(K229,K228)&gt;0,K229&gt;K228+0.00000001),1,0)</x:f>
        <x:v>0</x:v>
      </x:c>
      <x:c r="R229" t="n">
        <x:f>IF(AND(MAX(L229,L228)&gt;0,L229&gt;L228+0.00000001),1,0)</x:f>
        <x:v>0</x:v>
      </x:c>
      <x:c r="S229" t="n">
        <x:f>IF(AND(MAX(M229,M228)&gt;0,M229&gt;M228+0.00000001),1,0)</x:f>
        <x:v>0</x:v>
      </x:c>
      <x:c r="T229" t="n">
        <x:f>IF(AND(MAX(N229,N228)&gt;0,N229&gt;N228+0.00000001),1,0)</x:f>
        <x:v>0</x:v>
      </x:c>
      <x:c r="U229" t="n">
        <x:f>IF(AND(MAX(O229,O228)&gt;0,O229&gt;O228+0.00000001),1,0)</x:f>
        <x:v>0</x:v>
      </x:c>
    </x:row>
    <x:row r="230">
      <x:c r="J230" t="n">
        <x:f>IF(AND(ISNUMBER('Results'!B7),ISNUMBER('Results'!C7),ISNUMBER('Results'!$B$8),ISNUMBER('Inputs'!$B$6),ISNUMBER('Inputs'!$B$7),ISNUMBER('Inputs'!$B$8),ISNUMBER('Inputs'!$B$9),ISNUMBER('Inputs'!$B$10),ISNUMBER('Inputs'!$B$21),ISNUMBER('Inputs'!$B$24),ISNUMBER('Inputs'!$B$28)),(('Results'!B7*(0.5*((((230-43)*MAX('Inputs'!$B$33,'Inputs'!$B$29+'Inputs'!$B$31+'Inputs'!$B$32,'Inputs'!$B$30+'Inputs'!$B$31+'Inputs'!$B$32)/1000+'Inputs'!$B$21)+'Inputs'!$B$7)/SQRT((((230-43)*MAX('Inputs'!$B$33,'Inputs'!$B$29+'Inputs'!$B$31+'Inputs'!$B$32,'Inputs'!$B$30+'Inputs'!$B$31+'Inputs'!$B$32)/1000+'Inputs'!$B$21)+'Inputs'!$B$7)^2+('Inputs'!$B$6/2)^2)-(((230-43)*MAX('Inputs'!$B$33,'Inputs'!$B$29+'Inputs'!$B$31+'Inputs'!$B$32,'Inputs'!$B$30+'Inputs'!$B$31+'Inputs'!$B$32)/1000+'Inputs'!$B$21))/SQRT((((230-43)*MAX('Inputs'!$B$33,'Inputs'!$B$29+'Inputs'!$B$31+'Inputs'!$B$32,'Inputs'!$B$30+'Inputs'!$B$31+'Inputs'!$B$32)/1000+'Inputs'!$B$21))^2+('Inputs'!$B$6/2)^2)))-'Results'!C7*(0.5*((((230-43)*MAX('Inputs'!$B$33,'Inputs'!$B$29+'Inputs'!$B$31+'Inputs'!$B$32,'Inputs'!$B$30+'Inputs'!$B$31+'Inputs'!$B$32)/1000+'Inputs'!$B$21+'Inputs'!$B$7+'Inputs'!$B$10)+'Inputs'!$B$9)/SQRT((((230-43)*MAX('Inputs'!$B$33,'Inputs'!$B$29+'Inputs'!$B$31+'Inputs'!$B$32,'Inputs'!$B$30+'Inputs'!$B$31+'Inputs'!$B$32)/1000+'Inputs'!$B$21+'Inputs'!$B$7+'Inputs'!$B$10)+'Inputs'!$B$9)^2+('Inputs'!$B$8/2)^2)-(((230-43)*MAX('Inputs'!$B$33,'Inputs'!$B$29+'Inputs'!$B$31+'Inputs'!$B$32,'Inputs'!$B$30+'Inputs'!$B$31+'Inputs'!$B$32)/1000+'Inputs'!$B$21+'Inputs'!$B$7+'Inputs'!$B$10))/SQRT((((230-43)*MAX('Inputs'!$B$33,'Inputs'!$B$29+'Inputs'!$B$31+'Inputs'!$B$32,'Inputs'!$B$30+'Inputs'!$B$31+'Inputs'!$B$32)/1000+'Inputs'!$B$21+'Inputs'!$B$7+'Inputs'!$B$10))^2+('Inputs'!$B$8/2)^2))))*'Results'!$B$8),"")</x:f>
        <x:v>87.88823731411838</x:v>
      </x:c>
      <x:c r="K230" t="n">
        <x:f>IF(AND(ISNUMBER('Results'!B7),ISNUMBER('Results'!C7),ISNUMBER('Results'!$B$8),ISNUMBER('Inputs'!$B$6),ISNUMBER('Inputs'!$B$7),ISNUMBER('Inputs'!$B$8),ISNUMBER('Inputs'!$B$9),ISNUMBER('Inputs'!$B$10),ISNUMBER('Inputs'!$B$21),ISNUMBER('Inputs'!$B$24),ISNUMBER('Inputs'!$B$28)),((('Results'!B7*(1-'Inputs'!$B$24)*(0.5*((((230-43)*MAX('Inputs'!$B$33,'Inputs'!$B$29+'Inputs'!$B$31+'Inputs'!$B$32,'Inputs'!$B$30+'Inputs'!$B$31+'Inputs'!$B$32)/1000+'Inputs'!$B$21)+'Inputs'!$B$7)/SQRT((((230-43)*MAX('Inputs'!$B$33,'Inputs'!$B$29+'Inputs'!$B$31+'Inputs'!$B$32,'Inputs'!$B$30+'Inputs'!$B$31+'Inputs'!$B$32)/1000+'Inputs'!$B$21)+'Inputs'!$B$7)^2+('Inputs'!$B$6/2)^2)-(((230-43)*MAX('Inputs'!$B$33,'Inputs'!$B$29+'Inputs'!$B$31+'Inputs'!$B$32,'Inputs'!$B$30+'Inputs'!$B$31+'Inputs'!$B$32)/1000+'Inputs'!$B$21))/SQRT((((230-43)*MAX('Inputs'!$B$33,'Inputs'!$B$29+'Inputs'!$B$31+'Inputs'!$B$32,'Inputs'!$B$30+'Inputs'!$B$31+'Inputs'!$B$32)/1000+'Inputs'!$B$21))^2+('Inputs'!$B$6/2)^2)))-'Results'!C7*(1+'Inputs'!$B$24)*(0.5*((((230-43)*MAX('Inputs'!$B$33,'Inputs'!$B$29+'Inputs'!$B$31+'Inputs'!$B$32,'Inputs'!$B$30+'Inputs'!$B$31+'Inputs'!$B$32)/1000+'Inputs'!$B$21+'Inputs'!$B$7+'Inputs'!$B$10)+'Inputs'!$B$9)/SQRT((((230-43)*MAX('Inputs'!$B$33,'Inputs'!$B$29+'Inputs'!$B$31+'Inputs'!$B$32,'Inputs'!$B$30+'Inputs'!$B$31+'Inputs'!$B$32)/1000+'Inputs'!$B$21+'Inputs'!$B$7+'Inputs'!$B$10)+'Inputs'!$B$9)^2+('Inputs'!$B$8/2)^2)-(((230-43)*MAX('Inputs'!$B$33,'Inputs'!$B$29+'Inputs'!$B$31+'Inputs'!$B$32,'Inputs'!$B$30+'Inputs'!$B$31+'Inputs'!$B$32)/1000+'Inputs'!$B$21+'Inputs'!$B$7+'Inputs'!$B$10))/SQRT((((230-43)*MAX('Inputs'!$B$33,'Inputs'!$B$29+'Inputs'!$B$31+'Inputs'!$B$32,'Inputs'!$B$30+'Inputs'!$B$31+'Inputs'!$B$32)/1000+'Inputs'!$B$21+'Inputs'!$B$7+'Inputs'!$B$10))^2+('Inputs'!$B$8/2)^2))))*'Results'!$B$8)-'Inputs'!$B$28*ABS((('Results'!B7*(1-'Inputs'!$B$24)*(0.5*((((230-43)*MAX('Inputs'!$B$33,'Inputs'!$B$29+'Inputs'!$B$31+'Inputs'!$B$32,'Inputs'!$B$30+'Inputs'!$B$31+'Inputs'!$B$32)/1000+'Inputs'!$B$21)+'Inputs'!$B$7)/SQRT((((230-43)*MAX('Inputs'!$B$33,'Inputs'!$B$29+'Inputs'!$B$31+'Inputs'!$B$32,'Inputs'!$B$30+'Inputs'!$B$31+'Inputs'!$B$32)/1000+'Inputs'!$B$21)+'Inputs'!$B$7)^2+('Inputs'!$B$6/2)^2)-(((230-43)*MAX('Inputs'!$B$33,'Inputs'!$B$29+'Inputs'!$B$31+'Inputs'!$B$32,'Inputs'!$B$30+'Inputs'!$B$31+'Inputs'!$B$32)/1000+'Inputs'!$B$21))/SQRT((((230-43)*MAX('Inputs'!$B$33,'Inputs'!$B$29+'Inputs'!$B$31+'Inputs'!$B$32,'Inputs'!$B$30+'Inputs'!$B$31+'Inputs'!$B$32)/1000+'Inputs'!$B$21))^2+('Inputs'!$B$6/2)^2)))-'Results'!C7*(1+'Inputs'!$B$24)*(0.5*((((230-43)*MAX('Inputs'!$B$33,'Inputs'!$B$29+'Inputs'!$B$31+'Inputs'!$B$32,'Inputs'!$B$30+'Inputs'!$B$31+'Inputs'!$B$32)/1000+'Inputs'!$B$21+'Inputs'!$B$7+'Inputs'!$B$10)+'Inputs'!$B$9)/SQRT((((230-43)*MAX('Inputs'!$B$33,'Inputs'!$B$29+'Inputs'!$B$31+'Inputs'!$B$32,'Inputs'!$B$30+'Inputs'!$B$31+'Inputs'!$B$32)/1000+'Inputs'!$B$21+'Inputs'!$B$7+'Inputs'!$B$10)+'Inputs'!$B$9)^2+('Inputs'!$B$8/2)^2)-(((230-43)*MAX('Inputs'!$B$33,'Inputs'!$B$29+'Inputs'!$B$31+'Inputs'!$B$32,'Inputs'!$B$30+'Inputs'!$B$31+'Inputs'!$B$32)/1000+'Inputs'!$B$21+'Inputs'!$B$7+'Inputs'!$B$10))/SQRT((((230-43)*MAX('Inputs'!$B$33,'Inputs'!$B$29+'Inputs'!$B$31+'Inputs'!$B$32,'Inputs'!$B$30+'Inputs'!$B$31+'Inputs'!$B$32)/1000+'Inputs'!$B$21+'Inputs'!$B$7+'Inputs'!$B$10))^2+('Inputs'!$B$8/2)^2))))*'Results'!$B$8))),"")</x:f>
        <x:v>80.45059081989136</x:v>
      </x:c>
      <x:c r="L230" t="n">
        <x:f>IF(AND(ISNUMBER('Results'!B7),ISNUMBER('Results'!C7),ISNUMBER('Results'!$B$8),ISNUMBER('Inputs'!$B$6),ISNUMBER('Inputs'!$B$7),ISNUMBER('Inputs'!$B$8),ISNUMBER('Inputs'!$B$9),ISNUMBER('Inputs'!$B$10),ISNUMBER('Inputs'!$B$21),ISNUMBER('Inputs'!$B$24),ISNUMBER('Inputs'!$B$28)),((('Results'!B7*(1+'Inputs'!$B$24)*(0.5*((((230-43)*MAX('Inputs'!$B$33,'Inputs'!$B$29+'Inputs'!$B$31+'Inputs'!$B$32,'Inputs'!$B$30+'Inputs'!$B$31+'Inputs'!$B$32)/1000+'Inputs'!$B$21)+'Inputs'!$B$7)/SQRT((((230-43)*MAX('Inputs'!$B$33,'Inputs'!$B$29+'Inputs'!$B$31+'Inputs'!$B$32,'Inputs'!$B$30+'Inputs'!$B$31+'Inputs'!$B$32)/1000+'Inputs'!$B$21)+'Inputs'!$B$7)^2+('Inputs'!$B$6/2)^2)-(((230-43)*MAX('Inputs'!$B$33,'Inputs'!$B$29+'Inputs'!$B$31+'Inputs'!$B$32,'Inputs'!$B$30+'Inputs'!$B$31+'Inputs'!$B$32)/1000+'Inputs'!$B$21))/SQRT((((230-43)*MAX('Inputs'!$B$33,'Inputs'!$B$29+'Inputs'!$B$31+'Inputs'!$B$32,'Inputs'!$B$30+'Inputs'!$B$31+'Inputs'!$B$32)/1000+'Inputs'!$B$21))^2+('Inputs'!$B$6/2)^2)))-'Results'!C7*(1-'Inputs'!$B$24)*(0.5*((((230-43)*MAX('Inputs'!$B$33,'Inputs'!$B$29+'Inputs'!$B$31+'Inputs'!$B$32,'Inputs'!$B$30+'Inputs'!$B$31+'Inputs'!$B$32)/1000+'Inputs'!$B$21+'Inputs'!$B$7+'Inputs'!$B$10)+'Inputs'!$B$9)/SQRT((((230-43)*MAX('Inputs'!$B$33,'Inputs'!$B$29+'Inputs'!$B$31+'Inputs'!$B$32,'Inputs'!$B$30+'Inputs'!$B$31+'Inputs'!$B$32)/1000+'Inputs'!$B$21+'Inputs'!$B$7+'Inputs'!$B$10)+'Inputs'!$B$9)^2+('Inputs'!$B$8/2)^2)-(((230-43)*MAX('Inputs'!$B$33,'Inputs'!$B$29+'Inputs'!$B$31+'Inputs'!$B$32,'Inputs'!$B$30+'Inputs'!$B$31+'Inputs'!$B$32)/1000+'Inputs'!$B$21+'Inputs'!$B$7+'Inputs'!$B$10))/SQRT((((230-43)*MAX('Inputs'!$B$33,'Inputs'!$B$29+'Inputs'!$B$31+'Inputs'!$B$32,'Inputs'!$B$30+'Inputs'!$B$31+'Inputs'!$B$32)/1000+'Inputs'!$B$21+'Inputs'!$B$7+'Inputs'!$B$10))^2+('Inputs'!$B$8/2)^2))))*'Results'!$B$8)+'Inputs'!$B$28*ABS((('Results'!B7*(1+'Inputs'!$B$24)*(0.5*((((230-43)*MAX('Inputs'!$B$33,'Inputs'!$B$29+'Inputs'!$B$31+'Inputs'!$B$32,'Inputs'!$B$30+'Inputs'!$B$31+'Inputs'!$B$32)/1000+'Inputs'!$B$21)+'Inputs'!$B$7)/SQRT((((230-43)*MAX('Inputs'!$B$33,'Inputs'!$B$29+'Inputs'!$B$31+'Inputs'!$B$32,'Inputs'!$B$30+'Inputs'!$B$31+'Inputs'!$B$32)/1000+'Inputs'!$B$21)+'Inputs'!$B$7)^2+('Inputs'!$B$6/2)^2)-(((230-43)*MAX('Inputs'!$B$33,'Inputs'!$B$29+'Inputs'!$B$31+'Inputs'!$B$32,'Inputs'!$B$30+'Inputs'!$B$31+'Inputs'!$B$32)/1000+'Inputs'!$B$21))/SQRT((((230-43)*MAX('Inputs'!$B$33,'Inputs'!$B$29+'Inputs'!$B$31+'Inputs'!$B$32,'Inputs'!$B$30+'Inputs'!$B$31+'Inputs'!$B$32)/1000+'Inputs'!$B$21))^2+('Inputs'!$B$6/2)^2)))-'Results'!C7*(1-'Inputs'!$B$24)*(0.5*((((230-43)*MAX('Inputs'!$B$33,'Inputs'!$B$29+'Inputs'!$B$31+'Inputs'!$B$32,'Inputs'!$B$30+'Inputs'!$B$31+'Inputs'!$B$32)/1000+'Inputs'!$B$21+'Inputs'!$B$7+'Inputs'!$B$10)+'Inputs'!$B$9)/SQRT((((230-43)*MAX('Inputs'!$B$33,'Inputs'!$B$29+'Inputs'!$B$31+'Inputs'!$B$32,'Inputs'!$B$30+'Inputs'!$B$31+'Inputs'!$B$32)/1000+'Inputs'!$B$21+'Inputs'!$B$7+'Inputs'!$B$10)+'Inputs'!$B$9)^2+('Inputs'!$B$8/2)^2)-(((230-43)*MAX('Inputs'!$B$33,'Inputs'!$B$29+'Inputs'!$B$31+'Inputs'!$B$32,'Inputs'!$B$30+'Inputs'!$B$31+'Inputs'!$B$32)/1000+'Inputs'!$B$21+'Inputs'!$B$7+'Inputs'!$B$10))/SQRT((((230-43)*MAX('Inputs'!$B$33,'Inputs'!$B$29+'Inputs'!$B$31+'Inputs'!$B$32,'Inputs'!$B$30+'Inputs'!$B$31+'Inputs'!$B$32)/1000+'Inputs'!$B$21+'Inputs'!$B$7+'Inputs'!$B$10))^2+('Inputs'!$B$8/2)^2))))*'Results'!$B$8))),"")</x:f>
        <x:v>95.64622429555813</x:v>
      </x:c>
      <x:c r="M230" t="n">
        <x:f>IF(AND(ISNUMBER('Results'!C7),ISNUMBER('Results'!B7),ISNUMBER('Results'!$B$8),ISNUMBER('Inputs'!$B$6),ISNUMBER('Inputs'!$B$7),ISNUMBER('Inputs'!$B$8),ISNUMBER('Inputs'!$B$9),ISNUMBER('Inputs'!$B$10),ISNUMBER('Inputs'!$B$21),ISNUMBER('Inputs'!$B$24),ISNUMBER('Inputs'!$B$28)),(('Results'!C7*(0.5*((((230-43)*MAX('Inputs'!$B$33,'Inputs'!$B$29+'Inputs'!$B$31+'Inputs'!$B$32,'Inputs'!$B$30+'Inputs'!$B$31+'Inputs'!$B$32)/1000+'Inputs'!$B$21)+'Inputs'!$B$9)/SQRT((((230-43)*MAX('Inputs'!$B$33,'Inputs'!$B$29+'Inputs'!$B$31+'Inputs'!$B$32,'Inputs'!$B$30+'Inputs'!$B$31+'Inputs'!$B$32)/1000+'Inputs'!$B$21)+'Inputs'!$B$9)^2+('Inputs'!$B$8/2)^2)-(((230-43)*MAX('Inputs'!$B$33,'Inputs'!$B$29+'Inputs'!$B$31+'Inputs'!$B$32,'Inputs'!$B$30+'Inputs'!$B$31+'Inputs'!$B$32)/1000+'Inputs'!$B$21))/SQRT((((230-43)*MAX('Inputs'!$B$33,'Inputs'!$B$29+'Inputs'!$B$31+'Inputs'!$B$32,'Inputs'!$B$30+'Inputs'!$B$31+'Inputs'!$B$32)/1000+'Inputs'!$B$21))^2+('Inputs'!$B$8/2)^2)))-'Results'!B7*(0.5*((((230-43)*MAX('Inputs'!$B$33,'Inputs'!$B$29+'Inputs'!$B$31+'Inputs'!$B$32,'Inputs'!$B$30+'Inputs'!$B$31+'Inputs'!$B$32)/1000+'Inputs'!$B$21+'Inputs'!$B$9+'Inputs'!$B$10)+'Inputs'!$B$7)/SQRT((((230-43)*MAX('Inputs'!$B$33,'Inputs'!$B$29+'Inputs'!$B$31+'Inputs'!$B$32,'Inputs'!$B$30+'Inputs'!$B$31+'Inputs'!$B$32)/1000+'Inputs'!$B$21+'Inputs'!$B$9+'Inputs'!$B$10)+'Inputs'!$B$7)^2+('Inputs'!$B$6/2)^2)-(((230-43)*MAX('Inputs'!$B$33,'Inputs'!$B$29+'Inputs'!$B$31+'Inputs'!$B$32,'Inputs'!$B$30+'Inputs'!$B$31+'Inputs'!$B$32)/1000+'Inputs'!$B$21+'Inputs'!$B$9+'Inputs'!$B$10))/SQRT((((230-43)*MAX('Inputs'!$B$33,'Inputs'!$B$29+'Inputs'!$B$31+'Inputs'!$B$32,'Inputs'!$B$30+'Inputs'!$B$31+'Inputs'!$B$32)/1000+'Inputs'!$B$21+'Inputs'!$B$9+'Inputs'!$B$10))^2+('Inputs'!$B$6/2)^2))))*'Results'!$B$8),"")</x:f>
        <x:v>84.67008101213536</x:v>
      </x:c>
      <x:c r="N230" t="n">
        <x:f>IF(AND(ISNUMBER('Results'!C7),ISNUMBER('Results'!B7),ISNUMBER('Results'!$B$8),ISNUMBER('Inputs'!$B$6),ISNUMBER('Inputs'!$B$7),ISNUMBER('Inputs'!$B$8),ISNUMBER('Inputs'!$B$9),ISNUMBER('Inputs'!$B$10),ISNUMBER('Inputs'!$B$21),ISNUMBER('Inputs'!$B$24),ISNUMBER('Inputs'!$B$28)),((('Results'!C7*(1-'Inputs'!$B$24)*(0.5*((((230-43)*MAX('Inputs'!$B$33,'Inputs'!$B$29+'Inputs'!$B$31+'Inputs'!$B$32,'Inputs'!$B$30+'Inputs'!$B$31+'Inputs'!$B$32)/1000+'Inputs'!$B$21)+'Inputs'!$B$9)/SQRT((((230-43)*MAX('Inputs'!$B$33,'Inputs'!$B$29+'Inputs'!$B$31+'Inputs'!$B$32,'Inputs'!$B$30+'Inputs'!$B$31+'Inputs'!$B$32)/1000+'Inputs'!$B$21)+'Inputs'!$B$9)^2+('Inputs'!$B$8/2)^2)-(((230-43)*MAX('Inputs'!$B$33,'Inputs'!$B$29+'Inputs'!$B$31+'Inputs'!$B$32,'Inputs'!$B$30+'Inputs'!$B$31+'Inputs'!$B$32)/1000+'Inputs'!$B$21))/SQRT((((230-43)*MAX('Inputs'!$B$33,'Inputs'!$B$29+'Inputs'!$B$31+'Inputs'!$B$32,'Inputs'!$B$30+'Inputs'!$B$31+'Inputs'!$B$32)/1000+'Inputs'!$B$21))^2+('Inputs'!$B$8/2)^2)))-'Results'!B7*(1+'Inputs'!$B$24)*(0.5*((((230-43)*MAX('Inputs'!$B$33,'Inputs'!$B$29+'Inputs'!$B$31+'Inputs'!$B$32,'Inputs'!$B$30+'Inputs'!$B$31+'Inputs'!$B$32)/1000+'Inputs'!$B$21+'Inputs'!$B$9+'Inputs'!$B$10)+'Inputs'!$B$7)/SQRT((((230-43)*MAX('Inputs'!$B$33,'Inputs'!$B$29+'Inputs'!$B$31+'Inputs'!$B$32,'Inputs'!$B$30+'Inputs'!$B$31+'Inputs'!$B$32)/1000+'Inputs'!$B$21+'Inputs'!$B$9+'Inputs'!$B$10)+'Inputs'!$B$7)^2+('Inputs'!$B$6/2)^2)-(((230-43)*MAX('Inputs'!$B$33,'Inputs'!$B$29+'Inputs'!$B$31+'Inputs'!$B$32,'Inputs'!$B$30+'Inputs'!$B$31+'Inputs'!$B$32)/1000+'Inputs'!$B$21+'Inputs'!$B$9+'Inputs'!$B$10))/SQRT((((230-43)*MAX('Inputs'!$B$33,'Inputs'!$B$29+'Inputs'!$B$31+'Inputs'!$B$32,'Inputs'!$B$30+'Inputs'!$B$31+'Inputs'!$B$32)/1000+'Inputs'!$B$21+'Inputs'!$B$9+'Inputs'!$B$10))^2+('Inputs'!$B$6/2)^2))))*'Results'!$B$8)-'Inputs'!$B$28*ABS((('Results'!C7*(1-'Inputs'!$B$24)*(0.5*((((230-43)*MAX('Inputs'!$B$33,'Inputs'!$B$29+'Inputs'!$B$31+'Inputs'!$B$32,'Inputs'!$B$30+'Inputs'!$B$31+'Inputs'!$B$32)/1000+'Inputs'!$B$21)+'Inputs'!$B$9)/SQRT((((230-43)*MAX('Inputs'!$B$33,'Inputs'!$B$29+'Inputs'!$B$31+'Inputs'!$B$32,'Inputs'!$B$30+'Inputs'!$B$31+'Inputs'!$B$32)/1000+'Inputs'!$B$21)+'Inputs'!$B$9)^2+('Inputs'!$B$8/2)^2)-(((230-43)*MAX('Inputs'!$B$33,'Inputs'!$B$29+'Inputs'!$B$31+'Inputs'!$B$32,'Inputs'!$B$30+'Inputs'!$B$31+'Inputs'!$B$32)/1000+'Inputs'!$B$21))/SQRT((((230-43)*MAX('Inputs'!$B$33,'Inputs'!$B$29+'Inputs'!$B$31+'Inputs'!$B$32,'Inputs'!$B$30+'Inputs'!$B$31+'Inputs'!$B$32)/1000+'Inputs'!$B$21))^2+('Inputs'!$B$8/2)^2)))-'Results'!B7*(1+'Inputs'!$B$24)*(0.5*((((230-43)*MAX('Inputs'!$B$33,'Inputs'!$B$29+'Inputs'!$B$31+'Inputs'!$B$32,'Inputs'!$B$30+'Inputs'!$B$31+'Inputs'!$B$32)/1000+'Inputs'!$B$21+'Inputs'!$B$9+'Inputs'!$B$10)+'Inputs'!$B$7)/SQRT((((230-43)*MAX('Inputs'!$B$33,'Inputs'!$B$29+'Inputs'!$B$31+'Inputs'!$B$32,'Inputs'!$B$30+'Inputs'!$B$31+'Inputs'!$B$32)/1000+'Inputs'!$B$21+'Inputs'!$B$9+'Inputs'!$B$10)+'Inputs'!$B$7)^2+('Inputs'!$B$6/2)^2)-(((230-43)*MAX('Inputs'!$B$33,'Inputs'!$B$29+'Inputs'!$B$31+'Inputs'!$B$32,'Inputs'!$B$30+'Inputs'!$B$31+'Inputs'!$B$32)/1000+'Inputs'!$B$21+'Inputs'!$B$9+'Inputs'!$B$10))/SQRT((((230-43)*MAX('Inputs'!$B$33,'Inputs'!$B$29+'Inputs'!$B$31+'Inputs'!$B$32,'Inputs'!$B$30+'Inputs'!$B$31+'Inputs'!$B$32)/1000+'Inputs'!$B$21+'Inputs'!$B$9+'Inputs'!$B$10))^2+('Inputs'!$B$6/2)^2))))*'Results'!$B$8))),"")</x:f>
        <x:v>77.42645958601959</x:v>
      </x:c>
      <x:c r="O230" t="n">
        <x:f>IF(AND(ISNUMBER('Results'!C7),ISNUMBER('Results'!B7),ISNUMBER('Results'!$B$8),ISNUMBER('Inputs'!$B$6),ISNUMBER('Inputs'!$B$7),ISNUMBER('Inputs'!$B$8),ISNUMBER('Inputs'!$B$9),ISNUMBER('Inputs'!$B$10),ISNUMBER('Inputs'!$B$21),ISNUMBER('Inputs'!$B$24),ISNUMBER('Inputs'!$B$28)),((('Results'!C7*(1+'Inputs'!$B$24)*(0.5*((((230-43)*MAX('Inputs'!$B$33,'Inputs'!$B$29+'Inputs'!$B$31+'Inputs'!$B$32,'Inputs'!$B$30+'Inputs'!$B$31+'Inputs'!$B$32)/1000+'Inputs'!$B$21)+'Inputs'!$B$9)/SQRT((((230-43)*MAX('Inputs'!$B$33,'Inputs'!$B$29+'Inputs'!$B$31+'Inputs'!$B$32,'Inputs'!$B$30+'Inputs'!$B$31+'Inputs'!$B$32)/1000+'Inputs'!$B$21)+'Inputs'!$B$9)^2+('Inputs'!$B$8/2)^2)-(((230-43)*MAX('Inputs'!$B$33,'Inputs'!$B$29+'Inputs'!$B$31+'Inputs'!$B$32,'Inputs'!$B$30+'Inputs'!$B$31+'Inputs'!$B$32)/1000+'Inputs'!$B$21))/SQRT((((230-43)*MAX('Inputs'!$B$33,'Inputs'!$B$29+'Inputs'!$B$31+'Inputs'!$B$32,'Inputs'!$B$30+'Inputs'!$B$31+'Inputs'!$B$32)/1000+'Inputs'!$B$21))^2+('Inputs'!$B$8/2)^2)))-'Results'!B7*(1-'Inputs'!$B$24)*(0.5*((((230-43)*MAX('Inputs'!$B$33,'Inputs'!$B$29+'Inputs'!$B$31+'Inputs'!$B$32,'Inputs'!$B$30+'Inputs'!$B$31+'Inputs'!$B$32)/1000+'Inputs'!$B$21+'Inputs'!$B$9+'Inputs'!$B$10)+'Inputs'!$B$7)/SQRT((((230-43)*MAX('Inputs'!$B$33,'Inputs'!$B$29+'Inputs'!$B$31+'Inputs'!$B$32,'Inputs'!$B$30+'Inputs'!$B$31+'Inputs'!$B$32)/1000+'Inputs'!$B$21+'Inputs'!$B$9+'Inputs'!$B$10)+'Inputs'!$B$7)^2+('Inputs'!$B$6/2)^2)-(((230-43)*MAX('Inputs'!$B$33,'Inputs'!$B$29+'Inputs'!$B$31+'Inputs'!$B$32,'Inputs'!$B$30+'Inputs'!$B$31+'Inputs'!$B$32)/1000+'Inputs'!$B$21+'Inputs'!$B$9+'Inputs'!$B$10))/SQRT((((230-43)*MAX('Inputs'!$B$33,'Inputs'!$B$29+'Inputs'!$B$31+'Inputs'!$B$32,'Inputs'!$B$30+'Inputs'!$B$31+'Inputs'!$B$32)/1000+'Inputs'!$B$21+'Inputs'!$B$9+'Inputs'!$B$10))^2+('Inputs'!$B$6/2)^2))))*'Results'!$B$8)+'Inputs'!$B$28*ABS((('Results'!C7*(1+'Inputs'!$B$24)*(0.5*((((230-43)*MAX('Inputs'!$B$33,'Inputs'!$B$29+'Inputs'!$B$31+'Inputs'!$B$32,'Inputs'!$B$30+'Inputs'!$B$31+'Inputs'!$B$32)/1000+'Inputs'!$B$21)+'Inputs'!$B$9)/SQRT((((230-43)*MAX('Inputs'!$B$33,'Inputs'!$B$29+'Inputs'!$B$31+'Inputs'!$B$32,'Inputs'!$B$30+'Inputs'!$B$31+'Inputs'!$B$32)/1000+'Inputs'!$B$21)+'Inputs'!$B$9)^2+('Inputs'!$B$8/2)^2)-(((230-43)*MAX('Inputs'!$B$33,'Inputs'!$B$29+'Inputs'!$B$31+'Inputs'!$B$32,'Inputs'!$B$30+'Inputs'!$B$31+'Inputs'!$B$32)/1000+'Inputs'!$B$21))/SQRT((((230-43)*MAX('Inputs'!$B$33,'Inputs'!$B$29+'Inputs'!$B$31+'Inputs'!$B$32,'Inputs'!$B$30+'Inputs'!$B$31+'Inputs'!$B$32)/1000+'Inputs'!$B$21))^2+('Inputs'!$B$8/2)^2)))-'Results'!B7*(1-'Inputs'!$B$24)*(0.5*((((230-43)*MAX('Inputs'!$B$33,'Inputs'!$B$29+'Inputs'!$B$31+'Inputs'!$B$32,'Inputs'!$B$30+'Inputs'!$B$31+'Inputs'!$B$32)/1000+'Inputs'!$B$21+'Inputs'!$B$9+'Inputs'!$B$10)+'Inputs'!$B$7)/SQRT((((230-43)*MAX('Inputs'!$B$33,'Inputs'!$B$29+'Inputs'!$B$31+'Inputs'!$B$32,'Inputs'!$B$30+'Inputs'!$B$31+'Inputs'!$B$32)/1000+'Inputs'!$B$21+'Inputs'!$B$9+'Inputs'!$B$10)+'Inputs'!$B$7)^2+('Inputs'!$B$6/2)^2)-(((230-43)*MAX('Inputs'!$B$33,'Inputs'!$B$29+'Inputs'!$B$31+'Inputs'!$B$32,'Inputs'!$B$30+'Inputs'!$B$31+'Inputs'!$B$32)/1000+'Inputs'!$B$21+'Inputs'!$B$9+'Inputs'!$B$10))/SQRT((((230-43)*MAX('Inputs'!$B$33,'Inputs'!$B$29+'Inputs'!$B$31+'Inputs'!$B$32,'Inputs'!$B$30+'Inputs'!$B$31+'Inputs'!$B$32)/1000+'Inputs'!$B$21+'Inputs'!$B$9+'Inputs'!$B$10))^2+('Inputs'!$B$6/2)^2))))*'Results'!$B$8))),"")</x:f>
        <x:v>92.23055689883101</x:v>
      </x:c>
      <x:c r="P230" t="n">
        <x:f>IF(AND(MAX(J230,J229)&gt;0,J230&gt;J229+0.00000001),1,0)</x:f>
        <x:v>0</x:v>
      </x:c>
      <x:c r="Q230" t="n">
        <x:f>IF(AND(MAX(K230,K229)&gt;0,K230&gt;K229+0.00000001),1,0)</x:f>
        <x:v>0</x:v>
      </x:c>
      <x:c r="R230" t="n">
        <x:f>IF(AND(MAX(L230,L229)&gt;0,L230&gt;L229+0.00000001),1,0)</x:f>
        <x:v>0</x:v>
      </x:c>
      <x:c r="S230" t="n">
        <x:f>IF(AND(MAX(M230,M229)&gt;0,M230&gt;M229+0.00000001),1,0)</x:f>
        <x:v>0</x:v>
      </x:c>
      <x:c r="T230" t="n">
        <x:f>IF(AND(MAX(N230,N229)&gt;0,N230&gt;N229+0.00000001),1,0)</x:f>
        <x:v>0</x:v>
      </x:c>
      <x:c r="U230" t="n">
        <x:f>IF(AND(MAX(O230,O229)&gt;0,O230&gt;O229+0.00000001),1,0)</x:f>
        <x:v>0</x:v>
      </x:c>
    </x:row>
    <x:row r="231">
      <x:c r="J231" t="n">
        <x:f>IF(AND(ISNUMBER('Results'!B7),ISNUMBER('Results'!C7),ISNUMBER('Results'!$B$8),ISNUMBER('Inputs'!$B$6),ISNUMBER('Inputs'!$B$7),ISNUMBER('Inputs'!$B$8),ISNUMBER('Inputs'!$B$9),ISNUMBER('Inputs'!$B$10),ISNUMBER('Inputs'!$B$21),ISNUMBER('Inputs'!$B$24),ISNUMBER('Inputs'!$B$28)),(('Results'!B7*(0.5*((((231-43)*MAX('Inputs'!$B$33,'Inputs'!$B$29+'Inputs'!$B$31+'Inputs'!$B$32,'Inputs'!$B$30+'Inputs'!$B$31+'Inputs'!$B$32)/1000+'Inputs'!$B$21)+'Inputs'!$B$7)/SQRT((((231-43)*MAX('Inputs'!$B$33,'Inputs'!$B$29+'Inputs'!$B$31+'Inputs'!$B$32,'Inputs'!$B$30+'Inputs'!$B$31+'Inputs'!$B$32)/1000+'Inputs'!$B$21)+'Inputs'!$B$7)^2+('Inputs'!$B$6/2)^2)-(((231-43)*MAX('Inputs'!$B$33,'Inputs'!$B$29+'Inputs'!$B$31+'Inputs'!$B$32,'Inputs'!$B$30+'Inputs'!$B$31+'Inputs'!$B$32)/1000+'Inputs'!$B$21))/SQRT((((231-43)*MAX('Inputs'!$B$33,'Inputs'!$B$29+'Inputs'!$B$31+'Inputs'!$B$32,'Inputs'!$B$30+'Inputs'!$B$31+'Inputs'!$B$32)/1000+'Inputs'!$B$21))^2+('Inputs'!$B$6/2)^2)))-'Results'!C7*(0.5*((((231-43)*MAX('Inputs'!$B$33,'Inputs'!$B$29+'Inputs'!$B$31+'Inputs'!$B$32,'Inputs'!$B$30+'Inputs'!$B$31+'Inputs'!$B$32)/1000+'Inputs'!$B$21+'Inputs'!$B$7+'Inputs'!$B$10)+'Inputs'!$B$9)/SQRT((((231-43)*MAX('Inputs'!$B$33,'Inputs'!$B$29+'Inputs'!$B$31+'Inputs'!$B$32,'Inputs'!$B$30+'Inputs'!$B$31+'Inputs'!$B$32)/1000+'Inputs'!$B$21+'Inputs'!$B$7+'Inputs'!$B$10)+'Inputs'!$B$9)^2+('Inputs'!$B$8/2)^2)-(((231-43)*MAX('Inputs'!$B$33,'Inputs'!$B$29+'Inputs'!$B$31+'Inputs'!$B$32,'Inputs'!$B$30+'Inputs'!$B$31+'Inputs'!$B$32)/1000+'Inputs'!$B$21+'Inputs'!$B$7+'Inputs'!$B$10))/SQRT((((231-43)*MAX('Inputs'!$B$33,'Inputs'!$B$29+'Inputs'!$B$31+'Inputs'!$B$32,'Inputs'!$B$30+'Inputs'!$B$31+'Inputs'!$B$32)/1000+'Inputs'!$B$21+'Inputs'!$B$7+'Inputs'!$B$10))^2+('Inputs'!$B$8/2)^2))))*'Results'!$B$8),"")</x:f>
        <x:v>86.63898811389619</x:v>
      </x:c>
      <x:c r="K231" t="n">
        <x:f>IF(AND(ISNUMBER('Results'!B7),ISNUMBER('Results'!C7),ISNUMBER('Results'!$B$8),ISNUMBER('Inputs'!$B$6),ISNUMBER('Inputs'!$B$7),ISNUMBER('Inputs'!$B$8),ISNUMBER('Inputs'!$B$9),ISNUMBER('Inputs'!$B$10),ISNUMBER('Inputs'!$B$21),ISNUMBER('Inputs'!$B$24),ISNUMBER('Inputs'!$B$28)),((('Results'!B7*(1-'Inputs'!$B$24)*(0.5*((((231-43)*MAX('Inputs'!$B$33,'Inputs'!$B$29+'Inputs'!$B$31+'Inputs'!$B$32,'Inputs'!$B$30+'Inputs'!$B$31+'Inputs'!$B$32)/1000+'Inputs'!$B$21)+'Inputs'!$B$7)/SQRT((((231-43)*MAX('Inputs'!$B$33,'Inputs'!$B$29+'Inputs'!$B$31+'Inputs'!$B$32,'Inputs'!$B$30+'Inputs'!$B$31+'Inputs'!$B$32)/1000+'Inputs'!$B$21)+'Inputs'!$B$7)^2+('Inputs'!$B$6/2)^2)-(((231-43)*MAX('Inputs'!$B$33,'Inputs'!$B$29+'Inputs'!$B$31+'Inputs'!$B$32,'Inputs'!$B$30+'Inputs'!$B$31+'Inputs'!$B$32)/1000+'Inputs'!$B$21))/SQRT((((231-43)*MAX('Inputs'!$B$33,'Inputs'!$B$29+'Inputs'!$B$31+'Inputs'!$B$32,'Inputs'!$B$30+'Inputs'!$B$31+'Inputs'!$B$32)/1000+'Inputs'!$B$21))^2+('Inputs'!$B$6/2)^2)))-'Results'!C7*(1+'Inputs'!$B$24)*(0.5*((((231-43)*MAX('Inputs'!$B$33,'Inputs'!$B$29+'Inputs'!$B$31+'Inputs'!$B$32,'Inputs'!$B$30+'Inputs'!$B$31+'Inputs'!$B$32)/1000+'Inputs'!$B$21+'Inputs'!$B$7+'Inputs'!$B$10)+'Inputs'!$B$9)/SQRT((((231-43)*MAX('Inputs'!$B$33,'Inputs'!$B$29+'Inputs'!$B$31+'Inputs'!$B$32,'Inputs'!$B$30+'Inputs'!$B$31+'Inputs'!$B$32)/1000+'Inputs'!$B$21+'Inputs'!$B$7+'Inputs'!$B$10)+'Inputs'!$B$9)^2+('Inputs'!$B$8/2)^2)-(((231-43)*MAX('Inputs'!$B$33,'Inputs'!$B$29+'Inputs'!$B$31+'Inputs'!$B$32,'Inputs'!$B$30+'Inputs'!$B$31+'Inputs'!$B$32)/1000+'Inputs'!$B$21+'Inputs'!$B$7+'Inputs'!$B$10))/SQRT((((231-43)*MAX('Inputs'!$B$33,'Inputs'!$B$29+'Inputs'!$B$31+'Inputs'!$B$32,'Inputs'!$B$30+'Inputs'!$B$31+'Inputs'!$B$32)/1000+'Inputs'!$B$21+'Inputs'!$B$7+'Inputs'!$B$10))^2+('Inputs'!$B$8/2)^2))))*'Results'!$B$8)-'Inputs'!$B$28*ABS((('Results'!B7*(1-'Inputs'!$B$24)*(0.5*((((231-43)*MAX('Inputs'!$B$33,'Inputs'!$B$29+'Inputs'!$B$31+'Inputs'!$B$32,'Inputs'!$B$30+'Inputs'!$B$31+'Inputs'!$B$32)/1000+'Inputs'!$B$21)+'Inputs'!$B$7)/SQRT((((231-43)*MAX('Inputs'!$B$33,'Inputs'!$B$29+'Inputs'!$B$31+'Inputs'!$B$32,'Inputs'!$B$30+'Inputs'!$B$31+'Inputs'!$B$32)/1000+'Inputs'!$B$21)+'Inputs'!$B$7)^2+('Inputs'!$B$6/2)^2)-(((231-43)*MAX('Inputs'!$B$33,'Inputs'!$B$29+'Inputs'!$B$31+'Inputs'!$B$32,'Inputs'!$B$30+'Inputs'!$B$31+'Inputs'!$B$32)/1000+'Inputs'!$B$21))/SQRT((((231-43)*MAX('Inputs'!$B$33,'Inputs'!$B$29+'Inputs'!$B$31+'Inputs'!$B$32,'Inputs'!$B$30+'Inputs'!$B$31+'Inputs'!$B$32)/1000+'Inputs'!$B$21))^2+('Inputs'!$B$6/2)^2)))-'Results'!C7*(1+'Inputs'!$B$24)*(0.5*((((231-43)*MAX('Inputs'!$B$33,'Inputs'!$B$29+'Inputs'!$B$31+'Inputs'!$B$32,'Inputs'!$B$30+'Inputs'!$B$31+'Inputs'!$B$32)/1000+'Inputs'!$B$21+'Inputs'!$B$7+'Inputs'!$B$10)+'Inputs'!$B$9)/SQRT((((231-43)*MAX('Inputs'!$B$33,'Inputs'!$B$29+'Inputs'!$B$31+'Inputs'!$B$32,'Inputs'!$B$30+'Inputs'!$B$31+'Inputs'!$B$32)/1000+'Inputs'!$B$21+'Inputs'!$B$7+'Inputs'!$B$10)+'Inputs'!$B$9)^2+('Inputs'!$B$8/2)^2)-(((231-43)*MAX('Inputs'!$B$33,'Inputs'!$B$29+'Inputs'!$B$31+'Inputs'!$B$32,'Inputs'!$B$30+'Inputs'!$B$31+'Inputs'!$B$32)/1000+'Inputs'!$B$21+'Inputs'!$B$7+'Inputs'!$B$10))/SQRT((((231-43)*MAX('Inputs'!$B$33,'Inputs'!$B$29+'Inputs'!$B$31+'Inputs'!$B$32,'Inputs'!$B$30+'Inputs'!$B$31+'Inputs'!$B$32)/1000+'Inputs'!$B$21+'Inputs'!$B$7+'Inputs'!$B$10))^2+('Inputs'!$B$8/2)^2))))*'Results'!$B$8))),"")</x:f>
        <x:v>79.29959727577562</x:v>
      </x:c>
      <x:c r="L231" t="n">
        <x:f>IF(AND(ISNUMBER('Results'!B7),ISNUMBER('Results'!C7),ISNUMBER('Results'!$B$8),ISNUMBER('Inputs'!$B$6),ISNUMBER('Inputs'!$B$7),ISNUMBER('Inputs'!$B$8),ISNUMBER('Inputs'!$B$9),ISNUMBER('Inputs'!$B$10),ISNUMBER('Inputs'!$B$21),ISNUMBER('Inputs'!$B$24),ISNUMBER('Inputs'!$B$28)),((('Results'!B7*(1+'Inputs'!$B$24)*(0.5*((((231-43)*MAX('Inputs'!$B$33,'Inputs'!$B$29+'Inputs'!$B$31+'Inputs'!$B$32,'Inputs'!$B$30+'Inputs'!$B$31+'Inputs'!$B$32)/1000+'Inputs'!$B$21)+'Inputs'!$B$7)/SQRT((((231-43)*MAX('Inputs'!$B$33,'Inputs'!$B$29+'Inputs'!$B$31+'Inputs'!$B$32,'Inputs'!$B$30+'Inputs'!$B$31+'Inputs'!$B$32)/1000+'Inputs'!$B$21)+'Inputs'!$B$7)^2+('Inputs'!$B$6/2)^2)-(((231-43)*MAX('Inputs'!$B$33,'Inputs'!$B$29+'Inputs'!$B$31+'Inputs'!$B$32,'Inputs'!$B$30+'Inputs'!$B$31+'Inputs'!$B$32)/1000+'Inputs'!$B$21))/SQRT((((231-43)*MAX('Inputs'!$B$33,'Inputs'!$B$29+'Inputs'!$B$31+'Inputs'!$B$32,'Inputs'!$B$30+'Inputs'!$B$31+'Inputs'!$B$32)/1000+'Inputs'!$B$21))^2+('Inputs'!$B$6/2)^2)))-'Results'!C7*(1-'Inputs'!$B$24)*(0.5*((((231-43)*MAX('Inputs'!$B$33,'Inputs'!$B$29+'Inputs'!$B$31+'Inputs'!$B$32,'Inputs'!$B$30+'Inputs'!$B$31+'Inputs'!$B$32)/1000+'Inputs'!$B$21+'Inputs'!$B$7+'Inputs'!$B$10)+'Inputs'!$B$9)/SQRT((((231-43)*MAX('Inputs'!$B$33,'Inputs'!$B$29+'Inputs'!$B$31+'Inputs'!$B$32,'Inputs'!$B$30+'Inputs'!$B$31+'Inputs'!$B$32)/1000+'Inputs'!$B$21+'Inputs'!$B$7+'Inputs'!$B$10)+'Inputs'!$B$9)^2+('Inputs'!$B$8/2)^2)-(((231-43)*MAX('Inputs'!$B$33,'Inputs'!$B$29+'Inputs'!$B$31+'Inputs'!$B$32,'Inputs'!$B$30+'Inputs'!$B$31+'Inputs'!$B$32)/1000+'Inputs'!$B$21+'Inputs'!$B$7+'Inputs'!$B$10))/SQRT((((231-43)*MAX('Inputs'!$B$33,'Inputs'!$B$29+'Inputs'!$B$31+'Inputs'!$B$32,'Inputs'!$B$30+'Inputs'!$B$31+'Inputs'!$B$32)/1000+'Inputs'!$B$21+'Inputs'!$B$7+'Inputs'!$B$10))^2+('Inputs'!$B$8/2)^2))))*'Results'!$B$8)+'Inputs'!$B$28*ABS((('Results'!B7*(1+'Inputs'!$B$24)*(0.5*((((231-43)*MAX('Inputs'!$B$33,'Inputs'!$B$29+'Inputs'!$B$31+'Inputs'!$B$32,'Inputs'!$B$30+'Inputs'!$B$31+'Inputs'!$B$32)/1000+'Inputs'!$B$21)+'Inputs'!$B$7)/SQRT((((231-43)*MAX('Inputs'!$B$33,'Inputs'!$B$29+'Inputs'!$B$31+'Inputs'!$B$32,'Inputs'!$B$30+'Inputs'!$B$31+'Inputs'!$B$32)/1000+'Inputs'!$B$21)+'Inputs'!$B$7)^2+('Inputs'!$B$6/2)^2)-(((231-43)*MAX('Inputs'!$B$33,'Inputs'!$B$29+'Inputs'!$B$31+'Inputs'!$B$32,'Inputs'!$B$30+'Inputs'!$B$31+'Inputs'!$B$32)/1000+'Inputs'!$B$21))/SQRT((((231-43)*MAX('Inputs'!$B$33,'Inputs'!$B$29+'Inputs'!$B$31+'Inputs'!$B$32,'Inputs'!$B$30+'Inputs'!$B$31+'Inputs'!$B$32)/1000+'Inputs'!$B$21))^2+('Inputs'!$B$6/2)^2)))-'Results'!C7*(1-'Inputs'!$B$24)*(0.5*((((231-43)*MAX('Inputs'!$B$33,'Inputs'!$B$29+'Inputs'!$B$31+'Inputs'!$B$32,'Inputs'!$B$30+'Inputs'!$B$31+'Inputs'!$B$32)/1000+'Inputs'!$B$21+'Inputs'!$B$7+'Inputs'!$B$10)+'Inputs'!$B$9)/SQRT((((231-43)*MAX('Inputs'!$B$33,'Inputs'!$B$29+'Inputs'!$B$31+'Inputs'!$B$32,'Inputs'!$B$30+'Inputs'!$B$31+'Inputs'!$B$32)/1000+'Inputs'!$B$21+'Inputs'!$B$7+'Inputs'!$B$10)+'Inputs'!$B$9)^2+('Inputs'!$B$8/2)^2)-(((231-43)*MAX('Inputs'!$B$33,'Inputs'!$B$29+'Inputs'!$B$31+'Inputs'!$B$32,'Inputs'!$B$30+'Inputs'!$B$31+'Inputs'!$B$32)/1000+'Inputs'!$B$21+'Inputs'!$B$7+'Inputs'!$B$10))/SQRT((((231-43)*MAX('Inputs'!$B$33,'Inputs'!$B$29+'Inputs'!$B$31+'Inputs'!$B$32,'Inputs'!$B$30+'Inputs'!$B$31+'Inputs'!$B$32)/1000+'Inputs'!$B$21+'Inputs'!$B$7+'Inputs'!$B$10))^2+('Inputs'!$B$8/2)^2))))*'Results'!$B$8))),"")</x:f>
        <x:v>94.2949517343774</x:v>
      </x:c>
      <x:c r="M231" t="n">
        <x:f>IF(AND(ISNUMBER('Results'!C7),ISNUMBER('Results'!B7),ISNUMBER('Results'!$B$8),ISNUMBER('Inputs'!$B$6),ISNUMBER('Inputs'!$B$7),ISNUMBER('Inputs'!$B$8),ISNUMBER('Inputs'!$B$9),ISNUMBER('Inputs'!$B$10),ISNUMBER('Inputs'!$B$21),ISNUMBER('Inputs'!$B$24),ISNUMBER('Inputs'!$B$28)),(('Results'!C7*(0.5*((((231-43)*MAX('Inputs'!$B$33,'Inputs'!$B$29+'Inputs'!$B$31+'Inputs'!$B$32,'Inputs'!$B$30+'Inputs'!$B$31+'Inputs'!$B$32)/1000+'Inputs'!$B$21)+'Inputs'!$B$9)/SQRT((((231-43)*MAX('Inputs'!$B$33,'Inputs'!$B$29+'Inputs'!$B$31+'Inputs'!$B$32,'Inputs'!$B$30+'Inputs'!$B$31+'Inputs'!$B$32)/1000+'Inputs'!$B$21)+'Inputs'!$B$9)^2+('Inputs'!$B$8/2)^2)-(((231-43)*MAX('Inputs'!$B$33,'Inputs'!$B$29+'Inputs'!$B$31+'Inputs'!$B$32,'Inputs'!$B$30+'Inputs'!$B$31+'Inputs'!$B$32)/1000+'Inputs'!$B$21))/SQRT((((231-43)*MAX('Inputs'!$B$33,'Inputs'!$B$29+'Inputs'!$B$31+'Inputs'!$B$32,'Inputs'!$B$30+'Inputs'!$B$31+'Inputs'!$B$32)/1000+'Inputs'!$B$21))^2+('Inputs'!$B$8/2)^2)))-'Results'!B7*(0.5*((((231-43)*MAX('Inputs'!$B$33,'Inputs'!$B$29+'Inputs'!$B$31+'Inputs'!$B$32,'Inputs'!$B$30+'Inputs'!$B$31+'Inputs'!$B$32)/1000+'Inputs'!$B$21+'Inputs'!$B$9+'Inputs'!$B$10)+'Inputs'!$B$7)/SQRT((((231-43)*MAX('Inputs'!$B$33,'Inputs'!$B$29+'Inputs'!$B$31+'Inputs'!$B$32,'Inputs'!$B$30+'Inputs'!$B$31+'Inputs'!$B$32)/1000+'Inputs'!$B$21+'Inputs'!$B$9+'Inputs'!$B$10)+'Inputs'!$B$7)^2+('Inputs'!$B$6/2)^2)-(((231-43)*MAX('Inputs'!$B$33,'Inputs'!$B$29+'Inputs'!$B$31+'Inputs'!$B$32,'Inputs'!$B$30+'Inputs'!$B$31+'Inputs'!$B$32)/1000+'Inputs'!$B$21+'Inputs'!$B$9+'Inputs'!$B$10))/SQRT((((231-43)*MAX('Inputs'!$B$33,'Inputs'!$B$29+'Inputs'!$B$31+'Inputs'!$B$32,'Inputs'!$B$30+'Inputs'!$B$31+'Inputs'!$B$32)/1000+'Inputs'!$B$21+'Inputs'!$B$9+'Inputs'!$B$10))^2+('Inputs'!$B$6/2)^2))))*'Results'!$B$8),"")</x:f>
        <x:v>83.45863837129698</x:v>
      </x:c>
      <x:c r="N231" t="n">
        <x:f>IF(AND(ISNUMBER('Results'!C7),ISNUMBER('Results'!B7),ISNUMBER('Results'!$B$8),ISNUMBER('Inputs'!$B$6),ISNUMBER('Inputs'!$B$7),ISNUMBER('Inputs'!$B$8),ISNUMBER('Inputs'!$B$9),ISNUMBER('Inputs'!$B$10),ISNUMBER('Inputs'!$B$21),ISNUMBER('Inputs'!$B$24),ISNUMBER('Inputs'!$B$28)),((('Results'!C7*(1-'Inputs'!$B$24)*(0.5*((((231-43)*MAX('Inputs'!$B$33,'Inputs'!$B$29+'Inputs'!$B$31+'Inputs'!$B$32,'Inputs'!$B$30+'Inputs'!$B$31+'Inputs'!$B$32)/1000+'Inputs'!$B$21)+'Inputs'!$B$9)/SQRT((((231-43)*MAX('Inputs'!$B$33,'Inputs'!$B$29+'Inputs'!$B$31+'Inputs'!$B$32,'Inputs'!$B$30+'Inputs'!$B$31+'Inputs'!$B$32)/1000+'Inputs'!$B$21)+'Inputs'!$B$9)^2+('Inputs'!$B$8/2)^2)-(((231-43)*MAX('Inputs'!$B$33,'Inputs'!$B$29+'Inputs'!$B$31+'Inputs'!$B$32,'Inputs'!$B$30+'Inputs'!$B$31+'Inputs'!$B$32)/1000+'Inputs'!$B$21))/SQRT((((231-43)*MAX('Inputs'!$B$33,'Inputs'!$B$29+'Inputs'!$B$31+'Inputs'!$B$32,'Inputs'!$B$30+'Inputs'!$B$31+'Inputs'!$B$32)/1000+'Inputs'!$B$21))^2+('Inputs'!$B$8/2)^2)))-'Results'!B7*(1+'Inputs'!$B$24)*(0.5*((((231-43)*MAX('Inputs'!$B$33,'Inputs'!$B$29+'Inputs'!$B$31+'Inputs'!$B$32,'Inputs'!$B$30+'Inputs'!$B$31+'Inputs'!$B$32)/1000+'Inputs'!$B$21+'Inputs'!$B$9+'Inputs'!$B$10)+'Inputs'!$B$7)/SQRT((((231-43)*MAX('Inputs'!$B$33,'Inputs'!$B$29+'Inputs'!$B$31+'Inputs'!$B$32,'Inputs'!$B$30+'Inputs'!$B$31+'Inputs'!$B$32)/1000+'Inputs'!$B$21+'Inputs'!$B$9+'Inputs'!$B$10)+'Inputs'!$B$7)^2+('Inputs'!$B$6/2)^2)-(((231-43)*MAX('Inputs'!$B$33,'Inputs'!$B$29+'Inputs'!$B$31+'Inputs'!$B$32,'Inputs'!$B$30+'Inputs'!$B$31+'Inputs'!$B$32)/1000+'Inputs'!$B$21+'Inputs'!$B$9+'Inputs'!$B$10))/SQRT((((231-43)*MAX('Inputs'!$B$33,'Inputs'!$B$29+'Inputs'!$B$31+'Inputs'!$B$32,'Inputs'!$B$30+'Inputs'!$B$31+'Inputs'!$B$32)/1000+'Inputs'!$B$21+'Inputs'!$B$9+'Inputs'!$B$10))^2+('Inputs'!$B$6/2)^2))))*'Results'!$B$8)-'Inputs'!$B$28*ABS((('Results'!C7*(1-'Inputs'!$B$24)*(0.5*((((231-43)*MAX('Inputs'!$B$33,'Inputs'!$B$29+'Inputs'!$B$31+'Inputs'!$B$32,'Inputs'!$B$30+'Inputs'!$B$31+'Inputs'!$B$32)/1000+'Inputs'!$B$21)+'Inputs'!$B$9)/SQRT((((231-43)*MAX('Inputs'!$B$33,'Inputs'!$B$29+'Inputs'!$B$31+'Inputs'!$B$32,'Inputs'!$B$30+'Inputs'!$B$31+'Inputs'!$B$32)/1000+'Inputs'!$B$21)+'Inputs'!$B$9)^2+('Inputs'!$B$8/2)^2)-(((231-43)*MAX('Inputs'!$B$33,'Inputs'!$B$29+'Inputs'!$B$31+'Inputs'!$B$32,'Inputs'!$B$30+'Inputs'!$B$31+'Inputs'!$B$32)/1000+'Inputs'!$B$21))/SQRT((((231-43)*MAX('Inputs'!$B$33,'Inputs'!$B$29+'Inputs'!$B$31+'Inputs'!$B$32,'Inputs'!$B$30+'Inputs'!$B$31+'Inputs'!$B$32)/1000+'Inputs'!$B$21))^2+('Inputs'!$B$8/2)^2)))-'Results'!B7*(1+'Inputs'!$B$24)*(0.5*((((231-43)*MAX('Inputs'!$B$33,'Inputs'!$B$29+'Inputs'!$B$31+'Inputs'!$B$32,'Inputs'!$B$30+'Inputs'!$B$31+'Inputs'!$B$32)/1000+'Inputs'!$B$21+'Inputs'!$B$9+'Inputs'!$B$10)+'Inputs'!$B$7)/SQRT((((231-43)*MAX('Inputs'!$B$33,'Inputs'!$B$29+'Inputs'!$B$31+'Inputs'!$B$32,'Inputs'!$B$30+'Inputs'!$B$31+'Inputs'!$B$32)/1000+'Inputs'!$B$21+'Inputs'!$B$9+'Inputs'!$B$10)+'Inputs'!$B$7)^2+('Inputs'!$B$6/2)^2)-(((231-43)*MAX('Inputs'!$B$33,'Inputs'!$B$29+'Inputs'!$B$31+'Inputs'!$B$32,'Inputs'!$B$30+'Inputs'!$B$31+'Inputs'!$B$32)/1000+'Inputs'!$B$21+'Inputs'!$B$9+'Inputs'!$B$10))/SQRT((((231-43)*MAX('Inputs'!$B$33,'Inputs'!$B$29+'Inputs'!$B$31+'Inputs'!$B$32,'Inputs'!$B$30+'Inputs'!$B$31+'Inputs'!$B$32)/1000+'Inputs'!$B$21+'Inputs'!$B$9+'Inputs'!$B$10))^2+('Inputs'!$B$6/2)^2))))*'Results'!$B$8))),"")</x:f>
        <x:v>76.31091001932876</x:v>
      </x:c>
      <x:c r="O231" t="n">
        <x:f>IF(AND(ISNUMBER('Results'!C7),ISNUMBER('Results'!B7),ISNUMBER('Results'!$B$8),ISNUMBER('Inputs'!$B$6),ISNUMBER('Inputs'!$B$7),ISNUMBER('Inputs'!$B$8),ISNUMBER('Inputs'!$B$9),ISNUMBER('Inputs'!$B$10),ISNUMBER('Inputs'!$B$21),ISNUMBER('Inputs'!$B$24),ISNUMBER('Inputs'!$B$28)),((('Results'!C7*(1+'Inputs'!$B$24)*(0.5*((((231-43)*MAX('Inputs'!$B$33,'Inputs'!$B$29+'Inputs'!$B$31+'Inputs'!$B$32,'Inputs'!$B$30+'Inputs'!$B$31+'Inputs'!$B$32)/1000+'Inputs'!$B$21)+'Inputs'!$B$9)/SQRT((((231-43)*MAX('Inputs'!$B$33,'Inputs'!$B$29+'Inputs'!$B$31+'Inputs'!$B$32,'Inputs'!$B$30+'Inputs'!$B$31+'Inputs'!$B$32)/1000+'Inputs'!$B$21)+'Inputs'!$B$9)^2+('Inputs'!$B$8/2)^2)-(((231-43)*MAX('Inputs'!$B$33,'Inputs'!$B$29+'Inputs'!$B$31+'Inputs'!$B$32,'Inputs'!$B$30+'Inputs'!$B$31+'Inputs'!$B$32)/1000+'Inputs'!$B$21))/SQRT((((231-43)*MAX('Inputs'!$B$33,'Inputs'!$B$29+'Inputs'!$B$31+'Inputs'!$B$32,'Inputs'!$B$30+'Inputs'!$B$31+'Inputs'!$B$32)/1000+'Inputs'!$B$21))^2+('Inputs'!$B$8/2)^2)))-'Results'!B7*(1-'Inputs'!$B$24)*(0.5*((((231-43)*MAX('Inputs'!$B$33,'Inputs'!$B$29+'Inputs'!$B$31+'Inputs'!$B$32,'Inputs'!$B$30+'Inputs'!$B$31+'Inputs'!$B$32)/1000+'Inputs'!$B$21+'Inputs'!$B$9+'Inputs'!$B$10)+'Inputs'!$B$7)/SQRT((((231-43)*MAX('Inputs'!$B$33,'Inputs'!$B$29+'Inputs'!$B$31+'Inputs'!$B$32,'Inputs'!$B$30+'Inputs'!$B$31+'Inputs'!$B$32)/1000+'Inputs'!$B$21+'Inputs'!$B$9+'Inputs'!$B$10)+'Inputs'!$B$7)^2+('Inputs'!$B$6/2)^2)-(((231-43)*MAX('Inputs'!$B$33,'Inputs'!$B$29+'Inputs'!$B$31+'Inputs'!$B$32,'Inputs'!$B$30+'Inputs'!$B$31+'Inputs'!$B$32)/1000+'Inputs'!$B$21+'Inputs'!$B$9+'Inputs'!$B$10))/SQRT((((231-43)*MAX('Inputs'!$B$33,'Inputs'!$B$29+'Inputs'!$B$31+'Inputs'!$B$32,'Inputs'!$B$30+'Inputs'!$B$31+'Inputs'!$B$32)/1000+'Inputs'!$B$21+'Inputs'!$B$9+'Inputs'!$B$10))^2+('Inputs'!$B$6/2)^2))))*'Results'!$B$8)+'Inputs'!$B$28*ABS((('Results'!C7*(1+'Inputs'!$B$24)*(0.5*((((231-43)*MAX('Inputs'!$B$33,'Inputs'!$B$29+'Inputs'!$B$31+'Inputs'!$B$32,'Inputs'!$B$30+'Inputs'!$B$31+'Inputs'!$B$32)/1000+'Inputs'!$B$21)+'Inputs'!$B$9)/SQRT((((231-43)*MAX('Inputs'!$B$33,'Inputs'!$B$29+'Inputs'!$B$31+'Inputs'!$B$32,'Inputs'!$B$30+'Inputs'!$B$31+'Inputs'!$B$32)/1000+'Inputs'!$B$21)+'Inputs'!$B$9)^2+('Inputs'!$B$8/2)^2)-(((231-43)*MAX('Inputs'!$B$33,'Inputs'!$B$29+'Inputs'!$B$31+'Inputs'!$B$32,'Inputs'!$B$30+'Inputs'!$B$31+'Inputs'!$B$32)/1000+'Inputs'!$B$21))/SQRT((((231-43)*MAX('Inputs'!$B$33,'Inputs'!$B$29+'Inputs'!$B$31+'Inputs'!$B$32,'Inputs'!$B$30+'Inputs'!$B$31+'Inputs'!$B$32)/1000+'Inputs'!$B$21))^2+('Inputs'!$B$8/2)^2)))-'Results'!B7*(1-'Inputs'!$B$24)*(0.5*((((231-43)*MAX('Inputs'!$B$33,'Inputs'!$B$29+'Inputs'!$B$31+'Inputs'!$B$32,'Inputs'!$B$30+'Inputs'!$B$31+'Inputs'!$B$32)/1000+'Inputs'!$B$21+'Inputs'!$B$9+'Inputs'!$B$10)+'Inputs'!$B$7)/SQRT((((231-43)*MAX('Inputs'!$B$33,'Inputs'!$B$29+'Inputs'!$B$31+'Inputs'!$B$32,'Inputs'!$B$30+'Inputs'!$B$31+'Inputs'!$B$32)/1000+'Inputs'!$B$21+'Inputs'!$B$9+'Inputs'!$B$10)+'Inputs'!$B$7)^2+('Inputs'!$B$6/2)^2)-(((231-43)*MAX('Inputs'!$B$33,'Inputs'!$B$29+'Inputs'!$B$31+'Inputs'!$B$32,'Inputs'!$B$30+'Inputs'!$B$31+'Inputs'!$B$32)/1000+'Inputs'!$B$21+'Inputs'!$B$9+'Inputs'!$B$10))/SQRT((((231-43)*MAX('Inputs'!$B$33,'Inputs'!$B$29+'Inputs'!$B$31+'Inputs'!$B$32,'Inputs'!$B$30+'Inputs'!$B$31+'Inputs'!$B$32)/1000+'Inputs'!$B$21+'Inputs'!$B$9+'Inputs'!$B$10))^2+('Inputs'!$B$6/2)^2))))*'Results'!$B$8))),"")</x:f>
        <x:v>90.91950318993926</x:v>
      </x:c>
      <x:c r="P231" t="n">
        <x:f>IF(AND(MAX(J231,J230)&gt;0,J231&gt;J230+0.00000001),1,0)</x:f>
        <x:v>0</x:v>
      </x:c>
      <x:c r="Q231" t="n">
        <x:f>IF(AND(MAX(K231,K230)&gt;0,K231&gt;K230+0.00000001),1,0)</x:f>
        <x:v>0</x:v>
      </x:c>
      <x:c r="R231" t="n">
        <x:f>IF(AND(MAX(L231,L230)&gt;0,L231&gt;L230+0.00000001),1,0)</x:f>
        <x:v>0</x:v>
      </x:c>
      <x:c r="S231" t="n">
        <x:f>IF(AND(MAX(M231,M230)&gt;0,M231&gt;M230+0.00000001),1,0)</x:f>
        <x:v>0</x:v>
      </x:c>
      <x:c r="T231" t="n">
        <x:f>IF(AND(MAX(N231,N230)&gt;0,N231&gt;N230+0.00000001),1,0)</x:f>
        <x:v>0</x:v>
      </x:c>
      <x:c r="U231" t="n">
        <x:f>IF(AND(MAX(O231,O230)&gt;0,O231&gt;O230+0.00000001),1,0)</x:f>
        <x:v>0</x:v>
      </x:c>
    </x:row>
    <x:row r="232">
      <x:c r="J232" t="n">
        <x:f>IF(AND(ISNUMBER('Results'!B7),ISNUMBER('Results'!C7),ISNUMBER('Results'!$B$8),ISNUMBER('Inputs'!$B$6),ISNUMBER('Inputs'!$B$7),ISNUMBER('Inputs'!$B$8),ISNUMBER('Inputs'!$B$9),ISNUMBER('Inputs'!$B$10),ISNUMBER('Inputs'!$B$21),ISNUMBER('Inputs'!$B$24),ISNUMBER('Inputs'!$B$28)),(('Results'!B7*(0.5*((((232-43)*MAX('Inputs'!$B$33,'Inputs'!$B$29+'Inputs'!$B$31+'Inputs'!$B$32,'Inputs'!$B$30+'Inputs'!$B$31+'Inputs'!$B$32)/1000+'Inputs'!$B$21)+'Inputs'!$B$7)/SQRT((((232-43)*MAX('Inputs'!$B$33,'Inputs'!$B$29+'Inputs'!$B$31+'Inputs'!$B$32,'Inputs'!$B$30+'Inputs'!$B$31+'Inputs'!$B$32)/1000+'Inputs'!$B$21)+'Inputs'!$B$7)^2+('Inputs'!$B$6/2)^2)-(((232-43)*MAX('Inputs'!$B$33,'Inputs'!$B$29+'Inputs'!$B$31+'Inputs'!$B$32,'Inputs'!$B$30+'Inputs'!$B$31+'Inputs'!$B$32)/1000+'Inputs'!$B$21))/SQRT((((232-43)*MAX('Inputs'!$B$33,'Inputs'!$B$29+'Inputs'!$B$31+'Inputs'!$B$32,'Inputs'!$B$30+'Inputs'!$B$31+'Inputs'!$B$32)/1000+'Inputs'!$B$21))^2+('Inputs'!$B$6/2)^2)))-'Results'!C7*(0.5*((((232-43)*MAX('Inputs'!$B$33,'Inputs'!$B$29+'Inputs'!$B$31+'Inputs'!$B$32,'Inputs'!$B$30+'Inputs'!$B$31+'Inputs'!$B$32)/1000+'Inputs'!$B$21+'Inputs'!$B$7+'Inputs'!$B$10)+'Inputs'!$B$9)/SQRT((((232-43)*MAX('Inputs'!$B$33,'Inputs'!$B$29+'Inputs'!$B$31+'Inputs'!$B$32,'Inputs'!$B$30+'Inputs'!$B$31+'Inputs'!$B$32)/1000+'Inputs'!$B$21+'Inputs'!$B$7+'Inputs'!$B$10)+'Inputs'!$B$9)^2+('Inputs'!$B$8/2)^2)-(((232-43)*MAX('Inputs'!$B$33,'Inputs'!$B$29+'Inputs'!$B$31+'Inputs'!$B$32,'Inputs'!$B$30+'Inputs'!$B$31+'Inputs'!$B$32)/1000+'Inputs'!$B$21+'Inputs'!$B$7+'Inputs'!$B$10))/SQRT((((232-43)*MAX('Inputs'!$B$33,'Inputs'!$B$29+'Inputs'!$B$31+'Inputs'!$B$32,'Inputs'!$B$30+'Inputs'!$B$31+'Inputs'!$B$32)/1000+'Inputs'!$B$21+'Inputs'!$B$7+'Inputs'!$B$10))^2+('Inputs'!$B$8/2)^2))))*'Results'!$B$8),"")</x:f>
        <x:v>85.41142567156078</x:v>
      </x:c>
      <x:c r="K232" t="n">
        <x:f>IF(AND(ISNUMBER('Results'!B7),ISNUMBER('Results'!C7),ISNUMBER('Results'!$B$8),ISNUMBER('Inputs'!$B$6),ISNUMBER('Inputs'!$B$7),ISNUMBER('Inputs'!$B$8),ISNUMBER('Inputs'!$B$9),ISNUMBER('Inputs'!$B$10),ISNUMBER('Inputs'!$B$21),ISNUMBER('Inputs'!$B$24),ISNUMBER('Inputs'!$B$28)),((('Results'!B7*(1-'Inputs'!$B$24)*(0.5*((((232-43)*MAX('Inputs'!$B$33,'Inputs'!$B$29+'Inputs'!$B$31+'Inputs'!$B$32,'Inputs'!$B$30+'Inputs'!$B$31+'Inputs'!$B$32)/1000+'Inputs'!$B$21)+'Inputs'!$B$7)/SQRT((((232-43)*MAX('Inputs'!$B$33,'Inputs'!$B$29+'Inputs'!$B$31+'Inputs'!$B$32,'Inputs'!$B$30+'Inputs'!$B$31+'Inputs'!$B$32)/1000+'Inputs'!$B$21)+'Inputs'!$B$7)^2+('Inputs'!$B$6/2)^2)-(((232-43)*MAX('Inputs'!$B$33,'Inputs'!$B$29+'Inputs'!$B$31+'Inputs'!$B$32,'Inputs'!$B$30+'Inputs'!$B$31+'Inputs'!$B$32)/1000+'Inputs'!$B$21))/SQRT((((232-43)*MAX('Inputs'!$B$33,'Inputs'!$B$29+'Inputs'!$B$31+'Inputs'!$B$32,'Inputs'!$B$30+'Inputs'!$B$31+'Inputs'!$B$32)/1000+'Inputs'!$B$21))^2+('Inputs'!$B$6/2)^2)))-'Results'!C7*(1+'Inputs'!$B$24)*(0.5*((((232-43)*MAX('Inputs'!$B$33,'Inputs'!$B$29+'Inputs'!$B$31+'Inputs'!$B$32,'Inputs'!$B$30+'Inputs'!$B$31+'Inputs'!$B$32)/1000+'Inputs'!$B$21+'Inputs'!$B$7+'Inputs'!$B$10)+'Inputs'!$B$9)/SQRT((((232-43)*MAX('Inputs'!$B$33,'Inputs'!$B$29+'Inputs'!$B$31+'Inputs'!$B$32,'Inputs'!$B$30+'Inputs'!$B$31+'Inputs'!$B$32)/1000+'Inputs'!$B$21+'Inputs'!$B$7+'Inputs'!$B$10)+'Inputs'!$B$9)^2+('Inputs'!$B$8/2)^2)-(((232-43)*MAX('Inputs'!$B$33,'Inputs'!$B$29+'Inputs'!$B$31+'Inputs'!$B$32,'Inputs'!$B$30+'Inputs'!$B$31+'Inputs'!$B$32)/1000+'Inputs'!$B$21+'Inputs'!$B$7+'Inputs'!$B$10))/SQRT((((232-43)*MAX('Inputs'!$B$33,'Inputs'!$B$29+'Inputs'!$B$31+'Inputs'!$B$32,'Inputs'!$B$30+'Inputs'!$B$31+'Inputs'!$B$32)/1000+'Inputs'!$B$21+'Inputs'!$B$7+'Inputs'!$B$10))^2+('Inputs'!$B$8/2)^2))))*'Results'!$B$8)-'Inputs'!$B$28*ABS((('Results'!B7*(1-'Inputs'!$B$24)*(0.5*((((232-43)*MAX('Inputs'!$B$33,'Inputs'!$B$29+'Inputs'!$B$31+'Inputs'!$B$32,'Inputs'!$B$30+'Inputs'!$B$31+'Inputs'!$B$32)/1000+'Inputs'!$B$21)+'Inputs'!$B$7)/SQRT((((232-43)*MAX('Inputs'!$B$33,'Inputs'!$B$29+'Inputs'!$B$31+'Inputs'!$B$32,'Inputs'!$B$30+'Inputs'!$B$31+'Inputs'!$B$32)/1000+'Inputs'!$B$21)+'Inputs'!$B$7)^2+('Inputs'!$B$6/2)^2)-(((232-43)*MAX('Inputs'!$B$33,'Inputs'!$B$29+'Inputs'!$B$31+'Inputs'!$B$32,'Inputs'!$B$30+'Inputs'!$B$31+'Inputs'!$B$32)/1000+'Inputs'!$B$21))/SQRT((((232-43)*MAX('Inputs'!$B$33,'Inputs'!$B$29+'Inputs'!$B$31+'Inputs'!$B$32,'Inputs'!$B$30+'Inputs'!$B$31+'Inputs'!$B$32)/1000+'Inputs'!$B$21))^2+('Inputs'!$B$6/2)^2)))-'Results'!C7*(1+'Inputs'!$B$24)*(0.5*((((232-43)*MAX('Inputs'!$B$33,'Inputs'!$B$29+'Inputs'!$B$31+'Inputs'!$B$32,'Inputs'!$B$30+'Inputs'!$B$31+'Inputs'!$B$32)/1000+'Inputs'!$B$21+'Inputs'!$B$7+'Inputs'!$B$10)+'Inputs'!$B$9)/SQRT((((232-43)*MAX('Inputs'!$B$33,'Inputs'!$B$29+'Inputs'!$B$31+'Inputs'!$B$32,'Inputs'!$B$30+'Inputs'!$B$31+'Inputs'!$B$32)/1000+'Inputs'!$B$21+'Inputs'!$B$7+'Inputs'!$B$10)+'Inputs'!$B$9)^2+('Inputs'!$B$8/2)^2)-(((232-43)*MAX('Inputs'!$B$33,'Inputs'!$B$29+'Inputs'!$B$31+'Inputs'!$B$32,'Inputs'!$B$30+'Inputs'!$B$31+'Inputs'!$B$32)/1000+'Inputs'!$B$21+'Inputs'!$B$7+'Inputs'!$B$10))/SQRT((((232-43)*MAX('Inputs'!$B$33,'Inputs'!$B$29+'Inputs'!$B$31+'Inputs'!$B$32,'Inputs'!$B$30+'Inputs'!$B$31+'Inputs'!$B$32)/1000+'Inputs'!$B$21+'Inputs'!$B$7+'Inputs'!$B$10))^2+('Inputs'!$B$8/2)^2))))*'Results'!$B$8))),"")</x:f>
        <x:v>78.16865537394952</x:v>
      </x:c>
      <x:c r="L232" t="n">
        <x:f>IF(AND(ISNUMBER('Results'!B7),ISNUMBER('Results'!C7),ISNUMBER('Results'!$B$8),ISNUMBER('Inputs'!$B$6),ISNUMBER('Inputs'!$B$7),ISNUMBER('Inputs'!$B$8),ISNUMBER('Inputs'!$B$9),ISNUMBER('Inputs'!$B$10),ISNUMBER('Inputs'!$B$21),ISNUMBER('Inputs'!$B$24),ISNUMBER('Inputs'!$B$28)),((('Results'!B7*(1+'Inputs'!$B$24)*(0.5*((((232-43)*MAX('Inputs'!$B$33,'Inputs'!$B$29+'Inputs'!$B$31+'Inputs'!$B$32,'Inputs'!$B$30+'Inputs'!$B$31+'Inputs'!$B$32)/1000+'Inputs'!$B$21)+'Inputs'!$B$7)/SQRT((((232-43)*MAX('Inputs'!$B$33,'Inputs'!$B$29+'Inputs'!$B$31+'Inputs'!$B$32,'Inputs'!$B$30+'Inputs'!$B$31+'Inputs'!$B$32)/1000+'Inputs'!$B$21)+'Inputs'!$B$7)^2+('Inputs'!$B$6/2)^2)-(((232-43)*MAX('Inputs'!$B$33,'Inputs'!$B$29+'Inputs'!$B$31+'Inputs'!$B$32,'Inputs'!$B$30+'Inputs'!$B$31+'Inputs'!$B$32)/1000+'Inputs'!$B$21))/SQRT((((232-43)*MAX('Inputs'!$B$33,'Inputs'!$B$29+'Inputs'!$B$31+'Inputs'!$B$32,'Inputs'!$B$30+'Inputs'!$B$31+'Inputs'!$B$32)/1000+'Inputs'!$B$21))^2+('Inputs'!$B$6/2)^2)))-'Results'!C7*(1-'Inputs'!$B$24)*(0.5*((((232-43)*MAX('Inputs'!$B$33,'Inputs'!$B$29+'Inputs'!$B$31+'Inputs'!$B$32,'Inputs'!$B$30+'Inputs'!$B$31+'Inputs'!$B$32)/1000+'Inputs'!$B$21+'Inputs'!$B$7+'Inputs'!$B$10)+'Inputs'!$B$9)/SQRT((((232-43)*MAX('Inputs'!$B$33,'Inputs'!$B$29+'Inputs'!$B$31+'Inputs'!$B$32,'Inputs'!$B$30+'Inputs'!$B$31+'Inputs'!$B$32)/1000+'Inputs'!$B$21+'Inputs'!$B$7+'Inputs'!$B$10)+'Inputs'!$B$9)^2+('Inputs'!$B$8/2)^2)-(((232-43)*MAX('Inputs'!$B$33,'Inputs'!$B$29+'Inputs'!$B$31+'Inputs'!$B$32,'Inputs'!$B$30+'Inputs'!$B$31+'Inputs'!$B$32)/1000+'Inputs'!$B$21+'Inputs'!$B$7+'Inputs'!$B$10))/SQRT((((232-43)*MAX('Inputs'!$B$33,'Inputs'!$B$29+'Inputs'!$B$31+'Inputs'!$B$32,'Inputs'!$B$30+'Inputs'!$B$31+'Inputs'!$B$32)/1000+'Inputs'!$B$21+'Inputs'!$B$7+'Inputs'!$B$10))^2+('Inputs'!$B$8/2)^2))))*'Results'!$B$8)+'Inputs'!$B$28*ABS((('Results'!B7*(1+'Inputs'!$B$24)*(0.5*((((232-43)*MAX('Inputs'!$B$33,'Inputs'!$B$29+'Inputs'!$B$31+'Inputs'!$B$32,'Inputs'!$B$30+'Inputs'!$B$31+'Inputs'!$B$32)/1000+'Inputs'!$B$21)+'Inputs'!$B$7)/SQRT((((232-43)*MAX('Inputs'!$B$33,'Inputs'!$B$29+'Inputs'!$B$31+'Inputs'!$B$32,'Inputs'!$B$30+'Inputs'!$B$31+'Inputs'!$B$32)/1000+'Inputs'!$B$21)+'Inputs'!$B$7)^2+('Inputs'!$B$6/2)^2)-(((232-43)*MAX('Inputs'!$B$33,'Inputs'!$B$29+'Inputs'!$B$31+'Inputs'!$B$32,'Inputs'!$B$30+'Inputs'!$B$31+'Inputs'!$B$32)/1000+'Inputs'!$B$21))/SQRT((((232-43)*MAX('Inputs'!$B$33,'Inputs'!$B$29+'Inputs'!$B$31+'Inputs'!$B$32,'Inputs'!$B$30+'Inputs'!$B$31+'Inputs'!$B$32)/1000+'Inputs'!$B$21))^2+('Inputs'!$B$6/2)^2)))-'Results'!C7*(1-'Inputs'!$B$24)*(0.5*((((232-43)*MAX('Inputs'!$B$33,'Inputs'!$B$29+'Inputs'!$B$31+'Inputs'!$B$32,'Inputs'!$B$30+'Inputs'!$B$31+'Inputs'!$B$32)/1000+'Inputs'!$B$21+'Inputs'!$B$7+'Inputs'!$B$10)+'Inputs'!$B$9)/SQRT((((232-43)*MAX('Inputs'!$B$33,'Inputs'!$B$29+'Inputs'!$B$31+'Inputs'!$B$32,'Inputs'!$B$30+'Inputs'!$B$31+'Inputs'!$B$32)/1000+'Inputs'!$B$21+'Inputs'!$B$7+'Inputs'!$B$10)+'Inputs'!$B$9)^2+('Inputs'!$B$8/2)^2)-(((232-43)*MAX('Inputs'!$B$33,'Inputs'!$B$29+'Inputs'!$B$31+'Inputs'!$B$32,'Inputs'!$B$30+'Inputs'!$B$31+'Inputs'!$B$32)/1000+'Inputs'!$B$21+'Inputs'!$B$7+'Inputs'!$B$10))/SQRT((((232-43)*MAX('Inputs'!$B$33,'Inputs'!$B$29+'Inputs'!$B$31+'Inputs'!$B$32,'Inputs'!$B$30+'Inputs'!$B$31+'Inputs'!$B$32)/1000+'Inputs'!$B$21+'Inputs'!$B$7+'Inputs'!$B$10))^2+('Inputs'!$B$8/2)^2))))*'Results'!$B$8))),"")</x:f>
        <x:v>92.96705902328075</x:v>
      </x:c>
      <x:c r="M232" t="n">
        <x:f>IF(AND(ISNUMBER('Results'!C7),ISNUMBER('Results'!B7),ISNUMBER('Results'!$B$8),ISNUMBER('Inputs'!$B$6),ISNUMBER('Inputs'!$B$7),ISNUMBER('Inputs'!$B$8),ISNUMBER('Inputs'!$B$9),ISNUMBER('Inputs'!$B$10),ISNUMBER('Inputs'!$B$21),ISNUMBER('Inputs'!$B$24),ISNUMBER('Inputs'!$B$28)),(('Results'!C7*(0.5*((((232-43)*MAX('Inputs'!$B$33,'Inputs'!$B$29+'Inputs'!$B$31+'Inputs'!$B$32,'Inputs'!$B$30+'Inputs'!$B$31+'Inputs'!$B$32)/1000+'Inputs'!$B$21)+'Inputs'!$B$9)/SQRT((((232-43)*MAX('Inputs'!$B$33,'Inputs'!$B$29+'Inputs'!$B$31+'Inputs'!$B$32,'Inputs'!$B$30+'Inputs'!$B$31+'Inputs'!$B$32)/1000+'Inputs'!$B$21)+'Inputs'!$B$9)^2+('Inputs'!$B$8/2)^2)-(((232-43)*MAX('Inputs'!$B$33,'Inputs'!$B$29+'Inputs'!$B$31+'Inputs'!$B$32,'Inputs'!$B$30+'Inputs'!$B$31+'Inputs'!$B$32)/1000+'Inputs'!$B$21))/SQRT((((232-43)*MAX('Inputs'!$B$33,'Inputs'!$B$29+'Inputs'!$B$31+'Inputs'!$B$32,'Inputs'!$B$30+'Inputs'!$B$31+'Inputs'!$B$32)/1000+'Inputs'!$B$21))^2+('Inputs'!$B$8/2)^2)))-'Results'!B7*(0.5*((((232-43)*MAX('Inputs'!$B$33,'Inputs'!$B$29+'Inputs'!$B$31+'Inputs'!$B$32,'Inputs'!$B$30+'Inputs'!$B$31+'Inputs'!$B$32)/1000+'Inputs'!$B$21+'Inputs'!$B$9+'Inputs'!$B$10)+'Inputs'!$B$7)/SQRT((((232-43)*MAX('Inputs'!$B$33,'Inputs'!$B$29+'Inputs'!$B$31+'Inputs'!$B$32,'Inputs'!$B$30+'Inputs'!$B$31+'Inputs'!$B$32)/1000+'Inputs'!$B$21+'Inputs'!$B$9+'Inputs'!$B$10)+'Inputs'!$B$7)^2+('Inputs'!$B$6/2)^2)-(((232-43)*MAX('Inputs'!$B$33,'Inputs'!$B$29+'Inputs'!$B$31+'Inputs'!$B$32,'Inputs'!$B$30+'Inputs'!$B$31+'Inputs'!$B$32)/1000+'Inputs'!$B$21+'Inputs'!$B$9+'Inputs'!$B$10))/SQRT((((232-43)*MAX('Inputs'!$B$33,'Inputs'!$B$29+'Inputs'!$B$31+'Inputs'!$B$32,'Inputs'!$B$30+'Inputs'!$B$31+'Inputs'!$B$32)/1000+'Inputs'!$B$21+'Inputs'!$B$9+'Inputs'!$B$10))^2+('Inputs'!$B$6/2)^2))))*'Results'!$B$8),"")</x:f>
        <x:v>82.26830123223179</x:v>
      </x:c>
      <x:c r="N232" t="n">
        <x:f>IF(AND(ISNUMBER('Results'!C7),ISNUMBER('Results'!B7),ISNUMBER('Results'!$B$8),ISNUMBER('Inputs'!$B$6),ISNUMBER('Inputs'!$B$7),ISNUMBER('Inputs'!$B$8),ISNUMBER('Inputs'!$B$9),ISNUMBER('Inputs'!$B$10),ISNUMBER('Inputs'!$B$21),ISNUMBER('Inputs'!$B$24),ISNUMBER('Inputs'!$B$28)),((('Results'!C7*(1-'Inputs'!$B$24)*(0.5*((((232-43)*MAX('Inputs'!$B$33,'Inputs'!$B$29+'Inputs'!$B$31+'Inputs'!$B$32,'Inputs'!$B$30+'Inputs'!$B$31+'Inputs'!$B$32)/1000+'Inputs'!$B$21)+'Inputs'!$B$9)/SQRT((((232-43)*MAX('Inputs'!$B$33,'Inputs'!$B$29+'Inputs'!$B$31+'Inputs'!$B$32,'Inputs'!$B$30+'Inputs'!$B$31+'Inputs'!$B$32)/1000+'Inputs'!$B$21)+'Inputs'!$B$9)^2+('Inputs'!$B$8/2)^2)-(((232-43)*MAX('Inputs'!$B$33,'Inputs'!$B$29+'Inputs'!$B$31+'Inputs'!$B$32,'Inputs'!$B$30+'Inputs'!$B$31+'Inputs'!$B$32)/1000+'Inputs'!$B$21))/SQRT((((232-43)*MAX('Inputs'!$B$33,'Inputs'!$B$29+'Inputs'!$B$31+'Inputs'!$B$32,'Inputs'!$B$30+'Inputs'!$B$31+'Inputs'!$B$32)/1000+'Inputs'!$B$21))^2+('Inputs'!$B$8/2)^2)))-'Results'!B7*(1+'Inputs'!$B$24)*(0.5*((((232-43)*MAX('Inputs'!$B$33,'Inputs'!$B$29+'Inputs'!$B$31+'Inputs'!$B$32,'Inputs'!$B$30+'Inputs'!$B$31+'Inputs'!$B$32)/1000+'Inputs'!$B$21+'Inputs'!$B$9+'Inputs'!$B$10)+'Inputs'!$B$7)/SQRT((((232-43)*MAX('Inputs'!$B$33,'Inputs'!$B$29+'Inputs'!$B$31+'Inputs'!$B$32,'Inputs'!$B$30+'Inputs'!$B$31+'Inputs'!$B$32)/1000+'Inputs'!$B$21+'Inputs'!$B$9+'Inputs'!$B$10)+'Inputs'!$B$7)^2+('Inputs'!$B$6/2)^2)-(((232-43)*MAX('Inputs'!$B$33,'Inputs'!$B$29+'Inputs'!$B$31+'Inputs'!$B$32,'Inputs'!$B$30+'Inputs'!$B$31+'Inputs'!$B$32)/1000+'Inputs'!$B$21+'Inputs'!$B$9+'Inputs'!$B$10))/SQRT((((232-43)*MAX('Inputs'!$B$33,'Inputs'!$B$29+'Inputs'!$B$31+'Inputs'!$B$32,'Inputs'!$B$30+'Inputs'!$B$31+'Inputs'!$B$32)/1000+'Inputs'!$B$21+'Inputs'!$B$9+'Inputs'!$B$10))^2+('Inputs'!$B$6/2)^2))))*'Results'!$B$8)-'Inputs'!$B$28*ABS((('Results'!C7*(1-'Inputs'!$B$24)*(0.5*((((232-43)*MAX('Inputs'!$B$33,'Inputs'!$B$29+'Inputs'!$B$31+'Inputs'!$B$32,'Inputs'!$B$30+'Inputs'!$B$31+'Inputs'!$B$32)/1000+'Inputs'!$B$21)+'Inputs'!$B$9)/SQRT((((232-43)*MAX('Inputs'!$B$33,'Inputs'!$B$29+'Inputs'!$B$31+'Inputs'!$B$32,'Inputs'!$B$30+'Inputs'!$B$31+'Inputs'!$B$32)/1000+'Inputs'!$B$21)+'Inputs'!$B$9)^2+('Inputs'!$B$8/2)^2)-(((232-43)*MAX('Inputs'!$B$33,'Inputs'!$B$29+'Inputs'!$B$31+'Inputs'!$B$32,'Inputs'!$B$30+'Inputs'!$B$31+'Inputs'!$B$32)/1000+'Inputs'!$B$21))/SQRT((((232-43)*MAX('Inputs'!$B$33,'Inputs'!$B$29+'Inputs'!$B$31+'Inputs'!$B$32,'Inputs'!$B$30+'Inputs'!$B$31+'Inputs'!$B$32)/1000+'Inputs'!$B$21))^2+('Inputs'!$B$8/2)^2)))-'Results'!B7*(1+'Inputs'!$B$24)*(0.5*((((232-43)*MAX('Inputs'!$B$33,'Inputs'!$B$29+'Inputs'!$B$31+'Inputs'!$B$32,'Inputs'!$B$30+'Inputs'!$B$31+'Inputs'!$B$32)/1000+'Inputs'!$B$21+'Inputs'!$B$9+'Inputs'!$B$10)+'Inputs'!$B$7)/SQRT((((232-43)*MAX('Inputs'!$B$33,'Inputs'!$B$29+'Inputs'!$B$31+'Inputs'!$B$32,'Inputs'!$B$30+'Inputs'!$B$31+'Inputs'!$B$32)/1000+'Inputs'!$B$21+'Inputs'!$B$9+'Inputs'!$B$10)+'Inputs'!$B$7)^2+('Inputs'!$B$6/2)^2)-(((232-43)*MAX('Inputs'!$B$33,'Inputs'!$B$29+'Inputs'!$B$31+'Inputs'!$B$32,'Inputs'!$B$30+'Inputs'!$B$31+'Inputs'!$B$32)/1000+'Inputs'!$B$21+'Inputs'!$B$9+'Inputs'!$B$10))/SQRT((((232-43)*MAX('Inputs'!$B$33,'Inputs'!$B$29+'Inputs'!$B$31+'Inputs'!$B$32,'Inputs'!$B$30+'Inputs'!$B$31+'Inputs'!$B$32)/1000+'Inputs'!$B$21+'Inputs'!$B$9+'Inputs'!$B$10))^2+('Inputs'!$B$6/2)^2))))*'Results'!$B$8))),"")</x:f>
        <x:v>75.21486811427559</x:v>
      </x:c>
      <x:c r="O232" t="n">
        <x:f>IF(AND(ISNUMBER('Results'!C7),ISNUMBER('Results'!B7),ISNUMBER('Results'!$B$8),ISNUMBER('Inputs'!$B$6),ISNUMBER('Inputs'!$B$7),ISNUMBER('Inputs'!$B$8),ISNUMBER('Inputs'!$B$9),ISNUMBER('Inputs'!$B$10),ISNUMBER('Inputs'!$B$21),ISNUMBER('Inputs'!$B$24),ISNUMBER('Inputs'!$B$28)),((('Results'!C7*(1+'Inputs'!$B$24)*(0.5*((((232-43)*MAX('Inputs'!$B$33,'Inputs'!$B$29+'Inputs'!$B$31+'Inputs'!$B$32,'Inputs'!$B$30+'Inputs'!$B$31+'Inputs'!$B$32)/1000+'Inputs'!$B$21)+'Inputs'!$B$9)/SQRT((((232-43)*MAX('Inputs'!$B$33,'Inputs'!$B$29+'Inputs'!$B$31+'Inputs'!$B$32,'Inputs'!$B$30+'Inputs'!$B$31+'Inputs'!$B$32)/1000+'Inputs'!$B$21)+'Inputs'!$B$9)^2+('Inputs'!$B$8/2)^2)-(((232-43)*MAX('Inputs'!$B$33,'Inputs'!$B$29+'Inputs'!$B$31+'Inputs'!$B$32,'Inputs'!$B$30+'Inputs'!$B$31+'Inputs'!$B$32)/1000+'Inputs'!$B$21))/SQRT((((232-43)*MAX('Inputs'!$B$33,'Inputs'!$B$29+'Inputs'!$B$31+'Inputs'!$B$32,'Inputs'!$B$30+'Inputs'!$B$31+'Inputs'!$B$32)/1000+'Inputs'!$B$21))^2+('Inputs'!$B$8/2)^2)))-'Results'!B7*(1-'Inputs'!$B$24)*(0.5*((((232-43)*MAX('Inputs'!$B$33,'Inputs'!$B$29+'Inputs'!$B$31+'Inputs'!$B$32,'Inputs'!$B$30+'Inputs'!$B$31+'Inputs'!$B$32)/1000+'Inputs'!$B$21+'Inputs'!$B$9+'Inputs'!$B$10)+'Inputs'!$B$7)/SQRT((((232-43)*MAX('Inputs'!$B$33,'Inputs'!$B$29+'Inputs'!$B$31+'Inputs'!$B$32,'Inputs'!$B$30+'Inputs'!$B$31+'Inputs'!$B$32)/1000+'Inputs'!$B$21+'Inputs'!$B$9+'Inputs'!$B$10)+'Inputs'!$B$7)^2+('Inputs'!$B$6/2)^2)-(((232-43)*MAX('Inputs'!$B$33,'Inputs'!$B$29+'Inputs'!$B$31+'Inputs'!$B$32,'Inputs'!$B$30+'Inputs'!$B$31+'Inputs'!$B$32)/1000+'Inputs'!$B$21+'Inputs'!$B$9+'Inputs'!$B$10))/SQRT((((232-43)*MAX('Inputs'!$B$33,'Inputs'!$B$29+'Inputs'!$B$31+'Inputs'!$B$32,'Inputs'!$B$30+'Inputs'!$B$31+'Inputs'!$B$32)/1000+'Inputs'!$B$21+'Inputs'!$B$9+'Inputs'!$B$10))^2+('Inputs'!$B$6/2)^2))))*'Results'!$B$8)+'Inputs'!$B$28*ABS((('Results'!C7*(1+'Inputs'!$B$24)*(0.5*((((232-43)*MAX('Inputs'!$B$33,'Inputs'!$B$29+'Inputs'!$B$31+'Inputs'!$B$32,'Inputs'!$B$30+'Inputs'!$B$31+'Inputs'!$B$32)/1000+'Inputs'!$B$21)+'Inputs'!$B$9)/SQRT((((232-43)*MAX('Inputs'!$B$33,'Inputs'!$B$29+'Inputs'!$B$31+'Inputs'!$B$32,'Inputs'!$B$30+'Inputs'!$B$31+'Inputs'!$B$32)/1000+'Inputs'!$B$21)+'Inputs'!$B$9)^2+('Inputs'!$B$8/2)^2)-(((232-43)*MAX('Inputs'!$B$33,'Inputs'!$B$29+'Inputs'!$B$31+'Inputs'!$B$32,'Inputs'!$B$30+'Inputs'!$B$31+'Inputs'!$B$32)/1000+'Inputs'!$B$21))/SQRT((((232-43)*MAX('Inputs'!$B$33,'Inputs'!$B$29+'Inputs'!$B$31+'Inputs'!$B$32,'Inputs'!$B$30+'Inputs'!$B$31+'Inputs'!$B$32)/1000+'Inputs'!$B$21))^2+('Inputs'!$B$8/2)^2)))-'Results'!B7*(1-'Inputs'!$B$24)*(0.5*((((232-43)*MAX('Inputs'!$B$33,'Inputs'!$B$29+'Inputs'!$B$31+'Inputs'!$B$32,'Inputs'!$B$30+'Inputs'!$B$31+'Inputs'!$B$32)/1000+'Inputs'!$B$21+'Inputs'!$B$9+'Inputs'!$B$10)+'Inputs'!$B$7)/SQRT((((232-43)*MAX('Inputs'!$B$33,'Inputs'!$B$29+'Inputs'!$B$31+'Inputs'!$B$32,'Inputs'!$B$30+'Inputs'!$B$31+'Inputs'!$B$32)/1000+'Inputs'!$B$21+'Inputs'!$B$9+'Inputs'!$B$10)+'Inputs'!$B$7)^2+('Inputs'!$B$6/2)^2)-(((232-43)*MAX('Inputs'!$B$33,'Inputs'!$B$29+'Inputs'!$B$31+'Inputs'!$B$32,'Inputs'!$B$30+'Inputs'!$B$31+'Inputs'!$B$32)/1000+'Inputs'!$B$21+'Inputs'!$B$9+'Inputs'!$B$10))/SQRT((((232-43)*MAX('Inputs'!$B$33,'Inputs'!$B$29+'Inputs'!$B$31+'Inputs'!$B$32,'Inputs'!$B$30+'Inputs'!$B$31+'Inputs'!$B$32)/1000+'Inputs'!$B$21+'Inputs'!$B$9+'Inputs'!$B$10))^2+('Inputs'!$B$6/2)^2))))*'Results'!$B$8))),"")</x:f>
        <x:v>89.63120993506638</x:v>
      </x:c>
      <x:c r="P232" t="n">
        <x:f>IF(AND(MAX(J232,J231)&gt;0,J232&gt;J231+0.00000001),1,0)</x:f>
        <x:v>0</x:v>
      </x:c>
      <x:c r="Q232" t="n">
        <x:f>IF(AND(MAX(K232,K231)&gt;0,K232&gt;K231+0.00000001),1,0)</x:f>
        <x:v>0</x:v>
      </x:c>
      <x:c r="R232" t="n">
        <x:f>IF(AND(MAX(L232,L231)&gt;0,L232&gt;L231+0.00000001),1,0)</x:f>
        <x:v>0</x:v>
      </x:c>
      <x:c r="S232" t="n">
        <x:f>IF(AND(MAX(M232,M231)&gt;0,M232&gt;M231+0.00000001),1,0)</x:f>
        <x:v>0</x:v>
      </x:c>
      <x:c r="T232" t="n">
        <x:f>IF(AND(MAX(N232,N231)&gt;0,N232&gt;N231+0.00000001),1,0)</x:f>
        <x:v>0</x:v>
      </x:c>
      <x:c r="U232" t="n">
        <x:f>IF(AND(MAX(O232,O231)&gt;0,O232&gt;O231+0.00000001),1,0)</x:f>
        <x:v>0</x:v>
      </x:c>
    </x:row>
    <x:row r="233">
      <x:c r="J233" t="n">
        <x:f>IF(AND(ISNUMBER('Results'!B7),ISNUMBER('Results'!C7),ISNUMBER('Results'!$B$8),ISNUMBER('Inputs'!$B$6),ISNUMBER('Inputs'!$B$7),ISNUMBER('Inputs'!$B$8),ISNUMBER('Inputs'!$B$9),ISNUMBER('Inputs'!$B$10),ISNUMBER('Inputs'!$B$21),ISNUMBER('Inputs'!$B$24),ISNUMBER('Inputs'!$B$28)),(('Results'!B7*(0.5*((((233-43)*MAX('Inputs'!$B$33,'Inputs'!$B$29+'Inputs'!$B$31+'Inputs'!$B$32,'Inputs'!$B$30+'Inputs'!$B$31+'Inputs'!$B$32)/1000+'Inputs'!$B$21)+'Inputs'!$B$7)/SQRT((((233-43)*MAX('Inputs'!$B$33,'Inputs'!$B$29+'Inputs'!$B$31+'Inputs'!$B$32,'Inputs'!$B$30+'Inputs'!$B$31+'Inputs'!$B$32)/1000+'Inputs'!$B$21)+'Inputs'!$B$7)^2+('Inputs'!$B$6/2)^2)-(((233-43)*MAX('Inputs'!$B$33,'Inputs'!$B$29+'Inputs'!$B$31+'Inputs'!$B$32,'Inputs'!$B$30+'Inputs'!$B$31+'Inputs'!$B$32)/1000+'Inputs'!$B$21))/SQRT((((233-43)*MAX('Inputs'!$B$33,'Inputs'!$B$29+'Inputs'!$B$31+'Inputs'!$B$32,'Inputs'!$B$30+'Inputs'!$B$31+'Inputs'!$B$32)/1000+'Inputs'!$B$21))^2+('Inputs'!$B$6/2)^2)))-'Results'!C7*(0.5*((((233-43)*MAX('Inputs'!$B$33,'Inputs'!$B$29+'Inputs'!$B$31+'Inputs'!$B$32,'Inputs'!$B$30+'Inputs'!$B$31+'Inputs'!$B$32)/1000+'Inputs'!$B$21+'Inputs'!$B$7+'Inputs'!$B$10)+'Inputs'!$B$9)/SQRT((((233-43)*MAX('Inputs'!$B$33,'Inputs'!$B$29+'Inputs'!$B$31+'Inputs'!$B$32,'Inputs'!$B$30+'Inputs'!$B$31+'Inputs'!$B$32)/1000+'Inputs'!$B$21+'Inputs'!$B$7+'Inputs'!$B$10)+'Inputs'!$B$9)^2+('Inputs'!$B$8/2)^2)-(((233-43)*MAX('Inputs'!$B$33,'Inputs'!$B$29+'Inputs'!$B$31+'Inputs'!$B$32,'Inputs'!$B$30+'Inputs'!$B$31+'Inputs'!$B$32)/1000+'Inputs'!$B$21+'Inputs'!$B$7+'Inputs'!$B$10))/SQRT((((233-43)*MAX('Inputs'!$B$33,'Inputs'!$B$29+'Inputs'!$B$31+'Inputs'!$B$32,'Inputs'!$B$30+'Inputs'!$B$31+'Inputs'!$B$32)/1000+'Inputs'!$B$21+'Inputs'!$B$7+'Inputs'!$B$10))^2+('Inputs'!$B$8/2)^2))))*'Results'!$B$8),"")</x:f>
        <x:v>84.20511186888912</x:v>
      </x:c>
      <x:c r="K233" t="n">
        <x:f>IF(AND(ISNUMBER('Results'!B7),ISNUMBER('Results'!C7),ISNUMBER('Results'!$B$8),ISNUMBER('Inputs'!$B$6),ISNUMBER('Inputs'!$B$7),ISNUMBER('Inputs'!$B$8),ISNUMBER('Inputs'!$B$9),ISNUMBER('Inputs'!$B$10),ISNUMBER('Inputs'!$B$21),ISNUMBER('Inputs'!$B$24),ISNUMBER('Inputs'!$B$28)),((('Results'!B7*(1-'Inputs'!$B$24)*(0.5*((((233-43)*MAX('Inputs'!$B$33,'Inputs'!$B$29+'Inputs'!$B$31+'Inputs'!$B$32,'Inputs'!$B$30+'Inputs'!$B$31+'Inputs'!$B$32)/1000+'Inputs'!$B$21)+'Inputs'!$B$7)/SQRT((((233-43)*MAX('Inputs'!$B$33,'Inputs'!$B$29+'Inputs'!$B$31+'Inputs'!$B$32,'Inputs'!$B$30+'Inputs'!$B$31+'Inputs'!$B$32)/1000+'Inputs'!$B$21)+'Inputs'!$B$7)^2+('Inputs'!$B$6/2)^2)-(((233-43)*MAX('Inputs'!$B$33,'Inputs'!$B$29+'Inputs'!$B$31+'Inputs'!$B$32,'Inputs'!$B$30+'Inputs'!$B$31+'Inputs'!$B$32)/1000+'Inputs'!$B$21))/SQRT((((233-43)*MAX('Inputs'!$B$33,'Inputs'!$B$29+'Inputs'!$B$31+'Inputs'!$B$32,'Inputs'!$B$30+'Inputs'!$B$31+'Inputs'!$B$32)/1000+'Inputs'!$B$21))^2+('Inputs'!$B$6/2)^2)))-'Results'!C7*(1+'Inputs'!$B$24)*(0.5*((((233-43)*MAX('Inputs'!$B$33,'Inputs'!$B$29+'Inputs'!$B$31+'Inputs'!$B$32,'Inputs'!$B$30+'Inputs'!$B$31+'Inputs'!$B$32)/1000+'Inputs'!$B$21+'Inputs'!$B$7+'Inputs'!$B$10)+'Inputs'!$B$9)/SQRT((((233-43)*MAX('Inputs'!$B$33,'Inputs'!$B$29+'Inputs'!$B$31+'Inputs'!$B$32,'Inputs'!$B$30+'Inputs'!$B$31+'Inputs'!$B$32)/1000+'Inputs'!$B$21+'Inputs'!$B$7+'Inputs'!$B$10)+'Inputs'!$B$9)^2+('Inputs'!$B$8/2)^2)-(((233-43)*MAX('Inputs'!$B$33,'Inputs'!$B$29+'Inputs'!$B$31+'Inputs'!$B$32,'Inputs'!$B$30+'Inputs'!$B$31+'Inputs'!$B$32)/1000+'Inputs'!$B$21+'Inputs'!$B$7+'Inputs'!$B$10))/SQRT((((233-43)*MAX('Inputs'!$B$33,'Inputs'!$B$29+'Inputs'!$B$31+'Inputs'!$B$32,'Inputs'!$B$30+'Inputs'!$B$31+'Inputs'!$B$32)/1000+'Inputs'!$B$21+'Inputs'!$B$7+'Inputs'!$B$10))^2+('Inputs'!$B$8/2)^2))))*'Results'!$B$8)-'Inputs'!$B$28*ABS((('Results'!B7*(1-'Inputs'!$B$24)*(0.5*((((233-43)*MAX('Inputs'!$B$33,'Inputs'!$B$29+'Inputs'!$B$31+'Inputs'!$B$32,'Inputs'!$B$30+'Inputs'!$B$31+'Inputs'!$B$32)/1000+'Inputs'!$B$21)+'Inputs'!$B$7)/SQRT((((233-43)*MAX('Inputs'!$B$33,'Inputs'!$B$29+'Inputs'!$B$31+'Inputs'!$B$32,'Inputs'!$B$30+'Inputs'!$B$31+'Inputs'!$B$32)/1000+'Inputs'!$B$21)+'Inputs'!$B$7)^2+('Inputs'!$B$6/2)^2)-(((233-43)*MAX('Inputs'!$B$33,'Inputs'!$B$29+'Inputs'!$B$31+'Inputs'!$B$32,'Inputs'!$B$30+'Inputs'!$B$31+'Inputs'!$B$32)/1000+'Inputs'!$B$21))/SQRT((((233-43)*MAX('Inputs'!$B$33,'Inputs'!$B$29+'Inputs'!$B$31+'Inputs'!$B$32,'Inputs'!$B$30+'Inputs'!$B$31+'Inputs'!$B$32)/1000+'Inputs'!$B$21))^2+('Inputs'!$B$6/2)^2)))-'Results'!C7*(1+'Inputs'!$B$24)*(0.5*((((233-43)*MAX('Inputs'!$B$33,'Inputs'!$B$29+'Inputs'!$B$31+'Inputs'!$B$32,'Inputs'!$B$30+'Inputs'!$B$31+'Inputs'!$B$32)/1000+'Inputs'!$B$21+'Inputs'!$B$7+'Inputs'!$B$10)+'Inputs'!$B$9)/SQRT((((233-43)*MAX('Inputs'!$B$33,'Inputs'!$B$29+'Inputs'!$B$31+'Inputs'!$B$32,'Inputs'!$B$30+'Inputs'!$B$31+'Inputs'!$B$32)/1000+'Inputs'!$B$21+'Inputs'!$B$7+'Inputs'!$B$10)+'Inputs'!$B$9)^2+('Inputs'!$B$8/2)^2)-(((233-43)*MAX('Inputs'!$B$33,'Inputs'!$B$29+'Inputs'!$B$31+'Inputs'!$B$32,'Inputs'!$B$30+'Inputs'!$B$31+'Inputs'!$B$32)/1000+'Inputs'!$B$21+'Inputs'!$B$7+'Inputs'!$B$10))/SQRT((((233-43)*MAX('Inputs'!$B$33,'Inputs'!$B$29+'Inputs'!$B$31+'Inputs'!$B$32,'Inputs'!$B$30+'Inputs'!$B$31+'Inputs'!$B$32)/1000+'Inputs'!$B$21+'Inputs'!$B$7+'Inputs'!$B$10))^2+('Inputs'!$B$8/2)^2))))*'Results'!$B$8))),"")</x:f>
        <x:v>77.05735918604343</x:v>
      </x:c>
      <x:c r="L233" t="n">
        <x:f>IF(AND(ISNUMBER('Results'!B7),ISNUMBER('Results'!C7),ISNUMBER('Results'!$B$8),ISNUMBER('Inputs'!$B$6),ISNUMBER('Inputs'!$B$7),ISNUMBER('Inputs'!$B$8),ISNUMBER('Inputs'!$B$9),ISNUMBER('Inputs'!$B$10),ISNUMBER('Inputs'!$B$21),ISNUMBER('Inputs'!$B$24),ISNUMBER('Inputs'!$B$28)),((('Results'!B7*(1+'Inputs'!$B$24)*(0.5*((((233-43)*MAX('Inputs'!$B$33,'Inputs'!$B$29+'Inputs'!$B$31+'Inputs'!$B$32,'Inputs'!$B$30+'Inputs'!$B$31+'Inputs'!$B$32)/1000+'Inputs'!$B$21)+'Inputs'!$B$7)/SQRT((((233-43)*MAX('Inputs'!$B$33,'Inputs'!$B$29+'Inputs'!$B$31+'Inputs'!$B$32,'Inputs'!$B$30+'Inputs'!$B$31+'Inputs'!$B$32)/1000+'Inputs'!$B$21)+'Inputs'!$B$7)^2+('Inputs'!$B$6/2)^2)-(((233-43)*MAX('Inputs'!$B$33,'Inputs'!$B$29+'Inputs'!$B$31+'Inputs'!$B$32,'Inputs'!$B$30+'Inputs'!$B$31+'Inputs'!$B$32)/1000+'Inputs'!$B$21))/SQRT((((233-43)*MAX('Inputs'!$B$33,'Inputs'!$B$29+'Inputs'!$B$31+'Inputs'!$B$32,'Inputs'!$B$30+'Inputs'!$B$31+'Inputs'!$B$32)/1000+'Inputs'!$B$21))^2+('Inputs'!$B$6/2)^2)))-'Results'!C7*(1-'Inputs'!$B$24)*(0.5*((((233-43)*MAX('Inputs'!$B$33,'Inputs'!$B$29+'Inputs'!$B$31+'Inputs'!$B$32,'Inputs'!$B$30+'Inputs'!$B$31+'Inputs'!$B$32)/1000+'Inputs'!$B$21+'Inputs'!$B$7+'Inputs'!$B$10)+'Inputs'!$B$9)/SQRT((((233-43)*MAX('Inputs'!$B$33,'Inputs'!$B$29+'Inputs'!$B$31+'Inputs'!$B$32,'Inputs'!$B$30+'Inputs'!$B$31+'Inputs'!$B$32)/1000+'Inputs'!$B$21+'Inputs'!$B$7+'Inputs'!$B$10)+'Inputs'!$B$9)^2+('Inputs'!$B$8/2)^2)-(((233-43)*MAX('Inputs'!$B$33,'Inputs'!$B$29+'Inputs'!$B$31+'Inputs'!$B$32,'Inputs'!$B$30+'Inputs'!$B$31+'Inputs'!$B$32)/1000+'Inputs'!$B$21+'Inputs'!$B$7+'Inputs'!$B$10))/SQRT((((233-43)*MAX('Inputs'!$B$33,'Inputs'!$B$29+'Inputs'!$B$31+'Inputs'!$B$32,'Inputs'!$B$30+'Inputs'!$B$31+'Inputs'!$B$32)/1000+'Inputs'!$B$21+'Inputs'!$B$7+'Inputs'!$B$10))^2+('Inputs'!$B$8/2)^2))))*'Results'!$B$8)+'Inputs'!$B$28*ABS((('Results'!B7*(1+'Inputs'!$B$24)*(0.5*((((233-43)*MAX('Inputs'!$B$33,'Inputs'!$B$29+'Inputs'!$B$31+'Inputs'!$B$32,'Inputs'!$B$30+'Inputs'!$B$31+'Inputs'!$B$32)/1000+'Inputs'!$B$21)+'Inputs'!$B$7)/SQRT((((233-43)*MAX('Inputs'!$B$33,'Inputs'!$B$29+'Inputs'!$B$31+'Inputs'!$B$32,'Inputs'!$B$30+'Inputs'!$B$31+'Inputs'!$B$32)/1000+'Inputs'!$B$21)+'Inputs'!$B$7)^2+('Inputs'!$B$6/2)^2)-(((233-43)*MAX('Inputs'!$B$33,'Inputs'!$B$29+'Inputs'!$B$31+'Inputs'!$B$32,'Inputs'!$B$30+'Inputs'!$B$31+'Inputs'!$B$32)/1000+'Inputs'!$B$21))/SQRT((((233-43)*MAX('Inputs'!$B$33,'Inputs'!$B$29+'Inputs'!$B$31+'Inputs'!$B$32,'Inputs'!$B$30+'Inputs'!$B$31+'Inputs'!$B$32)/1000+'Inputs'!$B$21))^2+('Inputs'!$B$6/2)^2)))-'Results'!C7*(1-'Inputs'!$B$24)*(0.5*((((233-43)*MAX('Inputs'!$B$33,'Inputs'!$B$29+'Inputs'!$B$31+'Inputs'!$B$32,'Inputs'!$B$30+'Inputs'!$B$31+'Inputs'!$B$32)/1000+'Inputs'!$B$21+'Inputs'!$B$7+'Inputs'!$B$10)+'Inputs'!$B$9)/SQRT((((233-43)*MAX('Inputs'!$B$33,'Inputs'!$B$29+'Inputs'!$B$31+'Inputs'!$B$32,'Inputs'!$B$30+'Inputs'!$B$31+'Inputs'!$B$32)/1000+'Inputs'!$B$21+'Inputs'!$B$7+'Inputs'!$B$10)+'Inputs'!$B$9)^2+('Inputs'!$B$8/2)^2)-(((233-43)*MAX('Inputs'!$B$33,'Inputs'!$B$29+'Inputs'!$B$31+'Inputs'!$B$32,'Inputs'!$B$30+'Inputs'!$B$31+'Inputs'!$B$32)/1000+'Inputs'!$B$21+'Inputs'!$B$7+'Inputs'!$B$10))/SQRT((((233-43)*MAX('Inputs'!$B$33,'Inputs'!$B$29+'Inputs'!$B$31+'Inputs'!$B$32,'Inputs'!$B$30+'Inputs'!$B$31+'Inputs'!$B$32)/1000+'Inputs'!$B$21+'Inputs'!$B$7+'Inputs'!$B$10))^2+('Inputs'!$B$8/2)^2))))*'Results'!$B$8))),"")</x:f>
        <x:v>91.66207477167178</x:v>
      </x:c>
      <x:c r="M233" t="n">
        <x:f>IF(AND(ISNUMBER('Results'!C7),ISNUMBER('Results'!B7),ISNUMBER('Results'!$B$8),ISNUMBER('Inputs'!$B$6),ISNUMBER('Inputs'!$B$7),ISNUMBER('Inputs'!$B$8),ISNUMBER('Inputs'!$B$9),ISNUMBER('Inputs'!$B$10),ISNUMBER('Inputs'!$B$21),ISNUMBER('Inputs'!$B$24),ISNUMBER('Inputs'!$B$28)),(('Results'!C7*(0.5*((((233-43)*MAX('Inputs'!$B$33,'Inputs'!$B$29+'Inputs'!$B$31+'Inputs'!$B$32,'Inputs'!$B$30+'Inputs'!$B$31+'Inputs'!$B$32)/1000+'Inputs'!$B$21)+'Inputs'!$B$9)/SQRT((((233-43)*MAX('Inputs'!$B$33,'Inputs'!$B$29+'Inputs'!$B$31+'Inputs'!$B$32,'Inputs'!$B$30+'Inputs'!$B$31+'Inputs'!$B$32)/1000+'Inputs'!$B$21)+'Inputs'!$B$9)^2+('Inputs'!$B$8/2)^2)-(((233-43)*MAX('Inputs'!$B$33,'Inputs'!$B$29+'Inputs'!$B$31+'Inputs'!$B$32,'Inputs'!$B$30+'Inputs'!$B$31+'Inputs'!$B$32)/1000+'Inputs'!$B$21))/SQRT((((233-43)*MAX('Inputs'!$B$33,'Inputs'!$B$29+'Inputs'!$B$31+'Inputs'!$B$32,'Inputs'!$B$30+'Inputs'!$B$31+'Inputs'!$B$32)/1000+'Inputs'!$B$21))^2+('Inputs'!$B$8/2)^2)))-'Results'!B7*(0.5*((((233-43)*MAX('Inputs'!$B$33,'Inputs'!$B$29+'Inputs'!$B$31+'Inputs'!$B$32,'Inputs'!$B$30+'Inputs'!$B$31+'Inputs'!$B$32)/1000+'Inputs'!$B$21+'Inputs'!$B$9+'Inputs'!$B$10)+'Inputs'!$B$7)/SQRT((((233-43)*MAX('Inputs'!$B$33,'Inputs'!$B$29+'Inputs'!$B$31+'Inputs'!$B$32,'Inputs'!$B$30+'Inputs'!$B$31+'Inputs'!$B$32)/1000+'Inputs'!$B$21+'Inputs'!$B$9+'Inputs'!$B$10)+'Inputs'!$B$7)^2+('Inputs'!$B$6/2)^2)-(((233-43)*MAX('Inputs'!$B$33,'Inputs'!$B$29+'Inputs'!$B$31+'Inputs'!$B$32,'Inputs'!$B$30+'Inputs'!$B$31+'Inputs'!$B$32)/1000+'Inputs'!$B$21+'Inputs'!$B$9+'Inputs'!$B$10))/SQRT((((233-43)*MAX('Inputs'!$B$33,'Inputs'!$B$29+'Inputs'!$B$31+'Inputs'!$B$32,'Inputs'!$B$30+'Inputs'!$B$31+'Inputs'!$B$32)/1000+'Inputs'!$B$21+'Inputs'!$B$9+'Inputs'!$B$10))^2+('Inputs'!$B$6/2)^2))))*'Results'!$B$8),"")</x:f>
        <x:v>81.09864232296846</x:v>
      </x:c>
      <x:c r="N233" t="n">
        <x:f>IF(AND(ISNUMBER('Results'!C7),ISNUMBER('Results'!B7),ISNUMBER('Results'!$B$8),ISNUMBER('Inputs'!$B$6),ISNUMBER('Inputs'!$B$7),ISNUMBER('Inputs'!$B$8),ISNUMBER('Inputs'!$B$9),ISNUMBER('Inputs'!$B$10),ISNUMBER('Inputs'!$B$21),ISNUMBER('Inputs'!$B$24),ISNUMBER('Inputs'!$B$28)),((('Results'!C7*(1-'Inputs'!$B$24)*(0.5*((((233-43)*MAX('Inputs'!$B$33,'Inputs'!$B$29+'Inputs'!$B$31+'Inputs'!$B$32,'Inputs'!$B$30+'Inputs'!$B$31+'Inputs'!$B$32)/1000+'Inputs'!$B$21)+'Inputs'!$B$9)/SQRT((((233-43)*MAX('Inputs'!$B$33,'Inputs'!$B$29+'Inputs'!$B$31+'Inputs'!$B$32,'Inputs'!$B$30+'Inputs'!$B$31+'Inputs'!$B$32)/1000+'Inputs'!$B$21)+'Inputs'!$B$9)^2+('Inputs'!$B$8/2)^2)-(((233-43)*MAX('Inputs'!$B$33,'Inputs'!$B$29+'Inputs'!$B$31+'Inputs'!$B$32,'Inputs'!$B$30+'Inputs'!$B$31+'Inputs'!$B$32)/1000+'Inputs'!$B$21))/SQRT((((233-43)*MAX('Inputs'!$B$33,'Inputs'!$B$29+'Inputs'!$B$31+'Inputs'!$B$32,'Inputs'!$B$30+'Inputs'!$B$31+'Inputs'!$B$32)/1000+'Inputs'!$B$21))^2+('Inputs'!$B$8/2)^2)))-'Results'!B7*(1+'Inputs'!$B$24)*(0.5*((((233-43)*MAX('Inputs'!$B$33,'Inputs'!$B$29+'Inputs'!$B$31+'Inputs'!$B$32,'Inputs'!$B$30+'Inputs'!$B$31+'Inputs'!$B$32)/1000+'Inputs'!$B$21+'Inputs'!$B$9+'Inputs'!$B$10)+'Inputs'!$B$7)/SQRT((((233-43)*MAX('Inputs'!$B$33,'Inputs'!$B$29+'Inputs'!$B$31+'Inputs'!$B$32,'Inputs'!$B$30+'Inputs'!$B$31+'Inputs'!$B$32)/1000+'Inputs'!$B$21+'Inputs'!$B$9+'Inputs'!$B$10)+'Inputs'!$B$7)^2+('Inputs'!$B$6/2)^2)-(((233-43)*MAX('Inputs'!$B$33,'Inputs'!$B$29+'Inputs'!$B$31+'Inputs'!$B$32,'Inputs'!$B$30+'Inputs'!$B$31+'Inputs'!$B$32)/1000+'Inputs'!$B$21+'Inputs'!$B$9+'Inputs'!$B$10))/SQRT((((233-43)*MAX('Inputs'!$B$33,'Inputs'!$B$29+'Inputs'!$B$31+'Inputs'!$B$32,'Inputs'!$B$30+'Inputs'!$B$31+'Inputs'!$B$32)/1000+'Inputs'!$B$21+'Inputs'!$B$9+'Inputs'!$B$10))^2+('Inputs'!$B$6/2)^2))))*'Results'!$B$8)-'Inputs'!$B$28*ABS((('Results'!C7*(1-'Inputs'!$B$24)*(0.5*((((233-43)*MAX('Inputs'!$B$33,'Inputs'!$B$29+'Inputs'!$B$31+'Inputs'!$B$32,'Inputs'!$B$30+'Inputs'!$B$31+'Inputs'!$B$32)/1000+'Inputs'!$B$21)+'Inputs'!$B$9)/SQRT((((233-43)*MAX('Inputs'!$B$33,'Inputs'!$B$29+'Inputs'!$B$31+'Inputs'!$B$32,'Inputs'!$B$30+'Inputs'!$B$31+'Inputs'!$B$32)/1000+'Inputs'!$B$21)+'Inputs'!$B$9)^2+('Inputs'!$B$8/2)^2)-(((233-43)*MAX('Inputs'!$B$33,'Inputs'!$B$29+'Inputs'!$B$31+'Inputs'!$B$32,'Inputs'!$B$30+'Inputs'!$B$31+'Inputs'!$B$32)/1000+'Inputs'!$B$21))/SQRT((((233-43)*MAX('Inputs'!$B$33,'Inputs'!$B$29+'Inputs'!$B$31+'Inputs'!$B$32,'Inputs'!$B$30+'Inputs'!$B$31+'Inputs'!$B$32)/1000+'Inputs'!$B$21))^2+('Inputs'!$B$8/2)^2)))-'Results'!B7*(1+'Inputs'!$B$24)*(0.5*((((233-43)*MAX('Inputs'!$B$33,'Inputs'!$B$29+'Inputs'!$B$31+'Inputs'!$B$32,'Inputs'!$B$30+'Inputs'!$B$31+'Inputs'!$B$32)/1000+'Inputs'!$B$21+'Inputs'!$B$9+'Inputs'!$B$10)+'Inputs'!$B$7)/SQRT((((233-43)*MAX('Inputs'!$B$33,'Inputs'!$B$29+'Inputs'!$B$31+'Inputs'!$B$32,'Inputs'!$B$30+'Inputs'!$B$31+'Inputs'!$B$32)/1000+'Inputs'!$B$21+'Inputs'!$B$9+'Inputs'!$B$10)+'Inputs'!$B$7)^2+('Inputs'!$B$6/2)^2)-(((233-43)*MAX('Inputs'!$B$33,'Inputs'!$B$29+'Inputs'!$B$31+'Inputs'!$B$32,'Inputs'!$B$30+'Inputs'!$B$31+'Inputs'!$B$32)/1000+'Inputs'!$B$21+'Inputs'!$B$9+'Inputs'!$B$10))/SQRT((((233-43)*MAX('Inputs'!$B$33,'Inputs'!$B$29+'Inputs'!$B$31+'Inputs'!$B$32,'Inputs'!$B$30+'Inputs'!$B$31+'Inputs'!$B$32)/1000+'Inputs'!$B$21+'Inputs'!$B$9+'Inputs'!$B$10))^2+('Inputs'!$B$6/2)^2))))*'Results'!$B$8))),"")</x:f>
        <x:v>74.13793808034451</x:v>
      </x:c>
      <x:c r="O233" t="n">
        <x:f>IF(AND(ISNUMBER('Results'!C7),ISNUMBER('Results'!B7),ISNUMBER('Results'!$B$8),ISNUMBER('Inputs'!$B$6),ISNUMBER('Inputs'!$B$7),ISNUMBER('Inputs'!$B$8),ISNUMBER('Inputs'!$B$9),ISNUMBER('Inputs'!$B$10),ISNUMBER('Inputs'!$B$21),ISNUMBER('Inputs'!$B$24),ISNUMBER('Inputs'!$B$28)),((('Results'!C7*(1+'Inputs'!$B$24)*(0.5*((((233-43)*MAX('Inputs'!$B$33,'Inputs'!$B$29+'Inputs'!$B$31+'Inputs'!$B$32,'Inputs'!$B$30+'Inputs'!$B$31+'Inputs'!$B$32)/1000+'Inputs'!$B$21)+'Inputs'!$B$9)/SQRT((((233-43)*MAX('Inputs'!$B$33,'Inputs'!$B$29+'Inputs'!$B$31+'Inputs'!$B$32,'Inputs'!$B$30+'Inputs'!$B$31+'Inputs'!$B$32)/1000+'Inputs'!$B$21)+'Inputs'!$B$9)^2+('Inputs'!$B$8/2)^2)-(((233-43)*MAX('Inputs'!$B$33,'Inputs'!$B$29+'Inputs'!$B$31+'Inputs'!$B$32,'Inputs'!$B$30+'Inputs'!$B$31+'Inputs'!$B$32)/1000+'Inputs'!$B$21))/SQRT((((233-43)*MAX('Inputs'!$B$33,'Inputs'!$B$29+'Inputs'!$B$31+'Inputs'!$B$32,'Inputs'!$B$30+'Inputs'!$B$31+'Inputs'!$B$32)/1000+'Inputs'!$B$21))^2+('Inputs'!$B$8/2)^2)))-'Results'!B7*(1-'Inputs'!$B$24)*(0.5*((((233-43)*MAX('Inputs'!$B$33,'Inputs'!$B$29+'Inputs'!$B$31+'Inputs'!$B$32,'Inputs'!$B$30+'Inputs'!$B$31+'Inputs'!$B$32)/1000+'Inputs'!$B$21+'Inputs'!$B$9+'Inputs'!$B$10)+'Inputs'!$B$7)/SQRT((((233-43)*MAX('Inputs'!$B$33,'Inputs'!$B$29+'Inputs'!$B$31+'Inputs'!$B$32,'Inputs'!$B$30+'Inputs'!$B$31+'Inputs'!$B$32)/1000+'Inputs'!$B$21+'Inputs'!$B$9+'Inputs'!$B$10)+'Inputs'!$B$7)^2+('Inputs'!$B$6/2)^2)-(((233-43)*MAX('Inputs'!$B$33,'Inputs'!$B$29+'Inputs'!$B$31+'Inputs'!$B$32,'Inputs'!$B$30+'Inputs'!$B$31+'Inputs'!$B$32)/1000+'Inputs'!$B$21+'Inputs'!$B$9+'Inputs'!$B$10))/SQRT((((233-43)*MAX('Inputs'!$B$33,'Inputs'!$B$29+'Inputs'!$B$31+'Inputs'!$B$32,'Inputs'!$B$30+'Inputs'!$B$31+'Inputs'!$B$32)/1000+'Inputs'!$B$21+'Inputs'!$B$9+'Inputs'!$B$10))^2+('Inputs'!$B$6/2)^2))))*'Results'!$B$8)+'Inputs'!$B$28*ABS((('Results'!C7*(1+'Inputs'!$B$24)*(0.5*((((233-43)*MAX('Inputs'!$B$33,'Inputs'!$B$29+'Inputs'!$B$31+'Inputs'!$B$32,'Inputs'!$B$30+'Inputs'!$B$31+'Inputs'!$B$32)/1000+'Inputs'!$B$21)+'Inputs'!$B$9)/SQRT((((233-43)*MAX('Inputs'!$B$33,'Inputs'!$B$29+'Inputs'!$B$31+'Inputs'!$B$32,'Inputs'!$B$30+'Inputs'!$B$31+'Inputs'!$B$32)/1000+'Inputs'!$B$21)+'Inputs'!$B$9)^2+('Inputs'!$B$8/2)^2)-(((233-43)*MAX('Inputs'!$B$33,'Inputs'!$B$29+'Inputs'!$B$31+'Inputs'!$B$32,'Inputs'!$B$30+'Inputs'!$B$31+'Inputs'!$B$32)/1000+'Inputs'!$B$21))/SQRT((((233-43)*MAX('Inputs'!$B$33,'Inputs'!$B$29+'Inputs'!$B$31+'Inputs'!$B$32,'Inputs'!$B$30+'Inputs'!$B$31+'Inputs'!$B$32)/1000+'Inputs'!$B$21))^2+('Inputs'!$B$8/2)^2)))-'Results'!B7*(1-'Inputs'!$B$24)*(0.5*((((233-43)*MAX('Inputs'!$B$33,'Inputs'!$B$29+'Inputs'!$B$31+'Inputs'!$B$32,'Inputs'!$B$30+'Inputs'!$B$31+'Inputs'!$B$32)/1000+'Inputs'!$B$21+'Inputs'!$B$9+'Inputs'!$B$10)+'Inputs'!$B$7)/SQRT((((233-43)*MAX('Inputs'!$B$33,'Inputs'!$B$29+'Inputs'!$B$31+'Inputs'!$B$32,'Inputs'!$B$30+'Inputs'!$B$31+'Inputs'!$B$32)/1000+'Inputs'!$B$21+'Inputs'!$B$9+'Inputs'!$B$10)+'Inputs'!$B$7)^2+('Inputs'!$B$6/2)^2)-(((233-43)*MAX('Inputs'!$B$33,'Inputs'!$B$29+'Inputs'!$B$31+'Inputs'!$B$32,'Inputs'!$B$30+'Inputs'!$B$31+'Inputs'!$B$32)/1000+'Inputs'!$B$21+'Inputs'!$B$9+'Inputs'!$B$10))/SQRT((((233-43)*MAX('Inputs'!$B$33,'Inputs'!$B$29+'Inputs'!$B$31+'Inputs'!$B$32,'Inputs'!$B$30+'Inputs'!$B$31+'Inputs'!$B$32)/1000+'Inputs'!$B$21+'Inputs'!$B$9+'Inputs'!$B$10))^2+('Inputs'!$B$6/2)^2))))*'Results'!$B$8))),"")</x:f>
        <x:v>88.36521731574773</x:v>
      </x:c>
      <x:c r="P233" t="n">
        <x:f>IF(AND(MAX(J233,J232)&gt;0,J233&gt;J232+0.00000001),1,0)</x:f>
        <x:v>0</x:v>
      </x:c>
      <x:c r="Q233" t="n">
        <x:f>IF(AND(MAX(K233,K232)&gt;0,K233&gt;K232+0.00000001),1,0)</x:f>
        <x:v>0</x:v>
      </x:c>
      <x:c r="R233" t="n">
        <x:f>IF(AND(MAX(L233,L232)&gt;0,L233&gt;L232+0.00000001),1,0)</x:f>
        <x:v>0</x:v>
      </x:c>
      <x:c r="S233" t="n">
        <x:f>IF(AND(MAX(M233,M232)&gt;0,M233&gt;M232+0.00000001),1,0)</x:f>
        <x:v>0</x:v>
      </x:c>
      <x:c r="T233" t="n">
        <x:f>IF(AND(MAX(N233,N232)&gt;0,N233&gt;N232+0.00000001),1,0)</x:f>
        <x:v>0</x:v>
      </x:c>
      <x:c r="U233" t="n">
        <x:f>IF(AND(MAX(O233,O232)&gt;0,O233&gt;O232+0.00000001),1,0)</x:f>
        <x:v>0</x:v>
      </x:c>
    </x:row>
    <x:row r="234">
      <x:c r="J234" t="n">
        <x:f>IF(AND(ISNUMBER('Results'!B7),ISNUMBER('Results'!C7),ISNUMBER('Results'!$B$8),ISNUMBER('Inputs'!$B$6),ISNUMBER('Inputs'!$B$7),ISNUMBER('Inputs'!$B$8),ISNUMBER('Inputs'!$B$9),ISNUMBER('Inputs'!$B$10),ISNUMBER('Inputs'!$B$21),ISNUMBER('Inputs'!$B$24),ISNUMBER('Inputs'!$B$28)),(('Results'!B7*(0.5*((((234-43)*MAX('Inputs'!$B$33,'Inputs'!$B$29+'Inputs'!$B$31+'Inputs'!$B$32,'Inputs'!$B$30+'Inputs'!$B$31+'Inputs'!$B$32)/1000+'Inputs'!$B$21)+'Inputs'!$B$7)/SQRT((((234-43)*MAX('Inputs'!$B$33,'Inputs'!$B$29+'Inputs'!$B$31+'Inputs'!$B$32,'Inputs'!$B$30+'Inputs'!$B$31+'Inputs'!$B$32)/1000+'Inputs'!$B$21)+'Inputs'!$B$7)^2+('Inputs'!$B$6/2)^2)-(((234-43)*MAX('Inputs'!$B$33,'Inputs'!$B$29+'Inputs'!$B$31+'Inputs'!$B$32,'Inputs'!$B$30+'Inputs'!$B$31+'Inputs'!$B$32)/1000+'Inputs'!$B$21))/SQRT((((234-43)*MAX('Inputs'!$B$33,'Inputs'!$B$29+'Inputs'!$B$31+'Inputs'!$B$32,'Inputs'!$B$30+'Inputs'!$B$31+'Inputs'!$B$32)/1000+'Inputs'!$B$21))^2+('Inputs'!$B$6/2)^2)))-'Results'!C7*(0.5*((((234-43)*MAX('Inputs'!$B$33,'Inputs'!$B$29+'Inputs'!$B$31+'Inputs'!$B$32,'Inputs'!$B$30+'Inputs'!$B$31+'Inputs'!$B$32)/1000+'Inputs'!$B$21+'Inputs'!$B$7+'Inputs'!$B$10)+'Inputs'!$B$9)/SQRT((((234-43)*MAX('Inputs'!$B$33,'Inputs'!$B$29+'Inputs'!$B$31+'Inputs'!$B$32,'Inputs'!$B$30+'Inputs'!$B$31+'Inputs'!$B$32)/1000+'Inputs'!$B$21+'Inputs'!$B$7+'Inputs'!$B$10)+'Inputs'!$B$9)^2+('Inputs'!$B$8/2)^2)-(((234-43)*MAX('Inputs'!$B$33,'Inputs'!$B$29+'Inputs'!$B$31+'Inputs'!$B$32,'Inputs'!$B$30+'Inputs'!$B$31+'Inputs'!$B$32)/1000+'Inputs'!$B$21+'Inputs'!$B$7+'Inputs'!$B$10))/SQRT((((234-43)*MAX('Inputs'!$B$33,'Inputs'!$B$29+'Inputs'!$B$31+'Inputs'!$B$32,'Inputs'!$B$30+'Inputs'!$B$31+'Inputs'!$B$32)/1000+'Inputs'!$B$21+'Inputs'!$B$7+'Inputs'!$B$10))^2+('Inputs'!$B$8/2)^2))))*'Results'!$B$8),"")</x:f>
        <x:v>83.01961850133677</x:v>
      </x:c>
      <x:c r="K234" t="n">
        <x:f>IF(AND(ISNUMBER('Results'!B7),ISNUMBER('Results'!C7),ISNUMBER('Results'!$B$8),ISNUMBER('Inputs'!$B$6),ISNUMBER('Inputs'!$B$7),ISNUMBER('Inputs'!$B$8),ISNUMBER('Inputs'!$B$9),ISNUMBER('Inputs'!$B$10),ISNUMBER('Inputs'!$B$21),ISNUMBER('Inputs'!$B$24),ISNUMBER('Inputs'!$B$28)),((('Results'!B7*(1-'Inputs'!$B$24)*(0.5*((((234-43)*MAX('Inputs'!$B$33,'Inputs'!$B$29+'Inputs'!$B$31+'Inputs'!$B$32,'Inputs'!$B$30+'Inputs'!$B$31+'Inputs'!$B$32)/1000+'Inputs'!$B$21)+'Inputs'!$B$7)/SQRT((((234-43)*MAX('Inputs'!$B$33,'Inputs'!$B$29+'Inputs'!$B$31+'Inputs'!$B$32,'Inputs'!$B$30+'Inputs'!$B$31+'Inputs'!$B$32)/1000+'Inputs'!$B$21)+'Inputs'!$B$7)^2+('Inputs'!$B$6/2)^2)-(((234-43)*MAX('Inputs'!$B$33,'Inputs'!$B$29+'Inputs'!$B$31+'Inputs'!$B$32,'Inputs'!$B$30+'Inputs'!$B$31+'Inputs'!$B$32)/1000+'Inputs'!$B$21))/SQRT((((234-43)*MAX('Inputs'!$B$33,'Inputs'!$B$29+'Inputs'!$B$31+'Inputs'!$B$32,'Inputs'!$B$30+'Inputs'!$B$31+'Inputs'!$B$32)/1000+'Inputs'!$B$21))^2+('Inputs'!$B$6/2)^2)))-'Results'!C7*(1+'Inputs'!$B$24)*(0.5*((((234-43)*MAX('Inputs'!$B$33,'Inputs'!$B$29+'Inputs'!$B$31+'Inputs'!$B$32,'Inputs'!$B$30+'Inputs'!$B$31+'Inputs'!$B$32)/1000+'Inputs'!$B$21+'Inputs'!$B$7+'Inputs'!$B$10)+'Inputs'!$B$9)/SQRT((((234-43)*MAX('Inputs'!$B$33,'Inputs'!$B$29+'Inputs'!$B$31+'Inputs'!$B$32,'Inputs'!$B$30+'Inputs'!$B$31+'Inputs'!$B$32)/1000+'Inputs'!$B$21+'Inputs'!$B$7+'Inputs'!$B$10)+'Inputs'!$B$9)^2+('Inputs'!$B$8/2)^2)-(((234-43)*MAX('Inputs'!$B$33,'Inputs'!$B$29+'Inputs'!$B$31+'Inputs'!$B$32,'Inputs'!$B$30+'Inputs'!$B$31+'Inputs'!$B$32)/1000+'Inputs'!$B$21+'Inputs'!$B$7+'Inputs'!$B$10))/SQRT((((234-43)*MAX('Inputs'!$B$33,'Inputs'!$B$29+'Inputs'!$B$31+'Inputs'!$B$32,'Inputs'!$B$30+'Inputs'!$B$31+'Inputs'!$B$32)/1000+'Inputs'!$B$21+'Inputs'!$B$7+'Inputs'!$B$10))^2+('Inputs'!$B$8/2)^2))))*'Results'!$B$8)-'Inputs'!$B$28*ABS((('Results'!B7*(1-'Inputs'!$B$24)*(0.5*((((234-43)*MAX('Inputs'!$B$33,'Inputs'!$B$29+'Inputs'!$B$31+'Inputs'!$B$32,'Inputs'!$B$30+'Inputs'!$B$31+'Inputs'!$B$32)/1000+'Inputs'!$B$21)+'Inputs'!$B$7)/SQRT((((234-43)*MAX('Inputs'!$B$33,'Inputs'!$B$29+'Inputs'!$B$31+'Inputs'!$B$32,'Inputs'!$B$30+'Inputs'!$B$31+'Inputs'!$B$32)/1000+'Inputs'!$B$21)+'Inputs'!$B$7)^2+('Inputs'!$B$6/2)^2)-(((234-43)*MAX('Inputs'!$B$33,'Inputs'!$B$29+'Inputs'!$B$31+'Inputs'!$B$32,'Inputs'!$B$30+'Inputs'!$B$31+'Inputs'!$B$32)/1000+'Inputs'!$B$21))/SQRT((((234-43)*MAX('Inputs'!$B$33,'Inputs'!$B$29+'Inputs'!$B$31+'Inputs'!$B$32,'Inputs'!$B$30+'Inputs'!$B$31+'Inputs'!$B$32)/1000+'Inputs'!$B$21))^2+('Inputs'!$B$6/2)^2)))-'Results'!C7*(1+'Inputs'!$B$24)*(0.5*((((234-43)*MAX('Inputs'!$B$33,'Inputs'!$B$29+'Inputs'!$B$31+'Inputs'!$B$32,'Inputs'!$B$30+'Inputs'!$B$31+'Inputs'!$B$32)/1000+'Inputs'!$B$21+'Inputs'!$B$7+'Inputs'!$B$10)+'Inputs'!$B$9)/SQRT((((234-43)*MAX('Inputs'!$B$33,'Inputs'!$B$29+'Inputs'!$B$31+'Inputs'!$B$32,'Inputs'!$B$30+'Inputs'!$B$31+'Inputs'!$B$32)/1000+'Inputs'!$B$21+'Inputs'!$B$7+'Inputs'!$B$10)+'Inputs'!$B$9)^2+('Inputs'!$B$8/2)^2)-(((234-43)*MAX('Inputs'!$B$33,'Inputs'!$B$29+'Inputs'!$B$31+'Inputs'!$B$32,'Inputs'!$B$30+'Inputs'!$B$31+'Inputs'!$B$32)/1000+'Inputs'!$B$21+'Inputs'!$B$7+'Inputs'!$B$10))/SQRT((((234-43)*MAX('Inputs'!$B$33,'Inputs'!$B$29+'Inputs'!$B$31+'Inputs'!$B$32,'Inputs'!$B$30+'Inputs'!$B$31+'Inputs'!$B$32)/1000+'Inputs'!$B$21+'Inputs'!$B$7+'Inputs'!$B$10))^2+('Inputs'!$B$8/2)^2))))*'Results'!$B$8))),"")</x:f>
        <x:v>75.96531198072798</x:v>
      </x:c>
      <x:c r="L234" t="n">
        <x:f>IF(AND(ISNUMBER('Results'!B7),ISNUMBER('Results'!C7),ISNUMBER('Results'!$B$8),ISNUMBER('Inputs'!$B$6),ISNUMBER('Inputs'!$B$7),ISNUMBER('Inputs'!$B$8),ISNUMBER('Inputs'!$B$9),ISNUMBER('Inputs'!$B$10),ISNUMBER('Inputs'!$B$21),ISNUMBER('Inputs'!$B$24),ISNUMBER('Inputs'!$B$28)),((('Results'!B7*(1+'Inputs'!$B$24)*(0.5*((((234-43)*MAX('Inputs'!$B$33,'Inputs'!$B$29+'Inputs'!$B$31+'Inputs'!$B$32,'Inputs'!$B$30+'Inputs'!$B$31+'Inputs'!$B$32)/1000+'Inputs'!$B$21)+'Inputs'!$B$7)/SQRT((((234-43)*MAX('Inputs'!$B$33,'Inputs'!$B$29+'Inputs'!$B$31+'Inputs'!$B$32,'Inputs'!$B$30+'Inputs'!$B$31+'Inputs'!$B$32)/1000+'Inputs'!$B$21)+'Inputs'!$B$7)^2+('Inputs'!$B$6/2)^2)-(((234-43)*MAX('Inputs'!$B$33,'Inputs'!$B$29+'Inputs'!$B$31+'Inputs'!$B$32,'Inputs'!$B$30+'Inputs'!$B$31+'Inputs'!$B$32)/1000+'Inputs'!$B$21))/SQRT((((234-43)*MAX('Inputs'!$B$33,'Inputs'!$B$29+'Inputs'!$B$31+'Inputs'!$B$32,'Inputs'!$B$30+'Inputs'!$B$31+'Inputs'!$B$32)/1000+'Inputs'!$B$21))^2+('Inputs'!$B$6/2)^2)))-'Results'!C7*(1-'Inputs'!$B$24)*(0.5*((((234-43)*MAX('Inputs'!$B$33,'Inputs'!$B$29+'Inputs'!$B$31+'Inputs'!$B$32,'Inputs'!$B$30+'Inputs'!$B$31+'Inputs'!$B$32)/1000+'Inputs'!$B$21+'Inputs'!$B$7+'Inputs'!$B$10)+'Inputs'!$B$9)/SQRT((((234-43)*MAX('Inputs'!$B$33,'Inputs'!$B$29+'Inputs'!$B$31+'Inputs'!$B$32,'Inputs'!$B$30+'Inputs'!$B$31+'Inputs'!$B$32)/1000+'Inputs'!$B$21+'Inputs'!$B$7+'Inputs'!$B$10)+'Inputs'!$B$9)^2+('Inputs'!$B$8/2)^2)-(((234-43)*MAX('Inputs'!$B$33,'Inputs'!$B$29+'Inputs'!$B$31+'Inputs'!$B$32,'Inputs'!$B$30+'Inputs'!$B$31+'Inputs'!$B$32)/1000+'Inputs'!$B$21+'Inputs'!$B$7+'Inputs'!$B$10))/SQRT((((234-43)*MAX('Inputs'!$B$33,'Inputs'!$B$29+'Inputs'!$B$31+'Inputs'!$B$32,'Inputs'!$B$30+'Inputs'!$B$31+'Inputs'!$B$32)/1000+'Inputs'!$B$21+'Inputs'!$B$7+'Inputs'!$B$10))^2+('Inputs'!$B$8/2)^2))))*'Results'!$B$8)+'Inputs'!$B$28*ABS((('Results'!B7*(1+'Inputs'!$B$24)*(0.5*((((234-43)*MAX('Inputs'!$B$33,'Inputs'!$B$29+'Inputs'!$B$31+'Inputs'!$B$32,'Inputs'!$B$30+'Inputs'!$B$31+'Inputs'!$B$32)/1000+'Inputs'!$B$21)+'Inputs'!$B$7)/SQRT((((234-43)*MAX('Inputs'!$B$33,'Inputs'!$B$29+'Inputs'!$B$31+'Inputs'!$B$32,'Inputs'!$B$30+'Inputs'!$B$31+'Inputs'!$B$32)/1000+'Inputs'!$B$21)+'Inputs'!$B$7)^2+('Inputs'!$B$6/2)^2)-(((234-43)*MAX('Inputs'!$B$33,'Inputs'!$B$29+'Inputs'!$B$31+'Inputs'!$B$32,'Inputs'!$B$30+'Inputs'!$B$31+'Inputs'!$B$32)/1000+'Inputs'!$B$21))/SQRT((((234-43)*MAX('Inputs'!$B$33,'Inputs'!$B$29+'Inputs'!$B$31+'Inputs'!$B$32,'Inputs'!$B$30+'Inputs'!$B$31+'Inputs'!$B$32)/1000+'Inputs'!$B$21))^2+('Inputs'!$B$6/2)^2)))-'Results'!C7*(1-'Inputs'!$B$24)*(0.5*((((234-43)*MAX('Inputs'!$B$33,'Inputs'!$B$29+'Inputs'!$B$31+'Inputs'!$B$32,'Inputs'!$B$30+'Inputs'!$B$31+'Inputs'!$B$32)/1000+'Inputs'!$B$21+'Inputs'!$B$7+'Inputs'!$B$10)+'Inputs'!$B$9)/SQRT((((234-43)*MAX('Inputs'!$B$33,'Inputs'!$B$29+'Inputs'!$B$31+'Inputs'!$B$32,'Inputs'!$B$30+'Inputs'!$B$31+'Inputs'!$B$32)/1000+'Inputs'!$B$21+'Inputs'!$B$7+'Inputs'!$B$10)+'Inputs'!$B$9)^2+('Inputs'!$B$8/2)^2)-(((234-43)*MAX('Inputs'!$B$33,'Inputs'!$B$29+'Inputs'!$B$31+'Inputs'!$B$32,'Inputs'!$B$30+'Inputs'!$B$31+'Inputs'!$B$32)/1000+'Inputs'!$B$21+'Inputs'!$B$7+'Inputs'!$B$10))/SQRT((((234-43)*MAX('Inputs'!$B$33,'Inputs'!$B$29+'Inputs'!$B$31+'Inputs'!$B$32,'Inputs'!$B$30+'Inputs'!$B$31+'Inputs'!$B$32)/1000+'Inputs'!$B$21+'Inputs'!$B$7+'Inputs'!$B$10))^2+('Inputs'!$B$8/2)^2))))*'Results'!$B$8))),"")</x:f>
        <x:v>90.37953824252891</x:v>
      </x:c>
      <x:c r="M234" t="n">
        <x:f>IF(AND(ISNUMBER('Results'!C7),ISNUMBER('Results'!B7),ISNUMBER('Results'!$B$8),ISNUMBER('Inputs'!$B$6),ISNUMBER('Inputs'!$B$7),ISNUMBER('Inputs'!$B$8),ISNUMBER('Inputs'!$B$9),ISNUMBER('Inputs'!$B$10),ISNUMBER('Inputs'!$B$21),ISNUMBER('Inputs'!$B$24),ISNUMBER('Inputs'!$B$28)),(('Results'!C7*(0.5*((((234-43)*MAX('Inputs'!$B$33,'Inputs'!$B$29+'Inputs'!$B$31+'Inputs'!$B$32,'Inputs'!$B$30+'Inputs'!$B$31+'Inputs'!$B$32)/1000+'Inputs'!$B$21)+'Inputs'!$B$9)/SQRT((((234-43)*MAX('Inputs'!$B$33,'Inputs'!$B$29+'Inputs'!$B$31+'Inputs'!$B$32,'Inputs'!$B$30+'Inputs'!$B$31+'Inputs'!$B$32)/1000+'Inputs'!$B$21)+'Inputs'!$B$9)^2+('Inputs'!$B$8/2)^2)-(((234-43)*MAX('Inputs'!$B$33,'Inputs'!$B$29+'Inputs'!$B$31+'Inputs'!$B$32,'Inputs'!$B$30+'Inputs'!$B$31+'Inputs'!$B$32)/1000+'Inputs'!$B$21))/SQRT((((234-43)*MAX('Inputs'!$B$33,'Inputs'!$B$29+'Inputs'!$B$31+'Inputs'!$B$32,'Inputs'!$B$30+'Inputs'!$B$31+'Inputs'!$B$32)/1000+'Inputs'!$B$21))^2+('Inputs'!$B$8/2)^2)))-'Results'!B7*(0.5*((((234-43)*MAX('Inputs'!$B$33,'Inputs'!$B$29+'Inputs'!$B$31+'Inputs'!$B$32,'Inputs'!$B$30+'Inputs'!$B$31+'Inputs'!$B$32)/1000+'Inputs'!$B$21+'Inputs'!$B$9+'Inputs'!$B$10)+'Inputs'!$B$7)/SQRT((((234-43)*MAX('Inputs'!$B$33,'Inputs'!$B$29+'Inputs'!$B$31+'Inputs'!$B$32,'Inputs'!$B$30+'Inputs'!$B$31+'Inputs'!$B$32)/1000+'Inputs'!$B$21+'Inputs'!$B$9+'Inputs'!$B$10)+'Inputs'!$B$7)^2+('Inputs'!$B$6/2)^2)-(((234-43)*MAX('Inputs'!$B$33,'Inputs'!$B$29+'Inputs'!$B$31+'Inputs'!$B$32,'Inputs'!$B$30+'Inputs'!$B$31+'Inputs'!$B$32)/1000+'Inputs'!$B$21+'Inputs'!$B$9+'Inputs'!$B$10))/SQRT((((234-43)*MAX('Inputs'!$B$33,'Inputs'!$B$29+'Inputs'!$B$31+'Inputs'!$B$32,'Inputs'!$B$30+'Inputs'!$B$31+'Inputs'!$B$32)/1000+'Inputs'!$B$21+'Inputs'!$B$9+'Inputs'!$B$10))^2+('Inputs'!$B$6/2)^2))))*'Results'!$B$8),"")</x:f>
        <x:v>79.94924405228063</x:v>
      </x:c>
      <x:c r="N234" t="n">
        <x:f>IF(AND(ISNUMBER('Results'!C7),ISNUMBER('Results'!B7),ISNUMBER('Results'!$B$8),ISNUMBER('Inputs'!$B$6),ISNUMBER('Inputs'!$B$7),ISNUMBER('Inputs'!$B$8),ISNUMBER('Inputs'!$B$9),ISNUMBER('Inputs'!$B$10),ISNUMBER('Inputs'!$B$21),ISNUMBER('Inputs'!$B$24),ISNUMBER('Inputs'!$B$28)),((('Results'!C7*(1-'Inputs'!$B$24)*(0.5*((((234-43)*MAX('Inputs'!$B$33,'Inputs'!$B$29+'Inputs'!$B$31+'Inputs'!$B$32,'Inputs'!$B$30+'Inputs'!$B$31+'Inputs'!$B$32)/1000+'Inputs'!$B$21)+'Inputs'!$B$9)/SQRT((((234-43)*MAX('Inputs'!$B$33,'Inputs'!$B$29+'Inputs'!$B$31+'Inputs'!$B$32,'Inputs'!$B$30+'Inputs'!$B$31+'Inputs'!$B$32)/1000+'Inputs'!$B$21)+'Inputs'!$B$9)^2+('Inputs'!$B$8/2)^2)-(((234-43)*MAX('Inputs'!$B$33,'Inputs'!$B$29+'Inputs'!$B$31+'Inputs'!$B$32,'Inputs'!$B$30+'Inputs'!$B$31+'Inputs'!$B$32)/1000+'Inputs'!$B$21))/SQRT((((234-43)*MAX('Inputs'!$B$33,'Inputs'!$B$29+'Inputs'!$B$31+'Inputs'!$B$32,'Inputs'!$B$30+'Inputs'!$B$31+'Inputs'!$B$32)/1000+'Inputs'!$B$21))^2+('Inputs'!$B$8/2)^2)))-'Results'!B7*(1+'Inputs'!$B$24)*(0.5*((((234-43)*MAX('Inputs'!$B$33,'Inputs'!$B$29+'Inputs'!$B$31+'Inputs'!$B$32,'Inputs'!$B$30+'Inputs'!$B$31+'Inputs'!$B$32)/1000+'Inputs'!$B$21+'Inputs'!$B$9+'Inputs'!$B$10)+'Inputs'!$B$7)/SQRT((((234-43)*MAX('Inputs'!$B$33,'Inputs'!$B$29+'Inputs'!$B$31+'Inputs'!$B$32,'Inputs'!$B$30+'Inputs'!$B$31+'Inputs'!$B$32)/1000+'Inputs'!$B$21+'Inputs'!$B$9+'Inputs'!$B$10)+'Inputs'!$B$7)^2+('Inputs'!$B$6/2)^2)-(((234-43)*MAX('Inputs'!$B$33,'Inputs'!$B$29+'Inputs'!$B$31+'Inputs'!$B$32,'Inputs'!$B$30+'Inputs'!$B$31+'Inputs'!$B$32)/1000+'Inputs'!$B$21+'Inputs'!$B$9+'Inputs'!$B$10))/SQRT((((234-43)*MAX('Inputs'!$B$33,'Inputs'!$B$29+'Inputs'!$B$31+'Inputs'!$B$32,'Inputs'!$B$30+'Inputs'!$B$31+'Inputs'!$B$32)/1000+'Inputs'!$B$21+'Inputs'!$B$9+'Inputs'!$B$10))^2+('Inputs'!$B$6/2)^2))))*'Results'!$B$8)-'Inputs'!$B$28*ABS((('Results'!C7*(1-'Inputs'!$B$24)*(0.5*((((234-43)*MAX('Inputs'!$B$33,'Inputs'!$B$29+'Inputs'!$B$31+'Inputs'!$B$32,'Inputs'!$B$30+'Inputs'!$B$31+'Inputs'!$B$32)/1000+'Inputs'!$B$21)+'Inputs'!$B$9)/SQRT((((234-43)*MAX('Inputs'!$B$33,'Inputs'!$B$29+'Inputs'!$B$31+'Inputs'!$B$32,'Inputs'!$B$30+'Inputs'!$B$31+'Inputs'!$B$32)/1000+'Inputs'!$B$21)+'Inputs'!$B$9)^2+('Inputs'!$B$8/2)^2)-(((234-43)*MAX('Inputs'!$B$33,'Inputs'!$B$29+'Inputs'!$B$31+'Inputs'!$B$32,'Inputs'!$B$30+'Inputs'!$B$31+'Inputs'!$B$32)/1000+'Inputs'!$B$21))/SQRT((((234-43)*MAX('Inputs'!$B$33,'Inputs'!$B$29+'Inputs'!$B$31+'Inputs'!$B$32,'Inputs'!$B$30+'Inputs'!$B$31+'Inputs'!$B$32)/1000+'Inputs'!$B$21))^2+('Inputs'!$B$8/2)^2)))-'Results'!B7*(1+'Inputs'!$B$24)*(0.5*((((234-43)*MAX('Inputs'!$B$33,'Inputs'!$B$29+'Inputs'!$B$31+'Inputs'!$B$32,'Inputs'!$B$30+'Inputs'!$B$31+'Inputs'!$B$32)/1000+'Inputs'!$B$21+'Inputs'!$B$9+'Inputs'!$B$10)+'Inputs'!$B$7)/SQRT((((234-43)*MAX('Inputs'!$B$33,'Inputs'!$B$29+'Inputs'!$B$31+'Inputs'!$B$32,'Inputs'!$B$30+'Inputs'!$B$31+'Inputs'!$B$32)/1000+'Inputs'!$B$21+'Inputs'!$B$9+'Inputs'!$B$10)+'Inputs'!$B$7)^2+('Inputs'!$B$6/2)^2)-(((234-43)*MAX('Inputs'!$B$33,'Inputs'!$B$29+'Inputs'!$B$31+'Inputs'!$B$32,'Inputs'!$B$30+'Inputs'!$B$31+'Inputs'!$B$32)/1000+'Inputs'!$B$21+'Inputs'!$B$9+'Inputs'!$B$10))/SQRT((((234-43)*MAX('Inputs'!$B$33,'Inputs'!$B$29+'Inputs'!$B$31+'Inputs'!$B$32,'Inputs'!$B$30+'Inputs'!$B$31+'Inputs'!$B$32)/1000+'Inputs'!$B$21+'Inputs'!$B$9+'Inputs'!$B$10))^2+('Inputs'!$B$6/2)^2))))*'Results'!$B$8))),"")</x:f>
        <x:v>73.07973310653392</x:v>
      </x:c>
      <x:c r="O234" t="n">
        <x:f>IF(AND(ISNUMBER('Results'!C7),ISNUMBER('Results'!B7),ISNUMBER('Results'!$B$8),ISNUMBER('Inputs'!$B$6),ISNUMBER('Inputs'!$B$7),ISNUMBER('Inputs'!$B$8),ISNUMBER('Inputs'!$B$9),ISNUMBER('Inputs'!$B$10),ISNUMBER('Inputs'!$B$21),ISNUMBER('Inputs'!$B$24),ISNUMBER('Inputs'!$B$28)),((('Results'!C7*(1+'Inputs'!$B$24)*(0.5*((((234-43)*MAX('Inputs'!$B$33,'Inputs'!$B$29+'Inputs'!$B$31+'Inputs'!$B$32,'Inputs'!$B$30+'Inputs'!$B$31+'Inputs'!$B$32)/1000+'Inputs'!$B$21)+'Inputs'!$B$9)/SQRT((((234-43)*MAX('Inputs'!$B$33,'Inputs'!$B$29+'Inputs'!$B$31+'Inputs'!$B$32,'Inputs'!$B$30+'Inputs'!$B$31+'Inputs'!$B$32)/1000+'Inputs'!$B$21)+'Inputs'!$B$9)^2+('Inputs'!$B$8/2)^2)-(((234-43)*MAX('Inputs'!$B$33,'Inputs'!$B$29+'Inputs'!$B$31+'Inputs'!$B$32,'Inputs'!$B$30+'Inputs'!$B$31+'Inputs'!$B$32)/1000+'Inputs'!$B$21))/SQRT((((234-43)*MAX('Inputs'!$B$33,'Inputs'!$B$29+'Inputs'!$B$31+'Inputs'!$B$32,'Inputs'!$B$30+'Inputs'!$B$31+'Inputs'!$B$32)/1000+'Inputs'!$B$21))^2+('Inputs'!$B$8/2)^2)))-'Results'!B7*(1-'Inputs'!$B$24)*(0.5*((((234-43)*MAX('Inputs'!$B$33,'Inputs'!$B$29+'Inputs'!$B$31+'Inputs'!$B$32,'Inputs'!$B$30+'Inputs'!$B$31+'Inputs'!$B$32)/1000+'Inputs'!$B$21+'Inputs'!$B$9+'Inputs'!$B$10)+'Inputs'!$B$7)/SQRT((((234-43)*MAX('Inputs'!$B$33,'Inputs'!$B$29+'Inputs'!$B$31+'Inputs'!$B$32,'Inputs'!$B$30+'Inputs'!$B$31+'Inputs'!$B$32)/1000+'Inputs'!$B$21+'Inputs'!$B$9+'Inputs'!$B$10)+'Inputs'!$B$7)^2+('Inputs'!$B$6/2)^2)-(((234-43)*MAX('Inputs'!$B$33,'Inputs'!$B$29+'Inputs'!$B$31+'Inputs'!$B$32,'Inputs'!$B$30+'Inputs'!$B$31+'Inputs'!$B$32)/1000+'Inputs'!$B$21+'Inputs'!$B$9+'Inputs'!$B$10))/SQRT((((234-43)*MAX('Inputs'!$B$33,'Inputs'!$B$29+'Inputs'!$B$31+'Inputs'!$B$32,'Inputs'!$B$30+'Inputs'!$B$31+'Inputs'!$B$32)/1000+'Inputs'!$B$21+'Inputs'!$B$9+'Inputs'!$B$10))^2+('Inputs'!$B$6/2)^2))))*'Results'!$B$8)+'Inputs'!$B$28*ABS((('Results'!C7*(1+'Inputs'!$B$24)*(0.5*((((234-43)*MAX('Inputs'!$B$33,'Inputs'!$B$29+'Inputs'!$B$31+'Inputs'!$B$32,'Inputs'!$B$30+'Inputs'!$B$31+'Inputs'!$B$32)/1000+'Inputs'!$B$21)+'Inputs'!$B$9)/SQRT((((234-43)*MAX('Inputs'!$B$33,'Inputs'!$B$29+'Inputs'!$B$31+'Inputs'!$B$32,'Inputs'!$B$30+'Inputs'!$B$31+'Inputs'!$B$32)/1000+'Inputs'!$B$21)+'Inputs'!$B$9)^2+('Inputs'!$B$8/2)^2)-(((234-43)*MAX('Inputs'!$B$33,'Inputs'!$B$29+'Inputs'!$B$31+'Inputs'!$B$32,'Inputs'!$B$30+'Inputs'!$B$31+'Inputs'!$B$32)/1000+'Inputs'!$B$21))/SQRT((((234-43)*MAX('Inputs'!$B$33,'Inputs'!$B$29+'Inputs'!$B$31+'Inputs'!$B$32,'Inputs'!$B$30+'Inputs'!$B$31+'Inputs'!$B$32)/1000+'Inputs'!$B$21))^2+('Inputs'!$B$8/2)^2)))-'Results'!B7*(1-'Inputs'!$B$24)*(0.5*((((234-43)*MAX('Inputs'!$B$33,'Inputs'!$B$29+'Inputs'!$B$31+'Inputs'!$B$32,'Inputs'!$B$30+'Inputs'!$B$31+'Inputs'!$B$32)/1000+'Inputs'!$B$21+'Inputs'!$B$9+'Inputs'!$B$10)+'Inputs'!$B$7)/SQRT((((234-43)*MAX('Inputs'!$B$33,'Inputs'!$B$29+'Inputs'!$B$31+'Inputs'!$B$32,'Inputs'!$B$30+'Inputs'!$B$31+'Inputs'!$B$32)/1000+'Inputs'!$B$21+'Inputs'!$B$9+'Inputs'!$B$10)+'Inputs'!$B$7)^2+('Inputs'!$B$6/2)^2)-(((234-43)*MAX('Inputs'!$B$33,'Inputs'!$B$29+'Inputs'!$B$31+'Inputs'!$B$32,'Inputs'!$B$30+'Inputs'!$B$31+'Inputs'!$B$32)/1000+'Inputs'!$B$21+'Inputs'!$B$9+'Inputs'!$B$10))/SQRT((((234-43)*MAX('Inputs'!$B$33,'Inputs'!$B$29+'Inputs'!$B$31+'Inputs'!$B$32,'Inputs'!$B$30+'Inputs'!$B$31+'Inputs'!$B$32)/1000+'Inputs'!$B$21+'Inputs'!$B$9+'Inputs'!$B$10))^2+('Inputs'!$B$6/2)^2))))*'Results'!$B$8))),"")</x:f>
        <x:v>87.12107591835708</x:v>
      </x:c>
      <x:c r="P234" t="n">
        <x:f>IF(AND(MAX(J234,J233)&gt;0,J234&gt;J233+0.00000001),1,0)</x:f>
        <x:v>0</x:v>
      </x:c>
      <x:c r="Q234" t="n">
        <x:f>IF(AND(MAX(K234,K233)&gt;0,K234&gt;K233+0.00000001),1,0)</x:f>
        <x:v>0</x:v>
      </x:c>
      <x:c r="R234" t="n">
        <x:f>IF(AND(MAX(L234,L233)&gt;0,L234&gt;L233+0.00000001),1,0)</x:f>
        <x:v>0</x:v>
      </x:c>
      <x:c r="S234" t="n">
        <x:f>IF(AND(MAX(M234,M233)&gt;0,M234&gt;M233+0.00000001),1,0)</x:f>
        <x:v>0</x:v>
      </x:c>
      <x:c r="T234" t="n">
        <x:f>IF(AND(MAX(N234,N233)&gt;0,N234&gt;N233+0.00000001),1,0)</x:f>
        <x:v>0</x:v>
      </x:c>
      <x:c r="U234" t="n">
        <x:f>IF(AND(MAX(O234,O233)&gt;0,O234&gt;O233+0.00000001),1,0)</x:f>
        <x:v>0</x:v>
      </x:c>
    </x:row>
    <x:row r="235">
      <x:c r="J235" t="n">
        <x:f>IF(AND(ISNUMBER('Results'!B7),ISNUMBER('Results'!C7),ISNUMBER('Results'!$B$8),ISNUMBER('Inputs'!$B$6),ISNUMBER('Inputs'!$B$7),ISNUMBER('Inputs'!$B$8),ISNUMBER('Inputs'!$B$9),ISNUMBER('Inputs'!$B$10),ISNUMBER('Inputs'!$B$21),ISNUMBER('Inputs'!$B$24),ISNUMBER('Inputs'!$B$28)),(('Results'!B7*(0.5*((((235-43)*MAX('Inputs'!$B$33,'Inputs'!$B$29+'Inputs'!$B$31+'Inputs'!$B$32,'Inputs'!$B$30+'Inputs'!$B$31+'Inputs'!$B$32)/1000+'Inputs'!$B$21)+'Inputs'!$B$7)/SQRT((((235-43)*MAX('Inputs'!$B$33,'Inputs'!$B$29+'Inputs'!$B$31+'Inputs'!$B$32,'Inputs'!$B$30+'Inputs'!$B$31+'Inputs'!$B$32)/1000+'Inputs'!$B$21)+'Inputs'!$B$7)^2+('Inputs'!$B$6/2)^2)-(((235-43)*MAX('Inputs'!$B$33,'Inputs'!$B$29+'Inputs'!$B$31+'Inputs'!$B$32,'Inputs'!$B$30+'Inputs'!$B$31+'Inputs'!$B$32)/1000+'Inputs'!$B$21))/SQRT((((235-43)*MAX('Inputs'!$B$33,'Inputs'!$B$29+'Inputs'!$B$31+'Inputs'!$B$32,'Inputs'!$B$30+'Inputs'!$B$31+'Inputs'!$B$32)/1000+'Inputs'!$B$21))^2+('Inputs'!$B$6/2)^2)))-'Results'!C7*(0.5*((((235-43)*MAX('Inputs'!$B$33,'Inputs'!$B$29+'Inputs'!$B$31+'Inputs'!$B$32,'Inputs'!$B$30+'Inputs'!$B$31+'Inputs'!$B$32)/1000+'Inputs'!$B$21+'Inputs'!$B$7+'Inputs'!$B$10)+'Inputs'!$B$9)/SQRT((((235-43)*MAX('Inputs'!$B$33,'Inputs'!$B$29+'Inputs'!$B$31+'Inputs'!$B$32,'Inputs'!$B$30+'Inputs'!$B$31+'Inputs'!$B$32)/1000+'Inputs'!$B$21+'Inputs'!$B$7+'Inputs'!$B$10)+'Inputs'!$B$9)^2+('Inputs'!$B$8/2)^2)-(((235-43)*MAX('Inputs'!$B$33,'Inputs'!$B$29+'Inputs'!$B$31+'Inputs'!$B$32,'Inputs'!$B$30+'Inputs'!$B$31+'Inputs'!$B$32)/1000+'Inputs'!$B$21+'Inputs'!$B$7+'Inputs'!$B$10))/SQRT((((235-43)*MAX('Inputs'!$B$33,'Inputs'!$B$29+'Inputs'!$B$31+'Inputs'!$B$32,'Inputs'!$B$30+'Inputs'!$B$31+'Inputs'!$B$32)/1000+'Inputs'!$B$21+'Inputs'!$B$7+'Inputs'!$B$10))^2+('Inputs'!$B$8/2)^2))))*'Results'!$B$8),"")</x:f>
        <x:v>81.85452703572959</x:v>
      </x:c>
      <x:c r="K235" t="n">
        <x:f>IF(AND(ISNUMBER('Results'!B7),ISNUMBER('Results'!C7),ISNUMBER('Results'!$B$8),ISNUMBER('Inputs'!$B$6),ISNUMBER('Inputs'!$B$7),ISNUMBER('Inputs'!$B$8),ISNUMBER('Inputs'!$B$9),ISNUMBER('Inputs'!$B$10),ISNUMBER('Inputs'!$B$21),ISNUMBER('Inputs'!$B$24),ISNUMBER('Inputs'!$B$28)),((('Results'!B7*(1-'Inputs'!$B$24)*(0.5*((((235-43)*MAX('Inputs'!$B$33,'Inputs'!$B$29+'Inputs'!$B$31+'Inputs'!$B$32,'Inputs'!$B$30+'Inputs'!$B$31+'Inputs'!$B$32)/1000+'Inputs'!$B$21)+'Inputs'!$B$7)/SQRT((((235-43)*MAX('Inputs'!$B$33,'Inputs'!$B$29+'Inputs'!$B$31+'Inputs'!$B$32,'Inputs'!$B$30+'Inputs'!$B$31+'Inputs'!$B$32)/1000+'Inputs'!$B$21)+'Inputs'!$B$7)^2+('Inputs'!$B$6/2)^2)-(((235-43)*MAX('Inputs'!$B$33,'Inputs'!$B$29+'Inputs'!$B$31+'Inputs'!$B$32,'Inputs'!$B$30+'Inputs'!$B$31+'Inputs'!$B$32)/1000+'Inputs'!$B$21))/SQRT((((235-43)*MAX('Inputs'!$B$33,'Inputs'!$B$29+'Inputs'!$B$31+'Inputs'!$B$32,'Inputs'!$B$30+'Inputs'!$B$31+'Inputs'!$B$32)/1000+'Inputs'!$B$21))^2+('Inputs'!$B$6/2)^2)))-'Results'!C7*(1+'Inputs'!$B$24)*(0.5*((((235-43)*MAX('Inputs'!$B$33,'Inputs'!$B$29+'Inputs'!$B$31+'Inputs'!$B$32,'Inputs'!$B$30+'Inputs'!$B$31+'Inputs'!$B$32)/1000+'Inputs'!$B$21+'Inputs'!$B$7+'Inputs'!$B$10)+'Inputs'!$B$9)/SQRT((((235-43)*MAX('Inputs'!$B$33,'Inputs'!$B$29+'Inputs'!$B$31+'Inputs'!$B$32,'Inputs'!$B$30+'Inputs'!$B$31+'Inputs'!$B$32)/1000+'Inputs'!$B$21+'Inputs'!$B$7+'Inputs'!$B$10)+'Inputs'!$B$9)^2+('Inputs'!$B$8/2)^2)-(((235-43)*MAX('Inputs'!$B$33,'Inputs'!$B$29+'Inputs'!$B$31+'Inputs'!$B$32,'Inputs'!$B$30+'Inputs'!$B$31+'Inputs'!$B$32)/1000+'Inputs'!$B$21+'Inputs'!$B$7+'Inputs'!$B$10))/SQRT((((235-43)*MAX('Inputs'!$B$33,'Inputs'!$B$29+'Inputs'!$B$31+'Inputs'!$B$32,'Inputs'!$B$30+'Inputs'!$B$31+'Inputs'!$B$32)/1000+'Inputs'!$B$21+'Inputs'!$B$7+'Inputs'!$B$10))^2+('Inputs'!$B$8/2)^2))))*'Results'!$B$8)-'Inputs'!$B$28*ABS((('Results'!B7*(1-'Inputs'!$B$24)*(0.5*((((235-43)*MAX('Inputs'!$B$33,'Inputs'!$B$29+'Inputs'!$B$31+'Inputs'!$B$32,'Inputs'!$B$30+'Inputs'!$B$31+'Inputs'!$B$32)/1000+'Inputs'!$B$21)+'Inputs'!$B$7)/SQRT((((235-43)*MAX('Inputs'!$B$33,'Inputs'!$B$29+'Inputs'!$B$31+'Inputs'!$B$32,'Inputs'!$B$30+'Inputs'!$B$31+'Inputs'!$B$32)/1000+'Inputs'!$B$21)+'Inputs'!$B$7)^2+('Inputs'!$B$6/2)^2)-(((235-43)*MAX('Inputs'!$B$33,'Inputs'!$B$29+'Inputs'!$B$31+'Inputs'!$B$32,'Inputs'!$B$30+'Inputs'!$B$31+'Inputs'!$B$32)/1000+'Inputs'!$B$21))/SQRT((((235-43)*MAX('Inputs'!$B$33,'Inputs'!$B$29+'Inputs'!$B$31+'Inputs'!$B$32,'Inputs'!$B$30+'Inputs'!$B$31+'Inputs'!$B$32)/1000+'Inputs'!$B$21))^2+('Inputs'!$B$6/2)^2)))-'Results'!C7*(1+'Inputs'!$B$24)*(0.5*((((235-43)*MAX('Inputs'!$B$33,'Inputs'!$B$29+'Inputs'!$B$31+'Inputs'!$B$32,'Inputs'!$B$30+'Inputs'!$B$31+'Inputs'!$B$32)/1000+'Inputs'!$B$21+'Inputs'!$B$7+'Inputs'!$B$10)+'Inputs'!$B$9)/SQRT((((235-43)*MAX('Inputs'!$B$33,'Inputs'!$B$29+'Inputs'!$B$31+'Inputs'!$B$32,'Inputs'!$B$30+'Inputs'!$B$31+'Inputs'!$B$32)/1000+'Inputs'!$B$21+'Inputs'!$B$7+'Inputs'!$B$10)+'Inputs'!$B$9)^2+('Inputs'!$B$8/2)^2)-(((235-43)*MAX('Inputs'!$B$33,'Inputs'!$B$29+'Inputs'!$B$31+'Inputs'!$B$32,'Inputs'!$B$30+'Inputs'!$B$31+'Inputs'!$B$32)/1000+'Inputs'!$B$21+'Inputs'!$B$7+'Inputs'!$B$10))/SQRT((((235-43)*MAX('Inputs'!$B$33,'Inputs'!$B$29+'Inputs'!$B$31+'Inputs'!$B$32,'Inputs'!$B$30+'Inputs'!$B$31+'Inputs'!$B$32)/1000+'Inputs'!$B$21+'Inputs'!$B$7+'Inputs'!$B$10))^2+('Inputs'!$B$8/2)^2))))*'Results'!$B$8))),"")</x:f>
        <x:v>74.89212599874517</x:v>
      </x:c>
      <x:c r="L235" t="n">
        <x:f>IF(AND(ISNUMBER('Results'!B7),ISNUMBER('Results'!C7),ISNUMBER('Results'!$B$8),ISNUMBER('Inputs'!$B$6),ISNUMBER('Inputs'!$B$7),ISNUMBER('Inputs'!$B$8),ISNUMBER('Inputs'!$B$9),ISNUMBER('Inputs'!$B$10),ISNUMBER('Inputs'!$B$21),ISNUMBER('Inputs'!$B$24),ISNUMBER('Inputs'!$B$28)),((('Results'!B7*(1+'Inputs'!$B$24)*(0.5*((((235-43)*MAX('Inputs'!$B$33,'Inputs'!$B$29+'Inputs'!$B$31+'Inputs'!$B$32,'Inputs'!$B$30+'Inputs'!$B$31+'Inputs'!$B$32)/1000+'Inputs'!$B$21)+'Inputs'!$B$7)/SQRT((((235-43)*MAX('Inputs'!$B$33,'Inputs'!$B$29+'Inputs'!$B$31+'Inputs'!$B$32,'Inputs'!$B$30+'Inputs'!$B$31+'Inputs'!$B$32)/1000+'Inputs'!$B$21)+'Inputs'!$B$7)^2+('Inputs'!$B$6/2)^2)-(((235-43)*MAX('Inputs'!$B$33,'Inputs'!$B$29+'Inputs'!$B$31+'Inputs'!$B$32,'Inputs'!$B$30+'Inputs'!$B$31+'Inputs'!$B$32)/1000+'Inputs'!$B$21))/SQRT((((235-43)*MAX('Inputs'!$B$33,'Inputs'!$B$29+'Inputs'!$B$31+'Inputs'!$B$32,'Inputs'!$B$30+'Inputs'!$B$31+'Inputs'!$B$32)/1000+'Inputs'!$B$21))^2+('Inputs'!$B$6/2)^2)))-'Results'!C7*(1-'Inputs'!$B$24)*(0.5*((((235-43)*MAX('Inputs'!$B$33,'Inputs'!$B$29+'Inputs'!$B$31+'Inputs'!$B$32,'Inputs'!$B$30+'Inputs'!$B$31+'Inputs'!$B$32)/1000+'Inputs'!$B$21+'Inputs'!$B$7+'Inputs'!$B$10)+'Inputs'!$B$9)/SQRT((((235-43)*MAX('Inputs'!$B$33,'Inputs'!$B$29+'Inputs'!$B$31+'Inputs'!$B$32,'Inputs'!$B$30+'Inputs'!$B$31+'Inputs'!$B$32)/1000+'Inputs'!$B$21+'Inputs'!$B$7+'Inputs'!$B$10)+'Inputs'!$B$9)^2+('Inputs'!$B$8/2)^2)-(((235-43)*MAX('Inputs'!$B$33,'Inputs'!$B$29+'Inputs'!$B$31+'Inputs'!$B$32,'Inputs'!$B$30+'Inputs'!$B$31+'Inputs'!$B$32)/1000+'Inputs'!$B$21+'Inputs'!$B$7+'Inputs'!$B$10))/SQRT((((235-43)*MAX('Inputs'!$B$33,'Inputs'!$B$29+'Inputs'!$B$31+'Inputs'!$B$32,'Inputs'!$B$30+'Inputs'!$B$31+'Inputs'!$B$32)/1000+'Inputs'!$B$21+'Inputs'!$B$7+'Inputs'!$B$10))^2+('Inputs'!$B$8/2)^2))))*'Results'!$B$8)+'Inputs'!$B$28*ABS((('Results'!B7*(1+'Inputs'!$B$24)*(0.5*((((235-43)*MAX('Inputs'!$B$33,'Inputs'!$B$29+'Inputs'!$B$31+'Inputs'!$B$32,'Inputs'!$B$30+'Inputs'!$B$31+'Inputs'!$B$32)/1000+'Inputs'!$B$21)+'Inputs'!$B$7)/SQRT((((235-43)*MAX('Inputs'!$B$33,'Inputs'!$B$29+'Inputs'!$B$31+'Inputs'!$B$32,'Inputs'!$B$30+'Inputs'!$B$31+'Inputs'!$B$32)/1000+'Inputs'!$B$21)+'Inputs'!$B$7)^2+('Inputs'!$B$6/2)^2)-(((235-43)*MAX('Inputs'!$B$33,'Inputs'!$B$29+'Inputs'!$B$31+'Inputs'!$B$32,'Inputs'!$B$30+'Inputs'!$B$31+'Inputs'!$B$32)/1000+'Inputs'!$B$21))/SQRT((((235-43)*MAX('Inputs'!$B$33,'Inputs'!$B$29+'Inputs'!$B$31+'Inputs'!$B$32,'Inputs'!$B$30+'Inputs'!$B$31+'Inputs'!$B$32)/1000+'Inputs'!$B$21))^2+('Inputs'!$B$6/2)^2)))-'Results'!C7*(1-'Inputs'!$B$24)*(0.5*((((235-43)*MAX('Inputs'!$B$33,'Inputs'!$B$29+'Inputs'!$B$31+'Inputs'!$B$32,'Inputs'!$B$30+'Inputs'!$B$31+'Inputs'!$B$32)/1000+'Inputs'!$B$21+'Inputs'!$B$7+'Inputs'!$B$10)+'Inputs'!$B$9)/SQRT((((235-43)*MAX('Inputs'!$B$33,'Inputs'!$B$29+'Inputs'!$B$31+'Inputs'!$B$32,'Inputs'!$B$30+'Inputs'!$B$31+'Inputs'!$B$32)/1000+'Inputs'!$B$21+'Inputs'!$B$7+'Inputs'!$B$10)+'Inputs'!$B$9)^2+('Inputs'!$B$8/2)^2)-(((235-43)*MAX('Inputs'!$B$33,'Inputs'!$B$29+'Inputs'!$B$31+'Inputs'!$B$32,'Inputs'!$B$30+'Inputs'!$B$31+'Inputs'!$B$32)/1000+'Inputs'!$B$21+'Inputs'!$B$7+'Inputs'!$B$10))/SQRT((((235-43)*MAX('Inputs'!$B$33,'Inputs'!$B$29+'Inputs'!$B$31+'Inputs'!$B$32,'Inputs'!$B$30+'Inputs'!$B$31+'Inputs'!$B$32)/1000+'Inputs'!$B$21+'Inputs'!$B$7+'Inputs'!$B$10))^2+('Inputs'!$B$8/2)^2))))*'Results'!$B$8))),"")</x:f>
        <x:v>89.1189990922085</x:v>
      </x:c>
      <x:c r="M235" t="n">
        <x:f>IF(AND(ISNUMBER('Results'!C7),ISNUMBER('Results'!B7),ISNUMBER('Results'!$B$8),ISNUMBER('Inputs'!$B$6),ISNUMBER('Inputs'!$B$7),ISNUMBER('Inputs'!$B$8),ISNUMBER('Inputs'!$B$9),ISNUMBER('Inputs'!$B$10),ISNUMBER('Inputs'!$B$21),ISNUMBER('Inputs'!$B$24),ISNUMBER('Inputs'!$B$28)),(('Results'!C7*(0.5*((((235-43)*MAX('Inputs'!$B$33,'Inputs'!$B$29+'Inputs'!$B$31+'Inputs'!$B$32,'Inputs'!$B$30+'Inputs'!$B$31+'Inputs'!$B$32)/1000+'Inputs'!$B$21)+'Inputs'!$B$9)/SQRT((((235-43)*MAX('Inputs'!$B$33,'Inputs'!$B$29+'Inputs'!$B$31+'Inputs'!$B$32,'Inputs'!$B$30+'Inputs'!$B$31+'Inputs'!$B$32)/1000+'Inputs'!$B$21)+'Inputs'!$B$9)^2+('Inputs'!$B$8/2)^2)-(((235-43)*MAX('Inputs'!$B$33,'Inputs'!$B$29+'Inputs'!$B$31+'Inputs'!$B$32,'Inputs'!$B$30+'Inputs'!$B$31+'Inputs'!$B$32)/1000+'Inputs'!$B$21))/SQRT((((235-43)*MAX('Inputs'!$B$33,'Inputs'!$B$29+'Inputs'!$B$31+'Inputs'!$B$32,'Inputs'!$B$30+'Inputs'!$B$31+'Inputs'!$B$32)/1000+'Inputs'!$B$21))^2+('Inputs'!$B$8/2)^2)))-'Results'!B7*(0.5*((((235-43)*MAX('Inputs'!$B$33,'Inputs'!$B$29+'Inputs'!$B$31+'Inputs'!$B$32,'Inputs'!$B$30+'Inputs'!$B$31+'Inputs'!$B$32)/1000+'Inputs'!$B$21+'Inputs'!$B$9+'Inputs'!$B$10)+'Inputs'!$B$7)/SQRT((((235-43)*MAX('Inputs'!$B$33,'Inputs'!$B$29+'Inputs'!$B$31+'Inputs'!$B$32,'Inputs'!$B$30+'Inputs'!$B$31+'Inputs'!$B$32)/1000+'Inputs'!$B$21+'Inputs'!$B$9+'Inputs'!$B$10)+'Inputs'!$B$7)^2+('Inputs'!$B$6/2)^2)-(((235-43)*MAX('Inputs'!$B$33,'Inputs'!$B$29+'Inputs'!$B$31+'Inputs'!$B$32,'Inputs'!$B$30+'Inputs'!$B$31+'Inputs'!$B$32)/1000+'Inputs'!$B$21+'Inputs'!$B$9+'Inputs'!$B$10))/SQRT((((235-43)*MAX('Inputs'!$B$33,'Inputs'!$B$29+'Inputs'!$B$31+'Inputs'!$B$32,'Inputs'!$B$30+'Inputs'!$B$31+'Inputs'!$B$32)/1000+'Inputs'!$B$21+'Inputs'!$B$9+'Inputs'!$B$10))^2+('Inputs'!$B$6/2)^2))))*'Results'!$B$8),"")</x:f>
        <x:v>78.81969827288407</x:v>
      </x:c>
      <x:c r="N235" t="n">
        <x:f>IF(AND(ISNUMBER('Results'!C7),ISNUMBER('Results'!B7),ISNUMBER('Results'!$B$8),ISNUMBER('Inputs'!$B$6),ISNUMBER('Inputs'!$B$7),ISNUMBER('Inputs'!$B$8),ISNUMBER('Inputs'!$B$9),ISNUMBER('Inputs'!$B$10),ISNUMBER('Inputs'!$B$21),ISNUMBER('Inputs'!$B$24),ISNUMBER('Inputs'!$B$28)),((('Results'!C7*(1-'Inputs'!$B$24)*(0.5*((((235-43)*MAX('Inputs'!$B$33,'Inputs'!$B$29+'Inputs'!$B$31+'Inputs'!$B$32,'Inputs'!$B$30+'Inputs'!$B$31+'Inputs'!$B$32)/1000+'Inputs'!$B$21)+'Inputs'!$B$9)/SQRT((((235-43)*MAX('Inputs'!$B$33,'Inputs'!$B$29+'Inputs'!$B$31+'Inputs'!$B$32,'Inputs'!$B$30+'Inputs'!$B$31+'Inputs'!$B$32)/1000+'Inputs'!$B$21)+'Inputs'!$B$9)^2+('Inputs'!$B$8/2)^2)-(((235-43)*MAX('Inputs'!$B$33,'Inputs'!$B$29+'Inputs'!$B$31+'Inputs'!$B$32,'Inputs'!$B$30+'Inputs'!$B$31+'Inputs'!$B$32)/1000+'Inputs'!$B$21))/SQRT((((235-43)*MAX('Inputs'!$B$33,'Inputs'!$B$29+'Inputs'!$B$31+'Inputs'!$B$32,'Inputs'!$B$30+'Inputs'!$B$31+'Inputs'!$B$32)/1000+'Inputs'!$B$21))^2+('Inputs'!$B$8/2)^2)))-'Results'!B7*(1+'Inputs'!$B$24)*(0.5*((((235-43)*MAX('Inputs'!$B$33,'Inputs'!$B$29+'Inputs'!$B$31+'Inputs'!$B$32,'Inputs'!$B$30+'Inputs'!$B$31+'Inputs'!$B$32)/1000+'Inputs'!$B$21+'Inputs'!$B$9+'Inputs'!$B$10)+'Inputs'!$B$7)/SQRT((((235-43)*MAX('Inputs'!$B$33,'Inputs'!$B$29+'Inputs'!$B$31+'Inputs'!$B$32,'Inputs'!$B$30+'Inputs'!$B$31+'Inputs'!$B$32)/1000+'Inputs'!$B$21+'Inputs'!$B$9+'Inputs'!$B$10)+'Inputs'!$B$7)^2+('Inputs'!$B$6/2)^2)-(((235-43)*MAX('Inputs'!$B$33,'Inputs'!$B$29+'Inputs'!$B$31+'Inputs'!$B$32,'Inputs'!$B$30+'Inputs'!$B$31+'Inputs'!$B$32)/1000+'Inputs'!$B$21+'Inputs'!$B$9+'Inputs'!$B$10))/SQRT((((235-43)*MAX('Inputs'!$B$33,'Inputs'!$B$29+'Inputs'!$B$31+'Inputs'!$B$32,'Inputs'!$B$30+'Inputs'!$B$31+'Inputs'!$B$32)/1000+'Inputs'!$B$21+'Inputs'!$B$9+'Inputs'!$B$10))^2+('Inputs'!$B$6/2)^2))))*'Results'!$B$8)-'Inputs'!$B$28*ABS((('Results'!C7*(1-'Inputs'!$B$24)*(0.5*((((235-43)*MAX('Inputs'!$B$33,'Inputs'!$B$29+'Inputs'!$B$31+'Inputs'!$B$32,'Inputs'!$B$30+'Inputs'!$B$31+'Inputs'!$B$32)/1000+'Inputs'!$B$21)+'Inputs'!$B$9)/SQRT((((235-43)*MAX('Inputs'!$B$33,'Inputs'!$B$29+'Inputs'!$B$31+'Inputs'!$B$32,'Inputs'!$B$30+'Inputs'!$B$31+'Inputs'!$B$32)/1000+'Inputs'!$B$21)+'Inputs'!$B$9)^2+('Inputs'!$B$8/2)^2)-(((235-43)*MAX('Inputs'!$B$33,'Inputs'!$B$29+'Inputs'!$B$31+'Inputs'!$B$32,'Inputs'!$B$30+'Inputs'!$B$31+'Inputs'!$B$32)/1000+'Inputs'!$B$21))/SQRT((((235-43)*MAX('Inputs'!$B$33,'Inputs'!$B$29+'Inputs'!$B$31+'Inputs'!$B$32,'Inputs'!$B$30+'Inputs'!$B$31+'Inputs'!$B$32)/1000+'Inputs'!$B$21))^2+('Inputs'!$B$8/2)^2)))-'Results'!B7*(1+'Inputs'!$B$24)*(0.5*((((235-43)*MAX('Inputs'!$B$33,'Inputs'!$B$29+'Inputs'!$B$31+'Inputs'!$B$32,'Inputs'!$B$30+'Inputs'!$B$31+'Inputs'!$B$32)/1000+'Inputs'!$B$21+'Inputs'!$B$9+'Inputs'!$B$10)+'Inputs'!$B$7)/SQRT((((235-43)*MAX('Inputs'!$B$33,'Inputs'!$B$29+'Inputs'!$B$31+'Inputs'!$B$32,'Inputs'!$B$30+'Inputs'!$B$31+'Inputs'!$B$32)/1000+'Inputs'!$B$21+'Inputs'!$B$9+'Inputs'!$B$10)+'Inputs'!$B$7)^2+('Inputs'!$B$6/2)^2)-(((235-43)*MAX('Inputs'!$B$33,'Inputs'!$B$29+'Inputs'!$B$31+'Inputs'!$B$32,'Inputs'!$B$30+'Inputs'!$B$31+'Inputs'!$B$32)/1000+'Inputs'!$B$21+'Inputs'!$B$9+'Inputs'!$B$10))/SQRT((((235-43)*MAX('Inputs'!$B$33,'Inputs'!$B$29+'Inputs'!$B$31+'Inputs'!$B$32,'Inputs'!$B$30+'Inputs'!$B$31+'Inputs'!$B$32)/1000+'Inputs'!$B$21+'Inputs'!$B$9+'Inputs'!$B$10))^2+('Inputs'!$B$6/2)^2))))*'Results'!$B$8))),"")</x:f>
        <x:v>72.03987514152541</x:v>
      </x:c>
      <x:c r="O235" t="n">
        <x:f>IF(AND(ISNUMBER('Results'!C7),ISNUMBER('Results'!B7),ISNUMBER('Results'!$B$8),ISNUMBER('Inputs'!$B$6),ISNUMBER('Inputs'!$B$7),ISNUMBER('Inputs'!$B$8),ISNUMBER('Inputs'!$B$9),ISNUMBER('Inputs'!$B$10),ISNUMBER('Inputs'!$B$21),ISNUMBER('Inputs'!$B$24),ISNUMBER('Inputs'!$B$28)),((('Results'!C7*(1+'Inputs'!$B$24)*(0.5*((((235-43)*MAX('Inputs'!$B$33,'Inputs'!$B$29+'Inputs'!$B$31+'Inputs'!$B$32,'Inputs'!$B$30+'Inputs'!$B$31+'Inputs'!$B$32)/1000+'Inputs'!$B$21)+'Inputs'!$B$9)/SQRT((((235-43)*MAX('Inputs'!$B$33,'Inputs'!$B$29+'Inputs'!$B$31+'Inputs'!$B$32,'Inputs'!$B$30+'Inputs'!$B$31+'Inputs'!$B$32)/1000+'Inputs'!$B$21)+'Inputs'!$B$9)^2+('Inputs'!$B$8/2)^2)-(((235-43)*MAX('Inputs'!$B$33,'Inputs'!$B$29+'Inputs'!$B$31+'Inputs'!$B$32,'Inputs'!$B$30+'Inputs'!$B$31+'Inputs'!$B$32)/1000+'Inputs'!$B$21))/SQRT((((235-43)*MAX('Inputs'!$B$33,'Inputs'!$B$29+'Inputs'!$B$31+'Inputs'!$B$32,'Inputs'!$B$30+'Inputs'!$B$31+'Inputs'!$B$32)/1000+'Inputs'!$B$21))^2+('Inputs'!$B$8/2)^2)))-'Results'!B7*(1-'Inputs'!$B$24)*(0.5*((((235-43)*MAX('Inputs'!$B$33,'Inputs'!$B$29+'Inputs'!$B$31+'Inputs'!$B$32,'Inputs'!$B$30+'Inputs'!$B$31+'Inputs'!$B$32)/1000+'Inputs'!$B$21+'Inputs'!$B$9+'Inputs'!$B$10)+'Inputs'!$B$7)/SQRT((((235-43)*MAX('Inputs'!$B$33,'Inputs'!$B$29+'Inputs'!$B$31+'Inputs'!$B$32,'Inputs'!$B$30+'Inputs'!$B$31+'Inputs'!$B$32)/1000+'Inputs'!$B$21+'Inputs'!$B$9+'Inputs'!$B$10)+'Inputs'!$B$7)^2+('Inputs'!$B$6/2)^2)-(((235-43)*MAX('Inputs'!$B$33,'Inputs'!$B$29+'Inputs'!$B$31+'Inputs'!$B$32,'Inputs'!$B$30+'Inputs'!$B$31+'Inputs'!$B$32)/1000+'Inputs'!$B$21+'Inputs'!$B$9+'Inputs'!$B$10))/SQRT((((235-43)*MAX('Inputs'!$B$33,'Inputs'!$B$29+'Inputs'!$B$31+'Inputs'!$B$32,'Inputs'!$B$30+'Inputs'!$B$31+'Inputs'!$B$32)/1000+'Inputs'!$B$21+'Inputs'!$B$9+'Inputs'!$B$10))^2+('Inputs'!$B$6/2)^2))))*'Results'!$B$8)+'Inputs'!$B$28*ABS((('Results'!C7*(1+'Inputs'!$B$24)*(0.5*((((235-43)*MAX('Inputs'!$B$33,'Inputs'!$B$29+'Inputs'!$B$31+'Inputs'!$B$32,'Inputs'!$B$30+'Inputs'!$B$31+'Inputs'!$B$32)/1000+'Inputs'!$B$21)+'Inputs'!$B$9)/SQRT((((235-43)*MAX('Inputs'!$B$33,'Inputs'!$B$29+'Inputs'!$B$31+'Inputs'!$B$32,'Inputs'!$B$30+'Inputs'!$B$31+'Inputs'!$B$32)/1000+'Inputs'!$B$21)+'Inputs'!$B$9)^2+('Inputs'!$B$8/2)^2)-(((235-43)*MAX('Inputs'!$B$33,'Inputs'!$B$29+'Inputs'!$B$31+'Inputs'!$B$32,'Inputs'!$B$30+'Inputs'!$B$31+'Inputs'!$B$32)/1000+'Inputs'!$B$21))/SQRT((((235-43)*MAX('Inputs'!$B$33,'Inputs'!$B$29+'Inputs'!$B$31+'Inputs'!$B$32,'Inputs'!$B$30+'Inputs'!$B$31+'Inputs'!$B$32)/1000+'Inputs'!$B$21))^2+('Inputs'!$B$8/2)^2)))-'Results'!B7*(1-'Inputs'!$B$24)*(0.5*((((235-43)*MAX('Inputs'!$B$33,'Inputs'!$B$29+'Inputs'!$B$31+'Inputs'!$B$32,'Inputs'!$B$30+'Inputs'!$B$31+'Inputs'!$B$32)/1000+'Inputs'!$B$21+'Inputs'!$B$9+'Inputs'!$B$10)+'Inputs'!$B$7)/SQRT((((235-43)*MAX('Inputs'!$B$33,'Inputs'!$B$29+'Inputs'!$B$31+'Inputs'!$B$32,'Inputs'!$B$30+'Inputs'!$B$31+'Inputs'!$B$32)/1000+'Inputs'!$B$21+'Inputs'!$B$9+'Inputs'!$B$10)+'Inputs'!$B$7)^2+('Inputs'!$B$6/2)^2)-(((235-43)*MAX('Inputs'!$B$33,'Inputs'!$B$29+'Inputs'!$B$31+'Inputs'!$B$32,'Inputs'!$B$30+'Inputs'!$B$31+'Inputs'!$B$32)/1000+'Inputs'!$B$21+'Inputs'!$B$9+'Inputs'!$B$10))/SQRT((((235-43)*MAX('Inputs'!$B$33,'Inputs'!$B$29+'Inputs'!$B$31+'Inputs'!$B$32,'Inputs'!$B$30+'Inputs'!$B$31+'Inputs'!$B$32)/1000+'Inputs'!$B$21+'Inputs'!$B$9+'Inputs'!$B$10))^2+('Inputs'!$B$6/2)^2))))*'Results'!$B$8))),"")</x:f>
        <x:v>85.89834647979163</x:v>
      </x:c>
      <x:c r="P235" t="n">
        <x:f>IF(AND(MAX(J235,J234)&gt;0,J235&gt;J234+0.00000001),1,0)</x:f>
        <x:v>0</x:v>
      </x:c>
      <x:c r="Q235" t="n">
        <x:f>IF(AND(MAX(K235,K234)&gt;0,K235&gt;K234+0.00000001),1,0)</x:f>
        <x:v>0</x:v>
      </x:c>
      <x:c r="R235" t="n">
        <x:f>IF(AND(MAX(L235,L234)&gt;0,L235&gt;L234+0.00000001),1,0)</x:f>
        <x:v>0</x:v>
      </x:c>
      <x:c r="S235" t="n">
        <x:f>IF(AND(MAX(M235,M234)&gt;0,M235&gt;M234+0.00000001),1,0)</x:f>
        <x:v>0</x:v>
      </x:c>
      <x:c r="T235" t="n">
        <x:f>IF(AND(MAX(N235,N234)&gt;0,N235&gt;N234+0.00000001),1,0)</x:f>
        <x:v>0</x:v>
      </x:c>
      <x:c r="U235" t="n">
        <x:f>IF(AND(MAX(O235,O234)&gt;0,O235&gt;O234+0.00000001),1,0)</x:f>
        <x:v>0</x:v>
      </x:c>
    </x:row>
    <x:row r="236">
      <x:c r="J236" t="n">
        <x:f>IF(AND(ISNUMBER('Results'!B7),ISNUMBER('Results'!C7),ISNUMBER('Results'!$B$8),ISNUMBER('Inputs'!$B$6),ISNUMBER('Inputs'!$B$7),ISNUMBER('Inputs'!$B$8),ISNUMBER('Inputs'!$B$9),ISNUMBER('Inputs'!$B$10),ISNUMBER('Inputs'!$B$21),ISNUMBER('Inputs'!$B$24),ISNUMBER('Inputs'!$B$28)),(('Results'!B7*(0.5*((((236-43)*MAX('Inputs'!$B$33,'Inputs'!$B$29+'Inputs'!$B$31+'Inputs'!$B$32,'Inputs'!$B$30+'Inputs'!$B$31+'Inputs'!$B$32)/1000+'Inputs'!$B$21)+'Inputs'!$B$7)/SQRT((((236-43)*MAX('Inputs'!$B$33,'Inputs'!$B$29+'Inputs'!$B$31+'Inputs'!$B$32,'Inputs'!$B$30+'Inputs'!$B$31+'Inputs'!$B$32)/1000+'Inputs'!$B$21)+'Inputs'!$B$7)^2+('Inputs'!$B$6/2)^2)-(((236-43)*MAX('Inputs'!$B$33,'Inputs'!$B$29+'Inputs'!$B$31+'Inputs'!$B$32,'Inputs'!$B$30+'Inputs'!$B$31+'Inputs'!$B$32)/1000+'Inputs'!$B$21))/SQRT((((236-43)*MAX('Inputs'!$B$33,'Inputs'!$B$29+'Inputs'!$B$31+'Inputs'!$B$32,'Inputs'!$B$30+'Inputs'!$B$31+'Inputs'!$B$32)/1000+'Inputs'!$B$21))^2+('Inputs'!$B$6/2)^2)))-'Results'!C7*(0.5*((((236-43)*MAX('Inputs'!$B$33,'Inputs'!$B$29+'Inputs'!$B$31+'Inputs'!$B$32,'Inputs'!$B$30+'Inputs'!$B$31+'Inputs'!$B$32)/1000+'Inputs'!$B$21+'Inputs'!$B$7+'Inputs'!$B$10)+'Inputs'!$B$9)/SQRT((((236-43)*MAX('Inputs'!$B$33,'Inputs'!$B$29+'Inputs'!$B$31+'Inputs'!$B$32,'Inputs'!$B$30+'Inputs'!$B$31+'Inputs'!$B$32)/1000+'Inputs'!$B$21+'Inputs'!$B$7+'Inputs'!$B$10)+'Inputs'!$B$9)^2+('Inputs'!$B$8/2)^2)-(((236-43)*MAX('Inputs'!$B$33,'Inputs'!$B$29+'Inputs'!$B$31+'Inputs'!$B$32,'Inputs'!$B$30+'Inputs'!$B$31+'Inputs'!$B$32)/1000+'Inputs'!$B$21+'Inputs'!$B$7+'Inputs'!$B$10))/SQRT((((236-43)*MAX('Inputs'!$B$33,'Inputs'!$B$29+'Inputs'!$B$31+'Inputs'!$B$32,'Inputs'!$B$30+'Inputs'!$B$31+'Inputs'!$B$32)/1000+'Inputs'!$B$21+'Inputs'!$B$7+'Inputs'!$B$10))^2+('Inputs'!$B$8/2)^2))))*'Results'!$B$8),"")</x:f>
        <x:v>80.70942837406957</x:v>
      </x:c>
      <x:c r="K236" t="n">
        <x:f>IF(AND(ISNUMBER('Results'!B7),ISNUMBER('Results'!C7),ISNUMBER('Results'!$B$8),ISNUMBER('Inputs'!$B$6),ISNUMBER('Inputs'!$B$7),ISNUMBER('Inputs'!$B$8),ISNUMBER('Inputs'!$B$9),ISNUMBER('Inputs'!$B$10),ISNUMBER('Inputs'!$B$21),ISNUMBER('Inputs'!$B$24),ISNUMBER('Inputs'!$B$28)),((('Results'!B7*(1-'Inputs'!$B$24)*(0.5*((((236-43)*MAX('Inputs'!$B$33,'Inputs'!$B$29+'Inputs'!$B$31+'Inputs'!$B$32,'Inputs'!$B$30+'Inputs'!$B$31+'Inputs'!$B$32)/1000+'Inputs'!$B$21)+'Inputs'!$B$7)/SQRT((((236-43)*MAX('Inputs'!$B$33,'Inputs'!$B$29+'Inputs'!$B$31+'Inputs'!$B$32,'Inputs'!$B$30+'Inputs'!$B$31+'Inputs'!$B$32)/1000+'Inputs'!$B$21)+'Inputs'!$B$7)^2+('Inputs'!$B$6/2)^2)-(((236-43)*MAX('Inputs'!$B$33,'Inputs'!$B$29+'Inputs'!$B$31+'Inputs'!$B$32,'Inputs'!$B$30+'Inputs'!$B$31+'Inputs'!$B$32)/1000+'Inputs'!$B$21))/SQRT((((236-43)*MAX('Inputs'!$B$33,'Inputs'!$B$29+'Inputs'!$B$31+'Inputs'!$B$32,'Inputs'!$B$30+'Inputs'!$B$31+'Inputs'!$B$32)/1000+'Inputs'!$B$21))^2+('Inputs'!$B$6/2)^2)))-'Results'!C7*(1+'Inputs'!$B$24)*(0.5*((((236-43)*MAX('Inputs'!$B$33,'Inputs'!$B$29+'Inputs'!$B$31+'Inputs'!$B$32,'Inputs'!$B$30+'Inputs'!$B$31+'Inputs'!$B$32)/1000+'Inputs'!$B$21+'Inputs'!$B$7+'Inputs'!$B$10)+'Inputs'!$B$9)/SQRT((((236-43)*MAX('Inputs'!$B$33,'Inputs'!$B$29+'Inputs'!$B$31+'Inputs'!$B$32,'Inputs'!$B$30+'Inputs'!$B$31+'Inputs'!$B$32)/1000+'Inputs'!$B$21+'Inputs'!$B$7+'Inputs'!$B$10)+'Inputs'!$B$9)^2+('Inputs'!$B$8/2)^2)-(((236-43)*MAX('Inputs'!$B$33,'Inputs'!$B$29+'Inputs'!$B$31+'Inputs'!$B$32,'Inputs'!$B$30+'Inputs'!$B$31+'Inputs'!$B$32)/1000+'Inputs'!$B$21+'Inputs'!$B$7+'Inputs'!$B$10))/SQRT((((236-43)*MAX('Inputs'!$B$33,'Inputs'!$B$29+'Inputs'!$B$31+'Inputs'!$B$32,'Inputs'!$B$30+'Inputs'!$B$31+'Inputs'!$B$32)/1000+'Inputs'!$B$21+'Inputs'!$B$7+'Inputs'!$B$10))^2+('Inputs'!$B$8/2)^2))))*'Results'!$B$8)-'Inputs'!$B$28*ABS((('Results'!B7*(1-'Inputs'!$B$24)*(0.5*((((236-43)*MAX('Inputs'!$B$33,'Inputs'!$B$29+'Inputs'!$B$31+'Inputs'!$B$32,'Inputs'!$B$30+'Inputs'!$B$31+'Inputs'!$B$32)/1000+'Inputs'!$B$21)+'Inputs'!$B$7)/SQRT((((236-43)*MAX('Inputs'!$B$33,'Inputs'!$B$29+'Inputs'!$B$31+'Inputs'!$B$32,'Inputs'!$B$30+'Inputs'!$B$31+'Inputs'!$B$32)/1000+'Inputs'!$B$21)+'Inputs'!$B$7)^2+('Inputs'!$B$6/2)^2)-(((236-43)*MAX('Inputs'!$B$33,'Inputs'!$B$29+'Inputs'!$B$31+'Inputs'!$B$32,'Inputs'!$B$30+'Inputs'!$B$31+'Inputs'!$B$32)/1000+'Inputs'!$B$21))/SQRT((((236-43)*MAX('Inputs'!$B$33,'Inputs'!$B$29+'Inputs'!$B$31+'Inputs'!$B$32,'Inputs'!$B$30+'Inputs'!$B$31+'Inputs'!$B$32)/1000+'Inputs'!$B$21))^2+('Inputs'!$B$6/2)^2)))-'Results'!C7*(1+'Inputs'!$B$24)*(0.5*((((236-43)*MAX('Inputs'!$B$33,'Inputs'!$B$29+'Inputs'!$B$31+'Inputs'!$B$32,'Inputs'!$B$30+'Inputs'!$B$31+'Inputs'!$B$32)/1000+'Inputs'!$B$21+'Inputs'!$B$7+'Inputs'!$B$10)+'Inputs'!$B$9)/SQRT((((236-43)*MAX('Inputs'!$B$33,'Inputs'!$B$29+'Inputs'!$B$31+'Inputs'!$B$32,'Inputs'!$B$30+'Inputs'!$B$31+'Inputs'!$B$32)/1000+'Inputs'!$B$21+'Inputs'!$B$7+'Inputs'!$B$10)+'Inputs'!$B$9)^2+('Inputs'!$B$8/2)^2)-(((236-43)*MAX('Inputs'!$B$33,'Inputs'!$B$29+'Inputs'!$B$31+'Inputs'!$B$32,'Inputs'!$B$30+'Inputs'!$B$31+'Inputs'!$B$32)/1000+'Inputs'!$B$21+'Inputs'!$B$7+'Inputs'!$B$10))/SQRT((((236-43)*MAX('Inputs'!$B$33,'Inputs'!$B$29+'Inputs'!$B$31+'Inputs'!$B$32,'Inputs'!$B$30+'Inputs'!$B$31+'Inputs'!$B$32)/1000+'Inputs'!$B$21+'Inputs'!$B$7+'Inputs'!$B$10))^2+('Inputs'!$B$8/2)^2))))*'Results'!$B$8))),"")</x:f>
        <x:v>73.8374222336176</x:v>
      </x:c>
      <x:c r="L236" t="n">
        <x:f>IF(AND(ISNUMBER('Results'!B7),ISNUMBER('Results'!C7),ISNUMBER('Results'!$B$8),ISNUMBER('Inputs'!$B$6),ISNUMBER('Inputs'!$B$7),ISNUMBER('Inputs'!$B$8),ISNUMBER('Inputs'!$B$9),ISNUMBER('Inputs'!$B$10),ISNUMBER('Inputs'!$B$21),ISNUMBER('Inputs'!$B$24),ISNUMBER('Inputs'!$B$28)),((('Results'!B7*(1+'Inputs'!$B$24)*(0.5*((((236-43)*MAX('Inputs'!$B$33,'Inputs'!$B$29+'Inputs'!$B$31+'Inputs'!$B$32,'Inputs'!$B$30+'Inputs'!$B$31+'Inputs'!$B$32)/1000+'Inputs'!$B$21)+'Inputs'!$B$7)/SQRT((((236-43)*MAX('Inputs'!$B$33,'Inputs'!$B$29+'Inputs'!$B$31+'Inputs'!$B$32,'Inputs'!$B$30+'Inputs'!$B$31+'Inputs'!$B$32)/1000+'Inputs'!$B$21)+'Inputs'!$B$7)^2+('Inputs'!$B$6/2)^2)-(((236-43)*MAX('Inputs'!$B$33,'Inputs'!$B$29+'Inputs'!$B$31+'Inputs'!$B$32,'Inputs'!$B$30+'Inputs'!$B$31+'Inputs'!$B$32)/1000+'Inputs'!$B$21))/SQRT((((236-43)*MAX('Inputs'!$B$33,'Inputs'!$B$29+'Inputs'!$B$31+'Inputs'!$B$32,'Inputs'!$B$30+'Inputs'!$B$31+'Inputs'!$B$32)/1000+'Inputs'!$B$21))^2+('Inputs'!$B$6/2)^2)))-'Results'!C7*(1-'Inputs'!$B$24)*(0.5*((((236-43)*MAX('Inputs'!$B$33,'Inputs'!$B$29+'Inputs'!$B$31+'Inputs'!$B$32,'Inputs'!$B$30+'Inputs'!$B$31+'Inputs'!$B$32)/1000+'Inputs'!$B$21+'Inputs'!$B$7+'Inputs'!$B$10)+'Inputs'!$B$9)/SQRT((((236-43)*MAX('Inputs'!$B$33,'Inputs'!$B$29+'Inputs'!$B$31+'Inputs'!$B$32,'Inputs'!$B$30+'Inputs'!$B$31+'Inputs'!$B$32)/1000+'Inputs'!$B$21+'Inputs'!$B$7+'Inputs'!$B$10)+'Inputs'!$B$9)^2+('Inputs'!$B$8/2)^2)-(((236-43)*MAX('Inputs'!$B$33,'Inputs'!$B$29+'Inputs'!$B$31+'Inputs'!$B$32,'Inputs'!$B$30+'Inputs'!$B$31+'Inputs'!$B$32)/1000+'Inputs'!$B$21+'Inputs'!$B$7+'Inputs'!$B$10))/SQRT((((236-43)*MAX('Inputs'!$B$33,'Inputs'!$B$29+'Inputs'!$B$31+'Inputs'!$B$32,'Inputs'!$B$30+'Inputs'!$B$31+'Inputs'!$B$32)/1000+'Inputs'!$B$21+'Inputs'!$B$7+'Inputs'!$B$10))^2+('Inputs'!$B$8/2)^2))))*'Results'!$B$8)+'Inputs'!$B$28*ABS((('Results'!B7*(1+'Inputs'!$B$24)*(0.5*((((236-43)*MAX('Inputs'!$B$33,'Inputs'!$B$29+'Inputs'!$B$31+'Inputs'!$B$32,'Inputs'!$B$30+'Inputs'!$B$31+'Inputs'!$B$32)/1000+'Inputs'!$B$21)+'Inputs'!$B$7)/SQRT((((236-43)*MAX('Inputs'!$B$33,'Inputs'!$B$29+'Inputs'!$B$31+'Inputs'!$B$32,'Inputs'!$B$30+'Inputs'!$B$31+'Inputs'!$B$32)/1000+'Inputs'!$B$21)+'Inputs'!$B$7)^2+('Inputs'!$B$6/2)^2)-(((236-43)*MAX('Inputs'!$B$33,'Inputs'!$B$29+'Inputs'!$B$31+'Inputs'!$B$32,'Inputs'!$B$30+'Inputs'!$B$31+'Inputs'!$B$32)/1000+'Inputs'!$B$21))/SQRT((((236-43)*MAX('Inputs'!$B$33,'Inputs'!$B$29+'Inputs'!$B$31+'Inputs'!$B$32,'Inputs'!$B$30+'Inputs'!$B$31+'Inputs'!$B$32)/1000+'Inputs'!$B$21))^2+('Inputs'!$B$6/2)^2)))-'Results'!C7*(1-'Inputs'!$B$24)*(0.5*((((236-43)*MAX('Inputs'!$B$33,'Inputs'!$B$29+'Inputs'!$B$31+'Inputs'!$B$32,'Inputs'!$B$30+'Inputs'!$B$31+'Inputs'!$B$32)/1000+'Inputs'!$B$21+'Inputs'!$B$7+'Inputs'!$B$10)+'Inputs'!$B$9)/SQRT((((236-43)*MAX('Inputs'!$B$33,'Inputs'!$B$29+'Inputs'!$B$31+'Inputs'!$B$32,'Inputs'!$B$30+'Inputs'!$B$31+'Inputs'!$B$32)/1000+'Inputs'!$B$21+'Inputs'!$B$7+'Inputs'!$B$10)+'Inputs'!$B$9)^2+('Inputs'!$B$8/2)^2)-(((236-43)*MAX('Inputs'!$B$33,'Inputs'!$B$29+'Inputs'!$B$31+'Inputs'!$B$32,'Inputs'!$B$30+'Inputs'!$B$31+'Inputs'!$B$32)/1000+'Inputs'!$B$21+'Inputs'!$B$7+'Inputs'!$B$10))/SQRT((((236-43)*MAX('Inputs'!$B$33,'Inputs'!$B$29+'Inputs'!$B$31+'Inputs'!$B$32,'Inputs'!$B$30+'Inputs'!$B$31+'Inputs'!$B$32)/1000+'Inputs'!$B$21+'Inputs'!$B$7+'Inputs'!$B$10))^2+('Inputs'!$B$8/2)^2))))*'Results'!$B$8))),"")</x:f>
        <x:v>87.88001711681086</x:v>
      </x:c>
      <x:c r="M236" t="n">
        <x:f>IF(AND(ISNUMBER('Results'!C7),ISNUMBER('Results'!B7),ISNUMBER('Results'!$B$8),ISNUMBER('Inputs'!$B$6),ISNUMBER('Inputs'!$B$7),ISNUMBER('Inputs'!$B$8),ISNUMBER('Inputs'!$B$9),ISNUMBER('Inputs'!$B$10),ISNUMBER('Inputs'!$B$21),ISNUMBER('Inputs'!$B$24),ISNUMBER('Inputs'!$B$28)),(('Results'!C7*(0.5*((((236-43)*MAX('Inputs'!$B$33,'Inputs'!$B$29+'Inputs'!$B$31+'Inputs'!$B$32,'Inputs'!$B$30+'Inputs'!$B$31+'Inputs'!$B$32)/1000+'Inputs'!$B$21)+'Inputs'!$B$9)/SQRT((((236-43)*MAX('Inputs'!$B$33,'Inputs'!$B$29+'Inputs'!$B$31+'Inputs'!$B$32,'Inputs'!$B$30+'Inputs'!$B$31+'Inputs'!$B$32)/1000+'Inputs'!$B$21)+'Inputs'!$B$9)^2+('Inputs'!$B$8/2)^2)-(((236-43)*MAX('Inputs'!$B$33,'Inputs'!$B$29+'Inputs'!$B$31+'Inputs'!$B$32,'Inputs'!$B$30+'Inputs'!$B$31+'Inputs'!$B$32)/1000+'Inputs'!$B$21))/SQRT((((236-43)*MAX('Inputs'!$B$33,'Inputs'!$B$29+'Inputs'!$B$31+'Inputs'!$B$32,'Inputs'!$B$30+'Inputs'!$B$31+'Inputs'!$B$32)/1000+'Inputs'!$B$21))^2+('Inputs'!$B$8/2)^2)))-'Results'!B7*(0.5*((((236-43)*MAX('Inputs'!$B$33,'Inputs'!$B$29+'Inputs'!$B$31+'Inputs'!$B$32,'Inputs'!$B$30+'Inputs'!$B$31+'Inputs'!$B$32)/1000+'Inputs'!$B$21+'Inputs'!$B$9+'Inputs'!$B$10)+'Inputs'!$B$7)/SQRT((((236-43)*MAX('Inputs'!$B$33,'Inputs'!$B$29+'Inputs'!$B$31+'Inputs'!$B$32,'Inputs'!$B$30+'Inputs'!$B$31+'Inputs'!$B$32)/1000+'Inputs'!$B$21+'Inputs'!$B$9+'Inputs'!$B$10)+'Inputs'!$B$7)^2+('Inputs'!$B$6/2)^2)-(((236-43)*MAX('Inputs'!$B$33,'Inputs'!$B$29+'Inputs'!$B$31+'Inputs'!$B$32,'Inputs'!$B$30+'Inputs'!$B$31+'Inputs'!$B$32)/1000+'Inputs'!$B$21+'Inputs'!$B$9+'Inputs'!$B$10))/SQRT((((236-43)*MAX('Inputs'!$B$33,'Inputs'!$B$29+'Inputs'!$B$31+'Inputs'!$B$32,'Inputs'!$B$30+'Inputs'!$B$31+'Inputs'!$B$32)/1000+'Inputs'!$B$21+'Inputs'!$B$9+'Inputs'!$B$10))^2+('Inputs'!$B$6/2)^2))))*'Results'!$B$8),"")</x:f>
        <x:v>77.709606050611</x:v>
      </x:c>
      <x:c r="N236" t="n">
        <x:f>IF(AND(ISNUMBER('Results'!C7),ISNUMBER('Results'!B7),ISNUMBER('Results'!$B$8),ISNUMBER('Inputs'!$B$6),ISNUMBER('Inputs'!$B$7),ISNUMBER('Inputs'!$B$8),ISNUMBER('Inputs'!$B$9),ISNUMBER('Inputs'!$B$10),ISNUMBER('Inputs'!$B$21),ISNUMBER('Inputs'!$B$24),ISNUMBER('Inputs'!$B$28)),((('Results'!C7*(1-'Inputs'!$B$24)*(0.5*((((236-43)*MAX('Inputs'!$B$33,'Inputs'!$B$29+'Inputs'!$B$31+'Inputs'!$B$32,'Inputs'!$B$30+'Inputs'!$B$31+'Inputs'!$B$32)/1000+'Inputs'!$B$21)+'Inputs'!$B$9)/SQRT((((236-43)*MAX('Inputs'!$B$33,'Inputs'!$B$29+'Inputs'!$B$31+'Inputs'!$B$32,'Inputs'!$B$30+'Inputs'!$B$31+'Inputs'!$B$32)/1000+'Inputs'!$B$21)+'Inputs'!$B$9)^2+('Inputs'!$B$8/2)^2)-(((236-43)*MAX('Inputs'!$B$33,'Inputs'!$B$29+'Inputs'!$B$31+'Inputs'!$B$32,'Inputs'!$B$30+'Inputs'!$B$31+'Inputs'!$B$32)/1000+'Inputs'!$B$21))/SQRT((((236-43)*MAX('Inputs'!$B$33,'Inputs'!$B$29+'Inputs'!$B$31+'Inputs'!$B$32,'Inputs'!$B$30+'Inputs'!$B$31+'Inputs'!$B$32)/1000+'Inputs'!$B$21))^2+('Inputs'!$B$8/2)^2)))-'Results'!B7*(1+'Inputs'!$B$24)*(0.5*((((236-43)*MAX('Inputs'!$B$33,'Inputs'!$B$29+'Inputs'!$B$31+'Inputs'!$B$32,'Inputs'!$B$30+'Inputs'!$B$31+'Inputs'!$B$32)/1000+'Inputs'!$B$21+'Inputs'!$B$9+'Inputs'!$B$10)+'Inputs'!$B$7)/SQRT((((236-43)*MAX('Inputs'!$B$33,'Inputs'!$B$29+'Inputs'!$B$31+'Inputs'!$B$32,'Inputs'!$B$30+'Inputs'!$B$31+'Inputs'!$B$32)/1000+'Inputs'!$B$21+'Inputs'!$B$9+'Inputs'!$B$10)+'Inputs'!$B$7)^2+('Inputs'!$B$6/2)^2)-(((236-43)*MAX('Inputs'!$B$33,'Inputs'!$B$29+'Inputs'!$B$31+'Inputs'!$B$32,'Inputs'!$B$30+'Inputs'!$B$31+'Inputs'!$B$32)/1000+'Inputs'!$B$21+'Inputs'!$B$9+'Inputs'!$B$10))/SQRT((((236-43)*MAX('Inputs'!$B$33,'Inputs'!$B$29+'Inputs'!$B$31+'Inputs'!$B$32,'Inputs'!$B$30+'Inputs'!$B$31+'Inputs'!$B$32)/1000+'Inputs'!$B$21+'Inputs'!$B$9+'Inputs'!$B$10))^2+('Inputs'!$B$6/2)^2))))*'Results'!$B$8)-'Inputs'!$B$28*ABS((('Results'!C7*(1-'Inputs'!$B$24)*(0.5*((((236-43)*MAX('Inputs'!$B$33,'Inputs'!$B$29+'Inputs'!$B$31+'Inputs'!$B$32,'Inputs'!$B$30+'Inputs'!$B$31+'Inputs'!$B$32)/1000+'Inputs'!$B$21)+'Inputs'!$B$9)/SQRT((((236-43)*MAX('Inputs'!$B$33,'Inputs'!$B$29+'Inputs'!$B$31+'Inputs'!$B$32,'Inputs'!$B$30+'Inputs'!$B$31+'Inputs'!$B$32)/1000+'Inputs'!$B$21)+'Inputs'!$B$9)^2+('Inputs'!$B$8/2)^2)-(((236-43)*MAX('Inputs'!$B$33,'Inputs'!$B$29+'Inputs'!$B$31+'Inputs'!$B$32,'Inputs'!$B$30+'Inputs'!$B$31+'Inputs'!$B$32)/1000+'Inputs'!$B$21))/SQRT((((236-43)*MAX('Inputs'!$B$33,'Inputs'!$B$29+'Inputs'!$B$31+'Inputs'!$B$32,'Inputs'!$B$30+'Inputs'!$B$31+'Inputs'!$B$32)/1000+'Inputs'!$B$21))^2+('Inputs'!$B$8/2)^2)))-'Results'!B7*(1+'Inputs'!$B$24)*(0.5*((((236-43)*MAX('Inputs'!$B$33,'Inputs'!$B$29+'Inputs'!$B$31+'Inputs'!$B$32,'Inputs'!$B$30+'Inputs'!$B$31+'Inputs'!$B$32)/1000+'Inputs'!$B$21+'Inputs'!$B$9+'Inputs'!$B$10)+'Inputs'!$B$7)/SQRT((((236-43)*MAX('Inputs'!$B$33,'Inputs'!$B$29+'Inputs'!$B$31+'Inputs'!$B$32,'Inputs'!$B$30+'Inputs'!$B$31+'Inputs'!$B$32)/1000+'Inputs'!$B$21+'Inputs'!$B$9+'Inputs'!$B$10)+'Inputs'!$B$7)^2+('Inputs'!$B$6/2)^2)-(((236-43)*MAX('Inputs'!$B$33,'Inputs'!$B$29+'Inputs'!$B$31+'Inputs'!$B$32,'Inputs'!$B$30+'Inputs'!$B$31+'Inputs'!$B$32)/1000+'Inputs'!$B$21+'Inputs'!$B$9+'Inputs'!$B$10))/SQRT((((236-43)*MAX('Inputs'!$B$33,'Inputs'!$B$29+'Inputs'!$B$31+'Inputs'!$B$32,'Inputs'!$B$30+'Inputs'!$B$31+'Inputs'!$B$32)/1000+'Inputs'!$B$21+'Inputs'!$B$9+'Inputs'!$B$10))^2+('Inputs'!$B$6/2)^2))))*'Results'!$B$8))),"")</x:f>
        <x:v>71.01799467940336</x:v>
      </x:c>
      <x:c r="O236" t="n">
        <x:f>IF(AND(ISNUMBER('Results'!C7),ISNUMBER('Results'!B7),ISNUMBER('Results'!$B$8),ISNUMBER('Inputs'!$B$6),ISNUMBER('Inputs'!$B$7),ISNUMBER('Inputs'!$B$8),ISNUMBER('Inputs'!$B$9),ISNUMBER('Inputs'!$B$10),ISNUMBER('Inputs'!$B$21),ISNUMBER('Inputs'!$B$24),ISNUMBER('Inputs'!$B$28)),((('Results'!C7*(1+'Inputs'!$B$24)*(0.5*((((236-43)*MAX('Inputs'!$B$33,'Inputs'!$B$29+'Inputs'!$B$31+'Inputs'!$B$32,'Inputs'!$B$30+'Inputs'!$B$31+'Inputs'!$B$32)/1000+'Inputs'!$B$21)+'Inputs'!$B$9)/SQRT((((236-43)*MAX('Inputs'!$B$33,'Inputs'!$B$29+'Inputs'!$B$31+'Inputs'!$B$32,'Inputs'!$B$30+'Inputs'!$B$31+'Inputs'!$B$32)/1000+'Inputs'!$B$21)+'Inputs'!$B$9)^2+('Inputs'!$B$8/2)^2)-(((236-43)*MAX('Inputs'!$B$33,'Inputs'!$B$29+'Inputs'!$B$31+'Inputs'!$B$32,'Inputs'!$B$30+'Inputs'!$B$31+'Inputs'!$B$32)/1000+'Inputs'!$B$21))/SQRT((((236-43)*MAX('Inputs'!$B$33,'Inputs'!$B$29+'Inputs'!$B$31+'Inputs'!$B$32,'Inputs'!$B$30+'Inputs'!$B$31+'Inputs'!$B$32)/1000+'Inputs'!$B$21))^2+('Inputs'!$B$8/2)^2)))-'Results'!B7*(1-'Inputs'!$B$24)*(0.5*((((236-43)*MAX('Inputs'!$B$33,'Inputs'!$B$29+'Inputs'!$B$31+'Inputs'!$B$32,'Inputs'!$B$30+'Inputs'!$B$31+'Inputs'!$B$32)/1000+'Inputs'!$B$21+'Inputs'!$B$9+'Inputs'!$B$10)+'Inputs'!$B$7)/SQRT((((236-43)*MAX('Inputs'!$B$33,'Inputs'!$B$29+'Inputs'!$B$31+'Inputs'!$B$32,'Inputs'!$B$30+'Inputs'!$B$31+'Inputs'!$B$32)/1000+'Inputs'!$B$21+'Inputs'!$B$9+'Inputs'!$B$10)+'Inputs'!$B$7)^2+('Inputs'!$B$6/2)^2)-(((236-43)*MAX('Inputs'!$B$33,'Inputs'!$B$29+'Inputs'!$B$31+'Inputs'!$B$32,'Inputs'!$B$30+'Inputs'!$B$31+'Inputs'!$B$32)/1000+'Inputs'!$B$21+'Inputs'!$B$9+'Inputs'!$B$10))/SQRT((((236-43)*MAX('Inputs'!$B$33,'Inputs'!$B$29+'Inputs'!$B$31+'Inputs'!$B$32,'Inputs'!$B$30+'Inputs'!$B$31+'Inputs'!$B$32)/1000+'Inputs'!$B$21+'Inputs'!$B$9+'Inputs'!$B$10))^2+('Inputs'!$B$6/2)^2))))*'Results'!$B$8)+'Inputs'!$B$28*ABS((('Results'!C7*(1+'Inputs'!$B$24)*(0.5*((((236-43)*MAX('Inputs'!$B$33,'Inputs'!$B$29+'Inputs'!$B$31+'Inputs'!$B$32,'Inputs'!$B$30+'Inputs'!$B$31+'Inputs'!$B$32)/1000+'Inputs'!$B$21)+'Inputs'!$B$9)/SQRT((((236-43)*MAX('Inputs'!$B$33,'Inputs'!$B$29+'Inputs'!$B$31+'Inputs'!$B$32,'Inputs'!$B$30+'Inputs'!$B$31+'Inputs'!$B$32)/1000+'Inputs'!$B$21)+'Inputs'!$B$9)^2+('Inputs'!$B$8/2)^2)-(((236-43)*MAX('Inputs'!$B$33,'Inputs'!$B$29+'Inputs'!$B$31+'Inputs'!$B$32,'Inputs'!$B$30+'Inputs'!$B$31+'Inputs'!$B$32)/1000+'Inputs'!$B$21))/SQRT((((236-43)*MAX('Inputs'!$B$33,'Inputs'!$B$29+'Inputs'!$B$31+'Inputs'!$B$32,'Inputs'!$B$30+'Inputs'!$B$31+'Inputs'!$B$32)/1000+'Inputs'!$B$21))^2+('Inputs'!$B$8/2)^2)))-'Results'!B7*(1-'Inputs'!$B$24)*(0.5*((((236-43)*MAX('Inputs'!$B$33,'Inputs'!$B$29+'Inputs'!$B$31+'Inputs'!$B$32,'Inputs'!$B$30+'Inputs'!$B$31+'Inputs'!$B$32)/1000+'Inputs'!$B$21+'Inputs'!$B$9+'Inputs'!$B$10)+'Inputs'!$B$7)/SQRT((((236-43)*MAX('Inputs'!$B$33,'Inputs'!$B$29+'Inputs'!$B$31+'Inputs'!$B$32,'Inputs'!$B$30+'Inputs'!$B$31+'Inputs'!$B$32)/1000+'Inputs'!$B$21+'Inputs'!$B$9+'Inputs'!$B$10)+'Inputs'!$B$7)^2+('Inputs'!$B$6/2)^2)-(((236-43)*MAX('Inputs'!$B$33,'Inputs'!$B$29+'Inputs'!$B$31+'Inputs'!$B$32,'Inputs'!$B$30+'Inputs'!$B$31+'Inputs'!$B$32)/1000+'Inputs'!$B$21+'Inputs'!$B$9+'Inputs'!$B$10))/SQRT((((236-43)*MAX('Inputs'!$B$33,'Inputs'!$B$29+'Inputs'!$B$31+'Inputs'!$B$32,'Inputs'!$B$30+'Inputs'!$B$31+'Inputs'!$B$32)/1000+'Inputs'!$B$21+'Inputs'!$B$9+'Inputs'!$B$10))^2+('Inputs'!$B$6/2)^2))))*'Results'!$B$8))),"")</x:f>
        <x:v>84.69659963957413</x:v>
      </x:c>
      <x:c r="P236" t="n">
        <x:f>IF(AND(MAX(J236,J235)&gt;0,J236&gt;J235+0.00000001),1,0)</x:f>
        <x:v>0</x:v>
      </x:c>
      <x:c r="Q236" t="n">
        <x:f>IF(AND(MAX(K236,K235)&gt;0,K236&gt;K235+0.00000001),1,0)</x:f>
        <x:v>0</x:v>
      </x:c>
      <x:c r="R236" t="n">
        <x:f>IF(AND(MAX(L236,L235)&gt;0,L236&gt;L235+0.00000001),1,0)</x:f>
        <x:v>0</x:v>
      </x:c>
      <x:c r="S236" t="n">
        <x:f>IF(AND(MAX(M236,M235)&gt;0,M236&gt;M235+0.00000001),1,0)</x:f>
        <x:v>0</x:v>
      </x:c>
      <x:c r="T236" t="n">
        <x:f>IF(AND(MAX(N236,N235)&gt;0,N236&gt;N235+0.00000001),1,0)</x:f>
        <x:v>0</x:v>
      </x:c>
      <x:c r="U236" t="n">
        <x:f>IF(AND(MAX(O236,O235)&gt;0,O236&gt;O235+0.00000001),1,0)</x:f>
        <x:v>0</x:v>
      </x:c>
    </x:row>
    <x:row r="237">
      <x:c r="J237" t="n">
        <x:f>IF(AND(ISNUMBER('Results'!B7),ISNUMBER('Results'!C7),ISNUMBER('Results'!$B$8),ISNUMBER('Inputs'!$B$6),ISNUMBER('Inputs'!$B$7),ISNUMBER('Inputs'!$B$8),ISNUMBER('Inputs'!$B$9),ISNUMBER('Inputs'!$B$10),ISNUMBER('Inputs'!$B$21),ISNUMBER('Inputs'!$B$24),ISNUMBER('Inputs'!$B$28)),(('Results'!B7*(0.5*((((237-43)*MAX('Inputs'!$B$33,'Inputs'!$B$29+'Inputs'!$B$31+'Inputs'!$B$32,'Inputs'!$B$30+'Inputs'!$B$31+'Inputs'!$B$32)/1000+'Inputs'!$B$21)+'Inputs'!$B$7)/SQRT((((237-43)*MAX('Inputs'!$B$33,'Inputs'!$B$29+'Inputs'!$B$31+'Inputs'!$B$32,'Inputs'!$B$30+'Inputs'!$B$31+'Inputs'!$B$32)/1000+'Inputs'!$B$21)+'Inputs'!$B$7)^2+('Inputs'!$B$6/2)^2)-(((237-43)*MAX('Inputs'!$B$33,'Inputs'!$B$29+'Inputs'!$B$31+'Inputs'!$B$32,'Inputs'!$B$30+'Inputs'!$B$31+'Inputs'!$B$32)/1000+'Inputs'!$B$21))/SQRT((((237-43)*MAX('Inputs'!$B$33,'Inputs'!$B$29+'Inputs'!$B$31+'Inputs'!$B$32,'Inputs'!$B$30+'Inputs'!$B$31+'Inputs'!$B$32)/1000+'Inputs'!$B$21))^2+('Inputs'!$B$6/2)^2)))-'Results'!C7*(0.5*((((237-43)*MAX('Inputs'!$B$33,'Inputs'!$B$29+'Inputs'!$B$31+'Inputs'!$B$32,'Inputs'!$B$30+'Inputs'!$B$31+'Inputs'!$B$32)/1000+'Inputs'!$B$21+'Inputs'!$B$7+'Inputs'!$B$10)+'Inputs'!$B$9)/SQRT((((237-43)*MAX('Inputs'!$B$33,'Inputs'!$B$29+'Inputs'!$B$31+'Inputs'!$B$32,'Inputs'!$B$30+'Inputs'!$B$31+'Inputs'!$B$32)/1000+'Inputs'!$B$21+'Inputs'!$B$7+'Inputs'!$B$10)+'Inputs'!$B$9)^2+('Inputs'!$B$8/2)^2)-(((237-43)*MAX('Inputs'!$B$33,'Inputs'!$B$29+'Inputs'!$B$31+'Inputs'!$B$32,'Inputs'!$B$30+'Inputs'!$B$31+'Inputs'!$B$32)/1000+'Inputs'!$B$21+'Inputs'!$B$7+'Inputs'!$B$10))/SQRT((((237-43)*MAX('Inputs'!$B$33,'Inputs'!$B$29+'Inputs'!$B$31+'Inputs'!$B$32,'Inputs'!$B$30+'Inputs'!$B$31+'Inputs'!$B$32)/1000+'Inputs'!$B$21+'Inputs'!$B$7+'Inputs'!$B$10))^2+('Inputs'!$B$8/2)^2))))*'Results'!$B$8),"")</x:f>
        <x:v>79.5839226233212</x:v>
      </x:c>
      <x:c r="K237" t="n">
        <x:f>IF(AND(ISNUMBER('Results'!B7),ISNUMBER('Results'!C7),ISNUMBER('Results'!$B$8),ISNUMBER('Inputs'!$B$6),ISNUMBER('Inputs'!$B$7),ISNUMBER('Inputs'!$B$8),ISNUMBER('Inputs'!$B$9),ISNUMBER('Inputs'!$B$10),ISNUMBER('Inputs'!$B$21),ISNUMBER('Inputs'!$B$24),ISNUMBER('Inputs'!$B$28)),((('Results'!B7*(1-'Inputs'!$B$24)*(0.5*((((237-43)*MAX('Inputs'!$B$33,'Inputs'!$B$29+'Inputs'!$B$31+'Inputs'!$B$32,'Inputs'!$B$30+'Inputs'!$B$31+'Inputs'!$B$32)/1000+'Inputs'!$B$21)+'Inputs'!$B$7)/SQRT((((237-43)*MAX('Inputs'!$B$33,'Inputs'!$B$29+'Inputs'!$B$31+'Inputs'!$B$32,'Inputs'!$B$30+'Inputs'!$B$31+'Inputs'!$B$32)/1000+'Inputs'!$B$21)+'Inputs'!$B$7)^2+('Inputs'!$B$6/2)^2)-(((237-43)*MAX('Inputs'!$B$33,'Inputs'!$B$29+'Inputs'!$B$31+'Inputs'!$B$32,'Inputs'!$B$30+'Inputs'!$B$31+'Inputs'!$B$32)/1000+'Inputs'!$B$21))/SQRT((((237-43)*MAX('Inputs'!$B$33,'Inputs'!$B$29+'Inputs'!$B$31+'Inputs'!$B$32,'Inputs'!$B$30+'Inputs'!$B$31+'Inputs'!$B$32)/1000+'Inputs'!$B$21))^2+('Inputs'!$B$6/2)^2)))-'Results'!C7*(1+'Inputs'!$B$24)*(0.5*((((237-43)*MAX('Inputs'!$B$33,'Inputs'!$B$29+'Inputs'!$B$31+'Inputs'!$B$32,'Inputs'!$B$30+'Inputs'!$B$31+'Inputs'!$B$32)/1000+'Inputs'!$B$21+'Inputs'!$B$7+'Inputs'!$B$10)+'Inputs'!$B$9)/SQRT((((237-43)*MAX('Inputs'!$B$33,'Inputs'!$B$29+'Inputs'!$B$31+'Inputs'!$B$32,'Inputs'!$B$30+'Inputs'!$B$31+'Inputs'!$B$32)/1000+'Inputs'!$B$21+'Inputs'!$B$7+'Inputs'!$B$10)+'Inputs'!$B$9)^2+('Inputs'!$B$8/2)^2)-(((237-43)*MAX('Inputs'!$B$33,'Inputs'!$B$29+'Inputs'!$B$31+'Inputs'!$B$32,'Inputs'!$B$30+'Inputs'!$B$31+'Inputs'!$B$32)/1000+'Inputs'!$B$21+'Inputs'!$B$7+'Inputs'!$B$10))/SQRT((((237-43)*MAX('Inputs'!$B$33,'Inputs'!$B$29+'Inputs'!$B$31+'Inputs'!$B$32,'Inputs'!$B$30+'Inputs'!$B$31+'Inputs'!$B$32)/1000+'Inputs'!$B$21+'Inputs'!$B$7+'Inputs'!$B$10))^2+('Inputs'!$B$8/2)^2))))*'Results'!$B$8)-'Inputs'!$B$28*ABS((('Results'!B7*(1-'Inputs'!$B$24)*(0.5*((((237-43)*MAX('Inputs'!$B$33,'Inputs'!$B$29+'Inputs'!$B$31+'Inputs'!$B$32,'Inputs'!$B$30+'Inputs'!$B$31+'Inputs'!$B$32)/1000+'Inputs'!$B$21)+'Inputs'!$B$7)/SQRT((((237-43)*MAX('Inputs'!$B$33,'Inputs'!$B$29+'Inputs'!$B$31+'Inputs'!$B$32,'Inputs'!$B$30+'Inputs'!$B$31+'Inputs'!$B$32)/1000+'Inputs'!$B$21)+'Inputs'!$B$7)^2+('Inputs'!$B$6/2)^2)-(((237-43)*MAX('Inputs'!$B$33,'Inputs'!$B$29+'Inputs'!$B$31+'Inputs'!$B$32,'Inputs'!$B$30+'Inputs'!$B$31+'Inputs'!$B$32)/1000+'Inputs'!$B$21))/SQRT((((237-43)*MAX('Inputs'!$B$33,'Inputs'!$B$29+'Inputs'!$B$31+'Inputs'!$B$32,'Inputs'!$B$30+'Inputs'!$B$31+'Inputs'!$B$32)/1000+'Inputs'!$B$21))^2+('Inputs'!$B$6/2)^2)))-'Results'!C7*(1+'Inputs'!$B$24)*(0.5*((((237-43)*MAX('Inputs'!$B$33,'Inputs'!$B$29+'Inputs'!$B$31+'Inputs'!$B$32,'Inputs'!$B$30+'Inputs'!$B$31+'Inputs'!$B$32)/1000+'Inputs'!$B$21+'Inputs'!$B$7+'Inputs'!$B$10)+'Inputs'!$B$9)/SQRT((((237-43)*MAX('Inputs'!$B$33,'Inputs'!$B$29+'Inputs'!$B$31+'Inputs'!$B$32,'Inputs'!$B$30+'Inputs'!$B$31+'Inputs'!$B$32)/1000+'Inputs'!$B$21+'Inputs'!$B$7+'Inputs'!$B$10)+'Inputs'!$B$9)^2+('Inputs'!$B$8/2)^2)-(((237-43)*MAX('Inputs'!$B$33,'Inputs'!$B$29+'Inputs'!$B$31+'Inputs'!$B$32,'Inputs'!$B$30+'Inputs'!$B$31+'Inputs'!$B$32)/1000+'Inputs'!$B$21+'Inputs'!$B$7+'Inputs'!$B$10))/SQRT((((237-43)*MAX('Inputs'!$B$33,'Inputs'!$B$29+'Inputs'!$B$31+'Inputs'!$B$32,'Inputs'!$B$30+'Inputs'!$B$31+'Inputs'!$B$32)/1000+'Inputs'!$B$21+'Inputs'!$B$7+'Inputs'!$B$10))^2+('Inputs'!$B$8/2)^2))))*'Results'!$B$8))),"")</x:f>
        <x:v>72.80083021791371</x:v>
      </x:c>
      <x:c r="L237" t="n">
        <x:f>IF(AND(ISNUMBER('Results'!B7),ISNUMBER('Results'!C7),ISNUMBER('Results'!$B$8),ISNUMBER('Inputs'!$B$6),ISNUMBER('Inputs'!$B$7),ISNUMBER('Inputs'!$B$8),ISNUMBER('Inputs'!$B$9),ISNUMBER('Inputs'!$B$10),ISNUMBER('Inputs'!$B$21),ISNUMBER('Inputs'!$B$24),ISNUMBER('Inputs'!$B$28)),((('Results'!B7*(1+'Inputs'!$B$24)*(0.5*((((237-43)*MAX('Inputs'!$B$33,'Inputs'!$B$29+'Inputs'!$B$31+'Inputs'!$B$32,'Inputs'!$B$30+'Inputs'!$B$31+'Inputs'!$B$32)/1000+'Inputs'!$B$21)+'Inputs'!$B$7)/SQRT((((237-43)*MAX('Inputs'!$B$33,'Inputs'!$B$29+'Inputs'!$B$31+'Inputs'!$B$32,'Inputs'!$B$30+'Inputs'!$B$31+'Inputs'!$B$32)/1000+'Inputs'!$B$21)+'Inputs'!$B$7)^2+('Inputs'!$B$6/2)^2)-(((237-43)*MAX('Inputs'!$B$33,'Inputs'!$B$29+'Inputs'!$B$31+'Inputs'!$B$32,'Inputs'!$B$30+'Inputs'!$B$31+'Inputs'!$B$32)/1000+'Inputs'!$B$21))/SQRT((((237-43)*MAX('Inputs'!$B$33,'Inputs'!$B$29+'Inputs'!$B$31+'Inputs'!$B$32,'Inputs'!$B$30+'Inputs'!$B$31+'Inputs'!$B$32)/1000+'Inputs'!$B$21))^2+('Inputs'!$B$6/2)^2)))-'Results'!C7*(1-'Inputs'!$B$24)*(0.5*((((237-43)*MAX('Inputs'!$B$33,'Inputs'!$B$29+'Inputs'!$B$31+'Inputs'!$B$32,'Inputs'!$B$30+'Inputs'!$B$31+'Inputs'!$B$32)/1000+'Inputs'!$B$21+'Inputs'!$B$7+'Inputs'!$B$10)+'Inputs'!$B$9)/SQRT((((237-43)*MAX('Inputs'!$B$33,'Inputs'!$B$29+'Inputs'!$B$31+'Inputs'!$B$32,'Inputs'!$B$30+'Inputs'!$B$31+'Inputs'!$B$32)/1000+'Inputs'!$B$21+'Inputs'!$B$7+'Inputs'!$B$10)+'Inputs'!$B$9)^2+('Inputs'!$B$8/2)^2)-(((237-43)*MAX('Inputs'!$B$33,'Inputs'!$B$29+'Inputs'!$B$31+'Inputs'!$B$32,'Inputs'!$B$30+'Inputs'!$B$31+'Inputs'!$B$32)/1000+'Inputs'!$B$21+'Inputs'!$B$7+'Inputs'!$B$10))/SQRT((((237-43)*MAX('Inputs'!$B$33,'Inputs'!$B$29+'Inputs'!$B$31+'Inputs'!$B$32,'Inputs'!$B$30+'Inputs'!$B$31+'Inputs'!$B$32)/1000+'Inputs'!$B$21+'Inputs'!$B$7+'Inputs'!$B$10))^2+('Inputs'!$B$8/2)^2))))*'Results'!$B$8)+'Inputs'!$B$28*ABS((('Results'!B7*(1+'Inputs'!$B$24)*(0.5*((((237-43)*MAX('Inputs'!$B$33,'Inputs'!$B$29+'Inputs'!$B$31+'Inputs'!$B$32,'Inputs'!$B$30+'Inputs'!$B$31+'Inputs'!$B$32)/1000+'Inputs'!$B$21)+'Inputs'!$B$7)/SQRT((((237-43)*MAX('Inputs'!$B$33,'Inputs'!$B$29+'Inputs'!$B$31+'Inputs'!$B$32,'Inputs'!$B$30+'Inputs'!$B$31+'Inputs'!$B$32)/1000+'Inputs'!$B$21)+'Inputs'!$B$7)^2+('Inputs'!$B$6/2)^2)-(((237-43)*MAX('Inputs'!$B$33,'Inputs'!$B$29+'Inputs'!$B$31+'Inputs'!$B$32,'Inputs'!$B$30+'Inputs'!$B$31+'Inputs'!$B$32)/1000+'Inputs'!$B$21))/SQRT((((237-43)*MAX('Inputs'!$B$33,'Inputs'!$B$29+'Inputs'!$B$31+'Inputs'!$B$32,'Inputs'!$B$30+'Inputs'!$B$31+'Inputs'!$B$32)/1000+'Inputs'!$B$21))^2+('Inputs'!$B$6/2)^2)))-'Results'!C7*(1-'Inputs'!$B$24)*(0.5*((((237-43)*MAX('Inputs'!$B$33,'Inputs'!$B$29+'Inputs'!$B$31+'Inputs'!$B$32,'Inputs'!$B$30+'Inputs'!$B$31+'Inputs'!$B$32)/1000+'Inputs'!$B$21+'Inputs'!$B$7+'Inputs'!$B$10)+'Inputs'!$B$9)/SQRT((((237-43)*MAX('Inputs'!$B$33,'Inputs'!$B$29+'Inputs'!$B$31+'Inputs'!$B$32,'Inputs'!$B$30+'Inputs'!$B$31+'Inputs'!$B$32)/1000+'Inputs'!$B$21+'Inputs'!$B$7+'Inputs'!$B$10)+'Inputs'!$B$9)^2+('Inputs'!$B$8/2)^2)-(((237-43)*MAX('Inputs'!$B$33,'Inputs'!$B$29+'Inputs'!$B$31+'Inputs'!$B$32,'Inputs'!$B$30+'Inputs'!$B$31+'Inputs'!$B$32)/1000+'Inputs'!$B$21+'Inputs'!$B$7+'Inputs'!$B$10))/SQRT((((237-43)*MAX('Inputs'!$B$33,'Inputs'!$B$29+'Inputs'!$B$31+'Inputs'!$B$32,'Inputs'!$B$30+'Inputs'!$B$31+'Inputs'!$B$32)/1000+'Inputs'!$B$21+'Inputs'!$B$7+'Inputs'!$B$10))^2+('Inputs'!$B$8/2)^2))))*'Results'!$B$8))),"")</x:f>
        <x:v>86.66216200496464</x:v>
      </x:c>
      <x:c r="M237" t="n">
        <x:f>IF(AND(ISNUMBER('Results'!C7),ISNUMBER('Results'!B7),ISNUMBER('Results'!$B$8),ISNUMBER('Inputs'!$B$6),ISNUMBER('Inputs'!$B$7),ISNUMBER('Inputs'!$B$8),ISNUMBER('Inputs'!$B$9),ISNUMBER('Inputs'!$B$10),ISNUMBER('Inputs'!$B$21),ISNUMBER('Inputs'!$B$24),ISNUMBER('Inputs'!$B$28)),(('Results'!C7*(0.5*((((237-43)*MAX('Inputs'!$B$33,'Inputs'!$B$29+'Inputs'!$B$31+'Inputs'!$B$32,'Inputs'!$B$30+'Inputs'!$B$31+'Inputs'!$B$32)/1000+'Inputs'!$B$21)+'Inputs'!$B$9)/SQRT((((237-43)*MAX('Inputs'!$B$33,'Inputs'!$B$29+'Inputs'!$B$31+'Inputs'!$B$32,'Inputs'!$B$30+'Inputs'!$B$31+'Inputs'!$B$32)/1000+'Inputs'!$B$21)+'Inputs'!$B$9)^2+('Inputs'!$B$8/2)^2)-(((237-43)*MAX('Inputs'!$B$33,'Inputs'!$B$29+'Inputs'!$B$31+'Inputs'!$B$32,'Inputs'!$B$30+'Inputs'!$B$31+'Inputs'!$B$32)/1000+'Inputs'!$B$21))/SQRT((((237-43)*MAX('Inputs'!$B$33,'Inputs'!$B$29+'Inputs'!$B$31+'Inputs'!$B$32,'Inputs'!$B$30+'Inputs'!$B$31+'Inputs'!$B$32)/1000+'Inputs'!$B$21))^2+('Inputs'!$B$8/2)^2)))-'Results'!B7*(0.5*((((237-43)*MAX('Inputs'!$B$33,'Inputs'!$B$29+'Inputs'!$B$31+'Inputs'!$B$32,'Inputs'!$B$30+'Inputs'!$B$31+'Inputs'!$B$32)/1000+'Inputs'!$B$21+'Inputs'!$B$9+'Inputs'!$B$10)+'Inputs'!$B$7)/SQRT((((237-43)*MAX('Inputs'!$B$33,'Inputs'!$B$29+'Inputs'!$B$31+'Inputs'!$B$32,'Inputs'!$B$30+'Inputs'!$B$31+'Inputs'!$B$32)/1000+'Inputs'!$B$21+'Inputs'!$B$9+'Inputs'!$B$10)+'Inputs'!$B$7)^2+('Inputs'!$B$6/2)^2)-(((237-43)*MAX('Inputs'!$B$33,'Inputs'!$B$29+'Inputs'!$B$31+'Inputs'!$B$32,'Inputs'!$B$30+'Inputs'!$B$31+'Inputs'!$B$32)/1000+'Inputs'!$B$21+'Inputs'!$B$9+'Inputs'!$B$10))/SQRT((((237-43)*MAX('Inputs'!$B$33,'Inputs'!$B$29+'Inputs'!$B$31+'Inputs'!$B$32,'Inputs'!$B$30+'Inputs'!$B$31+'Inputs'!$B$32)/1000+'Inputs'!$B$21+'Inputs'!$B$9+'Inputs'!$B$10))^2+('Inputs'!$B$6/2)^2))))*'Results'!$B$8),"")</x:f>
        <x:v>76.6185774394323</x:v>
      </x:c>
      <x:c r="N237" t="n">
        <x:f>IF(AND(ISNUMBER('Results'!C7),ISNUMBER('Results'!B7),ISNUMBER('Results'!$B$8),ISNUMBER('Inputs'!$B$6),ISNUMBER('Inputs'!$B$7),ISNUMBER('Inputs'!$B$8),ISNUMBER('Inputs'!$B$9),ISNUMBER('Inputs'!$B$10),ISNUMBER('Inputs'!$B$21),ISNUMBER('Inputs'!$B$24),ISNUMBER('Inputs'!$B$28)),((('Results'!C7*(1-'Inputs'!$B$24)*(0.5*((((237-43)*MAX('Inputs'!$B$33,'Inputs'!$B$29+'Inputs'!$B$31+'Inputs'!$B$32,'Inputs'!$B$30+'Inputs'!$B$31+'Inputs'!$B$32)/1000+'Inputs'!$B$21)+'Inputs'!$B$9)/SQRT((((237-43)*MAX('Inputs'!$B$33,'Inputs'!$B$29+'Inputs'!$B$31+'Inputs'!$B$32,'Inputs'!$B$30+'Inputs'!$B$31+'Inputs'!$B$32)/1000+'Inputs'!$B$21)+'Inputs'!$B$9)^2+('Inputs'!$B$8/2)^2)-(((237-43)*MAX('Inputs'!$B$33,'Inputs'!$B$29+'Inputs'!$B$31+'Inputs'!$B$32,'Inputs'!$B$30+'Inputs'!$B$31+'Inputs'!$B$32)/1000+'Inputs'!$B$21))/SQRT((((237-43)*MAX('Inputs'!$B$33,'Inputs'!$B$29+'Inputs'!$B$31+'Inputs'!$B$32,'Inputs'!$B$30+'Inputs'!$B$31+'Inputs'!$B$32)/1000+'Inputs'!$B$21))^2+('Inputs'!$B$8/2)^2)))-'Results'!B7*(1+'Inputs'!$B$24)*(0.5*((((237-43)*MAX('Inputs'!$B$33,'Inputs'!$B$29+'Inputs'!$B$31+'Inputs'!$B$32,'Inputs'!$B$30+'Inputs'!$B$31+'Inputs'!$B$32)/1000+'Inputs'!$B$21+'Inputs'!$B$9+'Inputs'!$B$10)+'Inputs'!$B$7)/SQRT((((237-43)*MAX('Inputs'!$B$33,'Inputs'!$B$29+'Inputs'!$B$31+'Inputs'!$B$32,'Inputs'!$B$30+'Inputs'!$B$31+'Inputs'!$B$32)/1000+'Inputs'!$B$21+'Inputs'!$B$9+'Inputs'!$B$10)+'Inputs'!$B$7)^2+('Inputs'!$B$6/2)^2)-(((237-43)*MAX('Inputs'!$B$33,'Inputs'!$B$29+'Inputs'!$B$31+'Inputs'!$B$32,'Inputs'!$B$30+'Inputs'!$B$31+'Inputs'!$B$32)/1000+'Inputs'!$B$21+'Inputs'!$B$9+'Inputs'!$B$10))/SQRT((((237-43)*MAX('Inputs'!$B$33,'Inputs'!$B$29+'Inputs'!$B$31+'Inputs'!$B$32,'Inputs'!$B$30+'Inputs'!$B$31+'Inputs'!$B$32)/1000+'Inputs'!$B$21+'Inputs'!$B$9+'Inputs'!$B$10))^2+('Inputs'!$B$6/2)^2))))*'Results'!$B$8)-'Inputs'!$B$28*ABS((('Results'!C7*(1-'Inputs'!$B$24)*(0.5*((((237-43)*MAX('Inputs'!$B$33,'Inputs'!$B$29+'Inputs'!$B$31+'Inputs'!$B$32,'Inputs'!$B$30+'Inputs'!$B$31+'Inputs'!$B$32)/1000+'Inputs'!$B$21)+'Inputs'!$B$9)/SQRT((((237-43)*MAX('Inputs'!$B$33,'Inputs'!$B$29+'Inputs'!$B$31+'Inputs'!$B$32,'Inputs'!$B$30+'Inputs'!$B$31+'Inputs'!$B$32)/1000+'Inputs'!$B$21)+'Inputs'!$B$9)^2+('Inputs'!$B$8/2)^2)-(((237-43)*MAX('Inputs'!$B$33,'Inputs'!$B$29+'Inputs'!$B$31+'Inputs'!$B$32,'Inputs'!$B$30+'Inputs'!$B$31+'Inputs'!$B$32)/1000+'Inputs'!$B$21))/SQRT((((237-43)*MAX('Inputs'!$B$33,'Inputs'!$B$29+'Inputs'!$B$31+'Inputs'!$B$32,'Inputs'!$B$30+'Inputs'!$B$31+'Inputs'!$B$32)/1000+'Inputs'!$B$21))^2+('Inputs'!$B$8/2)^2)))-'Results'!B7*(1+'Inputs'!$B$24)*(0.5*((((237-43)*MAX('Inputs'!$B$33,'Inputs'!$B$29+'Inputs'!$B$31+'Inputs'!$B$32,'Inputs'!$B$30+'Inputs'!$B$31+'Inputs'!$B$32)/1000+'Inputs'!$B$21+'Inputs'!$B$9+'Inputs'!$B$10)+'Inputs'!$B$7)/SQRT((((237-43)*MAX('Inputs'!$B$33,'Inputs'!$B$29+'Inputs'!$B$31+'Inputs'!$B$32,'Inputs'!$B$30+'Inputs'!$B$31+'Inputs'!$B$32)/1000+'Inputs'!$B$21+'Inputs'!$B$9+'Inputs'!$B$10)+'Inputs'!$B$7)^2+('Inputs'!$B$6/2)^2)-(((237-43)*MAX('Inputs'!$B$33,'Inputs'!$B$29+'Inputs'!$B$31+'Inputs'!$B$32,'Inputs'!$B$30+'Inputs'!$B$31+'Inputs'!$B$32)/1000+'Inputs'!$B$21+'Inputs'!$B$9+'Inputs'!$B$10))/SQRT((((237-43)*MAX('Inputs'!$B$33,'Inputs'!$B$29+'Inputs'!$B$31+'Inputs'!$B$32,'Inputs'!$B$30+'Inputs'!$B$31+'Inputs'!$B$32)/1000+'Inputs'!$B$21+'Inputs'!$B$9+'Inputs'!$B$10))^2+('Inputs'!$B$6/2)^2))))*'Results'!$B$8))),"")</x:f>
        <x:v>70.01373055080704</x:v>
      </x:c>
      <x:c r="O237" t="n">
        <x:f>IF(AND(ISNUMBER('Results'!C7),ISNUMBER('Results'!B7),ISNUMBER('Results'!$B$8),ISNUMBER('Inputs'!$B$6),ISNUMBER('Inputs'!$B$7),ISNUMBER('Inputs'!$B$8),ISNUMBER('Inputs'!$B$9),ISNUMBER('Inputs'!$B$10),ISNUMBER('Inputs'!$B$21),ISNUMBER('Inputs'!$B$24),ISNUMBER('Inputs'!$B$28)),((('Results'!C7*(1+'Inputs'!$B$24)*(0.5*((((237-43)*MAX('Inputs'!$B$33,'Inputs'!$B$29+'Inputs'!$B$31+'Inputs'!$B$32,'Inputs'!$B$30+'Inputs'!$B$31+'Inputs'!$B$32)/1000+'Inputs'!$B$21)+'Inputs'!$B$9)/SQRT((((237-43)*MAX('Inputs'!$B$33,'Inputs'!$B$29+'Inputs'!$B$31+'Inputs'!$B$32,'Inputs'!$B$30+'Inputs'!$B$31+'Inputs'!$B$32)/1000+'Inputs'!$B$21)+'Inputs'!$B$9)^2+('Inputs'!$B$8/2)^2)-(((237-43)*MAX('Inputs'!$B$33,'Inputs'!$B$29+'Inputs'!$B$31+'Inputs'!$B$32,'Inputs'!$B$30+'Inputs'!$B$31+'Inputs'!$B$32)/1000+'Inputs'!$B$21))/SQRT((((237-43)*MAX('Inputs'!$B$33,'Inputs'!$B$29+'Inputs'!$B$31+'Inputs'!$B$32,'Inputs'!$B$30+'Inputs'!$B$31+'Inputs'!$B$32)/1000+'Inputs'!$B$21))^2+('Inputs'!$B$8/2)^2)))-'Results'!B7*(1-'Inputs'!$B$24)*(0.5*((((237-43)*MAX('Inputs'!$B$33,'Inputs'!$B$29+'Inputs'!$B$31+'Inputs'!$B$32,'Inputs'!$B$30+'Inputs'!$B$31+'Inputs'!$B$32)/1000+'Inputs'!$B$21+'Inputs'!$B$9+'Inputs'!$B$10)+'Inputs'!$B$7)/SQRT((((237-43)*MAX('Inputs'!$B$33,'Inputs'!$B$29+'Inputs'!$B$31+'Inputs'!$B$32,'Inputs'!$B$30+'Inputs'!$B$31+'Inputs'!$B$32)/1000+'Inputs'!$B$21+'Inputs'!$B$9+'Inputs'!$B$10)+'Inputs'!$B$7)^2+('Inputs'!$B$6/2)^2)-(((237-43)*MAX('Inputs'!$B$33,'Inputs'!$B$29+'Inputs'!$B$31+'Inputs'!$B$32,'Inputs'!$B$30+'Inputs'!$B$31+'Inputs'!$B$32)/1000+'Inputs'!$B$21+'Inputs'!$B$9+'Inputs'!$B$10))/SQRT((((237-43)*MAX('Inputs'!$B$33,'Inputs'!$B$29+'Inputs'!$B$31+'Inputs'!$B$32,'Inputs'!$B$30+'Inputs'!$B$31+'Inputs'!$B$32)/1000+'Inputs'!$B$21+'Inputs'!$B$9+'Inputs'!$B$10))^2+('Inputs'!$B$6/2)^2))))*'Results'!$B$8)+'Inputs'!$B$28*ABS((('Results'!C7*(1+'Inputs'!$B$24)*(0.5*((((237-43)*MAX('Inputs'!$B$33,'Inputs'!$B$29+'Inputs'!$B$31+'Inputs'!$B$32,'Inputs'!$B$30+'Inputs'!$B$31+'Inputs'!$B$32)/1000+'Inputs'!$B$21)+'Inputs'!$B$9)/SQRT((((237-43)*MAX('Inputs'!$B$33,'Inputs'!$B$29+'Inputs'!$B$31+'Inputs'!$B$32,'Inputs'!$B$30+'Inputs'!$B$31+'Inputs'!$B$32)/1000+'Inputs'!$B$21)+'Inputs'!$B$9)^2+('Inputs'!$B$8/2)^2)-(((237-43)*MAX('Inputs'!$B$33,'Inputs'!$B$29+'Inputs'!$B$31+'Inputs'!$B$32,'Inputs'!$B$30+'Inputs'!$B$31+'Inputs'!$B$32)/1000+'Inputs'!$B$21))/SQRT((((237-43)*MAX('Inputs'!$B$33,'Inputs'!$B$29+'Inputs'!$B$31+'Inputs'!$B$32,'Inputs'!$B$30+'Inputs'!$B$31+'Inputs'!$B$32)/1000+'Inputs'!$B$21))^2+('Inputs'!$B$8/2)^2)))-'Results'!B7*(1-'Inputs'!$B$24)*(0.5*((((237-43)*MAX('Inputs'!$B$33,'Inputs'!$B$29+'Inputs'!$B$31+'Inputs'!$B$32,'Inputs'!$B$30+'Inputs'!$B$31+'Inputs'!$B$32)/1000+'Inputs'!$B$21+'Inputs'!$B$9+'Inputs'!$B$10)+'Inputs'!$B$7)/SQRT((((237-43)*MAX('Inputs'!$B$33,'Inputs'!$B$29+'Inputs'!$B$31+'Inputs'!$B$32,'Inputs'!$B$30+'Inputs'!$B$31+'Inputs'!$B$32)/1000+'Inputs'!$B$21+'Inputs'!$B$9+'Inputs'!$B$10)+'Inputs'!$B$7)^2+('Inputs'!$B$6/2)^2)-(((237-43)*MAX('Inputs'!$B$33,'Inputs'!$B$29+'Inputs'!$B$31+'Inputs'!$B$32,'Inputs'!$B$30+'Inputs'!$B$31+'Inputs'!$B$32)/1000+'Inputs'!$B$21+'Inputs'!$B$9+'Inputs'!$B$10))/SQRT((((237-43)*MAX('Inputs'!$B$33,'Inputs'!$B$29+'Inputs'!$B$31+'Inputs'!$B$32,'Inputs'!$B$30+'Inputs'!$B$31+'Inputs'!$B$32)/1000+'Inputs'!$B$21+'Inputs'!$B$9+'Inputs'!$B$10))^2+('Inputs'!$B$6/2)^2))))*'Results'!$B$8))),"")</x:f>
        <x:v>83.5154156982316</x:v>
      </x:c>
      <x:c r="P237" t="n">
        <x:f>IF(AND(MAX(J237,J236)&gt;0,J237&gt;J236+0.00000001),1,0)</x:f>
        <x:v>0</x:v>
      </x:c>
      <x:c r="Q237" t="n">
        <x:f>IF(AND(MAX(K237,K236)&gt;0,K237&gt;K236+0.00000001),1,0)</x:f>
        <x:v>0</x:v>
      </x:c>
      <x:c r="R237" t="n">
        <x:f>IF(AND(MAX(L237,L236)&gt;0,L237&gt;L236+0.00000001),1,0)</x:f>
        <x:v>0</x:v>
      </x:c>
      <x:c r="S237" t="n">
        <x:f>IF(AND(MAX(M237,M236)&gt;0,M237&gt;M236+0.00000001),1,0)</x:f>
        <x:v>0</x:v>
      </x:c>
      <x:c r="T237" t="n">
        <x:f>IF(AND(MAX(N237,N236)&gt;0,N237&gt;N236+0.00000001),1,0)</x:f>
        <x:v>0</x:v>
      </x:c>
      <x:c r="U237" t="n">
        <x:f>IF(AND(MAX(O237,O236)&gt;0,O237&gt;O236+0.00000001),1,0)</x:f>
        <x:v>0</x:v>
      </x:c>
    </x:row>
    <x:row r="238">
      <x:c r="J238" t="n">
        <x:f>IF(AND(ISNUMBER('Results'!B7),ISNUMBER('Results'!C7),ISNUMBER('Results'!$B$8),ISNUMBER('Inputs'!$B$6),ISNUMBER('Inputs'!$B$7),ISNUMBER('Inputs'!$B$8),ISNUMBER('Inputs'!$B$9),ISNUMBER('Inputs'!$B$10),ISNUMBER('Inputs'!$B$21),ISNUMBER('Inputs'!$B$24),ISNUMBER('Inputs'!$B$28)),(('Results'!B7*(0.5*((((238-43)*MAX('Inputs'!$B$33,'Inputs'!$B$29+'Inputs'!$B$31+'Inputs'!$B$32,'Inputs'!$B$30+'Inputs'!$B$31+'Inputs'!$B$32)/1000+'Inputs'!$B$21)+'Inputs'!$B$7)/SQRT((((238-43)*MAX('Inputs'!$B$33,'Inputs'!$B$29+'Inputs'!$B$31+'Inputs'!$B$32,'Inputs'!$B$30+'Inputs'!$B$31+'Inputs'!$B$32)/1000+'Inputs'!$B$21)+'Inputs'!$B$7)^2+('Inputs'!$B$6/2)^2)-(((238-43)*MAX('Inputs'!$B$33,'Inputs'!$B$29+'Inputs'!$B$31+'Inputs'!$B$32,'Inputs'!$B$30+'Inputs'!$B$31+'Inputs'!$B$32)/1000+'Inputs'!$B$21))/SQRT((((238-43)*MAX('Inputs'!$B$33,'Inputs'!$B$29+'Inputs'!$B$31+'Inputs'!$B$32,'Inputs'!$B$30+'Inputs'!$B$31+'Inputs'!$B$32)/1000+'Inputs'!$B$21))^2+('Inputs'!$B$6/2)^2)))-'Results'!C7*(0.5*((((238-43)*MAX('Inputs'!$B$33,'Inputs'!$B$29+'Inputs'!$B$31+'Inputs'!$B$32,'Inputs'!$B$30+'Inputs'!$B$31+'Inputs'!$B$32)/1000+'Inputs'!$B$21+'Inputs'!$B$7+'Inputs'!$B$10)+'Inputs'!$B$9)/SQRT((((238-43)*MAX('Inputs'!$B$33,'Inputs'!$B$29+'Inputs'!$B$31+'Inputs'!$B$32,'Inputs'!$B$30+'Inputs'!$B$31+'Inputs'!$B$32)/1000+'Inputs'!$B$21+'Inputs'!$B$7+'Inputs'!$B$10)+'Inputs'!$B$9)^2+('Inputs'!$B$8/2)^2)-(((238-43)*MAX('Inputs'!$B$33,'Inputs'!$B$29+'Inputs'!$B$31+'Inputs'!$B$32,'Inputs'!$B$30+'Inputs'!$B$31+'Inputs'!$B$32)/1000+'Inputs'!$B$21+'Inputs'!$B$7+'Inputs'!$B$10))/SQRT((((238-43)*MAX('Inputs'!$B$33,'Inputs'!$B$29+'Inputs'!$B$31+'Inputs'!$B$32,'Inputs'!$B$30+'Inputs'!$B$31+'Inputs'!$B$32)/1000+'Inputs'!$B$21+'Inputs'!$B$7+'Inputs'!$B$10))^2+('Inputs'!$B$8/2)^2))))*'Results'!$B$8),"")</x:f>
        <x:v>78.47761887102332</x:v>
      </x:c>
      <x:c r="K238" t="n">
        <x:f>IF(AND(ISNUMBER('Results'!B7),ISNUMBER('Results'!C7),ISNUMBER('Results'!$B$8),ISNUMBER('Inputs'!$B$6),ISNUMBER('Inputs'!$B$7),ISNUMBER('Inputs'!$B$8),ISNUMBER('Inputs'!$B$9),ISNUMBER('Inputs'!$B$10),ISNUMBER('Inputs'!$B$21),ISNUMBER('Inputs'!$B$24),ISNUMBER('Inputs'!$B$28)),((('Results'!B7*(1-'Inputs'!$B$24)*(0.5*((((238-43)*MAX('Inputs'!$B$33,'Inputs'!$B$29+'Inputs'!$B$31+'Inputs'!$B$32,'Inputs'!$B$30+'Inputs'!$B$31+'Inputs'!$B$32)/1000+'Inputs'!$B$21)+'Inputs'!$B$7)/SQRT((((238-43)*MAX('Inputs'!$B$33,'Inputs'!$B$29+'Inputs'!$B$31+'Inputs'!$B$32,'Inputs'!$B$30+'Inputs'!$B$31+'Inputs'!$B$32)/1000+'Inputs'!$B$21)+'Inputs'!$B$7)^2+('Inputs'!$B$6/2)^2)-(((238-43)*MAX('Inputs'!$B$33,'Inputs'!$B$29+'Inputs'!$B$31+'Inputs'!$B$32,'Inputs'!$B$30+'Inputs'!$B$31+'Inputs'!$B$32)/1000+'Inputs'!$B$21))/SQRT((((238-43)*MAX('Inputs'!$B$33,'Inputs'!$B$29+'Inputs'!$B$31+'Inputs'!$B$32,'Inputs'!$B$30+'Inputs'!$B$31+'Inputs'!$B$32)/1000+'Inputs'!$B$21))^2+('Inputs'!$B$6/2)^2)))-'Results'!C7*(1+'Inputs'!$B$24)*(0.5*((((238-43)*MAX('Inputs'!$B$33,'Inputs'!$B$29+'Inputs'!$B$31+'Inputs'!$B$32,'Inputs'!$B$30+'Inputs'!$B$31+'Inputs'!$B$32)/1000+'Inputs'!$B$21+'Inputs'!$B$7+'Inputs'!$B$10)+'Inputs'!$B$9)/SQRT((((238-43)*MAX('Inputs'!$B$33,'Inputs'!$B$29+'Inputs'!$B$31+'Inputs'!$B$32,'Inputs'!$B$30+'Inputs'!$B$31+'Inputs'!$B$32)/1000+'Inputs'!$B$21+'Inputs'!$B$7+'Inputs'!$B$10)+'Inputs'!$B$9)^2+('Inputs'!$B$8/2)^2)-(((238-43)*MAX('Inputs'!$B$33,'Inputs'!$B$29+'Inputs'!$B$31+'Inputs'!$B$32,'Inputs'!$B$30+'Inputs'!$B$31+'Inputs'!$B$32)/1000+'Inputs'!$B$21+'Inputs'!$B$7+'Inputs'!$B$10))/SQRT((((238-43)*MAX('Inputs'!$B$33,'Inputs'!$B$29+'Inputs'!$B$31+'Inputs'!$B$32,'Inputs'!$B$30+'Inputs'!$B$31+'Inputs'!$B$32)/1000+'Inputs'!$B$21+'Inputs'!$B$7+'Inputs'!$B$10))^2+('Inputs'!$B$8/2)^2))))*'Results'!$B$8)-'Inputs'!$B$28*ABS((('Results'!B7*(1-'Inputs'!$B$24)*(0.5*((((238-43)*MAX('Inputs'!$B$33,'Inputs'!$B$29+'Inputs'!$B$31+'Inputs'!$B$32,'Inputs'!$B$30+'Inputs'!$B$31+'Inputs'!$B$32)/1000+'Inputs'!$B$21)+'Inputs'!$B$7)/SQRT((((238-43)*MAX('Inputs'!$B$33,'Inputs'!$B$29+'Inputs'!$B$31+'Inputs'!$B$32,'Inputs'!$B$30+'Inputs'!$B$31+'Inputs'!$B$32)/1000+'Inputs'!$B$21)+'Inputs'!$B$7)^2+('Inputs'!$B$6/2)^2)-(((238-43)*MAX('Inputs'!$B$33,'Inputs'!$B$29+'Inputs'!$B$31+'Inputs'!$B$32,'Inputs'!$B$30+'Inputs'!$B$31+'Inputs'!$B$32)/1000+'Inputs'!$B$21))/SQRT((((238-43)*MAX('Inputs'!$B$33,'Inputs'!$B$29+'Inputs'!$B$31+'Inputs'!$B$32,'Inputs'!$B$30+'Inputs'!$B$31+'Inputs'!$B$32)/1000+'Inputs'!$B$21))^2+('Inputs'!$B$6/2)^2)))-'Results'!C7*(1+'Inputs'!$B$24)*(0.5*((((238-43)*MAX('Inputs'!$B$33,'Inputs'!$B$29+'Inputs'!$B$31+'Inputs'!$B$32,'Inputs'!$B$30+'Inputs'!$B$31+'Inputs'!$B$32)/1000+'Inputs'!$B$21+'Inputs'!$B$7+'Inputs'!$B$10)+'Inputs'!$B$9)/SQRT((((238-43)*MAX('Inputs'!$B$33,'Inputs'!$B$29+'Inputs'!$B$31+'Inputs'!$B$32,'Inputs'!$B$30+'Inputs'!$B$31+'Inputs'!$B$32)/1000+'Inputs'!$B$21+'Inputs'!$B$7+'Inputs'!$B$10)+'Inputs'!$B$9)^2+('Inputs'!$B$8/2)^2)-(((238-43)*MAX('Inputs'!$B$33,'Inputs'!$B$29+'Inputs'!$B$31+'Inputs'!$B$32,'Inputs'!$B$30+'Inputs'!$B$31+'Inputs'!$B$32)/1000+'Inputs'!$B$21+'Inputs'!$B$7+'Inputs'!$B$10))/SQRT((((238-43)*MAX('Inputs'!$B$33,'Inputs'!$B$29+'Inputs'!$B$31+'Inputs'!$B$32,'Inputs'!$B$30+'Inputs'!$B$31+'Inputs'!$B$32)/1000+'Inputs'!$B$21+'Inputs'!$B$7+'Inputs'!$B$10))^2+('Inputs'!$B$8/2)^2))))*'Results'!$B$8))),"")</x:f>
        <x:v>71.78198781492311</x:v>
      </x:c>
      <x:c r="L238" t="n">
        <x:f>IF(AND(ISNUMBER('Results'!B7),ISNUMBER('Results'!C7),ISNUMBER('Results'!$B$8),ISNUMBER('Inputs'!$B$6),ISNUMBER('Inputs'!$B$7),ISNUMBER('Inputs'!$B$8),ISNUMBER('Inputs'!$B$9),ISNUMBER('Inputs'!$B$10),ISNUMBER('Inputs'!$B$21),ISNUMBER('Inputs'!$B$24),ISNUMBER('Inputs'!$B$28)),((('Results'!B7*(1+'Inputs'!$B$24)*(0.5*((((238-43)*MAX('Inputs'!$B$33,'Inputs'!$B$29+'Inputs'!$B$31+'Inputs'!$B$32,'Inputs'!$B$30+'Inputs'!$B$31+'Inputs'!$B$32)/1000+'Inputs'!$B$21)+'Inputs'!$B$7)/SQRT((((238-43)*MAX('Inputs'!$B$33,'Inputs'!$B$29+'Inputs'!$B$31+'Inputs'!$B$32,'Inputs'!$B$30+'Inputs'!$B$31+'Inputs'!$B$32)/1000+'Inputs'!$B$21)+'Inputs'!$B$7)^2+('Inputs'!$B$6/2)^2)-(((238-43)*MAX('Inputs'!$B$33,'Inputs'!$B$29+'Inputs'!$B$31+'Inputs'!$B$32,'Inputs'!$B$30+'Inputs'!$B$31+'Inputs'!$B$32)/1000+'Inputs'!$B$21))/SQRT((((238-43)*MAX('Inputs'!$B$33,'Inputs'!$B$29+'Inputs'!$B$31+'Inputs'!$B$32,'Inputs'!$B$30+'Inputs'!$B$31+'Inputs'!$B$32)/1000+'Inputs'!$B$21))^2+('Inputs'!$B$6/2)^2)))-'Results'!C7*(1-'Inputs'!$B$24)*(0.5*((((238-43)*MAX('Inputs'!$B$33,'Inputs'!$B$29+'Inputs'!$B$31+'Inputs'!$B$32,'Inputs'!$B$30+'Inputs'!$B$31+'Inputs'!$B$32)/1000+'Inputs'!$B$21+'Inputs'!$B$7+'Inputs'!$B$10)+'Inputs'!$B$9)/SQRT((((238-43)*MAX('Inputs'!$B$33,'Inputs'!$B$29+'Inputs'!$B$31+'Inputs'!$B$32,'Inputs'!$B$30+'Inputs'!$B$31+'Inputs'!$B$32)/1000+'Inputs'!$B$21+'Inputs'!$B$7+'Inputs'!$B$10)+'Inputs'!$B$9)^2+('Inputs'!$B$8/2)^2)-(((238-43)*MAX('Inputs'!$B$33,'Inputs'!$B$29+'Inputs'!$B$31+'Inputs'!$B$32,'Inputs'!$B$30+'Inputs'!$B$31+'Inputs'!$B$32)/1000+'Inputs'!$B$21+'Inputs'!$B$7+'Inputs'!$B$10))/SQRT((((238-43)*MAX('Inputs'!$B$33,'Inputs'!$B$29+'Inputs'!$B$31+'Inputs'!$B$32,'Inputs'!$B$30+'Inputs'!$B$31+'Inputs'!$B$32)/1000+'Inputs'!$B$21+'Inputs'!$B$7+'Inputs'!$B$10))^2+('Inputs'!$B$8/2)^2))))*'Results'!$B$8)+'Inputs'!$B$28*ABS((('Results'!B7*(1+'Inputs'!$B$24)*(0.5*((((238-43)*MAX('Inputs'!$B$33,'Inputs'!$B$29+'Inputs'!$B$31+'Inputs'!$B$32,'Inputs'!$B$30+'Inputs'!$B$31+'Inputs'!$B$32)/1000+'Inputs'!$B$21)+'Inputs'!$B$7)/SQRT((((238-43)*MAX('Inputs'!$B$33,'Inputs'!$B$29+'Inputs'!$B$31+'Inputs'!$B$32,'Inputs'!$B$30+'Inputs'!$B$31+'Inputs'!$B$32)/1000+'Inputs'!$B$21)+'Inputs'!$B$7)^2+('Inputs'!$B$6/2)^2)-(((238-43)*MAX('Inputs'!$B$33,'Inputs'!$B$29+'Inputs'!$B$31+'Inputs'!$B$32,'Inputs'!$B$30+'Inputs'!$B$31+'Inputs'!$B$32)/1000+'Inputs'!$B$21))/SQRT((((238-43)*MAX('Inputs'!$B$33,'Inputs'!$B$29+'Inputs'!$B$31+'Inputs'!$B$32,'Inputs'!$B$30+'Inputs'!$B$31+'Inputs'!$B$32)/1000+'Inputs'!$B$21))^2+('Inputs'!$B$6/2)^2)))-'Results'!C7*(1-'Inputs'!$B$24)*(0.5*((((238-43)*MAX('Inputs'!$B$33,'Inputs'!$B$29+'Inputs'!$B$31+'Inputs'!$B$32,'Inputs'!$B$30+'Inputs'!$B$31+'Inputs'!$B$32)/1000+'Inputs'!$B$21+'Inputs'!$B$7+'Inputs'!$B$10)+'Inputs'!$B$9)/SQRT((((238-43)*MAX('Inputs'!$B$33,'Inputs'!$B$29+'Inputs'!$B$31+'Inputs'!$B$32,'Inputs'!$B$30+'Inputs'!$B$31+'Inputs'!$B$32)/1000+'Inputs'!$B$21+'Inputs'!$B$7+'Inputs'!$B$10)+'Inputs'!$B$9)^2+('Inputs'!$B$8/2)^2)-(((238-43)*MAX('Inputs'!$B$33,'Inputs'!$B$29+'Inputs'!$B$31+'Inputs'!$B$32,'Inputs'!$B$30+'Inputs'!$B$31+'Inputs'!$B$32)/1000+'Inputs'!$B$21+'Inputs'!$B$7+'Inputs'!$B$10))/SQRT((((238-43)*MAX('Inputs'!$B$33,'Inputs'!$B$29+'Inputs'!$B$31+'Inputs'!$B$32,'Inputs'!$B$30+'Inputs'!$B$31+'Inputs'!$B$32)/1000+'Inputs'!$B$21+'Inputs'!$B$7+'Inputs'!$B$10))^2+('Inputs'!$B$8/2)^2))))*'Results'!$B$8))),"")</x:f>
        <x:v>85.46501309686553</x:v>
      </x:c>
      <x:c r="M238" t="n">
        <x:f>IF(AND(ISNUMBER('Results'!C7),ISNUMBER('Results'!B7),ISNUMBER('Results'!$B$8),ISNUMBER('Inputs'!$B$6),ISNUMBER('Inputs'!$B$7),ISNUMBER('Inputs'!$B$8),ISNUMBER('Inputs'!$B$9),ISNUMBER('Inputs'!$B$10),ISNUMBER('Inputs'!$B$21),ISNUMBER('Inputs'!$B$24),ISNUMBER('Inputs'!$B$28)),(('Results'!C7*(0.5*((((238-43)*MAX('Inputs'!$B$33,'Inputs'!$B$29+'Inputs'!$B$31+'Inputs'!$B$32,'Inputs'!$B$30+'Inputs'!$B$31+'Inputs'!$B$32)/1000+'Inputs'!$B$21)+'Inputs'!$B$9)/SQRT((((238-43)*MAX('Inputs'!$B$33,'Inputs'!$B$29+'Inputs'!$B$31+'Inputs'!$B$32,'Inputs'!$B$30+'Inputs'!$B$31+'Inputs'!$B$32)/1000+'Inputs'!$B$21)+'Inputs'!$B$9)^2+('Inputs'!$B$8/2)^2)-(((238-43)*MAX('Inputs'!$B$33,'Inputs'!$B$29+'Inputs'!$B$31+'Inputs'!$B$32,'Inputs'!$B$30+'Inputs'!$B$31+'Inputs'!$B$32)/1000+'Inputs'!$B$21))/SQRT((((238-43)*MAX('Inputs'!$B$33,'Inputs'!$B$29+'Inputs'!$B$31+'Inputs'!$B$32,'Inputs'!$B$30+'Inputs'!$B$31+'Inputs'!$B$32)/1000+'Inputs'!$B$21))^2+('Inputs'!$B$8/2)^2)))-'Results'!B7*(0.5*((((238-43)*MAX('Inputs'!$B$33,'Inputs'!$B$29+'Inputs'!$B$31+'Inputs'!$B$32,'Inputs'!$B$30+'Inputs'!$B$31+'Inputs'!$B$32)/1000+'Inputs'!$B$21+'Inputs'!$B$9+'Inputs'!$B$10)+'Inputs'!$B$7)/SQRT((((238-43)*MAX('Inputs'!$B$33,'Inputs'!$B$29+'Inputs'!$B$31+'Inputs'!$B$32,'Inputs'!$B$30+'Inputs'!$B$31+'Inputs'!$B$32)/1000+'Inputs'!$B$21+'Inputs'!$B$9+'Inputs'!$B$10)+'Inputs'!$B$7)^2+('Inputs'!$B$6/2)^2)-(((238-43)*MAX('Inputs'!$B$33,'Inputs'!$B$29+'Inputs'!$B$31+'Inputs'!$B$32,'Inputs'!$B$30+'Inputs'!$B$31+'Inputs'!$B$32)/1000+'Inputs'!$B$21+'Inputs'!$B$9+'Inputs'!$B$10))/SQRT((((238-43)*MAX('Inputs'!$B$33,'Inputs'!$B$29+'Inputs'!$B$31+'Inputs'!$B$32,'Inputs'!$B$30+'Inputs'!$B$31+'Inputs'!$B$32)/1000+'Inputs'!$B$21+'Inputs'!$B$9+'Inputs'!$B$10))^2+('Inputs'!$B$6/2)^2))))*'Results'!$B$8),"")</x:f>
        <x:v>75.54623126217471</x:v>
      </x:c>
      <x:c r="N238" t="n">
        <x:f>IF(AND(ISNUMBER('Results'!C7),ISNUMBER('Results'!B7),ISNUMBER('Results'!$B$8),ISNUMBER('Inputs'!$B$6),ISNUMBER('Inputs'!$B$7),ISNUMBER('Inputs'!$B$8),ISNUMBER('Inputs'!$B$9),ISNUMBER('Inputs'!$B$10),ISNUMBER('Inputs'!$B$21),ISNUMBER('Inputs'!$B$24),ISNUMBER('Inputs'!$B$28)),((('Results'!C7*(1-'Inputs'!$B$24)*(0.5*((((238-43)*MAX('Inputs'!$B$33,'Inputs'!$B$29+'Inputs'!$B$31+'Inputs'!$B$32,'Inputs'!$B$30+'Inputs'!$B$31+'Inputs'!$B$32)/1000+'Inputs'!$B$21)+'Inputs'!$B$9)/SQRT((((238-43)*MAX('Inputs'!$B$33,'Inputs'!$B$29+'Inputs'!$B$31+'Inputs'!$B$32,'Inputs'!$B$30+'Inputs'!$B$31+'Inputs'!$B$32)/1000+'Inputs'!$B$21)+'Inputs'!$B$9)^2+('Inputs'!$B$8/2)^2)-(((238-43)*MAX('Inputs'!$B$33,'Inputs'!$B$29+'Inputs'!$B$31+'Inputs'!$B$32,'Inputs'!$B$30+'Inputs'!$B$31+'Inputs'!$B$32)/1000+'Inputs'!$B$21))/SQRT((((238-43)*MAX('Inputs'!$B$33,'Inputs'!$B$29+'Inputs'!$B$31+'Inputs'!$B$32,'Inputs'!$B$30+'Inputs'!$B$31+'Inputs'!$B$32)/1000+'Inputs'!$B$21))^2+('Inputs'!$B$8/2)^2)))-'Results'!B7*(1+'Inputs'!$B$24)*(0.5*((((238-43)*MAX('Inputs'!$B$33,'Inputs'!$B$29+'Inputs'!$B$31+'Inputs'!$B$32,'Inputs'!$B$30+'Inputs'!$B$31+'Inputs'!$B$32)/1000+'Inputs'!$B$21+'Inputs'!$B$9+'Inputs'!$B$10)+'Inputs'!$B$7)/SQRT((((238-43)*MAX('Inputs'!$B$33,'Inputs'!$B$29+'Inputs'!$B$31+'Inputs'!$B$32,'Inputs'!$B$30+'Inputs'!$B$31+'Inputs'!$B$32)/1000+'Inputs'!$B$21+'Inputs'!$B$9+'Inputs'!$B$10)+'Inputs'!$B$7)^2+('Inputs'!$B$6/2)^2)-(((238-43)*MAX('Inputs'!$B$33,'Inputs'!$B$29+'Inputs'!$B$31+'Inputs'!$B$32,'Inputs'!$B$30+'Inputs'!$B$31+'Inputs'!$B$32)/1000+'Inputs'!$B$21+'Inputs'!$B$9+'Inputs'!$B$10))/SQRT((((238-43)*MAX('Inputs'!$B$33,'Inputs'!$B$29+'Inputs'!$B$31+'Inputs'!$B$32,'Inputs'!$B$30+'Inputs'!$B$31+'Inputs'!$B$32)/1000+'Inputs'!$B$21+'Inputs'!$B$9+'Inputs'!$B$10))^2+('Inputs'!$B$6/2)^2))))*'Results'!$B$8)-'Inputs'!$B$28*ABS((('Results'!C7*(1-'Inputs'!$B$24)*(0.5*((((238-43)*MAX('Inputs'!$B$33,'Inputs'!$B$29+'Inputs'!$B$31+'Inputs'!$B$32,'Inputs'!$B$30+'Inputs'!$B$31+'Inputs'!$B$32)/1000+'Inputs'!$B$21)+'Inputs'!$B$9)/SQRT((((238-43)*MAX('Inputs'!$B$33,'Inputs'!$B$29+'Inputs'!$B$31+'Inputs'!$B$32,'Inputs'!$B$30+'Inputs'!$B$31+'Inputs'!$B$32)/1000+'Inputs'!$B$21)+'Inputs'!$B$9)^2+('Inputs'!$B$8/2)^2)-(((238-43)*MAX('Inputs'!$B$33,'Inputs'!$B$29+'Inputs'!$B$31+'Inputs'!$B$32,'Inputs'!$B$30+'Inputs'!$B$31+'Inputs'!$B$32)/1000+'Inputs'!$B$21))/SQRT((((238-43)*MAX('Inputs'!$B$33,'Inputs'!$B$29+'Inputs'!$B$31+'Inputs'!$B$32,'Inputs'!$B$30+'Inputs'!$B$31+'Inputs'!$B$32)/1000+'Inputs'!$B$21))^2+('Inputs'!$B$8/2)^2)))-'Results'!B7*(1+'Inputs'!$B$24)*(0.5*((((238-43)*MAX('Inputs'!$B$33,'Inputs'!$B$29+'Inputs'!$B$31+'Inputs'!$B$32,'Inputs'!$B$30+'Inputs'!$B$31+'Inputs'!$B$32)/1000+'Inputs'!$B$21+'Inputs'!$B$9+'Inputs'!$B$10)+'Inputs'!$B$7)/SQRT((((238-43)*MAX('Inputs'!$B$33,'Inputs'!$B$29+'Inputs'!$B$31+'Inputs'!$B$32,'Inputs'!$B$30+'Inputs'!$B$31+'Inputs'!$B$32)/1000+'Inputs'!$B$21+'Inputs'!$B$9+'Inputs'!$B$10)+'Inputs'!$B$7)^2+('Inputs'!$B$6/2)^2)-(((238-43)*MAX('Inputs'!$B$33,'Inputs'!$B$29+'Inputs'!$B$31+'Inputs'!$B$32,'Inputs'!$B$30+'Inputs'!$B$31+'Inputs'!$B$32)/1000+'Inputs'!$B$21+'Inputs'!$B$9+'Inputs'!$B$10))/SQRT((((238-43)*MAX('Inputs'!$B$33,'Inputs'!$B$29+'Inputs'!$B$31+'Inputs'!$B$32,'Inputs'!$B$30+'Inputs'!$B$31+'Inputs'!$B$32)/1000+'Inputs'!$B$21+'Inputs'!$B$9+'Inputs'!$B$10))^2+('Inputs'!$B$6/2)^2))))*'Results'!$B$8))),"")</x:f>
        <x:v>69.02672971937078</x:v>
      </x:c>
      <x:c r="O238" t="n">
        <x:f>IF(AND(ISNUMBER('Results'!C7),ISNUMBER('Results'!B7),ISNUMBER('Results'!$B$8),ISNUMBER('Inputs'!$B$6),ISNUMBER('Inputs'!$B$7),ISNUMBER('Inputs'!$B$8),ISNUMBER('Inputs'!$B$9),ISNUMBER('Inputs'!$B$10),ISNUMBER('Inputs'!$B$21),ISNUMBER('Inputs'!$B$24),ISNUMBER('Inputs'!$B$28)),((('Results'!C7*(1+'Inputs'!$B$24)*(0.5*((((238-43)*MAX('Inputs'!$B$33,'Inputs'!$B$29+'Inputs'!$B$31+'Inputs'!$B$32,'Inputs'!$B$30+'Inputs'!$B$31+'Inputs'!$B$32)/1000+'Inputs'!$B$21)+'Inputs'!$B$9)/SQRT((((238-43)*MAX('Inputs'!$B$33,'Inputs'!$B$29+'Inputs'!$B$31+'Inputs'!$B$32,'Inputs'!$B$30+'Inputs'!$B$31+'Inputs'!$B$32)/1000+'Inputs'!$B$21)+'Inputs'!$B$9)^2+('Inputs'!$B$8/2)^2)-(((238-43)*MAX('Inputs'!$B$33,'Inputs'!$B$29+'Inputs'!$B$31+'Inputs'!$B$32,'Inputs'!$B$30+'Inputs'!$B$31+'Inputs'!$B$32)/1000+'Inputs'!$B$21))/SQRT((((238-43)*MAX('Inputs'!$B$33,'Inputs'!$B$29+'Inputs'!$B$31+'Inputs'!$B$32,'Inputs'!$B$30+'Inputs'!$B$31+'Inputs'!$B$32)/1000+'Inputs'!$B$21))^2+('Inputs'!$B$8/2)^2)))-'Results'!B7*(1-'Inputs'!$B$24)*(0.5*((((238-43)*MAX('Inputs'!$B$33,'Inputs'!$B$29+'Inputs'!$B$31+'Inputs'!$B$32,'Inputs'!$B$30+'Inputs'!$B$31+'Inputs'!$B$32)/1000+'Inputs'!$B$21+'Inputs'!$B$9+'Inputs'!$B$10)+'Inputs'!$B$7)/SQRT((((238-43)*MAX('Inputs'!$B$33,'Inputs'!$B$29+'Inputs'!$B$31+'Inputs'!$B$32,'Inputs'!$B$30+'Inputs'!$B$31+'Inputs'!$B$32)/1000+'Inputs'!$B$21+'Inputs'!$B$9+'Inputs'!$B$10)+'Inputs'!$B$7)^2+('Inputs'!$B$6/2)^2)-(((238-43)*MAX('Inputs'!$B$33,'Inputs'!$B$29+'Inputs'!$B$31+'Inputs'!$B$32,'Inputs'!$B$30+'Inputs'!$B$31+'Inputs'!$B$32)/1000+'Inputs'!$B$21+'Inputs'!$B$9+'Inputs'!$B$10))/SQRT((((238-43)*MAX('Inputs'!$B$33,'Inputs'!$B$29+'Inputs'!$B$31+'Inputs'!$B$32,'Inputs'!$B$30+'Inputs'!$B$31+'Inputs'!$B$32)/1000+'Inputs'!$B$21+'Inputs'!$B$9+'Inputs'!$B$10))^2+('Inputs'!$B$6/2)^2))))*'Results'!$B$8)+'Inputs'!$B$28*ABS((('Results'!C7*(1+'Inputs'!$B$24)*(0.5*((((238-43)*MAX('Inputs'!$B$33,'Inputs'!$B$29+'Inputs'!$B$31+'Inputs'!$B$32,'Inputs'!$B$30+'Inputs'!$B$31+'Inputs'!$B$32)/1000+'Inputs'!$B$21)+'Inputs'!$B$9)/SQRT((((238-43)*MAX('Inputs'!$B$33,'Inputs'!$B$29+'Inputs'!$B$31+'Inputs'!$B$32,'Inputs'!$B$30+'Inputs'!$B$31+'Inputs'!$B$32)/1000+'Inputs'!$B$21)+'Inputs'!$B$9)^2+('Inputs'!$B$8/2)^2)-(((238-43)*MAX('Inputs'!$B$33,'Inputs'!$B$29+'Inputs'!$B$31+'Inputs'!$B$32,'Inputs'!$B$30+'Inputs'!$B$31+'Inputs'!$B$32)/1000+'Inputs'!$B$21))/SQRT((((238-43)*MAX('Inputs'!$B$33,'Inputs'!$B$29+'Inputs'!$B$31+'Inputs'!$B$32,'Inputs'!$B$30+'Inputs'!$B$31+'Inputs'!$B$32)/1000+'Inputs'!$B$21))^2+('Inputs'!$B$8/2)^2)))-'Results'!B7*(1-'Inputs'!$B$24)*(0.5*((((238-43)*MAX('Inputs'!$B$33,'Inputs'!$B$29+'Inputs'!$B$31+'Inputs'!$B$32,'Inputs'!$B$30+'Inputs'!$B$31+'Inputs'!$B$32)/1000+'Inputs'!$B$21+'Inputs'!$B$9+'Inputs'!$B$10)+'Inputs'!$B$7)/SQRT((((238-43)*MAX('Inputs'!$B$33,'Inputs'!$B$29+'Inputs'!$B$31+'Inputs'!$B$32,'Inputs'!$B$30+'Inputs'!$B$31+'Inputs'!$B$32)/1000+'Inputs'!$B$21+'Inputs'!$B$9+'Inputs'!$B$10)+'Inputs'!$B$7)^2+('Inputs'!$B$6/2)^2)-(((238-43)*MAX('Inputs'!$B$33,'Inputs'!$B$29+'Inputs'!$B$31+'Inputs'!$B$32,'Inputs'!$B$30+'Inputs'!$B$31+'Inputs'!$B$32)/1000+'Inputs'!$B$21+'Inputs'!$B$9+'Inputs'!$B$10))/SQRT((((238-43)*MAX('Inputs'!$B$33,'Inputs'!$B$29+'Inputs'!$B$31+'Inputs'!$B$32,'Inputs'!$B$30+'Inputs'!$B$31+'Inputs'!$B$32)/1000+'Inputs'!$B$21+'Inputs'!$B$9+'Inputs'!$B$10))^2+('Inputs'!$B$6/2)^2))))*'Results'!$B$8))),"")</x:f>
        <x:v>82.35438438178869</x:v>
      </x:c>
      <x:c r="P238" t="n">
        <x:f>IF(AND(MAX(J238,J237)&gt;0,J238&gt;J237+0.00000001),1,0)</x:f>
        <x:v>0</x:v>
      </x:c>
      <x:c r="Q238" t="n">
        <x:f>IF(AND(MAX(K238,K237)&gt;0,K238&gt;K237+0.00000001),1,0)</x:f>
        <x:v>0</x:v>
      </x:c>
      <x:c r="R238" t="n">
        <x:f>IF(AND(MAX(L238,L237)&gt;0,L238&gt;L237+0.00000001),1,0)</x:f>
        <x:v>0</x:v>
      </x:c>
      <x:c r="S238" t="n">
        <x:f>IF(AND(MAX(M238,M237)&gt;0,M238&gt;M237+0.00000001),1,0)</x:f>
        <x:v>0</x:v>
      </x:c>
      <x:c r="T238" t="n">
        <x:f>IF(AND(MAX(N238,N237)&gt;0,N238&gt;N237+0.00000001),1,0)</x:f>
        <x:v>0</x:v>
      </x:c>
      <x:c r="U238" t="n">
        <x:f>IF(AND(MAX(O238,O237)&gt;0,O238&gt;O237+0.00000001),1,0)</x:f>
        <x:v>0</x:v>
      </x:c>
    </x:row>
    <x:row r="239">
      <x:c r="J239" t="n">
        <x:f>IF(AND(ISNUMBER('Results'!B7),ISNUMBER('Results'!C7),ISNUMBER('Results'!$B$8),ISNUMBER('Inputs'!$B$6),ISNUMBER('Inputs'!$B$7),ISNUMBER('Inputs'!$B$8),ISNUMBER('Inputs'!$B$9),ISNUMBER('Inputs'!$B$10),ISNUMBER('Inputs'!$B$21),ISNUMBER('Inputs'!$B$24),ISNUMBER('Inputs'!$B$28)),(('Results'!B7*(0.5*((((239-43)*MAX('Inputs'!$B$33,'Inputs'!$B$29+'Inputs'!$B$31+'Inputs'!$B$32,'Inputs'!$B$30+'Inputs'!$B$31+'Inputs'!$B$32)/1000+'Inputs'!$B$21)+'Inputs'!$B$7)/SQRT((((239-43)*MAX('Inputs'!$B$33,'Inputs'!$B$29+'Inputs'!$B$31+'Inputs'!$B$32,'Inputs'!$B$30+'Inputs'!$B$31+'Inputs'!$B$32)/1000+'Inputs'!$B$21)+'Inputs'!$B$7)^2+('Inputs'!$B$6/2)^2)-(((239-43)*MAX('Inputs'!$B$33,'Inputs'!$B$29+'Inputs'!$B$31+'Inputs'!$B$32,'Inputs'!$B$30+'Inputs'!$B$31+'Inputs'!$B$32)/1000+'Inputs'!$B$21))/SQRT((((239-43)*MAX('Inputs'!$B$33,'Inputs'!$B$29+'Inputs'!$B$31+'Inputs'!$B$32,'Inputs'!$B$30+'Inputs'!$B$31+'Inputs'!$B$32)/1000+'Inputs'!$B$21))^2+('Inputs'!$B$6/2)^2)))-'Results'!C7*(0.5*((((239-43)*MAX('Inputs'!$B$33,'Inputs'!$B$29+'Inputs'!$B$31+'Inputs'!$B$32,'Inputs'!$B$30+'Inputs'!$B$31+'Inputs'!$B$32)/1000+'Inputs'!$B$21+'Inputs'!$B$7+'Inputs'!$B$10)+'Inputs'!$B$9)/SQRT((((239-43)*MAX('Inputs'!$B$33,'Inputs'!$B$29+'Inputs'!$B$31+'Inputs'!$B$32,'Inputs'!$B$30+'Inputs'!$B$31+'Inputs'!$B$32)/1000+'Inputs'!$B$21+'Inputs'!$B$7+'Inputs'!$B$10)+'Inputs'!$B$9)^2+('Inputs'!$B$8/2)^2)-(((239-43)*MAX('Inputs'!$B$33,'Inputs'!$B$29+'Inputs'!$B$31+'Inputs'!$B$32,'Inputs'!$B$30+'Inputs'!$B$31+'Inputs'!$B$32)/1000+'Inputs'!$B$21+'Inputs'!$B$7+'Inputs'!$B$10))/SQRT((((239-43)*MAX('Inputs'!$B$33,'Inputs'!$B$29+'Inputs'!$B$31+'Inputs'!$B$32,'Inputs'!$B$30+'Inputs'!$B$31+'Inputs'!$B$32)/1000+'Inputs'!$B$21+'Inputs'!$B$7+'Inputs'!$B$10))^2+('Inputs'!$B$8/2)^2))))*'Results'!$B$8),"")</x:f>
        <x:v>77.39013496658265</x:v>
      </x:c>
      <x:c r="K239" t="n">
        <x:f>IF(AND(ISNUMBER('Results'!B7),ISNUMBER('Results'!C7),ISNUMBER('Results'!$B$8),ISNUMBER('Inputs'!$B$6),ISNUMBER('Inputs'!$B$7),ISNUMBER('Inputs'!$B$8),ISNUMBER('Inputs'!$B$9),ISNUMBER('Inputs'!$B$10),ISNUMBER('Inputs'!$B$21),ISNUMBER('Inputs'!$B$24),ISNUMBER('Inputs'!$B$28)),((('Results'!B7*(1-'Inputs'!$B$24)*(0.5*((((239-43)*MAX('Inputs'!$B$33,'Inputs'!$B$29+'Inputs'!$B$31+'Inputs'!$B$32,'Inputs'!$B$30+'Inputs'!$B$31+'Inputs'!$B$32)/1000+'Inputs'!$B$21)+'Inputs'!$B$7)/SQRT((((239-43)*MAX('Inputs'!$B$33,'Inputs'!$B$29+'Inputs'!$B$31+'Inputs'!$B$32,'Inputs'!$B$30+'Inputs'!$B$31+'Inputs'!$B$32)/1000+'Inputs'!$B$21)+'Inputs'!$B$7)^2+('Inputs'!$B$6/2)^2)-(((239-43)*MAX('Inputs'!$B$33,'Inputs'!$B$29+'Inputs'!$B$31+'Inputs'!$B$32,'Inputs'!$B$30+'Inputs'!$B$31+'Inputs'!$B$32)/1000+'Inputs'!$B$21))/SQRT((((239-43)*MAX('Inputs'!$B$33,'Inputs'!$B$29+'Inputs'!$B$31+'Inputs'!$B$32,'Inputs'!$B$30+'Inputs'!$B$31+'Inputs'!$B$32)/1000+'Inputs'!$B$21))^2+('Inputs'!$B$6/2)^2)))-'Results'!C7*(1+'Inputs'!$B$24)*(0.5*((((239-43)*MAX('Inputs'!$B$33,'Inputs'!$B$29+'Inputs'!$B$31+'Inputs'!$B$32,'Inputs'!$B$30+'Inputs'!$B$31+'Inputs'!$B$32)/1000+'Inputs'!$B$21+'Inputs'!$B$7+'Inputs'!$B$10)+'Inputs'!$B$9)/SQRT((((239-43)*MAX('Inputs'!$B$33,'Inputs'!$B$29+'Inputs'!$B$31+'Inputs'!$B$32,'Inputs'!$B$30+'Inputs'!$B$31+'Inputs'!$B$32)/1000+'Inputs'!$B$21+'Inputs'!$B$7+'Inputs'!$B$10)+'Inputs'!$B$9)^2+('Inputs'!$B$8/2)^2)-(((239-43)*MAX('Inputs'!$B$33,'Inputs'!$B$29+'Inputs'!$B$31+'Inputs'!$B$32,'Inputs'!$B$30+'Inputs'!$B$31+'Inputs'!$B$32)/1000+'Inputs'!$B$21+'Inputs'!$B$7+'Inputs'!$B$10))/SQRT((((239-43)*MAX('Inputs'!$B$33,'Inputs'!$B$29+'Inputs'!$B$31+'Inputs'!$B$32,'Inputs'!$B$30+'Inputs'!$B$31+'Inputs'!$B$32)/1000+'Inputs'!$B$21+'Inputs'!$B$7+'Inputs'!$B$10))^2+('Inputs'!$B$8/2)^2))))*'Results'!$B$8)-'Inputs'!$B$28*ABS((('Results'!B7*(1-'Inputs'!$B$24)*(0.5*((((239-43)*MAX('Inputs'!$B$33,'Inputs'!$B$29+'Inputs'!$B$31+'Inputs'!$B$32,'Inputs'!$B$30+'Inputs'!$B$31+'Inputs'!$B$32)/1000+'Inputs'!$B$21)+'Inputs'!$B$7)/SQRT((((239-43)*MAX('Inputs'!$B$33,'Inputs'!$B$29+'Inputs'!$B$31+'Inputs'!$B$32,'Inputs'!$B$30+'Inputs'!$B$31+'Inputs'!$B$32)/1000+'Inputs'!$B$21)+'Inputs'!$B$7)^2+('Inputs'!$B$6/2)^2)-(((239-43)*MAX('Inputs'!$B$33,'Inputs'!$B$29+'Inputs'!$B$31+'Inputs'!$B$32,'Inputs'!$B$30+'Inputs'!$B$31+'Inputs'!$B$32)/1000+'Inputs'!$B$21))/SQRT((((239-43)*MAX('Inputs'!$B$33,'Inputs'!$B$29+'Inputs'!$B$31+'Inputs'!$B$32,'Inputs'!$B$30+'Inputs'!$B$31+'Inputs'!$B$32)/1000+'Inputs'!$B$21))^2+('Inputs'!$B$6/2)^2)))-'Results'!C7*(1+'Inputs'!$B$24)*(0.5*((((239-43)*MAX('Inputs'!$B$33,'Inputs'!$B$29+'Inputs'!$B$31+'Inputs'!$B$32,'Inputs'!$B$30+'Inputs'!$B$31+'Inputs'!$B$32)/1000+'Inputs'!$B$21+'Inputs'!$B$7+'Inputs'!$B$10)+'Inputs'!$B$9)/SQRT((((239-43)*MAX('Inputs'!$B$33,'Inputs'!$B$29+'Inputs'!$B$31+'Inputs'!$B$32,'Inputs'!$B$30+'Inputs'!$B$31+'Inputs'!$B$32)/1000+'Inputs'!$B$21+'Inputs'!$B$7+'Inputs'!$B$10)+'Inputs'!$B$9)^2+('Inputs'!$B$8/2)^2)-(((239-43)*MAX('Inputs'!$B$33,'Inputs'!$B$29+'Inputs'!$B$31+'Inputs'!$B$32,'Inputs'!$B$30+'Inputs'!$B$31+'Inputs'!$B$32)/1000+'Inputs'!$B$21+'Inputs'!$B$7+'Inputs'!$B$10))/SQRT((((239-43)*MAX('Inputs'!$B$33,'Inputs'!$B$29+'Inputs'!$B$31+'Inputs'!$B$32,'Inputs'!$B$30+'Inputs'!$B$31+'Inputs'!$B$32)/1000+'Inputs'!$B$21+'Inputs'!$B$7+'Inputs'!$B$10))^2+('Inputs'!$B$8/2)^2))))*'Results'!$B$8))),"")</x:f>
        <x:v>70.78054101560994</x:v>
      </x:c>
      <x:c r="L239" t="n">
        <x:f>IF(AND(ISNUMBER('Results'!B7),ISNUMBER('Results'!C7),ISNUMBER('Results'!$B$8),ISNUMBER('Inputs'!$B$6),ISNUMBER('Inputs'!$B$7),ISNUMBER('Inputs'!$B$8),ISNUMBER('Inputs'!$B$9),ISNUMBER('Inputs'!$B$10),ISNUMBER('Inputs'!$B$21),ISNUMBER('Inputs'!$B$24),ISNUMBER('Inputs'!$B$28)),((('Results'!B7*(1+'Inputs'!$B$24)*(0.5*((((239-43)*MAX('Inputs'!$B$33,'Inputs'!$B$29+'Inputs'!$B$31+'Inputs'!$B$32,'Inputs'!$B$30+'Inputs'!$B$31+'Inputs'!$B$32)/1000+'Inputs'!$B$21)+'Inputs'!$B$7)/SQRT((((239-43)*MAX('Inputs'!$B$33,'Inputs'!$B$29+'Inputs'!$B$31+'Inputs'!$B$32,'Inputs'!$B$30+'Inputs'!$B$31+'Inputs'!$B$32)/1000+'Inputs'!$B$21)+'Inputs'!$B$7)^2+('Inputs'!$B$6/2)^2)-(((239-43)*MAX('Inputs'!$B$33,'Inputs'!$B$29+'Inputs'!$B$31+'Inputs'!$B$32,'Inputs'!$B$30+'Inputs'!$B$31+'Inputs'!$B$32)/1000+'Inputs'!$B$21))/SQRT((((239-43)*MAX('Inputs'!$B$33,'Inputs'!$B$29+'Inputs'!$B$31+'Inputs'!$B$32,'Inputs'!$B$30+'Inputs'!$B$31+'Inputs'!$B$32)/1000+'Inputs'!$B$21))^2+('Inputs'!$B$6/2)^2)))-'Results'!C7*(1-'Inputs'!$B$24)*(0.5*((((239-43)*MAX('Inputs'!$B$33,'Inputs'!$B$29+'Inputs'!$B$31+'Inputs'!$B$32,'Inputs'!$B$30+'Inputs'!$B$31+'Inputs'!$B$32)/1000+'Inputs'!$B$21+'Inputs'!$B$7+'Inputs'!$B$10)+'Inputs'!$B$9)/SQRT((((239-43)*MAX('Inputs'!$B$33,'Inputs'!$B$29+'Inputs'!$B$31+'Inputs'!$B$32,'Inputs'!$B$30+'Inputs'!$B$31+'Inputs'!$B$32)/1000+'Inputs'!$B$21+'Inputs'!$B$7+'Inputs'!$B$10)+'Inputs'!$B$9)^2+('Inputs'!$B$8/2)^2)-(((239-43)*MAX('Inputs'!$B$33,'Inputs'!$B$29+'Inputs'!$B$31+'Inputs'!$B$32,'Inputs'!$B$30+'Inputs'!$B$31+'Inputs'!$B$32)/1000+'Inputs'!$B$21+'Inputs'!$B$7+'Inputs'!$B$10))/SQRT((((239-43)*MAX('Inputs'!$B$33,'Inputs'!$B$29+'Inputs'!$B$31+'Inputs'!$B$32,'Inputs'!$B$30+'Inputs'!$B$31+'Inputs'!$B$32)/1000+'Inputs'!$B$21+'Inputs'!$B$7+'Inputs'!$B$10))^2+('Inputs'!$B$8/2)^2))))*'Results'!$B$8)+'Inputs'!$B$28*ABS((('Results'!B7*(1+'Inputs'!$B$24)*(0.5*((((239-43)*MAX('Inputs'!$B$33,'Inputs'!$B$29+'Inputs'!$B$31+'Inputs'!$B$32,'Inputs'!$B$30+'Inputs'!$B$31+'Inputs'!$B$32)/1000+'Inputs'!$B$21)+'Inputs'!$B$7)/SQRT((((239-43)*MAX('Inputs'!$B$33,'Inputs'!$B$29+'Inputs'!$B$31+'Inputs'!$B$32,'Inputs'!$B$30+'Inputs'!$B$31+'Inputs'!$B$32)/1000+'Inputs'!$B$21)+'Inputs'!$B$7)^2+('Inputs'!$B$6/2)^2)-(((239-43)*MAX('Inputs'!$B$33,'Inputs'!$B$29+'Inputs'!$B$31+'Inputs'!$B$32,'Inputs'!$B$30+'Inputs'!$B$31+'Inputs'!$B$32)/1000+'Inputs'!$B$21))/SQRT((((239-43)*MAX('Inputs'!$B$33,'Inputs'!$B$29+'Inputs'!$B$31+'Inputs'!$B$32,'Inputs'!$B$30+'Inputs'!$B$31+'Inputs'!$B$32)/1000+'Inputs'!$B$21))^2+('Inputs'!$B$6/2)^2)))-'Results'!C7*(1-'Inputs'!$B$24)*(0.5*((((239-43)*MAX('Inputs'!$B$33,'Inputs'!$B$29+'Inputs'!$B$31+'Inputs'!$B$32,'Inputs'!$B$30+'Inputs'!$B$31+'Inputs'!$B$32)/1000+'Inputs'!$B$21+'Inputs'!$B$7+'Inputs'!$B$10)+'Inputs'!$B$9)/SQRT((((239-43)*MAX('Inputs'!$B$33,'Inputs'!$B$29+'Inputs'!$B$31+'Inputs'!$B$32,'Inputs'!$B$30+'Inputs'!$B$31+'Inputs'!$B$32)/1000+'Inputs'!$B$21+'Inputs'!$B$7+'Inputs'!$B$10)+'Inputs'!$B$9)^2+('Inputs'!$B$8/2)^2)-(((239-43)*MAX('Inputs'!$B$33,'Inputs'!$B$29+'Inputs'!$B$31+'Inputs'!$B$32,'Inputs'!$B$30+'Inputs'!$B$31+'Inputs'!$B$32)/1000+'Inputs'!$B$21+'Inputs'!$B$7+'Inputs'!$B$10))/SQRT((((239-43)*MAX('Inputs'!$B$33,'Inputs'!$B$29+'Inputs'!$B$31+'Inputs'!$B$32,'Inputs'!$B$30+'Inputs'!$B$31+'Inputs'!$B$32)/1000+'Inputs'!$B$21+'Inputs'!$B$7+'Inputs'!$B$10))^2+('Inputs'!$B$8/2)^2))))*'Results'!$B$8))),"")</x:f>
        <x:v>84.28815914941256</x:v>
      </x:c>
      <x:c r="M239" t="n">
        <x:f>IF(AND(ISNUMBER('Results'!C7),ISNUMBER('Results'!B7),ISNUMBER('Results'!$B$8),ISNUMBER('Inputs'!$B$6),ISNUMBER('Inputs'!$B$7),ISNUMBER('Inputs'!$B$8),ISNUMBER('Inputs'!$B$9),ISNUMBER('Inputs'!$B$10),ISNUMBER('Inputs'!$B$21),ISNUMBER('Inputs'!$B$24),ISNUMBER('Inputs'!$B$28)),(('Results'!C7*(0.5*((((239-43)*MAX('Inputs'!$B$33,'Inputs'!$B$29+'Inputs'!$B$31+'Inputs'!$B$32,'Inputs'!$B$30+'Inputs'!$B$31+'Inputs'!$B$32)/1000+'Inputs'!$B$21)+'Inputs'!$B$9)/SQRT((((239-43)*MAX('Inputs'!$B$33,'Inputs'!$B$29+'Inputs'!$B$31+'Inputs'!$B$32,'Inputs'!$B$30+'Inputs'!$B$31+'Inputs'!$B$32)/1000+'Inputs'!$B$21)+'Inputs'!$B$9)^2+('Inputs'!$B$8/2)^2)-(((239-43)*MAX('Inputs'!$B$33,'Inputs'!$B$29+'Inputs'!$B$31+'Inputs'!$B$32,'Inputs'!$B$30+'Inputs'!$B$31+'Inputs'!$B$32)/1000+'Inputs'!$B$21))/SQRT((((239-43)*MAX('Inputs'!$B$33,'Inputs'!$B$29+'Inputs'!$B$31+'Inputs'!$B$32,'Inputs'!$B$30+'Inputs'!$B$31+'Inputs'!$B$32)/1000+'Inputs'!$B$21))^2+('Inputs'!$B$8/2)^2)))-'Results'!B7*(0.5*((((239-43)*MAX('Inputs'!$B$33,'Inputs'!$B$29+'Inputs'!$B$31+'Inputs'!$B$32,'Inputs'!$B$30+'Inputs'!$B$31+'Inputs'!$B$32)/1000+'Inputs'!$B$21+'Inputs'!$B$9+'Inputs'!$B$10)+'Inputs'!$B$7)/SQRT((((239-43)*MAX('Inputs'!$B$33,'Inputs'!$B$29+'Inputs'!$B$31+'Inputs'!$B$32,'Inputs'!$B$30+'Inputs'!$B$31+'Inputs'!$B$32)/1000+'Inputs'!$B$21+'Inputs'!$B$9+'Inputs'!$B$10)+'Inputs'!$B$7)^2+('Inputs'!$B$6/2)^2)-(((239-43)*MAX('Inputs'!$B$33,'Inputs'!$B$29+'Inputs'!$B$31+'Inputs'!$B$32,'Inputs'!$B$30+'Inputs'!$B$31+'Inputs'!$B$32)/1000+'Inputs'!$B$21+'Inputs'!$B$9+'Inputs'!$B$10))/SQRT((((239-43)*MAX('Inputs'!$B$33,'Inputs'!$B$29+'Inputs'!$B$31+'Inputs'!$B$32,'Inputs'!$B$30+'Inputs'!$B$31+'Inputs'!$B$32)/1000+'Inputs'!$B$21+'Inputs'!$B$9+'Inputs'!$B$10))^2+('Inputs'!$B$6/2)^2))))*'Results'!$B$8),"")</x:f>
        <x:v>74.49219489679372</x:v>
      </x:c>
      <x:c r="N239" t="n">
        <x:f>IF(AND(ISNUMBER('Results'!C7),ISNUMBER('Results'!B7),ISNUMBER('Results'!$B$8),ISNUMBER('Inputs'!$B$6),ISNUMBER('Inputs'!$B$7),ISNUMBER('Inputs'!$B$8),ISNUMBER('Inputs'!$B$9),ISNUMBER('Inputs'!$B$10),ISNUMBER('Inputs'!$B$21),ISNUMBER('Inputs'!$B$24),ISNUMBER('Inputs'!$B$28)),((('Results'!C7*(1-'Inputs'!$B$24)*(0.5*((((239-43)*MAX('Inputs'!$B$33,'Inputs'!$B$29+'Inputs'!$B$31+'Inputs'!$B$32,'Inputs'!$B$30+'Inputs'!$B$31+'Inputs'!$B$32)/1000+'Inputs'!$B$21)+'Inputs'!$B$9)/SQRT((((239-43)*MAX('Inputs'!$B$33,'Inputs'!$B$29+'Inputs'!$B$31+'Inputs'!$B$32,'Inputs'!$B$30+'Inputs'!$B$31+'Inputs'!$B$32)/1000+'Inputs'!$B$21)+'Inputs'!$B$9)^2+('Inputs'!$B$8/2)^2)-(((239-43)*MAX('Inputs'!$B$33,'Inputs'!$B$29+'Inputs'!$B$31+'Inputs'!$B$32,'Inputs'!$B$30+'Inputs'!$B$31+'Inputs'!$B$32)/1000+'Inputs'!$B$21))/SQRT((((239-43)*MAX('Inputs'!$B$33,'Inputs'!$B$29+'Inputs'!$B$31+'Inputs'!$B$32,'Inputs'!$B$30+'Inputs'!$B$31+'Inputs'!$B$32)/1000+'Inputs'!$B$21))^2+('Inputs'!$B$8/2)^2)))-'Results'!B7*(1+'Inputs'!$B$24)*(0.5*((((239-43)*MAX('Inputs'!$B$33,'Inputs'!$B$29+'Inputs'!$B$31+'Inputs'!$B$32,'Inputs'!$B$30+'Inputs'!$B$31+'Inputs'!$B$32)/1000+'Inputs'!$B$21+'Inputs'!$B$9+'Inputs'!$B$10)+'Inputs'!$B$7)/SQRT((((239-43)*MAX('Inputs'!$B$33,'Inputs'!$B$29+'Inputs'!$B$31+'Inputs'!$B$32,'Inputs'!$B$30+'Inputs'!$B$31+'Inputs'!$B$32)/1000+'Inputs'!$B$21+'Inputs'!$B$9+'Inputs'!$B$10)+'Inputs'!$B$7)^2+('Inputs'!$B$6/2)^2)-(((239-43)*MAX('Inputs'!$B$33,'Inputs'!$B$29+'Inputs'!$B$31+'Inputs'!$B$32,'Inputs'!$B$30+'Inputs'!$B$31+'Inputs'!$B$32)/1000+'Inputs'!$B$21+'Inputs'!$B$9+'Inputs'!$B$10))/SQRT((((239-43)*MAX('Inputs'!$B$33,'Inputs'!$B$29+'Inputs'!$B$31+'Inputs'!$B$32,'Inputs'!$B$30+'Inputs'!$B$31+'Inputs'!$B$32)/1000+'Inputs'!$B$21+'Inputs'!$B$9+'Inputs'!$B$10))^2+('Inputs'!$B$6/2)^2))))*'Results'!$B$8)-'Inputs'!$B$28*ABS((('Results'!C7*(1-'Inputs'!$B$24)*(0.5*((((239-43)*MAX('Inputs'!$B$33,'Inputs'!$B$29+'Inputs'!$B$31+'Inputs'!$B$32,'Inputs'!$B$30+'Inputs'!$B$31+'Inputs'!$B$32)/1000+'Inputs'!$B$21)+'Inputs'!$B$9)/SQRT((((239-43)*MAX('Inputs'!$B$33,'Inputs'!$B$29+'Inputs'!$B$31+'Inputs'!$B$32,'Inputs'!$B$30+'Inputs'!$B$31+'Inputs'!$B$32)/1000+'Inputs'!$B$21)+'Inputs'!$B$9)^2+('Inputs'!$B$8/2)^2)-(((239-43)*MAX('Inputs'!$B$33,'Inputs'!$B$29+'Inputs'!$B$31+'Inputs'!$B$32,'Inputs'!$B$30+'Inputs'!$B$31+'Inputs'!$B$32)/1000+'Inputs'!$B$21))/SQRT((((239-43)*MAX('Inputs'!$B$33,'Inputs'!$B$29+'Inputs'!$B$31+'Inputs'!$B$32,'Inputs'!$B$30+'Inputs'!$B$31+'Inputs'!$B$32)/1000+'Inputs'!$B$21))^2+('Inputs'!$B$8/2)^2)))-'Results'!B7*(1+'Inputs'!$B$24)*(0.5*((((239-43)*MAX('Inputs'!$B$33,'Inputs'!$B$29+'Inputs'!$B$31+'Inputs'!$B$32,'Inputs'!$B$30+'Inputs'!$B$31+'Inputs'!$B$32)/1000+'Inputs'!$B$21+'Inputs'!$B$9+'Inputs'!$B$10)+'Inputs'!$B$7)/SQRT((((239-43)*MAX('Inputs'!$B$33,'Inputs'!$B$29+'Inputs'!$B$31+'Inputs'!$B$32,'Inputs'!$B$30+'Inputs'!$B$31+'Inputs'!$B$32)/1000+'Inputs'!$B$21+'Inputs'!$B$9+'Inputs'!$B$10)+'Inputs'!$B$7)^2+('Inputs'!$B$6/2)^2)-(((239-43)*MAX('Inputs'!$B$33,'Inputs'!$B$29+'Inputs'!$B$31+'Inputs'!$B$32,'Inputs'!$B$30+'Inputs'!$B$31+'Inputs'!$B$32)/1000+'Inputs'!$B$21+'Inputs'!$B$9+'Inputs'!$B$10))/SQRT((((239-43)*MAX('Inputs'!$B$33,'Inputs'!$B$29+'Inputs'!$B$31+'Inputs'!$B$32,'Inputs'!$B$30+'Inputs'!$B$31+'Inputs'!$B$32)/1000+'Inputs'!$B$21+'Inputs'!$B$9+'Inputs'!$B$10))^2+('Inputs'!$B$6/2)^2))))*'Results'!$B$8))),"")</x:f>
        <x:v>68.05664708332465</x:v>
      </x:c>
      <x:c r="O239" t="n">
        <x:f>IF(AND(ISNUMBER('Results'!C7),ISNUMBER('Results'!B7),ISNUMBER('Results'!$B$8),ISNUMBER('Inputs'!$B$6),ISNUMBER('Inputs'!$B$7),ISNUMBER('Inputs'!$B$8),ISNUMBER('Inputs'!$B$9),ISNUMBER('Inputs'!$B$10),ISNUMBER('Inputs'!$B$21),ISNUMBER('Inputs'!$B$24),ISNUMBER('Inputs'!$B$28)),((('Results'!C7*(1+'Inputs'!$B$24)*(0.5*((((239-43)*MAX('Inputs'!$B$33,'Inputs'!$B$29+'Inputs'!$B$31+'Inputs'!$B$32,'Inputs'!$B$30+'Inputs'!$B$31+'Inputs'!$B$32)/1000+'Inputs'!$B$21)+'Inputs'!$B$9)/SQRT((((239-43)*MAX('Inputs'!$B$33,'Inputs'!$B$29+'Inputs'!$B$31+'Inputs'!$B$32,'Inputs'!$B$30+'Inputs'!$B$31+'Inputs'!$B$32)/1000+'Inputs'!$B$21)+'Inputs'!$B$9)^2+('Inputs'!$B$8/2)^2)-(((239-43)*MAX('Inputs'!$B$33,'Inputs'!$B$29+'Inputs'!$B$31+'Inputs'!$B$32,'Inputs'!$B$30+'Inputs'!$B$31+'Inputs'!$B$32)/1000+'Inputs'!$B$21))/SQRT((((239-43)*MAX('Inputs'!$B$33,'Inputs'!$B$29+'Inputs'!$B$31+'Inputs'!$B$32,'Inputs'!$B$30+'Inputs'!$B$31+'Inputs'!$B$32)/1000+'Inputs'!$B$21))^2+('Inputs'!$B$8/2)^2)))-'Results'!B7*(1-'Inputs'!$B$24)*(0.5*((((239-43)*MAX('Inputs'!$B$33,'Inputs'!$B$29+'Inputs'!$B$31+'Inputs'!$B$32,'Inputs'!$B$30+'Inputs'!$B$31+'Inputs'!$B$32)/1000+'Inputs'!$B$21+'Inputs'!$B$9+'Inputs'!$B$10)+'Inputs'!$B$7)/SQRT((((239-43)*MAX('Inputs'!$B$33,'Inputs'!$B$29+'Inputs'!$B$31+'Inputs'!$B$32,'Inputs'!$B$30+'Inputs'!$B$31+'Inputs'!$B$32)/1000+'Inputs'!$B$21+'Inputs'!$B$9+'Inputs'!$B$10)+'Inputs'!$B$7)^2+('Inputs'!$B$6/2)^2)-(((239-43)*MAX('Inputs'!$B$33,'Inputs'!$B$29+'Inputs'!$B$31+'Inputs'!$B$32,'Inputs'!$B$30+'Inputs'!$B$31+'Inputs'!$B$32)/1000+'Inputs'!$B$21+'Inputs'!$B$9+'Inputs'!$B$10))/SQRT((((239-43)*MAX('Inputs'!$B$33,'Inputs'!$B$29+'Inputs'!$B$31+'Inputs'!$B$32,'Inputs'!$B$30+'Inputs'!$B$31+'Inputs'!$B$32)/1000+'Inputs'!$B$21+'Inputs'!$B$9+'Inputs'!$B$10))^2+('Inputs'!$B$6/2)^2))))*'Results'!$B$8)+'Inputs'!$B$28*ABS((('Results'!C7*(1+'Inputs'!$B$24)*(0.5*((((239-43)*MAX('Inputs'!$B$33,'Inputs'!$B$29+'Inputs'!$B$31+'Inputs'!$B$32,'Inputs'!$B$30+'Inputs'!$B$31+'Inputs'!$B$32)/1000+'Inputs'!$B$21)+'Inputs'!$B$9)/SQRT((((239-43)*MAX('Inputs'!$B$33,'Inputs'!$B$29+'Inputs'!$B$31+'Inputs'!$B$32,'Inputs'!$B$30+'Inputs'!$B$31+'Inputs'!$B$32)/1000+'Inputs'!$B$21)+'Inputs'!$B$9)^2+('Inputs'!$B$8/2)^2)-(((239-43)*MAX('Inputs'!$B$33,'Inputs'!$B$29+'Inputs'!$B$31+'Inputs'!$B$32,'Inputs'!$B$30+'Inputs'!$B$31+'Inputs'!$B$32)/1000+'Inputs'!$B$21))/SQRT((((239-43)*MAX('Inputs'!$B$33,'Inputs'!$B$29+'Inputs'!$B$31+'Inputs'!$B$32,'Inputs'!$B$30+'Inputs'!$B$31+'Inputs'!$B$32)/1000+'Inputs'!$B$21))^2+('Inputs'!$B$8/2)^2)))-'Results'!B7*(1-'Inputs'!$B$24)*(0.5*((((239-43)*MAX('Inputs'!$B$33,'Inputs'!$B$29+'Inputs'!$B$31+'Inputs'!$B$32,'Inputs'!$B$30+'Inputs'!$B$31+'Inputs'!$B$32)/1000+'Inputs'!$B$21+'Inputs'!$B$9+'Inputs'!$B$10)+'Inputs'!$B$7)/SQRT((((239-43)*MAX('Inputs'!$B$33,'Inputs'!$B$29+'Inputs'!$B$31+'Inputs'!$B$32,'Inputs'!$B$30+'Inputs'!$B$31+'Inputs'!$B$32)/1000+'Inputs'!$B$21+'Inputs'!$B$9+'Inputs'!$B$10)+'Inputs'!$B$7)^2+('Inputs'!$B$6/2)^2)-(((239-43)*MAX('Inputs'!$B$33,'Inputs'!$B$29+'Inputs'!$B$31+'Inputs'!$B$32,'Inputs'!$B$30+'Inputs'!$B$31+'Inputs'!$B$32)/1000+'Inputs'!$B$21+'Inputs'!$B$9+'Inputs'!$B$10))/SQRT((((239-43)*MAX('Inputs'!$B$33,'Inputs'!$B$29+'Inputs'!$B$31+'Inputs'!$B$32,'Inputs'!$B$30+'Inputs'!$B$31+'Inputs'!$B$32)/1000+'Inputs'!$B$21+'Inputs'!$B$9+'Inputs'!$B$10))^2+('Inputs'!$B$6/2)^2))))*'Results'!$B$8))),"")</x:f>
        <x:v>81.21310461222379</x:v>
      </x:c>
      <x:c r="P239" t="n">
        <x:f>IF(AND(MAX(J239,J238)&gt;0,J239&gt;J238+0.00000001),1,0)</x:f>
        <x:v>0</x:v>
      </x:c>
      <x:c r="Q239" t="n">
        <x:f>IF(AND(MAX(K239,K238)&gt;0,K239&gt;K238+0.00000001),1,0)</x:f>
        <x:v>0</x:v>
      </x:c>
      <x:c r="R239" t="n">
        <x:f>IF(AND(MAX(L239,L238)&gt;0,L239&gt;L238+0.00000001),1,0)</x:f>
        <x:v>0</x:v>
      </x:c>
      <x:c r="S239" t="n">
        <x:f>IF(AND(MAX(M239,M238)&gt;0,M239&gt;M238+0.00000001),1,0)</x:f>
        <x:v>0</x:v>
      </x:c>
      <x:c r="T239" t="n">
        <x:f>IF(AND(MAX(N239,N238)&gt;0,N239&gt;N238+0.00000001),1,0)</x:f>
        <x:v>0</x:v>
      </x:c>
      <x:c r="U239" t="n">
        <x:f>IF(AND(MAX(O239,O238)&gt;0,O239&gt;O238+0.00000001),1,0)</x:f>
        <x:v>0</x:v>
      </x:c>
    </x:row>
    <x:row r="240">
      <x:c r="J240" t="n">
        <x:f>IF(AND(ISNUMBER('Results'!B7),ISNUMBER('Results'!C7),ISNUMBER('Results'!$B$8),ISNUMBER('Inputs'!$B$6),ISNUMBER('Inputs'!$B$7),ISNUMBER('Inputs'!$B$8),ISNUMBER('Inputs'!$B$9),ISNUMBER('Inputs'!$B$10),ISNUMBER('Inputs'!$B$21),ISNUMBER('Inputs'!$B$24),ISNUMBER('Inputs'!$B$28)),(('Results'!B7*(0.5*((((240-43)*MAX('Inputs'!$B$33,'Inputs'!$B$29+'Inputs'!$B$31+'Inputs'!$B$32,'Inputs'!$B$30+'Inputs'!$B$31+'Inputs'!$B$32)/1000+'Inputs'!$B$21)+'Inputs'!$B$7)/SQRT((((240-43)*MAX('Inputs'!$B$33,'Inputs'!$B$29+'Inputs'!$B$31+'Inputs'!$B$32,'Inputs'!$B$30+'Inputs'!$B$31+'Inputs'!$B$32)/1000+'Inputs'!$B$21)+'Inputs'!$B$7)^2+('Inputs'!$B$6/2)^2)-(((240-43)*MAX('Inputs'!$B$33,'Inputs'!$B$29+'Inputs'!$B$31+'Inputs'!$B$32,'Inputs'!$B$30+'Inputs'!$B$31+'Inputs'!$B$32)/1000+'Inputs'!$B$21))/SQRT((((240-43)*MAX('Inputs'!$B$33,'Inputs'!$B$29+'Inputs'!$B$31+'Inputs'!$B$32,'Inputs'!$B$30+'Inputs'!$B$31+'Inputs'!$B$32)/1000+'Inputs'!$B$21))^2+('Inputs'!$B$6/2)^2)))-'Results'!C7*(0.5*((((240-43)*MAX('Inputs'!$B$33,'Inputs'!$B$29+'Inputs'!$B$31+'Inputs'!$B$32,'Inputs'!$B$30+'Inputs'!$B$31+'Inputs'!$B$32)/1000+'Inputs'!$B$21+'Inputs'!$B$7+'Inputs'!$B$10)+'Inputs'!$B$9)/SQRT((((240-43)*MAX('Inputs'!$B$33,'Inputs'!$B$29+'Inputs'!$B$31+'Inputs'!$B$32,'Inputs'!$B$30+'Inputs'!$B$31+'Inputs'!$B$32)/1000+'Inputs'!$B$21+'Inputs'!$B$7+'Inputs'!$B$10)+'Inputs'!$B$9)^2+('Inputs'!$B$8/2)^2)-(((240-43)*MAX('Inputs'!$B$33,'Inputs'!$B$29+'Inputs'!$B$31+'Inputs'!$B$32,'Inputs'!$B$30+'Inputs'!$B$31+'Inputs'!$B$32)/1000+'Inputs'!$B$21+'Inputs'!$B$7+'Inputs'!$B$10))/SQRT((((240-43)*MAX('Inputs'!$B$33,'Inputs'!$B$29+'Inputs'!$B$31+'Inputs'!$B$32,'Inputs'!$B$30+'Inputs'!$B$31+'Inputs'!$B$32)/1000+'Inputs'!$B$21+'Inputs'!$B$7+'Inputs'!$B$10))^2+('Inputs'!$B$8/2)^2))))*'Results'!$B$8),"")</x:f>
        <x:v>76.32109730812574</x:v>
      </x:c>
      <x:c r="K240" t="n">
        <x:f>IF(AND(ISNUMBER('Results'!B7),ISNUMBER('Results'!C7),ISNUMBER('Results'!$B$8),ISNUMBER('Inputs'!$B$6),ISNUMBER('Inputs'!$B$7),ISNUMBER('Inputs'!$B$8),ISNUMBER('Inputs'!$B$9),ISNUMBER('Inputs'!$B$10),ISNUMBER('Inputs'!$B$21),ISNUMBER('Inputs'!$B$24),ISNUMBER('Inputs'!$B$28)),((('Results'!B7*(1-'Inputs'!$B$24)*(0.5*((((240-43)*MAX('Inputs'!$B$33,'Inputs'!$B$29+'Inputs'!$B$31+'Inputs'!$B$32,'Inputs'!$B$30+'Inputs'!$B$31+'Inputs'!$B$32)/1000+'Inputs'!$B$21)+'Inputs'!$B$7)/SQRT((((240-43)*MAX('Inputs'!$B$33,'Inputs'!$B$29+'Inputs'!$B$31+'Inputs'!$B$32,'Inputs'!$B$30+'Inputs'!$B$31+'Inputs'!$B$32)/1000+'Inputs'!$B$21)+'Inputs'!$B$7)^2+('Inputs'!$B$6/2)^2)-(((240-43)*MAX('Inputs'!$B$33,'Inputs'!$B$29+'Inputs'!$B$31+'Inputs'!$B$32,'Inputs'!$B$30+'Inputs'!$B$31+'Inputs'!$B$32)/1000+'Inputs'!$B$21))/SQRT((((240-43)*MAX('Inputs'!$B$33,'Inputs'!$B$29+'Inputs'!$B$31+'Inputs'!$B$32,'Inputs'!$B$30+'Inputs'!$B$31+'Inputs'!$B$32)/1000+'Inputs'!$B$21))^2+('Inputs'!$B$6/2)^2)))-'Results'!C7*(1+'Inputs'!$B$24)*(0.5*((((240-43)*MAX('Inputs'!$B$33,'Inputs'!$B$29+'Inputs'!$B$31+'Inputs'!$B$32,'Inputs'!$B$30+'Inputs'!$B$31+'Inputs'!$B$32)/1000+'Inputs'!$B$21+'Inputs'!$B$7+'Inputs'!$B$10)+'Inputs'!$B$9)/SQRT((((240-43)*MAX('Inputs'!$B$33,'Inputs'!$B$29+'Inputs'!$B$31+'Inputs'!$B$32,'Inputs'!$B$30+'Inputs'!$B$31+'Inputs'!$B$32)/1000+'Inputs'!$B$21+'Inputs'!$B$7+'Inputs'!$B$10)+'Inputs'!$B$9)^2+('Inputs'!$B$8/2)^2)-(((240-43)*MAX('Inputs'!$B$33,'Inputs'!$B$29+'Inputs'!$B$31+'Inputs'!$B$32,'Inputs'!$B$30+'Inputs'!$B$31+'Inputs'!$B$32)/1000+'Inputs'!$B$21+'Inputs'!$B$7+'Inputs'!$B$10))/SQRT((((240-43)*MAX('Inputs'!$B$33,'Inputs'!$B$29+'Inputs'!$B$31+'Inputs'!$B$32,'Inputs'!$B$30+'Inputs'!$B$31+'Inputs'!$B$32)/1000+'Inputs'!$B$21+'Inputs'!$B$7+'Inputs'!$B$10))^2+('Inputs'!$B$8/2)^2))))*'Results'!$B$8)-'Inputs'!$B$28*ABS((('Results'!B7*(1-'Inputs'!$B$24)*(0.5*((((240-43)*MAX('Inputs'!$B$33,'Inputs'!$B$29+'Inputs'!$B$31+'Inputs'!$B$32,'Inputs'!$B$30+'Inputs'!$B$31+'Inputs'!$B$32)/1000+'Inputs'!$B$21)+'Inputs'!$B$7)/SQRT((((240-43)*MAX('Inputs'!$B$33,'Inputs'!$B$29+'Inputs'!$B$31+'Inputs'!$B$32,'Inputs'!$B$30+'Inputs'!$B$31+'Inputs'!$B$32)/1000+'Inputs'!$B$21)+'Inputs'!$B$7)^2+('Inputs'!$B$6/2)^2)-(((240-43)*MAX('Inputs'!$B$33,'Inputs'!$B$29+'Inputs'!$B$31+'Inputs'!$B$32,'Inputs'!$B$30+'Inputs'!$B$31+'Inputs'!$B$32)/1000+'Inputs'!$B$21))/SQRT((((240-43)*MAX('Inputs'!$B$33,'Inputs'!$B$29+'Inputs'!$B$31+'Inputs'!$B$32,'Inputs'!$B$30+'Inputs'!$B$31+'Inputs'!$B$32)/1000+'Inputs'!$B$21))^2+('Inputs'!$B$6/2)^2)))-'Results'!C7*(1+'Inputs'!$B$24)*(0.5*((((240-43)*MAX('Inputs'!$B$33,'Inputs'!$B$29+'Inputs'!$B$31+'Inputs'!$B$32,'Inputs'!$B$30+'Inputs'!$B$31+'Inputs'!$B$32)/1000+'Inputs'!$B$21+'Inputs'!$B$7+'Inputs'!$B$10)+'Inputs'!$B$9)/SQRT((((240-43)*MAX('Inputs'!$B$33,'Inputs'!$B$29+'Inputs'!$B$31+'Inputs'!$B$32,'Inputs'!$B$30+'Inputs'!$B$31+'Inputs'!$B$32)/1000+'Inputs'!$B$21+'Inputs'!$B$7+'Inputs'!$B$10)+'Inputs'!$B$9)^2+('Inputs'!$B$8/2)^2)-(((240-43)*MAX('Inputs'!$B$33,'Inputs'!$B$29+'Inputs'!$B$31+'Inputs'!$B$32,'Inputs'!$B$30+'Inputs'!$B$31+'Inputs'!$B$32)/1000+'Inputs'!$B$21+'Inputs'!$B$7+'Inputs'!$B$10))/SQRT((((240-43)*MAX('Inputs'!$B$33,'Inputs'!$B$29+'Inputs'!$B$31+'Inputs'!$B$32,'Inputs'!$B$30+'Inputs'!$B$31+'Inputs'!$B$32)/1000+'Inputs'!$B$21+'Inputs'!$B$7+'Inputs'!$B$10))^2+('Inputs'!$B$8/2)^2))))*'Results'!$B$8))),"")</x:f>
        <x:v>69.79614374072882</x:v>
      </x:c>
      <x:c r="L240" t="n">
        <x:f>IF(AND(ISNUMBER('Results'!B7),ISNUMBER('Results'!C7),ISNUMBER('Results'!$B$8),ISNUMBER('Inputs'!$B$6),ISNUMBER('Inputs'!$B$7),ISNUMBER('Inputs'!$B$8),ISNUMBER('Inputs'!$B$9),ISNUMBER('Inputs'!$B$10),ISNUMBER('Inputs'!$B$21),ISNUMBER('Inputs'!$B$24),ISNUMBER('Inputs'!$B$28)),((('Results'!B7*(1+'Inputs'!$B$24)*(0.5*((((240-43)*MAX('Inputs'!$B$33,'Inputs'!$B$29+'Inputs'!$B$31+'Inputs'!$B$32,'Inputs'!$B$30+'Inputs'!$B$31+'Inputs'!$B$32)/1000+'Inputs'!$B$21)+'Inputs'!$B$7)/SQRT((((240-43)*MAX('Inputs'!$B$33,'Inputs'!$B$29+'Inputs'!$B$31+'Inputs'!$B$32,'Inputs'!$B$30+'Inputs'!$B$31+'Inputs'!$B$32)/1000+'Inputs'!$B$21)+'Inputs'!$B$7)^2+('Inputs'!$B$6/2)^2)-(((240-43)*MAX('Inputs'!$B$33,'Inputs'!$B$29+'Inputs'!$B$31+'Inputs'!$B$32,'Inputs'!$B$30+'Inputs'!$B$31+'Inputs'!$B$32)/1000+'Inputs'!$B$21))/SQRT((((240-43)*MAX('Inputs'!$B$33,'Inputs'!$B$29+'Inputs'!$B$31+'Inputs'!$B$32,'Inputs'!$B$30+'Inputs'!$B$31+'Inputs'!$B$32)/1000+'Inputs'!$B$21))^2+('Inputs'!$B$6/2)^2)))-'Results'!C7*(1-'Inputs'!$B$24)*(0.5*((((240-43)*MAX('Inputs'!$B$33,'Inputs'!$B$29+'Inputs'!$B$31+'Inputs'!$B$32,'Inputs'!$B$30+'Inputs'!$B$31+'Inputs'!$B$32)/1000+'Inputs'!$B$21+'Inputs'!$B$7+'Inputs'!$B$10)+'Inputs'!$B$9)/SQRT((((240-43)*MAX('Inputs'!$B$33,'Inputs'!$B$29+'Inputs'!$B$31+'Inputs'!$B$32,'Inputs'!$B$30+'Inputs'!$B$31+'Inputs'!$B$32)/1000+'Inputs'!$B$21+'Inputs'!$B$7+'Inputs'!$B$10)+'Inputs'!$B$9)^2+('Inputs'!$B$8/2)^2)-(((240-43)*MAX('Inputs'!$B$33,'Inputs'!$B$29+'Inputs'!$B$31+'Inputs'!$B$32,'Inputs'!$B$30+'Inputs'!$B$31+'Inputs'!$B$32)/1000+'Inputs'!$B$21+'Inputs'!$B$7+'Inputs'!$B$10))/SQRT((((240-43)*MAX('Inputs'!$B$33,'Inputs'!$B$29+'Inputs'!$B$31+'Inputs'!$B$32,'Inputs'!$B$30+'Inputs'!$B$31+'Inputs'!$B$32)/1000+'Inputs'!$B$21+'Inputs'!$B$7+'Inputs'!$B$10))^2+('Inputs'!$B$8/2)^2))))*'Results'!$B$8)+'Inputs'!$B$28*ABS((('Results'!B7*(1+'Inputs'!$B$24)*(0.5*((((240-43)*MAX('Inputs'!$B$33,'Inputs'!$B$29+'Inputs'!$B$31+'Inputs'!$B$32,'Inputs'!$B$30+'Inputs'!$B$31+'Inputs'!$B$32)/1000+'Inputs'!$B$21)+'Inputs'!$B$7)/SQRT((((240-43)*MAX('Inputs'!$B$33,'Inputs'!$B$29+'Inputs'!$B$31+'Inputs'!$B$32,'Inputs'!$B$30+'Inputs'!$B$31+'Inputs'!$B$32)/1000+'Inputs'!$B$21)+'Inputs'!$B$7)^2+('Inputs'!$B$6/2)^2)-(((240-43)*MAX('Inputs'!$B$33,'Inputs'!$B$29+'Inputs'!$B$31+'Inputs'!$B$32,'Inputs'!$B$30+'Inputs'!$B$31+'Inputs'!$B$32)/1000+'Inputs'!$B$21))/SQRT((((240-43)*MAX('Inputs'!$B$33,'Inputs'!$B$29+'Inputs'!$B$31+'Inputs'!$B$32,'Inputs'!$B$30+'Inputs'!$B$31+'Inputs'!$B$32)/1000+'Inputs'!$B$21))^2+('Inputs'!$B$6/2)^2)))-'Results'!C7*(1-'Inputs'!$B$24)*(0.5*((((240-43)*MAX('Inputs'!$B$33,'Inputs'!$B$29+'Inputs'!$B$31+'Inputs'!$B$32,'Inputs'!$B$30+'Inputs'!$B$31+'Inputs'!$B$32)/1000+'Inputs'!$B$21+'Inputs'!$B$7+'Inputs'!$B$10)+'Inputs'!$B$9)/SQRT((((240-43)*MAX('Inputs'!$B$33,'Inputs'!$B$29+'Inputs'!$B$31+'Inputs'!$B$32,'Inputs'!$B$30+'Inputs'!$B$31+'Inputs'!$B$32)/1000+'Inputs'!$B$21+'Inputs'!$B$7+'Inputs'!$B$10)+'Inputs'!$B$9)^2+('Inputs'!$B$8/2)^2)-(((240-43)*MAX('Inputs'!$B$33,'Inputs'!$B$29+'Inputs'!$B$31+'Inputs'!$B$32,'Inputs'!$B$30+'Inputs'!$B$31+'Inputs'!$B$32)/1000+'Inputs'!$B$21+'Inputs'!$B$7+'Inputs'!$B$10))/SQRT((((240-43)*MAX('Inputs'!$B$33,'Inputs'!$B$29+'Inputs'!$B$31+'Inputs'!$B$32,'Inputs'!$B$30+'Inputs'!$B$31+'Inputs'!$B$32)/1000+'Inputs'!$B$21+'Inputs'!$B$7+'Inputs'!$B$10))^2+('Inputs'!$B$8/2)^2))))*'Results'!$B$8))),"")</x:f>
        <x:v>83.13119810731114</x:v>
      </x:c>
      <x:c r="M240" t="n">
        <x:f>IF(AND(ISNUMBER('Results'!C7),ISNUMBER('Results'!B7),ISNUMBER('Results'!$B$8),ISNUMBER('Inputs'!$B$6),ISNUMBER('Inputs'!$B$7),ISNUMBER('Inputs'!$B$8),ISNUMBER('Inputs'!$B$9),ISNUMBER('Inputs'!$B$10),ISNUMBER('Inputs'!$B$21),ISNUMBER('Inputs'!$B$24),ISNUMBER('Inputs'!$B$28)),(('Results'!C7*(0.5*((((240-43)*MAX('Inputs'!$B$33,'Inputs'!$B$29+'Inputs'!$B$31+'Inputs'!$B$32,'Inputs'!$B$30+'Inputs'!$B$31+'Inputs'!$B$32)/1000+'Inputs'!$B$21)+'Inputs'!$B$9)/SQRT((((240-43)*MAX('Inputs'!$B$33,'Inputs'!$B$29+'Inputs'!$B$31+'Inputs'!$B$32,'Inputs'!$B$30+'Inputs'!$B$31+'Inputs'!$B$32)/1000+'Inputs'!$B$21)+'Inputs'!$B$9)^2+('Inputs'!$B$8/2)^2)-(((240-43)*MAX('Inputs'!$B$33,'Inputs'!$B$29+'Inputs'!$B$31+'Inputs'!$B$32,'Inputs'!$B$30+'Inputs'!$B$31+'Inputs'!$B$32)/1000+'Inputs'!$B$21))/SQRT((((240-43)*MAX('Inputs'!$B$33,'Inputs'!$B$29+'Inputs'!$B$31+'Inputs'!$B$32,'Inputs'!$B$30+'Inputs'!$B$31+'Inputs'!$B$32)/1000+'Inputs'!$B$21))^2+('Inputs'!$B$8/2)^2)))-'Results'!B7*(0.5*((((240-43)*MAX('Inputs'!$B$33,'Inputs'!$B$29+'Inputs'!$B$31+'Inputs'!$B$32,'Inputs'!$B$30+'Inputs'!$B$31+'Inputs'!$B$32)/1000+'Inputs'!$B$21+'Inputs'!$B$9+'Inputs'!$B$10)+'Inputs'!$B$7)/SQRT((((240-43)*MAX('Inputs'!$B$33,'Inputs'!$B$29+'Inputs'!$B$31+'Inputs'!$B$32,'Inputs'!$B$30+'Inputs'!$B$31+'Inputs'!$B$32)/1000+'Inputs'!$B$21+'Inputs'!$B$9+'Inputs'!$B$10)+'Inputs'!$B$7)^2+('Inputs'!$B$6/2)^2)-(((240-43)*MAX('Inputs'!$B$33,'Inputs'!$B$29+'Inputs'!$B$31+'Inputs'!$B$32,'Inputs'!$B$30+'Inputs'!$B$31+'Inputs'!$B$32)/1000+'Inputs'!$B$21+'Inputs'!$B$9+'Inputs'!$B$10))/SQRT((((240-43)*MAX('Inputs'!$B$33,'Inputs'!$B$29+'Inputs'!$B$31+'Inputs'!$B$32,'Inputs'!$B$30+'Inputs'!$B$31+'Inputs'!$B$32)/1000+'Inputs'!$B$21+'Inputs'!$B$9+'Inputs'!$B$10))^2+('Inputs'!$B$6/2)^2))))*'Results'!$B$8),"")</x:f>
        <x:v>73.45610406808044</x:v>
      </x:c>
      <x:c r="N240" t="n">
        <x:f>IF(AND(ISNUMBER('Results'!C7),ISNUMBER('Results'!B7),ISNUMBER('Results'!$B$8),ISNUMBER('Inputs'!$B$6),ISNUMBER('Inputs'!$B$7),ISNUMBER('Inputs'!$B$8),ISNUMBER('Inputs'!$B$9),ISNUMBER('Inputs'!$B$10),ISNUMBER('Inputs'!$B$21),ISNUMBER('Inputs'!$B$24),ISNUMBER('Inputs'!$B$28)),((('Results'!C7*(1-'Inputs'!$B$24)*(0.5*((((240-43)*MAX('Inputs'!$B$33,'Inputs'!$B$29+'Inputs'!$B$31+'Inputs'!$B$32,'Inputs'!$B$30+'Inputs'!$B$31+'Inputs'!$B$32)/1000+'Inputs'!$B$21)+'Inputs'!$B$9)/SQRT((((240-43)*MAX('Inputs'!$B$33,'Inputs'!$B$29+'Inputs'!$B$31+'Inputs'!$B$32,'Inputs'!$B$30+'Inputs'!$B$31+'Inputs'!$B$32)/1000+'Inputs'!$B$21)+'Inputs'!$B$9)^2+('Inputs'!$B$8/2)^2)-(((240-43)*MAX('Inputs'!$B$33,'Inputs'!$B$29+'Inputs'!$B$31+'Inputs'!$B$32,'Inputs'!$B$30+'Inputs'!$B$31+'Inputs'!$B$32)/1000+'Inputs'!$B$21))/SQRT((((240-43)*MAX('Inputs'!$B$33,'Inputs'!$B$29+'Inputs'!$B$31+'Inputs'!$B$32,'Inputs'!$B$30+'Inputs'!$B$31+'Inputs'!$B$32)/1000+'Inputs'!$B$21))^2+('Inputs'!$B$8/2)^2)))-'Results'!B7*(1+'Inputs'!$B$24)*(0.5*((((240-43)*MAX('Inputs'!$B$33,'Inputs'!$B$29+'Inputs'!$B$31+'Inputs'!$B$32,'Inputs'!$B$30+'Inputs'!$B$31+'Inputs'!$B$32)/1000+'Inputs'!$B$21+'Inputs'!$B$9+'Inputs'!$B$10)+'Inputs'!$B$7)/SQRT((((240-43)*MAX('Inputs'!$B$33,'Inputs'!$B$29+'Inputs'!$B$31+'Inputs'!$B$32,'Inputs'!$B$30+'Inputs'!$B$31+'Inputs'!$B$32)/1000+'Inputs'!$B$21+'Inputs'!$B$9+'Inputs'!$B$10)+'Inputs'!$B$7)^2+('Inputs'!$B$6/2)^2)-(((240-43)*MAX('Inputs'!$B$33,'Inputs'!$B$29+'Inputs'!$B$31+'Inputs'!$B$32,'Inputs'!$B$30+'Inputs'!$B$31+'Inputs'!$B$32)/1000+'Inputs'!$B$21+'Inputs'!$B$9+'Inputs'!$B$10))/SQRT((((240-43)*MAX('Inputs'!$B$33,'Inputs'!$B$29+'Inputs'!$B$31+'Inputs'!$B$32,'Inputs'!$B$30+'Inputs'!$B$31+'Inputs'!$B$32)/1000+'Inputs'!$B$21+'Inputs'!$B$9+'Inputs'!$B$10))^2+('Inputs'!$B$6/2)^2))))*'Results'!$B$8)-'Inputs'!$B$28*ABS((('Results'!C7*(1-'Inputs'!$B$24)*(0.5*((((240-43)*MAX('Inputs'!$B$33,'Inputs'!$B$29+'Inputs'!$B$31+'Inputs'!$B$32,'Inputs'!$B$30+'Inputs'!$B$31+'Inputs'!$B$32)/1000+'Inputs'!$B$21)+'Inputs'!$B$9)/SQRT((((240-43)*MAX('Inputs'!$B$33,'Inputs'!$B$29+'Inputs'!$B$31+'Inputs'!$B$32,'Inputs'!$B$30+'Inputs'!$B$31+'Inputs'!$B$32)/1000+'Inputs'!$B$21)+'Inputs'!$B$9)^2+('Inputs'!$B$8/2)^2)-(((240-43)*MAX('Inputs'!$B$33,'Inputs'!$B$29+'Inputs'!$B$31+'Inputs'!$B$32,'Inputs'!$B$30+'Inputs'!$B$31+'Inputs'!$B$32)/1000+'Inputs'!$B$21))/SQRT((((240-43)*MAX('Inputs'!$B$33,'Inputs'!$B$29+'Inputs'!$B$31+'Inputs'!$B$32,'Inputs'!$B$30+'Inputs'!$B$31+'Inputs'!$B$32)/1000+'Inputs'!$B$21))^2+('Inputs'!$B$8/2)^2)))-'Results'!B7*(1+'Inputs'!$B$24)*(0.5*((((240-43)*MAX('Inputs'!$B$33,'Inputs'!$B$29+'Inputs'!$B$31+'Inputs'!$B$32,'Inputs'!$B$30+'Inputs'!$B$31+'Inputs'!$B$32)/1000+'Inputs'!$B$21+'Inputs'!$B$9+'Inputs'!$B$10)+'Inputs'!$B$7)/SQRT((((240-43)*MAX('Inputs'!$B$33,'Inputs'!$B$29+'Inputs'!$B$31+'Inputs'!$B$32,'Inputs'!$B$30+'Inputs'!$B$31+'Inputs'!$B$32)/1000+'Inputs'!$B$21+'Inputs'!$B$9+'Inputs'!$B$10)+'Inputs'!$B$7)^2+('Inputs'!$B$6/2)^2)-(((240-43)*MAX('Inputs'!$B$33,'Inputs'!$B$29+'Inputs'!$B$31+'Inputs'!$B$32,'Inputs'!$B$30+'Inputs'!$B$31+'Inputs'!$B$32)/1000+'Inputs'!$B$21+'Inputs'!$B$9+'Inputs'!$B$10))/SQRT((((240-43)*MAX('Inputs'!$B$33,'Inputs'!$B$29+'Inputs'!$B$31+'Inputs'!$B$32,'Inputs'!$B$30+'Inputs'!$B$31+'Inputs'!$B$32)/1000+'Inputs'!$B$21+'Inputs'!$B$9+'Inputs'!$B$10))^2+('Inputs'!$B$6/2)^2))))*'Results'!$B$8))),"")</x:f>
        <x:v>67.10314528214182</x:v>
      </x:c>
      <x:c r="O240" t="n">
        <x:f>IF(AND(ISNUMBER('Results'!C7),ISNUMBER('Results'!B7),ISNUMBER('Results'!$B$8),ISNUMBER('Inputs'!$B$6),ISNUMBER('Inputs'!$B$7),ISNUMBER('Inputs'!$B$8),ISNUMBER('Inputs'!$B$9),ISNUMBER('Inputs'!$B$10),ISNUMBER('Inputs'!$B$21),ISNUMBER('Inputs'!$B$24),ISNUMBER('Inputs'!$B$28)),((('Results'!C7*(1+'Inputs'!$B$24)*(0.5*((((240-43)*MAX('Inputs'!$B$33,'Inputs'!$B$29+'Inputs'!$B$31+'Inputs'!$B$32,'Inputs'!$B$30+'Inputs'!$B$31+'Inputs'!$B$32)/1000+'Inputs'!$B$21)+'Inputs'!$B$9)/SQRT((((240-43)*MAX('Inputs'!$B$33,'Inputs'!$B$29+'Inputs'!$B$31+'Inputs'!$B$32,'Inputs'!$B$30+'Inputs'!$B$31+'Inputs'!$B$32)/1000+'Inputs'!$B$21)+'Inputs'!$B$9)^2+('Inputs'!$B$8/2)^2)-(((240-43)*MAX('Inputs'!$B$33,'Inputs'!$B$29+'Inputs'!$B$31+'Inputs'!$B$32,'Inputs'!$B$30+'Inputs'!$B$31+'Inputs'!$B$32)/1000+'Inputs'!$B$21))/SQRT((((240-43)*MAX('Inputs'!$B$33,'Inputs'!$B$29+'Inputs'!$B$31+'Inputs'!$B$32,'Inputs'!$B$30+'Inputs'!$B$31+'Inputs'!$B$32)/1000+'Inputs'!$B$21))^2+('Inputs'!$B$8/2)^2)))-'Results'!B7*(1-'Inputs'!$B$24)*(0.5*((((240-43)*MAX('Inputs'!$B$33,'Inputs'!$B$29+'Inputs'!$B$31+'Inputs'!$B$32,'Inputs'!$B$30+'Inputs'!$B$31+'Inputs'!$B$32)/1000+'Inputs'!$B$21+'Inputs'!$B$9+'Inputs'!$B$10)+'Inputs'!$B$7)/SQRT((((240-43)*MAX('Inputs'!$B$33,'Inputs'!$B$29+'Inputs'!$B$31+'Inputs'!$B$32,'Inputs'!$B$30+'Inputs'!$B$31+'Inputs'!$B$32)/1000+'Inputs'!$B$21+'Inputs'!$B$9+'Inputs'!$B$10)+'Inputs'!$B$7)^2+('Inputs'!$B$6/2)^2)-(((240-43)*MAX('Inputs'!$B$33,'Inputs'!$B$29+'Inputs'!$B$31+'Inputs'!$B$32,'Inputs'!$B$30+'Inputs'!$B$31+'Inputs'!$B$32)/1000+'Inputs'!$B$21+'Inputs'!$B$9+'Inputs'!$B$10))/SQRT((((240-43)*MAX('Inputs'!$B$33,'Inputs'!$B$29+'Inputs'!$B$31+'Inputs'!$B$32,'Inputs'!$B$30+'Inputs'!$B$31+'Inputs'!$B$32)/1000+'Inputs'!$B$21+'Inputs'!$B$9+'Inputs'!$B$10))^2+('Inputs'!$B$6/2)^2))))*'Results'!$B$8)+'Inputs'!$B$28*ABS((('Results'!C7*(1+'Inputs'!$B$24)*(0.5*((((240-43)*MAX('Inputs'!$B$33,'Inputs'!$B$29+'Inputs'!$B$31+'Inputs'!$B$32,'Inputs'!$B$30+'Inputs'!$B$31+'Inputs'!$B$32)/1000+'Inputs'!$B$21)+'Inputs'!$B$9)/SQRT((((240-43)*MAX('Inputs'!$B$33,'Inputs'!$B$29+'Inputs'!$B$31+'Inputs'!$B$32,'Inputs'!$B$30+'Inputs'!$B$31+'Inputs'!$B$32)/1000+'Inputs'!$B$21)+'Inputs'!$B$9)^2+('Inputs'!$B$8/2)^2)-(((240-43)*MAX('Inputs'!$B$33,'Inputs'!$B$29+'Inputs'!$B$31+'Inputs'!$B$32,'Inputs'!$B$30+'Inputs'!$B$31+'Inputs'!$B$32)/1000+'Inputs'!$B$21))/SQRT((((240-43)*MAX('Inputs'!$B$33,'Inputs'!$B$29+'Inputs'!$B$31+'Inputs'!$B$32,'Inputs'!$B$30+'Inputs'!$B$31+'Inputs'!$B$32)/1000+'Inputs'!$B$21))^2+('Inputs'!$B$8/2)^2)))-'Results'!B7*(1-'Inputs'!$B$24)*(0.5*((((240-43)*MAX('Inputs'!$B$33,'Inputs'!$B$29+'Inputs'!$B$31+'Inputs'!$B$32,'Inputs'!$B$30+'Inputs'!$B$31+'Inputs'!$B$32)/1000+'Inputs'!$B$21+'Inputs'!$B$9+'Inputs'!$B$10)+'Inputs'!$B$7)/SQRT((((240-43)*MAX('Inputs'!$B$33,'Inputs'!$B$29+'Inputs'!$B$31+'Inputs'!$B$32,'Inputs'!$B$30+'Inputs'!$B$31+'Inputs'!$B$32)/1000+'Inputs'!$B$21+'Inputs'!$B$9+'Inputs'!$B$10)+'Inputs'!$B$7)^2+('Inputs'!$B$6/2)^2)-(((240-43)*MAX('Inputs'!$B$33,'Inputs'!$B$29+'Inputs'!$B$31+'Inputs'!$B$32,'Inputs'!$B$30+'Inputs'!$B$31+'Inputs'!$B$32)/1000+'Inputs'!$B$21+'Inputs'!$B$9+'Inputs'!$B$10))/SQRT((((240-43)*MAX('Inputs'!$B$33,'Inputs'!$B$29+'Inputs'!$B$31+'Inputs'!$B$32,'Inputs'!$B$30+'Inputs'!$B$31+'Inputs'!$B$32)/1000+'Inputs'!$B$21+'Inputs'!$B$9+'Inputs'!$B$10))^2+('Inputs'!$B$6/2)^2))))*'Results'!$B$8))),"")</x:f>
        <x:v>80.09118428375952</x:v>
      </x:c>
      <x:c r="P240" t="n">
        <x:f>IF(AND(MAX(J240,J239)&gt;0,J240&gt;J239+0.00000001),1,0)</x:f>
        <x:v>0</x:v>
      </x:c>
      <x:c r="Q240" t="n">
        <x:f>IF(AND(MAX(K240,K239)&gt;0,K240&gt;K239+0.00000001),1,0)</x:f>
        <x:v>0</x:v>
      </x:c>
      <x:c r="R240" t="n">
        <x:f>IF(AND(MAX(L240,L239)&gt;0,L240&gt;L239+0.00000001),1,0)</x:f>
        <x:v>0</x:v>
      </x:c>
      <x:c r="S240" t="n">
        <x:f>IF(AND(MAX(M240,M239)&gt;0,M240&gt;M239+0.00000001),1,0)</x:f>
        <x:v>0</x:v>
      </x:c>
      <x:c r="T240" t="n">
        <x:f>IF(AND(MAX(N240,N239)&gt;0,N240&gt;N239+0.00000001),1,0)</x:f>
        <x:v>0</x:v>
      </x:c>
      <x:c r="U240" t="n">
        <x:f>IF(AND(MAX(O240,O239)&gt;0,O240&gt;O239+0.00000001),1,0)</x:f>
        <x:v>0</x:v>
      </x:c>
    </x:row>
    <x:row r="241">
      <x:c r="J241" t="n">
        <x:f>IF(AND(ISNUMBER('Results'!B7),ISNUMBER('Results'!C7),ISNUMBER('Results'!$B$8),ISNUMBER('Inputs'!$B$6),ISNUMBER('Inputs'!$B$7),ISNUMBER('Inputs'!$B$8),ISNUMBER('Inputs'!$B$9),ISNUMBER('Inputs'!$B$10),ISNUMBER('Inputs'!$B$21),ISNUMBER('Inputs'!$B$24),ISNUMBER('Inputs'!$B$28)),(('Results'!B7*(0.5*((((241-43)*MAX('Inputs'!$B$33,'Inputs'!$B$29+'Inputs'!$B$31+'Inputs'!$B$32,'Inputs'!$B$30+'Inputs'!$B$31+'Inputs'!$B$32)/1000+'Inputs'!$B$21)+'Inputs'!$B$7)/SQRT((((241-43)*MAX('Inputs'!$B$33,'Inputs'!$B$29+'Inputs'!$B$31+'Inputs'!$B$32,'Inputs'!$B$30+'Inputs'!$B$31+'Inputs'!$B$32)/1000+'Inputs'!$B$21)+'Inputs'!$B$7)^2+('Inputs'!$B$6/2)^2)-(((241-43)*MAX('Inputs'!$B$33,'Inputs'!$B$29+'Inputs'!$B$31+'Inputs'!$B$32,'Inputs'!$B$30+'Inputs'!$B$31+'Inputs'!$B$32)/1000+'Inputs'!$B$21))/SQRT((((241-43)*MAX('Inputs'!$B$33,'Inputs'!$B$29+'Inputs'!$B$31+'Inputs'!$B$32,'Inputs'!$B$30+'Inputs'!$B$31+'Inputs'!$B$32)/1000+'Inputs'!$B$21))^2+('Inputs'!$B$6/2)^2)))-'Results'!C7*(0.5*((((241-43)*MAX('Inputs'!$B$33,'Inputs'!$B$29+'Inputs'!$B$31+'Inputs'!$B$32,'Inputs'!$B$30+'Inputs'!$B$31+'Inputs'!$B$32)/1000+'Inputs'!$B$21+'Inputs'!$B$7+'Inputs'!$B$10)+'Inputs'!$B$9)/SQRT((((241-43)*MAX('Inputs'!$B$33,'Inputs'!$B$29+'Inputs'!$B$31+'Inputs'!$B$32,'Inputs'!$B$30+'Inputs'!$B$31+'Inputs'!$B$32)/1000+'Inputs'!$B$21+'Inputs'!$B$7+'Inputs'!$B$10)+'Inputs'!$B$9)^2+('Inputs'!$B$8/2)^2)-(((241-43)*MAX('Inputs'!$B$33,'Inputs'!$B$29+'Inputs'!$B$31+'Inputs'!$B$32,'Inputs'!$B$30+'Inputs'!$B$31+'Inputs'!$B$32)/1000+'Inputs'!$B$21+'Inputs'!$B$7+'Inputs'!$B$10))/SQRT((((241-43)*MAX('Inputs'!$B$33,'Inputs'!$B$29+'Inputs'!$B$31+'Inputs'!$B$32,'Inputs'!$B$30+'Inputs'!$B$31+'Inputs'!$B$32)/1000+'Inputs'!$B$21+'Inputs'!$B$7+'Inputs'!$B$10))^2+('Inputs'!$B$8/2)^2))))*'Results'!$B$8),"")</x:f>
        <x:v>75.27014063474307</x:v>
      </x:c>
      <x:c r="K241" t="n">
        <x:f>IF(AND(ISNUMBER('Results'!B7),ISNUMBER('Results'!C7),ISNUMBER('Results'!$B$8),ISNUMBER('Inputs'!$B$6),ISNUMBER('Inputs'!$B$7),ISNUMBER('Inputs'!$B$8),ISNUMBER('Inputs'!$B$9),ISNUMBER('Inputs'!$B$10),ISNUMBER('Inputs'!$B$21),ISNUMBER('Inputs'!$B$24),ISNUMBER('Inputs'!$B$28)),((('Results'!B7*(1-'Inputs'!$B$24)*(0.5*((((241-43)*MAX('Inputs'!$B$33,'Inputs'!$B$29+'Inputs'!$B$31+'Inputs'!$B$32,'Inputs'!$B$30+'Inputs'!$B$31+'Inputs'!$B$32)/1000+'Inputs'!$B$21)+'Inputs'!$B$7)/SQRT((((241-43)*MAX('Inputs'!$B$33,'Inputs'!$B$29+'Inputs'!$B$31+'Inputs'!$B$32,'Inputs'!$B$30+'Inputs'!$B$31+'Inputs'!$B$32)/1000+'Inputs'!$B$21)+'Inputs'!$B$7)^2+('Inputs'!$B$6/2)^2)-(((241-43)*MAX('Inputs'!$B$33,'Inputs'!$B$29+'Inputs'!$B$31+'Inputs'!$B$32,'Inputs'!$B$30+'Inputs'!$B$31+'Inputs'!$B$32)/1000+'Inputs'!$B$21))/SQRT((((241-43)*MAX('Inputs'!$B$33,'Inputs'!$B$29+'Inputs'!$B$31+'Inputs'!$B$32,'Inputs'!$B$30+'Inputs'!$B$31+'Inputs'!$B$32)/1000+'Inputs'!$B$21))^2+('Inputs'!$B$6/2)^2)))-'Results'!C7*(1+'Inputs'!$B$24)*(0.5*((((241-43)*MAX('Inputs'!$B$33,'Inputs'!$B$29+'Inputs'!$B$31+'Inputs'!$B$32,'Inputs'!$B$30+'Inputs'!$B$31+'Inputs'!$B$32)/1000+'Inputs'!$B$21+'Inputs'!$B$7+'Inputs'!$B$10)+'Inputs'!$B$9)/SQRT((((241-43)*MAX('Inputs'!$B$33,'Inputs'!$B$29+'Inputs'!$B$31+'Inputs'!$B$32,'Inputs'!$B$30+'Inputs'!$B$31+'Inputs'!$B$32)/1000+'Inputs'!$B$21+'Inputs'!$B$7+'Inputs'!$B$10)+'Inputs'!$B$9)^2+('Inputs'!$B$8/2)^2)-(((241-43)*MAX('Inputs'!$B$33,'Inputs'!$B$29+'Inputs'!$B$31+'Inputs'!$B$32,'Inputs'!$B$30+'Inputs'!$B$31+'Inputs'!$B$32)/1000+'Inputs'!$B$21+'Inputs'!$B$7+'Inputs'!$B$10))/SQRT((((241-43)*MAX('Inputs'!$B$33,'Inputs'!$B$29+'Inputs'!$B$31+'Inputs'!$B$32,'Inputs'!$B$30+'Inputs'!$B$31+'Inputs'!$B$32)/1000+'Inputs'!$B$21+'Inputs'!$B$7+'Inputs'!$B$10))^2+('Inputs'!$B$8/2)^2))))*'Results'!$B$8)-'Inputs'!$B$28*ABS((('Results'!B7*(1-'Inputs'!$B$24)*(0.5*((((241-43)*MAX('Inputs'!$B$33,'Inputs'!$B$29+'Inputs'!$B$31+'Inputs'!$B$32,'Inputs'!$B$30+'Inputs'!$B$31+'Inputs'!$B$32)/1000+'Inputs'!$B$21)+'Inputs'!$B$7)/SQRT((((241-43)*MAX('Inputs'!$B$33,'Inputs'!$B$29+'Inputs'!$B$31+'Inputs'!$B$32,'Inputs'!$B$30+'Inputs'!$B$31+'Inputs'!$B$32)/1000+'Inputs'!$B$21)+'Inputs'!$B$7)^2+('Inputs'!$B$6/2)^2)-(((241-43)*MAX('Inputs'!$B$33,'Inputs'!$B$29+'Inputs'!$B$31+'Inputs'!$B$32,'Inputs'!$B$30+'Inputs'!$B$31+'Inputs'!$B$32)/1000+'Inputs'!$B$21))/SQRT((((241-43)*MAX('Inputs'!$B$33,'Inputs'!$B$29+'Inputs'!$B$31+'Inputs'!$B$32,'Inputs'!$B$30+'Inputs'!$B$31+'Inputs'!$B$32)/1000+'Inputs'!$B$21))^2+('Inputs'!$B$6/2)^2)))-'Results'!C7*(1+'Inputs'!$B$24)*(0.5*((((241-43)*MAX('Inputs'!$B$33,'Inputs'!$B$29+'Inputs'!$B$31+'Inputs'!$B$32,'Inputs'!$B$30+'Inputs'!$B$31+'Inputs'!$B$32)/1000+'Inputs'!$B$21+'Inputs'!$B$7+'Inputs'!$B$10)+'Inputs'!$B$9)/SQRT((((241-43)*MAX('Inputs'!$B$33,'Inputs'!$B$29+'Inputs'!$B$31+'Inputs'!$B$32,'Inputs'!$B$30+'Inputs'!$B$31+'Inputs'!$B$32)/1000+'Inputs'!$B$21+'Inputs'!$B$7+'Inputs'!$B$10)+'Inputs'!$B$9)^2+('Inputs'!$B$8/2)^2)-(((241-43)*MAX('Inputs'!$B$33,'Inputs'!$B$29+'Inputs'!$B$31+'Inputs'!$B$32,'Inputs'!$B$30+'Inputs'!$B$31+'Inputs'!$B$32)/1000+'Inputs'!$B$21+'Inputs'!$B$7+'Inputs'!$B$10))/SQRT((((241-43)*MAX('Inputs'!$B$33,'Inputs'!$B$29+'Inputs'!$B$31+'Inputs'!$B$32,'Inputs'!$B$30+'Inputs'!$B$31+'Inputs'!$B$32)/1000+'Inputs'!$B$21+'Inputs'!$B$7+'Inputs'!$B$10))^2+('Inputs'!$B$8/2)^2))))*'Results'!$B$8))),"")</x:f>
        <x:v>68.82845764794905</x:v>
      </x:c>
      <x:c r="L241" t="n">
        <x:f>IF(AND(ISNUMBER('Results'!B7),ISNUMBER('Results'!C7),ISNUMBER('Results'!$B$8),ISNUMBER('Inputs'!$B$6),ISNUMBER('Inputs'!$B$7),ISNUMBER('Inputs'!$B$8),ISNUMBER('Inputs'!$B$9),ISNUMBER('Inputs'!$B$10),ISNUMBER('Inputs'!$B$21),ISNUMBER('Inputs'!$B$24),ISNUMBER('Inputs'!$B$28)),((('Results'!B7*(1+'Inputs'!$B$24)*(0.5*((((241-43)*MAX('Inputs'!$B$33,'Inputs'!$B$29+'Inputs'!$B$31+'Inputs'!$B$32,'Inputs'!$B$30+'Inputs'!$B$31+'Inputs'!$B$32)/1000+'Inputs'!$B$21)+'Inputs'!$B$7)/SQRT((((241-43)*MAX('Inputs'!$B$33,'Inputs'!$B$29+'Inputs'!$B$31+'Inputs'!$B$32,'Inputs'!$B$30+'Inputs'!$B$31+'Inputs'!$B$32)/1000+'Inputs'!$B$21)+'Inputs'!$B$7)^2+('Inputs'!$B$6/2)^2)-(((241-43)*MAX('Inputs'!$B$33,'Inputs'!$B$29+'Inputs'!$B$31+'Inputs'!$B$32,'Inputs'!$B$30+'Inputs'!$B$31+'Inputs'!$B$32)/1000+'Inputs'!$B$21))/SQRT((((241-43)*MAX('Inputs'!$B$33,'Inputs'!$B$29+'Inputs'!$B$31+'Inputs'!$B$32,'Inputs'!$B$30+'Inputs'!$B$31+'Inputs'!$B$32)/1000+'Inputs'!$B$21))^2+('Inputs'!$B$6/2)^2)))-'Results'!C7*(1-'Inputs'!$B$24)*(0.5*((((241-43)*MAX('Inputs'!$B$33,'Inputs'!$B$29+'Inputs'!$B$31+'Inputs'!$B$32,'Inputs'!$B$30+'Inputs'!$B$31+'Inputs'!$B$32)/1000+'Inputs'!$B$21+'Inputs'!$B$7+'Inputs'!$B$10)+'Inputs'!$B$9)/SQRT((((241-43)*MAX('Inputs'!$B$33,'Inputs'!$B$29+'Inputs'!$B$31+'Inputs'!$B$32,'Inputs'!$B$30+'Inputs'!$B$31+'Inputs'!$B$32)/1000+'Inputs'!$B$21+'Inputs'!$B$7+'Inputs'!$B$10)+'Inputs'!$B$9)^2+('Inputs'!$B$8/2)^2)-(((241-43)*MAX('Inputs'!$B$33,'Inputs'!$B$29+'Inputs'!$B$31+'Inputs'!$B$32,'Inputs'!$B$30+'Inputs'!$B$31+'Inputs'!$B$32)/1000+'Inputs'!$B$21+'Inputs'!$B$7+'Inputs'!$B$10))/SQRT((((241-43)*MAX('Inputs'!$B$33,'Inputs'!$B$29+'Inputs'!$B$31+'Inputs'!$B$32,'Inputs'!$B$30+'Inputs'!$B$31+'Inputs'!$B$32)/1000+'Inputs'!$B$21+'Inputs'!$B$7+'Inputs'!$B$10))^2+('Inputs'!$B$8/2)^2))))*'Results'!$B$8)+'Inputs'!$B$28*ABS((('Results'!B7*(1+'Inputs'!$B$24)*(0.5*((((241-43)*MAX('Inputs'!$B$33,'Inputs'!$B$29+'Inputs'!$B$31+'Inputs'!$B$32,'Inputs'!$B$30+'Inputs'!$B$31+'Inputs'!$B$32)/1000+'Inputs'!$B$21)+'Inputs'!$B$7)/SQRT((((241-43)*MAX('Inputs'!$B$33,'Inputs'!$B$29+'Inputs'!$B$31+'Inputs'!$B$32,'Inputs'!$B$30+'Inputs'!$B$31+'Inputs'!$B$32)/1000+'Inputs'!$B$21)+'Inputs'!$B$7)^2+('Inputs'!$B$6/2)^2)-(((241-43)*MAX('Inputs'!$B$33,'Inputs'!$B$29+'Inputs'!$B$31+'Inputs'!$B$32,'Inputs'!$B$30+'Inputs'!$B$31+'Inputs'!$B$32)/1000+'Inputs'!$B$21))/SQRT((((241-43)*MAX('Inputs'!$B$33,'Inputs'!$B$29+'Inputs'!$B$31+'Inputs'!$B$32,'Inputs'!$B$30+'Inputs'!$B$31+'Inputs'!$B$32)/1000+'Inputs'!$B$21))^2+('Inputs'!$B$6/2)^2)))-'Results'!C7*(1-'Inputs'!$B$24)*(0.5*((((241-43)*MAX('Inputs'!$B$33,'Inputs'!$B$29+'Inputs'!$B$31+'Inputs'!$B$32,'Inputs'!$B$30+'Inputs'!$B$31+'Inputs'!$B$32)/1000+'Inputs'!$B$21+'Inputs'!$B$7+'Inputs'!$B$10)+'Inputs'!$B$9)/SQRT((((241-43)*MAX('Inputs'!$B$33,'Inputs'!$B$29+'Inputs'!$B$31+'Inputs'!$B$32,'Inputs'!$B$30+'Inputs'!$B$31+'Inputs'!$B$32)/1000+'Inputs'!$B$21+'Inputs'!$B$7+'Inputs'!$B$10)+'Inputs'!$B$9)^2+('Inputs'!$B$8/2)^2)-(((241-43)*MAX('Inputs'!$B$33,'Inputs'!$B$29+'Inputs'!$B$31+'Inputs'!$B$32,'Inputs'!$B$30+'Inputs'!$B$31+'Inputs'!$B$32)/1000+'Inputs'!$B$21+'Inputs'!$B$7+'Inputs'!$B$10))/SQRT((((241-43)*MAX('Inputs'!$B$33,'Inputs'!$B$29+'Inputs'!$B$31+'Inputs'!$B$32,'Inputs'!$B$30+'Inputs'!$B$31+'Inputs'!$B$32)/1000+'Inputs'!$B$21+'Inputs'!$B$7+'Inputs'!$B$10))^2+('Inputs'!$B$8/2)^2))))*'Results'!$B$8))),"")</x:f>
        <x:v>81.9937368799641</x:v>
      </x:c>
      <x:c r="M241" t="n">
        <x:f>IF(AND(ISNUMBER('Results'!C7),ISNUMBER('Results'!B7),ISNUMBER('Results'!$B$8),ISNUMBER('Inputs'!$B$6),ISNUMBER('Inputs'!$B$7),ISNUMBER('Inputs'!$B$8),ISNUMBER('Inputs'!$B$9),ISNUMBER('Inputs'!$B$10),ISNUMBER('Inputs'!$B$21),ISNUMBER('Inputs'!$B$24),ISNUMBER('Inputs'!$B$28)),(('Results'!C7*(0.5*((((241-43)*MAX('Inputs'!$B$33,'Inputs'!$B$29+'Inputs'!$B$31+'Inputs'!$B$32,'Inputs'!$B$30+'Inputs'!$B$31+'Inputs'!$B$32)/1000+'Inputs'!$B$21)+'Inputs'!$B$9)/SQRT((((241-43)*MAX('Inputs'!$B$33,'Inputs'!$B$29+'Inputs'!$B$31+'Inputs'!$B$32,'Inputs'!$B$30+'Inputs'!$B$31+'Inputs'!$B$32)/1000+'Inputs'!$B$21)+'Inputs'!$B$9)^2+('Inputs'!$B$8/2)^2)-(((241-43)*MAX('Inputs'!$B$33,'Inputs'!$B$29+'Inputs'!$B$31+'Inputs'!$B$32,'Inputs'!$B$30+'Inputs'!$B$31+'Inputs'!$B$32)/1000+'Inputs'!$B$21))/SQRT((((241-43)*MAX('Inputs'!$B$33,'Inputs'!$B$29+'Inputs'!$B$31+'Inputs'!$B$32,'Inputs'!$B$30+'Inputs'!$B$31+'Inputs'!$B$32)/1000+'Inputs'!$B$21))^2+('Inputs'!$B$8/2)^2)))-'Results'!B7*(0.5*((((241-43)*MAX('Inputs'!$B$33,'Inputs'!$B$29+'Inputs'!$B$31+'Inputs'!$B$32,'Inputs'!$B$30+'Inputs'!$B$31+'Inputs'!$B$32)/1000+'Inputs'!$B$21+'Inputs'!$B$9+'Inputs'!$B$10)+'Inputs'!$B$7)/SQRT((((241-43)*MAX('Inputs'!$B$33,'Inputs'!$B$29+'Inputs'!$B$31+'Inputs'!$B$32,'Inputs'!$B$30+'Inputs'!$B$31+'Inputs'!$B$32)/1000+'Inputs'!$B$21+'Inputs'!$B$9+'Inputs'!$B$10)+'Inputs'!$B$7)^2+('Inputs'!$B$6/2)^2)-(((241-43)*MAX('Inputs'!$B$33,'Inputs'!$B$29+'Inputs'!$B$31+'Inputs'!$B$32,'Inputs'!$B$30+'Inputs'!$B$31+'Inputs'!$B$32)/1000+'Inputs'!$B$21+'Inputs'!$B$9+'Inputs'!$B$10))/SQRT((((241-43)*MAX('Inputs'!$B$33,'Inputs'!$B$29+'Inputs'!$B$31+'Inputs'!$B$32,'Inputs'!$B$30+'Inputs'!$B$31+'Inputs'!$B$32)/1000+'Inputs'!$B$21+'Inputs'!$B$9+'Inputs'!$B$10))^2+('Inputs'!$B$6/2)^2))))*'Results'!$B$8),"")</x:f>
        <x:v>72.43760264464031</x:v>
      </x:c>
      <x:c r="N241" t="n">
        <x:f>IF(AND(ISNUMBER('Results'!C7),ISNUMBER('Results'!B7),ISNUMBER('Results'!$B$8),ISNUMBER('Inputs'!$B$6),ISNUMBER('Inputs'!$B$7),ISNUMBER('Inputs'!$B$8),ISNUMBER('Inputs'!$B$9),ISNUMBER('Inputs'!$B$10),ISNUMBER('Inputs'!$B$21),ISNUMBER('Inputs'!$B$24),ISNUMBER('Inputs'!$B$28)),((('Results'!C7*(1-'Inputs'!$B$24)*(0.5*((((241-43)*MAX('Inputs'!$B$33,'Inputs'!$B$29+'Inputs'!$B$31+'Inputs'!$B$32,'Inputs'!$B$30+'Inputs'!$B$31+'Inputs'!$B$32)/1000+'Inputs'!$B$21)+'Inputs'!$B$9)/SQRT((((241-43)*MAX('Inputs'!$B$33,'Inputs'!$B$29+'Inputs'!$B$31+'Inputs'!$B$32,'Inputs'!$B$30+'Inputs'!$B$31+'Inputs'!$B$32)/1000+'Inputs'!$B$21)+'Inputs'!$B$9)^2+('Inputs'!$B$8/2)^2)-(((241-43)*MAX('Inputs'!$B$33,'Inputs'!$B$29+'Inputs'!$B$31+'Inputs'!$B$32,'Inputs'!$B$30+'Inputs'!$B$31+'Inputs'!$B$32)/1000+'Inputs'!$B$21))/SQRT((((241-43)*MAX('Inputs'!$B$33,'Inputs'!$B$29+'Inputs'!$B$31+'Inputs'!$B$32,'Inputs'!$B$30+'Inputs'!$B$31+'Inputs'!$B$32)/1000+'Inputs'!$B$21))^2+('Inputs'!$B$8/2)^2)))-'Results'!B7*(1+'Inputs'!$B$24)*(0.5*((((241-43)*MAX('Inputs'!$B$33,'Inputs'!$B$29+'Inputs'!$B$31+'Inputs'!$B$32,'Inputs'!$B$30+'Inputs'!$B$31+'Inputs'!$B$32)/1000+'Inputs'!$B$21+'Inputs'!$B$9+'Inputs'!$B$10)+'Inputs'!$B$7)/SQRT((((241-43)*MAX('Inputs'!$B$33,'Inputs'!$B$29+'Inputs'!$B$31+'Inputs'!$B$32,'Inputs'!$B$30+'Inputs'!$B$31+'Inputs'!$B$32)/1000+'Inputs'!$B$21+'Inputs'!$B$9+'Inputs'!$B$10)+'Inputs'!$B$7)^2+('Inputs'!$B$6/2)^2)-(((241-43)*MAX('Inputs'!$B$33,'Inputs'!$B$29+'Inputs'!$B$31+'Inputs'!$B$32,'Inputs'!$B$30+'Inputs'!$B$31+'Inputs'!$B$32)/1000+'Inputs'!$B$21+'Inputs'!$B$9+'Inputs'!$B$10))/SQRT((((241-43)*MAX('Inputs'!$B$33,'Inputs'!$B$29+'Inputs'!$B$31+'Inputs'!$B$32,'Inputs'!$B$30+'Inputs'!$B$31+'Inputs'!$B$32)/1000+'Inputs'!$B$21+'Inputs'!$B$9+'Inputs'!$B$10))^2+('Inputs'!$B$6/2)^2))))*'Results'!$B$8)-'Inputs'!$B$28*ABS((('Results'!C7*(1-'Inputs'!$B$24)*(0.5*((((241-43)*MAX('Inputs'!$B$33,'Inputs'!$B$29+'Inputs'!$B$31+'Inputs'!$B$32,'Inputs'!$B$30+'Inputs'!$B$31+'Inputs'!$B$32)/1000+'Inputs'!$B$21)+'Inputs'!$B$9)/SQRT((((241-43)*MAX('Inputs'!$B$33,'Inputs'!$B$29+'Inputs'!$B$31+'Inputs'!$B$32,'Inputs'!$B$30+'Inputs'!$B$31+'Inputs'!$B$32)/1000+'Inputs'!$B$21)+'Inputs'!$B$9)^2+('Inputs'!$B$8/2)^2)-(((241-43)*MAX('Inputs'!$B$33,'Inputs'!$B$29+'Inputs'!$B$31+'Inputs'!$B$32,'Inputs'!$B$30+'Inputs'!$B$31+'Inputs'!$B$32)/1000+'Inputs'!$B$21))/SQRT((((241-43)*MAX('Inputs'!$B$33,'Inputs'!$B$29+'Inputs'!$B$31+'Inputs'!$B$32,'Inputs'!$B$30+'Inputs'!$B$31+'Inputs'!$B$32)/1000+'Inputs'!$B$21))^2+('Inputs'!$B$8/2)^2)))-'Results'!B7*(1+'Inputs'!$B$24)*(0.5*((((241-43)*MAX('Inputs'!$B$33,'Inputs'!$B$29+'Inputs'!$B$31+'Inputs'!$B$32,'Inputs'!$B$30+'Inputs'!$B$31+'Inputs'!$B$32)/1000+'Inputs'!$B$21+'Inputs'!$B$9+'Inputs'!$B$10)+'Inputs'!$B$7)/SQRT((((241-43)*MAX('Inputs'!$B$33,'Inputs'!$B$29+'Inputs'!$B$31+'Inputs'!$B$32,'Inputs'!$B$30+'Inputs'!$B$31+'Inputs'!$B$32)/1000+'Inputs'!$B$21+'Inputs'!$B$9+'Inputs'!$B$10)+'Inputs'!$B$7)^2+('Inputs'!$B$6/2)^2)-(((241-43)*MAX('Inputs'!$B$33,'Inputs'!$B$29+'Inputs'!$B$31+'Inputs'!$B$32,'Inputs'!$B$30+'Inputs'!$B$31+'Inputs'!$B$32)/1000+'Inputs'!$B$21+'Inputs'!$B$9+'Inputs'!$B$10))/SQRT((((241-43)*MAX('Inputs'!$B$33,'Inputs'!$B$29+'Inputs'!$B$31+'Inputs'!$B$32,'Inputs'!$B$30+'Inputs'!$B$31+'Inputs'!$B$32)/1000+'Inputs'!$B$21+'Inputs'!$B$9+'Inputs'!$B$10))^2+('Inputs'!$B$6/2)^2))))*'Results'!$B$8))),"")</x:f>
        <x:v>66.1658945080818</x:v>
      </x:c>
      <x:c r="O241" t="n">
        <x:f>IF(AND(ISNUMBER('Results'!C7),ISNUMBER('Results'!B7),ISNUMBER('Results'!$B$8),ISNUMBER('Inputs'!$B$6),ISNUMBER('Inputs'!$B$7),ISNUMBER('Inputs'!$B$8),ISNUMBER('Inputs'!$B$9),ISNUMBER('Inputs'!$B$10),ISNUMBER('Inputs'!$B$21),ISNUMBER('Inputs'!$B$24),ISNUMBER('Inputs'!$B$28)),((('Results'!C7*(1+'Inputs'!$B$24)*(0.5*((((241-43)*MAX('Inputs'!$B$33,'Inputs'!$B$29+'Inputs'!$B$31+'Inputs'!$B$32,'Inputs'!$B$30+'Inputs'!$B$31+'Inputs'!$B$32)/1000+'Inputs'!$B$21)+'Inputs'!$B$9)/SQRT((((241-43)*MAX('Inputs'!$B$33,'Inputs'!$B$29+'Inputs'!$B$31+'Inputs'!$B$32,'Inputs'!$B$30+'Inputs'!$B$31+'Inputs'!$B$32)/1000+'Inputs'!$B$21)+'Inputs'!$B$9)^2+('Inputs'!$B$8/2)^2)-(((241-43)*MAX('Inputs'!$B$33,'Inputs'!$B$29+'Inputs'!$B$31+'Inputs'!$B$32,'Inputs'!$B$30+'Inputs'!$B$31+'Inputs'!$B$32)/1000+'Inputs'!$B$21))/SQRT((((241-43)*MAX('Inputs'!$B$33,'Inputs'!$B$29+'Inputs'!$B$31+'Inputs'!$B$32,'Inputs'!$B$30+'Inputs'!$B$31+'Inputs'!$B$32)/1000+'Inputs'!$B$21))^2+('Inputs'!$B$8/2)^2)))-'Results'!B7*(1-'Inputs'!$B$24)*(0.5*((((241-43)*MAX('Inputs'!$B$33,'Inputs'!$B$29+'Inputs'!$B$31+'Inputs'!$B$32,'Inputs'!$B$30+'Inputs'!$B$31+'Inputs'!$B$32)/1000+'Inputs'!$B$21+'Inputs'!$B$9+'Inputs'!$B$10)+'Inputs'!$B$7)/SQRT((((241-43)*MAX('Inputs'!$B$33,'Inputs'!$B$29+'Inputs'!$B$31+'Inputs'!$B$32,'Inputs'!$B$30+'Inputs'!$B$31+'Inputs'!$B$32)/1000+'Inputs'!$B$21+'Inputs'!$B$9+'Inputs'!$B$10)+'Inputs'!$B$7)^2+('Inputs'!$B$6/2)^2)-(((241-43)*MAX('Inputs'!$B$33,'Inputs'!$B$29+'Inputs'!$B$31+'Inputs'!$B$32,'Inputs'!$B$30+'Inputs'!$B$31+'Inputs'!$B$32)/1000+'Inputs'!$B$21+'Inputs'!$B$9+'Inputs'!$B$10))/SQRT((((241-43)*MAX('Inputs'!$B$33,'Inputs'!$B$29+'Inputs'!$B$31+'Inputs'!$B$32,'Inputs'!$B$30+'Inputs'!$B$31+'Inputs'!$B$32)/1000+'Inputs'!$B$21+'Inputs'!$B$9+'Inputs'!$B$10))^2+('Inputs'!$B$6/2)^2))))*'Results'!$B$8)+'Inputs'!$B$28*ABS((('Results'!C7*(1+'Inputs'!$B$24)*(0.5*((((241-43)*MAX('Inputs'!$B$33,'Inputs'!$B$29+'Inputs'!$B$31+'Inputs'!$B$32,'Inputs'!$B$30+'Inputs'!$B$31+'Inputs'!$B$32)/1000+'Inputs'!$B$21)+'Inputs'!$B$9)/SQRT((((241-43)*MAX('Inputs'!$B$33,'Inputs'!$B$29+'Inputs'!$B$31+'Inputs'!$B$32,'Inputs'!$B$30+'Inputs'!$B$31+'Inputs'!$B$32)/1000+'Inputs'!$B$21)+'Inputs'!$B$9)^2+('Inputs'!$B$8/2)^2)-(((241-43)*MAX('Inputs'!$B$33,'Inputs'!$B$29+'Inputs'!$B$31+'Inputs'!$B$32,'Inputs'!$B$30+'Inputs'!$B$31+'Inputs'!$B$32)/1000+'Inputs'!$B$21))/SQRT((((241-43)*MAX('Inputs'!$B$33,'Inputs'!$B$29+'Inputs'!$B$31+'Inputs'!$B$32,'Inputs'!$B$30+'Inputs'!$B$31+'Inputs'!$B$32)/1000+'Inputs'!$B$21))^2+('Inputs'!$B$8/2)^2)))-'Results'!B7*(1-'Inputs'!$B$24)*(0.5*((((241-43)*MAX('Inputs'!$B$33,'Inputs'!$B$29+'Inputs'!$B$31+'Inputs'!$B$32,'Inputs'!$B$30+'Inputs'!$B$31+'Inputs'!$B$32)/1000+'Inputs'!$B$21+'Inputs'!$B$9+'Inputs'!$B$10)+'Inputs'!$B$7)/SQRT((((241-43)*MAX('Inputs'!$B$33,'Inputs'!$B$29+'Inputs'!$B$31+'Inputs'!$B$32,'Inputs'!$B$30+'Inputs'!$B$31+'Inputs'!$B$32)/1000+'Inputs'!$B$21+'Inputs'!$B$9+'Inputs'!$B$10)+'Inputs'!$B$7)^2+('Inputs'!$B$6/2)^2)-(((241-43)*MAX('Inputs'!$B$33,'Inputs'!$B$29+'Inputs'!$B$31+'Inputs'!$B$32,'Inputs'!$B$30+'Inputs'!$B$31+'Inputs'!$B$32)/1000+'Inputs'!$B$21+'Inputs'!$B$9+'Inputs'!$B$10))/SQRT((((241-43)*MAX('Inputs'!$B$33,'Inputs'!$B$29+'Inputs'!$B$31+'Inputs'!$B$32,'Inputs'!$B$30+'Inputs'!$B$31+'Inputs'!$B$32)/1000+'Inputs'!$B$21+'Inputs'!$B$9+'Inputs'!$B$10))^2+('Inputs'!$B$6/2)^2))))*'Results'!$B$8))),"")</x:f>
        <x:v>78.98824004481207</x:v>
      </x:c>
      <x:c r="P241" t="n">
        <x:f>IF(AND(MAX(J241,J240)&gt;0,J241&gt;J240+0.00000001),1,0)</x:f>
        <x:v>0</x:v>
      </x:c>
      <x:c r="Q241" t="n">
        <x:f>IF(AND(MAX(K241,K240)&gt;0,K241&gt;K240+0.00000001),1,0)</x:f>
        <x:v>0</x:v>
      </x:c>
      <x:c r="R241" t="n">
        <x:f>IF(AND(MAX(L241,L240)&gt;0,L241&gt;L240+0.00000001),1,0)</x:f>
        <x:v>0</x:v>
      </x:c>
      <x:c r="S241" t="n">
        <x:f>IF(AND(MAX(M241,M240)&gt;0,M241&gt;M240+0.00000001),1,0)</x:f>
        <x:v>0</x:v>
      </x:c>
      <x:c r="T241" t="n">
        <x:f>IF(AND(MAX(N241,N240)&gt;0,N241&gt;N240+0.00000001),1,0)</x:f>
        <x:v>0</x:v>
      </x:c>
      <x:c r="U241" t="n">
        <x:f>IF(AND(MAX(O241,O240)&gt;0,O241&gt;O240+0.00000001),1,0)</x:f>
        <x:v>0</x:v>
      </x:c>
    </x:row>
    <x:row r="242">
      <x:c r="J242" t="n">
        <x:f>IF(AND(ISNUMBER('Results'!B7),ISNUMBER('Results'!C7),ISNUMBER('Results'!$B$8),ISNUMBER('Inputs'!$B$6),ISNUMBER('Inputs'!$B$7),ISNUMBER('Inputs'!$B$8),ISNUMBER('Inputs'!$B$9),ISNUMBER('Inputs'!$B$10),ISNUMBER('Inputs'!$B$21),ISNUMBER('Inputs'!$B$24),ISNUMBER('Inputs'!$B$28)),(('Results'!B7*(0.5*((((242-43)*MAX('Inputs'!$B$33,'Inputs'!$B$29+'Inputs'!$B$31+'Inputs'!$B$32,'Inputs'!$B$30+'Inputs'!$B$31+'Inputs'!$B$32)/1000+'Inputs'!$B$21)+'Inputs'!$B$7)/SQRT((((242-43)*MAX('Inputs'!$B$33,'Inputs'!$B$29+'Inputs'!$B$31+'Inputs'!$B$32,'Inputs'!$B$30+'Inputs'!$B$31+'Inputs'!$B$32)/1000+'Inputs'!$B$21)+'Inputs'!$B$7)^2+('Inputs'!$B$6/2)^2)-(((242-43)*MAX('Inputs'!$B$33,'Inputs'!$B$29+'Inputs'!$B$31+'Inputs'!$B$32,'Inputs'!$B$30+'Inputs'!$B$31+'Inputs'!$B$32)/1000+'Inputs'!$B$21))/SQRT((((242-43)*MAX('Inputs'!$B$33,'Inputs'!$B$29+'Inputs'!$B$31+'Inputs'!$B$32,'Inputs'!$B$30+'Inputs'!$B$31+'Inputs'!$B$32)/1000+'Inputs'!$B$21))^2+('Inputs'!$B$6/2)^2)))-'Results'!C7*(0.5*((((242-43)*MAX('Inputs'!$B$33,'Inputs'!$B$29+'Inputs'!$B$31+'Inputs'!$B$32,'Inputs'!$B$30+'Inputs'!$B$31+'Inputs'!$B$32)/1000+'Inputs'!$B$21+'Inputs'!$B$7+'Inputs'!$B$10)+'Inputs'!$B$9)/SQRT((((242-43)*MAX('Inputs'!$B$33,'Inputs'!$B$29+'Inputs'!$B$31+'Inputs'!$B$32,'Inputs'!$B$30+'Inputs'!$B$31+'Inputs'!$B$32)/1000+'Inputs'!$B$21+'Inputs'!$B$7+'Inputs'!$B$10)+'Inputs'!$B$9)^2+('Inputs'!$B$8/2)^2)-(((242-43)*MAX('Inputs'!$B$33,'Inputs'!$B$29+'Inputs'!$B$31+'Inputs'!$B$32,'Inputs'!$B$30+'Inputs'!$B$31+'Inputs'!$B$32)/1000+'Inputs'!$B$21+'Inputs'!$B$7+'Inputs'!$B$10))/SQRT((((242-43)*MAX('Inputs'!$B$33,'Inputs'!$B$29+'Inputs'!$B$31+'Inputs'!$B$32,'Inputs'!$B$30+'Inputs'!$B$31+'Inputs'!$B$32)/1000+'Inputs'!$B$21+'Inputs'!$B$7+'Inputs'!$B$10))^2+('Inputs'!$B$8/2)^2))))*'Results'!$B$8),"")</x:f>
        <x:v>74.2369078240222</x:v>
      </x:c>
      <x:c r="K242" t="n">
        <x:f>IF(AND(ISNUMBER('Results'!B7),ISNUMBER('Results'!C7),ISNUMBER('Results'!$B$8),ISNUMBER('Inputs'!$B$6),ISNUMBER('Inputs'!$B$7),ISNUMBER('Inputs'!$B$8),ISNUMBER('Inputs'!$B$9),ISNUMBER('Inputs'!$B$10),ISNUMBER('Inputs'!$B$21),ISNUMBER('Inputs'!$B$24),ISNUMBER('Inputs'!$B$28)),((('Results'!B7*(1-'Inputs'!$B$24)*(0.5*((((242-43)*MAX('Inputs'!$B$33,'Inputs'!$B$29+'Inputs'!$B$31+'Inputs'!$B$32,'Inputs'!$B$30+'Inputs'!$B$31+'Inputs'!$B$32)/1000+'Inputs'!$B$21)+'Inputs'!$B$7)/SQRT((((242-43)*MAX('Inputs'!$B$33,'Inputs'!$B$29+'Inputs'!$B$31+'Inputs'!$B$32,'Inputs'!$B$30+'Inputs'!$B$31+'Inputs'!$B$32)/1000+'Inputs'!$B$21)+'Inputs'!$B$7)^2+('Inputs'!$B$6/2)^2)-(((242-43)*MAX('Inputs'!$B$33,'Inputs'!$B$29+'Inputs'!$B$31+'Inputs'!$B$32,'Inputs'!$B$30+'Inputs'!$B$31+'Inputs'!$B$32)/1000+'Inputs'!$B$21))/SQRT((((242-43)*MAX('Inputs'!$B$33,'Inputs'!$B$29+'Inputs'!$B$31+'Inputs'!$B$32,'Inputs'!$B$30+'Inputs'!$B$31+'Inputs'!$B$32)/1000+'Inputs'!$B$21))^2+('Inputs'!$B$6/2)^2)))-'Results'!C7*(1+'Inputs'!$B$24)*(0.5*((((242-43)*MAX('Inputs'!$B$33,'Inputs'!$B$29+'Inputs'!$B$31+'Inputs'!$B$32,'Inputs'!$B$30+'Inputs'!$B$31+'Inputs'!$B$32)/1000+'Inputs'!$B$21+'Inputs'!$B$7+'Inputs'!$B$10)+'Inputs'!$B$9)/SQRT((((242-43)*MAX('Inputs'!$B$33,'Inputs'!$B$29+'Inputs'!$B$31+'Inputs'!$B$32,'Inputs'!$B$30+'Inputs'!$B$31+'Inputs'!$B$32)/1000+'Inputs'!$B$21+'Inputs'!$B$7+'Inputs'!$B$10)+'Inputs'!$B$9)^2+('Inputs'!$B$8/2)^2)-(((242-43)*MAX('Inputs'!$B$33,'Inputs'!$B$29+'Inputs'!$B$31+'Inputs'!$B$32,'Inputs'!$B$30+'Inputs'!$B$31+'Inputs'!$B$32)/1000+'Inputs'!$B$21+'Inputs'!$B$7+'Inputs'!$B$10))/SQRT((((242-43)*MAX('Inputs'!$B$33,'Inputs'!$B$29+'Inputs'!$B$31+'Inputs'!$B$32,'Inputs'!$B$30+'Inputs'!$B$31+'Inputs'!$B$32)/1000+'Inputs'!$B$21+'Inputs'!$B$7+'Inputs'!$B$10))^2+('Inputs'!$B$8/2)^2))))*'Results'!$B$8)-'Inputs'!$B$28*ABS((('Results'!B7*(1-'Inputs'!$B$24)*(0.5*((((242-43)*MAX('Inputs'!$B$33,'Inputs'!$B$29+'Inputs'!$B$31+'Inputs'!$B$32,'Inputs'!$B$30+'Inputs'!$B$31+'Inputs'!$B$32)/1000+'Inputs'!$B$21)+'Inputs'!$B$7)/SQRT((((242-43)*MAX('Inputs'!$B$33,'Inputs'!$B$29+'Inputs'!$B$31+'Inputs'!$B$32,'Inputs'!$B$30+'Inputs'!$B$31+'Inputs'!$B$32)/1000+'Inputs'!$B$21)+'Inputs'!$B$7)^2+('Inputs'!$B$6/2)^2)-(((242-43)*MAX('Inputs'!$B$33,'Inputs'!$B$29+'Inputs'!$B$31+'Inputs'!$B$32,'Inputs'!$B$30+'Inputs'!$B$31+'Inputs'!$B$32)/1000+'Inputs'!$B$21))/SQRT((((242-43)*MAX('Inputs'!$B$33,'Inputs'!$B$29+'Inputs'!$B$31+'Inputs'!$B$32,'Inputs'!$B$30+'Inputs'!$B$31+'Inputs'!$B$32)/1000+'Inputs'!$B$21))^2+('Inputs'!$B$6/2)^2)))-'Results'!C7*(1+'Inputs'!$B$24)*(0.5*((((242-43)*MAX('Inputs'!$B$33,'Inputs'!$B$29+'Inputs'!$B$31+'Inputs'!$B$32,'Inputs'!$B$30+'Inputs'!$B$31+'Inputs'!$B$32)/1000+'Inputs'!$B$21+'Inputs'!$B$7+'Inputs'!$B$10)+'Inputs'!$B$9)/SQRT((((242-43)*MAX('Inputs'!$B$33,'Inputs'!$B$29+'Inputs'!$B$31+'Inputs'!$B$32,'Inputs'!$B$30+'Inputs'!$B$31+'Inputs'!$B$32)/1000+'Inputs'!$B$21+'Inputs'!$B$7+'Inputs'!$B$10)+'Inputs'!$B$9)^2+('Inputs'!$B$8/2)^2)-(((242-43)*MAX('Inputs'!$B$33,'Inputs'!$B$29+'Inputs'!$B$31+'Inputs'!$B$32,'Inputs'!$B$30+'Inputs'!$B$31+'Inputs'!$B$32)/1000+'Inputs'!$B$21+'Inputs'!$B$7+'Inputs'!$B$10))/SQRT((((242-43)*MAX('Inputs'!$B$33,'Inputs'!$B$29+'Inputs'!$B$31+'Inputs'!$B$32,'Inputs'!$B$30+'Inputs'!$B$31+'Inputs'!$B$32)/1000+'Inputs'!$B$21+'Inputs'!$B$7+'Inputs'!$B$10))^2+('Inputs'!$B$8/2)^2))))*'Results'!$B$8))),"")</x:f>
        <x:v>67.877151943892</x:v>
      </x:c>
      <x:c r="L242" t="n">
        <x:f>IF(AND(ISNUMBER('Results'!B7),ISNUMBER('Results'!C7),ISNUMBER('Results'!$B$8),ISNUMBER('Inputs'!$B$6),ISNUMBER('Inputs'!$B$7),ISNUMBER('Inputs'!$B$8),ISNUMBER('Inputs'!$B$9),ISNUMBER('Inputs'!$B$10),ISNUMBER('Inputs'!$B$21),ISNUMBER('Inputs'!$B$24),ISNUMBER('Inputs'!$B$28)),((('Results'!B7*(1+'Inputs'!$B$24)*(0.5*((((242-43)*MAX('Inputs'!$B$33,'Inputs'!$B$29+'Inputs'!$B$31+'Inputs'!$B$32,'Inputs'!$B$30+'Inputs'!$B$31+'Inputs'!$B$32)/1000+'Inputs'!$B$21)+'Inputs'!$B$7)/SQRT((((242-43)*MAX('Inputs'!$B$33,'Inputs'!$B$29+'Inputs'!$B$31+'Inputs'!$B$32,'Inputs'!$B$30+'Inputs'!$B$31+'Inputs'!$B$32)/1000+'Inputs'!$B$21)+'Inputs'!$B$7)^2+('Inputs'!$B$6/2)^2)-(((242-43)*MAX('Inputs'!$B$33,'Inputs'!$B$29+'Inputs'!$B$31+'Inputs'!$B$32,'Inputs'!$B$30+'Inputs'!$B$31+'Inputs'!$B$32)/1000+'Inputs'!$B$21))/SQRT((((242-43)*MAX('Inputs'!$B$33,'Inputs'!$B$29+'Inputs'!$B$31+'Inputs'!$B$32,'Inputs'!$B$30+'Inputs'!$B$31+'Inputs'!$B$32)/1000+'Inputs'!$B$21))^2+('Inputs'!$B$6/2)^2)))-'Results'!C7*(1-'Inputs'!$B$24)*(0.5*((((242-43)*MAX('Inputs'!$B$33,'Inputs'!$B$29+'Inputs'!$B$31+'Inputs'!$B$32,'Inputs'!$B$30+'Inputs'!$B$31+'Inputs'!$B$32)/1000+'Inputs'!$B$21+'Inputs'!$B$7+'Inputs'!$B$10)+'Inputs'!$B$9)/SQRT((((242-43)*MAX('Inputs'!$B$33,'Inputs'!$B$29+'Inputs'!$B$31+'Inputs'!$B$32,'Inputs'!$B$30+'Inputs'!$B$31+'Inputs'!$B$32)/1000+'Inputs'!$B$21+'Inputs'!$B$7+'Inputs'!$B$10)+'Inputs'!$B$9)^2+('Inputs'!$B$8/2)^2)-(((242-43)*MAX('Inputs'!$B$33,'Inputs'!$B$29+'Inputs'!$B$31+'Inputs'!$B$32,'Inputs'!$B$30+'Inputs'!$B$31+'Inputs'!$B$32)/1000+'Inputs'!$B$21+'Inputs'!$B$7+'Inputs'!$B$10))/SQRT((((242-43)*MAX('Inputs'!$B$33,'Inputs'!$B$29+'Inputs'!$B$31+'Inputs'!$B$32,'Inputs'!$B$30+'Inputs'!$B$31+'Inputs'!$B$32)/1000+'Inputs'!$B$21+'Inputs'!$B$7+'Inputs'!$B$10))^2+('Inputs'!$B$8/2)^2))))*'Results'!$B$8)+'Inputs'!$B$28*ABS((('Results'!B7*(1+'Inputs'!$B$24)*(0.5*((((242-43)*MAX('Inputs'!$B$33,'Inputs'!$B$29+'Inputs'!$B$31+'Inputs'!$B$32,'Inputs'!$B$30+'Inputs'!$B$31+'Inputs'!$B$32)/1000+'Inputs'!$B$21)+'Inputs'!$B$7)/SQRT((((242-43)*MAX('Inputs'!$B$33,'Inputs'!$B$29+'Inputs'!$B$31+'Inputs'!$B$32,'Inputs'!$B$30+'Inputs'!$B$31+'Inputs'!$B$32)/1000+'Inputs'!$B$21)+'Inputs'!$B$7)^2+('Inputs'!$B$6/2)^2)-(((242-43)*MAX('Inputs'!$B$33,'Inputs'!$B$29+'Inputs'!$B$31+'Inputs'!$B$32,'Inputs'!$B$30+'Inputs'!$B$31+'Inputs'!$B$32)/1000+'Inputs'!$B$21))/SQRT((((242-43)*MAX('Inputs'!$B$33,'Inputs'!$B$29+'Inputs'!$B$31+'Inputs'!$B$32,'Inputs'!$B$30+'Inputs'!$B$31+'Inputs'!$B$32)/1000+'Inputs'!$B$21))^2+('Inputs'!$B$6/2)^2)))-'Results'!C7*(1-'Inputs'!$B$24)*(0.5*((((242-43)*MAX('Inputs'!$B$33,'Inputs'!$B$29+'Inputs'!$B$31+'Inputs'!$B$32,'Inputs'!$B$30+'Inputs'!$B$31+'Inputs'!$B$32)/1000+'Inputs'!$B$21+'Inputs'!$B$7+'Inputs'!$B$10)+'Inputs'!$B$9)/SQRT((((242-43)*MAX('Inputs'!$B$33,'Inputs'!$B$29+'Inputs'!$B$31+'Inputs'!$B$32,'Inputs'!$B$30+'Inputs'!$B$31+'Inputs'!$B$32)/1000+'Inputs'!$B$21+'Inputs'!$B$7+'Inputs'!$B$10)+'Inputs'!$B$9)^2+('Inputs'!$B$8/2)^2)-(((242-43)*MAX('Inputs'!$B$33,'Inputs'!$B$29+'Inputs'!$B$31+'Inputs'!$B$32,'Inputs'!$B$30+'Inputs'!$B$31+'Inputs'!$B$32)/1000+'Inputs'!$B$21+'Inputs'!$B$7+'Inputs'!$B$10))/SQRT((((242-43)*MAX('Inputs'!$B$33,'Inputs'!$B$29+'Inputs'!$B$31+'Inputs'!$B$32,'Inputs'!$B$30+'Inputs'!$B$31+'Inputs'!$B$32)/1000+'Inputs'!$B$21+'Inputs'!$B$7+'Inputs'!$B$10))^2+('Inputs'!$B$8/2)^2))))*'Results'!$B$8))),"")</x:f>
        <x:v>80.87539112403965</x:v>
      </x:c>
      <x:c r="M242" t="n">
        <x:f>IF(AND(ISNUMBER('Results'!C7),ISNUMBER('Results'!B7),ISNUMBER('Results'!$B$8),ISNUMBER('Inputs'!$B$6),ISNUMBER('Inputs'!$B$7),ISNUMBER('Inputs'!$B$8),ISNUMBER('Inputs'!$B$9),ISNUMBER('Inputs'!$B$10),ISNUMBER('Inputs'!$B$21),ISNUMBER('Inputs'!$B$24),ISNUMBER('Inputs'!$B$28)),(('Results'!C7*(0.5*((((242-43)*MAX('Inputs'!$B$33,'Inputs'!$B$29+'Inputs'!$B$31+'Inputs'!$B$32,'Inputs'!$B$30+'Inputs'!$B$31+'Inputs'!$B$32)/1000+'Inputs'!$B$21)+'Inputs'!$B$9)/SQRT((((242-43)*MAX('Inputs'!$B$33,'Inputs'!$B$29+'Inputs'!$B$31+'Inputs'!$B$32,'Inputs'!$B$30+'Inputs'!$B$31+'Inputs'!$B$32)/1000+'Inputs'!$B$21)+'Inputs'!$B$9)^2+('Inputs'!$B$8/2)^2)-(((242-43)*MAX('Inputs'!$B$33,'Inputs'!$B$29+'Inputs'!$B$31+'Inputs'!$B$32,'Inputs'!$B$30+'Inputs'!$B$31+'Inputs'!$B$32)/1000+'Inputs'!$B$21))/SQRT((((242-43)*MAX('Inputs'!$B$33,'Inputs'!$B$29+'Inputs'!$B$31+'Inputs'!$B$32,'Inputs'!$B$30+'Inputs'!$B$31+'Inputs'!$B$32)/1000+'Inputs'!$B$21))^2+('Inputs'!$B$8/2)^2)))-'Results'!B7*(0.5*((((242-43)*MAX('Inputs'!$B$33,'Inputs'!$B$29+'Inputs'!$B$31+'Inputs'!$B$32,'Inputs'!$B$30+'Inputs'!$B$31+'Inputs'!$B$32)/1000+'Inputs'!$B$21+'Inputs'!$B$9+'Inputs'!$B$10)+'Inputs'!$B$7)/SQRT((((242-43)*MAX('Inputs'!$B$33,'Inputs'!$B$29+'Inputs'!$B$31+'Inputs'!$B$32,'Inputs'!$B$30+'Inputs'!$B$31+'Inputs'!$B$32)/1000+'Inputs'!$B$21+'Inputs'!$B$9+'Inputs'!$B$10)+'Inputs'!$B$7)^2+('Inputs'!$B$6/2)^2)-(((242-43)*MAX('Inputs'!$B$33,'Inputs'!$B$29+'Inputs'!$B$31+'Inputs'!$B$32,'Inputs'!$B$30+'Inputs'!$B$31+'Inputs'!$B$32)/1000+'Inputs'!$B$21+'Inputs'!$B$9+'Inputs'!$B$10))/SQRT((((242-43)*MAX('Inputs'!$B$33,'Inputs'!$B$29+'Inputs'!$B$31+'Inputs'!$B$32,'Inputs'!$B$30+'Inputs'!$B$31+'Inputs'!$B$32)/1000+'Inputs'!$B$21+'Inputs'!$B$9+'Inputs'!$B$10))^2+('Inputs'!$B$6/2)^2))))*'Results'!$B$8),"")</x:f>
        <x:v>71.43634244104344</x:v>
      </x:c>
      <x:c r="N242" t="n">
        <x:f>IF(AND(ISNUMBER('Results'!C7),ISNUMBER('Results'!B7),ISNUMBER('Results'!$B$8),ISNUMBER('Inputs'!$B$6),ISNUMBER('Inputs'!$B$7),ISNUMBER('Inputs'!$B$8),ISNUMBER('Inputs'!$B$9),ISNUMBER('Inputs'!$B$10),ISNUMBER('Inputs'!$B$21),ISNUMBER('Inputs'!$B$24),ISNUMBER('Inputs'!$B$28)),((('Results'!C7*(1-'Inputs'!$B$24)*(0.5*((((242-43)*MAX('Inputs'!$B$33,'Inputs'!$B$29+'Inputs'!$B$31+'Inputs'!$B$32,'Inputs'!$B$30+'Inputs'!$B$31+'Inputs'!$B$32)/1000+'Inputs'!$B$21)+'Inputs'!$B$9)/SQRT((((242-43)*MAX('Inputs'!$B$33,'Inputs'!$B$29+'Inputs'!$B$31+'Inputs'!$B$32,'Inputs'!$B$30+'Inputs'!$B$31+'Inputs'!$B$32)/1000+'Inputs'!$B$21)+'Inputs'!$B$9)^2+('Inputs'!$B$8/2)^2)-(((242-43)*MAX('Inputs'!$B$33,'Inputs'!$B$29+'Inputs'!$B$31+'Inputs'!$B$32,'Inputs'!$B$30+'Inputs'!$B$31+'Inputs'!$B$32)/1000+'Inputs'!$B$21))/SQRT((((242-43)*MAX('Inputs'!$B$33,'Inputs'!$B$29+'Inputs'!$B$31+'Inputs'!$B$32,'Inputs'!$B$30+'Inputs'!$B$31+'Inputs'!$B$32)/1000+'Inputs'!$B$21))^2+('Inputs'!$B$8/2)^2)))-'Results'!B7*(1+'Inputs'!$B$24)*(0.5*((((242-43)*MAX('Inputs'!$B$33,'Inputs'!$B$29+'Inputs'!$B$31+'Inputs'!$B$32,'Inputs'!$B$30+'Inputs'!$B$31+'Inputs'!$B$32)/1000+'Inputs'!$B$21+'Inputs'!$B$9+'Inputs'!$B$10)+'Inputs'!$B$7)/SQRT((((242-43)*MAX('Inputs'!$B$33,'Inputs'!$B$29+'Inputs'!$B$31+'Inputs'!$B$32,'Inputs'!$B$30+'Inputs'!$B$31+'Inputs'!$B$32)/1000+'Inputs'!$B$21+'Inputs'!$B$9+'Inputs'!$B$10)+'Inputs'!$B$7)^2+('Inputs'!$B$6/2)^2)-(((242-43)*MAX('Inputs'!$B$33,'Inputs'!$B$29+'Inputs'!$B$31+'Inputs'!$B$32,'Inputs'!$B$30+'Inputs'!$B$31+'Inputs'!$B$32)/1000+'Inputs'!$B$21+'Inputs'!$B$9+'Inputs'!$B$10))/SQRT((((242-43)*MAX('Inputs'!$B$33,'Inputs'!$B$29+'Inputs'!$B$31+'Inputs'!$B$32,'Inputs'!$B$30+'Inputs'!$B$31+'Inputs'!$B$32)/1000+'Inputs'!$B$21+'Inputs'!$B$9+'Inputs'!$B$10))^2+('Inputs'!$B$6/2)^2))))*'Results'!$B$8)-'Inputs'!$B$28*ABS((('Results'!C7*(1-'Inputs'!$B$24)*(0.5*((((242-43)*MAX('Inputs'!$B$33,'Inputs'!$B$29+'Inputs'!$B$31+'Inputs'!$B$32,'Inputs'!$B$30+'Inputs'!$B$31+'Inputs'!$B$32)/1000+'Inputs'!$B$21)+'Inputs'!$B$9)/SQRT((((242-43)*MAX('Inputs'!$B$33,'Inputs'!$B$29+'Inputs'!$B$31+'Inputs'!$B$32,'Inputs'!$B$30+'Inputs'!$B$31+'Inputs'!$B$32)/1000+'Inputs'!$B$21)+'Inputs'!$B$9)^2+('Inputs'!$B$8/2)^2)-(((242-43)*MAX('Inputs'!$B$33,'Inputs'!$B$29+'Inputs'!$B$31+'Inputs'!$B$32,'Inputs'!$B$30+'Inputs'!$B$31+'Inputs'!$B$32)/1000+'Inputs'!$B$21))/SQRT((((242-43)*MAX('Inputs'!$B$33,'Inputs'!$B$29+'Inputs'!$B$31+'Inputs'!$B$32,'Inputs'!$B$30+'Inputs'!$B$31+'Inputs'!$B$32)/1000+'Inputs'!$B$21))^2+('Inputs'!$B$8/2)^2)))-'Results'!B7*(1+'Inputs'!$B$24)*(0.5*((((242-43)*MAX('Inputs'!$B$33,'Inputs'!$B$29+'Inputs'!$B$31+'Inputs'!$B$32,'Inputs'!$B$30+'Inputs'!$B$31+'Inputs'!$B$32)/1000+'Inputs'!$B$21+'Inputs'!$B$9+'Inputs'!$B$10)+'Inputs'!$B$7)/SQRT((((242-43)*MAX('Inputs'!$B$33,'Inputs'!$B$29+'Inputs'!$B$31+'Inputs'!$B$32,'Inputs'!$B$30+'Inputs'!$B$31+'Inputs'!$B$32)/1000+'Inputs'!$B$21+'Inputs'!$B$9+'Inputs'!$B$10)+'Inputs'!$B$7)^2+('Inputs'!$B$6/2)^2)-(((242-43)*MAX('Inputs'!$B$33,'Inputs'!$B$29+'Inputs'!$B$31+'Inputs'!$B$32,'Inputs'!$B$30+'Inputs'!$B$31+'Inputs'!$B$32)/1000+'Inputs'!$B$21+'Inputs'!$B$9+'Inputs'!$B$10))/SQRT((((242-43)*MAX('Inputs'!$B$33,'Inputs'!$B$29+'Inputs'!$B$31+'Inputs'!$B$32,'Inputs'!$B$30+'Inputs'!$B$31+'Inputs'!$B$32)/1000+'Inputs'!$B$21+'Inputs'!$B$9+'Inputs'!$B$10))^2+('Inputs'!$B$6/2)^2))))*'Results'!$B$8))),"")</x:f>
        <x:v>65.24457232253731</x:v>
      </x:c>
      <x:c r="O242" t="n">
        <x:f>IF(AND(ISNUMBER('Results'!C7),ISNUMBER('Results'!B7),ISNUMBER('Results'!$B$8),ISNUMBER('Inputs'!$B$6),ISNUMBER('Inputs'!$B$7),ISNUMBER('Inputs'!$B$8),ISNUMBER('Inputs'!$B$9),ISNUMBER('Inputs'!$B$10),ISNUMBER('Inputs'!$B$21),ISNUMBER('Inputs'!$B$24),ISNUMBER('Inputs'!$B$28)),((('Results'!C7*(1+'Inputs'!$B$24)*(0.5*((((242-43)*MAX('Inputs'!$B$33,'Inputs'!$B$29+'Inputs'!$B$31+'Inputs'!$B$32,'Inputs'!$B$30+'Inputs'!$B$31+'Inputs'!$B$32)/1000+'Inputs'!$B$21)+'Inputs'!$B$9)/SQRT((((242-43)*MAX('Inputs'!$B$33,'Inputs'!$B$29+'Inputs'!$B$31+'Inputs'!$B$32,'Inputs'!$B$30+'Inputs'!$B$31+'Inputs'!$B$32)/1000+'Inputs'!$B$21)+'Inputs'!$B$9)^2+('Inputs'!$B$8/2)^2)-(((242-43)*MAX('Inputs'!$B$33,'Inputs'!$B$29+'Inputs'!$B$31+'Inputs'!$B$32,'Inputs'!$B$30+'Inputs'!$B$31+'Inputs'!$B$32)/1000+'Inputs'!$B$21))/SQRT((((242-43)*MAX('Inputs'!$B$33,'Inputs'!$B$29+'Inputs'!$B$31+'Inputs'!$B$32,'Inputs'!$B$30+'Inputs'!$B$31+'Inputs'!$B$32)/1000+'Inputs'!$B$21))^2+('Inputs'!$B$8/2)^2)))-'Results'!B7*(1-'Inputs'!$B$24)*(0.5*((((242-43)*MAX('Inputs'!$B$33,'Inputs'!$B$29+'Inputs'!$B$31+'Inputs'!$B$32,'Inputs'!$B$30+'Inputs'!$B$31+'Inputs'!$B$32)/1000+'Inputs'!$B$21+'Inputs'!$B$9+'Inputs'!$B$10)+'Inputs'!$B$7)/SQRT((((242-43)*MAX('Inputs'!$B$33,'Inputs'!$B$29+'Inputs'!$B$31+'Inputs'!$B$32,'Inputs'!$B$30+'Inputs'!$B$31+'Inputs'!$B$32)/1000+'Inputs'!$B$21+'Inputs'!$B$9+'Inputs'!$B$10)+'Inputs'!$B$7)^2+('Inputs'!$B$6/2)^2)-(((242-43)*MAX('Inputs'!$B$33,'Inputs'!$B$29+'Inputs'!$B$31+'Inputs'!$B$32,'Inputs'!$B$30+'Inputs'!$B$31+'Inputs'!$B$32)/1000+'Inputs'!$B$21+'Inputs'!$B$9+'Inputs'!$B$10))/SQRT((((242-43)*MAX('Inputs'!$B$33,'Inputs'!$B$29+'Inputs'!$B$31+'Inputs'!$B$32,'Inputs'!$B$30+'Inputs'!$B$31+'Inputs'!$B$32)/1000+'Inputs'!$B$21+'Inputs'!$B$9+'Inputs'!$B$10))^2+('Inputs'!$B$6/2)^2))))*'Results'!$B$8)+'Inputs'!$B$28*ABS((('Results'!C7*(1+'Inputs'!$B$24)*(0.5*((((242-43)*MAX('Inputs'!$B$33,'Inputs'!$B$29+'Inputs'!$B$31+'Inputs'!$B$32,'Inputs'!$B$30+'Inputs'!$B$31+'Inputs'!$B$32)/1000+'Inputs'!$B$21)+'Inputs'!$B$9)/SQRT((((242-43)*MAX('Inputs'!$B$33,'Inputs'!$B$29+'Inputs'!$B$31+'Inputs'!$B$32,'Inputs'!$B$30+'Inputs'!$B$31+'Inputs'!$B$32)/1000+'Inputs'!$B$21)+'Inputs'!$B$9)^2+('Inputs'!$B$8/2)^2)-(((242-43)*MAX('Inputs'!$B$33,'Inputs'!$B$29+'Inputs'!$B$31+'Inputs'!$B$32,'Inputs'!$B$30+'Inputs'!$B$31+'Inputs'!$B$32)/1000+'Inputs'!$B$21))/SQRT((((242-43)*MAX('Inputs'!$B$33,'Inputs'!$B$29+'Inputs'!$B$31+'Inputs'!$B$32,'Inputs'!$B$30+'Inputs'!$B$31+'Inputs'!$B$32)/1000+'Inputs'!$B$21))^2+('Inputs'!$B$8/2)^2)))-'Results'!B7*(1-'Inputs'!$B$24)*(0.5*((((242-43)*MAX('Inputs'!$B$33,'Inputs'!$B$29+'Inputs'!$B$31+'Inputs'!$B$32,'Inputs'!$B$30+'Inputs'!$B$31+'Inputs'!$B$32)/1000+'Inputs'!$B$21+'Inputs'!$B$9+'Inputs'!$B$10)+'Inputs'!$B$7)/SQRT((((242-43)*MAX('Inputs'!$B$33,'Inputs'!$B$29+'Inputs'!$B$31+'Inputs'!$B$32,'Inputs'!$B$30+'Inputs'!$B$31+'Inputs'!$B$32)/1000+'Inputs'!$B$21+'Inputs'!$B$9+'Inputs'!$B$10)+'Inputs'!$B$7)^2+('Inputs'!$B$6/2)^2)-(((242-43)*MAX('Inputs'!$B$33,'Inputs'!$B$29+'Inputs'!$B$31+'Inputs'!$B$32,'Inputs'!$B$30+'Inputs'!$B$31+'Inputs'!$B$32)/1000+'Inputs'!$B$21+'Inputs'!$B$9+'Inputs'!$B$10))/SQRT((((242-43)*MAX('Inputs'!$B$33,'Inputs'!$B$29+'Inputs'!$B$31+'Inputs'!$B$32,'Inputs'!$B$30+'Inputs'!$B$31+'Inputs'!$B$32)/1000+'Inputs'!$B$21+'Inputs'!$B$9+'Inputs'!$B$10))^2+('Inputs'!$B$6/2)^2))))*'Results'!$B$8))),"")</x:f>
        <x:v>77.9038970854921</x:v>
      </x:c>
      <x:c r="P242" t="n">
        <x:f>IF(AND(MAX(J242,J241)&gt;0,J242&gt;J241+0.00000001),1,0)</x:f>
        <x:v>0</x:v>
      </x:c>
      <x:c r="Q242" t="n">
        <x:f>IF(AND(MAX(K242,K241)&gt;0,K242&gt;K241+0.00000001),1,0)</x:f>
        <x:v>0</x:v>
      </x:c>
      <x:c r="R242" t="n">
        <x:f>IF(AND(MAX(L242,L241)&gt;0,L242&gt;L241+0.00000001),1,0)</x:f>
        <x:v>0</x:v>
      </x:c>
      <x:c r="S242" t="n">
        <x:f>IF(AND(MAX(M242,M241)&gt;0,M242&gt;M241+0.00000001),1,0)</x:f>
        <x:v>0</x:v>
      </x:c>
      <x:c r="T242" t="n">
        <x:f>IF(AND(MAX(N242,N241)&gt;0,N242&gt;N241+0.00000001),1,0)</x:f>
        <x:v>0</x:v>
      </x:c>
      <x:c r="U242" t="n">
        <x:f>IF(AND(MAX(O242,O241)&gt;0,O242&gt;O241+0.00000001),1,0)</x:f>
        <x:v>0</x:v>
      </x:c>
    </x:row>
    <x:row r="243">
      <x:c r="J243" t="n">
        <x:f>IF(AND(ISNUMBER('Results'!B7),ISNUMBER('Results'!C7),ISNUMBER('Results'!$B$8),ISNUMBER('Inputs'!$B$6),ISNUMBER('Inputs'!$B$7),ISNUMBER('Inputs'!$B$8),ISNUMBER('Inputs'!$B$9),ISNUMBER('Inputs'!$B$10),ISNUMBER('Inputs'!$B$21),ISNUMBER('Inputs'!$B$24),ISNUMBER('Inputs'!$B$28)),(('Results'!B7*(0.5*((((243-43)*MAX('Inputs'!$B$33,'Inputs'!$B$29+'Inputs'!$B$31+'Inputs'!$B$32,'Inputs'!$B$30+'Inputs'!$B$31+'Inputs'!$B$32)/1000+'Inputs'!$B$21)+'Inputs'!$B$7)/SQRT((((243-43)*MAX('Inputs'!$B$33,'Inputs'!$B$29+'Inputs'!$B$31+'Inputs'!$B$32,'Inputs'!$B$30+'Inputs'!$B$31+'Inputs'!$B$32)/1000+'Inputs'!$B$21)+'Inputs'!$B$7)^2+('Inputs'!$B$6/2)^2)-(((243-43)*MAX('Inputs'!$B$33,'Inputs'!$B$29+'Inputs'!$B$31+'Inputs'!$B$32,'Inputs'!$B$30+'Inputs'!$B$31+'Inputs'!$B$32)/1000+'Inputs'!$B$21))/SQRT((((243-43)*MAX('Inputs'!$B$33,'Inputs'!$B$29+'Inputs'!$B$31+'Inputs'!$B$32,'Inputs'!$B$30+'Inputs'!$B$31+'Inputs'!$B$32)/1000+'Inputs'!$B$21))^2+('Inputs'!$B$6/2)^2)))-'Results'!C7*(0.5*((((243-43)*MAX('Inputs'!$B$33,'Inputs'!$B$29+'Inputs'!$B$31+'Inputs'!$B$32,'Inputs'!$B$30+'Inputs'!$B$31+'Inputs'!$B$32)/1000+'Inputs'!$B$21+'Inputs'!$B$7+'Inputs'!$B$10)+'Inputs'!$B$9)/SQRT((((243-43)*MAX('Inputs'!$B$33,'Inputs'!$B$29+'Inputs'!$B$31+'Inputs'!$B$32,'Inputs'!$B$30+'Inputs'!$B$31+'Inputs'!$B$32)/1000+'Inputs'!$B$21+'Inputs'!$B$7+'Inputs'!$B$10)+'Inputs'!$B$9)^2+('Inputs'!$B$8/2)^2)-(((243-43)*MAX('Inputs'!$B$33,'Inputs'!$B$29+'Inputs'!$B$31+'Inputs'!$B$32,'Inputs'!$B$30+'Inputs'!$B$31+'Inputs'!$B$32)/1000+'Inputs'!$B$21+'Inputs'!$B$7+'Inputs'!$B$10))/SQRT((((243-43)*MAX('Inputs'!$B$33,'Inputs'!$B$29+'Inputs'!$B$31+'Inputs'!$B$32,'Inputs'!$B$30+'Inputs'!$B$31+'Inputs'!$B$32)/1000+'Inputs'!$B$21+'Inputs'!$B$7+'Inputs'!$B$10))^2+('Inputs'!$B$8/2)^2))))*'Results'!$B$8),"")</x:f>
        <x:v>73.22104969471107</x:v>
      </x:c>
      <x:c r="K243" t="n">
        <x:f>IF(AND(ISNUMBER('Results'!B7),ISNUMBER('Results'!C7),ISNUMBER('Results'!$B$8),ISNUMBER('Inputs'!$B$6),ISNUMBER('Inputs'!$B$7),ISNUMBER('Inputs'!$B$8),ISNUMBER('Inputs'!$B$9),ISNUMBER('Inputs'!$B$10),ISNUMBER('Inputs'!$B$21),ISNUMBER('Inputs'!$B$24),ISNUMBER('Inputs'!$B$28)),((('Results'!B7*(1-'Inputs'!$B$24)*(0.5*((((243-43)*MAX('Inputs'!$B$33,'Inputs'!$B$29+'Inputs'!$B$31+'Inputs'!$B$32,'Inputs'!$B$30+'Inputs'!$B$31+'Inputs'!$B$32)/1000+'Inputs'!$B$21)+'Inputs'!$B$7)/SQRT((((243-43)*MAX('Inputs'!$B$33,'Inputs'!$B$29+'Inputs'!$B$31+'Inputs'!$B$32,'Inputs'!$B$30+'Inputs'!$B$31+'Inputs'!$B$32)/1000+'Inputs'!$B$21)+'Inputs'!$B$7)^2+('Inputs'!$B$6/2)^2)-(((243-43)*MAX('Inputs'!$B$33,'Inputs'!$B$29+'Inputs'!$B$31+'Inputs'!$B$32,'Inputs'!$B$30+'Inputs'!$B$31+'Inputs'!$B$32)/1000+'Inputs'!$B$21))/SQRT((((243-43)*MAX('Inputs'!$B$33,'Inputs'!$B$29+'Inputs'!$B$31+'Inputs'!$B$32,'Inputs'!$B$30+'Inputs'!$B$31+'Inputs'!$B$32)/1000+'Inputs'!$B$21))^2+('Inputs'!$B$6/2)^2)))-'Results'!C7*(1+'Inputs'!$B$24)*(0.5*((((243-43)*MAX('Inputs'!$B$33,'Inputs'!$B$29+'Inputs'!$B$31+'Inputs'!$B$32,'Inputs'!$B$30+'Inputs'!$B$31+'Inputs'!$B$32)/1000+'Inputs'!$B$21+'Inputs'!$B$7+'Inputs'!$B$10)+'Inputs'!$B$9)/SQRT((((243-43)*MAX('Inputs'!$B$33,'Inputs'!$B$29+'Inputs'!$B$31+'Inputs'!$B$32,'Inputs'!$B$30+'Inputs'!$B$31+'Inputs'!$B$32)/1000+'Inputs'!$B$21+'Inputs'!$B$7+'Inputs'!$B$10)+'Inputs'!$B$9)^2+('Inputs'!$B$8/2)^2)-(((243-43)*MAX('Inputs'!$B$33,'Inputs'!$B$29+'Inputs'!$B$31+'Inputs'!$B$32,'Inputs'!$B$30+'Inputs'!$B$31+'Inputs'!$B$32)/1000+'Inputs'!$B$21+'Inputs'!$B$7+'Inputs'!$B$10))/SQRT((((243-43)*MAX('Inputs'!$B$33,'Inputs'!$B$29+'Inputs'!$B$31+'Inputs'!$B$32,'Inputs'!$B$30+'Inputs'!$B$31+'Inputs'!$B$32)/1000+'Inputs'!$B$21+'Inputs'!$B$7+'Inputs'!$B$10))^2+('Inputs'!$B$8/2)^2))))*'Results'!$B$8)-'Inputs'!$B$28*ABS((('Results'!B7*(1-'Inputs'!$B$24)*(0.5*((((243-43)*MAX('Inputs'!$B$33,'Inputs'!$B$29+'Inputs'!$B$31+'Inputs'!$B$32,'Inputs'!$B$30+'Inputs'!$B$31+'Inputs'!$B$32)/1000+'Inputs'!$B$21)+'Inputs'!$B$7)/SQRT((((243-43)*MAX('Inputs'!$B$33,'Inputs'!$B$29+'Inputs'!$B$31+'Inputs'!$B$32,'Inputs'!$B$30+'Inputs'!$B$31+'Inputs'!$B$32)/1000+'Inputs'!$B$21)+'Inputs'!$B$7)^2+('Inputs'!$B$6/2)^2)-(((243-43)*MAX('Inputs'!$B$33,'Inputs'!$B$29+'Inputs'!$B$31+'Inputs'!$B$32,'Inputs'!$B$30+'Inputs'!$B$31+'Inputs'!$B$32)/1000+'Inputs'!$B$21))/SQRT((((243-43)*MAX('Inputs'!$B$33,'Inputs'!$B$29+'Inputs'!$B$31+'Inputs'!$B$32,'Inputs'!$B$30+'Inputs'!$B$31+'Inputs'!$B$32)/1000+'Inputs'!$B$21))^2+('Inputs'!$B$6/2)^2)))-'Results'!C7*(1+'Inputs'!$B$24)*(0.5*((((243-43)*MAX('Inputs'!$B$33,'Inputs'!$B$29+'Inputs'!$B$31+'Inputs'!$B$32,'Inputs'!$B$30+'Inputs'!$B$31+'Inputs'!$B$32)/1000+'Inputs'!$B$21+'Inputs'!$B$7+'Inputs'!$B$10)+'Inputs'!$B$9)/SQRT((((243-43)*MAX('Inputs'!$B$33,'Inputs'!$B$29+'Inputs'!$B$31+'Inputs'!$B$32,'Inputs'!$B$30+'Inputs'!$B$31+'Inputs'!$B$32)/1000+'Inputs'!$B$21+'Inputs'!$B$7+'Inputs'!$B$10)+'Inputs'!$B$9)^2+('Inputs'!$B$8/2)^2)-(((243-43)*MAX('Inputs'!$B$33,'Inputs'!$B$29+'Inputs'!$B$31+'Inputs'!$B$32,'Inputs'!$B$30+'Inputs'!$B$31+'Inputs'!$B$32)/1000+'Inputs'!$B$21+'Inputs'!$B$7+'Inputs'!$B$10))/SQRT((((243-43)*MAX('Inputs'!$B$33,'Inputs'!$B$29+'Inputs'!$B$31+'Inputs'!$B$32,'Inputs'!$B$30+'Inputs'!$B$31+'Inputs'!$B$32)/1000+'Inputs'!$B$21+'Inputs'!$B$7+'Inputs'!$B$10))^2+('Inputs'!$B$8/2)^2))))*'Results'!$B$8))),"")</x:f>
        <x:v>66.94190320093281</x:v>
      </x:c>
      <x:c r="L243" t="n">
        <x:f>IF(AND(ISNUMBER('Results'!B7),ISNUMBER('Results'!C7),ISNUMBER('Results'!$B$8),ISNUMBER('Inputs'!$B$6),ISNUMBER('Inputs'!$B$7),ISNUMBER('Inputs'!$B$8),ISNUMBER('Inputs'!$B$9),ISNUMBER('Inputs'!$B$10),ISNUMBER('Inputs'!$B$21),ISNUMBER('Inputs'!$B$24),ISNUMBER('Inputs'!$B$28)),((('Results'!B7*(1+'Inputs'!$B$24)*(0.5*((((243-43)*MAX('Inputs'!$B$33,'Inputs'!$B$29+'Inputs'!$B$31+'Inputs'!$B$32,'Inputs'!$B$30+'Inputs'!$B$31+'Inputs'!$B$32)/1000+'Inputs'!$B$21)+'Inputs'!$B$7)/SQRT((((243-43)*MAX('Inputs'!$B$33,'Inputs'!$B$29+'Inputs'!$B$31+'Inputs'!$B$32,'Inputs'!$B$30+'Inputs'!$B$31+'Inputs'!$B$32)/1000+'Inputs'!$B$21)+'Inputs'!$B$7)^2+('Inputs'!$B$6/2)^2)-(((243-43)*MAX('Inputs'!$B$33,'Inputs'!$B$29+'Inputs'!$B$31+'Inputs'!$B$32,'Inputs'!$B$30+'Inputs'!$B$31+'Inputs'!$B$32)/1000+'Inputs'!$B$21))/SQRT((((243-43)*MAX('Inputs'!$B$33,'Inputs'!$B$29+'Inputs'!$B$31+'Inputs'!$B$32,'Inputs'!$B$30+'Inputs'!$B$31+'Inputs'!$B$32)/1000+'Inputs'!$B$21))^2+('Inputs'!$B$6/2)^2)))-'Results'!C7*(1-'Inputs'!$B$24)*(0.5*((((243-43)*MAX('Inputs'!$B$33,'Inputs'!$B$29+'Inputs'!$B$31+'Inputs'!$B$32,'Inputs'!$B$30+'Inputs'!$B$31+'Inputs'!$B$32)/1000+'Inputs'!$B$21+'Inputs'!$B$7+'Inputs'!$B$10)+'Inputs'!$B$9)/SQRT((((243-43)*MAX('Inputs'!$B$33,'Inputs'!$B$29+'Inputs'!$B$31+'Inputs'!$B$32,'Inputs'!$B$30+'Inputs'!$B$31+'Inputs'!$B$32)/1000+'Inputs'!$B$21+'Inputs'!$B$7+'Inputs'!$B$10)+'Inputs'!$B$9)^2+('Inputs'!$B$8/2)^2)-(((243-43)*MAX('Inputs'!$B$33,'Inputs'!$B$29+'Inputs'!$B$31+'Inputs'!$B$32,'Inputs'!$B$30+'Inputs'!$B$31+'Inputs'!$B$32)/1000+'Inputs'!$B$21+'Inputs'!$B$7+'Inputs'!$B$10))/SQRT((((243-43)*MAX('Inputs'!$B$33,'Inputs'!$B$29+'Inputs'!$B$31+'Inputs'!$B$32,'Inputs'!$B$30+'Inputs'!$B$31+'Inputs'!$B$32)/1000+'Inputs'!$B$21+'Inputs'!$B$7+'Inputs'!$B$10))^2+('Inputs'!$B$8/2)^2))))*'Results'!$B$8)+'Inputs'!$B$28*ABS((('Results'!B7*(1+'Inputs'!$B$24)*(0.5*((((243-43)*MAX('Inputs'!$B$33,'Inputs'!$B$29+'Inputs'!$B$31+'Inputs'!$B$32,'Inputs'!$B$30+'Inputs'!$B$31+'Inputs'!$B$32)/1000+'Inputs'!$B$21)+'Inputs'!$B$7)/SQRT((((243-43)*MAX('Inputs'!$B$33,'Inputs'!$B$29+'Inputs'!$B$31+'Inputs'!$B$32,'Inputs'!$B$30+'Inputs'!$B$31+'Inputs'!$B$32)/1000+'Inputs'!$B$21)+'Inputs'!$B$7)^2+('Inputs'!$B$6/2)^2)-(((243-43)*MAX('Inputs'!$B$33,'Inputs'!$B$29+'Inputs'!$B$31+'Inputs'!$B$32,'Inputs'!$B$30+'Inputs'!$B$31+'Inputs'!$B$32)/1000+'Inputs'!$B$21))/SQRT((((243-43)*MAX('Inputs'!$B$33,'Inputs'!$B$29+'Inputs'!$B$31+'Inputs'!$B$32,'Inputs'!$B$30+'Inputs'!$B$31+'Inputs'!$B$32)/1000+'Inputs'!$B$21))^2+('Inputs'!$B$6/2)^2)))-'Results'!C7*(1-'Inputs'!$B$24)*(0.5*((((243-43)*MAX('Inputs'!$B$33,'Inputs'!$B$29+'Inputs'!$B$31+'Inputs'!$B$32,'Inputs'!$B$30+'Inputs'!$B$31+'Inputs'!$B$32)/1000+'Inputs'!$B$21+'Inputs'!$B$7+'Inputs'!$B$10)+'Inputs'!$B$9)/SQRT((((243-43)*MAX('Inputs'!$B$33,'Inputs'!$B$29+'Inputs'!$B$31+'Inputs'!$B$32,'Inputs'!$B$30+'Inputs'!$B$31+'Inputs'!$B$32)/1000+'Inputs'!$B$21+'Inputs'!$B$7+'Inputs'!$B$10)+'Inputs'!$B$9)^2+('Inputs'!$B$8/2)^2)-(((243-43)*MAX('Inputs'!$B$33,'Inputs'!$B$29+'Inputs'!$B$31+'Inputs'!$B$32,'Inputs'!$B$30+'Inputs'!$B$31+'Inputs'!$B$32)/1000+'Inputs'!$B$21+'Inputs'!$B$7+'Inputs'!$B$10))/SQRT((((243-43)*MAX('Inputs'!$B$33,'Inputs'!$B$29+'Inputs'!$B$31+'Inputs'!$B$32,'Inputs'!$B$30+'Inputs'!$B$31+'Inputs'!$B$32)/1000+'Inputs'!$B$21+'Inputs'!$B$7+'Inputs'!$B$10))^2+('Inputs'!$B$8/2)^2))))*'Results'!$B$8))),"")</x:f>
        <x:v>79.77578503154648</x:v>
      </x:c>
      <x:c r="M243" t="n">
        <x:f>IF(AND(ISNUMBER('Results'!C7),ISNUMBER('Results'!B7),ISNUMBER('Results'!$B$8),ISNUMBER('Inputs'!$B$6),ISNUMBER('Inputs'!$B$7),ISNUMBER('Inputs'!$B$8),ISNUMBER('Inputs'!$B$9),ISNUMBER('Inputs'!$B$10),ISNUMBER('Inputs'!$B$21),ISNUMBER('Inputs'!$B$24),ISNUMBER('Inputs'!$B$28)),(('Results'!C7*(0.5*((((243-43)*MAX('Inputs'!$B$33,'Inputs'!$B$29+'Inputs'!$B$31+'Inputs'!$B$32,'Inputs'!$B$30+'Inputs'!$B$31+'Inputs'!$B$32)/1000+'Inputs'!$B$21)+'Inputs'!$B$9)/SQRT((((243-43)*MAX('Inputs'!$B$33,'Inputs'!$B$29+'Inputs'!$B$31+'Inputs'!$B$32,'Inputs'!$B$30+'Inputs'!$B$31+'Inputs'!$B$32)/1000+'Inputs'!$B$21)+'Inputs'!$B$9)^2+('Inputs'!$B$8/2)^2)-(((243-43)*MAX('Inputs'!$B$33,'Inputs'!$B$29+'Inputs'!$B$31+'Inputs'!$B$32,'Inputs'!$B$30+'Inputs'!$B$31+'Inputs'!$B$32)/1000+'Inputs'!$B$21))/SQRT((((243-43)*MAX('Inputs'!$B$33,'Inputs'!$B$29+'Inputs'!$B$31+'Inputs'!$B$32,'Inputs'!$B$30+'Inputs'!$B$31+'Inputs'!$B$32)/1000+'Inputs'!$B$21))^2+('Inputs'!$B$8/2)^2)))-'Results'!B7*(0.5*((((243-43)*MAX('Inputs'!$B$33,'Inputs'!$B$29+'Inputs'!$B$31+'Inputs'!$B$32,'Inputs'!$B$30+'Inputs'!$B$31+'Inputs'!$B$32)/1000+'Inputs'!$B$21+'Inputs'!$B$9+'Inputs'!$B$10)+'Inputs'!$B$7)/SQRT((((243-43)*MAX('Inputs'!$B$33,'Inputs'!$B$29+'Inputs'!$B$31+'Inputs'!$B$32,'Inputs'!$B$30+'Inputs'!$B$31+'Inputs'!$B$32)/1000+'Inputs'!$B$21+'Inputs'!$B$9+'Inputs'!$B$10)+'Inputs'!$B$7)^2+('Inputs'!$B$6/2)^2)-(((243-43)*MAX('Inputs'!$B$33,'Inputs'!$B$29+'Inputs'!$B$31+'Inputs'!$B$32,'Inputs'!$B$30+'Inputs'!$B$31+'Inputs'!$B$32)/1000+'Inputs'!$B$21+'Inputs'!$B$9+'Inputs'!$B$10))/SQRT((((243-43)*MAX('Inputs'!$B$33,'Inputs'!$B$29+'Inputs'!$B$31+'Inputs'!$B$32,'Inputs'!$B$30+'Inputs'!$B$31+'Inputs'!$B$32)/1000+'Inputs'!$B$21+'Inputs'!$B$9+'Inputs'!$B$10))^2+('Inputs'!$B$6/2)^2))))*'Results'!$B$8),"")</x:f>
        <x:v>70.45198302499003</x:v>
      </x:c>
      <x:c r="N243" t="n">
        <x:f>IF(AND(ISNUMBER('Results'!C7),ISNUMBER('Results'!B7),ISNUMBER('Results'!$B$8),ISNUMBER('Inputs'!$B$6),ISNUMBER('Inputs'!$B$7),ISNUMBER('Inputs'!$B$8),ISNUMBER('Inputs'!$B$9),ISNUMBER('Inputs'!$B$10),ISNUMBER('Inputs'!$B$21),ISNUMBER('Inputs'!$B$24),ISNUMBER('Inputs'!$B$28)),((('Results'!C7*(1-'Inputs'!$B$24)*(0.5*((((243-43)*MAX('Inputs'!$B$33,'Inputs'!$B$29+'Inputs'!$B$31+'Inputs'!$B$32,'Inputs'!$B$30+'Inputs'!$B$31+'Inputs'!$B$32)/1000+'Inputs'!$B$21)+'Inputs'!$B$9)/SQRT((((243-43)*MAX('Inputs'!$B$33,'Inputs'!$B$29+'Inputs'!$B$31+'Inputs'!$B$32,'Inputs'!$B$30+'Inputs'!$B$31+'Inputs'!$B$32)/1000+'Inputs'!$B$21)+'Inputs'!$B$9)^2+('Inputs'!$B$8/2)^2)-(((243-43)*MAX('Inputs'!$B$33,'Inputs'!$B$29+'Inputs'!$B$31+'Inputs'!$B$32,'Inputs'!$B$30+'Inputs'!$B$31+'Inputs'!$B$32)/1000+'Inputs'!$B$21))/SQRT((((243-43)*MAX('Inputs'!$B$33,'Inputs'!$B$29+'Inputs'!$B$31+'Inputs'!$B$32,'Inputs'!$B$30+'Inputs'!$B$31+'Inputs'!$B$32)/1000+'Inputs'!$B$21))^2+('Inputs'!$B$8/2)^2)))-'Results'!B7*(1+'Inputs'!$B$24)*(0.5*((((243-43)*MAX('Inputs'!$B$33,'Inputs'!$B$29+'Inputs'!$B$31+'Inputs'!$B$32,'Inputs'!$B$30+'Inputs'!$B$31+'Inputs'!$B$32)/1000+'Inputs'!$B$21+'Inputs'!$B$9+'Inputs'!$B$10)+'Inputs'!$B$7)/SQRT((((243-43)*MAX('Inputs'!$B$33,'Inputs'!$B$29+'Inputs'!$B$31+'Inputs'!$B$32,'Inputs'!$B$30+'Inputs'!$B$31+'Inputs'!$B$32)/1000+'Inputs'!$B$21+'Inputs'!$B$9+'Inputs'!$B$10)+'Inputs'!$B$7)^2+('Inputs'!$B$6/2)^2)-(((243-43)*MAX('Inputs'!$B$33,'Inputs'!$B$29+'Inputs'!$B$31+'Inputs'!$B$32,'Inputs'!$B$30+'Inputs'!$B$31+'Inputs'!$B$32)/1000+'Inputs'!$B$21+'Inputs'!$B$9+'Inputs'!$B$10))/SQRT((((243-43)*MAX('Inputs'!$B$33,'Inputs'!$B$29+'Inputs'!$B$31+'Inputs'!$B$32,'Inputs'!$B$30+'Inputs'!$B$31+'Inputs'!$B$32)/1000+'Inputs'!$B$21+'Inputs'!$B$9+'Inputs'!$B$10))^2+('Inputs'!$B$6/2)^2))))*'Results'!$B$8)-'Inputs'!$B$28*ABS((('Results'!C7*(1-'Inputs'!$B$24)*(0.5*((((243-43)*MAX('Inputs'!$B$33,'Inputs'!$B$29+'Inputs'!$B$31+'Inputs'!$B$32,'Inputs'!$B$30+'Inputs'!$B$31+'Inputs'!$B$32)/1000+'Inputs'!$B$21)+'Inputs'!$B$9)/SQRT((((243-43)*MAX('Inputs'!$B$33,'Inputs'!$B$29+'Inputs'!$B$31+'Inputs'!$B$32,'Inputs'!$B$30+'Inputs'!$B$31+'Inputs'!$B$32)/1000+'Inputs'!$B$21)+'Inputs'!$B$9)^2+('Inputs'!$B$8/2)^2)-(((243-43)*MAX('Inputs'!$B$33,'Inputs'!$B$29+'Inputs'!$B$31+'Inputs'!$B$32,'Inputs'!$B$30+'Inputs'!$B$31+'Inputs'!$B$32)/1000+'Inputs'!$B$21))/SQRT((((243-43)*MAX('Inputs'!$B$33,'Inputs'!$B$29+'Inputs'!$B$31+'Inputs'!$B$32,'Inputs'!$B$30+'Inputs'!$B$31+'Inputs'!$B$32)/1000+'Inputs'!$B$21))^2+('Inputs'!$B$8/2)^2)))-'Results'!B7*(1+'Inputs'!$B$24)*(0.5*((((243-43)*MAX('Inputs'!$B$33,'Inputs'!$B$29+'Inputs'!$B$31+'Inputs'!$B$32,'Inputs'!$B$30+'Inputs'!$B$31+'Inputs'!$B$32)/1000+'Inputs'!$B$21+'Inputs'!$B$9+'Inputs'!$B$10)+'Inputs'!$B$7)/SQRT((((243-43)*MAX('Inputs'!$B$33,'Inputs'!$B$29+'Inputs'!$B$31+'Inputs'!$B$32,'Inputs'!$B$30+'Inputs'!$B$31+'Inputs'!$B$32)/1000+'Inputs'!$B$21+'Inputs'!$B$9+'Inputs'!$B$10)+'Inputs'!$B$7)^2+('Inputs'!$B$6/2)^2)-(((243-43)*MAX('Inputs'!$B$33,'Inputs'!$B$29+'Inputs'!$B$31+'Inputs'!$B$32,'Inputs'!$B$30+'Inputs'!$B$31+'Inputs'!$B$32)/1000+'Inputs'!$B$21+'Inputs'!$B$9+'Inputs'!$B$10))/SQRT((((243-43)*MAX('Inputs'!$B$33,'Inputs'!$B$29+'Inputs'!$B$31+'Inputs'!$B$32,'Inputs'!$B$30+'Inputs'!$B$31+'Inputs'!$B$32)/1000+'Inputs'!$B$21+'Inputs'!$B$9+'Inputs'!$B$10))^2+('Inputs'!$B$6/2)^2))))*'Results'!$B$8))),"")</x:f>
        <x:v>64.33886347703798</x:v>
      </x:c>
      <x:c r="O243" t="n">
        <x:f>IF(AND(ISNUMBER('Results'!C7),ISNUMBER('Results'!B7),ISNUMBER('Results'!$B$8),ISNUMBER('Inputs'!$B$6),ISNUMBER('Inputs'!$B$7),ISNUMBER('Inputs'!$B$8),ISNUMBER('Inputs'!$B$9),ISNUMBER('Inputs'!$B$10),ISNUMBER('Inputs'!$B$21),ISNUMBER('Inputs'!$B$24),ISNUMBER('Inputs'!$B$28)),((('Results'!C7*(1+'Inputs'!$B$24)*(0.5*((((243-43)*MAX('Inputs'!$B$33,'Inputs'!$B$29+'Inputs'!$B$31+'Inputs'!$B$32,'Inputs'!$B$30+'Inputs'!$B$31+'Inputs'!$B$32)/1000+'Inputs'!$B$21)+'Inputs'!$B$9)/SQRT((((243-43)*MAX('Inputs'!$B$33,'Inputs'!$B$29+'Inputs'!$B$31+'Inputs'!$B$32,'Inputs'!$B$30+'Inputs'!$B$31+'Inputs'!$B$32)/1000+'Inputs'!$B$21)+'Inputs'!$B$9)^2+('Inputs'!$B$8/2)^2)-(((243-43)*MAX('Inputs'!$B$33,'Inputs'!$B$29+'Inputs'!$B$31+'Inputs'!$B$32,'Inputs'!$B$30+'Inputs'!$B$31+'Inputs'!$B$32)/1000+'Inputs'!$B$21))/SQRT((((243-43)*MAX('Inputs'!$B$33,'Inputs'!$B$29+'Inputs'!$B$31+'Inputs'!$B$32,'Inputs'!$B$30+'Inputs'!$B$31+'Inputs'!$B$32)/1000+'Inputs'!$B$21))^2+('Inputs'!$B$8/2)^2)))-'Results'!B7*(1-'Inputs'!$B$24)*(0.5*((((243-43)*MAX('Inputs'!$B$33,'Inputs'!$B$29+'Inputs'!$B$31+'Inputs'!$B$32,'Inputs'!$B$30+'Inputs'!$B$31+'Inputs'!$B$32)/1000+'Inputs'!$B$21+'Inputs'!$B$9+'Inputs'!$B$10)+'Inputs'!$B$7)/SQRT((((243-43)*MAX('Inputs'!$B$33,'Inputs'!$B$29+'Inputs'!$B$31+'Inputs'!$B$32,'Inputs'!$B$30+'Inputs'!$B$31+'Inputs'!$B$32)/1000+'Inputs'!$B$21+'Inputs'!$B$9+'Inputs'!$B$10)+'Inputs'!$B$7)^2+('Inputs'!$B$6/2)^2)-(((243-43)*MAX('Inputs'!$B$33,'Inputs'!$B$29+'Inputs'!$B$31+'Inputs'!$B$32,'Inputs'!$B$30+'Inputs'!$B$31+'Inputs'!$B$32)/1000+'Inputs'!$B$21+'Inputs'!$B$9+'Inputs'!$B$10))/SQRT((((243-43)*MAX('Inputs'!$B$33,'Inputs'!$B$29+'Inputs'!$B$31+'Inputs'!$B$32,'Inputs'!$B$30+'Inputs'!$B$31+'Inputs'!$B$32)/1000+'Inputs'!$B$21+'Inputs'!$B$9+'Inputs'!$B$10))^2+('Inputs'!$B$6/2)^2))))*'Results'!$B$8)+'Inputs'!$B$28*ABS((('Results'!C7*(1+'Inputs'!$B$24)*(0.5*((((243-43)*MAX('Inputs'!$B$33,'Inputs'!$B$29+'Inputs'!$B$31+'Inputs'!$B$32,'Inputs'!$B$30+'Inputs'!$B$31+'Inputs'!$B$32)/1000+'Inputs'!$B$21)+'Inputs'!$B$9)/SQRT((((243-43)*MAX('Inputs'!$B$33,'Inputs'!$B$29+'Inputs'!$B$31+'Inputs'!$B$32,'Inputs'!$B$30+'Inputs'!$B$31+'Inputs'!$B$32)/1000+'Inputs'!$B$21)+'Inputs'!$B$9)^2+('Inputs'!$B$8/2)^2)-(((243-43)*MAX('Inputs'!$B$33,'Inputs'!$B$29+'Inputs'!$B$31+'Inputs'!$B$32,'Inputs'!$B$30+'Inputs'!$B$31+'Inputs'!$B$32)/1000+'Inputs'!$B$21))/SQRT((((243-43)*MAX('Inputs'!$B$33,'Inputs'!$B$29+'Inputs'!$B$31+'Inputs'!$B$32,'Inputs'!$B$30+'Inputs'!$B$31+'Inputs'!$B$32)/1000+'Inputs'!$B$21))^2+('Inputs'!$B$8/2)^2)))-'Results'!B7*(1-'Inputs'!$B$24)*(0.5*((((243-43)*MAX('Inputs'!$B$33,'Inputs'!$B$29+'Inputs'!$B$31+'Inputs'!$B$32,'Inputs'!$B$30+'Inputs'!$B$31+'Inputs'!$B$32)/1000+'Inputs'!$B$21+'Inputs'!$B$9+'Inputs'!$B$10)+'Inputs'!$B$7)/SQRT((((243-43)*MAX('Inputs'!$B$33,'Inputs'!$B$29+'Inputs'!$B$31+'Inputs'!$B$32,'Inputs'!$B$30+'Inputs'!$B$31+'Inputs'!$B$32)/1000+'Inputs'!$B$21+'Inputs'!$B$9+'Inputs'!$B$10)+'Inputs'!$B$7)^2+('Inputs'!$B$6/2)^2)-(((243-43)*MAX('Inputs'!$B$33,'Inputs'!$B$29+'Inputs'!$B$31+'Inputs'!$B$32,'Inputs'!$B$30+'Inputs'!$B$31+'Inputs'!$B$32)/1000+'Inputs'!$B$21+'Inputs'!$B$9+'Inputs'!$B$10))/SQRT((((243-43)*MAX('Inputs'!$B$33,'Inputs'!$B$29+'Inputs'!$B$31+'Inputs'!$B$32,'Inputs'!$B$30+'Inputs'!$B$31+'Inputs'!$B$32)/1000+'Inputs'!$B$21+'Inputs'!$B$9+'Inputs'!$B$10))^2+('Inputs'!$B$6/2)^2))))*'Results'!$B$8))),"")</x:f>
        <x:v>76.83778893048975</x:v>
      </x:c>
      <x:c r="P243" t="n">
        <x:f>IF(AND(MAX(J243,J242)&gt;0,J243&gt;J242+0.00000001),1,0)</x:f>
        <x:v>0</x:v>
      </x:c>
      <x:c r="Q243" t="n">
        <x:f>IF(AND(MAX(K243,K242)&gt;0,K243&gt;K242+0.00000001),1,0)</x:f>
        <x:v>0</x:v>
      </x:c>
      <x:c r="R243" t="n">
        <x:f>IF(AND(MAX(L243,L242)&gt;0,L243&gt;L242+0.00000001),1,0)</x:f>
        <x:v>0</x:v>
      </x:c>
      <x:c r="S243" t="n">
        <x:f>IF(AND(MAX(M243,M242)&gt;0,M243&gt;M242+0.00000001),1,0)</x:f>
        <x:v>0</x:v>
      </x:c>
      <x:c r="T243" t="n">
        <x:f>IF(AND(MAX(N243,N242)&gt;0,N243&gt;N242+0.00000001),1,0)</x:f>
        <x:v>0</x:v>
      </x:c>
      <x:c r="U243" t="n">
        <x:f>IF(AND(MAX(O243,O242)&gt;0,O243&gt;O242+0.00000001),1,0)</x:f>
        <x:v>0</x:v>
      </x:c>
    </x:row>
    <x:row r="244">
      <x:c r="J244" t="n">
        <x:f>IF(AND(ISNUMBER('Results'!B7),ISNUMBER('Results'!C7),ISNUMBER('Results'!$B$8),ISNUMBER('Inputs'!$B$6),ISNUMBER('Inputs'!$B$7),ISNUMBER('Inputs'!$B$8),ISNUMBER('Inputs'!$B$9),ISNUMBER('Inputs'!$B$10),ISNUMBER('Inputs'!$B$21),ISNUMBER('Inputs'!$B$24),ISNUMBER('Inputs'!$B$28)),(('Results'!B7*(0.5*((((244-43)*MAX('Inputs'!$B$33,'Inputs'!$B$29+'Inputs'!$B$31+'Inputs'!$B$32,'Inputs'!$B$30+'Inputs'!$B$31+'Inputs'!$B$32)/1000+'Inputs'!$B$21)+'Inputs'!$B$7)/SQRT((((244-43)*MAX('Inputs'!$B$33,'Inputs'!$B$29+'Inputs'!$B$31+'Inputs'!$B$32,'Inputs'!$B$30+'Inputs'!$B$31+'Inputs'!$B$32)/1000+'Inputs'!$B$21)+'Inputs'!$B$7)^2+('Inputs'!$B$6/2)^2)-(((244-43)*MAX('Inputs'!$B$33,'Inputs'!$B$29+'Inputs'!$B$31+'Inputs'!$B$32,'Inputs'!$B$30+'Inputs'!$B$31+'Inputs'!$B$32)/1000+'Inputs'!$B$21))/SQRT((((244-43)*MAX('Inputs'!$B$33,'Inputs'!$B$29+'Inputs'!$B$31+'Inputs'!$B$32,'Inputs'!$B$30+'Inputs'!$B$31+'Inputs'!$B$32)/1000+'Inputs'!$B$21))^2+('Inputs'!$B$6/2)^2)))-'Results'!C7*(0.5*((((244-43)*MAX('Inputs'!$B$33,'Inputs'!$B$29+'Inputs'!$B$31+'Inputs'!$B$32,'Inputs'!$B$30+'Inputs'!$B$31+'Inputs'!$B$32)/1000+'Inputs'!$B$21+'Inputs'!$B$7+'Inputs'!$B$10)+'Inputs'!$B$9)/SQRT((((244-43)*MAX('Inputs'!$B$33,'Inputs'!$B$29+'Inputs'!$B$31+'Inputs'!$B$32,'Inputs'!$B$30+'Inputs'!$B$31+'Inputs'!$B$32)/1000+'Inputs'!$B$21+'Inputs'!$B$7+'Inputs'!$B$10)+'Inputs'!$B$9)^2+('Inputs'!$B$8/2)^2)-(((244-43)*MAX('Inputs'!$B$33,'Inputs'!$B$29+'Inputs'!$B$31+'Inputs'!$B$32,'Inputs'!$B$30+'Inputs'!$B$31+'Inputs'!$B$32)/1000+'Inputs'!$B$21+'Inputs'!$B$7+'Inputs'!$B$10))/SQRT((((244-43)*MAX('Inputs'!$B$33,'Inputs'!$B$29+'Inputs'!$B$31+'Inputs'!$B$32,'Inputs'!$B$30+'Inputs'!$B$31+'Inputs'!$B$32)/1000+'Inputs'!$B$21+'Inputs'!$B$7+'Inputs'!$B$10))^2+('Inputs'!$B$8/2)^2))))*'Results'!$B$8),"")</x:f>
        <x:v>72.22222481440441</x:v>
      </x:c>
      <x:c r="K244" t="n">
        <x:f>IF(AND(ISNUMBER('Results'!B7),ISNUMBER('Results'!C7),ISNUMBER('Results'!$B$8),ISNUMBER('Inputs'!$B$6),ISNUMBER('Inputs'!$B$7),ISNUMBER('Inputs'!$B$8),ISNUMBER('Inputs'!$B$9),ISNUMBER('Inputs'!$B$10),ISNUMBER('Inputs'!$B$21),ISNUMBER('Inputs'!$B$24),ISNUMBER('Inputs'!$B$28)),((('Results'!B7*(1-'Inputs'!$B$24)*(0.5*((((244-43)*MAX('Inputs'!$B$33,'Inputs'!$B$29+'Inputs'!$B$31+'Inputs'!$B$32,'Inputs'!$B$30+'Inputs'!$B$31+'Inputs'!$B$32)/1000+'Inputs'!$B$21)+'Inputs'!$B$7)/SQRT((((244-43)*MAX('Inputs'!$B$33,'Inputs'!$B$29+'Inputs'!$B$31+'Inputs'!$B$32,'Inputs'!$B$30+'Inputs'!$B$31+'Inputs'!$B$32)/1000+'Inputs'!$B$21)+'Inputs'!$B$7)^2+('Inputs'!$B$6/2)^2)-(((244-43)*MAX('Inputs'!$B$33,'Inputs'!$B$29+'Inputs'!$B$31+'Inputs'!$B$32,'Inputs'!$B$30+'Inputs'!$B$31+'Inputs'!$B$32)/1000+'Inputs'!$B$21))/SQRT((((244-43)*MAX('Inputs'!$B$33,'Inputs'!$B$29+'Inputs'!$B$31+'Inputs'!$B$32,'Inputs'!$B$30+'Inputs'!$B$31+'Inputs'!$B$32)/1000+'Inputs'!$B$21))^2+('Inputs'!$B$6/2)^2)))-'Results'!C7*(1+'Inputs'!$B$24)*(0.5*((((244-43)*MAX('Inputs'!$B$33,'Inputs'!$B$29+'Inputs'!$B$31+'Inputs'!$B$32,'Inputs'!$B$30+'Inputs'!$B$31+'Inputs'!$B$32)/1000+'Inputs'!$B$21+'Inputs'!$B$7+'Inputs'!$B$10)+'Inputs'!$B$9)/SQRT((((244-43)*MAX('Inputs'!$B$33,'Inputs'!$B$29+'Inputs'!$B$31+'Inputs'!$B$32,'Inputs'!$B$30+'Inputs'!$B$31+'Inputs'!$B$32)/1000+'Inputs'!$B$21+'Inputs'!$B$7+'Inputs'!$B$10)+'Inputs'!$B$9)^2+('Inputs'!$B$8/2)^2)-(((244-43)*MAX('Inputs'!$B$33,'Inputs'!$B$29+'Inputs'!$B$31+'Inputs'!$B$32,'Inputs'!$B$30+'Inputs'!$B$31+'Inputs'!$B$32)/1000+'Inputs'!$B$21+'Inputs'!$B$7+'Inputs'!$B$10))/SQRT((((244-43)*MAX('Inputs'!$B$33,'Inputs'!$B$29+'Inputs'!$B$31+'Inputs'!$B$32,'Inputs'!$B$30+'Inputs'!$B$31+'Inputs'!$B$32)/1000+'Inputs'!$B$21+'Inputs'!$B$7+'Inputs'!$B$10))^2+('Inputs'!$B$8/2)^2))))*'Results'!$B$8)-'Inputs'!$B$28*ABS((('Results'!B7*(1-'Inputs'!$B$24)*(0.5*((((244-43)*MAX('Inputs'!$B$33,'Inputs'!$B$29+'Inputs'!$B$31+'Inputs'!$B$32,'Inputs'!$B$30+'Inputs'!$B$31+'Inputs'!$B$32)/1000+'Inputs'!$B$21)+'Inputs'!$B$7)/SQRT((((244-43)*MAX('Inputs'!$B$33,'Inputs'!$B$29+'Inputs'!$B$31+'Inputs'!$B$32,'Inputs'!$B$30+'Inputs'!$B$31+'Inputs'!$B$32)/1000+'Inputs'!$B$21)+'Inputs'!$B$7)^2+('Inputs'!$B$6/2)^2)-(((244-43)*MAX('Inputs'!$B$33,'Inputs'!$B$29+'Inputs'!$B$31+'Inputs'!$B$32,'Inputs'!$B$30+'Inputs'!$B$31+'Inputs'!$B$32)/1000+'Inputs'!$B$21))/SQRT((((244-43)*MAX('Inputs'!$B$33,'Inputs'!$B$29+'Inputs'!$B$31+'Inputs'!$B$32,'Inputs'!$B$30+'Inputs'!$B$31+'Inputs'!$B$32)/1000+'Inputs'!$B$21))^2+('Inputs'!$B$6/2)^2)))-'Results'!C7*(1+'Inputs'!$B$24)*(0.5*((((244-43)*MAX('Inputs'!$B$33,'Inputs'!$B$29+'Inputs'!$B$31+'Inputs'!$B$32,'Inputs'!$B$30+'Inputs'!$B$31+'Inputs'!$B$32)/1000+'Inputs'!$B$21+'Inputs'!$B$7+'Inputs'!$B$10)+'Inputs'!$B$9)/SQRT((((244-43)*MAX('Inputs'!$B$33,'Inputs'!$B$29+'Inputs'!$B$31+'Inputs'!$B$32,'Inputs'!$B$30+'Inputs'!$B$31+'Inputs'!$B$32)/1000+'Inputs'!$B$21+'Inputs'!$B$7+'Inputs'!$B$10)+'Inputs'!$B$9)^2+('Inputs'!$B$8/2)^2)-(((244-43)*MAX('Inputs'!$B$33,'Inputs'!$B$29+'Inputs'!$B$31+'Inputs'!$B$32,'Inputs'!$B$30+'Inputs'!$B$31+'Inputs'!$B$32)/1000+'Inputs'!$B$21+'Inputs'!$B$7+'Inputs'!$B$10))/SQRT((((244-43)*MAX('Inputs'!$B$33,'Inputs'!$B$29+'Inputs'!$B$31+'Inputs'!$B$32,'Inputs'!$B$30+'Inputs'!$B$31+'Inputs'!$B$32)/1000+'Inputs'!$B$21+'Inputs'!$B$7+'Inputs'!$B$10))^2+('Inputs'!$B$8/2)^2))))*'Results'!$B$8))),"")</x:f>
        <x:v>66.02239517866829</x:v>
      </x:c>
      <x:c r="L244" t="n">
        <x:f>IF(AND(ISNUMBER('Results'!B7),ISNUMBER('Results'!C7),ISNUMBER('Results'!$B$8),ISNUMBER('Inputs'!$B$6),ISNUMBER('Inputs'!$B$7),ISNUMBER('Inputs'!$B$8),ISNUMBER('Inputs'!$B$9),ISNUMBER('Inputs'!$B$10),ISNUMBER('Inputs'!$B$21),ISNUMBER('Inputs'!$B$24),ISNUMBER('Inputs'!$B$28)),((('Results'!B7*(1+'Inputs'!$B$24)*(0.5*((((244-43)*MAX('Inputs'!$B$33,'Inputs'!$B$29+'Inputs'!$B$31+'Inputs'!$B$32,'Inputs'!$B$30+'Inputs'!$B$31+'Inputs'!$B$32)/1000+'Inputs'!$B$21)+'Inputs'!$B$7)/SQRT((((244-43)*MAX('Inputs'!$B$33,'Inputs'!$B$29+'Inputs'!$B$31+'Inputs'!$B$32,'Inputs'!$B$30+'Inputs'!$B$31+'Inputs'!$B$32)/1000+'Inputs'!$B$21)+'Inputs'!$B$7)^2+('Inputs'!$B$6/2)^2)-(((244-43)*MAX('Inputs'!$B$33,'Inputs'!$B$29+'Inputs'!$B$31+'Inputs'!$B$32,'Inputs'!$B$30+'Inputs'!$B$31+'Inputs'!$B$32)/1000+'Inputs'!$B$21))/SQRT((((244-43)*MAX('Inputs'!$B$33,'Inputs'!$B$29+'Inputs'!$B$31+'Inputs'!$B$32,'Inputs'!$B$30+'Inputs'!$B$31+'Inputs'!$B$32)/1000+'Inputs'!$B$21))^2+('Inputs'!$B$6/2)^2)))-'Results'!C7*(1-'Inputs'!$B$24)*(0.5*((((244-43)*MAX('Inputs'!$B$33,'Inputs'!$B$29+'Inputs'!$B$31+'Inputs'!$B$32,'Inputs'!$B$30+'Inputs'!$B$31+'Inputs'!$B$32)/1000+'Inputs'!$B$21+'Inputs'!$B$7+'Inputs'!$B$10)+'Inputs'!$B$9)/SQRT((((244-43)*MAX('Inputs'!$B$33,'Inputs'!$B$29+'Inputs'!$B$31+'Inputs'!$B$32,'Inputs'!$B$30+'Inputs'!$B$31+'Inputs'!$B$32)/1000+'Inputs'!$B$21+'Inputs'!$B$7+'Inputs'!$B$10)+'Inputs'!$B$9)^2+('Inputs'!$B$8/2)^2)-(((244-43)*MAX('Inputs'!$B$33,'Inputs'!$B$29+'Inputs'!$B$31+'Inputs'!$B$32,'Inputs'!$B$30+'Inputs'!$B$31+'Inputs'!$B$32)/1000+'Inputs'!$B$21+'Inputs'!$B$7+'Inputs'!$B$10))/SQRT((((244-43)*MAX('Inputs'!$B$33,'Inputs'!$B$29+'Inputs'!$B$31+'Inputs'!$B$32,'Inputs'!$B$30+'Inputs'!$B$31+'Inputs'!$B$32)/1000+'Inputs'!$B$21+'Inputs'!$B$7+'Inputs'!$B$10))^2+('Inputs'!$B$8/2)^2))))*'Results'!$B$8)+'Inputs'!$B$28*ABS((('Results'!B7*(1+'Inputs'!$B$24)*(0.5*((((244-43)*MAX('Inputs'!$B$33,'Inputs'!$B$29+'Inputs'!$B$31+'Inputs'!$B$32,'Inputs'!$B$30+'Inputs'!$B$31+'Inputs'!$B$32)/1000+'Inputs'!$B$21)+'Inputs'!$B$7)/SQRT((((244-43)*MAX('Inputs'!$B$33,'Inputs'!$B$29+'Inputs'!$B$31+'Inputs'!$B$32,'Inputs'!$B$30+'Inputs'!$B$31+'Inputs'!$B$32)/1000+'Inputs'!$B$21)+'Inputs'!$B$7)^2+('Inputs'!$B$6/2)^2)-(((244-43)*MAX('Inputs'!$B$33,'Inputs'!$B$29+'Inputs'!$B$31+'Inputs'!$B$32,'Inputs'!$B$30+'Inputs'!$B$31+'Inputs'!$B$32)/1000+'Inputs'!$B$21))/SQRT((((244-43)*MAX('Inputs'!$B$33,'Inputs'!$B$29+'Inputs'!$B$31+'Inputs'!$B$32,'Inputs'!$B$30+'Inputs'!$B$31+'Inputs'!$B$32)/1000+'Inputs'!$B$21))^2+('Inputs'!$B$6/2)^2)))-'Results'!C7*(1-'Inputs'!$B$24)*(0.5*((((244-43)*MAX('Inputs'!$B$33,'Inputs'!$B$29+'Inputs'!$B$31+'Inputs'!$B$32,'Inputs'!$B$30+'Inputs'!$B$31+'Inputs'!$B$32)/1000+'Inputs'!$B$21+'Inputs'!$B$7+'Inputs'!$B$10)+'Inputs'!$B$9)/SQRT((((244-43)*MAX('Inputs'!$B$33,'Inputs'!$B$29+'Inputs'!$B$31+'Inputs'!$B$32,'Inputs'!$B$30+'Inputs'!$B$31+'Inputs'!$B$32)/1000+'Inputs'!$B$21+'Inputs'!$B$7+'Inputs'!$B$10)+'Inputs'!$B$9)^2+('Inputs'!$B$8/2)^2)-(((244-43)*MAX('Inputs'!$B$33,'Inputs'!$B$29+'Inputs'!$B$31+'Inputs'!$B$32,'Inputs'!$B$30+'Inputs'!$B$31+'Inputs'!$B$32)/1000+'Inputs'!$B$21+'Inputs'!$B$7+'Inputs'!$B$10))/SQRT((((244-43)*MAX('Inputs'!$B$33,'Inputs'!$B$29+'Inputs'!$B$31+'Inputs'!$B$32,'Inputs'!$B$30+'Inputs'!$B$31+'Inputs'!$B$32)/1000+'Inputs'!$B$21+'Inputs'!$B$7+'Inputs'!$B$10))^2+('Inputs'!$B$8/2)^2))))*'Results'!$B$8))),"")</x:f>
        <x:v>78.6945511233001</x:v>
      </x:c>
      <x:c r="M244" t="n">
        <x:f>IF(AND(ISNUMBER('Results'!C7),ISNUMBER('Results'!B7),ISNUMBER('Results'!$B$8),ISNUMBER('Inputs'!$B$6),ISNUMBER('Inputs'!$B$7),ISNUMBER('Inputs'!$B$8),ISNUMBER('Inputs'!$B$9),ISNUMBER('Inputs'!$B$10),ISNUMBER('Inputs'!$B$21),ISNUMBER('Inputs'!$B$24),ISNUMBER('Inputs'!$B$28)),(('Results'!C7*(0.5*((((244-43)*MAX('Inputs'!$B$33,'Inputs'!$B$29+'Inputs'!$B$31+'Inputs'!$B$32,'Inputs'!$B$30+'Inputs'!$B$31+'Inputs'!$B$32)/1000+'Inputs'!$B$21)+'Inputs'!$B$9)/SQRT((((244-43)*MAX('Inputs'!$B$33,'Inputs'!$B$29+'Inputs'!$B$31+'Inputs'!$B$32,'Inputs'!$B$30+'Inputs'!$B$31+'Inputs'!$B$32)/1000+'Inputs'!$B$21)+'Inputs'!$B$9)^2+('Inputs'!$B$8/2)^2)-(((244-43)*MAX('Inputs'!$B$33,'Inputs'!$B$29+'Inputs'!$B$31+'Inputs'!$B$32,'Inputs'!$B$30+'Inputs'!$B$31+'Inputs'!$B$32)/1000+'Inputs'!$B$21))/SQRT((((244-43)*MAX('Inputs'!$B$33,'Inputs'!$B$29+'Inputs'!$B$31+'Inputs'!$B$32,'Inputs'!$B$30+'Inputs'!$B$31+'Inputs'!$B$32)/1000+'Inputs'!$B$21))^2+('Inputs'!$B$8/2)^2)))-'Results'!B7*(0.5*((((244-43)*MAX('Inputs'!$B$33,'Inputs'!$B$29+'Inputs'!$B$31+'Inputs'!$B$32,'Inputs'!$B$30+'Inputs'!$B$31+'Inputs'!$B$32)/1000+'Inputs'!$B$21+'Inputs'!$B$9+'Inputs'!$B$10)+'Inputs'!$B$7)/SQRT((((244-43)*MAX('Inputs'!$B$33,'Inputs'!$B$29+'Inputs'!$B$31+'Inputs'!$B$32,'Inputs'!$B$30+'Inputs'!$B$31+'Inputs'!$B$32)/1000+'Inputs'!$B$21+'Inputs'!$B$9+'Inputs'!$B$10)+'Inputs'!$B$7)^2+('Inputs'!$B$6/2)^2)-(((244-43)*MAX('Inputs'!$B$33,'Inputs'!$B$29+'Inputs'!$B$31+'Inputs'!$B$32,'Inputs'!$B$30+'Inputs'!$B$31+'Inputs'!$B$32)/1000+'Inputs'!$B$21+'Inputs'!$B$9+'Inputs'!$B$10))/SQRT((((244-43)*MAX('Inputs'!$B$33,'Inputs'!$B$29+'Inputs'!$B$31+'Inputs'!$B$32,'Inputs'!$B$30+'Inputs'!$B$31+'Inputs'!$B$32)/1000+'Inputs'!$B$21+'Inputs'!$B$9+'Inputs'!$B$10))^2+('Inputs'!$B$6/2)^2))))*'Results'!$B$8),"")</x:f>
        <x:v>69.48419152938722</x:v>
      </x:c>
      <x:c r="N244" t="n">
        <x:f>IF(AND(ISNUMBER('Results'!C7),ISNUMBER('Results'!B7),ISNUMBER('Results'!$B$8),ISNUMBER('Inputs'!$B$6),ISNUMBER('Inputs'!$B$7),ISNUMBER('Inputs'!$B$8),ISNUMBER('Inputs'!$B$9),ISNUMBER('Inputs'!$B$10),ISNUMBER('Inputs'!$B$21),ISNUMBER('Inputs'!$B$24),ISNUMBER('Inputs'!$B$28)),((('Results'!C7*(1-'Inputs'!$B$24)*(0.5*((((244-43)*MAX('Inputs'!$B$33,'Inputs'!$B$29+'Inputs'!$B$31+'Inputs'!$B$32,'Inputs'!$B$30+'Inputs'!$B$31+'Inputs'!$B$32)/1000+'Inputs'!$B$21)+'Inputs'!$B$9)/SQRT((((244-43)*MAX('Inputs'!$B$33,'Inputs'!$B$29+'Inputs'!$B$31+'Inputs'!$B$32,'Inputs'!$B$30+'Inputs'!$B$31+'Inputs'!$B$32)/1000+'Inputs'!$B$21)+'Inputs'!$B$9)^2+('Inputs'!$B$8/2)^2)-(((244-43)*MAX('Inputs'!$B$33,'Inputs'!$B$29+'Inputs'!$B$31+'Inputs'!$B$32,'Inputs'!$B$30+'Inputs'!$B$31+'Inputs'!$B$32)/1000+'Inputs'!$B$21))/SQRT((((244-43)*MAX('Inputs'!$B$33,'Inputs'!$B$29+'Inputs'!$B$31+'Inputs'!$B$32,'Inputs'!$B$30+'Inputs'!$B$31+'Inputs'!$B$32)/1000+'Inputs'!$B$21))^2+('Inputs'!$B$8/2)^2)))-'Results'!B7*(1+'Inputs'!$B$24)*(0.5*((((244-43)*MAX('Inputs'!$B$33,'Inputs'!$B$29+'Inputs'!$B$31+'Inputs'!$B$32,'Inputs'!$B$30+'Inputs'!$B$31+'Inputs'!$B$32)/1000+'Inputs'!$B$21+'Inputs'!$B$9+'Inputs'!$B$10)+'Inputs'!$B$7)/SQRT((((244-43)*MAX('Inputs'!$B$33,'Inputs'!$B$29+'Inputs'!$B$31+'Inputs'!$B$32,'Inputs'!$B$30+'Inputs'!$B$31+'Inputs'!$B$32)/1000+'Inputs'!$B$21+'Inputs'!$B$9+'Inputs'!$B$10)+'Inputs'!$B$7)^2+('Inputs'!$B$6/2)^2)-(((244-43)*MAX('Inputs'!$B$33,'Inputs'!$B$29+'Inputs'!$B$31+'Inputs'!$B$32,'Inputs'!$B$30+'Inputs'!$B$31+'Inputs'!$B$32)/1000+'Inputs'!$B$21+'Inputs'!$B$9+'Inputs'!$B$10))/SQRT((((244-43)*MAX('Inputs'!$B$33,'Inputs'!$B$29+'Inputs'!$B$31+'Inputs'!$B$32,'Inputs'!$B$30+'Inputs'!$B$31+'Inputs'!$B$32)/1000+'Inputs'!$B$21+'Inputs'!$B$9+'Inputs'!$B$10))^2+('Inputs'!$B$6/2)^2))))*'Results'!$B$8)-'Inputs'!$B$28*ABS((('Results'!C7*(1-'Inputs'!$B$24)*(0.5*((((244-43)*MAX('Inputs'!$B$33,'Inputs'!$B$29+'Inputs'!$B$31+'Inputs'!$B$32,'Inputs'!$B$30+'Inputs'!$B$31+'Inputs'!$B$32)/1000+'Inputs'!$B$21)+'Inputs'!$B$9)/SQRT((((244-43)*MAX('Inputs'!$B$33,'Inputs'!$B$29+'Inputs'!$B$31+'Inputs'!$B$32,'Inputs'!$B$30+'Inputs'!$B$31+'Inputs'!$B$32)/1000+'Inputs'!$B$21)+'Inputs'!$B$9)^2+('Inputs'!$B$8/2)^2)-(((244-43)*MAX('Inputs'!$B$33,'Inputs'!$B$29+'Inputs'!$B$31+'Inputs'!$B$32,'Inputs'!$B$30+'Inputs'!$B$31+'Inputs'!$B$32)/1000+'Inputs'!$B$21))/SQRT((((244-43)*MAX('Inputs'!$B$33,'Inputs'!$B$29+'Inputs'!$B$31+'Inputs'!$B$32,'Inputs'!$B$30+'Inputs'!$B$31+'Inputs'!$B$32)/1000+'Inputs'!$B$21))^2+('Inputs'!$B$8/2)^2)))-'Results'!B7*(1+'Inputs'!$B$24)*(0.5*((((244-43)*MAX('Inputs'!$B$33,'Inputs'!$B$29+'Inputs'!$B$31+'Inputs'!$B$32,'Inputs'!$B$30+'Inputs'!$B$31+'Inputs'!$B$32)/1000+'Inputs'!$B$21+'Inputs'!$B$9+'Inputs'!$B$10)+'Inputs'!$B$7)/SQRT((((244-43)*MAX('Inputs'!$B$33,'Inputs'!$B$29+'Inputs'!$B$31+'Inputs'!$B$32,'Inputs'!$B$30+'Inputs'!$B$31+'Inputs'!$B$32)/1000+'Inputs'!$B$21+'Inputs'!$B$9+'Inputs'!$B$10)+'Inputs'!$B$7)^2+('Inputs'!$B$6/2)^2)-(((244-43)*MAX('Inputs'!$B$33,'Inputs'!$B$29+'Inputs'!$B$31+'Inputs'!$B$32,'Inputs'!$B$30+'Inputs'!$B$31+'Inputs'!$B$32)/1000+'Inputs'!$B$21+'Inputs'!$B$9+'Inputs'!$B$10))/SQRT((((244-43)*MAX('Inputs'!$B$33,'Inputs'!$B$29+'Inputs'!$B$31+'Inputs'!$B$32,'Inputs'!$B$30+'Inputs'!$B$31+'Inputs'!$B$32)/1000+'Inputs'!$B$21+'Inputs'!$B$9+'Inputs'!$B$10))^2+('Inputs'!$B$6/2)^2))))*'Results'!$B$8))),"")</x:f>
        <x:v>63.448459738816425</x:v>
      </x:c>
      <x:c r="O244" t="n">
        <x:f>IF(AND(ISNUMBER('Results'!C7),ISNUMBER('Results'!B7),ISNUMBER('Results'!$B$8),ISNUMBER('Inputs'!$B$6),ISNUMBER('Inputs'!$B$7),ISNUMBER('Inputs'!$B$8),ISNUMBER('Inputs'!$B$9),ISNUMBER('Inputs'!$B$10),ISNUMBER('Inputs'!$B$21),ISNUMBER('Inputs'!$B$24),ISNUMBER('Inputs'!$B$28)),((('Results'!C7*(1+'Inputs'!$B$24)*(0.5*((((244-43)*MAX('Inputs'!$B$33,'Inputs'!$B$29+'Inputs'!$B$31+'Inputs'!$B$32,'Inputs'!$B$30+'Inputs'!$B$31+'Inputs'!$B$32)/1000+'Inputs'!$B$21)+'Inputs'!$B$9)/SQRT((((244-43)*MAX('Inputs'!$B$33,'Inputs'!$B$29+'Inputs'!$B$31+'Inputs'!$B$32,'Inputs'!$B$30+'Inputs'!$B$31+'Inputs'!$B$32)/1000+'Inputs'!$B$21)+'Inputs'!$B$9)^2+('Inputs'!$B$8/2)^2)-(((244-43)*MAX('Inputs'!$B$33,'Inputs'!$B$29+'Inputs'!$B$31+'Inputs'!$B$32,'Inputs'!$B$30+'Inputs'!$B$31+'Inputs'!$B$32)/1000+'Inputs'!$B$21))/SQRT((((244-43)*MAX('Inputs'!$B$33,'Inputs'!$B$29+'Inputs'!$B$31+'Inputs'!$B$32,'Inputs'!$B$30+'Inputs'!$B$31+'Inputs'!$B$32)/1000+'Inputs'!$B$21))^2+('Inputs'!$B$8/2)^2)))-'Results'!B7*(1-'Inputs'!$B$24)*(0.5*((((244-43)*MAX('Inputs'!$B$33,'Inputs'!$B$29+'Inputs'!$B$31+'Inputs'!$B$32,'Inputs'!$B$30+'Inputs'!$B$31+'Inputs'!$B$32)/1000+'Inputs'!$B$21+'Inputs'!$B$9+'Inputs'!$B$10)+'Inputs'!$B$7)/SQRT((((244-43)*MAX('Inputs'!$B$33,'Inputs'!$B$29+'Inputs'!$B$31+'Inputs'!$B$32,'Inputs'!$B$30+'Inputs'!$B$31+'Inputs'!$B$32)/1000+'Inputs'!$B$21+'Inputs'!$B$9+'Inputs'!$B$10)+'Inputs'!$B$7)^2+('Inputs'!$B$6/2)^2)-(((244-43)*MAX('Inputs'!$B$33,'Inputs'!$B$29+'Inputs'!$B$31+'Inputs'!$B$32,'Inputs'!$B$30+'Inputs'!$B$31+'Inputs'!$B$32)/1000+'Inputs'!$B$21+'Inputs'!$B$9+'Inputs'!$B$10))/SQRT((((244-43)*MAX('Inputs'!$B$33,'Inputs'!$B$29+'Inputs'!$B$31+'Inputs'!$B$32,'Inputs'!$B$30+'Inputs'!$B$31+'Inputs'!$B$32)/1000+'Inputs'!$B$21+'Inputs'!$B$9+'Inputs'!$B$10))^2+('Inputs'!$B$6/2)^2))))*'Results'!$B$8)+'Inputs'!$B$28*ABS((('Results'!C7*(1+'Inputs'!$B$24)*(0.5*((((244-43)*MAX('Inputs'!$B$33,'Inputs'!$B$29+'Inputs'!$B$31+'Inputs'!$B$32,'Inputs'!$B$30+'Inputs'!$B$31+'Inputs'!$B$32)/1000+'Inputs'!$B$21)+'Inputs'!$B$9)/SQRT((((244-43)*MAX('Inputs'!$B$33,'Inputs'!$B$29+'Inputs'!$B$31+'Inputs'!$B$32,'Inputs'!$B$30+'Inputs'!$B$31+'Inputs'!$B$32)/1000+'Inputs'!$B$21)+'Inputs'!$B$9)^2+('Inputs'!$B$8/2)^2)-(((244-43)*MAX('Inputs'!$B$33,'Inputs'!$B$29+'Inputs'!$B$31+'Inputs'!$B$32,'Inputs'!$B$30+'Inputs'!$B$31+'Inputs'!$B$32)/1000+'Inputs'!$B$21))/SQRT((((244-43)*MAX('Inputs'!$B$33,'Inputs'!$B$29+'Inputs'!$B$31+'Inputs'!$B$32,'Inputs'!$B$30+'Inputs'!$B$31+'Inputs'!$B$32)/1000+'Inputs'!$B$21))^2+('Inputs'!$B$8/2)^2)))-'Results'!B7*(1-'Inputs'!$B$24)*(0.5*((((244-43)*MAX('Inputs'!$B$33,'Inputs'!$B$29+'Inputs'!$B$31+'Inputs'!$B$32,'Inputs'!$B$30+'Inputs'!$B$31+'Inputs'!$B$32)/1000+'Inputs'!$B$21+'Inputs'!$B$9+'Inputs'!$B$10)+'Inputs'!$B$7)/SQRT((((244-43)*MAX('Inputs'!$B$33,'Inputs'!$B$29+'Inputs'!$B$31+'Inputs'!$B$32,'Inputs'!$B$30+'Inputs'!$B$31+'Inputs'!$B$32)/1000+'Inputs'!$B$21+'Inputs'!$B$9+'Inputs'!$B$10)+'Inputs'!$B$7)^2+('Inputs'!$B$6/2)^2)-(((244-43)*MAX('Inputs'!$B$33,'Inputs'!$B$29+'Inputs'!$B$31+'Inputs'!$B$32,'Inputs'!$B$30+'Inputs'!$B$31+'Inputs'!$B$32)/1000+'Inputs'!$B$21+'Inputs'!$B$9+'Inputs'!$B$10))/SQRT((((244-43)*MAX('Inputs'!$B$33,'Inputs'!$B$29+'Inputs'!$B$31+'Inputs'!$B$32,'Inputs'!$B$30+'Inputs'!$B$31+'Inputs'!$B$32)/1000+'Inputs'!$B$21+'Inputs'!$B$9+'Inputs'!$B$10))^2+('Inputs'!$B$6/2)^2))))*'Results'!$B$8))),"")</x:f>
        <x:v>75.78955723723188</x:v>
      </x:c>
      <x:c r="P244" t="n">
        <x:f>IF(AND(MAX(J244,J243)&gt;0,J244&gt;J243+0.00000001),1,0)</x:f>
        <x:v>0</x:v>
      </x:c>
      <x:c r="Q244" t="n">
        <x:f>IF(AND(MAX(K244,K243)&gt;0,K244&gt;K243+0.00000001),1,0)</x:f>
        <x:v>0</x:v>
      </x:c>
      <x:c r="R244" t="n">
        <x:f>IF(AND(MAX(L244,L243)&gt;0,L244&gt;L243+0.00000001),1,0)</x:f>
        <x:v>0</x:v>
      </x:c>
      <x:c r="S244" t="n">
        <x:f>IF(AND(MAX(M244,M243)&gt;0,M244&gt;M243+0.00000001),1,0)</x:f>
        <x:v>0</x:v>
      </x:c>
      <x:c r="T244" t="n">
        <x:f>IF(AND(MAX(N244,N243)&gt;0,N244&gt;N243+0.00000001),1,0)</x:f>
        <x:v>0</x:v>
      </x:c>
      <x:c r="U244" t="n">
        <x:f>IF(AND(MAX(O244,O243)&gt;0,O244&gt;O243+0.00000001),1,0)</x:f>
        <x:v>0</x:v>
      </x:c>
    </x:row>
    <x:row r="245">
      <x:c r="J245" t="n">
        <x:f>IF(AND(ISNUMBER('Results'!B7),ISNUMBER('Results'!C7),ISNUMBER('Results'!$B$8),ISNUMBER('Inputs'!$B$6),ISNUMBER('Inputs'!$B$7),ISNUMBER('Inputs'!$B$8),ISNUMBER('Inputs'!$B$9),ISNUMBER('Inputs'!$B$10),ISNUMBER('Inputs'!$B$21),ISNUMBER('Inputs'!$B$24),ISNUMBER('Inputs'!$B$28)),(('Results'!B7*(0.5*((((245-43)*MAX('Inputs'!$B$33,'Inputs'!$B$29+'Inputs'!$B$31+'Inputs'!$B$32,'Inputs'!$B$30+'Inputs'!$B$31+'Inputs'!$B$32)/1000+'Inputs'!$B$21)+'Inputs'!$B$7)/SQRT((((245-43)*MAX('Inputs'!$B$33,'Inputs'!$B$29+'Inputs'!$B$31+'Inputs'!$B$32,'Inputs'!$B$30+'Inputs'!$B$31+'Inputs'!$B$32)/1000+'Inputs'!$B$21)+'Inputs'!$B$7)^2+('Inputs'!$B$6/2)^2)-(((245-43)*MAX('Inputs'!$B$33,'Inputs'!$B$29+'Inputs'!$B$31+'Inputs'!$B$32,'Inputs'!$B$30+'Inputs'!$B$31+'Inputs'!$B$32)/1000+'Inputs'!$B$21))/SQRT((((245-43)*MAX('Inputs'!$B$33,'Inputs'!$B$29+'Inputs'!$B$31+'Inputs'!$B$32,'Inputs'!$B$30+'Inputs'!$B$31+'Inputs'!$B$32)/1000+'Inputs'!$B$21))^2+('Inputs'!$B$6/2)^2)))-'Results'!C7*(0.5*((((245-43)*MAX('Inputs'!$B$33,'Inputs'!$B$29+'Inputs'!$B$31+'Inputs'!$B$32,'Inputs'!$B$30+'Inputs'!$B$31+'Inputs'!$B$32)/1000+'Inputs'!$B$21+'Inputs'!$B$7+'Inputs'!$B$10)+'Inputs'!$B$9)/SQRT((((245-43)*MAX('Inputs'!$B$33,'Inputs'!$B$29+'Inputs'!$B$31+'Inputs'!$B$32,'Inputs'!$B$30+'Inputs'!$B$31+'Inputs'!$B$32)/1000+'Inputs'!$B$21+'Inputs'!$B$7+'Inputs'!$B$10)+'Inputs'!$B$9)^2+('Inputs'!$B$8/2)^2)-(((245-43)*MAX('Inputs'!$B$33,'Inputs'!$B$29+'Inputs'!$B$31+'Inputs'!$B$32,'Inputs'!$B$30+'Inputs'!$B$31+'Inputs'!$B$32)/1000+'Inputs'!$B$21+'Inputs'!$B$7+'Inputs'!$B$10))/SQRT((((245-43)*MAX('Inputs'!$B$33,'Inputs'!$B$29+'Inputs'!$B$31+'Inputs'!$B$32,'Inputs'!$B$30+'Inputs'!$B$31+'Inputs'!$B$32)/1000+'Inputs'!$B$21+'Inputs'!$B$7+'Inputs'!$B$10))^2+('Inputs'!$B$8/2)^2))))*'Results'!$B$8),"")</x:f>
        <x:v>71.24009931211737</x:v>
      </x:c>
      <x:c r="K245" t="n">
        <x:f>IF(AND(ISNUMBER('Results'!B7),ISNUMBER('Results'!C7),ISNUMBER('Results'!$B$8),ISNUMBER('Inputs'!$B$6),ISNUMBER('Inputs'!$B$7),ISNUMBER('Inputs'!$B$8),ISNUMBER('Inputs'!$B$9),ISNUMBER('Inputs'!$B$10),ISNUMBER('Inputs'!$B$21),ISNUMBER('Inputs'!$B$24),ISNUMBER('Inputs'!$B$28)),((('Results'!B7*(1-'Inputs'!$B$24)*(0.5*((((245-43)*MAX('Inputs'!$B$33,'Inputs'!$B$29+'Inputs'!$B$31+'Inputs'!$B$32,'Inputs'!$B$30+'Inputs'!$B$31+'Inputs'!$B$32)/1000+'Inputs'!$B$21)+'Inputs'!$B$7)/SQRT((((245-43)*MAX('Inputs'!$B$33,'Inputs'!$B$29+'Inputs'!$B$31+'Inputs'!$B$32,'Inputs'!$B$30+'Inputs'!$B$31+'Inputs'!$B$32)/1000+'Inputs'!$B$21)+'Inputs'!$B$7)^2+('Inputs'!$B$6/2)^2)-(((245-43)*MAX('Inputs'!$B$33,'Inputs'!$B$29+'Inputs'!$B$31+'Inputs'!$B$32,'Inputs'!$B$30+'Inputs'!$B$31+'Inputs'!$B$32)/1000+'Inputs'!$B$21))/SQRT((((245-43)*MAX('Inputs'!$B$33,'Inputs'!$B$29+'Inputs'!$B$31+'Inputs'!$B$32,'Inputs'!$B$30+'Inputs'!$B$31+'Inputs'!$B$32)/1000+'Inputs'!$B$21))^2+('Inputs'!$B$6/2)^2)))-'Results'!C7*(1+'Inputs'!$B$24)*(0.5*((((245-43)*MAX('Inputs'!$B$33,'Inputs'!$B$29+'Inputs'!$B$31+'Inputs'!$B$32,'Inputs'!$B$30+'Inputs'!$B$31+'Inputs'!$B$32)/1000+'Inputs'!$B$21+'Inputs'!$B$7+'Inputs'!$B$10)+'Inputs'!$B$9)/SQRT((((245-43)*MAX('Inputs'!$B$33,'Inputs'!$B$29+'Inputs'!$B$31+'Inputs'!$B$32,'Inputs'!$B$30+'Inputs'!$B$31+'Inputs'!$B$32)/1000+'Inputs'!$B$21+'Inputs'!$B$7+'Inputs'!$B$10)+'Inputs'!$B$9)^2+('Inputs'!$B$8/2)^2)-(((245-43)*MAX('Inputs'!$B$33,'Inputs'!$B$29+'Inputs'!$B$31+'Inputs'!$B$32,'Inputs'!$B$30+'Inputs'!$B$31+'Inputs'!$B$32)/1000+'Inputs'!$B$21+'Inputs'!$B$7+'Inputs'!$B$10))/SQRT((((245-43)*MAX('Inputs'!$B$33,'Inputs'!$B$29+'Inputs'!$B$31+'Inputs'!$B$32,'Inputs'!$B$30+'Inputs'!$B$31+'Inputs'!$B$32)/1000+'Inputs'!$B$21+'Inputs'!$B$7+'Inputs'!$B$10))^2+('Inputs'!$B$8/2)^2))))*'Results'!$B$8)-'Inputs'!$B$28*ABS((('Results'!B7*(1-'Inputs'!$B$24)*(0.5*((((245-43)*MAX('Inputs'!$B$33,'Inputs'!$B$29+'Inputs'!$B$31+'Inputs'!$B$32,'Inputs'!$B$30+'Inputs'!$B$31+'Inputs'!$B$32)/1000+'Inputs'!$B$21)+'Inputs'!$B$7)/SQRT((((245-43)*MAX('Inputs'!$B$33,'Inputs'!$B$29+'Inputs'!$B$31+'Inputs'!$B$32,'Inputs'!$B$30+'Inputs'!$B$31+'Inputs'!$B$32)/1000+'Inputs'!$B$21)+'Inputs'!$B$7)^2+('Inputs'!$B$6/2)^2)-(((245-43)*MAX('Inputs'!$B$33,'Inputs'!$B$29+'Inputs'!$B$31+'Inputs'!$B$32,'Inputs'!$B$30+'Inputs'!$B$31+'Inputs'!$B$32)/1000+'Inputs'!$B$21))/SQRT((((245-43)*MAX('Inputs'!$B$33,'Inputs'!$B$29+'Inputs'!$B$31+'Inputs'!$B$32,'Inputs'!$B$30+'Inputs'!$B$31+'Inputs'!$B$32)/1000+'Inputs'!$B$21))^2+('Inputs'!$B$6/2)^2)))-'Results'!C7*(1+'Inputs'!$B$24)*(0.5*((((245-43)*MAX('Inputs'!$B$33,'Inputs'!$B$29+'Inputs'!$B$31+'Inputs'!$B$32,'Inputs'!$B$30+'Inputs'!$B$31+'Inputs'!$B$32)/1000+'Inputs'!$B$21+'Inputs'!$B$7+'Inputs'!$B$10)+'Inputs'!$B$9)/SQRT((((245-43)*MAX('Inputs'!$B$33,'Inputs'!$B$29+'Inputs'!$B$31+'Inputs'!$B$32,'Inputs'!$B$30+'Inputs'!$B$31+'Inputs'!$B$32)/1000+'Inputs'!$B$21+'Inputs'!$B$7+'Inputs'!$B$10)+'Inputs'!$B$9)^2+('Inputs'!$B$8/2)^2)-(((245-43)*MAX('Inputs'!$B$33,'Inputs'!$B$29+'Inputs'!$B$31+'Inputs'!$B$32,'Inputs'!$B$30+'Inputs'!$B$31+'Inputs'!$B$32)/1000+'Inputs'!$B$21+'Inputs'!$B$7+'Inputs'!$B$10))/SQRT((((245-43)*MAX('Inputs'!$B$33,'Inputs'!$B$29+'Inputs'!$B$31+'Inputs'!$B$32,'Inputs'!$B$30+'Inputs'!$B$31+'Inputs'!$B$32)/1000+'Inputs'!$B$21+'Inputs'!$B$7+'Inputs'!$B$10))^2+('Inputs'!$B$8/2)^2))))*'Results'!$B$8))),"")</x:f>
        <x:v>65.11831864992384</x:v>
      </x:c>
      <x:c r="L245" t="n">
        <x:f>IF(AND(ISNUMBER('Results'!B7),ISNUMBER('Results'!C7),ISNUMBER('Results'!$B$8),ISNUMBER('Inputs'!$B$6),ISNUMBER('Inputs'!$B$7),ISNUMBER('Inputs'!$B$8),ISNUMBER('Inputs'!$B$9),ISNUMBER('Inputs'!$B$10),ISNUMBER('Inputs'!$B$21),ISNUMBER('Inputs'!$B$24),ISNUMBER('Inputs'!$B$28)),((('Results'!B7*(1+'Inputs'!$B$24)*(0.5*((((245-43)*MAX('Inputs'!$B$33,'Inputs'!$B$29+'Inputs'!$B$31+'Inputs'!$B$32,'Inputs'!$B$30+'Inputs'!$B$31+'Inputs'!$B$32)/1000+'Inputs'!$B$21)+'Inputs'!$B$7)/SQRT((((245-43)*MAX('Inputs'!$B$33,'Inputs'!$B$29+'Inputs'!$B$31+'Inputs'!$B$32,'Inputs'!$B$30+'Inputs'!$B$31+'Inputs'!$B$32)/1000+'Inputs'!$B$21)+'Inputs'!$B$7)^2+('Inputs'!$B$6/2)^2)-(((245-43)*MAX('Inputs'!$B$33,'Inputs'!$B$29+'Inputs'!$B$31+'Inputs'!$B$32,'Inputs'!$B$30+'Inputs'!$B$31+'Inputs'!$B$32)/1000+'Inputs'!$B$21))/SQRT((((245-43)*MAX('Inputs'!$B$33,'Inputs'!$B$29+'Inputs'!$B$31+'Inputs'!$B$32,'Inputs'!$B$30+'Inputs'!$B$31+'Inputs'!$B$32)/1000+'Inputs'!$B$21))^2+('Inputs'!$B$6/2)^2)))-'Results'!C7*(1-'Inputs'!$B$24)*(0.5*((((245-43)*MAX('Inputs'!$B$33,'Inputs'!$B$29+'Inputs'!$B$31+'Inputs'!$B$32,'Inputs'!$B$30+'Inputs'!$B$31+'Inputs'!$B$32)/1000+'Inputs'!$B$21+'Inputs'!$B$7+'Inputs'!$B$10)+'Inputs'!$B$9)/SQRT((((245-43)*MAX('Inputs'!$B$33,'Inputs'!$B$29+'Inputs'!$B$31+'Inputs'!$B$32,'Inputs'!$B$30+'Inputs'!$B$31+'Inputs'!$B$32)/1000+'Inputs'!$B$21+'Inputs'!$B$7+'Inputs'!$B$10)+'Inputs'!$B$9)^2+('Inputs'!$B$8/2)^2)-(((245-43)*MAX('Inputs'!$B$33,'Inputs'!$B$29+'Inputs'!$B$31+'Inputs'!$B$32,'Inputs'!$B$30+'Inputs'!$B$31+'Inputs'!$B$32)/1000+'Inputs'!$B$21+'Inputs'!$B$7+'Inputs'!$B$10))/SQRT((((245-43)*MAX('Inputs'!$B$33,'Inputs'!$B$29+'Inputs'!$B$31+'Inputs'!$B$32,'Inputs'!$B$30+'Inputs'!$B$31+'Inputs'!$B$32)/1000+'Inputs'!$B$21+'Inputs'!$B$7+'Inputs'!$B$10))^2+('Inputs'!$B$8/2)^2))))*'Results'!$B$8)+'Inputs'!$B$28*ABS((('Results'!B7*(1+'Inputs'!$B$24)*(0.5*((((245-43)*MAX('Inputs'!$B$33,'Inputs'!$B$29+'Inputs'!$B$31+'Inputs'!$B$32,'Inputs'!$B$30+'Inputs'!$B$31+'Inputs'!$B$32)/1000+'Inputs'!$B$21)+'Inputs'!$B$7)/SQRT((((245-43)*MAX('Inputs'!$B$33,'Inputs'!$B$29+'Inputs'!$B$31+'Inputs'!$B$32,'Inputs'!$B$30+'Inputs'!$B$31+'Inputs'!$B$32)/1000+'Inputs'!$B$21)+'Inputs'!$B$7)^2+('Inputs'!$B$6/2)^2)-(((245-43)*MAX('Inputs'!$B$33,'Inputs'!$B$29+'Inputs'!$B$31+'Inputs'!$B$32,'Inputs'!$B$30+'Inputs'!$B$31+'Inputs'!$B$32)/1000+'Inputs'!$B$21))/SQRT((((245-43)*MAX('Inputs'!$B$33,'Inputs'!$B$29+'Inputs'!$B$31+'Inputs'!$B$32,'Inputs'!$B$30+'Inputs'!$B$31+'Inputs'!$B$32)/1000+'Inputs'!$B$21))^2+('Inputs'!$B$6/2)^2)))-'Results'!C7*(1-'Inputs'!$B$24)*(0.5*((((245-43)*MAX('Inputs'!$B$33,'Inputs'!$B$29+'Inputs'!$B$31+'Inputs'!$B$32,'Inputs'!$B$30+'Inputs'!$B$31+'Inputs'!$B$32)/1000+'Inputs'!$B$21+'Inputs'!$B$7+'Inputs'!$B$10)+'Inputs'!$B$9)/SQRT((((245-43)*MAX('Inputs'!$B$33,'Inputs'!$B$29+'Inputs'!$B$31+'Inputs'!$B$32,'Inputs'!$B$30+'Inputs'!$B$31+'Inputs'!$B$32)/1000+'Inputs'!$B$21+'Inputs'!$B$7+'Inputs'!$B$10)+'Inputs'!$B$9)^2+('Inputs'!$B$8/2)^2)-(((245-43)*MAX('Inputs'!$B$33,'Inputs'!$B$29+'Inputs'!$B$31+'Inputs'!$B$32,'Inputs'!$B$30+'Inputs'!$B$31+'Inputs'!$B$32)/1000+'Inputs'!$B$21+'Inputs'!$B$7+'Inputs'!$B$10))/SQRT((((245-43)*MAX('Inputs'!$B$33,'Inputs'!$B$29+'Inputs'!$B$31+'Inputs'!$B$32,'Inputs'!$B$30+'Inputs'!$B$31+'Inputs'!$B$32)/1000+'Inputs'!$B$21+'Inputs'!$B$7+'Inputs'!$B$10))^2+('Inputs'!$B$8/2)^2))))*'Results'!$B$8))),"")</x:f>
        <x:v>77.63133004763593</x:v>
      </x:c>
      <x:c r="M245" t="n">
        <x:f>IF(AND(ISNUMBER('Results'!C7),ISNUMBER('Results'!B7),ISNUMBER('Results'!$B$8),ISNUMBER('Inputs'!$B$6),ISNUMBER('Inputs'!$B$7),ISNUMBER('Inputs'!$B$8),ISNUMBER('Inputs'!$B$9),ISNUMBER('Inputs'!$B$10),ISNUMBER('Inputs'!$B$21),ISNUMBER('Inputs'!$B$24),ISNUMBER('Inputs'!$B$28)),(('Results'!C7*(0.5*((((245-43)*MAX('Inputs'!$B$33,'Inputs'!$B$29+'Inputs'!$B$31+'Inputs'!$B$32,'Inputs'!$B$30+'Inputs'!$B$31+'Inputs'!$B$32)/1000+'Inputs'!$B$21)+'Inputs'!$B$9)/SQRT((((245-43)*MAX('Inputs'!$B$33,'Inputs'!$B$29+'Inputs'!$B$31+'Inputs'!$B$32,'Inputs'!$B$30+'Inputs'!$B$31+'Inputs'!$B$32)/1000+'Inputs'!$B$21)+'Inputs'!$B$9)^2+('Inputs'!$B$8/2)^2)-(((245-43)*MAX('Inputs'!$B$33,'Inputs'!$B$29+'Inputs'!$B$31+'Inputs'!$B$32,'Inputs'!$B$30+'Inputs'!$B$31+'Inputs'!$B$32)/1000+'Inputs'!$B$21))/SQRT((((245-43)*MAX('Inputs'!$B$33,'Inputs'!$B$29+'Inputs'!$B$31+'Inputs'!$B$32,'Inputs'!$B$30+'Inputs'!$B$31+'Inputs'!$B$32)/1000+'Inputs'!$B$21))^2+('Inputs'!$B$8/2)^2)))-'Results'!B7*(0.5*((((245-43)*MAX('Inputs'!$B$33,'Inputs'!$B$29+'Inputs'!$B$31+'Inputs'!$B$32,'Inputs'!$B$30+'Inputs'!$B$31+'Inputs'!$B$32)/1000+'Inputs'!$B$21+'Inputs'!$B$9+'Inputs'!$B$10)+'Inputs'!$B$7)/SQRT((((245-43)*MAX('Inputs'!$B$33,'Inputs'!$B$29+'Inputs'!$B$31+'Inputs'!$B$32,'Inputs'!$B$30+'Inputs'!$B$31+'Inputs'!$B$32)/1000+'Inputs'!$B$21+'Inputs'!$B$9+'Inputs'!$B$10)+'Inputs'!$B$7)^2+('Inputs'!$B$6/2)^2)-(((245-43)*MAX('Inputs'!$B$33,'Inputs'!$B$29+'Inputs'!$B$31+'Inputs'!$B$32,'Inputs'!$B$30+'Inputs'!$B$31+'Inputs'!$B$32)/1000+'Inputs'!$B$21+'Inputs'!$B$9+'Inputs'!$B$10))/SQRT((((245-43)*MAX('Inputs'!$B$33,'Inputs'!$B$29+'Inputs'!$B$31+'Inputs'!$B$32,'Inputs'!$B$30+'Inputs'!$B$31+'Inputs'!$B$32)/1000+'Inputs'!$B$21+'Inputs'!$B$9+'Inputs'!$B$10))^2+('Inputs'!$B$6/2)^2))))*'Results'!$B$8),"")</x:f>
        <x:v>68.53264246920385</x:v>
      </x:c>
      <x:c r="N245" t="n">
        <x:f>IF(AND(ISNUMBER('Results'!C7),ISNUMBER('Results'!B7),ISNUMBER('Results'!$B$8),ISNUMBER('Inputs'!$B$6),ISNUMBER('Inputs'!$B$7),ISNUMBER('Inputs'!$B$8),ISNUMBER('Inputs'!$B$9),ISNUMBER('Inputs'!$B$10),ISNUMBER('Inputs'!$B$21),ISNUMBER('Inputs'!$B$24),ISNUMBER('Inputs'!$B$28)),((('Results'!C7*(1-'Inputs'!$B$24)*(0.5*((((245-43)*MAX('Inputs'!$B$33,'Inputs'!$B$29+'Inputs'!$B$31+'Inputs'!$B$32,'Inputs'!$B$30+'Inputs'!$B$31+'Inputs'!$B$32)/1000+'Inputs'!$B$21)+'Inputs'!$B$9)/SQRT((((245-43)*MAX('Inputs'!$B$33,'Inputs'!$B$29+'Inputs'!$B$31+'Inputs'!$B$32,'Inputs'!$B$30+'Inputs'!$B$31+'Inputs'!$B$32)/1000+'Inputs'!$B$21)+'Inputs'!$B$9)^2+('Inputs'!$B$8/2)^2)-(((245-43)*MAX('Inputs'!$B$33,'Inputs'!$B$29+'Inputs'!$B$31+'Inputs'!$B$32,'Inputs'!$B$30+'Inputs'!$B$31+'Inputs'!$B$32)/1000+'Inputs'!$B$21))/SQRT((((245-43)*MAX('Inputs'!$B$33,'Inputs'!$B$29+'Inputs'!$B$31+'Inputs'!$B$32,'Inputs'!$B$30+'Inputs'!$B$31+'Inputs'!$B$32)/1000+'Inputs'!$B$21))^2+('Inputs'!$B$8/2)^2)))-'Results'!B7*(1+'Inputs'!$B$24)*(0.5*((((245-43)*MAX('Inputs'!$B$33,'Inputs'!$B$29+'Inputs'!$B$31+'Inputs'!$B$32,'Inputs'!$B$30+'Inputs'!$B$31+'Inputs'!$B$32)/1000+'Inputs'!$B$21+'Inputs'!$B$9+'Inputs'!$B$10)+'Inputs'!$B$7)/SQRT((((245-43)*MAX('Inputs'!$B$33,'Inputs'!$B$29+'Inputs'!$B$31+'Inputs'!$B$32,'Inputs'!$B$30+'Inputs'!$B$31+'Inputs'!$B$32)/1000+'Inputs'!$B$21+'Inputs'!$B$9+'Inputs'!$B$10)+'Inputs'!$B$7)^2+('Inputs'!$B$6/2)^2)-(((245-43)*MAX('Inputs'!$B$33,'Inputs'!$B$29+'Inputs'!$B$31+'Inputs'!$B$32,'Inputs'!$B$30+'Inputs'!$B$31+'Inputs'!$B$32)/1000+'Inputs'!$B$21+'Inputs'!$B$9+'Inputs'!$B$10))/SQRT((((245-43)*MAX('Inputs'!$B$33,'Inputs'!$B$29+'Inputs'!$B$31+'Inputs'!$B$32,'Inputs'!$B$30+'Inputs'!$B$31+'Inputs'!$B$32)/1000+'Inputs'!$B$21+'Inputs'!$B$9+'Inputs'!$B$10))^2+('Inputs'!$B$6/2)^2))))*'Results'!$B$8)-'Inputs'!$B$28*ABS((('Results'!C7*(1-'Inputs'!$B$24)*(0.5*((((245-43)*MAX('Inputs'!$B$33,'Inputs'!$B$29+'Inputs'!$B$31+'Inputs'!$B$32,'Inputs'!$B$30+'Inputs'!$B$31+'Inputs'!$B$32)/1000+'Inputs'!$B$21)+'Inputs'!$B$9)/SQRT((((245-43)*MAX('Inputs'!$B$33,'Inputs'!$B$29+'Inputs'!$B$31+'Inputs'!$B$32,'Inputs'!$B$30+'Inputs'!$B$31+'Inputs'!$B$32)/1000+'Inputs'!$B$21)+'Inputs'!$B$9)^2+('Inputs'!$B$8/2)^2)-(((245-43)*MAX('Inputs'!$B$33,'Inputs'!$B$29+'Inputs'!$B$31+'Inputs'!$B$32,'Inputs'!$B$30+'Inputs'!$B$31+'Inputs'!$B$32)/1000+'Inputs'!$B$21))/SQRT((((245-43)*MAX('Inputs'!$B$33,'Inputs'!$B$29+'Inputs'!$B$31+'Inputs'!$B$32,'Inputs'!$B$30+'Inputs'!$B$31+'Inputs'!$B$32)/1000+'Inputs'!$B$21))^2+('Inputs'!$B$8/2)^2)))-'Results'!B7*(1+'Inputs'!$B$24)*(0.5*((((245-43)*MAX('Inputs'!$B$33,'Inputs'!$B$29+'Inputs'!$B$31+'Inputs'!$B$32,'Inputs'!$B$30+'Inputs'!$B$31+'Inputs'!$B$32)/1000+'Inputs'!$B$21+'Inputs'!$B$9+'Inputs'!$B$10)+'Inputs'!$B$7)/SQRT((((245-43)*MAX('Inputs'!$B$33,'Inputs'!$B$29+'Inputs'!$B$31+'Inputs'!$B$32,'Inputs'!$B$30+'Inputs'!$B$31+'Inputs'!$B$32)/1000+'Inputs'!$B$21+'Inputs'!$B$9+'Inputs'!$B$10)+'Inputs'!$B$7)^2+('Inputs'!$B$6/2)^2)-(((245-43)*MAX('Inputs'!$B$33,'Inputs'!$B$29+'Inputs'!$B$31+'Inputs'!$B$32,'Inputs'!$B$30+'Inputs'!$B$31+'Inputs'!$B$32)/1000+'Inputs'!$B$21+'Inputs'!$B$9+'Inputs'!$B$10))/SQRT((((245-43)*MAX('Inputs'!$B$33,'Inputs'!$B$29+'Inputs'!$B$31+'Inputs'!$B$32,'Inputs'!$B$30+'Inputs'!$B$31+'Inputs'!$B$32)/1000+'Inputs'!$B$21+'Inputs'!$B$9+'Inputs'!$B$10))^2+('Inputs'!$B$6/2)^2))))*'Results'!$B$8))),"")</x:f>
        <x:v>62.57305972081098</x:v>
      </x:c>
      <x:c r="O245" t="n">
        <x:f>IF(AND(ISNUMBER('Results'!C7),ISNUMBER('Results'!B7),ISNUMBER('Results'!$B$8),ISNUMBER('Inputs'!$B$6),ISNUMBER('Inputs'!$B$7),ISNUMBER('Inputs'!$B$8),ISNUMBER('Inputs'!$B$9),ISNUMBER('Inputs'!$B$10),ISNUMBER('Inputs'!$B$21),ISNUMBER('Inputs'!$B$24),ISNUMBER('Inputs'!$B$28)),((('Results'!C7*(1+'Inputs'!$B$24)*(0.5*((((245-43)*MAX('Inputs'!$B$33,'Inputs'!$B$29+'Inputs'!$B$31+'Inputs'!$B$32,'Inputs'!$B$30+'Inputs'!$B$31+'Inputs'!$B$32)/1000+'Inputs'!$B$21)+'Inputs'!$B$9)/SQRT((((245-43)*MAX('Inputs'!$B$33,'Inputs'!$B$29+'Inputs'!$B$31+'Inputs'!$B$32,'Inputs'!$B$30+'Inputs'!$B$31+'Inputs'!$B$32)/1000+'Inputs'!$B$21)+'Inputs'!$B$9)^2+('Inputs'!$B$8/2)^2)-(((245-43)*MAX('Inputs'!$B$33,'Inputs'!$B$29+'Inputs'!$B$31+'Inputs'!$B$32,'Inputs'!$B$30+'Inputs'!$B$31+'Inputs'!$B$32)/1000+'Inputs'!$B$21))/SQRT((((245-43)*MAX('Inputs'!$B$33,'Inputs'!$B$29+'Inputs'!$B$31+'Inputs'!$B$32,'Inputs'!$B$30+'Inputs'!$B$31+'Inputs'!$B$32)/1000+'Inputs'!$B$21))^2+('Inputs'!$B$8/2)^2)))-'Results'!B7*(1-'Inputs'!$B$24)*(0.5*((((245-43)*MAX('Inputs'!$B$33,'Inputs'!$B$29+'Inputs'!$B$31+'Inputs'!$B$32,'Inputs'!$B$30+'Inputs'!$B$31+'Inputs'!$B$32)/1000+'Inputs'!$B$21+'Inputs'!$B$9+'Inputs'!$B$10)+'Inputs'!$B$7)/SQRT((((245-43)*MAX('Inputs'!$B$33,'Inputs'!$B$29+'Inputs'!$B$31+'Inputs'!$B$32,'Inputs'!$B$30+'Inputs'!$B$31+'Inputs'!$B$32)/1000+'Inputs'!$B$21+'Inputs'!$B$9+'Inputs'!$B$10)+'Inputs'!$B$7)^2+('Inputs'!$B$6/2)^2)-(((245-43)*MAX('Inputs'!$B$33,'Inputs'!$B$29+'Inputs'!$B$31+'Inputs'!$B$32,'Inputs'!$B$30+'Inputs'!$B$31+'Inputs'!$B$32)/1000+'Inputs'!$B$21+'Inputs'!$B$9+'Inputs'!$B$10))/SQRT((((245-43)*MAX('Inputs'!$B$33,'Inputs'!$B$29+'Inputs'!$B$31+'Inputs'!$B$32,'Inputs'!$B$30+'Inputs'!$B$31+'Inputs'!$B$32)/1000+'Inputs'!$B$21+'Inputs'!$B$9+'Inputs'!$B$10))^2+('Inputs'!$B$6/2)^2))))*'Results'!$B$8)+'Inputs'!$B$28*ABS((('Results'!C7*(1+'Inputs'!$B$24)*(0.5*((((245-43)*MAX('Inputs'!$B$33,'Inputs'!$B$29+'Inputs'!$B$31+'Inputs'!$B$32,'Inputs'!$B$30+'Inputs'!$B$31+'Inputs'!$B$32)/1000+'Inputs'!$B$21)+'Inputs'!$B$9)/SQRT((((245-43)*MAX('Inputs'!$B$33,'Inputs'!$B$29+'Inputs'!$B$31+'Inputs'!$B$32,'Inputs'!$B$30+'Inputs'!$B$31+'Inputs'!$B$32)/1000+'Inputs'!$B$21)+'Inputs'!$B$9)^2+('Inputs'!$B$8/2)^2)-(((245-43)*MAX('Inputs'!$B$33,'Inputs'!$B$29+'Inputs'!$B$31+'Inputs'!$B$32,'Inputs'!$B$30+'Inputs'!$B$31+'Inputs'!$B$32)/1000+'Inputs'!$B$21))/SQRT((((245-43)*MAX('Inputs'!$B$33,'Inputs'!$B$29+'Inputs'!$B$31+'Inputs'!$B$32,'Inputs'!$B$30+'Inputs'!$B$31+'Inputs'!$B$32)/1000+'Inputs'!$B$21))^2+('Inputs'!$B$8/2)^2)))-'Results'!B7*(1-'Inputs'!$B$24)*(0.5*((((245-43)*MAX('Inputs'!$B$33,'Inputs'!$B$29+'Inputs'!$B$31+'Inputs'!$B$32,'Inputs'!$B$30+'Inputs'!$B$31+'Inputs'!$B$32)/1000+'Inputs'!$B$21+'Inputs'!$B$9+'Inputs'!$B$10)+'Inputs'!$B$7)/SQRT((((245-43)*MAX('Inputs'!$B$33,'Inputs'!$B$29+'Inputs'!$B$31+'Inputs'!$B$32,'Inputs'!$B$30+'Inputs'!$B$31+'Inputs'!$B$32)/1000+'Inputs'!$B$21+'Inputs'!$B$9+'Inputs'!$B$10)+'Inputs'!$B$7)^2+('Inputs'!$B$6/2)^2)-(((245-43)*MAX('Inputs'!$B$33,'Inputs'!$B$29+'Inputs'!$B$31+'Inputs'!$B$32,'Inputs'!$B$30+'Inputs'!$B$31+'Inputs'!$B$32)/1000+'Inputs'!$B$21+'Inputs'!$B$9+'Inputs'!$B$10))/SQRT((((245-43)*MAX('Inputs'!$B$33,'Inputs'!$B$29+'Inputs'!$B$31+'Inputs'!$B$32,'Inputs'!$B$30+'Inputs'!$B$31+'Inputs'!$B$32)/1000+'Inputs'!$B$21+'Inputs'!$B$9+'Inputs'!$B$10))^2+('Inputs'!$B$6/2)^2))))*'Results'!$B$8))),"")</x:f>
        <x:v>74.75885159916857</x:v>
      </x:c>
      <x:c r="P245" t="n">
        <x:f>IF(AND(MAX(J245,J244)&gt;0,J245&gt;J244+0.00000001),1,0)</x:f>
        <x:v>0</x:v>
      </x:c>
      <x:c r="Q245" t="n">
        <x:f>IF(AND(MAX(K245,K244)&gt;0,K245&gt;K244+0.00000001),1,0)</x:f>
        <x:v>0</x:v>
      </x:c>
      <x:c r="R245" t="n">
        <x:f>IF(AND(MAX(L245,L244)&gt;0,L245&gt;L244+0.00000001),1,0)</x:f>
        <x:v>0</x:v>
      </x:c>
      <x:c r="S245" t="n">
        <x:f>IF(AND(MAX(M245,M244)&gt;0,M245&gt;M244+0.00000001),1,0)</x:f>
        <x:v>0</x:v>
      </x:c>
      <x:c r="T245" t="n">
        <x:f>IF(AND(MAX(N245,N244)&gt;0,N245&gt;N244+0.00000001),1,0)</x:f>
        <x:v>0</x:v>
      </x:c>
      <x:c r="U245" t="n">
        <x:f>IF(AND(MAX(O245,O244)&gt;0,O245&gt;O244+0.00000001),1,0)</x:f>
        <x:v>0</x:v>
      </x:c>
    </x:row>
    <x:row r="246">
      <x:c r="J246" t="n">
        <x:f>IF(AND(ISNUMBER('Results'!B7),ISNUMBER('Results'!C7),ISNUMBER('Results'!$B$8),ISNUMBER('Inputs'!$B$6),ISNUMBER('Inputs'!$B$7),ISNUMBER('Inputs'!$B$8),ISNUMBER('Inputs'!$B$9),ISNUMBER('Inputs'!$B$10),ISNUMBER('Inputs'!$B$21),ISNUMBER('Inputs'!$B$24),ISNUMBER('Inputs'!$B$28)),(('Results'!B7*(0.5*((((246-43)*MAX('Inputs'!$B$33,'Inputs'!$B$29+'Inputs'!$B$31+'Inputs'!$B$32,'Inputs'!$B$30+'Inputs'!$B$31+'Inputs'!$B$32)/1000+'Inputs'!$B$21)+'Inputs'!$B$7)/SQRT((((246-43)*MAX('Inputs'!$B$33,'Inputs'!$B$29+'Inputs'!$B$31+'Inputs'!$B$32,'Inputs'!$B$30+'Inputs'!$B$31+'Inputs'!$B$32)/1000+'Inputs'!$B$21)+'Inputs'!$B$7)^2+('Inputs'!$B$6/2)^2)-(((246-43)*MAX('Inputs'!$B$33,'Inputs'!$B$29+'Inputs'!$B$31+'Inputs'!$B$32,'Inputs'!$B$30+'Inputs'!$B$31+'Inputs'!$B$32)/1000+'Inputs'!$B$21))/SQRT((((246-43)*MAX('Inputs'!$B$33,'Inputs'!$B$29+'Inputs'!$B$31+'Inputs'!$B$32,'Inputs'!$B$30+'Inputs'!$B$31+'Inputs'!$B$32)/1000+'Inputs'!$B$21))^2+('Inputs'!$B$6/2)^2)))-'Results'!C7*(0.5*((((246-43)*MAX('Inputs'!$B$33,'Inputs'!$B$29+'Inputs'!$B$31+'Inputs'!$B$32,'Inputs'!$B$30+'Inputs'!$B$31+'Inputs'!$B$32)/1000+'Inputs'!$B$21+'Inputs'!$B$7+'Inputs'!$B$10)+'Inputs'!$B$9)/SQRT((((246-43)*MAX('Inputs'!$B$33,'Inputs'!$B$29+'Inputs'!$B$31+'Inputs'!$B$32,'Inputs'!$B$30+'Inputs'!$B$31+'Inputs'!$B$32)/1000+'Inputs'!$B$21+'Inputs'!$B$7+'Inputs'!$B$10)+'Inputs'!$B$9)^2+('Inputs'!$B$8/2)^2)-(((246-43)*MAX('Inputs'!$B$33,'Inputs'!$B$29+'Inputs'!$B$31+'Inputs'!$B$32,'Inputs'!$B$30+'Inputs'!$B$31+'Inputs'!$B$32)/1000+'Inputs'!$B$21+'Inputs'!$B$7+'Inputs'!$B$10))/SQRT((((246-43)*MAX('Inputs'!$B$33,'Inputs'!$B$29+'Inputs'!$B$31+'Inputs'!$B$32,'Inputs'!$B$30+'Inputs'!$B$31+'Inputs'!$B$32)/1000+'Inputs'!$B$21+'Inputs'!$B$7+'Inputs'!$B$10))^2+('Inputs'!$B$8/2)^2))))*'Results'!$B$8),"")</x:f>
        <x:v>70.27434669561413</x:v>
      </x:c>
      <x:c r="K246" t="n">
        <x:f>IF(AND(ISNUMBER('Results'!B7),ISNUMBER('Results'!C7),ISNUMBER('Results'!$B$8),ISNUMBER('Inputs'!$B$6),ISNUMBER('Inputs'!$B$7),ISNUMBER('Inputs'!$B$8),ISNUMBER('Inputs'!$B$9),ISNUMBER('Inputs'!$B$10),ISNUMBER('Inputs'!$B$21),ISNUMBER('Inputs'!$B$24),ISNUMBER('Inputs'!$B$28)),((('Results'!B7*(1-'Inputs'!$B$24)*(0.5*((((246-43)*MAX('Inputs'!$B$33,'Inputs'!$B$29+'Inputs'!$B$31+'Inputs'!$B$32,'Inputs'!$B$30+'Inputs'!$B$31+'Inputs'!$B$32)/1000+'Inputs'!$B$21)+'Inputs'!$B$7)/SQRT((((246-43)*MAX('Inputs'!$B$33,'Inputs'!$B$29+'Inputs'!$B$31+'Inputs'!$B$32,'Inputs'!$B$30+'Inputs'!$B$31+'Inputs'!$B$32)/1000+'Inputs'!$B$21)+'Inputs'!$B$7)^2+('Inputs'!$B$6/2)^2)-(((246-43)*MAX('Inputs'!$B$33,'Inputs'!$B$29+'Inputs'!$B$31+'Inputs'!$B$32,'Inputs'!$B$30+'Inputs'!$B$31+'Inputs'!$B$32)/1000+'Inputs'!$B$21))/SQRT((((246-43)*MAX('Inputs'!$B$33,'Inputs'!$B$29+'Inputs'!$B$31+'Inputs'!$B$32,'Inputs'!$B$30+'Inputs'!$B$31+'Inputs'!$B$32)/1000+'Inputs'!$B$21))^2+('Inputs'!$B$6/2)^2)))-'Results'!C7*(1+'Inputs'!$B$24)*(0.5*((((246-43)*MAX('Inputs'!$B$33,'Inputs'!$B$29+'Inputs'!$B$31+'Inputs'!$B$32,'Inputs'!$B$30+'Inputs'!$B$31+'Inputs'!$B$32)/1000+'Inputs'!$B$21+'Inputs'!$B$7+'Inputs'!$B$10)+'Inputs'!$B$9)/SQRT((((246-43)*MAX('Inputs'!$B$33,'Inputs'!$B$29+'Inputs'!$B$31+'Inputs'!$B$32,'Inputs'!$B$30+'Inputs'!$B$31+'Inputs'!$B$32)/1000+'Inputs'!$B$21+'Inputs'!$B$7+'Inputs'!$B$10)+'Inputs'!$B$9)^2+('Inputs'!$B$8/2)^2)-(((246-43)*MAX('Inputs'!$B$33,'Inputs'!$B$29+'Inputs'!$B$31+'Inputs'!$B$32,'Inputs'!$B$30+'Inputs'!$B$31+'Inputs'!$B$32)/1000+'Inputs'!$B$21+'Inputs'!$B$7+'Inputs'!$B$10))/SQRT((((246-43)*MAX('Inputs'!$B$33,'Inputs'!$B$29+'Inputs'!$B$31+'Inputs'!$B$32,'Inputs'!$B$30+'Inputs'!$B$31+'Inputs'!$B$32)/1000+'Inputs'!$B$21+'Inputs'!$B$7+'Inputs'!$B$10))^2+('Inputs'!$B$8/2)^2))))*'Results'!$B$8)-'Inputs'!$B$28*ABS((('Results'!B7*(1-'Inputs'!$B$24)*(0.5*((((246-43)*MAX('Inputs'!$B$33,'Inputs'!$B$29+'Inputs'!$B$31+'Inputs'!$B$32,'Inputs'!$B$30+'Inputs'!$B$31+'Inputs'!$B$32)/1000+'Inputs'!$B$21)+'Inputs'!$B$7)/SQRT((((246-43)*MAX('Inputs'!$B$33,'Inputs'!$B$29+'Inputs'!$B$31+'Inputs'!$B$32,'Inputs'!$B$30+'Inputs'!$B$31+'Inputs'!$B$32)/1000+'Inputs'!$B$21)+'Inputs'!$B$7)^2+('Inputs'!$B$6/2)^2)-(((246-43)*MAX('Inputs'!$B$33,'Inputs'!$B$29+'Inputs'!$B$31+'Inputs'!$B$32,'Inputs'!$B$30+'Inputs'!$B$31+'Inputs'!$B$32)/1000+'Inputs'!$B$21))/SQRT((((246-43)*MAX('Inputs'!$B$33,'Inputs'!$B$29+'Inputs'!$B$31+'Inputs'!$B$32,'Inputs'!$B$30+'Inputs'!$B$31+'Inputs'!$B$32)/1000+'Inputs'!$B$21))^2+('Inputs'!$B$6/2)^2)))-'Results'!C7*(1+'Inputs'!$B$24)*(0.5*((((246-43)*MAX('Inputs'!$B$33,'Inputs'!$B$29+'Inputs'!$B$31+'Inputs'!$B$32,'Inputs'!$B$30+'Inputs'!$B$31+'Inputs'!$B$32)/1000+'Inputs'!$B$21+'Inputs'!$B$7+'Inputs'!$B$10)+'Inputs'!$B$9)/SQRT((((246-43)*MAX('Inputs'!$B$33,'Inputs'!$B$29+'Inputs'!$B$31+'Inputs'!$B$32,'Inputs'!$B$30+'Inputs'!$B$31+'Inputs'!$B$32)/1000+'Inputs'!$B$21+'Inputs'!$B$7+'Inputs'!$B$10)+'Inputs'!$B$9)^2+('Inputs'!$B$8/2)^2)-(((246-43)*MAX('Inputs'!$B$33,'Inputs'!$B$29+'Inputs'!$B$31+'Inputs'!$B$32,'Inputs'!$B$30+'Inputs'!$B$31+'Inputs'!$B$32)/1000+'Inputs'!$B$21+'Inputs'!$B$7+'Inputs'!$B$10))/SQRT((((246-43)*MAX('Inputs'!$B$33,'Inputs'!$B$29+'Inputs'!$B$31+'Inputs'!$B$32,'Inputs'!$B$30+'Inputs'!$B$31+'Inputs'!$B$32)/1000+'Inputs'!$B$21+'Inputs'!$B$7+'Inputs'!$B$10))^2+('Inputs'!$B$8/2)^2))))*'Results'!$B$8))),"")</x:f>
        <x:v>64.22937123117691</x:v>
      </x:c>
      <x:c r="L246" t="n">
        <x:f>IF(AND(ISNUMBER('Results'!B7),ISNUMBER('Results'!C7),ISNUMBER('Results'!$B$8),ISNUMBER('Inputs'!$B$6),ISNUMBER('Inputs'!$B$7),ISNUMBER('Inputs'!$B$8),ISNUMBER('Inputs'!$B$9),ISNUMBER('Inputs'!$B$10),ISNUMBER('Inputs'!$B$21),ISNUMBER('Inputs'!$B$24),ISNUMBER('Inputs'!$B$28)),((('Results'!B7*(1+'Inputs'!$B$24)*(0.5*((((246-43)*MAX('Inputs'!$B$33,'Inputs'!$B$29+'Inputs'!$B$31+'Inputs'!$B$32,'Inputs'!$B$30+'Inputs'!$B$31+'Inputs'!$B$32)/1000+'Inputs'!$B$21)+'Inputs'!$B$7)/SQRT((((246-43)*MAX('Inputs'!$B$33,'Inputs'!$B$29+'Inputs'!$B$31+'Inputs'!$B$32,'Inputs'!$B$30+'Inputs'!$B$31+'Inputs'!$B$32)/1000+'Inputs'!$B$21)+'Inputs'!$B$7)^2+('Inputs'!$B$6/2)^2)-(((246-43)*MAX('Inputs'!$B$33,'Inputs'!$B$29+'Inputs'!$B$31+'Inputs'!$B$32,'Inputs'!$B$30+'Inputs'!$B$31+'Inputs'!$B$32)/1000+'Inputs'!$B$21))/SQRT((((246-43)*MAX('Inputs'!$B$33,'Inputs'!$B$29+'Inputs'!$B$31+'Inputs'!$B$32,'Inputs'!$B$30+'Inputs'!$B$31+'Inputs'!$B$32)/1000+'Inputs'!$B$21))^2+('Inputs'!$B$6/2)^2)))-'Results'!C7*(1-'Inputs'!$B$24)*(0.5*((((246-43)*MAX('Inputs'!$B$33,'Inputs'!$B$29+'Inputs'!$B$31+'Inputs'!$B$32,'Inputs'!$B$30+'Inputs'!$B$31+'Inputs'!$B$32)/1000+'Inputs'!$B$21+'Inputs'!$B$7+'Inputs'!$B$10)+'Inputs'!$B$9)/SQRT((((246-43)*MAX('Inputs'!$B$33,'Inputs'!$B$29+'Inputs'!$B$31+'Inputs'!$B$32,'Inputs'!$B$30+'Inputs'!$B$31+'Inputs'!$B$32)/1000+'Inputs'!$B$21+'Inputs'!$B$7+'Inputs'!$B$10)+'Inputs'!$B$9)^2+('Inputs'!$B$8/2)^2)-(((246-43)*MAX('Inputs'!$B$33,'Inputs'!$B$29+'Inputs'!$B$31+'Inputs'!$B$32,'Inputs'!$B$30+'Inputs'!$B$31+'Inputs'!$B$32)/1000+'Inputs'!$B$21+'Inputs'!$B$7+'Inputs'!$B$10))/SQRT((((246-43)*MAX('Inputs'!$B$33,'Inputs'!$B$29+'Inputs'!$B$31+'Inputs'!$B$32,'Inputs'!$B$30+'Inputs'!$B$31+'Inputs'!$B$32)/1000+'Inputs'!$B$21+'Inputs'!$B$7+'Inputs'!$B$10))^2+('Inputs'!$B$8/2)^2))))*'Results'!$B$8)+'Inputs'!$B$28*ABS((('Results'!B7*(1+'Inputs'!$B$24)*(0.5*((((246-43)*MAX('Inputs'!$B$33,'Inputs'!$B$29+'Inputs'!$B$31+'Inputs'!$B$32,'Inputs'!$B$30+'Inputs'!$B$31+'Inputs'!$B$32)/1000+'Inputs'!$B$21)+'Inputs'!$B$7)/SQRT((((246-43)*MAX('Inputs'!$B$33,'Inputs'!$B$29+'Inputs'!$B$31+'Inputs'!$B$32,'Inputs'!$B$30+'Inputs'!$B$31+'Inputs'!$B$32)/1000+'Inputs'!$B$21)+'Inputs'!$B$7)^2+('Inputs'!$B$6/2)^2)-(((246-43)*MAX('Inputs'!$B$33,'Inputs'!$B$29+'Inputs'!$B$31+'Inputs'!$B$32,'Inputs'!$B$30+'Inputs'!$B$31+'Inputs'!$B$32)/1000+'Inputs'!$B$21))/SQRT((((246-43)*MAX('Inputs'!$B$33,'Inputs'!$B$29+'Inputs'!$B$31+'Inputs'!$B$32,'Inputs'!$B$30+'Inputs'!$B$31+'Inputs'!$B$32)/1000+'Inputs'!$B$21))^2+('Inputs'!$B$6/2)^2)))-'Results'!C7*(1-'Inputs'!$B$24)*(0.5*((((246-43)*MAX('Inputs'!$B$33,'Inputs'!$B$29+'Inputs'!$B$31+'Inputs'!$B$32,'Inputs'!$B$30+'Inputs'!$B$31+'Inputs'!$B$32)/1000+'Inputs'!$B$21+'Inputs'!$B$7+'Inputs'!$B$10)+'Inputs'!$B$9)/SQRT((((246-43)*MAX('Inputs'!$B$33,'Inputs'!$B$29+'Inputs'!$B$31+'Inputs'!$B$32,'Inputs'!$B$30+'Inputs'!$B$31+'Inputs'!$B$32)/1000+'Inputs'!$B$21+'Inputs'!$B$7+'Inputs'!$B$10)+'Inputs'!$B$9)^2+('Inputs'!$B$8/2)^2)-(((246-43)*MAX('Inputs'!$B$33,'Inputs'!$B$29+'Inputs'!$B$31+'Inputs'!$B$32,'Inputs'!$B$30+'Inputs'!$B$31+'Inputs'!$B$32)/1000+'Inputs'!$B$21+'Inputs'!$B$7+'Inputs'!$B$10))/SQRT((((246-43)*MAX('Inputs'!$B$33,'Inputs'!$B$29+'Inputs'!$B$31+'Inputs'!$B$32,'Inputs'!$B$30+'Inputs'!$B$31+'Inputs'!$B$32)/1000+'Inputs'!$B$21+'Inputs'!$B$7+'Inputs'!$B$10))^2+('Inputs'!$B$8/2)^2))))*'Results'!$B$8))),"")</x:f>
        <x:v>76.5857703842257</x:v>
      </x:c>
      <x:c r="M246" t="n">
        <x:f>IF(AND(ISNUMBER('Results'!C7),ISNUMBER('Results'!B7),ISNUMBER('Results'!$B$8),ISNUMBER('Inputs'!$B$6),ISNUMBER('Inputs'!$B$7),ISNUMBER('Inputs'!$B$8),ISNUMBER('Inputs'!$B$9),ISNUMBER('Inputs'!$B$10),ISNUMBER('Inputs'!$B$21),ISNUMBER('Inputs'!$B$24),ISNUMBER('Inputs'!$B$28)),(('Results'!C7*(0.5*((((246-43)*MAX('Inputs'!$B$33,'Inputs'!$B$29+'Inputs'!$B$31+'Inputs'!$B$32,'Inputs'!$B$30+'Inputs'!$B$31+'Inputs'!$B$32)/1000+'Inputs'!$B$21)+'Inputs'!$B$9)/SQRT((((246-43)*MAX('Inputs'!$B$33,'Inputs'!$B$29+'Inputs'!$B$31+'Inputs'!$B$32,'Inputs'!$B$30+'Inputs'!$B$31+'Inputs'!$B$32)/1000+'Inputs'!$B$21)+'Inputs'!$B$9)^2+('Inputs'!$B$8/2)^2)-(((246-43)*MAX('Inputs'!$B$33,'Inputs'!$B$29+'Inputs'!$B$31+'Inputs'!$B$32,'Inputs'!$B$30+'Inputs'!$B$31+'Inputs'!$B$32)/1000+'Inputs'!$B$21))/SQRT((((246-43)*MAX('Inputs'!$B$33,'Inputs'!$B$29+'Inputs'!$B$31+'Inputs'!$B$32,'Inputs'!$B$30+'Inputs'!$B$31+'Inputs'!$B$32)/1000+'Inputs'!$B$21))^2+('Inputs'!$B$8/2)^2)))-'Results'!B7*(0.5*((((246-43)*MAX('Inputs'!$B$33,'Inputs'!$B$29+'Inputs'!$B$31+'Inputs'!$B$32,'Inputs'!$B$30+'Inputs'!$B$31+'Inputs'!$B$32)/1000+'Inputs'!$B$21+'Inputs'!$B$9+'Inputs'!$B$10)+'Inputs'!$B$7)/SQRT((((246-43)*MAX('Inputs'!$B$33,'Inputs'!$B$29+'Inputs'!$B$31+'Inputs'!$B$32,'Inputs'!$B$30+'Inputs'!$B$31+'Inputs'!$B$32)/1000+'Inputs'!$B$21+'Inputs'!$B$9+'Inputs'!$B$10)+'Inputs'!$B$7)^2+('Inputs'!$B$6/2)^2)-(((246-43)*MAX('Inputs'!$B$33,'Inputs'!$B$29+'Inputs'!$B$31+'Inputs'!$B$32,'Inputs'!$B$30+'Inputs'!$B$31+'Inputs'!$B$32)/1000+'Inputs'!$B$21+'Inputs'!$B$9+'Inputs'!$B$10))/SQRT((((246-43)*MAX('Inputs'!$B$33,'Inputs'!$B$29+'Inputs'!$B$31+'Inputs'!$B$32,'Inputs'!$B$30+'Inputs'!$B$31+'Inputs'!$B$32)/1000+'Inputs'!$B$21+'Inputs'!$B$9+'Inputs'!$B$10))^2+('Inputs'!$B$6/2)^2))))*'Results'!$B$8),"")</x:f>
        <x:v>67.59701756297419</x:v>
      </x:c>
      <x:c r="N246" t="n">
        <x:f>IF(AND(ISNUMBER('Results'!C7),ISNUMBER('Results'!B7),ISNUMBER('Results'!$B$8),ISNUMBER('Inputs'!$B$6),ISNUMBER('Inputs'!$B$7),ISNUMBER('Inputs'!$B$8),ISNUMBER('Inputs'!$B$9),ISNUMBER('Inputs'!$B$10),ISNUMBER('Inputs'!$B$21),ISNUMBER('Inputs'!$B$24),ISNUMBER('Inputs'!$B$28)),((('Results'!C7*(1-'Inputs'!$B$24)*(0.5*((((246-43)*MAX('Inputs'!$B$33,'Inputs'!$B$29+'Inputs'!$B$31+'Inputs'!$B$32,'Inputs'!$B$30+'Inputs'!$B$31+'Inputs'!$B$32)/1000+'Inputs'!$B$21)+'Inputs'!$B$9)/SQRT((((246-43)*MAX('Inputs'!$B$33,'Inputs'!$B$29+'Inputs'!$B$31+'Inputs'!$B$32,'Inputs'!$B$30+'Inputs'!$B$31+'Inputs'!$B$32)/1000+'Inputs'!$B$21)+'Inputs'!$B$9)^2+('Inputs'!$B$8/2)^2)-(((246-43)*MAX('Inputs'!$B$33,'Inputs'!$B$29+'Inputs'!$B$31+'Inputs'!$B$32,'Inputs'!$B$30+'Inputs'!$B$31+'Inputs'!$B$32)/1000+'Inputs'!$B$21))/SQRT((((246-43)*MAX('Inputs'!$B$33,'Inputs'!$B$29+'Inputs'!$B$31+'Inputs'!$B$32,'Inputs'!$B$30+'Inputs'!$B$31+'Inputs'!$B$32)/1000+'Inputs'!$B$21))^2+('Inputs'!$B$8/2)^2)))-'Results'!B7*(1+'Inputs'!$B$24)*(0.5*((((246-43)*MAX('Inputs'!$B$33,'Inputs'!$B$29+'Inputs'!$B$31+'Inputs'!$B$32,'Inputs'!$B$30+'Inputs'!$B$31+'Inputs'!$B$32)/1000+'Inputs'!$B$21+'Inputs'!$B$9+'Inputs'!$B$10)+'Inputs'!$B$7)/SQRT((((246-43)*MAX('Inputs'!$B$33,'Inputs'!$B$29+'Inputs'!$B$31+'Inputs'!$B$32,'Inputs'!$B$30+'Inputs'!$B$31+'Inputs'!$B$32)/1000+'Inputs'!$B$21+'Inputs'!$B$9+'Inputs'!$B$10)+'Inputs'!$B$7)^2+('Inputs'!$B$6/2)^2)-(((246-43)*MAX('Inputs'!$B$33,'Inputs'!$B$29+'Inputs'!$B$31+'Inputs'!$B$32,'Inputs'!$B$30+'Inputs'!$B$31+'Inputs'!$B$32)/1000+'Inputs'!$B$21+'Inputs'!$B$9+'Inputs'!$B$10))/SQRT((((246-43)*MAX('Inputs'!$B$33,'Inputs'!$B$29+'Inputs'!$B$31+'Inputs'!$B$32,'Inputs'!$B$30+'Inputs'!$B$31+'Inputs'!$B$32)/1000+'Inputs'!$B$21+'Inputs'!$B$9+'Inputs'!$B$10))^2+('Inputs'!$B$6/2)^2))))*'Results'!$B$8)-'Inputs'!$B$28*ABS((('Results'!C7*(1-'Inputs'!$B$24)*(0.5*((((246-43)*MAX('Inputs'!$B$33,'Inputs'!$B$29+'Inputs'!$B$31+'Inputs'!$B$32,'Inputs'!$B$30+'Inputs'!$B$31+'Inputs'!$B$32)/1000+'Inputs'!$B$21)+'Inputs'!$B$9)/SQRT((((246-43)*MAX('Inputs'!$B$33,'Inputs'!$B$29+'Inputs'!$B$31+'Inputs'!$B$32,'Inputs'!$B$30+'Inputs'!$B$31+'Inputs'!$B$32)/1000+'Inputs'!$B$21)+'Inputs'!$B$9)^2+('Inputs'!$B$8/2)^2)-(((246-43)*MAX('Inputs'!$B$33,'Inputs'!$B$29+'Inputs'!$B$31+'Inputs'!$B$32,'Inputs'!$B$30+'Inputs'!$B$31+'Inputs'!$B$32)/1000+'Inputs'!$B$21))/SQRT((((246-43)*MAX('Inputs'!$B$33,'Inputs'!$B$29+'Inputs'!$B$31+'Inputs'!$B$32,'Inputs'!$B$30+'Inputs'!$B$31+'Inputs'!$B$32)/1000+'Inputs'!$B$21))^2+('Inputs'!$B$8/2)^2)))-'Results'!B7*(1+'Inputs'!$B$24)*(0.5*((((246-43)*MAX('Inputs'!$B$33,'Inputs'!$B$29+'Inputs'!$B$31+'Inputs'!$B$32,'Inputs'!$B$30+'Inputs'!$B$31+'Inputs'!$B$32)/1000+'Inputs'!$B$21+'Inputs'!$B$9+'Inputs'!$B$10)+'Inputs'!$B$7)/SQRT((((246-43)*MAX('Inputs'!$B$33,'Inputs'!$B$29+'Inputs'!$B$31+'Inputs'!$B$32,'Inputs'!$B$30+'Inputs'!$B$31+'Inputs'!$B$32)/1000+'Inputs'!$B$21+'Inputs'!$B$9+'Inputs'!$B$10)+'Inputs'!$B$7)^2+('Inputs'!$B$6/2)^2)-(((246-43)*MAX('Inputs'!$B$33,'Inputs'!$B$29+'Inputs'!$B$31+'Inputs'!$B$32,'Inputs'!$B$30+'Inputs'!$B$31+'Inputs'!$B$32)/1000+'Inputs'!$B$21+'Inputs'!$B$9+'Inputs'!$B$10))/SQRT((((246-43)*MAX('Inputs'!$B$33,'Inputs'!$B$29+'Inputs'!$B$31+'Inputs'!$B$32,'Inputs'!$B$30+'Inputs'!$B$31+'Inputs'!$B$32)/1000+'Inputs'!$B$21+'Inputs'!$B$9+'Inputs'!$B$10))^2+('Inputs'!$B$6/2)^2))))*'Results'!$B$8))),"")</x:f>
        <x:v>61.71236871598628</x:v>
      </x:c>
      <x:c r="O246" t="n">
        <x:f>IF(AND(ISNUMBER('Results'!C7),ISNUMBER('Results'!B7),ISNUMBER('Results'!$B$8),ISNUMBER('Inputs'!$B$6),ISNUMBER('Inputs'!$B$7),ISNUMBER('Inputs'!$B$8),ISNUMBER('Inputs'!$B$9),ISNUMBER('Inputs'!$B$10),ISNUMBER('Inputs'!$B$21),ISNUMBER('Inputs'!$B$24),ISNUMBER('Inputs'!$B$28)),((('Results'!C7*(1+'Inputs'!$B$24)*(0.5*((((246-43)*MAX('Inputs'!$B$33,'Inputs'!$B$29+'Inputs'!$B$31+'Inputs'!$B$32,'Inputs'!$B$30+'Inputs'!$B$31+'Inputs'!$B$32)/1000+'Inputs'!$B$21)+'Inputs'!$B$9)/SQRT((((246-43)*MAX('Inputs'!$B$33,'Inputs'!$B$29+'Inputs'!$B$31+'Inputs'!$B$32,'Inputs'!$B$30+'Inputs'!$B$31+'Inputs'!$B$32)/1000+'Inputs'!$B$21)+'Inputs'!$B$9)^2+('Inputs'!$B$8/2)^2)-(((246-43)*MAX('Inputs'!$B$33,'Inputs'!$B$29+'Inputs'!$B$31+'Inputs'!$B$32,'Inputs'!$B$30+'Inputs'!$B$31+'Inputs'!$B$32)/1000+'Inputs'!$B$21))/SQRT((((246-43)*MAX('Inputs'!$B$33,'Inputs'!$B$29+'Inputs'!$B$31+'Inputs'!$B$32,'Inputs'!$B$30+'Inputs'!$B$31+'Inputs'!$B$32)/1000+'Inputs'!$B$21))^2+('Inputs'!$B$8/2)^2)))-'Results'!B7*(1-'Inputs'!$B$24)*(0.5*((((246-43)*MAX('Inputs'!$B$33,'Inputs'!$B$29+'Inputs'!$B$31+'Inputs'!$B$32,'Inputs'!$B$30+'Inputs'!$B$31+'Inputs'!$B$32)/1000+'Inputs'!$B$21+'Inputs'!$B$9+'Inputs'!$B$10)+'Inputs'!$B$7)/SQRT((((246-43)*MAX('Inputs'!$B$33,'Inputs'!$B$29+'Inputs'!$B$31+'Inputs'!$B$32,'Inputs'!$B$30+'Inputs'!$B$31+'Inputs'!$B$32)/1000+'Inputs'!$B$21+'Inputs'!$B$9+'Inputs'!$B$10)+'Inputs'!$B$7)^2+('Inputs'!$B$6/2)^2)-(((246-43)*MAX('Inputs'!$B$33,'Inputs'!$B$29+'Inputs'!$B$31+'Inputs'!$B$32,'Inputs'!$B$30+'Inputs'!$B$31+'Inputs'!$B$32)/1000+'Inputs'!$B$21+'Inputs'!$B$9+'Inputs'!$B$10))/SQRT((((246-43)*MAX('Inputs'!$B$33,'Inputs'!$B$29+'Inputs'!$B$31+'Inputs'!$B$32,'Inputs'!$B$30+'Inputs'!$B$31+'Inputs'!$B$32)/1000+'Inputs'!$B$21+'Inputs'!$B$9+'Inputs'!$B$10))^2+('Inputs'!$B$6/2)^2))))*'Results'!$B$8)+'Inputs'!$B$28*ABS((('Results'!C7*(1+'Inputs'!$B$24)*(0.5*((((246-43)*MAX('Inputs'!$B$33,'Inputs'!$B$29+'Inputs'!$B$31+'Inputs'!$B$32,'Inputs'!$B$30+'Inputs'!$B$31+'Inputs'!$B$32)/1000+'Inputs'!$B$21)+'Inputs'!$B$9)/SQRT((((246-43)*MAX('Inputs'!$B$33,'Inputs'!$B$29+'Inputs'!$B$31+'Inputs'!$B$32,'Inputs'!$B$30+'Inputs'!$B$31+'Inputs'!$B$32)/1000+'Inputs'!$B$21)+'Inputs'!$B$9)^2+('Inputs'!$B$8/2)^2)-(((246-43)*MAX('Inputs'!$B$33,'Inputs'!$B$29+'Inputs'!$B$31+'Inputs'!$B$32,'Inputs'!$B$30+'Inputs'!$B$31+'Inputs'!$B$32)/1000+'Inputs'!$B$21))/SQRT((((246-43)*MAX('Inputs'!$B$33,'Inputs'!$B$29+'Inputs'!$B$31+'Inputs'!$B$32,'Inputs'!$B$30+'Inputs'!$B$31+'Inputs'!$B$32)/1000+'Inputs'!$B$21))^2+('Inputs'!$B$8/2)^2)))-'Results'!B7*(1-'Inputs'!$B$24)*(0.5*((((246-43)*MAX('Inputs'!$B$33,'Inputs'!$B$29+'Inputs'!$B$31+'Inputs'!$B$32,'Inputs'!$B$30+'Inputs'!$B$31+'Inputs'!$B$32)/1000+'Inputs'!$B$21+'Inputs'!$B$9+'Inputs'!$B$10)+'Inputs'!$B$7)/SQRT((((246-43)*MAX('Inputs'!$B$33,'Inputs'!$B$29+'Inputs'!$B$31+'Inputs'!$B$32,'Inputs'!$B$30+'Inputs'!$B$31+'Inputs'!$B$32)/1000+'Inputs'!$B$21+'Inputs'!$B$9+'Inputs'!$B$10)+'Inputs'!$B$7)^2+('Inputs'!$B$6/2)^2)-(((246-43)*MAX('Inputs'!$B$33,'Inputs'!$B$29+'Inputs'!$B$31+'Inputs'!$B$32,'Inputs'!$B$30+'Inputs'!$B$31+'Inputs'!$B$32)/1000+'Inputs'!$B$21+'Inputs'!$B$9+'Inputs'!$B$10))/SQRT((((246-43)*MAX('Inputs'!$B$33,'Inputs'!$B$29+'Inputs'!$B$31+'Inputs'!$B$32,'Inputs'!$B$30+'Inputs'!$B$31+'Inputs'!$B$32)/1000+'Inputs'!$B$21+'Inputs'!$B$9+'Inputs'!$B$10))^2+('Inputs'!$B$6/2)^2))))*'Results'!$B$8))),"")</x:f>
        <x:v>73.74532935405045</x:v>
      </x:c>
      <x:c r="P246" t="n">
        <x:f>IF(AND(MAX(J246,J245)&gt;0,J246&gt;J245+0.00000001),1,0)</x:f>
        <x:v>0</x:v>
      </x:c>
      <x:c r="Q246" t="n">
        <x:f>IF(AND(MAX(K246,K245)&gt;0,K246&gt;K245+0.00000001),1,0)</x:f>
        <x:v>0</x:v>
      </x:c>
      <x:c r="R246" t="n">
        <x:f>IF(AND(MAX(L246,L245)&gt;0,L246&gt;L245+0.00000001),1,0)</x:f>
        <x:v>0</x:v>
      </x:c>
      <x:c r="S246" t="n">
        <x:f>IF(AND(MAX(M246,M245)&gt;0,M246&gt;M245+0.00000001),1,0)</x:f>
        <x:v>0</x:v>
      </x:c>
      <x:c r="T246" t="n">
        <x:f>IF(AND(MAX(N246,N245)&gt;0,N246&gt;N245+0.00000001),1,0)</x:f>
        <x:v>0</x:v>
      </x:c>
      <x:c r="U246" t="n">
        <x:f>IF(AND(MAX(O246,O245)&gt;0,O246&gt;O245+0.00000001),1,0)</x:f>
        <x:v>0</x:v>
      </x:c>
    </x:row>
    <x:row r="247">
      <x:c r="J247" t="n">
        <x:f>IF(AND(ISNUMBER('Results'!B7),ISNUMBER('Results'!C7),ISNUMBER('Results'!$B$8),ISNUMBER('Inputs'!$B$6),ISNUMBER('Inputs'!$B$7),ISNUMBER('Inputs'!$B$8),ISNUMBER('Inputs'!$B$9),ISNUMBER('Inputs'!$B$10),ISNUMBER('Inputs'!$B$21),ISNUMBER('Inputs'!$B$24),ISNUMBER('Inputs'!$B$28)),(('Results'!B7*(0.5*((((247-43)*MAX('Inputs'!$B$33,'Inputs'!$B$29+'Inputs'!$B$31+'Inputs'!$B$32,'Inputs'!$B$30+'Inputs'!$B$31+'Inputs'!$B$32)/1000+'Inputs'!$B$21)+'Inputs'!$B$7)/SQRT((((247-43)*MAX('Inputs'!$B$33,'Inputs'!$B$29+'Inputs'!$B$31+'Inputs'!$B$32,'Inputs'!$B$30+'Inputs'!$B$31+'Inputs'!$B$32)/1000+'Inputs'!$B$21)+'Inputs'!$B$7)^2+('Inputs'!$B$6/2)^2)-(((247-43)*MAX('Inputs'!$B$33,'Inputs'!$B$29+'Inputs'!$B$31+'Inputs'!$B$32,'Inputs'!$B$30+'Inputs'!$B$31+'Inputs'!$B$32)/1000+'Inputs'!$B$21))/SQRT((((247-43)*MAX('Inputs'!$B$33,'Inputs'!$B$29+'Inputs'!$B$31+'Inputs'!$B$32,'Inputs'!$B$30+'Inputs'!$B$31+'Inputs'!$B$32)/1000+'Inputs'!$B$21))^2+('Inputs'!$B$6/2)^2)))-'Results'!C7*(0.5*((((247-43)*MAX('Inputs'!$B$33,'Inputs'!$B$29+'Inputs'!$B$31+'Inputs'!$B$32,'Inputs'!$B$30+'Inputs'!$B$31+'Inputs'!$B$32)/1000+'Inputs'!$B$21+'Inputs'!$B$7+'Inputs'!$B$10)+'Inputs'!$B$9)/SQRT((((247-43)*MAX('Inputs'!$B$33,'Inputs'!$B$29+'Inputs'!$B$31+'Inputs'!$B$32,'Inputs'!$B$30+'Inputs'!$B$31+'Inputs'!$B$32)/1000+'Inputs'!$B$21+'Inputs'!$B$7+'Inputs'!$B$10)+'Inputs'!$B$9)^2+('Inputs'!$B$8/2)^2)-(((247-43)*MAX('Inputs'!$B$33,'Inputs'!$B$29+'Inputs'!$B$31+'Inputs'!$B$32,'Inputs'!$B$30+'Inputs'!$B$31+'Inputs'!$B$32)/1000+'Inputs'!$B$21+'Inputs'!$B$7+'Inputs'!$B$10))/SQRT((((247-43)*MAX('Inputs'!$B$33,'Inputs'!$B$29+'Inputs'!$B$31+'Inputs'!$B$32,'Inputs'!$B$30+'Inputs'!$B$31+'Inputs'!$B$32)/1000+'Inputs'!$B$21+'Inputs'!$B$7+'Inputs'!$B$10))^2+('Inputs'!$B$8/2)^2))))*'Results'!$B$8),"")</x:f>
        <x:v>69.32464767339127</x:v>
      </x:c>
      <x:c r="K247" t="n">
        <x:f>IF(AND(ISNUMBER('Results'!B7),ISNUMBER('Results'!C7),ISNUMBER('Results'!$B$8),ISNUMBER('Inputs'!$B$6),ISNUMBER('Inputs'!$B$7),ISNUMBER('Inputs'!$B$8),ISNUMBER('Inputs'!$B$9),ISNUMBER('Inputs'!$B$10),ISNUMBER('Inputs'!$B$21),ISNUMBER('Inputs'!$B$24),ISNUMBER('Inputs'!$B$28)),((('Results'!B7*(1-'Inputs'!$B$24)*(0.5*((((247-43)*MAX('Inputs'!$B$33,'Inputs'!$B$29+'Inputs'!$B$31+'Inputs'!$B$32,'Inputs'!$B$30+'Inputs'!$B$31+'Inputs'!$B$32)/1000+'Inputs'!$B$21)+'Inputs'!$B$7)/SQRT((((247-43)*MAX('Inputs'!$B$33,'Inputs'!$B$29+'Inputs'!$B$31+'Inputs'!$B$32,'Inputs'!$B$30+'Inputs'!$B$31+'Inputs'!$B$32)/1000+'Inputs'!$B$21)+'Inputs'!$B$7)^2+('Inputs'!$B$6/2)^2)-(((247-43)*MAX('Inputs'!$B$33,'Inputs'!$B$29+'Inputs'!$B$31+'Inputs'!$B$32,'Inputs'!$B$30+'Inputs'!$B$31+'Inputs'!$B$32)/1000+'Inputs'!$B$21))/SQRT((((247-43)*MAX('Inputs'!$B$33,'Inputs'!$B$29+'Inputs'!$B$31+'Inputs'!$B$32,'Inputs'!$B$30+'Inputs'!$B$31+'Inputs'!$B$32)/1000+'Inputs'!$B$21))^2+('Inputs'!$B$6/2)^2)))-'Results'!C7*(1+'Inputs'!$B$24)*(0.5*((((247-43)*MAX('Inputs'!$B$33,'Inputs'!$B$29+'Inputs'!$B$31+'Inputs'!$B$32,'Inputs'!$B$30+'Inputs'!$B$31+'Inputs'!$B$32)/1000+'Inputs'!$B$21+'Inputs'!$B$7+'Inputs'!$B$10)+'Inputs'!$B$9)/SQRT((((247-43)*MAX('Inputs'!$B$33,'Inputs'!$B$29+'Inputs'!$B$31+'Inputs'!$B$32,'Inputs'!$B$30+'Inputs'!$B$31+'Inputs'!$B$32)/1000+'Inputs'!$B$21+'Inputs'!$B$7+'Inputs'!$B$10)+'Inputs'!$B$9)^2+('Inputs'!$B$8/2)^2)-(((247-43)*MAX('Inputs'!$B$33,'Inputs'!$B$29+'Inputs'!$B$31+'Inputs'!$B$32,'Inputs'!$B$30+'Inputs'!$B$31+'Inputs'!$B$32)/1000+'Inputs'!$B$21+'Inputs'!$B$7+'Inputs'!$B$10))/SQRT((((247-43)*MAX('Inputs'!$B$33,'Inputs'!$B$29+'Inputs'!$B$31+'Inputs'!$B$32,'Inputs'!$B$30+'Inputs'!$B$31+'Inputs'!$B$32)/1000+'Inputs'!$B$21+'Inputs'!$B$7+'Inputs'!$B$10))^2+('Inputs'!$B$8/2)^2))))*'Results'!$B$8)-'Inputs'!$B$28*ABS((('Results'!B7*(1-'Inputs'!$B$24)*(0.5*((((247-43)*MAX('Inputs'!$B$33,'Inputs'!$B$29+'Inputs'!$B$31+'Inputs'!$B$32,'Inputs'!$B$30+'Inputs'!$B$31+'Inputs'!$B$32)/1000+'Inputs'!$B$21)+'Inputs'!$B$7)/SQRT((((247-43)*MAX('Inputs'!$B$33,'Inputs'!$B$29+'Inputs'!$B$31+'Inputs'!$B$32,'Inputs'!$B$30+'Inputs'!$B$31+'Inputs'!$B$32)/1000+'Inputs'!$B$21)+'Inputs'!$B$7)^2+('Inputs'!$B$6/2)^2)-(((247-43)*MAX('Inputs'!$B$33,'Inputs'!$B$29+'Inputs'!$B$31+'Inputs'!$B$32,'Inputs'!$B$30+'Inputs'!$B$31+'Inputs'!$B$32)/1000+'Inputs'!$B$21))/SQRT((((247-43)*MAX('Inputs'!$B$33,'Inputs'!$B$29+'Inputs'!$B$31+'Inputs'!$B$32,'Inputs'!$B$30+'Inputs'!$B$31+'Inputs'!$B$32)/1000+'Inputs'!$B$21))^2+('Inputs'!$B$6/2)^2)))-'Results'!C7*(1+'Inputs'!$B$24)*(0.5*((((247-43)*MAX('Inputs'!$B$33,'Inputs'!$B$29+'Inputs'!$B$31+'Inputs'!$B$32,'Inputs'!$B$30+'Inputs'!$B$31+'Inputs'!$B$32)/1000+'Inputs'!$B$21+'Inputs'!$B$7+'Inputs'!$B$10)+'Inputs'!$B$9)/SQRT((((247-43)*MAX('Inputs'!$B$33,'Inputs'!$B$29+'Inputs'!$B$31+'Inputs'!$B$32,'Inputs'!$B$30+'Inputs'!$B$31+'Inputs'!$B$32)/1000+'Inputs'!$B$21+'Inputs'!$B$7+'Inputs'!$B$10)+'Inputs'!$B$9)^2+('Inputs'!$B$8/2)^2)-(((247-43)*MAX('Inputs'!$B$33,'Inputs'!$B$29+'Inputs'!$B$31+'Inputs'!$B$32,'Inputs'!$B$30+'Inputs'!$B$31+'Inputs'!$B$32)/1000+'Inputs'!$B$21+'Inputs'!$B$7+'Inputs'!$B$10))/SQRT((((247-43)*MAX('Inputs'!$B$33,'Inputs'!$B$29+'Inputs'!$B$31+'Inputs'!$B$32,'Inputs'!$B$30+'Inputs'!$B$31+'Inputs'!$B$32)/1000+'Inputs'!$B$21+'Inputs'!$B$7+'Inputs'!$B$10))^2+('Inputs'!$B$8/2)^2))))*'Results'!$B$8))),"")</x:f>
        <x:v>63.35525721730379</x:v>
      </x:c>
      <x:c r="L247" t="n">
        <x:f>IF(AND(ISNUMBER('Results'!B7),ISNUMBER('Results'!C7),ISNUMBER('Results'!$B$8),ISNUMBER('Inputs'!$B$6),ISNUMBER('Inputs'!$B$7),ISNUMBER('Inputs'!$B$8),ISNUMBER('Inputs'!$B$9),ISNUMBER('Inputs'!$B$10),ISNUMBER('Inputs'!$B$21),ISNUMBER('Inputs'!$B$24),ISNUMBER('Inputs'!$B$28)),((('Results'!B7*(1+'Inputs'!$B$24)*(0.5*((((247-43)*MAX('Inputs'!$B$33,'Inputs'!$B$29+'Inputs'!$B$31+'Inputs'!$B$32,'Inputs'!$B$30+'Inputs'!$B$31+'Inputs'!$B$32)/1000+'Inputs'!$B$21)+'Inputs'!$B$7)/SQRT((((247-43)*MAX('Inputs'!$B$33,'Inputs'!$B$29+'Inputs'!$B$31+'Inputs'!$B$32,'Inputs'!$B$30+'Inputs'!$B$31+'Inputs'!$B$32)/1000+'Inputs'!$B$21)+'Inputs'!$B$7)^2+('Inputs'!$B$6/2)^2)-(((247-43)*MAX('Inputs'!$B$33,'Inputs'!$B$29+'Inputs'!$B$31+'Inputs'!$B$32,'Inputs'!$B$30+'Inputs'!$B$31+'Inputs'!$B$32)/1000+'Inputs'!$B$21))/SQRT((((247-43)*MAX('Inputs'!$B$33,'Inputs'!$B$29+'Inputs'!$B$31+'Inputs'!$B$32,'Inputs'!$B$30+'Inputs'!$B$31+'Inputs'!$B$32)/1000+'Inputs'!$B$21))^2+('Inputs'!$B$6/2)^2)))-'Results'!C7*(1-'Inputs'!$B$24)*(0.5*((((247-43)*MAX('Inputs'!$B$33,'Inputs'!$B$29+'Inputs'!$B$31+'Inputs'!$B$32,'Inputs'!$B$30+'Inputs'!$B$31+'Inputs'!$B$32)/1000+'Inputs'!$B$21+'Inputs'!$B$7+'Inputs'!$B$10)+'Inputs'!$B$9)/SQRT((((247-43)*MAX('Inputs'!$B$33,'Inputs'!$B$29+'Inputs'!$B$31+'Inputs'!$B$32,'Inputs'!$B$30+'Inputs'!$B$31+'Inputs'!$B$32)/1000+'Inputs'!$B$21+'Inputs'!$B$7+'Inputs'!$B$10)+'Inputs'!$B$9)^2+('Inputs'!$B$8/2)^2)-(((247-43)*MAX('Inputs'!$B$33,'Inputs'!$B$29+'Inputs'!$B$31+'Inputs'!$B$32,'Inputs'!$B$30+'Inputs'!$B$31+'Inputs'!$B$32)/1000+'Inputs'!$B$21+'Inputs'!$B$7+'Inputs'!$B$10))/SQRT((((247-43)*MAX('Inputs'!$B$33,'Inputs'!$B$29+'Inputs'!$B$31+'Inputs'!$B$32,'Inputs'!$B$30+'Inputs'!$B$31+'Inputs'!$B$32)/1000+'Inputs'!$B$21+'Inputs'!$B$7+'Inputs'!$B$10))^2+('Inputs'!$B$8/2)^2))))*'Results'!$B$8)+'Inputs'!$B$28*ABS((('Results'!B7*(1+'Inputs'!$B$24)*(0.5*((((247-43)*MAX('Inputs'!$B$33,'Inputs'!$B$29+'Inputs'!$B$31+'Inputs'!$B$32,'Inputs'!$B$30+'Inputs'!$B$31+'Inputs'!$B$32)/1000+'Inputs'!$B$21)+'Inputs'!$B$7)/SQRT((((247-43)*MAX('Inputs'!$B$33,'Inputs'!$B$29+'Inputs'!$B$31+'Inputs'!$B$32,'Inputs'!$B$30+'Inputs'!$B$31+'Inputs'!$B$32)/1000+'Inputs'!$B$21)+'Inputs'!$B$7)^2+('Inputs'!$B$6/2)^2)-(((247-43)*MAX('Inputs'!$B$33,'Inputs'!$B$29+'Inputs'!$B$31+'Inputs'!$B$32,'Inputs'!$B$30+'Inputs'!$B$31+'Inputs'!$B$32)/1000+'Inputs'!$B$21))/SQRT((((247-43)*MAX('Inputs'!$B$33,'Inputs'!$B$29+'Inputs'!$B$31+'Inputs'!$B$32,'Inputs'!$B$30+'Inputs'!$B$31+'Inputs'!$B$32)/1000+'Inputs'!$B$21))^2+('Inputs'!$B$6/2)^2)))-'Results'!C7*(1-'Inputs'!$B$24)*(0.5*((((247-43)*MAX('Inputs'!$B$33,'Inputs'!$B$29+'Inputs'!$B$31+'Inputs'!$B$32,'Inputs'!$B$30+'Inputs'!$B$31+'Inputs'!$B$32)/1000+'Inputs'!$B$21+'Inputs'!$B$7+'Inputs'!$B$10)+'Inputs'!$B$9)/SQRT((((247-43)*MAX('Inputs'!$B$33,'Inputs'!$B$29+'Inputs'!$B$31+'Inputs'!$B$32,'Inputs'!$B$30+'Inputs'!$B$31+'Inputs'!$B$32)/1000+'Inputs'!$B$21+'Inputs'!$B$7+'Inputs'!$B$10)+'Inputs'!$B$9)^2+('Inputs'!$B$8/2)^2)-(((247-43)*MAX('Inputs'!$B$33,'Inputs'!$B$29+'Inputs'!$B$31+'Inputs'!$B$32,'Inputs'!$B$30+'Inputs'!$B$31+'Inputs'!$B$32)/1000+'Inputs'!$B$21+'Inputs'!$B$7+'Inputs'!$B$10))/SQRT((((247-43)*MAX('Inputs'!$B$33,'Inputs'!$B$29+'Inputs'!$B$31+'Inputs'!$B$32,'Inputs'!$B$30+'Inputs'!$B$31+'Inputs'!$B$32)/1000+'Inputs'!$B$21+'Inputs'!$B$7+'Inputs'!$B$10))^2+('Inputs'!$B$8/2)^2))))*'Results'!$B$8))),"")</x:f>
        <x:v>75.55752845289116</x:v>
      </x:c>
      <x:c r="M247" t="n">
        <x:f>IF(AND(ISNUMBER('Results'!C7),ISNUMBER('Results'!B7),ISNUMBER('Results'!$B$8),ISNUMBER('Inputs'!$B$6),ISNUMBER('Inputs'!$B$7),ISNUMBER('Inputs'!$B$8),ISNUMBER('Inputs'!$B$9),ISNUMBER('Inputs'!$B$10),ISNUMBER('Inputs'!$B$21),ISNUMBER('Inputs'!$B$24),ISNUMBER('Inputs'!$B$28)),(('Results'!C7*(0.5*((((247-43)*MAX('Inputs'!$B$33,'Inputs'!$B$29+'Inputs'!$B$31+'Inputs'!$B$32,'Inputs'!$B$30+'Inputs'!$B$31+'Inputs'!$B$32)/1000+'Inputs'!$B$21)+'Inputs'!$B$9)/SQRT((((247-43)*MAX('Inputs'!$B$33,'Inputs'!$B$29+'Inputs'!$B$31+'Inputs'!$B$32,'Inputs'!$B$30+'Inputs'!$B$31+'Inputs'!$B$32)/1000+'Inputs'!$B$21)+'Inputs'!$B$9)^2+('Inputs'!$B$8/2)^2)-(((247-43)*MAX('Inputs'!$B$33,'Inputs'!$B$29+'Inputs'!$B$31+'Inputs'!$B$32,'Inputs'!$B$30+'Inputs'!$B$31+'Inputs'!$B$32)/1000+'Inputs'!$B$21))/SQRT((((247-43)*MAX('Inputs'!$B$33,'Inputs'!$B$29+'Inputs'!$B$31+'Inputs'!$B$32,'Inputs'!$B$30+'Inputs'!$B$31+'Inputs'!$B$32)/1000+'Inputs'!$B$21))^2+('Inputs'!$B$8/2)^2)))-'Results'!B7*(0.5*((((247-43)*MAX('Inputs'!$B$33,'Inputs'!$B$29+'Inputs'!$B$31+'Inputs'!$B$32,'Inputs'!$B$30+'Inputs'!$B$31+'Inputs'!$B$32)/1000+'Inputs'!$B$21+'Inputs'!$B$9+'Inputs'!$B$10)+'Inputs'!$B$7)/SQRT((((247-43)*MAX('Inputs'!$B$33,'Inputs'!$B$29+'Inputs'!$B$31+'Inputs'!$B$32,'Inputs'!$B$30+'Inputs'!$B$31+'Inputs'!$B$32)/1000+'Inputs'!$B$21+'Inputs'!$B$9+'Inputs'!$B$10)+'Inputs'!$B$7)^2+('Inputs'!$B$6/2)^2)-(((247-43)*MAX('Inputs'!$B$33,'Inputs'!$B$29+'Inputs'!$B$31+'Inputs'!$B$32,'Inputs'!$B$30+'Inputs'!$B$31+'Inputs'!$B$32)/1000+'Inputs'!$B$21+'Inputs'!$B$9+'Inputs'!$B$10))/SQRT((((247-43)*MAX('Inputs'!$B$33,'Inputs'!$B$29+'Inputs'!$B$31+'Inputs'!$B$32,'Inputs'!$B$30+'Inputs'!$B$31+'Inputs'!$B$32)/1000+'Inputs'!$B$21+'Inputs'!$B$9+'Inputs'!$B$10))^2+('Inputs'!$B$6/2)^2))))*'Results'!$B$8),"")</x:f>
        <x:v>66.67700555885229</x:v>
      </x:c>
      <x:c r="N247" t="n">
        <x:f>IF(AND(ISNUMBER('Results'!C7),ISNUMBER('Results'!B7),ISNUMBER('Results'!$B$8),ISNUMBER('Inputs'!$B$6),ISNUMBER('Inputs'!$B$7),ISNUMBER('Inputs'!$B$8),ISNUMBER('Inputs'!$B$9),ISNUMBER('Inputs'!$B$10),ISNUMBER('Inputs'!$B$21),ISNUMBER('Inputs'!$B$24),ISNUMBER('Inputs'!$B$28)),((('Results'!C7*(1-'Inputs'!$B$24)*(0.5*((((247-43)*MAX('Inputs'!$B$33,'Inputs'!$B$29+'Inputs'!$B$31+'Inputs'!$B$32,'Inputs'!$B$30+'Inputs'!$B$31+'Inputs'!$B$32)/1000+'Inputs'!$B$21)+'Inputs'!$B$9)/SQRT((((247-43)*MAX('Inputs'!$B$33,'Inputs'!$B$29+'Inputs'!$B$31+'Inputs'!$B$32,'Inputs'!$B$30+'Inputs'!$B$31+'Inputs'!$B$32)/1000+'Inputs'!$B$21)+'Inputs'!$B$9)^2+('Inputs'!$B$8/2)^2)-(((247-43)*MAX('Inputs'!$B$33,'Inputs'!$B$29+'Inputs'!$B$31+'Inputs'!$B$32,'Inputs'!$B$30+'Inputs'!$B$31+'Inputs'!$B$32)/1000+'Inputs'!$B$21))/SQRT((((247-43)*MAX('Inputs'!$B$33,'Inputs'!$B$29+'Inputs'!$B$31+'Inputs'!$B$32,'Inputs'!$B$30+'Inputs'!$B$31+'Inputs'!$B$32)/1000+'Inputs'!$B$21))^2+('Inputs'!$B$8/2)^2)))-'Results'!B7*(1+'Inputs'!$B$24)*(0.5*((((247-43)*MAX('Inputs'!$B$33,'Inputs'!$B$29+'Inputs'!$B$31+'Inputs'!$B$32,'Inputs'!$B$30+'Inputs'!$B$31+'Inputs'!$B$32)/1000+'Inputs'!$B$21+'Inputs'!$B$9+'Inputs'!$B$10)+'Inputs'!$B$7)/SQRT((((247-43)*MAX('Inputs'!$B$33,'Inputs'!$B$29+'Inputs'!$B$31+'Inputs'!$B$32,'Inputs'!$B$30+'Inputs'!$B$31+'Inputs'!$B$32)/1000+'Inputs'!$B$21+'Inputs'!$B$9+'Inputs'!$B$10)+'Inputs'!$B$7)^2+('Inputs'!$B$6/2)^2)-(((247-43)*MAX('Inputs'!$B$33,'Inputs'!$B$29+'Inputs'!$B$31+'Inputs'!$B$32,'Inputs'!$B$30+'Inputs'!$B$31+'Inputs'!$B$32)/1000+'Inputs'!$B$21+'Inputs'!$B$9+'Inputs'!$B$10))/SQRT((((247-43)*MAX('Inputs'!$B$33,'Inputs'!$B$29+'Inputs'!$B$31+'Inputs'!$B$32,'Inputs'!$B$30+'Inputs'!$B$31+'Inputs'!$B$32)/1000+'Inputs'!$B$21+'Inputs'!$B$9+'Inputs'!$B$10))^2+('Inputs'!$B$6/2)^2))))*'Results'!$B$8)-'Inputs'!$B$28*ABS((('Results'!C7*(1-'Inputs'!$B$24)*(0.5*((((247-43)*MAX('Inputs'!$B$33,'Inputs'!$B$29+'Inputs'!$B$31+'Inputs'!$B$32,'Inputs'!$B$30+'Inputs'!$B$31+'Inputs'!$B$32)/1000+'Inputs'!$B$21)+'Inputs'!$B$9)/SQRT((((247-43)*MAX('Inputs'!$B$33,'Inputs'!$B$29+'Inputs'!$B$31+'Inputs'!$B$32,'Inputs'!$B$30+'Inputs'!$B$31+'Inputs'!$B$32)/1000+'Inputs'!$B$21)+'Inputs'!$B$9)^2+('Inputs'!$B$8/2)^2)-(((247-43)*MAX('Inputs'!$B$33,'Inputs'!$B$29+'Inputs'!$B$31+'Inputs'!$B$32,'Inputs'!$B$30+'Inputs'!$B$31+'Inputs'!$B$32)/1000+'Inputs'!$B$21))/SQRT((((247-43)*MAX('Inputs'!$B$33,'Inputs'!$B$29+'Inputs'!$B$31+'Inputs'!$B$32,'Inputs'!$B$30+'Inputs'!$B$31+'Inputs'!$B$32)/1000+'Inputs'!$B$21))^2+('Inputs'!$B$8/2)^2)))-'Results'!B7*(1+'Inputs'!$B$24)*(0.5*((((247-43)*MAX('Inputs'!$B$33,'Inputs'!$B$29+'Inputs'!$B$31+'Inputs'!$B$32,'Inputs'!$B$30+'Inputs'!$B$31+'Inputs'!$B$32)/1000+'Inputs'!$B$21+'Inputs'!$B$9+'Inputs'!$B$10)+'Inputs'!$B$7)/SQRT((((247-43)*MAX('Inputs'!$B$33,'Inputs'!$B$29+'Inputs'!$B$31+'Inputs'!$B$32,'Inputs'!$B$30+'Inputs'!$B$31+'Inputs'!$B$32)/1000+'Inputs'!$B$21+'Inputs'!$B$9+'Inputs'!$B$10)+'Inputs'!$B$7)^2+('Inputs'!$B$6/2)^2)-(((247-43)*MAX('Inputs'!$B$33,'Inputs'!$B$29+'Inputs'!$B$31+'Inputs'!$B$32,'Inputs'!$B$30+'Inputs'!$B$31+'Inputs'!$B$32)/1000+'Inputs'!$B$21+'Inputs'!$B$9+'Inputs'!$B$10))/SQRT((((247-43)*MAX('Inputs'!$B$33,'Inputs'!$B$29+'Inputs'!$B$31+'Inputs'!$B$32,'Inputs'!$B$30+'Inputs'!$B$31+'Inputs'!$B$32)/1000+'Inputs'!$B$21+'Inputs'!$B$9+'Inputs'!$B$10))^2+('Inputs'!$B$6/2)^2))))*'Results'!$B$8))),"")</x:f>
        <x:v>60.866098535879765</x:v>
      </x:c>
      <x:c r="O247" t="n">
        <x:f>IF(AND(ISNUMBER('Results'!C7),ISNUMBER('Results'!B7),ISNUMBER('Results'!$B$8),ISNUMBER('Inputs'!$B$6),ISNUMBER('Inputs'!$B$7),ISNUMBER('Inputs'!$B$8),ISNUMBER('Inputs'!$B$9),ISNUMBER('Inputs'!$B$10),ISNUMBER('Inputs'!$B$21),ISNUMBER('Inputs'!$B$24),ISNUMBER('Inputs'!$B$28)),((('Results'!C7*(1+'Inputs'!$B$24)*(0.5*((((247-43)*MAX('Inputs'!$B$33,'Inputs'!$B$29+'Inputs'!$B$31+'Inputs'!$B$32,'Inputs'!$B$30+'Inputs'!$B$31+'Inputs'!$B$32)/1000+'Inputs'!$B$21)+'Inputs'!$B$9)/SQRT((((247-43)*MAX('Inputs'!$B$33,'Inputs'!$B$29+'Inputs'!$B$31+'Inputs'!$B$32,'Inputs'!$B$30+'Inputs'!$B$31+'Inputs'!$B$32)/1000+'Inputs'!$B$21)+'Inputs'!$B$9)^2+('Inputs'!$B$8/2)^2)-(((247-43)*MAX('Inputs'!$B$33,'Inputs'!$B$29+'Inputs'!$B$31+'Inputs'!$B$32,'Inputs'!$B$30+'Inputs'!$B$31+'Inputs'!$B$32)/1000+'Inputs'!$B$21))/SQRT((((247-43)*MAX('Inputs'!$B$33,'Inputs'!$B$29+'Inputs'!$B$31+'Inputs'!$B$32,'Inputs'!$B$30+'Inputs'!$B$31+'Inputs'!$B$32)/1000+'Inputs'!$B$21))^2+('Inputs'!$B$8/2)^2)))-'Results'!B7*(1-'Inputs'!$B$24)*(0.5*((((247-43)*MAX('Inputs'!$B$33,'Inputs'!$B$29+'Inputs'!$B$31+'Inputs'!$B$32,'Inputs'!$B$30+'Inputs'!$B$31+'Inputs'!$B$32)/1000+'Inputs'!$B$21+'Inputs'!$B$9+'Inputs'!$B$10)+'Inputs'!$B$7)/SQRT((((247-43)*MAX('Inputs'!$B$33,'Inputs'!$B$29+'Inputs'!$B$31+'Inputs'!$B$32,'Inputs'!$B$30+'Inputs'!$B$31+'Inputs'!$B$32)/1000+'Inputs'!$B$21+'Inputs'!$B$9+'Inputs'!$B$10)+'Inputs'!$B$7)^2+('Inputs'!$B$6/2)^2)-(((247-43)*MAX('Inputs'!$B$33,'Inputs'!$B$29+'Inputs'!$B$31+'Inputs'!$B$32,'Inputs'!$B$30+'Inputs'!$B$31+'Inputs'!$B$32)/1000+'Inputs'!$B$21+'Inputs'!$B$9+'Inputs'!$B$10))/SQRT((((247-43)*MAX('Inputs'!$B$33,'Inputs'!$B$29+'Inputs'!$B$31+'Inputs'!$B$32,'Inputs'!$B$30+'Inputs'!$B$31+'Inputs'!$B$32)/1000+'Inputs'!$B$21+'Inputs'!$B$9+'Inputs'!$B$10))^2+('Inputs'!$B$6/2)^2))))*'Results'!$B$8)+'Inputs'!$B$28*ABS((('Results'!C7*(1+'Inputs'!$B$24)*(0.5*((((247-43)*MAX('Inputs'!$B$33,'Inputs'!$B$29+'Inputs'!$B$31+'Inputs'!$B$32,'Inputs'!$B$30+'Inputs'!$B$31+'Inputs'!$B$32)/1000+'Inputs'!$B$21)+'Inputs'!$B$9)/SQRT((((247-43)*MAX('Inputs'!$B$33,'Inputs'!$B$29+'Inputs'!$B$31+'Inputs'!$B$32,'Inputs'!$B$30+'Inputs'!$B$31+'Inputs'!$B$32)/1000+'Inputs'!$B$21)+'Inputs'!$B$9)^2+('Inputs'!$B$8/2)^2)-(((247-43)*MAX('Inputs'!$B$33,'Inputs'!$B$29+'Inputs'!$B$31+'Inputs'!$B$32,'Inputs'!$B$30+'Inputs'!$B$31+'Inputs'!$B$32)/1000+'Inputs'!$B$21))/SQRT((((247-43)*MAX('Inputs'!$B$33,'Inputs'!$B$29+'Inputs'!$B$31+'Inputs'!$B$32,'Inputs'!$B$30+'Inputs'!$B$31+'Inputs'!$B$32)/1000+'Inputs'!$B$21))^2+('Inputs'!$B$8/2)^2)))-'Results'!B7*(1-'Inputs'!$B$24)*(0.5*((((247-43)*MAX('Inputs'!$B$33,'Inputs'!$B$29+'Inputs'!$B$31+'Inputs'!$B$32,'Inputs'!$B$30+'Inputs'!$B$31+'Inputs'!$B$32)/1000+'Inputs'!$B$21+'Inputs'!$B$9+'Inputs'!$B$10)+'Inputs'!$B$7)/SQRT((((247-43)*MAX('Inputs'!$B$33,'Inputs'!$B$29+'Inputs'!$B$31+'Inputs'!$B$32,'Inputs'!$B$30+'Inputs'!$B$31+'Inputs'!$B$32)/1000+'Inputs'!$B$21+'Inputs'!$B$9+'Inputs'!$B$10)+'Inputs'!$B$7)^2+('Inputs'!$B$6/2)^2)-(((247-43)*MAX('Inputs'!$B$33,'Inputs'!$B$29+'Inputs'!$B$31+'Inputs'!$B$32,'Inputs'!$B$30+'Inputs'!$B$31+'Inputs'!$B$32)/1000+'Inputs'!$B$21+'Inputs'!$B$9+'Inputs'!$B$10))/SQRT((((247-43)*MAX('Inputs'!$B$33,'Inputs'!$B$29+'Inputs'!$B$31+'Inputs'!$B$32,'Inputs'!$B$30+'Inputs'!$B$31+'Inputs'!$B$32)/1000+'Inputs'!$B$21+'Inputs'!$B$9+'Inputs'!$B$10))^2+('Inputs'!$B$6/2)^2))))*'Results'!$B$8))),"")</x:f>
        <x:v>72.74865539709113</x:v>
      </x:c>
      <x:c r="P247" t="n">
        <x:f>IF(AND(MAX(J247,J246)&gt;0,J247&gt;J246+0.00000001),1,0)</x:f>
        <x:v>0</x:v>
      </x:c>
      <x:c r="Q247" t="n">
        <x:f>IF(AND(MAX(K247,K246)&gt;0,K247&gt;K246+0.00000001),1,0)</x:f>
        <x:v>0</x:v>
      </x:c>
      <x:c r="R247" t="n">
        <x:f>IF(AND(MAX(L247,L246)&gt;0,L247&gt;L246+0.00000001),1,0)</x:f>
        <x:v>0</x:v>
      </x:c>
      <x:c r="S247" t="n">
        <x:f>IF(AND(MAX(M247,M246)&gt;0,M247&gt;M246+0.00000001),1,0)</x:f>
        <x:v>0</x:v>
      </x:c>
      <x:c r="T247" t="n">
        <x:f>IF(AND(MAX(N247,N246)&gt;0,N247&gt;N246+0.00000001),1,0)</x:f>
        <x:v>0</x:v>
      </x:c>
      <x:c r="U247" t="n">
        <x:f>IF(AND(MAX(O247,O246)&gt;0,O247&gt;O246+0.00000001),1,0)</x:f>
        <x:v>0</x:v>
      </x:c>
    </x:row>
    <x:row r="248">
      <x:c r="J248" t="n">
        <x:f>IF(AND(ISNUMBER('Results'!B7),ISNUMBER('Results'!C7),ISNUMBER('Results'!$B$8),ISNUMBER('Inputs'!$B$6),ISNUMBER('Inputs'!$B$7),ISNUMBER('Inputs'!$B$8),ISNUMBER('Inputs'!$B$9),ISNUMBER('Inputs'!$B$10),ISNUMBER('Inputs'!$B$21),ISNUMBER('Inputs'!$B$24),ISNUMBER('Inputs'!$B$28)),(('Results'!B7*(0.5*((((248-43)*MAX('Inputs'!$B$33,'Inputs'!$B$29+'Inputs'!$B$31+'Inputs'!$B$32,'Inputs'!$B$30+'Inputs'!$B$31+'Inputs'!$B$32)/1000+'Inputs'!$B$21)+'Inputs'!$B$7)/SQRT((((248-43)*MAX('Inputs'!$B$33,'Inputs'!$B$29+'Inputs'!$B$31+'Inputs'!$B$32,'Inputs'!$B$30+'Inputs'!$B$31+'Inputs'!$B$32)/1000+'Inputs'!$B$21)+'Inputs'!$B$7)^2+('Inputs'!$B$6/2)^2)-(((248-43)*MAX('Inputs'!$B$33,'Inputs'!$B$29+'Inputs'!$B$31+'Inputs'!$B$32,'Inputs'!$B$30+'Inputs'!$B$31+'Inputs'!$B$32)/1000+'Inputs'!$B$21))/SQRT((((248-43)*MAX('Inputs'!$B$33,'Inputs'!$B$29+'Inputs'!$B$31+'Inputs'!$B$32,'Inputs'!$B$30+'Inputs'!$B$31+'Inputs'!$B$32)/1000+'Inputs'!$B$21))^2+('Inputs'!$B$6/2)^2)))-'Results'!C7*(0.5*((((248-43)*MAX('Inputs'!$B$33,'Inputs'!$B$29+'Inputs'!$B$31+'Inputs'!$B$32,'Inputs'!$B$30+'Inputs'!$B$31+'Inputs'!$B$32)/1000+'Inputs'!$B$21+'Inputs'!$B$7+'Inputs'!$B$10)+'Inputs'!$B$9)/SQRT((((248-43)*MAX('Inputs'!$B$33,'Inputs'!$B$29+'Inputs'!$B$31+'Inputs'!$B$32,'Inputs'!$B$30+'Inputs'!$B$31+'Inputs'!$B$32)/1000+'Inputs'!$B$21+'Inputs'!$B$7+'Inputs'!$B$10)+'Inputs'!$B$9)^2+('Inputs'!$B$8/2)^2)-(((248-43)*MAX('Inputs'!$B$33,'Inputs'!$B$29+'Inputs'!$B$31+'Inputs'!$B$32,'Inputs'!$B$30+'Inputs'!$B$31+'Inputs'!$B$32)/1000+'Inputs'!$B$21+'Inputs'!$B$7+'Inputs'!$B$10))/SQRT((((248-43)*MAX('Inputs'!$B$33,'Inputs'!$B$29+'Inputs'!$B$31+'Inputs'!$B$32,'Inputs'!$B$30+'Inputs'!$B$31+'Inputs'!$B$32)/1000+'Inputs'!$B$21+'Inputs'!$B$7+'Inputs'!$B$10))^2+('Inputs'!$B$8/2)^2))))*'Results'!$B$8),"")</x:f>
        <x:v>68.3906899811868</x:v>
      </x:c>
      <x:c r="K248" t="n">
        <x:f>IF(AND(ISNUMBER('Results'!B7),ISNUMBER('Results'!C7),ISNUMBER('Results'!$B$8),ISNUMBER('Inputs'!$B$6),ISNUMBER('Inputs'!$B$7),ISNUMBER('Inputs'!$B$8),ISNUMBER('Inputs'!$B$9),ISNUMBER('Inputs'!$B$10),ISNUMBER('Inputs'!$B$21),ISNUMBER('Inputs'!$B$24),ISNUMBER('Inputs'!$B$28)),((('Results'!B7*(1-'Inputs'!$B$24)*(0.5*((((248-43)*MAX('Inputs'!$B$33,'Inputs'!$B$29+'Inputs'!$B$31+'Inputs'!$B$32,'Inputs'!$B$30+'Inputs'!$B$31+'Inputs'!$B$32)/1000+'Inputs'!$B$21)+'Inputs'!$B$7)/SQRT((((248-43)*MAX('Inputs'!$B$33,'Inputs'!$B$29+'Inputs'!$B$31+'Inputs'!$B$32,'Inputs'!$B$30+'Inputs'!$B$31+'Inputs'!$B$32)/1000+'Inputs'!$B$21)+'Inputs'!$B$7)^2+('Inputs'!$B$6/2)^2)-(((248-43)*MAX('Inputs'!$B$33,'Inputs'!$B$29+'Inputs'!$B$31+'Inputs'!$B$32,'Inputs'!$B$30+'Inputs'!$B$31+'Inputs'!$B$32)/1000+'Inputs'!$B$21))/SQRT((((248-43)*MAX('Inputs'!$B$33,'Inputs'!$B$29+'Inputs'!$B$31+'Inputs'!$B$32,'Inputs'!$B$30+'Inputs'!$B$31+'Inputs'!$B$32)/1000+'Inputs'!$B$21))^2+('Inputs'!$B$6/2)^2)))-'Results'!C7*(1+'Inputs'!$B$24)*(0.5*((((248-43)*MAX('Inputs'!$B$33,'Inputs'!$B$29+'Inputs'!$B$31+'Inputs'!$B$32,'Inputs'!$B$30+'Inputs'!$B$31+'Inputs'!$B$32)/1000+'Inputs'!$B$21+'Inputs'!$B$7+'Inputs'!$B$10)+'Inputs'!$B$9)/SQRT((((248-43)*MAX('Inputs'!$B$33,'Inputs'!$B$29+'Inputs'!$B$31+'Inputs'!$B$32,'Inputs'!$B$30+'Inputs'!$B$31+'Inputs'!$B$32)/1000+'Inputs'!$B$21+'Inputs'!$B$7+'Inputs'!$B$10)+'Inputs'!$B$9)^2+('Inputs'!$B$8/2)^2)-(((248-43)*MAX('Inputs'!$B$33,'Inputs'!$B$29+'Inputs'!$B$31+'Inputs'!$B$32,'Inputs'!$B$30+'Inputs'!$B$31+'Inputs'!$B$32)/1000+'Inputs'!$B$21+'Inputs'!$B$7+'Inputs'!$B$10))/SQRT((((248-43)*MAX('Inputs'!$B$33,'Inputs'!$B$29+'Inputs'!$B$31+'Inputs'!$B$32,'Inputs'!$B$30+'Inputs'!$B$31+'Inputs'!$B$32)/1000+'Inputs'!$B$21+'Inputs'!$B$7+'Inputs'!$B$10))^2+('Inputs'!$B$8/2)^2))))*'Results'!$B$8)-'Inputs'!$B$28*ABS((('Results'!B7*(1-'Inputs'!$B$24)*(0.5*((((248-43)*MAX('Inputs'!$B$33,'Inputs'!$B$29+'Inputs'!$B$31+'Inputs'!$B$32,'Inputs'!$B$30+'Inputs'!$B$31+'Inputs'!$B$32)/1000+'Inputs'!$B$21)+'Inputs'!$B$7)/SQRT((((248-43)*MAX('Inputs'!$B$33,'Inputs'!$B$29+'Inputs'!$B$31+'Inputs'!$B$32,'Inputs'!$B$30+'Inputs'!$B$31+'Inputs'!$B$32)/1000+'Inputs'!$B$21)+'Inputs'!$B$7)^2+('Inputs'!$B$6/2)^2)-(((248-43)*MAX('Inputs'!$B$33,'Inputs'!$B$29+'Inputs'!$B$31+'Inputs'!$B$32,'Inputs'!$B$30+'Inputs'!$B$31+'Inputs'!$B$32)/1000+'Inputs'!$B$21))/SQRT((((248-43)*MAX('Inputs'!$B$33,'Inputs'!$B$29+'Inputs'!$B$31+'Inputs'!$B$32,'Inputs'!$B$30+'Inputs'!$B$31+'Inputs'!$B$32)/1000+'Inputs'!$B$21))^2+('Inputs'!$B$6/2)^2)))-'Results'!C7*(1+'Inputs'!$B$24)*(0.5*((((248-43)*MAX('Inputs'!$B$33,'Inputs'!$B$29+'Inputs'!$B$31+'Inputs'!$B$32,'Inputs'!$B$30+'Inputs'!$B$31+'Inputs'!$B$32)/1000+'Inputs'!$B$21+'Inputs'!$B$7+'Inputs'!$B$10)+'Inputs'!$B$9)/SQRT((((248-43)*MAX('Inputs'!$B$33,'Inputs'!$B$29+'Inputs'!$B$31+'Inputs'!$B$32,'Inputs'!$B$30+'Inputs'!$B$31+'Inputs'!$B$32)/1000+'Inputs'!$B$21+'Inputs'!$B$7+'Inputs'!$B$10)+'Inputs'!$B$9)^2+('Inputs'!$B$8/2)^2)-(((248-43)*MAX('Inputs'!$B$33,'Inputs'!$B$29+'Inputs'!$B$31+'Inputs'!$B$32,'Inputs'!$B$30+'Inputs'!$B$31+'Inputs'!$B$32)/1000+'Inputs'!$B$21+'Inputs'!$B$7+'Inputs'!$B$10))/SQRT((((248-43)*MAX('Inputs'!$B$33,'Inputs'!$B$29+'Inputs'!$B$31+'Inputs'!$B$32,'Inputs'!$B$30+'Inputs'!$B$31+'Inputs'!$B$32)/1000+'Inputs'!$B$21+'Inputs'!$B$7+'Inputs'!$B$10))^2+('Inputs'!$B$8/2)^2))))*'Results'!$B$8))),"")</x:f>
        <x:v>62.495687420530146</x:v>
      </x:c>
      <x:c r="L248" t="n">
        <x:f>IF(AND(ISNUMBER('Results'!B7),ISNUMBER('Results'!C7),ISNUMBER('Results'!$B$8),ISNUMBER('Inputs'!$B$6),ISNUMBER('Inputs'!$B$7),ISNUMBER('Inputs'!$B$8),ISNUMBER('Inputs'!$B$9),ISNUMBER('Inputs'!$B$10),ISNUMBER('Inputs'!$B$21),ISNUMBER('Inputs'!$B$24),ISNUMBER('Inputs'!$B$28)),((('Results'!B7*(1+'Inputs'!$B$24)*(0.5*((((248-43)*MAX('Inputs'!$B$33,'Inputs'!$B$29+'Inputs'!$B$31+'Inputs'!$B$32,'Inputs'!$B$30+'Inputs'!$B$31+'Inputs'!$B$32)/1000+'Inputs'!$B$21)+'Inputs'!$B$7)/SQRT((((248-43)*MAX('Inputs'!$B$33,'Inputs'!$B$29+'Inputs'!$B$31+'Inputs'!$B$32,'Inputs'!$B$30+'Inputs'!$B$31+'Inputs'!$B$32)/1000+'Inputs'!$B$21)+'Inputs'!$B$7)^2+('Inputs'!$B$6/2)^2)-(((248-43)*MAX('Inputs'!$B$33,'Inputs'!$B$29+'Inputs'!$B$31+'Inputs'!$B$32,'Inputs'!$B$30+'Inputs'!$B$31+'Inputs'!$B$32)/1000+'Inputs'!$B$21))/SQRT((((248-43)*MAX('Inputs'!$B$33,'Inputs'!$B$29+'Inputs'!$B$31+'Inputs'!$B$32,'Inputs'!$B$30+'Inputs'!$B$31+'Inputs'!$B$32)/1000+'Inputs'!$B$21))^2+('Inputs'!$B$6/2)^2)))-'Results'!C7*(1-'Inputs'!$B$24)*(0.5*((((248-43)*MAX('Inputs'!$B$33,'Inputs'!$B$29+'Inputs'!$B$31+'Inputs'!$B$32,'Inputs'!$B$30+'Inputs'!$B$31+'Inputs'!$B$32)/1000+'Inputs'!$B$21+'Inputs'!$B$7+'Inputs'!$B$10)+'Inputs'!$B$9)/SQRT((((248-43)*MAX('Inputs'!$B$33,'Inputs'!$B$29+'Inputs'!$B$31+'Inputs'!$B$32,'Inputs'!$B$30+'Inputs'!$B$31+'Inputs'!$B$32)/1000+'Inputs'!$B$21+'Inputs'!$B$7+'Inputs'!$B$10)+'Inputs'!$B$9)^2+('Inputs'!$B$8/2)^2)-(((248-43)*MAX('Inputs'!$B$33,'Inputs'!$B$29+'Inputs'!$B$31+'Inputs'!$B$32,'Inputs'!$B$30+'Inputs'!$B$31+'Inputs'!$B$32)/1000+'Inputs'!$B$21+'Inputs'!$B$7+'Inputs'!$B$10))/SQRT((((248-43)*MAX('Inputs'!$B$33,'Inputs'!$B$29+'Inputs'!$B$31+'Inputs'!$B$32,'Inputs'!$B$30+'Inputs'!$B$31+'Inputs'!$B$32)/1000+'Inputs'!$B$21+'Inputs'!$B$7+'Inputs'!$B$10))^2+('Inputs'!$B$8/2)^2))))*'Results'!$B$8)+'Inputs'!$B$28*ABS((('Results'!B7*(1+'Inputs'!$B$24)*(0.5*((((248-43)*MAX('Inputs'!$B$33,'Inputs'!$B$29+'Inputs'!$B$31+'Inputs'!$B$32,'Inputs'!$B$30+'Inputs'!$B$31+'Inputs'!$B$32)/1000+'Inputs'!$B$21)+'Inputs'!$B$7)/SQRT((((248-43)*MAX('Inputs'!$B$33,'Inputs'!$B$29+'Inputs'!$B$31+'Inputs'!$B$32,'Inputs'!$B$30+'Inputs'!$B$31+'Inputs'!$B$32)/1000+'Inputs'!$B$21)+'Inputs'!$B$7)^2+('Inputs'!$B$6/2)^2)-(((248-43)*MAX('Inputs'!$B$33,'Inputs'!$B$29+'Inputs'!$B$31+'Inputs'!$B$32,'Inputs'!$B$30+'Inputs'!$B$31+'Inputs'!$B$32)/1000+'Inputs'!$B$21))/SQRT((((248-43)*MAX('Inputs'!$B$33,'Inputs'!$B$29+'Inputs'!$B$31+'Inputs'!$B$32,'Inputs'!$B$30+'Inputs'!$B$31+'Inputs'!$B$32)/1000+'Inputs'!$B$21))^2+('Inputs'!$B$6/2)^2)))-'Results'!C7*(1-'Inputs'!$B$24)*(0.5*((((248-43)*MAX('Inputs'!$B$33,'Inputs'!$B$29+'Inputs'!$B$31+'Inputs'!$B$32,'Inputs'!$B$30+'Inputs'!$B$31+'Inputs'!$B$32)/1000+'Inputs'!$B$21+'Inputs'!$B$7+'Inputs'!$B$10)+'Inputs'!$B$9)/SQRT((((248-43)*MAX('Inputs'!$B$33,'Inputs'!$B$29+'Inputs'!$B$31+'Inputs'!$B$32,'Inputs'!$B$30+'Inputs'!$B$31+'Inputs'!$B$32)/1000+'Inputs'!$B$21+'Inputs'!$B$7+'Inputs'!$B$10)+'Inputs'!$B$9)^2+('Inputs'!$B$8/2)^2)-(((248-43)*MAX('Inputs'!$B$33,'Inputs'!$B$29+'Inputs'!$B$31+'Inputs'!$B$32,'Inputs'!$B$30+'Inputs'!$B$31+'Inputs'!$B$32)/1000+'Inputs'!$B$21+'Inputs'!$B$7+'Inputs'!$B$10))/SQRT((((248-43)*MAX('Inputs'!$B$33,'Inputs'!$B$29+'Inputs'!$B$31+'Inputs'!$B$32,'Inputs'!$B$30+'Inputs'!$B$31+'Inputs'!$B$32)/1000+'Inputs'!$B$21+'Inputs'!$B$7+'Inputs'!$B$10))^2+('Inputs'!$B$8/2)^2))))*'Results'!$B$8))),"")</x:f>
        <x:v>74.54626812727473</x:v>
      </x:c>
      <x:c r="M248" t="n">
        <x:f>IF(AND(ISNUMBER('Results'!C7),ISNUMBER('Results'!B7),ISNUMBER('Results'!$B$8),ISNUMBER('Inputs'!$B$6),ISNUMBER('Inputs'!$B$7),ISNUMBER('Inputs'!$B$8),ISNUMBER('Inputs'!$B$9),ISNUMBER('Inputs'!$B$10),ISNUMBER('Inputs'!$B$21),ISNUMBER('Inputs'!$B$24),ISNUMBER('Inputs'!$B$28)),(('Results'!C7*(0.5*((((248-43)*MAX('Inputs'!$B$33,'Inputs'!$B$29+'Inputs'!$B$31+'Inputs'!$B$32,'Inputs'!$B$30+'Inputs'!$B$31+'Inputs'!$B$32)/1000+'Inputs'!$B$21)+'Inputs'!$B$9)/SQRT((((248-43)*MAX('Inputs'!$B$33,'Inputs'!$B$29+'Inputs'!$B$31+'Inputs'!$B$32,'Inputs'!$B$30+'Inputs'!$B$31+'Inputs'!$B$32)/1000+'Inputs'!$B$21)+'Inputs'!$B$9)^2+('Inputs'!$B$8/2)^2)-(((248-43)*MAX('Inputs'!$B$33,'Inputs'!$B$29+'Inputs'!$B$31+'Inputs'!$B$32,'Inputs'!$B$30+'Inputs'!$B$31+'Inputs'!$B$32)/1000+'Inputs'!$B$21))/SQRT((((248-43)*MAX('Inputs'!$B$33,'Inputs'!$B$29+'Inputs'!$B$31+'Inputs'!$B$32,'Inputs'!$B$30+'Inputs'!$B$31+'Inputs'!$B$32)/1000+'Inputs'!$B$21))^2+('Inputs'!$B$8/2)^2)))-'Results'!B7*(0.5*((((248-43)*MAX('Inputs'!$B$33,'Inputs'!$B$29+'Inputs'!$B$31+'Inputs'!$B$32,'Inputs'!$B$30+'Inputs'!$B$31+'Inputs'!$B$32)/1000+'Inputs'!$B$21+'Inputs'!$B$9+'Inputs'!$B$10)+'Inputs'!$B$7)/SQRT((((248-43)*MAX('Inputs'!$B$33,'Inputs'!$B$29+'Inputs'!$B$31+'Inputs'!$B$32,'Inputs'!$B$30+'Inputs'!$B$31+'Inputs'!$B$32)/1000+'Inputs'!$B$21+'Inputs'!$B$9+'Inputs'!$B$10)+'Inputs'!$B$7)^2+('Inputs'!$B$6/2)^2)-(((248-43)*MAX('Inputs'!$B$33,'Inputs'!$B$29+'Inputs'!$B$31+'Inputs'!$B$32,'Inputs'!$B$30+'Inputs'!$B$31+'Inputs'!$B$32)/1000+'Inputs'!$B$21+'Inputs'!$B$9+'Inputs'!$B$10))/SQRT((((248-43)*MAX('Inputs'!$B$33,'Inputs'!$B$29+'Inputs'!$B$31+'Inputs'!$B$32,'Inputs'!$B$30+'Inputs'!$B$31+'Inputs'!$B$32)/1000+'Inputs'!$B$21+'Inputs'!$B$9+'Inputs'!$B$10))^2+('Inputs'!$B$6/2)^2))))*'Results'!$B$8),"")</x:f>
        <x:v>65.7723020650913</x:v>
      </x:c>
      <x:c r="N248" t="n">
        <x:f>IF(AND(ISNUMBER('Results'!C7),ISNUMBER('Results'!B7),ISNUMBER('Results'!$B$8),ISNUMBER('Inputs'!$B$6),ISNUMBER('Inputs'!$B$7),ISNUMBER('Inputs'!$B$8),ISNUMBER('Inputs'!$B$9),ISNUMBER('Inputs'!$B$10),ISNUMBER('Inputs'!$B$21),ISNUMBER('Inputs'!$B$24),ISNUMBER('Inputs'!$B$28)),((('Results'!C7*(1-'Inputs'!$B$24)*(0.5*((((248-43)*MAX('Inputs'!$B$33,'Inputs'!$B$29+'Inputs'!$B$31+'Inputs'!$B$32,'Inputs'!$B$30+'Inputs'!$B$31+'Inputs'!$B$32)/1000+'Inputs'!$B$21)+'Inputs'!$B$9)/SQRT((((248-43)*MAX('Inputs'!$B$33,'Inputs'!$B$29+'Inputs'!$B$31+'Inputs'!$B$32,'Inputs'!$B$30+'Inputs'!$B$31+'Inputs'!$B$32)/1000+'Inputs'!$B$21)+'Inputs'!$B$9)^2+('Inputs'!$B$8/2)^2)-(((248-43)*MAX('Inputs'!$B$33,'Inputs'!$B$29+'Inputs'!$B$31+'Inputs'!$B$32,'Inputs'!$B$30+'Inputs'!$B$31+'Inputs'!$B$32)/1000+'Inputs'!$B$21))/SQRT((((248-43)*MAX('Inputs'!$B$33,'Inputs'!$B$29+'Inputs'!$B$31+'Inputs'!$B$32,'Inputs'!$B$30+'Inputs'!$B$31+'Inputs'!$B$32)/1000+'Inputs'!$B$21))^2+('Inputs'!$B$8/2)^2)))-'Results'!B7*(1+'Inputs'!$B$24)*(0.5*((((248-43)*MAX('Inputs'!$B$33,'Inputs'!$B$29+'Inputs'!$B$31+'Inputs'!$B$32,'Inputs'!$B$30+'Inputs'!$B$31+'Inputs'!$B$32)/1000+'Inputs'!$B$21+'Inputs'!$B$9+'Inputs'!$B$10)+'Inputs'!$B$7)/SQRT((((248-43)*MAX('Inputs'!$B$33,'Inputs'!$B$29+'Inputs'!$B$31+'Inputs'!$B$32,'Inputs'!$B$30+'Inputs'!$B$31+'Inputs'!$B$32)/1000+'Inputs'!$B$21+'Inputs'!$B$9+'Inputs'!$B$10)+'Inputs'!$B$7)^2+('Inputs'!$B$6/2)^2)-(((248-43)*MAX('Inputs'!$B$33,'Inputs'!$B$29+'Inputs'!$B$31+'Inputs'!$B$32,'Inputs'!$B$30+'Inputs'!$B$31+'Inputs'!$B$32)/1000+'Inputs'!$B$21+'Inputs'!$B$9+'Inputs'!$B$10))/SQRT((((248-43)*MAX('Inputs'!$B$33,'Inputs'!$B$29+'Inputs'!$B$31+'Inputs'!$B$32,'Inputs'!$B$30+'Inputs'!$B$31+'Inputs'!$B$32)/1000+'Inputs'!$B$21+'Inputs'!$B$9+'Inputs'!$B$10))^2+('Inputs'!$B$6/2)^2))))*'Results'!$B$8)-'Inputs'!$B$28*ABS((('Results'!C7*(1-'Inputs'!$B$24)*(0.5*((((248-43)*MAX('Inputs'!$B$33,'Inputs'!$B$29+'Inputs'!$B$31+'Inputs'!$B$32,'Inputs'!$B$30+'Inputs'!$B$31+'Inputs'!$B$32)/1000+'Inputs'!$B$21)+'Inputs'!$B$9)/SQRT((((248-43)*MAX('Inputs'!$B$33,'Inputs'!$B$29+'Inputs'!$B$31+'Inputs'!$B$32,'Inputs'!$B$30+'Inputs'!$B$31+'Inputs'!$B$32)/1000+'Inputs'!$B$21)+'Inputs'!$B$9)^2+('Inputs'!$B$8/2)^2)-(((248-43)*MAX('Inputs'!$B$33,'Inputs'!$B$29+'Inputs'!$B$31+'Inputs'!$B$32,'Inputs'!$B$30+'Inputs'!$B$31+'Inputs'!$B$32)/1000+'Inputs'!$B$21))/SQRT((((248-43)*MAX('Inputs'!$B$33,'Inputs'!$B$29+'Inputs'!$B$31+'Inputs'!$B$32,'Inputs'!$B$30+'Inputs'!$B$31+'Inputs'!$B$32)/1000+'Inputs'!$B$21))^2+('Inputs'!$B$8/2)^2)))-'Results'!B7*(1+'Inputs'!$B$24)*(0.5*((((248-43)*MAX('Inputs'!$B$33,'Inputs'!$B$29+'Inputs'!$B$31+'Inputs'!$B$32,'Inputs'!$B$30+'Inputs'!$B$31+'Inputs'!$B$32)/1000+'Inputs'!$B$21+'Inputs'!$B$9+'Inputs'!$B$10)+'Inputs'!$B$7)/SQRT((((248-43)*MAX('Inputs'!$B$33,'Inputs'!$B$29+'Inputs'!$B$31+'Inputs'!$B$32,'Inputs'!$B$30+'Inputs'!$B$31+'Inputs'!$B$32)/1000+'Inputs'!$B$21+'Inputs'!$B$9+'Inputs'!$B$10)+'Inputs'!$B$7)^2+('Inputs'!$B$6/2)^2)-(((248-43)*MAX('Inputs'!$B$33,'Inputs'!$B$29+'Inputs'!$B$31+'Inputs'!$B$32,'Inputs'!$B$30+'Inputs'!$B$31+'Inputs'!$B$32)/1000+'Inputs'!$B$21+'Inputs'!$B$9+'Inputs'!$B$10))/SQRT((((248-43)*MAX('Inputs'!$B$33,'Inputs'!$B$29+'Inputs'!$B$31+'Inputs'!$B$32,'Inputs'!$B$30+'Inputs'!$B$31+'Inputs'!$B$32)/1000+'Inputs'!$B$21+'Inputs'!$B$9+'Inputs'!$B$10))^2+('Inputs'!$B$6/2)^2))))*'Results'!$B$8))),"")</x:f>
        <x:v>60.03396735325841</x:v>
      </x:c>
      <x:c r="O248" t="n">
        <x:f>IF(AND(ISNUMBER('Results'!C7),ISNUMBER('Results'!B7),ISNUMBER('Results'!$B$8),ISNUMBER('Inputs'!$B$6),ISNUMBER('Inputs'!$B$7),ISNUMBER('Inputs'!$B$8),ISNUMBER('Inputs'!$B$9),ISNUMBER('Inputs'!$B$10),ISNUMBER('Inputs'!$B$21),ISNUMBER('Inputs'!$B$24),ISNUMBER('Inputs'!$B$28)),((('Results'!C7*(1+'Inputs'!$B$24)*(0.5*((((248-43)*MAX('Inputs'!$B$33,'Inputs'!$B$29+'Inputs'!$B$31+'Inputs'!$B$32,'Inputs'!$B$30+'Inputs'!$B$31+'Inputs'!$B$32)/1000+'Inputs'!$B$21)+'Inputs'!$B$9)/SQRT((((248-43)*MAX('Inputs'!$B$33,'Inputs'!$B$29+'Inputs'!$B$31+'Inputs'!$B$32,'Inputs'!$B$30+'Inputs'!$B$31+'Inputs'!$B$32)/1000+'Inputs'!$B$21)+'Inputs'!$B$9)^2+('Inputs'!$B$8/2)^2)-(((248-43)*MAX('Inputs'!$B$33,'Inputs'!$B$29+'Inputs'!$B$31+'Inputs'!$B$32,'Inputs'!$B$30+'Inputs'!$B$31+'Inputs'!$B$32)/1000+'Inputs'!$B$21))/SQRT((((248-43)*MAX('Inputs'!$B$33,'Inputs'!$B$29+'Inputs'!$B$31+'Inputs'!$B$32,'Inputs'!$B$30+'Inputs'!$B$31+'Inputs'!$B$32)/1000+'Inputs'!$B$21))^2+('Inputs'!$B$8/2)^2)))-'Results'!B7*(1-'Inputs'!$B$24)*(0.5*((((248-43)*MAX('Inputs'!$B$33,'Inputs'!$B$29+'Inputs'!$B$31+'Inputs'!$B$32,'Inputs'!$B$30+'Inputs'!$B$31+'Inputs'!$B$32)/1000+'Inputs'!$B$21+'Inputs'!$B$9+'Inputs'!$B$10)+'Inputs'!$B$7)/SQRT((((248-43)*MAX('Inputs'!$B$33,'Inputs'!$B$29+'Inputs'!$B$31+'Inputs'!$B$32,'Inputs'!$B$30+'Inputs'!$B$31+'Inputs'!$B$32)/1000+'Inputs'!$B$21+'Inputs'!$B$9+'Inputs'!$B$10)+'Inputs'!$B$7)^2+('Inputs'!$B$6/2)^2)-(((248-43)*MAX('Inputs'!$B$33,'Inputs'!$B$29+'Inputs'!$B$31+'Inputs'!$B$32,'Inputs'!$B$30+'Inputs'!$B$31+'Inputs'!$B$32)/1000+'Inputs'!$B$21+'Inputs'!$B$9+'Inputs'!$B$10))/SQRT((((248-43)*MAX('Inputs'!$B$33,'Inputs'!$B$29+'Inputs'!$B$31+'Inputs'!$B$32,'Inputs'!$B$30+'Inputs'!$B$31+'Inputs'!$B$32)/1000+'Inputs'!$B$21+'Inputs'!$B$9+'Inputs'!$B$10))^2+('Inputs'!$B$6/2)^2))))*'Results'!$B$8)+'Inputs'!$B$28*ABS((('Results'!C7*(1+'Inputs'!$B$24)*(0.5*((((248-43)*MAX('Inputs'!$B$33,'Inputs'!$B$29+'Inputs'!$B$31+'Inputs'!$B$32,'Inputs'!$B$30+'Inputs'!$B$31+'Inputs'!$B$32)/1000+'Inputs'!$B$21)+'Inputs'!$B$9)/SQRT((((248-43)*MAX('Inputs'!$B$33,'Inputs'!$B$29+'Inputs'!$B$31+'Inputs'!$B$32,'Inputs'!$B$30+'Inputs'!$B$31+'Inputs'!$B$32)/1000+'Inputs'!$B$21)+'Inputs'!$B$9)^2+('Inputs'!$B$8/2)^2)-(((248-43)*MAX('Inputs'!$B$33,'Inputs'!$B$29+'Inputs'!$B$31+'Inputs'!$B$32,'Inputs'!$B$30+'Inputs'!$B$31+'Inputs'!$B$32)/1000+'Inputs'!$B$21))/SQRT((((248-43)*MAX('Inputs'!$B$33,'Inputs'!$B$29+'Inputs'!$B$31+'Inputs'!$B$32,'Inputs'!$B$30+'Inputs'!$B$31+'Inputs'!$B$32)/1000+'Inputs'!$B$21))^2+('Inputs'!$B$8/2)^2)))-'Results'!B7*(1-'Inputs'!$B$24)*(0.5*((((248-43)*MAX('Inputs'!$B$33,'Inputs'!$B$29+'Inputs'!$B$31+'Inputs'!$B$32,'Inputs'!$B$30+'Inputs'!$B$31+'Inputs'!$B$32)/1000+'Inputs'!$B$21+'Inputs'!$B$9+'Inputs'!$B$10)+'Inputs'!$B$7)/SQRT((((248-43)*MAX('Inputs'!$B$33,'Inputs'!$B$29+'Inputs'!$B$31+'Inputs'!$B$32,'Inputs'!$B$30+'Inputs'!$B$31+'Inputs'!$B$32)/1000+'Inputs'!$B$21+'Inputs'!$B$9+'Inputs'!$B$10)+'Inputs'!$B$7)^2+('Inputs'!$B$6/2)^2)-(((248-43)*MAX('Inputs'!$B$33,'Inputs'!$B$29+'Inputs'!$B$31+'Inputs'!$B$32,'Inputs'!$B$30+'Inputs'!$B$31+'Inputs'!$B$32)/1000+'Inputs'!$B$21+'Inputs'!$B$9+'Inputs'!$B$10))/SQRT((((248-43)*MAX('Inputs'!$B$33,'Inputs'!$B$29+'Inputs'!$B$31+'Inputs'!$B$32,'Inputs'!$B$30+'Inputs'!$B$31+'Inputs'!$B$32)/1000+'Inputs'!$B$21+'Inputs'!$B$9+'Inputs'!$B$10))^2+('Inputs'!$B$6/2)^2))))*'Results'!$B$8))),"")</x:f>
        <x:v>71.7685019988798</x:v>
      </x:c>
      <x:c r="P248" t="n">
        <x:f>IF(AND(MAX(J248,J247)&gt;0,J248&gt;J247+0.00000001),1,0)</x:f>
        <x:v>0</x:v>
      </x:c>
      <x:c r="Q248" t="n">
        <x:f>IF(AND(MAX(K248,K247)&gt;0,K248&gt;K247+0.00000001),1,0)</x:f>
        <x:v>0</x:v>
      </x:c>
      <x:c r="R248" t="n">
        <x:f>IF(AND(MAX(L248,L247)&gt;0,L248&gt;L247+0.00000001),1,0)</x:f>
        <x:v>0</x:v>
      </x:c>
      <x:c r="S248" t="n">
        <x:f>IF(AND(MAX(M248,M247)&gt;0,M248&gt;M247+0.00000001),1,0)</x:f>
        <x:v>0</x:v>
      </x:c>
      <x:c r="T248" t="n">
        <x:f>IF(AND(MAX(N248,N247)&gt;0,N248&gt;N247+0.00000001),1,0)</x:f>
        <x:v>0</x:v>
      </x:c>
      <x:c r="U248" t="n">
        <x:f>IF(AND(MAX(O248,O247)&gt;0,O248&gt;O247+0.00000001),1,0)</x:f>
        <x:v>0</x:v>
      </x:c>
    </x:row>
    <x:row r="249">
      <x:c r="J249" t="n">
        <x:f>IF(AND(ISNUMBER('Results'!B7),ISNUMBER('Results'!C7),ISNUMBER('Results'!$B$8),ISNUMBER('Inputs'!$B$6),ISNUMBER('Inputs'!$B$7),ISNUMBER('Inputs'!$B$8),ISNUMBER('Inputs'!$B$9),ISNUMBER('Inputs'!$B$10),ISNUMBER('Inputs'!$B$21),ISNUMBER('Inputs'!$B$24),ISNUMBER('Inputs'!$B$28)),(('Results'!B7*(0.5*((((249-43)*MAX('Inputs'!$B$33,'Inputs'!$B$29+'Inputs'!$B$31+'Inputs'!$B$32,'Inputs'!$B$30+'Inputs'!$B$31+'Inputs'!$B$32)/1000+'Inputs'!$B$21)+'Inputs'!$B$7)/SQRT((((249-43)*MAX('Inputs'!$B$33,'Inputs'!$B$29+'Inputs'!$B$31+'Inputs'!$B$32,'Inputs'!$B$30+'Inputs'!$B$31+'Inputs'!$B$32)/1000+'Inputs'!$B$21)+'Inputs'!$B$7)^2+('Inputs'!$B$6/2)^2)-(((249-43)*MAX('Inputs'!$B$33,'Inputs'!$B$29+'Inputs'!$B$31+'Inputs'!$B$32,'Inputs'!$B$30+'Inputs'!$B$31+'Inputs'!$B$32)/1000+'Inputs'!$B$21))/SQRT((((249-43)*MAX('Inputs'!$B$33,'Inputs'!$B$29+'Inputs'!$B$31+'Inputs'!$B$32,'Inputs'!$B$30+'Inputs'!$B$31+'Inputs'!$B$32)/1000+'Inputs'!$B$21))^2+('Inputs'!$B$6/2)^2)))-'Results'!C7*(0.5*((((249-43)*MAX('Inputs'!$B$33,'Inputs'!$B$29+'Inputs'!$B$31+'Inputs'!$B$32,'Inputs'!$B$30+'Inputs'!$B$31+'Inputs'!$B$32)/1000+'Inputs'!$B$21+'Inputs'!$B$7+'Inputs'!$B$10)+'Inputs'!$B$9)/SQRT((((249-43)*MAX('Inputs'!$B$33,'Inputs'!$B$29+'Inputs'!$B$31+'Inputs'!$B$32,'Inputs'!$B$30+'Inputs'!$B$31+'Inputs'!$B$32)/1000+'Inputs'!$B$21+'Inputs'!$B$7+'Inputs'!$B$10)+'Inputs'!$B$9)^2+('Inputs'!$B$8/2)^2)-(((249-43)*MAX('Inputs'!$B$33,'Inputs'!$B$29+'Inputs'!$B$31+'Inputs'!$B$32,'Inputs'!$B$30+'Inputs'!$B$31+'Inputs'!$B$32)/1000+'Inputs'!$B$21+'Inputs'!$B$7+'Inputs'!$B$10))/SQRT((((249-43)*MAX('Inputs'!$B$33,'Inputs'!$B$29+'Inputs'!$B$31+'Inputs'!$B$32,'Inputs'!$B$30+'Inputs'!$B$31+'Inputs'!$B$32)/1000+'Inputs'!$B$21+'Inputs'!$B$7+'Inputs'!$B$10))^2+('Inputs'!$B$8/2)^2))))*'Results'!$B$8),"")</x:f>
        <x:v>67.47216821288595</x:v>
      </x:c>
      <x:c r="K249" t="n">
        <x:f>IF(AND(ISNUMBER('Results'!B7),ISNUMBER('Results'!C7),ISNUMBER('Results'!$B$8),ISNUMBER('Inputs'!$B$6),ISNUMBER('Inputs'!$B$7),ISNUMBER('Inputs'!$B$8),ISNUMBER('Inputs'!$B$9),ISNUMBER('Inputs'!$B$10),ISNUMBER('Inputs'!$B$21),ISNUMBER('Inputs'!$B$24),ISNUMBER('Inputs'!$B$28)),((('Results'!B7*(1-'Inputs'!$B$24)*(0.5*((((249-43)*MAX('Inputs'!$B$33,'Inputs'!$B$29+'Inputs'!$B$31+'Inputs'!$B$32,'Inputs'!$B$30+'Inputs'!$B$31+'Inputs'!$B$32)/1000+'Inputs'!$B$21)+'Inputs'!$B$7)/SQRT((((249-43)*MAX('Inputs'!$B$33,'Inputs'!$B$29+'Inputs'!$B$31+'Inputs'!$B$32,'Inputs'!$B$30+'Inputs'!$B$31+'Inputs'!$B$32)/1000+'Inputs'!$B$21)+'Inputs'!$B$7)^2+('Inputs'!$B$6/2)^2)-(((249-43)*MAX('Inputs'!$B$33,'Inputs'!$B$29+'Inputs'!$B$31+'Inputs'!$B$32,'Inputs'!$B$30+'Inputs'!$B$31+'Inputs'!$B$32)/1000+'Inputs'!$B$21))/SQRT((((249-43)*MAX('Inputs'!$B$33,'Inputs'!$B$29+'Inputs'!$B$31+'Inputs'!$B$32,'Inputs'!$B$30+'Inputs'!$B$31+'Inputs'!$B$32)/1000+'Inputs'!$B$21))^2+('Inputs'!$B$6/2)^2)))-'Results'!C7*(1+'Inputs'!$B$24)*(0.5*((((249-43)*MAX('Inputs'!$B$33,'Inputs'!$B$29+'Inputs'!$B$31+'Inputs'!$B$32,'Inputs'!$B$30+'Inputs'!$B$31+'Inputs'!$B$32)/1000+'Inputs'!$B$21+'Inputs'!$B$7+'Inputs'!$B$10)+'Inputs'!$B$9)/SQRT((((249-43)*MAX('Inputs'!$B$33,'Inputs'!$B$29+'Inputs'!$B$31+'Inputs'!$B$32,'Inputs'!$B$30+'Inputs'!$B$31+'Inputs'!$B$32)/1000+'Inputs'!$B$21+'Inputs'!$B$7+'Inputs'!$B$10)+'Inputs'!$B$9)^2+('Inputs'!$B$8/2)^2)-(((249-43)*MAX('Inputs'!$B$33,'Inputs'!$B$29+'Inputs'!$B$31+'Inputs'!$B$32,'Inputs'!$B$30+'Inputs'!$B$31+'Inputs'!$B$32)/1000+'Inputs'!$B$21+'Inputs'!$B$7+'Inputs'!$B$10))/SQRT((((249-43)*MAX('Inputs'!$B$33,'Inputs'!$B$29+'Inputs'!$B$31+'Inputs'!$B$32,'Inputs'!$B$30+'Inputs'!$B$31+'Inputs'!$B$32)/1000+'Inputs'!$B$21+'Inputs'!$B$7+'Inputs'!$B$10))^2+('Inputs'!$B$8/2)^2))))*'Results'!$B$8)-'Inputs'!$B$28*ABS((('Results'!B7*(1-'Inputs'!$B$24)*(0.5*((((249-43)*MAX('Inputs'!$B$33,'Inputs'!$B$29+'Inputs'!$B$31+'Inputs'!$B$32,'Inputs'!$B$30+'Inputs'!$B$31+'Inputs'!$B$32)/1000+'Inputs'!$B$21)+'Inputs'!$B$7)/SQRT((((249-43)*MAX('Inputs'!$B$33,'Inputs'!$B$29+'Inputs'!$B$31+'Inputs'!$B$32,'Inputs'!$B$30+'Inputs'!$B$31+'Inputs'!$B$32)/1000+'Inputs'!$B$21)+'Inputs'!$B$7)^2+('Inputs'!$B$6/2)^2)-(((249-43)*MAX('Inputs'!$B$33,'Inputs'!$B$29+'Inputs'!$B$31+'Inputs'!$B$32,'Inputs'!$B$30+'Inputs'!$B$31+'Inputs'!$B$32)/1000+'Inputs'!$B$21))/SQRT((((249-43)*MAX('Inputs'!$B$33,'Inputs'!$B$29+'Inputs'!$B$31+'Inputs'!$B$32,'Inputs'!$B$30+'Inputs'!$B$31+'Inputs'!$B$32)/1000+'Inputs'!$B$21))^2+('Inputs'!$B$6/2)^2)))-'Results'!C7*(1+'Inputs'!$B$24)*(0.5*((((249-43)*MAX('Inputs'!$B$33,'Inputs'!$B$29+'Inputs'!$B$31+'Inputs'!$B$32,'Inputs'!$B$30+'Inputs'!$B$31+'Inputs'!$B$32)/1000+'Inputs'!$B$21+'Inputs'!$B$7+'Inputs'!$B$10)+'Inputs'!$B$9)/SQRT((((249-43)*MAX('Inputs'!$B$33,'Inputs'!$B$29+'Inputs'!$B$31+'Inputs'!$B$32,'Inputs'!$B$30+'Inputs'!$B$31+'Inputs'!$B$32)/1000+'Inputs'!$B$21+'Inputs'!$B$7+'Inputs'!$B$10)+'Inputs'!$B$9)^2+('Inputs'!$B$8/2)^2)-(((249-43)*MAX('Inputs'!$B$33,'Inputs'!$B$29+'Inputs'!$B$31+'Inputs'!$B$32,'Inputs'!$B$30+'Inputs'!$B$31+'Inputs'!$B$32)/1000+'Inputs'!$B$21+'Inputs'!$B$7+'Inputs'!$B$10))/SQRT((((249-43)*MAX('Inputs'!$B$33,'Inputs'!$B$29+'Inputs'!$B$31+'Inputs'!$B$32,'Inputs'!$B$30+'Inputs'!$B$31+'Inputs'!$B$32)/1000+'Inputs'!$B$21+'Inputs'!$B$7+'Inputs'!$B$10))^2+('Inputs'!$B$8/2)^2))))*'Results'!$B$8))),"")</x:f>
        <x:v>61.65037901346466</x:v>
      </x:c>
      <x:c r="L249" t="n">
        <x:f>IF(AND(ISNUMBER('Results'!B7),ISNUMBER('Results'!C7),ISNUMBER('Results'!$B$8),ISNUMBER('Inputs'!$B$6),ISNUMBER('Inputs'!$B$7),ISNUMBER('Inputs'!$B$8),ISNUMBER('Inputs'!$B$9),ISNUMBER('Inputs'!$B$10),ISNUMBER('Inputs'!$B$21),ISNUMBER('Inputs'!$B$24),ISNUMBER('Inputs'!$B$28)),((('Results'!B7*(1+'Inputs'!$B$24)*(0.5*((((249-43)*MAX('Inputs'!$B$33,'Inputs'!$B$29+'Inputs'!$B$31+'Inputs'!$B$32,'Inputs'!$B$30+'Inputs'!$B$31+'Inputs'!$B$32)/1000+'Inputs'!$B$21)+'Inputs'!$B$7)/SQRT((((249-43)*MAX('Inputs'!$B$33,'Inputs'!$B$29+'Inputs'!$B$31+'Inputs'!$B$32,'Inputs'!$B$30+'Inputs'!$B$31+'Inputs'!$B$32)/1000+'Inputs'!$B$21)+'Inputs'!$B$7)^2+('Inputs'!$B$6/2)^2)-(((249-43)*MAX('Inputs'!$B$33,'Inputs'!$B$29+'Inputs'!$B$31+'Inputs'!$B$32,'Inputs'!$B$30+'Inputs'!$B$31+'Inputs'!$B$32)/1000+'Inputs'!$B$21))/SQRT((((249-43)*MAX('Inputs'!$B$33,'Inputs'!$B$29+'Inputs'!$B$31+'Inputs'!$B$32,'Inputs'!$B$30+'Inputs'!$B$31+'Inputs'!$B$32)/1000+'Inputs'!$B$21))^2+('Inputs'!$B$6/2)^2)))-'Results'!C7*(1-'Inputs'!$B$24)*(0.5*((((249-43)*MAX('Inputs'!$B$33,'Inputs'!$B$29+'Inputs'!$B$31+'Inputs'!$B$32,'Inputs'!$B$30+'Inputs'!$B$31+'Inputs'!$B$32)/1000+'Inputs'!$B$21+'Inputs'!$B$7+'Inputs'!$B$10)+'Inputs'!$B$9)/SQRT((((249-43)*MAX('Inputs'!$B$33,'Inputs'!$B$29+'Inputs'!$B$31+'Inputs'!$B$32,'Inputs'!$B$30+'Inputs'!$B$31+'Inputs'!$B$32)/1000+'Inputs'!$B$21+'Inputs'!$B$7+'Inputs'!$B$10)+'Inputs'!$B$9)^2+('Inputs'!$B$8/2)^2)-(((249-43)*MAX('Inputs'!$B$33,'Inputs'!$B$29+'Inputs'!$B$31+'Inputs'!$B$32,'Inputs'!$B$30+'Inputs'!$B$31+'Inputs'!$B$32)/1000+'Inputs'!$B$21+'Inputs'!$B$7+'Inputs'!$B$10))/SQRT((((249-43)*MAX('Inputs'!$B$33,'Inputs'!$B$29+'Inputs'!$B$31+'Inputs'!$B$32,'Inputs'!$B$30+'Inputs'!$B$31+'Inputs'!$B$32)/1000+'Inputs'!$B$21+'Inputs'!$B$7+'Inputs'!$B$10))^2+('Inputs'!$B$8/2)^2))))*'Results'!$B$8)+'Inputs'!$B$28*ABS((('Results'!B7*(1+'Inputs'!$B$24)*(0.5*((((249-43)*MAX('Inputs'!$B$33,'Inputs'!$B$29+'Inputs'!$B$31+'Inputs'!$B$32,'Inputs'!$B$30+'Inputs'!$B$31+'Inputs'!$B$32)/1000+'Inputs'!$B$21)+'Inputs'!$B$7)/SQRT((((249-43)*MAX('Inputs'!$B$33,'Inputs'!$B$29+'Inputs'!$B$31+'Inputs'!$B$32,'Inputs'!$B$30+'Inputs'!$B$31+'Inputs'!$B$32)/1000+'Inputs'!$B$21)+'Inputs'!$B$7)^2+('Inputs'!$B$6/2)^2)-(((249-43)*MAX('Inputs'!$B$33,'Inputs'!$B$29+'Inputs'!$B$31+'Inputs'!$B$32,'Inputs'!$B$30+'Inputs'!$B$31+'Inputs'!$B$32)/1000+'Inputs'!$B$21))/SQRT((((249-43)*MAX('Inputs'!$B$33,'Inputs'!$B$29+'Inputs'!$B$31+'Inputs'!$B$32,'Inputs'!$B$30+'Inputs'!$B$31+'Inputs'!$B$32)/1000+'Inputs'!$B$21))^2+('Inputs'!$B$6/2)^2)))-'Results'!C7*(1-'Inputs'!$B$24)*(0.5*((((249-43)*MAX('Inputs'!$B$33,'Inputs'!$B$29+'Inputs'!$B$31+'Inputs'!$B$32,'Inputs'!$B$30+'Inputs'!$B$31+'Inputs'!$B$32)/1000+'Inputs'!$B$21+'Inputs'!$B$7+'Inputs'!$B$10)+'Inputs'!$B$9)/SQRT((((249-43)*MAX('Inputs'!$B$33,'Inputs'!$B$29+'Inputs'!$B$31+'Inputs'!$B$32,'Inputs'!$B$30+'Inputs'!$B$31+'Inputs'!$B$32)/1000+'Inputs'!$B$21+'Inputs'!$B$7+'Inputs'!$B$10)+'Inputs'!$B$9)^2+('Inputs'!$B$8/2)^2)-(((249-43)*MAX('Inputs'!$B$33,'Inputs'!$B$29+'Inputs'!$B$31+'Inputs'!$B$32,'Inputs'!$B$30+'Inputs'!$B$31+'Inputs'!$B$32)/1000+'Inputs'!$B$21+'Inputs'!$B$7+'Inputs'!$B$10))/SQRT((((249-43)*MAX('Inputs'!$B$33,'Inputs'!$B$29+'Inputs'!$B$31+'Inputs'!$B$32,'Inputs'!$B$30+'Inputs'!$B$31+'Inputs'!$B$32)/1000+'Inputs'!$B$21+'Inputs'!$B$7+'Inputs'!$B$10))^2+('Inputs'!$B$8/2)^2))))*'Results'!$B$8))),"")</x:f>
        <x:v>73.55166065323115</x:v>
      </x:c>
      <x:c r="M249" t="n">
        <x:f>IF(AND(ISNUMBER('Results'!C7),ISNUMBER('Results'!B7),ISNUMBER('Results'!$B$8),ISNUMBER('Inputs'!$B$6),ISNUMBER('Inputs'!$B$7),ISNUMBER('Inputs'!$B$8),ISNUMBER('Inputs'!$B$9),ISNUMBER('Inputs'!$B$10),ISNUMBER('Inputs'!$B$21),ISNUMBER('Inputs'!$B$24),ISNUMBER('Inputs'!$B$28)),(('Results'!C7*(0.5*((((249-43)*MAX('Inputs'!$B$33,'Inputs'!$B$29+'Inputs'!$B$31+'Inputs'!$B$32,'Inputs'!$B$30+'Inputs'!$B$31+'Inputs'!$B$32)/1000+'Inputs'!$B$21)+'Inputs'!$B$9)/SQRT((((249-43)*MAX('Inputs'!$B$33,'Inputs'!$B$29+'Inputs'!$B$31+'Inputs'!$B$32,'Inputs'!$B$30+'Inputs'!$B$31+'Inputs'!$B$32)/1000+'Inputs'!$B$21)+'Inputs'!$B$9)^2+('Inputs'!$B$8/2)^2)-(((249-43)*MAX('Inputs'!$B$33,'Inputs'!$B$29+'Inputs'!$B$31+'Inputs'!$B$32,'Inputs'!$B$30+'Inputs'!$B$31+'Inputs'!$B$32)/1000+'Inputs'!$B$21))/SQRT((((249-43)*MAX('Inputs'!$B$33,'Inputs'!$B$29+'Inputs'!$B$31+'Inputs'!$B$32,'Inputs'!$B$30+'Inputs'!$B$31+'Inputs'!$B$32)/1000+'Inputs'!$B$21))^2+('Inputs'!$B$8/2)^2)))-'Results'!B7*(0.5*((((249-43)*MAX('Inputs'!$B$33,'Inputs'!$B$29+'Inputs'!$B$31+'Inputs'!$B$32,'Inputs'!$B$30+'Inputs'!$B$31+'Inputs'!$B$32)/1000+'Inputs'!$B$21+'Inputs'!$B$9+'Inputs'!$B$10)+'Inputs'!$B$7)/SQRT((((249-43)*MAX('Inputs'!$B$33,'Inputs'!$B$29+'Inputs'!$B$31+'Inputs'!$B$32,'Inputs'!$B$30+'Inputs'!$B$31+'Inputs'!$B$32)/1000+'Inputs'!$B$21+'Inputs'!$B$9+'Inputs'!$B$10)+'Inputs'!$B$7)^2+('Inputs'!$B$6/2)^2)-(((249-43)*MAX('Inputs'!$B$33,'Inputs'!$B$29+'Inputs'!$B$31+'Inputs'!$B$32,'Inputs'!$B$30+'Inputs'!$B$31+'Inputs'!$B$32)/1000+'Inputs'!$B$21+'Inputs'!$B$9+'Inputs'!$B$10))/SQRT((((249-43)*MAX('Inputs'!$B$33,'Inputs'!$B$29+'Inputs'!$B$31+'Inputs'!$B$32,'Inputs'!$B$30+'Inputs'!$B$31+'Inputs'!$B$32)/1000+'Inputs'!$B$21+'Inputs'!$B$9+'Inputs'!$B$10))^2+('Inputs'!$B$6/2)^2))))*'Results'!$B$8),"")</x:f>
        <x:v>64.88260938482068</x:v>
      </x:c>
      <x:c r="N249" t="n">
        <x:f>IF(AND(ISNUMBER('Results'!C7),ISNUMBER('Results'!B7),ISNUMBER('Results'!$B$8),ISNUMBER('Inputs'!$B$6),ISNUMBER('Inputs'!$B$7),ISNUMBER('Inputs'!$B$8),ISNUMBER('Inputs'!$B$9),ISNUMBER('Inputs'!$B$10),ISNUMBER('Inputs'!$B$21),ISNUMBER('Inputs'!$B$24),ISNUMBER('Inputs'!$B$28)),((('Results'!C7*(1-'Inputs'!$B$24)*(0.5*((((249-43)*MAX('Inputs'!$B$33,'Inputs'!$B$29+'Inputs'!$B$31+'Inputs'!$B$32,'Inputs'!$B$30+'Inputs'!$B$31+'Inputs'!$B$32)/1000+'Inputs'!$B$21)+'Inputs'!$B$9)/SQRT((((249-43)*MAX('Inputs'!$B$33,'Inputs'!$B$29+'Inputs'!$B$31+'Inputs'!$B$32,'Inputs'!$B$30+'Inputs'!$B$31+'Inputs'!$B$32)/1000+'Inputs'!$B$21)+'Inputs'!$B$9)^2+('Inputs'!$B$8/2)^2)-(((249-43)*MAX('Inputs'!$B$33,'Inputs'!$B$29+'Inputs'!$B$31+'Inputs'!$B$32,'Inputs'!$B$30+'Inputs'!$B$31+'Inputs'!$B$32)/1000+'Inputs'!$B$21))/SQRT((((249-43)*MAX('Inputs'!$B$33,'Inputs'!$B$29+'Inputs'!$B$31+'Inputs'!$B$32,'Inputs'!$B$30+'Inputs'!$B$31+'Inputs'!$B$32)/1000+'Inputs'!$B$21))^2+('Inputs'!$B$8/2)^2)))-'Results'!B7*(1+'Inputs'!$B$24)*(0.5*((((249-43)*MAX('Inputs'!$B$33,'Inputs'!$B$29+'Inputs'!$B$31+'Inputs'!$B$32,'Inputs'!$B$30+'Inputs'!$B$31+'Inputs'!$B$32)/1000+'Inputs'!$B$21+'Inputs'!$B$9+'Inputs'!$B$10)+'Inputs'!$B$7)/SQRT((((249-43)*MAX('Inputs'!$B$33,'Inputs'!$B$29+'Inputs'!$B$31+'Inputs'!$B$32,'Inputs'!$B$30+'Inputs'!$B$31+'Inputs'!$B$32)/1000+'Inputs'!$B$21+'Inputs'!$B$9+'Inputs'!$B$10)+'Inputs'!$B$7)^2+('Inputs'!$B$6/2)^2)-(((249-43)*MAX('Inputs'!$B$33,'Inputs'!$B$29+'Inputs'!$B$31+'Inputs'!$B$32,'Inputs'!$B$30+'Inputs'!$B$31+'Inputs'!$B$32)/1000+'Inputs'!$B$21+'Inputs'!$B$9+'Inputs'!$B$10))/SQRT((((249-43)*MAX('Inputs'!$B$33,'Inputs'!$B$29+'Inputs'!$B$31+'Inputs'!$B$32,'Inputs'!$B$30+'Inputs'!$B$31+'Inputs'!$B$32)/1000+'Inputs'!$B$21+'Inputs'!$B$9+'Inputs'!$B$10))^2+('Inputs'!$B$6/2)^2))))*'Results'!$B$8)-'Inputs'!$B$28*ABS((('Results'!C7*(1-'Inputs'!$B$24)*(0.5*((((249-43)*MAX('Inputs'!$B$33,'Inputs'!$B$29+'Inputs'!$B$31+'Inputs'!$B$32,'Inputs'!$B$30+'Inputs'!$B$31+'Inputs'!$B$32)/1000+'Inputs'!$B$21)+'Inputs'!$B$9)/SQRT((((249-43)*MAX('Inputs'!$B$33,'Inputs'!$B$29+'Inputs'!$B$31+'Inputs'!$B$32,'Inputs'!$B$30+'Inputs'!$B$31+'Inputs'!$B$32)/1000+'Inputs'!$B$21)+'Inputs'!$B$9)^2+('Inputs'!$B$8/2)^2)-(((249-43)*MAX('Inputs'!$B$33,'Inputs'!$B$29+'Inputs'!$B$31+'Inputs'!$B$32,'Inputs'!$B$30+'Inputs'!$B$31+'Inputs'!$B$32)/1000+'Inputs'!$B$21))/SQRT((((249-43)*MAX('Inputs'!$B$33,'Inputs'!$B$29+'Inputs'!$B$31+'Inputs'!$B$32,'Inputs'!$B$30+'Inputs'!$B$31+'Inputs'!$B$32)/1000+'Inputs'!$B$21))^2+('Inputs'!$B$8/2)^2)))-'Results'!B7*(1+'Inputs'!$B$24)*(0.5*((((249-43)*MAX('Inputs'!$B$33,'Inputs'!$B$29+'Inputs'!$B$31+'Inputs'!$B$32,'Inputs'!$B$30+'Inputs'!$B$31+'Inputs'!$B$32)/1000+'Inputs'!$B$21+'Inputs'!$B$9+'Inputs'!$B$10)+'Inputs'!$B$7)/SQRT((((249-43)*MAX('Inputs'!$B$33,'Inputs'!$B$29+'Inputs'!$B$31+'Inputs'!$B$32,'Inputs'!$B$30+'Inputs'!$B$31+'Inputs'!$B$32)/1000+'Inputs'!$B$21+'Inputs'!$B$9+'Inputs'!$B$10)+'Inputs'!$B$7)^2+('Inputs'!$B$6/2)^2)-(((249-43)*MAX('Inputs'!$B$33,'Inputs'!$B$29+'Inputs'!$B$31+'Inputs'!$B$32,'Inputs'!$B$30+'Inputs'!$B$31+'Inputs'!$B$32)/1000+'Inputs'!$B$21+'Inputs'!$B$9+'Inputs'!$B$10))/SQRT((((249-43)*MAX('Inputs'!$B$33,'Inputs'!$B$29+'Inputs'!$B$31+'Inputs'!$B$32,'Inputs'!$B$30+'Inputs'!$B$31+'Inputs'!$B$32)/1000+'Inputs'!$B$21+'Inputs'!$B$9+'Inputs'!$B$10))^2+('Inputs'!$B$6/2)^2))))*'Results'!$B$8))),"")</x:f>
        <x:v>59.215699548765826</x:v>
      </x:c>
      <x:c r="O249" t="n">
        <x:f>IF(AND(ISNUMBER('Results'!C7),ISNUMBER('Results'!B7),ISNUMBER('Results'!$B$8),ISNUMBER('Inputs'!$B$6),ISNUMBER('Inputs'!$B$7),ISNUMBER('Inputs'!$B$8),ISNUMBER('Inputs'!$B$9),ISNUMBER('Inputs'!$B$10),ISNUMBER('Inputs'!$B$21),ISNUMBER('Inputs'!$B$24),ISNUMBER('Inputs'!$B$28)),((('Results'!C7*(1+'Inputs'!$B$24)*(0.5*((((249-43)*MAX('Inputs'!$B$33,'Inputs'!$B$29+'Inputs'!$B$31+'Inputs'!$B$32,'Inputs'!$B$30+'Inputs'!$B$31+'Inputs'!$B$32)/1000+'Inputs'!$B$21)+'Inputs'!$B$9)/SQRT((((249-43)*MAX('Inputs'!$B$33,'Inputs'!$B$29+'Inputs'!$B$31+'Inputs'!$B$32,'Inputs'!$B$30+'Inputs'!$B$31+'Inputs'!$B$32)/1000+'Inputs'!$B$21)+'Inputs'!$B$9)^2+('Inputs'!$B$8/2)^2)-(((249-43)*MAX('Inputs'!$B$33,'Inputs'!$B$29+'Inputs'!$B$31+'Inputs'!$B$32,'Inputs'!$B$30+'Inputs'!$B$31+'Inputs'!$B$32)/1000+'Inputs'!$B$21))/SQRT((((249-43)*MAX('Inputs'!$B$33,'Inputs'!$B$29+'Inputs'!$B$31+'Inputs'!$B$32,'Inputs'!$B$30+'Inputs'!$B$31+'Inputs'!$B$32)/1000+'Inputs'!$B$21))^2+('Inputs'!$B$8/2)^2)))-'Results'!B7*(1-'Inputs'!$B$24)*(0.5*((((249-43)*MAX('Inputs'!$B$33,'Inputs'!$B$29+'Inputs'!$B$31+'Inputs'!$B$32,'Inputs'!$B$30+'Inputs'!$B$31+'Inputs'!$B$32)/1000+'Inputs'!$B$21+'Inputs'!$B$9+'Inputs'!$B$10)+'Inputs'!$B$7)/SQRT((((249-43)*MAX('Inputs'!$B$33,'Inputs'!$B$29+'Inputs'!$B$31+'Inputs'!$B$32,'Inputs'!$B$30+'Inputs'!$B$31+'Inputs'!$B$32)/1000+'Inputs'!$B$21+'Inputs'!$B$9+'Inputs'!$B$10)+'Inputs'!$B$7)^2+('Inputs'!$B$6/2)^2)-(((249-43)*MAX('Inputs'!$B$33,'Inputs'!$B$29+'Inputs'!$B$31+'Inputs'!$B$32,'Inputs'!$B$30+'Inputs'!$B$31+'Inputs'!$B$32)/1000+'Inputs'!$B$21+'Inputs'!$B$9+'Inputs'!$B$10))/SQRT((((249-43)*MAX('Inputs'!$B$33,'Inputs'!$B$29+'Inputs'!$B$31+'Inputs'!$B$32,'Inputs'!$B$30+'Inputs'!$B$31+'Inputs'!$B$32)/1000+'Inputs'!$B$21+'Inputs'!$B$9+'Inputs'!$B$10))^2+('Inputs'!$B$6/2)^2))))*'Results'!$B$8)+'Inputs'!$B$28*ABS((('Results'!C7*(1+'Inputs'!$B$24)*(0.5*((((249-43)*MAX('Inputs'!$B$33,'Inputs'!$B$29+'Inputs'!$B$31+'Inputs'!$B$32,'Inputs'!$B$30+'Inputs'!$B$31+'Inputs'!$B$32)/1000+'Inputs'!$B$21)+'Inputs'!$B$9)/SQRT((((249-43)*MAX('Inputs'!$B$33,'Inputs'!$B$29+'Inputs'!$B$31+'Inputs'!$B$32,'Inputs'!$B$30+'Inputs'!$B$31+'Inputs'!$B$32)/1000+'Inputs'!$B$21)+'Inputs'!$B$9)^2+('Inputs'!$B$8/2)^2)-(((249-43)*MAX('Inputs'!$B$33,'Inputs'!$B$29+'Inputs'!$B$31+'Inputs'!$B$32,'Inputs'!$B$30+'Inputs'!$B$31+'Inputs'!$B$32)/1000+'Inputs'!$B$21))/SQRT((((249-43)*MAX('Inputs'!$B$33,'Inputs'!$B$29+'Inputs'!$B$31+'Inputs'!$B$32,'Inputs'!$B$30+'Inputs'!$B$31+'Inputs'!$B$32)/1000+'Inputs'!$B$21))^2+('Inputs'!$B$8/2)^2)))-'Results'!B7*(1-'Inputs'!$B$24)*(0.5*((((249-43)*MAX('Inputs'!$B$33,'Inputs'!$B$29+'Inputs'!$B$31+'Inputs'!$B$32,'Inputs'!$B$30+'Inputs'!$B$31+'Inputs'!$B$32)/1000+'Inputs'!$B$21+'Inputs'!$B$9+'Inputs'!$B$10)+'Inputs'!$B$7)/SQRT((((249-43)*MAX('Inputs'!$B$33,'Inputs'!$B$29+'Inputs'!$B$31+'Inputs'!$B$32,'Inputs'!$B$30+'Inputs'!$B$31+'Inputs'!$B$32)/1000+'Inputs'!$B$21+'Inputs'!$B$9+'Inputs'!$B$10)+'Inputs'!$B$7)^2+('Inputs'!$B$6/2)^2)-(((249-43)*MAX('Inputs'!$B$33,'Inputs'!$B$29+'Inputs'!$B$31+'Inputs'!$B$32,'Inputs'!$B$30+'Inputs'!$B$31+'Inputs'!$B$32)/1000+'Inputs'!$B$21+'Inputs'!$B$9+'Inputs'!$B$10))/SQRT((((249-43)*MAX('Inputs'!$B$33,'Inputs'!$B$29+'Inputs'!$B$31+'Inputs'!$B$32,'Inputs'!$B$30+'Inputs'!$B$31+'Inputs'!$B$32)/1000+'Inputs'!$B$21+'Inputs'!$B$9+'Inputs'!$B$10))^2+('Inputs'!$B$6/2)^2))))*'Results'!$B$8))),"")</x:f>
        <x:v>70.80454862790855</x:v>
      </x:c>
      <x:c r="P249" t="n">
        <x:f>IF(AND(MAX(J249,J248)&gt;0,J249&gt;J248+0.00000001),1,0)</x:f>
        <x:v>0</x:v>
      </x:c>
      <x:c r="Q249" t="n">
        <x:f>IF(AND(MAX(K249,K248)&gt;0,K249&gt;K248+0.00000001),1,0)</x:f>
        <x:v>0</x:v>
      </x:c>
      <x:c r="R249" t="n">
        <x:f>IF(AND(MAX(L249,L248)&gt;0,L249&gt;L248+0.00000001),1,0)</x:f>
        <x:v>0</x:v>
      </x:c>
      <x:c r="S249" t="n">
        <x:f>IF(AND(MAX(M249,M248)&gt;0,M249&gt;M248+0.00000001),1,0)</x:f>
        <x:v>0</x:v>
      </x:c>
      <x:c r="T249" t="n">
        <x:f>IF(AND(MAX(N249,N248)&gt;0,N249&gt;N248+0.00000001),1,0)</x:f>
        <x:v>0</x:v>
      </x:c>
      <x:c r="U249" t="n">
        <x:f>IF(AND(MAX(O249,O248)&gt;0,O249&gt;O248+0.00000001),1,0)</x:f>
        <x:v>0</x:v>
      </x:c>
    </x:row>
    <x:row r="250">
      <x:c r="J250" t="n">
        <x:f>IF(AND(ISNUMBER('Results'!B7),ISNUMBER('Results'!C7),ISNUMBER('Results'!$B$8),ISNUMBER('Inputs'!$B$6),ISNUMBER('Inputs'!$B$7),ISNUMBER('Inputs'!$B$8),ISNUMBER('Inputs'!$B$9),ISNUMBER('Inputs'!$B$10),ISNUMBER('Inputs'!$B$21),ISNUMBER('Inputs'!$B$24),ISNUMBER('Inputs'!$B$28)),(('Results'!B7*(0.5*((((250-43)*MAX('Inputs'!$B$33,'Inputs'!$B$29+'Inputs'!$B$31+'Inputs'!$B$32,'Inputs'!$B$30+'Inputs'!$B$31+'Inputs'!$B$32)/1000+'Inputs'!$B$21)+'Inputs'!$B$7)/SQRT((((250-43)*MAX('Inputs'!$B$33,'Inputs'!$B$29+'Inputs'!$B$31+'Inputs'!$B$32,'Inputs'!$B$30+'Inputs'!$B$31+'Inputs'!$B$32)/1000+'Inputs'!$B$21)+'Inputs'!$B$7)^2+('Inputs'!$B$6/2)^2)-(((250-43)*MAX('Inputs'!$B$33,'Inputs'!$B$29+'Inputs'!$B$31+'Inputs'!$B$32,'Inputs'!$B$30+'Inputs'!$B$31+'Inputs'!$B$32)/1000+'Inputs'!$B$21))/SQRT((((250-43)*MAX('Inputs'!$B$33,'Inputs'!$B$29+'Inputs'!$B$31+'Inputs'!$B$32,'Inputs'!$B$30+'Inputs'!$B$31+'Inputs'!$B$32)/1000+'Inputs'!$B$21))^2+('Inputs'!$B$6/2)^2)))-'Results'!C7*(0.5*((((250-43)*MAX('Inputs'!$B$33,'Inputs'!$B$29+'Inputs'!$B$31+'Inputs'!$B$32,'Inputs'!$B$30+'Inputs'!$B$31+'Inputs'!$B$32)/1000+'Inputs'!$B$21+'Inputs'!$B$7+'Inputs'!$B$10)+'Inputs'!$B$9)/SQRT((((250-43)*MAX('Inputs'!$B$33,'Inputs'!$B$29+'Inputs'!$B$31+'Inputs'!$B$32,'Inputs'!$B$30+'Inputs'!$B$31+'Inputs'!$B$32)/1000+'Inputs'!$B$21+'Inputs'!$B$7+'Inputs'!$B$10)+'Inputs'!$B$9)^2+('Inputs'!$B$8/2)^2)-(((250-43)*MAX('Inputs'!$B$33,'Inputs'!$B$29+'Inputs'!$B$31+'Inputs'!$B$32,'Inputs'!$B$30+'Inputs'!$B$31+'Inputs'!$B$32)/1000+'Inputs'!$B$21+'Inputs'!$B$7+'Inputs'!$B$10))/SQRT((((250-43)*MAX('Inputs'!$B$33,'Inputs'!$B$29+'Inputs'!$B$31+'Inputs'!$B$32,'Inputs'!$B$30+'Inputs'!$B$31+'Inputs'!$B$32)/1000+'Inputs'!$B$21+'Inputs'!$B$7+'Inputs'!$B$10))^2+('Inputs'!$B$8/2)^2))))*'Results'!$B$8),"")</x:f>
        <x:v>66.5687836557461</x:v>
      </x:c>
      <x:c r="K250" t="n">
        <x:f>IF(AND(ISNUMBER('Results'!B7),ISNUMBER('Results'!C7),ISNUMBER('Results'!$B$8),ISNUMBER('Inputs'!$B$6),ISNUMBER('Inputs'!$B$7),ISNUMBER('Inputs'!$B$8),ISNUMBER('Inputs'!$B$9),ISNUMBER('Inputs'!$B$10),ISNUMBER('Inputs'!$B$21),ISNUMBER('Inputs'!$B$24),ISNUMBER('Inputs'!$B$28)),((('Results'!B7*(1-'Inputs'!$B$24)*(0.5*((((250-43)*MAX('Inputs'!$B$33,'Inputs'!$B$29+'Inputs'!$B$31+'Inputs'!$B$32,'Inputs'!$B$30+'Inputs'!$B$31+'Inputs'!$B$32)/1000+'Inputs'!$B$21)+'Inputs'!$B$7)/SQRT((((250-43)*MAX('Inputs'!$B$33,'Inputs'!$B$29+'Inputs'!$B$31+'Inputs'!$B$32,'Inputs'!$B$30+'Inputs'!$B$31+'Inputs'!$B$32)/1000+'Inputs'!$B$21)+'Inputs'!$B$7)^2+('Inputs'!$B$6/2)^2)-(((250-43)*MAX('Inputs'!$B$33,'Inputs'!$B$29+'Inputs'!$B$31+'Inputs'!$B$32,'Inputs'!$B$30+'Inputs'!$B$31+'Inputs'!$B$32)/1000+'Inputs'!$B$21))/SQRT((((250-43)*MAX('Inputs'!$B$33,'Inputs'!$B$29+'Inputs'!$B$31+'Inputs'!$B$32,'Inputs'!$B$30+'Inputs'!$B$31+'Inputs'!$B$32)/1000+'Inputs'!$B$21))^2+('Inputs'!$B$6/2)^2)))-'Results'!C7*(1+'Inputs'!$B$24)*(0.5*((((250-43)*MAX('Inputs'!$B$33,'Inputs'!$B$29+'Inputs'!$B$31+'Inputs'!$B$32,'Inputs'!$B$30+'Inputs'!$B$31+'Inputs'!$B$32)/1000+'Inputs'!$B$21+'Inputs'!$B$7+'Inputs'!$B$10)+'Inputs'!$B$9)/SQRT((((250-43)*MAX('Inputs'!$B$33,'Inputs'!$B$29+'Inputs'!$B$31+'Inputs'!$B$32,'Inputs'!$B$30+'Inputs'!$B$31+'Inputs'!$B$32)/1000+'Inputs'!$B$21+'Inputs'!$B$7+'Inputs'!$B$10)+'Inputs'!$B$9)^2+('Inputs'!$B$8/2)^2)-(((250-43)*MAX('Inputs'!$B$33,'Inputs'!$B$29+'Inputs'!$B$31+'Inputs'!$B$32,'Inputs'!$B$30+'Inputs'!$B$31+'Inputs'!$B$32)/1000+'Inputs'!$B$21+'Inputs'!$B$7+'Inputs'!$B$10))/SQRT((((250-43)*MAX('Inputs'!$B$33,'Inputs'!$B$29+'Inputs'!$B$31+'Inputs'!$B$32,'Inputs'!$B$30+'Inputs'!$B$31+'Inputs'!$B$32)/1000+'Inputs'!$B$21+'Inputs'!$B$7+'Inputs'!$B$10))^2+('Inputs'!$B$8/2)^2))))*'Results'!$B$8)-'Inputs'!$B$28*ABS((('Results'!B7*(1-'Inputs'!$B$24)*(0.5*((((250-43)*MAX('Inputs'!$B$33,'Inputs'!$B$29+'Inputs'!$B$31+'Inputs'!$B$32,'Inputs'!$B$30+'Inputs'!$B$31+'Inputs'!$B$32)/1000+'Inputs'!$B$21)+'Inputs'!$B$7)/SQRT((((250-43)*MAX('Inputs'!$B$33,'Inputs'!$B$29+'Inputs'!$B$31+'Inputs'!$B$32,'Inputs'!$B$30+'Inputs'!$B$31+'Inputs'!$B$32)/1000+'Inputs'!$B$21)+'Inputs'!$B$7)^2+('Inputs'!$B$6/2)^2)-(((250-43)*MAX('Inputs'!$B$33,'Inputs'!$B$29+'Inputs'!$B$31+'Inputs'!$B$32,'Inputs'!$B$30+'Inputs'!$B$31+'Inputs'!$B$32)/1000+'Inputs'!$B$21))/SQRT((((250-43)*MAX('Inputs'!$B$33,'Inputs'!$B$29+'Inputs'!$B$31+'Inputs'!$B$32,'Inputs'!$B$30+'Inputs'!$B$31+'Inputs'!$B$32)/1000+'Inputs'!$B$21))^2+('Inputs'!$B$6/2)^2)))-'Results'!C7*(1+'Inputs'!$B$24)*(0.5*((((250-43)*MAX('Inputs'!$B$33,'Inputs'!$B$29+'Inputs'!$B$31+'Inputs'!$B$32,'Inputs'!$B$30+'Inputs'!$B$31+'Inputs'!$B$32)/1000+'Inputs'!$B$21+'Inputs'!$B$7+'Inputs'!$B$10)+'Inputs'!$B$9)/SQRT((((250-43)*MAX('Inputs'!$B$33,'Inputs'!$B$29+'Inputs'!$B$31+'Inputs'!$B$32,'Inputs'!$B$30+'Inputs'!$B$31+'Inputs'!$B$32)/1000+'Inputs'!$B$21+'Inputs'!$B$7+'Inputs'!$B$10)+'Inputs'!$B$9)^2+('Inputs'!$B$8/2)^2)-(((250-43)*MAX('Inputs'!$B$33,'Inputs'!$B$29+'Inputs'!$B$31+'Inputs'!$B$32,'Inputs'!$B$30+'Inputs'!$B$31+'Inputs'!$B$32)/1000+'Inputs'!$B$21+'Inputs'!$B$7+'Inputs'!$B$10))/SQRT((((250-43)*MAX('Inputs'!$B$33,'Inputs'!$B$29+'Inputs'!$B$31+'Inputs'!$B$32,'Inputs'!$B$30+'Inputs'!$B$31+'Inputs'!$B$32)/1000+'Inputs'!$B$21+'Inputs'!$B$7+'Inputs'!$B$10))^2+('Inputs'!$B$8/2)^2))))*'Results'!$B$8))),"")</x:f>
        <x:v>60.819055376144796</x:v>
      </x:c>
      <x:c r="L250" t="n">
        <x:f>IF(AND(ISNUMBER('Results'!B7),ISNUMBER('Results'!C7),ISNUMBER('Results'!$B$8),ISNUMBER('Inputs'!$B$6),ISNUMBER('Inputs'!$B$7),ISNUMBER('Inputs'!$B$8),ISNUMBER('Inputs'!$B$9),ISNUMBER('Inputs'!$B$10),ISNUMBER('Inputs'!$B$21),ISNUMBER('Inputs'!$B$24),ISNUMBER('Inputs'!$B$28)),((('Results'!B7*(1+'Inputs'!$B$24)*(0.5*((((250-43)*MAX('Inputs'!$B$33,'Inputs'!$B$29+'Inputs'!$B$31+'Inputs'!$B$32,'Inputs'!$B$30+'Inputs'!$B$31+'Inputs'!$B$32)/1000+'Inputs'!$B$21)+'Inputs'!$B$7)/SQRT((((250-43)*MAX('Inputs'!$B$33,'Inputs'!$B$29+'Inputs'!$B$31+'Inputs'!$B$32,'Inputs'!$B$30+'Inputs'!$B$31+'Inputs'!$B$32)/1000+'Inputs'!$B$21)+'Inputs'!$B$7)^2+('Inputs'!$B$6/2)^2)-(((250-43)*MAX('Inputs'!$B$33,'Inputs'!$B$29+'Inputs'!$B$31+'Inputs'!$B$32,'Inputs'!$B$30+'Inputs'!$B$31+'Inputs'!$B$32)/1000+'Inputs'!$B$21))/SQRT((((250-43)*MAX('Inputs'!$B$33,'Inputs'!$B$29+'Inputs'!$B$31+'Inputs'!$B$32,'Inputs'!$B$30+'Inputs'!$B$31+'Inputs'!$B$32)/1000+'Inputs'!$B$21))^2+('Inputs'!$B$6/2)^2)))-'Results'!C7*(1-'Inputs'!$B$24)*(0.5*((((250-43)*MAX('Inputs'!$B$33,'Inputs'!$B$29+'Inputs'!$B$31+'Inputs'!$B$32,'Inputs'!$B$30+'Inputs'!$B$31+'Inputs'!$B$32)/1000+'Inputs'!$B$21+'Inputs'!$B$7+'Inputs'!$B$10)+'Inputs'!$B$9)/SQRT((((250-43)*MAX('Inputs'!$B$33,'Inputs'!$B$29+'Inputs'!$B$31+'Inputs'!$B$32,'Inputs'!$B$30+'Inputs'!$B$31+'Inputs'!$B$32)/1000+'Inputs'!$B$21+'Inputs'!$B$7+'Inputs'!$B$10)+'Inputs'!$B$9)^2+('Inputs'!$B$8/2)^2)-(((250-43)*MAX('Inputs'!$B$33,'Inputs'!$B$29+'Inputs'!$B$31+'Inputs'!$B$32,'Inputs'!$B$30+'Inputs'!$B$31+'Inputs'!$B$32)/1000+'Inputs'!$B$21+'Inputs'!$B$7+'Inputs'!$B$10))/SQRT((((250-43)*MAX('Inputs'!$B$33,'Inputs'!$B$29+'Inputs'!$B$31+'Inputs'!$B$32,'Inputs'!$B$30+'Inputs'!$B$31+'Inputs'!$B$32)/1000+'Inputs'!$B$21+'Inputs'!$B$7+'Inputs'!$B$10))^2+('Inputs'!$B$8/2)^2))))*'Results'!$B$8)+'Inputs'!$B$28*ABS((('Results'!B7*(1+'Inputs'!$B$24)*(0.5*((((250-43)*MAX('Inputs'!$B$33,'Inputs'!$B$29+'Inputs'!$B$31+'Inputs'!$B$32,'Inputs'!$B$30+'Inputs'!$B$31+'Inputs'!$B$32)/1000+'Inputs'!$B$21)+'Inputs'!$B$7)/SQRT((((250-43)*MAX('Inputs'!$B$33,'Inputs'!$B$29+'Inputs'!$B$31+'Inputs'!$B$32,'Inputs'!$B$30+'Inputs'!$B$31+'Inputs'!$B$32)/1000+'Inputs'!$B$21)+'Inputs'!$B$7)^2+('Inputs'!$B$6/2)^2)-(((250-43)*MAX('Inputs'!$B$33,'Inputs'!$B$29+'Inputs'!$B$31+'Inputs'!$B$32,'Inputs'!$B$30+'Inputs'!$B$31+'Inputs'!$B$32)/1000+'Inputs'!$B$21))/SQRT((((250-43)*MAX('Inputs'!$B$33,'Inputs'!$B$29+'Inputs'!$B$31+'Inputs'!$B$32,'Inputs'!$B$30+'Inputs'!$B$31+'Inputs'!$B$32)/1000+'Inputs'!$B$21))^2+('Inputs'!$B$6/2)^2)))-'Results'!C7*(1-'Inputs'!$B$24)*(0.5*((((250-43)*MAX('Inputs'!$B$33,'Inputs'!$B$29+'Inputs'!$B$31+'Inputs'!$B$32,'Inputs'!$B$30+'Inputs'!$B$31+'Inputs'!$B$32)/1000+'Inputs'!$B$21+'Inputs'!$B$7+'Inputs'!$B$10)+'Inputs'!$B$9)/SQRT((((250-43)*MAX('Inputs'!$B$33,'Inputs'!$B$29+'Inputs'!$B$31+'Inputs'!$B$32,'Inputs'!$B$30+'Inputs'!$B$31+'Inputs'!$B$32)/1000+'Inputs'!$B$21+'Inputs'!$B$7+'Inputs'!$B$10)+'Inputs'!$B$9)^2+('Inputs'!$B$8/2)^2)-(((250-43)*MAX('Inputs'!$B$33,'Inputs'!$B$29+'Inputs'!$B$31+'Inputs'!$B$32,'Inputs'!$B$30+'Inputs'!$B$31+'Inputs'!$B$32)/1000+'Inputs'!$B$21+'Inputs'!$B$7+'Inputs'!$B$10))/SQRT((((250-43)*MAX('Inputs'!$B$33,'Inputs'!$B$29+'Inputs'!$B$31+'Inputs'!$B$32,'Inputs'!$B$30+'Inputs'!$B$31+'Inputs'!$B$32)/1000+'Inputs'!$B$21+'Inputs'!$B$7+'Inputs'!$B$10))^2+('Inputs'!$B$8/2)^2))))*'Results'!$B$8))),"")</x:f>
        <x:v>72.57338447185417</x:v>
      </x:c>
      <x:c r="M250" t="n">
        <x:f>IF(AND(ISNUMBER('Results'!C7),ISNUMBER('Results'!B7),ISNUMBER('Results'!$B$8),ISNUMBER('Inputs'!$B$6),ISNUMBER('Inputs'!$B$7),ISNUMBER('Inputs'!$B$8),ISNUMBER('Inputs'!$B$9),ISNUMBER('Inputs'!$B$10),ISNUMBER('Inputs'!$B$21),ISNUMBER('Inputs'!$B$24),ISNUMBER('Inputs'!$B$28)),(('Results'!C7*(0.5*((((250-43)*MAX('Inputs'!$B$33,'Inputs'!$B$29+'Inputs'!$B$31+'Inputs'!$B$32,'Inputs'!$B$30+'Inputs'!$B$31+'Inputs'!$B$32)/1000+'Inputs'!$B$21)+'Inputs'!$B$9)/SQRT((((250-43)*MAX('Inputs'!$B$33,'Inputs'!$B$29+'Inputs'!$B$31+'Inputs'!$B$32,'Inputs'!$B$30+'Inputs'!$B$31+'Inputs'!$B$32)/1000+'Inputs'!$B$21)+'Inputs'!$B$9)^2+('Inputs'!$B$8/2)^2)-(((250-43)*MAX('Inputs'!$B$33,'Inputs'!$B$29+'Inputs'!$B$31+'Inputs'!$B$32,'Inputs'!$B$30+'Inputs'!$B$31+'Inputs'!$B$32)/1000+'Inputs'!$B$21))/SQRT((((250-43)*MAX('Inputs'!$B$33,'Inputs'!$B$29+'Inputs'!$B$31+'Inputs'!$B$32,'Inputs'!$B$30+'Inputs'!$B$31+'Inputs'!$B$32)/1000+'Inputs'!$B$21))^2+('Inputs'!$B$8/2)^2)))-'Results'!B7*(0.5*((((250-43)*MAX('Inputs'!$B$33,'Inputs'!$B$29+'Inputs'!$B$31+'Inputs'!$B$32,'Inputs'!$B$30+'Inputs'!$B$31+'Inputs'!$B$32)/1000+'Inputs'!$B$21+'Inputs'!$B$9+'Inputs'!$B$10)+'Inputs'!$B$7)/SQRT((((250-43)*MAX('Inputs'!$B$33,'Inputs'!$B$29+'Inputs'!$B$31+'Inputs'!$B$32,'Inputs'!$B$30+'Inputs'!$B$31+'Inputs'!$B$32)/1000+'Inputs'!$B$21+'Inputs'!$B$9+'Inputs'!$B$10)+'Inputs'!$B$7)^2+('Inputs'!$B$6/2)^2)-(((250-43)*MAX('Inputs'!$B$33,'Inputs'!$B$29+'Inputs'!$B$31+'Inputs'!$B$32,'Inputs'!$B$30+'Inputs'!$B$31+'Inputs'!$B$32)/1000+'Inputs'!$B$21+'Inputs'!$B$9+'Inputs'!$B$10))/SQRT((((250-43)*MAX('Inputs'!$B$33,'Inputs'!$B$29+'Inputs'!$B$31+'Inputs'!$B$32,'Inputs'!$B$30+'Inputs'!$B$31+'Inputs'!$B$32)/1000+'Inputs'!$B$21+'Inputs'!$B$9+'Inputs'!$B$10))^2+('Inputs'!$B$6/2)^2))))*'Results'!$B$8),"")</x:f>
        <x:v>64.00763635504657</x:v>
      </x:c>
      <x:c r="N250" t="n">
        <x:f>IF(AND(ISNUMBER('Results'!C7),ISNUMBER('Results'!B7),ISNUMBER('Results'!$B$8),ISNUMBER('Inputs'!$B$6),ISNUMBER('Inputs'!$B$7),ISNUMBER('Inputs'!$B$8),ISNUMBER('Inputs'!$B$9),ISNUMBER('Inputs'!$B$10),ISNUMBER('Inputs'!$B$21),ISNUMBER('Inputs'!$B$24),ISNUMBER('Inputs'!$B$28)),((('Results'!C7*(1-'Inputs'!$B$24)*(0.5*((((250-43)*MAX('Inputs'!$B$33,'Inputs'!$B$29+'Inputs'!$B$31+'Inputs'!$B$32,'Inputs'!$B$30+'Inputs'!$B$31+'Inputs'!$B$32)/1000+'Inputs'!$B$21)+'Inputs'!$B$9)/SQRT((((250-43)*MAX('Inputs'!$B$33,'Inputs'!$B$29+'Inputs'!$B$31+'Inputs'!$B$32,'Inputs'!$B$30+'Inputs'!$B$31+'Inputs'!$B$32)/1000+'Inputs'!$B$21)+'Inputs'!$B$9)^2+('Inputs'!$B$8/2)^2)-(((250-43)*MAX('Inputs'!$B$33,'Inputs'!$B$29+'Inputs'!$B$31+'Inputs'!$B$32,'Inputs'!$B$30+'Inputs'!$B$31+'Inputs'!$B$32)/1000+'Inputs'!$B$21))/SQRT((((250-43)*MAX('Inputs'!$B$33,'Inputs'!$B$29+'Inputs'!$B$31+'Inputs'!$B$32,'Inputs'!$B$30+'Inputs'!$B$31+'Inputs'!$B$32)/1000+'Inputs'!$B$21))^2+('Inputs'!$B$8/2)^2)))-'Results'!B7*(1+'Inputs'!$B$24)*(0.5*((((250-43)*MAX('Inputs'!$B$33,'Inputs'!$B$29+'Inputs'!$B$31+'Inputs'!$B$32,'Inputs'!$B$30+'Inputs'!$B$31+'Inputs'!$B$32)/1000+'Inputs'!$B$21+'Inputs'!$B$9+'Inputs'!$B$10)+'Inputs'!$B$7)/SQRT((((250-43)*MAX('Inputs'!$B$33,'Inputs'!$B$29+'Inputs'!$B$31+'Inputs'!$B$32,'Inputs'!$B$30+'Inputs'!$B$31+'Inputs'!$B$32)/1000+'Inputs'!$B$21+'Inputs'!$B$9+'Inputs'!$B$10)+'Inputs'!$B$7)^2+('Inputs'!$B$6/2)^2)-(((250-43)*MAX('Inputs'!$B$33,'Inputs'!$B$29+'Inputs'!$B$31+'Inputs'!$B$32,'Inputs'!$B$30+'Inputs'!$B$31+'Inputs'!$B$32)/1000+'Inputs'!$B$21+'Inputs'!$B$9+'Inputs'!$B$10))/SQRT((((250-43)*MAX('Inputs'!$B$33,'Inputs'!$B$29+'Inputs'!$B$31+'Inputs'!$B$32,'Inputs'!$B$30+'Inputs'!$B$31+'Inputs'!$B$32)/1000+'Inputs'!$B$21+'Inputs'!$B$9+'Inputs'!$B$10))^2+('Inputs'!$B$6/2)^2))))*'Results'!$B$8)-'Inputs'!$B$28*ABS((('Results'!C7*(1-'Inputs'!$B$24)*(0.5*((((250-43)*MAX('Inputs'!$B$33,'Inputs'!$B$29+'Inputs'!$B$31+'Inputs'!$B$32,'Inputs'!$B$30+'Inputs'!$B$31+'Inputs'!$B$32)/1000+'Inputs'!$B$21)+'Inputs'!$B$9)/SQRT((((250-43)*MAX('Inputs'!$B$33,'Inputs'!$B$29+'Inputs'!$B$31+'Inputs'!$B$32,'Inputs'!$B$30+'Inputs'!$B$31+'Inputs'!$B$32)/1000+'Inputs'!$B$21)+'Inputs'!$B$9)^2+('Inputs'!$B$8/2)^2)-(((250-43)*MAX('Inputs'!$B$33,'Inputs'!$B$29+'Inputs'!$B$31+'Inputs'!$B$32,'Inputs'!$B$30+'Inputs'!$B$31+'Inputs'!$B$32)/1000+'Inputs'!$B$21))/SQRT((((250-43)*MAX('Inputs'!$B$33,'Inputs'!$B$29+'Inputs'!$B$31+'Inputs'!$B$32,'Inputs'!$B$30+'Inputs'!$B$31+'Inputs'!$B$32)/1000+'Inputs'!$B$21))^2+('Inputs'!$B$8/2)^2)))-'Results'!B7*(1+'Inputs'!$B$24)*(0.5*((((250-43)*MAX('Inputs'!$B$33,'Inputs'!$B$29+'Inputs'!$B$31+'Inputs'!$B$32,'Inputs'!$B$30+'Inputs'!$B$31+'Inputs'!$B$32)/1000+'Inputs'!$B$21+'Inputs'!$B$9+'Inputs'!$B$10)+'Inputs'!$B$7)/SQRT((((250-43)*MAX('Inputs'!$B$33,'Inputs'!$B$29+'Inputs'!$B$31+'Inputs'!$B$32,'Inputs'!$B$30+'Inputs'!$B$31+'Inputs'!$B$32)/1000+'Inputs'!$B$21+'Inputs'!$B$9+'Inputs'!$B$10)+'Inputs'!$B$7)^2+('Inputs'!$B$6/2)^2)-(((250-43)*MAX('Inputs'!$B$33,'Inputs'!$B$29+'Inputs'!$B$31+'Inputs'!$B$32,'Inputs'!$B$30+'Inputs'!$B$31+'Inputs'!$B$32)/1000+'Inputs'!$B$21+'Inputs'!$B$9+'Inputs'!$B$10))/SQRT((((250-43)*MAX('Inputs'!$B$33,'Inputs'!$B$29+'Inputs'!$B$31+'Inputs'!$B$32,'Inputs'!$B$30+'Inputs'!$B$31+'Inputs'!$B$32)/1000+'Inputs'!$B$21+'Inputs'!$B$9+'Inputs'!$B$10))^2+('Inputs'!$B$6/2)^2))))*'Results'!$B$8))),"")</x:f>
        <x:v>58.41102556149239</x:v>
      </x:c>
      <x:c r="O250" t="n">
        <x:f>IF(AND(ISNUMBER('Results'!C7),ISNUMBER('Results'!B7),ISNUMBER('Results'!$B$8),ISNUMBER('Inputs'!$B$6),ISNUMBER('Inputs'!$B$7),ISNUMBER('Inputs'!$B$8),ISNUMBER('Inputs'!$B$9),ISNUMBER('Inputs'!$B$10),ISNUMBER('Inputs'!$B$21),ISNUMBER('Inputs'!$B$24),ISNUMBER('Inputs'!$B$28)),((('Results'!C7*(1+'Inputs'!$B$24)*(0.5*((((250-43)*MAX('Inputs'!$B$33,'Inputs'!$B$29+'Inputs'!$B$31+'Inputs'!$B$32,'Inputs'!$B$30+'Inputs'!$B$31+'Inputs'!$B$32)/1000+'Inputs'!$B$21)+'Inputs'!$B$9)/SQRT((((250-43)*MAX('Inputs'!$B$33,'Inputs'!$B$29+'Inputs'!$B$31+'Inputs'!$B$32,'Inputs'!$B$30+'Inputs'!$B$31+'Inputs'!$B$32)/1000+'Inputs'!$B$21)+'Inputs'!$B$9)^2+('Inputs'!$B$8/2)^2)-(((250-43)*MAX('Inputs'!$B$33,'Inputs'!$B$29+'Inputs'!$B$31+'Inputs'!$B$32,'Inputs'!$B$30+'Inputs'!$B$31+'Inputs'!$B$32)/1000+'Inputs'!$B$21))/SQRT((((250-43)*MAX('Inputs'!$B$33,'Inputs'!$B$29+'Inputs'!$B$31+'Inputs'!$B$32,'Inputs'!$B$30+'Inputs'!$B$31+'Inputs'!$B$32)/1000+'Inputs'!$B$21))^2+('Inputs'!$B$8/2)^2)))-'Results'!B7*(1-'Inputs'!$B$24)*(0.5*((((250-43)*MAX('Inputs'!$B$33,'Inputs'!$B$29+'Inputs'!$B$31+'Inputs'!$B$32,'Inputs'!$B$30+'Inputs'!$B$31+'Inputs'!$B$32)/1000+'Inputs'!$B$21+'Inputs'!$B$9+'Inputs'!$B$10)+'Inputs'!$B$7)/SQRT((((250-43)*MAX('Inputs'!$B$33,'Inputs'!$B$29+'Inputs'!$B$31+'Inputs'!$B$32,'Inputs'!$B$30+'Inputs'!$B$31+'Inputs'!$B$32)/1000+'Inputs'!$B$21+'Inputs'!$B$9+'Inputs'!$B$10)+'Inputs'!$B$7)^2+('Inputs'!$B$6/2)^2)-(((250-43)*MAX('Inputs'!$B$33,'Inputs'!$B$29+'Inputs'!$B$31+'Inputs'!$B$32,'Inputs'!$B$30+'Inputs'!$B$31+'Inputs'!$B$32)/1000+'Inputs'!$B$21+'Inputs'!$B$9+'Inputs'!$B$10))/SQRT((((250-43)*MAX('Inputs'!$B$33,'Inputs'!$B$29+'Inputs'!$B$31+'Inputs'!$B$32,'Inputs'!$B$30+'Inputs'!$B$31+'Inputs'!$B$32)/1000+'Inputs'!$B$21+'Inputs'!$B$9+'Inputs'!$B$10))^2+('Inputs'!$B$6/2)^2))))*'Results'!$B$8)+'Inputs'!$B$28*ABS((('Results'!C7*(1+'Inputs'!$B$24)*(0.5*((((250-43)*MAX('Inputs'!$B$33,'Inputs'!$B$29+'Inputs'!$B$31+'Inputs'!$B$32,'Inputs'!$B$30+'Inputs'!$B$31+'Inputs'!$B$32)/1000+'Inputs'!$B$21)+'Inputs'!$B$9)/SQRT((((250-43)*MAX('Inputs'!$B$33,'Inputs'!$B$29+'Inputs'!$B$31+'Inputs'!$B$32,'Inputs'!$B$30+'Inputs'!$B$31+'Inputs'!$B$32)/1000+'Inputs'!$B$21)+'Inputs'!$B$9)^2+('Inputs'!$B$8/2)^2)-(((250-43)*MAX('Inputs'!$B$33,'Inputs'!$B$29+'Inputs'!$B$31+'Inputs'!$B$32,'Inputs'!$B$30+'Inputs'!$B$31+'Inputs'!$B$32)/1000+'Inputs'!$B$21))/SQRT((((250-43)*MAX('Inputs'!$B$33,'Inputs'!$B$29+'Inputs'!$B$31+'Inputs'!$B$32,'Inputs'!$B$30+'Inputs'!$B$31+'Inputs'!$B$32)/1000+'Inputs'!$B$21))^2+('Inputs'!$B$8/2)^2)))-'Results'!B7*(1-'Inputs'!$B$24)*(0.5*((((250-43)*MAX('Inputs'!$B$33,'Inputs'!$B$29+'Inputs'!$B$31+'Inputs'!$B$32,'Inputs'!$B$30+'Inputs'!$B$31+'Inputs'!$B$32)/1000+'Inputs'!$B$21+'Inputs'!$B$9+'Inputs'!$B$10)+'Inputs'!$B$7)/SQRT((((250-43)*MAX('Inputs'!$B$33,'Inputs'!$B$29+'Inputs'!$B$31+'Inputs'!$B$32,'Inputs'!$B$30+'Inputs'!$B$31+'Inputs'!$B$32)/1000+'Inputs'!$B$21+'Inputs'!$B$9+'Inputs'!$B$10)+'Inputs'!$B$7)^2+('Inputs'!$B$6/2)^2)-(((250-43)*MAX('Inputs'!$B$33,'Inputs'!$B$29+'Inputs'!$B$31+'Inputs'!$B$32,'Inputs'!$B$30+'Inputs'!$B$31+'Inputs'!$B$32)/1000+'Inputs'!$B$21+'Inputs'!$B$9+'Inputs'!$B$10))/SQRT((((250-43)*MAX('Inputs'!$B$33,'Inputs'!$B$29+'Inputs'!$B$31+'Inputs'!$B$32,'Inputs'!$B$30+'Inputs'!$B$31+'Inputs'!$B$32)/1000+'Inputs'!$B$21+'Inputs'!$B$9+'Inputs'!$B$10))^2+('Inputs'!$B$6/2)^2))))*'Results'!$B$8))),"")</x:f>
        <x:v>69.85648177763251</x:v>
      </x:c>
      <x:c r="P250" t="n">
        <x:f>IF(AND(MAX(J250,J249)&gt;0,J250&gt;J249+0.00000001),1,0)</x:f>
        <x:v>0</x:v>
      </x:c>
      <x:c r="Q250" t="n">
        <x:f>IF(AND(MAX(K250,K249)&gt;0,K250&gt;K249+0.00000001),1,0)</x:f>
        <x:v>0</x:v>
      </x:c>
      <x:c r="R250" t="n">
        <x:f>IF(AND(MAX(L250,L249)&gt;0,L250&gt;L249+0.00000001),1,0)</x:f>
        <x:v>0</x:v>
      </x:c>
      <x:c r="S250" t="n">
        <x:f>IF(AND(MAX(M250,M249)&gt;0,M250&gt;M249+0.00000001),1,0)</x:f>
        <x:v>0</x:v>
      </x:c>
      <x:c r="T250" t="n">
        <x:f>IF(AND(MAX(N250,N249)&gt;0,N250&gt;N249+0.00000001),1,0)</x:f>
        <x:v>0</x:v>
      </x:c>
      <x:c r="U250" t="n">
        <x:f>IF(AND(MAX(O250,O249)&gt;0,O250&gt;O249+0.00000001),1,0)</x:f>
        <x:v>0</x:v>
      </x:c>
    </x:row>
    <x:row r="251">
      <x:c r="J251" t="n">
        <x:f>IF(AND(ISNUMBER('Results'!B7),ISNUMBER('Results'!C7),ISNUMBER('Results'!$B$8),ISNUMBER('Inputs'!$B$6),ISNUMBER('Inputs'!$B$7),ISNUMBER('Inputs'!$B$8),ISNUMBER('Inputs'!$B$9),ISNUMBER('Inputs'!$B$10),ISNUMBER('Inputs'!$B$21),ISNUMBER('Inputs'!$B$24),ISNUMBER('Inputs'!$B$28)),(('Results'!B7*(0.5*((((251-43)*MAX('Inputs'!$B$33,'Inputs'!$B$29+'Inputs'!$B$31+'Inputs'!$B$32,'Inputs'!$B$30+'Inputs'!$B$31+'Inputs'!$B$32)/1000+'Inputs'!$B$21)+'Inputs'!$B$7)/SQRT((((251-43)*MAX('Inputs'!$B$33,'Inputs'!$B$29+'Inputs'!$B$31+'Inputs'!$B$32,'Inputs'!$B$30+'Inputs'!$B$31+'Inputs'!$B$32)/1000+'Inputs'!$B$21)+'Inputs'!$B$7)^2+('Inputs'!$B$6/2)^2)-(((251-43)*MAX('Inputs'!$B$33,'Inputs'!$B$29+'Inputs'!$B$31+'Inputs'!$B$32,'Inputs'!$B$30+'Inputs'!$B$31+'Inputs'!$B$32)/1000+'Inputs'!$B$21))/SQRT((((251-43)*MAX('Inputs'!$B$33,'Inputs'!$B$29+'Inputs'!$B$31+'Inputs'!$B$32,'Inputs'!$B$30+'Inputs'!$B$31+'Inputs'!$B$32)/1000+'Inputs'!$B$21))^2+('Inputs'!$B$6/2)^2)))-'Results'!C7*(0.5*((((251-43)*MAX('Inputs'!$B$33,'Inputs'!$B$29+'Inputs'!$B$31+'Inputs'!$B$32,'Inputs'!$B$30+'Inputs'!$B$31+'Inputs'!$B$32)/1000+'Inputs'!$B$21+'Inputs'!$B$7+'Inputs'!$B$10)+'Inputs'!$B$9)/SQRT((((251-43)*MAX('Inputs'!$B$33,'Inputs'!$B$29+'Inputs'!$B$31+'Inputs'!$B$32,'Inputs'!$B$30+'Inputs'!$B$31+'Inputs'!$B$32)/1000+'Inputs'!$B$21+'Inputs'!$B$7+'Inputs'!$B$10)+'Inputs'!$B$9)^2+('Inputs'!$B$8/2)^2)-(((251-43)*MAX('Inputs'!$B$33,'Inputs'!$B$29+'Inputs'!$B$31+'Inputs'!$B$32,'Inputs'!$B$30+'Inputs'!$B$31+'Inputs'!$B$32)/1000+'Inputs'!$B$21+'Inputs'!$B$7+'Inputs'!$B$10))/SQRT((((251-43)*MAX('Inputs'!$B$33,'Inputs'!$B$29+'Inputs'!$B$31+'Inputs'!$B$32,'Inputs'!$B$30+'Inputs'!$B$31+'Inputs'!$B$32)/1000+'Inputs'!$B$21+'Inputs'!$B$7+'Inputs'!$B$10))^2+('Inputs'!$B$8/2)^2))))*'Results'!$B$8),"")</x:f>
        <x:v>65.68024412979223</x:v>
      </x:c>
      <x:c r="K251" t="n">
        <x:f>IF(AND(ISNUMBER('Results'!B7),ISNUMBER('Results'!C7),ISNUMBER('Results'!$B$8),ISNUMBER('Inputs'!$B$6),ISNUMBER('Inputs'!$B$7),ISNUMBER('Inputs'!$B$8),ISNUMBER('Inputs'!$B$9),ISNUMBER('Inputs'!$B$10),ISNUMBER('Inputs'!$B$21),ISNUMBER('Inputs'!$B$24),ISNUMBER('Inputs'!$B$28)),((('Results'!B7*(1-'Inputs'!$B$24)*(0.5*((((251-43)*MAX('Inputs'!$B$33,'Inputs'!$B$29+'Inputs'!$B$31+'Inputs'!$B$32,'Inputs'!$B$30+'Inputs'!$B$31+'Inputs'!$B$32)/1000+'Inputs'!$B$21)+'Inputs'!$B$7)/SQRT((((251-43)*MAX('Inputs'!$B$33,'Inputs'!$B$29+'Inputs'!$B$31+'Inputs'!$B$32,'Inputs'!$B$30+'Inputs'!$B$31+'Inputs'!$B$32)/1000+'Inputs'!$B$21)+'Inputs'!$B$7)^2+('Inputs'!$B$6/2)^2)-(((251-43)*MAX('Inputs'!$B$33,'Inputs'!$B$29+'Inputs'!$B$31+'Inputs'!$B$32,'Inputs'!$B$30+'Inputs'!$B$31+'Inputs'!$B$32)/1000+'Inputs'!$B$21))/SQRT((((251-43)*MAX('Inputs'!$B$33,'Inputs'!$B$29+'Inputs'!$B$31+'Inputs'!$B$32,'Inputs'!$B$30+'Inputs'!$B$31+'Inputs'!$B$32)/1000+'Inputs'!$B$21))^2+('Inputs'!$B$6/2)^2)))-'Results'!C7*(1+'Inputs'!$B$24)*(0.5*((((251-43)*MAX('Inputs'!$B$33,'Inputs'!$B$29+'Inputs'!$B$31+'Inputs'!$B$32,'Inputs'!$B$30+'Inputs'!$B$31+'Inputs'!$B$32)/1000+'Inputs'!$B$21+'Inputs'!$B$7+'Inputs'!$B$10)+'Inputs'!$B$9)/SQRT((((251-43)*MAX('Inputs'!$B$33,'Inputs'!$B$29+'Inputs'!$B$31+'Inputs'!$B$32,'Inputs'!$B$30+'Inputs'!$B$31+'Inputs'!$B$32)/1000+'Inputs'!$B$21+'Inputs'!$B$7+'Inputs'!$B$10)+'Inputs'!$B$9)^2+('Inputs'!$B$8/2)^2)-(((251-43)*MAX('Inputs'!$B$33,'Inputs'!$B$29+'Inputs'!$B$31+'Inputs'!$B$32,'Inputs'!$B$30+'Inputs'!$B$31+'Inputs'!$B$32)/1000+'Inputs'!$B$21+'Inputs'!$B$7+'Inputs'!$B$10))/SQRT((((251-43)*MAX('Inputs'!$B$33,'Inputs'!$B$29+'Inputs'!$B$31+'Inputs'!$B$32,'Inputs'!$B$30+'Inputs'!$B$31+'Inputs'!$B$32)/1000+'Inputs'!$B$21+'Inputs'!$B$7+'Inputs'!$B$10))^2+('Inputs'!$B$8/2)^2))))*'Results'!$B$8)-'Inputs'!$B$28*ABS((('Results'!B7*(1-'Inputs'!$B$24)*(0.5*((((251-43)*MAX('Inputs'!$B$33,'Inputs'!$B$29+'Inputs'!$B$31+'Inputs'!$B$32,'Inputs'!$B$30+'Inputs'!$B$31+'Inputs'!$B$32)/1000+'Inputs'!$B$21)+'Inputs'!$B$7)/SQRT((((251-43)*MAX('Inputs'!$B$33,'Inputs'!$B$29+'Inputs'!$B$31+'Inputs'!$B$32,'Inputs'!$B$30+'Inputs'!$B$31+'Inputs'!$B$32)/1000+'Inputs'!$B$21)+'Inputs'!$B$7)^2+('Inputs'!$B$6/2)^2)-(((251-43)*MAX('Inputs'!$B$33,'Inputs'!$B$29+'Inputs'!$B$31+'Inputs'!$B$32,'Inputs'!$B$30+'Inputs'!$B$31+'Inputs'!$B$32)/1000+'Inputs'!$B$21))/SQRT((((251-43)*MAX('Inputs'!$B$33,'Inputs'!$B$29+'Inputs'!$B$31+'Inputs'!$B$32,'Inputs'!$B$30+'Inputs'!$B$31+'Inputs'!$B$32)/1000+'Inputs'!$B$21))^2+('Inputs'!$B$6/2)^2)))-'Results'!C7*(1+'Inputs'!$B$24)*(0.5*((((251-43)*MAX('Inputs'!$B$33,'Inputs'!$B$29+'Inputs'!$B$31+'Inputs'!$B$32,'Inputs'!$B$30+'Inputs'!$B$31+'Inputs'!$B$32)/1000+'Inputs'!$B$21+'Inputs'!$B$7+'Inputs'!$B$10)+'Inputs'!$B$9)/SQRT((((251-43)*MAX('Inputs'!$B$33,'Inputs'!$B$29+'Inputs'!$B$31+'Inputs'!$B$32,'Inputs'!$B$30+'Inputs'!$B$31+'Inputs'!$B$32)/1000+'Inputs'!$B$21+'Inputs'!$B$7+'Inputs'!$B$10)+'Inputs'!$B$9)^2+('Inputs'!$B$8/2)^2)-(((251-43)*MAX('Inputs'!$B$33,'Inputs'!$B$29+'Inputs'!$B$31+'Inputs'!$B$32,'Inputs'!$B$30+'Inputs'!$B$31+'Inputs'!$B$32)/1000+'Inputs'!$B$21+'Inputs'!$B$7+'Inputs'!$B$10))/SQRT((((251-43)*MAX('Inputs'!$B$33,'Inputs'!$B$29+'Inputs'!$B$31+'Inputs'!$B$32,'Inputs'!$B$30+'Inputs'!$B$31+'Inputs'!$B$32)/1000+'Inputs'!$B$21+'Inputs'!$B$7+'Inputs'!$B$10))^2+('Inputs'!$B$8/2)^2))))*'Results'!$B$8))),"")</x:f>
        <x:v>60.001445946955776</x:v>
      </x:c>
      <x:c r="L251" t="n">
        <x:f>IF(AND(ISNUMBER('Results'!B7),ISNUMBER('Results'!C7),ISNUMBER('Results'!$B$8),ISNUMBER('Inputs'!$B$6),ISNUMBER('Inputs'!$B$7),ISNUMBER('Inputs'!$B$8),ISNUMBER('Inputs'!$B$9),ISNUMBER('Inputs'!$B$10),ISNUMBER('Inputs'!$B$21),ISNUMBER('Inputs'!$B$24),ISNUMBER('Inputs'!$B$28)),((('Results'!B7*(1+'Inputs'!$B$24)*(0.5*((((251-43)*MAX('Inputs'!$B$33,'Inputs'!$B$29+'Inputs'!$B$31+'Inputs'!$B$32,'Inputs'!$B$30+'Inputs'!$B$31+'Inputs'!$B$32)/1000+'Inputs'!$B$21)+'Inputs'!$B$7)/SQRT((((251-43)*MAX('Inputs'!$B$33,'Inputs'!$B$29+'Inputs'!$B$31+'Inputs'!$B$32,'Inputs'!$B$30+'Inputs'!$B$31+'Inputs'!$B$32)/1000+'Inputs'!$B$21)+'Inputs'!$B$7)^2+('Inputs'!$B$6/2)^2)-(((251-43)*MAX('Inputs'!$B$33,'Inputs'!$B$29+'Inputs'!$B$31+'Inputs'!$B$32,'Inputs'!$B$30+'Inputs'!$B$31+'Inputs'!$B$32)/1000+'Inputs'!$B$21))/SQRT((((251-43)*MAX('Inputs'!$B$33,'Inputs'!$B$29+'Inputs'!$B$31+'Inputs'!$B$32,'Inputs'!$B$30+'Inputs'!$B$31+'Inputs'!$B$32)/1000+'Inputs'!$B$21))^2+('Inputs'!$B$6/2)^2)))-'Results'!C7*(1-'Inputs'!$B$24)*(0.5*((((251-43)*MAX('Inputs'!$B$33,'Inputs'!$B$29+'Inputs'!$B$31+'Inputs'!$B$32,'Inputs'!$B$30+'Inputs'!$B$31+'Inputs'!$B$32)/1000+'Inputs'!$B$21+'Inputs'!$B$7+'Inputs'!$B$10)+'Inputs'!$B$9)/SQRT((((251-43)*MAX('Inputs'!$B$33,'Inputs'!$B$29+'Inputs'!$B$31+'Inputs'!$B$32,'Inputs'!$B$30+'Inputs'!$B$31+'Inputs'!$B$32)/1000+'Inputs'!$B$21+'Inputs'!$B$7+'Inputs'!$B$10)+'Inputs'!$B$9)^2+('Inputs'!$B$8/2)^2)-(((251-43)*MAX('Inputs'!$B$33,'Inputs'!$B$29+'Inputs'!$B$31+'Inputs'!$B$32,'Inputs'!$B$30+'Inputs'!$B$31+'Inputs'!$B$32)/1000+'Inputs'!$B$21+'Inputs'!$B$7+'Inputs'!$B$10))/SQRT((((251-43)*MAX('Inputs'!$B$33,'Inputs'!$B$29+'Inputs'!$B$31+'Inputs'!$B$32,'Inputs'!$B$30+'Inputs'!$B$31+'Inputs'!$B$32)/1000+'Inputs'!$B$21+'Inputs'!$B$7+'Inputs'!$B$10))^2+('Inputs'!$B$8/2)^2))))*'Results'!$B$8)+'Inputs'!$B$28*ABS((('Results'!B7*(1+'Inputs'!$B$24)*(0.5*((((251-43)*MAX('Inputs'!$B$33,'Inputs'!$B$29+'Inputs'!$B$31+'Inputs'!$B$32,'Inputs'!$B$30+'Inputs'!$B$31+'Inputs'!$B$32)/1000+'Inputs'!$B$21)+'Inputs'!$B$7)/SQRT((((251-43)*MAX('Inputs'!$B$33,'Inputs'!$B$29+'Inputs'!$B$31+'Inputs'!$B$32,'Inputs'!$B$30+'Inputs'!$B$31+'Inputs'!$B$32)/1000+'Inputs'!$B$21)+'Inputs'!$B$7)^2+('Inputs'!$B$6/2)^2)-(((251-43)*MAX('Inputs'!$B$33,'Inputs'!$B$29+'Inputs'!$B$31+'Inputs'!$B$32,'Inputs'!$B$30+'Inputs'!$B$31+'Inputs'!$B$32)/1000+'Inputs'!$B$21))/SQRT((((251-43)*MAX('Inputs'!$B$33,'Inputs'!$B$29+'Inputs'!$B$31+'Inputs'!$B$32,'Inputs'!$B$30+'Inputs'!$B$31+'Inputs'!$B$32)/1000+'Inputs'!$B$21))^2+('Inputs'!$B$6/2)^2)))-'Results'!C7*(1-'Inputs'!$B$24)*(0.5*((((251-43)*MAX('Inputs'!$B$33,'Inputs'!$B$29+'Inputs'!$B$31+'Inputs'!$B$32,'Inputs'!$B$30+'Inputs'!$B$31+'Inputs'!$B$32)/1000+'Inputs'!$B$21+'Inputs'!$B$7+'Inputs'!$B$10)+'Inputs'!$B$9)/SQRT((((251-43)*MAX('Inputs'!$B$33,'Inputs'!$B$29+'Inputs'!$B$31+'Inputs'!$B$32,'Inputs'!$B$30+'Inputs'!$B$31+'Inputs'!$B$32)/1000+'Inputs'!$B$21+'Inputs'!$B$7+'Inputs'!$B$10)+'Inputs'!$B$9)^2+('Inputs'!$B$8/2)^2)-(((251-43)*MAX('Inputs'!$B$33,'Inputs'!$B$29+'Inputs'!$B$31+'Inputs'!$B$32,'Inputs'!$B$30+'Inputs'!$B$31+'Inputs'!$B$32)/1000+'Inputs'!$B$21+'Inputs'!$B$7+'Inputs'!$B$10))/SQRT((((251-43)*MAX('Inputs'!$B$33,'Inputs'!$B$29+'Inputs'!$B$31+'Inputs'!$B$32,'Inputs'!$B$30+'Inputs'!$B$31+'Inputs'!$B$32)/1000+'Inputs'!$B$21+'Inputs'!$B$7+'Inputs'!$B$10))^2+('Inputs'!$B$8/2)^2))))*'Results'!$B$8))),"")</x:f>
        <x:v>71.611125046981</x:v>
      </x:c>
      <x:c r="M251" t="n">
        <x:f>IF(AND(ISNUMBER('Results'!C7),ISNUMBER('Results'!B7),ISNUMBER('Results'!$B$8),ISNUMBER('Inputs'!$B$6),ISNUMBER('Inputs'!$B$7),ISNUMBER('Inputs'!$B$8),ISNUMBER('Inputs'!$B$9),ISNUMBER('Inputs'!$B$10),ISNUMBER('Inputs'!$B$21),ISNUMBER('Inputs'!$B$24),ISNUMBER('Inputs'!$B$28)),(('Results'!C7*(0.5*((((251-43)*MAX('Inputs'!$B$33,'Inputs'!$B$29+'Inputs'!$B$31+'Inputs'!$B$32,'Inputs'!$B$30+'Inputs'!$B$31+'Inputs'!$B$32)/1000+'Inputs'!$B$21)+'Inputs'!$B$9)/SQRT((((251-43)*MAX('Inputs'!$B$33,'Inputs'!$B$29+'Inputs'!$B$31+'Inputs'!$B$32,'Inputs'!$B$30+'Inputs'!$B$31+'Inputs'!$B$32)/1000+'Inputs'!$B$21)+'Inputs'!$B$9)^2+('Inputs'!$B$8/2)^2)-(((251-43)*MAX('Inputs'!$B$33,'Inputs'!$B$29+'Inputs'!$B$31+'Inputs'!$B$32,'Inputs'!$B$30+'Inputs'!$B$31+'Inputs'!$B$32)/1000+'Inputs'!$B$21))/SQRT((((251-43)*MAX('Inputs'!$B$33,'Inputs'!$B$29+'Inputs'!$B$31+'Inputs'!$B$32,'Inputs'!$B$30+'Inputs'!$B$31+'Inputs'!$B$32)/1000+'Inputs'!$B$21))^2+('Inputs'!$B$8/2)^2)))-'Results'!B7*(0.5*((((251-43)*MAX('Inputs'!$B$33,'Inputs'!$B$29+'Inputs'!$B$31+'Inputs'!$B$32,'Inputs'!$B$30+'Inputs'!$B$31+'Inputs'!$B$32)/1000+'Inputs'!$B$21+'Inputs'!$B$9+'Inputs'!$B$10)+'Inputs'!$B$7)/SQRT((((251-43)*MAX('Inputs'!$B$33,'Inputs'!$B$29+'Inputs'!$B$31+'Inputs'!$B$32,'Inputs'!$B$30+'Inputs'!$B$31+'Inputs'!$B$32)/1000+'Inputs'!$B$21+'Inputs'!$B$9+'Inputs'!$B$10)+'Inputs'!$B$7)^2+('Inputs'!$B$6/2)^2)-(((251-43)*MAX('Inputs'!$B$33,'Inputs'!$B$29+'Inputs'!$B$31+'Inputs'!$B$32,'Inputs'!$B$30+'Inputs'!$B$31+'Inputs'!$B$32)/1000+'Inputs'!$B$21+'Inputs'!$B$9+'Inputs'!$B$10))/SQRT((((251-43)*MAX('Inputs'!$B$33,'Inputs'!$B$29+'Inputs'!$B$31+'Inputs'!$B$32,'Inputs'!$B$30+'Inputs'!$B$31+'Inputs'!$B$32)/1000+'Inputs'!$B$21+'Inputs'!$B$9+'Inputs'!$B$10))^2+('Inputs'!$B$6/2)^2))))*'Results'!$B$8),"")</x:f>
        <x:v>63.14709818972917</x:v>
      </x:c>
      <x:c r="N251" t="n">
        <x:f>IF(AND(ISNUMBER('Results'!C7),ISNUMBER('Results'!B7),ISNUMBER('Results'!$B$8),ISNUMBER('Inputs'!$B$6),ISNUMBER('Inputs'!$B$7),ISNUMBER('Inputs'!$B$8),ISNUMBER('Inputs'!$B$9),ISNUMBER('Inputs'!$B$10),ISNUMBER('Inputs'!$B$21),ISNUMBER('Inputs'!$B$24),ISNUMBER('Inputs'!$B$28)),((('Results'!C7*(1-'Inputs'!$B$24)*(0.5*((((251-43)*MAX('Inputs'!$B$33,'Inputs'!$B$29+'Inputs'!$B$31+'Inputs'!$B$32,'Inputs'!$B$30+'Inputs'!$B$31+'Inputs'!$B$32)/1000+'Inputs'!$B$21)+'Inputs'!$B$9)/SQRT((((251-43)*MAX('Inputs'!$B$33,'Inputs'!$B$29+'Inputs'!$B$31+'Inputs'!$B$32,'Inputs'!$B$30+'Inputs'!$B$31+'Inputs'!$B$32)/1000+'Inputs'!$B$21)+'Inputs'!$B$9)^2+('Inputs'!$B$8/2)^2)-(((251-43)*MAX('Inputs'!$B$33,'Inputs'!$B$29+'Inputs'!$B$31+'Inputs'!$B$32,'Inputs'!$B$30+'Inputs'!$B$31+'Inputs'!$B$32)/1000+'Inputs'!$B$21))/SQRT((((251-43)*MAX('Inputs'!$B$33,'Inputs'!$B$29+'Inputs'!$B$31+'Inputs'!$B$32,'Inputs'!$B$30+'Inputs'!$B$31+'Inputs'!$B$32)/1000+'Inputs'!$B$21))^2+('Inputs'!$B$8/2)^2)))-'Results'!B7*(1+'Inputs'!$B$24)*(0.5*((((251-43)*MAX('Inputs'!$B$33,'Inputs'!$B$29+'Inputs'!$B$31+'Inputs'!$B$32,'Inputs'!$B$30+'Inputs'!$B$31+'Inputs'!$B$32)/1000+'Inputs'!$B$21+'Inputs'!$B$9+'Inputs'!$B$10)+'Inputs'!$B$7)/SQRT((((251-43)*MAX('Inputs'!$B$33,'Inputs'!$B$29+'Inputs'!$B$31+'Inputs'!$B$32,'Inputs'!$B$30+'Inputs'!$B$31+'Inputs'!$B$32)/1000+'Inputs'!$B$21+'Inputs'!$B$9+'Inputs'!$B$10)+'Inputs'!$B$7)^2+('Inputs'!$B$6/2)^2)-(((251-43)*MAX('Inputs'!$B$33,'Inputs'!$B$29+'Inputs'!$B$31+'Inputs'!$B$32,'Inputs'!$B$30+'Inputs'!$B$31+'Inputs'!$B$32)/1000+'Inputs'!$B$21+'Inputs'!$B$9+'Inputs'!$B$10))/SQRT((((251-43)*MAX('Inputs'!$B$33,'Inputs'!$B$29+'Inputs'!$B$31+'Inputs'!$B$32,'Inputs'!$B$30+'Inputs'!$B$31+'Inputs'!$B$32)/1000+'Inputs'!$B$21+'Inputs'!$B$9+'Inputs'!$B$10))^2+('Inputs'!$B$6/2)^2))))*'Results'!$B$8)-'Inputs'!$B$28*ABS((('Results'!C7*(1-'Inputs'!$B$24)*(0.5*((((251-43)*MAX('Inputs'!$B$33,'Inputs'!$B$29+'Inputs'!$B$31+'Inputs'!$B$32,'Inputs'!$B$30+'Inputs'!$B$31+'Inputs'!$B$32)/1000+'Inputs'!$B$21)+'Inputs'!$B$9)/SQRT((((251-43)*MAX('Inputs'!$B$33,'Inputs'!$B$29+'Inputs'!$B$31+'Inputs'!$B$32,'Inputs'!$B$30+'Inputs'!$B$31+'Inputs'!$B$32)/1000+'Inputs'!$B$21)+'Inputs'!$B$9)^2+('Inputs'!$B$8/2)^2)-(((251-43)*MAX('Inputs'!$B$33,'Inputs'!$B$29+'Inputs'!$B$31+'Inputs'!$B$32,'Inputs'!$B$30+'Inputs'!$B$31+'Inputs'!$B$32)/1000+'Inputs'!$B$21))/SQRT((((251-43)*MAX('Inputs'!$B$33,'Inputs'!$B$29+'Inputs'!$B$31+'Inputs'!$B$32,'Inputs'!$B$30+'Inputs'!$B$31+'Inputs'!$B$32)/1000+'Inputs'!$B$21))^2+('Inputs'!$B$8/2)^2)))-'Results'!B7*(1+'Inputs'!$B$24)*(0.5*((((251-43)*MAX('Inputs'!$B$33,'Inputs'!$B$29+'Inputs'!$B$31+'Inputs'!$B$32,'Inputs'!$B$30+'Inputs'!$B$31+'Inputs'!$B$32)/1000+'Inputs'!$B$21+'Inputs'!$B$9+'Inputs'!$B$10)+'Inputs'!$B$7)/SQRT((((251-43)*MAX('Inputs'!$B$33,'Inputs'!$B$29+'Inputs'!$B$31+'Inputs'!$B$32,'Inputs'!$B$30+'Inputs'!$B$31+'Inputs'!$B$32)/1000+'Inputs'!$B$21+'Inputs'!$B$9+'Inputs'!$B$10)+'Inputs'!$B$7)^2+('Inputs'!$B$6/2)^2)-(((251-43)*MAX('Inputs'!$B$33,'Inputs'!$B$29+'Inputs'!$B$31+'Inputs'!$B$32,'Inputs'!$B$30+'Inputs'!$B$31+'Inputs'!$B$32)/1000+'Inputs'!$B$21+'Inputs'!$B$9+'Inputs'!$B$10))/SQRT((((251-43)*MAX('Inputs'!$B$33,'Inputs'!$B$29+'Inputs'!$B$31+'Inputs'!$B$32,'Inputs'!$B$30+'Inputs'!$B$31+'Inputs'!$B$32)/1000+'Inputs'!$B$21+'Inputs'!$B$9+'Inputs'!$B$10))^2+('Inputs'!$B$6/2)^2))))*'Results'!$B$8))),"")</x:f>
        <x:v>57.61968174333091</x:v>
      </x:c>
      <x:c r="O251" t="n">
        <x:f>IF(AND(ISNUMBER('Results'!C7),ISNUMBER('Results'!B7),ISNUMBER('Results'!$B$8),ISNUMBER('Inputs'!$B$6),ISNUMBER('Inputs'!$B$7),ISNUMBER('Inputs'!$B$8),ISNUMBER('Inputs'!$B$9),ISNUMBER('Inputs'!$B$10),ISNUMBER('Inputs'!$B$21),ISNUMBER('Inputs'!$B$24),ISNUMBER('Inputs'!$B$28)),((('Results'!C7*(1+'Inputs'!$B$24)*(0.5*((((251-43)*MAX('Inputs'!$B$33,'Inputs'!$B$29+'Inputs'!$B$31+'Inputs'!$B$32,'Inputs'!$B$30+'Inputs'!$B$31+'Inputs'!$B$32)/1000+'Inputs'!$B$21)+'Inputs'!$B$9)/SQRT((((251-43)*MAX('Inputs'!$B$33,'Inputs'!$B$29+'Inputs'!$B$31+'Inputs'!$B$32,'Inputs'!$B$30+'Inputs'!$B$31+'Inputs'!$B$32)/1000+'Inputs'!$B$21)+'Inputs'!$B$9)^2+('Inputs'!$B$8/2)^2)-(((251-43)*MAX('Inputs'!$B$33,'Inputs'!$B$29+'Inputs'!$B$31+'Inputs'!$B$32,'Inputs'!$B$30+'Inputs'!$B$31+'Inputs'!$B$32)/1000+'Inputs'!$B$21))/SQRT((((251-43)*MAX('Inputs'!$B$33,'Inputs'!$B$29+'Inputs'!$B$31+'Inputs'!$B$32,'Inputs'!$B$30+'Inputs'!$B$31+'Inputs'!$B$32)/1000+'Inputs'!$B$21))^2+('Inputs'!$B$8/2)^2)))-'Results'!B7*(1-'Inputs'!$B$24)*(0.5*((((251-43)*MAX('Inputs'!$B$33,'Inputs'!$B$29+'Inputs'!$B$31+'Inputs'!$B$32,'Inputs'!$B$30+'Inputs'!$B$31+'Inputs'!$B$32)/1000+'Inputs'!$B$21+'Inputs'!$B$9+'Inputs'!$B$10)+'Inputs'!$B$7)/SQRT((((251-43)*MAX('Inputs'!$B$33,'Inputs'!$B$29+'Inputs'!$B$31+'Inputs'!$B$32,'Inputs'!$B$30+'Inputs'!$B$31+'Inputs'!$B$32)/1000+'Inputs'!$B$21+'Inputs'!$B$9+'Inputs'!$B$10)+'Inputs'!$B$7)^2+('Inputs'!$B$6/2)^2)-(((251-43)*MAX('Inputs'!$B$33,'Inputs'!$B$29+'Inputs'!$B$31+'Inputs'!$B$32,'Inputs'!$B$30+'Inputs'!$B$31+'Inputs'!$B$32)/1000+'Inputs'!$B$21+'Inputs'!$B$9+'Inputs'!$B$10))/SQRT((((251-43)*MAX('Inputs'!$B$33,'Inputs'!$B$29+'Inputs'!$B$31+'Inputs'!$B$32,'Inputs'!$B$30+'Inputs'!$B$31+'Inputs'!$B$32)/1000+'Inputs'!$B$21+'Inputs'!$B$9+'Inputs'!$B$10))^2+('Inputs'!$B$6/2)^2))))*'Results'!$B$8)+'Inputs'!$B$28*ABS((('Results'!C7*(1+'Inputs'!$B$24)*(0.5*((((251-43)*MAX('Inputs'!$B$33,'Inputs'!$B$29+'Inputs'!$B$31+'Inputs'!$B$32,'Inputs'!$B$30+'Inputs'!$B$31+'Inputs'!$B$32)/1000+'Inputs'!$B$21)+'Inputs'!$B$9)/SQRT((((251-43)*MAX('Inputs'!$B$33,'Inputs'!$B$29+'Inputs'!$B$31+'Inputs'!$B$32,'Inputs'!$B$30+'Inputs'!$B$31+'Inputs'!$B$32)/1000+'Inputs'!$B$21)+'Inputs'!$B$9)^2+('Inputs'!$B$8/2)^2)-(((251-43)*MAX('Inputs'!$B$33,'Inputs'!$B$29+'Inputs'!$B$31+'Inputs'!$B$32,'Inputs'!$B$30+'Inputs'!$B$31+'Inputs'!$B$32)/1000+'Inputs'!$B$21))/SQRT((((251-43)*MAX('Inputs'!$B$33,'Inputs'!$B$29+'Inputs'!$B$31+'Inputs'!$B$32,'Inputs'!$B$30+'Inputs'!$B$31+'Inputs'!$B$32)/1000+'Inputs'!$B$21))^2+('Inputs'!$B$8/2)^2)))-'Results'!B7*(1-'Inputs'!$B$24)*(0.5*((((251-43)*MAX('Inputs'!$B$33,'Inputs'!$B$29+'Inputs'!$B$31+'Inputs'!$B$32,'Inputs'!$B$30+'Inputs'!$B$31+'Inputs'!$B$32)/1000+'Inputs'!$B$21+'Inputs'!$B$9+'Inputs'!$B$10)+'Inputs'!$B$7)/SQRT((((251-43)*MAX('Inputs'!$B$33,'Inputs'!$B$29+'Inputs'!$B$31+'Inputs'!$B$32,'Inputs'!$B$30+'Inputs'!$B$31+'Inputs'!$B$32)/1000+'Inputs'!$B$21+'Inputs'!$B$9+'Inputs'!$B$10)+'Inputs'!$B$7)^2+('Inputs'!$B$6/2)^2)-(((251-43)*MAX('Inputs'!$B$33,'Inputs'!$B$29+'Inputs'!$B$31+'Inputs'!$B$32,'Inputs'!$B$30+'Inputs'!$B$31+'Inputs'!$B$32)/1000+'Inputs'!$B$21+'Inputs'!$B$9+'Inputs'!$B$10))/SQRT((((251-43)*MAX('Inputs'!$B$33,'Inputs'!$B$29+'Inputs'!$B$31+'Inputs'!$B$32,'Inputs'!$B$30+'Inputs'!$B$31+'Inputs'!$B$32)/1000+'Inputs'!$B$21+'Inputs'!$B$9+'Inputs'!$B$10))^2+('Inputs'!$B$6/2)^2))))*'Results'!$B$8))),"")</x:f>
        <x:v>68.92399479790761</x:v>
      </x:c>
      <x:c r="P251" t="n">
        <x:f>IF(AND(MAX(J251,J250)&gt;0,J251&gt;J250+0.00000001),1,0)</x:f>
        <x:v>0</x:v>
      </x:c>
      <x:c r="Q251" t="n">
        <x:f>IF(AND(MAX(K251,K250)&gt;0,K251&gt;K250+0.00000001),1,0)</x:f>
        <x:v>0</x:v>
      </x:c>
      <x:c r="R251" t="n">
        <x:f>IF(AND(MAX(L251,L250)&gt;0,L251&gt;L250+0.00000001),1,0)</x:f>
        <x:v>0</x:v>
      </x:c>
      <x:c r="S251" t="n">
        <x:f>IF(AND(MAX(M251,M250)&gt;0,M251&gt;M250+0.00000001),1,0)</x:f>
        <x:v>0</x:v>
      </x:c>
      <x:c r="T251" t="n">
        <x:f>IF(AND(MAX(N251,N250)&gt;0,N251&gt;N250+0.00000001),1,0)</x:f>
        <x:v>0</x:v>
      </x:c>
      <x:c r="U251" t="n">
        <x:f>IF(AND(MAX(O251,O250)&gt;0,O251&gt;O250+0.00000001),1,0)</x:f>
        <x:v>0</x:v>
      </x:c>
    </x:row>
    <x:row r="252">
      <x:c r="J252" t="n">
        <x:f>IF(AND(ISNUMBER('Results'!B7),ISNUMBER('Results'!C7),ISNUMBER('Results'!$B$8),ISNUMBER('Inputs'!$B$6),ISNUMBER('Inputs'!$B$7),ISNUMBER('Inputs'!$B$8),ISNUMBER('Inputs'!$B$9),ISNUMBER('Inputs'!$B$10),ISNUMBER('Inputs'!$B$21),ISNUMBER('Inputs'!$B$24),ISNUMBER('Inputs'!$B$28)),(('Results'!B7*(0.5*((((252-43)*MAX('Inputs'!$B$33,'Inputs'!$B$29+'Inputs'!$B$31+'Inputs'!$B$32,'Inputs'!$B$30+'Inputs'!$B$31+'Inputs'!$B$32)/1000+'Inputs'!$B$21)+'Inputs'!$B$7)/SQRT((((252-43)*MAX('Inputs'!$B$33,'Inputs'!$B$29+'Inputs'!$B$31+'Inputs'!$B$32,'Inputs'!$B$30+'Inputs'!$B$31+'Inputs'!$B$32)/1000+'Inputs'!$B$21)+'Inputs'!$B$7)^2+('Inputs'!$B$6/2)^2)-(((252-43)*MAX('Inputs'!$B$33,'Inputs'!$B$29+'Inputs'!$B$31+'Inputs'!$B$32,'Inputs'!$B$30+'Inputs'!$B$31+'Inputs'!$B$32)/1000+'Inputs'!$B$21))/SQRT((((252-43)*MAX('Inputs'!$B$33,'Inputs'!$B$29+'Inputs'!$B$31+'Inputs'!$B$32,'Inputs'!$B$30+'Inputs'!$B$31+'Inputs'!$B$32)/1000+'Inputs'!$B$21))^2+('Inputs'!$B$6/2)^2)))-'Results'!C7*(0.5*((((252-43)*MAX('Inputs'!$B$33,'Inputs'!$B$29+'Inputs'!$B$31+'Inputs'!$B$32,'Inputs'!$B$30+'Inputs'!$B$31+'Inputs'!$B$32)/1000+'Inputs'!$B$21+'Inputs'!$B$7+'Inputs'!$B$10)+'Inputs'!$B$9)/SQRT((((252-43)*MAX('Inputs'!$B$33,'Inputs'!$B$29+'Inputs'!$B$31+'Inputs'!$B$32,'Inputs'!$B$30+'Inputs'!$B$31+'Inputs'!$B$32)/1000+'Inputs'!$B$21+'Inputs'!$B$7+'Inputs'!$B$10)+'Inputs'!$B$9)^2+('Inputs'!$B$8/2)^2)-(((252-43)*MAX('Inputs'!$B$33,'Inputs'!$B$29+'Inputs'!$B$31+'Inputs'!$B$32,'Inputs'!$B$30+'Inputs'!$B$31+'Inputs'!$B$32)/1000+'Inputs'!$B$21+'Inputs'!$B$7+'Inputs'!$B$10))/SQRT((((252-43)*MAX('Inputs'!$B$33,'Inputs'!$B$29+'Inputs'!$B$31+'Inputs'!$B$32,'Inputs'!$B$30+'Inputs'!$B$31+'Inputs'!$B$32)/1000+'Inputs'!$B$21+'Inputs'!$B$7+'Inputs'!$B$10))^2+('Inputs'!$B$8/2)^2))))*'Results'!$B$8),"")</x:f>
        <x:v>64.80626383130347</x:v>
      </x:c>
      <x:c r="K252" t="n">
        <x:f>IF(AND(ISNUMBER('Results'!B7),ISNUMBER('Results'!C7),ISNUMBER('Results'!$B$8),ISNUMBER('Inputs'!$B$6),ISNUMBER('Inputs'!$B$7),ISNUMBER('Inputs'!$B$8),ISNUMBER('Inputs'!$B$9),ISNUMBER('Inputs'!$B$10),ISNUMBER('Inputs'!$B$21),ISNUMBER('Inputs'!$B$24),ISNUMBER('Inputs'!$B$28)),((('Results'!B7*(1-'Inputs'!$B$24)*(0.5*((((252-43)*MAX('Inputs'!$B$33,'Inputs'!$B$29+'Inputs'!$B$31+'Inputs'!$B$32,'Inputs'!$B$30+'Inputs'!$B$31+'Inputs'!$B$32)/1000+'Inputs'!$B$21)+'Inputs'!$B$7)/SQRT((((252-43)*MAX('Inputs'!$B$33,'Inputs'!$B$29+'Inputs'!$B$31+'Inputs'!$B$32,'Inputs'!$B$30+'Inputs'!$B$31+'Inputs'!$B$32)/1000+'Inputs'!$B$21)+'Inputs'!$B$7)^2+('Inputs'!$B$6/2)^2)-(((252-43)*MAX('Inputs'!$B$33,'Inputs'!$B$29+'Inputs'!$B$31+'Inputs'!$B$32,'Inputs'!$B$30+'Inputs'!$B$31+'Inputs'!$B$32)/1000+'Inputs'!$B$21))/SQRT((((252-43)*MAX('Inputs'!$B$33,'Inputs'!$B$29+'Inputs'!$B$31+'Inputs'!$B$32,'Inputs'!$B$30+'Inputs'!$B$31+'Inputs'!$B$32)/1000+'Inputs'!$B$21))^2+('Inputs'!$B$6/2)^2)))-'Results'!C7*(1+'Inputs'!$B$24)*(0.5*((((252-43)*MAX('Inputs'!$B$33,'Inputs'!$B$29+'Inputs'!$B$31+'Inputs'!$B$32,'Inputs'!$B$30+'Inputs'!$B$31+'Inputs'!$B$32)/1000+'Inputs'!$B$21+'Inputs'!$B$7+'Inputs'!$B$10)+'Inputs'!$B$9)/SQRT((((252-43)*MAX('Inputs'!$B$33,'Inputs'!$B$29+'Inputs'!$B$31+'Inputs'!$B$32,'Inputs'!$B$30+'Inputs'!$B$31+'Inputs'!$B$32)/1000+'Inputs'!$B$21+'Inputs'!$B$7+'Inputs'!$B$10)+'Inputs'!$B$9)^2+('Inputs'!$B$8/2)^2)-(((252-43)*MAX('Inputs'!$B$33,'Inputs'!$B$29+'Inputs'!$B$31+'Inputs'!$B$32,'Inputs'!$B$30+'Inputs'!$B$31+'Inputs'!$B$32)/1000+'Inputs'!$B$21+'Inputs'!$B$7+'Inputs'!$B$10))/SQRT((((252-43)*MAX('Inputs'!$B$33,'Inputs'!$B$29+'Inputs'!$B$31+'Inputs'!$B$32,'Inputs'!$B$30+'Inputs'!$B$31+'Inputs'!$B$32)/1000+'Inputs'!$B$21+'Inputs'!$B$7+'Inputs'!$B$10))^2+('Inputs'!$B$8/2)^2))))*'Results'!$B$8)-'Inputs'!$B$28*ABS((('Results'!B7*(1-'Inputs'!$B$24)*(0.5*((((252-43)*MAX('Inputs'!$B$33,'Inputs'!$B$29+'Inputs'!$B$31+'Inputs'!$B$32,'Inputs'!$B$30+'Inputs'!$B$31+'Inputs'!$B$32)/1000+'Inputs'!$B$21)+'Inputs'!$B$7)/SQRT((((252-43)*MAX('Inputs'!$B$33,'Inputs'!$B$29+'Inputs'!$B$31+'Inputs'!$B$32,'Inputs'!$B$30+'Inputs'!$B$31+'Inputs'!$B$32)/1000+'Inputs'!$B$21)+'Inputs'!$B$7)^2+('Inputs'!$B$6/2)^2)-(((252-43)*MAX('Inputs'!$B$33,'Inputs'!$B$29+'Inputs'!$B$31+'Inputs'!$B$32,'Inputs'!$B$30+'Inputs'!$B$31+'Inputs'!$B$32)/1000+'Inputs'!$B$21))/SQRT((((252-43)*MAX('Inputs'!$B$33,'Inputs'!$B$29+'Inputs'!$B$31+'Inputs'!$B$32,'Inputs'!$B$30+'Inputs'!$B$31+'Inputs'!$B$32)/1000+'Inputs'!$B$21))^2+('Inputs'!$B$6/2)^2)))-'Results'!C7*(1+'Inputs'!$B$24)*(0.5*((((252-43)*MAX('Inputs'!$B$33,'Inputs'!$B$29+'Inputs'!$B$31+'Inputs'!$B$32,'Inputs'!$B$30+'Inputs'!$B$31+'Inputs'!$B$32)/1000+'Inputs'!$B$21+'Inputs'!$B$7+'Inputs'!$B$10)+'Inputs'!$B$9)/SQRT((((252-43)*MAX('Inputs'!$B$33,'Inputs'!$B$29+'Inputs'!$B$31+'Inputs'!$B$32,'Inputs'!$B$30+'Inputs'!$B$31+'Inputs'!$B$32)/1000+'Inputs'!$B$21+'Inputs'!$B$7+'Inputs'!$B$10)+'Inputs'!$B$9)^2+('Inputs'!$B$8/2)^2)-(((252-43)*MAX('Inputs'!$B$33,'Inputs'!$B$29+'Inputs'!$B$31+'Inputs'!$B$32,'Inputs'!$B$30+'Inputs'!$B$31+'Inputs'!$B$32)/1000+'Inputs'!$B$21+'Inputs'!$B$7+'Inputs'!$B$10))/SQRT((((252-43)*MAX('Inputs'!$B$33,'Inputs'!$B$29+'Inputs'!$B$31+'Inputs'!$B$32,'Inputs'!$B$30+'Inputs'!$B$31+'Inputs'!$B$32)/1000+'Inputs'!$B$21+'Inputs'!$B$7+'Inputs'!$B$10))^2+('Inputs'!$B$8/2)^2))))*'Results'!$B$8))),"")</x:f>
        <x:v>59.19728607734947</x:v>
      </x:c>
      <x:c r="L252" t="n">
        <x:f>IF(AND(ISNUMBER('Results'!B7),ISNUMBER('Results'!C7),ISNUMBER('Results'!$B$8),ISNUMBER('Inputs'!$B$6),ISNUMBER('Inputs'!$B$7),ISNUMBER('Inputs'!$B$8),ISNUMBER('Inputs'!$B$9),ISNUMBER('Inputs'!$B$10),ISNUMBER('Inputs'!$B$21),ISNUMBER('Inputs'!$B$24),ISNUMBER('Inputs'!$B$28)),((('Results'!B7*(1+'Inputs'!$B$24)*(0.5*((((252-43)*MAX('Inputs'!$B$33,'Inputs'!$B$29+'Inputs'!$B$31+'Inputs'!$B$32,'Inputs'!$B$30+'Inputs'!$B$31+'Inputs'!$B$32)/1000+'Inputs'!$B$21)+'Inputs'!$B$7)/SQRT((((252-43)*MAX('Inputs'!$B$33,'Inputs'!$B$29+'Inputs'!$B$31+'Inputs'!$B$32,'Inputs'!$B$30+'Inputs'!$B$31+'Inputs'!$B$32)/1000+'Inputs'!$B$21)+'Inputs'!$B$7)^2+('Inputs'!$B$6/2)^2)-(((252-43)*MAX('Inputs'!$B$33,'Inputs'!$B$29+'Inputs'!$B$31+'Inputs'!$B$32,'Inputs'!$B$30+'Inputs'!$B$31+'Inputs'!$B$32)/1000+'Inputs'!$B$21))/SQRT((((252-43)*MAX('Inputs'!$B$33,'Inputs'!$B$29+'Inputs'!$B$31+'Inputs'!$B$32,'Inputs'!$B$30+'Inputs'!$B$31+'Inputs'!$B$32)/1000+'Inputs'!$B$21))^2+('Inputs'!$B$6/2)^2)))-'Results'!C7*(1-'Inputs'!$B$24)*(0.5*((((252-43)*MAX('Inputs'!$B$33,'Inputs'!$B$29+'Inputs'!$B$31+'Inputs'!$B$32,'Inputs'!$B$30+'Inputs'!$B$31+'Inputs'!$B$32)/1000+'Inputs'!$B$21+'Inputs'!$B$7+'Inputs'!$B$10)+'Inputs'!$B$9)/SQRT((((252-43)*MAX('Inputs'!$B$33,'Inputs'!$B$29+'Inputs'!$B$31+'Inputs'!$B$32,'Inputs'!$B$30+'Inputs'!$B$31+'Inputs'!$B$32)/1000+'Inputs'!$B$21+'Inputs'!$B$7+'Inputs'!$B$10)+'Inputs'!$B$9)^2+('Inputs'!$B$8/2)^2)-(((252-43)*MAX('Inputs'!$B$33,'Inputs'!$B$29+'Inputs'!$B$31+'Inputs'!$B$32,'Inputs'!$B$30+'Inputs'!$B$31+'Inputs'!$B$32)/1000+'Inputs'!$B$21+'Inputs'!$B$7+'Inputs'!$B$10))/SQRT((((252-43)*MAX('Inputs'!$B$33,'Inputs'!$B$29+'Inputs'!$B$31+'Inputs'!$B$32,'Inputs'!$B$30+'Inputs'!$B$31+'Inputs'!$B$32)/1000+'Inputs'!$B$21+'Inputs'!$B$7+'Inputs'!$B$10))^2+('Inputs'!$B$8/2)^2))))*'Results'!$B$8)+'Inputs'!$B$28*ABS((('Results'!B7*(1+'Inputs'!$B$24)*(0.5*((((252-43)*MAX('Inputs'!$B$33,'Inputs'!$B$29+'Inputs'!$B$31+'Inputs'!$B$32,'Inputs'!$B$30+'Inputs'!$B$31+'Inputs'!$B$32)/1000+'Inputs'!$B$21)+'Inputs'!$B$7)/SQRT((((252-43)*MAX('Inputs'!$B$33,'Inputs'!$B$29+'Inputs'!$B$31+'Inputs'!$B$32,'Inputs'!$B$30+'Inputs'!$B$31+'Inputs'!$B$32)/1000+'Inputs'!$B$21)+'Inputs'!$B$7)^2+('Inputs'!$B$6/2)^2)-(((252-43)*MAX('Inputs'!$B$33,'Inputs'!$B$29+'Inputs'!$B$31+'Inputs'!$B$32,'Inputs'!$B$30+'Inputs'!$B$31+'Inputs'!$B$32)/1000+'Inputs'!$B$21))/SQRT((((252-43)*MAX('Inputs'!$B$33,'Inputs'!$B$29+'Inputs'!$B$31+'Inputs'!$B$32,'Inputs'!$B$30+'Inputs'!$B$31+'Inputs'!$B$32)/1000+'Inputs'!$B$21))^2+('Inputs'!$B$6/2)^2)))-'Results'!C7*(1-'Inputs'!$B$24)*(0.5*((((252-43)*MAX('Inputs'!$B$33,'Inputs'!$B$29+'Inputs'!$B$31+'Inputs'!$B$32,'Inputs'!$B$30+'Inputs'!$B$31+'Inputs'!$B$32)/1000+'Inputs'!$B$21+'Inputs'!$B$7+'Inputs'!$B$10)+'Inputs'!$B$9)/SQRT((((252-43)*MAX('Inputs'!$B$33,'Inputs'!$B$29+'Inputs'!$B$31+'Inputs'!$B$32,'Inputs'!$B$30+'Inputs'!$B$31+'Inputs'!$B$32)/1000+'Inputs'!$B$21+'Inputs'!$B$7+'Inputs'!$B$10)+'Inputs'!$B$9)^2+('Inputs'!$B$8/2)^2)-(((252-43)*MAX('Inputs'!$B$33,'Inputs'!$B$29+'Inputs'!$B$31+'Inputs'!$B$32,'Inputs'!$B$30+'Inputs'!$B$31+'Inputs'!$B$32)/1000+'Inputs'!$B$21+'Inputs'!$B$7+'Inputs'!$B$10))/SQRT((((252-43)*MAX('Inputs'!$B$33,'Inputs'!$B$29+'Inputs'!$B$31+'Inputs'!$B$32,'Inputs'!$B$30+'Inputs'!$B$31+'Inputs'!$B$32)/1000+'Inputs'!$B$21+'Inputs'!$B$7+'Inputs'!$B$10))^2+('Inputs'!$B$8/2)^2))))*'Results'!$B$8))),"")</x:f>
        <x:v>70.66457469708789</x:v>
      </x:c>
      <x:c r="M252" t="n">
        <x:f>IF(AND(ISNUMBER('Results'!C7),ISNUMBER('Results'!B7),ISNUMBER('Results'!$B$8),ISNUMBER('Inputs'!$B$6),ISNUMBER('Inputs'!$B$7),ISNUMBER('Inputs'!$B$8),ISNUMBER('Inputs'!$B$9),ISNUMBER('Inputs'!$B$10),ISNUMBER('Inputs'!$B$21),ISNUMBER('Inputs'!$B$24),ISNUMBER('Inputs'!$B$28)),(('Results'!C7*(0.5*((((252-43)*MAX('Inputs'!$B$33,'Inputs'!$B$29+'Inputs'!$B$31+'Inputs'!$B$32,'Inputs'!$B$30+'Inputs'!$B$31+'Inputs'!$B$32)/1000+'Inputs'!$B$21)+'Inputs'!$B$9)/SQRT((((252-43)*MAX('Inputs'!$B$33,'Inputs'!$B$29+'Inputs'!$B$31+'Inputs'!$B$32,'Inputs'!$B$30+'Inputs'!$B$31+'Inputs'!$B$32)/1000+'Inputs'!$B$21)+'Inputs'!$B$9)^2+('Inputs'!$B$8/2)^2)-(((252-43)*MAX('Inputs'!$B$33,'Inputs'!$B$29+'Inputs'!$B$31+'Inputs'!$B$32,'Inputs'!$B$30+'Inputs'!$B$31+'Inputs'!$B$32)/1000+'Inputs'!$B$21))/SQRT((((252-43)*MAX('Inputs'!$B$33,'Inputs'!$B$29+'Inputs'!$B$31+'Inputs'!$B$32,'Inputs'!$B$30+'Inputs'!$B$31+'Inputs'!$B$32)/1000+'Inputs'!$B$21))^2+('Inputs'!$B$8/2)^2)))-'Results'!B7*(0.5*((((252-43)*MAX('Inputs'!$B$33,'Inputs'!$B$29+'Inputs'!$B$31+'Inputs'!$B$32,'Inputs'!$B$30+'Inputs'!$B$31+'Inputs'!$B$32)/1000+'Inputs'!$B$21+'Inputs'!$B$9+'Inputs'!$B$10)+'Inputs'!$B$7)/SQRT((((252-43)*MAX('Inputs'!$B$33,'Inputs'!$B$29+'Inputs'!$B$31+'Inputs'!$B$32,'Inputs'!$B$30+'Inputs'!$B$31+'Inputs'!$B$32)/1000+'Inputs'!$B$21+'Inputs'!$B$9+'Inputs'!$B$10)+'Inputs'!$B$7)^2+('Inputs'!$B$6/2)^2)-(((252-43)*MAX('Inputs'!$B$33,'Inputs'!$B$29+'Inputs'!$B$31+'Inputs'!$B$32,'Inputs'!$B$30+'Inputs'!$B$31+'Inputs'!$B$32)/1000+'Inputs'!$B$21+'Inputs'!$B$9+'Inputs'!$B$10))/SQRT((((252-43)*MAX('Inputs'!$B$33,'Inputs'!$B$29+'Inputs'!$B$31+'Inputs'!$B$32,'Inputs'!$B$30+'Inputs'!$B$31+'Inputs'!$B$32)/1000+'Inputs'!$B$21+'Inputs'!$B$9+'Inputs'!$B$10))^2+('Inputs'!$B$6/2)^2))))*'Results'!$B$8),"")</x:f>
        <x:v>62.30071632685988</x:v>
      </x:c>
      <x:c r="N252" t="n">
        <x:f>IF(AND(ISNUMBER('Results'!C7),ISNUMBER('Results'!B7),ISNUMBER('Results'!$B$8),ISNUMBER('Inputs'!$B$6),ISNUMBER('Inputs'!$B$7),ISNUMBER('Inputs'!$B$8),ISNUMBER('Inputs'!$B$9),ISNUMBER('Inputs'!$B$10),ISNUMBER('Inputs'!$B$21),ISNUMBER('Inputs'!$B$24),ISNUMBER('Inputs'!$B$28)),((('Results'!C7*(1-'Inputs'!$B$24)*(0.5*((((252-43)*MAX('Inputs'!$B$33,'Inputs'!$B$29+'Inputs'!$B$31+'Inputs'!$B$32,'Inputs'!$B$30+'Inputs'!$B$31+'Inputs'!$B$32)/1000+'Inputs'!$B$21)+'Inputs'!$B$9)/SQRT((((252-43)*MAX('Inputs'!$B$33,'Inputs'!$B$29+'Inputs'!$B$31+'Inputs'!$B$32,'Inputs'!$B$30+'Inputs'!$B$31+'Inputs'!$B$32)/1000+'Inputs'!$B$21)+'Inputs'!$B$9)^2+('Inputs'!$B$8/2)^2)-(((252-43)*MAX('Inputs'!$B$33,'Inputs'!$B$29+'Inputs'!$B$31+'Inputs'!$B$32,'Inputs'!$B$30+'Inputs'!$B$31+'Inputs'!$B$32)/1000+'Inputs'!$B$21))/SQRT((((252-43)*MAX('Inputs'!$B$33,'Inputs'!$B$29+'Inputs'!$B$31+'Inputs'!$B$32,'Inputs'!$B$30+'Inputs'!$B$31+'Inputs'!$B$32)/1000+'Inputs'!$B$21))^2+('Inputs'!$B$8/2)^2)))-'Results'!B7*(1+'Inputs'!$B$24)*(0.5*((((252-43)*MAX('Inputs'!$B$33,'Inputs'!$B$29+'Inputs'!$B$31+'Inputs'!$B$32,'Inputs'!$B$30+'Inputs'!$B$31+'Inputs'!$B$32)/1000+'Inputs'!$B$21+'Inputs'!$B$9+'Inputs'!$B$10)+'Inputs'!$B$7)/SQRT((((252-43)*MAX('Inputs'!$B$33,'Inputs'!$B$29+'Inputs'!$B$31+'Inputs'!$B$32,'Inputs'!$B$30+'Inputs'!$B$31+'Inputs'!$B$32)/1000+'Inputs'!$B$21+'Inputs'!$B$9+'Inputs'!$B$10)+'Inputs'!$B$7)^2+('Inputs'!$B$6/2)^2)-(((252-43)*MAX('Inputs'!$B$33,'Inputs'!$B$29+'Inputs'!$B$31+'Inputs'!$B$32,'Inputs'!$B$30+'Inputs'!$B$31+'Inputs'!$B$32)/1000+'Inputs'!$B$21+'Inputs'!$B$9+'Inputs'!$B$10))/SQRT((((252-43)*MAX('Inputs'!$B$33,'Inputs'!$B$29+'Inputs'!$B$31+'Inputs'!$B$32,'Inputs'!$B$30+'Inputs'!$B$31+'Inputs'!$B$32)/1000+'Inputs'!$B$21+'Inputs'!$B$9+'Inputs'!$B$10))^2+('Inputs'!$B$6/2)^2))))*'Results'!$B$8)-'Inputs'!$B$28*ABS((('Results'!C7*(1-'Inputs'!$B$24)*(0.5*((((252-43)*MAX('Inputs'!$B$33,'Inputs'!$B$29+'Inputs'!$B$31+'Inputs'!$B$32,'Inputs'!$B$30+'Inputs'!$B$31+'Inputs'!$B$32)/1000+'Inputs'!$B$21)+'Inputs'!$B$9)/SQRT((((252-43)*MAX('Inputs'!$B$33,'Inputs'!$B$29+'Inputs'!$B$31+'Inputs'!$B$32,'Inputs'!$B$30+'Inputs'!$B$31+'Inputs'!$B$32)/1000+'Inputs'!$B$21)+'Inputs'!$B$9)^2+('Inputs'!$B$8/2)^2)-(((252-43)*MAX('Inputs'!$B$33,'Inputs'!$B$29+'Inputs'!$B$31+'Inputs'!$B$32,'Inputs'!$B$30+'Inputs'!$B$31+'Inputs'!$B$32)/1000+'Inputs'!$B$21))/SQRT((((252-43)*MAX('Inputs'!$B$33,'Inputs'!$B$29+'Inputs'!$B$31+'Inputs'!$B$32,'Inputs'!$B$30+'Inputs'!$B$31+'Inputs'!$B$32)/1000+'Inputs'!$B$21))^2+('Inputs'!$B$8/2)^2)))-'Results'!B7*(1+'Inputs'!$B$24)*(0.5*((((252-43)*MAX('Inputs'!$B$33,'Inputs'!$B$29+'Inputs'!$B$31+'Inputs'!$B$32,'Inputs'!$B$30+'Inputs'!$B$31+'Inputs'!$B$32)/1000+'Inputs'!$B$21+'Inputs'!$B$9+'Inputs'!$B$10)+'Inputs'!$B$7)/SQRT((((252-43)*MAX('Inputs'!$B$33,'Inputs'!$B$29+'Inputs'!$B$31+'Inputs'!$B$32,'Inputs'!$B$30+'Inputs'!$B$31+'Inputs'!$B$32)/1000+'Inputs'!$B$21+'Inputs'!$B$9+'Inputs'!$B$10)+'Inputs'!$B$7)^2+('Inputs'!$B$6/2)^2)-(((252-43)*MAX('Inputs'!$B$33,'Inputs'!$B$29+'Inputs'!$B$31+'Inputs'!$B$32,'Inputs'!$B$30+'Inputs'!$B$31+'Inputs'!$B$32)/1000+'Inputs'!$B$21+'Inputs'!$B$9+'Inputs'!$B$10))/SQRT((((252-43)*MAX('Inputs'!$B$33,'Inputs'!$B$29+'Inputs'!$B$31+'Inputs'!$B$32,'Inputs'!$B$30+'Inputs'!$B$31+'Inputs'!$B$32)/1000+'Inputs'!$B$21+'Inputs'!$B$9+'Inputs'!$B$10))^2+('Inputs'!$B$6/2)^2))))*'Results'!$B$8))),"")</x:f>
        <x:v>56.84141021704728</x:v>
      </x:c>
      <x:c r="O252" t="n">
        <x:f>IF(AND(ISNUMBER('Results'!C7),ISNUMBER('Results'!B7),ISNUMBER('Results'!$B$8),ISNUMBER('Inputs'!$B$6),ISNUMBER('Inputs'!$B$7),ISNUMBER('Inputs'!$B$8),ISNUMBER('Inputs'!$B$9),ISNUMBER('Inputs'!$B$10),ISNUMBER('Inputs'!$B$21),ISNUMBER('Inputs'!$B$24),ISNUMBER('Inputs'!$B$28)),((('Results'!C7*(1+'Inputs'!$B$24)*(0.5*((((252-43)*MAX('Inputs'!$B$33,'Inputs'!$B$29+'Inputs'!$B$31+'Inputs'!$B$32,'Inputs'!$B$30+'Inputs'!$B$31+'Inputs'!$B$32)/1000+'Inputs'!$B$21)+'Inputs'!$B$9)/SQRT((((252-43)*MAX('Inputs'!$B$33,'Inputs'!$B$29+'Inputs'!$B$31+'Inputs'!$B$32,'Inputs'!$B$30+'Inputs'!$B$31+'Inputs'!$B$32)/1000+'Inputs'!$B$21)+'Inputs'!$B$9)^2+('Inputs'!$B$8/2)^2)-(((252-43)*MAX('Inputs'!$B$33,'Inputs'!$B$29+'Inputs'!$B$31+'Inputs'!$B$32,'Inputs'!$B$30+'Inputs'!$B$31+'Inputs'!$B$32)/1000+'Inputs'!$B$21))/SQRT((((252-43)*MAX('Inputs'!$B$33,'Inputs'!$B$29+'Inputs'!$B$31+'Inputs'!$B$32,'Inputs'!$B$30+'Inputs'!$B$31+'Inputs'!$B$32)/1000+'Inputs'!$B$21))^2+('Inputs'!$B$8/2)^2)))-'Results'!B7*(1-'Inputs'!$B$24)*(0.5*((((252-43)*MAX('Inputs'!$B$33,'Inputs'!$B$29+'Inputs'!$B$31+'Inputs'!$B$32,'Inputs'!$B$30+'Inputs'!$B$31+'Inputs'!$B$32)/1000+'Inputs'!$B$21+'Inputs'!$B$9+'Inputs'!$B$10)+'Inputs'!$B$7)/SQRT((((252-43)*MAX('Inputs'!$B$33,'Inputs'!$B$29+'Inputs'!$B$31+'Inputs'!$B$32,'Inputs'!$B$30+'Inputs'!$B$31+'Inputs'!$B$32)/1000+'Inputs'!$B$21+'Inputs'!$B$9+'Inputs'!$B$10)+'Inputs'!$B$7)^2+('Inputs'!$B$6/2)^2)-(((252-43)*MAX('Inputs'!$B$33,'Inputs'!$B$29+'Inputs'!$B$31+'Inputs'!$B$32,'Inputs'!$B$30+'Inputs'!$B$31+'Inputs'!$B$32)/1000+'Inputs'!$B$21+'Inputs'!$B$9+'Inputs'!$B$10))/SQRT((((252-43)*MAX('Inputs'!$B$33,'Inputs'!$B$29+'Inputs'!$B$31+'Inputs'!$B$32,'Inputs'!$B$30+'Inputs'!$B$31+'Inputs'!$B$32)/1000+'Inputs'!$B$21+'Inputs'!$B$9+'Inputs'!$B$10))^2+('Inputs'!$B$6/2)^2))))*'Results'!$B$8)+'Inputs'!$B$28*ABS((('Results'!C7*(1+'Inputs'!$B$24)*(0.5*((((252-43)*MAX('Inputs'!$B$33,'Inputs'!$B$29+'Inputs'!$B$31+'Inputs'!$B$32,'Inputs'!$B$30+'Inputs'!$B$31+'Inputs'!$B$32)/1000+'Inputs'!$B$21)+'Inputs'!$B$9)/SQRT((((252-43)*MAX('Inputs'!$B$33,'Inputs'!$B$29+'Inputs'!$B$31+'Inputs'!$B$32,'Inputs'!$B$30+'Inputs'!$B$31+'Inputs'!$B$32)/1000+'Inputs'!$B$21)+'Inputs'!$B$9)^2+('Inputs'!$B$8/2)^2)-(((252-43)*MAX('Inputs'!$B$33,'Inputs'!$B$29+'Inputs'!$B$31+'Inputs'!$B$32,'Inputs'!$B$30+'Inputs'!$B$31+'Inputs'!$B$32)/1000+'Inputs'!$B$21))/SQRT((((252-43)*MAX('Inputs'!$B$33,'Inputs'!$B$29+'Inputs'!$B$31+'Inputs'!$B$32,'Inputs'!$B$30+'Inputs'!$B$31+'Inputs'!$B$32)/1000+'Inputs'!$B$21))^2+('Inputs'!$B$8/2)^2)))-'Results'!B7*(1-'Inputs'!$B$24)*(0.5*((((252-43)*MAX('Inputs'!$B$33,'Inputs'!$B$29+'Inputs'!$B$31+'Inputs'!$B$32,'Inputs'!$B$30+'Inputs'!$B$31+'Inputs'!$B$32)/1000+'Inputs'!$B$21+'Inputs'!$B$9+'Inputs'!$B$10)+'Inputs'!$B$7)/SQRT((((252-43)*MAX('Inputs'!$B$33,'Inputs'!$B$29+'Inputs'!$B$31+'Inputs'!$B$32,'Inputs'!$B$30+'Inputs'!$B$31+'Inputs'!$B$32)/1000+'Inputs'!$B$21+'Inputs'!$B$9+'Inputs'!$B$10)+'Inputs'!$B$7)^2+('Inputs'!$B$6/2)^2)-(((252-43)*MAX('Inputs'!$B$33,'Inputs'!$B$29+'Inputs'!$B$31+'Inputs'!$B$32,'Inputs'!$B$30+'Inputs'!$B$31+'Inputs'!$B$32)/1000+'Inputs'!$B$21+'Inputs'!$B$9+'Inputs'!$B$10))/SQRT((((252-43)*MAX('Inputs'!$B$33,'Inputs'!$B$29+'Inputs'!$B$31+'Inputs'!$B$32,'Inputs'!$B$30+'Inputs'!$B$31+'Inputs'!$B$32)/1000+'Inputs'!$B$21+'Inputs'!$B$9+'Inputs'!$B$10))^2+('Inputs'!$B$6/2)^2))))*'Results'!$B$8))),"")</x:f>
        <x:v>68.0067877307219</x:v>
      </x:c>
      <x:c r="P252" t="n">
        <x:f>IF(AND(MAX(J252,J251)&gt;0,J252&gt;J251+0.00000001),1,0)</x:f>
        <x:v>0</x:v>
      </x:c>
      <x:c r="Q252" t="n">
        <x:f>IF(AND(MAX(K252,K251)&gt;0,K252&gt;K251+0.00000001),1,0)</x:f>
        <x:v>0</x:v>
      </x:c>
      <x:c r="R252" t="n">
        <x:f>IF(AND(MAX(L252,L251)&gt;0,L252&gt;L251+0.00000001),1,0)</x:f>
        <x:v>0</x:v>
      </x:c>
      <x:c r="S252" t="n">
        <x:f>IF(AND(MAX(M252,M251)&gt;0,M252&gt;M251+0.00000001),1,0)</x:f>
        <x:v>0</x:v>
      </x:c>
      <x:c r="T252" t="n">
        <x:f>IF(AND(MAX(N252,N251)&gt;0,N252&gt;N251+0.00000001),1,0)</x:f>
        <x:v>0</x:v>
      </x:c>
      <x:c r="U252" t="n">
        <x:f>IF(AND(MAX(O252,O251)&gt;0,O252&gt;O251+0.00000001),1,0)</x:f>
        <x:v>0</x:v>
      </x:c>
    </x:row>
    <x:row r="253">
      <x:c r="J253" t="n">
        <x:f>IF(AND(ISNUMBER('Results'!B7),ISNUMBER('Results'!C7),ISNUMBER('Results'!$B$8),ISNUMBER('Inputs'!$B$6),ISNUMBER('Inputs'!$B$7),ISNUMBER('Inputs'!$B$8),ISNUMBER('Inputs'!$B$9),ISNUMBER('Inputs'!$B$10),ISNUMBER('Inputs'!$B$21),ISNUMBER('Inputs'!$B$24),ISNUMBER('Inputs'!$B$28)),(('Results'!B7*(0.5*((((253-43)*MAX('Inputs'!$B$33,'Inputs'!$B$29+'Inputs'!$B$31+'Inputs'!$B$32,'Inputs'!$B$30+'Inputs'!$B$31+'Inputs'!$B$32)/1000+'Inputs'!$B$21)+'Inputs'!$B$7)/SQRT((((253-43)*MAX('Inputs'!$B$33,'Inputs'!$B$29+'Inputs'!$B$31+'Inputs'!$B$32,'Inputs'!$B$30+'Inputs'!$B$31+'Inputs'!$B$32)/1000+'Inputs'!$B$21)+'Inputs'!$B$7)^2+('Inputs'!$B$6/2)^2)-(((253-43)*MAX('Inputs'!$B$33,'Inputs'!$B$29+'Inputs'!$B$31+'Inputs'!$B$32,'Inputs'!$B$30+'Inputs'!$B$31+'Inputs'!$B$32)/1000+'Inputs'!$B$21))/SQRT((((253-43)*MAX('Inputs'!$B$33,'Inputs'!$B$29+'Inputs'!$B$31+'Inputs'!$B$32,'Inputs'!$B$30+'Inputs'!$B$31+'Inputs'!$B$32)/1000+'Inputs'!$B$21))^2+('Inputs'!$B$6/2)^2)))-'Results'!C7*(0.5*((((253-43)*MAX('Inputs'!$B$33,'Inputs'!$B$29+'Inputs'!$B$31+'Inputs'!$B$32,'Inputs'!$B$30+'Inputs'!$B$31+'Inputs'!$B$32)/1000+'Inputs'!$B$21+'Inputs'!$B$7+'Inputs'!$B$10)+'Inputs'!$B$9)/SQRT((((253-43)*MAX('Inputs'!$B$33,'Inputs'!$B$29+'Inputs'!$B$31+'Inputs'!$B$32,'Inputs'!$B$30+'Inputs'!$B$31+'Inputs'!$B$32)/1000+'Inputs'!$B$21+'Inputs'!$B$7+'Inputs'!$B$10)+'Inputs'!$B$9)^2+('Inputs'!$B$8/2)^2)-(((253-43)*MAX('Inputs'!$B$33,'Inputs'!$B$29+'Inputs'!$B$31+'Inputs'!$B$32,'Inputs'!$B$30+'Inputs'!$B$31+'Inputs'!$B$32)/1000+'Inputs'!$B$21+'Inputs'!$B$7+'Inputs'!$B$10))/SQRT((((253-43)*MAX('Inputs'!$B$33,'Inputs'!$B$29+'Inputs'!$B$31+'Inputs'!$B$32,'Inputs'!$B$30+'Inputs'!$B$31+'Inputs'!$B$32)/1000+'Inputs'!$B$21+'Inputs'!$B$7+'Inputs'!$B$10))^2+('Inputs'!$B$8/2)^2))))*'Results'!$B$8),"")</x:f>
        <x:v>63.94656318027028</x:v>
      </x:c>
      <x:c r="K253" t="n">
        <x:f>IF(AND(ISNUMBER('Results'!B7),ISNUMBER('Results'!C7),ISNUMBER('Results'!$B$8),ISNUMBER('Inputs'!$B$6),ISNUMBER('Inputs'!$B$7),ISNUMBER('Inputs'!$B$8),ISNUMBER('Inputs'!$B$9),ISNUMBER('Inputs'!$B$10),ISNUMBER('Inputs'!$B$21),ISNUMBER('Inputs'!$B$24),ISNUMBER('Inputs'!$B$28)),((('Results'!B7*(1-'Inputs'!$B$24)*(0.5*((((253-43)*MAX('Inputs'!$B$33,'Inputs'!$B$29+'Inputs'!$B$31+'Inputs'!$B$32,'Inputs'!$B$30+'Inputs'!$B$31+'Inputs'!$B$32)/1000+'Inputs'!$B$21)+'Inputs'!$B$7)/SQRT((((253-43)*MAX('Inputs'!$B$33,'Inputs'!$B$29+'Inputs'!$B$31+'Inputs'!$B$32,'Inputs'!$B$30+'Inputs'!$B$31+'Inputs'!$B$32)/1000+'Inputs'!$B$21)+'Inputs'!$B$7)^2+('Inputs'!$B$6/2)^2)-(((253-43)*MAX('Inputs'!$B$33,'Inputs'!$B$29+'Inputs'!$B$31+'Inputs'!$B$32,'Inputs'!$B$30+'Inputs'!$B$31+'Inputs'!$B$32)/1000+'Inputs'!$B$21))/SQRT((((253-43)*MAX('Inputs'!$B$33,'Inputs'!$B$29+'Inputs'!$B$31+'Inputs'!$B$32,'Inputs'!$B$30+'Inputs'!$B$31+'Inputs'!$B$32)/1000+'Inputs'!$B$21))^2+('Inputs'!$B$6/2)^2)))-'Results'!C7*(1+'Inputs'!$B$24)*(0.5*((((253-43)*MAX('Inputs'!$B$33,'Inputs'!$B$29+'Inputs'!$B$31+'Inputs'!$B$32,'Inputs'!$B$30+'Inputs'!$B$31+'Inputs'!$B$32)/1000+'Inputs'!$B$21+'Inputs'!$B$7+'Inputs'!$B$10)+'Inputs'!$B$9)/SQRT((((253-43)*MAX('Inputs'!$B$33,'Inputs'!$B$29+'Inputs'!$B$31+'Inputs'!$B$32,'Inputs'!$B$30+'Inputs'!$B$31+'Inputs'!$B$32)/1000+'Inputs'!$B$21+'Inputs'!$B$7+'Inputs'!$B$10)+'Inputs'!$B$9)^2+('Inputs'!$B$8/2)^2)-(((253-43)*MAX('Inputs'!$B$33,'Inputs'!$B$29+'Inputs'!$B$31+'Inputs'!$B$32,'Inputs'!$B$30+'Inputs'!$B$31+'Inputs'!$B$32)/1000+'Inputs'!$B$21+'Inputs'!$B$7+'Inputs'!$B$10))/SQRT((((253-43)*MAX('Inputs'!$B$33,'Inputs'!$B$29+'Inputs'!$B$31+'Inputs'!$B$32,'Inputs'!$B$30+'Inputs'!$B$31+'Inputs'!$B$32)/1000+'Inputs'!$B$21+'Inputs'!$B$7+'Inputs'!$B$10))^2+('Inputs'!$B$8/2)^2))))*'Results'!$B$8)-'Inputs'!$B$28*ABS((('Results'!B7*(1-'Inputs'!$B$24)*(0.5*((((253-43)*MAX('Inputs'!$B$33,'Inputs'!$B$29+'Inputs'!$B$31+'Inputs'!$B$32,'Inputs'!$B$30+'Inputs'!$B$31+'Inputs'!$B$32)/1000+'Inputs'!$B$21)+'Inputs'!$B$7)/SQRT((((253-43)*MAX('Inputs'!$B$33,'Inputs'!$B$29+'Inputs'!$B$31+'Inputs'!$B$32,'Inputs'!$B$30+'Inputs'!$B$31+'Inputs'!$B$32)/1000+'Inputs'!$B$21)+'Inputs'!$B$7)^2+('Inputs'!$B$6/2)^2)-(((253-43)*MAX('Inputs'!$B$33,'Inputs'!$B$29+'Inputs'!$B$31+'Inputs'!$B$32,'Inputs'!$B$30+'Inputs'!$B$31+'Inputs'!$B$32)/1000+'Inputs'!$B$21))/SQRT((((253-43)*MAX('Inputs'!$B$33,'Inputs'!$B$29+'Inputs'!$B$31+'Inputs'!$B$32,'Inputs'!$B$30+'Inputs'!$B$31+'Inputs'!$B$32)/1000+'Inputs'!$B$21))^2+('Inputs'!$B$6/2)^2)))-'Results'!C7*(1+'Inputs'!$B$24)*(0.5*((((253-43)*MAX('Inputs'!$B$33,'Inputs'!$B$29+'Inputs'!$B$31+'Inputs'!$B$32,'Inputs'!$B$30+'Inputs'!$B$31+'Inputs'!$B$32)/1000+'Inputs'!$B$21+'Inputs'!$B$7+'Inputs'!$B$10)+'Inputs'!$B$9)/SQRT((((253-43)*MAX('Inputs'!$B$33,'Inputs'!$B$29+'Inputs'!$B$31+'Inputs'!$B$32,'Inputs'!$B$30+'Inputs'!$B$31+'Inputs'!$B$32)/1000+'Inputs'!$B$21+'Inputs'!$B$7+'Inputs'!$B$10)+'Inputs'!$B$9)^2+('Inputs'!$B$8/2)^2)-(((253-43)*MAX('Inputs'!$B$33,'Inputs'!$B$29+'Inputs'!$B$31+'Inputs'!$B$32,'Inputs'!$B$30+'Inputs'!$B$31+'Inputs'!$B$32)/1000+'Inputs'!$B$21+'Inputs'!$B$7+'Inputs'!$B$10))/SQRT((((253-43)*MAX('Inputs'!$B$33,'Inputs'!$B$29+'Inputs'!$B$31+'Inputs'!$B$32,'Inputs'!$B$30+'Inputs'!$B$31+'Inputs'!$B$32)/1000+'Inputs'!$B$21+'Inputs'!$B$7+'Inputs'!$B$10))^2+('Inputs'!$B$8/2)^2))))*'Results'!$B$8))),"")</x:f>
        <x:v>58.406316890250906</x:v>
      </x:c>
      <x:c r="L253" t="n">
        <x:f>IF(AND(ISNUMBER('Results'!B7),ISNUMBER('Results'!C7),ISNUMBER('Results'!$B$8),ISNUMBER('Inputs'!$B$6),ISNUMBER('Inputs'!$B$7),ISNUMBER('Inputs'!$B$8),ISNUMBER('Inputs'!$B$9),ISNUMBER('Inputs'!$B$10),ISNUMBER('Inputs'!$B$21),ISNUMBER('Inputs'!$B$24),ISNUMBER('Inputs'!$B$28)),((('Results'!B7*(1+'Inputs'!$B$24)*(0.5*((((253-43)*MAX('Inputs'!$B$33,'Inputs'!$B$29+'Inputs'!$B$31+'Inputs'!$B$32,'Inputs'!$B$30+'Inputs'!$B$31+'Inputs'!$B$32)/1000+'Inputs'!$B$21)+'Inputs'!$B$7)/SQRT((((253-43)*MAX('Inputs'!$B$33,'Inputs'!$B$29+'Inputs'!$B$31+'Inputs'!$B$32,'Inputs'!$B$30+'Inputs'!$B$31+'Inputs'!$B$32)/1000+'Inputs'!$B$21)+'Inputs'!$B$7)^2+('Inputs'!$B$6/2)^2)-(((253-43)*MAX('Inputs'!$B$33,'Inputs'!$B$29+'Inputs'!$B$31+'Inputs'!$B$32,'Inputs'!$B$30+'Inputs'!$B$31+'Inputs'!$B$32)/1000+'Inputs'!$B$21))/SQRT((((253-43)*MAX('Inputs'!$B$33,'Inputs'!$B$29+'Inputs'!$B$31+'Inputs'!$B$32,'Inputs'!$B$30+'Inputs'!$B$31+'Inputs'!$B$32)/1000+'Inputs'!$B$21))^2+('Inputs'!$B$6/2)^2)))-'Results'!C7*(1-'Inputs'!$B$24)*(0.5*((((253-43)*MAX('Inputs'!$B$33,'Inputs'!$B$29+'Inputs'!$B$31+'Inputs'!$B$32,'Inputs'!$B$30+'Inputs'!$B$31+'Inputs'!$B$32)/1000+'Inputs'!$B$21+'Inputs'!$B$7+'Inputs'!$B$10)+'Inputs'!$B$9)/SQRT((((253-43)*MAX('Inputs'!$B$33,'Inputs'!$B$29+'Inputs'!$B$31+'Inputs'!$B$32,'Inputs'!$B$30+'Inputs'!$B$31+'Inputs'!$B$32)/1000+'Inputs'!$B$21+'Inputs'!$B$7+'Inputs'!$B$10)+'Inputs'!$B$9)^2+('Inputs'!$B$8/2)^2)-(((253-43)*MAX('Inputs'!$B$33,'Inputs'!$B$29+'Inputs'!$B$31+'Inputs'!$B$32,'Inputs'!$B$30+'Inputs'!$B$31+'Inputs'!$B$32)/1000+'Inputs'!$B$21+'Inputs'!$B$7+'Inputs'!$B$10))/SQRT((((253-43)*MAX('Inputs'!$B$33,'Inputs'!$B$29+'Inputs'!$B$31+'Inputs'!$B$32,'Inputs'!$B$30+'Inputs'!$B$31+'Inputs'!$B$32)/1000+'Inputs'!$B$21+'Inputs'!$B$7+'Inputs'!$B$10))^2+('Inputs'!$B$8/2)^2))))*'Results'!$B$8)+'Inputs'!$B$28*ABS((('Results'!B7*(1+'Inputs'!$B$24)*(0.5*((((253-43)*MAX('Inputs'!$B$33,'Inputs'!$B$29+'Inputs'!$B$31+'Inputs'!$B$32,'Inputs'!$B$30+'Inputs'!$B$31+'Inputs'!$B$32)/1000+'Inputs'!$B$21)+'Inputs'!$B$7)/SQRT((((253-43)*MAX('Inputs'!$B$33,'Inputs'!$B$29+'Inputs'!$B$31+'Inputs'!$B$32,'Inputs'!$B$30+'Inputs'!$B$31+'Inputs'!$B$32)/1000+'Inputs'!$B$21)+'Inputs'!$B$7)^2+('Inputs'!$B$6/2)^2)-(((253-43)*MAX('Inputs'!$B$33,'Inputs'!$B$29+'Inputs'!$B$31+'Inputs'!$B$32,'Inputs'!$B$30+'Inputs'!$B$31+'Inputs'!$B$32)/1000+'Inputs'!$B$21))/SQRT((((253-43)*MAX('Inputs'!$B$33,'Inputs'!$B$29+'Inputs'!$B$31+'Inputs'!$B$32,'Inputs'!$B$30+'Inputs'!$B$31+'Inputs'!$B$32)/1000+'Inputs'!$B$21))^2+('Inputs'!$B$6/2)^2)))-'Results'!C7*(1-'Inputs'!$B$24)*(0.5*((((253-43)*MAX('Inputs'!$B$33,'Inputs'!$B$29+'Inputs'!$B$31+'Inputs'!$B$32,'Inputs'!$B$30+'Inputs'!$B$31+'Inputs'!$B$32)/1000+'Inputs'!$B$21+'Inputs'!$B$7+'Inputs'!$B$10)+'Inputs'!$B$9)/SQRT((((253-43)*MAX('Inputs'!$B$33,'Inputs'!$B$29+'Inputs'!$B$31+'Inputs'!$B$32,'Inputs'!$B$30+'Inputs'!$B$31+'Inputs'!$B$32)/1000+'Inputs'!$B$21+'Inputs'!$B$7+'Inputs'!$B$10)+'Inputs'!$B$9)^2+('Inputs'!$B$8/2)^2)-(((253-43)*MAX('Inputs'!$B$33,'Inputs'!$B$29+'Inputs'!$B$31+'Inputs'!$B$32,'Inputs'!$B$30+'Inputs'!$B$31+'Inputs'!$B$32)/1000+'Inputs'!$B$21+'Inputs'!$B$7+'Inputs'!$B$10))/SQRT((((253-43)*MAX('Inputs'!$B$33,'Inputs'!$B$29+'Inputs'!$B$31+'Inputs'!$B$32,'Inputs'!$B$30+'Inputs'!$B$31+'Inputs'!$B$32)/1000+'Inputs'!$B$21+'Inputs'!$B$7+'Inputs'!$B$10))^2+('Inputs'!$B$8/2)^2))))*'Results'!$B$8))),"")</x:f>
        <x:v>69.73343243144816</x:v>
      </x:c>
      <x:c r="M253" t="n">
        <x:f>IF(AND(ISNUMBER('Results'!C7),ISNUMBER('Results'!B7),ISNUMBER('Results'!$B$8),ISNUMBER('Inputs'!$B$6),ISNUMBER('Inputs'!$B$7),ISNUMBER('Inputs'!$B$8),ISNUMBER('Inputs'!$B$9),ISNUMBER('Inputs'!$B$10),ISNUMBER('Inputs'!$B$21),ISNUMBER('Inputs'!$B$24),ISNUMBER('Inputs'!$B$28)),(('Results'!C7*(0.5*((((253-43)*MAX('Inputs'!$B$33,'Inputs'!$B$29+'Inputs'!$B$31+'Inputs'!$B$32,'Inputs'!$B$30+'Inputs'!$B$31+'Inputs'!$B$32)/1000+'Inputs'!$B$21)+'Inputs'!$B$9)/SQRT((((253-43)*MAX('Inputs'!$B$33,'Inputs'!$B$29+'Inputs'!$B$31+'Inputs'!$B$32,'Inputs'!$B$30+'Inputs'!$B$31+'Inputs'!$B$32)/1000+'Inputs'!$B$21)+'Inputs'!$B$9)^2+('Inputs'!$B$8/2)^2)-(((253-43)*MAX('Inputs'!$B$33,'Inputs'!$B$29+'Inputs'!$B$31+'Inputs'!$B$32,'Inputs'!$B$30+'Inputs'!$B$31+'Inputs'!$B$32)/1000+'Inputs'!$B$21))/SQRT((((253-43)*MAX('Inputs'!$B$33,'Inputs'!$B$29+'Inputs'!$B$31+'Inputs'!$B$32,'Inputs'!$B$30+'Inputs'!$B$31+'Inputs'!$B$32)/1000+'Inputs'!$B$21))^2+('Inputs'!$B$8/2)^2)))-'Results'!B7*(0.5*((((253-43)*MAX('Inputs'!$B$33,'Inputs'!$B$29+'Inputs'!$B$31+'Inputs'!$B$32,'Inputs'!$B$30+'Inputs'!$B$31+'Inputs'!$B$32)/1000+'Inputs'!$B$21+'Inputs'!$B$9+'Inputs'!$B$10)+'Inputs'!$B$7)/SQRT((((253-43)*MAX('Inputs'!$B$33,'Inputs'!$B$29+'Inputs'!$B$31+'Inputs'!$B$32,'Inputs'!$B$30+'Inputs'!$B$31+'Inputs'!$B$32)/1000+'Inputs'!$B$21+'Inputs'!$B$9+'Inputs'!$B$10)+'Inputs'!$B$7)^2+('Inputs'!$B$6/2)^2)-(((253-43)*MAX('Inputs'!$B$33,'Inputs'!$B$29+'Inputs'!$B$31+'Inputs'!$B$32,'Inputs'!$B$30+'Inputs'!$B$31+'Inputs'!$B$32)/1000+'Inputs'!$B$21+'Inputs'!$B$9+'Inputs'!$B$10))/SQRT((((253-43)*MAX('Inputs'!$B$33,'Inputs'!$B$29+'Inputs'!$B$31+'Inputs'!$B$32,'Inputs'!$B$30+'Inputs'!$B$31+'Inputs'!$B$32)/1000+'Inputs'!$B$21+'Inputs'!$B$9+'Inputs'!$B$10))^2+('Inputs'!$B$6/2)^2))))*'Results'!$B$8),"")</x:f>
        <x:v>61.46821827942006</x:v>
      </x:c>
      <x:c r="N253" t="n">
        <x:f>IF(AND(ISNUMBER('Results'!C7),ISNUMBER('Results'!B7),ISNUMBER('Results'!$B$8),ISNUMBER('Inputs'!$B$6),ISNUMBER('Inputs'!$B$7),ISNUMBER('Inputs'!$B$8),ISNUMBER('Inputs'!$B$9),ISNUMBER('Inputs'!$B$10),ISNUMBER('Inputs'!$B$21),ISNUMBER('Inputs'!$B$24),ISNUMBER('Inputs'!$B$28)),((('Results'!C7*(1-'Inputs'!$B$24)*(0.5*((((253-43)*MAX('Inputs'!$B$33,'Inputs'!$B$29+'Inputs'!$B$31+'Inputs'!$B$32,'Inputs'!$B$30+'Inputs'!$B$31+'Inputs'!$B$32)/1000+'Inputs'!$B$21)+'Inputs'!$B$9)/SQRT((((253-43)*MAX('Inputs'!$B$33,'Inputs'!$B$29+'Inputs'!$B$31+'Inputs'!$B$32,'Inputs'!$B$30+'Inputs'!$B$31+'Inputs'!$B$32)/1000+'Inputs'!$B$21)+'Inputs'!$B$9)^2+('Inputs'!$B$8/2)^2)-(((253-43)*MAX('Inputs'!$B$33,'Inputs'!$B$29+'Inputs'!$B$31+'Inputs'!$B$32,'Inputs'!$B$30+'Inputs'!$B$31+'Inputs'!$B$32)/1000+'Inputs'!$B$21))/SQRT((((253-43)*MAX('Inputs'!$B$33,'Inputs'!$B$29+'Inputs'!$B$31+'Inputs'!$B$32,'Inputs'!$B$30+'Inputs'!$B$31+'Inputs'!$B$32)/1000+'Inputs'!$B$21))^2+('Inputs'!$B$8/2)^2)))-'Results'!B7*(1+'Inputs'!$B$24)*(0.5*((((253-43)*MAX('Inputs'!$B$33,'Inputs'!$B$29+'Inputs'!$B$31+'Inputs'!$B$32,'Inputs'!$B$30+'Inputs'!$B$31+'Inputs'!$B$32)/1000+'Inputs'!$B$21+'Inputs'!$B$9+'Inputs'!$B$10)+'Inputs'!$B$7)/SQRT((((253-43)*MAX('Inputs'!$B$33,'Inputs'!$B$29+'Inputs'!$B$31+'Inputs'!$B$32,'Inputs'!$B$30+'Inputs'!$B$31+'Inputs'!$B$32)/1000+'Inputs'!$B$21+'Inputs'!$B$9+'Inputs'!$B$10)+'Inputs'!$B$7)^2+('Inputs'!$B$6/2)^2)-(((253-43)*MAX('Inputs'!$B$33,'Inputs'!$B$29+'Inputs'!$B$31+'Inputs'!$B$32,'Inputs'!$B$30+'Inputs'!$B$31+'Inputs'!$B$32)/1000+'Inputs'!$B$21+'Inputs'!$B$9+'Inputs'!$B$10))/SQRT((((253-43)*MAX('Inputs'!$B$33,'Inputs'!$B$29+'Inputs'!$B$31+'Inputs'!$B$32,'Inputs'!$B$30+'Inputs'!$B$31+'Inputs'!$B$32)/1000+'Inputs'!$B$21+'Inputs'!$B$9+'Inputs'!$B$10))^2+('Inputs'!$B$6/2)^2))))*'Results'!$B$8)-'Inputs'!$B$28*ABS((('Results'!C7*(1-'Inputs'!$B$24)*(0.5*((((253-43)*MAX('Inputs'!$B$33,'Inputs'!$B$29+'Inputs'!$B$31+'Inputs'!$B$32,'Inputs'!$B$30+'Inputs'!$B$31+'Inputs'!$B$32)/1000+'Inputs'!$B$21)+'Inputs'!$B$9)/SQRT((((253-43)*MAX('Inputs'!$B$33,'Inputs'!$B$29+'Inputs'!$B$31+'Inputs'!$B$32,'Inputs'!$B$30+'Inputs'!$B$31+'Inputs'!$B$32)/1000+'Inputs'!$B$21)+'Inputs'!$B$9)^2+('Inputs'!$B$8/2)^2)-(((253-43)*MAX('Inputs'!$B$33,'Inputs'!$B$29+'Inputs'!$B$31+'Inputs'!$B$32,'Inputs'!$B$30+'Inputs'!$B$31+'Inputs'!$B$32)/1000+'Inputs'!$B$21))/SQRT((((253-43)*MAX('Inputs'!$B$33,'Inputs'!$B$29+'Inputs'!$B$31+'Inputs'!$B$32,'Inputs'!$B$30+'Inputs'!$B$31+'Inputs'!$B$32)/1000+'Inputs'!$B$21))^2+('Inputs'!$B$8/2)^2)))-'Results'!B7*(1+'Inputs'!$B$24)*(0.5*((((253-43)*MAX('Inputs'!$B$33,'Inputs'!$B$29+'Inputs'!$B$31+'Inputs'!$B$32,'Inputs'!$B$30+'Inputs'!$B$31+'Inputs'!$B$32)/1000+'Inputs'!$B$21+'Inputs'!$B$9+'Inputs'!$B$10)+'Inputs'!$B$7)/SQRT((((253-43)*MAX('Inputs'!$B$33,'Inputs'!$B$29+'Inputs'!$B$31+'Inputs'!$B$32,'Inputs'!$B$30+'Inputs'!$B$31+'Inputs'!$B$32)/1000+'Inputs'!$B$21+'Inputs'!$B$9+'Inputs'!$B$10)+'Inputs'!$B$7)^2+('Inputs'!$B$6/2)^2)-(((253-43)*MAX('Inputs'!$B$33,'Inputs'!$B$29+'Inputs'!$B$31+'Inputs'!$B$32,'Inputs'!$B$30+'Inputs'!$B$31+'Inputs'!$B$32)/1000+'Inputs'!$B$21+'Inputs'!$B$9+'Inputs'!$B$10))/SQRT((((253-43)*MAX('Inputs'!$B$33,'Inputs'!$B$29+'Inputs'!$B$31+'Inputs'!$B$32,'Inputs'!$B$30+'Inputs'!$B$31+'Inputs'!$B$32)/1000+'Inputs'!$B$21+'Inputs'!$B$9+'Inputs'!$B$10))^2+('Inputs'!$B$6/2)^2))))*'Results'!$B$8))),"")</x:f>
        <x:v>56.075958737955645</x:v>
      </x:c>
      <x:c r="O253" t="n">
        <x:f>IF(AND(ISNUMBER('Results'!C7),ISNUMBER('Results'!B7),ISNUMBER('Results'!$B$8),ISNUMBER('Inputs'!$B$6),ISNUMBER('Inputs'!$B$7),ISNUMBER('Inputs'!$B$8),ISNUMBER('Inputs'!$B$9),ISNUMBER('Inputs'!$B$10),ISNUMBER('Inputs'!$B$21),ISNUMBER('Inputs'!$B$24),ISNUMBER('Inputs'!$B$28)),((('Results'!C7*(1+'Inputs'!$B$24)*(0.5*((((253-43)*MAX('Inputs'!$B$33,'Inputs'!$B$29+'Inputs'!$B$31+'Inputs'!$B$32,'Inputs'!$B$30+'Inputs'!$B$31+'Inputs'!$B$32)/1000+'Inputs'!$B$21)+'Inputs'!$B$9)/SQRT((((253-43)*MAX('Inputs'!$B$33,'Inputs'!$B$29+'Inputs'!$B$31+'Inputs'!$B$32,'Inputs'!$B$30+'Inputs'!$B$31+'Inputs'!$B$32)/1000+'Inputs'!$B$21)+'Inputs'!$B$9)^2+('Inputs'!$B$8/2)^2)-(((253-43)*MAX('Inputs'!$B$33,'Inputs'!$B$29+'Inputs'!$B$31+'Inputs'!$B$32,'Inputs'!$B$30+'Inputs'!$B$31+'Inputs'!$B$32)/1000+'Inputs'!$B$21))/SQRT((((253-43)*MAX('Inputs'!$B$33,'Inputs'!$B$29+'Inputs'!$B$31+'Inputs'!$B$32,'Inputs'!$B$30+'Inputs'!$B$31+'Inputs'!$B$32)/1000+'Inputs'!$B$21))^2+('Inputs'!$B$8/2)^2)))-'Results'!B7*(1-'Inputs'!$B$24)*(0.5*((((253-43)*MAX('Inputs'!$B$33,'Inputs'!$B$29+'Inputs'!$B$31+'Inputs'!$B$32,'Inputs'!$B$30+'Inputs'!$B$31+'Inputs'!$B$32)/1000+'Inputs'!$B$21+'Inputs'!$B$9+'Inputs'!$B$10)+'Inputs'!$B$7)/SQRT((((253-43)*MAX('Inputs'!$B$33,'Inputs'!$B$29+'Inputs'!$B$31+'Inputs'!$B$32,'Inputs'!$B$30+'Inputs'!$B$31+'Inputs'!$B$32)/1000+'Inputs'!$B$21+'Inputs'!$B$9+'Inputs'!$B$10)+'Inputs'!$B$7)^2+('Inputs'!$B$6/2)^2)-(((253-43)*MAX('Inputs'!$B$33,'Inputs'!$B$29+'Inputs'!$B$31+'Inputs'!$B$32,'Inputs'!$B$30+'Inputs'!$B$31+'Inputs'!$B$32)/1000+'Inputs'!$B$21+'Inputs'!$B$9+'Inputs'!$B$10))/SQRT((((253-43)*MAX('Inputs'!$B$33,'Inputs'!$B$29+'Inputs'!$B$31+'Inputs'!$B$32,'Inputs'!$B$30+'Inputs'!$B$31+'Inputs'!$B$32)/1000+'Inputs'!$B$21+'Inputs'!$B$9+'Inputs'!$B$10))^2+('Inputs'!$B$6/2)^2))))*'Results'!$B$8)+'Inputs'!$B$28*ABS((('Results'!C7*(1+'Inputs'!$B$24)*(0.5*((((253-43)*MAX('Inputs'!$B$33,'Inputs'!$B$29+'Inputs'!$B$31+'Inputs'!$B$32,'Inputs'!$B$30+'Inputs'!$B$31+'Inputs'!$B$32)/1000+'Inputs'!$B$21)+'Inputs'!$B$9)/SQRT((((253-43)*MAX('Inputs'!$B$33,'Inputs'!$B$29+'Inputs'!$B$31+'Inputs'!$B$32,'Inputs'!$B$30+'Inputs'!$B$31+'Inputs'!$B$32)/1000+'Inputs'!$B$21)+'Inputs'!$B$9)^2+('Inputs'!$B$8/2)^2)-(((253-43)*MAX('Inputs'!$B$33,'Inputs'!$B$29+'Inputs'!$B$31+'Inputs'!$B$32,'Inputs'!$B$30+'Inputs'!$B$31+'Inputs'!$B$32)/1000+'Inputs'!$B$21))/SQRT((((253-43)*MAX('Inputs'!$B$33,'Inputs'!$B$29+'Inputs'!$B$31+'Inputs'!$B$32,'Inputs'!$B$30+'Inputs'!$B$31+'Inputs'!$B$32)/1000+'Inputs'!$B$21))^2+('Inputs'!$B$8/2)^2)))-'Results'!B7*(1-'Inputs'!$B$24)*(0.5*((((253-43)*MAX('Inputs'!$B$33,'Inputs'!$B$29+'Inputs'!$B$31+'Inputs'!$B$32,'Inputs'!$B$30+'Inputs'!$B$31+'Inputs'!$B$32)/1000+'Inputs'!$B$21+'Inputs'!$B$9+'Inputs'!$B$10)+'Inputs'!$B$7)/SQRT((((253-43)*MAX('Inputs'!$B$33,'Inputs'!$B$29+'Inputs'!$B$31+'Inputs'!$B$32,'Inputs'!$B$30+'Inputs'!$B$31+'Inputs'!$B$32)/1000+'Inputs'!$B$21+'Inputs'!$B$9+'Inputs'!$B$10)+'Inputs'!$B$7)^2+('Inputs'!$B$6/2)^2)-(((253-43)*MAX('Inputs'!$B$33,'Inputs'!$B$29+'Inputs'!$B$31+'Inputs'!$B$32,'Inputs'!$B$30+'Inputs'!$B$31+'Inputs'!$B$32)/1000+'Inputs'!$B$21+'Inputs'!$B$9+'Inputs'!$B$10))/SQRT((((253-43)*MAX('Inputs'!$B$33,'Inputs'!$B$29+'Inputs'!$B$31+'Inputs'!$B$32,'Inputs'!$B$30+'Inputs'!$B$31+'Inputs'!$B$32)/1000+'Inputs'!$B$21+'Inputs'!$B$9+'Inputs'!$B$10))^2+('Inputs'!$B$6/2)^2))))*'Results'!$B$8))),"")</x:f>
        <x:v>67.10456715009431</x:v>
      </x:c>
      <x:c r="P253" t="n">
        <x:f>IF(AND(MAX(J253,J252)&gt;0,J253&gt;J252+0.00000001),1,0)</x:f>
        <x:v>0</x:v>
      </x:c>
      <x:c r="Q253" t="n">
        <x:f>IF(AND(MAX(K253,K252)&gt;0,K253&gt;K252+0.00000001),1,0)</x:f>
        <x:v>0</x:v>
      </x:c>
      <x:c r="R253" t="n">
        <x:f>IF(AND(MAX(L253,L252)&gt;0,L253&gt;L252+0.00000001),1,0)</x:f>
        <x:v>0</x:v>
      </x:c>
      <x:c r="S253" t="n">
        <x:f>IF(AND(MAX(M253,M252)&gt;0,M253&gt;M252+0.00000001),1,0)</x:f>
        <x:v>0</x:v>
      </x:c>
      <x:c r="T253" t="n">
        <x:f>IF(AND(MAX(N253,N252)&gt;0,N253&gt;N252+0.00000001),1,0)</x:f>
        <x:v>0</x:v>
      </x:c>
      <x:c r="U253" t="n">
        <x:f>IF(AND(MAX(O253,O252)&gt;0,O253&gt;O252+0.00000001),1,0)</x:f>
        <x:v>0</x:v>
      </x:c>
    </x:row>
    <x:row r="254">
      <x:c r="J254" t="n">
        <x:f>IF(AND(ISNUMBER('Results'!B7),ISNUMBER('Results'!C7),ISNUMBER('Results'!$B$8),ISNUMBER('Inputs'!$B$6),ISNUMBER('Inputs'!$B$7),ISNUMBER('Inputs'!$B$8),ISNUMBER('Inputs'!$B$9),ISNUMBER('Inputs'!$B$10),ISNUMBER('Inputs'!$B$21),ISNUMBER('Inputs'!$B$24),ISNUMBER('Inputs'!$B$28)),(('Results'!B7*(0.5*((((254-43)*MAX('Inputs'!$B$33,'Inputs'!$B$29+'Inputs'!$B$31+'Inputs'!$B$32,'Inputs'!$B$30+'Inputs'!$B$31+'Inputs'!$B$32)/1000+'Inputs'!$B$21)+'Inputs'!$B$7)/SQRT((((254-43)*MAX('Inputs'!$B$33,'Inputs'!$B$29+'Inputs'!$B$31+'Inputs'!$B$32,'Inputs'!$B$30+'Inputs'!$B$31+'Inputs'!$B$32)/1000+'Inputs'!$B$21)+'Inputs'!$B$7)^2+('Inputs'!$B$6/2)^2)-(((254-43)*MAX('Inputs'!$B$33,'Inputs'!$B$29+'Inputs'!$B$31+'Inputs'!$B$32,'Inputs'!$B$30+'Inputs'!$B$31+'Inputs'!$B$32)/1000+'Inputs'!$B$21))/SQRT((((254-43)*MAX('Inputs'!$B$33,'Inputs'!$B$29+'Inputs'!$B$31+'Inputs'!$B$32,'Inputs'!$B$30+'Inputs'!$B$31+'Inputs'!$B$32)/1000+'Inputs'!$B$21))^2+('Inputs'!$B$6/2)^2)))-'Results'!C7*(0.5*((((254-43)*MAX('Inputs'!$B$33,'Inputs'!$B$29+'Inputs'!$B$31+'Inputs'!$B$32,'Inputs'!$B$30+'Inputs'!$B$31+'Inputs'!$B$32)/1000+'Inputs'!$B$21+'Inputs'!$B$7+'Inputs'!$B$10)+'Inputs'!$B$9)/SQRT((((254-43)*MAX('Inputs'!$B$33,'Inputs'!$B$29+'Inputs'!$B$31+'Inputs'!$B$32,'Inputs'!$B$30+'Inputs'!$B$31+'Inputs'!$B$32)/1000+'Inputs'!$B$21+'Inputs'!$B$7+'Inputs'!$B$10)+'Inputs'!$B$9)^2+('Inputs'!$B$8/2)^2)-(((254-43)*MAX('Inputs'!$B$33,'Inputs'!$B$29+'Inputs'!$B$31+'Inputs'!$B$32,'Inputs'!$B$30+'Inputs'!$B$31+'Inputs'!$B$32)/1000+'Inputs'!$B$21+'Inputs'!$B$7+'Inputs'!$B$10))/SQRT((((254-43)*MAX('Inputs'!$B$33,'Inputs'!$B$29+'Inputs'!$B$31+'Inputs'!$B$32,'Inputs'!$B$30+'Inputs'!$B$31+'Inputs'!$B$32)/1000+'Inputs'!$B$21+'Inputs'!$B$7+'Inputs'!$B$10))^2+('Inputs'!$B$8/2)^2))))*'Results'!$B$8),"")</x:f>
        <x:v>63.10086867172686</x:v>
      </x:c>
      <x:c r="K254" t="n">
        <x:f>IF(AND(ISNUMBER('Results'!B7),ISNUMBER('Results'!C7),ISNUMBER('Results'!$B$8),ISNUMBER('Inputs'!$B$6),ISNUMBER('Inputs'!$B$7),ISNUMBER('Inputs'!$B$8),ISNUMBER('Inputs'!$B$9),ISNUMBER('Inputs'!$B$10),ISNUMBER('Inputs'!$B$21),ISNUMBER('Inputs'!$B$24),ISNUMBER('Inputs'!$B$28)),((('Results'!B7*(1-'Inputs'!$B$24)*(0.5*((((254-43)*MAX('Inputs'!$B$33,'Inputs'!$B$29+'Inputs'!$B$31+'Inputs'!$B$32,'Inputs'!$B$30+'Inputs'!$B$31+'Inputs'!$B$32)/1000+'Inputs'!$B$21)+'Inputs'!$B$7)/SQRT((((254-43)*MAX('Inputs'!$B$33,'Inputs'!$B$29+'Inputs'!$B$31+'Inputs'!$B$32,'Inputs'!$B$30+'Inputs'!$B$31+'Inputs'!$B$32)/1000+'Inputs'!$B$21)+'Inputs'!$B$7)^2+('Inputs'!$B$6/2)^2)-(((254-43)*MAX('Inputs'!$B$33,'Inputs'!$B$29+'Inputs'!$B$31+'Inputs'!$B$32,'Inputs'!$B$30+'Inputs'!$B$31+'Inputs'!$B$32)/1000+'Inputs'!$B$21))/SQRT((((254-43)*MAX('Inputs'!$B$33,'Inputs'!$B$29+'Inputs'!$B$31+'Inputs'!$B$32,'Inputs'!$B$30+'Inputs'!$B$31+'Inputs'!$B$32)/1000+'Inputs'!$B$21))^2+('Inputs'!$B$6/2)^2)))-'Results'!C7*(1+'Inputs'!$B$24)*(0.5*((((254-43)*MAX('Inputs'!$B$33,'Inputs'!$B$29+'Inputs'!$B$31+'Inputs'!$B$32,'Inputs'!$B$30+'Inputs'!$B$31+'Inputs'!$B$32)/1000+'Inputs'!$B$21+'Inputs'!$B$7+'Inputs'!$B$10)+'Inputs'!$B$9)/SQRT((((254-43)*MAX('Inputs'!$B$33,'Inputs'!$B$29+'Inputs'!$B$31+'Inputs'!$B$32,'Inputs'!$B$30+'Inputs'!$B$31+'Inputs'!$B$32)/1000+'Inputs'!$B$21+'Inputs'!$B$7+'Inputs'!$B$10)+'Inputs'!$B$9)^2+('Inputs'!$B$8/2)^2)-(((254-43)*MAX('Inputs'!$B$33,'Inputs'!$B$29+'Inputs'!$B$31+'Inputs'!$B$32,'Inputs'!$B$30+'Inputs'!$B$31+'Inputs'!$B$32)/1000+'Inputs'!$B$21+'Inputs'!$B$7+'Inputs'!$B$10))/SQRT((((254-43)*MAX('Inputs'!$B$33,'Inputs'!$B$29+'Inputs'!$B$31+'Inputs'!$B$32,'Inputs'!$B$30+'Inputs'!$B$31+'Inputs'!$B$32)/1000+'Inputs'!$B$21+'Inputs'!$B$7+'Inputs'!$B$10))^2+('Inputs'!$B$8/2)^2))))*'Results'!$B$8)-'Inputs'!$B$28*ABS((('Results'!B7*(1-'Inputs'!$B$24)*(0.5*((((254-43)*MAX('Inputs'!$B$33,'Inputs'!$B$29+'Inputs'!$B$31+'Inputs'!$B$32,'Inputs'!$B$30+'Inputs'!$B$31+'Inputs'!$B$32)/1000+'Inputs'!$B$21)+'Inputs'!$B$7)/SQRT((((254-43)*MAX('Inputs'!$B$33,'Inputs'!$B$29+'Inputs'!$B$31+'Inputs'!$B$32,'Inputs'!$B$30+'Inputs'!$B$31+'Inputs'!$B$32)/1000+'Inputs'!$B$21)+'Inputs'!$B$7)^2+('Inputs'!$B$6/2)^2)-(((254-43)*MAX('Inputs'!$B$33,'Inputs'!$B$29+'Inputs'!$B$31+'Inputs'!$B$32,'Inputs'!$B$30+'Inputs'!$B$31+'Inputs'!$B$32)/1000+'Inputs'!$B$21))/SQRT((((254-43)*MAX('Inputs'!$B$33,'Inputs'!$B$29+'Inputs'!$B$31+'Inputs'!$B$32,'Inputs'!$B$30+'Inputs'!$B$31+'Inputs'!$B$32)/1000+'Inputs'!$B$21))^2+('Inputs'!$B$6/2)^2)))-'Results'!C7*(1+'Inputs'!$B$24)*(0.5*((((254-43)*MAX('Inputs'!$B$33,'Inputs'!$B$29+'Inputs'!$B$31+'Inputs'!$B$32,'Inputs'!$B$30+'Inputs'!$B$31+'Inputs'!$B$32)/1000+'Inputs'!$B$21+'Inputs'!$B$7+'Inputs'!$B$10)+'Inputs'!$B$9)/SQRT((((254-43)*MAX('Inputs'!$B$33,'Inputs'!$B$29+'Inputs'!$B$31+'Inputs'!$B$32,'Inputs'!$B$30+'Inputs'!$B$31+'Inputs'!$B$32)/1000+'Inputs'!$B$21+'Inputs'!$B$7+'Inputs'!$B$10)+'Inputs'!$B$9)^2+('Inputs'!$B$8/2)^2)-(((254-43)*MAX('Inputs'!$B$33,'Inputs'!$B$29+'Inputs'!$B$31+'Inputs'!$B$32,'Inputs'!$B$30+'Inputs'!$B$31+'Inputs'!$B$32)/1000+'Inputs'!$B$21+'Inputs'!$B$7+'Inputs'!$B$10))/SQRT((((254-43)*MAX('Inputs'!$B$33,'Inputs'!$B$29+'Inputs'!$B$31+'Inputs'!$B$32,'Inputs'!$B$30+'Inputs'!$B$31+'Inputs'!$B$32)/1000+'Inputs'!$B$21+'Inputs'!$B$7+'Inputs'!$B$10))^2+('Inputs'!$B$8/2)^2))))*'Results'!$B$8))),"")</x:f>
        <x:v>57.628285142063774</x:v>
      </x:c>
      <x:c r="L254" t="n">
        <x:f>IF(AND(ISNUMBER('Results'!B7),ISNUMBER('Results'!C7),ISNUMBER('Results'!$B$8),ISNUMBER('Inputs'!$B$6),ISNUMBER('Inputs'!$B$7),ISNUMBER('Inputs'!$B$8),ISNUMBER('Inputs'!$B$9),ISNUMBER('Inputs'!$B$10),ISNUMBER('Inputs'!$B$21),ISNUMBER('Inputs'!$B$24),ISNUMBER('Inputs'!$B$28)),((('Results'!B7*(1+'Inputs'!$B$24)*(0.5*((((254-43)*MAX('Inputs'!$B$33,'Inputs'!$B$29+'Inputs'!$B$31+'Inputs'!$B$32,'Inputs'!$B$30+'Inputs'!$B$31+'Inputs'!$B$32)/1000+'Inputs'!$B$21)+'Inputs'!$B$7)/SQRT((((254-43)*MAX('Inputs'!$B$33,'Inputs'!$B$29+'Inputs'!$B$31+'Inputs'!$B$32,'Inputs'!$B$30+'Inputs'!$B$31+'Inputs'!$B$32)/1000+'Inputs'!$B$21)+'Inputs'!$B$7)^2+('Inputs'!$B$6/2)^2)-(((254-43)*MAX('Inputs'!$B$33,'Inputs'!$B$29+'Inputs'!$B$31+'Inputs'!$B$32,'Inputs'!$B$30+'Inputs'!$B$31+'Inputs'!$B$32)/1000+'Inputs'!$B$21))/SQRT((((254-43)*MAX('Inputs'!$B$33,'Inputs'!$B$29+'Inputs'!$B$31+'Inputs'!$B$32,'Inputs'!$B$30+'Inputs'!$B$31+'Inputs'!$B$32)/1000+'Inputs'!$B$21))^2+('Inputs'!$B$6/2)^2)))-'Results'!C7*(1-'Inputs'!$B$24)*(0.5*((((254-43)*MAX('Inputs'!$B$33,'Inputs'!$B$29+'Inputs'!$B$31+'Inputs'!$B$32,'Inputs'!$B$30+'Inputs'!$B$31+'Inputs'!$B$32)/1000+'Inputs'!$B$21+'Inputs'!$B$7+'Inputs'!$B$10)+'Inputs'!$B$9)/SQRT((((254-43)*MAX('Inputs'!$B$33,'Inputs'!$B$29+'Inputs'!$B$31+'Inputs'!$B$32,'Inputs'!$B$30+'Inputs'!$B$31+'Inputs'!$B$32)/1000+'Inputs'!$B$21+'Inputs'!$B$7+'Inputs'!$B$10)+'Inputs'!$B$9)^2+('Inputs'!$B$8/2)^2)-(((254-43)*MAX('Inputs'!$B$33,'Inputs'!$B$29+'Inputs'!$B$31+'Inputs'!$B$32,'Inputs'!$B$30+'Inputs'!$B$31+'Inputs'!$B$32)/1000+'Inputs'!$B$21+'Inputs'!$B$7+'Inputs'!$B$10))/SQRT((((254-43)*MAX('Inputs'!$B$33,'Inputs'!$B$29+'Inputs'!$B$31+'Inputs'!$B$32,'Inputs'!$B$30+'Inputs'!$B$31+'Inputs'!$B$32)/1000+'Inputs'!$B$21+'Inputs'!$B$7+'Inputs'!$B$10))^2+('Inputs'!$B$8/2)^2))))*'Results'!$B$8)+'Inputs'!$B$28*ABS((('Results'!B7*(1+'Inputs'!$B$24)*(0.5*((((254-43)*MAX('Inputs'!$B$33,'Inputs'!$B$29+'Inputs'!$B$31+'Inputs'!$B$32,'Inputs'!$B$30+'Inputs'!$B$31+'Inputs'!$B$32)/1000+'Inputs'!$B$21)+'Inputs'!$B$7)/SQRT((((254-43)*MAX('Inputs'!$B$33,'Inputs'!$B$29+'Inputs'!$B$31+'Inputs'!$B$32,'Inputs'!$B$30+'Inputs'!$B$31+'Inputs'!$B$32)/1000+'Inputs'!$B$21)+'Inputs'!$B$7)^2+('Inputs'!$B$6/2)^2)-(((254-43)*MAX('Inputs'!$B$33,'Inputs'!$B$29+'Inputs'!$B$31+'Inputs'!$B$32,'Inputs'!$B$30+'Inputs'!$B$31+'Inputs'!$B$32)/1000+'Inputs'!$B$21))/SQRT((((254-43)*MAX('Inputs'!$B$33,'Inputs'!$B$29+'Inputs'!$B$31+'Inputs'!$B$32,'Inputs'!$B$30+'Inputs'!$B$31+'Inputs'!$B$32)/1000+'Inputs'!$B$21))^2+('Inputs'!$B$6/2)^2)))-'Results'!C7*(1-'Inputs'!$B$24)*(0.5*((((254-43)*MAX('Inputs'!$B$33,'Inputs'!$B$29+'Inputs'!$B$31+'Inputs'!$B$32,'Inputs'!$B$30+'Inputs'!$B$31+'Inputs'!$B$32)/1000+'Inputs'!$B$21+'Inputs'!$B$7+'Inputs'!$B$10)+'Inputs'!$B$9)/SQRT((((254-43)*MAX('Inputs'!$B$33,'Inputs'!$B$29+'Inputs'!$B$31+'Inputs'!$B$32,'Inputs'!$B$30+'Inputs'!$B$31+'Inputs'!$B$32)/1000+'Inputs'!$B$21+'Inputs'!$B$7+'Inputs'!$B$10)+'Inputs'!$B$9)^2+('Inputs'!$B$8/2)^2)-(((254-43)*MAX('Inputs'!$B$33,'Inputs'!$B$29+'Inputs'!$B$31+'Inputs'!$B$32,'Inputs'!$B$30+'Inputs'!$B$31+'Inputs'!$B$32)/1000+'Inputs'!$B$21+'Inputs'!$B$7+'Inputs'!$B$10))/SQRT((((254-43)*MAX('Inputs'!$B$33,'Inputs'!$B$29+'Inputs'!$B$31+'Inputs'!$B$32,'Inputs'!$B$30+'Inputs'!$B$31+'Inputs'!$B$32)/1000+'Inputs'!$B$21+'Inputs'!$B$7+'Inputs'!$B$10))^2+('Inputs'!$B$8/2)^2))))*'Results'!$B$8))),"")</x:f>
        <x:v>68.81740379045063</x:v>
      </x:c>
      <x:c r="M254" t="n">
        <x:f>IF(AND(ISNUMBER('Results'!C7),ISNUMBER('Results'!B7),ISNUMBER('Results'!$B$8),ISNUMBER('Inputs'!$B$6),ISNUMBER('Inputs'!$B$7),ISNUMBER('Inputs'!$B$8),ISNUMBER('Inputs'!$B$9),ISNUMBER('Inputs'!$B$10),ISNUMBER('Inputs'!$B$21),ISNUMBER('Inputs'!$B$24),ISNUMBER('Inputs'!$B$28)),(('Results'!C7*(0.5*((((254-43)*MAX('Inputs'!$B$33,'Inputs'!$B$29+'Inputs'!$B$31+'Inputs'!$B$32,'Inputs'!$B$30+'Inputs'!$B$31+'Inputs'!$B$32)/1000+'Inputs'!$B$21)+'Inputs'!$B$9)/SQRT((((254-43)*MAX('Inputs'!$B$33,'Inputs'!$B$29+'Inputs'!$B$31+'Inputs'!$B$32,'Inputs'!$B$30+'Inputs'!$B$31+'Inputs'!$B$32)/1000+'Inputs'!$B$21)+'Inputs'!$B$9)^2+('Inputs'!$B$8/2)^2)-(((254-43)*MAX('Inputs'!$B$33,'Inputs'!$B$29+'Inputs'!$B$31+'Inputs'!$B$32,'Inputs'!$B$30+'Inputs'!$B$31+'Inputs'!$B$32)/1000+'Inputs'!$B$21))/SQRT((((254-43)*MAX('Inputs'!$B$33,'Inputs'!$B$29+'Inputs'!$B$31+'Inputs'!$B$32,'Inputs'!$B$30+'Inputs'!$B$31+'Inputs'!$B$32)/1000+'Inputs'!$B$21))^2+('Inputs'!$B$8/2)^2)))-'Results'!B7*(0.5*((((254-43)*MAX('Inputs'!$B$33,'Inputs'!$B$29+'Inputs'!$B$31+'Inputs'!$B$32,'Inputs'!$B$30+'Inputs'!$B$31+'Inputs'!$B$32)/1000+'Inputs'!$B$21+'Inputs'!$B$9+'Inputs'!$B$10)+'Inputs'!$B$7)/SQRT((((254-43)*MAX('Inputs'!$B$33,'Inputs'!$B$29+'Inputs'!$B$31+'Inputs'!$B$32,'Inputs'!$B$30+'Inputs'!$B$31+'Inputs'!$B$32)/1000+'Inputs'!$B$21+'Inputs'!$B$9+'Inputs'!$B$10)+'Inputs'!$B$7)^2+('Inputs'!$B$6/2)^2)-(((254-43)*MAX('Inputs'!$B$33,'Inputs'!$B$29+'Inputs'!$B$31+'Inputs'!$B$32,'Inputs'!$B$30+'Inputs'!$B$31+'Inputs'!$B$32)/1000+'Inputs'!$B$21+'Inputs'!$B$9+'Inputs'!$B$10))/SQRT((((254-43)*MAX('Inputs'!$B$33,'Inputs'!$B$29+'Inputs'!$B$31+'Inputs'!$B$32,'Inputs'!$B$30+'Inputs'!$B$31+'Inputs'!$B$32)/1000+'Inputs'!$B$21+'Inputs'!$B$9+'Inputs'!$B$10))^2+('Inputs'!$B$6/2)^2))))*'Results'!$B$8),"")</x:f>
        <x:v>60.649337490128204</x:v>
      </x:c>
      <x:c r="N254" t="n">
        <x:f>IF(AND(ISNUMBER('Results'!C7),ISNUMBER('Results'!B7),ISNUMBER('Results'!$B$8),ISNUMBER('Inputs'!$B$6),ISNUMBER('Inputs'!$B$7),ISNUMBER('Inputs'!$B$8),ISNUMBER('Inputs'!$B$9),ISNUMBER('Inputs'!$B$10),ISNUMBER('Inputs'!$B$21),ISNUMBER('Inputs'!$B$24),ISNUMBER('Inputs'!$B$28)),((('Results'!C7*(1-'Inputs'!$B$24)*(0.5*((((254-43)*MAX('Inputs'!$B$33,'Inputs'!$B$29+'Inputs'!$B$31+'Inputs'!$B$32,'Inputs'!$B$30+'Inputs'!$B$31+'Inputs'!$B$32)/1000+'Inputs'!$B$21)+'Inputs'!$B$9)/SQRT((((254-43)*MAX('Inputs'!$B$33,'Inputs'!$B$29+'Inputs'!$B$31+'Inputs'!$B$32,'Inputs'!$B$30+'Inputs'!$B$31+'Inputs'!$B$32)/1000+'Inputs'!$B$21)+'Inputs'!$B$9)^2+('Inputs'!$B$8/2)^2)-(((254-43)*MAX('Inputs'!$B$33,'Inputs'!$B$29+'Inputs'!$B$31+'Inputs'!$B$32,'Inputs'!$B$30+'Inputs'!$B$31+'Inputs'!$B$32)/1000+'Inputs'!$B$21))/SQRT((((254-43)*MAX('Inputs'!$B$33,'Inputs'!$B$29+'Inputs'!$B$31+'Inputs'!$B$32,'Inputs'!$B$30+'Inputs'!$B$31+'Inputs'!$B$32)/1000+'Inputs'!$B$21))^2+('Inputs'!$B$8/2)^2)))-'Results'!B7*(1+'Inputs'!$B$24)*(0.5*((((254-43)*MAX('Inputs'!$B$33,'Inputs'!$B$29+'Inputs'!$B$31+'Inputs'!$B$32,'Inputs'!$B$30+'Inputs'!$B$31+'Inputs'!$B$32)/1000+'Inputs'!$B$21+'Inputs'!$B$9+'Inputs'!$B$10)+'Inputs'!$B$7)/SQRT((((254-43)*MAX('Inputs'!$B$33,'Inputs'!$B$29+'Inputs'!$B$31+'Inputs'!$B$32,'Inputs'!$B$30+'Inputs'!$B$31+'Inputs'!$B$32)/1000+'Inputs'!$B$21+'Inputs'!$B$9+'Inputs'!$B$10)+'Inputs'!$B$7)^2+('Inputs'!$B$6/2)^2)-(((254-43)*MAX('Inputs'!$B$33,'Inputs'!$B$29+'Inputs'!$B$31+'Inputs'!$B$32,'Inputs'!$B$30+'Inputs'!$B$31+'Inputs'!$B$32)/1000+'Inputs'!$B$21+'Inputs'!$B$9+'Inputs'!$B$10))/SQRT((((254-43)*MAX('Inputs'!$B$33,'Inputs'!$B$29+'Inputs'!$B$31+'Inputs'!$B$32,'Inputs'!$B$30+'Inputs'!$B$31+'Inputs'!$B$32)/1000+'Inputs'!$B$21+'Inputs'!$B$9+'Inputs'!$B$10))^2+('Inputs'!$B$6/2)^2))))*'Results'!$B$8)-'Inputs'!$B$28*ABS((('Results'!C7*(1-'Inputs'!$B$24)*(0.5*((((254-43)*MAX('Inputs'!$B$33,'Inputs'!$B$29+'Inputs'!$B$31+'Inputs'!$B$32,'Inputs'!$B$30+'Inputs'!$B$31+'Inputs'!$B$32)/1000+'Inputs'!$B$21)+'Inputs'!$B$9)/SQRT((((254-43)*MAX('Inputs'!$B$33,'Inputs'!$B$29+'Inputs'!$B$31+'Inputs'!$B$32,'Inputs'!$B$30+'Inputs'!$B$31+'Inputs'!$B$32)/1000+'Inputs'!$B$21)+'Inputs'!$B$9)^2+('Inputs'!$B$8/2)^2)-(((254-43)*MAX('Inputs'!$B$33,'Inputs'!$B$29+'Inputs'!$B$31+'Inputs'!$B$32,'Inputs'!$B$30+'Inputs'!$B$31+'Inputs'!$B$32)/1000+'Inputs'!$B$21))/SQRT((((254-43)*MAX('Inputs'!$B$33,'Inputs'!$B$29+'Inputs'!$B$31+'Inputs'!$B$32,'Inputs'!$B$30+'Inputs'!$B$31+'Inputs'!$B$32)/1000+'Inputs'!$B$21))^2+('Inputs'!$B$8/2)^2)))-'Results'!B7*(1+'Inputs'!$B$24)*(0.5*((((254-43)*MAX('Inputs'!$B$33,'Inputs'!$B$29+'Inputs'!$B$31+'Inputs'!$B$32,'Inputs'!$B$30+'Inputs'!$B$31+'Inputs'!$B$32)/1000+'Inputs'!$B$21+'Inputs'!$B$9+'Inputs'!$B$10)+'Inputs'!$B$7)/SQRT((((254-43)*MAX('Inputs'!$B$33,'Inputs'!$B$29+'Inputs'!$B$31+'Inputs'!$B$32,'Inputs'!$B$30+'Inputs'!$B$31+'Inputs'!$B$32)/1000+'Inputs'!$B$21+'Inputs'!$B$9+'Inputs'!$B$10)+'Inputs'!$B$7)^2+('Inputs'!$B$6/2)^2)-(((254-43)*MAX('Inputs'!$B$33,'Inputs'!$B$29+'Inputs'!$B$31+'Inputs'!$B$32,'Inputs'!$B$30+'Inputs'!$B$31+'Inputs'!$B$32)/1000+'Inputs'!$B$21+'Inputs'!$B$9+'Inputs'!$B$10))/SQRT((((254-43)*MAX('Inputs'!$B$33,'Inputs'!$B$29+'Inputs'!$B$31+'Inputs'!$B$32,'Inputs'!$B$30+'Inputs'!$B$31+'Inputs'!$B$32)/1000+'Inputs'!$B$21+'Inputs'!$B$9+'Inputs'!$B$10))^2+('Inputs'!$B$6/2)^2))))*'Results'!$B$8))),"")</x:f>
        <x:v>55.323080559111474</x:v>
      </x:c>
      <x:c r="O254" t="n">
        <x:f>IF(AND(ISNUMBER('Results'!C7),ISNUMBER('Results'!B7),ISNUMBER('Results'!$B$8),ISNUMBER('Inputs'!$B$6),ISNUMBER('Inputs'!$B$7),ISNUMBER('Inputs'!$B$8),ISNUMBER('Inputs'!$B$9),ISNUMBER('Inputs'!$B$10),ISNUMBER('Inputs'!$B$21),ISNUMBER('Inputs'!$B$24),ISNUMBER('Inputs'!$B$28)),((('Results'!C7*(1+'Inputs'!$B$24)*(0.5*((((254-43)*MAX('Inputs'!$B$33,'Inputs'!$B$29+'Inputs'!$B$31+'Inputs'!$B$32,'Inputs'!$B$30+'Inputs'!$B$31+'Inputs'!$B$32)/1000+'Inputs'!$B$21)+'Inputs'!$B$9)/SQRT((((254-43)*MAX('Inputs'!$B$33,'Inputs'!$B$29+'Inputs'!$B$31+'Inputs'!$B$32,'Inputs'!$B$30+'Inputs'!$B$31+'Inputs'!$B$32)/1000+'Inputs'!$B$21)+'Inputs'!$B$9)^2+('Inputs'!$B$8/2)^2)-(((254-43)*MAX('Inputs'!$B$33,'Inputs'!$B$29+'Inputs'!$B$31+'Inputs'!$B$32,'Inputs'!$B$30+'Inputs'!$B$31+'Inputs'!$B$32)/1000+'Inputs'!$B$21))/SQRT((((254-43)*MAX('Inputs'!$B$33,'Inputs'!$B$29+'Inputs'!$B$31+'Inputs'!$B$32,'Inputs'!$B$30+'Inputs'!$B$31+'Inputs'!$B$32)/1000+'Inputs'!$B$21))^2+('Inputs'!$B$8/2)^2)))-'Results'!B7*(1-'Inputs'!$B$24)*(0.5*((((254-43)*MAX('Inputs'!$B$33,'Inputs'!$B$29+'Inputs'!$B$31+'Inputs'!$B$32,'Inputs'!$B$30+'Inputs'!$B$31+'Inputs'!$B$32)/1000+'Inputs'!$B$21+'Inputs'!$B$9+'Inputs'!$B$10)+'Inputs'!$B$7)/SQRT((((254-43)*MAX('Inputs'!$B$33,'Inputs'!$B$29+'Inputs'!$B$31+'Inputs'!$B$32,'Inputs'!$B$30+'Inputs'!$B$31+'Inputs'!$B$32)/1000+'Inputs'!$B$21+'Inputs'!$B$9+'Inputs'!$B$10)+'Inputs'!$B$7)^2+('Inputs'!$B$6/2)^2)-(((254-43)*MAX('Inputs'!$B$33,'Inputs'!$B$29+'Inputs'!$B$31+'Inputs'!$B$32,'Inputs'!$B$30+'Inputs'!$B$31+'Inputs'!$B$32)/1000+'Inputs'!$B$21+'Inputs'!$B$9+'Inputs'!$B$10))/SQRT((((254-43)*MAX('Inputs'!$B$33,'Inputs'!$B$29+'Inputs'!$B$31+'Inputs'!$B$32,'Inputs'!$B$30+'Inputs'!$B$31+'Inputs'!$B$32)/1000+'Inputs'!$B$21+'Inputs'!$B$9+'Inputs'!$B$10))^2+('Inputs'!$B$6/2)^2))))*'Results'!$B$8)+'Inputs'!$B$28*ABS((('Results'!C7*(1+'Inputs'!$B$24)*(0.5*((((254-43)*MAX('Inputs'!$B$33,'Inputs'!$B$29+'Inputs'!$B$31+'Inputs'!$B$32,'Inputs'!$B$30+'Inputs'!$B$31+'Inputs'!$B$32)/1000+'Inputs'!$B$21)+'Inputs'!$B$9)/SQRT((((254-43)*MAX('Inputs'!$B$33,'Inputs'!$B$29+'Inputs'!$B$31+'Inputs'!$B$32,'Inputs'!$B$30+'Inputs'!$B$31+'Inputs'!$B$32)/1000+'Inputs'!$B$21)+'Inputs'!$B$9)^2+('Inputs'!$B$8/2)^2)-(((254-43)*MAX('Inputs'!$B$33,'Inputs'!$B$29+'Inputs'!$B$31+'Inputs'!$B$32,'Inputs'!$B$30+'Inputs'!$B$31+'Inputs'!$B$32)/1000+'Inputs'!$B$21))/SQRT((((254-43)*MAX('Inputs'!$B$33,'Inputs'!$B$29+'Inputs'!$B$31+'Inputs'!$B$32,'Inputs'!$B$30+'Inputs'!$B$31+'Inputs'!$B$32)/1000+'Inputs'!$B$21))^2+('Inputs'!$B$8/2)^2)))-'Results'!B7*(1-'Inputs'!$B$24)*(0.5*((((254-43)*MAX('Inputs'!$B$33,'Inputs'!$B$29+'Inputs'!$B$31+'Inputs'!$B$32,'Inputs'!$B$30+'Inputs'!$B$31+'Inputs'!$B$32)/1000+'Inputs'!$B$21+'Inputs'!$B$9+'Inputs'!$B$10)+'Inputs'!$B$7)/SQRT((((254-43)*MAX('Inputs'!$B$33,'Inputs'!$B$29+'Inputs'!$B$31+'Inputs'!$B$32,'Inputs'!$B$30+'Inputs'!$B$31+'Inputs'!$B$32)/1000+'Inputs'!$B$21+'Inputs'!$B$9+'Inputs'!$B$10)+'Inputs'!$B$7)^2+('Inputs'!$B$6/2)^2)-(((254-43)*MAX('Inputs'!$B$33,'Inputs'!$B$29+'Inputs'!$B$31+'Inputs'!$B$32,'Inputs'!$B$30+'Inputs'!$B$31+'Inputs'!$B$32)/1000+'Inputs'!$B$21+'Inputs'!$B$9+'Inputs'!$B$10))/SQRT((((254-43)*MAX('Inputs'!$B$33,'Inputs'!$B$29+'Inputs'!$B$31+'Inputs'!$B$32,'Inputs'!$B$30+'Inputs'!$B$31+'Inputs'!$B$32)/1000+'Inputs'!$B$21+'Inputs'!$B$9+'Inputs'!$B$10))^2+('Inputs'!$B$6/2)^2))))*'Results'!$B$8))),"")</x:f>
        <x:v>66.21704600604076</x:v>
      </x:c>
      <x:c r="P254" t="n">
        <x:f>IF(AND(MAX(J254,J253)&gt;0,J254&gt;J253+0.00000001),1,0)</x:f>
        <x:v>0</x:v>
      </x:c>
      <x:c r="Q254" t="n">
        <x:f>IF(AND(MAX(K254,K253)&gt;0,K254&gt;K253+0.00000001),1,0)</x:f>
        <x:v>0</x:v>
      </x:c>
      <x:c r="R254" t="n">
        <x:f>IF(AND(MAX(L254,L253)&gt;0,L254&gt;L253+0.00000001),1,0)</x:f>
        <x:v>0</x:v>
      </x:c>
      <x:c r="S254" t="n">
        <x:f>IF(AND(MAX(M254,M253)&gt;0,M254&gt;M253+0.00000001),1,0)</x:f>
        <x:v>0</x:v>
      </x:c>
      <x:c r="T254" t="n">
        <x:f>IF(AND(MAX(N254,N253)&gt;0,N254&gt;N253+0.00000001),1,0)</x:f>
        <x:v>0</x:v>
      </x:c>
      <x:c r="U254" t="n">
        <x:f>IF(AND(MAX(O254,O253)&gt;0,O254&gt;O253+0.00000001),1,0)</x:f>
        <x:v>0</x:v>
      </x:c>
    </x:row>
    <x:row r="255">
      <x:c r="J255" t="n">
        <x:f>IF(AND(ISNUMBER('Results'!B7),ISNUMBER('Results'!C7),ISNUMBER('Results'!$B$8),ISNUMBER('Inputs'!$B$6),ISNUMBER('Inputs'!$B$7),ISNUMBER('Inputs'!$B$8),ISNUMBER('Inputs'!$B$9),ISNUMBER('Inputs'!$B$10),ISNUMBER('Inputs'!$B$21),ISNUMBER('Inputs'!$B$24),ISNUMBER('Inputs'!$B$28)),(('Results'!B7*(0.5*((((255-43)*MAX('Inputs'!$B$33,'Inputs'!$B$29+'Inputs'!$B$31+'Inputs'!$B$32,'Inputs'!$B$30+'Inputs'!$B$31+'Inputs'!$B$32)/1000+'Inputs'!$B$21)+'Inputs'!$B$7)/SQRT((((255-43)*MAX('Inputs'!$B$33,'Inputs'!$B$29+'Inputs'!$B$31+'Inputs'!$B$32,'Inputs'!$B$30+'Inputs'!$B$31+'Inputs'!$B$32)/1000+'Inputs'!$B$21)+'Inputs'!$B$7)^2+('Inputs'!$B$6/2)^2)-(((255-43)*MAX('Inputs'!$B$33,'Inputs'!$B$29+'Inputs'!$B$31+'Inputs'!$B$32,'Inputs'!$B$30+'Inputs'!$B$31+'Inputs'!$B$32)/1000+'Inputs'!$B$21))/SQRT((((255-43)*MAX('Inputs'!$B$33,'Inputs'!$B$29+'Inputs'!$B$31+'Inputs'!$B$32,'Inputs'!$B$30+'Inputs'!$B$31+'Inputs'!$B$32)/1000+'Inputs'!$B$21))^2+('Inputs'!$B$6/2)^2)))-'Results'!C7*(0.5*((((255-43)*MAX('Inputs'!$B$33,'Inputs'!$B$29+'Inputs'!$B$31+'Inputs'!$B$32,'Inputs'!$B$30+'Inputs'!$B$31+'Inputs'!$B$32)/1000+'Inputs'!$B$21+'Inputs'!$B$7+'Inputs'!$B$10)+'Inputs'!$B$9)/SQRT((((255-43)*MAX('Inputs'!$B$33,'Inputs'!$B$29+'Inputs'!$B$31+'Inputs'!$B$32,'Inputs'!$B$30+'Inputs'!$B$31+'Inputs'!$B$32)/1000+'Inputs'!$B$21+'Inputs'!$B$7+'Inputs'!$B$10)+'Inputs'!$B$9)^2+('Inputs'!$B$8/2)^2)-(((255-43)*MAX('Inputs'!$B$33,'Inputs'!$B$29+'Inputs'!$B$31+'Inputs'!$B$32,'Inputs'!$B$30+'Inputs'!$B$31+'Inputs'!$B$32)/1000+'Inputs'!$B$21+'Inputs'!$B$7+'Inputs'!$B$10))/SQRT((((255-43)*MAX('Inputs'!$B$33,'Inputs'!$B$29+'Inputs'!$B$31+'Inputs'!$B$32,'Inputs'!$B$30+'Inputs'!$B$31+'Inputs'!$B$32)/1000+'Inputs'!$B$21+'Inputs'!$B$7+'Inputs'!$B$10))^2+('Inputs'!$B$8/2)^2))))*'Results'!$B$8),"")</x:f>
        <x:v>62.268912730855696</x:v>
      </x:c>
      <x:c r="K255" t="n">
        <x:f>IF(AND(ISNUMBER('Results'!B7),ISNUMBER('Results'!C7),ISNUMBER('Results'!$B$8),ISNUMBER('Inputs'!$B$6),ISNUMBER('Inputs'!$B$7),ISNUMBER('Inputs'!$B$8),ISNUMBER('Inputs'!$B$9),ISNUMBER('Inputs'!$B$10),ISNUMBER('Inputs'!$B$21),ISNUMBER('Inputs'!$B$24),ISNUMBER('Inputs'!$B$28)),((('Results'!B7*(1-'Inputs'!$B$24)*(0.5*((((255-43)*MAX('Inputs'!$B$33,'Inputs'!$B$29+'Inputs'!$B$31+'Inputs'!$B$32,'Inputs'!$B$30+'Inputs'!$B$31+'Inputs'!$B$32)/1000+'Inputs'!$B$21)+'Inputs'!$B$7)/SQRT((((255-43)*MAX('Inputs'!$B$33,'Inputs'!$B$29+'Inputs'!$B$31+'Inputs'!$B$32,'Inputs'!$B$30+'Inputs'!$B$31+'Inputs'!$B$32)/1000+'Inputs'!$B$21)+'Inputs'!$B$7)^2+('Inputs'!$B$6/2)^2)-(((255-43)*MAX('Inputs'!$B$33,'Inputs'!$B$29+'Inputs'!$B$31+'Inputs'!$B$32,'Inputs'!$B$30+'Inputs'!$B$31+'Inputs'!$B$32)/1000+'Inputs'!$B$21))/SQRT((((255-43)*MAX('Inputs'!$B$33,'Inputs'!$B$29+'Inputs'!$B$31+'Inputs'!$B$32,'Inputs'!$B$30+'Inputs'!$B$31+'Inputs'!$B$32)/1000+'Inputs'!$B$21))^2+('Inputs'!$B$6/2)^2)))-'Results'!C7*(1+'Inputs'!$B$24)*(0.5*((((255-43)*MAX('Inputs'!$B$33,'Inputs'!$B$29+'Inputs'!$B$31+'Inputs'!$B$32,'Inputs'!$B$30+'Inputs'!$B$31+'Inputs'!$B$32)/1000+'Inputs'!$B$21+'Inputs'!$B$7+'Inputs'!$B$10)+'Inputs'!$B$9)/SQRT((((255-43)*MAX('Inputs'!$B$33,'Inputs'!$B$29+'Inputs'!$B$31+'Inputs'!$B$32,'Inputs'!$B$30+'Inputs'!$B$31+'Inputs'!$B$32)/1000+'Inputs'!$B$21+'Inputs'!$B$7+'Inputs'!$B$10)+'Inputs'!$B$9)^2+('Inputs'!$B$8/2)^2)-(((255-43)*MAX('Inputs'!$B$33,'Inputs'!$B$29+'Inputs'!$B$31+'Inputs'!$B$32,'Inputs'!$B$30+'Inputs'!$B$31+'Inputs'!$B$32)/1000+'Inputs'!$B$21+'Inputs'!$B$7+'Inputs'!$B$10))/SQRT((((255-43)*MAX('Inputs'!$B$33,'Inputs'!$B$29+'Inputs'!$B$31+'Inputs'!$B$32,'Inputs'!$B$30+'Inputs'!$B$31+'Inputs'!$B$32)/1000+'Inputs'!$B$21+'Inputs'!$B$7+'Inputs'!$B$10))^2+('Inputs'!$B$8/2)^2))))*'Results'!$B$8)-'Inputs'!$B$28*ABS((('Results'!B7*(1-'Inputs'!$B$24)*(0.5*((((255-43)*MAX('Inputs'!$B$33,'Inputs'!$B$29+'Inputs'!$B$31+'Inputs'!$B$32,'Inputs'!$B$30+'Inputs'!$B$31+'Inputs'!$B$32)/1000+'Inputs'!$B$21)+'Inputs'!$B$7)/SQRT((((255-43)*MAX('Inputs'!$B$33,'Inputs'!$B$29+'Inputs'!$B$31+'Inputs'!$B$32,'Inputs'!$B$30+'Inputs'!$B$31+'Inputs'!$B$32)/1000+'Inputs'!$B$21)+'Inputs'!$B$7)^2+('Inputs'!$B$6/2)^2)-(((255-43)*MAX('Inputs'!$B$33,'Inputs'!$B$29+'Inputs'!$B$31+'Inputs'!$B$32,'Inputs'!$B$30+'Inputs'!$B$31+'Inputs'!$B$32)/1000+'Inputs'!$B$21))/SQRT((((255-43)*MAX('Inputs'!$B$33,'Inputs'!$B$29+'Inputs'!$B$31+'Inputs'!$B$32,'Inputs'!$B$30+'Inputs'!$B$31+'Inputs'!$B$32)/1000+'Inputs'!$B$21))^2+('Inputs'!$B$6/2)^2)))-'Results'!C7*(1+'Inputs'!$B$24)*(0.5*((((255-43)*MAX('Inputs'!$B$33,'Inputs'!$B$29+'Inputs'!$B$31+'Inputs'!$B$32,'Inputs'!$B$30+'Inputs'!$B$31+'Inputs'!$B$32)/1000+'Inputs'!$B$21+'Inputs'!$B$7+'Inputs'!$B$10)+'Inputs'!$B$9)/SQRT((((255-43)*MAX('Inputs'!$B$33,'Inputs'!$B$29+'Inputs'!$B$31+'Inputs'!$B$32,'Inputs'!$B$30+'Inputs'!$B$31+'Inputs'!$B$32)/1000+'Inputs'!$B$21+'Inputs'!$B$7+'Inputs'!$B$10)+'Inputs'!$B$9)^2+('Inputs'!$B$8/2)^2)-(((255-43)*MAX('Inputs'!$B$33,'Inputs'!$B$29+'Inputs'!$B$31+'Inputs'!$B$32,'Inputs'!$B$30+'Inputs'!$B$31+'Inputs'!$B$32)/1000+'Inputs'!$B$21+'Inputs'!$B$7+'Inputs'!$B$10))/SQRT((((255-43)*MAX('Inputs'!$B$33,'Inputs'!$B$29+'Inputs'!$B$31+'Inputs'!$B$32,'Inputs'!$B$30+'Inputs'!$B$31+'Inputs'!$B$32)/1000+'Inputs'!$B$21+'Inputs'!$B$7+'Inputs'!$B$10))^2+('Inputs'!$B$8/2)^2))))*'Results'!$B$8))),"")</x:f>
        <x:v>56.86294308818004</x:v>
      </x:c>
      <x:c r="L255" t="n">
        <x:f>IF(AND(ISNUMBER('Results'!B7),ISNUMBER('Results'!C7),ISNUMBER('Results'!$B$8),ISNUMBER('Inputs'!$B$6),ISNUMBER('Inputs'!$B$7),ISNUMBER('Inputs'!$B$8),ISNUMBER('Inputs'!$B$9),ISNUMBER('Inputs'!$B$10),ISNUMBER('Inputs'!$B$21),ISNUMBER('Inputs'!$B$24),ISNUMBER('Inputs'!$B$28)),((('Results'!B7*(1+'Inputs'!$B$24)*(0.5*((((255-43)*MAX('Inputs'!$B$33,'Inputs'!$B$29+'Inputs'!$B$31+'Inputs'!$B$32,'Inputs'!$B$30+'Inputs'!$B$31+'Inputs'!$B$32)/1000+'Inputs'!$B$21)+'Inputs'!$B$7)/SQRT((((255-43)*MAX('Inputs'!$B$33,'Inputs'!$B$29+'Inputs'!$B$31+'Inputs'!$B$32,'Inputs'!$B$30+'Inputs'!$B$31+'Inputs'!$B$32)/1000+'Inputs'!$B$21)+'Inputs'!$B$7)^2+('Inputs'!$B$6/2)^2)-(((255-43)*MAX('Inputs'!$B$33,'Inputs'!$B$29+'Inputs'!$B$31+'Inputs'!$B$32,'Inputs'!$B$30+'Inputs'!$B$31+'Inputs'!$B$32)/1000+'Inputs'!$B$21))/SQRT((((255-43)*MAX('Inputs'!$B$33,'Inputs'!$B$29+'Inputs'!$B$31+'Inputs'!$B$32,'Inputs'!$B$30+'Inputs'!$B$31+'Inputs'!$B$32)/1000+'Inputs'!$B$21))^2+('Inputs'!$B$6/2)^2)))-'Results'!C7*(1-'Inputs'!$B$24)*(0.5*((((255-43)*MAX('Inputs'!$B$33,'Inputs'!$B$29+'Inputs'!$B$31+'Inputs'!$B$32,'Inputs'!$B$30+'Inputs'!$B$31+'Inputs'!$B$32)/1000+'Inputs'!$B$21+'Inputs'!$B$7+'Inputs'!$B$10)+'Inputs'!$B$9)/SQRT((((255-43)*MAX('Inputs'!$B$33,'Inputs'!$B$29+'Inputs'!$B$31+'Inputs'!$B$32,'Inputs'!$B$30+'Inputs'!$B$31+'Inputs'!$B$32)/1000+'Inputs'!$B$21+'Inputs'!$B$7+'Inputs'!$B$10)+'Inputs'!$B$9)^2+('Inputs'!$B$8/2)^2)-(((255-43)*MAX('Inputs'!$B$33,'Inputs'!$B$29+'Inputs'!$B$31+'Inputs'!$B$32,'Inputs'!$B$30+'Inputs'!$B$31+'Inputs'!$B$32)/1000+'Inputs'!$B$21+'Inputs'!$B$7+'Inputs'!$B$10))/SQRT((((255-43)*MAX('Inputs'!$B$33,'Inputs'!$B$29+'Inputs'!$B$31+'Inputs'!$B$32,'Inputs'!$B$30+'Inputs'!$B$31+'Inputs'!$B$32)/1000+'Inputs'!$B$21+'Inputs'!$B$7+'Inputs'!$B$10))^2+('Inputs'!$B$8/2)^2))))*'Results'!$B$8)+'Inputs'!$B$28*ABS((('Results'!B7*(1+'Inputs'!$B$24)*(0.5*((((255-43)*MAX('Inputs'!$B$33,'Inputs'!$B$29+'Inputs'!$B$31+'Inputs'!$B$32,'Inputs'!$B$30+'Inputs'!$B$31+'Inputs'!$B$32)/1000+'Inputs'!$B$21)+'Inputs'!$B$7)/SQRT((((255-43)*MAX('Inputs'!$B$33,'Inputs'!$B$29+'Inputs'!$B$31+'Inputs'!$B$32,'Inputs'!$B$30+'Inputs'!$B$31+'Inputs'!$B$32)/1000+'Inputs'!$B$21)+'Inputs'!$B$7)^2+('Inputs'!$B$6/2)^2)-(((255-43)*MAX('Inputs'!$B$33,'Inputs'!$B$29+'Inputs'!$B$31+'Inputs'!$B$32,'Inputs'!$B$30+'Inputs'!$B$31+'Inputs'!$B$32)/1000+'Inputs'!$B$21))/SQRT((((255-43)*MAX('Inputs'!$B$33,'Inputs'!$B$29+'Inputs'!$B$31+'Inputs'!$B$32,'Inputs'!$B$30+'Inputs'!$B$31+'Inputs'!$B$32)/1000+'Inputs'!$B$21))^2+('Inputs'!$B$6/2)^2)))-'Results'!C7*(1-'Inputs'!$B$24)*(0.5*((((255-43)*MAX('Inputs'!$B$33,'Inputs'!$B$29+'Inputs'!$B$31+'Inputs'!$B$32,'Inputs'!$B$30+'Inputs'!$B$31+'Inputs'!$B$32)/1000+'Inputs'!$B$21+'Inputs'!$B$7+'Inputs'!$B$10)+'Inputs'!$B$9)/SQRT((((255-43)*MAX('Inputs'!$B$33,'Inputs'!$B$29+'Inputs'!$B$31+'Inputs'!$B$32,'Inputs'!$B$30+'Inputs'!$B$31+'Inputs'!$B$32)/1000+'Inputs'!$B$21+'Inputs'!$B$7+'Inputs'!$B$10)+'Inputs'!$B$9)^2+('Inputs'!$B$8/2)^2)-(((255-43)*MAX('Inputs'!$B$33,'Inputs'!$B$29+'Inputs'!$B$31+'Inputs'!$B$32,'Inputs'!$B$30+'Inputs'!$B$31+'Inputs'!$B$32)/1000+'Inputs'!$B$21+'Inputs'!$B$7+'Inputs'!$B$10))/SQRT((((255-43)*MAX('Inputs'!$B$33,'Inputs'!$B$29+'Inputs'!$B$31+'Inputs'!$B$32,'Inputs'!$B$30+'Inputs'!$B$31+'Inputs'!$B$32)/1000+'Inputs'!$B$21+'Inputs'!$B$7+'Inputs'!$B$10))^2+('Inputs'!$B$8/2)^2))))*'Results'!$B$8))),"")</x:f>
        <x:v>67.9162006899664</x:v>
      </x:c>
      <x:c r="M255" t="n">
        <x:f>IF(AND(ISNUMBER('Results'!C7),ISNUMBER('Results'!B7),ISNUMBER('Results'!$B$8),ISNUMBER('Inputs'!$B$6),ISNUMBER('Inputs'!$B$7),ISNUMBER('Inputs'!$B$8),ISNUMBER('Inputs'!$B$9),ISNUMBER('Inputs'!$B$10),ISNUMBER('Inputs'!$B$21),ISNUMBER('Inputs'!$B$24),ISNUMBER('Inputs'!$B$28)),(('Results'!C7*(0.5*((((255-43)*MAX('Inputs'!$B$33,'Inputs'!$B$29+'Inputs'!$B$31+'Inputs'!$B$32,'Inputs'!$B$30+'Inputs'!$B$31+'Inputs'!$B$32)/1000+'Inputs'!$B$21)+'Inputs'!$B$9)/SQRT((((255-43)*MAX('Inputs'!$B$33,'Inputs'!$B$29+'Inputs'!$B$31+'Inputs'!$B$32,'Inputs'!$B$30+'Inputs'!$B$31+'Inputs'!$B$32)/1000+'Inputs'!$B$21)+'Inputs'!$B$9)^2+('Inputs'!$B$8/2)^2)-(((255-43)*MAX('Inputs'!$B$33,'Inputs'!$B$29+'Inputs'!$B$31+'Inputs'!$B$32,'Inputs'!$B$30+'Inputs'!$B$31+'Inputs'!$B$32)/1000+'Inputs'!$B$21))/SQRT((((255-43)*MAX('Inputs'!$B$33,'Inputs'!$B$29+'Inputs'!$B$31+'Inputs'!$B$32,'Inputs'!$B$30+'Inputs'!$B$31+'Inputs'!$B$32)/1000+'Inputs'!$B$21))^2+('Inputs'!$B$8/2)^2)))-'Results'!B7*(0.5*((((255-43)*MAX('Inputs'!$B$33,'Inputs'!$B$29+'Inputs'!$B$31+'Inputs'!$B$32,'Inputs'!$B$30+'Inputs'!$B$31+'Inputs'!$B$32)/1000+'Inputs'!$B$21+'Inputs'!$B$9+'Inputs'!$B$10)+'Inputs'!$B$7)/SQRT((((255-43)*MAX('Inputs'!$B$33,'Inputs'!$B$29+'Inputs'!$B$31+'Inputs'!$B$32,'Inputs'!$B$30+'Inputs'!$B$31+'Inputs'!$B$32)/1000+'Inputs'!$B$21+'Inputs'!$B$9+'Inputs'!$B$10)+'Inputs'!$B$7)^2+('Inputs'!$B$6/2)^2)-(((255-43)*MAX('Inputs'!$B$33,'Inputs'!$B$29+'Inputs'!$B$31+'Inputs'!$B$32,'Inputs'!$B$30+'Inputs'!$B$31+'Inputs'!$B$32)/1000+'Inputs'!$B$21+'Inputs'!$B$9+'Inputs'!$B$10))/SQRT((((255-43)*MAX('Inputs'!$B$33,'Inputs'!$B$29+'Inputs'!$B$31+'Inputs'!$B$32,'Inputs'!$B$30+'Inputs'!$B$31+'Inputs'!$B$32)/1000+'Inputs'!$B$21+'Inputs'!$B$9+'Inputs'!$B$10))^2+('Inputs'!$B$6/2)^2))))*'Results'!$B$8),"")</x:f>
        <x:v>59.84381318987537</x:v>
      </x:c>
      <x:c r="N255" t="n">
        <x:f>IF(AND(ISNUMBER('Results'!C7),ISNUMBER('Results'!B7),ISNUMBER('Results'!$B$8),ISNUMBER('Inputs'!$B$6),ISNUMBER('Inputs'!$B$7),ISNUMBER('Inputs'!$B$8),ISNUMBER('Inputs'!$B$9),ISNUMBER('Inputs'!$B$10),ISNUMBER('Inputs'!$B$21),ISNUMBER('Inputs'!$B$24),ISNUMBER('Inputs'!$B$28)),((('Results'!C7*(1-'Inputs'!$B$24)*(0.5*((((255-43)*MAX('Inputs'!$B$33,'Inputs'!$B$29+'Inputs'!$B$31+'Inputs'!$B$32,'Inputs'!$B$30+'Inputs'!$B$31+'Inputs'!$B$32)/1000+'Inputs'!$B$21)+'Inputs'!$B$9)/SQRT((((255-43)*MAX('Inputs'!$B$33,'Inputs'!$B$29+'Inputs'!$B$31+'Inputs'!$B$32,'Inputs'!$B$30+'Inputs'!$B$31+'Inputs'!$B$32)/1000+'Inputs'!$B$21)+'Inputs'!$B$9)^2+('Inputs'!$B$8/2)^2)-(((255-43)*MAX('Inputs'!$B$33,'Inputs'!$B$29+'Inputs'!$B$31+'Inputs'!$B$32,'Inputs'!$B$30+'Inputs'!$B$31+'Inputs'!$B$32)/1000+'Inputs'!$B$21))/SQRT((((255-43)*MAX('Inputs'!$B$33,'Inputs'!$B$29+'Inputs'!$B$31+'Inputs'!$B$32,'Inputs'!$B$30+'Inputs'!$B$31+'Inputs'!$B$32)/1000+'Inputs'!$B$21))^2+('Inputs'!$B$8/2)^2)))-'Results'!B7*(1+'Inputs'!$B$24)*(0.5*((((255-43)*MAX('Inputs'!$B$33,'Inputs'!$B$29+'Inputs'!$B$31+'Inputs'!$B$32,'Inputs'!$B$30+'Inputs'!$B$31+'Inputs'!$B$32)/1000+'Inputs'!$B$21+'Inputs'!$B$9+'Inputs'!$B$10)+'Inputs'!$B$7)/SQRT((((255-43)*MAX('Inputs'!$B$33,'Inputs'!$B$29+'Inputs'!$B$31+'Inputs'!$B$32,'Inputs'!$B$30+'Inputs'!$B$31+'Inputs'!$B$32)/1000+'Inputs'!$B$21+'Inputs'!$B$9+'Inputs'!$B$10)+'Inputs'!$B$7)^2+('Inputs'!$B$6/2)^2)-(((255-43)*MAX('Inputs'!$B$33,'Inputs'!$B$29+'Inputs'!$B$31+'Inputs'!$B$32,'Inputs'!$B$30+'Inputs'!$B$31+'Inputs'!$B$32)/1000+'Inputs'!$B$21+'Inputs'!$B$9+'Inputs'!$B$10))/SQRT((((255-43)*MAX('Inputs'!$B$33,'Inputs'!$B$29+'Inputs'!$B$31+'Inputs'!$B$32,'Inputs'!$B$30+'Inputs'!$B$31+'Inputs'!$B$32)/1000+'Inputs'!$B$21+'Inputs'!$B$9+'Inputs'!$B$10))^2+('Inputs'!$B$6/2)^2))))*'Results'!$B$8)-'Inputs'!$B$28*ABS((('Results'!C7*(1-'Inputs'!$B$24)*(0.5*((((255-43)*MAX('Inputs'!$B$33,'Inputs'!$B$29+'Inputs'!$B$31+'Inputs'!$B$32,'Inputs'!$B$30+'Inputs'!$B$31+'Inputs'!$B$32)/1000+'Inputs'!$B$21)+'Inputs'!$B$9)/SQRT((((255-43)*MAX('Inputs'!$B$33,'Inputs'!$B$29+'Inputs'!$B$31+'Inputs'!$B$32,'Inputs'!$B$30+'Inputs'!$B$31+'Inputs'!$B$32)/1000+'Inputs'!$B$21)+'Inputs'!$B$9)^2+('Inputs'!$B$8/2)^2)-(((255-43)*MAX('Inputs'!$B$33,'Inputs'!$B$29+'Inputs'!$B$31+'Inputs'!$B$32,'Inputs'!$B$30+'Inputs'!$B$31+'Inputs'!$B$32)/1000+'Inputs'!$B$21))/SQRT((((255-43)*MAX('Inputs'!$B$33,'Inputs'!$B$29+'Inputs'!$B$31+'Inputs'!$B$32,'Inputs'!$B$30+'Inputs'!$B$31+'Inputs'!$B$32)/1000+'Inputs'!$B$21))^2+('Inputs'!$B$8/2)^2)))-'Results'!B7*(1+'Inputs'!$B$24)*(0.5*((((255-43)*MAX('Inputs'!$B$33,'Inputs'!$B$29+'Inputs'!$B$31+'Inputs'!$B$32,'Inputs'!$B$30+'Inputs'!$B$31+'Inputs'!$B$32)/1000+'Inputs'!$B$21+'Inputs'!$B$9+'Inputs'!$B$10)+'Inputs'!$B$7)/SQRT((((255-43)*MAX('Inputs'!$B$33,'Inputs'!$B$29+'Inputs'!$B$31+'Inputs'!$B$32,'Inputs'!$B$30+'Inputs'!$B$31+'Inputs'!$B$32)/1000+'Inputs'!$B$21+'Inputs'!$B$9+'Inputs'!$B$10)+'Inputs'!$B$7)^2+('Inputs'!$B$6/2)^2)-(((255-43)*MAX('Inputs'!$B$33,'Inputs'!$B$29+'Inputs'!$B$31+'Inputs'!$B$32,'Inputs'!$B$30+'Inputs'!$B$31+'Inputs'!$B$32)/1000+'Inputs'!$B$21+'Inputs'!$B$9+'Inputs'!$B$10))/SQRT((((255-43)*MAX('Inputs'!$B$33,'Inputs'!$B$29+'Inputs'!$B$31+'Inputs'!$B$32,'Inputs'!$B$30+'Inputs'!$B$31+'Inputs'!$B$32)/1000+'Inputs'!$B$21+'Inputs'!$B$9+'Inputs'!$B$10))^2+('Inputs'!$B$6/2)^2))))*'Results'!$B$8))),"")</x:f>
        <x:v>54.58253429993047</x:v>
      </x:c>
      <x:c r="O255" t="n">
        <x:f>IF(AND(ISNUMBER('Results'!C7),ISNUMBER('Results'!B7),ISNUMBER('Results'!$B$8),ISNUMBER('Inputs'!$B$6),ISNUMBER('Inputs'!$B$7),ISNUMBER('Inputs'!$B$8),ISNUMBER('Inputs'!$B$9),ISNUMBER('Inputs'!$B$10),ISNUMBER('Inputs'!$B$21),ISNUMBER('Inputs'!$B$24),ISNUMBER('Inputs'!$B$28)),((('Results'!C7*(1+'Inputs'!$B$24)*(0.5*((((255-43)*MAX('Inputs'!$B$33,'Inputs'!$B$29+'Inputs'!$B$31+'Inputs'!$B$32,'Inputs'!$B$30+'Inputs'!$B$31+'Inputs'!$B$32)/1000+'Inputs'!$B$21)+'Inputs'!$B$9)/SQRT((((255-43)*MAX('Inputs'!$B$33,'Inputs'!$B$29+'Inputs'!$B$31+'Inputs'!$B$32,'Inputs'!$B$30+'Inputs'!$B$31+'Inputs'!$B$32)/1000+'Inputs'!$B$21)+'Inputs'!$B$9)^2+('Inputs'!$B$8/2)^2)-(((255-43)*MAX('Inputs'!$B$33,'Inputs'!$B$29+'Inputs'!$B$31+'Inputs'!$B$32,'Inputs'!$B$30+'Inputs'!$B$31+'Inputs'!$B$32)/1000+'Inputs'!$B$21))/SQRT((((255-43)*MAX('Inputs'!$B$33,'Inputs'!$B$29+'Inputs'!$B$31+'Inputs'!$B$32,'Inputs'!$B$30+'Inputs'!$B$31+'Inputs'!$B$32)/1000+'Inputs'!$B$21))^2+('Inputs'!$B$8/2)^2)))-'Results'!B7*(1-'Inputs'!$B$24)*(0.5*((((255-43)*MAX('Inputs'!$B$33,'Inputs'!$B$29+'Inputs'!$B$31+'Inputs'!$B$32,'Inputs'!$B$30+'Inputs'!$B$31+'Inputs'!$B$32)/1000+'Inputs'!$B$21+'Inputs'!$B$9+'Inputs'!$B$10)+'Inputs'!$B$7)/SQRT((((255-43)*MAX('Inputs'!$B$33,'Inputs'!$B$29+'Inputs'!$B$31+'Inputs'!$B$32,'Inputs'!$B$30+'Inputs'!$B$31+'Inputs'!$B$32)/1000+'Inputs'!$B$21+'Inputs'!$B$9+'Inputs'!$B$10)+'Inputs'!$B$7)^2+('Inputs'!$B$6/2)^2)-(((255-43)*MAX('Inputs'!$B$33,'Inputs'!$B$29+'Inputs'!$B$31+'Inputs'!$B$32,'Inputs'!$B$30+'Inputs'!$B$31+'Inputs'!$B$32)/1000+'Inputs'!$B$21+'Inputs'!$B$9+'Inputs'!$B$10))/SQRT((((255-43)*MAX('Inputs'!$B$33,'Inputs'!$B$29+'Inputs'!$B$31+'Inputs'!$B$32,'Inputs'!$B$30+'Inputs'!$B$31+'Inputs'!$B$32)/1000+'Inputs'!$B$21+'Inputs'!$B$9+'Inputs'!$B$10))^2+('Inputs'!$B$6/2)^2))))*'Results'!$B$8)+'Inputs'!$B$28*ABS((('Results'!C7*(1+'Inputs'!$B$24)*(0.5*((((255-43)*MAX('Inputs'!$B$33,'Inputs'!$B$29+'Inputs'!$B$31+'Inputs'!$B$32,'Inputs'!$B$30+'Inputs'!$B$31+'Inputs'!$B$32)/1000+'Inputs'!$B$21)+'Inputs'!$B$9)/SQRT((((255-43)*MAX('Inputs'!$B$33,'Inputs'!$B$29+'Inputs'!$B$31+'Inputs'!$B$32,'Inputs'!$B$30+'Inputs'!$B$31+'Inputs'!$B$32)/1000+'Inputs'!$B$21)+'Inputs'!$B$9)^2+('Inputs'!$B$8/2)^2)-(((255-43)*MAX('Inputs'!$B$33,'Inputs'!$B$29+'Inputs'!$B$31+'Inputs'!$B$32,'Inputs'!$B$30+'Inputs'!$B$31+'Inputs'!$B$32)/1000+'Inputs'!$B$21))/SQRT((((255-43)*MAX('Inputs'!$B$33,'Inputs'!$B$29+'Inputs'!$B$31+'Inputs'!$B$32,'Inputs'!$B$30+'Inputs'!$B$31+'Inputs'!$B$32)/1000+'Inputs'!$B$21))^2+('Inputs'!$B$8/2)^2)))-'Results'!B7*(1-'Inputs'!$B$24)*(0.5*((((255-43)*MAX('Inputs'!$B$33,'Inputs'!$B$29+'Inputs'!$B$31+'Inputs'!$B$32,'Inputs'!$B$30+'Inputs'!$B$31+'Inputs'!$B$32)/1000+'Inputs'!$B$21+'Inputs'!$B$9+'Inputs'!$B$10)+'Inputs'!$B$7)/SQRT((((255-43)*MAX('Inputs'!$B$33,'Inputs'!$B$29+'Inputs'!$B$31+'Inputs'!$B$32,'Inputs'!$B$30+'Inputs'!$B$31+'Inputs'!$B$32)/1000+'Inputs'!$B$21+'Inputs'!$B$9+'Inputs'!$B$10)+'Inputs'!$B$7)^2+('Inputs'!$B$6/2)^2)-(((255-43)*MAX('Inputs'!$B$33,'Inputs'!$B$29+'Inputs'!$B$31+'Inputs'!$B$32,'Inputs'!$B$30+'Inputs'!$B$31+'Inputs'!$B$32)/1000+'Inputs'!$B$21+'Inputs'!$B$9+'Inputs'!$B$10))/SQRT((((255-43)*MAX('Inputs'!$B$33,'Inputs'!$B$29+'Inputs'!$B$31+'Inputs'!$B$32,'Inputs'!$B$30+'Inputs'!$B$31+'Inputs'!$B$32)/1000+'Inputs'!$B$21+'Inputs'!$B$9+'Inputs'!$B$10))^2+('Inputs'!$B$6/2)^2))))*'Results'!$B$8))),"")</x:f>
        <x:v>65.34394347249933</x:v>
      </x:c>
      <x:c r="P255" t="n">
        <x:f>IF(AND(MAX(J255,J254)&gt;0,J255&gt;J254+0.00000001),1,0)</x:f>
        <x:v>0</x:v>
      </x:c>
      <x:c r="Q255" t="n">
        <x:f>IF(AND(MAX(K255,K254)&gt;0,K255&gt;K254+0.00000001),1,0)</x:f>
        <x:v>0</x:v>
      </x:c>
      <x:c r="R255" t="n">
        <x:f>IF(AND(MAX(L255,L254)&gt;0,L255&gt;L254+0.00000001),1,0)</x:f>
        <x:v>0</x:v>
      </x:c>
      <x:c r="S255" t="n">
        <x:f>IF(AND(MAX(M255,M254)&gt;0,M255&gt;M254+0.00000001),1,0)</x:f>
        <x:v>0</x:v>
      </x:c>
      <x:c r="T255" t="n">
        <x:f>IF(AND(MAX(N255,N254)&gt;0,N255&gt;N254+0.00000001),1,0)</x:f>
        <x:v>0</x:v>
      </x:c>
      <x:c r="U255" t="n">
        <x:f>IF(AND(MAX(O255,O254)&gt;0,O255&gt;O254+0.00000001),1,0)</x:f>
        <x:v>0</x:v>
      </x:c>
    </x:row>
    <x:row r="256">
      <x:c r="J256" t="n">
        <x:f>IF(AND(ISNUMBER('Results'!B7),ISNUMBER('Results'!C7),ISNUMBER('Results'!$B$8),ISNUMBER('Inputs'!$B$6),ISNUMBER('Inputs'!$B$7),ISNUMBER('Inputs'!$B$8),ISNUMBER('Inputs'!$B$9),ISNUMBER('Inputs'!$B$10),ISNUMBER('Inputs'!$B$21),ISNUMBER('Inputs'!$B$24),ISNUMBER('Inputs'!$B$28)),(('Results'!B7*(0.5*((((256-43)*MAX('Inputs'!$B$33,'Inputs'!$B$29+'Inputs'!$B$31+'Inputs'!$B$32,'Inputs'!$B$30+'Inputs'!$B$31+'Inputs'!$B$32)/1000+'Inputs'!$B$21)+'Inputs'!$B$7)/SQRT((((256-43)*MAX('Inputs'!$B$33,'Inputs'!$B$29+'Inputs'!$B$31+'Inputs'!$B$32,'Inputs'!$B$30+'Inputs'!$B$31+'Inputs'!$B$32)/1000+'Inputs'!$B$21)+'Inputs'!$B$7)^2+('Inputs'!$B$6/2)^2)-(((256-43)*MAX('Inputs'!$B$33,'Inputs'!$B$29+'Inputs'!$B$31+'Inputs'!$B$32,'Inputs'!$B$30+'Inputs'!$B$31+'Inputs'!$B$32)/1000+'Inputs'!$B$21))/SQRT((((256-43)*MAX('Inputs'!$B$33,'Inputs'!$B$29+'Inputs'!$B$31+'Inputs'!$B$32,'Inputs'!$B$30+'Inputs'!$B$31+'Inputs'!$B$32)/1000+'Inputs'!$B$21))^2+('Inputs'!$B$6/2)^2)))-'Results'!C7*(0.5*((((256-43)*MAX('Inputs'!$B$33,'Inputs'!$B$29+'Inputs'!$B$31+'Inputs'!$B$32,'Inputs'!$B$30+'Inputs'!$B$31+'Inputs'!$B$32)/1000+'Inputs'!$B$21+'Inputs'!$B$7+'Inputs'!$B$10)+'Inputs'!$B$9)/SQRT((((256-43)*MAX('Inputs'!$B$33,'Inputs'!$B$29+'Inputs'!$B$31+'Inputs'!$B$32,'Inputs'!$B$30+'Inputs'!$B$31+'Inputs'!$B$32)/1000+'Inputs'!$B$21+'Inputs'!$B$7+'Inputs'!$B$10)+'Inputs'!$B$9)^2+('Inputs'!$B$8/2)^2)-(((256-43)*MAX('Inputs'!$B$33,'Inputs'!$B$29+'Inputs'!$B$31+'Inputs'!$B$32,'Inputs'!$B$30+'Inputs'!$B$31+'Inputs'!$B$32)/1000+'Inputs'!$B$21+'Inputs'!$B$7+'Inputs'!$B$10))/SQRT((((256-43)*MAX('Inputs'!$B$33,'Inputs'!$B$29+'Inputs'!$B$31+'Inputs'!$B$32,'Inputs'!$B$30+'Inputs'!$B$31+'Inputs'!$B$32)/1000+'Inputs'!$B$21+'Inputs'!$B$7+'Inputs'!$B$10))^2+('Inputs'!$B$8/2)^2))))*'Results'!$B$8),"")</x:f>
        <x:v>61.45043357177554</x:v>
      </x:c>
      <x:c r="K256" t="n">
        <x:f>IF(AND(ISNUMBER('Results'!B7),ISNUMBER('Results'!C7),ISNUMBER('Results'!$B$8),ISNUMBER('Inputs'!$B$6),ISNUMBER('Inputs'!$B$7),ISNUMBER('Inputs'!$B$8),ISNUMBER('Inputs'!$B$9),ISNUMBER('Inputs'!$B$10),ISNUMBER('Inputs'!$B$21),ISNUMBER('Inputs'!$B$24),ISNUMBER('Inputs'!$B$28)),((('Results'!B7*(1-'Inputs'!$B$24)*(0.5*((((256-43)*MAX('Inputs'!$B$33,'Inputs'!$B$29+'Inputs'!$B$31+'Inputs'!$B$32,'Inputs'!$B$30+'Inputs'!$B$31+'Inputs'!$B$32)/1000+'Inputs'!$B$21)+'Inputs'!$B$7)/SQRT((((256-43)*MAX('Inputs'!$B$33,'Inputs'!$B$29+'Inputs'!$B$31+'Inputs'!$B$32,'Inputs'!$B$30+'Inputs'!$B$31+'Inputs'!$B$32)/1000+'Inputs'!$B$21)+'Inputs'!$B$7)^2+('Inputs'!$B$6/2)^2)-(((256-43)*MAX('Inputs'!$B$33,'Inputs'!$B$29+'Inputs'!$B$31+'Inputs'!$B$32,'Inputs'!$B$30+'Inputs'!$B$31+'Inputs'!$B$32)/1000+'Inputs'!$B$21))/SQRT((((256-43)*MAX('Inputs'!$B$33,'Inputs'!$B$29+'Inputs'!$B$31+'Inputs'!$B$32,'Inputs'!$B$30+'Inputs'!$B$31+'Inputs'!$B$32)/1000+'Inputs'!$B$21))^2+('Inputs'!$B$6/2)^2)))-'Results'!C7*(1+'Inputs'!$B$24)*(0.5*((((256-43)*MAX('Inputs'!$B$33,'Inputs'!$B$29+'Inputs'!$B$31+'Inputs'!$B$32,'Inputs'!$B$30+'Inputs'!$B$31+'Inputs'!$B$32)/1000+'Inputs'!$B$21+'Inputs'!$B$7+'Inputs'!$B$10)+'Inputs'!$B$9)/SQRT((((256-43)*MAX('Inputs'!$B$33,'Inputs'!$B$29+'Inputs'!$B$31+'Inputs'!$B$32,'Inputs'!$B$30+'Inputs'!$B$31+'Inputs'!$B$32)/1000+'Inputs'!$B$21+'Inputs'!$B$7+'Inputs'!$B$10)+'Inputs'!$B$9)^2+('Inputs'!$B$8/2)^2)-(((256-43)*MAX('Inputs'!$B$33,'Inputs'!$B$29+'Inputs'!$B$31+'Inputs'!$B$32,'Inputs'!$B$30+'Inputs'!$B$31+'Inputs'!$B$32)/1000+'Inputs'!$B$21+'Inputs'!$B$7+'Inputs'!$B$10))/SQRT((((256-43)*MAX('Inputs'!$B$33,'Inputs'!$B$29+'Inputs'!$B$31+'Inputs'!$B$32,'Inputs'!$B$30+'Inputs'!$B$31+'Inputs'!$B$32)/1000+'Inputs'!$B$21+'Inputs'!$B$7+'Inputs'!$B$10))^2+('Inputs'!$B$8/2)^2))))*'Results'!$B$8)-'Inputs'!$B$28*ABS((('Results'!B7*(1-'Inputs'!$B$24)*(0.5*((((256-43)*MAX('Inputs'!$B$33,'Inputs'!$B$29+'Inputs'!$B$31+'Inputs'!$B$32,'Inputs'!$B$30+'Inputs'!$B$31+'Inputs'!$B$32)/1000+'Inputs'!$B$21)+'Inputs'!$B$7)/SQRT((((256-43)*MAX('Inputs'!$B$33,'Inputs'!$B$29+'Inputs'!$B$31+'Inputs'!$B$32,'Inputs'!$B$30+'Inputs'!$B$31+'Inputs'!$B$32)/1000+'Inputs'!$B$21)+'Inputs'!$B$7)^2+('Inputs'!$B$6/2)^2)-(((256-43)*MAX('Inputs'!$B$33,'Inputs'!$B$29+'Inputs'!$B$31+'Inputs'!$B$32,'Inputs'!$B$30+'Inputs'!$B$31+'Inputs'!$B$32)/1000+'Inputs'!$B$21))/SQRT((((256-43)*MAX('Inputs'!$B$33,'Inputs'!$B$29+'Inputs'!$B$31+'Inputs'!$B$32,'Inputs'!$B$30+'Inputs'!$B$31+'Inputs'!$B$32)/1000+'Inputs'!$B$21))^2+('Inputs'!$B$6/2)^2)))-'Results'!C7*(1+'Inputs'!$B$24)*(0.5*((((256-43)*MAX('Inputs'!$B$33,'Inputs'!$B$29+'Inputs'!$B$31+'Inputs'!$B$32,'Inputs'!$B$30+'Inputs'!$B$31+'Inputs'!$B$32)/1000+'Inputs'!$B$21+'Inputs'!$B$7+'Inputs'!$B$10)+'Inputs'!$B$9)/SQRT((((256-43)*MAX('Inputs'!$B$33,'Inputs'!$B$29+'Inputs'!$B$31+'Inputs'!$B$32,'Inputs'!$B$30+'Inputs'!$B$31+'Inputs'!$B$32)/1000+'Inputs'!$B$21+'Inputs'!$B$7+'Inputs'!$B$10)+'Inputs'!$B$9)^2+('Inputs'!$B$8/2)^2)-(((256-43)*MAX('Inputs'!$B$33,'Inputs'!$B$29+'Inputs'!$B$31+'Inputs'!$B$32,'Inputs'!$B$30+'Inputs'!$B$31+'Inputs'!$B$32)/1000+'Inputs'!$B$21+'Inputs'!$B$7+'Inputs'!$B$10))/SQRT((((256-43)*MAX('Inputs'!$B$33,'Inputs'!$B$29+'Inputs'!$B$31+'Inputs'!$B$32,'Inputs'!$B$30+'Inputs'!$B$31+'Inputs'!$B$32)/1000+'Inputs'!$B$21+'Inputs'!$B$7+'Inputs'!$B$10))^2+('Inputs'!$B$8/2)^2))))*'Results'!$B$8))),"")</x:f>
        <x:v>56.11004835190958</x:v>
      </x:c>
      <x:c r="L256" t="n">
        <x:f>IF(AND(ISNUMBER('Results'!B7),ISNUMBER('Results'!C7),ISNUMBER('Results'!$B$8),ISNUMBER('Inputs'!$B$6),ISNUMBER('Inputs'!$B$7),ISNUMBER('Inputs'!$B$8),ISNUMBER('Inputs'!$B$9),ISNUMBER('Inputs'!$B$10),ISNUMBER('Inputs'!$B$21),ISNUMBER('Inputs'!$B$24),ISNUMBER('Inputs'!$B$28)),((('Results'!B7*(1+'Inputs'!$B$24)*(0.5*((((256-43)*MAX('Inputs'!$B$33,'Inputs'!$B$29+'Inputs'!$B$31+'Inputs'!$B$32,'Inputs'!$B$30+'Inputs'!$B$31+'Inputs'!$B$32)/1000+'Inputs'!$B$21)+'Inputs'!$B$7)/SQRT((((256-43)*MAX('Inputs'!$B$33,'Inputs'!$B$29+'Inputs'!$B$31+'Inputs'!$B$32,'Inputs'!$B$30+'Inputs'!$B$31+'Inputs'!$B$32)/1000+'Inputs'!$B$21)+'Inputs'!$B$7)^2+('Inputs'!$B$6/2)^2)-(((256-43)*MAX('Inputs'!$B$33,'Inputs'!$B$29+'Inputs'!$B$31+'Inputs'!$B$32,'Inputs'!$B$30+'Inputs'!$B$31+'Inputs'!$B$32)/1000+'Inputs'!$B$21))/SQRT((((256-43)*MAX('Inputs'!$B$33,'Inputs'!$B$29+'Inputs'!$B$31+'Inputs'!$B$32,'Inputs'!$B$30+'Inputs'!$B$31+'Inputs'!$B$32)/1000+'Inputs'!$B$21))^2+('Inputs'!$B$6/2)^2)))-'Results'!C7*(1-'Inputs'!$B$24)*(0.5*((((256-43)*MAX('Inputs'!$B$33,'Inputs'!$B$29+'Inputs'!$B$31+'Inputs'!$B$32,'Inputs'!$B$30+'Inputs'!$B$31+'Inputs'!$B$32)/1000+'Inputs'!$B$21+'Inputs'!$B$7+'Inputs'!$B$10)+'Inputs'!$B$9)/SQRT((((256-43)*MAX('Inputs'!$B$33,'Inputs'!$B$29+'Inputs'!$B$31+'Inputs'!$B$32,'Inputs'!$B$30+'Inputs'!$B$31+'Inputs'!$B$32)/1000+'Inputs'!$B$21+'Inputs'!$B$7+'Inputs'!$B$10)+'Inputs'!$B$9)^2+('Inputs'!$B$8/2)^2)-(((256-43)*MAX('Inputs'!$B$33,'Inputs'!$B$29+'Inputs'!$B$31+'Inputs'!$B$32,'Inputs'!$B$30+'Inputs'!$B$31+'Inputs'!$B$32)/1000+'Inputs'!$B$21+'Inputs'!$B$7+'Inputs'!$B$10))/SQRT((((256-43)*MAX('Inputs'!$B$33,'Inputs'!$B$29+'Inputs'!$B$31+'Inputs'!$B$32,'Inputs'!$B$30+'Inputs'!$B$31+'Inputs'!$B$32)/1000+'Inputs'!$B$21+'Inputs'!$B$7+'Inputs'!$B$10))^2+('Inputs'!$B$8/2)^2))))*'Results'!$B$8)+'Inputs'!$B$28*ABS((('Results'!B7*(1+'Inputs'!$B$24)*(0.5*((((256-43)*MAX('Inputs'!$B$33,'Inputs'!$B$29+'Inputs'!$B$31+'Inputs'!$B$32,'Inputs'!$B$30+'Inputs'!$B$31+'Inputs'!$B$32)/1000+'Inputs'!$B$21)+'Inputs'!$B$7)/SQRT((((256-43)*MAX('Inputs'!$B$33,'Inputs'!$B$29+'Inputs'!$B$31+'Inputs'!$B$32,'Inputs'!$B$30+'Inputs'!$B$31+'Inputs'!$B$32)/1000+'Inputs'!$B$21)+'Inputs'!$B$7)^2+('Inputs'!$B$6/2)^2)-(((256-43)*MAX('Inputs'!$B$33,'Inputs'!$B$29+'Inputs'!$B$31+'Inputs'!$B$32,'Inputs'!$B$30+'Inputs'!$B$31+'Inputs'!$B$32)/1000+'Inputs'!$B$21))/SQRT((((256-43)*MAX('Inputs'!$B$33,'Inputs'!$B$29+'Inputs'!$B$31+'Inputs'!$B$32,'Inputs'!$B$30+'Inputs'!$B$31+'Inputs'!$B$32)/1000+'Inputs'!$B$21))^2+('Inputs'!$B$6/2)^2)))-'Results'!C7*(1-'Inputs'!$B$24)*(0.5*((((256-43)*MAX('Inputs'!$B$33,'Inputs'!$B$29+'Inputs'!$B$31+'Inputs'!$B$32,'Inputs'!$B$30+'Inputs'!$B$31+'Inputs'!$B$32)/1000+'Inputs'!$B$21+'Inputs'!$B$7+'Inputs'!$B$10)+'Inputs'!$B$9)/SQRT((((256-43)*MAX('Inputs'!$B$33,'Inputs'!$B$29+'Inputs'!$B$31+'Inputs'!$B$32,'Inputs'!$B$30+'Inputs'!$B$31+'Inputs'!$B$32)/1000+'Inputs'!$B$21+'Inputs'!$B$7+'Inputs'!$B$10)+'Inputs'!$B$9)^2+('Inputs'!$B$8/2)^2)-(((256-43)*MAX('Inputs'!$B$33,'Inputs'!$B$29+'Inputs'!$B$31+'Inputs'!$B$32,'Inputs'!$B$30+'Inputs'!$B$31+'Inputs'!$B$32)/1000+'Inputs'!$B$21+'Inputs'!$B$7+'Inputs'!$B$10))/SQRT((((256-43)*MAX('Inputs'!$B$33,'Inputs'!$B$29+'Inputs'!$B$31+'Inputs'!$B$32,'Inputs'!$B$30+'Inputs'!$B$31+'Inputs'!$B$32)/1000+'Inputs'!$B$21+'Inputs'!$B$7+'Inputs'!$B$10))^2+('Inputs'!$B$8/2)^2))))*'Results'!$B$8))),"")</x:f>
        <x:v>67.02954126967069</x:v>
      </x:c>
      <x:c r="M256" t="n">
        <x:f>IF(AND(ISNUMBER('Results'!C7),ISNUMBER('Results'!B7),ISNUMBER('Results'!$B$8),ISNUMBER('Inputs'!$B$6),ISNUMBER('Inputs'!$B$7),ISNUMBER('Inputs'!$B$8),ISNUMBER('Inputs'!$B$9),ISNUMBER('Inputs'!$B$10),ISNUMBER('Inputs'!$B$21),ISNUMBER('Inputs'!$B$24),ISNUMBER('Inputs'!$B$28)),(('Results'!C7*(0.5*((((256-43)*MAX('Inputs'!$B$33,'Inputs'!$B$29+'Inputs'!$B$31+'Inputs'!$B$32,'Inputs'!$B$30+'Inputs'!$B$31+'Inputs'!$B$32)/1000+'Inputs'!$B$21)+'Inputs'!$B$9)/SQRT((((256-43)*MAX('Inputs'!$B$33,'Inputs'!$B$29+'Inputs'!$B$31+'Inputs'!$B$32,'Inputs'!$B$30+'Inputs'!$B$31+'Inputs'!$B$32)/1000+'Inputs'!$B$21)+'Inputs'!$B$9)^2+('Inputs'!$B$8/2)^2)-(((256-43)*MAX('Inputs'!$B$33,'Inputs'!$B$29+'Inputs'!$B$31+'Inputs'!$B$32,'Inputs'!$B$30+'Inputs'!$B$31+'Inputs'!$B$32)/1000+'Inputs'!$B$21))/SQRT((((256-43)*MAX('Inputs'!$B$33,'Inputs'!$B$29+'Inputs'!$B$31+'Inputs'!$B$32,'Inputs'!$B$30+'Inputs'!$B$31+'Inputs'!$B$32)/1000+'Inputs'!$B$21))^2+('Inputs'!$B$8/2)^2)))-'Results'!B7*(0.5*((((256-43)*MAX('Inputs'!$B$33,'Inputs'!$B$29+'Inputs'!$B$31+'Inputs'!$B$32,'Inputs'!$B$30+'Inputs'!$B$31+'Inputs'!$B$32)/1000+'Inputs'!$B$21+'Inputs'!$B$9+'Inputs'!$B$10)+'Inputs'!$B$7)/SQRT((((256-43)*MAX('Inputs'!$B$33,'Inputs'!$B$29+'Inputs'!$B$31+'Inputs'!$B$32,'Inputs'!$B$30+'Inputs'!$B$31+'Inputs'!$B$32)/1000+'Inputs'!$B$21+'Inputs'!$B$9+'Inputs'!$B$10)+'Inputs'!$B$7)^2+('Inputs'!$B$6/2)^2)-(((256-43)*MAX('Inputs'!$B$33,'Inputs'!$B$29+'Inputs'!$B$31+'Inputs'!$B$32,'Inputs'!$B$30+'Inputs'!$B$31+'Inputs'!$B$32)/1000+'Inputs'!$B$21+'Inputs'!$B$9+'Inputs'!$B$10))/SQRT((((256-43)*MAX('Inputs'!$B$33,'Inputs'!$B$29+'Inputs'!$B$31+'Inputs'!$B$32,'Inputs'!$B$30+'Inputs'!$B$31+'Inputs'!$B$32)/1000+'Inputs'!$B$21+'Inputs'!$B$9+'Inputs'!$B$10))^2+('Inputs'!$B$6/2)^2))))*'Results'!$B$8),"")</x:f>
        <x:v>59.05139025976075</x:v>
      </x:c>
      <x:c r="N256" t="n">
        <x:f>IF(AND(ISNUMBER('Results'!C7),ISNUMBER('Results'!B7),ISNUMBER('Results'!$B$8),ISNUMBER('Inputs'!$B$6),ISNUMBER('Inputs'!$B$7),ISNUMBER('Inputs'!$B$8),ISNUMBER('Inputs'!$B$9),ISNUMBER('Inputs'!$B$10),ISNUMBER('Inputs'!$B$21),ISNUMBER('Inputs'!$B$24),ISNUMBER('Inputs'!$B$28)),((('Results'!C7*(1-'Inputs'!$B$24)*(0.5*((((256-43)*MAX('Inputs'!$B$33,'Inputs'!$B$29+'Inputs'!$B$31+'Inputs'!$B$32,'Inputs'!$B$30+'Inputs'!$B$31+'Inputs'!$B$32)/1000+'Inputs'!$B$21)+'Inputs'!$B$9)/SQRT((((256-43)*MAX('Inputs'!$B$33,'Inputs'!$B$29+'Inputs'!$B$31+'Inputs'!$B$32,'Inputs'!$B$30+'Inputs'!$B$31+'Inputs'!$B$32)/1000+'Inputs'!$B$21)+'Inputs'!$B$9)^2+('Inputs'!$B$8/2)^2)-(((256-43)*MAX('Inputs'!$B$33,'Inputs'!$B$29+'Inputs'!$B$31+'Inputs'!$B$32,'Inputs'!$B$30+'Inputs'!$B$31+'Inputs'!$B$32)/1000+'Inputs'!$B$21))/SQRT((((256-43)*MAX('Inputs'!$B$33,'Inputs'!$B$29+'Inputs'!$B$31+'Inputs'!$B$32,'Inputs'!$B$30+'Inputs'!$B$31+'Inputs'!$B$32)/1000+'Inputs'!$B$21))^2+('Inputs'!$B$8/2)^2)))-'Results'!B7*(1+'Inputs'!$B$24)*(0.5*((((256-43)*MAX('Inputs'!$B$33,'Inputs'!$B$29+'Inputs'!$B$31+'Inputs'!$B$32,'Inputs'!$B$30+'Inputs'!$B$31+'Inputs'!$B$32)/1000+'Inputs'!$B$21+'Inputs'!$B$9+'Inputs'!$B$10)+'Inputs'!$B$7)/SQRT((((256-43)*MAX('Inputs'!$B$33,'Inputs'!$B$29+'Inputs'!$B$31+'Inputs'!$B$32,'Inputs'!$B$30+'Inputs'!$B$31+'Inputs'!$B$32)/1000+'Inputs'!$B$21+'Inputs'!$B$9+'Inputs'!$B$10)+'Inputs'!$B$7)^2+('Inputs'!$B$6/2)^2)-(((256-43)*MAX('Inputs'!$B$33,'Inputs'!$B$29+'Inputs'!$B$31+'Inputs'!$B$32,'Inputs'!$B$30+'Inputs'!$B$31+'Inputs'!$B$32)/1000+'Inputs'!$B$21+'Inputs'!$B$9+'Inputs'!$B$10))/SQRT((((256-43)*MAX('Inputs'!$B$33,'Inputs'!$B$29+'Inputs'!$B$31+'Inputs'!$B$32,'Inputs'!$B$30+'Inputs'!$B$31+'Inputs'!$B$32)/1000+'Inputs'!$B$21+'Inputs'!$B$9+'Inputs'!$B$10))^2+('Inputs'!$B$6/2)^2))))*'Results'!$B$8)-'Inputs'!$B$28*ABS((('Results'!C7*(1-'Inputs'!$B$24)*(0.5*((((256-43)*MAX('Inputs'!$B$33,'Inputs'!$B$29+'Inputs'!$B$31+'Inputs'!$B$32,'Inputs'!$B$30+'Inputs'!$B$31+'Inputs'!$B$32)/1000+'Inputs'!$B$21)+'Inputs'!$B$9)/SQRT((((256-43)*MAX('Inputs'!$B$33,'Inputs'!$B$29+'Inputs'!$B$31+'Inputs'!$B$32,'Inputs'!$B$30+'Inputs'!$B$31+'Inputs'!$B$32)/1000+'Inputs'!$B$21)+'Inputs'!$B$9)^2+('Inputs'!$B$8/2)^2)-(((256-43)*MAX('Inputs'!$B$33,'Inputs'!$B$29+'Inputs'!$B$31+'Inputs'!$B$32,'Inputs'!$B$30+'Inputs'!$B$31+'Inputs'!$B$32)/1000+'Inputs'!$B$21))/SQRT((((256-43)*MAX('Inputs'!$B$33,'Inputs'!$B$29+'Inputs'!$B$31+'Inputs'!$B$32,'Inputs'!$B$30+'Inputs'!$B$31+'Inputs'!$B$32)/1000+'Inputs'!$B$21))^2+('Inputs'!$B$8/2)^2)))-'Results'!B7*(1+'Inputs'!$B$24)*(0.5*((((256-43)*MAX('Inputs'!$B$33,'Inputs'!$B$29+'Inputs'!$B$31+'Inputs'!$B$32,'Inputs'!$B$30+'Inputs'!$B$31+'Inputs'!$B$32)/1000+'Inputs'!$B$21+'Inputs'!$B$9+'Inputs'!$B$10)+'Inputs'!$B$7)/SQRT((((256-43)*MAX('Inputs'!$B$33,'Inputs'!$B$29+'Inputs'!$B$31+'Inputs'!$B$32,'Inputs'!$B$30+'Inputs'!$B$31+'Inputs'!$B$32)/1000+'Inputs'!$B$21+'Inputs'!$B$9+'Inputs'!$B$10)+'Inputs'!$B$7)^2+('Inputs'!$B$6/2)^2)-(((256-43)*MAX('Inputs'!$B$33,'Inputs'!$B$29+'Inputs'!$B$31+'Inputs'!$B$32,'Inputs'!$B$30+'Inputs'!$B$31+'Inputs'!$B$32)/1000+'Inputs'!$B$21+'Inputs'!$B$9+'Inputs'!$B$10))/SQRT((((256-43)*MAX('Inputs'!$B$33,'Inputs'!$B$29+'Inputs'!$B$31+'Inputs'!$B$32,'Inputs'!$B$30+'Inputs'!$B$31+'Inputs'!$B$32)/1000+'Inputs'!$B$21+'Inputs'!$B$9+'Inputs'!$B$10))^2+('Inputs'!$B$6/2)^2))))*'Results'!$B$8))),"")</x:f>
        <x:v>53.85408381815005</x:v>
      </x:c>
      <x:c r="O256" t="n">
        <x:f>IF(AND(ISNUMBER('Results'!C7),ISNUMBER('Results'!B7),ISNUMBER('Results'!$B$8),ISNUMBER('Inputs'!$B$6),ISNUMBER('Inputs'!$B$7),ISNUMBER('Inputs'!$B$8),ISNUMBER('Inputs'!$B$9),ISNUMBER('Inputs'!$B$10),ISNUMBER('Inputs'!$B$21),ISNUMBER('Inputs'!$B$24),ISNUMBER('Inputs'!$B$28)),((('Results'!C7*(1+'Inputs'!$B$24)*(0.5*((((256-43)*MAX('Inputs'!$B$33,'Inputs'!$B$29+'Inputs'!$B$31+'Inputs'!$B$32,'Inputs'!$B$30+'Inputs'!$B$31+'Inputs'!$B$32)/1000+'Inputs'!$B$21)+'Inputs'!$B$9)/SQRT((((256-43)*MAX('Inputs'!$B$33,'Inputs'!$B$29+'Inputs'!$B$31+'Inputs'!$B$32,'Inputs'!$B$30+'Inputs'!$B$31+'Inputs'!$B$32)/1000+'Inputs'!$B$21)+'Inputs'!$B$9)^2+('Inputs'!$B$8/2)^2)-(((256-43)*MAX('Inputs'!$B$33,'Inputs'!$B$29+'Inputs'!$B$31+'Inputs'!$B$32,'Inputs'!$B$30+'Inputs'!$B$31+'Inputs'!$B$32)/1000+'Inputs'!$B$21))/SQRT((((256-43)*MAX('Inputs'!$B$33,'Inputs'!$B$29+'Inputs'!$B$31+'Inputs'!$B$32,'Inputs'!$B$30+'Inputs'!$B$31+'Inputs'!$B$32)/1000+'Inputs'!$B$21))^2+('Inputs'!$B$8/2)^2)))-'Results'!B7*(1-'Inputs'!$B$24)*(0.5*((((256-43)*MAX('Inputs'!$B$33,'Inputs'!$B$29+'Inputs'!$B$31+'Inputs'!$B$32,'Inputs'!$B$30+'Inputs'!$B$31+'Inputs'!$B$32)/1000+'Inputs'!$B$21+'Inputs'!$B$9+'Inputs'!$B$10)+'Inputs'!$B$7)/SQRT((((256-43)*MAX('Inputs'!$B$33,'Inputs'!$B$29+'Inputs'!$B$31+'Inputs'!$B$32,'Inputs'!$B$30+'Inputs'!$B$31+'Inputs'!$B$32)/1000+'Inputs'!$B$21+'Inputs'!$B$9+'Inputs'!$B$10)+'Inputs'!$B$7)^2+('Inputs'!$B$6/2)^2)-(((256-43)*MAX('Inputs'!$B$33,'Inputs'!$B$29+'Inputs'!$B$31+'Inputs'!$B$32,'Inputs'!$B$30+'Inputs'!$B$31+'Inputs'!$B$32)/1000+'Inputs'!$B$21+'Inputs'!$B$9+'Inputs'!$B$10))/SQRT((((256-43)*MAX('Inputs'!$B$33,'Inputs'!$B$29+'Inputs'!$B$31+'Inputs'!$B$32,'Inputs'!$B$30+'Inputs'!$B$31+'Inputs'!$B$32)/1000+'Inputs'!$B$21+'Inputs'!$B$9+'Inputs'!$B$10))^2+('Inputs'!$B$6/2)^2))))*'Results'!$B$8)+'Inputs'!$B$28*ABS((('Results'!C7*(1+'Inputs'!$B$24)*(0.5*((((256-43)*MAX('Inputs'!$B$33,'Inputs'!$B$29+'Inputs'!$B$31+'Inputs'!$B$32,'Inputs'!$B$30+'Inputs'!$B$31+'Inputs'!$B$32)/1000+'Inputs'!$B$21)+'Inputs'!$B$9)/SQRT((((256-43)*MAX('Inputs'!$B$33,'Inputs'!$B$29+'Inputs'!$B$31+'Inputs'!$B$32,'Inputs'!$B$30+'Inputs'!$B$31+'Inputs'!$B$32)/1000+'Inputs'!$B$21)+'Inputs'!$B$9)^2+('Inputs'!$B$8/2)^2)-(((256-43)*MAX('Inputs'!$B$33,'Inputs'!$B$29+'Inputs'!$B$31+'Inputs'!$B$32,'Inputs'!$B$30+'Inputs'!$B$31+'Inputs'!$B$32)/1000+'Inputs'!$B$21))/SQRT((((256-43)*MAX('Inputs'!$B$33,'Inputs'!$B$29+'Inputs'!$B$31+'Inputs'!$B$32,'Inputs'!$B$30+'Inputs'!$B$31+'Inputs'!$B$32)/1000+'Inputs'!$B$21))^2+('Inputs'!$B$8/2)^2)))-'Results'!B7*(1-'Inputs'!$B$24)*(0.5*((((256-43)*MAX('Inputs'!$B$33,'Inputs'!$B$29+'Inputs'!$B$31+'Inputs'!$B$32,'Inputs'!$B$30+'Inputs'!$B$31+'Inputs'!$B$32)/1000+'Inputs'!$B$21+'Inputs'!$B$9+'Inputs'!$B$10)+'Inputs'!$B$7)/SQRT((((256-43)*MAX('Inputs'!$B$33,'Inputs'!$B$29+'Inputs'!$B$31+'Inputs'!$B$32,'Inputs'!$B$30+'Inputs'!$B$31+'Inputs'!$B$32)/1000+'Inputs'!$B$21+'Inputs'!$B$9+'Inputs'!$B$10)+'Inputs'!$B$7)^2+('Inputs'!$B$6/2)^2)-(((256-43)*MAX('Inputs'!$B$33,'Inputs'!$B$29+'Inputs'!$B$31+'Inputs'!$B$32,'Inputs'!$B$30+'Inputs'!$B$31+'Inputs'!$B$32)/1000+'Inputs'!$B$21+'Inputs'!$B$9+'Inputs'!$B$10))/SQRT((((256-43)*MAX('Inputs'!$B$33,'Inputs'!$B$29+'Inputs'!$B$31+'Inputs'!$B$32,'Inputs'!$B$30+'Inputs'!$B$31+'Inputs'!$B$32)/1000+'Inputs'!$B$21+'Inputs'!$B$9+'Inputs'!$B$10))^2+('Inputs'!$B$6/2)^2))))*'Results'!$B$8))),"")</x:f>
        <x:v>64.4849847991212</x:v>
      </x:c>
      <x:c r="P256" t="n">
        <x:f>IF(AND(MAX(J256,J255)&gt;0,J256&gt;J255+0.00000001),1,0)</x:f>
        <x:v>0</x:v>
      </x:c>
      <x:c r="Q256" t="n">
        <x:f>IF(AND(MAX(K256,K255)&gt;0,K256&gt;K255+0.00000001),1,0)</x:f>
        <x:v>0</x:v>
      </x:c>
      <x:c r="R256" t="n">
        <x:f>IF(AND(MAX(L256,L255)&gt;0,L256&gt;L255+0.00000001),1,0)</x:f>
        <x:v>0</x:v>
      </x:c>
      <x:c r="S256" t="n">
        <x:f>IF(AND(MAX(M256,M255)&gt;0,M256&gt;M255+0.00000001),1,0)</x:f>
        <x:v>0</x:v>
      </x:c>
      <x:c r="T256" t="n">
        <x:f>IF(AND(MAX(N256,N255)&gt;0,N256&gt;N255+0.00000001),1,0)</x:f>
        <x:v>0</x:v>
      </x:c>
      <x:c r="U256" t="n">
        <x:f>IF(AND(MAX(O256,O255)&gt;0,O256&gt;O255+0.00000001),1,0)</x:f>
        <x:v>0</x:v>
      </x:c>
    </x:row>
    <x:row r="257">
      <x:c r="J257" t="n">
        <x:f>IF(AND(ISNUMBER('Results'!B7),ISNUMBER('Results'!C7),ISNUMBER('Results'!$B$8),ISNUMBER('Inputs'!$B$6),ISNUMBER('Inputs'!$B$7),ISNUMBER('Inputs'!$B$8),ISNUMBER('Inputs'!$B$9),ISNUMBER('Inputs'!$B$10),ISNUMBER('Inputs'!$B$21),ISNUMBER('Inputs'!$B$24),ISNUMBER('Inputs'!$B$28)),(('Results'!B7*(0.5*((((257-43)*MAX('Inputs'!$B$33,'Inputs'!$B$29+'Inputs'!$B$31+'Inputs'!$B$32,'Inputs'!$B$30+'Inputs'!$B$31+'Inputs'!$B$32)/1000+'Inputs'!$B$21)+'Inputs'!$B$7)/SQRT((((257-43)*MAX('Inputs'!$B$33,'Inputs'!$B$29+'Inputs'!$B$31+'Inputs'!$B$32,'Inputs'!$B$30+'Inputs'!$B$31+'Inputs'!$B$32)/1000+'Inputs'!$B$21)+'Inputs'!$B$7)^2+('Inputs'!$B$6/2)^2)-(((257-43)*MAX('Inputs'!$B$33,'Inputs'!$B$29+'Inputs'!$B$31+'Inputs'!$B$32,'Inputs'!$B$30+'Inputs'!$B$31+'Inputs'!$B$32)/1000+'Inputs'!$B$21))/SQRT((((257-43)*MAX('Inputs'!$B$33,'Inputs'!$B$29+'Inputs'!$B$31+'Inputs'!$B$32,'Inputs'!$B$30+'Inputs'!$B$31+'Inputs'!$B$32)/1000+'Inputs'!$B$21))^2+('Inputs'!$B$6/2)^2)))-'Results'!C7*(0.5*((((257-43)*MAX('Inputs'!$B$33,'Inputs'!$B$29+'Inputs'!$B$31+'Inputs'!$B$32,'Inputs'!$B$30+'Inputs'!$B$31+'Inputs'!$B$32)/1000+'Inputs'!$B$21+'Inputs'!$B$7+'Inputs'!$B$10)+'Inputs'!$B$9)/SQRT((((257-43)*MAX('Inputs'!$B$33,'Inputs'!$B$29+'Inputs'!$B$31+'Inputs'!$B$32,'Inputs'!$B$30+'Inputs'!$B$31+'Inputs'!$B$32)/1000+'Inputs'!$B$21+'Inputs'!$B$7+'Inputs'!$B$10)+'Inputs'!$B$9)^2+('Inputs'!$B$8/2)^2)-(((257-43)*MAX('Inputs'!$B$33,'Inputs'!$B$29+'Inputs'!$B$31+'Inputs'!$B$32,'Inputs'!$B$30+'Inputs'!$B$31+'Inputs'!$B$32)/1000+'Inputs'!$B$21+'Inputs'!$B$7+'Inputs'!$B$10))/SQRT((((257-43)*MAX('Inputs'!$B$33,'Inputs'!$B$29+'Inputs'!$B$31+'Inputs'!$B$32,'Inputs'!$B$30+'Inputs'!$B$31+'Inputs'!$B$32)/1000+'Inputs'!$B$21+'Inputs'!$B$7+'Inputs'!$B$10))^2+('Inputs'!$B$8/2)^2))))*'Results'!$B$8),"")</x:f>
        <x:v>60.645175059891486</x:v>
      </x:c>
      <x:c r="K257" t="n">
        <x:f>IF(AND(ISNUMBER('Results'!B7),ISNUMBER('Results'!C7),ISNUMBER('Results'!$B$8),ISNUMBER('Inputs'!$B$6),ISNUMBER('Inputs'!$B$7),ISNUMBER('Inputs'!$B$8),ISNUMBER('Inputs'!$B$9),ISNUMBER('Inputs'!$B$10),ISNUMBER('Inputs'!$B$21),ISNUMBER('Inputs'!$B$24),ISNUMBER('Inputs'!$B$28)),((('Results'!B7*(1-'Inputs'!$B$24)*(0.5*((((257-43)*MAX('Inputs'!$B$33,'Inputs'!$B$29+'Inputs'!$B$31+'Inputs'!$B$32,'Inputs'!$B$30+'Inputs'!$B$31+'Inputs'!$B$32)/1000+'Inputs'!$B$21)+'Inputs'!$B$7)/SQRT((((257-43)*MAX('Inputs'!$B$33,'Inputs'!$B$29+'Inputs'!$B$31+'Inputs'!$B$32,'Inputs'!$B$30+'Inputs'!$B$31+'Inputs'!$B$32)/1000+'Inputs'!$B$21)+'Inputs'!$B$7)^2+('Inputs'!$B$6/2)^2)-(((257-43)*MAX('Inputs'!$B$33,'Inputs'!$B$29+'Inputs'!$B$31+'Inputs'!$B$32,'Inputs'!$B$30+'Inputs'!$B$31+'Inputs'!$B$32)/1000+'Inputs'!$B$21))/SQRT((((257-43)*MAX('Inputs'!$B$33,'Inputs'!$B$29+'Inputs'!$B$31+'Inputs'!$B$32,'Inputs'!$B$30+'Inputs'!$B$31+'Inputs'!$B$32)/1000+'Inputs'!$B$21))^2+('Inputs'!$B$6/2)^2)))-'Results'!C7*(1+'Inputs'!$B$24)*(0.5*((((257-43)*MAX('Inputs'!$B$33,'Inputs'!$B$29+'Inputs'!$B$31+'Inputs'!$B$32,'Inputs'!$B$30+'Inputs'!$B$31+'Inputs'!$B$32)/1000+'Inputs'!$B$21+'Inputs'!$B$7+'Inputs'!$B$10)+'Inputs'!$B$9)/SQRT((((257-43)*MAX('Inputs'!$B$33,'Inputs'!$B$29+'Inputs'!$B$31+'Inputs'!$B$32,'Inputs'!$B$30+'Inputs'!$B$31+'Inputs'!$B$32)/1000+'Inputs'!$B$21+'Inputs'!$B$7+'Inputs'!$B$10)+'Inputs'!$B$9)^2+('Inputs'!$B$8/2)^2)-(((257-43)*MAX('Inputs'!$B$33,'Inputs'!$B$29+'Inputs'!$B$31+'Inputs'!$B$32,'Inputs'!$B$30+'Inputs'!$B$31+'Inputs'!$B$32)/1000+'Inputs'!$B$21+'Inputs'!$B$7+'Inputs'!$B$10))/SQRT((((257-43)*MAX('Inputs'!$B$33,'Inputs'!$B$29+'Inputs'!$B$31+'Inputs'!$B$32,'Inputs'!$B$30+'Inputs'!$B$31+'Inputs'!$B$32)/1000+'Inputs'!$B$21+'Inputs'!$B$7+'Inputs'!$B$10))^2+('Inputs'!$B$8/2)^2))))*'Results'!$B$8)-'Inputs'!$B$28*ABS((('Results'!B7*(1-'Inputs'!$B$24)*(0.5*((((257-43)*MAX('Inputs'!$B$33,'Inputs'!$B$29+'Inputs'!$B$31+'Inputs'!$B$32,'Inputs'!$B$30+'Inputs'!$B$31+'Inputs'!$B$32)/1000+'Inputs'!$B$21)+'Inputs'!$B$7)/SQRT((((257-43)*MAX('Inputs'!$B$33,'Inputs'!$B$29+'Inputs'!$B$31+'Inputs'!$B$32,'Inputs'!$B$30+'Inputs'!$B$31+'Inputs'!$B$32)/1000+'Inputs'!$B$21)+'Inputs'!$B$7)^2+('Inputs'!$B$6/2)^2)-(((257-43)*MAX('Inputs'!$B$33,'Inputs'!$B$29+'Inputs'!$B$31+'Inputs'!$B$32,'Inputs'!$B$30+'Inputs'!$B$31+'Inputs'!$B$32)/1000+'Inputs'!$B$21))/SQRT((((257-43)*MAX('Inputs'!$B$33,'Inputs'!$B$29+'Inputs'!$B$31+'Inputs'!$B$32,'Inputs'!$B$30+'Inputs'!$B$31+'Inputs'!$B$32)/1000+'Inputs'!$B$21))^2+('Inputs'!$B$6/2)^2)))-'Results'!C7*(1+'Inputs'!$B$24)*(0.5*((((257-43)*MAX('Inputs'!$B$33,'Inputs'!$B$29+'Inputs'!$B$31+'Inputs'!$B$32,'Inputs'!$B$30+'Inputs'!$B$31+'Inputs'!$B$32)/1000+'Inputs'!$B$21+'Inputs'!$B$7+'Inputs'!$B$10)+'Inputs'!$B$9)/SQRT((((257-43)*MAX('Inputs'!$B$33,'Inputs'!$B$29+'Inputs'!$B$31+'Inputs'!$B$32,'Inputs'!$B$30+'Inputs'!$B$31+'Inputs'!$B$32)/1000+'Inputs'!$B$21+'Inputs'!$B$7+'Inputs'!$B$10)+'Inputs'!$B$9)^2+('Inputs'!$B$8/2)^2)-(((257-43)*MAX('Inputs'!$B$33,'Inputs'!$B$29+'Inputs'!$B$31+'Inputs'!$B$32,'Inputs'!$B$30+'Inputs'!$B$31+'Inputs'!$B$32)/1000+'Inputs'!$B$21+'Inputs'!$B$7+'Inputs'!$B$10))/SQRT((((257-43)*MAX('Inputs'!$B$33,'Inputs'!$B$29+'Inputs'!$B$31+'Inputs'!$B$32,'Inputs'!$B$30+'Inputs'!$B$31+'Inputs'!$B$32)/1000+'Inputs'!$B$21+'Inputs'!$B$7+'Inputs'!$B$10))^2+('Inputs'!$B$8/2)^2))))*'Results'!$B$8))),"")</x:f>
        <x:v>55.36936379671873</x:v>
      </x:c>
      <x:c r="L257" t="n">
        <x:f>IF(AND(ISNUMBER('Results'!B7),ISNUMBER('Results'!C7),ISNUMBER('Results'!$B$8),ISNUMBER('Inputs'!$B$6),ISNUMBER('Inputs'!$B$7),ISNUMBER('Inputs'!$B$8),ISNUMBER('Inputs'!$B$9),ISNUMBER('Inputs'!$B$10),ISNUMBER('Inputs'!$B$21),ISNUMBER('Inputs'!$B$24),ISNUMBER('Inputs'!$B$28)),((('Results'!B7*(1+'Inputs'!$B$24)*(0.5*((((257-43)*MAX('Inputs'!$B$33,'Inputs'!$B$29+'Inputs'!$B$31+'Inputs'!$B$32,'Inputs'!$B$30+'Inputs'!$B$31+'Inputs'!$B$32)/1000+'Inputs'!$B$21)+'Inputs'!$B$7)/SQRT((((257-43)*MAX('Inputs'!$B$33,'Inputs'!$B$29+'Inputs'!$B$31+'Inputs'!$B$32,'Inputs'!$B$30+'Inputs'!$B$31+'Inputs'!$B$32)/1000+'Inputs'!$B$21)+'Inputs'!$B$7)^2+('Inputs'!$B$6/2)^2)-(((257-43)*MAX('Inputs'!$B$33,'Inputs'!$B$29+'Inputs'!$B$31+'Inputs'!$B$32,'Inputs'!$B$30+'Inputs'!$B$31+'Inputs'!$B$32)/1000+'Inputs'!$B$21))/SQRT((((257-43)*MAX('Inputs'!$B$33,'Inputs'!$B$29+'Inputs'!$B$31+'Inputs'!$B$32,'Inputs'!$B$30+'Inputs'!$B$31+'Inputs'!$B$32)/1000+'Inputs'!$B$21))^2+('Inputs'!$B$6/2)^2)))-'Results'!C7*(1-'Inputs'!$B$24)*(0.5*((((257-43)*MAX('Inputs'!$B$33,'Inputs'!$B$29+'Inputs'!$B$31+'Inputs'!$B$32,'Inputs'!$B$30+'Inputs'!$B$31+'Inputs'!$B$32)/1000+'Inputs'!$B$21+'Inputs'!$B$7+'Inputs'!$B$10)+'Inputs'!$B$9)/SQRT((((257-43)*MAX('Inputs'!$B$33,'Inputs'!$B$29+'Inputs'!$B$31+'Inputs'!$B$32,'Inputs'!$B$30+'Inputs'!$B$31+'Inputs'!$B$32)/1000+'Inputs'!$B$21+'Inputs'!$B$7+'Inputs'!$B$10)+'Inputs'!$B$9)^2+('Inputs'!$B$8/2)^2)-(((257-43)*MAX('Inputs'!$B$33,'Inputs'!$B$29+'Inputs'!$B$31+'Inputs'!$B$32,'Inputs'!$B$30+'Inputs'!$B$31+'Inputs'!$B$32)/1000+'Inputs'!$B$21+'Inputs'!$B$7+'Inputs'!$B$10))/SQRT((((257-43)*MAX('Inputs'!$B$33,'Inputs'!$B$29+'Inputs'!$B$31+'Inputs'!$B$32,'Inputs'!$B$30+'Inputs'!$B$31+'Inputs'!$B$32)/1000+'Inputs'!$B$21+'Inputs'!$B$7+'Inputs'!$B$10))^2+('Inputs'!$B$8/2)^2))))*'Results'!$B$8)+'Inputs'!$B$28*ABS((('Results'!B7*(1+'Inputs'!$B$24)*(0.5*((((257-43)*MAX('Inputs'!$B$33,'Inputs'!$B$29+'Inputs'!$B$31+'Inputs'!$B$32,'Inputs'!$B$30+'Inputs'!$B$31+'Inputs'!$B$32)/1000+'Inputs'!$B$21)+'Inputs'!$B$7)/SQRT((((257-43)*MAX('Inputs'!$B$33,'Inputs'!$B$29+'Inputs'!$B$31+'Inputs'!$B$32,'Inputs'!$B$30+'Inputs'!$B$31+'Inputs'!$B$32)/1000+'Inputs'!$B$21)+'Inputs'!$B$7)^2+('Inputs'!$B$6/2)^2)-(((257-43)*MAX('Inputs'!$B$33,'Inputs'!$B$29+'Inputs'!$B$31+'Inputs'!$B$32,'Inputs'!$B$30+'Inputs'!$B$31+'Inputs'!$B$32)/1000+'Inputs'!$B$21))/SQRT((((257-43)*MAX('Inputs'!$B$33,'Inputs'!$B$29+'Inputs'!$B$31+'Inputs'!$B$32,'Inputs'!$B$30+'Inputs'!$B$31+'Inputs'!$B$32)/1000+'Inputs'!$B$21))^2+('Inputs'!$B$6/2)^2)))-'Results'!C7*(1-'Inputs'!$B$24)*(0.5*((((257-43)*MAX('Inputs'!$B$33,'Inputs'!$B$29+'Inputs'!$B$31+'Inputs'!$B$32,'Inputs'!$B$30+'Inputs'!$B$31+'Inputs'!$B$32)/1000+'Inputs'!$B$21+'Inputs'!$B$7+'Inputs'!$B$10)+'Inputs'!$B$9)/SQRT((((257-43)*MAX('Inputs'!$B$33,'Inputs'!$B$29+'Inputs'!$B$31+'Inputs'!$B$32,'Inputs'!$B$30+'Inputs'!$B$31+'Inputs'!$B$32)/1000+'Inputs'!$B$21+'Inputs'!$B$7+'Inputs'!$B$10)+'Inputs'!$B$9)^2+('Inputs'!$B$8/2)^2)-(((257-43)*MAX('Inputs'!$B$33,'Inputs'!$B$29+'Inputs'!$B$31+'Inputs'!$B$32,'Inputs'!$B$30+'Inputs'!$B$31+'Inputs'!$B$32)/1000+'Inputs'!$B$21+'Inputs'!$B$7+'Inputs'!$B$10))/SQRT((((257-43)*MAX('Inputs'!$B$33,'Inputs'!$B$29+'Inputs'!$B$31+'Inputs'!$B$32,'Inputs'!$B$30+'Inputs'!$B$31+'Inputs'!$B$32)/1000+'Inputs'!$B$21+'Inputs'!$B$7+'Inputs'!$B$10))^2+('Inputs'!$B$8/2)^2))))*'Results'!$B$8))),"")</x:f>
        <x:v>66.15714974518825</x:v>
      </x:c>
      <x:c r="M257" t="n">
        <x:f>IF(AND(ISNUMBER('Results'!C7),ISNUMBER('Results'!B7),ISNUMBER('Results'!$B$8),ISNUMBER('Inputs'!$B$6),ISNUMBER('Inputs'!$B$7),ISNUMBER('Inputs'!$B$8),ISNUMBER('Inputs'!$B$9),ISNUMBER('Inputs'!$B$10),ISNUMBER('Inputs'!$B$21),ISNUMBER('Inputs'!$B$24),ISNUMBER('Inputs'!$B$28)),(('Results'!C7*(0.5*((((257-43)*MAX('Inputs'!$B$33,'Inputs'!$B$29+'Inputs'!$B$31+'Inputs'!$B$32,'Inputs'!$B$30+'Inputs'!$B$31+'Inputs'!$B$32)/1000+'Inputs'!$B$21)+'Inputs'!$B$9)/SQRT((((257-43)*MAX('Inputs'!$B$33,'Inputs'!$B$29+'Inputs'!$B$31+'Inputs'!$B$32,'Inputs'!$B$30+'Inputs'!$B$31+'Inputs'!$B$32)/1000+'Inputs'!$B$21)+'Inputs'!$B$9)^2+('Inputs'!$B$8/2)^2)-(((257-43)*MAX('Inputs'!$B$33,'Inputs'!$B$29+'Inputs'!$B$31+'Inputs'!$B$32,'Inputs'!$B$30+'Inputs'!$B$31+'Inputs'!$B$32)/1000+'Inputs'!$B$21))/SQRT((((257-43)*MAX('Inputs'!$B$33,'Inputs'!$B$29+'Inputs'!$B$31+'Inputs'!$B$32,'Inputs'!$B$30+'Inputs'!$B$31+'Inputs'!$B$32)/1000+'Inputs'!$B$21))^2+('Inputs'!$B$8/2)^2)))-'Results'!B7*(0.5*((((257-43)*MAX('Inputs'!$B$33,'Inputs'!$B$29+'Inputs'!$B$31+'Inputs'!$B$32,'Inputs'!$B$30+'Inputs'!$B$31+'Inputs'!$B$32)/1000+'Inputs'!$B$21+'Inputs'!$B$9+'Inputs'!$B$10)+'Inputs'!$B$7)/SQRT((((257-43)*MAX('Inputs'!$B$33,'Inputs'!$B$29+'Inputs'!$B$31+'Inputs'!$B$32,'Inputs'!$B$30+'Inputs'!$B$31+'Inputs'!$B$32)/1000+'Inputs'!$B$21+'Inputs'!$B$9+'Inputs'!$B$10)+'Inputs'!$B$7)^2+('Inputs'!$B$6/2)^2)-(((257-43)*MAX('Inputs'!$B$33,'Inputs'!$B$29+'Inputs'!$B$31+'Inputs'!$B$32,'Inputs'!$B$30+'Inputs'!$B$31+'Inputs'!$B$32)/1000+'Inputs'!$B$21+'Inputs'!$B$9+'Inputs'!$B$10))/SQRT((((257-43)*MAX('Inputs'!$B$33,'Inputs'!$B$29+'Inputs'!$B$31+'Inputs'!$B$32,'Inputs'!$B$30+'Inputs'!$B$31+'Inputs'!$B$32)/1000+'Inputs'!$B$21+'Inputs'!$B$9+'Inputs'!$B$10))^2+('Inputs'!$B$6/2)^2))))*'Results'!$B$8),"")</x:f>
        <x:v>58.27181909661005</x:v>
      </x:c>
      <x:c r="N257" t="n">
        <x:f>IF(AND(ISNUMBER('Results'!C7),ISNUMBER('Results'!B7),ISNUMBER('Results'!$B$8),ISNUMBER('Inputs'!$B$6),ISNUMBER('Inputs'!$B$7),ISNUMBER('Inputs'!$B$8),ISNUMBER('Inputs'!$B$9),ISNUMBER('Inputs'!$B$10),ISNUMBER('Inputs'!$B$21),ISNUMBER('Inputs'!$B$24),ISNUMBER('Inputs'!$B$28)),((('Results'!C7*(1-'Inputs'!$B$24)*(0.5*((((257-43)*MAX('Inputs'!$B$33,'Inputs'!$B$29+'Inputs'!$B$31+'Inputs'!$B$32,'Inputs'!$B$30+'Inputs'!$B$31+'Inputs'!$B$32)/1000+'Inputs'!$B$21)+'Inputs'!$B$9)/SQRT((((257-43)*MAX('Inputs'!$B$33,'Inputs'!$B$29+'Inputs'!$B$31+'Inputs'!$B$32,'Inputs'!$B$30+'Inputs'!$B$31+'Inputs'!$B$32)/1000+'Inputs'!$B$21)+'Inputs'!$B$9)^2+('Inputs'!$B$8/2)^2)-(((257-43)*MAX('Inputs'!$B$33,'Inputs'!$B$29+'Inputs'!$B$31+'Inputs'!$B$32,'Inputs'!$B$30+'Inputs'!$B$31+'Inputs'!$B$32)/1000+'Inputs'!$B$21))/SQRT((((257-43)*MAX('Inputs'!$B$33,'Inputs'!$B$29+'Inputs'!$B$31+'Inputs'!$B$32,'Inputs'!$B$30+'Inputs'!$B$31+'Inputs'!$B$32)/1000+'Inputs'!$B$21))^2+('Inputs'!$B$8/2)^2)))-'Results'!B7*(1+'Inputs'!$B$24)*(0.5*((((257-43)*MAX('Inputs'!$B$33,'Inputs'!$B$29+'Inputs'!$B$31+'Inputs'!$B$32,'Inputs'!$B$30+'Inputs'!$B$31+'Inputs'!$B$32)/1000+'Inputs'!$B$21+'Inputs'!$B$9+'Inputs'!$B$10)+'Inputs'!$B$7)/SQRT((((257-43)*MAX('Inputs'!$B$33,'Inputs'!$B$29+'Inputs'!$B$31+'Inputs'!$B$32,'Inputs'!$B$30+'Inputs'!$B$31+'Inputs'!$B$32)/1000+'Inputs'!$B$21+'Inputs'!$B$9+'Inputs'!$B$10)+'Inputs'!$B$7)^2+('Inputs'!$B$6/2)^2)-(((257-43)*MAX('Inputs'!$B$33,'Inputs'!$B$29+'Inputs'!$B$31+'Inputs'!$B$32,'Inputs'!$B$30+'Inputs'!$B$31+'Inputs'!$B$32)/1000+'Inputs'!$B$21+'Inputs'!$B$9+'Inputs'!$B$10))/SQRT((((257-43)*MAX('Inputs'!$B$33,'Inputs'!$B$29+'Inputs'!$B$31+'Inputs'!$B$32,'Inputs'!$B$30+'Inputs'!$B$31+'Inputs'!$B$32)/1000+'Inputs'!$B$21+'Inputs'!$B$9+'Inputs'!$B$10))^2+('Inputs'!$B$6/2)^2))))*'Results'!$B$8)-'Inputs'!$B$28*ABS((('Results'!C7*(1-'Inputs'!$B$24)*(0.5*((((257-43)*MAX('Inputs'!$B$33,'Inputs'!$B$29+'Inputs'!$B$31+'Inputs'!$B$32,'Inputs'!$B$30+'Inputs'!$B$31+'Inputs'!$B$32)/1000+'Inputs'!$B$21)+'Inputs'!$B$9)/SQRT((((257-43)*MAX('Inputs'!$B$33,'Inputs'!$B$29+'Inputs'!$B$31+'Inputs'!$B$32,'Inputs'!$B$30+'Inputs'!$B$31+'Inputs'!$B$32)/1000+'Inputs'!$B$21)+'Inputs'!$B$9)^2+('Inputs'!$B$8/2)^2)-(((257-43)*MAX('Inputs'!$B$33,'Inputs'!$B$29+'Inputs'!$B$31+'Inputs'!$B$32,'Inputs'!$B$30+'Inputs'!$B$31+'Inputs'!$B$32)/1000+'Inputs'!$B$21))/SQRT((((257-43)*MAX('Inputs'!$B$33,'Inputs'!$B$29+'Inputs'!$B$31+'Inputs'!$B$32,'Inputs'!$B$30+'Inputs'!$B$31+'Inputs'!$B$32)/1000+'Inputs'!$B$21))^2+('Inputs'!$B$8/2)^2)))-'Results'!B7*(1+'Inputs'!$B$24)*(0.5*((((257-43)*MAX('Inputs'!$B$33,'Inputs'!$B$29+'Inputs'!$B$31+'Inputs'!$B$32,'Inputs'!$B$30+'Inputs'!$B$31+'Inputs'!$B$32)/1000+'Inputs'!$B$21+'Inputs'!$B$9+'Inputs'!$B$10)+'Inputs'!$B$7)/SQRT((((257-43)*MAX('Inputs'!$B$33,'Inputs'!$B$29+'Inputs'!$B$31+'Inputs'!$B$32,'Inputs'!$B$30+'Inputs'!$B$31+'Inputs'!$B$32)/1000+'Inputs'!$B$21+'Inputs'!$B$9+'Inputs'!$B$10)+'Inputs'!$B$7)^2+('Inputs'!$B$6/2)^2)-(((257-43)*MAX('Inputs'!$B$33,'Inputs'!$B$29+'Inputs'!$B$31+'Inputs'!$B$32,'Inputs'!$B$30+'Inputs'!$B$31+'Inputs'!$B$32)/1000+'Inputs'!$B$21+'Inputs'!$B$9+'Inputs'!$B$10))/SQRT((((257-43)*MAX('Inputs'!$B$33,'Inputs'!$B$29+'Inputs'!$B$31+'Inputs'!$B$32,'Inputs'!$B$30+'Inputs'!$B$31+'Inputs'!$B$32)/1000+'Inputs'!$B$21+'Inputs'!$B$9+'Inputs'!$B$10))^2+('Inputs'!$B$6/2)^2))))*'Results'!$B$8))),"")</x:f>
        <x:v>53.137498085025356</x:v>
      </x:c>
      <x:c r="O257" t="n">
        <x:f>IF(AND(ISNUMBER('Results'!C7),ISNUMBER('Results'!B7),ISNUMBER('Results'!$B$8),ISNUMBER('Inputs'!$B$6),ISNUMBER('Inputs'!$B$7),ISNUMBER('Inputs'!$B$8),ISNUMBER('Inputs'!$B$9),ISNUMBER('Inputs'!$B$10),ISNUMBER('Inputs'!$B$21),ISNUMBER('Inputs'!$B$24),ISNUMBER('Inputs'!$B$28)),((('Results'!C7*(1+'Inputs'!$B$24)*(0.5*((((257-43)*MAX('Inputs'!$B$33,'Inputs'!$B$29+'Inputs'!$B$31+'Inputs'!$B$32,'Inputs'!$B$30+'Inputs'!$B$31+'Inputs'!$B$32)/1000+'Inputs'!$B$21)+'Inputs'!$B$9)/SQRT((((257-43)*MAX('Inputs'!$B$33,'Inputs'!$B$29+'Inputs'!$B$31+'Inputs'!$B$32,'Inputs'!$B$30+'Inputs'!$B$31+'Inputs'!$B$32)/1000+'Inputs'!$B$21)+'Inputs'!$B$9)^2+('Inputs'!$B$8/2)^2)-(((257-43)*MAX('Inputs'!$B$33,'Inputs'!$B$29+'Inputs'!$B$31+'Inputs'!$B$32,'Inputs'!$B$30+'Inputs'!$B$31+'Inputs'!$B$32)/1000+'Inputs'!$B$21))/SQRT((((257-43)*MAX('Inputs'!$B$33,'Inputs'!$B$29+'Inputs'!$B$31+'Inputs'!$B$32,'Inputs'!$B$30+'Inputs'!$B$31+'Inputs'!$B$32)/1000+'Inputs'!$B$21))^2+('Inputs'!$B$8/2)^2)))-'Results'!B7*(1-'Inputs'!$B$24)*(0.5*((((257-43)*MAX('Inputs'!$B$33,'Inputs'!$B$29+'Inputs'!$B$31+'Inputs'!$B$32,'Inputs'!$B$30+'Inputs'!$B$31+'Inputs'!$B$32)/1000+'Inputs'!$B$21+'Inputs'!$B$9+'Inputs'!$B$10)+'Inputs'!$B$7)/SQRT((((257-43)*MAX('Inputs'!$B$33,'Inputs'!$B$29+'Inputs'!$B$31+'Inputs'!$B$32,'Inputs'!$B$30+'Inputs'!$B$31+'Inputs'!$B$32)/1000+'Inputs'!$B$21+'Inputs'!$B$9+'Inputs'!$B$10)+'Inputs'!$B$7)^2+('Inputs'!$B$6/2)^2)-(((257-43)*MAX('Inputs'!$B$33,'Inputs'!$B$29+'Inputs'!$B$31+'Inputs'!$B$32,'Inputs'!$B$30+'Inputs'!$B$31+'Inputs'!$B$32)/1000+'Inputs'!$B$21+'Inputs'!$B$9+'Inputs'!$B$10))/SQRT((((257-43)*MAX('Inputs'!$B$33,'Inputs'!$B$29+'Inputs'!$B$31+'Inputs'!$B$32,'Inputs'!$B$30+'Inputs'!$B$31+'Inputs'!$B$32)/1000+'Inputs'!$B$21+'Inputs'!$B$9+'Inputs'!$B$10))^2+('Inputs'!$B$6/2)^2))))*'Results'!$B$8)+'Inputs'!$B$28*ABS((('Results'!C7*(1+'Inputs'!$B$24)*(0.5*((((257-43)*MAX('Inputs'!$B$33,'Inputs'!$B$29+'Inputs'!$B$31+'Inputs'!$B$32,'Inputs'!$B$30+'Inputs'!$B$31+'Inputs'!$B$32)/1000+'Inputs'!$B$21)+'Inputs'!$B$9)/SQRT((((257-43)*MAX('Inputs'!$B$33,'Inputs'!$B$29+'Inputs'!$B$31+'Inputs'!$B$32,'Inputs'!$B$30+'Inputs'!$B$31+'Inputs'!$B$32)/1000+'Inputs'!$B$21)+'Inputs'!$B$9)^2+('Inputs'!$B$8/2)^2)-(((257-43)*MAX('Inputs'!$B$33,'Inputs'!$B$29+'Inputs'!$B$31+'Inputs'!$B$32,'Inputs'!$B$30+'Inputs'!$B$31+'Inputs'!$B$32)/1000+'Inputs'!$B$21))/SQRT((((257-43)*MAX('Inputs'!$B$33,'Inputs'!$B$29+'Inputs'!$B$31+'Inputs'!$B$32,'Inputs'!$B$30+'Inputs'!$B$31+'Inputs'!$B$32)/1000+'Inputs'!$B$21))^2+('Inputs'!$B$8/2)^2)))-'Results'!B7*(1-'Inputs'!$B$24)*(0.5*((((257-43)*MAX('Inputs'!$B$33,'Inputs'!$B$29+'Inputs'!$B$31+'Inputs'!$B$32,'Inputs'!$B$30+'Inputs'!$B$31+'Inputs'!$B$32)/1000+'Inputs'!$B$21+'Inputs'!$B$9+'Inputs'!$B$10)+'Inputs'!$B$7)/SQRT((((257-43)*MAX('Inputs'!$B$33,'Inputs'!$B$29+'Inputs'!$B$31+'Inputs'!$B$32,'Inputs'!$B$30+'Inputs'!$B$31+'Inputs'!$B$32)/1000+'Inputs'!$B$21+'Inputs'!$B$9+'Inputs'!$B$10)+'Inputs'!$B$7)^2+('Inputs'!$B$6/2)^2)-(((257-43)*MAX('Inputs'!$B$33,'Inputs'!$B$29+'Inputs'!$B$31+'Inputs'!$B$32,'Inputs'!$B$30+'Inputs'!$B$31+'Inputs'!$B$32)/1000+'Inputs'!$B$21+'Inputs'!$B$9+'Inputs'!$B$10))/SQRT((((257-43)*MAX('Inputs'!$B$33,'Inputs'!$B$29+'Inputs'!$B$31+'Inputs'!$B$32,'Inputs'!$B$30+'Inputs'!$B$31+'Inputs'!$B$32)/1000+'Inputs'!$B$21+'Inputs'!$B$9+'Inputs'!$B$10))^2+('Inputs'!$B$6/2)^2))))*'Results'!$B$8))),"")</x:f>
        <x:v>63.63990116680048</x:v>
      </x:c>
      <x:c r="P257" t="n">
        <x:f>IF(AND(MAX(J257,J256)&gt;0,J257&gt;J256+0.00000001),1,0)</x:f>
        <x:v>0</x:v>
      </x:c>
      <x:c r="Q257" t="n">
        <x:f>IF(AND(MAX(K257,K256)&gt;0,K257&gt;K256+0.00000001),1,0)</x:f>
        <x:v>0</x:v>
      </x:c>
      <x:c r="R257" t="n">
        <x:f>IF(AND(MAX(L257,L256)&gt;0,L257&gt;L256+0.00000001),1,0)</x:f>
        <x:v>0</x:v>
      </x:c>
      <x:c r="S257" t="n">
        <x:f>IF(AND(MAX(M257,M256)&gt;0,M257&gt;M256+0.00000001),1,0)</x:f>
        <x:v>0</x:v>
      </x:c>
      <x:c r="T257" t="n">
        <x:f>IF(AND(MAX(N257,N256)&gt;0,N257&gt;N256+0.00000001),1,0)</x:f>
        <x:v>0</x:v>
      </x:c>
      <x:c r="U257" t="n">
        <x:f>IF(AND(MAX(O257,O256)&gt;0,O257&gt;O256+0.00000001),1,0)</x:f>
        <x:v>0</x:v>
      </x:c>
    </x:row>
    <x:row r="258">
      <x:c r="J258" t="n">
        <x:f>IF(AND(ISNUMBER('Results'!B7),ISNUMBER('Results'!C7),ISNUMBER('Results'!$B$8),ISNUMBER('Inputs'!$B$6),ISNUMBER('Inputs'!$B$7),ISNUMBER('Inputs'!$B$8),ISNUMBER('Inputs'!$B$9),ISNUMBER('Inputs'!$B$10),ISNUMBER('Inputs'!$B$21),ISNUMBER('Inputs'!$B$24),ISNUMBER('Inputs'!$B$28)),(('Results'!B7*(0.5*((((258-43)*MAX('Inputs'!$B$33,'Inputs'!$B$29+'Inputs'!$B$31+'Inputs'!$B$32,'Inputs'!$B$30+'Inputs'!$B$31+'Inputs'!$B$32)/1000+'Inputs'!$B$21)+'Inputs'!$B$7)/SQRT((((258-43)*MAX('Inputs'!$B$33,'Inputs'!$B$29+'Inputs'!$B$31+'Inputs'!$B$32,'Inputs'!$B$30+'Inputs'!$B$31+'Inputs'!$B$32)/1000+'Inputs'!$B$21)+'Inputs'!$B$7)^2+('Inputs'!$B$6/2)^2)-(((258-43)*MAX('Inputs'!$B$33,'Inputs'!$B$29+'Inputs'!$B$31+'Inputs'!$B$32,'Inputs'!$B$30+'Inputs'!$B$31+'Inputs'!$B$32)/1000+'Inputs'!$B$21))/SQRT((((258-43)*MAX('Inputs'!$B$33,'Inputs'!$B$29+'Inputs'!$B$31+'Inputs'!$B$32,'Inputs'!$B$30+'Inputs'!$B$31+'Inputs'!$B$32)/1000+'Inputs'!$B$21))^2+('Inputs'!$B$6/2)^2)))-'Results'!C7*(0.5*((((258-43)*MAX('Inputs'!$B$33,'Inputs'!$B$29+'Inputs'!$B$31+'Inputs'!$B$32,'Inputs'!$B$30+'Inputs'!$B$31+'Inputs'!$B$32)/1000+'Inputs'!$B$21+'Inputs'!$B$7+'Inputs'!$B$10)+'Inputs'!$B$9)/SQRT((((258-43)*MAX('Inputs'!$B$33,'Inputs'!$B$29+'Inputs'!$B$31+'Inputs'!$B$32,'Inputs'!$B$30+'Inputs'!$B$31+'Inputs'!$B$32)/1000+'Inputs'!$B$21+'Inputs'!$B$7+'Inputs'!$B$10)+'Inputs'!$B$9)^2+('Inputs'!$B$8/2)^2)-(((258-43)*MAX('Inputs'!$B$33,'Inputs'!$B$29+'Inputs'!$B$31+'Inputs'!$B$32,'Inputs'!$B$30+'Inputs'!$B$31+'Inputs'!$B$32)/1000+'Inputs'!$B$21+'Inputs'!$B$7+'Inputs'!$B$10))/SQRT((((258-43)*MAX('Inputs'!$B$33,'Inputs'!$B$29+'Inputs'!$B$31+'Inputs'!$B$32,'Inputs'!$B$30+'Inputs'!$B$31+'Inputs'!$B$32)/1000+'Inputs'!$B$21+'Inputs'!$B$7+'Inputs'!$B$10))^2+('Inputs'!$B$8/2)^2))))*'Results'!$B$8),"")</x:f>
        <x:v>59.852886577757204</x:v>
      </x:c>
      <x:c r="K258" t="n">
        <x:f>IF(AND(ISNUMBER('Results'!B7),ISNUMBER('Results'!C7),ISNUMBER('Results'!$B$8),ISNUMBER('Inputs'!$B$6),ISNUMBER('Inputs'!$B$7),ISNUMBER('Inputs'!$B$8),ISNUMBER('Inputs'!$B$9),ISNUMBER('Inputs'!$B$10),ISNUMBER('Inputs'!$B$21),ISNUMBER('Inputs'!$B$24),ISNUMBER('Inputs'!$B$28)),((('Results'!B7*(1-'Inputs'!$B$24)*(0.5*((((258-43)*MAX('Inputs'!$B$33,'Inputs'!$B$29+'Inputs'!$B$31+'Inputs'!$B$32,'Inputs'!$B$30+'Inputs'!$B$31+'Inputs'!$B$32)/1000+'Inputs'!$B$21)+'Inputs'!$B$7)/SQRT((((258-43)*MAX('Inputs'!$B$33,'Inputs'!$B$29+'Inputs'!$B$31+'Inputs'!$B$32,'Inputs'!$B$30+'Inputs'!$B$31+'Inputs'!$B$32)/1000+'Inputs'!$B$21)+'Inputs'!$B$7)^2+('Inputs'!$B$6/2)^2)-(((258-43)*MAX('Inputs'!$B$33,'Inputs'!$B$29+'Inputs'!$B$31+'Inputs'!$B$32,'Inputs'!$B$30+'Inputs'!$B$31+'Inputs'!$B$32)/1000+'Inputs'!$B$21))/SQRT((((258-43)*MAX('Inputs'!$B$33,'Inputs'!$B$29+'Inputs'!$B$31+'Inputs'!$B$32,'Inputs'!$B$30+'Inputs'!$B$31+'Inputs'!$B$32)/1000+'Inputs'!$B$21))^2+('Inputs'!$B$6/2)^2)))-'Results'!C7*(1+'Inputs'!$B$24)*(0.5*((((258-43)*MAX('Inputs'!$B$33,'Inputs'!$B$29+'Inputs'!$B$31+'Inputs'!$B$32,'Inputs'!$B$30+'Inputs'!$B$31+'Inputs'!$B$32)/1000+'Inputs'!$B$21+'Inputs'!$B$7+'Inputs'!$B$10)+'Inputs'!$B$9)/SQRT((((258-43)*MAX('Inputs'!$B$33,'Inputs'!$B$29+'Inputs'!$B$31+'Inputs'!$B$32,'Inputs'!$B$30+'Inputs'!$B$31+'Inputs'!$B$32)/1000+'Inputs'!$B$21+'Inputs'!$B$7+'Inputs'!$B$10)+'Inputs'!$B$9)^2+('Inputs'!$B$8/2)^2)-(((258-43)*MAX('Inputs'!$B$33,'Inputs'!$B$29+'Inputs'!$B$31+'Inputs'!$B$32,'Inputs'!$B$30+'Inputs'!$B$31+'Inputs'!$B$32)/1000+'Inputs'!$B$21+'Inputs'!$B$7+'Inputs'!$B$10))/SQRT((((258-43)*MAX('Inputs'!$B$33,'Inputs'!$B$29+'Inputs'!$B$31+'Inputs'!$B$32,'Inputs'!$B$30+'Inputs'!$B$31+'Inputs'!$B$32)/1000+'Inputs'!$B$21+'Inputs'!$B$7+'Inputs'!$B$10))^2+('Inputs'!$B$8/2)^2))))*'Results'!$B$8)-'Inputs'!$B$28*ABS((('Results'!B7*(1-'Inputs'!$B$24)*(0.5*((((258-43)*MAX('Inputs'!$B$33,'Inputs'!$B$29+'Inputs'!$B$31+'Inputs'!$B$32,'Inputs'!$B$30+'Inputs'!$B$31+'Inputs'!$B$32)/1000+'Inputs'!$B$21)+'Inputs'!$B$7)/SQRT((((258-43)*MAX('Inputs'!$B$33,'Inputs'!$B$29+'Inputs'!$B$31+'Inputs'!$B$32,'Inputs'!$B$30+'Inputs'!$B$31+'Inputs'!$B$32)/1000+'Inputs'!$B$21)+'Inputs'!$B$7)^2+('Inputs'!$B$6/2)^2)-(((258-43)*MAX('Inputs'!$B$33,'Inputs'!$B$29+'Inputs'!$B$31+'Inputs'!$B$32,'Inputs'!$B$30+'Inputs'!$B$31+'Inputs'!$B$32)/1000+'Inputs'!$B$21))/SQRT((((258-43)*MAX('Inputs'!$B$33,'Inputs'!$B$29+'Inputs'!$B$31+'Inputs'!$B$32,'Inputs'!$B$30+'Inputs'!$B$31+'Inputs'!$B$32)/1000+'Inputs'!$B$21))^2+('Inputs'!$B$6/2)^2)))-'Results'!C7*(1+'Inputs'!$B$24)*(0.5*((((258-43)*MAX('Inputs'!$B$33,'Inputs'!$B$29+'Inputs'!$B$31+'Inputs'!$B$32,'Inputs'!$B$30+'Inputs'!$B$31+'Inputs'!$B$32)/1000+'Inputs'!$B$21+'Inputs'!$B$7+'Inputs'!$B$10)+'Inputs'!$B$9)/SQRT((((258-43)*MAX('Inputs'!$B$33,'Inputs'!$B$29+'Inputs'!$B$31+'Inputs'!$B$32,'Inputs'!$B$30+'Inputs'!$B$31+'Inputs'!$B$32)/1000+'Inputs'!$B$21+'Inputs'!$B$7+'Inputs'!$B$10)+'Inputs'!$B$9)^2+('Inputs'!$B$8/2)^2)-(((258-43)*MAX('Inputs'!$B$33,'Inputs'!$B$29+'Inputs'!$B$31+'Inputs'!$B$32,'Inputs'!$B$30+'Inputs'!$B$31+'Inputs'!$B$32)/1000+'Inputs'!$B$21+'Inputs'!$B$7+'Inputs'!$B$10))/SQRT((((258-43)*MAX('Inputs'!$B$33,'Inputs'!$B$29+'Inputs'!$B$31+'Inputs'!$B$32,'Inputs'!$B$30+'Inputs'!$B$31+'Inputs'!$B$32)/1000+'Inputs'!$B$21+'Inputs'!$B$7+'Inputs'!$B$10))^2+('Inputs'!$B$8/2)^2))))*'Results'!$B$8))),"")</x:f>
        <x:v>54.64065740173051</x:v>
      </x:c>
      <x:c r="L258" t="n">
        <x:f>IF(AND(ISNUMBER('Results'!B7),ISNUMBER('Results'!C7),ISNUMBER('Results'!$B$8),ISNUMBER('Inputs'!$B$6),ISNUMBER('Inputs'!$B$7),ISNUMBER('Inputs'!$B$8),ISNUMBER('Inputs'!$B$9),ISNUMBER('Inputs'!$B$10),ISNUMBER('Inputs'!$B$21),ISNUMBER('Inputs'!$B$24),ISNUMBER('Inputs'!$B$28)),((('Results'!B7*(1+'Inputs'!$B$24)*(0.5*((((258-43)*MAX('Inputs'!$B$33,'Inputs'!$B$29+'Inputs'!$B$31+'Inputs'!$B$32,'Inputs'!$B$30+'Inputs'!$B$31+'Inputs'!$B$32)/1000+'Inputs'!$B$21)+'Inputs'!$B$7)/SQRT((((258-43)*MAX('Inputs'!$B$33,'Inputs'!$B$29+'Inputs'!$B$31+'Inputs'!$B$32,'Inputs'!$B$30+'Inputs'!$B$31+'Inputs'!$B$32)/1000+'Inputs'!$B$21)+'Inputs'!$B$7)^2+('Inputs'!$B$6/2)^2)-(((258-43)*MAX('Inputs'!$B$33,'Inputs'!$B$29+'Inputs'!$B$31+'Inputs'!$B$32,'Inputs'!$B$30+'Inputs'!$B$31+'Inputs'!$B$32)/1000+'Inputs'!$B$21))/SQRT((((258-43)*MAX('Inputs'!$B$33,'Inputs'!$B$29+'Inputs'!$B$31+'Inputs'!$B$32,'Inputs'!$B$30+'Inputs'!$B$31+'Inputs'!$B$32)/1000+'Inputs'!$B$21))^2+('Inputs'!$B$6/2)^2)))-'Results'!C7*(1-'Inputs'!$B$24)*(0.5*((((258-43)*MAX('Inputs'!$B$33,'Inputs'!$B$29+'Inputs'!$B$31+'Inputs'!$B$32,'Inputs'!$B$30+'Inputs'!$B$31+'Inputs'!$B$32)/1000+'Inputs'!$B$21+'Inputs'!$B$7+'Inputs'!$B$10)+'Inputs'!$B$9)/SQRT((((258-43)*MAX('Inputs'!$B$33,'Inputs'!$B$29+'Inputs'!$B$31+'Inputs'!$B$32,'Inputs'!$B$30+'Inputs'!$B$31+'Inputs'!$B$32)/1000+'Inputs'!$B$21+'Inputs'!$B$7+'Inputs'!$B$10)+'Inputs'!$B$9)^2+('Inputs'!$B$8/2)^2)-(((258-43)*MAX('Inputs'!$B$33,'Inputs'!$B$29+'Inputs'!$B$31+'Inputs'!$B$32,'Inputs'!$B$30+'Inputs'!$B$31+'Inputs'!$B$32)/1000+'Inputs'!$B$21+'Inputs'!$B$7+'Inputs'!$B$10))/SQRT((((258-43)*MAX('Inputs'!$B$33,'Inputs'!$B$29+'Inputs'!$B$31+'Inputs'!$B$32,'Inputs'!$B$30+'Inputs'!$B$31+'Inputs'!$B$32)/1000+'Inputs'!$B$21+'Inputs'!$B$7+'Inputs'!$B$10))^2+('Inputs'!$B$8/2)^2))))*'Results'!$B$8)+'Inputs'!$B$28*ABS((('Results'!B7*(1+'Inputs'!$B$24)*(0.5*((((258-43)*MAX('Inputs'!$B$33,'Inputs'!$B$29+'Inputs'!$B$31+'Inputs'!$B$32,'Inputs'!$B$30+'Inputs'!$B$31+'Inputs'!$B$32)/1000+'Inputs'!$B$21)+'Inputs'!$B$7)/SQRT((((258-43)*MAX('Inputs'!$B$33,'Inputs'!$B$29+'Inputs'!$B$31+'Inputs'!$B$32,'Inputs'!$B$30+'Inputs'!$B$31+'Inputs'!$B$32)/1000+'Inputs'!$B$21)+'Inputs'!$B$7)^2+('Inputs'!$B$6/2)^2)-(((258-43)*MAX('Inputs'!$B$33,'Inputs'!$B$29+'Inputs'!$B$31+'Inputs'!$B$32,'Inputs'!$B$30+'Inputs'!$B$31+'Inputs'!$B$32)/1000+'Inputs'!$B$21))/SQRT((((258-43)*MAX('Inputs'!$B$33,'Inputs'!$B$29+'Inputs'!$B$31+'Inputs'!$B$32,'Inputs'!$B$30+'Inputs'!$B$31+'Inputs'!$B$32)/1000+'Inputs'!$B$21))^2+('Inputs'!$B$6/2)^2)))-'Results'!C7*(1-'Inputs'!$B$24)*(0.5*((((258-43)*MAX('Inputs'!$B$33,'Inputs'!$B$29+'Inputs'!$B$31+'Inputs'!$B$32,'Inputs'!$B$30+'Inputs'!$B$31+'Inputs'!$B$32)/1000+'Inputs'!$B$21+'Inputs'!$B$7+'Inputs'!$B$10)+'Inputs'!$B$9)/SQRT((((258-43)*MAX('Inputs'!$B$33,'Inputs'!$B$29+'Inputs'!$B$31+'Inputs'!$B$32,'Inputs'!$B$30+'Inputs'!$B$31+'Inputs'!$B$32)/1000+'Inputs'!$B$21+'Inputs'!$B$7+'Inputs'!$B$10)+'Inputs'!$B$9)^2+('Inputs'!$B$8/2)^2)-(((258-43)*MAX('Inputs'!$B$33,'Inputs'!$B$29+'Inputs'!$B$31+'Inputs'!$B$32,'Inputs'!$B$30+'Inputs'!$B$31+'Inputs'!$B$32)/1000+'Inputs'!$B$21+'Inputs'!$B$7+'Inputs'!$B$10))/SQRT((((258-43)*MAX('Inputs'!$B$33,'Inputs'!$B$29+'Inputs'!$B$31+'Inputs'!$B$32,'Inputs'!$B$30+'Inputs'!$B$31+'Inputs'!$B$32)/1000+'Inputs'!$B$21+'Inputs'!$B$7+'Inputs'!$B$10))^2+('Inputs'!$B$8/2)^2))))*'Results'!$B$8))),"")</x:f>
        <x:v>65.29875626400903</x:v>
      </x:c>
      <x:c r="M258" t="n">
        <x:f>IF(AND(ISNUMBER('Results'!C7),ISNUMBER('Results'!B7),ISNUMBER('Results'!$B$8),ISNUMBER('Inputs'!$B$6),ISNUMBER('Inputs'!$B$7),ISNUMBER('Inputs'!$B$8),ISNUMBER('Inputs'!$B$9),ISNUMBER('Inputs'!$B$10),ISNUMBER('Inputs'!$B$21),ISNUMBER('Inputs'!$B$24),ISNUMBER('Inputs'!$B$28)),(('Results'!C7*(0.5*((((258-43)*MAX('Inputs'!$B$33,'Inputs'!$B$29+'Inputs'!$B$31+'Inputs'!$B$32,'Inputs'!$B$30+'Inputs'!$B$31+'Inputs'!$B$32)/1000+'Inputs'!$B$21)+'Inputs'!$B$9)/SQRT((((258-43)*MAX('Inputs'!$B$33,'Inputs'!$B$29+'Inputs'!$B$31+'Inputs'!$B$32,'Inputs'!$B$30+'Inputs'!$B$31+'Inputs'!$B$32)/1000+'Inputs'!$B$21)+'Inputs'!$B$9)^2+('Inputs'!$B$8/2)^2)-(((258-43)*MAX('Inputs'!$B$33,'Inputs'!$B$29+'Inputs'!$B$31+'Inputs'!$B$32,'Inputs'!$B$30+'Inputs'!$B$31+'Inputs'!$B$32)/1000+'Inputs'!$B$21))/SQRT((((258-43)*MAX('Inputs'!$B$33,'Inputs'!$B$29+'Inputs'!$B$31+'Inputs'!$B$32,'Inputs'!$B$30+'Inputs'!$B$31+'Inputs'!$B$32)/1000+'Inputs'!$B$21))^2+('Inputs'!$B$8/2)^2)))-'Results'!B7*(0.5*((((258-43)*MAX('Inputs'!$B$33,'Inputs'!$B$29+'Inputs'!$B$31+'Inputs'!$B$32,'Inputs'!$B$30+'Inputs'!$B$31+'Inputs'!$B$32)/1000+'Inputs'!$B$21+'Inputs'!$B$9+'Inputs'!$B$10)+'Inputs'!$B$7)/SQRT((((258-43)*MAX('Inputs'!$B$33,'Inputs'!$B$29+'Inputs'!$B$31+'Inputs'!$B$32,'Inputs'!$B$30+'Inputs'!$B$31+'Inputs'!$B$32)/1000+'Inputs'!$B$21+'Inputs'!$B$9+'Inputs'!$B$10)+'Inputs'!$B$7)^2+('Inputs'!$B$6/2)^2)-(((258-43)*MAX('Inputs'!$B$33,'Inputs'!$B$29+'Inputs'!$B$31+'Inputs'!$B$32,'Inputs'!$B$30+'Inputs'!$B$31+'Inputs'!$B$32)/1000+'Inputs'!$B$21+'Inputs'!$B$9+'Inputs'!$B$10))/SQRT((((258-43)*MAX('Inputs'!$B$33,'Inputs'!$B$29+'Inputs'!$B$31+'Inputs'!$B$32,'Inputs'!$B$30+'Inputs'!$B$31+'Inputs'!$B$32)/1000+'Inputs'!$B$21+'Inputs'!$B$9+'Inputs'!$B$10))^2+('Inputs'!$B$6/2)^2))))*'Results'!$B$8),"")</x:f>
        <x:v>57.50485548192727</x:v>
      </x:c>
      <x:c r="N258" t="n">
        <x:f>IF(AND(ISNUMBER('Results'!C7),ISNUMBER('Results'!B7),ISNUMBER('Results'!$B$8),ISNUMBER('Inputs'!$B$6),ISNUMBER('Inputs'!$B$7),ISNUMBER('Inputs'!$B$8),ISNUMBER('Inputs'!$B$9),ISNUMBER('Inputs'!$B$10),ISNUMBER('Inputs'!$B$21),ISNUMBER('Inputs'!$B$24),ISNUMBER('Inputs'!$B$28)),((('Results'!C7*(1-'Inputs'!$B$24)*(0.5*((((258-43)*MAX('Inputs'!$B$33,'Inputs'!$B$29+'Inputs'!$B$31+'Inputs'!$B$32,'Inputs'!$B$30+'Inputs'!$B$31+'Inputs'!$B$32)/1000+'Inputs'!$B$21)+'Inputs'!$B$9)/SQRT((((258-43)*MAX('Inputs'!$B$33,'Inputs'!$B$29+'Inputs'!$B$31+'Inputs'!$B$32,'Inputs'!$B$30+'Inputs'!$B$31+'Inputs'!$B$32)/1000+'Inputs'!$B$21)+'Inputs'!$B$9)^2+('Inputs'!$B$8/2)^2)-(((258-43)*MAX('Inputs'!$B$33,'Inputs'!$B$29+'Inputs'!$B$31+'Inputs'!$B$32,'Inputs'!$B$30+'Inputs'!$B$31+'Inputs'!$B$32)/1000+'Inputs'!$B$21))/SQRT((((258-43)*MAX('Inputs'!$B$33,'Inputs'!$B$29+'Inputs'!$B$31+'Inputs'!$B$32,'Inputs'!$B$30+'Inputs'!$B$31+'Inputs'!$B$32)/1000+'Inputs'!$B$21))^2+('Inputs'!$B$8/2)^2)))-'Results'!B7*(1+'Inputs'!$B$24)*(0.5*((((258-43)*MAX('Inputs'!$B$33,'Inputs'!$B$29+'Inputs'!$B$31+'Inputs'!$B$32,'Inputs'!$B$30+'Inputs'!$B$31+'Inputs'!$B$32)/1000+'Inputs'!$B$21+'Inputs'!$B$9+'Inputs'!$B$10)+'Inputs'!$B$7)/SQRT((((258-43)*MAX('Inputs'!$B$33,'Inputs'!$B$29+'Inputs'!$B$31+'Inputs'!$B$32,'Inputs'!$B$30+'Inputs'!$B$31+'Inputs'!$B$32)/1000+'Inputs'!$B$21+'Inputs'!$B$9+'Inputs'!$B$10)+'Inputs'!$B$7)^2+('Inputs'!$B$6/2)^2)-(((258-43)*MAX('Inputs'!$B$33,'Inputs'!$B$29+'Inputs'!$B$31+'Inputs'!$B$32,'Inputs'!$B$30+'Inputs'!$B$31+'Inputs'!$B$32)/1000+'Inputs'!$B$21+'Inputs'!$B$9+'Inputs'!$B$10))/SQRT((((258-43)*MAX('Inputs'!$B$33,'Inputs'!$B$29+'Inputs'!$B$31+'Inputs'!$B$32,'Inputs'!$B$30+'Inputs'!$B$31+'Inputs'!$B$32)/1000+'Inputs'!$B$21+'Inputs'!$B$9+'Inputs'!$B$10))^2+('Inputs'!$B$6/2)^2))))*'Results'!$B$8)-'Inputs'!$B$28*ABS((('Results'!C7*(1-'Inputs'!$B$24)*(0.5*((((258-43)*MAX('Inputs'!$B$33,'Inputs'!$B$29+'Inputs'!$B$31+'Inputs'!$B$32,'Inputs'!$B$30+'Inputs'!$B$31+'Inputs'!$B$32)/1000+'Inputs'!$B$21)+'Inputs'!$B$9)/SQRT((((258-43)*MAX('Inputs'!$B$33,'Inputs'!$B$29+'Inputs'!$B$31+'Inputs'!$B$32,'Inputs'!$B$30+'Inputs'!$B$31+'Inputs'!$B$32)/1000+'Inputs'!$B$21)+'Inputs'!$B$9)^2+('Inputs'!$B$8/2)^2)-(((258-43)*MAX('Inputs'!$B$33,'Inputs'!$B$29+'Inputs'!$B$31+'Inputs'!$B$32,'Inputs'!$B$30+'Inputs'!$B$31+'Inputs'!$B$32)/1000+'Inputs'!$B$21))/SQRT((((258-43)*MAX('Inputs'!$B$33,'Inputs'!$B$29+'Inputs'!$B$31+'Inputs'!$B$32,'Inputs'!$B$30+'Inputs'!$B$31+'Inputs'!$B$32)/1000+'Inputs'!$B$21))^2+('Inputs'!$B$8/2)^2)))-'Results'!B7*(1+'Inputs'!$B$24)*(0.5*((((258-43)*MAX('Inputs'!$B$33,'Inputs'!$B$29+'Inputs'!$B$31+'Inputs'!$B$32,'Inputs'!$B$30+'Inputs'!$B$31+'Inputs'!$B$32)/1000+'Inputs'!$B$21+'Inputs'!$B$9+'Inputs'!$B$10)+'Inputs'!$B$7)/SQRT((((258-43)*MAX('Inputs'!$B$33,'Inputs'!$B$29+'Inputs'!$B$31+'Inputs'!$B$32,'Inputs'!$B$30+'Inputs'!$B$31+'Inputs'!$B$32)/1000+'Inputs'!$B$21+'Inputs'!$B$9+'Inputs'!$B$10)+'Inputs'!$B$7)^2+('Inputs'!$B$6/2)^2)-(((258-43)*MAX('Inputs'!$B$33,'Inputs'!$B$29+'Inputs'!$B$31+'Inputs'!$B$32,'Inputs'!$B$30+'Inputs'!$B$31+'Inputs'!$B$32)/1000+'Inputs'!$B$21+'Inputs'!$B$9+'Inputs'!$B$10))/SQRT((((258-43)*MAX('Inputs'!$B$33,'Inputs'!$B$29+'Inputs'!$B$31+'Inputs'!$B$32,'Inputs'!$B$30+'Inputs'!$B$31+'Inputs'!$B$32)/1000+'Inputs'!$B$21+'Inputs'!$B$9+'Inputs'!$B$10))^2+('Inputs'!$B$6/2)^2))))*'Results'!$B$8))),"")</x:f>
        <x:v>52.43255106371363</x:v>
      </x:c>
      <x:c r="O258" t="n">
        <x:f>IF(AND(ISNUMBER('Results'!C7),ISNUMBER('Results'!B7),ISNUMBER('Results'!$B$8),ISNUMBER('Inputs'!$B$6),ISNUMBER('Inputs'!$B$7),ISNUMBER('Inputs'!$B$8),ISNUMBER('Inputs'!$B$9),ISNUMBER('Inputs'!$B$10),ISNUMBER('Inputs'!$B$21),ISNUMBER('Inputs'!$B$24),ISNUMBER('Inputs'!$B$28)),((('Results'!C7*(1+'Inputs'!$B$24)*(0.5*((((258-43)*MAX('Inputs'!$B$33,'Inputs'!$B$29+'Inputs'!$B$31+'Inputs'!$B$32,'Inputs'!$B$30+'Inputs'!$B$31+'Inputs'!$B$32)/1000+'Inputs'!$B$21)+'Inputs'!$B$9)/SQRT((((258-43)*MAX('Inputs'!$B$33,'Inputs'!$B$29+'Inputs'!$B$31+'Inputs'!$B$32,'Inputs'!$B$30+'Inputs'!$B$31+'Inputs'!$B$32)/1000+'Inputs'!$B$21)+'Inputs'!$B$9)^2+('Inputs'!$B$8/2)^2)-(((258-43)*MAX('Inputs'!$B$33,'Inputs'!$B$29+'Inputs'!$B$31+'Inputs'!$B$32,'Inputs'!$B$30+'Inputs'!$B$31+'Inputs'!$B$32)/1000+'Inputs'!$B$21))/SQRT((((258-43)*MAX('Inputs'!$B$33,'Inputs'!$B$29+'Inputs'!$B$31+'Inputs'!$B$32,'Inputs'!$B$30+'Inputs'!$B$31+'Inputs'!$B$32)/1000+'Inputs'!$B$21))^2+('Inputs'!$B$8/2)^2)))-'Results'!B7*(1-'Inputs'!$B$24)*(0.5*((((258-43)*MAX('Inputs'!$B$33,'Inputs'!$B$29+'Inputs'!$B$31+'Inputs'!$B$32,'Inputs'!$B$30+'Inputs'!$B$31+'Inputs'!$B$32)/1000+'Inputs'!$B$21+'Inputs'!$B$9+'Inputs'!$B$10)+'Inputs'!$B$7)/SQRT((((258-43)*MAX('Inputs'!$B$33,'Inputs'!$B$29+'Inputs'!$B$31+'Inputs'!$B$32,'Inputs'!$B$30+'Inputs'!$B$31+'Inputs'!$B$32)/1000+'Inputs'!$B$21+'Inputs'!$B$9+'Inputs'!$B$10)+'Inputs'!$B$7)^2+('Inputs'!$B$6/2)^2)-(((258-43)*MAX('Inputs'!$B$33,'Inputs'!$B$29+'Inputs'!$B$31+'Inputs'!$B$32,'Inputs'!$B$30+'Inputs'!$B$31+'Inputs'!$B$32)/1000+'Inputs'!$B$21+'Inputs'!$B$9+'Inputs'!$B$10))/SQRT((((258-43)*MAX('Inputs'!$B$33,'Inputs'!$B$29+'Inputs'!$B$31+'Inputs'!$B$32,'Inputs'!$B$30+'Inputs'!$B$31+'Inputs'!$B$32)/1000+'Inputs'!$B$21+'Inputs'!$B$9+'Inputs'!$B$10))^2+('Inputs'!$B$6/2)^2))))*'Results'!$B$8)+'Inputs'!$B$28*ABS((('Results'!C7*(1+'Inputs'!$B$24)*(0.5*((((258-43)*MAX('Inputs'!$B$33,'Inputs'!$B$29+'Inputs'!$B$31+'Inputs'!$B$32,'Inputs'!$B$30+'Inputs'!$B$31+'Inputs'!$B$32)/1000+'Inputs'!$B$21)+'Inputs'!$B$9)/SQRT((((258-43)*MAX('Inputs'!$B$33,'Inputs'!$B$29+'Inputs'!$B$31+'Inputs'!$B$32,'Inputs'!$B$30+'Inputs'!$B$31+'Inputs'!$B$32)/1000+'Inputs'!$B$21)+'Inputs'!$B$9)^2+('Inputs'!$B$8/2)^2)-(((258-43)*MAX('Inputs'!$B$33,'Inputs'!$B$29+'Inputs'!$B$31+'Inputs'!$B$32,'Inputs'!$B$30+'Inputs'!$B$31+'Inputs'!$B$32)/1000+'Inputs'!$B$21))/SQRT((((258-43)*MAX('Inputs'!$B$33,'Inputs'!$B$29+'Inputs'!$B$31+'Inputs'!$B$32,'Inputs'!$B$30+'Inputs'!$B$31+'Inputs'!$B$32)/1000+'Inputs'!$B$21))^2+('Inputs'!$B$8/2)^2)))-'Results'!B7*(1-'Inputs'!$B$24)*(0.5*((((258-43)*MAX('Inputs'!$B$33,'Inputs'!$B$29+'Inputs'!$B$31+'Inputs'!$B$32,'Inputs'!$B$30+'Inputs'!$B$31+'Inputs'!$B$32)/1000+'Inputs'!$B$21+'Inputs'!$B$9+'Inputs'!$B$10)+'Inputs'!$B$7)/SQRT((((258-43)*MAX('Inputs'!$B$33,'Inputs'!$B$29+'Inputs'!$B$31+'Inputs'!$B$32,'Inputs'!$B$30+'Inputs'!$B$31+'Inputs'!$B$32)/1000+'Inputs'!$B$21+'Inputs'!$B$9+'Inputs'!$B$10)+'Inputs'!$B$7)^2+('Inputs'!$B$6/2)^2)-(((258-43)*MAX('Inputs'!$B$33,'Inputs'!$B$29+'Inputs'!$B$31+'Inputs'!$B$32,'Inputs'!$B$30+'Inputs'!$B$31+'Inputs'!$B$32)/1000+'Inputs'!$B$21+'Inputs'!$B$9+'Inputs'!$B$10))/SQRT((((258-43)*MAX('Inputs'!$B$33,'Inputs'!$B$29+'Inputs'!$B$31+'Inputs'!$B$32,'Inputs'!$B$30+'Inputs'!$B$31+'Inputs'!$B$32)/1000+'Inputs'!$B$21+'Inputs'!$B$9+'Inputs'!$B$10))^2+('Inputs'!$B$6/2)^2))))*'Results'!$B$8))),"")</x:f>
        <x:v>62.8084295468901</x:v>
      </x:c>
      <x:c r="P258" t="n">
        <x:f>IF(AND(MAX(J258,J257)&gt;0,J258&gt;J257+0.00000001),1,0)</x:f>
        <x:v>0</x:v>
      </x:c>
      <x:c r="Q258" t="n">
        <x:f>IF(AND(MAX(K258,K257)&gt;0,K258&gt;K257+0.00000001),1,0)</x:f>
        <x:v>0</x:v>
      </x:c>
      <x:c r="R258" t="n">
        <x:f>IF(AND(MAX(L258,L257)&gt;0,L258&gt;L257+0.00000001),1,0)</x:f>
        <x:v>0</x:v>
      </x:c>
      <x:c r="S258" t="n">
        <x:f>IF(AND(MAX(M258,M257)&gt;0,M258&gt;M257+0.00000001),1,0)</x:f>
        <x:v>0</x:v>
      </x:c>
      <x:c r="T258" t="n">
        <x:f>IF(AND(MAX(N258,N257)&gt;0,N258&gt;N257+0.00000001),1,0)</x:f>
        <x:v>0</x:v>
      </x:c>
      <x:c r="U258" t="n">
        <x:f>IF(AND(MAX(O258,O257)&gt;0,O258&gt;O257+0.00000001),1,0)</x:f>
        <x:v>0</x:v>
      </x:c>
    </x:row>
    <x:row r="259">
      <x:c r="J259" t="n">
        <x:f>IF(AND(ISNUMBER('Results'!B7),ISNUMBER('Results'!C7),ISNUMBER('Results'!$B$8),ISNUMBER('Inputs'!$B$6),ISNUMBER('Inputs'!$B$7),ISNUMBER('Inputs'!$B$8),ISNUMBER('Inputs'!$B$9),ISNUMBER('Inputs'!$B$10),ISNUMBER('Inputs'!$B$21),ISNUMBER('Inputs'!$B$24),ISNUMBER('Inputs'!$B$28)),(('Results'!B7*(0.5*((((259-43)*MAX('Inputs'!$B$33,'Inputs'!$B$29+'Inputs'!$B$31+'Inputs'!$B$32,'Inputs'!$B$30+'Inputs'!$B$31+'Inputs'!$B$32)/1000+'Inputs'!$B$21)+'Inputs'!$B$7)/SQRT((((259-43)*MAX('Inputs'!$B$33,'Inputs'!$B$29+'Inputs'!$B$31+'Inputs'!$B$32,'Inputs'!$B$30+'Inputs'!$B$31+'Inputs'!$B$32)/1000+'Inputs'!$B$21)+'Inputs'!$B$7)^2+('Inputs'!$B$6/2)^2)-(((259-43)*MAX('Inputs'!$B$33,'Inputs'!$B$29+'Inputs'!$B$31+'Inputs'!$B$32,'Inputs'!$B$30+'Inputs'!$B$31+'Inputs'!$B$32)/1000+'Inputs'!$B$21))/SQRT((((259-43)*MAX('Inputs'!$B$33,'Inputs'!$B$29+'Inputs'!$B$31+'Inputs'!$B$32,'Inputs'!$B$30+'Inputs'!$B$31+'Inputs'!$B$32)/1000+'Inputs'!$B$21))^2+('Inputs'!$B$6/2)^2)))-'Results'!C7*(0.5*((((259-43)*MAX('Inputs'!$B$33,'Inputs'!$B$29+'Inputs'!$B$31+'Inputs'!$B$32,'Inputs'!$B$30+'Inputs'!$B$31+'Inputs'!$B$32)/1000+'Inputs'!$B$21+'Inputs'!$B$7+'Inputs'!$B$10)+'Inputs'!$B$9)/SQRT((((259-43)*MAX('Inputs'!$B$33,'Inputs'!$B$29+'Inputs'!$B$31+'Inputs'!$B$32,'Inputs'!$B$30+'Inputs'!$B$31+'Inputs'!$B$32)/1000+'Inputs'!$B$21+'Inputs'!$B$7+'Inputs'!$B$10)+'Inputs'!$B$9)^2+('Inputs'!$B$8/2)^2)-(((259-43)*MAX('Inputs'!$B$33,'Inputs'!$B$29+'Inputs'!$B$31+'Inputs'!$B$32,'Inputs'!$B$30+'Inputs'!$B$31+'Inputs'!$B$32)/1000+'Inputs'!$B$21+'Inputs'!$B$7+'Inputs'!$B$10))/SQRT((((259-43)*MAX('Inputs'!$B$33,'Inputs'!$B$29+'Inputs'!$B$31+'Inputs'!$B$32,'Inputs'!$B$30+'Inputs'!$B$31+'Inputs'!$B$32)/1000+'Inputs'!$B$21+'Inputs'!$B$7+'Inputs'!$B$10))^2+('Inputs'!$B$8/2)^2))))*'Results'!$B$8),"")</x:f>
        <x:v>59.073322894315154</x:v>
      </x:c>
      <x:c r="K259" t="n">
        <x:f>IF(AND(ISNUMBER('Results'!B7),ISNUMBER('Results'!C7),ISNUMBER('Results'!$B$8),ISNUMBER('Inputs'!$B$6),ISNUMBER('Inputs'!$B$7),ISNUMBER('Inputs'!$B$8),ISNUMBER('Inputs'!$B$9),ISNUMBER('Inputs'!$B$10),ISNUMBER('Inputs'!$B$21),ISNUMBER('Inputs'!$B$24),ISNUMBER('Inputs'!$B$28)),((('Results'!B7*(1-'Inputs'!$B$24)*(0.5*((((259-43)*MAX('Inputs'!$B$33,'Inputs'!$B$29+'Inputs'!$B$31+'Inputs'!$B$32,'Inputs'!$B$30+'Inputs'!$B$31+'Inputs'!$B$32)/1000+'Inputs'!$B$21)+'Inputs'!$B$7)/SQRT((((259-43)*MAX('Inputs'!$B$33,'Inputs'!$B$29+'Inputs'!$B$31+'Inputs'!$B$32,'Inputs'!$B$30+'Inputs'!$B$31+'Inputs'!$B$32)/1000+'Inputs'!$B$21)+'Inputs'!$B$7)^2+('Inputs'!$B$6/2)^2)-(((259-43)*MAX('Inputs'!$B$33,'Inputs'!$B$29+'Inputs'!$B$31+'Inputs'!$B$32,'Inputs'!$B$30+'Inputs'!$B$31+'Inputs'!$B$32)/1000+'Inputs'!$B$21))/SQRT((((259-43)*MAX('Inputs'!$B$33,'Inputs'!$B$29+'Inputs'!$B$31+'Inputs'!$B$32,'Inputs'!$B$30+'Inputs'!$B$31+'Inputs'!$B$32)/1000+'Inputs'!$B$21))^2+('Inputs'!$B$6/2)^2)))-'Results'!C7*(1+'Inputs'!$B$24)*(0.5*((((259-43)*MAX('Inputs'!$B$33,'Inputs'!$B$29+'Inputs'!$B$31+'Inputs'!$B$32,'Inputs'!$B$30+'Inputs'!$B$31+'Inputs'!$B$32)/1000+'Inputs'!$B$21+'Inputs'!$B$7+'Inputs'!$B$10)+'Inputs'!$B$9)/SQRT((((259-43)*MAX('Inputs'!$B$33,'Inputs'!$B$29+'Inputs'!$B$31+'Inputs'!$B$32,'Inputs'!$B$30+'Inputs'!$B$31+'Inputs'!$B$32)/1000+'Inputs'!$B$21+'Inputs'!$B$7+'Inputs'!$B$10)+'Inputs'!$B$9)^2+('Inputs'!$B$8/2)^2)-(((259-43)*MAX('Inputs'!$B$33,'Inputs'!$B$29+'Inputs'!$B$31+'Inputs'!$B$32,'Inputs'!$B$30+'Inputs'!$B$31+'Inputs'!$B$32)/1000+'Inputs'!$B$21+'Inputs'!$B$7+'Inputs'!$B$10))/SQRT((((259-43)*MAX('Inputs'!$B$33,'Inputs'!$B$29+'Inputs'!$B$31+'Inputs'!$B$32,'Inputs'!$B$30+'Inputs'!$B$31+'Inputs'!$B$32)/1000+'Inputs'!$B$21+'Inputs'!$B$7+'Inputs'!$B$10))^2+('Inputs'!$B$8/2)^2))))*'Results'!$B$8)-'Inputs'!$B$28*ABS((('Results'!B7*(1-'Inputs'!$B$24)*(0.5*((((259-43)*MAX('Inputs'!$B$33,'Inputs'!$B$29+'Inputs'!$B$31+'Inputs'!$B$32,'Inputs'!$B$30+'Inputs'!$B$31+'Inputs'!$B$32)/1000+'Inputs'!$B$21)+'Inputs'!$B$7)/SQRT((((259-43)*MAX('Inputs'!$B$33,'Inputs'!$B$29+'Inputs'!$B$31+'Inputs'!$B$32,'Inputs'!$B$30+'Inputs'!$B$31+'Inputs'!$B$32)/1000+'Inputs'!$B$21)+'Inputs'!$B$7)^2+('Inputs'!$B$6/2)^2)-(((259-43)*MAX('Inputs'!$B$33,'Inputs'!$B$29+'Inputs'!$B$31+'Inputs'!$B$32,'Inputs'!$B$30+'Inputs'!$B$31+'Inputs'!$B$32)/1000+'Inputs'!$B$21))/SQRT((((259-43)*MAX('Inputs'!$B$33,'Inputs'!$B$29+'Inputs'!$B$31+'Inputs'!$B$32,'Inputs'!$B$30+'Inputs'!$B$31+'Inputs'!$B$32)/1000+'Inputs'!$B$21))^2+('Inputs'!$B$6/2)^2)))-'Results'!C7*(1+'Inputs'!$B$24)*(0.5*((((259-43)*MAX('Inputs'!$B$33,'Inputs'!$B$29+'Inputs'!$B$31+'Inputs'!$B$32,'Inputs'!$B$30+'Inputs'!$B$31+'Inputs'!$B$32)/1000+'Inputs'!$B$21+'Inputs'!$B$7+'Inputs'!$B$10)+'Inputs'!$B$9)/SQRT((((259-43)*MAX('Inputs'!$B$33,'Inputs'!$B$29+'Inputs'!$B$31+'Inputs'!$B$32,'Inputs'!$B$30+'Inputs'!$B$31+'Inputs'!$B$32)/1000+'Inputs'!$B$21+'Inputs'!$B$7+'Inputs'!$B$10)+'Inputs'!$B$9)^2+('Inputs'!$B$8/2)^2)-(((259-43)*MAX('Inputs'!$B$33,'Inputs'!$B$29+'Inputs'!$B$31+'Inputs'!$B$32,'Inputs'!$B$30+'Inputs'!$B$31+'Inputs'!$B$32)/1000+'Inputs'!$B$21+'Inputs'!$B$7+'Inputs'!$B$10))/SQRT((((259-43)*MAX('Inputs'!$B$33,'Inputs'!$B$29+'Inputs'!$B$31+'Inputs'!$B$32,'Inputs'!$B$30+'Inputs'!$B$31+'Inputs'!$B$32)/1000+'Inputs'!$B$21+'Inputs'!$B$7+'Inputs'!$B$10))^2+('Inputs'!$B$8/2)^2))))*'Results'!$B$8))),"")</x:f>
        <x:v>53.92370214036194</x:v>
      </x:c>
      <x:c r="L259" t="n">
        <x:f>IF(AND(ISNUMBER('Results'!B7),ISNUMBER('Results'!C7),ISNUMBER('Results'!$B$8),ISNUMBER('Inputs'!$B$6),ISNUMBER('Inputs'!$B$7),ISNUMBER('Inputs'!$B$8),ISNUMBER('Inputs'!$B$9),ISNUMBER('Inputs'!$B$10),ISNUMBER('Inputs'!$B$21),ISNUMBER('Inputs'!$B$24),ISNUMBER('Inputs'!$B$28)),((('Results'!B7*(1+'Inputs'!$B$24)*(0.5*((((259-43)*MAX('Inputs'!$B$33,'Inputs'!$B$29+'Inputs'!$B$31+'Inputs'!$B$32,'Inputs'!$B$30+'Inputs'!$B$31+'Inputs'!$B$32)/1000+'Inputs'!$B$21)+'Inputs'!$B$7)/SQRT((((259-43)*MAX('Inputs'!$B$33,'Inputs'!$B$29+'Inputs'!$B$31+'Inputs'!$B$32,'Inputs'!$B$30+'Inputs'!$B$31+'Inputs'!$B$32)/1000+'Inputs'!$B$21)+'Inputs'!$B$7)^2+('Inputs'!$B$6/2)^2)-(((259-43)*MAX('Inputs'!$B$33,'Inputs'!$B$29+'Inputs'!$B$31+'Inputs'!$B$32,'Inputs'!$B$30+'Inputs'!$B$31+'Inputs'!$B$32)/1000+'Inputs'!$B$21))/SQRT((((259-43)*MAX('Inputs'!$B$33,'Inputs'!$B$29+'Inputs'!$B$31+'Inputs'!$B$32,'Inputs'!$B$30+'Inputs'!$B$31+'Inputs'!$B$32)/1000+'Inputs'!$B$21))^2+('Inputs'!$B$6/2)^2)))-'Results'!C7*(1-'Inputs'!$B$24)*(0.5*((((259-43)*MAX('Inputs'!$B$33,'Inputs'!$B$29+'Inputs'!$B$31+'Inputs'!$B$32,'Inputs'!$B$30+'Inputs'!$B$31+'Inputs'!$B$32)/1000+'Inputs'!$B$21+'Inputs'!$B$7+'Inputs'!$B$10)+'Inputs'!$B$9)/SQRT((((259-43)*MAX('Inputs'!$B$33,'Inputs'!$B$29+'Inputs'!$B$31+'Inputs'!$B$32,'Inputs'!$B$30+'Inputs'!$B$31+'Inputs'!$B$32)/1000+'Inputs'!$B$21+'Inputs'!$B$7+'Inputs'!$B$10)+'Inputs'!$B$9)^2+('Inputs'!$B$8/2)^2)-(((259-43)*MAX('Inputs'!$B$33,'Inputs'!$B$29+'Inputs'!$B$31+'Inputs'!$B$32,'Inputs'!$B$30+'Inputs'!$B$31+'Inputs'!$B$32)/1000+'Inputs'!$B$21+'Inputs'!$B$7+'Inputs'!$B$10))/SQRT((((259-43)*MAX('Inputs'!$B$33,'Inputs'!$B$29+'Inputs'!$B$31+'Inputs'!$B$32,'Inputs'!$B$30+'Inputs'!$B$31+'Inputs'!$B$32)/1000+'Inputs'!$B$21+'Inputs'!$B$7+'Inputs'!$B$10))^2+('Inputs'!$B$8/2)^2))))*'Results'!$B$8)+'Inputs'!$B$28*ABS((('Results'!B7*(1+'Inputs'!$B$24)*(0.5*((((259-43)*MAX('Inputs'!$B$33,'Inputs'!$B$29+'Inputs'!$B$31+'Inputs'!$B$32,'Inputs'!$B$30+'Inputs'!$B$31+'Inputs'!$B$32)/1000+'Inputs'!$B$21)+'Inputs'!$B$7)/SQRT((((259-43)*MAX('Inputs'!$B$33,'Inputs'!$B$29+'Inputs'!$B$31+'Inputs'!$B$32,'Inputs'!$B$30+'Inputs'!$B$31+'Inputs'!$B$32)/1000+'Inputs'!$B$21)+'Inputs'!$B$7)^2+('Inputs'!$B$6/2)^2)-(((259-43)*MAX('Inputs'!$B$33,'Inputs'!$B$29+'Inputs'!$B$31+'Inputs'!$B$32,'Inputs'!$B$30+'Inputs'!$B$31+'Inputs'!$B$32)/1000+'Inputs'!$B$21))/SQRT((((259-43)*MAX('Inputs'!$B$33,'Inputs'!$B$29+'Inputs'!$B$31+'Inputs'!$B$32,'Inputs'!$B$30+'Inputs'!$B$31+'Inputs'!$B$32)/1000+'Inputs'!$B$21))^2+('Inputs'!$B$6/2)^2)))-'Results'!C7*(1-'Inputs'!$B$24)*(0.5*((((259-43)*MAX('Inputs'!$B$33,'Inputs'!$B$29+'Inputs'!$B$31+'Inputs'!$B$32,'Inputs'!$B$30+'Inputs'!$B$31+'Inputs'!$B$32)/1000+'Inputs'!$B$21+'Inputs'!$B$7+'Inputs'!$B$10)+'Inputs'!$B$9)/SQRT((((259-43)*MAX('Inputs'!$B$33,'Inputs'!$B$29+'Inputs'!$B$31+'Inputs'!$B$32,'Inputs'!$B$30+'Inputs'!$B$31+'Inputs'!$B$32)/1000+'Inputs'!$B$21+'Inputs'!$B$7+'Inputs'!$B$10)+'Inputs'!$B$9)^2+('Inputs'!$B$8/2)^2)-(((259-43)*MAX('Inputs'!$B$33,'Inputs'!$B$29+'Inputs'!$B$31+'Inputs'!$B$32,'Inputs'!$B$30+'Inputs'!$B$31+'Inputs'!$B$32)/1000+'Inputs'!$B$21+'Inputs'!$B$7+'Inputs'!$B$10))/SQRT((((259-43)*MAX('Inputs'!$B$33,'Inputs'!$B$29+'Inputs'!$B$31+'Inputs'!$B$32,'Inputs'!$B$30+'Inputs'!$B$31+'Inputs'!$B$32)/1000+'Inputs'!$B$21+'Inputs'!$B$7+'Inputs'!$B$10))^2+('Inputs'!$B$8/2)^2))))*'Results'!$B$8))),"")</x:f>
        <x:v>64.45409676503023</x:v>
      </x:c>
      <x:c r="M259" t="n">
        <x:f>IF(AND(ISNUMBER('Results'!C7),ISNUMBER('Results'!B7),ISNUMBER('Results'!$B$8),ISNUMBER('Inputs'!$B$6),ISNUMBER('Inputs'!$B$7),ISNUMBER('Inputs'!$B$8),ISNUMBER('Inputs'!$B$9),ISNUMBER('Inputs'!$B$10),ISNUMBER('Inputs'!$B$21),ISNUMBER('Inputs'!$B$24),ISNUMBER('Inputs'!$B$28)),(('Results'!C7*(0.5*((((259-43)*MAX('Inputs'!$B$33,'Inputs'!$B$29+'Inputs'!$B$31+'Inputs'!$B$32,'Inputs'!$B$30+'Inputs'!$B$31+'Inputs'!$B$32)/1000+'Inputs'!$B$21)+'Inputs'!$B$9)/SQRT((((259-43)*MAX('Inputs'!$B$33,'Inputs'!$B$29+'Inputs'!$B$31+'Inputs'!$B$32,'Inputs'!$B$30+'Inputs'!$B$31+'Inputs'!$B$32)/1000+'Inputs'!$B$21)+'Inputs'!$B$9)^2+('Inputs'!$B$8/2)^2)-(((259-43)*MAX('Inputs'!$B$33,'Inputs'!$B$29+'Inputs'!$B$31+'Inputs'!$B$32,'Inputs'!$B$30+'Inputs'!$B$31+'Inputs'!$B$32)/1000+'Inputs'!$B$21))/SQRT((((259-43)*MAX('Inputs'!$B$33,'Inputs'!$B$29+'Inputs'!$B$31+'Inputs'!$B$32,'Inputs'!$B$30+'Inputs'!$B$31+'Inputs'!$B$32)/1000+'Inputs'!$B$21))^2+('Inputs'!$B$8/2)^2)))-'Results'!B7*(0.5*((((259-43)*MAX('Inputs'!$B$33,'Inputs'!$B$29+'Inputs'!$B$31+'Inputs'!$B$32,'Inputs'!$B$30+'Inputs'!$B$31+'Inputs'!$B$32)/1000+'Inputs'!$B$21+'Inputs'!$B$9+'Inputs'!$B$10)+'Inputs'!$B$7)/SQRT((((259-43)*MAX('Inputs'!$B$33,'Inputs'!$B$29+'Inputs'!$B$31+'Inputs'!$B$32,'Inputs'!$B$30+'Inputs'!$B$31+'Inputs'!$B$32)/1000+'Inputs'!$B$21+'Inputs'!$B$9+'Inputs'!$B$10)+'Inputs'!$B$7)^2+('Inputs'!$B$6/2)^2)-(((259-43)*MAX('Inputs'!$B$33,'Inputs'!$B$29+'Inputs'!$B$31+'Inputs'!$B$32,'Inputs'!$B$30+'Inputs'!$B$31+'Inputs'!$B$32)/1000+'Inputs'!$B$21+'Inputs'!$B$9+'Inputs'!$B$10))/SQRT((((259-43)*MAX('Inputs'!$B$33,'Inputs'!$B$29+'Inputs'!$B$31+'Inputs'!$B$32,'Inputs'!$B$30+'Inputs'!$B$31+'Inputs'!$B$32)/1000+'Inputs'!$B$21+'Inputs'!$B$9+'Inputs'!$B$10))^2+('Inputs'!$B$6/2)^2))))*'Results'!$B$8),"")</x:f>
        <x:v>56.75026045414849</x:v>
      </x:c>
      <x:c r="N259" t="n">
        <x:f>IF(AND(ISNUMBER('Results'!C7),ISNUMBER('Results'!B7),ISNUMBER('Results'!$B$8),ISNUMBER('Inputs'!$B$6),ISNUMBER('Inputs'!$B$7),ISNUMBER('Inputs'!$B$8),ISNUMBER('Inputs'!$B$9),ISNUMBER('Inputs'!$B$10),ISNUMBER('Inputs'!$B$21),ISNUMBER('Inputs'!$B$24),ISNUMBER('Inputs'!$B$28)),((('Results'!C7*(1-'Inputs'!$B$24)*(0.5*((((259-43)*MAX('Inputs'!$B$33,'Inputs'!$B$29+'Inputs'!$B$31+'Inputs'!$B$32,'Inputs'!$B$30+'Inputs'!$B$31+'Inputs'!$B$32)/1000+'Inputs'!$B$21)+'Inputs'!$B$9)/SQRT((((259-43)*MAX('Inputs'!$B$33,'Inputs'!$B$29+'Inputs'!$B$31+'Inputs'!$B$32,'Inputs'!$B$30+'Inputs'!$B$31+'Inputs'!$B$32)/1000+'Inputs'!$B$21)+'Inputs'!$B$9)^2+('Inputs'!$B$8/2)^2)-(((259-43)*MAX('Inputs'!$B$33,'Inputs'!$B$29+'Inputs'!$B$31+'Inputs'!$B$32,'Inputs'!$B$30+'Inputs'!$B$31+'Inputs'!$B$32)/1000+'Inputs'!$B$21))/SQRT((((259-43)*MAX('Inputs'!$B$33,'Inputs'!$B$29+'Inputs'!$B$31+'Inputs'!$B$32,'Inputs'!$B$30+'Inputs'!$B$31+'Inputs'!$B$32)/1000+'Inputs'!$B$21))^2+('Inputs'!$B$8/2)^2)))-'Results'!B7*(1+'Inputs'!$B$24)*(0.5*((((259-43)*MAX('Inputs'!$B$33,'Inputs'!$B$29+'Inputs'!$B$31+'Inputs'!$B$32,'Inputs'!$B$30+'Inputs'!$B$31+'Inputs'!$B$32)/1000+'Inputs'!$B$21+'Inputs'!$B$9+'Inputs'!$B$10)+'Inputs'!$B$7)/SQRT((((259-43)*MAX('Inputs'!$B$33,'Inputs'!$B$29+'Inputs'!$B$31+'Inputs'!$B$32,'Inputs'!$B$30+'Inputs'!$B$31+'Inputs'!$B$32)/1000+'Inputs'!$B$21+'Inputs'!$B$9+'Inputs'!$B$10)+'Inputs'!$B$7)^2+('Inputs'!$B$6/2)^2)-(((259-43)*MAX('Inputs'!$B$33,'Inputs'!$B$29+'Inputs'!$B$31+'Inputs'!$B$32,'Inputs'!$B$30+'Inputs'!$B$31+'Inputs'!$B$32)/1000+'Inputs'!$B$21+'Inputs'!$B$9+'Inputs'!$B$10))/SQRT((((259-43)*MAX('Inputs'!$B$33,'Inputs'!$B$29+'Inputs'!$B$31+'Inputs'!$B$32,'Inputs'!$B$30+'Inputs'!$B$31+'Inputs'!$B$32)/1000+'Inputs'!$B$21+'Inputs'!$B$9+'Inputs'!$B$10))^2+('Inputs'!$B$6/2)^2))))*'Results'!$B$8)-'Inputs'!$B$28*ABS((('Results'!C7*(1-'Inputs'!$B$24)*(0.5*((((259-43)*MAX('Inputs'!$B$33,'Inputs'!$B$29+'Inputs'!$B$31+'Inputs'!$B$32,'Inputs'!$B$30+'Inputs'!$B$31+'Inputs'!$B$32)/1000+'Inputs'!$B$21)+'Inputs'!$B$9)/SQRT((((259-43)*MAX('Inputs'!$B$33,'Inputs'!$B$29+'Inputs'!$B$31+'Inputs'!$B$32,'Inputs'!$B$30+'Inputs'!$B$31+'Inputs'!$B$32)/1000+'Inputs'!$B$21)+'Inputs'!$B$9)^2+('Inputs'!$B$8/2)^2)-(((259-43)*MAX('Inputs'!$B$33,'Inputs'!$B$29+'Inputs'!$B$31+'Inputs'!$B$32,'Inputs'!$B$30+'Inputs'!$B$31+'Inputs'!$B$32)/1000+'Inputs'!$B$21))/SQRT((((259-43)*MAX('Inputs'!$B$33,'Inputs'!$B$29+'Inputs'!$B$31+'Inputs'!$B$32,'Inputs'!$B$30+'Inputs'!$B$31+'Inputs'!$B$32)/1000+'Inputs'!$B$21))^2+('Inputs'!$B$8/2)^2)))-'Results'!B7*(1+'Inputs'!$B$24)*(0.5*((((259-43)*MAX('Inputs'!$B$33,'Inputs'!$B$29+'Inputs'!$B$31+'Inputs'!$B$32,'Inputs'!$B$30+'Inputs'!$B$31+'Inputs'!$B$32)/1000+'Inputs'!$B$21+'Inputs'!$B$9+'Inputs'!$B$10)+'Inputs'!$B$7)/SQRT((((259-43)*MAX('Inputs'!$B$33,'Inputs'!$B$29+'Inputs'!$B$31+'Inputs'!$B$32,'Inputs'!$B$30+'Inputs'!$B$31+'Inputs'!$B$32)/1000+'Inputs'!$B$21+'Inputs'!$B$9+'Inputs'!$B$10)+'Inputs'!$B$7)^2+('Inputs'!$B$6/2)^2)-(((259-43)*MAX('Inputs'!$B$33,'Inputs'!$B$29+'Inputs'!$B$31+'Inputs'!$B$32,'Inputs'!$B$30+'Inputs'!$B$31+'Inputs'!$B$32)/1000+'Inputs'!$B$21+'Inputs'!$B$9+'Inputs'!$B$10))/SQRT((((259-43)*MAX('Inputs'!$B$33,'Inputs'!$B$29+'Inputs'!$B$31+'Inputs'!$B$32,'Inputs'!$B$30+'Inputs'!$B$31+'Inputs'!$B$32)/1000+'Inputs'!$B$21+'Inputs'!$B$9+'Inputs'!$B$10))^2+('Inputs'!$B$6/2)^2))))*'Results'!$B$8))),"")</x:f>
        <x:v>51.73902159072502</x:v>
      </x:c>
      <x:c r="O259" t="n">
        <x:f>IF(AND(ISNUMBER('Results'!C7),ISNUMBER('Results'!B7),ISNUMBER('Results'!$B$8),ISNUMBER('Inputs'!$B$6),ISNUMBER('Inputs'!$B$7),ISNUMBER('Inputs'!$B$8),ISNUMBER('Inputs'!$B$9),ISNUMBER('Inputs'!$B$10),ISNUMBER('Inputs'!$B$21),ISNUMBER('Inputs'!$B$24),ISNUMBER('Inputs'!$B$28)),((('Results'!C7*(1+'Inputs'!$B$24)*(0.5*((((259-43)*MAX('Inputs'!$B$33,'Inputs'!$B$29+'Inputs'!$B$31+'Inputs'!$B$32,'Inputs'!$B$30+'Inputs'!$B$31+'Inputs'!$B$32)/1000+'Inputs'!$B$21)+'Inputs'!$B$9)/SQRT((((259-43)*MAX('Inputs'!$B$33,'Inputs'!$B$29+'Inputs'!$B$31+'Inputs'!$B$32,'Inputs'!$B$30+'Inputs'!$B$31+'Inputs'!$B$32)/1000+'Inputs'!$B$21)+'Inputs'!$B$9)^2+('Inputs'!$B$8/2)^2)-(((259-43)*MAX('Inputs'!$B$33,'Inputs'!$B$29+'Inputs'!$B$31+'Inputs'!$B$32,'Inputs'!$B$30+'Inputs'!$B$31+'Inputs'!$B$32)/1000+'Inputs'!$B$21))/SQRT((((259-43)*MAX('Inputs'!$B$33,'Inputs'!$B$29+'Inputs'!$B$31+'Inputs'!$B$32,'Inputs'!$B$30+'Inputs'!$B$31+'Inputs'!$B$32)/1000+'Inputs'!$B$21))^2+('Inputs'!$B$8/2)^2)))-'Results'!B7*(1-'Inputs'!$B$24)*(0.5*((((259-43)*MAX('Inputs'!$B$33,'Inputs'!$B$29+'Inputs'!$B$31+'Inputs'!$B$32,'Inputs'!$B$30+'Inputs'!$B$31+'Inputs'!$B$32)/1000+'Inputs'!$B$21+'Inputs'!$B$9+'Inputs'!$B$10)+'Inputs'!$B$7)/SQRT((((259-43)*MAX('Inputs'!$B$33,'Inputs'!$B$29+'Inputs'!$B$31+'Inputs'!$B$32,'Inputs'!$B$30+'Inputs'!$B$31+'Inputs'!$B$32)/1000+'Inputs'!$B$21+'Inputs'!$B$9+'Inputs'!$B$10)+'Inputs'!$B$7)^2+('Inputs'!$B$6/2)^2)-(((259-43)*MAX('Inputs'!$B$33,'Inputs'!$B$29+'Inputs'!$B$31+'Inputs'!$B$32,'Inputs'!$B$30+'Inputs'!$B$31+'Inputs'!$B$32)/1000+'Inputs'!$B$21+'Inputs'!$B$9+'Inputs'!$B$10))/SQRT((((259-43)*MAX('Inputs'!$B$33,'Inputs'!$B$29+'Inputs'!$B$31+'Inputs'!$B$32,'Inputs'!$B$30+'Inputs'!$B$31+'Inputs'!$B$32)/1000+'Inputs'!$B$21+'Inputs'!$B$9+'Inputs'!$B$10))^2+('Inputs'!$B$6/2)^2))))*'Results'!$B$8)+'Inputs'!$B$28*ABS((('Results'!C7*(1+'Inputs'!$B$24)*(0.5*((((259-43)*MAX('Inputs'!$B$33,'Inputs'!$B$29+'Inputs'!$B$31+'Inputs'!$B$32,'Inputs'!$B$30+'Inputs'!$B$31+'Inputs'!$B$32)/1000+'Inputs'!$B$21)+'Inputs'!$B$9)/SQRT((((259-43)*MAX('Inputs'!$B$33,'Inputs'!$B$29+'Inputs'!$B$31+'Inputs'!$B$32,'Inputs'!$B$30+'Inputs'!$B$31+'Inputs'!$B$32)/1000+'Inputs'!$B$21)+'Inputs'!$B$9)^2+('Inputs'!$B$8/2)^2)-(((259-43)*MAX('Inputs'!$B$33,'Inputs'!$B$29+'Inputs'!$B$31+'Inputs'!$B$32,'Inputs'!$B$30+'Inputs'!$B$31+'Inputs'!$B$32)/1000+'Inputs'!$B$21))/SQRT((((259-43)*MAX('Inputs'!$B$33,'Inputs'!$B$29+'Inputs'!$B$31+'Inputs'!$B$32,'Inputs'!$B$30+'Inputs'!$B$31+'Inputs'!$B$32)/1000+'Inputs'!$B$21))^2+('Inputs'!$B$8/2)^2)))-'Results'!B7*(1-'Inputs'!$B$24)*(0.5*((((259-43)*MAX('Inputs'!$B$33,'Inputs'!$B$29+'Inputs'!$B$31+'Inputs'!$B$32,'Inputs'!$B$30+'Inputs'!$B$31+'Inputs'!$B$32)/1000+'Inputs'!$B$21+'Inputs'!$B$9+'Inputs'!$B$10)+'Inputs'!$B$7)/SQRT((((259-43)*MAX('Inputs'!$B$33,'Inputs'!$B$29+'Inputs'!$B$31+'Inputs'!$B$32,'Inputs'!$B$30+'Inputs'!$B$31+'Inputs'!$B$32)/1000+'Inputs'!$B$21+'Inputs'!$B$9+'Inputs'!$B$10)+'Inputs'!$B$7)^2+('Inputs'!$B$6/2)^2)-(((259-43)*MAX('Inputs'!$B$33,'Inputs'!$B$29+'Inputs'!$B$31+'Inputs'!$B$32,'Inputs'!$B$30+'Inputs'!$B$31+'Inputs'!$B$32)/1000+'Inputs'!$B$21+'Inputs'!$B$9+'Inputs'!$B$10))/SQRT((((259-43)*MAX('Inputs'!$B$33,'Inputs'!$B$29+'Inputs'!$B$31+'Inputs'!$B$32,'Inputs'!$B$30+'Inputs'!$B$31+'Inputs'!$B$32)/1000+'Inputs'!$B$21+'Inputs'!$B$9+'Inputs'!$B$10))^2+('Inputs'!$B$6/2)^2))))*'Results'!$B$8))),"")</x:f>
        <x:v>61.990312563963116</x:v>
      </x:c>
      <x:c r="P259" t="n">
        <x:f>IF(AND(MAX(J259,J258)&gt;0,J259&gt;J258+0.00000001),1,0)</x:f>
        <x:v>0</x:v>
      </x:c>
      <x:c r="Q259" t="n">
        <x:f>IF(AND(MAX(K259,K258)&gt;0,K259&gt;K258+0.00000001),1,0)</x:f>
        <x:v>0</x:v>
      </x:c>
      <x:c r="R259" t="n">
        <x:f>IF(AND(MAX(L259,L258)&gt;0,L259&gt;L258+0.00000001),1,0)</x:f>
        <x:v>0</x:v>
      </x:c>
      <x:c r="S259" t="n">
        <x:f>IF(AND(MAX(M259,M258)&gt;0,M259&gt;M258+0.00000001),1,0)</x:f>
        <x:v>0</x:v>
      </x:c>
      <x:c r="T259" t="n">
        <x:f>IF(AND(MAX(N259,N258)&gt;0,N259&gt;N258+0.00000001),1,0)</x:f>
        <x:v>0</x:v>
      </x:c>
      <x:c r="U259" t="n">
        <x:f>IF(AND(MAX(O259,O258)&gt;0,O259&gt;O258+0.00000001),1,0)</x:f>
        <x:v>0</x:v>
      </x:c>
    </x:row>
    <x:row r="260">
      <x:c r="J260" t="n">
        <x:f>IF(AND(ISNUMBER('Results'!B7),ISNUMBER('Results'!C7),ISNUMBER('Results'!$B$8),ISNUMBER('Inputs'!$B$6),ISNUMBER('Inputs'!$B$7),ISNUMBER('Inputs'!$B$8),ISNUMBER('Inputs'!$B$9),ISNUMBER('Inputs'!$B$10),ISNUMBER('Inputs'!$B$21),ISNUMBER('Inputs'!$B$24),ISNUMBER('Inputs'!$B$28)),(('Results'!B7*(0.5*((((260-43)*MAX('Inputs'!$B$33,'Inputs'!$B$29+'Inputs'!$B$31+'Inputs'!$B$32,'Inputs'!$B$30+'Inputs'!$B$31+'Inputs'!$B$32)/1000+'Inputs'!$B$21)+'Inputs'!$B$7)/SQRT((((260-43)*MAX('Inputs'!$B$33,'Inputs'!$B$29+'Inputs'!$B$31+'Inputs'!$B$32,'Inputs'!$B$30+'Inputs'!$B$31+'Inputs'!$B$32)/1000+'Inputs'!$B$21)+'Inputs'!$B$7)^2+('Inputs'!$B$6/2)^2)-(((260-43)*MAX('Inputs'!$B$33,'Inputs'!$B$29+'Inputs'!$B$31+'Inputs'!$B$32,'Inputs'!$B$30+'Inputs'!$B$31+'Inputs'!$B$32)/1000+'Inputs'!$B$21))/SQRT((((260-43)*MAX('Inputs'!$B$33,'Inputs'!$B$29+'Inputs'!$B$31+'Inputs'!$B$32,'Inputs'!$B$30+'Inputs'!$B$31+'Inputs'!$B$32)/1000+'Inputs'!$B$21))^2+('Inputs'!$B$6/2)^2)))-'Results'!C7*(0.5*((((260-43)*MAX('Inputs'!$B$33,'Inputs'!$B$29+'Inputs'!$B$31+'Inputs'!$B$32,'Inputs'!$B$30+'Inputs'!$B$31+'Inputs'!$B$32)/1000+'Inputs'!$B$21+'Inputs'!$B$7+'Inputs'!$B$10)+'Inputs'!$B$9)/SQRT((((260-43)*MAX('Inputs'!$B$33,'Inputs'!$B$29+'Inputs'!$B$31+'Inputs'!$B$32,'Inputs'!$B$30+'Inputs'!$B$31+'Inputs'!$B$32)/1000+'Inputs'!$B$21+'Inputs'!$B$7+'Inputs'!$B$10)+'Inputs'!$B$9)^2+('Inputs'!$B$8/2)^2)-(((260-43)*MAX('Inputs'!$B$33,'Inputs'!$B$29+'Inputs'!$B$31+'Inputs'!$B$32,'Inputs'!$B$30+'Inputs'!$B$31+'Inputs'!$B$32)/1000+'Inputs'!$B$21+'Inputs'!$B$7+'Inputs'!$B$10))/SQRT((((260-43)*MAX('Inputs'!$B$33,'Inputs'!$B$29+'Inputs'!$B$31+'Inputs'!$B$32,'Inputs'!$B$30+'Inputs'!$B$31+'Inputs'!$B$32)/1000+'Inputs'!$B$21+'Inputs'!$B$7+'Inputs'!$B$10))^2+('Inputs'!$B$8/2)^2))))*'Results'!$B$8),"")</x:f>
        <x:v>58.30624403745357</x:v>
      </x:c>
      <x:c r="K260" t="n">
        <x:f>IF(AND(ISNUMBER('Results'!B7),ISNUMBER('Results'!C7),ISNUMBER('Results'!$B$8),ISNUMBER('Inputs'!$B$6),ISNUMBER('Inputs'!$B$7),ISNUMBER('Inputs'!$B$8),ISNUMBER('Inputs'!$B$9),ISNUMBER('Inputs'!$B$10),ISNUMBER('Inputs'!$B$21),ISNUMBER('Inputs'!$B$24),ISNUMBER('Inputs'!$B$28)),((('Results'!B7*(1-'Inputs'!$B$24)*(0.5*((((260-43)*MAX('Inputs'!$B$33,'Inputs'!$B$29+'Inputs'!$B$31+'Inputs'!$B$32,'Inputs'!$B$30+'Inputs'!$B$31+'Inputs'!$B$32)/1000+'Inputs'!$B$21)+'Inputs'!$B$7)/SQRT((((260-43)*MAX('Inputs'!$B$33,'Inputs'!$B$29+'Inputs'!$B$31+'Inputs'!$B$32,'Inputs'!$B$30+'Inputs'!$B$31+'Inputs'!$B$32)/1000+'Inputs'!$B$21)+'Inputs'!$B$7)^2+('Inputs'!$B$6/2)^2)-(((260-43)*MAX('Inputs'!$B$33,'Inputs'!$B$29+'Inputs'!$B$31+'Inputs'!$B$32,'Inputs'!$B$30+'Inputs'!$B$31+'Inputs'!$B$32)/1000+'Inputs'!$B$21))/SQRT((((260-43)*MAX('Inputs'!$B$33,'Inputs'!$B$29+'Inputs'!$B$31+'Inputs'!$B$32,'Inputs'!$B$30+'Inputs'!$B$31+'Inputs'!$B$32)/1000+'Inputs'!$B$21))^2+('Inputs'!$B$6/2)^2)))-'Results'!C7*(1+'Inputs'!$B$24)*(0.5*((((260-43)*MAX('Inputs'!$B$33,'Inputs'!$B$29+'Inputs'!$B$31+'Inputs'!$B$32,'Inputs'!$B$30+'Inputs'!$B$31+'Inputs'!$B$32)/1000+'Inputs'!$B$21+'Inputs'!$B$7+'Inputs'!$B$10)+'Inputs'!$B$9)/SQRT((((260-43)*MAX('Inputs'!$B$33,'Inputs'!$B$29+'Inputs'!$B$31+'Inputs'!$B$32,'Inputs'!$B$30+'Inputs'!$B$31+'Inputs'!$B$32)/1000+'Inputs'!$B$21+'Inputs'!$B$7+'Inputs'!$B$10)+'Inputs'!$B$9)^2+('Inputs'!$B$8/2)^2)-(((260-43)*MAX('Inputs'!$B$33,'Inputs'!$B$29+'Inputs'!$B$31+'Inputs'!$B$32,'Inputs'!$B$30+'Inputs'!$B$31+'Inputs'!$B$32)/1000+'Inputs'!$B$21+'Inputs'!$B$7+'Inputs'!$B$10))/SQRT((((260-43)*MAX('Inputs'!$B$33,'Inputs'!$B$29+'Inputs'!$B$31+'Inputs'!$B$32,'Inputs'!$B$30+'Inputs'!$B$31+'Inputs'!$B$32)/1000+'Inputs'!$B$21+'Inputs'!$B$7+'Inputs'!$B$10))^2+('Inputs'!$B$8/2)^2))))*'Results'!$B$8)-'Inputs'!$B$28*ABS((('Results'!B7*(1-'Inputs'!$B$24)*(0.5*((((260-43)*MAX('Inputs'!$B$33,'Inputs'!$B$29+'Inputs'!$B$31+'Inputs'!$B$32,'Inputs'!$B$30+'Inputs'!$B$31+'Inputs'!$B$32)/1000+'Inputs'!$B$21)+'Inputs'!$B$7)/SQRT((((260-43)*MAX('Inputs'!$B$33,'Inputs'!$B$29+'Inputs'!$B$31+'Inputs'!$B$32,'Inputs'!$B$30+'Inputs'!$B$31+'Inputs'!$B$32)/1000+'Inputs'!$B$21)+'Inputs'!$B$7)^2+('Inputs'!$B$6/2)^2)-(((260-43)*MAX('Inputs'!$B$33,'Inputs'!$B$29+'Inputs'!$B$31+'Inputs'!$B$32,'Inputs'!$B$30+'Inputs'!$B$31+'Inputs'!$B$32)/1000+'Inputs'!$B$21))/SQRT((((260-43)*MAX('Inputs'!$B$33,'Inputs'!$B$29+'Inputs'!$B$31+'Inputs'!$B$32,'Inputs'!$B$30+'Inputs'!$B$31+'Inputs'!$B$32)/1000+'Inputs'!$B$21))^2+('Inputs'!$B$6/2)^2)))-'Results'!C7*(1+'Inputs'!$B$24)*(0.5*((((260-43)*MAX('Inputs'!$B$33,'Inputs'!$B$29+'Inputs'!$B$31+'Inputs'!$B$32,'Inputs'!$B$30+'Inputs'!$B$31+'Inputs'!$B$32)/1000+'Inputs'!$B$21+'Inputs'!$B$7+'Inputs'!$B$10)+'Inputs'!$B$9)/SQRT((((260-43)*MAX('Inputs'!$B$33,'Inputs'!$B$29+'Inputs'!$B$31+'Inputs'!$B$32,'Inputs'!$B$30+'Inputs'!$B$31+'Inputs'!$B$32)/1000+'Inputs'!$B$21+'Inputs'!$B$7+'Inputs'!$B$10)+'Inputs'!$B$9)^2+('Inputs'!$B$8/2)^2)-(((260-43)*MAX('Inputs'!$B$33,'Inputs'!$B$29+'Inputs'!$B$31+'Inputs'!$B$32,'Inputs'!$B$30+'Inputs'!$B$31+'Inputs'!$B$32)/1000+'Inputs'!$B$21+'Inputs'!$B$7+'Inputs'!$B$10))/SQRT((((260-43)*MAX('Inputs'!$B$33,'Inputs'!$B$29+'Inputs'!$B$31+'Inputs'!$B$32,'Inputs'!$B$30+'Inputs'!$B$31+'Inputs'!$B$32)/1000+'Inputs'!$B$21+'Inputs'!$B$7+'Inputs'!$B$10))^2+('Inputs'!$B$8/2)^2))))*'Results'!$B$8))),"")</x:f>
        <x:v>53.21827586204178</x:v>
      </x:c>
      <x:c r="L260" t="n">
        <x:f>IF(AND(ISNUMBER('Results'!B7),ISNUMBER('Results'!C7),ISNUMBER('Results'!$B$8),ISNUMBER('Inputs'!$B$6),ISNUMBER('Inputs'!$B$7),ISNUMBER('Inputs'!$B$8),ISNUMBER('Inputs'!$B$9),ISNUMBER('Inputs'!$B$10),ISNUMBER('Inputs'!$B$21),ISNUMBER('Inputs'!$B$24),ISNUMBER('Inputs'!$B$28)),((('Results'!B7*(1+'Inputs'!$B$24)*(0.5*((((260-43)*MAX('Inputs'!$B$33,'Inputs'!$B$29+'Inputs'!$B$31+'Inputs'!$B$32,'Inputs'!$B$30+'Inputs'!$B$31+'Inputs'!$B$32)/1000+'Inputs'!$B$21)+'Inputs'!$B$7)/SQRT((((260-43)*MAX('Inputs'!$B$33,'Inputs'!$B$29+'Inputs'!$B$31+'Inputs'!$B$32,'Inputs'!$B$30+'Inputs'!$B$31+'Inputs'!$B$32)/1000+'Inputs'!$B$21)+'Inputs'!$B$7)^2+('Inputs'!$B$6/2)^2)-(((260-43)*MAX('Inputs'!$B$33,'Inputs'!$B$29+'Inputs'!$B$31+'Inputs'!$B$32,'Inputs'!$B$30+'Inputs'!$B$31+'Inputs'!$B$32)/1000+'Inputs'!$B$21))/SQRT((((260-43)*MAX('Inputs'!$B$33,'Inputs'!$B$29+'Inputs'!$B$31+'Inputs'!$B$32,'Inputs'!$B$30+'Inputs'!$B$31+'Inputs'!$B$32)/1000+'Inputs'!$B$21))^2+('Inputs'!$B$6/2)^2)))-'Results'!C7*(1-'Inputs'!$B$24)*(0.5*((((260-43)*MAX('Inputs'!$B$33,'Inputs'!$B$29+'Inputs'!$B$31+'Inputs'!$B$32,'Inputs'!$B$30+'Inputs'!$B$31+'Inputs'!$B$32)/1000+'Inputs'!$B$21+'Inputs'!$B$7+'Inputs'!$B$10)+'Inputs'!$B$9)/SQRT((((260-43)*MAX('Inputs'!$B$33,'Inputs'!$B$29+'Inputs'!$B$31+'Inputs'!$B$32,'Inputs'!$B$30+'Inputs'!$B$31+'Inputs'!$B$32)/1000+'Inputs'!$B$21+'Inputs'!$B$7+'Inputs'!$B$10)+'Inputs'!$B$9)^2+('Inputs'!$B$8/2)^2)-(((260-43)*MAX('Inputs'!$B$33,'Inputs'!$B$29+'Inputs'!$B$31+'Inputs'!$B$32,'Inputs'!$B$30+'Inputs'!$B$31+'Inputs'!$B$32)/1000+'Inputs'!$B$21+'Inputs'!$B$7+'Inputs'!$B$10))/SQRT((((260-43)*MAX('Inputs'!$B$33,'Inputs'!$B$29+'Inputs'!$B$31+'Inputs'!$B$32,'Inputs'!$B$30+'Inputs'!$B$31+'Inputs'!$B$32)/1000+'Inputs'!$B$21+'Inputs'!$B$7+'Inputs'!$B$10))^2+('Inputs'!$B$8/2)^2))))*'Results'!$B$8)+'Inputs'!$B$28*ABS((('Results'!B7*(1+'Inputs'!$B$24)*(0.5*((((260-43)*MAX('Inputs'!$B$33,'Inputs'!$B$29+'Inputs'!$B$31+'Inputs'!$B$32,'Inputs'!$B$30+'Inputs'!$B$31+'Inputs'!$B$32)/1000+'Inputs'!$B$21)+'Inputs'!$B$7)/SQRT((((260-43)*MAX('Inputs'!$B$33,'Inputs'!$B$29+'Inputs'!$B$31+'Inputs'!$B$32,'Inputs'!$B$30+'Inputs'!$B$31+'Inputs'!$B$32)/1000+'Inputs'!$B$21)+'Inputs'!$B$7)^2+('Inputs'!$B$6/2)^2)-(((260-43)*MAX('Inputs'!$B$33,'Inputs'!$B$29+'Inputs'!$B$31+'Inputs'!$B$32,'Inputs'!$B$30+'Inputs'!$B$31+'Inputs'!$B$32)/1000+'Inputs'!$B$21))/SQRT((((260-43)*MAX('Inputs'!$B$33,'Inputs'!$B$29+'Inputs'!$B$31+'Inputs'!$B$32,'Inputs'!$B$30+'Inputs'!$B$31+'Inputs'!$B$32)/1000+'Inputs'!$B$21))^2+('Inputs'!$B$6/2)^2)))-'Results'!C7*(1-'Inputs'!$B$24)*(0.5*((((260-43)*MAX('Inputs'!$B$33,'Inputs'!$B$29+'Inputs'!$B$31+'Inputs'!$B$32,'Inputs'!$B$30+'Inputs'!$B$31+'Inputs'!$B$32)/1000+'Inputs'!$B$21+'Inputs'!$B$7+'Inputs'!$B$10)+'Inputs'!$B$9)/SQRT((((260-43)*MAX('Inputs'!$B$33,'Inputs'!$B$29+'Inputs'!$B$31+'Inputs'!$B$32,'Inputs'!$B$30+'Inputs'!$B$31+'Inputs'!$B$32)/1000+'Inputs'!$B$21+'Inputs'!$B$7+'Inputs'!$B$10)+'Inputs'!$B$9)^2+('Inputs'!$B$8/2)^2)-(((260-43)*MAX('Inputs'!$B$33,'Inputs'!$B$29+'Inputs'!$B$31+'Inputs'!$B$32,'Inputs'!$B$30+'Inputs'!$B$31+'Inputs'!$B$32)/1000+'Inputs'!$B$21+'Inputs'!$B$7+'Inputs'!$B$10))/SQRT((((260-43)*MAX('Inputs'!$B$33,'Inputs'!$B$29+'Inputs'!$B$31+'Inputs'!$B$32,'Inputs'!$B$30+'Inputs'!$B$31+'Inputs'!$B$32)/1000+'Inputs'!$B$21+'Inputs'!$B$7+'Inputs'!$B$10))^2+('Inputs'!$B$8/2)^2))))*'Results'!$B$8))),"")</x:f>
        <x:v>63.62291284165894</x:v>
      </x:c>
      <x:c r="M260" t="n">
        <x:f>IF(AND(ISNUMBER('Results'!C7),ISNUMBER('Results'!B7),ISNUMBER('Results'!$B$8),ISNUMBER('Inputs'!$B$6),ISNUMBER('Inputs'!$B$7),ISNUMBER('Inputs'!$B$8),ISNUMBER('Inputs'!$B$9),ISNUMBER('Inputs'!$B$10),ISNUMBER('Inputs'!$B$21),ISNUMBER('Inputs'!$B$24),ISNUMBER('Inputs'!$B$28)),(('Results'!C7*(0.5*((((260-43)*MAX('Inputs'!$B$33,'Inputs'!$B$29+'Inputs'!$B$31+'Inputs'!$B$32,'Inputs'!$B$30+'Inputs'!$B$31+'Inputs'!$B$32)/1000+'Inputs'!$B$21)+'Inputs'!$B$9)/SQRT((((260-43)*MAX('Inputs'!$B$33,'Inputs'!$B$29+'Inputs'!$B$31+'Inputs'!$B$32,'Inputs'!$B$30+'Inputs'!$B$31+'Inputs'!$B$32)/1000+'Inputs'!$B$21)+'Inputs'!$B$9)^2+('Inputs'!$B$8/2)^2)-(((260-43)*MAX('Inputs'!$B$33,'Inputs'!$B$29+'Inputs'!$B$31+'Inputs'!$B$32,'Inputs'!$B$30+'Inputs'!$B$31+'Inputs'!$B$32)/1000+'Inputs'!$B$21))/SQRT((((260-43)*MAX('Inputs'!$B$33,'Inputs'!$B$29+'Inputs'!$B$31+'Inputs'!$B$32,'Inputs'!$B$30+'Inputs'!$B$31+'Inputs'!$B$32)/1000+'Inputs'!$B$21))^2+('Inputs'!$B$8/2)^2)))-'Results'!B7*(0.5*((((260-43)*MAX('Inputs'!$B$33,'Inputs'!$B$29+'Inputs'!$B$31+'Inputs'!$B$32,'Inputs'!$B$30+'Inputs'!$B$31+'Inputs'!$B$32)/1000+'Inputs'!$B$21+'Inputs'!$B$9+'Inputs'!$B$10)+'Inputs'!$B$7)/SQRT((((260-43)*MAX('Inputs'!$B$33,'Inputs'!$B$29+'Inputs'!$B$31+'Inputs'!$B$32,'Inputs'!$B$30+'Inputs'!$B$31+'Inputs'!$B$32)/1000+'Inputs'!$B$21+'Inputs'!$B$9+'Inputs'!$B$10)+'Inputs'!$B$7)^2+('Inputs'!$B$6/2)^2)-(((260-43)*MAX('Inputs'!$B$33,'Inputs'!$B$29+'Inputs'!$B$31+'Inputs'!$B$32,'Inputs'!$B$30+'Inputs'!$B$31+'Inputs'!$B$32)/1000+'Inputs'!$B$21+'Inputs'!$B$9+'Inputs'!$B$10))/SQRT((((260-43)*MAX('Inputs'!$B$33,'Inputs'!$B$29+'Inputs'!$B$31+'Inputs'!$B$32,'Inputs'!$B$30+'Inputs'!$B$31+'Inputs'!$B$32)/1000+'Inputs'!$B$21+'Inputs'!$B$9+'Inputs'!$B$10))^2+('Inputs'!$B$6/2)^2))))*'Results'!$B$8),"")</x:f>
        <x:v>56.00780018413821</x:v>
      </x:c>
      <x:c r="N260" t="n">
        <x:f>IF(AND(ISNUMBER('Results'!C7),ISNUMBER('Results'!B7),ISNUMBER('Results'!$B$8),ISNUMBER('Inputs'!$B$6),ISNUMBER('Inputs'!$B$7),ISNUMBER('Inputs'!$B$8),ISNUMBER('Inputs'!$B$9),ISNUMBER('Inputs'!$B$10),ISNUMBER('Inputs'!$B$21),ISNUMBER('Inputs'!$B$24),ISNUMBER('Inputs'!$B$28)),((('Results'!C7*(1-'Inputs'!$B$24)*(0.5*((((260-43)*MAX('Inputs'!$B$33,'Inputs'!$B$29+'Inputs'!$B$31+'Inputs'!$B$32,'Inputs'!$B$30+'Inputs'!$B$31+'Inputs'!$B$32)/1000+'Inputs'!$B$21)+'Inputs'!$B$9)/SQRT((((260-43)*MAX('Inputs'!$B$33,'Inputs'!$B$29+'Inputs'!$B$31+'Inputs'!$B$32,'Inputs'!$B$30+'Inputs'!$B$31+'Inputs'!$B$32)/1000+'Inputs'!$B$21)+'Inputs'!$B$9)^2+('Inputs'!$B$8/2)^2)-(((260-43)*MAX('Inputs'!$B$33,'Inputs'!$B$29+'Inputs'!$B$31+'Inputs'!$B$32,'Inputs'!$B$30+'Inputs'!$B$31+'Inputs'!$B$32)/1000+'Inputs'!$B$21))/SQRT((((260-43)*MAX('Inputs'!$B$33,'Inputs'!$B$29+'Inputs'!$B$31+'Inputs'!$B$32,'Inputs'!$B$30+'Inputs'!$B$31+'Inputs'!$B$32)/1000+'Inputs'!$B$21))^2+('Inputs'!$B$8/2)^2)))-'Results'!B7*(1+'Inputs'!$B$24)*(0.5*((((260-43)*MAX('Inputs'!$B$33,'Inputs'!$B$29+'Inputs'!$B$31+'Inputs'!$B$32,'Inputs'!$B$30+'Inputs'!$B$31+'Inputs'!$B$32)/1000+'Inputs'!$B$21+'Inputs'!$B$9+'Inputs'!$B$10)+'Inputs'!$B$7)/SQRT((((260-43)*MAX('Inputs'!$B$33,'Inputs'!$B$29+'Inputs'!$B$31+'Inputs'!$B$32,'Inputs'!$B$30+'Inputs'!$B$31+'Inputs'!$B$32)/1000+'Inputs'!$B$21+'Inputs'!$B$9+'Inputs'!$B$10)+'Inputs'!$B$7)^2+('Inputs'!$B$6/2)^2)-(((260-43)*MAX('Inputs'!$B$33,'Inputs'!$B$29+'Inputs'!$B$31+'Inputs'!$B$32,'Inputs'!$B$30+'Inputs'!$B$31+'Inputs'!$B$32)/1000+'Inputs'!$B$21+'Inputs'!$B$9+'Inputs'!$B$10))/SQRT((((260-43)*MAX('Inputs'!$B$33,'Inputs'!$B$29+'Inputs'!$B$31+'Inputs'!$B$32,'Inputs'!$B$30+'Inputs'!$B$31+'Inputs'!$B$32)/1000+'Inputs'!$B$21+'Inputs'!$B$9+'Inputs'!$B$10))^2+('Inputs'!$B$6/2)^2))))*'Results'!$B$8)-'Inputs'!$B$28*ABS((('Results'!C7*(1-'Inputs'!$B$24)*(0.5*((((260-43)*MAX('Inputs'!$B$33,'Inputs'!$B$29+'Inputs'!$B$31+'Inputs'!$B$32,'Inputs'!$B$30+'Inputs'!$B$31+'Inputs'!$B$32)/1000+'Inputs'!$B$21)+'Inputs'!$B$9)/SQRT((((260-43)*MAX('Inputs'!$B$33,'Inputs'!$B$29+'Inputs'!$B$31+'Inputs'!$B$32,'Inputs'!$B$30+'Inputs'!$B$31+'Inputs'!$B$32)/1000+'Inputs'!$B$21)+'Inputs'!$B$9)^2+('Inputs'!$B$8/2)^2)-(((260-43)*MAX('Inputs'!$B$33,'Inputs'!$B$29+'Inputs'!$B$31+'Inputs'!$B$32,'Inputs'!$B$30+'Inputs'!$B$31+'Inputs'!$B$32)/1000+'Inputs'!$B$21))/SQRT((((260-43)*MAX('Inputs'!$B$33,'Inputs'!$B$29+'Inputs'!$B$31+'Inputs'!$B$32,'Inputs'!$B$30+'Inputs'!$B$31+'Inputs'!$B$32)/1000+'Inputs'!$B$21))^2+('Inputs'!$B$8/2)^2)))-'Results'!B7*(1+'Inputs'!$B$24)*(0.5*((((260-43)*MAX('Inputs'!$B$33,'Inputs'!$B$29+'Inputs'!$B$31+'Inputs'!$B$32,'Inputs'!$B$30+'Inputs'!$B$31+'Inputs'!$B$32)/1000+'Inputs'!$B$21+'Inputs'!$B$9+'Inputs'!$B$10)+'Inputs'!$B$7)/SQRT((((260-43)*MAX('Inputs'!$B$33,'Inputs'!$B$29+'Inputs'!$B$31+'Inputs'!$B$32,'Inputs'!$B$30+'Inputs'!$B$31+'Inputs'!$B$32)/1000+'Inputs'!$B$21+'Inputs'!$B$9+'Inputs'!$B$10)+'Inputs'!$B$7)^2+('Inputs'!$B$6/2)^2)-(((260-43)*MAX('Inputs'!$B$33,'Inputs'!$B$29+'Inputs'!$B$31+'Inputs'!$B$32,'Inputs'!$B$30+'Inputs'!$B$31+'Inputs'!$B$32)/1000+'Inputs'!$B$21+'Inputs'!$B$9+'Inputs'!$B$10))/SQRT((((260-43)*MAX('Inputs'!$B$33,'Inputs'!$B$29+'Inputs'!$B$31+'Inputs'!$B$32,'Inputs'!$B$30+'Inputs'!$B$31+'Inputs'!$B$32)/1000+'Inputs'!$B$21+'Inputs'!$B$9+'Inputs'!$B$10))^2+('Inputs'!$B$6/2)^2))))*'Results'!$B$8))),"")</x:f>
        <x:v>51.05669326038422</x:v>
      </x:c>
      <x:c r="O260" t="n">
        <x:f>IF(AND(ISNUMBER('Results'!C7),ISNUMBER('Results'!B7),ISNUMBER('Results'!$B$8),ISNUMBER('Inputs'!$B$6),ISNUMBER('Inputs'!$B$7),ISNUMBER('Inputs'!$B$8),ISNUMBER('Inputs'!$B$9),ISNUMBER('Inputs'!$B$10),ISNUMBER('Inputs'!$B$21),ISNUMBER('Inputs'!$B$24),ISNUMBER('Inputs'!$B$28)),((('Results'!C7*(1+'Inputs'!$B$24)*(0.5*((((260-43)*MAX('Inputs'!$B$33,'Inputs'!$B$29+'Inputs'!$B$31+'Inputs'!$B$32,'Inputs'!$B$30+'Inputs'!$B$31+'Inputs'!$B$32)/1000+'Inputs'!$B$21)+'Inputs'!$B$9)/SQRT((((260-43)*MAX('Inputs'!$B$33,'Inputs'!$B$29+'Inputs'!$B$31+'Inputs'!$B$32,'Inputs'!$B$30+'Inputs'!$B$31+'Inputs'!$B$32)/1000+'Inputs'!$B$21)+'Inputs'!$B$9)^2+('Inputs'!$B$8/2)^2)-(((260-43)*MAX('Inputs'!$B$33,'Inputs'!$B$29+'Inputs'!$B$31+'Inputs'!$B$32,'Inputs'!$B$30+'Inputs'!$B$31+'Inputs'!$B$32)/1000+'Inputs'!$B$21))/SQRT((((260-43)*MAX('Inputs'!$B$33,'Inputs'!$B$29+'Inputs'!$B$31+'Inputs'!$B$32,'Inputs'!$B$30+'Inputs'!$B$31+'Inputs'!$B$32)/1000+'Inputs'!$B$21))^2+('Inputs'!$B$8/2)^2)))-'Results'!B7*(1-'Inputs'!$B$24)*(0.5*((((260-43)*MAX('Inputs'!$B$33,'Inputs'!$B$29+'Inputs'!$B$31+'Inputs'!$B$32,'Inputs'!$B$30+'Inputs'!$B$31+'Inputs'!$B$32)/1000+'Inputs'!$B$21+'Inputs'!$B$9+'Inputs'!$B$10)+'Inputs'!$B$7)/SQRT((((260-43)*MAX('Inputs'!$B$33,'Inputs'!$B$29+'Inputs'!$B$31+'Inputs'!$B$32,'Inputs'!$B$30+'Inputs'!$B$31+'Inputs'!$B$32)/1000+'Inputs'!$B$21+'Inputs'!$B$9+'Inputs'!$B$10)+'Inputs'!$B$7)^2+('Inputs'!$B$6/2)^2)-(((260-43)*MAX('Inputs'!$B$33,'Inputs'!$B$29+'Inputs'!$B$31+'Inputs'!$B$32,'Inputs'!$B$30+'Inputs'!$B$31+'Inputs'!$B$32)/1000+'Inputs'!$B$21+'Inputs'!$B$9+'Inputs'!$B$10))/SQRT((((260-43)*MAX('Inputs'!$B$33,'Inputs'!$B$29+'Inputs'!$B$31+'Inputs'!$B$32,'Inputs'!$B$30+'Inputs'!$B$31+'Inputs'!$B$32)/1000+'Inputs'!$B$21+'Inputs'!$B$9+'Inputs'!$B$10))^2+('Inputs'!$B$6/2)^2))))*'Results'!$B$8)+'Inputs'!$B$28*ABS((('Results'!C7*(1+'Inputs'!$B$24)*(0.5*((((260-43)*MAX('Inputs'!$B$33,'Inputs'!$B$29+'Inputs'!$B$31+'Inputs'!$B$32,'Inputs'!$B$30+'Inputs'!$B$31+'Inputs'!$B$32)/1000+'Inputs'!$B$21)+'Inputs'!$B$9)/SQRT((((260-43)*MAX('Inputs'!$B$33,'Inputs'!$B$29+'Inputs'!$B$31+'Inputs'!$B$32,'Inputs'!$B$30+'Inputs'!$B$31+'Inputs'!$B$32)/1000+'Inputs'!$B$21)+'Inputs'!$B$9)^2+('Inputs'!$B$8/2)^2)-(((260-43)*MAX('Inputs'!$B$33,'Inputs'!$B$29+'Inputs'!$B$31+'Inputs'!$B$32,'Inputs'!$B$30+'Inputs'!$B$31+'Inputs'!$B$32)/1000+'Inputs'!$B$21))/SQRT((((260-43)*MAX('Inputs'!$B$33,'Inputs'!$B$29+'Inputs'!$B$31+'Inputs'!$B$32,'Inputs'!$B$30+'Inputs'!$B$31+'Inputs'!$B$32)/1000+'Inputs'!$B$21))^2+('Inputs'!$B$8/2)^2)))-'Results'!B7*(1-'Inputs'!$B$24)*(0.5*((((260-43)*MAX('Inputs'!$B$33,'Inputs'!$B$29+'Inputs'!$B$31+'Inputs'!$B$32,'Inputs'!$B$30+'Inputs'!$B$31+'Inputs'!$B$32)/1000+'Inputs'!$B$21+'Inputs'!$B$9+'Inputs'!$B$10)+'Inputs'!$B$7)/SQRT((((260-43)*MAX('Inputs'!$B$33,'Inputs'!$B$29+'Inputs'!$B$31+'Inputs'!$B$32,'Inputs'!$B$30+'Inputs'!$B$31+'Inputs'!$B$32)/1000+'Inputs'!$B$21+'Inputs'!$B$9+'Inputs'!$B$10)+'Inputs'!$B$7)^2+('Inputs'!$B$6/2)^2)-(((260-43)*MAX('Inputs'!$B$33,'Inputs'!$B$29+'Inputs'!$B$31+'Inputs'!$B$32,'Inputs'!$B$30+'Inputs'!$B$31+'Inputs'!$B$32)/1000+'Inputs'!$B$21+'Inputs'!$B$9+'Inputs'!$B$10))/SQRT((((260-43)*MAX('Inputs'!$B$33,'Inputs'!$B$29+'Inputs'!$B$31+'Inputs'!$B$32,'Inputs'!$B$30+'Inputs'!$B$31+'Inputs'!$B$32)/1000+'Inputs'!$B$21+'Inputs'!$B$9+'Inputs'!$B$10))^2+('Inputs'!$B$6/2)^2))))*'Results'!$B$8))),"")</x:f>
        <x:v>61.185298362055065</x:v>
      </x:c>
      <x:c r="P260" t="n">
        <x:f>IF(AND(MAX(J260,J259)&gt;0,J260&gt;J259+0.00000001),1,0)</x:f>
        <x:v>0</x:v>
      </x:c>
      <x:c r="Q260" t="n">
        <x:f>IF(AND(MAX(K260,K259)&gt;0,K260&gt;K259+0.00000001),1,0)</x:f>
        <x:v>0</x:v>
      </x:c>
      <x:c r="R260" t="n">
        <x:f>IF(AND(MAX(L260,L259)&gt;0,L260&gt;L259+0.00000001),1,0)</x:f>
        <x:v>0</x:v>
      </x:c>
      <x:c r="S260" t="n">
        <x:f>IF(AND(MAX(M260,M259)&gt;0,M260&gt;M259+0.00000001),1,0)</x:f>
        <x:v>0</x:v>
      </x:c>
      <x:c r="T260" t="n">
        <x:f>IF(AND(MAX(N260,N259)&gt;0,N260&gt;N259+0.00000001),1,0)</x:f>
        <x:v>0</x:v>
      </x:c>
      <x:c r="U260" t="n">
        <x:f>IF(AND(MAX(O260,O259)&gt;0,O260&gt;O259+0.00000001),1,0)</x:f>
        <x:v>0</x:v>
      </x:c>
    </x:row>
    <x:row r="261">
      <x:c r="J261" t="n">
        <x:f>IF(AND(ISNUMBER('Results'!B7),ISNUMBER('Results'!C7),ISNUMBER('Results'!$B$8),ISNUMBER('Inputs'!$B$6),ISNUMBER('Inputs'!$B$7),ISNUMBER('Inputs'!$B$8),ISNUMBER('Inputs'!$B$9),ISNUMBER('Inputs'!$B$10),ISNUMBER('Inputs'!$B$21),ISNUMBER('Inputs'!$B$24),ISNUMBER('Inputs'!$B$28)),(('Results'!B7*(0.5*((((261-43)*MAX('Inputs'!$B$33,'Inputs'!$B$29+'Inputs'!$B$31+'Inputs'!$B$32,'Inputs'!$B$30+'Inputs'!$B$31+'Inputs'!$B$32)/1000+'Inputs'!$B$21)+'Inputs'!$B$7)/SQRT((((261-43)*MAX('Inputs'!$B$33,'Inputs'!$B$29+'Inputs'!$B$31+'Inputs'!$B$32,'Inputs'!$B$30+'Inputs'!$B$31+'Inputs'!$B$32)/1000+'Inputs'!$B$21)+'Inputs'!$B$7)^2+('Inputs'!$B$6/2)^2)-(((261-43)*MAX('Inputs'!$B$33,'Inputs'!$B$29+'Inputs'!$B$31+'Inputs'!$B$32,'Inputs'!$B$30+'Inputs'!$B$31+'Inputs'!$B$32)/1000+'Inputs'!$B$21))/SQRT((((261-43)*MAX('Inputs'!$B$33,'Inputs'!$B$29+'Inputs'!$B$31+'Inputs'!$B$32,'Inputs'!$B$30+'Inputs'!$B$31+'Inputs'!$B$32)/1000+'Inputs'!$B$21))^2+('Inputs'!$B$6/2)^2)))-'Results'!C7*(0.5*((((261-43)*MAX('Inputs'!$B$33,'Inputs'!$B$29+'Inputs'!$B$31+'Inputs'!$B$32,'Inputs'!$B$30+'Inputs'!$B$31+'Inputs'!$B$32)/1000+'Inputs'!$B$21+'Inputs'!$B$7+'Inputs'!$B$10)+'Inputs'!$B$9)/SQRT((((261-43)*MAX('Inputs'!$B$33,'Inputs'!$B$29+'Inputs'!$B$31+'Inputs'!$B$32,'Inputs'!$B$30+'Inputs'!$B$31+'Inputs'!$B$32)/1000+'Inputs'!$B$21+'Inputs'!$B$7+'Inputs'!$B$10)+'Inputs'!$B$9)^2+('Inputs'!$B$8/2)^2)-(((261-43)*MAX('Inputs'!$B$33,'Inputs'!$B$29+'Inputs'!$B$31+'Inputs'!$B$32,'Inputs'!$B$30+'Inputs'!$B$31+'Inputs'!$B$32)/1000+'Inputs'!$B$21+'Inputs'!$B$7+'Inputs'!$B$10))/SQRT((((261-43)*MAX('Inputs'!$B$33,'Inputs'!$B$29+'Inputs'!$B$31+'Inputs'!$B$32,'Inputs'!$B$30+'Inputs'!$B$31+'Inputs'!$B$32)/1000+'Inputs'!$B$21+'Inputs'!$B$7+'Inputs'!$B$10))^2+('Inputs'!$B$8/2)^2))))*'Results'!$B$8),"")</x:f>
        <x:v>57.55141516979299</x:v>
      </x:c>
      <x:c r="K261" t="n">
        <x:f>IF(AND(ISNUMBER('Results'!B7),ISNUMBER('Results'!C7),ISNUMBER('Results'!$B$8),ISNUMBER('Inputs'!$B$6),ISNUMBER('Inputs'!$B$7),ISNUMBER('Inputs'!$B$8),ISNUMBER('Inputs'!$B$9),ISNUMBER('Inputs'!$B$10),ISNUMBER('Inputs'!$B$21),ISNUMBER('Inputs'!$B$24),ISNUMBER('Inputs'!$B$28)),((('Results'!B7*(1-'Inputs'!$B$24)*(0.5*((((261-43)*MAX('Inputs'!$B$33,'Inputs'!$B$29+'Inputs'!$B$31+'Inputs'!$B$32,'Inputs'!$B$30+'Inputs'!$B$31+'Inputs'!$B$32)/1000+'Inputs'!$B$21)+'Inputs'!$B$7)/SQRT((((261-43)*MAX('Inputs'!$B$33,'Inputs'!$B$29+'Inputs'!$B$31+'Inputs'!$B$32,'Inputs'!$B$30+'Inputs'!$B$31+'Inputs'!$B$32)/1000+'Inputs'!$B$21)+'Inputs'!$B$7)^2+('Inputs'!$B$6/2)^2)-(((261-43)*MAX('Inputs'!$B$33,'Inputs'!$B$29+'Inputs'!$B$31+'Inputs'!$B$32,'Inputs'!$B$30+'Inputs'!$B$31+'Inputs'!$B$32)/1000+'Inputs'!$B$21))/SQRT((((261-43)*MAX('Inputs'!$B$33,'Inputs'!$B$29+'Inputs'!$B$31+'Inputs'!$B$32,'Inputs'!$B$30+'Inputs'!$B$31+'Inputs'!$B$32)/1000+'Inputs'!$B$21))^2+('Inputs'!$B$6/2)^2)))-'Results'!C7*(1+'Inputs'!$B$24)*(0.5*((((261-43)*MAX('Inputs'!$B$33,'Inputs'!$B$29+'Inputs'!$B$31+'Inputs'!$B$32,'Inputs'!$B$30+'Inputs'!$B$31+'Inputs'!$B$32)/1000+'Inputs'!$B$21+'Inputs'!$B$7+'Inputs'!$B$10)+'Inputs'!$B$9)/SQRT((((261-43)*MAX('Inputs'!$B$33,'Inputs'!$B$29+'Inputs'!$B$31+'Inputs'!$B$32,'Inputs'!$B$30+'Inputs'!$B$31+'Inputs'!$B$32)/1000+'Inputs'!$B$21+'Inputs'!$B$7+'Inputs'!$B$10)+'Inputs'!$B$9)^2+('Inputs'!$B$8/2)^2)-(((261-43)*MAX('Inputs'!$B$33,'Inputs'!$B$29+'Inputs'!$B$31+'Inputs'!$B$32,'Inputs'!$B$30+'Inputs'!$B$31+'Inputs'!$B$32)/1000+'Inputs'!$B$21+'Inputs'!$B$7+'Inputs'!$B$10))/SQRT((((261-43)*MAX('Inputs'!$B$33,'Inputs'!$B$29+'Inputs'!$B$31+'Inputs'!$B$32,'Inputs'!$B$30+'Inputs'!$B$31+'Inputs'!$B$32)/1000+'Inputs'!$B$21+'Inputs'!$B$7+'Inputs'!$B$10))^2+('Inputs'!$B$8/2)^2))))*'Results'!$B$8)-'Inputs'!$B$28*ABS((('Results'!B7*(1-'Inputs'!$B$24)*(0.5*((((261-43)*MAX('Inputs'!$B$33,'Inputs'!$B$29+'Inputs'!$B$31+'Inputs'!$B$32,'Inputs'!$B$30+'Inputs'!$B$31+'Inputs'!$B$32)/1000+'Inputs'!$B$21)+'Inputs'!$B$7)/SQRT((((261-43)*MAX('Inputs'!$B$33,'Inputs'!$B$29+'Inputs'!$B$31+'Inputs'!$B$32,'Inputs'!$B$30+'Inputs'!$B$31+'Inputs'!$B$32)/1000+'Inputs'!$B$21)+'Inputs'!$B$7)^2+('Inputs'!$B$6/2)^2)-(((261-43)*MAX('Inputs'!$B$33,'Inputs'!$B$29+'Inputs'!$B$31+'Inputs'!$B$32,'Inputs'!$B$30+'Inputs'!$B$31+'Inputs'!$B$32)/1000+'Inputs'!$B$21))/SQRT((((261-43)*MAX('Inputs'!$B$33,'Inputs'!$B$29+'Inputs'!$B$31+'Inputs'!$B$32,'Inputs'!$B$30+'Inputs'!$B$31+'Inputs'!$B$32)/1000+'Inputs'!$B$21))^2+('Inputs'!$B$6/2)^2)))-'Results'!C7*(1+'Inputs'!$B$24)*(0.5*((((261-43)*MAX('Inputs'!$B$33,'Inputs'!$B$29+'Inputs'!$B$31+'Inputs'!$B$32,'Inputs'!$B$30+'Inputs'!$B$31+'Inputs'!$B$32)/1000+'Inputs'!$B$21+'Inputs'!$B$7+'Inputs'!$B$10)+'Inputs'!$B$9)/SQRT((((261-43)*MAX('Inputs'!$B$33,'Inputs'!$B$29+'Inputs'!$B$31+'Inputs'!$B$32,'Inputs'!$B$30+'Inputs'!$B$31+'Inputs'!$B$32)/1000+'Inputs'!$B$21+'Inputs'!$B$7+'Inputs'!$B$10)+'Inputs'!$B$9)^2+('Inputs'!$B$8/2)^2)-(((261-43)*MAX('Inputs'!$B$33,'Inputs'!$B$29+'Inputs'!$B$31+'Inputs'!$B$32,'Inputs'!$B$30+'Inputs'!$B$31+'Inputs'!$B$32)/1000+'Inputs'!$B$21+'Inputs'!$B$7+'Inputs'!$B$10))/SQRT((((261-43)*MAX('Inputs'!$B$33,'Inputs'!$B$29+'Inputs'!$B$31+'Inputs'!$B$32,'Inputs'!$B$30+'Inputs'!$B$31+'Inputs'!$B$32)/1000+'Inputs'!$B$21+'Inputs'!$B$7+'Inputs'!$B$10))^2+('Inputs'!$B$8/2)^2))))*'Results'!$B$8))),"")</x:f>
        <x:v>52.52416117692759</x:v>
      </x:c>
      <x:c r="L261" t="n">
        <x:f>IF(AND(ISNUMBER('Results'!B7),ISNUMBER('Results'!C7),ISNUMBER('Results'!$B$8),ISNUMBER('Inputs'!$B$6),ISNUMBER('Inputs'!$B$7),ISNUMBER('Inputs'!$B$8),ISNUMBER('Inputs'!$B$9),ISNUMBER('Inputs'!$B$10),ISNUMBER('Inputs'!$B$21),ISNUMBER('Inputs'!$B$24),ISNUMBER('Inputs'!$B$28)),((('Results'!B7*(1+'Inputs'!$B$24)*(0.5*((((261-43)*MAX('Inputs'!$B$33,'Inputs'!$B$29+'Inputs'!$B$31+'Inputs'!$B$32,'Inputs'!$B$30+'Inputs'!$B$31+'Inputs'!$B$32)/1000+'Inputs'!$B$21)+'Inputs'!$B$7)/SQRT((((261-43)*MAX('Inputs'!$B$33,'Inputs'!$B$29+'Inputs'!$B$31+'Inputs'!$B$32,'Inputs'!$B$30+'Inputs'!$B$31+'Inputs'!$B$32)/1000+'Inputs'!$B$21)+'Inputs'!$B$7)^2+('Inputs'!$B$6/2)^2)-(((261-43)*MAX('Inputs'!$B$33,'Inputs'!$B$29+'Inputs'!$B$31+'Inputs'!$B$32,'Inputs'!$B$30+'Inputs'!$B$31+'Inputs'!$B$32)/1000+'Inputs'!$B$21))/SQRT((((261-43)*MAX('Inputs'!$B$33,'Inputs'!$B$29+'Inputs'!$B$31+'Inputs'!$B$32,'Inputs'!$B$30+'Inputs'!$B$31+'Inputs'!$B$32)/1000+'Inputs'!$B$21))^2+('Inputs'!$B$6/2)^2)))-'Results'!C7*(1-'Inputs'!$B$24)*(0.5*((((261-43)*MAX('Inputs'!$B$33,'Inputs'!$B$29+'Inputs'!$B$31+'Inputs'!$B$32,'Inputs'!$B$30+'Inputs'!$B$31+'Inputs'!$B$32)/1000+'Inputs'!$B$21+'Inputs'!$B$7+'Inputs'!$B$10)+'Inputs'!$B$9)/SQRT((((261-43)*MAX('Inputs'!$B$33,'Inputs'!$B$29+'Inputs'!$B$31+'Inputs'!$B$32,'Inputs'!$B$30+'Inputs'!$B$31+'Inputs'!$B$32)/1000+'Inputs'!$B$21+'Inputs'!$B$7+'Inputs'!$B$10)+'Inputs'!$B$9)^2+('Inputs'!$B$8/2)^2)-(((261-43)*MAX('Inputs'!$B$33,'Inputs'!$B$29+'Inputs'!$B$31+'Inputs'!$B$32,'Inputs'!$B$30+'Inputs'!$B$31+'Inputs'!$B$32)/1000+'Inputs'!$B$21+'Inputs'!$B$7+'Inputs'!$B$10))/SQRT((((261-43)*MAX('Inputs'!$B$33,'Inputs'!$B$29+'Inputs'!$B$31+'Inputs'!$B$32,'Inputs'!$B$30+'Inputs'!$B$31+'Inputs'!$B$32)/1000+'Inputs'!$B$21+'Inputs'!$B$7+'Inputs'!$B$10))^2+('Inputs'!$B$8/2)^2))))*'Results'!$B$8)+'Inputs'!$B$28*ABS((('Results'!B7*(1+'Inputs'!$B$24)*(0.5*((((261-43)*MAX('Inputs'!$B$33,'Inputs'!$B$29+'Inputs'!$B$31+'Inputs'!$B$32,'Inputs'!$B$30+'Inputs'!$B$31+'Inputs'!$B$32)/1000+'Inputs'!$B$21)+'Inputs'!$B$7)/SQRT((((261-43)*MAX('Inputs'!$B$33,'Inputs'!$B$29+'Inputs'!$B$31+'Inputs'!$B$32,'Inputs'!$B$30+'Inputs'!$B$31+'Inputs'!$B$32)/1000+'Inputs'!$B$21)+'Inputs'!$B$7)^2+('Inputs'!$B$6/2)^2)-(((261-43)*MAX('Inputs'!$B$33,'Inputs'!$B$29+'Inputs'!$B$31+'Inputs'!$B$32,'Inputs'!$B$30+'Inputs'!$B$31+'Inputs'!$B$32)/1000+'Inputs'!$B$21))/SQRT((((261-43)*MAX('Inputs'!$B$33,'Inputs'!$B$29+'Inputs'!$B$31+'Inputs'!$B$32,'Inputs'!$B$30+'Inputs'!$B$31+'Inputs'!$B$32)/1000+'Inputs'!$B$21))^2+('Inputs'!$B$6/2)^2)))-'Results'!C7*(1-'Inputs'!$B$24)*(0.5*((((261-43)*MAX('Inputs'!$B$33,'Inputs'!$B$29+'Inputs'!$B$31+'Inputs'!$B$32,'Inputs'!$B$30+'Inputs'!$B$31+'Inputs'!$B$32)/1000+'Inputs'!$B$21+'Inputs'!$B$7+'Inputs'!$B$10)+'Inputs'!$B$9)/SQRT((((261-43)*MAX('Inputs'!$B$33,'Inputs'!$B$29+'Inputs'!$B$31+'Inputs'!$B$32,'Inputs'!$B$30+'Inputs'!$B$31+'Inputs'!$B$32)/1000+'Inputs'!$B$21+'Inputs'!$B$7+'Inputs'!$B$10)+'Inputs'!$B$9)^2+('Inputs'!$B$8/2)^2)-(((261-43)*MAX('Inputs'!$B$33,'Inputs'!$B$29+'Inputs'!$B$31+'Inputs'!$B$32,'Inputs'!$B$30+'Inputs'!$B$31+'Inputs'!$B$32)/1000+'Inputs'!$B$21+'Inputs'!$B$7+'Inputs'!$B$10))/SQRT((((261-43)*MAX('Inputs'!$B$33,'Inputs'!$B$29+'Inputs'!$B$31+'Inputs'!$B$32,'Inputs'!$B$30+'Inputs'!$B$31+'Inputs'!$B$32)/1000+'Inputs'!$B$21+'Inputs'!$B$7+'Inputs'!$B$10))^2+('Inputs'!$B$8/2)^2))))*'Results'!$B$8))),"")</x:f>
        <x:v>62.80495160838214</x:v>
      </x:c>
      <x:c r="M261" t="n">
        <x:f>IF(AND(ISNUMBER('Results'!C7),ISNUMBER('Results'!B7),ISNUMBER('Results'!$B$8),ISNUMBER('Inputs'!$B$6),ISNUMBER('Inputs'!$B$7),ISNUMBER('Inputs'!$B$8),ISNUMBER('Inputs'!$B$9),ISNUMBER('Inputs'!$B$10),ISNUMBER('Inputs'!$B$21),ISNUMBER('Inputs'!$B$24),ISNUMBER('Inputs'!$B$28)),(('Results'!C7*(0.5*((((261-43)*MAX('Inputs'!$B$33,'Inputs'!$B$29+'Inputs'!$B$31+'Inputs'!$B$32,'Inputs'!$B$30+'Inputs'!$B$31+'Inputs'!$B$32)/1000+'Inputs'!$B$21)+'Inputs'!$B$9)/SQRT((((261-43)*MAX('Inputs'!$B$33,'Inputs'!$B$29+'Inputs'!$B$31+'Inputs'!$B$32,'Inputs'!$B$30+'Inputs'!$B$31+'Inputs'!$B$32)/1000+'Inputs'!$B$21)+'Inputs'!$B$9)^2+('Inputs'!$B$8/2)^2)-(((261-43)*MAX('Inputs'!$B$33,'Inputs'!$B$29+'Inputs'!$B$31+'Inputs'!$B$32,'Inputs'!$B$30+'Inputs'!$B$31+'Inputs'!$B$32)/1000+'Inputs'!$B$21))/SQRT((((261-43)*MAX('Inputs'!$B$33,'Inputs'!$B$29+'Inputs'!$B$31+'Inputs'!$B$32,'Inputs'!$B$30+'Inputs'!$B$31+'Inputs'!$B$32)/1000+'Inputs'!$B$21))^2+('Inputs'!$B$8/2)^2)))-'Results'!B7*(0.5*((((261-43)*MAX('Inputs'!$B$33,'Inputs'!$B$29+'Inputs'!$B$31+'Inputs'!$B$32,'Inputs'!$B$30+'Inputs'!$B$31+'Inputs'!$B$32)/1000+'Inputs'!$B$21+'Inputs'!$B$9+'Inputs'!$B$10)+'Inputs'!$B$7)/SQRT((((261-43)*MAX('Inputs'!$B$33,'Inputs'!$B$29+'Inputs'!$B$31+'Inputs'!$B$32,'Inputs'!$B$30+'Inputs'!$B$31+'Inputs'!$B$32)/1000+'Inputs'!$B$21+'Inputs'!$B$9+'Inputs'!$B$10)+'Inputs'!$B$7)^2+('Inputs'!$B$6/2)^2)-(((261-43)*MAX('Inputs'!$B$33,'Inputs'!$B$29+'Inputs'!$B$31+'Inputs'!$B$32,'Inputs'!$B$30+'Inputs'!$B$31+'Inputs'!$B$32)/1000+'Inputs'!$B$21+'Inputs'!$B$9+'Inputs'!$B$10))/SQRT((((261-43)*MAX('Inputs'!$B$33,'Inputs'!$B$29+'Inputs'!$B$31+'Inputs'!$B$32,'Inputs'!$B$30+'Inputs'!$B$31+'Inputs'!$B$32)/1000+'Inputs'!$B$21+'Inputs'!$B$9+'Inputs'!$B$10))^2+('Inputs'!$B$6/2)^2))))*'Results'!$B$8),"")</x:f>
        <x:v>55.27724585384269</x:v>
      </x:c>
      <x:c r="N261" t="n">
        <x:f>IF(AND(ISNUMBER('Results'!C7),ISNUMBER('Results'!B7),ISNUMBER('Results'!$B$8),ISNUMBER('Inputs'!$B$6),ISNUMBER('Inputs'!$B$7),ISNUMBER('Inputs'!$B$8),ISNUMBER('Inputs'!$B$9),ISNUMBER('Inputs'!$B$10),ISNUMBER('Inputs'!$B$21),ISNUMBER('Inputs'!$B$24),ISNUMBER('Inputs'!$B$28)),((('Results'!C7*(1-'Inputs'!$B$24)*(0.5*((((261-43)*MAX('Inputs'!$B$33,'Inputs'!$B$29+'Inputs'!$B$31+'Inputs'!$B$32,'Inputs'!$B$30+'Inputs'!$B$31+'Inputs'!$B$32)/1000+'Inputs'!$B$21)+'Inputs'!$B$9)/SQRT((((261-43)*MAX('Inputs'!$B$33,'Inputs'!$B$29+'Inputs'!$B$31+'Inputs'!$B$32,'Inputs'!$B$30+'Inputs'!$B$31+'Inputs'!$B$32)/1000+'Inputs'!$B$21)+'Inputs'!$B$9)^2+('Inputs'!$B$8/2)^2)-(((261-43)*MAX('Inputs'!$B$33,'Inputs'!$B$29+'Inputs'!$B$31+'Inputs'!$B$32,'Inputs'!$B$30+'Inputs'!$B$31+'Inputs'!$B$32)/1000+'Inputs'!$B$21))/SQRT((((261-43)*MAX('Inputs'!$B$33,'Inputs'!$B$29+'Inputs'!$B$31+'Inputs'!$B$32,'Inputs'!$B$30+'Inputs'!$B$31+'Inputs'!$B$32)/1000+'Inputs'!$B$21))^2+('Inputs'!$B$8/2)^2)))-'Results'!B7*(1+'Inputs'!$B$24)*(0.5*((((261-43)*MAX('Inputs'!$B$33,'Inputs'!$B$29+'Inputs'!$B$31+'Inputs'!$B$32,'Inputs'!$B$30+'Inputs'!$B$31+'Inputs'!$B$32)/1000+'Inputs'!$B$21+'Inputs'!$B$9+'Inputs'!$B$10)+'Inputs'!$B$7)/SQRT((((261-43)*MAX('Inputs'!$B$33,'Inputs'!$B$29+'Inputs'!$B$31+'Inputs'!$B$32,'Inputs'!$B$30+'Inputs'!$B$31+'Inputs'!$B$32)/1000+'Inputs'!$B$21+'Inputs'!$B$9+'Inputs'!$B$10)+'Inputs'!$B$7)^2+('Inputs'!$B$6/2)^2)-(((261-43)*MAX('Inputs'!$B$33,'Inputs'!$B$29+'Inputs'!$B$31+'Inputs'!$B$32,'Inputs'!$B$30+'Inputs'!$B$31+'Inputs'!$B$32)/1000+'Inputs'!$B$21+'Inputs'!$B$9+'Inputs'!$B$10))/SQRT((((261-43)*MAX('Inputs'!$B$33,'Inputs'!$B$29+'Inputs'!$B$31+'Inputs'!$B$32,'Inputs'!$B$30+'Inputs'!$B$31+'Inputs'!$B$32)/1000+'Inputs'!$B$21+'Inputs'!$B$9+'Inputs'!$B$10))^2+('Inputs'!$B$6/2)^2))))*'Results'!$B$8)-'Inputs'!$B$28*ABS((('Results'!C7*(1-'Inputs'!$B$24)*(0.5*((((261-43)*MAX('Inputs'!$B$33,'Inputs'!$B$29+'Inputs'!$B$31+'Inputs'!$B$32,'Inputs'!$B$30+'Inputs'!$B$31+'Inputs'!$B$32)/1000+'Inputs'!$B$21)+'Inputs'!$B$9)/SQRT((((261-43)*MAX('Inputs'!$B$33,'Inputs'!$B$29+'Inputs'!$B$31+'Inputs'!$B$32,'Inputs'!$B$30+'Inputs'!$B$31+'Inputs'!$B$32)/1000+'Inputs'!$B$21)+'Inputs'!$B$9)^2+('Inputs'!$B$8/2)^2)-(((261-43)*MAX('Inputs'!$B$33,'Inputs'!$B$29+'Inputs'!$B$31+'Inputs'!$B$32,'Inputs'!$B$30+'Inputs'!$B$31+'Inputs'!$B$32)/1000+'Inputs'!$B$21))/SQRT((((261-43)*MAX('Inputs'!$B$33,'Inputs'!$B$29+'Inputs'!$B$31+'Inputs'!$B$32,'Inputs'!$B$30+'Inputs'!$B$31+'Inputs'!$B$32)/1000+'Inputs'!$B$21))^2+('Inputs'!$B$8/2)^2)))-'Results'!B7*(1+'Inputs'!$B$24)*(0.5*((((261-43)*MAX('Inputs'!$B$33,'Inputs'!$B$29+'Inputs'!$B$31+'Inputs'!$B$32,'Inputs'!$B$30+'Inputs'!$B$31+'Inputs'!$B$32)/1000+'Inputs'!$B$21+'Inputs'!$B$9+'Inputs'!$B$10)+'Inputs'!$B$7)/SQRT((((261-43)*MAX('Inputs'!$B$33,'Inputs'!$B$29+'Inputs'!$B$31+'Inputs'!$B$32,'Inputs'!$B$30+'Inputs'!$B$31+'Inputs'!$B$32)/1000+'Inputs'!$B$21+'Inputs'!$B$9+'Inputs'!$B$10)+'Inputs'!$B$7)^2+('Inputs'!$B$6/2)^2)-(((261-43)*MAX('Inputs'!$B$33,'Inputs'!$B$29+'Inputs'!$B$31+'Inputs'!$B$32,'Inputs'!$B$30+'Inputs'!$B$31+'Inputs'!$B$32)/1000+'Inputs'!$B$21+'Inputs'!$B$9+'Inputs'!$B$10))/SQRT((((261-43)*MAX('Inputs'!$B$33,'Inputs'!$B$29+'Inputs'!$B$31+'Inputs'!$B$32,'Inputs'!$B$30+'Inputs'!$B$31+'Inputs'!$B$32)/1000+'Inputs'!$B$21+'Inputs'!$B$9+'Inputs'!$B$10))^2+('Inputs'!$B$6/2)^2))))*'Results'!$B$8))),"")</x:f>
        <x:v>50.38535431222378</x:v>
      </x:c>
      <x:c r="O261" t="n">
        <x:f>IF(AND(ISNUMBER('Results'!C7),ISNUMBER('Results'!B7),ISNUMBER('Results'!$B$8),ISNUMBER('Inputs'!$B$6),ISNUMBER('Inputs'!$B$7),ISNUMBER('Inputs'!$B$8),ISNUMBER('Inputs'!$B$9),ISNUMBER('Inputs'!$B$10),ISNUMBER('Inputs'!$B$21),ISNUMBER('Inputs'!$B$24),ISNUMBER('Inputs'!$B$28)),((('Results'!C7*(1+'Inputs'!$B$24)*(0.5*((((261-43)*MAX('Inputs'!$B$33,'Inputs'!$B$29+'Inputs'!$B$31+'Inputs'!$B$32,'Inputs'!$B$30+'Inputs'!$B$31+'Inputs'!$B$32)/1000+'Inputs'!$B$21)+'Inputs'!$B$9)/SQRT((((261-43)*MAX('Inputs'!$B$33,'Inputs'!$B$29+'Inputs'!$B$31+'Inputs'!$B$32,'Inputs'!$B$30+'Inputs'!$B$31+'Inputs'!$B$32)/1000+'Inputs'!$B$21)+'Inputs'!$B$9)^2+('Inputs'!$B$8/2)^2)-(((261-43)*MAX('Inputs'!$B$33,'Inputs'!$B$29+'Inputs'!$B$31+'Inputs'!$B$32,'Inputs'!$B$30+'Inputs'!$B$31+'Inputs'!$B$32)/1000+'Inputs'!$B$21))/SQRT((((261-43)*MAX('Inputs'!$B$33,'Inputs'!$B$29+'Inputs'!$B$31+'Inputs'!$B$32,'Inputs'!$B$30+'Inputs'!$B$31+'Inputs'!$B$32)/1000+'Inputs'!$B$21))^2+('Inputs'!$B$8/2)^2)))-'Results'!B7*(1-'Inputs'!$B$24)*(0.5*((((261-43)*MAX('Inputs'!$B$33,'Inputs'!$B$29+'Inputs'!$B$31+'Inputs'!$B$32,'Inputs'!$B$30+'Inputs'!$B$31+'Inputs'!$B$32)/1000+'Inputs'!$B$21+'Inputs'!$B$9+'Inputs'!$B$10)+'Inputs'!$B$7)/SQRT((((261-43)*MAX('Inputs'!$B$33,'Inputs'!$B$29+'Inputs'!$B$31+'Inputs'!$B$32,'Inputs'!$B$30+'Inputs'!$B$31+'Inputs'!$B$32)/1000+'Inputs'!$B$21+'Inputs'!$B$9+'Inputs'!$B$10)+'Inputs'!$B$7)^2+('Inputs'!$B$6/2)^2)-(((261-43)*MAX('Inputs'!$B$33,'Inputs'!$B$29+'Inputs'!$B$31+'Inputs'!$B$32,'Inputs'!$B$30+'Inputs'!$B$31+'Inputs'!$B$32)/1000+'Inputs'!$B$21+'Inputs'!$B$9+'Inputs'!$B$10))/SQRT((((261-43)*MAX('Inputs'!$B$33,'Inputs'!$B$29+'Inputs'!$B$31+'Inputs'!$B$32,'Inputs'!$B$30+'Inputs'!$B$31+'Inputs'!$B$32)/1000+'Inputs'!$B$21+'Inputs'!$B$9+'Inputs'!$B$10))^2+('Inputs'!$B$6/2)^2))))*'Results'!$B$8)+'Inputs'!$B$28*ABS((('Results'!C7*(1+'Inputs'!$B$24)*(0.5*((((261-43)*MAX('Inputs'!$B$33,'Inputs'!$B$29+'Inputs'!$B$31+'Inputs'!$B$32,'Inputs'!$B$30+'Inputs'!$B$31+'Inputs'!$B$32)/1000+'Inputs'!$B$21)+'Inputs'!$B$9)/SQRT((((261-43)*MAX('Inputs'!$B$33,'Inputs'!$B$29+'Inputs'!$B$31+'Inputs'!$B$32,'Inputs'!$B$30+'Inputs'!$B$31+'Inputs'!$B$32)/1000+'Inputs'!$B$21)+'Inputs'!$B$9)^2+('Inputs'!$B$8/2)^2)-(((261-43)*MAX('Inputs'!$B$33,'Inputs'!$B$29+'Inputs'!$B$31+'Inputs'!$B$32,'Inputs'!$B$30+'Inputs'!$B$31+'Inputs'!$B$32)/1000+'Inputs'!$B$21))/SQRT((((261-43)*MAX('Inputs'!$B$33,'Inputs'!$B$29+'Inputs'!$B$31+'Inputs'!$B$32,'Inputs'!$B$30+'Inputs'!$B$31+'Inputs'!$B$32)/1000+'Inputs'!$B$21))^2+('Inputs'!$B$8/2)^2)))-'Results'!B7*(1-'Inputs'!$B$24)*(0.5*((((261-43)*MAX('Inputs'!$B$33,'Inputs'!$B$29+'Inputs'!$B$31+'Inputs'!$B$32,'Inputs'!$B$30+'Inputs'!$B$31+'Inputs'!$B$32)/1000+'Inputs'!$B$21+'Inputs'!$B$9+'Inputs'!$B$10)+'Inputs'!$B$7)/SQRT((((261-43)*MAX('Inputs'!$B$33,'Inputs'!$B$29+'Inputs'!$B$31+'Inputs'!$B$32,'Inputs'!$B$30+'Inputs'!$B$31+'Inputs'!$B$32)/1000+'Inputs'!$B$21+'Inputs'!$B$9+'Inputs'!$B$10)+'Inputs'!$B$7)^2+('Inputs'!$B$6/2)^2)-(((261-43)*MAX('Inputs'!$B$33,'Inputs'!$B$29+'Inputs'!$B$31+'Inputs'!$B$32,'Inputs'!$B$30+'Inputs'!$B$31+'Inputs'!$B$32)/1000+'Inputs'!$B$21+'Inputs'!$B$9+'Inputs'!$B$10))/SQRT((((261-43)*MAX('Inputs'!$B$33,'Inputs'!$B$29+'Inputs'!$B$31+'Inputs'!$B$32,'Inputs'!$B$30+'Inputs'!$B$31+'Inputs'!$B$32)/1000+'Inputs'!$B$21+'Inputs'!$B$9+'Inputs'!$B$10))^2+('Inputs'!$B$6/2)^2))))*'Results'!$B$8))),"")</x:f>
        <x:v>60.39314047429598</x:v>
      </x:c>
      <x:c r="P261" t="n">
        <x:f>IF(AND(MAX(J261,J260)&gt;0,J261&gt;J260+0.00000001),1,0)</x:f>
        <x:v>0</x:v>
      </x:c>
      <x:c r="Q261" t="n">
        <x:f>IF(AND(MAX(K261,K260)&gt;0,K261&gt;K260+0.00000001),1,0)</x:f>
        <x:v>0</x:v>
      </x:c>
      <x:c r="R261" t="n">
        <x:f>IF(AND(MAX(L261,L260)&gt;0,L261&gt;L260+0.00000001),1,0)</x:f>
        <x:v>0</x:v>
      </x:c>
      <x:c r="S261" t="n">
        <x:f>IF(AND(MAX(M261,M260)&gt;0,M261&gt;M260+0.00000001),1,0)</x:f>
        <x:v>0</x:v>
      </x:c>
      <x:c r="T261" t="n">
        <x:f>IF(AND(MAX(N261,N260)&gt;0,N261&gt;N260+0.00000001),1,0)</x:f>
        <x:v>0</x:v>
      </x:c>
      <x:c r="U261" t="n">
        <x:f>IF(AND(MAX(O261,O260)&gt;0,O261&gt;O260+0.00000001),1,0)</x:f>
        <x:v>0</x:v>
      </x:c>
    </x:row>
    <x:row r="262">
      <x:c r="J262" t="n">
        <x:f>IF(AND(ISNUMBER('Results'!B7),ISNUMBER('Results'!C7),ISNUMBER('Results'!$B$8),ISNUMBER('Inputs'!$B$6),ISNUMBER('Inputs'!$B$7),ISNUMBER('Inputs'!$B$8),ISNUMBER('Inputs'!$B$9),ISNUMBER('Inputs'!$B$10),ISNUMBER('Inputs'!$B$21),ISNUMBER('Inputs'!$B$24),ISNUMBER('Inputs'!$B$28)),(('Results'!B7*(0.5*((((262-43)*MAX('Inputs'!$B$33,'Inputs'!$B$29+'Inputs'!$B$31+'Inputs'!$B$32,'Inputs'!$B$30+'Inputs'!$B$31+'Inputs'!$B$32)/1000+'Inputs'!$B$21)+'Inputs'!$B$7)/SQRT((((262-43)*MAX('Inputs'!$B$33,'Inputs'!$B$29+'Inputs'!$B$31+'Inputs'!$B$32,'Inputs'!$B$30+'Inputs'!$B$31+'Inputs'!$B$32)/1000+'Inputs'!$B$21)+'Inputs'!$B$7)^2+('Inputs'!$B$6/2)^2)-(((262-43)*MAX('Inputs'!$B$33,'Inputs'!$B$29+'Inputs'!$B$31+'Inputs'!$B$32,'Inputs'!$B$30+'Inputs'!$B$31+'Inputs'!$B$32)/1000+'Inputs'!$B$21))/SQRT((((262-43)*MAX('Inputs'!$B$33,'Inputs'!$B$29+'Inputs'!$B$31+'Inputs'!$B$32,'Inputs'!$B$30+'Inputs'!$B$31+'Inputs'!$B$32)/1000+'Inputs'!$B$21))^2+('Inputs'!$B$6/2)^2)))-'Results'!C7*(0.5*((((262-43)*MAX('Inputs'!$B$33,'Inputs'!$B$29+'Inputs'!$B$31+'Inputs'!$B$32,'Inputs'!$B$30+'Inputs'!$B$31+'Inputs'!$B$32)/1000+'Inputs'!$B$21+'Inputs'!$B$7+'Inputs'!$B$10)+'Inputs'!$B$9)/SQRT((((262-43)*MAX('Inputs'!$B$33,'Inputs'!$B$29+'Inputs'!$B$31+'Inputs'!$B$32,'Inputs'!$B$30+'Inputs'!$B$31+'Inputs'!$B$32)/1000+'Inputs'!$B$21+'Inputs'!$B$7+'Inputs'!$B$10)+'Inputs'!$B$9)^2+('Inputs'!$B$8/2)^2)-(((262-43)*MAX('Inputs'!$B$33,'Inputs'!$B$29+'Inputs'!$B$31+'Inputs'!$B$32,'Inputs'!$B$30+'Inputs'!$B$31+'Inputs'!$B$32)/1000+'Inputs'!$B$21+'Inputs'!$B$7+'Inputs'!$B$10))/SQRT((((262-43)*MAX('Inputs'!$B$33,'Inputs'!$B$29+'Inputs'!$B$31+'Inputs'!$B$32,'Inputs'!$B$30+'Inputs'!$B$31+'Inputs'!$B$32)/1000+'Inputs'!$B$21+'Inputs'!$B$7+'Inputs'!$B$10))^2+('Inputs'!$B$8/2)^2))))*'Results'!$B$8),"")</x:f>
        <x:v>56.808606467590806</x:v>
      </x:c>
      <x:c r="K262" t="n">
        <x:f>IF(AND(ISNUMBER('Results'!B7),ISNUMBER('Results'!C7),ISNUMBER('Results'!$B$8),ISNUMBER('Inputs'!$B$6),ISNUMBER('Inputs'!$B$7),ISNUMBER('Inputs'!$B$8),ISNUMBER('Inputs'!$B$9),ISNUMBER('Inputs'!$B$10),ISNUMBER('Inputs'!$B$21),ISNUMBER('Inputs'!$B$24),ISNUMBER('Inputs'!$B$28)),((('Results'!B7*(1-'Inputs'!$B$24)*(0.5*((((262-43)*MAX('Inputs'!$B$33,'Inputs'!$B$29+'Inputs'!$B$31+'Inputs'!$B$32,'Inputs'!$B$30+'Inputs'!$B$31+'Inputs'!$B$32)/1000+'Inputs'!$B$21)+'Inputs'!$B$7)/SQRT((((262-43)*MAX('Inputs'!$B$33,'Inputs'!$B$29+'Inputs'!$B$31+'Inputs'!$B$32,'Inputs'!$B$30+'Inputs'!$B$31+'Inputs'!$B$32)/1000+'Inputs'!$B$21)+'Inputs'!$B$7)^2+('Inputs'!$B$6/2)^2)-(((262-43)*MAX('Inputs'!$B$33,'Inputs'!$B$29+'Inputs'!$B$31+'Inputs'!$B$32,'Inputs'!$B$30+'Inputs'!$B$31+'Inputs'!$B$32)/1000+'Inputs'!$B$21))/SQRT((((262-43)*MAX('Inputs'!$B$33,'Inputs'!$B$29+'Inputs'!$B$31+'Inputs'!$B$32,'Inputs'!$B$30+'Inputs'!$B$31+'Inputs'!$B$32)/1000+'Inputs'!$B$21))^2+('Inputs'!$B$6/2)^2)))-'Results'!C7*(1+'Inputs'!$B$24)*(0.5*((((262-43)*MAX('Inputs'!$B$33,'Inputs'!$B$29+'Inputs'!$B$31+'Inputs'!$B$32,'Inputs'!$B$30+'Inputs'!$B$31+'Inputs'!$B$32)/1000+'Inputs'!$B$21+'Inputs'!$B$7+'Inputs'!$B$10)+'Inputs'!$B$9)/SQRT((((262-43)*MAX('Inputs'!$B$33,'Inputs'!$B$29+'Inputs'!$B$31+'Inputs'!$B$32,'Inputs'!$B$30+'Inputs'!$B$31+'Inputs'!$B$32)/1000+'Inputs'!$B$21+'Inputs'!$B$7+'Inputs'!$B$10)+'Inputs'!$B$9)^2+('Inputs'!$B$8/2)^2)-(((262-43)*MAX('Inputs'!$B$33,'Inputs'!$B$29+'Inputs'!$B$31+'Inputs'!$B$32,'Inputs'!$B$30+'Inputs'!$B$31+'Inputs'!$B$32)/1000+'Inputs'!$B$21+'Inputs'!$B$7+'Inputs'!$B$10))/SQRT((((262-43)*MAX('Inputs'!$B$33,'Inputs'!$B$29+'Inputs'!$B$31+'Inputs'!$B$32,'Inputs'!$B$30+'Inputs'!$B$31+'Inputs'!$B$32)/1000+'Inputs'!$B$21+'Inputs'!$B$7+'Inputs'!$B$10))^2+('Inputs'!$B$8/2)^2))))*'Results'!$B$8)-'Inputs'!$B$28*ABS((('Results'!B7*(1-'Inputs'!$B$24)*(0.5*((((262-43)*MAX('Inputs'!$B$33,'Inputs'!$B$29+'Inputs'!$B$31+'Inputs'!$B$32,'Inputs'!$B$30+'Inputs'!$B$31+'Inputs'!$B$32)/1000+'Inputs'!$B$21)+'Inputs'!$B$7)/SQRT((((262-43)*MAX('Inputs'!$B$33,'Inputs'!$B$29+'Inputs'!$B$31+'Inputs'!$B$32,'Inputs'!$B$30+'Inputs'!$B$31+'Inputs'!$B$32)/1000+'Inputs'!$B$21)+'Inputs'!$B$7)^2+('Inputs'!$B$6/2)^2)-(((262-43)*MAX('Inputs'!$B$33,'Inputs'!$B$29+'Inputs'!$B$31+'Inputs'!$B$32,'Inputs'!$B$30+'Inputs'!$B$31+'Inputs'!$B$32)/1000+'Inputs'!$B$21))/SQRT((((262-43)*MAX('Inputs'!$B$33,'Inputs'!$B$29+'Inputs'!$B$31+'Inputs'!$B$32,'Inputs'!$B$30+'Inputs'!$B$31+'Inputs'!$B$32)/1000+'Inputs'!$B$21))^2+('Inputs'!$B$6/2)^2)))-'Results'!C7*(1+'Inputs'!$B$24)*(0.5*((((262-43)*MAX('Inputs'!$B$33,'Inputs'!$B$29+'Inputs'!$B$31+'Inputs'!$B$32,'Inputs'!$B$30+'Inputs'!$B$31+'Inputs'!$B$32)/1000+'Inputs'!$B$21+'Inputs'!$B$7+'Inputs'!$B$10)+'Inputs'!$B$9)/SQRT((((262-43)*MAX('Inputs'!$B$33,'Inputs'!$B$29+'Inputs'!$B$31+'Inputs'!$B$32,'Inputs'!$B$30+'Inputs'!$B$31+'Inputs'!$B$32)/1000+'Inputs'!$B$21+'Inputs'!$B$7+'Inputs'!$B$10)+'Inputs'!$B$9)^2+('Inputs'!$B$8/2)^2)-(((262-43)*MAX('Inputs'!$B$33,'Inputs'!$B$29+'Inputs'!$B$31+'Inputs'!$B$32,'Inputs'!$B$30+'Inputs'!$B$31+'Inputs'!$B$32)/1000+'Inputs'!$B$21+'Inputs'!$B$7+'Inputs'!$B$10))/SQRT((((262-43)*MAX('Inputs'!$B$33,'Inputs'!$B$29+'Inputs'!$B$31+'Inputs'!$B$32,'Inputs'!$B$30+'Inputs'!$B$31+'Inputs'!$B$32)/1000+'Inputs'!$B$21+'Inputs'!$B$7+'Inputs'!$B$10))^2+('Inputs'!$B$8/2)^2))))*'Results'!$B$8))),"")</x:f>
        <x:v>51.84114534351841</x:v>
      </x:c>
      <x:c r="L262" t="n">
        <x:f>IF(AND(ISNUMBER('Results'!B7),ISNUMBER('Results'!C7),ISNUMBER('Results'!$B$8),ISNUMBER('Inputs'!$B$6),ISNUMBER('Inputs'!$B$7),ISNUMBER('Inputs'!$B$8),ISNUMBER('Inputs'!$B$9),ISNUMBER('Inputs'!$B$10),ISNUMBER('Inputs'!$B$21),ISNUMBER('Inputs'!$B$24),ISNUMBER('Inputs'!$B$28)),((('Results'!B7*(1+'Inputs'!$B$24)*(0.5*((((262-43)*MAX('Inputs'!$B$33,'Inputs'!$B$29+'Inputs'!$B$31+'Inputs'!$B$32,'Inputs'!$B$30+'Inputs'!$B$31+'Inputs'!$B$32)/1000+'Inputs'!$B$21)+'Inputs'!$B$7)/SQRT((((262-43)*MAX('Inputs'!$B$33,'Inputs'!$B$29+'Inputs'!$B$31+'Inputs'!$B$32,'Inputs'!$B$30+'Inputs'!$B$31+'Inputs'!$B$32)/1000+'Inputs'!$B$21)+'Inputs'!$B$7)^2+('Inputs'!$B$6/2)^2)-(((262-43)*MAX('Inputs'!$B$33,'Inputs'!$B$29+'Inputs'!$B$31+'Inputs'!$B$32,'Inputs'!$B$30+'Inputs'!$B$31+'Inputs'!$B$32)/1000+'Inputs'!$B$21))/SQRT((((262-43)*MAX('Inputs'!$B$33,'Inputs'!$B$29+'Inputs'!$B$31+'Inputs'!$B$32,'Inputs'!$B$30+'Inputs'!$B$31+'Inputs'!$B$32)/1000+'Inputs'!$B$21))^2+('Inputs'!$B$6/2)^2)))-'Results'!C7*(1-'Inputs'!$B$24)*(0.5*((((262-43)*MAX('Inputs'!$B$33,'Inputs'!$B$29+'Inputs'!$B$31+'Inputs'!$B$32,'Inputs'!$B$30+'Inputs'!$B$31+'Inputs'!$B$32)/1000+'Inputs'!$B$21+'Inputs'!$B$7+'Inputs'!$B$10)+'Inputs'!$B$9)/SQRT((((262-43)*MAX('Inputs'!$B$33,'Inputs'!$B$29+'Inputs'!$B$31+'Inputs'!$B$32,'Inputs'!$B$30+'Inputs'!$B$31+'Inputs'!$B$32)/1000+'Inputs'!$B$21+'Inputs'!$B$7+'Inputs'!$B$10)+'Inputs'!$B$9)^2+('Inputs'!$B$8/2)^2)-(((262-43)*MAX('Inputs'!$B$33,'Inputs'!$B$29+'Inputs'!$B$31+'Inputs'!$B$32,'Inputs'!$B$30+'Inputs'!$B$31+'Inputs'!$B$32)/1000+'Inputs'!$B$21+'Inputs'!$B$7+'Inputs'!$B$10))/SQRT((((262-43)*MAX('Inputs'!$B$33,'Inputs'!$B$29+'Inputs'!$B$31+'Inputs'!$B$32,'Inputs'!$B$30+'Inputs'!$B$31+'Inputs'!$B$32)/1000+'Inputs'!$B$21+'Inputs'!$B$7+'Inputs'!$B$10))^2+('Inputs'!$B$8/2)^2))))*'Results'!$B$8)+'Inputs'!$B$28*ABS((('Results'!B7*(1+'Inputs'!$B$24)*(0.5*((((262-43)*MAX('Inputs'!$B$33,'Inputs'!$B$29+'Inputs'!$B$31+'Inputs'!$B$32,'Inputs'!$B$30+'Inputs'!$B$31+'Inputs'!$B$32)/1000+'Inputs'!$B$21)+'Inputs'!$B$7)/SQRT((((262-43)*MAX('Inputs'!$B$33,'Inputs'!$B$29+'Inputs'!$B$31+'Inputs'!$B$32,'Inputs'!$B$30+'Inputs'!$B$31+'Inputs'!$B$32)/1000+'Inputs'!$B$21)+'Inputs'!$B$7)^2+('Inputs'!$B$6/2)^2)-(((262-43)*MAX('Inputs'!$B$33,'Inputs'!$B$29+'Inputs'!$B$31+'Inputs'!$B$32,'Inputs'!$B$30+'Inputs'!$B$31+'Inputs'!$B$32)/1000+'Inputs'!$B$21))/SQRT((((262-43)*MAX('Inputs'!$B$33,'Inputs'!$B$29+'Inputs'!$B$31+'Inputs'!$B$32,'Inputs'!$B$30+'Inputs'!$B$31+'Inputs'!$B$32)/1000+'Inputs'!$B$21))^2+('Inputs'!$B$6/2)^2)))-'Results'!C7*(1-'Inputs'!$B$24)*(0.5*((((262-43)*MAX('Inputs'!$B$33,'Inputs'!$B$29+'Inputs'!$B$31+'Inputs'!$B$32,'Inputs'!$B$30+'Inputs'!$B$31+'Inputs'!$B$32)/1000+'Inputs'!$B$21+'Inputs'!$B$7+'Inputs'!$B$10)+'Inputs'!$B$9)/SQRT((((262-43)*MAX('Inputs'!$B$33,'Inputs'!$B$29+'Inputs'!$B$31+'Inputs'!$B$32,'Inputs'!$B$30+'Inputs'!$B$31+'Inputs'!$B$32)/1000+'Inputs'!$B$21+'Inputs'!$B$7+'Inputs'!$B$10)+'Inputs'!$B$9)^2+('Inputs'!$B$8/2)^2)-(((262-43)*MAX('Inputs'!$B$33,'Inputs'!$B$29+'Inputs'!$B$31+'Inputs'!$B$32,'Inputs'!$B$30+'Inputs'!$B$31+'Inputs'!$B$32)/1000+'Inputs'!$B$21+'Inputs'!$B$7+'Inputs'!$B$10))/SQRT((((262-43)*MAX('Inputs'!$B$33,'Inputs'!$B$29+'Inputs'!$B$31+'Inputs'!$B$32,'Inputs'!$B$30+'Inputs'!$B$31+'Inputs'!$B$32)/1000+'Inputs'!$B$21+'Inputs'!$B$7+'Inputs'!$B$10))^2+('Inputs'!$B$8/2)^2))))*'Results'!$B$8))),"")</x:f>
        <x:v>61.99996557068351</x:v>
      </x:c>
      <x:c r="M262" t="n">
        <x:f>IF(AND(ISNUMBER('Results'!C7),ISNUMBER('Results'!B7),ISNUMBER('Results'!$B$8),ISNUMBER('Inputs'!$B$6),ISNUMBER('Inputs'!$B$7),ISNUMBER('Inputs'!$B$8),ISNUMBER('Inputs'!$B$9),ISNUMBER('Inputs'!$B$10),ISNUMBER('Inputs'!$B$21),ISNUMBER('Inputs'!$B$24),ISNUMBER('Inputs'!$B$28)),(('Results'!C7*(0.5*((((262-43)*MAX('Inputs'!$B$33,'Inputs'!$B$29+'Inputs'!$B$31+'Inputs'!$B$32,'Inputs'!$B$30+'Inputs'!$B$31+'Inputs'!$B$32)/1000+'Inputs'!$B$21)+'Inputs'!$B$9)/SQRT((((262-43)*MAX('Inputs'!$B$33,'Inputs'!$B$29+'Inputs'!$B$31+'Inputs'!$B$32,'Inputs'!$B$30+'Inputs'!$B$31+'Inputs'!$B$32)/1000+'Inputs'!$B$21)+'Inputs'!$B$9)^2+('Inputs'!$B$8/2)^2)-(((262-43)*MAX('Inputs'!$B$33,'Inputs'!$B$29+'Inputs'!$B$31+'Inputs'!$B$32,'Inputs'!$B$30+'Inputs'!$B$31+'Inputs'!$B$32)/1000+'Inputs'!$B$21))/SQRT((((262-43)*MAX('Inputs'!$B$33,'Inputs'!$B$29+'Inputs'!$B$31+'Inputs'!$B$32,'Inputs'!$B$30+'Inputs'!$B$31+'Inputs'!$B$32)/1000+'Inputs'!$B$21))^2+('Inputs'!$B$8/2)^2)))-'Results'!B7*(0.5*((((262-43)*MAX('Inputs'!$B$33,'Inputs'!$B$29+'Inputs'!$B$31+'Inputs'!$B$32,'Inputs'!$B$30+'Inputs'!$B$31+'Inputs'!$B$32)/1000+'Inputs'!$B$21+'Inputs'!$B$9+'Inputs'!$B$10)+'Inputs'!$B$7)/SQRT((((262-43)*MAX('Inputs'!$B$33,'Inputs'!$B$29+'Inputs'!$B$31+'Inputs'!$B$32,'Inputs'!$B$30+'Inputs'!$B$31+'Inputs'!$B$32)/1000+'Inputs'!$B$21+'Inputs'!$B$9+'Inputs'!$B$10)+'Inputs'!$B$7)^2+('Inputs'!$B$6/2)^2)-(((262-43)*MAX('Inputs'!$B$33,'Inputs'!$B$29+'Inputs'!$B$31+'Inputs'!$B$32,'Inputs'!$B$30+'Inputs'!$B$31+'Inputs'!$B$32)/1000+'Inputs'!$B$21+'Inputs'!$B$9+'Inputs'!$B$10))/SQRT((((262-43)*MAX('Inputs'!$B$33,'Inputs'!$B$29+'Inputs'!$B$31+'Inputs'!$B$32,'Inputs'!$B$30+'Inputs'!$B$31+'Inputs'!$B$32)/1000+'Inputs'!$B$21+'Inputs'!$B$9+'Inputs'!$B$10))^2+('Inputs'!$B$6/2)^2))))*'Results'!$B$8),"")</x:f>
        <x:v>54.55837353799137</x:v>
      </x:c>
      <x:c r="N262" t="n">
        <x:f>IF(AND(ISNUMBER('Results'!C7),ISNUMBER('Results'!B7),ISNUMBER('Results'!$B$8),ISNUMBER('Inputs'!$B$6),ISNUMBER('Inputs'!$B$7),ISNUMBER('Inputs'!$B$8),ISNUMBER('Inputs'!$B$9),ISNUMBER('Inputs'!$B$10),ISNUMBER('Inputs'!$B$21),ISNUMBER('Inputs'!$B$24),ISNUMBER('Inputs'!$B$28)),((('Results'!C7*(1-'Inputs'!$B$24)*(0.5*((((262-43)*MAX('Inputs'!$B$33,'Inputs'!$B$29+'Inputs'!$B$31+'Inputs'!$B$32,'Inputs'!$B$30+'Inputs'!$B$31+'Inputs'!$B$32)/1000+'Inputs'!$B$21)+'Inputs'!$B$9)/SQRT((((262-43)*MAX('Inputs'!$B$33,'Inputs'!$B$29+'Inputs'!$B$31+'Inputs'!$B$32,'Inputs'!$B$30+'Inputs'!$B$31+'Inputs'!$B$32)/1000+'Inputs'!$B$21)+'Inputs'!$B$9)^2+('Inputs'!$B$8/2)^2)-(((262-43)*MAX('Inputs'!$B$33,'Inputs'!$B$29+'Inputs'!$B$31+'Inputs'!$B$32,'Inputs'!$B$30+'Inputs'!$B$31+'Inputs'!$B$32)/1000+'Inputs'!$B$21))/SQRT((((262-43)*MAX('Inputs'!$B$33,'Inputs'!$B$29+'Inputs'!$B$31+'Inputs'!$B$32,'Inputs'!$B$30+'Inputs'!$B$31+'Inputs'!$B$32)/1000+'Inputs'!$B$21))^2+('Inputs'!$B$8/2)^2)))-'Results'!B7*(1+'Inputs'!$B$24)*(0.5*((((262-43)*MAX('Inputs'!$B$33,'Inputs'!$B$29+'Inputs'!$B$31+'Inputs'!$B$32,'Inputs'!$B$30+'Inputs'!$B$31+'Inputs'!$B$32)/1000+'Inputs'!$B$21+'Inputs'!$B$9+'Inputs'!$B$10)+'Inputs'!$B$7)/SQRT((((262-43)*MAX('Inputs'!$B$33,'Inputs'!$B$29+'Inputs'!$B$31+'Inputs'!$B$32,'Inputs'!$B$30+'Inputs'!$B$31+'Inputs'!$B$32)/1000+'Inputs'!$B$21+'Inputs'!$B$9+'Inputs'!$B$10)+'Inputs'!$B$7)^2+('Inputs'!$B$6/2)^2)-(((262-43)*MAX('Inputs'!$B$33,'Inputs'!$B$29+'Inputs'!$B$31+'Inputs'!$B$32,'Inputs'!$B$30+'Inputs'!$B$31+'Inputs'!$B$32)/1000+'Inputs'!$B$21+'Inputs'!$B$9+'Inputs'!$B$10))/SQRT((((262-43)*MAX('Inputs'!$B$33,'Inputs'!$B$29+'Inputs'!$B$31+'Inputs'!$B$32,'Inputs'!$B$30+'Inputs'!$B$31+'Inputs'!$B$32)/1000+'Inputs'!$B$21+'Inputs'!$B$9+'Inputs'!$B$10))^2+('Inputs'!$B$6/2)^2))))*'Results'!$B$8)-'Inputs'!$B$28*ABS((('Results'!C7*(1-'Inputs'!$B$24)*(0.5*((((262-43)*MAX('Inputs'!$B$33,'Inputs'!$B$29+'Inputs'!$B$31+'Inputs'!$B$32,'Inputs'!$B$30+'Inputs'!$B$31+'Inputs'!$B$32)/1000+'Inputs'!$B$21)+'Inputs'!$B$9)/SQRT((((262-43)*MAX('Inputs'!$B$33,'Inputs'!$B$29+'Inputs'!$B$31+'Inputs'!$B$32,'Inputs'!$B$30+'Inputs'!$B$31+'Inputs'!$B$32)/1000+'Inputs'!$B$21)+'Inputs'!$B$9)^2+('Inputs'!$B$8/2)^2)-(((262-43)*MAX('Inputs'!$B$33,'Inputs'!$B$29+'Inputs'!$B$31+'Inputs'!$B$32,'Inputs'!$B$30+'Inputs'!$B$31+'Inputs'!$B$32)/1000+'Inputs'!$B$21))/SQRT((((262-43)*MAX('Inputs'!$B$33,'Inputs'!$B$29+'Inputs'!$B$31+'Inputs'!$B$32,'Inputs'!$B$30+'Inputs'!$B$31+'Inputs'!$B$32)/1000+'Inputs'!$B$21))^2+('Inputs'!$B$8/2)^2)))-'Results'!B7*(1+'Inputs'!$B$24)*(0.5*((((262-43)*MAX('Inputs'!$B$33,'Inputs'!$B$29+'Inputs'!$B$31+'Inputs'!$B$32,'Inputs'!$B$30+'Inputs'!$B$31+'Inputs'!$B$32)/1000+'Inputs'!$B$21+'Inputs'!$B$9+'Inputs'!$B$10)+'Inputs'!$B$7)/SQRT((((262-43)*MAX('Inputs'!$B$33,'Inputs'!$B$29+'Inputs'!$B$31+'Inputs'!$B$32,'Inputs'!$B$30+'Inputs'!$B$31+'Inputs'!$B$32)/1000+'Inputs'!$B$21+'Inputs'!$B$9+'Inputs'!$B$10)+'Inputs'!$B$7)^2+('Inputs'!$B$6/2)^2)-(((262-43)*MAX('Inputs'!$B$33,'Inputs'!$B$29+'Inputs'!$B$31+'Inputs'!$B$32,'Inputs'!$B$30+'Inputs'!$B$31+'Inputs'!$B$32)/1000+'Inputs'!$B$21+'Inputs'!$B$9+'Inputs'!$B$10))/SQRT((((262-43)*MAX('Inputs'!$B$33,'Inputs'!$B$29+'Inputs'!$B$31+'Inputs'!$B$32,'Inputs'!$B$30+'Inputs'!$B$31+'Inputs'!$B$32)/1000+'Inputs'!$B$21+'Inputs'!$B$9+'Inputs'!$B$10))^2+('Inputs'!$B$6/2)^2))))*'Results'!$B$8))),"")</x:f>
        <x:v>49.72479752120809</x:v>
      </x:c>
      <x:c r="O262" t="n">
        <x:f>IF(AND(ISNUMBER('Results'!C7),ISNUMBER('Results'!B7),ISNUMBER('Results'!$B$8),ISNUMBER('Inputs'!$B$6),ISNUMBER('Inputs'!$B$7),ISNUMBER('Inputs'!$B$8),ISNUMBER('Inputs'!$B$9),ISNUMBER('Inputs'!$B$10),ISNUMBER('Inputs'!$B$21),ISNUMBER('Inputs'!$B$24),ISNUMBER('Inputs'!$B$28)),((('Results'!C7*(1+'Inputs'!$B$24)*(0.5*((((262-43)*MAX('Inputs'!$B$33,'Inputs'!$B$29+'Inputs'!$B$31+'Inputs'!$B$32,'Inputs'!$B$30+'Inputs'!$B$31+'Inputs'!$B$32)/1000+'Inputs'!$B$21)+'Inputs'!$B$9)/SQRT((((262-43)*MAX('Inputs'!$B$33,'Inputs'!$B$29+'Inputs'!$B$31+'Inputs'!$B$32,'Inputs'!$B$30+'Inputs'!$B$31+'Inputs'!$B$32)/1000+'Inputs'!$B$21)+'Inputs'!$B$9)^2+('Inputs'!$B$8/2)^2)-(((262-43)*MAX('Inputs'!$B$33,'Inputs'!$B$29+'Inputs'!$B$31+'Inputs'!$B$32,'Inputs'!$B$30+'Inputs'!$B$31+'Inputs'!$B$32)/1000+'Inputs'!$B$21))/SQRT((((262-43)*MAX('Inputs'!$B$33,'Inputs'!$B$29+'Inputs'!$B$31+'Inputs'!$B$32,'Inputs'!$B$30+'Inputs'!$B$31+'Inputs'!$B$32)/1000+'Inputs'!$B$21))^2+('Inputs'!$B$8/2)^2)))-'Results'!B7*(1-'Inputs'!$B$24)*(0.5*((((262-43)*MAX('Inputs'!$B$33,'Inputs'!$B$29+'Inputs'!$B$31+'Inputs'!$B$32,'Inputs'!$B$30+'Inputs'!$B$31+'Inputs'!$B$32)/1000+'Inputs'!$B$21+'Inputs'!$B$9+'Inputs'!$B$10)+'Inputs'!$B$7)/SQRT((((262-43)*MAX('Inputs'!$B$33,'Inputs'!$B$29+'Inputs'!$B$31+'Inputs'!$B$32,'Inputs'!$B$30+'Inputs'!$B$31+'Inputs'!$B$32)/1000+'Inputs'!$B$21+'Inputs'!$B$9+'Inputs'!$B$10)+'Inputs'!$B$7)^2+('Inputs'!$B$6/2)^2)-(((262-43)*MAX('Inputs'!$B$33,'Inputs'!$B$29+'Inputs'!$B$31+'Inputs'!$B$32,'Inputs'!$B$30+'Inputs'!$B$31+'Inputs'!$B$32)/1000+'Inputs'!$B$21+'Inputs'!$B$9+'Inputs'!$B$10))/SQRT((((262-43)*MAX('Inputs'!$B$33,'Inputs'!$B$29+'Inputs'!$B$31+'Inputs'!$B$32,'Inputs'!$B$30+'Inputs'!$B$31+'Inputs'!$B$32)/1000+'Inputs'!$B$21+'Inputs'!$B$9+'Inputs'!$B$10))^2+('Inputs'!$B$6/2)^2))))*'Results'!$B$8)+'Inputs'!$B$28*ABS((('Results'!C7*(1+'Inputs'!$B$24)*(0.5*((((262-43)*MAX('Inputs'!$B$33,'Inputs'!$B$29+'Inputs'!$B$31+'Inputs'!$B$32,'Inputs'!$B$30+'Inputs'!$B$31+'Inputs'!$B$32)/1000+'Inputs'!$B$21)+'Inputs'!$B$9)/SQRT((((262-43)*MAX('Inputs'!$B$33,'Inputs'!$B$29+'Inputs'!$B$31+'Inputs'!$B$32,'Inputs'!$B$30+'Inputs'!$B$31+'Inputs'!$B$32)/1000+'Inputs'!$B$21)+'Inputs'!$B$9)^2+('Inputs'!$B$8/2)^2)-(((262-43)*MAX('Inputs'!$B$33,'Inputs'!$B$29+'Inputs'!$B$31+'Inputs'!$B$32,'Inputs'!$B$30+'Inputs'!$B$31+'Inputs'!$B$32)/1000+'Inputs'!$B$21))/SQRT((((262-43)*MAX('Inputs'!$B$33,'Inputs'!$B$29+'Inputs'!$B$31+'Inputs'!$B$32,'Inputs'!$B$30+'Inputs'!$B$31+'Inputs'!$B$32)/1000+'Inputs'!$B$21))^2+('Inputs'!$B$8/2)^2)))-'Results'!B7*(1-'Inputs'!$B$24)*(0.5*((((262-43)*MAX('Inputs'!$B$33,'Inputs'!$B$29+'Inputs'!$B$31+'Inputs'!$B$32,'Inputs'!$B$30+'Inputs'!$B$31+'Inputs'!$B$32)/1000+'Inputs'!$B$21+'Inputs'!$B$9+'Inputs'!$B$10)+'Inputs'!$B$7)/SQRT((((262-43)*MAX('Inputs'!$B$33,'Inputs'!$B$29+'Inputs'!$B$31+'Inputs'!$B$32,'Inputs'!$B$30+'Inputs'!$B$31+'Inputs'!$B$32)/1000+'Inputs'!$B$21+'Inputs'!$B$9+'Inputs'!$B$10)+'Inputs'!$B$7)^2+('Inputs'!$B$6/2)^2)-(((262-43)*MAX('Inputs'!$B$33,'Inputs'!$B$29+'Inputs'!$B$31+'Inputs'!$B$32,'Inputs'!$B$30+'Inputs'!$B$31+'Inputs'!$B$32)/1000+'Inputs'!$B$21+'Inputs'!$B$9+'Inputs'!$B$10))/SQRT((((262-43)*MAX('Inputs'!$B$33,'Inputs'!$B$29+'Inputs'!$B$31+'Inputs'!$B$32,'Inputs'!$B$30+'Inputs'!$B$31+'Inputs'!$B$32)/1000+'Inputs'!$B$21+'Inputs'!$B$9+'Inputs'!$B$10))^2+('Inputs'!$B$6/2)^2))))*'Results'!$B$8))),"")</x:f>
        <x:v>59.61359769581503</x:v>
      </x:c>
      <x:c r="P262" t="n">
        <x:f>IF(AND(MAX(J262,J261)&gt;0,J262&gt;J261+0.00000001),1,0)</x:f>
        <x:v>0</x:v>
      </x:c>
      <x:c r="Q262" t="n">
        <x:f>IF(AND(MAX(K262,K261)&gt;0,K262&gt;K261+0.00000001),1,0)</x:f>
        <x:v>0</x:v>
      </x:c>
      <x:c r="R262" t="n">
        <x:f>IF(AND(MAX(L262,L261)&gt;0,L262&gt;L261+0.00000001),1,0)</x:f>
        <x:v>0</x:v>
      </x:c>
      <x:c r="S262" t="n">
        <x:f>IF(AND(MAX(M262,M261)&gt;0,M262&gt;M261+0.00000001),1,0)</x:f>
        <x:v>0</x:v>
      </x:c>
      <x:c r="T262" t="n">
        <x:f>IF(AND(MAX(N262,N261)&gt;0,N262&gt;N261+0.00000001),1,0)</x:f>
        <x:v>0</x:v>
      </x:c>
      <x:c r="U262" t="n">
        <x:f>IF(AND(MAX(O262,O261)&gt;0,O262&gt;O261+0.00000001),1,0)</x:f>
        <x:v>0</x:v>
      </x:c>
    </x:row>
    <x:row r="263">
      <x:c r="J263" t="n">
        <x:f>IF(AND(ISNUMBER('Results'!B7),ISNUMBER('Results'!C7),ISNUMBER('Results'!$B$8),ISNUMBER('Inputs'!$B$6),ISNUMBER('Inputs'!$B$7),ISNUMBER('Inputs'!$B$8),ISNUMBER('Inputs'!$B$9),ISNUMBER('Inputs'!$B$10),ISNUMBER('Inputs'!$B$21),ISNUMBER('Inputs'!$B$24),ISNUMBER('Inputs'!$B$28)),(('Results'!B7*(0.5*((((263-43)*MAX('Inputs'!$B$33,'Inputs'!$B$29+'Inputs'!$B$31+'Inputs'!$B$32,'Inputs'!$B$30+'Inputs'!$B$31+'Inputs'!$B$32)/1000+'Inputs'!$B$21)+'Inputs'!$B$7)/SQRT((((263-43)*MAX('Inputs'!$B$33,'Inputs'!$B$29+'Inputs'!$B$31+'Inputs'!$B$32,'Inputs'!$B$30+'Inputs'!$B$31+'Inputs'!$B$32)/1000+'Inputs'!$B$21)+'Inputs'!$B$7)^2+('Inputs'!$B$6/2)^2)-(((263-43)*MAX('Inputs'!$B$33,'Inputs'!$B$29+'Inputs'!$B$31+'Inputs'!$B$32,'Inputs'!$B$30+'Inputs'!$B$31+'Inputs'!$B$32)/1000+'Inputs'!$B$21))/SQRT((((263-43)*MAX('Inputs'!$B$33,'Inputs'!$B$29+'Inputs'!$B$31+'Inputs'!$B$32,'Inputs'!$B$30+'Inputs'!$B$31+'Inputs'!$B$32)/1000+'Inputs'!$B$21))^2+('Inputs'!$B$6/2)^2)))-'Results'!C7*(0.5*((((263-43)*MAX('Inputs'!$B$33,'Inputs'!$B$29+'Inputs'!$B$31+'Inputs'!$B$32,'Inputs'!$B$30+'Inputs'!$B$31+'Inputs'!$B$32)/1000+'Inputs'!$B$21+'Inputs'!$B$7+'Inputs'!$B$10)+'Inputs'!$B$9)/SQRT((((263-43)*MAX('Inputs'!$B$33,'Inputs'!$B$29+'Inputs'!$B$31+'Inputs'!$B$32,'Inputs'!$B$30+'Inputs'!$B$31+'Inputs'!$B$32)/1000+'Inputs'!$B$21+'Inputs'!$B$7+'Inputs'!$B$10)+'Inputs'!$B$9)^2+('Inputs'!$B$8/2)^2)-(((263-43)*MAX('Inputs'!$B$33,'Inputs'!$B$29+'Inputs'!$B$31+'Inputs'!$B$32,'Inputs'!$B$30+'Inputs'!$B$31+'Inputs'!$B$32)/1000+'Inputs'!$B$21+'Inputs'!$B$7+'Inputs'!$B$10))/SQRT((((263-43)*MAX('Inputs'!$B$33,'Inputs'!$B$29+'Inputs'!$B$31+'Inputs'!$B$32,'Inputs'!$B$30+'Inputs'!$B$31+'Inputs'!$B$32)/1000+'Inputs'!$B$21+'Inputs'!$B$7+'Inputs'!$B$10))^2+('Inputs'!$B$8/2)^2))))*'Results'!$B$8),"")</x:f>
        <x:v>56.07759300272936</x:v>
      </x:c>
      <x:c r="K263" t="n">
        <x:f>IF(AND(ISNUMBER('Results'!B7),ISNUMBER('Results'!C7),ISNUMBER('Results'!$B$8),ISNUMBER('Inputs'!$B$6),ISNUMBER('Inputs'!$B$7),ISNUMBER('Inputs'!$B$8),ISNUMBER('Inputs'!$B$9),ISNUMBER('Inputs'!$B$10),ISNUMBER('Inputs'!$B$21),ISNUMBER('Inputs'!$B$24),ISNUMBER('Inputs'!$B$28)),((('Results'!B7*(1-'Inputs'!$B$24)*(0.5*((((263-43)*MAX('Inputs'!$B$33,'Inputs'!$B$29+'Inputs'!$B$31+'Inputs'!$B$32,'Inputs'!$B$30+'Inputs'!$B$31+'Inputs'!$B$32)/1000+'Inputs'!$B$21)+'Inputs'!$B$7)/SQRT((((263-43)*MAX('Inputs'!$B$33,'Inputs'!$B$29+'Inputs'!$B$31+'Inputs'!$B$32,'Inputs'!$B$30+'Inputs'!$B$31+'Inputs'!$B$32)/1000+'Inputs'!$B$21)+'Inputs'!$B$7)^2+('Inputs'!$B$6/2)^2)-(((263-43)*MAX('Inputs'!$B$33,'Inputs'!$B$29+'Inputs'!$B$31+'Inputs'!$B$32,'Inputs'!$B$30+'Inputs'!$B$31+'Inputs'!$B$32)/1000+'Inputs'!$B$21))/SQRT((((263-43)*MAX('Inputs'!$B$33,'Inputs'!$B$29+'Inputs'!$B$31+'Inputs'!$B$32,'Inputs'!$B$30+'Inputs'!$B$31+'Inputs'!$B$32)/1000+'Inputs'!$B$21))^2+('Inputs'!$B$6/2)^2)))-'Results'!C7*(1+'Inputs'!$B$24)*(0.5*((((263-43)*MAX('Inputs'!$B$33,'Inputs'!$B$29+'Inputs'!$B$31+'Inputs'!$B$32,'Inputs'!$B$30+'Inputs'!$B$31+'Inputs'!$B$32)/1000+'Inputs'!$B$21+'Inputs'!$B$7+'Inputs'!$B$10)+'Inputs'!$B$9)/SQRT((((263-43)*MAX('Inputs'!$B$33,'Inputs'!$B$29+'Inputs'!$B$31+'Inputs'!$B$32,'Inputs'!$B$30+'Inputs'!$B$31+'Inputs'!$B$32)/1000+'Inputs'!$B$21+'Inputs'!$B$7+'Inputs'!$B$10)+'Inputs'!$B$9)^2+('Inputs'!$B$8/2)^2)-(((263-43)*MAX('Inputs'!$B$33,'Inputs'!$B$29+'Inputs'!$B$31+'Inputs'!$B$32,'Inputs'!$B$30+'Inputs'!$B$31+'Inputs'!$B$32)/1000+'Inputs'!$B$21+'Inputs'!$B$7+'Inputs'!$B$10))/SQRT((((263-43)*MAX('Inputs'!$B$33,'Inputs'!$B$29+'Inputs'!$B$31+'Inputs'!$B$32,'Inputs'!$B$30+'Inputs'!$B$31+'Inputs'!$B$32)/1000+'Inputs'!$B$21+'Inputs'!$B$7+'Inputs'!$B$10))^2+('Inputs'!$B$8/2)^2))))*'Results'!$B$8)-'Inputs'!$B$28*ABS((('Results'!B7*(1-'Inputs'!$B$24)*(0.5*((((263-43)*MAX('Inputs'!$B$33,'Inputs'!$B$29+'Inputs'!$B$31+'Inputs'!$B$32,'Inputs'!$B$30+'Inputs'!$B$31+'Inputs'!$B$32)/1000+'Inputs'!$B$21)+'Inputs'!$B$7)/SQRT((((263-43)*MAX('Inputs'!$B$33,'Inputs'!$B$29+'Inputs'!$B$31+'Inputs'!$B$32,'Inputs'!$B$30+'Inputs'!$B$31+'Inputs'!$B$32)/1000+'Inputs'!$B$21)+'Inputs'!$B$7)^2+('Inputs'!$B$6/2)^2)-(((263-43)*MAX('Inputs'!$B$33,'Inputs'!$B$29+'Inputs'!$B$31+'Inputs'!$B$32,'Inputs'!$B$30+'Inputs'!$B$31+'Inputs'!$B$32)/1000+'Inputs'!$B$21))/SQRT((((263-43)*MAX('Inputs'!$B$33,'Inputs'!$B$29+'Inputs'!$B$31+'Inputs'!$B$32,'Inputs'!$B$30+'Inputs'!$B$31+'Inputs'!$B$32)/1000+'Inputs'!$B$21))^2+('Inputs'!$B$6/2)^2)))-'Results'!C7*(1+'Inputs'!$B$24)*(0.5*((((263-43)*MAX('Inputs'!$B$33,'Inputs'!$B$29+'Inputs'!$B$31+'Inputs'!$B$32,'Inputs'!$B$30+'Inputs'!$B$31+'Inputs'!$B$32)/1000+'Inputs'!$B$21+'Inputs'!$B$7+'Inputs'!$B$10)+'Inputs'!$B$9)/SQRT((((263-43)*MAX('Inputs'!$B$33,'Inputs'!$B$29+'Inputs'!$B$31+'Inputs'!$B$32,'Inputs'!$B$30+'Inputs'!$B$31+'Inputs'!$B$32)/1000+'Inputs'!$B$21+'Inputs'!$B$7+'Inputs'!$B$10)+'Inputs'!$B$9)^2+('Inputs'!$B$8/2)^2)-(((263-43)*MAX('Inputs'!$B$33,'Inputs'!$B$29+'Inputs'!$B$31+'Inputs'!$B$32,'Inputs'!$B$30+'Inputs'!$B$31+'Inputs'!$B$32)/1000+'Inputs'!$B$21+'Inputs'!$B$7+'Inputs'!$B$10))/SQRT((((263-43)*MAX('Inputs'!$B$33,'Inputs'!$B$29+'Inputs'!$B$31+'Inputs'!$B$32,'Inputs'!$B$30+'Inputs'!$B$31+'Inputs'!$B$32)/1000+'Inputs'!$B$21+'Inputs'!$B$7+'Inputs'!$B$10))^2+('Inputs'!$B$8/2)^2))))*'Results'!$B$8))),"")</x:f>
        <x:v>51.16902015913102</x:v>
      </x:c>
      <x:c r="L263" t="n">
        <x:f>IF(AND(ISNUMBER('Results'!B7),ISNUMBER('Results'!C7),ISNUMBER('Results'!$B$8),ISNUMBER('Inputs'!$B$6),ISNUMBER('Inputs'!$B$7),ISNUMBER('Inputs'!$B$8),ISNUMBER('Inputs'!$B$9),ISNUMBER('Inputs'!$B$10),ISNUMBER('Inputs'!$B$21),ISNUMBER('Inputs'!$B$24),ISNUMBER('Inputs'!$B$28)),((('Results'!B7*(1+'Inputs'!$B$24)*(0.5*((((263-43)*MAX('Inputs'!$B$33,'Inputs'!$B$29+'Inputs'!$B$31+'Inputs'!$B$32,'Inputs'!$B$30+'Inputs'!$B$31+'Inputs'!$B$32)/1000+'Inputs'!$B$21)+'Inputs'!$B$7)/SQRT((((263-43)*MAX('Inputs'!$B$33,'Inputs'!$B$29+'Inputs'!$B$31+'Inputs'!$B$32,'Inputs'!$B$30+'Inputs'!$B$31+'Inputs'!$B$32)/1000+'Inputs'!$B$21)+'Inputs'!$B$7)^2+('Inputs'!$B$6/2)^2)-(((263-43)*MAX('Inputs'!$B$33,'Inputs'!$B$29+'Inputs'!$B$31+'Inputs'!$B$32,'Inputs'!$B$30+'Inputs'!$B$31+'Inputs'!$B$32)/1000+'Inputs'!$B$21))/SQRT((((263-43)*MAX('Inputs'!$B$33,'Inputs'!$B$29+'Inputs'!$B$31+'Inputs'!$B$32,'Inputs'!$B$30+'Inputs'!$B$31+'Inputs'!$B$32)/1000+'Inputs'!$B$21))^2+('Inputs'!$B$6/2)^2)))-'Results'!C7*(1-'Inputs'!$B$24)*(0.5*((((263-43)*MAX('Inputs'!$B$33,'Inputs'!$B$29+'Inputs'!$B$31+'Inputs'!$B$32,'Inputs'!$B$30+'Inputs'!$B$31+'Inputs'!$B$32)/1000+'Inputs'!$B$21+'Inputs'!$B$7+'Inputs'!$B$10)+'Inputs'!$B$9)/SQRT((((263-43)*MAX('Inputs'!$B$33,'Inputs'!$B$29+'Inputs'!$B$31+'Inputs'!$B$32,'Inputs'!$B$30+'Inputs'!$B$31+'Inputs'!$B$32)/1000+'Inputs'!$B$21+'Inputs'!$B$7+'Inputs'!$B$10)+'Inputs'!$B$9)^2+('Inputs'!$B$8/2)^2)-(((263-43)*MAX('Inputs'!$B$33,'Inputs'!$B$29+'Inputs'!$B$31+'Inputs'!$B$32,'Inputs'!$B$30+'Inputs'!$B$31+'Inputs'!$B$32)/1000+'Inputs'!$B$21+'Inputs'!$B$7+'Inputs'!$B$10))/SQRT((((263-43)*MAX('Inputs'!$B$33,'Inputs'!$B$29+'Inputs'!$B$31+'Inputs'!$B$32,'Inputs'!$B$30+'Inputs'!$B$31+'Inputs'!$B$32)/1000+'Inputs'!$B$21+'Inputs'!$B$7+'Inputs'!$B$10))^2+('Inputs'!$B$8/2)^2))))*'Results'!$B$8)+'Inputs'!$B$28*ABS((('Results'!B7*(1+'Inputs'!$B$24)*(0.5*((((263-43)*MAX('Inputs'!$B$33,'Inputs'!$B$29+'Inputs'!$B$31+'Inputs'!$B$32,'Inputs'!$B$30+'Inputs'!$B$31+'Inputs'!$B$32)/1000+'Inputs'!$B$21)+'Inputs'!$B$7)/SQRT((((263-43)*MAX('Inputs'!$B$33,'Inputs'!$B$29+'Inputs'!$B$31+'Inputs'!$B$32,'Inputs'!$B$30+'Inputs'!$B$31+'Inputs'!$B$32)/1000+'Inputs'!$B$21)+'Inputs'!$B$7)^2+('Inputs'!$B$6/2)^2)-(((263-43)*MAX('Inputs'!$B$33,'Inputs'!$B$29+'Inputs'!$B$31+'Inputs'!$B$32,'Inputs'!$B$30+'Inputs'!$B$31+'Inputs'!$B$32)/1000+'Inputs'!$B$21))/SQRT((((263-43)*MAX('Inputs'!$B$33,'Inputs'!$B$29+'Inputs'!$B$31+'Inputs'!$B$32,'Inputs'!$B$30+'Inputs'!$B$31+'Inputs'!$B$32)/1000+'Inputs'!$B$21))^2+('Inputs'!$B$6/2)^2)))-'Results'!C7*(1-'Inputs'!$B$24)*(0.5*((((263-43)*MAX('Inputs'!$B$33,'Inputs'!$B$29+'Inputs'!$B$31+'Inputs'!$B$32,'Inputs'!$B$30+'Inputs'!$B$31+'Inputs'!$B$32)/1000+'Inputs'!$B$21+'Inputs'!$B$7+'Inputs'!$B$10)+'Inputs'!$B$9)/SQRT((((263-43)*MAX('Inputs'!$B$33,'Inputs'!$B$29+'Inputs'!$B$31+'Inputs'!$B$32,'Inputs'!$B$30+'Inputs'!$B$31+'Inputs'!$B$32)/1000+'Inputs'!$B$21+'Inputs'!$B$7+'Inputs'!$B$10)+'Inputs'!$B$9)^2+('Inputs'!$B$8/2)^2)-(((263-43)*MAX('Inputs'!$B$33,'Inputs'!$B$29+'Inputs'!$B$31+'Inputs'!$B$32,'Inputs'!$B$30+'Inputs'!$B$31+'Inputs'!$B$32)/1000+'Inputs'!$B$21+'Inputs'!$B$7+'Inputs'!$B$10))/SQRT((((263-43)*MAX('Inputs'!$B$33,'Inputs'!$B$29+'Inputs'!$B$31+'Inputs'!$B$32,'Inputs'!$B$30+'Inputs'!$B$31+'Inputs'!$B$32)/1000+'Inputs'!$B$21+'Inputs'!$B$7+'Inputs'!$B$10))^2+('Inputs'!$B$8/2)^2))))*'Results'!$B$8))),"")</x:f>
        <x:v>61.20771249827103</x:v>
      </x:c>
      <x:c r="M263" t="n">
        <x:f>IF(AND(ISNUMBER('Results'!C7),ISNUMBER('Results'!B7),ISNUMBER('Results'!$B$8),ISNUMBER('Inputs'!$B$6),ISNUMBER('Inputs'!$B$7),ISNUMBER('Inputs'!$B$8),ISNUMBER('Inputs'!$B$9),ISNUMBER('Inputs'!$B$10),ISNUMBER('Inputs'!$B$21),ISNUMBER('Inputs'!$B$24),ISNUMBER('Inputs'!$B$28)),(('Results'!C7*(0.5*((((263-43)*MAX('Inputs'!$B$33,'Inputs'!$B$29+'Inputs'!$B$31+'Inputs'!$B$32,'Inputs'!$B$30+'Inputs'!$B$31+'Inputs'!$B$32)/1000+'Inputs'!$B$21)+'Inputs'!$B$9)/SQRT((((263-43)*MAX('Inputs'!$B$33,'Inputs'!$B$29+'Inputs'!$B$31+'Inputs'!$B$32,'Inputs'!$B$30+'Inputs'!$B$31+'Inputs'!$B$32)/1000+'Inputs'!$B$21)+'Inputs'!$B$9)^2+('Inputs'!$B$8/2)^2)-(((263-43)*MAX('Inputs'!$B$33,'Inputs'!$B$29+'Inputs'!$B$31+'Inputs'!$B$32,'Inputs'!$B$30+'Inputs'!$B$31+'Inputs'!$B$32)/1000+'Inputs'!$B$21))/SQRT((((263-43)*MAX('Inputs'!$B$33,'Inputs'!$B$29+'Inputs'!$B$31+'Inputs'!$B$32,'Inputs'!$B$30+'Inputs'!$B$31+'Inputs'!$B$32)/1000+'Inputs'!$B$21))^2+('Inputs'!$B$8/2)^2)))-'Results'!B7*(0.5*((((263-43)*MAX('Inputs'!$B$33,'Inputs'!$B$29+'Inputs'!$B$31+'Inputs'!$B$32,'Inputs'!$B$30+'Inputs'!$B$31+'Inputs'!$B$32)/1000+'Inputs'!$B$21+'Inputs'!$B$9+'Inputs'!$B$10)+'Inputs'!$B$7)/SQRT((((263-43)*MAX('Inputs'!$B$33,'Inputs'!$B$29+'Inputs'!$B$31+'Inputs'!$B$32,'Inputs'!$B$30+'Inputs'!$B$31+'Inputs'!$B$32)/1000+'Inputs'!$B$21+'Inputs'!$B$9+'Inputs'!$B$10)+'Inputs'!$B$7)^2+('Inputs'!$B$6/2)^2)-(((263-43)*MAX('Inputs'!$B$33,'Inputs'!$B$29+'Inputs'!$B$31+'Inputs'!$B$32,'Inputs'!$B$30+'Inputs'!$B$31+'Inputs'!$B$32)/1000+'Inputs'!$B$21+'Inputs'!$B$9+'Inputs'!$B$10))/SQRT((((263-43)*MAX('Inputs'!$B$33,'Inputs'!$B$29+'Inputs'!$B$31+'Inputs'!$B$32,'Inputs'!$B$30+'Inputs'!$B$31+'Inputs'!$B$32)/1000+'Inputs'!$B$21+'Inputs'!$B$9+'Inputs'!$B$10))^2+('Inputs'!$B$6/2)^2))))*'Results'!$B$8),"")</x:f>
        <x:v>53.85096408881236</x:v>
      </x:c>
      <x:c r="N263" t="n">
        <x:f>IF(AND(ISNUMBER('Results'!C7),ISNUMBER('Results'!B7),ISNUMBER('Results'!$B$8),ISNUMBER('Inputs'!$B$6),ISNUMBER('Inputs'!$B$7),ISNUMBER('Inputs'!$B$8),ISNUMBER('Inputs'!$B$9),ISNUMBER('Inputs'!$B$10),ISNUMBER('Inputs'!$B$21),ISNUMBER('Inputs'!$B$24),ISNUMBER('Inputs'!$B$28)),((('Results'!C7*(1-'Inputs'!$B$24)*(0.5*((((263-43)*MAX('Inputs'!$B$33,'Inputs'!$B$29+'Inputs'!$B$31+'Inputs'!$B$32,'Inputs'!$B$30+'Inputs'!$B$31+'Inputs'!$B$32)/1000+'Inputs'!$B$21)+'Inputs'!$B$9)/SQRT((((263-43)*MAX('Inputs'!$B$33,'Inputs'!$B$29+'Inputs'!$B$31+'Inputs'!$B$32,'Inputs'!$B$30+'Inputs'!$B$31+'Inputs'!$B$32)/1000+'Inputs'!$B$21)+'Inputs'!$B$9)^2+('Inputs'!$B$8/2)^2)-(((263-43)*MAX('Inputs'!$B$33,'Inputs'!$B$29+'Inputs'!$B$31+'Inputs'!$B$32,'Inputs'!$B$30+'Inputs'!$B$31+'Inputs'!$B$32)/1000+'Inputs'!$B$21))/SQRT((((263-43)*MAX('Inputs'!$B$33,'Inputs'!$B$29+'Inputs'!$B$31+'Inputs'!$B$32,'Inputs'!$B$30+'Inputs'!$B$31+'Inputs'!$B$32)/1000+'Inputs'!$B$21))^2+('Inputs'!$B$8/2)^2)))-'Results'!B7*(1+'Inputs'!$B$24)*(0.5*((((263-43)*MAX('Inputs'!$B$33,'Inputs'!$B$29+'Inputs'!$B$31+'Inputs'!$B$32,'Inputs'!$B$30+'Inputs'!$B$31+'Inputs'!$B$32)/1000+'Inputs'!$B$21+'Inputs'!$B$9+'Inputs'!$B$10)+'Inputs'!$B$7)/SQRT((((263-43)*MAX('Inputs'!$B$33,'Inputs'!$B$29+'Inputs'!$B$31+'Inputs'!$B$32,'Inputs'!$B$30+'Inputs'!$B$31+'Inputs'!$B$32)/1000+'Inputs'!$B$21+'Inputs'!$B$9+'Inputs'!$B$10)+'Inputs'!$B$7)^2+('Inputs'!$B$6/2)^2)-(((263-43)*MAX('Inputs'!$B$33,'Inputs'!$B$29+'Inputs'!$B$31+'Inputs'!$B$32,'Inputs'!$B$30+'Inputs'!$B$31+'Inputs'!$B$32)/1000+'Inputs'!$B$21+'Inputs'!$B$9+'Inputs'!$B$10))/SQRT((((263-43)*MAX('Inputs'!$B$33,'Inputs'!$B$29+'Inputs'!$B$31+'Inputs'!$B$32,'Inputs'!$B$30+'Inputs'!$B$31+'Inputs'!$B$32)/1000+'Inputs'!$B$21+'Inputs'!$B$9+'Inputs'!$B$10))^2+('Inputs'!$B$6/2)^2))))*'Results'!$B$8)-'Inputs'!$B$28*ABS((('Results'!C7*(1-'Inputs'!$B$24)*(0.5*((((263-43)*MAX('Inputs'!$B$33,'Inputs'!$B$29+'Inputs'!$B$31+'Inputs'!$B$32,'Inputs'!$B$30+'Inputs'!$B$31+'Inputs'!$B$32)/1000+'Inputs'!$B$21)+'Inputs'!$B$9)/SQRT((((263-43)*MAX('Inputs'!$B$33,'Inputs'!$B$29+'Inputs'!$B$31+'Inputs'!$B$32,'Inputs'!$B$30+'Inputs'!$B$31+'Inputs'!$B$32)/1000+'Inputs'!$B$21)+'Inputs'!$B$9)^2+('Inputs'!$B$8/2)^2)-(((263-43)*MAX('Inputs'!$B$33,'Inputs'!$B$29+'Inputs'!$B$31+'Inputs'!$B$32,'Inputs'!$B$30+'Inputs'!$B$31+'Inputs'!$B$32)/1000+'Inputs'!$B$21))/SQRT((((263-43)*MAX('Inputs'!$B$33,'Inputs'!$B$29+'Inputs'!$B$31+'Inputs'!$B$32,'Inputs'!$B$30+'Inputs'!$B$31+'Inputs'!$B$32)/1000+'Inputs'!$B$21))^2+('Inputs'!$B$8/2)^2)))-'Results'!B7*(1+'Inputs'!$B$24)*(0.5*((((263-43)*MAX('Inputs'!$B$33,'Inputs'!$B$29+'Inputs'!$B$31+'Inputs'!$B$32,'Inputs'!$B$30+'Inputs'!$B$31+'Inputs'!$B$32)/1000+'Inputs'!$B$21+'Inputs'!$B$9+'Inputs'!$B$10)+'Inputs'!$B$7)/SQRT((((263-43)*MAX('Inputs'!$B$33,'Inputs'!$B$29+'Inputs'!$B$31+'Inputs'!$B$32,'Inputs'!$B$30+'Inputs'!$B$31+'Inputs'!$B$32)/1000+'Inputs'!$B$21+'Inputs'!$B$9+'Inputs'!$B$10)+'Inputs'!$B$7)^2+('Inputs'!$B$6/2)^2)-(((263-43)*MAX('Inputs'!$B$33,'Inputs'!$B$29+'Inputs'!$B$31+'Inputs'!$B$32,'Inputs'!$B$30+'Inputs'!$B$31+'Inputs'!$B$32)/1000+'Inputs'!$B$21+'Inputs'!$B$9+'Inputs'!$B$10))/SQRT((((263-43)*MAX('Inputs'!$B$33,'Inputs'!$B$29+'Inputs'!$B$31+'Inputs'!$B$32,'Inputs'!$B$30+'Inputs'!$B$31+'Inputs'!$B$32)/1000+'Inputs'!$B$21+'Inputs'!$B$9+'Inputs'!$B$10))^2+('Inputs'!$B$6/2)^2))))*'Results'!$B$8))),"")</x:f>
        <x:v>49.074820090755736</x:v>
      </x:c>
      <x:c r="O263" t="n">
        <x:f>IF(AND(ISNUMBER('Results'!C7),ISNUMBER('Results'!B7),ISNUMBER('Results'!$B$8),ISNUMBER('Inputs'!$B$6),ISNUMBER('Inputs'!$B$7),ISNUMBER('Inputs'!$B$8),ISNUMBER('Inputs'!$B$9),ISNUMBER('Inputs'!$B$10),ISNUMBER('Inputs'!$B$21),ISNUMBER('Inputs'!$B$24),ISNUMBER('Inputs'!$B$28)),((('Results'!C7*(1+'Inputs'!$B$24)*(0.5*((((263-43)*MAX('Inputs'!$B$33,'Inputs'!$B$29+'Inputs'!$B$31+'Inputs'!$B$32,'Inputs'!$B$30+'Inputs'!$B$31+'Inputs'!$B$32)/1000+'Inputs'!$B$21)+'Inputs'!$B$9)/SQRT((((263-43)*MAX('Inputs'!$B$33,'Inputs'!$B$29+'Inputs'!$B$31+'Inputs'!$B$32,'Inputs'!$B$30+'Inputs'!$B$31+'Inputs'!$B$32)/1000+'Inputs'!$B$21)+'Inputs'!$B$9)^2+('Inputs'!$B$8/2)^2)-(((263-43)*MAX('Inputs'!$B$33,'Inputs'!$B$29+'Inputs'!$B$31+'Inputs'!$B$32,'Inputs'!$B$30+'Inputs'!$B$31+'Inputs'!$B$32)/1000+'Inputs'!$B$21))/SQRT((((263-43)*MAX('Inputs'!$B$33,'Inputs'!$B$29+'Inputs'!$B$31+'Inputs'!$B$32,'Inputs'!$B$30+'Inputs'!$B$31+'Inputs'!$B$32)/1000+'Inputs'!$B$21))^2+('Inputs'!$B$8/2)^2)))-'Results'!B7*(1-'Inputs'!$B$24)*(0.5*((((263-43)*MAX('Inputs'!$B$33,'Inputs'!$B$29+'Inputs'!$B$31+'Inputs'!$B$32,'Inputs'!$B$30+'Inputs'!$B$31+'Inputs'!$B$32)/1000+'Inputs'!$B$21+'Inputs'!$B$9+'Inputs'!$B$10)+'Inputs'!$B$7)/SQRT((((263-43)*MAX('Inputs'!$B$33,'Inputs'!$B$29+'Inputs'!$B$31+'Inputs'!$B$32,'Inputs'!$B$30+'Inputs'!$B$31+'Inputs'!$B$32)/1000+'Inputs'!$B$21+'Inputs'!$B$9+'Inputs'!$B$10)+'Inputs'!$B$7)^2+('Inputs'!$B$6/2)^2)-(((263-43)*MAX('Inputs'!$B$33,'Inputs'!$B$29+'Inputs'!$B$31+'Inputs'!$B$32,'Inputs'!$B$30+'Inputs'!$B$31+'Inputs'!$B$32)/1000+'Inputs'!$B$21+'Inputs'!$B$9+'Inputs'!$B$10))/SQRT((((263-43)*MAX('Inputs'!$B$33,'Inputs'!$B$29+'Inputs'!$B$31+'Inputs'!$B$32,'Inputs'!$B$30+'Inputs'!$B$31+'Inputs'!$B$32)/1000+'Inputs'!$B$21+'Inputs'!$B$9+'Inputs'!$B$10))^2+('Inputs'!$B$6/2)^2))))*'Results'!$B$8)+'Inputs'!$B$28*ABS((('Results'!C7*(1+'Inputs'!$B$24)*(0.5*((((263-43)*MAX('Inputs'!$B$33,'Inputs'!$B$29+'Inputs'!$B$31+'Inputs'!$B$32,'Inputs'!$B$30+'Inputs'!$B$31+'Inputs'!$B$32)/1000+'Inputs'!$B$21)+'Inputs'!$B$9)/SQRT((((263-43)*MAX('Inputs'!$B$33,'Inputs'!$B$29+'Inputs'!$B$31+'Inputs'!$B$32,'Inputs'!$B$30+'Inputs'!$B$31+'Inputs'!$B$32)/1000+'Inputs'!$B$21)+'Inputs'!$B$9)^2+('Inputs'!$B$8/2)^2)-(((263-43)*MAX('Inputs'!$B$33,'Inputs'!$B$29+'Inputs'!$B$31+'Inputs'!$B$32,'Inputs'!$B$30+'Inputs'!$B$31+'Inputs'!$B$32)/1000+'Inputs'!$B$21))/SQRT((((263-43)*MAX('Inputs'!$B$33,'Inputs'!$B$29+'Inputs'!$B$31+'Inputs'!$B$32,'Inputs'!$B$30+'Inputs'!$B$31+'Inputs'!$B$32)/1000+'Inputs'!$B$21))^2+('Inputs'!$B$8/2)^2)))-'Results'!B7*(1-'Inputs'!$B$24)*(0.5*((((263-43)*MAX('Inputs'!$B$33,'Inputs'!$B$29+'Inputs'!$B$31+'Inputs'!$B$32,'Inputs'!$B$30+'Inputs'!$B$31+'Inputs'!$B$32)/1000+'Inputs'!$B$21+'Inputs'!$B$9+'Inputs'!$B$10)+'Inputs'!$B$7)/SQRT((((263-43)*MAX('Inputs'!$B$33,'Inputs'!$B$29+'Inputs'!$B$31+'Inputs'!$B$32,'Inputs'!$B$30+'Inputs'!$B$31+'Inputs'!$B$32)/1000+'Inputs'!$B$21+'Inputs'!$B$9+'Inputs'!$B$10)+'Inputs'!$B$7)^2+('Inputs'!$B$6/2)^2)-(((263-43)*MAX('Inputs'!$B$33,'Inputs'!$B$29+'Inputs'!$B$31+'Inputs'!$B$32,'Inputs'!$B$30+'Inputs'!$B$31+'Inputs'!$B$32)/1000+'Inputs'!$B$21+'Inputs'!$B$9+'Inputs'!$B$10))/SQRT((((263-43)*MAX('Inputs'!$B$33,'Inputs'!$B$29+'Inputs'!$B$31+'Inputs'!$B$32,'Inputs'!$B$30+'Inputs'!$B$31+'Inputs'!$B$32)/1000+'Inputs'!$B$21+'Inputs'!$B$9+'Inputs'!$B$10))^2+('Inputs'!$B$6/2)^2))))*'Results'!$B$8))),"")</x:f>
        <x:v>58.8464339598812</x:v>
      </x:c>
      <x:c r="P263" t="n">
        <x:f>IF(AND(MAX(J263,J262)&gt;0,J263&gt;J262+0.00000001),1,0)</x:f>
        <x:v>0</x:v>
      </x:c>
      <x:c r="Q263" t="n">
        <x:f>IF(AND(MAX(K263,K262)&gt;0,K263&gt;K262+0.00000001),1,0)</x:f>
        <x:v>0</x:v>
      </x:c>
      <x:c r="R263" t="n">
        <x:f>IF(AND(MAX(L263,L262)&gt;0,L263&gt;L262+0.00000001),1,0)</x:f>
        <x:v>0</x:v>
      </x:c>
      <x:c r="S263" t="n">
        <x:f>IF(AND(MAX(M263,M262)&gt;0,M263&gt;M262+0.00000001),1,0)</x:f>
        <x:v>0</x:v>
      </x:c>
      <x:c r="T263" t="n">
        <x:f>IF(AND(MAX(N263,N262)&gt;0,N263&gt;N262+0.00000001),1,0)</x:f>
        <x:v>0</x:v>
      </x:c>
      <x:c r="U263" t="n">
        <x:f>IF(AND(MAX(O263,O262)&gt;0,O263&gt;O262+0.00000001),1,0)</x:f>
        <x:v>0</x:v>
      </x:c>
    </x:row>
    <x:row r="264">
      <x:c r="J264" t="n">
        <x:f>IF(AND(ISNUMBER('Results'!B7),ISNUMBER('Results'!C7),ISNUMBER('Results'!$B$8),ISNUMBER('Inputs'!$B$6),ISNUMBER('Inputs'!$B$7),ISNUMBER('Inputs'!$B$8),ISNUMBER('Inputs'!$B$9),ISNUMBER('Inputs'!$B$10),ISNUMBER('Inputs'!$B$21),ISNUMBER('Inputs'!$B$24),ISNUMBER('Inputs'!$B$28)),(('Results'!B7*(0.5*((((264-43)*MAX('Inputs'!$B$33,'Inputs'!$B$29+'Inputs'!$B$31+'Inputs'!$B$32,'Inputs'!$B$30+'Inputs'!$B$31+'Inputs'!$B$32)/1000+'Inputs'!$B$21)+'Inputs'!$B$7)/SQRT((((264-43)*MAX('Inputs'!$B$33,'Inputs'!$B$29+'Inputs'!$B$31+'Inputs'!$B$32,'Inputs'!$B$30+'Inputs'!$B$31+'Inputs'!$B$32)/1000+'Inputs'!$B$21)+'Inputs'!$B$7)^2+('Inputs'!$B$6/2)^2)-(((264-43)*MAX('Inputs'!$B$33,'Inputs'!$B$29+'Inputs'!$B$31+'Inputs'!$B$32,'Inputs'!$B$30+'Inputs'!$B$31+'Inputs'!$B$32)/1000+'Inputs'!$B$21))/SQRT((((264-43)*MAX('Inputs'!$B$33,'Inputs'!$B$29+'Inputs'!$B$31+'Inputs'!$B$32,'Inputs'!$B$30+'Inputs'!$B$31+'Inputs'!$B$32)/1000+'Inputs'!$B$21))^2+('Inputs'!$B$6/2)^2)))-'Results'!C7*(0.5*((((264-43)*MAX('Inputs'!$B$33,'Inputs'!$B$29+'Inputs'!$B$31+'Inputs'!$B$32,'Inputs'!$B$30+'Inputs'!$B$31+'Inputs'!$B$32)/1000+'Inputs'!$B$21+'Inputs'!$B$7+'Inputs'!$B$10)+'Inputs'!$B$9)/SQRT((((264-43)*MAX('Inputs'!$B$33,'Inputs'!$B$29+'Inputs'!$B$31+'Inputs'!$B$32,'Inputs'!$B$30+'Inputs'!$B$31+'Inputs'!$B$32)/1000+'Inputs'!$B$21+'Inputs'!$B$7+'Inputs'!$B$10)+'Inputs'!$B$9)^2+('Inputs'!$B$8/2)^2)-(((264-43)*MAX('Inputs'!$B$33,'Inputs'!$B$29+'Inputs'!$B$31+'Inputs'!$B$32,'Inputs'!$B$30+'Inputs'!$B$31+'Inputs'!$B$32)/1000+'Inputs'!$B$21+'Inputs'!$B$7+'Inputs'!$B$10))/SQRT((((264-43)*MAX('Inputs'!$B$33,'Inputs'!$B$29+'Inputs'!$B$31+'Inputs'!$B$32,'Inputs'!$B$30+'Inputs'!$B$31+'Inputs'!$B$32)/1000+'Inputs'!$B$21+'Inputs'!$B$7+'Inputs'!$B$10))^2+('Inputs'!$B$8/2)^2))))*'Results'!$B$8),"")</x:f>
        <x:v>55.35815462766105</x:v>
      </x:c>
      <x:c r="K264" t="n">
        <x:f>IF(AND(ISNUMBER('Results'!B7),ISNUMBER('Results'!C7),ISNUMBER('Results'!$B$8),ISNUMBER('Inputs'!$B$6),ISNUMBER('Inputs'!$B$7),ISNUMBER('Inputs'!$B$8),ISNUMBER('Inputs'!$B$9),ISNUMBER('Inputs'!$B$10),ISNUMBER('Inputs'!$B$21),ISNUMBER('Inputs'!$B$24),ISNUMBER('Inputs'!$B$28)),((('Results'!B7*(1-'Inputs'!$B$24)*(0.5*((((264-43)*MAX('Inputs'!$B$33,'Inputs'!$B$29+'Inputs'!$B$31+'Inputs'!$B$32,'Inputs'!$B$30+'Inputs'!$B$31+'Inputs'!$B$32)/1000+'Inputs'!$B$21)+'Inputs'!$B$7)/SQRT((((264-43)*MAX('Inputs'!$B$33,'Inputs'!$B$29+'Inputs'!$B$31+'Inputs'!$B$32,'Inputs'!$B$30+'Inputs'!$B$31+'Inputs'!$B$32)/1000+'Inputs'!$B$21)+'Inputs'!$B$7)^2+('Inputs'!$B$6/2)^2)-(((264-43)*MAX('Inputs'!$B$33,'Inputs'!$B$29+'Inputs'!$B$31+'Inputs'!$B$32,'Inputs'!$B$30+'Inputs'!$B$31+'Inputs'!$B$32)/1000+'Inputs'!$B$21))/SQRT((((264-43)*MAX('Inputs'!$B$33,'Inputs'!$B$29+'Inputs'!$B$31+'Inputs'!$B$32,'Inputs'!$B$30+'Inputs'!$B$31+'Inputs'!$B$32)/1000+'Inputs'!$B$21))^2+('Inputs'!$B$6/2)^2)))-'Results'!C7*(1+'Inputs'!$B$24)*(0.5*((((264-43)*MAX('Inputs'!$B$33,'Inputs'!$B$29+'Inputs'!$B$31+'Inputs'!$B$32,'Inputs'!$B$30+'Inputs'!$B$31+'Inputs'!$B$32)/1000+'Inputs'!$B$21+'Inputs'!$B$7+'Inputs'!$B$10)+'Inputs'!$B$9)/SQRT((((264-43)*MAX('Inputs'!$B$33,'Inputs'!$B$29+'Inputs'!$B$31+'Inputs'!$B$32,'Inputs'!$B$30+'Inputs'!$B$31+'Inputs'!$B$32)/1000+'Inputs'!$B$21+'Inputs'!$B$7+'Inputs'!$B$10)+'Inputs'!$B$9)^2+('Inputs'!$B$8/2)^2)-(((264-43)*MAX('Inputs'!$B$33,'Inputs'!$B$29+'Inputs'!$B$31+'Inputs'!$B$32,'Inputs'!$B$30+'Inputs'!$B$31+'Inputs'!$B$32)/1000+'Inputs'!$B$21+'Inputs'!$B$7+'Inputs'!$B$10))/SQRT((((264-43)*MAX('Inputs'!$B$33,'Inputs'!$B$29+'Inputs'!$B$31+'Inputs'!$B$32,'Inputs'!$B$30+'Inputs'!$B$31+'Inputs'!$B$32)/1000+'Inputs'!$B$21+'Inputs'!$B$7+'Inputs'!$B$10))^2+('Inputs'!$B$8/2)^2))))*'Results'!$B$8)-'Inputs'!$B$28*ABS((('Results'!B7*(1-'Inputs'!$B$24)*(0.5*((((264-43)*MAX('Inputs'!$B$33,'Inputs'!$B$29+'Inputs'!$B$31+'Inputs'!$B$32,'Inputs'!$B$30+'Inputs'!$B$31+'Inputs'!$B$32)/1000+'Inputs'!$B$21)+'Inputs'!$B$7)/SQRT((((264-43)*MAX('Inputs'!$B$33,'Inputs'!$B$29+'Inputs'!$B$31+'Inputs'!$B$32,'Inputs'!$B$30+'Inputs'!$B$31+'Inputs'!$B$32)/1000+'Inputs'!$B$21)+'Inputs'!$B$7)^2+('Inputs'!$B$6/2)^2)-(((264-43)*MAX('Inputs'!$B$33,'Inputs'!$B$29+'Inputs'!$B$31+'Inputs'!$B$32,'Inputs'!$B$30+'Inputs'!$B$31+'Inputs'!$B$32)/1000+'Inputs'!$B$21))/SQRT((((264-43)*MAX('Inputs'!$B$33,'Inputs'!$B$29+'Inputs'!$B$31+'Inputs'!$B$32,'Inputs'!$B$30+'Inputs'!$B$31+'Inputs'!$B$32)/1000+'Inputs'!$B$21))^2+('Inputs'!$B$6/2)^2)))-'Results'!C7*(1+'Inputs'!$B$24)*(0.5*((((264-43)*MAX('Inputs'!$B$33,'Inputs'!$B$29+'Inputs'!$B$31+'Inputs'!$B$32,'Inputs'!$B$30+'Inputs'!$B$31+'Inputs'!$B$32)/1000+'Inputs'!$B$21+'Inputs'!$B$7+'Inputs'!$B$10)+'Inputs'!$B$9)/SQRT((((264-43)*MAX('Inputs'!$B$33,'Inputs'!$B$29+'Inputs'!$B$31+'Inputs'!$B$32,'Inputs'!$B$30+'Inputs'!$B$31+'Inputs'!$B$32)/1000+'Inputs'!$B$21+'Inputs'!$B$7+'Inputs'!$B$10)+'Inputs'!$B$9)^2+('Inputs'!$B$8/2)^2)-(((264-43)*MAX('Inputs'!$B$33,'Inputs'!$B$29+'Inputs'!$B$31+'Inputs'!$B$32,'Inputs'!$B$30+'Inputs'!$B$31+'Inputs'!$B$32)/1000+'Inputs'!$B$21+'Inputs'!$B$7+'Inputs'!$B$10))/SQRT((((264-43)*MAX('Inputs'!$B$33,'Inputs'!$B$29+'Inputs'!$B$31+'Inputs'!$B$32,'Inputs'!$B$30+'Inputs'!$B$31+'Inputs'!$B$32)/1000+'Inputs'!$B$21+'Inputs'!$B$7+'Inputs'!$B$10))^2+('Inputs'!$B$8/2)^2))))*'Results'!$B$8))),"")</x:f>
        <x:v>50.507581853122616</x:v>
      </x:c>
      <x:c r="L264" t="n">
        <x:f>IF(AND(ISNUMBER('Results'!B7),ISNUMBER('Results'!C7),ISNUMBER('Results'!$B$8),ISNUMBER('Inputs'!$B$6),ISNUMBER('Inputs'!$B$7),ISNUMBER('Inputs'!$B$8),ISNUMBER('Inputs'!$B$9),ISNUMBER('Inputs'!$B$10),ISNUMBER('Inputs'!$B$21),ISNUMBER('Inputs'!$B$24),ISNUMBER('Inputs'!$B$28)),((('Results'!B7*(1+'Inputs'!$B$24)*(0.5*((((264-43)*MAX('Inputs'!$B$33,'Inputs'!$B$29+'Inputs'!$B$31+'Inputs'!$B$32,'Inputs'!$B$30+'Inputs'!$B$31+'Inputs'!$B$32)/1000+'Inputs'!$B$21)+'Inputs'!$B$7)/SQRT((((264-43)*MAX('Inputs'!$B$33,'Inputs'!$B$29+'Inputs'!$B$31+'Inputs'!$B$32,'Inputs'!$B$30+'Inputs'!$B$31+'Inputs'!$B$32)/1000+'Inputs'!$B$21)+'Inputs'!$B$7)^2+('Inputs'!$B$6/2)^2)-(((264-43)*MAX('Inputs'!$B$33,'Inputs'!$B$29+'Inputs'!$B$31+'Inputs'!$B$32,'Inputs'!$B$30+'Inputs'!$B$31+'Inputs'!$B$32)/1000+'Inputs'!$B$21))/SQRT((((264-43)*MAX('Inputs'!$B$33,'Inputs'!$B$29+'Inputs'!$B$31+'Inputs'!$B$32,'Inputs'!$B$30+'Inputs'!$B$31+'Inputs'!$B$32)/1000+'Inputs'!$B$21))^2+('Inputs'!$B$6/2)^2)))-'Results'!C7*(1-'Inputs'!$B$24)*(0.5*((((264-43)*MAX('Inputs'!$B$33,'Inputs'!$B$29+'Inputs'!$B$31+'Inputs'!$B$32,'Inputs'!$B$30+'Inputs'!$B$31+'Inputs'!$B$32)/1000+'Inputs'!$B$21+'Inputs'!$B$7+'Inputs'!$B$10)+'Inputs'!$B$9)/SQRT((((264-43)*MAX('Inputs'!$B$33,'Inputs'!$B$29+'Inputs'!$B$31+'Inputs'!$B$32,'Inputs'!$B$30+'Inputs'!$B$31+'Inputs'!$B$32)/1000+'Inputs'!$B$21+'Inputs'!$B$7+'Inputs'!$B$10)+'Inputs'!$B$9)^2+('Inputs'!$B$8/2)^2)-(((264-43)*MAX('Inputs'!$B$33,'Inputs'!$B$29+'Inputs'!$B$31+'Inputs'!$B$32,'Inputs'!$B$30+'Inputs'!$B$31+'Inputs'!$B$32)/1000+'Inputs'!$B$21+'Inputs'!$B$7+'Inputs'!$B$10))/SQRT((((264-43)*MAX('Inputs'!$B$33,'Inputs'!$B$29+'Inputs'!$B$31+'Inputs'!$B$32,'Inputs'!$B$30+'Inputs'!$B$31+'Inputs'!$B$32)/1000+'Inputs'!$B$21+'Inputs'!$B$7+'Inputs'!$B$10))^2+('Inputs'!$B$8/2)^2))))*'Results'!$B$8)+'Inputs'!$B$28*ABS((('Results'!B7*(1+'Inputs'!$B$24)*(0.5*((((264-43)*MAX('Inputs'!$B$33,'Inputs'!$B$29+'Inputs'!$B$31+'Inputs'!$B$32,'Inputs'!$B$30+'Inputs'!$B$31+'Inputs'!$B$32)/1000+'Inputs'!$B$21)+'Inputs'!$B$7)/SQRT((((264-43)*MAX('Inputs'!$B$33,'Inputs'!$B$29+'Inputs'!$B$31+'Inputs'!$B$32,'Inputs'!$B$30+'Inputs'!$B$31+'Inputs'!$B$32)/1000+'Inputs'!$B$21)+'Inputs'!$B$7)^2+('Inputs'!$B$6/2)^2)-(((264-43)*MAX('Inputs'!$B$33,'Inputs'!$B$29+'Inputs'!$B$31+'Inputs'!$B$32,'Inputs'!$B$30+'Inputs'!$B$31+'Inputs'!$B$32)/1000+'Inputs'!$B$21))/SQRT((((264-43)*MAX('Inputs'!$B$33,'Inputs'!$B$29+'Inputs'!$B$31+'Inputs'!$B$32,'Inputs'!$B$30+'Inputs'!$B$31+'Inputs'!$B$32)/1000+'Inputs'!$B$21))^2+('Inputs'!$B$6/2)^2)))-'Results'!C7*(1-'Inputs'!$B$24)*(0.5*((((264-43)*MAX('Inputs'!$B$33,'Inputs'!$B$29+'Inputs'!$B$31+'Inputs'!$B$32,'Inputs'!$B$30+'Inputs'!$B$31+'Inputs'!$B$32)/1000+'Inputs'!$B$21+'Inputs'!$B$7+'Inputs'!$B$10)+'Inputs'!$B$9)/SQRT((((264-43)*MAX('Inputs'!$B$33,'Inputs'!$B$29+'Inputs'!$B$31+'Inputs'!$B$32,'Inputs'!$B$30+'Inputs'!$B$31+'Inputs'!$B$32)/1000+'Inputs'!$B$21+'Inputs'!$B$7+'Inputs'!$B$10)+'Inputs'!$B$9)^2+('Inputs'!$B$8/2)^2)-(((264-43)*MAX('Inputs'!$B$33,'Inputs'!$B$29+'Inputs'!$B$31+'Inputs'!$B$32,'Inputs'!$B$30+'Inputs'!$B$31+'Inputs'!$B$32)/1000+'Inputs'!$B$21+'Inputs'!$B$7+'Inputs'!$B$10))/SQRT((((264-43)*MAX('Inputs'!$B$33,'Inputs'!$B$29+'Inputs'!$B$31+'Inputs'!$B$32,'Inputs'!$B$30+'Inputs'!$B$31+'Inputs'!$B$32)/1000+'Inputs'!$B$21+'Inputs'!$B$7+'Inputs'!$B$10))^2+('Inputs'!$B$8/2)^2))))*'Results'!$B$8))),"")</x:f>
        <x:v>60.427955301479024</x:v>
      </x:c>
      <x:c r="M264" t="n">
        <x:f>IF(AND(ISNUMBER('Results'!C7),ISNUMBER('Results'!B7),ISNUMBER('Results'!$B$8),ISNUMBER('Inputs'!$B$6),ISNUMBER('Inputs'!$B$7),ISNUMBER('Inputs'!$B$8),ISNUMBER('Inputs'!$B$9),ISNUMBER('Inputs'!$B$10),ISNUMBER('Inputs'!$B$21),ISNUMBER('Inputs'!$B$24),ISNUMBER('Inputs'!$B$28)),(('Results'!C7*(0.5*((((264-43)*MAX('Inputs'!$B$33,'Inputs'!$B$29+'Inputs'!$B$31+'Inputs'!$B$32,'Inputs'!$B$30+'Inputs'!$B$31+'Inputs'!$B$32)/1000+'Inputs'!$B$21)+'Inputs'!$B$9)/SQRT((((264-43)*MAX('Inputs'!$B$33,'Inputs'!$B$29+'Inputs'!$B$31+'Inputs'!$B$32,'Inputs'!$B$30+'Inputs'!$B$31+'Inputs'!$B$32)/1000+'Inputs'!$B$21)+'Inputs'!$B$9)^2+('Inputs'!$B$8/2)^2)-(((264-43)*MAX('Inputs'!$B$33,'Inputs'!$B$29+'Inputs'!$B$31+'Inputs'!$B$32,'Inputs'!$B$30+'Inputs'!$B$31+'Inputs'!$B$32)/1000+'Inputs'!$B$21))/SQRT((((264-43)*MAX('Inputs'!$B$33,'Inputs'!$B$29+'Inputs'!$B$31+'Inputs'!$B$32,'Inputs'!$B$30+'Inputs'!$B$31+'Inputs'!$B$32)/1000+'Inputs'!$B$21))^2+('Inputs'!$B$8/2)^2)))-'Results'!B7*(0.5*((((264-43)*MAX('Inputs'!$B$33,'Inputs'!$B$29+'Inputs'!$B$31+'Inputs'!$B$32,'Inputs'!$B$30+'Inputs'!$B$31+'Inputs'!$B$32)/1000+'Inputs'!$B$21+'Inputs'!$B$9+'Inputs'!$B$10)+'Inputs'!$B$7)/SQRT((((264-43)*MAX('Inputs'!$B$33,'Inputs'!$B$29+'Inputs'!$B$31+'Inputs'!$B$32,'Inputs'!$B$30+'Inputs'!$B$31+'Inputs'!$B$32)/1000+'Inputs'!$B$21+'Inputs'!$B$9+'Inputs'!$B$10)+'Inputs'!$B$7)^2+('Inputs'!$B$6/2)^2)-(((264-43)*MAX('Inputs'!$B$33,'Inputs'!$B$29+'Inputs'!$B$31+'Inputs'!$B$32,'Inputs'!$B$30+'Inputs'!$B$31+'Inputs'!$B$32)/1000+'Inputs'!$B$21+'Inputs'!$B$9+'Inputs'!$B$10))/SQRT((((264-43)*MAX('Inputs'!$B$33,'Inputs'!$B$29+'Inputs'!$B$31+'Inputs'!$B$32,'Inputs'!$B$30+'Inputs'!$B$31+'Inputs'!$B$32)/1000+'Inputs'!$B$21+'Inputs'!$B$9+'Inputs'!$B$10))^2+('Inputs'!$B$6/2)^2))))*'Results'!$B$8),"")</x:f>
        <x:v>53.15480302363895</x:v>
      </x:c>
      <x:c r="N264" t="n">
        <x:f>IF(AND(ISNUMBER('Results'!C7),ISNUMBER('Results'!B7),ISNUMBER('Results'!$B$8),ISNUMBER('Inputs'!$B$6),ISNUMBER('Inputs'!$B$7),ISNUMBER('Inputs'!$B$8),ISNUMBER('Inputs'!$B$9),ISNUMBER('Inputs'!$B$10),ISNUMBER('Inputs'!$B$21),ISNUMBER('Inputs'!$B$24),ISNUMBER('Inputs'!$B$28)),((('Results'!C7*(1-'Inputs'!$B$24)*(0.5*((((264-43)*MAX('Inputs'!$B$33,'Inputs'!$B$29+'Inputs'!$B$31+'Inputs'!$B$32,'Inputs'!$B$30+'Inputs'!$B$31+'Inputs'!$B$32)/1000+'Inputs'!$B$21)+'Inputs'!$B$9)/SQRT((((264-43)*MAX('Inputs'!$B$33,'Inputs'!$B$29+'Inputs'!$B$31+'Inputs'!$B$32,'Inputs'!$B$30+'Inputs'!$B$31+'Inputs'!$B$32)/1000+'Inputs'!$B$21)+'Inputs'!$B$9)^2+('Inputs'!$B$8/2)^2)-(((264-43)*MAX('Inputs'!$B$33,'Inputs'!$B$29+'Inputs'!$B$31+'Inputs'!$B$32,'Inputs'!$B$30+'Inputs'!$B$31+'Inputs'!$B$32)/1000+'Inputs'!$B$21))/SQRT((((264-43)*MAX('Inputs'!$B$33,'Inputs'!$B$29+'Inputs'!$B$31+'Inputs'!$B$32,'Inputs'!$B$30+'Inputs'!$B$31+'Inputs'!$B$32)/1000+'Inputs'!$B$21))^2+('Inputs'!$B$8/2)^2)))-'Results'!B7*(1+'Inputs'!$B$24)*(0.5*((((264-43)*MAX('Inputs'!$B$33,'Inputs'!$B$29+'Inputs'!$B$31+'Inputs'!$B$32,'Inputs'!$B$30+'Inputs'!$B$31+'Inputs'!$B$32)/1000+'Inputs'!$B$21+'Inputs'!$B$9+'Inputs'!$B$10)+'Inputs'!$B$7)/SQRT((((264-43)*MAX('Inputs'!$B$33,'Inputs'!$B$29+'Inputs'!$B$31+'Inputs'!$B$32,'Inputs'!$B$30+'Inputs'!$B$31+'Inputs'!$B$32)/1000+'Inputs'!$B$21+'Inputs'!$B$9+'Inputs'!$B$10)+'Inputs'!$B$7)^2+('Inputs'!$B$6/2)^2)-(((264-43)*MAX('Inputs'!$B$33,'Inputs'!$B$29+'Inputs'!$B$31+'Inputs'!$B$32,'Inputs'!$B$30+'Inputs'!$B$31+'Inputs'!$B$32)/1000+'Inputs'!$B$21+'Inputs'!$B$9+'Inputs'!$B$10))/SQRT((((264-43)*MAX('Inputs'!$B$33,'Inputs'!$B$29+'Inputs'!$B$31+'Inputs'!$B$32,'Inputs'!$B$30+'Inputs'!$B$31+'Inputs'!$B$32)/1000+'Inputs'!$B$21+'Inputs'!$B$9+'Inputs'!$B$10))^2+('Inputs'!$B$6/2)^2))))*'Results'!$B$8)-'Inputs'!$B$28*ABS((('Results'!C7*(1-'Inputs'!$B$24)*(0.5*((((264-43)*MAX('Inputs'!$B$33,'Inputs'!$B$29+'Inputs'!$B$31+'Inputs'!$B$32,'Inputs'!$B$30+'Inputs'!$B$31+'Inputs'!$B$32)/1000+'Inputs'!$B$21)+'Inputs'!$B$9)/SQRT((((264-43)*MAX('Inputs'!$B$33,'Inputs'!$B$29+'Inputs'!$B$31+'Inputs'!$B$32,'Inputs'!$B$30+'Inputs'!$B$31+'Inputs'!$B$32)/1000+'Inputs'!$B$21)+'Inputs'!$B$9)^2+('Inputs'!$B$8/2)^2)-(((264-43)*MAX('Inputs'!$B$33,'Inputs'!$B$29+'Inputs'!$B$31+'Inputs'!$B$32,'Inputs'!$B$30+'Inputs'!$B$31+'Inputs'!$B$32)/1000+'Inputs'!$B$21))/SQRT((((264-43)*MAX('Inputs'!$B$33,'Inputs'!$B$29+'Inputs'!$B$31+'Inputs'!$B$32,'Inputs'!$B$30+'Inputs'!$B$31+'Inputs'!$B$32)/1000+'Inputs'!$B$21))^2+('Inputs'!$B$8/2)^2)))-'Results'!B7*(1+'Inputs'!$B$24)*(0.5*((((264-43)*MAX('Inputs'!$B$33,'Inputs'!$B$29+'Inputs'!$B$31+'Inputs'!$B$32,'Inputs'!$B$30+'Inputs'!$B$31+'Inputs'!$B$32)/1000+'Inputs'!$B$21+'Inputs'!$B$9+'Inputs'!$B$10)+'Inputs'!$B$7)/SQRT((((264-43)*MAX('Inputs'!$B$33,'Inputs'!$B$29+'Inputs'!$B$31+'Inputs'!$B$32,'Inputs'!$B$30+'Inputs'!$B$31+'Inputs'!$B$32)/1000+'Inputs'!$B$21+'Inputs'!$B$9+'Inputs'!$B$10)+'Inputs'!$B$7)^2+('Inputs'!$B$6/2)^2)-(((264-43)*MAX('Inputs'!$B$33,'Inputs'!$B$29+'Inputs'!$B$31+'Inputs'!$B$32,'Inputs'!$B$30+'Inputs'!$B$31+'Inputs'!$B$32)/1000+'Inputs'!$B$21+'Inputs'!$B$9+'Inputs'!$B$10))/SQRT((((264-43)*MAX('Inputs'!$B$33,'Inputs'!$B$29+'Inputs'!$B$31+'Inputs'!$B$32,'Inputs'!$B$30+'Inputs'!$B$31+'Inputs'!$B$32)/1000+'Inputs'!$B$21+'Inputs'!$B$9+'Inputs'!$B$10))^2+('Inputs'!$B$6/2)^2))))*'Results'!$B$8))),"")</x:f>
        <x:v>48.43522354844681</x:v>
      </x:c>
      <x:c r="O264" t="n">
        <x:f>IF(AND(ISNUMBER('Results'!C7),ISNUMBER('Results'!B7),ISNUMBER('Results'!$B$8),ISNUMBER('Inputs'!$B$6),ISNUMBER('Inputs'!$B$7),ISNUMBER('Inputs'!$B$8),ISNUMBER('Inputs'!$B$9),ISNUMBER('Inputs'!$B$10),ISNUMBER('Inputs'!$B$21),ISNUMBER('Inputs'!$B$24),ISNUMBER('Inputs'!$B$28)),((('Results'!C7*(1+'Inputs'!$B$24)*(0.5*((((264-43)*MAX('Inputs'!$B$33,'Inputs'!$B$29+'Inputs'!$B$31+'Inputs'!$B$32,'Inputs'!$B$30+'Inputs'!$B$31+'Inputs'!$B$32)/1000+'Inputs'!$B$21)+'Inputs'!$B$9)/SQRT((((264-43)*MAX('Inputs'!$B$33,'Inputs'!$B$29+'Inputs'!$B$31+'Inputs'!$B$32,'Inputs'!$B$30+'Inputs'!$B$31+'Inputs'!$B$32)/1000+'Inputs'!$B$21)+'Inputs'!$B$9)^2+('Inputs'!$B$8/2)^2)-(((264-43)*MAX('Inputs'!$B$33,'Inputs'!$B$29+'Inputs'!$B$31+'Inputs'!$B$32,'Inputs'!$B$30+'Inputs'!$B$31+'Inputs'!$B$32)/1000+'Inputs'!$B$21))/SQRT((((264-43)*MAX('Inputs'!$B$33,'Inputs'!$B$29+'Inputs'!$B$31+'Inputs'!$B$32,'Inputs'!$B$30+'Inputs'!$B$31+'Inputs'!$B$32)/1000+'Inputs'!$B$21))^2+('Inputs'!$B$8/2)^2)))-'Results'!B7*(1-'Inputs'!$B$24)*(0.5*((((264-43)*MAX('Inputs'!$B$33,'Inputs'!$B$29+'Inputs'!$B$31+'Inputs'!$B$32,'Inputs'!$B$30+'Inputs'!$B$31+'Inputs'!$B$32)/1000+'Inputs'!$B$21+'Inputs'!$B$9+'Inputs'!$B$10)+'Inputs'!$B$7)/SQRT((((264-43)*MAX('Inputs'!$B$33,'Inputs'!$B$29+'Inputs'!$B$31+'Inputs'!$B$32,'Inputs'!$B$30+'Inputs'!$B$31+'Inputs'!$B$32)/1000+'Inputs'!$B$21+'Inputs'!$B$9+'Inputs'!$B$10)+'Inputs'!$B$7)^2+('Inputs'!$B$6/2)^2)-(((264-43)*MAX('Inputs'!$B$33,'Inputs'!$B$29+'Inputs'!$B$31+'Inputs'!$B$32,'Inputs'!$B$30+'Inputs'!$B$31+'Inputs'!$B$32)/1000+'Inputs'!$B$21+'Inputs'!$B$9+'Inputs'!$B$10))/SQRT((((264-43)*MAX('Inputs'!$B$33,'Inputs'!$B$29+'Inputs'!$B$31+'Inputs'!$B$32,'Inputs'!$B$30+'Inputs'!$B$31+'Inputs'!$B$32)/1000+'Inputs'!$B$21+'Inputs'!$B$9+'Inputs'!$B$10))^2+('Inputs'!$B$6/2)^2))))*'Results'!$B$8)+'Inputs'!$B$28*ABS((('Results'!C7*(1+'Inputs'!$B$24)*(0.5*((((264-43)*MAX('Inputs'!$B$33,'Inputs'!$B$29+'Inputs'!$B$31+'Inputs'!$B$32,'Inputs'!$B$30+'Inputs'!$B$31+'Inputs'!$B$32)/1000+'Inputs'!$B$21)+'Inputs'!$B$9)/SQRT((((264-43)*MAX('Inputs'!$B$33,'Inputs'!$B$29+'Inputs'!$B$31+'Inputs'!$B$32,'Inputs'!$B$30+'Inputs'!$B$31+'Inputs'!$B$32)/1000+'Inputs'!$B$21)+'Inputs'!$B$9)^2+('Inputs'!$B$8/2)^2)-(((264-43)*MAX('Inputs'!$B$33,'Inputs'!$B$29+'Inputs'!$B$31+'Inputs'!$B$32,'Inputs'!$B$30+'Inputs'!$B$31+'Inputs'!$B$32)/1000+'Inputs'!$B$21))/SQRT((((264-43)*MAX('Inputs'!$B$33,'Inputs'!$B$29+'Inputs'!$B$31+'Inputs'!$B$32,'Inputs'!$B$30+'Inputs'!$B$31+'Inputs'!$B$32)/1000+'Inputs'!$B$21))^2+('Inputs'!$B$8/2)^2)))-'Results'!B7*(1-'Inputs'!$B$24)*(0.5*((((264-43)*MAX('Inputs'!$B$33,'Inputs'!$B$29+'Inputs'!$B$31+'Inputs'!$B$32,'Inputs'!$B$30+'Inputs'!$B$31+'Inputs'!$B$32)/1000+'Inputs'!$B$21+'Inputs'!$B$9+'Inputs'!$B$10)+'Inputs'!$B$7)/SQRT((((264-43)*MAX('Inputs'!$B$33,'Inputs'!$B$29+'Inputs'!$B$31+'Inputs'!$B$32,'Inputs'!$B$30+'Inputs'!$B$31+'Inputs'!$B$32)/1000+'Inputs'!$B$21+'Inputs'!$B$9+'Inputs'!$B$10)+'Inputs'!$B$7)^2+('Inputs'!$B$6/2)^2)-(((264-43)*MAX('Inputs'!$B$33,'Inputs'!$B$29+'Inputs'!$B$31+'Inputs'!$B$32,'Inputs'!$B$30+'Inputs'!$B$31+'Inputs'!$B$32)/1000+'Inputs'!$B$21+'Inputs'!$B$9+'Inputs'!$B$10))/SQRT((((264-43)*MAX('Inputs'!$B$33,'Inputs'!$B$29+'Inputs'!$B$31+'Inputs'!$B$32,'Inputs'!$B$30+'Inputs'!$B$31+'Inputs'!$B$32)/1000+'Inputs'!$B$21+'Inputs'!$B$9+'Inputs'!$B$10))^2+('Inputs'!$B$6/2)^2))))*'Results'!$B$8))),"")</x:f>
        <x:v>58.09141821714796</x:v>
      </x:c>
      <x:c r="P264" t="n">
        <x:f>IF(AND(MAX(J264,J263)&gt;0,J264&gt;J263+0.00000001),1,0)</x:f>
        <x:v>0</x:v>
      </x:c>
      <x:c r="Q264" t="n">
        <x:f>IF(AND(MAX(K264,K263)&gt;0,K264&gt;K263+0.00000001),1,0)</x:f>
        <x:v>0</x:v>
      </x:c>
      <x:c r="R264" t="n">
        <x:f>IF(AND(MAX(L264,L263)&gt;0,L264&gt;L263+0.00000001),1,0)</x:f>
        <x:v>0</x:v>
      </x:c>
      <x:c r="S264" t="n">
        <x:f>IF(AND(MAX(M264,M263)&gt;0,M264&gt;M263+0.00000001),1,0)</x:f>
        <x:v>0</x:v>
      </x:c>
      <x:c r="T264" t="n">
        <x:f>IF(AND(MAX(N264,N263)&gt;0,N264&gt;N263+0.00000001),1,0)</x:f>
        <x:v>0</x:v>
      </x:c>
      <x:c r="U264" t="n">
        <x:f>IF(AND(MAX(O264,O263)&gt;0,O264&gt;O263+0.00000001),1,0)</x:f>
        <x:v>0</x:v>
      </x:c>
    </x:row>
    <x:row r="265">
      <x:c r="J265" t="n">
        <x:f>IF(AND(ISNUMBER('Results'!B7),ISNUMBER('Results'!C7),ISNUMBER('Results'!$B$8),ISNUMBER('Inputs'!$B$6),ISNUMBER('Inputs'!$B$7),ISNUMBER('Inputs'!$B$8),ISNUMBER('Inputs'!$B$9),ISNUMBER('Inputs'!$B$10),ISNUMBER('Inputs'!$B$21),ISNUMBER('Inputs'!$B$24),ISNUMBER('Inputs'!$B$28)),(('Results'!B7*(0.5*((((265-43)*MAX('Inputs'!$B$33,'Inputs'!$B$29+'Inputs'!$B$31+'Inputs'!$B$32,'Inputs'!$B$30+'Inputs'!$B$31+'Inputs'!$B$32)/1000+'Inputs'!$B$21)+'Inputs'!$B$7)/SQRT((((265-43)*MAX('Inputs'!$B$33,'Inputs'!$B$29+'Inputs'!$B$31+'Inputs'!$B$32,'Inputs'!$B$30+'Inputs'!$B$31+'Inputs'!$B$32)/1000+'Inputs'!$B$21)+'Inputs'!$B$7)^2+('Inputs'!$B$6/2)^2)-(((265-43)*MAX('Inputs'!$B$33,'Inputs'!$B$29+'Inputs'!$B$31+'Inputs'!$B$32,'Inputs'!$B$30+'Inputs'!$B$31+'Inputs'!$B$32)/1000+'Inputs'!$B$21))/SQRT((((265-43)*MAX('Inputs'!$B$33,'Inputs'!$B$29+'Inputs'!$B$31+'Inputs'!$B$32,'Inputs'!$B$30+'Inputs'!$B$31+'Inputs'!$B$32)/1000+'Inputs'!$B$21))^2+('Inputs'!$B$6/2)^2)))-'Results'!C7*(0.5*((((265-43)*MAX('Inputs'!$B$33,'Inputs'!$B$29+'Inputs'!$B$31+'Inputs'!$B$32,'Inputs'!$B$30+'Inputs'!$B$31+'Inputs'!$B$32)/1000+'Inputs'!$B$21+'Inputs'!$B$7+'Inputs'!$B$10)+'Inputs'!$B$9)/SQRT((((265-43)*MAX('Inputs'!$B$33,'Inputs'!$B$29+'Inputs'!$B$31+'Inputs'!$B$32,'Inputs'!$B$30+'Inputs'!$B$31+'Inputs'!$B$32)/1000+'Inputs'!$B$21+'Inputs'!$B$7+'Inputs'!$B$10)+'Inputs'!$B$9)^2+('Inputs'!$B$8/2)^2)-(((265-43)*MAX('Inputs'!$B$33,'Inputs'!$B$29+'Inputs'!$B$31+'Inputs'!$B$32,'Inputs'!$B$30+'Inputs'!$B$31+'Inputs'!$B$32)/1000+'Inputs'!$B$21+'Inputs'!$B$7+'Inputs'!$B$10))/SQRT((((265-43)*MAX('Inputs'!$B$33,'Inputs'!$B$29+'Inputs'!$B$31+'Inputs'!$B$32,'Inputs'!$B$30+'Inputs'!$B$31+'Inputs'!$B$32)/1000+'Inputs'!$B$21+'Inputs'!$B$7+'Inputs'!$B$10))^2+('Inputs'!$B$8/2)^2))))*'Results'!$B$8),"")</x:f>
        <x:v>54.65007586326437</x:v>
      </x:c>
      <x:c r="K265" t="n">
        <x:f>IF(AND(ISNUMBER('Results'!B7),ISNUMBER('Results'!C7),ISNUMBER('Results'!$B$8),ISNUMBER('Inputs'!$B$6),ISNUMBER('Inputs'!$B$7),ISNUMBER('Inputs'!$B$8),ISNUMBER('Inputs'!$B$9),ISNUMBER('Inputs'!$B$10),ISNUMBER('Inputs'!$B$21),ISNUMBER('Inputs'!$B$24),ISNUMBER('Inputs'!$B$28)),((('Results'!B7*(1-'Inputs'!$B$24)*(0.5*((((265-43)*MAX('Inputs'!$B$33,'Inputs'!$B$29+'Inputs'!$B$31+'Inputs'!$B$32,'Inputs'!$B$30+'Inputs'!$B$31+'Inputs'!$B$32)/1000+'Inputs'!$B$21)+'Inputs'!$B$7)/SQRT((((265-43)*MAX('Inputs'!$B$33,'Inputs'!$B$29+'Inputs'!$B$31+'Inputs'!$B$32,'Inputs'!$B$30+'Inputs'!$B$31+'Inputs'!$B$32)/1000+'Inputs'!$B$21)+'Inputs'!$B$7)^2+('Inputs'!$B$6/2)^2)-(((265-43)*MAX('Inputs'!$B$33,'Inputs'!$B$29+'Inputs'!$B$31+'Inputs'!$B$32,'Inputs'!$B$30+'Inputs'!$B$31+'Inputs'!$B$32)/1000+'Inputs'!$B$21))/SQRT((((265-43)*MAX('Inputs'!$B$33,'Inputs'!$B$29+'Inputs'!$B$31+'Inputs'!$B$32,'Inputs'!$B$30+'Inputs'!$B$31+'Inputs'!$B$32)/1000+'Inputs'!$B$21))^2+('Inputs'!$B$6/2)^2)))-'Results'!C7*(1+'Inputs'!$B$24)*(0.5*((((265-43)*MAX('Inputs'!$B$33,'Inputs'!$B$29+'Inputs'!$B$31+'Inputs'!$B$32,'Inputs'!$B$30+'Inputs'!$B$31+'Inputs'!$B$32)/1000+'Inputs'!$B$21+'Inputs'!$B$7+'Inputs'!$B$10)+'Inputs'!$B$9)/SQRT((((265-43)*MAX('Inputs'!$B$33,'Inputs'!$B$29+'Inputs'!$B$31+'Inputs'!$B$32,'Inputs'!$B$30+'Inputs'!$B$31+'Inputs'!$B$32)/1000+'Inputs'!$B$21+'Inputs'!$B$7+'Inputs'!$B$10)+'Inputs'!$B$9)^2+('Inputs'!$B$8/2)^2)-(((265-43)*MAX('Inputs'!$B$33,'Inputs'!$B$29+'Inputs'!$B$31+'Inputs'!$B$32,'Inputs'!$B$30+'Inputs'!$B$31+'Inputs'!$B$32)/1000+'Inputs'!$B$21+'Inputs'!$B$7+'Inputs'!$B$10))/SQRT((((265-43)*MAX('Inputs'!$B$33,'Inputs'!$B$29+'Inputs'!$B$31+'Inputs'!$B$32,'Inputs'!$B$30+'Inputs'!$B$31+'Inputs'!$B$32)/1000+'Inputs'!$B$21+'Inputs'!$B$7+'Inputs'!$B$10))^2+('Inputs'!$B$8/2)^2))))*'Results'!$B$8)-'Inputs'!$B$28*ABS((('Results'!B7*(1-'Inputs'!$B$24)*(0.5*((((265-43)*MAX('Inputs'!$B$33,'Inputs'!$B$29+'Inputs'!$B$31+'Inputs'!$B$32,'Inputs'!$B$30+'Inputs'!$B$31+'Inputs'!$B$32)/1000+'Inputs'!$B$21)+'Inputs'!$B$7)/SQRT((((265-43)*MAX('Inputs'!$B$33,'Inputs'!$B$29+'Inputs'!$B$31+'Inputs'!$B$32,'Inputs'!$B$30+'Inputs'!$B$31+'Inputs'!$B$32)/1000+'Inputs'!$B$21)+'Inputs'!$B$7)^2+('Inputs'!$B$6/2)^2)-(((265-43)*MAX('Inputs'!$B$33,'Inputs'!$B$29+'Inputs'!$B$31+'Inputs'!$B$32,'Inputs'!$B$30+'Inputs'!$B$31+'Inputs'!$B$32)/1000+'Inputs'!$B$21))/SQRT((((265-43)*MAX('Inputs'!$B$33,'Inputs'!$B$29+'Inputs'!$B$31+'Inputs'!$B$32,'Inputs'!$B$30+'Inputs'!$B$31+'Inputs'!$B$32)/1000+'Inputs'!$B$21))^2+('Inputs'!$B$6/2)^2)))-'Results'!C7*(1+'Inputs'!$B$24)*(0.5*((((265-43)*MAX('Inputs'!$B$33,'Inputs'!$B$29+'Inputs'!$B$31+'Inputs'!$B$32,'Inputs'!$B$30+'Inputs'!$B$31+'Inputs'!$B$32)/1000+'Inputs'!$B$21+'Inputs'!$B$7+'Inputs'!$B$10)+'Inputs'!$B$9)/SQRT((((265-43)*MAX('Inputs'!$B$33,'Inputs'!$B$29+'Inputs'!$B$31+'Inputs'!$B$32,'Inputs'!$B$30+'Inputs'!$B$31+'Inputs'!$B$32)/1000+'Inputs'!$B$21+'Inputs'!$B$7+'Inputs'!$B$10)+'Inputs'!$B$9)^2+('Inputs'!$B$8/2)^2)-(((265-43)*MAX('Inputs'!$B$33,'Inputs'!$B$29+'Inputs'!$B$31+'Inputs'!$B$32,'Inputs'!$B$30+'Inputs'!$B$31+'Inputs'!$B$32)/1000+'Inputs'!$B$21+'Inputs'!$B$7+'Inputs'!$B$10))/SQRT((((265-43)*MAX('Inputs'!$B$33,'Inputs'!$B$29+'Inputs'!$B$31+'Inputs'!$B$32,'Inputs'!$B$30+'Inputs'!$B$31+'Inputs'!$B$32)/1000+'Inputs'!$B$21+'Inputs'!$B$7+'Inputs'!$B$10))^2+('Inputs'!$B$8/2)^2))))*'Results'!$B$8))),"")</x:f>
        <x:v>49.85663098281623</x:v>
      </x:c>
      <x:c r="L265" t="n">
        <x:f>IF(AND(ISNUMBER('Results'!B7),ISNUMBER('Results'!C7),ISNUMBER('Results'!$B$8),ISNUMBER('Inputs'!$B$6),ISNUMBER('Inputs'!$B$7),ISNUMBER('Inputs'!$B$8),ISNUMBER('Inputs'!$B$9),ISNUMBER('Inputs'!$B$10),ISNUMBER('Inputs'!$B$21),ISNUMBER('Inputs'!$B$24),ISNUMBER('Inputs'!$B$28)),((('Results'!B7*(1+'Inputs'!$B$24)*(0.5*((((265-43)*MAX('Inputs'!$B$33,'Inputs'!$B$29+'Inputs'!$B$31+'Inputs'!$B$32,'Inputs'!$B$30+'Inputs'!$B$31+'Inputs'!$B$32)/1000+'Inputs'!$B$21)+'Inputs'!$B$7)/SQRT((((265-43)*MAX('Inputs'!$B$33,'Inputs'!$B$29+'Inputs'!$B$31+'Inputs'!$B$32,'Inputs'!$B$30+'Inputs'!$B$31+'Inputs'!$B$32)/1000+'Inputs'!$B$21)+'Inputs'!$B$7)^2+('Inputs'!$B$6/2)^2)-(((265-43)*MAX('Inputs'!$B$33,'Inputs'!$B$29+'Inputs'!$B$31+'Inputs'!$B$32,'Inputs'!$B$30+'Inputs'!$B$31+'Inputs'!$B$32)/1000+'Inputs'!$B$21))/SQRT((((265-43)*MAX('Inputs'!$B$33,'Inputs'!$B$29+'Inputs'!$B$31+'Inputs'!$B$32,'Inputs'!$B$30+'Inputs'!$B$31+'Inputs'!$B$32)/1000+'Inputs'!$B$21))^2+('Inputs'!$B$6/2)^2)))-'Results'!C7*(1-'Inputs'!$B$24)*(0.5*((((265-43)*MAX('Inputs'!$B$33,'Inputs'!$B$29+'Inputs'!$B$31+'Inputs'!$B$32,'Inputs'!$B$30+'Inputs'!$B$31+'Inputs'!$B$32)/1000+'Inputs'!$B$21+'Inputs'!$B$7+'Inputs'!$B$10)+'Inputs'!$B$9)/SQRT((((265-43)*MAX('Inputs'!$B$33,'Inputs'!$B$29+'Inputs'!$B$31+'Inputs'!$B$32,'Inputs'!$B$30+'Inputs'!$B$31+'Inputs'!$B$32)/1000+'Inputs'!$B$21+'Inputs'!$B$7+'Inputs'!$B$10)+'Inputs'!$B$9)^2+('Inputs'!$B$8/2)^2)-(((265-43)*MAX('Inputs'!$B$33,'Inputs'!$B$29+'Inputs'!$B$31+'Inputs'!$B$32,'Inputs'!$B$30+'Inputs'!$B$31+'Inputs'!$B$32)/1000+'Inputs'!$B$21+'Inputs'!$B$7+'Inputs'!$B$10))/SQRT((((265-43)*MAX('Inputs'!$B$33,'Inputs'!$B$29+'Inputs'!$B$31+'Inputs'!$B$32,'Inputs'!$B$30+'Inputs'!$B$31+'Inputs'!$B$32)/1000+'Inputs'!$B$21+'Inputs'!$B$7+'Inputs'!$B$10))^2+('Inputs'!$B$8/2)^2))))*'Results'!$B$8)+'Inputs'!$B$28*ABS((('Results'!B7*(1+'Inputs'!$B$24)*(0.5*((((265-43)*MAX('Inputs'!$B$33,'Inputs'!$B$29+'Inputs'!$B$31+'Inputs'!$B$32,'Inputs'!$B$30+'Inputs'!$B$31+'Inputs'!$B$32)/1000+'Inputs'!$B$21)+'Inputs'!$B$7)/SQRT((((265-43)*MAX('Inputs'!$B$33,'Inputs'!$B$29+'Inputs'!$B$31+'Inputs'!$B$32,'Inputs'!$B$30+'Inputs'!$B$31+'Inputs'!$B$32)/1000+'Inputs'!$B$21)+'Inputs'!$B$7)^2+('Inputs'!$B$6/2)^2)-(((265-43)*MAX('Inputs'!$B$33,'Inputs'!$B$29+'Inputs'!$B$31+'Inputs'!$B$32,'Inputs'!$B$30+'Inputs'!$B$31+'Inputs'!$B$32)/1000+'Inputs'!$B$21))/SQRT((((265-43)*MAX('Inputs'!$B$33,'Inputs'!$B$29+'Inputs'!$B$31+'Inputs'!$B$32,'Inputs'!$B$30+'Inputs'!$B$31+'Inputs'!$B$32)/1000+'Inputs'!$B$21))^2+('Inputs'!$B$6/2)^2)))-'Results'!C7*(1-'Inputs'!$B$24)*(0.5*((((265-43)*MAX('Inputs'!$B$33,'Inputs'!$B$29+'Inputs'!$B$31+'Inputs'!$B$32,'Inputs'!$B$30+'Inputs'!$B$31+'Inputs'!$B$32)/1000+'Inputs'!$B$21+'Inputs'!$B$7+'Inputs'!$B$10)+'Inputs'!$B$9)/SQRT((((265-43)*MAX('Inputs'!$B$33,'Inputs'!$B$29+'Inputs'!$B$31+'Inputs'!$B$32,'Inputs'!$B$30+'Inputs'!$B$31+'Inputs'!$B$32)/1000+'Inputs'!$B$21+'Inputs'!$B$7+'Inputs'!$B$10)+'Inputs'!$B$9)^2+('Inputs'!$B$8/2)^2)-(((265-43)*MAX('Inputs'!$B$33,'Inputs'!$B$29+'Inputs'!$B$31+'Inputs'!$B$32,'Inputs'!$B$30+'Inputs'!$B$31+'Inputs'!$B$32)/1000+'Inputs'!$B$21+'Inputs'!$B$7+'Inputs'!$B$10))/SQRT((((265-43)*MAX('Inputs'!$B$33,'Inputs'!$B$29+'Inputs'!$B$31+'Inputs'!$B$32,'Inputs'!$B$30+'Inputs'!$B$31+'Inputs'!$B$32)/1000+'Inputs'!$B$21+'Inputs'!$B$7+'Inputs'!$B$10))^2+('Inputs'!$B$8/2)^2))))*'Results'!$B$8))),"")</x:f>
        <x:v>59.66046191079513</x:v>
      </x:c>
      <x:c r="M265" t="n">
        <x:f>IF(AND(ISNUMBER('Results'!C7),ISNUMBER('Results'!B7),ISNUMBER('Results'!$B$8),ISNUMBER('Inputs'!$B$6),ISNUMBER('Inputs'!$B$7),ISNUMBER('Inputs'!$B$8),ISNUMBER('Inputs'!$B$9),ISNUMBER('Inputs'!$B$10),ISNUMBER('Inputs'!$B$21),ISNUMBER('Inputs'!$B$24),ISNUMBER('Inputs'!$B$28)),(('Results'!C7*(0.5*((((265-43)*MAX('Inputs'!$B$33,'Inputs'!$B$29+'Inputs'!$B$31+'Inputs'!$B$32,'Inputs'!$B$30+'Inputs'!$B$31+'Inputs'!$B$32)/1000+'Inputs'!$B$21)+'Inputs'!$B$9)/SQRT((((265-43)*MAX('Inputs'!$B$33,'Inputs'!$B$29+'Inputs'!$B$31+'Inputs'!$B$32,'Inputs'!$B$30+'Inputs'!$B$31+'Inputs'!$B$32)/1000+'Inputs'!$B$21)+'Inputs'!$B$9)^2+('Inputs'!$B$8/2)^2)-(((265-43)*MAX('Inputs'!$B$33,'Inputs'!$B$29+'Inputs'!$B$31+'Inputs'!$B$32,'Inputs'!$B$30+'Inputs'!$B$31+'Inputs'!$B$32)/1000+'Inputs'!$B$21))/SQRT((((265-43)*MAX('Inputs'!$B$33,'Inputs'!$B$29+'Inputs'!$B$31+'Inputs'!$B$32,'Inputs'!$B$30+'Inputs'!$B$31+'Inputs'!$B$32)/1000+'Inputs'!$B$21))^2+('Inputs'!$B$8/2)^2)))-'Results'!B7*(0.5*((((265-43)*MAX('Inputs'!$B$33,'Inputs'!$B$29+'Inputs'!$B$31+'Inputs'!$B$32,'Inputs'!$B$30+'Inputs'!$B$31+'Inputs'!$B$32)/1000+'Inputs'!$B$21+'Inputs'!$B$9+'Inputs'!$B$10)+'Inputs'!$B$7)/SQRT((((265-43)*MAX('Inputs'!$B$33,'Inputs'!$B$29+'Inputs'!$B$31+'Inputs'!$B$32,'Inputs'!$B$30+'Inputs'!$B$31+'Inputs'!$B$32)/1000+'Inputs'!$B$21+'Inputs'!$B$9+'Inputs'!$B$10)+'Inputs'!$B$7)^2+('Inputs'!$B$6/2)^2)-(((265-43)*MAX('Inputs'!$B$33,'Inputs'!$B$29+'Inputs'!$B$31+'Inputs'!$B$32,'Inputs'!$B$30+'Inputs'!$B$31+'Inputs'!$B$32)/1000+'Inputs'!$B$21+'Inputs'!$B$9+'Inputs'!$B$10))/SQRT((((265-43)*MAX('Inputs'!$B$33,'Inputs'!$B$29+'Inputs'!$B$31+'Inputs'!$B$32,'Inputs'!$B$30+'Inputs'!$B$31+'Inputs'!$B$32)/1000+'Inputs'!$B$21+'Inputs'!$B$9+'Inputs'!$B$10))^2+('Inputs'!$B$6/2)^2))))*'Results'!$B$8),"")</x:f>
        <x:v>52.46968041536098</x:v>
      </x:c>
      <x:c r="N265" t="n">
        <x:f>IF(AND(ISNUMBER('Results'!C7),ISNUMBER('Results'!B7),ISNUMBER('Results'!$B$8),ISNUMBER('Inputs'!$B$6),ISNUMBER('Inputs'!$B$7),ISNUMBER('Inputs'!$B$8),ISNUMBER('Inputs'!$B$9),ISNUMBER('Inputs'!$B$10),ISNUMBER('Inputs'!$B$21),ISNUMBER('Inputs'!$B$24),ISNUMBER('Inputs'!$B$28)),((('Results'!C7*(1-'Inputs'!$B$24)*(0.5*((((265-43)*MAX('Inputs'!$B$33,'Inputs'!$B$29+'Inputs'!$B$31+'Inputs'!$B$32,'Inputs'!$B$30+'Inputs'!$B$31+'Inputs'!$B$32)/1000+'Inputs'!$B$21)+'Inputs'!$B$9)/SQRT((((265-43)*MAX('Inputs'!$B$33,'Inputs'!$B$29+'Inputs'!$B$31+'Inputs'!$B$32,'Inputs'!$B$30+'Inputs'!$B$31+'Inputs'!$B$32)/1000+'Inputs'!$B$21)+'Inputs'!$B$9)^2+('Inputs'!$B$8/2)^2)-(((265-43)*MAX('Inputs'!$B$33,'Inputs'!$B$29+'Inputs'!$B$31+'Inputs'!$B$32,'Inputs'!$B$30+'Inputs'!$B$31+'Inputs'!$B$32)/1000+'Inputs'!$B$21))/SQRT((((265-43)*MAX('Inputs'!$B$33,'Inputs'!$B$29+'Inputs'!$B$31+'Inputs'!$B$32,'Inputs'!$B$30+'Inputs'!$B$31+'Inputs'!$B$32)/1000+'Inputs'!$B$21))^2+('Inputs'!$B$8/2)^2)))-'Results'!B7*(1+'Inputs'!$B$24)*(0.5*((((265-43)*MAX('Inputs'!$B$33,'Inputs'!$B$29+'Inputs'!$B$31+'Inputs'!$B$32,'Inputs'!$B$30+'Inputs'!$B$31+'Inputs'!$B$32)/1000+'Inputs'!$B$21+'Inputs'!$B$9+'Inputs'!$B$10)+'Inputs'!$B$7)/SQRT((((265-43)*MAX('Inputs'!$B$33,'Inputs'!$B$29+'Inputs'!$B$31+'Inputs'!$B$32,'Inputs'!$B$30+'Inputs'!$B$31+'Inputs'!$B$32)/1000+'Inputs'!$B$21+'Inputs'!$B$9+'Inputs'!$B$10)+'Inputs'!$B$7)^2+('Inputs'!$B$6/2)^2)-(((265-43)*MAX('Inputs'!$B$33,'Inputs'!$B$29+'Inputs'!$B$31+'Inputs'!$B$32,'Inputs'!$B$30+'Inputs'!$B$31+'Inputs'!$B$32)/1000+'Inputs'!$B$21+'Inputs'!$B$9+'Inputs'!$B$10))/SQRT((((265-43)*MAX('Inputs'!$B$33,'Inputs'!$B$29+'Inputs'!$B$31+'Inputs'!$B$32,'Inputs'!$B$30+'Inputs'!$B$31+'Inputs'!$B$32)/1000+'Inputs'!$B$21+'Inputs'!$B$9+'Inputs'!$B$10))^2+('Inputs'!$B$6/2)^2))))*'Results'!$B$8)-'Inputs'!$B$28*ABS((('Results'!C7*(1-'Inputs'!$B$24)*(0.5*((((265-43)*MAX('Inputs'!$B$33,'Inputs'!$B$29+'Inputs'!$B$31+'Inputs'!$B$32,'Inputs'!$B$30+'Inputs'!$B$31+'Inputs'!$B$32)/1000+'Inputs'!$B$21)+'Inputs'!$B$9)/SQRT((((265-43)*MAX('Inputs'!$B$33,'Inputs'!$B$29+'Inputs'!$B$31+'Inputs'!$B$32,'Inputs'!$B$30+'Inputs'!$B$31+'Inputs'!$B$32)/1000+'Inputs'!$B$21)+'Inputs'!$B$9)^2+('Inputs'!$B$8/2)^2)-(((265-43)*MAX('Inputs'!$B$33,'Inputs'!$B$29+'Inputs'!$B$31+'Inputs'!$B$32,'Inputs'!$B$30+'Inputs'!$B$31+'Inputs'!$B$32)/1000+'Inputs'!$B$21))/SQRT((((265-43)*MAX('Inputs'!$B$33,'Inputs'!$B$29+'Inputs'!$B$31+'Inputs'!$B$32,'Inputs'!$B$30+'Inputs'!$B$31+'Inputs'!$B$32)/1000+'Inputs'!$B$21))^2+('Inputs'!$B$8/2)^2)))-'Results'!B7*(1+'Inputs'!$B$24)*(0.5*((((265-43)*MAX('Inputs'!$B$33,'Inputs'!$B$29+'Inputs'!$B$31+'Inputs'!$B$32,'Inputs'!$B$30+'Inputs'!$B$31+'Inputs'!$B$32)/1000+'Inputs'!$B$21+'Inputs'!$B$9+'Inputs'!$B$10)+'Inputs'!$B$7)/SQRT((((265-43)*MAX('Inputs'!$B$33,'Inputs'!$B$29+'Inputs'!$B$31+'Inputs'!$B$32,'Inputs'!$B$30+'Inputs'!$B$31+'Inputs'!$B$32)/1000+'Inputs'!$B$21+'Inputs'!$B$9+'Inputs'!$B$10)+'Inputs'!$B$7)^2+('Inputs'!$B$6/2)^2)-(((265-43)*MAX('Inputs'!$B$33,'Inputs'!$B$29+'Inputs'!$B$31+'Inputs'!$B$32,'Inputs'!$B$30+'Inputs'!$B$31+'Inputs'!$B$32)/1000+'Inputs'!$B$21+'Inputs'!$B$9+'Inputs'!$B$10))/SQRT((((265-43)*MAX('Inputs'!$B$33,'Inputs'!$B$29+'Inputs'!$B$31+'Inputs'!$B$32,'Inputs'!$B$30+'Inputs'!$B$31+'Inputs'!$B$32)/1000+'Inputs'!$B$21+'Inputs'!$B$9+'Inputs'!$B$10))^2+('Inputs'!$B$6/2)^2))))*'Results'!$B$8))),"")</x:f>
        <x:v>47.80581364437159</x:v>
      </x:c>
      <x:c r="O265" t="n">
        <x:f>IF(AND(ISNUMBER('Results'!C7),ISNUMBER('Results'!B7),ISNUMBER('Results'!$B$8),ISNUMBER('Inputs'!$B$6),ISNUMBER('Inputs'!$B$7),ISNUMBER('Inputs'!$B$8),ISNUMBER('Inputs'!$B$9),ISNUMBER('Inputs'!$B$10),ISNUMBER('Inputs'!$B$21),ISNUMBER('Inputs'!$B$24),ISNUMBER('Inputs'!$B$28)),((('Results'!C7*(1+'Inputs'!$B$24)*(0.5*((((265-43)*MAX('Inputs'!$B$33,'Inputs'!$B$29+'Inputs'!$B$31+'Inputs'!$B$32,'Inputs'!$B$30+'Inputs'!$B$31+'Inputs'!$B$32)/1000+'Inputs'!$B$21)+'Inputs'!$B$9)/SQRT((((265-43)*MAX('Inputs'!$B$33,'Inputs'!$B$29+'Inputs'!$B$31+'Inputs'!$B$32,'Inputs'!$B$30+'Inputs'!$B$31+'Inputs'!$B$32)/1000+'Inputs'!$B$21)+'Inputs'!$B$9)^2+('Inputs'!$B$8/2)^2)-(((265-43)*MAX('Inputs'!$B$33,'Inputs'!$B$29+'Inputs'!$B$31+'Inputs'!$B$32,'Inputs'!$B$30+'Inputs'!$B$31+'Inputs'!$B$32)/1000+'Inputs'!$B$21))/SQRT((((265-43)*MAX('Inputs'!$B$33,'Inputs'!$B$29+'Inputs'!$B$31+'Inputs'!$B$32,'Inputs'!$B$30+'Inputs'!$B$31+'Inputs'!$B$32)/1000+'Inputs'!$B$21))^2+('Inputs'!$B$8/2)^2)))-'Results'!B7*(1-'Inputs'!$B$24)*(0.5*((((265-43)*MAX('Inputs'!$B$33,'Inputs'!$B$29+'Inputs'!$B$31+'Inputs'!$B$32,'Inputs'!$B$30+'Inputs'!$B$31+'Inputs'!$B$32)/1000+'Inputs'!$B$21+'Inputs'!$B$9+'Inputs'!$B$10)+'Inputs'!$B$7)/SQRT((((265-43)*MAX('Inputs'!$B$33,'Inputs'!$B$29+'Inputs'!$B$31+'Inputs'!$B$32,'Inputs'!$B$30+'Inputs'!$B$31+'Inputs'!$B$32)/1000+'Inputs'!$B$21+'Inputs'!$B$9+'Inputs'!$B$10)+'Inputs'!$B$7)^2+('Inputs'!$B$6/2)^2)-(((265-43)*MAX('Inputs'!$B$33,'Inputs'!$B$29+'Inputs'!$B$31+'Inputs'!$B$32,'Inputs'!$B$30+'Inputs'!$B$31+'Inputs'!$B$32)/1000+'Inputs'!$B$21+'Inputs'!$B$9+'Inputs'!$B$10))/SQRT((((265-43)*MAX('Inputs'!$B$33,'Inputs'!$B$29+'Inputs'!$B$31+'Inputs'!$B$32,'Inputs'!$B$30+'Inputs'!$B$31+'Inputs'!$B$32)/1000+'Inputs'!$B$21+'Inputs'!$B$9+'Inputs'!$B$10))^2+('Inputs'!$B$6/2)^2))))*'Results'!$B$8)+'Inputs'!$B$28*ABS((('Results'!C7*(1+'Inputs'!$B$24)*(0.5*((((265-43)*MAX('Inputs'!$B$33,'Inputs'!$B$29+'Inputs'!$B$31+'Inputs'!$B$32,'Inputs'!$B$30+'Inputs'!$B$31+'Inputs'!$B$32)/1000+'Inputs'!$B$21)+'Inputs'!$B$9)/SQRT((((265-43)*MAX('Inputs'!$B$33,'Inputs'!$B$29+'Inputs'!$B$31+'Inputs'!$B$32,'Inputs'!$B$30+'Inputs'!$B$31+'Inputs'!$B$32)/1000+'Inputs'!$B$21)+'Inputs'!$B$9)^2+('Inputs'!$B$8/2)^2)-(((265-43)*MAX('Inputs'!$B$33,'Inputs'!$B$29+'Inputs'!$B$31+'Inputs'!$B$32,'Inputs'!$B$30+'Inputs'!$B$31+'Inputs'!$B$32)/1000+'Inputs'!$B$21))/SQRT((((265-43)*MAX('Inputs'!$B$33,'Inputs'!$B$29+'Inputs'!$B$31+'Inputs'!$B$32,'Inputs'!$B$30+'Inputs'!$B$31+'Inputs'!$B$32)/1000+'Inputs'!$B$21))^2+('Inputs'!$B$8/2)^2)))-'Results'!B7*(1-'Inputs'!$B$24)*(0.5*((((265-43)*MAX('Inputs'!$B$33,'Inputs'!$B$29+'Inputs'!$B$31+'Inputs'!$B$32,'Inputs'!$B$30+'Inputs'!$B$31+'Inputs'!$B$32)/1000+'Inputs'!$B$21+'Inputs'!$B$9+'Inputs'!$B$10)+'Inputs'!$B$7)/SQRT((((265-43)*MAX('Inputs'!$B$33,'Inputs'!$B$29+'Inputs'!$B$31+'Inputs'!$B$32,'Inputs'!$B$30+'Inputs'!$B$31+'Inputs'!$B$32)/1000+'Inputs'!$B$21+'Inputs'!$B$9+'Inputs'!$B$10)+'Inputs'!$B$7)^2+('Inputs'!$B$6/2)^2)-(((265-43)*MAX('Inputs'!$B$33,'Inputs'!$B$29+'Inputs'!$B$31+'Inputs'!$B$32,'Inputs'!$B$30+'Inputs'!$B$31+'Inputs'!$B$32)/1000+'Inputs'!$B$21+'Inputs'!$B$9+'Inputs'!$B$10))/SQRT((((265-43)*MAX('Inputs'!$B$33,'Inputs'!$B$29+'Inputs'!$B$31+'Inputs'!$B$32,'Inputs'!$B$30+'Inputs'!$B$31+'Inputs'!$B$32)/1000+'Inputs'!$B$21+'Inputs'!$B$9+'Inputs'!$B$10))^2+('Inputs'!$B$6/2)^2))))*'Results'!$B$8))),"")</x:f>
        <x:v>57.34832431795263</x:v>
      </x:c>
      <x:c r="P265" t="n">
        <x:f>IF(AND(MAX(J265,J264)&gt;0,J265&gt;J264+0.00000001),1,0)</x:f>
        <x:v>0</x:v>
      </x:c>
      <x:c r="Q265" t="n">
        <x:f>IF(AND(MAX(K265,K264)&gt;0,K265&gt;K264+0.00000001),1,0)</x:f>
        <x:v>0</x:v>
      </x:c>
      <x:c r="R265" t="n">
        <x:f>IF(AND(MAX(L265,L264)&gt;0,L265&gt;L264+0.00000001),1,0)</x:f>
        <x:v>0</x:v>
      </x:c>
      <x:c r="S265" t="n">
        <x:f>IF(AND(MAX(M265,M264)&gt;0,M265&gt;M264+0.00000001),1,0)</x:f>
        <x:v>0</x:v>
      </x:c>
      <x:c r="T265" t="n">
        <x:f>IF(AND(MAX(N265,N264)&gt;0,N265&gt;N264+0.00000001),1,0)</x:f>
        <x:v>0</x:v>
      </x:c>
      <x:c r="U265" t="n">
        <x:f>IF(AND(MAX(O265,O264)&gt;0,O265&gt;O264+0.00000001),1,0)</x:f>
        <x:v>0</x:v>
      </x:c>
    </x:row>
    <x:row r="266">
      <x:c r="J266" t="n">
        <x:f>IF(AND(ISNUMBER('Results'!B7),ISNUMBER('Results'!C7),ISNUMBER('Results'!$B$8),ISNUMBER('Inputs'!$B$6),ISNUMBER('Inputs'!$B$7),ISNUMBER('Inputs'!$B$8),ISNUMBER('Inputs'!$B$9),ISNUMBER('Inputs'!$B$10),ISNUMBER('Inputs'!$B$21),ISNUMBER('Inputs'!$B$24),ISNUMBER('Inputs'!$B$28)),(('Results'!B7*(0.5*((((266-43)*MAX('Inputs'!$B$33,'Inputs'!$B$29+'Inputs'!$B$31+'Inputs'!$B$32,'Inputs'!$B$30+'Inputs'!$B$31+'Inputs'!$B$32)/1000+'Inputs'!$B$21)+'Inputs'!$B$7)/SQRT((((266-43)*MAX('Inputs'!$B$33,'Inputs'!$B$29+'Inputs'!$B$31+'Inputs'!$B$32,'Inputs'!$B$30+'Inputs'!$B$31+'Inputs'!$B$32)/1000+'Inputs'!$B$21)+'Inputs'!$B$7)^2+('Inputs'!$B$6/2)^2)-(((266-43)*MAX('Inputs'!$B$33,'Inputs'!$B$29+'Inputs'!$B$31+'Inputs'!$B$32,'Inputs'!$B$30+'Inputs'!$B$31+'Inputs'!$B$32)/1000+'Inputs'!$B$21))/SQRT((((266-43)*MAX('Inputs'!$B$33,'Inputs'!$B$29+'Inputs'!$B$31+'Inputs'!$B$32,'Inputs'!$B$30+'Inputs'!$B$31+'Inputs'!$B$32)/1000+'Inputs'!$B$21))^2+('Inputs'!$B$6/2)^2)))-'Results'!C7*(0.5*((((266-43)*MAX('Inputs'!$B$33,'Inputs'!$B$29+'Inputs'!$B$31+'Inputs'!$B$32,'Inputs'!$B$30+'Inputs'!$B$31+'Inputs'!$B$32)/1000+'Inputs'!$B$21+'Inputs'!$B$7+'Inputs'!$B$10)+'Inputs'!$B$9)/SQRT((((266-43)*MAX('Inputs'!$B$33,'Inputs'!$B$29+'Inputs'!$B$31+'Inputs'!$B$32,'Inputs'!$B$30+'Inputs'!$B$31+'Inputs'!$B$32)/1000+'Inputs'!$B$21+'Inputs'!$B$7+'Inputs'!$B$10)+'Inputs'!$B$9)^2+('Inputs'!$B$8/2)^2)-(((266-43)*MAX('Inputs'!$B$33,'Inputs'!$B$29+'Inputs'!$B$31+'Inputs'!$B$32,'Inputs'!$B$30+'Inputs'!$B$31+'Inputs'!$B$32)/1000+'Inputs'!$B$21+'Inputs'!$B$7+'Inputs'!$B$10))/SQRT((((266-43)*MAX('Inputs'!$B$33,'Inputs'!$B$29+'Inputs'!$B$31+'Inputs'!$B$32,'Inputs'!$B$30+'Inputs'!$B$31+'Inputs'!$B$32)/1000+'Inputs'!$B$21+'Inputs'!$B$7+'Inputs'!$B$10))^2+('Inputs'!$B$8/2)^2))))*'Results'!$B$8),"")</x:f>
        <x:v>53.9531457895185</x:v>
      </x:c>
      <x:c r="K266" t="n">
        <x:f>IF(AND(ISNUMBER('Results'!B7),ISNUMBER('Results'!C7),ISNUMBER('Results'!$B$8),ISNUMBER('Inputs'!$B$6),ISNUMBER('Inputs'!$B$7),ISNUMBER('Inputs'!$B$8),ISNUMBER('Inputs'!$B$9),ISNUMBER('Inputs'!$B$10),ISNUMBER('Inputs'!$B$21),ISNUMBER('Inputs'!$B$24),ISNUMBER('Inputs'!$B$28)),((('Results'!B7*(1-'Inputs'!$B$24)*(0.5*((((266-43)*MAX('Inputs'!$B$33,'Inputs'!$B$29+'Inputs'!$B$31+'Inputs'!$B$32,'Inputs'!$B$30+'Inputs'!$B$31+'Inputs'!$B$32)/1000+'Inputs'!$B$21)+'Inputs'!$B$7)/SQRT((((266-43)*MAX('Inputs'!$B$33,'Inputs'!$B$29+'Inputs'!$B$31+'Inputs'!$B$32,'Inputs'!$B$30+'Inputs'!$B$31+'Inputs'!$B$32)/1000+'Inputs'!$B$21)+'Inputs'!$B$7)^2+('Inputs'!$B$6/2)^2)-(((266-43)*MAX('Inputs'!$B$33,'Inputs'!$B$29+'Inputs'!$B$31+'Inputs'!$B$32,'Inputs'!$B$30+'Inputs'!$B$31+'Inputs'!$B$32)/1000+'Inputs'!$B$21))/SQRT((((266-43)*MAX('Inputs'!$B$33,'Inputs'!$B$29+'Inputs'!$B$31+'Inputs'!$B$32,'Inputs'!$B$30+'Inputs'!$B$31+'Inputs'!$B$32)/1000+'Inputs'!$B$21))^2+('Inputs'!$B$6/2)^2)))-'Results'!C7*(1+'Inputs'!$B$24)*(0.5*((((266-43)*MAX('Inputs'!$B$33,'Inputs'!$B$29+'Inputs'!$B$31+'Inputs'!$B$32,'Inputs'!$B$30+'Inputs'!$B$31+'Inputs'!$B$32)/1000+'Inputs'!$B$21+'Inputs'!$B$7+'Inputs'!$B$10)+'Inputs'!$B$9)/SQRT((((266-43)*MAX('Inputs'!$B$33,'Inputs'!$B$29+'Inputs'!$B$31+'Inputs'!$B$32,'Inputs'!$B$30+'Inputs'!$B$31+'Inputs'!$B$32)/1000+'Inputs'!$B$21+'Inputs'!$B$7+'Inputs'!$B$10)+'Inputs'!$B$9)^2+('Inputs'!$B$8/2)^2)-(((266-43)*MAX('Inputs'!$B$33,'Inputs'!$B$29+'Inputs'!$B$31+'Inputs'!$B$32,'Inputs'!$B$30+'Inputs'!$B$31+'Inputs'!$B$32)/1000+'Inputs'!$B$21+'Inputs'!$B$7+'Inputs'!$B$10))/SQRT((((266-43)*MAX('Inputs'!$B$33,'Inputs'!$B$29+'Inputs'!$B$31+'Inputs'!$B$32,'Inputs'!$B$30+'Inputs'!$B$31+'Inputs'!$B$32)/1000+'Inputs'!$B$21+'Inputs'!$B$7+'Inputs'!$B$10))^2+('Inputs'!$B$8/2)^2))))*'Results'!$B$8)-'Inputs'!$B$28*ABS((('Results'!B7*(1-'Inputs'!$B$24)*(0.5*((((266-43)*MAX('Inputs'!$B$33,'Inputs'!$B$29+'Inputs'!$B$31+'Inputs'!$B$32,'Inputs'!$B$30+'Inputs'!$B$31+'Inputs'!$B$32)/1000+'Inputs'!$B$21)+'Inputs'!$B$7)/SQRT((((266-43)*MAX('Inputs'!$B$33,'Inputs'!$B$29+'Inputs'!$B$31+'Inputs'!$B$32,'Inputs'!$B$30+'Inputs'!$B$31+'Inputs'!$B$32)/1000+'Inputs'!$B$21)+'Inputs'!$B$7)^2+('Inputs'!$B$6/2)^2)-(((266-43)*MAX('Inputs'!$B$33,'Inputs'!$B$29+'Inputs'!$B$31+'Inputs'!$B$32,'Inputs'!$B$30+'Inputs'!$B$31+'Inputs'!$B$32)/1000+'Inputs'!$B$21))/SQRT((((266-43)*MAX('Inputs'!$B$33,'Inputs'!$B$29+'Inputs'!$B$31+'Inputs'!$B$32,'Inputs'!$B$30+'Inputs'!$B$31+'Inputs'!$B$32)/1000+'Inputs'!$B$21))^2+('Inputs'!$B$6/2)^2)))-'Results'!C7*(1+'Inputs'!$B$24)*(0.5*((((266-43)*MAX('Inputs'!$B$33,'Inputs'!$B$29+'Inputs'!$B$31+'Inputs'!$B$32,'Inputs'!$B$30+'Inputs'!$B$31+'Inputs'!$B$32)/1000+'Inputs'!$B$21+'Inputs'!$B$7+'Inputs'!$B$10)+'Inputs'!$B$9)/SQRT((((266-43)*MAX('Inputs'!$B$33,'Inputs'!$B$29+'Inputs'!$B$31+'Inputs'!$B$32,'Inputs'!$B$30+'Inputs'!$B$31+'Inputs'!$B$32)/1000+'Inputs'!$B$21+'Inputs'!$B$7+'Inputs'!$B$10)+'Inputs'!$B$9)^2+('Inputs'!$B$8/2)^2)-(((266-43)*MAX('Inputs'!$B$33,'Inputs'!$B$29+'Inputs'!$B$31+'Inputs'!$B$32,'Inputs'!$B$30+'Inputs'!$B$31+'Inputs'!$B$32)/1000+'Inputs'!$B$21+'Inputs'!$B$7+'Inputs'!$B$10))/SQRT((((266-43)*MAX('Inputs'!$B$33,'Inputs'!$B$29+'Inputs'!$B$31+'Inputs'!$B$32,'Inputs'!$B$30+'Inputs'!$B$31+'Inputs'!$B$32)/1000+'Inputs'!$B$21+'Inputs'!$B$7+'Inputs'!$B$10))^2+('Inputs'!$B$8/2)^2))))*'Results'!$B$8))),"")</x:f>
        <x:v>49.21597233204428</x:v>
      </x:c>
      <x:c r="L266" t="n">
        <x:f>IF(AND(ISNUMBER('Results'!B7),ISNUMBER('Results'!C7),ISNUMBER('Results'!$B$8),ISNUMBER('Inputs'!$B$6),ISNUMBER('Inputs'!$B$7),ISNUMBER('Inputs'!$B$8),ISNUMBER('Inputs'!$B$9),ISNUMBER('Inputs'!$B$10),ISNUMBER('Inputs'!$B$21),ISNUMBER('Inputs'!$B$24),ISNUMBER('Inputs'!$B$28)),((('Results'!B7*(1+'Inputs'!$B$24)*(0.5*((((266-43)*MAX('Inputs'!$B$33,'Inputs'!$B$29+'Inputs'!$B$31+'Inputs'!$B$32,'Inputs'!$B$30+'Inputs'!$B$31+'Inputs'!$B$32)/1000+'Inputs'!$B$21)+'Inputs'!$B$7)/SQRT((((266-43)*MAX('Inputs'!$B$33,'Inputs'!$B$29+'Inputs'!$B$31+'Inputs'!$B$32,'Inputs'!$B$30+'Inputs'!$B$31+'Inputs'!$B$32)/1000+'Inputs'!$B$21)+'Inputs'!$B$7)^2+('Inputs'!$B$6/2)^2)-(((266-43)*MAX('Inputs'!$B$33,'Inputs'!$B$29+'Inputs'!$B$31+'Inputs'!$B$32,'Inputs'!$B$30+'Inputs'!$B$31+'Inputs'!$B$32)/1000+'Inputs'!$B$21))/SQRT((((266-43)*MAX('Inputs'!$B$33,'Inputs'!$B$29+'Inputs'!$B$31+'Inputs'!$B$32,'Inputs'!$B$30+'Inputs'!$B$31+'Inputs'!$B$32)/1000+'Inputs'!$B$21))^2+('Inputs'!$B$6/2)^2)))-'Results'!C7*(1-'Inputs'!$B$24)*(0.5*((((266-43)*MAX('Inputs'!$B$33,'Inputs'!$B$29+'Inputs'!$B$31+'Inputs'!$B$32,'Inputs'!$B$30+'Inputs'!$B$31+'Inputs'!$B$32)/1000+'Inputs'!$B$21+'Inputs'!$B$7+'Inputs'!$B$10)+'Inputs'!$B$9)/SQRT((((266-43)*MAX('Inputs'!$B$33,'Inputs'!$B$29+'Inputs'!$B$31+'Inputs'!$B$32,'Inputs'!$B$30+'Inputs'!$B$31+'Inputs'!$B$32)/1000+'Inputs'!$B$21+'Inputs'!$B$7+'Inputs'!$B$10)+'Inputs'!$B$9)^2+('Inputs'!$B$8/2)^2)-(((266-43)*MAX('Inputs'!$B$33,'Inputs'!$B$29+'Inputs'!$B$31+'Inputs'!$B$32,'Inputs'!$B$30+'Inputs'!$B$31+'Inputs'!$B$32)/1000+'Inputs'!$B$21+'Inputs'!$B$7+'Inputs'!$B$10))/SQRT((((266-43)*MAX('Inputs'!$B$33,'Inputs'!$B$29+'Inputs'!$B$31+'Inputs'!$B$32,'Inputs'!$B$30+'Inputs'!$B$31+'Inputs'!$B$32)/1000+'Inputs'!$B$21+'Inputs'!$B$7+'Inputs'!$B$10))^2+('Inputs'!$B$8/2)^2))))*'Results'!$B$8)+'Inputs'!$B$28*ABS((('Results'!B7*(1+'Inputs'!$B$24)*(0.5*((((266-43)*MAX('Inputs'!$B$33,'Inputs'!$B$29+'Inputs'!$B$31+'Inputs'!$B$32,'Inputs'!$B$30+'Inputs'!$B$31+'Inputs'!$B$32)/1000+'Inputs'!$B$21)+'Inputs'!$B$7)/SQRT((((266-43)*MAX('Inputs'!$B$33,'Inputs'!$B$29+'Inputs'!$B$31+'Inputs'!$B$32,'Inputs'!$B$30+'Inputs'!$B$31+'Inputs'!$B$32)/1000+'Inputs'!$B$21)+'Inputs'!$B$7)^2+('Inputs'!$B$6/2)^2)-(((266-43)*MAX('Inputs'!$B$33,'Inputs'!$B$29+'Inputs'!$B$31+'Inputs'!$B$32,'Inputs'!$B$30+'Inputs'!$B$31+'Inputs'!$B$32)/1000+'Inputs'!$B$21))/SQRT((((266-43)*MAX('Inputs'!$B$33,'Inputs'!$B$29+'Inputs'!$B$31+'Inputs'!$B$32,'Inputs'!$B$30+'Inputs'!$B$31+'Inputs'!$B$32)/1000+'Inputs'!$B$21))^2+('Inputs'!$B$6/2)^2)))-'Results'!C7*(1-'Inputs'!$B$24)*(0.5*((((266-43)*MAX('Inputs'!$B$33,'Inputs'!$B$29+'Inputs'!$B$31+'Inputs'!$B$32,'Inputs'!$B$30+'Inputs'!$B$31+'Inputs'!$B$32)/1000+'Inputs'!$B$21+'Inputs'!$B$7+'Inputs'!$B$10)+'Inputs'!$B$9)/SQRT((((266-43)*MAX('Inputs'!$B$33,'Inputs'!$B$29+'Inputs'!$B$31+'Inputs'!$B$32,'Inputs'!$B$30+'Inputs'!$B$31+'Inputs'!$B$32)/1000+'Inputs'!$B$21+'Inputs'!$B$7+'Inputs'!$B$10)+'Inputs'!$B$9)^2+('Inputs'!$B$8/2)^2)-(((266-43)*MAX('Inputs'!$B$33,'Inputs'!$B$29+'Inputs'!$B$31+'Inputs'!$B$32,'Inputs'!$B$30+'Inputs'!$B$31+'Inputs'!$B$32)/1000+'Inputs'!$B$21+'Inputs'!$B$7+'Inputs'!$B$10))/SQRT((((266-43)*MAX('Inputs'!$B$33,'Inputs'!$B$29+'Inputs'!$B$31+'Inputs'!$B$32,'Inputs'!$B$30+'Inputs'!$B$31+'Inputs'!$B$32)/1000+'Inputs'!$B$21+'Inputs'!$B$7+'Inputs'!$B$10))^2+('Inputs'!$B$8/2)^2))))*'Results'!$B$8))),"")</x:f>
        <x:v>58.905005159413626</x:v>
      </x:c>
      <x:c r="M266" t="n">
        <x:f>IF(AND(ISNUMBER('Results'!C7),ISNUMBER('Results'!B7),ISNUMBER('Results'!$B$8),ISNUMBER('Inputs'!$B$6),ISNUMBER('Inputs'!$B$7),ISNUMBER('Inputs'!$B$8),ISNUMBER('Inputs'!$B$9),ISNUMBER('Inputs'!$B$10),ISNUMBER('Inputs'!$B$21),ISNUMBER('Inputs'!$B$24),ISNUMBER('Inputs'!$B$28)),(('Results'!C7*(0.5*((((266-43)*MAX('Inputs'!$B$33,'Inputs'!$B$29+'Inputs'!$B$31+'Inputs'!$B$32,'Inputs'!$B$30+'Inputs'!$B$31+'Inputs'!$B$32)/1000+'Inputs'!$B$21)+'Inputs'!$B$9)/SQRT((((266-43)*MAX('Inputs'!$B$33,'Inputs'!$B$29+'Inputs'!$B$31+'Inputs'!$B$32,'Inputs'!$B$30+'Inputs'!$B$31+'Inputs'!$B$32)/1000+'Inputs'!$B$21)+'Inputs'!$B$9)^2+('Inputs'!$B$8/2)^2)-(((266-43)*MAX('Inputs'!$B$33,'Inputs'!$B$29+'Inputs'!$B$31+'Inputs'!$B$32,'Inputs'!$B$30+'Inputs'!$B$31+'Inputs'!$B$32)/1000+'Inputs'!$B$21))/SQRT((((266-43)*MAX('Inputs'!$B$33,'Inputs'!$B$29+'Inputs'!$B$31+'Inputs'!$B$32,'Inputs'!$B$30+'Inputs'!$B$31+'Inputs'!$B$32)/1000+'Inputs'!$B$21))^2+('Inputs'!$B$8/2)^2)))-'Results'!B7*(0.5*((((266-43)*MAX('Inputs'!$B$33,'Inputs'!$B$29+'Inputs'!$B$31+'Inputs'!$B$32,'Inputs'!$B$30+'Inputs'!$B$31+'Inputs'!$B$32)/1000+'Inputs'!$B$21+'Inputs'!$B$9+'Inputs'!$B$10)+'Inputs'!$B$7)/SQRT((((266-43)*MAX('Inputs'!$B$33,'Inputs'!$B$29+'Inputs'!$B$31+'Inputs'!$B$32,'Inputs'!$B$30+'Inputs'!$B$31+'Inputs'!$B$32)/1000+'Inputs'!$B$21+'Inputs'!$B$9+'Inputs'!$B$10)+'Inputs'!$B$7)^2+('Inputs'!$B$6/2)^2)-(((266-43)*MAX('Inputs'!$B$33,'Inputs'!$B$29+'Inputs'!$B$31+'Inputs'!$B$32,'Inputs'!$B$30+'Inputs'!$B$31+'Inputs'!$B$32)/1000+'Inputs'!$B$21+'Inputs'!$B$9+'Inputs'!$B$10))/SQRT((((266-43)*MAX('Inputs'!$B$33,'Inputs'!$B$29+'Inputs'!$B$31+'Inputs'!$B$32,'Inputs'!$B$30+'Inputs'!$B$31+'Inputs'!$B$32)/1000+'Inputs'!$B$21+'Inputs'!$B$9+'Inputs'!$B$10))^2+('Inputs'!$B$6/2)^2))))*'Results'!$B$8),"")</x:f>
        <x:v>51.79539078563203</x:v>
      </x:c>
      <x:c r="N266" t="n">
        <x:f>IF(AND(ISNUMBER('Results'!C7),ISNUMBER('Results'!B7),ISNUMBER('Results'!$B$8),ISNUMBER('Inputs'!$B$6),ISNUMBER('Inputs'!$B$7),ISNUMBER('Inputs'!$B$8),ISNUMBER('Inputs'!$B$9),ISNUMBER('Inputs'!$B$10),ISNUMBER('Inputs'!$B$21),ISNUMBER('Inputs'!$B$24),ISNUMBER('Inputs'!$B$28)),((('Results'!C7*(1-'Inputs'!$B$24)*(0.5*((((266-43)*MAX('Inputs'!$B$33,'Inputs'!$B$29+'Inputs'!$B$31+'Inputs'!$B$32,'Inputs'!$B$30+'Inputs'!$B$31+'Inputs'!$B$32)/1000+'Inputs'!$B$21)+'Inputs'!$B$9)/SQRT((((266-43)*MAX('Inputs'!$B$33,'Inputs'!$B$29+'Inputs'!$B$31+'Inputs'!$B$32,'Inputs'!$B$30+'Inputs'!$B$31+'Inputs'!$B$32)/1000+'Inputs'!$B$21)+'Inputs'!$B$9)^2+('Inputs'!$B$8/2)^2)-(((266-43)*MAX('Inputs'!$B$33,'Inputs'!$B$29+'Inputs'!$B$31+'Inputs'!$B$32,'Inputs'!$B$30+'Inputs'!$B$31+'Inputs'!$B$32)/1000+'Inputs'!$B$21))/SQRT((((266-43)*MAX('Inputs'!$B$33,'Inputs'!$B$29+'Inputs'!$B$31+'Inputs'!$B$32,'Inputs'!$B$30+'Inputs'!$B$31+'Inputs'!$B$32)/1000+'Inputs'!$B$21))^2+('Inputs'!$B$8/2)^2)))-'Results'!B7*(1+'Inputs'!$B$24)*(0.5*((((266-43)*MAX('Inputs'!$B$33,'Inputs'!$B$29+'Inputs'!$B$31+'Inputs'!$B$32,'Inputs'!$B$30+'Inputs'!$B$31+'Inputs'!$B$32)/1000+'Inputs'!$B$21+'Inputs'!$B$9+'Inputs'!$B$10)+'Inputs'!$B$7)/SQRT((((266-43)*MAX('Inputs'!$B$33,'Inputs'!$B$29+'Inputs'!$B$31+'Inputs'!$B$32,'Inputs'!$B$30+'Inputs'!$B$31+'Inputs'!$B$32)/1000+'Inputs'!$B$21+'Inputs'!$B$9+'Inputs'!$B$10)+'Inputs'!$B$7)^2+('Inputs'!$B$6/2)^2)-(((266-43)*MAX('Inputs'!$B$33,'Inputs'!$B$29+'Inputs'!$B$31+'Inputs'!$B$32,'Inputs'!$B$30+'Inputs'!$B$31+'Inputs'!$B$32)/1000+'Inputs'!$B$21+'Inputs'!$B$9+'Inputs'!$B$10))/SQRT((((266-43)*MAX('Inputs'!$B$33,'Inputs'!$B$29+'Inputs'!$B$31+'Inputs'!$B$32,'Inputs'!$B$30+'Inputs'!$B$31+'Inputs'!$B$32)/1000+'Inputs'!$B$21+'Inputs'!$B$9+'Inputs'!$B$10))^2+('Inputs'!$B$6/2)^2))))*'Results'!$B$8)-'Inputs'!$B$28*ABS((('Results'!C7*(1-'Inputs'!$B$24)*(0.5*((((266-43)*MAX('Inputs'!$B$33,'Inputs'!$B$29+'Inputs'!$B$31+'Inputs'!$B$32,'Inputs'!$B$30+'Inputs'!$B$31+'Inputs'!$B$32)/1000+'Inputs'!$B$21)+'Inputs'!$B$9)/SQRT((((266-43)*MAX('Inputs'!$B$33,'Inputs'!$B$29+'Inputs'!$B$31+'Inputs'!$B$32,'Inputs'!$B$30+'Inputs'!$B$31+'Inputs'!$B$32)/1000+'Inputs'!$B$21)+'Inputs'!$B$9)^2+('Inputs'!$B$8/2)^2)-(((266-43)*MAX('Inputs'!$B$33,'Inputs'!$B$29+'Inputs'!$B$31+'Inputs'!$B$32,'Inputs'!$B$30+'Inputs'!$B$31+'Inputs'!$B$32)/1000+'Inputs'!$B$21))/SQRT((((266-43)*MAX('Inputs'!$B$33,'Inputs'!$B$29+'Inputs'!$B$31+'Inputs'!$B$32,'Inputs'!$B$30+'Inputs'!$B$31+'Inputs'!$B$32)/1000+'Inputs'!$B$21))^2+('Inputs'!$B$8/2)^2)))-'Results'!B7*(1+'Inputs'!$B$24)*(0.5*((((266-43)*MAX('Inputs'!$B$33,'Inputs'!$B$29+'Inputs'!$B$31+'Inputs'!$B$32,'Inputs'!$B$30+'Inputs'!$B$31+'Inputs'!$B$32)/1000+'Inputs'!$B$21+'Inputs'!$B$9+'Inputs'!$B$10)+'Inputs'!$B$7)/SQRT((((266-43)*MAX('Inputs'!$B$33,'Inputs'!$B$29+'Inputs'!$B$31+'Inputs'!$B$32,'Inputs'!$B$30+'Inputs'!$B$31+'Inputs'!$B$32)/1000+'Inputs'!$B$21+'Inputs'!$B$9+'Inputs'!$B$10)+'Inputs'!$B$7)^2+('Inputs'!$B$6/2)^2)-(((266-43)*MAX('Inputs'!$B$33,'Inputs'!$B$29+'Inputs'!$B$31+'Inputs'!$B$32,'Inputs'!$B$30+'Inputs'!$B$31+'Inputs'!$B$32)/1000+'Inputs'!$B$21+'Inputs'!$B$9+'Inputs'!$B$10))/SQRT((((266-43)*MAX('Inputs'!$B$33,'Inputs'!$B$29+'Inputs'!$B$31+'Inputs'!$B$32,'Inputs'!$B$30+'Inputs'!$B$31+'Inputs'!$B$32)/1000+'Inputs'!$B$21+'Inputs'!$B$9+'Inputs'!$B$10))^2+('Inputs'!$B$6/2)^2))))*'Results'!$B$8))),"")</x:f>
        <x:v>47.18640025203826</x:v>
      </x:c>
      <x:c r="O266" t="n">
        <x:f>IF(AND(ISNUMBER('Results'!C7),ISNUMBER('Results'!B7),ISNUMBER('Results'!$B$8),ISNUMBER('Inputs'!$B$6),ISNUMBER('Inputs'!$B$7),ISNUMBER('Inputs'!$B$8),ISNUMBER('Inputs'!$B$9),ISNUMBER('Inputs'!$B$10),ISNUMBER('Inputs'!$B$21),ISNUMBER('Inputs'!$B$24),ISNUMBER('Inputs'!$B$28)),((('Results'!C7*(1+'Inputs'!$B$24)*(0.5*((((266-43)*MAX('Inputs'!$B$33,'Inputs'!$B$29+'Inputs'!$B$31+'Inputs'!$B$32,'Inputs'!$B$30+'Inputs'!$B$31+'Inputs'!$B$32)/1000+'Inputs'!$B$21)+'Inputs'!$B$9)/SQRT((((266-43)*MAX('Inputs'!$B$33,'Inputs'!$B$29+'Inputs'!$B$31+'Inputs'!$B$32,'Inputs'!$B$30+'Inputs'!$B$31+'Inputs'!$B$32)/1000+'Inputs'!$B$21)+'Inputs'!$B$9)^2+('Inputs'!$B$8/2)^2)-(((266-43)*MAX('Inputs'!$B$33,'Inputs'!$B$29+'Inputs'!$B$31+'Inputs'!$B$32,'Inputs'!$B$30+'Inputs'!$B$31+'Inputs'!$B$32)/1000+'Inputs'!$B$21))/SQRT((((266-43)*MAX('Inputs'!$B$33,'Inputs'!$B$29+'Inputs'!$B$31+'Inputs'!$B$32,'Inputs'!$B$30+'Inputs'!$B$31+'Inputs'!$B$32)/1000+'Inputs'!$B$21))^2+('Inputs'!$B$8/2)^2)))-'Results'!B7*(1-'Inputs'!$B$24)*(0.5*((((266-43)*MAX('Inputs'!$B$33,'Inputs'!$B$29+'Inputs'!$B$31+'Inputs'!$B$32,'Inputs'!$B$30+'Inputs'!$B$31+'Inputs'!$B$32)/1000+'Inputs'!$B$21+'Inputs'!$B$9+'Inputs'!$B$10)+'Inputs'!$B$7)/SQRT((((266-43)*MAX('Inputs'!$B$33,'Inputs'!$B$29+'Inputs'!$B$31+'Inputs'!$B$32,'Inputs'!$B$30+'Inputs'!$B$31+'Inputs'!$B$32)/1000+'Inputs'!$B$21+'Inputs'!$B$9+'Inputs'!$B$10)+'Inputs'!$B$7)^2+('Inputs'!$B$6/2)^2)-(((266-43)*MAX('Inputs'!$B$33,'Inputs'!$B$29+'Inputs'!$B$31+'Inputs'!$B$32,'Inputs'!$B$30+'Inputs'!$B$31+'Inputs'!$B$32)/1000+'Inputs'!$B$21+'Inputs'!$B$9+'Inputs'!$B$10))/SQRT((((266-43)*MAX('Inputs'!$B$33,'Inputs'!$B$29+'Inputs'!$B$31+'Inputs'!$B$32,'Inputs'!$B$30+'Inputs'!$B$31+'Inputs'!$B$32)/1000+'Inputs'!$B$21+'Inputs'!$B$9+'Inputs'!$B$10))^2+('Inputs'!$B$6/2)^2))))*'Results'!$B$8)+'Inputs'!$B$28*ABS((('Results'!C7*(1+'Inputs'!$B$24)*(0.5*((((266-43)*MAX('Inputs'!$B$33,'Inputs'!$B$29+'Inputs'!$B$31+'Inputs'!$B$32,'Inputs'!$B$30+'Inputs'!$B$31+'Inputs'!$B$32)/1000+'Inputs'!$B$21)+'Inputs'!$B$9)/SQRT((((266-43)*MAX('Inputs'!$B$33,'Inputs'!$B$29+'Inputs'!$B$31+'Inputs'!$B$32,'Inputs'!$B$30+'Inputs'!$B$31+'Inputs'!$B$32)/1000+'Inputs'!$B$21)+'Inputs'!$B$9)^2+('Inputs'!$B$8/2)^2)-(((266-43)*MAX('Inputs'!$B$33,'Inputs'!$B$29+'Inputs'!$B$31+'Inputs'!$B$32,'Inputs'!$B$30+'Inputs'!$B$31+'Inputs'!$B$32)/1000+'Inputs'!$B$21))/SQRT((((266-43)*MAX('Inputs'!$B$33,'Inputs'!$B$29+'Inputs'!$B$31+'Inputs'!$B$32,'Inputs'!$B$30+'Inputs'!$B$31+'Inputs'!$B$32)/1000+'Inputs'!$B$21))^2+('Inputs'!$B$8/2)^2)))-'Results'!B7*(1-'Inputs'!$B$24)*(0.5*((((266-43)*MAX('Inputs'!$B$33,'Inputs'!$B$29+'Inputs'!$B$31+'Inputs'!$B$32,'Inputs'!$B$30+'Inputs'!$B$31+'Inputs'!$B$32)/1000+'Inputs'!$B$21+'Inputs'!$B$9+'Inputs'!$B$10)+'Inputs'!$B$7)/SQRT((((266-43)*MAX('Inputs'!$B$33,'Inputs'!$B$29+'Inputs'!$B$31+'Inputs'!$B$32,'Inputs'!$B$30+'Inputs'!$B$31+'Inputs'!$B$32)/1000+'Inputs'!$B$21+'Inputs'!$B$9+'Inputs'!$B$10)+'Inputs'!$B$7)^2+('Inputs'!$B$6/2)^2)-(((266-43)*MAX('Inputs'!$B$33,'Inputs'!$B$29+'Inputs'!$B$31+'Inputs'!$B$32,'Inputs'!$B$30+'Inputs'!$B$31+'Inputs'!$B$32)/1000+'Inputs'!$B$21+'Inputs'!$B$9+'Inputs'!$B$10))/SQRT((((266-43)*MAX('Inputs'!$B$33,'Inputs'!$B$29+'Inputs'!$B$31+'Inputs'!$B$32,'Inputs'!$B$30+'Inputs'!$B$31+'Inputs'!$B$32)/1000+'Inputs'!$B$21+'Inputs'!$B$9+'Inputs'!$B$10))^2+('Inputs'!$B$6/2)^2))))*'Results'!$B$8))),"")</x:f>
        <x:v>56.61693089757445</x:v>
      </x:c>
      <x:c r="P266" t="n">
        <x:f>IF(AND(MAX(J266,J265)&gt;0,J266&gt;J265+0.00000001),1,0)</x:f>
        <x:v>0</x:v>
      </x:c>
      <x:c r="Q266" t="n">
        <x:f>IF(AND(MAX(K266,K265)&gt;0,K266&gt;K265+0.00000001),1,0)</x:f>
        <x:v>0</x:v>
      </x:c>
      <x:c r="R266" t="n">
        <x:f>IF(AND(MAX(L266,L265)&gt;0,L266&gt;L265+0.00000001),1,0)</x:f>
        <x:v>0</x:v>
      </x:c>
      <x:c r="S266" t="n">
        <x:f>IF(AND(MAX(M266,M265)&gt;0,M266&gt;M265+0.00000001),1,0)</x:f>
        <x:v>0</x:v>
      </x:c>
      <x:c r="T266" t="n">
        <x:f>IF(AND(MAX(N266,N265)&gt;0,N266&gt;N265+0.00000001),1,0)</x:f>
        <x:v>0</x:v>
      </x:c>
      <x:c r="U266" t="n">
        <x:f>IF(AND(MAX(O266,O265)&gt;0,O266&gt;O265+0.00000001),1,0)</x:f>
        <x:v>0</x:v>
      </x:c>
    </x:row>
    <x:row r="267">
      <x:c r="J267" t="n">
        <x:f>IF(AND(ISNUMBER('Results'!B7),ISNUMBER('Results'!C7),ISNUMBER('Results'!$B$8),ISNUMBER('Inputs'!$B$6),ISNUMBER('Inputs'!$B$7),ISNUMBER('Inputs'!$B$8),ISNUMBER('Inputs'!$B$9),ISNUMBER('Inputs'!$B$10),ISNUMBER('Inputs'!$B$21),ISNUMBER('Inputs'!$B$24),ISNUMBER('Inputs'!$B$28)),(('Results'!B7*(0.5*((((267-43)*MAX('Inputs'!$B$33,'Inputs'!$B$29+'Inputs'!$B$31+'Inputs'!$B$32,'Inputs'!$B$30+'Inputs'!$B$31+'Inputs'!$B$32)/1000+'Inputs'!$B$21)+'Inputs'!$B$7)/SQRT((((267-43)*MAX('Inputs'!$B$33,'Inputs'!$B$29+'Inputs'!$B$31+'Inputs'!$B$32,'Inputs'!$B$30+'Inputs'!$B$31+'Inputs'!$B$32)/1000+'Inputs'!$B$21)+'Inputs'!$B$7)^2+('Inputs'!$B$6/2)^2)-(((267-43)*MAX('Inputs'!$B$33,'Inputs'!$B$29+'Inputs'!$B$31+'Inputs'!$B$32,'Inputs'!$B$30+'Inputs'!$B$31+'Inputs'!$B$32)/1000+'Inputs'!$B$21))/SQRT((((267-43)*MAX('Inputs'!$B$33,'Inputs'!$B$29+'Inputs'!$B$31+'Inputs'!$B$32,'Inputs'!$B$30+'Inputs'!$B$31+'Inputs'!$B$32)/1000+'Inputs'!$B$21))^2+('Inputs'!$B$6/2)^2)))-'Results'!C7*(0.5*((((267-43)*MAX('Inputs'!$B$33,'Inputs'!$B$29+'Inputs'!$B$31+'Inputs'!$B$32,'Inputs'!$B$30+'Inputs'!$B$31+'Inputs'!$B$32)/1000+'Inputs'!$B$21+'Inputs'!$B$7+'Inputs'!$B$10)+'Inputs'!$B$9)/SQRT((((267-43)*MAX('Inputs'!$B$33,'Inputs'!$B$29+'Inputs'!$B$31+'Inputs'!$B$32,'Inputs'!$B$30+'Inputs'!$B$31+'Inputs'!$B$32)/1000+'Inputs'!$B$21+'Inputs'!$B$7+'Inputs'!$B$10)+'Inputs'!$B$9)^2+('Inputs'!$B$8/2)^2)-(((267-43)*MAX('Inputs'!$B$33,'Inputs'!$B$29+'Inputs'!$B$31+'Inputs'!$B$32,'Inputs'!$B$30+'Inputs'!$B$31+'Inputs'!$B$32)/1000+'Inputs'!$B$21+'Inputs'!$B$7+'Inputs'!$B$10))/SQRT((((267-43)*MAX('Inputs'!$B$33,'Inputs'!$B$29+'Inputs'!$B$31+'Inputs'!$B$32,'Inputs'!$B$30+'Inputs'!$B$31+'Inputs'!$B$32)/1000+'Inputs'!$B$21+'Inputs'!$B$7+'Inputs'!$B$10))^2+('Inputs'!$B$8/2)^2))))*'Results'!$B$8),"")</x:f>
        <x:v>53.26715793892508</x:v>
      </x:c>
      <x:c r="K267" t="n">
        <x:f>IF(AND(ISNUMBER('Results'!B7),ISNUMBER('Results'!C7),ISNUMBER('Results'!$B$8),ISNUMBER('Inputs'!$B$6),ISNUMBER('Inputs'!$B$7),ISNUMBER('Inputs'!$B$8),ISNUMBER('Inputs'!$B$9),ISNUMBER('Inputs'!$B$10),ISNUMBER('Inputs'!$B$21),ISNUMBER('Inputs'!$B$24),ISNUMBER('Inputs'!$B$28)),((('Results'!B7*(1-'Inputs'!$B$24)*(0.5*((((267-43)*MAX('Inputs'!$B$33,'Inputs'!$B$29+'Inputs'!$B$31+'Inputs'!$B$32,'Inputs'!$B$30+'Inputs'!$B$31+'Inputs'!$B$32)/1000+'Inputs'!$B$21)+'Inputs'!$B$7)/SQRT((((267-43)*MAX('Inputs'!$B$33,'Inputs'!$B$29+'Inputs'!$B$31+'Inputs'!$B$32,'Inputs'!$B$30+'Inputs'!$B$31+'Inputs'!$B$32)/1000+'Inputs'!$B$21)+'Inputs'!$B$7)^2+('Inputs'!$B$6/2)^2)-(((267-43)*MAX('Inputs'!$B$33,'Inputs'!$B$29+'Inputs'!$B$31+'Inputs'!$B$32,'Inputs'!$B$30+'Inputs'!$B$31+'Inputs'!$B$32)/1000+'Inputs'!$B$21))/SQRT((((267-43)*MAX('Inputs'!$B$33,'Inputs'!$B$29+'Inputs'!$B$31+'Inputs'!$B$32,'Inputs'!$B$30+'Inputs'!$B$31+'Inputs'!$B$32)/1000+'Inputs'!$B$21))^2+('Inputs'!$B$6/2)^2)))-'Results'!C7*(1+'Inputs'!$B$24)*(0.5*((((267-43)*MAX('Inputs'!$B$33,'Inputs'!$B$29+'Inputs'!$B$31+'Inputs'!$B$32,'Inputs'!$B$30+'Inputs'!$B$31+'Inputs'!$B$32)/1000+'Inputs'!$B$21+'Inputs'!$B$7+'Inputs'!$B$10)+'Inputs'!$B$9)/SQRT((((267-43)*MAX('Inputs'!$B$33,'Inputs'!$B$29+'Inputs'!$B$31+'Inputs'!$B$32,'Inputs'!$B$30+'Inputs'!$B$31+'Inputs'!$B$32)/1000+'Inputs'!$B$21+'Inputs'!$B$7+'Inputs'!$B$10)+'Inputs'!$B$9)^2+('Inputs'!$B$8/2)^2)-(((267-43)*MAX('Inputs'!$B$33,'Inputs'!$B$29+'Inputs'!$B$31+'Inputs'!$B$32,'Inputs'!$B$30+'Inputs'!$B$31+'Inputs'!$B$32)/1000+'Inputs'!$B$21+'Inputs'!$B$7+'Inputs'!$B$10))/SQRT((((267-43)*MAX('Inputs'!$B$33,'Inputs'!$B$29+'Inputs'!$B$31+'Inputs'!$B$32,'Inputs'!$B$30+'Inputs'!$B$31+'Inputs'!$B$32)/1000+'Inputs'!$B$21+'Inputs'!$B$7+'Inputs'!$B$10))^2+('Inputs'!$B$8/2)^2))))*'Results'!$B$8)-'Inputs'!$B$28*ABS((('Results'!B7*(1-'Inputs'!$B$24)*(0.5*((((267-43)*MAX('Inputs'!$B$33,'Inputs'!$B$29+'Inputs'!$B$31+'Inputs'!$B$32,'Inputs'!$B$30+'Inputs'!$B$31+'Inputs'!$B$32)/1000+'Inputs'!$B$21)+'Inputs'!$B$7)/SQRT((((267-43)*MAX('Inputs'!$B$33,'Inputs'!$B$29+'Inputs'!$B$31+'Inputs'!$B$32,'Inputs'!$B$30+'Inputs'!$B$31+'Inputs'!$B$32)/1000+'Inputs'!$B$21)+'Inputs'!$B$7)^2+('Inputs'!$B$6/2)^2)-(((267-43)*MAX('Inputs'!$B$33,'Inputs'!$B$29+'Inputs'!$B$31+'Inputs'!$B$32,'Inputs'!$B$30+'Inputs'!$B$31+'Inputs'!$B$32)/1000+'Inputs'!$B$21))/SQRT((((267-43)*MAX('Inputs'!$B$33,'Inputs'!$B$29+'Inputs'!$B$31+'Inputs'!$B$32,'Inputs'!$B$30+'Inputs'!$B$31+'Inputs'!$B$32)/1000+'Inputs'!$B$21))^2+('Inputs'!$B$6/2)^2)))-'Results'!C7*(1+'Inputs'!$B$24)*(0.5*((((267-43)*MAX('Inputs'!$B$33,'Inputs'!$B$29+'Inputs'!$B$31+'Inputs'!$B$32,'Inputs'!$B$30+'Inputs'!$B$31+'Inputs'!$B$32)/1000+'Inputs'!$B$21+'Inputs'!$B$7+'Inputs'!$B$10)+'Inputs'!$B$9)/SQRT((((267-43)*MAX('Inputs'!$B$33,'Inputs'!$B$29+'Inputs'!$B$31+'Inputs'!$B$32,'Inputs'!$B$30+'Inputs'!$B$31+'Inputs'!$B$32)/1000+'Inputs'!$B$21+'Inputs'!$B$7+'Inputs'!$B$10)+'Inputs'!$B$9)^2+('Inputs'!$B$8/2)^2)-(((267-43)*MAX('Inputs'!$B$33,'Inputs'!$B$29+'Inputs'!$B$31+'Inputs'!$B$32,'Inputs'!$B$30+'Inputs'!$B$31+'Inputs'!$B$32)/1000+'Inputs'!$B$21+'Inputs'!$B$7+'Inputs'!$B$10))/SQRT((((267-43)*MAX('Inputs'!$B$33,'Inputs'!$B$29+'Inputs'!$B$31+'Inputs'!$B$32,'Inputs'!$B$30+'Inputs'!$B$31+'Inputs'!$B$32)/1000+'Inputs'!$B$21+'Inputs'!$B$7+'Inputs'!$B$10))^2+('Inputs'!$B$8/2)^2))))*'Results'!$B$8))),"")</x:f>
        <x:v>48.58541481224263</x:v>
      </x:c>
      <x:c r="L267" t="n">
        <x:f>IF(AND(ISNUMBER('Results'!B7),ISNUMBER('Results'!C7),ISNUMBER('Results'!$B$8),ISNUMBER('Inputs'!$B$6),ISNUMBER('Inputs'!$B$7),ISNUMBER('Inputs'!$B$8),ISNUMBER('Inputs'!$B$9),ISNUMBER('Inputs'!$B$10),ISNUMBER('Inputs'!$B$21),ISNUMBER('Inputs'!$B$24),ISNUMBER('Inputs'!$B$28)),((('Results'!B7*(1+'Inputs'!$B$24)*(0.5*((((267-43)*MAX('Inputs'!$B$33,'Inputs'!$B$29+'Inputs'!$B$31+'Inputs'!$B$32,'Inputs'!$B$30+'Inputs'!$B$31+'Inputs'!$B$32)/1000+'Inputs'!$B$21)+'Inputs'!$B$7)/SQRT((((267-43)*MAX('Inputs'!$B$33,'Inputs'!$B$29+'Inputs'!$B$31+'Inputs'!$B$32,'Inputs'!$B$30+'Inputs'!$B$31+'Inputs'!$B$32)/1000+'Inputs'!$B$21)+'Inputs'!$B$7)^2+('Inputs'!$B$6/2)^2)-(((267-43)*MAX('Inputs'!$B$33,'Inputs'!$B$29+'Inputs'!$B$31+'Inputs'!$B$32,'Inputs'!$B$30+'Inputs'!$B$31+'Inputs'!$B$32)/1000+'Inputs'!$B$21))/SQRT((((267-43)*MAX('Inputs'!$B$33,'Inputs'!$B$29+'Inputs'!$B$31+'Inputs'!$B$32,'Inputs'!$B$30+'Inputs'!$B$31+'Inputs'!$B$32)/1000+'Inputs'!$B$21))^2+('Inputs'!$B$6/2)^2)))-'Results'!C7*(1-'Inputs'!$B$24)*(0.5*((((267-43)*MAX('Inputs'!$B$33,'Inputs'!$B$29+'Inputs'!$B$31+'Inputs'!$B$32,'Inputs'!$B$30+'Inputs'!$B$31+'Inputs'!$B$32)/1000+'Inputs'!$B$21+'Inputs'!$B$7+'Inputs'!$B$10)+'Inputs'!$B$9)/SQRT((((267-43)*MAX('Inputs'!$B$33,'Inputs'!$B$29+'Inputs'!$B$31+'Inputs'!$B$32,'Inputs'!$B$30+'Inputs'!$B$31+'Inputs'!$B$32)/1000+'Inputs'!$B$21+'Inputs'!$B$7+'Inputs'!$B$10)+'Inputs'!$B$9)^2+('Inputs'!$B$8/2)^2)-(((267-43)*MAX('Inputs'!$B$33,'Inputs'!$B$29+'Inputs'!$B$31+'Inputs'!$B$32,'Inputs'!$B$30+'Inputs'!$B$31+'Inputs'!$B$32)/1000+'Inputs'!$B$21+'Inputs'!$B$7+'Inputs'!$B$10))/SQRT((((267-43)*MAX('Inputs'!$B$33,'Inputs'!$B$29+'Inputs'!$B$31+'Inputs'!$B$32,'Inputs'!$B$30+'Inputs'!$B$31+'Inputs'!$B$32)/1000+'Inputs'!$B$21+'Inputs'!$B$7+'Inputs'!$B$10))^2+('Inputs'!$B$8/2)^2))))*'Results'!$B$8)+'Inputs'!$B$28*ABS((('Results'!B7*(1+'Inputs'!$B$24)*(0.5*((((267-43)*MAX('Inputs'!$B$33,'Inputs'!$B$29+'Inputs'!$B$31+'Inputs'!$B$32,'Inputs'!$B$30+'Inputs'!$B$31+'Inputs'!$B$32)/1000+'Inputs'!$B$21)+'Inputs'!$B$7)/SQRT((((267-43)*MAX('Inputs'!$B$33,'Inputs'!$B$29+'Inputs'!$B$31+'Inputs'!$B$32,'Inputs'!$B$30+'Inputs'!$B$31+'Inputs'!$B$32)/1000+'Inputs'!$B$21)+'Inputs'!$B$7)^2+('Inputs'!$B$6/2)^2)-(((267-43)*MAX('Inputs'!$B$33,'Inputs'!$B$29+'Inputs'!$B$31+'Inputs'!$B$32,'Inputs'!$B$30+'Inputs'!$B$31+'Inputs'!$B$32)/1000+'Inputs'!$B$21))/SQRT((((267-43)*MAX('Inputs'!$B$33,'Inputs'!$B$29+'Inputs'!$B$31+'Inputs'!$B$32,'Inputs'!$B$30+'Inputs'!$B$31+'Inputs'!$B$32)/1000+'Inputs'!$B$21))^2+('Inputs'!$B$6/2)^2)))-'Results'!C7*(1-'Inputs'!$B$24)*(0.5*((((267-43)*MAX('Inputs'!$B$33,'Inputs'!$B$29+'Inputs'!$B$31+'Inputs'!$B$32,'Inputs'!$B$30+'Inputs'!$B$31+'Inputs'!$B$32)/1000+'Inputs'!$B$21+'Inputs'!$B$7+'Inputs'!$B$10)+'Inputs'!$B$9)/SQRT((((267-43)*MAX('Inputs'!$B$33,'Inputs'!$B$29+'Inputs'!$B$31+'Inputs'!$B$32,'Inputs'!$B$30+'Inputs'!$B$31+'Inputs'!$B$32)/1000+'Inputs'!$B$21+'Inputs'!$B$7+'Inputs'!$B$10)+'Inputs'!$B$9)^2+('Inputs'!$B$8/2)^2)-(((267-43)*MAX('Inputs'!$B$33,'Inputs'!$B$29+'Inputs'!$B$31+'Inputs'!$B$32,'Inputs'!$B$30+'Inputs'!$B$31+'Inputs'!$B$32)/1000+'Inputs'!$B$21+'Inputs'!$B$7+'Inputs'!$B$10))/SQRT((((267-43)*MAX('Inputs'!$B$33,'Inputs'!$B$29+'Inputs'!$B$31+'Inputs'!$B$32,'Inputs'!$B$30+'Inputs'!$B$31+'Inputs'!$B$32)/1000+'Inputs'!$B$21+'Inputs'!$B$7+'Inputs'!$B$10))^2+('Inputs'!$B$8/2)^2))))*'Results'!$B$8))),"")</x:f>
        <x:v>58.16136266873765</x:v>
      </x:c>
      <x:c r="M267" t="n">
        <x:f>IF(AND(ISNUMBER('Results'!C7),ISNUMBER('Results'!B7),ISNUMBER('Results'!$B$8),ISNUMBER('Inputs'!$B$6),ISNUMBER('Inputs'!$B$7),ISNUMBER('Inputs'!$B$8),ISNUMBER('Inputs'!$B$9),ISNUMBER('Inputs'!$B$10),ISNUMBER('Inputs'!$B$21),ISNUMBER('Inputs'!$B$24),ISNUMBER('Inputs'!$B$28)),(('Results'!C7*(0.5*((((267-43)*MAX('Inputs'!$B$33,'Inputs'!$B$29+'Inputs'!$B$31+'Inputs'!$B$32,'Inputs'!$B$30+'Inputs'!$B$31+'Inputs'!$B$32)/1000+'Inputs'!$B$21)+'Inputs'!$B$9)/SQRT((((267-43)*MAX('Inputs'!$B$33,'Inputs'!$B$29+'Inputs'!$B$31+'Inputs'!$B$32,'Inputs'!$B$30+'Inputs'!$B$31+'Inputs'!$B$32)/1000+'Inputs'!$B$21)+'Inputs'!$B$9)^2+('Inputs'!$B$8/2)^2)-(((267-43)*MAX('Inputs'!$B$33,'Inputs'!$B$29+'Inputs'!$B$31+'Inputs'!$B$32,'Inputs'!$B$30+'Inputs'!$B$31+'Inputs'!$B$32)/1000+'Inputs'!$B$21))/SQRT((((267-43)*MAX('Inputs'!$B$33,'Inputs'!$B$29+'Inputs'!$B$31+'Inputs'!$B$32,'Inputs'!$B$30+'Inputs'!$B$31+'Inputs'!$B$32)/1000+'Inputs'!$B$21))^2+('Inputs'!$B$8/2)^2)))-'Results'!B7*(0.5*((((267-43)*MAX('Inputs'!$B$33,'Inputs'!$B$29+'Inputs'!$B$31+'Inputs'!$B$32,'Inputs'!$B$30+'Inputs'!$B$31+'Inputs'!$B$32)/1000+'Inputs'!$B$21+'Inputs'!$B$9+'Inputs'!$B$10)+'Inputs'!$B$7)/SQRT((((267-43)*MAX('Inputs'!$B$33,'Inputs'!$B$29+'Inputs'!$B$31+'Inputs'!$B$32,'Inputs'!$B$30+'Inputs'!$B$31+'Inputs'!$B$32)/1000+'Inputs'!$B$21+'Inputs'!$B$9+'Inputs'!$B$10)+'Inputs'!$B$7)^2+('Inputs'!$B$6/2)^2)-(((267-43)*MAX('Inputs'!$B$33,'Inputs'!$B$29+'Inputs'!$B$31+'Inputs'!$B$32,'Inputs'!$B$30+'Inputs'!$B$31+'Inputs'!$B$32)/1000+'Inputs'!$B$21+'Inputs'!$B$9+'Inputs'!$B$10))/SQRT((((267-43)*MAX('Inputs'!$B$33,'Inputs'!$B$29+'Inputs'!$B$31+'Inputs'!$B$32,'Inputs'!$B$30+'Inputs'!$B$31+'Inputs'!$B$32)/1000+'Inputs'!$B$21+'Inputs'!$B$9+'Inputs'!$B$10))^2+('Inputs'!$B$6/2)^2))))*'Results'!$B$8),"")</x:f>
        <x:v>51.13173300076135</x:v>
      </x:c>
      <x:c r="N267" t="n">
        <x:f>IF(AND(ISNUMBER('Results'!C7),ISNUMBER('Results'!B7),ISNUMBER('Results'!$B$8),ISNUMBER('Inputs'!$B$6),ISNUMBER('Inputs'!$B$7),ISNUMBER('Inputs'!$B$8),ISNUMBER('Inputs'!$B$9),ISNUMBER('Inputs'!$B$10),ISNUMBER('Inputs'!$B$21),ISNUMBER('Inputs'!$B$24),ISNUMBER('Inputs'!$B$28)),((('Results'!C7*(1-'Inputs'!$B$24)*(0.5*((((267-43)*MAX('Inputs'!$B$33,'Inputs'!$B$29+'Inputs'!$B$31+'Inputs'!$B$32,'Inputs'!$B$30+'Inputs'!$B$31+'Inputs'!$B$32)/1000+'Inputs'!$B$21)+'Inputs'!$B$9)/SQRT((((267-43)*MAX('Inputs'!$B$33,'Inputs'!$B$29+'Inputs'!$B$31+'Inputs'!$B$32,'Inputs'!$B$30+'Inputs'!$B$31+'Inputs'!$B$32)/1000+'Inputs'!$B$21)+'Inputs'!$B$9)^2+('Inputs'!$B$8/2)^2)-(((267-43)*MAX('Inputs'!$B$33,'Inputs'!$B$29+'Inputs'!$B$31+'Inputs'!$B$32,'Inputs'!$B$30+'Inputs'!$B$31+'Inputs'!$B$32)/1000+'Inputs'!$B$21))/SQRT((((267-43)*MAX('Inputs'!$B$33,'Inputs'!$B$29+'Inputs'!$B$31+'Inputs'!$B$32,'Inputs'!$B$30+'Inputs'!$B$31+'Inputs'!$B$32)/1000+'Inputs'!$B$21))^2+('Inputs'!$B$8/2)^2)))-'Results'!B7*(1+'Inputs'!$B$24)*(0.5*((((267-43)*MAX('Inputs'!$B$33,'Inputs'!$B$29+'Inputs'!$B$31+'Inputs'!$B$32,'Inputs'!$B$30+'Inputs'!$B$31+'Inputs'!$B$32)/1000+'Inputs'!$B$21+'Inputs'!$B$9+'Inputs'!$B$10)+'Inputs'!$B$7)/SQRT((((267-43)*MAX('Inputs'!$B$33,'Inputs'!$B$29+'Inputs'!$B$31+'Inputs'!$B$32,'Inputs'!$B$30+'Inputs'!$B$31+'Inputs'!$B$32)/1000+'Inputs'!$B$21+'Inputs'!$B$9+'Inputs'!$B$10)+'Inputs'!$B$7)^2+('Inputs'!$B$6/2)^2)-(((267-43)*MAX('Inputs'!$B$33,'Inputs'!$B$29+'Inputs'!$B$31+'Inputs'!$B$32,'Inputs'!$B$30+'Inputs'!$B$31+'Inputs'!$B$32)/1000+'Inputs'!$B$21+'Inputs'!$B$9+'Inputs'!$B$10))/SQRT((((267-43)*MAX('Inputs'!$B$33,'Inputs'!$B$29+'Inputs'!$B$31+'Inputs'!$B$32,'Inputs'!$B$30+'Inputs'!$B$31+'Inputs'!$B$32)/1000+'Inputs'!$B$21+'Inputs'!$B$9+'Inputs'!$B$10))^2+('Inputs'!$B$6/2)^2))))*'Results'!$B$8)-'Inputs'!$B$28*ABS((('Results'!C7*(1-'Inputs'!$B$24)*(0.5*((((267-43)*MAX('Inputs'!$B$33,'Inputs'!$B$29+'Inputs'!$B$31+'Inputs'!$B$32,'Inputs'!$B$30+'Inputs'!$B$31+'Inputs'!$B$32)/1000+'Inputs'!$B$21)+'Inputs'!$B$9)/SQRT((((267-43)*MAX('Inputs'!$B$33,'Inputs'!$B$29+'Inputs'!$B$31+'Inputs'!$B$32,'Inputs'!$B$30+'Inputs'!$B$31+'Inputs'!$B$32)/1000+'Inputs'!$B$21)+'Inputs'!$B$9)^2+('Inputs'!$B$8/2)^2)-(((267-43)*MAX('Inputs'!$B$33,'Inputs'!$B$29+'Inputs'!$B$31+'Inputs'!$B$32,'Inputs'!$B$30+'Inputs'!$B$31+'Inputs'!$B$32)/1000+'Inputs'!$B$21))/SQRT((((267-43)*MAX('Inputs'!$B$33,'Inputs'!$B$29+'Inputs'!$B$31+'Inputs'!$B$32,'Inputs'!$B$30+'Inputs'!$B$31+'Inputs'!$B$32)/1000+'Inputs'!$B$21))^2+('Inputs'!$B$8/2)^2)))-'Results'!B7*(1+'Inputs'!$B$24)*(0.5*((((267-43)*MAX('Inputs'!$B$33,'Inputs'!$B$29+'Inputs'!$B$31+'Inputs'!$B$32,'Inputs'!$B$30+'Inputs'!$B$31+'Inputs'!$B$32)/1000+'Inputs'!$B$21+'Inputs'!$B$9+'Inputs'!$B$10)+'Inputs'!$B$7)/SQRT((((267-43)*MAX('Inputs'!$B$33,'Inputs'!$B$29+'Inputs'!$B$31+'Inputs'!$B$32,'Inputs'!$B$30+'Inputs'!$B$31+'Inputs'!$B$32)/1000+'Inputs'!$B$21+'Inputs'!$B$9+'Inputs'!$B$10)+'Inputs'!$B$7)^2+('Inputs'!$B$6/2)^2)-(((267-43)*MAX('Inputs'!$B$33,'Inputs'!$B$29+'Inputs'!$B$31+'Inputs'!$B$32,'Inputs'!$B$30+'Inputs'!$B$31+'Inputs'!$B$32)/1000+'Inputs'!$B$21+'Inputs'!$B$9+'Inputs'!$B$10))/SQRT((((267-43)*MAX('Inputs'!$B$33,'Inputs'!$B$29+'Inputs'!$B$31+'Inputs'!$B$32,'Inputs'!$B$30+'Inputs'!$B$31+'Inputs'!$B$32)/1000+'Inputs'!$B$21+'Inputs'!$B$9+'Inputs'!$B$10))^2+('Inputs'!$B$6/2)^2))))*'Results'!$B$8))),"")</x:f>
        <x:v>46.57679727177349</x:v>
      </x:c>
      <x:c r="O267" t="n">
        <x:f>IF(AND(ISNUMBER('Results'!C7),ISNUMBER('Results'!B7),ISNUMBER('Results'!$B$8),ISNUMBER('Inputs'!$B$6),ISNUMBER('Inputs'!$B$7),ISNUMBER('Inputs'!$B$8),ISNUMBER('Inputs'!$B$9),ISNUMBER('Inputs'!$B$10),ISNUMBER('Inputs'!$B$21),ISNUMBER('Inputs'!$B$24),ISNUMBER('Inputs'!$B$28)),((('Results'!C7*(1+'Inputs'!$B$24)*(0.5*((((267-43)*MAX('Inputs'!$B$33,'Inputs'!$B$29+'Inputs'!$B$31+'Inputs'!$B$32,'Inputs'!$B$30+'Inputs'!$B$31+'Inputs'!$B$32)/1000+'Inputs'!$B$21)+'Inputs'!$B$9)/SQRT((((267-43)*MAX('Inputs'!$B$33,'Inputs'!$B$29+'Inputs'!$B$31+'Inputs'!$B$32,'Inputs'!$B$30+'Inputs'!$B$31+'Inputs'!$B$32)/1000+'Inputs'!$B$21)+'Inputs'!$B$9)^2+('Inputs'!$B$8/2)^2)-(((267-43)*MAX('Inputs'!$B$33,'Inputs'!$B$29+'Inputs'!$B$31+'Inputs'!$B$32,'Inputs'!$B$30+'Inputs'!$B$31+'Inputs'!$B$32)/1000+'Inputs'!$B$21))/SQRT((((267-43)*MAX('Inputs'!$B$33,'Inputs'!$B$29+'Inputs'!$B$31+'Inputs'!$B$32,'Inputs'!$B$30+'Inputs'!$B$31+'Inputs'!$B$32)/1000+'Inputs'!$B$21))^2+('Inputs'!$B$8/2)^2)))-'Results'!B7*(1-'Inputs'!$B$24)*(0.5*((((267-43)*MAX('Inputs'!$B$33,'Inputs'!$B$29+'Inputs'!$B$31+'Inputs'!$B$32,'Inputs'!$B$30+'Inputs'!$B$31+'Inputs'!$B$32)/1000+'Inputs'!$B$21+'Inputs'!$B$9+'Inputs'!$B$10)+'Inputs'!$B$7)/SQRT((((267-43)*MAX('Inputs'!$B$33,'Inputs'!$B$29+'Inputs'!$B$31+'Inputs'!$B$32,'Inputs'!$B$30+'Inputs'!$B$31+'Inputs'!$B$32)/1000+'Inputs'!$B$21+'Inputs'!$B$9+'Inputs'!$B$10)+'Inputs'!$B$7)^2+('Inputs'!$B$6/2)^2)-(((267-43)*MAX('Inputs'!$B$33,'Inputs'!$B$29+'Inputs'!$B$31+'Inputs'!$B$32,'Inputs'!$B$30+'Inputs'!$B$31+'Inputs'!$B$32)/1000+'Inputs'!$B$21+'Inputs'!$B$9+'Inputs'!$B$10))/SQRT((((267-43)*MAX('Inputs'!$B$33,'Inputs'!$B$29+'Inputs'!$B$31+'Inputs'!$B$32,'Inputs'!$B$30+'Inputs'!$B$31+'Inputs'!$B$32)/1000+'Inputs'!$B$21+'Inputs'!$B$9+'Inputs'!$B$10))^2+('Inputs'!$B$6/2)^2))))*'Results'!$B$8)+'Inputs'!$B$28*ABS((('Results'!C7*(1+'Inputs'!$B$24)*(0.5*((((267-43)*MAX('Inputs'!$B$33,'Inputs'!$B$29+'Inputs'!$B$31+'Inputs'!$B$32,'Inputs'!$B$30+'Inputs'!$B$31+'Inputs'!$B$32)/1000+'Inputs'!$B$21)+'Inputs'!$B$9)/SQRT((((267-43)*MAX('Inputs'!$B$33,'Inputs'!$B$29+'Inputs'!$B$31+'Inputs'!$B$32,'Inputs'!$B$30+'Inputs'!$B$31+'Inputs'!$B$32)/1000+'Inputs'!$B$21)+'Inputs'!$B$9)^2+('Inputs'!$B$8/2)^2)-(((267-43)*MAX('Inputs'!$B$33,'Inputs'!$B$29+'Inputs'!$B$31+'Inputs'!$B$32,'Inputs'!$B$30+'Inputs'!$B$31+'Inputs'!$B$32)/1000+'Inputs'!$B$21))/SQRT((((267-43)*MAX('Inputs'!$B$33,'Inputs'!$B$29+'Inputs'!$B$31+'Inputs'!$B$32,'Inputs'!$B$30+'Inputs'!$B$31+'Inputs'!$B$32)/1000+'Inputs'!$B$21))^2+('Inputs'!$B$8/2)^2)))-'Results'!B7*(1-'Inputs'!$B$24)*(0.5*((((267-43)*MAX('Inputs'!$B$33,'Inputs'!$B$29+'Inputs'!$B$31+'Inputs'!$B$32,'Inputs'!$B$30+'Inputs'!$B$31+'Inputs'!$B$32)/1000+'Inputs'!$B$21+'Inputs'!$B$9+'Inputs'!$B$10)+'Inputs'!$B$7)/SQRT((((267-43)*MAX('Inputs'!$B$33,'Inputs'!$B$29+'Inputs'!$B$31+'Inputs'!$B$32,'Inputs'!$B$30+'Inputs'!$B$31+'Inputs'!$B$32)/1000+'Inputs'!$B$21+'Inputs'!$B$9+'Inputs'!$B$10)+'Inputs'!$B$7)^2+('Inputs'!$B$6/2)^2)-(((267-43)*MAX('Inputs'!$B$33,'Inputs'!$B$29+'Inputs'!$B$31+'Inputs'!$B$32,'Inputs'!$B$30+'Inputs'!$B$31+'Inputs'!$B$32)/1000+'Inputs'!$B$21+'Inputs'!$B$9+'Inputs'!$B$10))/SQRT((((267-43)*MAX('Inputs'!$B$33,'Inputs'!$B$29+'Inputs'!$B$31+'Inputs'!$B$32,'Inputs'!$B$30+'Inputs'!$B$31+'Inputs'!$B$32)/1000+'Inputs'!$B$21+'Inputs'!$B$9+'Inputs'!$B$10))^2+('Inputs'!$B$6/2)^2))))*'Results'!$B$8))),"")</x:f>
        <x:v>55.897021264375496</x:v>
      </x:c>
      <x:c r="P267" t="n">
        <x:f>IF(AND(MAX(J267,J266)&gt;0,J267&gt;J266+0.00000001),1,0)</x:f>
        <x:v>0</x:v>
      </x:c>
      <x:c r="Q267" t="n">
        <x:f>IF(AND(MAX(K267,K266)&gt;0,K267&gt;K266+0.00000001),1,0)</x:f>
        <x:v>0</x:v>
      </x:c>
      <x:c r="R267" t="n">
        <x:f>IF(AND(MAX(L267,L266)&gt;0,L267&gt;L266+0.00000001),1,0)</x:f>
        <x:v>0</x:v>
      </x:c>
      <x:c r="S267" t="n">
        <x:f>IF(AND(MAX(M267,M266)&gt;0,M267&gt;M266+0.00000001),1,0)</x:f>
        <x:v>0</x:v>
      </x:c>
      <x:c r="T267" t="n">
        <x:f>IF(AND(MAX(N267,N266)&gt;0,N267&gt;N266+0.00000001),1,0)</x:f>
        <x:v>0</x:v>
      </x:c>
      <x:c r="U267" t="n">
        <x:f>IF(AND(MAX(O267,O266)&gt;0,O267&gt;O266+0.00000001),1,0)</x:f>
        <x:v>0</x:v>
      </x:c>
    </x:row>
    <x:row r="268">
      <x:c r="J268" t="n">
        <x:f>IF(AND(ISNUMBER('Results'!B7),ISNUMBER('Results'!C7),ISNUMBER('Results'!$B$8),ISNUMBER('Inputs'!$B$6),ISNUMBER('Inputs'!$B$7),ISNUMBER('Inputs'!$B$8),ISNUMBER('Inputs'!$B$9),ISNUMBER('Inputs'!$B$10),ISNUMBER('Inputs'!$B$21),ISNUMBER('Inputs'!$B$24),ISNUMBER('Inputs'!$B$28)),(('Results'!B7*(0.5*((((268-43)*MAX('Inputs'!$B$33,'Inputs'!$B$29+'Inputs'!$B$31+'Inputs'!$B$32,'Inputs'!$B$30+'Inputs'!$B$31+'Inputs'!$B$32)/1000+'Inputs'!$B$21)+'Inputs'!$B$7)/SQRT((((268-43)*MAX('Inputs'!$B$33,'Inputs'!$B$29+'Inputs'!$B$31+'Inputs'!$B$32,'Inputs'!$B$30+'Inputs'!$B$31+'Inputs'!$B$32)/1000+'Inputs'!$B$21)+'Inputs'!$B$7)^2+('Inputs'!$B$6/2)^2)-(((268-43)*MAX('Inputs'!$B$33,'Inputs'!$B$29+'Inputs'!$B$31+'Inputs'!$B$32,'Inputs'!$B$30+'Inputs'!$B$31+'Inputs'!$B$32)/1000+'Inputs'!$B$21))/SQRT((((268-43)*MAX('Inputs'!$B$33,'Inputs'!$B$29+'Inputs'!$B$31+'Inputs'!$B$32,'Inputs'!$B$30+'Inputs'!$B$31+'Inputs'!$B$32)/1000+'Inputs'!$B$21))^2+('Inputs'!$B$6/2)^2)))-'Results'!C7*(0.5*((((268-43)*MAX('Inputs'!$B$33,'Inputs'!$B$29+'Inputs'!$B$31+'Inputs'!$B$32,'Inputs'!$B$30+'Inputs'!$B$31+'Inputs'!$B$32)/1000+'Inputs'!$B$21+'Inputs'!$B$7+'Inputs'!$B$10)+'Inputs'!$B$9)/SQRT((((268-43)*MAX('Inputs'!$B$33,'Inputs'!$B$29+'Inputs'!$B$31+'Inputs'!$B$32,'Inputs'!$B$30+'Inputs'!$B$31+'Inputs'!$B$32)/1000+'Inputs'!$B$21+'Inputs'!$B$7+'Inputs'!$B$10)+'Inputs'!$B$9)^2+('Inputs'!$B$8/2)^2)-(((268-43)*MAX('Inputs'!$B$33,'Inputs'!$B$29+'Inputs'!$B$31+'Inputs'!$B$32,'Inputs'!$B$30+'Inputs'!$B$31+'Inputs'!$B$32)/1000+'Inputs'!$B$21+'Inputs'!$B$7+'Inputs'!$B$10))/SQRT((((268-43)*MAX('Inputs'!$B$33,'Inputs'!$B$29+'Inputs'!$B$31+'Inputs'!$B$32,'Inputs'!$B$30+'Inputs'!$B$31+'Inputs'!$B$32)/1000+'Inputs'!$B$21+'Inputs'!$B$7+'Inputs'!$B$10))^2+('Inputs'!$B$8/2)^2))))*'Results'!$B$8),"")</x:f>
        <x:v>52.59191019262185</x:v>
      </x:c>
      <x:c r="K268" t="n">
        <x:f>IF(AND(ISNUMBER('Results'!B7),ISNUMBER('Results'!C7),ISNUMBER('Results'!$B$8),ISNUMBER('Inputs'!$B$6),ISNUMBER('Inputs'!$B$7),ISNUMBER('Inputs'!$B$8),ISNUMBER('Inputs'!$B$9),ISNUMBER('Inputs'!$B$10),ISNUMBER('Inputs'!$B$21),ISNUMBER('Inputs'!$B$24),ISNUMBER('Inputs'!$B$28)),((('Results'!B7*(1-'Inputs'!$B$24)*(0.5*((((268-43)*MAX('Inputs'!$B$33,'Inputs'!$B$29+'Inputs'!$B$31+'Inputs'!$B$32,'Inputs'!$B$30+'Inputs'!$B$31+'Inputs'!$B$32)/1000+'Inputs'!$B$21)+'Inputs'!$B$7)/SQRT((((268-43)*MAX('Inputs'!$B$33,'Inputs'!$B$29+'Inputs'!$B$31+'Inputs'!$B$32,'Inputs'!$B$30+'Inputs'!$B$31+'Inputs'!$B$32)/1000+'Inputs'!$B$21)+'Inputs'!$B$7)^2+('Inputs'!$B$6/2)^2)-(((268-43)*MAX('Inputs'!$B$33,'Inputs'!$B$29+'Inputs'!$B$31+'Inputs'!$B$32,'Inputs'!$B$30+'Inputs'!$B$31+'Inputs'!$B$32)/1000+'Inputs'!$B$21))/SQRT((((268-43)*MAX('Inputs'!$B$33,'Inputs'!$B$29+'Inputs'!$B$31+'Inputs'!$B$32,'Inputs'!$B$30+'Inputs'!$B$31+'Inputs'!$B$32)/1000+'Inputs'!$B$21))^2+('Inputs'!$B$6/2)^2)))-'Results'!C7*(1+'Inputs'!$B$24)*(0.5*((((268-43)*MAX('Inputs'!$B$33,'Inputs'!$B$29+'Inputs'!$B$31+'Inputs'!$B$32,'Inputs'!$B$30+'Inputs'!$B$31+'Inputs'!$B$32)/1000+'Inputs'!$B$21+'Inputs'!$B$7+'Inputs'!$B$10)+'Inputs'!$B$9)/SQRT((((268-43)*MAX('Inputs'!$B$33,'Inputs'!$B$29+'Inputs'!$B$31+'Inputs'!$B$32,'Inputs'!$B$30+'Inputs'!$B$31+'Inputs'!$B$32)/1000+'Inputs'!$B$21+'Inputs'!$B$7+'Inputs'!$B$10)+'Inputs'!$B$9)^2+('Inputs'!$B$8/2)^2)-(((268-43)*MAX('Inputs'!$B$33,'Inputs'!$B$29+'Inputs'!$B$31+'Inputs'!$B$32,'Inputs'!$B$30+'Inputs'!$B$31+'Inputs'!$B$32)/1000+'Inputs'!$B$21+'Inputs'!$B$7+'Inputs'!$B$10))/SQRT((((268-43)*MAX('Inputs'!$B$33,'Inputs'!$B$29+'Inputs'!$B$31+'Inputs'!$B$32,'Inputs'!$B$30+'Inputs'!$B$31+'Inputs'!$B$32)/1000+'Inputs'!$B$21+'Inputs'!$B$7+'Inputs'!$B$10))^2+('Inputs'!$B$8/2)^2))))*'Results'!$B$8)-'Inputs'!$B$28*ABS((('Results'!B7*(1-'Inputs'!$B$24)*(0.5*((((268-43)*MAX('Inputs'!$B$33,'Inputs'!$B$29+'Inputs'!$B$31+'Inputs'!$B$32,'Inputs'!$B$30+'Inputs'!$B$31+'Inputs'!$B$32)/1000+'Inputs'!$B$21)+'Inputs'!$B$7)/SQRT((((268-43)*MAX('Inputs'!$B$33,'Inputs'!$B$29+'Inputs'!$B$31+'Inputs'!$B$32,'Inputs'!$B$30+'Inputs'!$B$31+'Inputs'!$B$32)/1000+'Inputs'!$B$21)+'Inputs'!$B$7)^2+('Inputs'!$B$6/2)^2)-(((268-43)*MAX('Inputs'!$B$33,'Inputs'!$B$29+'Inputs'!$B$31+'Inputs'!$B$32,'Inputs'!$B$30+'Inputs'!$B$31+'Inputs'!$B$32)/1000+'Inputs'!$B$21))/SQRT((((268-43)*MAX('Inputs'!$B$33,'Inputs'!$B$29+'Inputs'!$B$31+'Inputs'!$B$32,'Inputs'!$B$30+'Inputs'!$B$31+'Inputs'!$B$32)/1000+'Inputs'!$B$21))^2+('Inputs'!$B$6/2)^2)))-'Results'!C7*(1+'Inputs'!$B$24)*(0.5*((((268-43)*MAX('Inputs'!$B$33,'Inputs'!$B$29+'Inputs'!$B$31+'Inputs'!$B$32,'Inputs'!$B$30+'Inputs'!$B$31+'Inputs'!$B$32)/1000+'Inputs'!$B$21+'Inputs'!$B$7+'Inputs'!$B$10)+'Inputs'!$B$9)/SQRT((((268-43)*MAX('Inputs'!$B$33,'Inputs'!$B$29+'Inputs'!$B$31+'Inputs'!$B$32,'Inputs'!$B$30+'Inputs'!$B$31+'Inputs'!$B$32)/1000+'Inputs'!$B$21+'Inputs'!$B$7+'Inputs'!$B$10)+'Inputs'!$B$9)^2+('Inputs'!$B$8/2)^2)-(((268-43)*MAX('Inputs'!$B$33,'Inputs'!$B$29+'Inputs'!$B$31+'Inputs'!$B$32,'Inputs'!$B$30+'Inputs'!$B$31+'Inputs'!$B$32)/1000+'Inputs'!$B$21+'Inputs'!$B$7+'Inputs'!$B$10))/SQRT((((268-43)*MAX('Inputs'!$B$33,'Inputs'!$B$29+'Inputs'!$B$31+'Inputs'!$B$32,'Inputs'!$B$30+'Inputs'!$B$31+'Inputs'!$B$32)/1000+'Inputs'!$B$21+'Inputs'!$B$7+'Inputs'!$B$10))^2+('Inputs'!$B$8/2)^2))))*'Results'!$B$8))),"")</x:f>
        <x:v>47.964771366044964</x:v>
      </x:c>
      <x:c r="L268" t="n">
        <x:f>IF(AND(ISNUMBER('Results'!B7),ISNUMBER('Results'!C7),ISNUMBER('Results'!$B$8),ISNUMBER('Inputs'!$B$6),ISNUMBER('Inputs'!$B$7),ISNUMBER('Inputs'!$B$8),ISNUMBER('Inputs'!$B$9),ISNUMBER('Inputs'!$B$10),ISNUMBER('Inputs'!$B$21),ISNUMBER('Inputs'!$B$24),ISNUMBER('Inputs'!$B$28)),((('Results'!B7*(1+'Inputs'!$B$24)*(0.5*((((268-43)*MAX('Inputs'!$B$33,'Inputs'!$B$29+'Inputs'!$B$31+'Inputs'!$B$32,'Inputs'!$B$30+'Inputs'!$B$31+'Inputs'!$B$32)/1000+'Inputs'!$B$21)+'Inputs'!$B$7)/SQRT((((268-43)*MAX('Inputs'!$B$33,'Inputs'!$B$29+'Inputs'!$B$31+'Inputs'!$B$32,'Inputs'!$B$30+'Inputs'!$B$31+'Inputs'!$B$32)/1000+'Inputs'!$B$21)+'Inputs'!$B$7)^2+('Inputs'!$B$6/2)^2)-(((268-43)*MAX('Inputs'!$B$33,'Inputs'!$B$29+'Inputs'!$B$31+'Inputs'!$B$32,'Inputs'!$B$30+'Inputs'!$B$31+'Inputs'!$B$32)/1000+'Inputs'!$B$21))/SQRT((((268-43)*MAX('Inputs'!$B$33,'Inputs'!$B$29+'Inputs'!$B$31+'Inputs'!$B$32,'Inputs'!$B$30+'Inputs'!$B$31+'Inputs'!$B$32)/1000+'Inputs'!$B$21))^2+('Inputs'!$B$6/2)^2)))-'Results'!C7*(1-'Inputs'!$B$24)*(0.5*((((268-43)*MAX('Inputs'!$B$33,'Inputs'!$B$29+'Inputs'!$B$31+'Inputs'!$B$32,'Inputs'!$B$30+'Inputs'!$B$31+'Inputs'!$B$32)/1000+'Inputs'!$B$21+'Inputs'!$B$7+'Inputs'!$B$10)+'Inputs'!$B$9)/SQRT((((268-43)*MAX('Inputs'!$B$33,'Inputs'!$B$29+'Inputs'!$B$31+'Inputs'!$B$32,'Inputs'!$B$30+'Inputs'!$B$31+'Inputs'!$B$32)/1000+'Inputs'!$B$21+'Inputs'!$B$7+'Inputs'!$B$10)+'Inputs'!$B$9)^2+('Inputs'!$B$8/2)^2)-(((268-43)*MAX('Inputs'!$B$33,'Inputs'!$B$29+'Inputs'!$B$31+'Inputs'!$B$32,'Inputs'!$B$30+'Inputs'!$B$31+'Inputs'!$B$32)/1000+'Inputs'!$B$21+'Inputs'!$B$7+'Inputs'!$B$10))/SQRT((((268-43)*MAX('Inputs'!$B$33,'Inputs'!$B$29+'Inputs'!$B$31+'Inputs'!$B$32,'Inputs'!$B$30+'Inputs'!$B$31+'Inputs'!$B$32)/1000+'Inputs'!$B$21+'Inputs'!$B$7+'Inputs'!$B$10))^2+('Inputs'!$B$8/2)^2))))*'Results'!$B$8)+'Inputs'!$B$28*ABS((('Results'!B7*(1+'Inputs'!$B$24)*(0.5*((((268-43)*MAX('Inputs'!$B$33,'Inputs'!$B$29+'Inputs'!$B$31+'Inputs'!$B$32,'Inputs'!$B$30+'Inputs'!$B$31+'Inputs'!$B$32)/1000+'Inputs'!$B$21)+'Inputs'!$B$7)/SQRT((((268-43)*MAX('Inputs'!$B$33,'Inputs'!$B$29+'Inputs'!$B$31+'Inputs'!$B$32,'Inputs'!$B$30+'Inputs'!$B$31+'Inputs'!$B$32)/1000+'Inputs'!$B$21)+'Inputs'!$B$7)^2+('Inputs'!$B$6/2)^2)-(((268-43)*MAX('Inputs'!$B$33,'Inputs'!$B$29+'Inputs'!$B$31+'Inputs'!$B$32,'Inputs'!$B$30+'Inputs'!$B$31+'Inputs'!$B$32)/1000+'Inputs'!$B$21))/SQRT((((268-43)*MAX('Inputs'!$B$33,'Inputs'!$B$29+'Inputs'!$B$31+'Inputs'!$B$32,'Inputs'!$B$30+'Inputs'!$B$31+'Inputs'!$B$32)/1000+'Inputs'!$B$21))^2+('Inputs'!$B$6/2)^2)))-'Results'!C7*(1-'Inputs'!$B$24)*(0.5*((((268-43)*MAX('Inputs'!$B$33,'Inputs'!$B$29+'Inputs'!$B$31+'Inputs'!$B$32,'Inputs'!$B$30+'Inputs'!$B$31+'Inputs'!$B$32)/1000+'Inputs'!$B$21+'Inputs'!$B$7+'Inputs'!$B$10)+'Inputs'!$B$9)/SQRT((((268-43)*MAX('Inputs'!$B$33,'Inputs'!$B$29+'Inputs'!$B$31+'Inputs'!$B$32,'Inputs'!$B$30+'Inputs'!$B$31+'Inputs'!$B$32)/1000+'Inputs'!$B$21+'Inputs'!$B$7+'Inputs'!$B$10)+'Inputs'!$B$9)^2+('Inputs'!$B$8/2)^2)-(((268-43)*MAX('Inputs'!$B$33,'Inputs'!$B$29+'Inputs'!$B$31+'Inputs'!$B$32,'Inputs'!$B$30+'Inputs'!$B$31+'Inputs'!$B$32)/1000+'Inputs'!$B$21+'Inputs'!$B$7+'Inputs'!$B$10))/SQRT((((268-43)*MAX('Inputs'!$B$33,'Inputs'!$B$29+'Inputs'!$B$31+'Inputs'!$B$32,'Inputs'!$B$30+'Inputs'!$B$31+'Inputs'!$B$32)/1000+'Inputs'!$B$21+'Inputs'!$B$7+'Inputs'!$B$10))^2+('Inputs'!$B$8/2)^2))))*'Results'!$B$8))),"")</x:f>
        <x:v>57.42931673677197</x:v>
      </x:c>
      <x:c r="M268" t="n">
        <x:f>IF(AND(ISNUMBER('Results'!C7),ISNUMBER('Results'!B7),ISNUMBER('Results'!$B$8),ISNUMBER('Inputs'!$B$6),ISNUMBER('Inputs'!$B$7),ISNUMBER('Inputs'!$B$8),ISNUMBER('Inputs'!$B$9),ISNUMBER('Inputs'!$B$10),ISNUMBER('Inputs'!$B$21),ISNUMBER('Inputs'!$B$24),ISNUMBER('Inputs'!$B$28)),(('Results'!C7*(0.5*((((268-43)*MAX('Inputs'!$B$33,'Inputs'!$B$29+'Inputs'!$B$31+'Inputs'!$B$32,'Inputs'!$B$30+'Inputs'!$B$31+'Inputs'!$B$32)/1000+'Inputs'!$B$21)+'Inputs'!$B$9)/SQRT((((268-43)*MAX('Inputs'!$B$33,'Inputs'!$B$29+'Inputs'!$B$31+'Inputs'!$B$32,'Inputs'!$B$30+'Inputs'!$B$31+'Inputs'!$B$32)/1000+'Inputs'!$B$21)+'Inputs'!$B$9)^2+('Inputs'!$B$8/2)^2)-(((268-43)*MAX('Inputs'!$B$33,'Inputs'!$B$29+'Inputs'!$B$31+'Inputs'!$B$32,'Inputs'!$B$30+'Inputs'!$B$31+'Inputs'!$B$32)/1000+'Inputs'!$B$21))/SQRT((((268-43)*MAX('Inputs'!$B$33,'Inputs'!$B$29+'Inputs'!$B$31+'Inputs'!$B$32,'Inputs'!$B$30+'Inputs'!$B$31+'Inputs'!$B$32)/1000+'Inputs'!$B$21))^2+('Inputs'!$B$8/2)^2)))-'Results'!B7*(0.5*((((268-43)*MAX('Inputs'!$B$33,'Inputs'!$B$29+'Inputs'!$B$31+'Inputs'!$B$32,'Inputs'!$B$30+'Inputs'!$B$31+'Inputs'!$B$32)/1000+'Inputs'!$B$21+'Inputs'!$B$9+'Inputs'!$B$10)+'Inputs'!$B$7)/SQRT((((268-43)*MAX('Inputs'!$B$33,'Inputs'!$B$29+'Inputs'!$B$31+'Inputs'!$B$32,'Inputs'!$B$30+'Inputs'!$B$31+'Inputs'!$B$32)/1000+'Inputs'!$B$21+'Inputs'!$B$9+'Inputs'!$B$10)+'Inputs'!$B$7)^2+('Inputs'!$B$6/2)^2)-(((268-43)*MAX('Inputs'!$B$33,'Inputs'!$B$29+'Inputs'!$B$31+'Inputs'!$B$32,'Inputs'!$B$30+'Inputs'!$B$31+'Inputs'!$B$32)/1000+'Inputs'!$B$21+'Inputs'!$B$9+'Inputs'!$B$10))/SQRT((((268-43)*MAX('Inputs'!$B$33,'Inputs'!$B$29+'Inputs'!$B$31+'Inputs'!$B$32,'Inputs'!$B$30+'Inputs'!$B$31+'Inputs'!$B$32)/1000+'Inputs'!$B$21+'Inputs'!$B$9+'Inputs'!$B$10))^2+('Inputs'!$B$6/2)^2))))*'Results'!$B$8),"")</x:f>
        <x:v>50.4785101702376</x:v>
      </x:c>
      <x:c r="N268" t="n">
        <x:f>IF(AND(ISNUMBER('Results'!C7),ISNUMBER('Results'!B7),ISNUMBER('Results'!$B$8),ISNUMBER('Inputs'!$B$6),ISNUMBER('Inputs'!$B$7),ISNUMBER('Inputs'!$B$8),ISNUMBER('Inputs'!$B$9),ISNUMBER('Inputs'!$B$10),ISNUMBER('Inputs'!$B$21),ISNUMBER('Inputs'!$B$24),ISNUMBER('Inputs'!$B$28)),((('Results'!C7*(1-'Inputs'!$B$24)*(0.5*((((268-43)*MAX('Inputs'!$B$33,'Inputs'!$B$29+'Inputs'!$B$31+'Inputs'!$B$32,'Inputs'!$B$30+'Inputs'!$B$31+'Inputs'!$B$32)/1000+'Inputs'!$B$21)+'Inputs'!$B$9)/SQRT((((268-43)*MAX('Inputs'!$B$33,'Inputs'!$B$29+'Inputs'!$B$31+'Inputs'!$B$32,'Inputs'!$B$30+'Inputs'!$B$31+'Inputs'!$B$32)/1000+'Inputs'!$B$21)+'Inputs'!$B$9)^2+('Inputs'!$B$8/2)^2)-(((268-43)*MAX('Inputs'!$B$33,'Inputs'!$B$29+'Inputs'!$B$31+'Inputs'!$B$32,'Inputs'!$B$30+'Inputs'!$B$31+'Inputs'!$B$32)/1000+'Inputs'!$B$21))/SQRT((((268-43)*MAX('Inputs'!$B$33,'Inputs'!$B$29+'Inputs'!$B$31+'Inputs'!$B$32,'Inputs'!$B$30+'Inputs'!$B$31+'Inputs'!$B$32)/1000+'Inputs'!$B$21))^2+('Inputs'!$B$8/2)^2)))-'Results'!B7*(1+'Inputs'!$B$24)*(0.5*((((268-43)*MAX('Inputs'!$B$33,'Inputs'!$B$29+'Inputs'!$B$31+'Inputs'!$B$32,'Inputs'!$B$30+'Inputs'!$B$31+'Inputs'!$B$32)/1000+'Inputs'!$B$21+'Inputs'!$B$9+'Inputs'!$B$10)+'Inputs'!$B$7)/SQRT((((268-43)*MAX('Inputs'!$B$33,'Inputs'!$B$29+'Inputs'!$B$31+'Inputs'!$B$32,'Inputs'!$B$30+'Inputs'!$B$31+'Inputs'!$B$32)/1000+'Inputs'!$B$21+'Inputs'!$B$9+'Inputs'!$B$10)+'Inputs'!$B$7)^2+('Inputs'!$B$6/2)^2)-(((268-43)*MAX('Inputs'!$B$33,'Inputs'!$B$29+'Inputs'!$B$31+'Inputs'!$B$32,'Inputs'!$B$30+'Inputs'!$B$31+'Inputs'!$B$32)/1000+'Inputs'!$B$21+'Inputs'!$B$9+'Inputs'!$B$10))/SQRT((((268-43)*MAX('Inputs'!$B$33,'Inputs'!$B$29+'Inputs'!$B$31+'Inputs'!$B$32,'Inputs'!$B$30+'Inputs'!$B$31+'Inputs'!$B$32)/1000+'Inputs'!$B$21+'Inputs'!$B$9+'Inputs'!$B$10))^2+('Inputs'!$B$6/2)^2))))*'Results'!$B$8)-'Inputs'!$B$28*ABS((('Results'!C7*(1-'Inputs'!$B$24)*(0.5*((((268-43)*MAX('Inputs'!$B$33,'Inputs'!$B$29+'Inputs'!$B$31+'Inputs'!$B$32,'Inputs'!$B$30+'Inputs'!$B$31+'Inputs'!$B$32)/1000+'Inputs'!$B$21)+'Inputs'!$B$9)/SQRT((((268-43)*MAX('Inputs'!$B$33,'Inputs'!$B$29+'Inputs'!$B$31+'Inputs'!$B$32,'Inputs'!$B$30+'Inputs'!$B$31+'Inputs'!$B$32)/1000+'Inputs'!$B$21)+'Inputs'!$B$9)^2+('Inputs'!$B$8/2)^2)-(((268-43)*MAX('Inputs'!$B$33,'Inputs'!$B$29+'Inputs'!$B$31+'Inputs'!$B$32,'Inputs'!$B$30+'Inputs'!$B$31+'Inputs'!$B$32)/1000+'Inputs'!$B$21))/SQRT((((268-43)*MAX('Inputs'!$B$33,'Inputs'!$B$29+'Inputs'!$B$31+'Inputs'!$B$32,'Inputs'!$B$30+'Inputs'!$B$31+'Inputs'!$B$32)/1000+'Inputs'!$B$21))^2+('Inputs'!$B$8/2)^2)))-'Results'!B7*(1+'Inputs'!$B$24)*(0.5*((((268-43)*MAX('Inputs'!$B$33,'Inputs'!$B$29+'Inputs'!$B$31+'Inputs'!$B$32,'Inputs'!$B$30+'Inputs'!$B$31+'Inputs'!$B$32)/1000+'Inputs'!$B$21+'Inputs'!$B$9+'Inputs'!$B$10)+'Inputs'!$B$7)/SQRT((((268-43)*MAX('Inputs'!$B$33,'Inputs'!$B$29+'Inputs'!$B$31+'Inputs'!$B$32,'Inputs'!$B$30+'Inputs'!$B$31+'Inputs'!$B$32)/1000+'Inputs'!$B$21+'Inputs'!$B$9+'Inputs'!$B$10)+'Inputs'!$B$7)^2+('Inputs'!$B$6/2)^2)-(((268-43)*MAX('Inputs'!$B$33,'Inputs'!$B$29+'Inputs'!$B$31+'Inputs'!$B$32,'Inputs'!$B$30+'Inputs'!$B$31+'Inputs'!$B$32)/1000+'Inputs'!$B$21+'Inputs'!$B$9+'Inputs'!$B$10))/SQRT((((268-43)*MAX('Inputs'!$B$33,'Inputs'!$B$29+'Inputs'!$B$31+'Inputs'!$B$32,'Inputs'!$B$30+'Inputs'!$B$31+'Inputs'!$B$32)/1000+'Inputs'!$B$21+'Inputs'!$B$9+'Inputs'!$B$10))^2+('Inputs'!$B$6/2)^2))))*'Results'!$B$8))),"")</x:f>
        <x:v>45.97682253656672</x:v>
      </x:c>
      <x:c r="O268" t="n">
        <x:f>IF(AND(ISNUMBER('Results'!C7),ISNUMBER('Results'!B7),ISNUMBER('Results'!$B$8),ISNUMBER('Inputs'!$B$6),ISNUMBER('Inputs'!$B$7),ISNUMBER('Inputs'!$B$8),ISNUMBER('Inputs'!$B$9),ISNUMBER('Inputs'!$B$10),ISNUMBER('Inputs'!$B$21),ISNUMBER('Inputs'!$B$24),ISNUMBER('Inputs'!$B$28)),((('Results'!C7*(1+'Inputs'!$B$24)*(0.5*((((268-43)*MAX('Inputs'!$B$33,'Inputs'!$B$29+'Inputs'!$B$31+'Inputs'!$B$32,'Inputs'!$B$30+'Inputs'!$B$31+'Inputs'!$B$32)/1000+'Inputs'!$B$21)+'Inputs'!$B$9)/SQRT((((268-43)*MAX('Inputs'!$B$33,'Inputs'!$B$29+'Inputs'!$B$31+'Inputs'!$B$32,'Inputs'!$B$30+'Inputs'!$B$31+'Inputs'!$B$32)/1000+'Inputs'!$B$21)+'Inputs'!$B$9)^2+('Inputs'!$B$8/2)^2)-(((268-43)*MAX('Inputs'!$B$33,'Inputs'!$B$29+'Inputs'!$B$31+'Inputs'!$B$32,'Inputs'!$B$30+'Inputs'!$B$31+'Inputs'!$B$32)/1000+'Inputs'!$B$21))/SQRT((((268-43)*MAX('Inputs'!$B$33,'Inputs'!$B$29+'Inputs'!$B$31+'Inputs'!$B$32,'Inputs'!$B$30+'Inputs'!$B$31+'Inputs'!$B$32)/1000+'Inputs'!$B$21))^2+('Inputs'!$B$8/2)^2)))-'Results'!B7*(1-'Inputs'!$B$24)*(0.5*((((268-43)*MAX('Inputs'!$B$33,'Inputs'!$B$29+'Inputs'!$B$31+'Inputs'!$B$32,'Inputs'!$B$30+'Inputs'!$B$31+'Inputs'!$B$32)/1000+'Inputs'!$B$21+'Inputs'!$B$9+'Inputs'!$B$10)+'Inputs'!$B$7)/SQRT((((268-43)*MAX('Inputs'!$B$33,'Inputs'!$B$29+'Inputs'!$B$31+'Inputs'!$B$32,'Inputs'!$B$30+'Inputs'!$B$31+'Inputs'!$B$32)/1000+'Inputs'!$B$21+'Inputs'!$B$9+'Inputs'!$B$10)+'Inputs'!$B$7)^2+('Inputs'!$B$6/2)^2)-(((268-43)*MAX('Inputs'!$B$33,'Inputs'!$B$29+'Inputs'!$B$31+'Inputs'!$B$32,'Inputs'!$B$30+'Inputs'!$B$31+'Inputs'!$B$32)/1000+'Inputs'!$B$21+'Inputs'!$B$9+'Inputs'!$B$10))/SQRT((((268-43)*MAX('Inputs'!$B$33,'Inputs'!$B$29+'Inputs'!$B$31+'Inputs'!$B$32,'Inputs'!$B$30+'Inputs'!$B$31+'Inputs'!$B$32)/1000+'Inputs'!$B$21+'Inputs'!$B$9+'Inputs'!$B$10))^2+('Inputs'!$B$6/2)^2))))*'Results'!$B$8)+'Inputs'!$B$28*ABS((('Results'!C7*(1+'Inputs'!$B$24)*(0.5*((((268-43)*MAX('Inputs'!$B$33,'Inputs'!$B$29+'Inputs'!$B$31+'Inputs'!$B$32,'Inputs'!$B$30+'Inputs'!$B$31+'Inputs'!$B$32)/1000+'Inputs'!$B$21)+'Inputs'!$B$9)/SQRT((((268-43)*MAX('Inputs'!$B$33,'Inputs'!$B$29+'Inputs'!$B$31+'Inputs'!$B$32,'Inputs'!$B$30+'Inputs'!$B$31+'Inputs'!$B$32)/1000+'Inputs'!$B$21)+'Inputs'!$B$9)^2+('Inputs'!$B$8/2)^2)-(((268-43)*MAX('Inputs'!$B$33,'Inputs'!$B$29+'Inputs'!$B$31+'Inputs'!$B$32,'Inputs'!$B$30+'Inputs'!$B$31+'Inputs'!$B$32)/1000+'Inputs'!$B$21))/SQRT((((268-43)*MAX('Inputs'!$B$33,'Inputs'!$B$29+'Inputs'!$B$31+'Inputs'!$B$32,'Inputs'!$B$30+'Inputs'!$B$31+'Inputs'!$B$32)/1000+'Inputs'!$B$21))^2+('Inputs'!$B$8/2)^2)))-'Results'!B7*(1-'Inputs'!$B$24)*(0.5*((((268-43)*MAX('Inputs'!$B$33,'Inputs'!$B$29+'Inputs'!$B$31+'Inputs'!$B$32,'Inputs'!$B$30+'Inputs'!$B$31+'Inputs'!$B$32)/1000+'Inputs'!$B$21+'Inputs'!$B$9+'Inputs'!$B$10)+'Inputs'!$B$7)/SQRT((((268-43)*MAX('Inputs'!$B$33,'Inputs'!$B$29+'Inputs'!$B$31+'Inputs'!$B$32,'Inputs'!$B$30+'Inputs'!$B$31+'Inputs'!$B$32)/1000+'Inputs'!$B$21+'Inputs'!$B$9+'Inputs'!$B$10)+'Inputs'!$B$7)^2+('Inputs'!$B$6/2)^2)-(((268-43)*MAX('Inputs'!$B$33,'Inputs'!$B$29+'Inputs'!$B$31+'Inputs'!$B$32,'Inputs'!$B$30+'Inputs'!$B$31+'Inputs'!$B$32)/1000+'Inputs'!$B$21+'Inputs'!$B$9+'Inputs'!$B$10))/SQRT((((268-43)*MAX('Inputs'!$B$33,'Inputs'!$B$29+'Inputs'!$B$31+'Inputs'!$B$32,'Inputs'!$B$30+'Inputs'!$B$31+'Inputs'!$B$32)/1000+'Inputs'!$B$21+'Inputs'!$B$9+'Inputs'!$B$10))^2+('Inputs'!$B$6/2)^2))))*'Results'!$B$8))),"")</x:f>
        <x:v>55.18838329076732</x:v>
      </x:c>
      <x:c r="P268" t="n">
        <x:f>IF(AND(MAX(J268,J267)&gt;0,J268&gt;J267+0.00000001),1,0)</x:f>
        <x:v>0</x:v>
      </x:c>
      <x:c r="Q268" t="n">
        <x:f>IF(AND(MAX(K268,K267)&gt;0,K268&gt;K267+0.00000001),1,0)</x:f>
        <x:v>0</x:v>
      </x:c>
      <x:c r="R268" t="n">
        <x:f>IF(AND(MAX(L268,L267)&gt;0,L268&gt;L267+0.00000001),1,0)</x:f>
        <x:v>0</x:v>
      </x:c>
      <x:c r="S268" t="n">
        <x:f>IF(AND(MAX(M268,M267)&gt;0,M268&gt;M267+0.00000001),1,0)</x:f>
        <x:v>0</x:v>
      </x:c>
      <x:c r="T268" t="n">
        <x:f>IF(AND(MAX(N268,N267)&gt;0,N268&gt;N267+0.00000001),1,0)</x:f>
        <x:v>0</x:v>
      </x:c>
      <x:c r="U268" t="n">
        <x:f>IF(AND(MAX(O268,O267)&gt;0,O268&gt;O267+0.00000001),1,0)</x:f>
        <x:v>0</x:v>
      </x:c>
    </x:row>
    <x:row r="269">
      <x:c r="J269" t="n">
        <x:f>IF(AND(ISNUMBER('Results'!B7),ISNUMBER('Results'!C7),ISNUMBER('Results'!$B$8),ISNUMBER('Inputs'!$B$6),ISNUMBER('Inputs'!$B$7),ISNUMBER('Inputs'!$B$8),ISNUMBER('Inputs'!$B$9),ISNUMBER('Inputs'!$B$10),ISNUMBER('Inputs'!$B$21),ISNUMBER('Inputs'!$B$24),ISNUMBER('Inputs'!$B$28)),(('Results'!B7*(0.5*((((269-43)*MAX('Inputs'!$B$33,'Inputs'!$B$29+'Inputs'!$B$31+'Inputs'!$B$32,'Inputs'!$B$30+'Inputs'!$B$31+'Inputs'!$B$32)/1000+'Inputs'!$B$21)+'Inputs'!$B$7)/SQRT((((269-43)*MAX('Inputs'!$B$33,'Inputs'!$B$29+'Inputs'!$B$31+'Inputs'!$B$32,'Inputs'!$B$30+'Inputs'!$B$31+'Inputs'!$B$32)/1000+'Inputs'!$B$21)+'Inputs'!$B$7)^2+('Inputs'!$B$6/2)^2)-(((269-43)*MAX('Inputs'!$B$33,'Inputs'!$B$29+'Inputs'!$B$31+'Inputs'!$B$32,'Inputs'!$B$30+'Inputs'!$B$31+'Inputs'!$B$32)/1000+'Inputs'!$B$21))/SQRT((((269-43)*MAX('Inputs'!$B$33,'Inputs'!$B$29+'Inputs'!$B$31+'Inputs'!$B$32,'Inputs'!$B$30+'Inputs'!$B$31+'Inputs'!$B$32)/1000+'Inputs'!$B$21))^2+('Inputs'!$B$6/2)^2)))-'Results'!C7*(0.5*((((269-43)*MAX('Inputs'!$B$33,'Inputs'!$B$29+'Inputs'!$B$31+'Inputs'!$B$32,'Inputs'!$B$30+'Inputs'!$B$31+'Inputs'!$B$32)/1000+'Inputs'!$B$21+'Inputs'!$B$7+'Inputs'!$B$10)+'Inputs'!$B$9)/SQRT((((269-43)*MAX('Inputs'!$B$33,'Inputs'!$B$29+'Inputs'!$B$31+'Inputs'!$B$32,'Inputs'!$B$30+'Inputs'!$B$31+'Inputs'!$B$32)/1000+'Inputs'!$B$21+'Inputs'!$B$7+'Inputs'!$B$10)+'Inputs'!$B$9)^2+('Inputs'!$B$8/2)^2)-(((269-43)*MAX('Inputs'!$B$33,'Inputs'!$B$29+'Inputs'!$B$31+'Inputs'!$B$32,'Inputs'!$B$30+'Inputs'!$B$31+'Inputs'!$B$32)/1000+'Inputs'!$B$21+'Inputs'!$B$7+'Inputs'!$B$10))/SQRT((((269-43)*MAX('Inputs'!$B$33,'Inputs'!$B$29+'Inputs'!$B$31+'Inputs'!$B$32,'Inputs'!$B$30+'Inputs'!$B$31+'Inputs'!$B$32)/1000+'Inputs'!$B$21+'Inputs'!$B$7+'Inputs'!$B$10))^2+('Inputs'!$B$8/2)^2))))*'Results'!$B$8),"")</x:f>
        <x:v>51.92720467908849</x:v>
      </x:c>
      <x:c r="K269" t="n">
        <x:f>IF(AND(ISNUMBER('Results'!B7),ISNUMBER('Results'!C7),ISNUMBER('Results'!$B$8),ISNUMBER('Inputs'!$B$6),ISNUMBER('Inputs'!$B$7),ISNUMBER('Inputs'!$B$8),ISNUMBER('Inputs'!$B$9),ISNUMBER('Inputs'!$B$10),ISNUMBER('Inputs'!$B$21),ISNUMBER('Inputs'!$B$24),ISNUMBER('Inputs'!$B$28)),((('Results'!B7*(1-'Inputs'!$B$24)*(0.5*((((269-43)*MAX('Inputs'!$B$33,'Inputs'!$B$29+'Inputs'!$B$31+'Inputs'!$B$32,'Inputs'!$B$30+'Inputs'!$B$31+'Inputs'!$B$32)/1000+'Inputs'!$B$21)+'Inputs'!$B$7)/SQRT((((269-43)*MAX('Inputs'!$B$33,'Inputs'!$B$29+'Inputs'!$B$31+'Inputs'!$B$32,'Inputs'!$B$30+'Inputs'!$B$31+'Inputs'!$B$32)/1000+'Inputs'!$B$21)+'Inputs'!$B$7)^2+('Inputs'!$B$6/2)^2)-(((269-43)*MAX('Inputs'!$B$33,'Inputs'!$B$29+'Inputs'!$B$31+'Inputs'!$B$32,'Inputs'!$B$30+'Inputs'!$B$31+'Inputs'!$B$32)/1000+'Inputs'!$B$21))/SQRT((((269-43)*MAX('Inputs'!$B$33,'Inputs'!$B$29+'Inputs'!$B$31+'Inputs'!$B$32,'Inputs'!$B$30+'Inputs'!$B$31+'Inputs'!$B$32)/1000+'Inputs'!$B$21))^2+('Inputs'!$B$6/2)^2)))-'Results'!C7*(1+'Inputs'!$B$24)*(0.5*((((269-43)*MAX('Inputs'!$B$33,'Inputs'!$B$29+'Inputs'!$B$31+'Inputs'!$B$32,'Inputs'!$B$30+'Inputs'!$B$31+'Inputs'!$B$32)/1000+'Inputs'!$B$21+'Inputs'!$B$7+'Inputs'!$B$10)+'Inputs'!$B$9)/SQRT((((269-43)*MAX('Inputs'!$B$33,'Inputs'!$B$29+'Inputs'!$B$31+'Inputs'!$B$32,'Inputs'!$B$30+'Inputs'!$B$31+'Inputs'!$B$32)/1000+'Inputs'!$B$21+'Inputs'!$B$7+'Inputs'!$B$10)+'Inputs'!$B$9)^2+('Inputs'!$B$8/2)^2)-(((269-43)*MAX('Inputs'!$B$33,'Inputs'!$B$29+'Inputs'!$B$31+'Inputs'!$B$32,'Inputs'!$B$30+'Inputs'!$B$31+'Inputs'!$B$32)/1000+'Inputs'!$B$21+'Inputs'!$B$7+'Inputs'!$B$10))/SQRT((((269-43)*MAX('Inputs'!$B$33,'Inputs'!$B$29+'Inputs'!$B$31+'Inputs'!$B$32,'Inputs'!$B$30+'Inputs'!$B$31+'Inputs'!$B$32)/1000+'Inputs'!$B$21+'Inputs'!$B$7+'Inputs'!$B$10))^2+('Inputs'!$B$8/2)^2))))*'Results'!$B$8)-'Inputs'!$B$28*ABS((('Results'!B7*(1-'Inputs'!$B$24)*(0.5*((((269-43)*MAX('Inputs'!$B$33,'Inputs'!$B$29+'Inputs'!$B$31+'Inputs'!$B$32,'Inputs'!$B$30+'Inputs'!$B$31+'Inputs'!$B$32)/1000+'Inputs'!$B$21)+'Inputs'!$B$7)/SQRT((((269-43)*MAX('Inputs'!$B$33,'Inputs'!$B$29+'Inputs'!$B$31+'Inputs'!$B$32,'Inputs'!$B$30+'Inputs'!$B$31+'Inputs'!$B$32)/1000+'Inputs'!$B$21)+'Inputs'!$B$7)^2+('Inputs'!$B$6/2)^2)-(((269-43)*MAX('Inputs'!$B$33,'Inputs'!$B$29+'Inputs'!$B$31+'Inputs'!$B$32,'Inputs'!$B$30+'Inputs'!$B$31+'Inputs'!$B$32)/1000+'Inputs'!$B$21))/SQRT((((269-43)*MAX('Inputs'!$B$33,'Inputs'!$B$29+'Inputs'!$B$31+'Inputs'!$B$32,'Inputs'!$B$30+'Inputs'!$B$31+'Inputs'!$B$32)/1000+'Inputs'!$B$21))^2+('Inputs'!$B$6/2)^2)))-'Results'!C7*(1+'Inputs'!$B$24)*(0.5*((((269-43)*MAX('Inputs'!$B$33,'Inputs'!$B$29+'Inputs'!$B$31+'Inputs'!$B$32,'Inputs'!$B$30+'Inputs'!$B$31+'Inputs'!$B$32)/1000+'Inputs'!$B$21+'Inputs'!$B$7+'Inputs'!$B$10)+'Inputs'!$B$9)/SQRT((((269-43)*MAX('Inputs'!$B$33,'Inputs'!$B$29+'Inputs'!$B$31+'Inputs'!$B$32,'Inputs'!$B$30+'Inputs'!$B$31+'Inputs'!$B$32)/1000+'Inputs'!$B$21+'Inputs'!$B$7+'Inputs'!$B$10)+'Inputs'!$B$9)^2+('Inputs'!$B$8/2)^2)-(((269-43)*MAX('Inputs'!$B$33,'Inputs'!$B$29+'Inputs'!$B$31+'Inputs'!$B$32,'Inputs'!$B$30+'Inputs'!$B$31+'Inputs'!$B$32)/1000+'Inputs'!$B$21+'Inputs'!$B$7+'Inputs'!$B$10))/SQRT((((269-43)*MAX('Inputs'!$B$33,'Inputs'!$B$29+'Inputs'!$B$31+'Inputs'!$B$32,'Inputs'!$B$30+'Inputs'!$B$31+'Inputs'!$B$32)/1000+'Inputs'!$B$21+'Inputs'!$B$7+'Inputs'!$B$10))^2+('Inputs'!$B$8/2)^2))))*'Results'!$B$8))),"")</x:f>
        <x:v>47.353858873284</x:v>
      </x:c>
      <x:c r="L269" t="n">
        <x:f>IF(AND(ISNUMBER('Results'!B7),ISNUMBER('Results'!C7),ISNUMBER('Results'!$B$8),ISNUMBER('Inputs'!$B$6),ISNUMBER('Inputs'!$B$7),ISNUMBER('Inputs'!$B$8),ISNUMBER('Inputs'!$B$9),ISNUMBER('Inputs'!$B$10),ISNUMBER('Inputs'!$B$21),ISNUMBER('Inputs'!$B$24),ISNUMBER('Inputs'!$B$28)),((('Results'!B7*(1+'Inputs'!$B$24)*(0.5*((((269-43)*MAX('Inputs'!$B$33,'Inputs'!$B$29+'Inputs'!$B$31+'Inputs'!$B$32,'Inputs'!$B$30+'Inputs'!$B$31+'Inputs'!$B$32)/1000+'Inputs'!$B$21)+'Inputs'!$B$7)/SQRT((((269-43)*MAX('Inputs'!$B$33,'Inputs'!$B$29+'Inputs'!$B$31+'Inputs'!$B$32,'Inputs'!$B$30+'Inputs'!$B$31+'Inputs'!$B$32)/1000+'Inputs'!$B$21)+'Inputs'!$B$7)^2+('Inputs'!$B$6/2)^2)-(((269-43)*MAX('Inputs'!$B$33,'Inputs'!$B$29+'Inputs'!$B$31+'Inputs'!$B$32,'Inputs'!$B$30+'Inputs'!$B$31+'Inputs'!$B$32)/1000+'Inputs'!$B$21))/SQRT((((269-43)*MAX('Inputs'!$B$33,'Inputs'!$B$29+'Inputs'!$B$31+'Inputs'!$B$32,'Inputs'!$B$30+'Inputs'!$B$31+'Inputs'!$B$32)/1000+'Inputs'!$B$21))^2+('Inputs'!$B$6/2)^2)))-'Results'!C7*(1-'Inputs'!$B$24)*(0.5*((((269-43)*MAX('Inputs'!$B$33,'Inputs'!$B$29+'Inputs'!$B$31+'Inputs'!$B$32,'Inputs'!$B$30+'Inputs'!$B$31+'Inputs'!$B$32)/1000+'Inputs'!$B$21+'Inputs'!$B$7+'Inputs'!$B$10)+'Inputs'!$B$9)/SQRT((((269-43)*MAX('Inputs'!$B$33,'Inputs'!$B$29+'Inputs'!$B$31+'Inputs'!$B$32,'Inputs'!$B$30+'Inputs'!$B$31+'Inputs'!$B$32)/1000+'Inputs'!$B$21+'Inputs'!$B$7+'Inputs'!$B$10)+'Inputs'!$B$9)^2+('Inputs'!$B$8/2)^2)-(((269-43)*MAX('Inputs'!$B$33,'Inputs'!$B$29+'Inputs'!$B$31+'Inputs'!$B$32,'Inputs'!$B$30+'Inputs'!$B$31+'Inputs'!$B$32)/1000+'Inputs'!$B$21+'Inputs'!$B$7+'Inputs'!$B$10))/SQRT((((269-43)*MAX('Inputs'!$B$33,'Inputs'!$B$29+'Inputs'!$B$31+'Inputs'!$B$32,'Inputs'!$B$30+'Inputs'!$B$31+'Inputs'!$B$32)/1000+'Inputs'!$B$21+'Inputs'!$B$7+'Inputs'!$B$10))^2+('Inputs'!$B$8/2)^2))))*'Results'!$B$8)+'Inputs'!$B$28*ABS((('Results'!B7*(1+'Inputs'!$B$24)*(0.5*((((269-43)*MAX('Inputs'!$B$33,'Inputs'!$B$29+'Inputs'!$B$31+'Inputs'!$B$32,'Inputs'!$B$30+'Inputs'!$B$31+'Inputs'!$B$32)/1000+'Inputs'!$B$21)+'Inputs'!$B$7)/SQRT((((269-43)*MAX('Inputs'!$B$33,'Inputs'!$B$29+'Inputs'!$B$31+'Inputs'!$B$32,'Inputs'!$B$30+'Inputs'!$B$31+'Inputs'!$B$32)/1000+'Inputs'!$B$21)+'Inputs'!$B$7)^2+('Inputs'!$B$6/2)^2)-(((269-43)*MAX('Inputs'!$B$33,'Inputs'!$B$29+'Inputs'!$B$31+'Inputs'!$B$32,'Inputs'!$B$30+'Inputs'!$B$31+'Inputs'!$B$32)/1000+'Inputs'!$B$21))/SQRT((((269-43)*MAX('Inputs'!$B$33,'Inputs'!$B$29+'Inputs'!$B$31+'Inputs'!$B$32,'Inputs'!$B$30+'Inputs'!$B$31+'Inputs'!$B$32)/1000+'Inputs'!$B$21))^2+('Inputs'!$B$6/2)^2)))-'Results'!C7*(1-'Inputs'!$B$24)*(0.5*((((269-43)*MAX('Inputs'!$B$33,'Inputs'!$B$29+'Inputs'!$B$31+'Inputs'!$B$32,'Inputs'!$B$30+'Inputs'!$B$31+'Inputs'!$B$32)/1000+'Inputs'!$B$21+'Inputs'!$B$7+'Inputs'!$B$10)+'Inputs'!$B$9)/SQRT((((269-43)*MAX('Inputs'!$B$33,'Inputs'!$B$29+'Inputs'!$B$31+'Inputs'!$B$32,'Inputs'!$B$30+'Inputs'!$B$31+'Inputs'!$B$32)/1000+'Inputs'!$B$21+'Inputs'!$B$7+'Inputs'!$B$10)+'Inputs'!$B$9)^2+('Inputs'!$B$8/2)^2)-(((269-43)*MAX('Inputs'!$B$33,'Inputs'!$B$29+'Inputs'!$B$31+'Inputs'!$B$32,'Inputs'!$B$30+'Inputs'!$B$31+'Inputs'!$B$32)/1000+'Inputs'!$B$21+'Inputs'!$B$7+'Inputs'!$B$10))/SQRT((((269-43)*MAX('Inputs'!$B$33,'Inputs'!$B$29+'Inputs'!$B$31+'Inputs'!$B$32,'Inputs'!$B$30+'Inputs'!$B$31+'Inputs'!$B$32)/1000+'Inputs'!$B$21+'Inputs'!$B$7+'Inputs'!$B$10))^2+('Inputs'!$B$8/2)^2))))*'Results'!$B$8))),"")</x:f>
        <x:v>56.70865422929825</x:v>
      </x:c>
      <x:c r="M269" t="n">
        <x:f>IF(AND(ISNUMBER('Results'!C7),ISNUMBER('Results'!B7),ISNUMBER('Results'!$B$8),ISNUMBER('Inputs'!$B$6),ISNUMBER('Inputs'!$B$7),ISNUMBER('Inputs'!$B$8),ISNUMBER('Inputs'!$B$9),ISNUMBER('Inputs'!$B$10),ISNUMBER('Inputs'!$B$21),ISNUMBER('Inputs'!$B$24),ISNUMBER('Inputs'!$B$28)),(('Results'!C7*(0.5*((((269-43)*MAX('Inputs'!$B$33,'Inputs'!$B$29+'Inputs'!$B$31+'Inputs'!$B$32,'Inputs'!$B$30+'Inputs'!$B$31+'Inputs'!$B$32)/1000+'Inputs'!$B$21)+'Inputs'!$B$9)/SQRT((((269-43)*MAX('Inputs'!$B$33,'Inputs'!$B$29+'Inputs'!$B$31+'Inputs'!$B$32,'Inputs'!$B$30+'Inputs'!$B$31+'Inputs'!$B$32)/1000+'Inputs'!$B$21)+'Inputs'!$B$9)^2+('Inputs'!$B$8/2)^2)-(((269-43)*MAX('Inputs'!$B$33,'Inputs'!$B$29+'Inputs'!$B$31+'Inputs'!$B$32,'Inputs'!$B$30+'Inputs'!$B$31+'Inputs'!$B$32)/1000+'Inputs'!$B$21))/SQRT((((269-43)*MAX('Inputs'!$B$33,'Inputs'!$B$29+'Inputs'!$B$31+'Inputs'!$B$32,'Inputs'!$B$30+'Inputs'!$B$31+'Inputs'!$B$32)/1000+'Inputs'!$B$21))^2+('Inputs'!$B$8/2)^2)))-'Results'!B7*(0.5*((((269-43)*MAX('Inputs'!$B$33,'Inputs'!$B$29+'Inputs'!$B$31+'Inputs'!$B$32,'Inputs'!$B$30+'Inputs'!$B$31+'Inputs'!$B$32)/1000+'Inputs'!$B$21+'Inputs'!$B$9+'Inputs'!$B$10)+'Inputs'!$B$7)/SQRT((((269-43)*MAX('Inputs'!$B$33,'Inputs'!$B$29+'Inputs'!$B$31+'Inputs'!$B$32,'Inputs'!$B$30+'Inputs'!$B$31+'Inputs'!$B$32)/1000+'Inputs'!$B$21+'Inputs'!$B$9+'Inputs'!$B$10)+'Inputs'!$B$7)^2+('Inputs'!$B$6/2)^2)-(((269-43)*MAX('Inputs'!$B$33,'Inputs'!$B$29+'Inputs'!$B$31+'Inputs'!$B$32,'Inputs'!$B$30+'Inputs'!$B$31+'Inputs'!$B$32)/1000+'Inputs'!$B$21+'Inputs'!$B$9+'Inputs'!$B$10))/SQRT((((269-43)*MAX('Inputs'!$B$33,'Inputs'!$B$29+'Inputs'!$B$31+'Inputs'!$B$32,'Inputs'!$B$30+'Inputs'!$B$31+'Inputs'!$B$32)/1000+'Inputs'!$B$21+'Inputs'!$B$9+'Inputs'!$B$10))^2+('Inputs'!$B$6/2)^2))))*'Results'!$B$8),"")</x:f>
        <x:v>49.83552954778608</x:v>
      </x:c>
      <x:c r="N269" t="n">
        <x:f>IF(AND(ISNUMBER('Results'!C7),ISNUMBER('Results'!B7),ISNUMBER('Results'!$B$8),ISNUMBER('Inputs'!$B$6),ISNUMBER('Inputs'!$B$7),ISNUMBER('Inputs'!$B$8),ISNUMBER('Inputs'!$B$9),ISNUMBER('Inputs'!$B$10),ISNUMBER('Inputs'!$B$21),ISNUMBER('Inputs'!$B$24),ISNUMBER('Inputs'!$B$28)),((('Results'!C7*(1-'Inputs'!$B$24)*(0.5*((((269-43)*MAX('Inputs'!$B$33,'Inputs'!$B$29+'Inputs'!$B$31+'Inputs'!$B$32,'Inputs'!$B$30+'Inputs'!$B$31+'Inputs'!$B$32)/1000+'Inputs'!$B$21)+'Inputs'!$B$9)/SQRT((((269-43)*MAX('Inputs'!$B$33,'Inputs'!$B$29+'Inputs'!$B$31+'Inputs'!$B$32,'Inputs'!$B$30+'Inputs'!$B$31+'Inputs'!$B$32)/1000+'Inputs'!$B$21)+'Inputs'!$B$9)^2+('Inputs'!$B$8/2)^2)-(((269-43)*MAX('Inputs'!$B$33,'Inputs'!$B$29+'Inputs'!$B$31+'Inputs'!$B$32,'Inputs'!$B$30+'Inputs'!$B$31+'Inputs'!$B$32)/1000+'Inputs'!$B$21))/SQRT((((269-43)*MAX('Inputs'!$B$33,'Inputs'!$B$29+'Inputs'!$B$31+'Inputs'!$B$32,'Inputs'!$B$30+'Inputs'!$B$31+'Inputs'!$B$32)/1000+'Inputs'!$B$21))^2+('Inputs'!$B$8/2)^2)))-'Results'!B7*(1+'Inputs'!$B$24)*(0.5*((((269-43)*MAX('Inputs'!$B$33,'Inputs'!$B$29+'Inputs'!$B$31+'Inputs'!$B$32,'Inputs'!$B$30+'Inputs'!$B$31+'Inputs'!$B$32)/1000+'Inputs'!$B$21+'Inputs'!$B$9+'Inputs'!$B$10)+'Inputs'!$B$7)/SQRT((((269-43)*MAX('Inputs'!$B$33,'Inputs'!$B$29+'Inputs'!$B$31+'Inputs'!$B$32,'Inputs'!$B$30+'Inputs'!$B$31+'Inputs'!$B$32)/1000+'Inputs'!$B$21+'Inputs'!$B$9+'Inputs'!$B$10)+'Inputs'!$B$7)^2+('Inputs'!$B$6/2)^2)-(((269-43)*MAX('Inputs'!$B$33,'Inputs'!$B$29+'Inputs'!$B$31+'Inputs'!$B$32,'Inputs'!$B$30+'Inputs'!$B$31+'Inputs'!$B$32)/1000+'Inputs'!$B$21+'Inputs'!$B$9+'Inputs'!$B$10))/SQRT((((269-43)*MAX('Inputs'!$B$33,'Inputs'!$B$29+'Inputs'!$B$31+'Inputs'!$B$32,'Inputs'!$B$30+'Inputs'!$B$31+'Inputs'!$B$32)/1000+'Inputs'!$B$21+'Inputs'!$B$9+'Inputs'!$B$10))^2+('Inputs'!$B$6/2)^2))))*'Results'!$B$8)-'Inputs'!$B$28*ABS((('Results'!C7*(1-'Inputs'!$B$24)*(0.5*((((269-43)*MAX('Inputs'!$B$33,'Inputs'!$B$29+'Inputs'!$B$31+'Inputs'!$B$32,'Inputs'!$B$30+'Inputs'!$B$31+'Inputs'!$B$32)/1000+'Inputs'!$B$21)+'Inputs'!$B$9)/SQRT((((269-43)*MAX('Inputs'!$B$33,'Inputs'!$B$29+'Inputs'!$B$31+'Inputs'!$B$32,'Inputs'!$B$30+'Inputs'!$B$31+'Inputs'!$B$32)/1000+'Inputs'!$B$21)+'Inputs'!$B$9)^2+('Inputs'!$B$8/2)^2)-(((269-43)*MAX('Inputs'!$B$33,'Inputs'!$B$29+'Inputs'!$B$31+'Inputs'!$B$32,'Inputs'!$B$30+'Inputs'!$B$31+'Inputs'!$B$32)/1000+'Inputs'!$B$21))/SQRT((((269-43)*MAX('Inputs'!$B$33,'Inputs'!$B$29+'Inputs'!$B$31+'Inputs'!$B$32,'Inputs'!$B$30+'Inputs'!$B$31+'Inputs'!$B$32)/1000+'Inputs'!$B$21))^2+('Inputs'!$B$8/2)^2)))-'Results'!B7*(1+'Inputs'!$B$24)*(0.5*((((269-43)*MAX('Inputs'!$B$33,'Inputs'!$B$29+'Inputs'!$B$31+'Inputs'!$B$32,'Inputs'!$B$30+'Inputs'!$B$31+'Inputs'!$B$32)/1000+'Inputs'!$B$21+'Inputs'!$B$9+'Inputs'!$B$10)+'Inputs'!$B$7)/SQRT((((269-43)*MAX('Inputs'!$B$33,'Inputs'!$B$29+'Inputs'!$B$31+'Inputs'!$B$32,'Inputs'!$B$30+'Inputs'!$B$31+'Inputs'!$B$32)/1000+'Inputs'!$B$21+'Inputs'!$B$9+'Inputs'!$B$10)+'Inputs'!$B$7)^2+('Inputs'!$B$6/2)^2)-(((269-43)*MAX('Inputs'!$B$33,'Inputs'!$B$29+'Inputs'!$B$31+'Inputs'!$B$32,'Inputs'!$B$30+'Inputs'!$B$31+'Inputs'!$B$32)/1000+'Inputs'!$B$21+'Inputs'!$B$9+'Inputs'!$B$10))/SQRT((((269-43)*MAX('Inputs'!$B$33,'Inputs'!$B$29+'Inputs'!$B$31+'Inputs'!$B$32,'Inputs'!$B$30+'Inputs'!$B$31+'Inputs'!$B$32)/1000+'Inputs'!$B$21+'Inputs'!$B$9+'Inputs'!$B$10))^2+('Inputs'!$B$6/2)^2))))*'Results'!$B$8))),"")</x:f>
        <x:v>45.38629772026701</x:v>
      </x:c>
      <x:c r="O269" t="n">
        <x:f>IF(AND(ISNUMBER('Results'!C7),ISNUMBER('Results'!B7),ISNUMBER('Results'!$B$8),ISNUMBER('Inputs'!$B$6),ISNUMBER('Inputs'!$B$7),ISNUMBER('Inputs'!$B$8),ISNUMBER('Inputs'!$B$9),ISNUMBER('Inputs'!$B$10),ISNUMBER('Inputs'!$B$21),ISNUMBER('Inputs'!$B$24),ISNUMBER('Inputs'!$B$28)),((('Results'!C7*(1+'Inputs'!$B$24)*(0.5*((((269-43)*MAX('Inputs'!$B$33,'Inputs'!$B$29+'Inputs'!$B$31+'Inputs'!$B$32,'Inputs'!$B$30+'Inputs'!$B$31+'Inputs'!$B$32)/1000+'Inputs'!$B$21)+'Inputs'!$B$9)/SQRT((((269-43)*MAX('Inputs'!$B$33,'Inputs'!$B$29+'Inputs'!$B$31+'Inputs'!$B$32,'Inputs'!$B$30+'Inputs'!$B$31+'Inputs'!$B$32)/1000+'Inputs'!$B$21)+'Inputs'!$B$9)^2+('Inputs'!$B$8/2)^2)-(((269-43)*MAX('Inputs'!$B$33,'Inputs'!$B$29+'Inputs'!$B$31+'Inputs'!$B$32,'Inputs'!$B$30+'Inputs'!$B$31+'Inputs'!$B$32)/1000+'Inputs'!$B$21))/SQRT((((269-43)*MAX('Inputs'!$B$33,'Inputs'!$B$29+'Inputs'!$B$31+'Inputs'!$B$32,'Inputs'!$B$30+'Inputs'!$B$31+'Inputs'!$B$32)/1000+'Inputs'!$B$21))^2+('Inputs'!$B$8/2)^2)))-'Results'!B7*(1-'Inputs'!$B$24)*(0.5*((((269-43)*MAX('Inputs'!$B$33,'Inputs'!$B$29+'Inputs'!$B$31+'Inputs'!$B$32,'Inputs'!$B$30+'Inputs'!$B$31+'Inputs'!$B$32)/1000+'Inputs'!$B$21+'Inputs'!$B$9+'Inputs'!$B$10)+'Inputs'!$B$7)/SQRT((((269-43)*MAX('Inputs'!$B$33,'Inputs'!$B$29+'Inputs'!$B$31+'Inputs'!$B$32,'Inputs'!$B$30+'Inputs'!$B$31+'Inputs'!$B$32)/1000+'Inputs'!$B$21+'Inputs'!$B$9+'Inputs'!$B$10)+'Inputs'!$B$7)^2+('Inputs'!$B$6/2)^2)-(((269-43)*MAX('Inputs'!$B$33,'Inputs'!$B$29+'Inputs'!$B$31+'Inputs'!$B$32,'Inputs'!$B$30+'Inputs'!$B$31+'Inputs'!$B$32)/1000+'Inputs'!$B$21+'Inputs'!$B$9+'Inputs'!$B$10))/SQRT((((269-43)*MAX('Inputs'!$B$33,'Inputs'!$B$29+'Inputs'!$B$31+'Inputs'!$B$32,'Inputs'!$B$30+'Inputs'!$B$31+'Inputs'!$B$32)/1000+'Inputs'!$B$21+'Inputs'!$B$9+'Inputs'!$B$10))^2+('Inputs'!$B$6/2)^2))))*'Results'!$B$8)+'Inputs'!$B$28*ABS((('Results'!C7*(1+'Inputs'!$B$24)*(0.5*((((269-43)*MAX('Inputs'!$B$33,'Inputs'!$B$29+'Inputs'!$B$31+'Inputs'!$B$32,'Inputs'!$B$30+'Inputs'!$B$31+'Inputs'!$B$32)/1000+'Inputs'!$B$21)+'Inputs'!$B$9)/SQRT((((269-43)*MAX('Inputs'!$B$33,'Inputs'!$B$29+'Inputs'!$B$31+'Inputs'!$B$32,'Inputs'!$B$30+'Inputs'!$B$31+'Inputs'!$B$32)/1000+'Inputs'!$B$21)+'Inputs'!$B$9)^2+('Inputs'!$B$8/2)^2)-(((269-43)*MAX('Inputs'!$B$33,'Inputs'!$B$29+'Inputs'!$B$31+'Inputs'!$B$32,'Inputs'!$B$30+'Inputs'!$B$31+'Inputs'!$B$32)/1000+'Inputs'!$B$21))/SQRT((((269-43)*MAX('Inputs'!$B$33,'Inputs'!$B$29+'Inputs'!$B$31+'Inputs'!$B$32,'Inputs'!$B$30+'Inputs'!$B$31+'Inputs'!$B$32)/1000+'Inputs'!$B$21))^2+('Inputs'!$B$8/2)^2)))-'Results'!B7*(1-'Inputs'!$B$24)*(0.5*((((269-43)*MAX('Inputs'!$B$33,'Inputs'!$B$29+'Inputs'!$B$31+'Inputs'!$B$32,'Inputs'!$B$30+'Inputs'!$B$31+'Inputs'!$B$32)/1000+'Inputs'!$B$21+'Inputs'!$B$9+'Inputs'!$B$10)+'Inputs'!$B$7)/SQRT((((269-43)*MAX('Inputs'!$B$33,'Inputs'!$B$29+'Inputs'!$B$31+'Inputs'!$B$32,'Inputs'!$B$30+'Inputs'!$B$31+'Inputs'!$B$32)/1000+'Inputs'!$B$21+'Inputs'!$B$9+'Inputs'!$B$10)+'Inputs'!$B$7)^2+('Inputs'!$B$6/2)^2)-(((269-43)*MAX('Inputs'!$B$33,'Inputs'!$B$29+'Inputs'!$B$31+'Inputs'!$B$32,'Inputs'!$B$30+'Inputs'!$B$31+'Inputs'!$B$32)/1000+'Inputs'!$B$21+'Inputs'!$B$9+'Inputs'!$B$10))/SQRT((((269-43)*MAX('Inputs'!$B$33,'Inputs'!$B$29+'Inputs'!$B$31+'Inputs'!$B$32,'Inputs'!$B$30+'Inputs'!$B$31+'Inputs'!$B$32)/1000+'Inputs'!$B$21+'Inputs'!$B$9+'Inputs'!$B$10))^2+('Inputs'!$B$6/2)^2))))*'Results'!$B$8))),"")</x:f>
        <x:v>54.49080930689776</x:v>
      </x:c>
      <x:c r="P269" t="n">
        <x:f>IF(AND(MAX(J269,J268)&gt;0,J269&gt;J268+0.00000001),1,0)</x:f>
        <x:v>0</x:v>
      </x:c>
      <x:c r="Q269" t="n">
        <x:f>IF(AND(MAX(K269,K268)&gt;0,K269&gt;K268+0.00000001),1,0)</x:f>
        <x:v>0</x:v>
      </x:c>
      <x:c r="R269" t="n">
        <x:f>IF(AND(MAX(L269,L268)&gt;0,L269&gt;L268+0.00000001),1,0)</x:f>
        <x:v>0</x:v>
      </x:c>
      <x:c r="S269" t="n">
        <x:f>IF(AND(MAX(M269,M268)&gt;0,M269&gt;M268+0.00000001),1,0)</x:f>
        <x:v>0</x:v>
      </x:c>
      <x:c r="T269" t="n">
        <x:f>IF(AND(MAX(N269,N268)&gt;0,N269&gt;N268+0.00000001),1,0)</x:f>
        <x:v>0</x:v>
      </x:c>
      <x:c r="U269" t="n">
        <x:f>IF(AND(MAX(O269,O268)&gt;0,O269&gt;O268+0.00000001),1,0)</x:f>
        <x:v>0</x:v>
      </x:c>
    </x:row>
    <x:row r="270">
      <x:c r="J270" t="n">
        <x:f>IF(AND(ISNUMBER('Results'!B7),ISNUMBER('Results'!C7),ISNUMBER('Results'!$B$8),ISNUMBER('Inputs'!$B$6),ISNUMBER('Inputs'!$B$7),ISNUMBER('Inputs'!$B$8),ISNUMBER('Inputs'!$B$9),ISNUMBER('Inputs'!$B$10),ISNUMBER('Inputs'!$B$21),ISNUMBER('Inputs'!$B$24),ISNUMBER('Inputs'!$B$28)),(('Results'!B7*(0.5*((((270-43)*MAX('Inputs'!$B$33,'Inputs'!$B$29+'Inputs'!$B$31+'Inputs'!$B$32,'Inputs'!$B$30+'Inputs'!$B$31+'Inputs'!$B$32)/1000+'Inputs'!$B$21)+'Inputs'!$B$7)/SQRT((((270-43)*MAX('Inputs'!$B$33,'Inputs'!$B$29+'Inputs'!$B$31+'Inputs'!$B$32,'Inputs'!$B$30+'Inputs'!$B$31+'Inputs'!$B$32)/1000+'Inputs'!$B$21)+'Inputs'!$B$7)^2+('Inputs'!$B$6/2)^2)-(((270-43)*MAX('Inputs'!$B$33,'Inputs'!$B$29+'Inputs'!$B$31+'Inputs'!$B$32,'Inputs'!$B$30+'Inputs'!$B$31+'Inputs'!$B$32)/1000+'Inputs'!$B$21))/SQRT((((270-43)*MAX('Inputs'!$B$33,'Inputs'!$B$29+'Inputs'!$B$31+'Inputs'!$B$32,'Inputs'!$B$30+'Inputs'!$B$31+'Inputs'!$B$32)/1000+'Inputs'!$B$21))^2+('Inputs'!$B$6/2)^2)))-'Results'!C7*(0.5*((((270-43)*MAX('Inputs'!$B$33,'Inputs'!$B$29+'Inputs'!$B$31+'Inputs'!$B$32,'Inputs'!$B$30+'Inputs'!$B$31+'Inputs'!$B$32)/1000+'Inputs'!$B$21+'Inputs'!$B$7+'Inputs'!$B$10)+'Inputs'!$B$9)/SQRT((((270-43)*MAX('Inputs'!$B$33,'Inputs'!$B$29+'Inputs'!$B$31+'Inputs'!$B$32,'Inputs'!$B$30+'Inputs'!$B$31+'Inputs'!$B$32)/1000+'Inputs'!$B$21+'Inputs'!$B$7+'Inputs'!$B$10)+'Inputs'!$B$9)^2+('Inputs'!$B$8/2)^2)-(((270-43)*MAX('Inputs'!$B$33,'Inputs'!$B$29+'Inputs'!$B$31+'Inputs'!$B$32,'Inputs'!$B$30+'Inputs'!$B$31+'Inputs'!$B$32)/1000+'Inputs'!$B$21+'Inputs'!$B$7+'Inputs'!$B$10))/SQRT((((270-43)*MAX('Inputs'!$B$33,'Inputs'!$B$29+'Inputs'!$B$31+'Inputs'!$B$32,'Inputs'!$B$30+'Inputs'!$B$31+'Inputs'!$B$32)/1000+'Inputs'!$B$21+'Inputs'!$B$7+'Inputs'!$B$10))^2+('Inputs'!$B$8/2)^2))))*'Results'!$B$8),"")</x:f>
        <x:v>51.27284767539668</x:v>
      </x:c>
      <x:c r="K270" t="n">
        <x:f>IF(AND(ISNUMBER('Results'!B7),ISNUMBER('Results'!C7),ISNUMBER('Results'!$B$8),ISNUMBER('Inputs'!$B$6),ISNUMBER('Inputs'!$B$7),ISNUMBER('Inputs'!$B$8),ISNUMBER('Inputs'!$B$9),ISNUMBER('Inputs'!$B$10),ISNUMBER('Inputs'!$B$21),ISNUMBER('Inputs'!$B$24),ISNUMBER('Inputs'!$B$28)),((('Results'!B7*(1-'Inputs'!$B$24)*(0.5*((((270-43)*MAX('Inputs'!$B$33,'Inputs'!$B$29+'Inputs'!$B$31+'Inputs'!$B$32,'Inputs'!$B$30+'Inputs'!$B$31+'Inputs'!$B$32)/1000+'Inputs'!$B$21)+'Inputs'!$B$7)/SQRT((((270-43)*MAX('Inputs'!$B$33,'Inputs'!$B$29+'Inputs'!$B$31+'Inputs'!$B$32,'Inputs'!$B$30+'Inputs'!$B$31+'Inputs'!$B$32)/1000+'Inputs'!$B$21)+'Inputs'!$B$7)^2+('Inputs'!$B$6/2)^2)-(((270-43)*MAX('Inputs'!$B$33,'Inputs'!$B$29+'Inputs'!$B$31+'Inputs'!$B$32,'Inputs'!$B$30+'Inputs'!$B$31+'Inputs'!$B$32)/1000+'Inputs'!$B$21))/SQRT((((270-43)*MAX('Inputs'!$B$33,'Inputs'!$B$29+'Inputs'!$B$31+'Inputs'!$B$32,'Inputs'!$B$30+'Inputs'!$B$31+'Inputs'!$B$32)/1000+'Inputs'!$B$21))^2+('Inputs'!$B$6/2)^2)))-'Results'!C7*(1+'Inputs'!$B$24)*(0.5*((((270-43)*MAX('Inputs'!$B$33,'Inputs'!$B$29+'Inputs'!$B$31+'Inputs'!$B$32,'Inputs'!$B$30+'Inputs'!$B$31+'Inputs'!$B$32)/1000+'Inputs'!$B$21+'Inputs'!$B$7+'Inputs'!$B$10)+'Inputs'!$B$9)/SQRT((((270-43)*MAX('Inputs'!$B$33,'Inputs'!$B$29+'Inputs'!$B$31+'Inputs'!$B$32,'Inputs'!$B$30+'Inputs'!$B$31+'Inputs'!$B$32)/1000+'Inputs'!$B$21+'Inputs'!$B$7+'Inputs'!$B$10)+'Inputs'!$B$9)^2+('Inputs'!$B$8/2)^2)-(((270-43)*MAX('Inputs'!$B$33,'Inputs'!$B$29+'Inputs'!$B$31+'Inputs'!$B$32,'Inputs'!$B$30+'Inputs'!$B$31+'Inputs'!$B$32)/1000+'Inputs'!$B$21+'Inputs'!$B$7+'Inputs'!$B$10))/SQRT((((270-43)*MAX('Inputs'!$B$33,'Inputs'!$B$29+'Inputs'!$B$31+'Inputs'!$B$32,'Inputs'!$B$30+'Inputs'!$B$31+'Inputs'!$B$32)/1000+'Inputs'!$B$21+'Inputs'!$B$7+'Inputs'!$B$10))^2+('Inputs'!$B$8/2)^2))))*'Results'!$B$8)-'Inputs'!$B$28*ABS((('Results'!B7*(1-'Inputs'!$B$24)*(0.5*((((270-43)*MAX('Inputs'!$B$33,'Inputs'!$B$29+'Inputs'!$B$31+'Inputs'!$B$32,'Inputs'!$B$30+'Inputs'!$B$31+'Inputs'!$B$32)/1000+'Inputs'!$B$21)+'Inputs'!$B$7)/SQRT((((270-43)*MAX('Inputs'!$B$33,'Inputs'!$B$29+'Inputs'!$B$31+'Inputs'!$B$32,'Inputs'!$B$30+'Inputs'!$B$31+'Inputs'!$B$32)/1000+'Inputs'!$B$21)+'Inputs'!$B$7)^2+('Inputs'!$B$6/2)^2)-(((270-43)*MAX('Inputs'!$B$33,'Inputs'!$B$29+'Inputs'!$B$31+'Inputs'!$B$32,'Inputs'!$B$30+'Inputs'!$B$31+'Inputs'!$B$32)/1000+'Inputs'!$B$21))/SQRT((((270-43)*MAX('Inputs'!$B$33,'Inputs'!$B$29+'Inputs'!$B$31+'Inputs'!$B$32,'Inputs'!$B$30+'Inputs'!$B$31+'Inputs'!$B$32)/1000+'Inputs'!$B$21))^2+('Inputs'!$B$6/2)^2)))-'Results'!C7*(1+'Inputs'!$B$24)*(0.5*((((270-43)*MAX('Inputs'!$B$33,'Inputs'!$B$29+'Inputs'!$B$31+'Inputs'!$B$32,'Inputs'!$B$30+'Inputs'!$B$31+'Inputs'!$B$32)/1000+'Inputs'!$B$21+'Inputs'!$B$7+'Inputs'!$B$10)+'Inputs'!$B$9)/SQRT((((270-43)*MAX('Inputs'!$B$33,'Inputs'!$B$29+'Inputs'!$B$31+'Inputs'!$B$32,'Inputs'!$B$30+'Inputs'!$B$31+'Inputs'!$B$32)/1000+'Inputs'!$B$21+'Inputs'!$B$7+'Inputs'!$B$10)+'Inputs'!$B$9)^2+('Inputs'!$B$8/2)^2)-(((270-43)*MAX('Inputs'!$B$33,'Inputs'!$B$29+'Inputs'!$B$31+'Inputs'!$B$32,'Inputs'!$B$30+'Inputs'!$B$31+'Inputs'!$B$32)/1000+'Inputs'!$B$21+'Inputs'!$B$7+'Inputs'!$B$10))/SQRT((((270-43)*MAX('Inputs'!$B$33,'Inputs'!$B$29+'Inputs'!$B$31+'Inputs'!$B$32,'Inputs'!$B$30+'Inputs'!$B$31+'Inputs'!$B$32)/1000+'Inputs'!$B$21+'Inputs'!$B$7+'Inputs'!$B$10))^2+('Inputs'!$B$8/2)^2))))*'Results'!$B$8))),"")</x:f>
        <x:v>46.75249805935536</x:v>
      </x:c>
      <x:c r="L270" t="n">
        <x:f>IF(AND(ISNUMBER('Results'!B7),ISNUMBER('Results'!C7),ISNUMBER('Results'!$B$8),ISNUMBER('Inputs'!$B$6),ISNUMBER('Inputs'!$B$7),ISNUMBER('Inputs'!$B$8),ISNUMBER('Inputs'!$B$9),ISNUMBER('Inputs'!$B$10),ISNUMBER('Inputs'!$B$21),ISNUMBER('Inputs'!$B$24),ISNUMBER('Inputs'!$B$28)),((('Results'!B7*(1+'Inputs'!$B$24)*(0.5*((((270-43)*MAX('Inputs'!$B$33,'Inputs'!$B$29+'Inputs'!$B$31+'Inputs'!$B$32,'Inputs'!$B$30+'Inputs'!$B$31+'Inputs'!$B$32)/1000+'Inputs'!$B$21)+'Inputs'!$B$7)/SQRT((((270-43)*MAX('Inputs'!$B$33,'Inputs'!$B$29+'Inputs'!$B$31+'Inputs'!$B$32,'Inputs'!$B$30+'Inputs'!$B$31+'Inputs'!$B$32)/1000+'Inputs'!$B$21)+'Inputs'!$B$7)^2+('Inputs'!$B$6/2)^2)-(((270-43)*MAX('Inputs'!$B$33,'Inputs'!$B$29+'Inputs'!$B$31+'Inputs'!$B$32,'Inputs'!$B$30+'Inputs'!$B$31+'Inputs'!$B$32)/1000+'Inputs'!$B$21))/SQRT((((270-43)*MAX('Inputs'!$B$33,'Inputs'!$B$29+'Inputs'!$B$31+'Inputs'!$B$32,'Inputs'!$B$30+'Inputs'!$B$31+'Inputs'!$B$32)/1000+'Inputs'!$B$21))^2+('Inputs'!$B$6/2)^2)))-'Results'!C7*(1-'Inputs'!$B$24)*(0.5*((((270-43)*MAX('Inputs'!$B$33,'Inputs'!$B$29+'Inputs'!$B$31+'Inputs'!$B$32,'Inputs'!$B$30+'Inputs'!$B$31+'Inputs'!$B$32)/1000+'Inputs'!$B$21+'Inputs'!$B$7+'Inputs'!$B$10)+'Inputs'!$B$9)/SQRT((((270-43)*MAX('Inputs'!$B$33,'Inputs'!$B$29+'Inputs'!$B$31+'Inputs'!$B$32,'Inputs'!$B$30+'Inputs'!$B$31+'Inputs'!$B$32)/1000+'Inputs'!$B$21+'Inputs'!$B$7+'Inputs'!$B$10)+'Inputs'!$B$9)^2+('Inputs'!$B$8/2)^2)-(((270-43)*MAX('Inputs'!$B$33,'Inputs'!$B$29+'Inputs'!$B$31+'Inputs'!$B$32,'Inputs'!$B$30+'Inputs'!$B$31+'Inputs'!$B$32)/1000+'Inputs'!$B$21+'Inputs'!$B$7+'Inputs'!$B$10))/SQRT((((270-43)*MAX('Inputs'!$B$33,'Inputs'!$B$29+'Inputs'!$B$31+'Inputs'!$B$32,'Inputs'!$B$30+'Inputs'!$B$31+'Inputs'!$B$32)/1000+'Inputs'!$B$21+'Inputs'!$B$7+'Inputs'!$B$10))^2+('Inputs'!$B$8/2)^2))))*'Results'!$B$8)+'Inputs'!$B$28*ABS((('Results'!B7*(1+'Inputs'!$B$24)*(0.5*((((270-43)*MAX('Inputs'!$B$33,'Inputs'!$B$29+'Inputs'!$B$31+'Inputs'!$B$32,'Inputs'!$B$30+'Inputs'!$B$31+'Inputs'!$B$32)/1000+'Inputs'!$B$21)+'Inputs'!$B$7)/SQRT((((270-43)*MAX('Inputs'!$B$33,'Inputs'!$B$29+'Inputs'!$B$31+'Inputs'!$B$32,'Inputs'!$B$30+'Inputs'!$B$31+'Inputs'!$B$32)/1000+'Inputs'!$B$21)+'Inputs'!$B$7)^2+('Inputs'!$B$6/2)^2)-(((270-43)*MAX('Inputs'!$B$33,'Inputs'!$B$29+'Inputs'!$B$31+'Inputs'!$B$32,'Inputs'!$B$30+'Inputs'!$B$31+'Inputs'!$B$32)/1000+'Inputs'!$B$21))/SQRT((((270-43)*MAX('Inputs'!$B$33,'Inputs'!$B$29+'Inputs'!$B$31+'Inputs'!$B$32,'Inputs'!$B$30+'Inputs'!$B$31+'Inputs'!$B$32)/1000+'Inputs'!$B$21))^2+('Inputs'!$B$6/2)^2)))-'Results'!C7*(1-'Inputs'!$B$24)*(0.5*((((270-43)*MAX('Inputs'!$B$33,'Inputs'!$B$29+'Inputs'!$B$31+'Inputs'!$B$32,'Inputs'!$B$30+'Inputs'!$B$31+'Inputs'!$B$32)/1000+'Inputs'!$B$21+'Inputs'!$B$7+'Inputs'!$B$10)+'Inputs'!$B$9)/SQRT((((270-43)*MAX('Inputs'!$B$33,'Inputs'!$B$29+'Inputs'!$B$31+'Inputs'!$B$32,'Inputs'!$B$30+'Inputs'!$B$31+'Inputs'!$B$32)/1000+'Inputs'!$B$21+'Inputs'!$B$7+'Inputs'!$B$10)+'Inputs'!$B$9)^2+('Inputs'!$B$8/2)^2)-(((270-43)*MAX('Inputs'!$B$33,'Inputs'!$B$29+'Inputs'!$B$31+'Inputs'!$B$32,'Inputs'!$B$30+'Inputs'!$B$31+'Inputs'!$B$32)/1000+'Inputs'!$B$21+'Inputs'!$B$7+'Inputs'!$B$10))/SQRT((((270-43)*MAX('Inputs'!$B$33,'Inputs'!$B$29+'Inputs'!$B$31+'Inputs'!$B$32,'Inputs'!$B$30+'Inputs'!$B$31+'Inputs'!$B$32)/1000+'Inputs'!$B$21+'Inputs'!$B$7+'Inputs'!$B$10))^2+('Inputs'!$B$8/2)^2))))*'Results'!$B$8))),"")</x:f>
        <x:v>55.99916647378236</x:v>
      </x:c>
      <x:c r="M270" t="n">
        <x:f>IF(AND(ISNUMBER('Results'!C7),ISNUMBER('Results'!B7),ISNUMBER('Results'!$B$8),ISNUMBER('Inputs'!$B$6),ISNUMBER('Inputs'!$B$7),ISNUMBER('Inputs'!$B$8),ISNUMBER('Inputs'!$B$9),ISNUMBER('Inputs'!$B$10),ISNUMBER('Inputs'!$B$21),ISNUMBER('Inputs'!$B$24),ISNUMBER('Inputs'!$B$28)),(('Results'!C7*(0.5*((((270-43)*MAX('Inputs'!$B$33,'Inputs'!$B$29+'Inputs'!$B$31+'Inputs'!$B$32,'Inputs'!$B$30+'Inputs'!$B$31+'Inputs'!$B$32)/1000+'Inputs'!$B$21)+'Inputs'!$B$9)/SQRT((((270-43)*MAX('Inputs'!$B$33,'Inputs'!$B$29+'Inputs'!$B$31+'Inputs'!$B$32,'Inputs'!$B$30+'Inputs'!$B$31+'Inputs'!$B$32)/1000+'Inputs'!$B$21)+'Inputs'!$B$9)^2+('Inputs'!$B$8/2)^2)-(((270-43)*MAX('Inputs'!$B$33,'Inputs'!$B$29+'Inputs'!$B$31+'Inputs'!$B$32,'Inputs'!$B$30+'Inputs'!$B$31+'Inputs'!$B$32)/1000+'Inputs'!$B$21))/SQRT((((270-43)*MAX('Inputs'!$B$33,'Inputs'!$B$29+'Inputs'!$B$31+'Inputs'!$B$32,'Inputs'!$B$30+'Inputs'!$B$31+'Inputs'!$B$32)/1000+'Inputs'!$B$21))^2+('Inputs'!$B$8/2)^2)))-'Results'!B7*(0.5*((((270-43)*MAX('Inputs'!$B$33,'Inputs'!$B$29+'Inputs'!$B$31+'Inputs'!$B$32,'Inputs'!$B$30+'Inputs'!$B$31+'Inputs'!$B$32)/1000+'Inputs'!$B$21+'Inputs'!$B$9+'Inputs'!$B$10)+'Inputs'!$B$7)/SQRT((((270-43)*MAX('Inputs'!$B$33,'Inputs'!$B$29+'Inputs'!$B$31+'Inputs'!$B$32,'Inputs'!$B$30+'Inputs'!$B$31+'Inputs'!$B$32)/1000+'Inputs'!$B$21+'Inputs'!$B$9+'Inputs'!$B$10)+'Inputs'!$B$7)^2+('Inputs'!$B$6/2)^2)-(((270-43)*MAX('Inputs'!$B$33,'Inputs'!$B$29+'Inputs'!$B$31+'Inputs'!$B$32,'Inputs'!$B$30+'Inputs'!$B$31+'Inputs'!$B$32)/1000+'Inputs'!$B$21+'Inputs'!$B$9+'Inputs'!$B$10))/SQRT((((270-43)*MAX('Inputs'!$B$33,'Inputs'!$B$29+'Inputs'!$B$31+'Inputs'!$B$32,'Inputs'!$B$30+'Inputs'!$B$31+'Inputs'!$B$32)/1000+'Inputs'!$B$21+'Inputs'!$B$9+'Inputs'!$B$10))^2+('Inputs'!$B$6/2)^2))))*'Results'!$B$8),"")</x:f>
        <x:v>49.202602434912855</x:v>
      </x:c>
      <x:c r="N270" t="n">
        <x:f>IF(AND(ISNUMBER('Results'!C7),ISNUMBER('Results'!B7),ISNUMBER('Results'!$B$8),ISNUMBER('Inputs'!$B$6),ISNUMBER('Inputs'!$B$7),ISNUMBER('Inputs'!$B$8),ISNUMBER('Inputs'!$B$9),ISNUMBER('Inputs'!$B$10),ISNUMBER('Inputs'!$B$21),ISNUMBER('Inputs'!$B$24),ISNUMBER('Inputs'!$B$28)),((('Results'!C7*(1-'Inputs'!$B$24)*(0.5*((((270-43)*MAX('Inputs'!$B$33,'Inputs'!$B$29+'Inputs'!$B$31+'Inputs'!$B$32,'Inputs'!$B$30+'Inputs'!$B$31+'Inputs'!$B$32)/1000+'Inputs'!$B$21)+'Inputs'!$B$9)/SQRT((((270-43)*MAX('Inputs'!$B$33,'Inputs'!$B$29+'Inputs'!$B$31+'Inputs'!$B$32,'Inputs'!$B$30+'Inputs'!$B$31+'Inputs'!$B$32)/1000+'Inputs'!$B$21)+'Inputs'!$B$9)^2+('Inputs'!$B$8/2)^2)-(((270-43)*MAX('Inputs'!$B$33,'Inputs'!$B$29+'Inputs'!$B$31+'Inputs'!$B$32,'Inputs'!$B$30+'Inputs'!$B$31+'Inputs'!$B$32)/1000+'Inputs'!$B$21))/SQRT((((270-43)*MAX('Inputs'!$B$33,'Inputs'!$B$29+'Inputs'!$B$31+'Inputs'!$B$32,'Inputs'!$B$30+'Inputs'!$B$31+'Inputs'!$B$32)/1000+'Inputs'!$B$21))^2+('Inputs'!$B$8/2)^2)))-'Results'!B7*(1+'Inputs'!$B$24)*(0.5*((((270-43)*MAX('Inputs'!$B$33,'Inputs'!$B$29+'Inputs'!$B$31+'Inputs'!$B$32,'Inputs'!$B$30+'Inputs'!$B$31+'Inputs'!$B$32)/1000+'Inputs'!$B$21+'Inputs'!$B$9+'Inputs'!$B$10)+'Inputs'!$B$7)/SQRT((((270-43)*MAX('Inputs'!$B$33,'Inputs'!$B$29+'Inputs'!$B$31+'Inputs'!$B$32,'Inputs'!$B$30+'Inputs'!$B$31+'Inputs'!$B$32)/1000+'Inputs'!$B$21+'Inputs'!$B$9+'Inputs'!$B$10)+'Inputs'!$B$7)^2+('Inputs'!$B$6/2)^2)-(((270-43)*MAX('Inputs'!$B$33,'Inputs'!$B$29+'Inputs'!$B$31+'Inputs'!$B$32,'Inputs'!$B$30+'Inputs'!$B$31+'Inputs'!$B$32)/1000+'Inputs'!$B$21+'Inputs'!$B$9+'Inputs'!$B$10))/SQRT((((270-43)*MAX('Inputs'!$B$33,'Inputs'!$B$29+'Inputs'!$B$31+'Inputs'!$B$32,'Inputs'!$B$30+'Inputs'!$B$31+'Inputs'!$B$32)/1000+'Inputs'!$B$21+'Inputs'!$B$9+'Inputs'!$B$10))^2+('Inputs'!$B$6/2)^2))))*'Results'!$B$8)-'Inputs'!$B$28*ABS((('Results'!C7*(1-'Inputs'!$B$24)*(0.5*((((270-43)*MAX('Inputs'!$B$33,'Inputs'!$B$29+'Inputs'!$B$31+'Inputs'!$B$32,'Inputs'!$B$30+'Inputs'!$B$31+'Inputs'!$B$32)/1000+'Inputs'!$B$21)+'Inputs'!$B$9)/SQRT((((270-43)*MAX('Inputs'!$B$33,'Inputs'!$B$29+'Inputs'!$B$31+'Inputs'!$B$32,'Inputs'!$B$30+'Inputs'!$B$31+'Inputs'!$B$32)/1000+'Inputs'!$B$21)+'Inputs'!$B$9)^2+('Inputs'!$B$8/2)^2)-(((270-43)*MAX('Inputs'!$B$33,'Inputs'!$B$29+'Inputs'!$B$31+'Inputs'!$B$32,'Inputs'!$B$30+'Inputs'!$B$31+'Inputs'!$B$32)/1000+'Inputs'!$B$21))/SQRT((((270-43)*MAX('Inputs'!$B$33,'Inputs'!$B$29+'Inputs'!$B$31+'Inputs'!$B$32,'Inputs'!$B$30+'Inputs'!$B$31+'Inputs'!$B$32)/1000+'Inputs'!$B$21))^2+('Inputs'!$B$8/2)^2)))-'Results'!B7*(1+'Inputs'!$B$24)*(0.5*((((270-43)*MAX('Inputs'!$B$33,'Inputs'!$B$29+'Inputs'!$B$31+'Inputs'!$B$32,'Inputs'!$B$30+'Inputs'!$B$31+'Inputs'!$B$32)/1000+'Inputs'!$B$21+'Inputs'!$B$9+'Inputs'!$B$10)+'Inputs'!$B$7)/SQRT((((270-43)*MAX('Inputs'!$B$33,'Inputs'!$B$29+'Inputs'!$B$31+'Inputs'!$B$32,'Inputs'!$B$30+'Inputs'!$B$31+'Inputs'!$B$32)/1000+'Inputs'!$B$21+'Inputs'!$B$9+'Inputs'!$B$10)+'Inputs'!$B$7)^2+('Inputs'!$B$6/2)^2)-(((270-43)*MAX('Inputs'!$B$33,'Inputs'!$B$29+'Inputs'!$B$31+'Inputs'!$B$32,'Inputs'!$B$30+'Inputs'!$B$31+'Inputs'!$B$32)/1000+'Inputs'!$B$21+'Inputs'!$B$9+'Inputs'!$B$10))/SQRT((((270-43)*MAX('Inputs'!$B$33,'Inputs'!$B$29+'Inputs'!$B$31+'Inputs'!$B$32,'Inputs'!$B$30+'Inputs'!$B$31+'Inputs'!$B$32)/1000+'Inputs'!$B$21+'Inputs'!$B$9+'Inputs'!$B$10))^2+('Inputs'!$B$6/2)^2))))*'Results'!$B$8))),"")</x:f>
        <x:v>44.8050482480886</x:v>
      </x:c>
      <x:c r="O270" t="n">
        <x:f>IF(AND(ISNUMBER('Results'!C7),ISNUMBER('Results'!B7),ISNUMBER('Results'!$B$8),ISNUMBER('Inputs'!$B$6),ISNUMBER('Inputs'!$B$7),ISNUMBER('Inputs'!$B$8),ISNUMBER('Inputs'!$B$9),ISNUMBER('Inputs'!$B$10),ISNUMBER('Inputs'!$B$21),ISNUMBER('Inputs'!$B$24),ISNUMBER('Inputs'!$B$28)),((('Results'!C7*(1+'Inputs'!$B$24)*(0.5*((((270-43)*MAX('Inputs'!$B$33,'Inputs'!$B$29+'Inputs'!$B$31+'Inputs'!$B$32,'Inputs'!$B$30+'Inputs'!$B$31+'Inputs'!$B$32)/1000+'Inputs'!$B$21)+'Inputs'!$B$9)/SQRT((((270-43)*MAX('Inputs'!$B$33,'Inputs'!$B$29+'Inputs'!$B$31+'Inputs'!$B$32,'Inputs'!$B$30+'Inputs'!$B$31+'Inputs'!$B$32)/1000+'Inputs'!$B$21)+'Inputs'!$B$9)^2+('Inputs'!$B$8/2)^2)-(((270-43)*MAX('Inputs'!$B$33,'Inputs'!$B$29+'Inputs'!$B$31+'Inputs'!$B$32,'Inputs'!$B$30+'Inputs'!$B$31+'Inputs'!$B$32)/1000+'Inputs'!$B$21))/SQRT((((270-43)*MAX('Inputs'!$B$33,'Inputs'!$B$29+'Inputs'!$B$31+'Inputs'!$B$32,'Inputs'!$B$30+'Inputs'!$B$31+'Inputs'!$B$32)/1000+'Inputs'!$B$21))^2+('Inputs'!$B$8/2)^2)))-'Results'!B7*(1-'Inputs'!$B$24)*(0.5*((((270-43)*MAX('Inputs'!$B$33,'Inputs'!$B$29+'Inputs'!$B$31+'Inputs'!$B$32,'Inputs'!$B$30+'Inputs'!$B$31+'Inputs'!$B$32)/1000+'Inputs'!$B$21+'Inputs'!$B$9+'Inputs'!$B$10)+'Inputs'!$B$7)/SQRT((((270-43)*MAX('Inputs'!$B$33,'Inputs'!$B$29+'Inputs'!$B$31+'Inputs'!$B$32,'Inputs'!$B$30+'Inputs'!$B$31+'Inputs'!$B$32)/1000+'Inputs'!$B$21+'Inputs'!$B$9+'Inputs'!$B$10)+'Inputs'!$B$7)^2+('Inputs'!$B$6/2)^2)-(((270-43)*MAX('Inputs'!$B$33,'Inputs'!$B$29+'Inputs'!$B$31+'Inputs'!$B$32,'Inputs'!$B$30+'Inputs'!$B$31+'Inputs'!$B$32)/1000+'Inputs'!$B$21+'Inputs'!$B$9+'Inputs'!$B$10))/SQRT((((270-43)*MAX('Inputs'!$B$33,'Inputs'!$B$29+'Inputs'!$B$31+'Inputs'!$B$32,'Inputs'!$B$30+'Inputs'!$B$31+'Inputs'!$B$32)/1000+'Inputs'!$B$21+'Inputs'!$B$9+'Inputs'!$B$10))^2+('Inputs'!$B$6/2)^2))))*'Results'!$B$8)+'Inputs'!$B$28*ABS((('Results'!C7*(1+'Inputs'!$B$24)*(0.5*((((270-43)*MAX('Inputs'!$B$33,'Inputs'!$B$29+'Inputs'!$B$31+'Inputs'!$B$32,'Inputs'!$B$30+'Inputs'!$B$31+'Inputs'!$B$32)/1000+'Inputs'!$B$21)+'Inputs'!$B$9)/SQRT((((270-43)*MAX('Inputs'!$B$33,'Inputs'!$B$29+'Inputs'!$B$31+'Inputs'!$B$32,'Inputs'!$B$30+'Inputs'!$B$31+'Inputs'!$B$32)/1000+'Inputs'!$B$21)+'Inputs'!$B$9)^2+('Inputs'!$B$8/2)^2)-(((270-43)*MAX('Inputs'!$B$33,'Inputs'!$B$29+'Inputs'!$B$31+'Inputs'!$B$32,'Inputs'!$B$30+'Inputs'!$B$31+'Inputs'!$B$32)/1000+'Inputs'!$B$21))/SQRT((((270-43)*MAX('Inputs'!$B$33,'Inputs'!$B$29+'Inputs'!$B$31+'Inputs'!$B$32,'Inputs'!$B$30+'Inputs'!$B$31+'Inputs'!$B$32)/1000+'Inputs'!$B$21))^2+('Inputs'!$B$8/2)^2)))-'Results'!B7*(1-'Inputs'!$B$24)*(0.5*((((270-43)*MAX('Inputs'!$B$33,'Inputs'!$B$29+'Inputs'!$B$31+'Inputs'!$B$32,'Inputs'!$B$30+'Inputs'!$B$31+'Inputs'!$B$32)/1000+'Inputs'!$B$21+'Inputs'!$B$9+'Inputs'!$B$10)+'Inputs'!$B$7)/SQRT((((270-43)*MAX('Inputs'!$B$33,'Inputs'!$B$29+'Inputs'!$B$31+'Inputs'!$B$32,'Inputs'!$B$30+'Inputs'!$B$31+'Inputs'!$B$32)/1000+'Inputs'!$B$21+'Inputs'!$B$9+'Inputs'!$B$10)+'Inputs'!$B$7)^2+('Inputs'!$B$6/2)^2)-(((270-43)*MAX('Inputs'!$B$33,'Inputs'!$B$29+'Inputs'!$B$31+'Inputs'!$B$32,'Inputs'!$B$30+'Inputs'!$B$31+'Inputs'!$B$32)/1000+'Inputs'!$B$21+'Inputs'!$B$9+'Inputs'!$B$10))/SQRT((((270-43)*MAX('Inputs'!$B$33,'Inputs'!$B$29+'Inputs'!$B$31+'Inputs'!$B$32,'Inputs'!$B$30+'Inputs'!$B$31+'Inputs'!$B$32)/1000+'Inputs'!$B$21+'Inputs'!$B$9+'Inputs'!$B$10))^2+('Inputs'!$B$6/2)^2))))*'Results'!$B$8))),"")</x:f>
        <x:v>53.80409599700854</x:v>
      </x:c>
      <x:c r="P270" t="n">
        <x:f>IF(AND(MAX(J270,J269)&gt;0,J270&gt;J269+0.00000001),1,0)</x:f>
        <x:v>0</x:v>
      </x:c>
      <x:c r="Q270" t="n">
        <x:f>IF(AND(MAX(K270,K269)&gt;0,K270&gt;K269+0.00000001),1,0)</x:f>
        <x:v>0</x:v>
      </x:c>
      <x:c r="R270" t="n">
        <x:f>IF(AND(MAX(L270,L269)&gt;0,L270&gt;L269+0.00000001),1,0)</x:f>
        <x:v>0</x:v>
      </x:c>
      <x:c r="S270" t="n">
        <x:f>IF(AND(MAX(M270,M269)&gt;0,M270&gt;M269+0.00000001),1,0)</x:f>
        <x:v>0</x:v>
      </x:c>
      <x:c r="T270" t="n">
        <x:f>IF(AND(MAX(N270,N269)&gt;0,N270&gt;N269+0.00000001),1,0)</x:f>
        <x:v>0</x:v>
      </x:c>
      <x:c r="U270" t="n">
        <x:f>IF(AND(MAX(O270,O269)&gt;0,O270&gt;O269+0.00000001),1,0)</x:f>
        <x:v>0</x:v>
      </x:c>
    </x:row>
    <x:row r="271">
      <x:c r="J271" t="n">
        <x:f>IF(AND(ISNUMBER('Results'!B7),ISNUMBER('Results'!C7),ISNUMBER('Results'!$B$8),ISNUMBER('Inputs'!$B$6),ISNUMBER('Inputs'!$B$7),ISNUMBER('Inputs'!$B$8),ISNUMBER('Inputs'!$B$9),ISNUMBER('Inputs'!$B$10),ISNUMBER('Inputs'!$B$21),ISNUMBER('Inputs'!$B$24),ISNUMBER('Inputs'!$B$28)),(('Results'!B7*(0.5*((((271-43)*MAX('Inputs'!$B$33,'Inputs'!$B$29+'Inputs'!$B$31+'Inputs'!$B$32,'Inputs'!$B$30+'Inputs'!$B$31+'Inputs'!$B$32)/1000+'Inputs'!$B$21)+'Inputs'!$B$7)/SQRT((((271-43)*MAX('Inputs'!$B$33,'Inputs'!$B$29+'Inputs'!$B$31+'Inputs'!$B$32,'Inputs'!$B$30+'Inputs'!$B$31+'Inputs'!$B$32)/1000+'Inputs'!$B$21)+'Inputs'!$B$7)^2+('Inputs'!$B$6/2)^2)-(((271-43)*MAX('Inputs'!$B$33,'Inputs'!$B$29+'Inputs'!$B$31+'Inputs'!$B$32,'Inputs'!$B$30+'Inputs'!$B$31+'Inputs'!$B$32)/1000+'Inputs'!$B$21))/SQRT((((271-43)*MAX('Inputs'!$B$33,'Inputs'!$B$29+'Inputs'!$B$31+'Inputs'!$B$32,'Inputs'!$B$30+'Inputs'!$B$31+'Inputs'!$B$32)/1000+'Inputs'!$B$21))^2+('Inputs'!$B$6/2)^2)))-'Results'!C7*(0.5*((((271-43)*MAX('Inputs'!$B$33,'Inputs'!$B$29+'Inputs'!$B$31+'Inputs'!$B$32,'Inputs'!$B$30+'Inputs'!$B$31+'Inputs'!$B$32)/1000+'Inputs'!$B$21+'Inputs'!$B$7+'Inputs'!$B$10)+'Inputs'!$B$9)/SQRT((((271-43)*MAX('Inputs'!$B$33,'Inputs'!$B$29+'Inputs'!$B$31+'Inputs'!$B$32,'Inputs'!$B$30+'Inputs'!$B$31+'Inputs'!$B$32)/1000+'Inputs'!$B$21+'Inputs'!$B$7+'Inputs'!$B$10)+'Inputs'!$B$9)^2+('Inputs'!$B$8/2)^2)-(((271-43)*MAX('Inputs'!$B$33,'Inputs'!$B$29+'Inputs'!$B$31+'Inputs'!$B$32,'Inputs'!$B$30+'Inputs'!$B$31+'Inputs'!$B$32)/1000+'Inputs'!$B$21+'Inputs'!$B$7+'Inputs'!$B$10))/SQRT((((271-43)*MAX('Inputs'!$B$33,'Inputs'!$B$29+'Inputs'!$B$31+'Inputs'!$B$32,'Inputs'!$B$30+'Inputs'!$B$31+'Inputs'!$B$32)/1000+'Inputs'!$B$21+'Inputs'!$B$7+'Inputs'!$B$10))^2+('Inputs'!$B$8/2)^2))))*'Results'!$B$8),"")</x:f>
        <x:v>50.62864951093917</x:v>
      </x:c>
      <x:c r="K271" t="n">
        <x:f>IF(AND(ISNUMBER('Results'!B7),ISNUMBER('Results'!C7),ISNUMBER('Results'!$B$8),ISNUMBER('Inputs'!$B$6),ISNUMBER('Inputs'!$B$7),ISNUMBER('Inputs'!$B$8),ISNUMBER('Inputs'!$B$9),ISNUMBER('Inputs'!$B$10),ISNUMBER('Inputs'!$B$21),ISNUMBER('Inputs'!$B$24),ISNUMBER('Inputs'!$B$28)),((('Results'!B7*(1-'Inputs'!$B$24)*(0.5*((((271-43)*MAX('Inputs'!$B$33,'Inputs'!$B$29+'Inputs'!$B$31+'Inputs'!$B$32,'Inputs'!$B$30+'Inputs'!$B$31+'Inputs'!$B$32)/1000+'Inputs'!$B$21)+'Inputs'!$B$7)/SQRT((((271-43)*MAX('Inputs'!$B$33,'Inputs'!$B$29+'Inputs'!$B$31+'Inputs'!$B$32,'Inputs'!$B$30+'Inputs'!$B$31+'Inputs'!$B$32)/1000+'Inputs'!$B$21)+'Inputs'!$B$7)^2+('Inputs'!$B$6/2)^2)-(((271-43)*MAX('Inputs'!$B$33,'Inputs'!$B$29+'Inputs'!$B$31+'Inputs'!$B$32,'Inputs'!$B$30+'Inputs'!$B$31+'Inputs'!$B$32)/1000+'Inputs'!$B$21))/SQRT((((271-43)*MAX('Inputs'!$B$33,'Inputs'!$B$29+'Inputs'!$B$31+'Inputs'!$B$32,'Inputs'!$B$30+'Inputs'!$B$31+'Inputs'!$B$32)/1000+'Inputs'!$B$21))^2+('Inputs'!$B$6/2)^2)))-'Results'!C7*(1+'Inputs'!$B$24)*(0.5*((((271-43)*MAX('Inputs'!$B$33,'Inputs'!$B$29+'Inputs'!$B$31+'Inputs'!$B$32,'Inputs'!$B$30+'Inputs'!$B$31+'Inputs'!$B$32)/1000+'Inputs'!$B$21+'Inputs'!$B$7+'Inputs'!$B$10)+'Inputs'!$B$9)/SQRT((((271-43)*MAX('Inputs'!$B$33,'Inputs'!$B$29+'Inputs'!$B$31+'Inputs'!$B$32,'Inputs'!$B$30+'Inputs'!$B$31+'Inputs'!$B$32)/1000+'Inputs'!$B$21+'Inputs'!$B$7+'Inputs'!$B$10)+'Inputs'!$B$9)^2+('Inputs'!$B$8/2)^2)-(((271-43)*MAX('Inputs'!$B$33,'Inputs'!$B$29+'Inputs'!$B$31+'Inputs'!$B$32,'Inputs'!$B$30+'Inputs'!$B$31+'Inputs'!$B$32)/1000+'Inputs'!$B$21+'Inputs'!$B$7+'Inputs'!$B$10))/SQRT((((271-43)*MAX('Inputs'!$B$33,'Inputs'!$B$29+'Inputs'!$B$31+'Inputs'!$B$32,'Inputs'!$B$30+'Inputs'!$B$31+'Inputs'!$B$32)/1000+'Inputs'!$B$21+'Inputs'!$B$7+'Inputs'!$B$10))^2+('Inputs'!$B$8/2)^2))))*'Results'!$B$8)-'Inputs'!$B$28*ABS((('Results'!B7*(1-'Inputs'!$B$24)*(0.5*((((271-43)*MAX('Inputs'!$B$33,'Inputs'!$B$29+'Inputs'!$B$31+'Inputs'!$B$32,'Inputs'!$B$30+'Inputs'!$B$31+'Inputs'!$B$32)/1000+'Inputs'!$B$21)+'Inputs'!$B$7)/SQRT((((271-43)*MAX('Inputs'!$B$33,'Inputs'!$B$29+'Inputs'!$B$31+'Inputs'!$B$32,'Inputs'!$B$30+'Inputs'!$B$31+'Inputs'!$B$32)/1000+'Inputs'!$B$21)+'Inputs'!$B$7)^2+('Inputs'!$B$6/2)^2)-(((271-43)*MAX('Inputs'!$B$33,'Inputs'!$B$29+'Inputs'!$B$31+'Inputs'!$B$32,'Inputs'!$B$30+'Inputs'!$B$31+'Inputs'!$B$32)/1000+'Inputs'!$B$21))/SQRT((((271-43)*MAX('Inputs'!$B$33,'Inputs'!$B$29+'Inputs'!$B$31+'Inputs'!$B$32,'Inputs'!$B$30+'Inputs'!$B$31+'Inputs'!$B$32)/1000+'Inputs'!$B$21))^2+('Inputs'!$B$6/2)^2)))-'Results'!C7*(1+'Inputs'!$B$24)*(0.5*((((271-43)*MAX('Inputs'!$B$33,'Inputs'!$B$29+'Inputs'!$B$31+'Inputs'!$B$32,'Inputs'!$B$30+'Inputs'!$B$31+'Inputs'!$B$32)/1000+'Inputs'!$B$21+'Inputs'!$B$7+'Inputs'!$B$10)+'Inputs'!$B$9)/SQRT((((271-43)*MAX('Inputs'!$B$33,'Inputs'!$B$29+'Inputs'!$B$31+'Inputs'!$B$32,'Inputs'!$B$30+'Inputs'!$B$31+'Inputs'!$B$32)/1000+'Inputs'!$B$21+'Inputs'!$B$7+'Inputs'!$B$10)+'Inputs'!$B$9)^2+('Inputs'!$B$8/2)^2)-(((271-43)*MAX('Inputs'!$B$33,'Inputs'!$B$29+'Inputs'!$B$31+'Inputs'!$B$32,'Inputs'!$B$30+'Inputs'!$B$31+'Inputs'!$B$32)/1000+'Inputs'!$B$21+'Inputs'!$B$7+'Inputs'!$B$10))/SQRT((((271-43)*MAX('Inputs'!$B$33,'Inputs'!$B$29+'Inputs'!$B$31+'Inputs'!$B$32,'Inputs'!$B$30+'Inputs'!$B$31+'Inputs'!$B$32)/1000+'Inputs'!$B$21+'Inputs'!$B$7+'Inputs'!$B$10))^2+('Inputs'!$B$8/2)^2))))*'Results'!$B$8))),"")</x:f>
        <x:v>46.160513405883556</x:v>
      </x:c>
      <x:c r="L271" t="n">
        <x:f>IF(AND(ISNUMBER('Results'!B7),ISNUMBER('Results'!C7),ISNUMBER('Results'!$B$8),ISNUMBER('Inputs'!$B$6),ISNUMBER('Inputs'!$B$7),ISNUMBER('Inputs'!$B$8),ISNUMBER('Inputs'!$B$9),ISNUMBER('Inputs'!$B$10),ISNUMBER('Inputs'!$B$21),ISNUMBER('Inputs'!$B$24),ISNUMBER('Inputs'!$B$28)),((('Results'!B7*(1+'Inputs'!$B$24)*(0.5*((((271-43)*MAX('Inputs'!$B$33,'Inputs'!$B$29+'Inputs'!$B$31+'Inputs'!$B$32,'Inputs'!$B$30+'Inputs'!$B$31+'Inputs'!$B$32)/1000+'Inputs'!$B$21)+'Inputs'!$B$7)/SQRT((((271-43)*MAX('Inputs'!$B$33,'Inputs'!$B$29+'Inputs'!$B$31+'Inputs'!$B$32,'Inputs'!$B$30+'Inputs'!$B$31+'Inputs'!$B$32)/1000+'Inputs'!$B$21)+'Inputs'!$B$7)^2+('Inputs'!$B$6/2)^2)-(((271-43)*MAX('Inputs'!$B$33,'Inputs'!$B$29+'Inputs'!$B$31+'Inputs'!$B$32,'Inputs'!$B$30+'Inputs'!$B$31+'Inputs'!$B$32)/1000+'Inputs'!$B$21))/SQRT((((271-43)*MAX('Inputs'!$B$33,'Inputs'!$B$29+'Inputs'!$B$31+'Inputs'!$B$32,'Inputs'!$B$30+'Inputs'!$B$31+'Inputs'!$B$32)/1000+'Inputs'!$B$21))^2+('Inputs'!$B$6/2)^2)))-'Results'!C7*(1-'Inputs'!$B$24)*(0.5*((((271-43)*MAX('Inputs'!$B$33,'Inputs'!$B$29+'Inputs'!$B$31+'Inputs'!$B$32,'Inputs'!$B$30+'Inputs'!$B$31+'Inputs'!$B$32)/1000+'Inputs'!$B$21+'Inputs'!$B$7+'Inputs'!$B$10)+'Inputs'!$B$9)/SQRT((((271-43)*MAX('Inputs'!$B$33,'Inputs'!$B$29+'Inputs'!$B$31+'Inputs'!$B$32,'Inputs'!$B$30+'Inputs'!$B$31+'Inputs'!$B$32)/1000+'Inputs'!$B$21+'Inputs'!$B$7+'Inputs'!$B$10)+'Inputs'!$B$9)^2+('Inputs'!$B$8/2)^2)-(((271-43)*MAX('Inputs'!$B$33,'Inputs'!$B$29+'Inputs'!$B$31+'Inputs'!$B$32,'Inputs'!$B$30+'Inputs'!$B$31+'Inputs'!$B$32)/1000+'Inputs'!$B$21+'Inputs'!$B$7+'Inputs'!$B$10))/SQRT((((271-43)*MAX('Inputs'!$B$33,'Inputs'!$B$29+'Inputs'!$B$31+'Inputs'!$B$32,'Inputs'!$B$30+'Inputs'!$B$31+'Inputs'!$B$32)/1000+'Inputs'!$B$21+'Inputs'!$B$7+'Inputs'!$B$10))^2+('Inputs'!$B$8/2)^2))))*'Results'!$B$8)+'Inputs'!$B$28*ABS((('Results'!B7*(1+'Inputs'!$B$24)*(0.5*((((271-43)*MAX('Inputs'!$B$33,'Inputs'!$B$29+'Inputs'!$B$31+'Inputs'!$B$32,'Inputs'!$B$30+'Inputs'!$B$31+'Inputs'!$B$32)/1000+'Inputs'!$B$21)+'Inputs'!$B$7)/SQRT((((271-43)*MAX('Inputs'!$B$33,'Inputs'!$B$29+'Inputs'!$B$31+'Inputs'!$B$32,'Inputs'!$B$30+'Inputs'!$B$31+'Inputs'!$B$32)/1000+'Inputs'!$B$21)+'Inputs'!$B$7)^2+('Inputs'!$B$6/2)^2)-(((271-43)*MAX('Inputs'!$B$33,'Inputs'!$B$29+'Inputs'!$B$31+'Inputs'!$B$32,'Inputs'!$B$30+'Inputs'!$B$31+'Inputs'!$B$32)/1000+'Inputs'!$B$21))/SQRT((((271-43)*MAX('Inputs'!$B$33,'Inputs'!$B$29+'Inputs'!$B$31+'Inputs'!$B$32,'Inputs'!$B$30+'Inputs'!$B$31+'Inputs'!$B$32)/1000+'Inputs'!$B$21))^2+('Inputs'!$B$6/2)^2)))-'Results'!C7*(1-'Inputs'!$B$24)*(0.5*((((271-43)*MAX('Inputs'!$B$33,'Inputs'!$B$29+'Inputs'!$B$31+'Inputs'!$B$32,'Inputs'!$B$30+'Inputs'!$B$31+'Inputs'!$B$32)/1000+'Inputs'!$B$21+'Inputs'!$B$7+'Inputs'!$B$10)+'Inputs'!$B$9)/SQRT((((271-43)*MAX('Inputs'!$B$33,'Inputs'!$B$29+'Inputs'!$B$31+'Inputs'!$B$32,'Inputs'!$B$30+'Inputs'!$B$31+'Inputs'!$B$32)/1000+'Inputs'!$B$21+'Inputs'!$B$7+'Inputs'!$B$10)+'Inputs'!$B$9)^2+('Inputs'!$B$8/2)^2)-(((271-43)*MAX('Inputs'!$B$33,'Inputs'!$B$29+'Inputs'!$B$31+'Inputs'!$B$32,'Inputs'!$B$30+'Inputs'!$B$31+'Inputs'!$B$32)/1000+'Inputs'!$B$21+'Inputs'!$B$7+'Inputs'!$B$10))/SQRT((((271-43)*MAX('Inputs'!$B$33,'Inputs'!$B$29+'Inputs'!$B$31+'Inputs'!$B$32,'Inputs'!$B$30+'Inputs'!$B$31+'Inputs'!$B$32)/1000+'Inputs'!$B$21+'Inputs'!$B$7+'Inputs'!$B$10))^2+('Inputs'!$B$8/2)^2))))*'Results'!$B$8))),"")</x:f>
        <x:v>55.300649155943084</x:v>
      </x:c>
      <x:c r="M271" t="n">
        <x:f>IF(AND(ISNUMBER('Results'!C7),ISNUMBER('Results'!B7),ISNUMBER('Results'!$B$8),ISNUMBER('Inputs'!$B$6),ISNUMBER('Inputs'!$B$7),ISNUMBER('Inputs'!$B$8),ISNUMBER('Inputs'!$B$9),ISNUMBER('Inputs'!$B$10),ISNUMBER('Inputs'!$B$21),ISNUMBER('Inputs'!$B$24),ISNUMBER('Inputs'!$B$28)),(('Results'!C7*(0.5*((((271-43)*MAX('Inputs'!$B$33,'Inputs'!$B$29+'Inputs'!$B$31+'Inputs'!$B$32,'Inputs'!$B$30+'Inputs'!$B$31+'Inputs'!$B$32)/1000+'Inputs'!$B$21)+'Inputs'!$B$9)/SQRT((((271-43)*MAX('Inputs'!$B$33,'Inputs'!$B$29+'Inputs'!$B$31+'Inputs'!$B$32,'Inputs'!$B$30+'Inputs'!$B$31+'Inputs'!$B$32)/1000+'Inputs'!$B$21)+'Inputs'!$B$9)^2+('Inputs'!$B$8/2)^2)-(((271-43)*MAX('Inputs'!$B$33,'Inputs'!$B$29+'Inputs'!$B$31+'Inputs'!$B$32,'Inputs'!$B$30+'Inputs'!$B$31+'Inputs'!$B$32)/1000+'Inputs'!$B$21))/SQRT((((271-43)*MAX('Inputs'!$B$33,'Inputs'!$B$29+'Inputs'!$B$31+'Inputs'!$B$32,'Inputs'!$B$30+'Inputs'!$B$31+'Inputs'!$B$32)/1000+'Inputs'!$B$21))^2+('Inputs'!$B$8/2)^2)))-'Results'!B7*(0.5*((((271-43)*MAX('Inputs'!$B$33,'Inputs'!$B$29+'Inputs'!$B$31+'Inputs'!$B$32,'Inputs'!$B$30+'Inputs'!$B$31+'Inputs'!$B$32)/1000+'Inputs'!$B$21+'Inputs'!$B$9+'Inputs'!$B$10)+'Inputs'!$B$7)/SQRT((((271-43)*MAX('Inputs'!$B$33,'Inputs'!$B$29+'Inputs'!$B$31+'Inputs'!$B$32,'Inputs'!$B$30+'Inputs'!$B$31+'Inputs'!$B$32)/1000+'Inputs'!$B$21+'Inputs'!$B$9+'Inputs'!$B$10)+'Inputs'!$B$7)^2+('Inputs'!$B$6/2)^2)-(((271-43)*MAX('Inputs'!$B$33,'Inputs'!$B$29+'Inputs'!$B$31+'Inputs'!$B$32,'Inputs'!$B$30+'Inputs'!$B$31+'Inputs'!$B$32)/1000+'Inputs'!$B$21+'Inputs'!$B$9+'Inputs'!$B$10))/SQRT((((271-43)*MAX('Inputs'!$B$33,'Inputs'!$B$29+'Inputs'!$B$31+'Inputs'!$B$32,'Inputs'!$B$30+'Inputs'!$B$31+'Inputs'!$B$32)/1000+'Inputs'!$B$21+'Inputs'!$B$9+'Inputs'!$B$10))^2+('Inputs'!$B$6/2)^2))))*'Results'!$B$8),"")</x:f>
        <x:v>48.57954408687205</x:v>
      </x:c>
      <x:c r="N271" t="n">
        <x:f>IF(AND(ISNUMBER('Results'!C7),ISNUMBER('Results'!B7),ISNUMBER('Results'!$B$8),ISNUMBER('Inputs'!$B$6),ISNUMBER('Inputs'!$B$7),ISNUMBER('Inputs'!$B$8),ISNUMBER('Inputs'!$B$9),ISNUMBER('Inputs'!$B$10),ISNUMBER('Inputs'!$B$21),ISNUMBER('Inputs'!$B$24),ISNUMBER('Inputs'!$B$28)),((('Results'!C7*(1-'Inputs'!$B$24)*(0.5*((((271-43)*MAX('Inputs'!$B$33,'Inputs'!$B$29+'Inputs'!$B$31+'Inputs'!$B$32,'Inputs'!$B$30+'Inputs'!$B$31+'Inputs'!$B$32)/1000+'Inputs'!$B$21)+'Inputs'!$B$9)/SQRT((((271-43)*MAX('Inputs'!$B$33,'Inputs'!$B$29+'Inputs'!$B$31+'Inputs'!$B$32,'Inputs'!$B$30+'Inputs'!$B$31+'Inputs'!$B$32)/1000+'Inputs'!$B$21)+'Inputs'!$B$9)^2+('Inputs'!$B$8/2)^2)-(((271-43)*MAX('Inputs'!$B$33,'Inputs'!$B$29+'Inputs'!$B$31+'Inputs'!$B$32,'Inputs'!$B$30+'Inputs'!$B$31+'Inputs'!$B$32)/1000+'Inputs'!$B$21))/SQRT((((271-43)*MAX('Inputs'!$B$33,'Inputs'!$B$29+'Inputs'!$B$31+'Inputs'!$B$32,'Inputs'!$B$30+'Inputs'!$B$31+'Inputs'!$B$32)/1000+'Inputs'!$B$21))^2+('Inputs'!$B$8/2)^2)))-'Results'!B7*(1+'Inputs'!$B$24)*(0.5*((((271-43)*MAX('Inputs'!$B$33,'Inputs'!$B$29+'Inputs'!$B$31+'Inputs'!$B$32,'Inputs'!$B$30+'Inputs'!$B$31+'Inputs'!$B$32)/1000+'Inputs'!$B$21+'Inputs'!$B$9+'Inputs'!$B$10)+'Inputs'!$B$7)/SQRT((((271-43)*MAX('Inputs'!$B$33,'Inputs'!$B$29+'Inputs'!$B$31+'Inputs'!$B$32,'Inputs'!$B$30+'Inputs'!$B$31+'Inputs'!$B$32)/1000+'Inputs'!$B$21+'Inputs'!$B$9+'Inputs'!$B$10)+'Inputs'!$B$7)^2+('Inputs'!$B$6/2)^2)-(((271-43)*MAX('Inputs'!$B$33,'Inputs'!$B$29+'Inputs'!$B$31+'Inputs'!$B$32,'Inputs'!$B$30+'Inputs'!$B$31+'Inputs'!$B$32)/1000+'Inputs'!$B$21+'Inputs'!$B$9+'Inputs'!$B$10))/SQRT((((271-43)*MAX('Inputs'!$B$33,'Inputs'!$B$29+'Inputs'!$B$31+'Inputs'!$B$32,'Inputs'!$B$30+'Inputs'!$B$31+'Inputs'!$B$32)/1000+'Inputs'!$B$21+'Inputs'!$B$9+'Inputs'!$B$10))^2+('Inputs'!$B$6/2)^2))))*'Results'!$B$8)-'Inputs'!$B$28*ABS((('Results'!C7*(1-'Inputs'!$B$24)*(0.5*((((271-43)*MAX('Inputs'!$B$33,'Inputs'!$B$29+'Inputs'!$B$31+'Inputs'!$B$32,'Inputs'!$B$30+'Inputs'!$B$31+'Inputs'!$B$32)/1000+'Inputs'!$B$21)+'Inputs'!$B$9)/SQRT((((271-43)*MAX('Inputs'!$B$33,'Inputs'!$B$29+'Inputs'!$B$31+'Inputs'!$B$32,'Inputs'!$B$30+'Inputs'!$B$31+'Inputs'!$B$32)/1000+'Inputs'!$B$21)+'Inputs'!$B$9)^2+('Inputs'!$B$8/2)^2)-(((271-43)*MAX('Inputs'!$B$33,'Inputs'!$B$29+'Inputs'!$B$31+'Inputs'!$B$32,'Inputs'!$B$30+'Inputs'!$B$31+'Inputs'!$B$32)/1000+'Inputs'!$B$21))/SQRT((((271-43)*MAX('Inputs'!$B$33,'Inputs'!$B$29+'Inputs'!$B$31+'Inputs'!$B$32,'Inputs'!$B$30+'Inputs'!$B$31+'Inputs'!$B$32)/1000+'Inputs'!$B$21))^2+('Inputs'!$B$8/2)^2)))-'Results'!B7*(1+'Inputs'!$B$24)*(0.5*((((271-43)*MAX('Inputs'!$B$33,'Inputs'!$B$29+'Inputs'!$B$31+'Inputs'!$B$32,'Inputs'!$B$30+'Inputs'!$B$31+'Inputs'!$B$32)/1000+'Inputs'!$B$21+'Inputs'!$B$9+'Inputs'!$B$10)+'Inputs'!$B$7)/SQRT((((271-43)*MAX('Inputs'!$B$33,'Inputs'!$B$29+'Inputs'!$B$31+'Inputs'!$B$32,'Inputs'!$B$30+'Inputs'!$B$31+'Inputs'!$B$32)/1000+'Inputs'!$B$21+'Inputs'!$B$9+'Inputs'!$B$10)+'Inputs'!$B$7)^2+('Inputs'!$B$6/2)^2)-(((271-43)*MAX('Inputs'!$B$33,'Inputs'!$B$29+'Inputs'!$B$31+'Inputs'!$B$32,'Inputs'!$B$30+'Inputs'!$B$31+'Inputs'!$B$32)/1000+'Inputs'!$B$21+'Inputs'!$B$9+'Inputs'!$B$10))/SQRT((((271-43)*MAX('Inputs'!$B$33,'Inputs'!$B$29+'Inputs'!$B$31+'Inputs'!$B$32,'Inputs'!$B$30+'Inputs'!$B$31+'Inputs'!$B$32)/1000+'Inputs'!$B$21+'Inputs'!$B$9+'Inputs'!$B$10))^2+('Inputs'!$B$6/2)^2))))*'Results'!$B$8))),"")</x:f>
        <x:v>44.23290320936684</x:v>
      </x:c>
      <x:c r="O271" t="n">
        <x:f>IF(AND(ISNUMBER('Results'!C7),ISNUMBER('Results'!B7),ISNUMBER('Results'!$B$8),ISNUMBER('Inputs'!$B$6),ISNUMBER('Inputs'!$B$7),ISNUMBER('Inputs'!$B$8),ISNUMBER('Inputs'!$B$9),ISNUMBER('Inputs'!$B$10),ISNUMBER('Inputs'!$B$21),ISNUMBER('Inputs'!$B$24),ISNUMBER('Inputs'!$B$28)),((('Results'!C7*(1+'Inputs'!$B$24)*(0.5*((((271-43)*MAX('Inputs'!$B$33,'Inputs'!$B$29+'Inputs'!$B$31+'Inputs'!$B$32,'Inputs'!$B$30+'Inputs'!$B$31+'Inputs'!$B$32)/1000+'Inputs'!$B$21)+'Inputs'!$B$9)/SQRT((((271-43)*MAX('Inputs'!$B$33,'Inputs'!$B$29+'Inputs'!$B$31+'Inputs'!$B$32,'Inputs'!$B$30+'Inputs'!$B$31+'Inputs'!$B$32)/1000+'Inputs'!$B$21)+'Inputs'!$B$9)^2+('Inputs'!$B$8/2)^2)-(((271-43)*MAX('Inputs'!$B$33,'Inputs'!$B$29+'Inputs'!$B$31+'Inputs'!$B$32,'Inputs'!$B$30+'Inputs'!$B$31+'Inputs'!$B$32)/1000+'Inputs'!$B$21))/SQRT((((271-43)*MAX('Inputs'!$B$33,'Inputs'!$B$29+'Inputs'!$B$31+'Inputs'!$B$32,'Inputs'!$B$30+'Inputs'!$B$31+'Inputs'!$B$32)/1000+'Inputs'!$B$21))^2+('Inputs'!$B$8/2)^2)))-'Results'!B7*(1-'Inputs'!$B$24)*(0.5*((((271-43)*MAX('Inputs'!$B$33,'Inputs'!$B$29+'Inputs'!$B$31+'Inputs'!$B$32,'Inputs'!$B$30+'Inputs'!$B$31+'Inputs'!$B$32)/1000+'Inputs'!$B$21+'Inputs'!$B$9+'Inputs'!$B$10)+'Inputs'!$B$7)/SQRT((((271-43)*MAX('Inputs'!$B$33,'Inputs'!$B$29+'Inputs'!$B$31+'Inputs'!$B$32,'Inputs'!$B$30+'Inputs'!$B$31+'Inputs'!$B$32)/1000+'Inputs'!$B$21+'Inputs'!$B$9+'Inputs'!$B$10)+'Inputs'!$B$7)^2+('Inputs'!$B$6/2)^2)-(((271-43)*MAX('Inputs'!$B$33,'Inputs'!$B$29+'Inputs'!$B$31+'Inputs'!$B$32,'Inputs'!$B$30+'Inputs'!$B$31+'Inputs'!$B$32)/1000+'Inputs'!$B$21+'Inputs'!$B$9+'Inputs'!$B$10))/SQRT((((271-43)*MAX('Inputs'!$B$33,'Inputs'!$B$29+'Inputs'!$B$31+'Inputs'!$B$32,'Inputs'!$B$30+'Inputs'!$B$31+'Inputs'!$B$32)/1000+'Inputs'!$B$21+'Inputs'!$B$9+'Inputs'!$B$10))^2+('Inputs'!$B$6/2)^2))))*'Results'!$B$8)+'Inputs'!$B$28*ABS((('Results'!C7*(1+'Inputs'!$B$24)*(0.5*((((271-43)*MAX('Inputs'!$B$33,'Inputs'!$B$29+'Inputs'!$B$31+'Inputs'!$B$32,'Inputs'!$B$30+'Inputs'!$B$31+'Inputs'!$B$32)/1000+'Inputs'!$B$21)+'Inputs'!$B$9)/SQRT((((271-43)*MAX('Inputs'!$B$33,'Inputs'!$B$29+'Inputs'!$B$31+'Inputs'!$B$32,'Inputs'!$B$30+'Inputs'!$B$31+'Inputs'!$B$32)/1000+'Inputs'!$B$21)+'Inputs'!$B$9)^2+('Inputs'!$B$8/2)^2)-(((271-43)*MAX('Inputs'!$B$33,'Inputs'!$B$29+'Inputs'!$B$31+'Inputs'!$B$32,'Inputs'!$B$30+'Inputs'!$B$31+'Inputs'!$B$32)/1000+'Inputs'!$B$21))/SQRT((((271-43)*MAX('Inputs'!$B$33,'Inputs'!$B$29+'Inputs'!$B$31+'Inputs'!$B$32,'Inputs'!$B$30+'Inputs'!$B$31+'Inputs'!$B$32)/1000+'Inputs'!$B$21))^2+('Inputs'!$B$8/2)^2)))-'Results'!B7*(1-'Inputs'!$B$24)*(0.5*((((271-43)*MAX('Inputs'!$B$33,'Inputs'!$B$29+'Inputs'!$B$31+'Inputs'!$B$32,'Inputs'!$B$30+'Inputs'!$B$31+'Inputs'!$B$32)/1000+'Inputs'!$B$21+'Inputs'!$B$9+'Inputs'!$B$10)+'Inputs'!$B$7)/SQRT((((271-43)*MAX('Inputs'!$B$33,'Inputs'!$B$29+'Inputs'!$B$31+'Inputs'!$B$32,'Inputs'!$B$30+'Inputs'!$B$31+'Inputs'!$B$32)/1000+'Inputs'!$B$21+'Inputs'!$B$9+'Inputs'!$B$10)+'Inputs'!$B$7)^2+('Inputs'!$B$6/2)^2)-(((271-43)*MAX('Inputs'!$B$33,'Inputs'!$B$29+'Inputs'!$B$31+'Inputs'!$B$32,'Inputs'!$B$30+'Inputs'!$B$31+'Inputs'!$B$32)/1000+'Inputs'!$B$21+'Inputs'!$B$9+'Inputs'!$B$10))/SQRT((((271-43)*MAX('Inputs'!$B$33,'Inputs'!$B$29+'Inputs'!$B$31+'Inputs'!$B$32,'Inputs'!$B$30+'Inputs'!$B$31+'Inputs'!$B$32)/1000+'Inputs'!$B$21+'Inputs'!$B$9+'Inputs'!$B$10))^2+('Inputs'!$B$6/2)^2))))*'Results'!$B$8))),"")</x:f>
        <x:v>53.12804429839427</x:v>
      </x:c>
      <x:c r="P271" t="n">
        <x:f>IF(AND(MAX(J271,J270)&gt;0,J271&gt;J270+0.00000001),1,0)</x:f>
        <x:v>0</x:v>
      </x:c>
      <x:c r="Q271" t="n">
        <x:f>IF(AND(MAX(K271,K270)&gt;0,K271&gt;K270+0.00000001),1,0)</x:f>
        <x:v>0</x:v>
      </x:c>
      <x:c r="R271" t="n">
        <x:f>IF(AND(MAX(L271,L270)&gt;0,L271&gt;L270+0.00000001),1,0)</x:f>
        <x:v>0</x:v>
      </x:c>
      <x:c r="S271" t="n">
        <x:f>IF(AND(MAX(M271,M270)&gt;0,M271&gt;M270+0.00000001),1,0)</x:f>
        <x:v>0</x:v>
      </x:c>
      <x:c r="T271" t="n">
        <x:f>IF(AND(MAX(N271,N270)&gt;0,N271&gt;N270+0.00000001),1,0)</x:f>
        <x:v>0</x:v>
      </x:c>
      <x:c r="U271" t="n">
        <x:f>IF(AND(MAX(O271,O270)&gt;0,O271&gt;O270+0.00000001),1,0)</x:f>
        <x:v>0</x:v>
      </x:c>
    </x:row>
    <x:row r="272">
      <x:c r="J272" t="n">
        <x:f>IF(AND(ISNUMBER('Results'!B7),ISNUMBER('Results'!C7),ISNUMBER('Results'!$B$8),ISNUMBER('Inputs'!$B$6),ISNUMBER('Inputs'!$B$7),ISNUMBER('Inputs'!$B$8),ISNUMBER('Inputs'!$B$9),ISNUMBER('Inputs'!$B$10),ISNUMBER('Inputs'!$B$21),ISNUMBER('Inputs'!$B$24),ISNUMBER('Inputs'!$B$28)),(('Results'!B7*(0.5*((((272-43)*MAX('Inputs'!$B$33,'Inputs'!$B$29+'Inputs'!$B$31+'Inputs'!$B$32,'Inputs'!$B$30+'Inputs'!$B$31+'Inputs'!$B$32)/1000+'Inputs'!$B$21)+'Inputs'!$B$7)/SQRT((((272-43)*MAX('Inputs'!$B$33,'Inputs'!$B$29+'Inputs'!$B$31+'Inputs'!$B$32,'Inputs'!$B$30+'Inputs'!$B$31+'Inputs'!$B$32)/1000+'Inputs'!$B$21)+'Inputs'!$B$7)^2+('Inputs'!$B$6/2)^2)-(((272-43)*MAX('Inputs'!$B$33,'Inputs'!$B$29+'Inputs'!$B$31+'Inputs'!$B$32,'Inputs'!$B$30+'Inputs'!$B$31+'Inputs'!$B$32)/1000+'Inputs'!$B$21))/SQRT((((272-43)*MAX('Inputs'!$B$33,'Inputs'!$B$29+'Inputs'!$B$31+'Inputs'!$B$32,'Inputs'!$B$30+'Inputs'!$B$31+'Inputs'!$B$32)/1000+'Inputs'!$B$21))^2+('Inputs'!$B$6/2)^2)))-'Results'!C7*(0.5*((((272-43)*MAX('Inputs'!$B$33,'Inputs'!$B$29+'Inputs'!$B$31+'Inputs'!$B$32,'Inputs'!$B$30+'Inputs'!$B$31+'Inputs'!$B$32)/1000+'Inputs'!$B$21+'Inputs'!$B$7+'Inputs'!$B$10)+'Inputs'!$B$9)/SQRT((((272-43)*MAX('Inputs'!$B$33,'Inputs'!$B$29+'Inputs'!$B$31+'Inputs'!$B$32,'Inputs'!$B$30+'Inputs'!$B$31+'Inputs'!$B$32)/1000+'Inputs'!$B$21+'Inputs'!$B$7+'Inputs'!$B$10)+'Inputs'!$B$9)^2+('Inputs'!$B$8/2)^2)-(((272-43)*MAX('Inputs'!$B$33,'Inputs'!$B$29+'Inputs'!$B$31+'Inputs'!$B$32,'Inputs'!$B$30+'Inputs'!$B$31+'Inputs'!$B$32)/1000+'Inputs'!$B$21+'Inputs'!$B$7+'Inputs'!$B$10))/SQRT((((272-43)*MAX('Inputs'!$B$33,'Inputs'!$B$29+'Inputs'!$B$31+'Inputs'!$B$32,'Inputs'!$B$30+'Inputs'!$B$31+'Inputs'!$B$32)/1000+'Inputs'!$B$21+'Inputs'!$B$7+'Inputs'!$B$10))^2+('Inputs'!$B$8/2)^2))))*'Results'!$B$8),"")</x:f>
        <x:v>49.99442447356702</x:v>
      </x:c>
      <x:c r="K272" t="n">
        <x:f>IF(AND(ISNUMBER('Results'!B7),ISNUMBER('Results'!C7),ISNUMBER('Results'!$B$8),ISNUMBER('Inputs'!$B$6),ISNUMBER('Inputs'!$B$7),ISNUMBER('Inputs'!$B$8),ISNUMBER('Inputs'!$B$9),ISNUMBER('Inputs'!$B$10),ISNUMBER('Inputs'!$B$21),ISNUMBER('Inputs'!$B$24),ISNUMBER('Inputs'!$B$28)),((('Results'!B7*(1-'Inputs'!$B$24)*(0.5*((((272-43)*MAX('Inputs'!$B$33,'Inputs'!$B$29+'Inputs'!$B$31+'Inputs'!$B$32,'Inputs'!$B$30+'Inputs'!$B$31+'Inputs'!$B$32)/1000+'Inputs'!$B$21)+'Inputs'!$B$7)/SQRT((((272-43)*MAX('Inputs'!$B$33,'Inputs'!$B$29+'Inputs'!$B$31+'Inputs'!$B$32,'Inputs'!$B$30+'Inputs'!$B$31+'Inputs'!$B$32)/1000+'Inputs'!$B$21)+'Inputs'!$B$7)^2+('Inputs'!$B$6/2)^2)-(((272-43)*MAX('Inputs'!$B$33,'Inputs'!$B$29+'Inputs'!$B$31+'Inputs'!$B$32,'Inputs'!$B$30+'Inputs'!$B$31+'Inputs'!$B$32)/1000+'Inputs'!$B$21))/SQRT((((272-43)*MAX('Inputs'!$B$33,'Inputs'!$B$29+'Inputs'!$B$31+'Inputs'!$B$32,'Inputs'!$B$30+'Inputs'!$B$31+'Inputs'!$B$32)/1000+'Inputs'!$B$21))^2+('Inputs'!$B$6/2)^2)))-'Results'!C7*(1+'Inputs'!$B$24)*(0.5*((((272-43)*MAX('Inputs'!$B$33,'Inputs'!$B$29+'Inputs'!$B$31+'Inputs'!$B$32,'Inputs'!$B$30+'Inputs'!$B$31+'Inputs'!$B$32)/1000+'Inputs'!$B$21+'Inputs'!$B$7+'Inputs'!$B$10)+'Inputs'!$B$9)/SQRT((((272-43)*MAX('Inputs'!$B$33,'Inputs'!$B$29+'Inputs'!$B$31+'Inputs'!$B$32,'Inputs'!$B$30+'Inputs'!$B$31+'Inputs'!$B$32)/1000+'Inputs'!$B$21+'Inputs'!$B$7+'Inputs'!$B$10)+'Inputs'!$B$9)^2+('Inputs'!$B$8/2)^2)-(((272-43)*MAX('Inputs'!$B$33,'Inputs'!$B$29+'Inputs'!$B$31+'Inputs'!$B$32,'Inputs'!$B$30+'Inputs'!$B$31+'Inputs'!$B$32)/1000+'Inputs'!$B$21+'Inputs'!$B$7+'Inputs'!$B$10))/SQRT((((272-43)*MAX('Inputs'!$B$33,'Inputs'!$B$29+'Inputs'!$B$31+'Inputs'!$B$32,'Inputs'!$B$30+'Inputs'!$B$31+'Inputs'!$B$32)/1000+'Inputs'!$B$21+'Inputs'!$B$7+'Inputs'!$B$10))^2+('Inputs'!$B$8/2)^2))))*'Results'!$B$8)-'Inputs'!$B$28*ABS((('Results'!B7*(1-'Inputs'!$B$24)*(0.5*((((272-43)*MAX('Inputs'!$B$33,'Inputs'!$B$29+'Inputs'!$B$31+'Inputs'!$B$32,'Inputs'!$B$30+'Inputs'!$B$31+'Inputs'!$B$32)/1000+'Inputs'!$B$21)+'Inputs'!$B$7)/SQRT((((272-43)*MAX('Inputs'!$B$33,'Inputs'!$B$29+'Inputs'!$B$31+'Inputs'!$B$32,'Inputs'!$B$30+'Inputs'!$B$31+'Inputs'!$B$32)/1000+'Inputs'!$B$21)+'Inputs'!$B$7)^2+('Inputs'!$B$6/2)^2)-(((272-43)*MAX('Inputs'!$B$33,'Inputs'!$B$29+'Inputs'!$B$31+'Inputs'!$B$32,'Inputs'!$B$30+'Inputs'!$B$31+'Inputs'!$B$32)/1000+'Inputs'!$B$21))/SQRT((((272-43)*MAX('Inputs'!$B$33,'Inputs'!$B$29+'Inputs'!$B$31+'Inputs'!$B$32,'Inputs'!$B$30+'Inputs'!$B$31+'Inputs'!$B$32)/1000+'Inputs'!$B$21))^2+('Inputs'!$B$6/2)^2)))-'Results'!C7*(1+'Inputs'!$B$24)*(0.5*((((272-43)*MAX('Inputs'!$B$33,'Inputs'!$B$29+'Inputs'!$B$31+'Inputs'!$B$32,'Inputs'!$B$30+'Inputs'!$B$31+'Inputs'!$B$32)/1000+'Inputs'!$B$21+'Inputs'!$B$7+'Inputs'!$B$10)+'Inputs'!$B$9)/SQRT((((272-43)*MAX('Inputs'!$B$33,'Inputs'!$B$29+'Inputs'!$B$31+'Inputs'!$B$32,'Inputs'!$B$30+'Inputs'!$B$31+'Inputs'!$B$32)/1000+'Inputs'!$B$21+'Inputs'!$B$7+'Inputs'!$B$10)+'Inputs'!$B$9)^2+('Inputs'!$B$8/2)^2)-(((272-43)*MAX('Inputs'!$B$33,'Inputs'!$B$29+'Inputs'!$B$31+'Inputs'!$B$32,'Inputs'!$B$30+'Inputs'!$B$31+'Inputs'!$B$32)/1000+'Inputs'!$B$21+'Inputs'!$B$7+'Inputs'!$B$10))/SQRT((((272-43)*MAX('Inputs'!$B$33,'Inputs'!$B$29+'Inputs'!$B$31+'Inputs'!$B$32,'Inputs'!$B$30+'Inputs'!$B$31+'Inputs'!$B$32)/1000+'Inputs'!$B$21+'Inputs'!$B$7+'Inputs'!$B$10))^2+('Inputs'!$B$8/2)^2))))*'Results'!$B$8))),"")</x:f>
        <x:v>45.577733063624244</x:v>
      </x:c>
      <x:c r="L272" t="n">
        <x:f>IF(AND(ISNUMBER('Results'!B7),ISNUMBER('Results'!C7),ISNUMBER('Results'!$B$8),ISNUMBER('Inputs'!$B$6),ISNUMBER('Inputs'!$B$7),ISNUMBER('Inputs'!$B$8),ISNUMBER('Inputs'!$B$9),ISNUMBER('Inputs'!$B$10),ISNUMBER('Inputs'!$B$21),ISNUMBER('Inputs'!$B$24),ISNUMBER('Inputs'!$B$28)),((('Results'!B7*(1+'Inputs'!$B$24)*(0.5*((((272-43)*MAX('Inputs'!$B$33,'Inputs'!$B$29+'Inputs'!$B$31+'Inputs'!$B$32,'Inputs'!$B$30+'Inputs'!$B$31+'Inputs'!$B$32)/1000+'Inputs'!$B$21)+'Inputs'!$B$7)/SQRT((((272-43)*MAX('Inputs'!$B$33,'Inputs'!$B$29+'Inputs'!$B$31+'Inputs'!$B$32,'Inputs'!$B$30+'Inputs'!$B$31+'Inputs'!$B$32)/1000+'Inputs'!$B$21)+'Inputs'!$B$7)^2+('Inputs'!$B$6/2)^2)-(((272-43)*MAX('Inputs'!$B$33,'Inputs'!$B$29+'Inputs'!$B$31+'Inputs'!$B$32,'Inputs'!$B$30+'Inputs'!$B$31+'Inputs'!$B$32)/1000+'Inputs'!$B$21))/SQRT((((272-43)*MAX('Inputs'!$B$33,'Inputs'!$B$29+'Inputs'!$B$31+'Inputs'!$B$32,'Inputs'!$B$30+'Inputs'!$B$31+'Inputs'!$B$32)/1000+'Inputs'!$B$21))^2+('Inputs'!$B$6/2)^2)))-'Results'!C7*(1-'Inputs'!$B$24)*(0.5*((((272-43)*MAX('Inputs'!$B$33,'Inputs'!$B$29+'Inputs'!$B$31+'Inputs'!$B$32,'Inputs'!$B$30+'Inputs'!$B$31+'Inputs'!$B$32)/1000+'Inputs'!$B$21+'Inputs'!$B$7+'Inputs'!$B$10)+'Inputs'!$B$9)/SQRT((((272-43)*MAX('Inputs'!$B$33,'Inputs'!$B$29+'Inputs'!$B$31+'Inputs'!$B$32,'Inputs'!$B$30+'Inputs'!$B$31+'Inputs'!$B$32)/1000+'Inputs'!$B$21+'Inputs'!$B$7+'Inputs'!$B$10)+'Inputs'!$B$9)^2+('Inputs'!$B$8/2)^2)-(((272-43)*MAX('Inputs'!$B$33,'Inputs'!$B$29+'Inputs'!$B$31+'Inputs'!$B$32,'Inputs'!$B$30+'Inputs'!$B$31+'Inputs'!$B$32)/1000+'Inputs'!$B$21+'Inputs'!$B$7+'Inputs'!$B$10))/SQRT((((272-43)*MAX('Inputs'!$B$33,'Inputs'!$B$29+'Inputs'!$B$31+'Inputs'!$B$32,'Inputs'!$B$30+'Inputs'!$B$31+'Inputs'!$B$32)/1000+'Inputs'!$B$21+'Inputs'!$B$7+'Inputs'!$B$10))^2+('Inputs'!$B$8/2)^2))))*'Results'!$B$8)+'Inputs'!$B$28*ABS((('Results'!B7*(1+'Inputs'!$B$24)*(0.5*((((272-43)*MAX('Inputs'!$B$33,'Inputs'!$B$29+'Inputs'!$B$31+'Inputs'!$B$32,'Inputs'!$B$30+'Inputs'!$B$31+'Inputs'!$B$32)/1000+'Inputs'!$B$21)+'Inputs'!$B$7)/SQRT((((272-43)*MAX('Inputs'!$B$33,'Inputs'!$B$29+'Inputs'!$B$31+'Inputs'!$B$32,'Inputs'!$B$30+'Inputs'!$B$31+'Inputs'!$B$32)/1000+'Inputs'!$B$21)+'Inputs'!$B$7)^2+('Inputs'!$B$6/2)^2)-(((272-43)*MAX('Inputs'!$B$33,'Inputs'!$B$29+'Inputs'!$B$31+'Inputs'!$B$32,'Inputs'!$B$30+'Inputs'!$B$31+'Inputs'!$B$32)/1000+'Inputs'!$B$21))/SQRT((((272-43)*MAX('Inputs'!$B$33,'Inputs'!$B$29+'Inputs'!$B$31+'Inputs'!$B$32,'Inputs'!$B$30+'Inputs'!$B$31+'Inputs'!$B$32)/1000+'Inputs'!$B$21))^2+('Inputs'!$B$6/2)^2)))-'Results'!C7*(1-'Inputs'!$B$24)*(0.5*((((272-43)*MAX('Inputs'!$B$33,'Inputs'!$B$29+'Inputs'!$B$31+'Inputs'!$B$32,'Inputs'!$B$30+'Inputs'!$B$31+'Inputs'!$B$32)/1000+'Inputs'!$B$21+'Inputs'!$B$7+'Inputs'!$B$10)+'Inputs'!$B$9)/SQRT((((272-43)*MAX('Inputs'!$B$33,'Inputs'!$B$29+'Inputs'!$B$31+'Inputs'!$B$32,'Inputs'!$B$30+'Inputs'!$B$31+'Inputs'!$B$32)/1000+'Inputs'!$B$21+'Inputs'!$B$7+'Inputs'!$B$10)+'Inputs'!$B$9)^2+('Inputs'!$B$8/2)^2)-(((272-43)*MAX('Inputs'!$B$33,'Inputs'!$B$29+'Inputs'!$B$31+'Inputs'!$B$32,'Inputs'!$B$30+'Inputs'!$B$31+'Inputs'!$B$32)/1000+'Inputs'!$B$21+'Inputs'!$B$7+'Inputs'!$B$10))/SQRT((((272-43)*MAX('Inputs'!$B$33,'Inputs'!$B$29+'Inputs'!$B$31+'Inputs'!$B$32,'Inputs'!$B$30+'Inputs'!$B$31+'Inputs'!$B$32)/1000+'Inputs'!$B$21+'Inputs'!$B$7+'Inputs'!$B$10))^2+('Inputs'!$B$8/2)^2))))*'Results'!$B$8))),"")</x:f>
        <x:v>54.61290221890606</x:v>
      </x:c>
      <x:c r="M272" t="n">
        <x:f>IF(AND(ISNUMBER('Results'!C7),ISNUMBER('Results'!B7),ISNUMBER('Results'!$B$8),ISNUMBER('Inputs'!$B$6),ISNUMBER('Inputs'!$B$7),ISNUMBER('Inputs'!$B$8),ISNUMBER('Inputs'!$B$9),ISNUMBER('Inputs'!$B$10),ISNUMBER('Inputs'!$B$21),ISNUMBER('Inputs'!$B$24),ISNUMBER('Inputs'!$B$28)),(('Results'!C7*(0.5*((((272-43)*MAX('Inputs'!$B$33,'Inputs'!$B$29+'Inputs'!$B$31+'Inputs'!$B$32,'Inputs'!$B$30+'Inputs'!$B$31+'Inputs'!$B$32)/1000+'Inputs'!$B$21)+'Inputs'!$B$9)/SQRT((((272-43)*MAX('Inputs'!$B$33,'Inputs'!$B$29+'Inputs'!$B$31+'Inputs'!$B$32,'Inputs'!$B$30+'Inputs'!$B$31+'Inputs'!$B$32)/1000+'Inputs'!$B$21)+'Inputs'!$B$9)^2+('Inputs'!$B$8/2)^2)-(((272-43)*MAX('Inputs'!$B$33,'Inputs'!$B$29+'Inputs'!$B$31+'Inputs'!$B$32,'Inputs'!$B$30+'Inputs'!$B$31+'Inputs'!$B$32)/1000+'Inputs'!$B$21))/SQRT((((272-43)*MAX('Inputs'!$B$33,'Inputs'!$B$29+'Inputs'!$B$31+'Inputs'!$B$32,'Inputs'!$B$30+'Inputs'!$B$31+'Inputs'!$B$32)/1000+'Inputs'!$B$21))^2+('Inputs'!$B$8/2)^2)))-'Results'!B7*(0.5*((((272-43)*MAX('Inputs'!$B$33,'Inputs'!$B$29+'Inputs'!$B$31+'Inputs'!$B$32,'Inputs'!$B$30+'Inputs'!$B$31+'Inputs'!$B$32)/1000+'Inputs'!$B$21+'Inputs'!$B$9+'Inputs'!$B$10)+'Inputs'!$B$7)/SQRT((((272-43)*MAX('Inputs'!$B$33,'Inputs'!$B$29+'Inputs'!$B$31+'Inputs'!$B$32,'Inputs'!$B$30+'Inputs'!$B$31+'Inputs'!$B$32)/1000+'Inputs'!$B$21+'Inputs'!$B$9+'Inputs'!$B$10)+'Inputs'!$B$7)^2+('Inputs'!$B$6/2)^2)-(((272-43)*MAX('Inputs'!$B$33,'Inputs'!$B$29+'Inputs'!$B$31+'Inputs'!$B$32,'Inputs'!$B$30+'Inputs'!$B$31+'Inputs'!$B$32)/1000+'Inputs'!$B$21+'Inputs'!$B$9+'Inputs'!$B$10))/SQRT((((272-43)*MAX('Inputs'!$B$33,'Inputs'!$B$29+'Inputs'!$B$31+'Inputs'!$B$32,'Inputs'!$B$30+'Inputs'!$B$31+'Inputs'!$B$32)/1000+'Inputs'!$B$21+'Inputs'!$B$9+'Inputs'!$B$10))^2+('Inputs'!$B$6/2)^2))))*'Results'!$B$8),"")</x:f>
        <x:v>47.96617362098721</x:v>
      </x:c>
      <x:c r="N272" t="n">
        <x:f>IF(AND(ISNUMBER('Results'!C7),ISNUMBER('Results'!B7),ISNUMBER('Results'!$B$8),ISNUMBER('Inputs'!$B$6),ISNUMBER('Inputs'!$B$7),ISNUMBER('Inputs'!$B$8),ISNUMBER('Inputs'!$B$9),ISNUMBER('Inputs'!$B$10),ISNUMBER('Inputs'!$B$21),ISNUMBER('Inputs'!$B$24),ISNUMBER('Inputs'!$B$28)),((('Results'!C7*(1-'Inputs'!$B$24)*(0.5*((((272-43)*MAX('Inputs'!$B$33,'Inputs'!$B$29+'Inputs'!$B$31+'Inputs'!$B$32,'Inputs'!$B$30+'Inputs'!$B$31+'Inputs'!$B$32)/1000+'Inputs'!$B$21)+'Inputs'!$B$9)/SQRT((((272-43)*MAX('Inputs'!$B$33,'Inputs'!$B$29+'Inputs'!$B$31+'Inputs'!$B$32,'Inputs'!$B$30+'Inputs'!$B$31+'Inputs'!$B$32)/1000+'Inputs'!$B$21)+'Inputs'!$B$9)^2+('Inputs'!$B$8/2)^2)-(((272-43)*MAX('Inputs'!$B$33,'Inputs'!$B$29+'Inputs'!$B$31+'Inputs'!$B$32,'Inputs'!$B$30+'Inputs'!$B$31+'Inputs'!$B$32)/1000+'Inputs'!$B$21))/SQRT((((272-43)*MAX('Inputs'!$B$33,'Inputs'!$B$29+'Inputs'!$B$31+'Inputs'!$B$32,'Inputs'!$B$30+'Inputs'!$B$31+'Inputs'!$B$32)/1000+'Inputs'!$B$21))^2+('Inputs'!$B$8/2)^2)))-'Results'!B7*(1+'Inputs'!$B$24)*(0.5*((((272-43)*MAX('Inputs'!$B$33,'Inputs'!$B$29+'Inputs'!$B$31+'Inputs'!$B$32,'Inputs'!$B$30+'Inputs'!$B$31+'Inputs'!$B$32)/1000+'Inputs'!$B$21+'Inputs'!$B$9+'Inputs'!$B$10)+'Inputs'!$B$7)/SQRT((((272-43)*MAX('Inputs'!$B$33,'Inputs'!$B$29+'Inputs'!$B$31+'Inputs'!$B$32,'Inputs'!$B$30+'Inputs'!$B$31+'Inputs'!$B$32)/1000+'Inputs'!$B$21+'Inputs'!$B$9+'Inputs'!$B$10)+'Inputs'!$B$7)^2+('Inputs'!$B$6/2)^2)-(((272-43)*MAX('Inputs'!$B$33,'Inputs'!$B$29+'Inputs'!$B$31+'Inputs'!$B$32,'Inputs'!$B$30+'Inputs'!$B$31+'Inputs'!$B$32)/1000+'Inputs'!$B$21+'Inputs'!$B$9+'Inputs'!$B$10))/SQRT((((272-43)*MAX('Inputs'!$B$33,'Inputs'!$B$29+'Inputs'!$B$31+'Inputs'!$B$32,'Inputs'!$B$30+'Inputs'!$B$31+'Inputs'!$B$32)/1000+'Inputs'!$B$21+'Inputs'!$B$9+'Inputs'!$B$10))^2+('Inputs'!$B$6/2)^2))))*'Results'!$B$8)-'Inputs'!$B$28*ABS((('Results'!C7*(1-'Inputs'!$B$24)*(0.5*((((272-43)*MAX('Inputs'!$B$33,'Inputs'!$B$29+'Inputs'!$B$31+'Inputs'!$B$32,'Inputs'!$B$30+'Inputs'!$B$31+'Inputs'!$B$32)/1000+'Inputs'!$B$21)+'Inputs'!$B$9)/SQRT((((272-43)*MAX('Inputs'!$B$33,'Inputs'!$B$29+'Inputs'!$B$31+'Inputs'!$B$32,'Inputs'!$B$30+'Inputs'!$B$31+'Inputs'!$B$32)/1000+'Inputs'!$B$21)+'Inputs'!$B$9)^2+('Inputs'!$B$8/2)^2)-(((272-43)*MAX('Inputs'!$B$33,'Inputs'!$B$29+'Inputs'!$B$31+'Inputs'!$B$32,'Inputs'!$B$30+'Inputs'!$B$31+'Inputs'!$B$32)/1000+'Inputs'!$B$21))/SQRT((((272-43)*MAX('Inputs'!$B$33,'Inputs'!$B$29+'Inputs'!$B$31+'Inputs'!$B$32,'Inputs'!$B$30+'Inputs'!$B$31+'Inputs'!$B$32)/1000+'Inputs'!$B$21))^2+('Inputs'!$B$8/2)^2)))-'Results'!B7*(1+'Inputs'!$B$24)*(0.5*((((272-43)*MAX('Inputs'!$B$33,'Inputs'!$B$29+'Inputs'!$B$31+'Inputs'!$B$32,'Inputs'!$B$30+'Inputs'!$B$31+'Inputs'!$B$32)/1000+'Inputs'!$B$21+'Inputs'!$B$9+'Inputs'!$B$10)+'Inputs'!$B$7)/SQRT((((272-43)*MAX('Inputs'!$B$33,'Inputs'!$B$29+'Inputs'!$B$31+'Inputs'!$B$32,'Inputs'!$B$30+'Inputs'!$B$31+'Inputs'!$B$32)/1000+'Inputs'!$B$21+'Inputs'!$B$9+'Inputs'!$B$10)+'Inputs'!$B$7)^2+('Inputs'!$B$6/2)^2)-(((272-43)*MAX('Inputs'!$B$33,'Inputs'!$B$29+'Inputs'!$B$31+'Inputs'!$B$32,'Inputs'!$B$30+'Inputs'!$B$31+'Inputs'!$B$32)/1000+'Inputs'!$B$21+'Inputs'!$B$9+'Inputs'!$B$10))/SQRT((((272-43)*MAX('Inputs'!$B$33,'Inputs'!$B$29+'Inputs'!$B$31+'Inputs'!$B$32,'Inputs'!$B$30+'Inputs'!$B$31+'Inputs'!$B$32)/1000+'Inputs'!$B$21+'Inputs'!$B$9+'Inputs'!$B$10))^2+('Inputs'!$B$6/2)^2))))*'Results'!$B$8))),"")</x:f>
        <x:v>43.66969527249965</x:v>
      </x:c>
      <x:c r="O272" t="n">
        <x:f>IF(AND(ISNUMBER('Results'!C7),ISNUMBER('Results'!B7),ISNUMBER('Results'!$B$8),ISNUMBER('Inputs'!$B$6),ISNUMBER('Inputs'!$B$7),ISNUMBER('Inputs'!$B$8),ISNUMBER('Inputs'!$B$9),ISNUMBER('Inputs'!$B$10),ISNUMBER('Inputs'!$B$21),ISNUMBER('Inputs'!$B$24),ISNUMBER('Inputs'!$B$28)),((('Results'!C7*(1+'Inputs'!$B$24)*(0.5*((((272-43)*MAX('Inputs'!$B$33,'Inputs'!$B$29+'Inputs'!$B$31+'Inputs'!$B$32,'Inputs'!$B$30+'Inputs'!$B$31+'Inputs'!$B$32)/1000+'Inputs'!$B$21)+'Inputs'!$B$9)/SQRT((((272-43)*MAX('Inputs'!$B$33,'Inputs'!$B$29+'Inputs'!$B$31+'Inputs'!$B$32,'Inputs'!$B$30+'Inputs'!$B$31+'Inputs'!$B$32)/1000+'Inputs'!$B$21)+'Inputs'!$B$9)^2+('Inputs'!$B$8/2)^2)-(((272-43)*MAX('Inputs'!$B$33,'Inputs'!$B$29+'Inputs'!$B$31+'Inputs'!$B$32,'Inputs'!$B$30+'Inputs'!$B$31+'Inputs'!$B$32)/1000+'Inputs'!$B$21))/SQRT((((272-43)*MAX('Inputs'!$B$33,'Inputs'!$B$29+'Inputs'!$B$31+'Inputs'!$B$32,'Inputs'!$B$30+'Inputs'!$B$31+'Inputs'!$B$32)/1000+'Inputs'!$B$21))^2+('Inputs'!$B$8/2)^2)))-'Results'!B7*(1-'Inputs'!$B$24)*(0.5*((((272-43)*MAX('Inputs'!$B$33,'Inputs'!$B$29+'Inputs'!$B$31+'Inputs'!$B$32,'Inputs'!$B$30+'Inputs'!$B$31+'Inputs'!$B$32)/1000+'Inputs'!$B$21+'Inputs'!$B$9+'Inputs'!$B$10)+'Inputs'!$B$7)/SQRT((((272-43)*MAX('Inputs'!$B$33,'Inputs'!$B$29+'Inputs'!$B$31+'Inputs'!$B$32,'Inputs'!$B$30+'Inputs'!$B$31+'Inputs'!$B$32)/1000+'Inputs'!$B$21+'Inputs'!$B$9+'Inputs'!$B$10)+'Inputs'!$B$7)^2+('Inputs'!$B$6/2)^2)-(((272-43)*MAX('Inputs'!$B$33,'Inputs'!$B$29+'Inputs'!$B$31+'Inputs'!$B$32,'Inputs'!$B$30+'Inputs'!$B$31+'Inputs'!$B$32)/1000+'Inputs'!$B$21+'Inputs'!$B$9+'Inputs'!$B$10))/SQRT((((272-43)*MAX('Inputs'!$B$33,'Inputs'!$B$29+'Inputs'!$B$31+'Inputs'!$B$32,'Inputs'!$B$30+'Inputs'!$B$31+'Inputs'!$B$32)/1000+'Inputs'!$B$21+'Inputs'!$B$9+'Inputs'!$B$10))^2+('Inputs'!$B$6/2)^2))))*'Results'!$B$8)+'Inputs'!$B$28*ABS((('Results'!C7*(1+'Inputs'!$B$24)*(0.5*((((272-43)*MAX('Inputs'!$B$33,'Inputs'!$B$29+'Inputs'!$B$31+'Inputs'!$B$32,'Inputs'!$B$30+'Inputs'!$B$31+'Inputs'!$B$32)/1000+'Inputs'!$B$21)+'Inputs'!$B$9)/SQRT((((272-43)*MAX('Inputs'!$B$33,'Inputs'!$B$29+'Inputs'!$B$31+'Inputs'!$B$32,'Inputs'!$B$30+'Inputs'!$B$31+'Inputs'!$B$32)/1000+'Inputs'!$B$21)+'Inputs'!$B$9)^2+('Inputs'!$B$8/2)^2)-(((272-43)*MAX('Inputs'!$B$33,'Inputs'!$B$29+'Inputs'!$B$31+'Inputs'!$B$32,'Inputs'!$B$30+'Inputs'!$B$31+'Inputs'!$B$32)/1000+'Inputs'!$B$21))/SQRT((((272-43)*MAX('Inputs'!$B$33,'Inputs'!$B$29+'Inputs'!$B$31+'Inputs'!$B$32,'Inputs'!$B$30+'Inputs'!$B$31+'Inputs'!$B$32)/1000+'Inputs'!$B$21))^2+('Inputs'!$B$8/2)^2)))-'Results'!B7*(1-'Inputs'!$B$24)*(0.5*((((272-43)*MAX('Inputs'!$B$33,'Inputs'!$B$29+'Inputs'!$B$31+'Inputs'!$B$32,'Inputs'!$B$30+'Inputs'!$B$31+'Inputs'!$B$32)/1000+'Inputs'!$B$21+'Inputs'!$B$9+'Inputs'!$B$10)+'Inputs'!$B$7)/SQRT((((272-43)*MAX('Inputs'!$B$33,'Inputs'!$B$29+'Inputs'!$B$31+'Inputs'!$B$32,'Inputs'!$B$30+'Inputs'!$B$31+'Inputs'!$B$32)/1000+'Inputs'!$B$21+'Inputs'!$B$9+'Inputs'!$B$10)+'Inputs'!$B$7)^2+('Inputs'!$B$6/2)^2)-(((272-43)*MAX('Inputs'!$B$33,'Inputs'!$B$29+'Inputs'!$B$31+'Inputs'!$B$32,'Inputs'!$B$30+'Inputs'!$B$31+'Inputs'!$B$32)/1000+'Inputs'!$B$21+'Inputs'!$B$9+'Inputs'!$B$10))/SQRT((((272-43)*MAX('Inputs'!$B$33,'Inputs'!$B$29+'Inputs'!$B$31+'Inputs'!$B$32,'Inputs'!$B$30+'Inputs'!$B$31+'Inputs'!$B$32)/1000+'Inputs'!$B$21+'Inputs'!$B$9+'Inputs'!$B$10))^2+('Inputs'!$B$6/2)^2))))*'Results'!$B$8))),"")</x:f>
        <x:v>52.46245930288932</x:v>
      </x:c>
      <x:c r="P272" t="n">
        <x:f>IF(AND(MAX(J272,J271)&gt;0,J272&gt;J271+0.00000001),1,0)</x:f>
        <x:v>0</x:v>
      </x:c>
      <x:c r="Q272" t="n">
        <x:f>IF(AND(MAX(K272,K271)&gt;0,K272&gt;K271+0.00000001),1,0)</x:f>
        <x:v>0</x:v>
      </x:c>
      <x:c r="R272" t="n">
        <x:f>IF(AND(MAX(L272,L271)&gt;0,L272&gt;L271+0.00000001),1,0)</x:f>
        <x:v>0</x:v>
      </x:c>
      <x:c r="S272" t="n">
        <x:f>IF(AND(MAX(M272,M271)&gt;0,M272&gt;M271+0.00000001),1,0)</x:f>
        <x:v>0</x:v>
      </x:c>
      <x:c r="T272" t="n">
        <x:f>IF(AND(MAX(N272,N271)&gt;0,N272&gt;N271+0.00000001),1,0)</x:f>
        <x:v>0</x:v>
      </x:c>
      <x:c r="U272" t="n">
        <x:f>IF(AND(MAX(O272,O271)&gt;0,O272&gt;O271+0.00000001),1,0)</x:f>
        <x:v>0</x:v>
      </x:c>
    </x:row>
    <x:row r="273">
      <x:c r="J273" t="n">
        <x:f>IF(AND(ISNUMBER('Results'!B7),ISNUMBER('Results'!C7),ISNUMBER('Results'!$B$8),ISNUMBER('Inputs'!$B$6),ISNUMBER('Inputs'!$B$7),ISNUMBER('Inputs'!$B$8),ISNUMBER('Inputs'!$B$9),ISNUMBER('Inputs'!$B$10),ISNUMBER('Inputs'!$B$21),ISNUMBER('Inputs'!$B$24),ISNUMBER('Inputs'!$B$28)),(('Results'!B7*(0.5*((((273-43)*MAX('Inputs'!$B$33,'Inputs'!$B$29+'Inputs'!$B$31+'Inputs'!$B$32,'Inputs'!$B$30+'Inputs'!$B$31+'Inputs'!$B$32)/1000+'Inputs'!$B$21)+'Inputs'!$B$7)/SQRT((((273-43)*MAX('Inputs'!$B$33,'Inputs'!$B$29+'Inputs'!$B$31+'Inputs'!$B$32,'Inputs'!$B$30+'Inputs'!$B$31+'Inputs'!$B$32)/1000+'Inputs'!$B$21)+'Inputs'!$B$7)^2+('Inputs'!$B$6/2)^2)-(((273-43)*MAX('Inputs'!$B$33,'Inputs'!$B$29+'Inputs'!$B$31+'Inputs'!$B$32,'Inputs'!$B$30+'Inputs'!$B$31+'Inputs'!$B$32)/1000+'Inputs'!$B$21))/SQRT((((273-43)*MAX('Inputs'!$B$33,'Inputs'!$B$29+'Inputs'!$B$31+'Inputs'!$B$32,'Inputs'!$B$30+'Inputs'!$B$31+'Inputs'!$B$32)/1000+'Inputs'!$B$21))^2+('Inputs'!$B$6/2)^2)))-'Results'!C7*(0.5*((((273-43)*MAX('Inputs'!$B$33,'Inputs'!$B$29+'Inputs'!$B$31+'Inputs'!$B$32,'Inputs'!$B$30+'Inputs'!$B$31+'Inputs'!$B$32)/1000+'Inputs'!$B$21+'Inputs'!$B$7+'Inputs'!$B$10)+'Inputs'!$B$9)/SQRT((((273-43)*MAX('Inputs'!$B$33,'Inputs'!$B$29+'Inputs'!$B$31+'Inputs'!$B$32,'Inputs'!$B$30+'Inputs'!$B$31+'Inputs'!$B$32)/1000+'Inputs'!$B$21+'Inputs'!$B$7+'Inputs'!$B$10)+'Inputs'!$B$9)^2+('Inputs'!$B$8/2)^2)-(((273-43)*MAX('Inputs'!$B$33,'Inputs'!$B$29+'Inputs'!$B$31+'Inputs'!$B$32,'Inputs'!$B$30+'Inputs'!$B$31+'Inputs'!$B$32)/1000+'Inputs'!$B$21+'Inputs'!$B$7+'Inputs'!$B$10))/SQRT((((273-43)*MAX('Inputs'!$B$33,'Inputs'!$B$29+'Inputs'!$B$31+'Inputs'!$B$32,'Inputs'!$B$30+'Inputs'!$B$31+'Inputs'!$B$32)/1000+'Inputs'!$B$21+'Inputs'!$B$7+'Inputs'!$B$10))^2+('Inputs'!$B$8/2)^2))))*'Results'!$B$8),"")</x:f>
        <x:v>49.36999071806045</x:v>
      </x:c>
      <x:c r="K273" t="n">
        <x:f>IF(AND(ISNUMBER('Results'!B7),ISNUMBER('Results'!C7),ISNUMBER('Results'!$B$8),ISNUMBER('Inputs'!$B$6),ISNUMBER('Inputs'!$B$7),ISNUMBER('Inputs'!$B$8),ISNUMBER('Inputs'!$B$9),ISNUMBER('Inputs'!$B$10),ISNUMBER('Inputs'!$B$21),ISNUMBER('Inputs'!$B$24),ISNUMBER('Inputs'!$B$28)),((('Results'!B7*(1-'Inputs'!$B$24)*(0.5*((((273-43)*MAX('Inputs'!$B$33,'Inputs'!$B$29+'Inputs'!$B$31+'Inputs'!$B$32,'Inputs'!$B$30+'Inputs'!$B$31+'Inputs'!$B$32)/1000+'Inputs'!$B$21)+'Inputs'!$B$7)/SQRT((((273-43)*MAX('Inputs'!$B$33,'Inputs'!$B$29+'Inputs'!$B$31+'Inputs'!$B$32,'Inputs'!$B$30+'Inputs'!$B$31+'Inputs'!$B$32)/1000+'Inputs'!$B$21)+'Inputs'!$B$7)^2+('Inputs'!$B$6/2)^2)-(((273-43)*MAX('Inputs'!$B$33,'Inputs'!$B$29+'Inputs'!$B$31+'Inputs'!$B$32,'Inputs'!$B$30+'Inputs'!$B$31+'Inputs'!$B$32)/1000+'Inputs'!$B$21))/SQRT((((273-43)*MAX('Inputs'!$B$33,'Inputs'!$B$29+'Inputs'!$B$31+'Inputs'!$B$32,'Inputs'!$B$30+'Inputs'!$B$31+'Inputs'!$B$32)/1000+'Inputs'!$B$21))^2+('Inputs'!$B$6/2)^2)))-'Results'!C7*(1+'Inputs'!$B$24)*(0.5*((((273-43)*MAX('Inputs'!$B$33,'Inputs'!$B$29+'Inputs'!$B$31+'Inputs'!$B$32,'Inputs'!$B$30+'Inputs'!$B$31+'Inputs'!$B$32)/1000+'Inputs'!$B$21+'Inputs'!$B$7+'Inputs'!$B$10)+'Inputs'!$B$9)/SQRT((((273-43)*MAX('Inputs'!$B$33,'Inputs'!$B$29+'Inputs'!$B$31+'Inputs'!$B$32,'Inputs'!$B$30+'Inputs'!$B$31+'Inputs'!$B$32)/1000+'Inputs'!$B$21+'Inputs'!$B$7+'Inputs'!$B$10)+'Inputs'!$B$9)^2+('Inputs'!$B$8/2)^2)-(((273-43)*MAX('Inputs'!$B$33,'Inputs'!$B$29+'Inputs'!$B$31+'Inputs'!$B$32,'Inputs'!$B$30+'Inputs'!$B$31+'Inputs'!$B$32)/1000+'Inputs'!$B$21+'Inputs'!$B$7+'Inputs'!$B$10))/SQRT((((273-43)*MAX('Inputs'!$B$33,'Inputs'!$B$29+'Inputs'!$B$31+'Inputs'!$B$32,'Inputs'!$B$30+'Inputs'!$B$31+'Inputs'!$B$32)/1000+'Inputs'!$B$21+'Inputs'!$B$7+'Inputs'!$B$10))^2+('Inputs'!$B$8/2)^2))))*'Results'!$B$8)-'Inputs'!$B$28*ABS((('Results'!B7*(1-'Inputs'!$B$24)*(0.5*((((273-43)*MAX('Inputs'!$B$33,'Inputs'!$B$29+'Inputs'!$B$31+'Inputs'!$B$32,'Inputs'!$B$30+'Inputs'!$B$31+'Inputs'!$B$32)/1000+'Inputs'!$B$21)+'Inputs'!$B$7)/SQRT((((273-43)*MAX('Inputs'!$B$33,'Inputs'!$B$29+'Inputs'!$B$31+'Inputs'!$B$32,'Inputs'!$B$30+'Inputs'!$B$31+'Inputs'!$B$32)/1000+'Inputs'!$B$21)+'Inputs'!$B$7)^2+('Inputs'!$B$6/2)^2)-(((273-43)*MAX('Inputs'!$B$33,'Inputs'!$B$29+'Inputs'!$B$31+'Inputs'!$B$32,'Inputs'!$B$30+'Inputs'!$B$31+'Inputs'!$B$32)/1000+'Inputs'!$B$21))/SQRT((((273-43)*MAX('Inputs'!$B$33,'Inputs'!$B$29+'Inputs'!$B$31+'Inputs'!$B$32,'Inputs'!$B$30+'Inputs'!$B$31+'Inputs'!$B$32)/1000+'Inputs'!$B$21))^2+('Inputs'!$B$6/2)^2)))-'Results'!C7*(1+'Inputs'!$B$24)*(0.5*((((273-43)*MAX('Inputs'!$B$33,'Inputs'!$B$29+'Inputs'!$B$31+'Inputs'!$B$32,'Inputs'!$B$30+'Inputs'!$B$31+'Inputs'!$B$32)/1000+'Inputs'!$B$21+'Inputs'!$B$7+'Inputs'!$B$10)+'Inputs'!$B$9)/SQRT((((273-43)*MAX('Inputs'!$B$33,'Inputs'!$B$29+'Inputs'!$B$31+'Inputs'!$B$32,'Inputs'!$B$30+'Inputs'!$B$31+'Inputs'!$B$32)/1000+'Inputs'!$B$21+'Inputs'!$B$7+'Inputs'!$B$10)+'Inputs'!$B$9)^2+('Inputs'!$B$8/2)^2)-(((273-43)*MAX('Inputs'!$B$33,'Inputs'!$B$29+'Inputs'!$B$31+'Inputs'!$B$32,'Inputs'!$B$30+'Inputs'!$B$31+'Inputs'!$B$32)/1000+'Inputs'!$B$21+'Inputs'!$B$7+'Inputs'!$B$10))/SQRT((((273-43)*MAX('Inputs'!$B$33,'Inputs'!$B$29+'Inputs'!$B$31+'Inputs'!$B$32,'Inputs'!$B$30+'Inputs'!$B$31+'Inputs'!$B$32)/1000+'Inputs'!$B$21+'Inputs'!$B$7+'Inputs'!$B$10))^2+('Inputs'!$B$8/2)^2))))*'Results'!$B$8))),"")</x:f>
        <x:v>45.003988767533215</x:v>
      </x:c>
      <x:c r="L273" t="n">
        <x:f>IF(AND(ISNUMBER('Results'!B7),ISNUMBER('Results'!C7),ISNUMBER('Results'!$B$8),ISNUMBER('Inputs'!$B$6),ISNUMBER('Inputs'!$B$7),ISNUMBER('Inputs'!$B$8),ISNUMBER('Inputs'!$B$9),ISNUMBER('Inputs'!$B$10),ISNUMBER('Inputs'!$B$21),ISNUMBER('Inputs'!$B$24),ISNUMBER('Inputs'!$B$28)),((('Results'!B7*(1+'Inputs'!$B$24)*(0.5*((((273-43)*MAX('Inputs'!$B$33,'Inputs'!$B$29+'Inputs'!$B$31+'Inputs'!$B$32,'Inputs'!$B$30+'Inputs'!$B$31+'Inputs'!$B$32)/1000+'Inputs'!$B$21)+'Inputs'!$B$7)/SQRT((((273-43)*MAX('Inputs'!$B$33,'Inputs'!$B$29+'Inputs'!$B$31+'Inputs'!$B$32,'Inputs'!$B$30+'Inputs'!$B$31+'Inputs'!$B$32)/1000+'Inputs'!$B$21)+'Inputs'!$B$7)^2+('Inputs'!$B$6/2)^2)-(((273-43)*MAX('Inputs'!$B$33,'Inputs'!$B$29+'Inputs'!$B$31+'Inputs'!$B$32,'Inputs'!$B$30+'Inputs'!$B$31+'Inputs'!$B$32)/1000+'Inputs'!$B$21))/SQRT((((273-43)*MAX('Inputs'!$B$33,'Inputs'!$B$29+'Inputs'!$B$31+'Inputs'!$B$32,'Inputs'!$B$30+'Inputs'!$B$31+'Inputs'!$B$32)/1000+'Inputs'!$B$21))^2+('Inputs'!$B$6/2)^2)))-'Results'!C7*(1-'Inputs'!$B$24)*(0.5*((((273-43)*MAX('Inputs'!$B$33,'Inputs'!$B$29+'Inputs'!$B$31+'Inputs'!$B$32,'Inputs'!$B$30+'Inputs'!$B$31+'Inputs'!$B$32)/1000+'Inputs'!$B$21+'Inputs'!$B$7+'Inputs'!$B$10)+'Inputs'!$B$9)/SQRT((((273-43)*MAX('Inputs'!$B$33,'Inputs'!$B$29+'Inputs'!$B$31+'Inputs'!$B$32,'Inputs'!$B$30+'Inputs'!$B$31+'Inputs'!$B$32)/1000+'Inputs'!$B$21+'Inputs'!$B$7+'Inputs'!$B$10)+'Inputs'!$B$9)^2+('Inputs'!$B$8/2)^2)-(((273-43)*MAX('Inputs'!$B$33,'Inputs'!$B$29+'Inputs'!$B$31+'Inputs'!$B$32,'Inputs'!$B$30+'Inputs'!$B$31+'Inputs'!$B$32)/1000+'Inputs'!$B$21+'Inputs'!$B$7+'Inputs'!$B$10))/SQRT((((273-43)*MAX('Inputs'!$B$33,'Inputs'!$B$29+'Inputs'!$B$31+'Inputs'!$B$32,'Inputs'!$B$30+'Inputs'!$B$31+'Inputs'!$B$32)/1000+'Inputs'!$B$21+'Inputs'!$B$7+'Inputs'!$B$10))^2+('Inputs'!$B$8/2)^2))))*'Results'!$B$8)+'Inputs'!$B$28*ABS((('Results'!B7*(1+'Inputs'!$B$24)*(0.5*((((273-43)*MAX('Inputs'!$B$33,'Inputs'!$B$29+'Inputs'!$B$31+'Inputs'!$B$32,'Inputs'!$B$30+'Inputs'!$B$31+'Inputs'!$B$32)/1000+'Inputs'!$B$21)+'Inputs'!$B$7)/SQRT((((273-43)*MAX('Inputs'!$B$33,'Inputs'!$B$29+'Inputs'!$B$31+'Inputs'!$B$32,'Inputs'!$B$30+'Inputs'!$B$31+'Inputs'!$B$32)/1000+'Inputs'!$B$21)+'Inputs'!$B$7)^2+('Inputs'!$B$6/2)^2)-(((273-43)*MAX('Inputs'!$B$33,'Inputs'!$B$29+'Inputs'!$B$31+'Inputs'!$B$32,'Inputs'!$B$30+'Inputs'!$B$31+'Inputs'!$B$32)/1000+'Inputs'!$B$21))/SQRT((((273-43)*MAX('Inputs'!$B$33,'Inputs'!$B$29+'Inputs'!$B$31+'Inputs'!$B$32,'Inputs'!$B$30+'Inputs'!$B$31+'Inputs'!$B$32)/1000+'Inputs'!$B$21))^2+('Inputs'!$B$6/2)^2)))-'Results'!C7*(1-'Inputs'!$B$24)*(0.5*((((273-43)*MAX('Inputs'!$B$33,'Inputs'!$B$29+'Inputs'!$B$31+'Inputs'!$B$32,'Inputs'!$B$30+'Inputs'!$B$31+'Inputs'!$B$32)/1000+'Inputs'!$B$21+'Inputs'!$B$7+'Inputs'!$B$10)+'Inputs'!$B$9)/SQRT((((273-43)*MAX('Inputs'!$B$33,'Inputs'!$B$29+'Inputs'!$B$31+'Inputs'!$B$32,'Inputs'!$B$30+'Inputs'!$B$31+'Inputs'!$B$32)/1000+'Inputs'!$B$21+'Inputs'!$B$7+'Inputs'!$B$10)+'Inputs'!$B$9)^2+('Inputs'!$B$8/2)^2)-(((273-43)*MAX('Inputs'!$B$33,'Inputs'!$B$29+'Inputs'!$B$31+'Inputs'!$B$32,'Inputs'!$B$30+'Inputs'!$B$31+'Inputs'!$B$32)/1000+'Inputs'!$B$21+'Inputs'!$B$7+'Inputs'!$B$10))/SQRT((((273-43)*MAX('Inputs'!$B$33,'Inputs'!$B$29+'Inputs'!$B$31+'Inputs'!$B$32,'Inputs'!$B$30+'Inputs'!$B$31+'Inputs'!$B$32)/1000+'Inputs'!$B$21+'Inputs'!$B$7+'Inputs'!$B$10))^2+('Inputs'!$B$8/2)^2))))*'Results'!$B$8))),"")</x:f>
        <x:v>53.93572976486389</x:v>
      </x:c>
      <x:c r="M273" t="n">
        <x:f>IF(AND(ISNUMBER('Results'!C7),ISNUMBER('Results'!B7),ISNUMBER('Results'!$B$8),ISNUMBER('Inputs'!$B$6),ISNUMBER('Inputs'!$B$7),ISNUMBER('Inputs'!$B$8),ISNUMBER('Inputs'!$B$9),ISNUMBER('Inputs'!$B$10),ISNUMBER('Inputs'!$B$21),ISNUMBER('Inputs'!$B$24),ISNUMBER('Inputs'!$B$28)),(('Results'!C7*(0.5*((((273-43)*MAX('Inputs'!$B$33,'Inputs'!$B$29+'Inputs'!$B$31+'Inputs'!$B$32,'Inputs'!$B$30+'Inputs'!$B$31+'Inputs'!$B$32)/1000+'Inputs'!$B$21)+'Inputs'!$B$9)/SQRT((((273-43)*MAX('Inputs'!$B$33,'Inputs'!$B$29+'Inputs'!$B$31+'Inputs'!$B$32,'Inputs'!$B$30+'Inputs'!$B$31+'Inputs'!$B$32)/1000+'Inputs'!$B$21)+'Inputs'!$B$9)^2+('Inputs'!$B$8/2)^2)-(((273-43)*MAX('Inputs'!$B$33,'Inputs'!$B$29+'Inputs'!$B$31+'Inputs'!$B$32,'Inputs'!$B$30+'Inputs'!$B$31+'Inputs'!$B$32)/1000+'Inputs'!$B$21))/SQRT((((273-43)*MAX('Inputs'!$B$33,'Inputs'!$B$29+'Inputs'!$B$31+'Inputs'!$B$32,'Inputs'!$B$30+'Inputs'!$B$31+'Inputs'!$B$32)/1000+'Inputs'!$B$21))^2+('Inputs'!$B$8/2)^2)))-'Results'!B7*(0.5*((((273-43)*MAX('Inputs'!$B$33,'Inputs'!$B$29+'Inputs'!$B$31+'Inputs'!$B$32,'Inputs'!$B$30+'Inputs'!$B$31+'Inputs'!$B$32)/1000+'Inputs'!$B$21+'Inputs'!$B$9+'Inputs'!$B$10)+'Inputs'!$B$7)/SQRT((((273-43)*MAX('Inputs'!$B$33,'Inputs'!$B$29+'Inputs'!$B$31+'Inputs'!$B$32,'Inputs'!$B$30+'Inputs'!$B$31+'Inputs'!$B$32)/1000+'Inputs'!$B$21+'Inputs'!$B$9+'Inputs'!$B$10)+'Inputs'!$B$7)^2+('Inputs'!$B$6/2)^2)-(((273-43)*MAX('Inputs'!$B$33,'Inputs'!$B$29+'Inputs'!$B$31+'Inputs'!$B$32,'Inputs'!$B$30+'Inputs'!$B$31+'Inputs'!$B$32)/1000+'Inputs'!$B$21+'Inputs'!$B$9+'Inputs'!$B$10))/SQRT((((273-43)*MAX('Inputs'!$B$33,'Inputs'!$B$29+'Inputs'!$B$31+'Inputs'!$B$32,'Inputs'!$B$30+'Inputs'!$B$31+'Inputs'!$B$32)/1000+'Inputs'!$B$21+'Inputs'!$B$9+'Inputs'!$B$10))^2+('Inputs'!$B$6/2)^2))))*'Results'!$B$8),"")</x:f>
        <x:v>47.362313927253226</x:v>
      </x:c>
      <x:c r="N273" t="n">
        <x:f>IF(AND(ISNUMBER('Results'!C7),ISNUMBER('Results'!B7),ISNUMBER('Results'!$B$8),ISNUMBER('Inputs'!$B$6),ISNUMBER('Inputs'!$B$7),ISNUMBER('Inputs'!$B$8),ISNUMBER('Inputs'!$B$9),ISNUMBER('Inputs'!$B$10),ISNUMBER('Inputs'!$B$21),ISNUMBER('Inputs'!$B$24),ISNUMBER('Inputs'!$B$28)),((('Results'!C7*(1-'Inputs'!$B$24)*(0.5*((((273-43)*MAX('Inputs'!$B$33,'Inputs'!$B$29+'Inputs'!$B$31+'Inputs'!$B$32,'Inputs'!$B$30+'Inputs'!$B$31+'Inputs'!$B$32)/1000+'Inputs'!$B$21)+'Inputs'!$B$9)/SQRT((((273-43)*MAX('Inputs'!$B$33,'Inputs'!$B$29+'Inputs'!$B$31+'Inputs'!$B$32,'Inputs'!$B$30+'Inputs'!$B$31+'Inputs'!$B$32)/1000+'Inputs'!$B$21)+'Inputs'!$B$9)^2+('Inputs'!$B$8/2)^2)-(((273-43)*MAX('Inputs'!$B$33,'Inputs'!$B$29+'Inputs'!$B$31+'Inputs'!$B$32,'Inputs'!$B$30+'Inputs'!$B$31+'Inputs'!$B$32)/1000+'Inputs'!$B$21))/SQRT((((273-43)*MAX('Inputs'!$B$33,'Inputs'!$B$29+'Inputs'!$B$31+'Inputs'!$B$32,'Inputs'!$B$30+'Inputs'!$B$31+'Inputs'!$B$32)/1000+'Inputs'!$B$21))^2+('Inputs'!$B$8/2)^2)))-'Results'!B7*(1+'Inputs'!$B$24)*(0.5*((((273-43)*MAX('Inputs'!$B$33,'Inputs'!$B$29+'Inputs'!$B$31+'Inputs'!$B$32,'Inputs'!$B$30+'Inputs'!$B$31+'Inputs'!$B$32)/1000+'Inputs'!$B$21+'Inputs'!$B$9+'Inputs'!$B$10)+'Inputs'!$B$7)/SQRT((((273-43)*MAX('Inputs'!$B$33,'Inputs'!$B$29+'Inputs'!$B$31+'Inputs'!$B$32,'Inputs'!$B$30+'Inputs'!$B$31+'Inputs'!$B$32)/1000+'Inputs'!$B$21+'Inputs'!$B$9+'Inputs'!$B$10)+'Inputs'!$B$7)^2+('Inputs'!$B$6/2)^2)-(((273-43)*MAX('Inputs'!$B$33,'Inputs'!$B$29+'Inputs'!$B$31+'Inputs'!$B$32,'Inputs'!$B$30+'Inputs'!$B$31+'Inputs'!$B$32)/1000+'Inputs'!$B$21+'Inputs'!$B$9+'Inputs'!$B$10))/SQRT((((273-43)*MAX('Inputs'!$B$33,'Inputs'!$B$29+'Inputs'!$B$31+'Inputs'!$B$32,'Inputs'!$B$30+'Inputs'!$B$31+'Inputs'!$B$32)/1000+'Inputs'!$B$21+'Inputs'!$B$9+'Inputs'!$B$10))^2+('Inputs'!$B$6/2)^2))))*'Results'!$B$8)-'Inputs'!$B$28*ABS((('Results'!C7*(1-'Inputs'!$B$24)*(0.5*((((273-43)*MAX('Inputs'!$B$33,'Inputs'!$B$29+'Inputs'!$B$31+'Inputs'!$B$32,'Inputs'!$B$30+'Inputs'!$B$31+'Inputs'!$B$32)/1000+'Inputs'!$B$21)+'Inputs'!$B$9)/SQRT((((273-43)*MAX('Inputs'!$B$33,'Inputs'!$B$29+'Inputs'!$B$31+'Inputs'!$B$32,'Inputs'!$B$30+'Inputs'!$B$31+'Inputs'!$B$32)/1000+'Inputs'!$B$21)+'Inputs'!$B$9)^2+('Inputs'!$B$8/2)^2)-(((273-43)*MAX('Inputs'!$B$33,'Inputs'!$B$29+'Inputs'!$B$31+'Inputs'!$B$32,'Inputs'!$B$30+'Inputs'!$B$31+'Inputs'!$B$32)/1000+'Inputs'!$B$21))/SQRT((((273-43)*MAX('Inputs'!$B$33,'Inputs'!$B$29+'Inputs'!$B$31+'Inputs'!$B$32,'Inputs'!$B$30+'Inputs'!$B$31+'Inputs'!$B$32)/1000+'Inputs'!$B$21))^2+('Inputs'!$B$8/2)^2)))-'Results'!B7*(1+'Inputs'!$B$24)*(0.5*((((273-43)*MAX('Inputs'!$B$33,'Inputs'!$B$29+'Inputs'!$B$31+'Inputs'!$B$32,'Inputs'!$B$30+'Inputs'!$B$31+'Inputs'!$B$32)/1000+'Inputs'!$B$21+'Inputs'!$B$9+'Inputs'!$B$10)+'Inputs'!$B$7)/SQRT((((273-43)*MAX('Inputs'!$B$33,'Inputs'!$B$29+'Inputs'!$B$31+'Inputs'!$B$32,'Inputs'!$B$30+'Inputs'!$B$31+'Inputs'!$B$32)/1000+'Inputs'!$B$21+'Inputs'!$B$9+'Inputs'!$B$10)+'Inputs'!$B$7)^2+('Inputs'!$B$6/2)^2)-(((273-43)*MAX('Inputs'!$B$33,'Inputs'!$B$29+'Inputs'!$B$31+'Inputs'!$B$32,'Inputs'!$B$30+'Inputs'!$B$31+'Inputs'!$B$32)/1000+'Inputs'!$B$21+'Inputs'!$B$9+'Inputs'!$B$10))/SQRT((((273-43)*MAX('Inputs'!$B$33,'Inputs'!$B$29+'Inputs'!$B$31+'Inputs'!$B$32,'Inputs'!$B$30+'Inputs'!$B$31+'Inputs'!$B$32)/1000+'Inputs'!$B$21+'Inputs'!$B$9+'Inputs'!$B$10))^2+('Inputs'!$B$6/2)^2))))*'Results'!$B$8))),"")</x:f>
        <x:v>43.115260602006366</x:v>
      </x:c>
      <x:c r="O273" t="n">
        <x:f>IF(AND(ISNUMBER('Results'!C7),ISNUMBER('Results'!B7),ISNUMBER('Results'!$B$8),ISNUMBER('Inputs'!$B$6),ISNUMBER('Inputs'!$B$7),ISNUMBER('Inputs'!$B$8),ISNUMBER('Inputs'!$B$9),ISNUMBER('Inputs'!$B$10),ISNUMBER('Inputs'!$B$21),ISNUMBER('Inputs'!$B$24),ISNUMBER('Inputs'!$B$28)),((('Results'!C7*(1+'Inputs'!$B$24)*(0.5*((((273-43)*MAX('Inputs'!$B$33,'Inputs'!$B$29+'Inputs'!$B$31+'Inputs'!$B$32,'Inputs'!$B$30+'Inputs'!$B$31+'Inputs'!$B$32)/1000+'Inputs'!$B$21)+'Inputs'!$B$9)/SQRT((((273-43)*MAX('Inputs'!$B$33,'Inputs'!$B$29+'Inputs'!$B$31+'Inputs'!$B$32,'Inputs'!$B$30+'Inputs'!$B$31+'Inputs'!$B$32)/1000+'Inputs'!$B$21)+'Inputs'!$B$9)^2+('Inputs'!$B$8/2)^2)-(((273-43)*MAX('Inputs'!$B$33,'Inputs'!$B$29+'Inputs'!$B$31+'Inputs'!$B$32,'Inputs'!$B$30+'Inputs'!$B$31+'Inputs'!$B$32)/1000+'Inputs'!$B$21))/SQRT((((273-43)*MAX('Inputs'!$B$33,'Inputs'!$B$29+'Inputs'!$B$31+'Inputs'!$B$32,'Inputs'!$B$30+'Inputs'!$B$31+'Inputs'!$B$32)/1000+'Inputs'!$B$21))^2+('Inputs'!$B$8/2)^2)))-'Results'!B7*(1-'Inputs'!$B$24)*(0.5*((((273-43)*MAX('Inputs'!$B$33,'Inputs'!$B$29+'Inputs'!$B$31+'Inputs'!$B$32,'Inputs'!$B$30+'Inputs'!$B$31+'Inputs'!$B$32)/1000+'Inputs'!$B$21+'Inputs'!$B$9+'Inputs'!$B$10)+'Inputs'!$B$7)/SQRT((((273-43)*MAX('Inputs'!$B$33,'Inputs'!$B$29+'Inputs'!$B$31+'Inputs'!$B$32,'Inputs'!$B$30+'Inputs'!$B$31+'Inputs'!$B$32)/1000+'Inputs'!$B$21+'Inputs'!$B$9+'Inputs'!$B$10)+'Inputs'!$B$7)^2+('Inputs'!$B$6/2)^2)-(((273-43)*MAX('Inputs'!$B$33,'Inputs'!$B$29+'Inputs'!$B$31+'Inputs'!$B$32,'Inputs'!$B$30+'Inputs'!$B$31+'Inputs'!$B$32)/1000+'Inputs'!$B$21+'Inputs'!$B$9+'Inputs'!$B$10))/SQRT((((273-43)*MAX('Inputs'!$B$33,'Inputs'!$B$29+'Inputs'!$B$31+'Inputs'!$B$32,'Inputs'!$B$30+'Inputs'!$B$31+'Inputs'!$B$32)/1000+'Inputs'!$B$21+'Inputs'!$B$9+'Inputs'!$B$10))^2+('Inputs'!$B$6/2)^2))))*'Results'!$B$8)+'Inputs'!$B$28*ABS((('Results'!C7*(1+'Inputs'!$B$24)*(0.5*((((273-43)*MAX('Inputs'!$B$33,'Inputs'!$B$29+'Inputs'!$B$31+'Inputs'!$B$32,'Inputs'!$B$30+'Inputs'!$B$31+'Inputs'!$B$32)/1000+'Inputs'!$B$21)+'Inputs'!$B$9)/SQRT((((273-43)*MAX('Inputs'!$B$33,'Inputs'!$B$29+'Inputs'!$B$31+'Inputs'!$B$32,'Inputs'!$B$30+'Inputs'!$B$31+'Inputs'!$B$32)/1000+'Inputs'!$B$21)+'Inputs'!$B$9)^2+('Inputs'!$B$8/2)^2)-(((273-43)*MAX('Inputs'!$B$33,'Inputs'!$B$29+'Inputs'!$B$31+'Inputs'!$B$32,'Inputs'!$B$30+'Inputs'!$B$31+'Inputs'!$B$32)/1000+'Inputs'!$B$21))/SQRT((((273-43)*MAX('Inputs'!$B$33,'Inputs'!$B$29+'Inputs'!$B$31+'Inputs'!$B$32,'Inputs'!$B$30+'Inputs'!$B$31+'Inputs'!$B$32)/1000+'Inputs'!$B$21))^2+('Inputs'!$B$8/2)^2)))-'Results'!B7*(1-'Inputs'!$B$24)*(0.5*((((273-43)*MAX('Inputs'!$B$33,'Inputs'!$B$29+'Inputs'!$B$31+'Inputs'!$B$32,'Inputs'!$B$30+'Inputs'!$B$31+'Inputs'!$B$32)/1000+'Inputs'!$B$21+'Inputs'!$B$9+'Inputs'!$B$10)+'Inputs'!$B$7)/SQRT((((273-43)*MAX('Inputs'!$B$33,'Inputs'!$B$29+'Inputs'!$B$31+'Inputs'!$B$32,'Inputs'!$B$30+'Inputs'!$B$31+'Inputs'!$B$32)/1000+'Inputs'!$B$21+'Inputs'!$B$9+'Inputs'!$B$10)+'Inputs'!$B$7)^2+('Inputs'!$B$6/2)^2)-(((273-43)*MAX('Inputs'!$B$33,'Inputs'!$B$29+'Inputs'!$B$31+'Inputs'!$B$32,'Inputs'!$B$30+'Inputs'!$B$31+'Inputs'!$B$32)/1000+'Inputs'!$B$21+'Inputs'!$B$9+'Inputs'!$B$10))/SQRT((((273-43)*MAX('Inputs'!$B$33,'Inputs'!$B$29+'Inputs'!$B$31+'Inputs'!$B$32,'Inputs'!$B$30+'Inputs'!$B$31+'Inputs'!$B$32)/1000+'Inputs'!$B$21+'Inputs'!$B$9+'Inputs'!$B$10))^2+('Inputs'!$B$6/2)^2))))*'Results'!$B$8))),"")</x:f>
        <x:v>51.80715016080368</x:v>
      </x:c>
      <x:c r="P273" t="n">
        <x:f>IF(AND(MAX(J273,J272)&gt;0,J273&gt;J272+0.00000001),1,0)</x:f>
        <x:v>0</x:v>
      </x:c>
      <x:c r="Q273" t="n">
        <x:f>IF(AND(MAX(K273,K272)&gt;0,K273&gt;K272+0.00000001),1,0)</x:f>
        <x:v>0</x:v>
      </x:c>
      <x:c r="R273" t="n">
        <x:f>IF(AND(MAX(L273,L272)&gt;0,L273&gt;L272+0.00000001),1,0)</x:f>
        <x:v>0</x:v>
      </x:c>
      <x:c r="S273" t="n">
        <x:f>IF(AND(MAX(M273,M272)&gt;0,M273&gt;M272+0.00000001),1,0)</x:f>
        <x:v>0</x:v>
      </x:c>
      <x:c r="T273" t="n">
        <x:f>IF(AND(MAX(N273,N272)&gt;0,N273&gt;N272+0.00000001),1,0)</x:f>
        <x:v>0</x:v>
      </x:c>
      <x:c r="U273" t="n">
        <x:f>IF(AND(MAX(O273,O272)&gt;0,O273&gt;O272+0.00000001),1,0)</x:f>
        <x:v>0</x:v>
      </x:c>
    </x:row>
    <x:row r="274">
      <x:c r="J274" t="n">
        <x:f>IF(AND(ISNUMBER('Results'!B7),ISNUMBER('Results'!C7),ISNUMBER('Results'!$B$8),ISNUMBER('Inputs'!$B$6),ISNUMBER('Inputs'!$B$7),ISNUMBER('Inputs'!$B$8),ISNUMBER('Inputs'!$B$9),ISNUMBER('Inputs'!$B$10),ISNUMBER('Inputs'!$B$21),ISNUMBER('Inputs'!$B$24),ISNUMBER('Inputs'!$B$28)),(('Results'!B7*(0.5*((((274-43)*MAX('Inputs'!$B$33,'Inputs'!$B$29+'Inputs'!$B$31+'Inputs'!$B$32,'Inputs'!$B$30+'Inputs'!$B$31+'Inputs'!$B$32)/1000+'Inputs'!$B$21)+'Inputs'!$B$7)/SQRT((((274-43)*MAX('Inputs'!$B$33,'Inputs'!$B$29+'Inputs'!$B$31+'Inputs'!$B$32,'Inputs'!$B$30+'Inputs'!$B$31+'Inputs'!$B$32)/1000+'Inputs'!$B$21)+'Inputs'!$B$7)^2+('Inputs'!$B$6/2)^2)-(((274-43)*MAX('Inputs'!$B$33,'Inputs'!$B$29+'Inputs'!$B$31+'Inputs'!$B$32,'Inputs'!$B$30+'Inputs'!$B$31+'Inputs'!$B$32)/1000+'Inputs'!$B$21))/SQRT((((274-43)*MAX('Inputs'!$B$33,'Inputs'!$B$29+'Inputs'!$B$31+'Inputs'!$B$32,'Inputs'!$B$30+'Inputs'!$B$31+'Inputs'!$B$32)/1000+'Inputs'!$B$21))^2+('Inputs'!$B$6/2)^2)))-'Results'!C7*(0.5*((((274-43)*MAX('Inputs'!$B$33,'Inputs'!$B$29+'Inputs'!$B$31+'Inputs'!$B$32,'Inputs'!$B$30+'Inputs'!$B$31+'Inputs'!$B$32)/1000+'Inputs'!$B$21+'Inputs'!$B$7+'Inputs'!$B$10)+'Inputs'!$B$9)/SQRT((((274-43)*MAX('Inputs'!$B$33,'Inputs'!$B$29+'Inputs'!$B$31+'Inputs'!$B$32,'Inputs'!$B$30+'Inputs'!$B$31+'Inputs'!$B$32)/1000+'Inputs'!$B$21+'Inputs'!$B$7+'Inputs'!$B$10)+'Inputs'!$B$9)^2+('Inputs'!$B$8/2)^2)-(((274-43)*MAX('Inputs'!$B$33,'Inputs'!$B$29+'Inputs'!$B$31+'Inputs'!$B$32,'Inputs'!$B$30+'Inputs'!$B$31+'Inputs'!$B$32)/1000+'Inputs'!$B$21+'Inputs'!$B$7+'Inputs'!$B$10))/SQRT((((274-43)*MAX('Inputs'!$B$33,'Inputs'!$B$29+'Inputs'!$B$31+'Inputs'!$B$32,'Inputs'!$B$30+'Inputs'!$B$31+'Inputs'!$B$32)/1000+'Inputs'!$B$21+'Inputs'!$B$7+'Inputs'!$B$10))^2+('Inputs'!$B$8/2)^2))))*'Results'!$B$8),"")</x:f>
        <x:v>48.75517017689909</x:v>
      </x:c>
      <x:c r="K274" t="n">
        <x:f>IF(AND(ISNUMBER('Results'!B7),ISNUMBER('Results'!C7),ISNUMBER('Results'!$B$8),ISNUMBER('Inputs'!$B$6),ISNUMBER('Inputs'!$B$7),ISNUMBER('Inputs'!$B$8),ISNUMBER('Inputs'!$B$9),ISNUMBER('Inputs'!$B$10),ISNUMBER('Inputs'!$B$21),ISNUMBER('Inputs'!$B$24),ISNUMBER('Inputs'!$B$28)),((('Results'!B7*(1-'Inputs'!$B$24)*(0.5*((((274-43)*MAX('Inputs'!$B$33,'Inputs'!$B$29+'Inputs'!$B$31+'Inputs'!$B$32,'Inputs'!$B$30+'Inputs'!$B$31+'Inputs'!$B$32)/1000+'Inputs'!$B$21)+'Inputs'!$B$7)/SQRT((((274-43)*MAX('Inputs'!$B$33,'Inputs'!$B$29+'Inputs'!$B$31+'Inputs'!$B$32,'Inputs'!$B$30+'Inputs'!$B$31+'Inputs'!$B$32)/1000+'Inputs'!$B$21)+'Inputs'!$B$7)^2+('Inputs'!$B$6/2)^2)-(((274-43)*MAX('Inputs'!$B$33,'Inputs'!$B$29+'Inputs'!$B$31+'Inputs'!$B$32,'Inputs'!$B$30+'Inputs'!$B$31+'Inputs'!$B$32)/1000+'Inputs'!$B$21))/SQRT((((274-43)*MAX('Inputs'!$B$33,'Inputs'!$B$29+'Inputs'!$B$31+'Inputs'!$B$32,'Inputs'!$B$30+'Inputs'!$B$31+'Inputs'!$B$32)/1000+'Inputs'!$B$21))^2+('Inputs'!$B$6/2)^2)))-'Results'!C7*(1+'Inputs'!$B$24)*(0.5*((((274-43)*MAX('Inputs'!$B$33,'Inputs'!$B$29+'Inputs'!$B$31+'Inputs'!$B$32,'Inputs'!$B$30+'Inputs'!$B$31+'Inputs'!$B$32)/1000+'Inputs'!$B$21+'Inputs'!$B$7+'Inputs'!$B$10)+'Inputs'!$B$9)/SQRT((((274-43)*MAX('Inputs'!$B$33,'Inputs'!$B$29+'Inputs'!$B$31+'Inputs'!$B$32,'Inputs'!$B$30+'Inputs'!$B$31+'Inputs'!$B$32)/1000+'Inputs'!$B$21+'Inputs'!$B$7+'Inputs'!$B$10)+'Inputs'!$B$9)^2+('Inputs'!$B$8/2)^2)-(((274-43)*MAX('Inputs'!$B$33,'Inputs'!$B$29+'Inputs'!$B$31+'Inputs'!$B$32,'Inputs'!$B$30+'Inputs'!$B$31+'Inputs'!$B$32)/1000+'Inputs'!$B$21+'Inputs'!$B$7+'Inputs'!$B$10))/SQRT((((274-43)*MAX('Inputs'!$B$33,'Inputs'!$B$29+'Inputs'!$B$31+'Inputs'!$B$32,'Inputs'!$B$30+'Inputs'!$B$31+'Inputs'!$B$32)/1000+'Inputs'!$B$21+'Inputs'!$B$7+'Inputs'!$B$10))^2+('Inputs'!$B$8/2)^2))))*'Results'!$B$8)-'Inputs'!$B$28*ABS((('Results'!B7*(1-'Inputs'!$B$24)*(0.5*((((274-43)*MAX('Inputs'!$B$33,'Inputs'!$B$29+'Inputs'!$B$31+'Inputs'!$B$32,'Inputs'!$B$30+'Inputs'!$B$31+'Inputs'!$B$32)/1000+'Inputs'!$B$21)+'Inputs'!$B$7)/SQRT((((274-43)*MAX('Inputs'!$B$33,'Inputs'!$B$29+'Inputs'!$B$31+'Inputs'!$B$32,'Inputs'!$B$30+'Inputs'!$B$31+'Inputs'!$B$32)/1000+'Inputs'!$B$21)+'Inputs'!$B$7)^2+('Inputs'!$B$6/2)^2)-(((274-43)*MAX('Inputs'!$B$33,'Inputs'!$B$29+'Inputs'!$B$31+'Inputs'!$B$32,'Inputs'!$B$30+'Inputs'!$B$31+'Inputs'!$B$32)/1000+'Inputs'!$B$21))/SQRT((((274-43)*MAX('Inputs'!$B$33,'Inputs'!$B$29+'Inputs'!$B$31+'Inputs'!$B$32,'Inputs'!$B$30+'Inputs'!$B$31+'Inputs'!$B$32)/1000+'Inputs'!$B$21))^2+('Inputs'!$B$6/2)^2)))-'Results'!C7*(1+'Inputs'!$B$24)*(0.5*((((274-43)*MAX('Inputs'!$B$33,'Inputs'!$B$29+'Inputs'!$B$31+'Inputs'!$B$32,'Inputs'!$B$30+'Inputs'!$B$31+'Inputs'!$B$32)/1000+'Inputs'!$B$21+'Inputs'!$B$7+'Inputs'!$B$10)+'Inputs'!$B$9)/SQRT((((274-43)*MAX('Inputs'!$B$33,'Inputs'!$B$29+'Inputs'!$B$31+'Inputs'!$B$32,'Inputs'!$B$30+'Inputs'!$B$31+'Inputs'!$B$32)/1000+'Inputs'!$B$21+'Inputs'!$B$7+'Inputs'!$B$10)+'Inputs'!$B$9)^2+('Inputs'!$B$8/2)^2)-(((274-43)*MAX('Inputs'!$B$33,'Inputs'!$B$29+'Inputs'!$B$31+'Inputs'!$B$32,'Inputs'!$B$30+'Inputs'!$B$31+'Inputs'!$B$32)/1000+'Inputs'!$B$21+'Inputs'!$B$7+'Inputs'!$B$10))/SQRT((((274-43)*MAX('Inputs'!$B$33,'Inputs'!$B$29+'Inputs'!$B$31+'Inputs'!$B$32,'Inputs'!$B$30+'Inputs'!$B$31+'Inputs'!$B$32)/1000+'Inputs'!$B$21+'Inputs'!$B$7+'Inputs'!$B$10))^2+('Inputs'!$B$8/2)^2))))*'Results'!$B$8))),"")</x:f>
        <x:v>44.439115753970654</x:v>
      </x:c>
      <x:c r="L274" t="n">
        <x:f>IF(AND(ISNUMBER('Results'!B7),ISNUMBER('Results'!C7),ISNUMBER('Results'!$B$8),ISNUMBER('Inputs'!$B$6),ISNUMBER('Inputs'!$B$7),ISNUMBER('Inputs'!$B$8),ISNUMBER('Inputs'!$B$9),ISNUMBER('Inputs'!$B$10),ISNUMBER('Inputs'!$B$21),ISNUMBER('Inputs'!$B$24),ISNUMBER('Inputs'!$B$28)),((('Results'!B7*(1+'Inputs'!$B$24)*(0.5*((((274-43)*MAX('Inputs'!$B$33,'Inputs'!$B$29+'Inputs'!$B$31+'Inputs'!$B$32,'Inputs'!$B$30+'Inputs'!$B$31+'Inputs'!$B$32)/1000+'Inputs'!$B$21)+'Inputs'!$B$7)/SQRT((((274-43)*MAX('Inputs'!$B$33,'Inputs'!$B$29+'Inputs'!$B$31+'Inputs'!$B$32,'Inputs'!$B$30+'Inputs'!$B$31+'Inputs'!$B$32)/1000+'Inputs'!$B$21)+'Inputs'!$B$7)^2+('Inputs'!$B$6/2)^2)-(((274-43)*MAX('Inputs'!$B$33,'Inputs'!$B$29+'Inputs'!$B$31+'Inputs'!$B$32,'Inputs'!$B$30+'Inputs'!$B$31+'Inputs'!$B$32)/1000+'Inputs'!$B$21))/SQRT((((274-43)*MAX('Inputs'!$B$33,'Inputs'!$B$29+'Inputs'!$B$31+'Inputs'!$B$32,'Inputs'!$B$30+'Inputs'!$B$31+'Inputs'!$B$32)/1000+'Inputs'!$B$21))^2+('Inputs'!$B$6/2)^2)))-'Results'!C7*(1-'Inputs'!$B$24)*(0.5*((((274-43)*MAX('Inputs'!$B$33,'Inputs'!$B$29+'Inputs'!$B$31+'Inputs'!$B$32,'Inputs'!$B$30+'Inputs'!$B$31+'Inputs'!$B$32)/1000+'Inputs'!$B$21+'Inputs'!$B$7+'Inputs'!$B$10)+'Inputs'!$B$9)/SQRT((((274-43)*MAX('Inputs'!$B$33,'Inputs'!$B$29+'Inputs'!$B$31+'Inputs'!$B$32,'Inputs'!$B$30+'Inputs'!$B$31+'Inputs'!$B$32)/1000+'Inputs'!$B$21+'Inputs'!$B$7+'Inputs'!$B$10)+'Inputs'!$B$9)^2+('Inputs'!$B$8/2)^2)-(((274-43)*MAX('Inputs'!$B$33,'Inputs'!$B$29+'Inputs'!$B$31+'Inputs'!$B$32,'Inputs'!$B$30+'Inputs'!$B$31+'Inputs'!$B$32)/1000+'Inputs'!$B$21+'Inputs'!$B$7+'Inputs'!$B$10))/SQRT((((274-43)*MAX('Inputs'!$B$33,'Inputs'!$B$29+'Inputs'!$B$31+'Inputs'!$B$32,'Inputs'!$B$30+'Inputs'!$B$31+'Inputs'!$B$32)/1000+'Inputs'!$B$21+'Inputs'!$B$7+'Inputs'!$B$10))^2+('Inputs'!$B$8/2)^2))))*'Results'!$B$8)+'Inputs'!$B$28*ABS((('Results'!B7*(1+'Inputs'!$B$24)*(0.5*((((274-43)*MAX('Inputs'!$B$33,'Inputs'!$B$29+'Inputs'!$B$31+'Inputs'!$B$32,'Inputs'!$B$30+'Inputs'!$B$31+'Inputs'!$B$32)/1000+'Inputs'!$B$21)+'Inputs'!$B$7)/SQRT((((274-43)*MAX('Inputs'!$B$33,'Inputs'!$B$29+'Inputs'!$B$31+'Inputs'!$B$32,'Inputs'!$B$30+'Inputs'!$B$31+'Inputs'!$B$32)/1000+'Inputs'!$B$21)+'Inputs'!$B$7)^2+('Inputs'!$B$6/2)^2)-(((274-43)*MAX('Inputs'!$B$33,'Inputs'!$B$29+'Inputs'!$B$31+'Inputs'!$B$32,'Inputs'!$B$30+'Inputs'!$B$31+'Inputs'!$B$32)/1000+'Inputs'!$B$21))/SQRT((((274-43)*MAX('Inputs'!$B$33,'Inputs'!$B$29+'Inputs'!$B$31+'Inputs'!$B$32,'Inputs'!$B$30+'Inputs'!$B$31+'Inputs'!$B$32)/1000+'Inputs'!$B$21))^2+('Inputs'!$B$6/2)^2)))-'Results'!C7*(1-'Inputs'!$B$24)*(0.5*((((274-43)*MAX('Inputs'!$B$33,'Inputs'!$B$29+'Inputs'!$B$31+'Inputs'!$B$32,'Inputs'!$B$30+'Inputs'!$B$31+'Inputs'!$B$32)/1000+'Inputs'!$B$21+'Inputs'!$B$7+'Inputs'!$B$10)+'Inputs'!$B$9)/SQRT((((274-43)*MAX('Inputs'!$B$33,'Inputs'!$B$29+'Inputs'!$B$31+'Inputs'!$B$32,'Inputs'!$B$30+'Inputs'!$B$31+'Inputs'!$B$32)/1000+'Inputs'!$B$21+'Inputs'!$B$7+'Inputs'!$B$10)+'Inputs'!$B$9)^2+('Inputs'!$B$8/2)^2)-(((274-43)*MAX('Inputs'!$B$33,'Inputs'!$B$29+'Inputs'!$B$31+'Inputs'!$B$32,'Inputs'!$B$30+'Inputs'!$B$31+'Inputs'!$B$32)/1000+'Inputs'!$B$21+'Inputs'!$B$7+'Inputs'!$B$10))/SQRT((((274-43)*MAX('Inputs'!$B$33,'Inputs'!$B$29+'Inputs'!$B$31+'Inputs'!$B$32,'Inputs'!$B$30+'Inputs'!$B$31+'Inputs'!$B$32)/1000+'Inputs'!$B$21+'Inputs'!$B$7+'Inputs'!$B$10))^2+('Inputs'!$B$8/2)^2))))*'Results'!$B$8))),"")</x:f>
        <x:v>53.26893995920472</x:v>
      </x:c>
      <x:c r="M274" t="n">
        <x:f>IF(AND(ISNUMBER('Results'!C7),ISNUMBER('Results'!B7),ISNUMBER('Results'!$B$8),ISNUMBER('Inputs'!$B$6),ISNUMBER('Inputs'!$B$7),ISNUMBER('Inputs'!$B$8),ISNUMBER('Inputs'!$B$9),ISNUMBER('Inputs'!$B$10),ISNUMBER('Inputs'!$B$21),ISNUMBER('Inputs'!$B$24),ISNUMBER('Inputs'!$B$28)),(('Results'!C7*(0.5*((((274-43)*MAX('Inputs'!$B$33,'Inputs'!$B$29+'Inputs'!$B$31+'Inputs'!$B$32,'Inputs'!$B$30+'Inputs'!$B$31+'Inputs'!$B$32)/1000+'Inputs'!$B$21)+'Inputs'!$B$9)/SQRT((((274-43)*MAX('Inputs'!$B$33,'Inputs'!$B$29+'Inputs'!$B$31+'Inputs'!$B$32,'Inputs'!$B$30+'Inputs'!$B$31+'Inputs'!$B$32)/1000+'Inputs'!$B$21)+'Inputs'!$B$9)^2+('Inputs'!$B$8/2)^2)-(((274-43)*MAX('Inputs'!$B$33,'Inputs'!$B$29+'Inputs'!$B$31+'Inputs'!$B$32,'Inputs'!$B$30+'Inputs'!$B$31+'Inputs'!$B$32)/1000+'Inputs'!$B$21))/SQRT((((274-43)*MAX('Inputs'!$B$33,'Inputs'!$B$29+'Inputs'!$B$31+'Inputs'!$B$32,'Inputs'!$B$30+'Inputs'!$B$31+'Inputs'!$B$32)/1000+'Inputs'!$B$21))^2+('Inputs'!$B$8/2)^2)))-'Results'!B7*(0.5*((((274-43)*MAX('Inputs'!$B$33,'Inputs'!$B$29+'Inputs'!$B$31+'Inputs'!$B$32,'Inputs'!$B$30+'Inputs'!$B$31+'Inputs'!$B$32)/1000+'Inputs'!$B$21+'Inputs'!$B$9+'Inputs'!$B$10)+'Inputs'!$B$7)/SQRT((((274-43)*MAX('Inputs'!$B$33,'Inputs'!$B$29+'Inputs'!$B$31+'Inputs'!$B$32,'Inputs'!$B$30+'Inputs'!$B$31+'Inputs'!$B$32)/1000+'Inputs'!$B$21+'Inputs'!$B$9+'Inputs'!$B$10)+'Inputs'!$B$7)^2+('Inputs'!$B$6/2)^2)-(((274-43)*MAX('Inputs'!$B$33,'Inputs'!$B$29+'Inputs'!$B$31+'Inputs'!$B$32,'Inputs'!$B$30+'Inputs'!$B$31+'Inputs'!$B$32)/1000+'Inputs'!$B$21+'Inputs'!$B$9+'Inputs'!$B$10))/SQRT((((274-43)*MAX('Inputs'!$B$33,'Inputs'!$B$29+'Inputs'!$B$31+'Inputs'!$B$32,'Inputs'!$B$30+'Inputs'!$B$31+'Inputs'!$B$32)/1000+'Inputs'!$B$21+'Inputs'!$B$9+'Inputs'!$B$10))^2+('Inputs'!$B$6/2)^2))))*'Results'!$B$8),"")</x:f>
        <x:v>46.76779158118585</x:v>
      </x:c>
      <x:c r="N274" t="n">
        <x:f>IF(AND(ISNUMBER('Results'!C7),ISNUMBER('Results'!B7),ISNUMBER('Results'!$B$8),ISNUMBER('Inputs'!$B$6),ISNUMBER('Inputs'!$B$7),ISNUMBER('Inputs'!$B$8),ISNUMBER('Inputs'!$B$9),ISNUMBER('Inputs'!$B$10),ISNUMBER('Inputs'!$B$21),ISNUMBER('Inputs'!$B$24),ISNUMBER('Inputs'!$B$28)),((('Results'!C7*(1-'Inputs'!$B$24)*(0.5*((((274-43)*MAX('Inputs'!$B$33,'Inputs'!$B$29+'Inputs'!$B$31+'Inputs'!$B$32,'Inputs'!$B$30+'Inputs'!$B$31+'Inputs'!$B$32)/1000+'Inputs'!$B$21)+'Inputs'!$B$9)/SQRT((((274-43)*MAX('Inputs'!$B$33,'Inputs'!$B$29+'Inputs'!$B$31+'Inputs'!$B$32,'Inputs'!$B$30+'Inputs'!$B$31+'Inputs'!$B$32)/1000+'Inputs'!$B$21)+'Inputs'!$B$9)^2+('Inputs'!$B$8/2)^2)-(((274-43)*MAX('Inputs'!$B$33,'Inputs'!$B$29+'Inputs'!$B$31+'Inputs'!$B$32,'Inputs'!$B$30+'Inputs'!$B$31+'Inputs'!$B$32)/1000+'Inputs'!$B$21))/SQRT((((274-43)*MAX('Inputs'!$B$33,'Inputs'!$B$29+'Inputs'!$B$31+'Inputs'!$B$32,'Inputs'!$B$30+'Inputs'!$B$31+'Inputs'!$B$32)/1000+'Inputs'!$B$21))^2+('Inputs'!$B$8/2)^2)))-'Results'!B7*(1+'Inputs'!$B$24)*(0.5*((((274-43)*MAX('Inputs'!$B$33,'Inputs'!$B$29+'Inputs'!$B$31+'Inputs'!$B$32,'Inputs'!$B$30+'Inputs'!$B$31+'Inputs'!$B$32)/1000+'Inputs'!$B$21+'Inputs'!$B$9+'Inputs'!$B$10)+'Inputs'!$B$7)/SQRT((((274-43)*MAX('Inputs'!$B$33,'Inputs'!$B$29+'Inputs'!$B$31+'Inputs'!$B$32,'Inputs'!$B$30+'Inputs'!$B$31+'Inputs'!$B$32)/1000+'Inputs'!$B$21+'Inputs'!$B$9+'Inputs'!$B$10)+'Inputs'!$B$7)^2+('Inputs'!$B$6/2)^2)-(((274-43)*MAX('Inputs'!$B$33,'Inputs'!$B$29+'Inputs'!$B$31+'Inputs'!$B$32,'Inputs'!$B$30+'Inputs'!$B$31+'Inputs'!$B$32)/1000+'Inputs'!$B$21+'Inputs'!$B$9+'Inputs'!$B$10))/SQRT((((274-43)*MAX('Inputs'!$B$33,'Inputs'!$B$29+'Inputs'!$B$31+'Inputs'!$B$32,'Inputs'!$B$30+'Inputs'!$B$31+'Inputs'!$B$32)/1000+'Inputs'!$B$21+'Inputs'!$B$9+'Inputs'!$B$10))^2+('Inputs'!$B$6/2)^2))))*'Results'!$B$8)-'Inputs'!$B$28*ABS((('Results'!C7*(1-'Inputs'!$B$24)*(0.5*((((274-43)*MAX('Inputs'!$B$33,'Inputs'!$B$29+'Inputs'!$B$31+'Inputs'!$B$32,'Inputs'!$B$30+'Inputs'!$B$31+'Inputs'!$B$32)/1000+'Inputs'!$B$21)+'Inputs'!$B$9)/SQRT((((274-43)*MAX('Inputs'!$B$33,'Inputs'!$B$29+'Inputs'!$B$31+'Inputs'!$B$32,'Inputs'!$B$30+'Inputs'!$B$31+'Inputs'!$B$32)/1000+'Inputs'!$B$21)+'Inputs'!$B$9)^2+('Inputs'!$B$8/2)^2)-(((274-43)*MAX('Inputs'!$B$33,'Inputs'!$B$29+'Inputs'!$B$31+'Inputs'!$B$32,'Inputs'!$B$30+'Inputs'!$B$31+'Inputs'!$B$32)/1000+'Inputs'!$B$21))/SQRT((((274-43)*MAX('Inputs'!$B$33,'Inputs'!$B$29+'Inputs'!$B$31+'Inputs'!$B$32,'Inputs'!$B$30+'Inputs'!$B$31+'Inputs'!$B$32)/1000+'Inputs'!$B$21))^2+('Inputs'!$B$8/2)^2)))-'Results'!B7*(1+'Inputs'!$B$24)*(0.5*((((274-43)*MAX('Inputs'!$B$33,'Inputs'!$B$29+'Inputs'!$B$31+'Inputs'!$B$32,'Inputs'!$B$30+'Inputs'!$B$31+'Inputs'!$B$32)/1000+'Inputs'!$B$21+'Inputs'!$B$9+'Inputs'!$B$10)+'Inputs'!$B$7)/SQRT((((274-43)*MAX('Inputs'!$B$33,'Inputs'!$B$29+'Inputs'!$B$31+'Inputs'!$B$32,'Inputs'!$B$30+'Inputs'!$B$31+'Inputs'!$B$32)/1000+'Inputs'!$B$21+'Inputs'!$B$9+'Inputs'!$B$10)+'Inputs'!$B$7)^2+('Inputs'!$B$6/2)^2)-(((274-43)*MAX('Inputs'!$B$33,'Inputs'!$B$29+'Inputs'!$B$31+'Inputs'!$B$32,'Inputs'!$B$30+'Inputs'!$B$31+'Inputs'!$B$32)/1000+'Inputs'!$B$21+'Inputs'!$B$9+'Inputs'!$B$10))/SQRT((((274-43)*MAX('Inputs'!$B$33,'Inputs'!$B$29+'Inputs'!$B$31+'Inputs'!$B$32,'Inputs'!$B$30+'Inputs'!$B$31+'Inputs'!$B$32)/1000+'Inputs'!$B$21+'Inputs'!$B$9+'Inputs'!$B$10))^2+('Inputs'!$B$6/2)^2))))*'Results'!$B$8))),"")</x:f>
        <x:v>42.569438777673426</x:v>
      </x:c>
      <x:c r="O274" t="n">
        <x:f>IF(AND(ISNUMBER('Results'!C7),ISNUMBER('Results'!B7),ISNUMBER('Results'!$B$8),ISNUMBER('Inputs'!$B$6),ISNUMBER('Inputs'!$B$7),ISNUMBER('Inputs'!$B$8),ISNUMBER('Inputs'!$B$9),ISNUMBER('Inputs'!$B$10),ISNUMBER('Inputs'!$B$21),ISNUMBER('Inputs'!$B$24),ISNUMBER('Inputs'!$B$28)),((('Results'!C7*(1+'Inputs'!$B$24)*(0.5*((((274-43)*MAX('Inputs'!$B$33,'Inputs'!$B$29+'Inputs'!$B$31+'Inputs'!$B$32,'Inputs'!$B$30+'Inputs'!$B$31+'Inputs'!$B$32)/1000+'Inputs'!$B$21)+'Inputs'!$B$9)/SQRT((((274-43)*MAX('Inputs'!$B$33,'Inputs'!$B$29+'Inputs'!$B$31+'Inputs'!$B$32,'Inputs'!$B$30+'Inputs'!$B$31+'Inputs'!$B$32)/1000+'Inputs'!$B$21)+'Inputs'!$B$9)^2+('Inputs'!$B$8/2)^2)-(((274-43)*MAX('Inputs'!$B$33,'Inputs'!$B$29+'Inputs'!$B$31+'Inputs'!$B$32,'Inputs'!$B$30+'Inputs'!$B$31+'Inputs'!$B$32)/1000+'Inputs'!$B$21))/SQRT((((274-43)*MAX('Inputs'!$B$33,'Inputs'!$B$29+'Inputs'!$B$31+'Inputs'!$B$32,'Inputs'!$B$30+'Inputs'!$B$31+'Inputs'!$B$32)/1000+'Inputs'!$B$21))^2+('Inputs'!$B$8/2)^2)))-'Results'!B7*(1-'Inputs'!$B$24)*(0.5*((((274-43)*MAX('Inputs'!$B$33,'Inputs'!$B$29+'Inputs'!$B$31+'Inputs'!$B$32,'Inputs'!$B$30+'Inputs'!$B$31+'Inputs'!$B$32)/1000+'Inputs'!$B$21+'Inputs'!$B$9+'Inputs'!$B$10)+'Inputs'!$B$7)/SQRT((((274-43)*MAX('Inputs'!$B$33,'Inputs'!$B$29+'Inputs'!$B$31+'Inputs'!$B$32,'Inputs'!$B$30+'Inputs'!$B$31+'Inputs'!$B$32)/1000+'Inputs'!$B$21+'Inputs'!$B$9+'Inputs'!$B$10)+'Inputs'!$B$7)^2+('Inputs'!$B$6/2)^2)-(((274-43)*MAX('Inputs'!$B$33,'Inputs'!$B$29+'Inputs'!$B$31+'Inputs'!$B$32,'Inputs'!$B$30+'Inputs'!$B$31+'Inputs'!$B$32)/1000+'Inputs'!$B$21+'Inputs'!$B$9+'Inputs'!$B$10))/SQRT((((274-43)*MAX('Inputs'!$B$33,'Inputs'!$B$29+'Inputs'!$B$31+'Inputs'!$B$32,'Inputs'!$B$30+'Inputs'!$B$31+'Inputs'!$B$32)/1000+'Inputs'!$B$21+'Inputs'!$B$9+'Inputs'!$B$10))^2+('Inputs'!$B$6/2)^2))))*'Results'!$B$8)+'Inputs'!$B$28*ABS((('Results'!C7*(1+'Inputs'!$B$24)*(0.5*((((274-43)*MAX('Inputs'!$B$33,'Inputs'!$B$29+'Inputs'!$B$31+'Inputs'!$B$32,'Inputs'!$B$30+'Inputs'!$B$31+'Inputs'!$B$32)/1000+'Inputs'!$B$21)+'Inputs'!$B$9)/SQRT((((274-43)*MAX('Inputs'!$B$33,'Inputs'!$B$29+'Inputs'!$B$31+'Inputs'!$B$32,'Inputs'!$B$30+'Inputs'!$B$31+'Inputs'!$B$32)/1000+'Inputs'!$B$21)+'Inputs'!$B$9)^2+('Inputs'!$B$8/2)^2)-(((274-43)*MAX('Inputs'!$B$33,'Inputs'!$B$29+'Inputs'!$B$31+'Inputs'!$B$32,'Inputs'!$B$30+'Inputs'!$B$31+'Inputs'!$B$32)/1000+'Inputs'!$B$21))/SQRT((((274-43)*MAX('Inputs'!$B$33,'Inputs'!$B$29+'Inputs'!$B$31+'Inputs'!$B$32,'Inputs'!$B$30+'Inputs'!$B$31+'Inputs'!$B$32)/1000+'Inputs'!$B$21))^2+('Inputs'!$B$8/2)^2)))-'Results'!B7*(1-'Inputs'!$B$24)*(0.5*((((274-43)*MAX('Inputs'!$B$33,'Inputs'!$B$29+'Inputs'!$B$31+'Inputs'!$B$32,'Inputs'!$B$30+'Inputs'!$B$31+'Inputs'!$B$32)/1000+'Inputs'!$B$21+'Inputs'!$B$9+'Inputs'!$B$10)+'Inputs'!$B$7)/SQRT((((274-43)*MAX('Inputs'!$B$33,'Inputs'!$B$29+'Inputs'!$B$31+'Inputs'!$B$32,'Inputs'!$B$30+'Inputs'!$B$31+'Inputs'!$B$32)/1000+'Inputs'!$B$21+'Inputs'!$B$9+'Inputs'!$B$10)+'Inputs'!$B$7)^2+('Inputs'!$B$6/2)^2)-(((274-43)*MAX('Inputs'!$B$33,'Inputs'!$B$29+'Inputs'!$B$31+'Inputs'!$B$32,'Inputs'!$B$30+'Inputs'!$B$31+'Inputs'!$B$32)/1000+'Inputs'!$B$21+'Inputs'!$B$9+'Inputs'!$B$10))/SQRT((((274-43)*MAX('Inputs'!$B$33,'Inputs'!$B$29+'Inputs'!$B$31+'Inputs'!$B$32,'Inputs'!$B$30+'Inputs'!$B$31+'Inputs'!$B$32)/1000+'Inputs'!$B$21+'Inputs'!$B$9+'Inputs'!$B$10))^2+('Inputs'!$B$6/2)^2))))*'Results'!$B$8))),"")</x:f>
        <x:v>51.161929987272295</x:v>
      </x:c>
      <x:c r="P274" t="n">
        <x:f>IF(AND(MAX(J274,J273)&gt;0,J274&gt;J273+0.00000001),1,0)</x:f>
        <x:v>0</x:v>
      </x:c>
      <x:c r="Q274" t="n">
        <x:f>IF(AND(MAX(K274,K273)&gt;0,K274&gt;K273+0.00000001),1,0)</x:f>
        <x:v>0</x:v>
      </x:c>
      <x:c r="R274" t="n">
        <x:f>IF(AND(MAX(L274,L273)&gt;0,L274&gt;L273+0.00000001),1,0)</x:f>
        <x:v>0</x:v>
      </x:c>
      <x:c r="S274" t="n">
        <x:f>IF(AND(MAX(M274,M273)&gt;0,M274&gt;M273+0.00000001),1,0)</x:f>
        <x:v>0</x:v>
      </x:c>
      <x:c r="T274" t="n">
        <x:f>IF(AND(MAX(N274,N273)&gt;0,N274&gt;N273+0.00000001),1,0)</x:f>
        <x:v>0</x:v>
      </x:c>
      <x:c r="U274" t="n">
        <x:f>IF(AND(MAX(O274,O273)&gt;0,O274&gt;O273+0.00000001),1,0)</x:f>
        <x:v>0</x:v>
      </x:c>
    </x:row>
    <x:row r="275">
      <x:c r="J275" t="n">
        <x:f>IF(AND(ISNUMBER('Results'!B7),ISNUMBER('Results'!C7),ISNUMBER('Results'!$B$8),ISNUMBER('Inputs'!$B$6),ISNUMBER('Inputs'!$B$7),ISNUMBER('Inputs'!$B$8),ISNUMBER('Inputs'!$B$9),ISNUMBER('Inputs'!$B$10),ISNUMBER('Inputs'!$B$21),ISNUMBER('Inputs'!$B$24),ISNUMBER('Inputs'!$B$28)),(('Results'!B7*(0.5*((((275-43)*MAX('Inputs'!$B$33,'Inputs'!$B$29+'Inputs'!$B$31+'Inputs'!$B$32,'Inputs'!$B$30+'Inputs'!$B$31+'Inputs'!$B$32)/1000+'Inputs'!$B$21)+'Inputs'!$B$7)/SQRT((((275-43)*MAX('Inputs'!$B$33,'Inputs'!$B$29+'Inputs'!$B$31+'Inputs'!$B$32,'Inputs'!$B$30+'Inputs'!$B$31+'Inputs'!$B$32)/1000+'Inputs'!$B$21)+'Inputs'!$B$7)^2+('Inputs'!$B$6/2)^2)-(((275-43)*MAX('Inputs'!$B$33,'Inputs'!$B$29+'Inputs'!$B$31+'Inputs'!$B$32,'Inputs'!$B$30+'Inputs'!$B$31+'Inputs'!$B$32)/1000+'Inputs'!$B$21))/SQRT((((275-43)*MAX('Inputs'!$B$33,'Inputs'!$B$29+'Inputs'!$B$31+'Inputs'!$B$32,'Inputs'!$B$30+'Inputs'!$B$31+'Inputs'!$B$32)/1000+'Inputs'!$B$21))^2+('Inputs'!$B$6/2)^2)))-'Results'!C7*(0.5*((((275-43)*MAX('Inputs'!$B$33,'Inputs'!$B$29+'Inputs'!$B$31+'Inputs'!$B$32,'Inputs'!$B$30+'Inputs'!$B$31+'Inputs'!$B$32)/1000+'Inputs'!$B$21+'Inputs'!$B$7+'Inputs'!$B$10)+'Inputs'!$B$9)/SQRT((((275-43)*MAX('Inputs'!$B$33,'Inputs'!$B$29+'Inputs'!$B$31+'Inputs'!$B$32,'Inputs'!$B$30+'Inputs'!$B$31+'Inputs'!$B$32)/1000+'Inputs'!$B$21+'Inputs'!$B$7+'Inputs'!$B$10)+'Inputs'!$B$9)^2+('Inputs'!$B$8/2)^2)-(((275-43)*MAX('Inputs'!$B$33,'Inputs'!$B$29+'Inputs'!$B$31+'Inputs'!$B$32,'Inputs'!$B$30+'Inputs'!$B$31+'Inputs'!$B$32)/1000+'Inputs'!$B$21+'Inputs'!$B$7+'Inputs'!$B$10))/SQRT((((275-43)*MAX('Inputs'!$B$33,'Inputs'!$B$29+'Inputs'!$B$31+'Inputs'!$B$32,'Inputs'!$B$30+'Inputs'!$B$31+'Inputs'!$B$32)/1000+'Inputs'!$B$21+'Inputs'!$B$7+'Inputs'!$B$10))^2+('Inputs'!$B$8/2)^2))))*'Results'!$B$8),"")</x:f>
        <x:v>48.149788473252684</x:v>
      </x:c>
      <x:c r="K275" t="n">
        <x:f>IF(AND(ISNUMBER('Results'!B7),ISNUMBER('Results'!C7),ISNUMBER('Results'!$B$8),ISNUMBER('Inputs'!$B$6),ISNUMBER('Inputs'!$B$7),ISNUMBER('Inputs'!$B$8),ISNUMBER('Inputs'!$B$9),ISNUMBER('Inputs'!$B$10),ISNUMBER('Inputs'!$B$21),ISNUMBER('Inputs'!$B$24),ISNUMBER('Inputs'!$B$28)),((('Results'!B7*(1-'Inputs'!$B$24)*(0.5*((((275-43)*MAX('Inputs'!$B$33,'Inputs'!$B$29+'Inputs'!$B$31+'Inputs'!$B$32,'Inputs'!$B$30+'Inputs'!$B$31+'Inputs'!$B$32)/1000+'Inputs'!$B$21)+'Inputs'!$B$7)/SQRT((((275-43)*MAX('Inputs'!$B$33,'Inputs'!$B$29+'Inputs'!$B$31+'Inputs'!$B$32,'Inputs'!$B$30+'Inputs'!$B$31+'Inputs'!$B$32)/1000+'Inputs'!$B$21)+'Inputs'!$B$7)^2+('Inputs'!$B$6/2)^2)-(((275-43)*MAX('Inputs'!$B$33,'Inputs'!$B$29+'Inputs'!$B$31+'Inputs'!$B$32,'Inputs'!$B$30+'Inputs'!$B$31+'Inputs'!$B$32)/1000+'Inputs'!$B$21))/SQRT((((275-43)*MAX('Inputs'!$B$33,'Inputs'!$B$29+'Inputs'!$B$31+'Inputs'!$B$32,'Inputs'!$B$30+'Inputs'!$B$31+'Inputs'!$B$32)/1000+'Inputs'!$B$21))^2+('Inputs'!$B$6/2)^2)))-'Results'!C7*(1+'Inputs'!$B$24)*(0.5*((((275-43)*MAX('Inputs'!$B$33,'Inputs'!$B$29+'Inputs'!$B$31+'Inputs'!$B$32,'Inputs'!$B$30+'Inputs'!$B$31+'Inputs'!$B$32)/1000+'Inputs'!$B$21+'Inputs'!$B$7+'Inputs'!$B$10)+'Inputs'!$B$9)/SQRT((((275-43)*MAX('Inputs'!$B$33,'Inputs'!$B$29+'Inputs'!$B$31+'Inputs'!$B$32,'Inputs'!$B$30+'Inputs'!$B$31+'Inputs'!$B$32)/1000+'Inputs'!$B$21+'Inputs'!$B$7+'Inputs'!$B$10)+'Inputs'!$B$9)^2+('Inputs'!$B$8/2)^2)-(((275-43)*MAX('Inputs'!$B$33,'Inputs'!$B$29+'Inputs'!$B$31+'Inputs'!$B$32,'Inputs'!$B$30+'Inputs'!$B$31+'Inputs'!$B$32)/1000+'Inputs'!$B$21+'Inputs'!$B$7+'Inputs'!$B$10))/SQRT((((275-43)*MAX('Inputs'!$B$33,'Inputs'!$B$29+'Inputs'!$B$31+'Inputs'!$B$32,'Inputs'!$B$30+'Inputs'!$B$31+'Inputs'!$B$32)/1000+'Inputs'!$B$21+'Inputs'!$B$7+'Inputs'!$B$10))^2+('Inputs'!$B$8/2)^2))))*'Results'!$B$8)-'Inputs'!$B$28*ABS((('Results'!B7*(1-'Inputs'!$B$24)*(0.5*((((275-43)*MAX('Inputs'!$B$33,'Inputs'!$B$29+'Inputs'!$B$31+'Inputs'!$B$32,'Inputs'!$B$30+'Inputs'!$B$31+'Inputs'!$B$32)/1000+'Inputs'!$B$21)+'Inputs'!$B$7)/SQRT((((275-43)*MAX('Inputs'!$B$33,'Inputs'!$B$29+'Inputs'!$B$31+'Inputs'!$B$32,'Inputs'!$B$30+'Inputs'!$B$31+'Inputs'!$B$32)/1000+'Inputs'!$B$21)+'Inputs'!$B$7)^2+('Inputs'!$B$6/2)^2)-(((275-43)*MAX('Inputs'!$B$33,'Inputs'!$B$29+'Inputs'!$B$31+'Inputs'!$B$32,'Inputs'!$B$30+'Inputs'!$B$31+'Inputs'!$B$32)/1000+'Inputs'!$B$21))/SQRT((((275-43)*MAX('Inputs'!$B$33,'Inputs'!$B$29+'Inputs'!$B$31+'Inputs'!$B$32,'Inputs'!$B$30+'Inputs'!$B$31+'Inputs'!$B$32)/1000+'Inputs'!$B$21))^2+('Inputs'!$B$6/2)^2)))-'Results'!C7*(1+'Inputs'!$B$24)*(0.5*((((275-43)*MAX('Inputs'!$B$33,'Inputs'!$B$29+'Inputs'!$B$31+'Inputs'!$B$32,'Inputs'!$B$30+'Inputs'!$B$31+'Inputs'!$B$32)/1000+'Inputs'!$B$21+'Inputs'!$B$7+'Inputs'!$B$10)+'Inputs'!$B$9)/SQRT((((275-43)*MAX('Inputs'!$B$33,'Inputs'!$B$29+'Inputs'!$B$31+'Inputs'!$B$32,'Inputs'!$B$30+'Inputs'!$B$31+'Inputs'!$B$32)/1000+'Inputs'!$B$21+'Inputs'!$B$7+'Inputs'!$B$10)+'Inputs'!$B$9)^2+('Inputs'!$B$8/2)^2)-(((275-43)*MAX('Inputs'!$B$33,'Inputs'!$B$29+'Inputs'!$B$31+'Inputs'!$B$32,'Inputs'!$B$30+'Inputs'!$B$31+'Inputs'!$B$32)/1000+'Inputs'!$B$21+'Inputs'!$B$7+'Inputs'!$B$10))/SQRT((((275-43)*MAX('Inputs'!$B$33,'Inputs'!$B$29+'Inputs'!$B$31+'Inputs'!$B$32,'Inputs'!$B$30+'Inputs'!$B$31+'Inputs'!$B$32)/1000+'Inputs'!$B$21+'Inputs'!$B$7+'Inputs'!$B$10))^2+('Inputs'!$B$8/2)^2))))*'Results'!$B$8))),"")</x:f>
        <x:v>43.882952679967325</x:v>
      </x:c>
      <x:c r="L275" t="n">
        <x:f>IF(AND(ISNUMBER('Results'!B7),ISNUMBER('Results'!C7),ISNUMBER('Results'!$B$8),ISNUMBER('Inputs'!$B$6),ISNUMBER('Inputs'!$B$7),ISNUMBER('Inputs'!$B$8),ISNUMBER('Inputs'!$B$9),ISNUMBER('Inputs'!$B$10),ISNUMBER('Inputs'!$B$21),ISNUMBER('Inputs'!$B$24),ISNUMBER('Inputs'!$B$28)),((('Results'!B7*(1+'Inputs'!$B$24)*(0.5*((((275-43)*MAX('Inputs'!$B$33,'Inputs'!$B$29+'Inputs'!$B$31+'Inputs'!$B$32,'Inputs'!$B$30+'Inputs'!$B$31+'Inputs'!$B$32)/1000+'Inputs'!$B$21)+'Inputs'!$B$7)/SQRT((((275-43)*MAX('Inputs'!$B$33,'Inputs'!$B$29+'Inputs'!$B$31+'Inputs'!$B$32,'Inputs'!$B$30+'Inputs'!$B$31+'Inputs'!$B$32)/1000+'Inputs'!$B$21)+'Inputs'!$B$7)^2+('Inputs'!$B$6/2)^2)-(((275-43)*MAX('Inputs'!$B$33,'Inputs'!$B$29+'Inputs'!$B$31+'Inputs'!$B$32,'Inputs'!$B$30+'Inputs'!$B$31+'Inputs'!$B$32)/1000+'Inputs'!$B$21))/SQRT((((275-43)*MAX('Inputs'!$B$33,'Inputs'!$B$29+'Inputs'!$B$31+'Inputs'!$B$32,'Inputs'!$B$30+'Inputs'!$B$31+'Inputs'!$B$32)/1000+'Inputs'!$B$21))^2+('Inputs'!$B$6/2)^2)))-'Results'!C7*(1-'Inputs'!$B$24)*(0.5*((((275-43)*MAX('Inputs'!$B$33,'Inputs'!$B$29+'Inputs'!$B$31+'Inputs'!$B$32,'Inputs'!$B$30+'Inputs'!$B$31+'Inputs'!$B$32)/1000+'Inputs'!$B$21+'Inputs'!$B$7+'Inputs'!$B$10)+'Inputs'!$B$9)/SQRT((((275-43)*MAX('Inputs'!$B$33,'Inputs'!$B$29+'Inputs'!$B$31+'Inputs'!$B$32,'Inputs'!$B$30+'Inputs'!$B$31+'Inputs'!$B$32)/1000+'Inputs'!$B$21+'Inputs'!$B$7+'Inputs'!$B$10)+'Inputs'!$B$9)^2+('Inputs'!$B$8/2)^2)-(((275-43)*MAX('Inputs'!$B$33,'Inputs'!$B$29+'Inputs'!$B$31+'Inputs'!$B$32,'Inputs'!$B$30+'Inputs'!$B$31+'Inputs'!$B$32)/1000+'Inputs'!$B$21+'Inputs'!$B$7+'Inputs'!$B$10))/SQRT((((275-43)*MAX('Inputs'!$B$33,'Inputs'!$B$29+'Inputs'!$B$31+'Inputs'!$B$32,'Inputs'!$B$30+'Inputs'!$B$31+'Inputs'!$B$32)/1000+'Inputs'!$B$21+'Inputs'!$B$7+'Inputs'!$B$10))^2+('Inputs'!$B$8/2)^2))))*'Results'!$B$8)+'Inputs'!$B$28*ABS((('Results'!B7*(1+'Inputs'!$B$24)*(0.5*((((275-43)*MAX('Inputs'!$B$33,'Inputs'!$B$29+'Inputs'!$B$31+'Inputs'!$B$32,'Inputs'!$B$30+'Inputs'!$B$31+'Inputs'!$B$32)/1000+'Inputs'!$B$21)+'Inputs'!$B$7)/SQRT((((275-43)*MAX('Inputs'!$B$33,'Inputs'!$B$29+'Inputs'!$B$31+'Inputs'!$B$32,'Inputs'!$B$30+'Inputs'!$B$31+'Inputs'!$B$32)/1000+'Inputs'!$B$21)+'Inputs'!$B$7)^2+('Inputs'!$B$6/2)^2)-(((275-43)*MAX('Inputs'!$B$33,'Inputs'!$B$29+'Inputs'!$B$31+'Inputs'!$B$32,'Inputs'!$B$30+'Inputs'!$B$31+'Inputs'!$B$32)/1000+'Inputs'!$B$21))/SQRT((((275-43)*MAX('Inputs'!$B$33,'Inputs'!$B$29+'Inputs'!$B$31+'Inputs'!$B$32,'Inputs'!$B$30+'Inputs'!$B$31+'Inputs'!$B$32)/1000+'Inputs'!$B$21))^2+('Inputs'!$B$6/2)^2)))-'Results'!C7*(1-'Inputs'!$B$24)*(0.5*((((275-43)*MAX('Inputs'!$B$33,'Inputs'!$B$29+'Inputs'!$B$31+'Inputs'!$B$32,'Inputs'!$B$30+'Inputs'!$B$31+'Inputs'!$B$32)/1000+'Inputs'!$B$21+'Inputs'!$B$7+'Inputs'!$B$10)+'Inputs'!$B$9)/SQRT((((275-43)*MAX('Inputs'!$B$33,'Inputs'!$B$29+'Inputs'!$B$31+'Inputs'!$B$32,'Inputs'!$B$30+'Inputs'!$B$31+'Inputs'!$B$32)/1000+'Inputs'!$B$21+'Inputs'!$B$7+'Inputs'!$B$10)+'Inputs'!$B$9)^2+('Inputs'!$B$8/2)^2)-(((275-43)*MAX('Inputs'!$B$33,'Inputs'!$B$29+'Inputs'!$B$31+'Inputs'!$B$32,'Inputs'!$B$30+'Inputs'!$B$31+'Inputs'!$B$32)/1000+'Inputs'!$B$21+'Inputs'!$B$7+'Inputs'!$B$10))/SQRT((((275-43)*MAX('Inputs'!$B$33,'Inputs'!$B$29+'Inputs'!$B$31+'Inputs'!$B$32,'Inputs'!$B$30+'Inputs'!$B$31+'Inputs'!$B$32)/1000+'Inputs'!$B$21+'Inputs'!$B$7+'Inputs'!$B$10))^2+('Inputs'!$B$8/2)^2))))*'Results'!$B$8))),"")</x:f>
        <x:v>52.612344937024616</x:v>
      </x:c>
      <x:c r="M275" t="n">
        <x:f>IF(AND(ISNUMBER('Results'!C7),ISNUMBER('Results'!B7),ISNUMBER('Results'!$B$8),ISNUMBER('Inputs'!$B$6),ISNUMBER('Inputs'!$B$7),ISNUMBER('Inputs'!$B$8),ISNUMBER('Inputs'!$B$9),ISNUMBER('Inputs'!$B$10),ISNUMBER('Inputs'!$B$21),ISNUMBER('Inputs'!$B$24),ISNUMBER('Inputs'!$B$28)),(('Results'!C7*(0.5*((((275-43)*MAX('Inputs'!$B$33,'Inputs'!$B$29+'Inputs'!$B$31+'Inputs'!$B$32,'Inputs'!$B$30+'Inputs'!$B$31+'Inputs'!$B$32)/1000+'Inputs'!$B$21)+'Inputs'!$B$9)/SQRT((((275-43)*MAX('Inputs'!$B$33,'Inputs'!$B$29+'Inputs'!$B$31+'Inputs'!$B$32,'Inputs'!$B$30+'Inputs'!$B$31+'Inputs'!$B$32)/1000+'Inputs'!$B$21)+'Inputs'!$B$9)^2+('Inputs'!$B$8/2)^2)-(((275-43)*MAX('Inputs'!$B$33,'Inputs'!$B$29+'Inputs'!$B$31+'Inputs'!$B$32,'Inputs'!$B$30+'Inputs'!$B$31+'Inputs'!$B$32)/1000+'Inputs'!$B$21))/SQRT((((275-43)*MAX('Inputs'!$B$33,'Inputs'!$B$29+'Inputs'!$B$31+'Inputs'!$B$32,'Inputs'!$B$30+'Inputs'!$B$31+'Inputs'!$B$32)/1000+'Inputs'!$B$21))^2+('Inputs'!$B$8/2)^2)))-'Results'!B7*(0.5*((((275-43)*MAX('Inputs'!$B$33,'Inputs'!$B$29+'Inputs'!$B$31+'Inputs'!$B$32,'Inputs'!$B$30+'Inputs'!$B$31+'Inputs'!$B$32)/1000+'Inputs'!$B$21+'Inputs'!$B$9+'Inputs'!$B$10)+'Inputs'!$B$7)/SQRT((((275-43)*MAX('Inputs'!$B$33,'Inputs'!$B$29+'Inputs'!$B$31+'Inputs'!$B$32,'Inputs'!$B$30+'Inputs'!$B$31+'Inputs'!$B$32)/1000+'Inputs'!$B$21+'Inputs'!$B$9+'Inputs'!$B$10)+'Inputs'!$B$7)^2+('Inputs'!$B$6/2)^2)-(((275-43)*MAX('Inputs'!$B$33,'Inputs'!$B$29+'Inputs'!$B$31+'Inputs'!$B$32,'Inputs'!$B$30+'Inputs'!$B$31+'Inputs'!$B$32)/1000+'Inputs'!$B$21+'Inputs'!$B$9+'Inputs'!$B$10))/SQRT((((275-43)*MAX('Inputs'!$B$33,'Inputs'!$B$29+'Inputs'!$B$31+'Inputs'!$B$32,'Inputs'!$B$30+'Inputs'!$B$31+'Inputs'!$B$32)/1000+'Inputs'!$B$21+'Inputs'!$B$9+'Inputs'!$B$10))^2+('Inputs'!$B$6/2)^2))))*'Results'!$B$8),"")</x:f>
        <x:v>46.18243675884176</x:v>
      </x:c>
      <x:c r="N275" t="n">
        <x:f>IF(AND(ISNUMBER('Results'!C7),ISNUMBER('Results'!B7),ISNUMBER('Results'!$B$8),ISNUMBER('Inputs'!$B$6),ISNUMBER('Inputs'!$B$7),ISNUMBER('Inputs'!$B$8),ISNUMBER('Inputs'!$B$9),ISNUMBER('Inputs'!$B$10),ISNUMBER('Inputs'!$B$21),ISNUMBER('Inputs'!$B$24),ISNUMBER('Inputs'!$B$28)),((('Results'!C7*(1-'Inputs'!$B$24)*(0.5*((((275-43)*MAX('Inputs'!$B$33,'Inputs'!$B$29+'Inputs'!$B$31+'Inputs'!$B$32,'Inputs'!$B$30+'Inputs'!$B$31+'Inputs'!$B$32)/1000+'Inputs'!$B$21)+'Inputs'!$B$9)/SQRT((((275-43)*MAX('Inputs'!$B$33,'Inputs'!$B$29+'Inputs'!$B$31+'Inputs'!$B$32,'Inputs'!$B$30+'Inputs'!$B$31+'Inputs'!$B$32)/1000+'Inputs'!$B$21)+'Inputs'!$B$9)^2+('Inputs'!$B$8/2)^2)-(((275-43)*MAX('Inputs'!$B$33,'Inputs'!$B$29+'Inputs'!$B$31+'Inputs'!$B$32,'Inputs'!$B$30+'Inputs'!$B$31+'Inputs'!$B$32)/1000+'Inputs'!$B$21))/SQRT((((275-43)*MAX('Inputs'!$B$33,'Inputs'!$B$29+'Inputs'!$B$31+'Inputs'!$B$32,'Inputs'!$B$30+'Inputs'!$B$31+'Inputs'!$B$32)/1000+'Inputs'!$B$21))^2+('Inputs'!$B$8/2)^2)))-'Results'!B7*(1+'Inputs'!$B$24)*(0.5*((((275-43)*MAX('Inputs'!$B$33,'Inputs'!$B$29+'Inputs'!$B$31+'Inputs'!$B$32,'Inputs'!$B$30+'Inputs'!$B$31+'Inputs'!$B$32)/1000+'Inputs'!$B$21+'Inputs'!$B$9+'Inputs'!$B$10)+'Inputs'!$B$7)/SQRT((((275-43)*MAX('Inputs'!$B$33,'Inputs'!$B$29+'Inputs'!$B$31+'Inputs'!$B$32,'Inputs'!$B$30+'Inputs'!$B$31+'Inputs'!$B$32)/1000+'Inputs'!$B$21+'Inputs'!$B$9+'Inputs'!$B$10)+'Inputs'!$B$7)^2+('Inputs'!$B$6/2)^2)-(((275-43)*MAX('Inputs'!$B$33,'Inputs'!$B$29+'Inputs'!$B$31+'Inputs'!$B$32,'Inputs'!$B$30+'Inputs'!$B$31+'Inputs'!$B$32)/1000+'Inputs'!$B$21+'Inputs'!$B$9+'Inputs'!$B$10))/SQRT((((275-43)*MAX('Inputs'!$B$33,'Inputs'!$B$29+'Inputs'!$B$31+'Inputs'!$B$32,'Inputs'!$B$30+'Inputs'!$B$31+'Inputs'!$B$32)/1000+'Inputs'!$B$21+'Inputs'!$B$9+'Inputs'!$B$10))^2+('Inputs'!$B$6/2)^2))))*'Results'!$B$8)-'Inputs'!$B$28*ABS((('Results'!C7*(1-'Inputs'!$B$24)*(0.5*((((275-43)*MAX('Inputs'!$B$33,'Inputs'!$B$29+'Inputs'!$B$31+'Inputs'!$B$32,'Inputs'!$B$30+'Inputs'!$B$31+'Inputs'!$B$32)/1000+'Inputs'!$B$21)+'Inputs'!$B$9)/SQRT((((275-43)*MAX('Inputs'!$B$33,'Inputs'!$B$29+'Inputs'!$B$31+'Inputs'!$B$32,'Inputs'!$B$30+'Inputs'!$B$31+'Inputs'!$B$32)/1000+'Inputs'!$B$21)+'Inputs'!$B$9)^2+('Inputs'!$B$8/2)^2)-(((275-43)*MAX('Inputs'!$B$33,'Inputs'!$B$29+'Inputs'!$B$31+'Inputs'!$B$32,'Inputs'!$B$30+'Inputs'!$B$31+'Inputs'!$B$32)/1000+'Inputs'!$B$21))/SQRT((((275-43)*MAX('Inputs'!$B$33,'Inputs'!$B$29+'Inputs'!$B$31+'Inputs'!$B$32,'Inputs'!$B$30+'Inputs'!$B$31+'Inputs'!$B$32)/1000+'Inputs'!$B$21))^2+('Inputs'!$B$8/2)^2)))-'Results'!B7*(1+'Inputs'!$B$24)*(0.5*((((275-43)*MAX('Inputs'!$B$33,'Inputs'!$B$29+'Inputs'!$B$31+'Inputs'!$B$32,'Inputs'!$B$30+'Inputs'!$B$31+'Inputs'!$B$32)/1000+'Inputs'!$B$21+'Inputs'!$B$9+'Inputs'!$B$10)+'Inputs'!$B$7)/SQRT((((275-43)*MAX('Inputs'!$B$33,'Inputs'!$B$29+'Inputs'!$B$31+'Inputs'!$B$32,'Inputs'!$B$30+'Inputs'!$B$31+'Inputs'!$B$32)/1000+'Inputs'!$B$21+'Inputs'!$B$9+'Inputs'!$B$10)+'Inputs'!$B$7)^2+('Inputs'!$B$6/2)^2)-(((275-43)*MAX('Inputs'!$B$33,'Inputs'!$B$29+'Inputs'!$B$31+'Inputs'!$B$32,'Inputs'!$B$30+'Inputs'!$B$31+'Inputs'!$B$32)/1000+'Inputs'!$B$21+'Inputs'!$B$9+'Inputs'!$B$10))/SQRT((((275-43)*MAX('Inputs'!$B$33,'Inputs'!$B$29+'Inputs'!$B$31+'Inputs'!$B$32,'Inputs'!$B$30+'Inputs'!$B$31+'Inputs'!$B$32)/1000+'Inputs'!$B$21+'Inputs'!$B$9+'Inputs'!$B$10))^2+('Inputs'!$B$6/2)^2))))*'Results'!$B$8))),"")</x:f>
        <x:v>42.03207271571546</x:v>
      </x:c>
      <x:c r="O275" t="n">
        <x:f>IF(AND(ISNUMBER('Results'!C7),ISNUMBER('Results'!B7),ISNUMBER('Results'!$B$8),ISNUMBER('Inputs'!$B$6),ISNUMBER('Inputs'!$B$7),ISNUMBER('Inputs'!$B$8),ISNUMBER('Inputs'!$B$9),ISNUMBER('Inputs'!$B$10),ISNUMBER('Inputs'!$B$21),ISNUMBER('Inputs'!$B$24),ISNUMBER('Inputs'!$B$28)),((('Results'!C7*(1+'Inputs'!$B$24)*(0.5*((((275-43)*MAX('Inputs'!$B$33,'Inputs'!$B$29+'Inputs'!$B$31+'Inputs'!$B$32,'Inputs'!$B$30+'Inputs'!$B$31+'Inputs'!$B$32)/1000+'Inputs'!$B$21)+'Inputs'!$B$9)/SQRT((((275-43)*MAX('Inputs'!$B$33,'Inputs'!$B$29+'Inputs'!$B$31+'Inputs'!$B$32,'Inputs'!$B$30+'Inputs'!$B$31+'Inputs'!$B$32)/1000+'Inputs'!$B$21)+'Inputs'!$B$9)^2+('Inputs'!$B$8/2)^2)-(((275-43)*MAX('Inputs'!$B$33,'Inputs'!$B$29+'Inputs'!$B$31+'Inputs'!$B$32,'Inputs'!$B$30+'Inputs'!$B$31+'Inputs'!$B$32)/1000+'Inputs'!$B$21))/SQRT((((275-43)*MAX('Inputs'!$B$33,'Inputs'!$B$29+'Inputs'!$B$31+'Inputs'!$B$32,'Inputs'!$B$30+'Inputs'!$B$31+'Inputs'!$B$32)/1000+'Inputs'!$B$21))^2+('Inputs'!$B$8/2)^2)))-'Results'!B7*(1-'Inputs'!$B$24)*(0.5*((((275-43)*MAX('Inputs'!$B$33,'Inputs'!$B$29+'Inputs'!$B$31+'Inputs'!$B$32,'Inputs'!$B$30+'Inputs'!$B$31+'Inputs'!$B$32)/1000+'Inputs'!$B$21+'Inputs'!$B$9+'Inputs'!$B$10)+'Inputs'!$B$7)/SQRT((((275-43)*MAX('Inputs'!$B$33,'Inputs'!$B$29+'Inputs'!$B$31+'Inputs'!$B$32,'Inputs'!$B$30+'Inputs'!$B$31+'Inputs'!$B$32)/1000+'Inputs'!$B$21+'Inputs'!$B$9+'Inputs'!$B$10)+'Inputs'!$B$7)^2+('Inputs'!$B$6/2)^2)-(((275-43)*MAX('Inputs'!$B$33,'Inputs'!$B$29+'Inputs'!$B$31+'Inputs'!$B$32,'Inputs'!$B$30+'Inputs'!$B$31+'Inputs'!$B$32)/1000+'Inputs'!$B$21+'Inputs'!$B$9+'Inputs'!$B$10))/SQRT((((275-43)*MAX('Inputs'!$B$33,'Inputs'!$B$29+'Inputs'!$B$31+'Inputs'!$B$32,'Inputs'!$B$30+'Inputs'!$B$31+'Inputs'!$B$32)/1000+'Inputs'!$B$21+'Inputs'!$B$9+'Inputs'!$B$10))^2+('Inputs'!$B$6/2)^2))))*'Results'!$B$8)+'Inputs'!$B$28*ABS((('Results'!C7*(1+'Inputs'!$B$24)*(0.5*((((275-43)*MAX('Inputs'!$B$33,'Inputs'!$B$29+'Inputs'!$B$31+'Inputs'!$B$32,'Inputs'!$B$30+'Inputs'!$B$31+'Inputs'!$B$32)/1000+'Inputs'!$B$21)+'Inputs'!$B$9)/SQRT((((275-43)*MAX('Inputs'!$B$33,'Inputs'!$B$29+'Inputs'!$B$31+'Inputs'!$B$32,'Inputs'!$B$30+'Inputs'!$B$31+'Inputs'!$B$32)/1000+'Inputs'!$B$21)+'Inputs'!$B$9)^2+('Inputs'!$B$8/2)^2)-(((275-43)*MAX('Inputs'!$B$33,'Inputs'!$B$29+'Inputs'!$B$31+'Inputs'!$B$32,'Inputs'!$B$30+'Inputs'!$B$31+'Inputs'!$B$32)/1000+'Inputs'!$B$21))/SQRT((((275-43)*MAX('Inputs'!$B$33,'Inputs'!$B$29+'Inputs'!$B$31+'Inputs'!$B$32,'Inputs'!$B$30+'Inputs'!$B$31+'Inputs'!$B$32)/1000+'Inputs'!$B$21))^2+('Inputs'!$B$8/2)^2)))-'Results'!B7*(1-'Inputs'!$B$24)*(0.5*((((275-43)*MAX('Inputs'!$B$33,'Inputs'!$B$29+'Inputs'!$B$31+'Inputs'!$B$32,'Inputs'!$B$30+'Inputs'!$B$31+'Inputs'!$B$32)/1000+'Inputs'!$B$21+'Inputs'!$B$9+'Inputs'!$B$10)+'Inputs'!$B$7)/SQRT((((275-43)*MAX('Inputs'!$B$33,'Inputs'!$B$29+'Inputs'!$B$31+'Inputs'!$B$32,'Inputs'!$B$30+'Inputs'!$B$31+'Inputs'!$B$32)/1000+'Inputs'!$B$21+'Inputs'!$B$9+'Inputs'!$B$10)+'Inputs'!$B$7)^2+('Inputs'!$B$6/2)^2)-(((275-43)*MAX('Inputs'!$B$33,'Inputs'!$B$29+'Inputs'!$B$31+'Inputs'!$B$32,'Inputs'!$B$30+'Inputs'!$B$31+'Inputs'!$B$32)/1000+'Inputs'!$B$21+'Inputs'!$B$9+'Inputs'!$B$10))/SQRT((((275-43)*MAX('Inputs'!$B$33,'Inputs'!$B$29+'Inputs'!$B$31+'Inputs'!$B$32,'Inputs'!$B$30+'Inputs'!$B$31+'Inputs'!$B$32)/1000+'Inputs'!$B$21+'Inputs'!$B$9+'Inputs'!$B$10))^2+('Inputs'!$B$6/2)^2))))*'Results'!$B$8))),"")</x:f>
        <x:v>50.52661577093484</x:v>
      </x:c>
      <x:c r="P275" t="n">
        <x:f>IF(AND(MAX(J275,J274)&gt;0,J275&gt;J274+0.00000001),1,0)</x:f>
        <x:v>0</x:v>
      </x:c>
      <x:c r="Q275" t="n">
        <x:f>IF(AND(MAX(K275,K274)&gt;0,K275&gt;K274+0.00000001),1,0)</x:f>
        <x:v>0</x:v>
      </x:c>
      <x:c r="R275" t="n">
        <x:f>IF(AND(MAX(L275,L274)&gt;0,L275&gt;L274+0.00000001),1,0)</x:f>
        <x:v>0</x:v>
      </x:c>
      <x:c r="S275" t="n">
        <x:f>IF(AND(MAX(M275,M274)&gt;0,M275&gt;M274+0.00000001),1,0)</x:f>
        <x:v>0</x:v>
      </x:c>
      <x:c r="T275" t="n">
        <x:f>IF(AND(MAX(N275,N274)&gt;0,N275&gt;N274+0.00000001),1,0)</x:f>
        <x:v>0</x:v>
      </x:c>
      <x:c r="U275" t="n">
        <x:f>IF(AND(MAX(O275,O274)&gt;0,O275&gt;O274+0.00000001),1,0)</x:f>
        <x:v>0</x:v>
      </x:c>
    </x:row>
    <x:row r="276">
      <x:c r="J276" t="n">
        <x:f>IF(AND(ISNUMBER('Results'!B7),ISNUMBER('Results'!C7),ISNUMBER('Results'!$B$8),ISNUMBER('Inputs'!$B$6),ISNUMBER('Inputs'!$B$7),ISNUMBER('Inputs'!$B$8),ISNUMBER('Inputs'!$B$9),ISNUMBER('Inputs'!$B$10),ISNUMBER('Inputs'!$B$21),ISNUMBER('Inputs'!$B$24),ISNUMBER('Inputs'!$B$28)),(('Results'!B7*(0.5*((((276-43)*MAX('Inputs'!$B$33,'Inputs'!$B$29+'Inputs'!$B$31+'Inputs'!$B$32,'Inputs'!$B$30+'Inputs'!$B$31+'Inputs'!$B$32)/1000+'Inputs'!$B$21)+'Inputs'!$B$7)/SQRT((((276-43)*MAX('Inputs'!$B$33,'Inputs'!$B$29+'Inputs'!$B$31+'Inputs'!$B$32,'Inputs'!$B$30+'Inputs'!$B$31+'Inputs'!$B$32)/1000+'Inputs'!$B$21)+'Inputs'!$B$7)^2+('Inputs'!$B$6/2)^2)-(((276-43)*MAX('Inputs'!$B$33,'Inputs'!$B$29+'Inputs'!$B$31+'Inputs'!$B$32,'Inputs'!$B$30+'Inputs'!$B$31+'Inputs'!$B$32)/1000+'Inputs'!$B$21))/SQRT((((276-43)*MAX('Inputs'!$B$33,'Inputs'!$B$29+'Inputs'!$B$31+'Inputs'!$B$32,'Inputs'!$B$30+'Inputs'!$B$31+'Inputs'!$B$32)/1000+'Inputs'!$B$21))^2+('Inputs'!$B$6/2)^2)))-'Results'!C7*(0.5*((((276-43)*MAX('Inputs'!$B$33,'Inputs'!$B$29+'Inputs'!$B$31+'Inputs'!$B$32,'Inputs'!$B$30+'Inputs'!$B$31+'Inputs'!$B$32)/1000+'Inputs'!$B$21+'Inputs'!$B$7+'Inputs'!$B$10)+'Inputs'!$B$9)/SQRT((((276-43)*MAX('Inputs'!$B$33,'Inputs'!$B$29+'Inputs'!$B$31+'Inputs'!$B$32,'Inputs'!$B$30+'Inputs'!$B$31+'Inputs'!$B$32)/1000+'Inputs'!$B$21+'Inputs'!$B$7+'Inputs'!$B$10)+'Inputs'!$B$9)^2+('Inputs'!$B$8/2)^2)-(((276-43)*MAX('Inputs'!$B$33,'Inputs'!$B$29+'Inputs'!$B$31+'Inputs'!$B$32,'Inputs'!$B$30+'Inputs'!$B$31+'Inputs'!$B$32)/1000+'Inputs'!$B$21+'Inputs'!$B$7+'Inputs'!$B$10))/SQRT((((276-43)*MAX('Inputs'!$B$33,'Inputs'!$B$29+'Inputs'!$B$31+'Inputs'!$B$32,'Inputs'!$B$30+'Inputs'!$B$31+'Inputs'!$B$32)/1000+'Inputs'!$B$21+'Inputs'!$B$7+'Inputs'!$B$10))^2+('Inputs'!$B$8/2)^2))))*'Results'!$B$8),"")</x:f>
        <x:v>47.55367483612576</x:v>
      </x:c>
      <x:c r="K276" t="n">
        <x:f>IF(AND(ISNUMBER('Results'!B7),ISNUMBER('Results'!C7),ISNUMBER('Results'!$B$8),ISNUMBER('Inputs'!$B$6),ISNUMBER('Inputs'!$B$7),ISNUMBER('Inputs'!$B$8),ISNUMBER('Inputs'!$B$9),ISNUMBER('Inputs'!$B$10),ISNUMBER('Inputs'!$B$21),ISNUMBER('Inputs'!$B$24),ISNUMBER('Inputs'!$B$28)),((('Results'!B7*(1-'Inputs'!$B$24)*(0.5*((((276-43)*MAX('Inputs'!$B$33,'Inputs'!$B$29+'Inputs'!$B$31+'Inputs'!$B$32,'Inputs'!$B$30+'Inputs'!$B$31+'Inputs'!$B$32)/1000+'Inputs'!$B$21)+'Inputs'!$B$7)/SQRT((((276-43)*MAX('Inputs'!$B$33,'Inputs'!$B$29+'Inputs'!$B$31+'Inputs'!$B$32,'Inputs'!$B$30+'Inputs'!$B$31+'Inputs'!$B$32)/1000+'Inputs'!$B$21)+'Inputs'!$B$7)^2+('Inputs'!$B$6/2)^2)-(((276-43)*MAX('Inputs'!$B$33,'Inputs'!$B$29+'Inputs'!$B$31+'Inputs'!$B$32,'Inputs'!$B$30+'Inputs'!$B$31+'Inputs'!$B$32)/1000+'Inputs'!$B$21))/SQRT((((276-43)*MAX('Inputs'!$B$33,'Inputs'!$B$29+'Inputs'!$B$31+'Inputs'!$B$32,'Inputs'!$B$30+'Inputs'!$B$31+'Inputs'!$B$32)/1000+'Inputs'!$B$21))^2+('Inputs'!$B$6/2)^2)))-'Results'!C7*(1+'Inputs'!$B$24)*(0.5*((((276-43)*MAX('Inputs'!$B$33,'Inputs'!$B$29+'Inputs'!$B$31+'Inputs'!$B$32,'Inputs'!$B$30+'Inputs'!$B$31+'Inputs'!$B$32)/1000+'Inputs'!$B$21+'Inputs'!$B$7+'Inputs'!$B$10)+'Inputs'!$B$9)/SQRT((((276-43)*MAX('Inputs'!$B$33,'Inputs'!$B$29+'Inputs'!$B$31+'Inputs'!$B$32,'Inputs'!$B$30+'Inputs'!$B$31+'Inputs'!$B$32)/1000+'Inputs'!$B$21+'Inputs'!$B$7+'Inputs'!$B$10)+'Inputs'!$B$9)^2+('Inputs'!$B$8/2)^2)-(((276-43)*MAX('Inputs'!$B$33,'Inputs'!$B$29+'Inputs'!$B$31+'Inputs'!$B$32,'Inputs'!$B$30+'Inputs'!$B$31+'Inputs'!$B$32)/1000+'Inputs'!$B$21+'Inputs'!$B$7+'Inputs'!$B$10))/SQRT((((276-43)*MAX('Inputs'!$B$33,'Inputs'!$B$29+'Inputs'!$B$31+'Inputs'!$B$32,'Inputs'!$B$30+'Inputs'!$B$31+'Inputs'!$B$32)/1000+'Inputs'!$B$21+'Inputs'!$B$7+'Inputs'!$B$10))^2+('Inputs'!$B$8/2)^2))))*'Results'!$B$8)-'Inputs'!$B$28*ABS((('Results'!B7*(1-'Inputs'!$B$24)*(0.5*((((276-43)*MAX('Inputs'!$B$33,'Inputs'!$B$29+'Inputs'!$B$31+'Inputs'!$B$32,'Inputs'!$B$30+'Inputs'!$B$31+'Inputs'!$B$32)/1000+'Inputs'!$B$21)+'Inputs'!$B$7)/SQRT((((276-43)*MAX('Inputs'!$B$33,'Inputs'!$B$29+'Inputs'!$B$31+'Inputs'!$B$32,'Inputs'!$B$30+'Inputs'!$B$31+'Inputs'!$B$32)/1000+'Inputs'!$B$21)+'Inputs'!$B$7)^2+('Inputs'!$B$6/2)^2)-(((276-43)*MAX('Inputs'!$B$33,'Inputs'!$B$29+'Inputs'!$B$31+'Inputs'!$B$32,'Inputs'!$B$30+'Inputs'!$B$31+'Inputs'!$B$32)/1000+'Inputs'!$B$21))/SQRT((((276-43)*MAX('Inputs'!$B$33,'Inputs'!$B$29+'Inputs'!$B$31+'Inputs'!$B$32,'Inputs'!$B$30+'Inputs'!$B$31+'Inputs'!$B$32)/1000+'Inputs'!$B$21))^2+('Inputs'!$B$6/2)^2)))-'Results'!C7*(1+'Inputs'!$B$24)*(0.5*((((276-43)*MAX('Inputs'!$B$33,'Inputs'!$B$29+'Inputs'!$B$31+'Inputs'!$B$32,'Inputs'!$B$30+'Inputs'!$B$31+'Inputs'!$B$32)/1000+'Inputs'!$B$21+'Inputs'!$B$7+'Inputs'!$B$10)+'Inputs'!$B$9)/SQRT((((276-43)*MAX('Inputs'!$B$33,'Inputs'!$B$29+'Inputs'!$B$31+'Inputs'!$B$32,'Inputs'!$B$30+'Inputs'!$B$31+'Inputs'!$B$32)/1000+'Inputs'!$B$21+'Inputs'!$B$7+'Inputs'!$B$10)+'Inputs'!$B$9)^2+('Inputs'!$B$8/2)^2)-(((276-43)*MAX('Inputs'!$B$33,'Inputs'!$B$29+'Inputs'!$B$31+'Inputs'!$B$32,'Inputs'!$B$30+'Inputs'!$B$31+'Inputs'!$B$32)/1000+'Inputs'!$B$21+'Inputs'!$B$7+'Inputs'!$B$10))/SQRT((((276-43)*MAX('Inputs'!$B$33,'Inputs'!$B$29+'Inputs'!$B$31+'Inputs'!$B$32,'Inputs'!$B$30+'Inputs'!$B$31+'Inputs'!$B$32)/1000+'Inputs'!$B$21+'Inputs'!$B$7+'Inputs'!$B$10))^2+('Inputs'!$B$8/2)^2))))*'Results'!$B$8))),"")</x:f>
        <x:v>43.33534154449075</x:v>
      </x:c>
      <x:c r="L276" t="n">
        <x:f>IF(AND(ISNUMBER('Results'!B7),ISNUMBER('Results'!C7),ISNUMBER('Results'!$B$8),ISNUMBER('Inputs'!$B$6),ISNUMBER('Inputs'!$B$7),ISNUMBER('Inputs'!$B$8),ISNUMBER('Inputs'!$B$9),ISNUMBER('Inputs'!$B$10),ISNUMBER('Inputs'!$B$21),ISNUMBER('Inputs'!$B$24),ISNUMBER('Inputs'!$B$28)),((('Results'!B7*(1+'Inputs'!$B$24)*(0.5*((((276-43)*MAX('Inputs'!$B$33,'Inputs'!$B$29+'Inputs'!$B$31+'Inputs'!$B$32,'Inputs'!$B$30+'Inputs'!$B$31+'Inputs'!$B$32)/1000+'Inputs'!$B$21)+'Inputs'!$B$7)/SQRT((((276-43)*MAX('Inputs'!$B$33,'Inputs'!$B$29+'Inputs'!$B$31+'Inputs'!$B$32,'Inputs'!$B$30+'Inputs'!$B$31+'Inputs'!$B$32)/1000+'Inputs'!$B$21)+'Inputs'!$B$7)^2+('Inputs'!$B$6/2)^2)-(((276-43)*MAX('Inputs'!$B$33,'Inputs'!$B$29+'Inputs'!$B$31+'Inputs'!$B$32,'Inputs'!$B$30+'Inputs'!$B$31+'Inputs'!$B$32)/1000+'Inputs'!$B$21))/SQRT((((276-43)*MAX('Inputs'!$B$33,'Inputs'!$B$29+'Inputs'!$B$31+'Inputs'!$B$32,'Inputs'!$B$30+'Inputs'!$B$31+'Inputs'!$B$32)/1000+'Inputs'!$B$21))^2+('Inputs'!$B$6/2)^2)))-'Results'!C7*(1-'Inputs'!$B$24)*(0.5*((((276-43)*MAX('Inputs'!$B$33,'Inputs'!$B$29+'Inputs'!$B$31+'Inputs'!$B$32,'Inputs'!$B$30+'Inputs'!$B$31+'Inputs'!$B$32)/1000+'Inputs'!$B$21+'Inputs'!$B$7+'Inputs'!$B$10)+'Inputs'!$B$9)/SQRT((((276-43)*MAX('Inputs'!$B$33,'Inputs'!$B$29+'Inputs'!$B$31+'Inputs'!$B$32,'Inputs'!$B$30+'Inputs'!$B$31+'Inputs'!$B$32)/1000+'Inputs'!$B$21+'Inputs'!$B$7+'Inputs'!$B$10)+'Inputs'!$B$9)^2+('Inputs'!$B$8/2)^2)-(((276-43)*MAX('Inputs'!$B$33,'Inputs'!$B$29+'Inputs'!$B$31+'Inputs'!$B$32,'Inputs'!$B$30+'Inputs'!$B$31+'Inputs'!$B$32)/1000+'Inputs'!$B$21+'Inputs'!$B$7+'Inputs'!$B$10))/SQRT((((276-43)*MAX('Inputs'!$B$33,'Inputs'!$B$29+'Inputs'!$B$31+'Inputs'!$B$32,'Inputs'!$B$30+'Inputs'!$B$31+'Inputs'!$B$32)/1000+'Inputs'!$B$21+'Inputs'!$B$7+'Inputs'!$B$10))^2+('Inputs'!$B$8/2)^2))))*'Results'!$B$8)+'Inputs'!$B$28*ABS((('Results'!B7*(1+'Inputs'!$B$24)*(0.5*((((276-43)*MAX('Inputs'!$B$33,'Inputs'!$B$29+'Inputs'!$B$31+'Inputs'!$B$32,'Inputs'!$B$30+'Inputs'!$B$31+'Inputs'!$B$32)/1000+'Inputs'!$B$21)+'Inputs'!$B$7)/SQRT((((276-43)*MAX('Inputs'!$B$33,'Inputs'!$B$29+'Inputs'!$B$31+'Inputs'!$B$32,'Inputs'!$B$30+'Inputs'!$B$31+'Inputs'!$B$32)/1000+'Inputs'!$B$21)+'Inputs'!$B$7)^2+('Inputs'!$B$6/2)^2)-(((276-43)*MAX('Inputs'!$B$33,'Inputs'!$B$29+'Inputs'!$B$31+'Inputs'!$B$32,'Inputs'!$B$30+'Inputs'!$B$31+'Inputs'!$B$32)/1000+'Inputs'!$B$21))/SQRT((((276-43)*MAX('Inputs'!$B$33,'Inputs'!$B$29+'Inputs'!$B$31+'Inputs'!$B$32,'Inputs'!$B$30+'Inputs'!$B$31+'Inputs'!$B$32)/1000+'Inputs'!$B$21))^2+('Inputs'!$B$6/2)^2)))-'Results'!C7*(1-'Inputs'!$B$24)*(0.5*((((276-43)*MAX('Inputs'!$B$33,'Inputs'!$B$29+'Inputs'!$B$31+'Inputs'!$B$32,'Inputs'!$B$30+'Inputs'!$B$31+'Inputs'!$B$32)/1000+'Inputs'!$B$21+'Inputs'!$B$7+'Inputs'!$B$10)+'Inputs'!$B$9)/SQRT((((276-43)*MAX('Inputs'!$B$33,'Inputs'!$B$29+'Inputs'!$B$31+'Inputs'!$B$32,'Inputs'!$B$30+'Inputs'!$B$31+'Inputs'!$B$32)/1000+'Inputs'!$B$21+'Inputs'!$B$7+'Inputs'!$B$10)+'Inputs'!$B$9)^2+('Inputs'!$B$8/2)^2)-(((276-43)*MAX('Inputs'!$B$33,'Inputs'!$B$29+'Inputs'!$B$31+'Inputs'!$B$32,'Inputs'!$B$30+'Inputs'!$B$31+'Inputs'!$B$32)/1000+'Inputs'!$B$21+'Inputs'!$B$7+'Inputs'!$B$10))/SQRT((((276-43)*MAX('Inputs'!$B$33,'Inputs'!$B$29+'Inputs'!$B$31+'Inputs'!$B$32,'Inputs'!$B$30+'Inputs'!$B$31+'Inputs'!$B$32)/1000+'Inputs'!$B$21+'Inputs'!$B$7+'Inputs'!$B$10))^2+('Inputs'!$B$8/2)^2))))*'Results'!$B$8))),"")</x:f>
        <x:v>51.965760711953266</x:v>
      </x:c>
      <x:c r="M276" t="n">
        <x:f>IF(AND(ISNUMBER('Results'!C7),ISNUMBER('Results'!B7),ISNUMBER('Results'!$B$8),ISNUMBER('Inputs'!$B$6),ISNUMBER('Inputs'!$B$7),ISNUMBER('Inputs'!$B$8),ISNUMBER('Inputs'!$B$9),ISNUMBER('Inputs'!$B$10),ISNUMBER('Inputs'!$B$21),ISNUMBER('Inputs'!$B$24),ISNUMBER('Inputs'!$B$28)),(('Results'!C7*(0.5*((((276-43)*MAX('Inputs'!$B$33,'Inputs'!$B$29+'Inputs'!$B$31+'Inputs'!$B$32,'Inputs'!$B$30+'Inputs'!$B$31+'Inputs'!$B$32)/1000+'Inputs'!$B$21)+'Inputs'!$B$9)/SQRT((((276-43)*MAX('Inputs'!$B$33,'Inputs'!$B$29+'Inputs'!$B$31+'Inputs'!$B$32,'Inputs'!$B$30+'Inputs'!$B$31+'Inputs'!$B$32)/1000+'Inputs'!$B$21)+'Inputs'!$B$9)^2+('Inputs'!$B$8/2)^2)-(((276-43)*MAX('Inputs'!$B$33,'Inputs'!$B$29+'Inputs'!$B$31+'Inputs'!$B$32,'Inputs'!$B$30+'Inputs'!$B$31+'Inputs'!$B$32)/1000+'Inputs'!$B$21))/SQRT((((276-43)*MAX('Inputs'!$B$33,'Inputs'!$B$29+'Inputs'!$B$31+'Inputs'!$B$32,'Inputs'!$B$30+'Inputs'!$B$31+'Inputs'!$B$32)/1000+'Inputs'!$B$21))^2+('Inputs'!$B$8/2)^2)))-'Results'!B7*(0.5*((((276-43)*MAX('Inputs'!$B$33,'Inputs'!$B$29+'Inputs'!$B$31+'Inputs'!$B$32,'Inputs'!$B$30+'Inputs'!$B$31+'Inputs'!$B$32)/1000+'Inputs'!$B$21+'Inputs'!$B$9+'Inputs'!$B$10)+'Inputs'!$B$7)/SQRT((((276-43)*MAX('Inputs'!$B$33,'Inputs'!$B$29+'Inputs'!$B$31+'Inputs'!$B$32,'Inputs'!$B$30+'Inputs'!$B$31+'Inputs'!$B$32)/1000+'Inputs'!$B$21+'Inputs'!$B$9+'Inputs'!$B$10)+'Inputs'!$B$7)^2+('Inputs'!$B$6/2)^2)-(((276-43)*MAX('Inputs'!$B$33,'Inputs'!$B$29+'Inputs'!$B$31+'Inputs'!$B$32,'Inputs'!$B$30+'Inputs'!$B$31+'Inputs'!$B$32)/1000+'Inputs'!$B$21+'Inputs'!$B$9+'Inputs'!$B$10))/SQRT((((276-43)*MAX('Inputs'!$B$33,'Inputs'!$B$29+'Inputs'!$B$31+'Inputs'!$B$32,'Inputs'!$B$30+'Inputs'!$B$31+'Inputs'!$B$32)/1000+'Inputs'!$B$21+'Inputs'!$B$9+'Inputs'!$B$10))^2+('Inputs'!$B$6/2)^2))))*'Results'!$B$8),"")</x:f>
        <x:v>45.60608315394362</x:v>
      </x:c>
      <x:c r="N276" t="n">
        <x:f>IF(AND(ISNUMBER('Results'!C7),ISNUMBER('Results'!B7),ISNUMBER('Results'!$B$8),ISNUMBER('Inputs'!$B$6),ISNUMBER('Inputs'!$B$7),ISNUMBER('Inputs'!$B$8),ISNUMBER('Inputs'!$B$9),ISNUMBER('Inputs'!$B$10),ISNUMBER('Inputs'!$B$21),ISNUMBER('Inputs'!$B$24),ISNUMBER('Inputs'!$B$28)),((('Results'!C7*(1-'Inputs'!$B$24)*(0.5*((((276-43)*MAX('Inputs'!$B$33,'Inputs'!$B$29+'Inputs'!$B$31+'Inputs'!$B$32,'Inputs'!$B$30+'Inputs'!$B$31+'Inputs'!$B$32)/1000+'Inputs'!$B$21)+'Inputs'!$B$9)/SQRT((((276-43)*MAX('Inputs'!$B$33,'Inputs'!$B$29+'Inputs'!$B$31+'Inputs'!$B$32,'Inputs'!$B$30+'Inputs'!$B$31+'Inputs'!$B$32)/1000+'Inputs'!$B$21)+'Inputs'!$B$9)^2+('Inputs'!$B$8/2)^2)-(((276-43)*MAX('Inputs'!$B$33,'Inputs'!$B$29+'Inputs'!$B$31+'Inputs'!$B$32,'Inputs'!$B$30+'Inputs'!$B$31+'Inputs'!$B$32)/1000+'Inputs'!$B$21))/SQRT((((276-43)*MAX('Inputs'!$B$33,'Inputs'!$B$29+'Inputs'!$B$31+'Inputs'!$B$32,'Inputs'!$B$30+'Inputs'!$B$31+'Inputs'!$B$32)/1000+'Inputs'!$B$21))^2+('Inputs'!$B$8/2)^2)))-'Results'!B7*(1+'Inputs'!$B$24)*(0.5*((((276-43)*MAX('Inputs'!$B$33,'Inputs'!$B$29+'Inputs'!$B$31+'Inputs'!$B$32,'Inputs'!$B$30+'Inputs'!$B$31+'Inputs'!$B$32)/1000+'Inputs'!$B$21+'Inputs'!$B$9+'Inputs'!$B$10)+'Inputs'!$B$7)/SQRT((((276-43)*MAX('Inputs'!$B$33,'Inputs'!$B$29+'Inputs'!$B$31+'Inputs'!$B$32,'Inputs'!$B$30+'Inputs'!$B$31+'Inputs'!$B$32)/1000+'Inputs'!$B$21+'Inputs'!$B$9+'Inputs'!$B$10)+'Inputs'!$B$7)^2+('Inputs'!$B$6/2)^2)-(((276-43)*MAX('Inputs'!$B$33,'Inputs'!$B$29+'Inputs'!$B$31+'Inputs'!$B$32,'Inputs'!$B$30+'Inputs'!$B$31+'Inputs'!$B$32)/1000+'Inputs'!$B$21+'Inputs'!$B$9+'Inputs'!$B$10))/SQRT((((276-43)*MAX('Inputs'!$B$33,'Inputs'!$B$29+'Inputs'!$B$31+'Inputs'!$B$32,'Inputs'!$B$30+'Inputs'!$B$31+'Inputs'!$B$32)/1000+'Inputs'!$B$21+'Inputs'!$B$9+'Inputs'!$B$10))^2+('Inputs'!$B$6/2)^2))))*'Results'!$B$8)-'Inputs'!$B$28*ABS((('Results'!C7*(1-'Inputs'!$B$24)*(0.5*((((276-43)*MAX('Inputs'!$B$33,'Inputs'!$B$29+'Inputs'!$B$31+'Inputs'!$B$32,'Inputs'!$B$30+'Inputs'!$B$31+'Inputs'!$B$32)/1000+'Inputs'!$B$21)+'Inputs'!$B$9)/SQRT((((276-43)*MAX('Inputs'!$B$33,'Inputs'!$B$29+'Inputs'!$B$31+'Inputs'!$B$32,'Inputs'!$B$30+'Inputs'!$B$31+'Inputs'!$B$32)/1000+'Inputs'!$B$21)+'Inputs'!$B$9)^2+('Inputs'!$B$8/2)^2)-(((276-43)*MAX('Inputs'!$B$33,'Inputs'!$B$29+'Inputs'!$B$31+'Inputs'!$B$32,'Inputs'!$B$30+'Inputs'!$B$31+'Inputs'!$B$32)/1000+'Inputs'!$B$21))/SQRT((((276-43)*MAX('Inputs'!$B$33,'Inputs'!$B$29+'Inputs'!$B$31+'Inputs'!$B$32,'Inputs'!$B$30+'Inputs'!$B$31+'Inputs'!$B$32)/1000+'Inputs'!$B$21))^2+('Inputs'!$B$8/2)^2)))-'Results'!B7*(1+'Inputs'!$B$24)*(0.5*((((276-43)*MAX('Inputs'!$B$33,'Inputs'!$B$29+'Inputs'!$B$31+'Inputs'!$B$32,'Inputs'!$B$30+'Inputs'!$B$31+'Inputs'!$B$32)/1000+'Inputs'!$B$21+'Inputs'!$B$9+'Inputs'!$B$10)+'Inputs'!$B$7)/SQRT((((276-43)*MAX('Inputs'!$B$33,'Inputs'!$B$29+'Inputs'!$B$31+'Inputs'!$B$32,'Inputs'!$B$30+'Inputs'!$B$31+'Inputs'!$B$32)/1000+'Inputs'!$B$21+'Inputs'!$B$9+'Inputs'!$B$10)+'Inputs'!$B$7)^2+('Inputs'!$B$6/2)^2)-(((276-43)*MAX('Inputs'!$B$33,'Inputs'!$B$29+'Inputs'!$B$31+'Inputs'!$B$32,'Inputs'!$B$30+'Inputs'!$B$31+'Inputs'!$B$32)/1000+'Inputs'!$B$21+'Inputs'!$B$9+'Inputs'!$B$10))/SQRT((((276-43)*MAX('Inputs'!$B$33,'Inputs'!$B$29+'Inputs'!$B$31+'Inputs'!$B$32,'Inputs'!$B$30+'Inputs'!$B$31+'Inputs'!$B$32)/1000+'Inputs'!$B$21+'Inputs'!$B$9+'Inputs'!$B$10))^2+('Inputs'!$B$6/2)^2))))*'Results'!$B$8))),"")</x:f>
        <x:v>41.50300859189057</x:v>
      </x:c>
      <x:c r="O276" t="n">
        <x:f>IF(AND(ISNUMBER('Results'!C7),ISNUMBER('Results'!B7),ISNUMBER('Results'!$B$8),ISNUMBER('Inputs'!$B$6),ISNUMBER('Inputs'!$B$7),ISNUMBER('Inputs'!$B$8),ISNUMBER('Inputs'!$B$9),ISNUMBER('Inputs'!$B$10),ISNUMBER('Inputs'!$B$21),ISNUMBER('Inputs'!$B$24),ISNUMBER('Inputs'!$B$28)),((('Results'!C7*(1+'Inputs'!$B$24)*(0.5*((((276-43)*MAX('Inputs'!$B$33,'Inputs'!$B$29+'Inputs'!$B$31+'Inputs'!$B$32,'Inputs'!$B$30+'Inputs'!$B$31+'Inputs'!$B$32)/1000+'Inputs'!$B$21)+'Inputs'!$B$9)/SQRT((((276-43)*MAX('Inputs'!$B$33,'Inputs'!$B$29+'Inputs'!$B$31+'Inputs'!$B$32,'Inputs'!$B$30+'Inputs'!$B$31+'Inputs'!$B$32)/1000+'Inputs'!$B$21)+'Inputs'!$B$9)^2+('Inputs'!$B$8/2)^2)-(((276-43)*MAX('Inputs'!$B$33,'Inputs'!$B$29+'Inputs'!$B$31+'Inputs'!$B$32,'Inputs'!$B$30+'Inputs'!$B$31+'Inputs'!$B$32)/1000+'Inputs'!$B$21))/SQRT((((276-43)*MAX('Inputs'!$B$33,'Inputs'!$B$29+'Inputs'!$B$31+'Inputs'!$B$32,'Inputs'!$B$30+'Inputs'!$B$31+'Inputs'!$B$32)/1000+'Inputs'!$B$21))^2+('Inputs'!$B$8/2)^2)))-'Results'!B7*(1-'Inputs'!$B$24)*(0.5*((((276-43)*MAX('Inputs'!$B$33,'Inputs'!$B$29+'Inputs'!$B$31+'Inputs'!$B$32,'Inputs'!$B$30+'Inputs'!$B$31+'Inputs'!$B$32)/1000+'Inputs'!$B$21+'Inputs'!$B$9+'Inputs'!$B$10)+'Inputs'!$B$7)/SQRT((((276-43)*MAX('Inputs'!$B$33,'Inputs'!$B$29+'Inputs'!$B$31+'Inputs'!$B$32,'Inputs'!$B$30+'Inputs'!$B$31+'Inputs'!$B$32)/1000+'Inputs'!$B$21+'Inputs'!$B$9+'Inputs'!$B$10)+'Inputs'!$B$7)^2+('Inputs'!$B$6/2)^2)-(((276-43)*MAX('Inputs'!$B$33,'Inputs'!$B$29+'Inputs'!$B$31+'Inputs'!$B$32,'Inputs'!$B$30+'Inputs'!$B$31+'Inputs'!$B$32)/1000+'Inputs'!$B$21+'Inputs'!$B$9+'Inputs'!$B$10))/SQRT((((276-43)*MAX('Inputs'!$B$33,'Inputs'!$B$29+'Inputs'!$B$31+'Inputs'!$B$32,'Inputs'!$B$30+'Inputs'!$B$31+'Inputs'!$B$32)/1000+'Inputs'!$B$21+'Inputs'!$B$9+'Inputs'!$B$10))^2+('Inputs'!$B$6/2)^2))))*'Results'!$B$8)+'Inputs'!$B$28*ABS((('Results'!C7*(1+'Inputs'!$B$24)*(0.5*((((276-43)*MAX('Inputs'!$B$33,'Inputs'!$B$29+'Inputs'!$B$31+'Inputs'!$B$32,'Inputs'!$B$30+'Inputs'!$B$31+'Inputs'!$B$32)/1000+'Inputs'!$B$21)+'Inputs'!$B$9)/SQRT((((276-43)*MAX('Inputs'!$B$33,'Inputs'!$B$29+'Inputs'!$B$31+'Inputs'!$B$32,'Inputs'!$B$30+'Inputs'!$B$31+'Inputs'!$B$32)/1000+'Inputs'!$B$21)+'Inputs'!$B$9)^2+('Inputs'!$B$8/2)^2)-(((276-43)*MAX('Inputs'!$B$33,'Inputs'!$B$29+'Inputs'!$B$31+'Inputs'!$B$32,'Inputs'!$B$30+'Inputs'!$B$31+'Inputs'!$B$32)/1000+'Inputs'!$B$21))/SQRT((((276-43)*MAX('Inputs'!$B$33,'Inputs'!$B$29+'Inputs'!$B$31+'Inputs'!$B$32,'Inputs'!$B$30+'Inputs'!$B$31+'Inputs'!$B$32)/1000+'Inputs'!$B$21))^2+('Inputs'!$B$8/2)^2)))-'Results'!B7*(1-'Inputs'!$B$24)*(0.5*((((276-43)*MAX('Inputs'!$B$33,'Inputs'!$B$29+'Inputs'!$B$31+'Inputs'!$B$32,'Inputs'!$B$30+'Inputs'!$B$31+'Inputs'!$B$32)/1000+'Inputs'!$B$21+'Inputs'!$B$9+'Inputs'!$B$10)+'Inputs'!$B$7)/SQRT((((276-43)*MAX('Inputs'!$B$33,'Inputs'!$B$29+'Inputs'!$B$31+'Inputs'!$B$32,'Inputs'!$B$30+'Inputs'!$B$31+'Inputs'!$B$32)/1000+'Inputs'!$B$21+'Inputs'!$B$9+'Inputs'!$B$10)+'Inputs'!$B$7)^2+('Inputs'!$B$6/2)^2)-(((276-43)*MAX('Inputs'!$B$33,'Inputs'!$B$29+'Inputs'!$B$31+'Inputs'!$B$32,'Inputs'!$B$30+'Inputs'!$B$31+'Inputs'!$B$32)/1000+'Inputs'!$B$21+'Inputs'!$B$9+'Inputs'!$B$10))/SQRT((((276-43)*MAX('Inputs'!$B$33,'Inputs'!$B$29+'Inputs'!$B$31+'Inputs'!$B$32,'Inputs'!$B$30+'Inputs'!$B$31+'Inputs'!$B$32)/1000+'Inputs'!$B$21+'Inputs'!$B$9+'Inputs'!$B$10))^2+('Inputs'!$B$6/2)^2))))*'Results'!$B$8))),"")</x:f>
        <x:v>49.901028284876254</x:v>
      </x:c>
      <x:c r="P276" t="n">
        <x:f>IF(AND(MAX(J276,J275)&gt;0,J276&gt;J275+0.00000001),1,0)</x:f>
        <x:v>0</x:v>
      </x:c>
      <x:c r="Q276" t="n">
        <x:f>IF(AND(MAX(K276,K275)&gt;0,K276&gt;K275+0.00000001),1,0)</x:f>
        <x:v>0</x:v>
      </x:c>
      <x:c r="R276" t="n">
        <x:f>IF(AND(MAX(L276,L275)&gt;0,L276&gt;L275+0.00000001),1,0)</x:f>
        <x:v>0</x:v>
      </x:c>
      <x:c r="S276" t="n">
        <x:f>IF(AND(MAX(M276,M275)&gt;0,M276&gt;M275+0.00000001),1,0)</x:f>
        <x:v>0</x:v>
      </x:c>
      <x:c r="T276" t="n">
        <x:f>IF(AND(MAX(N276,N275)&gt;0,N276&gt;N275+0.00000001),1,0)</x:f>
        <x:v>0</x:v>
      </x:c>
      <x:c r="U276" t="n">
        <x:f>IF(AND(MAX(O276,O275)&gt;0,O276&gt;O275+0.00000001),1,0)</x:f>
        <x:v>0</x:v>
      </x:c>
    </x:row>
    <x:row r="277">
      <x:c r="J277" t="n">
        <x:f>IF(AND(ISNUMBER('Results'!B7),ISNUMBER('Results'!C7),ISNUMBER('Results'!$B$8),ISNUMBER('Inputs'!$B$6),ISNUMBER('Inputs'!$B$7),ISNUMBER('Inputs'!$B$8),ISNUMBER('Inputs'!$B$9),ISNUMBER('Inputs'!$B$10),ISNUMBER('Inputs'!$B$21),ISNUMBER('Inputs'!$B$24),ISNUMBER('Inputs'!$B$28)),(('Results'!B7*(0.5*((((277-43)*MAX('Inputs'!$B$33,'Inputs'!$B$29+'Inputs'!$B$31+'Inputs'!$B$32,'Inputs'!$B$30+'Inputs'!$B$31+'Inputs'!$B$32)/1000+'Inputs'!$B$21)+'Inputs'!$B$7)/SQRT((((277-43)*MAX('Inputs'!$B$33,'Inputs'!$B$29+'Inputs'!$B$31+'Inputs'!$B$32,'Inputs'!$B$30+'Inputs'!$B$31+'Inputs'!$B$32)/1000+'Inputs'!$B$21)+'Inputs'!$B$7)^2+('Inputs'!$B$6/2)^2)-(((277-43)*MAX('Inputs'!$B$33,'Inputs'!$B$29+'Inputs'!$B$31+'Inputs'!$B$32,'Inputs'!$B$30+'Inputs'!$B$31+'Inputs'!$B$32)/1000+'Inputs'!$B$21))/SQRT((((277-43)*MAX('Inputs'!$B$33,'Inputs'!$B$29+'Inputs'!$B$31+'Inputs'!$B$32,'Inputs'!$B$30+'Inputs'!$B$31+'Inputs'!$B$32)/1000+'Inputs'!$B$21))^2+('Inputs'!$B$6/2)^2)))-'Results'!C7*(0.5*((((277-43)*MAX('Inputs'!$B$33,'Inputs'!$B$29+'Inputs'!$B$31+'Inputs'!$B$32,'Inputs'!$B$30+'Inputs'!$B$31+'Inputs'!$B$32)/1000+'Inputs'!$B$21+'Inputs'!$B$7+'Inputs'!$B$10)+'Inputs'!$B$9)/SQRT((((277-43)*MAX('Inputs'!$B$33,'Inputs'!$B$29+'Inputs'!$B$31+'Inputs'!$B$32,'Inputs'!$B$30+'Inputs'!$B$31+'Inputs'!$B$32)/1000+'Inputs'!$B$21+'Inputs'!$B$7+'Inputs'!$B$10)+'Inputs'!$B$9)^2+('Inputs'!$B$8/2)^2)-(((277-43)*MAX('Inputs'!$B$33,'Inputs'!$B$29+'Inputs'!$B$31+'Inputs'!$B$32,'Inputs'!$B$30+'Inputs'!$B$31+'Inputs'!$B$32)/1000+'Inputs'!$B$21+'Inputs'!$B$7+'Inputs'!$B$10))/SQRT((((277-43)*MAX('Inputs'!$B$33,'Inputs'!$B$29+'Inputs'!$B$31+'Inputs'!$B$32,'Inputs'!$B$30+'Inputs'!$B$31+'Inputs'!$B$32)/1000+'Inputs'!$B$21+'Inputs'!$B$7+'Inputs'!$B$10))^2+('Inputs'!$B$8/2)^2))))*'Results'!$B$8),"")</x:f>
        <x:v>46.9666620176283</x:v>
      </x:c>
      <x:c r="K277" t="n">
        <x:f>IF(AND(ISNUMBER('Results'!B7),ISNUMBER('Results'!C7),ISNUMBER('Results'!$B$8),ISNUMBER('Inputs'!$B$6),ISNUMBER('Inputs'!$B$7),ISNUMBER('Inputs'!$B$8),ISNUMBER('Inputs'!$B$9),ISNUMBER('Inputs'!$B$10),ISNUMBER('Inputs'!$B$21),ISNUMBER('Inputs'!$B$24),ISNUMBER('Inputs'!$B$28)),((('Results'!B7*(1-'Inputs'!$B$24)*(0.5*((((277-43)*MAX('Inputs'!$B$33,'Inputs'!$B$29+'Inputs'!$B$31+'Inputs'!$B$32,'Inputs'!$B$30+'Inputs'!$B$31+'Inputs'!$B$32)/1000+'Inputs'!$B$21)+'Inputs'!$B$7)/SQRT((((277-43)*MAX('Inputs'!$B$33,'Inputs'!$B$29+'Inputs'!$B$31+'Inputs'!$B$32,'Inputs'!$B$30+'Inputs'!$B$31+'Inputs'!$B$32)/1000+'Inputs'!$B$21)+'Inputs'!$B$7)^2+('Inputs'!$B$6/2)^2)-(((277-43)*MAX('Inputs'!$B$33,'Inputs'!$B$29+'Inputs'!$B$31+'Inputs'!$B$32,'Inputs'!$B$30+'Inputs'!$B$31+'Inputs'!$B$32)/1000+'Inputs'!$B$21))/SQRT((((277-43)*MAX('Inputs'!$B$33,'Inputs'!$B$29+'Inputs'!$B$31+'Inputs'!$B$32,'Inputs'!$B$30+'Inputs'!$B$31+'Inputs'!$B$32)/1000+'Inputs'!$B$21))^2+('Inputs'!$B$6/2)^2)))-'Results'!C7*(1+'Inputs'!$B$24)*(0.5*((((277-43)*MAX('Inputs'!$B$33,'Inputs'!$B$29+'Inputs'!$B$31+'Inputs'!$B$32,'Inputs'!$B$30+'Inputs'!$B$31+'Inputs'!$B$32)/1000+'Inputs'!$B$21+'Inputs'!$B$7+'Inputs'!$B$10)+'Inputs'!$B$9)/SQRT((((277-43)*MAX('Inputs'!$B$33,'Inputs'!$B$29+'Inputs'!$B$31+'Inputs'!$B$32,'Inputs'!$B$30+'Inputs'!$B$31+'Inputs'!$B$32)/1000+'Inputs'!$B$21+'Inputs'!$B$7+'Inputs'!$B$10)+'Inputs'!$B$9)^2+('Inputs'!$B$8/2)^2)-(((277-43)*MAX('Inputs'!$B$33,'Inputs'!$B$29+'Inputs'!$B$31+'Inputs'!$B$32,'Inputs'!$B$30+'Inputs'!$B$31+'Inputs'!$B$32)/1000+'Inputs'!$B$21+'Inputs'!$B$7+'Inputs'!$B$10))/SQRT((((277-43)*MAX('Inputs'!$B$33,'Inputs'!$B$29+'Inputs'!$B$31+'Inputs'!$B$32,'Inputs'!$B$30+'Inputs'!$B$31+'Inputs'!$B$32)/1000+'Inputs'!$B$21+'Inputs'!$B$7+'Inputs'!$B$10))^2+('Inputs'!$B$8/2)^2))))*'Results'!$B$8)-'Inputs'!$B$28*ABS((('Results'!B7*(1-'Inputs'!$B$24)*(0.5*((((277-43)*MAX('Inputs'!$B$33,'Inputs'!$B$29+'Inputs'!$B$31+'Inputs'!$B$32,'Inputs'!$B$30+'Inputs'!$B$31+'Inputs'!$B$32)/1000+'Inputs'!$B$21)+'Inputs'!$B$7)/SQRT((((277-43)*MAX('Inputs'!$B$33,'Inputs'!$B$29+'Inputs'!$B$31+'Inputs'!$B$32,'Inputs'!$B$30+'Inputs'!$B$31+'Inputs'!$B$32)/1000+'Inputs'!$B$21)+'Inputs'!$B$7)^2+('Inputs'!$B$6/2)^2)-(((277-43)*MAX('Inputs'!$B$33,'Inputs'!$B$29+'Inputs'!$B$31+'Inputs'!$B$32,'Inputs'!$B$30+'Inputs'!$B$31+'Inputs'!$B$32)/1000+'Inputs'!$B$21))/SQRT((((277-43)*MAX('Inputs'!$B$33,'Inputs'!$B$29+'Inputs'!$B$31+'Inputs'!$B$32,'Inputs'!$B$30+'Inputs'!$B$31+'Inputs'!$B$32)/1000+'Inputs'!$B$21))^2+('Inputs'!$B$6/2)^2)))-'Results'!C7*(1+'Inputs'!$B$24)*(0.5*((((277-43)*MAX('Inputs'!$B$33,'Inputs'!$B$29+'Inputs'!$B$31+'Inputs'!$B$32,'Inputs'!$B$30+'Inputs'!$B$31+'Inputs'!$B$32)/1000+'Inputs'!$B$21+'Inputs'!$B$7+'Inputs'!$B$10)+'Inputs'!$B$9)/SQRT((((277-43)*MAX('Inputs'!$B$33,'Inputs'!$B$29+'Inputs'!$B$31+'Inputs'!$B$32,'Inputs'!$B$30+'Inputs'!$B$31+'Inputs'!$B$32)/1000+'Inputs'!$B$21+'Inputs'!$B$7+'Inputs'!$B$10)+'Inputs'!$B$9)^2+('Inputs'!$B$8/2)^2)-(((277-43)*MAX('Inputs'!$B$33,'Inputs'!$B$29+'Inputs'!$B$31+'Inputs'!$B$32,'Inputs'!$B$30+'Inputs'!$B$31+'Inputs'!$B$32)/1000+'Inputs'!$B$21+'Inputs'!$B$7+'Inputs'!$B$10))/SQRT((((277-43)*MAX('Inputs'!$B$33,'Inputs'!$B$29+'Inputs'!$B$31+'Inputs'!$B$32,'Inputs'!$B$30+'Inputs'!$B$31+'Inputs'!$B$32)/1000+'Inputs'!$B$21+'Inputs'!$B$7+'Inputs'!$B$10))^2+('Inputs'!$B$8/2)^2))))*'Results'!$B$8))),"")</x:f>
        <x:v>42.79612761168512</x:v>
      </x:c>
      <x:c r="L277" t="n">
        <x:f>IF(AND(ISNUMBER('Results'!B7),ISNUMBER('Results'!C7),ISNUMBER('Results'!$B$8),ISNUMBER('Inputs'!$B$6),ISNUMBER('Inputs'!$B$7),ISNUMBER('Inputs'!$B$8),ISNUMBER('Inputs'!$B$9),ISNUMBER('Inputs'!$B$10),ISNUMBER('Inputs'!$B$21),ISNUMBER('Inputs'!$B$24),ISNUMBER('Inputs'!$B$28)),((('Results'!B7*(1+'Inputs'!$B$24)*(0.5*((((277-43)*MAX('Inputs'!$B$33,'Inputs'!$B$29+'Inputs'!$B$31+'Inputs'!$B$32,'Inputs'!$B$30+'Inputs'!$B$31+'Inputs'!$B$32)/1000+'Inputs'!$B$21)+'Inputs'!$B$7)/SQRT((((277-43)*MAX('Inputs'!$B$33,'Inputs'!$B$29+'Inputs'!$B$31+'Inputs'!$B$32,'Inputs'!$B$30+'Inputs'!$B$31+'Inputs'!$B$32)/1000+'Inputs'!$B$21)+'Inputs'!$B$7)^2+('Inputs'!$B$6/2)^2)-(((277-43)*MAX('Inputs'!$B$33,'Inputs'!$B$29+'Inputs'!$B$31+'Inputs'!$B$32,'Inputs'!$B$30+'Inputs'!$B$31+'Inputs'!$B$32)/1000+'Inputs'!$B$21))/SQRT((((277-43)*MAX('Inputs'!$B$33,'Inputs'!$B$29+'Inputs'!$B$31+'Inputs'!$B$32,'Inputs'!$B$30+'Inputs'!$B$31+'Inputs'!$B$32)/1000+'Inputs'!$B$21))^2+('Inputs'!$B$6/2)^2)))-'Results'!C7*(1-'Inputs'!$B$24)*(0.5*((((277-43)*MAX('Inputs'!$B$33,'Inputs'!$B$29+'Inputs'!$B$31+'Inputs'!$B$32,'Inputs'!$B$30+'Inputs'!$B$31+'Inputs'!$B$32)/1000+'Inputs'!$B$21+'Inputs'!$B$7+'Inputs'!$B$10)+'Inputs'!$B$9)/SQRT((((277-43)*MAX('Inputs'!$B$33,'Inputs'!$B$29+'Inputs'!$B$31+'Inputs'!$B$32,'Inputs'!$B$30+'Inputs'!$B$31+'Inputs'!$B$32)/1000+'Inputs'!$B$21+'Inputs'!$B$7+'Inputs'!$B$10)+'Inputs'!$B$9)^2+('Inputs'!$B$8/2)^2)-(((277-43)*MAX('Inputs'!$B$33,'Inputs'!$B$29+'Inputs'!$B$31+'Inputs'!$B$32,'Inputs'!$B$30+'Inputs'!$B$31+'Inputs'!$B$32)/1000+'Inputs'!$B$21+'Inputs'!$B$7+'Inputs'!$B$10))/SQRT((((277-43)*MAX('Inputs'!$B$33,'Inputs'!$B$29+'Inputs'!$B$31+'Inputs'!$B$32,'Inputs'!$B$30+'Inputs'!$B$31+'Inputs'!$B$32)/1000+'Inputs'!$B$21+'Inputs'!$B$7+'Inputs'!$B$10))^2+('Inputs'!$B$8/2)^2))))*'Results'!$B$8)+'Inputs'!$B$28*ABS((('Results'!B7*(1+'Inputs'!$B$24)*(0.5*((((277-43)*MAX('Inputs'!$B$33,'Inputs'!$B$29+'Inputs'!$B$31+'Inputs'!$B$32,'Inputs'!$B$30+'Inputs'!$B$31+'Inputs'!$B$32)/1000+'Inputs'!$B$21)+'Inputs'!$B$7)/SQRT((((277-43)*MAX('Inputs'!$B$33,'Inputs'!$B$29+'Inputs'!$B$31+'Inputs'!$B$32,'Inputs'!$B$30+'Inputs'!$B$31+'Inputs'!$B$32)/1000+'Inputs'!$B$21)+'Inputs'!$B$7)^2+('Inputs'!$B$6/2)^2)-(((277-43)*MAX('Inputs'!$B$33,'Inputs'!$B$29+'Inputs'!$B$31+'Inputs'!$B$32,'Inputs'!$B$30+'Inputs'!$B$31+'Inputs'!$B$32)/1000+'Inputs'!$B$21))/SQRT((((277-43)*MAX('Inputs'!$B$33,'Inputs'!$B$29+'Inputs'!$B$31+'Inputs'!$B$32,'Inputs'!$B$30+'Inputs'!$B$31+'Inputs'!$B$32)/1000+'Inputs'!$B$21))^2+('Inputs'!$B$6/2)^2)))-'Results'!C7*(1-'Inputs'!$B$24)*(0.5*((((277-43)*MAX('Inputs'!$B$33,'Inputs'!$B$29+'Inputs'!$B$31+'Inputs'!$B$32,'Inputs'!$B$30+'Inputs'!$B$31+'Inputs'!$B$32)/1000+'Inputs'!$B$21+'Inputs'!$B$7+'Inputs'!$B$10)+'Inputs'!$B$9)/SQRT((((277-43)*MAX('Inputs'!$B$33,'Inputs'!$B$29+'Inputs'!$B$31+'Inputs'!$B$32,'Inputs'!$B$30+'Inputs'!$B$31+'Inputs'!$B$32)/1000+'Inputs'!$B$21+'Inputs'!$B$7+'Inputs'!$B$10)+'Inputs'!$B$9)^2+('Inputs'!$B$8/2)^2)-(((277-43)*MAX('Inputs'!$B$33,'Inputs'!$B$29+'Inputs'!$B$31+'Inputs'!$B$32,'Inputs'!$B$30+'Inputs'!$B$31+'Inputs'!$B$32)/1000+'Inputs'!$B$21+'Inputs'!$B$7+'Inputs'!$B$10))/SQRT((((277-43)*MAX('Inputs'!$B$33,'Inputs'!$B$29+'Inputs'!$B$31+'Inputs'!$B$32,'Inputs'!$B$30+'Inputs'!$B$31+'Inputs'!$B$32)/1000+'Inputs'!$B$21+'Inputs'!$B$7+'Inputs'!$B$10))^2+('Inputs'!$B$8/2)^2))))*'Results'!$B$8))),"")</x:f>
        <x:v>51.329007087262184</x:v>
      </x:c>
      <x:c r="M277" t="n">
        <x:f>IF(AND(ISNUMBER('Results'!C7),ISNUMBER('Results'!B7),ISNUMBER('Results'!$B$8),ISNUMBER('Inputs'!$B$6),ISNUMBER('Inputs'!$B$7),ISNUMBER('Inputs'!$B$8),ISNUMBER('Inputs'!$B$9),ISNUMBER('Inputs'!$B$10),ISNUMBER('Inputs'!$B$21),ISNUMBER('Inputs'!$B$24),ISNUMBER('Inputs'!$B$28)),(('Results'!C7*(0.5*((((277-43)*MAX('Inputs'!$B$33,'Inputs'!$B$29+'Inputs'!$B$31+'Inputs'!$B$32,'Inputs'!$B$30+'Inputs'!$B$31+'Inputs'!$B$32)/1000+'Inputs'!$B$21)+'Inputs'!$B$9)/SQRT((((277-43)*MAX('Inputs'!$B$33,'Inputs'!$B$29+'Inputs'!$B$31+'Inputs'!$B$32,'Inputs'!$B$30+'Inputs'!$B$31+'Inputs'!$B$32)/1000+'Inputs'!$B$21)+'Inputs'!$B$9)^2+('Inputs'!$B$8/2)^2)-(((277-43)*MAX('Inputs'!$B$33,'Inputs'!$B$29+'Inputs'!$B$31+'Inputs'!$B$32,'Inputs'!$B$30+'Inputs'!$B$31+'Inputs'!$B$32)/1000+'Inputs'!$B$21))/SQRT((((277-43)*MAX('Inputs'!$B$33,'Inputs'!$B$29+'Inputs'!$B$31+'Inputs'!$B$32,'Inputs'!$B$30+'Inputs'!$B$31+'Inputs'!$B$32)/1000+'Inputs'!$B$21))^2+('Inputs'!$B$8/2)^2)))-'Results'!B7*(0.5*((((277-43)*MAX('Inputs'!$B$33,'Inputs'!$B$29+'Inputs'!$B$31+'Inputs'!$B$32,'Inputs'!$B$30+'Inputs'!$B$31+'Inputs'!$B$32)/1000+'Inputs'!$B$21+'Inputs'!$B$9+'Inputs'!$B$10)+'Inputs'!$B$7)/SQRT((((277-43)*MAX('Inputs'!$B$33,'Inputs'!$B$29+'Inputs'!$B$31+'Inputs'!$B$32,'Inputs'!$B$30+'Inputs'!$B$31+'Inputs'!$B$32)/1000+'Inputs'!$B$21+'Inputs'!$B$9+'Inputs'!$B$10)+'Inputs'!$B$7)^2+('Inputs'!$B$6/2)^2)-(((277-43)*MAX('Inputs'!$B$33,'Inputs'!$B$29+'Inputs'!$B$31+'Inputs'!$B$32,'Inputs'!$B$30+'Inputs'!$B$31+'Inputs'!$B$32)/1000+'Inputs'!$B$21+'Inputs'!$B$9+'Inputs'!$B$10))/SQRT((((277-43)*MAX('Inputs'!$B$33,'Inputs'!$B$29+'Inputs'!$B$31+'Inputs'!$B$32,'Inputs'!$B$30+'Inputs'!$B$31+'Inputs'!$B$32)/1000+'Inputs'!$B$21+'Inputs'!$B$9+'Inputs'!$B$10))^2+('Inputs'!$B$6/2)^2))))*'Results'!$B$8),"")</x:f>
        <x:v>45.03856789708288</x:v>
      </x:c>
      <x:c r="N277" t="n">
        <x:f>IF(AND(ISNUMBER('Results'!C7),ISNUMBER('Results'!B7),ISNUMBER('Results'!$B$8),ISNUMBER('Inputs'!$B$6),ISNUMBER('Inputs'!$B$7),ISNUMBER('Inputs'!$B$8),ISNUMBER('Inputs'!$B$9),ISNUMBER('Inputs'!$B$10),ISNUMBER('Inputs'!$B$21),ISNUMBER('Inputs'!$B$24),ISNUMBER('Inputs'!$B$28)),((('Results'!C7*(1-'Inputs'!$B$24)*(0.5*((((277-43)*MAX('Inputs'!$B$33,'Inputs'!$B$29+'Inputs'!$B$31+'Inputs'!$B$32,'Inputs'!$B$30+'Inputs'!$B$31+'Inputs'!$B$32)/1000+'Inputs'!$B$21)+'Inputs'!$B$9)/SQRT((((277-43)*MAX('Inputs'!$B$33,'Inputs'!$B$29+'Inputs'!$B$31+'Inputs'!$B$32,'Inputs'!$B$30+'Inputs'!$B$31+'Inputs'!$B$32)/1000+'Inputs'!$B$21)+'Inputs'!$B$9)^2+('Inputs'!$B$8/2)^2)-(((277-43)*MAX('Inputs'!$B$33,'Inputs'!$B$29+'Inputs'!$B$31+'Inputs'!$B$32,'Inputs'!$B$30+'Inputs'!$B$31+'Inputs'!$B$32)/1000+'Inputs'!$B$21))/SQRT((((277-43)*MAX('Inputs'!$B$33,'Inputs'!$B$29+'Inputs'!$B$31+'Inputs'!$B$32,'Inputs'!$B$30+'Inputs'!$B$31+'Inputs'!$B$32)/1000+'Inputs'!$B$21))^2+('Inputs'!$B$8/2)^2)))-'Results'!B7*(1+'Inputs'!$B$24)*(0.5*((((277-43)*MAX('Inputs'!$B$33,'Inputs'!$B$29+'Inputs'!$B$31+'Inputs'!$B$32,'Inputs'!$B$30+'Inputs'!$B$31+'Inputs'!$B$32)/1000+'Inputs'!$B$21+'Inputs'!$B$9+'Inputs'!$B$10)+'Inputs'!$B$7)/SQRT((((277-43)*MAX('Inputs'!$B$33,'Inputs'!$B$29+'Inputs'!$B$31+'Inputs'!$B$32,'Inputs'!$B$30+'Inputs'!$B$31+'Inputs'!$B$32)/1000+'Inputs'!$B$21+'Inputs'!$B$9+'Inputs'!$B$10)+'Inputs'!$B$7)^2+('Inputs'!$B$6/2)^2)-(((277-43)*MAX('Inputs'!$B$33,'Inputs'!$B$29+'Inputs'!$B$31+'Inputs'!$B$32,'Inputs'!$B$30+'Inputs'!$B$31+'Inputs'!$B$32)/1000+'Inputs'!$B$21+'Inputs'!$B$9+'Inputs'!$B$10))/SQRT((((277-43)*MAX('Inputs'!$B$33,'Inputs'!$B$29+'Inputs'!$B$31+'Inputs'!$B$32,'Inputs'!$B$30+'Inputs'!$B$31+'Inputs'!$B$32)/1000+'Inputs'!$B$21+'Inputs'!$B$9+'Inputs'!$B$10))^2+('Inputs'!$B$6/2)^2))))*'Results'!$B$8)-'Inputs'!$B$28*ABS((('Results'!C7*(1-'Inputs'!$B$24)*(0.5*((((277-43)*MAX('Inputs'!$B$33,'Inputs'!$B$29+'Inputs'!$B$31+'Inputs'!$B$32,'Inputs'!$B$30+'Inputs'!$B$31+'Inputs'!$B$32)/1000+'Inputs'!$B$21)+'Inputs'!$B$9)/SQRT((((277-43)*MAX('Inputs'!$B$33,'Inputs'!$B$29+'Inputs'!$B$31+'Inputs'!$B$32,'Inputs'!$B$30+'Inputs'!$B$31+'Inputs'!$B$32)/1000+'Inputs'!$B$21)+'Inputs'!$B$9)^2+('Inputs'!$B$8/2)^2)-(((277-43)*MAX('Inputs'!$B$33,'Inputs'!$B$29+'Inputs'!$B$31+'Inputs'!$B$32,'Inputs'!$B$30+'Inputs'!$B$31+'Inputs'!$B$32)/1000+'Inputs'!$B$21))/SQRT((((277-43)*MAX('Inputs'!$B$33,'Inputs'!$B$29+'Inputs'!$B$31+'Inputs'!$B$32,'Inputs'!$B$30+'Inputs'!$B$31+'Inputs'!$B$32)/1000+'Inputs'!$B$21))^2+('Inputs'!$B$8/2)^2)))-'Results'!B7*(1+'Inputs'!$B$24)*(0.5*((((277-43)*MAX('Inputs'!$B$33,'Inputs'!$B$29+'Inputs'!$B$31+'Inputs'!$B$32,'Inputs'!$B$30+'Inputs'!$B$31+'Inputs'!$B$32)/1000+'Inputs'!$B$21+'Inputs'!$B$9+'Inputs'!$B$10)+'Inputs'!$B$7)/SQRT((((277-43)*MAX('Inputs'!$B$33,'Inputs'!$B$29+'Inputs'!$B$31+'Inputs'!$B$32,'Inputs'!$B$30+'Inputs'!$B$31+'Inputs'!$B$32)/1000+'Inputs'!$B$21+'Inputs'!$B$9+'Inputs'!$B$10)+'Inputs'!$B$7)^2+('Inputs'!$B$6/2)^2)-(((277-43)*MAX('Inputs'!$B$33,'Inputs'!$B$29+'Inputs'!$B$31+'Inputs'!$B$32,'Inputs'!$B$30+'Inputs'!$B$31+'Inputs'!$B$32)/1000+'Inputs'!$B$21+'Inputs'!$B$9+'Inputs'!$B$10))/SQRT((((277-43)*MAX('Inputs'!$B$33,'Inputs'!$B$29+'Inputs'!$B$31+'Inputs'!$B$32,'Inputs'!$B$30+'Inputs'!$B$31+'Inputs'!$B$32)/1000+'Inputs'!$B$21+'Inputs'!$B$9+'Inputs'!$B$10))^2+('Inputs'!$B$6/2)^2))))*'Results'!$B$8))),"")</x:f>
        <x:v>40.98209576654453</x:v>
      </x:c>
      <x:c r="O277" t="n">
        <x:f>IF(AND(ISNUMBER('Results'!C7),ISNUMBER('Results'!B7),ISNUMBER('Results'!$B$8),ISNUMBER('Inputs'!$B$6),ISNUMBER('Inputs'!$B$7),ISNUMBER('Inputs'!$B$8),ISNUMBER('Inputs'!$B$9),ISNUMBER('Inputs'!$B$10),ISNUMBER('Inputs'!$B$21),ISNUMBER('Inputs'!$B$24),ISNUMBER('Inputs'!$B$28)),((('Results'!C7*(1+'Inputs'!$B$24)*(0.5*((((277-43)*MAX('Inputs'!$B$33,'Inputs'!$B$29+'Inputs'!$B$31+'Inputs'!$B$32,'Inputs'!$B$30+'Inputs'!$B$31+'Inputs'!$B$32)/1000+'Inputs'!$B$21)+'Inputs'!$B$9)/SQRT((((277-43)*MAX('Inputs'!$B$33,'Inputs'!$B$29+'Inputs'!$B$31+'Inputs'!$B$32,'Inputs'!$B$30+'Inputs'!$B$31+'Inputs'!$B$32)/1000+'Inputs'!$B$21)+'Inputs'!$B$9)^2+('Inputs'!$B$8/2)^2)-(((277-43)*MAX('Inputs'!$B$33,'Inputs'!$B$29+'Inputs'!$B$31+'Inputs'!$B$32,'Inputs'!$B$30+'Inputs'!$B$31+'Inputs'!$B$32)/1000+'Inputs'!$B$21))/SQRT((((277-43)*MAX('Inputs'!$B$33,'Inputs'!$B$29+'Inputs'!$B$31+'Inputs'!$B$32,'Inputs'!$B$30+'Inputs'!$B$31+'Inputs'!$B$32)/1000+'Inputs'!$B$21))^2+('Inputs'!$B$8/2)^2)))-'Results'!B7*(1-'Inputs'!$B$24)*(0.5*((((277-43)*MAX('Inputs'!$B$33,'Inputs'!$B$29+'Inputs'!$B$31+'Inputs'!$B$32,'Inputs'!$B$30+'Inputs'!$B$31+'Inputs'!$B$32)/1000+'Inputs'!$B$21+'Inputs'!$B$9+'Inputs'!$B$10)+'Inputs'!$B$7)/SQRT((((277-43)*MAX('Inputs'!$B$33,'Inputs'!$B$29+'Inputs'!$B$31+'Inputs'!$B$32,'Inputs'!$B$30+'Inputs'!$B$31+'Inputs'!$B$32)/1000+'Inputs'!$B$21+'Inputs'!$B$9+'Inputs'!$B$10)+'Inputs'!$B$7)^2+('Inputs'!$B$6/2)^2)-(((277-43)*MAX('Inputs'!$B$33,'Inputs'!$B$29+'Inputs'!$B$31+'Inputs'!$B$32,'Inputs'!$B$30+'Inputs'!$B$31+'Inputs'!$B$32)/1000+'Inputs'!$B$21+'Inputs'!$B$9+'Inputs'!$B$10))/SQRT((((277-43)*MAX('Inputs'!$B$33,'Inputs'!$B$29+'Inputs'!$B$31+'Inputs'!$B$32,'Inputs'!$B$30+'Inputs'!$B$31+'Inputs'!$B$32)/1000+'Inputs'!$B$21+'Inputs'!$B$9+'Inputs'!$B$10))^2+('Inputs'!$B$6/2)^2))))*'Results'!$B$8)+'Inputs'!$B$28*ABS((('Results'!C7*(1+'Inputs'!$B$24)*(0.5*((((277-43)*MAX('Inputs'!$B$33,'Inputs'!$B$29+'Inputs'!$B$31+'Inputs'!$B$32,'Inputs'!$B$30+'Inputs'!$B$31+'Inputs'!$B$32)/1000+'Inputs'!$B$21)+'Inputs'!$B$9)/SQRT((((277-43)*MAX('Inputs'!$B$33,'Inputs'!$B$29+'Inputs'!$B$31+'Inputs'!$B$32,'Inputs'!$B$30+'Inputs'!$B$31+'Inputs'!$B$32)/1000+'Inputs'!$B$21)+'Inputs'!$B$9)^2+('Inputs'!$B$8/2)^2)-(((277-43)*MAX('Inputs'!$B$33,'Inputs'!$B$29+'Inputs'!$B$31+'Inputs'!$B$32,'Inputs'!$B$30+'Inputs'!$B$31+'Inputs'!$B$32)/1000+'Inputs'!$B$21))/SQRT((((277-43)*MAX('Inputs'!$B$33,'Inputs'!$B$29+'Inputs'!$B$31+'Inputs'!$B$32,'Inputs'!$B$30+'Inputs'!$B$31+'Inputs'!$B$32)/1000+'Inputs'!$B$21))^2+('Inputs'!$B$8/2)^2)))-'Results'!B7*(1-'Inputs'!$B$24)*(0.5*((((277-43)*MAX('Inputs'!$B$33,'Inputs'!$B$29+'Inputs'!$B$31+'Inputs'!$B$32,'Inputs'!$B$30+'Inputs'!$B$31+'Inputs'!$B$32)/1000+'Inputs'!$B$21+'Inputs'!$B$9+'Inputs'!$B$10)+'Inputs'!$B$7)/SQRT((((277-43)*MAX('Inputs'!$B$33,'Inputs'!$B$29+'Inputs'!$B$31+'Inputs'!$B$32,'Inputs'!$B$30+'Inputs'!$B$31+'Inputs'!$B$32)/1000+'Inputs'!$B$21+'Inputs'!$B$9+'Inputs'!$B$10)+'Inputs'!$B$7)^2+('Inputs'!$B$6/2)^2)-(((277-43)*MAX('Inputs'!$B$33,'Inputs'!$B$29+'Inputs'!$B$31+'Inputs'!$B$32,'Inputs'!$B$30+'Inputs'!$B$31+'Inputs'!$B$32)/1000+'Inputs'!$B$21+'Inputs'!$B$9+'Inputs'!$B$10))/SQRT((((277-43)*MAX('Inputs'!$B$33,'Inputs'!$B$29+'Inputs'!$B$31+'Inputs'!$B$32,'Inputs'!$B$30+'Inputs'!$B$31+'Inputs'!$B$32)/1000+'Inputs'!$B$21+'Inputs'!$B$9+'Inputs'!$B$10))^2+('Inputs'!$B$6/2)^2))))*'Results'!$B$8))),"")</x:f>
        <x:v>49.2849919997985</x:v>
      </x:c>
      <x:c r="P277" t="n">
        <x:f>IF(AND(MAX(J277,J276)&gt;0,J277&gt;J276+0.00000001),1,0)</x:f>
        <x:v>0</x:v>
      </x:c>
      <x:c r="Q277" t="n">
        <x:f>IF(AND(MAX(K277,K276)&gt;0,K277&gt;K276+0.00000001),1,0)</x:f>
        <x:v>0</x:v>
      </x:c>
      <x:c r="R277" t="n">
        <x:f>IF(AND(MAX(L277,L276)&gt;0,L277&gt;L276+0.00000001),1,0)</x:f>
        <x:v>0</x:v>
      </x:c>
      <x:c r="S277" t="n">
        <x:f>IF(AND(MAX(M277,M276)&gt;0,M277&gt;M276+0.00000001),1,0)</x:f>
        <x:v>0</x:v>
      </x:c>
      <x:c r="T277" t="n">
        <x:f>IF(AND(MAX(N277,N276)&gt;0,N277&gt;N276+0.00000001),1,0)</x:f>
        <x:v>0</x:v>
      </x:c>
      <x:c r="U277" t="n">
        <x:f>IF(AND(MAX(O277,O276)&gt;0,O277&gt;O276+0.00000001),1,0)</x:f>
        <x:v>0</x:v>
      </x:c>
    </x:row>
    <x:row r="278">
      <x:c r="J278" t="n">
        <x:f>IF(AND(ISNUMBER('Results'!B7),ISNUMBER('Results'!C7),ISNUMBER('Results'!$B$8),ISNUMBER('Inputs'!$B$6),ISNUMBER('Inputs'!$B$7),ISNUMBER('Inputs'!$B$8),ISNUMBER('Inputs'!$B$9),ISNUMBER('Inputs'!$B$10),ISNUMBER('Inputs'!$B$21),ISNUMBER('Inputs'!$B$24),ISNUMBER('Inputs'!$B$28)),(('Results'!B7*(0.5*((((278-43)*MAX('Inputs'!$B$33,'Inputs'!$B$29+'Inputs'!$B$31+'Inputs'!$B$32,'Inputs'!$B$30+'Inputs'!$B$31+'Inputs'!$B$32)/1000+'Inputs'!$B$21)+'Inputs'!$B$7)/SQRT((((278-43)*MAX('Inputs'!$B$33,'Inputs'!$B$29+'Inputs'!$B$31+'Inputs'!$B$32,'Inputs'!$B$30+'Inputs'!$B$31+'Inputs'!$B$32)/1000+'Inputs'!$B$21)+'Inputs'!$B$7)^2+('Inputs'!$B$6/2)^2)-(((278-43)*MAX('Inputs'!$B$33,'Inputs'!$B$29+'Inputs'!$B$31+'Inputs'!$B$32,'Inputs'!$B$30+'Inputs'!$B$31+'Inputs'!$B$32)/1000+'Inputs'!$B$21))/SQRT((((278-43)*MAX('Inputs'!$B$33,'Inputs'!$B$29+'Inputs'!$B$31+'Inputs'!$B$32,'Inputs'!$B$30+'Inputs'!$B$31+'Inputs'!$B$32)/1000+'Inputs'!$B$21))^2+('Inputs'!$B$6/2)^2)))-'Results'!C7*(0.5*((((278-43)*MAX('Inputs'!$B$33,'Inputs'!$B$29+'Inputs'!$B$31+'Inputs'!$B$32,'Inputs'!$B$30+'Inputs'!$B$31+'Inputs'!$B$32)/1000+'Inputs'!$B$21+'Inputs'!$B$7+'Inputs'!$B$10)+'Inputs'!$B$9)/SQRT((((278-43)*MAX('Inputs'!$B$33,'Inputs'!$B$29+'Inputs'!$B$31+'Inputs'!$B$32,'Inputs'!$B$30+'Inputs'!$B$31+'Inputs'!$B$32)/1000+'Inputs'!$B$21+'Inputs'!$B$7+'Inputs'!$B$10)+'Inputs'!$B$9)^2+('Inputs'!$B$8/2)^2)-(((278-43)*MAX('Inputs'!$B$33,'Inputs'!$B$29+'Inputs'!$B$31+'Inputs'!$B$32,'Inputs'!$B$30+'Inputs'!$B$31+'Inputs'!$B$32)/1000+'Inputs'!$B$21+'Inputs'!$B$7+'Inputs'!$B$10))/SQRT((((278-43)*MAX('Inputs'!$B$33,'Inputs'!$B$29+'Inputs'!$B$31+'Inputs'!$B$32,'Inputs'!$B$30+'Inputs'!$B$31+'Inputs'!$B$32)/1000+'Inputs'!$B$21+'Inputs'!$B$7+'Inputs'!$B$10))^2+('Inputs'!$B$8/2)^2))))*'Results'!$B$8),"")</x:f>
        <x:v>46.38858621229946</x:v>
      </x:c>
      <x:c r="K278" t="n">
        <x:f>IF(AND(ISNUMBER('Results'!B7),ISNUMBER('Results'!C7),ISNUMBER('Results'!$B$8),ISNUMBER('Inputs'!$B$6),ISNUMBER('Inputs'!$B$7),ISNUMBER('Inputs'!$B$8),ISNUMBER('Inputs'!$B$9),ISNUMBER('Inputs'!$B$10),ISNUMBER('Inputs'!$B$21),ISNUMBER('Inputs'!$B$24),ISNUMBER('Inputs'!$B$28)),((('Results'!B7*(1-'Inputs'!$B$24)*(0.5*((((278-43)*MAX('Inputs'!$B$33,'Inputs'!$B$29+'Inputs'!$B$31+'Inputs'!$B$32,'Inputs'!$B$30+'Inputs'!$B$31+'Inputs'!$B$32)/1000+'Inputs'!$B$21)+'Inputs'!$B$7)/SQRT((((278-43)*MAX('Inputs'!$B$33,'Inputs'!$B$29+'Inputs'!$B$31+'Inputs'!$B$32,'Inputs'!$B$30+'Inputs'!$B$31+'Inputs'!$B$32)/1000+'Inputs'!$B$21)+'Inputs'!$B$7)^2+('Inputs'!$B$6/2)^2)-(((278-43)*MAX('Inputs'!$B$33,'Inputs'!$B$29+'Inputs'!$B$31+'Inputs'!$B$32,'Inputs'!$B$30+'Inputs'!$B$31+'Inputs'!$B$32)/1000+'Inputs'!$B$21))/SQRT((((278-43)*MAX('Inputs'!$B$33,'Inputs'!$B$29+'Inputs'!$B$31+'Inputs'!$B$32,'Inputs'!$B$30+'Inputs'!$B$31+'Inputs'!$B$32)/1000+'Inputs'!$B$21))^2+('Inputs'!$B$6/2)^2)))-'Results'!C7*(1+'Inputs'!$B$24)*(0.5*((((278-43)*MAX('Inputs'!$B$33,'Inputs'!$B$29+'Inputs'!$B$31+'Inputs'!$B$32,'Inputs'!$B$30+'Inputs'!$B$31+'Inputs'!$B$32)/1000+'Inputs'!$B$21+'Inputs'!$B$7+'Inputs'!$B$10)+'Inputs'!$B$9)/SQRT((((278-43)*MAX('Inputs'!$B$33,'Inputs'!$B$29+'Inputs'!$B$31+'Inputs'!$B$32,'Inputs'!$B$30+'Inputs'!$B$31+'Inputs'!$B$32)/1000+'Inputs'!$B$21+'Inputs'!$B$7+'Inputs'!$B$10)+'Inputs'!$B$9)^2+('Inputs'!$B$8/2)^2)-(((278-43)*MAX('Inputs'!$B$33,'Inputs'!$B$29+'Inputs'!$B$31+'Inputs'!$B$32,'Inputs'!$B$30+'Inputs'!$B$31+'Inputs'!$B$32)/1000+'Inputs'!$B$21+'Inputs'!$B$7+'Inputs'!$B$10))/SQRT((((278-43)*MAX('Inputs'!$B$33,'Inputs'!$B$29+'Inputs'!$B$31+'Inputs'!$B$32,'Inputs'!$B$30+'Inputs'!$B$31+'Inputs'!$B$32)/1000+'Inputs'!$B$21+'Inputs'!$B$7+'Inputs'!$B$10))^2+('Inputs'!$B$8/2)^2))))*'Results'!$B$8)-'Inputs'!$B$28*ABS((('Results'!B7*(1-'Inputs'!$B$24)*(0.5*((((278-43)*MAX('Inputs'!$B$33,'Inputs'!$B$29+'Inputs'!$B$31+'Inputs'!$B$32,'Inputs'!$B$30+'Inputs'!$B$31+'Inputs'!$B$32)/1000+'Inputs'!$B$21)+'Inputs'!$B$7)/SQRT((((278-43)*MAX('Inputs'!$B$33,'Inputs'!$B$29+'Inputs'!$B$31+'Inputs'!$B$32,'Inputs'!$B$30+'Inputs'!$B$31+'Inputs'!$B$32)/1000+'Inputs'!$B$21)+'Inputs'!$B$7)^2+('Inputs'!$B$6/2)^2)-(((278-43)*MAX('Inputs'!$B$33,'Inputs'!$B$29+'Inputs'!$B$31+'Inputs'!$B$32,'Inputs'!$B$30+'Inputs'!$B$31+'Inputs'!$B$32)/1000+'Inputs'!$B$21))/SQRT((((278-43)*MAX('Inputs'!$B$33,'Inputs'!$B$29+'Inputs'!$B$31+'Inputs'!$B$32,'Inputs'!$B$30+'Inputs'!$B$31+'Inputs'!$B$32)/1000+'Inputs'!$B$21))^2+('Inputs'!$B$6/2)^2)))-'Results'!C7*(1+'Inputs'!$B$24)*(0.5*((((278-43)*MAX('Inputs'!$B$33,'Inputs'!$B$29+'Inputs'!$B$31+'Inputs'!$B$32,'Inputs'!$B$30+'Inputs'!$B$31+'Inputs'!$B$32)/1000+'Inputs'!$B$21+'Inputs'!$B$7+'Inputs'!$B$10)+'Inputs'!$B$9)/SQRT((((278-43)*MAX('Inputs'!$B$33,'Inputs'!$B$29+'Inputs'!$B$31+'Inputs'!$B$32,'Inputs'!$B$30+'Inputs'!$B$31+'Inputs'!$B$32)/1000+'Inputs'!$B$21+'Inputs'!$B$7+'Inputs'!$B$10)+'Inputs'!$B$9)^2+('Inputs'!$B$8/2)^2)-(((278-43)*MAX('Inputs'!$B$33,'Inputs'!$B$29+'Inputs'!$B$31+'Inputs'!$B$32,'Inputs'!$B$30+'Inputs'!$B$31+'Inputs'!$B$32)/1000+'Inputs'!$B$21+'Inputs'!$B$7+'Inputs'!$B$10))/SQRT((((278-43)*MAX('Inputs'!$B$33,'Inputs'!$B$29+'Inputs'!$B$31+'Inputs'!$B$32,'Inputs'!$B$30+'Inputs'!$B$31+'Inputs'!$B$32)/1000+'Inputs'!$B$21+'Inputs'!$B$7+'Inputs'!$B$10))^2+('Inputs'!$B$8/2)^2))))*'Results'!$B$8))),"")</x:f>
        <x:v>42.265159336018385</x:v>
      </x:c>
      <x:c r="L278" t="n">
        <x:f>IF(AND(ISNUMBER('Results'!B7),ISNUMBER('Results'!C7),ISNUMBER('Results'!$B$8),ISNUMBER('Inputs'!$B$6),ISNUMBER('Inputs'!$B$7),ISNUMBER('Inputs'!$B$8),ISNUMBER('Inputs'!$B$9),ISNUMBER('Inputs'!$B$10),ISNUMBER('Inputs'!$B$21),ISNUMBER('Inputs'!$B$24),ISNUMBER('Inputs'!$B$28)),((('Results'!B7*(1+'Inputs'!$B$24)*(0.5*((((278-43)*MAX('Inputs'!$B$33,'Inputs'!$B$29+'Inputs'!$B$31+'Inputs'!$B$32,'Inputs'!$B$30+'Inputs'!$B$31+'Inputs'!$B$32)/1000+'Inputs'!$B$21)+'Inputs'!$B$7)/SQRT((((278-43)*MAX('Inputs'!$B$33,'Inputs'!$B$29+'Inputs'!$B$31+'Inputs'!$B$32,'Inputs'!$B$30+'Inputs'!$B$31+'Inputs'!$B$32)/1000+'Inputs'!$B$21)+'Inputs'!$B$7)^2+('Inputs'!$B$6/2)^2)-(((278-43)*MAX('Inputs'!$B$33,'Inputs'!$B$29+'Inputs'!$B$31+'Inputs'!$B$32,'Inputs'!$B$30+'Inputs'!$B$31+'Inputs'!$B$32)/1000+'Inputs'!$B$21))/SQRT((((278-43)*MAX('Inputs'!$B$33,'Inputs'!$B$29+'Inputs'!$B$31+'Inputs'!$B$32,'Inputs'!$B$30+'Inputs'!$B$31+'Inputs'!$B$32)/1000+'Inputs'!$B$21))^2+('Inputs'!$B$6/2)^2)))-'Results'!C7*(1-'Inputs'!$B$24)*(0.5*((((278-43)*MAX('Inputs'!$B$33,'Inputs'!$B$29+'Inputs'!$B$31+'Inputs'!$B$32,'Inputs'!$B$30+'Inputs'!$B$31+'Inputs'!$B$32)/1000+'Inputs'!$B$21+'Inputs'!$B$7+'Inputs'!$B$10)+'Inputs'!$B$9)/SQRT((((278-43)*MAX('Inputs'!$B$33,'Inputs'!$B$29+'Inputs'!$B$31+'Inputs'!$B$32,'Inputs'!$B$30+'Inputs'!$B$31+'Inputs'!$B$32)/1000+'Inputs'!$B$21+'Inputs'!$B$7+'Inputs'!$B$10)+'Inputs'!$B$9)^2+('Inputs'!$B$8/2)^2)-(((278-43)*MAX('Inputs'!$B$33,'Inputs'!$B$29+'Inputs'!$B$31+'Inputs'!$B$32,'Inputs'!$B$30+'Inputs'!$B$31+'Inputs'!$B$32)/1000+'Inputs'!$B$21+'Inputs'!$B$7+'Inputs'!$B$10))/SQRT((((278-43)*MAX('Inputs'!$B$33,'Inputs'!$B$29+'Inputs'!$B$31+'Inputs'!$B$32,'Inputs'!$B$30+'Inputs'!$B$31+'Inputs'!$B$32)/1000+'Inputs'!$B$21+'Inputs'!$B$7+'Inputs'!$B$10))^2+('Inputs'!$B$8/2)^2))))*'Results'!$B$8)+'Inputs'!$B$28*ABS((('Results'!B7*(1+'Inputs'!$B$24)*(0.5*((((278-43)*MAX('Inputs'!$B$33,'Inputs'!$B$29+'Inputs'!$B$31+'Inputs'!$B$32,'Inputs'!$B$30+'Inputs'!$B$31+'Inputs'!$B$32)/1000+'Inputs'!$B$21)+'Inputs'!$B$7)/SQRT((((278-43)*MAX('Inputs'!$B$33,'Inputs'!$B$29+'Inputs'!$B$31+'Inputs'!$B$32,'Inputs'!$B$30+'Inputs'!$B$31+'Inputs'!$B$32)/1000+'Inputs'!$B$21)+'Inputs'!$B$7)^2+('Inputs'!$B$6/2)^2)-(((278-43)*MAX('Inputs'!$B$33,'Inputs'!$B$29+'Inputs'!$B$31+'Inputs'!$B$32,'Inputs'!$B$30+'Inputs'!$B$31+'Inputs'!$B$32)/1000+'Inputs'!$B$21))/SQRT((((278-43)*MAX('Inputs'!$B$33,'Inputs'!$B$29+'Inputs'!$B$31+'Inputs'!$B$32,'Inputs'!$B$30+'Inputs'!$B$31+'Inputs'!$B$32)/1000+'Inputs'!$B$21))^2+('Inputs'!$B$6/2)^2)))-'Results'!C7*(1-'Inputs'!$B$24)*(0.5*((((278-43)*MAX('Inputs'!$B$33,'Inputs'!$B$29+'Inputs'!$B$31+'Inputs'!$B$32,'Inputs'!$B$30+'Inputs'!$B$31+'Inputs'!$B$32)/1000+'Inputs'!$B$21+'Inputs'!$B$7+'Inputs'!$B$10)+'Inputs'!$B$9)/SQRT((((278-43)*MAX('Inputs'!$B$33,'Inputs'!$B$29+'Inputs'!$B$31+'Inputs'!$B$32,'Inputs'!$B$30+'Inputs'!$B$31+'Inputs'!$B$32)/1000+'Inputs'!$B$21+'Inputs'!$B$7+'Inputs'!$B$10)+'Inputs'!$B$9)^2+('Inputs'!$B$8/2)^2)-(((278-43)*MAX('Inputs'!$B$33,'Inputs'!$B$29+'Inputs'!$B$31+'Inputs'!$B$32,'Inputs'!$B$30+'Inputs'!$B$31+'Inputs'!$B$32)/1000+'Inputs'!$B$21+'Inputs'!$B$7+'Inputs'!$B$10))/SQRT((((278-43)*MAX('Inputs'!$B$33,'Inputs'!$B$29+'Inputs'!$B$31+'Inputs'!$B$32,'Inputs'!$B$30+'Inputs'!$B$31+'Inputs'!$B$32)/1000+'Inputs'!$B$21+'Inputs'!$B$7+'Inputs'!$B$10))^2+('Inputs'!$B$8/2)^2))))*'Results'!$B$8))),"")</x:f>
        <x:v>50.701907569176974</x:v>
      </x:c>
      <x:c r="M278" t="n">
        <x:f>IF(AND(ISNUMBER('Results'!C7),ISNUMBER('Results'!B7),ISNUMBER('Results'!$B$8),ISNUMBER('Inputs'!$B$6),ISNUMBER('Inputs'!$B$7),ISNUMBER('Inputs'!$B$8),ISNUMBER('Inputs'!$B$9),ISNUMBER('Inputs'!$B$10),ISNUMBER('Inputs'!$B$21),ISNUMBER('Inputs'!$B$24),ISNUMBER('Inputs'!$B$28)),(('Results'!C7*(0.5*((((278-43)*MAX('Inputs'!$B$33,'Inputs'!$B$29+'Inputs'!$B$31+'Inputs'!$B$32,'Inputs'!$B$30+'Inputs'!$B$31+'Inputs'!$B$32)/1000+'Inputs'!$B$21)+'Inputs'!$B$9)/SQRT((((278-43)*MAX('Inputs'!$B$33,'Inputs'!$B$29+'Inputs'!$B$31+'Inputs'!$B$32,'Inputs'!$B$30+'Inputs'!$B$31+'Inputs'!$B$32)/1000+'Inputs'!$B$21)+'Inputs'!$B$9)^2+('Inputs'!$B$8/2)^2)-(((278-43)*MAX('Inputs'!$B$33,'Inputs'!$B$29+'Inputs'!$B$31+'Inputs'!$B$32,'Inputs'!$B$30+'Inputs'!$B$31+'Inputs'!$B$32)/1000+'Inputs'!$B$21))/SQRT((((278-43)*MAX('Inputs'!$B$33,'Inputs'!$B$29+'Inputs'!$B$31+'Inputs'!$B$32,'Inputs'!$B$30+'Inputs'!$B$31+'Inputs'!$B$32)/1000+'Inputs'!$B$21))^2+('Inputs'!$B$8/2)^2)))-'Results'!B7*(0.5*((((278-43)*MAX('Inputs'!$B$33,'Inputs'!$B$29+'Inputs'!$B$31+'Inputs'!$B$32,'Inputs'!$B$30+'Inputs'!$B$31+'Inputs'!$B$32)/1000+'Inputs'!$B$21+'Inputs'!$B$9+'Inputs'!$B$10)+'Inputs'!$B$7)/SQRT((((278-43)*MAX('Inputs'!$B$33,'Inputs'!$B$29+'Inputs'!$B$31+'Inputs'!$B$32,'Inputs'!$B$30+'Inputs'!$B$31+'Inputs'!$B$32)/1000+'Inputs'!$B$21+'Inputs'!$B$9+'Inputs'!$B$10)+'Inputs'!$B$7)^2+('Inputs'!$B$6/2)^2)-(((278-43)*MAX('Inputs'!$B$33,'Inputs'!$B$29+'Inputs'!$B$31+'Inputs'!$B$32,'Inputs'!$B$30+'Inputs'!$B$31+'Inputs'!$B$32)/1000+'Inputs'!$B$21+'Inputs'!$B$9+'Inputs'!$B$10))/SQRT((((278-43)*MAX('Inputs'!$B$33,'Inputs'!$B$29+'Inputs'!$B$31+'Inputs'!$B$32,'Inputs'!$B$30+'Inputs'!$B$31+'Inputs'!$B$32)/1000+'Inputs'!$B$21+'Inputs'!$B$9+'Inputs'!$B$10))^2+('Inputs'!$B$6/2)^2))))*'Results'!$B$8),"")</x:f>
        <x:v>44.47973147692985</x:v>
      </x:c>
      <x:c r="N278" t="n">
        <x:f>IF(AND(ISNUMBER('Results'!C7),ISNUMBER('Results'!B7),ISNUMBER('Results'!$B$8),ISNUMBER('Inputs'!$B$6),ISNUMBER('Inputs'!$B$7),ISNUMBER('Inputs'!$B$8),ISNUMBER('Inputs'!$B$9),ISNUMBER('Inputs'!$B$10),ISNUMBER('Inputs'!$B$21),ISNUMBER('Inputs'!$B$24),ISNUMBER('Inputs'!$B$28)),((('Results'!C7*(1-'Inputs'!$B$24)*(0.5*((((278-43)*MAX('Inputs'!$B$33,'Inputs'!$B$29+'Inputs'!$B$31+'Inputs'!$B$32,'Inputs'!$B$30+'Inputs'!$B$31+'Inputs'!$B$32)/1000+'Inputs'!$B$21)+'Inputs'!$B$9)/SQRT((((278-43)*MAX('Inputs'!$B$33,'Inputs'!$B$29+'Inputs'!$B$31+'Inputs'!$B$32,'Inputs'!$B$30+'Inputs'!$B$31+'Inputs'!$B$32)/1000+'Inputs'!$B$21)+'Inputs'!$B$9)^2+('Inputs'!$B$8/2)^2)-(((278-43)*MAX('Inputs'!$B$33,'Inputs'!$B$29+'Inputs'!$B$31+'Inputs'!$B$32,'Inputs'!$B$30+'Inputs'!$B$31+'Inputs'!$B$32)/1000+'Inputs'!$B$21))/SQRT((((278-43)*MAX('Inputs'!$B$33,'Inputs'!$B$29+'Inputs'!$B$31+'Inputs'!$B$32,'Inputs'!$B$30+'Inputs'!$B$31+'Inputs'!$B$32)/1000+'Inputs'!$B$21))^2+('Inputs'!$B$8/2)^2)))-'Results'!B7*(1+'Inputs'!$B$24)*(0.5*((((278-43)*MAX('Inputs'!$B$33,'Inputs'!$B$29+'Inputs'!$B$31+'Inputs'!$B$32,'Inputs'!$B$30+'Inputs'!$B$31+'Inputs'!$B$32)/1000+'Inputs'!$B$21+'Inputs'!$B$9+'Inputs'!$B$10)+'Inputs'!$B$7)/SQRT((((278-43)*MAX('Inputs'!$B$33,'Inputs'!$B$29+'Inputs'!$B$31+'Inputs'!$B$32,'Inputs'!$B$30+'Inputs'!$B$31+'Inputs'!$B$32)/1000+'Inputs'!$B$21+'Inputs'!$B$9+'Inputs'!$B$10)+'Inputs'!$B$7)^2+('Inputs'!$B$6/2)^2)-(((278-43)*MAX('Inputs'!$B$33,'Inputs'!$B$29+'Inputs'!$B$31+'Inputs'!$B$32,'Inputs'!$B$30+'Inputs'!$B$31+'Inputs'!$B$32)/1000+'Inputs'!$B$21+'Inputs'!$B$9+'Inputs'!$B$10))/SQRT((((278-43)*MAX('Inputs'!$B$33,'Inputs'!$B$29+'Inputs'!$B$31+'Inputs'!$B$32,'Inputs'!$B$30+'Inputs'!$B$31+'Inputs'!$B$32)/1000+'Inputs'!$B$21+'Inputs'!$B$9+'Inputs'!$B$10))^2+('Inputs'!$B$6/2)^2))))*'Results'!$B$8)-'Inputs'!$B$28*ABS((('Results'!C7*(1-'Inputs'!$B$24)*(0.5*((((278-43)*MAX('Inputs'!$B$33,'Inputs'!$B$29+'Inputs'!$B$31+'Inputs'!$B$32,'Inputs'!$B$30+'Inputs'!$B$31+'Inputs'!$B$32)/1000+'Inputs'!$B$21)+'Inputs'!$B$9)/SQRT((((278-43)*MAX('Inputs'!$B$33,'Inputs'!$B$29+'Inputs'!$B$31+'Inputs'!$B$32,'Inputs'!$B$30+'Inputs'!$B$31+'Inputs'!$B$32)/1000+'Inputs'!$B$21)+'Inputs'!$B$9)^2+('Inputs'!$B$8/2)^2)-(((278-43)*MAX('Inputs'!$B$33,'Inputs'!$B$29+'Inputs'!$B$31+'Inputs'!$B$32,'Inputs'!$B$30+'Inputs'!$B$31+'Inputs'!$B$32)/1000+'Inputs'!$B$21))/SQRT((((278-43)*MAX('Inputs'!$B$33,'Inputs'!$B$29+'Inputs'!$B$31+'Inputs'!$B$32,'Inputs'!$B$30+'Inputs'!$B$31+'Inputs'!$B$32)/1000+'Inputs'!$B$21))^2+('Inputs'!$B$8/2)^2)))-'Results'!B7*(1+'Inputs'!$B$24)*(0.5*((((278-43)*MAX('Inputs'!$B$33,'Inputs'!$B$29+'Inputs'!$B$31+'Inputs'!$B$32,'Inputs'!$B$30+'Inputs'!$B$31+'Inputs'!$B$32)/1000+'Inputs'!$B$21+'Inputs'!$B$9+'Inputs'!$B$10)+'Inputs'!$B$7)/SQRT((((278-43)*MAX('Inputs'!$B$33,'Inputs'!$B$29+'Inputs'!$B$31+'Inputs'!$B$32,'Inputs'!$B$30+'Inputs'!$B$31+'Inputs'!$B$32)/1000+'Inputs'!$B$21+'Inputs'!$B$9+'Inputs'!$B$10)+'Inputs'!$B$7)^2+('Inputs'!$B$6/2)^2)-(((278-43)*MAX('Inputs'!$B$33,'Inputs'!$B$29+'Inputs'!$B$31+'Inputs'!$B$32,'Inputs'!$B$30+'Inputs'!$B$31+'Inputs'!$B$32)/1000+'Inputs'!$B$21+'Inputs'!$B$9+'Inputs'!$B$10))/SQRT((((278-43)*MAX('Inputs'!$B$33,'Inputs'!$B$29+'Inputs'!$B$31+'Inputs'!$B$32,'Inputs'!$B$30+'Inputs'!$B$31+'Inputs'!$B$32)/1000+'Inputs'!$B$21+'Inputs'!$B$9+'Inputs'!$B$10))^2+('Inputs'!$B$6/2)^2))))*'Results'!$B$8))),"")</x:f>
        <x:v>40.469186711519235</x:v>
      </x:c>
      <x:c r="O278" t="n">
        <x:f>IF(AND(ISNUMBER('Results'!C7),ISNUMBER('Results'!B7),ISNUMBER('Results'!$B$8),ISNUMBER('Inputs'!$B$6),ISNUMBER('Inputs'!$B$7),ISNUMBER('Inputs'!$B$8),ISNUMBER('Inputs'!$B$9),ISNUMBER('Inputs'!$B$10),ISNUMBER('Inputs'!$B$21),ISNUMBER('Inputs'!$B$24),ISNUMBER('Inputs'!$B$28)),((('Results'!C7*(1+'Inputs'!$B$24)*(0.5*((((278-43)*MAX('Inputs'!$B$33,'Inputs'!$B$29+'Inputs'!$B$31+'Inputs'!$B$32,'Inputs'!$B$30+'Inputs'!$B$31+'Inputs'!$B$32)/1000+'Inputs'!$B$21)+'Inputs'!$B$9)/SQRT((((278-43)*MAX('Inputs'!$B$33,'Inputs'!$B$29+'Inputs'!$B$31+'Inputs'!$B$32,'Inputs'!$B$30+'Inputs'!$B$31+'Inputs'!$B$32)/1000+'Inputs'!$B$21)+'Inputs'!$B$9)^2+('Inputs'!$B$8/2)^2)-(((278-43)*MAX('Inputs'!$B$33,'Inputs'!$B$29+'Inputs'!$B$31+'Inputs'!$B$32,'Inputs'!$B$30+'Inputs'!$B$31+'Inputs'!$B$32)/1000+'Inputs'!$B$21))/SQRT((((278-43)*MAX('Inputs'!$B$33,'Inputs'!$B$29+'Inputs'!$B$31+'Inputs'!$B$32,'Inputs'!$B$30+'Inputs'!$B$31+'Inputs'!$B$32)/1000+'Inputs'!$B$21))^2+('Inputs'!$B$8/2)^2)))-'Results'!B7*(1-'Inputs'!$B$24)*(0.5*((((278-43)*MAX('Inputs'!$B$33,'Inputs'!$B$29+'Inputs'!$B$31+'Inputs'!$B$32,'Inputs'!$B$30+'Inputs'!$B$31+'Inputs'!$B$32)/1000+'Inputs'!$B$21+'Inputs'!$B$9+'Inputs'!$B$10)+'Inputs'!$B$7)/SQRT((((278-43)*MAX('Inputs'!$B$33,'Inputs'!$B$29+'Inputs'!$B$31+'Inputs'!$B$32,'Inputs'!$B$30+'Inputs'!$B$31+'Inputs'!$B$32)/1000+'Inputs'!$B$21+'Inputs'!$B$9+'Inputs'!$B$10)+'Inputs'!$B$7)^2+('Inputs'!$B$6/2)^2)-(((278-43)*MAX('Inputs'!$B$33,'Inputs'!$B$29+'Inputs'!$B$31+'Inputs'!$B$32,'Inputs'!$B$30+'Inputs'!$B$31+'Inputs'!$B$32)/1000+'Inputs'!$B$21+'Inputs'!$B$9+'Inputs'!$B$10))/SQRT((((278-43)*MAX('Inputs'!$B$33,'Inputs'!$B$29+'Inputs'!$B$31+'Inputs'!$B$32,'Inputs'!$B$30+'Inputs'!$B$31+'Inputs'!$B$32)/1000+'Inputs'!$B$21+'Inputs'!$B$9+'Inputs'!$B$10))^2+('Inputs'!$B$6/2)^2))))*'Results'!$B$8)+'Inputs'!$B$28*ABS((('Results'!C7*(1+'Inputs'!$B$24)*(0.5*((((278-43)*MAX('Inputs'!$B$33,'Inputs'!$B$29+'Inputs'!$B$31+'Inputs'!$B$32,'Inputs'!$B$30+'Inputs'!$B$31+'Inputs'!$B$32)/1000+'Inputs'!$B$21)+'Inputs'!$B$9)/SQRT((((278-43)*MAX('Inputs'!$B$33,'Inputs'!$B$29+'Inputs'!$B$31+'Inputs'!$B$32,'Inputs'!$B$30+'Inputs'!$B$31+'Inputs'!$B$32)/1000+'Inputs'!$B$21)+'Inputs'!$B$9)^2+('Inputs'!$B$8/2)^2)-(((278-43)*MAX('Inputs'!$B$33,'Inputs'!$B$29+'Inputs'!$B$31+'Inputs'!$B$32,'Inputs'!$B$30+'Inputs'!$B$31+'Inputs'!$B$32)/1000+'Inputs'!$B$21))/SQRT((((278-43)*MAX('Inputs'!$B$33,'Inputs'!$B$29+'Inputs'!$B$31+'Inputs'!$B$32,'Inputs'!$B$30+'Inputs'!$B$31+'Inputs'!$B$32)/1000+'Inputs'!$B$21))^2+('Inputs'!$B$8/2)^2)))-'Results'!B7*(1-'Inputs'!$B$24)*(0.5*((((278-43)*MAX('Inputs'!$B$33,'Inputs'!$B$29+'Inputs'!$B$31+'Inputs'!$B$32,'Inputs'!$B$30+'Inputs'!$B$31+'Inputs'!$B$32)/1000+'Inputs'!$B$21+'Inputs'!$B$9+'Inputs'!$B$10)+'Inputs'!$B$7)/SQRT((((278-43)*MAX('Inputs'!$B$33,'Inputs'!$B$29+'Inputs'!$B$31+'Inputs'!$B$32,'Inputs'!$B$30+'Inputs'!$B$31+'Inputs'!$B$32)/1000+'Inputs'!$B$21+'Inputs'!$B$9+'Inputs'!$B$10)+'Inputs'!$B$7)^2+('Inputs'!$B$6/2)^2)-(((278-43)*MAX('Inputs'!$B$33,'Inputs'!$B$29+'Inputs'!$B$31+'Inputs'!$B$32,'Inputs'!$B$30+'Inputs'!$B$31+'Inputs'!$B$32)/1000+'Inputs'!$B$21+'Inputs'!$B$9+'Inputs'!$B$10))/SQRT((((278-43)*MAX('Inputs'!$B$33,'Inputs'!$B$29+'Inputs'!$B$31+'Inputs'!$B$32,'Inputs'!$B$30+'Inputs'!$B$31+'Inputs'!$B$32)/1000+'Inputs'!$B$21+'Inputs'!$B$9+'Inputs'!$B$10))^2+('Inputs'!$B$6/2)^2))))*'Results'!$B$8))),"")</x:f>
        <x:v>48.678334999347236</x:v>
      </x:c>
      <x:c r="P278" t="n">
        <x:f>IF(AND(MAX(J278,J277)&gt;0,J278&gt;J277+0.00000001),1,0)</x:f>
        <x:v>0</x:v>
      </x:c>
      <x:c r="Q278" t="n">
        <x:f>IF(AND(MAX(K278,K277)&gt;0,K278&gt;K277+0.00000001),1,0)</x:f>
        <x:v>0</x:v>
      </x:c>
      <x:c r="R278" t="n">
        <x:f>IF(AND(MAX(L278,L277)&gt;0,L278&gt;L277+0.00000001),1,0)</x:f>
        <x:v>0</x:v>
      </x:c>
      <x:c r="S278" t="n">
        <x:f>IF(AND(MAX(M278,M277)&gt;0,M278&gt;M277+0.00000001),1,0)</x:f>
        <x:v>0</x:v>
      </x:c>
      <x:c r="T278" t="n">
        <x:f>IF(AND(MAX(N278,N277)&gt;0,N278&gt;N277+0.00000001),1,0)</x:f>
        <x:v>0</x:v>
      </x:c>
      <x:c r="U278" t="n">
        <x:f>IF(AND(MAX(O278,O277)&gt;0,O278&gt;O277+0.00000001),1,0)</x:f>
        <x:v>0</x:v>
      </x:c>
    </x:row>
    <x:row r="279">
      <x:c r="J279" t="n">
        <x:f>IF(AND(ISNUMBER('Results'!B7),ISNUMBER('Results'!C7),ISNUMBER('Results'!$B$8),ISNUMBER('Inputs'!$B$6),ISNUMBER('Inputs'!$B$7),ISNUMBER('Inputs'!$B$8),ISNUMBER('Inputs'!$B$9),ISNUMBER('Inputs'!$B$10),ISNUMBER('Inputs'!$B$21),ISNUMBER('Inputs'!$B$24),ISNUMBER('Inputs'!$B$28)),(('Results'!B7*(0.5*((((279-43)*MAX('Inputs'!$B$33,'Inputs'!$B$29+'Inputs'!$B$31+'Inputs'!$B$32,'Inputs'!$B$30+'Inputs'!$B$31+'Inputs'!$B$32)/1000+'Inputs'!$B$21)+'Inputs'!$B$7)/SQRT((((279-43)*MAX('Inputs'!$B$33,'Inputs'!$B$29+'Inputs'!$B$31+'Inputs'!$B$32,'Inputs'!$B$30+'Inputs'!$B$31+'Inputs'!$B$32)/1000+'Inputs'!$B$21)+'Inputs'!$B$7)^2+('Inputs'!$B$6/2)^2)-(((279-43)*MAX('Inputs'!$B$33,'Inputs'!$B$29+'Inputs'!$B$31+'Inputs'!$B$32,'Inputs'!$B$30+'Inputs'!$B$31+'Inputs'!$B$32)/1000+'Inputs'!$B$21))/SQRT((((279-43)*MAX('Inputs'!$B$33,'Inputs'!$B$29+'Inputs'!$B$31+'Inputs'!$B$32,'Inputs'!$B$30+'Inputs'!$B$31+'Inputs'!$B$32)/1000+'Inputs'!$B$21))^2+('Inputs'!$B$6/2)^2)))-'Results'!C7*(0.5*((((279-43)*MAX('Inputs'!$B$33,'Inputs'!$B$29+'Inputs'!$B$31+'Inputs'!$B$32,'Inputs'!$B$30+'Inputs'!$B$31+'Inputs'!$B$32)/1000+'Inputs'!$B$21+'Inputs'!$B$7+'Inputs'!$B$10)+'Inputs'!$B$9)/SQRT((((279-43)*MAX('Inputs'!$B$33,'Inputs'!$B$29+'Inputs'!$B$31+'Inputs'!$B$32,'Inputs'!$B$30+'Inputs'!$B$31+'Inputs'!$B$32)/1000+'Inputs'!$B$21+'Inputs'!$B$7+'Inputs'!$B$10)+'Inputs'!$B$9)^2+('Inputs'!$B$8/2)^2)-(((279-43)*MAX('Inputs'!$B$33,'Inputs'!$B$29+'Inputs'!$B$31+'Inputs'!$B$32,'Inputs'!$B$30+'Inputs'!$B$31+'Inputs'!$B$32)/1000+'Inputs'!$B$21+'Inputs'!$B$7+'Inputs'!$B$10))/SQRT((((279-43)*MAX('Inputs'!$B$33,'Inputs'!$B$29+'Inputs'!$B$31+'Inputs'!$B$32,'Inputs'!$B$30+'Inputs'!$B$31+'Inputs'!$B$32)/1000+'Inputs'!$B$21+'Inputs'!$B$7+'Inputs'!$B$10))^2+('Inputs'!$B$8/2)^2))))*'Results'!$B$8),"")</x:f>
        <x:v>45.81928697840973</x:v>
      </x:c>
      <x:c r="K279" t="n">
        <x:f>IF(AND(ISNUMBER('Results'!B7),ISNUMBER('Results'!C7),ISNUMBER('Results'!$B$8),ISNUMBER('Inputs'!$B$6),ISNUMBER('Inputs'!$B$7),ISNUMBER('Inputs'!$B$8),ISNUMBER('Inputs'!$B$9),ISNUMBER('Inputs'!$B$10),ISNUMBER('Inputs'!$B$21),ISNUMBER('Inputs'!$B$24),ISNUMBER('Inputs'!$B$28)),((('Results'!B7*(1-'Inputs'!$B$24)*(0.5*((((279-43)*MAX('Inputs'!$B$33,'Inputs'!$B$29+'Inputs'!$B$31+'Inputs'!$B$32,'Inputs'!$B$30+'Inputs'!$B$31+'Inputs'!$B$32)/1000+'Inputs'!$B$21)+'Inputs'!$B$7)/SQRT((((279-43)*MAX('Inputs'!$B$33,'Inputs'!$B$29+'Inputs'!$B$31+'Inputs'!$B$32,'Inputs'!$B$30+'Inputs'!$B$31+'Inputs'!$B$32)/1000+'Inputs'!$B$21)+'Inputs'!$B$7)^2+('Inputs'!$B$6/2)^2)-(((279-43)*MAX('Inputs'!$B$33,'Inputs'!$B$29+'Inputs'!$B$31+'Inputs'!$B$32,'Inputs'!$B$30+'Inputs'!$B$31+'Inputs'!$B$32)/1000+'Inputs'!$B$21))/SQRT((((279-43)*MAX('Inputs'!$B$33,'Inputs'!$B$29+'Inputs'!$B$31+'Inputs'!$B$32,'Inputs'!$B$30+'Inputs'!$B$31+'Inputs'!$B$32)/1000+'Inputs'!$B$21))^2+('Inputs'!$B$6/2)^2)))-'Results'!C7*(1+'Inputs'!$B$24)*(0.5*((((279-43)*MAX('Inputs'!$B$33,'Inputs'!$B$29+'Inputs'!$B$31+'Inputs'!$B$32,'Inputs'!$B$30+'Inputs'!$B$31+'Inputs'!$B$32)/1000+'Inputs'!$B$21+'Inputs'!$B$7+'Inputs'!$B$10)+'Inputs'!$B$9)/SQRT((((279-43)*MAX('Inputs'!$B$33,'Inputs'!$B$29+'Inputs'!$B$31+'Inputs'!$B$32,'Inputs'!$B$30+'Inputs'!$B$31+'Inputs'!$B$32)/1000+'Inputs'!$B$21+'Inputs'!$B$7+'Inputs'!$B$10)+'Inputs'!$B$9)^2+('Inputs'!$B$8/2)^2)-(((279-43)*MAX('Inputs'!$B$33,'Inputs'!$B$29+'Inputs'!$B$31+'Inputs'!$B$32,'Inputs'!$B$30+'Inputs'!$B$31+'Inputs'!$B$32)/1000+'Inputs'!$B$21+'Inputs'!$B$7+'Inputs'!$B$10))/SQRT((((279-43)*MAX('Inputs'!$B$33,'Inputs'!$B$29+'Inputs'!$B$31+'Inputs'!$B$32,'Inputs'!$B$30+'Inputs'!$B$31+'Inputs'!$B$32)/1000+'Inputs'!$B$21+'Inputs'!$B$7+'Inputs'!$B$10))^2+('Inputs'!$B$8/2)^2))))*'Results'!$B$8)-'Inputs'!$B$28*ABS((('Results'!B7*(1-'Inputs'!$B$24)*(0.5*((((279-43)*MAX('Inputs'!$B$33,'Inputs'!$B$29+'Inputs'!$B$31+'Inputs'!$B$32,'Inputs'!$B$30+'Inputs'!$B$31+'Inputs'!$B$32)/1000+'Inputs'!$B$21)+'Inputs'!$B$7)/SQRT((((279-43)*MAX('Inputs'!$B$33,'Inputs'!$B$29+'Inputs'!$B$31+'Inputs'!$B$32,'Inputs'!$B$30+'Inputs'!$B$31+'Inputs'!$B$32)/1000+'Inputs'!$B$21)+'Inputs'!$B$7)^2+('Inputs'!$B$6/2)^2)-(((279-43)*MAX('Inputs'!$B$33,'Inputs'!$B$29+'Inputs'!$B$31+'Inputs'!$B$32,'Inputs'!$B$30+'Inputs'!$B$31+'Inputs'!$B$32)/1000+'Inputs'!$B$21))/SQRT((((279-43)*MAX('Inputs'!$B$33,'Inputs'!$B$29+'Inputs'!$B$31+'Inputs'!$B$32,'Inputs'!$B$30+'Inputs'!$B$31+'Inputs'!$B$32)/1000+'Inputs'!$B$21))^2+('Inputs'!$B$6/2)^2)))-'Results'!C7*(1+'Inputs'!$B$24)*(0.5*((((279-43)*MAX('Inputs'!$B$33,'Inputs'!$B$29+'Inputs'!$B$31+'Inputs'!$B$32,'Inputs'!$B$30+'Inputs'!$B$31+'Inputs'!$B$32)/1000+'Inputs'!$B$21+'Inputs'!$B$7+'Inputs'!$B$10)+'Inputs'!$B$9)/SQRT((((279-43)*MAX('Inputs'!$B$33,'Inputs'!$B$29+'Inputs'!$B$31+'Inputs'!$B$32,'Inputs'!$B$30+'Inputs'!$B$31+'Inputs'!$B$32)/1000+'Inputs'!$B$21+'Inputs'!$B$7+'Inputs'!$B$10)+'Inputs'!$B$9)^2+('Inputs'!$B$8/2)^2)-(((279-43)*MAX('Inputs'!$B$33,'Inputs'!$B$29+'Inputs'!$B$31+'Inputs'!$B$32,'Inputs'!$B$30+'Inputs'!$B$31+'Inputs'!$B$32)/1000+'Inputs'!$B$21+'Inputs'!$B$7+'Inputs'!$B$10))/SQRT((((279-43)*MAX('Inputs'!$B$33,'Inputs'!$B$29+'Inputs'!$B$31+'Inputs'!$B$32,'Inputs'!$B$30+'Inputs'!$B$31+'Inputs'!$B$32)/1000+'Inputs'!$B$21+'Inputs'!$B$7+'Inputs'!$B$10))^2+('Inputs'!$B$8/2)^2))))*'Results'!$B$8))),"")</x:f>
        <x:v>41.742288289265225</x:v>
      </x:c>
      <x:c r="L279" t="n">
        <x:f>IF(AND(ISNUMBER('Results'!B7),ISNUMBER('Results'!C7),ISNUMBER('Results'!$B$8),ISNUMBER('Inputs'!$B$6),ISNUMBER('Inputs'!$B$7),ISNUMBER('Inputs'!$B$8),ISNUMBER('Inputs'!$B$9),ISNUMBER('Inputs'!$B$10),ISNUMBER('Inputs'!$B$21),ISNUMBER('Inputs'!$B$24),ISNUMBER('Inputs'!$B$28)),((('Results'!B7*(1+'Inputs'!$B$24)*(0.5*((((279-43)*MAX('Inputs'!$B$33,'Inputs'!$B$29+'Inputs'!$B$31+'Inputs'!$B$32,'Inputs'!$B$30+'Inputs'!$B$31+'Inputs'!$B$32)/1000+'Inputs'!$B$21)+'Inputs'!$B$7)/SQRT((((279-43)*MAX('Inputs'!$B$33,'Inputs'!$B$29+'Inputs'!$B$31+'Inputs'!$B$32,'Inputs'!$B$30+'Inputs'!$B$31+'Inputs'!$B$32)/1000+'Inputs'!$B$21)+'Inputs'!$B$7)^2+('Inputs'!$B$6/2)^2)-(((279-43)*MAX('Inputs'!$B$33,'Inputs'!$B$29+'Inputs'!$B$31+'Inputs'!$B$32,'Inputs'!$B$30+'Inputs'!$B$31+'Inputs'!$B$32)/1000+'Inputs'!$B$21))/SQRT((((279-43)*MAX('Inputs'!$B$33,'Inputs'!$B$29+'Inputs'!$B$31+'Inputs'!$B$32,'Inputs'!$B$30+'Inputs'!$B$31+'Inputs'!$B$32)/1000+'Inputs'!$B$21))^2+('Inputs'!$B$6/2)^2)))-'Results'!C7*(1-'Inputs'!$B$24)*(0.5*((((279-43)*MAX('Inputs'!$B$33,'Inputs'!$B$29+'Inputs'!$B$31+'Inputs'!$B$32,'Inputs'!$B$30+'Inputs'!$B$31+'Inputs'!$B$32)/1000+'Inputs'!$B$21+'Inputs'!$B$7+'Inputs'!$B$10)+'Inputs'!$B$9)/SQRT((((279-43)*MAX('Inputs'!$B$33,'Inputs'!$B$29+'Inputs'!$B$31+'Inputs'!$B$32,'Inputs'!$B$30+'Inputs'!$B$31+'Inputs'!$B$32)/1000+'Inputs'!$B$21+'Inputs'!$B$7+'Inputs'!$B$10)+'Inputs'!$B$9)^2+('Inputs'!$B$8/2)^2)-(((279-43)*MAX('Inputs'!$B$33,'Inputs'!$B$29+'Inputs'!$B$31+'Inputs'!$B$32,'Inputs'!$B$30+'Inputs'!$B$31+'Inputs'!$B$32)/1000+'Inputs'!$B$21+'Inputs'!$B$7+'Inputs'!$B$10))/SQRT((((279-43)*MAX('Inputs'!$B$33,'Inputs'!$B$29+'Inputs'!$B$31+'Inputs'!$B$32,'Inputs'!$B$30+'Inputs'!$B$31+'Inputs'!$B$32)/1000+'Inputs'!$B$21+'Inputs'!$B$7+'Inputs'!$B$10))^2+('Inputs'!$B$8/2)^2))))*'Results'!$B$8)+'Inputs'!$B$28*ABS((('Results'!B7*(1+'Inputs'!$B$24)*(0.5*((((279-43)*MAX('Inputs'!$B$33,'Inputs'!$B$29+'Inputs'!$B$31+'Inputs'!$B$32,'Inputs'!$B$30+'Inputs'!$B$31+'Inputs'!$B$32)/1000+'Inputs'!$B$21)+'Inputs'!$B$7)/SQRT((((279-43)*MAX('Inputs'!$B$33,'Inputs'!$B$29+'Inputs'!$B$31+'Inputs'!$B$32,'Inputs'!$B$30+'Inputs'!$B$31+'Inputs'!$B$32)/1000+'Inputs'!$B$21)+'Inputs'!$B$7)^2+('Inputs'!$B$6/2)^2)-(((279-43)*MAX('Inputs'!$B$33,'Inputs'!$B$29+'Inputs'!$B$31+'Inputs'!$B$32,'Inputs'!$B$30+'Inputs'!$B$31+'Inputs'!$B$32)/1000+'Inputs'!$B$21))/SQRT((((279-43)*MAX('Inputs'!$B$33,'Inputs'!$B$29+'Inputs'!$B$31+'Inputs'!$B$32,'Inputs'!$B$30+'Inputs'!$B$31+'Inputs'!$B$32)/1000+'Inputs'!$B$21))^2+('Inputs'!$B$6/2)^2)))-'Results'!C7*(1-'Inputs'!$B$24)*(0.5*((((279-43)*MAX('Inputs'!$B$33,'Inputs'!$B$29+'Inputs'!$B$31+'Inputs'!$B$32,'Inputs'!$B$30+'Inputs'!$B$31+'Inputs'!$B$32)/1000+'Inputs'!$B$21+'Inputs'!$B$7+'Inputs'!$B$10)+'Inputs'!$B$9)/SQRT((((279-43)*MAX('Inputs'!$B$33,'Inputs'!$B$29+'Inputs'!$B$31+'Inputs'!$B$32,'Inputs'!$B$30+'Inputs'!$B$31+'Inputs'!$B$32)/1000+'Inputs'!$B$21+'Inputs'!$B$7+'Inputs'!$B$10)+'Inputs'!$B$9)^2+('Inputs'!$B$8/2)^2)-(((279-43)*MAX('Inputs'!$B$33,'Inputs'!$B$29+'Inputs'!$B$31+'Inputs'!$B$32,'Inputs'!$B$30+'Inputs'!$B$31+'Inputs'!$B$32)/1000+'Inputs'!$B$21+'Inputs'!$B$7+'Inputs'!$B$10))/SQRT((((279-43)*MAX('Inputs'!$B$33,'Inputs'!$B$29+'Inputs'!$B$31+'Inputs'!$B$32,'Inputs'!$B$30+'Inputs'!$B$31+'Inputs'!$B$32)/1000+'Inputs'!$B$21+'Inputs'!$B$7+'Inputs'!$B$10))^2+('Inputs'!$B$8/2)^2))))*'Results'!$B$8))),"")</x:f>
        <x:v>50.084289282314664</x:v>
      </x:c>
      <x:c r="M279" t="n">
        <x:f>IF(AND(ISNUMBER('Results'!C7),ISNUMBER('Results'!B7),ISNUMBER('Results'!$B$8),ISNUMBER('Inputs'!$B$6),ISNUMBER('Inputs'!$B$7),ISNUMBER('Inputs'!$B$8),ISNUMBER('Inputs'!$B$9),ISNUMBER('Inputs'!$B$10),ISNUMBER('Inputs'!$B$21),ISNUMBER('Inputs'!$B$24),ISNUMBER('Inputs'!$B$28)),(('Results'!C7*(0.5*((((279-43)*MAX('Inputs'!$B$33,'Inputs'!$B$29+'Inputs'!$B$31+'Inputs'!$B$32,'Inputs'!$B$30+'Inputs'!$B$31+'Inputs'!$B$32)/1000+'Inputs'!$B$21)+'Inputs'!$B$9)/SQRT((((279-43)*MAX('Inputs'!$B$33,'Inputs'!$B$29+'Inputs'!$B$31+'Inputs'!$B$32,'Inputs'!$B$30+'Inputs'!$B$31+'Inputs'!$B$32)/1000+'Inputs'!$B$21)+'Inputs'!$B$9)^2+('Inputs'!$B$8/2)^2)-(((279-43)*MAX('Inputs'!$B$33,'Inputs'!$B$29+'Inputs'!$B$31+'Inputs'!$B$32,'Inputs'!$B$30+'Inputs'!$B$31+'Inputs'!$B$32)/1000+'Inputs'!$B$21))/SQRT((((279-43)*MAX('Inputs'!$B$33,'Inputs'!$B$29+'Inputs'!$B$31+'Inputs'!$B$32,'Inputs'!$B$30+'Inputs'!$B$31+'Inputs'!$B$32)/1000+'Inputs'!$B$21))^2+('Inputs'!$B$8/2)^2)))-'Results'!B7*(0.5*((((279-43)*MAX('Inputs'!$B$33,'Inputs'!$B$29+'Inputs'!$B$31+'Inputs'!$B$32,'Inputs'!$B$30+'Inputs'!$B$31+'Inputs'!$B$32)/1000+'Inputs'!$B$21+'Inputs'!$B$9+'Inputs'!$B$10)+'Inputs'!$B$7)/SQRT((((279-43)*MAX('Inputs'!$B$33,'Inputs'!$B$29+'Inputs'!$B$31+'Inputs'!$B$32,'Inputs'!$B$30+'Inputs'!$B$31+'Inputs'!$B$32)/1000+'Inputs'!$B$21+'Inputs'!$B$9+'Inputs'!$B$10)+'Inputs'!$B$7)^2+('Inputs'!$B$6/2)^2)-(((279-43)*MAX('Inputs'!$B$33,'Inputs'!$B$29+'Inputs'!$B$31+'Inputs'!$B$32,'Inputs'!$B$30+'Inputs'!$B$31+'Inputs'!$B$32)/1000+'Inputs'!$B$21+'Inputs'!$B$9+'Inputs'!$B$10))/SQRT((((279-43)*MAX('Inputs'!$B$33,'Inputs'!$B$29+'Inputs'!$B$31+'Inputs'!$B$32,'Inputs'!$B$30+'Inputs'!$B$31+'Inputs'!$B$32)/1000+'Inputs'!$B$21+'Inputs'!$B$9+'Inputs'!$B$10))^2+('Inputs'!$B$6/2)^2))))*'Results'!$B$8),"")</x:f>
        <x:v>43.92941766337656</x:v>
      </x:c>
      <x:c r="N279" t="n">
        <x:f>IF(AND(ISNUMBER('Results'!C7),ISNUMBER('Results'!B7),ISNUMBER('Results'!$B$8),ISNUMBER('Inputs'!$B$6),ISNUMBER('Inputs'!$B$7),ISNUMBER('Inputs'!$B$8),ISNUMBER('Inputs'!$B$9),ISNUMBER('Inputs'!$B$10),ISNUMBER('Inputs'!$B$21),ISNUMBER('Inputs'!$B$24),ISNUMBER('Inputs'!$B$28)),((('Results'!C7*(1-'Inputs'!$B$24)*(0.5*((((279-43)*MAX('Inputs'!$B$33,'Inputs'!$B$29+'Inputs'!$B$31+'Inputs'!$B$32,'Inputs'!$B$30+'Inputs'!$B$31+'Inputs'!$B$32)/1000+'Inputs'!$B$21)+'Inputs'!$B$9)/SQRT((((279-43)*MAX('Inputs'!$B$33,'Inputs'!$B$29+'Inputs'!$B$31+'Inputs'!$B$32,'Inputs'!$B$30+'Inputs'!$B$31+'Inputs'!$B$32)/1000+'Inputs'!$B$21)+'Inputs'!$B$9)^2+('Inputs'!$B$8/2)^2)-(((279-43)*MAX('Inputs'!$B$33,'Inputs'!$B$29+'Inputs'!$B$31+'Inputs'!$B$32,'Inputs'!$B$30+'Inputs'!$B$31+'Inputs'!$B$32)/1000+'Inputs'!$B$21))/SQRT((((279-43)*MAX('Inputs'!$B$33,'Inputs'!$B$29+'Inputs'!$B$31+'Inputs'!$B$32,'Inputs'!$B$30+'Inputs'!$B$31+'Inputs'!$B$32)/1000+'Inputs'!$B$21))^2+('Inputs'!$B$8/2)^2)))-'Results'!B7*(1+'Inputs'!$B$24)*(0.5*((((279-43)*MAX('Inputs'!$B$33,'Inputs'!$B$29+'Inputs'!$B$31+'Inputs'!$B$32,'Inputs'!$B$30+'Inputs'!$B$31+'Inputs'!$B$32)/1000+'Inputs'!$B$21+'Inputs'!$B$9+'Inputs'!$B$10)+'Inputs'!$B$7)/SQRT((((279-43)*MAX('Inputs'!$B$33,'Inputs'!$B$29+'Inputs'!$B$31+'Inputs'!$B$32,'Inputs'!$B$30+'Inputs'!$B$31+'Inputs'!$B$32)/1000+'Inputs'!$B$21+'Inputs'!$B$9+'Inputs'!$B$10)+'Inputs'!$B$7)^2+('Inputs'!$B$6/2)^2)-(((279-43)*MAX('Inputs'!$B$33,'Inputs'!$B$29+'Inputs'!$B$31+'Inputs'!$B$32,'Inputs'!$B$30+'Inputs'!$B$31+'Inputs'!$B$32)/1000+'Inputs'!$B$21+'Inputs'!$B$9+'Inputs'!$B$10))/SQRT((((279-43)*MAX('Inputs'!$B$33,'Inputs'!$B$29+'Inputs'!$B$31+'Inputs'!$B$32,'Inputs'!$B$30+'Inputs'!$B$31+'Inputs'!$B$32)/1000+'Inputs'!$B$21+'Inputs'!$B$9+'Inputs'!$B$10))^2+('Inputs'!$B$6/2)^2))))*'Results'!$B$8)-'Inputs'!$B$28*ABS((('Results'!C7*(1-'Inputs'!$B$24)*(0.5*((((279-43)*MAX('Inputs'!$B$33,'Inputs'!$B$29+'Inputs'!$B$31+'Inputs'!$B$32,'Inputs'!$B$30+'Inputs'!$B$31+'Inputs'!$B$32)/1000+'Inputs'!$B$21)+'Inputs'!$B$9)/SQRT((((279-43)*MAX('Inputs'!$B$33,'Inputs'!$B$29+'Inputs'!$B$31+'Inputs'!$B$32,'Inputs'!$B$30+'Inputs'!$B$31+'Inputs'!$B$32)/1000+'Inputs'!$B$21)+'Inputs'!$B$9)^2+('Inputs'!$B$8/2)^2)-(((279-43)*MAX('Inputs'!$B$33,'Inputs'!$B$29+'Inputs'!$B$31+'Inputs'!$B$32,'Inputs'!$B$30+'Inputs'!$B$31+'Inputs'!$B$32)/1000+'Inputs'!$B$21))/SQRT((((279-43)*MAX('Inputs'!$B$33,'Inputs'!$B$29+'Inputs'!$B$31+'Inputs'!$B$32,'Inputs'!$B$30+'Inputs'!$B$31+'Inputs'!$B$32)/1000+'Inputs'!$B$21))^2+('Inputs'!$B$8/2)^2)))-'Results'!B7*(1+'Inputs'!$B$24)*(0.5*((((279-43)*MAX('Inputs'!$B$33,'Inputs'!$B$29+'Inputs'!$B$31+'Inputs'!$B$32,'Inputs'!$B$30+'Inputs'!$B$31+'Inputs'!$B$32)/1000+'Inputs'!$B$21+'Inputs'!$B$9+'Inputs'!$B$10)+'Inputs'!$B$7)/SQRT((((279-43)*MAX('Inputs'!$B$33,'Inputs'!$B$29+'Inputs'!$B$31+'Inputs'!$B$32,'Inputs'!$B$30+'Inputs'!$B$31+'Inputs'!$B$32)/1000+'Inputs'!$B$21+'Inputs'!$B$9+'Inputs'!$B$10)+'Inputs'!$B$7)^2+('Inputs'!$B$6/2)^2)-(((279-43)*MAX('Inputs'!$B$33,'Inputs'!$B$29+'Inputs'!$B$31+'Inputs'!$B$32,'Inputs'!$B$30+'Inputs'!$B$31+'Inputs'!$B$32)/1000+'Inputs'!$B$21+'Inputs'!$B$9+'Inputs'!$B$10))/SQRT((((279-43)*MAX('Inputs'!$B$33,'Inputs'!$B$29+'Inputs'!$B$31+'Inputs'!$B$32,'Inputs'!$B$30+'Inputs'!$B$31+'Inputs'!$B$32)/1000+'Inputs'!$B$21+'Inputs'!$B$9+'Inputs'!$B$10))^2+('Inputs'!$B$6/2)^2))))*'Results'!$B$8))),"")</x:f>
        <x:v>39.96413693885434</x:v>
      </x:c>
      <x:c r="O279" t="n">
        <x:f>IF(AND(ISNUMBER('Results'!C7),ISNUMBER('Results'!B7),ISNUMBER('Results'!$B$8),ISNUMBER('Inputs'!$B$6),ISNUMBER('Inputs'!$B$7),ISNUMBER('Inputs'!$B$8),ISNUMBER('Inputs'!$B$9),ISNUMBER('Inputs'!$B$10),ISNUMBER('Inputs'!$B$21),ISNUMBER('Inputs'!$B$24),ISNUMBER('Inputs'!$B$28)),((('Results'!C7*(1+'Inputs'!$B$24)*(0.5*((((279-43)*MAX('Inputs'!$B$33,'Inputs'!$B$29+'Inputs'!$B$31+'Inputs'!$B$32,'Inputs'!$B$30+'Inputs'!$B$31+'Inputs'!$B$32)/1000+'Inputs'!$B$21)+'Inputs'!$B$9)/SQRT((((279-43)*MAX('Inputs'!$B$33,'Inputs'!$B$29+'Inputs'!$B$31+'Inputs'!$B$32,'Inputs'!$B$30+'Inputs'!$B$31+'Inputs'!$B$32)/1000+'Inputs'!$B$21)+'Inputs'!$B$9)^2+('Inputs'!$B$8/2)^2)-(((279-43)*MAX('Inputs'!$B$33,'Inputs'!$B$29+'Inputs'!$B$31+'Inputs'!$B$32,'Inputs'!$B$30+'Inputs'!$B$31+'Inputs'!$B$32)/1000+'Inputs'!$B$21))/SQRT((((279-43)*MAX('Inputs'!$B$33,'Inputs'!$B$29+'Inputs'!$B$31+'Inputs'!$B$32,'Inputs'!$B$30+'Inputs'!$B$31+'Inputs'!$B$32)/1000+'Inputs'!$B$21))^2+('Inputs'!$B$8/2)^2)))-'Results'!B7*(1-'Inputs'!$B$24)*(0.5*((((279-43)*MAX('Inputs'!$B$33,'Inputs'!$B$29+'Inputs'!$B$31+'Inputs'!$B$32,'Inputs'!$B$30+'Inputs'!$B$31+'Inputs'!$B$32)/1000+'Inputs'!$B$21+'Inputs'!$B$9+'Inputs'!$B$10)+'Inputs'!$B$7)/SQRT((((279-43)*MAX('Inputs'!$B$33,'Inputs'!$B$29+'Inputs'!$B$31+'Inputs'!$B$32,'Inputs'!$B$30+'Inputs'!$B$31+'Inputs'!$B$32)/1000+'Inputs'!$B$21+'Inputs'!$B$9+'Inputs'!$B$10)+'Inputs'!$B$7)^2+('Inputs'!$B$6/2)^2)-(((279-43)*MAX('Inputs'!$B$33,'Inputs'!$B$29+'Inputs'!$B$31+'Inputs'!$B$32,'Inputs'!$B$30+'Inputs'!$B$31+'Inputs'!$B$32)/1000+'Inputs'!$B$21+'Inputs'!$B$9+'Inputs'!$B$10))/SQRT((((279-43)*MAX('Inputs'!$B$33,'Inputs'!$B$29+'Inputs'!$B$31+'Inputs'!$B$32,'Inputs'!$B$30+'Inputs'!$B$31+'Inputs'!$B$32)/1000+'Inputs'!$B$21+'Inputs'!$B$9+'Inputs'!$B$10))^2+('Inputs'!$B$6/2)^2))))*'Results'!$B$8)+'Inputs'!$B$28*ABS((('Results'!C7*(1+'Inputs'!$B$24)*(0.5*((((279-43)*MAX('Inputs'!$B$33,'Inputs'!$B$29+'Inputs'!$B$31+'Inputs'!$B$32,'Inputs'!$B$30+'Inputs'!$B$31+'Inputs'!$B$32)/1000+'Inputs'!$B$21)+'Inputs'!$B$9)/SQRT((((279-43)*MAX('Inputs'!$B$33,'Inputs'!$B$29+'Inputs'!$B$31+'Inputs'!$B$32,'Inputs'!$B$30+'Inputs'!$B$31+'Inputs'!$B$32)/1000+'Inputs'!$B$21)+'Inputs'!$B$9)^2+('Inputs'!$B$8/2)^2)-(((279-43)*MAX('Inputs'!$B$33,'Inputs'!$B$29+'Inputs'!$B$31+'Inputs'!$B$32,'Inputs'!$B$30+'Inputs'!$B$31+'Inputs'!$B$32)/1000+'Inputs'!$B$21))/SQRT((((279-43)*MAX('Inputs'!$B$33,'Inputs'!$B$29+'Inputs'!$B$31+'Inputs'!$B$32,'Inputs'!$B$30+'Inputs'!$B$31+'Inputs'!$B$32)/1000+'Inputs'!$B$21))^2+('Inputs'!$B$8/2)^2)))-'Results'!B7*(1-'Inputs'!$B$24)*(0.5*((((279-43)*MAX('Inputs'!$B$33,'Inputs'!$B$29+'Inputs'!$B$31+'Inputs'!$B$32,'Inputs'!$B$30+'Inputs'!$B$31+'Inputs'!$B$32)/1000+'Inputs'!$B$21+'Inputs'!$B$9+'Inputs'!$B$10)+'Inputs'!$B$7)/SQRT((((279-43)*MAX('Inputs'!$B$33,'Inputs'!$B$29+'Inputs'!$B$31+'Inputs'!$B$32,'Inputs'!$B$30+'Inputs'!$B$31+'Inputs'!$B$32)/1000+'Inputs'!$B$21+'Inputs'!$B$9+'Inputs'!$B$10)+'Inputs'!$B$7)^2+('Inputs'!$B$6/2)^2)-(((279-43)*MAX('Inputs'!$B$33,'Inputs'!$B$29+'Inputs'!$B$31+'Inputs'!$B$32,'Inputs'!$B$30+'Inputs'!$B$31+'Inputs'!$B$32)/1000+'Inputs'!$B$21+'Inputs'!$B$9+'Inputs'!$B$10))/SQRT((((279-43)*MAX('Inputs'!$B$33,'Inputs'!$B$29+'Inputs'!$B$31+'Inputs'!$B$32,'Inputs'!$B$30+'Inputs'!$B$31+'Inputs'!$B$32)/1000+'Inputs'!$B$21+'Inputs'!$B$9+'Inputs'!$B$10))^2+('Inputs'!$B$6/2)^2))))*'Results'!$B$8))),"")</x:f>
        <x:v>48.080888897514896</x:v>
      </x:c>
      <x:c r="P279" t="n">
        <x:f>IF(AND(MAX(J279,J278)&gt;0,J279&gt;J278+0.00000001),1,0)</x:f>
        <x:v>0</x:v>
      </x:c>
      <x:c r="Q279" t="n">
        <x:f>IF(AND(MAX(K279,K278)&gt;0,K279&gt;K278+0.00000001),1,0)</x:f>
        <x:v>0</x:v>
      </x:c>
      <x:c r="R279" t="n">
        <x:f>IF(AND(MAX(L279,L278)&gt;0,L279&gt;L278+0.00000001),1,0)</x:f>
        <x:v>0</x:v>
      </x:c>
      <x:c r="S279" t="n">
        <x:f>IF(AND(MAX(M279,M278)&gt;0,M279&gt;M278+0.00000001),1,0)</x:f>
        <x:v>0</x:v>
      </x:c>
      <x:c r="T279" t="n">
        <x:f>IF(AND(MAX(N279,N278)&gt;0,N279&gt;N278+0.00000001),1,0)</x:f>
        <x:v>0</x:v>
      </x:c>
      <x:c r="U279" t="n">
        <x:f>IF(AND(MAX(O279,O278)&gt;0,O279&gt;O278+0.00000001),1,0)</x:f>
        <x:v>0</x:v>
      </x:c>
    </x:row>
    <x:row r="280">
      <x:c r="J280" t="n">
        <x:f>IF(AND(ISNUMBER('Results'!B7),ISNUMBER('Results'!C7),ISNUMBER('Results'!$B$8),ISNUMBER('Inputs'!$B$6),ISNUMBER('Inputs'!$B$7),ISNUMBER('Inputs'!$B$8),ISNUMBER('Inputs'!$B$9),ISNUMBER('Inputs'!$B$10),ISNUMBER('Inputs'!$B$21),ISNUMBER('Inputs'!$B$24),ISNUMBER('Inputs'!$B$28)),(('Results'!B7*(0.5*((((280-43)*MAX('Inputs'!$B$33,'Inputs'!$B$29+'Inputs'!$B$31+'Inputs'!$B$32,'Inputs'!$B$30+'Inputs'!$B$31+'Inputs'!$B$32)/1000+'Inputs'!$B$21)+'Inputs'!$B$7)/SQRT((((280-43)*MAX('Inputs'!$B$33,'Inputs'!$B$29+'Inputs'!$B$31+'Inputs'!$B$32,'Inputs'!$B$30+'Inputs'!$B$31+'Inputs'!$B$32)/1000+'Inputs'!$B$21)+'Inputs'!$B$7)^2+('Inputs'!$B$6/2)^2)-(((280-43)*MAX('Inputs'!$B$33,'Inputs'!$B$29+'Inputs'!$B$31+'Inputs'!$B$32,'Inputs'!$B$30+'Inputs'!$B$31+'Inputs'!$B$32)/1000+'Inputs'!$B$21))/SQRT((((280-43)*MAX('Inputs'!$B$33,'Inputs'!$B$29+'Inputs'!$B$31+'Inputs'!$B$32,'Inputs'!$B$30+'Inputs'!$B$31+'Inputs'!$B$32)/1000+'Inputs'!$B$21))^2+('Inputs'!$B$6/2)^2)))-'Results'!C7*(0.5*((((280-43)*MAX('Inputs'!$B$33,'Inputs'!$B$29+'Inputs'!$B$31+'Inputs'!$B$32,'Inputs'!$B$30+'Inputs'!$B$31+'Inputs'!$B$32)/1000+'Inputs'!$B$21+'Inputs'!$B$7+'Inputs'!$B$10)+'Inputs'!$B$9)/SQRT((((280-43)*MAX('Inputs'!$B$33,'Inputs'!$B$29+'Inputs'!$B$31+'Inputs'!$B$32,'Inputs'!$B$30+'Inputs'!$B$31+'Inputs'!$B$32)/1000+'Inputs'!$B$21+'Inputs'!$B$7+'Inputs'!$B$10)+'Inputs'!$B$9)^2+('Inputs'!$B$8/2)^2)-(((280-43)*MAX('Inputs'!$B$33,'Inputs'!$B$29+'Inputs'!$B$31+'Inputs'!$B$32,'Inputs'!$B$30+'Inputs'!$B$31+'Inputs'!$B$32)/1000+'Inputs'!$B$21+'Inputs'!$B$7+'Inputs'!$B$10))/SQRT((((280-43)*MAX('Inputs'!$B$33,'Inputs'!$B$29+'Inputs'!$B$31+'Inputs'!$B$32,'Inputs'!$B$30+'Inputs'!$B$31+'Inputs'!$B$32)/1000+'Inputs'!$B$21+'Inputs'!$B$7+'Inputs'!$B$10))^2+('Inputs'!$B$8/2)^2))))*'Results'!$B$8),"")</x:f>
        <x:v>45.25860716125205</x:v>
      </x:c>
      <x:c r="K280" t="n">
        <x:f>IF(AND(ISNUMBER('Results'!B7),ISNUMBER('Results'!C7),ISNUMBER('Results'!$B$8),ISNUMBER('Inputs'!$B$6),ISNUMBER('Inputs'!$B$7),ISNUMBER('Inputs'!$B$8),ISNUMBER('Inputs'!$B$9),ISNUMBER('Inputs'!$B$10),ISNUMBER('Inputs'!$B$21),ISNUMBER('Inputs'!$B$24),ISNUMBER('Inputs'!$B$28)),((('Results'!B7*(1-'Inputs'!$B$24)*(0.5*((((280-43)*MAX('Inputs'!$B$33,'Inputs'!$B$29+'Inputs'!$B$31+'Inputs'!$B$32,'Inputs'!$B$30+'Inputs'!$B$31+'Inputs'!$B$32)/1000+'Inputs'!$B$21)+'Inputs'!$B$7)/SQRT((((280-43)*MAX('Inputs'!$B$33,'Inputs'!$B$29+'Inputs'!$B$31+'Inputs'!$B$32,'Inputs'!$B$30+'Inputs'!$B$31+'Inputs'!$B$32)/1000+'Inputs'!$B$21)+'Inputs'!$B$7)^2+('Inputs'!$B$6/2)^2)-(((280-43)*MAX('Inputs'!$B$33,'Inputs'!$B$29+'Inputs'!$B$31+'Inputs'!$B$32,'Inputs'!$B$30+'Inputs'!$B$31+'Inputs'!$B$32)/1000+'Inputs'!$B$21))/SQRT((((280-43)*MAX('Inputs'!$B$33,'Inputs'!$B$29+'Inputs'!$B$31+'Inputs'!$B$32,'Inputs'!$B$30+'Inputs'!$B$31+'Inputs'!$B$32)/1000+'Inputs'!$B$21))^2+('Inputs'!$B$6/2)^2)))-'Results'!C7*(1+'Inputs'!$B$24)*(0.5*((((280-43)*MAX('Inputs'!$B$33,'Inputs'!$B$29+'Inputs'!$B$31+'Inputs'!$B$32,'Inputs'!$B$30+'Inputs'!$B$31+'Inputs'!$B$32)/1000+'Inputs'!$B$21+'Inputs'!$B$7+'Inputs'!$B$10)+'Inputs'!$B$9)/SQRT((((280-43)*MAX('Inputs'!$B$33,'Inputs'!$B$29+'Inputs'!$B$31+'Inputs'!$B$32,'Inputs'!$B$30+'Inputs'!$B$31+'Inputs'!$B$32)/1000+'Inputs'!$B$21+'Inputs'!$B$7+'Inputs'!$B$10)+'Inputs'!$B$9)^2+('Inputs'!$B$8/2)^2)-(((280-43)*MAX('Inputs'!$B$33,'Inputs'!$B$29+'Inputs'!$B$31+'Inputs'!$B$32,'Inputs'!$B$30+'Inputs'!$B$31+'Inputs'!$B$32)/1000+'Inputs'!$B$21+'Inputs'!$B$7+'Inputs'!$B$10))/SQRT((((280-43)*MAX('Inputs'!$B$33,'Inputs'!$B$29+'Inputs'!$B$31+'Inputs'!$B$32,'Inputs'!$B$30+'Inputs'!$B$31+'Inputs'!$B$32)/1000+'Inputs'!$B$21+'Inputs'!$B$7+'Inputs'!$B$10))^2+('Inputs'!$B$8/2)^2))))*'Results'!$B$8)-'Inputs'!$B$28*ABS((('Results'!B7*(1-'Inputs'!$B$24)*(0.5*((((280-43)*MAX('Inputs'!$B$33,'Inputs'!$B$29+'Inputs'!$B$31+'Inputs'!$B$32,'Inputs'!$B$30+'Inputs'!$B$31+'Inputs'!$B$32)/1000+'Inputs'!$B$21)+'Inputs'!$B$7)/SQRT((((280-43)*MAX('Inputs'!$B$33,'Inputs'!$B$29+'Inputs'!$B$31+'Inputs'!$B$32,'Inputs'!$B$30+'Inputs'!$B$31+'Inputs'!$B$32)/1000+'Inputs'!$B$21)+'Inputs'!$B$7)^2+('Inputs'!$B$6/2)^2)-(((280-43)*MAX('Inputs'!$B$33,'Inputs'!$B$29+'Inputs'!$B$31+'Inputs'!$B$32,'Inputs'!$B$30+'Inputs'!$B$31+'Inputs'!$B$32)/1000+'Inputs'!$B$21))/SQRT((((280-43)*MAX('Inputs'!$B$33,'Inputs'!$B$29+'Inputs'!$B$31+'Inputs'!$B$32,'Inputs'!$B$30+'Inputs'!$B$31+'Inputs'!$B$32)/1000+'Inputs'!$B$21))^2+('Inputs'!$B$6/2)^2)))-'Results'!C7*(1+'Inputs'!$B$24)*(0.5*((((280-43)*MAX('Inputs'!$B$33,'Inputs'!$B$29+'Inputs'!$B$31+'Inputs'!$B$32,'Inputs'!$B$30+'Inputs'!$B$31+'Inputs'!$B$32)/1000+'Inputs'!$B$21+'Inputs'!$B$7+'Inputs'!$B$10)+'Inputs'!$B$9)/SQRT((((280-43)*MAX('Inputs'!$B$33,'Inputs'!$B$29+'Inputs'!$B$31+'Inputs'!$B$32,'Inputs'!$B$30+'Inputs'!$B$31+'Inputs'!$B$32)/1000+'Inputs'!$B$21+'Inputs'!$B$7+'Inputs'!$B$10)+'Inputs'!$B$9)^2+('Inputs'!$B$8/2)^2)-(((280-43)*MAX('Inputs'!$B$33,'Inputs'!$B$29+'Inputs'!$B$31+'Inputs'!$B$32,'Inputs'!$B$30+'Inputs'!$B$31+'Inputs'!$B$32)/1000+'Inputs'!$B$21+'Inputs'!$B$7+'Inputs'!$B$10))/SQRT((((280-43)*MAX('Inputs'!$B$33,'Inputs'!$B$29+'Inputs'!$B$31+'Inputs'!$B$32,'Inputs'!$B$30+'Inputs'!$B$31+'Inputs'!$B$32)/1000+'Inputs'!$B$21+'Inputs'!$B$7+'Inputs'!$B$10))^2+('Inputs'!$B$8/2)^2))))*'Results'!$B$8))),"")</x:f>
        <x:v>41.22736908933794</x:v>
      </x:c>
      <x:c r="L280" t="n">
        <x:f>IF(AND(ISNUMBER('Results'!B7),ISNUMBER('Results'!C7),ISNUMBER('Results'!$B$8),ISNUMBER('Inputs'!$B$6),ISNUMBER('Inputs'!$B$7),ISNUMBER('Inputs'!$B$8),ISNUMBER('Inputs'!$B$9),ISNUMBER('Inputs'!$B$10),ISNUMBER('Inputs'!$B$21),ISNUMBER('Inputs'!$B$24),ISNUMBER('Inputs'!$B$28)),((('Results'!B7*(1+'Inputs'!$B$24)*(0.5*((((280-43)*MAX('Inputs'!$B$33,'Inputs'!$B$29+'Inputs'!$B$31+'Inputs'!$B$32,'Inputs'!$B$30+'Inputs'!$B$31+'Inputs'!$B$32)/1000+'Inputs'!$B$21)+'Inputs'!$B$7)/SQRT((((280-43)*MAX('Inputs'!$B$33,'Inputs'!$B$29+'Inputs'!$B$31+'Inputs'!$B$32,'Inputs'!$B$30+'Inputs'!$B$31+'Inputs'!$B$32)/1000+'Inputs'!$B$21)+'Inputs'!$B$7)^2+('Inputs'!$B$6/2)^2)-(((280-43)*MAX('Inputs'!$B$33,'Inputs'!$B$29+'Inputs'!$B$31+'Inputs'!$B$32,'Inputs'!$B$30+'Inputs'!$B$31+'Inputs'!$B$32)/1000+'Inputs'!$B$21))/SQRT((((280-43)*MAX('Inputs'!$B$33,'Inputs'!$B$29+'Inputs'!$B$31+'Inputs'!$B$32,'Inputs'!$B$30+'Inputs'!$B$31+'Inputs'!$B$32)/1000+'Inputs'!$B$21))^2+('Inputs'!$B$6/2)^2)))-'Results'!C7*(1-'Inputs'!$B$24)*(0.5*((((280-43)*MAX('Inputs'!$B$33,'Inputs'!$B$29+'Inputs'!$B$31+'Inputs'!$B$32,'Inputs'!$B$30+'Inputs'!$B$31+'Inputs'!$B$32)/1000+'Inputs'!$B$21+'Inputs'!$B$7+'Inputs'!$B$10)+'Inputs'!$B$9)/SQRT((((280-43)*MAX('Inputs'!$B$33,'Inputs'!$B$29+'Inputs'!$B$31+'Inputs'!$B$32,'Inputs'!$B$30+'Inputs'!$B$31+'Inputs'!$B$32)/1000+'Inputs'!$B$21+'Inputs'!$B$7+'Inputs'!$B$10)+'Inputs'!$B$9)^2+('Inputs'!$B$8/2)^2)-(((280-43)*MAX('Inputs'!$B$33,'Inputs'!$B$29+'Inputs'!$B$31+'Inputs'!$B$32,'Inputs'!$B$30+'Inputs'!$B$31+'Inputs'!$B$32)/1000+'Inputs'!$B$21+'Inputs'!$B$7+'Inputs'!$B$10))/SQRT((((280-43)*MAX('Inputs'!$B$33,'Inputs'!$B$29+'Inputs'!$B$31+'Inputs'!$B$32,'Inputs'!$B$30+'Inputs'!$B$31+'Inputs'!$B$32)/1000+'Inputs'!$B$21+'Inputs'!$B$7+'Inputs'!$B$10))^2+('Inputs'!$B$8/2)^2))))*'Results'!$B$8)+'Inputs'!$B$28*ABS((('Results'!B7*(1+'Inputs'!$B$24)*(0.5*((((280-43)*MAX('Inputs'!$B$33,'Inputs'!$B$29+'Inputs'!$B$31+'Inputs'!$B$32,'Inputs'!$B$30+'Inputs'!$B$31+'Inputs'!$B$32)/1000+'Inputs'!$B$21)+'Inputs'!$B$7)/SQRT((((280-43)*MAX('Inputs'!$B$33,'Inputs'!$B$29+'Inputs'!$B$31+'Inputs'!$B$32,'Inputs'!$B$30+'Inputs'!$B$31+'Inputs'!$B$32)/1000+'Inputs'!$B$21)+'Inputs'!$B$7)^2+('Inputs'!$B$6/2)^2)-(((280-43)*MAX('Inputs'!$B$33,'Inputs'!$B$29+'Inputs'!$B$31+'Inputs'!$B$32,'Inputs'!$B$30+'Inputs'!$B$31+'Inputs'!$B$32)/1000+'Inputs'!$B$21))/SQRT((((280-43)*MAX('Inputs'!$B$33,'Inputs'!$B$29+'Inputs'!$B$31+'Inputs'!$B$32,'Inputs'!$B$30+'Inputs'!$B$31+'Inputs'!$B$32)/1000+'Inputs'!$B$21))^2+('Inputs'!$B$6/2)^2)))-'Results'!C7*(1-'Inputs'!$B$24)*(0.5*((((280-43)*MAX('Inputs'!$B$33,'Inputs'!$B$29+'Inputs'!$B$31+'Inputs'!$B$32,'Inputs'!$B$30+'Inputs'!$B$31+'Inputs'!$B$32)/1000+'Inputs'!$B$21+'Inputs'!$B$7+'Inputs'!$B$10)+'Inputs'!$B$9)/SQRT((((280-43)*MAX('Inputs'!$B$33,'Inputs'!$B$29+'Inputs'!$B$31+'Inputs'!$B$32,'Inputs'!$B$30+'Inputs'!$B$31+'Inputs'!$B$32)/1000+'Inputs'!$B$21+'Inputs'!$B$7+'Inputs'!$B$10)+'Inputs'!$B$9)^2+('Inputs'!$B$8/2)^2)-(((280-43)*MAX('Inputs'!$B$33,'Inputs'!$B$29+'Inputs'!$B$31+'Inputs'!$B$32,'Inputs'!$B$30+'Inputs'!$B$31+'Inputs'!$B$32)/1000+'Inputs'!$B$21+'Inputs'!$B$7+'Inputs'!$B$10))/SQRT((((280-43)*MAX('Inputs'!$B$33,'Inputs'!$B$29+'Inputs'!$B$31+'Inputs'!$B$32,'Inputs'!$B$30+'Inputs'!$B$31+'Inputs'!$B$32)/1000+'Inputs'!$B$21+'Inputs'!$B$7+'Inputs'!$B$10))^2+('Inputs'!$B$8/2)^2))))*'Results'!$B$8))),"")</x:f>
        <x:v>49.47598288725579</x:v>
      </x:c>
      <x:c r="M280" t="n">
        <x:f>IF(AND(ISNUMBER('Results'!C7),ISNUMBER('Results'!B7),ISNUMBER('Results'!$B$8),ISNUMBER('Inputs'!$B$6),ISNUMBER('Inputs'!$B$7),ISNUMBER('Inputs'!$B$8),ISNUMBER('Inputs'!$B$9),ISNUMBER('Inputs'!$B$10),ISNUMBER('Inputs'!$B$21),ISNUMBER('Inputs'!$B$24),ISNUMBER('Inputs'!$B$28)),(('Results'!C7*(0.5*((((280-43)*MAX('Inputs'!$B$33,'Inputs'!$B$29+'Inputs'!$B$31+'Inputs'!$B$32,'Inputs'!$B$30+'Inputs'!$B$31+'Inputs'!$B$32)/1000+'Inputs'!$B$21)+'Inputs'!$B$9)/SQRT((((280-43)*MAX('Inputs'!$B$33,'Inputs'!$B$29+'Inputs'!$B$31+'Inputs'!$B$32,'Inputs'!$B$30+'Inputs'!$B$31+'Inputs'!$B$32)/1000+'Inputs'!$B$21)+'Inputs'!$B$9)^2+('Inputs'!$B$8/2)^2)-(((280-43)*MAX('Inputs'!$B$33,'Inputs'!$B$29+'Inputs'!$B$31+'Inputs'!$B$32,'Inputs'!$B$30+'Inputs'!$B$31+'Inputs'!$B$32)/1000+'Inputs'!$B$21))/SQRT((((280-43)*MAX('Inputs'!$B$33,'Inputs'!$B$29+'Inputs'!$B$31+'Inputs'!$B$32,'Inputs'!$B$30+'Inputs'!$B$31+'Inputs'!$B$32)/1000+'Inputs'!$B$21))^2+('Inputs'!$B$8/2)^2)))-'Results'!B7*(0.5*((((280-43)*MAX('Inputs'!$B$33,'Inputs'!$B$29+'Inputs'!$B$31+'Inputs'!$B$32,'Inputs'!$B$30+'Inputs'!$B$31+'Inputs'!$B$32)/1000+'Inputs'!$B$21+'Inputs'!$B$9+'Inputs'!$B$10)+'Inputs'!$B$7)/SQRT((((280-43)*MAX('Inputs'!$B$33,'Inputs'!$B$29+'Inputs'!$B$31+'Inputs'!$B$32,'Inputs'!$B$30+'Inputs'!$B$31+'Inputs'!$B$32)/1000+'Inputs'!$B$21+'Inputs'!$B$9+'Inputs'!$B$10)+'Inputs'!$B$7)^2+('Inputs'!$B$6/2)^2)-(((280-43)*MAX('Inputs'!$B$33,'Inputs'!$B$29+'Inputs'!$B$31+'Inputs'!$B$32,'Inputs'!$B$30+'Inputs'!$B$31+'Inputs'!$B$32)/1000+'Inputs'!$B$21+'Inputs'!$B$9+'Inputs'!$B$10))/SQRT((((280-43)*MAX('Inputs'!$B$33,'Inputs'!$B$29+'Inputs'!$B$31+'Inputs'!$B$32,'Inputs'!$B$30+'Inputs'!$B$31+'Inputs'!$B$32)/1000+'Inputs'!$B$21+'Inputs'!$B$9+'Inputs'!$B$10))^2+('Inputs'!$B$6/2)^2))))*'Results'!$B$8),"")</x:f>
        <x:v>43.38747343262439</x:v>
      </x:c>
      <x:c r="N280" t="n">
        <x:f>IF(AND(ISNUMBER('Results'!C7),ISNUMBER('Results'!B7),ISNUMBER('Results'!$B$8),ISNUMBER('Inputs'!$B$6),ISNUMBER('Inputs'!$B$7),ISNUMBER('Inputs'!$B$8),ISNUMBER('Inputs'!$B$9),ISNUMBER('Inputs'!$B$10),ISNUMBER('Inputs'!$B$21),ISNUMBER('Inputs'!$B$24),ISNUMBER('Inputs'!$B$28)),((('Results'!C7*(1-'Inputs'!$B$24)*(0.5*((((280-43)*MAX('Inputs'!$B$33,'Inputs'!$B$29+'Inputs'!$B$31+'Inputs'!$B$32,'Inputs'!$B$30+'Inputs'!$B$31+'Inputs'!$B$32)/1000+'Inputs'!$B$21)+'Inputs'!$B$9)/SQRT((((280-43)*MAX('Inputs'!$B$33,'Inputs'!$B$29+'Inputs'!$B$31+'Inputs'!$B$32,'Inputs'!$B$30+'Inputs'!$B$31+'Inputs'!$B$32)/1000+'Inputs'!$B$21)+'Inputs'!$B$9)^2+('Inputs'!$B$8/2)^2)-(((280-43)*MAX('Inputs'!$B$33,'Inputs'!$B$29+'Inputs'!$B$31+'Inputs'!$B$32,'Inputs'!$B$30+'Inputs'!$B$31+'Inputs'!$B$32)/1000+'Inputs'!$B$21))/SQRT((((280-43)*MAX('Inputs'!$B$33,'Inputs'!$B$29+'Inputs'!$B$31+'Inputs'!$B$32,'Inputs'!$B$30+'Inputs'!$B$31+'Inputs'!$B$32)/1000+'Inputs'!$B$21))^2+('Inputs'!$B$8/2)^2)))-'Results'!B7*(1+'Inputs'!$B$24)*(0.5*((((280-43)*MAX('Inputs'!$B$33,'Inputs'!$B$29+'Inputs'!$B$31+'Inputs'!$B$32,'Inputs'!$B$30+'Inputs'!$B$31+'Inputs'!$B$32)/1000+'Inputs'!$B$21+'Inputs'!$B$9+'Inputs'!$B$10)+'Inputs'!$B$7)/SQRT((((280-43)*MAX('Inputs'!$B$33,'Inputs'!$B$29+'Inputs'!$B$31+'Inputs'!$B$32,'Inputs'!$B$30+'Inputs'!$B$31+'Inputs'!$B$32)/1000+'Inputs'!$B$21+'Inputs'!$B$9+'Inputs'!$B$10)+'Inputs'!$B$7)^2+('Inputs'!$B$6/2)^2)-(((280-43)*MAX('Inputs'!$B$33,'Inputs'!$B$29+'Inputs'!$B$31+'Inputs'!$B$32,'Inputs'!$B$30+'Inputs'!$B$31+'Inputs'!$B$32)/1000+'Inputs'!$B$21+'Inputs'!$B$9+'Inputs'!$B$10))/SQRT((((280-43)*MAX('Inputs'!$B$33,'Inputs'!$B$29+'Inputs'!$B$31+'Inputs'!$B$32,'Inputs'!$B$30+'Inputs'!$B$31+'Inputs'!$B$32)/1000+'Inputs'!$B$21+'Inputs'!$B$9+'Inputs'!$B$10))^2+('Inputs'!$B$6/2)^2))))*'Results'!$B$8)-'Inputs'!$B$28*ABS((('Results'!C7*(1-'Inputs'!$B$24)*(0.5*((((280-43)*MAX('Inputs'!$B$33,'Inputs'!$B$29+'Inputs'!$B$31+'Inputs'!$B$32,'Inputs'!$B$30+'Inputs'!$B$31+'Inputs'!$B$32)/1000+'Inputs'!$B$21)+'Inputs'!$B$9)/SQRT((((280-43)*MAX('Inputs'!$B$33,'Inputs'!$B$29+'Inputs'!$B$31+'Inputs'!$B$32,'Inputs'!$B$30+'Inputs'!$B$31+'Inputs'!$B$32)/1000+'Inputs'!$B$21)+'Inputs'!$B$9)^2+('Inputs'!$B$8/2)^2)-(((280-43)*MAX('Inputs'!$B$33,'Inputs'!$B$29+'Inputs'!$B$31+'Inputs'!$B$32,'Inputs'!$B$30+'Inputs'!$B$31+'Inputs'!$B$32)/1000+'Inputs'!$B$21))/SQRT((((280-43)*MAX('Inputs'!$B$33,'Inputs'!$B$29+'Inputs'!$B$31+'Inputs'!$B$32,'Inputs'!$B$30+'Inputs'!$B$31+'Inputs'!$B$32)/1000+'Inputs'!$B$21))^2+('Inputs'!$B$8/2)^2)))-'Results'!B7*(1+'Inputs'!$B$24)*(0.5*((((280-43)*MAX('Inputs'!$B$33,'Inputs'!$B$29+'Inputs'!$B$31+'Inputs'!$B$32,'Inputs'!$B$30+'Inputs'!$B$31+'Inputs'!$B$32)/1000+'Inputs'!$B$21+'Inputs'!$B$9+'Inputs'!$B$10)+'Inputs'!$B$7)/SQRT((((280-43)*MAX('Inputs'!$B$33,'Inputs'!$B$29+'Inputs'!$B$31+'Inputs'!$B$32,'Inputs'!$B$30+'Inputs'!$B$31+'Inputs'!$B$32)/1000+'Inputs'!$B$21+'Inputs'!$B$9+'Inputs'!$B$10)+'Inputs'!$B$7)^2+('Inputs'!$B$6/2)^2)-(((280-43)*MAX('Inputs'!$B$33,'Inputs'!$B$29+'Inputs'!$B$31+'Inputs'!$B$32,'Inputs'!$B$30+'Inputs'!$B$31+'Inputs'!$B$32)/1000+'Inputs'!$B$21+'Inputs'!$B$9+'Inputs'!$B$10))/SQRT((((280-43)*MAX('Inputs'!$B$33,'Inputs'!$B$29+'Inputs'!$B$31+'Inputs'!$B$32,'Inputs'!$B$30+'Inputs'!$B$31+'Inputs'!$B$32)/1000+'Inputs'!$B$21+'Inputs'!$B$9+'Inputs'!$B$10))^2+('Inputs'!$B$6/2)^2))))*'Results'!$B$8))),"")</x:f>
        <x:v>39.46680493129604</x:v>
      </x:c>
      <x:c r="O280" t="n">
        <x:f>IF(AND(ISNUMBER('Results'!C7),ISNUMBER('Results'!B7),ISNUMBER('Results'!$B$8),ISNUMBER('Inputs'!$B$6),ISNUMBER('Inputs'!$B$7),ISNUMBER('Inputs'!$B$8),ISNUMBER('Inputs'!$B$9),ISNUMBER('Inputs'!$B$10),ISNUMBER('Inputs'!$B$21),ISNUMBER('Inputs'!$B$24),ISNUMBER('Inputs'!$B$28)),((('Results'!C7*(1+'Inputs'!$B$24)*(0.5*((((280-43)*MAX('Inputs'!$B$33,'Inputs'!$B$29+'Inputs'!$B$31+'Inputs'!$B$32,'Inputs'!$B$30+'Inputs'!$B$31+'Inputs'!$B$32)/1000+'Inputs'!$B$21)+'Inputs'!$B$9)/SQRT((((280-43)*MAX('Inputs'!$B$33,'Inputs'!$B$29+'Inputs'!$B$31+'Inputs'!$B$32,'Inputs'!$B$30+'Inputs'!$B$31+'Inputs'!$B$32)/1000+'Inputs'!$B$21)+'Inputs'!$B$9)^2+('Inputs'!$B$8/2)^2)-(((280-43)*MAX('Inputs'!$B$33,'Inputs'!$B$29+'Inputs'!$B$31+'Inputs'!$B$32,'Inputs'!$B$30+'Inputs'!$B$31+'Inputs'!$B$32)/1000+'Inputs'!$B$21))/SQRT((((280-43)*MAX('Inputs'!$B$33,'Inputs'!$B$29+'Inputs'!$B$31+'Inputs'!$B$32,'Inputs'!$B$30+'Inputs'!$B$31+'Inputs'!$B$32)/1000+'Inputs'!$B$21))^2+('Inputs'!$B$8/2)^2)))-'Results'!B7*(1-'Inputs'!$B$24)*(0.5*((((280-43)*MAX('Inputs'!$B$33,'Inputs'!$B$29+'Inputs'!$B$31+'Inputs'!$B$32,'Inputs'!$B$30+'Inputs'!$B$31+'Inputs'!$B$32)/1000+'Inputs'!$B$21+'Inputs'!$B$9+'Inputs'!$B$10)+'Inputs'!$B$7)/SQRT((((280-43)*MAX('Inputs'!$B$33,'Inputs'!$B$29+'Inputs'!$B$31+'Inputs'!$B$32,'Inputs'!$B$30+'Inputs'!$B$31+'Inputs'!$B$32)/1000+'Inputs'!$B$21+'Inputs'!$B$9+'Inputs'!$B$10)+'Inputs'!$B$7)^2+('Inputs'!$B$6/2)^2)-(((280-43)*MAX('Inputs'!$B$33,'Inputs'!$B$29+'Inputs'!$B$31+'Inputs'!$B$32,'Inputs'!$B$30+'Inputs'!$B$31+'Inputs'!$B$32)/1000+'Inputs'!$B$21+'Inputs'!$B$9+'Inputs'!$B$10))/SQRT((((280-43)*MAX('Inputs'!$B$33,'Inputs'!$B$29+'Inputs'!$B$31+'Inputs'!$B$32,'Inputs'!$B$30+'Inputs'!$B$31+'Inputs'!$B$32)/1000+'Inputs'!$B$21+'Inputs'!$B$9+'Inputs'!$B$10))^2+('Inputs'!$B$6/2)^2))))*'Results'!$B$8)+'Inputs'!$B$28*ABS((('Results'!C7*(1+'Inputs'!$B$24)*(0.5*((((280-43)*MAX('Inputs'!$B$33,'Inputs'!$B$29+'Inputs'!$B$31+'Inputs'!$B$32,'Inputs'!$B$30+'Inputs'!$B$31+'Inputs'!$B$32)/1000+'Inputs'!$B$21)+'Inputs'!$B$9)/SQRT((((280-43)*MAX('Inputs'!$B$33,'Inputs'!$B$29+'Inputs'!$B$31+'Inputs'!$B$32,'Inputs'!$B$30+'Inputs'!$B$31+'Inputs'!$B$32)/1000+'Inputs'!$B$21)+'Inputs'!$B$9)^2+('Inputs'!$B$8/2)^2)-(((280-43)*MAX('Inputs'!$B$33,'Inputs'!$B$29+'Inputs'!$B$31+'Inputs'!$B$32,'Inputs'!$B$30+'Inputs'!$B$31+'Inputs'!$B$32)/1000+'Inputs'!$B$21))/SQRT((((280-43)*MAX('Inputs'!$B$33,'Inputs'!$B$29+'Inputs'!$B$31+'Inputs'!$B$32,'Inputs'!$B$30+'Inputs'!$B$31+'Inputs'!$B$32)/1000+'Inputs'!$B$21))^2+('Inputs'!$B$8/2)^2)))-'Results'!B7*(1-'Inputs'!$B$24)*(0.5*((((280-43)*MAX('Inputs'!$B$33,'Inputs'!$B$29+'Inputs'!$B$31+'Inputs'!$B$32,'Inputs'!$B$30+'Inputs'!$B$31+'Inputs'!$B$32)/1000+'Inputs'!$B$21+'Inputs'!$B$9+'Inputs'!$B$10)+'Inputs'!$B$7)/SQRT((((280-43)*MAX('Inputs'!$B$33,'Inputs'!$B$29+'Inputs'!$B$31+'Inputs'!$B$32,'Inputs'!$B$30+'Inputs'!$B$31+'Inputs'!$B$32)/1000+'Inputs'!$B$21+'Inputs'!$B$9+'Inputs'!$B$10)+'Inputs'!$B$7)^2+('Inputs'!$B$6/2)^2)-(((280-43)*MAX('Inputs'!$B$33,'Inputs'!$B$29+'Inputs'!$B$31+'Inputs'!$B$32,'Inputs'!$B$30+'Inputs'!$B$31+'Inputs'!$B$32)/1000+'Inputs'!$B$21+'Inputs'!$B$9+'Inputs'!$B$10))/SQRT((((280-43)*MAX('Inputs'!$B$33,'Inputs'!$B$29+'Inputs'!$B$31+'Inputs'!$B$32,'Inputs'!$B$30+'Inputs'!$B$31+'Inputs'!$B$32)/1000+'Inputs'!$B$21+'Inputs'!$B$9+'Inputs'!$B$10))^2+('Inputs'!$B$6/2)^2))))*'Results'!$B$8))),"")</x:f>
        <x:v>47.49248875813139</x:v>
      </x:c>
      <x:c r="P280" t="n">
        <x:f>IF(AND(MAX(J280,J279)&gt;0,J280&gt;J279+0.00000001),1,0)</x:f>
        <x:v>0</x:v>
      </x:c>
      <x:c r="Q280" t="n">
        <x:f>IF(AND(MAX(K280,K279)&gt;0,K280&gt;K279+0.00000001),1,0)</x:f>
        <x:v>0</x:v>
      </x:c>
      <x:c r="R280" t="n">
        <x:f>IF(AND(MAX(L280,L279)&gt;0,L280&gt;L279+0.00000001),1,0)</x:f>
        <x:v>0</x:v>
      </x:c>
      <x:c r="S280" t="n">
        <x:f>IF(AND(MAX(M280,M279)&gt;0,M280&gt;M279+0.00000001),1,0)</x:f>
        <x:v>0</x:v>
      </x:c>
      <x:c r="T280" t="n">
        <x:f>IF(AND(MAX(N280,N279)&gt;0,N280&gt;N279+0.00000001),1,0)</x:f>
        <x:v>0</x:v>
      </x:c>
      <x:c r="U280" t="n">
        <x:f>IF(AND(MAX(O280,O279)&gt;0,O280&gt;O279+0.00000001),1,0)</x:f>
        <x:v>0</x:v>
      </x:c>
    </x:row>
    <x:row r="281">
      <x:c r="J281" t="n">
        <x:f>IF(AND(ISNUMBER('Results'!B7),ISNUMBER('Results'!C7),ISNUMBER('Results'!$B$8),ISNUMBER('Inputs'!$B$6),ISNUMBER('Inputs'!$B$7),ISNUMBER('Inputs'!$B$8),ISNUMBER('Inputs'!$B$9),ISNUMBER('Inputs'!$B$10),ISNUMBER('Inputs'!$B$21),ISNUMBER('Inputs'!$B$24),ISNUMBER('Inputs'!$B$28)),(('Results'!B7*(0.5*((((281-43)*MAX('Inputs'!$B$33,'Inputs'!$B$29+'Inputs'!$B$31+'Inputs'!$B$32,'Inputs'!$B$30+'Inputs'!$B$31+'Inputs'!$B$32)/1000+'Inputs'!$B$21)+'Inputs'!$B$7)/SQRT((((281-43)*MAX('Inputs'!$B$33,'Inputs'!$B$29+'Inputs'!$B$31+'Inputs'!$B$32,'Inputs'!$B$30+'Inputs'!$B$31+'Inputs'!$B$32)/1000+'Inputs'!$B$21)+'Inputs'!$B$7)^2+('Inputs'!$B$6/2)^2)-(((281-43)*MAX('Inputs'!$B$33,'Inputs'!$B$29+'Inputs'!$B$31+'Inputs'!$B$32,'Inputs'!$B$30+'Inputs'!$B$31+'Inputs'!$B$32)/1000+'Inputs'!$B$21))/SQRT((((281-43)*MAX('Inputs'!$B$33,'Inputs'!$B$29+'Inputs'!$B$31+'Inputs'!$B$32,'Inputs'!$B$30+'Inputs'!$B$31+'Inputs'!$B$32)/1000+'Inputs'!$B$21))^2+('Inputs'!$B$6/2)^2)))-'Results'!C7*(0.5*((((281-43)*MAX('Inputs'!$B$33,'Inputs'!$B$29+'Inputs'!$B$31+'Inputs'!$B$32,'Inputs'!$B$30+'Inputs'!$B$31+'Inputs'!$B$32)/1000+'Inputs'!$B$21+'Inputs'!$B$7+'Inputs'!$B$10)+'Inputs'!$B$9)/SQRT((((281-43)*MAX('Inputs'!$B$33,'Inputs'!$B$29+'Inputs'!$B$31+'Inputs'!$B$32,'Inputs'!$B$30+'Inputs'!$B$31+'Inputs'!$B$32)/1000+'Inputs'!$B$21+'Inputs'!$B$7+'Inputs'!$B$10)+'Inputs'!$B$9)^2+('Inputs'!$B$8/2)^2)-(((281-43)*MAX('Inputs'!$B$33,'Inputs'!$B$29+'Inputs'!$B$31+'Inputs'!$B$32,'Inputs'!$B$30+'Inputs'!$B$31+'Inputs'!$B$32)/1000+'Inputs'!$B$21+'Inputs'!$B$7+'Inputs'!$B$10))/SQRT((((281-43)*MAX('Inputs'!$B$33,'Inputs'!$B$29+'Inputs'!$B$31+'Inputs'!$B$32,'Inputs'!$B$30+'Inputs'!$B$31+'Inputs'!$B$32)/1000+'Inputs'!$B$21+'Inputs'!$B$7+'Inputs'!$B$10))^2+('Inputs'!$B$8/2)^2))))*'Results'!$B$8),"")</x:f>
        <x:v>44.706392818282104</x:v>
      </x:c>
      <x:c r="K281" t="n">
        <x:f>IF(AND(ISNUMBER('Results'!B7),ISNUMBER('Results'!C7),ISNUMBER('Results'!$B$8),ISNUMBER('Inputs'!$B$6),ISNUMBER('Inputs'!$B$7),ISNUMBER('Inputs'!$B$8),ISNUMBER('Inputs'!$B$9),ISNUMBER('Inputs'!$B$10),ISNUMBER('Inputs'!$B$21),ISNUMBER('Inputs'!$B$24),ISNUMBER('Inputs'!$B$28)),((('Results'!B7*(1-'Inputs'!$B$24)*(0.5*((((281-43)*MAX('Inputs'!$B$33,'Inputs'!$B$29+'Inputs'!$B$31+'Inputs'!$B$32,'Inputs'!$B$30+'Inputs'!$B$31+'Inputs'!$B$32)/1000+'Inputs'!$B$21)+'Inputs'!$B$7)/SQRT((((281-43)*MAX('Inputs'!$B$33,'Inputs'!$B$29+'Inputs'!$B$31+'Inputs'!$B$32,'Inputs'!$B$30+'Inputs'!$B$31+'Inputs'!$B$32)/1000+'Inputs'!$B$21)+'Inputs'!$B$7)^2+('Inputs'!$B$6/2)^2)-(((281-43)*MAX('Inputs'!$B$33,'Inputs'!$B$29+'Inputs'!$B$31+'Inputs'!$B$32,'Inputs'!$B$30+'Inputs'!$B$31+'Inputs'!$B$32)/1000+'Inputs'!$B$21))/SQRT((((281-43)*MAX('Inputs'!$B$33,'Inputs'!$B$29+'Inputs'!$B$31+'Inputs'!$B$32,'Inputs'!$B$30+'Inputs'!$B$31+'Inputs'!$B$32)/1000+'Inputs'!$B$21))^2+('Inputs'!$B$6/2)^2)))-'Results'!C7*(1+'Inputs'!$B$24)*(0.5*((((281-43)*MAX('Inputs'!$B$33,'Inputs'!$B$29+'Inputs'!$B$31+'Inputs'!$B$32,'Inputs'!$B$30+'Inputs'!$B$31+'Inputs'!$B$32)/1000+'Inputs'!$B$21+'Inputs'!$B$7+'Inputs'!$B$10)+'Inputs'!$B$9)/SQRT((((281-43)*MAX('Inputs'!$B$33,'Inputs'!$B$29+'Inputs'!$B$31+'Inputs'!$B$32,'Inputs'!$B$30+'Inputs'!$B$31+'Inputs'!$B$32)/1000+'Inputs'!$B$21+'Inputs'!$B$7+'Inputs'!$B$10)+'Inputs'!$B$9)^2+('Inputs'!$B$8/2)^2)-(((281-43)*MAX('Inputs'!$B$33,'Inputs'!$B$29+'Inputs'!$B$31+'Inputs'!$B$32,'Inputs'!$B$30+'Inputs'!$B$31+'Inputs'!$B$32)/1000+'Inputs'!$B$21+'Inputs'!$B$7+'Inputs'!$B$10))/SQRT((((281-43)*MAX('Inputs'!$B$33,'Inputs'!$B$29+'Inputs'!$B$31+'Inputs'!$B$32,'Inputs'!$B$30+'Inputs'!$B$31+'Inputs'!$B$32)/1000+'Inputs'!$B$21+'Inputs'!$B$7+'Inputs'!$B$10))^2+('Inputs'!$B$8/2)^2))))*'Results'!$B$8)-'Inputs'!$B$28*ABS((('Results'!B7*(1-'Inputs'!$B$24)*(0.5*((((281-43)*MAX('Inputs'!$B$33,'Inputs'!$B$29+'Inputs'!$B$31+'Inputs'!$B$32,'Inputs'!$B$30+'Inputs'!$B$31+'Inputs'!$B$32)/1000+'Inputs'!$B$21)+'Inputs'!$B$7)/SQRT((((281-43)*MAX('Inputs'!$B$33,'Inputs'!$B$29+'Inputs'!$B$31+'Inputs'!$B$32,'Inputs'!$B$30+'Inputs'!$B$31+'Inputs'!$B$32)/1000+'Inputs'!$B$21)+'Inputs'!$B$7)^2+('Inputs'!$B$6/2)^2)-(((281-43)*MAX('Inputs'!$B$33,'Inputs'!$B$29+'Inputs'!$B$31+'Inputs'!$B$32,'Inputs'!$B$30+'Inputs'!$B$31+'Inputs'!$B$32)/1000+'Inputs'!$B$21))/SQRT((((281-43)*MAX('Inputs'!$B$33,'Inputs'!$B$29+'Inputs'!$B$31+'Inputs'!$B$32,'Inputs'!$B$30+'Inputs'!$B$31+'Inputs'!$B$32)/1000+'Inputs'!$B$21))^2+('Inputs'!$B$6/2)^2)))-'Results'!C7*(1+'Inputs'!$B$24)*(0.5*((((281-43)*MAX('Inputs'!$B$33,'Inputs'!$B$29+'Inputs'!$B$31+'Inputs'!$B$32,'Inputs'!$B$30+'Inputs'!$B$31+'Inputs'!$B$32)/1000+'Inputs'!$B$21+'Inputs'!$B$7+'Inputs'!$B$10)+'Inputs'!$B$9)/SQRT((((281-43)*MAX('Inputs'!$B$33,'Inputs'!$B$29+'Inputs'!$B$31+'Inputs'!$B$32,'Inputs'!$B$30+'Inputs'!$B$31+'Inputs'!$B$32)/1000+'Inputs'!$B$21+'Inputs'!$B$7+'Inputs'!$B$10)+'Inputs'!$B$9)^2+('Inputs'!$B$8/2)^2)-(((281-43)*MAX('Inputs'!$B$33,'Inputs'!$B$29+'Inputs'!$B$31+'Inputs'!$B$32,'Inputs'!$B$30+'Inputs'!$B$31+'Inputs'!$B$32)/1000+'Inputs'!$B$21+'Inputs'!$B$7+'Inputs'!$B$10))/SQRT((((281-43)*MAX('Inputs'!$B$33,'Inputs'!$B$29+'Inputs'!$B$31+'Inputs'!$B$32,'Inputs'!$B$30+'Inputs'!$B$31+'Inputs'!$B$32)/1000+'Inputs'!$B$21+'Inputs'!$B$7+'Inputs'!$B$10))^2+('Inputs'!$B$8/2)^2))))*'Results'!$B$8))),"")</x:f>
        <x:v>40.720259330833066</x:v>
      </x:c>
      <x:c r="L281" t="n">
        <x:f>IF(AND(ISNUMBER('Results'!B7),ISNUMBER('Results'!C7),ISNUMBER('Results'!$B$8),ISNUMBER('Inputs'!$B$6),ISNUMBER('Inputs'!$B$7),ISNUMBER('Inputs'!$B$8),ISNUMBER('Inputs'!$B$9),ISNUMBER('Inputs'!$B$10),ISNUMBER('Inputs'!$B$21),ISNUMBER('Inputs'!$B$24),ISNUMBER('Inputs'!$B$28)),((('Results'!B7*(1+'Inputs'!$B$24)*(0.5*((((281-43)*MAX('Inputs'!$B$33,'Inputs'!$B$29+'Inputs'!$B$31+'Inputs'!$B$32,'Inputs'!$B$30+'Inputs'!$B$31+'Inputs'!$B$32)/1000+'Inputs'!$B$21)+'Inputs'!$B$7)/SQRT((((281-43)*MAX('Inputs'!$B$33,'Inputs'!$B$29+'Inputs'!$B$31+'Inputs'!$B$32,'Inputs'!$B$30+'Inputs'!$B$31+'Inputs'!$B$32)/1000+'Inputs'!$B$21)+'Inputs'!$B$7)^2+('Inputs'!$B$6/2)^2)-(((281-43)*MAX('Inputs'!$B$33,'Inputs'!$B$29+'Inputs'!$B$31+'Inputs'!$B$32,'Inputs'!$B$30+'Inputs'!$B$31+'Inputs'!$B$32)/1000+'Inputs'!$B$21))/SQRT((((281-43)*MAX('Inputs'!$B$33,'Inputs'!$B$29+'Inputs'!$B$31+'Inputs'!$B$32,'Inputs'!$B$30+'Inputs'!$B$31+'Inputs'!$B$32)/1000+'Inputs'!$B$21))^2+('Inputs'!$B$6/2)^2)))-'Results'!C7*(1-'Inputs'!$B$24)*(0.5*((((281-43)*MAX('Inputs'!$B$33,'Inputs'!$B$29+'Inputs'!$B$31+'Inputs'!$B$32,'Inputs'!$B$30+'Inputs'!$B$31+'Inputs'!$B$32)/1000+'Inputs'!$B$21+'Inputs'!$B$7+'Inputs'!$B$10)+'Inputs'!$B$9)/SQRT((((281-43)*MAX('Inputs'!$B$33,'Inputs'!$B$29+'Inputs'!$B$31+'Inputs'!$B$32,'Inputs'!$B$30+'Inputs'!$B$31+'Inputs'!$B$32)/1000+'Inputs'!$B$21+'Inputs'!$B$7+'Inputs'!$B$10)+'Inputs'!$B$9)^2+('Inputs'!$B$8/2)^2)-(((281-43)*MAX('Inputs'!$B$33,'Inputs'!$B$29+'Inputs'!$B$31+'Inputs'!$B$32,'Inputs'!$B$30+'Inputs'!$B$31+'Inputs'!$B$32)/1000+'Inputs'!$B$21+'Inputs'!$B$7+'Inputs'!$B$10))/SQRT((((281-43)*MAX('Inputs'!$B$33,'Inputs'!$B$29+'Inputs'!$B$31+'Inputs'!$B$32,'Inputs'!$B$30+'Inputs'!$B$31+'Inputs'!$B$32)/1000+'Inputs'!$B$21+'Inputs'!$B$7+'Inputs'!$B$10))^2+('Inputs'!$B$8/2)^2))))*'Results'!$B$8)+'Inputs'!$B$28*ABS((('Results'!B7*(1+'Inputs'!$B$24)*(0.5*((((281-43)*MAX('Inputs'!$B$33,'Inputs'!$B$29+'Inputs'!$B$31+'Inputs'!$B$32,'Inputs'!$B$30+'Inputs'!$B$31+'Inputs'!$B$32)/1000+'Inputs'!$B$21)+'Inputs'!$B$7)/SQRT((((281-43)*MAX('Inputs'!$B$33,'Inputs'!$B$29+'Inputs'!$B$31+'Inputs'!$B$32,'Inputs'!$B$30+'Inputs'!$B$31+'Inputs'!$B$32)/1000+'Inputs'!$B$21)+'Inputs'!$B$7)^2+('Inputs'!$B$6/2)^2)-(((281-43)*MAX('Inputs'!$B$33,'Inputs'!$B$29+'Inputs'!$B$31+'Inputs'!$B$32,'Inputs'!$B$30+'Inputs'!$B$31+'Inputs'!$B$32)/1000+'Inputs'!$B$21))/SQRT((((281-43)*MAX('Inputs'!$B$33,'Inputs'!$B$29+'Inputs'!$B$31+'Inputs'!$B$32,'Inputs'!$B$30+'Inputs'!$B$31+'Inputs'!$B$32)/1000+'Inputs'!$B$21))^2+('Inputs'!$B$6/2)^2)))-'Results'!C7*(1-'Inputs'!$B$24)*(0.5*((((281-43)*MAX('Inputs'!$B$33,'Inputs'!$B$29+'Inputs'!$B$31+'Inputs'!$B$32,'Inputs'!$B$30+'Inputs'!$B$31+'Inputs'!$B$32)/1000+'Inputs'!$B$21+'Inputs'!$B$7+'Inputs'!$B$10)+'Inputs'!$B$9)/SQRT((((281-43)*MAX('Inputs'!$B$33,'Inputs'!$B$29+'Inputs'!$B$31+'Inputs'!$B$32,'Inputs'!$B$30+'Inputs'!$B$31+'Inputs'!$B$32)/1000+'Inputs'!$B$21+'Inputs'!$B$7+'Inputs'!$B$10)+'Inputs'!$B$9)^2+('Inputs'!$B$8/2)^2)-(((281-43)*MAX('Inputs'!$B$33,'Inputs'!$B$29+'Inputs'!$B$31+'Inputs'!$B$32,'Inputs'!$B$30+'Inputs'!$B$31+'Inputs'!$B$32)/1000+'Inputs'!$B$21+'Inputs'!$B$7+'Inputs'!$B$10))/SQRT((((281-43)*MAX('Inputs'!$B$33,'Inputs'!$B$29+'Inputs'!$B$31+'Inputs'!$B$32,'Inputs'!$B$30+'Inputs'!$B$31+'Inputs'!$B$32)/1000+'Inputs'!$B$21+'Inputs'!$B$7+'Inputs'!$B$10))^2+('Inputs'!$B$8/2)^2))))*'Results'!$B$8))),"")</x:f>
        <x:v>48.87682250010322</x:v>
      </x:c>
      <x:c r="M281" t="n">
        <x:f>IF(AND(ISNUMBER('Results'!C7),ISNUMBER('Results'!B7),ISNUMBER('Results'!$B$8),ISNUMBER('Inputs'!$B$6),ISNUMBER('Inputs'!$B$7),ISNUMBER('Inputs'!$B$8),ISNUMBER('Inputs'!$B$9),ISNUMBER('Inputs'!$B$10),ISNUMBER('Inputs'!$B$21),ISNUMBER('Inputs'!$B$24),ISNUMBER('Inputs'!$B$28)),(('Results'!C7*(0.5*((((281-43)*MAX('Inputs'!$B$33,'Inputs'!$B$29+'Inputs'!$B$31+'Inputs'!$B$32,'Inputs'!$B$30+'Inputs'!$B$31+'Inputs'!$B$32)/1000+'Inputs'!$B$21)+'Inputs'!$B$9)/SQRT((((281-43)*MAX('Inputs'!$B$33,'Inputs'!$B$29+'Inputs'!$B$31+'Inputs'!$B$32,'Inputs'!$B$30+'Inputs'!$B$31+'Inputs'!$B$32)/1000+'Inputs'!$B$21)+'Inputs'!$B$9)^2+('Inputs'!$B$8/2)^2)-(((281-43)*MAX('Inputs'!$B$33,'Inputs'!$B$29+'Inputs'!$B$31+'Inputs'!$B$32,'Inputs'!$B$30+'Inputs'!$B$31+'Inputs'!$B$32)/1000+'Inputs'!$B$21))/SQRT((((281-43)*MAX('Inputs'!$B$33,'Inputs'!$B$29+'Inputs'!$B$31+'Inputs'!$B$32,'Inputs'!$B$30+'Inputs'!$B$31+'Inputs'!$B$32)/1000+'Inputs'!$B$21))^2+('Inputs'!$B$8/2)^2)))-'Results'!B7*(0.5*((((281-43)*MAX('Inputs'!$B$33,'Inputs'!$B$29+'Inputs'!$B$31+'Inputs'!$B$32,'Inputs'!$B$30+'Inputs'!$B$31+'Inputs'!$B$32)/1000+'Inputs'!$B$21+'Inputs'!$B$9+'Inputs'!$B$10)+'Inputs'!$B$7)/SQRT((((281-43)*MAX('Inputs'!$B$33,'Inputs'!$B$29+'Inputs'!$B$31+'Inputs'!$B$32,'Inputs'!$B$30+'Inputs'!$B$31+'Inputs'!$B$32)/1000+'Inputs'!$B$21+'Inputs'!$B$9+'Inputs'!$B$10)+'Inputs'!$B$7)^2+('Inputs'!$B$6/2)^2)-(((281-43)*MAX('Inputs'!$B$33,'Inputs'!$B$29+'Inputs'!$B$31+'Inputs'!$B$32,'Inputs'!$B$30+'Inputs'!$B$31+'Inputs'!$B$32)/1000+'Inputs'!$B$21+'Inputs'!$B$9+'Inputs'!$B$10))/SQRT((((281-43)*MAX('Inputs'!$B$33,'Inputs'!$B$29+'Inputs'!$B$31+'Inputs'!$B$32,'Inputs'!$B$30+'Inputs'!$B$31+'Inputs'!$B$32)/1000+'Inputs'!$B$21+'Inputs'!$B$9+'Inputs'!$B$10))^2+('Inputs'!$B$6/2)^2))))*'Results'!$B$8),"")</x:f>
        <x:v>42.85374889407791</x:v>
      </x:c>
      <x:c r="N281" t="n">
        <x:f>IF(AND(ISNUMBER('Results'!C7),ISNUMBER('Results'!B7),ISNUMBER('Results'!$B$8),ISNUMBER('Inputs'!$B$6),ISNUMBER('Inputs'!$B$7),ISNUMBER('Inputs'!$B$8),ISNUMBER('Inputs'!$B$9),ISNUMBER('Inputs'!$B$10),ISNUMBER('Inputs'!$B$21),ISNUMBER('Inputs'!$B$24),ISNUMBER('Inputs'!$B$28)),((('Results'!C7*(1-'Inputs'!$B$24)*(0.5*((((281-43)*MAX('Inputs'!$B$33,'Inputs'!$B$29+'Inputs'!$B$31+'Inputs'!$B$32,'Inputs'!$B$30+'Inputs'!$B$31+'Inputs'!$B$32)/1000+'Inputs'!$B$21)+'Inputs'!$B$9)/SQRT((((281-43)*MAX('Inputs'!$B$33,'Inputs'!$B$29+'Inputs'!$B$31+'Inputs'!$B$32,'Inputs'!$B$30+'Inputs'!$B$31+'Inputs'!$B$32)/1000+'Inputs'!$B$21)+'Inputs'!$B$9)^2+('Inputs'!$B$8/2)^2)-(((281-43)*MAX('Inputs'!$B$33,'Inputs'!$B$29+'Inputs'!$B$31+'Inputs'!$B$32,'Inputs'!$B$30+'Inputs'!$B$31+'Inputs'!$B$32)/1000+'Inputs'!$B$21))/SQRT((((281-43)*MAX('Inputs'!$B$33,'Inputs'!$B$29+'Inputs'!$B$31+'Inputs'!$B$32,'Inputs'!$B$30+'Inputs'!$B$31+'Inputs'!$B$32)/1000+'Inputs'!$B$21))^2+('Inputs'!$B$8/2)^2)))-'Results'!B7*(1+'Inputs'!$B$24)*(0.5*((((281-43)*MAX('Inputs'!$B$33,'Inputs'!$B$29+'Inputs'!$B$31+'Inputs'!$B$32,'Inputs'!$B$30+'Inputs'!$B$31+'Inputs'!$B$32)/1000+'Inputs'!$B$21+'Inputs'!$B$9+'Inputs'!$B$10)+'Inputs'!$B$7)/SQRT((((281-43)*MAX('Inputs'!$B$33,'Inputs'!$B$29+'Inputs'!$B$31+'Inputs'!$B$32,'Inputs'!$B$30+'Inputs'!$B$31+'Inputs'!$B$32)/1000+'Inputs'!$B$21+'Inputs'!$B$9+'Inputs'!$B$10)+'Inputs'!$B$7)^2+('Inputs'!$B$6/2)^2)-(((281-43)*MAX('Inputs'!$B$33,'Inputs'!$B$29+'Inputs'!$B$31+'Inputs'!$B$32,'Inputs'!$B$30+'Inputs'!$B$31+'Inputs'!$B$32)/1000+'Inputs'!$B$21+'Inputs'!$B$9+'Inputs'!$B$10))/SQRT((((281-43)*MAX('Inputs'!$B$33,'Inputs'!$B$29+'Inputs'!$B$31+'Inputs'!$B$32,'Inputs'!$B$30+'Inputs'!$B$31+'Inputs'!$B$32)/1000+'Inputs'!$B$21+'Inputs'!$B$9+'Inputs'!$B$10))^2+('Inputs'!$B$6/2)^2))))*'Results'!$B$8)-'Inputs'!$B$28*ABS((('Results'!C7*(1-'Inputs'!$B$24)*(0.5*((((281-43)*MAX('Inputs'!$B$33,'Inputs'!$B$29+'Inputs'!$B$31+'Inputs'!$B$32,'Inputs'!$B$30+'Inputs'!$B$31+'Inputs'!$B$32)/1000+'Inputs'!$B$21)+'Inputs'!$B$9)/SQRT((((281-43)*MAX('Inputs'!$B$33,'Inputs'!$B$29+'Inputs'!$B$31+'Inputs'!$B$32,'Inputs'!$B$30+'Inputs'!$B$31+'Inputs'!$B$32)/1000+'Inputs'!$B$21)+'Inputs'!$B$9)^2+('Inputs'!$B$8/2)^2)-(((281-43)*MAX('Inputs'!$B$33,'Inputs'!$B$29+'Inputs'!$B$31+'Inputs'!$B$32,'Inputs'!$B$30+'Inputs'!$B$31+'Inputs'!$B$32)/1000+'Inputs'!$B$21))/SQRT((((281-43)*MAX('Inputs'!$B$33,'Inputs'!$B$29+'Inputs'!$B$31+'Inputs'!$B$32,'Inputs'!$B$30+'Inputs'!$B$31+'Inputs'!$B$32)/1000+'Inputs'!$B$21))^2+('Inputs'!$B$8/2)^2)))-'Results'!B7*(1+'Inputs'!$B$24)*(0.5*((((281-43)*MAX('Inputs'!$B$33,'Inputs'!$B$29+'Inputs'!$B$31+'Inputs'!$B$32,'Inputs'!$B$30+'Inputs'!$B$31+'Inputs'!$B$32)/1000+'Inputs'!$B$21+'Inputs'!$B$9+'Inputs'!$B$10)+'Inputs'!$B$7)/SQRT((((281-43)*MAX('Inputs'!$B$33,'Inputs'!$B$29+'Inputs'!$B$31+'Inputs'!$B$32,'Inputs'!$B$30+'Inputs'!$B$31+'Inputs'!$B$32)/1000+'Inputs'!$B$21+'Inputs'!$B$9+'Inputs'!$B$10)+'Inputs'!$B$7)^2+('Inputs'!$B$6/2)^2)-(((281-43)*MAX('Inputs'!$B$33,'Inputs'!$B$29+'Inputs'!$B$31+'Inputs'!$B$32,'Inputs'!$B$30+'Inputs'!$B$31+'Inputs'!$B$32)/1000+'Inputs'!$B$21+'Inputs'!$B$9+'Inputs'!$B$10))/SQRT((((281-43)*MAX('Inputs'!$B$33,'Inputs'!$B$29+'Inputs'!$B$31+'Inputs'!$B$32,'Inputs'!$B$30+'Inputs'!$B$31+'Inputs'!$B$32)/1000+'Inputs'!$B$21+'Inputs'!$B$9+'Inputs'!$B$10))^2+('Inputs'!$B$6/2)^2))))*'Results'!$B$8))),"")</x:f>
        <x:v>38.97705207448085</x:v>
      </x:c>
      <x:c r="O281" t="n">
        <x:f>IF(AND(ISNUMBER('Results'!C7),ISNUMBER('Results'!B7),ISNUMBER('Results'!$B$8),ISNUMBER('Inputs'!$B$6),ISNUMBER('Inputs'!$B$7),ISNUMBER('Inputs'!$B$8),ISNUMBER('Inputs'!$B$9),ISNUMBER('Inputs'!$B$10),ISNUMBER('Inputs'!$B$21),ISNUMBER('Inputs'!$B$24),ISNUMBER('Inputs'!$B$28)),((('Results'!C7*(1+'Inputs'!$B$24)*(0.5*((((281-43)*MAX('Inputs'!$B$33,'Inputs'!$B$29+'Inputs'!$B$31+'Inputs'!$B$32,'Inputs'!$B$30+'Inputs'!$B$31+'Inputs'!$B$32)/1000+'Inputs'!$B$21)+'Inputs'!$B$9)/SQRT((((281-43)*MAX('Inputs'!$B$33,'Inputs'!$B$29+'Inputs'!$B$31+'Inputs'!$B$32,'Inputs'!$B$30+'Inputs'!$B$31+'Inputs'!$B$32)/1000+'Inputs'!$B$21)+'Inputs'!$B$9)^2+('Inputs'!$B$8/2)^2)-(((281-43)*MAX('Inputs'!$B$33,'Inputs'!$B$29+'Inputs'!$B$31+'Inputs'!$B$32,'Inputs'!$B$30+'Inputs'!$B$31+'Inputs'!$B$32)/1000+'Inputs'!$B$21))/SQRT((((281-43)*MAX('Inputs'!$B$33,'Inputs'!$B$29+'Inputs'!$B$31+'Inputs'!$B$32,'Inputs'!$B$30+'Inputs'!$B$31+'Inputs'!$B$32)/1000+'Inputs'!$B$21))^2+('Inputs'!$B$8/2)^2)))-'Results'!B7*(1-'Inputs'!$B$24)*(0.5*((((281-43)*MAX('Inputs'!$B$33,'Inputs'!$B$29+'Inputs'!$B$31+'Inputs'!$B$32,'Inputs'!$B$30+'Inputs'!$B$31+'Inputs'!$B$32)/1000+'Inputs'!$B$21+'Inputs'!$B$9+'Inputs'!$B$10)+'Inputs'!$B$7)/SQRT((((281-43)*MAX('Inputs'!$B$33,'Inputs'!$B$29+'Inputs'!$B$31+'Inputs'!$B$32,'Inputs'!$B$30+'Inputs'!$B$31+'Inputs'!$B$32)/1000+'Inputs'!$B$21+'Inputs'!$B$9+'Inputs'!$B$10)+'Inputs'!$B$7)^2+('Inputs'!$B$6/2)^2)-(((281-43)*MAX('Inputs'!$B$33,'Inputs'!$B$29+'Inputs'!$B$31+'Inputs'!$B$32,'Inputs'!$B$30+'Inputs'!$B$31+'Inputs'!$B$32)/1000+'Inputs'!$B$21+'Inputs'!$B$9+'Inputs'!$B$10))/SQRT((((281-43)*MAX('Inputs'!$B$33,'Inputs'!$B$29+'Inputs'!$B$31+'Inputs'!$B$32,'Inputs'!$B$30+'Inputs'!$B$31+'Inputs'!$B$32)/1000+'Inputs'!$B$21+'Inputs'!$B$9+'Inputs'!$B$10))^2+('Inputs'!$B$6/2)^2))))*'Results'!$B$8)+'Inputs'!$B$28*ABS((('Results'!C7*(1+'Inputs'!$B$24)*(0.5*((((281-43)*MAX('Inputs'!$B$33,'Inputs'!$B$29+'Inputs'!$B$31+'Inputs'!$B$32,'Inputs'!$B$30+'Inputs'!$B$31+'Inputs'!$B$32)/1000+'Inputs'!$B$21)+'Inputs'!$B$9)/SQRT((((281-43)*MAX('Inputs'!$B$33,'Inputs'!$B$29+'Inputs'!$B$31+'Inputs'!$B$32,'Inputs'!$B$30+'Inputs'!$B$31+'Inputs'!$B$32)/1000+'Inputs'!$B$21)+'Inputs'!$B$9)^2+('Inputs'!$B$8/2)^2)-(((281-43)*MAX('Inputs'!$B$33,'Inputs'!$B$29+'Inputs'!$B$31+'Inputs'!$B$32,'Inputs'!$B$30+'Inputs'!$B$31+'Inputs'!$B$32)/1000+'Inputs'!$B$21))/SQRT((((281-43)*MAX('Inputs'!$B$33,'Inputs'!$B$29+'Inputs'!$B$31+'Inputs'!$B$32,'Inputs'!$B$30+'Inputs'!$B$31+'Inputs'!$B$32)/1000+'Inputs'!$B$21))^2+('Inputs'!$B$8/2)^2)))-'Results'!B7*(1-'Inputs'!$B$24)*(0.5*((((281-43)*MAX('Inputs'!$B$33,'Inputs'!$B$29+'Inputs'!$B$31+'Inputs'!$B$32,'Inputs'!$B$30+'Inputs'!$B$31+'Inputs'!$B$32)/1000+'Inputs'!$B$21+'Inputs'!$B$9+'Inputs'!$B$10)+'Inputs'!$B$7)/SQRT((((281-43)*MAX('Inputs'!$B$33,'Inputs'!$B$29+'Inputs'!$B$31+'Inputs'!$B$32,'Inputs'!$B$30+'Inputs'!$B$31+'Inputs'!$B$32)/1000+'Inputs'!$B$21+'Inputs'!$B$9+'Inputs'!$B$10)+'Inputs'!$B$7)^2+('Inputs'!$B$6/2)^2)-(((281-43)*MAX('Inputs'!$B$33,'Inputs'!$B$29+'Inputs'!$B$31+'Inputs'!$B$32,'Inputs'!$B$30+'Inputs'!$B$31+'Inputs'!$B$32)/1000+'Inputs'!$B$21+'Inputs'!$B$9+'Inputs'!$B$10))/SQRT((((281-43)*MAX('Inputs'!$B$33,'Inputs'!$B$29+'Inputs'!$B$31+'Inputs'!$B$32,'Inputs'!$B$30+'Inputs'!$B$31+'Inputs'!$B$32)/1000+'Inputs'!$B$21+'Inputs'!$B$9+'Inputs'!$B$10))^2+('Inputs'!$B$6/2)^2))))*'Results'!$B$8))),"")</x:f>
        <x:v>46.912973016295304</x:v>
      </x:c>
      <x:c r="P281" t="n">
        <x:f>IF(AND(MAX(J281,J280)&gt;0,J281&gt;J280+0.00000001),1,0)</x:f>
        <x:v>0</x:v>
      </x:c>
      <x:c r="Q281" t="n">
        <x:f>IF(AND(MAX(K281,K280)&gt;0,K281&gt;K280+0.00000001),1,0)</x:f>
        <x:v>0</x:v>
      </x:c>
      <x:c r="R281" t="n">
        <x:f>IF(AND(MAX(L281,L280)&gt;0,L281&gt;L280+0.00000001),1,0)</x:f>
        <x:v>0</x:v>
      </x:c>
      <x:c r="S281" t="n">
        <x:f>IF(AND(MAX(M281,M280)&gt;0,M281&gt;M280+0.00000001),1,0)</x:f>
        <x:v>0</x:v>
      </x:c>
      <x:c r="T281" t="n">
        <x:f>IF(AND(MAX(N281,N280)&gt;0,N281&gt;N280+0.00000001),1,0)</x:f>
        <x:v>0</x:v>
      </x:c>
      <x:c r="U281" t="n">
        <x:f>IF(AND(MAX(O281,O280)&gt;0,O281&gt;O280+0.00000001),1,0)</x:f>
        <x:v>0</x:v>
      </x:c>
    </x:row>
    <x:row r="282">
      <x:c r="J282" t="n">
        <x:f>IF(AND(ISNUMBER('Results'!B7),ISNUMBER('Results'!C7),ISNUMBER('Results'!$B$8),ISNUMBER('Inputs'!$B$6),ISNUMBER('Inputs'!$B$7),ISNUMBER('Inputs'!$B$8),ISNUMBER('Inputs'!$B$9),ISNUMBER('Inputs'!$B$10),ISNUMBER('Inputs'!$B$21),ISNUMBER('Inputs'!$B$24),ISNUMBER('Inputs'!$B$28)),(('Results'!B7*(0.5*((((282-43)*MAX('Inputs'!$B$33,'Inputs'!$B$29+'Inputs'!$B$31+'Inputs'!$B$32,'Inputs'!$B$30+'Inputs'!$B$31+'Inputs'!$B$32)/1000+'Inputs'!$B$21)+'Inputs'!$B$7)/SQRT((((282-43)*MAX('Inputs'!$B$33,'Inputs'!$B$29+'Inputs'!$B$31+'Inputs'!$B$32,'Inputs'!$B$30+'Inputs'!$B$31+'Inputs'!$B$32)/1000+'Inputs'!$B$21)+'Inputs'!$B$7)^2+('Inputs'!$B$6/2)^2)-(((282-43)*MAX('Inputs'!$B$33,'Inputs'!$B$29+'Inputs'!$B$31+'Inputs'!$B$32,'Inputs'!$B$30+'Inputs'!$B$31+'Inputs'!$B$32)/1000+'Inputs'!$B$21))/SQRT((((282-43)*MAX('Inputs'!$B$33,'Inputs'!$B$29+'Inputs'!$B$31+'Inputs'!$B$32,'Inputs'!$B$30+'Inputs'!$B$31+'Inputs'!$B$32)/1000+'Inputs'!$B$21))^2+('Inputs'!$B$6/2)^2)))-'Results'!C7*(0.5*((((282-43)*MAX('Inputs'!$B$33,'Inputs'!$B$29+'Inputs'!$B$31+'Inputs'!$B$32,'Inputs'!$B$30+'Inputs'!$B$31+'Inputs'!$B$32)/1000+'Inputs'!$B$21+'Inputs'!$B$7+'Inputs'!$B$10)+'Inputs'!$B$9)/SQRT((((282-43)*MAX('Inputs'!$B$33,'Inputs'!$B$29+'Inputs'!$B$31+'Inputs'!$B$32,'Inputs'!$B$30+'Inputs'!$B$31+'Inputs'!$B$32)/1000+'Inputs'!$B$21+'Inputs'!$B$7+'Inputs'!$B$10)+'Inputs'!$B$9)^2+('Inputs'!$B$8/2)^2)-(((282-43)*MAX('Inputs'!$B$33,'Inputs'!$B$29+'Inputs'!$B$31+'Inputs'!$B$32,'Inputs'!$B$30+'Inputs'!$B$31+'Inputs'!$B$32)/1000+'Inputs'!$B$21+'Inputs'!$B$7+'Inputs'!$B$10))/SQRT((((282-43)*MAX('Inputs'!$B$33,'Inputs'!$B$29+'Inputs'!$B$31+'Inputs'!$B$32,'Inputs'!$B$30+'Inputs'!$B$31+'Inputs'!$B$32)/1000+'Inputs'!$B$21+'Inputs'!$B$7+'Inputs'!$B$10))^2+('Inputs'!$B$8/2)^2))))*'Results'!$B$8),"")</x:f>
        <x:v>44.16249314615266</x:v>
      </x:c>
      <x:c r="K282" t="n">
        <x:f>IF(AND(ISNUMBER('Results'!B7),ISNUMBER('Results'!C7),ISNUMBER('Results'!$B$8),ISNUMBER('Inputs'!$B$6),ISNUMBER('Inputs'!$B$7),ISNUMBER('Inputs'!$B$8),ISNUMBER('Inputs'!$B$9),ISNUMBER('Inputs'!$B$10),ISNUMBER('Inputs'!$B$21),ISNUMBER('Inputs'!$B$24),ISNUMBER('Inputs'!$B$28)),((('Results'!B7*(1-'Inputs'!$B$24)*(0.5*((((282-43)*MAX('Inputs'!$B$33,'Inputs'!$B$29+'Inputs'!$B$31+'Inputs'!$B$32,'Inputs'!$B$30+'Inputs'!$B$31+'Inputs'!$B$32)/1000+'Inputs'!$B$21)+'Inputs'!$B$7)/SQRT((((282-43)*MAX('Inputs'!$B$33,'Inputs'!$B$29+'Inputs'!$B$31+'Inputs'!$B$32,'Inputs'!$B$30+'Inputs'!$B$31+'Inputs'!$B$32)/1000+'Inputs'!$B$21)+'Inputs'!$B$7)^2+('Inputs'!$B$6/2)^2)-(((282-43)*MAX('Inputs'!$B$33,'Inputs'!$B$29+'Inputs'!$B$31+'Inputs'!$B$32,'Inputs'!$B$30+'Inputs'!$B$31+'Inputs'!$B$32)/1000+'Inputs'!$B$21))/SQRT((((282-43)*MAX('Inputs'!$B$33,'Inputs'!$B$29+'Inputs'!$B$31+'Inputs'!$B$32,'Inputs'!$B$30+'Inputs'!$B$31+'Inputs'!$B$32)/1000+'Inputs'!$B$21))^2+('Inputs'!$B$6/2)^2)))-'Results'!C7*(1+'Inputs'!$B$24)*(0.5*((((282-43)*MAX('Inputs'!$B$33,'Inputs'!$B$29+'Inputs'!$B$31+'Inputs'!$B$32,'Inputs'!$B$30+'Inputs'!$B$31+'Inputs'!$B$32)/1000+'Inputs'!$B$21+'Inputs'!$B$7+'Inputs'!$B$10)+'Inputs'!$B$9)/SQRT((((282-43)*MAX('Inputs'!$B$33,'Inputs'!$B$29+'Inputs'!$B$31+'Inputs'!$B$32,'Inputs'!$B$30+'Inputs'!$B$31+'Inputs'!$B$32)/1000+'Inputs'!$B$21+'Inputs'!$B$7+'Inputs'!$B$10)+'Inputs'!$B$9)^2+('Inputs'!$B$8/2)^2)-(((282-43)*MAX('Inputs'!$B$33,'Inputs'!$B$29+'Inputs'!$B$31+'Inputs'!$B$32,'Inputs'!$B$30+'Inputs'!$B$31+'Inputs'!$B$32)/1000+'Inputs'!$B$21+'Inputs'!$B$7+'Inputs'!$B$10))/SQRT((((282-43)*MAX('Inputs'!$B$33,'Inputs'!$B$29+'Inputs'!$B$31+'Inputs'!$B$32,'Inputs'!$B$30+'Inputs'!$B$31+'Inputs'!$B$32)/1000+'Inputs'!$B$21+'Inputs'!$B$7+'Inputs'!$B$10))^2+('Inputs'!$B$8/2)^2))))*'Results'!$B$8)-'Inputs'!$B$28*ABS((('Results'!B7*(1-'Inputs'!$B$24)*(0.5*((((282-43)*MAX('Inputs'!$B$33,'Inputs'!$B$29+'Inputs'!$B$31+'Inputs'!$B$32,'Inputs'!$B$30+'Inputs'!$B$31+'Inputs'!$B$32)/1000+'Inputs'!$B$21)+'Inputs'!$B$7)/SQRT((((282-43)*MAX('Inputs'!$B$33,'Inputs'!$B$29+'Inputs'!$B$31+'Inputs'!$B$32,'Inputs'!$B$30+'Inputs'!$B$31+'Inputs'!$B$32)/1000+'Inputs'!$B$21)+'Inputs'!$B$7)^2+('Inputs'!$B$6/2)^2)-(((282-43)*MAX('Inputs'!$B$33,'Inputs'!$B$29+'Inputs'!$B$31+'Inputs'!$B$32,'Inputs'!$B$30+'Inputs'!$B$31+'Inputs'!$B$32)/1000+'Inputs'!$B$21))/SQRT((((282-43)*MAX('Inputs'!$B$33,'Inputs'!$B$29+'Inputs'!$B$31+'Inputs'!$B$32,'Inputs'!$B$30+'Inputs'!$B$31+'Inputs'!$B$32)/1000+'Inputs'!$B$21))^2+('Inputs'!$B$6/2)^2)))-'Results'!C7*(1+'Inputs'!$B$24)*(0.5*((((282-43)*MAX('Inputs'!$B$33,'Inputs'!$B$29+'Inputs'!$B$31+'Inputs'!$B$32,'Inputs'!$B$30+'Inputs'!$B$31+'Inputs'!$B$32)/1000+'Inputs'!$B$21+'Inputs'!$B$7+'Inputs'!$B$10)+'Inputs'!$B$9)/SQRT((((282-43)*MAX('Inputs'!$B$33,'Inputs'!$B$29+'Inputs'!$B$31+'Inputs'!$B$32,'Inputs'!$B$30+'Inputs'!$B$31+'Inputs'!$B$32)/1000+'Inputs'!$B$21+'Inputs'!$B$7+'Inputs'!$B$10)+'Inputs'!$B$9)^2+('Inputs'!$B$8/2)^2)-(((282-43)*MAX('Inputs'!$B$33,'Inputs'!$B$29+'Inputs'!$B$31+'Inputs'!$B$32,'Inputs'!$B$30+'Inputs'!$B$31+'Inputs'!$B$32)/1000+'Inputs'!$B$21+'Inputs'!$B$7+'Inputs'!$B$10))/SQRT((((282-43)*MAX('Inputs'!$B$33,'Inputs'!$B$29+'Inputs'!$B$31+'Inputs'!$B$32,'Inputs'!$B$30+'Inputs'!$B$31+'Inputs'!$B$32)/1000+'Inputs'!$B$21+'Inputs'!$B$7+'Inputs'!$B$10))^2+('Inputs'!$B$8/2)^2))))*'Results'!$B$8))),"")</x:f>
        <x:v>40.220819517337866</x:v>
      </x:c>
      <x:c r="L282" t="n">
        <x:f>IF(AND(ISNUMBER('Results'!B7),ISNUMBER('Results'!C7),ISNUMBER('Results'!$B$8),ISNUMBER('Inputs'!$B$6),ISNUMBER('Inputs'!$B$7),ISNUMBER('Inputs'!$B$8),ISNUMBER('Inputs'!$B$9),ISNUMBER('Inputs'!$B$10),ISNUMBER('Inputs'!$B$21),ISNUMBER('Inputs'!$B$24),ISNUMBER('Inputs'!$B$28)),((('Results'!B7*(1+'Inputs'!$B$24)*(0.5*((((282-43)*MAX('Inputs'!$B$33,'Inputs'!$B$29+'Inputs'!$B$31+'Inputs'!$B$32,'Inputs'!$B$30+'Inputs'!$B$31+'Inputs'!$B$32)/1000+'Inputs'!$B$21)+'Inputs'!$B$7)/SQRT((((282-43)*MAX('Inputs'!$B$33,'Inputs'!$B$29+'Inputs'!$B$31+'Inputs'!$B$32,'Inputs'!$B$30+'Inputs'!$B$31+'Inputs'!$B$32)/1000+'Inputs'!$B$21)+'Inputs'!$B$7)^2+('Inputs'!$B$6/2)^2)-(((282-43)*MAX('Inputs'!$B$33,'Inputs'!$B$29+'Inputs'!$B$31+'Inputs'!$B$32,'Inputs'!$B$30+'Inputs'!$B$31+'Inputs'!$B$32)/1000+'Inputs'!$B$21))/SQRT((((282-43)*MAX('Inputs'!$B$33,'Inputs'!$B$29+'Inputs'!$B$31+'Inputs'!$B$32,'Inputs'!$B$30+'Inputs'!$B$31+'Inputs'!$B$32)/1000+'Inputs'!$B$21))^2+('Inputs'!$B$6/2)^2)))-'Results'!C7*(1-'Inputs'!$B$24)*(0.5*((((282-43)*MAX('Inputs'!$B$33,'Inputs'!$B$29+'Inputs'!$B$31+'Inputs'!$B$32,'Inputs'!$B$30+'Inputs'!$B$31+'Inputs'!$B$32)/1000+'Inputs'!$B$21+'Inputs'!$B$7+'Inputs'!$B$10)+'Inputs'!$B$9)/SQRT((((282-43)*MAX('Inputs'!$B$33,'Inputs'!$B$29+'Inputs'!$B$31+'Inputs'!$B$32,'Inputs'!$B$30+'Inputs'!$B$31+'Inputs'!$B$32)/1000+'Inputs'!$B$21+'Inputs'!$B$7+'Inputs'!$B$10)+'Inputs'!$B$9)^2+('Inputs'!$B$8/2)^2)-(((282-43)*MAX('Inputs'!$B$33,'Inputs'!$B$29+'Inputs'!$B$31+'Inputs'!$B$32,'Inputs'!$B$30+'Inputs'!$B$31+'Inputs'!$B$32)/1000+'Inputs'!$B$21+'Inputs'!$B$7+'Inputs'!$B$10))/SQRT((((282-43)*MAX('Inputs'!$B$33,'Inputs'!$B$29+'Inputs'!$B$31+'Inputs'!$B$32,'Inputs'!$B$30+'Inputs'!$B$31+'Inputs'!$B$32)/1000+'Inputs'!$B$21+'Inputs'!$B$7+'Inputs'!$B$10))^2+('Inputs'!$B$8/2)^2))))*'Results'!$B$8)+'Inputs'!$B$28*ABS((('Results'!B7*(1+'Inputs'!$B$24)*(0.5*((((282-43)*MAX('Inputs'!$B$33,'Inputs'!$B$29+'Inputs'!$B$31+'Inputs'!$B$32,'Inputs'!$B$30+'Inputs'!$B$31+'Inputs'!$B$32)/1000+'Inputs'!$B$21)+'Inputs'!$B$7)/SQRT((((282-43)*MAX('Inputs'!$B$33,'Inputs'!$B$29+'Inputs'!$B$31+'Inputs'!$B$32,'Inputs'!$B$30+'Inputs'!$B$31+'Inputs'!$B$32)/1000+'Inputs'!$B$21)+'Inputs'!$B$7)^2+('Inputs'!$B$6/2)^2)-(((282-43)*MAX('Inputs'!$B$33,'Inputs'!$B$29+'Inputs'!$B$31+'Inputs'!$B$32,'Inputs'!$B$30+'Inputs'!$B$31+'Inputs'!$B$32)/1000+'Inputs'!$B$21))/SQRT((((282-43)*MAX('Inputs'!$B$33,'Inputs'!$B$29+'Inputs'!$B$31+'Inputs'!$B$32,'Inputs'!$B$30+'Inputs'!$B$31+'Inputs'!$B$32)/1000+'Inputs'!$B$21))^2+('Inputs'!$B$6/2)^2)))-'Results'!C7*(1-'Inputs'!$B$24)*(0.5*((((282-43)*MAX('Inputs'!$B$33,'Inputs'!$B$29+'Inputs'!$B$31+'Inputs'!$B$32,'Inputs'!$B$30+'Inputs'!$B$31+'Inputs'!$B$32)/1000+'Inputs'!$B$21+'Inputs'!$B$7+'Inputs'!$B$10)+'Inputs'!$B$9)/SQRT((((282-43)*MAX('Inputs'!$B$33,'Inputs'!$B$29+'Inputs'!$B$31+'Inputs'!$B$32,'Inputs'!$B$30+'Inputs'!$B$31+'Inputs'!$B$32)/1000+'Inputs'!$B$21+'Inputs'!$B$7+'Inputs'!$B$10)+'Inputs'!$B$9)^2+('Inputs'!$B$8/2)^2)-(((282-43)*MAX('Inputs'!$B$33,'Inputs'!$B$29+'Inputs'!$B$31+'Inputs'!$B$32,'Inputs'!$B$30+'Inputs'!$B$31+'Inputs'!$B$32)/1000+'Inputs'!$B$21+'Inputs'!$B$7+'Inputs'!$B$10))/SQRT((((282-43)*MAX('Inputs'!$B$33,'Inputs'!$B$29+'Inputs'!$B$31+'Inputs'!$B$32,'Inputs'!$B$30+'Inputs'!$B$31+'Inputs'!$B$32)/1000+'Inputs'!$B$21+'Inputs'!$B$7+'Inputs'!$B$10))^2+('Inputs'!$B$8/2)^2))))*'Results'!$B$8))),"")</x:f>
        <x:v>48.28664561407347</x:v>
      </x:c>
      <x:c r="M282" t="n">
        <x:f>IF(AND(ISNUMBER('Results'!C7),ISNUMBER('Results'!B7),ISNUMBER('Results'!$B$8),ISNUMBER('Inputs'!$B$6),ISNUMBER('Inputs'!$B$7),ISNUMBER('Inputs'!$B$8),ISNUMBER('Inputs'!$B$9),ISNUMBER('Inputs'!$B$10),ISNUMBER('Inputs'!$B$21),ISNUMBER('Inputs'!$B$24),ISNUMBER('Inputs'!$B$28)),(('Results'!C7*(0.5*((((282-43)*MAX('Inputs'!$B$33,'Inputs'!$B$29+'Inputs'!$B$31+'Inputs'!$B$32,'Inputs'!$B$30+'Inputs'!$B$31+'Inputs'!$B$32)/1000+'Inputs'!$B$21)+'Inputs'!$B$9)/SQRT((((282-43)*MAX('Inputs'!$B$33,'Inputs'!$B$29+'Inputs'!$B$31+'Inputs'!$B$32,'Inputs'!$B$30+'Inputs'!$B$31+'Inputs'!$B$32)/1000+'Inputs'!$B$21)+'Inputs'!$B$9)^2+('Inputs'!$B$8/2)^2)-(((282-43)*MAX('Inputs'!$B$33,'Inputs'!$B$29+'Inputs'!$B$31+'Inputs'!$B$32,'Inputs'!$B$30+'Inputs'!$B$31+'Inputs'!$B$32)/1000+'Inputs'!$B$21))/SQRT((((282-43)*MAX('Inputs'!$B$33,'Inputs'!$B$29+'Inputs'!$B$31+'Inputs'!$B$32,'Inputs'!$B$30+'Inputs'!$B$31+'Inputs'!$B$32)/1000+'Inputs'!$B$21))^2+('Inputs'!$B$8/2)^2)))-'Results'!B7*(0.5*((((282-43)*MAX('Inputs'!$B$33,'Inputs'!$B$29+'Inputs'!$B$31+'Inputs'!$B$32,'Inputs'!$B$30+'Inputs'!$B$31+'Inputs'!$B$32)/1000+'Inputs'!$B$21+'Inputs'!$B$9+'Inputs'!$B$10)+'Inputs'!$B$7)/SQRT((((282-43)*MAX('Inputs'!$B$33,'Inputs'!$B$29+'Inputs'!$B$31+'Inputs'!$B$32,'Inputs'!$B$30+'Inputs'!$B$31+'Inputs'!$B$32)/1000+'Inputs'!$B$21+'Inputs'!$B$9+'Inputs'!$B$10)+'Inputs'!$B$7)^2+('Inputs'!$B$6/2)^2)-(((282-43)*MAX('Inputs'!$B$33,'Inputs'!$B$29+'Inputs'!$B$31+'Inputs'!$B$32,'Inputs'!$B$30+'Inputs'!$B$31+'Inputs'!$B$32)/1000+'Inputs'!$B$21+'Inputs'!$B$9+'Inputs'!$B$10))/SQRT((((282-43)*MAX('Inputs'!$B$33,'Inputs'!$B$29+'Inputs'!$B$31+'Inputs'!$B$32,'Inputs'!$B$30+'Inputs'!$B$31+'Inputs'!$B$32)/1000+'Inputs'!$B$21+'Inputs'!$B$9+'Inputs'!$B$10))^2+('Inputs'!$B$6/2)^2))))*'Results'!$B$8),"")</x:f>
        <x:v>42.328097219091084</x:v>
      </x:c>
      <x:c r="N282" t="n">
        <x:f>IF(AND(ISNUMBER('Results'!C7),ISNUMBER('Results'!B7),ISNUMBER('Results'!$B$8),ISNUMBER('Inputs'!$B$6),ISNUMBER('Inputs'!$B$7),ISNUMBER('Inputs'!$B$8),ISNUMBER('Inputs'!$B$9),ISNUMBER('Inputs'!$B$10),ISNUMBER('Inputs'!$B$21),ISNUMBER('Inputs'!$B$24),ISNUMBER('Inputs'!$B$28)),((('Results'!C7*(1-'Inputs'!$B$24)*(0.5*((((282-43)*MAX('Inputs'!$B$33,'Inputs'!$B$29+'Inputs'!$B$31+'Inputs'!$B$32,'Inputs'!$B$30+'Inputs'!$B$31+'Inputs'!$B$32)/1000+'Inputs'!$B$21)+'Inputs'!$B$9)/SQRT((((282-43)*MAX('Inputs'!$B$33,'Inputs'!$B$29+'Inputs'!$B$31+'Inputs'!$B$32,'Inputs'!$B$30+'Inputs'!$B$31+'Inputs'!$B$32)/1000+'Inputs'!$B$21)+'Inputs'!$B$9)^2+('Inputs'!$B$8/2)^2)-(((282-43)*MAX('Inputs'!$B$33,'Inputs'!$B$29+'Inputs'!$B$31+'Inputs'!$B$32,'Inputs'!$B$30+'Inputs'!$B$31+'Inputs'!$B$32)/1000+'Inputs'!$B$21))/SQRT((((282-43)*MAX('Inputs'!$B$33,'Inputs'!$B$29+'Inputs'!$B$31+'Inputs'!$B$32,'Inputs'!$B$30+'Inputs'!$B$31+'Inputs'!$B$32)/1000+'Inputs'!$B$21))^2+('Inputs'!$B$8/2)^2)))-'Results'!B7*(1+'Inputs'!$B$24)*(0.5*((((282-43)*MAX('Inputs'!$B$33,'Inputs'!$B$29+'Inputs'!$B$31+'Inputs'!$B$32,'Inputs'!$B$30+'Inputs'!$B$31+'Inputs'!$B$32)/1000+'Inputs'!$B$21+'Inputs'!$B$9+'Inputs'!$B$10)+'Inputs'!$B$7)/SQRT((((282-43)*MAX('Inputs'!$B$33,'Inputs'!$B$29+'Inputs'!$B$31+'Inputs'!$B$32,'Inputs'!$B$30+'Inputs'!$B$31+'Inputs'!$B$32)/1000+'Inputs'!$B$21+'Inputs'!$B$9+'Inputs'!$B$10)+'Inputs'!$B$7)^2+('Inputs'!$B$6/2)^2)-(((282-43)*MAX('Inputs'!$B$33,'Inputs'!$B$29+'Inputs'!$B$31+'Inputs'!$B$32,'Inputs'!$B$30+'Inputs'!$B$31+'Inputs'!$B$32)/1000+'Inputs'!$B$21+'Inputs'!$B$9+'Inputs'!$B$10))/SQRT((((282-43)*MAX('Inputs'!$B$33,'Inputs'!$B$29+'Inputs'!$B$31+'Inputs'!$B$32,'Inputs'!$B$30+'Inputs'!$B$31+'Inputs'!$B$32)/1000+'Inputs'!$B$21+'Inputs'!$B$9+'Inputs'!$B$10))^2+('Inputs'!$B$6/2)^2))))*'Results'!$B$8)-'Inputs'!$B$28*ABS((('Results'!C7*(1-'Inputs'!$B$24)*(0.5*((((282-43)*MAX('Inputs'!$B$33,'Inputs'!$B$29+'Inputs'!$B$31+'Inputs'!$B$32,'Inputs'!$B$30+'Inputs'!$B$31+'Inputs'!$B$32)/1000+'Inputs'!$B$21)+'Inputs'!$B$9)/SQRT((((282-43)*MAX('Inputs'!$B$33,'Inputs'!$B$29+'Inputs'!$B$31+'Inputs'!$B$32,'Inputs'!$B$30+'Inputs'!$B$31+'Inputs'!$B$32)/1000+'Inputs'!$B$21)+'Inputs'!$B$9)^2+('Inputs'!$B$8/2)^2)-(((282-43)*MAX('Inputs'!$B$33,'Inputs'!$B$29+'Inputs'!$B$31+'Inputs'!$B$32,'Inputs'!$B$30+'Inputs'!$B$31+'Inputs'!$B$32)/1000+'Inputs'!$B$21))/SQRT((((282-43)*MAX('Inputs'!$B$33,'Inputs'!$B$29+'Inputs'!$B$31+'Inputs'!$B$32,'Inputs'!$B$30+'Inputs'!$B$31+'Inputs'!$B$32)/1000+'Inputs'!$B$21))^2+('Inputs'!$B$8/2)^2)))-'Results'!B7*(1+'Inputs'!$B$24)*(0.5*((((282-43)*MAX('Inputs'!$B$33,'Inputs'!$B$29+'Inputs'!$B$31+'Inputs'!$B$32,'Inputs'!$B$30+'Inputs'!$B$31+'Inputs'!$B$32)/1000+'Inputs'!$B$21+'Inputs'!$B$9+'Inputs'!$B$10)+'Inputs'!$B$7)/SQRT((((282-43)*MAX('Inputs'!$B$33,'Inputs'!$B$29+'Inputs'!$B$31+'Inputs'!$B$32,'Inputs'!$B$30+'Inputs'!$B$31+'Inputs'!$B$32)/1000+'Inputs'!$B$21+'Inputs'!$B$9+'Inputs'!$B$10)+'Inputs'!$B$7)^2+('Inputs'!$B$6/2)^2)-(((282-43)*MAX('Inputs'!$B$33,'Inputs'!$B$29+'Inputs'!$B$31+'Inputs'!$B$32,'Inputs'!$B$30+'Inputs'!$B$31+'Inputs'!$B$32)/1000+'Inputs'!$B$21+'Inputs'!$B$9+'Inputs'!$B$10))/SQRT((((282-43)*MAX('Inputs'!$B$33,'Inputs'!$B$29+'Inputs'!$B$31+'Inputs'!$B$32,'Inputs'!$B$30+'Inputs'!$B$31+'Inputs'!$B$32)/1000+'Inputs'!$B$21+'Inputs'!$B$9+'Inputs'!$B$10))^2+('Inputs'!$B$6/2)^2))))*'Results'!$B$8))),"")</x:f>
        <x:v>38.49474259084087</x:v>
      </x:c>
      <x:c r="O282" t="n">
        <x:f>IF(AND(ISNUMBER('Results'!C7),ISNUMBER('Results'!B7),ISNUMBER('Results'!$B$8),ISNUMBER('Inputs'!$B$6),ISNUMBER('Inputs'!$B$7),ISNUMBER('Inputs'!$B$8),ISNUMBER('Inputs'!$B$9),ISNUMBER('Inputs'!$B$10),ISNUMBER('Inputs'!$B$21),ISNUMBER('Inputs'!$B$24),ISNUMBER('Inputs'!$B$28)),((('Results'!C7*(1+'Inputs'!$B$24)*(0.5*((((282-43)*MAX('Inputs'!$B$33,'Inputs'!$B$29+'Inputs'!$B$31+'Inputs'!$B$32,'Inputs'!$B$30+'Inputs'!$B$31+'Inputs'!$B$32)/1000+'Inputs'!$B$21)+'Inputs'!$B$9)/SQRT((((282-43)*MAX('Inputs'!$B$33,'Inputs'!$B$29+'Inputs'!$B$31+'Inputs'!$B$32,'Inputs'!$B$30+'Inputs'!$B$31+'Inputs'!$B$32)/1000+'Inputs'!$B$21)+'Inputs'!$B$9)^2+('Inputs'!$B$8/2)^2)-(((282-43)*MAX('Inputs'!$B$33,'Inputs'!$B$29+'Inputs'!$B$31+'Inputs'!$B$32,'Inputs'!$B$30+'Inputs'!$B$31+'Inputs'!$B$32)/1000+'Inputs'!$B$21))/SQRT((((282-43)*MAX('Inputs'!$B$33,'Inputs'!$B$29+'Inputs'!$B$31+'Inputs'!$B$32,'Inputs'!$B$30+'Inputs'!$B$31+'Inputs'!$B$32)/1000+'Inputs'!$B$21))^2+('Inputs'!$B$8/2)^2)))-'Results'!B7*(1-'Inputs'!$B$24)*(0.5*((((282-43)*MAX('Inputs'!$B$33,'Inputs'!$B$29+'Inputs'!$B$31+'Inputs'!$B$32,'Inputs'!$B$30+'Inputs'!$B$31+'Inputs'!$B$32)/1000+'Inputs'!$B$21+'Inputs'!$B$9+'Inputs'!$B$10)+'Inputs'!$B$7)/SQRT((((282-43)*MAX('Inputs'!$B$33,'Inputs'!$B$29+'Inputs'!$B$31+'Inputs'!$B$32,'Inputs'!$B$30+'Inputs'!$B$31+'Inputs'!$B$32)/1000+'Inputs'!$B$21+'Inputs'!$B$9+'Inputs'!$B$10)+'Inputs'!$B$7)^2+('Inputs'!$B$6/2)^2)-(((282-43)*MAX('Inputs'!$B$33,'Inputs'!$B$29+'Inputs'!$B$31+'Inputs'!$B$32,'Inputs'!$B$30+'Inputs'!$B$31+'Inputs'!$B$32)/1000+'Inputs'!$B$21+'Inputs'!$B$9+'Inputs'!$B$10))/SQRT((((282-43)*MAX('Inputs'!$B$33,'Inputs'!$B$29+'Inputs'!$B$31+'Inputs'!$B$32,'Inputs'!$B$30+'Inputs'!$B$31+'Inputs'!$B$32)/1000+'Inputs'!$B$21+'Inputs'!$B$9+'Inputs'!$B$10))^2+('Inputs'!$B$6/2)^2))))*'Results'!$B$8)+'Inputs'!$B$28*ABS((('Results'!C7*(1+'Inputs'!$B$24)*(0.5*((((282-43)*MAX('Inputs'!$B$33,'Inputs'!$B$29+'Inputs'!$B$31+'Inputs'!$B$32,'Inputs'!$B$30+'Inputs'!$B$31+'Inputs'!$B$32)/1000+'Inputs'!$B$21)+'Inputs'!$B$9)/SQRT((((282-43)*MAX('Inputs'!$B$33,'Inputs'!$B$29+'Inputs'!$B$31+'Inputs'!$B$32,'Inputs'!$B$30+'Inputs'!$B$31+'Inputs'!$B$32)/1000+'Inputs'!$B$21)+'Inputs'!$B$9)^2+('Inputs'!$B$8/2)^2)-(((282-43)*MAX('Inputs'!$B$33,'Inputs'!$B$29+'Inputs'!$B$31+'Inputs'!$B$32,'Inputs'!$B$30+'Inputs'!$B$31+'Inputs'!$B$32)/1000+'Inputs'!$B$21))/SQRT((((282-43)*MAX('Inputs'!$B$33,'Inputs'!$B$29+'Inputs'!$B$31+'Inputs'!$B$32,'Inputs'!$B$30+'Inputs'!$B$31+'Inputs'!$B$32)/1000+'Inputs'!$B$21))^2+('Inputs'!$B$8/2)^2)))-'Results'!B7*(1-'Inputs'!$B$24)*(0.5*((((282-43)*MAX('Inputs'!$B$33,'Inputs'!$B$29+'Inputs'!$B$31+'Inputs'!$B$32,'Inputs'!$B$30+'Inputs'!$B$31+'Inputs'!$B$32)/1000+'Inputs'!$B$21+'Inputs'!$B$9+'Inputs'!$B$10)+'Inputs'!$B$7)/SQRT((((282-43)*MAX('Inputs'!$B$33,'Inputs'!$B$29+'Inputs'!$B$31+'Inputs'!$B$32,'Inputs'!$B$30+'Inputs'!$B$31+'Inputs'!$B$32)/1000+'Inputs'!$B$21+'Inputs'!$B$9+'Inputs'!$B$10)+'Inputs'!$B$7)^2+('Inputs'!$B$6/2)^2)-(((282-43)*MAX('Inputs'!$B$33,'Inputs'!$B$29+'Inputs'!$B$31+'Inputs'!$B$32,'Inputs'!$B$30+'Inputs'!$B$31+'Inputs'!$B$32)/1000+'Inputs'!$B$21+'Inputs'!$B$9+'Inputs'!$B$10))/SQRT((((282-43)*MAX('Inputs'!$B$33,'Inputs'!$B$29+'Inputs'!$B$31+'Inputs'!$B$32,'Inputs'!$B$30+'Inputs'!$B$31+'Inputs'!$B$32)/1000+'Inputs'!$B$21+'Inputs'!$B$9+'Inputs'!$B$10))^2+('Inputs'!$B$6/2)^2))))*'Results'!$B$8))),"")</x:f>
        <x:v>46.34218340179348</x:v>
      </x:c>
      <x:c r="P282" t="n">
        <x:f>IF(AND(MAX(J282,J281)&gt;0,J282&gt;J281+0.00000001),1,0)</x:f>
        <x:v>0</x:v>
      </x:c>
      <x:c r="Q282" t="n">
        <x:f>IF(AND(MAX(K282,K281)&gt;0,K282&gt;K281+0.00000001),1,0)</x:f>
        <x:v>0</x:v>
      </x:c>
      <x:c r="R282" t="n">
        <x:f>IF(AND(MAX(L282,L281)&gt;0,L282&gt;L281+0.00000001),1,0)</x:f>
        <x:v>0</x:v>
      </x:c>
      <x:c r="S282" t="n">
        <x:f>IF(AND(MAX(M282,M281)&gt;0,M282&gt;M281+0.00000001),1,0)</x:f>
        <x:v>0</x:v>
      </x:c>
      <x:c r="T282" t="n">
        <x:f>IF(AND(MAX(N282,N281)&gt;0,N282&gt;N281+0.00000001),1,0)</x:f>
        <x:v>0</x:v>
      </x:c>
      <x:c r="U282" t="n">
        <x:f>IF(AND(MAX(O282,O281)&gt;0,O282&gt;O281+0.00000001),1,0)</x:f>
        <x:v>0</x:v>
      </x:c>
    </x:row>
    <x:row r="283">
      <x:c r="J283" t="n">
        <x:f>IF(AND(ISNUMBER('Results'!B7),ISNUMBER('Results'!C7),ISNUMBER('Results'!$B$8),ISNUMBER('Inputs'!$B$6),ISNUMBER('Inputs'!$B$7),ISNUMBER('Inputs'!$B$8),ISNUMBER('Inputs'!$B$9),ISNUMBER('Inputs'!$B$10),ISNUMBER('Inputs'!$B$21),ISNUMBER('Inputs'!$B$24),ISNUMBER('Inputs'!$B$28)),(('Results'!B7*(0.5*((((283-43)*MAX('Inputs'!$B$33,'Inputs'!$B$29+'Inputs'!$B$31+'Inputs'!$B$32,'Inputs'!$B$30+'Inputs'!$B$31+'Inputs'!$B$32)/1000+'Inputs'!$B$21)+'Inputs'!$B$7)/SQRT((((283-43)*MAX('Inputs'!$B$33,'Inputs'!$B$29+'Inputs'!$B$31+'Inputs'!$B$32,'Inputs'!$B$30+'Inputs'!$B$31+'Inputs'!$B$32)/1000+'Inputs'!$B$21)+'Inputs'!$B$7)^2+('Inputs'!$B$6/2)^2)-(((283-43)*MAX('Inputs'!$B$33,'Inputs'!$B$29+'Inputs'!$B$31+'Inputs'!$B$32,'Inputs'!$B$30+'Inputs'!$B$31+'Inputs'!$B$32)/1000+'Inputs'!$B$21))/SQRT((((283-43)*MAX('Inputs'!$B$33,'Inputs'!$B$29+'Inputs'!$B$31+'Inputs'!$B$32,'Inputs'!$B$30+'Inputs'!$B$31+'Inputs'!$B$32)/1000+'Inputs'!$B$21))^2+('Inputs'!$B$6/2)^2)))-'Results'!C7*(0.5*((((283-43)*MAX('Inputs'!$B$33,'Inputs'!$B$29+'Inputs'!$B$31+'Inputs'!$B$32,'Inputs'!$B$30+'Inputs'!$B$31+'Inputs'!$B$32)/1000+'Inputs'!$B$21+'Inputs'!$B$7+'Inputs'!$B$10)+'Inputs'!$B$9)/SQRT((((283-43)*MAX('Inputs'!$B$33,'Inputs'!$B$29+'Inputs'!$B$31+'Inputs'!$B$32,'Inputs'!$B$30+'Inputs'!$B$31+'Inputs'!$B$32)/1000+'Inputs'!$B$21+'Inputs'!$B$7+'Inputs'!$B$10)+'Inputs'!$B$9)^2+('Inputs'!$B$8/2)^2)-(((283-43)*MAX('Inputs'!$B$33,'Inputs'!$B$29+'Inputs'!$B$31+'Inputs'!$B$32,'Inputs'!$B$30+'Inputs'!$B$31+'Inputs'!$B$32)/1000+'Inputs'!$B$21+'Inputs'!$B$7+'Inputs'!$B$10))/SQRT((((283-43)*MAX('Inputs'!$B$33,'Inputs'!$B$29+'Inputs'!$B$31+'Inputs'!$B$32,'Inputs'!$B$30+'Inputs'!$B$31+'Inputs'!$B$32)/1000+'Inputs'!$B$21+'Inputs'!$B$7+'Inputs'!$B$10))^2+('Inputs'!$B$8/2)^2))))*'Results'!$B$8),"")</x:f>
        <x:v>43.62676040950952</x:v>
      </x:c>
      <x:c r="K283" t="n">
        <x:f>IF(AND(ISNUMBER('Results'!B7),ISNUMBER('Results'!C7),ISNUMBER('Results'!$B$8),ISNUMBER('Inputs'!$B$6),ISNUMBER('Inputs'!$B$7),ISNUMBER('Inputs'!$B$8),ISNUMBER('Inputs'!$B$9),ISNUMBER('Inputs'!$B$10),ISNUMBER('Inputs'!$B$21),ISNUMBER('Inputs'!$B$24),ISNUMBER('Inputs'!$B$28)),((('Results'!B7*(1-'Inputs'!$B$24)*(0.5*((((283-43)*MAX('Inputs'!$B$33,'Inputs'!$B$29+'Inputs'!$B$31+'Inputs'!$B$32,'Inputs'!$B$30+'Inputs'!$B$31+'Inputs'!$B$32)/1000+'Inputs'!$B$21)+'Inputs'!$B$7)/SQRT((((283-43)*MAX('Inputs'!$B$33,'Inputs'!$B$29+'Inputs'!$B$31+'Inputs'!$B$32,'Inputs'!$B$30+'Inputs'!$B$31+'Inputs'!$B$32)/1000+'Inputs'!$B$21)+'Inputs'!$B$7)^2+('Inputs'!$B$6/2)^2)-(((283-43)*MAX('Inputs'!$B$33,'Inputs'!$B$29+'Inputs'!$B$31+'Inputs'!$B$32,'Inputs'!$B$30+'Inputs'!$B$31+'Inputs'!$B$32)/1000+'Inputs'!$B$21))/SQRT((((283-43)*MAX('Inputs'!$B$33,'Inputs'!$B$29+'Inputs'!$B$31+'Inputs'!$B$32,'Inputs'!$B$30+'Inputs'!$B$31+'Inputs'!$B$32)/1000+'Inputs'!$B$21))^2+('Inputs'!$B$6/2)^2)))-'Results'!C7*(1+'Inputs'!$B$24)*(0.5*((((283-43)*MAX('Inputs'!$B$33,'Inputs'!$B$29+'Inputs'!$B$31+'Inputs'!$B$32,'Inputs'!$B$30+'Inputs'!$B$31+'Inputs'!$B$32)/1000+'Inputs'!$B$21+'Inputs'!$B$7+'Inputs'!$B$10)+'Inputs'!$B$9)/SQRT((((283-43)*MAX('Inputs'!$B$33,'Inputs'!$B$29+'Inputs'!$B$31+'Inputs'!$B$32,'Inputs'!$B$30+'Inputs'!$B$31+'Inputs'!$B$32)/1000+'Inputs'!$B$21+'Inputs'!$B$7+'Inputs'!$B$10)+'Inputs'!$B$9)^2+('Inputs'!$B$8/2)^2)-(((283-43)*MAX('Inputs'!$B$33,'Inputs'!$B$29+'Inputs'!$B$31+'Inputs'!$B$32,'Inputs'!$B$30+'Inputs'!$B$31+'Inputs'!$B$32)/1000+'Inputs'!$B$21+'Inputs'!$B$7+'Inputs'!$B$10))/SQRT((((283-43)*MAX('Inputs'!$B$33,'Inputs'!$B$29+'Inputs'!$B$31+'Inputs'!$B$32,'Inputs'!$B$30+'Inputs'!$B$31+'Inputs'!$B$32)/1000+'Inputs'!$B$21+'Inputs'!$B$7+'Inputs'!$B$10))^2+('Inputs'!$B$8/2)^2))))*'Results'!$B$8)-'Inputs'!$B$28*ABS((('Results'!B7*(1-'Inputs'!$B$24)*(0.5*((((283-43)*MAX('Inputs'!$B$33,'Inputs'!$B$29+'Inputs'!$B$31+'Inputs'!$B$32,'Inputs'!$B$30+'Inputs'!$B$31+'Inputs'!$B$32)/1000+'Inputs'!$B$21)+'Inputs'!$B$7)/SQRT((((283-43)*MAX('Inputs'!$B$33,'Inputs'!$B$29+'Inputs'!$B$31+'Inputs'!$B$32,'Inputs'!$B$30+'Inputs'!$B$31+'Inputs'!$B$32)/1000+'Inputs'!$B$21)+'Inputs'!$B$7)^2+('Inputs'!$B$6/2)^2)-(((283-43)*MAX('Inputs'!$B$33,'Inputs'!$B$29+'Inputs'!$B$31+'Inputs'!$B$32,'Inputs'!$B$30+'Inputs'!$B$31+'Inputs'!$B$32)/1000+'Inputs'!$B$21))/SQRT((((283-43)*MAX('Inputs'!$B$33,'Inputs'!$B$29+'Inputs'!$B$31+'Inputs'!$B$32,'Inputs'!$B$30+'Inputs'!$B$31+'Inputs'!$B$32)/1000+'Inputs'!$B$21))^2+('Inputs'!$B$6/2)^2)))-'Results'!C7*(1+'Inputs'!$B$24)*(0.5*((((283-43)*MAX('Inputs'!$B$33,'Inputs'!$B$29+'Inputs'!$B$31+'Inputs'!$B$32,'Inputs'!$B$30+'Inputs'!$B$31+'Inputs'!$B$32)/1000+'Inputs'!$B$21+'Inputs'!$B$7+'Inputs'!$B$10)+'Inputs'!$B$9)/SQRT((((283-43)*MAX('Inputs'!$B$33,'Inputs'!$B$29+'Inputs'!$B$31+'Inputs'!$B$32,'Inputs'!$B$30+'Inputs'!$B$31+'Inputs'!$B$32)/1000+'Inputs'!$B$21+'Inputs'!$B$7+'Inputs'!$B$10)+'Inputs'!$B$9)^2+('Inputs'!$B$8/2)^2)-(((283-43)*MAX('Inputs'!$B$33,'Inputs'!$B$29+'Inputs'!$B$31+'Inputs'!$B$32,'Inputs'!$B$30+'Inputs'!$B$31+'Inputs'!$B$32)/1000+'Inputs'!$B$21+'Inputs'!$B$7+'Inputs'!$B$10))/SQRT((((283-43)*MAX('Inputs'!$B$33,'Inputs'!$B$29+'Inputs'!$B$31+'Inputs'!$B$32,'Inputs'!$B$30+'Inputs'!$B$31+'Inputs'!$B$32)/1000+'Inputs'!$B$21+'Inputs'!$B$7+'Inputs'!$B$10))^2+('Inputs'!$B$8/2)^2))))*'Results'!$B$8))),"")</x:f>
        <x:v>39.72891299537115</x:v>
      </x:c>
      <x:c r="L283" t="n">
        <x:f>IF(AND(ISNUMBER('Results'!B7),ISNUMBER('Results'!C7),ISNUMBER('Results'!$B$8),ISNUMBER('Inputs'!$B$6),ISNUMBER('Inputs'!$B$7),ISNUMBER('Inputs'!$B$8),ISNUMBER('Inputs'!$B$9),ISNUMBER('Inputs'!$B$10),ISNUMBER('Inputs'!$B$21),ISNUMBER('Inputs'!$B$24),ISNUMBER('Inputs'!$B$28)),((('Results'!B7*(1+'Inputs'!$B$24)*(0.5*((((283-43)*MAX('Inputs'!$B$33,'Inputs'!$B$29+'Inputs'!$B$31+'Inputs'!$B$32,'Inputs'!$B$30+'Inputs'!$B$31+'Inputs'!$B$32)/1000+'Inputs'!$B$21)+'Inputs'!$B$7)/SQRT((((283-43)*MAX('Inputs'!$B$33,'Inputs'!$B$29+'Inputs'!$B$31+'Inputs'!$B$32,'Inputs'!$B$30+'Inputs'!$B$31+'Inputs'!$B$32)/1000+'Inputs'!$B$21)+'Inputs'!$B$7)^2+('Inputs'!$B$6/2)^2)-(((283-43)*MAX('Inputs'!$B$33,'Inputs'!$B$29+'Inputs'!$B$31+'Inputs'!$B$32,'Inputs'!$B$30+'Inputs'!$B$31+'Inputs'!$B$32)/1000+'Inputs'!$B$21))/SQRT((((283-43)*MAX('Inputs'!$B$33,'Inputs'!$B$29+'Inputs'!$B$31+'Inputs'!$B$32,'Inputs'!$B$30+'Inputs'!$B$31+'Inputs'!$B$32)/1000+'Inputs'!$B$21))^2+('Inputs'!$B$6/2)^2)))-'Results'!C7*(1-'Inputs'!$B$24)*(0.5*((((283-43)*MAX('Inputs'!$B$33,'Inputs'!$B$29+'Inputs'!$B$31+'Inputs'!$B$32,'Inputs'!$B$30+'Inputs'!$B$31+'Inputs'!$B$32)/1000+'Inputs'!$B$21+'Inputs'!$B$7+'Inputs'!$B$10)+'Inputs'!$B$9)/SQRT((((283-43)*MAX('Inputs'!$B$33,'Inputs'!$B$29+'Inputs'!$B$31+'Inputs'!$B$32,'Inputs'!$B$30+'Inputs'!$B$31+'Inputs'!$B$32)/1000+'Inputs'!$B$21+'Inputs'!$B$7+'Inputs'!$B$10)+'Inputs'!$B$9)^2+('Inputs'!$B$8/2)^2)-(((283-43)*MAX('Inputs'!$B$33,'Inputs'!$B$29+'Inputs'!$B$31+'Inputs'!$B$32,'Inputs'!$B$30+'Inputs'!$B$31+'Inputs'!$B$32)/1000+'Inputs'!$B$21+'Inputs'!$B$7+'Inputs'!$B$10))/SQRT((((283-43)*MAX('Inputs'!$B$33,'Inputs'!$B$29+'Inputs'!$B$31+'Inputs'!$B$32,'Inputs'!$B$30+'Inputs'!$B$31+'Inputs'!$B$32)/1000+'Inputs'!$B$21+'Inputs'!$B$7+'Inputs'!$B$10))^2+('Inputs'!$B$8/2)^2))))*'Results'!$B$8)+'Inputs'!$B$28*ABS((('Results'!B7*(1+'Inputs'!$B$24)*(0.5*((((283-43)*MAX('Inputs'!$B$33,'Inputs'!$B$29+'Inputs'!$B$31+'Inputs'!$B$32,'Inputs'!$B$30+'Inputs'!$B$31+'Inputs'!$B$32)/1000+'Inputs'!$B$21)+'Inputs'!$B$7)/SQRT((((283-43)*MAX('Inputs'!$B$33,'Inputs'!$B$29+'Inputs'!$B$31+'Inputs'!$B$32,'Inputs'!$B$30+'Inputs'!$B$31+'Inputs'!$B$32)/1000+'Inputs'!$B$21)+'Inputs'!$B$7)^2+('Inputs'!$B$6/2)^2)-(((283-43)*MAX('Inputs'!$B$33,'Inputs'!$B$29+'Inputs'!$B$31+'Inputs'!$B$32,'Inputs'!$B$30+'Inputs'!$B$31+'Inputs'!$B$32)/1000+'Inputs'!$B$21))/SQRT((((283-43)*MAX('Inputs'!$B$33,'Inputs'!$B$29+'Inputs'!$B$31+'Inputs'!$B$32,'Inputs'!$B$30+'Inputs'!$B$31+'Inputs'!$B$32)/1000+'Inputs'!$B$21))^2+('Inputs'!$B$6/2)^2)))-'Results'!C7*(1-'Inputs'!$B$24)*(0.5*((((283-43)*MAX('Inputs'!$B$33,'Inputs'!$B$29+'Inputs'!$B$31+'Inputs'!$B$32,'Inputs'!$B$30+'Inputs'!$B$31+'Inputs'!$B$32)/1000+'Inputs'!$B$21+'Inputs'!$B$7+'Inputs'!$B$10)+'Inputs'!$B$9)/SQRT((((283-43)*MAX('Inputs'!$B$33,'Inputs'!$B$29+'Inputs'!$B$31+'Inputs'!$B$32,'Inputs'!$B$30+'Inputs'!$B$31+'Inputs'!$B$32)/1000+'Inputs'!$B$21+'Inputs'!$B$7+'Inputs'!$B$10)+'Inputs'!$B$9)^2+('Inputs'!$B$8/2)^2)-(((283-43)*MAX('Inputs'!$B$33,'Inputs'!$B$29+'Inputs'!$B$31+'Inputs'!$B$32,'Inputs'!$B$30+'Inputs'!$B$31+'Inputs'!$B$32)/1000+'Inputs'!$B$21+'Inputs'!$B$7+'Inputs'!$B$10))/SQRT((((283-43)*MAX('Inputs'!$B$33,'Inputs'!$B$29+'Inputs'!$B$31+'Inputs'!$B$32,'Inputs'!$B$30+'Inputs'!$B$31+'Inputs'!$B$32)/1000+'Inputs'!$B$21+'Inputs'!$B$7+'Inputs'!$B$10))^2+('Inputs'!$B$8/2)^2))))*'Results'!$B$8))),"")</x:f>
        <x:v>47.70529302298081</x:v>
      </x:c>
      <x:c r="M283" t="n">
        <x:f>IF(AND(ISNUMBER('Results'!C7),ISNUMBER('Results'!B7),ISNUMBER('Results'!$B$8),ISNUMBER('Inputs'!$B$6),ISNUMBER('Inputs'!$B$7),ISNUMBER('Inputs'!$B$8),ISNUMBER('Inputs'!$B$9),ISNUMBER('Inputs'!$B$10),ISNUMBER('Inputs'!$B$21),ISNUMBER('Inputs'!$B$24),ISNUMBER('Inputs'!$B$28)),(('Results'!C7*(0.5*((((283-43)*MAX('Inputs'!$B$33,'Inputs'!$B$29+'Inputs'!$B$31+'Inputs'!$B$32,'Inputs'!$B$30+'Inputs'!$B$31+'Inputs'!$B$32)/1000+'Inputs'!$B$21)+'Inputs'!$B$9)/SQRT((((283-43)*MAX('Inputs'!$B$33,'Inputs'!$B$29+'Inputs'!$B$31+'Inputs'!$B$32,'Inputs'!$B$30+'Inputs'!$B$31+'Inputs'!$B$32)/1000+'Inputs'!$B$21)+'Inputs'!$B$9)^2+('Inputs'!$B$8/2)^2)-(((283-43)*MAX('Inputs'!$B$33,'Inputs'!$B$29+'Inputs'!$B$31+'Inputs'!$B$32,'Inputs'!$B$30+'Inputs'!$B$31+'Inputs'!$B$32)/1000+'Inputs'!$B$21))/SQRT((((283-43)*MAX('Inputs'!$B$33,'Inputs'!$B$29+'Inputs'!$B$31+'Inputs'!$B$32,'Inputs'!$B$30+'Inputs'!$B$31+'Inputs'!$B$32)/1000+'Inputs'!$B$21))^2+('Inputs'!$B$8/2)^2)))-'Results'!B7*(0.5*((((283-43)*MAX('Inputs'!$B$33,'Inputs'!$B$29+'Inputs'!$B$31+'Inputs'!$B$32,'Inputs'!$B$30+'Inputs'!$B$31+'Inputs'!$B$32)/1000+'Inputs'!$B$21+'Inputs'!$B$9+'Inputs'!$B$10)+'Inputs'!$B$7)/SQRT((((283-43)*MAX('Inputs'!$B$33,'Inputs'!$B$29+'Inputs'!$B$31+'Inputs'!$B$32,'Inputs'!$B$30+'Inputs'!$B$31+'Inputs'!$B$32)/1000+'Inputs'!$B$21+'Inputs'!$B$9+'Inputs'!$B$10)+'Inputs'!$B$7)^2+('Inputs'!$B$6/2)^2)-(((283-43)*MAX('Inputs'!$B$33,'Inputs'!$B$29+'Inputs'!$B$31+'Inputs'!$B$32,'Inputs'!$B$30+'Inputs'!$B$31+'Inputs'!$B$32)/1000+'Inputs'!$B$21+'Inputs'!$B$9+'Inputs'!$B$10))/SQRT((((283-43)*MAX('Inputs'!$B$33,'Inputs'!$B$29+'Inputs'!$B$31+'Inputs'!$B$32,'Inputs'!$B$30+'Inputs'!$B$31+'Inputs'!$B$32)/1000+'Inputs'!$B$21+'Inputs'!$B$9+'Inputs'!$B$10))^2+('Inputs'!$B$6/2)^2))))*'Results'!$B$8),"")</x:f>
        <x:v>41.81037457143385</x:v>
      </x:c>
      <x:c r="N283" t="n">
        <x:f>IF(AND(ISNUMBER('Results'!C7),ISNUMBER('Results'!B7),ISNUMBER('Results'!$B$8),ISNUMBER('Inputs'!$B$6),ISNUMBER('Inputs'!$B$7),ISNUMBER('Inputs'!$B$8),ISNUMBER('Inputs'!$B$9),ISNUMBER('Inputs'!$B$10),ISNUMBER('Inputs'!$B$21),ISNUMBER('Inputs'!$B$24),ISNUMBER('Inputs'!$B$28)),((('Results'!C7*(1-'Inputs'!$B$24)*(0.5*((((283-43)*MAX('Inputs'!$B$33,'Inputs'!$B$29+'Inputs'!$B$31+'Inputs'!$B$32,'Inputs'!$B$30+'Inputs'!$B$31+'Inputs'!$B$32)/1000+'Inputs'!$B$21)+'Inputs'!$B$9)/SQRT((((283-43)*MAX('Inputs'!$B$33,'Inputs'!$B$29+'Inputs'!$B$31+'Inputs'!$B$32,'Inputs'!$B$30+'Inputs'!$B$31+'Inputs'!$B$32)/1000+'Inputs'!$B$21)+'Inputs'!$B$9)^2+('Inputs'!$B$8/2)^2)-(((283-43)*MAX('Inputs'!$B$33,'Inputs'!$B$29+'Inputs'!$B$31+'Inputs'!$B$32,'Inputs'!$B$30+'Inputs'!$B$31+'Inputs'!$B$32)/1000+'Inputs'!$B$21))/SQRT((((283-43)*MAX('Inputs'!$B$33,'Inputs'!$B$29+'Inputs'!$B$31+'Inputs'!$B$32,'Inputs'!$B$30+'Inputs'!$B$31+'Inputs'!$B$32)/1000+'Inputs'!$B$21))^2+('Inputs'!$B$8/2)^2)))-'Results'!B7*(1+'Inputs'!$B$24)*(0.5*((((283-43)*MAX('Inputs'!$B$33,'Inputs'!$B$29+'Inputs'!$B$31+'Inputs'!$B$32,'Inputs'!$B$30+'Inputs'!$B$31+'Inputs'!$B$32)/1000+'Inputs'!$B$21+'Inputs'!$B$9+'Inputs'!$B$10)+'Inputs'!$B$7)/SQRT((((283-43)*MAX('Inputs'!$B$33,'Inputs'!$B$29+'Inputs'!$B$31+'Inputs'!$B$32,'Inputs'!$B$30+'Inputs'!$B$31+'Inputs'!$B$32)/1000+'Inputs'!$B$21+'Inputs'!$B$9+'Inputs'!$B$10)+'Inputs'!$B$7)^2+('Inputs'!$B$6/2)^2)-(((283-43)*MAX('Inputs'!$B$33,'Inputs'!$B$29+'Inputs'!$B$31+'Inputs'!$B$32,'Inputs'!$B$30+'Inputs'!$B$31+'Inputs'!$B$32)/1000+'Inputs'!$B$21+'Inputs'!$B$9+'Inputs'!$B$10))/SQRT((((283-43)*MAX('Inputs'!$B$33,'Inputs'!$B$29+'Inputs'!$B$31+'Inputs'!$B$32,'Inputs'!$B$30+'Inputs'!$B$31+'Inputs'!$B$32)/1000+'Inputs'!$B$21+'Inputs'!$B$9+'Inputs'!$B$10))^2+('Inputs'!$B$6/2)^2))))*'Results'!$B$8)-'Inputs'!$B$28*ABS((('Results'!C7*(1-'Inputs'!$B$24)*(0.5*((((283-43)*MAX('Inputs'!$B$33,'Inputs'!$B$29+'Inputs'!$B$31+'Inputs'!$B$32,'Inputs'!$B$30+'Inputs'!$B$31+'Inputs'!$B$32)/1000+'Inputs'!$B$21)+'Inputs'!$B$9)/SQRT((((283-43)*MAX('Inputs'!$B$33,'Inputs'!$B$29+'Inputs'!$B$31+'Inputs'!$B$32,'Inputs'!$B$30+'Inputs'!$B$31+'Inputs'!$B$32)/1000+'Inputs'!$B$21)+'Inputs'!$B$9)^2+('Inputs'!$B$8/2)^2)-(((283-43)*MAX('Inputs'!$B$33,'Inputs'!$B$29+'Inputs'!$B$31+'Inputs'!$B$32,'Inputs'!$B$30+'Inputs'!$B$31+'Inputs'!$B$32)/1000+'Inputs'!$B$21))/SQRT((((283-43)*MAX('Inputs'!$B$33,'Inputs'!$B$29+'Inputs'!$B$31+'Inputs'!$B$32,'Inputs'!$B$30+'Inputs'!$B$31+'Inputs'!$B$32)/1000+'Inputs'!$B$21))^2+('Inputs'!$B$8/2)^2)))-'Results'!B7*(1+'Inputs'!$B$24)*(0.5*((((283-43)*MAX('Inputs'!$B$33,'Inputs'!$B$29+'Inputs'!$B$31+'Inputs'!$B$32,'Inputs'!$B$30+'Inputs'!$B$31+'Inputs'!$B$32)/1000+'Inputs'!$B$21+'Inputs'!$B$9+'Inputs'!$B$10)+'Inputs'!$B$7)/SQRT((((283-43)*MAX('Inputs'!$B$33,'Inputs'!$B$29+'Inputs'!$B$31+'Inputs'!$B$32,'Inputs'!$B$30+'Inputs'!$B$31+'Inputs'!$B$32)/1000+'Inputs'!$B$21+'Inputs'!$B$9+'Inputs'!$B$10)+'Inputs'!$B$7)^2+('Inputs'!$B$6/2)^2)-(((283-43)*MAX('Inputs'!$B$33,'Inputs'!$B$29+'Inputs'!$B$31+'Inputs'!$B$32,'Inputs'!$B$30+'Inputs'!$B$31+'Inputs'!$B$32)/1000+'Inputs'!$B$21+'Inputs'!$B$9+'Inputs'!$B$10))/SQRT((((283-43)*MAX('Inputs'!$B$33,'Inputs'!$B$29+'Inputs'!$B$31+'Inputs'!$B$32,'Inputs'!$B$30+'Inputs'!$B$31+'Inputs'!$B$32)/1000+'Inputs'!$B$21+'Inputs'!$B$9+'Inputs'!$B$10))^2+('Inputs'!$B$6/2)^2))))*'Results'!$B$8))),"")</x:f>
        <x:v>38.019743475104704</x:v>
      </x:c>
      <x:c r="O283" t="n">
        <x:f>IF(AND(ISNUMBER('Results'!C7),ISNUMBER('Results'!B7),ISNUMBER('Results'!$B$8),ISNUMBER('Inputs'!$B$6),ISNUMBER('Inputs'!$B$7),ISNUMBER('Inputs'!$B$8),ISNUMBER('Inputs'!$B$9),ISNUMBER('Inputs'!$B$10),ISNUMBER('Inputs'!$B$21),ISNUMBER('Inputs'!$B$24),ISNUMBER('Inputs'!$B$28)),((('Results'!C7*(1+'Inputs'!$B$24)*(0.5*((((283-43)*MAX('Inputs'!$B$33,'Inputs'!$B$29+'Inputs'!$B$31+'Inputs'!$B$32,'Inputs'!$B$30+'Inputs'!$B$31+'Inputs'!$B$32)/1000+'Inputs'!$B$21)+'Inputs'!$B$9)/SQRT((((283-43)*MAX('Inputs'!$B$33,'Inputs'!$B$29+'Inputs'!$B$31+'Inputs'!$B$32,'Inputs'!$B$30+'Inputs'!$B$31+'Inputs'!$B$32)/1000+'Inputs'!$B$21)+'Inputs'!$B$9)^2+('Inputs'!$B$8/2)^2)-(((283-43)*MAX('Inputs'!$B$33,'Inputs'!$B$29+'Inputs'!$B$31+'Inputs'!$B$32,'Inputs'!$B$30+'Inputs'!$B$31+'Inputs'!$B$32)/1000+'Inputs'!$B$21))/SQRT((((283-43)*MAX('Inputs'!$B$33,'Inputs'!$B$29+'Inputs'!$B$31+'Inputs'!$B$32,'Inputs'!$B$30+'Inputs'!$B$31+'Inputs'!$B$32)/1000+'Inputs'!$B$21))^2+('Inputs'!$B$8/2)^2)))-'Results'!B7*(1-'Inputs'!$B$24)*(0.5*((((283-43)*MAX('Inputs'!$B$33,'Inputs'!$B$29+'Inputs'!$B$31+'Inputs'!$B$32,'Inputs'!$B$30+'Inputs'!$B$31+'Inputs'!$B$32)/1000+'Inputs'!$B$21+'Inputs'!$B$9+'Inputs'!$B$10)+'Inputs'!$B$7)/SQRT((((283-43)*MAX('Inputs'!$B$33,'Inputs'!$B$29+'Inputs'!$B$31+'Inputs'!$B$32,'Inputs'!$B$30+'Inputs'!$B$31+'Inputs'!$B$32)/1000+'Inputs'!$B$21+'Inputs'!$B$9+'Inputs'!$B$10)+'Inputs'!$B$7)^2+('Inputs'!$B$6/2)^2)-(((283-43)*MAX('Inputs'!$B$33,'Inputs'!$B$29+'Inputs'!$B$31+'Inputs'!$B$32,'Inputs'!$B$30+'Inputs'!$B$31+'Inputs'!$B$32)/1000+'Inputs'!$B$21+'Inputs'!$B$9+'Inputs'!$B$10))/SQRT((((283-43)*MAX('Inputs'!$B$33,'Inputs'!$B$29+'Inputs'!$B$31+'Inputs'!$B$32,'Inputs'!$B$30+'Inputs'!$B$31+'Inputs'!$B$32)/1000+'Inputs'!$B$21+'Inputs'!$B$9+'Inputs'!$B$10))^2+('Inputs'!$B$6/2)^2))))*'Results'!$B$8)+'Inputs'!$B$28*ABS((('Results'!C7*(1+'Inputs'!$B$24)*(0.5*((((283-43)*MAX('Inputs'!$B$33,'Inputs'!$B$29+'Inputs'!$B$31+'Inputs'!$B$32,'Inputs'!$B$30+'Inputs'!$B$31+'Inputs'!$B$32)/1000+'Inputs'!$B$21)+'Inputs'!$B$9)/SQRT((((283-43)*MAX('Inputs'!$B$33,'Inputs'!$B$29+'Inputs'!$B$31+'Inputs'!$B$32,'Inputs'!$B$30+'Inputs'!$B$31+'Inputs'!$B$32)/1000+'Inputs'!$B$21)+'Inputs'!$B$9)^2+('Inputs'!$B$8/2)^2)-(((283-43)*MAX('Inputs'!$B$33,'Inputs'!$B$29+'Inputs'!$B$31+'Inputs'!$B$32,'Inputs'!$B$30+'Inputs'!$B$31+'Inputs'!$B$32)/1000+'Inputs'!$B$21))/SQRT((((283-43)*MAX('Inputs'!$B$33,'Inputs'!$B$29+'Inputs'!$B$31+'Inputs'!$B$32,'Inputs'!$B$30+'Inputs'!$B$31+'Inputs'!$B$32)/1000+'Inputs'!$B$21))^2+('Inputs'!$B$8/2)^2)))-'Results'!B7*(1-'Inputs'!$B$24)*(0.5*((((283-43)*MAX('Inputs'!$B$33,'Inputs'!$B$29+'Inputs'!$B$31+'Inputs'!$B$32,'Inputs'!$B$30+'Inputs'!$B$31+'Inputs'!$B$32)/1000+'Inputs'!$B$21+'Inputs'!$B$9+'Inputs'!$B$10)+'Inputs'!$B$7)/SQRT((((283-43)*MAX('Inputs'!$B$33,'Inputs'!$B$29+'Inputs'!$B$31+'Inputs'!$B$32,'Inputs'!$B$30+'Inputs'!$B$31+'Inputs'!$B$32)/1000+'Inputs'!$B$21+'Inputs'!$B$9+'Inputs'!$B$10)+'Inputs'!$B$7)^2+('Inputs'!$B$6/2)^2)-(((283-43)*MAX('Inputs'!$B$33,'Inputs'!$B$29+'Inputs'!$B$31+'Inputs'!$B$32,'Inputs'!$B$30+'Inputs'!$B$31+'Inputs'!$B$32)/1000+'Inputs'!$B$21+'Inputs'!$B$9+'Inputs'!$B$10))/SQRT((((283-43)*MAX('Inputs'!$B$33,'Inputs'!$B$29+'Inputs'!$B$31+'Inputs'!$B$32,'Inputs'!$B$30+'Inputs'!$B$31+'Inputs'!$B$32)/1000+'Inputs'!$B$21+'Inputs'!$B$9+'Inputs'!$B$10))^2+('Inputs'!$B$6/2)^2))))*'Results'!$B$8))),"")</x:f>
        <x:v>45.77996486436904</x:v>
      </x:c>
      <x:c r="P283" t="n">
        <x:f>IF(AND(MAX(J283,J282)&gt;0,J283&gt;J282+0.00000001),1,0)</x:f>
        <x:v>0</x:v>
      </x:c>
      <x:c r="Q283" t="n">
        <x:f>IF(AND(MAX(K283,K282)&gt;0,K283&gt;K282+0.00000001),1,0)</x:f>
        <x:v>0</x:v>
      </x:c>
      <x:c r="R283" t="n">
        <x:f>IF(AND(MAX(L283,L282)&gt;0,L283&gt;L282+0.00000001),1,0)</x:f>
        <x:v>0</x:v>
      </x:c>
      <x:c r="S283" t="n">
        <x:f>IF(AND(MAX(M283,M282)&gt;0,M283&gt;M282+0.00000001),1,0)</x:f>
        <x:v>0</x:v>
      </x:c>
      <x:c r="T283" t="n">
        <x:f>IF(AND(MAX(N283,N282)&gt;0,N283&gt;N282+0.00000001),1,0)</x:f>
        <x:v>0</x:v>
      </x:c>
      <x:c r="U283" t="n">
        <x:f>IF(AND(MAX(O283,O282)&gt;0,O283&gt;O282+0.00000001),1,0)</x:f>
        <x:v>0</x:v>
      </x:c>
    </x:row>
    <x:row r="284">
      <x:c r="J284" t="n">
        <x:f>IF(AND(ISNUMBER('Results'!B7),ISNUMBER('Results'!C7),ISNUMBER('Results'!$B$8),ISNUMBER('Inputs'!$B$6),ISNUMBER('Inputs'!$B$7),ISNUMBER('Inputs'!$B$8),ISNUMBER('Inputs'!$B$9),ISNUMBER('Inputs'!$B$10),ISNUMBER('Inputs'!$B$21),ISNUMBER('Inputs'!$B$24),ISNUMBER('Inputs'!$B$28)),(('Results'!B7*(0.5*((((284-43)*MAX('Inputs'!$B$33,'Inputs'!$B$29+'Inputs'!$B$31+'Inputs'!$B$32,'Inputs'!$B$30+'Inputs'!$B$31+'Inputs'!$B$32)/1000+'Inputs'!$B$21)+'Inputs'!$B$7)/SQRT((((284-43)*MAX('Inputs'!$B$33,'Inputs'!$B$29+'Inputs'!$B$31+'Inputs'!$B$32,'Inputs'!$B$30+'Inputs'!$B$31+'Inputs'!$B$32)/1000+'Inputs'!$B$21)+'Inputs'!$B$7)^2+('Inputs'!$B$6/2)^2)-(((284-43)*MAX('Inputs'!$B$33,'Inputs'!$B$29+'Inputs'!$B$31+'Inputs'!$B$32,'Inputs'!$B$30+'Inputs'!$B$31+'Inputs'!$B$32)/1000+'Inputs'!$B$21))/SQRT((((284-43)*MAX('Inputs'!$B$33,'Inputs'!$B$29+'Inputs'!$B$31+'Inputs'!$B$32,'Inputs'!$B$30+'Inputs'!$B$31+'Inputs'!$B$32)/1000+'Inputs'!$B$21))^2+('Inputs'!$B$6/2)^2)))-'Results'!C7*(0.5*((((284-43)*MAX('Inputs'!$B$33,'Inputs'!$B$29+'Inputs'!$B$31+'Inputs'!$B$32,'Inputs'!$B$30+'Inputs'!$B$31+'Inputs'!$B$32)/1000+'Inputs'!$B$21+'Inputs'!$B$7+'Inputs'!$B$10)+'Inputs'!$B$9)/SQRT((((284-43)*MAX('Inputs'!$B$33,'Inputs'!$B$29+'Inputs'!$B$31+'Inputs'!$B$32,'Inputs'!$B$30+'Inputs'!$B$31+'Inputs'!$B$32)/1000+'Inputs'!$B$21+'Inputs'!$B$7+'Inputs'!$B$10)+'Inputs'!$B$9)^2+('Inputs'!$B$8/2)^2)-(((284-43)*MAX('Inputs'!$B$33,'Inputs'!$B$29+'Inputs'!$B$31+'Inputs'!$B$32,'Inputs'!$B$30+'Inputs'!$B$31+'Inputs'!$B$32)/1000+'Inputs'!$B$21+'Inputs'!$B$7+'Inputs'!$B$10))/SQRT((((284-43)*MAX('Inputs'!$B$33,'Inputs'!$B$29+'Inputs'!$B$31+'Inputs'!$B$32,'Inputs'!$B$30+'Inputs'!$B$31+'Inputs'!$B$32)/1000+'Inputs'!$B$21+'Inputs'!$B$7+'Inputs'!$B$10))^2+('Inputs'!$B$8/2)^2))))*'Results'!$B$8),"")</x:f>
        <x:v>43.09904987156661</x:v>
      </x:c>
      <x:c r="K284" t="n">
        <x:f>IF(AND(ISNUMBER('Results'!B7),ISNUMBER('Results'!C7),ISNUMBER('Results'!$B$8),ISNUMBER('Inputs'!$B$6),ISNUMBER('Inputs'!$B$7),ISNUMBER('Inputs'!$B$8),ISNUMBER('Inputs'!$B$9),ISNUMBER('Inputs'!$B$10),ISNUMBER('Inputs'!$B$21),ISNUMBER('Inputs'!$B$24),ISNUMBER('Inputs'!$B$28)),((('Results'!B7*(1-'Inputs'!$B$24)*(0.5*((((284-43)*MAX('Inputs'!$B$33,'Inputs'!$B$29+'Inputs'!$B$31+'Inputs'!$B$32,'Inputs'!$B$30+'Inputs'!$B$31+'Inputs'!$B$32)/1000+'Inputs'!$B$21)+'Inputs'!$B$7)/SQRT((((284-43)*MAX('Inputs'!$B$33,'Inputs'!$B$29+'Inputs'!$B$31+'Inputs'!$B$32,'Inputs'!$B$30+'Inputs'!$B$31+'Inputs'!$B$32)/1000+'Inputs'!$B$21)+'Inputs'!$B$7)^2+('Inputs'!$B$6/2)^2)-(((284-43)*MAX('Inputs'!$B$33,'Inputs'!$B$29+'Inputs'!$B$31+'Inputs'!$B$32,'Inputs'!$B$30+'Inputs'!$B$31+'Inputs'!$B$32)/1000+'Inputs'!$B$21))/SQRT((((284-43)*MAX('Inputs'!$B$33,'Inputs'!$B$29+'Inputs'!$B$31+'Inputs'!$B$32,'Inputs'!$B$30+'Inputs'!$B$31+'Inputs'!$B$32)/1000+'Inputs'!$B$21))^2+('Inputs'!$B$6/2)^2)))-'Results'!C7*(1+'Inputs'!$B$24)*(0.5*((((284-43)*MAX('Inputs'!$B$33,'Inputs'!$B$29+'Inputs'!$B$31+'Inputs'!$B$32,'Inputs'!$B$30+'Inputs'!$B$31+'Inputs'!$B$32)/1000+'Inputs'!$B$21+'Inputs'!$B$7+'Inputs'!$B$10)+'Inputs'!$B$9)/SQRT((((284-43)*MAX('Inputs'!$B$33,'Inputs'!$B$29+'Inputs'!$B$31+'Inputs'!$B$32,'Inputs'!$B$30+'Inputs'!$B$31+'Inputs'!$B$32)/1000+'Inputs'!$B$21+'Inputs'!$B$7+'Inputs'!$B$10)+'Inputs'!$B$9)^2+('Inputs'!$B$8/2)^2)-(((284-43)*MAX('Inputs'!$B$33,'Inputs'!$B$29+'Inputs'!$B$31+'Inputs'!$B$32,'Inputs'!$B$30+'Inputs'!$B$31+'Inputs'!$B$32)/1000+'Inputs'!$B$21+'Inputs'!$B$7+'Inputs'!$B$10))/SQRT((((284-43)*MAX('Inputs'!$B$33,'Inputs'!$B$29+'Inputs'!$B$31+'Inputs'!$B$32,'Inputs'!$B$30+'Inputs'!$B$31+'Inputs'!$B$32)/1000+'Inputs'!$B$21+'Inputs'!$B$7+'Inputs'!$B$10))^2+('Inputs'!$B$8/2)^2))))*'Results'!$B$8)-'Inputs'!$B$28*ABS((('Results'!B7*(1-'Inputs'!$B$24)*(0.5*((((284-43)*MAX('Inputs'!$B$33,'Inputs'!$B$29+'Inputs'!$B$31+'Inputs'!$B$32,'Inputs'!$B$30+'Inputs'!$B$31+'Inputs'!$B$32)/1000+'Inputs'!$B$21)+'Inputs'!$B$7)/SQRT((((284-43)*MAX('Inputs'!$B$33,'Inputs'!$B$29+'Inputs'!$B$31+'Inputs'!$B$32,'Inputs'!$B$30+'Inputs'!$B$31+'Inputs'!$B$32)/1000+'Inputs'!$B$21)+'Inputs'!$B$7)^2+('Inputs'!$B$6/2)^2)-(((284-43)*MAX('Inputs'!$B$33,'Inputs'!$B$29+'Inputs'!$B$31+'Inputs'!$B$32,'Inputs'!$B$30+'Inputs'!$B$31+'Inputs'!$B$32)/1000+'Inputs'!$B$21))/SQRT((((284-43)*MAX('Inputs'!$B$33,'Inputs'!$B$29+'Inputs'!$B$31+'Inputs'!$B$32,'Inputs'!$B$30+'Inputs'!$B$31+'Inputs'!$B$32)/1000+'Inputs'!$B$21))^2+('Inputs'!$B$6/2)^2)))-'Results'!C7*(1+'Inputs'!$B$24)*(0.5*((((284-43)*MAX('Inputs'!$B$33,'Inputs'!$B$29+'Inputs'!$B$31+'Inputs'!$B$32,'Inputs'!$B$30+'Inputs'!$B$31+'Inputs'!$B$32)/1000+'Inputs'!$B$21+'Inputs'!$B$7+'Inputs'!$B$10)+'Inputs'!$B$9)/SQRT((((284-43)*MAX('Inputs'!$B$33,'Inputs'!$B$29+'Inputs'!$B$31+'Inputs'!$B$32,'Inputs'!$B$30+'Inputs'!$B$31+'Inputs'!$B$32)/1000+'Inputs'!$B$21+'Inputs'!$B$7+'Inputs'!$B$10)+'Inputs'!$B$9)^2+('Inputs'!$B$8/2)^2)-(((284-43)*MAX('Inputs'!$B$33,'Inputs'!$B$29+'Inputs'!$B$31+'Inputs'!$B$32,'Inputs'!$B$30+'Inputs'!$B$31+'Inputs'!$B$32)/1000+'Inputs'!$B$21+'Inputs'!$B$7+'Inputs'!$B$10))/SQRT((((284-43)*MAX('Inputs'!$B$33,'Inputs'!$B$29+'Inputs'!$B$31+'Inputs'!$B$32,'Inputs'!$B$30+'Inputs'!$B$31+'Inputs'!$B$32)/1000+'Inputs'!$B$21+'Inputs'!$B$7+'Inputs'!$B$10))^2+('Inputs'!$B$8/2)^2))))*'Results'!$B$8))),"")</x:f>
        <x:v>39.244405889976946</x:v>
      </x:c>
      <x:c r="L284" t="n">
        <x:f>IF(AND(ISNUMBER('Results'!B7),ISNUMBER('Results'!C7),ISNUMBER('Results'!$B$8),ISNUMBER('Inputs'!$B$6),ISNUMBER('Inputs'!$B$7),ISNUMBER('Inputs'!$B$8),ISNUMBER('Inputs'!$B$9),ISNUMBER('Inputs'!$B$10),ISNUMBER('Inputs'!$B$21),ISNUMBER('Inputs'!$B$24),ISNUMBER('Inputs'!$B$28)),((('Results'!B7*(1+'Inputs'!$B$24)*(0.5*((((284-43)*MAX('Inputs'!$B$33,'Inputs'!$B$29+'Inputs'!$B$31+'Inputs'!$B$32,'Inputs'!$B$30+'Inputs'!$B$31+'Inputs'!$B$32)/1000+'Inputs'!$B$21)+'Inputs'!$B$7)/SQRT((((284-43)*MAX('Inputs'!$B$33,'Inputs'!$B$29+'Inputs'!$B$31+'Inputs'!$B$32,'Inputs'!$B$30+'Inputs'!$B$31+'Inputs'!$B$32)/1000+'Inputs'!$B$21)+'Inputs'!$B$7)^2+('Inputs'!$B$6/2)^2)-(((284-43)*MAX('Inputs'!$B$33,'Inputs'!$B$29+'Inputs'!$B$31+'Inputs'!$B$32,'Inputs'!$B$30+'Inputs'!$B$31+'Inputs'!$B$32)/1000+'Inputs'!$B$21))/SQRT((((284-43)*MAX('Inputs'!$B$33,'Inputs'!$B$29+'Inputs'!$B$31+'Inputs'!$B$32,'Inputs'!$B$30+'Inputs'!$B$31+'Inputs'!$B$32)/1000+'Inputs'!$B$21))^2+('Inputs'!$B$6/2)^2)))-'Results'!C7*(1-'Inputs'!$B$24)*(0.5*((((284-43)*MAX('Inputs'!$B$33,'Inputs'!$B$29+'Inputs'!$B$31+'Inputs'!$B$32,'Inputs'!$B$30+'Inputs'!$B$31+'Inputs'!$B$32)/1000+'Inputs'!$B$21+'Inputs'!$B$7+'Inputs'!$B$10)+'Inputs'!$B$9)/SQRT((((284-43)*MAX('Inputs'!$B$33,'Inputs'!$B$29+'Inputs'!$B$31+'Inputs'!$B$32,'Inputs'!$B$30+'Inputs'!$B$31+'Inputs'!$B$32)/1000+'Inputs'!$B$21+'Inputs'!$B$7+'Inputs'!$B$10)+'Inputs'!$B$9)^2+('Inputs'!$B$8/2)^2)-(((284-43)*MAX('Inputs'!$B$33,'Inputs'!$B$29+'Inputs'!$B$31+'Inputs'!$B$32,'Inputs'!$B$30+'Inputs'!$B$31+'Inputs'!$B$32)/1000+'Inputs'!$B$21+'Inputs'!$B$7+'Inputs'!$B$10))/SQRT((((284-43)*MAX('Inputs'!$B$33,'Inputs'!$B$29+'Inputs'!$B$31+'Inputs'!$B$32,'Inputs'!$B$30+'Inputs'!$B$31+'Inputs'!$B$32)/1000+'Inputs'!$B$21+'Inputs'!$B$7+'Inputs'!$B$10))^2+('Inputs'!$B$8/2)^2))))*'Results'!$B$8)+'Inputs'!$B$28*ABS((('Results'!B7*(1+'Inputs'!$B$24)*(0.5*((((284-43)*MAX('Inputs'!$B$33,'Inputs'!$B$29+'Inputs'!$B$31+'Inputs'!$B$32,'Inputs'!$B$30+'Inputs'!$B$31+'Inputs'!$B$32)/1000+'Inputs'!$B$21)+'Inputs'!$B$7)/SQRT((((284-43)*MAX('Inputs'!$B$33,'Inputs'!$B$29+'Inputs'!$B$31+'Inputs'!$B$32,'Inputs'!$B$30+'Inputs'!$B$31+'Inputs'!$B$32)/1000+'Inputs'!$B$21)+'Inputs'!$B$7)^2+('Inputs'!$B$6/2)^2)-(((284-43)*MAX('Inputs'!$B$33,'Inputs'!$B$29+'Inputs'!$B$31+'Inputs'!$B$32,'Inputs'!$B$30+'Inputs'!$B$31+'Inputs'!$B$32)/1000+'Inputs'!$B$21))/SQRT((((284-43)*MAX('Inputs'!$B$33,'Inputs'!$B$29+'Inputs'!$B$31+'Inputs'!$B$32,'Inputs'!$B$30+'Inputs'!$B$31+'Inputs'!$B$32)/1000+'Inputs'!$B$21))^2+('Inputs'!$B$6/2)^2)))-'Results'!C7*(1-'Inputs'!$B$24)*(0.5*((((284-43)*MAX('Inputs'!$B$33,'Inputs'!$B$29+'Inputs'!$B$31+'Inputs'!$B$32,'Inputs'!$B$30+'Inputs'!$B$31+'Inputs'!$B$32)/1000+'Inputs'!$B$21+'Inputs'!$B$7+'Inputs'!$B$10)+'Inputs'!$B$9)/SQRT((((284-43)*MAX('Inputs'!$B$33,'Inputs'!$B$29+'Inputs'!$B$31+'Inputs'!$B$32,'Inputs'!$B$30+'Inputs'!$B$31+'Inputs'!$B$32)/1000+'Inputs'!$B$21+'Inputs'!$B$7+'Inputs'!$B$10)+'Inputs'!$B$9)^2+('Inputs'!$B$8/2)^2)-(((284-43)*MAX('Inputs'!$B$33,'Inputs'!$B$29+'Inputs'!$B$31+'Inputs'!$B$32,'Inputs'!$B$30+'Inputs'!$B$31+'Inputs'!$B$32)/1000+'Inputs'!$B$21+'Inputs'!$B$7+'Inputs'!$B$10))/SQRT((((284-43)*MAX('Inputs'!$B$33,'Inputs'!$B$29+'Inputs'!$B$31+'Inputs'!$B$32,'Inputs'!$B$30+'Inputs'!$B$31+'Inputs'!$B$32)/1000+'Inputs'!$B$21+'Inputs'!$B$7+'Inputs'!$B$10))^2+('Inputs'!$B$8/2)^2))))*'Results'!$B$8))),"")</x:f>
        <x:v>47.132608746631156</x:v>
      </x:c>
      <x:c r="M284" t="n">
        <x:f>IF(AND(ISNUMBER('Results'!C7),ISNUMBER('Results'!B7),ISNUMBER('Results'!$B$8),ISNUMBER('Inputs'!$B$6),ISNUMBER('Inputs'!$B$7),ISNUMBER('Inputs'!$B$8),ISNUMBER('Inputs'!$B$9),ISNUMBER('Inputs'!$B$10),ISNUMBER('Inputs'!$B$21),ISNUMBER('Inputs'!$B$24),ISNUMBER('Inputs'!$B$28)),(('Results'!C7*(0.5*((((284-43)*MAX('Inputs'!$B$33,'Inputs'!$B$29+'Inputs'!$B$31+'Inputs'!$B$32,'Inputs'!$B$30+'Inputs'!$B$31+'Inputs'!$B$32)/1000+'Inputs'!$B$21)+'Inputs'!$B$9)/SQRT((((284-43)*MAX('Inputs'!$B$33,'Inputs'!$B$29+'Inputs'!$B$31+'Inputs'!$B$32,'Inputs'!$B$30+'Inputs'!$B$31+'Inputs'!$B$32)/1000+'Inputs'!$B$21)+'Inputs'!$B$9)^2+('Inputs'!$B$8/2)^2)-(((284-43)*MAX('Inputs'!$B$33,'Inputs'!$B$29+'Inputs'!$B$31+'Inputs'!$B$32,'Inputs'!$B$30+'Inputs'!$B$31+'Inputs'!$B$32)/1000+'Inputs'!$B$21))/SQRT((((284-43)*MAX('Inputs'!$B$33,'Inputs'!$B$29+'Inputs'!$B$31+'Inputs'!$B$32,'Inputs'!$B$30+'Inputs'!$B$31+'Inputs'!$B$32)/1000+'Inputs'!$B$21))^2+('Inputs'!$B$8/2)^2)))-'Results'!B7*(0.5*((((284-43)*MAX('Inputs'!$B$33,'Inputs'!$B$29+'Inputs'!$B$31+'Inputs'!$B$32,'Inputs'!$B$30+'Inputs'!$B$31+'Inputs'!$B$32)/1000+'Inputs'!$B$21+'Inputs'!$B$9+'Inputs'!$B$10)+'Inputs'!$B$7)/SQRT((((284-43)*MAX('Inputs'!$B$33,'Inputs'!$B$29+'Inputs'!$B$31+'Inputs'!$B$32,'Inputs'!$B$30+'Inputs'!$B$31+'Inputs'!$B$32)/1000+'Inputs'!$B$21+'Inputs'!$B$9+'Inputs'!$B$10)+'Inputs'!$B$7)^2+('Inputs'!$B$6/2)^2)-(((284-43)*MAX('Inputs'!$B$33,'Inputs'!$B$29+'Inputs'!$B$31+'Inputs'!$B$32,'Inputs'!$B$30+'Inputs'!$B$31+'Inputs'!$B$32)/1000+'Inputs'!$B$21+'Inputs'!$B$9+'Inputs'!$B$10))/SQRT((((284-43)*MAX('Inputs'!$B$33,'Inputs'!$B$29+'Inputs'!$B$31+'Inputs'!$B$32,'Inputs'!$B$30+'Inputs'!$B$31+'Inputs'!$B$32)/1000+'Inputs'!$B$21+'Inputs'!$B$9+'Inputs'!$B$10))^2+('Inputs'!$B$6/2)^2))))*'Results'!$B$8),"")</x:f>
        <x:v>41.30044003949828</x:v>
      </x:c>
      <x:c r="N284" t="n">
        <x:f>IF(AND(ISNUMBER('Results'!C7),ISNUMBER('Results'!B7),ISNUMBER('Results'!$B$8),ISNUMBER('Inputs'!$B$6),ISNUMBER('Inputs'!$B$7),ISNUMBER('Inputs'!$B$8),ISNUMBER('Inputs'!$B$9),ISNUMBER('Inputs'!$B$10),ISNUMBER('Inputs'!$B$21),ISNUMBER('Inputs'!$B$24),ISNUMBER('Inputs'!$B$28)),((('Results'!C7*(1-'Inputs'!$B$24)*(0.5*((((284-43)*MAX('Inputs'!$B$33,'Inputs'!$B$29+'Inputs'!$B$31+'Inputs'!$B$32,'Inputs'!$B$30+'Inputs'!$B$31+'Inputs'!$B$32)/1000+'Inputs'!$B$21)+'Inputs'!$B$9)/SQRT((((284-43)*MAX('Inputs'!$B$33,'Inputs'!$B$29+'Inputs'!$B$31+'Inputs'!$B$32,'Inputs'!$B$30+'Inputs'!$B$31+'Inputs'!$B$32)/1000+'Inputs'!$B$21)+'Inputs'!$B$9)^2+('Inputs'!$B$8/2)^2)-(((284-43)*MAX('Inputs'!$B$33,'Inputs'!$B$29+'Inputs'!$B$31+'Inputs'!$B$32,'Inputs'!$B$30+'Inputs'!$B$31+'Inputs'!$B$32)/1000+'Inputs'!$B$21))/SQRT((((284-43)*MAX('Inputs'!$B$33,'Inputs'!$B$29+'Inputs'!$B$31+'Inputs'!$B$32,'Inputs'!$B$30+'Inputs'!$B$31+'Inputs'!$B$32)/1000+'Inputs'!$B$21))^2+('Inputs'!$B$8/2)^2)))-'Results'!B7*(1+'Inputs'!$B$24)*(0.5*((((284-43)*MAX('Inputs'!$B$33,'Inputs'!$B$29+'Inputs'!$B$31+'Inputs'!$B$32,'Inputs'!$B$30+'Inputs'!$B$31+'Inputs'!$B$32)/1000+'Inputs'!$B$21+'Inputs'!$B$9+'Inputs'!$B$10)+'Inputs'!$B$7)/SQRT((((284-43)*MAX('Inputs'!$B$33,'Inputs'!$B$29+'Inputs'!$B$31+'Inputs'!$B$32,'Inputs'!$B$30+'Inputs'!$B$31+'Inputs'!$B$32)/1000+'Inputs'!$B$21+'Inputs'!$B$9+'Inputs'!$B$10)+'Inputs'!$B$7)^2+('Inputs'!$B$6/2)^2)-(((284-43)*MAX('Inputs'!$B$33,'Inputs'!$B$29+'Inputs'!$B$31+'Inputs'!$B$32,'Inputs'!$B$30+'Inputs'!$B$31+'Inputs'!$B$32)/1000+'Inputs'!$B$21+'Inputs'!$B$9+'Inputs'!$B$10))/SQRT((((284-43)*MAX('Inputs'!$B$33,'Inputs'!$B$29+'Inputs'!$B$31+'Inputs'!$B$32,'Inputs'!$B$30+'Inputs'!$B$31+'Inputs'!$B$32)/1000+'Inputs'!$B$21+'Inputs'!$B$9+'Inputs'!$B$10))^2+('Inputs'!$B$6/2)^2))))*'Results'!$B$8)-'Inputs'!$B$28*ABS((('Results'!C7*(1-'Inputs'!$B$24)*(0.5*((((284-43)*MAX('Inputs'!$B$33,'Inputs'!$B$29+'Inputs'!$B$31+'Inputs'!$B$32,'Inputs'!$B$30+'Inputs'!$B$31+'Inputs'!$B$32)/1000+'Inputs'!$B$21)+'Inputs'!$B$9)/SQRT((((284-43)*MAX('Inputs'!$B$33,'Inputs'!$B$29+'Inputs'!$B$31+'Inputs'!$B$32,'Inputs'!$B$30+'Inputs'!$B$31+'Inputs'!$B$32)/1000+'Inputs'!$B$21)+'Inputs'!$B$9)^2+('Inputs'!$B$8/2)^2)-(((284-43)*MAX('Inputs'!$B$33,'Inputs'!$B$29+'Inputs'!$B$31+'Inputs'!$B$32,'Inputs'!$B$30+'Inputs'!$B$31+'Inputs'!$B$32)/1000+'Inputs'!$B$21))/SQRT((((284-43)*MAX('Inputs'!$B$33,'Inputs'!$B$29+'Inputs'!$B$31+'Inputs'!$B$32,'Inputs'!$B$30+'Inputs'!$B$31+'Inputs'!$B$32)/1000+'Inputs'!$B$21))^2+('Inputs'!$B$8/2)^2)))-'Results'!B7*(1+'Inputs'!$B$24)*(0.5*((((284-43)*MAX('Inputs'!$B$33,'Inputs'!$B$29+'Inputs'!$B$31+'Inputs'!$B$32,'Inputs'!$B$30+'Inputs'!$B$31+'Inputs'!$B$32)/1000+'Inputs'!$B$21+'Inputs'!$B$9+'Inputs'!$B$10)+'Inputs'!$B$7)/SQRT((((284-43)*MAX('Inputs'!$B$33,'Inputs'!$B$29+'Inputs'!$B$31+'Inputs'!$B$32,'Inputs'!$B$30+'Inputs'!$B$31+'Inputs'!$B$32)/1000+'Inputs'!$B$21+'Inputs'!$B$9+'Inputs'!$B$10)+'Inputs'!$B$7)^2+('Inputs'!$B$6/2)^2)-(((284-43)*MAX('Inputs'!$B$33,'Inputs'!$B$29+'Inputs'!$B$31+'Inputs'!$B$32,'Inputs'!$B$30+'Inputs'!$B$31+'Inputs'!$B$32)/1000+'Inputs'!$B$21+'Inputs'!$B$9+'Inputs'!$B$10))/SQRT((((284-43)*MAX('Inputs'!$B$33,'Inputs'!$B$29+'Inputs'!$B$31+'Inputs'!$B$32,'Inputs'!$B$30+'Inputs'!$B$31+'Inputs'!$B$32)/1000+'Inputs'!$B$21+'Inputs'!$B$9+'Inputs'!$B$10))^2+('Inputs'!$B$6/2)^2))))*'Results'!$B$8))),"")</x:f>
        <x:v>37.55192443141416</x:v>
      </x:c>
      <x:c r="O284" t="n">
        <x:f>IF(AND(ISNUMBER('Results'!C7),ISNUMBER('Results'!B7),ISNUMBER('Results'!$B$8),ISNUMBER('Inputs'!$B$6),ISNUMBER('Inputs'!$B$7),ISNUMBER('Inputs'!$B$8),ISNUMBER('Inputs'!$B$9),ISNUMBER('Inputs'!$B$10),ISNUMBER('Inputs'!$B$21),ISNUMBER('Inputs'!$B$24),ISNUMBER('Inputs'!$B$28)),((('Results'!C7*(1+'Inputs'!$B$24)*(0.5*((((284-43)*MAX('Inputs'!$B$33,'Inputs'!$B$29+'Inputs'!$B$31+'Inputs'!$B$32,'Inputs'!$B$30+'Inputs'!$B$31+'Inputs'!$B$32)/1000+'Inputs'!$B$21)+'Inputs'!$B$9)/SQRT((((284-43)*MAX('Inputs'!$B$33,'Inputs'!$B$29+'Inputs'!$B$31+'Inputs'!$B$32,'Inputs'!$B$30+'Inputs'!$B$31+'Inputs'!$B$32)/1000+'Inputs'!$B$21)+'Inputs'!$B$9)^2+('Inputs'!$B$8/2)^2)-(((284-43)*MAX('Inputs'!$B$33,'Inputs'!$B$29+'Inputs'!$B$31+'Inputs'!$B$32,'Inputs'!$B$30+'Inputs'!$B$31+'Inputs'!$B$32)/1000+'Inputs'!$B$21))/SQRT((((284-43)*MAX('Inputs'!$B$33,'Inputs'!$B$29+'Inputs'!$B$31+'Inputs'!$B$32,'Inputs'!$B$30+'Inputs'!$B$31+'Inputs'!$B$32)/1000+'Inputs'!$B$21))^2+('Inputs'!$B$8/2)^2)))-'Results'!B7*(1-'Inputs'!$B$24)*(0.5*((((284-43)*MAX('Inputs'!$B$33,'Inputs'!$B$29+'Inputs'!$B$31+'Inputs'!$B$32,'Inputs'!$B$30+'Inputs'!$B$31+'Inputs'!$B$32)/1000+'Inputs'!$B$21+'Inputs'!$B$9+'Inputs'!$B$10)+'Inputs'!$B$7)/SQRT((((284-43)*MAX('Inputs'!$B$33,'Inputs'!$B$29+'Inputs'!$B$31+'Inputs'!$B$32,'Inputs'!$B$30+'Inputs'!$B$31+'Inputs'!$B$32)/1000+'Inputs'!$B$21+'Inputs'!$B$9+'Inputs'!$B$10)+'Inputs'!$B$7)^2+('Inputs'!$B$6/2)^2)-(((284-43)*MAX('Inputs'!$B$33,'Inputs'!$B$29+'Inputs'!$B$31+'Inputs'!$B$32,'Inputs'!$B$30+'Inputs'!$B$31+'Inputs'!$B$32)/1000+'Inputs'!$B$21+'Inputs'!$B$9+'Inputs'!$B$10))/SQRT((((284-43)*MAX('Inputs'!$B$33,'Inputs'!$B$29+'Inputs'!$B$31+'Inputs'!$B$32,'Inputs'!$B$30+'Inputs'!$B$31+'Inputs'!$B$32)/1000+'Inputs'!$B$21+'Inputs'!$B$9+'Inputs'!$B$10))^2+('Inputs'!$B$6/2)^2))))*'Results'!$B$8)+'Inputs'!$B$28*ABS((('Results'!C7*(1+'Inputs'!$B$24)*(0.5*((((284-43)*MAX('Inputs'!$B$33,'Inputs'!$B$29+'Inputs'!$B$31+'Inputs'!$B$32,'Inputs'!$B$30+'Inputs'!$B$31+'Inputs'!$B$32)/1000+'Inputs'!$B$21)+'Inputs'!$B$9)/SQRT((((284-43)*MAX('Inputs'!$B$33,'Inputs'!$B$29+'Inputs'!$B$31+'Inputs'!$B$32,'Inputs'!$B$30+'Inputs'!$B$31+'Inputs'!$B$32)/1000+'Inputs'!$B$21)+'Inputs'!$B$9)^2+('Inputs'!$B$8/2)^2)-(((284-43)*MAX('Inputs'!$B$33,'Inputs'!$B$29+'Inputs'!$B$31+'Inputs'!$B$32,'Inputs'!$B$30+'Inputs'!$B$31+'Inputs'!$B$32)/1000+'Inputs'!$B$21))/SQRT((((284-43)*MAX('Inputs'!$B$33,'Inputs'!$B$29+'Inputs'!$B$31+'Inputs'!$B$32,'Inputs'!$B$30+'Inputs'!$B$31+'Inputs'!$B$32)/1000+'Inputs'!$B$21))^2+('Inputs'!$B$8/2)^2)))-'Results'!B7*(1-'Inputs'!$B$24)*(0.5*((((284-43)*MAX('Inputs'!$B$33,'Inputs'!$B$29+'Inputs'!$B$31+'Inputs'!$B$32,'Inputs'!$B$30+'Inputs'!$B$31+'Inputs'!$B$32)/1000+'Inputs'!$B$21+'Inputs'!$B$9+'Inputs'!$B$10)+'Inputs'!$B$7)/SQRT((((284-43)*MAX('Inputs'!$B$33,'Inputs'!$B$29+'Inputs'!$B$31+'Inputs'!$B$32,'Inputs'!$B$30+'Inputs'!$B$31+'Inputs'!$B$32)/1000+'Inputs'!$B$21+'Inputs'!$B$9+'Inputs'!$B$10)+'Inputs'!$B$7)^2+('Inputs'!$B$6/2)^2)-(((284-43)*MAX('Inputs'!$B$33,'Inputs'!$B$29+'Inputs'!$B$31+'Inputs'!$B$32,'Inputs'!$B$30+'Inputs'!$B$31+'Inputs'!$B$32)/1000+'Inputs'!$B$21+'Inputs'!$B$9+'Inputs'!$B$10))/SQRT((((284-43)*MAX('Inputs'!$B$33,'Inputs'!$B$29+'Inputs'!$B$31+'Inputs'!$B$32,'Inputs'!$B$30+'Inputs'!$B$31+'Inputs'!$B$32)/1000+'Inputs'!$B$21+'Inputs'!$B$9+'Inputs'!$B$10))^2+('Inputs'!$B$6/2)^2))))*'Results'!$B$8))),"")</x:f>
        <x:v>45.22616550085706</x:v>
      </x:c>
      <x:c r="P284" t="n">
        <x:f>IF(AND(MAX(J284,J283)&gt;0,J284&gt;J283+0.00000001),1,0)</x:f>
        <x:v>0</x:v>
      </x:c>
      <x:c r="Q284" t="n">
        <x:f>IF(AND(MAX(K284,K283)&gt;0,K284&gt;K283+0.00000001),1,0)</x:f>
        <x:v>0</x:v>
      </x:c>
      <x:c r="R284" t="n">
        <x:f>IF(AND(MAX(L284,L283)&gt;0,L284&gt;L283+0.00000001),1,0)</x:f>
        <x:v>0</x:v>
      </x:c>
      <x:c r="S284" t="n">
        <x:f>IF(AND(MAX(M284,M283)&gt;0,M284&gt;M283+0.00000001),1,0)</x:f>
        <x:v>0</x:v>
      </x:c>
      <x:c r="T284" t="n">
        <x:f>IF(AND(MAX(N284,N283)&gt;0,N284&gt;N283+0.00000001),1,0)</x:f>
        <x:v>0</x:v>
      </x:c>
      <x:c r="U284" t="n">
        <x:f>IF(AND(MAX(O284,O283)&gt;0,O284&gt;O283+0.00000001),1,0)</x:f>
        <x:v>0</x:v>
      </x:c>
    </x:row>
    <x:row r="285">
      <x:c r="J285" t="n">
        <x:f>IF(AND(ISNUMBER('Results'!B7),ISNUMBER('Results'!C7),ISNUMBER('Results'!$B$8),ISNUMBER('Inputs'!$B$6),ISNUMBER('Inputs'!$B$7),ISNUMBER('Inputs'!$B$8),ISNUMBER('Inputs'!$B$9),ISNUMBER('Inputs'!$B$10),ISNUMBER('Inputs'!$B$21),ISNUMBER('Inputs'!$B$24),ISNUMBER('Inputs'!$B$28)),(('Results'!B7*(0.5*((((285-43)*MAX('Inputs'!$B$33,'Inputs'!$B$29+'Inputs'!$B$31+'Inputs'!$B$32,'Inputs'!$B$30+'Inputs'!$B$31+'Inputs'!$B$32)/1000+'Inputs'!$B$21)+'Inputs'!$B$7)/SQRT((((285-43)*MAX('Inputs'!$B$33,'Inputs'!$B$29+'Inputs'!$B$31+'Inputs'!$B$32,'Inputs'!$B$30+'Inputs'!$B$31+'Inputs'!$B$32)/1000+'Inputs'!$B$21)+'Inputs'!$B$7)^2+('Inputs'!$B$6/2)^2)-(((285-43)*MAX('Inputs'!$B$33,'Inputs'!$B$29+'Inputs'!$B$31+'Inputs'!$B$32,'Inputs'!$B$30+'Inputs'!$B$31+'Inputs'!$B$32)/1000+'Inputs'!$B$21))/SQRT((((285-43)*MAX('Inputs'!$B$33,'Inputs'!$B$29+'Inputs'!$B$31+'Inputs'!$B$32,'Inputs'!$B$30+'Inputs'!$B$31+'Inputs'!$B$32)/1000+'Inputs'!$B$21))^2+('Inputs'!$B$6/2)^2)))-'Results'!C7*(0.5*((((285-43)*MAX('Inputs'!$B$33,'Inputs'!$B$29+'Inputs'!$B$31+'Inputs'!$B$32,'Inputs'!$B$30+'Inputs'!$B$31+'Inputs'!$B$32)/1000+'Inputs'!$B$21+'Inputs'!$B$7+'Inputs'!$B$10)+'Inputs'!$B$9)/SQRT((((285-43)*MAX('Inputs'!$B$33,'Inputs'!$B$29+'Inputs'!$B$31+'Inputs'!$B$32,'Inputs'!$B$30+'Inputs'!$B$31+'Inputs'!$B$32)/1000+'Inputs'!$B$21+'Inputs'!$B$7+'Inputs'!$B$10)+'Inputs'!$B$9)^2+('Inputs'!$B$8/2)^2)-(((285-43)*MAX('Inputs'!$B$33,'Inputs'!$B$29+'Inputs'!$B$31+'Inputs'!$B$32,'Inputs'!$B$30+'Inputs'!$B$31+'Inputs'!$B$32)/1000+'Inputs'!$B$21+'Inputs'!$B$7+'Inputs'!$B$10))/SQRT((((285-43)*MAX('Inputs'!$B$33,'Inputs'!$B$29+'Inputs'!$B$31+'Inputs'!$B$32,'Inputs'!$B$30+'Inputs'!$B$31+'Inputs'!$B$32)/1000+'Inputs'!$B$21+'Inputs'!$B$7+'Inputs'!$B$10))^2+('Inputs'!$B$8/2)^2))))*'Results'!$B$8),"")</x:f>
        <x:v>42.57921972637641</x:v>
      </x:c>
      <x:c r="K285" t="n">
        <x:f>IF(AND(ISNUMBER('Results'!B7),ISNUMBER('Results'!C7),ISNUMBER('Results'!$B$8),ISNUMBER('Inputs'!$B$6),ISNUMBER('Inputs'!$B$7),ISNUMBER('Inputs'!$B$8),ISNUMBER('Inputs'!$B$9),ISNUMBER('Inputs'!$B$10),ISNUMBER('Inputs'!$B$21),ISNUMBER('Inputs'!$B$24),ISNUMBER('Inputs'!$B$28)),((('Results'!B7*(1-'Inputs'!$B$24)*(0.5*((((285-43)*MAX('Inputs'!$B$33,'Inputs'!$B$29+'Inputs'!$B$31+'Inputs'!$B$32,'Inputs'!$B$30+'Inputs'!$B$31+'Inputs'!$B$32)/1000+'Inputs'!$B$21)+'Inputs'!$B$7)/SQRT((((285-43)*MAX('Inputs'!$B$33,'Inputs'!$B$29+'Inputs'!$B$31+'Inputs'!$B$32,'Inputs'!$B$30+'Inputs'!$B$31+'Inputs'!$B$32)/1000+'Inputs'!$B$21)+'Inputs'!$B$7)^2+('Inputs'!$B$6/2)^2)-(((285-43)*MAX('Inputs'!$B$33,'Inputs'!$B$29+'Inputs'!$B$31+'Inputs'!$B$32,'Inputs'!$B$30+'Inputs'!$B$31+'Inputs'!$B$32)/1000+'Inputs'!$B$21))/SQRT((((285-43)*MAX('Inputs'!$B$33,'Inputs'!$B$29+'Inputs'!$B$31+'Inputs'!$B$32,'Inputs'!$B$30+'Inputs'!$B$31+'Inputs'!$B$32)/1000+'Inputs'!$B$21))^2+('Inputs'!$B$6/2)^2)))-'Results'!C7*(1+'Inputs'!$B$24)*(0.5*((((285-43)*MAX('Inputs'!$B$33,'Inputs'!$B$29+'Inputs'!$B$31+'Inputs'!$B$32,'Inputs'!$B$30+'Inputs'!$B$31+'Inputs'!$B$32)/1000+'Inputs'!$B$21+'Inputs'!$B$7+'Inputs'!$B$10)+'Inputs'!$B$9)/SQRT((((285-43)*MAX('Inputs'!$B$33,'Inputs'!$B$29+'Inputs'!$B$31+'Inputs'!$B$32,'Inputs'!$B$30+'Inputs'!$B$31+'Inputs'!$B$32)/1000+'Inputs'!$B$21+'Inputs'!$B$7+'Inputs'!$B$10)+'Inputs'!$B$9)^2+('Inputs'!$B$8/2)^2)-(((285-43)*MAX('Inputs'!$B$33,'Inputs'!$B$29+'Inputs'!$B$31+'Inputs'!$B$32,'Inputs'!$B$30+'Inputs'!$B$31+'Inputs'!$B$32)/1000+'Inputs'!$B$21+'Inputs'!$B$7+'Inputs'!$B$10))/SQRT((((285-43)*MAX('Inputs'!$B$33,'Inputs'!$B$29+'Inputs'!$B$31+'Inputs'!$B$32,'Inputs'!$B$30+'Inputs'!$B$31+'Inputs'!$B$32)/1000+'Inputs'!$B$21+'Inputs'!$B$7+'Inputs'!$B$10))^2+('Inputs'!$B$8/2)^2))))*'Results'!$B$8)-'Inputs'!$B$28*ABS((('Results'!B7*(1-'Inputs'!$B$24)*(0.5*((((285-43)*MAX('Inputs'!$B$33,'Inputs'!$B$29+'Inputs'!$B$31+'Inputs'!$B$32,'Inputs'!$B$30+'Inputs'!$B$31+'Inputs'!$B$32)/1000+'Inputs'!$B$21)+'Inputs'!$B$7)/SQRT((((285-43)*MAX('Inputs'!$B$33,'Inputs'!$B$29+'Inputs'!$B$31+'Inputs'!$B$32,'Inputs'!$B$30+'Inputs'!$B$31+'Inputs'!$B$32)/1000+'Inputs'!$B$21)+'Inputs'!$B$7)^2+('Inputs'!$B$6/2)^2)-(((285-43)*MAX('Inputs'!$B$33,'Inputs'!$B$29+'Inputs'!$B$31+'Inputs'!$B$32,'Inputs'!$B$30+'Inputs'!$B$31+'Inputs'!$B$32)/1000+'Inputs'!$B$21))/SQRT((((285-43)*MAX('Inputs'!$B$33,'Inputs'!$B$29+'Inputs'!$B$31+'Inputs'!$B$32,'Inputs'!$B$30+'Inputs'!$B$31+'Inputs'!$B$32)/1000+'Inputs'!$B$21))^2+('Inputs'!$B$6/2)^2)))-'Results'!C7*(1+'Inputs'!$B$24)*(0.5*((((285-43)*MAX('Inputs'!$B$33,'Inputs'!$B$29+'Inputs'!$B$31+'Inputs'!$B$32,'Inputs'!$B$30+'Inputs'!$B$31+'Inputs'!$B$32)/1000+'Inputs'!$B$21+'Inputs'!$B$7+'Inputs'!$B$10)+'Inputs'!$B$9)/SQRT((((285-43)*MAX('Inputs'!$B$33,'Inputs'!$B$29+'Inputs'!$B$31+'Inputs'!$B$32,'Inputs'!$B$30+'Inputs'!$B$31+'Inputs'!$B$32)/1000+'Inputs'!$B$21+'Inputs'!$B$7+'Inputs'!$B$10)+'Inputs'!$B$9)^2+('Inputs'!$B$8/2)^2)-(((285-43)*MAX('Inputs'!$B$33,'Inputs'!$B$29+'Inputs'!$B$31+'Inputs'!$B$32,'Inputs'!$B$30+'Inputs'!$B$31+'Inputs'!$B$32)/1000+'Inputs'!$B$21+'Inputs'!$B$7+'Inputs'!$B$10))/SQRT((((285-43)*MAX('Inputs'!$B$33,'Inputs'!$B$29+'Inputs'!$B$31+'Inputs'!$B$32,'Inputs'!$B$30+'Inputs'!$B$31+'Inputs'!$B$32)/1000+'Inputs'!$B$21+'Inputs'!$B$7+'Inputs'!$B$10))^2+('Inputs'!$B$8/2)^2))))*'Results'!$B$8))),"")</x:f>
        <x:v>38.7671670418916</x:v>
      </x:c>
      <x:c r="L285" t="n">
        <x:f>IF(AND(ISNUMBER('Results'!B7),ISNUMBER('Results'!C7),ISNUMBER('Results'!$B$8),ISNUMBER('Inputs'!$B$6),ISNUMBER('Inputs'!$B$7),ISNUMBER('Inputs'!$B$8),ISNUMBER('Inputs'!$B$9),ISNUMBER('Inputs'!$B$10),ISNUMBER('Inputs'!$B$21),ISNUMBER('Inputs'!$B$24),ISNUMBER('Inputs'!$B$28)),((('Results'!B7*(1+'Inputs'!$B$24)*(0.5*((((285-43)*MAX('Inputs'!$B$33,'Inputs'!$B$29+'Inputs'!$B$31+'Inputs'!$B$32,'Inputs'!$B$30+'Inputs'!$B$31+'Inputs'!$B$32)/1000+'Inputs'!$B$21)+'Inputs'!$B$7)/SQRT((((285-43)*MAX('Inputs'!$B$33,'Inputs'!$B$29+'Inputs'!$B$31+'Inputs'!$B$32,'Inputs'!$B$30+'Inputs'!$B$31+'Inputs'!$B$32)/1000+'Inputs'!$B$21)+'Inputs'!$B$7)^2+('Inputs'!$B$6/2)^2)-(((285-43)*MAX('Inputs'!$B$33,'Inputs'!$B$29+'Inputs'!$B$31+'Inputs'!$B$32,'Inputs'!$B$30+'Inputs'!$B$31+'Inputs'!$B$32)/1000+'Inputs'!$B$21))/SQRT((((285-43)*MAX('Inputs'!$B$33,'Inputs'!$B$29+'Inputs'!$B$31+'Inputs'!$B$32,'Inputs'!$B$30+'Inputs'!$B$31+'Inputs'!$B$32)/1000+'Inputs'!$B$21))^2+('Inputs'!$B$6/2)^2)))-'Results'!C7*(1-'Inputs'!$B$24)*(0.5*((((285-43)*MAX('Inputs'!$B$33,'Inputs'!$B$29+'Inputs'!$B$31+'Inputs'!$B$32,'Inputs'!$B$30+'Inputs'!$B$31+'Inputs'!$B$32)/1000+'Inputs'!$B$21+'Inputs'!$B$7+'Inputs'!$B$10)+'Inputs'!$B$9)/SQRT((((285-43)*MAX('Inputs'!$B$33,'Inputs'!$B$29+'Inputs'!$B$31+'Inputs'!$B$32,'Inputs'!$B$30+'Inputs'!$B$31+'Inputs'!$B$32)/1000+'Inputs'!$B$21+'Inputs'!$B$7+'Inputs'!$B$10)+'Inputs'!$B$9)^2+('Inputs'!$B$8/2)^2)-(((285-43)*MAX('Inputs'!$B$33,'Inputs'!$B$29+'Inputs'!$B$31+'Inputs'!$B$32,'Inputs'!$B$30+'Inputs'!$B$31+'Inputs'!$B$32)/1000+'Inputs'!$B$21+'Inputs'!$B$7+'Inputs'!$B$10))/SQRT((((285-43)*MAX('Inputs'!$B$33,'Inputs'!$B$29+'Inputs'!$B$31+'Inputs'!$B$32,'Inputs'!$B$30+'Inputs'!$B$31+'Inputs'!$B$32)/1000+'Inputs'!$B$21+'Inputs'!$B$7+'Inputs'!$B$10))^2+('Inputs'!$B$8/2)^2))))*'Results'!$B$8)+'Inputs'!$B$28*ABS((('Results'!B7*(1+'Inputs'!$B$24)*(0.5*((((285-43)*MAX('Inputs'!$B$33,'Inputs'!$B$29+'Inputs'!$B$31+'Inputs'!$B$32,'Inputs'!$B$30+'Inputs'!$B$31+'Inputs'!$B$32)/1000+'Inputs'!$B$21)+'Inputs'!$B$7)/SQRT((((285-43)*MAX('Inputs'!$B$33,'Inputs'!$B$29+'Inputs'!$B$31+'Inputs'!$B$32,'Inputs'!$B$30+'Inputs'!$B$31+'Inputs'!$B$32)/1000+'Inputs'!$B$21)+'Inputs'!$B$7)^2+('Inputs'!$B$6/2)^2)-(((285-43)*MAX('Inputs'!$B$33,'Inputs'!$B$29+'Inputs'!$B$31+'Inputs'!$B$32,'Inputs'!$B$30+'Inputs'!$B$31+'Inputs'!$B$32)/1000+'Inputs'!$B$21))/SQRT((((285-43)*MAX('Inputs'!$B$33,'Inputs'!$B$29+'Inputs'!$B$31+'Inputs'!$B$32,'Inputs'!$B$30+'Inputs'!$B$31+'Inputs'!$B$32)/1000+'Inputs'!$B$21))^2+('Inputs'!$B$6/2)^2)))-'Results'!C7*(1-'Inputs'!$B$24)*(0.5*((((285-43)*MAX('Inputs'!$B$33,'Inputs'!$B$29+'Inputs'!$B$31+'Inputs'!$B$32,'Inputs'!$B$30+'Inputs'!$B$31+'Inputs'!$B$32)/1000+'Inputs'!$B$21+'Inputs'!$B$7+'Inputs'!$B$10)+'Inputs'!$B$9)/SQRT((((285-43)*MAX('Inputs'!$B$33,'Inputs'!$B$29+'Inputs'!$B$31+'Inputs'!$B$32,'Inputs'!$B$30+'Inputs'!$B$31+'Inputs'!$B$32)/1000+'Inputs'!$B$21+'Inputs'!$B$7+'Inputs'!$B$10)+'Inputs'!$B$9)^2+('Inputs'!$B$8/2)^2)-(((285-43)*MAX('Inputs'!$B$33,'Inputs'!$B$29+'Inputs'!$B$31+'Inputs'!$B$32,'Inputs'!$B$30+'Inputs'!$B$31+'Inputs'!$B$32)/1000+'Inputs'!$B$21+'Inputs'!$B$7+'Inputs'!$B$10))/SQRT((((285-43)*MAX('Inputs'!$B$33,'Inputs'!$B$29+'Inputs'!$B$31+'Inputs'!$B$32,'Inputs'!$B$30+'Inputs'!$B$31+'Inputs'!$B$32)/1000+'Inputs'!$B$21+'Inputs'!$B$7+'Inputs'!$B$10))^2+('Inputs'!$B$8/2)^2))))*'Results'!$B$8))),"")</x:f>
        <x:v>46.5684399580366</x:v>
      </x:c>
      <x:c r="M285" t="n">
        <x:f>IF(AND(ISNUMBER('Results'!C7),ISNUMBER('Results'!B7),ISNUMBER('Results'!$B$8),ISNUMBER('Inputs'!$B$6),ISNUMBER('Inputs'!$B$7),ISNUMBER('Inputs'!$B$8),ISNUMBER('Inputs'!$B$9),ISNUMBER('Inputs'!$B$10),ISNUMBER('Inputs'!$B$21),ISNUMBER('Inputs'!$B$24),ISNUMBER('Inputs'!$B$28)),(('Results'!C7*(0.5*((((285-43)*MAX('Inputs'!$B$33,'Inputs'!$B$29+'Inputs'!$B$31+'Inputs'!$B$32,'Inputs'!$B$30+'Inputs'!$B$31+'Inputs'!$B$32)/1000+'Inputs'!$B$21)+'Inputs'!$B$9)/SQRT((((285-43)*MAX('Inputs'!$B$33,'Inputs'!$B$29+'Inputs'!$B$31+'Inputs'!$B$32,'Inputs'!$B$30+'Inputs'!$B$31+'Inputs'!$B$32)/1000+'Inputs'!$B$21)+'Inputs'!$B$9)^2+('Inputs'!$B$8/2)^2)-(((285-43)*MAX('Inputs'!$B$33,'Inputs'!$B$29+'Inputs'!$B$31+'Inputs'!$B$32,'Inputs'!$B$30+'Inputs'!$B$31+'Inputs'!$B$32)/1000+'Inputs'!$B$21))/SQRT((((285-43)*MAX('Inputs'!$B$33,'Inputs'!$B$29+'Inputs'!$B$31+'Inputs'!$B$32,'Inputs'!$B$30+'Inputs'!$B$31+'Inputs'!$B$32)/1000+'Inputs'!$B$21))^2+('Inputs'!$B$8/2)^2)))-'Results'!B7*(0.5*((((285-43)*MAX('Inputs'!$B$33,'Inputs'!$B$29+'Inputs'!$B$31+'Inputs'!$B$32,'Inputs'!$B$30+'Inputs'!$B$31+'Inputs'!$B$32)/1000+'Inputs'!$B$21+'Inputs'!$B$9+'Inputs'!$B$10)+'Inputs'!$B$7)/SQRT((((285-43)*MAX('Inputs'!$B$33,'Inputs'!$B$29+'Inputs'!$B$31+'Inputs'!$B$32,'Inputs'!$B$30+'Inputs'!$B$31+'Inputs'!$B$32)/1000+'Inputs'!$B$21+'Inputs'!$B$9+'Inputs'!$B$10)+'Inputs'!$B$7)^2+('Inputs'!$B$6/2)^2)-(((285-43)*MAX('Inputs'!$B$33,'Inputs'!$B$29+'Inputs'!$B$31+'Inputs'!$B$32,'Inputs'!$B$30+'Inputs'!$B$31+'Inputs'!$B$32)/1000+'Inputs'!$B$21+'Inputs'!$B$9+'Inputs'!$B$10))/SQRT((((285-43)*MAX('Inputs'!$B$33,'Inputs'!$B$29+'Inputs'!$B$31+'Inputs'!$B$32,'Inputs'!$B$30+'Inputs'!$B$31+'Inputs'!$B$32)/1000+'Inputs'!$B$21+'Inputs'!$B$9+'Inputs'!$B$10))^2+('Inputs'!$B$6/2)^2))))*'Results'!$B$8),"")</x:f>
        <x:v>40.79815557016125</x:v>
      </x:c>
      <x:c r="N285" t="n">
        <x:f>IF(AND(ISNUMBER('Results'!C7),ISNUMBER('Results'!B7),ISNUMBER('Results'!$B$8),ISNUMBER('Inputs'!$B$6),ISNUMBER('Inputs'!$B$7),ISNUMBER('Inputs'!$B$8),ISNUMBER('Inputs'!$B$9),ISNUMBER('Inputs'!$B$10),ISNUMBER('Inputs'!$B$21),ISNUMBER('Inputs'!$B$24),ISNUMBER('Inputs'!$B$28)),((('Results'!C7*(1-'Inputs'!$B$24)*(0.5*((((285-43)*MAX('Inputs'!$B$33,'Inputs'!$B$29+'Inputs'!$B$31+'Inputs'!$B$32,'Inputs'!$B$30+'Inputs'!$B$31+'Inputs'!$B$32)/1000+'Inputs'!$B$21)+'Inputs'!$B$9)/SQRT((((285-43)*MAX('Inputs'!$B$33,'Inputs'!$B$29+'Inputs'!$B$31+'Inputs'!$B$32,'Inputs'!$B$30+'Inputs'!$B$31+'Inputs'!$B$32)/1000+'Inputs'!$B$21)+'Inputs'!$B$9)^2+('Inputs'!$B$8/2)^2)-(((285-43)*MAX('Inputs'!$B$33,'Inputs'!$B$29+'Inputs'!$B$31+'Inputs'!$B$32,'Inputs'!$B$30+'Inputs'!$B$31+'Inputs'!$B$32)/1000+'Inputs'!$B$21))/SQRT((((285-43)*MAX('Inputs'!$B$33,'Inputs'!$B$29+'Inputs'!$B$31+'Inputs'!$B$32,'Inputs'!$B$30+'Inputs'!$B$31+'Inputs'!$B$32)/1000+'Inputs'!$B$21))^2+('Inputs'!$B$8/2)^2)))-'Results'!B7*(1+'Inputs'!$B$24)*(0.5*((((285-43)*MAX('Inputs'!$B$33,'Inputs'!$B$29+'Inputs'!$B$31+'Inputs'!$B$32,'Inputs'!$B$30+'Inputs'!$B$31+'Inputs'!$B$32)/1000+'Inputs'!$B$21+'Inputs'!$B$9+'Inputs'!$B$10)+'Inputs'!$B$7)/SQRT((((285-43)*MAX('Inputs'!$B$33,'Inputs'!$B$29+'Inputs'!$B$31+'Inputs'!$B$32,'Inputs'!$B$30+'Inputs'!$B$31+'Inputs'!$B$32)/1000+'Inputs'!$B$21+'Inputs'!$B$9+'Inputs'!$B$10)+'Inputs'!$B$7)^2+('Inputs'!$B$6/2)^2)-(((285-43)*MAX('Inputs'!$B$33,'Inputs'!$B$29+'Inputs'!$B$31+'Inputs'!$B$32,'Inputs'!$B$30+'Inputs'!$B$31+'Inputs'!$B$32)/1000+'Inputs'!$B$21+'Inputs'!$B$9+'Inputs'!$B$10))/SQRT((((285-43)*MAX('Inputs'!$B$33,'Inputs'!$B$29+'Inputs'!$B$31+'Inputs'!$B$32,'Inputs'!$B$30+'Inputs'!$B$31+'Inputs'!$B$32)/1000+'Inputs'!$B$21+'Inputs'!$B$9+'Inputs'!$B$10))^2+('Inputs'!$B$6/2)^2))))*'Results'!$B$8)-'Inputs'!$B$28*ABS((('Results'!C7*(1-'Inputs'!$B$24)*(0.5*((((285-43)*MAX('Inputs'!$B$33,'Inputs'!$B$29+'Inputs'!$B$31+'Inputs'!$B$32,'Inputs'!$B$30+'Inputs'!$B$31+'Inputs'!$B$32)/1000+'Inputs'!$B$21)+'Inputs'!$B$9)/SQRT((((285-43)*MAX('Inputs'!$B$33,'Inputs'!$B$29+'Inputs'!$B$31+'Inputs'!$B$32,'Inputs'!$B$30+'Inputs'!$B$31+'Inputs'!$B$32)/1000+'Inputs'!$B$21)+'Inputs'!$B$9)^2+('Inputs'!$B$8/2)^2)-(((285-43)*MAX('Inputs'!$B$33,'Inputs'!$B$29+'Inputs'!$B$31+'Inputs'!$B$32,'Inputs'!$B$30+'Inputs'!$B$31+'Inputs'!$B$32)/1000+'Inputs'!$B$21))/SQRT((((285-43)*MAX('Inputs'!$B$33,'Inputs'!$B$29+'Inputs'!$B$31+'Inputs'!$B$32,'Inputs'!$B$30+'Inputs'!$B$31+'Inputs'!$B$32)/1000+'Inputs'!$B$21))^2+('Inputs'!$B$8/2)^2)))-'Results'!B7*(1+'Inputs'!$B$24)*(0.5*((((285-43)*MAX('Inputs'!$B$33,'Inputs'!$B$29+'Inputs'!$B$31+'Inputs'!$B$32,'Inputs'!$B$30+'Inputs'!$B$31+'Inputs'!$B$32)/1000+'Inputs'!$B$21+'Inputs'!$B$9+'Inputs'!$B$10)+'Inputs'!$B$7)/SQRT((((285-43)*MAX('Inputs'!$B$33,'Inputs'!$B$29+'Inputs'!$B$31+'Inputs'!$B$32,'Inputs'!$B$30+'Inputs'!$B$31+'Inputs'!$B$32)/1000+'Inputs'!$B$21+'Inputs'!$B$9+'Inputs'!$B$10)+'Inputs'!$B$7)^2+('Inputs'!$B$6/2)^2)-(((285-43)*MAX('Inputs'!$B$33,'Inputs'!$B$29+'Inputs'!$B$31+'Inputs'!$B$32,'Inputs'!$B$30+'Inputs'!$B$31+'Inputs'!$B$32)/1000+'Inputs'!$B$21+'Inputs'!$B$9+'Inputs'!$B$10))/SQRT((((285-43)*MAX('Inputs'!$B$33,'Inputs'!$B$29+'Inputs'!$B$31+'Inputs'!$B$32,'Inputs'!$B$30+'Inputs'!$B$31+'Inputs'!$B$32)/1000+'Inputs'!$B$21+'Inputs'!$B$9+'Inputs'!$B$10))^2+('Inputs'!$B$6/2)^2))))*'Results'!$B$8))),"")</x:f>
        <x:v>37.09115781197844</x:v>
      </x:c>
      <x:c r="O285" t="n">
        <x:f>IF(AND(ISNUMBER('Results'!C7),ISNUMBER('Results'!B7),ISNUMBER('Results'!$B$8),ISNUMBER('Inputs'!$B$6),ISNUMBER('Inputs'!$B$7),ISNUMBER('Inputs'!$B$8),ISNUMBER('Inputs'!$B$9),ISNUMBER('Inputs'!$B$10),ISNUMBER('Inputs'!$B$21),ISNUMBER('Inputs'!$B$24),ISNUMBER('Inputs'!$B$28)),((('Results'!C7*(1+'Inputs'!$B$24)*(0.5*((((285-43)*MAX('Inputs'!$B$33,'Inputs'!$B$29+'Inputs'!$B$31+'Inputs'!$B$32,'Inputs'!$B$30+'Inputs'!$B$31+'Inputs'!$B$32)/1000+'Inputs'!$B$21)+'Inputs'!$B$9)/SQRT((((285-43)*MAX('Inputs'!$B$33,'Inputs'!$B$29+'Inputs'!$B$31+'Inputs'!$B$32,'Inputs'!$B$30+'Inputs'!$B$31+'Inputs'!$B$32)/1000+'Inputs'!$B$21)+'Inputs'!$B$9)^2+('Inputs'!$B$8/2)^2)-(((285-43)*MAX('Inputs'!$B$33,'Inputs'!$B$29+'Inputs'!$B$31+'Inputs'!$B$32,'Inputs'!$B$30+'Inputs'!$B$31+'Inputs'!$B$32)/1000+'Inputs'!$B$21))/SQRT((((285-43)*MAX('Inputs'!$B$33,'Inputs'!$B$29+'Inputs'!$B$31+'Inputs'!$B$32,'Inputs'!$B$30+'Inputs'!$B$31+'Inputs'!$B$32)/1000+'Inputs'!$B$21))^2+('Inputs'!$B$8/2)^2)))-'Results'!B7*(1-'Inputs'!$B$24)*(0.5*((((285-43)*MAX('Inputs'!$B$33,'Inputs'!$B$29+'Inputs'!$B$31+'Inputs'!$B$32,'Inputs'!$B$30+'Inputs'!$B$31+'Inputs'!$B$32)/1000+'Inputs'!$B$21+'Inputs'!$B$9+'Inputs'!$B$10)+'Inputs'!$B$7)/SQRT((((285-43)*MAX('Inputs'!$B$33,'Inputs'!$B$29+'Inputs'!$B$31+'Inputs'!$B$32,'Inputs'!$B$30+'Inputs'!$B$31+'Inputs'!$B$32)/1000+'Inputs'!$B$21+'Inputs'!$B$9+'Inputs'!$B$10)+'Inputs'!$B$7)^2+('Inputs'!$B$6/2)^2)-(((285-43)*MAX('Inputs'!$B$33,'Inputs'!$B$29+'Inputs'!$B$31+'Inputs'!$B$32,'Inputs'!$B$30+'Inputs'!$B$31+'Inputs'!$B$32)/1000+'Inputs'!$B$21+'Inputs'!$B$9+'Inputs'!$B$10))/SQRT((((285-43)*MAX('Inputs'!$B$33,'Inputs'!$B$29+'Inputs'!$B$31+'Inputs'!$B$32,'Inputs'!$B$30+'Inputs'!$B$31+'Inputs'!$B$32)/1000+'Inputs'!$B$21+'Inputs'!$B$9+'Inputs'!$B$10))^2+('Inputs'!$B$6/2)^2))))*'Results'!$B$8)+'Inputs'!$B$28*ABS((('Results'!C7*(1+'Inputs'!$B$24)*(0.5*((((285-43)*MAX('Inputs'!$B$33,'Inputs'!$B$29+'Inputs'!$B$31+'Inputs'!$B$32,'Inputs'!$B$30+'Inputs'!$B$31+'Inputs'!$B$32)/1000+'Inputs'!$B$21)+'Inputs'!$B$9)/SQRT((((285-43)*MAX('Inputs'!$B$33,'Inputs'!$B$29+'Inputs'!$B$31+'Inputs'!$B$32,'Inputs'!$B$30+'Inputs'!$B$31+'Inputs'!$B$32)/1000+'Inputs'!$B$21)+'Inputs'!$B$9)^2+('Inputs'!$B$8/2)^2)-(((285-43)*MAX('Inputs'!$B$33,'Inputs'!$B$29+'Inputs'!$B$31+'Inputs'!$B$32,'Inputs'!$B$30+'Inputs'!$B$31+'Inputs'!$B$32)/1000+'Inputs'!$B$21))/SQRT((((285-43)*MAX('Inputs'!$B$33,'Inputs'!$B$29+'Inputs'!$B$31+'Inputs'!$B$32,'Inputs'!$B$30+'Inputs'!$B$31+'Inputs'!$B$32)/1000+'Inputs'!$B$21))^2+('Inputs'!$B$8/2)^2)))-'Results'!B7*(1-'Inputs'!$B$24)*(0.5*((((285-43)*MAX('Inputs'!$B$33,'Inputs'!$B$29+'Inputs'!$B$31+'Inputs'!$B$32,'Inputs'!$B$30+'Inputs'!$B$31+'Inputs'!$B$32)/1000+'Inputs'!$B$21+'Inputs'!$B$9+'Inputs'!$B$10)+'Inputs'!$B$7)/SQRT((((285-43)*MAX('Inputs'!$B$33,'Inputs'!$B$29+'Inputs'!$B$31+'Inputs'!$B$32,'Inputs'!$B$30+'Inputs'!$B$31+'Inputs'!$B$32)/1000+'Inputs'!$B$21+'Inputs'!$B$9+'Inputs'!$B$10)+'Inputs'!$B$7)^2+('Inputs'!$B$6/2)^2)-(((285-43)*MAX('Inputs'!$B$33,'Inputs'!$B$29+'Inputs'!$B$31+'Inputs'!$B$32,'Inputs'!$B$30+'Inputs'!$B$31+'Inputs'!$B$32)/1000+'Inputs'!$B$21+'Inputs'!$B$9+'Inputs'!$B$10))/SQRT((((285-43)*MAX('Inputs'!$B$33,'Inputs'!$B$29+'Inputs'!$B$31+'Inputs'!$B$32,'Inputs'!$B$30+'Inputs'!$B$31+'Inputs'!$B$32)/1000+'Inputs'!$B$21+'Inputs'!$B$9+'Inputs'!$B$10))^2+('Inputs'!$B$6/2)^2))))*'Results'!$B$8))),"")</x:f>
        <x:v>44.68063648409929</x:v>
      </x:c>
      <x:c r="P285" t="n">
        <x:f>IF(AND(MAX(J285,J284)&gt;0,J285&gt;J284+0.00000001),1,0)</x:f>
        <x:v>0</x:v>
      </x:c>
      <x:c r="Q285" t="n">
        <x:f>IF(AND(MAX(K285,K284)&gt;0,K285&gt;K284+0.00000001),1,0)</x:f>
        <x:v>0</x:v>
      </x:c>
      <x:c r="R285" t="n">
        <x:f>IF(AND(MAX(L285,L284)&gt;0,L285&gt;L284+0.00000001),1,0)</x:f>
        <x:v>0</x:v>
      </x:c>
      <x:c r="S285" t="n">
        <x:f>IF(AND(MAX(M285,M284)&gt;0,M285&gt;M284+0.00000001),1,0)</x:f>
        <x:v>0</x:v>
      </x:c>
      <x:c r="T285" t="n">
        <x:f>IF(AND(MAX(N285,N284)&gt;0,N285&gt;N284+0.00000001),1,0)</x:f>
        <x:v>0</x:v>
      </x:c>
      <x:c r="U285" t="n">
        <x:f>IF(AND(MAX(O285,O284)&gt;0,O285&gt;O284+0.00000001),1,0)</x:f>
        <x:v>0</x:v>
      </x:c>
    </x:row>
    <x:row r="286">
      <x:c r="J286" t="n">
        <x:f>IF(AND(ISNUMBER('Results'!B7),ISNUMBER('Results'!C7),ISNUMBER('Results'!$B$8),ISNUMBER('Inputs'!$B$6),ISNUMBER('Inputs'!$B$7),ISNUMBER('Inputs'!$B$8),ISNUMBER('Inputs'!$B$9),ISNUMBER('Inputs'!$B$10),ISNUMBER('Inputs'!$B$21),ISNUMBER('Inputs'!$B$24),ISNUMBER('Inputs'!$B$28)),(('Results'!B7*(0.5*((((286-43)*MAX('Inputs'!$B$33,'Inputs'!$B$29+'Inputs'!$B$31+'Inputs'!$B$32,'Inputs'!$B$30+'Inputs'!$B$31+'Inputs'!$B$32)/1000+'Inputs'!$B$21)+'Inputs'!$B$7)/SQRT((((286-43)*MAX('Inputs'!$B$33,'Inputs'!$B$29+'Inputs'!$B$31+'Inputs'!$B$32,'Inputs'!$B$30+'Inputs'!$B$31+'Inputs'!$B$32)/1000+'Inputs'!$B$21)+'Inputs'!$B$7)^2+('Inputs'!$B$6/2)^2)-(((286-43)*MAX('Inputs'!$B$33,'Inputs'!$B$29+'Inputs'!$B$31+'Inputs'!$B$32,'Inputs'!$B$30+'Inputs'!$B$31+'Inputs'!$B$32)/1000+'Inputs'!$B$21))/SQRT((((286-43)*MAX('Inputs'!$B$33,'Inputs'!$B$29+'Inputs'!$B$31+'Inputs'!$B$32,'Inputs'!$B$30+'Inputs'!$B$31+'Inputs'!$B$32)/1000+'Inputs'!$B$21))^2+('Inputs'!$B$6/2)^2)))-'Results'!C7*(0.5*((((286-43)*MAX('Inputs'!$B$33,'Inputs'!$B$29+'Inputs'!$B$31+'Inputs'!$B$32,'Inputs'!$B$30+'Inputs'!$B$31+'Inputs'!$B$32)/1000+'Inputs'!$B$21+'Inputs'!$B$7+'Inputs'!$B$10)+'Inputs'!$B$9)/SQRT((((286-43)*MAX('Inputs'!$B$33,'Inputs'!$B$29+'Inputs'!$B$31+'Inputs'!$B$32,'Inputs'!$B$30+'Inputs'!$B$31+'Inputs'!$B$32)/1000+'Inputs'!$B$21+'Inputs'!$B$7+'Inputs'!$B$10)+'Inputs'!$B$9)^2+('Inputs'!$B$8/2)^2)-(((286-43)*MAX('Inputs'!$B$33,'Inputs'!$B$29+'Inputs'!$B$31+'Inputs'!$B$32,'Inputs'!$B$30+'Inputs'!$B$31+'Inputs'!$B$32)/1000+'Inputs'!$B$21+'Inputs'!$B$7+'Inputs'!$B$10))/SQRT((((286-43)*MAX('Inputs'!$B$33,'Inputs'!$B$29+'Inputs'!$B$31+'Inputs'!$B$32,'Inputs'!$B$30+'Inputs'!$B$31+'Inputs'!$B$32)/1000+'Inputs'!$B$21+'Inputs'!$B$7+'Inputs'!$B$10))^2+('Inputs'!$B$8/2)^2))))*'Results'!$B$8),"")</x:f>
        <x:v>42.06713103276286</x:v>
      </x:c>
      <x:c r="K286" t="n">
        <x:f>IF(AND(ISNUMBER('Results'!B7),ISNUMBER('Results'!C7),ISNUMBER('Results'!$B$8),ISNUMBER('Inputs'!$B$6),ISNUMBER('Inputs'!$B$7),ISNUMBER('Inputs'!$B$8),ISNUMBER('Inputs'!$B$9),ISNUMBER('Inputs'!$B$10),ISNUMBER('Inputs'!$B$21),ISNUMBER('Inputs'!$B$24),ISNUMBER('Inputs'!$B$28)),((('Results'!B7*(1-'Inputs'!$B$24)*(0.5*((((286-43)*MAX('Inputs'!$B$33,'Inputs'!$B$29+'Inputs'!$B$31+'Inputs'!$B$32,'Inputs'!$B$30+'Inputs'!$B$31+'Inputs'!$B$32)/1000+'Inputs'!$B$21)+'Inputs'!$B$7)/SQRT((((286-43)*MAX('Inputs'!$B$33,'Inputs'!$B$29+'Inputs'!$B$31+'Inputs'!$B$32,'Inputs'!$B$30+'Inputs'!$B$31+'Inputs'!$B$32)/1000+'Inputs'!$B$21)+'Inputs'!$B$7)^2+('Inputs'!$B$6/2)^2)-(((286-43)*MAX('Inputs'!$B$33,'Inputs'!$B$29+'Inputs'!$B$31+'Inputs'!$B$32,'Inputs'!$B$30+'Inputs'!$B$31+'Inputs'!$B$32)/1000+'Inputs'!$B$21))/SQRT((((286-43)*MAX('Inputs'!$B$33,'Inputs'!$B$29+'Inputs'!$B$31+'Inputs'!$B$32,'Inputs'!$B$30+'Inputs'!$B$31+'Inputs'!$B$32)/1000+'Inputs'!$B$21))^2+('Inputs'!$B$6/2)^2)))-'Results'!C7*(1+'Inputs'!$B$24)*(0.5*((((286-43)*MAX('Inputs'!$B$33,'Inputs'!$B$29+'Inputs'!$B$31+'Inputs'!$B$32,'Inputs'!$B$30+'Inputs'!$B$31+'Inputs'!$B$32)/1000+'Inputs'!$B$21+'Inputs'!$B$7+'Inputs'!$B$10)+'Inputs'!$B$9)/SQRT((((286-43)*MAX('Inputs'!$B$33,'Inputs'!$B$29+'Inputs'!$B$31+'Inputs'!$B$32,'Inputs'!$B$30+'Inputs'!$B$31+'Inputs'!$B$32)/1000+'Inputs'!$B$21+'Inputs'!$B$7+'Inputs'!$B$10)+'Inputs'!$B$9)^2+('Inputs'!$B$8/2)^2)-(((286-43)*MAX('Inputs'!$B$33,'Inputs'!$B$29+'Inputs'!$B$31+'Inputs'!$B$32,'Inputs'!$B$30+'Inputs'!$B$31+'Inputs'!$B$32)/1000+'Inputs'!$B$21+'Inputs'!$B$7+'Inputs'!$B$10))/SQRT((((286-43)*MAX('Inputs'!$B$33,'Inputs'!$B$29+'Inputs'!$B$31+'Inputs'!$B$32,'Inputs'!$B$30+'Inputs'!$B$31+'Inputs'!$B$32)/1000+'Inputs'!$B$21+'Inputs'!$B$7+'Inputs'!$B$10))^2+('Inputs'!$B$8/2)^2))))*'Results'!$B$8)-'Inputs'!$B$28*ABS((('Results'!B7*(1-'Inputs'!$B$24)*(0.5*((((286-43)*MAX('Inputs'!$B$33,'Inputs'!$B$29+'Inputs'!$B$31+'Inputs'!$B$32,'Inputs'!$B$30+'Inputs'!$B$31+'Inputs'!$B$32)/1000+'Inputs'!$B$21)+'Inputs'!$B$7)/SQRT((((286-43)*MAX('Inputs'!$B$33,'Inputs'!$B$29+'Inputs'!$B$31+'Inputs'!$B$32,'Inputs'!$B$30+'Inputs'!$B$31+'Inputs'!$B$32)/1000+'Inputs'!$B$21)+'Inputs'!$B$7)^2+('Inputs'!$B$6/2)^2)-(((286-43)*MAX('Inputs'!$B$33,'Inputs'!$B$29+'Inputs'!$B$31+'Inputs'!$B$32,'Inputs'!$B$30+'Inputs'!$B$31+'Inputs'!$B$32)/1000+'Inputs'!$B$21))/SQRT((((286-43)*MAX('Inputs'!$B$33,'Inputs'!$B$29+'Inputs'!$B$31+'Inputs'!$B$32,'Inputs'!$B$30+'Inputs'!$B$31+'Inputs'!$B$32)/1000+'Inputs'!$B$21))^2+('Inputs'!$B$6/2)^2)))-'Results'!C7*(1+'Inputs'!$B$24)*(0.5*((((286-43)*MAX('Inputs'!$B$33,'Inputs'!$B$29+'Inputs'!$B$31+'Inputs'!$B$32,'Inputs'!$B$30+'Inputs'!$B$31+'Inputs'!$B$32)/1000+'Inputs'!$B$21+'Inputs'!$B$7+'Inputs'!$B$10)+'Inputs'!$B$9)/SQRT((((286-43)*MAX('Inputs'!$B$33,'Inputs'!$B$29+'Inputs'!$B$31+'Inputs'!$B$32,'Inputs'!$B$30+'Inputs'!$B$31+'Inputs'!$B$32)/1000+'Inputs'!$B$21+'Inputs'!$B$7+'Inputs'!$B$10)+'Inputs'!$B$9)^2+('Inputs'!$B$8/2)^2)-(((286-43)*MAX('Inputs'!$B$33,'Inputs'!$B$29+'Inputs'!$B$31+'Inputs'!$B$32,'Inputs'!$B$30+'Inputs'!$B$31+'Inputs'!$B$32)/1000+'Inputs'!$B$21+'Inputs'!$B$7+'Inputs'!$B$10))/SQRT((((286-43)*MAX('Inputs'!$B$33,'Inputs'!$B$29+'Inputs'!$B$31+'Inputs'!$B$32,'Inputs'!$B$30+'Inputs'!$B$31+'Inputs'!$B$32)/1000+'Inputs'!$B$21+'Inputs'!$B$7+'Inputs'!$B$10))^2+('Inputs'!$B$8/2)^2))))*'Results'!$B$8))),"")</x:f>
        <x:v>38.297067946254614</x:v>
      </x:c>
      <x:c r="L286" t="n">
        <x:f>IF(AND(ISNUMBER('Results'!B7),ISNUMBER('Results'!C7),ISNUMBER('Results'!$B$8),ISNUMBER('Inputs'!$B$6),ISNUMBER('Inputs'!$B$7),ISNUMBER('Inputs'!$B$8),ISNUMBER('Inputs'!$B$9),ISNUMBER('Inputs'!$B$10),ISNUMBER('Inputs'!$B$21),ISNUMBER('Inputs'!$B$24),ISNUMBER('Inputs'!$B$28)),((('Results'!B7*(1+'Inputs'!$B$24)*(0.5*((((286-43)*MAX('Inputs'!$B$33,'Inputs'!$B$29+'Inputs'!$B$31+'Inputs'!$B$32,'Inputs'!$B$30+'Inputs'!$B$31+'Inputs'!$B$32)/1000+'Inputs'!$B$21)+'Inputs'!$B$7)/SQRT((((286-43)*MAX('Inputs'!$B$33,'Inputs'!$B$29+'Inputs'!$B$31+'Inputs'!$B$32,'Inputs'!$B$30+'Inputs'!$B$31+'Inputs'!$B$32)/1000+'Inputs'!$B$21)+'Inputs'!$B$7)^2+('Inputs'!$B$6/2)^2)-(((286-43)*MAX('Inputs'!$B$33,'Inputs'!$B$29+'Inputs'!$B$31+'Inputs'!$B$32,'Inputs'!$B$30+'Inputs'!$B$31+'Inputs'!$B$32)/1000+'Inputs'!$B$21))/SQRT((((286-43)*MAX('Inputs'!$B$33,'Inputs'!$B$29+'Inputs'!$B$31+'Inputs'!$B$32,'Inputs'!$B$30+'Inputs'!$B$31+'Inputs'!$B$32)/1000+'Inputs'!$B$21))^2+('Inputs'!$B$6/2)^2)))-'Results'!C7*(1-'Inputs'!$B$24)*(0.5*((((286-43)*MAX('Inputs'!$B$33,'Inputs'!$B$29+'Inputs'!$B$31+'Inputs'!$B$32,'Inputs'!$B$30+'Inputs'!$B$31+'Inputs'!$B$32)/1000+'Inputs'!$B$21+'Inputs'!$B$7+'Inputs'!$B$10)+'Inputs'!$B$9)/SQRT((((286-43)*MAX('Inputs'!$B$33,'Inputs'!$B$29+'Inputs'!$B$31+'Inputs'!$B$32,'Inputs'!$B$30+'Inputs'!$B$31+'Inputs'!$B$32)/1000+'Inputs'!$B$21+'Inputs'!$B$7+'Inputs'!$B$10)+'Inputs'!$B$9)^2+('Inputs'!$B$8/2)^2)-(((286-43)*MAX('Inputs'!$B$33,'Inputs'!$B$29+'Inputs'!$B$31+'Inputs'!$B$32,'Inputs'!$B$30+'Inputs'!$B$31+'Inputs'!$B$32)/1000+'Inputs'!$B$21+'Inputs'!$B$7+'Inputs'!$B$10))/SQRT((((286-43)*MAX('Inputs'!$B$33,'Inputs'!$B$29+'Inputs'!$B$31+'Inputs'!$B$32,'Inputs'!$B$30+'Inputs'!$B$31+'Inputs'!$B$32)/1000+'Inputs'!$B$21+'Inputs'!$B$7+'Inputs'!$B$10))^2+('Inputs'!$B$8/2)^2))))*'Results'!$B$8)+'Inputs'!$B$28*ABS((('Results'!B7*(1+'Inputs'!$B$24)*(0.5*((((286-43)*MAX('Inputs'!$B$33,'Inputs'!$B$29+'Inputs'!$B$31+'Inputs'!$B$32,'Inputs'!$B$30+'Inputs'!$B$31+'Inputs'!$B$32)/1000+'Inputs'!$B$21)+'Inputs'!$B$7)/SQRT((((286-43)*MAX('Inputs'!$B$33,'Inputs'!$B$29+'Inputs'!$B$31+'Inputs'!$B$32,'Inputs'!$B$30+'Inputs'!$B$31+'Inputs'!$B$32)/1000+'Inputs'!$B$21)+'Inputs'!$B$7)^2+('Inputs'!$B$6/2)^2)-(((286-43)*MAX('Inputs'!$B$33,'Inputs'!$B$29+'Inputs'!$B$31+'Inputs'!$B$32,'Inputs'!$B$30+'Inputs'!$B$31+'Inputs'!$B$32)/1000+'Inputs'!$B$21))/SQRT((((286-43)*MAX('Inputs'!$B$33,'Inputs'!$B$29+'Inputs'!$B$31+'Inputs'!$B$32,'Inputs'!$B$30+'Inputs'!$B$31+'Inputs'!$B$32)/1000+'Inputs'!$B$21))^2+('Inputs'!$B$6/2)^2)))-'Results'!C7*(1-'Inputs'!$B$24)*(0.5*((((286-43)*MAX('Inputs'!$B$33,'Inputs'!$B$29+'Inputs'!$B$31+'Inputs'!$B$32,'Inputs'!$B$30+'Inputs'!$B$31+'Inputs'!$B$32)/1000+'Inputs'!$B$21+'Inputs'!$B$7+'Inputs'!$B$10)+'Inputs'!$B$9)/SQRT((((286-43)*MAX('Inputs'!$B$33,'Inputs'!$B$29+'Inputs'!$B$31+'Inputs'!$B$32,'Inputs'!$B$30+'Inputs'!$B$31+'Inputs'!$B$32)/1000+'Inputs'!$B$21+'Inputs'!$B$7+'Inputs'!$B$10)+'Inputs'!$B$9)^2+('Inputs'!$B$8/2)^2)-(((286-43)*MAX('Inputs'!$B$33,'Inputs'!$B$29+'Inputs'!$B$31+'Inputs'!$B$32,'Inputs'!$B$30+'Inputs'!$B$31+'Inputs'!$B$32)/1000+'Inputs'!$B$21+'Inputs'!$B$7+'Inputs'!$B$10))/SQRT((((286-43)*MAX('Inputs'!$B$33,'Inputs'!$B$29+'Inputs'!$B$31+'Inputs'!$B$32,'Inputs'!$B$30+'Inputs'!$B$31+'Inputs'!$B$32)/1000+'Inputs'!$B$21+'Inputs'!$B$7+'Inputs'!$B$10))^2+('Inputs'!$B$8/2)^2))))*'Results'!$B$8))),"")</x:f>
        <x:v>46.01263691241532</x:v>
      </x:c>
      <x:c r="M286" t="n">
        <x:f>IF(AND(ISNUMBER('Results'!C7),ISNUMBER('Results'!B7),ISNUMBER('Results'!$B$8),ISNUMBER('Inputs'!$B$6),ISNUMBER('Inputs'!$B$7),ISNUMBER('Inputs'!$B$8),ISNUMBER('Inputs'!$B$9),ISNUMBER('Inputs'!$B$10),ISNUMBER('Inputs'!$B$21),ISNUMBER('Inputs'!$B$24),ISNUMBER('Inputs'!$B$28)),(('Results'!C7*(0.5*((((286-43)*MAX('Inputs'!$B$33,'Inputs'!$B$29+'Inputs'!$B$31+'Inputs'!$B$32,'Inputs'!$B$30+'Inputs'!$B$31+'Inputs'!$B$32)/1000+'Inputs'!$B$21)+'Inputs'!$B$9)/SQRT((((286-43)*MAX('Inputs'!$B$33,'Inputs'!$B$29+'Inputs'!$B$31+'Inputs'!$B$32,'Inputs'!$B$30+'Inputs'!$B$31+'Inputs'!$B$32)/1000+'Inputs'!$B$21)+'Inputs'!$B$9)^2+('Inputs'!$B$8/2)^2)-(((286-43)*MAX('Inputs'!$B$33,'Inputs'!$B$29+'Inputs'!$B$31+'Inputs'!$B$32,'Inputs'!$B$30+'Inputs'!$B$31+'Inputs'!$B$32)/1000+'Inputs'!$B$21))/SQRT((((286-43)*MAX('Inputs'!$B$33,'Inputs'!$B$29+'Inputs'!$B$31+'Inputs'!$B$32,'Inputs'!$B$30+'Inputs'!$B$31+'Inputs'!$B$32)/1000+'Inputs'!$B$21))^2+('Inputs'!$B$8/2)^2)))-'Results'!B7*(0.5*((((286-43)*MAX('Inputs'!$B$33,'Inputs'!$B$29+'Inputs'!$B$31+'Inputs'!$B$32,'Inputs'!$B$30+'Inputs'!$B$31+'Inputs'!$B$32)/1000+'Inputs'!$B$21+'Inputs'!$B$9+'Inputs'!$B$10)+'Inputs'!$B$7)/SQRT((((286-43)*MAX('Inputs'!$B$33,'Inputs'!$B$29+'Inputs'!$B$31+'Inputs'!$B$32,'Inputs'!$B$30+'Inputs'!$B$31+'Inputs'!$B$32)/1000+'Inputs'!$B$21+'Inputs'!$B$9+'Inputs'!$B$10)+'Inputs'!$B$7)^2+('Inputs'!$B$6/2)^2)-(((286-43)*MAX('Inputs'!$B$33,'Inputs'!$B$29+'Inputs'!$B$31+'Inputs'!$B$32,'Inputs'!$B$30+'Inputs'!$B$31+'Inputs'!$B$32)/1000+'Inputs'!$B$21+'Inputs'!$B$9+'Inputs'!$B$10))/SQRT((((286-43)*MAX('Inputs'!$B$33,'Inputs'!$B$29+'Inputs'!$B$31+'Inputs'!$B$32,'Inputs'!$B$30+'Inputs'!$B$31+'Inputs'!$B$32)/1000+'Inputs'!$B$21+'Inputs'!$B$9+'Inputs'!$B$10))^2+('Inputs'!$B$6/2)^2))))*'Results'!$B$8),"")</x:f>
        <x:v>40.303385904271806</x:v>
      </x:c>
      <x:c r="N286" t="n">
        <x:f>IF(AND(ISNUMBER('Results'!C7),ISNUMBER('Results'!B7),ISNUMBER('Results'!$B$8),ISNUMBER('Inputs'!$B$6),ISNUMBER('Inputs'!$B$7),ISNUMBER('Inputs'!$B$8),ISNUMBER('Inputs'!$B$9),ISNUMBER('Inputs'!$B$10),ISNUMBER('Inputs'!$B$21),ISNUMBER('Inputs'!$B$24),ISNUMBER('Inputs'!$B$28)),((('Results'!C7*(1-'Inputs'!$B$24)*(0.5*((((286-43)*MAX('Inputs'!$B$33,'Inputs'!$B$29+'Inputs'!$B$31+'Inputs'!$B$32,'Inputs'!$B$30+'Inputs'!$B$31+'Inputs'!$B$32)/1000+'Inputs'!$B$21)+'Inputs'!$B$9)/SQRT((((286-43)*MAX('Inputs'!$B$33,'Inputs'!$B$29+'Inputs'!$B$31+'Inputs'!$B$32,'Inputs'!$B$30+'Inputs'!$B$31+'Inputs'!$B$32)/1000+'Inputs'!$B$21)+'Inputs'!$B$9)^2+('Inputs'!$B$8/2)^2)-(((286-43)*MAX('Inputs'!$B$33,'Inputs'!$B$29+'Inputs'!$B$31+'Inputs'!$B$32,'Inputs'!$B$30+'Inputs'!$B$31+'Inputs'!$B$32)/1000+'Inputs'!$B$21))/SQRT((((286-43)*MAX('Inputs'!$B$33,'Inputs'!$B$29+'Inputs'!$B$31+'Inputs'!$B$32,'Inputs'!$B$30+'Inputs'!$B$31+'Inputs'!$B$32)/1000+'Inputs'!$B$21))^2+('Inputs'!$B$8/2)^2)))-'Results'!B7*(1+'Inputs'!$B$24)*(0.5*((((286-43)*MAX('Inputs'!$B$33,'Inputs'!$B$29+'Inputs'!$B$31+'Inputs'!$B$32,'Inputs'!$B$30+'Inputs'!$B$31+'Inputs'!$B$32)/1000+'Inputs'!$B$21+'Inputs'!$B$9+'Inputs'!$B$10)+'Inputs'!$B$7)/SQRT((((286-43)*MAX('Inputs'!$B$33,'Inputs'!$B$29+'Inputs'!$B$31+'Inputs'!$B$32,'Inputs'!$B$30+'Inputs'!$B$31+'Inputs'!$B$32)/1000+'Inputs'!$B$21+'Inputs'!$B$9+'Inputs'!$B$10)+'Inputs'!$B$7)^2+('Inputs'!$B$6/2)^2)-(((286-43)*MAX('Inputs'!$B$33,'Inputs'!$B$29+'Inputs'!$B$31+'Inputs'!$B$32,'Inputs'!$B$30+'Inputs'!$B$31+'Inputs'!$B$32)/1000+'Inputs'!$B$21+'Inputs'!$B$9+'Inputs'!$B$10))/SQRT((((286-43)*MAX('Inputs'!$B$33,'Inputs'!$B$29+'Inputs'!$B$31+'Inputs'!$B$32,'Inputs'!$B$30+'Inputs'!$B$31+'Inputs'!$B$32)/1000+'Inputs'!$B$21+'Inputs'!$B$9+'Inputs'!$B$10))^2+('Inputs'!$B$6/2)^2))))*'Results'!$B$8)-'Inputs'!$B$28*ABS((('Results'!C7*(1-'Inputs'!$B$24)*(0.5*((((286-43)*MAX('Inputs'!$B$33,'Inputs'!$B$29+'Inputs'!$B$31+'Inputs'!$B$32,'Inputs'!$B$30+'Inputs'!$B$31+'Inputs'!$B$32)/1000+'Inputs'!$B$21)+'Inputs'!$B$9)/SQRT((((286-43)*MAX('Inputs'!$B$33,'Inputs'!$B$29+'Inputs'!$B$31+'Inputs'!$B$32,'Inputs'!$B$30+'Inputs'!$B$31+'Inputs'!$B$32)/1000+'Inputs'!$B$21)+'Inputs'!$B$9)^2+('Inputs'!$B$8/2)^2)-(((286-43)*MAX('Inputs'!$B$33,'Inputs'!$B$29+'Inputs'!$B$31+'Inputs'!$B$32,'Inputs'!$B$30+'Inputs'!$B$31+'Inputs'!$B$32)/1000+'Inputs'!$B$21))/SQRT((((286-43)*MAX('Inputs'!$B$33,'Inputs'!$B$29+'Inputs'!$B$31+'Inputs'!$B$32,'Inputs'!$B$30+'Inputs'!$B$31+'Inputs'!$B$32)/1000+'Inputs'!$B$21))^2+('Inputs'!$B$8/2)^2)))-'Results'!B7*(1+'Inputs'!$B$24)*(0.5*((((286-43)*MAX('Inputs'!$B$33,'Inputs'!$B$29+'Inputs'!$B$31+'Inputs'!$B$32,'Inputs'!$B$30+'Inputs'!$B$31+'Inputs'!$B$32)/1000+'Inputs'!$B$21+'Inputs'!$B$9+'Inputs'!$B$10)+'Inputs'!$B$7)/SQRT((((286-43)*MAX('Inputs'!$B$33,'Inputs'!$B$29+'Inputs'!$B$31+'Inputs'!$B$32,'Inputs'!$B$30+'Inputs'!$B$31+'Inputs'!$B$32)/1000+'Inputs'!$B$21+'Inputs'!$B$9+'Inputs'!$B$10)+'Inputs'!$B$7)^2+('Inputs'!$B$6/2)^2)-(((286-43)*MAX('Inputs'!$B$33,'Inputs'!$B$29+'Inputs'!$B$31+'Inputs'!$B$32,'Inputs'!$B$30+'Inputs'!$B$31+'Inputs'!$B$32)/1000+'Inputs'!$B$21+'Inputs'!$B$9+'Inputs'!$B$10))/SQRT((((286-43)*MAX('Inputs'!$B$33,'Inputs'!$B$29+'Inputs'!$B$31+'Inputs'!$B$32,'Inputs'!$B$30+'Inputs'!$B$31+'Inputs'!$B$32)/1000+'Inputs'!$B$21+'Inputs'!$B$9+'Inputs'!$B$10))^2+('Inputs'!$B$6/2)^2))))*'Results'!$B$8))),"")</x:f>
        <x:v>36.637318557236625</x:v>
      </x:c>
      <x:c r="O286" t="n">
        <x:f>IF(AND(ISNUMBER('Results'!C7),ISNUMBER('Results'!B7),ISNUMBER('Results'!$B$8),ISNUMBER('Inputs'!$B$6),ISNUMBER('Inputs'!$B$7),ISNUMBER('Inputs'!$B$8),ISNUMBER('Inputs'!$B$9),ISNUMBER('Inputs'!$B$10),ISNUMBER('Inputs'!$B$21),ISNUMBER('Inputs'!$B$24),ISNUMBER('Inputs'!$B$28)),((('Results'!C7*(1+'Inputs'!$B$24)*(0.5*((((286-43)*MAX('Inputs'!$B$33,'Inputs'!$B$29+'Inputs'!$B$31+'Inputs'!$B$32,'Inputs'!$B$30+'Inputs'!$B$31+'Inputs'!$B$32)/1000+'Inputs'!$B$21)+'Inputs'!$B$9)/SQRT((((286-43)*MAX('Inputs'!$B$33,'Inputs'!$B$29+'Inputs'!$B$31+'Inputs'!$B$32,'Inputs'!$B$30+'Inputs'!$B$31+'Inputs'!$B$32)/1000+'Inputs'!$B$21)+'Inputs'!$B$9)^2+('Inputs'!$B$8/2)^2)-(((286-43)*MAX('Inputs'!$B$33,'Inputs'!$B$29+'Inputs'!$B$31+'Inputs'!$B$32,'Inputs'!$B$30+'Inputs'!$B$31+'Inputs'!$B$32)/1000+'Inputs'!$B$21))/SQRT((((286-43)*MAX('Inputs'!$B$33,'Inputs'!$B$29+'Inputs'!$B$31+'Inputs'!$B$32,'Inputs'!$B$30+'Inputs'!$B$31+'Inputs'!$B$32)/1000+'Inputs'!$B$21))^2+('Inputs'!$B$8/2)^2)))-'Results'!B7*(1-'Inputs'!$B$24)*(0.5*((((286-43)*MAX('Inputs'!$B$33,'Inputs'!$B$29+'Inputs'!$B$31+'Inputs'!$B$32,'Inputs'!$B$30+'Inputs'!$B$31+'Inputs'!$B$32)/1000+'Inputs'!$B$21+'Inputs'!$B$9+'Inputs'!$B$10)+'Inputs'!$B$7)/SQRT((((286-43)*MAX('Inputs'!$B$33,'Inputs'!$B$29+'Inputs'!$B$31+'Inputs'!$B$32,'Inputs'!$B$30+'Inputs'!$B$31+'Inputs'!$B$32)/1000+'Inputs'!$B$21+'Inputs'!$B$9+'Inputs'!$B$10)+'Inputs'!$B$7)^2+('Inputs'!$B$6/2)^2)-(((286-43)*MAX('Inputs'!$B$33,'Inputs'!$B$29+'Inputs'!$B$31+'Inputs'!$B$32,'Inputs'!$B$30+'Inputs'!$B$31+'Inputs'!$B$32)/1000+'Inputs'!$B$21+'Inputs'!$B$9+'Inputs'!$B$10))/SQRT((((286-43)*MAX('Inputs'!$B$33,'Inputs'!$B$29+'Inputs'!$B$31+'Inputs'!$B$32,'Inputs'!$B$30+'Inputs'!$B$31+'Inputs'!$B$32)/1000+'Inputs'!$B$21+'Inputs'!$B$9+'Inputs'!$B$10))^2+('Inputs'!$B$6/2)^2))))*'Results'!$B$8)+'Inputs'!$B$28*ABS((('Results'!C7*(1+'Inputs'!$B$24)*(0.5*((((286-43)*MAX('Inputs'!$B$33,'Inputs'!$B$29+'Inputs'!$B$31+'Inputs'!$B$32,'Inputs'!$B$30+'Inputs'!$B$31+'Inputs'!$B$32)/1000+'Inputs'!$B$21)+'Inputs'!$B$9)/SQRT((((286-43)*MAX('Inputs'!$B$33,'Inputs'!$B$29+'Inputs'!$B$31+'Inputs'!$B$32,'Inputs'!$B$30+'Inputs'!$B$31+'Inputs'!$B$32)/1000+'Inputs'!$B$21)+'Inputs'!$B$9)^2+('Inputs'!$B$8/2)^2)-(((286-43)*MAX('Inputs'!$B$33,'Inputs'!$B$29+'Inputs'!$B$31+'Inputs'!$B$32,'Inputs'!$B$30+'Inputs'!$B$31+'Inputs'!$B$32)/1000+'Inputs'!$B$21))/SQRT((((286-43)*MAX('Inputs'!$B$33,'Inputs'!$B$29+'Inputs'!$B$31+'Inputs'!$B$32,'Inputs'!$B$30+'Inputs'!$B$31+'Inputs'!$B$32)/1000+'Inputs'!$B$21))^2+('Inputs'!$B$8/2)^2)))-'Results'!B7*(1-'Inputs'!$B$24)*(0.5*((((286-43)*MAX('Inputs'!$B$33,'Inputs'!$B$29+'Inputs'!$B$31+'Inputs'!$B$32,'Inputs'!$B$30+'Inputs'!$B$31+'Inputs'!$B$32)/1000+'Inputs'!$B$21+'Inputs'!$B$9+'Inputs'!$B$10)+'Inputs'!$B$7)/SQRT((((286-43)*MAX('Inputs'!$B$33,'Inputs'!$B$29+'Inputs'!$B$31+'Inputs'!$B$32,'Inputs'!$B$30+'Inputs'!$B$31+'Inputs'!$B$32)/1000+'Inputs'!$B$21+'Inputs'!$B$9+'Inputs'!$B$10)+'Inputs'!$B$7)^2+('Inputs'!$B$6/2)^2)-(((286-43)*MAX('Inputs'!$B$33,'Inputs'!$B$29+'Inputs'!$B$31+'Inputs'!$B$32,'Inputs'!$B$30+'Inputs'!$B$31+'Inputs'!$B$32)/1000+'Inputs'!$B$21+'Inputs'!$B$9+'Inputs'!$B$10))/SQRT((((286-43)*MAX('Inputs'!$B$33,'Inputs'!$B$29+'Inputs'!$B$31+'Inputs'!$B$32,'Inputs'!$B$30+'Inputs'!$B$31+'Inputs'!$B$32)/1000+'Inputs'!$B$21+'Inputs'!$B$9+'Inputs'!$B$10))^2+('Inputs'!$B$6/2)^2))))*'Results'!$B$8))),"")</x:f>
        <x:v>44.143231993603976</x:v>
      </x:c>
      <x:c r="P286" t="n">
        <x:f>IF(AND(MAX(J286,J285)&gt;0,J286&gt;J285+0.00000001),1,0)</x:f>
        <x:v>0</x:v>
      </x:c>
      <x:c r="Q286" t="n">
        <x:f>IF(AND(MAX(K286,K285)&gt;0,K286&gt;K285+0.00000001),1,0)</x:f>
        <x:v>0</x:v>
      </x:c>
      <x:c r="R286" t="n">
        <x:f>IF(AND(MAX(L286,L285)&gt;0,L286&gt;L285+0.00000001),1,0)</x:f>
        <x:v>0</x:v>
      </x:c>
      <x:c r="S286" t="n">
        <x:f>IF(AND(MAX(M286,M285)&gt;0,M286&gt;M285+0.00000001),1,0)</x:f>
        <x:v>0</x:v>
      </x:c>
      <x:c r="T286" t="n">
        <x:f>IF(AND(MAX(N286,N285)&gt;0,N286&gt;N285+0.00000001),1,0)</x:f>
        <x:v>0</x:v>
      </x:c>
      <x:c r="U286" t="n">
        <x:f>IF(AND(MAX(O286,O285)&gt;0,O286&gt;O285+0.00000001),1,0)</x:f>
        <x:v>0</x:v>
      </x:c>
    </x:row>
    <x:row r="287">
      <x:c r="J287" t="n">
        <x:f>IF(AND(ISNUMBER('Results'!B7),ISNUMBER('Results'!C7),ISNUMBER('Results'!$B$8),ISNUMBER('Inputs'!$B$6),ISNUMBER('Inputs'!$B$7),ISNUMBER('Inputs'!$B$8),ISNUMBER('Inputs'!$B$9),ISNUMBER('Inputs'!$B$10),ISNUMBER('Inputs'!$B$21),ISNUMBER('Inputs'!$B$24),ISNUMBER('Inputs'!$B$28)),(('Results'!B7*(0.5*((((287-43)*MAX('Inputs'!$B$33,'Inputs'!$B$29+'Inputs'!$B$31+'Inputs'!$B$32,'Inputs'!$B$30+'Inputs'!$B$31+'Inputs'!$B$32)/1000+'Inputs'!$B$21)+'Inputs'!$B$7)/SQRT((((287-43)*MAX('Inputs'!$B$33,'Inputs'!$B$29+'Inputs'!$B$31+'Inputs'!$B$32,'Inputs'!$B$30+'Inputs'!$B$31+'Inputs'!$B$32)/1000+'Inputs'!$B$21)+'Inputs'!$B$7)^2+('Inputs'!$B$6/2)^2)-(((287-43)*MAX('Inputs'!$B$33,'Inputs'!$B$29+'Inputs'!$B$31+'Inputs'!$B$32,'Inputs'!$B$30+'Inputs'!$B$31+'Inputs'!$B$32)/1000+'Inputs'!$B$21))/SQRT((((287-43)*MAX('Inputs'!$B$33,'Inputs'!$B$29+'Inputs'!$B$31+'Inputs'!$B$32,'Inputs'!$B$30+'Inputs'!$B$31+'Inputs'!$B$32)/1000+'Inputs'!$B$21))^2+('Inputs'!$B$6/2)^2)))-'Results'!C7*(0.5*((((287-43)*MAX('Inputs'!$B$33,'Inputs'!$B$29+'Inputs'!$B$31+'Inputs'!$B$32,'Inputs'!$B$30+'Inputs'!$B$31+'Inputs'!$B$32)/1000+'Inputs'!$B$21+'Inputs'!$B$7+'Inputs'!$B$10)+'Inputs'!$B$9)/SQRT((((287-43)*MAX('Inputs'!$B$33,'Inputs'!$B$29+'Inputs'!$B$31+'Inputs'!$B$32,'Inputs'!$B$30+'Inputs'!$B$31+'Inputs'!$B$32)/1000+'Inputs'!$B$21+'Inputs'!$B$7+'Inputs'!$B$10)+'Inputs'!$B$9)^2+('Inputs'!$B$8/2)^2)-(((287-43)*MAX('Inputs'!$B$33,'Inputs'!$B$29+'Inputs'!$B$31+'Inputs'!$B$32,'Inputs'!$B$30+'Inputs'!$B$31+'Inputs'!$B$32)/1000+'Inputs'!$B$21+'Inputs'!$B$7+'Inputs'!$B$10))/SQRT((((287-43)*MAX('Inputs'!$B$33,'Inputs'!$B$29+'Inputs'!$B$31+'Inputs'!$B$32,'Inputs'!$B$30+'Inputs'!$B$31+'Inputs'!$B$32)/1000+'Inputs'!$B$21+'Inputs'!$B$7+'Inputs'!$B$10))^2+('Inputs'!$B$8/2)^2))))*'Results'!$B$8),"")</x:f>
        <x:v>41.56264764987775</x:v>
      </x:c>
      <x:c r="K287" t="n">
        <x:f>IF(AND(ISNUMBER('Results'!B7),ISNUMBER('Results'!C7),ISNUMBER('Results'!$B$8),ISNUMBER('Inputs'!$B$6),ISNUMBER('Inputs'!$B$7),ISNUMBER('Inputs'!$B$8),ISNUMBER('Inputs'!$B$9),ISNUMBER('Inputs'!$B$10),ISNUMBER('Inputs'!$B$21),ISNUMBER('Inputs'!$B$24),ISNUMBER('Inputs'!$B$28)),((('Results'!B7*(1-'Inputs'!$B$24)*(0.5*((((287-43)*MAX('Inputs'!$B$33,'Inputs'!$B$29+'Inputs'!$B$31+'Inputs'!$B$32,'Inputs'!$B$30+'Inputs'!$B$31+'Inputs'!$B$32)/1000+'Inputs'!$B$21)+'Inputs'!$B$7)/SQRT((((287-43)*MAX('Inputs'!$B$33,'Inputs'!$B$29+'Inputs'!$B$31+'Inputs'!$B$32,'Inputs'!$B$30+'Inputs'!$B$31+'Inputs'!$B$32)/1000+'Inputs'!$B$21)+'Inputs'!$B$7)^2+('Inputs'!$B$6/2)^2)-(((287-43)*MAX('Inputs'!$B$33,'Inputs'!$B$29+'Inputs'!$B$31+'Inputs'!$B$32,'Inputs'!$B$30+'Inputs'!$B$31+'Inputs'!$B$32)/1000+'Inputs'!$B$21))/SQRT((((287-43)*MAX('Inputs'!$B$33,'Inputs'!$B$29+'Inputs'!$B$31+'Inputs'!$B$32,'Inputs'!$B$30+'Inputs'!$B$31+'Inputs'!$B$32)/1000+'Inputs'!$B$21))^2+('Inputs'!$B$6/2)^2)))-'Results'!C7*(1+'Inputs'!$B$24)*(0.5*((((287-43)*MAX('Inputs'!$B$33,'Inputs'!$B$29+'Inputs'!$B$31+'Inputs'!$B$32,'Inputs'!$B$30+'Inputs'!$B$31+'Inputs'!$B$32)/1000+'Inputs'!$B$21+'Inputs'!$B$7+'Inputs'!$B$10)+'Inputs'!$B$9)/SQRT((((287-43)*MAX('Inputs'!$B$33,'Inputs'!$B$29+'Inputs'!$B$31+'Inputs'!$B$32,'Inputs'!$B$30+'Inputs'!$B$31+'Inputs'!$B$32)/1000+'Inputs'!$B$21+'Inputs'!$B$7+'Inputs'!$B$10)+'Inputs'!$B$9)^2+('Inputs'!$B$8/2)^2)-(((287-43)*MAX('Inputs'!$B$33,'Inputs'!$B$29+'Inputs'!$B$31+'Inputs'!$B$32,'Inputs'!$B$30+'Inputs'!$B$31+'Inputs'!$B$32)/1000+'Inputs'!$B$21+'Inputs'!$B$7+'Inputs'!$B$10))/SQRT((((287-43)*MAX('Inputs'!$B$33,'Inputs'!$B$29+'Inputs'!$B$31+'Inputs'!$B$32,'Inputs'!$B$30+'Inputs'!$B$31+'Inputs'!$B$32)/1000+'Inputs'!$B$21+'Inputs'!$B$7+'Inputs'!$B$10))^2+('Inputs'!$B$8/2)^2))))*'Results'!$B$8)-'Inputs'!$B$28*ABS((('Results'!B7*(1-'Inputs'!$B$24)*(0.5*((((287-43)*MAX('Inputs'!$B$33,'Inputs'!$B$29+'Inputs'!$B$31+'Inputs'!$B$32,'Inputs'!$B$30+'Inputs'!$B$31+'Inputs'!$B$32)/1000+'Inputs'!$B$21)+'Inputs'!$B$7)/SQRT((((287-43)*MAX('Inputs'!$B$33,'Inputs'!$B$29+'Inputs'!$B$31+'Inputs'!$B$32,'Inputs'!$B$30+'Inputs'!$B$31+'Inputs'!$B$32)/1000+'Inputs'!$B$21)+'Inputs'!$B$7)^2+('Inputs'!$B$6/2)^2)-(((287-43)*MAX('Inputs'!$B$33,'Inputs'!$B$29+'Inputs'!$B$31+'Inputs'!$B$32,'Inputs'!$B$30+'Inputs'!$B$31+'Inputs'!$B$32)/1000+'Inputs'!$B$21))/SQRT((((287-43)*MAX('Inputs'!$B$33,'Inputs'!$B$29+'Inputs'!$B$31+'Inputs'!$B$32,'Inputs'!$B$30+'Inputs'!$B$31+'Inputs'!$B$32)/1000+'Inputs'!$B$21))^2+('Inputs'!$B$6/2)^2)))-'Results'!C7*(1+'Inputs'!$B$24)*(0.5*((((287-43)*MAX('Inputs'!$B$33,'Inputs'!$B$29+'Inputs'!$B$31+'Inputs'!$B$32,'Inputs'!$B$30+'Inputs'!$B$31+'Inputs'!$B$32)/1000+'Inputs'!$B$21+'Inputs'!$B$7+'Inputs'!$B$10)+'Inputs'!$B$9)/SQRT((((287-43)*MAX('Inputs'!$B$33,'Inputs'!$B$29+'Inputs'!$B$31+'Inputs'!$B$32,'Inputs'!$B$30+'Inputs'!$B$31+'Inputs'!$B$32)/1000+'Inputs'!$B$21+'Inputs'!$B$7+'Inputs'!$B$10)+'Inputs'!$B$9)^2+('Inputs'!$B$8/2)^2)-(((287-43)*MAX('Inputs'!$B$33,'Inputs'!$B$29+'Inputs'!$B$31+'Inputs'!$B$32,'Inputs'!$B$30+'Inputs'!$B$31+'Inputs'!$B$32)/1000+'Inputs'!$B$21+'Inputs'!$B$7+'Inputs'!$B$10))/SQRT((((287-43)*MAX('Inputs'!$B$33,'Inputs'!$B$29+'Inputs'!$B$31+'Inputs'!$B$32,'Inputs'!$B$30+'Inputs'!$B$31+'Inputs'!$B$32)/1000+'Inputs'!$B$21+'Inputs'!$B$7+'Inputs'!$B$10))^2+('Inputs'!$B$8/2)^2))))*'Results'!$B$8))),"")</x:f>
        <x:v>37.83398269282684</x:v>
      </x:c>
      <x:c r="L287" t="n">
        <x:f>IF(AND(ISNUMBER('Results'!B7),ISNUMBER('Results'!C7),ISNUMBER('Results'!$B$8),ISNUMBER('Inputs'!$B$6),ISNUMBER('Inputs'!$B$7),ISNUMBER('Inputs'!$B$8),ISNUMBER('Inputs'!$B$9),ISNUMBER('Inputs'!$B$10),ISNUMBER('Inputs'!$B$21),ISNUMBER('Inputs'!$B$24),ISNUMBER('Inputs'!$B$28)),((('Results'!B7*(1+'Inputs'!$B$24)*(0.5*((((287-43)*MAX('Inputs'!$B$33,'Inputs'!$B$29+'Inputs'!$B$31+'Inputs'!$B$32,'Inputs'!$B$30+'Inputs'!$B$31+'Inputs'!$B$32)/1000+'Inputs'!$B$21)+'Inputs'!$B$7)/SQRT((((287-43)*MAX('Inputs'!$B$33,'Inputs'!$B$29+'Inputs'!$B$31+'Inputs'!$B$32,'Inputs'!$B$30+'Inputs'!$B$31+'Inputs'!$B$32)/1000+'Inputs'!$B$21)+'Inputs'!$B$7)^2+('Inputs'!$B$6/2)^2)-(((287-43)*MAX('Inputs'!$B$33,'Inputs'!$B$29+'Inputs'!$B$31+'Inputs'!$B$32,'Inputs'!$B$30+'Inputs'!$B$31+'Inputs'!$B$32)/1000+'Inputs'!$B$21))/SQRT((((287-43)*MAX('Inputs'!$B$33,'Inputs'!$B$29+'Inputs'!$B$31+'Inputs'!$B$32,'Inputs'!$B$30+'Inputs'!$B$31+'Inputs'!$B$32)/1000+'Inputs'!$B$21))^2+('Inputs'!$B$6/2)^2)))-'Results'!C7*(1-'Inputs'!$B$24)*(0.5*((((287-43)*MAX('Inputs'!$B$33,'Inputs'!$B$29+'Inputs'!$B$31+'Inputs'!$B$32,'Inputs'!$B$30+'Inputs'!$B$31+'Inputs'!$B$32)/1000+'Inputs'!$B$21+'Inputs'!$B$7+'Inputs'!$B$10)+'Inputs'!$B$9)/SQRT((((287-43)*MAX('Inputs'!$B$33,'Inputs'!$B$29+'Inputs'!$B$31+'Inputs'!$B$32,'Inputs'!$B$30+'Inputs'!$B$31+'Inputs'!$B$32)/1000+'Inputs'!$B$21+'Inputs'!$B$7+'Inputs'!$B$10)+'Inputs'!$B$9)^2+('Inputs'!$B$8/2)^2)-(((287-43)*MAX('Inputs'!$B$33,'Inputs'!$B$29+'Inputs'!$B$31+'Inputs'!$B$32,'Inputs'!$B$30+'Inputs'!$B$31+'Inputs'!$B$32)/1000+'Inputs'!$B$21+'Inputs'!$B$7+'Inputs'!$B$10))/SQRT((((287-43)*MAX('Inputs'!$B$33,'Inputs'!$B$29+'Inputs'!$B$31+'Inputs'!$B$32,'Inputs'!$B$30+'Inputs'!$B$31+'Inputs'!$B$32)/1000+'Inputs'!$B$21+'Inputs'!$B$7+'Inputs'!$B$10))^2+('Inputs'!$B$8/2)^2))))*'Results'!$B$8)+'Inputs'!$B$28*ABS((('Results'!B7*(1+'Inputs'!$B$24)*(0.5*((((287-43)*MAX('Inputs'!$B$33,'Inputs'!$B$29+'Inputs'!$B$31+'Inputs'!$B$32,'Inputs'!$B$30+'Inputs'!$B$31+'Inputs'!$B$32)/1000+'Inputs'!$B$21)+'Inputs'!$B$7)/SQRT((((287-43)*MAX('Inputs'!$B$33,'Inputs'!$B$29+'Inputs'!$B$31+'Inputs'!$B$32,'Inputs'!$B$30+'Inputs'!$B$31+'Inputs'!$B$32)/1000+'Inputs'!$B$21)+'Inputs'!$B$7)^2+('Inputs'!$B$6/2)^2)-(((287-43)*MAX('Inputs'!$B$33,'Inputs'!$B$29+'Inputs'!$B$31+'Inputs'!$B$32,'Inputs'!$B$30+'Inputs'!$B$31+'Inputs'!$B$32)/1000+'Inputs'!$B$21))/SQRT((((287-43)*MAX('Inputs'!$B$33,'Inputs'!$B$29+'Inputs'!$B$31+'Inputs'!$B$32,'Inputs'!$B$30+'Inputs'!$B$31+'Inputs'!$B$32)/1000+'Inputs'!$B$21))^2+('Inputs'!$B$6/2)^2)))-'Results'!C7*(1-'Inputs'!$B$24)*(0.5*((((287-43)*MAX('Inputs'!$B$33,'Inputs'!$B$29+'Inputs'!$B$31+'Inputs'!$B$32,'Inputs'!$B$30+'Inputs'!$B$31+'Inputs'!$B$32)/1000+'Inputs'!$B$21+'Inputs'!$B$7+'Inputs'!$B$10)+'Inputs'!$B$9)/SQRT((((287-43)*MAX('Inputs'!$B$33,'Inputs'!$B$29+'Inputs'!$B$31+'Inputs'!$B$32,'Inputs'!$B$30+'Inputs'!$B$31+'Inputs'!$B$32)/1000+'Inputs'!$B$21+'Inputs'!$B$7+'Inputs'!$B$10)+'Inputs'!$B$9)^2+('Inputs'!$B$8/2)^2)-(((287-43)*MAX('Inputs'!$B$33,'Inputs'!$B$29+'Inputs'!$B$31+'Inputs'!$B$32,'Inputs'!$B$30+'Inputs'!$B$31+'Inputs'!$B$32)/1000+'Inputs'!$B$21+'Inputs'!$B$7+'Inputs'!$B$10))/SQRT((((287-43)*MAX('Inputs'!$B$33,'Inputs'!$B$29+'Inputs'!$B$31+'Inputs'!$B$32,'Inputs'!$B$30+'Inputs'!$B$31+'Inputs'!$B$32)/1000+'Inputs'!$B$21+'Inputs'!$B$7+'Inputs'!$B$10))^2+('Inputs'!$B$8/2)^2))))*'Results'!$B$8))),"")</x:f>
        <x:v>45.46505287793468</x:v>
      </x:c>
      <x:c r="M287" t="n">
        <x:f>IF(AND(ISNUMBER('Results'!C7),ISNUMBER('Results'!B7),ISNUMBER('Results'!$B$8),ISNUMBER('Inputs'!$B$6),ISNUMBER('Inputs'!$B$7),ISNUMBER('Inputs'!$B$8),ISNUMBER('Inputs'!$B$9),ISNUMBER('Inputs'!$B$10),ISNUMBER('Inputs'!$B$21),ISNUMBER('Inputs'!$B$24),ISNUMBER('Inputs'!$B$28)),(('Results'!C7*(0.5*((((287-43)*MAX('Inputs'!$B$33,'Inputs'!$B$29+'Inputs'!$B$31+'Inputs'!$B$32,'Inputs'!$B$30+'Inputs'!$B$31+'Inputs'!$B$32)/1000+'Inputs'!$B$21)+'Inputs'!$B$9)/SQRT((((287-43)*MAX('Inputs'!$B$33,'Inputs'!$B$29+'Inputs'!$B$31+'Inputs'!$B$32,'Inputs'!$B$30+'Inputs'!$B$31+'Inputs'!$B$32)/1000+'Inputs'!$B$21)+'Inputs'!$B$9)^2+('Inputs'!$B$8/2)^2)-(((287-43)*MAX('Inputs'!$B$33,'Inputs'!$B$29+'Inputs'!$B$31+'Inputs'!$B$32,'Inputs'!$B$30+'Inputs'!$B$31+'Inputs'!$B$32)/1000+'Inputs'!$B$21))/SQRT((((287-43)*MAX('Inputs'!$B$33,'Inputs'!$B$29+'Inputs'!$B$31+'Inputs'!$B$32,'Inputs'!$B$30+'Inputs'!$B$31+'Inputs'!$B$32)/1000+'Inputs'!$B$21))^2+('Inputs'!$B$8/2)^2)))-'Results'!B7*(0.5*((((287-43)*MAX('Inputs'!$B$33,'Inputs'!$B$29+'Inputs'!$B$31+'Inputs'!$B$32,'Inputs'!$B$30+'Inputs'!$B$31+'Inputs'!$B$32)/1000+'Inputs'!$B$21+'Inputs'!$B$9+'Inputs'!$B$10)+'Inputs'!$B$7)/SQRT((((287-43)*MAX('Inputs'!$B$33,'Inputs'!$B$29+'Inputs'!$B$31+'Inputs'!$B$32,'Inputs'!$B$30+'Inputs'!$B$31+'Inputs'!$B$32)/1000+'Inputs'!$B$21+'Inputs'!$B$9+'Inputs'!$B$10)+'Inputs'!$B$7)^2+('Inputs'!$B$6/2)^2)-(((287-43)*MAX('Inputs'!$B$33,'Inputs'!$B$29+'Inputs'!$B$31+'Inputs'!$B$32,'Inputs'!$B$30+'Inputs'!$B$31+'Inputs'!$B$32)/1000+'Inputs'!$B$21+'Inputs'!$B$9+'Inputs'!$B$10))/SQRT((((287-43)*MAX('Inputs'!$B$33,'Inputs'!$B$29+'Inputs'!$B$31+'Inputs'!$B$32,'Inputs'!$B$30+'Inputs'!$B$31+'Inputs'!$B$32)/1000+'Inputs'!$B$21+'Inputs'!$B$9+'Inputs'!$B$10))^2+('Inputs'!$B$6/2)^2))))*'Results'!$B$8),"")</x:f>
        <x:v>39.81599851372525</x:v>
      </x:c>
      <x:c r="N287" t="n">
        <x:f>IF(AND(ISNUMBER('Results'!C7),ISNUMBER('Results'!B7),ISNUMBER('Results'!$B$8),ISNUMBER('Inputs'!$B$6),ISNUMBER('Inputs'!$B$7),ISNUMBER('Inputs'!$B$8),ISNUMBER('Inputs'!$B$9),ISNUMBER('Inputs'!$B$10),ISNUMBER('Inputs'!$B$21),ISNUMBER('Inputs'!$B$24),ISNUMBER('Inputs'!$B$28)),((('Results'!C7*(1-'Inputs'!$B$24)*(0.5*((((287-43)*MAX('Inputs'!$B$33,'Inputs'!$B$29+'Inputs'!$B$31+'Inputs'!$B$32,'Inputs'!$B$30+'Inputs'!$B$31+'Inputs'!$B$32)/1000+'Inputs'!$B$21)+'Inputs'!$B$9)/SQRT((((287-43)*MAX('Inputs'!$B$33,'Inputs'!$B$29+'Inputs'!$B$31+'Inputs'!$B$32,'Inputs'!$B$30+'Inputs'!$B$31+'Inputs'!$B$32)/1000+'Inputs'!$B$21)+'Inputs'!$B$9)^2+('Inputs'!$B$8/2)^2)-(((287-43)*MAX('Inputs'!$B$33,'Inputs'!$B$29+'Inputs'!$B$31+'Inputs'!$B$32,'Inputs'!$B$30+'Inputs'!$B$31+'Inputs'!$B$32)/1000+'Inputs'!$B$21))/SQRT((((287-43)*MAX('Inputs'!$B$33,'Inputs'!$B$29+'Inputs'!$B$31+'Inputs'!$B$32,'Inputs'!$B$30+'Inputs'!$B$31+'Inputs'!$B$32)/1000+'Inputs'!$B$21))^2+('Inputs'!$B$8/2)^2)))-'Results'!B7*(1+'Inputs'!$B$24)*(0.5*((((287-43)*MAX('Inputs'!$B$33,'Inputs'!$B$29+'Inputs'!$B$31+'Inputs'!$B$32,'Inputs'!$B$30+'Inputs'!$B$31+'Inputs'!$B$32)/1000+'Inputs'!$B$21+'Inputs'!$B$9+'Inputs'!$B$10)+'Inputs'!$B$7)/SQRT((((287-43)*MAX('Inputs'!$B$33,'Inputs'!$B$29+'Inputs'!$B$31+'Inputs'!$B$32,'Inputs'!$B$30+'Inputs'!$B$31+'Inputs'!$B$32)/1000+'Inputs'!$B$21+'Inputs'!$B$9+'Inputs'!$B$10)+'Inputs'!$B$7)^2+('Inputs'!$B$6/2)^2)-(((287-43)*MAX('Inputs'!$B$33,'Inputs'!$B$29+'Inputs'!$B$31+'Inputs'!$B$32,'Inputs'!$B$30+'Inputs'!$B$31+'Inputs'!$B$32)/1000+'Inputs'!$B$21+'Inputs'!$B$9+'Inputs'!$B$10))/SQRT((((287-43)*MAX('Inputs'!$B$33,'Inputs'!$B$29+'Inputs'!$B$31+'Inputs'!$B$32,'Inputs'!$B$30+'Inputs'!$B$31+'Inputs'!$B$32)/1000+'Inputs'!$B$21+'Inputs'!$B$9+'Inputs'!$B$10))^2+('Inputs'!$B$6/2)^2))))*'Results'!$B$8)-'Inputs'!$B$28*ABS((('Results'!C7*(1-'Inputs'!$B$24)*(0.5*((((287-43)*MAX('Inputs'!$B$33,'Inputs'!$B$29+'Inputs'!$B$31+'Inputs'!$B$32,'Inputs'!$B$30+'Inputs'!$B$31+'Inputs'!$B$32)/1000+'Inputs'!$B$21)+'Inputs'!$B$9)/SQRT((((287-43)*MAX('Inputs'!$B$33,'Inputs'!$B$29+'Inputs'!$B$31+'Inputs'!$B$32,'Inputs'!$B$30+'Inputs'!$B$31+'Inputs'!$B$32)/1000+'Inputs'!$B$21)+'Inputs'!$B$9)^2+('Inputs'!$B$8/2)^2)-(((287-43)*MAX('Inputs'!$B$33,'Inputs'!$B$29+'Inputs'!$B$31+'Inputs'!$B$32,'Inputs'!$B$30+'Inputs'!$B$31+'Inputs'!$B$32)/1000+'Inputs'!$B$21))/SQRT((((287-43)*MAX('Inputs'!$B$33,'Inputs'!$B$29+'Inputs'!$B$31+'Inputs'!$B$32,'Inputs'!$B$30+'Inputs'!$B$31+'Inputs'!$B$32)/1000+'Inputs'!$B$21))^2+('Inputs'!$B$8/2)^2)))-'Results'!B7*(1+'Inputs'!$B$24)*(0.5*((((287-43)*MAX('Inputs'!$B$33,'Inputs'!$B$29+'Inputs'!$B$31+'Inputs'!$B$32,'Inputs'!$B$30+'Inputs'!$B$31+'Inputs'!$B$32)/1000+'Inputs'!$B$21+'Inputs'!$B$9+'Inputs'!$B$10)+'Inputs'!$B$7)/SQRT((((287-43)*MAX('Inputs'!$B$33,'Inputs'!$B$29+'Inputs'!$B$31+'Inputs'!$B$32,'Inputs'!$B$30+'Inputs'!$B$31+'Inputs'!$B$32)/1000+'Inputs'!$B$21+'Inputs'!$B$9+'Inputs'!$B$10)+'Inputs'!$B$7)^2+('Inputs'!$B$6/2)^2)-(((287-43)*MAX('Inputs'!$B$33,'Inputs'!$B$29+'Inputs'!$B$31+'Inputs'!$B$32,'Inputs'!$B$30+'Inputs'!$B$31+'Inputs'!$B$32)/1000+'Inputs'!$B$21+'Inputs'!$B$9+'Inputs'!$B$10))/SQRT((((287-43)*MAX('Inputs'!$B$33,'Inputs'!$B$29+'Inputs'!$B$31+'Inputs'!$B$32,'Inputs'!$B$30+'Inputs'!$B$31+'Inputs'!$B$32)/1000+'Inputs'!$B$21+'Inputs'!$B$9+'Inputs'!$B$10))^2+('Inputs'!$B$6/2)^2))))*'Results'!$B$8))),"")</x:f>
        <x:v>36.19028413749315</x:v>
      </x:c>
      <x:c r="O287" t="n">
        <x:f>IF(AND(ISNUMBER('Results'!C7),ISNUMBER('Results'!B7),ISNUMBER('Results'!$B$8),ISNUMBER('Inputs'!$B$6),ISNUMBER('Inputs'!$B$7),ISNUMBER('Inputs'!$B$8),ISNUMBER('Inputs'!$B$9),ISNUMBER('Inputs'!$B$10),ISNUMBER('Inputs'!$B$21),ISNUMBER('Inputs'!$B$24),ISNUMBER('Inputs'!$B$28)),((('Results'!C7*(1+'Inputs'!$B$24)*(0.5*((((287-43)*MAX('Inputs'!$B$33,'Inputs'!$B$29+'Inputs'!$B$31+'Inputs'!$B$32,'Inputs'!$B$30+'Inputs'!$B$31+'Inputs'!$B$32)/1000+'Inputs'!$B$21)+'Inputs'!$B$9)/SQRT((((287-43)*MAX('Inputs'!$B$33,'Inputs'!$B$29+'Inputs'!$B$31+'Inputs'!$B$32,'Inputs'!$B$30+'Inputs'!$B$31+'Inputs'!$B$32)/1000+'Inputs'!$B$21)+'Inputs'!$B$9)^2+('Inputs'!$B$8/2)^2)-(((287-43)*MAX('Inputs'!$B$33,'Inputs'!$B$29+'Inputs'!$B$31+'Inputs'!$B$32,'Inputs'!$B$30+'Inputs'!$B$31+'Inputs'!$B$32)/1000+'Inputs'!$B$21))/SQRT((((287-43)*MAX('Inputs'!$B$33,'Inputs'!$B$29+'Inputs'!$B$31+'Inputs'!$B$32,'Inputs'!$B$30+'Inputs'!$B$31+'Inputs'!$B$32)/1000+'Inputs'!$B$21))^2+('Inputs'!$B$8/2)^2)))-'Results'!B7*(1-'Inputs'!$B$24)*(0.5*((((287-43)*MAX('Inputs'!$B$33,'Inputs'!$B$29+'Inputs'!$B$31+'Inputs'!$B$32,'Inputs'!$B$30+'Inputs'!$B$31+'Inputs'!$B$32)/1000+'Inputs'!$B$21+'Inputs'!$B$9+'Inputs'!$B$10)+'Inputs'!$B$7)/SQRT((((287-43)*MAX('Inputs'!$B$33,'Inputs'!$B$29+'Inputs'!$B$31+'Inputs'!$B$32,'Inputs'!$B$30+'Inputs'!$B$31+'Inputs'!$B$32)/1000+'Inputs'!$B$21+'Inputs'!$B$9+'Inputs'!$B$10)+'Inputs'!$B$7)^2+('Inputs'!$B$6/2)^2)-(((287-43)*MAX('Inputs'!$B$33,'Inputs'!$B$29+'Inputs'!$B$31+'Inputs'!$B$32,'Inputs'!$B$30+'Inputs'!$B$31+'Inputs'!$B$32)/1000+'Inputs'!$B$21+'Inputs'!$B$9+'Inputs'!$B$10))/SQRT((((287-43)*MAX('Inputs'!$B$33,'Inputs'!$B$29+'Inputs'!$B$31+'Inputs'!$B$32,'Inputs'!$B$30+'Inputs'!$B$31+'Inputs'!$B$32)/1000+'Inputs'!$B$21+'Inputs'!$B$9+'Inputs'!$B$10))^2+('Inputs'!$B$6/2)^2))))*'Results'!$B$8)+'Inputs'!$B$28*ABS((('Results'!C7*(1+'Inputs'!$B$24)*(0.5*((((287-43)*MAX('Inputs'!$B$33,'Inputs'!$B$29+'Inputs'!$B$31+'Inputs'!$B$32,'Inputs'!$B$30+'Inputs'!$B$31+'Inputs'!$B$32)/1000+'Inputs'!$B$21)+'Inputs'!$B$9)/SQRT((((287-43)*MAX('Inputs'!$B$33,'Inputs'!$B$29+'Inputs'!$B$31+'Inputs'!$B$32,'Inputs'!$B$30+'Inputs'!$B$31+'Inputs'!$B$32)/1000+'Inputs'!$B$21)+'Inputs'!$B$9)^2+('Inputs'!$B$8/2)^2)-(((287-43)*MAX('Inputs'!$B$33,'Inputs'!$B$29+'Inputs'!$B$31+'Inputs'!$B$32,'Inputs'!$B$30+'Inputs'!$B$31+'Inputs'!$B$32)/1000+'Inputs'!$B$21))/SQRT((((287-43)*MAX('Inputs'!$B$33,'Inputs'!$B$29+'Inputs'!$B$31+'Inputs'!$B$32,'Inputs'!$B$30+'Inputs'!$B$31+'Inputs'!$B$32)/1000+'Inputs'!$B$21))^2+('Inputs'!$B$8/2)^2)))-'Results'!B7*(1-'Inputs'!$B$24)*(0.5*((((287-43)*MAX('Inputs'!$B$33,'Inputs'!$B$29+'Inputs'!$B$31+'Inputs'!$B$32,'Inputs'!$B$30+'Inputs'!$B$31+'Inputs'!$B$32)/1000+'Inputs'!$B$21+'Inputs'!$B$9+'Inputs'!$B$10)+'Inputs'!$B$7)/SQRT((((287-43)*MAX('Inputs'!$B$33,'Inputs'!$B$29+'Inputs'!$B$31+'Inputs'!$B$32,'Inputs'!$B$30+'Inputs'!$B$31+'Inputs'!$B$32)/1000+'Inputs'!$B$21+'Inputs'!$B$9+'Inputs'!$B$10)+'Inputs'!$B$7)^2+('Inputs'!$B$6/2)^2)-(((287-43)*MAX('Inputs'!$B$33,'Inputs'!$B$29+'Inputs'!$B$31+'Inputs'!$B$32,'Inputs'!$B$30+'Inputs'!$B$31+'Inputs'!$B$32)/1000+'Inputs'!$B$21+'Inputs'!$B$9+'Inputs'!$B$10))/SQRT((((287-43)*MAX('Inputs'!$B$33,'Inputs'!$B$29+'Inputs'!$B$31+'Inputs'!$B$32,'Inputs'!$B$30+'Inputs'!$B$31+'Inputs'!$B$32)/1000+'Inputs'!$B$21+'Inputs'!$B$9+'Inputs'!$B$10))^2+('Inputs'!$B$6/2)^2))))*'Results'!$B$8))),"")</x:f>
        <x:v>43.61380914790954</x:v>
      </x:c>
      <x:c r="P287" t="n">
        <x:f>IF(AND(MAX(J287,J286)&gt;0,J287&gt;J286+0.00000001),1,0)</x:f>
        <x:v>0</x:v>
      </x:c>
      <x:c r="Q287" t="n">
        <x:f>IF(AND(MAX(K287,K286)&gt;0,K287&gt;K286+0.00000001),1,0)</x:f>
        <x:v>0</x:v>
      </x:c>
      <x:c r="R287" t="n">
        <x:f>IF(AND(MAX(L287,L286)&gt;0,L287&gt;L286+0.00000001),1,0)</x:f>
        <x:v>0</x:v>
      </x:c>
      <x:c r="S287" t="n">
        <x:f>IF(AND(MAX(M287,M286)&gt;0,M287&gt;M286+0.00000001),1,0)</x:f>
        <x:v>0</x:v>
      </x:c>
      <x:c r="T287" t="n">
        <x:f>IF(AND(MAX(N287,N286)&gt;0,N287&gt;N286+0.00000001),1,0)</x:f>
        <x:v>0</x:v>
      </x:c>
      <x:c r="U287" t="n">
        <x:f>IF(AND(MAX(O287,O286)&gt;0,O287&gt;O286+0.00000001),1,0)</x:f>
        <x:v>0</x:v>
      </x:c>
    </x:row>
    <x:row r="288">
      <x:c r="J288" t="n">
        <x:f>IF(AND(ISNUMBER('Results'!B7),ISNUMBER('Results'!C7),ISNUMBER('Results'!$B$8),ISNUMBER('Inputs'!$B$6),ISNUMBER('Inputs'!$B$7),ISNUMBER('Inputs'!$B$8),ISNUMBER('Inputs'!$B$9),ISNUMBER('Inputs'!$B$10),ISNUMBER('Inputs'!$B$21),ISNUMBER('Inputs'!$B$24),ISNUMBER('Inputs'!$B$28)),(('Results'!B7*(0.5*((((288-43)*MAX('Inputs'!$B$33,'Inputs'!$B$29+'Inputs'!$B$31+'Inputs'!$B$32,'Inputs'!$B$30+'Inputs'!$B$31+'Inputs'!$B$32)/1000+'Inputs'!$B$21)+'Inputs'!$B$7)/SQRT((((288-43)*MAX('Inputs'!$B$33,'Inputs'!$B$29+'Inputs'!$B$31+'Inputs'!$B$32,'Inputs'!$B$30+'Inputs'!$B$31+'Inputs'!$B$32)/1000+'Inputs'!$B$21)+'Inputs'!$B$7)^2+('Inputs'!$B$6/2)^2)-(((288-43)*MAX('Inputs'!$B$33,'Inputs'!$B$29+'Inputs'!$B$31+'Inputs'!$B$32,'Inputs'!$B$30+'Inputs'!$B$31+'Inputs'!$B$32)/1000+'Inputs'!$B$21))/SQRT((((288-43)*MAX('Inputs'!$B$33,'Inputs'!$B$29+'Inputs'!$B$31+'Inputs'!$B$32,'Inputs'!$B$30+'Inputs'!$B$31+'Inputs'!$B$32)/1000+'Inputs'!$B$21))^2+('Inputs'!$B$6/2)^2)))-'Results'!C7*(0.5*((((288-43)*MAX('Inputs'!$B$33,'Inputs'!$B$29+'Inputs'!$B$31+'Inputs'!$B$32,'Inputs'!$B$30+'Inputs'!$B$31+'Inputs'!$B$32)/1000+'Inputs'!$B$21+'Inputs'!$B$7+'Inputs'!$B$10)+'Inputs'!$B$9)/SQRT((((288-43)*MAX('Inputs'!$B$33,'Inputs'!$B$29+'Inputs'!$B$31+'Inputs'!$B$32,'Inputs'!$B$30+'Inputs'!$B$31+'Inputs'!$B$32)/1000+'Inputs'!$B$21+'Inputs'!$B$7+'Inputs'!$B$10)+'Inputs'!$B$9)^2+('Inputs'!$B$8/2)^2)-(((288-43)*MAX('Inputs'!$B$33,'Inputs'!$B$29+'Inputs'!$B$31+'Inputs'!$B$32,'Inputs'!$B$30+'Inputs'!$B$31+'Inputs'!$B$32)/1000+'Inputs'!$B$21+'Inputs'!$B$7+'Inputs'!$B$10))/SQRT((((288-43)*MAX('Inputs'!$B$33,'Inputs'!$B$29+'Inputs'!$B$31+'Inputs'!$B$32,'Inputs'!$B$30+'Inputs'!$B$31+'Inputs'!$B$32)/1000+'Inputs'!$B$21+'Inputs'!$B$7+'Inputs'!$B$10))^2+('Inputs'!$B$8/2)^2))))*'Results'!$B$8),"")</x:f>
        <x:v>41.065636174334195</x:v>
      </x:c>
      <x:c r="K288" t="n">
        <x:f>IF(AND(ISNUMBER('Results'!B7),ISNUMBER('Results'!C7),ISNUMBER('Results'!$B$8),ISNUMBER('Inputs'!$B$6),ISNUMBER('Inputs'!$B$7),ISNUMBER('Inputs'!$B$8),ISNUMBER('Inputs'!$B$9),ISNUMBER('Inputs'!$B$10),ISNUMBER('Inputs'!$B$21),ISNUMBER('Inputs'!$B$24),ISNUMBER('Inputs'!$B$28)),((('Results'!B7*(1-'Inputs'!$B$24)*(0.5*((((288-43)*MAX('Inputs'!$B$33,'Inputs'!$B$29+'Inputs'!$B$31+'Inputs'!$B$32,'Inputs'!$B$30+'Inputs'!$B$31+'Inputs'!$B$32)/1000+'Inputs'!$B$21)+'Inputs'!$B$7)/SQRT((((288-43)*MAX('Inputs'!$B$33,'Inputs'!$B$29+'Inputs'!$B$31+'Inputs'!$B$32,'Inputs'!$B$30+'Inputs'!$B$31+'Inputs'!$B$32)/1000+'Inputs'!$B$21)+'Inputs'!$B$7)^2+('Inputs'!$B$6/2)^2)-(((288-43)*MAX('Inputs'!$B$33,'Inputs'!$B$29+'Inputs'!$B$31+'Inputs'!$B$32,'Inputs'!$B$30+'Inputs'!$B$31+'Inputs'!$B$32)/1000+'Inputs'!$B$21))/SQRT((((288-43)*MAX('Inputs'!$B$33,'Inputs'!$B$29+'Inputs'!$B$31+'Inputs'!$B$32,'Inputs'!$B$30+'Inputs'!$B$31+'Inputs'!$B$32)/1000+'Inputs'!$B$21))^2+('Inputs'!$B$6/2)^2)))-'Results'!C7*(1+'Inputs'!$B$24)*(0.5*((((288-43)*MAX('Inputs'!$B$33,'Inputs'!$B$29+'Inputs'!$B$31+'Inputs'!$B$32,'Inputs'!$B$30+'Inputs'!$B$31+'Inputs'!$B$32)/1000+'Inputs'!$B$21+'Inputs'!$B$7+'Inputs'!$B$10)+'Inputs'!$B$9)/SQRT((((288-43)*MAX('Inputs'!$B$33,'Inputs'!$B$29+'Inputs'!$B$31+'Inputs'!$B$32,'Inputs'!$B$30+'Inputs'!$B$31+'Inputs'!$B$32)/1000+'Inputs'!$B$21+'Inputs'!$B$7+'Inputs'!$B$10)+'Inputs'!$B$9)^2+('Inputs'!$B$8/2)^2)-(((288-43)*MAX('Inputs'!$B$33,'Inputs'!$B$29+'Inputs'!$B$31+'Inputs'!$B$32,'Inputs'!$B$30+'Inputs'!$B$31+'Inputs'!$B$32)/1000+'Inputs'!$B$21+'Inputs'!$B$7+'Inputs'!$B$10))/SQRT((((288-43)*MAX('Inputs'!$B$33,'Inputs'!$B$29+'Inputs'!$B$31+'Inputs'!$B$32,'Inputs'!$B$30+'Inputs'!$B$31+'Inputs'!$B$32)/1000+'Inputs'!$B$21+'Inputs'!$B$7+'Inputs'!$B$10))^2+('Inputs'!$B$8/2)^2))))*'Results'!$B$8)-'Inputs'!$B$28*ABS((('Results'!B7*(1-'Inputs'!$B$24)*(0.5*((((288-43)*MAX('Inputs'!$B$33,'Inputs'!$B$29+'Inputs'!$B$31+'Inputs'!$B$32,'Inputs'!$B$30+'Inputs'!$B$31+'Inputs'!$B$32)/1000+'Inputs'!$B$21)+'Inputs'!$B$7)/SQRT((((288-43)*MAX('Inputs'!$B$33,'Inputs'!$B$29+'Inputs'!$B$31+'Inputs'!$B$32,'Inputs'!$B$30+'Inputs'!$B$31+'Inputs'!$B$32)/1000+'Inputs'!$B$21)+'Inputs'!$B$7)^2+('Inputs'!$B$6/2)^2)-(((288-43)*MAX('Inputs'!$B$33,'Inputs'!$B$29+'Inputs'!$B$31+'Inputs'!$B$32,'Inputs'!$B$30+'Inputs'!$B$31+'Inputs'!$B$32)/1000+'Inputs'!$B$21))/SQRT((((288-43)*MAX('Inputs'!$B$33,'Inputs'!$B$29+'Inputs'!$B$31+'Inputs'!$B$32,'Inputs'!$B$30+'Inputs'!$B$31+'Inputs'!$B$32)/1000+'Inputs'!$B$21))^2+('Inputs'!$B$6/2)^2)))-'Results'!C7*(1+'Inputs'!$B$24)*(0.5*((((288-43)*MAX('Inputs'!$B$33,'Inputs'!$B$29+'Inputs'!$B$31+'Inputs'!$B$32,'Inputs'!$B$30+'Inputs'!$B$31+'Inputs'!$B$32)/1000+'Inputs'!$B$21+'Inputs'!$B$7+'Inputs'!$B$10)+'Inputs'!$B$9)/SQRT((((288-43)*MAX('Inputs'!$B$33,'Inputs'!$B$29+'Inputs'!$B$31+'Inputs'!$B$32,'Inputs'!$B$30+'Inputs'!$B$31+'Inputs'!$B$32)/1000+'Inputs'!$B$21+'Inputs'!$B$7+'Inputs'!$B$10)+'Inputs'!$B$9)^2+('Inputs'!$B$8/2)^2)-(((288-43)*MAX('Inputs'!$B$33,'Inputs'!$B$29+'Inputs'!$B$31+'Inputs'!$B$32,'Inputs'!$B$30+'Inputs'!$B$31+'Inputs'!$B$32)/1000+'Inputs'!$B$21+'Inputs'!$B$7+'Inputs'!$B$10))/SQRT((((288-43)*MAX('Inputs'!$B$33,'Inputs'!$B$29+'Inputs'!$B$31+'Inputs'!$B$32,'Inputs'!$B$30+'Inputs'!$B$31+'Inputs'!$B$32)/1000+'Inputs'!$B$21+'Inputs'!$B$7+'Inputs'!$B$10))^2+('Inputs'!$B$8/2)^2))))*'Results'!$B$8))),"")</x:f>
        <x:v>37.377787907672364</x:v>
      </x:c>
      <x:c r="L288" t="n">
        <x:f>IF(AND(ISNUMBER('Results'!B7),ISNUMBER('Results'!C7),ISNUMBER('Results'!$B$8),ISNUMBER('Inputs'!$B$6),ISNUMBER('Inputs'!$B$7),ISNUMBER('Inputs'!$B$8),ISNUMBER('Inputs'!$B$9),ISNUMBER('Inputs'!$B$10),ISNUMBER('Inputs'!$B$21),ISNUMBER('Inputs'!$B$24),ISNUMBER('Inputs'!$B$28)),((('Results'!B7*(1+'Inputs'!$B$24)*(0.5*((((288-43)*MAX('Inputs'!$B$33,'Inputs'!$B$29+'Inputs'!$B$31+'Inputs'!$B$32,'Inputs'!$B$30+'Inputs'!$B$31+'Inputs'!$B$32)/1000+'Inputs'!$B$21)+'Inputs'!$B$7)/SQRT((((288-43)*MAX('Inputs'!$B$33,'Inputs'!$B$29+'Inputs'!$B$31+'Inputs'!$B$32,'Inputs'!$B$30+'Inputs'!$B$31+'Inputs'!$B$32)/1000+'Inputs'!$B$21)+'Inputs'!$B$7)^2+('Inputs'!$B$6/2)^2)-(((288-43)*MAX('Inputs'!$B$33,'Inputs'!$B$29+'Inputs'!$B$31+'Inputs'!$B$32,'Inputs'!$B$30+'Inputs'!$B$31+'Inputs'!$B$32)/1000+'Inputs'!$B$21))/SQRT((((288-43)*MAX('Inputs'!$B$33,'Inputs'!$B$29+'Inputs'!$B$31+'Inputs'!$B$32,'Inputs'!$B$30+'Inputs'!$B$31+'Inputs'!$B$32)/1000+'Inputs'!$B$21))^2+('Inputs'!$B$6/2)^2)))-'Results'!C7*(1-'Inputs'!$B$24)*(0.5*((((288-43)*MAX('Inputs'!$B$33,'Inputs'!$B$29+'Inputs'!$B$31+'Inputs'!$B$32,'Inputs'!$B$30+'Inputs'!$B$31+'Inputs'!$B$32)/1000+'Inputs'!$B$21+'Inputs'!$B$7+'Inputs'!$B$10)+'Inputs'!$B$9)/SQRT((((288-43)*MAX('Inputs'!$B$33,'Inputs'!$B$29+'Inputs'!$B$31+'Inputs'!$B$32,'Inputs'!$B$30+'Inputs'!$B$31+'Inputs'!$B$32)/1000+'Inputs'!$B$21+'Inputs'!$B$7+'Inputs'!$B$10)+'Inputs'!$B$9)^2+('Inputs'!$B$8/2)^2)-(((288-43)*MAX('Inputs'!$B$33,'Inputs'!$B$29+'Inputs'!$B$31+'Inputs'!$B$32,'Inputs'!$B$30+'Inputs'!$B$31+'Inputs'!$B$32)/1000+'Inputs'!$B$21+'Inputs'!$B$7+'Inputs'!$B$10))/SQRT((((288-43)*MAX('Inputs'!$B$33,'Inputs'!$B$29+'Inputs'!$B$31+'Inputs'!$B$32,'Inputs'!$B$30+'Inputs'!$B$31+'Inputs'!$B$32)/1000+'Inputs'!$B$21+'Inputs'!$B$7+'Inputs'!$B$10))^2+('Inputs'!$B$8/2)^2))))*'Results'!$B$8)+'Inputs'!$B$28*ABS((('Results'!B7*(1+'Inputs'!$B$24)*(0.5*((((288-43)*MAX('Inputs'!$B$33,'Inputs'!$B$29+'Inputs'!$B$31+'Inputs'!$B$32,'Inputs'!$B$30+'Inputs'!$B$31+'Inputs'!$B$32)/1000+'Inputs'!$B$21)+'Inputs'!$B$7)/SQRT((((288-43)*MAX('Inputs'!$B$33,'Inputs'!$B$29+'Inputs'!$B$31+'Inputs'!$B$32,'Inputs'!$B$30+'Inputs'!$B$31+'Inputs'!$B$32)/1000+'Inputs'!$B$21)+'Inputs'!$B$7)^2+('Inputs'!$B$6/2)^2)-(((288-43)*MAX('Inputs'!$B$33,'Inputs'!$B$29+'Inputs'!$B$31+'Inputs'!$B$32,'Inputs'!$B$30+'Inputs'!$B$31+'Inputs'!$B$32)/1000+'Inputs'!$B$21))/SQRT((((288-43)*MAX('Inputs'!$B$33,'Inputs'!$B$29+'Inputs'!$B$31+'Inputs'!$B$32,'Inputs'!$B$30+'Inputs'!$B$31+'Inputs'!$B$32)/1000+'Inputs'!$B$21))^2+('Inputs'!$B$6/2)^2)))-'Results'!C7*(1-'Inputs'!$B$24)*(0.5*((((288-43)*MAX('Inputs'!$B$33,'Inputs'!$B$29+'Inputs'!$B$31+'Inputs'!$B$32,'Inputs'!$B$30+'Inputs'!$B$31+'Inputs'!$B$32)/1000+'Inputs'!$B$21+'Inputs'!$B$7+'Inputs'!$B$10)+'Inputs'!$B$9)/SQRT((((288-43)*MAX('Inputs'!$B$33,'Inputs'!$B$29+'Inputs'!$B$31+'Inputs'!$B$32,'Inputs'!$B$30+'Inputs'!$B$31+'Inputs'!$B$32)/1000+'Inputs'!$B$21+'Inputs'!$B$7+'Inputs'!$B$10)+'Inputs'!$B$9)^2+('Inputs'!$B$8/2)^2)-(((288-43)*MAX('Inputs'!$B$33,'Inputs'!$B$29+'Inputs'!$B$31+'Inputs'!$B$32,'Inputs'!$B$30+'Inputs'!$B$31+'Inputs'!$B$32)/1000+'Inputs'!$B$21+'Inputs'!$B$7+'Inputs'!$B$10))/SQRT((((288-43)*MAX('Inputs'!$B$33,'Inputs'!$B$29+'Inputs'!$B$31+'Inputs'!$B$32,'Inputs'!$B$30+'Inputs'!$B$31+'Inputs'!$B$32)/1000+'Inputs'!$B$21+'Inputs'!$B$7+'Inputs'!$B$10))^2+('Inputs'!$B$8/2)^2))))*'Results'!$B$8))),"")</x:f>
        <x:v>44.925544068148135</x:v>
      </x:c>
      <x:c r="M288" t="n">
        <x:f>IF(AND(ISNUMBER('Results'!C7),ISNUMBER('Results'!B7),ISNUMBER('Results'!$B$8),ISNUMBER('Inputs'!$B$6),ISNUMBER('Inputs'!$B$7),ISNUMBER('Inputs'!$B$8),ISNUMBER('Inputs'!$B$9),ISNUMBER('Inputs'!$B$10),ISNUMBER('Inputs'!$B$21),ISNUMBER('Inputs'!$B$24),ISNUMBER('Inputs'!$B$28)),(('Results'!C7*(0.5*((((288-43)*MAX('Inputs'!$B$33,'Inputs'!$B$29+'Inputs'!$B$31+'Inputs'!$B$32,'Inputs'!$B$30+'Inputs'!$B$31+'Inputs'!$B$32)/1000+'Inputs'!$B$21)+'Inputs'!$B$9)/SQRT((((288-43)*MAX('Inputs'!$B$33,'Inputs'!$B$29+'Inputs'!$B$31+'Inputs'!$B$32,'Inputs'!$B$30+'Inputs'!$B$31+'Inputs'!$B$32)/1000+'Inputs'!$B$21)+'Inputs'!$B$9)^2+('Inputs'!$B$8/2)^2)-(((288-43)*MAX('Inputs'!$B$33,'Inputs'!$B$29+'Inputs'!$B$31+'Inputs'!$B$32,'Inputs'!$B$30+'Inputs'!$B$31+'Inputs'!$B$32)/1000+'Inputs'!$B$21))/SQRT((((288-43)*MAX('Inputs'!$B$33,'Inputs'!$B$29+'Inputs'!$B$31+'Inputs'!$B$32,'Inputs'!$B$30+'Inputs'!$B$31+'Inputs'!$B$32)/1000+'Inputs'!$B$21))^2+('Inputs'!$B$8/2)^2)))-'Results'!B7*(0.5*((((288-43)*MAX('Inputs'!$B$33,'Inputs'!$B$29+'Inputs'!$B$31+'Inputs'!$B$32,'Inputs'!$B$30+'Inputs'!$B$31+'Inputs'!$B$32)/1000+'Inputs'!$B$21+'Inputs'!$B$9+'Inputs'!$B$10)+'Inputs'!$B$7)/SQRT((((288-43)*MAX('Inputs'!$B$33,'Inputs'!$B$29+'Inputs'!$B$31+'Inputs'!$B$32,'Inputs'!$B$30+'Inputs'!$B$31+'Inputs'!$B$32)/1000+'Inputs'!$B$21+'Inputs'!$B$9+'Inputs'!$B$10)+'Inputs'!$B$7)^2+('Inputs'!$B$6/2)^2)-(((288-43)*MAX('Inputs'!$B$33,'Inputs'!$B$29+'Inputs'!$B$31+'Inputs'!$B$32,'Inputs'!$B$30+'Inputs'!$B$31+'Inputs'!$B$32)/1000+'Inputs'!$B$21+'Inputs'!$B$9+'Inputs'!$B$10))/SQRT((((288-43)*MAX('Inputs'!$B$33,'Inputs'!$B$29+'Inputs'!$B$31+'Inputs'!$B$32,'Inputs'!$B$30+'Inputs'!$B$31+'Inputs'!$B$32)/1000+'Inputs'!$B$21+'Inputs'!$B$9+'Inputs'!$B$10))^2+('Inputs'!$B$6/2)^2))))*'Results'!$B$8),"")</x:f>
        <x:v>39.335863540077966</x:v>
      </x:c>
      <x:c r="N288" t="n">
        <x:f>IF(AND(ISNUMBER('Results'!C7),ISNUMBER('Results'!B7),ISNUMBER('Results'!$B$8),ISNUMBER('Inputs'!$B$6),ISNUMBER('Inputs'!$B$7),ISNUMBER('Inputs'!$B$8),ISNUMBER('Inputs'!$B$9),ISNUMBER('Inputs'!$B$10),ISNUMBER('Inputs'!$B$21),ISNUMBER('Inputs'!$B$24),ISNUMBER('Inputs'!$B$28)),((('Results'!C7*(1-'Inputs'!$B$24)*(0.5*((((288-43)*MAX('Inputs'!$B$33,'Inputs'!$B$29+'Inputs'!$B$31+'Inputs'!$B$32,'Inputs'!$B$30+'Inputs'!$B$31+'Inputs'!$B$32)/1000+'Inputs'!$B$21)+'Inputs'!$B$9)/SQRT((((288-43)*MAX('Inputs'!$B$33,'Inputs'!$B$29+'Inputs'!$B$31+'Inputs'!$B$32,'Inputs'!$B$30+'Inputs'!$B$31+'Inputs'!$B$32)/1000+'Inputs'!$B$21)+'Inputs'!$B$9)^2+('Inputs'!$B$8/2)^2)-(((288-43)*MAX('Inputs'!$B$33,'Inputs'!$B$29+'Inputs'!$B$31+'Inputs'!$B$32,'Inputs'!$B$30+'Inputs'!$B$31+'Inputs'!$B$32)/1000+'Inputs'!$B$21))/SQRT((((288-43)*MAX('Inputs'!$B$33,'Inputs'!$B$29+'Inputs'!$B$31+'Inputs'!$B$32,'Inputs'!$B$30+'Inputs'!$B$31+'Inputs'!$B$32)/1000+'Inputs'!$B$21))^2+('Inputs'!$B$8/2)^2)))-'Results'!B7*(1+'Inputs'!$B$24)*(0.5*((((288-43)*MAX('Inputs'!$B$33,'Inputs'!$B$29+'Inputs'!$B$31+'Inputs'!$B$32,'Inputs'!$B$30+'Inputs'!$B$31+'Inputs'!$B$32)/1000+'Inputs'!$B$21+'Inputs'!$B$9+'Inputs'!$B$10)+'Inputs'!$B$7)/SQRT((((288-43)*MAX('Inputs'!$B$33,'Inputs'!$B$29+'Inputs'!$B$31+'Inputs'!$B$32,'Inputs'!$B$30+'Inputs'!$B$31+'Inputs'!$B$32)/1000+'Inputs'!$B$21+'Inputs'!$B$9+'Inputs'!$B$10)+'Inputs'!$B$7)^2+('Inputs'!$B$6/2)^2)-(((288-43)*MAX('Inputs'!$B$33,'Inputs'!$B$29+'Inputs'!$B$31+'Inputs'!$B$32,'Inputs'!$B$30+'Inputs'!$B$31+'Inputs'!$B$32)/1000+'Inputs'!$B$21+'Inputs'!$B$9+'Inputs'!$B$10))/SQRT((((288-43)*MAX('Inputs'!$B$33,'Inputs'!$B$29+'Inputs'!$B$31+'Inputs'!$B$32,'Inputs'!$B$30+'Inputs'!$B$31+'Inputs'!$B$32)/1000+'Inputs'!$B$21+'Inputs'!$B$9+'Inputs'!$B$10))^2+('Inputs'!$B$6/2)^2))))*'Results'!$B$8)-'Inputs'!$B$28*ABS((('Results'!C7*(1-'Inputs'!$B$24)*(0.5*((((288-43)*MAX('Inputs'!$B$33,'Inputs'!$B$29+'Inputs'!$B$31+'Inputs'!$B$32,'Inputs'!$B$30+'Inputs'!$B$31+'Inputs'!$B$32)/1000+'Inputs'!$B$21)+'Inputs'!$B$9)/SQRT((((288-43)*MAX('Inputs'!$B$33,'Inputs'!$B$29+'Inputs'!$B$31+'Inputs'!$B$32,'Inputs'!$B$30+'Inputs'!$B$31+'Inputs'!$B$32)/1000+'Inputs'!$B$21)+'Inputs'!$B$9)^2+('Inputs'!$B$8/2)^2)-(((288-43)*MAX('Inputs'!$B$33,'Inputs'!$B$29+'Inputs'!$B$31+'Inputs'!$B$32,'Inputs'!$B$30+'Inputs'!$B$31+'Inputs'!$B$32)/1000+'Inputs'!$B$21))/SQRT((((288-43)*MAX('Inputs'!$B$33,'Inputs'!$B$29+'Inputs'!$B$31+'Inputs'!$B$32,'Inputs'!$B$30+'Inputs'!$B$31+'Inputs'!$B$32)/1000+'Inputs'!$B$21))^2+('Inputs'!$B$8/2)^2)))-'Results'!B7*(1+'Inputs'!$B$24)*(0.5*((((288-43)*MAX('Inputs'!$B$33,'Inputs'!$B$29+'Inputs'!$B$31+'Inputs'!$B$32,'Inputs'!$B$30+'Inputs'!$B$31+'Inputs'!$B$32)/1000+'Inputs'!$B$21+'Inputs'!$B$9+'Inputs'!$B$10)+'Inputs'!$B$7)/SQRT((((288-43)*MAX('Inputs'!$B$33,'Inputs'!$B$29+'Inputs'!$B$31+'Inputs'!$B$32,'Inputs'!$B$30+'Inputs'!$B$31+'Inputs'!$B$32)/1000+'Inputs'!$B$21+'Inputs'!$B$9+'Inputs'!$B$10)+'Inputs'!$B$7)^2+('Inputs'!$B$6/2)^2)-(((288-43)*MAX('Inputs'!$B$33,'Inputs'!$B$29+'Inputs'!$B$31+'Inputs'!$B$32,'Inputs'!$B$30+'Inputs'!$B$31+'Inputs'!$B$32)/1000+'Inputs'!$B$21+'Inputs'!$B$9+'Inputs'!$B$10))/SQRT((((288-43)*MAX('Inputs'!$B$33,'Inputs'!$B$29+'Inputs'!$B$31+'Inputs'!$B$32,'Inputs'!$B$30+'Inputs'!$B$31+'Inputs'!$B$32)/1000+'Inputs'!$B$21+'Inputs'!$B$9+'Inputs'!$B$10))^2+('Inputs'!$B$6/2)^2))))*'Results'!$B$8))),"")</x:f>
        <x:v>35.74993449598322</x:v>
      </x:c>
      <x:c r="O288" t="n">
        <x:f>IF(AND(ISNUMBER('Results'!C7),ISNUMBER('Results'!B7),ISNUMBER('Results'!$B$8),ISNUMBER('Inputs'!$B$6),ISNUMBER('Inputs'!$B$7),ISNUMBER('Inputs'!$B$8),ISNUMBER('Inputs'!$B$9),ISNUMBER('Inputs'!$B$10),ISNUMBER('Inputs'!$B$21),ISNUMBER('Inputs'!$B$24),ISNUMBER('Inputs'!$B$28)),((('Results'!C7*(1+'Inputs'!$B$24)*(0.5*((((288-43)*MAX('Inputs'!$B$33,'Inputs'!$B$29+'Inputs'!$B$31+'Inputs'!$B$32,'Inputs'!$B$30+'Inputs'!$B$31+'Inputs'!$B$32)/1000+'Inputs'!$B$21)+'Inputs'!$B$9)/SQRT((((288-43)*MAX('Inputs'!$B$33,'Inputs'!$B$29+'Inputs'!$B$31+'Inputs'!$B$32,'Inputs'!$B$30+'Inputs'!$B$31+'Inputs'!$B$32)/1000+'Inputs'!$B$21)+'Inputs'!$B$9)^2+('Inputs'!$B$8/2)^2)-(((288-43)*MAX('Inputs'!$B$33,'Inputs'!$B$29+'Inputs'!$B$31+'Inputs'!$B$32,'Inputs'!$B$30+'Inputs'!$B$31+'Inputs'!$B$32)/1000+'Inputs'!$B$21))/SQRT((((288-43)*MAX('Inputs'!$B$33,'Inputs'!$B$29+'Inputs'!$B$31+'Inputs'!$B$32,'Inputs'!$B$30+'Inputs'!$B$31+'Inputs'!$B$32)/1000+'Inputs'!$B$21))^2+('Inputs'!$B$8/2)^2)))-'Results'!B7*(1-'Inputs'!$B$24)*(0.5*((((288-43)*MAX('Inputs'!$B$33,'Inputs'!$B$29+'Inputs'!$B$31+'Inputs'!$B$32,'Inputs'!$B$30+'Inputs'!$B$31+'Inputs'!$B$32)/1000+'Inputs'!$B$21+'Inputs'!$B$9+'Inputs'!$B$10)+'Inputs'!$B$7)/SQRT((((288-43)*MAX('Inputs'!$B$33,'Inputs'!$B$29+'Inputs'!$B$31+'Inputs'!$B$32,'Inputs'!$B$30+'Inputs'!$B$31+'Inputs'!$B$32)/1000+'Inputs'!$B$21+'Inputs'!$B$9+'Inputs'!$B$10)+'Inputs'!$B$7)^2+('Inputs'!$B$6/2)^2)-(((288-43)*MAX('Inputs'!$B$33,'Inputs'!$B$29+'Inputs'!$B$31+'Inputs'!$B$32,'Inputs'!$B$30+'Inputs'!$B$31+'Inputs'!$B$32)/1000+'Inputs'!$B$21+'Inputs'!$B$9+'Inputs'!$B$10))/SQRT((((288-43)*MAX('Inputs'!$B$33,'Inputs'!$B$29+'Inputs'!$B$31+'Inputs'!$B$32,'Inputs'!$B$30+'Inputs'!$B$31+'Inputs'!$B$32)/1000+'Inputs'!$B$21+'Inputs'!$B$9+'Inputs'!$B$10))^2+('Inputs'!$B$6/2)^2))))*'Results'!$B$8)+'Inputs'!$B$28*ABS((('Results'!C7*(1+'Inputs'!$B$24)*(0.5*((((288-43)*MAX('Inputs'!$B$33,'Inputs'!$B$29+'Inputs'!$B$31+'Inputs'!$B$32,'Inputs'!$B$30+'Inputs'!$B$31+'Inputs'!$B$32)/1000+'Inputs'!$B$21)+'Inputs'!$B$9)/SQRT((((288-43)*MAX('Inputs'!$B$33,'Inputs'!$B$29+'Inputs'!$B$31+'Inputs'!$B$32,'Inputs'!$B$30+'Inputs'!$B$31+'Inputs'!$B$32)/1000+'Inputs'!$B$21)+'Inputs'!$B$9)^2+('Inputs'!$B$8/2)^2)-(((288-43)*MAX('Inputs'!$B$33,'Inputs'!$B$29+'Inputs'!$B$31+'Inputs'!$B$32,'Inputs'!$B$30+'Inputs'!$B$31+'Inputs'!$B$32)/1000+'Inputs'!$B$21))/SQRT((((288-43)*MAX('Inputs'!$B$33,'Inputs'!$B$29+'Inputs'!$B$31+'Inputs'!$B$32,'Inputs'!$B$30+'Inputs'!$B$31+'Inputs'!$B$32)/1000+'Inputs'!$B$21))^2+('Inputs'!$B$8/2)^2)))-'Results'!B7*(1-'Inputs'!$B$24)*(0.5*((((288-43)*MAX('Inputs'!$B$33,'Inputs'!$B$29+'Inputs'!$B$31+'Inputs'!$B$32,'Inputs'!$B$30+'Inputs'!$B$31+'Inputs'!$B$32)/1000+'Inputs'!$B$21+'Inputs'!$B$9+'Inputs'!$B$10)+'Inputs'!$B$7)/SQRT((((288-43)*MAX('Inputs'!$B$33,'Inputs'!$B$29+'Inputs'!$B$31+'Inputs'!$B$32,'Inputs'!$B$30+'Inputs'!$B$31+'Inputs'!$B$32)/1000+'Inputs'!$B$21+'Inputs'!$B$9+'Inputs'!$B$10)+'Inputs'!$B$7)^2+('Inputs'!$B$6/2)^2)-(((288-43)*MAX('Inputs'!$B$33,'Inputs'!$B$29+'Inputs'!$B$31+'Inputs'!$B$32,'Inputs'!$B$30+'Inputs'!$B$31+'Inputs'!$B$32)/1000+'Inputs'!$B$21+'Inputs'!$B$9+'Inputs'!$B$10))/SQRT((((288-43)*MAX('Inputs'!$B$33,'Inputs'!$B$29+'Inputs'!$B$31+'Inputs'!$B$32,'Inputs'!$B$30+'Inputs'!$B$31+'Inputs'!$B$32)/1000+'Inputs'!$B$21+'Inputs'!$B$9+'Inputs'!$B$10))^2+('Inputs'!$B$6/2)^2))))*'Results'!$B$8))),"")</x:f>
        <x:v>43.092227938603315</x:v>
      </x:c>
      <x:c r="P288" t="n">
        <x:f>IF(AND(MAX(J288,J287)&gt;0,J288&gt;J287+0.00000001),1,0)</x:f>
        <x:v>0</x:v>
      </x:c>
      <x:c r="Q288" t="n">
        <x:f>IF(AND(MAX(K288,K287)&gt;0,K288&gt;K287+0.00000001),1,0)</x:f>
        <x:v>0</x:v>
      </x:c>
      <x:c r="R288" t="n">
        <x:f>IF(AND(MAX(L288,L287)&gt;0,L288&gt;L287+0.00000001),1,0)</x:f>
        <x:v>0</x:v>
      </x:c>
      <x:c r="S288" t="n">
        <x:f>IF(AND(MAX(M288,M287)&gt;0,M288&gt;M287+0.00000001),1,0)</x:f>
        <x:v>0</x:v>
      </x:c>
      <x:c r="T288" t="n">
        <x:f>IF(AND(MAX(N288,N287)&gt;0,N288&gt;N287+0.00000001),1,0)</x:f>
        <x:v>0</x:v>
      </x:c>
      <x:c r="U288" t="n">
        <x:f>IF(AND(MAX(O288,O287)&gt;0,O288&gt;O287+0.00000001),1,0)</x:f>
        <x:v>0</x:v>
      </x:c>
    </x:row>
    <x:row r="289">
      <x:c r="J289" t="n">
        <x:f>IF(AND(ISNUMBER('Results'!B7),ISNUMBER('Results'!C7),ISNUMBER('Results'!$B$8),ISNUMBER('Inputs'!$B$6),ISNUMBER('Inputs'!$B$7),ISNUMBER('Inputs'!$B$8),ISNUMBER('Inputs'!$B$9),ISNUMBER('Inputs'!$B$10),ISNUMBER('Inputs'!$B$21),ISNUMBER('Inputs'!$B$24),ISNUMBER('Inputs'!$B$28)),(('Results'!B7*(0.5*((((289-43)*MAX('Inputs'!$B$33,'Inputs'!$B$29+'Inputs'!$B$31+'Inputs'!$B$32,'Inputs'!$B$30+'Inputs'!$B$31+'Inputs'!$B$32)/1000+'Inputs'!$B$21)+'Inputs'!$B$7)/SQRT((((289-43)*MAX('Inputs'!$B$33,'Inputs'!$B$29+'Inputs'!$B$31+'Inputs'!$B$32,'Inputs'!$B$30+'Inputs'!$B$31+'Inputs'!$B$32)/1000+'Inputs'!$B$21)+'Inputs'!$B$7)^2+('Inputs'!$B$6/2)^2)-(((289-43)*MAX('Inputs'!$B$33,'Inputs'!$B$29+'Inputs'!$B$31+'Inputs'!$B$32,'Inputs'!$B$30+'Inputs'!$B$31+'Inputs'!$B$32)/1000+'Inputs'!$B$21))/SQRT((((289-43)*MAX('Inputs'!$B$33,'Inputs'!$B$29+'Inputs'!$B$31+'Inputs'!$B$32,'Inputs'!$B$30+'Inputs'!$B$31+'Inputs'!$B$32)/1000+'Inputs'!$B$21))^2+('Inputs'!$B$6/2)^2)))-'Results'!C7*(0.5*((((289-43)*MAX('Inputs'!$B$33,'Inputs'!$B$29+'Inputs'!$B$31+'Inputs'!$B$32,'Inputs'!$B$30+'Inputs'!$B$31+'Inputs'!$B$32)/1000+'Inputs'!$B$21+'Inputs'!$B$7+'Inputs'!$B$10)+'Inputs'!$B$9)/SQRT((((289-43)*MAX('Inputs'!$B$33,'Inputs'!$B$29+'Inputs'!$B$31+'Inputs'!$B$32,'Inputs'!$B$30+'Inputs'!$B$31+'Inputs'!$B$32)/1000+'Inputs'!$B$21+'Inputs'!$B$7+'Inputs'!$B$10)+'Inputs'!$B$9)^2+('Inputs'!$B$8/2)^2)-(((289-43)*MAX('Inputs'!$B$33,'Inputs'!$B$29+'Inputs'!$B$31+'Inputs'!$B$32,'Inputs'!$B$30+'Inputs'!$B$31+'Inputs'!$B$32)/1000+'Inputs'!$B$21+'Inputs'!$B$7+'Inputs'!$B$10))/SQRT((((289-43)*MAX('Inputs'!$B$33,'Inputs'!$B$29+'Inputs'!$B$31+'Inputs'!$B$32,'Inputs'!$B$30+'Inputs'!$B$31+'Inputs'!$B$32)/1000+'Inputs'!$B$21+'Inputs'!$B$7+'Inputs'!$B$10))^2+('Inputs'!$B$8/2)^2))))*'Results'!$B$8),"")</x:f>
        <x:v>40.57596587886084</x:v>
      </x:c>
      <x:c r="K289" t="n">
        <x:f>IF(AND(ISNUMBER('Results'!B7),ISNUMBER('Results'!C7),ISNUMBER('Results'!$B$8),ISNUMBER('Inputs'!$B$6),ISNUMBER('Inputs'!$B$7),ISNUMBER('Inputs'!$B$8),ISNUMBER('Inputs'!$B$9),ISNUMBER('Inputs'!$B$10),ISNUMBER('Inputs'!$B$21),ISNUMBER('Inputs'!$B$24),ISNUMBER('Inputs'!$B$28)),((('Results'!B7*(1-'Inputs'!$B$24)*(0.5*((((289-43)*MAX('Inputs'!$B$33,'Inputs'!$B$29+'Inputs'!$B$31+'Inputs'!$B$32,'Inputs'!$B$30+'Inputs'!$B$31+'Inputs'!$B$32)/1000+'Inputs'!$B$21)+'Inputs'!$B$7)/SQRT((((289-43)*MAX('Inputs'!$B$33,'Inputs'!$B$29+'Inputs'!$B$31+'Inputs'!$B$32,'Inputs'!$B$30+'Inputs'!$B$31+'Inputs'!$B$32)/1000+'Inputs'!$B$21)+'Inputs'!$B$7)^2+('Inputs'!$B$6/2)^2)-(((289-43)*MAX('Inputs'!$B$33,'Inputs'!$B$29+'Inputs'!$B$31+'Inputs'!$B$32,'Inputs'!$B$30+'Inputs'!$B$31+'Inputs'!$B$32)/1000+'Inputs'!$B$21))/SQRT((((289-43)*MAX('Inputs'!$B$33,'Inputs'!$B$29+'Inputs'!$B$31+'Inputs'!$B$32,'Inputs'!$B$30+'Inputs'!$B$31+'Inputs'!$B$32)/1000+'Inputs'!$B$21))^2+('Inputs'!$B$6/2)^2)))-'Results'!C7*(1+'Inputs'!$B$24)*(0.5*((((289-43)*MAX('Inputs'!$B$33,'Inputs'!$B$29+'Inputs'!$B$31+'Inputs'!$B$32,'Inputs'!$B$30+'Inputs'!$B$31+'Inputs'!$B$32)/1000+'Inputs'!$B$21+'Inputs'!$B$7+'Inputs'!$B$10)+'Inputs'!$B$9)/SQRT((((289-43)*MAX('Inputs'!$B$33,'Inputs'!$B$29+'Inputs'!$B$31+'Inputs'!$B$32,'Inputs'!$B$30+'Inputs'!$B$31+'Inputs'!$B$32)/1000+'Inputs'!$B$21+'Inputs'!$B$7+'Inputs'!$B$10)+'Inputs'!$B$9)^2+('Inputs'!$B$8/2)^2)-(((289-43)*MAX('Inputs'!$B$33,'Inputs'!$B$29+'Inputs'!$B$31+'Inputs'!$B$32,'Inputs'!$B$30+'Inputs'!$B$31+'Inputs'!$B$32)/1000+'Inputs'!$B$21+'Inputs'!$B$7+'Inputs'!$B$10))/SQRT((((289-43)*MAX('Inputs'!$B$33,'Inputs'!$B$29+'Inputs'!$B$31+'Inputs'!$B$32,'Inputs'!$B$30+'Inputs'!$B$31+'Inputs'!$B$32)/1000+'Inputs'!$B$21+'Inputs'!$B$7+'Inputs'!$B$10))^2+('Inputs'!$B$8/2)^2))))*'Results'!$B$8)-'Inputs'!$B$28*ABS((('Results'!B7*(1-'Inputs'!$B$24)*(0.5*((((289-43)*MAX('Inputs'!$B$33,'Inputs'!$B$29+'Inputs'!$B$31+'Inputs'!$B$32,'Inputs'!$B$30+'Inputs'!$B$31+'Inputs'!$B$32)/1000+'Inputs'!$B$21)+'Inputs'!$B$7)/SQRT((((289-43)*MAX('Inputs'!$B$33,'Inputs'!$B$29+'Inputs'!$B$31+'Inputs'!$B$32,'Inputs'!$B$30+'Inputs'!$B$31+'Inputs'!$B$32)/1000+'Inputs'!$B$21)+'Inputs'!$B$7)^2+('Inputs'!$B$6/2)^2)-(((289-43)*MAX('Inputs'!$B$33,'Inputs'!$B$29+'Inputs'!$B$31+'Inputs'!$B$32,'Inputs'!$B$30+'Inputs'!$B$31+'Inputs'!$B$32)/1000+'Inputs'!$B$21))/SQRT((((289-43)*MAX('Inputs'!$B$33,'Inputs'!$B$29+'Inputs'!$B$31+'Inputs'!$B$32,'Inputs'!$B$30+'Inputs'!$B$31+'Inputs'!$B$32)/1000+'Inputs'!$B$21))^2+('Inputs'!$B$6/2)^2)))-'Results'!C7*(1+'Inputs'!$B$24)*(0.5*((((289-43)*MAX('Inputs'!$B$33,'Inputs'!$B$29+'Inputs'!$B$31+'Inputs'!$B$32,'Inputs'!$B$30+'Inputs'!$B$31+'Inputs'!$B$32)/1000+'Inputs'!$B$21+'Inputs'!$B$7+'Inputs'!$B$10)+'Inputs'!$B$9)/SQRT((((289-43)*MAX('Inputs'!$B$33,'Inputs'!$B$29+'Inputs'!$B$31+'Inputs'!$B$32,'Inputs'!$B$30+'Inputs'!$B$31+'Inputs'!$B$32)/1000+'Inputs'!$B$21+'Inputs'!$B$7+'Inputs'!$B$10)+'Inputs'!$B$9)^2+('Inputs'!$B$8/2)^2)-(((289-43)*MAX('Inputs'!$B$33,'Inputs'!$B$29+'Inputs'!$B$31+'Inputs'!$B$32,'Inputs'!$B$30+'Inputs'!$B$31+'Inputs'!$B$32)/1000+'Inputs'!$B$21+'Inputs'!$B$7+'Inputs'!$B$10))/SQRT((((289-43)*MAX('Inputs'!$B$33,'Inputs'!$B$29+'Inputs'!$B$31+'Inputs'!$B$32,'Inputs'!$B$30+'Inputs'!$B$31+'Inputs'!$B$32)/1000+'Inputs'!$B$21+'Inputs'!$B$7+'Inputs'!$B$10))^2+('Inputs'!$B$8/2)^2))))*'Results'!$B$8))),"")</x:f>
        <x:v>36.92836269625281</x:v>
      </x:c>
      <x:c r="L289" t="n">
        <x:f>IF(AND(ISNUMBER('Results'!B7),ISNUMBER('Results'!C7),ISNUMBER('Results'!$B$8),ISNUMBER('Inputs'!$B$6),ISNUMBER('Inputs'!$B$7),ISNUMBER('Inputs'!$B$8),ISNUMBER('Inputs'!$B$9),ISNUMBER('Inputs'!$B$10),ISNUMBER('Inputs'!$B$21),ISNUMBER('Inputs'!$B$24),ISNUMBER('Inputs'!$B$28)),((('Results'!B7*(1+'Inputs'!$B$24)*(0.5*((((289-43)*MAX('Inputs'!$B$33,'Inputs'!$B$29+'Inputs'!$B$31+'Inputs'!$B$32,'Inputs'!$B$30+'Inputs'!$B$31+'Inputs'!$B$32)/1000+'Inputs'!$B$21)+'Inputs'!$B$7)/SQRT((((289-43)*MAX('Inputs'!$B$33,'Inputs'!$B$29+'Inputs'!$B$31+'Inputs'!$B$32,'Inputs'!$B$30+'Inputs'!$B$31+'Inputs'!$B$32)/1000+'Inputs'!$B$21)+'Inputs'!$B$7)^2+('Inputs'!$B$6/2)^2)-(((289-43)*MAX('Inputs'!$B$33,'Inputs'!$B$29+'Inputs'!$B$31+'Inputs'!$B$32,'Inputs'!$B$30+'Inputs'!$B$31+'Inputs'!$B$32)/1000+'Inputs'!$B$21))/SQRT((((289-43)*MAX('Inputs'!$B$33,'Inputs'!$B$29+'Inputs'!$B$31+'Inputs'!$B$32,'Inputs'!$B$30+'Inputs'!$B$31+'Inputs'!$B$32)/1000+'Inputs'!$B$21))^2+('Inputs'!$B$6/2)^2)))-'Results'!C7*(1-'Inputs'!$B$24)*(0.5*((((289-43)*MAX('Inputs'!$B$33,'Inputs'!$B$29+'Inputs'!$B$31+'Inputs'!$B$32,'Inputs'!$B$30+'Inputs'!$B$31+'Inputs'!$B$32)/1000+'Inputs'!$B$21+'Inputs'!$B$7+'Inputs'!$B$10)+'Inputs'!$B$9)/SQRT((((289-43)*MAX('Inputs'!$B$33,'Inputs'!$B$29+'Inputs'!$B$31+'Inputs'!$B$32,'Inputs'!$B$30+'Inputs'!$B$31+'Inputs'!$B$32)/1000+'Inputs'!$B$21+'Inputs'!$B$7+'Inputs'!$B$10)+'Inputs'!$B$9)^2+('Inputs'!$B$8/2)^2)-(((289-43)*MAX('Inputs'!$B$33,'Inputs'!$B$29+'Inputs'!$B$31+'Inputs'!$B$32,'Inputs'!$B$30+'Inputs'!$B$31+'Inputs'!$B$32)/1000+'Inputs'!$B$21+'Inputs'!$B$7+'Inputs'!$B$10))/SQRT((((289-43)*MAX('Inputs'!$B$33,'Inputs'!$B$29+'Inputs'!$B$31+'Inputs'!$B$32,'Inputs'!$B$30+'Inputs'!$B$31+'Inputs'!$B$32)/1000+'Inputs'!$B$21+'Inputs'!$B$7+'Inputs'!$B$10))^2+('Inputs'!$B$8/2)^2))))*'Results'!$B$8)+'Inputs'!$B$28*ABS((('Results'!B7*(1+'Inputs'!$B$24)*(0.5*((((289-43)*MAX('Inputs'!$B$33,'Inputs'!$B$29+'Inputs'!$B$31+'Inputs'!$B$32,'Inputs'!$B$30+'Inputs'!$B$31+'Inputs'!$B$32)/1000+'Inputs'!$B$21)+'Inputs'!$B$7)/SQRT((((289-43)*MAX('Inputs'!$B$33,'Inputs'!$B$29+'Inputs'!$B$31+'Inputs'!$B$32,'Inputs'!$B$30+'Inputs'!$B$31+'Inputs'!$B$32)/1000+'Inputs'!$B$21)+'Inputs'!$B$7)^2+('Inputs'!$B$6/2)^2)-(((289-43)*MAX('Inputs'!$B$33,'Inputs'!$B$29+'Inputs'!$B$31+'Inputs'!$B$32,'Inputs'!$B$30+'Inputs'!$B$31+'Inputs'!$B$32)/1000+'Inputs'!$B$21))/SQRT((((289-43)*MAX('Inputs'!$B$33,'Inputs'!$B$29+'Inputs'!$B$31+'Inputs'!$B$32,'Inputs'!$B$30+'Inputs'!$B$31+'Inputs'!$B$32)/1000+'Inputs'!$B$21))^2+('Inputs'!$B$6/2)^2)))-'Results'!C7*(1-'Inputs'!$B$24)*(0.5*((((289-43)*MAX('Inputs'!$B$33,'Inputs'!$B$29+'Inputs'!$B$31+'Inputs'!$B$32,'Inputs'!$B$30+'Inputs'!$B$31+'Inputs'!$B$32)/1000+'Inputs'!$B$21+'Inputs'!$B$7+'Inputs'!$B$10)+'Inputs'!$B$9)/SQRT((((289-43)*MAX('Inputs'!$B$33,'Inputs'!$B$29+'Inputs'!$B$31+'Inputs'!$B$32,'Inputs'!$B$30+'Inputs'!$B$31+'Inputs'!$B$32)/1000+'Inputs'!$B$21+'Inputs'!$B$7+'Inputs'!$B$10)+'Inputs'!$B$9)^2+('Inputs'!$B$8/2)^2)-(((289-43)*MAX('Inputs'!$B$33,'Inputs'!$B$29+'Inputs'!$B$31+'Inputs'!$B$32,'Inputs'!$B$30+'Inputs'!$B$31+'Inputs'!$B$32)/1000+'Inputs'!$B$21+'Inputs'!$B$7+'Inputs'!$B$10))/SQRT((((289-43)*MAX('Inputs'!$B$33,'Inputs'!$B$29+'Inputs'!$B$31+'Inputs'!$B$32,'Inputs'!$B$30+'Inputs'!$B$31+'Inputs'!$B$32)/1000+'Inputs'!$B$21+'Inputs'!$B$7+'Inputs'!$B$10))^2+('Inputs'!$B$8/2)^2))))*'Results'!$B$8))),"")</x:f>
        <x:v>44.39396957606517</x:v>
      </x:c>
      <x:c r="M289" t="n">
        <x:f>IF(AND(ISNUMBER('Results'!C7),ISNUMBER('Results'!B7),ISNUMBER('Results'!$B$8),ISNUMBER('Inputs'!$B$6),ISNUMBER('Inputs'!$B$7),ISNUMBER('Inputs'!$B$8),ISNUMBER('Inputs'!$B$9),ISNUMBER('Inputs'!$B$10),ISNUMBER('Inputs'!$B$21),ISNUMBER('Inputs'!$B$24),ISNUMBER('Inputs'!$B$28)),(('Results'!C7*(0.5*((((289-43)*MAX('Inputs'!$B$33,'Inputs'!$B$29+'Inputs'!$B$31+'Inputs'!$B$32,'Inputs'!$B$30+'Inputs'!$B$31+'Inputs'!$B$32)/1000+'Inputs'!$B$21)+'Inputs'!$B$9)/SQRT((((289-43)*MAX('Inputs'!$B$33,'Inputs'!$B$29+'Inputs'!$B$31+'Inputs'!$B$32,'Inputs'!$B$30+'Inputs'!$B$31+'Inputs'!$B$32)/1000+'Inputs'!$B$21)+'Inputs'!$B$9)^2+('Inputs'!$B$8/2)^2)-(((289-43)*MAX('Inputs'!$B$33,'Inputs'!$B$29+'Inputs'!$B$31+'Inputs'!$B$32,'Inputs'!$B$30+'Inputs'!$B$31+'Inputs'!$B$32)/1000+'Inputs'!$B$21))/SQRT((((289-43)*MAX('Inputs'!$B$33,'Inputs'!$B$29+'Inputs'!$B$31+'Inputs'!$B$32,'Inputs'!$B$30+'Inputs'!$B$31+'Inputs'!$B$32)/1000+'Inputs'!$B$21))^2+('Inputs'!$B$8/2)^2)))-'Results'!B7*(0.5*((((289-43)*MAX('Inputs'!$B$33,'Inputs'!$B$29+'Inputs'!$B$31+'Inputs'!$B$32,'Inputs'!$B$30+'Inputs'!$B$31+'Inputs'!$B$32)/1000+'Inputs'!$B$21+'Inputs'!$B$9+'Inputs'!$B$10)+'Inputs'!$B$7)/SQRT((((289-43)*MAX('Inputs'!$B$33,'Inputs'!$B$29+'Inputs'!$B$31+'Inputs'!$B$32,'Inputs'!$B$30+'Inputs'!$B$31+'Inputs'!$B$32)/1000+'Inputs'!$B$21+'Inputs'!$B$9+'Inputs'!$B$10)+'Inputs'!$B$7)^2+('Inputs'!$B$6/2)^2)-(((289-43)*MAX('Inputs'!$B$33,'Inputs'!$B$29+'Inputs'!$B$31+'Inputs'!$B$32,'Inputs'!$B$30+'Inputs'!$B$31+'Inputs'!$B$32)/1000+'Inputs'!$B$21+'Inputs'!$B$9+'Inputs'!$B$10))/SQRT((((289-43)*MAX('Inputs'!$B$33,'Inputs'!$B$29+'Inputs'!$B$31+'Inputs'!$B$32,'Inputs'!$B$30+'Inputs'!$B$31+'Inputs'!$B$32)/1000+'Inputs'!$B$21+'Inputs'!$B$9+'Inputs'!$B$10))^2+('Inputs'!$B$6/2)^2))))*'Results'!$B$8),"")</x:f>
        <x:v>38.862853734648866</x:v>
      </x:c>
      <x:c r="N289" t="n">
        <x:f>IF(AND(ISNUMBER('Results'!C7),ISNUMBER('Results'!B7),ISNUMBER('Results'!$B$8),ISNUMBER('Inputs'!$B$6),ISNUMBER('Inputs'!$B$7),ISNUMBER('Inputs'!$B$8),ISNUMBER('Inputs'!$B$9),ISNUMBER('Inputs'!$B$10),ISNUMBER('Inputs'!$B$21),ISNUMBER('Inputs'!$B$24),ISNUMBER('Inputs'!$B$28)),((('Results'!C7*(1-'Inputs'!$B$24)*(0.5*((((289-43)*MAX('Inputs'!$B$33,'Inputs'!$B$29+'Inputs'!$B$31+'Inputs'!$B$32,'Inputs'!$B$30+'Inputs'!$B$31+'Inputs'!$B$32)/1000+'Inputs'!$B$21)+'Inputs'!$B$9)/SQRT((((289-43)*MAX('Inputs'!$B$33,'Inputs'!$B$29+'Inputs'!$B$31+'Inputs'!$B$32,'Inputs'!$B$30+'Inputs'!$B$31+'Inputs'!$B$32)/1000+'Inputs'!$B$21)+'Inputs'!$B$9)^2+('Inputs'!$B$8/2)^2)-(((289-43)*MAX('Inputs'!$B$33,'Inputs'!$B$29+'Inputs'!$B$31+'Inputs'!$B$32,'Inputs'!$B$30+'Inputs'!$B$31+'Inputs'!$B$32)/1000+'Inputs'!$B$21))/SQRT((((289-43)*MAX('Inputs'!$B$33,'Inputs'!$B$29+'Inputs'!$B$31+'Inputs'!$B$32,'Inputs'!$B$30+'Inputs'!$B$31+'Inputs'!$B$32)/1000+'Inputs'!$B$21))^2+('Inputs'!$B$8/2)^2)))-'Results'!B7*(1+'Inputs'!$B$24)*(0.5*((((289-43)*MAX('Inputs'!$B$33,'Inputs'!$B$29+'Inputs'!$B$31+'Inputs'!$B$32,'Inputs'!$B$30+'Inputs'!$B$31+'Inputs'!$B$32)/1000+'Inputs'!$B$21+'Inputs'!$B$9+'Inputs'!$B$10)+'Inputs'!$B$7)/SQRT((((289-43)*MAX('Inputs'!$B$33,'Inputs'!$B$29+'Inputs'!$B$31+'Inputs'!$B$32,'Inputs'!$B$30+'Inputs'!$B$31+'Inputs'!$B$32)/1000+'Inputs'!$B$21+'Inputs'!$B$9+'Inputs'!$B$10)+'Inputs'!$B$7)^2+('Inputs'!$B$6/2)^2)-(((289-43)*MAX('Inputs'!$B$33,'Inputs'!$B$29+'Inputs'!$B$31+'Inputs'!$B$32,'Inputs'!$B$30+'Inputs'!$B$31+'Inputs'!$B$32)/1000+'Inputs'!$B$21+'Inputs'!$B$9+'Inputs'!$B$10))/SQRT((((289-43)*MAX('Inputs'!$B$33,'Inputs'!$B$29+'Inputs'!$B$31+'Inputs'!$B$32,'Inputs'!$B$30+'Inputs'!$B$31+'Inputs'!$B$32)/1000+'Inputs'!$B$21+'Inputs'!$B$9+'Inputs'!$B$10))^2+('Inputs'!$B$6/2)^2))))*'Results'!$B$8)-'Inputs'!$B$28*ABS((('Results'!C7*(1-'Inputs'!$B$24)*(0.5*((((289-43)*MAX('Inputs'!$B$33,'Inputs'!$B$29+'Inputs'!$B$31+'Inputs'!$B$32,'Inputs'!$B$30+'Inputs'!$B$31+'Inputs'!$B$32)/1000+'Inputs'!$B$21)+'Inputs'!$B$9)/SQRT((((289-43)*MAX('Inputs'!$B$33,'Inputs'!$B$29+'Inputs'!$B$31+'Inputs'!$B$32,'Inputs'!$B$30+'Inputs'!$B$31+'Inputs'!$B$32)/1000+'Inputs'!$B$21)+'Inputs'!$B$9)^2+('Inputs'!$B$8/2)^2)-(((289-43)*MAX('Inputs'!$B$33,'Inputs'!$B$29+'Inputs'!$B$31+'Inputs'!$B$32,'Inputs'!$B$30+'Inputs'!$B$31+'Inputs'!$B$32)/1000+'Inputs'!$B$21))/SQRT((((289-43)*MAX('Inputs'!$B$33,'Inputs'!$B$29+'Inputs'!$B$31+'Inputs'!$B$32,'Inputs'!$B$30+'Inputs'!$B$31+'Inputs'!$B$32)/1000+'Inputs'!$B$21))^2+('Inputs'!$B$8/2)^2)))-'Results'!B7*(1+'Inputs'!$B$24)*(0.5*((((289-43)*MAX('Inputs'!$B$33,'Inputs'!$B$29+'Inputs'!$B$31+'Inputs'!$B$32,'Inputs'!$B$30+'Inputs'!$B$31+'Inputs'!$B$32)/1000+'Inputs'!$B$21+'Inputs'!$B$9+'Inputs'!$B$10)+'Inputs'!$B$7)/SQRT((((289-43)*MAX('Inputs'!$B$33,'Inputs'!$B$29+'Inputs'!$B$31+'Inputs'!$B$32,'Inputs'!$B$30+'Inputs'!$B$31+'Inputs'!$B$32)/1000+'Inputs'!$B$21+'Inputs'!$B$9+'Inputs'!$B$10)+'Inputs'!$B$7)^2+('Inputs'!$B$6/2)^2)-(((289-43)*MAX('Inputs'!$B$33,'Inputs'!$B$29+'Inputs'!$B$31+'Inputs'!$B$32,'Inputs'!$B$30+'Inputs'!$B$31+'Inputs'!$B$32)/1000+'Inputs'!$B$21+'Inputs'!$B$9+'Inputs'!$B$10))/SQRT((((289-43)*MAX('Inputs'!$B$33,'Inputs'!$B$29+'Inputs'!$B$31+'Inputs'!$B$32,'Inputs'!$B$30+'Inputs'!$B$31+'Inputs'!$B$32)/1000+'Inputs'!$B$21+'Inputs'!$B$9+'Inputs'!$B$10))^2+('Inputs'!$B$6/2)^2))))*'Results'!$B$8))),"")</x:f>
        <x:v>35.31615199331869</x:v>
      </x:c>
      <x:c r="O289" t="n">
        <x:f>IF(AND(ISNUMBER('Results'!C7),ISNUMBER('Results'!B7),ISNUMBER('Results'!$B$8),ISNUMBER('Inputs'!$B$6),ISNUMBER('Inputs'!$B$7),ISNUMBER('Inputs'!$B$8),ISNUMBER('Inputs'!$B$9),ISNUMBER('Inputs'!$B$10),ISNUMBER('Inputs'!$B$21),ISNUMBER('Inputs'!$B$24),ISNUMBER('Inputs'!$B$28)),((('Results'!C7*(1+'Inputs'!$B$24)*(0.5*((((289-43)*MAX('Inputs'!$B$33,'Inputs'!$B$29+'Inputs'!$B$31+'Inputs'!$B$32,'Inputs'!$B$30+'Inputs'!$B$31+'Inputs'!$B$32)/1000+'Inputs'!$B$21)+'Inputs'!$B$9)/SQRT((((289-43)*MAX('Inputs'!$B$33,'Inputs'!$B$29+'Inputs'!$B$31+'Inputs'!$B$32,'Inputs'!$B$30+'Inputs'!$B$31+'Inputs'!$B$32)/1000+'Inputs'!$B$21)+'Inputs'!$B$9)^2+('Inputs'!$B$8/2)^2)-(((289-43)*MAX('Inputs'!$B$33,'Inputs'!$B$29+'Inputs'!$B$31+'Inputs'!$B$32,'Inputs'!$B$30+'Inputs'!$B$31+'Inputs'!$B$32)/1000+'Inputs'!$B$21))/SQRT((((289-43)*MAX('Inputs'!$B$33,'Inputs'!$B$29+'Inputs'!$B$31+'Inputs'!$B$32,'Inputs'!$B$30+'Inputs'!$B$31+'Inputs'!$B$32)/1000+'Inputs'!$B$21))^2+('Inputs'!$B$8/2)^2)))-'Results'!B7*(1-'Inputs'!$B$24)*(0.5*((((289-43)*MAX('Inputs'!$B$33,'Inputs'!$B$29+'Inputs'!$B$31+'Inputs'!$B$32,'Inputs'!$B$30+'Inputs'!$B$31+'Inputs'!$B$32)/1000+'Inputs'!$B$21+'Inputs'!$B$9+'Inputs'!$B$10)+'Inputs'!$B$7)/SQRT((((289-43)*MAX('Inputs'!$B$33,'Inputs'!$B$29+'Inputs'!$B$31+'Inputs'!$B$32,'Inputs'!$B$30+'Inputs'!$B$31+'Inputs'!$B$32)/1000+'Inputs'!$B$21+'Inputs'!$B$9+'Inputs'!$B$10)+'Inputs'!$B$7)^2+('Inputs'!$B$6/2)^2)-(((289-43)*MAX('Inputs'!$B$33,'Inputs'!$B$29+'Inputs'!$B$31+'Inputs'!$B$32,'Inputs'!$B$30+'Inputs'!$B$31+'Inputs'!$B$32)/1000+'Inputs'!$B$21+'Inputs'!$B$9+'Inputs'!$B$10))/SQRT((((289-43)*MAX('Inputs'!$B$33,'Inputs'!$B$29+'Inputs'!$B$31+'Inputs'!$B$32,'Inputs'!$B$30+'Inputs'!$B$31+'Inputs'!$B$32)/1000+'Inputs'!$B$21+'Inputs'!$B$9+'Inputs'!$B$10))^2+('Inputs'!$B$6/2)^2))))*'Results'!$B$8)+'Inputs'!$B$28*ABS((('Results'!C7*(1+'Inputs'!$B$24)*(0.5*((((289-43)*MAX('Inputs'!$B$33,'Inputs'!$B$29+'Inputs'!$B$31+'Inputs'!$B$32,'Inputs'!$B$30+'Inputs'!$B$31+'Inputs'!$B$32)/1000+'Inputs'!$B$21)+'Inputs'!$B$9)/SQRT((((289-43)*MAX('Inputs'!$B$33,'Inputs'!$B$29+'Inputs'!$B$31+'Inputs'!$B$32,'Inputs'!$B$30+'Inputs'!$B$31+'Inputs'!$B$32)/1000+'Inputs'!$B$21)+'Inputs'!$B$9)^2+('Inputs'!$B$8/2)^2)-(((289-43)*MAX('Inputs'!$B$33,'Inputs'!$B$29+'Inputs'!$B$31+'Inputs'!$B$32,'Inputs'!$B$30+'Inputs'!$B$31+'Inputs'!$B$32)/1000+'Inputs'!$B$21))/SQRT((((289-43)*MAX('Inputs'!$B$33,'Inputs'!$B$29+'Inputs'!$B$31+'Inputs'!$B$32,'Inputs'!$B$30+'Inputs'!$B$31+'Inputs'!$B$32)/1000+'Inputs'!$B$21))^2+('Inputs'!$B$8/2)^2)))-'Results'!B7*(1-'Inputs'!$B$24)*(0.5*((((289-43)*MAX('Inputs'!$B$33,'Inputs'!$B$29+'Inputs'!$B$31+'Inputs'!$B$32,'Inputs'!$B$30+'Inputs'!$B$31+'Inputs'!$B$32)/1000+'Inputs'!$B$21+'Inputs'!$B$9+'Inputs'!$B$10)+'Inputs'!$B$7)/SQRT((((289-43)*MAX('Inputs'!$B$33,'Inputs'!$B$29+'Inputs'!$B$31+'Inputs'!$B$32,'Inputs'!$B$30+'Inputs'!$B$31+'Inputs'!$B$32)/1000+'Inputs'!$B$21+'Inputs'!$B$9+'Inputs'!$B$10)+'Inputs'!$B$7)^2+('Inputs'!$B$6/2)^2)-(((289-43)*MAX('Inputs'!$B$33,'Inputs'!$B$29+'Inputs'!$B$31+'Inputs'!$B$32,'Inputs'!$B$30+'Inputs'!$B$31+'Inputs'!$B$32)/1000+'Inputs'!$B$21+'Inputs'!$B$9+'Inputs'!$B$10))/SQRT((((289-43)*MAX('Inputs'!$B$33,'Inputs'!$B$29+'Inputs'!$B$31+'Inputs'!$B$32,'Inputs'!$B$30+'Inputs'!$B$31+'Inputs'!$B$32)/1000+'Inputs'!$B$21+'Inputs'!$B$9+'Inputs'!$B$10))^2+('Inputs'!$B$6/2)^2))))*'Results'!$B$8))),"")</x:f>
        <x:v>42.578351165936716</x:v>
      </x:c>
      <x:c r="P289" t="n">
        <x:f>IF(AND(MAX(J289,J288)&gt;0,J289&gt;J288+0.00000001),1,0)</x:f>
        <x:v>0</x:v>
      </x:c>
      <x:c r="Q289" t="n">
        <x:f>IF(AND(MAX(K289,K288)&gt;0,K289&gt;K288+0.00000001),1,0)</x:f>
        <x:v>0</x:v>
      </x:c>
      <x:c r="R289" t="n">
        <x:f>IF(AND(MAX(L289,L288)&gt;0,L289&gt;L288+0.00000001),1,0)</x:f>
        <x:v>0</x:v>
      </x:c>
      <x:c r="S289" t="n">
        <x:f>IF(AND(MAX(M289,M288)&gt;0,M289&gt;M288+0.00000001),1,0)</x:f>
        <x:v>0</x:v>
      </x:c>
      <x:c r="T289" t="n">
        <x:f>IF(AND(MAX(N289,N288)&gt;0,N289&gt;N288+0.00000001),1,0)</x:f>
        <x:v>0</x:v>
      </x:c>
      <x:c r="U289" t="n">
        <x:f>IF(AND(MAX(O289,O288)&gt;0,O289&gt;O288+0.00000001),1,0)</x:f>
        <x:v>0</x:v>
      </x:c>
    </x:row>
    <x:row r="290">
      <x:c r="J290" t="n">
        <x:f>IF(AND(ISNUMBER('Results'!B7),ISNUMBER('Results'!C7),ISNUMBER('Results'!$B$8),ISNUMBER('Inputs'!$B$6),ISNUMBER('Inputs'!$B$7),ISNUMBER('Inputs'!$B$8),ISNUMBER('Inputs'!$B$9),ISNUMBER('Inputs'!$B$10),ISNUMBER('Inputs'!$B$21),ISNUMBER('Inputs'!$B$24),ISNUMBER('Inputs'!$B$28)),(('Results'!B7*(0.5*((((290-43)*MAX('Inputs'!$B$33,'Inputs'!$B$29+'Inputs'!$B$31+'Inputs'!$B$32,'Inputs'!$B$30+'Inputs'!$B$31+'Inputs'!$B$32)/1000+'Inputs'!$B$21)+'Inputs'!$B$7)/SQRT((((290-43)*MAX('Inputs'!$B$33,'Inputs'!$B$29+'Inputs'!$B$31+'Inputs'!$B$32,'Inputs'!$B$30+'Inputs'!$B$31+'Inputs'!$B$32)/1000+'Inputs'!$B$21)+'Inputs'!$B$7)^2+('Inputs'!$B$6/2)^2)-(((290-43)*MAX('Inputs'!$B$33,'Inputs'!$B$29+'Inputs'!$B$31+'Inputs'!$B$32,'Inputs'!$B$30+'Inputs'!$B$31+'Inputs'!$B$32)/1000+'Inputs'!$B$21))/SQRT((((290-43)*MAX('Inputs'!$B$33,'Inputs'!$B$29+'Inputs'!$B$31+'Inputs'!$B$32,'Inputs'!$B$30+'Inputs'!$B$31+'Inputs'!$B$32)/1000+'Inputs'!$B$21))^2+('Inputs'!$B$6/2)^2)))-'Results'!C7*(0.5*((((290-43)*MAX('Inputs'!$B$33,'Inputs'!$B$29+'Inputs'!$B$31+'Inputs'!$B$32,'Inputs'!$B$30+'Inputs'!$B$31+'Inputs'!$B$32)/1000+'Inputs'!$B$21+'Inputs'!$B$7+'Inputs'!$B$10)+'Inputs'!$B$9)/SQRT((((290-43)*MAX('Inputs'!$B$33,'Inputs'!$B$29+'Inputs'!$B$31+'Inputs'!$B$32,'Inputs'!$B$30+'Inputs'!$B$31+'Inputs'!$B$32)/1000+'Inputs'!$B$21+'Inputs'!$B$7+'Inputs'!$B$10)+'Inputs'!$B$9)^2+('Inputs'!$B$8/2)^2)-(((290-43)*MAX('Inputs'!$B$33,'Inputs'!$B$29+'Inputs'!$B$31+'Inputs'!$B$32,'Inputs'!$B$30+'Inputs'!$B$31+'Inputs'!$B$32)/1000+'Inputs'!$B$21+'Inputs'!$B$7+'Inputs'!$B$10))/SQRT((((290-43)*MAX('Inputs'!$B$33,'Inputs'!$B$29+'Inputs'!$B$31+'Inputs'!$B$32,'Inputs'!$B$30+'Inputs'!$B$31+'Inputs'!$B$32)/1000+'Inputs'!$B$21+'Inputs'!$B$7+'Inputs'!$B$10))^2+('Inputs'!$B$8/2)^2))))*'Results'!$B$8),"")</x:f>
        <x:v>40.09350865249592</x:v>
      </x:c>
      <x:c r="K290" t="n">
        <x:f>IF(AND(ISNUMBER('Results'!B7),ISNUMBER('Results'!C7),ISNUMBER('Results'!$B$8),ISNUMBER('Inputs'!$B$6),ISNUMBER('Inputs'!$B$7),ISNUMBER('Inputs'!$B$8),ISNUMBER('Inputs'!$B$9),ISNUMBER('Inputs'!$B$10),ISNUMBER('Inputs'!$B$21),ISNUMBER('Inputs'!$B$24),ISNUMBER('Inputs'!$B$28)),((('Results'!B7*(1-'Inputs'!$B$24)*(0.5*((((290-43)*MAX('Inputs'!$B$33,'Inputs'!$B$29+'Inputs'!$B$31+'Inputs'!$B$32,'Inputs'!$B$30+'Inputs'!$B$31+'Inputs'!$B$32)/1000+'Inputs'!$B$21)+'Inputs'!$B$7)/SQRT((((290-43)*MAX('Inputs'!$B$33,'Inputs'!$B$29+'Inputs'!$B$31+'Inputs'!$B$32,'Inputs'!$B$30+'Inputs'!$B$31+'Inputs'!$B$32)/1000+'Inputs'!$B$21)+'Inputs'!$B$7)^2+('Inputs'!$B$6/2)^2)-(((290-43)*MAX('Inputs'!$B$33,'Inputs'!$B$29+'Inputs'!$B$31+'Inputs'!$B$32,'Inputs'!$B$30+'Inputs'!$B$31+'Inputs'!$B$32)/1000+'Inputs'!$B$21))/SQRT((((290-43)*MAX('Inputs'!$B$33,'Inputs'!$B$29+'Inputs'!$B$31+'Inputs'!$B$32,'Inputs'!$B$30+'Inputs'!$B$31+'Inputs'!$B$32)/1000+'Inputs'!$B$21))^2+('Inputs'!$B$6/2)^2)))-'Results'!C7*(1+'Inputs'!$B$24)*(0.5*((((290-43)*MAX('Inputs'!$B$33,'Inputs'!$B$29+'Inputs'!$B$31+'Inputs'!$B$32,'Inputs'!$B$30+'Inputs'!$B$31+'Inputs'!$B$32)/1000+'Inputs'!$B$21+'Inputs'!$B$7+'Inputs'!$B$10)+'Inputs'!$B$9)/SQRT((((290-43)*MAX('Inputs'!$B$33,'Inputs'!$B$29+'Inputs'!$B$31+'Inputs'!$B$32,'Inputs'!$B$30+'Inputs'!$B$31+'Inputs'!$B$32)/1000+'Inputs'!$B$21+'Inputs'!$B$7+'Inputs'!$B$10)+'Inputs'!$B$9)^2+('Inputs'!$B$8/2)^2)-(((290-43)*MAX('Inputs'!$B$33,'Inputs'!$B$29+'Inputs'!$B$31+'Inputs'!$B$32,'Inputs'!$B$30+'Inputs'!$B$31+'Inputs'!$B$32)/1000+'Inputs'!$B$21+'Inputs'!$B$7+'Inputs'!$B$10))/SQRT((((290-43)*MAX('Inputs'!$B$33,'Inputs'!$B$29+'Inputs'!$B$31+'Inputs'!$B$32,'Inputs'!$B$30+'Inputs'!$B$31+'Inputs'!$B$32)/1000+'Inputs'!$B$21+'Inputs'!$B$7+'Inputs'!$B$10))^2+('Inputs'!$B$8/2)^2))))*'Results'!$B$8)-'Inputs'!$B$28*ABS((('Results'!B7*(1-'Inputs'!$B$24)*(0.5*((((290-43)*MAX('Inputs'!$B$33,'Inputs'!$B$29+'Inputs'!$B$31+'Inputs'!$B$32,'Inputs'!$B$30+'Inputs'!$B$31+'Inputs'!$B$32)/1000+'Inputs'!$B$21)+'Inputs'!$B$7)/SQRT((((290-43)*MAX('Inputs'!$B$33,'Inputs'!$B$29+'Inputs'!$B$31+'Inputs'!$B$32,'Inputs'!$B$30+'Inputs'!$B$31+'Inputs'!$B$32)/1000+'Inputs'!$B$21)+'Inputs'!$B$7)^2+('Inputs'!$B$6/2)^2)-(((290-43)*MAX('Inputs'!$B$33,'Inputs'!$B$29+'Inputs'!$B$31+'Inputs'!$B$32,'Inputs'!$B$30+'Inputs'!$B$31+'Inputs'!$B$32)/1000+'Inputs'!$B$21))/SQRT((((290-43)*MAX('Inputs'!$B$33,'Inputs'!$B$29+'Inputs'!$B$31+'Inputs'!$B$32,'Inputs'!$B$30+'Inputs'!$B$31+'Inputs'!$B$32)/1000+'Inputs'!$B$21))^2+('Inputs'!$B$6/2)^2)))-'Results'!C7*(1+'Inputs'!$B$24)*(0.5*((((290-43)*MAX('Inputs'!$B$33,'Inputs'!$B$29+'Inputs'!$B$31+'Inputs'!$B$32,'Inputs'!$B$30+'Inputs'!$B$31+'Inputs'!$B$32)/1000+'Inputs'!$B$21+'Inputs'!$B$7+'Inputs'!$B$10)+'Inputs'!$B$9)/SQRT((((290-43)*MAX('Inputs'!$B$33,'Inputs'!$B$29+'Inputs'!$B$31+'Inputs'!$B$32,'Inputs'!$B$30+'Inputs'!$B$31+'Inputs'!$B$32)/1000+'Inputs'!$B$21+'Inputs'!$B$7+'Inputs'!$B$10)+'Inputs'!$B$9)^2+('Inputs'!$B$8/2)^2)-(((290-43)*MAX('Inputs'!$B$33,'Inputs'!$B$29+'Inputs'!$B$31+'Inputs'!$B$32,'Inputs'!$B$30+'Inputs'!$B$31+'Inputs'!$B$32)/1000+'Inputs'!$B$21+'Inputs'!$B$7+'Inputs'!$B$10))/SQRT((((290-43)*MAX('Inputs'!$B$33,'Inputs'!$B$29+'Inputs'!$B$31+'Inputs'!$B$32,'Inputs'!$B$30+'Inputs'!$B$31+'Inputs'!$B$32)/1000+'Inputs'!$B$21+'Inputs'!$B$7+'Inputs'!$B$10))^2+('Inputs'!$B$8/2)^2))))*'Results'!$B$8))),"")</x:f>
        <x:v>36.4855885879511</x:v>
      </x:c>
      <x:c r="L290" t="n">
        <x:f>IF(AND(ISNUMBER('Results'!B7),ISNUMBER('Results'!C7),ISNUMBER('Results'!$B$8),ISNUMBER('Inputs'!$B$6),ISNUMBER('Inputs'!$B$7),ISNUMBER('Inputs'!$B$8),ISNUMBER('Inputs'!$B$9),ISNUMBER('Inputs'!$B$10),ISNUMBER('Inputs'!$B$21),ISNUMBER('Inputs'!$B$24),ISNUMBER('Inputs'!$B$28)),((('Results'!B7*(1+'Inputs'!$B$24)*(0.5*((((290-43)*MAX('Inputs'!$B$33,'Inputs'!$B$29+'Inputs'!$B$31+'Inputs'!$B$32,'Inputs'!$B$30+'Inputs'!$B$31+'Inputs'!$B$32)/1000+'Inputs'!$B$21)+'Inputs'!$B$7)/SQRT((((290-43)*MAX('Inputs'!$B$33,'Inputs'!$B$29+'Inputs'!$B$31+'Inputs'!$B$32,'Inputs'!$B$30+'Inputs'!$B$31+'Inputs'!$B$32)/1000+'Inputs'!$B$21)+'Inputs'!$B$7)^2+('Inputs'!$B$6/2)^2)-(((290-43)*MAX('Inputs'!$B$33,'Inputs'!$B$29+'Inputs'!$B$31+'Inputs'!$B$32,'Inputs'!$B$30+'Inputs'!$B$31+'Inputs'!$B$32)/1000+'Inputs'!$B$21))/SQRT((((290-43)*MAX('Inputs'!$B$33,'Inputs'!$B$29+'Inputs'!$B$31+'Inputs'!$B$32,'Inputs'!$B$30+'Inputs'!$B$31+'Inputs'!$B$32)/1000+'Inputs'!$B$21))^2+('Inputs'!$B$6/2)^2)))-'Results'!C7*(1-'Inputs'!$B$24)*(0.5*((((290-43)*MAX('Inputs'!$B$33,'Inputs'!$B$29+'Inputs'!$B$31+'Inputs'!$B$32,'Inputs'!$B$30+'Inputs'!$B$31+'Inputs'!$B$32)/1000+'Inputs'!$B$21+'Inputs'!$B$7+'Inputs'!$B$10)+'Inputs'!$B$9)/SQRT((((290-43)*MAX('Inputs'!$B$33,'Inputs'!$B$29+'Inputs'!$B$31+'Inputs'!$B$32,'Inputs'!$B$30+'Inputs'!$B$31+'Inputs'!$B$32)/1000+'Inputs'!$B$21+'Inputs'!$B$7+'Inputs'!$B$10)+'Inputs'!$B$9)^2+('Inputs'!$B$8/2)^2)-(((290-43)*MAX('Inputs'!$B$33,'Inputs'!$B$29+'Inputs'!$B$31+'Inputs'!$B$32,'Inputs'!$B$30+'Inputs'!$B$31+'Inputs'!$B$32)/1000+'Inputs'!$B$21+'Inputs'!$B$7+'Inputs'!$B$10))/SQRT((((290-43)*MAX('Inputs'!$B$33,'Inputs'!$B$29+'Inputs'!$B$31+'Inputs'!$B$32,'Inputs'!$B$30+'Inputs'!$B$31+'Inputs'!$B$32)/1000+'Inputs'!$B$21+'Inputs'!$B$7+'Inputs'!$B$10))^2+('Inputs'!$B$8/2)^2))))*'Results'!$B$8)+'Inputs'!$B$28*ABS((('Results'!B7*(1+'Inputs'!$B$24)*(0.5*((((290-43)*MAX('Inputs'!$B$33,'Inputs'!$B$29+'Inputs'!$B$31+'Inputs'!$B$32,'Inputs'!$B$30+'Inputs'!$B$31+'Inputs'!$B$32)/1000+'Inputs'!$B$21)+'Inputs'!$B$7)/SQRT((((290-43)*MAX('Inputs'!$B$33,'Inputs'!$B$29+'Inputs'!$B$31+'Inputs'!$B$32,'Inputs'!$B$30+'Inputs'!$B$31+'Inputs'!$B$32)/1000+'Inputs'!$B$21)+'Inputs'!$B$7)^2+('Inputs'!$B$6/2)^2)-(((290-43)*MAX('Inputs'!$B$33,'Inputs'!$B$29+'Inputs'!$B$31+'Inputs'!$B$32,'Inputs'!$B$30+'Inputs'!$B$31+'Inputs'!$B$32)/1000+'Inputs'!$B$21))/SQRT((((290-43)*MAX('Inputs'!$B$33,'Inputs'!$B$29+'Inputs'!$B$31+'Inputs'!$B$32,'Inputs'!$B$30+'Inputs'!$B$31+'Inputs'!$B$32)/1000+'Inputs'!$B$21))^2+('Inputs'!$B$6/2)^2)))-'Results'!C7*(1-'Inputs'!$B$24)*(0.5*((((290-43)*MAX('Inputs'!$B$33,'Inputs'!$B$29+'Inputs'!$B$31+'Inputs'!$B$32,'Inputs'!$B$30+'Inputs'!$B$31+'Inputs'!$B$32)/1000+'Inputs'!$B$21+'Inputs'!$B$7+'Inputs'!$B$10)+'Inputs'!$B$9)/SQRT((((290-43)*MAX('Inputs'!$B$33,'Inputs'!$B$29+'Inputs'!$B$31+'Inputs'!$B$32,'Inputs'!$B$30+'Inputs'!$B$31+'Inputs'!$B$32)/1000+'Inputs'!$B$21+'Inputs'!$B$7+'Inputs'!$B$10)+'Inputs'!$B$9)^2+('Inputs'!$B$8/2)^2)-(((290-43)*MAX('Inputs'!$B$33,'Inputs'!$B$29+'Inputs'!$B$31+'Inputs'!$B$32,'Inputs'!$B$30+'Inputs'!$B$31+'Inputs'!$B$32)/1000+'Inputs'!$B$21+'Inputs'!$B$7+'Inputs'!$B$10))/SQRT((((290-43)*MAX('Inputs'!$B$33,'Inputs'!$B$29+'Inputs'!$B$31+'Inputs'!$B$32,'Inputs'!$B$30+'Inputs'!$B$31+'Inputs'!$B$32)/1000+'Inputs'!$B$21+'Inputs'!$B$7+'Inputs'!$B$10))^2+('Inputs'!$B$8/2)^2))))*'Results'!$B$8))),"")</x:f>
        <x:v>43.87019130987444</x:v>
      </x:c>
      <x:c r="M290" t="n">
        <x:f>IF(AND(ISNUMBER('Results'!C7),ISNUMBER('Results'!B7),ISNUMBER('Results'!$B$8),ISNUMBER('Inputs'!$B$6),ISNUMBER('Inputs'!$B$7),ISNUMBER('Inputs'!$B$8),ISNUMBER('Inputs'!$B$9),ISNUMBER('Inputs'!$B$10),ISNUMBER('Inputs'!$B$21),ISNUMBER('Inputs'!$B$24),ISNUMBER('Inputs'!$B$28)),(('Results'!C7*(0.5*((((290-43)*MAX('Inputs'!$B$33,'Inputs'!$B$29+'Inputs'!$B$31+'Inputs'!$B$32,'Inputs'!$B$30+'Inputs'!$B$31+'Inputs'!$B$32)/1000+'Inputs'!$B$21)+'Inputs'!$B$9)/SQRT((((290-43)*MAX('Inputs'!$B$33,'Inputs'!$B$29+'Inputs'!$B$31+'Inputs'!$B$32,'Inputs'!$B$30+'Inputs'!$B$31+'Inputs'!$B$32)/1000+'Inputs'!$B$21)+'Inputs'!$B$9)^2+('Inputs'!$B$8/2)^2)-(((290-43)*MAX('Inputs'!$B$33,'Inputs'!$B$29+'Inputs'!$B$31+'Inputs'!$B$32,'Inputs'!$B$30+'Inputs'!$B$31+'Inputs'!$B$32)/1000+'Inputs'!$B$21))/SQRT((((290-43)*MAX('Inputs'!$B$33,'Inputs'!$B$29+'Inputs'!$B$31+'Inputs'!$B$32,'Inputs'!$B$30+'Inputs'!$B$31+'Inputs'!$B$32)/1000+'Inputs'!$B$21))^2+('Inputs'!$B$8/2)^2)))-'Results'!B7*(0.5*((((290-43)*MAX('Inputs'!$B$33,'Inputs'!$B$29+'Inputs'!$B$31+'Inputs'!$B$32,'Inputs'!$B$30+'Inputs'!$B$31+'Inputs'!$B$32)/1000+'Inputs'!$B$21+'Inputs'!$B$9+'Inputs'!$B$10)+'Inputs'!$B$7)/SQRT((((290-43)*MAX('Inputs'!$B$33,'Inputs'!$B$29+'Inputs'!$B$31+'Inputs'!$B$32,'Inputs'!$B$30+'Inputs'!$B$31+'Inputs'!$B$32)/1000+'Inputs'!$B$21+'Inputs'!$B$9+'Inputs'!$B$10)+'Inputs'!$B$7)^2+('Inputs'!$B$6/2)^2)-(((290-43)*MAX('Inputs'!$B$33,'Inputs'!$B$29+'Inputs'!$B$31+'Inputs'!$B$32,'Inputs'!$B$30+'Inputs'!$B$31+'Inputs'!$B$32)/1000+'Inputs'!$B$21+'Inputs'!$B$9+'Inputs'!$B$10))/SQRT((((290-43)*MAX('Inputs'!$B$33,'Inputs'!$B$29+'Inputs'!$B$31+'Inputs'!$B$32,'Inputs'!$B$30+'Inputs'!$B$31+'Inputs'!$B$32)/1000+'Inputs'!$B$21+'Inputs'!$B$9+'Inputs'!$B$10))^2+('Inputs'!$B$6/2)^2))))*'Results'!$B$8),"")</x:f>
        <x:v>38.39684440012551</x:v>
      </x:c>
      <x:c r="N290" t="n">
        <x:f>IF(AND(ISNUMBER('Results'!C7),ISNUMBER('Results'!B7),ISNUMBER('Results'!$B$8),ISNUMBER('Inputs'!$B$6),ISNUMBER('Inputs'!$B$7),ISNUMBER('Inputs'!$B$8),ISNUMBER('Inputs'!$B$9),ISNUMBER('Inputs'!$B$10),ISNUMBER('Inputs'!$B$21),ISNUMBER('Inputs'!$B$24),ISNUMBER('Inputs'!$B$28)),((('Results'!C7*(1-'Inputs'!$B$24)*(0.5*((((290-43)*MAX('Inputs'!$B$33,'Inputs'!$B$29+'Inputs'!$B$31+'Inputs'!$B$32,'Inputs'!$B$30+'Inputs'!$B$31+'Inputs'!$B$32)/1000+'Inputs'!$B$21)+'Inputs'!$B$9)/SQRT((((290-43)*MAX('Inputs'!$B$33,'Inputs'!$B$29+'Inputs'!$B$31+'Inputs'!$B$32,'Inputs'!$B$30+'Inputs'!$B$31+'Inputs'!$B$32)/1000+'Inputs'!$B$21)+'Inputs'!$B$9)^2+('Inputs'!$B$8/2)^2)-(((290-43)*MAX('Inputs'!$B$33,'Inputs'!$B$29+'Inputs'!$B$31+'Inputs'!$B$32,'Inputs'!$B$30+'Inputs'!$B$31+'Inputs'!$B$32)/1000+'Inputs'!$B$21))/SQRT((((290-43)*MAX('Inputs'!$B$33,'Inputs'!$B$29+'Inputs'!$B$31+'Inputs'!$B$32,'Inputs'!$B$30+'Inputs'!$B$31+'Inputs'!$B$32)/1000+'Inputs'!$B$21))^2+('Inputs'!$B$8/2)^2)))-'Results'!B7*(1+'Inputs'!$B$24)*(0.5*((((290-43)*MAX('Inputs'!$B$33,'Inputs'!$B$29+'Inputs'!$B$31+'Inputs'!$B$32,'Inputs'!$B$30+'Inputs'!$B$31+'Inputs'!$B$32)/1000+'Inputs'!$B$21+'Inputs'!$B$9+'Inputs'!$B$10)+'Inputs'!$B$7)/SQRT((((290-43)*MAX('Inputs'!$B$33,'Inputs'!$B$29+'Inputs'!$B$31+'Inputs'!$B$32,'Inputs'!$B$30+'Inputs'!$B$31+'Inputs'!$B$32)/1000+'Inputs'!$B$21+'Inputs'!$B$9+'Inputs'!$B$10)+'Inputs'!$B$7)^2+('Inputs'!$B$6/2)^2)-(((290-43)*MAX('Inputs'!$B$33,'Inputs'!$B$29+'Inputs'!$B$31+'Inputs'!$B$32,'Inputs'!$B$30+'Inputs'!$B$31+'Inputs'!$B$32)/1000+'Inputs'!$B$21+'Inputs'!$B$9+'Inputs'!$B$10))/SQRT((((290-43)*MAX('Inputs'!$B$33,'Inputs'!$B$29+'Inputs'!$B$31+'Inputs'!$B$32,'Inputs'!$B$30+'Inputs'!$B$31+'Inputs'!$B$32)/1000+'Inputs'!$B$21+'Inputs'!$B$9+'Inputs'!$B$10))^2+('Inputs'!$B$6/2)^2))))*'Results'!$B$8)-'Inputs'!$B$28*ABS((('Results'!C7*(1-'Inputs'!$B$24)*(0.5*((((290-43)*MAX('Inputs'!$B$33,'Inputs'!$B$29+'Inputs'!$B$31+'Inputs'!$B$32,'Inputs'!$B$30+'Inputs'!$B$31+'Inputs'!$B$32)/1000+'Inputs'!$B$21)+'Inputs'!$B$9)/SQRT((((290-43)*MAX('Inputs'!$B$33,'Inputs'!$B$29+'Inputs'!$B$31+'Inputs'!$B$32,'Inputs'!$B$30+'Inputs'!$B$31+'Inputs'!$B$32)/1000+'Inputs'!$B$21)+'Inputs'!$B$9)^2+('Inputs'!$B$8/2)^2)-(((290-43)*MAX('Inputs'!$B$33,'Inputs'!$B$29+'Inputs'!$B$31+'Inputs'!$B$32,'Inputs'!$B$30+'Inputs'!$B$31+'Inputs'!$B$32)/1000+'Inputs'!$B$21))/SQRT((((290-43)*MAX('Inputs'!$B$33,'Inputs'!$B$29+'Inputs'!$B$31+'Inputs'!$B$32,'Inputs'!$B$30+'Inputs'!$B$31+'Inputs'!$B$32)/1000+'Inputs'!$B$21))^2+('Inputs'!$B$8/2)^2)))-'Results'!B7*(1+'Inputs'!$B$24)*(0.5*((((290-43)*MAX('Inputs'!$B$33,'Inputs'!$B$29+'Inputs'!$B$31+'Inputs'!$B$32,'Inputs'!$B$30+'Inputs'!$B$31+'Inputs'!$B$32)/1000+'Inputs'!$B$21+'Inputs'!$B$9+'Inputs'!$B$10)+'Inputs'!$B$7)/SQRT((((290-43)*MAX('Inputs'!$B$33,'Inputs'!$B$29+'Inputs'!$B$31+'Inputs'!$B$32,'Inputs'!$B$30+'Inputs'!$B$31+'Inputs'!$B$32)/1000+'Inputs'!$B$21+'Inputs'!$B$9+'Inputs'!$B$10)+'Inputs'!$B$7)^2+('Inputs'!$B$6/2)^2)-(((290-43)*MAX('Inputs'!$B$33,'Inputs'!$B$29+'Inputs'!$B$31+'Inputs'!$B$32,'Inputs'!$B$30+'Inputs'!$B$31+'Inputs'!$B$32)/1000+'Inputs'!$B$21+'Inputs'!$B$9+'Inputs'!$B$10))/SQRT((((290-43)*MAX('Inputs'!$B$33,'Inputs'!$B$29+'Inputs'!$B$31+'Inputs'!$B$32,'Inputs'!$B$30+'Inputs'!$B$31+'Inputs'!$B$32)/1000+'Inputs'!$B$21+'Inputs'!$B$9+'Inputs'!$B$10))^2+('Inputs'!$B$6/2)^2))))*'Results'!$B$8))),"")</x:f>
        <x:v>34.888821353330506</x:v>
      </x:c>
      <x:c r="O290" t="n">
        <x:f>IF(AND(ISNUMBER('Results'!C7),ISNUMBER('Results'!B7),ISNUMBER('Results'!$B$8),ISNUMBER('Inputs'!$B$6),ISNUMBER('Inputs'!$B$7),ISNUMBER('Inputs'!$B$8),ISNUMBER('Inputs'!$B$9),ISNUMBER('Inputs'!$B$10),ISNUMBER('Inputs'!$B$21),ISNUMBER('Inputs'!$B$24),ISNUMBER('Inputs'!$B$28)),((('Results'!C7*(1+'Inputs'!$B$24)*(0.5*((((290-43)*MAX('Inputs'!$B$33,'Inputs'!$B$29+'Inputs'!$B$31+'Inputs'!$B$32,'Inputs'!$B$30+'Inputs'!$B$31+'Inputs'!$B$32)/1000+'Inputs'!$B$21)+'Inputs'!$B$9)/SQRT((((290-43)*MAX('Inputs'!$B$33,'Inputs'!$B$29+'Inputs'!$B$31+'Inputs'!$B$32,'Inputs'!$B$30+'Inputs'!$B$31+'Inputs'!$B$32)/1000+'Inputs'!$B$21)+'Inputs'!$B$9)^2+('Inputs'!$B$8/2)^2)-(((290-43)*MAX('Inputs'!$B$33,'Inputs'!$B$29+'Inputs'!$B$31+'Inputs'!$B$32,'Inputs'!$B$30+'Inputs'!$B$31+'Inputs'!$B$32)/1000+'Inputs'!$B$21))/SQRT((((290-43)*MAX('Inputs'!$B$33,'Inputs'!$B$29+'Inputs'!$B$31+'Inputs'!$B$32,'Inputs'!$B$30+'Inputs'!$B$31+'Inputs'!$B$32)/1000+'Inputs'!$B$21))^2+('Inputs'!$B$8/2)^2)))-'Results'!B7*(1-'Inputs'!$B$24)*(0.5*((((290-43)*MAX('Inputs'!$B$33,'Inputs'!$B$29+'Inputs'!$B$31+'Inputs'!$B$32,'Inputs'!$B$30+'Inputs'!$B$31+'Inputs'!$B$32)/1000+'Inputs'!$B$21+'Inputs'!$B$9+'Inputs'!$B$10)+'Inputs'!$B$7)/SQRT((((290-43)*MAX('Inputs'!$B$33,'Inputs'!$B$29+'Inputs'!$B$31+'Inputs'!$B$32,'Inputs'!$B$30+'Inputs'!$B$31+'Inputs'!$B$32)/1000+'Inputs'!$B$21+'Inputs'!$B$9+'Inputs'!$B$10)+'Inputs'!$B$7)^2+('Inputs'!$B$6/2)^2)-(((290-43)*MAX('Inputs'!$B$33,'Inputs'!$B$29+'Inputs'!$B$31+'Inputs'!$B$32,'Inputs'!$B$30+'Inputs'!$B$31+'Inputs'!$B$32)/1000+'Inputs'!$B$21+'Inputs'!$B$9+'Inputs'!$B$10))/SQRT((((290-43)*MAX('Inputs'!$B$33,'Inputs'!$B$29+'Inputs'!$B$31+'Inputs'!$B$32,'Inputs'!$B$30+'Inputs'!$B$31+'Inputs'!$B$32)/1000+'Inputs'!$B$21+'Inputs'!$B$9+'Inputs'!$B$10))^2+('Inputs'!$B$6/2)^2))))*'Results'!$B$8)+'Inputs'!$B$28*ABS((('Results'!C7*(1+'Inputs'!$B$24)*(0.5*((((290-43)*MAX('Inputs'!$B$33,'Inputs'!$B$29+'Inputs'!$B$31+'Inputs'!$B$32,'Inputs'!$B$30+'Inputs'!$B$31+'Inputs'!$B$32)/1000+'Inputs'!$B$21)+'Inputs'!$B$9)/SQRT((((290-43)*MAX('Inputs'!$B$33,'Inputs'!$B$29+'Inputs'!$B$31+'Inputs'!$B$32,'Inputs'!$B$30+'Inputs'!$B$31+'Inputs'!$B$32)/1000+'Inputs'!$B$21)+'Inputs'!$B$9)^2+('Inputs'!$B$8/2)^2)-(((290-43)*MAX('Inputs'!$B$33,'Inputs'!$B$29+'Inputs'!$B$31+'Inputs'!$B$32,'Inputs'!$B$30+'Inputs'!$B$31+'Inputs'!$B$32)/1000+'Inputs'!$B$21))/SQRT((((290-43)*MAX('Inputs'!$B$33,'Inputs'!$B$29+'Inputs'!$B$31+'Inputs'!$B$32,'Inputs'!$B$30+'Inputs'!$B$31+'Inputs'!$B$32)/1000+'Inputs'!$B$21))^2+('Inputs'!$B$8/2)^2)))-'Results'!B7*(1-'Inputs'!$B$24)*(0.5*((((290-43)*MAX('Inputs'!$B$33,'Inputs'!$B$29+'Inputs'!$B$31+'Inputs'!$B$32,'Inputs'!$B$30+'Inputs'!$B$31+'Inputs'!$B$32)/1000+'Inputs'!$B$21+'Inputs'!$B$9+'Inputs'!$B$10)+'Inputs'!$B$7)/SQRT((((290-43)*MAX('Inputs'!$B$33,'Inputs'!$B$29+'Inputs'!$B$31+'Inputs'!$B$32,'Inputs'!$B$30+'Inputs'!$B$31+'Inputs'!$B$32)/1000+'Inputs'!$B$21+'Inputs'!$B$9+'Inputs'!$B$10)+'Inputs'!$B$7)^2+('Inputs'!$B$6/2)^2)-(((290-43)*MAX('Inputs'!$B$33,'Inputs'!$B$29+'Inputs'!$B$31+'Inputs'!$B$32,'Inputs'!$B$30+'Inputs'!$B$31+'Inputs'!$B$32)/1000+'Inputs'!$B$21+'Inputs'!$B$9+'Inputs'!$B$10))/SQRT((((290-43)*MAX('Inputs'!$B$33,'Inputs'!$B$29+'Inputs'!$B$31+'Inputs'!$B$32,'Inputs'!$B$30+'Inputs'!$B$31+'Inputs'!$B$32)/1000+'Inputs'!$B$21+'Inputs'!$B$9+'Inputs'!$B$10))^2+('Inputs'!$B$6/2)^2))))*'Results'!$B$8))),"")</x:f>
        <x:v>42.07204437605616</x:v>
      </x:c>
      <x:c r="P290" t="n">
        <x:f>IF(AND(MAX(J290,J289)&gt;0,J290&gt;J289+0.00000001),1,0)</x:f>
        <x:v>0</x:v>
      </x:c>
      <x:c r="Q290" t="n">
        <x:f>IF(AND(MAX(K290,K289)&gt;0,K290&gt;K289+0.00000001),1,0)</x:f>
        <x:v>0</x:v>
      </x:c>
      <x:c r="R290" t="n">
        <x:f>IF(AND(MAX(L290,L289)&gt;0,L290&gt;L289+0.00000001),1,0)</x:f>
        <x:v>0</x:v>
      </x:c>
      <x:c r="S290" t="n">
        <x:f>IF(AND(MAX(M290,M289)&gt;0,M290&gt;M289+0.00000001),1,0)</x:f>
        <x:v>0</x:v>
      </x:c>
      <x:c r="T290" t="n">
        <x:f>IF(AND(MAX(N290,N289)&gt;0,N290&gt;N289+0.00000001),1,0)</x:f>
        <x:v>0</x:v>
      </x:c>
      <x:c r="U290" t="n">
        <x:f>IF(AND(MAX(O290,O289)&gt;0,O290&gt;O289+0.00000001),1,0)</x:f>
        <x:v>0</x:v>
      </x:c>
    </x:row>
    <x:row r="291">
      <x:c r="J291" t="n">
        <x:f>IF(AND(ISNUMBER('Results'!B7),ISNUMBER('Results'!C7),ISNUMBER('Results'!$B$8),ISNUMBER('Inputs'!$B$6),ISNUMBER('Inputs'!$B$7),ISNUMBER('Inputs'!$B$8),ISNUMBER('Inputs'!$B$9),ISNUMBER('Inputs'!$B$10),ISNUMBER('Inputs'!$B$21),ISNUMBER('Inputs'!$B$24),ISNUMBER('Inputs'!$B$28)),(('Results'!B7*(0.5*((((291-43)*MAX('Inputs'!$B$33,'Inputs'!$B$29+'Inputs'!$B$31+'Inputs'!$B$32,'Inputs'!$B$30+'Inputs'!$B$31+'Inputs'!$B$32)/1000+'Inputs'!$B$21)+'Inputs'!$B$7)/SQRT((((291-43)*MAX('Inputs'!$B$33,'Inputs'!$B$29+'Inputs'!$B$31+'Inputs'!$B$32,'Inputs'!$B$30+'Inputs'!$B$31+'Inputs'!$B$32)/1000+'Inputs'!$B$21)+'Inputs'!$B$7)^2+('Inputs'!$B$6/2)^2)-(((291-43)*MAX('Inputs'!$B$33,'Inputs'!$B$29+'Inputs'!$B$31+'Inputs'!$B$32,'Inputs'!$B$30+'Inputs'!$B$31+'Inputs'!$B$32)/1000+'Inputs'!$B$21))/SQRT((((291-43)*MAX('Inputs'!$B$33,'Inputs'!$B$29+'Inputs'!$B$31+'Inputs'!$B$32,'Inputs'!$B$30+'Inputs'!$B$31+'Inputs'!$B$32)/1000+'Inputs'!$B$21))^2+('Inputs'!$B$6/2)^2)))-'Results'!C7*(0.5*((((291-43)*MAX('Inputs'!$B$33,'Inputs'!$B$29+'Inputs'!$B$31+'Inputs'!$B$32,'Inputs'!$B$30+'Inputs'!$B$31+'Inputs'!$B$32)/1000+'Inputs'!$B$21+'Inputs'!$B$7+'Inputs'!$B$10)+'Inputs'!$B$9)/SQRT((((291-43)*MAX('Inputs'!$B$33,'Inputs'!$B$29+'Inputs'!$B$31+'Inputs'!$B$32,'Inputs'!$B$30+'Inputs'!$B$31+'Inputs'!$B$32)/1000+'Inputs'!$B$21+'Inputs'!$B$7+'Inputs'!$B$10)+'Inputs'!$B$9)^2+('Inputs'!$B$8/2)^2)-(((291-43)*MAX('Inputs'!$B$33,'Inputs'!$B$29+'Inputs'!$B$31+'Inputs'!$B$32,'Inputs'!$B$30+'Inputs'!$B$31+'Inputs'!$B$32)/1000+'Inputs'!$B$21+'Inputs'!$B$7+'Inputs'!$B$10))/SQRT((((291-43)*MAX('Inputs'!$B$33,'Inputs'!$B$29+'Inputs'!$B$31+'Inputs'!$B$32,'Inputs'!$B$30+'Inputs'!$B$31+'Inputs'!$B$32)/1000+'Inputs'!$B$21+'Inputs'!$B$7+'Inputs'!$B$10))^2+('Inputs'!$B$8/2)^2))))*'Results'!$B$8),"")</x:f>
        <x:v>39.61813894217244</x:v>
      </x:c>
      <x:c r="K291" t="n">
        <x:f>IF(AND(ISNUMBER('Results'!B7),ISNUMBER('Results'!C7),ISNUMBER('Results'!$B$8),ISNUMBER('Inputs'!$B$6),ISNUMBER('Inputs'!$B$7),ISNUMBER('Inputs'!$B$8),ISNUMBER('Inputs'!$B$9),ISNUMBER('Inputs'!$B$10),ISNUMBER('Inputs'!$B$21),ISNUMBER('Inputs'!$B$24),ISNUMBER('Inputs'!$B$28)),((('Results'!B7*(1-'Inputs'!$B$24)*(0.5*((((291-43)*MAX('Inputs'!$B$33,'Inputs'!$B$29+'Inputs'!$B$31+'Inputs'!$B$32,'Inputs'!$B$30+'Inputs'!$B$31+'Inputs'!$B$32)/1000+'Inputs'!$B$21)+'Inputs'!$B$7)/SQRT((((291-43)*MAX('Inputs'!$B$33,'Inputs'!$B$29+'Inputs'!$B$31+'Inputs'!$B$32,'Inputs'!$B$30+'Inputs'!$B$31+'Inputs'!$B$32)/1000+'Inputs'!$B$21)+'Inputs'!$B$7)^2+('Inputs'!$B$6/2)^2)-(((291-43)*MAX('Inputs'!$B$33,'Inputs'!$B$29+'Inputs'!$B$31+'Inputs'!$B$32,'Inputs'!$B$30+'Inputs'!$B$31+'Inputs'!$B$32)/1000+'Inputs'!$B$21))/SQRT((((291-43)*MAX('Inputs'!$B$33,'Inputs'!$B$29+'Inputs'!$B$31+'Inputs'!$B$32,'Inputs'!$B$30+'Inputs'!$B$31+'Inputs'!$B$32)/1000+'Inputs'!$B$21))^2+('Inputs'!$B$6/2)^2)))-'Results'!C7*(1+'Inputs'!$B$24)*(0.5*((((291-43)*MAX('Inputs'!$B$33,'Inputs'!$B$29+'Inputs'!$B$31+'Inputs'!$B$32,'Inputs'!$B$30+'Inputs'!$B$31+'Inputs'!$B$32)/1000+'Inputs'!$B$21+'Inputs'!$B$7+'Inputs'!$B$10)+'Inputs'!$B$9)/SQRT((((291-43)*MAX('Inputs'!$B$33,'Inputs'!$B$29+'Inputs'!$B$31+'Inputs'!$B$32,'Inputs'!$B$30+'Inputs'!$B$31+'Inputs'!$B$32)/1000+'Inputs'!$B$21+'Inputs'!$B$7+'Inputs'!$B$10)+'Inputs'!$B$9)^2+('Inputs'!$B$8/2)^2)-(((291-43)*MAX('Inputs'!$B$33,'Inputs'!$B$29+'Inputs'!$B$31+'Inputs'!$B$32,'Inputs'!$B$30+'Inputs'!$B$31+'Inputs'!$B$32)/1000+'Inputs'!$B$21+'Inputs'!$B$7+'Inputs'!$B$10))/SQRT((((291-43)*MAX('Inputs'!$B$33,'Inputs'!$B$29+'Inputs'!$B$31+'Inputs'!$B$32,'Inputs'!$B$30+'Inputs'!$B$31+'Inputs'!$B$32)/1000+'Inputs'!$B$21+'Inputs'!$B$7+'Inputs'!$B$10))^2+('Inputs'!$B$8/2)^2))))*'Results'!$B$8)-'Inputs'!$B$28*ABS((('Results'!B7*(1-'Inputs'!$B$24)*(0.5*((((291-43)*MAX('Inputs'!$B$33,'Inputs'!$B$29+'Inputs'!$B$31+'Inputs'!$B$32,'Inputs'!$B$30+'Inputs'!$B$31+'Inputs'!$B$32)/1000+'Inputs'!$B$21)+'Inputs'!$B$7)/SQRT((((291-43)*MAX('Inputs'!$B$33,'Inputs'!$B$29+'Inputs'!$B$31+'Inputs'!$B$32,'Inputs'!$B$30+'Inputs'!$B$31+'Inputs'!$B$32)/1000+'Inputs'!$B$21)+'Inputs'!$B$7)^2+('Inputs'!$B$6/2)^2)-(((291-43)*MAX('Inputs'!$B$33,'Inputs'!$B$29+'Inputs'!$B$31+'Inputs'!$B$32,'Inputs'!$B$30+'Inputs'!$B$31+'Inputs'!$B$32)/1000+'Inputs'!$B$21))/SQRT((((291-43)*MAX('Inputs'!$B$33,'Inputs'!$B$29+'Inputs'!$B$31+'Inputs'!$B$32,'Inputs'!$B$30+'Inputs'!$B$31+'Inputs'!$B$32)/1000+'Inputs'!$B$21))^2+('Inputs'!$B$6/2)^2)))-'Results'!C7*(1+'Inputs'!$B$24)*(0.5*((((291-43)*MAX('Inputs'!$B$33,'Inputs'!$B$29+'Inputs'!$B$31+'Inputs'!$B$32,'Inputs'!$B$30+'Inputs'!$B$31+'Inputs'!$B$32)/1000+'Inputs'!$B$21+'Inputs'!$B$7+'Inputs'!$B$10)+'Inputs'!$B$9)/SQRT((((291-43)*MAX('Inputs'!$B$33,'Inputs'!$B$29+'Inputs'!$B$31+'Inputs'!$B$32,'Inputs'!$B$30+'Inputs'!$B$31+'Inputs'!$B$32)/1000+'Inputs'!$B$21+'Inputs'!$B$7+'Inputs'!$B$10)+'Inputs'!$B$9)^2+('Inputs'!$B$8/2)^2)-(((291-43)*MAX('Inputs'!$B$33,'Inputs'!$B$29+'Inputs'!$B$31+'Inputs'!$B$32,'Inputs'!$B$30+'Inputs'!$B$31+'Inputs'!$B$32)/1000+'Inputs'!$B$21+'Inputs'!$B$7+'Inputs'!$B$10))/SQRT((((291-43)*MAX('Inputs'!$B$33,'Inputs'!$B$29+'Inputs'!$B$31+'Inputs'!$B$32,'Inputs'!$B$30+'Inputs'!$B$31+'Inputs'!$B$32)/1000+'Inputs'!$B$21+'Inputs'!$B$7+'Inputs'!$B$10))^2+('Inputs'!$B$8/2)^2))))*'Results'!$B$8))),"")</x:f>
        <x:v>36.049349481886</x:v>
      </x:c>
      <x:c r="L291" t="n">
        <x:f>IF(AND(ISNUMBER('Results'!B7),ISNUMBER('Results'!C7),ISNUMBER('Results'!$B$8),ISNUMBER('Inputs'!$B$6),ISNUMBER('Inputs'!$B$7),ISNUMBER('Inputs'!$B$8),ISNUMBER('Inputs'!$B$9),ISNUMBER('Inputs'!$B$10),ISNUMBER('Inputs'!$B$21),ISNUMBER('Inputs'!$B$24),ISNUMBER('Inputs'!$B$28)),((('Results'!B7*(1+'Inputs'!$B$24)*(0.5*((((291-43)*MAX('Inputs'!$B$33,'Inputs'!$B$29+'Inputs'!$B$31+'Inputs'!$B$32,'Inputs'!$B$30+'Inputs'!$B$31+'Inputs'!$B$32)/1000+'Inputs'!$B$21)+'Inputs'!$B$7)/SQRT((((291-43)*MAX('Inputs'!$B$33,'Inputs'!$B$29+'Inputs'!$B$31+'Inputs'!$B$32,'Inputs'!$B$30+'Inputs'!$B$31+'Inputs'!$B$32)/1000+'Inputs'!$B$21)+'Inputs'!$B$7)^2+('Inputs'!$B$6/2)^2)-(((291-43)*MAX('Inputs'!$B$33,'Inputs'!$B$29+'Inputs'!$B$31+'Inputs'!$B$32,'Inputs'!$B$30+'Inputs'!$B$31+'Inputs'!$B$32)/1000+'Inputs'!$B$21))/SQRT((((291-43)*MAX('Inputs'!$B$33,'Inputs'!$B$29+'Inputs'!$B$31+'Inputs'!$B$32,'Inputs'!$B$30+'Inputs'!$B$31+'Inputs'!$B$32)/1000+'Inputs'!$B$21))^2+('Inputs'!$B$6/2)^2)))-'Results'!C7*(1-'Inputs'!$B$24)*(0.5*((((291-43)*MAX('Inputs'!$B$33,'Inputs'!$B$29+'Inputs'!$B$31+'Inputs'!$B$32,'Inputs'!$B$30+'Inputs'!$B$31+'Inputs'!$B$32)/1000+'Inputs'!$B$21+'Inputs'!$B$7+'Inputs'!$B$10)+'Inputs'!$B$9)/SQRT((((291-43)*MAX('Inputs'!$B$33,'Inputs'!$B$29+'Inputs'!$B$31+'Inputs'!$B$32,'Inputs'!$B$30+'Inputs'!$B$31+'Inputs'!$B$32)/1000+'Inputs'!$B$21+'Inputs'!$B$7+'Inputs'!$B$10)+'Inputs'!$B$9)^2+('Inputs'!$B$8/2)^2)-(((291-43)*MAX('Inputs'!$B$33,'Inputs'!$B$29+'Inputs'!$B$31+'Inputs'!$B$32,'Inputs'!$B$30+'Inputs'!$B$31+'Inputs'!$B$32)/1000+'Inputs'!$B$21+'Inputs'!$B$7+'Inputs'!$B$10))/SQRT((((291-43)*MAX('Inputs'!$B$33,'Inputs'!$B$29+'Inputs'!$B$31+'Inputs'!$B$32,'Inputs'!$B$30+'Inputs'!$B$31+'Inputs'!$B$32)/1000+'Inputs'!$B$21+'Inputs'!$B$7+'Inputs'!$B$10))^2+('Inputs'!$B$8/2)^2))))*'Results'!$B$8)+'Inputs'!$B$28*ABS((('Results'!B7*(1+'Inputs'!$B$24)*(0.5*((((291-43)*MAX('Inputs'!$B$33,'Inputs'!$B$29+'Inputs'!$B$31+'Inputs'!$B$32,'Inputs'!$B$30+'Inputs'!$B$31+'Inputs'!$B$32)/1000+'Inputs'!$B$21)+'Inputs'!$B$7)/SQRT((((291-43)*MAX('Inputs'!$B$33,'Inputs'!$B$29+'Inputs'!$B$31+'Inputs'!$B$32,'Inputs'!$B$30+'Inputs'!$B$31+'Inputs'!$B$32)/1000+'Inputs'!$B$21)+'Inputs'!$B$7)^2+('Inputs'!$B$6/2)^2)-(((291-43)*MAX('Inputs'!$B$33,'Inputs'!$B$29+'Inputs'!$B$31+'Inputs'!$B$32,'Inputs'!$B$30+'Inputs'!$B$31+'Inputs'!$B$32)/1000+'Inputs'!$B$21))/SQRT((((291-43)*MAX('Inputs'!$B$33,'Inputs'!$B$29+'Inputs'!$B$31+'Inputs'!$B$32,'Inputs'!$B$30+'Inputs'!$B$31+'Inputs'!$B$32)/1000+'Inputs'!$B$21))^2+('Inputs'!$B$6/2)^2)))-'Results'!C7*(1-'Inputs'!$B$24)*(0.5*((((291-43)*MAX('Inputs'!$B$33,'Inputs'!$B$29+'Inputs'!$B$31+'Inputs'!$B$32,'Inputs'!$B$30+'Inputs'!$B$31+'Inputs'!$B$32)/1000+'Inputs'!$B$21+'Inputs'!$B$7+'Inputs'!$B$10)+'Inputs'!$B$9)/SQRT((((291-43)*MAX('Inputs'!$B$33,'Inputs'!$B$29+'Inputs'!$B$31+'Inputs'!$B$32,'Inputs'!$B$30+'Inputs'!$B$31+'Inputs'!$B$32)/1000+'Inputs'!$B$21+'Inputs'!$B$7+'Inputs'!$B$10)+'Inputs'!$B$9)^2+('Inputs'!$B$8/2)^2)-(((291-43)*MAX('Inputs'!$B$33,'Inputs'!$B$29+'Inputs'!$B$31+'Inputs'!$B$32,'Inputs'!$B$30+'Inputs'!$B$31+'Inputs'!$B$32)/1000+'Inputs'!$B$21+'Inputs'!$B$7+'Inputs'!$B$10))/SQRT((((291-43)*MAX('Inputs'!$B$33,'Inputs'!$B$29+'Inputs'!$B$31+'Inputs'!$B$32,'Inputs'!$B$30+'Inputs'!$B$31+'Inputs'!$B$32)/1000+'Inputs'!$B$21+'Inputs'!$B$7+'Inputs'!$B$10))^2+('Inputs'!$B$8/2)^2))))*'Results'!$B$8))),"")</x:f>
        <x:v>43.35407393016181</x:v>
      </x:c>
      <x:c r="M291" t="n">
        <x:f>IF(AND(ISNUMBER('Results'!C7),ISNUMBER('Results'!B7),ISNUMBER('Results'!$B$8),ISNUMBER('Inputs'!$B$6),ISNUMBER('Inputs'!$B$7),ISNUMBER('Inputs'!$B$8),ISNUMBER('Inputs'!$B$9),ISNUMBER('Inputs'!$B$10),ISNUMBER('Inputs'!$B$21),ISNUMBER('Inputs'!$B$24),ISNUMBER('Inputs'!$B$28)),(('Results'!C7*(0.5*((((291-43)*MAX('Inputs'!$B$33,'Inputs'!$B$29+'Inputs'!$B$31+'Inputs'!$B$32,'Inputs'!$B$30+'Inputs'!$B$31+'Inputs'!$B$32)/1000+'Inputs'!$B$21)+'Inputs'!$B$9)/SQRT((((291-43)*MAX('Inputs'!$B$33,'Inputs'!$B$29+'Inputs'!$B$31+'Inputs'!$B$32,'Inputs'!$B$30+'Inputs'!$B$31+'Inputs'!$B$32)/1000+'Inputs'!$B$21)+'Inputs'!$B$9)^2+('Inputs'!$B$8/2)^2)-(((291-43)*MAX('Inputs'!$B$33,'Inputs'!$B$29+'Inputs'!$B$31+'Inputs'!$B$32,'Inputs'!$B$30+'Inputs'!$B$31+'Inputs'!$B$32)/1000+'Inputs'!$B$21))/SQRT((((291-43)*MAX('Inputs'!$B$33,'Inputs'!$B$29+'Inputs'!$B$31+'Inputs'!$B$32,'Inputs'!$B$30+'Inputs'!$B$31+'Inputs'!$B$32)/1000+'Inputs'!$B$21))^2+('Inputs'!$B$8/2)^2)))-'Results'!B7*(0.5*((((291-43)*MAX('Inputs'!$B$33,'Inputs'!$B$29+'Inputs'!$B$31+'Inputs'!$B$32,'Inputs'!$B$30+'Inputs'!$B$31+'Inputs'!$B$32)/1000+'Inputs'!$B$21+'Inputs'!$B$9+'Inputs'!$B$10)+'Inputs'!$B$7)/SQRT((((291-43)*MAX('Inputs'!$B$33,'Inputs'!$B$29+'Inputs'!$B$31+'Inputs'!$B$32,'Inputs'!$B$30+'Inputs'!$B$31+'Inputs'!$B$32)/1000+'Inputs'!$B$21+'Inputs'!$B$9+'Inputs'!$B$10)+'Inputs'!$B$7)^2+('Inputs'!$B$6/2)^2)-(((291-43)*MAX('Inputs'!$B$33,'Inputs'!$B$29+'Inputs'!$B$31+'Inputs'!$B$32,'Inputs'!$B$30+'Inputs'!$B$31+'Inputs'!$B$32)/1000+'Inputs'!$B$21+'Inputs'!$B$9+'Inputs'!$B$10))/SQRT((((291-43)*MAX('Inputs'!$B$33,'Inputs'!$B$29+'Inputs'!$B$31+'Inputs'!$B$32,'Inputs'!$B$30+'Inputs'!$B$31+'Inputs'!$B$32)/1000+'Inputs'!$B$21+'Inputs'!$B$9+'Inputs'!$B$10))^2+('Inputs'!$B$6/2)^2))))*'Results'!$B$8),"")</x:f>
        <x:v>37.93771333352902</x:v>
      </x:c>
      <x:c r="N291" t="n">
        <x:f>IF(AND(ISNUMBER('Results'!C7),ISNUMBER('Results'!B7),ISNUMBER('Results'!$B$8),ISNUMBER('Inputs'!$B$6),ISNUMBER('Inputs'!$B$7),ISNUMBER('Inputs'!$B$8),ISNUMBER('Inputs'!$B$9),ISNUMBER('Inputs'!$B$10),ISNUMBER('Inputs'!$B$21),ISNUMBER('Inputs'!$B$24),ISNUMBER('Inputs'!$B$28)),((('Results'!C7*(1-'Inputs'!$B$24)*(0.5*((((291-43)*MAX('Inputs'!$B$33,'Inputs'!$B$29+'Inputs'!$B$31+'Inputs'!$B$32,'Inputs'!$B$30+'Inputs'!$B$31+'Inputs'!$B$32)/1000+'Inputs'!$B$21)+'Inputs'!$B$9)/SQRT((((291-43)*MAX('Inputs'!$B$33,'Inputs'!$B$29+'Inputs'!$B$31+'Inputs'!$B$32,'Inputs'!$B$30+'Inputs'!$B$31+'Inputs'!$B$32)/1000+'Inputs'!$B$21)+'Inputs'!$B$9)^2+('Inputs'!$B$8/2)^2)-(((291-43)*MAX('Inputs'!$B$33,'Inputs'!$B$29+'Inputs'!$B$31+'Inputs'!$B$32,'Inputs'!$B$30+'Inputs'!$B$31+'Inputs'!$B$32)/1000+'Inputs'!$B$21))/SQRT((((291-43)*MAX('Inputs'!$B$33,'Inputs'!$B$29+'Inputs'!$B$31+'Inputs'!$B$32,'Inputs'!$B$30+'Inputs'!$B$31+'Inputs'!$B$32)/1000+'Inputs'!$B$21))^2+('Inputs'!$B$8/2)^2)))-'Results'!B7*(1+'Inputs'!$B$24)*(0.5*((((291-43)*MAX('Inputs'!$B$33,'Inputs'!$B$29+'Inputs'!$B$31+'Inputs'!$B$32,'Inputs'!$B$30+'Inputs'!$B$31+'Inputs'!$B$32)/1000+'Inputs'!$B$21+'Inputs'!$B$9+'Inputs'!$B$10)+'Inputs'!$B$7)/SQRT((((291-43)*MAX('Inputs'!$B$33,'Inputs'!$B$29+'Inputs'!$B$31+'Inputs'!$B$32,'Inputs'!$B$30+'Inputs'!$B$31+'Inputs'!$B$32)/1000+'Inputs'!$B$21+'Inputs'!$B$9+'Inputs'!$B$10)+'Inputs'!$B$7)^2+('Inputs'!$B$6/2)^2)-(((291-43)*MAX('Inputs'!$B$33,'Inputs'!$B$29+'Inputs'!$B$31+'Inputs'!$B$32,'Inputs'!$B$30+'Inputs'!$B$31+'Inputs'!$B$32)/1000+'Inputs'!$B$21+'Inputs'!$B$9+'Inputs'!$B$10))/SQRT((((291-43)*MAX('Inputs'!$B$33,'Inputs'!$B$29+'Inputs'!$B$31+'Inputs'!$B$32,'Inputs'!$B$30+'Inputs'!$B$31+'Inputs'!$B$32)/1000+'Inputs'!$B$21+'Inputs'!$B$9+'Inputs'!$B$10))^2+('Inputs'!$B$6/2)^2))))*'Results'!$B$8)-'Inputs'!$B$28*ABS((('Results'!C7*(1-'Inputs'!$B$24)*(0.5*((((291-43)*MAX('Inputs'!$B$33,'Inputs'!$B$29+'Inputs'!$B$31+'Inputs'!$B$32,'Inputs'!$B$30+'Inputs'!$B$31+'Inputs'!$B$32)/1000+'Inputs'!$B$21)+'Inputs'!$B$9)/SQRT((((291-43)*MAX('Inputs'!$B$33,'Inputs'!$B$29+'Inputs'!$B$31+'Inputs'!$B$32,'Inputs'!$B$30+'Inputs'!$B$31+'Inputs'!$B$32)/1000+'Inputs'!$B$21)+'Inputs'!$B$9)^2+('Inputs'!$B$8/2)^2)-(((291-43)*MAX('Inputs'!$B$33,'Inputs'!$B$29+'Inputs'!$B$31+'Inputs'!$B$32,'Inputs'!$B$30+'Inputs'!$B$31+'Inputs'!$B$32)/1000+'Inputs'!$B$21))/SQRT((((291-43)*MAX('Inputs'!$B$33,'Inputs'!$B$29+'Inputs'!$B$31+'Inputs'!$B$32,'Inputs'!$B$30+'Inputs'!$B$31+'Inputs'!$B$32)/1000+'Inputs'!$B$21))^2+('Inputs'!$B$8/2)^2)))-'Results'!B7*(1+'Inputs'!$B$24)*(0.5*((((291-43)*MAX('Inputs'!$B$33,'Inputs'!$B$29+'Inputs'!$B$31+'Inputs'!$B$32,'Inputs'!$B$30+'Inputs'!$B$31+'Inputs'!$B$32)/1000+'Inputs'!$B$21+'Inputs'!$B$9+'Inputs'!$B$10)+'Inputs'!$B$7)/SQRT((((291-43)*MAX('Inputs'!$B$33,'Inputs'!$B$29+'Inputs'!$B$31+'Inputs'!$B$32,'Inputs'!$B$30+'Inputs'!$B$31+'Inputs'!$B$32)/1000+'Inputs'!$B$21+'Inputs'!$B$9+'Inputs'!$B$10)+'Inputs'!$B$7)^2+('Inputs'!$B$6/2)^2)-(((291-43)*MAX('Inputs'!$B$33,'Inputs'!$B$29+'Inputs'!$B$31+'Inputs'!$B$32,'Inputs'!$B$30+'Inputs'!$B$31+'Inputs'!$B$32)/1000+'Inputs'!$B$21+'Inputs'!$B$9+'Inputs'!$B$10))/SQRT((((291-43)*MAX('Inputs'!$B$33,'Inputs'!$B$29+'Inputs'!$B$31+'Inputs'!$B$32,'Inputs'!$B$30+'Inputs'!$B$31+'Inputs'!$B$32)/1000+'Inputs'!$B$21+'Inputs'!$B$9+'Inputs'!$B$10))^2+('Inputs'!$B$6/2)^2))))*'Results'!$B$8))),"")</x:f>
        <x:v>34.4678296101721</x:v>
      </x:c>
      <x:c r="O291" t="n">
        <x:f>IF(AND(ISNUMBER('Results'!C7),ISNUMBER('Results'!B7),ISNUMBER('Results'!$B$8),ISNUMBER('Inputs'!$B$6),ISNUMBER('Inputs'!$B$7),ISNUMBER('Inputs'!$B$8),ISNUMBER('Inputs'!$B$9),ISNUMBER('Inputs'!$B$10),ISNUMBER('Inputs'!$B$21),ISNUMBER('Inputs'!$B$24),ISNUMBER('Inputs'!$B$28)),((('Results'!C7*(1+'Inputs'!$B$24)*(0.5*((((291-43)*MAX('Inputs'!$B$33,'Inputs'!$B$29+'Inputs'!$B$31+'Inputs'!$B$32,'Inputs'!$B$30+'Inputs'!$B$31+'Inputs'!$B$32)/1000+'Inputs'!$B$21)+'Inputs'!$B$9)/SQRT((((291-43)*MAX('Inputs'!$B$33,'Inputs'!$B$29+'Inputs'!$B$31+'Inputs'!$B$32,'Inputs'!$B$30+'Inputs'!$B$31+'Inputs'!$B$32)/1000+'Inputs'!$B$21)+'Inputs'!$B$9)^2+('Inputs'!$B$8/2)^2)-(((291-43)*MAX('Inputs'!$B$33,'Inputs'!$B$29+'Inputs'!$B$31+'Inputs'!$B$32,'Inputs'!$B$30+'Inputs'!$B$31+'Inputs'!$B$32)/1000+'Inputs'!$B$21))/SQRT((((291-43)*MAX('Inputs'!$B$33,'Inputs'!$B$29+'Inputs'!$B$31+'Inputs'!$B$32,'Inputs'!$B$30+'Inputs'!$B$31+'Inputs'!$B$32)/1000+'Inputs'!$B$21))^2+('Inputs'!$B$8/2)^2)))-'Results'!B7*(1-'Inputs'!$B$24)*(0.5*((((291-43)*MAX('Inputs'!$B$33,'Inputs'!$B$29+'Inputs'!$B$31+'Inputs'!$B$32,'Inputs'!$B$30+'Inputs'!$B$31+'Inputs'!$B$32)/1000+'Inputs'!$B$21+'Inputs'!$B$9+'Inputs'!$B$10)+'Inputs'!$B$7)/SQRT((((291-43)*MAX('Inputs'!$B$33,'Inputs'!$B$29+'Inputs'!$B$31+'Inputs'!$B$32,'Inputs'!$B$30+'Inputs'!$B$31+'Inputs'!$B$32)/1000+'Inputs'!$B$21+'Inputs'!$B$9+'Inputs'!$B$10)+'Inputs'!$B$7)^2+('Inputs'!$B$6/2)^2)-(((291-43)*MAX('Inputs'!$B$33,'Inputs'!$B$29+'Inputs'!$B$31+'Inputs'!$B$32,'Inputs'!$B$30+'Inputs'!$B$31+'Inputs'!$B$32)/1000+'Inputs'!$B$21+'Inputs'!$B$9+'Inputs'!$B$10))/SQRT((((291-43)*MAX('Inputs'!$B$33,'Inputs'!$B$29+'Inputs'!$B$31+'Inputs'!$B$32,'Inputs'!$B$30+'Inputs'!$B$31+'Inputs'!$B$32)/1000+'Inputs'!$B$21+'Inputs'!$B$9+'Inputs'!$B$10))^2+('Inputs'!$B$6/2)^2))))*'Results'!$B$8)+'Inputs'!$B$28*ABS((('Results'!C7*(1+'Inputs'!$B$24)*(0.5*((((291-43)*MAX('Inputs'!$B$33,'Inputs'!$B$29+'Inputs'!$B$31+'Inputs'!$B$32,'Inputs'!$B$30+'Inputs'!$B$31+'Inputs'!$B$32)/1000+'Inputs'!$B$21)+'Inputs'!$B$9)/SQRT((((291-43)*MAX('Inputs'!$B$33,'Inputs'!$B$29+'Inputs'!$B$31+'Inputs'!$B$32,'Inputs'!$B$30+'Inputs'!$B$31+'Inputs'!$B$32)/1000+'Inputs'!$B$21)+'Inputs'!$B$9)^2+('Inputs'!$B$8/2)^2)-(((291-43)*MAX('Inputs'!$B$33,'Inputs'!$B$29+'Inputs'!$B$31+'Inputs'!$B$32,'Inputs'!$B$30+'Inputs'!$B$31+'Inputs'!$B$32)/1000+'Inputs'!$B$21))/SQRT((((291-43)*MAX('Inputs'!$B$33,'Inputs'!$B$29+'Inputs'!$B$31+'Inputs'!$B$32,'Inputs'!$B$30+'Inputs'!$B$31+'Inputs'!$B$32)/1000+'Inputs'!$B$21))^2+('Inputs'!$B$8/2)^2)))-'Results'!B7*(1-'Inputs'!$B$24)*(0.5*((((291-43)*MAX('Inputs'!$B$33,'Inputs'!$B$29+'Inputs'!$B$31+'Inputs'!$B$32,'Inputs'!$B$30+'Inputs'!$B$31+'Inputs'!$B$32)/1000+'Inputs'!$B$21+'Inputs'!$B$9+'Inputs'!$B$10)+'Inputs'!$B$7)/SQRT((((291-43)*MAX('Inputs'!$B$33,'Inputs'!$B$29+'Inputs'!$B$31+'Inputs'!$B$32,'Inputs'!$B$30+'Inputs'!$B$31+'Inputs'!$B$32)/1000+'Inputs'!$B$21+'Inputs'!$B$9+'Inputs'!$B$10)+'Inputs'!$B$7)^2+('Inputs'!$B$6/2)^2)-(((291-43)*MAX('Inputs'!$B$33,'Inputs'!$B$29+'Inputs'!$B$31+'Inputs'!$B$32,'Inputs'!$B$30+'Inputs'!$B$31+'Inputs'!$B$32)/1000+'Inputs'!$B$21+'Inputs'!$B$9+'Inputs'!$B$10))/SQRT((((291-43)*MAX('Inputs'!$B$33,'Inputs'!$B$29+'Inputs'!$B$31+'Inputs'!$B$32,'Inputs'!$B$30+'Inputs'!$B$31+'Inputs'!$B$32)/1000+'Inputs'!$B$21+'Inputs'!$B$9+'Inputs'!$B$10))^2+('Inputs'!$B$6/2)^2))))*'Results'!$B$8))),"")</x:f>
        <x:v>41.573175799694404</x:v>
      </x:c>
      <x:c r="P291" t="n">
        <x:f>IF(AND(MAX(J291,J290)&gt;0,J291&gt;J290+0.00000001),1,0)</x:f>
        <x:v>0</x:v>
      </x:c>
      <x:c r="Q291" t="n">
        <x:f>IF(AND(MAX(K291,K290)&gt;0,K291&gt;K290+0.00000001),1,0)</x:f>
        <x:v>0</x:v>
      </x:c>
      <x:c r="R291" t="n">
        <x:f>IF(AND(MAX(L291,L290)&gt;0,L291&gt;L290+0.00000001),1,0)</x:f>
        <x:v>0</x:v>
      </x:c>
      <x:c r="S291" t="n">
        <x:f>IF(AND(MAX(M291,M290)&gt;0,M291&gt;M290+0.00000001),1,0)</x:f>
        <x:v>0</x:v>
      </x:c>
      <x:c r="T291" t="n">
        <x:f>IF(AND(MAX(N291,N290)&gt;0,N291&gt;N290+0.00000001),1,0)</x:f>
        <x:v>0</x:v>
      </x:c>
      <x:c r="U291" t="n">
        <x:f>IF(AND(MAX(O291,O290)&gt;0,O291&gt;O290+0.00000001),1,0)</x:f>
        <x:v>0</x:v>
      </x:c>
    </x:row>
    <x:row r="292">
      <x:c r="J292" t="n">
        <x:f>IF(AND(ISNUMBER('Results'!B7),ISNUMBER('Results'!C7),ISNUMBER('Results'!$B$8),ISNUMBER('Inputs'!$B$6),ISNUMBER('Inputs'!$B$7),ISNUMBER('Inputs'!$B$8),ISNUMBER('Inputs'!$B$9),ISNUMBER('Inputs'!$B$10),ISNUMBER('Inputs'!$B$21),ISNUMBER('Inputs'!$B$24),ISNUMBER('Inputs'!$B$28)),(('Results'!B7*(0.5*((((292-43)*MAX('Inputs'!$B$33,'Inputs'!$B$29+'Inputs'!$B$31+'Inputs'!$B$32,'Inputs'!$B$30+'Inputs'!$B$31+'Inputs'!$B$32)/1000+'Inputs'!$B$21)+'Inputs'!$B$7)/SQRT((((292-43)*MAX('Inputs'!$B$33,'Inputs'!$B$29+'Inputs'!$B$31+'Inputs'!$B$32,'Inputs'!$B$30+'Inputs'!$B$31+'Inputs'!$B$32)/1000+'Inputs'!$B$21)+'Inputs'!$B$7)^2+('Inputs'!$B$6/2)^2)-(((292-43)*MAX('Inputs'!$B$33,'Inputs'!$B$29+'Inputs'!$B$31+'Inputs'!$B$32,'Inputs'!$B$30+'Inputs'!$B$31+'Inputs'!$B$32)/1000+'Inputs'!$B$21))/SQRT((((292-43)*MAX('Inputs'!$B$33,'Inputs'!$B$29+'Inputs'!$B$31+'Inputs'!$B$32,'Inputs'!$B$30+'Inputs'!$B$31+'Inputs'!$B$32)/1000+'Inputs'!$B$21))^2+('Inputs'!$B$6/2)^2)))-'Results'!C7*(0.5*((((292-43)*MAX('Inputs'!$B$33,'Inputs'!$B$29+'Inputs'!$B$31+'Inputs'!$B$32,'Inputs'!$B$30+'Inputs'!$B$31+'Inputs'!$B$32)/1000+'Inputs'!$B$21+'Inputs'!$B$7+'Inputs'!$B$10)+'Inputs'!$B$9)/SQRT((((292-43)*MAX('Inputs'!$B$33,'Inputs'!$B$29+'Inputs'!$B$31+'Inputs'!$B$32,'Inputs'!$B$30+'Inputs'!$B$31+'Inputs'!$B$32)/1000+'Inputs'!$B$21+'Inputs'!$B$7+'Inputs'!$B$10)+'Inputs'!$B$9)^2+('Inputs'!$B$8/2)^2)-(((292-43)*MAX('Inputs'!$B$33,'Inputs'!$B$29+'Inputs'!$B$31+'Inputs'!$B$32,'Inputs'!$B$30+'Inputs'!$B$31+'Inputs'!$B$32)/1000+'Inputs'!$B$21+'Inputs'!$B$7+'Inputs'!$B$10))/SQRT((((292-43)*MAX('Inputs'!$B$33,'Inputs'!$B$29+'Inputs'!$B$31+'Inputs'!$B$32,'Inputs'!$B$30+'Inputs'!$B$31+'Inputs'!$B$32)/1000+'Inputs'!$B$21+'Inputs'!$B$7+'Inputs'!$B$10))^2+('Inputs'!$B$8/2)^2))))*'Results'!$B$8),"")</x:f>
        <x:v>39.14973369578638</x:v>
      </x:c>
      <x:c r="K292" t="n">
        <x:f>IF(AND(ISNUMBER('Results'!B7),ISNUMBER('Results'!C7),ISNUMBER('Results'!$B$8),ISNUMBER('Inputs'!$B$6),ISNUMBER('Inputs'!$B$7),ISNUMBER('Inputs'!$B$8),ISNUMBER('Inputs'!$B$9),ISNUMBER('Inputs'!$B$10),ISNUMBER('Inputs'!$B$21),ISNUMBER('Inputs'!$B$24),ISNUMBER('Inputs'!$B$28)),((('Results'!B7*(1-'Inputs'!$B$24)*(0.5*((((292-43)*MAX('Inputs'!$B$33,'Inputs'!$B$29+'Inputs'!$B$31+'Inputs'!$B$32,'Inputs'!$B$30+'Inputs'!$B$31+'Inputs'!$B$32)/1000+'Inputs'!$B$21)+'Inputs'!$B$7)/SQRT((((292-43)*MAX('Inputs'!$B$33,'Inputs'!$B$29+'Inputs'!$B$31+'Inputs'!$B$32,'Inputs'!$B$30+'Inputs'!$B$31+'Inputs'!$B$32)/1000+'Inputs'!$B$21)+'Inputs'!$B$7)^2+('Inputs'!$B$6/2)^2)-(((292-43)*MAX('Inputs'!$B$33,'Inputs'!$B$29+'Inputs'!$B$31+'Inputs'!$B$32,'Inputs'!$B$30+'Inputs'!$B$31+'Inputs'!$B$32)/1000+'Inputs'!$B$21))/SQRT((((292-43)*MAX('Inputs'!$B$33,'Inputs'!$B$29+'Inputs'!$B$31+'Inputs'!$B$32,'Inputs'!$B$30+'Inputs'!$B$31+'Inputs'!$B$32)/1000+'Inputs'!$B$21))^2+('Inputs'!$B$6/2)^2)))-'Results'!C7*(1+'Inputs'!$B$24)*(0.5*((((292-43)*MAX('Inputs'!$B$33,'Inputs'!$B$29+'Inputs'!$B$31+'Inputs'!$B$32,'Inputs'!$B$30+'Inputs'!$B$31+'Inputs'!$B$32)/1000+'Inputs'!$B$21+'Inputs'!$B$7+'Inputs'!$B$10)+'Inputs'!$B$9)/SQRT((((292-43)*MAX('Inputs'!$B$33,'Inputs'!$B$29+'Inputs'!$B$31+'Inputs'!$B$32,'Inputs'!$B$30+'Inputs'!$B$31+'Inputs'!$B$32)/1000+'Inputs'!$B$21+'Inputs'!$B$7+'Inputs'!$B$10)+'Inputs'!$B$9)^2+('Inputs'!$B$8/2)^2)-(((292-43)*MAX('Inputs'!$B$33,'Inputs'!$B$29+'Inputs'!$B$31+'Inputs'!$B$32,'Inputs'!$B$30+'Inputs'!$B$31+'Inputs'!$B$32)/1000+'Inputs'!$B$21+'Inputs'!$B$7+'Inputs'!$B$10))/SQRT((((292-43)*MAX('Inputs'!$B$33,'Inputs'!$B$29+'Inputs'!$B$31+'Inputs'!$B$32,'Inputs'!$B$30+'Inputs'!$B$31+'Inputs'!$B$32)/1000+'Inputs'!$B$21+'Inputs'!$B$7+'Inputs'!$B$10))^2+('Inputs'!$B$8/2)^2))))*'Results'!$B$8)-'Inputs'!$B$28*ABS((('Results'!B7*(1-'Inputs'!$B$24)*(0.5*((((292-43)*MAX('Inputs'!$B$33,'Inputs'!$B$29+'Inputs'!$B$31+'Inputs'!$B$32,'Inputs'!$B$30+'Inputs'!$B$31+'Inputs'!$B$32)/1000+'Inputs'!$B$21)+'Inputs'!$B$7)/SQRT((((292-43)*MAX('Inputs'!$B$33,'Inputs'!$B$29+'Inputs'!$B$31+'Inputs'!$B$32,'Inputs'!$B$30+'Inputs'!$B$31+'Inputs'!$B$32)/1000+'Inputs'!$B$21)+'Inputs'!$B$7)^2+('Inputs'!$B$6/2)^2)-(((292-43)*MAX('Inputs'!$B$33,'Inputs'!$B$29+'Inputs'!$B$31+'Inputs'!$B$32,'Inputs'!$B$30+'Inputs'!$B$31+'Inputs'!$B$32)/1000+'Inputs'!$B$21))/SQRT((((292-43)*MAX('Inputs'!$B$33,'Inputs'!$B$29+'Inputs'!$B$31+'Inputs'!$B$32,'Inputs'!$B$30+'Inputs'!$B$31+'Inputs'!$B$32)/1000+'Inputs'!$B$21))^2+('Inputs'!$B$6/2)^2)))-'Results'!C7*(1+'Inputs'!$B$24)*(0.5*((((292-43)*MAX('Inputs'!$B$33,'Inputs'!$B$29+'Inputs'!$B$31+'Inputs'!$B$32,'Inputs'!$B$30+'Inputs'!$B$31+'Inputs'!$B$32)/1000+'Inputs'!$B$21+'Inputs'!$B$7+'Inputs'!$B$10)+'Inputs'!$B$9)/SQRT((((292-43)*MAX('Inputs'!$B$33,'Inputs'!$B$29+'Inputs'!$B$31+'Inputs'!$B$32,'Inputs'!$B$30+'Inputs'!$B$31+'Inputs'!$B$32)/1000+'Inputs'!$B$21+'Inputs'!$B$7+'Inputs'!$B$10)+'Inputs'!$B$9)^2+('Inputs'!$B$8/2)^2)-(((292-43)*MAX('Inputs'!$B$33,'Inputs'!$B$29+'Inputs'!$B$31+'Inputs'!$B$32,'Inputs'!$B$30+'Inputs'!$B$31+'Inputs'!$B$32)/1000+'Inputs'!$B$21+'Inputs'!$B$7+'Inputs'!$B$10))/SQRT((((292-43)*MAX('Inputs'!$B$33,'Inputs'!$B$29+'Inputs'!$B$31+'Inputs'!$B$32,'Inputs'!$B$30+'Inputs'!$B$31+'Inputs'!$B$32)/1000+'Inputs'!$B$21+'Inputs'!$B$7+'Inputs'!$B$10))^2+('Inputs'!$B$8/2)^2))))*'Results'!$B$8))),"")</x:f>
        <x:v>35.61953159410447</x:v>
      </x:c>
      <x:c r="L292" t="n">
        <x:f>IF(AND(ISNUMBER('Results'!B7),ISNUMBER('Results'!C7),ISNUMBER('Results'!$B$8),ISNUMBER('Inputs'!$B$6),ISNUMBER('Inputs'!$B$7),ISNUMBER('Inputs'!$B$8),ISNUMBER('Inputs'!$B$9),ISNUMBER('Inputs'!$B$10),ISNUMBER('Inputs'!$B$21),ISNUMBER('Inputs'!$B$24),ISNUMBER('Inputs'!$B$28)),((('Results'!B7*(1+'Inputs'!$B$24)*(0.5*((((292-43)*MAX('Inputs'!$B$33,'Inputs'!$B$29+'Inputs'!$B$31+'Inputs'!$B$32,'Inputs'!$B$30+'Inputs'!$B$31+'Inputs'!$B$32)/1000+'Inputs'!$B$21)+'Inputs'!$B$7)/SQRT((((292-43)*MAX('Inputs'!$B$33,'Inputs'!$B$29+'Inputs'!$B$31+'Inputs'!$B$32,'Inputs'!$B$30+'Inputs'!$B$31+'Inputs'!$B$32)/1000+'Inputs'!$B$21)+'Inputs'!$B$7)^2+('Inputs'!$B$6/2)^2)-(((292-43)*MAX('Inputs'!$B$33,'Inputs'!$B$29+'Inputs'!$B$31+'Inputs'!$B$32,'Inputs'!$B$30+'Inputs'!$B$31+'Inputs'!$B$32)/1000+'Inputs'!$B$21))/SQRT((((292-43)*MAX('Inputs'!$B$33,'Inputs'!$B$29+'Inputs'!$B$31+'Inputs'!$B$32,'Inputs'!$B$30+'Inputs'!$B$31+'Inputs'!$B$32)/1000+'Inputs'!$B$21))^2+('Inputs'!$B$6/2)^2)))-'Results'!C7*(1-'Inputs'!$B$24)*(0.5*((((292-43)*MAX('Inputs'!$B$33,'Inputs'!$B$29+'Inputs'!$B$31+'Inputs'!$B$32,'Inputs'!$B$30+'Inputs'!$B$31+'Inputs'!$B$32)/1000+'Inputs'!$B$21+'Inputs'!$B$7+'Inputs'!$B$10)+'Inputs'!$B$9)/SQRT((((292-43)*MAX('Inputs'!$B$33,'Inputs'!$B$29+'Inputs'!$B$31+'Inputs'!$B$32,'Inputs'!$B$30+'Inputs'!$B$31+'Inputs'!$B$32)/1000+'Inputs'!$B$21+'Inputs'!$B$7+'Inputs'!$B$10)+'Inputs'!$B$9)^2+('Inputs'!$B$8/2)^2)-(((292-43)*MAX('Inputs'!$B$33,'Inputs'!$B$29+'Inputs'!$B$31+'Inputs'!$B$32,'Inputs'!$B$30+'Inputs'!$B$31+'Inputs'!$B$32)/1000+'Inputs'!$B$21+'Inputs'!$B$7+'Inputs'!$B$10))/SQRT((((292-43)*MAX('Inputs'!$B$33,'Inputs'!$B$29+'Inputs'!$B$31+'Inputs'!$B$32,'Inputs'!$B$30+'Inputs'!$B$31+'Inputs'!$B$32)/1000+'Inputs'!$B$21+'Inputs'!$B$7+'Inputs'!$B$10))^2+('Inputs'!$B$8/2)^2))))*'Results'!$B$8)+'Inputs'!$B$28*ABS((('Results'!B7*(1+'Inputs'!$B$24)*(0.5*((((292-43)*MAX('Inputs'!$B$33,'Inputs'!$B$29+'Inputs'!$B$31+'Inputs'!$B$32,'Inputs'!$B$30+'Inputs'!$B$31+'Inputs'!$B$32)/1000+'Inputs'!$B$21)+'Inputs'!$B$7)/SQRT((((292-43)*MAX('Inputs'!$B$33,'Inputs'!$B$29+'Inputs'!$B$31+'Inputs'!$B$32,'Inputs'!$B$30+'Inputs'!$B$31+'Inputs'!$B$32)/1000+'Inputs'!$B$21)+'Inputs'!$B$7)^2+('Inputs'!$B$6/2)^2)-(((292-43)*MAX('Inputs'!$B$33,'Inputs'!$B$29+'Inputs'!$B$31+'Inputs'!$B$32,'Inputs'!$B$30+'Inputs'!$B$31+'Inputs'!$B$32)/1000+'Inputs'!$B$21))/SQRT((((292-43)*MAX('Inputs'!$B$33,'Inputs'!$B$29+'Inputs'!$B$31+'Inputs'!$B$32,'Inputs'!$B$30+'Inputs'!$B$31+'Inputs'!$B$32)/1000+'Inputs'!$B$21))^2+('Inputs'!$B$6/2)^2)))-'Results'!C7*(1-'Inputs'!$B$24)*(0.5*((((292-43)*MAX('Inputs'!$B$33,'Inputs'!$B$29+'Inputs'!$B$31+'Inputs'!$B$32,'Inputs'!$B$30+'Inputs'!$B$31+'Inputs'!$B$32)/1000+'Inputs'!$B$21+'Inputs'!$B$7+'Inputs'!$B$10)+'Inputs'!$B$9)/SQRT((((292-43)*MAX('Inputs'!$B$33,'Inputs'!$B$29+'Inputs'!$B$31+'Inputs'!$B$32,'Inputs'!$B$30+'Inputs'!$B$31+'Inputs'!$B$32)/1000+'Inputs'!$B$21+'Inputs'!$B$7+'Inputs'!$B$10)+'Inputs'!$B$9)^2+('Inputs'!$B$8/2)^2)-(((292-43)*MAX('Inputs'!$B$33,'Inputs'!$B$29+'Inputs'!$B$31+'Inputs'!$B$32,'Inputs'!$B$30+'Inputs'!$B$31+'Inputs'!$B$32)/1000+'Inputs'!$B$21+'Inputs'!$B$7+'Inputs'!$B$10))/SQRT((((292-43)*MAX('Inputs'!$B$33,'Inputs'!$B$29+'Inputs'!$B$31+'Inputs'!$B$32,'Inputs'!$B$30+'Inputs'!$B$31+'Inputs'!$B$32)/1000+'Inputs'!$B$21+'Inputs'!$B$7+'Inputs'!$B$10))^2+('Inputs'!$B$8/2)^2))))*'Results'!$B$8))),"")</x:f>
        <x:v>42.84548478872013</x:v>
      </x:c>
      <x:c r="M292" t="n">
        <x:f>IF(AND(ISNUMBER('Results'!C7),ISNUMBER('Results'!B7),ISNUMBER('Results'!$B$8),ISNUMBER('Inputs'!$B$6),ISNUMBER('Inputs'!$B$7),ISNUMBER('Inputs'!$B$8),ISNUMBER('Inputs'!$B$9),ISNUMBER('Inputs'!$B$10),ISNUMBER('Inputs'!$B$21),ISNUMBER('Inputs'!$B$24),ISNUMBER('Inputs'!$B$28)),(('Results'!C7*(0.5*((((292-43)*MAX('Inputs'!$B$33,'Inputs'!$B$29+'Inputs'!$B$31+'Inputs'!$B$32,'Inputs'!$B$30+'Inputs'!$B$31+'Inputs'!$B$32)/1000+'Inputs'!$B$21)+'Inputs'!$B$9)/SQRT((((292-43)*MAX('Inputs'!$B$33,'Inputs'!$B$29+'Inputs'!$B$31+'Inputs'!$B$32,'Inputs'!$B$30+'Inputs'!$B$31+'Inputs'!$B$32)/1000+'Inputs'!$B$21)+'Inputs'!$B$9)^2+('Inputs'!$B$8/2)^2)-(((292-43)*MAX('Inputs'!$B$33,'Inputs'!$B$29+'Inputs'!$B$31+'Inputs'!$B$32,'Inputs'!$B$30+'Inputs'!$B$31+'Inputs'!$B$32)/1000+'Inputs'!$B$21))/SQRT((((292-43)*MAX('Inputs'!$B$33,'Inputs'!$B$29+'Inputs'!$B$31+'Inputs'!$B$32,'Inputs'!$B$30+'Inputs'!$B$31+'Inputs'!$B$32)/1000+'Inputs'!$B$21))^2+('Inputs'!$B$8/2)^2)))-'Results'!B7*(0.5*((((292-43)*MAX('Inputs'!$B$33,'Inputs'!$B$29+'Inputs'!$B$31+'Inputs'!$B$32,'Inputs'!$B$30+'Inputs'!$B$31+'Inputs'!$B$32)/1000+'Inputs'!$B$21+'Inputs'!$B$9+'Inputs'!$B$10)+'Inputs'!$B$7)/SQRT((((292-43)*MAX('Inputs'!$B$33,'Inputs'!$B$29+'Inputs'!$B$31+'Inputs'!$B$32,'Inputs'!$B$30+'Inputs'!$B$31+'Inputs'!$B$32)/1000+'Inputs'!$B$21+'Inputs'!$B$9+'Inputs'!$B$10)+'Inputs'!$B$7)^2+('Inputs'!$B$6/2)^2)-(((292-43)*MAX('Inputs'!$B$33,'Inputs'!$B$29+'Inputs'!$B$31+'Inputs'!$B$32,'Inputs'!$B$30+'Inputs'!$B$31+'Inputs'!$B$32)/1000+'Inputs'!$B$21+'Inputs'!$B$9+'Inputs'!$B$10))/SQRT((((292-43)*MAX('Inputs'!$B$33,'Inputs'!$B$29+'Inputs'!$B$31+'Inputs'!$B$32,'Inputs'!$B$30+'Inputs'!$B$31+'Inputs'!$B$32)/1000+'Inputs'!$B$21+'Inputs'!$B$9+'Inputs'!$B$10))^2+('Inputs'!$B$6/2)^2))))*'Results'!$B$8),"")</x:f>
        <x:v>37.48534077062906</x:v>
      </x:c>
      <x:c r="N292" t="n">
        <x:f>IF(AND(ISNUMBER('Results'!C7),ISNUMBER('Results'!B7),ISNUMBER('Results'!$B$8),ISNUMBER('Inputs'!$B$6),ISNUMBER('Inputs'!$B$7),ISNUMBER('Inputs'!$B$8),ISNUMBER('Inputs'!$B$9),ISNUMBER('Inputs'!$B$10),ISNUMBER('Inputs'!$B$21),ISNUMBER('Inputs'!$B$24),ISNUMBER('Inputs'!$B$28)),((('Results'!C7*(1-'Inputs'!$B$24)*(0.5*((((292-43)*MAX('Inputs'!$B$33,'Inputs'!$B$29+'Inputs'!$B$31+'Inputs'!$B$32,'Inputs'!$B$30+'Inputs'!$B$31+'Inputs'!$B$32)/1000+'Inputs'!$B$21)+'Inputs'!$B$9)/SQRT((((292-43)*MAX('Inputs'!$B$33,'Inputs'!$B$29+'Inputs'!$B$31+'Inputs'!$B$32,'Inputs'!$B$30+'Inputs'!$B$31+'Inputs'!$B$32)/1000+'Inputs'!$B$21)+'Inputs'!$B$9)^2+('Inputs'!$B$8/2)^2)-(((292-43)*MAX('Inputs'!$B$33,'Inputs'!$B$29+'Inputs'!$B$31+'Inputs'!$B$32,'Inputs'!$B$30+'Inputs'!$B$31+'Inputs'!$B$32)/1000+'Inputs'!$B$21))/SQRT((((292-43)*MAX('Inputs'!$B$33,'Inputs'!$B$29+'Inputs'!$B$31+'Inputs'!$B$32,'Inputs'!$B$30+'Inputs'!$B$31+'Inputs'!$B$32)/1000+'Inputs'!$B$21))^2+('Inputs'!$B$8/2)^2)))-'Results'!B7*(1+'Inputs'!$B$24)*(0.5*((((292-43)*MAX('Inputs'!$B$33,'Inputs'!$B$29+'Inputs'!$B$31+'Inputs'!$B$32,'Inputs'!$B$30+'Inputs'!$B$31+'Inputs'!$B$32)/1000+'Inputs'!$B$21+'Inputs'!$B$9+'Inputs'!$B$10)+'Inputs'!$B$7)/SQRT((((292-43)*MAX('Inputs'!$B$33,'Inputs'!$B$29+'Inputs'!$B$31+'Inputs'!$B$32,'Inputs'!$B$30+'Inputs'!$B$31+'Inputs'!$B$32)/1000+'Inputs'!$B$21+'Inputs'!$B$9+'Inputs'!$B$10)+'Inputs'!$B$7)^2+('Inputs'!$B$6/2)^2)-(((292-43)*MAX('Inputs'!$B$33,'Inputs'!$B$29+'Inputs'!$B$31+'Inputs'!$B$32,'Inputs'!$B$30+'Inputs'!$B$31+'Inputs'!$B$32)/1000+'Inputs'!$B$21+'Inputs'!$B$9+'Inputs'!$B$10))/SQRT((((292-43)*MAX('Inputs'!$B$33,'Inputs'!$B$29+'Inputs'!$B$31+'Inputs'!$B$32,'Inputs'!$B$30+'Inputs'!$B$31+'Inputs'!$B$32)/1000+'Inputs'!$B$21+'Inputs'!$B$9+'Inputs'!$B$10))^2+('Inputs'!$B$6/2)^2))))*'Results'!$B$8)-'Inputs'!$B$28*ABS((('Results'!C7*(1-'Inputs'!$B$24)*(0.5*((((292-43)*MAX('Inputs'!$B$33,'Inputs'!$B$29+'Inputs'!$B$31+'Inputs'!$B$32,'Inputs'!$B$30+'Inputs'!$B$31+'Inputs'!$B$32)/1000+'Inputs'!$B$21)+'Inputs'!$B$9)/SQRT((((292-43)*MAX('Inputs'!$B$33,'Inputs'!$B$29+'Inputs'!$B$31+'Inputs'!$B$32,'Inputs'!$B$30+'Inputs'!$B$31+'Inputs'!$B$32)/1000+'Inputs'!$B$21)+'Inputs'!$B$9)^2+('Inputs'!$B$8/2)^2)-(((292-43)*MAX('Inputs'!$B$33,'Inputs'!$B$29+'Inputs'!$B$31+'Inputs'!$B$32,'Inputs'!$B$30+'Inputs'!$B$31+'Inputs'!$B$32)/1000+'Inputs'!$B$21))/SQRT((((292-43)*MAX('Inputs'!$B$33,'Inputs'!$B$29+'Inputs'!$B$31+'Inputs'!$B$32,'Inputs'!$B$30+'Inputs'!$B$31+'Inputs'!$B$32)/1000+'Inputs'!$B$21))^2+('Inputs'!$B$8/2)^2)))-'Results'!B7*(1+'Inputs'!$B$24)*(0.5*((((292-43)*MAX('Inputs'!$B$33,'Inputs'!$B$29+'Inputs'!$B$31+'Inputs'!$B$32,'Inputs'!$B$30+'Inputs'!$B$31+'Inputs'!$B$32)/1000+'Inputs'!$B$21+'Inputs'!$B$9+'Inputs'!$B$10)+'Inputs'!$B$7)/SQRT((((292-43)*MAX('Inputs'!$B$33,'Inputs'!$B$29+'Inputs'!$B$31+'Inputs'!$B$32,'Inputs'!$B$30+'Inputs'!$B$31+'Inputs'!$B$32)/1000+'Inputs'!$B$21+'Inputs'!$B$9+'Inputs'!$B$10)+'Inputs'!$B$7)^2+('Inputs'!$B$6/2)^2)-(((292-43)*MAX('Inputs'!$B$33,'Inputs'!$B$29+'Inputs'!$B$31+'Inputs'!$B$32,'Inputs'!$B$30+'Inputs'!$B$31+'Inputs'!$B$32)/1000+'Inputs'!$B$21+'Inputs'!$B$9+'Inputs'!$B$10))/SQRT((((292-43)*MAX('Inputs'!$B$33,'Inputs'!$B$29+'Inputs'!$B$31+'Inputs'!$B$32,'Inputs'!$B$30+'Inputs'!$B$31+'Inputs'!$B$32)/1000+'Inputs'!$B$21+'Inputs'!$B$9+'Inputs'!$B$10))^2+('Inputs'!$B$6/2)^2))))*'Results'!$B$8))),"")</x:f>
        <x:v>34.053066056769275</x:v>
      </x:c>
      <x:c r="O292" t="n">
        <x:f>IF(AND(ISNUMBER('Results'!C7),ISNUMBER('Results'!B7),ISNUMBER('Results'!$B$8),ISNUMBER('Inputs'!$B$6),ISNUMBER('Inputs'!$B$7),ISNUMBER('Inputs'!$B$8),ISNUMBER('Inputs'!$B$9),ISNUMBER('Inputs'!$B$10),ISNUMBER('Inputs'!$B$21),ISNUMBER('Inputs'!$B$24),ISNUMBER('Inputs'!$B$28)),((('Results'!C7*(1+'Inputs'!$B$24)*(0.5*((((292-43)*MAX('Inputs'!$B$33,'Inputs'!$B$29+'Inputs'!$B$31+'Inputs'!$B$32,'Inputs'!$B$30+'Inputs'!$B$31+'Inputs'!$B$32)/1000+'Inputs'!$B$21)+'Inputs'!$B$9)/SQRT((((292-43)*MAX('Inputs'!$B$33,'Inputs'!$B$29+'Inputs'!$B$31+'Inputs'!$B$32,'Inputs'!$B$30+'Inputs'!$B$31+'Inputs'!$B$32)/1000+'Inputs'!$B$21)+'Inputs'!$B$9)^2+('Inputs'!$B$8/2)^2)-(((292-43)*MAX('Inputs'!$B$33,'Inputs'!$B$29+'Inputs'!$B$31+'Inputs'!$B$32,'Inputs'!$B$30+'Inputs'!$B$31+'Inputs'!$B$32)/1000+'Inputs'!$B$21))/SQRT((((292-43)*MAX('Inputs'!$B$33,'Inputs'!$B$29+'Inputs'!$B$31+'Inputs'!$B$32,'Inputs'!$B$30+'Inputs'!$B$31+'Inputs'!$B$32)/1000+'Inputs'!$B$21))^2+('Inputs'!$B$8/2)^2)))-'Results'!B7*(1-'Inputs'!$B$24)*(0.5*((((292-43)*MAX('Inputs'!$B$33,'Inputs'!$B$29+'Inputs'!$B$31+'Inputs'!$B$32,'Inputs'!$B$30+'Inputs'!$B$31+'Inputs'!$B$32)/1000+'Inputs'!$B$21+'Inputs'!$B$9+'Inputs'!$B$10)+'Inputs'!$B$7)/SQRT((((292-43)*MAX('Inputs'!$B$33,'Inputs'!$B$29+'Inputs'!$B$31+'Inputs'!$B$32,'Inputs'!$B$30+'Inputs'!$B$31+'Inputs'!$B$32)/1000+'Inputs'!$B$21+'Inputs'!$B$9+'Inputs'!$B$10)+'Inputs'!$B$7)^2+('Inputs'!$B$6/2)^2)-(((292-43)*MAX('Inputs'!$B$33,'Inputs'!$B$29+'Inputs'!$B$31+'Inputs'!$B$32,'Inputs'!$B$30+'Inputs'!$B$31+'Inputs'!$B$32)/1000+'Inputs'!$B$21+'Inputs'!$B$9+'Inputs'!$B$10))/SQRT((((292-43)*MAX('Inputs'!$B$33,'Inputs'!$B$29+'Inputs'!$B$31+'Inputs'!$B$32,'Inputs'!$B$30+'Inputs'!$B$31+'Inputs'!$B$32)/1000+'Inputs'!$B$21+'Inputs'!$B$9+'Inputs'!$B$10))^2+('Inputs'!$B$6/2)^2))))*'Results'!$B$8)+'Inputs'!$B$28*ABS((('Results'!C7*(1+'Inputs'!$B$24)*(0.5*((((292-43)*MAX('Inputs'!$B$33,'Inputs'!$B$29+'Inputs'!$B$31+'Inputs'!$B$32,'Inputs'!$B$30+'Inputs'!$B$31+'Inputs'!$B$32)/1000+'Inputs'!$B$21)+'Inputs'!$B$9)/SQRT((((292-43)*MAX('Inputs'!$B$33,'Inputs'!$B$29+'Inputs'!$B$31+'Inputs'!$B$32,'Inputs'!$B$30+'Inputs'!$B$31+'Inputs'!$B$32)/1000+'Inputs'!$B$21)+'Inputs'!$B$9)^2+('Inputs'!$B$8/2)^2)-(((292-43)*MAX('Inputs'!$B$33,'Inputs'!$B$29+'Inputs'!$B$31+'Inputs'!$B$32,'Inputs'!$B$30+'Inputs'!$B$31+'Inputs'!$B$32)/1000+'Inputs'!$B$21))/SQRT((((292-43)*MAX('Inputs'!$B$33,'Inputs'!$B$29+'Inputs'!$B$31+'Inputs'!$B$32,'Inputs'!$B$30+'Inputs'!$B$31+'Inputs'!$B$32)/1000+'Inputs'!$B$21))^2+('Inputs'!$B$8/2)^2)))-'Results'!B7*(1-'Inputs'!$B$24)*(0.5*((((292-43)*MAX('Inputs'!$B$33,'Inputs'!$B$29+'Inputs'!$B$31+'Inputs'!$B$32,'Inputs'!$B$30+'Inputs'!$B$31+'Inputs'!$B$32)/1000+'Inputs'!$B$21+'Inputs'!$B$9+'Inputs'!$B$10)+'Inputs'!$B$7)/SQRT((((292-43)*MAX('Inputs'!$B$33,'Inputs'!$B$29+'Inputs'!$B$31+'Inputs'!$B$32,'Inputs'!$B$30+'Inputs'!$B$31+'Inputs'!$B$32)/1000+'Inputs'!$B$21+'Inputs'!$B$9+'Inputs'!$B$10)+'Inputs'!$B$7)^2+('Inputs'!$B$6/2)^2)-(((292-43)*MAX('Inputs'!$B$33,'Inputs'!$B$29+'Inputs'!$B$31+'Inputs'!$B$32,'Inputs'!$B$30+'Inputs'!$B$31+'Inputs'!$B$32)/1000+'Inputs'!$B$21+'Inputs'!$B$9+'Inputs'!$B$10))/SQRT((((292-43)*MAX('Inputs'!$B$33,'Inputs'!$B$29+'Inputs'!$B$31+'Inputs'!$B$32,'Inputs'!$B$30+'Inputs'!$B$31+'Inputs'!$B$32)/1000+'Inputs'!$B$21+'Inputs'!$B$9+'Inputs'!$B$10))^2+('Inputs'!$B$6/2)^2))))*'Results'!$B$8))),"")</x:f>
        <x:v>41.08161629241814</x:v>
      </x:c>
      <x:c r="P292" t="n">
        <x:f>IF(AND(MAX(J292,J291)&gt;0,J292&gt;J291+0.00000001),1,0)</x:f>
        <x:v>0</x:v>
      </x:c>
      <x:c r="Q292" t="n">
        <x:f>IF(AND(MAX(K292,K291)&gt;0,K292&gt;K291+0.00000001),1,0)</x:f>
        <x:v>0</x:v>
      </x:c>
      <x:c r="R292" t="n">
        <x:f>IF(AND(MAX(L292,L291)&gt;0,L292&gt;L291+0.00000001),1,0)</x:f>
        <x:v>0</x:v>
      </x:c>
      <x:c r="S292" t="n">
        <x:f>IF(AND(MAX(M292,M291)&gt;0,M292&gt;M291+0.00000001),1,0)</x:f>
        <x:v>0</x:v>
      </x:c>
      <x:c r="T292" t="n">
        <x:f>IF(AND(MAX(N292,N291)&gt;0,N292&gt;N291+0.00000001),1,0)</x:f>
        <x:v>0</x:v>
      </x:c>
      <x:c r="U292" t="n">
        <x:f>IF(AND(MAX(O292,O291)&gt;0,O292&gt;O291+0.00000001),1,0)</x:f>
        <x:v>0</x:v>
      </x:c>
    </x:row>
    <x:row r="293">
      <x:c r="J293" t="n">
        <x:f>IF(AND(ISNUMBER('Results'!B7),ISNUMBER('Results'!C7),ISNUMBER('Results'!$B$8),ISNUMBER('Inputs'!$B$6),ISNUMBER('Inputs'!$B$7),ISNUMBER('Inputs'!$B$8),ISNUMBER('Inputs'!$B$9),ISNUMBER('Inputs'!$B$10),ISNUMBER('Inputs'!$B$21),ISNUMBER('Inputs'!$B$24),ISNUMBER('Inputs'!$B$28)),(('Results'!B7*(0.5*((((293-43)*MAX('Inputs'!$B$33,'Inputs'!$B$29+'Inputs'!$B$31+'Inputs'!$B$32,'Inputs'!$B$30+'Inputs'!$B$31+'Inputs'!$B$32)/1000+'Inputs'!$B$21)+'Inputs'!$B$7)/SQRT((((293-43)*MAX('Inputs'!$B$33,'Inputs'!$B$29+'Inputs'!$B$31+'Inputs'!$B$32,'Inputs'!$B$30+'Inputs'!$B$31+'Inputs'!$B$32)/1000+'Inputs'!$B$21)+'Inputs'!$B$7)^2+('Inputs'!$B$6/2)^2)-(((293-43)*MAX('Inputs'!$B$33,'Inputs'!$B$29+'Inputs'!$B$31+'Inputs'!$B$32,'Inputs'!$B$30+'Inputs'!$B$31+'Inputs'!$B$32)/1000+'Inputs'!$B$21))/SQRT((((293-43)*MAX('Inputs'!$B$33,'Inputs'!$B$29+'Inputs'!$B$31+'Inputs'!$B$32,'Inputs'!$B$30+'Inputs'!$B$31+'Inputs'!$B$32)/1000+'Inputs'!$B$21))^2+('Inputs'!$B$6/2)^2)))-'Results'!C7*(0.5*((((293-43)*MAX('Inputs'!$B$33,'Inputs'!$B$29+'Inputs'!$B$31+'Inputs'!$B$32,'Inputs'!$B$30+'Inputs'!$B$31+'Inputs'!$B$32)/1000+'Inputs'!$B$21+'Inputs'!$B$7+'Inputs'!$B$10)+'Inputs'!$B$9)/SQRT((((293-43)*MAX('Inputs'!$B$33,'Inputs'!$B$29+'Inputs'!$B$31+'Inputs'!$B$32,'Inputs'!$B$30+'Inputs'!$B$31+'Inputs'!$B$32)/1000+'Inputs'!$B$21+'Inputs'!$B$7+'Inputs'!$B$10)+'Inputs'!$B$9)^2+('Inputs'!$B$8/2)^2)-(((293-43)*MAX('Inputs'!$B$33,'Inputs'!$B$29+'Inputs'!$B$31+'Inputs'!$B$32,'Inputs'!$B$30+'Inputs'!$B$31+'Inputs'!$B$32)/1000+'Inputs'!$B$21+'Inputs'!$B$7+'Inputs'!$B$10))/SQRT((((293-43)*MAX('Inputs'!$B$33,'Inputs'!$B$29+'Inputs'!$B$31+'Inputs'!$B$32,'Inputs'!$B$30+'Inputs'!$B$31+'Inputs'!$B$32)/1000+'Inputs'!$B$21+'Inputs'!$B$7+'Inputs'!$B$10))^2+('Inputs'!$B$8/2)^2))))*'Results'!$B$8),"")</x:f>
        <x:v>38.688172306608806</x:v>
      </x:c>
      <x:c r="K293" t="n">
        <x:f>IF(AND(ISNUMBER('Results'!B7),ISNUMBER('Results'!C7),ISNUMBER('Results'!$B$8),ISNUMBER('Inputs'!$B$6),ISNUMBER('Inputs'!$B$7),ISNUMBER('Inputs'!$B$8),ISNUMBER('Inputs'!$B$9),ISNUMBER('Inputs'!$B$10),ISNUMBER('Inputs'!$B$21),ISNUMBER('Inputs'!$B$24),ISNUMBER('Inputs'!$B$28)),((('Results'!B7*(1-'Inputs'!$B$24)*(0.5*((((293-43)*MAX('Inputs'!$B$33,'Inputs'!$B$29+'Inputs'!$B$31+'Inputs'!$B$32,'Inputs'!$B$30+'Inputs'!$B$31+'Inputs'!$B$32)/1000+'Inputs'!$B$21)+'Inputs'!$B$7)/SQRT((((293-43)*MAX('Inputs'!$B$33,'Inputs'!$B$29+'Inputs'!$B$31+'Inputs'!$B$32,'Inputs'!$B$30+'Inputs'!$B$31+'Inputs'!$B$32)/1000+'Inputs'!$B$21)+'Inputs'!$B$7)^2+('Inputs'!$B$6/2)^2)-(((293-43)*MAX('Inputs'!$B$33,'Inputs'!$B$29+'Inputs'!$B$31+'Inputs'!$B$32,'Inputs'!$B$30+'Inputs'!$B$31+'Inputs'!$B$32)/1000+'Inputs'!$B$21))/SQRT((((293-43)*MAX('Inputs'!$B$33,'Inputs'!$B$29+'Inputs'!$B$31+'Inputs'!$B$32,'Inputs'!$B$30+'Inputs'!$B$31+'Inputs'!$B$32)/1000+'Inputs'!$B$21))^2+('Inputs'!$B$6/2)^2)))-'Results'!C7*(1+'Inputs'!$B$24)*(0.5*((((293-43)*MAX('Inputs'!$B$33,'Inputs'!$B$29+'Inputs'!$B$31+'Inputs'!$B$32,'Inputs'!$B$30+'Inputs'!$B$31+'Inputs'!$B$32)/1000+'Inputs'!$B$21+'Inputs'!$B$7+'Inputs'!$B$10)+'Inputs'!$B$9)/SQRT((((293-43)*MAX('Inputs'!$B$33,'Inputs'!$B$29+'Inputs'!$B$31+'Inputs'!$B$32,'Inputs'!$B$30+'Inputs'!$B$31+'Inputs'!$B$32)/1000+'Inputs'!$B$21+'Inputs'!$B$7+'Inputs'!$B$10)+'Inputs'!$B$9)^2+('Inputs'!$B$8/2)^2)-(((293-43)*MAX('Inputs'!$B$33,'Inputs'!$B$29+'Inputs'!$B$31+'Inputs'!$B$32,'Inputs'!$B$30+'Inputs'!$B$31+'Inputs'!$B$32)/1000+'Inputs'!$B$21+'Inputs'!$B$7+'Inputs'!$B$10))/SQRT((((293-43)*MAX('Inputs'!$B$33,'Inputs'!$B$29+'Inputs'!$B$31+'Inputs'!$B$32,'Inputs'!$B$30+'Inputs'!$B$31+'Inputs'!$B$32)/1000+'Inputs'!$B$21+'Inputs'!$B$7+'Inputs'!$B$10))^2+('Inputs'!$B$8/2)^2))))*'Results'!$B$8)-'Inputs'!$B$28*ABS((('Results'!B7*(1-'Inputs'!$B$24)*(0.5*((((293-43)*MAX('Inputs'!$B$33,'Inputs'!$B$29+'Inputs'!$B$31+'Inputs'!$B$32,'Inputs'!$B$30+'Inputs'!$B$31+'Inputs'!$B$32)/1000+'Inputs'!$B$21)+'Inputs'!$B$7)/SQRT((((293-43)*MAX('Inputs'!$B$33,'Inputs'!$B$29+'Inputs'!$B$31+'Inputs'!$B$32,'Inputs'!$B$30+'Inputs'!$B$31+'Inputs'!$B$32)/1000+'Inputs'!$B$21)+'Inputs'!$B$7)^2+('Inputs'!$B$6/2)^2)-(((293-43)*MAX('Inputs'!$B$33,'Inputs'!$B$29+'Inputs'!$B$31+'Inputs'!$B$32,'Inputs'!$B$30+'Inputs'!$B$31+'Inputs'!$B$32)/1000+'Inputs'!$B$21))/SQRT((((293-43)*MAX('Inputs'!$B$33,'Inputs'!$B$29+'Inputs'!$B$31+'Inputs'!$B$32,'Inputs'!$B$30+'Inputs'!$B$31+'Inputs'!$B$32)/1000+'Inputs'!$B$21))^2+('Inputs'!$B$6/2)^2)))-'Results'!C7*(1+'Inputs'!$B$24)*(0.5*((((293-43)*MAX('Inputs'!$B$33,'Inputs'!$B$29+'Inputs'!$B$31+'Inputs'!$B$32,'Inputs'!$B$30+'Inputs'!$B$31+'Inputs'!$B$32)/1000+'Inputs'!$B$21+'Inputs'!$B$7+'Inputs'!$B$10)+'Inputs'!$B$9)/SQRT((((293-43)*MAX('Inputs'!$B$33,'Inputs'!$B$29+'Inputs'!$B$31+'Inputs'!$B$32,'Inputs'!$B$30+'Inputs'!$B$31+'Inputs'!$B$32)/1000+'Inputs'!$B$21+'Inputs'!$B$7+'Inputs'!$B$10)+'Inputs'!$B$9)^2+('Inputs'!$B$8/2)^2)-(((293-43)*MAX('Inputs'!$B$33,'Inputs'!$B$29+'Inputs'!$B$31+'Inputs'!$B$32,'Inputs'!$B$30+'Inputs'!$B$31+'Inputs'!$B$32)/1000+'Inputs'!$B$21+'Inputs'!$B$7+'Inputs'!$B$10))/SQRT((((293-43)*MAX('Inputs'!$B$33,'Inputs'!$B$29+'Inputs'!$B$31+'Inputs'!$B$32,'Inputs'!$B$30+'Inputs'!$B$31+'Inputs'!$B$32)/1000+'Inputs'!$B$21+'Inputs'!$B$7+'Inputs'!$B$10))^2+('Inputs'!$B$8/2)^2))))*'Results'!$B$8))),"")</x:f>
        <x:v>35.196023406021006</x:v>
      </x:c>
      <x:c r="L293" t="n">
        <x:f>IF(AND(ISNUMBER('Results'!B7),ISNUMBER('Results'!C7),ISNUMBER('Results'!$B$8),ISNUMBER('Inputs'!$B$6),ISNUMBER('Inputs'!$B$7),ISNUMBER('Inputs'!$B$8),ISNUMBER('Inputs'!$B$9),ISNUMBER('Inputs'!$B$10),ISNUMBER('Inputs'!$B$21),ISNUMBER('Inputs'!$B$24),ISNUMBER('Inputs'!$B$28)),((('Results'!B7*(1+'Inputs'!$B$24)*(0.5*((((293-43)*MAX('Inputs'!$B$33,'Inputs'!$B$29+'Inputs'!$B$31+'Inputs'!$B$32,'Inputs'!$B$30+'Inputs'!$B$31+'Inputs'!$B$32)/1000+'Inputs'!$B$21)+'Inputs'!$B$7)/SQRT((((293-43)*MAX('Inputs'!$B$33,'Inputs'!$B$29+'Inputs'!$B$31+'Inputs'!$B$32,'Inputs'!$B$30+'Inputs'!$B$31+'Inputs'!$B$32)/1000+'Inputs'!$B$21)+'Inputs'!$B$7)^2+('Inputs'!$B$6/2)^2)-(((293-43)*MAX('Inputs'!$B$33,'Inputs'!$B$29+'Inputs'!$B$31+'Inputs'!$B$32,'Inputs'!$B$30+'Inputs'!$B$31+'Inputs'!$B$32)/1000+'Inputs'!$B$21))/SQRT((((293-43)*MAX('Inputs'!$B$33,'Inputs'!$B$29+'Inputs'!$B$31+'Inputs'!$B$32,'Inputs'!$B$30+'Inputs'!$B$31+'Inputs'!$B$32)/1000+'Inputs'!$B$21))^2+('Inputs'!$B$6/2)^2)))-'Results'!C7*(1-'Inputs'!$B$24)*(0.5*((((293-43)*MAX('Inputs'!$B$33,'Inputs'!$B$29+'Inputs'!$B$31+'Inputs'!$B$32,'Inputs'!$B$30+'Inputs'!$B$31+'Inputs'!$B$32)/1000+'Inputs'!$B$21+'Inputs'!$B$7+'Inputs'!$B$10)+'Inputs'!$B$9)/SQRT((((293-43)*MAX('Inputs'!$B$33,'Inputs'!$B$29+'Inputs'!$B$31+'Inputs'!$B$32,'Inputs'!$B$30+'Inputs'!$B$31+'Inputs'!$B$32)/1000+'Inputs'!$B$21+'Inputs'!$B$7+'Inputs'!$B$10)+'Inputs'!$B$9)^2+('Inputs'!$B$8/2)^2)-(((293-43)*MAX('Inputs'!$B$33,'Inputs'!$B$29+'Inputs'!$B$31+'Inputs'!$B$32,'Inputs'!$B$30+'Inputs'!$B$31+'Inputs'!$B$32)/1000+'Inputs'!$B$21+'Inputs'!$B$7+'Inputs'!$B$10))/SQRT((((293-43)*MAX('Inputs'!$B$33,'Inputs'!$B$29+'Inputs'!$B$31+'Inputs'!$B$32,'Inputs'!$B$30+'Inputs'!$B$31+'Inputs'!$B$32)/1000+'Inputs'!$B$21+'Inputs'!$B$7+'Inputs'!$B$10))^2+('Inputs'!$B$8/2)^2))))*'Results'!$B$8)+'Inputs'!$B$28*ABS((('Results'!B7*(1+'Inputs'!$B$24)*(0.5*((((293-43)*MAX('Inputs'!$B$33,'Inputs'!$B$29+'Inputs'!$B$31+'Inputs'!$B$32,'Inputs'!$B$30+'Inputs'!$B$31+'Inputs'!$B$32)/1000+'Inputs'!$B$21)+'Inputs'!$B$7)/SQRT((((293-43)*MAX('Inputs'!$B$33,'Inputs'!$B$29+'Inputs'!$B$31+'Inputs'!$B$32,'Inputs'!$B$30+'Inputs'!$B$31+'Inputs'!$B$32)/1000+'Inputs'!$B$21)+'Inputs'!$B$7)^2+('Inputs'!$B$6/2)^2)-(((293-43)*MAX('Inputs'!$B$33,'Inputs'!$B$29+'Inputs'!$B$31+'Inputs'!$B$32,'Inputs'!$B$30+'Inputs'!$B$31+'Inputs'!$B$32)/1000+'Inputs'!$B$21))/SQRT((((293-43)*MAX('Inputs'!$B$33,'Inputs'!$B$29+'Inputs'!$B$31+'Inputs'!$B$32,'Inputs'!$B$30+'Inputs'!$B$31+'Inputs'!$B$32)/1000+'Inputs'!$B$21))^2+('Inputs'!$B$6/2)^2)))-'Results'!C7*(1-'Inputs'!$B$24)*(0.5*((((293-43)*MAX('Inputs'!$B$33,'Inputs'!$B$29+'Inputs'!$B$31+'Inputs'!$B$32,'Inputs'!$B$30+'Inputs'!$B$31+'Inputs'!$B$32)/1000+'Inputs'!$B$21+'Inputs'!$B$7+'Inputs'!$B$10)+'Inputs'!$B$9)/SQRT((((293-43)*MAX('Inputs'!$B$33,'Inputs'!$B$29+'Inputs'!$B$31+'Inputs'!$B$32,'Inputs'!$B$30+'Inputs'!$B$31+'Inputs'!$B$32)/1000+'Inputs'!$B$21+'Inputs'!$B$7+'Inputs'!$B$10)+'Inputs'!$B$9)^2+('Inputs'!$B$8/2)^2)-(((293-43)*MAX('Inputs'!$B$33,'Inputs'!$B$29+'Inputs'!$B$31+'Inputs'!$B$32,'Inputs'!$B$30+'Inputs'!$B$31+'Inputs'!$B$32)/1000+'Inputs'!$B$21+'Inputs'!$B$7+'Inputs'!$B$10))/SQRT((((293-43)*MAX('Inputs'!$B$33,'Inputs'!$B$29+'Inputs'!$B$31+'Inputs'!$B$32,'Inputs'!$B$30+'Inputs'!$B$31+'Inputs'!$B$32)/1000+'Inputs'!$B$21+'Inputs'!$B$7+'Inputs'!$B$10))^2+('Inputs'!$B$8/2)^2))))*'Results'!$B$8))),"")</x:f>
        <x:v>42.344293868802644</x:v>
      </x:c>
      <x:c r="M293" t="n">
        <x:f>IF(AND(ISNUMBER('Results'!C7),ISNUMBER('Results'!B7),ISNUMBER('Results'!$B$8),ISNUMBER('Inputs'!$B$6),ISNUMBER('Inputs'!$B$7),ISNUMBER('Inputs'!$B$8),ISNUMBER('Inputs'!$B$9),ISNUMBER('Inputs'!$B$10),ISNUMBER('Inputs'!$B$21),ISNUMBER('Inputs'!$B$24),ISNUMBER('Inputs'!$B$28)),(('Results'!C7*(0.5*((((293-43)*MAX('Inputs'!$B$33,'Inputs'!$B$29+'Inputs'!$B$31+'Inputs'!$B$32,'Inputs'!$B$30+'Inputs'!$B$31+'Inputs'!$B$32)/1000+'Inputs'!$B$21)+'Inputs'!$B$9)/SQRT((((293-43)*MAX('Inputs'!$B$33,'Inputs'!$B$29+'Inputs'!$B$31+'Inputs'!$B$32,'Inputs'!$B$30+'Inputs'!$B$31+'Inputs'!$B$32)/1000+'Inputs'!$B$21)+'Inputs'!$B$9)^2+('Inputs'!$B$8/2)^2)-(((293-43)*MAX('Inputs'!$B$33,'Inputs'!$B$29+'Inputs'!$B$31+'Inputs'!$B$32,'Inputs'!$B$30+'Inputs'!$B$31+'Inputs'!$B$32)/1000+'Inputs'!$B$21))/SQRT((((293-43)*MAX('Inputs'!$B$33,'Inputs'!$B$29+'Inputs'!$B$31+'Inputs'!$B$32,'Inputs'!$B$30+'Inputs'!$B$31+'Inputs'!$B$32)/1000+'Inputs'!$B$21))^2+('Inputs'!$B$8/2)^2)))-'Results'!B7*(0.5*((((293-43)*MAX('Inputs'!$B$33,'Inputs'!$B$29+'Inputs'!$B$31+'Inputs'!$B$32,'Inputs'!$B$30+'Inputs'!$B$31+'Inputs'!$B$32)/1000+'Inputs'!$B$21+'Inputs'!$B$9+'Inputs'!$B$10)+'Inputs'!$B$7)/SQRT((((293-43)*MAX('Inputs'!$B$33,'Inputs'!$B$29+'Inputs'!$B$31+'Inputs'!$B$32,'Inputs'!$B$30+'Inputs'!$B$31+'Inputs'!$B$32)/1000+'Inputs'!$B$21+'Inputs'!$B$9+'Inputs'!$B$10)+'Inputs'!$B$7)^2+('Inputs'!$B$6/2)^2)-(((293-43)*MAX('Inputs'!$B$33,'Inputs'!$B$29+'Inputs'!$B$31+'Inputs'!$B$32,'Inputs'!$B$30+'Inputs'!$B$31+'Inputs'!$B$32)/1000+'Inputs'!$B$21+'Inputs'!$B$9+'Inputs'!$B$10))/SQRT((((293-43)*MAX('Inputs'!$B$33,'Inputs'!$B$29+'Inputs'!$B$31+'Inputs'!$B$32,'Inputs'!$B$30+'Inputs'!$B$31+'Inputs'!$B$32)/1000+'Inputs'!$B$21+'Inputs'!$B$9+'Inputs'!$B$10))^2+('Inputs'!$B$6/2)^2))))*'Results'!$B$8),"")</x:f>
        <x:v>37.03960933167161</x:v>
      </x:c>
      <x:c r="N293" t="n">
        <x:f>IF(AND(ISNUMBER('Results'!C7),ISNUMBER('Results'!B7),ISNUMBER('Results'!$B$8),ISNUMBER('Inputs'!$B$6),ISNUMBER('Inputs'!$B$7),ISNUMBER('Inputs'!$B$8),ISNUMBER('Inputs'!$B$9),ISNUMBER('Inputs'!$B$10),ISNUMBER('Inputs'!$B$21),ISNUMBER('Inputs'!$B$24),ISNUMBER('Inputs'!$B$28)),((('Results'!C7*(1-'Inputs'!$B$24)*(0.5*((((293-43)*MAX('Inputs'!$B$33,'Inputs'!$B$29+'Inputs'!$B$31+'Inputs'!$B$32,'Inputs'!$B$30+'Inputs'!$B$31+'Inputs'!$B$32)/1000+'Inputs'!$B$21)+'Inputs'!$B$9)/SQRT((((293-43)*MAX('Inputs'!$B$33,'Inputs'!$B$29+'Inputs'!$B$31+'Inputs'!$B$32,'Inputs'!$B$30+'Inputs'!$B$31+'Inputs'!$B$32)/1000+'Inputs'!$B$21)+'Inputs'!$B$9)^2+('Inputs'!$B$8/2)^2)-(((293-43)*MAX('Inputs'!$B$33,'Inputs'!$B$29+'Inputs'!$B$31+'Inputs'!$B$32,'Inputs'!$B$30+'Inputs'!$B$31+'Inputs'!$B$32)/1000+'Inputs'!$B$21))/SQRT((((293-43)*MAX('Inputs'!$B$33,'Inputs'!$B$29+'Inputs'!$B$31+'Inputs'!$B$32,'Inputs'!$B$30+'Inputs'!$B$31+'Inputs'!$B$32)/1000+'Inputs'!$B$21))^2+('Inputs'!$B$8/2)^2)))-'Results'!B7*(1+'Inputs'!$B$24)*(0.5*((((293-43)*MAX('Inputs'!$B$33,'Inputs'!$B$29+'Inputs'!$B$31+'Inputs'!$B$32,'Inputs'!$B$30+'Inputs'!$B$31+'Inputs'!$B$32)/1000+'Inputs'!$B$21+'Inputs'!$B$9+'Inputs'!$B$10)+'Inputs'!$B$7)/SQRT((((293-43)*MAX('Inputs'!$B$33,'Inputs'!$B$29+'Inputs'!$B$31+'Inputs'!$B$32,'Inputs'!$B$30+'Inputs'!$B$31+'Inputs'!$B$32)/1000+'Inputs'!$B$21+'Inputs'!$B$9+'Inputs'!$B$10)+'Inputs'!$B$7)^2+('Inputs'!$B$6/2)^2)-(((293-43)*MAX('Inputs'!$B$33,'Inputs'!$B$29+'Inputs'!$B$31+'Inputs'!$B$32,'Inputs'!$B$30+'Inputs'!$B$31+'Inputs'!$B$32)/1000+'Inputs'!$B$21+'Inputs'!$B$9+'Inputs'!$B$10))/SQRT((((293-43)*MAX('Inputs'!$B$33,'Inputs'!$B$29+'Inputs'!$B$31+'Inputs'!$B$32,'Inputs'!$B$30+'Inputs'!$B$31+'Inputs'!$B$32)/1000+'Inputs'!$B$21+'Inputs'!$B$9+'Inputs'!$B$10))^2+('Inputs'!$B$6/2)^2))))*'Results'!$B$8)-'Inputs'!$B$28*ABS((('Results'!C7*(1-'Inputs'!$B$24)*(0.5*((((293-43)*MAX('Inputs'!$B$33,'Inputs'!$B$29+'Inputs'!$B$31+'Inputs'!$B$32,'Inputs'!$B$30+'Inputs'!$B$31+'Inputs'!$B$32)/1000+'Inputs'!$B$21)+'Inputs'!$B$9)/SQRT((((293-43)*MAX('Inputs'!$B$33,'Inputs'!$B$29+'Inputs'!$B$31+'Inputs'!$B$32,'Inputs'!$B$30+'Inputs'!$B$31+'Inputs'!$B$32)/1000+'Inputs'!$B$21)+'Inputs'!$B$9)^2+('Inputs'!$B$8/2)^2)-(((293-43)*MAX('Inputs'!$B$33,'Inputs'!$B$29+'Inputs'!$B$31+'Inputs'!$B$32,'Inputs'!$B$30+'Inputs'!$B$31+'Inputs'!$B$32)/1000+'Inputs'!$B$21))/SQRT((((293-43)*MAX('Inputs'!$B$33,'Inputs'!$B$29+'Inputs'!$B$31+'Inputs'!$B$32,'Inputs'!$B$30+'Inputs'!$B$31+'Inputs'!$B$32)/1000+'Inputs'!$B$21))^2+('Inputs'!$B$8/2)^2)))-'Results'!B7*(1+'Inputs'!$B$24)*(0.5*((((293-43)*MAX('Inputs'!$B$33,'Inputs'!$B$29+'Inputs'!$B$31+'Inputs'!$B$32,'Inputs'!$B$30+'Inputs'!$B$31+'Inputs'!$B$32)/1000+'Inputs'!$B$21+'Inputs'!$B$9+'Inputs'!$B$10)+'Inputs'!$B$7)/SQRT((((293-43)*MAX('Inputs'!$B$33,'Inputs'!$B$29+'Inputs'!$B$31+'Inputs'!$B$32,'Inputs'!$B$30+'Inputs'!$B$31+'Inputs'!$B$32)/1000+'Inputs'!$B$21+'Inputs'!$B$9+'Inputs'!$B$10)+'Inputs'!$B$7)^2+('Inputs'!$B$6/2)^2)-(((293-43)*MAX('Inputs'!$B$33,'Inputs'!$B$29+'Inputs'!$B$31+'Inputs'!$B$32,'Inputs'!$B$30+'Inputs'!$B$31+'Inputs'!$B$32)/1000+'Inputs'!$B$21+'Inputs'!$B$9+'Inputs'!$B$10))/SQRT((((293-43)*MAX('Inputs'!$B$33,'Inputs'!$B$29+'Inputs'!$B$31+'Inputs'!$B$32,'Inputs'!$B$30+'Inputs'!$B$31+'Inputs'!$B$32)/1000+'Inputs'!$B$21+'Inputs'!$B$9+'Inputs'!$B$10))^2+('Inputs'!$B$6/2)^2))))*'Results'!$B$8))),"")</x:f>
        <x:v>33.64442219448851</x:v>
      </x:c>
      <x:c r="O293" t="n">
        <x:f>IF(AND(ISNUMBER('Results'!C7),ISNUMBER('Results'!B7),ISNUMBER('Results'!$B$8),ISNUMBER('Inputs'!$B$6),ISNUMBER('Inputs'!$B$7),ISNUMBER('Inputs'!$B$8),ISNUMBER('Inputs'!$B$9),ISNUMBER('Inputs'!$B$10),ISNUMBER('Inputs'!$B$21),ISNUMBER('Inputs'!$B$24),ISNUMBER('Inputs'!$B$28)),((('Results'!C7*(1+'Inputs'!$B$24)*(0.5*((((293-43)*MAX('Inputs'!$B$33,'Inputs'!$B$29+'Inputs'!$B$31+'Inputs'!$B$32,'Inputs'!$B$30+'Inputs'!$B$31+'Inputs'!$B$32)/1000+'Inputs'!$B$21)+'Inputs'!$B$9)/SQRT((((293-43)*MAX('Inputs'!$B$33,'Inputs'!$B$29+'Inputs'!$B$31+'Inputs'!$B$32,'Inputs'!$B$30+'Inputs'!$B$31+'Inputs'!$B$32)/1000+'Inputs'!$B$21)+'Inputs'!$B$9)^2+('Inputs'!$B$8/2)^2)-(((293-43)*MAX('Inputs'!$B$33,'Inputs'!$B$29+'Inputs'!$B$31+'Inputs'!$B$32,'Inputs'!$B$30+'Inputs'!$B$31+'Inputs'!$B$32)/1000+'Inputs'!$B$21))/SQRT((((293-43)*MAX('Inputs'!$B$33,'Inputs'!$B$29+'Inputs'!$B$31+'Inputs'!$B$32,'Inputs'!$B$30+'Inputs'!$B$31+'Inputs'!$B$32)/1000+'Inputs'!$B$21))^2+('Inputs'!$B$8/2)^2)))-'Results'!B7*(1-'Inputs'!$B$24)*(0.5*((((293-43)*MAX('Inputs'!$B$33,'Inputs'!$B$29+'Inputs'!$B$31+'Inputs'!$B$32,'Inputs'!$B$30+'Inputs'!$B$31+'Inputs'!$B$32)/1000+'Inputs'!$B$21+'Inputs'!$B$9+'Inputs'!$B$10)+'Inputs'!$B$7)/SQRT((((293-43)*MAX('Inputs'!$B$33,'Inputs'!$B$29+'Inputs'!$B$31+'Inputs'!$B$32,'Inputs'!$B$30+'Inputs'!$B$31+'Inputs'!$B$32)/1000+'Inputs'!$B$21+'Inputs'!$B$9+'Inputs'!$B$10)+'Inputs'!$B$7)^2+('Inputs'!$B$6/2)^2)-(((293-43)*MAX('Inputs'!$B$33,'Inputs'!$B$29+'Inputs'!$B$31+'Inputs'!$B$32,'Inputs'!$B$30+'Inputs'!$B$31+'Inputs'!$B$32)/1000+'Inputs'!$B$21+'Inputs'!$B$9+'Inputs'!$B$10))/SQRT((((293-43)*MAX('Inputs'!$B$33,'Inputs'!$B$29+'Inputs'!$B$31+'Inputs'!$B$32,'Inputs'!$B$30+'Inputs'!$B$31+'Inputs'!$B$32)/1000+'Inputs'!$B$21+'Inputs'!$B$9+'Inputs'!$B$10))^2+('Inputs'!$B$6/2)^2))))*'Results'!$B$8)+'Inputs'!$B$28*ABS((('Results'!C7*(1+'Inputs'!$B$24)*(0.5*((((293-43)*MAX('Inputs'!$B$33,'Inputs'!$B$29+'Inputs'!$B$31+'Inputs'!$B$32,'Inputs'!$B$30+'Inputs'!$B$31+'Inputs'!$B$32)/1000+'Inputs'!$B$21)+'Inputs'!$B$9)/SQRT((((293-43)*MAX('Inputs'!$B$33,'Inputs'!$B$29+'Inputs'!$B$31+'Inputs'!$B$32,'Inputs'!$B$30+'Inputs'!$B$31+'Inputs'!$B$32)/1000+'Inputs'!$B$21)+'Inputs'!$B$9)^2+('Inputs'!$B$8/2)^2)-(((293-43)*MAX('Inputs'!$B$33,'Inputs'!$B$29+'Inputs'!$B$31+'Inputs'!$B$32,'Inputs'!$B$30+'Inputs'!$B$31+'Inputs'!$B$32)/1000+'Inputs'!$B$21))/SQRT((((293-43)*MAX('Inputs'!$B$33,'Inputs'!$B$29+'Inputs'!$B$31+'Inputs'!$B$32,'Inputs'!$B$30+'Inputs'!$B$31+'Inputs'!$B$32)/1000+'Inputs'!$B$21))^2+('Inputs'!$B$8/2)^2)))-'Results'!B7*(1-'Inputs'!$B$24)*(0.5*((((293-43)*MAX('Inputs'!$B$33,'Inputs'!$B$29+'Inputs'!$B$31+'Inputs'!$B$32,'Inputs'!$B$30+'Inputs'!$B$31+'Inputs'!$B$32)/1000+'Inputs'!$B$21+'Inputs'!$B$9+'Inputs'!$B$10)+'Inputs'!$B$7)/SQRT((((293-43)*MAX('Inputs'!$B$33,'Inputs'!$B$29+'Inputs'!$B$31+'Inputs'!$B$32,'Inputs'!$B$30+'Inputs'!$B$31+'Inputs'!$B$32)/1000+'Inputs'!$B$21+'Inputs'!$B$9+'Inputs'!$B$10)+'Inputs'!$B$7)^2+('Inputs'!$B$6/2)^2)-(((293-43)*MAX('Inputs'!$B$33,'Inputs'!$B$29+'Inputs'!$B$31+'Inputs'!$B$32,'Inputs'!$B$30+'Inputs'!$B$31+'Inputs'!$B$32)/1000+'Inputs'!$B$21+'Inputs'!$B$9+'Inputs'!$B$10))/SQRT((((293-43)*MAX('Inputs'!$B$33,'Inputs'!$B$29+'Inputs'!$B$31+'Inputs'!$B$32,'Inputs'!$B$30+'Inputs'!$B$31+'Inputs'!$B$32)/1000+'Inputs'!$B$21+'Inputs'!$B$9+'Inputs'!$B$10))^2+('Inputs'!$B$6/2)^2))))*'Results'!$B$8))),"")</x:f>
        <x:v>40.597239276286224</x:v>
      </x:c>
      <x:c r="P293" t="n">
        <x:f>IF(AND(MAX(J293,J292)&gt;0,J293&gt;J292+0.00000001),1,0)</x:f>
        <x:v>0</x:v>
      </x:c>
      <x:c r="Q293" t="n">
        <x:f>IF(AND(MAX(K293,K292)&gt;0,K293&gt;K292+0.00000001),1,0)</x:f>
        <x:v>0</x:v>
      </x:c>
      <x:c r="R293" t="n">
        <x:f>IF(AND(MAX(L293,L292)&gt;0,L293&gt;L292+0.00000001),1,0)</x:f>
        <x:v>0</x:v>
      </x:c>
      <x:c r="S293" t="n">
        <x:f>IF(AND(MAX(M293,M292)&gt;0,M293&gt;M292+0.00000001),1,0)</x:f>
        <x:v>0</x:v>
      </x:c>
      <x:c r="T293" t="n">
        <x:f>IF(AND(MAX(N293,N292)&gt;0,N293&gt;N292+0.00000001),1,0)</x:f>
        <x:v>0</x:v>
      </x:c>
      <x:c r="U293" t="n">
        <x:f>IF(AND(MAX(O293,O292)&gt;0,O293&gt;O292+0.00000001),1,0)</x:f>
        <x:v>0</x:v>
      </x:c>
    </x:row>
    <x:row r="294">
      <x:c r="J294" t="n">
        <x:f>IF(AND(ISNUMBER('Results'!B7),ISNUMBER('Results'!C7),ISNUMBER('Results'!$B$8),ISNUMBER('Inputs'!$B$6),ISNUMBER('Inputs'!$B$7),ISNUMBER('Inputs'!$B$8),ISNUMBER('Inputs'!$B$9),ISNUMBER('Inputs'!$B$10),ISNUMBER('Inputs'!$B$21),ISNUMBER('Inputs'!$B$24),ISNUMBER('Inputs'!$B$28)),(('Results'!B7*(0.5*((((294-43)*MAX('Inputs'!$B$33,'Inputs'!$B$29+'Inputs'!$B$31+'Inputs'!$B$32,'Inputs'!$B$30+'Inputs'!$B$31+'Inputs'!$B$32)/1000+'Inputs'!$B$21)+'Inputs'!$B$7)/SQRT((((294-43)*MAX('Inputs'!$B$33,'Inputs'!$B$29+'Inputs'!$B$31+'Inputs'!$B$32,'Inputs'!$B$30+'Inputs'!$B$31+'Inputs'!$B$32)/1000+'Inputs'!$B$21)+'Inputs'!$B$7)^2+('Inputs'!$B$6/2)^2)-(((294-43)*MAX('Inputs'!$B$33,'Inputs'!$B$29+'Inputs'!$B$31+'Inputs'!$B$32,'Inputs'!$B$30+'Inputs'!$B$31+'Inputs'!$B$32)/1000+'Inputs'!$B$21))/SQRT((((294-43)*MAX('Inputs'!$B$33,'Inputs'!$B$29+'Inputs'!$B$31+'Inputs'!$B$32,'Inputs'!$B$30+'Inputs'!$B$31+'Inputs'!$B$32)/1000+'Inputs'!$B$21))^2+('Inputs'!$B$6/2)^2)))-'Results'!C7*(0.5*((((294-43)*MAX('Inputs'!$B$33,'Inputs'!$B$29+'Inputs'!$B$31+'Inputs'!$B$32,'Inputs'!$B$30+'Inputs'!$B$31+'Inputs'!$B$32)/1000+'Inputs'!$B$21+'Inputs'!$B$7+'Inputs'!$B$10)+'Inputs'!$B$9)/SQRT((((294-43)*MAX('Inputs'!$B$33,'Inputs'!$B$29+'Inputs'!$B$31+'Inputs'!$B$32,'Inputs'!$B$30+'Inputs'!$B$31+'Inputs'!$B$32)/1000+'Inputs'!$B$21+'Inputs'!$B$7+'Inputs'!$B$10)+'Inputs'!$B$9)^2+('Inputs'!$B$8/2)^2)-(((294-43)*MAX('Inputs'!$B$33,'Inputs'!$B$29+'Inputs'!$B$31+'Inputs'!$B$32,'Inputs'!$B$30+'Inputs'!$B$31+'Inputs'!$B$32)/1000+'Inputs'!$B$21+'Inputs'!$B$7+'Inputs'!$B$10))/SQRT((((294-43)*MAX('Inputs'!$B$33,'Inputs'!$B$29+'Inputs'!$B$31+'Inputs'!$B$32,'Inputs'!$B$30+'Inputs'!$B$31+'Inputs'!$B$32)/1000+'Inputs'!$B$21+'Inputs'!$B$7+'Inputs'!$B$10))^2+('Inputs'!$B$8/2)^2))))*'Results'!$B$8),"")</x:f>
        <x:v>38.23333655905794</x:v>
      </x:c>
      <x:c r="K294" t="n">
        <x:f>IF(AND(ISNUMBER('Results'!B7),ISNUMBER('Results'!C7),ISNUMBER('Results'!$B$8),ISNUMBER('Inputs'!$B$6),ISNUMBER('Inputs'!$B$7),ISNUMBER('Inputs'!$B$8),ISNUMBER('Inputs'!$B$9),ISNUMBER('Inputs'!$B$10),ISNUMBER('Inputs'!$B$21),ISNUMBER('Inputs'!$B$24),ISNUMBER('Inputs'!$B$28)),((('Results'!B7*(1-'Inputs'!$B$24)*(0.5*((((294-43)*MAX('Inputs'!$B$33,'Inputs'!$B$29+'Inputs'!$B$31+'Inputs'!$B$32,'Inputs'!$B$30+'Inputs'!$B$31+'Inputs'!$B$32)/1000+'Inputs'!$B$21)+'Inputs'!$B$7)/SQRT((((294-43)*MAX('Inputs'!$B$33,'Inputs'!$B$29+'Inputs'!$B$31+'Inputs'!$B$32,'Inputs'!$B$30+'Inputs'!$B$31+'Inputs'!$B$32)/1000+'Inputs'!$B$21)+'Inputs'!$B$7)^2+('Inputs'!$B$6/2)^2)-(((294-43)*MAX('Inputs'!$B$33,'Inputs'!$B$29+'Inputs'!$B$31+'Inputs'!$B$32,'Inputs'!$B$30+'Inputs'!$B$31+'Inputs'!$B$32)/1000+'Inputs'!$B$21))/SQRT((((294-43)*MAX('Inputs'!$B$33,'Inputs'!$B$29+'Inputs'!$B$31+'Inputs'!$B$32,'Inputs'!$B$30+'Inputs'!$B$31+'Inputs'!$B$32)/1000+'Inputs'!$B$21))^2+('Inputs'!$B$6/2)^2)))-'Results'!C7*(1+'Inputs'!$B$24)*(0.5*((((294-43)*MAX('Inputs'!$B$33,'Inputs'!$B$29+'Inputs'!$B$31+'Inputs'!$B$32,'Inputs'!$B$30+'Inputs'!$B$31+'Inputs'!$B$32)/1000+'Inputs'!$B$21+'Inputs'!$B$7+'Inputs'!$B$10)+'Inputs'!$B$9)/SQRT((((294-43)*MAX('Inputs'!$B$33,'Inputs'!$B$29+'Inputs'!$B$31+'Inputs'!$B$32,'Inputs'!$B$30+'Inputs'!$B$31+'Inputs'!$B$32)/1000+'Inputs'!$B$21+'Inputs'!$B$7+'Inputs'!$B$10)+'Inputs'!$B$9)^2+('Inputs'!$B$8/2)^2)-(((294-43)*MAX('Inputs'!$B$33,'Inputs'!$B$29+'Inputs'!$B$31+'Inputs'!$B$32,'Inputs'!$B$30+'Inputs'!$B$31+'Inputs'!$B$32)/1000+'Inputs'!$B$21+'Inputs'!$B$7+'Inputs'!$B$10))/SQRT((((294-43)*MAX('Inputs'!$B$33,'Inputs'!$B$29+'Inputs'!$B$31+'Inputs'!$B$32,'Inputs'!$B$30+'Inputs'!$B$31+'Inputs'!$B$32)/1000+'Inputs'!$B$21+'Inputs'!$B$7+'Inputs'!$B$10))^2+('Inputs'!$B$8/2)^2))))*'Results'!$B$8)-'Inputs'!$B$28*ABS((('Results'!B7*(1-'Inputs'!$B$24)*(0.5*((((294-43)*MAX('Inputs'!$B$33,'Inputs'!$B$29+'Inputs'!$B$31+'Inputs'!$B$32,'Inputs'!$B$30+'Inputs'!$B$31+'Inputs'!$B$32)/1000+'Inputs'!$B$21)+'Inputs'!$B$7)/SQRT((((294-43)*MAX('Inputs'!$B$33,'Inputs'!$B$29+'Inputs'!$B$31+'Inputs'!$B$32,'Inputs'!$B$30+'Inputs'!$B$31+'Inputs'!$B$32)/1000+'Inputs'!$B$21)+'Inputs'!$B$7)^2+('Inputs'!$B$6/2)^2)-(((294-43)*MAX('Inputs'!$B$33,'Inputs'!$B$29+'Inputs'!$B$31+'Inputs'!$B$32,'Inputs'!$B$30+'Inputs'!$B$31+'Inputs'!$B$32)/1000+'Inputs'!$B$21))/SQRT((((294-43)*MAX('Inputs'!$B$33,'Inputs'!$B$29+'Inputs'!$B$31+'Inputs'!$B$32,'Inputs'!$B$30+'Inputs'!$B$31+'Inputs'!$B$32)/1000+'Inputs'!$B$21))^2+('Inputs'!$B$6/2)^2)))-'Results'!C7*(1+'Inputs'!$B$24)*(0.5*((((294-43)*MAX('Inputs'!$B$33,'Inputs'!$B$29+'Inputs'!$B$31+'Inputs'!$B$32,'Inputs'!$B$30+'Inputs'!$B$31+'Inputs'!$B$32)/1000+'Inputs'!$B$21+'Inputs'!$B$7+'Inputs'!$B$10)+'Inputs'!$B$9)/SQRT((((294-43)*MAX('Inputs'!$B$33,'Inputs'!$B$29+'Inputs'!$B$31+'Inputs'!$B$32,'Inputs'!$B$30+'Inputs'!$B$31+'Inputs'!$B$32)/1000+'Inputs'!$B$21+'Inputs'!$B$7+'Inputs'!$B$10)+'Inputs'!$B$9)^2+('Inputs'!$B$8/2)^2)-(((294-43)*MAX('Inputs'!$B$33,'Inputs'!$B$29+'Inputs'!$B$31+'Inputs'!$B$32,'Inputs'!$B$30+'Inputs'!$B$31+'Inputs'!$B$32)/1000+'Inputs'!$B$21+'Inputs'!$B$7+'Inputs'!$B$10))/SQRT((((294-43)*MAX('Inputs'!$B$33,'Inputs'!$B$29+'Inputs'!$B$31+'Inputs'!$B$32,'Inputs'!$B$30+'Inputs'!$B$31+'Inputs'!$B$32)/1000+'Inputs'!$B$21+'Inputs'!$B$7+'Inputs'!$B$10))^2+('Inputs'!$B$8/2)^2))))*'Results'!$B$8))),"")</x:f>
        <x:v>34.77871561411921</x:v>
      </x:c>
      <x:c r="L294" t="n">
        <x:f>IF(AND(ISNUMBER('Results'!B7),ISNUMBER('Results'!C7),ISNUMBER('Results'!$B$8),ISNUMBER('Inputs'!$B$6),ISNUMBER('Inputs'!$B$7),ISNUMBER('Inputs'!$B$8),ISNUMBER('Inputs'!$B$9),ISNUMBER('Inputs'!$B$10),ISNUMBER('Inputs'!$B$21),ISNUMBER('Inputs'!$B$24),ISNUMBER('Inputs'!$B$28)),((('Results'!B7*(1+'Inputs'!$B$24)*(0.5*((((294-43)*MAX('Inputs'!$B$33,'Inputs'!$B$29+'Inputs'!$B$31+'Inputs'!$B$32,'Inputs'!$B$30+'Inputs'!$B$31+'Inputs'!$B$32)/1000+'Inputs'!$B$21)+'Inputs'!$B$7)/SQRT((((294-43)*MAX('Inputs'!$B$33,'Inputs'!$B$29+'Inputs'!$B$31+'Inputs'!$B$32,'Inputs'!$B$30+'Inputs'!$B$31+'Inputs'!$B$32)/1000+'Inputs'!$B$21)+'Inputs'!$B$7)^2+('Inputs'!$B$6/2)^2)-(((294-43)*MAX('Inputs'!$B$33,'Inputs'!$B$29+'Inputs'!$B$31+'Inputs'!$B$32,'Inputs'!$B$30+'Inputs'!$B$31+'Inputs'!$B$32)/1000+'Inputs'!$B$21))/SQRT((((294-43)*MAX('Inputs'!$B$33,'Inputs'!$B$29+'Inputs'!$B$31+'Inputs'!$B$32,'Inputs'!$B$30+'Inputs'!$B$31+'Inputs'!$B$32)/1000+'Inputs'!$B$21))^2+('Inputs'!$B$6/2)^2)))-'Results'!C7*(1-'Inputs'!$B$24)*(0.5*((((294-43)*MAX('Inputs'!$B$33,'Inputs'!$B$29+'Inputs'!$B$31+'Inputs'!$B$32,'Inputs'!$B$30+'Inputs'!$B$31+'Inputs'!$B$32)/1000+'Inputs'!$B$21+'Inputs'!$B$7+'Inputs'!$B$10)+'Inputs'!$B$9)/SQRT((((294-43)*MAX('Inputs'!$B$33,'Inputs'!$B$29+'Inputs'!$B$31+'Inputs'!$B$32,'Inputs'!$B$30+'Inputs'!$B$31+'Inputs'!$B$32)/1000+'Inputs'!$B$21+'Inputs'!$B$7+'Inputs'!$B$10)+'Inputs'!$B$9)^2+('Inputs'!$B$8/2)^2)-(((294-43)*MAX('Inputs'!$B$33,'Inputs'!$B$29+'Inputs'!$B$31+'Inputs'!$B$32,'Inputs'!$B$30+'Inputs'!$B$31+'Inputs'!$B$32)/1000+'Inputs'!$B$21+'Inputs'!$B$7+'Inputs'!$B$10))/SQRT((((294-43)*MAX('Inputs'!$B$33,'Inputs'!$B$29+'Inputs'!$B$31+'Inputs'!$B$32,'Inputs'!$B$30+'Inputs'!$B$31+'Inputs'!$B$32)/1000+'Inputs'!$B$21+'Inputs'!$B$7+'Inputs'!$B$10))^2+('Inputs'!$B$8/2)^2))))*'Results'!$B$8)+'Inputs'!$B$28*ABS((('Results'!B7*(1+'Inputs'!$B$24)*(0.5*((((294-43)*MAX('Inputs'!$B$33,'Inputs'!$B$29+'Inputs'!$B$31+'Inputs'!$B$32,'Inputs'!$B$30+'Inputs'!$B$31+'Inputs'!$B$32)/1000+'Inputs'!$B$21)+'Inputs'!$B$7)/SQRT((((294-43)*MAX('Inputs'!$B$33,'Inputs'!$B$29+'Inputs'!$B$31+'Inputs'!$B$32,'Inputs'!$B$30+'Inputs'!$B$31+'Inputs'!$B$32)/1000+'Inputs'!$B$21)+'Inputs'!$B$7)^2+('Inputs'!$B$6/2)^2)-(((294-43)*MAX('Inputs'!$B$33,'Inputs'!$B$29+'Inputs'!$B$31+'Inputs'!$B$32,'Inputs'!$B$30+'Inputs'!$B$31+'Inputs'!$B$32)/1000+'Inputs'!$B$21))/SQRT((((294-43)*MAX('Inputs'!$B$33,'Inputs'!$B$29+'Inputs'!$B$31+'Inputs'!$B$32,'Inputs'!$B$30+'Inputs'!$B$31+'Inputs'!$B$32)/1000+'Inputs'!$B$21))^2+('Inputs'!$B$6/2)^2)))-'Results'!C7*(1-'Inputs'!$B$24)*(0.5*((((294-43)*MAX('Inputs'!$B$33,'Inputs'!$B$29+'Inputs'!$B$31+'Inputs'!$B$32,'Inputs'!$B$30+'Inputs'!$B$31+'Inputs'!$B$32)/1000+'Inputs'!$B$21+'Inputs'!$B$7+'Inputs'!$B$10)+'Inputs'!$B$9)/SQRT((((294-43)*MAX('Inputs'!$B$33,'Inputs'!$B$29+'Inputs'!$B$31+'Inputs'!$B$32,'Inputs'!$B$30+'Inputs'!$B$31+'Inputs'!$B$32)/1000+'Inputs'!$B$21+'Inputs'!$B$7+'Inputs'!$B$10)+'Inputs'!$B$9)^2+('Inputs'!$B$8/2)^2)-(((294-43)*MAX('Inputs'!$B$33,'Inputs'!$B$29+'Inputs'!$B$31+'Inputs'!$B$32,'Inputs'!$B$30+'Inputs'!$B$31+'Inputs'!$B$32)/1000+'Inputs'!$B$21+'Inputs'!$B$7+'Inputs'!$B$10))/SQRT((((294-43)*MAX('Inputs'!$B$33,'Inputs'!$B$29+'Inputs'!$B$31+'Inputs'!$B$32,'Inputs'!$B$30+'Inputs'!$B$31+'Inputs'!$B$32)/1000+'Inputs'!$B$21+'Inputs'!$B$7+'Inputs'!$B$10))^2+('Inputs'!$B$8/2)^2))))*'Results'!$B$8))),"")</x:f>
        <x:v>41.85037372683729</x:v>
      </x:c>
      <x:c r="M294" t="n">
        <x:f>IF(AND(ISNUMBER('Results'!C7),ISNUMBER('Results'!B7),ISNUMBER('Results'!$B$8),ISNUMBER('Inputs'!$B$6),ISNUMBER('Inputs'!$B$7),ISNUMBER('Inputs'!$B$8),ISNUMBER('Inputs'!$B$9),ISNUMBER('Inputs'!$B$10),ISNUMBER('Inputs'!$B$21),ISNUMBER('Inputs'!$B$24),ISNUMBER('Inputs'!$B$28)),(('Results'!C7*(0.5*((((294-43)*MAX('Inputs'!$B$33,'Inputs'!$B$29+'Inputs'!$B$31+'Inputs'!$B$32,'Inputs'!$B$30+'Inputs'!$B$31+'Inputs'!$B$32)/1000+'Inputs'!$B$21)+'Inputs'!$B$9)/SQRT((((294-43)*MAX('Inputs'!$B$33,'Inputs'!$B$29+'Inputs'!$B$31+'Inputs'!$B$32,'Inputs'!$B$30+'Inputs'!$B$31+'Inputs'!$B$32)/1000+'Inputs'!$B$21)+'Inputs'!$B$9)^2+('Inputs'!$B$8/2)^2)-(((294-43)*MAX('Inputs'!$B$33,'Inputs'!$B$29+'Inputs'!$B$31+'Inputs'!$B$32,'Inputs'!$B$30+'Inputs'!$B$31+'Inputs'!$B$32)/1000+'Inputs'!$B$21))/SQRT((((294-43)*MAX('Inputs'!$B$33,'Inputs'!$B$29+'Inputs'!$B$31+'Inputs'!$B$32,'Inputs'!$B$30+'Inputs'!$B$31+'Inputs'!$B$32)/1000+'Inputs'!$B$21))^2+('Inputs'!$B$8/2)^2)))-'Results'!B7*(0.5*((((294-43)*MAX('Inputs'!$B$33,'Inputs'!$B$29+'Inputs'!$B$31+'Inputs'!$B$32,'Inputs'!$B$30+'Inputs'!$B$31+'Inputs'!$B$32)/1000+'Inputs'!$B$21+'Inputs'!$B$9+'Inputs'!$B$10)+'Inputs'!$B$7)/SQRT((((294-43)*MAX('Inputs'!$B$33,'Inputs'!$B$29+'Inputs'!$B$31+'Inputs'!$B$32,'Inputs'!$B$30+'Inputs'!$B$31+'Inputs'!$B$32)/1000+'Inputs'!$B$21+'Inputs'!$B$9+'Inputs'!$B$10)+'Inputs'!$B$7)^2+('Inputs'!$B$6/2)^2)-(((294-43)*MAX('Inputs'!$B$33,'Inputs'!$B$29+'Inputs'!$B$31+'Inputs'!$B$32,'Inputs'!$B$30+'Inputs'!$B$31+'Inputs'!$B$32)/1000+'Inputs'!$B$21+'Inputs'!$B$9+'Inputs'!$B$10))/SQRT((((294-43)*MAX('Inputs'!$B$33,'Inputs'!$B$29+'Inputs'!$B$31+'Inputs'!$B$32,'Inputs'!$B$30+'Inputs'!$B$31+'Inputs'!$B$32)/1000+'Inputs'!$B$21+'Inputs'!$B$9+'Inputs'!$B$10))^2+('Inputs'!$B$6/2)^2))))*'Results'!$B$8),"")</x:f>
        <x:v>36.60040396843522</x:v>
      </x:c>
      <x:c r="N294" t="n">
        <x:f>IF(AND(ISNUMBER('Results'!C7),ISNUMBER('Results'!B7),ISNUMBER('Results'!$B$8),ISNUMBER('Inputs'!$B$6),ISNUMBER('Inputs'!$B$7),ISNUMBER('Inputs'!$B$8),ISNUMBER('Inputs'!$B$9),ISNUMBER('Inputs'!$B$10),ISNUMBER('Inputs'!$B$21),ISNUMBER('Inputs'!$B$24),ISNUMBER('Inputs'!$B$28)),((('Results'!C7*(1-'Inputs'!$B$24)*(0.5*((((294-43)*MAX('Inputs'!$B$33,'Inputs'!$B$29+'Inputs'!$B$31+'Inputs'!$B$32,'Inputs'!$B$30+'Inputs'!$B$31+'Inputs'!$B$32)/1000+'Inputs'!$B$21)+'Inputs'!$B$9)/SQRT((((294-43)*MAX('Inputs'!$B$33,'Inputs'!$B$29+'Inputs'!$B$31+'Inputs'!$B$32,'Inputs'!$B$30+'Inputs'!$B$31+'Inputs'!$B$32)/1000+'Inputs'!$B$21)+'Inputs'!$B$9)^2+('Inputs'!$B$8/2)^2)-(((294-43)*MAX('Inputs'!$B$33,'Inputs'!$B$29+'Inputs'!$B$31+'Inputs'!$B$32,'Inputs'!$B$30+'Inputs'!$B$31+'Inputs'!$B$32)/1000+'Inputs'!$B$21))/SQRT((((294-43)*MAX('Inputs'!$B$33,'Inputs'!$B$29+'Inputs'!$B$31+'Inputs'!$B$32,'Inputs'!$B$30+'Inputs'!$B$31+'Inputs'!$B$32)/1000+'Inputs'!$B$21))^2+('Inputs'!$B$8/2)^2)))-'Results'!B7*(1+'Inputs'!$B$24)*(0.5*((((294-43)*MAX('Inputs'!$B$33,'Inputs'!$B$29+'Inputs'!$B$31+'Inputs'!$B$32,'Inputs'!$B$30+'Inputs'!$B$31+'Inputs'!$B$32)/1000+'Inputs'!$B$21+'Inputs'!$B$9+'Inputs'!$B$10)+'Inputs'!$B$7)/SQRT((((294-43)*MAX('Inputs'!$B$33,'Inputs'!$B$29+'Inputs'!$B$31+'Inputs'!$B$32,'Inputs'!$B$30+'Inputs'!$B$31+'Inputs'!$B$32)/1000+'Inputs'!$B$21+'Inputs'!$B$9+'Inputs'!$B$10)+'Inputs'!$B$7)^2+('Inputs'!$B$6/2)^2)-(((294-43)*MAX('Inputs'!$B$33,'Inputs'!$B$29+'Inputs'!$B$31+'Inputs'!$B$32,'Inputs'!$B$30+'Inputs'!$B$31+'Inputs'!$B$32)/1000+'Inputs'!$B$21+'Inputs'!$B$9+'Inputs'!$B$10))/SQRT((((294-43)*MAX('Inputs'!$B$33,'Inputs'!$B$29+'Inputs'!$B$31+'Inputs'!$B$32,'Inputs'!$B$30+'Inputs'!$B$31+'Inputs'!$B$32)/1000+'Inputs'!$B$21+'Inputs'!$B$9+'Inputs'!$B$10))^2+('Inputs'!$B$6/2)^2))))*'Results'!$B$8)-'Inputs'!$B$28*ABS((('Results'!C7*(1-'Inputs'!$B$24)*(0.5*((((294-43)*MAX('Inputs'!$B$33,'Inputs'!$B$29+'Inputs'!$B$31+'Inputs'!$B$32,'Inputs'!$B$30+'Inputs'!$B$31+'Inputs'!$B$32)/1000+'Inputs'!$B$21)+'Inputs'!$B$9)/SQRT((((294-43)*MAX('Inputs'!$B$33,'Inputs'!$B$29+'Inputs'!$B$31+'Inputs'!$B$32,'Inputs'!$B$30+'Inputs'!$B$31+'Inputs'!$B$32)/1000+'Inputs'!$B$21)+'Inputs'!$B$9)^2+('Inputs'!$B$8/2)^2)-(((294-43)*MAX('Inputs'!$B$33,'Inputs'!$B$29+'Inputs'!$B$31+'Inputs'!$B$32,'Inputs'!$B$30+'Inputs'!$B$31+'Inputs'!$B$32)/1000+'Inputs'!$B$21))/SQRT((((294-43)*MAX('Inputs'!$B$33,'Inputs'!$B$29+'Inputs'!$B$31+'Inputs'!$B$32,'Inputs'!$B$30+'Inputs'!$B$31+'Inputs'!$B$32)/1000+'Inputs'!$B$21))^2+('Inputs'!$B$8/2)^2)))-'Results'!B7*(1+'Inputs'!$B$24)*(0.5*((((294-43)*MAX('Inputs'!$B$33,'Inputs'!$B$29+'Inputs'!$B$31+'Inputs'!$B$32,'Inputs'!$B$30+'Inputs'!$B$31+'Inputs'!$B$32)/1000+'Inputs'!$B$21+'Inputs'!$B$9+'Inputs'!$B$10)+'Inputs'!$B$7)/SQRT((((294-43)*MAX('Inputs'!$B$33,'Inputs'!$B$29+'Inputs'!$B$31+'Inputs'!$B$32,'Inputs'!$B$30+'Inputs'!$B$31+'Inputs'!$B$32)/1000+'Inputs'!$B$21+'Inputs'!$B$9+'Inputs'!$B$10)+'Inputs'!$B$7)^2+('Inputs'!$B$6/2)^2)-(((294-43)*MAX('Inputs'!$B$33,'Inputs'!$B$29+'Inputs'!$B$31+'Inputs'!$B$32,'Inputs'!$B$30+'Inputs'!$B$31+'Inputs'!$B$32)/1000+'Inputs'!$B$21+'Inputs'!$B$9+'Inputs'!$B$10))/SQRT((((294-43)*MAX('Inputs'!$B$33,'Inputs'!$B$29+'Inputs'!$B$31+'Inputs'!$B$32,'Inputs'!$B$30+'Inputs'!$B$31+'Inputs'!$B$32)/1000+'Inputs'!$B$21+'Inputs'!$B$9+'Inputs'!$B$10))^2+('Inputs'!$B$6/2)^2))))*'Results'!$B$8))),"")</x:f>
        <x:v>33.24179168403795</x:v>
      </x:c>
      <x:c r="O294" t="n">
        <x:f>IF(AND(ISNUMBER('Results'!C7),ISNUMBER('Results'!B7),ISNUMBER('Results'!$B$8),ISNUMBER('Inputs'!$B$6),ISNUMBER('Inputs'!$B$7),ISNUMBER('Inputs'!$B$8),ISNUMBER('Inputs'!$B$9),ISNUMBER('Inputs'!$B$10),ISNUMBER('Inputs'!$B$21),ISNUMBER('Inputs'!$B$24),ISNUMBER('Inputs'!$B$28)),((('Results'!C7*(1+'Inputs'!$B$24)*(0.5*((((294-43)*MAX('Inputs'!$B$33,'Inputs'!$B$29+'Inputs'!$B$31+'Inputs'!$B$32,'Inputs'!$B$30+'Inputs'!$B$31+'Inputs'!$B$32)/1000+'Inputs'!$B$21)+'Inputs'!$B$9)/SQRT((((294-43)*MAX('Inputs'!$B$33,'Inputs'!$B$29+'Inputs'!$B$31+'Inputs'!$B$32,'Inputs'!$B$30+'Inputs'!$B$31+'Inputs'!$B$32)/1000+'Inputs'!$B$21)+'Inputs'!$B$9)^2+('Inputs'!$B$8/2)^2)-(((294-43)*MAX('Inputs'!$B$33,'Inputs'!$B$29+'Inputs'!$B$31+'Inputs'!$B$32,'Inputs'!$B$30+'Inputs'!$B$31+'Inputs'!$B$32)/1000+'Inputs'!$B$21))/SQRT((((294-43)*MAX('Inputs'!$B$33,'Inputs'!$B$29+'Inputs'!$B$31+'Inputs'!$B$32,'Inputs'!$B$30+'Inputs'!$B$31+'Inputs'!$B$32)/1000+'Inputs'!$B$21))^2+('Inputs'!$B$8/2)^2)))-'Results'!B7*(1-'Inputs'!$B$24)*(0.5*((((294-43)*MAX('Inputs'!$B$33,'Inputs'!$B$29+'Inputs'!$B$31+'Inputs'!$B$32,'Inputs'!$B$30+'Inputs'!$B$31+'Inputs'!$B$32)/1000+'Inputs'!$B$21+'Inputs'!$B$9+'Inputs'!$B$10)+'Inputs'!$B$7)/SQRT((((294-43)*MAX('Inputs'!$B$33,'Inputs'!$B$29+'Inputs'!$B$31+'Inputs'!$B$32,'Inputs'!$B$30+'Inputs'!$B$31+'Inputs'!$B$32)/1000+'Inputs'!$B$21+'Inputs'!$B$9+'Inputs'!$B$10)+'Inputs'!$B$7)^2+('Inputs'!$B$6/2)^2)-(((294-43)*MAX('Inputs'!$B$33,'Inputs'!$B$29+'Inputs'!$B$31+'Inputs'!$B$32,'Inputs'!$B$30+'Inputs'!$B$31+'Inputs'!$B$32)/1000+'Inputs'!$B$21+'Inputs'!$B$9+'Inputs'!$B$10))/SQRT((((294-43)*MAX('Inputs'!$B$33,'Inputs'!$B$29+'Inputs'!$B$31+'Inputs'!$B$32,'Inputs'!$B$30+'Inputs'!$B$31+'Inputs'!$B$32)/1000+'Inputs'!$B$21+'Inputs'!$B$9+'Inputs'!$B$10))^2+('Inputs'!$B$6/2)^2))))*'Results'!$B$8)+'Inputs'!$B$28*ABS((('Results'!C7*(1+'Inputs'!$B$24)*(0.5*((((294-43)*MAX('Inputs'!$B$33,'Inputs'!$B$29+'Inputs'!$B$31+'Inputs'!$B$32,'Inputs'!$B$30+'Inputs'!$B$31+'Inputs'!$B$32)/1000+'Inputs'!$B$21)+'Inputs'!$B$9)/SQRT((((294-43)*MAX('Inputs'!$B$33,'Inputs'!$B$29+'Inputs'!$B$31+'Inputs'!$B$32,'Inputs'!$B$30+'Inputs'!$B$31+'Inputs'!$B$32)/1000+'Inputs'!$B$21)+'Inputs'!$B$9)^2+('Inputs'!$B$8/2)^2)-(((294-43)*MAX('Inputs'!$B$33,'Inputs'!$B$29+'Inputs'!$B$31+'Inputs'!$B$32,'Inputs'!$B$30+'Inputs'!$B$31+'Inputs'!$B$32)/1000+'Inputs'!$B$21))/SQRT((((294-43)*MAX('Inputs'!$B$33,'Inputs'!$B$29+'Inputs'!$B$31+'Inputs'!$B$32,'Inputs'!$B$30+'Inputs'!$B$31+'Inputs'!$B$32)/1000+'Inputs'!$B$21))^2+('Inputs'!$B$8/2)^2)))-'Results'!B7*(1-'Inputs'!$B$24)*(0.5*((((294-43)*MAX('Inputs'!$B$33,'Inputs'!$B$29+'Inputs'!$B$31+'Inputs'!$B$32,'Inputs'!$B$30+'Inputs'!$B$31+'Inputs'!$B$32)/1000+'Inputs'!$B$21+'Inputs'!$B$9+'Inputs'!$B$10)+'Inputs'!$B$7)/SQRT((((294-43)*MAX('Inputs'!$B$33,'Inputs'!$B$29+'Inputs'!$B$31+'Inputs'!$B$32,'Inputs'!$B$30+'Inputs'!$B$31+'Inputs'!$B$32)/1000+'Inputs'!$B$21+'Inputs'!$B$9+'Inputs'!$B$10)+'Inputs'!$B$7)^2+('Inputs'!$B$6/2)^2)-(((294-43)*MAX('Inputs'!$B$33,'Inputs'!$B$29+'Inputs'!$B$31+'Inputs'!$B$32,'Inputs'!$B$30+'Inputs'!$B$31+'Inputs'!$B$32)/1000+'Inputs'!$B$21+'Inputs'!$B$9+'Inputs'!$B$10))/SQRT((((294-43)*MAX('Inputs'!$B$33,'Inputs'!$B$29+'Inputs'!$B$31+'Inputs'!$B$32,'Inputs'!$B$30+'Inputs'!$B$31+'Inputs'!$B$32)/1000+'Inputs'!$B$21+'Inputs'!$B$9+'Inputs'!$B$10))^2+('Inputs'!$B$6/2)^2))))*'Results'!$B$8))),"")</x:f>
        <x:v>40.119920682935174</x:v>
      </x:c>
      <x:c r="P294" t="n">
        <x:f>IF(AND(MAX(J294,J293)&gt;0,J294&gt;J293+0.00000001),1,0)</x:f>
        <x:v>0</x:v>
      </x:c>
      <x:c r="Q294" t="n">
        <x:f>IF(AND(MAX(K294,K293)&gt;0,K294&gt;K293+0.00000001),1,0)</x:f>
        <x:v>0</x:v>
      </x:c>
      <x:c r="R294" t="n">
        <x:f>IF(AND(MAX(L294,L293)&gt;0,L294&gt;L293+0.00000001),1,0)</x:f>
        <x:v>0</x:v>
      </x:c>
      <x:c r="S294" t="n">
        <x:f>IF(AND(MAX(M294,M293)&gt;0,M294&gt;M293+0.00000001),1,0)</x:f>
        <x:v>0</x:v>
      </x:c>
      <x:c r="T294" t="n">
        <x:f>IF(AND(MAX(N294,N293)&gt;0,N294&gt;N293+0.00000001),1,0)</x:f>
        <x:v>0</x:v>
      </x:c>
      <x:c r="U294" t="n">
        <x:f>IF(AND(MAX(O294,O293)&gt;0,O294&gt;O293+0.00000001),1,0)</x:f>
        <x:v>0</x:v>
      </x:c>
    </x:row>
    <x:row r="295">
      <x:c r="J295" t="n">
        <x:f>IF(AND(ISNUMBER('Results'!B7),ISNUMBER('Results'!C7),ISNUMBER('Results'!$B$8),ISNUMBER('Inputs'!$B$6),ISNUMBER('Inputs'!$B$7),ISNUMBER('Inputs'!$B$8),ISNUMBER('Inputs'!$B$9),ISNUMBER('Inputs'!$B$10),ISNUMBER('Inputs'!$B$21),ISNUMBER('Inputs'!$B$24),ISNUMBER('Inputs'!$B$28)),(('Results'!B7*(0.5*((((295-43)*MAX('Inputs'!$B$33,'Inputs'!$B$29+'Inputs'!$B$31+'Inputs'!$B$32,'Inputs'!$B$30+'Inputs'!$B$31+'Inputs'!$B$32)/1000+'Inputs'!$B$21)+'Inputs'!$B$7)/SQRT((((295-43)*MAX('Inputs'!$B$33,'Inputs'!$B$29+'Inputs'!$B$31+'Inputs'!$B$32,'Inputs'!$B$30+'Inputs'!$B$31+'Inputs'!$B$32)/1000+'Inputs'!$B$21)+'Inputs'!$B$7)^2+('Inputs'!$B$6/2)^2)-(((295-43)*MAX('Inputs'!$B$33,'Inputs'!$B$29+'Inputs'!$B$31+'Inputs'!$B$32,'Inputs'!$B$30+'Inputs'!$B$31+'Inputs'!$B$32)/1000+'Inputs'!$B$21))/SQRT((((295-43)*MAX('Inputs'!$B$33,'Inputs'!$B$29+'Inputs'!$B$31+'Inputs'!$B$32,'Inputs'!$B$30+'Inputs'!$B$31+'Inputs'!$B$32)/1000+'Inputs'!$B$21))^2+('Inputs'!$B$6/2)^2)))-'Results'!C7*(0.5*((((295-43)*MAX('Inputs'!$B$33,'Inputs'!$B$29+'Inputs'!$B$31+'Inputs'!$B$32,'Inputs'!$B$30+'Inputs'!$B$31+'Inputs'!$B$32)/1000+'Inputs'!$B$21+'Inputs'!$B$7+'Inputs'!$B$10)+'Inputs'!$B$9)/SQRT((((295-43)*MAX('Inputs'!$B$33,'Inputs'!$B$29+'Inputs'!$B$31+'Inputs'!$B$32,'Inputs'!$B$30+'Inputs'!$B$31+'Inputs'!$B$32)/1000+'Inputs'!$B$21+'Inputs'!$B$7+'Inputs'!$B$10)+'Inputs'!$B$9)^2+('Inputs'!$B$8/2)^2)-(((295-43)*MAX('Inputs'!$B$33,'Inputs'!$B$29+'Inputs'!$B$31+'Inputs'!$B$32,'Inputs'!$B$30+'Inputs'!$B$31+'Inputs'!$B$32)/1000+'Inputs'!$B$21+'Inputs'!$B$7+'Inputs'!$B$10))/SQRT((((295-43)*MAX('Inputs'!$B$33,'Inputs'!$B$29+'Inputs'!$B$31+'Inputs'!$B$32,'Inputs'!$B$30+'Inputs'!$B$31+'Inputs'!$B$32)/1000+'Inputs'!$B$21+'Inputs'!$B$7+'Inputs'!$B$10))^2+('Inputs'!$B$8/2)^2))))*'Results'!$B$8),"")</x:f>
        <x:v>37.785110575789595</x:v>
      </x:c>
      <x:c r="K295" t="n">
        <x:f>IF(AND(ISNUMBER('Results'!B7),ISNUMBER('Results'!C7),ISNUMBER('Results'!$B$8),ISNUMBER('Inputs'!$B$6),ISNUMBER('Inputs'!$B$7),ISNUMBER('Inputs'!$B$8),ISNUMBER('Inputs'!$B$9),ISNUMBER('Inputs'!$B$10),ISNUMBER('Inputs'!$B$21),ISNUMBER('Inputs'!$B$24),ISNUMBER('Inputs'!$B$28)),((('Results'!B7*(1-'Inputs'!$B$24)*(0.5*((((295-43)*MAX('Inputs'!$B$33,'Inputs'!$B$29+'Inputs'!$B$31+'Inputs'!$B$32,'Inputs'!$B$30+'Inputs'!$B$31+'Inputs'!$B$32)/1000+'Inputs'!$B$21)+'Inputs'!$B$7)/SQRT((((295-43)*MAX('Inputs'!$B$33,'Inputs'!$B$29+'Inputs'!$B$31+'Inputs'!$B$32,'Inputs'!$B$30+'Inputs'!$B$31+'Inputs'!$B$32)/1000+'Inputs'!$B$21)+'Inputs'!$B$7)^2+('Inputs'!$B$6/2)^2)-(((295-43)*MAX('Inputs'!$B$33,'Inputs'!$B$29+'Inputs'!$B$31+'Inputs'!$B$32,'Inputs'!$B$30+'Inputs'!$B$31+'Inputs'!$B$32)/1000+'Inputs'!$B$21))/SQRT((((295-43)*MAX('Inputs'!$B$33,'Inputs'!$B$29+'Inputs'!$B$31+'Inputs'!$B$32,'Inputs'!$B$30+'Inputs'!$B$31+'Inputs'!$B$32)/1000+'Inputs'!$B$21))^2+('Inputs'!$B$6/2)^2)))-'Results'!C7*(1+'Inputs'!$B$24)*(0.5*((((295-43)*MAX('Inputs'!$B$33,'Inputs'!$B$29+'Inputs'!$B$31+'Inputs'!$B$32,'Inputs'!$B$30+'Inputs'!$B$31+'Inputs'!$B$32)/1000+'Inputs'!$B$21+'Inputs'!$B$7+'Inputs'!$B$10)+'Inputs'!$B$9)/SQRT((((295-43)*MAX('Inputs'!$B$33,'Inputs'!$B$29+'Inputs'!$B$31+'Inputs'!$B$32,'Inputs'!$B$30+'Inputs'!$B$31+'Inputs'!$B$32)/1000+'Inputs'!$B$21+'Inputs'!$B$7+'Inputs'!$B$10)+'Inputs'!$B$9)^2+('Inputs'!$B$8/2)^2)-(((295-43)*MAX('Inputs'!$B$33,'Inputs'!$B$29+'Inputs'!$B$31+'Inputs'!$B$32,'Inputs'!$B$30+'Inputs'!$B$31+'Inputs'!$B$32)/1000+'Inputs'!$B$21+'Inputs'!$B$7+'Inputs'!$B$10))/SQRT((((295-43)*MAX('Inputs'!$B$33,'Inputs'!$B$29+'Inputs'!$B$31+'Inputs'!$B$32,'Inputs'!$B$30+'Inputs'!$B$31+'Inputs'!$B$32)/1000+'Inputs'!$B$21+'Inputs'!$B$7+'Inputs'!$B$10))^2+('Inputs'!$B$8/2)^2))))*'Results'!$B$8)-'Inputs'!$B$28*ABS((('Results'!B7*(1-'Inputs'!$B$24)*(0.5*((((295-43)*MAX('Inputs'!$B$33,'Inputs'!$B$29+'Inputs'!$B$31+'Inputs'!$B$32,'Inputs'!$B$30+'Inputs'!$B$31+'Inputs'!$B$32)/1000+'Inputs'!$B$21)+'Inputs'!$B$7)/SQRT((((295-43)*MAX('Inputs'!$B$33,'Inputs'!$B$29+'Inputs'!$B$31+'Inputs'!$B$32,'Inputs'!$B$30+'Inputs'!$B$31+'Inputs'!$B$32)/1000+'Inputs'!$B$21)+'Inputs'!$B$7)^2+('Inputs'!$B$6/2)^2)-(((295-43)*MAX('Inputs'!$B$33,'Inputs'!$B$29+'Inputs'!$B$31+'Inputs'!$B$32,'Inputs'!$B$30+'Inputs'!$B$31+'Inputs'!$B$32)/1000+'Inputs'!$B$21))/SQRT((((295-43)*MAX('Inputs'!$B$33,'Inputs'!$B$29+'Inputs'!$B$31+'Inputs'!$B$32,'Inputs'!$B$30+'Inputs'!$B$31+'Inputs'!$B$32)/1000+'Inputs'!$B$21))^2+('Inputs'!$B$6/2)^2)))-'Results'!C7*(1+'Inputs'!$B$24)*(0.5*((((295-43)*MAX('Inputs'!$B$33,'Inputs'!$B$29+'Inputs'!$B$31+'Inputs'!$B$32,'Inputs'!$B$30+'Inputs'!$B$31+'Inputs'!$B$32)/1000+'Inputs'!$B$21+'Inputs'!$B$7+'Inputs'!$B$10)+'Inputs'!$B$9)/SQRT((((295-43)*MAX('Inputs'!$B$33,'Inputs'!$B$29+'Inputs'!$B$31+'Inputs'!$B$32,'Inputs'!$B$30+'Inputs'!$B$31+'Inputs'!$B$32)/1000+'Inputs'!$B$21+'Inputs'!$B$7+'Inputs'!$B$10)+'Inputs'!$B$9)^2+('Inputs'!$B$8/2)^2)-(((295-43)*MAX('Inputs'!$B$33,'Inputs'!$B$29+'Inputs'!$B$31+'Inputs'!$B$32,'Inputs'!$B$30+'Inputs'!$B$31+'Inputs'!$B$32)/1000+'Inputs'!$B$21+'Inputs'!$B$7+'Inputs'!$B$10))/SQRT((((295-43)*MAX('Inputs'!$B$33,'Inputs'!$B$29+'Inputs'!$B$31+'Inputs'!$B$32,'Inputs'!$B$30+'Inputs'!$B$31+'Inputs'!$B$32)/1000+'Inputs'!$B$21+'Inputs'!$B$7+'Inputs'!$B$10))^2+('Inputs'!$B$8/2)^2))))*'Results'!$B$8))),"")</x:f>
        <x:v>34.36750108087803</x:v>
      </x:c>
      <x:c r="L295" t="n">
        <x:f>IF(AND(ISNUMBER('Results'!B7),ISNUMBER('Results'!C7),ISNUMBER('Results'!$B$8),ISNUMBER('Inputs'!$B$6),ISNUMBER('Inputs'!$B$7),ISNUMBER('Inputs'!$B$8),ISNUMBER('Inputs'!$B$9),ISNUMBER('Inputs'!$B$10),ISNUMBER('Inputs'!$B$21),ISNUMBER('Inputs'!$B$24),ISNUMBER('Inputs'!$B$28)),((('Results'!B7*(1+'Inputs'!$B$24)*(0.5*((((295-43)*MAX('Inputs'!$B$33,'Inputs'!$B$29+'Inputs'!$B$31+'Inputs'!$B$32,'Inputs'!$B$30+'Inputs'!$B$31+'Inputs'!$B$32)/1000+'Inputs'!$B$21)+'Inputs'!$B$7)/SQRT((((295-43)*MAX('Inputs'!$B$33,'Inputs'!$B$29+'Inputs'!$B$31+'Inputs'!$B$32,'Inputs'!$B$30+'Inputs'!$B$31+'Inputs'!$B$32)/1000+'Inputs'!$B$21)+'Inputs'!$B$7)^2+('Inputs'!$B$6/2)^2)-(((295-43)*MAX('Inputs'!$B$33,'Inputs'!$B$29+'Inputs'!$B$31+'Inputs'!$B$32,'Inputs'!$B$30+'Inputs'!$B$31+'Inputs'!$B$32)/1000+'Inputs'!$B$21))/SQRT((((295-43)*MAX('Inputs'!$B$33,'Inputs'!$B$29+'Inputs'!$B$31+'Inputs'!$B$32,'Inputs'!$B$30+'Inputs'!$B$31+'Inputs'!$B$32)/1000+'Inputs'!$B$21))^2+('Inputs'!$B$6/2)^2)))-'Results'!C7*(1-'Inputs'!$B$24)*(0.5*((((295-43)*MAX('Inputs'!$B$33,'Inputs'!$B$29+'Inputs'!$B$31+'Inputs'!$B$32,'Inputs'!$B$30+'Inputs'!$B$31+'Inputs'!$B$32)/1000+'Inputs'!$B$21+'Inputs'!$B$7+'Inputs'!$B$10)+'Inputs'!$B$9)/SQRT((((295-43)*MAX('Inputs'!$B$33,'Inputs'!$B$29+'Inputs'!$B$31+'Inputs'!$B$32,'Inputs'!$B$30+'Inputs'!$B$31+'Inputs'!$B$32)/1000+'Inputs'!$B$21+'Inputs'!$B$7+'Inputs'!$B$10)+'Inputs'!$B$9)^2+('Inputs'!$B$8/2)^2)-(((295-43)*MAX('Inputs'!$B$33,'Inputs'!$B$29+'Inputs'!$B$31+'Inputs'!$B$32,'Inputs'!$B$30+'Inputs'!$B$31+'Inputs'!$B$32)/1000+'Inputs'!$B$21+'Inputs'!$B$7+'Inputs'!$B$10))/SQRT((((295-43)*MAX('Inputs'!$B$33,'Inputs'!$B$29+'Inputs'!$B$31+'Inputs'!$B$32,'Inputs'!$B$30+'Inputs'!$B$31+'Inputs'!$B$32)/1000+'Inputs'!$B$21+'Inputs'!$B$7+'Inputs'!$B$10))^2+('Inputs'!$B$8/2)^2))))*'Results'!$B$8)+'Inputs'!$B$28*ABS((('Results'!B7*(1+'Inputs'!$B$24)*(0.5*((((295-43)*MAX('Inputs'!$B$33,'Inputs'!$B$29+'Inputs'!$B$31+'Inputs'!$B$32,'Inputs'!$B$30+'Inputs'!$B$31+'Inputs'!$B$32)/1000+'Inputs'!$B$21)+'Inputs'!$B$7)/SQRT((((295-43)*MAX('Inputs'!$B$33,'Inputs'!$B$29+'Inputs'!$B$31+'Inputs'!$B$32,'Inputs'!$B$30+'Inputs'!$B$31+'Inputs'!$B$32)/1000+'Inputs'!$B$21)+'Inputs'!$B$7)^2+('Inputs'!$B$6/2)^2)-(((295-43)*MAX('Inputs'!$B$33,'Inputs'!$B$29+'Inputs'!$B$31+'Inputs'!$B$32,'Inputs'!$B$30+'Inputs'!$B$31+'Inputs'!$B$32)/1000+'Inputs'!$B$21))/SQRT((((295-43)*MAX('Inputs'!$B$33,'Inputs'!$B$29+'Inputs'!$B$31+'Inputs'!$B$32,'Inputs'!$B$30+'Inputs'!$B$31+'Inputs'!$B$32)/1000+'Inputs'!$B$21))^2+('Inputs'!$B$6/2)^2)))-'Results'!C7*(1-'Inputs'!$B$24)*(0.5*((((295-43)*MAX('Inputs'!$B$33,'Inputs'!$B$29+'Inputs'!$B$31+'Inputs'!$B$32,'Inputs'!$B$30+'Inputs'!$B$31+'Inputs'!$B$32)/1000+'Inputs'!$B$21+'Inputs'!$B$7+'Inputs'!$B$10)+'Inputs'!$B$9)/SQRT((((295-43)*MAX('Inputs'!$B$33,'Inputs'!$B$29+'Inputs'!$B$31+'Inputs'!$B$32,'Inputs'!$B$30+'Inputs'!$B$31+'Inputs'!$B$32)/1000+'Inputs'!$B$21+'Inputs'!$B$7+'Inputs'!$B$10)+'Inputs'!$B$9)^2+('Inputs'!$B$8/2)^2)-(((295-43)*MAX('Inputs'!$B$33,'Inputs'!$B$29+'Inputs'!$B$31+'Inputs'!$B$32,'Inputs'!$B$30+'Inputs'!$B$31+'Inputs'!$B$32)/1000+'Inputs'!$B$21+'Inputs'!$B$7+'Inputs'!$B$10))/SQRT((((295-43)*MAX('Inputs'!$B$33,'Inputs'!$B$29+'Inputs'!$B$31+'Inputs'!$B$32,'Inputs'!$B$30+'Inputs'!$B$31+'Inputs'!$B$32)/1000+'Inputs'!$B$21+'Inputs'!$B$7+'Inputs'!$B$10))^2+('Inputs'!$B$8/2)^2))))*'Results'!$B$8))),"")</x:f>
        <x:v>41.36359943555612</x:v>
      </x:c>
      <x:c r="M295" t="n">
        <x:f>IF(AND(ISNUMBER('Results'!C7),ISNUMBER('Results'!B7),ISNUMBER('Results'!$B$8),ISNUMBER('Inputs'!$B$6),ISNUMBER('Inputs'!$B$7),ISNUMBER('Inputs'!$B$8),ISNUMBER('Inputs'!$B$9),ISNUMBER('Inputs'!$B$10),ISNUMBER('Inputs'!$B$21),ISNUMBER('Inputs'!$B$24),ISNUMBER('Inputs'!$B$28)),(('Results'!C7*(0.5*((((295-43)*MAX('Inputs'!$B$33,'Inputs'!$B$29+'Inputs'!$B$31+'Inputs'!$B$32,'Inputs'!$B$30+'Inputs'!$B$31+'Inputs'!$B$32)/1000+'Inputs'!$B$21)+'Inputs'!$B$9)/SQRT((((295-43)*MAX('Inputs'!$B$33,'Inputs'!$B$29+'Inputs'!$B$31+'Inputs'!$B$32,'Inputs'!$B$30+'Inputs'!$B$31+'Inputs'!$B$32)/1000+'Inputs'!$B$21)+'Inputs'!$B$9)^2+('Inputs'!$B$8/2)^2)-(((295-43)*MAX('Inputs'!$B$33,'Inputs'!$B$29+'Inputs'!$B$31+'Inputs'!$B$32,'Inputs'!$B$30+'Inputs'!$B$31+'Inputs'!$B$32)/1000+'Inputs'!$B$21))/SQRT((((295-43)*MAX('Inputs'!$B$33,'Inputs'!$B$29+'Inputs'!$B$31+'Inputs'!$B$32,'Inputs'!$B$30+'Inputs'!$B$31+'Inputs'!$B$32)/1000+'Inputs'!$B$21))^2+('Inputs'!$B$8/2)^2)))-'Results'!B7*(0.5*((((295-43)*MAX('Inputs'!$B$33,'Inputs'!$B$29+'Inputs'!$B$31+'Inputs'!$B$32,'Inputs'!$B$30+'Inputs'!$B$31+'Inputs'!$B$32)/1000+'Inputs'!$B$21+'Inputs'!$B$9+'Inputs'!$B$10)+'Inputs'!$B$7)/SQRT((((295-43)*MAX('Inputs'!$B$33,'Inputs'!$B$29+'Inputs'!$B$31+'Inputs'!$B$32,'Inputs'!$B$30+'Inputs'!$B$31+'Inputs'!$B$32)/1000+'Inputs'!$B$21+'Inputs'!$B$9+'Inputs'!$B$10)+'Inputs'!$B$7)^2+('Inputs'!$B$6/2)^2)-(((295-43)*MAX('Inputs'!$B$33,'Inputs'!$B$29+'Inputs'!$B$31+'Inputs'!$B$32,'Inputs'!$B$30+'Inputs'!$B$31+'Inputs'!$B$32)/1000+'Inputs'!$B$21+'Inputs'!$B$9+'Inputs'!$B$10))/SQRT((((295-43)*MAX('Inputs'!$B$33,'Inputs'!$B$29+'Inputs'!$B$31+'Inputs'!$B$32,'Inputs'!$B$30+'Inputs'!$B$31+'Inputs'!$B$32)/1000+'Inputs'!$B$21+'Inputs'!$B$9+'Inputs'!$B$10))^2+('Inputs'!$B$6/2)^2))))*'Results'!$B$8),"")</x:f>
        <x:v>36.16761191257642</x:v>
      </x:c>
      <x:c r="N295" t="n">
        <x:f>IF(AND(ISNUMBER('Results'!C7),ISNUMBER('Results'!B7),ISNUMBER('Results'!$B$8),ISNUMBER('Inputs'!$B$6),ISNUMBER('Inputs'!$B$7),ISNUMBER('Inputs'!$B$8),ISNUMBER('Inputs'!$B$9),ISNUMBER('Inputs'!$B$10),ISNUMBER('Inputs'!$B$21),ISNUMBER('Inputs'!$B$24),ISNUMBER('Inputs'!$B$28)),((('Results'!C7*(1-'Inputs'!$B$24)*(0.5*((((295-43)*MAX('Inputs'!$B$33,'Inputs'!$B$29+'Inputs'!$B$31+'Inputs'!$B$32,'Inputs'!$B$30+'Inputs'!$B$31+'Inputs'!$B$32)/1000+'Inputs'!$B$21)+'Inputs'!$B$9)/SQRT((((295-43)*MAX('Inputs'!$B$33,'Inputs'!$B$29+'Inputs'!$B$31+'Inputs'!$B$32,'Inputs'!$B$30+'Inputs'!$B$31+'Inputs'!$B$32)/1000+'Inputs'!$B$21)+'Inputs'!$B$9)^2+('Inputs'!$B$8/2)^2)-(((295-43)*MAX('Inputs'!$B$33,'Inputs'!$B$29+'Inputs'!$B$31+'Inputs'!$B$32,'Inputs'!$B$30+'Inputs'!$B$31+'Inputs'!$B$32)/1000+'Inputs'!$B$21))/SQRT((((295-43)*MAX('Inputs'!$B$33,'Inputs'!$B$29+'Inputs'!$B$31+'Inputs'!$B$32,'Inputs'!$B$30+'Inputs'!$B$31+'Inputs'!$B$32)/1000+'Inputs'!$B$21))^2+('Inputs'!$B$8/2)^2)))-'Results'!B7*(1+'Inputs'!$B$24)*(0.5*((((295-43)*MAX('Inputs'!$B$33,'Inputs'!$B$29+'Inputs'!$B$31+'Inputs'!$B$32,'Inputs'!$B$30+'Inputs'!$B$31+'Inputs'!$B$32)/1000+'Inputs'!$B$21+'Inputs'!$B$9+'Inputs'!$B$10)+'Inputs'!$B$7)/SQRT((((295-43)*MAX('Inputs'!$B$33,'Inputs'!$B$29+'Inputs'!$B$31+'Inputs'!$B$32,'Inputs'!$B$30+'Inputs'!$B$31+'Inputs'!$B$32)/1000+'Inputs'!$B$21+'Inputs'!$B$9+'Inputs'!$B$10)+'Inputs'!$B$7)^2+('Inputs'!$B$6/2)^2)-(((295-43)*MAX('Inputs'!$B$33,'Inputs'!$B$29+'Inputs'!$B$31+'Inputs'!$B$32,'Inputs'!$B$30+'Inputs'!$B$31+'Inputs'!$B$32)/1000+'Inputs'!$B$21+'Inputs'!$B$9+'Inputs'!$B$10))/SQRT((((295-43)*MAX('Inputs'!$B$33,'Inputs'!$B$29+'Inputs'!$B$31+'Inputs'!$B$32,'Inputs'!$B$30+'Inputs'!$B$31+'Inputs'!$B$32)/1000+'Inputs'!$B$21+'Inputs'!$B$9+'Inputs'!$B$10))^2+('Inputs'!$B$6/2)^2))))*'Results'!$B$8)-'Inputs'!$B$28*ABS((('Results'!C7*(1-'Inputs'!$B$24)*(0.5*((((295-43)*MAX('Inputs'!$B$33,'Inputs'!$B$29+'Inputs'!$B$31+'Inputs'!$B$32,'Inputs'!$B$30+'Inputs'!$B$31+'Inputs'!$B$32)/1000+'Inputs'!$B$21)+'Inputs'!$B$9)/SQRT((((295-43)*MAX('Inputs'!$B$33,'Inputs'!$B$29+'Inputs'!$B$31+'Inputs'!$B$32,'Inputs'!$B$30+'Inputs'!$B$31+'Inputs'!$B$32)/1000+'Inputs'!$B$21)+'Inputs'!$B$9)^2+('Inputs'!$B$8/2)^2)-(((295-43)*MAX('Inputs'!$B$33,'Inputs'!$B$29+'Inputs'!$B$31+'Inputs'!$B$32,'Inputs'!$B$30+'Inputs'!$B$31+'Inputs'!$B$32)/1000+'Inputs'!$B$21))/SQRT((((295-43)*MAX('Inputs'!$B$33,'Inputs'!$B$29+'Inputs'!$B$31+'Inputs'!$B$32,'Inputs'!$B$30+'Inputs'!$B$31+'Inputs'!$B$32)/1000+'Inputs'!$B$21))^2+('Inputs'!$B$8/2)^2)))-'Results'!B7*(1+'Inputs'!$B$24)*(0.5*((((295-43)*MAX('Inputs'!$B$33,'Inputs'!$B$29+'Inputs'!$B$31+'Inputs'!$B$32,'Inputs'!$B$30+'Inputs'!$B$31+'Inputs'!$B$32)/1000+'Inputs'!$B$21+'Inputs'!$B$9+'Inputs'!$B$10)+'Inputs'!$B$7)/SQRT((((295-43)*MAX('Inputs'!$B$33,'Inputs'!$B$29+'Inputs'!$B$31+'Inputs'!$B$32,'Inputs'!$B$30+'Inputs'!$B$31+'Inputs'!$B$32)/1000+'Inputs'!$B$21+'Inputs'!$B$9+'Inputs'!$B$10)+'Inputs'!$B$7)^2+('Inputs'!$B$6/2)^2)-(((295-43)*MAX('Inputs'!$B$33,'Inputs'!$B$29+'Inputs'!$B$31+'Inputs'!$B$32,'Inputs'!$B$30+'Inputs'!$B$31+'Inputs'!$B$32)/1000+'Inputs'!$B$21+'Inputs'!$B$9+'Inputs'!$B$10))/SQRT((((295-43)*MAX('Inputs'!$B$33,'Inputs'!$B$29+'Inputs'!$B$31+'Inputs'!$B$32,'Inputs'!$B$30+'Inputs'!$B$31+'Inputs'!$B$32)/1000+'Inputs'!$B$21+'Inputs'!$B$9+'Inputs'!$B$10))^2+('Inputs'!$B$6/2)^2))))*'Results'!$B$8))),"")</x:f>
        <x:v>32.8450702975657</x:v>
      </x:c>
      <x:c r="O295" t="n">
        <x:f>IF(AND(ISNUMBER('Results'!C7),ISNUMBER('Results'!B7),ISNUMBER('Results'!$B$8),ISNUMBER('Inputs'!$B$6),ISNUMBER('Inputs'!$B$7),ISNUMBER('Inputs'!$B$8),ISNUMBER('Inputs'!$B$9),ISNUMBER('Inputs'!$B$10),ISNUMBER('Inputs'!$B$21),ISNUMBER('Inputs'!$B$24),ISNUMBER('Inputs'!$B$28)),((('Results'!C7*(1+'Inputs'!$B$24)*(0.5*((((295-43)*MAX('Inputs'!$B$33,'Inputs'!$B$29+'Inputs'!$B$31+'Inputs'!$B$32,'Inputs'!$B$30+'Inputs'!$B$31+'Inputs'!$B$32)/1000+'Inputs'!$B$21)+'Inputs'!$B$9)/SQRT((((295-43)*MAX('Inputs'!$B$33,'Inputs'!$B$29+'Inputs'!$B$31+'Inputs'!$B$32,'Inputs'!$B$30+'Inputs'!$B$31+'Inputs'!$B$32)/1000+'Inputs'!$B$21)+'Inputs'!$B$9)^2+('Inputs'!$B$8/2)^2)-(((295-43)*MAX('Inputs'!$B$33,'Inputs'!$B$29+'Inputs'!$B$31+'Inputs'!$B$32,'Inputs'!$B$30+'Inputs'!$B$31+'Inputs'!$B$32)/1000+'Inputs'!$B$21))/SQRT((((295-43)*MAX('Inputs'!$B$33,'Inputs'!$B$29+'Inputs'!$B$31+'Inputs'!$B$32,'Inputs'!$B$30+'Inputs'!$B$31+'Inputs'!$B$32)/1000+'Inputs'!$B$21))^2+('Inputs'!$B$8/2)^2)))-'Results'!B7*(1-'Inputs'!$B$24)*(0.5*((((295-43)*MAX('Inputs'!$B$33,'Inputs'!$B$29+'Inputs'!$B$31+'Inputs'!$B$32,'Inputs'!$B$30+'Inputs'!$B$31+'Inputs'!$B$32)/1000+'Inputs'!$B$21+'Inputs'!$B$9+'Inputs'!$B$10)+'Inputs'!$B$7)/SQRT((((295-43)*MAX('Inputs'!$B$33,'Inputs'!$B$29+'Inputs'!$B$31+'Inputs'!$B$32,'Inputs'!$B$30+'Inputs'!$B$31+'Inputs'!$B$32)/1000+'Inputs'!$B$21+'Inputs'!$B$9+'Inputs'!$B$10)+'Inputs'!$B$7)^2+('Inputs'!$B$6/2)^2)-(((295-43)*MAX('Inputs'!$B$33,'Inputs'!$B$29+'Inputs'!$B$31+'Inputs'!$B$32,'Inputs'!$B$30+'Inputs'!$B$31+'Inputs'!$B$32)/1000+'Inputs'!$B$21+'Inputs'!$B$9+'Inputs'!$B$10))/SQRT((((295-43)*MAX('Inputs'!$B$33,'Inputs'!$B$29+'Inputs'!$B$31+'Inputs'!$B$32,'Inputs'!$B$30+'Inputs'!$B$31+'Inputs'!$B$32)/1000+'Inputs'!$B$21+'Inputs'!$B$9+'Inputs'!$B$10))^2+('Inputs'!$B$6/2)^2))))*'Results'!$B$8)+'Inputs'!$B$28*ABS((('Results'!C7*(1+'Inputs'!$B$24)*(0.5*((((295-43)*MAX('Inputs'!$B$33,'Inputs'!$B$29+'Inputs'!$B$31+'Inputs'!$B$32,'Inputs'!$B$30+'Inputs'!$B$31+'Inputs'!$B$32)/1000+'Inputs'!$B$21)+'Inputs'!$B$9)/SQRT((((295-43)*MAX('Inputs'!$B$33,'Inputs'!$B$29+'Inputs'!$B$31+'Inputs'!$B$32,'Inputs'!$B$30+'Inputs'!$B$31+'Inputs'!$B$32)/1000+'Inputs'!$B$21)+'Inputs'!$B$9)^2+('Inputs'!$B$8/2)^2)-(((295-43)*MAX('Inputs'!$B$33,'Inputs'!$B$29+'Inputs'!$B$31+'Inputs'!$B$32,'Inputs'!$B$30+'Inputs'!$B$31+'Inputs'!$B$32)/1000+'Inputs'!$B$21))/SQRT((((295-43)*MAX('Inputs'!$B$33,'Inputs'!$B$29+'Inputs'!$B$31+'Inputs'!$B$32,'Inputs'!$B$30+'Inputs'!$B$31+'Inputs'!$B$32)/1000+'Inputs'!$B$21))^2+('Inputs'!$B$8/2)^2)))-'Results'!B7*(1-'Inputs'!$B$24)*(0.5*((((295-43)*MAX('Inputs'!$B$33,'Inputs'!$B$29+'Inputs'!$B$31+'Inputs'!$B$32,'Inputs'!$B$30+'Inputs'!$B$31+'Inputs'!$B$32)/1000+'Inputs'!$B$21+'Inputs'!$B$9+'Inputs'!$B$10)+'Inputs'!$B$7)/SQRT((((295-43)*MAX('Inputs'!$B$33,'Inputs'!$B$29+'Inputs'!$B$31+'Inputs'!$B$32,'Inputs'!$B$30+'Inputs'!$B$31+'Inputs'!$B$32)/1000+'Inputs'!$B$21+'Inputs'!$B$9+'Inputs'!$B$10)+'Inputs'!$B$7)^2+('Inputs'!$B$6/2)^2)-(((295-43)*MAX('Inputs'!$B$33,'Inputs'!$B$29+'Inputs'!$B$31+'Inputs'!$B$32,'Inputs'!$B$30+'Inputs'!$B$31+'Inputs'!$B$32)/1000+'Inputs'!$B$21+'Inputs'!$B$9+'Inputs'!$B$10))/SQRT((((295-43)*MAX('Inputs'!$B$33,'Inputs'!$B$29+'Inputs'!$B$31+'Inputs'!$B$32,'Inputs'!$B$30+'Inputs'!$B$31+'Inputs'!$B$32)/1000+'Inputs'!$B$21+'Inputs'!$B$9+'Inputs'!$B$10))^2+('Inputs'!$B$6/2)^2))))*'Results'!$B$8))),"")</x:f>
        <x:v>39.64953889804839</x:v>
      </x:c>
      <x:c r="P295" t="n">
        <x:f>IF(AND(MAX(J295,J294)&gt;0,J295&gt;J294+0.00000001),1,0)</x:f>
        <x:v>0</x:v>
      </x:c>
      <x:c r="Q295" t="n">
        <x:f>IF(AND(MAX(K295,K294)&gt;0,K295&gt;K294+0.00000001),1,0)</x:f>
        <x:v>0</x:v>
      </x:c>
      <x:c r="R295" t="n">
        <x:f>IF(AND(MAX(L295,L294)&gt;0,L295&gt;L294+0.00000001),1,0)</x:f>
        <x:v>0</x:v>
      </x:c>
      <x:c r="S295" t="n">
        <x:f>IF(AND(MAX(M295,M294)&gt;0,M295&gt;M294+0.00000001),1,0)</x:f>
        <x:v>0</x:v>
      </x:c>
      <x:c r="T295" t="n">
        <x:f>IF(AND(MAX(N295,N294)&gt;0,N295&gt;N294+0.00000001),1,0)</x:f>
        <x:v>0</x:v>
      </x:c>
      <x:c r="U295" t="n">
        <x:f>IF(AND(MAX(O295,O294)&gt;0,O295&gt;O294+0.00000001),1,0)</x:f>
        <x:v>0</x:v>
      </x:c>
    </x:row>
    <x:row r="296">
      <x:c r="J296" t="n">
        <x:f>IF(AND(ISNUMBER('Results'!B7),ISNUMBER('Results'!C7),ISNUMBER('Results'!$B$8),ISNUMBER('Inputs'!$B$6),ISNUMBER('Inputs'!$B$7),ISNUMBER('Inputs'!$B$8),ISNUMBER('Inputs'!$B$9),ISNUMBER('Inputs'!$B$10),ISNUMBER('Inputs'!$B$21),ISNUMBER('Inputs'!$B$24),ISNUMBER('Inputs'!$B$28)),(('Results'!B7*(0.5*((((296-43)*MAX('Inputs'!$B$33,'Inputs'!$B$29+'Inputs'!$B$31+'Inputs'!$B$32,'Inputs'!$B$30+'Inputs'!$B$31+'Inputs'!$B$32)/1000+'Inputs'!$B$21)+'Inputs'!$B$7)/SQRT((((296-43)*MAX('Inputs'!$B$33,'Inputs'!$B$29+'Inputs'!$B$31+'Inputs'!$B$32,'Inputs'!$B$30+'Inputs'!$B$31+'Inputs'!$B$32)/1000+'Inputs'!$B$21)+'Inputs'!$B$7)^2+('Inputs'!$B$6/2)^2)-(((296-43)*MAX('Inputs'!$B$33,'Inputs'!$B$29+'Inputs'!$B$31+'Inputs'!$B$32,'Inputs'!$B$30+'Inputs'!$B$31+'Inputs'!$B$32)/1000+'Inputs'!$B$21))/SQRT((((296-43)*MAX('Inputs'!$B$33,'Inputs'!$B$29+'Inputs'!$B$31+'Inputs'!$B$32,'Inputs'!$B$30+'Inputs'!$B$31+'Inputs'!$B$32)/1000+'Inputs'!$B$21))^2+('Inputs'!$B$6/2)^2)))-'Results'!C7*(0.5*((((296-43)*MAX('Inputs'!$B$33,'Inputs'!$B$29+'Inputs'!$B$31+'Inputs'!$B$32,'Inputs'!$B$30+'Inputs'!$B$31+'Inputs'!$B$32)/1000+'Inputs'!$B$21+'Inputs'!$B$7+'Inputs'!$B$10)+'Inputs'!$B$9)/SQRT((((296-43)*MAX('Inputs'!$B$33,'Inputs'!$B$29+'Inputs'!$B$31+'Inputs'!$B$32,'Inputs'!$B$30+'Inputs'!$B$31+'Inputs'!$B$32)/1000+'Inputs'!$B$21+'Inputs'!$B$7+'Inputs'!$B$10)+'Inputs'!$B$9)^2+('Inputs'!$B$8/2)^2)-(((296-43)*MAX('Inputs'!$B$33,'Inputs'!$B$29+'Inputs'!$B$31+'Inputs'!$B$32,'Inputs'!$B$30+'Inputs'!$B$31+'Inputs'!$B$32)/1000+'Inputs'!$B$21+'Inputs'!$B$7+'Inputs'!$B$10))/SQRT((((296-43)*MAX('Inputs'!$B$33,'Inputs'!$B$29+'Inputs'!$B$31+'Inputs'!$B$32,'Inputs'!$B$30+'Inputs'!$B$31+'Inputs'!$B$32)/1000+'Inputs'!$B$21+'Inputs'!$B$7+'Inputs'!$B$10))^2+('Inputs'!$B$8/2)^2))))*'Results'!$B$8),"")</x:f>
        <x:v>37.343380766048384</x:v>
      </x:c>
      <x:c r="K296" t="n">
        <x:f>IF(AND(ISNUMBER('Results'!B7),ISNUMBER('Results'!C7),ISNUMBER('Results'!$B$8),ISNUMBER('Inputs'!$B$6),ISNUMBER('Inputs'!$B$7),ISNUMBER('Inputs'!$B$8),ISNUMBER('Inputs'!$B$9),ISNUMBER('Inputs'!$B$10),ISNUMBER('Inputs'!$B$21),ISNUMBER('Inputs'!$B$24),ISNUMBER('Inputs'!$B$28)),((('Results'!B7*(1-'Inputs'!$B$24)*(0.5*((((296-43)*MAX('Inputs'!$B$33,'Inputs'!$B$29+'Inputs'!$B$31+'Inputs'!$B$32,'Inputs'!$B$30+'Inputs'!$B$31+'Inputs'!$B$32)/1000+'Inputs'!$B$21)+'Inputs'!$B$7)/SQRT((((296-43)*MAX('Inputs'!$B$33,'Inputs'!$B$29+'Inputs'!$B$31+'Inputs'!$B$32,'Inputs'!$B$30+'Inputs'!$B$31+'Inputs'!$B$32)/1000+'Inputs'!$B$21)+'Inputs'!$B$7)^2+('Inputs'!$B$6/2)^2)-(((296-43)*MAX('Inputs'!$B$33,'Inputs'!$B$29+'Inputs'!$B$31+'Inputs'!$B$32,'Inputs'!$B$30+'Inputs'!$B$31+'Inputs'!$B$32)/1000+'Inputs'!$B$21))/SQRT((((296-43)*MAX('Inputs'!$B$33,'Inputs'!$B$29+'Inputs'!$B$31+'Inputs'!$B$32,'Inputs'!$B$30+'Inputs'!$B$31+'Inputs'!$B$32)/1000+'Inputs'!$B$21))^2+('Inputs'!$B$6/2)^2)))-'Results'!C7*(1+'Inputs'!$B$24)*(0.5*((((296-43)*MAX('Inputs'!$B$33,'Inputs'!$B$29+'Inputs'!$B$31+'Inputs'!$B$32,'Inputs'!$B$30+'Inputs'!$B$31+'Inputs'!$B$32)/1000+'Inputs'!$B$21+'Inputs'!$B$7+'Inputs'!$B$10)+'Inputs'!$B$9)/SQRT((((296-43)*MAX('Inputs'!$B$33,'Inputs'!$B$29+'Inputs'!$B$31+'Inputs'!$B$32,'Inputs'!$B$30+'Inputs'!$B$31+'Inputs'!$B$32)/1000+'Inputs'!$B$21+'Inputs'!$B$7+'Inputs'!$B$10)+'Inputs'!$B$9)^2+('Inputs'!$B$8/2)^2)-(((296-43)*MAX('Inputs'!$B$33,'Inputs'!$B$29+'Inputs'!$B$31+'Inputs'!$B$32,'Inputs'!$B$30+'Inputs'!$B$31+'Inputs'!$B$32)/1000+'Inputs'!$B$21+'Inputs'!$B$7+'Inputs'!$B$10))/SQRT((((296-43)*MAX('Inputs'!$B$33,'Inputs'!$B$29+'Inputs'!$B$31+'Inputs'!$B$32,'Inputs'!$B$30+'Inputs'!$B$31+'Inputs'!$B$32)/1000+'Inputs'!$B$21+'Inputs'!$B$7+'Inputs'!$B$10))^2+('Inputs'!$B$8/2)^2))))*'Results'!$B$8)-'Inputs'!$B$28*ABS((('Results'!B7*(1-'Inputs'!$B$24)*(0.5*((((296-43)*MAX('Inputs'!$B$33,'Inputs'!$B$29+'Inputs'!$B$31+'Inputs'!$B$32,'Inputs'!$B$30+'Inputs'!$B$31+'Inputs'!$B$32)/1000+'Inputs'!$B$21)+'Inputs'!$B$7)/SQRT((((296-43)*MAX('Inputs'!$B$33,'Inputs'!$B$29+'Inputs'!$B$31+'Inputs'!$B$32,'Inputs'!$B$30+'Inputs'!$B$31+'Inputs'!$B$32)/1000+'Inputs'!$B$21)+'Inputs'!$B$7)^2+('Inputs'!$B$6/2)^2)-(((296-43)*MAX('Inputs'!$B$33,'Inputs'!$B$29+'Inputs'!$B$31+'Inputs'!$B$32,'Inputs'!$B$30+'Inputs'!$B$31+'Inputs'!$B$32)/1000+'Inputs'!$B$21))/SQRT((((296-43)*MAX('Inputs'!$B$33,'Inputs'!$B$29+'Inputs'!$B$31+'Inputs'!$B$32,'Inputs'!$B$30+'Inputs'!$B$31+'Inputs'!$B$32)/1000+'Inputs'!$B$21))^2+('Inputs'!$B$6/2)^2)))-'Results'!C7*(1+'Inputs'!$B$24)*(0.5*((((296-43)*MAX('Inputs'!$B$33,'Inputs'!$B$29+'Inputs'!$B$31+'Inputs'!$B$32,'Inputs'!$B$30+'Inputs'!$B$31+'Inputs'!$B$32)/1000+'Inputs'!$B$21+'Inputs'!$B$7+'Inputs'!$B$10)+'Inputs'!$B$9)/SQRT((((296-43)*MAX('Inputs'!$B$33,'Inputs'!$B$29+'Inputs'!$B$31+'Inputs'!$B$32,'Inputs'!$B$30+'Inputs'!$B$31+'Inputs'!$B$32)/1000+'Inputs'!$B$21+'Inputs'!$B$7+'Inputs'!$B$10)+'Inputs'!$B$9)^2+('Inputs'!$B$8/2)^2)-(((296-43)*MAX('Inputs'!$B$33,'Inputs'!$B$29+'Inputs'!$B$31+'Inputs'!$B$32,'Inputs'!$B$30+'Inputs'!$B$31+'Inputs'!$B$32)/1000+'Inputs'!$B$21+'Inputs'!$B$7+'Inputs'!$B$10))/SQRT((((296-43)*MAX('Inputs'!$B$33,'Inputs'!$B$29+'Inputs'!$B$31+'Inputs'!$B$32,'Inputs'!$B$30+'Inputs'!$B$31+'Inputs'!$B$32)/1000+'Inputs'!$B$21+'Inputs'!$B$7+'Inputs'!$B$10))^2+('Inputs'!$B$8/2)^2))))*'Results'!$B$8))),"")</x:f>
        <x:v>33.962274786867596</x:v>
      </x:c>
      <x:c r="L296" t="n">
        <x:f>IF(AND(ISNUMBER('Results'!B7),ISNUMBER('Results'!C7),ISNUMBER('Results'!$B$8),ISNUMBER('Inputs'!$B$6),ISNUMBER('Inputs'!$B$7),ISNUMBER('Inputs'!$B$8),ISNUMBER('Inputs'!$B$9),ISNUMBER('Inputs'!$B$10),ISNUMBER('Inputs'!$B$21),ISNUMBER('Inputs'!$B$24),ISNUMBER('Inputs'!$B$28)),((('Results'!B7*(1+'Inputs'!$B$24)*(0.5*((((296-43)*MAX('Inputs'!$B$33,'Inputs'!$B$29+'Inputs'!$B$31+'Inputs'!$B$32,'Inputs'!$B$30+'Inputs'!$B$31+'Inputs'!$B$32)/1000+'Inputs'!$B$21)+'Inputs'!$B$7)/SQRT((((296-43)*MAX('Inputs'!$B$33,'Inputs'!$B$29+'Inputs'!$B$31+'Inputs'!$B$32,'Inputs'!$B$30+'Inputs'!$B$31+'Inputs'!$B$32)/1000+'Inputs'!$B$21)+'Inputs'!$B$7)^2+('Inputs'!$B$6/2)^2)-(((296-43)*MAX('Inputs'!$B$33,'Inputs'!$B$29+'Inputs'!$B$31+'Inputs'!$B$32,'Inputs'!$B$30+'Inputs'!$B$31+'Inputs'!$B$32)/1000+'Inputs'!$B$21))/SQRT((((296-43)*MAX('Inputs'!$B$33,'Inputs'!$B$29+'Inputs'!$B$31+'Inputs'!$B$32,'Inputs'!$B$30+'Inputs'!$B$31+'Inputs'!$B$32)/1000+'Inputs'!$B$21))^2+('Inputs'!$B$6/2)^2)))-'Results'!C7*(1-'Inputs'!$B$24)*(0.5*((((296-43)*MAX('Inputs'!$B$33,'Inputs'!$B$29+'Inputs'!$B$31+'Inputs'!$B$32,'Inputs'!$B$30+'Inputs'!$B$31+'Inputs'!$B$32)/1000+'Inputs'!$B$21+'Inputs'!$B$7+'Inputs'!$B$10)+'Inputs'!$B$9)/SQRT((((296-43)*MAX('Inputs'!$B$33,'Inputs'!$B$29+'Inputs'!$B$31+'Inputs'!$B$32,'Inputs'!$B$30+'Inputs'!$B$31+'Inputs'!$B$32)/1000+'Inputs'!$B$21+'Inputs'!$B$7+'Inputs'!$B$10)+'Inputs'!$B$9)^2+('Inputs'!$B$8/2)^2)-(((296-43)*MAX('Inputs'!$B$33,'Inputs'!$B$29+'Inputs'!$B$31+'Inputs'!$B$32,'Inputs'!$B$30+'Inputs'!$B$31+'Inputs'!$B$32)/1000+'Inputs'!$B$21+'Inputs'!$B$7+'Inputs'!$B$10))/SQRT((((296-43)*MAX('Inputs'!$B$33,'Inputs'!$B$29+'Inputs'!$B$31+'Inputs'!$B$32,'Inputs'!$B$30+'Inputs'!$B$31+'Inputs'!$B$32)/1000+'Inputs'!$B$21+'Inputs'!$B$7+'Inputs'!$B$10))^2+('Inputs'!$B$8/2)^2))))*'Results'!$B$8)+'Inputs'!$B$28*ABS((('Results'!B7*(1+'Inputs'!$B$24)*(0.5*((((296-43)*MAX('Inputs'!$B$33,'Inputs'!$B$29+'Inputs'!$B$31+'Inputs'!$B$32,'Inputs'!$B$30+'Inputs'!$B$31+'Inputs'!$B$32)/1000+'Inputs'!$B$21)+'Inputs'!$B$7)/SQRT((((296-43)*MAX('Inputs'!$B$33,'Inputs'!$B$29+'Inputs'!$B$31+'Inputs'!$B$32,'Inputs'!$B$30+'Inputs'!$B$31+'Inputs'!$B$32)/1000+'Inputs'!$B$21)+'Inputs'!$B$7)^2+('Inputs'!$B$6/2)^2)-(((296-43)*MAX('Inputs'!$B$33,'Inputs'!$B$29+'Inputs'!$B$31+'Inputs'!$B$32,'Inputs'!$B$30+'Inputs'!$B$31+'Inputs'!$B$32)/1000+'Inputs'!$B$21))/SQRT((((296-43)*MAX('Inputs'!$B$33,'Inputs'!$B$29+'Inputs'!$B$31+'Inputs'!$B$32,'Inputs'!$B$30+'Inputs'!$B$31+'Inputs'!$B$32)/1000+'Inputs'!$B$21))^2+('Inputs'!$B$6/2)^2)))-'Results'!C7*(1-'Inputs'!$B$24)*(0.5*((((296-43)*MAX('Inputs'!$B$33,'Inputs'!$B$29+'Inputs'!$B$31+'Inputs'!$B$32,'Inputs'!$B$30+'Inputs'!$B$31+'Inputs'!$B$32)/1000+'Inputs'!$B$21+'Inputs'!$B$7+'Inputs'!$B$10)+'Inputs'!$B$9)/SQRT((((296-43)*MAX('Inputs'!$B$33,'Inputs'!$B$29+'Inputs'!$B$31+'Inputs'!$B$32,'Inputs'!$B$30+'Inputs'!$B$31+'Inputs'!$B$32)/1000+'Inputs'!$B$21+'Inputs'!$B$7+'Inputs'!$B$10)+'Inputs'!$B$9)^2+('Inputs'!$B$8/2)^2)-(((296-43)*MAX('Inputs'!$B$33,'Inputs'!$B$29+'Inputs'!$B$31+'Inputs'!$B$32,'Inputs'!$B$30+'Inputs'!$B$31+'Inputs'!$B$32)/1000+'Inputs'!$B$21+'Inputs'!$B$7+'Inputs'!$B$10))/SQRT((((296-43)*MAX('Inputs'!$B$33,'Inputs'!$B$29+'Inputs'!$B$31+'Inputs'!$B$32,'Inputs'!$B$30+'Inputs'!$B$31+'Inputs'!$B$32)/1000+'Inputs'!$B$21+'Inputs'!$B$7+'Inputs'!$B$10))^2+('Inputs'!$B$8/2)^2))))*'Results'!$B$8))),"")</x:f>
        <x:v>40.883848528479525</x:v>
      </x:c>
      <x:c r="M296" t="n">
        <x:f>IF(AND(ISNUMBER('Results'!C7),ISNUMBER('Results'!B7),ISNUMBER('Results'!$B$8),ISNUMBER('Inputs'!$B$6),ISNUMBER('Inputs'!$B$7),ISNUMBER('Inputs'!$B$8),ISNUMBER('Inputs'!$B$9),ISNUMBER('Inputs'!$B$10),ISNUMBER('Inputs'!$B$21),ISNUMBER('Inputs'!$B$24),ISNUMBER('Inputs'!$B$28)),(('Results'!C7*(0.5*((((296-43)*MAX('Inputs'!$B$33,'Inputs'!$B$29+'Inputs'!$B$31+'Inputs'!$B$32,'Inputs'!$B$30+'Inputs'!$B$31+'Inputs'!$B$32)/1000+'Inputs'!$B$21)+'Inputs'!$B$9)/SQRT((((296-43)*MAX('Inputs'!$B$33,'Inputs'!$B$29+'Inputs'!$B$31+'Inputs'!$B$32,'Inputs'!$B$30+'Inputs'!$B$31+'Inputs'!$B$32)/1000+'Inputs'!$B$21)+'Inputs'!$B$9)^2+('Inputs'!$B$8/2)^2)-(((296-43)*MAX('Inputs'!$B$33,'Inputs'!$B$29+'Inputs'!$B$31+'Inputs'!$B$32,'Inputs'!$B$30+'Inputs'!$B$31+'Inputs'!$B$32)/1000+'Inputs'!$B$21))/SQRT((((296-43)*MAX('Inputs'!$B$33,'Inputs'!$B$29+'Inputs'!$B$31+'Inputs'!$B$32,'Inputs'!$B$30+'Inputs'!$B$31+'Inputs'!$B$32)/1000+'Inputs'!$B$21))^2+('Inputs'!$B$8/2)^2)))-'Results'!B7*(0.5*((((296-43)*MAX('Inputs'!$B$33,'Inputs'!$B$29+'Inputs'!$B$31+'Inputs'!$B$32,'Inputs'!$B$30+'Inputs'!$B$31+'Inputs'!$B$32)/1000+'Inputs'!$B$21+'Inputs'!$B$9+'Inputs'!$B$10)+'Inputs'!$B$7)/SQRT((((296-43)*MAX('Inputs'!$B$33,'Inputs'!$B$29+'Inputs'!$B$31+'Inputs'!$B$32,'Inputs'!$B$30+'Inputs'!$B$31+'Inputs'!$B$32)/1000+'Inputs'!$B$21+'Inputs'!$B$9+'Inputs'!$B$10)+'Inputs'!$B$7)^2+('Inputs'!$B$6/2)^2)-(((296-43)*MAX('Inputs'!$B$33,'Inputs'!$B$29+'Inputs'!$B$31+'Inputs'!$B$32,'Inputs'!$B$30+'Inputs'!$B$31+'Inputs'!$B$32)/1000+'Inputs'!$B$21+'Inputs'!$B$9+'Inputs'!$B$10))/SQRT((((296-43)*MAX('Inputs'!$B$33,'Inputs'!$B$29+'Inputs'!$B$31+'Inputs'!$B$32,'Inputs'!$B$30+'Inputs'!$B$31+'Inputs'!$B$32)/1000+'Inputs'!$B$21+'Inputs'!$B$9+'Inputs'!$B$10))^2+('Inputs'!$B$6/2)^2))))*'Results'!$B$8),"")</x:f>
        <x:v>35.741122625206245</x:v>
      </x:c>
      <x:c r="N296" t="n">
        <x:f>IF(AND(ISNUMBER('Results'!C7),ISNUMBER('Results'!B7),ISNUMBER('Results'!$B$8),ISNUMBER('Inputs'!$B$6),ISNUMBER('Inputs'!$B$7),ISNUMBER('Inputs'!$B$8),ISNUMBER('Inputs'!$B$9),ISNUMBER('Inputs'!$B$10),ISNUMBER('Inputs'!$B$21),ISNUMBER('Inputs'!$B$24),ISNUMBER('Inputs'!$B$28)),((('Results'!C7*(1-'Inputs'!$B$24)*(0.5*((((296-43)*MAX('Inputs'!$B$33,'Inputs'!$B$29+'Inputs'!$B$31+'Inputs'!$B$32,'Inputs'!$B$30+'Inputs'!$B$31+'Inputs'!$B$32)/1000+'Inputs'!$B$21)+'Inputs'!$B$9)/SQRT((((296-43)*MAX('Inputs'!$B$33,'Inputs'!$B$29+'Inputs'!$B$31+'Inputs'!$B$32,'Inputs'!$B$30+'Inputs'!$B$31+'Inputs'!$B$32)/1000+'Inputs'!$B$21)+'Inputs'!$B$9)^2+('Inputs'!$B$8/2)^2)-(((296-43)*MAX('Inputs'!$B$33,'Inputs'!$B$29+'Inputs'!$B$31+'Inputs'!$B$32,'Inputs'!$B$30+'Inputs'!$B$31+'Inputs'!$B$32)/1000+'Inputs'!$B$21))/SQRT((((296-43)*MAX('Inputs'!$B$33,'Inputs'!$B$29+'Inputs'!$B$31+'Inputs'!$B$32,'Inputs'!$B$30+'Inputs'!$B$31+'Inputs'!$B$32)/1000+'Inputs'!$B$21))^2+('Inputs'!$B$8/2)^2)))-'Results'!B7*(1+'Inputs'!$B$24)*(0.5*((((296-43)*MAX('Inputs'!$B$33,'Inputs'!$B$29+'Inputs'!$B$31+'Inputs'!$B$32,'Inputs'!$B$30+'Inputs'!$B$31+'Inputs'!$B$32)/1000+'Inputs'!$B$21+'Inputs'!$B$9+'Inputs'!$B$10)+'Inputs'!$B$7)/SQRT((((296-43)*MAX('Inputs'!$B$33,'Inputs'!$B$29+'Inputs'!$B$31+'Inputs'!$B$32,'Inputs'!$B$30+'Inputs'!$B$31+'Inputs'!$B$32)/1000+'Inputs'!$B$21+'Inputs'!$B$9+'Inputs'!$B$10)+'Inputs'!$B$7)^2+('Inputs'!$B$6/2)^2)-(((296-43)*MAX('Inputs'!$B$33,'Inputs'!$B$29+'Inputs'!$B$31+'Inputs'!$B$32,'Inputs'!$B$30+'Inputs'!$B$31+'Inputs'!$B$32)/1000+'Inputs'!$B$21+'Inputs'!$B$9+'Inputs'!$B$10))/SQRT((((296-43)*MAX('Inputs'!$B$33,'Inputs'!$B$29+'Inputs'!$B$31+'Inputs'!$B$32,'Inputs'!$B$30+'Inputs'!$B$31+'Inputs'!$B$32)/1000+'Inputs'!$B$21+'Inputs'!$B$9+'Inputs'!$B$10))^2+('Inputs'!$B$6/2)^2))))*'Results'!$B$8)-'Inputs'!$B$28*ABS((('Results'!C7*(1-'Inputs'!$B$24)*(0.5*((((296-43)*MAX('Inputs'!$B$33,'Inputs'!$B$29+'Inputs'!$B$31+'Inputs'!$B$32,'Inputs'!$B$30+'Inputs'!$B$31+'Inputs'!$B$32)/1000+'Inputs'!$B$21)+'Inputs'!$B$9)/SQRT((((296-43)*MAX('Inputs'!$B$33,'Inputs'!$B$29+'Inputs'!$B$31+'Inputs'!$B$32,'Inputs'!$B$30+'Inputs'!$B$31+'Inputs'!$B$32)/1000+'Inputs'!$B$21)+'Inputs'!$B$9)^2+('Inputs'!$B$8/2)^2)-(((296-43)*MAX('Inputs'!$B$33,'Inputs'!$B$29+'Inputs'!$B$31+'Inputs'!$B$32,'Inputs'!$B$30+'Inputs'!$B$31+'Inputs'!$B$32)/1000+'Inputs'!$B$21))/SQRT((((296-43)*MAX('Inputs'!$B$33,'Inputs'!$B$29+'Inputs'!$B$31+'Inputs'!$B$32,'Inputs'!$B$30+'Inputs'!$B$31+'Inputs'!$B$32)/1000+'Inputs'!$B$21))^2+('Inputs'!$B$8/2)^2)))-'Results'!B7*(1+'Inputs'!$B$24)*(0.5*((((296-43)*MAX('Inputs'!$B$33,'Inputs'!$B$29+'Inputs'!$B$31+'Inputs'!$B$32,'Inputs'!$B$30+'Inputs'!$B$31+'Inputs'!$B$32)/1000+'Inputs'!$B$21+'Inputs'!$B$9+'Inputs'!$B$10)+'Inputs'!$B$7)/SQRT((((296-43)*MAX('Inputs'!$B$33,'Inputs'!$B$29+'Inputs'!$B$31+'Inputs'!$B$32,'Inputs'!$B$30+'Inputs'!$B$31+'Inputs'!$B$32)/1000+'Inputs'!$B$21+'Inputs'!$B$9+'Inputs'!$B$10)+'Inputs'!$B$7)^2+('Inputs'!$B$6/2)^2)-(((296-43)*MAX('Inputs'!$B$33,'Inputs'!$B$29+'Inputs'!$B$31+'Inputs'!$B$32,'Inputs'!$B$30+'Inputs'!$B$31+'Inputs'!$B$32)/1000+'Inputs'!$B$21+'Inputs'!$B$9+'Inputs'!$B$10))/SQRT((((296-43)*MAX('Inputs'!$B$33,'Inputs'!$B$29+'Inputs'!$B$31+'Inputs'!$B$32,'Inputs'!$B$30+'Inputs'!$B$31+'Inputs'!$B$32)/1000+'Inputs'!$B$21+'Inputs'!$B$9+'Inputs'!$B$10))^2+('Inputs'!$B$6/2)^2))))*'Results'!$B$8))),"")</x:f>
        <x:v>32.45415587190022</x:v>
      </x:c>
      <x:c r="O296" t="n">
        <x:f>IF(AND(ISNUMBER('Results'!C7),ISNUMBER('Results'!B7),ISNUMBER('Results'!$B$8),ISNUMBER('Inputs'!$B$6),ISNUMBER('Inputs'!$B$7),ISNUMBER('Inputs'!$B$8),ISNUMBER('Inputs'!$B$9),ISNUMBER('Inputs'!$B$10),ISNUMBER('Inputs'!$B$21),ISNUMBER('Inputs'!$B$24),ISNUMBER('Inputs'!$B$28)),((('Results'!C7*(1+'Inputs'!$B$24)*(0.5*((((296-43)*MAX('Inputs'!$B$33,'Inputs'!$B$29+'Inputs'!$B$31+'Inputs'!$B$32,'Inputs'!$B$30+'Inputs'!$B$31+'Inputs'!$B$32)/1000+'Inputs'!$B$21)+'Inputs'!$B$9)/SQRT((((296-43)*MAX('Inputs'!$B$33,'Inputs'!$B$29+'Inputs'!$B$31+'Inputs'!$B$32,'Inputs'!$B$30+'Inputs'!$B$31+'Inputs'!$B$32)/1000+'Inputs'!$B$21)+'Inputs'!$B$9)^2+('Inputs'!$B$8/2)^2)-(((296-43)*MAX('Inputs'!$B$33,'Inputs'!$B$29+'Inputs'!$B$31+'Inputs'!$B$32,'Inputs'!$B$30+'Inputs'!$B$31+'Inputs'!$B$32)/1000+'Inputs'!$B$21))/SQRT((((296-43)*MAX('Inputs'!$B$33,'Inputs'!$B$29+'Inputs'!$B$31+'Inputs'!$B$32,'Inputs'!$B$30+'Inputs'!$B$31+'Inputs'!$B$32)/1000+'Inputs'!$B$21))^2+('Inputs'!$B$8/2)^2)))-'Results'!B7*(1-'Inputs'!$B$24)*(0.5*((((296-43)*MAX('Inputs'!$B$33,'Inputs'!$B$29+'Inputs'!$B$31+'Inputs'!$B$32,'Inputs'!$B$30+'Inputs'!$B$31+'Inputs'!$B$32)/1000+'Inputs'!$B$21+'Inputs'!$B$9+'Inputs'!$B$10)+'Inputs'!$B$7)/SQRT((((296-43)*MAX('Inputs'!$B$33,'Inputs'!$B$29+'Inputs'!$B$31+'Inputs'!$B$32,'Inputs'!$B$30+'Inputs'!$B$31+'Inputs'!$B$32)/1000+'Inputs'!$B$21+'Inputs'!$B$9+'Inputs'!$B$10)+'Inputs'!$B$7)^2+('Inputs'!$B$6/2)^2)-(((296-43)*MAX('Inputs'!$B$33,'Inputs'!$B$29+'Inputs'!$B$31+'Inputs'!$B$32,'Inputs'!$B$30+'Inputs'!$B$31+'Inputs'!$B$32)/1000+'Inputs'!$B$21+'Inputs'!$B$9+'Inputs'!$B$10))/SQRT((((296-43)*MAX('Inputs'!$B$33,'Inputs'!$B$29+'Inputs'!$B$31+'Inputs'!$B$32,'Inputs'!$B$30+'Inputs'!$B$31+'Inputs'!$B$32)/1000+'Inputs'!$B$21+'Inputs'!$B$9+'Inputs'!$B$10))^2+('Inputs'!$B$6/2)^2))))*'Results'!$B$8)+'Inputs'!$B$28*ABS((('Results'!C7*(1+'Inputs'!$B$24)*(0.5*((((296-43)*MAX('Inputs'!$B$33,'Inputs'!$B$29+'Inputs'!$B$31+'Inputs'!$B$32,'Inputs'!$B$30+'Inputs'!$B$31+'Inputs'!$B$32)/1000+'Inputs'!$B$21)+'Inputs'!$B$9)/SQRT((((296-43)*MAX('Inputs'!$B$33,'Inputs'!$B$29+'Inputs'!$B$31+'Inputs'!$B$32,'Inputs'!$B$30+'Inputs'!$B$31+'Inputs'!$B$32)/1000+'Inputs'!$B$21)+'Inputs'!$B$9)^2+('Inputs'!$B$8/2)^2)-(((296-43)*MAX('Inputs'!$B$33,'Inputs'!$B$29+'Inputs'!$B$31+'Inputs'!$B$32,'Inputs'!$B$30+'Inputs'!$B$31+'Inputs'!$B$32)/1000+'Inputs'!$B$21))/SQRT((((296-43)*MAX('Inputs'!$B$33,'Inputs'!$B$29+'Inputs'!$B$31+'Inputs'!$B$32,'Inputs'!$B$30+'Inputs'!$B$31+'Inputs'!$B$32)/1000+'Inputs'!$B$21))^2+('Inputs'!$B$8/2)^2)))-'Results'!B7*(1-'Inputs'!$B$24)*(0.5*((((296-43)*MAX('Inputs'!$B$33,'Inputs'!$B$29+'Inputs'!$B$31+'Inputs'!$B$32,'Inputs'!$B$30+'Inputs'!$B$31+'Inputs'!$B$32)/1000+'Inputs'!$B$21+'Inputs'!$B$9+'Inputs'!$B$10)+'Inputs'!$B$7)/SQRT((((296-43)*MAX('Inputs'!$B$33,'Inputs'!$B$29+'Inputs'!$B$31+'Inputs'!$B$32,'Inputs'!$B$30+'Inputs'!$B$31+'Inputs'!$B$32)/1000+'Inputs'!$B$21+'Inputs'!$B$9+'Inputs'!$B$10)+'Inputs'!$B$7)^2+('Inputs'!$B$6/2)^2)-(((296-43)*MAX('Inputs'!$B$33,'Inputs'!$B$29+'Inputs'!$B$31+'Inputs'!$B$32,'Inputs'!$B$30+'Inputs'!$B$31+'Inputs'!$B$32)/1000+'Inputs'!$B$21+'Inputs'!$B$9+'Inputs'!$B$10))/SQRT((((296-43)*MAX('Inputs'!$B$33,'Inputs'!$B$29+'Inputs'!$B$31+'Inputs'!$B$32,'Inputs'!$B$30+'Inputs'!$B$31+'Inputs'!$B$32)/1000+'Inputs'!$B$21+'Inputs'!$B$9+'Inputs'!$B$10))^2+('Inputs'!$B$6/2)^2))))*'Results'!$B$8))),"")</x:f>
        <x:v>39.18597470714865</x:v>
      </x:c>
      <x:c r="P296" t="n">
        <x:f>IF(AND(MAX(J296,J295)&gt;0,J296&gt;J295+0.00000001),1,0)</x:f>
        <x:v>0</x:v>
      </x:c>
      <x:c r="Q296" t="n">
        <x:f>IF(AND(MAX(K296,K295)&gt;0,K296&gt;K295+0.00000001),1,0)</x:f>
        <x:v>0</x:v>
      </x:c>
      <x:c r="R296" t="n">
        <x:f>IF(AND(MAX(L296,L295)&gt;0,L296&gt;L295+0.00000001),1,0)</x:f>
        <x:v>0</x:v>
      </x:c>
      <x:c r="S296" t="n">
        <x:f>IF(AND(MAX(M296,M295)&gt;0,M296&gt;M295+0.00000001),1,0)</x:f>
        <x:v>0</x:v>
      </x:c>
      <x:c r="T296" t="n">
        <x:f>IF(AND(MAX(N296,N295)&gt;0,N296&gt;N295+0.00000001),1,0)</x:f>
        <x:v>0</x:v>
      </x:c>
      <x:c r="U296" t="n">
        <x:f>IF(AND(MAX(O296,O295)&gt;0,O296&gt;O295+0.00000001),1,0)</x:f>
        <x:v>0</x:v>
      </x:c>
    </x:row>
    <x:row r="297">
      <x:c r="J297" t="n">
        <x:f>IF(AND(ISNUMBER('Results'!B7),ISNUMBER('Results'!C7),ISNUMBER('Results'!$B$8),ISNUMBER('Inputs'!$B$6),ISNUMBER('Inputs'!$B$7),ISNUMBER('Inputs'!$B$8),ISNUMBER('Inputs'!$B$9),ISNUMBER('Inputs'!$B$10),ISNUMBER('Inputs'!$B$21),ISNUMBER('Inputs'!$B$24),ISNUMBER('Inputs'!$B$28)),(('Results'!B7*(0.5*((((297-43)*MAX('Inputs'!$B$33,'Inputs'!$B$29+'Inputs'!$B$31+'Inputs'!$B$32,'Inputs'!$B$30+'Inputs'!$B$31+'Inputs'!$B$32)/1000+'Inputs'!$B$21)+'Inputs'!$B$7)/SQRT((((297-43)*MAX('Inputs'!$B$33,'Inputs'!$B$29+'Inputs'!$B$31+'Inputs'!$B$32,'Inputs'!$B$30+'Inputs'!$B$31+'Inputs'!$B$32)/1000+'Inputs'!$B$21)+'Inputs'!$B$7)^2+('Inputs'!$B$6/2)^2)-(((297-43)*MAX('Inputs'!$B$33,'Inputs'!$B$29+'Inputs'!$B$31+'Inputs'!$B$32,'Inputs'!$B$30+'Inputs'!$B$31+'Inputs'!$B$32)/1000+'Inputs'!$B$21))/SQRT((((297-43)*MAX('Inputs'!$B$33,'Inputs'!$B$29+'Inputs'!$B$31+'Inputs'!$B$32,'Inputs'!$B$30+'Inputs'!$B$31+'Inputs'!$B$32)/1000+'Inputs'!$B$21))^2+('Inputs'!$B$6/2)^2)))-'Results'!C7*(0.5*((((297-43)*MAX('Inputs'!$B$33,'Inputs'!$B$29+'Inputs'!$B$31+'Inputs'!$B$32,'Inputs'!$B$30+'Inputs'!$B$31+'Inputs'!$B$32)/1000+'Inputs'!$B$21+'Inputs'!$B$7+'Inputs'!$B$10)+'Inputs'!$B$9)/SQRT((((297-43)*MAX('Inputs'!$B$33,'Inputs'!$B$29+'Inputs'!$B$31+'Inputs'!$B$32,'Inputs'!$B$30+'Inputs'!$B$31+'Inputs'!$B$32)/1000+'Inputs'!$B$21+'Inputs'!$B$7+'Inputs'!$B$10)+'Inputs'!$B$9)^2+('Inputs'!$B$8/2)^2)-(((297-43)*MAX('Inputs'!$B$33,'Inputs'!$B$29+'Inputs'!$B$31+'Inputs'!$B$32,'Inputs'!$B$30+'Inputs'!$B$31+'Inputs'!$B$32)/1000+'Inputs'!$B$21+'Inputs'!$B$7+'Inputs'!$B$10))/SQRT((((297-43)*MAX('Inputs'!$B$33,'Inputs'!$B$29+'Inputs'!$B$31+'Inputs'!$B$32,'Inputs'!$B$30+'Inputs'!$B$31+'Inputs'!$B$32)/1000+'Inputs'!$B$21+'Inputs'!$B$7+'Inputs'!$B$10))^2+('Inputs'!$B$8/2)^2))))*'Results'!$B$8),"")</x:f>
        <x:v>36.90803577528737</x:v>
      </x:c>
      <x:c r="K297" t="n">
        <x:f>IF(AND(ISNUMBER('Results'!B7),ISNUMBER('Results'!C7),ISNUMBER('Results'!$B$8),ISNUMBER('Inputs'!$B$6),ISNUMBER('Inputs'!$B$7),ISNUMBER('Inputs'!$B$8),ISNUMBER('Inputs'!$B$9),ISNUMBER('Inputs'!$B$10),ISNUMBER('Inputs'!$B$21),ISNUMBER('Inputs'!$B$24),ISNUMBER('Inputs'!$B$28)),((('Results'!B7*(1-'Inputs'!$B$24)*(0.5*((((297-43)*MAX('Inputs'!$B$33,'Inputs'!$B$29+'Inputs'!$B$31+'Inputs'!$B$32,'Inputs'!$B$30+'Inputs'!$B$31+'Inputs'!$B$32)/1000+'Inputs'!$B$21)+'Inputs'!$B$7)/SQRT((((297-43)*MAX('Inputs'!$B$33,'Inputs'!$B$29+'Inputs'!$B$31+'Inputs'!$B$32,'Inputs'!$B$30+'Inputs'!$B$31+'Inputs'!$B$32)/1000+'Inputs'!$B$21)+'Inputs'!$B$7)^2+('Inputs'!$B$6/2)^2)-(((297-43)*MAX('Inputs'!$B$33,'Inputs'!$B$29+'Inputs'!$B$31+'Inputs'!$B$32,'Inputs'!$B$30+'Inputs'!$B$31+'Inputs'!$B$32)/1000+'Inputs'!$B$21))/SQRT((((297-43)*MAX('Inputs'!$B$33,'Inputs'!$B$29+'Inputs'!$B$31+'Inputs'!$B$32,'Inputs'!$B$30+'Inputs'!$B$31+'Inputs'!$B$32)/1000+'Inputs'!$B$21))^2+('Inputs'!$B$6/2)^2)))-'Results'!C7*(1+'Inputs'!$B$24)*(0.5*((((297-43)*MAX('Inputs'!$B$33,'Inputs'!$B$29+'Inputs'!$B$31+'Inputs'!$B$32,'Inputs'!$B$30+'Inputs'!$B$31+'Inputs'!$B$32)/1000+'Inputs'!$B$21+'Inputs'!$B$7+'Inputs'!$B$10)+'Inputs'!$B$9)/SQRT((((297-43)*MAX('Inputs'!$B$33,'Inputs'!$B$29+'Inputs'!$B$31+'Inputs'!$B$32,'Inputs'!$B$30+'Inputs'!$B$31+'Inputs'!$B$32)/1000+'Inputs'!$B$21+'Inputs'!$B$7+'Inputs'!$B$10)+'Inputs'!$B$9)^2+('Inputs'!$B$8/2)^2)-(((297-43)*MAX('Inputs'!$B$33,'Inputs'!$B$29+'Inputs'!$B$31+'Inputs'!$B$32,'Inputs'!$B$30+'Inputs'!$B$31+'Inputs'!$B$32)/1000+'Inputs'!$B$21+'Inputs'!$B$7+'Inputs'!$B$10))/SQRT((((297-43)*MAX('Inputs'!$B$33,'Inputs'!$B$29+'Inputs'!$B$31+'Inputs'!$B$32,'Inputs'!$B$30+'Inputs'!$B$31+'Inputs'!$B$32)/1000+'Inputs'!$B$21+'Inputs'!$B$7+'Inputs'!$B$10))^2+('Inputs'!$B$8/2)^2))))*'Results'!$B$8)-'Inputs'!$B$28*ABS((('Results'!B7*(1-'Inputs'!$B$24)*(0.5*((((297-43)*MAX('Inputs'!$B$33,'Inputs'!$B$29+'Inputs'!$B$31+'Inputs'!$B$32,'Inputs'!$B$30+'Inputs'!$B$31+'Inputs'!$B$32)/1000+'Inputs'!$B$21)+'Inputs'!$B$7)/SQRT((((297-43)*MAX('Inputs'!$B$33,'Inputs'!$B$29+'Inputs'!$B$31+'Inputs'!$B$32,'Inputs'!$B$30+'Inputs'!$B$31+'Inputs'!$B$32)/1000+'Inputs'!$B$21)+'Inputs'!$B$7)^2+('Inputs'!$B$6/2)^2)-(((297-43)*MAX('Inputs'!$B$33,'Inputs'!$B$29+'Inputs'!$B$31+'Inputs'!$B$32,'Inputs'!$B$30+'Inputs'!$B$31+'Inputs'!$B$32)/1000+'Inputs'!$B$21))/SQRT((((297-43)*MAX('Inputs'!$B$33,'Inputs'!$B$29+'Inputs'!$B$31+'Inputs'!$B$32,'Inputs'!$B$30+'Inputs'!$B$31+'Inputs'!$B$32)/1000+'Inputs'!$B$21))^2+('Inputs'!$B$6/2)^2)))-'Results'!C7*(1+'Inputs'!$B$24)*(0.5*((((297-43)*MAX('Inputs'!$B$33,'Inputs'!$B$29+'Inputs'!$B$31+'Inputs'!$B$32,'Inputs'!$B$30+'Inputs'!$B$31+'Inputs'!$B$32)/1000+'Inputs'!$B$21+'Inputs'!$B$7+'Inputs'!$B$10)+'Inputs'!$B$9)/SQRT((((297-43)*MAX('Inputs'!$B$33,'Inputs'!$B$29+'Inputs'!$B$31+'Inputs'!$B$32,'Inputs'!$B$30+'Inputs'!$B$31+'Inputs'!$B$32)/1000+'Inputs'!$B$21+'Inputs'!$B$7+'Inputs'!$B$10)+'Inputs'!$B$9)^2+('Inputs'!$B$8/2)^2)-(((297-43)*MAX('Inputs'!$B$33,'Inputs'!$B$29+'Inputs'!$B$31+'Inputs'!$B$32,'Inputs'!$B$30+'Inputs'!$B$31+'Inputs'!$B$32)/1000+'Inputs'!$B$21+'Inputs'!$B$7+'Inputs'!$B$10))/SQRT((((297-43)*MAX('Inputs'!$B$33,'Inputs'!$B$29+'Inputs'!$B$31+'Inputs'!$B$32,'Inputs'!$B$30+'Inputs'!$B$31+'Inputs'!$B$32)/1000+'Inputs'!$B$21+'Inputs'!$B$7+'Inputs'!$B$10))^2+('Inputs'!$B$8/2)^2))))*'Results'!$B$8))),"")</x:f>
        <x:v>33.562933784022924</x:v>
      </x:c>
      <x:c r="L297" t="n">
        <x:f>IF(AND(ISNUMBER('Results'!B7),ISNUMBER('Results'!C7),ISNUMBER('Results'!$B$8),ISNUMBER('Inputs'!$B$6),ISNUMBER('Inputs'!$B$7),ISNUMBER('Inputs'!$B$8),ISNUMBER('Inputs'!$B$9),ISNUMBER('Inputs'!$B$10),ISNUMBER('Inputs'!$B$21),ISNUMBER('Inputs'!$B$24),ISNUMBER('Inputs'!$B$28)),((('Results'!B7*(1+'Inputs'!$B$24)*(0.5*((((297-43)*MAX('Inputs'!$B$33,'Inputs'!$B$29+'Inputs'!$B$31+'Inputs'!$B$32,'Inputs'!$B$30+'Inputs'!$B$31+'Inputs'!$B$32)/1000+'Inputs'!$B$21)+'Inputs'!$B$7)/SQRT((((297-43)*MAX('Inputs'!$B$33,'Inputs'!$B$29+'Inputs'!$B$31+'Inputs'!$B$32,'Inputs'!$B$30+'Inputs'!$B$31+'Inputs'!$B$32)/1000+'Inputs'!$B$21)+'Inputs'!$B$7)^2+('Inputs'!$B$6/2)^2)-(((297-43)*MAX('Inputs'!$B$33,'Inputs'!$B$29+'Inputs'!$B$31+'Inputs'!$B$32,'Inputs'!$B$30+'Inputs'!$B$31+'Inputs'!$B$32)/1000+'Inputs'!$B$21))/SQRT((((297-43)*MAX('Inputs'!$B$33,'Inputs'!$B$29+'Inputs'!$B$31+'Inputs'!$B$32,'Inputs'!$B$30+'Inputs'!$B$31+'Inputs'!$B$32)/1000+'Inputs'!$B$21))^2+('Inputs'!$B$6/2)^2)))-'Results'!C7*(1-'Inputs'!$B$24)*(0.5*((((297-43)*MAX('Inputs'!$B$33,'Inputs'!$B$29+'Inputs'!$B$31+'Inputs'!$B$32,'Inputs'!$B$30+'Inputs'!$B$31+'Inputs'!$B$32)/1000+'Inputs'!$B$21+'Inputs'!$B$7+'Inputs'!$B$10)+'Inputs'!$B$9)/SQRT((((297-43)*MAX('Inputs'!$B$33,'Inputs'!$B$29+'Inputs'!$B$31+'Inputs'!$B$32,'Inputs'!$B$30+'Inputs'!$B$31+'Inputs'!$B$32)/1000+'Inputs'!$B$21+'Inputs'!$B$7+'Inputs'!$B$10)+'Inputs'!$B$9)^2+('Inputs'!$B$8/2)^2)-(((297-43)*MAX('Inputs'!$B$33,'Inputs'!$B$29+'Inputs'!$B$31+'Inputs'!$B$32,'Inputs'!$B$30+'Inputs'!$B$31+'Inputs'!$B$32)/1000+'Inputs'!$B$21+'Inputs'!$B$7+'Inputs'!$B$10))/SQRT((((297-43)*MAX('Inputs'!$B$33,'Inputs'!$B$29+'Inputs'!$B$31+'Inputs'!$B$32,'Inputs'!$B$30+'Inputs'!$B$31+'Inputs'!$B$32)/1000+'Inputs'!$B$21+'Inputs'!$B$7+'Inputs'!$B$10))^2+('Inputs'!$B$8/2)^2))))*'Results'!$B$8)+'Inputs'!$B$28*ABS((('Results'!B7*(1+'Inputs'!$B$24)*(0.5*((((297-43)*MAX('Inputs'!$B$33,'Inputs'!$B$29+'Inputs'!$B$31+'Inputs'!$B$32,'Inputs'!$B$30+'Inputs'!$B$31+'Inputs'!$B$32)/1000+'Inputs'!$B$21)+'Inputs'!$B$7)/SQRT((((297-43)*MAX('Inputs'!$B$33,'Inputs'!$B$29+'Inputs'!$B$31+'Inputs'!$B$32,'Inputs'!$B$30+'Inputs'!$B$31+'Inputs'!$B$32)/1000+'Inputs'!$B$21)+'Inputs'!$B$7)^2+('Inputs'!$B$6/2)^2)-(((297-43)*MAX('Inputs'!$B$33,'Inputs'!$B$29+'Inputs'!$B$31+'Inputs'!$B$32,'Inputs'!$B$30+'Inputs'!$B$31+'Inputs'!$B$32)/1000+'Inputs'!$B$21))/SQRT((((297-43)*MAX('Inputs'!$B$33,'Inputs'!$B$29+'Inputs'!$B$31+'Inputs'!$B$32,'Inputs'!$B$30+'Inputs'!$B$31+'Inputs'!$B$32)/1000+'Inputs'!$B$21))^2+('Inputs'!$B$6/2)^2)))-'Results'!C7*(1-'Inputs'!$B$24)*(0.5*((((297-43)*MAX('Inputs'!$B$33,'Inputs'!$B$29+'Inputs'!$B$31+'Inputs'!$B$32,'Inputs'!$B$30+'Inputs'!$B$31+'Inputs'!$B$32)/1000+'Inputs'!$B$21+'Inputs'!$B$7+'Inputs'!$B$10)+'Inputs'!$B$9)/SQRT((((297-43)*MAX('Inputs'!$B$33,'Inputs'!$B$29+'Inputs'!$B$31+'Inputs'!$B$32,'Inputs'!$B$30+'Inputs'!$B$31+'Inputs'!$B$32)/1000+'Inputs'!$B$21+'Inputs'!$B$7+'Inputs'!$B$10)+'Inputs'!$B$9)^2+('Inputs'!$B$8/2)^2)-(((297-43)*MAX('Inputs'!$B$33,'Inputs'!$B$29+'Inputs'!$B$31+'Inputs'!$B$32,'Inputs'!$B$30+'Inputs'!$B$31+'Inputs'!$B$32)/1000+'Inputs'!$B$21+'Inputs'!$B$7+'Inputs'!$B$10))/SQRT((((297-43)*MAX('Inputs'!$B$33,'Inputs'!$B$29+'Inputs'!$B$31+'Inputs'!$B$32,'Inputs'!$B$30+'Inputs'!$B$31+'Inputs'!$B$32)/1000+'Inputs'!$B$21+'Inputs'!$B$7+'Inputs'!$B$10))^2+('Inputs'!$B$8/2)^2))))*'Results'!$B$8))),"")</x:f>
        <x:v>40.41100094576234</x:v>
      </x:c>
      <x:c r="M297" t="n">
        <x:f>IF(AND(ISNUMBER('Results'!C7),ISNUMBER('Results'!B7),ISNUMBER('Results'!$B$8),ISNUMBER('Inputs'!$B$6),ISNUMBER('Inputs'!$B$7),ISNUMBER('Inputs'!$B$8),ISNUMBER('Inputs'!$B$9),ISNUMBER('Inputs'!$B$10),ISNUMBER('Inputs'!$B$21),ISNUMBER('Inputs'!$B$24),ISNUMBER('Inputs'!$B$28)),(('Results'!C7*(0.5*((((297-43)*MAX('Inputs'!$B$33,'Inputs'!$B$29+'Inputs'!$B$31+'Inputs'!$B$32,'Inputs'!$B$30+'Inputs'!$B$31+'Inputs'!$B$32)/1000+'Inputs'!$B$21)+'Inputs'!$B$9)/SQRT((((297-43)*MAX('Inputs'!$B$33,'Inputs'!$B$29+'Inputs'!$B$31+'Inputs'!$B$32,'Inputs'!$B$30+'Inputs'!$B$31+'Inputs'!$B$32)/1000+'Inputs'!$B$21)+'Inputs'!$B$9)^2+('Inputs'!$B$8/2)^2)-(((297-43)*MAX('Inputs'!$B$33,'Inputs'!$B$29+'Inputs'!$B$31+'Inputs'!$B$32,'Inputs'!$B$30+'Inputs'!$B$31+'Inputs'!$B$32)/1000+'Inputs'!$B$21))/SQRT((((297-43)*MAX('Inputs'!$B$33,'Inputs'!$B$29+'Inputs'!$B$31+'Inputs'!$B$32,'Inputs'!$B$30+'Inputs'!$B$31+'Inputs'!$B$32)/1000+'Inputs'!$B$21))^2+('Inputs'!$B$8/2)^2)))-'Results'!B7*(0.5*((((297-43)*MAX('Inputs'!$B$33,'Inputs'!$B$29+'Inputs'!$B$31+'Inputs'!$B$32,'Inputs'!$B$30+'Inputs'!$B$31+'Inputs'!$B$32)/1000+'Inputs'!$B$21+'Inputs'!$B$9+'Inputs'!$B$10)+'Inputs'!$B$7)/SQRT((((297-43)*MAX('Inputs'!$B$33,'Inputs'!$B$29+'Inputs'!$B$31+'Inputs'!$B$32,'Inputs'!$B$30+'Inputs'!$B$31+'Inputs'!$B$32)/1000+'Inputs'!$B$21+'Inputs'!$B$9+'Inputs'!$B$10)+'Inputs'!$B$7)^2+('Inputs'!$B$6/2)^2)-(((297-43)*MAX('Inputs'!$B$33,'Inputs'!$B$29+'Inputs'!$B$31+'Inputs'!$B$32,'Inputs'!$B$30+'Inputs'!$B$31+'Inputs'!$B$32)/1000+'Inputs'!$B$21+'Inputs'!$B$9+'Inputs'!$B$10))/SQRT((((297-43)*MAX('Inputs'!$B$33,'Inputs'!$B$29+'Inputs'!$B$31+'Inputs'!$B$32,'Inputs'!$B$30+'Inputs'!$B$31+'Inputs'!$B$32)/1000+'Inputs'!$B$21+'Inputs'!$B$9+'Inputs'!$B$10))^2+('Inputs'!$B$6/2)^2))))*'Results'!$B$8),"")</x:f>
        <x:v>35.320827747706524</x:v>
      </x:c>
      <x:c r="N297" t="n">
        <x:f>IF(AND(ISNUMBER('Results'!C7),ISNUMBER('Results'!B7),ISNUMBER('Results'!$B$8),ISNUMBER('Inputs'!$B$6),ISNUMBER('Inputs'!$B$7),ISNUMBER('Inputs'!$B$8),ISNUMBER('Inputs'!$B$9),ISNUMBER('Inputs'!$B$10),ISNUMBER('Inputs'!$B$21),ISNUMBER('Inputs'!$B$24),ISNUMBER('Inputs'!$B$28)),((('Results'!C7*(1-'Inputs'!$B$24)*(0.5*((((297-43)*MAX('Inputs'!$B$33,'Inputs'!$B$29+'Inputs'!$B$31+'Inputs'!$B$32,'Inputs'!$B$30+'Inputs'!$B$31+'Inputs'!$B$32)/1000+'Inputs'!$B$21)+'Inputs'!$B$9)/SQRT((((297-43)*MAX('Inputs'!$B$33,'Inputs'!$B$29+'Inputs'!$B$31+'Inputs'!$B$32,'Inputs'!$B$30+'Inputs'!$B$31+'Inputs'!$B$32)/1000+'Inputs'!$B$21)+'Inputs'!$B$9)^2+('Inputs'!$B$8/2)^2)-(((297-43)*MAX('Inputs'!$B$33,'Inputs'!$B$29+'Inputs'!$B$31+'Inputs'!$B$32,'Inputs'!$B$30+'Inputs'!$B$31+'Inputs'!$B$32)/1000+'Inputs'!$B$21))/SQRT((((297-43)*MAX('Inputs'!$B$33,'Inputs'!$B$29+'Inputs'!$B$31+'Inputs'!$B$32,'Inputs'!$B$30+'Inputs'!$B$31+'Inputs'!$B$32)/1000+'Inputs'!$B$21))^2+('Inputs'!$B$8/2)^2)))-'Results'!B7*(1+'Inputs'!$B$24)*(0.5*((((297-43)*MAX('Inputs'!$B$33,'Inputs'!$B$29+'Inputs'!$B$31+'Inputs'!$B$32,'Inputs'!$B$30+'Inputs'!$B$31+'Inputs'!$B$32)/1000+'Inputs'!$B$21+'Inputs'!$B$9+'Inputs'!$B$10)+'Inputs'!$B$7)/SQRT((((297-43)*MAX('Inputs'!$B$33,'Inputs'!$B$29+'Inputs'!$B$31+'Inputs'!$B$32,'Inputs'!$B$30+'Inputs'!$B$31+'Inputs'!$B$32)/1000+'Inputs'!$B$21+'Inputs'!$B$9+'Inputs'!$B$10)+'Inputs'!$B$7)^2+('Inputs'!$B$6/2)^2)-(((297-43)*MAX('Inputs'!$B$33,'Inputs'!$B$29+'Inputs'!$B$31+'Inputs'!$B$32,'Inputs'!$B$30+'Inputs'!$B$31+'Inputs'!$B$32)/1000+'Inputs'!$B$21+'Inputs'!$B$9+'Inputs'!$B$10))/SQRT((((297-43)*MAX('Inputs'!$B$33,'Inputs'!$B$29+'Inputs'!$B$31+'Inputs'!$B$32,'Inputs'!$B$30+'Inputs'!$B$31+'Inputs'!$B$32)/1000+'Inputs'!$B$21+'Inputs'!$B$9+'Inputs'!$B$10))^2+('Inputs'!$B$6/2)^2))))*'Results'!$B$8)-'Inputs'!$B$28*ABS((('Results'!C7*(1-'Inputs'!$B$24)*(0.5*((((297-43)*MAX('Inputs'!$B$33,'Inputs'!$B$29+'Inputs'!$B$31+'Inputs'!$B$32,'Inputs'!$B$30+'Inputs'!$B$31+'Inputs'!$B$32)/1000+'Inputs'!$B$21)+'Inputs'!$B$9)/SQRT((((297-43)*MAX('Inputs'!$B$33,'Inputs'!$B$29+'Inputs'!$B$31+'Inputs'!$B$32,'Inputs'!$B$30+'Inputs'!$B$31+'Inputs'!$B$32)/1000+'Inputs'!$B$21)+'Inputs'!$B$9)^2+('Inputs'!$B$8/2)^2)-(((297-43)*MAX('Inputs'!$B$33,'Inputs'!$B$29+'Inputs'!$B$31+'Inputs'!$B$32,'Inputs'!$B$30+'Inputs'!$B$31+'Inputs'!$B$32)/1000+'Inputs'!$B$21))/SQRT((((297-43)*MAX('Inputs'!$B$33,'Inputs'!$B$29+'Inputs'!$B$31+'Inputs'!$B$32,'Inputs'!$B$30+'Inputs'!$B$31+'Inputs'!$B$32)/1000+'Inputs'!$B$21))^2+('Inputs'!$B$8/2)^2)))-'Results'!B7*(1+'Inputs'!$B$24)*(0.5*((((297-43)*MAX('Inputs'!$B$33,'Inputs'!$B$29+'Inputs'!$B$31+'Inputs'!$B$32,'Inputs'!$B$30+'Inputs'!$B$31+'Inputs'!$B$32)/1000+'Inputs'!$B$21+'Inputs'!$B$9+'Inputs'!$B$10)+'Inputs'!$B$7)/SQRT((((297-43)*MAX('Inputs'!$B$33,'Inputs'!$B$29+'Inputs'!$B$31+'Inputs'!$B$32,'Inputs'!$B$30+'Inputs'!$B$31+'Inputs'!$B$32)/1000+'Inputs'!$B$21+'Inputs'!$B$9+'Inputs'!$B$10)+'Inputs'!$B$7)^2+('Inputs'!$B$6/2)^2)-(((297-43)*MAX('Inputs'!$B$33,'Inputs'!$B$29+'Inputs'!$B$31+'Inputs'!$B$32,'Inputs'!$B$30+'Inputs'!$B$31+'Inputs'!$B$32)/1000+'Inputs'!$B$21+'Inputs'!$B$9+'Inputs'!$B$10))/SQRT((((297-43)*MAX('Inputs'!$B$33,'Inputs'!$B$29+'Inputs'!$B$31+'Inputs'!$B$32,'Inputs'!$B$30+'Inputs'!$B$31+'Inputs'!$B$32)/1000+'Inputs'!$B$21+'Inputs'!$B$9+'Inputs'!$B$10))^2+('Inputs'!$B$6/2)^2))))*'Results'!$B$8))),"")</x:f>
        <x:v>32.068948262941696</x:v>
      </x:c>
      <x:c r="O297" t="n">
        <x:f>IF(AND(ISNUMBER('Results'!C7),ISNUMBER('Results'!B7),ISNUMBER('Results'!$B$8),ISNUMBER('Inputs'!$B$6),ISNUMBER('Inputs'!$B$7),ISNUMBER('Inputs'!$B$8),ISNUMBER('Inputs'!$B$9),ISNUMBER('Inputs'!$B$10),ISNUMBER('Inputs'!$B$21),ISNUMBER('Inputs'!$B$24),ISNUMBER('Inputs'!$B$28)),((('Results'!C7*(1+'Inputs'!$B$24)*(0.5*((((297-43)*MAX('Inputs'!$B$33,'Inputs'!$B$29+'Inputs'!$B$31+'Inputs'!$B$32,'Inputs'!$B$30+'Inputs'!$B$31+'Inputs'!$B$32)/1000+'Inputs'!$B$21)+'Inputs'!$B$9)/SQRT((((297-43)*MAX('Inputs'!$B$33,'Inputs'!$B$29+'Inputs'!$B$31+'Inputs'!$B$32,'Inputs'!$B$30+'Inputs'!$B$31+'Inputs'!$B$32)/1000+'Inputs'!$B$21)+'Inputs'!$B$9)^2+('Inputs'!$B$8/2)^2)-(((297-43)*MAX('Inputs'!$B$33,'Inputs'!$B$29+'Inputs'!$B$31+'Inputs'!$B$32,'Inputs'!$B$30+'Inputs'!$B$31+'Inputs'!$B$32)/1000+'Inputs'!$B$21))/SQRT((((297-43)*MAX('Inputs'!$B$33,'Inputs'!$B$29+'Inputs'!$B$31+'Inputs'!$B$32,'Inputs'!$B$30+'Inputs'!$B$31+'Inputs'!$B$32)/1000+'Inputs'!$B$21))^2+('Inputs'!$B$8/2)^2)))-'Results'!B7*(1-'Inputs'!$B$24)*(0.5*((((297-43)*MAX('Inputs'!$B$33,'Inputs'!$B$29+'Inputs'!$B$31+'Inputs'!$B$32,'Inputs'!$B$30+'Inputs'!$B$31+'Inputs'!$B$32)/1000+'Inputs'!$B$21+'Inputs'!$B$9+'Inputs'!$B$10)+'Inputs'!$B$7)/SQRT((((297-43)*MAX('Inputs'!$B$33,'Inputs'!$B$29+'Inputs'!$B$31+'Inputs'!$B$32,'Inputs'!$B$30+'Inputs'!$B$31+'Inputs'!$B$32)/1000+'Inputs'!$B$21+'Inputs'!$B$9+'Inputs'!$B$10)+'Inputs'!$B$7)^2+('Inputs'!$B$6/2)^2)-(((297-43)*MAX('Inputs'!$B$33,'Inputs'!$B$29+'Inputs'!$B$31+'Inputs'!$B$32,'Inputs'!$B$30+'Inputs'!$B$31+'Inputs'!$B$32)/1000+'Inputs'!$B$21+'Inputs'!$B$9+'Inputs'!$B$10))/SQRT((((297-43)*MAX('Inputs'!$B$33,'Inputs'!$B$29+'Inputs'!$B$31+'Inputs'!$B$32,'Inputs'!$B$30+'Inputs'!$B$31+'Inputs'!$B$32)/1000+'Inputs'!$B$21+'Inputs'!$B$9+'Inputs'!$B$10))^2+('Inputs'!$B$6/2)^2))))*'Results'!$B$8)+'Inputs'!$B$28*ABS((('Results'!C7*(1+'Inputs'!$B$24)*(0.5*((((297-43)*MAX('Inputs'!$B$33,'Inputs'!$B$29+'Inputs'!$B$31+'Inputs'!$B$32,'Inputs'!$B$30+'Inputs'!$B$31+'Inputs'!$B$32)/1000+'Inputs'!$B$21)+'Inputs'!$B$9)/SQRT((((297-43)*MAX('Inputs'!$B$33,'Inputs'!$B$29+'Inputs'!$B$31+'Inputs'!$B$32,'Inputs'!$B$30+'Inputs'!$B$31+'Inputs'!$B$32)/1000+'Inputs'!$B$21)+'Inputs'!$B$9)^2+('Inputs'!$B$8/2)^2)-(((297-43)*MAX('Inputs'!$B$33,'Inputs'!$B$29+'Inputs'!$B$31+'Inputs'!$B$32,'Inputs'!$B$30+'Inputs'!$B$31+'Inputs'!$B$32)/1000+'Inputs'!$B$21))/SQRT((((297-43)*MAX('Inputs'!$B$33,'Inputs'!$B$29+'Inputs'!$B$31+'Inputs'!$B$32,'Inputs'!$B$30+'Inputs'!$B$31+'Inputs'!$B$32)/1000+'Inputs'!$B$21))^2+('Inputs'!$B$8/2)^2)))-'Results'!B7*(1-'Inputs'!$B$24)*(0.5*((((297-43)*MAX('Inputs'!$B$33,'Inputs'!$B$29+'Inputs'!$B$31+'Inputs'!$B$32,'Inputs'!$B$30+'Inputs'!$B$31+'Inputs'!$B$32)/1000+'Inputs'!$B$21+'Inputs'!$B$9+'Inputs'!$B$10)+'Inputs'!$B$7)/SQRT((((297-43)*MAX('Inputs'!$B$33,'Inputs'!$B$29+'Inputs'!$B$31+'Inputs'!$B$32,'Inputs'!$B$30+'Inputs'!$B$31+'Inputs'!$B$32)/1000+'Inputs'!$B$21+'Inputs'!$B$9+'Inputs'!$B$10)+'Inputs'!$B$7)^2+('Inputs'!$B$6/2)^2)-(((297-43)*MAX('Inputs'!$B$33,'Inputs'!$B$29+'Inputs'!$B$31+'Inputs'!$B$32,'Inputs'!$B$30+'Inputs'!$B$31+'Inputs'!$B$32)/1000+'Inputs'!$B$21+'Inputs'!$B$9+'Inputs'!$B$10))/SQRT((((297-43)*MAX('Inputs'!$B$33,'Inputs'!$B$29+'Inputs'!$B$31+'Inputs'!$B$32,'Inputs'!$B$30+'Inputs'!$B$31+'Inputs'!$B$32)/1000+'Inputs'!$B$21+'Inputs'!$B$9+'Inputs'!$B$10))^2+('Inputs'!$B$6/2)^2))))*'Results'!$B$8))),"")</x:f>
        <x:v>38.72911124272182</x:v>
      </x:c>
      <x:c r="P297" t="n">
        <x:f>IF(AND(MAX(J297,J296)&gt;0,J297&gt;J296+0.00000001),1,0)</x:f>
        <x:v>0</x:v>
      </x:c>
      <x:c r="Q297" t="n">
        <x:f>IF(AND(MAX(K297,K296)&gt;0,K297&gt;K296+0.00000001),1,0)</x:f>
        <x:v>0</x:v>
      </x:c>
      <x:c r="R297" t="n">
        <x:f>IF(AND(MAX(L297,L296)&gt;0,L297&gt;L296+0.00000001),1,0)</x:f>
        <x:v>0</x:v>
      </x:c>
      <x:c r="S297" t="n">
        <x:f>IF(AND(MAX(M297,M296)&gt;0,M297&gt;M296+0.00000001),1,0)</x:f>
        <x:v>0</x:v>
      </x:c>
      <x:c r="T297" t="n">
        <x:f>IF(AND(MAX(N297,N296)&gt;0,N297&gt;N296+0.00000001),1,0)</x:f>
        <x:v>0</x:v>
      </x:c>
      <x:c r="U297" t="n">
        <x:f>IF(AND(MAX(O297,O296)&gt;0,O297&gt;O296+0.00000001),1,0)</x:f>
        <x:v>0</x:v>
      </x:c>
    </x:row>
    <x:row r="298">
      <x:c r="J298" t="n">
        <x:f>IF(AND(ISNUMBER('Results'!B7),ISNUMBER('Results'!C7),ISNUMBER('Results'!$B$8),ISNUMBER('Inputs'!$B$6),ISNUMBER('Inputs'!$B$7),ISNUMBER('Inputs'!$B$8),ISNUMBER('Inputs'!$B$9),ISNUMBER('Inputs'!$B$10),ISNUMBER('Inputs'!$B$21),ISNUMBER('Inputs'!$B$24),ISNUMBER('Inputs'!$B$28)),(('Results'!B7*(0.5*((((298-43)*MAX('Inputs'!$B$33,'Inputs'!$B$29+'Inputs'!$B$31+'Inputs'!$B$32,'Inputs'!$B$30+'Inputs'!$B$31+'Inputs'!$B$32)/1000+'Inputs'!$B$21)+'Inputs'!$B$7)/SQRT((((298-43)*MAX('Inputs'!$B$33,'Inputs'!$B$29+'Inputs'!$B$31+'Inputs'!$B$32,'Inputs'!$B$30+'Inputs'!$B$31+'Inputs'!$B$32)/1000+'Inputs'!$B$21)+'Inputs'!$B$7)^2+('Inputs'!$B$6/2)^2)-(((298-43)*MAX('Inputs'!$B$33,'Inputs'!$B$29+'Inputs'!$B$31+'Inputs'!$B$32,'Inputs'!$B$30+'Inputs'!$B$31+'Inputs'!$B$32)/1000+'Inputs'!$B$21))/SQRT((((298-43)*MAX('Inputs'!$B$33,'Inputs'!$B$29+'Inputs'!$B$31+'Inputs'!$B$32,'Inputs'!$B$30+'Inputs'!$B$31+'Inputs'!$B$32)/1000+'Inputs'!$B$21))^2+('Inputs'!$B$6/2)^2)))-'Results'!C7*(0.5*((((298-43)*MAX('Inputs'!$B$33,'Inputs'!$B$29+'Inputs'!$B$31+'Inputs'!$B$32,'Inputs'!$B$30+'Inputs'!$B$31+'Inputs'!$B$32)/1000+'Inputs'!$B$21+'Inputs'!$B$7+'Inputs'!$B$10)+'Inputs'!$B$9)/SQRT((((298-43)*MAX('Inputs'!$B$33,'Inputs'!$B$29+'Inputs'!$B$31+'Inputs'!$B$32,'Inputs'!$B$30+'Inputs'!$B$31+'Inputs'!$B$32)/1000+'Inputs'!$B$21+'Inputs'!$B$7+'Inputs'!$B$10)+'Inputs'!$B$9)^2+('Inputs'!$B$8/2)^2)-(((298-43)*MAX('Inputs'!$B$33,'Inputs'!$B$29+'Inputs'!$B$31+'Inputs'!$B$32,'Inputs'!$B$30+'Inputs'!$B$31+'Inputs'!$B$32)/1000+'Inputs'!$B$21+'Inputs'!$B$7+'Inputs'!$B$10))/SQRT((((298-43)*MAX('Inputs'!$B$33,'Inputs'!$B$29+'Inputs'!$B$31+'Inputs'!$B$32,'Inputs'!$B$30+'Inputs'!$B$31+'Inputs'!$B$32)/1000+'Inputs'!$B$21+'Inputs'!$B$7+'Inputs'!$B$10))^2+('Inputs'!$B$8/2)^2))))*'Results'!$B$8),"")</x:f>
        <x:v>36.47896643597712</x:v>
      </x:c>
      <x:c r="K298" t="n">
        <x:f>IF(AND(ISNUMBER('Results'!B7),ISNUMBER('Results'!C7),ISNUMBER('Results'!$B$8),ISNUMBER('Inputs'!$B$6),ISNUMBER('Inputs'!$B$7),ISNUMBER('Inputs'!$B$8),ISNUMBER('Inputs'!$B$9),ISNUMBER('Inputs'!$B$10),ISNUMBER('Inputs'!$B$21),ISNUMBER('Inputs'!$B$24),ISNUMBER('Inputs'!$B$28)),((('Results'!B7*(1-'Inputs'!$B$24)*(0.5*((((298-43)*MAX('Inputs'!$B$33,'Inputs'!$B$29+'Inputs'!$B$31+'Inputs'!$B$32,'Inputs'!$B$30+'Inputs'!$B$31+'Inputs'!$B$32)/1000+'Inputs'!$B$21)+'Inputs'!$B$7)/SQRT((((298-43)*MAX('Inputs'!$B$33,'Inputs'!$B$29+'Inputs'!$B$31+'Inputs'!$B$32,'Inputs'!$B$30+'Inputs'!$B$31+'Inputs'!$B$32)/1000+'Inputs'!$B$21)+'Inputs'!$B$7)^2+('Inputs'!$B$6/2)^2)-(((298-43)*MAX('Inputs'!$B$33,'Inputs'!$B$29+'Inputs'!$B$31+'Inputs'!$B$32,'Inputs'!$B$30+'Inputs'!$B$31+'Inputs'!$B$32)/1000+'Inputs'!$B$21))/SQRT((((298-43)*MAX('Inputs'!$B$33,'Inputs'!$B$29+'Inputs'!$B$31+'Inputs'!$B$32,'Inputs'!$B$30+'Inputs'!$B$31+'Inputs'!$B$32)/1000+'Inputs'!$B$21))^2+('Inputs'!$B$6/2)^2)))-'Results'!C7*(1+'Inputs'!$B$24)*(0.5*((((298-43)*MAX('Inputs'!$B$33,'Inputs'!$B$29+'Inputs'!$B$31+'Inputs'!$B$32,'Inputs'!$B$30+'Inputs'!$B$31+'Inputs'!$B$32)/1000+'Inputs'!$B$21+'Inputs'!$B$7+'Inputs'!$B$10)+'Inputs'!$B$9)/SQRT((((298-43)*MAX('Inputs'!$B$33,'Inputs'!$B$29+'Inputs'!$B$31+'Inputs'!$B$32,'Inputs'!$B$30+'Inputs'!$B$31+'Inputs'!$B$32)/1000+'Inputs'!$B$21+'Inputs'!$B$7+'Inputs'!$B$10)+'Inputs'!$B$9)^2+('Inputs'!$B$8/2)^2)-(((298-43)*MAX('Inputs'!$B$33,'Inputs'!$B$29+'Inputs'!$B$31+'Inputs'!$B$32,'Inputs'!$B$30+'Inputs'!$B$31+'Inputs'!$B$32)/1000+'Inputs'!$B$21+'Inputs'!$B$7+'Inputs'!$B$10))/SQRT((((298-43)*MAX('Inputs'!$B$33,'Inputs'!$B$29+'Inputs'!$B$31+'Inputs'!$B$32,'Inputs'!$B$30+'Inputs'!$B$31+'Inputs'!$B$32)/1000+'Inputs'!$B$21+'Inputs'!$B$7+'Inputs'!$B$10))^2+('Inputs'!$B$8/2)^2))))*'Results'!$B$8)-'Inputs'!$B$28*ABS((('Results'!B7*(1-'Inputs'!$B$24)*(0.5*((((298-43)*MAX('Inputs'!$B$33,'Inputs'!$B$29+'Inputs'!$B$31+'Inputs'!$B$32,'Inputs'!$B$30+'Inputs'!$B$31+'Inputs'!$B$32)/1000+'Inputs'!$B$21)+'Inputs'!$B$7)/SQRT((((298-43)*MAX('Inputs'!$B$33,'Inputs'!$B$29+'Inputs'!$B$31+'Inputs'!$B$32,'Inputs'!$B$30+'Inputs'!$B$31+'Inputs'!$B$32)/1000+'Inputs'!$B$21)+'Inputs'!$B$7)^2+('Inputs'!$B$6/2)^2)-(((298-43)*MAX('Inputs'!$B$33,'Inputs'!$B$29+'Inputs'!$B$31+'Inputs'!$B$32,'Inputs'!$B$30+'Inputs'!$B$31+'Inputs'!$B$32)/1000+'Inputs'!$B$21))/SQRT((((298-43)*MAX('Inputs'!$B$33,'Inputs'!$B$29+'Inputs'!$B$31+'Inputs'!$B$32,'Inputs'!$B$30+'Inputs'!$B$31+'Inputs'!$B$32)/1000+'Inputs'!$B$21))^2+('Inputs'!$B$6/2)^2)))-'Results'!C7*(1+'Inputs'!$B$24)*(0.5*((((298-43)*MAX('Inputs'!$B$33,'Inputs'!$B$29+'Inputs'!$B$31+'Inputs'!$B$32,'Inputs'!$B$30+'Inputs'!$B$31+'Inputs'!$B$32)/1000+'Inputs'!$B$21+'Inputs'!$B$7+'Inputs'!$B$10)+'Inputs'!$B$9)/SQRT((((298-43)*MAX('Inputs'!$B$33,'Inputs'!$B$29+'Inputs'!$B$31+'Inputs'!$B$32,'Inputs'!$B$30+'Inputs'!$B$31+'Inputs'!$B$32)/1000+'Inputs'!$B$21+'Inputs'!$B$7+'Inputs'!$B$10)+'Inputs'!$B$9)^2+('Inputs'!$B$8/2)^2)-(((298-43)*MAX('Inputs'!$B$33,'Inputs'!$B$29+'Inputs'!$B$31+'Inputs'!$B$32,'Inputs'!$B$30+'Inputs'!$B$31+'Inputs'!$B$32)/1000+'Inputs'!$B$21+'Inputs'!$B$7+'Inputs'!$B$10))/SQRT((((298-43)*MAX('Inputs'!$B$33,'Inputs'!$B$29+'Inputs'!$B$31+'Inputs'!$B$32,'Inputs'!$B$30+'Inputs'!$B$31+'Inputs'!$B$32)/1000+'Inputs'!$B$21+'Inputs'!$B$7+'Inputs'!$B$10))^2+('Inputs'!$B$8/2)^2))))*'Results'!$B$8))),"")</x:f>
        <x:v>33.16937715002147</x:v>
      </x:c>
      <x:c r="L298" t="n">
        <x:f>IF(AND(ISNUMBER('Results'!B7),ISNUMBER('Results'!C7),ISNUMBER('Results'!$B$8),ISNUMBER('Inputs'!$B$6),ISNUMBER('Inputs'!$B$7),ISNUMBER('Inputs'!$B$8),ISNUMBER('Inputs'!$B$9),ISNUMBER('Inputs'!$B$10),ISNUMBER('Inputs'!$B$21),ISNUMBER('Inputs'!$B$24),ISNUMBER('Inputs'!$B$28)),((('Results'!B7*(1+'Inputs'!$B$24)*(0.5*((((298-43)*MAX('Inputs'!$B$33,'Inputs'!$B$29+'Inputs'!$B$31+'Inputs'!$B$32,'Inputs'!$B$30+'Inputs'!$B$31+'Inputs'!$B$32)/1000+'Inputs'!$B$21)+'Inputs'!$B$7)/SQRT((((298-43)*MAX('Inputs'!$B$33,'Inputs'!$B$29+'Inputs'!$B$31+'Inputs'!$B$32,'Inputs'!$B$30+'Inputs'!$B$31+'Inputs'!$B$32)/1000+'Inputs'!$B$21)+'Inputs'!$B$7)^2+('Inputs'!$B$6/2)^2)-(((298-43)*MAX('Inputs'!$B$33,'Inputs'!$B$29+'Inputs'!$B$31+'Inputs'!$B$32,'Inputs'!$B$30+'Inputs'!$B$31+'Inputs'!$B$32)/1000+'Inputs'!$B$21))/SQRT((((298-43)*MAX('Inputs'!$B$33,'Inputs'!$B$29+'Inputs'!$B$31+'Inputs'!$B$32,'Inputs'!$B$30+'Inputs'!$B$31+'Inputs'!$B$32)/1000+'Inputs'!$B$21))^2+('Inputs'!$B$6/2)^2)))-'Results'!C7*(1-'Inputs'!$B$24)*(0.5*((((298-43)*MAX('Inputs'!$B$33,'Inputs'!$B$29+'Inputs'!$B$31+'Inputs'!$B$32,'Inputs'!$B$30+'Inputs'!$B$31+'Inputs'!$B$32)/1000+'Inputs'!$B$21+'Inputs'!$B$7+'Inputs'!$B$10)+'Inputs'!$B$9)/SQRT((((298-43)*MAX('Inputs'!$B$33,'Inputs'!$B$29+'Inputs'!$B$31+'Inputs'!$B$32,'Inputs'!$B$30+'Inputs'!$B$31+'Inputs'!$B$32)/1000+'Inputs'!$B$21+'Inputs'!$B$7+'Inputs'!$B$10)+'Inputs'!$B$9)^2+('Inputs'!$B$8/2)^2)-(((298-43)*MAX('Inputs'!$B$33,'Inputs'!$B$29+'Inputs'!$B$31+'Inputs'!$B$32,'Inputs'!$B$30+'Inputs'!$B$31+'Inputs'!$B$32)/1000+'Inputs'!$B$21+'Inputs'!$B$7+'Inputs'!$B$10))/SQRT((((298-43)*MAX('Inputs'!$B$33,'Inputs'!$B$29+'Inputs'!$B$31+'Inputs'!$B$32,'Inputs'!$B$30+'Inputs'!$B$31+'Inputs'!$B$32)/1000+'Inputs'!$B$21+'Inputs'!$B$7+'Inputs'!$B$10))^2+('Inputs'!$B$8/2)^2))))*'Results'!$B$8)+'Inputs'!$B$28*ABS((('Results'!B7*(1+'Inputs'!$B$24)*(0.5*((((298-43)*MAX('Inputs'!$B$33,'Inputs'!$B$29+'Inputs'!$B$31+'Inputs'!$B$32,'Inputs'!$B$30+'Inputs'!$B$31+'Inputs'!$B$32)/1000+'Inputs'!$B$21)+'Inputs'!$B$7)/SQRT((((298-43)*MAX('Inputs'!$B$33,'Inputs'!$B$29+'Inputs'!$B$31+'Inputs'!$B$32,'Inputs'!$B$30+'Inputs'!$B$31+'Inputs'!$B$32)/1000+'Inputs'!$B$21)+'Inputs'!$B$7)^2+('Inputs'!$B$6/2)^2)-(((298-43)*MAX('Inputs'!$B$33,'Inputs'!$B$29+'Inputs'!$B$31+'Inputs'!$B$32,'Inputs'!$B$30+'Inputs'!$B$31+'Inputs'!$B$32)/1000+'Inputs'!$B$21))/SQRT((((298-43)*MAX('Inputs'!$B$33,'Inputs'!$B$29+'Inputs'!$B$31+'Inputs'!$B$32,'Inputs'!$B$30+'Inputs'!$B$31+'Inputs'!$B$32)/1000+'Inputs'!$B$21))^2+('Inputs'!$B$6/2)^2)))-'Results'!C7*(1-'Inputs'!$B$24)*(0.5*((((298-43)*MAX('Inputs'!$B$33,'Inputs'!$B$29+'Inputs'!$B$31+'Inputs'!$B$32,'Inputs'!$B$30+'Inputs'!$B$31+'Inputs'!$B$32)/1000+'Inputs'!$B$21+'Inputs'!$B$7+'Inputs'!$B$10)+'Inputs'!$B$9)/SQRT((((298-43)*MAX('Inputs'!$B$33,'Inputs'!$B$29+'Inputs'!$B$31+'Inputs'!$B$32,'Inputs'!$B$30+'Inputs'!$B$31+'Inputs'!$B$32)/1000+'Inputs'!$B$21+'Inputs'!$B$7+'Inputs'!$B$10)+'Inputs'!$B$9)^2+('Inputs'!$B$8/2)^2)-(((298-43)*MAX('Inputs'!$B$33,'Inputs'!$B$29+'Inputs'!$B$31+'Inputs'!$B$32,'Inputs'!$B$30+'Inputs'!$B$31+'Inputs'!$B$32)/1000+'Inputs'!$B$21+'Inputs'!$B$7+'Inputs'!$B$10))/SQRT((((298-43)*MAX('Inputs'!$B$33,'Inputs'!$B$29+'Inputs'!$B$31+'Inputs'!$B$32,'Inputs'!$B$30+'Inputs'!$B$31+'Inputs'!$B$32)/1000+'Inputs'!$B$21+'Inputs'!$B$7+'Inputs'!$B$10))^2+('Inputs'!$B$8/2)^2))))*'Results'!$B$8))),"")</x:f>
        <x:v>39.944938981317705</x:v>
      </x:c>
      <x:c r="M298" t="n">
        <x:f>IF(AND(ISNUMBER('Results'!C7),ISNUMBER('Results'!B7),ISNUMBER('Results'!$B$8),ISNUMBER('Inputs'!$B$6),ISNUMBER('Inputs'!$B$7),ISNUMBER('Inputs'!$B$8),ISNUMBER('Inputs'!$B$9),ISNUMBER('Inputs'!$B$10),ISNUMBER('Inputs'!$B$21),ISNUMBER('Inputs'!$B$24),ISNUMBER('Inputs'!$B$28)),(('Results'!C7*(0.5*((((298-43)*MAX('Inputs'!$B$33,'Inputs'!$B$29+'Inputs'!$B$31+'Inputs'!$B$32,'Inputs'!$B$30+'Inputs'!$B$31+'Inputs'!$B$32)/1000+'Inputs'!$B$21)+'Inputs'!$B$9)/SQRT((((298-43)*MAX('Inputs'!$B$33,'Inputs'!$B$29+'Inputs'!$B$31+'Inputs'!$B$32,'Inputs'!$B$30+'Inputs'!$B$31+'Inputs'!$B$32)/1000+'Inputs'!$B$21)+'Inputs'!$B$9)^2+('Inputs'!$B$8/2)^2)-(((298-43)*MAX('Inputs'!$B$33,'Inputs'!$B$29+'Inputs'!$B$31+'Inputs'!$B$32,'Inputs'!$B$30+'Inputs'!$B$31+'Inputs'!$B$32)/1000+'Inputs'!$B$21))/SQRT((((298-43)*MAX('Inputs'!$B$33,'Inputs'!$B$29+'Inputs'!$B$31+'Inputs'!$B$32,'Inputs'!$B$30+'Inputs'!$B$31+'Inputs'!$B$32)/1000+'Inputs'!$B$21))^2+('Inputs'!$B$8/2)^2)))-'Results'!B7*(0.5*((((298-43)*MAX('Inputs'!$B$33,'Inputs'!$B$29+'Inputs'!$B$31+'Inputs'!$B$32,'Inputs'!$B$30+'Inputs'!$B$31+'Inputs'!$B$32)/1000+'Inputs'!$B$21+'Inputs'!$B$9+'Inputs'!$B$10)+'Inputs'!$B$7)/SQRT((((298-43)*MAX('Inputs'!$B$33,'Inputs'!$B$29+'Inputs'!$B$31+'Inputs'!$B$32,'Inputs'!$B$30+'Inputs'!$B$31+'Inputs'!$B$32)/1000+'Inputs'!$B$21+'Inputs'!$B$9+'Inputs'!$B$10)+'Inputs'!$B$7)^2+('Inputs'!$B$6/2)^2)-(((298-43)*MAX('Inputs'!$B$33,'Inputs'!$B$29+'Inputs'!$B$31+'Inputs'!$B$32,'Inputs'!$B$30+'Inputs'!$B$31+'Inputs'!$B$32)/1000+'Inputs'!$B$21+'Inputs'!$B$9+'Inputs'!$B$10))/SQRT((((298-43)*MAX('Inputs'!$B$33,'Inputs'!$B$29+'Inputs'!$B$31+'Inputs'!$B$32,'Inputs'!$B$30+'Inputs'!$B$31+'Inputs'!$B$32)/1000+'Inputs'!$B$21+'Inputs'!$B$9+'Inputs'!$B$10))^2+('Inputs'!$B$6/2)^2))))*'Results'!$B$8),"")</x:f>
        <x:v>34.90662105370817</x:v>
      </x:c>
      <x:c r="N298" t="n">
        <x:f>IF(AND(ISNUMBER('Results'!C7),ISNUMBER('Results'!B7),ISNUMBER('Results'!$B$8),ISNUMBER('Inputs'!$B$6),ISNUMBER('Inputs'!$B$7),ISNUMBER('Inputs'!$B$8),ISNUMBER('Inputs'!$B$9),ISNUMBER('Inputs'!$B$10),ISNUMBER('Inputs'!$B$21),ISNUMBER('Inputs'!$B$24),ISNUMBER('Inputs'!$B$28)),((('Results'!C7*(1-'Inputs'!$B$24)*(0.5*((((298-43)*MAX('Inputs'!$B$33,'Inputs'!$B$29+'Inputs'!$B$31+'Inputs'!$B$32,'Inputs'!$B$30+'Inputs'!$B$31+'Inputs'!$B$32)/1000+'Inputs'!$B$21)+'Inputs'!$B$9)/SQRT((((298-43)*MAX('Inputs'!$B$33,'Inputs'!$B$29+'Inputs'!$B$31+'Inputs'!$B$32,'Inputs'!$B$30+'Inputs'!$B$31+'Inputs'!$B$32)/1000+'Inputs'!$B$21)+'Inputs'!$B$9)^2+('Inputs'!$B$8/2)^2)-(((298-43)*MAX('Inputs'!$B$33,'Inputs'!$B$29+'Inputs'!$B$31+'Inputs'!$B$32,'Inputs'!$B$30+'Inputs'!$B$31+'Inputs'!$B$32)/1000+'Inputs'!$B$21))/SQRT((((298-43)*MAX('Inputs'!$B$33,'Inputs'!$B$29+'Inputs'!$B$31+'Inputs'!$B$32,'Inputs'!$B$30+'Inputs'!$B$31+'Inputs'!$B$32)/1000+'Inputs'!$B$21))^2+('Inputs'!$B$8/2)^2)))-'Results'!B7*(1+'Inputs'!$B$24)*(0.5*((((298-43)*MAX('Inputs'!$B$33,'Inputs'!$B$29+'Inputs'!$B$31+'Inputs'!$B$32,'Inputs'!$B$30+'Inputs'!$B$31+'Inputs'!$B$32)/1000+'Inputs'!$B$21+'Inputs'!$B$9+'Inputs'!$B$10)+'Inputs'!$B$7)/SQRT((((298-43)*MAX('Inputs'!$B$33,'Inputs'!$B$29+'Inputs'!$B$31+'Inputs'!$B$32,'Inputs'!$B$30+'Inputs'!$B$31+'Inputs'!$B$32)/1000+'Inputs'!$B$21+'Inputs'!$B$9+'Inputs'!$B$10)+'Inputs'!$B$7)^2+('Inputs'!$B$6/2)^2)-(((298-43)*MAX('Inputs'!$B$33,'Inputs'!$B$29+'Inputs'!$B$31+'Inputs'!$B$32,'Inputs'!$B$30+'Inputs'!$B$31+'Inputs'!$B$32)/1000+'Inputs'!$B$21+'Inputs'!$B$9+'Inputs'!$B$10))/SQRT((((298-43)*MAX('Inputs'!$B$33,'Inputs'!$B$29+'Inputs'!$B$31+'Inputs'!$B$32,'Inputs'!$B$30+'Inputs'!$B$31+'Inputs'!$B$32)/1000+'Inputs'!$B$21+'Inputs'!$B$9+'Inputs'!$B$10))^2+('Inputs'!$B$6/2)^2))))*'Results'!$B$8)-'Inputs'!$B$28*ABS((('Results'!C7*(1-'Inputs'!$B$24)*(0.5*((((298-43)*MAX('Inputs'!$B$33,'Inputs'!$B$29+'Inputs'!$B$31+'Inputs'!$B$32,'Inputs'!$B$30+'Inputs'!$B$31+'Inputs'!$B$32)/1000+'Inputs'!$B$21)+'Inputs'!$B$9)/SQRT((((298-43)*MAX('Inputs'!$B$33,'Inputs'!$B$29+'Inputs'!$B$31+'Inputs'!$B$32,'Inputs'!$B$30+'Inputs'!$B$31+'Inputs'!$B$32)/1000+'Inputs'!$B$21)+'Inputs'!$B$9)^2+('Inputs'!$B$8/2)^2)-(((298-43)*MAX('Inputs'!$B$33,'Inputs'!$B$29+'Inputs'!$B$31+'Inputs'!$B$32,'Inputs'!$B$30+'Inputs'!$B$31+'Inputs'!$B$32)/1000+'Inputs'!$B$21))/SQRT((((298-43)*MAX('Inputs'!$B$33,'Inputs'!$B$29+'Inputs'!$B$31+'Inputs'!$B$32,'Inputs'!$B$30+'Inputs'!$B$31+'Inputs'!$B$32)/1000+'Inputs'!$B$21))^2+('Inputs'!$B$8/2)^2)))-'Results'!B7*(1+'Inputs'!$B$24)*(0.5*((((298-43)*MAX('Inputs'!$B$33,'Inputs'!$B$29+'Inputs'!$B$31+'Inputs'!$B$32,'Inputs'!$B$30+'Inputs'!$B$31+'Inputs'!$B$32)/1000+'Inputs'!$B$21+'Inputs'!$B$9+'Inputs'!$B$10)+'Inputs'!$B$7)/SQRT((((298-43)*MAX('Inputs'!$B$33,'Inputs'!$B$29+'Inputs'!$B$31+'Inputs'!$B$32,'Inputs'!$B$30+'Inputs'!$B$31+'Inputs'!$B$32)/1000+'Inputs'!$B$21+'Inputs'!$B$9+'Inputs'!$B$10)+'Inputs'!$B$7)^2+('Inputs'!$B$6/2)^2)-(((298-43)*MAX('Inputs'!$B$33,'Inputs'!$B$29+'Inputs'!$B$31+'Inputs'!$B$32,'Inputs'!$B$30+'Inputs'!$B$31+'Inputs'!$B$32)/1000+'Inputs'!$B$21+'Inputs'!$B$9+'Inputs'!$B$10))/SQRT((((298-43)*MAX('Inputs'!$B$33,'Inputs'!$B$29+'Inputs'!$B$31+'Inputs'!$B$32,'Inputs'!$B$30+'Inputs'!$B$31+'Inputs'!$B$32)/1000+'Inputs'!$B$21+'Inputs'!$B$9+'Inputs'!$B$10))^2+('Inputs'!$B$6/2)^2))))*'Results'!$B$8))),"")</x:f>
        <x:v>31.689349301131653</x:v>
      </x:c>
      <x:c r="O298" t="n">
        <x:f>IF(AND(ISNUMBER('Results'!C7),ISNUMBER('Results'!B7),ISNUMBER('Results'!$B$8),ISNUMBER('Inputs'!$B$6),ISNUMBER('Inputs'!$B$7),ISNUMBER('Inputs'!$B$8),ISNUMBER('Inputs'!$B$9),ISNUMBER('Inputs'!$B$10),ISNUMBER('Inputs'!$B$21),ISNUMBER('Inputs'!$B$24),ISNUMBER('Inputs'!$B$28)),((('Results'!C7*(1+'Inputs'!$B$24)*(0.5*((((298-43)*MAX('Inputs'!$B$33,'Inputs'!$B$29+'Inputs'!$B$31+'Inputs'!$B$32,'Inputs'!$B$30+'Inputs'!$B$31+'Inputs'!$B$32)/1000+'Inputs'!$B$21)+'Inputs'!$B$9)/SQRT((((298-43)*MAX('Inputs'!$B$33,'Inputs'!$B$29+'Inputs'!$B$31+'Inputs'!$B$32,'Inputs'!$B$30+'Inputs'!$B$31+'Inputs'!$B$32)/1000+'Inputs'!$B$21)+'Inputs'!$B$9)^2+('Inputs'!$B$8/2)^2)-(((298-43)*MAX('Inputs'!$B$33,'Inputs'!$B$29+'Inputs'!$B$31+'Inputs'!$B$32,'Inputs'!$B$30+'Inputs'!$B$31+'Inputs'!$B$32)/1000+'Inputs'!$B$21))/SQRT((((298-43)*MAX('Inputs'!$B$33,'Inputs'!$B$29+'Inputs'!$B$31+'Inputs'!$B$32,'Inputs'!$B$30+'Inputs'!$B$31+'Inputs'!$B$32)/1000+'Inputs'!$B$21))^2+('Inputs'!$B$8/2)^2)))-'Results'!B7*(1-'Inputs'!$B$24)*(0.5*((((298-43)*MAX('Inputs'!$B$33,'Inputs'!$B$29+'Inputs'!$B$31+'Inputs'!$B$32,'Inputs'!$B$30+'Inputs'!$B$31+'Inputs'!$B$32)/1000+'Inputs'!$B$21+'Inputs'!$B$9+'Inputs'!$B$10)+'Inputs'!$B$7)/SQRT((((298-43)*MAX('Inputs'!$B$33,'Inputs'!$B$29+'Inputs'!$B$31+'Inputs'!$B$32,'Inputs'!$B$30+'Inputs'!$B$31+'Inputs'!$B$32)/1000+'Inputs'!$B$21+'Inputs'!$B$9+'Inputs'!$B$10)+'Inputs'!$B$7)^2+('Inputs'!$B$6/2)^2)-(((298-43)*MAX('Inputs'!$B$33,'Inputs'!$B$29+'Inputs'!$B$31+'Inputs'!$B$32,'Inputs'!$B$30+'Inputs'!$B$31+'Inputs'!$B$32)/1000+'Inputs'!$B$21+'Inputs'!$B$9+'Inputs'!$B$10))/SQRT((((298-43)*MAX('Inputs'!$B$33,'Inputs'!$B$29+'Inputs'!$B$31+'Inputs'!$B$32,'Inputs'!$B$30+'Inputs'!$B$31+'Inputs'!$B$32)/1000+'Inputs'!$B$21+'Inputs'!$B$9+'Inputs'!$B$10))^2+('Inputs'!$B$6/2)^2))))*'Results'!$B$8)+'Inputs'!$B$28*ABS((('Results'!C7*(1+'Inputs'!$B$24)*(0.5*((((298-43)*MAX('Inputs'!$B$33,'Inputs'!$B$29+'Inputs'!$B$31+'Inputs'!$B$32,'Inputs'!$B$30+'Inputs'!$B$31+'Inputs'!$B$32)/1000+'Inputs'!$B$21)+'Inputs'!$B$9)/SQRT((((298-43)*MAX('Inputs'!$B$33,'Inputs'!$B$29+'Inputs'!$B$31+'Inputs'!$B$32,'Inputs'!$B$30+'Inputs'!$B$31+'Inputs'!$B$32)/1000+'Inputs'!$B$21)+'Inputs'!$B$9)^2+('Inputs'!$B$8/2)^2)-(((298-43)*MAX('Inputs'!$B$33,'Inputs'!$B$29+'Inputs'!$B$31+'Inputs'!$B$32,'Inputs'!$B$30+'Inputs'!$B$31+'Inputs'!$B$32)/1000+'Inputs'!$B$21))/SQRT((((298-43)*MAX('Inputs'!$B$33,'Inputs'!$B$29+'Inputs'!$B$31+'Inputs'!$B$32,'Inputs'!$B$30+'Inputs'!$B$31+'Inputs'!$B$32)/1000+'Inputs'!$B$21))^2+('Inputs'!$B$8/2)^2)))-'Results'!B7*(1-'Inputs'!$B$24)*(0.5*((((298-43)*MAX('Inputs'!$B$33,'Inputs'!$B$29+'Inputs'!$B$31+'Inputs'!$B$32,'Inputs'!$B$30+'Inputs'!$B$31+'Inputs'!$B$32)/1000+'Inputs'!$B$21+'Inputs'!$B$9+'Inputs'!$B$10)+'Inputs'!$B$7)/SQRT((((298-43)*MAX('Inputs'!$B$33,'Inputs'!$B$29+'Inputs'!$B$31+'Inputs'!$B$32,'Inputs'!$B$30+'Inputs'!$B$31+'Inputs'!$B$32)/1000+'Inputs'!$B$21+'Inputs'!$B$9+'Inputs'!$B$10)+'Inputs'!$B$7)^2+('Inputs'!$B$6/2)^2)-(((298-43)*MAX('Inputs'!$B$33,'Inputs'!$B$29+'Inputs'!$B$31+'Inputs'!$B$32,'Inputs'!$B$30+'Inputs'!$B$31+'Inputs'!$B$32)/1000+'Inputs'!$B$21+'Inputs'!$B$9+'Inputs'!$B$10))/SQRT((((298-43)*MAX('Inputs'!$B$33,'Inputs'!$B$29+'Inputs'!$B$31+'Inputs'!$B$32,'Inputs'!$B$30+'Inputs'!$B$31+'Inputs'!$B$32)/1000+'Inputs'!$B$21+'Inputs'!$B$9+'Inputs'!$B$10))^2+('Inputs'!$B$6/2)^2))))*'Results'!$B$8))),"")</x:f>
        <x:v>38.27883393258901</x:v>
      </x:c>
      <x:c r="P298" t="n">
        <x:f>IF(AND(MAX(J298,J297)&gt;0,J298&gt;J297+0.00000001),1,0)</x:f>
        <x:v>0</x:v>
      </x:c>
      <x:c r="Q298" t="n">
        <x:f>IF(AND(MAX(K298,K297)&gt;0,K298&gt;K297+0.00000001),1,0)</x:f>
        <x:v>0</x:v>
      </x:c>
      <x:c r="R298" t="n">
        <x:f>IF(AND(MAX(L298,L297)&gt;0,L298&gt;L297+0.00000001),1,0)</x:f>
        <x:v>0</x:v>
      </x:c>
      <x:c r="S298" t="n">
        <x:f>IF(AND(MAX(M298,M297)&gt;0,M298&gt;M297+0.00000001),1,0)</x:f>
        <x:v>0</x:v>
      </x:c>
      <x:c r="T298" t="n">
        <x:f>IF(AND(MAX(N298,N297)&gt;0,N298&gt;N297+0.00000001),1,0)</x:f>
        <x:v>0</x:v>
      </x:c>
      <x:c r="U298" t="n">
        <x:f>IF(AND(MAX(O298,O297)&gt;0,O298&gt;O297+0.00000001),1,0)</x:f>
        <x:v>0</x:v>
      </x:c>
    </x:row>
    <x:row r="299">
      <x:c r="J299" t="n">
        <x:f>IF(AND(ISNUMBER('Results'!B7),ISNUMBER('Results'!C7),ISNUMBER('Results'!$B$8),ISNUMBER('Inputs'!$B$6),ISNUMBER('Inputs'!$B$7),ISNUMBER('Inputs'!$B$8),ISNUMBER('Inputs'!$B$9),ISNUMBER('Inputs'!$B$10),ISNUMBER('Inputs'!$B$21),ISNUMBER('Inputs'!$B$24),ISNUMBER('Inputs'!$B$28)),(('Results'!B7*(0.5*((((299-43)*MAX('Inputs'!$B$33,'Inputs'!$B$29+'Inputs'!$B$31+'Inputs'!$B$32,'Inputs'!$B$30+'Inputs'!$B$31+'Inputs'!$B$32)/1000+'Inputs'!$B$21)+'Inputs'!$B$7)/SQRT((((299-43)*MAX('Inputs'!$B$33,'Inputs'!$B$29+'Inputs'!$B$31+'Inputs'!$B$32,'Inputs'!$B$30+'Inputs'!$B$31+'Inputs'!$B$32)/1000+'Inputs'!$B$21)+'Inputs'!$B$7)^2+('Inputs'!$B$6/2)^2)-(((299-43)*MAX('Inputs'!$B$33,'Inputs'!$B$29+'Inputs'!$B$31+'Inputs'!$B$32,'Inputs'!$B$30+'Inputs'!$B$31+'Inputs'!$B$32)/1000+'Inputs'!$B$21))/SQRT((((299-43)*MAX('Inputs'!$B$33,'Inputs'!$B$29+'Inputs'!$B$31+'Inputs'!$B$32,'Inputs'!$B$30+'Inputs'!$B$31+'Inputs'!$B$32)/1000+'Inputs'!$B$21))^2+('Inputs'!$B$6/2)^2)))-'Results'!C7*(0.5*((((299-43)*MAX('Inputs'!$B$33,'Inputs'!$B$29+'Inputs'!$B$31+'Inputs'!$B$32,'Inputs'!$B$30+'Inputs'!$B$31+'Inputs'!$B$32)/1000+'Inputs'!$B$21+'Inputs'!$B$7+'Inputs'!$B$10)+'Inputs'!$B$9)/SQRT((((299-43)*MAX('Inputs'!$B$33,'Inputs'!$B$29+'Inputs'!$B$31+'Inputs'!$B$32,'Inputs'!$B$30+'Inputs'!$B$31+'Inputs'!$B$32)/1000+'Inputs'!$B$21+'Inputs'!$B$7+'Inputs'!$B$10)+'Inputs'!$B$9)^2+('Inputs'!$B$8/2)^2)-(((299-43)*MAX('Inputs'!$B$33,'Inputs'!$B$29+'Inputs'!$B$31+'Inputs'!$B$32,'Inputs'!$B$30+'Inputs'!$B$31+'Inputs'!$B$32)/1000+'Inputs'!$B$21+'Inputs'!$B$7+'Inputs'!$B$10))/SQRT((((299-43)*MAX('Inputs'!$B$33,'Inputs'!$B$29+'Inputs'!$B$31+'Inputs'!$B$32,'Inputs'!$B$30+'Inputs'!$B$31+'Inputs'!$B$32)/1000+'Inputs'!$B$21+'Inputs'!$B$7+'Inputs'!$B$10))^2+('Inputs'!$B$8/2)^2))))*'Results'!$B$8),"")</x:f>
        <x:v>36.05606571961696</x:v>
      </x:c>
      <x:c r="K299" t="n">
        <x:f>IF(AND(ISNUMBER('Results'!B7),ISNUMBER('Results'!C7),ISNUMBER('Results'!$B$8),ISNUMBER('Inputs'!$B$6),ISNUMBER('Inputs'!$B$7),ISNUMBER('Inputs'!$B$8),ISNUMBER('Inputs'!$B$9),ISNUMBER('Inputs'!$B$10),ISNUMBER('Inputs'!$B$21),ISNUMBER('Inputs'!$B$24),ISNUMBER('Inputs'!$B$28)),((('Results'!B7*(1-'Inputs'!$B$24)*(0.5*((((299-43)*MAX('Inputs'!$B$33,'Inputs'!$B$29+'Inputs'!$B$31+'Inputs'!$B$32,'Inputs'!$B$30+'Inputs'!$B$31+'Inputs'!$B$32)/1000+'Inputs'!$B$21)+'Inputs'!$B$7)/SQRT((((299-43)*MAX('Inputs'!$B$33,'Inputs'!$B$29+'Inputs'!$B$31+'Inputs'!$B$32,'Inputs'!$B$30+'Inputs'!$B$31+'Inputs'!$B$32)/1000+'Inputs'!$B$21)+'Inputs'!$B$7)^2+('Inputs'!$B$6/2)^2)-(((299-43)*MAX('Inputs'!$B$33,'Inputs'!$B$29+'Inputs'!$B$31+'Inputs'!$B$32,'Inputs'!$B$30+'Inputs'!$B$31+'Inputs'!$B$32)/1000+'Inputs'!$B$21))/SQRT((((299-43)*MAX('Inputs'!$B$33,'Inputs'!$B$29+'Inputs'!$B$31+'Inputs'!$B$32,'Inputs'!$B$30+'Inputs'!$B$31+'Inputs'!$B$32)/1000+'Inputs'!$B$21))^2+('Inputs'!$B$6/2)^2)))-'Results'!C7*(1+'Inputs'!$B$24)*(0.5*((((299-43)*MAX('Inputs'!$B$33,'Inputs'!$B$29+'Inputs'!$B$31+'Inputs'!$B$32,'Inputs'!$B$30+'Inputs'!$B$31+'Inputs'!$B$32)/1000+'Inputs'!$B$21+'Inputs'!$B$7+'Inputs'!$B$10)+'Inputs'!$B$9)/SQRT((((299-43)*MAX('Inputs'!$B$33,'Inputs'!$B$29+'Inputs'!$B$31+'Inputs'!$B$32,'Inputs'!$B$30+'Inputs'!$B$31+'Inputs'!$B$32)/1000+'Inputs'!$B$21+'Inputs'!$B$7+'Inputs'!$B$10)+'Inputs'!$B$9)^2+('Inputs'!$B$8/2)^2)-(((299-43)*MAX('Inputs'!$B$33,'Inputs'!$B$29+'Inputs'!$B$31+'Inputs'!$B$32,'Inputs'!$B$30+'Inputs'!$B$31+'Inputs'!$B$32)/1000+'Inputs'!$B$21+'Inputs'!$B$7+'Inputs'!$B$10))/SQRT((((299-43)*MAX('Inputs'!$B$33,'Inputs'!$B$29+'Inputs'!$B$31+'Inputs'!$B$32,'Inputs'!$B$30+'Inputs'!$B$31+'Inputs'!$B$32)/1000+'Inputs'!$B$21+'Inputs'!$B$7+'Inputs'!$B$10))^2+('Inputs'!$B$8/2)^2))))*'Results'!$B$8)-'Inputs'!$B$28*ABS((('Results'!B7*(1-'Inputs'!$B$24)*(0.5*((((299-43)*MAX('Inputs'!$B$33,'Inputs'!$B$29+'Inputs'!$B$31+'Inputs'!$B$32,'Inputs'!$B$30+'Inputs'!$B$31+'Inputs'!$B$32)/1000+'Inputs'!$B$21)+'Inputs'!$B$7)/SQRT((((299-43)*MAX('Inputs'!$B$33,'Inputs'!$B$29+'Inputs'!$B$31+'Inputs'!$B$32,'Inputs'!$B$30+'Inputs'!$B$31+'Inputs'!$B$32)/1000+'Inputs'!$B$21)+'Inputs'!$B$7)^2+('Inputs'!$B$6/2)^2)-(((299-43)*MAX('Inputs'!$B$33,'Inputs'!$B$29+'Inputs'!$B$31+'Inputs'!$B$32,'Inputs'!$B$30+'Inputs'!$B$31+'Inputs'!$B$32)/1000+'Inputs'!$B$21))/SQRT((((299-43)*MAX('Inputs'!$B$33,'Inputs'!$B$29+'Inputs'!$B$31+'Inputs'!$B$32,'Inputs'!$B$30+'Inputs'!$B$31+'Inputs'!$B$32)/1000+'Inputs'!$B$21))^2+('Inputs'!$B$6/2)^2)))-'Results'!C7*(1+'Inputs'!$B$24)*(0.5*((((299-43)*MAX('Inputs'!$B$33,'Inputs'!$B$29+'Inputs'!$B$31+'Inputs'!$B$32,'Inputs'!$B$30+'Inputs'!$B$31+'Inputs'!$B$32)/1000+'Inputs'!$B$21+'Inputs'!$B$7+'Inputs'!$B$10)+'Inputs'!$B$9)/SQRT((((299-43)*MAX('Inputs'!$B$33,'Inputs'!$B$29+'Inputs'!$B$31+'Inputs'!$B$32,'Inputs'!$B$30+'Inputs'!$B$31+'Inputs'!$B$32)/1000+'Inputs'!$B$21+'Inputs'!$B$7+'Inputs'!$B$10)+'Inputs'!$B$9)^2+('Inputs'!$B$8/2)^2)-(((299-43)*MAX('Inputs'!$B$33,'Inputs'!$B$29+'Inputs'!$B$31+'Inputs'!$B$32,'Inputs'!$B$30+'Inputs'!$B$31+'Inputs'!$B$32)/1000+'Inputs'!$B$21+'Inputs'!$B$7+'Inputs'!$B$10))/SQRT((((299-43)*MAX('Inputs'!$B$33,'Inputs'!$B$29+'Inputs'!$B$31+'Inputs'!$B$32,'Inputs'!$B$30+'Inputs'!$B$31+'Inputs'!$B$32)/1000+'Inputs'!$B$21+'Inputs'!$B$7+'Inputs'!$B$10))^2+('Inputs'!$B$8/2)^2))))*'Results'!$B$8))),"")</x:f>
        <x:v>32.781505943777034</x:v>
      </x:c>
      <x:c r="L299" t="n">
        <x:f>IF(AND(ISNUMBER('Results'!B7),ISNUMBER('Results'!C7),ISNUMBER('Results'!$B$8),ISNUMBER('Inputs'!$B$6),ISNUMBER('Inputs'!$B$7),ISNUMBER('Inputs'!$B$8),ISNUMBER('Inputs'!$B$9),ISNUMBER('Inputs'!$B$10),ISNUMBER('Inputs'!$B$21),ISNUMBER('Inputs'!$B$24),ISNUMBER('Inputs'!$B$28)),((('Results'!B7*(1+'Inputs'!$B$24)*(0.5*((((299-43)*MAX('Inputs'!$B$33,'Inputs'!$B$29+'Inputs'!$B$31+'Inputs'!$B$32,'Inputs'!$B$30+'Inputs'!$B$31+'Inputs'!$B$32)/1000+'Inputs'!$B$21)+'Inputs'!$B$7)/SQRT((((299-43)*MAX('Inputs'!$B$33,'Inputs'!$B$29+'Inputs'!$B$31+'Inputs'!$B$32,'Inputs'!$B$30+'Inputs'!$B$31+'Inputs'!$B$32)/1000+'Inputs'!$B$21)+'Inputs'!$B$7)^2+('Inputs'!$B$6/2)^2)-(((299-43)*MAX('Inputs'!$B$33,'Inputs'!$B$29+'Inputs'!$B$31+'Inputs'!$B$32,'Inputs'!$B$30+'Inputs'!$B$31+'Inputs'!$B$32)/1000+'Inputs'!$B$21))/SQRT((((299-43)*MAX('Inputs'!$B$33,'Inputs'!$B$29+'Inputs'!$B$31+'Inputs'!$B$32,'Inputs'!$B$30+'Inputs'!$B$31+'Inputs'!$B$32)/1000+'Inputs'!$B$21))^2+('Inputs'!$B$6/2)^2)))-'Results'!C7*(1-'Inputs'!$B$24)*(0.5*((((299-43)*MAX('Inputs'!$B$33,'Inputs'!$B$29+'Inputs'!$B$31+'Inputs'!$B$32,'Inputs'!$B$30+'Inputs'!$B$31+'Inputs'!$B$32)/1000+'Inputs'!$B$21+'Inputs'!$B$7+'Inputs'!$B$10)+'Inputs'!$B$9)/SQRT((((299-43)*MAX('Inputs'!$B$33,'Inputs'!$B$29+'Inputs'!$B$31+'Inputs'!$B$32,'Inputs'!$B$30+'Inputs'!$B$31+'Inputs'!$B$32)/1000+'Inputs'!$B$21+'Inputs'!$B$7+'Inputs'!$B$10)+'Inputs'!$B$9)^2+('Inputs'!$B$8/2)^2)-(((299-43)*MAX('Inputs'!$B$33,'Inputs'!$B$29+'Inputs'!$B$31+'Inputs'!$B$32,'Inputs'!$B$30+'Inputs'!$B$31+'Inputs'!$B$32)/1000+'Inputs'!$B$21+'Inputs'!$B$7+'Inputs'!$B$10))/SQRT((((299-43)*MAX('Inputs'!$B$33,'Inputs'!$B$29+'Inputs'!$B$31+'Inputs'!$B$32,'Inputs'!$B$30+'Inputs'!$B$31+'Inputs'!$B$32)/1000+'Inputs'!$B$21+'Inputs'!$B$7+'Inputs'!$B$10))^2+('Inputs'!$B$8/2)^2))))*'Results'!$B$8)+'Inputs'!$B$28*ABS((('Results'!B7*(1+'Inputs'!$B$24)*(0.5*((((299-43)*MAX('Inputs'!$B$33,'Inputs'!$B$29+'Inputs'!$B$31+'Inputs'!$B$32,'Inputs'!$B$30+'Inputs'!$B$31+'Inputs'!$B$32)/1000+'Inputs'!$B$21)+'Inputs'!$B$7)/SQRT((((299-43)*MAX('Inputs'!$B$33,'Inputs'!$B$29+'Inputs'!$B$31+'Inputs'!$B$32,'Inputs'!$B$30+'Inputs'!$B$31+'Inputs'!$B$32)/1000+'Inputs'!$B$21)+'Inputs'!$B$7)^2+('Inputs'!$B$6/2)^2)-(((299-43)*MAX('Inputs'!$B$33,'Inputs'!$B$29+'Inputs'!$B$31+'Inputs'!$B$32,'Inputs'!$B$30+'Inputs'!$B$31+'Inputs'!$B$32)/1000+'Inputs'!$B$21))/SQRT((((299-43)*MAX('Inputs'!$B$33,'Inputs'!$B$29+'Inputs'!$B$31+'Inputs'!$B$32,'Inputs'!$B$30+'Inputs'!$B$31+'Inputs'!$B$32)/1000+'Inputs'!$B$21))^2+('Inputs'!$B$6/2)^2)))-'Results'!C7*(1-'Inputs'!$B$24)*(0.5*((((299-43)*MAX('Inputs'!$B$33,'Inputs'!$B$29+'Inputs'!$B$31+'Inputs'!$B$32,'Inputs'!$B$30+'Inputs'!$B$31+'Inputs'!$B$32)/1000+'Inputs'!$B$21+'Inputs'!$B$7+'Inputs'!$B$10)+'Inputs'!$B$9)/SQRT((((299-43)*MAX('Inputs'!$B$33,'Inputs'!$B$29+'Inputs'!$B$31+'Inputs'!$B$32,'Inputs'!$B$30+'Inputs'!$B$31+'Inputs'!$B$32)/1000+'Inputs'!$B$21+'Inputs'!$B$7+'Inputs'!$B$10)+'Inputs'!$B$9)^2+('Inputs'!$B$8/2)^2)-(((299-43)*MAX('Inputs'!$B$33,'Inputs'!$B$29+'Inputs'!$B$31+'Inputs'!$B$32,'Inputs'!$B$30+'Inputs'!$B$31+'Inputs'!$B$32)/1000+'Inputs'!$B$21+'Inputs'!$B$7+'Inputs'!$B$10))/SQRT((((299-43)*MAX('Inputs'!$B$33,'Inputs'!$B$29+'Inputs'!$B$31+'Inputs'!$B$32,'Inputs'!$B$30+'Inputs'!$B$31+'Inputs'!$B$32)/1000+'Inputs'!$B$21+'Inputs'!$B$7+'Inputs'!$B$10))^2+('Inputs'!$B$8/2)^2))))*'Results'!$B$8))),"")</x:f>
        <x:v>39.48554723123153</x:v>
      </x:c>
      <x:c r="M299" t="n">
        <x:f>IF(AND(ISNUMBER('Results'!C7),ISNUMBER('Results'!B7),ISNUMBER('Results'!$B$8),ISNUMBER('Inputs'!$B$6),ISNUMBER('Inputs'!$B$7),ISNUMBER('Inputs'!$B$8),ISNUMBER('Inputs'!$B$9),ISNUMBER('Inputs'!$B$10),ISNUMBER('Inputs'!$B$21),ISNUMBER('Inputs'!$B$24),ISNUMBER('Inputs'!$B$28)),(('Results'!C7*(0.5*((((299-43)*MAX('Inputs'!$B$33,'Inputs'!$B$29+'Inputs'!$B$31+'Inputs'!$B$32,'Inputs'!$B$30+'Inputs'!$B$31+'Inputs'!$B$32)/1000+'Inputs'!$B$21)+'Inputs'!$B$9)/SQRT((((299-43)*MAX('Inputs'!$B$33,'Inputs'!$B$29+'Inputs'!$B$31+'Inputs'!$B$32,'Inputs'!$B$30+'Inputs'!$B$31+'Inputs'!$B$32)/1000+'Inputs'!$B$21)+'Inputs'!$B$9)^2+('Inputs'!$B$8/2)^2)-(((299-43)*MAX('Inputs'!$B$33,'Inputs'!$B$29+'Inputs'!$B$31+'Inputs'!$B$32,'Inputs'!$B$30+'Inputs'!$B$31+'Inputs'!$B$32)/1000+'Inputs'!$B$21))/SQRT((((299-43)*MAX('Inputs'!$B$33,'Inputs'!$B$29+'Inputs'!$B$31+'Inputs'!$B$32,'Inputs'!$B$30+'Inputs'!$B$31+'Inputs'!$B$32)/1000+'Inputs'!$B$21))^2+('Inputs'!$B$8/2)^2)))-'Results'!B7*(0.5*((((299-43)*MAX('Inputs'!$B$33,'Inputs'!$B$29+'Inputs'!$B$31+'Inputs'!$B$32,'Inputs'!$B$30+'Inputs'!$B$31+'Inputs'!$B$32)/1000+'Inputs'!$B$21+'Inputs'!$B$9+'Inputs'!$B$10)+'Inputs'!$B$7)/SQRT((((299-43)*MAX('Inputs'!$B$33,'Inputs'!$B$29+'Inputs'!$B$31+'Inputs'!$B$32,'Inputs'!$B$30+'Inputs'!$B$31+'Inputs'!$B$32)/1000+'Inputs'!$B$21+'Inputs'!$B$9+'Inputs'!$B$10)+'Inputs'!$B$7)^2+('Inputs'!$B$6/2)^2)-(((299-43)*MAX('Inputs'!$B$33,'Inputs'!$B$29+'Inputs'!$B$31+'Inputs'!$B$32,'Inputs'!$B$30+'Inputs'!$B$31+'Inputs'!$B$32)/1000+'Inputs'!$B$21+'Inputs'!$B$9+'Inputs'!$B$10))/SQRT((((299-43)*MAX('Inputs'!$B$33,'Inputs'!$B$29+'Inputs'!$B$31+'Inputs'!$B$32,'Inputs'!$B$30+'Inputs'!$B$31+'Inputs'!$B$32)/1000+'Inputs'!$B$21+'Inputs'!$B$9+'Inputs'!$B$10))^2+('Inputs'!$B$6/2)^2))))*'Results'!$B$8),"")</x:f>
        <x:v>34.49839840224451</x:v>
      </x:c>
      <x:c r="N299" t="n">
        <x:f>IF(AND(ISNUMBER('Results'!C7),ISNUMBER('Results'!B7),ISNUMBER('Results'!$B$8),ISNUMBER('Inputs'!$B$6),ISNUMBER('Inputs'!$B$7),ISNUMBER('Inputs'!$B$8),ISNUMBER('Inputs'!$B$9),ISNUMBER('Inputs'!$B$10),ISNUMBER('Inputs'!$B$21),ISNUMBER('Inputs'!$B$24),ISNUMBER('Inputs'!$B$28)),((('Results'!C7*(1-'Inputs'!$B$24)*(0.5*((((299-43)*MAX('Inputs'!$B$33,'Inputs'!$B$29+'Inputs'!$B$31+'Inputs'!$B$32,'Inputs'!$B$30+'Inputs'!$B$31+'Inputs'!$B$32)/1000+'Inputs'!$B$21)+'Inputs'!$B$9)/SQRT((((299-43)*MAX('Inputs'!$B$33,'Inputs'!$B$29+'Inputs'!$B$31+'Inputs'!$B$32,'Inputs'!$B$30+'Inputs'!$B$31+'Inputs'!$B$32)/1000+'Inputs'!$B$21)+'Inputs'!$B$9)^2+('Inputs'!$B$8/2)^2)-(((299-43)*MAX('Inputs'!$B$33,'Inputs'!$B$29+'Inputs'!$B$31+'Inputs'!$B$32,'Inputs'!$B$30+'Inputs'!$B$31+'Inputs'!$B$32)/1000+'Inputs'!$B$21))/SQRT((((299-43)*MAX('Inputs'!$B$33,'Inputs'!$B$29+'Inputs'!$B$31+'Inputs'!$B$32,'Inputs'!$B$30+'Inputs'!$B$31+'Inputs'!$B$32)/1000+'Inputs'!$B$21))^2+('Inputs'!$B$8/2)^2)))-'Results'!B7*(1+'Inputs'!$B$24)*(0.5*((((299-43)*MAX('Inputs'!$B$33,'Inputs'!$B$29+'Inputs'!$B$31+'Inputs'!$B$32,'Inputs'!$B$30+'Inputs'!$B$31+'Inputs'!$B$32)/1000+'Inputs'!$B$21+'Inputs'!$B$9+'Inputs'!$B$10)+'Inputs'!$B$7)/SQRT((((299-43)*MAX('Inputs'!$B$33,'Inputs'!$B$29+'Inputs'!$B$31+'Inputs'!$B$32,'Inputs'!$B$30+'Inputs'!$B$31+'Inputs'!$B$32)/1000+'Inputs'!$B$21+'Inputs'!$B$9+'Inputs'!$B$10)+'Inputs'!$B$7)^2+('Inputs'!$B$6/2)^2)-(((299-43)*MAX('Inputs'!$B$33,'Inputs'!$B$29+'Inputs'!$B$31+'Inputs'!$B$32,'Inputs'!$B$30+'Inputs'!$B$31+'Inputs'!$B$32)/1000+'Inputs'!$B$21+'Inputs'!$B$9+'Inputs'!$B$10))/SQRT((((299-43)*MAX('Inputs'!$B$33,'Inputs'!$B$29+'Inputs'!$B$31+'Inputs'!$B$32,'Inputs'!$B$30+'Inputs'!$B$31+'Inputs'!$B$32)/1000+'Inputs'!$B$21+'Inputs'!$B$9+'Inputs'!$B$10))^2+('Inputs'!$B$6/2)^2))))*'Results'!$B$8)-'Inputs'!$B$28*ABS((('Results'!C7*(1-'Inputs'!$B$24)*(0.5*((((299-43)*MAX('Inputs'!$B$33,'Inputs'!$B$29+'Inputs'!$B$31+'Inputs'!$B$32,'Inputs'!$B$30+'Inputs'!$B$31+'Inputs'!$B$32)/1000+'Inputs'!$B$21)+'Inputs'!$B$9)/SQRT((((299-43)*MAX('Inputs'!$B$33,'Inputs'!$B$29+'Inputs'!$B$31+'Inputs'!$B$32,'Inputs'!$B$30+'Inputs'!$B$31+'Inputs'!$B$32)/1000+'Inputs'!$B$21)+'Inputs'!$B$9)^2+('Inputs'!$B$8/2)^2)-(((299-43)*MAX('Inputs'!$B$33,'Inputs'!$B$29+'Inputs'!$B$31+'Inputs'!$B$32,'Inputs'!$B$30+'Inputs'!$B$31+'Inputs'!$B$32)/1000+'Inputs'!$B$21))/SQRT((((299-43)*MAX('Inputs'!$B$33,'Inputs'!$B$29+'Inputs'!$B$31+'Inputs'!$B$32,'Inputs'!$B$30+'Inputs'!$B$31+'Inputs'!$B$32)/1000+'Inputs'!$B$21))^2+('Inputs'!$B$8/2)^2)))-'Results'!B7*(1+'Inputs'!$B$24)*(0.5*((((299-43)*MAX('Inputs'!$B$33,'Inputs'!$B$29+'Inputs'!$B$31+'Inputs'!$B$32,'Inputs'!$B$30+'Inputs'!$B$31+'Inputs'!$B$32)/1000+'Inputs'!$B$21+'Inputs'!$B$9+'Inputs'!$B$10)+'Inputs'!$B$7)/SQRT((((299-43)*MAX('Inputs'!$B$33,'Inputs'!$B$29+'Inputs'!$B$31+'Inputs'!$B$32,'Inputs'!$B$30+'Inputs'!$B$31+'Inputs'!$B$32)/1000+'Inputs'!$B$21+'Inputs'!$B$9+'Inputs'!$B$10)+'Inputs'!$B$7)^2+('Inputs'!$B$6/2)^2)-(((299-43)*MAX('Inputs'!$B$33,'Inputs'!$B$29+'Inputs'!$B$31+'Inputs'!$B$32,'Inputs'!$B$30+'Inputs'!$B$31+'Inputs'!$B$32)/1000+'Inputs'!$B$21+'Inputs'!$B$9+'Inputs'!$B$10))/SQRT((((299-43)*MAX('Inputs'!$B$33,'Inputs'!$B$29+'Inputs'!$B$31+'Inputs'!$B$32,'Inputs'!$B$30+'Inputs'!$B$31+'Inputs'!$B$32)/1000+'Inputs'!$B$21+'Inputs'!$B$9+'Inputs'!$B$10))^2+('Inputs'!$B$6/2)^2))))*'Results'!$B$8))),"")</x:f>
        <x:v>31.315262748013758</x:v>
      </x:c>
      <x:c r="O299" t="n">
        <x:f>IF(AND(ISNUMBER('Results'!C7),ISNUMBER('Results'!B7),ISNUMBER('Results'!$B$8),ISNUMBER('Inputs'!$B$6),ISNUMBER('Inputs'!$B$7),ISNUMBER('Inputs'!$B$8),ISNUMBER('Inputs'!$B$9),ISNUMBER('Inputs'!$B$10),ISNUMBER('Inputs'!$B$21),ISNUMBER('Inputs'!$B$24),ISNUMBER('Inputs'!$B$28)),((('Results'!C7*(1+'Inputs'!$B$24)*(0.5*((((299-43)*MAX('Inputs'!$B$33,'Inputs'!$B$29+'Inputs'!$B$31+'Inputs'!$B$32,'Inputs'!$B$30+'Inputs'!$B$31+'Inputs'!$B$32)/1000+'Inputs'!$B$21)+'Inputs'!$B$9)/SQRT((((299-43)*MAX('Inputs'!$B$33,'Inputs'!$B$29+'Inputs'!$B$31+'Inputs'!$B$32,'Inputs'!$B$30+'Inputs'!$B$31+'Inputs'!$B$32)/1000+'Inputs'!$B$21)+'Inputs'!$B$9)^2+('Inputs'!$B$8/2)^2)-(((299-43)*MAX('Inputs'!$B$33,'Inputs'!$B$29+'Inputs'!$B$31+'Inputs'!$B$32,'Inputs'!$B$30+'Inputs'!$B$31+'Inputs'!$B$32)/1000+'Inputs'!$B$21))/SQRT((((299-43)*MAX('Inputs'!$B$33,'Inputs'!$B$29+'Inputs'!$B$31+'Inputs'!$B$32,'Inputs'!$B$30+'Inputs'!$B$31+'Inputs'!$B$32)/1000+'Inputs'!$B$21))^2+('Inputs'!$B$8/2)^2)))-'Results'!B7*(1-'Inputs'!$B$24)*(0.5*((((299-43)*MAX('Inputs'!$B$33,'Inputs'!$B$29+'Inputs'!$B$31+'Inputs'!$B$32,'Inputs'!$B$30+'Inputs'!$B$31+'Inputs'!$B$32)/1000+'Inputs'!$B$21+'Inputs'!$B$9+'Inputs'!$B$10)+'Inputs'!$B$7)/SQRT((((299-43)*MAX('Inputs'!$B$33,'Inputs'!$B$29+'Inputs'!$B$31+'Inputs'!$B$32,'Inputs'!$B$30+'Inputs'!$B$31+'Inputs'!$B$32)/1000+'Inputs'!$B$21+'Inputs'!$B$9+'Inputs'!$B$10)+'Inputs'!$B$7)^2+('Inputs'!$B$6/2)^2)-(((299-43)*MAX('Inputs'!$B$33,'Inputs'!$B$29+'Inputs'!$B$31+'Inputs'!$B$32,'Inputs'!$B$30+'Inputs'!$B$31+'Inputs'!$B$32)/1000+'Inputs'!$B$21+'Inputs'!$B$9+'Inputs'!$B$10))/SQRT((((299-43)*MAX('Inputs'!$B$33,'Inputs'!$B$29+'Inputs'!$B$31+'Inputs'!$B$32,'Inputs'!$B$30+'Inputs'!$B$31+'Inputs'!$B$32)/1000+'Inputs'!$B$21+'Inputs'!$B$9+'Inputs'!$B$10))^2+('Inputs'!$B$6/2)^2))))*'Results'!$B$8)+'Inputs'!$B$28*ABS((('Results'!C7*(1+'Inputs'!$B$24)*(0.5*((((299-43)*MAX('Inputs'!$B$33,'Inputs'!$B$29+'Inputs'!$B$31+'Inputs'!$B$32,'Inputs'!$B$30+'Inputs'!$B$31+'Inputs'!$B$32)/1000+'Inputs'!$B$21)+'Inputs'!$B$9)/SQRT((((299-43)*MAX('Inputs'!$B$33,'Inputs'!$B$29+'Inputs'!$B$31+'Inputs'!$B$32,'Inputs'!$B$30+'Inputs'!$B$31+'Inputs'!$B$32)/1000+'Inputs'!$B$21)+'Inputs'!$B$9)^2+('Inputs'!$B$8/2)^2)-(((299-43)*MAX('Inputs'!$B$33,'Inputs'!$B$29+'Inputs'!$B$31+'Inputs'!$B$32,'Inputs'!$B$30+'Inputs'!$B$31+'Inputs'!$B$32)/1000+'Inputs'!$B$21))/SQRT((((299-43)*MAX('Inputs'!$B$33,'Inputs'!$B$29+'Inputs'!$B$31+'Inputs'!$B$32,'Inputs'!$B$30+'Inputs'!$B$31+'Inputs'!$B$32)/1000+'Inputs'!$B$21))^2+('Inputs'!$B$8/2)^2)))-'Results'!B7*(1-'Inputs'!$B$24)*(0.5*((((299-43)*MAX('Inputs'!$B$33,'Inputs'!$B$29+'Inputs'!$B$31+'Inputs'!$B$32,'Inputs'!$B$30+'Inputs'!$B$31+'Inputs'!$B$32)/1000+'Inputs'!$B$21+'Inputs'!$B$9+'Inputs'!$B$10)+'Inputs'!$B$7)/SQRT((((299-43)*MAX('Inputs'!$B$33,'Inputs'!$B$29+'Inputs'!$B$31+'Inputs'!$B$32,'Inputs'!$B$30+'Inputs'!$B$31+'Inputs'!$B$32)/1000+'Inputs'!$B$21+'Inputs'!$B$9+'Inputs'!$B$10)+'Inputs'!$B$7)^2+('Inputs'!$B$6/2)^2)-(((299-43)*MAX('Inputs'!$B$33,'Inputs'!$B$29+'Inputs'!$B$31+'Inputs'!$B$32,'Inputs'!$B$30+'Inputs'!$B$31+'Inputs'!$B$32)/1000+'Inputs'!$B$21+'Inputs'!$B$9+'Inputs'!$B$10))/SQRT((((299-43)*MAX('Inputs'!$B$33,'Inputs'!$B$29+'Inputs'!$B$31+'Inputs'!$B$32,'Inputs'!$B$30+'Inputs'!$B$31+'Inputs'!$B$32)/1000+'Inputs'!$B$21+'Inputs'!$B$9+'Inputs'!$B$10))^2+('Inputs'!$B$6/2)^2))))*'Results'!$B$8))),"")</x:f>
        <x:v>37.835030449540355</x:v>
      </x:c>
      <x:c r="P299" t="n">
        <x:f>IF(AND(MAX(J299,J298)&gt;0,J299&gt;J298+0.00000001),1,0)</x:f>
        <x:v>0</x:v>
      </x:c>
      <x:c r="Q299" t="n">
        <x:f>IF(AND(MAX(K299,K298)&gt;0,K299&gt;K298+0.00000001),1,0)</x:f>
        <x:v>0</x:v>
      </x:c>
      <x:c r="R299" t="n">
        <x:f>IF(AND(MAX(L299,L298)&gt;0,L299&gt;L298+0.00000001),1,0)</x:f>
        <x:v>0</x:v>
      </x:c>
      <x:c r="S299" t="n">
        <x:f>IF(AND(MAX(M299,M298)&gt;0,M299&gt;M298+0.00000001),1,0)</x:f>
        <x:v>0</x:v>
      </x:c>
      <x:c r="T299" t="n">
        <x:f>IF(AND(MAX(N299,N298)&gt;0,N299&gt;N298+0.00000001),1,0)</x:f>
        <x:v>0</x:v>
      </x:c>
      <x:c r="U299" t="n">
        <x:f>IF(AND(MAX(O299,O298)&gt;0,O299&gt;O298+0.00000001),1,0)</x:f>
        <x:v>0</x:v>
      </x:c>
    </x:row>
    <x:row r="300">
      <x:c r="J300" t="n">
        <x:f>IF(AND(ISNUMBER('Results'!B7),ISNUMBER('Results'!C7),ISNUMBER('Results'!$B$8),ISNUMBER('Inputs'!$B$6),ISNUMBER('Inputs'!$B$7),ISNUMBER('Inputs'!$B$8),ISNUMBER('Inputs'!$B$9),ISNUMBER('Inputs'!$B$10),ISNUMBER('Inputs'!$B$21),ISNUMBER('Inputs'!$B$24),ISNUMBER('Inputs'!$B$28)),(('Results'!B7*(0.5*((((300-43)*MAX('Inputs'!$B$33,'Inputs'!$B$29+'Inputs'!$B$31+'Inputs'!$B$32,'Inputs'!$B$30+'Inputs'!$B$31+'Inputs'!$B$32)/1000+'Inputs'!$B$21)+'Inputs'!$B$7)/SQRT((((300-43)*MAX('Inputs'!$B$33,'Inputs'!$B$29+'Inputs'!$B$31+'Inputs'!$B$32,'Inputs'!$B$30+'Inputs'!$B$31+'Inputs'!$B$32)/1000+'Inputs'!$B$21)+'Inputs'!$B$7)^2+('Inputs'!$B$6/2)^2)-(((300-43)*MAX('Inputs'!$B$33,'Inputs'!$B$29+'Inputs'!$B$31+'Inputs'!$B$32,'Inputs'!$B$30+'Inputs'!$B$31+'Inputs'!$B$32)/1000+'Inputs'!$B$21))/SQRT((((300-43)*MAX('Inputs'!$B$33,'Inputs'!$B$29+'Inputs'!$B$31+'Inputs'!$B$32,'Inputs'!$B$30+'Inputs'!$B$31+'Inputs'!$B$32)/1000+'Inputs'!$B$21))^2+('Inputs'!$B$6/2)^2)))-'Results'!C7*(0.5*((((300-43)*MAX('Inputs'!$B$33,'Inputs'!$B$29+'Inputs'!$B$31+'Inputs'!$B$32,'Inputs'!$B$30+'Inputs'!$B$31+'Inputs'!$B$32)/1000+'Inputs'!$B$21+'Inputs'!$B$7+'Inputs'!$B$10)+'Inputs'!$B$9)/SQRT((((300-43)*MAX('Inputs'!$B$33,'Inputs'!$B$29+'Inputs'!$B$31+'Inputs'!$B$32,'Inputs'!$B$30+'Inputs'!$B$31+'Inputs'!$B$32)/1000+'Inputs'!$B$21+'Inputs'!$B$7+'Inputs'!$B$10)+'Inputs'!$B$9)^2+('Inputs'!$B$8/2)^2)-(((300-43)*MAX('Inputs'!$B$33,'Inputs'!$B$29+'Inputs'!$B$31+'Inputs'!$B$32,'Inputs'!$B$30+'Inputs'!$B$31+'Inputs'!$B$32)/1000+'Inputs'!$B$21+'Inputs'!$B$7+'Inputs'!$B$10))/SQRT((((300-43)*MAX('Inputs'!$B$33,'Inputs'!$B$29+'Inputs'!$B$31+'Inputs'!$B$32,'Inputs'!$B$30+'Inputs'!$B$31+'Inputs'!$B$32)/1000+'Inputs'!$B$21+'Inputs'!$B$7+'Inputs'!$B$10))^2+('Inputs'!$B$8/2)^2))))*'Results'!$B$8),"")</x:f>
        <x:v>35.63922868988794</x:v>
      </x:c>
      <x:c r="K300" t="n">
        <x:f>IF(AND(ISNUMBER('Results'!B7),ISNUMBER('Results'!C7),ISNUMBER('Results'!$B$8),ISNUMBER('Inputs'!$B$6),ISNUMBER('Inputs'!$B$7),ISNUMBER('Inputs'!$B$8),ISNUMBER('Inputs'!$B$9),ISNUMBER('Inputs'!$B$10),ISNUMBER('Inputs'!$B$21),ISNUMBER('Inputs'!$B$24),ISNUMBER('Inputs'!$B$28)),((('Results'!B7*(1-'Inputs'!$B$24)*(0.5*((((300-43)*MAX('Inputs'!$B$33,'Inputs'!$B$29+'Inputs'!$B$31+'Inputs'!$B$32,'Inputs'!$B$30+'Inputs'!$B$31+'Inputs'!$B$32)/1000+'Inputs'!$B$21)+'Inputs'!$B$7)/SQRT((((300-43)*MAX('Inputs'!$B$33,'Inputs'!$B$29+'Inputs'!$B$31+'Inputs'!$B$32,'Inputs'!$B$30+'Inputs'!$B$31+'Inputs'!$B$32)/1000+'Inputs'!$B$21)+'Inputs'!$B$7)^2+('Inputs'!$B$6/2)^2)-(((300-43)*MAX('Inputs'!$B$33,'Inputs'!$B$29+'Inputs'!$B$31+'Inputs'!$B$32,'Inputs'!$B$30+'Inputs'!$B$31+'Inputs'!$B$32)/1000+'Inputs'!$B$21))/SQRT((((300-43)*MAX('Inputs'!$B$33,'Inputs'!$B$29+'Inputs'!$B$31+'Inputs'!$B$32,'Inputs'!$B$30+'Inputs'!$B$31+'Inputs'!$B$32)/1000+'Inputs'!$B$21))^2+('Inputs'!$B$6/2)^2)))-'Results'!C7*(1+'Inputs'!$B$24)*(0.5*((((300-43)*MAX('Inputs'!$B$33,'Inputs'!$B$29+'Inputs'!$B$31+'Inputs'!$B$32,'Inputs'!$B$30+'Inputs'!$B$31+'Inputs'!$B$32)/1000+'Inputs'!$B$21+'Inputs'!$B$7+'Inputs'!$B$10)+'Inputs'!$B$9)/SQRT((((300-43)*MAX('Inputs'!$B$33,'Inputs'!$B$29+'Inputs'!$B$31+'Inputs'!$B$32,'Inputs'!$B$30+'Inputs'!$B$31+'Inputs'!$B$32)/1000+'Inputs'!$B$21+'Inputs'!$B$7+'Inputs'!$B$10)+'Inputs'!$B$9)^2+('Inputs'!$B$8/2)^2)-(((300-43)*MAX('Inputs'!$B$33,'Inputs'!$B$29+'Inputs'!$B$31+'Inputs'!$B$32,'Inputs'!$B$30+'Inputs'!$B$31+'Inputs'!$B$32)/1000+'Inputs'!$B$21+'Inputs'!$B$7+'Inputs'!$B$10))/SQRT((((300-43)*MAX('Inputs'!$B$33,'Inputs'!$B$29+'Inputs'!$B$31+'Inputs'!$B$32,'Inputs'!$B$30+'Inputs'!$B$31+'Inputs'!$B$32)/1000+'Inputs'!$B$21+'Inputs'!$B$7+'Inputs'!$B$10))^2+('Inputs'!$B$8/2)^2))))*'Results'!$B$8)-'Inputs'!$B$28*ABS((('Results'!B7*(1-'Inputs'!$B$24)*(0.5*((((300-43)*MAX('Inputs'!$B$33,'Inputs'!$B$29+'Inputs'!$B$31+'Inputs'!$B$32,'Inputs'!$B$30+'Inputs'!$B$31+'Inputs'!$B$32)/1000+'Inputs'!$B$21)+'Inputs'!$B$7)/SQRT((((300-43)*MAX('Inputs'!$B$33,'Inputs'!$B$29+'Inputs'!$B$31+'Inputs'!$B$32,'Inputs'!$B$30+'Inputs'!$B$31+'Inputs'!$B$32)/1000+'Inputs'!$B$21)+'Inputs'!$B$7)^2+('Inputs'!$B$6/2)^2)-(((300-43)*MAX('Inputs'!$B$33,'Inputs'!$B$29+'Inputs'!$B$31+'Inputs'!$B$32,'Inputs'!$B$30+'Inputs'!$B$31+'Inputs'!$B$32)/1000+'Inputs'!$B$21))/SQRT((((300-43)*MAX('Inputs'!$B$33,'Inputs'!$B$29+'Inputs'!$B$31+'Inputs'!$B$32,'Inputs'!$B$30+'Inputs'!$B$31+'Inputs'!$B$32)/1000+'Inputs'!$B$21))^2+('Inputs'!$B$6/2)^2)))-'Results'!C7*(1+'Inputs'!$B$24)*(0.5*((((300-43)*MAX('Inputs'!$B$33,'Inputs'!$B$29+'Inputs'!$B$31+'Inputs'!$B$32,'Inputs'!$B$30+'Inputs'!$B$31+'Inputs'!$B$32)/1000+'Inputs'!$B$21+'Inputs'!$B$7+'Inputs'!$B$10)+'Inputs'!$B$9)/SQRT((((300-43)*MAX('Inputs'!$B$33,'Inputs'!$B$29+'Inputs'!$B$31+'Inputs'!$B$32,'Inputs'!$B$30+'Inputs'!$B$31+'Inputs'!$B$32)/1000+'Inputs'!$B$21+'Inputs'!$B$7+'Inputs'!$B$10)+'Inputs'!$B$9)^2+('Inputs'!$B$8/2)^2)-(((300-43)*MAX('Inputs'!$B$33,'Inputs'!$B$29+'Inputs'!$B$31+'Inputs'!$B$32,'Inputs'!$B$30+'Inputs'!$B$31+'Inputs'!$B$32)/1000+'Inputs'!$B$21+'Inputs'!$B$7+'Inputs'!$B$10))/SQRT((((300-43)*MAX('Inputs'!$B$33,'Inputs'!$B$29+'Inputs'!$B$31+'Inputs'!$B$32,'Inputs'!$B$30+'Inputs'!$B$31+'Inputs'!$B$32)/1000+'Inputs'!$B$21+'Inputs'!$B$7+'Inputs'!$B$10))^2+('Inputs'!$B$8/2)^2))))*'Results'!$B$8))),"")</x:f>
        <x:v>32.3992231619929</x:v>
      </x:c>
      <x:c r="L300" t="n">
        <x:f>IF(AND(ISNUMBER('Results'!B7),ISNUMBER('Results'!C7),ISNUMBER('Results'!$B$8),ISNUMBER('Inputs'!$B$6),ISNUMBER('Inputs'!$B$7),ISNUMBER('Inputs'!$B$8),ISNUMBER('Inputs'!$B$9),ISNUMBER('Inputs'!$B$10),ISNUMBER('Inputs'!$B$21),ISNUMBER('Inputs'!$B$24),ISNUMBER('Inputs'!$B$28)),((('Results'!B7*(1+'Inputs'!$B$24)*(0.5*((((300-43)*MAX('Inputs'!$B$33,'Inputs'!$B$29+'Inputs'!$B$31+'Inputs'!$B$32,'Inputs'!$B$30+'Inputs'!$B$31+'Inputs'!$B$32)/1000+'Inputs'!$B$21)+'Inputs'!$B$7)/SQRT((((300-43)*MAX('Inputs'!$B$33,'Inputs'!$B$29+'Inputs'!$B$31+'Inputs'!$B$32,'Inputs'!$B$30+'Inputs'!$B$31+'Inputs'!$B$32)/1000+'Inputs'!$B$21)+'Inputs'!$B$7)^2+('Inputs'!$B$6/2)^2)-(((300-43)*MAX('Inputs'!$B$33,'Inputs'!$B$29+'Inputs'!$B$31+'Inputs'!$B$32,'Inputs'!$B$30+'Inputs'!$B$31+'Inputs'!$B$32)/1000+'Inputs'!$B$21))/SQRT((((300-43)*MAX('Inputs'!$B$33,'Inputs'!$B$29+'Inputs'!$B$31+'Inputs'!$B$32,'Inputs'!$B$30+'Inputs'!$B$31+'Inputs'!$B$32)/1000+'Inputs'!$B$21))^2+('Inputs'!$B$6/2)^2)))-'Results'!C7*(1-'Inputs'!$B$24)*(0.5*((((300-43)*MAX('Inputs'!$B$33,'Inputs'!$B$29+'Inputs'!$B$31+'Inputs'!$B$32,'Inputs'!$B$30+'Inputs'!$B$31+'Inputs'!$B$32)/1000+'Inputs'!$B$21+'Inputs'!$B$7+'Inputs'!$B$10)+'Inputs'!$B$9)/SQRT((((300-43)*MAX('Inputs'!$B$33,'Inputs'!$B$29+'Inputs'!$B$31+'Inputs'!$B$32,'Inputs'!$B$30+'Inputs'!$B$31+'Inputs'!$B$32)/1000+'Inputs'!$B$21+'Inputs'!$B$7+'Inputs'!$B$10)+'Inputs'!$B$9)^2+('Inputs'!$B$8/2)^2)-(((300-43)*MAX('Inputs'!$B$33,'Inputs'!$B$29+'Inputs'!$B$31+'Inputs'!$B$32,'Inputs'!$B$30+'Inputs'!$B$31+'Inputs'!$B$32)/1000+'Inputs'!$B$21+'Inputs'!$B$7+'Inputs'!$B$10))/SQRT((((300-43)*MAX('Inputs'!$B$33,'Inputs'!$B$29+'Inputs'!$B$31+'Inputs'!$B$32,'Inputs'!$B$30+'Inputs'!$B$31+'Inputs'!$B$32)/1000+'Inputs'!$B$21+'Inputs'!$B$7+'Inputs'!$B$10))^2+('Inputs'!$B$8/2)^2))))*'Results'!$B$8)+'Inputs'!$B$28*ABS((('Results'!B7*(1+'Inputs'!$B$24)*(0.5*((((300-43)*MAX('Inputs'!$B$33,'Inputs'!$B$29+'Inputs'!$B$31+'Inputs'!$B$32,'Inputs'!$B$30+'Inputs'!$B$31+'Inputs'!$B$32)/1000+'Inputs'!$B$21)+'Inputs'!$B$7)/SQRT((((300-43)*MAX('Inputs'!$B$33,'Inputs'!$B$29+'Inputs'!$B$31+'Inputs'!$B$32,'Inputs'!$B$30+'Inputs'!$B$31+'Inputs'!$B$32)/1000+'Inputs'!$B$21)+'Inputs'!$B$7)^2+('Inputs'!$B$6/2)^2)-(((300-43)*MAX('Inputs'!$B$33,'Inputs'!$B$29+'Inputs'!$B$31+'Inputs'!$B$32,'Inputs'!$B$30+'Inputs'!$B$31+'Inputs'!$B$32)/1000+'Inputs'!$B$21))/SQRT((((300-43)*MAX('Inputs'!$B$33,'Inputs'!$B$29+'Inputs'!$B$31+'Inputs'!$B$32,'Inputs'!$B$30+'Inputs'!$B$31+'Inputs'!$B$32)/1000+'Inputs'!$B$21))^2+('Inputs'!$B$6/2)^2)))-'Results'!C7*(1-'Inputs'!$B$24)*(0.5*((((300-43)*MAX('Inputs'!$B$33,'Inputs'!$B$29+'Inputs'!$B$31+'Inputs'!$B$32,'Inputs'!$B$30+'Inputs'!$B$31+'Inputs'!$B$32)/1000+'Inputs'!$B$21+'Inputs'!$B$7+'Inputs'!$B$10)+'Inputs'!$B$9)/SQRT((((300-43)*MAX('Inputs'!$B$33,'Inputs'!$B$29+'Inputs'!$B$31+'Inputs'!$B$32,'Inputs'!$B$30+'Inputs'!$B$31+'Inputs'!$B$32)/1000+'Inputs'!$B$21+'Inputs'!$B$7+'Inputs'!$B$10)+'Inputs'!$B$9)^2+('Inputs'!$B$8/2)^2)-(((300-43)*MAX('Inputs'!$B$33,'Inputs'!$B$29+'Inputs'!$B$31+'Inputs'!$B$32,'Inputs'!$B$30+'Inputs'!$B$31+'Inputs'!$B$32)/1000+'Inputs'!$B$21+'Inputs'!$B$7+'Inputs'!$B$10))/SQRT((((300-43)*MAX('Inputs'!$B$33,'Inputs'!$B$29+'Inputs'!$B$31+'Inputs'!$B$32,'Inputs'!$B$30+'Inputs'!$B$31+'Inputs'!$B$32)/1000+'Inputs'!$B$21+'Inputs'!$B$7+'Inputs'!$B$10))^2+('Inputs'!$B$8/2)^2))))*'Results'!$B$8))),"")</x:f>
        <x:v>39.03271254340412</x:v>
      </x:c>
      <x:c r="M300" t="n">
        <x:f>IF(AND(ISNUMBER('Results'!C7),ISNUMBER('Results'!B7),ISNUMBER('Results'!$B$8),ISNUMBER('Inputs'!$B$6),ISNUMBER('Inputs'!$B$7),ISNUMBER('Inputs'!$B$8),ISNUMBER('Inputs'!$B$9),ISNUMBER('Inputs'!$B$10),ISNUMBER('Inputs'!$B$21),ISNUMBER('Inputs'!$B$24),ISNUMBER('Inputs'!$B$28)),(('Results'!C7*(0.5*((((300-43)*MAX('Inputs'!$B$33,'Inputs'!$B$29+'Inputs'!$B$31+'Inputs'!$B$32,'Inputs'!$B$30+'Inputs'!$B$31+'Inputs'!$B$32)/1000+'Inputs'!$B$21)+'Inputs'!$B$9)/SQRT((((300-43)*MAX('Inputs'!$B$33,'Inputs'!$B$29+'Inputs'!$B$31+'Inputs'!$B$32,'Inputs'!$B$30+'Inputs'!$B$31+'Inputs'!$B$32)/1000+'Inputs'!$B$21)+'Inputs'!$B$9)^2+('Inputs'!$B$8/2)^2)-(((300-43)*MAX('Inputs'!$B$33,'Inputs'!$B$29+'Inputs'!$B$31+'Inputs'!$B$32,'Inputs'!$B$30+'Inputs'!$B$31+'Inputs'!$B$32)/1000+'Inputs'!$B$21))/SQRT((((300-43)*MAX('Inputs'!$B$33,'Inputs'!$B$29+'Inputs'!$B$31+'Inputs'!$B$32,'Inputs'!$B$30+'Inputs'!$B$31+'Inputs'!$B$32)/1000+'Inputs'!$B$21))^2+('Inputs'!$B$8/2)^2)))-'Results'!B7*(0.5*((((300-43)*MAX('Inputs'!$B$33,'Inputs'!$B$29+'Inputs'!$B$31+'Inputs'!$B$32,'Inputs'!$B$30+'Inputs'!$B$31+'Inputs'!$B$32)/1000+'Inputs'!$B$21+'Inputs'!$B$9+'Inputs'!$B$10)+'Inputs'!$B$7)/SQRT((((300-43)*MAX('Inputs'!$B$33,'Inputs'!$B$29+'Inputs'!$B$31+'Inputs'!$B$32,'Inputs'!$B$30+'Inputs'!$B$31+'Inputs'!$B$32)/1000+'Inputs'!$B$21+'Inputs'!$B$9+'Inputs'!$B$10)+'Inputs'!$B$7)^2+('Inputs'!$B$6/2)^2)-(((300-43)*MAX('Inputs'!$B$33,'Inputs'!$B$29+'Inputs'!$B$31+'Inputs'!$B$32,'Inputs'!$B$30+'Inputs'!$B$31+'Inputs'!$B$32)/1000+'Inputs'!$B$21+'Inputs'!$B$9+'Inputs'!$B$10))/SQRT((((300-43)*MAX('Inputs'!$B$33,'Inputs'!$B$29+'Inputs'!$B$31+'Inputs'!$B$32,'Inputs'!$B$30+'Inputs'!$B$31+'Inputs'!$B$32)/1000+'Inputs'!$B$21+'Inputs'!$B$9+'Inputs'!$B$10))^2+('Inputs'!$B$6/2)^2))))*'Results'!$B$8),"")</x:f>
        <x:v>34.09605769201946</x:v>
      </x:c>
      <x:c r="N300" t="n">
        <x:f>IF(AND(ISNUMBER('Results'!C7),ISNUMBER('Results'!B7),ISNUMBER('Results'!$B$8),ISNUMBER('Inputs'!$B$6),ISNUMBER('Inputs'!$B$7),ISNUMBER('Inputs'!$B$8),ISNUMBER('Inputs'!$B$9),ISNUMBER('Inputs'!$B$10),ISNUMBER('Inputs'!$B$21),ISNUMBER('Inputs'!$B$24),ISNUMBER('Inputs'!$B$28)),((('Results'!C7*(1-'Inputs'!$B$24)*(0.5*((((300-43)*MAX('Inputs'!$B$33,'Inputs'!$B$29+'Inputs'!$B$31+'Inputs'!$B$32,'Inputs'!$B$30+'Inputs'!$B$31+'Inputs'!$B$32)/1000+'Inputs'!$B$21)+'Inputs'!$B$9)/SQRT((((300-43)*MAX('Inputs'!$B$33,'Inputs'!$B$29+'Inputs'!$B$31+'Inputs'!$B$32,'Inputs'!$B$30+'Inputs'!$B$31+'Inputs'!$B$32)/1000+'Inputs'!$B$21)+'Inputs'!$B$9)^2+('Inputs'!$B$8/2)^2)-(((300-43)*MAX('Inputs'!$B$33,'Inputs'!$B$29+'Inputs'!$B$31+'Inputs'!$B$32,'Inputs'!$B$30+'Inputs'!$B$31+'Inputs'!$B$32)/1000+'Inputs'!$B$21))/SQRT((((300-43)*MAX('Inputs'!$B$33,'Inputs'!$B$29+'Inputs'!$B$31+'Inputs'!$B$32,'Inputs'!$B$30+'Inputs'!$B$31+'Inputs'!$B$32)/1000+'Inputs'!$B$21))^2+('Inputs'!$B$8/2)^2)))-'Results'!B7*(1+'Inputs'!$B$24)*(0.5*((((300-43)*MAX('Inputs'!$B$33,'Inputs'!$B$29+'Inputs'!$B$31+'Inputs'!$B$32,'Inputs'!$B$30+'Inputs'!$B$31+'Inputs'!$B$32)/1000+'Inputs'!$B$21+'Inputs'!$B$9+'Inputs'!$B$10)+'Inputs'!$B$7)/SQRT((((300-43)*MAX('Inputs'!$B$33,'Inputs'!$B$29+'Inputs'!$B$31+'Inputs'!$B$32,'Inputs'!$B$30+'Inputs'!$B$31+'Inputs'!$B$32)/1000+'Inputs'!$B$21+'Inputs'!$B$9+'Inputs'!$B$10)+'Inputs'!$B$7)^2+('Inputs'!$B$6/2)^2)-(((300-43)*MAX('Inputs'!$B$33,'Inputs'!$B$29+'Inputs'!$B$31+'Inputs'!$B$32,'Inputs'!$B$30+'Inputs'!$B$31+'Inputs'!$B$32)/1000+'Inputs'!$B$21+'Inputs'!$B$9+'Inputs'!$B$10))/SQRT((((300-43)*MAX('Inputs'!$B$33,'Inputs'!$B$29+'Inputs'!$B$31+'Inputs'!$B$32,'Inputs'!$B$30+'Inputs'!$B$31+'Inputs'!$B$32)/1000+'Inputs'!$B$21+'Inputs'!$B$9+'Inputs'!$B$10))^2+('Inputs'!$B$6/2)^2))))*'Results'!$B$8)-'Inputs'!$B$28*ABS((('Results'!C7*(1-'Inputs'!$B$24)*(0.5*((((300-43)*MAX('Inputs'!$B$33,'Inputs'!$B$29+'Inputs'!$B$31+'Inputs'!$B$32,'Inputs'!$B$30+'Inputs'!$B$31+'Inputs'!$B$32)/1000+'Inputs'!$B$21)+'Inputs'!$B$9)/SQRT((((300-43)*MAX('Inputs'!$B$33,'Inputs'!$B$29+'Inputs'!$B$31+'Inputs'!$B$32,'Inputs'!$B$30+'Inputs'!$B$31+'Inputs'!$B$32)/1000+'Inputs'!$B$21)+'Inputs'!$B$9)^2+('Inputs'!$B$8/2)^2)-(((300-43)*MAX('Inputs'!$B$33,'Inputs'!$B$29+'Inputs'!$B$31+'Inputs'!$B$32,'Inputs'!$B$30+'Inputs'!$B$31+'Inputs'!$B$32)/1000+'Inputs'!$B$21))/SQRT((((300-43)*MAX('Inputs'!$B$33,'Inputs'!$B$29+'Inputs'!$B$31+'Inputs'!$B$32,'Inputs'!$B$30+'Inputs'!$B$31+'Inputs'!$B$32)/1000+'Inputs'!$B$21))^2+('Inputs'!$B$8/2)^2)))-'Results'!B7*(1+'Inputs'!$B$24)*(0.5*((((300-43)*MAX('Inputs'!$B$33,'Inputs'!$B$29+'Inputs'!$B$31+'Inputs'!$B$32,'Inputs'!$B$30+'Inputs'!$B$31+'Inputs'!$B$32)/1000+'Inputs'!$B$21+'Inputs'!$B$9+'Inputs'!$B$10)+'Inputs'!$B$7)/SQRT((((300-43)*MAX('Inputs'!$B$33,'Inputs'!$B$29+'Inputs'!$B$31+'Inputs'!$B$32,'Inputs'!$B$30+'Inputs'!$B$31+'Inputs'!$B$32)/1000+'Inputs'!$B$21+'Inputs'!$B$9+'Inputs'!$B$10)+'Inputs'!$B$7)^2+('Inputs'!$B$6/2)^2)-(((300-43)*MAX('Inputs'!$B$33,'Inputs'!$B$29+'Inputs'!$B$31+'Inputs'!$B$32,'Inputs'!$B$30+'Inputs'!$B$31+'Inputs'!$B$32)/1000+'Inputs'!$B$21+'Inputs'!$B$9+'Inputs'!$B$10))/SQRT((((300-43)*MAX('Inputs'!$B$33,'Inputs'!$B$29+'Inputs'!$B$31+'Inputs'!$B$32,'Inputs'!$B$30+'Inputs'!$B$31+'Inputs'!$B$32)/1000+'Inputs'!$B$21+'Inputs'!$B$9+'Inputs'!$B$10))^2+('Inputs'!$B$6/2)^2))))*'Results'!$B$8))),"")</x:f>
        <x:v>30.9465942538285</x:v>
      </x:c>
      <x:c r="O300" t="n">
        <x:f>IF(AND(ISNUMBER('Results'!C7),ISNUMBER('Results'!B7),ISNUMBER('Results'!$B$8),ISNUMBER('Inputs'!$B$6),ISNUMBER('Inputs'!$B$7),ISNUMBER('Inputs'!$B$8),ISNUMBER('Inputs'!$B$9),ISNUMBER('Inputs'!$B$10),ISNUMBER('Inputs'!$B$21),ISNUMBER('Inputs'!$B$24),ISNUMBER('Inputs'!$B$28)),((('Results'!C7*(1+'Inputs'!$B$24)*(0.5*((((300-43)*MAX('Inputs'!$B$33,'Inputs'!$B$29+'Inputs'!$B$31+'Inputs'!$B$32,'Inputs'!$B$30+'Inputs'!$B$31+'Inputs'!$B$32)/1000+'Inputs'!$B$21)+'Inputs'!$B$9)/SQRT((((300-43)*MAX('Inputs'!$B$33,'Inputs'!$B$29+'Inputs'!$B$31+'Inputs'!$B$32,'Inputs'!$B$30+'Inputs'!$B$31+'Inputs'!$B$32)/1000+'Inputs'!$B$21)+'Inputs'!$B$9)^2+('Inputs'!$B$8/2)^2)-(((300-43)*MAX('Inputs'!$B$33,'Inputs'!$B$29+'Inputs'!$B$31+'Inputs'!$B$32,'Inputs'!$B$30+'Inputs'!$B$31+'Inputs'!$B$32)/1000+'Inputs'!$B$21))/SQRT((((300-43)*MAX('Inputs'!$B$33,'Inputs'!$B$29+'Inputs'!$B$31+'Inputs'!$B$32,'Inputs'!$B$30+'Inputs'!$B$31+'Inputs'!$B$32)/1000+'Inputs'!$B$21))^2+('Inputs'!$B$8/2)^2)))-'Results'!B7*(1-'Inputs'!$B$24)*(0.5*((((300-43)*MAX('Inputs'!$B$33,'Inputs'!$B$29+'Inputs'!$B$31+'Inputs'!$B$32,'Inputs'!$B$30+'Inputs'!$B$31+'Inputs'!$B$32)/1000+'Inputs'!$B$21+'Inputs'!$B$9+'Inputs'!$B$10)+'Inputs'!$B$7)/SQRT((((300-43)*MAX('Inputs'!$B$33,'Inputs'!$B$29+'Inputs'!$B$31+'Inputs'!$B$32,'Inputs'!$B$30+'Inputs'!$B$31+'Inputs'!$B$32)/1000+'Inputs'!$B$21+'Inputs'!$B$9+'Inputs'!$B$10)+'Inputs'!$B$7)^2+('Inputs'!$B$6/2)^2)-(((300-43)*MAX('Inputs'!$B$33,'Inputs'!$B$29+'Inputs'!$B$31+'Inputs'!$B$32,'Inputs'!$B$30+'Inputs'!$B$31+'Inputs'!$B$32)/1000+'Inputs'!$B$21+'Inputs'!$B$9+'Inputs'!$B$10))/SQRT((((300-43)*MAX('Inputs'!$B$33,'Inputs'!$B$29+'Inputs'!$B$31+'Inputs'!$B$32,'Inputs'!$B$30+'Inputs'!$B$31+'Inputs'!$B$32)/1000+'Inputs'!$B$21+'Inputs'!$B$9+'Inputs'!$B$10))^2+('Inputs'!$B$6/2)^2))))*'Results'!$B$8)+'Inputs'!$B$28*ABS((('Results'!C7*(1+'Inputs'!$B$24)*(0.5*((((300-43)*MAX('Inputs'!$B$33,'Inputs'!$B$29+'Inputs'!$B$31+'Inputs'!$B$32,'Inputs'!$B$30+'Inputs'!$B$31+'Inputs'!$B$32)/1000+'Inputs'!$B$21)+'Inputs'!$B$9)/SQRT((((300-43)*MAX('Inputs'!$B$33,'Inputs'!$B$29+'Inputs'!$B$31+'Inputs'!$B$32,'Inputs'!$B$30+'Inputs'!$B$31+'Inputs'!$B$32)/1000+'Inputs'!$B$21)+'Inputs'!$B$9)^2+('Inputs'!$B$8/2)^2)-(((300-43)*MAX('Inputs'!$B$33,'Inputs'!$B$29+'Inputs'!$B$31+'Inputs'!$B$32,'Inputs'!$B$30+'Inputs'!$B$31+'Inputs'!$B$32)/1000+'Inputs'!$B$21))/SQRT((((300-43)*MAX('Inputs'!$B$33,'Inputs'!$B$29+'Inputs'!$B$31+'Inputs'!$B$32,'Inputs'!$B$30+'Inputs'!$B$31+'Inputs'!$B$32)/1000+'Inputs'!$B$21))^2+('Inputs'!$B$8/2)^2)))-'Results'!B7*(1-'Inputs'!$B$24)*(0.5*((((300-43)*MAX('Inputs'!$B$33,'Inputs'!$B$29+'Inputs'!$B$31+'Inputs'!$B$32,'Inputs'!$B$30+'Inputs'!$B$31+'Inputs'!$B$32)/1000+'Inputs'!$B$21+'Inputs'!$B$9+'Inputs'!$B$10)+'Inputs'!$B$7)/SQRT((((300-43)*MAX('Inputs'!$B$33,'Inputs'!$B$29+'Inputs'!$B$31+'Inputs'!$B$32,'Inputs'!$B$30+'Inputs'!$B$31+'Inputs'!$B$32)/1000+'Inputs'!$B$21+'Inputs'!$B$9+'Inputs'!$B$10)+'Inputs'!$B$7)^2+('Inputs'!$B$6/2)^2)-(((300-43)*MAX('Inputs'!$B$33,'Inputs'!$B$29+'Inputs'!$B$31+'Inputs'!$B$32,'Inputs'!$B$30+'Inputs'!$B$31+'Inputs'!$B$32)/1000+'Inputs'!$B$21+'Inputs'!$B$9+'Inputs'!$B$10))/SQRT((((300-43)*MAX('Inputs'!$B$33,'Inputs'!$B$29+'Inputs'!$B$31+'Inputs'!$B$32,'Inputs'!$B$30+'Inputs'!$B$31+'Inputs'!$B$32)/1000+'Inputs'!$B$21+'Inputs'!$B$9+'Inputs'!$B$10))^2+('Inputs'!$B$6/2)^2))))*'Results'!$B$8))),"")</x:f>
        <x:v>37.397590662167254</x:v>
      </x:c>
      <x:c r="P300" t="n">
        <x:f>IF(AND(MAX(J300,J299)&gt;0,J300&gt;J299+0.00000001),1,0)</x:f>
        <x:v>0</x:v>
      </x:c>
      <x:c r="Q300" t="n">
        <x:f>IF(AND(MAX(K300,K299)&gt;0,K300&gt;K299+0.00000001),1,0)</x:f>
        <x:v>0</x:v>
      </x:c>
      <x:c r="R300" t="n">
        <x:f>IF(AND(MAX(L300,L299)&gt;0,L300&gt;L299+0.00000001),1,0)</x:f>
        <x:v>0</x:v>
      </x:c>
      <x:c r="S300" t="n">
        <x:f>IF(AND(MAX(M300,M299)&gt;0,M300&gt;M299+0.00000001),1,0)</x:f>
        <x:v>0</x:v>
      </x:c>
      <x:c r="T300" t="n">
        <x:f>IF(AND(MAX(N300,N299)&gt;0,N300&gt;N299+0.00000001),1,0)</x:f>
        <x:v>0</x:v>
      </x:c>
      <x:c r="U300" t="n">
        <x:f>IF(AND(MAX(O300,O299)&gt;0,O300&gt;O299+0.00000001),1,0)</x:f>
        <x:v>0</x:v>
      </x:c>
    </x:row>
    <x:row r="301">
      <x:c r="J301" t="n">
        <x:f>IF(AND(ISNUMBER('Results'!B7),ISNUMBER('Results'!C7),ISNUMBER('Results'!$B$8),ISNUMBER('Inputs'!$B$6),ISNUMBER('Inputs'!$B$7),ISNUMBER('Inputs'!$B$8),ISNUMBER('Inputs'!$B$9),ISNUMBER('Inputs'!$B$10),ISNUMBER('Inputs'!$B$21),ISNUMBER('Inputs'!$B$24),ISNUMBER('Inputs'!$B$28)),(('Results'!B7*(0.5*((((301-43)*MAX('Inputs'!$B$33,'Inputs'!$B$29+'Inputs'!$B$31+'Inputs'!$B$32,'Inputs'!$B$30+'Inputs'!$B$31+'Inputs'!$B$32)/1000+'Inputs'!$B$21)+'Inputs'!$B$7)/SQRT((((301-43)*MAX('Inputs'!$B$33,'Inputs'!$B$29+'Inputs'!$B$31+'Inputs'!$B$32,'Inputs'!$B$30+'Inputs'!$B$31+'Inputs'!$B$32)/1000+'Inputs'!$B$21)+'Inputs'!$B$7)^2+('Inputs'!$B$6/2)^2)-(((301-43)*MAX('Inputs'!$B$33,'Inputs'!$B$29+'Inputs'!$B$31+'Inputs'!$B$32,'Inputs'!$B$30+'Inputs'!$B$31+'Inputs'!$B$32)/1000+'Inputs'!$B$21))/SQRT((((301-43)*MAX('Inputs'!$B$33,'Inputs'!$B$29+'Inputs'!$B$31+'Inputs'!$B$32,'Inputs'!$B$30+'Inputs'!$B$31+'Inputs'!$B$32)/1000+'Inputs'!$B$21))^2+('Inputs'!$B$6/2)^2)))-'Results'!C7*(0.5*((((301-43)*MAX('Inputs'!$B$33,'Inputs'!$B$29+'Inputs'!$B$31+'Inputs'!$B$32,'Inputs'!$B$30+'Inputs'!$B$31+'Inputs'!$B$32)/1000+'Inputs'!$B$21+'Inputs'!$B$7+'Inputs'!$B$10)+'Inputs'!$B$9)/SQRT((((301-43)*MAX('Inputs'!$B$33,'Inputs'!$B$29+'Inputs'!$B$31+'Inputs'!$B$32,'Inputs'!$B$30+'Inputs'!$B$31+'Inputs'!$B$32)/1000+'Inputs'!$B$21+'Inputs'!$B$7+'Inputs'!$B$10)+'Inputs'!$B$9)^2+('Inputs'!$B$8/2)^2)-(((301-43)*MAX('Inputs'!$B$33,'Inputs'!$B$29+'Inputs'!$B$31+'Inputs'!$B$32,'Inputs'!$B$30+'Inputs'!$B$31+'Inputs'!$B$32)/1000+'Inputs'!$B$21+'Inputs'!$B$7+'Inputs'!$B$10))/SQRT((((301-43)*MAX('Inputs'!$B$33,'Inputs'!$B$29+'Inputs'!$B$31+'Inputs'!$B$32,'Inputs'!$B$30+'Inputs'!$B$31+'Inputs'!$B$32)/1000+'Inputs'!$B$21+'Inputs'!$B$7+'Inputs'!$B$10))^2+('Inputs'!$B$8/2)^2))))*'Results'!$B$8),"")</x:f>
        <x:v>35.22835245692693</x:v>
      </x:c>
      <x:c r="K301" t="n">
        <x:f>IF(AND(ISNUMBER('Results'!B7),ISNUMBER('Results'!C7),ISNUMBER('Results'!$B$8),ISNUMBER('Inputs'!$B$6),ISNUMBER('Inputs'!$B$7),ISNUMBER('Inputs'!$B$8),ISNUMBER('Inputs'!$B$9),ISNUMBER('Inputs'!$B$10),ISNUMBER('Inputs'!$B$21),ISNUMBER('Inputs'!$B$24),ISNUMBER('Inputs'!$B$28)),((('Results'!B7*(1-'Inputs'!$B$24)*(0.5*((((301-43)*MAX('Inputs'!$B$33,'Inputs'!$B$29+'Inputs'!$B$31+'Inputs'!$B$32,'Inputs'!$B$30+'Inputs'!$B$31+'Inputs'!$B$32)/1000+'Inputs'!$B$21)+'Inputs'!$B$7)/SQRT((((301-43)*MAX('Inputs'!$B$33,'Inputs'!$B$29+'Inputs'!$B$31+'Inputs'!$B$32,'Inputs'!$B$30+'Inputs'!$B$31+'Inputs'!$B$32)/1000+'Inputs'!$B$21)+'Inputs'!$B$7)^2+('Inputs'!$B$6/2)^2)-(((301-43)*MAX('Inputs'!$B$33,'Inputs'!$B$29+'Inputs'!$B$31+'Inputs'!$B$32,'Inputs'!$B$30+'Inputs'!$B$31+'Inputs'!$B$32)/1000+'Inputs'!$B$21))/SQRT((((301-43)*MAX('Inputs'!$B$33,'Inputs'!$B$29+'Inputs'!$B$31+'Inputs'!$B$32,'Inputs'!$B$30+'Inputs'!$B$31+'Inputs'!$B$32)/1000+'Inputs'!$B$21))^2+('Inputs'!$B$6/2)^2)))-'Results'!C7*(1+'Inputs'!$B$24)*(0.5*((((301-43)*MAX('Inputs'!$B$33,'Inputs'!$B$29+'Inputs'!$B$31+'Inputs'!$B$32,'Inputs'!$B$30+'Inputs'!$B$31+'Inputs'!$B$32)/1000+'Inputs'!$B$21+'Inputs'!$B$7+'Inputs'!$B$10)+'Inputs'!$B$9)/SQRT((((301-43)*MAX('Inputs'!$B$33,'Inputs'!$B$29+'Inputs'!$B$31+'Inputs'!$B$32,'Inputs'!$B$30+'Inputs'!$B$31+'Inputs'!$B$32)/1000+'Inputs'!$B$21+'Inputs'!$B$7+'Inputs'!$B$10)+'Inputs'!$B$9)^2+('Inputs'!$B$8/2)^2)-(((301-43)*MAX('Inputs'!$B$33,'Inputs'!$B$29+'Inputs'!$B$31+'Inputs'!$B$32,'Inputs'!$B$30+'Inputs'!$B$31+'Inputs'!$B$32)/1000+'Inputs'!$B$21+'Inputs'!$B$7+'Inputs'!$B$10))/SQRT((((301-43)*MAX('Inputs'!$B$33,'Inputs'!$B$29+'Inputs'!$B$31+'Inputs'!$B$32,'Inputs'!$B$30+'Inputs'!$B$31+'Inputs'!$B$32)/1000+'Inputs'!$B$21+'Inputs'!$B$7+'Inputs'!$B$10))^2+('Inputs'!$B$8/2)^2))))*'Results'!$B$8)-'Inputs'!$B$28*ABS((('Results'!B7*(1-'Inputs'!$B$24)*(0.5*((((301-43)*MAX('Inputs'!$B$33,'Inputs'!$B$29+'Inputs'!$B$31+'Inputs'!$B$32,'Inputs'!$B$30+'Inputs'!$B$31+'Inputs'!$B$32)/1000+'Inputs'!$B$21)+'Inputs'!$B$7)/SQRT((((301-43)*MAX('Inputs'!$B$33,'Inputs'!$B$29+'Inputs'!$B$31+'Inputs'!$B$32,'Inputs'!$B$30+'Inputs'!$B$31+'Inputs'!$B$32)/1000+'Inputs'!$B$21)+'Inputs'!$B$7)^2+('Inputs'!$B$6/2)^2)-(((301-43)*MAX('Inputs'!$B$33,'Inputs'!$B$29+'Inputs'!$B$31+'Inputs'!$B$32,'Inputs'!$B$30+'Inputs'!$B$31+'Inputs'!$B$32)/1000+'Inputs'!$B$21))/SQRT((((301-43)*MAX('Inputs'!$B$33,'Inputs'!$B$29+'Inputs'!$B$31+'Inputs'!$B$32,'Inputs'!$B$30+'Inputs'!$B$31+'Inputs'!$B$32)/1000+'Inputs'!$B$21))^2+('Inputs'!$B$6/2)^2)))-'Results'!C7*(1+'Inputs'!$B$24)*(0.5*((((301-43)*MAX('Inputs'!$B$33,'Inputs'!$B$29+'Inputs'!$B$31+'Inputs'!$B$32,'Inputs'!$B$30+'Inputs'!$B$31+'Inputs'!$B$32)/1000+'Inputs'!$B$21+'Inputs'!$B$7+'Inputs'!$B$10)+'Inputs'!$B$9)/SQRT((((301-43)*MAX('Inputs'!$B$33,'Inputs'!$B$29+'Inputs'!$B$31+'Inputs'!$B$32,'Inputs'!$B$30+'Inputs'!$B$31+'Inputs'!$B$32)/1000+'Inputs'!$B$21+'Inputs'!$B$7+'Inputs'!$B$10)+'Inputs'!$B$9)^2+('Inputs'!$B$8/2)^2)-(((301-43)*MAX('Inputs'!$B$33,'Inputs'!$B$29+'Inputs'!$B$31+'Inputs'!$B$32,'Inputs'!$B$30+'Inputs'!$B$31+'Inputs'!$B$32)/1000+'Inputs'!$B$21+'Inputs'!$B$7+'Inputs'!$B$10))/SQRT((((301-43)*MAX('Inputs'!$B$33,'Inputs'!$B$29+'Inputs'!$B$31+'Inputs'!$B$32,'Inputs'!$B$30+'Inputs'!$B$31+'Inputs'!$B$32)/1000+'Inputs'!$B$21+'Inputs'!$B$7+'Inputs'!$B$10))^2+('Inputs'!$B$8/2)^2))))*'Results'!$B$8))),"")</x:f>
        <x:v>32.02243369675594</x:v>
      </x:c>
      <x:c r="L301" t="n">
        <x:f>IF(AND(ISNUMBER('Results'!B7),ISNUMBER('Results'!C7),ISNUMBER('Results'!$B$8),ISNUMBER('Inputs'!$B$6),ISNUMBER('Inputs'!$B$7),ISNUMBER('Inputs'!$B$8),ISNUMBER('Inputs'!$B$9),ISNUMBER('Inputs'!$B$10),ISNUMBER('Inputs'!$B$21),ISNUMBER('Inputs'!$B$24),ISNUMBER('Inputs'!$B$28)),((('Results'!B7*(1+'Inputs'!$B$24)*(0.5*((((301-43)*MAX('Inputs'!$B$33,'Inputs'!$B$29+'Inputs'!$B$31+'Inputs'!$B$32,'Inputs'!$B$30+'Inputs'!$B$31+'Inputs'!$B$32)/1000+'Inputs'!$B$21)+'Inputs'!$B$7)/SQRT((((301-43)*MAX('Inputs'!$B$33,'Inputs'!$B$29+'Inputs'!$B$31+'Inputs'!$B$32,'Inputs'!$B$30+'Inputs'!$B$31+'Inputs'!$B$32)/1000+'Inputs'!$B$21)+'Inputs'!$B$7)^2+('Inputs'!$B$6/2)^2)-(((301-43)*MAX('Inputs'!$B$33,'Inputs'!$B$29+'Inputs'!$B$31+'Inputs'!$B$32,'Inputs'!$B$30+'Inputs'!$B$31+'Inputs'!$B$32)/1000+'Inputs'!$B$21))/SQRT((((301-43)*MAX('Inputs'!$B$33,'Inputs'!$B$29+'Inputs'!$B$31+'Inputs'!$B$32,'Inputs'!$B$30+'Inputs'!$B$31+'Inputs'!$B$32)/1000+'Inputs'!$B$21))^2+('Inputs'!$B$6/2)^2)))-'Results'!C7*(1-'Inputs'!$B$24)*(0.5*((((301-43)*MAX('Inputs'!$B$33,'Inputs'!$B$29+'Inputs'!$B$31+'Inputs'!$B$32,'Inputs'!$B$30+'Inputs'!$B$31+'Inputs'!$B$32)/1000+'Inputs'!$B$21+'Inputs'!$B$7+'Inputs'!$B$10)+'Inputs'!$B$9)/SQRT((((301-43)*MAX('Inputs'!$B$33,'Inputs'!$B$29+'Inputs'!$B$31+'Inputs'!$B$32,'Inputs'!$B$30+'Inputs'!$B$31+'Inputs'!$B$32)/1000+'Inputs'!$B$21+'Inputs'!$B$7+'Inputs'!$B$10)+'Inputs'!$B$9)^2+('Inputs'!$B$8/2)^2)-(((301-43)*MAX('Inputs'!$B$33,'Inputs'!$B$29+'Inputs'!$B$31+'Inputs'!$B$32,'Inputs'!$B$30+'Inputs'!$B$31+'Inputs'!$B$32)/1000+'Inputs'!$B$21+'Inputs'!$B$7+'Inputs'!$B$10))/SQRT((((301-43)*MAX('Inputs'!$B$33,'Inputs'!$B$29+'Inputs'!$B$31+'Inputs'!$B$32,'Inputs'!$B$30+'Inputs'!$B$31+'Inputs'!$B$32)/1000+'Inputs'!$B$21+'Inputs'!$B$7+'Inputs'!$B$10))^2+('Inputs'!$B$8/2)^2))))*'Results'!$B$8)+'Inputs'!$B$28*ABS((('Results'!B7*(1+'Inputs'!$B$24)*(0.5*((((301-43)*MAX('Inputs'!$B$33,'Inputs'!$B$29+'Inputs'!$B$31+'Inputs'!$B$32,'Inputs'!$B$30+'Inputs'!$B$31+'Inputs'!$B$32)/1000+'Inputs'!$B$21)+'Inputs'!$B$7)/SQRT((((301-43)*MAX('Inputs'!$B$33,'Inputs'!$B$29+'Inputs'!$B$31+'Inputs'!$B$32,'Inputs'!$B$30+'Inputs'!$B$31+'Inputs'!$B$32)/1000+'Inputs'!$B$21)+'Inputs'!$B$7)^2+('Inputs'!$B$6/2)^2)-(((301-43)*MAX('Inputs'!$B$33,'Inputs'!$B$29+'Inputs'!$B$31+'Inputs'!$B$32,'Inputs'!$B$30+'Inputs'!$B$31+'Inputs'!$B$32)/1000+'Inputs'!$B$21))/SQRT((((301-43)*MAX('Inputs'!$B$33,'Inputs'!$B$29+'Inputs'!$B$31+'Inputs'!$B$32,'Inputs'!$B$30+'Inputs'!$B$31+'Inputs'!$B$32)/1000+'Inputs'!$B$21))^2+('Inputs'!$B$6/2)^2)))-'Results'!C7*(1-'Inputs'!$B$24)*(0.5*((((301-43)*MAX('Inputs'!$B$33,'Inputs'!$B$29+'Inputs'!$B$31+'Inputs'!$B$32,'Inputs'!$B$30+'Inputs'!$B$31+'Inputs'!$B$32)/1000+'Inputs'!$B$21+'Inputs'!$B$7+'Inputs'!$B$10)+'Inputs'!$B$9)/SQRT((((301-43)*MAX('Inputs'!$B$33,'Inputs'!$B$29+'Inputs'!$B$31+'Inputs'!$B$32,'Inputs'!$B$30+'Inputs'!$B$31+'Inputs'!$B$32)/1000+'Inputs'!$B$21+'Inputs'!$B$7+'Inputs'!$B$10)+'Inputs'!$B$9)^2+('Inputs'!$B$8/2)^2)-(((301-43)*MAX('Inputs'!$B$33,'Inputs'!$B$29+'Inputs'!$B$31+'Inputs'!$B$32,'Inputs'!$B$30+'Inputs'!$B$31+'Inputs'!$B$32)/1000+'Inputs'!$B$21+'Inputs'!$B$7+'Inputs'!$B$10))/SQRT((((301-43)*MAX('Inputs'!$B$33,'Inputs'!$B$29+'Inputs'!$B$31+'Inputs'!$B$32,'Inputs'!$B$30+'Inputs'!$B$31+'Inputs'!$B$32)/1000+'Inputs'!$B$21+'Inputs'!$B$7+'Inputs'!$B$10))^2+('Inputs'!$B$8/2)^2))))*'Results'!$B$8))),"")</x:f>
        <x:v>38.58632396839525</x:v>
      </x:c>
      <x:c r="M301" t="n">
        <x:f>IF(AND(ISNUMBER('Results'!C7),ISNUMBER('Results'!B7),ISNUMBER('Results'!$B$8),ISNUMBER('Inputs'!$B$6),ISNUMBER('Inputs'!$B$7),ISNUMBER('Inputs'!$B$8),ISNUMBER('Inputs'!$B$9),ISNUMBER('Inputs'!$B$10),ISNUMBER('Inputs'!$B$21),ISNUMBER('Inputs'!$B$24),ISNUMBER('Inputs'!$B$28)),(('Results'!C7*(0.5*((((301-43)*MAX('Inputs'!$B$33,'Inputs'!$B$29+'Inputs'!$B$31+'Inputs'!$B$32,'Inputs'!$B$30+'Inputs'!$B$31+'Inputs'!$B$32)/1000+'Inputs'!$B$21)+'Inputs'!$B$9)/SQRT((((301-43)*MAX('Inputs'!$B$33,'Inputs'!$B$29+'Inputs'!$B$31+'Inputs'!$B$32,'Inputs'!$B$30+'Inputs'!$B$31+'Inputs'!$B$32)/1000+'Inputs'!$B$21)+'Inputs'!$B$9)^2+('Inputs'!$B$8/2)^2)-(((301-43)*MAX('Inputs'!$B$33,'Inputs'!$B$29+'Inputs'!$B$31+'Inputs'!$B$32,'Inputs'!$B$30+'Inputs'!$B$31+'Inputs'!$B$32)/1000+'Inputs'!$B$21))/SQRT((((301-43)*MAX('Inputs'!$B$33,'Inputs'!$B$29+'Inputs'!$B$31+'Inputs'!$B$32,'Inputs'!$B$30+'Inputs'!$B$31+'Inputs'!$B$32)/1000+'Inputs'!$B$21))^2+('Inputs'!$B$8/2)^2)))-'Results'!B7*(0.5*((((301-43)*MAX('Inputs'!$B$33,'Inputs'!$B$29+'Inputs'!$B$31+'Inputs'!$B$32,'Inputs'!$B$30+'Inputs'!$B$31+'Inputs'!$B$32)/1000+'Inputs'!$B$21+'Inputs'!$B$9+'Inputs'!$B$10)+'Inputs'!$B$7)/SQRT((((301-43)*MAX('Inputs'!$B$33,'Inputs'!$B$29+'Inputs'!$B$31+'Inputs'!$B$32,'Inputs'!$B$30+'Inputs'!$B$31+'Inputs'!$B$32)/1000+'Inputs'!$B$21+'Inputs'!$B$9+'Inputs'!$B$10)+'Inputs'!$B$7)^2+('Inputs'!$B$6/2)^2)-(((301-43)*MAX('Inputs'!$B$33,'Inputs'!$B$29+'Inputs'!$B$31+'Inputs'!$B$32,'Inputs'!$B$30+'Inputs'!$B$31+'Inputs'!$B$32)/1000+'Inputs'!$B$21+'Inputs'!$B$9+'Inputs'!$B$10))/SQRT((((301-43)*MAX('Inputs'!$B$33,'Inputs'!$B$29+'Inputs'!$B$31+'Inputs'!$B$32,'Inputs'!$B$30+'Inputs'!$B$31+'Inputs'!$B$32)/1000+'Inputs'!$B$21+'Inputs'!$B$9+'Inputs'!$B$10))^2+('Inputs'!$B$6/2)^2))))*'Results'!$B$8),"")</x:f>
        <x:v>33.69949881677163</x:v>
      </x:c>
      <x:c r="N301" t="n">
        <x:f>IF(AND(ISNUMBER('Results'!C7),ISNUMBER('Results'!B7),ISNUMBER('Results'!$B$8),ISNUMBER('Inputs'!$B$6),ISNUMBER('Inputs'!$B$7),ISNUMBER('Inputs'!$B$8),ISNUMBER('Inputs'!$B$9),ISNUMBER('Inputs'!$B$10),ISNUMBER('Inputs'!$B$21),ISNUMBER('Inputs'!$B$24),ISNUMBER('Inputs'!$B$28)),((('Results'!C7*(1-'Inputs'!$B$24)*(0.5*((((301-43)*MAX('Inputs'!$B$33,'Inputs'!$B$29+'Inputs'!$B$31+'Inputs'!$B$32,'Inputs'!$B$30+'Inputs'!$B$31+'Inputs'!$B$32)/1000+'Inputs'!$B$21)+'Inputs'!$B$9)/SQRT((((301-43)*MAX('Inputs'!$B$33,'Inputs'!$B$29+'Inputs'!$B$31+'Inputs'!$B$32,'Inputs'!$B$30+'Inputs'!$B$31+'Inputs'!$B$32)/1000+'Inputs'!$B$21)+'Inputs'!$B$9)^2+('Inputs'!$B$8/2)^2)-(((301-43)*MAX('Inputs'!$B$33,'Inputs'!$B$29+'Inputs'!$B$31+'Inputs'!$B$32,'Inputs'!$B$30+'Inputs'!$B$31+'Inputs'!$B$32)/1000+'Inputs'!$B$21))/SQRT((((301-43)*MAX('Inputs'!$B$33,'Inputs'!$B$29+'Inputs'!$B$31+'Inputs'!$B$32,'Inputs'!$B$30+'Inputs'!$B$31+'Inputs'!$B$32)/1000+'Inputs'!$B$21))^2+('Inputs'!$B$8/2)^2)))-'Results'!B7*(1+'Inputs'!$B$24)*(0.5*((((301-43)*MAX('Inputs'!$B$33,'Inputs'!$B$29+'Inputs'!$B$31+'Inputs'!$B$32,'Inputs'!$B$30+'Inputs'!$B$31+'Inputs'!$B$32)/1000+'Inputs'!$B$21+'Inputs'!$B$9+'Inputs'!$B$10)+'Inputs'!$B$7)/SQRT((((301-43)*MAX('Inputs'!$B$33,'Inputs'!$B$29+'Inputs'!$B$31+'Inputs'!$B$32,'Inputs'!$B$30+'Inputs'!$B$31+'Inputs'!$B$32)/1000+'Inputs'!$B$21+'Inputs'!$B$9+'Inputs'!$B$10)+'Inputs'!$B$7)^2+('Inputs'!$B$6/2)^2)-(((301-43)*MAX('Inputs'!$B$33,'Inputs'!$B$29+'Inputs'!$B$31+'Inputs'!$B$32,'Inputs'!$B$30+'Inputs'!$B$31+'Inputs'!$B$32)/1000+'Inputs'!$B$21+'Inputs'!$B$9+'Inputs'!$B$10))/SQRT((((301-43)*MAX('Inputs'!$B$33,'Inputs'!$B$29+'Inputs'!$B$31+'Inputs'!$B$32,'Inputs'!$B$30+'Inputs'!$B$31+'Inputs'!$B$32)/1000+'Inputs'!$B$21+'Inputs'!$B$9+'Inputs'!$B$10))^2+('Inputs'!$B$6/2)^2))))*'Results'!$B$8)-'Inputs'!$B$28*ABS((('Results'!C7*(1-'Inputs'!$B$24)*(0.5*((((301-43)*MAX('Inputs'!$B$33,'Inputs'!$B$29+'Inputs'!$B$31+'Inputs'!$B$32,'Inputs'!$B$30+'Inputs'!$B$31+'Inputs'!$B$32)/1000+'Inputs'!$B$21)+'Inputs'!$B$9)/SQRT((((301-43)*MAX('Inputs'!$B$33,'Inputs'!$B$29+'Inputs'!$B$31+'Inputs'!$B$32,'Inputs'!$B$30+'Inputs'!$B$31+'Inputs'!$B$32)/1000+'Inputs'!$B$21)+'Inputs'!$B$9)^2+('Inputs'!$B$8/2)^2)-(((301-43)*MAX('Inputs'!$B$33,'Inputs'!$B$29+'Inputs'!$B$31+'Inputs'!$B$32,'Inputs'!$B$30+'Inputs'!$B$31+'Inputs'!$B$32)/1000+'Inputs'!$B$21))/SQRT((((301-43)*MAX('Inputs'!$B$33,'Inputs'!$B$29+'Inputs'!$B$31+'Inputs'!$B$32,'Inputs'!$B$30+'Inputs'!$B$31+'Inputs'!$B$32)/1000+'Inputs'!$B$21))^2+('Inputs'!$B$8/2)^2)))-'Results'!B7*(1+'Inputs'!$B$24)*(0.5*((((301-43)*MAX('Inputs'!$B$33,'Inputs'!$B$29+'Inputs'!$B$31+'Inputs'!$B$32,'Inputs'!$B$30+'Inputs'!$B$31+'Inputs'!$B$32)/1000+'Inputs'!$B$21+'Inputs'!$B$9+'Inputs'!$B$10)+'Inputs'!$B$7)/SQRT((((301-43)*MAX('Inputs'!$B$33,'Inputs'!$B$29+'Inputs'!$B$31+'Inputs'!$B$32,'Inputs'!$B$30+'Inputs'!$B$31+'Inputs'!$B$32)/1000+'Inputs'!$B$21+'Inputs'!$B$9+'Inputs'!$B$10)+'Inputs'!$B$7)^2+('Inputs'!$B$6/2)^2)-(((301-43)*MAX('Inputs'!$B$33,'Inputs'!$B$29+'Inputs'!$B$31+'Inputs'!$B$32,'Inputs'!$B$30+'Inputs'!$B$31+'Inputs'!$B$32)/1000+'Inputs'!$B$21+'Inputs'!$B$9+'Inputs'!$B$10))/SQRT((((301-43)*MAX('Inputs'!$B$33,'Inputs'!$B$29+'Inputs'!$B$31+'Inputs'!$B$32,'Inputs'!$B$30+'Inputs'!$B$31+'Inputs'!$B$32)/1000+'Inputs'!$B$21+'Inputs'!$B$9+'Inputs'!$B$10))^2+('Inputs'!$B$6/2)^2))))*'Results'!$B$8))),"")</x:f>
        <x:v>30.58325131612559</x:v>
      </x:c>
      <x:c r="O301" t="n">
        <x:f>IF(AND(ISNUMBER('Results'!C7),ISNUMBER('Results'!B7),ISNUMBER('Results'!$B$8),ISNUMBER('Inputs'!$B$6),ISNUMBER('Inputs'!$B$7),ISNUMBER('Inputs'!$B$8),ISNUMBER('Inputs'!$B$9),ISNUMBER('Inputs'!$B$10),ISNUMBER('Inputs'!$B$21),ISNUMBER('Inputs'!$B$24),ISNUMBER('Inputs'!$B$28)),((('Results'!C7*(1+'Inputs'!$B$24)*(0.5*((((301-43)*MAX('Inputs'!$B$33,'Inputs'!$B$29+'Inputs'!$B$31+'Inputs'!$B$32,'Inputs'!$B$30+'Inputs'!$B$31+'Inputs'!$B$32)/1000+'Inputs'!$B$21)+'Inputs'!$B$9)/SQRT((((301-43)*MAX('Inputs'!$B$33,'Inputs'!$B$29+'Inputs'!$B$31+'Inputs'!$B$32,'Inputs'!$B$30+'Inputs'!$B$31+'Inputs'!$B$32)/1000+'Inputs'!$B$21)+'Inputs'!$B$9)^2+('Inputs'!$B$8/2)^2)-(((301-43)*MAX('Inputs'!$B$33,'Inputs'!$B$29+'Inputs'!$B$31+'Inputs'!$B$32,'Inputs'!$B$30+'Inputs'!$B$31+'Inputs'!$B$32)/1000+'Inputs'!$B$21))/SQRT((((301-43)*MAX('Inputs'!$B$33,'Inputs'!$B$29+'Inputs'!$B$31+'Inputs'!$B$32,'Inputs'!$B$30+'Inputs'!$B$31+'Inputs'!$B$32)/1000+'Inputs'!$B$21))^2+('Inputs'!$B$8/2)^2)))-'Results'!B7*(1-'Inputs'!$B$24)*(0.5*((((301-43)*MAX('Inputs'!$B$33,'Inputs'!$B$29+'Inputs'!$B$31+'Inputs'!$B$32,'Inputs'!$B$30+'Inputs'!$B$31+'Inputs'!$B$32)/1000+'Inputs'!$B$21+'Inputs'!$B$9+'Inputs'!$B$10)+'Inputs'!$B$7)/SQRT((((301-43)*MAX('Inputs'!$B$33,'Inputs'!$B$29+'Inputs'!$B$31+'Inputs'!$B$32,'Inputs'!$B$30+'Inputs'!$B$31+'Inputs'!$B$32)/1000+'Inputs'!$B$21+'Inputs'!$B$9+'Inputs'!$B$10)+'Inputs'!$B$7)^2+('Inputs'!$B$6/2)^2)-(((301-43)*MAX('Inputs'!$B$33,'Inputs'!$B$29+'Inputs'!$B$31+'Inputs'!$B$32,'Inputs'!$B$30+'Inputs'!$B$31+'Inputs'!$B$32)/1000+'Inputs'!$B$21+'Inputs'!$B$9+'Inputs'!$B$10))/SQRT((((301-43)*MAX('Inputs'!$B$33,'Inputs'!$B$29+'Inputs'!$B$31+'Inputs'!$B$32,'Inputs'!$B$30+'Inputs'!$B$31+'Inputs'!$B$32)/1000+'Inputs'!$B$21+'Inputs'!$B$9+'Inputs'!$B$10))^2+('Inputs'!$B$6/2)^2))))*'Results'!$B$8)+'Inputs'!$B$28*ABS((('Results'!C7*(1+'Inputs'!$B$24)*(0.5*((((301-43)*MAX('Inputs'!$B$33,'Inputs'!$B$29+'Inputs'!$B$31+'Inputs'!$B$32,'Inputs'!$B$30+'Inputs'!$B$31+'Inputs'!$B$32)/1000+'Inputs'!$B$21)+'Inputs'!$B$9)/SQRT((((301-43)*MAX('Inputs'!$B$33,'Inputs'!$B$29+'Inputs'!$B$31+'Inputs'!$B$32,'Inputs'!$B$30+'Inputs'!$B$31+'Inputs'!$B$32)/1000+'Inputs'!$B$21)+'Inputs'!$B$9)^2+('Inputs'!$B$8/2)^2)-(((301-43)*MAX('Inputs'!$B$33,'Inputs'!$B$29+'Inputs'!$B$31+'Inputs'!$B$32,'Inputs'!$B$30+'Inputs'!$B$31+'Inputs'!$B$32)/1000+'Inputs'!$B$21))/SQRT((((301-43)*MAX('Inputs'!$B$33,'Inputs'!$B$29+'Inputs'!$B$31+'Inputs'!$B$32,'Inputs'!$B$30+'Inputs'!$B$31+'Inputs'!$B$32)/1000+'Inputs'!$B$21))^2+('Inputs'!$B$8/2)^2)))-'Results'!B7*(1-'Inputs'!$B$24)*(0.5*((((301-43)*MAX('Inputs'!$B$33,'Inputs'!$B$29+'Inputs'!$B$31+'Inputs'!$B$32,'Inputs'!$B$30+'Inputs'!$B$31+'Inputs'!$B$32)/1000+'Inputs'!$B$21+'Inputs'!$B$9+'Inputs'!$B$10)+'Inputs'!$B$7)/SQRT((((301-43)*MAX('Inputs'!$B$33,'Inputs'!$B$29+'Inputs'!$B$31+'Inputs'!$B$32,'Inputs'!$B$30+'Inputs'!$B$31+'Inputs'!$B$32)/1000+'Inputs'!$B$21+'Inputs'!$B$9+'Inputs'!$B$10)+'Inputs'!$B$7)^2+('Inputs'!$B$6/2)^2)-(((301-43)*MAX('Inputs'!$B$33,'Inputs'!$B$29+'Inputs'!$B$31+'Inputs'!$B$32,'Inputs'!$B$30+'Inputs'!$B$31+'Inputs'!$B$32)/1000+'Inputs'!$B$21+'Inputs'!$B$9+'Inputs'!$B$10))/SQRT((((301-43)*MAX('Inputs'!$B$33,'Inputs'!$B$29+'Inputs'!$B$31+'Inputs'!$B$32,'Inputs'!$B$30+'Inputs'!$B$31+'Inputs'!$B$32)/1000+'Inputs'!$B$21+'Inputs'!$B$9+'Inputs'!$B$10))^2+('Inputs'!$B$6/2)^2))))*'Results'!$B$8))),"")</x:f>
        <x:v>36.96640658687111</x:v>
      </x:c>
      <x:c r="P301" t="n">
        <x:f>IF(AND(MAX(J301,J300)&gt;0,J301&gt;J300+0.00000001),1,0)</x:f>
        <x:v>0</x:v>
      </x:c>
      <x:c r="Q301" t="n">
        <x:f>IF(AND(MAX(K301,K300)&gt;0,K301&gt;K300+0.00000001),1,0)</x:f>
        <x:v>0</x:v>
      </x:c>
      <x:c r="R301" t="n">
        <x:f>IF(AND(MAX(L301,L300)&gt;0,L301&gt;L300+0.00000001),1,0)</x:f>
        <x:v>0</x:v>
      </x:c>
      <x:c r="S301" t="n">
        <x:f>IF(AND(MAX(M301,M300)&gt;0,M301&gt;M300+0.00000001),1,0)</x:f>
        <x:v>0</x:v>
      </x:c>
      <x:c r="T301" t="n">
        <x:f>IF(AND(MAX(N301,N300)&gt;0,N301&gt;N300+0.00000001),1,0)</x:f>
        <x:v>0</x:v>
      </x:c>
      <x:c r="U301" t="n">
        <x:f>IF(AND(MAX(O301,O300)&gt;0,O301&gt;O300+0.00000001),1,0)</x:f>
        <x:v>0</x:v>
      </x:c>
    </x:row>
    <x:row r="302">
      <x:c r="J302" t="n">
        <x:f>IF(AND(ISNUMBER('Results'!B7),ISNUMBER('Results'!C7),ISNUMBER('Results'!$B$8),ISNUMBER('Inputs'!$B$6),ISNUMBER('Inputs'!$B$7),ISNUMBER('Inputs'!$B$8),ISNUMBER('Inputs'!$B$9),ISNUMBER('Inputs'!$B$10),ISNUMBER('Inputs'!$B$21),ISNUMBER('Inputs'!$B$24),ISNUMBER('Inputs'!$B$28)),(('Results'!B7*(0.5*((((302-43)*MAX('Inputs'!$B$33,'Inputs'!$B$29+'Inputs'!$B$31+'Inputs'!$B$32,'Inputs'!$B$30+'Inputs'!$B$31+'Inputs'!$B$32)/1000+'Inputs'!$B$21)+'Inputs'!$B$7)/SQRT((((302-43)*MAX('Inputs'!$B$33,'Inputs'!$B$29+'Inputs'!$B$31+'Inputs'!$B$32,'Inputs'!$B$30+'Inputs'!$B$31+'Inputs'!$B$32)/1000+'Inputs'!$B$21)+'Inputs'!$B$7)^2+('Inputs'!$B$6/2)^2)-(((302-43)*MAX('Inputs'!$B$33,'Inputs'!$B$29+'Inputs'!$B$31+'Inputs'!$B$32,'Inputs'!$B$30+'Inputs'!$B$31+'Inputs'!$B$32)/1000+'Inputs'!$B$21))/SQRT((((302-43)*MAX('Inputs'!$B$33,'Inputs'!$B$29+'Inputs'!$B$31+'Inputs'!$B$32,'Inputs'!$B$30+'Inputs'!$B$31+'Inputs'!$B$32)/1000+'Inputs'!$B$21))^2+('Inputs'!$B$6/2)^2)))-'Results'!C7*(0.5*((((302-43)*MAX('Inputs'!$B$33,'Inputs'!$B$29+'Inputs'!$B$31+'Inputs'!$B$32,'Inputs'!$B$30+'Inputs'!$B$31+'Inputs'!$B$32)/1000+'Inputs'!$B$21+'Inputs'!$B$7+'Inputs'!$B$10)+'Inputs'!$B$9)/SQRT((((302-43)*MAX('Inputs'!$B$33,'Inputs'!$B$29+'Inputs'!$B$31+'Inputs'!$B$32,'Inputs'!$B$30+'Inputs'!$B$31+'Inputs'!$B$32)/1000+'Inputs'!$B$21+'Inputs'!$B$7+'Inputs'!$B$10)+'Inputs'!$B$9)^2+('Inputs'!$B$8/2)^2)-(((302-43)*MAX('Inputs'!$B$33,'Inputs'!$B$29+'Inputs'!$B$31+'Inputs'!$B$32,'Inputs'!$B$30+'Inputs'!$B$31+'Inputs'!$B$32)/1000+'Inputs'!$B$21+'Inputs'!$B$7+'Inputs'!$B$10))/SQRT((((302-43)*MAX('Inputs'!$B$33,'Inputs'!$B$29+'Inputs'!$B$31+'Inputs'!$B$32,'Inputs'!$B$30+'Inputs'!$B$31+'Inputs'!$B$32)/1000+'Inputs'!$B$21+'Inputs'!$B$7+'Inputs'!$B$10))^2+('Inputs'!$B$8/2)^2))))*'Results'!$B$8),"")</x:f>
        <x:v>34.823336132701215</x:v>
      </x:c>
      <x:c r="K302" t="n">
        <x:f>IF(AND(ISNUMBER('Results'!B7),ISNUMBER('Results'!C7),ISNUMBER('Results'!$B$8),ISNUMBER('Inputs'!$B$6),ISNUMBER('Inputs'!$B$7),ISNUMBER('Inputs'!$B$8),ISNUMBER('Inputs'!$B$9),ISNUMBER('Inputs'!$B$10),ISNUMBER('Inputs'!$B$21),ISNUMBER('Inputs'!$B$24),ISNUMBER('Inputs'!$B$28)),((('Results'!B7*(1-'Inputs'!$B$24)*(0.5*((((302-43)*MAX('Inputs'!$B$33,'Inputs'!$B$29+'Inputs'!$B$31+'Inputs'!$B$32,'Inputs'!$B$30+'Inputs'!$B$31+'Inputs'!$B$32)/1000+'Inputs'!$B$21)+'Inputs'!$B$7)/SQRT((((302-43)*MAX('Inputs'!$B$33,'Inputs'!$B$29+'Inputs'!$B$31+'Inputs'!$B$32,'Inputs'!$B$30+'Inputs'!$B$31+'Inputs'!$B$32)/1000+'Inputs'!$B$21)+'Inputs'!$B$7)^2+('Inputs'!$B$6/2)^2)-(((302-43)*MAX('Inputs'!$B$33,'Inputs'!$B$29+'Inputs'!$B$31+'Inputs'!$B$32,'Inputs'!$B$30+'Inputs'!$B$31+'Inputs'!$B$32)/1000+'Inputs'!$B$21))/SQRT((((302-43)*MAX('Inputs'!$B$33,'Inputs'!$B$29+'Inputs'!$B$31+'Inputs'!$B$32,'Inputs'!$B$30+'Inputs'!$B$31+'Inputs'!$B$32)/1000+'Inputs'!$B$21))^2+('Inputs'!$B$6/2)^2)))-'Results'!C7*(1+'Inputs'!$B$24)*(0.5*((((302-43)*MAX('Inputs'!$B$33,'Inputs'!$B$29+'Inputs'!$B$31+'Inputs'!$B$32,'Inputs'!$B$30+'Inputs'!$B$31+'Inputs'!$B$32)/1000+'Inputs'!$B$21+'Inputs'!$B$7+'Inputs'!$B$10)+'Inputs'!$B$9)/SQRT((((302-43)*MAX('Inputs'!$B$33,'Inputs'!$B$29+'Inputs'!$B$31+'Inputs'!$B$32,'Inputs'!$B$30+'Inputs'!$B$31+'Inputs'!$B$32)/1000+'Inputs'!$B$21+'Inputs'!$B$7+'Inputs'!$B$10)+'Inputs'!$B$9)^2+('Inputs'!$B$8/2)^2)-(((302-43)*MAX('Inputs'!$B$33,'Inputs'!$B$29+'Inputs'!$B$31+'Inputs'!$B$32,'Inputs'!$B$30+'Inputs'!$B$31+'Inputs'!$B$32)/1000+'Inputs'!$B$21+'Inputs'!$B$7+'Inputs'!$B$10))/SQRT((((302-43)*MAX('Inputs'!$B$33,'Inputs'!$B$29+'Inputs'!$B$31+'Inputs'!$B$32,'Inputs'!$B$30+'Inputs'!$B$31+'Inputs'!$B$32)/1000+'Inputs'!$B$21+'Inputs'!$B$7+'Inputs'!$B$10))^2+('Inputs'!$B$8/2)^2))))*'Results'!$B$8)-'Inputs'!$B$28*ABS((('Results'!B7*(1-'Inputs'!$B$24)*(0.5*((((302-43)*MAX('Inputs'!$B$33,'Inputs'!$B$29+'Inputs'!$B$31+'Inputs'!$B$32,'Inputs'!$B$30+'Inputs'!$B$31+'Inputs'!$B$32)/1000+'Inputs'!$B$21)+'Inputs'!$B$7)/SQRT((((302-43)*MAX('Inputs'!$B$33,'Inputs'!$B$29+'Inputs'!$B$31+'Inputs'!$B$32,'Inputs'!$B$30+'Inputs'!$B$31+'Inputs'!$B$32)/1000+'Inputs'!$B$21)+'Inputs'!$B$7)^2+('Inputs'!$B$6/2)^2)-(((302-43)*MAX('Inputs'!$B$33,'Inputs'!$B$29+'Inputs'!$B$31+'Inputs'!$B$32,'Inputs'!$B$30+'Inputs'!$B$31+'Inputs'!$B$32)/1000+'Inputs'!$B$21))/SQRT((((302-43)*MAX('Inputs'!$B$33,'Inputs'!$B$29+'Inputs'!$B$31+'Inputs'!$B$32,'Inputs'!$B$30+'Inputs'!$B$31+'Inputs'!$B$32)/1000+'Inputs'!$B$21))^2+('Inputs'!$B$6/2)^2)))-'Results'!C7*(1+'Inputs'!$B$24)*(0.5*((((302-43)*MAX('Inputs'!$B$33,'Inputs'!$B$29+'Inputs'!$B$31+'Inputs'!$B$32,'Inputs'!$B$30+'Inputs'!$B$31+'Inputs'!$B$32)/1000+'Inputs'!$B$21+'Inputs'!$B$7+'Inputs'!$B$10)+'Inputs'!$B$9)/SQRT((((302-43)*MAX('Inputs'!$B$33,'Inputs'!$B$29+'Inputs'!$B$31+'Inputs'!$B$32,'Inputs'!$B$30+'Inputs'!$B$31+'Inputs'!$B$32)/1000+'Inputs'!$B$21+'Inputs'!$B$7+'Inputs'!$B$10)+'Inputs'!$B$9)^2+('Inputs'!$B$8/2)^2)-(((302-43)*MAX('Inputs'!$B$33,'Inputs'!$B$29+'Inputs'!$B$31+'Inputs'!$B$32,'Inputs'!$B$30+'Inputs'!$B$31+'Inputs'!$B$32)/1000+'Inputs'!$B$21+'Inputs'!$B$7+'Inputs'!$B$10))/SQRT((((302-43)*MAX('Inputs'!$B$33,'Inputs'!$B$29+'Inputs'!$B$31+'Inputs'!$B$32,'Inputs'!$B$30+'Inputs'!$B$31+'Inputs'!$B$32)/1000+'Inputs'!$B$21+'Inputs'!$B$7+'Inputs'!$B$10))^2+('Inputs'!$B$8/2)^2))))*'Results'!$B$8))),"")</x:f>
        <x:v>31.651044294152467</x:v>
      </x:c>
      <x:c r="L302" t="n">
        <x:f>IF(AND(ISNUMBER('Results'!B7),ISNUMBER('Results'!C7),ISNUMBER('Results'!$B$8),ISNUMBER('Inputs'!$B$6),ISNUMBER('Inputs'!$B$7),ISNUMBER('Inputs'!$B$8),ISNUMBER('Inputs'!$B$9),ISNUMBER('Inputs'!$B$10),ISNUMBER('Inputs'!$B$21),ISNUMBER('Inputs'!$B$24),ISNUMBER('Inputs'!$B$28)),((('Results'!B7*(1+'Inputs'!$B$24)*(0.5*((((302-43)*MAX('Inputs'!$B$33,'Inputs'!$B$29+'Inputs'!$B$31+'Inputs'!$B$32,'Inputs'!$B$30+'Inputs'!$B$31+'Inputs'!$B$32)/1000+'Inputs'!$B$21)+'Inputs'!$B$7)/SQRT((((302-43)*MAX('Inputs'!$B$33,'Inputs'!$B$29+'Inputs'!$B$31+'Inputs'!$B$32,'Inputs'!$B$30+'Inputs'!$B$31+'Inputs'!$B$32)/1000+'Inputs'!$B$21)+'Inputs'!$B$7)^2+('Inputs'!$B$6/2)^2)-(((302-43)*MAX('Inputs'!$B$33,'Inputs'!$B$29+'Inputs'!$B$31+'Inputs'!$B$32,'Inputs'!$B$30+'Inputs'!$B$31+'Inputs'!$B$32)/1000+'Inputs'!$B$21))/SQRT((((302-43)*MAX('Inputs'!$B$33,'Inputs'!$B$29+'Inputs'!$B$31+'Inputs'!$B$32,'Inputs'!$B$30+'Inputs'!$B$31+'Inputs'!$B$32)/1000+'Inputs'!$B$21))^2+('Inputs'!$B$6/2)^2)))-'Results'!C7*(1-'Inputs'!$B$24)*(0.5*((((302-43)*MAX('Inputs'!$B$33,'Inputs'!$B$29+'Inputs'!$B$31+'Inputs'!$B$32,'Inputs'!$B$30+'Inputs'!$B$31+'Inputs'!$B$32)/1000+'Inputs'!$B$21+'Inputs'!$B$7+'Inputs'!$B$10)+'Inputs'!$B$9)/SQRT((((302-43)*MAX('Inputs'!$B$33,'Inputs'!$B$29+'Inputs'!$B$31+'Inputs'!$B$32,'Inputs'!$B$30+'Inputs'!$B$31+'Inputs'!$B$32)/1000+'Inputs'!$B$21+'Inputs'!$B$7+'Inputs'!$B$10)+'Inputs'!$B$9)^2+('Inputs'!$B$8/2)^2)-(((302-43)*MAX('Inputs'!$B$33,'Inputs'!$B$29+'Inputs'!$B$31+'Inputs'!$B$32,'Inputs'!$B$30+'Inputs'!$B$31+'Inputs'!$B$32)/1000+'Inputs'!$B$21+'Inputs'!$B$7+'Inputs'!$B$10))/SQRT((((302-43)*MAX('Inputs'!$B$33,'Inputs'!$B$29+'Inputs'!$B$31+'Inputs'!$B$32,'Inputs'!$B$30+'Inputs'!$B$31+'Inputs'!$B$32)/1000+'Inputs'!$B$21+'Inputs'!$B$7+'Inputs'!$B$10))^2+('Inputs'!$B$8/2)^2))))*'Results'!$B$8)+'Inputs'!$B$28*ABS((('Results'!B7*(1+'Inputs'!$B$24)*(0.5*((((302-43)*MAX('Inputs'!$B$33,'Inputs'!$B$29+'Inputs'!$B$31+'Inputs'!$B$32,'Inputs'!$B$30+'Inputs'!$B$31+'Inputs'!$B$32)/1000+'Inputs'!$B$21)+'Inputs'!$B$7)/SQRT((((302-43)*MAX('Inputs'!$B$33,'Inputs'!$B$29+'Inputs'!$B$31+'Inputs'!$B$32,'Inputs'!$B$30+'Inputs'!$B$31+'Inputs'!$B$32)/1000+'Inputs'!$B$21)+'Inputs'!$B$7)^2+('Inputs'!$B$6/2)^2)-(((302-43)*MAX('Inputs'!$B$33,'Inputs'!$B$29+'Inputs'!$B$31+'Inputs'!$B$32,'Inputs'!$B$30+'Inputs'!$B$31+'Inputs'!$B$32)/1000+'Inputs'!$B$21))/SQRT((((302-43)*MAX('Inputs'!$B$33,'Inputs'!$B$29+'Inputs'!$B$31+'Inputs'!$B$32,'Inputs'!$B$30+'Inputs'!$B$31+'Inputs'!$B$32)/1000+'Inputs'!$B$21))^2+('Inputs'!$B$6/2)^2)))-'Results'!C7*(1-'Inputs'!$B$24)*(0.5*((((302-43)*MAX('Inputs'!$B$33,'Inputs'!$B$29+'Inputs'!$B$31+'Inputs'!$B$32,'Inputs'!$B$30+'Inputs'!$B$31+'Inputs'!$B$32)/1000+'Inputs'!$B$21+'Inputs'!$B$7+'Inputs'!$B$10)+'Inputs'!$B$9)/SQRT((((302-43)*MAX('Inputs'!$B$33,'Inputs'!$B$29+'Inputs'!$B$31+'Inputs'!$B$32,'Inputs'!$B$30+'Inputs'!$B$31+'Inputs'!$B$32)/1000+'Inputs'!$B$21+'Inputs'!$B$7+'Inputs'!$B$10)+'Inputs'!$B$9)^2+('Inputs'!$B$8/2)^2)-(((302-43)*MAX('Inputs'!$B$33,'Inputs'!$B$29+'Inputs'!$B$31+'Inputs'!$B$32,'Inputs'!$B$30+'Inputs'!$B$31+'Inputs'!$B$32)/1000+'Inputs'!$B$21+'Inputs'!$B$7+'Inputs'!$B$10))/SQRT((((302-43)*MAX('Inputs'!$B$33,'Inputs'!$B$29+'Inputs'!$B$31+'Inputs'!$B$32,'Inputs'!$B$30+'Inputs'!$B$31+'Inputs'!$B$32)/1000+'Inputs'!$B$21+'Inputs'!$B$7+'Inputs'!$B$10))^2+('Inputs'!$B$8/2)^2))))*'Results'!$B$8))),"")</x:f>
        <x:v>38.1462727114514</x:v>
      </x:c>
      <x:c r="M302" t="n">
        <x:f>IF(AND(ISNUMBER('Results'!C7),ISNUMBER('Results'!B7),ISNUMBER('Results'!$B$8),ISNUMBER('Inputs'!$B$6),ISNUMBER('Inputs'!$B$7),ISNUMBER('Inputs'!$B$8),ISNUMBER('Inputs'!$B$9),ISNUMBER('Inputs'!$B$10),ISNUMBER('Inputs'!$B$21),ISNUMBER('Inputs'!$B$24),ISNUMBER('Inputs'!$B$28)),(('Results'!C7*(0.5*((((302-43)*MAX('Inputs'!$B$33,'Inputs'!$B$29+'Inputs'!$B$31+'Inputs'!$B$32,'Inputs'!$B$30+'Inputs'!$B$31+'Inputs'!$B$32)/1000+'Inputs'!$B$21)+'Inputs'!$B$9)/SQRT((((302-43)*MAX('Inputs'!$B$33,'Inputs'!$B$29+'Inputs'!$B$31+'Inputs'!$B$32,'Inputs'!$B$30+'Inputs'!$B$31+'Inputs'!$B$32)/1000+'Inputs'!$B$21)+'Inputs'!$B$9)^2+('Inputs'!$B$8/2)^2)-(((302-43)*MAX('Inputs'!$B$33,'Inputs'!$B$29+'Inputs'!$B$31+'Inputs'!$B$32,'Inputs'!$B$30+'Inputs'!$B$31+'Inputs'!$B$32)/1000+'Inputs'!$B$21))/SQRT((((302-43)*MAX('Inputs'!$B$33,'Inputs'!$B$29+'Inputs'!$B$31+'Inputs'!$B$32,'Inputs'!$B$30+'Inputs'!$B$31+'Inputs'!$B$32)/1000+'Inputs'!$B$21))^2+('Inputs'!$B$8/2)^2)))-'Results'!B7*(0.5*((((302-43)*MAX('Inputs'!$B$33,'Inputs'!$B$29+'Inputs'!$B$31+'Inputs'!$B$32,'Inputs'!$B$30+'Inputs'!$B$31+'Inputs'!$B$32)/1000+'Inputs'!$B$21+'Inputs'!$B$9+'Inputs'!$B$10)+'Inputs'!$B$7)/SQRT((((302-43)*MAX('Inputs'!$B$33,'Inputs'!$B$29+'Inputs'!$B$31+'Inputs'!$B$32,'Inputs'!$B$30+'Inputs'!$B$31+'Inputs'!$B$32)/1000+'Inputs'!$B$21+'Inputs'!$B$9+'Inputs'!$B$10)+'Inputs'!$B$7)^2+('Inputs'!$B$6/2)^2)-(((302-43)*MAX('Inputs'!$B$33,'Inputs'!$B$29+'Inputs'!$B$31+'Inputs'!$B$32,'Inputs'!$B$30+'Inputs'!$B$31+'Inputs'!$B$32)/1000+'Inputs'!$B$21+'Inputs'!$B$9+'Inputs'!$B$10))/SQRT((((302-43)*MAX('Inputs'!$B$33,'Inputs'!$B$29+'Inputs'!$B$31+'Inputs'!$B$32,'Inputs'!$B$30+'Inputs'!$B$31+'Inputs'!$B$32)/1000+'Inputs'!$B$21+'Inputs'!$B$9+'Inputs'!$B$10))^2+('Inputs'!$B$6/2)^2))))*'Results'!$B$8),"")</x:f>
        <x:v>33.308623621713735</x:v>
      </x:c>
      <x:c r="N302" t="n">
        <x:f>IF(AND(ISNUMBER('Results'!C7),ISNUMBER('Results'!B7),ISNUMBER('Results'!$B$8),ISNUMBER('Inputs'!$B$6),ISNUMBER('Inputs'!$B$7),ISNUMBER('Inputs'!$B$8),ISNUMBER('Inputs'!$B$9),ISNUMBER('Inputs'!$B$10),ISNUMBER('Inputs'!$B$21),ISNUMBER('Inputs'!$B$24),ISNUMBER('Inputs'!$B$28)),((('Results'!C7*(1-'Inputs'!$B$24)*(0.5*((((302-43)*MAX('Inputs'!$B$33,'Inputs'!$B$29+'Inputs'!$B$31+'Inputs'!$B$32,'Inputs'!$B$30+'Inputs'!$B$31+'Inputs'!$B$32)/1000+'Inputs'!$B$21)+'Inputs'!$B$9)/SQRT((((302-43)*MAX('Inputs'!$B$33,'Inputs'!$B$29+'Inputs'!$B$31+'Inputs'!$B$32,'Inputs'!$B$30+'Inputs'!$B$31+'Inputs'!$B$32)/1000+'Inputs'!$B$21)+'Inputs'!$B$9)^2+('Inputs'!$B$8/2)^2)-(((302-43)*MAX('Inputs'!$B$33,'Inputs'!$B$29+'Inputs'!$B$31+'Inputs'!$B$32,'Inputs'!$B$30+'Inputs'!$B$31+'Inputs'!$B$32)/1000+'Inputs'!$B$21))/SQRT((((302-43)*MAX('Inputs'!$B$33,'Inputs'!$B$29+'Inputs'!$B$31+'Inputs'!$B$32,'Inputs'!$B$30+'Inputs'!$B$31+'Inputs'!$B$32)/1000+'Inputs'!$B$21))^2+('Inputs'!$B$8/2)^2)))-'Results'!B7*(1+'Inputs'!$B$24)*(0.5*((((302-43)*MAX('Inputs'!$B$33,'Inputs'!$B$29+'Inputs'!$B$31+'Inputs'!$B$32,'Inputs'!$B$30+'Inputs'!$B$31+'Inputs'!$B$32)/1000+'Inputs'!$B$21+'Inputs'!$B$9+'Inputs'!$B$10)+'Inputs'!$B$7)/SQRT((((302-43)*MAX('Inputs'!$B$33,'Inputs'!$B$29+'Inputs'!$B$31+'Inputs'!$B$32,'Inputs'!$B$30+'Inputs'!$B$31+'Inputs'!$B$32)/1000+'Inputs'!$B$21+'Inputs'!$B$9+'Inputs'!$B$10)+'Inputs'!$B$7)^2+('Inputs'!$B$6/2)^2)-(((302-43)*MAX('Inputs'!$B$33,'Inputs'!$B$29+'Inputs'!$B$31+'Inputs'!$B$32,'Inputs'!$B$30+'Inputs'!$B$31+'Inputs'!$B$32)/1000+'Inputs'!$B$21+'Inputs'!$B$9+'Inputs'!$B$10))/SQRT((((302-43)*MAX('Inputs'!$B$33,'Inputs'!$B$29+'Inputs'!$B$31+'Inputs'!$B$32,'Inputs'!$B$30+'Inputs'!$B$31+'Inputs'!$B$32)/1000+'Inputs'!$B$21+'Inputs'!$B$9+'Inputs'!$B$10))^2+('Inputs'!$B$6/2)^2))))*'Results'!$B$8)-'Inputs'!$B$28*ABS((('Results'!C7*(1-'Inputs'!$B$24)*(0.5*((((302-43)*MAX('Inputs'!$B$33,'Inputs'!$B$29+'Inputs'!$B$31+'Inputs'!$B$32,'Inputs'!$B$30+'Inputs'!$B$31+'Inputs'!$B$32)/1000+'Inputs'!$B$21)+'Inputs'!$B$9)/SQRT((((302-43)*MAX('Inputs'!$B$33,'Inputs'!$B$29+'Inputs'!$B$31+'Inputs'!$B$32,'Inputs'!$B$30+'Inputs'!$B$31+'Inputs'!$B$32)/1000+'Inputs'!$B$21)+'Inputs'!$B$9)^2+('Inputs'!$B$8/2)^2)-(((302-43)*MAX('Inputs'!$B$33,'Inputs'!$B$29+'Inputs'!$B$31+'Inputs'!$B$32,'Inputs'!$B$30+'Inputs'!$B$31+'Inputs'!$B$32)/1000+'Inputs'!$B$21))/SQRT((((302-43)*MAX('Inputs'!$B$33,'Inputs'!$B$29+'Inputs'!$B$31+'Inputs'!$B$32,'Inputs'!$B$30+'Inputs'!$B$31+'Inputs'!$B$32)/1000+'Inputs'!$B$21))^2+('Inputs'!$B$8/2)^2)))-'Results'!B7*(1+'Inputs'!$B$24)*(0.5*((((302-43)*MAX('Inputs'!$B$33,'Inputs'!$B$29+'Inputs'!$B$31+'Inputs'!$B$32,'Inputs'!$B$30+'Inputs'!$B$31+'Inputs'!$B$32)/1000+'Inputs'!$B$21+'Inputs'!$B$9+'Inputs'!$B$10)+'Inputs'!$B$7)/SQRT((((302-43)*MAX('Inputs'!$B$33,'Inputs'!$B$29+'Inputs'!$B$31+'Inputs'!$B$32,'Inputs'!$B$30+'Inputs'!$B$31+'Inputs'!$B$32)/1000+'Inputs'!$B$21+'Inputs'!$B$9+'Inputs'!$B$10)+'Inputs'!$B$7)^2+('Inputs'!$B$6/2)^2)-(((302-43)*MAX('Inputs'!$B$33,'Inputs'!$B$29+'Inputs'!$B$31+'Inputs'!$B$32,'Inputs'!$B$30+'Inputs'!$B$31+'Inputs'!$B$32)/1000+'Inputs'!$B$21+'Inputs'!$B$9+'Inputs'!$B$10))/SQRT((((302-43)*MAX('Inputs'!$B$33,'Inputs'!$B$29+'Inputs'!$B$31+'Inputs'!$B$32,'Inputs'!$B$30+'Inputs'!$B$31+'Inputs'!$B$32)/1000+'Inputs'!$B$21+'Inputs'!$B$9+'Inputs'!$B$10))^2+('Inputs'!$B$6/2)^2))))*'Results'!$B$8))),"")</x:f>
        <x:v>30.225143239374304</x:v>
      </x:c>
      <x:c r="O302" t="n">
        <x:f>IF(AND(ISNUMBER('Results'!C7),ISNUMBER('Results'!B7),ISNUMBER('Results'!$B$8),ISNUMBER('Inputs'!$B$6),ISNUMBER('Inputs'!$B$7),ISNUMBER('Inputs'!$B$8),ISNUMBER('Inputs'!$B$9),ISNUMBER('Inputs'!$B$10),ISNUMBER('Inputs'!$B$21),ISNUMBER('Inputs'!$B$24),ISNUMBER('Inputs'!$B$28)),((('Results'!C7*(1+'Inputs'!$B$24)*(0.5*((((302-43)*MAX('Inputs'!$B$33,'Inputs'!$B$29+'Inputs'!$B$31+'Inputs'!$B$32,'Inputs'!$B$30+'Inputs'!$B$31+'Inputs'!$B$32)/1000+'Inputs'!$B$21)+'Inputs'!$B$9)/SQRT((((302-43)*MAX('Inputs'!$B$33,'Inputs'!$B$29+'Inputs'!$B$31+'Inputs'!$B$32,'Inputs'!$B$30+'Inputs'!$B$31+'Inputs'!$B$32)/1000+'Inputs'!$B$21)+'Inputs'!$B$9)^2+('Inputs'!$B$8/2)^2)-(((302-43)*MAX('Inputs'!$B$33,'Inputs'!$B$29+'Inputs'!$B$31+'Inputs'!$B$32,'Inputs'!$B$30+'Inputs'!$B$31+'Inputs'!$B$32)/1000+'Inputs'!$B$21))/SQRT((((302-43)*MAX('Inputs'!$B$33,'Inputs'!$B$29+'Inputs'!$B$31+'Inputs'!$B$32,'Inputs'!$B$30+'Inputs'!$B$31+'Inputs'!$B$32)/1000+'Inputs'!$B$21))^2+('Inputs'!$B$8/2)^2)))-'Results'!B7*(1-'Inputs'!$B$24)*(0.5*((((302-43)*MAX('Inputs'!$B$33,'Inputs'!$B$29+'Inputs'!$B$31+'Inputs'!$B$32,'Inputs'!$B$30+'Inputs'!$B$31+'Inputs'!$B$32)/1000+'Inputs'!$B$21+'Inputs'!$B$9+'Inputs'!$B$10)+'Inputs'!$B$7)/SQRT((((302-43)*MAX('Inputs'!$B$33,'Inputs'!$B$29+'Inputs'!$B$31+'Inputs'!$B$32,'Inputs'!$B$30+'Inputs'!$B$31+'Inputs'!$B$32)/1000+'Inputs'!$B$21+'Inputs'!$B$9+'Inputs'!$B$10)+'Inputs'!$B$7)^2+('Inputs'!$B$6/2)^2)-(((302-43)*MAX('Inputs'!$B$33,'Inputs'!$B$29+'Inputs'!$B$31+'Inputs'!$B$32,'Inputs'!$B$30+'Inputs'!$B$31+'Inputs'!$B$32)/1000+'Inputs'!$B$21+'Inputs'!$B$9+'Inputs'!$B$10))/SQRT((((302-43)*MAX('Inputs'!$B$33,'Inputs'!$B$29+'Inputs'!$B$31+'Inputs'!$B$32,'Inputs'!$B$30+'Inputs'!$B$31+'Inputs'!$B$32)/1000+'Inputs'!$B$21+'Inputs'!$B$9+'Inputs'!$B$10))^2+('Inputs'!$B$6/2)^2))))*'Results'!$B$8)+'Inputs'!$B$28*ABS((('Results'!C7*(1+'Inputs'!$B$24)*(0.5*((((302-43)*MAX('Inputs'!$B$33,'Inputs'!$B$29+'Inputs'!$B$31+'Inputs'!$B$32,'Inputs'!$B$30+'Inputs'!$B$31+'Inputs'!$B$32)/1000+'Inputs'!$B$21)+'Inputs'!$B$9)/SQRT((((302-43)*MAX('Inputs'!$B$33,'Inputs'!$B$29+'Inputs'!$B$31+'Inputs'!$B$32,'Inputs'!$B$30+'Inputs'!$B$31+'Inputs'!$B$32)/1000+'Inputs'!$B$21)+'Inputs'!$B$9)^2+('Inputs'!$B$8/2)^2)-(((302-43)*MAX('Inputs'!$B$33,'Inputs'!$B$29+'Inputs'!$B$31+'Inputs'!$B$32,'Inputs'!$B$30+'Inputs'!$B$31+'Inputs'!$B$32)/1000+'Inputs'!$B$21))/SQRT((((302-43)*MAX('Inputs'!$B$33,'Inputs'!$B$29+'Inputs'!$B$31+'Inputs'!$B$32,'Inputs'!$B$30+'Inputs'!$B$31+'Inputs'!$B$32)/1000+'Inputs'!$B$21))^2+('Inputs'!$B$8/2)^2)))-'Results'!B7*(1-'Inputs'!$B$24)*(0.5*((((302-43)*MAX('Inputs'!$B$33,'Inputs'!$B$29+'Inputs'!$B$31+'Inputs'!$B$32,'Inputs'!$B$30+'Inputs'!$B$31+'Inputs'!$B$32)/1000+'Inputs'!$B$21+'Inputs'!$B$9+'Inputs'!$B$10)+'Inputs'!$B$7)/SQRT((((302-43)*MAX('Inputs'!$B$33,'Inputs'!$B$29+'Inputs'!$B$31+'Inputs'!$B$32,'Inputs'!$B$30+'Inputs'!$B$31+'Inputs'!$B$32)/1000+'Inputs'!$B$21+'Inputs'!$B$9+'Inputs'!$B$10)+'Inputs'!$B$7)^2+('Inputs'!$B$6/2)^2)-(((302-43)*MAX('Inputs'!$B$33,'Inputs'!$B$29+'Inputs'!$B$31+'Inputs'!$B$32,'Inputs'!$B$30+'Inputs'!$B$31+'Inputs'!$B$32)/1000+'Inputs'!$B$21+'Inputs'!$B$9+'Inputs'!$B$10))/SQRT((((302-43)*MAX('Inputs'!$B$33,'Inputs'!$B$29+'Inputs'!$B$31+'Inputs'!$B$32,'Inputs'!$B$30+'Inputs'!$B$31+'Inputs'!$B$32)/1000+'Inputs'!$B$21+'Inputs'!$B$9+'Inputs'!$B$10))^2+('Inputs'!$B$6/2)^2))))*'Results'!$B$8))),"")</x:f>
        <x:v>36.54137234102726</x:v>
      </x:c>
      <x:c r="P302" t="n">
        <x:f>IF(AND(MAX(J302,J301)&gt;0,J302&gt;J301+0.00000001),1,0)</x:f>
        <x:v>0</x:v>
      </x:c>
      <x:c r="Q302" t="n">
        <x:f>IF(AND(MAX(K302,K301)&gt;0,K302&gt;K301+0.00000001),1,0)</x:f>
        <x:v>0</x:v>
      </x:c>
      <x:c r="R302" t="n">
        <x:f>IF(AND(MAX(L302,L301)&gt;0,L302&gt;L301+0.00000001),1,0)</x:f>
        <x:v>0</x:v>
      </x:c>
      <x:c r="S302" t="n">
        <x:f>IF(AND(MAX(M302,M301)&gt;0,M302&gt;M301+0.00000001),1,0)</x:f>
        <x:v>0</x:v>
      </x:c>
      <x:c r="T302" t="n">
        <x:f>IF(AND(MAX(N302,N301)&gt;0,N302&gt;N301+0.00000001),1,0)</x:f>
        <x:v>0</x:v>
      </x:c>
      <x:c r="U302" t="n">
        <x:f>IF(AND(MAX(O302,O301)&gt;0,O302&gt;O301+0.00000001),1,0)</x:f>
        <x:v>0</x:v>
      </x:c>
    </x:row>
    <x:row r="303">
      <x:c r="J303" t="n">
        <x:f>IF(AND(ISNUMBER('Results'!B7),ISNUMBER('Results'!C7),ISNUMBER('Results'!$B$8),ISNUMBER('Inputs'!$B$6),ISNUMBER('Inputs'!$B$7),ISNUMBER('Inputs'!$B$8),ISNUMBER('Inputs'!$B$9),ISNUMBER('Inputs'!$B$10),ISNUMBER('Inputs'!$B$21),ISNUMBER('Inputs'!$B$24),ISNUMBER('Inputs'!$B$28)),(('Results'!B7*(0.5*((((303-43)*MAX('Inputs'!$B$33,'Inputs'!$B$29+'Inputs'!$B$31+'Inputs'!$B$32,'Inputs'!$B$30+'Inputs'!$B$31+'Inputs'!$B$32)/1000+'Inputs'!$B$21)+'Inputs'!$B$7)/SQRT((((303-43)*MAX('Inputs'!$B$33,'Inputs'!$B$29+'Inputs'!$B$31+'Inputs'!$B$32,'Inputs'!$B$30+'Inputs'!$B$31+'Inputs'!$B$32)/1000+'Inputs'!$B$21)+'Inputs'!$B$7)^2+('Inputs'!$B$6/2)^2)-(((303-43)*MAX('Inputs'!$B$33,'Inputs'!$B$29+'Inputs'!$B$31+'Inputs'!$B$32,'Inputs'!$B$30+'Inputs'!$B$31+'Inputs'!$B$32)/1000+'Inputs'!$B$21))/SQRT((((303-43)*MAX('Inputs'!$B$33,'Inputs'!$B$29+'Inputs'!$B$31+'Inputs'!$B$32,'Inputs'!$B$30+'Inputs'!$B$31+'Inputs'!$B$32)/1000+'Inputs'!$B$21))^2+('Inputs'!$B$6/2)^2)))-'Results'!C7*(0.5*((((303-43)*MAX('Inputs'!$B$33,'Inputs'!$B$29+'Inputs'!$B$31+'Inputs'!$B$32,'Inputs'!$B$30+'Inputs'!$B$31+'Inputs'!$B$32)/1000+'Inputs'!$B$21+'Inputs'!$B$7+'Inputs'!$B$10)+'Inputs'!$B$9)/SQRT((((303-43)*MAX('Inputs'!$B$33,'Inputs'!$B$29+'Inputs'!$B$31+'Inputs'!$B$32,'Inputs'!$B$30+'Inputs'!$B$31+'Inputs'!$B$32)/1000+'Inputs'!$B$21+'Inputs'!$B$7+'Inputs'!$B$10)+'Inputs'!$B$9)^2+('Inputs'!$B$8/2)^2)-(((303-43)*MAX('Inputs'!$B$33,'Inputs'!$B$29+'Inputs'!$B$31+'Inputs'!$B$32,'Inputs'!$B$30+'Inputs'!$B$31+'Inputs'!$B$32)/1000+'Inputs'!$B$21+'Inputs'!$B$7+'Inputs'!$B$10))/SQRT((((303-43)*MAX('Inputs'!$B$33,'Inputs'!$B$29+'Inputs'!$B$31+'Inputs'!$B$32,'Inputs'!$B$30+'Inputs'!$B$31+'Inputs'!$B$32)/1000+'Inputs'!$B$21+'Inputs'!$B$7+'Inputs'!$B$10))^2+('Inputs'!$B$8/2)^2))))*'Results'!$B$8),"")</x:f>
        <x:v>34.42408078743685</x:v>
      </x:c>
      <x:c r="K303" t="n">
        <x:f>IF(AND(ISNUMBER('Results'!B7),ISNUMBER('Results'!C7),ISNUMBER('Results'!$B$8),ISNUMBER('Inputs'!$B$6),ISNUMBER('Inputs'!$B$7),ISNUMBER('Inputs'!$B$8),ISNUMBER('Inputs'!$B$9),ISNUMBER('Inputs'!$B$10),ISNUMBER('Inputs'!$B$21),ISNUMBER('Inputs'!$B$24),ISNUMBER('Inputs'!$B$28)),((('Results'!B7*(1-'Inputs'!$B$24)*(0.5*((((303-43)*MAX('Inputs'!$B$33,'Inputs'!$B$29+'Inputs'!$B$31+'Inputs'!$B$32,'Inputs'!$B$30+'Inputs'!$B$31+'Inputs'!$B$32)/1000+'Inputs'!$B$21)+'Inputs'!$B$7)/SQRT((((303-43)*MAX('Inputs'!$B$33,'Inputs'!$B$29+'Inputs'!$B$31+'Inputs'!$B$32,'Inputs'!$B$30+'Inputs'!$B$31+'Inputs'!$B$32)/1000+'Inputs'!$B$21)+'Inputs'!$B$7)^2+('Inputs'!$B$6/2)^2)-(((303-43)*MAX('Inputs'!$B$33,'Inputs'!$B$29+'Inputs'!$B$31+'Inputs'!$B$32,'Inputs'!$B$30+'Inputs'!$B$31+'Inputs'!$B$32)/1000+'Inputs'!$B$21))/SQRT((((303-43)*MAX('Inputs'!$B$33,'Inputs'!$B$29+'Inputs'!$B$31+'Inputs'!$B$32,'Inputs'!$B$30+'Inputs'!$B$31+'Inputs'!$B$32)/1000+'Inputs'!$B$21))^2+('Inputs'!$B$6/2)^2)))-'Results'!C7*(1+'Inputs'!$B$24)*(0.5*((((303-43)*MAX('Inputs'!$B$33,'Inputs'!$B$29+'Inputs'!$B$31+'Inputs'!$B$32,'Inputs'!$B$30+'Inputs'!$B$31+'Inputs'!$B$32)/1000+'Inputs'!$B$21+'Inputs'!$B$7+'Inputs'!$B$10)+'Inputs'!$B$9)/SQRT((((303-43)*MAX('Inputs'!$B$33,'Inputs'!$B$29+'Inputs'!$B$31+'Inputs'!$B$32,'Inputs'!$B$30+'Inputs'!$B$31+'Inputs'!$B$32)/1000+'Inputs'!$B$21+'Inputs'!$B$7+'Inputs'!$B$10)+'Inputs'!$B$9)^2+('Inputs'!$B$8/2)^2)-(((303-43)*MAX('Inputs'!$B$33,'Inputs'!$B$29+'Inputs'!$B$31+'Inputs'!$B$32,'Inputs'!$B$30+'Inputs'!$B$31+'Inputs'!$B$32)/1000+'Inputs'!$B$21+'Inputs'!$B$7+'Inputs'!$B$10))/SQRT((((303-43)*MAX('Inputs'!$B$33,'Inputs'!$B$29+'Inputs'!$B$31+'Inputs'!$B$32,'Inputs'!$B$30+'Inputs'!$B$31+'Inputs'!$B$32)/1000+'Inputs'!$B$21+'Inputs'!$B$7+'Inputs'!$B$10))^2+('Inputs'!$B$8/2)^2))))*'Results'!$B$8)-'Inputs'!$B$28*ABS((('Results'!B7*(1-'Inputs'!$B$24)*(0.5*((((303-43)*MAX('Inputs'!$B$33,'Inputs'!$B$29+'Inputs'!$B$31+'Inputs'!$B$32,'Inputs'!$B$30+'Inputs'!$B$31+'Inputs'!$B$32)/1000+'Inputs'!$B$21)+'Inputs'!$B$7)/SQRT((((303-43)*MAX('Inputs'!$B$33,'Inputs'!$B$29+'Inputs'!$B$31+'Inputs'!$B$32,'Inputs'!$B$30+'Inputs'!$B$31+'Inputs'!$B$32)/1000+'Inputs'!$B$21)+'Inputs'!$B$7)^2+('Inputs'!$B$6/2)^2)-(((303-43)*MAX('Inputs'!$B$33,'Inputs'!$B$29+'Inputs'!$B$31+'Inputs'!$B$32,'Inputs'!$B$30+'Inputs'!$B$31+'Inputs'!$B$32)/1000+'Inputs'!$B$21))/SQRT((((303-43)*MAX('Inputs'!$B$33,'Inputs'!$B$29+'Inputs'!$B$31+'Inputs'!$B$32,'Inputs'!$B$30+'Inputs'!$B$31+'Inputs'!$B$32)/1000+'Inputs'!$B$21))^2+('Inputs'!$B$6/2)^2)))-'Results'!C7*(1+'Inputs'!$B$24)*(0.5*((((303-43)*MAX('Inputs'!$B$33,'Inputs'!$B$29+'Inputs'!$B$31+'Inputs'!$B$32,'Inputs'!$B$30+'Inputs'!$B$31+'Inputs'!$B$32)/1000+'Inputs'!$B$21+'Inputs'!$B$7+'Inputs'!$B$10)+'Inputs'!$B$9)/SQRT((((303-43)*MAX('Inputs'!$B$33,'Inputs'!$B$29+'Inputs'!$B$31+'Inputs'!$B$32,'Inputs'!$B$30+'Inputs'!$B$31+'Inputs'!$B$32)/1000+'Inputs'!$B$21+'Inputs'!$B$7+'Inputs'!$B$10)+'Inputs'!$B$9)^2+('Inputs'!$B$8/2)^2)-(((303-43)*MAX('Inputs'!$B$33,'Inputs'!$B$29+'Inputs'!$B$31+'Inputs'!$B$32,'Inputs'!$B$30+'Inputs'!$B$31+'Inputs'!$B$32)/1000+'Inputs'!$B$21+'Inputs'!$B$7+'Inputs'!$B$10))/SQRT((((303-43)*MAX('Inputs'!$B$33,'Inputs'!$B$29+'Inputs'!$B$31+'Inputs'!$B$32,'Inputs'!$B$30+'Inputs'!$B$31+'Inputs'!$B$32)/1000+'Inputs'!$B$21+'Inputs'!$B$7+'Inputs'!$B$10))^2+('Inputs'!$B$8/2)^2))))*'Results'!$B$8))),"")</x:f>
        <x:v>31.284963513861328</x:v>
      </x:c>
      <x:c r="L303" t="n">
        <x:f>IF(AND(ISNUMBER('Results'!B7),ISNUMBER('Results'!C7),ISNUMBER('Results'!$B$8),ISNUMBER('Inputs'!$B$6),ISNUMBER('Inputs'!$B$7),ISNUMBER('Inputs'!$B$8),ISNUMBER('Inputs'!$B$9),ISNUMBER('Inputs'!$B$10),ISNUMBER('Inputs'!$B$21),ISNUMBER('Inputs'!$B$24),ISNUMBER('Inputs'!$B$28)),((('Results'!B7*(1+'Inputs'!$B$24)*(0.5*((((303-43)*MAX('Inputs'!$B$33,'Inputs'!$B$29+'Inputs'!$B$31+'Inputs'!$B$32,'Inputs'!$B$30+'Inputs'!$B$31+'Inputs'!$B$32)/1000+'Inputs'!$B$21)+'Inputs'!$B$7)/SQRT((((303-43)*MAX('Inputs'!$B$33,'Inputs'!$B$29+'Inputs'!$B$31+'Inputs'!$B$32,'Inputs'!$B$30+'Inputs'!$B$31+'Inputs'!$B$32)/1000+'Inputs'!$B$21)+'Inputs'!$B$7)^2+('Inputs'!$B$6/2)^2)-(((303-43)*MAX('Inputs'!$B$33,'Inputs'!$B$29+'Inputs'!$B$31+'Inputs'!$B$32,'Inputs'!$B$30+'Inputs'!$B$31+'Inputs'!$B$32)/1000+'Inputs'!$B$21))/SQRT((((303-43)*MAX('Inputs'!$B$33,'Inputs'!$B$29+'Inputs'!$B$31+'Inputs'!$B$32,'Inputs'!$B$30+'Inputs'!$B$31+'Inputs'!$B$32)/1000+'Inputs'!$B$21))^2+('Inputs'!$B$6/2)^2)))-'Results'!C7*(1-'Inputs'!$B$24)*(0.5*((((303-43)*MAX('Inputs'!$B$33,'Inputs'!$B$29+'Inputs'!$B$31+'Inputs'!$B$32,'Inputs'!$B$30+'Inputs'!$B$31+'Inputs'!$B$32)/1000+'Inputs'!$B$21+'Inputs'!$B$7+'Inputs'!$B$10)+'Inputs'!$B$9)/SQRT((((303-43)*MAX('Inputs'!$B$33,'Inputs'!$B$29+'Inputs'!$B$31+'Inputs'!$B$32,'Inputs'!$B$30+'Inputs'!$B$31+'Inputs'!$B$32)/1000+'Inputs'!$B$21+'Inputs'!$B$7+'Inputs'!$B$10)+'Inputs'!$B$9)^2+('Inputs'!$B$8/2)^2)-(((303-43)*MAX('Inputs'!$B$33,'Inputs'!$B$29+'Inputs'!$B$31+'Inputs'!$B$32,'Inputs'!$B$30+'Inputs'!$B$31+'Inputs'!$B$32)/1000+'Inputs'!$B$21+'Inputs'!$B$7+'Inputs'!$B$10))/SQRT((((303-43)*MAX('Inputs'!$B$33,'Inputs'!$B$29+'Inputs'!$B$31+'Inputs'!$B$32,'Inputs'!$B$30+'Inputs'!$B$31+'Inputs'!$B$32)/1000+'Inputs'!$B$21+'Inputs'!$B$7+'Inputs'!$B$10))^2+('Inputs'!$B$8/2)^2))))*'Results'!$B$8)+'Inputs'!$B$28*ABS((('Results'!B7*(1+'Inputs'!$B$24)*(0.5*((((303-43)*MAX('Inputs'!$B$33,'Inputs'!$B$29+'Inputs'!$B$31+'Inputs'!$B$32,'Inputs'!$B$30+'Inputs'!$B$31+'Inputs'!$B$32)/1000+'Inputs'!$B$21)+'Inputs'!$B$7)/SQRT((((303-43)*MAX('Inputs'!$B$33,'Inputs'!$B$29+'Inputs'!$B$31+'Inputs'!$B$32,'Inputs'!$B$30+'Inputs'!$B$31+'Inputs'!$B$32)/1000+'Inputs'!$B$21)+'Inputs'!$B$7)^2+('Inputs'!$B$6/2)^2)-(((303-43)*MAX('Inputs'!$B$33,'Inputs'!$B$29+'Inputs'!$B$31+'Inputs'!$B$32,'Inputs'!$B$30+'Inputs'!$B$31+'Inputs'!$B$32)/1000+'Inputs'!$B$21))/SQRT((((303-43)*MAX('Inputs'!$B$33,'Inputs'!$B$29+'Inputs'!$B$31+'Inputs'!$B$32,'Inputs'!$B$30+'Inputs'!$B$31+'Inputs'!$B$32)/1000+'Inputs'!$B$21))^2+('Inputs'!$B$6/2)^2)))-'Results'!C7*(1-'Inputs'!$B$24)*(0.5*((((303-43)*MAX('Inputs'!$B$33,'Inputs'!$B$29+'Inputs'!$B$31+'Inputs'!$B$32,'Inputs'!$B$30+'Inputs'!$B$31+'Inputs'!$B$32)/1000+'Inputs'!$B$21+'Inputs'!$B$7+'Inputs'!$B$10)+'Inputs'!$B$9)/SQRT((((303-43)*MAX('Inputs'!$B$33,'Inputs'!$B$29+'Inputs'!$B$31+'Inputs'!$B$32,'Inputs'!$B$30+'Inputs'!$B$31+'Inputs'!$B$32)/1000+'Inputs'!$B$21+'Inputs'!$B$7+'Inputs'!$B$10)+'Inputs'!$B$9)^2+('Inputs'!$B$8/2)^2)-(((303-43)*MAX('Inputs'!$B$33,'Inputs'!$B$29+'Inputs'!$B$31+'Inputs'!$B$32,'Inputs'!$B$30+'Inputs'!$B$31+'Inputs'!$B$32)/1000+'Inputs'!$B$21+'Inputs'!$B$7+'Inputs'!$B$10))/SQRT((((303-43)*MAX('Inputs'!$B$33,'Inputs'!$B$29+'Inputs'!$B$31+'Inputs'!$B$32,'Inputs'!$B$30+'Inputs'!$B$31+'Inputs'!$B$32)/1000+'Inputs'!$B$21+'Inputs'!$B$7+'Inputs'!$B$10))^2+('Inputs'!$B$8/2)^2))))*'Results'!$B$8))),"")</x:f>
        <x:v>37.7124520856654</x:v>
      </x:c>
      <x:c r="M303" t="n">
        <x:f>IF(AND(ISNUMBER('Results'!C7),ISNUMBER('Results'!B7),ISNUMBER('Results'!$B$8),ISNUMBER('Inputs'!$B$6),ISNUMBER('Inputs'!$B$7),ISNUMBER('Inputs'!$B$8),ISNUMBER('Inputs'!$B$9),ISNUMBER('Inputs'!$B$10),ISNUMBER('Inputs'!$B$21),ISNUMBER('Inputs'!$B$24),ISNUMBER('Inputs'!$B$28)),(('Results'!C7*(0.5*((((303-43)*MAX('Inputs'!$B$33,'Inputs'!$B$29+'Inputs'!$B$31+'Inputs'!$B$32,'Inputs'!$B$30+'Inputs'!$B$31+'Inputs'!$B$32)/1000+'Inputs'!$B$21)+'Inputs'!$B$9)/SQRT((((303-43)*MAX('Inputs'!$B$33,'Inputs'!$B$29+'Inputs'!$B$31+'Inputs'!$B$32,'Inputs'!$B$30+'Inputs'!$B$31+'Inputs'!$B$32)/1000+'Inputs'!$B$21)+'Inputs'!$B$9)^2+('Inputs'!$B$8/2)^2)-(((303-43)*MAX('Inputs'!$B$33,'Inputs'!$B$29+'Inputs'!$B$31+'Inputs'!$B$32,'Inputs'!$B$30+'Inputs'!$B$31+'Inputs'!$B$32)/1000+'Inputs'!$B$21))/SQRT((((303-43)*MAX('Inputs'!$B$33,'Inputs'!$B$29+'Inputs'!$B$31+'Inputs'!$B$32,'Inputs'!$B$30+'Inputs'!$B$31+'Inputs'!$B$32)/1000+'Inputs'!$B$21))^2+('Inputs'!$B$8/2)^2)))-'Results'!B7*(0.5*((((303-43)*MAX('Inputs'!$B$33,'Inputs'!$B$29+'Inputs'!$B$31+'Inputs'!$B$32,'Inputs'!$B$30+'Inputs'!$B$31+'Inputs'!$B$32)/1000+'Inputs'!$B$21+'Inputs'!$B$9+'Inputs'!$B$10)+'Inputs'!$B$7)/SQRT((((303-43)*MAX('Inputs'!$B$33,'Inputs'!$B$29+'Inputs'!$B$31+'Inputs'!$B$32,'Inputs'!$B$30+'Inputs'!$B$31+'Inputs'!$B$32)/1000+'Inputs'!$B$21+'Inputs'!$B$9+'Inputs'!$B$10)+'Inputs'!$B$7)^2+('Inputs'!$B$6/2)^2)-(((303-43)*MAX('Inputs'!$B$33,'Inputs'!$B$29+'Inputs'!$B$31+'Inputs'!$B$32,'Inputs'!$B$30+'Inputs'!$B$31+'Inputs'!$B$32)/1000+'Inputs'!$B$21+'Inputs'!$B$9+'Inputs'!$B$10))/SQRT((((303-43)*MAX('Inputs'!$B$33,'Inputs'!$B$29+'Inputs'!$B$31+'Inputs'!$B$32,'Inputs'!$B$30+'Inputs'!$B$31+'Inputs'!$B$32)/1000+'Inputs'!$B$21+'Inputs'!$B$9+'Inputs'!$B$10))^2+('Inputs'!$B$6/2)^2))))*'Results'!$B$8),"")</x:f>
        <x:v>32.92333586100074</x:v>
      </x:c>
      <x:c r="N303" t="n">
        <x:f>IF(AND(ISNUMBER('Results'!C7),ISNUMBER('Results'!B7),ISNUMBER('Results'!$B$8),ISNUMBER('Inputs'!$B$6),ISNUMBER('Inputs'!$B$7),ISNUMBER('Inputs'!$B$8),ISNUMBER('Inputs'!$B$9),ISNUMBER('Inputs'!$B$10),ISNUMBER('Inputs'!$B$21),ISNUMBER('Inputs'!$B$24),ISNUMBER('Inputs'!$B$28)),((('Results'!C7*(1-'Inputs'!$B$24)*(0.5*((((303-43)*MAX('Inputs'!$B$33,'Inputs'!$B$29+'Inputs'!$B$31+'Inputs'!$B$32,'Inputs'!$B$30+'Inputs'!$B$31+'Inputs'!$B$32)/1000+'Inputs'!$B$21)+'Inputs'!$B$9)/SQRT((((303-43)*MAX('Inputs'!$B$33,'Inputs'!$B$29+'Inputs'!$B$31+'Inputs'!$B$32,'Inputs'!$B$30+'Inputs'!$B$31+'Inputs'!$B$32)/1000+'Inputs'!$B$21)+'Inputs'!$B$9)^2+('Inputs'!$B$8/2)^2)-(((303-43)*MAX('Inputs'!$B$33,'Inputs'!$B$29+'Inputs'!$B$31+'Inputs'!$B$32,'Inputs'!$B$30+'Inputs'!$B$31+'Inputs'!$B$32)/1000+'Inputs'!$B$21))/SQRT((((303-43)*MAX('Inputs'!$B$33,'Inputs'!$B$29+'Inputs'!$B$31+'Inputs'!$B$32,'Inputs'!$B$30+'Inputs'!$B$31+'Inputs'!$B$32)/1000+'Inputs'!$B$21))^2+('Inputs'!$B$8/2)^2)))-'Results'!B7*(1+'Inputs'!$B$24)*(0.5*((((303-43)*MAX('Inputs'!$B$33,'Inputs'!$B$29+'Inputs'!$B$31+'Inputs'!$B$32,'Inputs'!$B$30+'Inputs'!$B$31+'Inputs'!$B$32)/1000+'Inputs'!$B$21+'Inputs'!$B$9+'Inputs'!$B$10)+'Inputs'!$B$7)/SQRT((((303-43)*MAX('Inputs'!$B$33,'Inputs'!$B$29+'Inputs'!$B$31+'Inputs'!$B$32,'Inputs'!$B$30+'Inputs'!$B$31+'Inputs'!$B$32)/1000+'Inputs'!$B$21+'Inputs'!$B$9+'Inputs'!$B$10)+'Inputs'!$B$7)^2+('Inputs'!$B$6/2)^2)-(((303-43)*MAX('Inputs'!$B$33,'Inputs'!$B$29+'Inputs'!$B$31+'Inputs'!$B$32,'Inputs'!$B$30+'Inputs'!$B$31+'Inputs'!$B$32)/1000+'Inputs'!$B$21+'Inputs'!$B$9+'Inputs'!$B$10))/SQRT((((303-43)*MAX('Inputs'!$B$33,'Inputs'!$B$29+'Inputs'!$B$31+'Inputs'!$B$32,'Inputs'!$B$30+'Inputs'!$B$31+'Inputs'!$B$32)/1000+'Inputs'!$B$21+'Inputs'!$B$9+'Inputs'!$B$10))^2+('Inputs'!$B$6/2)^2))))*'Results'!$B$8)-'Inputs'!$B$28*ABS((('Results'!C7*(1-'Inputs'!$B$24)*(0.5*((((303-43)*MAX('Inputs'!$B$33,'Inputs'!$B$29+'Inputs'!$B$31+'Inputs'!$B$32,'Inputs'!$B$30+'Inputs'!$B$31+'Inputs'!$B$32)/1000+'Inputs'!$B$21)+'Inputs'!$B$9)/SQRT((((303-43)*MAX('Inputs'!$B$33,'Inputs'!$B$29+'Inputs'!$B$31+'Inputs'!$B$32,'Inputs'!$B$30+'Inputs'!$B$31+'Inputs'!$B$32)/1000+'Inputs'!$B$21)+'Inputs'!$B$9)^2+('Inputs'!$B$8/2)^2)-(((303-43)*MAX('Inputs'!$B$33,'Inputs'!$B$29+'Inputs'!$B$31+'Inputs'!$B$32,'Inputs'!$B$30+'Inputs'!$B$31+'Inputs'!$B$32)/1000+'Inputs'!$B$21))/SQRT((((303-43)*MAX('Inputs'!$B$33,'Inputs'!$B$29+'Inputs'!$B$31+'Inputs'!$B$32,'Inputs'!$B$30+'Inputs'!$B$31+'Inputs'!$B$32)/1000+'Inputs'!$B$21))^2+('Inputs'!$B$8/2)^2)))-'Results'!B7*(1+'Inputs'!$B$24)*(0.5*((((303-43)*MAX('Inputs'!$B$33,'Inputs'!$B$29+'Inputs'!$B$31+'Inputs'!$B$32,'Inputs'!$B$30+'Inputs'!$B$31+'Inputs'!$B$32)/1000+'Inputs'!$B$21+'Inputs'!$B$9+'Inputs'!$B$10)+'Inputs'!$B$7)/SQRT((((303-43)*MAX('Inputs'!$B$33,'Inputs'!$B$29+'Inputs'!$B$31+'Inputs'!$B$32,'Inputs'!$B$30+'Inputs'!$B$31+'Inputs'!$B$32)/1000+'Inputs'!$B$21+'Inputs'!$B$9+'Inputs'!$B$10)+'Inputs'!$B$7)^2+('Inputs'!$B$6/2)^2)-(((303-43)*MAX('Inputs'!$B$33,'Inputs'!$B$29+'Inputs'!$B$31+'Inputs'!$B$32,'Inputs'!$B$30+'Inputs'!$B$31+'Inputs'!$B$32)/1000+'Inputs'!$B$21+'Inputs'!$B$9+'Inputs'!$B$10))/SQRT((((303-43)*MAX('Inputs'!$B$33,'Inputs'!$B$29+'Inputs'!$B$31+'Inputs'!$B$32,'Inputs'!$B$30+'Inputs'!$B$31+'Inputs'!$B$32)/1000+'Inputs'!$B$21+'Inputs'!$B$9+'Inputs'!$B$10))^2+('Inputs'!$B$6/2)^2))))*'Results'!$B$8))),"")</x:f>
        <x:v>29.872181095528035</x:v>
      </x:c>
      <x:c r="O303" t="n">
        <x:f>IF(AND(ISNUMBER('Results'!C7),ISNUMBER('Results'!B7),ISNUMBER('Results'!$B$8),ISNUMBER('Inputs'!$B$6),ISNUMBER('Inputs'!$B$7),ISNUMBER('Inputs'!$B$8),ISNUMBER('Inputs'!$B$9),ISNUMBER('Inputs'!$B$10),ISNUMBER('Inputs'!$B$21),ISNUMBER('Inputs'!$B$24),ISNUMBER('Inputs'!$B$28)),((('Results'!C7*(1+'Inputs'!$B$24)*(0.5*((((303-43)*MAX('Inputs'!$B$33,'Inputs'!$B$29+'Inputs'!$B$31+'Inputs'!$B$32,'Inputs'!$B$30+'Inputs'!$B$31+'Inputs'!$B$32)/1000+'Inputs'!$B$21)+'Inputs'!$B$9)/SQRT((((303-43)*MAX('Inputs'!$B$33,'Inputs'!$B$29+'Inputs'!$B$31+'Inputs'!$B$32,'Inputs'!$B$30+'Inputs'!$B$31+'Inputs'!$B$32)/1000+'Inputs'!$B$21)+'Inputs'!$B$9)^2+('Inputs'!$B$8/2)^2)-(((303-43)*MAX('Inputs'!$B$33,'Inputs'!$B$29+'Inputs'!$B$31+'Inputs'!$B$32,'Inputs'!$B$30+'Inputs'!$B$31+'Inputs'!$B$32)/1000+'Inputs'!$B$21))/SQRT((((303-43)*MAX('Inputs'!$B$33,'Inputs'!$B$29+'Inputs'!$B$31+'Inputs'!$B$32,'Inputs'!$B$30+'Inputs'!$B$31+'Inputs'!$B$32)/1000+'Inputs'!$B$21))^2+('Inputs'!$B$8/2)^2)))-'Results'!B7*(1-'Inputs'!$B$24)*(0.5*((((303-43)*MAX('Inputs'!$B$33,'Inputs'!$B$29+'Inputs'!$B$31+'Inputs'!$B$32,'Inputs'!$B$30+'Inputs'!$B$31+'Inputs'!$B$32)/1000+'Inputs'!$B$21+'Inputs'!$B$9+'Inputs'!$B$10)+'Inputs'!$B$7)/SQRT((((303-43)*MAX('Inputs'!$B$33,'Inputs'!$B$29+'Inputs'!$B$31+'Inputs'!$B$32,'Inputs'!$B$30+'Inputs'!$B$31+'Inputs'!$B$32)/1000+'Inputs'!$B$21+'Inputs'!$B$9+'Inputs'!$B$10)+'Inputs'!$B$7)^2+('Inputs'!$B$6/2)^2)-(((303-43)*MAX('Inputs'!$B$33,'Inputs'!$B$29+'Inputs'!$B$31+'Inputs'!$B$32,'Inputs'!$B$30+'Inputs'!$B$31+'Inputs'!$B$32)/1000+'Inputs'!$B$21+'Inputs'!$B$9+'Inputs'!$B$10))/SQRT((((303-43)*MAX('Inputs'!$B$33,'Inputs'!$B$29+'Inputs'!$B$31+'Inputs'!$B$32,'Inputs'!$B$30+'Inputs'!$B$31+'Inputs'!$B$32)/1000+'Inputs'!$B$21+'Inputs'!$B$9+'Inputs'!$B$10))^2+('Inputs'!$B$6/2)^2))))*'Results'!$B$8)+'Inputs'!$B$28*ABS((('Results'!C7*(1+'Inputs'!$B$24)*(0.5*((((303-43)*MAX('Inputs'!$B$33,'Inputs'!$B$29+'Inputs'!$B$31+'Inputs'!$B$32,'Inputs'!$B$30+'Inputs'!$B$31+'Inputs'!$B$32)/1000+'Inputs'!$B$21)+'Inputs'!$B$9)/SQRT((((303-43)*MAX('Inputs'!$B$33,'Inputs'!$B$29+'Inputs'!$B$31+'Inputs'!$B$32,'Inputs'!$B$30+'Inputs'!$B$31+'Inputs'!$B$32)/1000+'Inputs'!$B$21)+'Inputs'!$B$9)^2+('Inputs'!$B$8/2)^2)-(((303-43)*MAX('Inputs'!$B$33,'Inputs'!$B$29+'Inputs'!$B$31+'Inputs'!$B$32,'Inputs'!$B$30+'Inputs'!$B$31+'Inputs'!$B$32)/1000+'Inputs'!$B$21))/SQRT((((303-43)*MAX('Inputs'!$B$33,'Inputs'!$B$29+'Inputs'!$B$31+'Inputs'!$B$32,'Inputs'!$B$30+'Inputs'!$B$31+'Inputs'!$B$32)/1000+'Inputs'!$B$21))^2+('Inputs'!$B$8/2)^2)))-'Results'!B7*(1-'Inputs'!$B$24)*(0.5*((((303-43)*MAX('Inputs'!$B$33,'Inputs'!$B$29+'Inputs'!$B$31+'Inputs'!$B$32,'Inputs'!$B$30+'Inputs'!$B$31+'Inputs'!$B$32)/1000+'Inputs'!$B$21+'Inputs'!$B$9+'Inputs'!$B$10)+'Inputs'!$B$7)/SQRT((((303-43)*MAX('Inputs'!$B$33,'Inputs'!$B$29+'Inputs'!$B$31+'Inputs'!$B$32,'Inputs'!$B$30+'Inputs'!$B$31+'Inputs'!$B$32)/1000+'Inputs'!$B$21+'Inputs'!$B$9+'Inputs'!$B$10)+'Inputs'!$B$7)^2+('Inputs'!$B$6/2)^2)-(((303-43)*MAX('Inputs'!$B$33,'Inputs'!$B$29+'Inputs'!$B$31+'Inputs'!$B$32,'Inputs'!$B$30+'Inputs'!$B$31+'Inputs'!$B$32)/1000+'Inputs'!$B$21+'Inputs'!$B$9+'Inputs'!$B$10))/SQRT((((303-43)*MAX('Inputs'!$B$33,'Inputs'!$B$29+'Inputs'!$B$31+'Inputs'!$B$32,'Inputs'!$B$30+'Inputs'!$B$31+'Inputs'!$B$32)/1000+'Inputs'!$B$21+'Inputs'!$B$9+'Inputs'!$B$10))^2+('Inputs'!$B$6/2)^2))))*'Results'!$B$8))),"")</x:f>
        <x:v>36.12238409725477</x:v>
      </x:c>
      <x:c r="P303" t="n">
        <x:f>IF(AND(MAX(J303,J302)&gt;0,J303&gt;J302+0.00000001),1,0)</x:f>
        <x:v>0</x:v>
      </x:c>
      <x:c r="Q303" t="n">
        <x:f>IF(AND(MAX(K303,K302)&gt;0,K303&gt;K302+0.00000001),1,0)</x:f>
        <x:v>0</x:v>
      </x:c>
      <x:c r="R303" t="n">
        <x:f>IF(AND(MAX(L303,L302)&gt;0,L303&gt;L302+0.00000001),1,0)</x:f>
        <x:v>0</x:v>
      </x:c>
      <x:c r="S303" t="n">
        <x:f>IF(AND(MAX(M303,M302)&gt;0,M303&gt;M302+0.00000001),1,0)</x:f>
        <x:v>0</x:v>
      </x:c>
      <x:c r="T303" t="n">
        <x:f>IF(AND(MAX(N303,N302)&gt;0,N303&gt;N302+0.00000001),1,0)</x:f>
        <x:v>0</x:v>
      </x:c>
      <x:c r="U303" t="n">
        <x:f>IF(AND(MAX(O303,O302)&gt;0,O303&gt;O302+0.00000001),1,0)</x:f>
        <x:v>0</x:v>
      </x:c>
    </x:row>
    <x:row r="304">
      <x:c r="J304" t="n">
        <x:f>IF(AND(ISNUMBER('Results'!B7),ISNUMBER('Results'!C7),ISNUMBER('Results'!$B$8),ISNUMBER('Inputs'!$B$6),ISNUMBER('Inputs'!$B$7),ISNUMBER('Inputs'!$B$8),ISNUMBER('Inputs'!$B$9),ISNUMBER('Inputs'!$B$10),ISNUMBER('Inputs'!$B$21),ISNUMBER('Inputs'!$B$24),ISNUMBER('Inputs'!$B$28)),(('Results'!B7*(0.5*((((304-43)*MAX('Inputs'!$B$33,'Inputs'!$B$29+'Inputs'!$B$31+'Inputs'!$B$32,'Inputs'!$B$30+'Inputs'!$B$31+'Inputs'!$B$32)/1000+'Inputs'!$B$21)+'Inputs'!$B$7)/SQRT((((304-43)*MAX('Inputs'!$B$33,'Inputs'!$B$29+'Inputs'!$B$31+'Inputs'!$B$32,'Inputs'!$B$30+'Inputs'!$B$31+'Inputs'!$B$32)/1000+'Inputs'!$B$21)+'Inputs'!$B$7)^2+('Inputs'!$B$6/2)^2)-(((304-43)*MAX('Inputs'!$B$33,'Inputs'!$B$29+'Inputs'!$B$31+'Inputs'!$B$32,'Inputs'!$B$30+'Inputs'!$B$31+'Inputs'!$B$32)/1000+'Inputs'!$B$21))/SQRT((((304-43)*MAX('Inputs'!$B$33,'Inputs'!$B$29+'Inputs'!$B$31+'Inputs'!$B$32,'Inputs'!$B$30+'Inputs'!$B$31+'Inputs'!$B$32)/1000+'Inputs'!$B$21))^2+('Inputs'!$B$6/2)^2)))-'Results'!C7*(0.5*((((304-43)*MAX('Inputs'!$B$33,'Inputs'!$B$29+'Inputs'!$B$31+'Inputs'!$B$32,'Inputs'!$B$30+'Inputs'!$B$31+'Inputs'!$B$32)/1000+'Inputs'!$B$21+'Inputs'!$B$7+'Inputs'!$B$10)+'Inputs'!$B$9)/SQRT((((304-43)*MAX('Inputs'!$B$33,'Inputs'!$B$29+'Inputs'!$B$31+'Inputs'!$B$32,'Inputs'!$B$30+'Inputs'!$B$31+'Inputs'!$B$32)/1000+'Inputs'!$B$21+'Inputs'!$B$7+'Inputs'!$B$10)+'Inputs'!$B$9)^2+('Inputs'!$B$8/2)^2)-(((304-43)*MAX('Inputs'!$B$33,'Inputs'!$B$29+'Inputs'!$B$31+'Inputs'!$B$32,'Inputs'!$B$30+'Inputs'!$B$31+'Inputs'!$B$32)/1000+'Inputs'!$B$21+'Inputs'!$B$7+'Inputs'!$B$10))/SQRT((((304-43)*MAX('Inputs'!$B$33,'Inputs'!$B$29+'Inputs'!$B$31+'Inputs'!$B$32,'Inputs'!$B$30+'Inputs'!$B$31+'Inputs'!$B$32)/1000+'Inputs'!$B$21+'Inputs'!$B$7+'Inputs'!$B$10))^2+('Inputs'!$B$8/2)^2))))*'Results'!$B$8),"")</x:f>
        <x:v>34.03048940710262</x:v>
      </x:c>
      <x:c r="K304" t="n">
        <x:f>IF(AND(ISNUMBER('Results'!B7),ISNUMBER('Results'!C7),ISNUMBER('Results'!$B$8),ISNUMBER('Inputs'!$B$6),ISNUMBER('Inputs'!$B$7),ISNUMBER('Inputs'!$B$8),ISNUMBER('Inputs'!$B$9),ISNUMBER('Inputs'!$B$10),ISNUMBER('Inputs'!$B$21),ISNUMBER('Inputs'!$B$24),ISNUMBER('Inputs'!$B$28)),((('Results'!B7*(1-'Inputs'!$B$24)*(0.5*((((304-43)*MAX('Inputs'!$B$33,'Inputs'!$B$29+'Inputs'!$B$31+'Inputs'!$B$32,'Inputs'!$B$30+'Inputs'!$B$31+'Inputs'!$B$32)/1000+'Inputs'!$B$21)+'Inputs'!$B$7)/SQRT((((304-43)*MAX('Inputs'!$B$33,'Inputs'!$B$29+'Inputs'!$B$31+'Inputs'!$B$32,'Inputs'!$B$30+'Inputs'!$B$31+'Inputs'!$B$32)/1000+'Inputs'!$B$21)+'Inputs'!$B$7)^2+('Inputs'!$B$6/2)^2)-(((304-43)*MAX('Inputs'!$B$33,'Inputs'!$B$29+'Inputs'!$B$31+'Inputs'!$B$32,'Inputs'!$B$30+'Inputs'!$B$31+'Inputs'!$B$32)/1000+'Inputs'!$B$21))/SQRT((((304-43)*MAX('Inputs'!$B$33,'Inputs'!$B$29+'Inputs'!$B$31+'Inputs'!$B$32,'Inputs'!$B$30+'Inputs'!$B$31+'Inputs'!$B$32)/1000+'Inputs'!$B$21))^2+('Inputs'!$B$6/2)^2)))-'Results'!C7*(1+'Inputs'!$B$24)*(0.5*((((304-43)*MAX('Inputs'!$B$33,'Inputs'!$B$29+'Inputs'!$B$31+'Inputs'!$B$32,'Inputs'!$B$30+'Inputs'!$B$31+'Inputs'!$B$32)/1000+'Inputs'!$B$21+'Inputs'!$B$7+'Inputs'!$B$10)+'Inputs'!$B$9)/SQRT((((304-43)*MAX('Inputs'!$B$33,'Inputs'!$B$29+'Inputs'!$B$31+'Inputs'!$B$32,'Inputs'!$B$30+'Inputs'!$B$31+'Inputs'!$B$32)/1000+'Inputs'!$B$21+'Inputs'!$B$7+'Inputs'!$B$10)+'Inputs'!$B$9)^2+('Inputs'!$B$8/2)^2)-(((304-43)*MAX('Inputs'!$B$33,'Inputs'!$B$29+'Inputs'!$B$31+'Inputs'!$B$32,'Inputs'!$B$30+'Inputs'!$B$31+'Inputs'!$B$32)/1000+'Inputs'!$B$21+'Inputs'!$B$7+'Inputs'!$B$10))/SQRT((((304-43)*MAX('Inputs'!$B$33,'Inputs'!$B$29+'Inputs'!$B$31+'Inputs'!$B$32,'Inputs'!$B$30+'Inputs'!$B$31+'Inputs'!$B$32)/1000+'Inputs'!$B$21+'Inputs'!$B$7+'Inputs'!$B$10))^2+('Inputs'!$B$8/2)^2))))*'Results'!$B$8)-'Inputs'!$B$28*ABS((('Results'!B7*(1-'Inputs'!$B$24)*(0.5*((((304-43)*MAX('Inputs'!$B$33,'Inputs'!$B$29+'Inputs'!$B$31+'Inputs'!$B$32,'Inputs'!$B$30+'Inputs'!$B$31+'Inputs'!$B$32)/1000+'Inputs'!$B$21)+'Inputs'!$B$7)/SQRT((((304-43)*MAX('Inputs'!$B$33,'Inputs'!$B$29+'Inputs'!$B$31+'Inputs'!$B$32,'Inputs'!$B$30+'Inputs'!$B$31+'Inputs'!$B$32)/1000+'Inputs'!$B$21)+'Inputs'!$B$7)^2+('Inputs'!$B$6/2)^2)-(((304-43)*MAX('Inputs'!$B$33,'Inputs'!$B$29+'Inputs'!$B$31+'Inputs'!$B$32,'Inputs'!$B$30+'Inputs'!$B$31+'Inputs'!$B$32)/1000+'Inputs'!$B$21))/SQRT((((304-43)*MAX('Inputs'!$B$33,'Inputs'!$B$29+'Inputs'!$B$31+'Inputs'!$B$32,'Inputs'!$B$30+'Inputs'!$B$31+'Inputs'!$B$32)/1000+'Inputs'!$B$21))^2+('Inputs'!$B$6/2)^2)))-'Results'!C7*(1+'Inputs'!$B$24)*(0.5*((((304-43)*MAX('Inputs'!$B$33,'Inputs'!$B$29+'Inputs'!$B$31+'Inputs'!$B$32,'Inputs'!$B$30+'Inputs'!$B$31+'Inputs'!$B$32)/1000+'Inputs'!$B$21+'Inputs'!$B$7+'Inputs'!$B$10)+'Inputs'!$B$9)/SQRT((((304-43)*MAX('Inputs'!$B$33,'Inputs'!$B$29+'Inputs'!$B$31+'Inputs'!$B$32,'Inputs'!$B$30+'Inputs'!$B$31+'Inputs'!$B$32)/1000+'Inputs'!$B$21+'Inputs'!$B$7+'Inputs'!$B$10)+'Inputs'!$B$9)^2+('Inputs'!$B$8/2)^2)-(((304-43)*MAX('Inputs'!$B$33,'Inputs'!$B$29+'Inputs'!$B$31+'Inputs'!$B$32,'Inputs'!$B$30+'Inputs'!$B$31+'Inputs'!$B$32)/1000+'Inputs'!$B$21+'Inputs'!$B$7+'Inputs'!$B$10))/SQRT((((304-43)*MAX('Inputs'!$B$33,'Inputs'!$B$29+'Inputs'!$B$31+'Inputs'!$B$32,'Inputs'!$B$30+'Inputs'!$B$31+'Inputs'!$B$32)/1000+'Inputs'!$B$21+'Inputs'!$B$7+'Inputs'!$B$10))^2+('Inputs'!$B$8/2)^2))))*'Results'!$B$8))),"")</x:f>
        <x:v>30.92410168972798</x:v>
      </x:c>
      <x:c r="L304" t="n">
        <x:f>IF(AND(ISNUMBER('Results'!B7),ISNUMBER('Results'!C7),ISNUMBER('Results'!$B$8),ISNUMBER('Inputs'!$B$6),ISNUMBER('Inputs'!$B$7),ISNUMBER('Inputs'!$B$8),ISNUMBER('Inputs'!$B$9),ISNUMBER('Inputs'!$B$10),ISNUMBER('Inputs'!$B$21),ISNUMBER('Inputs'!$B$24),ISNUMBER('Inputs'!$B$28)),((('Results'!B7*(1+'Inputs'!$B$24)*(0.5*((((304-43)*MAX('Inputs'!$B$33,'Inputs'!$B$29+'Inputs'!$B$31+'Inputs'!$B$32,'Inputs'!$B$30+'Inputs'!$B$31+'Inputs'!$B$32)/1000+'Inputs'!$B$21)+'Inputs'!$B$7)/SQRT((((304-43)*MAX('Inputs'!$B$33,'Inputs'!$B$29+'Inputs'!$B$31+'Inputs'!$B$32,'Inputs'!$B$30+'Inputs'!$B$31+'Inputs'!$B$32)/1000+'Inputs'!$B$21)+'Inputs'!$B$7)^2+('Inputs'!$B$6/2)^2)-(((304-43)*MAX('Inputs'!$B$33,'Inputs'!$B$29+'Inputs'!$B$31+'Inputs'!$B$32,'Inputs'!$B$30+'Inputs'!$B$31+'Inputs'!$B$32)/1000+'Inputs'!$B$21))/SQRT((((304-43)*MAX('Inputs'!$B$33,'Inputs'!$B$29+'Inputs'!$B$31+'Inputs'!$B$32,'Inputs'!$B$30+'Inputs'!$B$31+'Inputs'!$B$32)/1000+'Inputs'!$B$21))^2+('Inputs'!$B$6/2)^2)))-'Results'!C7*(1-'Inputs'!$B$24)*(0.5*((((304-43)*MAX('Inputs'!$B$33,'Inputs'!$B$29+'Inputs'!$B$31+'Inputs'!$B$32,'Inputs'!$B$30+'Inputs'!$B$31+'Inputs'!$B$32)/1000+'Inputs'!$B$21+'Inputs'!$B$7+'Inputs'!$B$10)+'Inputs'!$B$9)/SQRT((((304-43)*MAX('Inputs'!$B$33,'Inputs'!$B$29+'Inputs'!$B$31+'Inputs'!$B$32,'Inputs'!$B$30+'Inputs'!$B$31+'Inputs'!$B$32)/1000+'Inputs'!$B$21+'Inputs'!$B$7+'Inputs'!$B$10)+'Inputs'!$B$9)^2+('Inputs'!$B$8/2)^2)-(((304-43)*MAX('Inputs'!$B$33,'Inputs'!$B$29+'Inputs'!$B$31+'Inputs'!$B$32,'Inputs'!$B$30+'Inputs'!$B$31+'Inputs'!$B$32)/1000+'Inputs'!$B$21+'Inputs'!$B$7+'Inputs'!$B$10))/SQRT((((304-43)*MAX('Inputs'!$B$33,'Inputs'!$B$29+'Inputs'!$B$31+'Inputs'!$B$32,'Inputs'!$B$30+'Inputs'!$B$31+'Inputs'!$B$32)/1000+'Inputs'!$B$21+'Inputs'!$B$7+'Inputs'!$B$10))^2+('Inputs'!$B$8/2)^2))))*'Results'!$B$8)+'Inputs'!$B$28*ABS((('Results'!B7*(1+'Inputs'!$B$24)*(0.5*((((304-43)*MAX('Inputs'!$B$33,'Inputs'!$B$29+'Inputs'!$B$31+'Inputs'!$B$32,'Inputs'!$B$30+'Inputs'!$B$31+'Inputs'!$B$32)/1000+'Inputs'!$B$21)+'Inputs'!$B$7)/SQRT((((304-43)*MAX('Inputs'!$B$33,'Inputs'!$B$29+'Inputs'!$B$31+'Inputs'!$B$32,'Inputs'!$B$30+'Inputs'!$B$31+'Inputs'!$B$32)/1000+'Inputs'!$B$21)+'Inputs'!$B$7)^2+('Inputs'!$B$6/2)^2)-(((304-43)*MAX('Inputs'!$B$33,'Inputs'!$B$29+'Inputs'!$B$31+'Inputs'!$B$32,'Inputs'!$B$30+'Inputs'!$B$31+'Inputs'!$B$32)/1000+'Inputs'!$B$21))/SQRT((((304-43)*MAX('Inputs'!$B$33,'Inputs'!$B$29+'Inputs'!$B$31+'Inputs'!$B$32,'Inputs'!$B$30+'Inputs'!$B$31+'Inputs'!$B$32)/1000+'Inputs'!$B$21))^2+('Inputs'!$B$6/2)^2)))-'Results'!C7*(1-'Inputs'!$B$24)*(0.5*((((304-43)*MAX('Inputs'!$B$33,'Inputs'!$B$29+'Inputs'!$B$31+'Inputs'!$B$32,'Inputs'!$B$30+'Inputs'!$B$31+'Inputs'!$B$32)/1000+'Inputs'!$B$21+'Inputs'!$B$7+'Inputs'!$B$10)+'Inputs'!$B$9)/SQRT((((304-43)*MAX('Inputs'!$B$33,'Inputs'!$B$29+'Inputs'!$B$31+'Inputs'!$B$32,'Inputs'!$B$30+'Inputs'!$B$31+'Inputs'!$B$32)/1000+'Inputs'!$B$21+'Inputs'!$B$7+'Inputs'!$B$10)+'Inputs'!$B$9)^2+('Inputs'!$B$8/2)^2)-(((304-43)*MAX('Inputs'!$B$33,'Inputs'!$B$29+'Inputs'!$B$31+'Inputs'!$B$32,'Inputs'!$B$30+'Inputs'!$B$31+'Inputs'!$B$32)/1000+'Inputs'!$B$21+'Inputs'!$B$7+'Inputs'!$B$10))/SQRT((((304-43)*MAX('Inputs'!$B$33,'Inputs'!$B$29+'Inputs'!$B$31+'Inputs'!$B$32,'Inputs'!$B$30+'Inputs'!$B$31+'Inputs'!$B$32)/1000+'Inputs'!$B$21+'Inputs'!$B$7+'Inputs'!$B$10))^2+('Inputs'!$B$8/2)^2))))*'Results'!$B$8))),"")</x:f>
        <x:v>37.28475746626878</x:v>
      </x:c>
      <x:c r="M304" t="n">
        <x:f>IF(AND(ISNUMBER('Results'!C7),ISNUMBER('Results'!B7),ISNUMBER('Results'!$B$8),ISNUMBER('Inputs'!$B$6),ISNUMBER('Inputs'!$B$7),ISNUMBER('Inputs'!$B$8),ISNUMBER('Inputs'!$B$9),ISNUMBER('Inputs'!$B$10),ISNUMBER('Inputs'!$B$21),ISNUMBER('Inputs'!$B$24),ISNUMBER('Inputs'!$B$28)),(('Results'!C7*(0.5*((((304-43)*MAX('Inputs'!$B$33,'Inputs'!$B$29+'Inputs'!$B$31+'Inputs'!$B$32,'Inputs'!$B$30+'Inputs'!$B$31+'Inputs'!$B$32)/1000+'Inputs'!$B$21)+'Inputs'!$B$9)/SQRT((((304-43)*MAX('Inputs'!$B$33,'Inputs'!$B$29+'Inputs'!$B$31+'Inputs'!$B$32,'Inputs'!$B$30+'Inputs'!$B$31+'Inputs'!$B$32)/1000+'Inputs'!$B$21)+'Inputs'!$B$9)^2+('Inputs'!$B$8/2)^2)-(((304-43)*MAX('Inputs'!$B$33,'Inputs'!$B$29+'Inputs'!$B$31+'Inputs'!$B$32,'Inputs'!$B$30+'Inputs'!$B$31+'Inputs'!$B$32)/1000+'Inputs'!$B$21))/SQRT((((304-43)*MAX('Inputs'!$B$33,'Inputs'!$B$29+'Inputs'!$B$31+'Inputs'!$B$32,'Inputs'!$B$30+'Inputs'!$B$31+'Inputs'!$B$32)/1000+'Inputs'!$B$21))^2+('Inputs'!$B$8/2)^2)))-'Results'!B7*(0.5*((((304-43)*MAX('Inputs'!$B$33,'Inputs'!$B$29+'Inputs'!$B$31+'Inputs'!$B$32,'Inputs'!$B$30+'Inputs'!$B$31+'Inputs'!$B$32)/1000+'Inputs'!$B$21+'Inputs'!$B$9+'Inputs'!$B$10)+'Inputs'!$B$7)/SQRT((((304-43)*MAX('Inputs'!$B$33,'Inputs'!$B$29+'Inputs'!$B$31+'Inputs'!$B$32,'Inputs'!$B$30+'Inputs'!$B$31+'Inputs'!$B$32)/1000+'Inputs'!$B$21+'Inputs'!$B$9+'Inputs'!$B$10)+'Inputs'!$B$7)^2+('Inputs'!$B$6/2)^2)-(((304-43)*MAX('Inputs'!$B$33,'Inputs'!$B$29+'Inputs'!$B$31+'Inputs'!$B$32,'Inputs'!$B$30+'Inputs'!$B$31+'Inputs'!$B$32)/1000+'Inputs'!$B$21+'Inputs'!$B$9+'Inputs'!$B$10))/SQRT((((304-43)*MAX('Inputs'!$B$33,'Inputs'!$B$29+'Inputs'!$B$31+'Inputs'!$B$32,'Inputs'!$B$30+'Inputs'!$B$31+'Inputs'!$B$32)/1000+'Inputs'!$B$21+'Inputs'!$B$9+'Inputs'!$B$10))^2+('Inputs'!$B$6/2)^2))))*'Results'!$B$8),"")</x:f>
        <x:v>32.54354115623048</x:v>
      </x:c>
      <x:c r="N304" t="n">
        <x:f>IF(AND(ISNUMBER('Results'!C7),ISNUMBER('Results'!B7),ISNUMBER('Results'!$B$8),ISNUMBER('Inputs'!$B$6),ISNUMBER('Inputs'!$B$7),ISNUMBER('Inputs'!$B$8),ISNUMBER('Inputs'!$B$9),ISNUMBER('Inputs'!$B$10),ISNUMBER('Inputs'!$B$21),ISNUMBER('Inputs'!$B$24),ISNUMBER('Inputs'!$B$28)),((('Results'!C7*(1-'Inputs'!$B$24)*(0.5*((((304-43)*MAX('Inputs'!$B$33,'Inputs'!$B$29+'Inputs'!$B$31+'Inputs'!$B$32,'Inputs'!$B$30+'Inputs'!$B$31+'Inputs'!$B$32)/1000+'Inputs'!$B$21)+'Inputs'!$B$9)/SQRT((((304-43)*MAX('Inputs'!$B$33,'Inputs'!$B$29+'Inputs'!$B$31+'Inputs'!$B$32,'Inputs'!$B$30+'Inputs'!$B$31+'Inputs'!$B$32)/1000+'Inputs'!$B$21)+'Inputs'!$B$9)^2+('Inputs'!$B$8/2)^2)-(((304-43)*MAX('Inputs'!$B$33,'Inputs'!$B$29+'Inputs'!$B$31+'Inputs'!$B$32,'Inputs'!$B$30+'Inputs'!$B$31+'Inputs'!$B$32)/1000+'Inputs'!$B$21))/SQRT((((304-43)*MAX('Inputs'!$B$33,'Inputs'!$B$29+'Inputs'!$B$31+'Inputs'!$B$32,'Inputs'!$B$30+'Inputs'!$B$31+'Inputs'!$B$32)/1000+'Inputs'!$B$21))^2+('Inputs'!$B$8/2)^2)))-'Results'!B7*(1+'Inputs'!$B$24)*(0.5*((((304-43)*MAX('Inputs'!$B$33,'Inputs'!$B$29+'Inputs'!$B$31+'Inputs'!$B$32,'Inputs'!$B$30+'Inputs'!$B$31+'Inputs'!$B$32)/1000+'Inputs'!$B$21+'Inputs'!$B$9+'Inputs'!$B$10)+'Inputs'!$B$7)/SQRT((((304-43)*MAX('Inputs'!$B$33,'Inputs'!$B$29+'Inputs'!$B$31+'Inputs'!$B$32,'Inputs'!$B$30+'Inputs'!$B$31+'Inputs'!$B$32)/1000+'Inputs'!$B$21+'Inputs'!$B$9+'Inputs'!$B$10)+'Inputs'!$B$7)^2+('Inputs'!$B$6/2)^2)-(((304-43)*MAX('Inputs'!$B$33,'Inputs'!$B$29+'Inputs'!$B$31+'Inputs'!$B$32,'Inputs'!$B$30+'Inputs'!$B$31+'Inputs'!$B$32)/1000+'Inputs'!$B$21+'Inputs'!$B$9+'Inputs'!$B$10))/SQRT((((304-43)*MAX('Inputs'!$B$33,'Inputs'!$B$29+'Inputs'!$B$31+'Inputs'!$B$32,'Inputs'!$B$30+'Inputs'!$B$31+'Inputs'!$B$32)/1000+'Inputs'!$B$21+'Inputs'!$B$9+'Inputs'!$B$10))^2+('Inputs'!$B$6/2)^2))))*'Results'!$B$8)-'Inputs'!$B$28*ABS((('Results'!C7*(1-'Inputs'!$B$24)*(0.5*((((304-43)*MAX('Inputs'!$B$33,'Inputs'!$B$29+'Inputs'!$B$31+'Inputs'!$B$32,'Inputs'!$B$30+'Inputs'!$B$31+'Inputs'!$B$32)/1000+'Inputs'!$B$21)+'Inputs'!$B$9)/SQRT((((304-43)*MAX('Inputs'!$B$33,'Inputs'!$B$29+'Inputs'!$B$31+'Inputs'!$B$32,'Inputs'!$B$30+'Inputs'!$B$31+'Inputs'!$B$32)/1000+'Inputs'!$B$21)+'Inputs'!$B$9)^2+('Inputs'!$B$8/2)^2)-(((304-43)*MAX('Inputs'!$B$33,'Inputs'!$B$29+'Inputs'!$B$31+'Inputs'!$B$32,'Inputs'!$B$30+'Inputs'!$B$31+'Inputs'!$B$32)/1000+'Inputs'!$B$21))/SQRT((((304-43)*MAX('Inputs'!$B$33,'Inputs'!$B$29+'Inputs'!$B$31+'Inputs'!$B$32,'Inputs'!$B$30+'Inputs'!$B$31+'Inputs'!$B$32)/1000+'Inputs'!$B$21))^2+('Inputs'!$B$8/2)^2)))-'Results'!B7*(1+'Inputs'!$B$24)*(0.5*((((304-43)*MAX('Inputs'!$B$33,'Inputs'!$B$29+'Inputs'!$B$31+'Inputs'!$B$32,'Inputs'!$B$30+'Inputs'!$B$31+'Inputs'!$B$32)/1000+'Inputs'!$B$21+'Inputs'!$B$9+'Inputs'!$B$10)+'Inputs'!$B$7)/SQRT((((304-43)*MAX('Inputs'!$B$33,'Inputs'!$B$29+'Inputs'!$B$31+'Inputs'!$B$32,'Inputs'!$B$30+'Inputs'!$B$31+'Inputs'!$B$32)/1000+'Inputs'!$B$21+'Inputs'!$B$9+'Inputs'!$B$10)+'Inputs'!$B$7)^2+('Inputs'!$B$6/2)^2)-(((304-43)*MAX('Inputs'!$B$33,'Inputs'!$B$29+'Inputs'!$B$31+'Inputs'!$B$32,'Inputs'!$B$30+'Inputs'!$B$31+'Inputs'!$B$32)/1000+'Inputs'!$B$21+'Inputs'!$B$9+'Inputs'!$B$10))/SQRT((((304-43)*MAX('Inputs'!$B$33,'Inputs'!$B$29+'Inputs'!$B$31+'Inputs'!$B$32,'Inputs'!$B$30+'Inputs'!$B$31+'Inputs'!$B$32)/1000+'Inputs'!$B$21+'Inputs'!$B$9+'Inputs'!$B$10))^2+('Inputs'!$B$6/2)^2))))*'Results'!$B$8))),"")</x:f>
        <x:v>29.52427768554797</x:v>
      </x:c>
      <x:c r="O304" t="n">
        <x:f>IF(AND(ISNUMBER('Results'!C7),ISNUMBER('Results'!B7),ISNUMBER('Results'!$B$8),ISNUMBER('Inputs'!$B$6),ISNUMBER('Inputs'!$B$7),ISNUMBER('Inputs'!$B$8),ISNUMBER('Inputs'!$B$9),ISNUMBER('Inputs'!$B$10),ISNUMBER('Inputs'!$B$21),ISNUMBER('Inputs'!$B$24),ISNUMBER('Inputs'!$B$28)),((('Results'!C7*(1+'Inputs'!$B$24)*(0.5*((((304-43)*MAX('Inputs'!$B$33,'Inputs'!$B$29+'Inputs'!$B$31+'Inputs'!$B$32,'Inputs'!$B$30+'Inputs'!$B$31+'Inputs'!$B$32)/1000+'Inputs'!$B$21)+'Inputs'!$B$9)/SQRT((((304-43)*MAX('Inputs'!$B$33,'Inputs'!$B$29+'Inputs'!$B$31+'Inputs'!$B$32,'Inputs'!$B$30+'Inputs'!$B$31+'Inputs'!$B$32)/1000+'Inputs'!$B$21)+'Inputs'!$B$9)^2+('Inputs'!$B$8/2)^2)-(((304-43)*MAX('Inputs'!$B$33,'Inputs'!$B$29+'Inputs'!$B$31+'Inputs'!$B$32,'Inputs'!$B$30+'Inputs'!$B$31+'Inputs'!$B$32)/1000+'Inputs'!$B$21))/SQRT((((304-43)*MAX('Inputs'!$B$33,'Inputs'!$B$29+'Inputs'!$B$31+'Inputs'!$B$32,'Inputs'!$B$30+'Inputs'!$B$31+'Inputs'!$B$32)/1000+'Inputs'!$B$21))^2+('Inputs'!$B$8/2)^2)))-'Results'!B7*(1-'Inputs'!$B$24)*(0.5*((((304-43)*MAX('Inputs'!$B$33,'Inputs'!$B$29+'Inputs'!$B$31+'Inputs'!$B$32,'Inputs'!$B$30+'Inputs'!$B$31+'Inputs'!$B$32)/1000+'Inputs'!$B$21+'Inputs'!$B$9+'Inputs'!$B$10)+'Inputs'!$B$7)/SQRT((((304-43)*MAX('Inputs'!$B$33,'Inputs'!$B$29+'Inputs'!$B$31+'Inputs'!$B$32,'Inputs'!$B$30+'Inputs'!$B$31+'Inputs'!$B$32)/1000+'Inputs'!$B$21+'Inputs'!$B$9+'Inputs'!$B$10)+'Inputs'!$B$7)^2+('Inputs'!$B$6/2)^2)-(((304-43)*MAX('Inputs'!$B$33,'Inputs'!$B$29+'Inputs'!$B$31+'Inputs'!$B$32,'Inputs'!$B$30+'Inputs'!$B$31+'Inputs'!$B$32)/1000+'Inputs'!$B$21+'Inputs'!$B$9+'Inputs'!$B$10))/SQRT((((304-43)*MAX('Inputs'!$B$33,'Inputs'!$B$29+'Inputs'!$B$31+'Inputs'!$B$32,'Inputs'!$B$30+'Inputs'!$B$31+'Inputs'!$B$32)/1000+'Inputs'!$B$21+'Inputs'!$B$9+'Inputs'!$B$10))^2+('Inputs'!$B$6/2)^2))))*'Results'!$B$8)+'Inputs'!$B$28*ABS((('Results'!C7*(1+'Inputs'!$B$24)*(0.5*((((304-43)*MAX('Inputs'!$B$33,'Inputs'!$B$29+'Inputs'!$B$31+'Inputs'!$B$32,'Inputs'!$B$30+'Inputs'!$B$31+'Inputs'!$B$32)/1000+'Inputs'!$B$21)+'Inputs'!$B$9)/SQRT((((304-43)*MAX('Inputs'!$B$33,'Inputs'!$B$29+'Inputs'!$B$31+'Inputs'!$B$32,'Inputs'!$B$30+'Inputs'!$B$31+'Inputs'!$B$32)/1000+'Inputs'!$B$21)+'Inputs'!$B$9)^2+('Inputs'!$B$8/2)^2)-(((304-43)*MAX('Inputs'!$B$33,'Inputs'!$B$29+'Inputs'!$B$31+'Inputs'!$B$32,'Inputs'!$B$30+'Inputs'!$B$31+'Inputs'!$B$32)/1000+'Inputs'!$B$21))/SQRT((((304-43)*MAX('Inputs'!$B$33,'Inputs'!$B$29+'Inputs'!$B$31+'Inputs'!$B$32,'Inputs'!$B$30+'Inputs'!$B$31+'Inputs'!$B$32)/1000+'Inputs'!$B$21))^2+('Inputs'!$B$8/2)^2)))-'Results'!B7*(1-'Inputs'!$B$24)*(0.5*((((304-43)*MAX('Inputs'!$B$33,'Inputs'!$B$29+'Inputs'!$B$31+'Inputs'!$B$32,'Inputs'!$B$30+'Inputs'!$B$31+'Inputs'!$B$32)/1000+'Inputs'!$B$21+'Inputs'!$B$9+'Inputs'!$B$10)+'Inputs'!$B$7)/SQRT((((304-43)*MAX('Inputs'!$B$33,'Inputs'!$B$29+'Inputs'!$B$31+'Inputs'!$B$32,'Inputs'!$B$30+'Inputs'!$B$31+'Inputs'!$B$32)/1000+'Inputs'!$B$21+'Inputs'!$B$9+'Inputs'!$B$10)+'Inputs'!$B$7)^2+('Inputs'!$B$6/2)^2)-(((304-43)*MAX('Inputs'!$B$33,'Inputs'!$B$29+'Inputs'!$B$31+'Inputs'!$B$32,'Inputs'!$B$30+'Inputs'!$B$31+'Inputs'!$B$32)/1000+'Inputs'!$B$21+'Inputs'!$B$9+'Inputs'!$B$10))/SQRT((((304-43)*MAX('Inputs'!$B$33,'Inputs'!$B$29+'Inputs'!$B$31+'Inputs'!$B$32,'Inputs'!$B$30+'Inputs'!$B$31+'Inputs'!$B$32)/1000+'Inputs'!$B$21+'Inputs'!$B$9+'Inputs'!$B$10))^2+('Inputs'!$B$6/2)^2))))*'Results'!$B$8))),"")</x:f>
        <x:v>35.70934003879416</x:v>
      </x:c>
      <x:c r="P304" t="n">
        <x:f>IF(AND(MAX(J304,J303)&gt;0,J304&gt;J303+0.00000001),1,0)</x:f>
        <x:v>0</x:v>
      </x:c>
      <x:c r="Q304" t="n">
        <x:f>IF(AND(MAX(K304,K303)&gt;0,K304&gt;K303+0.00000001),1,0)</x:f>
        <x:v>0</x:v>
      </x:c>
      <x:c r="R304" t="n">
        <x:f>IF(AND(MAX(L304,L303)&gt;0,L304&gt;L303+0.00000001),1,0)</x:f>
        <x:v>0</x:v>
      </x:c>
      <x:c r="S304" t="n">
        <x:f>IF(AND(MAX(M304,M303)&gt;0,M304&gt;M303+0.00000001),1,0)</x:f>
        <x:v>0</x:v>
      </x:c>
      <x:c r="T304" t="n">
        <x:f>IF(AND(MAX(N304,N303)&gt;0,N304&gt;N303+0.00000001),1,0)</x:f>
        <x:v>0</x:v>
      </x:c>
      <x:c r="U304" t="n">
        <x:f>IF(AND(MAX(O304,O303)&gt;0,O304&gt;O303+0.00000001),1,0)</x:f>
        <x:v>0</x:v>
      </x:c>
    </x:row>
    <x:row r="305">
      <x:c r="J305" t="n">
        <x:f>IF(AND(ISNUMBER('Results'!B7),ISNUMBER('Results'!C7),ISNUMBER('Results'!$B$8),ISNUMBER('Inputs'!$B$6),ISNUMBER('Inputs'!$B$7),ISNUMBER('Inputs'!$B$8),ISNUMBER('Inputs'!$B$9),ISNUMBER('Inputs'!$B$10),ISNUMBER('Inputs'!$B$21),ISNUMBER('Inputs'!$B$24),ISNUMBER('Inputs'!$B$28)),(('Results'!B7*(0.5*((((305-43)*MAX('Inputs'!$B$33,'Inputs'!$B$29+'Inputs'!$B$31+'Inputs'!$B$32,'Inputs'!$B$30+'Inputs'!$B$31+'Inputs'!$B$32)/1000+'Inputs'!$B$21)+'Inputs'!$B$7)/SQRT((((305-43)*MAX('Inputs'!$B$33,'Inputs'!$B$29+'Inputs'!$B$31+'Inputs'!$B$32,'Inputs'!$B$30+'Inputs'!$B$31+'Inputs'!$B$32)/1000+'Inputs'!$B$21)+'Inputs'!$B$7)^2+('Inputs'!$B$6/2)^2)-(((305-43)*MAX('Inputs'!$B$33,'Inputs'!$B$29+'Inputs'!$B$31+'Inputs'!$B$32,'Inputs'!$B$30+'Inputs'!$B$31+'Inputs'!$B$32)/1000+'Inputs'!$B$21))/SQRT((((305-43)*MAX('Inputs'!$B$33,'Inputs'!$B$29+'Inputs'!$B$31+'Inputs'!$B$32,'Inputs'!$B$30+'Inputs'!$B$31+'Inputs'!$B$32)/1000+'Inputs'!$B$21))^2+('Inputs'!$B$6/2)^2)))-'Results'!C7*(0.5*((((305-43)*MAX('Inputs'!$B$33,'Inputs'!$B$29+'Inputs'!$B$31+'Inputs'!$B$32,'Inputs'!$B$30+'Inputs'!$B$31+'Inputs'!$B$32)/1000+'Inputs'!$B$21+'Inputs'!$B$7+'Inputs'!$B$10)+'Inputs'!$B$9)/SQRT((((305-43)*MAX('Inputs'!$B$33,'Inputs'!$B$29+'Inputs'!$B$31+'Inputs'!$B$32,'Inputs'!$B$30+'Inputs'!$B$31+'Inputs'!$B$32)/1000+'Inputs'!$B$21+'Inputs'!$B$7+'Inputs'!$B$10)+'Inputs'!$B$9)^2+('Inputs'!$B$8/2)^2)-(((305-43)*MAX('Inputs'!$B$33,'Inputs'!$B$29+'Inputs'!$B$31+'Inputs'!$B$32,'Inputs'!$B$30+'Inputs'!$B$31+'Inputs'!$B$32)/1000+'Inputs'!$B$21+'Inputs'!$B$7+'Inputs'!$B$10))/SQRT((((305-43)*MAX('Inputs'!$B$33,'Inputs'!$B$29+'Inputs'!$B$31+'Inputs'!$B$32,'Inputs'!$B$30+'Inputs'!$B$31+'Inputs'!$B$32)/1000+'Inputs'!$B$21+'Inputs'!$B$7+'Inputs'!$B$10))^2+('Inputs'!$B$8/2)^2))))*'Results'!$B$8),"")</x:f>
        <x:v>33.64246685188399</x:v>
      </x:c>
      <x:c r="K305" t="n">
        <x:f>IF(AND(ISNUMBER('Results'!B7),ISNUMBER('Results'!C7),ISNUMBER('Results'!$B$8),ISNUMBER('Inputs'!$B$6),ISNUMBER('Inputs'!$B$7),ISNUMBER('Inputs'!$B$8),ISNUMBER('Inputs'!$B$9),ISNUMBER('Inputs'!$B$10),ISNUMBER('Inputs'!$B$21),ISNUMBER('Inputs'!$B$24),ISNUMBER('Inputs'!$B$28)),((('Results'!B7*(1-'Inputs'!$B$24)*(0.5*((((305-43)*MAX('Inputs'!$B$33,'Inputs'!$B$29+'Inputs'!$B$31+'Inputs'!$B$32,'Inputs'!$B$30+'Inputs'!$B$31+'Inputs'!$B$32)/1000+'Inputs'!$B$21)+'Inputs'!$B$7)/SQRT((((305-43)*MAX('Inputs'!$B$33,'Inputs'!$B$29+'Inputs'!$B$31+'Inputs'!$B$32,'Inputs'!$B$30+'Inputs'!$B$31+'Inputs'!$B$32)/1000+'Inputs'!$B$21)+'Inputs'!$B$7)^2+('Inputs'!$B$6/2)^2)-(((305-43)*MAX('Inputs'!$B$33,'Inputs'!$B$29+'Inputs'!$B$31+'Inputs'!$B$32,'Inputs'!$B$30+'Inputs'!$B$31+'Inputs'!$B$32)/1000+'Inputs'!$B$21))/SQRT((((305-43)*MAX('Inputs'!$B$33,'Inputs'!$B$29+'Inputs'!$B$31+'Inputs'!$B$32,'Inputs'!$B$30+'Inputs'!$B$31+'Inputs'!$B$32)/1000+'Inputs'!$B$21))^2+('Inputs'!$B$6/2)^2)))-'Results'!C7*(1+'Inputs'!$B$24)*(0.5*((((305-43)*MAX('Inputs'!$B$33,'Inputs'!$B$29+'Inputs'!$B$31+'Inputs'!$B$32,'Inputs'!$B$30+'Inputs'!$B$31+'Inputs'!$B$32)/1000+'Inputs'!$B$21+'Inputs'!$B$7+'Inputs'!$B$10)+'Inputs'!$B$9)/SQRT((((305-43)*MAX('Inputs'!$B$33,'Inputs'!$B$29+'Inputs'!$B$31+'Inputs'!$B$32,'Inputs'!$B$30+'Inputs'!$B$31+'Inputs'!$B$32)/1000+'Inputs'!$B$21+'Inputs'!$B$7+'Inputs'!$B$10)+'Inputs'!$B$9)^2+('Inputs'!$B$8/2)^2)-(((305-43)*MAX('Inputs'!$B$33,'Inputs'!$B$29+'Inputs'!$B$31+'Inputs'!$B$32,'Inputs'!$B$30+'Inputs'!$B$31+'Inputs'!$B$32)/1000+'Inputs'!$B$21+'Inputs'!$B$7+'Inputs'!$B$10))/SQRT((((305-43)*MAX('Inputs'!$B$33,'Inputs'!$B$29+'Inputs'!$B$31+'Inputs'!$B$32,'Inputs'!$B$30+'Inputs'!$B$31+'Inputs'!$B$32)/1000+'Inputs'!$B$21+'Inputs'!$B$7+'Inputs'!$B$10))^2+('Inputs'!$B$8/2)^2))))*'Results'!$B$8)-'Inputs'!$B$28*ABS((('Results'!B7*(1-'Inputs'!$B$24)*(0.5*((((305-43)*MAX('Inputs'!$B$33,'Inputs'!$B$29+'Inputs'!$B$31+'Inputs'!$B$32,'Inputs'!$B$30+'Inputs'!$B$31+'Inputs'!$B$32)/1000+'Inputs'!$B$21)+'Inputs'!$B$7)/SQRT((((305-43)*MAX('Inputs'!$B$33,'Inputs'!$B$29+'Inputs'!$B$31+'Inputs'!$B$32,'Inputs'!$B$30+'Inputs'!$B$31+'Inputs'!$B$32)/1000+'Inputs'!$B$21)+'Inputs'!$B$7)^2+('Inputs'!$B$6/2)^2)-(((305-43)*MAX('Inputs'!$B$33,'Inputs'!$B$29+'Inputs'!$B$31+'Inputs'!$B$32,'Inputs'!$B$30+'Inputs'!$B$31+'Inputs'!$B$32)/1000+'Inputs'!$B$21))/SQRT((((305-43)*MAX('Inputs'!$B$33,'Inputs'!$B$29+'Inputs'!$B$31+'Inputs'!$B$32,'Inputs'!$B$30+'Inputs'!$B$31+'Inputs'!$B$32)/1000+'Inputs'!$B$21))^2+('Inputs'!$B$6/2)^2)))-'Results'!C7*(1+'Inputs'!$B$24)*(0.5*((((305-43)*MAX('Inputs'!$B$33,'Inputs'!$B$29+'Inputs'!$B$31+'Inputs'!$B$32,'Inputs'!$B$30+'Inputs'!$B$31+'Inputs'!$B$32)/1000+'Inputs'!$B$21+'Inputs'!$B$7+'Inputs'!$B$10)+'Inputs'!$B$9)/SQRT((((305-43)*MAX('Inputs'!$B$33,'Inputs'!$B$29+'Inputs'!$B$31+'Inputs'!$B$32,'Inputs'!$B$30+'Inputs'!$B$31+'Inputs'!$B$32)/1000+'Inputs'!$B$21+'Inputs'!$B$7+'Inputs'!$B$10)+'Inputs'!$B$9)^2+('Inputs'!$B$8/2)^2)-(((305-43)*MAX('Inputs'!$B$33,'Inputs'!$B$29+'Inputs'!$B$31+'Inputs'!$B$32,'Inputs'!$B$30+'Inputs'!$B$31+'Inputs'!$B$32)/1000+'Inputs'!$B$21+'Inputs'!$B$7+'Inputs'!$B$10))/SQRT((((305-43)*MAX('Inputs'!$B$33,'Inputs'!$B$29+'Inputs'!$B$31+'Inputs'!$B$32,'Inputs'!$B$30+'Inputs'!$B$31+'Inputs'!$B$32)/1000+'Inputs'!$B$21+'Inputs'!$B$7+'Inputs'!$B$10))^2+('Inputs'!$B$8/2)^2))))*'Results'!$B$8))),"")</x:f>
        <x:v>30.56837089125627</x:v>
      </x:c>
      <x:c r="L305" t="n">
        <x:f>IF(AND(ISNUMBER('Results'!B7),ISNUMBER('Results'!C7),ISNUMBER('Results'!$B$8),ISNUMBER('Inputs'!$B$6),ISNUMBER('Inputs'!$B$7),ISNUMBER('Inputs'!$B$8),ISNUMBER('Inputs'!$B$9),ISNUMBER('Inputs'!$B$10),ISNUMBER('Inputs'!$B$21),ISNUMBER('Inputs'!$B$24),ISNUMBER('Inputs'!$B$28)),((('Results'!B7*(1+'Inputs'!$B$24)*(0.5*((((305-43)*MAX('Inputs'!$B$33,'Inputs'!$B$29+'Inputs'!$B$31+'Inputs'!$B$32,'Inputs'!$B$30+'Inputs'!$B$31+'Inputs'!$B$32)/1000+'Inputs'!$B$21)+'Inputs'!$B$7)/SQRT((((305-43)*MAX('Inputs'!$B$33,'Inputs'!$B$29+'Inputs'!$B$31+'Inputs'!$B$32,'Inputs'!$B$30+'Inputs'!$B$31+'Inputs'!$B$32)/1000+'Inputs'!$B$21)+'Inputs'!$B$7)^2+('Inputs'!$B$6/2)^2)-(((305-43)*MAX('Inputs'!$B$33,'Inputs'!$B$29+'Inputs'!$B$31+'Inputs'!$B$32,'Inputs'!$B$30+'Inputs'!$B$31+'Inputs'!$B$32)/1000+'Inputs'!$B$21))/SQRT((((305-43)*MAX('Inputs'!$B$33,'Inputs'!$B$29+'Inputs'!$B$31+'Inputs'!$B$32,'Inputs'!$B$30+'Inputs'!$B$31+'Inputs'!$B$32)/1000+'Inputs'!$B$21))^2+('Inputs'!$B$6/2)^2)))-'Results'!C7*(1-'Inputs'!$B$24)*(0.5*((((305-43)*MAX('Inputs'!$B$33,'Inputs'!$B$29+'Inputs'!$B$31+'Inputs'!$B$32,'Inputs'!$B$30+'Inputs'!$B$31+'Inputs'!$B$32)/1000+'Inputs'!$B$21+'Inputs'!$B$7+'Inputs'!$B$10)+'Inputs'!$B$9)/SQRT((((305-43)*MAX('Inputs'!$B$33,'Inputs'!$B$29+'Inputs'!$B$31+'Inputs'!$B$32,'Inputs'!$B$30+'Inputs'!$B$31+'Inputs'!$B$32)/1000+'Inputs'!$B$21+'Inputs'!$B$7+'Inputs'!$B$10)+'Inputs'!$B$9)^2+('Inputs'!$B$8/2)^2)-(((305-43)*MAX('Inputs'!$B$33,'Inputs'!$B$29+'Inputs'!$B$31+'Inputs'!$B$32,'Inputs'!$B$30+'Inputs'!$B$31+'Inputs'!$B$32)/1000+'Inputs'!$B$21+'Inputs'!$B$7+'Inputs'!$B$10))/SQRT((((305-43)*MAX('Inputs'!$B$33,'Inputs'!$B$29+'Inputs'!$B$31+'Inputs'!$B$32,'Inputs'!$B$30+'Inputs'!$B$31+'Inputs'!$B$32)/1000+'Inputs'!$B$21+'Inputs'!$B$7+'Inputs'!$B$10))^2+('Inputs'!$B$8/2)^2))))*'Results'!$B$8)+'Inputs'!$B$28*ABS((('Results'!B7*(1+'Inputs'!$B$24)*(0.5*((((305-43)*MAX('Inputs'!$B$33,'Inputs'!$B$29+'Inputs'!$B$31+'Inputs'!$B$32,'Inputs'!$B$30+'Inputs'!$B$31+'Inputs'!$B$32)/1000+'Inputs'!$B$21)+'Inputs'!$B$7)/SQRT((((305-43)*MAX('Inputs'!$B$33,'Inputs'!$B$29+'Inputs'!$B$31+'Inputs'!$B$32,'Inputs'!$B$30+'Inputs'!$B$31+'Inputs'!$B$32)/1000+'Inputs'!$B$21)+'Inputs'!$B$7)^2+('Inputs'!$B$6/2)^2)-(((305-43)*MAX('Inputs'!$B$33,'Inputs'!$B$29+'Inputs'!$B$31+'Inputs'!$B$32,'Inputs'!$B$30+'Inputs'!$B$31+'Inputs'!$B$32)/1000+'Inputs'!$B$21))/SQRT((((305-43)*MAX('Inputs'!$B$33,'Inputs'!$B$29+'Inputs'!$B$31+'Inputs'!$B$32,'Inputs'!$B$30+'Inputs'!$B$31+'Inputs'!$B$32)/1000+'Inputs'!$B$21))^2+('Inputs'!$B$6/2)^2)))-'Results'!C7*(1-'Inputs'!$B$24)*(0.5*((((305-43)*MAX('Inputs'!$B$33,'Inputs'!$B$29+'Inputs'!$B$31+'Inputs'!$B$32,'Inputs'!$B$30+'Inputs'!$B$31+'Inputs'!$B$32)/1000+'Inputs'!$B$21+'Inputs'!$B$7+'Inputs'!$B$10)+'Inputs'!$B$9)/SQRT((((305-43)*MAX('Inputs'!$B$33,'Inputs'!$B$29+'Inputs'!$B$31+'Inputs'!$B$32,'Inputs'!$B$30+'Inputs'!$B$31+'Inputs'!$B$32)/1000+'Inputs'!$B$21+'Inputs'!$B$7+'Inputs'!$B$10)+'Inputs'!$B$9)^2+('Inputs'!$B$8/2)^2)-(((305-43)*MAX('Inputs'!$B$33,'Inputs'!$B$29+'Inputs'!$B$31+'Inputs'!$B$32,'Inputs'!$B$30+'Inputs'!$B$31+'Inputs'!$B$32)/1000+'Inputs'!$B$21+'Inputs'!$B$7+'Inputs'!$B$10))/SQRT((((305-43)*MAX('Inputs'!$B$33,'Inputs'!$B$29+'Inputs'!$B$31+'Inputs'!$B$32,'Inputs'!$B$30+'Inputs'!$B$31+'Inputs'!$B$32)/1000+'Inputs'!$B$21+'Inputs'!$B$7+'Inputs'!$B$10))^2+('Inputs'!$B$8/2)^2))))*'Results'!$B$8))),"")</x:f>
        <x:v>36.863086245988924</x:v>
      </x:c>
      <x:c r="M305" t="n">
        <x:f>IF(AND(ISNUMBER('Results'!C7),ISNUMBER('Results'!B7),ISNUMBER('Results'!$B$8),ISNUMBER('Inputs'!$B$6),ISNUMBER('Inputs'!$B$7),ISNUMBER('Inputs'!$B$8),ISNUMBER('Inputs'!$B$9),ISNUMBER('Inputs'!$B$10),ISNUMBER('Inputs'!$B$21),ISNUMBER('Inputs'!$B$24),ISNUMBER('Inputs'!$B$28)),(('Results'!C7*(0.5*((((305-43)*MAX('Inputs'!$B$33,'Inputs'!$B$29+'Inputs'!$B$31+'Inputs'!$B$32,'Inputs'!$B$30+'Inputs'!$B$31+'Inputs'!$B$32)/1000+'Inputs'!$B$21)+'Inputs'!$B$9)/SQRT((((305-43)*MAX('Inputs'!$B$33,'Inputs'!$B$29+'Inputs'!$B$31+'Inputs'!$B$32,'Inputs'!$B$30+'Inputs'!$B$31+'Inputs'!$B$32)/1000+'Inputs'!$B$21)+'Inputs'!$B$9)^2+('Inputs'!$B$8/2)^2)-(((305-43)*MAX('Inputs'!$B$33,'Inputs'!$B$29+'Inputs'!$B$31+'Inputs'!$B$32,'Inputs'!$B$30+'Inputs'!$B$31+'Inputs'!$B$32)/1000+'Inputs'!$B$21))/SQRT((((305-43)*MAX('Inputs'!$B$33,'Inputs'!$B$29+'Inputs'!$B$31+'Inputs'!$B$32,'Inputs'!$B$30+'Inputs'!$B$31+'Inputs'!$B$32)/1000+'Inputs'!$B$21))^2+('Inputs'!$B$8/2)^2)))-'Results'!B7*(0.5*((((305-43)*MAX('Inputs'!$B$33,'Inputs'!$B$29+'Inputs'!$B$31+'Inputs'!$B$32,'Inputs'!$B$30+'Inputs'!$B$31+'Inputs'!$B$32)/1000+'Inputs'!$B$21+'Inputs'!$B$9+'Inputs'!$B$10)+'Inputs'!$B$7)/SQRT((((305-43)*MAX('Inputs'!$B$33,'Inputs'!$B$29+'Inputs'!$B$31+'Inputs'!$B$32,'Inputs'!$B$30+'Inputs'!$B$31+'Inputs'!$B$32)/1000+'Inputs'!$B$21+'Inputs'!$B$9+'Inputs'!$B$10)+'Inputs'!$B$7)^2+('Inputs'!$B$6/2)^2)-(((305-43)*MAX('Inputs'!$B$33,'Inputs'!$B$29+'Inputs'!$B$31+'Inputs'!$B$32,'Inputs'!$B$30+'Inputs'!$B$31+'Inputs'!$B$32)/1000+'Inputs'!$B$21+'Inputs'!$B$9+'Inputs'!$B$10))/SQRT((((305-43)*MAX('Inputs'!$B$33,'Inputs'!$B$29+'Inputs'!$B$31+'Inputs'!$B$32,'Inputs'!$B$30+'Inputs'!$B$31+'Inputs'!$B$32)/1000+'Inputs'!$B$21+'Inputs'!$B$9+'Inputs'!$B$10))^2+('Inputs'!$B$6/2)^2))))*'Results'!$B$8),"")</x:f>
        <x:v>32.1691469559105</x:v>
      </x:c>
      <x:c r="N305" t="n">
        <x:f>IF(AND(ISNUMBER('Results'!C7),ISNUMBER('Results'!B7),ISNUMBER('Results'!$B$8),ISNUMBER('Inputs'!$B$6),ISNUMBER('Inputs'!$B$7),ISNUMBER('Inputs'!$B$8),ISNUMBER('Inputs'!$B$9),ISNUMBER('Inputs'!$B$10),ISNUMBER('Inputs'!$B$21),ISNUMBER('Inputs'!$B$24),ISNUMBER('Inputs'!$B$28)),((('Results'!C7*(1-'Inputs'!$B$24)*(0.5*((((305-43)*MAX('Inputs'!$B$33,'Inputs'!$B$29+'Inputs'!$B$31+'Inputs'!$B$32,'Inputs'!$B$30+'Inputs'!$B$31+'Inputs'!$B$32)/1000+'Inputs'!$B$21)+'Inputs'!$B$9)/SQRT((((305-43)*MAX('Inputs'!$B$33,'Inputs'!$B$29+'Inputs'!$B$31+'Inputs'!$B$32,'Inputs'!$B$30+'Inputs'!$B$31+'Inputs'!$B$32)/1000+'Inputs'!$B$21)+'Inputs'!$B$9)^2+('Inputs'!$B$8/2)^2)-(((305-43)*MAX('Inputs'!$B$33,'Inputs'!$B$29+'Inputs'!$B$31+'Inputs'!$B$32,'Inputs'!$B$30+'Inputs'!$B$31+'Inputs'!$B$32)/1000+'Inputs'!$B$21))/SQRT((((305-43)*MAX('Inputs'!$B$33,'Inputs'!$B$29+'Inputs'!$B$31+'Inputs'!$B$32,'Inputs'!$B$30+'Inputs'!$B$31+'Inputs'!$B$32)/1000+'Inputs'!$B$21))^2+('Inputs'!$B$8/2)^2)))-'Results'!B7*(1+'Inputs'!$B$24)*(0.5*((((305-43)*MAX('Inputs'!$B$33,'Inputs'!$B$29+'Inputs'!$B$31+'Inputs'!$B$32,'Inputs'!$B$30+'Inputs'!$B$31+'Inputs'!$B$32)/1000+'Inputs'!$B$21+'Inputs'!$B$9+'Inputs'!$B$10)+'Inputs'!$B$7)/SQRT((((305-43)*MAX('Inputs'!$B$33,'Inputs'!$B$29+'Inputs'!$B$31+'Inputs'!$B$32,'Inputs'!$B$30+'Inputs'!$B$31+'Inputs'!$B$32)/1000+'Inputs'!$B$21+'Inputs'!$B$9+'Inputs'!$B$10)+'Inputs'!$B$7)^2+('Inputs'!$B$6/2)^2)-(((305-43)*MAX('Inputs'!$B$33,'Inputs'!$B$29+'Inputs'!$B$31+'Inputs'!$B$32,'Inputs'!$B$30+'Inputs'!$B$31+'Inputs'!$B$32)/1000+'Inputs'!$B$21+'Inputs'!$B$9+'Inputs'!$B$10))/SQRT((((305-43)*MAX('Inputs'!$B$33,'Inputs'!$B$29+'Inputs'!$B$31+'Inputs'!$B$32,'Inputs'!$B$30+'Inputs'!$B$31+'Inputs'!$B$32)/1000+'Inputs'!$B$21+'Inputs'!$B$9+'Inputs'!$B$10))^2+('Inputs'!$B$6/2)^2))))*'Results'!$B$8)-'Inputs'!$B$28*ABS((('Results'!C7*(1-'Inputs'!$B$24)*(0.5*((((305-43)*MAX('Inputs'!$B$33,'Inputs'!$B$29+'Inputs'!$B$31+'Inputs'!$B$32,'Inputs'!$B$30+'Inputs'!$B$31+'Inputs'!$B$32)/1000+'Inputs'!$B$21)+'Inputs'!$B$9)/SQRT((((305-43)*MAX('Inputs'!$B$33,'Inputs'!$B$29+'Inputs'!$B$31+'Inputs'!$B$32,'Inputs'!$B$30+'Inputs'!$B$31+'Inputs'!$B$32)/1000+'Inputs'!$B$21)+'Inputs'!$B$9)^2+('Inputs'!$B$8/2)^2)-(((305-43)*MAX('Inputs'!$B$33,'Inputs'!$B$29+'Inputs'!$B$31+'Inputs'!$B$32,'Inputs'!$B$30+'Inputs'!$B$31+'Inputs'!$B$32)/1000+'Inputs'!$B$21))/SQRT((((305-43)*MAX('Inputs'!$B$33,'Inputs'!$B$29+'Inputs'!$B$31+'Inputs'!$B$32,'Inputs'!$B$30+'Inputs'!$B$31+'Inputs'!$B$32)/1000+'Inputs'!$B$21))^2+('Inputs'!$B$8/2)^2)))-'Results'!B7*(1+'Inputs'!$B$24)*(0.5*((((305-43)*MAX('Inputs'!$B$33,'Inputs'!$B$29+'Inputs'!$B$31+'Inputs'!$B$32,'Inputs'!$B$30+'Inputs'!$B$31+'Inputs'!$B$32)/1000+'Inputs'!$B$21+'Inputs'!$B$9+'Inputs'!$B$10)+'Inputs'!$B$7)/SQRT((((305-43)*MAX('Inputs'!$B$33,'Inputs'!$B$29+'Inputs'!$B$31+'Inputs'!$B$32,'Inputs'!$B$30+'Inputs'!$B$31+'Inputs'!$B$32)/1000+'Inputs'!$B$21+'Inputs'!$B$9+'Inputs'!$B$10)+'Inputs'!$B$7)^2+('Inputs'!$B$6/2)^2)-(((305-43)*MAX('Inputs'!$B$33,'Inputs'!$B$29+'Inputs'!$B$31+'Inputs'!$B$32,'Inputs'!$B$30+'Inputs'!$B$31+'Inputs'!$B$32)/1000+'Inputs'!$B$21+'Inputs'!$B$9+'Inputs'!$B$10))/SQRT((((305-43)*MAX('Inputs'!$B$33,'Inputs'!$B$29+'Inputs'!$B$31+'Inputs'!$B$32,'Inputs'!$B$30+'Inputs'!$B$31+'Inputs'!$B$32)/1000+'Inputs'!$B$21+'Inputs'!$B$9+'Inputs'!$B$10))^2+('Inputs'!$B$6/2)^2))))*'Results'!$B$8))),"")</x:f>
        <x:v>29.18134750182233</x:v>
      </x:c>
      <x:c r="O305" t="n">
        <x:f>IF(AND(ISNUMBER('Results'!C7),ISNUMBER('Results'!B7),ISNUMBER('Results'!$B$8),ISNUMBER('Inputs'!$B$6),ISNUMBER('Inputs'!$B$7),ISNUMBER('Inputs'!$B$8),ISNUMBER('Inputs'!$B$9),ISNUMBER('Inputs'!$B$10),ISNUMBER('Inputs'!$B$21),ISNUMBER('Inputs'!$B$24),ISNUMBER('Inputs'!$B$28)),((('Results'!C7*(1+'Inputs'!$B$24)*(0.5*((((305-43)*MAX('Inputs'!$B$33,'Inputs'!$B$29+'Inputs'!$B$31+'Inputs'!$B$32,'Inputs'!$B$30+'Inputs'!$B$31+'Inputs'!$B$32)/1000+'Inputs'!$B$21)+'Inputs'!$B$9)/SQRT((((305-43)*MAX('Inputs'!$B$33,'Inputs'!$B$29+'Inputs'!$B$31+'Inputs'!$B$32,'Inputs'!$B$30+'Inputs'!$B$31+'Inputs'!$B$32)/1000+'Inputs'!$B$21)+'Inputs'!$B$9)^2+('Inputs'!$B$8/2)^2)-(((305-43)*MAX('Inputs'!$B$33,'Inputs'!$B$29+'Inputs'!$B$31+'Inputs'!$B$32,'Inputs'!$B$30+'Inputs'!$B$31+'Inputs'!$B$32)/1000+'Inputs'!$B$21))/SQRT((((305-43)*MAX('Inputs'!$B$33,'Inputs'!$B$29+'Inputs'!$B$31+'Inputs'!$B$32,'Inputs'!$B$30+'Inputs'!$B$31+'Inputs'!$B$32)/1000+'Inputs'!$B$21))^2+('Inputs'!$B$8/2)^2)))-'Results'!B7*(1-'Inputs'!$B$24)*(0.5*((((305-43)*MAX('Inputs'!$B$33,'Inputs'!$B$29+'Inputs'!$B$31+'Inputs'!$B$32,'Inputs'!$B$30+'Inputs'!$B$31+'Inputs'!$B$32)/1000+'Inputs'!$B$21+'Inputs'!$B$9+'Inputs'!$B$10)+'Inputs'!$B$7)/SQRT((((305-43)*MAX('Inputs'!$B$33,'Inputs'!$B$29+'Inputs'!$B$31+'Inputs'!$B$32,'Inputs'!$B$30+'Inputs'!$B$31+'Inputs'!$B$32)/1000+'Inputs'!$B$21+'Inputs'!$B$9+'Inputs'!$B$10)+'Inputs'!$B$7)^2+('Inputs'!$B$6/2)^2)-(((305-43)*MAX('Inputs'!$B$33,'Inputs'!$B$29+'Inputs'!$B$31+'Inputs'!$B$32,'Inputs'!$B$30+'Inputs'!$B$31+'Inputs'!$B$32)/1000+'Inputs'!$B$21+'Inputs'!$B$9+'Inputs'!$B$10))/SQRT((((305-43)*MAX('Inputs'!$B$33,'Inputs'!$B$29+'Inputs'!$B$31+'Inputs'!$B$32,'Inputs'!$B$30+'Inputs'!$B$31+'Inputs'!$B$32)/1000+'Inputs'!$B$21+'Inputs'!$B$9+'Inputs'!$B$10))^2+('Inputs'!$B$6/2)^2))))*'Results'!$B$8)+'Inputs'!$B$28*ABS((('Results'!C7*(1+'Inputs'!$B$24)*(0.5*((((305-43)*MAX('Inputs'!$B$33,'Inputs'!$B$29+'Inputs'!$B$31+'Inputs'!$B$32,'Inputs'!$B$30+'Inputs'!$B$31+'Inputs'!$B$32)/1000+'Inputs'!$B$21)+'Inputs'!$B$9)/SQRT((((305-43)*MAX('Inputs'!$B$33,'Inputs'!$B$29+'Inputs'!$B$31+'Inputs'!$B$32,'Inputs'!$B$30+'Inputs'!$B$31+'Inputs'!$B$32)/1000+'Inputs'!$B$21)+'Inputs'!$B$9)^2+('Inputs'!$B$8/2)^2)-(((305-43)*MAX('Inputs'!$B$33,'Inputs'!$B$29+'Inputs'!$B$31+'Inputs'!$B$32,'Inputs'!$B$30+'Inputs'!$B$31+'Inputs'!$B$32)/1000+'Inputs'!$B$21))/SQRT((((305-43)*MAX('Inputs'!$B$33,'Inputs'!$B$29+'Inputs'!$B$31+'Inputs'!$B$32,'Inputs'!$B$30+'Inputs'!$B$31+'Inputs'!$B$32)/1000+'Inputs'!$B$21))^2+('Inputs'!$B$8/2)^2)))-'Results'!B7*(1-'Inputs'!$B$24)*(0.5*((((305-43)*MAX('Inputs'!$B$33,'Inputs'!$B$29+'Inputs'!$B$31+'Inputs'!$B$32,'Inputs'!$B$30+'Inputs'!$B$31+'Inputs'!$B$32)/1000+'Inputs'!$B$21+'Inputs'!$B$9+'Inputs'!$B$10)+'Inputs'!$B$7)/SQRT((((305-43)*MAX('Inputs'!$B$33,'Inputs'!$B$29+'Inputs'!$B$31+'Inputs'!$B$32,'Inputs'!$B$30+'Inputs'!$B$31+'Inputs'!$B$32)/1000+'Inputs'!$B$21+'Inputs'!$B$9+'Inputs'!$B$10)+'Inputs'!$B$7)^2+('Inputs'!$B$6/2)^2)-(((305-43)*MAX('Inputs'!$B$33,'Inputs'!$B$29+'Inputs'!$B$31+'Inputs'!$B$32,'Inputs'!$B$30+'Inputs'!$B$31+'Inputs'!$B$32)/1000+'Inputs'!$B$21+'Inputs'!$B$9+'Inputs'!$B$10))/SQRT((((305-43)*MAX('Inputs'!$B$33,'Inputs'!$B$29+'Inputs'!$B$31+'Inputs'!$B$32,'Inputs'!$B$30+'Inputs'!$B$31+'Inputs'!$B$32)/1000+'Inputs'!$B$21+'Inputs'!$B$9+'Inputs'!$B$10))^2+('Inputs'!$B$6/2)^2))))*'Results'!$B$8))),"")</x:f>
        <x:v>35.3021403159242</x:v>
      </x:c>
      <x:c r="P305" t="n">
        <x:f>IF(AND(MAX(J305,J304)&gt;0,J305&gt;J304+0.00000001),1,0)</x:f>
        <x:v>0</x:v>
      </x:c>
      <x:c r="Q305" t="n">
        <x:f>IF(AND(MAX(K305,K304)&gt;0,K305&gt;K304+0.00000001),1,0)</x:f>
        <x:v>0</x:v>
      </x:c>
      <x:c r="R305" t="n">
        <x:f>IF(AND(MAX(L305,L304)&gt;0,L305&gt;L304+0.00000001),1,0)</x:f>
        <x:v>0</x:v>
      </x:c>
      <x:c r="S305" t="n">
        <x:f>IF(AND(MAX(M305,M304)&gt;0,M305&gt;M304+0.00000001),1,0)</x:f>
        <x:v>0</x:v>
      </x:c>
      <x:c r="T305" t="n">
        <x:f>IF(AND(MAX(N305,N304)&gt;0,N305&gt;N304+0.00000001),1,0)</x:f>
        <x:v>0</x:v>
      </x:c>
      <x:c r="U305" t="n">
        <x:f>IF(AND(MAX(O305,O304)&gt;0,O305&gt;O304+0.00000001),1,0)</x:f>
        <x:v>0</x:v>
      </x:c>
    </x:row>
    <x:row r="306">
      <x:c r="J306" t="n">
        <x:f>IF(AND(ISNUMBER('Results'!B7),ISNUMBER('Results'!C7),ISNUMBER('Results'!$B$8),ISNUMBER('Inputs'!$B$6),ISNUMBER('Inputs'!$B$7),ISNUMBER('Inputs'!$B$8),ISNUMBER('Inputs'!$B$9),ISNUMBER('Inputs'!$B$10),ISNUMBER('Inputs'!$B$21),ISNUMBER('Inputs'!$B$24),ISNUMBER('Inputs'!$B$28)),(('Results'!B7*(0.5*((((306-43)*MAX('Inputs'!$B$33,'Inputs'!$B$29+'Inputs'!$B$31+'Inputs'!$B$32,'Inputs'!$B$30+'Inputs'!$B$31+'Inputs'!$B$32)/1000+'Inputs'!$B$21)+'Inputs'!$B$7)/SQRT((((306-43)*MAX('Inputs'!$B$33,'Inputs'!$B$29+'Inputs'!$B$31+'Inputs'!$B$32,'Inputs'!$B$30+'Inputs'!$B$31+'Inputs'!$B$32)/1000+'Inputs'!$B$21)+'Inputs'!$B$7)^2+('Inputs'!$B$6/2)^2)-(((306-43)*MAX('Inputs'!$B$33,'Inputs'!$B$29+'Inputs'!$B$31+'Inputs'!$B$32,'Inputs'!$B$30+'Inputs'!$B$31+'Inputs'!$B$32)/1000+'Inputs'!$B$21))/SQRT((((306-43)*MAX('Inputs'!$B$33,'Inputs'!$B$29+'Inputs'!$B$31+'Inputs'!$B$32,'Inputs'!$B$30+'Inputs'!$B$31+'Inputs'!$B$32)/1000+'Inputs'!$B$21))^2+('Inputs'!$B$6/2)^2)))-'Results'!C7*(0.5*((((306-43)*MAX('Inputs'!$B$33,'Inputs'!$B$29+'Inputs'!$B$31+'Inputs'!$B$32,'Inputs'!$B$30+'Inputs'!$B$31+'Inputs'!$B$32)/1000+'Inputs'!$B$21+'Inputs'!$B$7+'Inputs'!$B$10)+'Inputs'!$B$9)/SQRT((((306-43)*MAX('Inputs'!$B$33,'Inputs'!$B$29+'Inputs'!$B$31+'Inputs'!$B$32,'Inputs'!$B$30+'Inputs'!$B$31+'Inputs'!$B$32)/1000+'Inputs'!$B$21+'Inputs'!$B$7+'Inputs'!$B$10)+'Inputs'!$B$9)^2+('Inputs'!$B$8/2)^2)-(((306-43)*MAX('Inputs'!$B$33,'Inputs'!$B$29+'Inputs'!$B$31+'Inputs'!$B$32,'Inputs'!$B$30+'Inputs'!$B$31+'Inputs'!$B$32)/1000+'Inputs'!$B$21+'Inputs'!$B$7+'Inputs'!$B$10))/SQRT((((306-43)*MAX('Inputs'!$B$33,'Inputs'!$B$29+'Inputs'!$B$31+'Inputs'!$B$32,'Inputs'!$B$30+'Inputs'!$B$31+'Inputs'!$B$32)/1000+'Inputs'!$B$21+'Inputs'!$B$7+'Inputs'!$B$10))^2+('Inputs'!$B$8/2)^2))))*'Results'!$B$8),"")</x:f>
        <x:v>33.259919815658535</x:v>
      </x:c>
      <x:c r="K306" t="n">
        <x:f>IF(AND(ISNUMBER('Results'!B7),ISNUMBER('Results'!C7),ISNUMBER('Results'!$B$8),ISNUMBER('Inputs'!$B$6),ISNUMBER('Inputs'!$B$7),ISNUMBER('Inputs'!$B$8),ISNUMBER('Inputs'!$B$9),ISNUMBER('Inputs'!$B$10),ISNUMBER('Inputs'!$B$21),ISNUMBER('Inputs'!$B$24),ISNUMBER('Inputs'!$B$28)),((('Results'!B7*(1-'Inputs'!$B$24)*(0.5*((((306-43)*MAX('Inputs'!$B$33,'Inputs'!$B$29+'Inputs'!$B$31+'Inputs'!$B$32,'Inputs'!$B$30+'Inputs'!$B$31+'Inputs'!$B$32)/1000+'Inputs'!$B$21)+'Inputs'!$B$7)/SQRT((((306-43)*MAX('Inputs'!$B$33,'Inputs'!$B$29+'Inputs'!$B$31+'Inputs'!$B$32,'Inputs'!$B$30+'Inputs'!$B$31+'Inputs'!$B$32)/1000+'Inputs'!$B$21)+'Inputs'!$B$7)^2+('Inputs'!$B$6/2)^2)-(((306-43)*MAX('Inputs'!$B$33,'Inputs'!$B$29+'Inputs'!$B$31+'Inputs'!$B$32,'Inputs'!$B$30+'Inputs'!$B$31+'Inputs'!$B$32)/1000+'Inputs'!$B$21))/SQRT((((306-43)*MAX('Inputs'!$B$33,'Inputs'!$B$29+'Inputs'!$B$31+'Inputs'!$B$32,'Inputs'!$B$30+'Inputs'!$B$31+'Inputs'!$B$32)/1000+'Inputs'!$B$21))^2+('Inputs'!$B$6/2)^2)))-'Results'!C7*(1+'Inputs'!$B$24)*(0.5*((((306-43)*MAX('Inputs'!$B$33,'Inputs'!$B$29+'Inputs'!$B$31+'Inputs'!$B$32,'Inputs'!$B$30+'Inputs'!$B$31+'Inputs'!$B$32)/1000+'Inputs'!$B$21+'Inputs'!$B$7+'Inputs'!$B$10)+'Inputs'!$B$9)/SQRT((((306-43)*MAX('Inputs'!$B$33,'Inputs'!$B$29+'Inputs'!$B$31+'Inputs'!$B$32,'Inputs'!$B$30+'Inputs'!$B$31+'Inputs'!$B$32)/1000+'Inputs'!$B$21+'Inputs'!$B$7+'Inputs'!$B$10)+'Inputs'!$B$9)^2+('Inputs'!$B$8/2)^2)-(((306-43)*MAX('Inputs'!$B$33,'Inputs'!$B$29+'Inputs'!$B$31+'Inputs'!$B$32,'Inputs'!$B$30+'Inputs'!$B$31+'Inputs'!$B$32)/1000+'Inputs'!$B$21+'Inputs'!$B$7+'Inputs'!$B$10))/SQRT((((306-43)*MAX('Inputs'!$B$33,'Inputs'!$B$29+'Inputs'!$B$31+'Inputs'!$B$32,'Inputs'!$B$30+'Inputs'!$B$31+'Inputs'!$B$32)/1000+'Inputs'!$B$21+'Inputs'!$B$7+'Inputs'!$B$10))^2+('Inputs'!$B$8/2)^2))))*'Results'!$B$8)-'Inputs'!$B$28*ABS((('Results'!B7*(1-'Inputs'!$B$24)*(0.5*((((306-43)*MAX('Inputs'!$B$33,'Inputs'!$B$29+'Inputs'!$B$31+'Inputs'!$B$32,'Inputs'!$B$30+'Inputs'!$B$31+'Inputs'!$B$32)/1000+'Inputs'!$B$21)+'Inputs'!$B$7)/SQRT((((306-43)*MAX('Inputs'!$B$33,'Inputs'!$B$29+'Inputs'!$B$31+'Inputs'!$B$32,'Inputs'!$B$30+'Inputs'!$B$31+'Inputs'!$B$32)/1000+'Inputs'!$B$21)+'Inputs'!$B$7)^2+('Inputs'!$B$6/2)^2)-(((306-43)*MAX('Inputs'!$B$33,'Inputs'!$B$29+'Inputs'!$B$31+'Inputs'!$B$32,'Inputs'!$B$30+'Inputs'!$B$31+'Inputs'!$B$32)/1000+'Inputs'!$B$21))/SQRT((((306-43)*MAX('Inputs'!$B$33,'Inputs'!$B$29+'Inputs'!$B$31+'Inputs'!$B$32,'Inputs'!$B$30+'Inputs'!$B$31+'Inputs'!$B$32)/1000+'Inputs'!$B$21))^2+('Inputs'!$B$6/2)^2)))-'Results'!C7*(1+'Inputs'!$B$24)*(0.5*((((306-43)*MAX('Inputs'!$B$33,'Inputs'!$B$29+'Inputs'!$B$31+'Inputs'!$B$32,'Inputs'!$B$30+'Inputs'!$B$31+'Inputs'!$B$32)/1000+'Inputs'!$B$21+'Inputs'!$B$7+'Inputs'!$B$10)+'Inputs'!$B$9)/SQRT((((306-43)*MAX('Inputs'!$B$33,'Inputs'!$B$29+'Inputs'!$B$31+'Inputs'!$B$32,'Inputs'!$B$30+'Inputs'!$B$31+'Inputs'!$B$32)/1000+'Inputs'!$B$21+'Inputs'!$B$7+'Inputs'!$B$10)+'Inputs'!$B$9)^2+('Inputs'!$B$8/2)^2)-(((306-43)*MAX('Inputs'!$B$33,'Inputs'!$B$29+'Inputs'!$B$31+'Inputs'!$B$32,'Inputs'!$B$30+'Inputs'!$B$31+'Inputs'!$B$32)/1000+'Inputs'!$B$21+'Inputs'!$B$7+'Inputs'!$B$10))/SQRT((((306-43)*MAX('Inputs'!$B$33,'Inputs'!$B$29+'Inputs'!$B$31+'Inputs'!$B$32,'Inputs'!$B$30+'Inputs'!$B$31+'Inputs'!$B$32)/1000+'Inputs'!$B$21+'Inputs'!$B$7+'Inputs'!$B$10))^2+('Inputs'!$B$8/2)^2))))*'Results'!$B$8))),"")</x:f>
        <x:v>30.2176848860305</x:v>
      </x:c>
      <x:c r="L306" t="n">
        <x:f>IF(AND(ISNUMBER('Results'!B7),ISNUMBER('Results'!C7),ISNUMBER('Results'!$B$8),ISNUMBER('Inputs'!$B$6),ISNUMBER('Inputs'!$B$7),ISNUMBER('Inputs'!$B$8),ISNUMBER('Inputs'!$B$9),ISNUMBER('Inputs'!$B$10),ISNUMBER('Inputs'!$B$21),ISNUMBER('Inputs'!$B$24),ISNUMBER('Inputs'!$B$28)),((('Results'!B7*(1+'Inputs'!$B$24)*(0.5*((((306-43)*MAX('Inputs'!$B$33,'Inputs'!$B$29+'Inputs'!$B$31+'Inputs'!$B$32,'Inputs'!$B$30+'Inputs'!$B$31+'Inputs'!$B$32)/1000+'Inputs'!$B$21)+'Inputs'!$B$7)/SQRT((((306-43)*MAX('Inputs'!$B$33,'Inputs'!$B$29+'Inputs'!$B$31+'Inputs'!$B$32,'Inputs'!$B$30+'Inputs'!$B$31+'Inputs'!$B$32)/1000+'Inputs'!$B$21)+'Inputs'!$B$7)^2+('Inputs'!$B$6/2)^2)-(((306-43)*MAX('Inputs'!$B$33,'Inputs'!$B$29+'Inputs'!$B$31+'Inputs'!$B$32,'Inputs'!$B$30+'Inputs'!$B$31+'Inputs'!$B$32)/1000+'Inputs'!$B$21))/SQRT((((306-43)*MAX('Inputs'!$B$33,'Inputs'!$B$29+'Inputs'!$B$31+'Inputs'!$B$32,'Inputs'!$B$30+'Inputs'!$B$31+'Inputs'!$B$32)/1000+'Inputs'!$B$21))^2+('Inputs'!$B$6/2)^2)))-'Results'!C7*(1-'Inputs'!$B$24)*(0.5*((((306-43)*MAX('Inputs'!$B$33,'Inputs'!$B$29+'Inputs'!$B$31+'Inputs'!$B$32,'Inputs'!$B$30+'Inputs'!$B$31+'Inputs'!$B$32)/1000+'Inputs'!$B$21+'Inputs'!$B$7+'Inputs'!$B$10)+'Inputs'!$B$9)/SQRT((((306-43)*MAX('Inputs'!$B$33,'Inputs'!$B$29+'Inputs'!$B$31+'Inputs'!$B$32,'Inputs'!$B$30+'Inputs'!$B$31+'Inputs'!$B$32)/1000+'Inputs'!$B$21+'Inputs'!$B$7+'Inputs'!$B$10)+'Inputs'!$B$9)^2+('Inputs'!$B$8/2)^2)-(((306-43)*MAX('Inputs'!$B$33,'Inputs'!$B$29+'Inputs'!$B$31+'Inputs'!$B$32,'Inputs'!$B$30+'Inputs'!$B$31+'Inputs'!$B$32)/1000+'Inputs'!$B$21+'Inputs'!$B$7+'Inputs'!$B$10))/SQRT((((306-43)*MAX('Inputs'!$B$33,'Inputs'!$B$29+'Inputs'!$B$31+'Inputs'!$B$32,'Inputs'!$B$30+'Inputs'!$B$31+'Inputs'!$B$32)/1000+'Inputs'!$B$21+'Inputs'!$B$7+'Inputs'!$B$10))^2+('Inputs'!$B$8/2)^2))))*'Results'!$B$8)+'Inputs'!$B$28*ABS((('Results'!B7*(1+'Inputs'!$B$24)*(0.5*((((306-43)*MAX('Inputs'!$B$33,'Inputs'!$B$29+'Inputs'!$B$31+'Inputs'!$B$32,'Inputs'!$B$30+'Inputs'!$B$31+'Inputs'!$B$32)/1000+'Inputs'!$B$21)+'Inputs'!$B$7)/SQRT((((306-43)*MAX('Inputs'!$B$33,'Inputs'!$B$29+'Inputs'!$B$31+'Inputs'!$B$32,'Inputs'!$B$30+'Inputs'!$B$31+'Inputs'!$B$32)/1000+'Inputs'!$B$21)+'Inputs'!$B$7)^2+('Inputs'!$B$6/2)^2)-(((306-43)*MAX('Inputs'!$B$33,'Inputs'!$B$29+'Inputs'!$B$31+'Inputs'!$B$32,'Inputs'!$B$30+'Inputs'!$B$31+'Inputs'!$B$32)/1000+'Inputs'!$B$21))/SQRT((((306-43)*MAX('Inputs'!$B$33,'Inputs'!$B$29+'Inputs'!$B$31+'Inputs'!$B$32,'Inputs'!$B$30+'Inputs'!$B$31+'Inputs'!$B$32)/1000+'Inputs'!$B$21))^2+('Inputs'!$B$6/2)^2)))-'Results'!C7*(1-'Inputs'!$B$24)*(0.5*((((306-43)*MAX('Inputs'!$B$33,'Inputs'!$B$29+'Inputs'!$B$31+'Inputs'!$B$32,'Inputs'!$B$30+'Inputs'!$B$31+'Inputs'!$B$32)/1000+'Inputs'!$B$21+'Inputs'!$B$7+'Inputs'!$B$10)+'Inputs'!$B$9)/SQRT((((306-43)*MAX('Inputs'!$B$33,'Inputs'!$B$29+'Inputs'!$B$31+'Inputs'!$B$32,'Inputs'!$B$30+'Inputs'!$B$31+'Inputs'!$B$32)/1000+'Inputs'!$B$21+'Inputs'!$B$7+'Inputs'!$B$10)+'Inputs'!$B$9)^2+('Inputs'!$B$8/2)^2)-(((306-43)*MAX('Inputs'!$B$33,'Inputs'!$B$29+'Inputs'!$B$31+'Inputs'!$B$32,'Inputs'!$B$30+'Inputs'!$B$31+'Inputs'!$B$32)/1000+'Inputs'!$B$21+'Inputs'!$B$7+'Inputs'!$B$10))/SQRT((((306-43)*MAX('Inputs'!$B$33,'Inputs'!$B$29+'Inputs'!$B$31+'Inputs'!$B$32,'Inputs'!$B$30+'Inputs'!$B$31+'Inputs'!$B$32)/1000+'Inputs'!$B$21+'Inputs'!$B$7+'Inputs'!$B$10))^2+('Inputs'!$B$8/2)^2))))*'Results'!$B$8))),"")</x:f>
        <x:v>36.447337791480784</x:v>
      </x:c>
      <x:c r="M306" t="n">
        <x:f>IF(AND(ISNUMBER('Results'!C7),ISNUMBER('Results'!B7),ISNUMBER('Results'!$B$8),ISNUMBER('Inputs'!$B$6),ISNUMBER('Inputs'!$B$7),ISNUMBER('Inputs'!$B$8),ISNUMBER('Inputs'!$B$9),ISNUMBER('Inputs'!$B$10),ISNUMBER('Inputs'!$B$21),ISNUMBER('Inputs'!$B$24),ISNUMBER('Inputs'!$B$28)),(('Results'!C7*(0.5*((((306-43)*MAX('Inputs'!$B$33,'Inputs'!$B$29+'Inputs'!$B$31+'Inputs'!$B$32,'Inputs'!$B$30+'Inputs'!$B$31+'Inputs'!$B$32)/1000+'Inputs'!$B$21)+'Inputs'!$B$9)/SQRT((((306-43)*MAX('Inputs'!$B$33,'Inputs'!$B$29+'Inputs'!$B$31+'Inputs'!$B$32,'Inputs'!$B$30+'Inputs'!$B$31+'Inputs'!$B$32)/1000+'Inputs'!$B$21)+'Inputs'!$B$9)^2+('Inputs'!$B$8/2)^2)-(((306-43)*MAX('Inputs'!$B$33,'Inputs'!$B$29+'Inputs'!$B$31+'Inputs'!$B$32,'Inputs'!$B$30+'Inputs'!$B$31+'Inputs'!$B$32)/1000+'Inputs'!$B$21))/SQRT((((306-43)*MAX('Inputs'!$B$33,'Inputs'!$B$29+'Inputs'!$B$31+'Inputs'!$B$32,'Inputs'!$B$30+'Inputs'!$B$31+'Inputs'!$B$32)/1000+'Inputs'!$B$21))^2+('Inputs'!$B$8/2)^2)))-'Results'!B7*(0.5*((((306-43)*MAX('Inputs'!$B$33,'Inputs'!$B$29+'Inputs'!$B$31+'Inputs'!$B$32,'Inputs'!$B$30+'Inputs'!$B$31+'Inputs'!$B$32)/1000+'Inputs'!$B$21+'Inputs'!$B$9+'Inputs'!$B$10)+'Inputs'!$B$7)/SQRT((((306-43)*MAX('Inputs'!$B$33,'Inputs'!$B$29+'Inputs'!$B$31+'Inputs'!$B$32,'Inputs'!$B$30+'Inputs'!$B$31+'Inputs'!$B$32)/1000+'Inputs'!$B$21+'Inputs'!$B$9+'Inputs'!$B$10)+'Inputs'!$B$7)^2+('Inputs'!$B$6/2)^2)-(((306-43)*MAX('Inputs'!$B$33,'Inputs'!$B$29+'Inputs'!$B$31+'Inputs'!$B$32,'Inputs'!$B$30+'Inputs'!$B$31+'Inputs'!$B$32)/1000+'Inputs'!$B$21+'Inputs'!$B$9+'Inputs'!$B$10))/SQRT((((306-43)*MAX('Inputs'!$B$33,'Inputs'!$B$29+'Inputs'!$B$31+'Inputs'!$B$32,'Inputs'!$B$30+'Inputs'!$B$31+'Inputs'!$B$32)/1000+'Inputs'!$B$21+'Inputs'!$B$9+'Inputs'!$B$10))^2+('Inputs'!$B$6/2)^2))))*'Results'!$B$8),"")</x:f>
        <x:v>31.800062495903777</x:v>
      </x:c>
      <x:c r="N306" t="n">
        <x:f>IF(AND(ISNUMBER('Results'!C7),ISNUMBER('Results'!B7),ISNUMBER('Results'!$B$8),ISNUMBER('Inputs'!$B$6),ISNUMBER('Inputs'!$B$7),ISNUMBER('Inputs'!$B$8),ISNUMBER('Inputs'!$B$9),ISNUMBER('Inputs'!$B$10),ISNUMBER('Inputs'!$B$21),ISNUMBER('Inputs'!$B$24),ISNUMBER('Inputs'!$B$28)),((('Results'!C7*(1-'Inputs'!$B$24)*(0.5*((((306-43)*MAX('Inputs'!$B$33,'Inputs'!$B$29+'Inputs'!$B$31+'Inputs'!$B$32,'Inputs'!$B$30+'Inputs'!$B$31+'Inputs'!$B$32)/1000+'Inputs'!$B$21)+'Inputs'!$B$9)/SQRT((((306-43)*MAX('Inputs'!$B$33,'Inputs'!$B$29+'Inputs'!$B$31+'Inputs'!$B$32,'Inputs'!$B$30+'Inputs'!$B$31+'Inputs'!$B$32)/1000+'Inputs'!$B$21)+'Inputs'!$B$9)^2+('Inputs'!$B$8/2)^2)-(((306-43)*MAX('Inputs'!$B$33,'Inputs'!$B$29+'Inputs'!$B$31+'Inputs'!$B$32,'Inputs'!$B$30+'Inputs'!$B$31+'Inputs'!$B$32)/1000+'Inputs'!$B$21))/SQRT((((306-43)*MAX('Inputs'!$B$33,'Inputs'!$B$29+'Inputs'!$B$31+'Inputs'!$B$32,'Inputs'!$B$30+'Inputs'!$B$31+'Inputs'!$B$32)/1000+'Inputs'!$B$21))^2+('Inputs'!$B$8/2)^2)))-'Results'!B7*(1+'Inputs'!$B$24)*(0.5*((((306-43)*MAX('Inputs'!$B$33,'Inputs'!$B$29+'Inputs'!$B$31+'Inputs'!$B$32,'Inputs'!$B$30+'Inputs'!$B$31+'Inputs'!$B$32)/1000+'Inputs'!$B$21+'Inputs'!$B$9+'Inputs'!$B$10)+'Inputs'!$B$7)/SQRT((((306-43)*MAX('Inputs'!$B$33,'Inputs'!$B$29+'Inputs'!$B$31+'Inputs'!$B$32,'Inputs'!$B$30+'Inputs'!$B$31+'Inputs'!$B$32)/1000+'Inputs'!$B$21+'Inputs'!$B$9+'Inputs'!$B$10)+'Inputs'!$B$7)^2+('Inputs'!$B$6/2)^2)-(((306-43)*MAX('Inputs'!$B$33,'Inputs'!$B$29+'Inputs'!$B$31+'Inputs'!$B$32,'Inputs'!$B$30+'Inputs'!$B$31+'Inputs'!$B$32)/1000+'Inputs'!$B$21+'Inputs'!$B$9+'Inputs'!$B$10))/SQRT((((306-43)*MAX('Inputs'!$B$33,'Inputs'!$B$29+'Inputs'!$B$31+'Inputs'!$B$32,'Inputs'!$B$30+'Inputs'!$B$31+'Inputs'!$B$32)/1000+'Inputs'!$B$21+'Inputs'!$B$9+'Inputs'!$B$10))^2+('Inputs'!$B$6/2)^2))))*'Results'!$B$8)-'Inputs'!$B$28*ABS((('Results'!C7*(1-'Inputs'!$B$24)*(0.5*((((306-43)*MAX('Inputs'!$B$33,'Inputs'!$B$29+'Inputs'!$B$31+'Inputs'!$B$32,'Inputs'!$B$30+'Inputs'!$B$31+'Inputs'!$B$32)/1000+'Inputs'!$B$21)+'Inputs'!$B$9)/SQRT((((306-43)*MAX('Inputs'!$B$33,'Inputs'!$B$29+'Inputs'!$B$31+'Inputs'!$B$32,'Inputs'!$B$30+'Inputs'!$B$31+'Inputs'!$B$32)/1000+'Inputs'!$B$21)+'Inputs'!$B$9)^2+('Inputs'!$B$8/2)^2)-(((306-43)*MAX('Inputs'!$B$33,'Inputs'!$B$29+'Inputs'!$B$31+'Inputs'!$B$32,'Inputs'!$B$30+'Inputs'!$B$31+'Inputs'!$B$32)/1000+'Inputs'!$B$21))/SQRT((((306-43)*MAX('Inputs'!$B$33,'Inputs'!$B$29+'Inputs'!$B$31+'Inputs'!$B$32,'Inputs'!$B$30+'Inputs'!$B$31+'Inputs'!$B$32)/1000+'Inputs'!$B$21))^2+('Inputs'!$B$8/2)^2)))-'Results'!B7*(1+'Inputs'!$B$24)*(0.5*((((306-43)*MAX('Inputs'!$B$33,'Inputs'!$B$29+'Inputs'!$B$31+'Inputs'!$B$32,'Inputs'!$B$30+'Inputs'!$B$31+'Inputs'!$B$32)/1000+'Inputs'!$B$21+'Inputs'!$B$9+'Inputs'!$B$10)+'Inputs'!$B$7)/SQRT((((306-43)*MAX('Inputs'!$B$33,'Inputs'!$B$29+'Inputs'!$B$31+'Inputs'!$B$32,'Inputs'!$B$30+'Inputs'!$B$31+'Inputs'!$B$32)/1000+'Inputs'!$B$21+'Inputs'!$B$9+'Inputs'!$B$10)+'Inputs'!$B$7)^2+('Inputs'!$B$6/2)^2)-(((306-43)*MAX('Inputs'!$B$33,'Inputs'!$B$29+'Inputs'!$B$31+'Inputs'!$B$32,'Inputs'!$B$30+'Inputs'!$B$31+'Inputs'!$B$32)/1000+'Inputs'!$B$21+'Inputs'!$B$9+'Inputs'!$B$10))/SQRT((((306-43)*MAX('Inputs'!$B$33,'Inputs'!$B$29+'Inputs'!$B$31+'Inputs'!$B$32,'Inputs'!$B$30+'Inputs'!$B$31+'Inputs'!$B$32)/1000+'Inputs'!$B$21+'Inputs'!$B$9+'Inputs'!$B$10))^2+('Inputs'!$B$6/2)^2))))*'Results'!$B$8))),"")</x:f>
        <x:v>28.843306691494995</x:v>
      </x:c>
      <x:c r="O306" t="n">
        <x:f>IF(AND(ISNUMBER('Results'!C7),ISNUMBER('Results'!B7),ISNUMBER('Results'!$B$8),ISNUMBER('Inputs'!$B$6),ISNUMBER('Inputs'!$B$7),ISNUMBER('Inputs'!$B$8),ISNUMBER('Inputs'!$B$9),ISNUMBER('Inputs'!$B$10),ISNUMBER('Inputs'!$B$21),ISNUMBER('Inputs'!$B$24),ISNUMBER('Inputs'!$B$28)),((('Results'!C7*(1+'Inputs'!$B$24)*(0.5*((((306-43)*MAX('Inputs'!$B$33,'Inputs'!$B$29+'Inputs'!$B$31+'Inputs'!$B$32,'Inputs'!$B$30+'Inputs'!$B$31+'Inputs'!$B$32)/1000+'Inputs'!$B$21)+'Inputs'!$B$9)/SQRT((((306-43)*MAX('Inputs'!$B$33,'Inputs'!$B$29+'Inputs'!$B$31+'Inputs'!$B$32,'Inputs'!$B$30+'Inputs'!$B$31+'Inputs'!$B$32)/1000+'Inputs'!$B$21)+'Inputs'!$B$9)^2+('Inputs'!$B$8/2)^2)-(((306-43)*MAX('Inputs'!$B$33,'Inputs'!$B$29+'Inputs'!$B$31+'Inputs'!$B$32,'Inputs'!$B$30+'Inputs'!$B$31+'Inputs'!$B$32)/1000+'Inputs'!$B$21))/SQRT((((306-43)*MAX('Inputs'!$B$33,'Inputs'!$B$29+'Inputs'!$B$31+'Inputs'!$B$32,'Inputs'!$B$30+'Inputs'!$B$31+'Inputs'!$B$32)/1000+'Inputs'!$B$21))^2+('Inputs'!$B$8/2)^2)))-'Results'!B7*(1-'Inputs'!$B$24)*(0.5*((((306-43)*MAX('Inputs'!$B$33,'Inputs'!$B$29+'Inputs'!$B$31+'Inputs'!$B$32,'Inputs'!$B$30+'Inputs'!$B$31+'Inputs'!$B$32)/1000+'Inputs'!$B$21+'Inputs'!$B$9+'Inputs'!$B$10)+'Inputs'!$B$7)/SQRT((((306-43)*MAX('Inputs'!$B$33,'Inputs'!$B$29+'Inputs'!$B$31+'Inputs'!$B$32,'Inputs'!$B$30+'Inputs'!$B$31+'Inputs'!$B$32)/1000+'Inputs'!$B$21+'Inputs'!$B$9+'Inputs'!$B$10)+'Inputs'!$B$7)^2+('Inputs'!$B$6/2)^2)-(((306-43)*MAX('Inputs'!$B$33,'Inputs'!$B$29+'Inputs'!$B$31+'Inputs'!$B$32,'Inputs'!$B$30+'Inputs'!$B$31+'Inputs'!$B$32)/1000+'Inputs'!$B$21+'Inputs'!$B$9+'Inputs'!$B$10))/SQRT((((306-43)*MAX('Inputs'!$B$33,'Inputs'!$B$29+'Inputs'!$B$31+'Inputs'!$B$32,'Inputs'!$B$30+'Inputs'!$B$31+'Inputs'!$B$32)/1000+'Inputs'!$B$21+'Inputs'!$B$9+'Inputs'!$B$10))^2+('Inputs'!$B$6/2)^2))))*'Results'!$B$8)+'Inputs'!$B$28*ABS((('Results'!C7*(1+'Inputs'!$B$24)*(0.5*((((306-43)*MAX('Inputs'!$B$33,'Inputs'!$B$29+'Inputs'!$B$31+'Inputs'!$B$32,'Inputs'!$B$30+'Inputs'!$B$31+'Inputs'!$B$32)/1000+'Inputs'!$B$21)+'Inputs'!$B$9)/SQRT((((306-43)*MAX('Inputs'!$B$33,'Inputs'!$B$29+'Inputs'!$B$31+'Inputs'!$B$32,'Inputs'!$B$30+'Inputs'!$B$31+'Inputs'!$B$32)/1000+'Inputs'!$B$21)+'Inputs'!$B$9)^2+('Inputs'!$B$8/2)^2)-(((306-43)*MAX('Inputs'!$B$33,'Inputs'!$B$29+'Inputs'!$B$31+'Inputs'!$B$32,'Inputs'!$B$30+'Inputs'!$B$31+'Inputs'!$B$32)/1000+'Inputs'!$B$21))/SQRT((((306-43)*MAX('Inputs'!$B$33,'Inputs'!$B$29+'Inputs'!$B$31+'Inputs'!$B$32,'Inputs'!$B$30+'Inputs'!$B$31+'Inputs'!$B$32)/1000+'Inputs'!$B$21))^2+('Inputs'!$B$8/2)^2)))-'Results'!B7*(1-'Inputs'!$B$24)*(0.5*((((306-43)*MAX('Inputs'!$B$33,'Inputs'!$B$29+'Inputs'!$B$31+'Inputs'!$B$32,'Inputs'!$B$30+'Inputs'!$B$31+'Inputs'!$B$32)/1000+'Inputs'!$B$21+'Inputs'!$B$9+'Inputs'!$B$10)+'Inputs'!$B$7)/SQRT((((306-43)*MAX('Inputs'!$B$33,'Inputs'!$B$29+'Inputs'!$B$31+'Inputs'!$B$32,'Inputs'!$B$30+'Inputs'!$B$31+'Inputs'!$B$32)/1000+'Inputs'!$B$21+'Inputs'!$B$9+'Inputs'!$B$10)+'Inputs'!$B$7)^2+('Inputs'!$B$6/2)^2)-(((306-43)*MAX('Inputs'!$B$33,'Inputs'!$B$29+'Inputs'!$B$31+'Inputs'!$B$32,'Inputs'!$B$30+'Inputs'!$B$31+'Inputs'!$B$32)/1000+'Inputs'!$B$21+'Inputs'!$B$9+'Inputs'!$B$10))/SQRT((((306-43)*MAX('Inputs'!$B$33,'Inputs'!$B$29+'Inputs'!$B$31+'Inputs'!$B$32,'Inputs'!$B$30+'Inputs'!$B$31+'Inputs'!$B$32)/1000+'Inputs'!$B$21+'Inputs'!$B$9+'Inputs'!$B$10))^2+('Inputs'!$B$6/2)^2))))*'Results'!$B$8))),"")</x:f>
        <x:v>34.90068700342978</x:v>
      </x:c>
      <x:c r="P306" t="n">
        <x:f>IF(AND(MAX(J306,J305)&gt;0,J306&gt;J305+0.00000001),1,0)</x:f>
        <x:v>0</x:v>
      </x:c>
      <x:c r="Q306" t="n">
        <x:f>IF(AND(MAX(K306,K305)&gt;0,K306&gt;K305+0.00000001),1,0)</x:f>
        <x:v>0</x:v>
      </x:c>
      <x:c r="R306" t="n">
        <x:f>IF(AND(MAX(L306,L305)&gt;0,L306&gt;L305+0.00000001),1,0)</x:f>
        <x:v>0</x:v>
      </x:c>
      <x:c r="S306" t="n">
        <x:f>IF(AND(MAX(M306,M305)&gt;0,M306&gt;M305+0.00000001),1,0)</x:f>
        <x:v>0</x:v>
      </x:c>
      <x:c r="T306" t="n">
        <x:f>IF(AND(MAX(N306,N305)&gt;0,N306&gt;N305+0.00000001),1,0)</x:f>
        <x:v>0</x:v>
      </x:c>
      <x:c r="U306" t="n">
        <x:f>IF(AND(MAX(O306,O305)&gt;0,O306&gt;O305+0.00000001),1,0)</x:f>
        <x:v>0</x:v>
      </x:c>
    </x:row>
    <x:row r="307">
      <x:c r="J307" t="n">
        <x:f>IF(AND(ISNUMBER('Results'!B7),ISNUMBER('Results'!C7),ISNUMBER('Results'!$B$8),ISNUMBER('Inputs'!$B$6),ISNUMBER('Inputs'!$B$7),ISNUMBER('Inputs'!$B$8),ISNUMBER('Inputs'!$B$9),ISNUMBER('Inputs'!$B$10),ISNUMBER('Inputs'!$B$21),ISNUMBER('Inputs'!$B$24),ISNUMBER('Inputs'!$B$28)),(('Results'!B7*(0.5*((((307-43)*MAX('Inputs'!$B$33,'Inputs'!$B$29+'Inputs'!$B$31+'Inputs'!$B$32,'Inputs'!$B$30+'Inputs'!$B$31+'Inputs'!$B$32)/1000+'Inputs'!$B$21)+'Inputs'!$B$7)/SQRT((((307-43)*MAX('Inputs'!$B$33,'Inputs'!$B$29+'Inputs'!$B$31+'Inputs'!$B$32,'Inputs'!$B$30+'Inputs'!$B$31+'Inputs'!$B$32)/1000+'Inputs'!$B$21)+'Inputs'!$B$7)^2+('Inputs'!$B$6/2)^2)-(((307-43)*MAX('Inputs'!$B$33,'Inputs'!$B$29+'Inputs'!$B$31+'Inputs'!$B$32,'Inputs'!$B$30+'Inputs'!$B$31+'Inputs'!$B$32)/1000+'Inputs'!$B$21))/SQRT((((307-43)*MAX('Inputs'!$B$33,'Inputs'!$B$29+'Inputs'!$B$31+'Inputs'!$B$32,'Inputs'!$B$30+'Inputs'!$B$31+'Inputs'!$B$32)/1000+'Inputs'!$B$21))^2+('Inputs'!$B$6/2)^2)))-'Results'!C7*(0.5*((((307-43)*MAX('Inputs'!$B$33,'Inputs'!$B$29+'Inputs'!$B$31+'Inputs'!$B$32,'Inputs'!$B$30+'Inputs'!$B$31+'Inputs'!$B$32)/1000+'Inputs'!$B$21+'Inputs'!$B$7+'Inputs'!$B$10)+'Inputs'!$B$9)/SQRT((((307-43)*MAX('Inputs'!$B$33,'Inputs'!$B$29+'Inputs'!$B$31+'Inputs'!$B$32,'Inputs'!$B$30+'Inputs'!$B$31+'Inputs'!$B$32)/1000+'Inputs'!$B$21+'Inputs'!$B$7+'Inputs'!$B$10)+'Inputs'!$B$9)^2+('Inputs'!$B$8/2)^2)-(((307-43)*MAX('Inputs'!$B$33,'Inputs'!$B$29+'Inputs'!$B$31+'Inputs'!$B$32,'Inputs'!$B$30+'Inputs'!$B$31+'Inputs'!$B$32)/1000+'Inputs'!$B$21+'Inputs'!$B$7+'Inputs'!$B$10))/SQRT((((307-43)*MAX('Inputs'!$B$33,'Inputs'!$B$29+'Inputs'!$B$31+'Inputs'!$B$32,'Inputs'!$B$30+'Inputs'!$B$31+'Inputs'!$B$32)/1000+'Inputs'!$B$21+'Inputs'!$B$7+'Inputs'!$B$10))^2+('Inputs'!$B$8/2)^2))))*'Results'!$B$8),"")</x:f>
        <x:v>32.882756786438236</x:v>
      </x:c>
      <x:c r="K307" t="n">
        <x:f>IF(AND(ISNUMBER('Results'!B7),ISNUMBER('Results'!C7),ISNUMBER('Results'!$B$8),ISNUMBER('Inputs'!$B$6),ISNUMBER('Inputs'!$B$7),ISNUMBER('Inputs'!$B$8),ISNUMBER('Inputs'!$B$9),ISNUMBER('Inputs'!$B$10),ISNUMBER('Inputs'!$B$21),ISNUMBER('Inputs'!$B$24),ISNUMBER('Inputs'!$B$28)),((('Results'!B7*(1-'Inputs'!$B$24)*(0.5*((((307-43)*MAX('Inputs'!$B$33,'Inputs'!$B$29+'Inputs'!$B$31+'Inputs'!$B$32,'Inputs'!$B$30+'Inputs'!$B$31+'Inputs'!$B$32)/1000+'Inputs'!$B$21)+'Inputs'!$B$7)/SQRT((((307-43)*MAX('Inputs'!$B$33,'Inputs'!$B$29+'Inputs'!$B$31+'Inputs'!$B$32,'Inputs'!$B$30+'Inputs'!$B$31+'Inputs'!$B$32)/1000+'Inputs'!$B$21)+'Inputs'!$B$7)^2+('Inputs'!$B$6/2)^2)-(((307-43)*MAX('Inputs'!$B$33,'Inputs'!$B$29+'Inputs'!$B$31+'Inputs'!$B$32,'Inputs'!$B$30+'Inputs'!$B$31+'Inputs'!$B$32)/1000+'Inputs'!$B$21))/SQRT((((307-43)*MAX('Inputs'!$B$33,'Inputs'!$B$29+'Inputs'!$B$31+'Inputs'!$B$32,'Inputs'!$B$30+'Inputs'!$B$31+'Inputs'!$B$32)/1000+'Inputs'!$B$21))^2+('Inputs'!$B$6/2)^2)))-'Results'!C7*(1+'Inputs'!$B$24)*(0.5*((((307-43)*MAX('Inputs'!$B$33,'Inputs'!$B$29+'Inputs'!$B$31+'Inputs'!$B$32,'Inputs'!$B$30+'Inputs'!$B$31+'Inputs'!$B$32)/1000+'Inputs'!$B$21+'Inputs'!$B$7+'Inputs'!$B$10)+'Inputs'!$B$9)/SQRT((((307-43)*MAX('Inputs'!$B$33,'Inputs'!$B$29+'Inputs'!$B$31+'Inputs'!$B$32,'Inputs'!$B$30+'Inputs'!$B$31+'Inputs'!$B$32)/1000+'Inputs'!$B$21+'Inputs'!$B$7+'Inputs'!$B$10)+'Inputs'!$B$9)^2+('Inputs'!$B$8/2)^2)-(((307-43)*MAX('Inputs'!$B$33,'Inputs'!$B$29+'Inputs'!$B$31+'Inputs'!$B$32,'Inputs'!$B$30+'Inputs'!$B$31+'Inputs'!$B$32)/1000+'Inputs'!$B$21+'Inputs'!$B$7+'Inputs'!$B$10))/SQRT((((307-43)*MAX('Inputs'!$B$33,'Inputs'!$B$29+'Inputs'!$B$31+'Inputs'!$B$32,'Inputs'!$B$30+'Inputs'!$B$31+'Inputs'!$B$32)/1000+'Inputs'!$B$21+'Inputs'!$B$7+'Inputs'!$B$10))^2+('Inputs'!$B$8/2)^2))))*'Results'!$B$8)-'Inputs'!$B$28*ABS((('Results'!B7*(1-'Inputs'!$B$24)*(0.5*((((307-43)*MAX('Inputs'!$B$33,'Inputs'!$B$29+'Inputs'!$B$31+'Inputs'!$B$32,'Inputs'!$B$30+'Inputs'!$B$31+'Inputs'!$B$32)/1000+'Inputs'!$B$21)+'Inputs'!$B$7)/SQRT((((307-43)*MAX('Inputs'!$B$33,'Inputs'!$B$29+'Inputs'!$B$31+'Inputs'!$B$32,'Inputs'!$B$30+'Inputs'!$B$31+'Inputs'!$B$32)/1000+'Inputs'!$B$21)+'Inputs'!$B$7)^2+('Inputs'!$B$6/2)^2)-(((307-43)*MAX('Inputs'!$B$33,'Inputs'!$B$29+'Inputs'!$B$31+'Inputs'!$B$32,'Inputs'!$B$30+'Inputs'!$B$31+'Inputs'!$B$32)/1000+'Inputs'!$B$21))/SQRT((((307-43)*MAX('Inputs'!$B$33,'Inputs'!$B$29+'Inputs'!$B$31+'Inputs'!$B$32,'Inputs'!$B$30+'Inputs'!$B$31+'Inputs'!$B$32)/1000+'Inputs'!$B$21))^2+('Inputs'!$B$6/2)^2)))-'Results'!C7*(1+'Inputs'!$B$24)*(0.5*((((307-43)*MAX('Inputs'!$B$33,'Inputs'!$B$29+'Inputs'!$B$31+'Inputs'!$B$32,'Inputs'!$B$30+'Inputs'!$B$31+'Inputs'!$B$32)/1000+'Inputs'!$B$21+'Inputs'!$B$7+'Inputs'!$B$10)+'Inputs'!$B$9)/SQRT((((307-43)*MAX('Inputs'!$B$33,'Inputs'!$B$29+'Inputs'!$B$31+'Inputs'!$B$32,'Inputs'!$B$30+'Inputs'!$B$31+'Inputs'!$B$32)/1000+'Inputs'!$B$21+'Inputs'!$B$7+'Inputs'!$B$10)+'Inputs'!$B$9)^2+('Inputs'!$B$8/2)^2)-(((307-43)*MAX('Inputs'!$B$33,'Inputs'!$B$29+'Inputs'!$B$31+'Inputs'!$B$32,'Inputs'!$B$30+'Inputs'!$B$31+'Inputs'!$B$32)/1000+'Inputs'!$B$21+'Inputs'!$B$7+'Inputs'!$B$10))/SQRT((((307-43)*MAX('Inputs'!$B$33,'Inputs'!$B$29+'Inputs'!$B$31+'Inputs'!$B$32,'Inputs'!$B$30+'Inputs'!$B$31+'Inputs'!$B$32)/1000+'Inputs'!$B$21+'Inputs'!$B$7+'Inputs'!$B$10))^2+('Inputs'!$B$8/2)^2))))*'Results'!$B$8))),"")</x:f>
        <x:v>29.87195910303494</x:v>
      </x:c>
      <x:c r="L307" t="n">
        <x:f>IF(AND(ISNUMBER('Results'!B7),ISNUMBER('Results'!C7),ISNUMBER('Results'!$B$8),ISNUMBER('Inputs'!$B$6),ISNUMBER('Inputs'!$B$7),ISNUMBER('Inputs'!$B$8),ISNUMBER('Inputs'!$B$9),ISNUMBER('Inputs'!$B$10),ISNUMBER('Inputs'!$B$21),ISNUMBER('Inputs'!$B$24),ISNUMBER('Inputs'!$B$28)),((('Results'!B7*(1+'Inputs'!$B$24)*(0.5*((((307-43)*MAX('Inputs'!$B$33,'Inputs'!$B$29+'Inputs'!$B$31+'Inputs'!$B$32,'Inputs'!$B$30+'Inputs'!$B$31+'Inputs'!$B$32)/1000+'Inputs'!$B$21)+'Inputs'!$B$7)/SQRT((((307-43)*MAX('Inputs'!$B$33,'Inputs'!$B$29+'Inputs'!$B$31+'Inputs'!$B$32,'Inputs'!$B$30+'Inputs'!$B$31+'Inputs'!$B$32)/1000+'Inputs'!$B$21)+'Inputs'!$B$7)^2+('Inputs'!$B$6/2)^2)-(((307-43)*MAX('Inputs'!$B$33,'Inputs'!$B$29+'Inputs'!$B$31+'Inputs'!$B$32,'Inputs'!$B$30+'Inputs'!$B$31+'Inputs'!$B$32)/1000+'Inputs'!$B$21))/SQRT((((307-43)*MAX('Inputs'!$B$33,'Inputs'!$B$29+'Inputs'!$B$31+'Inputs'!$B$32,'Inputs'!$B$30+'Inputs'!$B$31+'Inputs'!$B$32)/1000+'Inputs'!$B$21))^2+('Inputs'!$B$6/2)^2)))-'Results'!C7*(1-'Inputs'!$B$24)*(0.5*((((307-43)*MAX('Inputs'!$B$33,'Inputs'!$B$29+'Inputs'!$B$31+'Inputs'!$B$32,'Inputs'!$B$30+'Inputs'!$B$31+'Inputs'!$B$32)/1000+'Inputs'!$B$21+'Inputs'!$B$7+'Inputs'!$B$10)+'Inputs'!$B$9)/SQRT((((307-43)*MAX('Inputs'!$B$33,'Inputs'!$B$29+'Inputs'!$B$31+'Inputs'!$B$32,'Inputs'!$B$30+'Inputs'!$B$31+'Inputs'!$B$32)/1000+'Inputs'!$B$21+'Inputs'!$B$7+'Inputs'!$B$10)+'Inputs'!$B$9)^2+('Inputs'!$B$8/2)^2)-(((307-43)*MAX('Inputs'!$B$33,'Inputs'!$B$29+'Inputs'!$B$31+'Inputs'!$B$32,'Inputs'!$B$30+'Inputs'!$B$31+'Inputs'!$B$32)/1000+'Inputs'!$B$21+'Inputs'!$B$7+'Inputs'!$B$10))/SQRT((((307-43)*MAX('Inputs'!$B$33,'Inputs'!$B$29+'Inputs'!$B$31+'Inputs'!$B$32,'Inputs'!$B$30+'Inputs'!$B$31+'Inputs'!$B$32)/1000+'Inputs'!$B$21+'Inputs'!$B$7+'Inputs'!$B$10))^2+('Inputs'!$B$8/2)^2))))*'Results'!$B$8)+'Inputs'!$B$28*ABS((('Results'!B7*(1+'Inputs'!$B$24)*(0.5*((((307-43)*MAX('Inputs'!$B$33,'Inputs'!$B$29+'Inputs'!$B$31+'Inputs'!$B$32,'Inputs'!$B$30+'Inputs'!$B$31+'Inputs'!$B$32)/1000+'Inputs'!$B$21)+'Inputs'!$B$7)/SQRT((((307-43)*MAX('Inputs'!$B$33,'Inputs'!$B$29+'Inputs'!$B$31+'Inputs'!$B$32,'Inputs'!$B$30+'Inputs'!$B$31+'Inputs'!$B$32)/1000+'Inputs'!$B$21)+'Inputs'!$B$7)^2+('Inputs'!$B$6/2)^2)-(((307-43)*MAX('Inputs'!$B$33,'Inputs'!$B$29+'Inputs'!$B$31+'Inputs'!$B$32,'Inputs'!$B$30+'Inputs'!$B$31+'Inputs'!$B$32)/1000+'Inputs'!$B$21))/SQRT((((307-43)*MAX('Inputs'!$B$33,'Inputs'!$B$29+'Inputs'!$B$31+'Inputs'!$B$32,'Inputs'!$B$30+'Inputs'!$B$31+'Inputs'!$B$32)/1000+'Inputs'!$B$21))^2+('Inputs'!$B$6/2)^2)))-'Results'!C7*(1-'Inputs'!$B$24)*(0.5*((((307-43)*MAX('Inputs'!$B$33,'Inputs'!$B$29+'Inputs'!$B$31+'Inputs'!$B$32,'Inputs'!$B$30+'Inputs'!$B$31+'Inputs'!$B$32)/1000+'Inputs'!$B$21+'Inputs'!$B$7+'Inputs'!$B$10)+'Inputs'!$B$9)/SQRT((((307-43)*MAX('Inputs'!$B$33,'Inputs'!$B$29+'Inputs'!$B$31+'Inputs'!$B$32,'Inputs'!$B$30+'Inputs'!$B$31+'Inputs'!$B$32)/1000+'Inputs'!$B$21+'Inputs'!$B$7+'Inputs'!$B$10)+'Inputs'!$B$9)^2+('Inputs'!$B$8/2)^2)-(((307-43)*MAX('Inputs'!$B$33,'Inputs'!$B$29+'Inputs'!$B$31+'Inputs'!$B$32,'Inputs'!$B$30+'Inputs'!$B$31+'Inputs'!$B$32)/1000+'Inputs'!$B$21+'Inputs'!$B$7+'Inputs'!$B$10))/SQRT((((307-43)*MAX('Inputs'!$B$33,'Inputs'!$B$29+'Inputs'!$B$31+'Inputs'!$B$32,'Inputs'!$B$30+'Inputs'!$B$31+'Inputs'!$B$32)/1000+'Inputs'!$B$21+'Inputs'!$B$7+'Inputs'!$B$10))^2+('Inputs'!$B$8/2)^2))))*'Results'!$B$8))),"")</x:f>
        <x:v>36.037413400797455</x:v>
      </x:c>
      <x:c r="M307" t="n">
        <x:f>IF(AND(ISNUMBER('Results'!C7),ISNUMBER('Results'!B7),ISNUMBER('Results'!$B$8),ISNUMBER('Inputs'!$B$6),ISNUMBER('Inputs'!$B$7),ISNUMBER('Inputs'!$B$8),ISNUMBER('Inputs'!$B$9),ISNUMBER('Inputs'!$B$10),ISNUMBER('Inputs'!$B$21),ISNUMBER('Inputs'!$B$24),ISNUMBER('Inputs'!$B$28)),(('Results'!C7*(0.5*((((307-43)*MAX('Inputs'!$B$33,'Inputs'!$B$29+'Inputs'!$B$31+'Inputs'!$B$32,'Inputs'!$B$30+'Inputs'!$B$31+'Inputs'!$B$32)/1000+'Inputs'!$B$21)+'Inputs'!$B$9)/SQRT((((307-43)*MAX('Inputs'!$B$33,'Inputs'!$B$29+'Inputs'!$B$31+'Inputs'!$B$32,'Inputs'!$B$30+'Inputs'!$B$31+'Inputs'!$B$32)/1000+'Inputs'!$B$21)+'Inputs'!$B$9)^2+('Inputs'!$B$8/2)^2)-(((307-43)*MAX('Inputs'!$B$33,'Inputs'!$B$29+'Inputs'!$B$31+'Inputs'!$B$32,'Inputs'!$B$30+'Inputs'!$B$31+'Inputs'!$B$32)/1000+'Inputs'!$B$21))/SQRT((((307-43)*MAX('Inputs'!$B$33,'Inputs'!$B$29+'Inputs'!$B$31+'Inputs'!$B$32,'Inputs'!$B$30+'Inputs'!$B$31+'Inputs'!$B$32)/1000+'Inputs'!$B$21))^2+('Inputs'!$B$8/2)^2)))-'Results'!B7*(0.5*((((307-43)*MAX('Inputs'!$B$33,'Inputs'!$B$29+'Inputs'!$B$31+'Inputs'!$B$32,'Inputs'!$B$30+'Inputs'!$B$31+'Inputs'!$B$32)/1000+'Inputs'!$B$21+'Inputs'!$B$9+'Inputs'!$B$10)+'Inputs'!$B$7)/SQRT((((307-43)*MAX('Inputs'!$B$33,'Inputs'!$B$29+'Inputs'!$B$31+'Inputs'!$B$32,'Inputs'!$B$30+'Inputs'!$B$31+'Inputs'!$B$32)/1000+'Inputs'!$B$21+'Inputs'!$B$9+'Inputs'!$B$10)+'Inputs'!$B$7)^2+('Inputs'!$B$6/2)^2)-(((307-43)*MAX('Inputs'!$B$33,'Inputs'!$B$29+'Inputs'!$B$31+'Inputs'!$B$32,'Inputs'!$B$30+'Inputs'!$B$31+'Inputs'!$B$32)/1000+'Inputs'!$B$21+'Inputs'!$B$9+'Inputs'!$B$10))/SQRT((((307-43)*MAX('Inputs'!$B$33,'Inputs'!$B$29+'Inputs'!$B$31+'Inputs'!$B$32,'Inputs'!$B$30+'Inputs'!$B$31+'Inputs'!$B$32)/1000+'Inputs'!$B$21+'Inputs'!$B$9+'Inputs'!$B$10))^2+('Inputs'!$B$6/2)^2))))*'Results'!$B$8),"")</x:f>
        <x:v>31.43619876081939</x:v>
      </x:c>
      <x:c r="N307" t="n">
        <x:f>IF(AND(ISNUMBER('Results'!C7),ISNUMBER('Results'!B7),ISNUMBER('Results'!$B$8),ISNUMBER('Inputs'!$B$6),ISNUMBER('Inputs'!$B$7),ISNUMBER('Inputs'!$B$8),ISNUMBER('Inputs'!$B$9),ISNUMBER('Inputs'!$B$10),ISNUMBER('Inputs'!$B$21),ISNUMBER('Inputs'!$B$24),ISNUMBER('Inputs'!$B$28)),((('Results'!C7*(1-'Inputs'!$B$24)*(0.5*((((307-43)*MAX('Inputs'!$B$33,'Inputs'!$B$29+'Inputs'!$B$31+'Inputs'!$B$32,'Inputs'!$B$30+'Inputs'!$B$31+'Inputs'!$B$32)/1000+'Inputs'!$B$21)+'Inputs'!$B$9)/SQRT((((307-43)*MAX('Inputs'!$B$33,'Inputs'!$B$29+'Inputs'!$B$31+'Inputs'!$B$32,'Inputs'!$B$30+'Inputs'!$B$31+'Inputs'!$B$32)/1000+'Inputs'!$B$21)+'Inputs'!$B$9)^2+('Inputs'!$B$8/2)^2)-(((307-43)*MAX('Inputs'!$B$33,'Inputs'!$B$29+'Inputs'!$B$31+'Inputs'!$B$32,'Inputs'!$B$30+'Inputs'!$B$31+'Inputs'!$B$32)/1000+'Inputs'!$B$21))/SQRT((((307-43)*MAX('Inputs'!$B$33,'Inputs'!$B$29+'Inputs'!$B$31+'Inputs'!$B$32,'Inputs'!$B$30+'Inputs'!$B$31+'Inputs'!$B$32)/1000+'Inputs'!$B$21))^2+('Inputs'!$B$8/2)^2)))-'Results'!B7*(1+'Inputs'!$B$24)*(0.5*((((307-43)*MAX('Inputs'!$B$33,'Inputs'!$B$29+'Inputs'!$B$31+'Inputs'!$B$32,'Inputs'!$B$30+'Inputs'!$B$31+'Inputs'!$B$32)/1000+'Inputs'!$B$21+'Inputs'!$B$9+'Inputs'!$B$10)+'Inputs'!$B$7)/SQRT((((307-43)*MAX('Inputs'!$B$33,'Inputs'!$B$29+'Inputs'!$B$31+'Inputs'!$B$32,'Inputs'!$B$30+'Inputs'!$B$31+'Inputs'!$B$32)/1000+'Inputs'!$B$21+'Inputs'!$B$9+'Inputs'!$B$10)+'Inputs'!$B$7)^2+('Inputs'!$B$6/2)^2)-(((307-43)*MAX('Inputs'!$B$33,'Inputs'!$B$29+'Inputs'!$B$31+'Inputs'!$B$32,'Inputs'!$B$30+'Inputs'!$B$31+'Inputs'!$B$32)/1000+'Inputs'!$B$21+'Inputs'!$B$9+'Inputs'!$B$10))/SQRT((((307-43)*MAX('Inputs'!$B$33,'Inputs'!$B$29+'Inputs'!$B$31+'Inputs'!$B$32,'Inputs'!$B$30+'Inputs'!$B$31+'Inputs'!$B$32)/1000+'Inputs'!$B$21+'Inputs'!$B$9+'Inputs'!$B$10))^2+('Inputs'!$B$6/2)^2))))*'Results'!$B$8)-'Inputs'!$B$28*ABS((('Results'!C7*(1-'Inputs'!$B$24)*(0.5*((((307-43)*MAX('Inputs'!$B$33,'Inputs'!$B$29+'Inputs'!$B$31+'Inputs'!$B$32,'Inputs'!$B$30+'Inputs'!$B$31+'Inputs'!$B$32)/1000+'Inputs'!$B$21)+'Inputs'!$B$9)/SQRT((((307-43)*MAX('Inputs'!$B$33,'Inputs'!$B$29+'Inputs'!$B$31+'Inputs'!$B$32,'Inputs'!$B$30+'Inputs'!$B$31+'Inputs'!$B$32)/1000+'Inputs'!$B$21)+'Inputs'!$B$9)^2+('Inputs'!$B$8/2)^2)-(((307-43)*MAX('Inputs'!$B$33,'Inputs'!$B$29+'Inputs'!$B$31+'Inputs'!$B$32,'Inputs'!$B$30+'Inputs'!$B$31+'Inputs'!$B$32)/1000+'Inputs'!$B$21))/SQRT((((307-43)*MAX('Inputs'!$B$33,'Inputs'!$B$29+'Inputs'!$B$31+'Inputs'!$B$32,'Inputs'!$B$30+'Inputs'!$B$31+'Inputs'!$B$32)/1000+'Inputs'!$B$21))^2+('Inputs'!$B$8/2)^2)))-'Results'!B7*(1+'Inputs'!$B$24)*(0.5*((((307-43)*MAX('Inputs'!$B$33,'Inputs'!$B$29+'Inputs'!$B$31+'Inputs'!$B$32,'Inputs'!$B$30+'Inputs'!$B$31+'Inputs'!$B$32)/1000+'Inputs'!$B$21+'Inputs'!$B$9+'Inputs'!$B$10)+'Inputs'!$B$7)/SQRT((((307-43)*MAX('Inputs'!$B$33,'Inputs'!$B$29+'Inputs'!$B$31+'Inputs'!$B$32,'Inputs'!$B$30+'Inputs'!$B$31+'Inputs'!$B$32)/1000+'Inputs'!$B$21+'Inputs'!$B$9+'Inputs'!$B$10)+'Inputs'!$B$7)^2+('Inputs'!$B$6/2)^2)-(((307-43)*MAX('Inputs'!$B$33,'Inputs'!$B$29+'Inputs'!$B$31+'Inputs'!$B$32,'Inputs'!$B$30+'Inputs'!$B$31+'Inputs'!$B$32)/1000+'Inputs'!$B$21+'Inputs'!$B$9+'Inputs'!$B$10))/SQRT((((307-43)*MAX('Inputs'!$B$33,'Inputs'!$B$29+'Inputs'!$B$31+'Inputs'!$B$32,'Inputs'!$B$30+'Inputs'!$B$31+'Inputs'!$B$32)/1000+'Inputs'!$B$21+'Inputs'!$B$9+'Inputs'!$B$10))^2+('Inputs'!$B$6/2)^2))))*'Results'!$B$8))),"")</x:f>
        <x:v>28.510073020670752</x:v>
      </x:c>
      <x:c r="O307" t="n">
        <x:f>IF(AND(ISNUMBER('Results'!C7),ISNUMBER('Results'!B7),ISNUMBER('Results'!$B$8),ISNUMBER('Inputs'!$B$6),ISNUMBER('Inputs'!$B$7),ISNUMBER('Inputs'!$B$8),ISNUMBER('Inputs'!$B$9),ISNUMBER('Inputs'!$B$10),ISNUMBER('Inputs'!$B$21),ISNUMBER('Inputs'!$B$24),ISNUMBER('Inputs'!$B$28)),((('Results'!C7*(1+'Inputs'!$B$24)*(0.5*((((307-43)*MAX('Inputs'!$B$33,'Inputs'!$B$29+'Inputs'!$B$31+'Inputs'!$B$32,'Inputs'!$B$30+'Inputs'!$B$31+'Inputs'!$B$32)/1000+'Inputs'!$B$21)+'Inputs'!$B$9)/SQRT((((307-43)*MAX('Inputs'!$B$33,'Inputs'!$B$29+'Inputs'!$B$31+'Inputs'!$B$32,'Inputs'!$B$30+'Inputs'!$B$31+'Inputs'!$B$32)/1000+'Inputs'!$B$21)+'Inputs'!$B$9)^2+('Inputs'!$B$8/2)^2)-(((307-43)*MAX('Inputs'!$B$33,'Inputs'!$B$29+'Inputs'!$B$31+'Inputs'!$B$32,'Inputs'!$B$30+'Inputs'!$B$31+'Inputs'!$B$32)/1000+'Inputs'!$B$21))/SQRT((((307-43)*MAX('Inputs'!$B$33,'Inputs'!$B$29+'Inputs'!$B$31+'Inputs'!$B$32,'Inputs'!$B$30+'Inputs'!$B$31+'Inputs'!$B$32)/1000+'Inputs'!$B$21))^2+('Inputs'!$B$8/2)^2)))-'Results'!B7*(1-'Inputs'!$B$24)*(0.5*((((307-43)*MAX('Inputs'!$B$33,'Inputs'!$B$29+'Inputs'!$B$31+'Inputs'!$B$32,'Inputs'!$B$30+'Inputs'!$B$31+'Inputs'!$B$32)/1000+'Inputs'!$B$21+'Inputs'!$B$9+'Inputs'!$B$10)+'Inputs'!$B$7)/SQRT((((307-43)*MAX('Inputs'!$B$33,'Inputs'!$B$29+'Inputs'!$B$31+'Inputs'!$B$32,'Inputs'!$B$30+'Inputs'!$B$31+'Inputs'!$B$32)/1000+'Inputs'!$B$21+'Inputs'!$B$9+'Inputs'!$B$10)+'Inputs'!$B$7)^2+('Inputs'!$B$6/2)^2)-(((307-43)*MAX('Inputs'!$B$33,'Inputs'!$B$29+'Inputs'!$B$31+'Inputs'!$B$32,'Inputs'!$B$30+'Inputs'!$B$31+'Inputs'!$B$32)/1000+'Inputs'!$B$21+'Inputs'!$B$9+'Inputs'!$B$10))/SQRT((((307-43)*MAX('Inputs'!$B$33,'Inputs'!$B$29+'Inputs'!$B$31+'Inputs'!$B$32,'Inputs'!$B$30+'Inputs'!$B$31+'Inputs'!$B$32)/1000+'Inputs'!$B$21+'Inputs'!$B$9+'Inputs'!$B$10))^2+('Inputs'!$B$6/2)^2))))*'Results'!$B$8)+'Inputs'!$B$28*ABS((('Results'!C7*(1+'Inputs'!$B$24)*(0.5*((((307-43)*MAX('Inputs'!$B$33,'Inputs'!$B$29+'Inputs'!$B$31+'Inputs'!$B$32,'Inputs'!$B$30+'Inputs'!$B$31+'Inputs'!$B$32)/1000+'Inputs'!$B$21)+'Inputs'!$B$9)/SQRT((((307-43)*MAX('Inputs'!$B$33,'Inputs'!$B$29+'Inputs'!$B$31+'Inputs'!$B$32,'Inputs'!$B$30+'Inputs'!$B$31+'Inputs'!$B$32)/1000+'Inputs'!$B$21)+'Inputs'!$B$9)^2+('Inputs'!$B$8/2)^2)-(((307-43)*MAX('Inputs'!$B$33,'Inputs'!$B$29+'Inputs'!$B$31+'Inputs'!$B$32,'Inputs'!$B$30+'Inputs'!$B$31+'Inputs'!$B$32)/1000+'Inputs'!$B$21))/SQRT((((307-43)*MAX('Inputs'!$B$33,'Inputs'!$B$29+'Inputs'!$B$31+'Inputs'!$B$32,'Inputs'!$B$30+'Inputs'!$B$31+'Inputs'!$B$32)/1000+'Inputs'!$B$21))^2+('Inputs'!$B$8/2)^2)))-'Results'!B7*(1-'Inputs'!$B$24)*(0.5*((((307-43)*MAX('Inputs'!$B$33,'Inputs'!$B$29+'Inputs'!$B$31+'Inputs'!$B$32,'Inputs'!$B$30+'Inputs'!$B$31+'Inputs'!$B$32)/1000+'Inputs'!$B$21+'Inputs'!$B$9+'Inputs'!$B$10)+'Inputs'!$B$7)/SQRT((((307-43)*MAX('Inputs'!$B$33,'Inputs'!$B$29+'Inputs'!$B$31+'Inputs'!$B$32,'Inputs'!$B$30+'Inputs'!$B$31+'Inputs'!$B$32)/1000+'Inputs'!$B$21+'Inputs'!$B$9+'Inputs'!$B$10)+'Inputs'!$B$7)^2+('Inputs'!$B$6/2)^2)-(((307-43)*MAX('Inputs'!$B$33,'Inputs'!$B$29+'Inputs'!$B$31+'Inputs'!$B$32,'Inputs'!$B$30+'Inputs'!$B$31+'Inputs'!$B$32)/1000+'Inputs'!$B$21+'Inputs'!$B$9+'Inputs'!$B$10))/SQRT((((307-43)*MAX('Inputs'!$B$33,'Inputs'!$B$29+'Inputs'!$B$31+'Inputs'!$B$32,'Inputs'!$B$30+'Inputs'!$B$31+'Inputs'!$B$32)/1000+'Inputs'!$B$21+'Inputs'!$B$9+'Inputs'!$B$10))^2+('Inputs'!$B$6/2)^2))))*'Results'!$B$8))),"")</x:f>
        <x:v>34.504884059084624</x:v>
      </x:c>
      <x:c r="P307" t="n">
        <x:f>IF(AND(MAX(J307,J306)&gt;0,J307&gt;J306+0.00000001),1,0)</x:f>
        <x:v>0</x:v>
      </x:c>
      <x:c r="Q307" t="n">
        <x:f>IF(AND(MAX(K307,K306)&gt;0,K307&gt;K306+0.00000001),1,0)</x:f>
        <x:v>0</x:v>
      </x:c>
      <x:c r="R307" t="n">
        <x:f>IF(AND(MAX(L307,L306)&gt;0,L307&gt;L306+0.00000001),1,0)</x:f>
        <x:v>0</x:v>
      </x:c>
      <x:c r="S307" t="n">
        <x:f>IF(AND(MAX(M307,M306)&gt;0,M307&gt;M306+0.00000001),1,0)</x:f>
        <x:v>0</x:v>
      </x:c>
      <x:c r="T307" t="n">
        <x:f>IF(AND(MAX(N307,N306)&gt;0,N307&gt;N306+0.00000001),1,0)</x:f>
        <x:v>0</x:v>
      </x:c>
      <x:c r="U307" t="n">
        <x:f>IF(AND(MAX(O307,O306)&gt;0,O307&gt;O306+0.00000001),1,0)</x:f>
        <x:v>0</x:v>
      </x:c>
    </x:row>
    <x:row r="308">
      <x:c r="J308" t="n">
        <x:f>IF(AND(ISNUMBER('Results'!B7),ISNUMBER('Results'!C7),ISNUMBER('Results'!$B$8),ISNUMBER('Inputs'!$B$6),ISNUMBER('Inputs'!$B$7),ISNUMBER('Inputs'!$B$8),ISNUMBER('Inputs'!$B$9),ISNUMBER('Inputs'!$B$10),ISNUMBER('Inputs'!$B$21),ISNUMBER('Inputs'!$B$24),ISNUMBER('Inputs'!$B$28)),(('Results'!B7*(0.5*((((308-43)*MAX('Inputs'!$B$33,'Inputs'!$B$29+'Inputs'!$B$31+'Inputs'!$B$32,'Inputs'!$B$30+'Inputs'!$B$31+'Inputs'!$B$32)/1000+'Inputs'!$B$21)+'Inputs'!$B$7)/SQRT((((308-43)*MAX('Inputs'!$B$33,'Inputs'!$B$29+'Inputs'!$B$31+'Inputs'!$B$32,'Inputs'!$B$30+'Inputs'!$B$31+'Inputs'!$B$32)/1000+'Inputs'!$B$21)+'Inputs'!$B$7)^2+('Inputs'!$B$6/2)^2)-(((308-43)*MAX('Inputs'!$B$33,'Inputs'!$B$29+'Inputs'!$B$31+'Inputs'!$B$32,'Inputs'!$B$30+'Inputs'!$B$31+'Inputs'!$B$32)/1000+'Inputs'!$B$21))/SQRT((((308-43)*MAX('Inputs'!$B$33,'Inputs'!$B$29+'Inputs'!$B$31+'Inputs'!$B$32,'Inputs'!$B$30+'Inputs'!$B$31+'Inputs'!$B$32)/1000+'Inputs'!$B$21))^2+('Inputs'!$B$6/2)^2)))-'Results'!C7*(0.5*((((308-43)*MAX('Inputs'!$B$33,'Inputs'!$B$29+'Inputs'!$B$31+'Inputs'!$B$32,'Inputs'!$B$30+'Inputs'!$B$31+'Inputs'!$B$32)/1000+'Inputs'!$B$21+'Inputs'!$B$7+'Inputs'!$B$10)+'Inputs'!$B$9)/SQRT((((308-43)*MAX('Inputs'!$B$33,'Inputs'!$B$29+'Inputs'!$B$31+'Inputs'!$B$32,'Inputs'!$B$30+'Inputs'!$B$31+'Inputs'!$B$32)/1000+'Inputs'!$B$21+'Inputs'!$B$7+'Inputs'!$B$10)+'Inputs'!$B$9)^2+('Inputs'!$B$8/2)^2)-(((308-43)*MAX('Inputs'!$B$33,'Inputs'!$B$29+'Inputs'!$B$31+'Inputs'!$B$32,'Inputs'!$B$30+'Inputs'!$B$31+'Inputs'!$B$32)/1000+'Inputs'!$B$21+'Inputs'!$B$7+'Inputs'!$B$10))/SQRT((((308-43)*MAX('Inputs'!$B$33,'Inputs'!$B$29+'Inputs'!$B$31+'Inputs'!$B$32,'Inputs'!$B$30+'Inputs'!$B$31+'Inputs'!$B$32)/1000+'Inputs'!$B$21+'Inputs'!$B$7+'Inputs'!$B$10))^2+('Inputs'!$B$8/2)^2))))*'Results'!$B$8),"")</x:f>
        <x:v>32.51088800771236</x:v>
      </x:c>
      <x:c r="K308" t="n">
        <x:f>IF(AND(ISNUMBER('Results'!B7),ISNUMBER('Results'!C7),ISNUMBER('Results'!$B$8),ISNUMBER('Inputs'!$B$6),ISNUMBER('Inputs'!$B$7),ISNUMBER('Inputs'!$B$8),ISNUMBER('Inputs'!$B$9),ISNUMBER('Inputs'!$B$10),ISNUMBER('Inputs'!$B$21),ISNUMBER('Inputs'!$B$24),ISNUMBER('Inputs'!$B$28)),((('Results'!B7*(1-'Inputs'!$B$24)*(0.5*((((308-43)*MAX('Inputs'!$B$33,'Inputs'!$B$29+'Inputs'!$B$31+'Inputs'!$B$32,'Inputs'!$B$30+'Inputs'!$B$31+'Inputs'!$B$32)/1000+'Inputs'!$B$21)+'Inputs'!$B$7)/SQRT((((308-43)*MAX('Inputs'!$B$33,'Inputs'!$B$29+'Inputs'!$B$31+'Inputs'!$B$32,'Inputs'!$B$30+'Inputs'!$B$31+'Inputs'!$B$32)/1000+'Inputs'!$B$21)+'Inputs'!$B$7)^2+('Inputs'!$B$6/2)^2)-(((308-43)*MAX('Inputs'!$B$33,'Inputs'!$B$29+'Inputs'!$B$31+'Inputs'!$B$32,'Inputs'!$B$30+'Inputs'!$B$31+'Inputs'!$B$32)/1000+'Inputs'!$B$21))/SQRT((((308-43)*MAX('Inputs'!$B$33,'Inputs'!$B$29+'Inputs'!$B$31+'Inputs'!$B$32,'Inputs'!$B$30+'Inputs'!$B$31+'Inputs'!$B$32)/1000+'Inputs'!$B$21))^2+('Inputs'!$B$6/2)^2)))-'Results'!C7*(1+'Inputs'!$B$24)*(0.5*((((308-43)*MAX('Inputs'!$B$33,'Inputs'!$B$29+'Inputs'!$B$31+'Inputs'!$B$32,'Inputs'!$B$30+'Inputs'!$B$31+'Inputs'!$B$32)/1000+'Inputs'!$B$21+'Inputs'!$B$7+'Inputs'!$B$10)+'Inputs'!$B$9)/SQRT((((308-43)*MAX('Inputs'!$B$33,'Inputs'!$B$29+'Inputs'!$B$31+'Inputs'!$B$32,'Inputs'!$B$30+'Inputs'!$B$31+'Inputs'!$B$32)/1000+'Inputs'!$B$21+'Inputs'!$B$7+'Inputs'!$B$10)+'Inputs'!$B$9)^2+('Inputs'!$B$8/2)^2)-(((308-43)*MAX('Inputs'!$B$33,'Inputs'!$B$29+'Inputs'!$B$31+'Inputs'!$B$32,'Inputs'!$B$30+'Inputs'!$B$31+'Inputs'!$B$32)/1000+'Inputs'!$B$21+'Inputs'!$B$7+'Inputs'!$B$10))/SQRT((((308-43)*MAX('Inputs'!$B$33,'Inputs'!$B$29+'Inputs'!$B$31+'Inputs'!$B$32,'Inputs'!$B$30+'Inputs'!$B$31+'Inputs'!$B$32)/1000+'Inputs'!$B$21+'Inputs'!$B$7+'Inputs'!$B$10))^2+('Inputs'!$B$8/2)^2))))*'Results'!$B$8)-'Inputs'!$B$28*ABS((('Results'!B7*(1-'Inputs'!$B$24)*(0.5*((((308-43)*MAX('Inputs'!$B$33,'Inputs'!$B$29+'Inputs'!$B$31+'Inputs'!$B$32,'Inputs'!$B$30+'Inputs'!$B$31+'Inputs'!$B$32)/1000+'Inputs'!$B$21)+'Inputs'!$B$7)/SQRT((((308-43)*MAX('Inputs'!$B$33,'Inputs'!$B$29+'Inputs'!$B$31+'Inputs'!$B$32,'Inputs'!$B$30+'Inputs'!$B$31+'Inputs'!$B$32)/1000+'Inputs'!$B$21)+'Inputs'!$B$7)^2+('Inputs'!$B$6/2)^2)-(((308-43)*MAX('Inputs'!$B$33,'Inputs'!$B$29+'Inputs'!$B$31+'Inputs'!$B$32,'Inputs'!$B$30+'Inputs'!$B$31+'Inputs'!$B$32)/1000+'Inputs'!$B$21))/SQRT((((308-43)*MAX('Inputs'!$B$33,'Inputs'!$B$29+'Inputs'!$B$31+'Inputs'!$B$32,'Inputs'!$B$30+'Inputs'!$B$31+'Inputs'!$B$32)/1000+'Inputs'!$B$21))^2+('Inputs'!$B$6/2)^2)))-'Results'!C7*(1+'Inputs'!$B$24)*(0.5*((((308-43)*MAX('Inputs'!$B$33,'Inputs'!$B$29+'Inputs'!$B$31+'Inputs'!$B$32,'Inputs'!$B$30+'Inputs'!$B$31+'Inputs'!$B$32)/1000+'Inputs'!$B$21+'Inputs'!$B$7+'Inputs'!$B$10)+'Inputs'!$B$9)/SQRT((((308-43)*MAX('Inputs'!$B$33,'Inputs'!$B$29+'Inputs'!$B$31+'Inputs'!$B$32,'Inputs'!$B$30+'Inputs'!$B$31+'Inputs'!$B$32)/1000+'Inputs'!$B$21+'Inputs'!$B$7+'Inputs'!$B$10)+'Inputs'!$B$9)^2+('Inputs'!$B$8/2)^2)-(((308-43)*MAX('Inputs'!$B$33,'Inputs'!$B$29+'Inputs'!$B$31+'Inputs'!$B$32,'Inputs'!$B$30+'Inputs'!$B$31+'Inputs'!$B$32)/1000+'Inputs'!$B$21+'Inputs'!$B$7+'Inputs'!$B$10))/SQRT((((308-43)*MAX('Inputs'!$B$33,'Inputs'!$B$29+'Inputs'!$B$31+'Inputs'!$B$32,'Inputs'!$B$30+'Inputs'!$B$31+'Inputs'!$B$32)/1000+'Inputs'!$B$21+'Inputs'!$B$7+'Inputs'!$B$10))^2+('Inputs'!$B$8/2)^2))))*'Results'!$B$8))),"")</x:f>
        <x:v>29.531110596808162</x:v>
      </x:c>
      <x:c r="L308" t="n">
        <x:f>IF(AND(ISNUMBER('Results'!B7),ISNUMBER('Results'!C7),ISNUMBER('Results'!$B$8),ISNUMBER('Inputs'!$B$6),ISNUMBER('Inputs'!$B$7),ISNUMBER('Inputs'!$B$8),ISNUMBER('Inputs'!$B$9),ISNUMBER('Inputs'!$B$10),ISNUMBER('Inputs'!$B$21),ISNUMBER('Inputs'!$B$24),ISNUMBER('Inputs'!$B$28)),((('Results'!B7*(1+'Inputs'!$B$24)*(0.5*((((308-43)*MAX('Inputs'!$B$33,'Inputs'!$B$29+'Inputs'!$B$31+'Inputs'!$B$32,'Inputs'!$B$30+'Inputs'!$B$31+'Inputs'!$B$32)/1000+'Inputs'!$B$21)+'Inputs'!$B$7)/SQRT((((308-43)*MAX('Inputs'!$B$33,'Inputs'!$B$29+'Inputs'!$B$31+'Inputs'!$B$32,'Inputs'!$B$30+'Inputs'!$B$31+'Inputs'!$B$32)/1000+'Inputs'!$B$21)+'Inputs'!$B$7)^2+('Inputs'!$B$6/2)^2)-(((308-43)*MAX('Inputs'!$B$33,'Inputs'!$B$29+'Inputs'!$B$31+'Inputs'!$B$32,'Inputs'!$B$30+'Inputs'!$B$31+'Inputs'!$B$32)/1000+'Inputs'!$B$21))/SQRT((((308-43)*MAX('Inputs'!$B$33,'Inputs'!$B$29+'Inputs'!$B$31+'Inputs'!$B$32,'Inputs'!$B$30+'Inputs'!$B$31+'Inputs'!$B$32)/1000+'Inputs'!$B$21))^2+('Inputs'!$B$6/2)^2)))-'Results'!C7*(1-'Inputs'!$B$24)*(0.5*((((308-43)*MAX('Inputs'!$B$33,'Inputs'!$B$29+'Inputs'!$B$31+'Inputs'!$B$32,'Inputs'!$B$30+'Inputs'!$B$31+'Inputs'!$B$32)/1000+'Inputs'!$B$21+'Inputs'!$B$7+'Inputs'!$B$10)+'Inputs'!$B$9)/SQRT((((308-43)*MAX('Inputs'!$B$33,'Inputs'!$B$29+'Inputs'!$B$31+'Inputs'!$B$32,'Inputs'!$B$30+'Inputs'!$B$31+'Inputs'!$B$32)/1000+'Inputs'!$B$21+'Inputs'!$B$7+'Inputs'!$B$10)+'Inputs'!$B$9)^2+('Inputs'!$B$8/2)^2)-(((308-43)*MAX('Inputs'!$B$33,'Inputs'!$B$29+'Inputs'!$B$31+'Inputs'!$B$32,'Inputs'!$B$30+'Inputs'!$B$31+'Inputs'!$B$32)/1000+'Inputs'!$B$21+'Inputs'!$B$7+'Inputs'!$B$10))/SQRT((((308-43)*MAX('Inputs'!$B$33,'Inputs'!$B$29+'Inputs'!$B$31+'Inputs'!$B$32,'Inputs'!$B$30+'Inputs'!$B$31+'Inputs'!$B$32)/1000+'Inputs'!$B$21+'Inputs'!$B$7+'Inputs'!$B$10))^2+('Inputs'!$B$8/2)^2))))*'Results'!$B$8)+'Inputs'!$B$28*ABS((('Results'!B7*(1+'Inputs'!$B$24)*(0.5*((((308-43)*MAX('Inputs'!$B$33,'Inputs'!$B$29+'Inputs'!$B$31+'Inputs'!$B$32,'Inputs'!$B$30+'Inputs'!$B$31+'Inputs'!$B$32)/1000+'Inputs'!$B$21)+'Inputs'!$B$7)/SQRT((((308-43)*MAX('Inputs'!$B$33,'Inputs'!$B$29+'Inputs'!$B$31+'Inputs'!$B$32,'Inputs'!$B$30+'Inputs'!$B$31+'Inputs'!$B$32)/1000+'Inputs'!$B$21)+'Inputs'!$B$7)^2+('Inputs'!$B$6/2)^2)-(((308-43)*MAX('Inputs'!$B$33,'Inputs'!$B$29+'Inputs'!$B$31+'Inputs'!$B$32,'Inputs'!$B$30+'Inputs'!$B$31+'Inputs'!$B$32)/1000+'Inputs'!$B$21))/SQRT((((308-43)*MAX('Inputs'!$B$33,'Inputs'!$B$29+'Inputs'!$B$31+'Inputs'!$B$32,'Inputs'!$B$30+'Inputs'!$B$31+'Inputs'!$B$32)/1000+'Inputs'!$B$21))^2+('Inputs'!$B$6/2)^2)))-'Results'!C7*(1-'Inputs'!$B$24)*(0.5*((((308-43)*MAX('Inputs'!$B$33,'Inputs'!$B$29+'Inputs'!$B$31+'Inputs'!$B$32,'Inputs'!$B$30+'Inputs'!$B$31+'Inputs'!$B$32)/1000+'Inputs'!$B$21+'Inputs'!$B$7+'Inputs'!$B$10)+'Inputs'!$B$9)/SQRT((((308-43)*MAX('Inputs'!$B$33,'Inputs'!$B$29+'Inputs'!$B$31+'Inputs'!$B$32,'Inputs'!$B$30+'Inputs'!$B$31+'Inputs'!$B$32)/1000+'Inputs'!$B$21+'Inputs'!$B$7+'Inputs'!$B$10)+'Inputs'!$B$9)^2+('Inputs'!$B$8/2)^2)-(((308-43)*MAX('Inputs'!$B$33,'Inputs'!$B$29+'Inputs'!$B$31+'Inputs'!$B$32,'Inputs'!$B$30+'Inputs'!$B$31+'Inputs'!$B$32)/1000+'Inputs'!$B$21+'Inputs'!$B$7+'Inputs'!$B$10))/SQRT((((308-43)*MAX('Inputs'!$B$33,'Inputs'!$B$29+'Inputs'!$B$31+'Inputs'!$B$32,'Inputs'!$B$30+'Inputs'!$B$31+'Inputs'!$B$32)/1000+'Inputs'!$B$21+'Inputs'!$B$7+'Inputs'!$B$10))^2+('Inputs'!$B$8/2)^2))))*'Results'!$B$8))),"")</x:f>
        <x:v>35.63321626182905</x:v>
      </x:c>
      <x:c r="M308" t="n">
        <x:f>IF(AND(ISNUMBER('Results'!C7),ISNUMBER('Results'!B7),ISNUMBER('Results'!$B$8),ISNUMBER('Inputs'!$B$6),ISNUMBER('Inputs'!$B$7),ISNUMBER('Inputs'!$B$8),ISNUMBER('Inputs'!$B$9),ISNUMBER('Inputs'!$B$10),ISNUMBER('Inputs'!$B$21),ISNUMBER('Inputs'!$B$24),ISNUMBER('Inputs'!$B$28)),(('Results'!C7*(0.5*((((308-43)*MAX('Inputs'!$B$33,'Inputs'!$B$29+'Inputs'!$B$31+'Inputs'!$B$32,'Inputs'!$B$30+'Inputs'!$B$31+'Inputs'!$B$32)/1000+'Inputs'!$B$21)+'Inputs'!$B$9)/SQRT((((308-43)*MAX('Inputs'!$B$33,'Inputs'!$B$29+'Inputs'!$B$31+'Inputs'!$B$32,'Inputs'!$B$30+'Inputs'!$B$31+'Inputs'!$B$32)/1000+'Inputs'!$B$21)+'Inputs'!$B$9)^2+('Inputs'!$B$8/2)^2)-(((308-43)*MAX('Inputs'!$B$33,'Inputs'!$B$29+'Inputs'!$B$31+'Inputs'!$B$32,'Inputs'!$B$30+'Inputs'!$B$31+'Inputs'!$B$32)/1000+'Inputs'!$B$21))/SQRT((((308-43)*MAX('Inputs'!$B$33,'Inputs'!$B$29+'Inputs'!$B$31+'Inputs'!$B$32,'Inputs'!$B$30+'Inputs'!$B$31+'Inputs'!$B$32)/1000+'Inputs'!$B$21))^2+('Inputs'!$B$8/2)^2)))-'Results'!B7*(0.5*((((308-43)*MAX('Inputs'!$B$33,'Inputs'!$B$29+'Inputs'!$B$31+'Inputs'!$B$32,'Inputs'!$B$30+'Inputs'!$B$31+'Inputs'!$B$32)/1000+'Inputs'!$B$21+'Inputs'!$B$9+'Inputs'!$B$10)+'Inputs'!$B$7)/SQRT((((308-43)*MAX('Inputs'!$B$33,'Inputs'!$B$29+'Inputs'!$B$31+'Inputs'!$B$32,'Inputs'!$B$30+'Inputs'!$B$31+'Inputs'!$B$32)/1000+'Inputs'!$B$21+'Inputs'!$B$9+'Inputs'!$B$10)+'Inputs'!$B$7)^2+('Inputs'!$B$6/2)^2)-(((308-43)*MAX('Inputs'!$B$33,'Inputs'!$B$29+'Inputs'!$B$31+'Inputs'!$B$32,'Inputs'!$B$30+'Inputs'!$B$31+'Inputs'!$B$32)/1000+'Inputs'!$B$21+'Inputs'!$B$9+'Inputs'!$B$10))/SQRT((((308-43)*MAX('Inputs'!$B$33,'Inputs'!$B$29+'Inputs'!$B$31+'Inputs'!$B$32,'Inputs'!$B$30+'Inputs'!$B$31+'Inputs'!$B$32)/1000+'Inputs'!$B$21+'Inputs'!$B$9+'Inputs'!$B$10))^2+('Inputs'!$B$6/2)^2))))*'Results'!$B$8),"")</x:f>
        <x:v>31.07746844628171</x:v>
      </x:c>
      <x:c r="N308" t="n">
        <x:f>IF(AND(ISNUMBER('Results'!C7),ISNUMBER('Results'!B7),ISNUMBER('Results'!$B$8),ISNUMBER('Inputs'!$B$6),ISNUMBER('Inputs'!$B$7),ISNUMBER('Inputs'!$B$8),ISNUMBER('Inputs'!$B$9),ISNUMBER('Inputs'!$B$10),ISNUMBER('Inputs'!$B$21),ISNUMBER('Inputs'!$B$24),ISNUMBER('Inputs'!$B$28)),((('Results'!C7*(1-'Inputs'!$B$24)*(0.5*((((308-43)*MAX('Inputs'!$B$33,'Inputs'!$B$29+'Inputs'!$B$31+'Inputs'!$B$32,'Inputs'!$B$30+'Inputs'!$B$31+'Inputs'!$B$32)/1000+'Inputs'!$B$21)+'Inputs'!$B$9)/SQRT((((308-43)*MAX('Inputs'!$B$33,'Inputs'!$B$29+'Inputs'!$B$31+'Inputs'!$B$32,'Inputs'!$B$30+'Inputs'!$B$31+'Inputs'!$B$32)/1000+'Inputs'!$B$21)+'Inputs'!$B$9)^2+('Inputs'!$B$8/2)^2)-(((308-43)*MAX('Inputs'!$B$33,'Inputs'!$B$29+'Inputs'!$B$31+'Inputs'!$B$32,'Inputs'!$B$30+'Inputs'!$B$31+'Inputs'!$B$32)/1000+'Inputs'!$B$21))/SQRT((((308-43)*MAX('Inputs'!$B$33,'Inputs'!$B$29+'Inputs'!$B$31+'Inputs'!$B$32,'Inputs'!$B$30+'Inputs'!$B$31+'Inputs'!$B$32)/1000+'Inputs'!$B$21))^2+('Inputs'!$B$8/2)^2)))-'Results'!B7*(1+'Inputs'!$B$24)*(0.5*((((308-43)*MAX('Inputs'!$B$33,'Inputs'!$B$29+'Inputs'!$B$31+'Inputs'!$B$32,'Inputs'!$B$30+'Inputs'!$B$31+'Inputs'!$B$32)/1000+'Inputs'!$B$21+'Inputs'!$B$9+'Inputs'!$B$10)+'Inputs'!$B$7)/SQRT((((308-43)*MAX('Inputs'!$B$33,'Inputs'!$B$29+'Inputs'!$B$31+'Inputs'!$B$32,'Inputs'!$B$30+'Inputs'!$B$31+'Inputs'!$B$32)/1000+'Inputs'!$B$21+'Inputs'!$B$9+'Inputs'!$B$10)+'Inputs'!$B$7)^2+('Inputs'!$B$6/2)^2)-(((308-43)*MAX('Inputs'!$B$33,'Inputs'!$B$29+'Inputs'!$B$31+'Inputs'!$B$32,'Inputs'!$B$30+'Inputs'!$B$31+'Inputs'!$B$32)/1000+'Inputs'!$B$21+'Inputs'!$B$9+'Inputs'!$B$10))/SQRT((((308-43)*MAX('Inputs'!$B$33,'Inputs'!$B$29+'Inputs'!$B$31+'Inputs'!$B$32,'Inputs'!$B$30+'Inputs'!$B$31+'Inputs'!$B$32)/1000+'Inputs'!$B$21+'Inputs'!$B$9+'Inputs'!$B$10))^2+('Inputs'!$B$6/2)^2))))*'Results'!$B$8)-'Inputs'!$B$28*ABS((('Results'!C7*(1-'Inputs'!$B$24)*(0.5*((((308-43)*MAX('Inputs'!$B$33,'Inputs'!$B$29+'Inputs'!$B$31+'Inputs'!$B$32,'Inputs'!$B$30+'Inputs'!$B$31+'Inputs'!$B$32)/1000+'Inputs'!$B$21)+'Inputs'!$B$9)/SQRT((((308-43)*MAX('Inputs'!$B$33,'Inputs'!$B$29+'Inputs'!$B$31+'Inputs'!$B$32,'Inputs'!$B$30+'Inputs'!$B$31+'Inputs'!$B$32)/1000+'Inputs'!$B$21)+'Inputs'!$B$9)^2+('Inputs'!$B$8/2)^2)-(((308-43)*MAX('Inputs'!$B$33,'Inputs'!$B$29+'Inputs'!$B$31+'Inputs'!$B$32,'Inputs'!$B$30+'Inputs'!$B$31+'Inputs'!$B$32)/1000+'Inputs'!$B$21))/SQRT((((308-43)*MAX('Inputs'!$B$33,'Inputs'!$B$29+'Inputs'!$B$31+'Inputs'!$B$32,'Inputs'!$B$30+'Inputs'!$B$31+'Inputs'!$B$32)/1000+'Inputs'!$B$21))^2+('Inputs'!$B$8/2)^2)))-'Results'!B7*(1+'Inputs'!$B$24)*(0.5*((((308-43)*MAX('Inputs'!$B$33,'Inputs'!$B$29+'Inputs'!$B$31+'Inputs'!$B$32,'Inputs'!$B$30+'Inputs'!$B$31+'Inputs'!$B$32)/1000+'Inputs'!$B$21+'Inputs'!$B$9+'Inputs'!$B$10)+'Inputs'!$B$7)/SQRT((((308-43)*MAX('Inputs'!$B$33,'Inputs'!$B$29+'Inputs'!$B$31+'Inputs'!$B$32,'Inputs'!$B$30+'Inputs'!$B$31+'Inputs'!$B$32)/1000+'Inputs'!$B$21+'Inputs'!$B$9+'Inputs'!$B$10)+'Inputs'!$B$7)^2+('Inputs'!$B$6/2)^2)-(((308-43)*MAX('Inputs'!$B$33,'Inputs'!$B$29+'Inputs'!$B$31+'Inputs'!$B$32,'Inputs'!$B$30+'Inputs'!$B$31+'Inputs'!$B$32)/1000+'Inputs'!$B$21+'Inputs'!$B$9+'Inputs'!$B$10))/SQRT((((308-43)*MAX('Inputs'!$B$33,'Inputs'!$B$29+'Inputs'!$B$31+'Inputs'!$B$32,'Inputs'!$B$30+'Inputs'!$B$31+'Inputs'!$B$32)/1000+'Inputs'!$B$21+'Inputs'!$B$9+'Inputs'!$B$10))^2+('Inputs'!$B$6/2)^2))))*'Results'!$B$8))),"")</x:f>
        <x:v>28.18156583943516</x:v>
      </x:c>
      <x:c r="O308" t="n">
        <x:f>IF(AND(ISNUMBER('Results'!C7),ISNUMBER('Results'!B7),ISNUMBER('Results'!$B$8),ISNUMBER('Inputs'!$B$6),ISNUMBER('Inputs'!$B$7),ISNUMBER('Inputs'!$B$8),ISNUMBER('Inputs'!$B$9),ISNUMBER('Inputs'!$B$10),ISNUMBER('Inputs'!$B$21),ISNUMBER('Inputs'!$B$24),ISNUMBER('Inputs'!$B$28)),((('Results'!C7*(1+'Inputs'!$B$24)*(0.5*((((308-43)*MAX('Inputs'!$B$33,'Inputs'!$B$29+'Inputs'!$B$31+'Inputs'!$B$32,'Inputs'!$B$30+'Inputs'!$B$31+'Inputs'!$B$32)/1000+'Inputs'!$B$21)+'Inputs'!$B$9)/SQRT((((308-43)*MAX('Inputs'!$B$33,'Inputs'!$B$29+'Inputs'!$B$31+'Inputs'!$B$32,'Inputs'!$B$30+'Inputs'!$B$31+'Inputs'!$B$32)/1000+'Inputs'!$B$21)+'Inputs'!$B$9)^2+('Inputs'!$B$8/2)^2)-(((308-43)*MAX('Inputs'!$B$33,'Inputs'!$B$29+'Inputs'!$B$31+'Inputs'!$B$32,'Inputs'!$B$30+'Inputs'!$B$31+'Inputs'!$B$32)/1000+'Inputs'!$B$21))/SQRT((((308-43)*MAX('Inputs'!$B$33,'Inputs'!$B$29+'Inputs'!$B$31+'Inputs'!$B$32,'Inputs'!$B$30+'Inputs'!$B$31+'Inputs'!$B$32)/1000+'Inputs'!$B$21))^2+('Inputs'!$B$8/2)^2)))-'Results'!B7*(1-'Inputs'!$B$24)*(0.5*((((308-43)*MAX('Inputs'!$B$33,'Inputs'!$B$29+'Inputs'!$B$31+'Inputs'!$B$32,'Inputs'!$B$30+'Inputs'!$B$31+'Inputs'!$B$32)/1000+'Inputs'!$B$21+'Inputs'!$B$9+'Inputs'!$B$10)+'Inputs'!$B$7)/SQRT((((308-43)*MAX('Inputs'!$B$33,'Inputs'!$B$29+'Inputs'!$B$31+'Inputs'!$B$32,'Inputs'!$B$30+'Inputs'!$B$31+'Inputs'!$B$32)/1000+'Inputs'!$B$21+'Inputs'!$B$9+'Inputs'!$B$10)+'Inputs'!$B$7)^2+('Inputs'!$B$6/2)^2)-(((308-43)*MAX('Inputs'!$B$33,'Inputs'!$B$29+'Inputs'!$B$31+'Inputs'!$B$32,'Inputs'!$B$30+'Inputs'!$B$31+'Inputs'!$B$32)/1000+'Inputs'!$B$21+'Inputs'!$B$9+'Inputs'!$B$10))/SQRT((((308-43)*MAX('Inputs'!$B$33,'Inputs'!$B$29+'Inputs'!$B$31+'Inputs'!$B$32,'Inputs'!$B$30+'Inputs'!$B$31+'Inputs'!$B$32)/1000+'Inputs'!$B$21+'Inputs'!$B$9+'Inputs'!$B$10))^2+('Inputs'!$B$6/2)^2))))*'Results'!$B$8)+'Inputs'!$B$28*ABS((('Results'!C7*(1+'Inputs'!$B$24)*(0.5*((((308-43)*MAX('Inputs'!$B$33,'Inputs'!$B$29+'Inputs'!$B$31+'Inputs'!$B$32,'Inputs'!$B$30+'Inputs'!$B$31+'Inputs'!$B$32)/1000+'Inputs'!$B$21)+'Inputs'!$B$9)/SQRT((((308-43)*MAX('Inputs'!$B$33,'Inputs'!$B$29+'Inputs'!$B$31+'Inputs'!$B$32,'Inputs'!$B$30+'Inputs'!$B$31+'Inputs'!$B$32)/1000+'Inputs'!$B$21)+'Inputs'!$B$9)^2+('Inputs'!$B$8/2)^2)-(((308-43)*MAX('Inputs'!$B$33,'Inputs'!$B$29+'Inputs'!$B$31+'Inputs'!$B$32,'Inputs'!$B$30+'Inputs'!$B$31+'Inputs'!$B$32)/1000+'Inputs'!$B$21))/SQRT((((308-43)*MAX('Inputs'!$B$33,'Inputs'!$B$29+'Inputs'!$B$31+'Inputs'!$B$32,'Inputs'!$B$30+'Inputs'!$B$31+'Inputs'!$B$32)/1000+'Inputs'!$B$21))^2+('Inputs'!$B$8/2)^2)))-'Results'!B7*(1-'Inputs'!$B$24)*(0.5*((((308-43)*MAX('Inputs'!$B$33,'Inputs'!$B$29+'Inputs'!$B$31+'Inputs'!$B$32,'Inputs'!$B$30+'Inputs'!$B$31+'Inputs'!$B$32)/1000+'Inputs'!$B$21+'Inputs'!$B$9+'Inputs'!$B$10)+'Inputs'!$B$7)/SQRT((((308-43)*MAX('Inputs'!$B$33,'Inputs'!$B$29+'Inputs'!$B$31+'Inputs'!$B$32,'Inputs'!$B$30+'Inputs'!$B$31+'Inputs'!$B$32)/1000+'Inputs'!$B$21+'Inputs'!$B$9+'Inputs'!$B$10)+'Inputs'!$B$7)^2+('Inputs'!$B$6/2)^2)-(((308-43)*MAX('Inputs'!$B$33,'Inputs'!$B$29+'Inputs'!$B$31+'Inputs'!$B$32,'Inputs'!$B$30+'Inputs'!$B$31+'Inputs'!$B$32)/1000+'Inputs'!$B$21+'Inputs'!$B$9+'Inputs'!$B$10))/SQRT((((308-43)*MAX('Inputs'!$B$33,'Inputs'!$B$29+'Inputs'!$B$31+'Inputs'!$B$32,'Inputs'!$B$30+'Inputs'!$B$31+'Inputs'!$B$32)/1000+'Inputs'!$B$21+'Inputs'!$B$9+'Inputs'!$B$10))^2+('Inputs'!$B$6/2)^2))))*'Results'!$B$8))),"")</x:f>
        <x:v>34.11463728307905</x:v>
      </x:c>
      <x:c r="P308" t="n">
        <x:f>IF(AND(MAX(J308,J307)&gt;0,J308&gt;J307+0.00000001),1,0)</x:f>
        <x:v>0</x:v>
      </x:c>
      <x:c r="Q308" t="n">
        <x:f>IF(AND(MAX(K308,K307)&gt;0,K308&gt;K307+0.00000001),1,0)</x:f>
        <x:v>0</x:v>
      </x:c>
      <x:c r="R308" t="n">
        <x:f>IF(AND(MAX(L308,L307)&gt;0,L308&gt;L307+0.00000001),1,0)</x:f>
        <x:v>0</x:v>
      </x:c>
      <x:c r="S308" t="n">
        <x:f>IF(AND(MAX(M308,M307)&gt;0,M308&gt;M307+0.00000001),1,0)</x:f>
        <x:v>0</x:v>
      </x:c>
      <x:c r="T308" t="n">
        <x:f>IF(AND(MAX(N308,N307)&gt;0,N308&gt;N307+0.00000001),1,0)</x:f>
        <x:v>0</x:v>
      </x:c>
      <x:c r="U308" t="n">
        <x:f>IF(AND(MAX(O308,O307)&gt;0,O308&gt;O307+0.00000001),1,0)</x:f>
        <x:v>0</x:v>
      </x:c>
    </x:row>
    <x:row r="309">
      <x:c r="J309" t="n">
        <x:f>IF(AND(ISNUMBER('Results'!B7),ISNUMBER('Results'!C7),ISNUMBER('Results'!$B$8),ISNUMBER('Inputs'!$B$6),ISNUMBER('Inputs'!$B$7),ISNUMBER('Inputs'!$B$8),ISNUMBER('Inputs'!$B$9),ISNUMBER('Inputs'!$B$10),ISNUMBER('Inputs'!$B$21),ISNUMBER('Inputs'!$B$24),ISNUMBER('Inputs'!$B$28)),(('Results'!B7*(0.5*((((309-43)*MAX('Inputs'!$B$33,'Inputs'!$B$29+'Inputs'!$B$31+'Inputs'!$B$32,'Inputs'!$B$30+'Inputs'!$B$31+'Inputs'!$B$32)/1000+'Inputs'!$B$21)+'Inputs'!$B$7)/SQRT((((309-43)*MAX('Inputs'!$B$33,'Inputs'!$B$29+'Inputs'!$B$31+'Inputs'!$B$32,'Inputs'!$B$30+'Inputs'!$B$31+'Inputs'!$B$32)/1000+'Inputs'!$B$21)+'Inputs'!$B$7)^2+('Inputs'!$B$6/2)^2)-(((309-43)*MAX('Inputs'!$B$33,'Inputs'!$B$29+'Inputs'!$B$31+'Inputs'!$B$32,'Inputs'!$B$30+'Inputs'!$B$31+'Inputs'!$B$32)/1000+'Inputs'!$B$21))/SQRT((((309-43)*MAX('Inputs'!$B$33,'Inputs'!$B$29+'Inputs'!$B$31+'Inputs'!$B$32,'Inputs'!$B$30+'Inputs'!$B$31+'Inputs'!$B$32)/1000+'Inputs'!$B$21))^2+('Inputs'!$B$6/2)^2)))-'Results'!C7*(0.5*((((309-43)*MAX('Inputs'!$B$33,'Inputs'!$B$29+'Inputs'!$B$31+'Inputs'!$B$32,'Inputs'!$B$30+'Inputs'!$B$31+'Inputs'!$B$32)/1000+'Inputs'!$B$21+'Inputs'!$B$7+'Inputs'!$B$10)+'Inputs'!$B$9)/SQRT((((309-43)*MAX('Inputs'!$B$33,'Inputs'!$B$29+'Inputs'!$B$31+'Inputs'!$B$32,'Inputs'!$B$30+'Inputs'!$B$31+'Inputs'!$B$32)/1000+'Inputs'!$B$21+'Inputs'!$B$7+'Inputs'!$B$10)+'Inputs'!$B$9)^2+('Inputs'!$B$8/2)^2)-(((309-43)*MAX('Inputs'!$B$33,'Inputs'!$B$29+'Inputs'!$B$31+'Inputs'!$B$32,'Inputs'!$B$30+'Inputs'!$B$31+'Inputs'!$B$32)/1000+'Inputs'!$B$21+'Inputs'!$B$7+'Inputs'!$B$10))/SQRT((((309-43)*MAX('Inputs'!$B$33,'Inputs'!$B$29+'Inputs'!$B$31+'Inputs'!$B$32,'Inputs'!$B$30+'Inputs'!$B$31+'Inputs'!$B$32)/1000+'Inputs'!$B$21+'Inputs'!$B$7+'Inputs'!$B$10))^2+('Inputs'!$B$8/2)^2))))*'Results'!$B$8),"")</x:f>
        <x:v>32.14422544074829</x:v>
      </x:c>
      <x:c r="K309" t="n">
        <x:f>IF(AND(ISNUMBER('Results'!B7),ISNUMBER('Results'!C7),ISNUMBER('Results'!$B$8),ISNUMBER('Inputs'!$B$6),ISNUMBER('Inputs'!$B$7),ISNUMBER('Inputs'!$B$8),ISNUMBER('Inputs'!$B$9),ISNUMBER('Inputs'!$B$10),ISNUMBER('Inputs'!$B$21),ISNUMBER('Inputs'!$B$24),ISNUMBER('Inputs'!$B$28)),((('Results'!B7*(1-'Inputs'!$B$24)*(0.5*((((309-43)*MAX('Inputs'!$B$33,'Inputs'!$B$29+'Inputs'!$B$31+'Inputs'!$B$32,'Inputs'!$B$30+'Inputs'!$B$31+'Inputs'!$B$32)/1000+'Inputs'!$B$21)+'Inputs'!$B$7)/SQRT((((309-43)*MAX('Inputs'!$B$33,'Inputs'!$B$29+'Inputs'!$B$31+'Inputs'!$B$32,'Inputs'!$B$30+'Inputs'!$B$31+'Inputs'!$B$32)/1000+'Inputs'!$B$21)+'Inputs'!$B$7)^2+('Inputs'!$B$6/2)^2)-(((309-43)*MAX('Inputs'!$B$33,'Inputs'!$B$29+'Inputs'!$B$31+'Inputs'!$B$32,'Inputs'!$B$30+'Inputs'!$B$31+'Inputs'!$B$32)/1000+'Inputs'!$B$21))/SQRT((((309-43)*MAX('Inputs'!$B$33,'Inputs'!$B$29+'Inputs'!$B$31+'Inputs'!$B$32,'Inputs'!$B$30+'Inputs'!$B$31+'Inputs'!$B$32)/1000+'Inputs'!$B$21))^2+('Inputs'!$B$6/2)^2)))-'Results'!C7*(1+'Inputs'!$B$24)*(0.5*((((309-43)*MAX('Inputs'!$B$33,'Inputs'!$B$29+'Inputs'!$B$31+'Inputs'!$B$32,'Inputs'!$B$30+'Inputs'!$B$31+'Inputs'!$B$32)/1000+'Inputs'!$B$21+'Inputs'!$B$7+'Inputs'!$B$10)+'Inputs'!$B$9)/SQRT((((309-43)*MAX('Inputs'!$B$33,'Inputs'!$B$29+'Inputs'!$B$31+'Inputs'!$B$32,'Inputs'!$B$30+'Inputs'!$B$31+'Inputs'!$B$32)/1000+'Inputs'!$B$21+'Inputs'!$B$7+'Inputs'!$B$10)+'Inputs'!$B$9)^2+('Inputs'!$B$8/2)^2)-(((309-43)*MAX('Inputs'!$B$33,'Inputs'!$B$29+'Inputs'!$B$31+'Inputs'!$B$32,'Inputs'!$B$30+'Inputs'!$B$31+'Inputs'!$B$32)/1000+'Inputs'!$B$21+'Inputs'!$B$7+'Inputs'!$B$10))/SQRT((((309-43)*MAX('Inputs'!$B$33,'Inputs'!$B$29+'Inputs'!$B$31+'Inputs'!$B$32,'Inputs'!$B$30+'Inputs'!$B$31+'Inputs'!$B$32)/1000+'Inputs'!$B$21+'Inputs'!$B$7+'Inputs'!$B$10))^2+('Inputs'!$B$8/2)^2))))*'Results'!$B$8)-'Inputs'!$B$28*ABS((('Results'!B7*(1-'Inputs'!$B$24)*(0.5*((((309-43)*MAX('Inputs'!$B$33,'Inputs'!$B$29+'Inputs'!$B$31+'Inputs'!$B$32,'Inputs'!$B$30+'Inputs'!$B$31+'Inputs'!$B$32)/1000+'Inputs'!$B$21)+'Inputs'!$B$7)/SQRT((((309-43)*MAX('Inputs'!$B$33,'Inputs'!$B$29+'Inputs'!$B$31+'Inputs'!$B$32,'Inputs'!$B$30+'Inputs'!$B$31+'Inputs'!$B$32)/1000+'Inputs'!$B$21)+'Inputs'!$B$7)^2+('Inputs'!$B$6/2)^2)-(((309-43)*MAX('Inputs'!$B$33,'Inputs'!$B$29+'Inputs'!$B$31+'Inputs'!$B$32,'Inputs'!$B$30+'Inputs'!$B$31+'Inputs'!$B$32)/1000+'Inputs'!$B$21))/SQRT((((309-43)*MAX('Inputs'!$B$33,'Inputs'!$B$29+'Inputs'!$B$31+'Inputs'!$B$32,'Inputs'!$B$30+'Inputs'!$B$31+'Inputs'!$B$32)/1000+'Inputs'!$B$21))^2+('Inputs'!$B$6/2)^2)))-'Results'!C7*(1+'Inputs'!$B$24)*(0.5*((((309-43)*MAX('Inputs'!$B$33,'Inputs'!$B$29+'Inputs'!$B$31+'Inputs'!$B$32,'Inputs'!$B$30+'Inputs'!$B$31+'Inputs'!$B$32)/1000+'Inputs'!$B$21+'Inputs'!$B$7+'Inputs'!$B$10)+'Inputs'!$B$9)/SQRT((((309-43)*MAX('Inputs'!$B$33,'Inputs'!$B$29+'Inputs'!$B$31+'Inputs'!$B$32,'Inputs'!$B$30+'Inputs'!$B$31+'Inputs'!$B$32)/1000+'Inputs'!$B$21+'Inputs'!$B$7+'Inputs'!$B$10)+'Inputs'!$B$9)^2+('Inputs'!$B$8/2)^2)-(((309-43)*MAX('Inputs'!$B$33,'Inputs'!$B$29+'Inputs'!$B$31+'Inputs'!$B$32,'Inputs'!$B$30+'Inputs'!$B$31+'Inputs'!$B$32)/1000+'Inputs'!$B$21+'Inputs'!$B$7+'Inputs'!$B$10))/SQRT((((309-43)*MAX('Inputs'!$B$33,'Inputs'!$B$29+'Inputs'!$B$31+'Inputs'!$B$32,'Inputs'!$B$30+'Inputs'!$B$31+'Inputs'!$B$32)/1000+'Inputs'!$B$21+'Inputs'!$B$7+'Inputs'!$B$10))^2+('Inputs'!$B$8/2)^2))))*'Results'!$B$8))),"")</x:f>
        <x:v>29.195058012487877</x:v>
      </x:c>
      <x:c r="L309" t="n">
        <x:f>IF(AND(ISNUMBER('Results'!B7),ISNUMBER('Results'!C7),ISNUMBER('Results'!$B$8),ISNUMBER('Inputs'!$B$6),ISNUMBER('Inputs'!$B$7),ISNUMBER('Inputs'!$B$8),ISNUMBER('Inputs'!$B$9),ISNUMBER('Inputs'!$B$10),ISNUMBER('Inputs'!$B$21),ISNUMBER('Inputs'!$B$24),ISNUMBER('Inputs'!$B$28)),((('Results'!B7*(1+'Inputs'!$B$24)*(0.5*((((309-43)*MAX('Inputs'!$B$33,'Inputs'!$B$29+'Inputs'!$B$31+'Inputs'!$B$32,'Inputs'!$B$30+'Inputs'!$B$31+'Inputs'!$B$32)/1000+'Inputs'!$B$21)+'Inputs'!$B$7)/SQRT((((309-43)*MAX('Inputs'!$B$33,'Inputs'!$B$29+'Inputs'!$B$31+'Inputs'!$B$32,'Inputs'!$B$30+'Inputs'!$B$31+'Inputs'!$B$32)/1000+'Inputs'!$B$21)+'Inputs'!$B$7)^2+('Inputs'!$B$6/2)^2)-(((309-43)*MAX('Inputs'!$B$33,'Inputs'!$B$29+'Inputs'!$B$31+'Inputs'!$B$32,'Inputs'!$B$30+'Inputs'!$B$31+'Inputs'!$B$32)/1000+'Inputs'!$B$21))/SQRT((((309-43)*MAX('Inputs'!$B$33,'Inputs'!$B$29+'Inputs'!$B$31+'Inputs'!$B$32,'Inputs'!$B$30+'Inputs'!$B$31+'Inputs'!$B$32)/1000+'Inputs'!$B$21))^2+('Inputs'!$B$6/2)^2)))-'Results'!C7*(1-'Inputs'!$B$24)*(0.5*((((309-43)*MAX('Inputs'!$B$33,'Inputs'!$B$29+'Inputs'!$B$31+'Inputs'!$B$32,'Inputs'!$B$30+'Inputs'!$B$31+'Inputs'!$B$32)/1000+'Inputs'!$B$21+'Inputs'!$B$7+'Inputs'!$B$10)+'Inputs'!$B$9)/SQRT((((309-43)*MAX('Inputs'!$B$33,'Inputs'!$B$29+'Inputs'!$B$31+'Inputs'!$B$32,'Inputs'!$B$30+'Inputs'!$B$31+'Inputs'!$B$32)/1000+'Inputs'!$B$21+'Inputs'!$B$7+'Inputs'!$B$10)+'Inputs'!$B$9)^2+('Inputs'!$B$8/2)^2)-(((309-43)*MAX('Inputs'!$B$33,'Inputs'!$B$29+'Inputs'!$B$31+'Inputs'!$B$32,'Inputs'!$B$30+'Inputs'!$B$31+'Inputs'!$B$32)/1000+'Inputs'!$B$21+'Inputs'!$B$7+'Inputs'!$B$10))/SQRT((((309-43)*MAX('Inputs'!$B$33,'Inputs'!$B$29+'Inputs'!$B$31+'Inputs'!$B$32,'Inputs'!$B$30+'Inputs'!$B$31+'Inputs'!$B$32)/1000+'Inputs'!$B$21+'Inputs'!$B$7+'Inputs'!$B$10))^2+('Inputs'!$B$8/2)^2))))*'Results'!$B$8)+'Inputs'!$B$28*ABS((('Results'!B7*(1+'Inputs'!$B$24)*(0.5*((((309-43)*MAX('Inputs'!$B$33,'Inputs'!$B$29+'Inputs'!$B$31+'Inputs'!$B$32,'Inputs'!$B$30+'Inputs'!$B$31+'Inputs'!$B$32)/1000+'Inputs'!$B$21)+'Inputs'!$B$7)/SQRT((((309-43)*MAX('Inputs'!$B$33,'Inputs'!$B$29+'Inputs'!$B$31+'Inputs'!$B$32,'Inputs'!$B$30+'Inputs'!$B$31+'Inputs'!$B$32)/1000+'Inputs'!$B$21)+'Inputs'!$B$7)^2+('Inputs'!$B$6/2)^2)-(((309-43)*MAX('Inputs'!$B$33,'Inputs'!$B$29+'Inputs'!$B$31+'Inputs'!$B$32,'Inputs'!$B$30+'Inputs'!$B$31+'Inputs'!$B$32)/1000+'Inputs'!$B$21))/SQRT((((309-43)*MAX('Inputs'!$B$33,'Inputs'!$B$29+'Inputs'!$B$31+'Inputs'!$B$32,'Inputs'!$B$30+'Inputs'!$B$31+'Inputs'!$B$32)/1000+'Inputs'!$B$21))^2+('Inputs'!$B$6/2)^2)))-'Results'!C7*(1-'Inputs'!$B$24)*(0.5*((((309-43)*MAX('Inputs'!$B$33,'Inputs'!$B$29+'Inputs'!$B$31+'Inputs'!$B$32,'Inputs'!$B$30+'Inputs'!$B$31+'Inputs'!$B$32)/1000+'Inputs'!$B$21+'Inputs'!$B$7+'Inputs'!$B$10)+'Inputs'!$B$9)/SQRT((((309-43)*MAX('Inputs'!$B$33,'Inputs'!$B$29+'Inputs'!$B$31+'Inputs'!$B$32,'Inputs'!$B$30+'Inputs'!$B$31+'Inputs'!$B$32)/1000+'Inputs'!$B$21+'Inputs'!$B$7+'Inputs'!$B$10)+'Inputs'!$B$9)^2+('Inputs'!$B$8/2)^2)-(((309-43)*MAX('Inputs'!$B$33,'Inputs'!$B$29+'Inputs'!$B$31+'Inputs'!$B$32,'Inputs'!$B$30+'Inputs'!$B$31+'Inputs'!$B$32)/1000+'Inputs'!$B$21+'Inputs'!$B$7+'Inputs'!$B$10))/SQRT((((309-43)*MAX('Inputs'!$B$33,'Inputs'!$B$29+'Inputs'!$B$31+'Inputs'!$B$32,'Inputs'!$B$30+'Inputs'!$B$31+'Inputs'!$B$32)/1000+'Inputs'!$B$21+'Inputs'!$B$7+'Inputs'!$B$10))^2+('Inputs'!$B$8/2)^2))))*'Results'!$B$8))),"")</x:f>
        <x:v>35.234651411769015</x:v>
      </x:c>
      <x:c r="M309" t="n">
        <x:f>IF(AND(ISNUMBER('Results'!C7),ISNUMBER('Results'!B7),ISNUMBER('Results'!$B$8),ISNUMBER('Inputs'!$B$6),ISNUMBER('Inputs'!$B$7),ISNUMBER('Inputs'!$B$8),ISNUMBER('Inputs'!$B$9),ISNUMBER('Inputs'!$B$10),ISNUMBER('Inputs'!$B$21),ISNUMBER('Inputs'!$B$24),ISNUMBER('Inputs'!$B$28)),(('Results'!C7*(0.5*((((309-43)*MAX('Inputs'!$B$33,'Inputs'!$B$29+'Inputs'!$B$31+'Inputs'!$B$32,'Inputs'!$B$30+'Inputs'!$B$31+'Inputs'!$B$32)/1000+'Inputs'!$B$21)+'Inputs'!$B$9)/SQRT((((309-43)*MAX('Inputs'!$B$33,'Inputs'!$B$29+'Inputs'!$B$31+'Inputs'!$B$32,'Inputs'!$B$30+'Inputs'!$B$31+'Inputs'!$B$32)/1000+'Inputs'!$B$21)+'Inputs'!$B$9)^2+('Inputs'!$B$8/2)^2)-(((309-43)*MAX('Inputs'!$B$33,'Inputs'!$B$29+'Inputs'!$B$31+'Inputs'!$B$32,'Inputs'!$B$30+'Inputs'!$B$31+'Inputs'!$B$32)/1000+'Inputs'!$B$21))/SQRT((((309-43)*MAX('Inputs'!$B$33,'Inputs'!$B$29+'Inputs'!$B$31+'Inputs'!$B$32,'Inputs'!$B$30+'Inputs'!$B$31+'Inputs'!$B$32)/1000+'Inputs'!$B$21))^2+('Inputs'!$B$8/2)^2)))-'Results'!B7*(0.5*((((309-43)*MAX('Inputs'!$B$33,'Inputs'!$B$29+'Inputs'!$B$31+'Inputs'!$B$32,'Inputs'!$B$30+'Inputs'!$B$31+'Inputs'!$B$32)/1000+'Inputs'!$B$21+'Inputs'!$B$9+'Inputs'!$B$10)+'Inputs'!$B$7)/SQRT((((309-43)*MAX('Inputs'!$B$33,'Inputs'!$B$29+'Inputs'!$B$31+'Inputs'!$B$32,'Inputs'!$B$30+'Inputs'!$B$31+'Inputs'!$B$32)/1000+'Inputs'!$B$21+'Inputs'!$B$9+'Inputs'!$B$10)+'Inputs'!$B$7)^2+('Inputs'!$B$6/2)^2)-(((309-43)*MAX('Inputs'!$B$33,'Inputs'!$B$29+'Inputs'!$B$31+'Inputs'!$B$32,'Inputs'!$B$30+'Inputs'!$B$31+'Inputs'!$B$32)/1000+'Inputs'!$B$21+'Inputs'!$B$9+'Inputs'!$B$10))/SQRT((((309-43)*MAX('Inputs'!$B$33,'Inputs'!$B$29+'Inputs'!$B$31+'Inputs'!$B$32,'Inputs'!$B$30+'Inputs'!$B$31+'Inputs'!$B$32)/1000+'Inputs'!$B$21+'Inputs'!$B$9+'Inputs'!$B$10))^2+('Inputs'!$B$6/2)^2))))*'Results'!$B$8),"")</x:f>
        <x:v>30.723785922137093</x:v>
      </x:c>
      <x:c r="N309" t="n">
        <x:f>IF(AND(ISNUMBER('Results'!C7),ISNUMBER('Results'!B7),ISNUMBER('Results'!$B$8),ISNUMBER('Inputs'!$B$6),ISNUMBER('Inputs'!$B$7),ISNUMBER('Inputs'!$B$8),ISNUMBER('Inputs'!$B$9),ISNUMBER('Inputs'!$B$10),ISNUMBER('Inputs'!$B$21),ISNUMBER('Inputs'!$B$24),ISNUMBER('Inputs'!$B$28)),((('Results'!C7*(1-'Inputs'!$B$24)*(0.5*((((309-43)*MAX('Inputs'!$B$33,'Inputs'!$B$29+'Inputs'!$B$31+'Inputs'!$B$32,'Inputs'!$B$30+'Inputs'!$B$31+'Inputs'!$B$32)/1000+'Inputs'!$B$21)+'Inputs'!$B$9)/SQRT((((309-43)*MAX('Inputs'!$B$33,'Inputs'!$B$29+'Inputs'!$B$31+'Inputs'!$B$32,'Inputs'!$B$30+'Inputs'!$B$31+'Inputs'!$B$32)/1000+'Inputs'!$B$21)+'Inputs'!$B$9)^2+('Inputs'!$B$8/2)^2)-(((309-43)*MAX('Inputs'!$B$33,'Inputs'!$B$29+'Inputs'!$B$31+'Inputs'!$B$32,'Inputs'!$B$30+'Inputs'!$B$31+'Inputs'!$B$32)/1000+'Inputs'!$B$21))/SQRT((((309-43)*MAX('Inputs'!$B$33,'Inputs'!$B$29+'Inputs'!$B$31+'Inputs'!$B$32,'Inputs'!$B$30+'Inputs'!$B$31+'Inputs'!$B$32)/1000+'Inputs'!$B$21))^2+('Inputs'!$B$8/2)^2)))-'Results'!B7*(1+'Inputs'!$B$24)*(0.5*((((309-43)*MAX('Inputs'!$B$33,'Inputs'!$B$29+'Inputs'!$B$31+'Inputs'!$B$32,'Inputs'!$B$30+'Inputs'!$B$31+'Inputs'!$B$32)/1000+'Inputs'!$B$21+'Inputs'!$B$9+'Inputs'!$B$10)+'Inputs'!$B$7)/SQRT((((309-43)*MAX('Inputs'!$B$33,'Inputs'!$B$29+'Inputs'!$B$31+'Inputs'!$B$32,'Inputs'!$B$30+'Inputs'!$B$31+'Inputs'!$B$32)/1000+'Inputs'!$B$21+'Inputs'!$B$9+'Inputs'!$B$10)+'Inputs'!$B$7)^2+('Inputs'!$B$6/2)^2)-(((309-43)*MAX('Inputs'!$B$33,'Inputs'!$B$29+'Inputs'!$B$31+'Inputs'!$B$32,'Inputs'!$B$30+'Inputs'!$B$31+'Inputs'!$B$32)/1000+'Inputs'!$B$21+'Inputs'!$B$9+'Inputs'!$B$10))/SQRT((((309-43)*MAX('Inputs'!$B$33,'Inputs'!$B$29+'Inputs'!$B$31+'Inputs'!$B$32,'Inputs'!$B$30+'Inputs'!$B$31+'Inputs'!$B$32)/1000+'Inputs'!$B$21+'Inputs'!$B$9+'Inputs'!$B$10))^2+('Inputs'!$B$6/2)^2))))*'Results'!$B$8)-'Inputs'!$B$28*ABS((('Results'!C7*(1-'Inputs'!$B$24)*(0.5*((((309-43)*MAX('Inputs'!$B$33,'Inputs'!$B$29+'Inputs'!$B$31+'Inputs'!$B$32,'Inputs'!$B$30+'Inputs'!$B$31+'Inputs'!$B$32)/1000+'Inputs'!$B$21)+'Inputs'!$B$9)/SQRT((((309-43)*MAX('Inputs'!$B$33,'Inputs'!$B$29+'Inputs'!$B$31+'Inputs'!$B$32,'Inputs'!$B$30+'Inputs'!$B$31+'Inputs'!$B$32)/1000+'Inputs'!$B$21)+'Inputs'!$B$9)^2+('Inputs'!$B$8/2)^2)-(((309-43)*MAX('Inputs'!$B$33,'Inputs'!$B$29+'Inputs'!$B$31+'Inputs'!$B$32,'Inputs'!$B$30+'Inputs'!$B$31+'Inputs'!$B$32)/1000+'Inputs'!$B$21))/SQRT((((309-43)*MAX('Inputs'!$B$33,'Inputs'!$B$29+'Inputs'!$B$31+'Inputs'!$B$32,'Inputs'!$B$30+'Inputs'!$B$31+'Inputs'!$B$32)/1000+'Inputs'!$B$21))^2+('Inputs'!$B$8/2)^2)))-'Results'!B7*(1+'Inputs'!$B$24)*(0.5*((((309-43)*MAX('Inputs'!$B$33,'Inputs'!$B$29+'Inputs'!$B$31+'Inputs'!$B$32,'Inputs'!$B$30+'Inputs'!$B$31+'Inputs'!$B$32)/1000+'Inputs'!$B$21+'Inputs'!$B$9+'Inputs'!$B$10)+'Inputs'!$B$7)/SQRT((((309-43)*MAX('Inputs'!$B$33,'Inputs'!$B$29+'Inputs'!$B$31+'Inputs'!$B$32,'Inputs'!$B$30+'Inputs'!$B$31+'Inputs'!$B$32)/1000+'Inputs'!$B$21+'Inputs'!$B$9+'Inputs'!$B$10)+'Inputs'!$B$7)^2+('Inputs'!$B$6/2)^2)-(((309-43)*MAX('Inputs'!$B$33,'Inputs'!$B$29+'Inputs'!$B$31+'Inputs'!$B$32,'Inputs'!$B$30+'Inputs'!$B$31+'Inputs'!$B$32)/1000+'Inputs'!$B$21+'Inputs'!$B$9+'Inputs'!$B$10))/SQRT((((309-43)*MAX('Inputs'!$B$33,'Inputs'!$B$29+'Inputs'!$B$31+'Inputs'!$B$32,'Inputs'!$B$30+'Inputs'!$B$31+'Inputs'!$B$32)/1000+'Inputs'!$B$21+'Inputs'!$B$9+'Inputs'!$B$10))^2+('Inputs'!$B$6/2)^2))))*'Results'!$B$8))),"")</x:f>
        <x:v>27.85770604774557</x:v>
      </x:c>
      <x:c r="O309" t="n">
        <x:f>IF(AND(ISNUMBER('Results'!C7),ISNUMBER('Results'!B7),ISNUMBER('Results'!$B$8),ISNUMBER('Inputs'!$B$6),ISNUMBER('Inputs'!$B$7),ISNUMBER('Inputs'!$B$8),ISNUMBER('Inputs'!$B$9),ISNUMBER('Inputs'!$B$10),ISNUMBER('Inputs'!$B$21),ISNUMBER('Inputs'!$B$24),ISNUMBER('Inputs'!$B$28)),((('Results'!C7*(1+'Inputs'!$B$24)*(0.5*((((309-43)*MAX('Inputs'!$B$33,'Inputs'!$B$29+'Inputs'!$B$31+'Inputs'!$B$32,'Inputs'!$B$30+'Inputs'!$B$31+'Inputs'!$B$32)/1000+'Inputs'!$B$21)+'Inputs'!$B$9)/SQRT((((309-43)*MAX('Inputs'!$B$33,'Inputs'!$B$29+'Inputs'!$B$31+'Inputs'!$B$32,'Inputs'!$B$30+'Inputs'!$B$31+'Inputs'!$B$32)/1000+'Inputs'!$B$21)+'Inputs'!$B$9)^2+('Inputs'!$B$8/2)^2)-(((309-43)*MAX('Inputs'!$B$33,'Inputs'!$B$29+'Inputs'!$B$31+'Inputs'!$B$32,'Inputs'!$B$30+'Inputs'!$B$31+'Inputs'!$B$32)/1000+'Inputs'!$B$21))/SQRT((((309-43)*MAX('Inputs'!$B$33,'Inputs'!$B$29+'Inputs'!$B$31+'Inputs'!$B$32,'Inputs'!$B$30+'Inputs'!$B$31+'Inputs'!$B$32)/1000+'Inputs'!$B$21))^2+('Inputs'!$B$8/2)^2)))-'Results'!B7*(1-'Inputs'!$B$24)*(0.5*((((309-43)*MAX('Inputs'!$B$33,'Inputs'!$B$29+'Inputs'!$B$31+'Inputs'!$B$32,'Inputs'!$B$30+'Inputs'!$B$31+'Inputs'!$B$32)/1000+'Inputs'!$B$21+'Inputs'!$B$9+'Inputs'!$B$10)+'Inputs'!$B$7)/SQRT((((309-43)*MAX('Inputs'!$B$33,'Inputs'!$B$29+'Inputs'!$B$31+'Inputs'!$B$32,'Inputs'!$B$30+'Inputs'!$B$31+'Inputs'!$B$32)/1000+'Inputs'!$B$21+'Inputs'!$B$9+'Inputs'!$B$10)+'Inputs'!$B$7)^2+('Inputs'!$B$6/2)^2)-(((309-43)*MAX('Inputs'!$B$33,'Inputs'!$B$29+'Inputs'!$B$31+'Inputs'!$B$32,'Inputs'!$B$30+'Inputs'!$B$31+'Inputs'!$B$32)/1000+'Inputs'!$B$21+'Inputs'!$B$9+'Inputs'!$B$10))/SQRT((((309-43)*MAX('Inputs'!$B$33,'Inputs'!$B$29+'Inputs'!$B$31+'Inputs'!$B$32,'Inputs'!$B$30+'Inputs'!$B$31+'Inputs'!$B$32)/1000+'Inputs'!$B$21+'Inputs'!$B$9+'Inputs'!$B$10))^2+('Inputs'!$B$6/2)^2))))*'Results'!$B$8)+'Inputs'!$B$28*ABS((('Results'!C7*(1+'Inputs'!$B$24)*(0.5*((((309-43)*MAX('Inputs'!$B$33,'Inputs'!$B$29+'Inputs'!$B$31+'Inputs'!$B$32,'Inputs'!$B$30+'Inputs'!$B$31+'Inputs'!$B$32)/1000+'Inputs'!$B$21)+'Inputs'!$B$9)/SQRT((((309-43)*MAX('Inputs'!$B$33,'Inputs'!$B$29+'Inputs'!$B$31+'Inputs'!$B$32,'Inputs'!$B$30+'Inputs'!$B$31+'Inputs'!$B$32)/1000+'Inputs'!$B$21)+'Inputs'!$B$9)^2+('Inputs'!$B$8/2)^2)-(((309-43)*MAX('Inputs'!$B$33,'Inputs'!$B$29+'Inputs'!$B$31+'Inputs'!$B$32,'Inputs'!$B$30+'Inputs'!$B$31+'Inputs'!$B$32)/1000+'Inputs'!$B$21))/SQRT((((309-43)*MAX('Inputs'!$B$33,'Inputs'!$B$29+'Inputs'!$B$31+'Inputs'!$B$32,'Inputs'!$B$30+'Inputs'!$B$31+'Inputs'!$B$32)/1000+'Inputs'!$B$21))^2+('Inputs'!$B$8/2)^2)))-'Results'!B7*(1-'Inputs'!$B$24)*(0.5*((((309-43)*MAX('Inputs'!$B$33,'Inputs'!$B$29+'Inputs'!$B$31+'Inputs'!$B$32,'Inputs'!$B$30+'Inputs'!$B$31+'Inputs'!$B$32)/1000+'Inputs'!$B$21+'Inputs'!$B$9+'Inputs'!$B$10)+'Inputs'!$B$7)/SQRT((((309-43)*MAX('Inputs'!$B$33,'Inputs'!$B$29+'Inputs'!$B$31+'Inputs'!$B$32,'Inputs'!$B$30+'Inputs'!$B$31+'Inputs'!$B$32)/1000+'Inputs'!$B$21+'Inputs'!$B$9+'Inputs'!$B$10)+'Inputs'!$B$7)^2+('Inputs'!$B$6/2)^2)-(((309-43)*MAX('Inputs'!$B$33,'Inputs'!$B$29+'Inputs'!$B$31+'Inputs'!$B$32,'Inputs'!$B$30+'Inputs'!$B$31+'Inputs'!$B$32)/1000+'Inputs'!$B$21+'Inputs'!$B$9+'Inputs'!$B$10))/SQRT((((309-43)*MAX('Inputs'!$B$33,'Inputs'!$B$29+'Inputs'!$B$31+'Inputs'!$B$32,'Inputs'!$B$30+'Inputs'!$B$31+'Inputs'!$B$32)/1000+'Inputs'!$B$21+'Inputs'!$B$9+'Inputs'!$B$10))^2+('Inputs'!$B$6/2)^2))))*'Results'!$B$8))),"")</x:f>
        <x:v>33.729854278453324</x:v>
      </x:c>
      <x:c r="P309" t="n">
        <x:f>IF(AND(MAX(J309,J308)&gt;0,J309&gt;J308+0.00000001),1,0)</x:f>
        <x:v>0</x:v>
      </x:c>
      <x:c r="Q309" t="n">
        <x:f>IF(AND(MAX(K309,K308)&gt;0,K309&gt;K308+0.00000001),1,0)</x:f>
        <x:v>0</x:v>
      </x:c>
      <x:c r="R309" t="n">
        <x:f>IF(AND(MAX(L309,L308)&gt;0,L309&gt;L308+0.00000001),1,0)</x:f>
        <x:v>0</x:v>
      </x:c>
      <x:c r="S309" t="n">
        <x:f>IF(AND(MAX(M309,M308)&gt;0,M309&gt;M308+0.00000001),1,0)</x:f>
        <x:v>0</x:v>
      </x:c>
      <x:c r="T309" t="n">
        <x:f>IF(AND(MAX(N309,N308)&gt;0,N309&gt;N308+0.00000001),1,0)</x:f>
        <x:v>0</x:v>
      </x:c>
      <x:c r="U309" t="n">
        <x:f>IF(AND(MAX(O309,O308)&gt;0,O309&gt;O308+0.00000001),1,0)</x:f>
        <x:v>0</x:v>
      </x:c>
    </x:row>
    <x:row r="310">
      <x:c r="J310" t="n">
        <x:f>IF(AND(ISNUMBER('Results'!B7),ISNUMBER('Results'!C7),ISNUMBER('Results'!$B$8),ISNUMBER('Inputs'!$B$6),ISNUMBER('Inputs'!$B$7),ISNUMBER('Inputs'!$B$8),ISNUMBER('Inputs'!$B$9),ISNUMBER('Inputs'!$B$10),ISNUMBER('Inputs'!$B$21),ISNUMBER('Inputs'!$B$24),ISNUMBER('Inputs'!$B$28)),(('Results'!B7*(0.5*((((310-43)*MAX('Inputs'!$B$33,'Inputs'!$B$29+'Inputs'!$B$31+'Inputs'!$B$32,'Inputs'!$B$30+'Inputs'!$B$31+'Inputs'!$B$32)/1000+'Inputs'!$B$21)+'Inputs'!$B$7)/SQRT((((310-43)*MAX('Inputs'!$B$33,'Inputs'!$B$29+'Inputs'!$B$31+'Inputs'!$B$32,'Inputs'!$B$30+'Inputs'!$B$31+'Inputs'!$B$32)/1000+'Inputs'!$B$21)+'Inputs'!$B$7)^2+('Inputs'!$B$6/2)^2)-(((310-43)*MAX('Inputs'!$B$33,'Inputs'!$B$29+'Inputs'!$B$31+'Inputs'!$B$32,'Inputs'!$B$30+'Inputs'!$B$31+'Inputs'!$B$32)/1000+'Inputs'!$B$21))/SQRT((((310-43)*MAX('Inputs'!$B$33,'Inputs'!$B$29+'Inputs'!$B$31+'Inputs'!$B$32,'Inputs'!$B$30+'Inputs'!$B$31+'Inputs'!$B$32)/1000+'Inputs'!$B$21))^2+('Inputs'!$B$6/2)^2)))-'Results'!C7*(0.5*((((310-43)*MAX('Inputs'!$B$33,'Inputs'!$B$29+'Inputs'!$B$31+'Inputs'!$B$32,'Inputs'!$B$30+'Inputs'!$B$31+'Inputs'!$B$32)/1000+'Inputs'!$B$21+'Inputs'!$B$7+'Inputs'!$B$10)+'Inputs'!$B$9)/SQRT((((310-43)*MAX('Inputs'!$B$33,'Inputs'!$B$29+'Inputs'!$B$31+'Inputs'!$B$32,'Inputs'!$B$30+'Inputs'!$B$31+'Inputs'!$B$32)/1000+'Inputs'!$B$21+'Inputs'!$B$7+'Inputs'!$B$10)+'Inputs'!$B$9)^2+('Inputs'!$B$8/2)^2)-(((310-43)*MAX('Inputs'!$B$33,'Inputs'!$B$29+'Inputs'!$B$31+'Inputs'!$B$32,'Inputs'!$B$30+'Inputs'!$B$31+'Inputs'!$B$32)/1000+'Inputs'!$B$21+'Inputs'!$B$7+'Inputs'!$B$10))/SQRT((((310-43)*MAX('Inputs'!$B$33,'Inputs'!$B$29+'Inputs'!$B$31+'Inputs'!$B$32,'Inputs'!$B$30+'Inputs'!$B$31+'Inputs'!$B$32)/1000+'Inputs'!$B$21+'Inputs'!$B$7+'Inputs'!$B$10))^2+('Inputs'!$B$8/2)^2))))*'Results'!$B$8),"")</x:f>
        <x:v>31.782682727759752</x:v>
      </x:c>
      <x:c r="K310" t="n">
        <x:f>IF(AND(ISNUMBER('Results'!B7),ISNUMBER('Results'!C7),ISNUMBER('Results'!$B$8),ISNUMBER('Inputs'!$B$6),ISNUMBER('Inputs'!$B$7),ISNUMBER('Inputs'!$B$8),ISNUMBER('Inputs'!$B$9),ISNUMBER('Inputs'!$B$10),ISNUMBER('Inputs'!$B$21),ISNUMBER('Inputs'!$B$24),ISNUMBER('Inputs'!$B$28)),((('Results'!B7*(1-'Inputs'!$B$24)*(0.5*((((310-43)*MAX('Inputs'!$B$33,'Inputs'!$B$29+'Inputs'!$B$31+'Inputs'!$B$32,'Inputs'!$B$30+'Inputs'!$B$31+'Inputs'!$B$32)/1000+'Inputs'!$B$21)+'Inputs'!$B$7)/SQRT((((310-43)*MAX('Inputs'!$B$33,'Inputs'!$B$29+'Inputs'!$B$31+'Inputs'!$B$32,'Inputs'!$B$30+'Inputs'!$B$31+'Inputs'!$B$32)/1000+'Inputs'!$B$21)+'Inputs'!$B$7)^2+('Inputs'!$B$6/2)^2)-(((310-43)*MAX('Inputs'!$B$33,'Inputs'!$B$29+'Inputs'!$B$31+'Inputs'!$B$32,'Inputs'!$B$30+'Inputs'!$B$31+'Inputs'!$B$32)/1000+'Inputs'!$B$21))/SQRT((((310-43)*MAX('Inputs'!$B$33,'Inputs'!$B$29+'Inputs'!$B$31+'Inputs'!$B$32,'Inputs'!$B$30+'Inputs'!$B$31+'Inputs'!$B$32)/1000+'Inputs'!$B$21))^2+('Inputs'!$B$6/2)^2)))-'Results'!C7*(1+'Inputs'!$B$24)*(0.5*((((310-43)*MAX('Inputs'!$B$33,'Inputs'!$B$29+'Inputs'!$B$31+'Inputs'!$B$32,'Inputs'!$B$30+'Inputs'!$B$31+'Inputs'!$B$32)/1000+'Inputs'!$B$21+'Inputs'!$B$7+'Inputs'!$B$10)+'Inputs'!$B$9)/SQRT((((310-43)*MAX('Inputs'!$B$33,'Inputs'!$B$29+'Inputs'!$B$31+'Inputs'!$B$32,'Inputs'!$B$30+'Inputs'!$B$31+'Inputs'!$B$32)/1000+'Inputs'!$B$21+'Inputs'!$B$7+'Inputs'!$B$10)+'Inputs'!$B$9)^2+('Inputs'!$B$8/2)^2)-(((310-43)*MAX('Inputs'!$B$33,'Inputs'!$B$29+'Inputs'!$B$31+'Inputs'!$B$32,'Inputs'!$B$30+'Inputs'!$B$31+'Inputs'!$B$32)/1000+'Inputs'!$B$21+'Inputs'!$B$7+'Inputs'!$B$10))/SQRT((((310-43)*MAX('Inputs'!$B$33,'Inputs'!$B$29+'Inputs'!$B$31+'Inputs'!$B$32,'Inputs'!$B$30+'Inputs'!$B$31+'Inputs'!$B$32)/1000+'Inputs'!$B$21+'Inputs'!$B$7+'Inputs'!$B$10))^2+('Inputs'!$B$8/2)^2))))*'Results'!$B$8)-'Inputs'!$B$28*ABS((('Results'!B7*(1-'Inputs'!$B$24)*(0.5*((((310-43)*MAX('Inputs'!$B$33,'Inputs'!$B$29+'Inputs'!$B$31+'Inputs'!$B$32,'Inputs'!$B$30+'Inputs'!$B$31+'Inputs'!$B$32)/1000+'Inputs'!$B$21)+'Inputs'!$B$7)/SQRT((((310-43)*MAX('Inputs'!$B$33,'Inputs'!$B$29+'Inputs'!$B$31+'Inputs'!$B$32,'Inputs'!$B$30+'Inputs'!$B$31+'Inputs'!$B$32)/1000+'Inputs'!$B$21)+'Inputs'!$B$7)^2+('Inputs'!$B$6/2)^2)-(((310-43)*MAX('Inputs'!$B$33,'Inputs'!$B$29+'Inputs'!$B$31+'Inputs'!$B$32,'Inputs'!$B$30+'Inputs'!$B$31+'Inputs'!$B$32)/1000+'Inputs'!$B$21))/SQRT((((310-43)*MAX('Inputs'!$B$33,'Inputs'!$B$29+'Inputs'!$B$31+'Inputs'!$B$32,'Inputs'!$B$30+'Inputs'!$B$31+'Inputs'!$B$32)/1000+'Inputs'!$B$21))^2+('Inputs'!$B$6/2)^2)))-'Results'!C7*(1+'Inputs'!$B$24)*(0.5*((((310-43)*MAX('Inputs'!$B$33,'Inputs'!$B$29+'Inputs'!$B$31+'Inputs'!$B$32,'Inputs'!$B$30+'Inputs'!$B$31+'Inputs'!$B$32)/1000+'Inputs'!$B$21+'Inputs'!$B$7+'Inputs'!$B$10)+'Inputs'!$B$9)/SQRT((((310-43)*MAX('Inputs'!$B$33,'Inputs'!$B$29+'Inputs'!$B$31+'Inputs'!$B$32,'Inputs'!$B$30+'Inputs'!$B$31+'Inputs'!$B$32)/1000+'Inputs'!$B$21+'Inputs'!$B$7+'Inputs'!$B$10)+'Inputs'!$B$9)^2+('Inputs'!$B$8/2)^2)-(((310-43)*MAX('Inputs'!$B$33,'Inputs'!$B$29+'Inputs'!$B$31+'Inputs'!$B$32,'Inputs'!$B$30+'Inputs'!$B$31+'Inputs'!$B$32)/1000+'Inputs'!$B$21+'Inputs'!$B$7+'Inputs'!$B$10))/SQRT((((310-43)*MAX('Inputs'!$B$33,'Inputs'!$B$29+'Inputs'!$B$31+'Inputs'!$B$32,'Inputs'!$B$30+'Inputs'!$B$31+'Inputs'!$B$32)/1000+'Inputs'!$B$21+'Inputs'!$B$7+'Inputs'!$B$10))^2+('Inputs'!$B$8/2)^2))))*'Results'!$B$8))),"")</x:f>
        <x:v>28.863721551659882</x:v>
      </x:c>
      <x:c r="L310" t="n">
        <x:f>IF(AND(ISNUMBER('Results'!B7),ISNUMBER('Results'!C7),ISNUMBER('Results'!$B$8),ISNUMBER('Inputs'!$B$6),ISNUMBER('Inputs'!$B$7),ISNUMBER('Inputs'!$B$8),ISNUMBER('Inputs'!$B$9),ISNUMBER('Inputs'!$B$10),ISNUMBER('Inputs'!$B$21),ISNUMBER('Inputs'!$B$24),ISNUMBER('Inputs'!$B$28)),((('Results'!B7*(1+'Inputs'!$B$24)*(0.5*((((310-43)*MAX('Inputs'!$B$33,'Inputs'!$B$29+'Inputs'!$B$31+'Inputs'!$B$32,'Inputs'!$B$30+'Inputs'!$B$31+'Inputs'!$B$32)/1000+'Inputs'!$B$21)+'Inputs'!$B$7)/SQRT((((310-43)*MAX('Inputs'!$B$33,'Inputs'!$B$29+'Inputs'!$B$31+'Inputs'!$B$32,'Inputs'!$B$30+'Inputs'!$B$31+'Inputs'!$B$32)/1000+'Inputs'!$B$21)+'Inputs'!$B$7)^2+('Inputs'!$B$6/2)^2)-(((310-43)*MAX('Inputs'!$B$33,'Inputs'!$B$29+'Inputs'!$B$31+'Inputs'!$B$32,'Inputs'!$B$30+'Inputs'!$B$31+'Inputs'!$B$32)/1000+'Inputs'!$B$21))/SQRT((((310-43)*MAX('Inputs'!$B$33,'Inputs'!$B$29+'Inputs'!$B$31+'Inputs'!$B$32,'Inputs'!$B$30+'Inputs'!$B$31+'Inputs'!$B$32)/1000+'Inputs'!$B$21))^2+('Inputs'!$B$6/2)^2)))-'Results'!C7*(1-'Inputs'!$B$24)*(0.5*((((310-43)*MAX('Inputs'!$B$33,'Inputs'!$B$29+'Inputs'!$B$31+'Inputs'!$B$32,'Inputs'!$B$30+'Inputs'!$B$31+'Inputs'!$B$32)/1000+'Inputs'!$B$21+'Inputs'!$B$7+'Inputs'!$B$10)+'Inputs'!$B$9)/SQRT((((310-43)*MAX('Inputs'!$B$33,'Inputs'!$B$29+'Inputs'!$B$31+'Inputs'!$B$32,'Inputs'!$B$30+'Inputs'!$B$31+'Inputs'!$B$32)/1000+'Inputs'!$B$21+'Inputs'!$B$7+'Inputs'!$B$10)+'Inputs'!$B$9)^2+('Inputs'!$B$8/2)^2)-(((310-43)*MAX('Inputs'!$B$33,'Inputs'!$B$29+'Inputs'!$B$31+'Inputs'!$B$32,'Inputs'!$B$30+'Inputs'!$B$31+'Inputs'!$B$32)/1000+'Inputs'!$B$21+'Inputs'!$B$7+'Inputs'!$B$10))/SQRT((((310-43)*MAX('Inputs'!$B$33,'Inputs'!$B$29+'Inputs'!$B$31+'Inputs'!$B$32,'Inputs'!$B$30+'Inputs'!$B$31+'Inputs'!$B$32)/1000+'Inputs'!$B$21+'Inputs'!$B$7+'Inputs'!$B$10))^2+('Inputs'!$B$8/2)^2))))*'Results'!$B$8)+'Inputs'!$B$28*ABS((('Results'!B7*(1+'Inputs'!$B$24)*(0.5*((((310-43)*MAX('Inputs'!$B$33,'Inputs'!$B$29+'Inputs'!$B$31+'Inputs'!$B$32,'Inputs'!$B$30+'Inputs'!$B$31+'Inputs'!$B$32)/1000+'Inputs'!$B$21)+'Inputs'!$B$7)/SQRT((((310-43)*MAX('Inputs'!$B$33,'Inputs'!$B$29+'Inputs'!$B$31+'Inputs'!$B$32,'Inputs'!$B$30+'Inputs'!$B$31+'Inputs'!$B$32)/1000+'Inputs'!$B$21)+'Inputs'!$B$7)^2+('Inputs'!$B$6/2)^2)-(((310-43)*MAX('Inputs'!$B$33,'Inputs'!$B$29+'Inputs'!$B$31+'Inputs'!$B$32,'Inputs'!$B$30+'Inputs'!$B$31+'Inputs'!$B$32)/1000+'Inputs'!$B$21))/SQRT((((310-43)*MAX('Inputs'!$B$33,'Inputs'!$B$29+'Inputs'!$B$31+'Inputs'!$B$32,'Inputs'!$B$30+'Inputs'!$B$31+'Inputs'!$B$32)/1000+'Inputs'!$B$21))^2+('Inputs'!$B$6/2)^2)))-'Results'!C7*(1-'Inputs'!$B$24)*(0.5*((((310-43)*MAX('Inputs'!$B$33,'Inputs'!$B$29+'Inputs'!$B$31+'Inputs'!$B$32,'Inputs'!$B$30+'Inputs'!$B$31+'Inputs'!$B$32)/1000+'Inputs'!$B$21+'Inputs'!$B$7+'Inputs'!$B$10)+'Inputs'!$B$9)/SQRT((((310-43)*MAX('Inputs'!$B$33,'Inputs'!$B$29+'Inputs'!$B$31+'Inputs'!$B$32,'Inputs'!$B$30+'Inputs'!$B$31+'Inputs'!$B$32)/1000+'Inputs'!$B$21+'Inputs'!$B$7+'Inputs'!$B$10)+'Inputs'!$B$9)^2+('Inputs'!$B$8/2)^2)-(((310-43)*MAX('Inputs'!$B$33,'Inputs'!$B$29+'Inputs'!$B$31+'Inputs'!$B$32,'Inputs'!$B$30+'Inputs'!$B$31+'Inputs'!$B$32)/1000+'Inputs'!$B$21+'Inputs'!$B$7+'Inputs'!$B$10))/SQRT((((310-43)*MAX('Inputs'!$B$33,'Inputs'!$B$29+'Inputs'!$B$31+'Inputs'!$B$32,'Inputs'!$B$30+'Inputs'!$B$31+'Inputs'!$B$32)/1000+'Inputs'!$B$21+'Inputs'!$B$7+'Inputs'!$B$10))^2+('Inputs'!$B$8/2)^2))))*'Results'!$B$8))),"")</x:f>
        <x:v>34.84162569751349</x:v>
      </x:c>
      <x:c r="M310" t="n">
        <x:f>IF(AND(ISNUMBER('Results'!C7),ISNUMBER('Results'!B7),ISNUMBER('Results'!$B$8),ISNUMBER('Inputs'!$B$6),ISNUMBER('Inputs'!$B$7),ISNUMBER('Inputs'!$B$8),ISNUMBER('Inputs'!$B$9),ISNUMBER('Inputs'!$B$10),ISNUMBER('Inputs'!$B$21),ISNUMBER('Inputs'!$B$24),ISNUMBER('Inputs'!$B$28)),(('Results'!C7*(0.5*((((310-43)*MAX('Inputs'!$B$33,'Inputs'!$B$29+'Inputs'!$B$31+'Inputs'!$B$32,'Inputs'!$B$30+'Inputs'!$B$31+'Inputs'!$B$32)/1000+'Inputs'!$B$21)+'Inputs'!$B$9)/SQRT((((310-43)*MAX('Inputs'!$B$33,'Inputs'!$B$29+'Inputs'!$B$31+'Inputs'!$B$32,'Inputs'!$B$30+'Inputs'!$B$31+'Inputs'!$B$32)/1000+'Inputs'!$B$21)+'Inputs'!$B$9)^2+('Inputs'!$B$8/2)^2)-(((310-43)*MAX('Inputs'!$B$33,'Inputs'!$B$29+'Inputs'!$B$31+'Inputs'!$B$32,'Inputs'!$B$30+'Inputs'!$B$31+'Inputs'!$B$32)/1000+'Inputs'!$B$21))/SQRT((((310-43)*MAX('Inputs'!$B$33,'Inputs'!$B$29+'Inputs'!$B$31+'Inputs'!$B$32,'Inputs'!$B$30+'Inputs'!$B$31+'Inputs'!$B$32)/1000+'Inputs'!$B$21))^2+('Inputs'!$B$8/2)^2)))-'Results'!B7*(0.5*((((310-43)*MAX('Inputs'!$B$33,'Inputs'!$B$29+'Inputs'!$B$31+'Inputs'!$B$32,'Inputs'!$B$30+'Inputs'!$B$31+'Inputs'!$B$32)/1000+'Inputs'!$B$21+'Inputs'!$B$9+'Inputs'!$B$10)+'Inputs'!$B$7)/SQRT((((310-43)*MAX('Inputs'!$B$33,'Inputs'!$B$29+'Inputs'!$B$31+'Inputs'!$B$32,'Inputs'!$B$30+'Inputs'!$B$31+'Inputs'!$B$32)/1000+'Inputs'!$B$21+'Inputs'!$B$9+'Inputs'!$B$10)+'Inputs'!$B$7)^2+('Inputs'!$B$6/2)^2)-(((310-43)*MAX('Inputs'!$B$33,'Inputs'!$B$29+'Inputs'!$B$31+'Inputs'!$B$32,'Inputs'!$B$30+'Inputs'!$B$31+'Inputs'!$B$32)/1000+'Inputs'!$B$21+'Inputs'!$B$9+'Inputs'!$B$10))/SQRT((((310-43)*MAX('Inputs'!$B$33,'Inputs'!$B$29+'Inputs'!$B$31+'Inputs'!$B$32,'Inputs'!$B$30+'Inputs'!$B$31+'Inputs'!$B$32)/1000+'Inputs'!$B$21+'Inputs'!$B$9+'Inputs'!$B$10))^2+('Inputs'!$B$6/2)^2))))*'Results'!$B$8),"")</x:f>
        <x:v>30.375067196506816</x:v>
      </x:c>
      <x:c r="N310" t="n">
        <x:f>IF(AND(ISNUMBER('Results'!C7),ISNUMBER('Results'!B7),ISNUMBER('Results'!$B$8),ISNUMBER('Inputs'!$B$6),ISNUMBER('Inputs'!$B$7),ISNUMBER('Inputs'!$B$8),ISNUMBER('Inputs'!$B$9),ISNUMBER('Inputs'!$B$10),ISNUMBER('Inputs'!$B$21),ISNUMBER('Inputs'!$B$24),ISNUMBER('Inputs'!$B$28)),((('Results'!C7*(1-'Inputs'!$B$24)*(0.5*((((310-43)*MAX('Inputs'!$B$33,'Inputs'!$B$29+'Inputs'!$B$31+'Inputs'!$B$32,'Inputs'!$B$30+'Inputs'!$B$31+'Inputs'!$B$32)/1000+'Inputs'!$B$21)+'Inputs'!$B$9)/SQRT((((310-43)*MAX('Inputs'!$B$33,'Inputs'!$B$29+'Inputs'!$B$31+'Inputs'!$B$32,'Inputs'!$B$30+'Inputs'!$B$31+'Inputs'!$B$32)/1000+'Inputs'!$B$21)+'Inputs'!$B$9)^2+('Inputs'!$B$8/2)^2)-(((310-43)*MAX('Inputs'!$B$33,'Inputs'!$B$29+'Inputs'!$B$31+'Inputs'!$B$32,'Inputs'!$B$30+'Inputs'!$B$31+'Inputs'!$B$32)/1000+'Inputs'!$B$21))/SQRT((((310-43)*MAX('Inputs'!$B$33,'Inputs'!$B$29+'Inputs'!$B$31+'Inputs'!$B$32,'Inputs'!$B$30+'Inputs'!$B$31+'Inputs'!$B$32)/1000+'Inputs'!$B$21))^2+('Inputs'!$B$8/2)^2)))-'Results'!B7*(1+'Inputs'!$B$24)*(0.5*((((310-43)*MAX('Inputs'!$B$33,'Inputs'!$B$29+'Inputs'!$B$31+'Inputs'!$B$32,'Inputs'!$B$30+'Inputs'!$B$31+'Inputs'!$B$32)/1000+'Inputs'!$B$21+'Inputs'!$B$9+'Inputs'!$B$10)+'Inputs'!$B$7)/SQRT((((310-43)*MAX('Inputs'!$B$33,'Inputs'!$B$29+'Inputs'!$B$31+'Inputs'!$B$32,'Inputs'!$B$30+'Inputs'!$B$31+'Inputs'!$B$32)/1000+'Inputs'!$B$21+'Inputs'!$B$9+'Inputs'!$B$10)+'Inputs'!$B$7)^2+('Inputs'!$B$6/2)^2)-(((310-43)*MAX('Inputs'!$B$33,'Inputs'!$B$29+'Inputs'!$B$31+'Inputs'!$B$32,'Inputs'!$B$30+'Inputs'!$B$31+'Inputs'!$B$32)/1000+'Inputs'!$B$21+'Inputs'!$B$9+'Inputs'!$B$10))/SQRT((((310-43)*MAX('Inputs'!$B$33,'Inputs'!$B$29+'Inputs'!$B$31+'Inputs'!$B$32,'Inputs'!$B$30+'Inputs'!$B$31+'Inputs'!$B$32)/1000+'Inputs'!$B$21+'Inputs'!$B$9+'Inputs'!$B$10))^2+('Inputs'!$B$6/2)^2))))*'Results'!$B$8)-'Inputs'!$B$28*ABS((('Results'!C7*(1-'Inputs'!$B$24)*(0.5*((((310-43)*MAX('Inputs'!$B$33,'Inputs'!$B$29+'Inputs'!$B$31+'Inputs'!$B$32,'Inputs'!$B$30+'Inputs'!$B$31+'Inputs'!$B$32)/1000+'Inputs'!$B$21)+'Inputs'!$B$9)/SQRT((((310-43)*MAX('Inputs'!$B$33,'Inputs'!$B$29+'Inputs'!$B$31+'Inputs'!$B$32,'Inputs'!$B$30+'Inputs'!$B$31+'Inputs'!$B$32)/1000+'Inputs'!$B$21)+'Inputs'!$B$9)^2+('Inputs'!$B$8/2)^2)-(((310-43)*MAX('Inputs'!$B$33,'Inputs'!$B$29+'Inputs'!$B$31+'Inputs'!$B$32,'Inputs'!$B$30+'Inputs'!$B$31+'Inputs'!$B$32)/1000+'Inputs'!$B$21))/SQRT((((310-43)*MAX('Inputs'!$B$33,'Inputs'!$B$29+'Inputs'!$B$31+'Inputs'!$B$32,'Inputs'!$B$30+'Inputs'!$B$31+'Inputs'!$B$32)/1000+'Inputs'!$B$21))^2+('Inputs'!$B$8/2)^2)))-'Results'!B7*(1+'Inputs'!$B$24)*(0.5*((((310-43)*MAX('Inputs'!$B$33,'Inputs'!$B$29+'Inputs'!$B$31+'Inputs'!$B$32,'Inputs'!$B$30+'Inputs'!$B$31+'Inputs'!$B$32)/1000+'Inputs'!$B$21+'Inputs'!$B$9+'Inputs'!$B$10)+'Inputs'!$B$7)/SQRT((((310-43)*MAX('Inputs'!$B$33,'Inputs'!$B$29+'Inputs'!$B$31+'Inputs'!$B$32,'Inputs'!$B$30+'Inputs'!$B$31+'Inputs'!$B$32)/1000+'Inputs'!$B$21+'Inputs'!$B$9+'Inputs'!$B$10)+'Inputs'!$B$7)^2+('Inputs'!$B$6/2)^2)-(((310-43)*MAX('Inputs'!$B$33,'Inputs'!$B$29+'Inputs'!$B$31+'Inputs'!$B$32,'Inputs'!$B$30+'Inputs'!$B$31+'Inputs'!$B$32)/1000+'Inputs'!$B$21+'Inputs'!$B$9+'Inputs'!$B$10))/SQRT((((310-43)*MAX('Inputs'!$B$33,'Inputs'!$B$29+'Inputs'!$B$31+'Inputs'!$B$32,'Inputs'!$B$30+'Inputs'!$B$31+'Inputs'!$B$32)/1000+'Inputs'!$B$21+'Inputs'!$B$9+'Inputs'!$B$10))^2+('Inputs'!$B$6/2)^2))))*'Results'!$B$8))),"")</x:f>
        <x:v>27.538416062106574</x:v>
      </x:c>
      <x:c r="O310" t="n">
        <x:f>IF(AND(ISNUMBER('Results'!C7),ISNUMBER('Results'!B7),ISNUMBER('Results'!$B$8),ISNUMBER('Inputs'!$B$6),ISNUMBER('Inputs'!$B$7),ISNUMBER('Inputs'!$B$8),ISNUMBER('Inputs'!$B$9),ISNUMBER('Inputs'!$B$10),ISNUMBER('Inputs'!$B$21),ISNUMBER('Inputs'!$B$24),ISNUMBER('Inputs'!$B$28)),((('Results'!C7*(1+'Inputs'!$B$24)*(0.5*((((310-43)*MAX('Inputs'!$B$33,'Inputs'!$B$29+'Inputs'!$B$31+'Inputs'!$B$32,'Inputs'!$B$30+'Inputs'!$B$31+'Inputs'!$B$32)/1000+'Inputs'!$B$21)+'Inputs'!$B$9)/SQRT((((310-43)*MAX('Inputs'!$B$33,'Inputs'!$B$29+'Inputs'!$B$31+'Inputs'!$B$32,'Inputs'!$B$30+'Inputs'!$B$31+'Inputs'!$B$32)/1000+'Inputs'!$B$21)+'Inputs'!$B$9)^2+('Inputs'!$B$8/2)^2)-(((310-43)*MAX('Inputs'!$B$33,'Inputs'!$B$29+'Inputs'!$B$31+'Inputs'!$B$32,'Inputs'!$B$30+'Inputs'!$B$31+'Inputs'!$B$32)/1000+'Inputs'!$B$21))/SQRT((((310-43)*MAX('Inputs'!$B$33,'Inputs'!$B$29+'Inputs'!$B$31+'Inputs'!$B$32,'Inputs'!$B$30+'Inputs'!$B$31+'Inputs'!$B$32)/1000+'Inputs'!$B$21))^2+('Inputs'!$B$8/2)^2)))-'Results'!B7*(1-'Inputs'!$B$24)*(0.5*((((310-43)*MAX('Inputs'!$B$33,'Inputs'!$B$29+'Inputs'!$B$31+'Inputs'!$B$32,'Inputs'!$B$30+'Inputs'!$B$31+'Inputs'!$B$32)/1000+'Inputs'!$B$21+'Inputs'!$B$9+'Inputs'!$B$10)+'Inputs'!$B$7)/SQRT((((310-43)*MAX('Inputs'!$B$33,'Inputs'!$B$29+'Inputs'!$B$31+'Inputs'!$B$32,'Inputs'!$B$30+'Inputs'!$B$31+'Inputs'!$B$32)/1000+'Inputs'!$B$21+'Inputs'!$B$9+'Inputs'!$B$10)+'Inputs'!$B$7)^2+('Inputs'!$B$6/2)^2)-(((310-43)*MAX('Inputs'!$B$33,'Inputs'!$B$29+'Inputs'!$B$31+'Inputs'!$B$32,'Inputs'!$B$30+'Inputs'!$B$31+'Inputs'!$B$32)/1000+'Inputs'!$B$21+'Inputs'!$B$9+'Inputs'!$B$10))/SQRT((((310-43)*MAX('Inputs'!$B$33,'Inputs'!$B$29+'Inputs'!$B$31+'Inputs'!$B$32,'Inputs'!$B$30+'Inputs'!$B$31+'Inputs'!$B$32)/1000+'Inputs'!$B$21+'Inputs'!$B$9+'Inputs'!$B$10))^2+('Inputs'!$B$6/2)^2))))*'Results'!$B$8)+'Inputs'!$B$28*ABS((('Results'!C7*(1+'Inputs'!$B$24)*(0.5*((((310-43)*MAX('Inputs'!$B$33,'Inputs'!$B$29+'Inputs'!$B$31+'Inputs'!$B$32,'Inputs'!$B$30+'Inputs'!$B$31+'Inputs'!$B$32)/1000+'Inputs'!$B$21)+'Inputs'!$B$9)/SQRT((((310-43)*MAX('Inputs'!$B$33,'Inputs'!$B$29+'Inputs'!$B$31+'Inputs'!$B$32,'Inputs'!$B$30+'Inputs'!$B$31+'Inputs'!$B$32)/1000+'Inputs'!$B$21)+'Inputs'!$B$9)^2+('Inputs'!$B$8/2)^2)-(((310-43)*MAX('Inputs'!$B$33,'Inputs'!$B$29+'Inputs'!$B$31+'Inputs'!$B$32,'Inputs'!$B$30+'Inputs'!$B$31+'Inputs'!$B$32)/1000+'Inputs'!$B$21))/SQRT((((310-43)*MAX('Inputs'!$B$33,'Inputs'!$B$29+'Inputs'!$B$31+'Inputs'!$B$32,'Inputs'!$B$30+'Inputs'!$B$31+'Inputs'!$B$32)/1000+'Inputs'!$B$21))^2+('Inputs'!$B$8/2)^2)))-'Results'!B7*(1-'Inputs'!$B$24)*(0.5*((((310-43)*MAX('Inputs'!$B$33,'Inputs'!$B$29+'Inputs'!$B$31+'Inputs'!$B$32,'Inputs'!$B$30+'Inputs'!$B$31+'Inputs'!$B$32)/1000+'Inputs'!$B$21+'Inputs'!$B$9+'Inputs'!$B$10)+'Inputs'!$B$7)/SQRT((((310-43)*MAX('Inputs'!$B$33,'Inputs'!$B$29+'Inputs'!$B$31+'Inputs'!$B$32,'Inputs'!$B$30+'Inputs'!$B$31+'Inputs'!$B$32)/1000+'Inputs'!$B$21+'Inputs'!$B$9+'Inputs'!$B$10)+'Inputs'!$B$7)^2+('Inputs'!$B$6/2)^2)-(((310-43)*MAX('Inputs'!$B$33,'Inputs'!$B$29+'Inputs'!$B$31+'Inputs'!$B$32,'Inputs'!$B$30+'Inputs'!$B$31+'Inputs'!$B$32)/1000+'Inputs'!$B$21+'Inputs'!$B$9+'Inputs'!$B$10))/SQRT((((310-43)*MAX('Inputs'!$B$33,'Inputs'!$B$29+'Inputs'!$B$31+'Inputs'!$B$32,'Inputs'!$B$30+'Inputs'!$B$31+'Inputs'!$B$32)/1000+'Inputs'!$B$21+'Inputs'!$B$9+'Inputs'!$B$10))^2+('Inputs'!$B$6/2)^2))))*'Results'!$B$8))),"")</x:f>
        <x:v>33.35044441244126</x:v>
      </x:c>
      <x:c r="P310" t="n">
        <x:f>IF(AND(MAX(J310,J309)&gt;0,J310&gt;J309+0.00000001),1,0)</x:f>
        <x:v>0</x:v>
      </x:c>
      <x:c r="Q310" t="n">
        <x:f>IF(AND(MAX(K310,K309)&gt;0,K310&gt;K309+0.00000001),1,0)</x:f>
        <x:v>0</x:v>
      </x:c>
      <x:c r="R310" t="n">
        <x:f>IF(AND(MAX(L310,L309)&gt;0,L310&gt;L309+0.00000001),1,0)</x:f>
        <x:v>0</x:v>
      </x:c>
      <x:c r="S310" t="n">
        <x:f>IF(AND(MAX(M310,M309)&gt;0,M310&gt;M309+0.00000001),1,0)</x:f>
        <x:v>0</x:v>
      </x:c>
      <x:c r="T310" t="n">
        <x:f>IF(AND(MAX(N310,N309)&gt;0,N310&gt;N309+0.00000001),1,0)</x:f>
        <x:v>0</x:v>
      </x:c>
      <x:c r="U310" t="n">
        <x:f>IF(AND(MAX(O310,O309)&gt;0,O310&gt;O309+0.00000001),1,0)</x:f>
        <x:v>0</x:v>
      </x:c>
    </x:row>
    <x:row r="311">
      <x:c r="J311" t="n">
        <x:f>IF(AND(ISNUMBER('Results'!B7),ISNUMBER('Results'!C7),ISNUMBER('Results'!$B$8),ISNUMBER('Inputs'!$B$6),ISNUMBER('Inputs'!$B$7),ISNUMBER('Inputs'!$B$8),ISNUMBER('Inputs'!$B$9),ISNUMBER('Inputs'!$B$10),ISNUMBER('Inputs'!$B$21),ISNUMBER('Inputs'!$B$24),ISNUMBER('Inputs'!$B$28)),(('Results'!B7*(0.5*((((311-43)*MAX('Inputs'!$B$33,'Inputs'!$B$29+'Inputs'!$B$31+'Inputs'!$B$32,'Inputs'!$B$30+'Inputs'!$B$31+'Inputs'!$B$32)/1000+'Inputs'!$B$21)+'Inputs'!$B$7)/SQRT((((311-43)*MAX('Inputs'!$B$33,'Inputs'!$B$29+'Inputs'!$B$31+'Inputs'!$B$32,'Inputs'!$B$30+'Inputs'!$B$31+'Inputs'!$B$32)/1000+'Inputs'!$B$21)+'Inputs'!$B$7)^2+('Inputs'!$B$6/2)^2)-(((311-43)*MAX('Inputs'!$B$33,'Inputs'!$B$29+'Inputs'!$B$31+'Inputs'!$B$32,'Inputs'!$B$30+'Inputs'!$B$31+'Inputs'!$B$32)/1000+'Inputs'!$B$21))/SQRT((((311-43)*MAX('Inputs'!$B$33,'Inputs'!$B$29+'Inputs'!$B$31+'Inputs'!$B$32,'Inputs'!$B$30+'Inputs'!$B$31+'Inputs'!$B$32)/1000+'Inputs'!$B$21))^2+('Inputs'!$B$6/2)^2)))-'Results'!C7*(0.5*((((311-43)*MAX('Inputs'!$B$33,'Inputs'!$B$29+'Inputs'!$B$31+'Inputs'!$B$32,'Inputs'!$B$30+'Inputs'!$B$31+'Inputs'!$B$32)/1000+'Inputs'!$B$21+'Inputs'!$B$7+'Inputs'!$B$10)+'Inputs'!$B$9)/SQRT((((311-43)*MAX('Inputs'!$B$33,'Inputs'!$B$29+'Inputs'!$B$31+'Inputs'!$B$32,'Inputs'!$B$30+'Inputs'!$B$31+'Inputs'!$B$32)/1000+'Inputs'!$B$21+'Inputs'!$B$7+'Inputs'!$B$10)+'Inputs'!$B$9)^2+('Inputs'!$B$8/2)^2)-(((311-43)*MAX('Inputs'!$B$33,'Inputs'!$B$29+'Inputs'!$B$31+'Inputs'!$B$32,'Inputs'!$B$30+'Inputs'!$B$31+'Inputs'!$B$32)/1000+'Inputs'!$B$21+'Inputs'!$B$7+'Inputs'!$B$10))/SQRT((((311-43)*MAX('Inputs'!$B$33,'Inputs'!$B$29+'Inputs'!$B$31+'Inputs'!$B$32,'Inputs'!$B$30+'Inputs'!$B$31+'Inputs'!$B$32)/1000+'Inputs'!$B$21+'Inputs'!$B$7+'Inputs'!$B$10))^2+('Inputs'!$B$8/2)^2))))*'Results'!$B$8),"")</x:f>
        <x:v>31.42617515592542</x:v>
      </x:c>
      <x:c r="K311" t="n">
        <x:f>IF(AND(ISNUMBER('Results'!B7),ISNUMBER('Results'!C7),ISNUMBER('Results'!$B$8),ISNUMBER('Inputs'!$B$6),ISNUMBER('Inputs'!$B$7),ISNUMBER('Inputs'!$B$8),ISNUMBER('Inputs'!$B$9),ISNUMBER('Inputs'!$B$10),ISNUMBER('Inputs'!$B$21),ISNUMBER('Inputs'!$B$24),ISNUMBER('Inputs'!$B$28)),((('Results'!B7*(1-'Inputs'!$B$24)*(0.5*((((311-43)*MAX('Inputs'!$B$33,'Inputs'!$B$29+'Inputs'!$B$31+'Inputs'!$B$32,'Inputs'!$B$30+'Inputs'!$B$31+'Inputs'!$B$32)/1000+'Inputs'!$B$21)+'Inputs'!$B$7)/SQRT((((311-43)*MAX('Inputs'!$B$33,'Inputs'!$B$29+'Inputs'!$B$31+'Inputs'!$B$32,'Inputs'!$B$30+'Inputs'!$B$31+'Inputs'!$B$32)/1000+'Inputs'!$B$21)+'Inputs'!$B$7)^2+('Inputs'!$B$6/2)^2)-(((311-43)*MAX('Inputs'!$B$33,'Inputs'!$B$29+'Inputs'!$B$31+'Inputs'!$B$32,'Inputs'!$B$30+'Inputs'!$B$31+'Inputs'!$B$32)/1000+'Inputs'!$B$21))/SQRT((((311-43)*MAX('Inputs'!$B$33,'Inputs'!$B$29+'Inputs'!$B$31+'Inputs'!$B$32,'Inputs'!$B$30+'Inputs'!$B$31+'Inputs'!$B$32)/1000+'Inputs'!$B$21))^2+('Inputs'!$B$6/2)^2)))-'Results'!C7*(1+'Inputs'!$B$24)*(0.5*((((311-43)*MAX('Inputs'!$B$33,'Inputs'!$B$29+'Inputs'!$B$31+'Inputs'!$B$32,'Inputs'!$B$30+'Inputs'!$B$31+'Inputs'!$B$32)/1000+'Inputs'!$B$21+'Inputs'!$B$7+'Inputs'!$B$10)+'Inputs'!$B$9)/SQRT((((311-43)*MAX('Inputs'!$B$33,'Inputs'!$B$29+'Inputs'!$B$31+'Inputs'!$B$32,'Inputs'!$B$30+'Inputs'!$B$31+'Inputs'!$B$32)/1000+'Inputs'!$B$21+'Inputs'!$B$7+'Inputs'!$B$10)+'Inputs'!$B$9)^2+('Inputs'!$B$8/2)^2)-(((311-43)*MAX('Inputs'!$B$33,'Inputs'!$B$29+'Inputs'!$B$31+'Inputs'!$B$32,'Inputs'!$B$30+'Inputs'!$B$31+'Inputs'!$B$32)/1000+'Inputs'!$B$21+'Inputs'!$B$7+'Inputs'!$B$10))/SQRT((((311-43)*MAX('Inputs'!$B$33,'Inputs'!$B$29+'Inputs'!$B$31+'Inputs'!$B$32,'Inputs'!$B$30+'Inputs'!$B$31+'Inputs'!$B$32)/1000+'Inputs'!$B$21+'Inputs'!$B$7+'Inputs'!$B$10))^2+('Inputs'!$B$8/2)^2))))*'Results'!$B$8)-'Inputs'!$B$28*ABS((('Results'!B7*(1-'Inputs'!$B$24)*(0.5*((((311-43)*MAX('Inputs'!$B$33,'Inputs'!$B$29+'Inputs'!$B$31+'Inputs'!$B$32,'Inputs'!$B$30+'Inputs'!$B$31+'Inputs'!$B$32)/1000+'Inputs'!$B$21)+'Inputs'!$B$7)/SQRT((((311-43)*MAX('Inputs'!$B$33,'Inputs'!$B$29+'Inputs'!$B$31+'Inputs'!$B$32,'Inputs'!$B$30+'Inputs'!$B$31+'Inputs'!$B$32)/1000+'Inputs'!$B$21)+'Inputs'!$B$7)^2+('Inputs'!$B$6/2)^2)-(((311-43)*MAX('Inputs'!$B$33,'Inputs'!$B$29+'Inputs'!$B$31+'Inputs'!$B$32,'Inputs'!$B$30+'Inputs'!$B$31+'Inputs'!$B$32)/1000+'Inputs'!$B$21))/SQRT((((311-43)*MAX('Inputs'!$B$33,'Inputs'!$B$29+'Inputs'!$B$31+'Inputs'!$B$32,'Inputs'!$B$30+'Inputs'!$B$31+'Inputs'!$B$32)/1000+'Inputs'!$B$21))^2+('Inputs'!$B$6/2)^2)))-'Results'!C7*(1+'Inputs'!$B$24)*(0.5*((((311-43)*MAX('Inputs'!$B$33,'Inputs'!$B$29+'Inputs'!$B$31+'Inputs'!$B$32,'Inputs'!$B$30+'Inputs'!$B$31+'Inputs'!$B$32)/1000+'Inputs'!$B$21+'Inputs'!$B$7+'Inputs'!$B$10)+'Inputs'!$B$9)/SQRT((((311-43)*MAX('Inputs'!$B$33,'Inputs'!$B$29+'Inputs'!$B$31+'Inputs'!$B$32,'Inputs'!$B$30+'Inputs'!$B$31+'Inputs'!$B$32)/1000+'Inputs'!$B$21+'Inputs'!$B$7+'Inputs'!$B$10)+'Inputs'!$B$9)^2+('Inputs'!$B$8/2)^2)-(((311-43)*MAX('Inputs'!$B$33,'Inputs'!$B$29+'Inputs'!$B$31+'Inputs'!$B$32,'Inputs'!$B$30+'Inputs'!$B$31+'Inputs'!$B$32)/1000+'Inputs'!$B$21+'Inputs'!$B$7+'Inputs'!$B$10))/SQRT((((311-43)*MAX('Inputs'!$B$33,'Inputs'!$B$29+'Inputs'!$B$31+'Inputs'!$B$32,'Inputs'!$B$30+'Inputs'!$B$31+'Inputs'!$B$32)/1000+'Inputs'!$B$21+'Inputs'!$B$7+'Inputs'!$B$10))^2+('Inputs'!$B$8/2)^2))))*'Results'!$B$8))),"")</x:f>
        <x:v>28.5370229389962</x:v>
      </x:c>
      <x:c r="L311" t="n">
        <x:f>IF(AND(ISNUMBER('Results'!B7),ISNUMBER('Results'!C7),ISNUMBER('Results'!$B$8),ISNUMBER('Inputs'!$B$6),ISNUMBER('Inputs'!$B$7),ISNUMBER('Inputs'!$B$8),ISNUMBER('Inputs'!$B$9),ISNUMBER('Inputs'!$B$10),ISNUMBER('Inputs'!$B$21),ISNUMBER('Inputs'!$B$24),ISNUMBER('Inputs'!$B$28)),((('Results'!B7*(1+'Inputs'!$B$24)*(0.5*((((311-43)*MAX('Inputs'!$B$33,'Inputs'!$B$29+'Inputs'!$B$31+'Inputs'!$B$32,'Inputs'!$B$30+'Inputs'!$B$31+'Inputs'!$B$32)/1000+'Inputs'!$B$21)+'Inputs'!$B$7)/SQRT((((311-43)*MAX('Inputs'!$B$33,'Inputs'!$B$29+'Inputs'!$B$31+'Inputs'!$B$32,'Inputs'!$B$30+'Inputs'!$B$31+'Inputs'!$B$32)/1000+'Inputs'!$B$21)+'Inputs'!$B$7)^2+('Inputs'!$B$6/2)^2)-(((311-43)*MAX('Inputs'!$B$33,'Inputs'!$B$29+'Inputs'!$B$31+'Inputs'!$B$32,'Inputs'!$B$30+'Inputs'!$B$31+'Inputs'!$B$32)/1000+'Inputs'!$B$21))/SQRT((((311-43)*MAX('Inputs'!$B$33,'Inputs'!$B$29+'Inputs'!$B$31+'Inputs'!$B$32,'Inputs'!$B$30+'Inputs'!$B$31+'Inputs'!$B$32)/1000+'Inputs'!$B$21))^2+('Inputs'!$B$6/2)^2)))-'Results'!C7*(1-'Inputs'!$B$24)*(0.5*((((311-43)*MAX('Inputs'!$B$33,'Inputs'!$B$29+'Inputs'!$B$31+'Inputs'!$B$32,'Inputs'!$B$30+'Inputs'!$B$31+'Inputs'!$B$32)/1000+'Inputs'!$B$21+'Inputs'!$B$7+'Inputs'!$B$10)+'Inputs'!$B$9)/SQRT((((311-43)*MAX('Inputs'!$B$33,'Inputs'!$B$29+'Inputs'!$B$31+'Inputs'!$B$32,'Inputs'!$B$30+'Inputs'!$B$31+'Inputs'!$B$32)/1000+'Inputs'!$B$21+'Inputs'!$B$7+'Inputs'!$B$10)+'Inputs'!$B$9)^2+('Inputs'!$B$8/2)^2)-(((311-43)*MAX('Inputs'!$B$33,'Inputs'!$B$29+'Inputs'!$B$31+'Inputs'!$B$32,'Inputs'!$B$30+'Inputs'!$B$31+'Inputs'!$B$32)/1000+'Inputs'!$B$21+'Inputs'!$B$7+'Inputs'!$B$10))/SQRT((((311-43)*MAX('Inputs'!$B$33,'Inputs'!$B$29+'Inputs'!$B$31+'Inputs'!$B$32,'Inputs'!$B$30+'Inputs'!$B$31+'Inputs'!$B$32)/1000+'Inputs'!$B$21+'Inputs'!$B$7+'Inputs'!$B$10))^2+('Inputs'!$B$8/2)^2))))*'Results'!$B$8)+'Inputs'!$B$28*ABS((('Results'!B7*(1+'Inputs'!$B$24)*(0.5*((((311-43)*MAX('Inputs'!$B$33,'Inputs'!$B$29+'Inputs'!$B$31+'Inputs'!$B$32,'Inputs'!$B$30+'Inputs'!$B$31+'Inputs'!$B$32)/1000+'Inputs'!$B$21)+'Inputs'!$B$7)/SQRT((((311-43)*MAX('Inputs'!$B$33,'Inputs'!$B$29+'Inputs'!$B$31+'Inputs'!$B$32,'Inputs'!$B$30+'Inputs'!$B$31+'Inputs'!$B$32)/1000+'Inputs'!$B$21)+'Inputs'!$B$7)^2+('Inputs'!$B$6/2)^2)-(((311-43)*MAX('Inputs'!$B$33,'Inputs'!$B$29+'Inputs'!$B$31+'Inputs'!$B$32,'Inputs'!$B$30+'Inputs'!$B$31+'Inputs'!$B$32)/1000+'Inputs'!$B$21))/SQRT((((311-43)*MAX('Inputs'!$B$33,'Inputs'!$B$29+'Inputs'!$B$31+'Inputs'!$B$32,'Inputs'!$B$30+'Inputs'!$B$31+'Inputs'!$B$32)/1000+'Inputs'!$B$21))^2+('Inputs'!$B$6/2)^2)))-'Results'!C7*(1-'Inputs'!$B$24)*(0.5*((((311-43)*MAX('Inputs'!$B$33,'Inputs'!$B$29+'Inputs'!$B$31+'Inputs'!$B$32,'Inputs'!$B$30+'Inputs'!$B$31+'Inputs'!$B$32)/1000+'Inputs'!$B$21+'Inputs'!$B$7+'Inputs'!$B$10)+'Inputs'!$B$9)/SQRT((((311-43)*MAX('Inputs'!$B$33,'Inputs'!$B$29+'Inputs'!$B$31+'Inputs'!$B$32,'Inputs'!$B$30+'Inputs'!$B$31+'Inputs'!$B$32)/1000+'Inputs'!$B$21+'Inputs'!$B$7+'Inputs'!$B$10)+'Inputs'!$B$9)^2+('Inputs'!$B$8/2)^2)-(((311-43)*MAX('Inputs'!$B$33,'Inputs'!$B$29+'Inputs'!$B$31+'Inputs'!$B$32,'Inputs'!$B$30+'Inputs'!$B$31+'Inputs'!$B$32)/1000+'Inputs'!$B$21+'Inputs'!$B$7+'Inputs'!$B$10))/SQRT((((311-43)*MAX('Inputs'!$B$33,'Inputs'!$B$29+'Inputs'!$B$31+'Inputs'!$B$32,'Inputs'!$B$30+'Inputs'!$B$31+'Inputs'!$B$32)/1000+'Inputs'!$B$21+'Inputs'!$B$7+'Inputs'!$B$10))^2+('Inputs'!$B$8/2)^2))))*'Results'!$B$8))),"")</x:f>
        <x:v>34.454047736973905</x:v>
      </x:c>
      <x:c r="M311" t="n">
        <x:f>IF(AND(ISNUMBER('Results'!C7),ISNUMBER('Results'!B7),ISNUMBER('Results'!$B$8),ISNUMBER('Inputs'!$B$6),ISNUMBER('Inputs'!$B$7),ISNUMBER('Inputs'!$B$8),ISNUMBER('Inputs'!$B$9),ISNUMBER('Inputs'!$B$10),ISNUMBER('Inputs'!$B$21),ISNUMBER('Inputs'!$B$24),ISNUMBER('Inputs'!$B$28)),(('Results'!C7*(0.5*((((311-43)*MAX('Inputs'!$B$33,'Inputs'!$B$29+'Inputs'!$B$31+'Inputs'!$B$32,'Inputs'!$B$30+'Inputs'!$B$31+'Inputs'!$B$32)/1000+'Inputs'!$B$21)+'Inputs'!$B$9)/SQRT((((311-43)*MAX('Inputs'!$B$33,'Inputs'!$B$29+'Inputs'!$B$31+'Inputs'!$B$32,'Inputs'!$B$30+'Inputs'!$B$31+'Inputs'!$B$32)/1000+'Inputs'!$B$21)+'Inputs'!$B$9)^2+('Inputs'!$B$8/2)^2)-(((311-43)*MAX('Inputs'!$B$33,'Inputs'!$B$29+'Inputs'!$B$31+'Inputs'!$B$32,'Inputs'!$B$30+'Inputs'!$B$31+'Inputs'!$B$32)/1000+'Inputs'!$B$21))/SQRT((((311-43)*MAX('Inputs'!$B$33,'Inputs'!$B$29+'Inputs'!$B$31+'Inputs'!$B$32,'Inputs'!$B$30+'Inputs'!$B$31+'Inputs'!$B$32)/1000+'Inputs'!$B$21))^2+('Inputs'!$B$8/2)^2)))-'Results'!B7*(0.5*((((311-43)*MAX('Inputs'!$B$33,'Inputs'!$B$29+'Inputs'!$B$31+'Inputs'!$B$32,'Inputs'!$B$30+'Inputs'!$B$31+'Inputs'!$B$32)/1000+'Inputs'!$B$21+'Inputs'!$B$9+'Inputs'!$B$10)+'Inputs'!$B$7)/SQRT((((311-43)*MAX('Inputs'!$B$33,'Inputs'!$B$29+'Inputs'!$B$31+'Inputs'!$B$32,'Inputs'!$B$30+'Inputs'!$B$31+'Inputs'!$B$32)/1000+'Inputs'!$B$21+'Inputs'!$B$9+'Inputs'!$B$10)+'Inputs'!$B$7)^2+('Inputs'!$B$6/2)^2)-(((311-43)*MAX('Inputs'!$B$33,'Inputs'!$B$29+'Inputs'!$B$31+'Inputs'!$B$32,'Inputs'!$B$30+'Inputs'!$B$31+'Inputs'!$B$32)/1000+'Inputs'!$B$21+'Inputs'!$B$9+'Inputs'!$B$10))/SQRT((((311-43)*MAX('Inputs'!$B$33,'Inputs'!$B$29+'Inputs'!$B$31+'Inputs'!$B$32,'Inputs'!$B$30+'Inputs'!$B$31+'Inputs'!$B$32)/1000+'Inputs'!$B$21+'Inputs'!$B$9+'Inputs'!$B$10))^2+('Inputs'!$B$6/2)^2))))*'Results'!$B$8),"")</x:f>
        <x:v>30.03122988067086</x:v>
      </x:c>
      <x:c r="N311" t="n">
        <x:f>IF(AND(ISNUMBER('Results'!C7),ISNUMBER('Results'!B7),ISNUMBER('Results'!$B$8),ISNUMBER('Inputs'!$B$6),ISNUMBER('Inputs'!$B$7),ISNUMBER('Inputs'!$B$8),ISNUMBER('Inputs'!$B$9),ISNUMBER('Inputs'!$B$10),ISNUMBER('Inputs'!$B$21),ISNUMBER('Inputs'!$B$24),ISNUMBER('Inputs'!$B$28)),((('Results'!C7*(1-'Inputs'!$B$24)*(0.5*((((311-43)*MAX('Inputs'!$B$33,'Inputs'!$B$29+'Inputs'!$B$31+'Inputs'!$B$32,'Inputs'!$B$30+'Inputs'!$B$31+'Inputs'!$B$32)/1000+'Inputs'!$B$21)+'Inputs'!$B$9)/SQRT((((311-43)*MAX('Inputs'!$B$33,'Inputs'!$B$29+'Inputs'!$B$31+'Inputs'!$B$32,'Inputs'!$B$30+'Inputs'!$B$31+'Inputs'!$B$32)/1000+'Inputs'!$B$21)+'Inputs'!$B$9)^2+('Inputs'!$B$8/2)^2)-(((311-43)*MAX('Inputs'!$B$33,'Inputs'!$B$29+'Inputs'!$B$31+'Inputs'!$B$32,'Inputs'!$B$30+'Inputs'!$B$31+'Inputs'!$B$32)/1000+'Inputs'!$B$21))/SQRT((((311-43)*MAX('Inputs'!$B$33,'Inputs'!$B$29+'Inputs'!$B$31+'Inputs'!$B$32,'Inputs'!$B$30+'Inputs'!$B$31+'Inputs'!$B$32)/1000+'Inputs'!$B$21))^2+('Inputs'!$B$8/2)^2)))-'Results'!B7*(1+'Inputs'!$B$24)*(0.5*((((311-43)*MAX('Inputs'!$B$33,'Inputs'!$B$29+'Inputs'!$B$31+'Inputs'!$B$32,'Inputs'!$B$30+'Inputs'!$B$31+'Inputs'!$B$32)/1000+'Inputs'!$B$21+'Inputs'!$B$9+'Inputs'!$B$10)+'Inputs'!$B$7)/SQRT((((311-43)*MAX('Inputs'!$B$33,'Inputs'!$B$29+'Inputs'!$B$31+'Inputs'!$B$32,'Inputs'!$B$30+'Inputs'!$B$31+'Inputs'!$B$32)/1000+'Inputs'!$B$21+'Inputs'!$B$9+'Inputs'!$B$10)+'Inputs'!$B$7)^2+('Inputs'!$B$6/2)^2)-(((311-43)*MAX('Inputs'!$B$33,'Inputs'!$B$29+'Inputs'!$B$31+'Inputs'!$B$32,'Inputs'!$B$30+'Inputs'!$B$31+'Inputs'!$B$32)/1000+'Inputs'!$B$21+'Inputs'!$B$9+'Inputs'!$B$10))/SQRT((((311-43)*MAX('Inputs'!$B$33,'Inputs'!$B$29+'Inputs'!$B$31+'Inputs'!$B$32,'Inputs'!$B$30+'Inputs'!$B$31+'Inputs'!$B$32)/1000+'Inputs'!$B$21+'Inputs'!$B$9+'Inputs'!$B$10))^2+('Inputs'!$B$6/2)^2))))*'Results'!$B$8)-'Inputs'!$B$28*ABS((('Results'!C7*(1-'Inputs'!$B$24)*(0.5*((((311-43)*MAX('Inputs'!$B$33,'Inputs'!$B$29+'Inputs'!$B$31+'Inputs'!$B$32,'Inputs'!$B$30+'Inputs'!$B$31+'Inputs'!$B$32)/1000+'Inputs'!$B$21)+'Inputs'!$B$9)/SQRT((((311-43)*MAX('Inputs'!$B$33,'Inputs'!$B$29+'Inputs'!$B$31+'Inputs'!$B$32,'Inputs'!$B$30+'Inputs'!$B$31+'Inputs'!$B$32)/1000+'Inputs'!$B$21)+'Inputs'!$B$9)^2+('Inputs'!$B$8/2)^2)-(((311-43)*MAX('Inputs'!$B$33,'Inputs'!$B$29+'Inputs'!$B$31+'Inputs'!$B$32,'Inputs'!$B$30+'Inputs'!$B$31+'Inputs'!$B$32)/1000+'Inputs'!$B$21))/SQRT((((311-43)*MAX('Inputs'!$B$33,'Inputs'!$B$29+'Inputs'!$B$31+'Inputs'!$B$32,'Inputs'!$B$30+'Inputs'!$B$31+'Inputs'!$B$32)/1000+'Inputs'!$B$21))^2+('Inputs'!$B$8/2)^2)))-'Results'!B7*(1+'Inputs'!$B$24)*(0.5*((((311-43)*MAX('Inputs'!$B$33,'Inputs'!$B$29+'Inputs'!$B$31+'Inputs'!$B$32,'Inputs'!$B$30+'Inputs'!$B$31+'Inputs'!$B$32)/1000+'Inputs'!$B$21+'Inputs'!$B$9+'Inputs'!$B$10)+'Inputs'!$B$7)/SQRT((((311-43)*MAX('Inputs'!$B$33,'Inputs'!$B$29+'Inputs'!$B$31+'Inputs'!$B$32,'Inputs'!$B$30+'Inputs'!$B$31+'Inputs'!$B$32)/1000+'Inputs'!$B$21+'Inputs'!$B$9+'Inputs'!$B$10)+'Inputs'!$B$7)^2+('Inputs'!$B$6/2)^2)-(((311-43)*MAX('Inputs'!$B$33,'Inputs'!$B$29+'Inputs'!$B$31+'Inputs'!$B$32,'Inputs'!$B$30+'Inputs'!$B$31+'Inputs'!$B$32)/1000+'Inputs'!$B$21+'Inputs'!$B$9+'Inputs'!$B$10))/SQRT((((311-43)*MAX('Inputs'!$B$33,'Inputs'!$B$29+'Inputs'!$B$31+'Inputs'!$B$32,'Inputs'!$B$30+'Inputs'!$B$31+'Inputs'!$B$32)/1000+'Inputs'!$B$21+'Inputs'!$B$9+'Inputs'!$B$10))^2+('Inputs'!$B$6/2)^2))))*'Results'!$B$8))),"")</x:f>
        <x:v>27.223619783016435</x:v>
      </x:c>
      <x:c r="O311" t="n">
        <x:f>IF(AND(ISNUMBER('Results'!C7),ISNUMBER('Results'!B7),ISNUMBER('Results'!$B$8),ISNUMBER('Inputs'!$B$6),ISNUMBER('Inputs'!$B$7),ISNUMBER('Inputs'!$B$8),ISNUMBER('Inputs'!$B$9),ISNUMBER('Inputs'!$B$10),ISNUMBER('Inputs'!$B$21),ISNUMBER('Inputs'!$B$24),ISNUMBER('Inputs'!$B$28)),((('Results'!C7*(1+'Inputs'!$B$24)*(0.5*((((311-43)*MAX('Inputs'!$B$33,'Inputs'!$B$29+'Inputs'!$B$31+'Inputs'!$B$32,'Inputs'!$B$30+'Inputs'!$B$31+'Inputs'!$B$32)/1000+'Inputs'!$B$21)+'Inputs'!$B$9)/SQRT((((311-43)*MAX('Inputs'!$B$33,'Inputs'!$B$29+'Inputs'!$B$31+'Inputs'!$B$32,'Inputs'!$B$30+'Inputs'!$B$31+'Inputs'!$B$32)/1000+'Inputs'!$B$21)+'Inputs'!$B$9)^2+('Inputs'!$B$8/2)^2)-(((311-43)*MAX('Inputs'!$B$33,'Inputs'!$B$29+'Inputs'!$B$31+'Inputs'!$B$32,'Inputs'!$B$30+'Inputs'!$B$31+'Inputs'!$B$32)/1000+'Inputs'!$B$21))/SQRT((((311-43)*MAX('Inputs'!$B$33,'Inputs'!$B$29+'Inputs'!$B$31+'Inputs'!$B$32,'Inputs'!$B$30+'Inputs'!$B$31+'Inputs'!$B$32)/1000+'Inputs'!$B$21))^2+('Inputs'!$B$8/2)^2)))-'Results'!B7*(1-'Inputs'!$B$24)*(0.5*((((311-43)*MAX('Inputs'!$B$33,'Inputs'!$B$29+'Inputs'!$B$31+'Inputs'!$B$32,'Inputs'!$B$30+'Inputs'!$B$31+'Inputs'!$B$32)/1000+'Inputs'!$B$21+'Inputs'!$B$9+'Inputs'!$B$10)+'Inputs'!$B$7)/SQRT((((311-43)*MAX('Inputs'!$B$33,'Inputs'!$B$29+'Inputs'!$B$31+'Inputs'!$B$32,'Inputs'!$B$30+'Inputs'!$B$31+'Inputs'!$B$32)/1000+'Inputs'!$B$21+'Inputs'!$B$9+'Inputs'!$B$10)+'Inputs'!$B$7)^2+('Inputs'!$B$6/2)^2)-(((311-43)*MAX('Inputs'!$B$33,'Inputs'!$B$29+'Inputs'!$B$31+'Inputs'!$B$32,'Inputs'!$B$30+'Inputs'!$B$31+'Inputs'!$B$32)/1000+'Inputs'!$B$21+'Inputs'!$B$9+'Inputs'!$B$10))/SQRT((((311-43)*MAX('Inputs'!$B$33,'Inputs'!$B$29+'Inputs'!$B$31+'Inputs'!$B$32,'Inputs'!$B$30+'Inputs'!$B$31+'Inputs'!$B$32)/1000+'Inputs'!$B$21+'Inputs'!$B$9+'Inputs'!$B$10))^2+('Inputs'!$B$6/2)^2))))*'Results'!$B$8)+'Inputs'!$B$28*ABS((('Results'!C7*(1+'Inputs'!$B$24)*(0.5*((((311-43)*MAX('Inputs'!$B$33,'Inputs'!$B$29+'Inputs'!$B$31+'Inputs'!$B$32,'Inputs'!$B$30+'Inputs'!$B$31+'Inputs'!$B$32)/1000+'Inputs'!$B$21)+'Inputs'!$B$9)/SQRT((((311-43)*MAX('Inputs'!$B$33,'Inputs'!$B$29+'Inputs'!$B$31+'Inputs'!$B$32,'Inputs'!$B$30+'Inputs'!$B$31+'Inputs'!$B$32)/1000+'Inputs'!$B$21)+'Inputs'!$B$9)^2+('Inputs'!$B$8/2)^2)-(((311-43)*MAX('Inputs'!$B$33,'Inputs'!$B$29+'Inputs'!$B$31+'Inputs'!$B$32,'Inputs'!$B$30+'Inputs'!$B$31+'Inputs'!$B$32)/1000+'Inputs'!$B$21))/SQRT((((311-43)*MAX('Inputs'!$B$33,'Inputs'!$B$29+'Inputs'!$B$31+'Inputs'!$B$32,'Inputs'!$B$30+'Inputs'!$B$31+'Inputs'!$B$32)/1000+'Inputs'!$B$21))^2+('Inputs'!$B$8/2)^2)))-'Results'!B7*(1-'Inputs'!$B$24)*(0.5*((((311-43)*MAX('Inputs'!$B$33,'Inputs'!$B$29+'Inputs'!$B$31+'Inputs'!$B$32,'Inputs'!$B$30+'Inputs'!$B$31+'Inputs'!$B$32)/1000+'Inputs'!$B$21+'Inputs'!$B$9+'Inputs'!$B$10)+'Inputs'!$B$7)/SQRT((((311-43)*MAX('Inputs'!$B$33,'Inputs'!$B$29+'Inputs'!$B$31+'Inputs'!$B$32,'Inputs'!$B$30+'Inputs'!$B$31+'Inputs'!$B$32)/1000+'Inputs'!$B$21+'Inputs'!$B$9+'Inputs'!$B$10)+'Inputs'!$B$7)^2+('Inputs'!$B$6/2)^2)-(((311-43)*MAX('Inputs'!$B$33,'Inputs'!$B$29+'Inputs'!$B$31+'Inputs'!$B$32,'Inputs'!$B$30+'Inputs'!$B$31+'Inputs'!$B$32)/1000+'Inputs'!$B$21+'Inputs'!$B$9+'Inputs'!$B$10))/SQRT((((311-43)*MAX('Inputs'!$B$33,'Inputs'!$B$29+'Inputs'!$B$31+'Inputs'!$B$32,'Inputs'!$B$30+'Inputs'!$B$31+'Inputs'!$B$32)/1000+'Inputs'!$B$21+'Inputs'!$B$9+'Inputs'!$B$10))^2+('Inputs'!$B$6/2)^2))))*'Results'!$B$8))),"")</x:f>
        <x:v>32.97631877870643</x:v>
      </x:c>
      <x:c r="P311" t="n">
        <x:f>IF(AND(MAX(J311,J310)&gt;0,J311&gt;J310+0.00000001),1,0)</x:f>
        <x:v>0</x:v>
      </x:c>
      <x:c r="Q311" t="n">
        <x:f>IF(AND(MAX(K311,K310)&gt;0,K311&gt;K310+0.00000001),1,0)</x:f>
        <x:v>0</x:v>
      </x:c>
      <x:c r="R311" t="n">
        <x:f>IF(AND(MAX(L311,L310)&gt;0,L311&gt;L310+0.00000001),1,0)</x:f>
        <x:v>0</x:v>
      </x:c>
      <x:c r="S311" t="n">
        <x:f>IF(AND(MAX(M311,M310)&gt;0,M311&gt;M310+0.00000001),1,0)</x:f>
        <x:v>0</x:v>
      </x:c>
      <x:c r="T311" t="n">
        <x:f>IF(AND(MAX(N311,N310)&gt;0,N311&gt;N310+0.00000001),1,0)</x:f>
        <x:v>0</x:v>
      </x:c>
      <x:c r="U311" t="n">
        <x:f>IF(AND(MAX(O311,O310)&gt;0,O311&gt;O310+0.00000001),1,0)</x:f>
        <x:v>0</x:v>
      </x:c>
    </x:row>
    <x:row r="312">
      <x:c r="J312" t="n">
        <x:f>IF(AND(ISNUMBER('Results'!B7),ISNUMBER('Results'!C7),ISNUMBER('Results'!$B$8),ISNUMBER('Inputs'!$B$6),ISNUMBER('Inputs'!$B$7),ISNUMBER('Inputs'!$B$8),ISNUMBER('Inputs'!$B$9),ISNUMBER('Inputs'!$B$10),ISNUMBER('Inputs'!$B$21),ISNUMBER('Inputs'!$B$24),ISNUMBER('Inputs'!$B$28)),(('Results'!B7*(0.5*((((312-43)*MAX('Inputs'!$B$33,'Inputs'!$B$29+'Inputs'!$B$31+'Inputs'!$B$32,'Inputs'!$B$30+'Inputs'!$B$31+'Inputs'!$B$32)/1000+'Inputs'!$B$21)+'Inputs'!$B$7)/SQRT((((312-43)*MAX('Inputs'!$B$33,'Inputs'!$B$29+'Inputs'!$B$31+'Inputs'!$B$32,'Inputs'!$B$30+'Inputs'!$B$31+'Inputs'!$B$32)/1000+'Inputs'!$B$21)+'Inputs'!$B$7)^2+('Inputs'!$B$6/2)^2)-(((312-43)*MAX('Inputs'!$B$33,'Inputs'!$B$29+'Inputs'!$B$31+'Inputs'!$B$32,'Inputs'!$B$30+'Inputs'!$B$31+'Inputs'!$B$32)/1000+'Inputs'!$B$21))/SQRT((((312-43)*MAX('Inputs'!$B$33,'Inputs'!$B$29+'Inputs'!$B$31+'Inputs'!$B$32,'Inputs'!$B$30+'Inputs'!$B$31+'Inputs'!$B$32)/1000+'Inputs'!$B$21))^2+('Inputs'!$B$6/2)^2)))-'Results'!C7*(0.5*((((312-43)*MAX('Inputs'!$B$33,'Inputs'!$B$29+'Inputs'!$B$31+'Inputs'!$B$32,'Inputs'!$B$30+'Inputs'!$B$31+'Inputs'!$B$32)/1000+'Inputs'!$B$21+'Inputs'!$B$7+'Inputs'!$B$10)+'Inputs'!$B$9)/SQRT((((312-43)*MAX('Inputs'!$B$33,'Inputs'!$B$29+'Inputs'!$B$31+'Inputs'!$B$32,'Inputs'!$B$30+'Inputs'!$B$31+'Inputs'!$B$32)/1000+'Inputs'!$B$21+'Inputs'!$B$7+'Inputs'!$B$10)+'Inputs'!$B$9)^2+('Inputs'!$B$8/2)^2)-(((312-43)*MAX('Inputs'!$B$33,'Inputs'!$B$29+'Inputs'!$B$31+'Inputs'!$B$32,'Inputs'!$B$30+'Inputs'!$B$31+'Inputs'!$B$32)/1000+'Inputs'!$B$21+'Inputs'!$B$7+'Inputs'!$B$10))/SQRT((((312-43)*MAX('Inputs'!$B$33,'Inputs'!$B$29+'Inputs'!$B$31+'Inputs'!$B$32,'Inputs'!$B$30+'Inputs'!$B$31+'Inputs'!$B$32)/1000+'Inputs'!$B$21+'Inputs'!$B$7+'Inputs'!$B$10))^2+('Inputs'!$B$8/2)^2))))*'Results'!$B$8),"")</x:f>
        <x:v>31.07461962228603</x:v>
      </x:c>
      <x:c r="K312" t="n">
        <x:f>IF(AND(ISNUMBER('Results'!B7),ISNUMBER('Results'!C7),ISNUMBER('Results'!$B$8),ISNUMBER('Inputs'!$B$6),ISNUMBER('Inputs'!$B$7),ISNUMBER('Inputs'!$B$8),ISNUMBER('Inputs'!$B$9),ISNUMBER('Inputs'!$B$10),ISNUMBER('Inputs'!$B$21),ISNUMBER('Inputs'!$B$24),ISNUMBER('Inputs'!$B$28)),((('Results'!B7*(1-'Inputs'!$B$24)*(0.5*((((312-43)*MAX('Inputs'!$B$33,'Inputs'!$B$29+'Inputs'!$B$31+'Inputs'!$B$32,'Inputs'!$B$30+'Inputs'!$B$31+'Inputs'!$B$32)/1000+'Inputs'!$B$21)+'Inputs'!$B$7)/SQRT((((312-43)*MAX('Inputs'!$B$33,'Inputs'!$B$29+'Inputs'!$B$31+'Inputs'!$B$32,'Inputs'!$B$30+'Inputs'!$B$31+'Inputs'!$B$32)/1000+'Inputs'!$B$21)+'Inputs'!$B$7)^2+('Inputs'!$B$6/2)^2)-(((312-43)*MAX('Inputs'!$B$33,'Inputs'!$B$29+'Inputs'!$B$31+'Inputs'!$B$32,'Inputs'!$B$30+'Inputs'!$B$31+'Inputs'!$B$32)/1000+'Inputs'!$B$21))/SQRT((((312-43)*MAX('Inputs'!$B$33,'Inputs'!$B$29+'Inputs'!$B$31+'Inputs'!$B$32,'Inputs'!$B$30+'Inputs'!$B$31+'Inputs'!$B$32)/1000+'Inputs'!$B$21))^2+('Inputs'!$B$6/2)^2)))-'Results'!C7*(1+'Inputs'!$B$24)*(0.5*((((312-43)*MAX('Inputs'!$B$33,'Inputs'!$B$29+'Inputs'!$B$31+'Inputs'!$B$32,'Inputs'!$B$30+'Inputs'!$B$31+'Inputs'!$B$32)/1000+'Inputs'!$B$21+'Inputs'!$B$7+'Inputs'!$B$10)+'Inputs'!$B$9)/SQRT((((312-43)*MAX('Inputs'!$B$33,'Inputs'!$B$29+'Inputs'!$B$31+'Inputs'!$B$32,'Inputs'!$B$30+'Inputs'!$B$31+'Inputs'!$B$32)/1000+'Inputs'!$B$21+'Inputs'!$B$7+'Inputs'!$B$10)+'Inputs'!$B$9)^2+('Inputs'!$B$8/2)^2)-(((312-43)*MAX('Inputs'!$B$33,'Inputs'!$B$29+'Inputs'!$B$31+'Inputs'!$B$32,'Inputs'!$B$30+'Inputs'!$B$31+'Inputs'!$B$32)/1000+'Inputs'!$B$21+'Inputs'!$B$7+'Inputs'!$B$10))/SQRT((((312-43)*MAX('Inputs'!$B$33,'Inputs'!$B$29+'Inputs'!$B$31+'Inputs'!$B$32,'Inputs'!$B$30+'Inputs'!$B$31+'Inputs'!$B$32)/1000+'Inputs'!$B$21+'Inputs'!$B$7+'Inputs'!$B$10))^2+('Inputs'!$B$8/2)^2))))*'Results'!$B$8)-'Inputs'!$B$28*ABS((('Results'!B7*(1-'Inputs'!$B$24)*(0.5*((((312-43)*MAX('Inputs'!$B$33,'Inputs'!$B$29+'Inputs'!$B$31+'Inputs'!$B$32,'Inputs'!$B$30+'Inputs'!$B$31+'Inputs'!$B$32)/1000+'Inputs'!$B$21)+'Inputs'!$B$7)/SQRT((((312-43)*MAX('Inputs'!$B$33,'Inputs'!$B$29+'Inputs'!$B$31+'Inputs'!$B$32,'Inputs'!$B$30+'Inputs'!$B$31+'Inputs'!$B$32)/1000+'Inputs'!$B$21)+'Inputs'!$B$7)^2+('Inputs'!$B$6/2)^2)-(((312-43)*MAX('Inputs'!$B$33,'Inputs'!$B$29+'Inputs'!$B$31+'Inputs'!$B$32,'Inputs'!$B$30+'Inputs'!$B$31+'Inputs'!$B$32)/1000+'Inputs'!$B$21))/SQRT((((312-43)*MAX('Inputs'!$B$33,'Inputs'!$B$29+'Inputs'!$B$31+'Inputs'!$B$32,'Inputs'!$B$30+'Inputs'!$B$31+'Inputs'!$B$32)/1000+'Inputs'!$B$21))^2+('Inputs'!$B$6/2)^2)))-'Results'!C7*(1+'Inputs'!$B$24)*(0.5*((((312-43)*MAX('Inputs'!$B$33,'Inputs'!$B$29+'Inputs'!$B$31+'Inputs'!$B$32,'Inputs'!$B$30+'Inputs'!$B$31+'Inputs'!$B$32)/1000+'Inputs'!$B$21+'Inputs'!$B$7+'Inputs'!$B$10)+'Inputs'!$B$9)/SQRT((((312-43)*MAX('Inputs'!$B$33,'Inputs'!$B$29+'Inputs'!$B$31+'Inputs'!$B$32,'Inputs'!$B$30+'Inputs'!$B$31+'Inputs'!$B$32)/1000+'Inputs'!$B$21+'Inputs'!$B$7+'Inputs'!$B$10)+'Inputs'!$B$9)^2+('Inputs'!$B$8/2)^2)-(((312-43)*MAX('Inputs'!$B$33,'Inputs'!$B$29+'Inputs'!$B$31+'Inputs'!$B$32,'Inputs'!$B$30+'Inputs'!$B$31+'Inputs'!$B$32)/1000+'Inputs'!$B$21+'Inputs'!$B$7+'Inputs'!$B$10))/SQRT((((312-43)*MAX('Inputs'!$B$33,'Inputs'!$B$29+'Inputs'!$B$31+'Inputs'!$B$32,'Inputs'!$B$30+'Inputs'!$B$31+'Inputs'!$B$32)/1000+'Inputs'!$B$21+'Inputs'!$B$7+'Inputs'!$B$10))^2+('Inputs'!$B$8/2)^2))))*'Results'!$B$8))),"")</x:f>
        <x:v>28.214885389709096</x:v>
      </x:c>
      <x:c r="L312" t="n">
        <x:f>IF(AND(ISNUMBER('Results'!B7),ISNUMBER('Results'!C7),ISNUMBER('Results'!$B$8),ISNUMBER('Inputs'!$B$6),ISNUMBER('Inputs'!$B$7),ISNUMBER('Inputs'!$B$8),ISNUMBER('Inputs'!$B$9),ISNUMBER('Inputs'!$B$10),ISNUMBER('Inputs'!$B$21),ISNUMBER('Inputs'!$B$24),ISNUMBER('Inputs'!$B$28)),((('Results'!B7*(1+'Inputs'!$B$24)*(0.5*((((312-43)*MAX('Inputs'!$B$33,'Inputs'!$B$29+'Inputs'!$B$31+'Inputs'!$B$32,'Inputs'!$B$30+'Inputs'!$B$31+'Inputs'!$B$32)/1000+'Inputs'!$B$21)+'Inputs'!$B$7)/SQRT((((312-43)*MAX('Inputs'!$B$33,'Inputs'!$B$29+'Inputs'!$B$31+'Inputs'!$B$32,'Inputs'!$B$30+'Inputs'!$B$31+'Inputs'!$B$32)/1000+'Inputs'!$B$21)+'Inputs'!$B$7)^2+('Inputs'!$B$6/2)^2)-(((312-43)*MAX('Inputs'!$B$33,'Inputs'!$B$29+'Inputs'!$B$31+'Inputs'!$B$32,'Inputs'!$B$30+'Inputs'!$B$31+'Inputs'!$B$32)/1000+'Inputs'!$B$21))/SQRT((((312-43)*MAX('Inputs'!$B$33,'Inputs'!$B$29+'Inputs'!$B$31+'Inputs'!$B$32,'Inputs'!$B$30+'Inputs'!$B$31+'Inputs'!$B$32)/1000+'Inputs'!$B$21))^2+('Inputs'!$B$6/2)^2)))-'Results'!C7*(1-'Inputs'!$B$24)*(0.5*((((312-43)*MAX('Inputs'!$B$33,'Inputs'!$B$29+'Inputs'!$B$31+'Inputs'!$B$32,'Inputs'!$B$30+'Inputs'!$B$31+'Inputs'!$B$32)/1000+'Inputs'!$B$21+'Inputs'!$B$7+'Inputs'!$B$10)+'Inputs'!$B$9)/SQRT((((312-43)*MAX('Inputs'!$B$33,'Inputs'!$B$29+'Inputs'!$B$31+'Inputs'!$B$32,'Inputs'!$B$30+'Inputs'!$B$31+'Inputs'!$B$32)/1000+'Inputs'!$B$21+'Inputs'!$B$7+'Inputs'!$B$10)+'Inputs'!$B$9)^2+('Inputs'!$B$8/2)^2)-(((312-43)*MAX('Inputs'!$B$33,'Inputs'!$B$29+'Inputs'!$B$31+'Inputs'!$B$32,'Inputs'!$B$30+'Inputs'!$B$31+'Inputs'!$B$32)/1000+'Inputs'!$B$21+'Inputs'!$B$7+'Inputs'!$B$10))/SQRT((((312-43)*MAX('Inputs'!$B$33,'Inputs'!$B$29+'Inputs'!$B$31+'Inputs'!$B$32,'Inputs'!$B$30+'Inputs'!$B$31+'Inputs'!$B$32)/1000+'Inputs'!$B$21+'Inputs'!$B$7+'Inputs'!$B$10))^2+('Inputs'!$B$8/2)^2))))*'Results'!$B$8)+'Inputs'!$B$28*ABS((('Results'!B7*(1+'Inputs'!$B$24)*(0.5*((((312-43)*MAX('Inputs'!$B$33,'Inputs'!$B$29+'Inputs'!$B$31+'Inputs'!$B$32,'Inputs'!$B$30+'Inputs'!$B$31+'Inputs'!$B$32)/1000+'Inputs'!$B$21)+'Inputs'!$B$7)/SQRT((((312-43)*MAX('Inputs'!$B$33,'Inputs'!$B$29+'Inputs'!$B$31+'Inputs'!$B$32,'Inputs'!$B$30+'Inputs'!$B$31+'Inputs'!$B$32)/1000+'Inputs'!$B$21)+'Inputs'!$B$7)^2+('Inputs'!$B$6/2)^2)-(((312-43)*MAX('Inputs'!$B$33,'Inputs'!$B$29+'Inputs'!$B$31+'Inputs'!$B$32,'Inputs'!$B$30+'Inputs'!$B$31+'Inputs'!$B$32)/1000+'Inputs'!$B$21))/SQRT((((312-43)*MAX('Inputs'!$B$33,'Inputs'!$B$29+'Inputs'!$B$31+'Inputs'!$B$32,'Inputs'!$B$30+'Inputs'!$B$31+'Inputs'!$B$32)/1000+'Inputs'!$B$21))^2+('Inputs'!$B$6/2)^2)))-'Results'!C7*(1-'Inputs'!$B$24)*(0.5*((((312-43)*MAX('Inputs'!$B$33,'Inputs'!$B$29+'Inputs'!$B$31+'Inputs'!$B$32,'Inputs'!$B$30+'Inputs'!$B$31+'Inputs'!$B$32)/1000+'Inputs'!$B$21+'Inputs'!$B$7+'Inputs'!$B$10)+'Inputs'!$B$9)/SQRT((((312-43)*MAX('Inputs'!$B$33,'Inputs'!$B$29+'Inputs'!$B$31+'Inputs'!$B$32,'Inputs'!$B$30+'Inputs'!$B$31+'Inputs'!$B$32)/1000+'Inputs'!$B$21+'Inputs'!$B$7+'Inputs'!$B$10)+'Inputs'!$B$9)^2+('Inputs'!$B$8/2)^2)-(((312-43)*MAX('Inputs'!$B$33,'Inputs'!$B$29+'Inputs'!$B$31+'Inputs'!$B$32,'Inputs'!$B$30+'Inputs'!$B$31+'Inputs'!$B$32)/1000+'Inputs'!$B$21+'Inputs'!$B$7+'Inputs'!$B$10))/SQRT((((312-43)*MAX('Inputs'!$B$33,'Inputs'!$B$29+'Inputs'!$B$31+'Inputs'!$B$32,'Inputs'!$B$30+'Inputs'!$B$31+'Inputs'!$B$32)/1000+'Inputs'!$B$21+'Inputs'!$B$7+'Inputs'!$B$10))^2+('Inputs'!$B$8/2)^2))))*'Results'!$B$8))),"")</x:f>
        <x:v>34.071827881332716</x:v>
      </x:c>
      <x:c r="M312" t="n">
        <x:f>IF(AND(ISNUMBER('Results'!C7),ISNUMBER('Results'!B7),ISNUMBER('Results'!$B$8),ISNUMBER('Inputs'!$B$6),ISNUMBER('Inputs'!$B$7),ISNUMBER('Inputs'!$B$8),ISNUMBER('Inputs'!$B$9),ISNUMBER('Inputs'!$B$10),ISNUMBER('Inputs'!$B$21),ISNUMBER('Inputs'!$B$24),ISNUMBER('Inputs'!$B$28)),(('Results'!C7*(0.5*((((312-43)*MAX('Inputs'!$B$33,'Inputs'!$B$29+'Inputs'!$B$31+'Inputs'!$B$32,'Inputs'!$B$30+'Inputs'!$B$31+'Inputs'!$B$32)/1000+'Inputs'!$B$21)+'Inputs'!$B$9)/SQRT((((312-43)*MAX('Inputs'!$B$33,'Inputs'!$B$29+'Inputs'!$B$31+'Inputs'!$B$32,'Inputs'!$B$30+'Inputs'!$B$31+'Inputs'!$B$32)/1000+'Inputs'!$B$21)+'Inputs'!$B$9)^2+('Inputs'!$B$8/2)^2)-(((312-43)*MAX('Inputs'!$B$33,'Inputs'!$B$29+'Inputs'!$B$31+'Inputs'!$B$32,'Inputs'!$B$30+'Inputs'!$B$31+'Inputs'!$B$32)/1000+'Inputs'!$B$21))/SQRT((((312-43)*MAX('Inputs'!$B$33,'Inputs'!$B$29+'Inputs'!$B$31+'Inputs'!$B$32,'Inputs'!$B$30+'Inputs'!$B$31+'Inputs'!$B$32)/1000+'Inputs'!$B$21))^2+('Inputs'!$B$8/2)^2)))-'Results'!B7*(0.5*((((312-43)*MAX('Inputs'!$B$33,'Inputs'!$B$29+'Inputs'!$B$31+'Inputs'!$B$32,'Inputs'!$B$30+'Inputs'!$B$31+'Inputs'!$B$32)/1000+'Inputs'!$B$21+'Inputs'!$B$9+'Inputs'!$B$10)+'Inputs'!$B$7)/SQRT((((312-43)*MAX('Inputs'!$B$33,'Inputs'!$B$29+'Inputs'!$B$31+'Inputs'!$B$32,'Inputs'!$B$30+'Inputs'!$B$31+'Inputs'!$B$32)/1000+'Inputs'!$B$21+'Inputs'!$B$9+'Inputs'!$B$10)+'Inputs'!$B$7)^2+('Inputs'!$B$6/2)^2)-(((312-43)*MAX('Inputs'!$B$33,'Inputs'!$B$29+'Inputs'!$B$31+'Inputs'!$B$32,'Inputs'!$B$30+'Inputs'!$B$31+'Inputs'!$B$32)/1000+'Inputs'!$B$21+'Inputs'!$B$9+'Inputs'!$B$10))/SQRT((((312-43)*MAX('Inputs'!$B$33,'Inputs'!$B$29+'Inputs'!$B$31+'Inputs'!$B$32,'Inputs'!$B$30+'Inputs'!$B$31+'Inputs'!$B$32)/1000+'Inputs'!$B$21+'Inputs'!$B$9+'Inputs'!$B$10))^2+('Inputs'!$B$6/2)^2))))*'Results'!$B$8),"")</x:f>
        <x:v>29.692193154810447</x:v>
      </x:c>
      <x:c r="N312" t="n">
        <x:f>IF(AND(ISNUMBER('Results'!C7),ISNUMBER('Results'!B7),ISNUMBER('Results'!$B$8),ISNUMBER('Inputs'!$B$6),ISNUMBER('Inputs'!$B$7),ISNUMBER('Inputs'!$B$8),ISNUMBER('Inputs'!$B$9),ISNUMBER('Inputs'!$B$10),ISNUMBER('Inputs'!$B$21),ISNUMBER('Inputs'!$B$24),ISNUMBER('Inputs'!$B$28)),((('Results'!C7*(1-'Inputs'!$B$24)*(0.5*((((312-43)*MAX('Inputs'!$B$33,'Inputs'!$B$29+'Inputs'!$B$31+'Inputs'!$B$32,'Inputs'!$B$30+'Inputs'!$B$31+'Inputs'!$B$32)/1000+'Inputs'!$B$21)+'Inputs'!$B$9)/SQRT((((312-43)*MAX('Inputs'!$B$33,'Inputs'!$B$29+'Inputs'!$B$31+'Inputs'!$B$32,'Inputs'!$B$30+'Inputs'!$B$31+'Inputs'!$B$32)/1000+'Inputs'!$B$21)+'Inputs'!$B$9)^2+('Inputs'!$B$8/2)^2)-(((312-43)*MAX('Inputs'!$B$33,'Inputs'!$B$29+'Inputs'!$B$31+'Inputs'!$B$32,'Inputs'!$B$30+'Inputs'!$B$31+'Inputs'!$B$32)/1000+'Inputs'!$B$21))/SQRT((((312-43)*MAX('Inputs'!$B$33,'Inputs'!$B$29+'Inputs'!$B$31+'Inputs'!$B$32,'Inputs'!$B$30+'Inputs'!$B$31+'Inputs'!$B$32)/1000+'Inputs'!$B$21))^2+('Inputs'!$B$8/2)^2)))-'Results'!B7*(1+'Inputs'!$B$24)*(0.5*((((312-43)*MAX('Inputs'!$B$33,'Inputs'!$B$29+'Inputs'!$B$31+'Inputs'!$B$32,'Inputs'!$B$30+'Inputs'!$B$31+'Inputs'!$B$32)/1000+'Inputs'!$B$21+'Inputs'!$B$9+'Inputs'!$B$10)+'Inputs'!$B$7)/SQRT((((312-43)*MAX('Inputs'!$B$33,'Inputs'!$B$29+'Inputs'!$B$31+'Inputs'!$B$32,'Inputs'!$B$30+'Inputs'!$B$31+'Inputs'!$B$32)/1000+'Inputs'!$B$21+'Inputs'!$B$9+'Inputs'!$B$10)+'Inputs'!$B$7)^2+('Inputs'!$B$6/2)^2)-(((312-43)*MAX('Inputs'!$B$33,'Inputs'!$B$29+'Inputs'!$B$31+'Inputs'!$B$32,'Inputs'!$B$30+'Inputs'!$B$31+'Inputs'!$B$32)/1000+'Inputs'!$B$21+'Inputs'!$B$9+'Inputs'!$B$10))/SQRT((((312-43)*MAX('Inputs'!$B$33,'Inputs'!$B$29+'Inputs'!$B$31+'Inputs'!$B$32,'Inputs'!$B$30+'Inputs'!$B$31+'Inputs'!$B$32)/1000+'Inputs'!$B$21+'Inputs'!$B$9+'Inputs'!$B$10))^2+('Inputs'!$B$6/2)^2))))*'Results'!$B$8)-'Inputs'!$B$28*ABS((('Results'!C7*(1-'Inputs'!$B$24)*(0.5*((((312-43)*MAX('Inputs'!$B$33,'Inputs'!$B$29+'Inputs'!$B$31+'Inputs'!$B$32,'Inputs'!$B$30+'Inputs'!$B$31+'Inputs'!$B$32)/1000+'Inputs'!$B$21)+'Inputs'!$B$9)/SQRT((((312-43)*MAX('Inputs'!$B$33,'Inputs'!$B$29+'Inputs'!$B$31+'Inputs'!$B$32,'Inputs'!$B$30+'Inputs'!$B$31+'Inputs'!$B$32)/1000+'Inputs'!$B$21)+'Inputs'!$B$9)^2+('Inputs'!$B$8/2)^2)-(((312-43)*MAX('Inputs'!$B$33,'Inputs'!$B$29+'Inputs'!$B$31+'Inputs'!$B$32,'Inputs'!$B$30+'Inputs'!$B$31+'Inputs'!$B$32)/1000+'Inputs'!$B$21))/SQRT((((312-43)*MAX('Inputs'!$B$33,'Inputs'!$B$29+'Inputs'!$B$31+'Inputs'!$B$32,'Inputs'!$B$30+'Inputs'!$B$31+'Inputs'!$B$32)/1000+'Inputs'!$B$21))^2+('Inputs'!$B$8/2)^2)))-'Results'!B7*(1+'Inputs'!$B$24)*(0.5*((((312-43)*MAX('Inputs'!$B$33,'Inputs'!$B$29+'Inputs'!$B$31+'Inputs'!$B$32,'Inputs'!$B$30+'Inputs'!$B$31+'Inputs'!$B$32)/1000+'Inputs'!$B$21+'Inputs'!$B$9+'Inputs'!$B$10)+'Inputs'!$B$7)/SQRT((((312-43)*MAX('Inputs'!$B$33,'Inputs'!$B$29+'Inputs'!$B$31+'Inputs'!$B$32,'Inputs'!$B$30+'Inputs'!$B$31+'Inputs'!$B$32)/1000+'Inputs'!$B$21+'Inputs'!$B$9+'Inputs'!$B$10)+'Inputs'!$B$7)^2+('Inputs'!$B$6/2)^2)-(((312-43)*MAX('Inputs'!$B$33,'Inputs'!$B$29+'Inputs'!$B$31+'Inputs'!$B$32,'Inputs'!$B$30+'Inputs'!$B$31+'Inputs'!$B$32)/1000+'Inputs'!$B$21+'Inputs'!$B$9+'Inputs'!$B$10))/SQRT((((312-43)*MAX('Inputs'!$B$33,'Inputs'!$B$29+'Inputs'!$B$31+'Inputs'!$B$32,'Inputs'!$B$30+'Inputs'!$B$31+'Inputs'!$B$32)/1000+'Inputs'!$B$21+'Inputs'!$B$9+'Inputs'!$B$10))^2+('Inputs'!$B$6/2)^2))))*'Results'!$B$8))),"")</x:f>
        <x:v>26.913242563210968</x:v>
      </x:c>
      <x:c r="O312" t="n">
        <x:f>IF(AND(ISNUMBER('Results'!C7),ISNUMBER('Results'!B7),ISNUMBER('Results'!$B$8),ISNUMBER('Inputs'!$B$6),ISNUMBER('Inputs'!$B$7),ISNUMBER('Inputs'!$B$8),ISNUMBER('Inputs'!$B$9),ISNUMBER('Inputs'!$B$10),ISNUMBER('Inputs'!$B$21),ISNUMBER('Inputs'!$B$24),ISNUMBER('Inputs'!$B$28)),((('Results'!C7*(1+'Inputs'!$B$24)*(0.5*((((312-43)*MAX('Inputs'!$B$33,'Inputs'!$B$29+'Inputs'!$B$31+'Inputs'!$B$32,'Inputs'!$B$30+'Inputs'!$B$31+'Inputs'!$B$32)/1000+'Inputs'!$B$21)+'Inputs'!$B$9)/SQRT((((312-43)*MAX('Inputs'!$B$33,'Inputs'!$B$29+'Inputs'!$B$31+'Inputs'!$B$32,'Inputs'!$B$30+'Inputs'!$B$31+'Inputs'!$B$32)/1000+'Inputs'!$B$21)+'Inputs'!$B$9)^2+('Inputs'!$B$8/2)^2)-(((312-43)*MAX('Inputs'!$B$33,'Inputs'!$B$29+'Inputs'!$B$31+'Inputs'!$B$32,'Inputs'!$B$30+'Inputs'!$B$31+'Inputs'!$B$32)/1000+'Inputs'!$B$21))/SQRT((((312-43)*MAX('Inputs'!$B$33,'Inputs'!$B$29+'Inputs'!$B$31+'Inputs'!$B$32,'Inputs'!$B$30+'Inputs'!$B$31+'Inputs'!$B$32)/1000+'Inputs'!$B$21))^2+('Inputs'!$B$8/2)^2)))-'Results'!B7*(1-'Inputs'!$B$24)*(0.5*((((312-43)*MAX('Inputs'!$B$33,'Inputs'!$B$29+'Inputs'!$B$31+'Inputs'!$B$32,'Inputs'!$B$30+'Inputs'!$B$31+'Inputs'!$B$32)/1000+'Inputs'!$B$21+'Inputs'!$B$9+'Inputs'!$B$10)+'Inputs'!$B$7)/SQRT((((312-43)*MAX('Inputs'!$B$33,'Inputs'!$B$29+'Inputs'!$B$31+'Inputs'!$B$32,'Inputs'!$B$30+'Inputs'!$B$31+'Inputs'!$B$32)/1000+'Inputs'!$B$21+'Inputs'!$B$9+'Inputs'!$B$10)+'Inputs'!$B$7)^2+('Inputs'!$B$6/2)^2)-(((312-43)*MAX('Inputs'!$B$33,'Inputs'!$B$29+'Inputs'!$B$31+'Inputs'!$B$32,'Inputs'!$B$30+'Inputs'!$B$31+'Inputs'!$B$32)/1000+'Inputs'!$B$21+'Inputs'!$B$9+'Inputs'!$B$10))/SQRT((((312-43)*MAX('Inputs'!$B$33,'Inputs'!$B$29+'Inputs'!$B$31+'Inputs'!$B$32,'Inputs'!$B$30+'Inputs'!$B$31+'Inputs'!$B$32)/1000+'Inputs'!$B$21+'Inputs'!$B$9+'Inputs'!$B$10))^2+('Inputs'!$B$6/2)^2))))*'Results'!$B$8)+'Inputs'!$B$28*ABS((('Results'!C7*(1+'Inputs'!$B$24)*(0.5*((((312-43)*MAX('Inputs'!$B$33,'Inputs'!$B$29+'Inputs'!$B$31+'Inputs'!$B$32,'Inputs'!$B$30+'Inputs'!$B$31+'Inputs'!$B$32)/1000+'Inputs'!$B$21)+'Inputs'!$B$9)/SQRT((((312-43)*MAX('Inputs'!$B$33,'Inputs'!$B$29+'Inputs'!$B$31+'Inputs'!$B$32,'Inputs'!$B$30+'Inputs'!$B$31+'Inputs'!$B$32)/1000+'Inputs'!$B$21)+'Inputs'!$B$9)^2+('Inputs'!$B$8/2)^2)-(((312-43)*MAX('Inputs'!$B$33,'Inputs'!$B$29+'Inputs'!$B$31+'Inputs'!$B$32,'Inputs'!$B$30+'Inputs'!$B$31+'Inputs'!$B$32)/1000+'Inputs'!$B$21))/SQRT((((312-43)*MAX('Inputs'!$B$33,'Inputs'!$B$29+'Inputs'!$B$31+'Inputs'!$B$32,'Inputs'!$B$30+'Inputs'!$B$31+'Inputs'!$B$32)/1000+'Inputs'!$B$21))^2+('Inputs'!$B$8/2)^2)))-'Results'!B7*(1-'Inputs'!$B$24)*(0.5*((((312-43)*MAX('Inputs'!$B$33,'Inputs'!$B$29+'Inputs'!$B$31+'Inputs'!$B$32,'Inputs'!$B$30+'Inputs'!$B$31+'Inputs'!$B$32)/1000+'Inputs'!$B$21+'Inputs'!$B$9+'Inputs'!$B$10)+'Inputs'!$B$7)/SQRT((((312-43)*MAX('Inputs'!$B$33,'Inputs'!$B$29+'Inputs'!$B$31+'Inputs'!$B$32,'Inputs'!$B$30+'Inputs'!$B$31+'Inputs'!$B$32)/1000+'Inputs'!$B$21+'Inputs'!$B$9+'Inputs'!$B$10)+'Inputs'!$B$7)^2+('Inputs'!$B$6/2)^2)-(((312-43)*MAX('Inputs'!$B$33,'Inputs'!$B$29+'Inputs'!$B$31+'Inputs'!$B$32,'Inputs'!$B$30+'Inputs'!$B$31+'Inputs'!$B$32)/1000+'Inputs'!$B$21+'Inputs'!$B$9+'Inputs'!$B$10))/SQRT((((312-43)*MAX('Inputs'!$B$33,'Inputs'!$B$29+'Inputs'!$B$31+'Inputs'!$B$32,'Inputs'!$B$30+'Inputs'!$B$31+'Inputs'!$B$32)/1000+'Inputs'!$B$21+'Inputs'!$B$9+'Inputs'!$B$10))^2+('Inputs'!$B$6/2)^2))))*'Results'!$B$8))),"")</x:f>
        <x:v>32.60739016050033</x:v>
      </x:c>
      <x:c r="P312" t="n">
        <x:f>IF(AND(MAX(J312,J311)&gt;0,J312&gt;J311+0.00000001),1,0)</x:f>
        <x:v>0</x:v>
      </x:c>
      <x:c r="Q312" t="n">
        <x:f>IF(AND(MAX(K312,K311)&gt;0,K312&gt;K311+0.00000001),1,0)</x:f>
        <x:v>0</x:v>
      </x:c>
      <x:c r="R312" t="n">
        <x:f>IF(AND(MAX(L312,L311)&gt;0,L312&gt;L311+0.00000001),1,0)</x:f>
        <x:v>0</x:v>
      </x:c>
      <x:c r="S312" t="n">
        <x:f>IF(AND(MAX(M312,M311)&gt;0,M312&gt;M311+0.00000001),1,0)</x:f>
        <x:v>0</x:v>
      </x:c>
      <x:c r="T312" t="n">
        <x:f>IF(AND(MAX(N312,N311)&gt;0,N312&gt;N311+0.00000001),1,0)</x:f>
        <x:v>0</x:v>
      </x:c>
      <x:c r="U312" t="n">
        <x:f>IF(AND(MAX(O312,O311)&gt;0,O312&gt;O311+0.00000001),1,0)</x:f>
        <x:v>0</x:v>
      </x:c>
    </x:row>
    <x:row r="313">
      <x:c r="J313" t="n">
        <x:f>IF(AND(ISNUMBER('Results'!B7),ISNUMBER('Results'!C7),ISNUMBER('Results'!$B$8),ISNUMBER('Inputs'!$B$6),ISNUMBER('Inputs'!$B$7),ISNUMBER('Inputs'!$B$8),ISNUMBER('Inputs'!$B$9),ISNUMBER('Inputs'!$B$10),ISNUMBER('Inputs'!$B$21),ISNUMBER('Inputs'!$B$24),ISNUMBER('Inputs'!$B$28)),(('Results'!B7*(0.5*((((313-43)*MAX('Inputs'!$B$33,'Inputs'!$B$29+'Inputs'!$B$31+'Inputs'!$B$32,'Inputs'!$B$30+'Inputs'!$B$31+'Inputs'!$B$32)/1000+'Inputs'!$B$21)+'Inputs'!$B$7)/SQRT((((313-43)*MAX('Inputs'!$B$33,'Inputs'!$B$29+'Inputs'!$B$31+'Inputs'!$B$32,'Inputs'!$B$30+'Inputs'!$B$31+'Inputs'!$B$32)/1000+'Inputs'!$B$21)+'Inputs'!$B$7)^2+('Inputs'!$B$6/2)^2)-(((313-43)*MAX('Inputs'!$B$33,'Inputs'!$B$29+'Inputs'!$B$31+'Inputs'!$B$32,'Inputs'!$B$30+'Inputs'!$B$31+'Inputs'!$B$32)/1000+'Inputs'!$B$21))/SQRT((((313-43)*MAX('Inputs'!$B$33,'Inputs'!$B$29+'Inputs'!$B$31+'Inputs'!$B$32,'Inputs'!$B$30+'Inputs'!$B$31+'Inputs'!$B$32)/1000+'Inputs'!$B$21))^2+('Inputs'!$B$6/2)^2)))-'Results'!C7*(0.5*((((313-43)*MAX('Inputs'!$B$33,'Inputs'!$B$29+'Inputs'!$B$31+'Inputs'!$B$32,'Inputs'!$B$30+'Inputs'!$B$31+'Inputs'!$B$32)/1000+'Inputs'!$B$21+'Inputs'!$B$7+'Inputs'!$B$10)+'Inputs'!$B$9)/SQRT((((313-43)*MAX('Inputs'!$B$33,'Inputs'!$B$29+'Inputs'!$B$31+'Inputs'!$B$32,'Inputs'!$B$30+'Inputs'!$B$31+'Inputs'!$B$32)/1000+'Inputs'!$B$21+'Inputs'!$B$7+'Inputs'!$B$10)+'Inputs'!$B$9)^2+('Inputs'!$B$8/2)^2)-(((313-43)*MAX('Inputs'!$B$33,'Inputs'!$B$29+'Inputs'!$B$31+'Inputs'!$B$32,'Inputs'!$B$30+'Inputs'!$B$31+'Inputs'!$B$32)/1000+'Inputs'!$B$21+'Inputs'!$B$7+'Inputs'!$B$10))/SQRT((((313-43)*MAX('Inputs'!$B$33,'Inputs'!$B$29+'Inputs'!$B$31+'Inputs'!$B$32,'Inputs'!$B$30+'Inputs'!$B$31+'Inputs'!$B$32)/1000+'Inputs'!$B$21+'Inputs'!$B$7+'Inputs'!$B$10))^2+('Inputs'!$B$8/2)^2))))*'Results'!$B$8),"")</x:f>
        <x:v>30.72793459944246</x:v>
      </x:c>
      <x:c r="K313" t="n">
        <x:f>IF(AND(ISNUMBER('Results'!B7),ISNUMBER('Results'!C7),ISNUMBER('Results'!$B$8),ISNUMBER('Inputs'!$B$6),ISNUMBER('Inputs'!$B$7),ISNUMBER('Inputs'!$B$8),ISNUMBER('Inputs'!$B$9),ISNUMBER('Inputs'!$B$10),ISNUMBER('Inputs'!$B$21),ISNUMBER('Inputs'!$B$24),ISNUMBER('Inputs'!$B$28)),((('Results'!B7*(1-'Inputs'!$B$24)*(0.5*((((313-43)*MAX('Inputs'!$B$33,'Inputs'!$B$29+'Inputs'!$B$31+'Inputs'!$B$32,'Inputs'!$B$30+'Inputs'!$B$31+'Inputs'!$B$32)/1000+'Inputs'!$B$21)+'Inputs'!$B$7)/SQRT((((313-43)*MAX('Inputs'!$B$33,'Inputs'!$B$29+'Inputs'!$B$31+'Inputs'!$B$32,'Inputs'!$B$30+'Inputs'!$B$31+'Inputs'!$B$32)/1000+'Inputs'!$B$21)+'Inputs'!$B$7)^2+('Inputs'!$B$6/2)^2)-(((313-43)*MAX('Inputs'!$B$33,'Inputs'!$B$29+'Inputs'!$B$31+'Inputs'!$B$32,'Inputs'!$B$30+'Inputs'!$B$31+'Inputs'!$B$32)/1000+'Inputs'!$B$21))/SQRT((((313-43)*MAX('Inputs'!$B$33,'Inputs'!$B$29+'Inputs'!$B$31+'Inputs'!$B$32,'Inputs'!$B$30+'Inputs'!$B$31+'Inputs'!$B$32)/1000+'Inputs'!$B$21))^2+('Inputs'!$B$6/2)^2)))-'Results'!C7*(1+'Inputs'!$B$24)*(0.5*((((313-43)*MAX('Inputs'!$B$33,'Inputs'!$B$29+'Inputs'!$B$31+'Inputs'!$B$32,'Inputs'!$B$30+'Inputs'!$B$31+'Inputs'!$B$32)/1000+'Inputs'!$B$21+'Inputs'!$B$7+'Inputs'!$B$10)+'Inputs'!$B$9)/SQRT((((313-43)*MAX('Inputs'!$B$33,'Inputs'!$B$29+'Inputs'!$B$31+'Inputs'!$B$32,'Inputs'!$B$30+'Inputs'!$B$31+'Inputs'!$B$32)/1000+'Inputs'!$B$21+'Inputs'!$B$7+'Inputs'!$B$10)+'Inputs'!$B$9)^2+('Inputs'!$B$8/2)^2)-(((313-43)*MAX('Inputs'!$B$33,'Inputs'!$B$29+'Inputs'!$B$31+'Inputs'!$B$32,'Inputs'!$B$30+'Inputs'!$B$31+'Inputs'!$B$32)/1000+'Inputs'!$B$21+'Inputs'!$B$7+'Inputs'!$B$10))/SQRT((((313-43)*MAX('Inputs'!$B$33,'Inputs'!$B$29+'Inputs'!$B$31+'Inputs'!$B$32,'Inputs'!$B$30+'Inputs'!$B$31+'Inputs'!$B$32)/1000+'Inputs'!$B$21+'Inputs'!$B$7+'Inputs'!$B$10))^2+('Inputs'!$B$8/2)^2))))*'Results'!$B$8)-'Inputs'!$B$28*ABS((('Results'!B7*(1-'Inputs'!$B$24)*(0.5*((((313-43)*MAX('Inputs'!$B$33,'Inputs'!$B$29+'Inputs'!$B$31+'Inputs'!$B$32,'Inputs'!$B$30+'Inputs'!$B$31+'Inputs'!$B$32)/1000+'Inputs'!$B$21)+'Inputs'!$B$7)/SQRT((((313-43)*MAX('Inputs'!$B$33,'Inputs'!$B$29+'Inputs'!$B$31+'Inputs'!$B$32,'Inputs'!$B$30+'Inputs'!$B$31+'Inputs'!$B$32)/1000+'Inputs'!$B$21)+'Inputs'!$B$7)^2+('Inputs'!$B$6/2)^2)-(((313-43)*MAX('Inputs'!$B$33,'Inputs'!$B$29+'Inputs'!$B$31+'Inputs'!$B$32,'Inputs'!$B$30+'Inputs'!$B$31+'Inputs'!$B$32)/1000+'Inputs'!$B$21))/SQRT((((313-43)*MAX('Inputs'!$B$33,'Inputs'!$B$29+'Inputs'!$B$31+'Inputs'!$B$32,'Inputs'!$B$30+'Inputs'!$B$31+'Inputs'!$B$32)/1000+'Inputs'!$B$21))^2+('Inputs'!$B$6/2)^2)))-'Results'!C7*(1+'Inputs'!$B$24)*(0.5*((((313-43)*MAX('Inputs'!$B$33,'Inputs'!$B$29+'Inputs'!$B$31+'Inputs'!$B$32,'Inputs'!$B$30+'Inputs'!$B$31+'Inputs'!$B$32)/1000+'Inputs'!$B$21+'Inputs'!$B$7+'Inputs'!$B$10)+'Inputs'!$B$9)/SQRT((((313-43)*MAX('Inputs'!$B$33,'Inputs'!$B$29+'Inputs'!$B$31+'Inputs'!$B$32,'Inputs'!$B$30+'Inputs'!$B$31+'Inputs'!$B$32)/1000+'Inputs'!$B$21+'Inputs'!$B$7+'Inputs'!$B$10)+'Inputs'!$B$9)^2+('Inputs'!$B$8/2)^2)-(((313-43)*MAX('Inputs'!$B$33,'Inputs'!$B$29+'Inputs'!$B$31+'Inputs'!$B$32,'Inputs'!$B$30+'Inputs'!$B$31+'Inputs'!$B$32)/1000+'Inputs'!$B$21+'Inputs'!$B$7+'Inputs'!$B$10))/SQRT((((313-43)*MAX('Inputs'!$B$33,'Inputs'!$B$29+'Inputs'!$B$31+'Inputs'!$B$32,'Inputs'!$B$30+'Inputs'!$B$31+'Inputs'!$B$32)/1000+'Inputs'!$B$21+'Inputs'!$B$7+'Inputs'!$B$10))^2+('Inputs'!$B$8/2)^2))))*'Results'!$B$8))),"")</x:f>
        <x:v>27.89723357774789</x:v>
      </x:c>
      <x:c r="L313" t="n">
        <x:f>IF(AND(ISNUMBER('Results'!B7),ISNUMBER('Results'!C7),ISNUMBER('Results'!$B$8),ISNUMBER('Inputs'!$B$6),ISNUMBER('Inputs'!$B$7),ISNUMBER('Inputs'!$B$8),ISNUMBER('Inputs'!$B$9),ISNUMBER('Inputs'!$B$10),ISNUMBER('Inputs'!$B$21),ISNUMBER('Inputs'!$B$24),ISNUMBER('Inputs'!$B$28)),((('Results'!B7*(1+'Inputs'!$B$24)*(0.5*((((313-43)*MAX('Inputs'!$B$33,'Inputs'!$B$29+'Inputs'!$B$31+'Inputs'!$B$32,'Inputs'!$B$30+'Inputs'!$B$31+'Inputs'!$B$32)/1000+'Inputs'!$B$21)+'Inputs'!$B$7)/SQRT((((313-43)*MAX('Inputs'!$B$33,'Inputs'!$B$29+'Inputs'!$B$31+'Inputs'!$B$32,'Inputs'!$B$30+'Inputs'!$B$31+'Inputs'!$B$32)/1000+'Inputs'!$B$21)+'Inputs'!$B$7)^2+('Inputs'!$B$6/2)^2)-(((313-43)*MAX('Inputs'!$B$33,'Inputs'!$B$29+'Inputs'!$B$31+'Inputs'!$B$32,'Inputs'!$B$30+'Inputs'!$B$31+'Inputs'!$B$32)/1000+'Inputs'!$B$21))/SQRT((((313-43)*MAX('Inputs'!$B$33,'Inputs'!$B$29+'Inputs'!$B$31+'Inputs'!$B$32,'Inputs'!$B$30+'Inputs'!$B$31+'Inputs'!$B$32)/1000+'Inputs'!$B$21))^2+('Inputs'!$B$6/2)^2)))-'Results'!C7*(1-'Inputs'!$B$24)*(0.5*((((313-43)*MAX('Inputs'!$B$33,'Inputs'!$B$29+'Inputs'!$B$31+'Inputs'!$B$32,'Inputs'!$B$30+'Inputs'!$B$31+'Inputs'!$B$32)/1000+'Inputs'!$B$21+'Inputs'!$B$7+'Inputs'!$B$10)+'Inputs'!$B$9)/SQRT((((313-43)*MAX('Inputs'!$B$33,'Inputs'!$B$29+'Inputs'!$B$31+'Inputs'!$B$32,'Inputs'!$B$30+'Inputs'!$B$31+'Inputs'!$B$32)/1000+'Inputs'!$B$21+'Inputs'!$B$7+'Inputs'!$B$10)+'Inputs'!$B$9)^2+('Inputs'!$B$8/2)^2)-(((313-43)*MAX('Inputs'!$B$33,'Inputs'!$B$29+'Inputs'!$B$31+'Inputs'!$B$32,'Inputs'!$B$30+'Inputs'!$B$31+'Inputs'!$B$32)/1000+'Inputs'!$B$21+'Inputs'!$B$7+'Inputs'!$B$10))/SQRT((((313-43)*MAX('Inputs'!$B$33,'Inputs'!$B$29+'Inputs'!$B$31+'Inputs'!$B$32,'Inputs'!$B$30+'Inputs'!$B$31+'Inputs'!$B$32)/1000+'Inputs'!$B$21+'Inputs'!$B$7+'Inputs'!$B$10))^2+('Inputs'!$B$8/2)^2))))*'Results'!$B$8)+'Inputs'!$B$28*ABS((('Results'!B7*(1+'Inputs'!$B$24)*(0.5*((((313-43)*MAX('Inputs'!$B$33,'Inputs'!$B$29+'Inputs'!$B$31+'Inputs'!$B$32,'Inputs'!$B$30+'Inputs'!$B$31+'Inputs'!$B$32)/1000+'Inputs'!$B$21)+'Inputs'!$B$7)/SQRT((((313-43)*MAX('Inputs'!$B$33,'Inputs'!$B$29+'Inputs'!$B$31+'Inputs'!$B$32,'Inputs'!$B$30+'Inputs'!$B$31+'Inputs'!$B$32)/1000+'Inputs'!$B$21)+'Inputs'!$B$7)^2+('Inputs'!$B$6/2)^2)-(((313-43)*MAX('Inputs'!$B$33,'Inputs'!$B$29+'Inputs'!$B$31+'Inputs'!$B$32,'Inputs'!$B$30+'Inputs'!$B$31+'Inputs'!$B$32)/1000+'Inputs'!$B$21))/SQRT((((313-43)*MAX('Inputs'!$B$33,'Inputs'!$B$29+'Inputs'!$B$31+'Inputs'!$B$32,'Inputs'!$B$30+'Inputs'!$B$31+'Inputs'!$B$32)/1000+'Inputs'!$B$21))^2+('Inputs'!$B$6/2)^2)))-'Results'!C7*(1-'Inputs'!$B$24)*(0.5*((((313-43)*MAX('Inputs'!$B$33,'Inputs'!$B$29+'Inputs'!$B$31+'Inputs'!$B$32,'Inputs'!$B$30+'Inputs'!$B$31+'Inputs'!$B$32)/1000+'Inputs'!$B$21+'Inputs'!$B$7+'Inputs'!$B$10)+'Inputs'!$B$9)/SQRT((((313-43)*MAX('Inputs'!$B$33,'Inputs'!$B$29+'Inputs'!$B$31+'Inputs'!$B$32,'Inputs'!$B$30+'Inputs'!$B$31+'Inputs'!$B$32)/1000+'Inputs'!$B$21+'Inputs'!$B$7+'Inputs'!$B$10)+'Inputs'!$B$9)^2+('Inputs'!$B$8/2)^2)-(((313-43)*MAX('Inputs'!$B$33,'Inputs'!$B$29+'Inputs'!$B$31+'Inputs'!$B$32,'Inputs'!$B$30+'Inputs'!$B$31+'Inputs'!$B$32)/1000+'Inputs'!$B$21+'Inputs'!$B$7+'Inputs'!$B$10))/SQRT((((313-43)*MAX('Inputs'!$B$33,'Inputs'!$B$29+'Inputs'!$B$31+'Inputs'!$B$32,'Inputs'!$B$30+'Inputs'!$B$31+'Inputs'!$B$32)/1000+'Inputs'!$B$21+'Inputs'!$B$7+'Inputs'!$B$10))^2+('Inputs'!$B$8/2)^2))))*'Results'!$B$8))),"")</x:f>
        <x:v>33.69487817816043</x:v>
      </x:c>
      <x:c r="M313" t="n">
        <x:f>IF(AND(ISNUMBER('Results'!C7),ISNUMBER('Results'!B7),ISNUMBER('Results'!$B$8),ISNUMBER('Inputs'!$B$6),ISNUMBER('Inputs'!$B$7),ISNUMBER('Inputs'!$B$8),ISNUMBER('Inputs'!$B$9),ISNUMBER('Inputs'!$B$10),ISNUMBER('Inputs'!$B$21),ISNUMBER('Inputs'!$B$24),ISNUMBER('Inputs'!$B$28)),(('Results'!C7*(0.5*((((313-43)*MAX('Inputs'!$B$33,'Inputs'!$B$29+'Inputs'!$B$31+'Inputs'!$B$32,'Inputs'!$B$30+'Inputs'!$B$31+'Inputs'!$B$32)/1000+'Inputs'!$B$21)+'Inputs'!$B$9)/SQRT((((313-43)*MAX('Inputs'!$B$33,'Inputs'!$B$29+'Inputs'!$B$31+'Inputs'!$B$32,'Inputs'!$B$30+'Inputs'!$B$31+'Inputs'!$B$32)/1000+'Inputs'!$B$21)+'Inputs'!$B$9)^2+('Inputs'!$B$8/2)^2)-(((313-43)*MAX('Inputs'!$B$33,'Inputs'!$B$29+'Inputs'!$B$31+'Inputs'!$B$32,'Inputs'!$B$30+'Inputs'!$B$31+'Inputs'!$B$32)/1000+'Inputs'!$B$21))/SQRT((((313-43)*MAX('Inputs'!$B$33,'Inputs'!$B$29+'Inputs'!$B$31+'Inputs'!$B$32,'Inputs'!$B$30+'Inputs'!$B$31+'Inputs'!$B$32)/1000+'Inputs'!$B$21))^2+('Inputs'!$B$8/2)^2)))-'Results'!B7*(0.5*((((313-43)*MAX('Inputs'!$B$33,'Inputs'!$B$29+'Inputs'!$B$31+'Inputs'!$B$32,'Inputs'!$B$30+'Inputs'!$B$31+'Inputs'!$B$32)/1000+'Inputs'!$B$21+'Inputs'!$B$9+'Inputs'!$B$10)+'Inputs'!$B$7)/SQRT((((313-43)*MAX('Inputs'!$B$33,'Inputs'!$B$29+'Inputs'!$B$31+'Inputs'!$B$32,'Inputs'!$B$30+'Inputs'!$B$31+'Inputs'!$B$32)/1000+'Inputs'!$B$21+'Inputs'!$B$9+'Inputs'!$B$10)+'Inputs'!$B$7)^2+('Inputs'!$B$6/2)^2)-(((313-43)*MAX('Inputs'!$B$33,'Inputs'!$B$29+'Inputs'!$B$31+'Inputs'!$B$32,'Inputs'!$B$30+'Inputs'!$B$31+'Inputs'!$B$32)/1000+'Inputs'!$B$21+'Inputs'!$B$9+'Inputs'!$B$10))/SQRT((((313-43)*MAX('Inputs'!$B$33,'Inputs'!$B$29+'Inputs'!$B$31+'Inputs'!$B$32,'Inputs'!$B$30+'Inputs'!$B$31+'Inputs'!$B$32)/1000+'Inputs'!$B$21+'Inputs'!$B$9+'Inputs'!$B$10))^2+('Inputs'!$B$6/2)^2))))*'Results'!$B$8),"")</x:f>
        <x:v>29.35787773453233</x:v>
      </x:c>
      <x:c r="N313" t="n">
        <x:f>IF(AND(ISNUMBER('Results'!C7),ISNUMBER('Results'!B7),ISNUMBER('Results'!$B$8),ISNUMBER('Inputs'!$B$6),ISNUMBER('Inputs'!$B$7),ISNUMBER('Inputs'!$B$8),ISNUMBER('Inputs'!$B$9),ISNUMBER('Inputs'!$B$10),ISNUMBER('Inputs'!$B$21),ISNUMBER('Inputs'!$B$24),ISNUMBER('Inputs'!$B$28)),((('Results'!C7*(1-'Inputs'!$B$24)*(0.5*((((313-43)*MAX('Inputs'!$B$33,'Inputs'!$B$29+'Inputs'!$B$31+'Inputs'!$B$32,'Inputs'!$B$30+'Inputs'!$B$31+'Inputs'!$B$32)/1000+'Inputs'!$B$21)+'Inputs'!$B$9)/SQRT((((313-43)*MAX('Inputs'!$B$33,'Inputs'!$B$29+'Inputs'!$B$31+'Inputs'!$B$32,'Inputs'!$B$30+'Inputs'!$B$31+'Inputs'!$B$32)/1000+'Inputs'!$B$21)+'Inputs'!$B$9)^2+('Inputs'!$B$8/2)^2)-(((313-43)*MAX('Inputs'!$B$33,'Inputs'!$B$29+'Inputs'!$B$31+'Inputs'!$B$32,'Inputs'!$B$30+'Inputs'!$B$31+'Inputs'!$B$32)/1000+'Inputs'!$B$21))/SQRT((((313-43)*MAX('Inputs'!$B$33,'Inputs'!$B$29+'Inputs'!$B$31+'Inputs'!$B$32,'Inputs'!$B$30+'Inputs'!$B$31+'Inputs'!$B$32)/1000+'Inputs'!$B$21))^2+('Inputs'!$B$8/2)^2)))-'Results'!B7*(1+'Inputs'!$B$24)*(0.5*((((313-43)*MAX('Inputs'!$B$33,'Inputs'!$B$29+'Inputs'!$B$31+'Inputs'!$B$32,'Inputs'!$B$30+'Inputs'!$B$31+'Inputs'!$B$32)/1000+'Inputs'!$B$21+'Inputs'!$B$9+'Inputs'!$B$10)+'Inputs'!$B$7)/SQRT((((313-43)*MAX('Inputs'!$B$33,'Inputs'!$B$29+'Inputs'!$B$31+'Inputs'!$B$32,'Inputs'!$B$30+'Inputs'!$B$31+'Inputs'!$B$32)/1000+'Inputs'!$B$21+'Inputs'!$B$9+'Inputs'!$B$10)+'Inputs'!$B$7)^2+('Inputs'!$B$6/2)^2)-(((313-43)*MAX('Inputs'!$B$33,'Inputs'!$B$29+'Inputs'!$B$31+'Inputs'!$B$32,'Inputs'!$B$30+'Inputs'!$B$31+'Inputs'!$B$32)/1000+'Inputs'!$B$21+'Inputs'!$B$9+'Inputs'!$B$10))/SQRT((((313-43)*MAX('Inputs'!$B$33,'Inputs'!$B$29+'Inputs'!$B$31+'Inputs'!$B$32,'Inputs'!$B$30+'Inputs'!$B$31+'Inputs'!$B$32)/1000+'Inputs'!$B$21+'Inputs'!$B$9+'Inputs'!$B$10))^2+('Inputs'!$B$6/2)^2))))*'Results'!$B$8)-'Inputs'!$B$28*ABS((('Results'!C7*(1-'Inputs'!$B$24)*(0.5*((((313-43)*MAX('Inputs'!$B$33,'Inputs'!$B$29+'Inputs'!$B$31+'Inputs'!$B$32,'Inputs'!$B$30+'Inputs'!$B$31+'Inputs'!$B$32)/1000+'Inputs'!$B$21)+'Inputs'!$B$9)/SQRT((((313-43)*MAX('Inputs'!$B$33,'Inputs'!$B$29+'Inputs'!$B$31+'Inputs'!$B$32,'Inputs'!$B$30+'Inputs'!$B$31+'Inputs'!$B$32)/1000+'Inputs'!$B$21)+'Inputs'!$B$9)^2+('Inputs'!$B$8/2)^2)-(((313-43)*MAX('Inputs'!$B$33,'Inputs'!$B$29+'Inputs'!$B$31+'Inputs'!$B$32,'Inputs'!$B$30+'Inputs'!$B$31+'Inputs'!$B$32)/1000+'Inputs'!$B$21))/SQRT((((313-43)*MAX('Inputs'!$B$33,'Inputs'!$B$29+'Inputs'!$B$31+'Inputs'!$B$32,'Inputs'!$B$30+'Inputs'!$B$31+'Inputs'!$B$32)/1000+'Inputs'!$B$21))^2+('Inputs'!$B$8/2)^2)))-'Results'!B7*(1+'Inputs'!$B$24)*(0.5*((((313-43)*MAX('Inputs'!$B$33,'Inputs'!$B$29+'Inputs'!$B$31+'Inputs'!$B$32,'Inputs'!$B$30+'Inputs'!$B$31+'Inputs'!$B$32)/1000+'Inputs'!$B$21+'Inputs'!$B$9+'Inputs'!$B$10)+'Inputs'!$B$7)/SQRT((((313-43)*MAX('Inputs'!$B$33,'Inputs'!$B$29+'Inputs'!$B$31+'Inputs'!$B$32,'Inputs'!$B$30+'Inputs'!$B$31+'Inputs'!$B$32)/1000+'Inputs'!$B$21+'Inputs'!$B$9+'Inputs'!$B$10)+'Inputs'!$B$7)^2+('Inputs'!$B$6/2)^2)-(((313-43)*MAX('Inputs'!$B$33,'Inputs'!$B$29+'Inputs'!$B$31+'Inputs'!$B$32,'Inputs'!$B$30+'Inputs'!$B$31+'Inputs'!$B$32)/1000+'Inputs'!$B$21+'Inputs'!$B$9+'Inputs'!$B$10))/SQRT((((313-43)*MAX('Inputs'!$B$33,'Inputs'!$B$29+'Inputs'!$B$31+'Inputs'!$B$32,'Inputs'!$B$30+'Inputs'!$B$31+'Inputs'!$B$32)/1000+'Inputs'!$B$21+'Inputs'!$B$9+'Inputs'!$B$10))^2+('Inputs'!$B$6/2)^2))))*'Results'!$B$8))),"")</x:f>
        <x:v>26.607211176632216</x:v>
      </x:c>
      <x:c r="O313" t="n">
        <x:f>IF(AND(ISNUMBER('Results'!C7),ISNUMBER('Results'!B7),ISNUMBER('Results'!$B$8),ISNUMBER('Inputs'!$B$6),ISNUMBER('Inputs'!$B$7),ISNUMBER('Inputs'!$B$8),ISNUMBER('Inputs'!$B$9),ISNUMBER('Inputs'!$B$10),ISNUMBER('Inputs'!$B$21),ISNUMBER('Inputs'!$B$24),ISNUMBER('Inputs'!$B$28)),((('Results'!C7*(1+'Inputs'!$B$24)*(0.5*((((313-43)*MAX('Inputs'!$B$33,'Inputs'!$B$29+'Inputs'!$B$31+'Inputs'!$B$32,'Inputs'!$B$30+'Inputs'!$B$31+'Inputs'!$B$32)/1000+'Inputs'!$B$21)+'Inputs'!$B$9)/SQRT((((313-43)*MAX('Inputs'!$B$33,'Inputs'!$B$29+'Inputs'!$B$31+'Inputs'!$B$32,'Inputs'!$B$30+'Inputs'!$B$31+'Inputs'!$B$32)/1000+'Inputs'!$B$21)+'Inputs'!$B$9)^2+('Inputs'!$B$8/2)^2)-(((313-43)*MAX('Inputs'!$B$33,'Inputs'!$B$29+'Inputs'!$B$31+'Inputs'!$B$32,'Inputs'!$B$30+'Inputs'!$B$31+'Inputs'!$B$32)/1000+'Inputs'!$B$21))/SQRT((((313-43)*MAX('Inputs'!$B$33,'Inputs'!$B$29+'Inputs'!$B$31+'Inputs'!$B$32,'Inputs'!$B$30+'Inputs'!$B$31+'Inputs'!$B$32)/1000+'Inputs'!$B$21))^2+('Inputs'!$B$8/2)^2)))-'Results'!B7*(1-'Inputs'!$B$24)*(0.5*((((313-43)*MAX('Inputs'!$B$33,'Inputs'!$B$29+'Inputs'!$B$31+'Inputs'!$B$32,'Inputs'!$B$30+'Inputs'!$B$31+'Inputs'!$B$32)/1000+'Inputs'!$B$21+'Inputs'!$B$9+'Inputs'!$B$10)+'Inputs'!$B$7)/SQRT((((313-43)*MAX('Inputs'!$B$33,'Inputs'!$B$29+'Inputs'!$B$31+'Inputs'!$B$32,'Inputs'!$B$30+'Inputs'!$B$31+'Inputs'!$B$32)/1000+'Inputs'!$B$21+'Inputs'!$B$9+'Inputs'!$B$10)+'Inputs'!$B$7)^2+('Inputs'!$B$6/2)^2)-(((313-43)*MAX('Inputs'!$B$33,'Inputs'!$B$29+'Inputs'!$B$31+'Inputs'!$B$32,'Inputs'!$B$30+'Inputs'!$B$31+'Inputs'!$B$32)/1000+'Inputs'!$B$21+'Inputs'!$B$9+'Inputs'!$B$10))/SQRT((((313-43)*MAX('Inputs'!$B$33,'Inputs'!$B$29+'Inputs'!$B$31+'Inputs'!$B$32,'Inputs'!$B$30+'Inputs'!$B$31+'Inputs'!$B$32)/1000+'Inputs'!$B$21+'Inputs'!$B$9+'Inputs'!$B$10))^2+('Inputs'!$B$6/2)^2))))*'Results'!$B$8)+'Inputs'!$B$28*ABS((('Results'!C7*(1+'Inputs'!$B$24)*(0.5*((((313-43)*MAX('Inputs'!$B$33,'Inputs'!$B$29+'Inputs'!$B$31+'Inputs'!$B$32,'Inputs'!$B$30+'Inputs'!$B$31+'Inputs'!$B$32)/1000+'Inputs'!$B$21)+'Inputs'!$B$9)/SQRT((((313-43)*MAX('Inputs'!$B$33,'Inputs'!$B$29+'Inputs'!$B$31+'Inputs'!$B$32,'Inputs'!$B$30+'Inputs'!$B$31+'Inputs'!$B$32)/1000+'Inputs'!$B$21)+'Inputs'!$B$9)^2+('Inputs'!$B$8/2)^2)-(((313-43)*MAX('Inputs'!$B$33,'Inputs'!$B$29+'Inputs'!$B$31+'Inputs'!$B$32,'Inputs'!$B$30+'Inputs'!$B$31+'Inputs'!$B$32)/1000+'Inputs'!$B$21))/SQRT((((313-43)*MAX('Inputs'!$B$33,'Inputs'!$B$29+'Inputs'!$B$31+'Inputs'!$B$32,'Inputs'!$B$30+'Inputs'!$B$31+'Inputs'!$B$32)/1000+'Inputs'!$B$21))^2+('Inputs'!$B$8/2)^2)))-'Results'!B7*(1-'Inputs'!$B$24)*(0.5*((((313-43)*MAX('Inputs'!$B$33,'Inputs'!$B$29+'Inputs'!$B$31+'Inputs'!$B$32,'Inputs'!$B$30+'Inputs'!$B$31+'Inputs'!$B$32)/1000+'Inputs'!$B$21+'Inputs'!$B$9+'Inputs'!$B$10)+'Inputs'!$B$7)/SQRT((((313-43)*MAX('Inputs'!$B$33,'Inputs'!$B$29+'Inputs'!$B$31+'Inputs'!$B$32,'Inputs'!$B$30+'Inputs'!$B$31+'Inputs'!$B$32)/1000+'Inputs'!$B$21+'Inputs'!$B$9+'Inputs'!$B$10)+'Inputs'!$B$7)^2+('Inputs'!$B$6/2)^2)-(((313-43)*MAX('Inputs'!$B$33,'Inputs'!$B$29+'Inputs'!$B$31+'Inputs'!$B$32,'Inputs'!$B$30+'Inputs'!$B$31+'Inputs'!$B$32)/1000+'Inputs'!$B$21+'Inputs'!$B$9+'Inputs'!$B$10))/SQRT((((313-43)*MAX('Inputs'!$B$33,'Inputs'!$B$29+'Inputs'!$B$31+'Inputs'!$B$32,'Inputs'!$B$30+'Inputs'!$B$31+'Inputs'!$B$32)/1000+'Inputs'!$B$21+'Inputs'!$B$9+'Inputs'!$B$10))^2+('Inputs'!$B$6/2)^2))))*'Results'!$B$8))),"")</x:f>
        <x:v>32.24357299466124</x:v>
      </x:c>
      <x:c r="P313" t="n">
        <x:f>IF(AND(MAX(J313,J312)&gt;0,J313&gt;J312+0.00000001),1,0)</x:f>
        <x:v>0</x:v>
      </x:c>
      <x:c r="Q313" t="n">
        <x:f>IF(AND(MAX(K313,K312)&gt;0,K313&gt;K312+0.00000001),1,0)</x:f>
        <x:v>0</x:v>
      </x:c>
      <x:c r="R313" t="n">
        <x:f>IF(AND(MAX(L313,L312)&gt;0,L313&gt;L312+0.00000001),1,0)</x:f>
        <x:v>0</x:v>
      </x:c>
      <x:c r="S313" t="n">
        <x:f>IF(AND(MAX(M313,M312)&gt;0,M313&gt;M312+0.00000001),1,0)</x:f>
        <x:v>0</x:v>
      </x:c>
      <x:c r="T313" t="n">
        <x:f>IF(AND(MAX(N313,N312)&gt;0,N313&gt;N312+0.00000001),1,0)</x:f>
        <x:v>0</x:v>
      </x:c>
      <x:c r="U313" t="n">
        <x:f>IF(AND(MAX(O313,O312)&gt;0,O313&gt;O312+0.00000001),1,0)</x:f>
        <x:v>0</x:v>
      </x:c>
    </x:row>
    <x:row r="314">
      <x:c r="J314" t="n">
        <x:f>IF(AND(ISNUMBER('Results'!B7),ISNUMBER('Results'!C7),ISNUMBER('Results'!$B$8),ISNUMBER('Inputs'!$B$6),ISNUMBER('Inputs'!$B$7),ISNUMBER('Inputs'!$B$8),ISNUMBER('Inputs'!$B$9),ISNUMBER('Inputs'!$B$10),ISNUMBER('Inputs'!$B$21),ISNUMBER('Inputs'!$B$24),ISNUMBER('Inputs'!$B$28)),(('Results'!B7*(0.5*((((314-43)*MAX('Inputs'!$B$33,'Inputs'!$B$29+'Inputs'!$B$31+'Inputs'!$B$32,'Inputs'!$B$30+'Inputs'!$B$31+'Inputs'!$B$32)/1000+'Inputs'!$B$21)+'Inputs'!$B$7)/SQRT((((314-43)*MAX('Inputs'!$B$33,'Inputs'!$B$29+'Inputs'!$B$31+'Inputs'!$B$32,'Inputs'!$B$30+'Inputs'!$B$31+'Inputs'!$B$32)/1000+'Inputs'!$B$21)+'Inputs'!$B$7)^2+('Inputs'!$B$6/2)^2)-(((314-43)*MAX('Inputs'!$B$33,'Inputs'!$B$29+'Inputs'!$B$31+'Inputs'!$B$32,'Inputs'!$B$30+'Inputs'!$B$31+'Inputs'!$B$32)/1000+'Inputs'!$B$21))/SQRT((((314-43)*MAX('Inputs'!$B$33,'Inputs'!$B$29+'Inputs'!$B$31+'Inputs'!$B$32,'Inputs'!$B$30+'Inputs'!$B$31+'Inputs'!$B$32)/1000+'Inputs'!$B$21))^2+('Inputs'!$B$6/2)^2)))-'Results'!C7*(0.5*((((314-43)*MAX('Inputs'!$B$33,'Inputs'!$B$29+'Inputs'!$B$31+'Inputs'!$B$32,'Inputs'!$B$30+'Inputs'!$B$31+'Inputs'!$B$32)/1000+'Inputs'!$B$21+'Inputs'!$B$7+'Inputs'!$B$10)+'Inputs'!$B$9)/SQRT((((314-43)*MAX('Inputs'!$B$33,'Inputs'!$B$29+'Inputs'!$B$31+'Inputs'!$B$32,'Inputs'!$B$30+'Inputs'!$B$31+'Inputs'!$B$32)/1000+'Inputs'!$B$21+'Inputs'!$B$7+'Inputs'!$B$10)+'Inputs'!$B$9)^2+('Inputs'!$B$8/2)^2)-(((314-43)*MAX('Inputs'!$B$33,'Inputs'!$B$29+'Inputs'!$B$31+'Inputs'!$B$32,'Inputs'!$B$30+'Inputs'!$B$31+'Inputs'!$B$32)/1000+'Inputs'!$B$21+'Inputs'!$B$7+'Inputs'!$B$10))/SQRT((((314-43)*MAX('Inputs'!$B$33,'Inputs'!$B$29+'Inputs'!$B$31+'Inputs'!$B$32,'Inputs'!$B$30+'Inputs'!$B$31+'Inputs'!$B$32)/1000+'Inputs'!$B$21+'Inputs'!$B$7+'Inputs'!$B$10))^2+('Inputs'!$B$8/2)^2))))*'Results'!$B$8),"")</x:f>
        <x:v>30.38604010206022</x:v>
      </x:c>
      <x:c r="K314" t="n">
        <x:f>IF(AND(ISNUMBER('Results'!B7),ISNUMBER('Results'!C7),ISNUMBER('Results'!$B$8),ISNUMBER('Inputs'!$B$6),ISNUMBER('Inputs'!$B$7),ISNUMBER('Inputs'!$B$8),ISNUMBER('Inputs'!$B$9),ISNUMBER('Inputs'!$B$10),ISNUMBER('Inputs'!$B$21),ISNUMBER('Inputs'!$B$24),ISNUMBER('Inputs'!$B$28)),((('Results'!B7*(1-'Inputs'!$B$24)*(0.5*((((314-43)*MAX('Inputs'!$B$33,'Inputs'!$B$29+'Inputs'!$B$31+'Inputs'!$B$32,'Inputs'!$B$30+'Inputs'!$B$31+'Inputs'!$B$32)/1000+'Inputs'!$B$21)+'Inputs'!$B$7)/SQRT((((314-43)*MAX('Inputs'!$B$33,'Inputs'!$B$29+'Inputs'!$B$31+'Inputs'!$B$32,'Inputs'!$B$30+'Inputs'!$B$31+'Inputs'!$B$32)/1000+'Inputs'!$B$21)+'Inputs'!$B$7)^2+('Inputs'!$B$6/2)^2)-(((314-43)*MAX('Inputs'!$B$33,'Inputs'!$B$29+'Inputs'!$B$31+'Inputs'!$B$32,'Inputs'!$B$30+'Inputs'!$B$31+'Inputs'!$B$32)/1000+'Inputs'!$B$21))/SQRT((((314-43)*MAX('Inputs'!$B$33,'Inputs'!$B$29+'Inputs'!$B$31+'Inputs'!$B$32,'Inputs'!$B$30+'Inputs'!$B$31+'Inputs'!$B$32)/1000+'Inputs'!$B$21))^2+('Inputs'!$B$6/2)^2)))-'Results'!C7*(1+'Inputs'!$B$24)*(0.5*((((314-43)*MAX('Inputs'!$B$33,'Inputs'!$B$29+'Inputs'!$B$31+'Inputs'!$B$32,'Inputs'!$B$30+'Inputs'!$B$31+'Inputs'!$B$32)/1000+'Inputs'!$B$21+'Inputs'!$B$7+'Inputs'!$B$10)+'Inputs'!$B$9)/SQRT((((314-43)*MAX('Inputs'!$B$33,'Inputs'!$B$29+'Inputs'!$B$31+'Inputs'!$B$32,'Inputs'!$B$30+'Inputs'!$B$31+'Inputs'!$B$32)/1000+'Inputs'!$B$21+'Inputs'!$B$7+'Inputs'!$B$10)+'Inputs'!$B$9)^2+('Inputs'!$B$8/2)^2)-(((314-43)*MAX('Inputs'!$B$33,'Inputs'!$B$29+'Inputs'!$B$31+'Inputs'!$B$32,'Inputs'!$B$30+'Inputs'!$B$31+'Inputs'!$B$32)/1000+'Inputs'!$B$21+'Inputs'!$B$7+'Inputs'!$B$10))/SQRT((((314-43)*MAX('Inputs'!$B$33,'Inputs'!$B$29+'Inputs'!$B$31+'Inputs'!$B$32,'Inputs'!$B$30+'Inputs'!$B$31+'Inputs'!$B$32)/1000+'Inputs'!$B$21+'Inputs'!$B$7+'Inputs'!$B$10))^2+('Inputs'!$B$8/2)^2))))*'Results'!$B$8)-'Inputs'!$B$28*ABS((('Results'!B7*(1-'Inputs'!$B$24)*(0.5*((((314-43)*MAX('Inputs'!$B$33,'Inputs'!$B$29+'Inputs'!$B$31+'Inputs'!$B$32,'Inputs'!$B$30+'Inputs'!$B$31+'Inputs'!$B$32)/1000+'Inputs'!$B$21)+'Inputs'!$B$7)/SQRT((((314-43)*MAX('Inputs'!$B$33,'Inputs'!$B$29+'Inputs'!$B$31+'Inputs'!$B$32,'Inputs'!$B$30+'Inputs'!$B$31+'Inputs'!$B$32)/1000+'Inputs'!$B$21)+'Inputs'!$B$7)^2+('Inputs'!$B$6/2)^2)-(((314-43)*MAX('Inputs'!$B$33,'Inputs'!$B$29+'Inputs'!$B$31+'Inputs'!$B$32,'Inputs'!$B$30+'Inputs'!$B$31+'Inputs'!$B$32)/1000+'Inputs'!$B$21))/SQRT((((314-43)*MAX('Inputs'!$B$33,'Inputs'!$B$29+'Inputs'!$B$31+'Inputs'!$B$32,'Inputs'!$B$30+'Inputs'!$B$31+'Inputs'!$B$32)/1000+'Inputs'!$B$21))^2+('Inputs'!$B$6/2)^2)))-'Results'!C7*(1+'Inputs'!$B$24)*(0.5*((((314-43)*MAX('Inputs'!$B$33,'Inputs'!$B$29+'Inputs'!$B$31+'Inputs'!$B$32,'Inputs'!$B$30+'Inputs'!$B$31+'Inputs'!$B$32)/1000+'Inputs'!$B$21+'Inputs'!$B$7+'Inputs'!$B$10)+'Inputs'!$B$9)/SQRT((((314-43)*MAX('Inputs'!$B$33,'Inputs'!$B$29+'Inputs'!$B$31+'Inputs'!$B$32,'Inputs'!$B$30+'Inputs'!$B$31+'Inputs'!$B$32)/1000+'Inputs'!$B$21+'Inputs'!$B$7+'Inputs'!$B$10)+'Inputs'!$B$9)^2+('Inputs'!$B$8/2)^2)-(((314-43)*MAX('Inputs'!$B$33,'Inputs'!$B$29+'Inputs'!$B$31+'Inputs'!$B$32,'Inputs'!$B$30+'Inputs'!$B$31+'Inputs'!$B$32)/1000+'Inputs'!$B$21+'Inputs'!$B$7+'Inputs'!$B$10))/SQRT((((314-43)*MAX('Inputs'!$B$33,'Inputs'!$B$29+'Inputs'!$B$31+'Inputs'!$B$32,'Inputs'!$B$30+'Inputs'!$B$31+'Inputs'!$B$32)/1000+'Inputs'!$B$21+'Inputs'!$B$7+'Inputs'!$B$10))^2+('Inputs'!$B$8/2)^2))))*'Results'!$B$8))),"")</x:f>
        <x:v>27.583993604744453</x:v>
      </x:c>
      <x:c r="L314" t="n">
        <x:f>IF(AND(ISNUMBER('Results'!B7),ISNUMBER('Results'!C7),ISNUMBER('Results'!$B$8),ISNUMBER('Inputs'!$B$6),ISNUMBER('Inputs'!$B$7),ISNUMBER('Inputs'!$B$8),ISNUMBER('Inputs'!$B$9),ISNUMBER('Inputs'!$B$10),ISNUMBER('Inputs'!$B$21),ISNUMBER('Inputs'!$B$24),ISNUMBER('Inputs'!$B$28)),((('Results'!B7*(1+'Inputs'!$B$24)*(0.5*((((314-43)*MAX('Inputs'!$B$33,'Inputs'!$B$29+'Inputs'!$B$31+'Inputs'!$B$32,'Inputs'!$B$30+'Inputs'!$B$31+'Inputs'!$B$32)/1000+'Inputs'!$B$21)+'Inputs'!$B$7)/SQRT((((314-43)*MAX('Inputs'!$B$33,'Inputs'!$B$29+'Inputs'!$B$31+'Inputs'!$B$32,'Inputs'!$B$30+'Inputs'!$B$31+'Inputs'!$B$32)/1000+'Inputs'!$B$21)+'Inputs'!$B$7)^2+('Inputs'!$B$6/2)^2)-(((314-43)*MAX('Inputs'!$B$33,'Inputs'!$B$29+'Inputs'!$B$31+'Inputs'!$B$32,'Inputs'!$B$30+'Inputs'!$B$31+'Inputs'!$B$32)/1000+'Inputs'!$B$21))/SQRT((((314-43)*MAX('Inputs'!$B$33,'Inputs'!$B$29+'Inputs'!$B$31+'Inputs'!$B$32,'Inputs'!$B$30+'Inputs'!$B$31+'Inputs'!$B$32)/1000+'Inputs'!$B$21))^2+('Inputs'!$B$6/2)^2)))-'Results'!C7*(1-'Inputs'!$B$24)*(0.5*((((314-43)*MAX('Inputs'!$B$33,'Inputs'!$B$29+'Inputs'!$B$31+'Inputs'!$B$32,'Inputs'!$B$30+'Inputs'!$B$31+'Inputs'!$B$32)/1000+'Inputs'!$B$21+'Inputs'!$B$7+'Inputs'!$B$10)+'Inputs'!$B$9)/SQRT((((314-43)*MAX('Inputs'!$B$33,'Inputs'!$B$29+'Inputs'!$B$31+'Inputs'!$B$32,'Inputs'!$B$30+'Inputs'!$B$31+'Inputs'!$B$32)/1000+'Inputs'!$B$21+'Inputs'!$B$7+'Inputs'!$B$10)+'Inputs'!$B$9)^2+('Inputs'!$B$8/2)^2)-(((314-43)*MAX('Inputs'!$B$33,'Inputs'!$B$29+'Inputs'!$B$31+'Inputs'!$B$32,'Inputs'!$B$30+'Inputs'!$B$31+'Inputs'!$B$32)/1000+'Inputs'!$B$21+'Inputs'!$B$7+'Inputs'!$B$10))/SQRT((((314-43)*MAX('Inputs'!$B$33,'Inputs'!$B$29+'Inputs'!$B$31+'Inputs'!$B$32,'Inputs'!$B$30+'Inputs'!$B$31+'Inputs'!$B$32)/1000+'Inputs'!$B$21+'Inputs'!$B$7+'Inputs'!$B$10))^2+('Inputs'!$B$8/2)^2))))*'Results'!$B$8)+'Inputs'!$B$28*ABS((('Results'!B7*(1+'Inputs'!$B$24)*(0.5*((((314-43)*MAX('Inputs'!$B$33,'Inputs'!$B$29+'Inputs'!$B$31+'Inputs'!$B$32,'Inputs'!$B$30+'Inputs'!$B$31+'Inputs'!$B$32)/1000+'Inputs'!$B$21)+'Inputs'!$B$7)/SQRT((((314-43)*MAX('Inputs'!$B$33,'Inputs'!$B$29+'Inputs'!$B$31+'Inputs'!$B$32,'Inputs'!$B$30+'Inputs'!$B$31+'Inputs'!$B$32)/1000+'Inputs'!$B$21)+'Inputs'!$B$7)^2+('Inputs'!$B$6/2)^2)-(((314-43)*MAX('Inputs'!$B$33,'Inputs'!$B$29+'Inputs'!$B$31+'Inputs'!$B$32,'Inputs'!$B$30+'Inputs'!$B$31+'Inputs'!$B$32)/1000+'Inputs'!$B$21))/SQRT((((314-43)*MAX('Inputs'!$B$33,'Inputs'!$B$29+'Inputs'!$B$31+'Inputs'!$B$32,'Inputs'!$B$30+'Inputs'!$B$31+'Inputs'!$B$32)/1000+'Inputs'!$B$21))^2+('Inputs'!$B$6/2)^2)))-'Results'!C7*(1-'Inputs'!$B$24)*(0.5*((((314-43)*MAX('Inputs'!$B$33,'Inputs'!$B$29+'Inputs'!$B$31+'Inputs'!$B$32,'Inputs'!$B$30+'Inputs'!$B$31+'Inputs'!$B$32)/1000+'Inputs'!$B$21+'Inputs'!$B$7+'Inputs'!$B$10)+'Inputs'!$B$9)/SQRT((((314-43)*MAX('Inputs'!$B$33,'Inputs'!$B$29+'Inputs'!$B$31+'Inputs'!$B$32,'Inputs'!$B$30+'Inputs'!$B$31+'Inputs'!$B$32)/1000+'Inputs'!$B$21+'Inputs'!$B$7+'Inputs'!$B$10)+'Inputs'!$B$9)^2+('Inputs'!$B$8/2)^2)-(((314-43)*MAX('Inputs'!$B$33,'Inputs'!$B$29+'Inputs'!$B$31+'Inputs'!$B$32,'Inputs'!$B$30+'Inputs'!$B$31+'Inputs'!$B$32)/1000+'Inputs'!$B$21+'Inputs'!$B$7+'Inputs'!$B$10))/SQRT((((314-43)*MAX('Inputs'!$B$33,'Inputs'!$B$29+'Inputs'!$B$31+'Inputs'!$B$32,'Inputs'!$B$30+'Inputs'!$B$31+'Inputs'!$B$32)/1000+'Inputs'!$B$21+'Inputs'!$B$7+'Inputs'!$B$10))^2+('Inputs'!$B$8/2)^2))))*'Results'!$B$8))),"")</x:f>
        <x:v>33.32311233539839</x:v>
      </x:c>
      <x:c r="M314" t="n">
        <x:f>IF(AND(ISNUMBER('Results'!C7),ISNUMBER('Results'!B7),ISNUMBER('Results'!$B$8),ISNUMBER('Inputs'!$B$6),ISNUMBER('Inputs'!$B$7),ISNUMBER('Inputs'!$B$8),ISNUMBER('Inputs'!$B$9),ISNUMBER('Inputs'!$B$10),ISNUMBER('Inputs'!$B$21),ISNUMBER('Inputs'!$B$24),ISNUMBER('Inputs'!$B$28)),(('Results'!C7*(0.5*((((314-43)*MAX('Inputs'!$B$33,'Inputs'!$B$29+'Inputs'!$B$31+'Inputs'!$B$32,'Inputs'!$B$30+'Inputs'!$B$31+'Inputs'!$B$32)/1000+'Inputs'!$B$21)+'Inputs'!$B$9)/SQRT((((314-43)*MAX('Inputs'!$B$33,'Inputs'!$B$29+'Inputs'!$B$31+'Inputs'!$B$32,'Inputs'!$B$30+'Inputs'!$B$31+'Inputs'!$B$32)/1000+'Inputs'!$B$21)+'Inputs'!$B$9)^2+('Inputs'!$B$8/2)^2)-(((314-43)*MAX('Inputs'!$B$33,'Inputs'!$B$29+'Inputs'!$B$31+'Inputs'!$B$32,'Inputs'!$B$30+'Inputs'!$B$31+'Inputs'!$B$32)/1000+'Inputs'!$B$21))/SQRT((((314-43)*MAX('Inputs'!$B$33,'Inputs'!$B$29+'Inputs'!$B$31+'Inputs'!$B$32,'Inputs'!$B$30+'Inputs'!$B$31+'Inputs'!$B$32)/1000+'Inputs'!$B$21))^2+('Inputs'!$B$8/2)^2)))-'Results'!B7*(0.5*((((314-43)*MAX('Inputs'!$B$33,'Inputs'!$B$29+'Inputs'!$B$31+'Inputs'!$B$32,'Inputs'!$B$30+'Inputs'!$B$31+'Inputs'!$B$32)/1000+'Inputs'!$B$21+'Inputs'!$B$9+'Inputs'!$B$10)+'Inputs'!$B$7)/SQRT((((314-43)*MAX('Inputs'!$B$33,'Inputs'!$B$29+'Inputs'!$B$31+'Inputs'!$B$32,'Inputs'!$B$30+'Inputs'!$B$31+'Inputs'!$B$32)/1000+'Inputs'!$B$21+'Inputs'!$B$9+'Inputs'!$B$10)+'Inputs'!$B$7)^2+('Inputs'!$B$6/2)^2)-(((314-43)*MAX('Inputs'!$B$33,'Inputs'!$B$29+'Inputs'!$B$31+'Inputs'!$B$32,'Inputs'!$B$30+'Inputs'!$B$31+'Inputs'!$B$32)/1000+'Inputs'!$B$21+'Inputs'!$B$9+'Inputs'!$B$10))/SQRT((((314-43)*MAX('Inputs'!$B$33,'Inputs'!$B$29+'Inputs'!$B$31+'Inputs'!$B$32,'Inputs'!$B$30+'Inputs'!$B$31+'Inputs'!$B$32)/1000+'Inputs'!$B$21+'Inputs'!$B$9+'Inputs'!$B$10))^2+('Inputs'!$B$6/2)^2))))*'Results'!$B$8),"")</x:f>
        <x:v>29.028205838181346</x:v>
      </x:c>
      <x:c r="N314" t="n">
        <x:f>IF(AND(ISNUMBER('Results'!C7),ISNUMBER('Results'!B7),ISNUMBER('Results'!$B$8),ISNUMBER('Inputs'!$B$6),ISNUMBER('Inputs'!$B$7),ISNUMBER('Inputs'!$B$8),ISNUMBER('Inputs'!$B$9),ISNUMBER('Inputs'!$B$10),ISNUMBER('Inputs'!$B$21),ISNUMBER('Inputs'!$B$24),ISNUMBER('Inputs'!$B$28)),((('Results'!C7*(1-'Inputs'!$B$24)*(0.5*((((314-43)*MAX('Inputs'!$B$33,'Inputs'!$B$29+'Inputs'!$B$31+'Inputs'!$B$32,'Inputs'!$B$30+'Inputs'!$B$31+'Inputs'!$B$32)/1000+'Inputs'!$B$21)+'Inputs'!$B$9)/SQRT((((314-43)*MAX('Inputs'!$B$33,'Inputs'!$B$29+'Inputs'!$B$31+'Inputs'!$B$32,'Inputs'!$B$30+'Inputs'!$B$31+'Inputs'!$B$32)/1000+'Inputs'!$B$21)+'Inputs'!$B$9)^2+('Inputs'!$B$8/2)^2)-(((314-43)*MAX('Inputs'!$B$33,'Inputs'!$B$29+'Inputs'!$B$31+'Inputs'!$B$32,'Inputs'!$B$30+'Inputs'!$B$31+'Inputs'!$B$32)/1000+'Inputs'!$B$21))/SQRT((((314-43)*MAX('Inputs'!$B$33,'Inputs'!$B$29+'Inputs'!$B$31+'Inputs'!$B$32,'Inputs'!$B$30+'Inputs'!$B$31+'Inputs'!$B$32)/1000+'Inputs'!$B$21))^2+('Inputs'!$B$8/2)^2)))-'Results'!B7*(1+'Inputs'!$B$24)*(0.5*((((314-43)*MAX('Inputs'!$B$33,'Inputs'!$B$29+'Inputs'!$B$31+'Inputs'!$B$32,'Inputs'!$B$30+'Inputs'!$B$31+'Inputs'!$B$32)/1000+'Inputs'!$B$21+'Inputs'!$B$9+'Inputs'!$B$10)+'Inputs'!$B$7)/SQRT((((314-43)*MAX('Inputs'!$B$33,'Inputs'!$B$29+'Inputs'!$B$31+'Inputs'!$B$32,'Inputs'!$B$30+'Inputs'!$B$31+'Inputs'!$B$32)/1000+'Inputs'!$B$21+'Inputs'!$B$9+'Inputs'!$B$10)+'Inputs'!$B$7)^2+('Inputs'!$B$6/2)^2)-(((314-43)*MAX('Inputs'!$B$33,'Inputs'!$B$29+'Inputs'!$B$31+'Inputs'!$B$32,'Inputs'!$B$30+'Inputs'!$B$31+'Inputs'!$B$32)/1000+'Inputs'!$B$21+'Inputs'!$B$9+'Inputs'!$B$10))/SQRT((((314-43)*MAX('Inputs'!$B$33,'Inputs'!$B$29+'Inputs'!$B$31+'Inputs'!$B$32,'Inputs'!$B$30+'Inputs'!$B$31+'Inputs'!$B$32)/1000+'Inputs'!$B$21+'Inputs'!$B$9+'Inputs'!$B$10))^2+('Inputs'!$B$6/2)^2))))*'Results'!$B$8)-'Inputs'!$B$28*ABS((('Results'!C7*(1-'Inputs'!$B$24)*(0.5*((((314-43)*MAX('Inputs'!$B$33,'Inputs'!$B$29+'Inputs'!$B$31+'Inputs'!$B$32,'Inputs'!$B$30+'Inputs'!$B$31+'Inputs'!$B$32)/1000+'Inputs'!$B$21)+'Inputs'!$B$9)/SQRT((((314-43)*MAX('Inputs'!$B$33,'Inputs'!$B$29+'Inputs'!$B$31+'Inputs'!$B$32,'Inputs'!$B$30+'Inputs'!$B$31+'Inputs'!$B$32)/1000+'Inputs'!$B$21)+'Inputs'!$B$9)^2+('Inputs'!$B$8/2)^2)-(((314-43)*MAX('Inputs'!$B$33,'Inputs'!$B$29+'Inputs'!$B$31+'Inputs'!$B$32,'Inputs'!$B$30+'Inputs'!$B$31+'Inputs'!$B$32)/1000+'Inputs'!$B$21))/SQRT((((314-43)*MAX('Inputs'!$B$33,'Inputs'!$B$29+'Inputs'!$B$31+'Inputs'!$B$32,'Inputs'!$B$30+'Inputs'!$B$31+'Inputs'!$B$32)/1000+'Inputs'!$B$21))^2+('Inputs'!$B$8/2)^2)))-'Results'!B7*(1+'Inputs'!$B$24)*(0.5*((((314-43)*MAX('Inputs'!$B$33,'Inputs'!$B$29+'Inputs'!$B$31+'Inputs'!$B$32,'Inputs'!$B$30+'Inputs'!$B$31+'Inputs'!$B$32)/1000+'Inputs'!$B$21+'Inputs'!$B$9+'Inputs'!$B$10)+'Inputs'!$B$7)/SQRT((((314-43)*MAX('Inputs'!$B$33,'Inputs'!$B$29+'Inputs'!$B$31+'Inputs'!$B$32,'Inputs'!$B$30+'Inputs'!$B$31+'Inputs'!$B$32)/1000+'Inputs'!$B$21+'Inputs'!$B$9+'Inputs'!$B$10)+'Inputs'!$B$7)^2+('Inputs'!$B$6/2)^2)-(((314-43)*MAX('Inputs'!$B$33,'Inputs'!$B$29+'Inputs'!$B$31+'Inputs'!$B$32,'Inputs'!$B$30+'Inputs'!$B$31+'Inputs'!$B$32)/1000+'Inputs'!$B$21+'Inputs'!$B$9+'Inputs'!$B$10))/SQRT((((314-43)*MAX('Inputs'!$B$33,'Inputs'!$B$29+'Inputs'!$B$31+'Inputs'!$B$32,'Inputs'!$B$30+'Inputs'!$B$31+'Inputs'!$B$32)/1000+'Inputs'!$B$21+'Inputs'!$B$9+'Inputs'!$B$10))^2+('Inputs'!$B$6/2)^2))))*'Results'!$B$8))),"")</x:f>
        <x:v>26.30545378812885</x:v>
      </x:c>
      <x:c r="O314" t="n">
        <x:f>IF(AND(ISNUMBER('Results'!C7),ISNUMBER('Results'!B7),ISNUMBER('Results'!$B$8),ISNUMBER('Inputs'!$B$6),ISNUMBER('Inputs'!$B$7),ISNUMBER('Inputs'!$B$8),ISNUMBER('Inputs'!$B$9),ISNUMBER('Inputs'!$B$10),ISNUMBER('Inputs'!$B$21),ISNUMBER('Inputs'!$B$24),ISNUMBER('Inputs'!$B$28)),((('Results'!C7*(1+'Inputs'!$B$24)*(0.5*((((314-43)*MAX('Inputs'!$B$33,'Inputs'!$B$29+'Inputs'!$B$31+'Inputs'!$B$32,'Inputs'!$B$30+'Inputs'!$B$31+'Inputs'!$B$32)/1000+'Inputs'!$B$21)+'Inputs'!$B$9)/SQRT((((314-43)*MAX('Inputs'!$B$33,'Inputs'!$B$29+'Inputs'!$B$31+'Inputs'!$B$32,'Inputs'!$B$30+'Inputs'!$B$31+'Inputs'!$B$32)/1000+'Inputs'!$B$21)+'Inputs'!$B$9)^2+('Inputs'!$B$8/2)^2)-(((314-43)*MAX('Inputs'!$B$33,'Inputs'!$B$29+'Inputs'!$B$31+'Inputs'!$B$32,'Inputs'!$B$30+'Inputs'!$B$31+'Inputs'!$B$32)/1000+'Inputs'!$B$21))/SQRT((((314-43)*MAX('Inputs'!$B$33,'Inputs'!$B$29+'Inputs'!$B$31+'Inputs'!$B$32,'Inputs'!$B$30+'Inputs'!$B$31+'Inputs'!$B$32)/1000+'Inputs'!$B$21))^2+('Inputs'!$B$8/2)^2)))-'Results'!B7*(1-'Inputs'!$B$24)*(0.5*((((314-43)*MAX('Inputs'!$B$33,'Inputs'!$B$29+'Inputs'!$B$31+'Inputs'!$B$32,'Inputs'!$B$30+'Inputs'!$B$31+'Inputs'!$B$32)/1000+'Inputs'!$B$21+'Inputs'!$B$9+'Inputs'!$B$10)+'Inputs'!$B$7)/SQRT((((314-43)*MAX('Inputs'!$B$33,'Inputs'!$B$29+'Inputs'!$B$31+'Inputs'!$B$32,'Inputs'!$B$30+'Inputs'!$B$31+'Inputs'!$B$32)/1000+'Inputs'!$B$21+'Inputs'!$B$9+'Inputs'!$B$10)+'Inputs'!$B$7)^2+('Inputs'!$B$6/2)^2)-(((314-43)*MAX('Inputs'!$B$33,'Inputs'!$B$29+'Inputs'!$B$31+'Inputs'!$B$32,'Inputs'!$B$30+'Inputs'!$B$31+'Inputs'!$B$32)/1000+'Inputs'!$B$21+'Inputs'!$B$9+'Inputs'!$B$10))/SQRT((((314-43)*MAX('Inputs'!$B$33,'Inputs'!$B$29+'Inputs'!$B$31+'Inputs'!$B$32,'Inputs'!$B$30+'Inputs'!$B$31+'Inputs'!$B$32)/1000+'Inputs'!$B$21+'Inputs'!$B$9+'Inputs'!$B$10))^2+('Inputs'!$B$6/2)^2))))*'Results'!$B$8)+'Inputs'!$B$28*ABS((('Results'!C7*(1+'Inputs'!$B$24)*(0.5*((((314-43)*MAX('Inputs'!$B$33,'Inputs'!$B$29+'Inputs'!$B$31+'Inputs'!$B$32,'Inputs'!$B$30+'Inputs'!$B$31+'Inputs'!$B$32)/1000+'Inputs'!$B$21)+'Inputs'!$B$9)/SQRT((((314-43)*MAX('Inputs'!$B$33,'Inputs'!$B$29+'Inputs'!$B$31+'Inputs'!$B$32,'Inputs'!$B$30+'Inputs'!$B$31+'Inputs'!$B$32)/1000+'Inputs'!$B$21)+'Inputs'!$B$9)^2+('Inputs'!$B$8/2)^2)-(((314-43)*MAX('Inputs'!$B$33,'Inputs'!$B$29+'Inputs'!$B$31+'Inputs'!$B$32,'Inputs'!$B$30+'Inputs'!$B$31+'Inputs'!$B$32)/1000+'Inputs'!$B$21))/SQRT((((314-43)*MAX('Inputs'!$B$33,'Inputs'!$B$29+'Inputs'!$B$31+'Inputs'!$B$32,'Inputs'!$B$30+'Inputs'!$B$31+'Inputs'!$B$32)/1000+'Inputs'!$B$21))^2+('Inputs'!$B$8/2)^2)))-'Results'!B7*(1-'Inputs'!$B$24)*(0.5*((((314-43)*MAX('Inputs'!$B$33,'Inputs'!$B$29+'Inputs'!$B$31+'Inputs'!$B$32,'Inputs'!$B$30+'Inputs'!$B$31+'Inputs'!$B$32)/1000+'Inputs'!$B$21+'Inputs'!$B$9+'Inputs'!$B$10)+'Inputs'!$B$7)/SQRT((((314-43)*MAX('Inputs'!$B$33,'Inputs'!$B$29+'Inputs'!$B$31+'Inputs'!$B$32,'Inputs'!$B$30+'Inputs'!$B$31+'Inputs'!$B$32)/1000+'Inputs'!$B$21+'Inputs'!$B$9+'Inputs'!$B$10)+'Inputs'!$B$7)^2+('Inputs'!$B$6/2)^2)-(((314-43)*MAX('Inputs'!$B$33,'Inputs'!$B$29+'Inputs'!$B$31+'Inputs'!$B$32,'Inputs'!$B$30+'Inputs'!$B$31+'Inputs'!$B$32)/1000+'Inputs'!$B$21+'Inputs'!$B$9+'Inputs'!$B$10))/SQRT((((314-43)*MAX('Inputs'!$B$33,'Inputs'!$B$29+'Inputs'!$B$31+'Inputs'!$B$32,'Inputs'!$B$30+'Inputs'!$B$31+'Inputs'!$B$32)/1000+'Inputs'!$B$21+'Inputs'!$B$9+'Inputs'!$B$10))^2+('Inputs'!$B$6/2)^2))))*'Results'!$B$8))),"")</x:f>
        <x:v>31.88478333645945</x:v>
      </x:c>
      <x:c r="P314" t="n">
        <x:f>IF(AND(MAX(J314,J313)&gt;0,J314&gt;J313+0.00000001),1,0)</x:f>
        <x:v>0</x:v>
      </x:c>
      <x:c r="Q314" t="n">
        <x:f>IF(AND(MAX(K314,K313)&gt;0,K314&gt;K313+0.00000001),1,0)</x:f>
        <x:v>0</x:v>
      </x:c>
      <x:c r="R314" t="n">
        <x:f>IF(AND(MAX(L314,L313)&gt;0,L314&gt;L313+0.00000001),1,0)</x:f>
        <x:v>0</x:v>
      </x:c>
      <x:c r="S314" t="n">
        <x:f>IF(AND(MAX(M314,M313)&gt;0,M314&gt;M313+0.00000001),1,0)</x:f>
        <x:v>0</x:v>
      </x:c>
      <x:c r="T314" t="n">
        <x:f>IF(AND(MAX(N314,N313)&gt;0,N314&gt;N313+0.00000001),1,0)</x:f>
        <x:v>0</x:v>
      </x:c>
      <x:c r="U314" t="n">
        <x:f>IF(AND(MAX(O314,O313)&gt;0,O314&gt;O313+0.00000001),1,0)</x:f>
        <x:v>0</x:v>
      </x:c>
    </x:row>
    <x:row r="315">
      <x:c r="J315" t="n">
        <x:f>IF(AND(ISNUMBER('Results'!B7),ISNUMBER('Results'!C7),ISNUMBER('Results'!$B$8),ISNUMBER('Inputs'!$B$6),ISNUMBER('Inputs'!$B$7),ISNUMBER('Inputs'!$B$8),ISNUMBER('Inputs'!$B$9),ISNUMBER('Inputs'!$B$10),ISNUMBER('Inputs'!$B$21),ISNUMBER('Inputs'!$B$24),ISNUMBER('Inputs'!$B$28)),(('Results'!B7*(0.5*((((315-43)*MAX('Inputs'!$B$33,'Inputs'!$B$29+'Inputs'!$B$31+'Inputs'!$B$32,'Inputs'!$B$30+'Inputs'!$B$31+'Inputs'!$B$32)/1000+'Inputs'!$B$21)+'Inputs'!$B$7)/SQRT((((315-43)*MAX('Inputs'!$B$33,'Inputs'!$B$29+'Inputs'!$B$31+'Inputs'!$B$32,'Inputs'!$B$30+'Inputs'!$B$31+'Inputs'!$B$32)/1000+'Inputs'!$B$21)+'Inputs'!$B$7)^2+('Inputs'!$B$6/2)^2)-(((315-43)*MAX('Inputs'!$B$33,'Inputs'!$B$29+'Inputs'!$B$31+'Inputs'!$B$32,'Inputs'!$B$30+'Inputs'!$B$31+'Inputs'!$B$32)/1000+'Inputs'!$B$21))/SQRT((((315-43)*MAX('Inputs'!$B$33,'Inputs'!$B$29+'Inputs'!$B$31+'Inputs'!$B$32,'Inputs'!$B$30+'Inputs'!$B$31+'Inputs'!$B$32)/1000+'Inputs'!$B$21))^2+('Inputs'!$B$6/2)^2)))-'Results'!C7*(0.5*((((315-43)*MAX('Inputs'!$B$33,'Inputs'!$B$29+'Inputs'!$B$31+'Inputs'!$B$32,'Inputs'!$B$30+'Inputs'!$B$31+'Inputs'!$B$32)/1000+'Inputs'!$B$21+'Inputs'!$B$7+'Inputs'!$B$10)+'Inputs'!$B$9)/SQRT((((315-43)*MAX('Inputs'!$B$33,'Inputs'!$B$29+'Inputs'!$B$31+'Inputs'!$B$32,'Inputs'!$B$30+'Inputs'!$B$31+'Inputs'!$B$32)/1000+'Inputs'!$B$21+'Inputs'!$B$7+'Inputs'!$B$10)+'Inputs'!$B$9)^2+('Inputs'!$B$8/2)^2)-(((315-43)*MAX('Inputs'!$B$33,'Inputs'!$B$29+'Inputs'!$B$31+'Inputs'!$B$32,'Inputs'!$B$30+'Inputs'!$B$31+'Inputs'!$B$32)/1000+'Inputs'!$B$21+'Inputs'!$B$7+'Inputs'!$B$10))/SQRT((((315-43)*MAX('Inputs'!$B$33,'Inputs'!$B$29+'Inputs'!$B$31+'Inputs'!$B$32,'Inputs'!$B$30+'Inputs'!$B$31+'Inputs'!$B$32)/1000+'Inputs'!$B$21+'Inputs'!$B$7+'Inputs'!$B$10))^2+('Inputs'!$B$8/2)^2))))*'Results'!$B$8),"")</x:f>
        <x:v>30.04885765415945</x:v>
      </x:c>
      <x:c r="K315" t="n">
        <x:f>IF(AND(ISNUMBER('Results'!B7),ISNUMBER('Results'!C7),ISNUMBER('Results'!$B$8),ISNUMBER('Inputs'!$B$6),ISNUMBER('Inputs'!$B$7),ISNUMBER('Inputs'!$B$8),ISNUMBER('Inputs'!$B$9),ISNUMBER('Inputs'!$B$10),ISNUMBER('Inputs'!$B$21),ISNUMBER('Inputs'!$B$24),ISNUMBER('Inputs'!$B$28)),((('Results'!B7*(1-'Inputs'!$B$24)*(0.5*((((315-43)*MAX('Inputs'!$B$33,'Inputs'!$B$29+'Inputs'!$B$31+'Inputs'!$B$32,'Inputs'!$B$30+'Inputs'!$B$31+'Inputs'!$B$32)/1000+'Inputs'!$B$21)+'Inputs'!$B$7)/SQRT((((315-43)*MAX('Inputs'!$B$33,'Inputs'!$B$29+'Inputs'!$B$31+'Inputs'!$B$32,'Inputs'!$B$30+'Inputs'!$B$31+'Inputs'!$B$32)/1000+'Inputs'!$B$21)+'Inputs'!$B$7)^2+('Inputs'!$B$6/2)^2)-(((315-43)*MAX('Inputs'!$B$33,'Inputs'!$B$29+'Inputs'!$B$31+'Inputs'!$B$32,'Inputs'!$B$30+'Inputs'!$B$31+'Inputs'!$B$32)/1000+'Inputs'!$B$21))/SQRT((((315-43)*MAX('Inputs'!$B$33,'Inputs'!$B$29+'Inputs'!$B$31+'Inputs'!$B$32,'Inputs'!$B$30+'Inputs'!$B$31+'Inputs'!$B$32)/1000+'Inputs'!$B$21))^2+('Inputs'!$B$6/2)^2)))-'Results'!C7*(1+'Inputs'!$B$24)*(0.5*((((315-43)*MAX('Inputs'!$B$33,'Inputs'!$B$29+'Inputs'!$B$31+'Inputs'!$B$32,'Inputs'!$B$30+'Inputs'!$B$31+'Inputs'!$B$32)/1000+'Inputs'!$B$21+'Inputs'!$B$7+'Inputs'!$B$10)+'Inputs'!$B$9)/SQRT((((315-43)*MAX('Inputs'!$B$33,'Inputs'!$B$29+'Inputs'!$B$31+'Inputs'!$B$32,'Inputs'!$B$30+'Inputs'!$B$31+'Inputs'!$B$32)/1000+'Inputs'!$B$21+'Inputs'!$B$7+'Inputs'!$B$10)+'Inputs'!$B$9)^2+('Inputs'!$B$8/2)^2)-(((315-43)*MAX('Inputs'!$B$33,'Inputs'!$B$29+'Inputs'!$B$31+'Inputs'!$B$32,'Inputs'!$B$30+'Inputs'!$B$31+'Inputs'!$B$32)/1000+'Inputs'!$B$21+'Inputs'!$B$7+'Inputs'!$B$10))/SQRT((((315-43)*MAX('Inputs'!$B$33,'Inputs'!$B$29+'Inputs'!$B$31+'Inputs'!$B$32,'Inputs'!$B$30+'Inputs'!$B$31+'Inputs'!$B$32)/1000+'Inputs'!$B$21+'Inputs'!$B$7+'Inputs'!$B$10))^2+('Inputs'!$B$8/2)^2))))*'Results'!$B$8)-'Inputs'!$B$28*ABS((('Results'!B7*(1-'Inputs'!$B$24)*(0.5*((((315-43)*MAX('Inputs'!$B$33,'Inputs'!$B$29+'Inputs'!$B$31+'Inputs'!$B$32,'Inputs'!$B$30+'Inputs'!$B$31+'Inputs'!$B$32)/1000+'Inputs'!$B$21)+'Inputs'!$B$7)/SQRT((((315-43)*MAX('Inputs'!$B$33,'Inputs'!$B$29+'Inputs'!$B$31+'Inputs'!$B$32,'Inputs'!$B$30+'Inputs'!$B$31+'Inputs'!$B$32)/1000+'Inputs'!$B$21)+'Inputs'!$B$7)^2+('Inputs'!$B$6/2)^2)-(((315-43)*MAX('Inputs'!$B$33,'Inputs'!$B$29+'Inputs'!$B$31+'Inputs'!$B$32,'Inputs'!$B$30+'Inputs'!$B$31+'Inputs'!$B$32)/1000+'Inputs'!$B$21))/SQRT((((315-43)*MAX('Inputs'!$B$33,'Inputs'!$B$29+'Inputs'!$B$31+'Inputs'!$B$32,'Inputs'!$B$30+'Inputs'!$B$31+'Inputs'!$B$32)/1000+'Inputs'!$B$21))^2+('Inputs'!$B$6/2)^2)))-'Results'!C7*(1+'Inputs'!$B$24)*(0.5*((((315-43)*MAX('Inputs'!$B$33,'Inputs'!$B$29+'Inputs'!$B$31+'Inputs'!$B$32,'Inputs'!$B$30+'Inputs'!$B$31+'Inputs'!$B$32)/1000+'Inputs'!$B$21+'Inputs'!$B$7+'Inputs'!$B$10)+'Inputs'!$B$9)/SQRT((((315-43)*MAX('Inputs'!$B$33,'Inputs'!$B$29+'Inputs'!$B$31+'Inputs'!$B$32,'Inputs'!$B$30+'Inputs'!$B$31+'Inputs'!$B$32)/1000+'Inputs'!$B$21+'Inputs'!$B$7+'Inputs'!$B$10)+'Inputs'!$B$9)^2+('Inputs'!$B$8/2)^2)-(((315-43)*MAX('Inputs'!$B$33,'Inputs'!$B$29+'Inputs'!$B$31+'Inputs'!$B$32,'Inputs'!$B$30+'Inputs'!$B$31+'Inputs'!$B$32)/1000+'Inputs'!$B$21+'Inputs'!$B$7+'Inputs'!$B$10))/SQRT((((315-43)*MAX('Inputs'!$B$33,'Inputs'!$B$29+'Inputs'!$B$31+'Inputs'!$B$32,'Inputs'!$B$30+'Inputs'!$B$31+'Inputs'!$B$32)/1000+'Inputs'!$B$21+'Inputs'!$B$7+'Inputs'!$B$10))^2+('Inputs'!$B$8/2)^2))))*'Results'!$B$8))),"")</x:f>
        <x:v>27.27509296968743</x:v>
      </x:c>
      <x:c r="L315" t="n">
        <x:f>IF(AND(ISNUMBER('Results'!B7),ISNUMBER('Results'!C7),ISNUMBER('Results'!$B$8),ISNUMBER('Inputs'!$B$6),ISNUMBER('Inputs'!$B$7),ISNUMBER('Inputs'!$B$8),ISNUMBER('Inputs'!$B$9),ISNUMBER('Inputs'!$B$10),ISNUMBER('Inputs'!$B$21),ISNUMBER('Inputs'!$B$24),ISNUMBER('Inputs'!$B$28)),((('Results'!B7*(1+'Inputs'!$B$24)*(0.5*((((315-43)*MAX('Inputs'!$B$33,'Inputs'!$B$29+'Inputs'!$B$31+'Inputs'!$B$32,'Inputs'!$B$30+'Inputs'!$B$31+'Inputs'!$B$32)/1000+'Inputs'!$B$21)+'Inputs'!$B$7)/SQRT((((315-43)*MAX('Inputs'!$B$33,'Inputs'!$B$29+'Inputs'!$B$31+'Inputs'!$B$32,'Inputs'!$B$30+'Inputs'!$B$31+'Inputs'!$B$32)/1000+'Inputs'!$B$21)+'Inputs'!$B$7)^2+('Inputs'!$B$6/2)^2)-(((315-43)*MAX('Inputs'!$B$33,'Inputs'!$B$29+'Inputs'!$B$31+'Inputs'!$B$32,'Inputs'!$B$30+'Inputs'!$B$31+'Inputs'!$B$32)/1000+'Inputs'!$B$21))/SQRT((((315-43)*MAX('Inputs'!$B$33,'Inputs'!$B$29+'Inputs'!$B$31+'Inputs'!$B$32,'Inputs'!$B$30+'Inputs'!$B$31+'Inputs'!$B$32)/1000+'Inputs'!$B$21))^2+('Inputs'!$B$6/2)^2)))-'Results'!C7*(1-'Inputs'!$B$24)*(0.5*((((315-43)*MAX('Inputs'!$B$33,'Inputs'!$B$29+'Inputs'!$B$31+'Inputs'!$B$32,'Inputs'!$B$30+'Inputs'!$B$31+'Inputs'!$B$32)/1000+'Inputs'!$B$21+'Inputs'!$B$7+'Inputs'!$B$10)+'Inputs'!$B$9)/SQRT((((315-43)*MAX('Inputs'!$B$33,'Inputs'!$B$29+'Inputs'!$B$31+'Inputs'!$B$32,'Inputs'!$B$30+'Inputs'!$B$31+'Inputs'!$B$32)/1000+'Inputs'!$B$21+'Inputs'!$B$7+'Inputs'!$B$10)+'Inputs'!$B$9)^2+('Inputs'!$B$8/2)^2)-(((315-43)*MAX('Inputs'!$B$33,'Inputs'!$B$29+'Inputs'!$B$31+'Inputs'!$B$32,'Inputs'!$B$30+'Inputs'!$B$31+'Inputs'!$B$32)/1000+'Inputs'!$B$21+'Inputs'!$B$7+'Inputs'!$B$10))/SQRT((((315-43)*MAX('Inputs'!$B$33,'Inputs'!$B$29+'Inputs'!$B$31+'Inputs'!$B$32,'Inputs'!$B$30+'Inputs'!$B$31+'Inputs'!$B$32)/1000+'Inputs'!$B$21+'Inputs'!$B$7+'Inputs'!$B$10))^2+('Inputs'!$B$8/2)^2))))*'Results'!$B$8)+'Inputs'!$B$28*ABS((('Results'!B7*(1+'Inputs'!$B$24)*(0.5*((((315-43)*MAX('Inputs'!$B$33,'Inputs'!$B$29+'Inputs'!$B$31+'Inputs'!$B$32,'Inputs'!$B$30+'Inputs'!$B$31+'Inputs'!$B$32)/1000+'Inputs'!$B$21)+'Inputs'!$B$7)/SQRT((((315-43)*MAX('Inputs'!$B$33,'Inputs'!$B$29+'Inputs'!$B$31+'Inputs'!$B$32,'Inputs'!$B$30+'Inputs'!$B$31+'Inputs'!$B$32)/1000+'Inputs'!$B$21)+'Inputs'!$B$7)^2+('Inputs'!$B$6/2)^2)-(((315-43)*MAX('Inputs'!$B$33,'Inputs'!$B$29+'Inputs'!$B$31+'Inputs'!$B$32,'Inputs'!$B$30+'Inputs'!$B$31+'Inputs'!$B$32)/1000+'Inputs'!$B$21))/SQRT((((315-43)*MAX('Inputs'!$B$33,'Inputs'!$B$29+'Inputs'!$B$31+'Inputs'!$B$32,'Inputs'!$B$30+'Inputs'!$B$31+'Inputs'!$B$32)/1000+'Inputs'!$B$21))^2+('Inputs'!$B$6/2)^2)))-'Results'!C7*(1-'Inputs'!$B$24)*(0.5*((((315-43)*MAX('Inputs'!$B$33,'Inputs'!$B$29+'Inputs'!$B$31+'Inputs'!$B$32,'Inputs'!$B$30+'Inputs'!$B$31+'Inputs'!$B$32)/1000+'Inputs'!$B$21+'Inputs'!$B$7+'Inputs'!$B$10)+'Inputs'!$B$9)/SQRT((((315-43)*MAX('Inputs'!$B$33,'Inputs'!$B$29+'Inputs'!$B$31+'Inputs'!$B$32,'Inputs'!$B$30+'Inputs'!$B$31+'Inputs'!$B$32)/1000+'Inputs'!$B$21+'Inputs'!$B$7+'Inputs'!$B$10)+'Inputs'!$B$9)^2+('Inputs'!$B$8/2)^2)-(((315-43)*MAX('Inputs'!$B$33,'Inputs'!$B$29+'Inputs'!$B$31+'Inputs'!$B$32,'Inputs'!$B$30+'Inputs'!$B$31+'Inputs'!$B$32)/1000+'Inputs'!$B$21+'Inputs'!$B$7+'Inputs'!$B$10))/SQRT((((315-43)*MAX('Inputs'!$B$33,'Inputs'!$B$29+'Inputs'!$B$31+'Inputs'!$B$32,'Inputs'!$B$30+'Inputs'!$B$31+'Inputs'!$B$32)/1000+'Inputs'!$B$21+'Inputs'!$B$7+'Inputs'!$B$10))^2+('Inputs'!$B$8/2)^2))))*'Results'!$B$8))),"")</x:f>
        <x:v>32.956445686185575</x:v>
      </x:c>
      <x:c r="M315" t="n">
        <x:f>IF(AND(ISNUMBER('Results'!C7),ISNUMBER('Results'!B7),ISNUMBER('Results'!$B$8),ISNUMBER('Inputs'!$B$6),ISNUMBER('Inputs'!$B$7),ISNUMBER('Inputs'!$B$8),ISNUMBER('Inputs'!$B$9),ISNUMBER('Inputs'!$B$10),ISNUMBER('Inputs'!$B$21),ISNUMBER('Inputs'!$B$24),ISNUMBER('Inputs'!$B$28)),(('Results'!C7*(0.5*((((315-43)*MAX('Inputs'!$B$33,'Inputs'!$B$29+'Inputs'!$B$31+'Inputs'!$B$32,'Inputs'!$B$30+'Inputs'!$B$31+'Inputs'!$B$32)/1000+'Inputs'!$B$21)+'Inputs'!$B$9)/SQRT((((315-43)*MAX('Inputs'!$B$33,'Inputs'!$B$29+'Inputs'!$B$31+'Inputs'!$B$32,'Inputs'!$B$30+'Inputs'!$B$31+'Inputs'!$B$32)/1000+'Inputs'!$B$21)+'Inputs'!$B$9)^2+('Inputs'!$B$8/2)^2)-(((315-43)*MAX('Inputs'!$B$33,'Inputs'!$B$29+'Inputs'!$B$31+'Inputs'!$B$32,'Inputs'!$B$30+'Inputs'!$B$31+'Inputs'!$B$32)/1000+'Inputs'!$B$21))/SQRT((((315-43)*MAX('Inputs'!$B$33,'Inputs'!$B$29+'Inputs'!$B$31+'Inputs'!$B$32,'Inputs'!$B$30+'Inputs'!$B$31+'Inputs'!$B$32)/1000+'Inputs'!$B$21))^2+('Inputs'!$B$8/2)^2)))-'Results'!B7*(0.5*((((315-43)*MAX('Inputs'!$B$33,'Inputs'!$B$29+'Inputs'!$B$31+'Inputs'!$B$32,'Inputs'!$B$30+'Inputs'!$B$31+'Inputs'!$B$32)/1000+'Inputs'!$B$21+'Inputs'!$B$9+'Inputs'!$B$10)+'Inputs'!$B$7)/SQRT((((315-43)*MAX('Inputs'!$B$33,'Inputs'!$B$29+'Inputs'!$B$31+'Inputs'!$B$32,'Inputs'!$B$30+'Inputs'!$B$31+'Inputs'!$B$32)/1000+'Inputs'!$B$21+'Inputs'!$B$9+'Inputs'!$B$10)+'Inputs'!$B$7)^2+('Inputs'!$B$6/2)^2)-(((315-43)*MAX('Inputs'!$B$33,'Inputs'!$B$29+'Inputs'!$B$31+'Inputs'!$B$32,'Inputs'!$B$30+'Inputs'!$B$31+'Inputs'!$B$32)/1000+'Inputs'!$B$21+'Inputs'!$B$9+'Inputs'!$B$10))/SQRT((((315-43)*MAX('Inputs'!$B$33,'Inputs'!$B$29+'Inputs'!$B$31+'Inputs'!$B$32,'Inputs'!$B$30+'Inputs'!$B$31+'Inputs'!$B$32)/1000+'Inputs'!$B$21+'Inputs'!$B$9+'Inputs'!$B$10))^2+('Inputs'!$B$6/2)^2))))*'Results'!$B$8),"")</x:f>
        <x:v>28.703101154919807</x:v>
      </x:c>
      <x:c r="N315" t="n">
        <x:f>IF(AND(ISNUMBER('Results'!C7),ISNUMBER('Results'!B7),ISNUMBER('Results'!$B$8),ISNUMBER('Inputs'!$B$6),ISNUMBER('Inputs'!$B$7),ISNUMBER('Inputs'!$B$8),ISNUMBER('Inputs'!$B$9),ISNUMBER('Inputs'!$B$10),ISNUMBER('Inputs'!$B$21),ISNUMBER('Inputs'!$B$24),ISNUMBER('Inputs'!$B$28)),((('Results'!C7*(1-'Inputs'!$B$24)*(0.5*((((315-43)*MAX('Inputs'!$B$33,'Inputs'!$B$29+'Inputs'!$B$31+'Inputs'!$B$32,'Inputs'!$B$30+'Inputs'!$B$31+'Inputs'!$B$32)/1000+'Inputs'!$B$21)+'Inputs'!$B$9)/SQRT((((315-43)*MAX('Inputs'!$B$33,'Inputs'!$B$29+'Inputs'!$B$31+'Inputs'!$B$32,'Inputs'!$B$30+'Inputs'!$B$31+'Inputs'!$B$32)/1000+'Inputs'!$B$21)+'Inputs'!$B$9)^2+('Inputs'!$B$8/2)^2)-(((315-43)*MAX('Inputs'!$B$33,'Inputs'!$B$29+'Inputs'!$B$31+'Inputs'!$B$32,'Inputs'!$B$30+'Inputs'!$B$31+'Inputs'!$B$32)/1000+'Inputs'!$B$21))/SQRT((((315-43)*MAX('Inputs'!$B$33,'Inputs'!$B$29+'Inputs'!$B$31+'Inputs'!$B$32,'Inputs'!$B$30+'Inputs'!$B$31+'Inputs'!$B$32)/1000+'Inputs'!$B$21))^2+('Inputs'!$B$8/2)^2)))-'Results'!B7*(1+'Inputs'!$B$24)*(0.5*((((315-43)*MAX('Inputs'!$B$33,'Inputs'!$B$29+'Inputs'!$B$31+'Inputs'!$B$32,'Inputs'!$B$30+'Inputs'!$B$31+'Inputs'!$B$32)/1000+'Inputs'!$B$21+'Inputs'!$B$9+'Inputs'!$B$10)+'Inputs'!$B$7)/SQRT((((315-43)*MAX('Inputs'!$B$33,'Inputs'!$B$29+'Inputs'!$B$31+'Inputs'!$B$32,'Inputs'!$B$30+'Inputs'!$B$31+'Inputs'!$B$32)/1000+'Inputs'!$B$21+'Inputs'!$B$9+'Inputs'!$B$10)+'Inputs'!$B$7)^2+('Inputs'!$B$6/2)^2)-(((315-43)*MAX('Inputs'!$B$33,'Inputs'!$B$29+'Inputs'!$B$31+'Inputs'!$B$32,'Inputs'!$B$30+'Inputs'!$B$31+'Inputs'!$B$32)/1000+'Inputs'!$B$21+'Inputs'!$B$9+'Inputs'!$B$10))/SQRT((((315-43)*MAX('Inputs'!$B$33,'Inputs'!$B$29+'Inputs'!$B$31+'Inputs'!$B$32,'Inputs'!$B$30+'Inputs'!$B$31+'Inputs'!$B$32)/1000+'Inputs'!$B$21+'Inputs'!$B$9+'Inputs'!$B$10))^2+('Inputs'!$B$6/2)^2))))*'Results'!$B$8)-'Inputs'!$B$28*ABS((('Results'!C7*(1-'Inputs'!$B$24)*(0.5*((((315-43)*MAX('Inputs'!$B$33,'Inputs'!$B$29+'Inputs'!$B$31+'Inputs'!$B$32,'Inputs'!$B$30+'Inputs'!$B$31+'Inputs'!$B$32)/1000+'Inputs'!$B$21)+'Inputs'!$B$9)/SQRT((((315-43)*MAX('Inputs'!$B$33,'Inputs'!$B$29+'Inputs'!$B$31+'Inputs'!$B$32,'Inputs'!$B$30+'Inputs'!$B$31+'Inputs'!$B$32)/1000+'Inputs'!$B$21)+'Inputs'!$B$9)^2+('Inputs'!$B$8/2)^2)-(((315-43)*MAX('Inputs'!$B$33,'Inputs'!$B$29+'Inputs'!$B$31+'Inputs'!$B$32,'Inputs'!$B$30+'Inputs'!$B$31+'Inputs'!$B$32)/1000+'Inputs'!$B$21))/SQRT((((315-43)*MAX('Inputs'!$B$33,'Inputs'!$B$29+'Inputs'!$B$31+'Inputs'!$B$32,'Inputs'!$B$30+'Inputs'!$B$31+'Inputs'!$B$32)/1000+'Inputs'!$B$21))^2+('Inputs'!$B$8/2)^2)))-'Results'!B7*(1+'Inputs'!$B$24)*(0.5*((((315-43)*MAX('Inputs'!$B$33,'Inputs'!$B$29+'Inputs'!$B$31+'Inputs'!$B$32,'Inputs'!$B$30+'Inputs'!$B$31+'Inputs'!$B$32)/1000+'Inputs'!$B$21+'Inputs'!$B$9+'Inputs'!$B$10)+'Inputs'!$B$7)/SQRT((((315-43)*MAX('Inputs'!$B$33,'Inputs'!$B$29+'Inputs'!$B$31+'Inputs'!$B$32,'Inputs'!$B$30+'Inputs'!$B$31+'Inputs'!$B$32)/1000+'Inputs'!$B$21+'Inputs'!$B$9+'Inputs'!$B$10)+'Inputs'!$B$7)^2+('Inputs'!$B$6/2)^2)-(((315-43)*MAX('Inputs'!$B$33,'Inputs'!$B$29+'Inputs'!$B$31+'Inputs'!$B$32,'Inputs'!$B$30+'Inputs'!$B$31+'Inputs'!$B$32)/1000+'Inputs'!$B$21+'Inputs'!$B$9+'Inputs'!$B$10))/SQRT((((315-43)*MAX('Inputs'!$B$33,'Inputs'!$B$29+'Inputs'!$B$31+'Inputs'!$B$32,'Inputs'!$B$30+'Inputs'!$B$31+'Inputs'!$B$32)/1000+'Inputs'!$B$21+'Inputs'!$B$9+'Inputs'!$B$10))^2+('Inputs'!$B$6/2)^2))))*'Results'!$B$8))),"")</x:f>
        <x:v>26.007899923868074</x:v>
      </x:c>
      <x:c r="O315" t="n">
        <x:f>IF(AND(ISNUMBER('Results'!C7),ISNUMBER('Results'!B7),ISNUMBER('Results'!$B$8),ISNUMBER('Inputs'!$B$6),ISNUMBER('Inputs'!$B$7),ISNUMBER('Inputs'!$B$8),ISNUMBER('Inputs'!$B$9),ISNUMBER('Inputs'!$B$10),ISNUMBER('Inputs'!$B$21),ISNUMBER('Inputs'!$B$24),ISNUMBER('Inputs'!$B$28)),((('Results'!C7*(1+'Inputs'!$B$24)*(0.5*((((315-43)*MAX('Inputs'!$B$33,'Inputs'!$B$29+'Inputs'!$B$31+'Inputs'!$B$32,'Inputs'!$B$30+'Inputs'!$B$31+'Inputs'!$B$32)/1000+'Inputs'!$B$21)+'Inputs'!$B$9)/SQRT((((315-43)*MAX('Inputs'!$B$33,'Inputs'!$B$29+'Inputs'!$B$31+'Inputs'!$B$32,'Inputs'!$B$30+'Inputs'!$B$31+'Inputs'!$B$32)/1000+'Inputs'!$B$21)+'Inputs'!$B$9)^2+('Inputs'!$B$8/2)^2)-(((315-43)*MAX('Inputs'!$B$33,'Inputs'!$B$29+'Inputs'!$B$31+'Inputs'!$B$32,'Inputs'!$B$30+'Inputs'!$B$31+'Inputs'!$B$32)/1000+'Inputs'!$B$21))/SQRT((((315-43)*MAX('Inputs'!$B$33,'Inputs'!$B$29+'Inputs'!$B$31+'Inputs'!$B$32,'Inputs'!$B$30+'Inputs'!$B$31+'Inputs'!$B$32)/1000+'Inputs'!$B$21))^2+('Inputs'!$B$8/2)^2)))-'Results'!B7*(1-'Inputs'!$B$24)*(0.5*((((315-43)*MAX('Inputs'!$B$33,'Inputs'!$B$29+'Inputs'!$B$31+'Inputs'!$B$32,'Inputs'!$B$30+'Inputs'!$B$31+'Inputs'!$B$32)/1000+'Inputs'!$B$21+'Inputs'!$B$9+'Inputs'!$B$10)+'Inputs'!$B$7)/SQRT((((315-43)*MAX('Inputs'!$B$33,'Inputs'!$B$29+'Inputs'!$B$31+'Inputs'!$B$32,'Inputs'!$B$30+'Inputs'!$B$31+'Inputs'!$B$32)/1000+'Inputs'!$B$21+'Inputs'!$B$9+'Inputs'!$B$10)+'Inputs'!$B$7)^2+('Inputs'!$B$6/2)^2)-(((315-43)*MAX('Inputs'!$B$33,'Inputs'!$B$29+'Inputs'!$B$31+'Inputs'!$B$32,'Inputs'!$B$30+'Inputs'!$B$31+'Inputs'!$B$32)/1000+'Inputs'!$B$21+'Inputs'!$B$9+'Inputs'!$B$10))/SQRT((((315-43)*MAX('Inputs'!$B$33,'Inputs'!$B$29+'Inputs'!$B$31+'Inputs'!$B$32,'Inputs'!$B$30+'Inputs'!$B$31+'Inputs'!$B$32)/1000+'Inputs'!$B$21+'Inputs'!$B$9+'Inputs'!$B$10))^2+('Inputs'!$B$6/2)^2))))*'Results'!$B$8)+'Inputs'!$B$28*ABS((('Results'!C7*(1+'Inputs'!$B$24)*(0.5*((((315-43)*MAX('Inputs'!$B$33,'Inputs'!$B$29+'Inputs'!$B$31+'Inputs'!$B$32,'Inputs'!$B$30+'Inputs'!$B$31+'Inputs'!$B$32)/1000+'Inputs'!$B$21)+'Inputs'!$B$9)/SQRT((((315-43)*MAX('Inputs'!$B$33,'Inputs'!$B$29+'Inputs'!$B$31+'Inputs'!$B$32,'Inputs'!$B$30+'Inputs'!$B$31+'Inputs'!$B$32)/1000+'Inputs'!$B$21)+'Inputs'!$B$9)^2+('Inputs'!$B$8/2)^2)-(((315-43)*MAX('Inputs'!$B$33,'Inputs'!$B$29+'Inputs'!$B$31+'Inputs'!$B$32,'Inputs'!$B$30+'Inputs'!$B$31+'Inputs'!$B$32)/1000+'Inputs'!$B$21))/SQRT((((315-43)*MAX('Inputs'!$B$33,'Inputs'!$B$29+'Inputs'!$B$31+'Inputs'!$B$32,'Inputs'!$B$30+'Inputs'!$B$31+'Inputs'!$B$32)/1000+'Inputs'!$B$21))^2+('Inputs'!$B$8/2)^2)))-'Results'!B7*(1-'Inputs'!$B$24)*(0.5*((((315-43)*MAX('Inputs'!$B$33,'Inputs'!$B$29+'Inputs'!$B$31+'Inputs'!$B$32,'Inputs'!$B$30+'Inputs'!$B$31+'Inputs'!$B$32)/1000+'Inputs'!$B$21+'Inputs'!$B$9+'Inputs'!$B$10)+'Inputs'!$B$7)/SQRT((((315-43)*MAX('Inputs'!$B$33,'Inputs'!$B$29+'Inputs'!$B$31+'Inputs'!$B$32,'Inputs'!$B$30+'Inputs'!$B$31+'Inputs'!$B$32)/1000+'Inputs'!$B$21+'Inputs'!$B$9+'Inputs'!$B$10)+'Inputs'!$B$7)^2+('Inputs'!$B$6/2)^2)-(((315-43)*MAX('Inputs'!$B$33,'Inputs'!$B$29+'Inputs'!$B$31+'Inputs'!$B$32,'Inputs'!$B$30+'Inputs'!$B$31+'Inputs'!$B$32)/1000+'Inputs'!$B$21+'Inputs'!$B$9+'Inputs'!$B$10))/SQRT((((315-43)*MAX('Inputs'!$B$33,'Inputs'!$B$29+'Inputs'!$B$31+'Inputs'!$B$32,'Inputs'!$B$30+'Inputs'!$B$31+'Inputs'!$B$32)/1000+'Inputs'!$B$21+'Inputs'!$B$9+'Inputs'!$B$10))^2+('Inputs'!$B$6/2)^2))))*'Results'!$B$8))),"")</x:f>
        <x:v>31.530938825266873</x:v>
      </x:c>
      <x:c r="P315" t="n">
        <x:f>IF(AND(MAX(J315,J314)&gt;0,J315&gt;J314+0.00000001),1,0)</x:f>
        <x:v>0</x:v>
      </x:c>
      <x:c r="Q315" t="n">
        <x:f>IF(AND(MAX(K315,K314)&gt;0,K315&gt;K314+0.00000001),1,0)</x:f>
        <x:v>0</x:v>
      </x:c>
      <x:c r="R315" t="n">
        <x:f>IF(AND(MAX(L315,L314)&gt;0,L315&gt;L314+0.00000001),1,0)</x:f>
        <x:v>0</x:v>
      </x:c>
      <x:c r="S315" t="n">
        <x:f>IF(AND(MAX(M315,M314)&gt;0,M315&gt;M314+0.00000001),1,0)</x:f>
        <x:v>0</x:v>
      </x:c>
      <x:c r="T315" t="n">
        <x:f>IF(AND(MAX(N315,N314)&gt;0,N315&gt;N314+0.00000001),1,0)</x:f>
        <x:v>0</x:v>
      </x:c>
      <x:c r="U315" t="n">
        <x:f>IF(AND(MAX(O315,O314)&gt;0,O315&gt;O314+0.00000001),1,0)</x:f>
        <x:v>0</x:v>
      </x:c>
    </x:row>
    <x:row r="316">
      <x:c r="J316" t="n">
        <x:f>IF(AND(ISNUMBER('Results'!B7),ISNUMBER('Results'!C7),ISNUMBER('Results'!$B$8),ISNUMBER('Inputs'!$B$6),ISNUMBER('Inputs'!$B$7),ISNUMBER('Inputs'!$B$8),ISNUMBER('Inputs'!$B$9),ISNUMBER('Inputs'!$B$10),ISNUMBER('Inputs'!$B$21),ISNUMBER('Inputs'!$B$24),ISNUMBER('Inputs'!$B$28)),(('Results'!B7*(0.5*((((316-43)*MAX('Inputs'!$B$33,'Inputs'!$B$29+'Inputs'!$B$31+'Inputs'!$B$32,'Inputs'!$B$30+'Inputs'!$B$31+'Inputs'!$B$32)/1000+'Inputs'!$B$21)+'Inputs'!$B$7)/SQRT((((316-43)*MAX('Inputs'!$B$33,'Inputs'!$B$29+'Inputs'!$B$31+'Inputs'!$B$32,'Inputs'!$B$30+'Inputs'!$B$31+'Inputs'!$B$32)/1000+'Inputs'!$B$21)+'Inputs'!$B$7)^2+('Inputs'!$B$6/2)^2)-(((316-43)*MAX('Inputs'!$B$33,'Inputs'!$B$29+'Inputs'!$B$31+'Inputs'!$B$32,'Inputs'!$B$30+'Inputs'!$B$31+'Inputs'!$B$32)/1000+'Inputs'!$B$21))/SQRT((((316-43)*MAX('Inputs'!$B$33,'Inputs'!$B$29+'Inputs'!$B$31+'Inputs'!$B$32,'Inputs'!$B$30+'Inputs'!$B$31+'Inputs'!$B$32)/1000+'Inputs'!$B$21))^2+('Inputs'!$B$6/2)^2)))-'Results'!C7*(0.5*((((316-43)*MAX('Inputs'!$B$33,'Inputs'!$B$29+'Inputs'!$B$31+'Inputs'!$B$32,'Inputs'!$B$30+'Inputs'!$B$31+'Inputs'!$B$32)/1000+'Inputs'!$B$21+'Inputs'!$B$7+'Inputs'!$B$10)+'Inputs'!$B$9)/SQRT((((316-43)*MAX('Inputs'!$B$33,'Inputs'!$B$29+'Inputs'!$B$31+'Inputs'!$B$32,'Inputs'!$B$30+'Inputs'!$B$31+'Inputs'!$B$32)/1000+'Inputs'!$B$21+'Inputs'!$B$7+'Inputs'!$B$10)+'Inputs'!$B$9)^2+('Inputs'!$B$8/2)^2)-(((316-43)*MAX('Inputs'!$B$33,'Inputs'!$B$29+'Inputs'!$B$31+'Inputs'!$B$32,'Inputs'!$B$30+'Inputs'!$B$31+'Inputs'!$B$32)/1000+'Inputs'!$B$21+'Inputs'!$B$7+'Inputs'!$B$10))/SQRT((((316-43)*MAX('Inputs'!$B$33,'Inputs'!$B$29+'Inputs'!$B$31+'Inputs'!$B$32,'Inputs'!$B$30+'Inputs'!$B$31+'Inputs'!$B$32)/1000+'Inputs'!$B$21+'Inputs'!$B$7+'Inputs'!$B$10))^2+('Inputs'!$B$8/2)^2))))*'Results'!$B$8),"")</x:f>
        <x:v>29.716310257163336</x:v>
      </x:c>
      <x:c r="K316" t="n">
        <x:f>IF(AND(ISNUMBER('Results'!B7),ISNUMBER('Results'!C7),ISNUMBER('Results'!$B$8),ISNUMBER('Inputs'!$B$6),ISNUMBER('Inputs'!$B$7),ISNUMBER('Inputs'!$B$8),ISNUMBER('Inputs'!$B$9),ISNUMBER('Inputs'!$B$10),ISNUMBER('Inputs'!$B$21),ISNUMBER('Inputs'!$B$24),ISNUMBER('Inputs'!$B$28)),((('Results'!B7*(1-'Inputs'!$B$24)*(0.5*((((316-43)*MAX('Inputs'!$B$33,'Inputs'!$B$29+'Inputs'!$B$31+'Inputs'!$B$32,'Inputs'!$B$30+'Inputs'!$B$31+'Inputs'!$B$32)/1000+'Inputs'!$B$21)+'Inputs'!$B$7)/SQRT((((316-43)*MAX('Inputs'!$B$33,'Inputs'!$B$29+'Inputs'!$B$31+'Inputs'!$B$32,'Inputs'!$B$30+'Inputs'!$B$31+'Inputs'!$B$32)/1000+'Inputs'!$B$21)+'Inputs'!$B$7)^2+('Inputs'!$B$6/2)^2)-(((316-43)*MAX('Inputs'!$B$33,'Inputs'!$B$29+'Inputs'!$B$31+'Inputs'!$B$32,'Inputs'!$B$30+'Inputs'!$B$31+'Inputs'!$B$32)/1000+'Inputs'!$B$21))/SQRT((((316-43)*MAX('Inputs'!$B$33,'Inputs'!$B$29+'Inputs'!$B$31+'Inputs'!$B$32,'Inputs'!$B$30+'Inputs'!$B$31+'Inputs'!$B$32)/1000+'Inputs'!$B$21))^2+('Inputs'!$B$6/2)^2)))-'Results'!C7*(1+'Inputs'!$B$24)*(0.5*((((316-43)*MAX('Inputs'!$B$33,'Inputs'!$B$29+'Inputs'!$B$31+'Inputs'!$B$32,'Inputs'!$B$30+'Inputs'!$B$31+'Inputs'!$B$32)/1000+'Inputs'!$B$21+'Inputs'!$B$7+'Inputs'!$B$10)+'Inputs'!$B$9)/SQRT((((316-43)*MAX('Inputs'!$B$33,'Inputs'!$B$29+'Inputs'!$B$31+'Inputs'!$B$32,'Inputs'!$B$30+'Inputs'!$B$31+'Inputs'!$B$32)/1000+'Inputs'!$B$21+'Inputs'!$B$7+'Inputs'!$B$10)+'Inputs'!$B$9)^2+('Inputs'!$B$8/2)^2)-(((316-43)*MAX('Inputs'!$B$33,'Inputs'!$B$29+'Inputs'!$B$31+'Inputs'!$B$32,'Inputs'!$B$30+'Inputs'!$B$31+'Inputs'!$B$32)/1000+'Inputs'!$B$21+'Inputs'!$B$7+'Inputs'!$B$10))/SQRT((((316-43)*MAX('Inputs'!$B$33,'Inputs'!$B$29+'Inputs'!$B$31+'Inputs'!$B$32,'Inputs'!$B$30+'Inputs'!$B$31+'Inputs'!$B$32)/1000+'Inputs'!$B$21+'Inputs'!$B$7+'Inputs'!$B$10))^2+('Inputs'!$B$8/2)^2))))*'Results'!$B$8)-'Inputs'!$B$28*ABS((('Results'!B7*(1-'Inputs'!$B$24)*(0.5*((((316-43)*MAX('Inputs'!$B$33,'Inputs'!$B$29+'Inputs'!$B$31+'Inputs'!$B$32,'Inputs'!$B$30+'Inputs'!$B$31+'Inputs'!$B$32)/1000+'Inputs'!$B$21)+'Inputs'!$B$7)/SQRT((((316-43)*MAX('Inputs'!$B$33,'Inputs'!$B$29+'Inputs'!$B$31+'Inputs'!$B$32,'Inputs'!$B$30+'Inputs'!$B$31+'Inputs'!$B$32)/1000+'Inputs'!$B$21)+'Inputs'!$B$7)^2+('Inputs'!$B$6/2)^2)-(((316-43)*MAX('Inputs'!$B$33,'Inputs'!$B$29+'Inputs'!$B$31+'Inputs'!$B$32,'Inputs'!$B$30+'Inputs'!$B$31+'Inputs'!$B$32)/1000+'Inputs'!$B$21))/SQRT((((316-43)*MAX('Inputs'!$B$33,'Inputs'!$B$29+'Inputs'!$B$31+'Inputs'!$B$32,'Inputs'!$B$30+'Inputs'!$B$31+'Inputs'!$B$32)/1000+'Inputs'!$B$21))^2+('Inputs'!$B$6/2)^2)))-'Results'!C7*(1+'Inputs'!$B$24)*(0.5*((((316-43)*MAX('Inputs'!$B$33,'Inputs'!$B$29+'Inputs'!$B$31+'Inputs'!$B$32,'Inputs'!$B$30+'Inputs'!$B$31+'Inputs'!$B$32)/1000+'Inputs'!$B$21+'Inputs'!$B$7+'Inputs'!$B$10)+'Inputs'!$B$9)/SQRT((((316-43)*MAX('Inputs'!$B$33,'Inputs'!$B$29+'Inputs'!$B$31+'Inputs'!$B$32,'Inputs'!$B$30+'Inputs'!$B$31+'Inputs'!$B$32)/1000+'Inputs'!$B$21+'Inputs'!$B$7+'Inputs'!$B$10)+'Inputs'!$B$9)^2+('Inputs'!$B$8/2)^2)-(((316-43)*MAX('Inputs'!$B$33,'Inputs'!$B$29+'Inputs'!$B$31+'Inputs'!$B$32,'Inputs'!$B$30+'Inputs'!$B$31+'Inputs'!$B$32)/1000+'Inputs'!$B$21+'Inputs'!$B$7+'Inputs'!$B$10))/SQRT((((316-43)*MAX('Inputs'!$B$33,'Inputs'!$B$29+'Inputs'!$B$31+'Inputs'!$B$32,'Inputs'!$B$30+'Inputs'!$B$31+'Inputs'!$B$32)/1000+'Inputs'!$B$21+'Inputs'!$B$7+'Inputs'!$B$10))^2+('Inputs'!$B$8/2)^2))))*'Results'!$B$8))),"")</x:f>
        <x:v>26.970460539300564</x:v>
      </x:c>
      <x:c r="L316" t="n">
        <x:f>IF(AND(ISNUMBER('Results'!B7),ISNUMBER('Results'!C7),ISNUMBER('Results'!$B$8),ISNUMBER('Inputs'!$B$6),ISNUMBER('Inputs'!$B$7),ISNUMBER('Inputs'!$B$8),ISNUMBER('Inputs'!$B$9),ISNUMBER('Inputs'!$B$10),ISNUMBER('Inputs'!$B$21),ISNUMBER('Inputs'!$B$24),ISNUMBER('Inputs'!$B$28)),((('Results'!B7*(1+'Inputs'!$B$24)*(0.5*((((316-43)*MAX('Inputs'!$B$33,'Inputs'!$B$29+'Inputs'!$B$31+'Inputs'!$B$32,'Inputs'!$B$30+'Inputs'!$B$31+'Inputs'!$B$32)/1000+'Inputs'!$B$21)+'Inputs'!$B$7)/SQRT((((316-43)*MAX('Inputs'!$B$33,'Inputs'!$B$29+'Inputs'!$B$31+'Inputs'!$B$32,'Inputs'!$B$30+'Inputs'!$B$31+'Inputs'!$B$32)/1000+'Inputs'!$B$21)+'Inputs'!$B$7)^2+('Inputs'!$B$6/2)^2)-(((316-43)*MAX('Inputs'!$B$33,'Inputs'!$B$29+'Inputs'!$B$31+'Inputs'!$B$32,'Inputs'!$B$30+'Inputs'!$B$31+'Inputs'!$B$32)/1000+'Inputs'!$B$21))/SQRT((((316-43)*MAX('Inputs'!$B$33,'Inputs'!$B$29+'Inputs'!$B$31+'Inputs'!$B$32,'Inputs'!$B$30+'Inputs'!$B$31+'Inputs'!$B$32)/1000+'Inputs'!$B$21))^2+('Inputs'!$B$6/2)^2)))-'Results'!C7*(1-'Inputs'!$B$24)*(0.5*((((316-43)*MAX('Inputs'!$B$33,'Inputs'!$B$29+'Inputs'!$B$31+'Inputs'!$B$32,'Inputs'!$B$30+'Inputs'!$B$31+'Inputs'!$B$32)/1000+'Inputs'!$B$21+'Inputs'!$B$7+'Inputs'!$B$10)+'Inputs'!$B$9)/SQRT((((316-43)*MAX('Inputs'!$B$33,'Inputs'!$B$29+'Inputs'!$B$31+'Inputs'!$B$32,'Inputs'!$B$30+'Inputs'!$B$31+'Inputs'!$B$32)/1000+'Inputs'!$B$21+'Inputs'!$B$7+'Inputs'!$B$10)+'Inputs'!$B$9)^2+('Inputs'!$B$8/2)^2)-(((316-43)*MAX('Inputs'!$B$33,'Inputs'!$B$29+'Inputs'!$B$31+'Inputs'!$B$32,'Inputs'!$B$30+'Inputs'!$B$31+'Inputs'!$B$32)/1000+'Inputs'!$B$21+'Inputs'!$B$7+'Inputs'!$B$10))/SQRT((((316-43)*MAX('Inputs'!$B$33,'Inputs'!$B$29+'Inputs'!$B$31+'Inputs'!$B$32,'Inputs'!$B$30+'Inputs'!$B$31+'Inputs'!$B$32)/1000+'Inputs'!$B$21+'Inputs'!$B$7+'Inputs'!$B$10))^2+('Inputs'!$B$8/2)^2))))*'Results'!$B$8)+'Inputs'!$B$28*ABS((('Results'!B7*(1+'Inputs'!$B$24)*(0.5*((((316-43)*MAX('Inputs'!$B$33,'Inputs'!$B$29+'Inputs'!$B$31+'Inputs'!$B$32,'Inputs'!$B$30+'Inputs'!$B$31+'Inputs'!$B$32)/1000+'Inputs'!$B$21)+'Inputs'!$B$7)/SQRT((((316-43)*MAX('Inputs'!$B$33,'Inputs'!$B$29+'Inputs'!$B$31+'Inputs'!$B$32,'Inputs'!$B$30+'Inputs'!$B$31+'Inputs'!$B$32)/1000+'Inputs'!$B$21)+'Inputs'!$B$7)^2+('Inputs'!$B$6/2)^2)-(((316-43)*MAX('Inputs'!$B$33,'Inputs'!$B$29+'Inputs'!$B$31+'Inputs'!$B$32,'Inputs'!$B$30+'Inputs'!$B$31+'Inputs'!$B$32)/1000+'Inputs'!$B$21))/SQRT((((316-43)*MAX('Inputs'!$B$33,'Inputs'!$B$29+'Inputs'!$B$31+'Inputs'!$B$32,'Inputs'!$B$30+'Inputs'!$B$31+'Inputs'!$B$32)/1000+'Inputs'!$B$21))^2+('Inputs'!$B$6/2)^2)))-'Results'!C7*(1-'Inputs'!$B$24)*(0.5*((((316-43)*MAX('Inputs'!$B$33,'Inputs'!$B$29+'Inputs'!$B$31+'Inputs'!$B$32,'Inputs'!$B$30+'Inputs'!$B$31+'Inputs'!$B$32)/1000+'Inputs'!$B$21+'Inputs'!$B$7+'Inputs'!$B$10)+'Inputs'!$B$9)/SQRT((((316-43)*MAX('Inputs'!$B$33,'Inputs'!$B$29+'Inputs'!$B$31+'Inputs'!$B$32,'Inputs'!$B$30+'Inputs'!$B$31+'Inputs'!$B$32)/1000+'Inputs'!$B$21+'Inputs'!$B$7+'Inputs'!$B$10)+'Inputs'!$B$9)^2+('Inputs'!$B$8/2)^2)-(((316-43)*MAX('Inputs'!$B$33,'Inputs'!$B$29+'Inputs'!$B$31+'Inputs'!$B$32,'Inputs'!$B$30+'Inputs'!$B$31+'Inputs'!$B$32)/1000+'Inputs'!$B$21+'Inputs'!$B$7+'Inputs'!$B$10))/SQRT((((316-43)*MAX('Inputs'!$B$33,'Inputs'!$B$29+'Inputs'!$B$31+'Inputs'!$B$32,'Inputs'!$B$30+'Inputs'!$B$31+'Inputs'!$B$32)/1000+'Inputs'!$B$21+'Inputs'!$B$7+'Inputs'!$B$10))^2+('Inputs'!$B$8/2)^2))))*'Results'!$B$8))),"")</x:f>
        <x:v>32.59479515450028</x:v>
      </x:c>
      <x:c r="M316" t="n">
        <x:f>IF(AND(ISNUMBER('Results'!C7),ISNUMBER('Results'!B7),ISNUMBER('Results'!$B$8),ISNUMBER('Inputs'!$B$6),ISNUMBER('Inputs'!$B$7),ISNUMBER('Inputs'!$B$8),ISNUMBER('Inputs'!$B$9),ISNUMBER('Inputs'!$B$10),ISNUMBER('Inputs'!$B$21),ISNUMBER('Inputs'!$B$24),ISNUMBER('Inputs'!$B$28)),(('Results'!C7*(0.5*((((316-43)*MAX('Inputs'!$B$33,'Inputs'!$B$29+'Inputs'!$B$31+'Inputs'!$B$32,'Inputs'!$B$30+'Inputs'!$B$31+'Inputs'!$B$32)/1000+'Inputs'!$B$21)+'Inputs'!$B$9)/SQRT((((316-43)*MAX('Inputs'!$B$33,'Inputs'!$B$29+'Inputs'!$B$31+'Inputs'!$B$32,'Inputs'!$B$30+'Inputs'!$B$31+'Inputs'!$B$32)/1000+'Inputs'!$B$21)+'Inputs'!$B$9)^2+('Inputs'!$B$8/2)^2)-(((316-43)*MAX('Inputs'!$B$33,'Inputs'!$B$29+'Inputs'!$B$31+'Inputs'!$B$32,'Inputs'!$B$30+'Inputs'!$B$31+'Inputs'!$B$32)/1000+'Inputs'!$B$21))/SQRT((((316-43)*MAX('Inputs'!$B$33,'Inputs'!$B$29+'Inputs'!$B$31+'Inputs'!$B$32,'Inputs'!$B$30+'Inputs'!$B$31+'Inputs'!$B$32)/1000+'Inputs'!$B$21))^2+('Inputs'!$B$8/2)^2)))-'Results'!B7*(0.5*((((316-43)*MAX('Inputs'!$B$33,'Inputs'!$B$29+'Inputs'!$B$31+'Inputs'!$B$32,'Inputs'!$B$30+'Inputs'!$B$31+'Inputs'!$B$32)/1000+'Inputs'!$B$21+'Inputs'!$B$9+'Inputs'!$B$10)+'Inputs'!$B$7)/SQRT((((316-43)*MAX('Inputs'!$B$33,'Inputs'!$B$29+'Inputs'!$B$31+'Inputs'!$B$32,'Inputs'!$B$30+'Inputs'!$B$31+'Inputs'!$B$32)/1000+'Inputs'!$B$21+'Inputs'!$B$9+'Inputs'!$B$10)+'Inputs'!$B$7)^2+('Inputs'!$B$6/2)^2)-(((316-43)*MAX('Inputs'!$B$33,'Inputs'!$B$29+'Inputs'!$B$31+'Inputs'!$B$32,'Inputs'!$B$30+'Inputs'!$B$31+'Inputs'!$B$32)/1000+'Inputs'!$B$21+'Inputs'!$B$9+'Inputs'!$B$10))/SQRT((((316-43)*MAX('Inputs'!$B$33,'Inputs'!$B$29+'Inputs'!$B$31+'Inputs'!$B$32,'Inputs'!$B$30+'Inputs'!$B$31+'Inputs'!$B$32)/1000+'Inputs'!$B$21+'Inputs'!$B$9+'Inputs'!$B$10))^2+('Inputs'!$B$6/2)^2))))*'Results'!$B$8),"")</x:f>
        <x:v>28.382488813548196</x:v>
      </x:c>
      <x:c r="N316" t="n">
        <x:f>IF(AND(ISNUMBER('Results'!C7),ISNUMBER('Results'!B7),ISNUMBER('Results'!$B$8),ISNUMBER('Inputs'!$B$6),ISNUMBER('Inputs'!$B$7),ISNUMBER('Inputs'!$B$8),ISNUMBER('Inputs'!$B$9),ISNUMBER('Inputs'!$B$10),ISNUMBER('Inputs'!$B$21),ISNUMBER('Inputs'!$B$24),ISNUMBER('Inputs'!$B$28)),((('Results'!C7*(1-'Inputs'!$B$24)*(0.5*((((316-43)*MAX('Inputs'!$B$33,'Inputs'!$B$29+'Inputs'!$B$31+'Inputs'!$B$32,'Inputs'!$B$30+'Inputs'!$B$31+'Inputs'!$B$32)/1000+'Inputs'!$B$21)+'Inputs'!$B$9)/SQRT((((316-43)*MAX('Inputs'!$B$33,'Inputs'!$B$29+'Inputs'!$B$31+'Inputs'!$B$32,'Inputs'!$B$30+'Inputs'!$B$31+'Inputs'!$B$32)/1000+'Inputs'!$B$21)+'Inputs'!$B$9)^2+('Inputs'!$B$8/2)^2)-(((316-43)*MAX('Inputs'!$B$33,'Inputs'!$B$29+'Inputs'!$B$31+'Inputs'!$B$32,'Inputs'!$B$30+'Inputs'!$B$31+'Inputs'!$B$32)/1000+'Inputs'!$B$21))/SQRT((((316-43)*MAX('Inputs'!$B$33,'Inputs'!$B$29+'Inputs'!$B$31+'Inputs'!$B$32,'Inputs'!$B$30+'Inputs'!$B$31+'Inputs'!$B$32)/1000+'Inputs'!$B$21))^2+('Inputs'!$B$8/2)^2)))-'Results'!B7*(1+'Inputs'!$B$24)*(0.5*((((316-43)*MAX('Inputs'!$B$33,'Inputs'!$B$29+'Inputs'!$B$31+'Inputs'!$B$32,'Inputs'!$B$30+'Inputs'!$B$31+'Inputs'!$B$32)/1000+'Inputs'!$B$21+'Inputs'!$B$9+'Inputs'!$B$10)+'Inputs'!$B$7)/SQRT((((316-43)*MAX('Inputs'!$B$33,'Inputs'!$B$29+'Inputs'!$B$31+'Inputs'!$B$32,'Inputs'!$B$30+'Inputs'!$B$31+'Inputs'!$B$32)/1000+'Inputs'!$B$21+'Inputs'!$B$9+'Inputs'!$B$10)+'Inputs'!$B$7)^2+('Inputs'!$B$6/2)^2)-(((316-43)*MAX('Inputs'!$B$33,'Inputs'!$B$29+'Inputs'!$B$31+'Inputs'!$B$32,'Inputs'!$B$30+'Inputs'!$B$31+'Inputs'!$B$32)/1000+'Inputs'!$B$21+'Inputs'!$B$9+'Inputs'!$B$10))/SQRT((((316-43)*MAX('Inputs'!$B$33,'Inputs'!$B$29+'Inputs'!$B$31+'Inputs'!$B$32,'Inputs'!$B$30+'Inputs'!$B$31+'Inputs'!$B$32)/1000+'Inputs'!$B$21+'Inputs'!$B$9+'Inputs'!$B$10))^2+('Inputs'!$B$6/2)^2))))*'Results'!$B$8)-'Inputs'!$B$28*ABS((('Results'!C7*(1-'Inputs'!$B$24)*(0.5*((((316-43)*MAX('Inputs'!$B$33,'Inputs'!$B$29+'Inputs'!$B$31+'Inputs'!$B$32,'Inputs'!$B$30+'Inputs'!$B$31+'Inputs'!$B$32)/1000+'Inputs'!$B$21)+'Inputs'!$B$9)/SQRT((((316-43)*MAX('Inputs'!$B$33,'Inputs'!$B$29+'Inputs'!$B$31+'Inputs'!$B$32,'Inputs'!$B$30+'Inputs'!$B$31+'Inputs'!$B$32)/1000+'Inputs'!$B$21)+'Inputs'!$B$9)^2+('Inputs'!$B$8/2)^2)-(((316-43)*MAX('Inputs'!$B$33,'Inputs'!$B$29+'Inputs'!$B$31+'Inputs'!$B$32,'Inputs'!$B$30+'Inputs'!$B$31+'Inputs'!$B$32)/1000+'Inputs'!$B$21))/SQRT((((316-43)*MAX('Inputs'!$B$33,'Inputs'!$B$29+'Inputs'!$B$31+'Inputs'!$B$32,'Inputs'!$B$30+'Inputs'!$B$31+'Inputs'!$B$32)/1000+'Inputs'!$B$21))^2+('Inputs'!$B$8/2)^2)))-'Results'!B7*(1+'Inputs'!$B$24)*(0.5*((((316-43)*MAX('Inputs'!$B$33,'Inputs'!$B$29+'Inputs'!$B$31+'Inputs'!$B$32,'Inputs'!$B$30+'Inputs'!$B$31+'Inputs'!$B$32)/1000+'Inputs'!$B$21+'Inputs'!$B$9+'Inputs'!$B$10)+'Inputs'!$B$7)/SQRT((((316-43)*MAX('Inputs'!$B$33,'Inputs'!$B$29+'Inputs'!$B$31+'Inputs'!$B$32,'Inputs'!$B$30+'Inputs'!$B$31+'Inputs'!$B$32)/1000+'Inputs'!$B$21+'Inputs'!$B$9+'Inputs'!$B$10)+'Inputs'!$B$7)^2+('Inputs'!$B$6/2)^2)-(((316-43)*MAX('Inputs'!$B$33,'Inputs'!$B$29+'Inputs'!$B$31+'Inputs'!$B$32,'Inputs'!$B$30+'Inputs'!$B$31+'Inputs'!$B$32)/1000+'Inputs'!$B$21+'Inputs'!$B$9+'Inputs'!$B$10))/SQRT((((316-43)*MAX('Inputs'!$B$33,'Inputs'!$B$29+'Inputs'!$B$31+'Inputs'!$B$32,'Inputs'!$B$30+'Inputs'!$B$31+'Inputs'!$B$32)/1000+'Inputs'!$B$21+'Inputs'!$B$9+'Inputs'!$B$10))^2+('Inputs'!$B$6/2)^2))))*'Results'!$B$8))),"")</x:f>
        <x:v>25.71448044243531</x:v>
      </x:c>
      <x:c r="O316" t="n">
        <x:f>IF(AND(ISNUMBER('Results'!C7),ISNUMBER('Results'!B7),ISNUMBER('Results'!$B$8),ISNUMBER('Inputs'!$B$6),ISNUMBER('Inputs'!$B$7),ISNUMBER('Inputs'!$B$8),ISNUMBER('Inputs'!$B$9),ISNUMBER('Inputs'!$B$10),ISNUMBER('Inputs'!$B$21),ISNUMBER('Inputs'!$B$24),ISNUMBER('Inputs'!$B$28)),((('Results'!C7*(1+'Inputs'!$B$24)*(0.5*((((316-43)*MAX('Inputs'!$B$33,'Inputs'!$B$29+'Inputs'!$B$31+'Inputs'!$B$32,'Inputs'!$B$30+'Inputs'!$B$31+'Inputs'!$B$32)/1000+'Inputs'!$B$21)+'Inputs'!$B$9)/SQRT((((316-43)*MAX('Inputs'!$B$33,'Inputs'!$B$29+'Inputs'!$B$31+'Inputs'!$B$32,'Inputs'!$B$30+'Inputs'!$B$31+'Inputs'!$B$32)/1000+'Inputs'!$B$21)+'Inputs'!$B$9)^2+('Inputs'!$B$8/2)^2)-(((316-43)*MAX('Inputs'!$B$33,'Inputs'!$B$29+'Inputs'!$B$31+'Inputs'!$B$32,'Inputs'!$B$30+'Inputs'!$B$31+'Inputs'!$B$32)/1000+'Inputs'!$B$21))/SQRT((((316-43)*MAX('Inputs'!$B$33,'Inputs'!$B$29+'Inputs'!$B$31+'Inputs'!$B$32,'Inputs'!$B$30+'Inputs'!$B$31+'Inputs'!$B$32)/1000+'Inputs'!$B$21))^2+('Inputs'!$B$8/2)^2)))-'Results'!B7*(1-'Inputs'!$B$24)*(0.5*((((316-43)*MAX('Inputs'!$B$33,'Inputs'!$B$29+'Inputs'!$B$31+'Inputs'!$B$32,'Inputs'!$B$30+'Inputs'!$B$31+'Inputs'!$B$32)/1000+'Inputs'!$B$21+'Inputs'!$B$9+'Inputs'!$B$10)+'Inputs'!$B$7)/SQRT((((316-43)*MAX('Inputs'!$B$33,'Inputs'!$B$29+'Inputs'!$B$31+'Inputs'!$B$32,'Inputs'!$B$30+'Inputs'!$B$31+'Inputs'!$B$32)/1000+'Inputs'!$B$21+'Inputs'!$B$9+'Inputs'!$B$10)+'Inputs'!$B$7)^2+('Inputs'!$B$6/2)^2)-(((316-43)*MAX('Inputs'!$B$33,'Inputs'!$B$29+'Inputs'!$B$31+'Inputs'!$B$32,'Inputs'!$B$30+'Inputs'!$B$31+'Inputs'!$B$32)/1000+'Inputs'!$B$21+'Inputs'!$B$9+'Inputs'!$B$10))/SQRT((((316-43)*MAX('Inputs'!$B$33,'Inputs'!$B$29+'Inputs'!$B$31+'Inputs'!$B$32,'Inputs'!$B$30+'Inputs'!$B$31+'Inputs'!$B$32)/1000+'Inputs'!$B$21+'Inputs'!$B$9+'Inputs'!$B$10))^2+('Inputs'!$B$6/2)^2))))*'Results'!$B$8)+'Inputs'!$B$28*ABS((('Results'!C7*(1+'Inputs'!$B$24)*(0.5*((((316-43)*MAX('Inputs'!$B$33,'Inputs'!$B$29+'Inputs'!$B$31+'Inputs'!$B$32,'Inputs'!$B$30+'Inputs'!$B$31+'Inputs'!$B$32)/1000+'Inputs'!$B$21)+'Inputs'!$B$9)/SQRT((((316-43)*MAX('Inputs'!$B$33,'Inputs'!$B$29+'Inputs'!$B$31+'Inputs'!$B$32,'Inputs'!$B$30+'Inputs'!$B$31+'Inputs'!$B$32)/1000+'Inputs'!$B$21)+'Inputs'!$B$9)^2+('Inputs'!$B$8/2)^2)-(((316-43)*MAX('Inputs'!$B$33,'Inputs'!$B$29+'Inputs'!$B$31+'Inputs'!$B$32,'Inputs'!$B$30+'Inputs'!$B$31+'Inputs'!$B$32)/1000+'Inputs'!$B$21))/SQRT((((316-43)*MAX('Inputs'!$B$33,'Inputs'!$B$29+'Inputs'!$B$31+'Inputs'!$B$32,'Inputs'!$B$30+'Inputs'!$B$31+'Inputs'!$B$32)/1000+'Inputs'!$B$21))^2+('Inputs'!$B$8/2)^2)))-'Results'!B7*(1-'Inputs'!$B$24)*(0.5*((((316-43)*MAX('Inputs'!$B$33,'Inputs'!$B$29+'Inputs'!$B$31+'Inputs'!$B$32,'Inputs'!$B$30+'Inputs'!$B$31+'Inputs'!$B$32)/1000+'Inputs'!$B$21+'Inputs'!$B$9+'Inputs'!$B$10)+'Inputs'!$B$7)/SQRT((((316-43)*MAX('Inputs'!$B$33,'Inputs'!$B$29+'Inputs'!$B$31+'Inputs'!$B$32,'Inputs'!$B$30+'Inputs'!$B$31+'Inputs'!$B$32)/1000+'Inputs'!$B$21+'Inputs'!$B$9+'Inputs'!$B$10)+'Inputs'!$B$7)^2+('Inputs'!$B$6/2)^2)-(((316-43)*MAX('Inputs'!$B$33,'Inputs'!$B$29+'Inputs'!$B$31+'Inputs'!$B$32,'Inputs'!$B$30+'Inputs'!$B$31+'Inputs'!$B$32)/1000+'Inputs'!$B$21+'Inputs'!$B$9+'Inputs'!$B$10))/SQRT((((316-43)*MAX('Inputs'!$B$33,'Inputs'!$B$29+'Inputs'!$B$31+'Inputs'!$B$32,'Inputs'!$B$30+'Inputs'!$B$31+'Inputs'!$B$32)/1000+'Inputs'!$B$21+'Inputs'!$B$9+'Inputs'!$B$10))^2+('Inputs'!$B$6/2)^2))))*'Results'!$B$8))),"")</x:f>
        <x:v>31.18195865102272</x:v>
      </x:c>
      <x:c r="P316" t="n">
        <x:f>IF(AND(MAX(J316,J315)&gt;0,J316&gt;J315+0.00000001),1,0)</x:f>
        <x:v>0</x:v>
      </x:c>
      <x:c r="Q316" t="n">
        <x:f>IF(AND(MAX(K316,K315)&gt;0,K316&gt;K315+0.00000001),1,0)</x:f>
        <x:v>0</x:v>
      </x:c>
      <x:c r="R316" t="n">
        <x:f>IF(AND(MAX(L316,L315)&gt;0,L316&gt;L315+0.00000001),1,0)</x:f>
        <x:v>0</x:v>
      </x:c>
      <x:c r="S316" t="n">
        <x:f>IF(AND(MAX(M316,M315)&gt;0,M316&gt;M315+0.00000001),1,0)</x:f>
        <x:v>0</x:v>
      </x:c>
      <x:c r="T316" t="n">
        <x:f>IF(AND(MAX(N316,N315)&gt;0,N316&gt;N315+0.00000001),1,0)</x:f>
        <x:v>0</x:v>
      </x:c>
      <x:c r="U316" t="n">
        <x:f>IF(AND(MAX(O316,O315)&gt;0,O316&gt;O315+0.00000001),1,0)</x:f>
        <x:v>0</x:v>
      </x:c>
    </x:row>
    <x:row r="317">
      <x:c r="J317" t="n">
        <x:f>IF(AND(ISNUMBER('Results'!B7),ISNUMBER('Results'!C7),ISNUMBER('Results'!$B$8),ISNUMBER('Inputs'!$B$6),ISNUMBER('Inputs'!$B$7),ISNUMBER('Inputs'!$B$8),ISNUMBER('Inputs'!$B$9),ISNUMBER('Inputs'!$B$10),ISNUMBER('Inputs'!$B$21),ISNUMBER('Inputs'!$B$24),ISNUMBER('Inputs'!$B$28)),(('Results'!B7*(0.5*((((317-43)*MAX('Inputs'!$B$33,'Inputs'!$B$29+'Inputs'!$B$31+'Inputs'!$B$32,'Inputs'!$B$30+'Inputs'!$B$31+'Inputs'!$B$32)/1000+'Inputs'!$B$21)+'Inputs'!$B$7)/SQRT((((317-43)*MAX('Inputs'!$B$33,'Inputs'!$B$29+'Inputs'!$B$31+'Inputs'!$B$32,'Inputs'!$B$30+'Inputs'!$B$31+'Inputs'!$B$32)/1000+'Inputs'!$B$21)+'Inputs'!$B$7)^2+('Inputs'!$B$6/2)^2)-(((317-43)*MAX('Inputs'!$B$33,'Inputs'!$B$29+'Inputs'!$B$31+'Inputs'!$B$32,'Inputs'!$B$30+'Inputs'!$B$31+'Inputs'!$B$32)/1000+'Inputs'!$B$21))/SQRT((((317-43)*MAX('Inputs'!$B$33,'Inputs'!$B$29+'Inputs'!$B$31+'Inputs'!$B$32,'Inputs'!$B$30+'Inputs'!$B$31+'Inputs'!$B$32)/1000+'Inputs'!$B$21))^2+('Inputs'!$B$6/2)^2)))-'Results'!C7*(0.5*((((317-43)*MAX('Inputs'!$B$33,'Inputs'!$B$29+'Inputs'!$B$31+'Inputs'!$B$32,'Inputs'!$B$30+'Inputs'!$B$31+'Inputs'!$B$32)/1000+'Inputs'!$B$21+'Inputs'!$B$7+'Inputs'!$B$10)+'Inputs'!$B$9)/SQRT((((317-43)*MAX('Inputs'!$B$33,'Inputs'!$B$29+'Inputs'!$B$31+'Inputs'!$B$32,'Inputs'!$B$30+'Inputs'!$B$31+'Inputs'!$B$32)/1000+'Inputs'!$B$21+'Inputs'!$B$7+'Inputs'!$B$10)+'Inputs'!$B$9)^2+('Inputs'!$B$8/2)^2)-(((317-43)*MAX('Inputs'!$B$33,'Inputs'!$B$29+'Inputs'!$B$31+'Inputs'!$B$32,'Inputs'!$B$30+'Inputs'!$B$31+'Inputs'!$B$32)/1000+'Inputs'!$B$21+'Inputs'!$B$7+'Inputs'!$B$10))/SQRT((((317-43)*MAX('Inputs'!$B$33,'Inputs'!$B$29+'Inputs'!$B$31+'Inputs'!$B$32,'Inputs'!$B$30+'Inputs'!$B$31+'Inputs'!$B$32)/1000+'Inputs'!$B$21+'Inputs'!$B$7+'Inputs'!$B$10))^2+('Inputs'!$B$8/2)^2))))*'Results'!$B$8),"")</x:f>
        <x:v>29.388322358697295</x:v>
      </x:c>
      <x:c r="K317" t="n">
        <x:f>IF(AND(ISNUMBER('Results'!B7),ISNUMBER('Results'!C7),ISNUMBER('Results'!$B$8),ISNUMBER('Inputs'!$B$6),ISNUMBER('Inputs'!$B$7),ISNUMBER('Inputs'!$B$8),ISNUMBER('Inputs'!$B$9),ISNUMBER('Inputs'!$B$10),ISNUMBER('Inputs'!$B$21),ISNUMBER('Inputs'!$B$24),ISNUMBER('Inputs'!$B$28)),((('Results'!B7*(1-'Inputs'!$B$24)*(0.5*((((317-43)*MAX('Inputs'!$B$33,'Inputs'!$B$29+'Inputs'!$B$31+'Inputs'!$B$32,'Inputs'!$B$30+'Inputs'!$B$31+'Inputs'!$B$32)/1000+'Inputs'!$B$21)+'Inputs'!$B$7)/SQRT((((317-43)*MAX('Inputs'!$B$33,'Inputs'!$B$29+'Inputs'!$B$31+'Inputs'!$B$32,'Inputs'!$B$30+'Inputs'!$B$31+'Inputs'!$B$32)/1000+'Inputs'!$B$21)+'Inputs'!$B$7)^2+('Inputs'!$B$6/2)^2)-(((317-43)*MAX('Inputs'!$B$33,'Inputs'!$B$29+'Inputs'!$B$31+'Inputs'!$B$32,'Inputs'!$B$30+'Inputs'!$B$31+'Inputs'!$B$32)/1000+'Inputs'!$B$21))/SQRT((((317-43)*MAX('Inputs'!$B$33,'Inputs'!$B$29+'Inputs'!$B$31+'Inputs'!$B$32,'Inputs'!$B$30+'Inputs'!$B$31+'Inputs'!$B$32)/1000+'Inputs'!$B$21))^2+('Inputs'!$B$6/2)^2)))-'Results'!C7*(1+'Inputs'!$B$24)*(0.5*((((317-43)*MAX('Inputs'!$B$33,'Inputs'!$B$29+'Inputs'!$B$31+'Inputs'!$B$32,'Inputs'!$B$30+'Inputs'!$B$31+'Inputs'!$B$32)/1000+'Inputs'!$B$21+'Inputs'!$B$7+'Inputs'!$B$10)+'Inputs'!$B$9)/SQRT((((317-43)*MAX('Inputs'!$B$33,'Inputs'!$B$29+'Inputs'!$B$31+'Inputs'!$B$32,'Inputs'!$B$30+'Inputs'!$B$31+'Inputs'!$B$32)/1000+'Inputs'!$B$21+'Inputs'!$B$7+'Inputs'!$B$10)+'Inputs'!$B$9)^2+('Inputs'!$B$8/2)^2)-(((317-43)*MAX('Inputs'!$B$33,'Inputs'!$B$29+'Inputs'!$B$31+'Inputs'!$B$32,'Inputs'!$B$30+'Inputs'!$B$31+'Inputs'!$B$32)/1000+'Inputs'!$B$21+'Inputs'!$B$7+'Inputs'!$B$10))/SQRT((((317-43)*MAX('Inputs'!$B$33,'Inputs'!$B$29+'Inputs'!$B$31+'Inputs'!$B$32,'Inputs'!$B$30+'Inputs'!$B$31+'Inputs'!$B$32)/1000+'Inputs'!$B$21+'Inputs'!$B$7+'Inputs'!$B$10))^2+('Inputs'!$B$8/2)^2))))*'Results'!$B$8)-'Inputs'!$B$28*ABS((('Results'!B7*(1-'Inputs'!$B$24)*(0.5*((((317-43)*MAX('Inputs'!$B$33,'Inputs'!$B$29+'Inputs'!$B$31+'Inputs'!$B$32,'Inputs'!$B$30+'Inputs'!$B$31+'Inputs'!$B$32)/1000+'Inputs'!$B$21)+'Inputs'!$B$7)/SQRT((((317-43)*MAX('Inputs'!$B$33,'Inputs'!$B$29+'Inputs'!$B$31+'Inputs'!$B$32,'Inputs'!$B$30+'Inputs'!$B$31+'Inputs'!$B$32)/1000+'Inputs'!$B$21)+'Inputs'!$B$7)^2+('Inputs'!$B$6/2)^2)-(((317-43)*MAX('Inputs'!$B$33,'Inputs'!$B$29+'Inputs'!$B$31+'Inputs'!$B$32,'Inputs'!$B$30+'Inputs'!$B$31+'Inputs'!$B$32)/1000+'Inputs'!$B$21))/SQRT((((317-43)*MAX('Inputs'!$B$33,'Inputs'!$B$29+'Inputs'!$B$31+'Inputs'!$B$32,'Inputs'!$B$30+'Inputs'!$B$31+'Inputs'!$B$32)/1000+'Inputs'!$B$21))^2+('Inputs'!$B$6/2)^2)))-'Results'!C7*(1+'Inputs'!$B$24)*(0.5*((((317-43)*MAX('Inputs'!$B$33,'Inputs'!$B$29+'Inputs'!$B$31+'Inputs'!$B$32,'Inputs'!$B$30+'Inputs'!$B$31+'Inputs'!$B$32)/1000+'Inputs'!$B$21+'Inputs'!$B$7+'Inputs'!$B$10)+'Inputs'!$B$9)/SQRT((((317-43)*MAX('Inputs'!$B$33,'Inputs'!$B$29+'Inputs'!$B$31+'Inputs'!$B$32,'Inputs'!$B$30+'Inputs'!$B$31+'Inputs'!$B$32)/1000+'Inputs'!$B$21+'Inputs'!$B$7+'Inputs'!$B$10)+'Inputs'!$B$9)^2+('Inputs'!$B$8/2)^2)-(((317-43)*MAX('Inputs'!$B$33,'Inputs'!$B$29+'Inputs'!$B$31+'Inputs'!$B$32,'Inputs'!$B$30+'Inputs'!$B$31+'Inputs'!$B$32)/1000+'Inputs'!$B$21+'Inputs'!$B$7+'Inputs'!$B$10))/SQRT((((317-43)*MAX('Inputs'!$B$33,'Inputs'!$B$29+'Inputs'!$B$31+'Inputs'!$B$32,'Inputs'!$B$30+'Inputs'!$B$31+'Inputs'!$B$32)/1000+'Inputs'!$B$21+'Inputs'!$B$7+'Inputs'!$B$10))^2+('Inputs'!$B$8/2)^2))))*'Results'!$B$8))),"")</x:f>
        <x:v>26.670026519117247</x:v>
      </x:c>
      <x:c r="L317" t="n">
        <x:f>IF(AND(ISNUMBER('Results'!B7),ISNUMBER('Results'!C7),ISNUMBER('Results'!$B$8),ISNUMBER('Inputs'!$B$6),ISNUMBER('Inputs'!$B$7),ISNUMBER('Inputs'!$B$8),ISNUMBER('Inputs'!$B$9),ISNUMBER('Inputs'!$B$10),ISNUMBER('Inputs'!$B$21),ISNUMBER('Inputs'!$B$24),ISNUMBER('Inputs'!$B$28)),((('Results'!B7*(1+'Inputs'!$B$24)*(0.5*((((317-43)*MAX('Inputs'!$B$33,'Inputs'!$B$29+'Inputs'!$B$31+'Inputs'!$B$32,'Inputs'!$B$30+'Inputs'!$B$31+'Inputs'!$B$32)/1000+'Inputs'!$B$21)+'Inputs'!$B$7)/SQRT((((317-43)*MAX('Inputs'!$B$33,'Inputs'!$B$29+'Inputs'!$B$31+'Inputs'!$B$32,'Inputs'!$B$30+'Inputs'!$B$31+'Inputs'!$B$32)/1000+'Inputs'!$B$21)+'Inputs'!$B$7)^2+('Inputs'!$B$6/2)^2)-(((317-43)*MAX('Inputs'!$B$33,'Inputs'!$B$29+'Inputs'!$B$31+'Inputs'!$B$32,'Inputs'!$B$30+'Inputs'!$B$31+'Inputs'!$B$32)/1000+'Inputs'!$B$21))/SQRT((((317-43)*MAX('Inputs'!$B$33,'Inputs'!$B$29+'Inputs'!$B$31+'Inputs'!$B$32,'Inputs'!$B$30+'Inputs'!$B$31+'Inputs'!$B$32)/1000+'Inputs'!$B$21))^2+('Inputs'!$B$6/2)^2)))-'Results'!C7*(1-'Inputs'!$B$24)*(0.5*((((317-43)*MAX('Inputs'!$B$33,'Inputs'!$B$29+'Inputs'!$B$31+'Inputs'!$B$32,'Inputs'!$B$30+'Inputs'!$B$31+'Inputs'!$B$32)/1000+'Inputs'!$B$21+'Inputs'!$B$7+'Inputs'!$B$10)+'Inputs'!$B$9)/SQRT((((317-43)*MAX('Inputs'!$B$33,'Inputs'!$B$29+'Inputs'!$B$31+'Inputs'!$B$32,'Inputs'!$B$30+'Inputs'!$B$31+'Inputs'!$B$32)/1000+'Inputs'!$B$21+'Inputs'!$B$7+'Inputs'!$B$10)+'Inputs'!$B$9)^2+('Inputs'!$B$8/2)^2)-(((317-43)*MAX('Inputs'!$B$33,'Inputs'!$B$29+'Inputs'!$B$31+'Inputs'!$B$32,'Inputs'!$B$30+'Inputs'!$B$31+'Inputs'!$B$32)/1000+'Inputs'!$B$21+'Inputs'!$B$7+'Inputs'!$B$10))/SQRT((((317-43)*MAX('Inputs'!$B$33,'Inputs'!$B$29+'Inputs'!$B$31+'Inputs'!$B$32,'Inputs'!$B$30+'Inputs'!$B$31+'Inputs'!$B$32)/1000+'Inputs'!$B$21+'Inputs'!$B$7+'Inputs'!$B$10))^2+('Inputs'!$B$8/2)^2))))*'Results'!$B$8)+'Inputs'!$B$28*ABS((('Results'!B7*(1+'Inputs'!$B$24)*(0.5*((((317-43)*MAX('Inputs'!$B$33,'Inputs'!$B$29+'Inputs'!$B$31+'Inputs'!$B$32,'Inputs'!$B$30+'Inputs'!$B$31+'Inputs'!$B$32)/1000+'Inputs'!$B$21)+'Inputs'!$B$7)/SQRT((((317-43)*MAX('Inputs'!$B$33,'Inputs'!$B$29+'Inputs'!$B$31+'Inputs'!$B$32,'Inputs'!$B$30+'Inputs'!$B$31+'Inputs'!$B$32)/1000+'Inputs'!$B$21)+'Inputs'!$B$7)^2+('Inputs'!$B$6/2)^2)-(((317-43)*MAX('Inputs'!$B$33,'Inputs'!$B$29+'Inputs'!$B$31+'Inputs'!$B$32,'Inputs'!$B$30+'Inputs'!$B$31+'Inputs'!$B$32)/1000+'Inputs'!$B$21))/SQRT((((317-43)*MAX('Inputs'!$B$33,'Inputs'!$B$29+'Inputs'!$B$31+'Inputs'!$B$32,'Inputs'!$B$30+'Inputs'!$B$31+'Inputs'!$B$32)/1000+'Inputs'!$B$21))^2+('Inputs'!$B$6/2)^2)))-'Results'!C7*(1-'Inputs'!$B$24)*(0.5*((((317-43)*MAX('Inputs'!$B$33,'Inputs'!$B$29+'Inputs'!$B$31+'Inputs'!$B$32,'Inputs'!$B$30+'Inputs'!$B$31+'Inputs'!$B$32)/1000+'Inputs'!$B$21+'Inputs'!$B$7+'Inputs'!$B$10)+'Inputs'!$B$9)/SQRT((((317-43)*MAX('Inputs'!$B$33,'Inputs'!$B$29+'Inputs'!$B$31+'Inputs'!$B$32,'Inputs'!$B$30+'Inputs'!$B$31+'Inputs'!$B$32)/1000+'Inputs'!$B$21+'Inputs'!$B$7+'Inputs'!$B$10)+'Inputs'!$B$9)^2+('Inputs'!$B$8/2)^2)-(((317-43)*MAX('Inputs'!$B$33,'Inputs'!$B$29+'Inputs'!$B$31+'Inputs'!$B$32,'Inputs'!$B$30+'Inputs'!$B$31+'Inputs'!$B$32)/1000+'Inputs'!$B$21+'Inputs'!$B$7+'Inputs'!$B$10))/SQRT((((317-43)*MAX('Inputs'!$B$33,'Inputs'!$B$29+'Inputs'!$B$31+'Inputs'!$B$32,'Inputs'!$B$30+'Inputs'!$B$31+'Inputs'!$B$32)/1000+'Inputs'!$B$21+'Inputs'!$B$7+'Inputs'!$B$10))^2+('Inputs'!$B$8/2)^2))))*'Results'!$B$8))),"")</x:f>
        <x:v>32.2380792216084</x:v>
      </x:c>
      <x:c r="M317" t="n">
        <x:f>IF(AND(ISNUMBER('Results'!C7),ISNUMBER('Results'!B7),ISNUMBER('Results'!$B$8),ISNUMBER('Inputs'!$B$6),ISNUMBER('Inputs'!$B$7),ISNUMBER('Inputs'!$B$8),ISNUMBER('Inputs'!$B$9),ISNUMBER('Inputs'!$B$10),ISNUMBER('Inputs'!$B$21),ISNUMBER('Inputs'!$B$24),ISNUMBER('Inputs'!$B$28)),(('Results'!C7*(0.5*((((317-43)*MAX('Inputs'!$B$33,'Inputs'!$B$29+'Inputs'!$B$31+'Inputs'!$B$32,'Inputs'!$B$30+'Inputs'!$B$31+'Inputs'!$B$32)/1000+'Inputs'!$B$21)+'Inputs'!$B$9)/SQRT((((317-43)*MAX('Inputs'!$B$33,'Inputs'!$B$29+'Inputs'!$B$31+'Inputs'!$B$32,'Inputs'!$B$30+'Inputs'!$B$31+'Inputs'!$B$32)/1000+'Inputs'!$B$21)+'Inputs'!$B$9)^2+('Inputs'!$B$8/2)^2)-(((317-43)*MAX('Inputs'!$B$33,'Inputs'!$B$29+'Inputs'!$B$31+'Inputs'!$B$32,'Inputs'!$B$30+'Inputs'!$B$31+'Inputs'!$B$32)/1000+'Inputs'!$B$21))/SQRT((((317-43)*MAX('Inputs'!$B$33,'Inputs'!$B$29+'Inputs'!$B$31+'Inputs'!$B$32,'Inputs'!$B$30+'Inputs'!$B$31+'Inputs'!$B$32)/1000+'Inputs'!$B$21))^2+('Inputs'!$B$8/2)^2)))-'Results'!B7*(0.5*((((317-43)*MAX('Inputs'!$B$33,'Inputs'!$B$29+'Inputs'!$B$31+'Inputs'!$B$32,'Inputs'!$B$30+'Inputs'!$B$31+'Inputs'!$B$32)/1000+'Inputs'!$B$21+'Inputs'!$B$9+'Inputs'!$B$10)+'Inputs'!$B$7)/SQRT((((317-43)*MAX('Inputs'!$B$33,'Inputs'!$B$29+'Inputs'!$B$31+'Inputs'!$B$32,'Inputs'!$B$30+'Inputs'!$B$31+'Inputs'!$B$32)/1000+'Inputs'!$B$21+'Inputs'!$B$9+'Inputs'!$B$10)+'Inputs'!$B$7)^2+('Inputs'!$B$6/2)^2)-(((317-43)*MAX('Inputs'!$B$33,'Inputs'!$B$29+'Inputs'!$B$31+'Inputs'!$B$32,'Inputs'!$B$30+'Inputs'!$B$31+'Inputs'!$B$32)/1000+'Inputs'!$B$21+'Inputs'!$B$9+'Inputs'!$B$10))/SQRT((((317-43)*MAX('Inputs'!$B$33,'Inputs'!$B$29+'Inputs'!$B$31+'Inputs'!$B$32,'Inputs'!$B$30+'Inputs'!$B$31+'Inputs'!$B$32)/1000+'Inputs'!$B$21+'Inputs'!$B$9+'Inputs'!$B$10))^2+('Inputs'!$B$6/2)^2))))*'Results'!$B$8),"")</x:f>
        <x:v>28.066295352058653</x:v>
      </x:c>
      <x:c r="N317" t="n">
        <x:f>IF(AND(ISNUMBER('Results'!C7),ISNUMBER('Results'!B7),ISNUMBER('Results'!$B$8),ISNUMBER('Inputs'!$B$6),ISNUMBER('Inputs'!$B$7),ISNUMBER('Inputs'!$B$8),ISNUMBER('Inputs'!$B$9),ISNUMBER('Inputs'!$B$10),ISNUMBER('Inputs'!$B$21),ISNUMBER('Inputs'!$B$24),ISNUMBER('Inputs'!$B$28)),((('Results'!C7*(1-'Inputs'!$B$24)*(0.5*((((317-43)*MAX('Inputs'!$B$33,'Inputs'!$B$29+'Inputs'!$B$31+'Inputs'!$B$32,'Inputs'!$B$30+'Inputs'!$B$31+'Inputs'!$B$32)/1000+'Inputs'!$B$21)+'Inputs'!$B$9)/SQRT((((317-43)*MAX('Inputs'!$B$33,'Inputs'!$B$29+'Inputs'!$B$31+'Inputs'!$B$32,'Inputs'!$B$30+'Inputs'!$B$31+'Inputs'!$B$32)/1000+'Inputs'!$B$21)+'Inputs'!$B$9)^2+('Inputs'!$B$8/2)^2)-(((317-43)*MAX('Inputs'!$B$33,'Inputs'!$B$29+'Inputs'!$B$31+'Inputs'!$B$32,'Inputs'!$B$30+'Inputs'!$B$31+'Inputs'!$B$32)/1000+'Inputs'!$B$21))/SQRT((((317-43)*MAX('Inputs'!$B$33,'Inputs'!$B$29+'Inputs'!$B$31+'Inputs'!$B$32,'Inputs'!$B$30+'Inputs'!$B$31+'Inputs'!$B$32)/1000+'Inputs'!$B$21))^2+('Inputs'!$B$8/2)^2)))-'Results'!B7*(1+'Inputs'!$B$24)*(0.5*((((317-43)*MAX('Inputs'!$B$33,'Inputs'!$B$29+'Inputs'!$B$31+'Inputs'!$B$32,'Inputs'!$B$30+'Inputs'!$B$31+'Inputs'!$B$32)/1000+'Inputs'!$B$21+'Inputs'!$B$9+'Inputs'!$B$10)+'Inputs'!$B$7)/SQRT((((317-43)*MAX('Inputs'!$B$33,'Inputs'!$B$29+'Inputs'!$B$31+'Inputs'!$B$32,'Inputs'!$B$30+'Inputs'!$B$31+'Inputs'!$B$32)/1000+'Inputs'!$B$21+'Inputs'!$B$9+'Inputs'!$B$10)+'Inputs'!$B$7)^2+('Inputs'!$B$6/2)^2)-(((317-43)*MAX('Inputs'!$B$33,'Inputs'!$B$29+'Inputs'!$B$31+'Inputs'!$B$32,'Inputs'!$B$30+'Inputs'!$B$31+'Inputs'!$B$32)/1000+'Inputs'!$B$21+'Inputs'!$B$9+'Inputs'!$B$10))/SQRT((((317-43)*MAX('Inputs'!$B$33,'Inputs'!$B$29+'Inputs'!$B$31+'Inputs'!$B$32,'Inputs'!$B$30+'Inputs'!$B$31+'Inputs'!$B$32)/1000+'Inputs'!$B$21+'Inputs'!$B$9+'Inputs'!$B$10))^2+('Inputs'!$B$6/2)^2))))*'Results'!$B$8)-'Inputs'!$B$28*ABS((('Results'!C7*(1-'Inputs'!$B$24)*(0.5*((((317-43)*MAX('Inputs'!$B$33,'Inputs'!$B$29+'Inputs'!$B$31+'Inputs'!$B$32,'Inputs'!$B$30+'Inputs'!$B$31+'Inputs'!$B$32)/1000+'Inputs'!$B$21)+'Inputs'!$B$9)/SQRT((((317-43)*MAX('Inputs'!$B$33,'Inputs'!$B$29+'Inputs'!$B$31+'Inputs'!$B$32,'Inputs'!$B$30+'Inputs'!$B$31+'Inputs'!$B$32)/1000+'Inputs'!$B$21)+'Inputs'!$B$9)^2+('Inputs'!$B$8/2)^2)-(((317-43)*MAX('Inputs'!$B$33,'Inputs'!$B$29+'Inputs'!$B$31+'Inputs'!$B$32,'Inputs'!$B$30+'Inputs'!$B$31+'Inputs'!$B$32)/1000+'Inputs'!$B$21))/SQRT((((317-43)*MAX('Inputs'!$B$33,'Inputs'!$B$29+'Inputs'!$B$31+'Inputs'!$B$32,'Inputs'!$B$30+'Inputs'!$B$31+'Inputs'!$B$32)/1000+'Inputs'!$B$21))^2+('Inputs'!$B$8/2)^2)))-'Results'!B7*(1+'Inputs'!$B$24)*(0.5*((((317-43)*MAX('Inputs'!$B$33,'Inputs'!$B$29+'Inputs'!$B$31+'Inputs'!$B$32,'Inputs'!$B$30+'Inputs'!$B$31+'Inputs'!$B$32)/1000+'Inputs'!$B$21+'Inputs'!$B$9+'Inputs'!$B$10)+'Inputs'!$B$7)/SQRT((((317-43)*MAX('Inputs'!$B$33,'Inputs'!$B$29+'Inputs'!$B$31+'Inputs'!$B$32,'Inputs'!$B$30+'Inputs'!$B$31+'Inputs'!$B$32)/1000+'Inputs'!$B$21+'Inputs'!$B$9+'Inputs'!$B$10)+'Inputs'!$B$7)^2+('Inputs'!$B$6/2)^2)-(((317-43)*MAX('Inputs'!$B$33,'Inputs'!$B$29+'Inputs'!$B$31+'Inputs'!$B$32,'Inputs'!$B$30+'Inputs'!$B$31+'Inputs'!$B$32)/1000+'Inputs'!$B$21+'Inputs'!$B$9+'Inputs'!$B$10))/SQRT((((317-43)*MAX('Inputs'!$B$33,'Inputs'!$B$29+'Inputs'!$B$31+'Inputs'!$B$32,'Inputs'!$B$30+'Inputs'!$B$31+'Inputs'!$B$32)/1000+'Inputs'!$B$21+'Inputs'!$B$9+'Inputs'!$B$10))^2+('Inputs'!$B$6/2)^2))))*'Results'!$B$8))),"")</x:f>
        <x:v>25.425127506613606</x:v>
      </x:c>
      <x:c r="O317" t="n">
        <x:f>IF(AND(ISNUMBER('Results'!C7),ISNUMBER('Results'!B7),ISNUMBER('Results'!$B$8),ISNUMBER('Inputs'!$B$6),ISNUMBER('Inputs'!$B$7),ISNUMBER('Inputs'!$B$8),ISNUMBER('Inputs'!$B$9),ISNUMBER('Inputs'!$B$10),ISNUMBER('Inputs'!$B$21),ISNUMBER('Inputs'!$B$24),ISNUMBER('Inputs'!$B$28)),((('Results'!C7*(1+'Inputs'!$B$24)*(0.5*((((317-43)*MAX('Inputs'!$B$33,'Inputs'!$B$29+'Inputs'!$B$31+'Inputs'!$B$32,'Inputs'!$B$30+'Inputs'!$B$31+'Inputs'!$B$32)/1000+'Inputs'!$B$21)+'Inputs'!$B$9)/SQRT((((317-43)*MAX('Inputs'!$B$33,'Inputs'!$B$29+'Inputs'!$B$31+'Inputs'!$B$32,'Inputs'!$B$30+'Inputs'!$B$31+'Inputs'!$B$32)/1000+'Inputs'!$B$21)+'Inputs'!$B$9)^2+('Inputs'!$B$8/2)^2)-(((317-43)*MAX('Inputs'!$B$33,'Inputs'!$B$29+'Inputs'!$B$31+'Inputs'!$B$32,'Inputs'!$B$30+'Inputs'!$B$31+'Inputs'!$B$32)/1000+'Inputs'!$B$21))/SQRT((((317-43)*MAX('Inputs'!$B$33,'Inputs'!$B$29+'Inputs'!$B$31+'Inputs'!$B$32,'Inputs'!$B$30+'Inputs'!$B$31+'Inputs'!$B$32)/1000+'Inputs'!$B$21))^2+('Inputs'!$B$8/2)^2)))-'Results'!B7*(1-'Inputs'!$B$24)*(0.5*((((317-43)*MAX('Inputs'!$B$33,'Inputs'!$B$29+'Inputs'!$B$31+'Inputs'!$B$32,'Inputs'!$B$30+'Inputs'!$B$31+'Inputs'!$B$32)/1000+'Inputs'!$B$21+'Inputs'!$B$9+'Inputs'!$B$10)+'Inputs'!$B$7)/SQRT((((317-43)*MAX('Inputs'!$B$33,'Inputs'!$B$29+'Inputs'!$B$31+'Inputs'!$B$32,'Inputs'!$B$30+'Inputs'!$B$31+'Inputs'!$B$32)/1000+'Inputs'!$B$21+'Inputs'!$B$9+'Inputs'!$B$10)+'Inputs'!$B$7)^2+('Inputs'!$B$6/2)^2)-(((317-43)*MAX('Inputs'!$B$33,'Inputs'!$B$29+'Inputs'!$B$31+'Inputs'!$B$32,'Inputs'!$B$30+'Inputs'!$B$31+'Inputs'!$B$32)/1000+'Inputs'!$B$21+'Inputs'!$B$9+'Inputs'!$B$10))/SQRT((((317-43)*MAX('Inputs'!$B$33,'Inputs'!$B$29+'Inputs'!$B$31+'Inputs'!$B$32,'Inputs'!$B$30+'Inputs'!$B$31+'Inputs'!$B$32)/1000+'Inputs'!$B$21+'Inputs'!$B$9+'Inputs'!$B$10))^2+('Inputs'!$B$6/2)^2))))*'Results'!$B$8)+'Inputs'!$B$28*ABS((('Results'!C7*(1+'Inputs'!$B$24)*(0.5*((((317-43)*MAX('Inputs'!$B$33,'Inputs'!$B$29+'Inputs'!$B$31+'Inputs'!$B$32,'Inputs'!$B$30+'Inputs'!$B$31+'Inputs'!$B$32)/1000+'Inputs'!$B$21)+'Inputs'!$B$9)/SQRT((((317-43)*MAX('Inputs'!$B$33,'Inputs'!$B$29+'Inputs'!$B$31+'Inputs'!$B$32,'Inputs'!$B$30+'Inputs'!$B$31+'Inputs'!$B$32)/1000+'Inputs'!$B$21)+'Inputs'!$B$9)^2+('Inputs'!$B$8/2)^2)-(((317-43)*MAX('Inputs'!$B$33,'Inputs'!$B$29+'Inputs'!$B$31+'Inputs'!$B$32,'Inputs'!$B$30+'Inputs'!$B$31+'Inputs'!$B$32)/1000+'Inputs'!$B$21))/SQRT((((317-43)*MAX('Inputs'!$B$33,'Inputs'!$B$29+'Inputs'!$B$31+'Inputs'!$B$32,'Inputs'!$B$30+'Inputs'!$B$31+'Inputs'!$B$32)/1000+'Inputs'!$B$21))^2+('Inputs'!$B$8/2)^2)))-'Results'!B7*(1-'Inputs'!$B$24)*(0.5*((((317-43)*MAX('Inputs'!$B$33,'Inputs'!$B$29+'Inputs'!$B$31+'Inputs'!$B$32,'Inputs'!$B$30+'Inputs'!$B$31+'Inputs'!$B$32)/1000+'Inputs'!$B$21+'Inputs'!$B$9+'Inputs'!$B$10)+'Inputs'!$B$7)/SQRT((((317-43)*MAX('Inputs'!$B$33,'Inputs'!$B$29+'Inputs'!$B$31+'Inputs'!$B$32,'Inputs'!$B$30+'Inputs'!$B$31+'Inputs'!$B$32)/1000+'Inputs'!$B$21+'Inputs'!$B$9+'Inputs'!$B$10)+'Inputs'!$B$7)^2+('Inputs'!$B$6/2)^2)-(((317-43)*MAX('Inputs'!$B$33,'Inputs'!$B$29+'Inputs'!$B$31+'Inputs'!$B$32,'Inputs'!$B$30+'Inputs'!$B$31+'Inputs'!$B$32)/1000+'Inputs'!$B$21+'Inputs'!$B$9+'Inputs'!$B$10))/SQRT((((317-43)*MAX('Inputs'!$B$33,'Inputs'!$B$29+'Inputs'!$B$31+'Inputs'!$B$32,'Inputs'!$B$30+'Inputs'!$B$31+'Inputs'!$B$32)/1000+'Inputs'!$B$21+'Inputs'!$B$9+'Inputs'!$B$10))^2+('Inputs'!$B$6/2)^2))))*'Results'!$B$8))),"")</x:f>
        <x:v>30.837763521487066</x:v>
      </x:c>
      <x:c r="P317" t="n">
        <x:f>IF(AND(MAX(J317,J316)&gt;0,J317&gt;J316+0.00000001),1,0)</x:f>
        <x:v>0</x:v>
      </x:c>
      <x:c r="Q317" t="n">
        <x:f>IF(AND(MAX(K317,K316)&gt;0,K317&gt;K316+0.00000001),1,0)</x:f>
        <x:v>0</x:v>
      </x:c>
      <x:c r="R317" t="n">
        <x:f>IF(AND(MAX(L317,L316)&gt;0,L317&gt;L316+0.00000001),1,0)</x:f>
        <x:v>0</x:v>
      </x:c>
      <x:c r="S317" t="n">
        <x:f>IF(AND(MAX(M317,M316)&gt;0,M317&gt;M316+0.00000001),1,0)</x:f>
        <x:v>0</x:v>
      </x:c>
      <x:c r="T317" t="n">
        <x:f>IF(AND(MAX(N317,N316)&gt;0,N317&gt;N316+0.00000001),1,0)</x:f>
        <x:v>0</x:v>
      </x:c>
      <x:c r="U317" t="n">
        <x:f>IF(AND(MAX(O317,O316)&gt;0,O317&gt;O316+0.00000001),1,0)</x:f>
        <x:v>0</x:v>
      </x:c>
    </x:row>
    <x:row r="318">
      <x:c r="J318" t="n">
        <x:f>IF(AND(ISNUMBER('Results'!B7),ISNUMBER('Results'!C7),ISNUMBER('Results'!$B$8),ISNUMBER('Inputs'!$B$6),ISNUMBER('Inputs'!$B$7),ISNUMBER('Inputs'!$B$8),ISNUMBER('Inputs'!$B$9),ISNUMBER('Inputs'!$B$10),ISNUMBER('Inputs'!$B$21),ISNUMBER('Inputs'!$B$24),ISNUMBER('Inputs'!$B$28)),(('Results'!B7*(0.5*((((318-43)*MAX('Inputs'!$B$33,'Inputs'!$B$29+'Inputs'!$B$31+'Inputs'!$B$32,'Inputs'!$B$30+'Inputs'!$B$31+'Inputs'!$B$32)/1000+'Inputs'!$B$21)+'Inputs'!$B$7)/SQRT((((318-43)*MAX('Inputs'!$B$33,'Inputs'!$B$29+'Inputs'!$B$31+'Inputs'!$B$32,'Inputs'!$B$30+'Inputs'!$B$31+'Inputs'!$B$32)/1000+'Inputs'!$B$21)+'Inputs'!$B$7)^2+('Inputs'!$B$6/2)^2)-(((318-43)*MAX('Inputs'!$B$33,'Inputs'!$B$29+'Inputs'!$B$31+'Inputs'!$B$32,'Inputs'!$B$30+'Inputs'!$B$31+'Inputs'!$B$32)/1000+'Inputs'!$B$21))/SQRT((((318-43)*MAX('Inputs'!$B$33,'Inputs'!$B$29+'Inputs'!$B$31+'Inputs'!$B$32,'Inputs'!$B$30+'Inputs'!$B$31+'Inputs'!$B$32)/1000+'Inputs'!$B$21))^2+('Inputs'!$B$6/2)^2)))-'Results'!C7*(0.5*((((318-43)*MAX('Inputs'!$B$33,'Inputs'!$B$29+'Inputs'!$B$31+'Inputs'!$B$32,'Inputs'!$B$30+'Inputs'!$B$31+'Inputs'!$B$32)/1000+'Inputs'!$B$21+'Inputs'!$B$7+'Inputs'!$B$10)+'Inputs'!$B$9)/SQRT((((318-43)*MAX('Inputs'!$B$33,'Inputs'!$B$29+'Inputs'!$B$31+'Inputs'!$B$32,'Inputs'!$B$30+'Inputs'!$B$31+'Inputs'!$B$32)/1000+'Inputs'!$B$21+'Inputs'!$B$7+'Inputs'!$B$10)+'Inputs'!$B$9)^2+('Inputs'!$B$8/2)^2)-(((318-43)*MAX('Inputs'!$B$33,'Inputs'!$B$29+'Inputs'!$B$31+'Inputs'!$B$32,'Inputs'!$B$30+'Inputs'!$B$31+'Inputs'!$B$32)/1000+'Inputs'!$B$21+'Inputs'!$B$7+'Inputs'!$B$10))/SQRT((((318-43)*MAX('Inputs'!$B$33,'Inputs'!$B$29+'Inputs'!$B$31+'Inputs'!$B$32,'Inputs'!$B$30+'Inputs'!$B$31+'Inputs'!$B$32)/1000+'Inputs'!$B$21+'Inputs'!$B$7+'Inputs'!$B$10))^2+('Inputs'!$B$8/2)^2))))*'Results'!$B$8),"")</x:f>
        <x:v>29.064819822104358</x:v>
      </x:c>
      <x:c r="K318" t="n">
        <x:f>IF(AND(ISNUMBER('Results'!B7),ISNUMBER('Results'!C7),ISNUMBER('Results'!$B$8),ISNUMBER('Inputs'!$B$6),ISNUMBER('Inputs'!$B$7),ISNUMBER('Inputs'!$B$8),ISNUMBER('Inputs'!$B$9),ISNUMBER('Inputs'!$B$10),ISNUMBER('Inputs'!$B$21),ISNUMBER('Inputs'!$B$24),ISNUMBER('Inputs'!$B$28)),((('Results'!B7*(1-'Inputs'!$B$24)*(0.5*((((318-43)*MAX('Inputs'!$B$33,'Inputs'!$B$29+'Inputs'!$B$31+'Inputs'!$B$32,'Inputs'!$B$30+'Inputs'!$B$31+'Inputs'!$B$32)/1000+'Inputs'!$B$21)+'Inputs'!$B$7)/SQRT((((318-43)*MAX('Inputs'!$B$33,'Inputs'!$B$29+'Inputs'!$B$31+'Inputs'!$B$32,'Inputs'!$B$30+'Inputs'!$B$31+'Inputs'!$B$32)/1000+'Inputs'!$B$21)+'Inputs'!$B$7)^2+('Inputs'!$B$6/2)^2)-(((318-43)*MAX('Inputs'!$B$33,'Inputs'!$B$29+'Inputs'!$B$31+'Inputs'!$B$32,'Inputs'!$B$30+'Inputs'!$B$31+'Inputs'!$B$32)/1000+'Inputs'!$B$21))/SQRT((((318-43)*MAX('Inputs'!$B$33,'Inputs'!$B$29+'Inputs'!$B$31+'Inputs'!$B$32,'Inputs'!$B$30+'Inputs'!$B$31+'Inputs'!$B$32)/1000+'Inputs'!$B$21))^2+('Inputs'!$B$6/2)^2)))-'Results'!C7*(1+'Inputs'!$B$24)*(0.5*((((318-43)*MAX('Inputs'!$B$33,'Inputs'!$B$29+'Inputs'!$B$31+'Inputs'!$B$32,'Inputs'!$B$30+'Inputs'!$B$31+'Inputs'!$B$32)/1000+'Inputs'!$B$21+'Inputs'!$B$7+'Inputs'!$B$10)+'Inputs'!$B$9)/SQRT((((318-43)*MAX('Inputs'!$B$33,'Inputs'!$B$29+'Inputs'!$B$31+'Inputs'!$B$32,'Inputs'!$B$30+'Inputs'!$B$31+'Inputs'!$B$32)/1000+'Inputs'!$B$21+'Inputs'!$B$7+'Inputs'!$B$10)+'Inputs'!$B$9)^2+('Inputs'!$B$8/2)^2)-(((318-43)*MAX('Inputs'!$B$33,'Inputs'!$B$29+'Inputs'!$B$31+'Inputs'!$B$32,'Inputs'!$B$30+'Inputs'!$B$31+'Inputs'!$B$32)/1000+'Inputs'!$B$21+'Inputs'!$B$7+'Inputs'!$B$10))/SQRT((((318-43)*MAX('Inputs'!$B$33,'Inputs'!$B$29+'Inputs'!$B$31+'Inputs'!$B$32,'Inputs'!$B$30+'Inputs'!$B$31+'Inputs'!$B$32)/1000+'Inputs'!$B$21+'Inputs'!$B$7+'Inputs'!$B$10))^2+('Inputs'!$B$8/2)^2))))*'Results'!$B$8)-'Inputs'!$B$28*ABS((('Results'!B7*(1-'Inputs'!$B$24)*(0.5*((((318-43)*MAX('Inputs'!$B$33,'Inputs'!$B$29+'Inputs'!$B$31+'Inputs'!$B$32,'Inputs'!$B$30+'Inputs'!$B$31+'Inputs'!$B$32)/1000+'Inputs'!$B$21)+'Inputs'!$B$7)/SQRT((((318-43)*MAX('Inputs'!$B$33,'Inputs'!$B$29+'Inputs'!$B$31+'Inputs'!$B$32,'Inputs'!$B$30+'Inputs'!$B$31+'Inputs'!$B$32)/1000+'Inputs'!$B$21)+'Inputs'!$B$7)^2+('Inputs'!$B$6/2)^2)-(((318-43)*MAX('Inputs'!$B$33,'Inputs'!$B$29+'Inputs'!$B$31+'Inputs'!$B$32,'Inputs'!$B$30+'Inputs'!$B$31+'Inputs'!$B$32)/1000+'Inputs'!$B$21))/SQRT((((318-43)*MAX('Inputs'!$B$33,'Inputs'!$B$29+'Inputs'!$B$31+'Inputs'!$B$32,'Inputs'!$B$30+'Inputs'!$B$31+'Inputs'!$B$32)/1000+'Inputs'!$B$21))^2+('Inputs'!$B$6/2)^2)))-'Results'!C7*(1+'Inputs'!$B$24)*(0.5*((((318-43)*MAX('Inputs'!$B$33,'Inputs'!$B$29+'Inputs'!$B$31+'Inputs'!$B$32,'Inputs'!$B$30+'Inputs'!$B$31+'Inputs'!$B$32)/1000+'Inputs'!$B$21+'Inputs'!$B$7+'Inputs'!$B$10)+'Inputs'!$B$9)/SQRT((((318-43)*MAX('Inputs'!$B$33,'Inputs'!$B$29+'Inputs'!$B$31+'Inputs'!$B$32,'Inputs'!$B$30+'Inputs'!$B$31+'Inputs'!$B$32)/1000+'Inputs'!$B$21+'Inputs'!$B$7+'Inputs'!$B$10)+'Inputs'!$B$9)^2+('Inputs'!$B$8/2)^2)-(((318-43)*MAX('Inputs'!$B$33,'Inputs'!$B$29+'Inputs'!$B$31+'Inputs'!$B$32,'Inputs'!$B$30+'Inputs'!$B$31+'Inputs'!$B$32)/1000+'Inputs'!$B$21+'Inputs'!$B$7+'Inputs'!$B$10))/SQRT((((318-43)*MAX('Inputs'!$B$33,'Inputs'!$B$29+'Inputs'!$B$31+'Inputs'!$B$32,'Inputs'!$B$30+'Inputs'!$B$31+'Inputs'!$B$32)/1000+'Inputs'!$B$21+'Inputs'!$B$7+'Inputs'!$B$10))^2+('Inputs'!$B$8/2)^2))))*'Results'!$B$8))),"")</x:f>
        <x:v>26.373722425220382</x:v>
      </x:c>
      <x:c r="L318" t="n">
        <x:f>IF(AND(ISNUMBER('Results'!B7),ISNUMBER('Results'!C7),ISNUMBER('Results'!$B$8),ISNUMBER('Inputs'!$B$6),ISNUMBER('Inputs'!$B$7),ISNUMBER('Inputs'!$B$8),ISNUMBER('Inputs'!$B$9),ISNUMBER('Inputs'!$B$10),ISNUMBER('Inputs'!$B$21),ISNUMBER('Inputs'!$B$24),ISNUMBER('Inputs'!$B$28)),((('Results'!B7*(1+'Inputs'!$B$24)*(0.5*((((318-43)*MAX('Inputs'!$B$33,'Inputs'!$B$29+'Inputs'!$B$31+'Inputs'!$B$32,'Inputs'!$B$30+'Inputs'!$B$31+'Inputs'!$B$32)/1000+'Inputs'!$B$21)+'Inputs'!$B$7)/SQRT((((318-43)*MAX('Inputs'!$B$33,'Inputs'!$B$29+'Inputs'!$B$31+'Inputs'!$B$32,'Inputs'!$B$30+'Inputs'!$B$31+'Inputs'!$B$32)/1000+'Inputs'!$B$21)+'Inputs'!$B$7)^2+('Inputs'!$B$6/2)^2)-(((318-43)*MAX('Inputs'!$B$33,'Inputs'!$B$29+'Inputs'!$B$31+'Inputs'!$B$32,'Inputs'!$B$30+'Inputs'!$B$31+'Inputs'!$B$32)/1000+'Inputs'!$B$21))/SQRT((((318-43)*MAX('Inputs'!$B$33,'Inputs'!$B$29+'Inputs'!$B$31+'Inputs'!$B$32,'Inputs'!$B$30+'Inputs'!$B$31+'Inputs'!$B$32)/1000+'Inputs'!$B$21))^2+('Inputs'!$B$6/2)^2)))-'Results'!C7*(1-'Inputs'!$B$24)*(0.5*((((318-43)*MAX('Inputs'!$B$33,'Inputs'!$B$29+'Inputs'!$B$31+'Inputs'!$B$32,'Inputs'!$B$30+'Inputs'!$B$31+'Inputs'!$B$32)/1000+'Inputs'!$B$21+'Inputs'!$B$7+'Inputs'!$B$10)+'Inputs'!$B$9)/SQRT((((318-43)*MAX('Inputs'!$B$33,'Inputs'!$B$29+'Inputs'!$B$31+'Inputs'!$B$32,'Inputs'!$B$30+'Inputs'!$B$31+'Inputs'!$B$32)/1000+'Inputs'!$B$21+'Inputs'!$B$7+'Inputs'!$B$10)+'Inputs'!$B$9)^2+('Inputs'!$B$8/2)^2)-(((318-43)*MAX('Inputs'!$B$33,'Inputs'!$B$29+'Inputs'!$B$31+'Inputs'!$B$32,'Inputs'!$B$30+'Inputs'!$B$31+'Inputs'!$B$32)/1000+'Inputs'!$B$21+'Inputs'!$B$7+'Inputs'!$B$10))/SQRT((((318-43)*MAX('Inputs'!$B$33,'Inputs'!$B$29+'Inputs'!$B$31+'Inputs'!$B$32,'Inputs'!$B$30+'Inputs'!$B$31+'Inputs'!$B$32)/1000+'Inputs'!$B$21+'Inputs'!$B$7+'Inputs'!$B$10))^2+('Inputs'!$B$8/2)^2))))*'Results'!$B$8)+'Inputs'!$B$28*ABS((('Results'!B7*(1+'Inputs'!$B$24)*(0.5*((((318-43)*MAX('Inputs'!$B$33,'Inputs'!$B$29+'Inputs'!$B$31+'Inputs'!$B$32,'Inputs'!$B$30+'Inputs'!$B$31+'Inputs'!$B$32)/1000+'Inputs'!$B$21)+'Inputs'!$B$7)/SQRT((((318-43)*MAX('Inputs'!$B$33,'Inputs'!$B$29+'Inputs'!$B$31+'Inputs'!$B$32,'Inputs'!$B$30+'Inputs'!$B$31+'Inputs'!$B$32)/1000+'Inputs'!$B$21)+'Inputs'!$B$7)^2+('Inputs'!$B$6/2)^2)-(((318-43)*MAX('Inputs'!$B$33,'Inputs'!$B$29+'Inputs'!$B$31+'Inputs'!$B$32,'Inputs'!$B$30+'Inputs'!$B$31+'Inputs'!$B$32)/1000+'Inputs'!$B$21))/SQRT((((318-43)*MAX('Inputs'!$B$33,'Inputs'!$B$29+'Inputs'!$B$31+'Inputs'!$B$32,'Inputs'!$B$30+'Inputs'!$B$31+'Inputs'!$B$32)/1000+'Inputs'!$B$21))^2+('Inputs'!$B$6/2)^2)))-'Results'!C7*(1-'Inputs'!$B$24)*(0.5*((((318-43)*MAX('Inputs'!$B$33,'Inputs'!$B$29+'Inputs'!$B$31+'Inputs'!$B$32,'Inputs'!$B$30+'Inputs'!$B$31+'Inputs'!$B$32)/1000+'Inputs'!$B$21+'Inputs'!$B$7+'Inputs'!$B$10)+'Inputs'!$B$9)/SQRT((((318-43)*MAX('Inputs'!$B$33,'Inputs'!$B$29+'Inputs'!$B$31+'Inputs'!$B$32,'Inputs'!$B$30+'Inputs'!$B$31+'Inputs'!$B$32)/1000+'Inputs'!$B$21+'Inputs'!$B$7+'Inputs'!$B$10)+'Inputs'!$B$9)^2+('Inputs'!$B$8/2)^2)-(((318-43)*MAX('Inputs'!$B$33,'Inputs'!$B$29+'Inputs'!$B$31+'Inputs'!$B$32,'Inputs'!$B$30+'Inputs'!$B$31+'Inputs'!$B$32)/1000+'Inputs'!$B$21+'Inputs'!$B$7+'Inputs'!$B$10))/SQRT((((318-43)*MAX('Inputs'!$B$33,'Inputs'!$B$29+'Inputs'!$B$31+'Inputs'!$B$32,'Inputs'!$B$30+'Inputs'!$B$31+'Inputs'!$B$32)/1000+'Inputs'!$B$21+'Inputs'!$B$7+'Inputs'!$B$10))^2+('Inputs'!$B$8/2)^2))))*'Results'!$B$8))),"")</x:f>
        <x:v>31.886217893280833</x:v>
      </x:c>
      <x:c r="M318" t="n">
        <x:f>IF(AND(ISNUMBER('Results'!C7),ISNUMBER('Results'!B7),ISNUMBER('Results'!$B$8),ISNUMBER('Inputs'!$B$6),ISNUMBER('Inputs'!$B$7),ISNUMBER('Inputs'!$B$8),ISNUMBER('Inputs'!$B$9),ISNUMBER('Inputs'!$B$10),ISNUMBER('Inputs'!$B$21),ISNUMBER('Inputs'!$B$24),ISNUMBER('Inputs'!$B$28)),(('Results'!C7*(0.5*((((318-43)*MAX('Inputs'!$B$33,'Inputs'!$B$29+'Inputs'!$B$31+'Inputs'!$B$32,'Inputs'!$B$30+'Inputs'!$B$31+'Inputs'!$B$32)/1000+'Inputs'!$B$21)+'Inputs'!$B$9)/SQRT((((318-43)*MAX('Inputs'!$B$33,'Inputs'!$B$29+'Inputs'!$B$31+'Inputs'!$B$32,'Inputs'!$B$30+'Inputs'!$B$31+'Inputs'!$B$32)/1000+'Inputs'!$B$21)+'Inputs'!$B$9)^2+('Inputs'!$B$8/2)^2)-(((318-43)*MAX('Inputs'!$B$33,'Inputs'!$B$29+'Inputs'!$B$31+'Inputs'!$B$32,'Inputs'!$B$30+'Inputs'!$B$31+'Inputs'!$B$32)/1000+'Inputs'!$B$21))/SQRT((((318-43)*MAX('Inputs'!$B$33,'Inputs'!$B$29+'Inputs'!$B$31+'Inputs'!$B$32,'Inputs'!$B$30+'Inputs'!$B$31+'Inputs'!$B$32)/1000+'Inputs'!$B$21))^2+('Inputs'!$B$8/2)^2)))-'Results'!B7*(0.5*((((318-43)*MAX('Inputs'!$B$33,'Inputs'!$B$29+'Inputs'!$B$31+'Inputs'!$B$32,'Inputs'!$B$30+'Inputs'!$B$31+'Inputs'!$B$32)/1000+'Inputs'!$B$21+'Inputs'!$B$9+'Inputs'!$B$10)+'Inputs'!$B$7)/SQRT((((318-43)*MAX('Inputs'!$B$33,'Inputs'!$B$29+'Inputs'!$B$31+'Inputs'!$B$32,'Inputs'!$B$30+'Inputs'!$B$31+'Inputs'!$B$32)/1000+'Inputs'!$B$21+'Inputs'!$B$9+'Inputs'!$B$10)+'Inputs'!$B$7)^2+('Inputs'!$B$6/2)^2)-(((318-43)*MAX('Inputs'!$B$33,'Inputs'!$B$29+'Inputs'!$B$31+'Inputs'!$B$32,'Inputs'!$B$30+'Inputs'!$B$31+'Inputs'!$B$32)/1000+'Inputs'!$B$21+'Inputs'!$B$9+'Inputs'!$B$10))/SQRT((((318-43)*MAX('Inputs'!$B$33,'Inputs'!$B$29+'Inputs'!$B$31+'Inputs'!$B$32,'Inputs'!$B$30+'Inputs'!$B$31+'Inputs'!$B$32)/1000+'Inputs'!$B$21+'Inputs'!$B$9+'Inputs'!$B$10))^2+('Inputs'!$B$6/2)^2))))*'Results'!$B$8),"")</x:f>
        <x:v>27.754448687888708</x:v>
      </x:c>
      <x:c r="N318" t="n">
        <x:f>IF(AND(ISNUMBER('Results'!C7),ISNUMBER('Results'!B7),ISNUMBER('Results'!$B$8),ISNUMBER('Inputs'!$B$6),ISNUMBER('Inputs'!$B$7),ISNUMBER('Inputs'!$B$8),ISNUMBER('Inputs'!$B$9),ISNUMBER('Inputs'!$B$10),ISNUMBER('Inputs'!$B$21),ISNUMBER('Inputs'!$B$24),ISNUMBER('Inputs'!$B$28)),((('Results'!C7*(1-'Inputs'!$B$24)*(0.5*((((318-43)*MAX('Inputs'!$B$33,'Inputs'!$B$29+'Inputs'!$B$31+'Inputs'!$B$32,'Inputs'!$B$30+'Inputs'!$B$31+'Inputs'!$B$32)/1000+'Inputs'!$B$21)+'Inputs'!$B$9)/SQRT((((318-43)*MAX('Inputs'!$B$33,'Inputs'!$B$29+'Inputs'!$B$31+'Inputs'!$B$32,'Inputs'!$B$30+'Inputs'!$B$31+'Inputs'!$B$32)/1000+'Inputs'!$B$21)+'Inputs'!$B$9)^2+('Inputs'!$B$8/2)^2)-(((318-43)*MAX('Inputs'!$B$33,'Inputs'!$B$29+'Inputs'!$B$31+'Inputs'!$B$32,'Inputs'!$B$30+'Inputs'!$B$31+'Inputs'!$B$32)/1000+'Inputs'!$B$21))/SQRT((((318-43)*MAX('Inputs'!$B$33,'Inputs'!$B$29+'Inputs'!$B$31+'Inputs'!$B$32,'Inputs'!$B$30+'Inputs'!$B$31+'Inputs'!$B$32)/1000+'Inputs'!$B$21))^2+('Inputs'!$B$8/2)^2)))-'Results'!B7*(1+'Inputs'!$B$24)*(0.5*((((318-43)*MAX('Inputs'!$B$33,'Inputs'!$B$29+'Inputs'!$B$31+'Inputs'!$B$32,'Inputs'!$B$30+'Inputs'!$B$31+'Inputs'!$B$32)/1000+'Inputs'!$B$21+'Inputs'!$B$9+'Inputs'!$B$10)+'Inputs'!$B$7)/SQRT((((318-43)*MAX('Inputs'!$B$33,'Inputs'!$B$29+'Inputs'!$B$31+'Inputs'!$B$32,'Inputs'!$B$30+'Inputs'!$B$31+'Inputs'!$B$32)/1000+'Inputs'!$B$21+'Inputs'!$B$9+'Inputs'!$B$10)+'Inputs'!$B$7)^2+('Inputs'!$B$6/2)^2)-(((318-43)*MAX('Inputs'!$B$33,'Inputs'!$B$29+'Inputs'!$B$31+'Inputs'!$B$32,'Inputs'!$B$30+'Inputs'!$B$31+'Inputs'!$B$32)/1000+'Inputs'!$B$21+'Inputs'!$B$9+'Inputs'!$B$10))/SQRT((((318-43)*MAX('Inputs'!$B$33,'Inputs'!$B$29+'Inputs'!$B$31+'Inputs'!$B$32,'Inputs'!$B$30+'Inputs'!$B$31+'Inputs'!$B$32)/1000+'Inputs'!$B$21+'Inputs'!$B$9+'Inputs'!$B$10))^2+('Inputs'!$B$6/2)^2))))*'Results'!$B$8)-'Inputs'!$B$28*ABS((('Results'!C7*(1-'Inputs'!$B$24)*(0.5*((((318-43)*MAX('Inputs'!$B$33,'Inputs'!$B$29+'Inputs'!$B$31+'Inputs'!$B$32,'Inputs'!$B$30+'Inputs'!$B$31+'Inputs'!$B$32)/1000+'Inputs'!$B$21)+'Inputs'!$B$9)/SQRT((((318-43)*MAX('Inputs'!$B$33,'Inputs'!$B$29+'Inputs'!$B$31+'Inputs'!$B$32,'Inputs'!$B$30+'Inputs'!$B$31+'Inputs'!$B$32)/1000+'Inputs'!$B$21)+'Inputs'!$B$9)^2+('Inputs'!$B$8/2)^2)-(((318-43)*MAX('Inputs'!$B$33,'Inputs'!$B$29+'Inputs'!$B$31+'Inputs'!$B$32,'Inputs'!$B$30+'Inputs'!$B$31+'Inputs'!$B$32)/1000+'Inputs'!$B$21))/SQRT((((318-43)*MAX('Inputs'!$B$33,'Inputs'!$B$29+'Inputs'!$B$31+'Inputs'!$B$32,'Inputs'!$B$30+'Inputs'!$B$31+'Inputs'!$B$32)/1000+'Inputs'!$B$21))^2+('Inputs'!$B$8/2)^2)))-'Results'!B7*(1+'Inputs'!$B$24)*(0.5*((((318-43)*MAX('Inputs'!$B$33,'Inputs'!$B$29+'Inputs'!$B$31+'Inputs'!$B$32,'Inputs'!$B$30+'Inputs'!$B$31+'Inputs'!$B$32)/1000+'Inputs'!$B$21+'Inputs'!$B$9+'Inputs'!$B$10)+'Inputs'!$B$7)/SQRT((((318-43)*MAX('Inputs'!$B$33,'Inputs'!$B$29+'Inputs'!$B$31+'Inputs'!$B$32,'Inputs'!$B$30+'Inputs'!$B$31+'Inputs'!$B$32)/1000+'Inputs'!$B$21+'Inputs'!$B$9+'Inputs'!$B$10)+'Inputs'!$B$7)^2+('Inputs'!$B$6/2)^2)-(((318-43)*MAX('Inputs'!$B$33,'Inputs'!$B$29+'Inputs'!$B$31+'Inputs'!$B$32,'Inputs'!$B$30+'Inputs'!$B$31+'Inputs'!$B$32)/1000+'Inputs'!$B$21+'Inputs'!$B$9+'Inputs'!$B$10))/SQRT((((318-43)*MAX('Inputs'!$B$33,'Inputs'!$B$29+'Inputs'!$B$31+'Inputs'!$B$32,'Inputs'!$B$30+'Inputs'!$B$31+'Inputs'!$B$32)/1000+'Inputs'!$B$21+'Inputs'!$B$9+'Inputs'!$B$10))^2+('Inputs'!$B$6/2)^2))))*'Results'!$B$8))),"")</x:f>
        <x:v>25.139774555813393</x:v>
      </x:c>
      <x:c r="O318" t="n">
        <x:f>IF(AND(ISNUMBER('Results'!C7),ISNUMBER('Results'!B7),ISNUMBER('Results'!$B$8),ISNUMBER('Inputs'!$B$6),ISNUMBER('Inputs'!$B$7),ISNUMBER('Inputs'!$B$8),ISNUMBER('Inputs'!$B$9),ISNUMBER('Inputs'!$B$10),ISNUMBER('Inputs'!$B$21),ISNUMBER('Inputs'!$B$24),ISNUMBER('Inputs'!$B$28)),((('Results'!C7*(1+'Inputs'!$B$24)*(0.5*((((318-43)*MAX('Inputs'!$B$33,'Inputs'!$B$29+'Inputs'!$B$31+'Inputs'!$B$32,'Inputs'!$B$30+'Inputs'!$B$31+'Inputs'!$B$32)/1000+'Inputs'!$B$21)+'Inputs'!$B$9)/SQRT((((318-43)*MAX('Inputs'!$B$33,'Inputs'!$B$29+'Inputs'!$B$31+'Inputs'!$B$32,'Inputs'!$B$30+'Inputs'!$B$31+'Inputs'!$B$32)/1000+'Inputs'!$B$21)+'Inputs'!$B$9)^2+('Inputs'!$B$8/2)^2)-(((318-43)*MAX('Inputs'!$B$33,'Inputs'!$B$29+'Inputs'!$B$31+'Inputs'!$B$32,'Inputs'!$B$30+'Inputs'!$B$31+'Inputs'!$B$32)/1000+'Inputs'!$B$21))/SQRT((((318-43)*MAX('Inputs'!$B$33,'Inputs'!$B$29+'Inputs'!$B$31+'Inputs'!$B$32,'Inputs'!$B$30+'Inputs'!$B$31+'Inputs'!$B$32)/1000+'Inputs'!$B$21))^2+('Inputs'!$B$8/2)^2)))-'Results'!B7*(1-'Inputs'!$B$24)*(0.5*((((318-43)*MAX('Inputs'!$B$33,'Inputs'!$B$29+'Inputs'!$B$31+'Inputs'!$B$32,'Inputs'!$B$30+'Inputs'!$B$31+'Inputs'!$B$32)/1000+'Inputs'!$B$21+'Inputs'!$B$9+'Inputs'!$B$10)+'Inputs'!$B$7)/SQRT((((318-43)*MAX('Inputs'!$B$33,'Inputs'!$B$29+'Inputs'!$B$31+'Inputs'!$B$32,'Inputs'!$B$30+'Inputs'!$B$31+'Inputs'!$B$32)/1000+'Inputs'!$B$21+'Inputs'!$B$9+'Inputs'!$B$10)+'Inputs'!$B$7)^2+('Inputs'!$B$6/2)^2)-(((318-43)*MAX('Inputs'!$B$33,'Inputs'!$B$29+'Inputs'!$B$31+'Inputs'!$B$32,'Inputs'!$B$30+'Inputs'!$B$31+'Inputs'!$B$32)/1000+'Inputs'!$B$21+'Inputs'!$B$9+'Inputs'!$B$10))/SQRT((((318-43)*MAX('Inputs'!$B$33,'Inputs'!$B$29+'Inputs'!$B$31+'Inputs'!$B$32,'Inputs'!$B$30+'Inputs'!$B$31+'Inputs'!$B$32)/1000+'Inputs'!$B$21+'Inputs'!$B$9+'Inputs'!$B$10))^2+('Inputs'!$B$6/2)^2))))*'Results'!$B$8)+'Inputs'!$B$28*ABS((('Results'!C7*(1+'Inputs'!$B$24)*(0.5*((((318-43)*MAX('Inputs'!$B$33,'Inputs'!$B$29+'Inputs'!$B$31+'Inputs'!$B$32,'Inputs'!$B$30+'Inputs'!$B$31+'Inputs'!$B$32)/1000+'Inputs'!$B$21)+'Inputs'!$B$9)/SQRT((((318-43)*MAX('Inputs'!$B$33,'Inputs'!$B$29+'Inputs'!$B$31+'Inputs'!$B$32,'Inputs'!$B$30+'Inputs'!$B$31+'Inputs'!$B$32)/1000+'Inputs'!$B$21)+'Inputs'!$B$9)^2+('Inputs'!$B$8/2)^2)-(((318-43)*MAX('Inputs'!$B$33,'Inputs'!$B$29+'Inputs'!$B$31+'Inputs'!$B$32,'Inputs'!$B$30+'Inputs'!$B$31+'Inputs'!$B$32)/1000+'Inputs'!$B$21))/SQRT((((318-43)*MAX('Inputs'!$B$33,'Inputs'!$B$29+'Inputs'!$B$31+'Inputs'!$B$32,'Inputs'!$B$30+'Inputs'!$B$31+'Inputs'!$B$32)/1000+'Inputs'!$B$21))^2+('Inputs'!$B$8/2)^2)))-'Results'!B7*(1-'Inputs'!$B$24)*(0.5*((((318-43)*MAX('Inputs'!$B$33,'Inputs'!$B$29+'Inputs'!$B$31+'Inputs'!$B$32,'Inputs'!$B$30+'Inputs'!$B$31+'Inputs'!$B$32)/1000+'Inputs'!$B$21+'Inputs'!$B$9+'Inputs'!$B$10)+'Inputs'!$B$7)/SQRT((((318-43)*MAX('Inputs'!$B$33,'Inputs'!$B$29+'Inputs'!$B$31+'Inputs'!$B$32,'Inputs'!$B$30+'Inputs'!$B$31+'Inputs'!$B$32)/1000+'Inputs'!$B$21+'Inputs'!$B$9+'Inputs'!$B$10)+'Inputs'!$B$7)^2+('Inputs'!$B$6/2)^2)-(((318-43)*MAX('Inputs'!$B$33,'Inputs'!$B$29+'Inputs'!$B$31+'Inputs'!$B$32,'Inputs'!$B$30+'Inputs'!$B$31+'Inputs'!$B$32)/1000+'Inputs'!$B$21+'Inputs'!$B$9+'Inputs'!$B$10))/SQRT((((318-43)*MAX('Inputs'!$B$33,'Inputs'!$B$29+'Inputs'!$B$31+'Inputs'!$B$32,'Inputs'!$B$30+'Inputs'!$B$31+'Inputs'!$B$32)/1000+'Inputs'!$B$21+'Inputs'!$B$9+'Inputs'!$B$10))^2+('Inputs'!$B$6/2)^2))))*'Results'!$B$8))),"")</x:f>
        <x:v>30.49827563024622</x:v>
      </x:c>
      <x:c r="P318" t="n">
        <x:f>IF(AND(MAX(J318,J317)&gt;0,J318&gt;J317+0.00000001),1,0)</x:f>
        <x:v>0</x:v>
      </x:c>
      <x:c r="Q318" t="n">
        <x:f>IF(AND(MAX(K318,K317)&gt;0,K318&gt;K317+0.00000001),1,0)</x:f>
        <x:v>0</x:v>
      </x:c>
      <x:c r="R318" t="n">
        <x:f>IF(AND(MAX(L318,L317)&gt;0,L318&gt;L317+0.00000001),1,0)</x:f>
        <x:v>0</x:v>
      </x:c>
      <x:c r="S318" t="n">
        <x:f>IF(AND(MAX(M318,M317)&gt;0,M318&gt;M317+0.00000001),1,0)</x:f>
        <x:v>0</x:v>
      </x:c>
      <x:c r="T318" t="n">
        <x:f>IF(AND(MAX(N318,N317)&gt;0,N318&gt;N317+0.00000001),1,0)</x:f>
        <x:v>0</x:v>
      </x:c>
      <x:c r="U318" t="n">
        <x:f>IF(AND(MAX(O318,O317)&gt;0,O318&gt;O317+0.00000001),1,0)</x:f>
        <x:v>0</x:v>
      </x:c>
    </x:row>
    <x:row r="319">
      <x:c r="J319" t="n">
        <x:f>IF(AND(ISNUMBER('Results'!B7),ISNUMBER('Results'!C7),ISNUMBER('Results'!$B$8),ISNUMBER('Inputs'!$B$6),ISNUMBER('Inputs'!$B$7),ISNUMBER('Inputs'!$B$8),ISNUMBER('Inputs'!$B$9),ISNUMBER('Inputs'!$B$10),ISNUMBER('Inputs'!$B$21),ISNUMBER('Inputs'!$B$24),ISNUMBER('Inputs'!$B$28)),(('Results'!B7*(0.5*((((319-43)*MAX('Inputs'!$B$33,'Inputs'!$B$29+'Inputs'!$B$31+'Inputs'!$B$32,'Inputs'!$B$30+'Inputs'!$B$31+'Inputs'!$B$32)/1000+'Inputs'!$B$21)+'Inputs'!$B$7)/SQRT((((319-43)*MAX('Inputs'!$B$33,'Inputs'!$B$29+'Inputs'!$B$31+'Inputs'!$B$32,'Inputs'!$B$30+'Inputs'!$B$31+'Inputs'!$B$32)/1000+'Inputs'!$B$21)+'Inputs'!$B$7)^2+('Inputs'!$B$6/2)^2)-(((319-43)*MAX('Inputs'!$B$33,'Inputs'!$B$29+'Inputs'!$B$31+'Inputs'!$B$32,'Inputs'!$B$30+'Inputs'!$B$31+'Inputs'!$B$32)/1000+'Inputs'!$B$21))/SQRT((((319-43)*MAX('Inputs'!$B$33,'Inputs'!$B$29+'Inputs'!$B$31+'Inputs'!$B$32,'Inputs'!$B$30+'Inputs'!$B$31+'Inputs'!$B$32)/1000+'Inputs'!$B$21))^2+('Inputs'!$B$6/2)^2)))-'Results'!C7*(0.5*((((319-43)*MAX('Inputs'!$B$33,'Inputs'!$B$29+'Inputs'!$B$31+'Inputs'!$B$32,'Inputs'!$B$30+'Inputs'!$B$31+'Inputs'!$B$32)/1000+'Inputs'!$B$21+'Inputs'!$B$7+'Inputs'!$B$10)+'Inputs'!$B$9)/SQRT((((319-43)*MAX('Inputs'!$B$33,'Inputs'!$B$29+'Inputs'!$B$31+'Inputs'!$B$32,'Inputs'!$B$30+'Inputs'!$B$31+'Inputs'!$B$32)/1000+'Inputs'!$B$21+'Inputs'!$B$7+'Inputs'!$B$10)+'Inputs'!$B$9)^2+('Inputs'!$B$8/2)^2)-(((319-43)*MAX('Inputs'!$B$33,'Inputs'!$B$29+'Inputs'!$B$31+'Inputs'!$B$32,'Inputs'!$B$30+'Inputs'!$B$31+'Inputs'!$B$32)/1000+'Inputs'!$B$21+'Inputs'!$B$7+'Inputs'!$B$10))/SQRT((((319-43)*MAX('Inputs'!$B$33,'Inputs'!$B$29+'Inputs'!$B$31+'Inputs'!$B$32,'Inputs'!$B$30+'Inputs'!$B$31+'Inputs'!$B$32)/1000+'Inputs'!$B$21+'Inputs'!$B$7+'Inputs'!$B$10))^2+('Inputs'!$B$8/2)^2))))*'Results'!$B$8),"")</x:f>
        <x:v>28.745729896670124</x:v>
      </x:c>
      <x:c r="K319" t="n">
        <x:f>IF(AND(ISNUMBER('Results'!B7),ISNUMBER('Results'!C7),ISNUMBER('Results'!$B$8),ISNUMBER('Inputs'!$B$6),ISNUMBER('Inputs'!$B$7),ISNUMBER('Inputs'!$B$8),ISNUMBER('Inputs'!$B$9),ISNUMBER('Inputs'!$B$10),ISNUMBER('Inputs'!$B$21),ISNUMBER('Inputs'!$B$24),ISNUMBER('Inputs'!$B$28)),((('Results'!B7*(1-'Inputs'!$B$24)*(0.5*((((319-43)*MAX('Inputs'!$B$33,'Inputs'!$B$29+'Inputs'!$B$31+'Inputs'!$B$32,'Inputs'!$B$30+'Inputs'!$B$31+'Inputs'!$B$32)/1000+'Inputs'!$B$21)+'Inputs'!$B$7)/SQRT((((319-43)*MAX('Inputs'!$B$33,'Inputs'!$B$29+'Inputs'!$B$31+'Inputs'!$B$32,'Inputs'!$B$30+'Inputs'!$B$31+'Inputs'!$B$32)/1000+'Inputs'!$B$21)+'Inputs'!$B$7)^2+('Inputs'!$B$6/2)^2)-(((319-43)*MAX('Inputs'!$B$33,'Inputs'!$B$29+'Inputs'!$B$31+'Inputs'!$B$32,'Inputs'!$B$30+'Inputs'!$B$31+'Inputs'!$B$32)/1000+'Inputs'!$B$21))/SQRT((((319-43)*MAX('Inputs'!$B$33,'Inputs'!$B$29+'Inputs'!$B$31+'Inputs'!$B$32,'Inputs'!$B$30+'Inputs'!$B$31+'Inputs'!$B$32)/1000+'Inputs'!$B$21))^2+('Inputs'!$B$6/2)^2)))-'Results'!C7*(1+'Inputs'!$B$24)*(0.5*((((319-43)*MAX('Inputs'!$B$33,'Inputs'!$B$29+'Inputs'!$B$31+'Inputs'!$B$32,'Inputs'!$B$30+'Inputs'!$B$31+'Inputs'!$B$32)/1000+'Inputs'!$B$21+'Inputs'!$B$7+'Inputs'!$B$10)+'Inputs'!$B$9)/SQRT((((319-43)*MAX('Inputs'!$B$33,'Inputs'!$B$29+'Inputs'!$B$31+'Inputs'!$B$32,'Inputs'!$B$30+'Inputs'!$B$31+'Inputs'!$B$32)/1000+'Inputs'!$B$21+'Inputs'!$B$7+'Inputs'!$B$10)+'Inputs'!$B$9)^2+('Inputs'!$B$8/2)^2)-(((319-43)*MAX('Inputs'!$B$33,'Inputs'!$B$29+'Inputs'!$B$31+'Inputs'!$B$32,'Inputs'!$B$30+'Inputs'!$B$31+'Inputs'!$B$32)/1000+'Inputs'!$B$21+'Inputs'!$B$7+'Inputs'!$B$10))/SQRT((((319-43)*MAX('Inputs'!$B$33,'Inputs'!$B$29+'Inputs'!$B$31+'Inputs'!$B$32,'Inputs'!$B$30+'Inputs'!$B$31+'Inputs'!$B$32)/1000+'Inputs'!$B$21+'Inputs'!$B$7+'Inputs'!$B$10))^2+('Inputs'!$B$8/2)^2))))*'Results'!$B$8)-'Inputs'!$B$28*ABS((('Results'!B7*(1-'Inputs'!$B$24)*(0.5*((((319-43)*MAX('Inputs'!$B$33,'Inputs'!$B$29+'Inputs'!$B$31+'Inputs'!$B$32,'Inputs'!$B$30+'Inputs'!$B$31+'Inputs'!$B$32)/1000+'Inputs'!$B$21)+'Inputs'!$B$7)/SQRT((((319-43)*MAX('Inputs'!$B$33,'Inputs'!$B$29+'Inputs'!$B$31+'Inputs'!$B$32,'Inputs'!$B$30+'Inputs'!$B$31+'Inputs'!$B$32)/1000+'Inputs'!$B$21)+'Inputs'!$B$7)^2+('Inputs'!$B$6/2)^2)-(((319-43)*MAX('Inputs'!$B$33,'Inputs'!$B$29+'Inputs'!$B$31+'Inputs'!$B$32,'Inputs'!$B$30+'Inputs'!$B$31+'Inputs'!$B$32)/1000+'Inputs'!$B$21))/SQRT((((319-43)*MAX('Inputs'!$B$33,'Inputs'!$B$29+'Inputs'!$B$31+'Inputs'!$B$32,'Inputs'!$B$30+'Inputs'!$B$31+'Inputs'!$B$32)/1000+'Inputs'!$B$21))^2+('Inputs'!$B$6/2)^2)))-'Results'!C7*(1+'Inputs'!$B$24)*(0.5*((((319-43)*MAX('Inputs'!$B$33,'Inputs'!$B$29+'Inputs'!$B$31+'Inputs'!$B$32,'Inputs'!$B$30+'Inputs'!$B$31+'Inputs'!$B$32)/1000+'Inputs'!$B$21+'Inputs'!$B$7+'Inputs'!$B$10)+'Inputs'!$B$9)/SQRT((((319-43)*MAX('Inputs'!$B$33,'Inputs'!$B$29+'Inputs'!$B$31+'Inputs'!$B$32,'Inputs'!$B$30+'Inputs'!$B$31+'Inputs'!$B$32)/1000+'Inputs'!$B$21+'Inputs'!$B$7+'Inputs'!$B$10)+'Inputs'!$B$9)^2+('Inputs'!$B$8/2)^2)-(((319-43)*MAX('Inputs'!$B$33,'Inputs'!$B$29+'Inputs'!$B$31+'Inputs'!$B$32,'Inputs'!$B$30+'Inputs'!$B$31+'Inputs'!$B$32)/1000+'Inputs'!$B$21+'Inputs'!$B$7+'Inputs'!$B$10))/SQRT((((319-43)*MAX('Inputs'!$B$33,'Inputs'!$B$29+'Inputs'!$B$31+'Inputs'!$B$32,'Inputs'!$B$30+'Inputs'!$B$31+'Inputs'!$B$32)/1000+'Inputs'!$B$21+'Inputs'!$B$7+'Inputs'!$B$10))^2+('Inputs'!$B$8/2)^2))))*'Results'!$B$8))),"")</x:f>
        <x:v>26.081481056639827</x:v>
      </x:c>
      <x:c r="L319" t="n">
        <x:f>IF(AND(ISNUMBER('Results'!B7),ISNUMBER('Results'!C7),ISNUMBER('Results'!$B$8),ISNUMBER('Inputs'!$B$6),ISNUMBER('Inputs'!$B$7),ISNUMBER('Inputs'!$B$8),ISNUMBER('Inputs'!$B$9),ISNUMBER('Inputs'!$B$10),ISNUMBER('Inputs'!$B$21),ISNUMBER('Inputs'!$B$24),ISNUMBER('Inputs'!$B$28)),((('Results'!B7*(1+'Inputs'!$B$24)*(0.5*((((319-43)*MAX('Inputs'!$B$33,'Inputs'!$B$29+'Inputs'!$B$31+'Inputs'!$B$32,'Inputs'!$B$30+'Inputs'!$B$31+'Inputs'!$B$32)/1000+'Inputs'!$B$21)+'Inputs'!$B$7)/SQRT((((319-43)*MAX('Inputs'!$B$33,'Inputs'!$B$29+'Inputs'!$B$31+'Inputs'!$B$32,'Inputs'!$B$30+'Inputs'!$B$31+'Inputs'!$B$32)/1000+'Inputs'!$B$21)+'Inputs'!$B$7)^2+('Inputs'!$B$6/2)^2)-(((319-43)*MAX('Inputs'!$B$33,'Inputs'!$B$29+'Inputs'!$B$31+'Inputs'!$B$32,'Inputs'!$B$30+'Inputs'!$B$31+'Inputs'!$B$32)/1000+'Inputs'!$B$21))/SQRT((((319-43)*MAX('Inputs'!$B$33,'Inputs'!$B$29+'Inputs'!$B$31+'Inputs'!$B$32,'Inputs'!$B$30+'Inputs'!$B$31+'Inputs'!$B$32)/1000+'Inputs'!$B$21))^2+('Inputs'!$B$6/2)^2)))-'Results'!C7*(1-'Inputs'!$B$24)*(0.5*((((319-43)*MAX('Inputs'!$B$33,'Inputs'!$B$29+'Inputs'!$B$31+'Inputs'!$B$32,'Inputs'!$B$30+'Inputs'!$B$31+'Inputs'!$B$32)/1000+'Inputs'!$B$21+'Inputs'!$B$7+'Inputs'!$B$10)+'Inputs'!$B$9)/SQRT((((319-43)*MAX('Inputs'!$B$33,'Inputs'!$B$29+'Inputs'!$B$31+'Inputs'!$B$32,'Inputs'!$B$30+'Inputs'!$B$31+'Inputs'!$B$32)/1000+'Inputs'!$B$21+'Inputs'!$B$7+'Inputs'!$B$10)+'Inputs'!$B$9)^2+('Inputs'!$B$8/2)^2)-(((319-43)*MAX('Inputs'!$B$33,'Inputs'!$B$29+'Inputs'!$B$31+'Inputs'!$B$32,'Inputs'!$B$30+'Inputs'!$B$31+'Inputs'!$B$32)/1000+'Inputs'!$B$21+'Inputs'!$B$7+'Inputs'!$B$10))/SQRT((((319-43)*MAX('Inputs'!$B$33,'Inputs'!$B$29+'Inputs'!$B$31+'Inputs'!$B$32,'Inputs'!$B$30+'Inputs'!$B$31+'Inputs'!$B$32)/1000+'Inputs'!$B$21+'Inputs'!$B$7+'Inputs'!$B$10))^2+('Inputs'!$B$8/2)^2))))*'Results'!$B$8)+'Inputs'!$B$28*ABS((('Results'!B7*(1+'Inputs'!$B$24)*(0.5*((((319-43)*MAX('Inputs'!$B$33,'Inputs'!$B$29+'Inputs'!$B$31+'Inputs'!$B$32,'Inputs'!$B$30+'Inputs'!$B$31+'Inputs'!$B$32)/1000+'Inputs'!$B$21)+'Inputs'!$B$7)/SQRT((((319-43)*MAX('Inputs'!$B$33,'Inputs'!$B$29+'Inputs'!$B$31+'Inputs'!$B$32,'Inputs'!$B$30+'Inputs'!$B$31+'Inputs'!$B$32)/1000+'Inputs'!$B$21)+'Inputs'!$B$7)^2+('Inputs'!$B$6/2)^2)-(((319-43)*MAX('Inputs'!$B$33,'Inputs'!$B$29+'Inputs'!$B$31+'Inputs'!$B$32,'Inputs'!$B$30+'Inputs'!$B$31+'Inputs'!$B$32)/1000+'Inputs'!$B$21))/SQRT((((319-43)*MAX('Inputs'!$B$33,'Inputs'!$B$29+'Inputs'!$B$31+'Inputs'!$B$32,'Inputs'!$B$30+'Inputs'!$B$31+'Inputs'!$B$32)/1000+'Inputs'!$B$21))^2+('Inputs'!$B$6/2)^2)))-'Results'!C7*(1-'Inputs'!$B$24)*(0.5*((((319-43)*MAX('Inputs'!$B$33,'Inputs'!$B$29+'Inputs'!$B$31+'Inputs'!$B$32,'Inputs'!$B$30+'Inputs'!$B$31+'Inputs'!$B$32)/1000+'Inputs'!$B$21+'Inputs'!$B$7+'Inputs'!$B$10)+'Inputs'!$B$9)/SQRT((((319-43)*MAX('Inputs'!$B$33,'Inputs'!$B$29+'Inputs'!$B$31+'Inputs'!$B$32,'Inputs'!$B$30+'Inputs'!$B$31+'Inputs'!$B$32)/1000+'Inputs'!$B$21+'Inputs'!$B$7+'Inputs'!$B$10)+'Inputs'!$B$9)^2+('Inputs'!$B$8/2)^2)-(((319-43)*MAX('Inputs'!$B$33,'Inputs'!$B$29+'Inputs'!$B$31+'Inputs'!$B$32,'Inputs'!$B$30+'Inputs'!$B$31+'Inputs'!$B$32)/1000+'Inputs'!$B$21+'Inputs'!$B$7+'Inputs'!$B$10))/SQRT((((319-43)*MAX('Inputs'!$B$33,'Inputs'!$B$29+'Inputs'!$B$31+'Inputs'!$B$32,'Inputs'!$B$30+'Inputs'!$B$31+'Inputs'!$B$32)/1000+'Inputs'!$B$21+'Inputs'!$B$7+'Inputs'!$B$10))^2+('Inputs'!$B$8/2)^2))))*'Results'!$B$8))),"")</x:f>
        <x:v>31.539132667773753</x:v>
      </x:c>
      <x:c r="M319" t="n">
        <x:f>IF(AND(ISNUMBER('Results'!C7),ISNUMBER('Results'!B7),ISNUMBER('Results'!$B$8),ISNUMBER('Inputs'!$B$6),ISNUMBER('Inputs'!$B$7),ISNUMBER('Inputs'!$B$8),ISNUMBER('Inputs'!$B$9),ISNUMBER('Inputs'!$B$10),ISNUMBER('Inputs'!$B$21),ISNUMBER('Inputs'!$B$24),ISNUMBER('Inputs'!$B$28)),(('Results'!C7*(0.5*((((319-43)*MAX('Inputs'!$B$33,'Inputs'!$B$29+'Inputs'!$B$31+'Inputs'!$B$32,'Inputs'!$B$30+'Inputs'!$B$31+'Inputs'!$B$32)/1000+'Inputs'!$B$21)+'Inputs'!$B$9)/SQRT((((319-43)*MAX('Inputs'!$B$33,'Inputs'!$B$29+'Inputs'!$B$31+'Inputs'!$B$32,'Inputs'!$B$30+'Inputs'!$B$31+'Inputs'!$B$32)/1000+'Inputs'!$B$21)+'Inputs'!$B$9)^2+('Inputs'!$B$8/2)^2)-(((319-43)*MAX('Inputs'!$B$33,'Inputs'!$B$29+'Inputs'!$B$31+'Inputs'!$B$32,'Inputs'!$B$30+'Inputs'!$B$31+'Inputs'!$B$32)/1000+'Inputs'!$B$21))/SQRT((((319-43)*MAX('Inputs'!$B$33,'Inputs'!$B$29+'Inputs'!$B$31+'Inputs'!$B$32,'Inputs'!$B$30+'Inputs'!$B$31+'Inputs'!$B$32)/1000+'Inputs'!$B$21))^2+('Inputs'!$B$8/2)^2)))-'Results'!B7*(0.5*((((319-43)*MAX('Inputs'!$B$33,'Inputs'!$B$29+'Inputs'!$B$31+'Inputs'!$B$32,'Inputs'!$B$30+'Inputs'!$B$31+'Inputs'!$B$32)/1000+'Inputs'!$B$21+'Inputs'!$B$9+'Inputs'!$B$10)+'Inputs'!$B$7)/SQRT((((319-43)*MAX('Inputs'!$B$33,'Inputs'!$B$29+'Inputs'!$B$31+'Inputs'!$B$32,'Inputs'!$B$30+'Inputs'!$B$31+'Inputs'!$B$32)/1000+'Inputs'!$B$21+'Inputs'!$B$9+'Inputs'!$B$10)+'Inputs'!$B$7)^2+('Inputs'!$B$6/2)^2)-(((319-43)*MAX('Inputs'!$B$33,'Inputs'!$B$29+'Inputs'!$B$31+'Inputs'!$B$32,'Inputs'!$B$30+'Inputs'!$B$31+'Inputs'!$B$32)/1000+'Inputs'!$B$21+'Inputs'!$B$9+'Inputs'!$B$10))/SQRT((((319-43)*MAX('Inputs'!$B$33,'Inputs'!$B$29+'Inputs'!$B$31+'Inputs'!$B$32,'Inputs'!$B$30+'Inputs'!$B$31+'Inputs'!$B$32)/1000+'Inputs'!$B$21+'Inputs'!$B$9+'Inputs'!$B$10))^2+('Inputs'!$B$6/2)^2))))*'Results'!$B$8),"")</x:f>
        <x:v>27.446878088867276</x:v>
      </x:c>
      <x:c r="N319" t="n">
        <x:f>IF(AND(ISNUMBER('Results'!C7),ISNUMBER('Results'!B7),ISNUMBER('Results'!$B$8),ISNUMBER('Inputs'!$B$6),ISNUMBER('Inputs'!$B$7),ISNUMBER('Inputs'!$B$8),ISNUMBER('Inputs'!$B$9),ISNUMBER('Inputs'!$B$10),ISNUMBER('Inputs'!$B$21),ISNUMBER('Inputs'!$B$24),ISNUMBER('Inputs'!$B$28)),((('Results'!C7*(1-'Inputs'!$B$24)*(0.5*((((319-43)*MAX('Inputs'!$B$33,'Inputs'!$B$29+'Inputs'!$B$31+'Inputs'!$B$32,'Inputs'!$B$30+'Inputs'!$B$31+'Inputs'!$B$32)/1000+'Inputs'!$B$21)+'Inputs'!$B$9)/SQRT((((319-43)*MAX('Inputs'!$B$33,'Inputs'!$B$29+'Inputs'!$B$31+'Inputs'!$B$32,'Inputs'!$B$30+'Inputs'!$B$31+'Inputs'!$B$32)/1000+'Inputs'!$B$21)+'Inputs'!$B$9)^2+('Inputs'!$B$8/2)^2)-(((319-43)*MAX('Inputs'!$B$33,'Inputs'!$B$29+'Inputs'!$B$31+'Inputs'!$B$32,'Inputs'!$B$30+'Inputs'!$B$31+'Inputs'!$B$32)/1000+'Inputs'!$B$21))/SQRT((((319-43)*MAX('Inputs'!$B$33,'Inputs'!$B$29+'Inputs'!$B$31+'Inputs'!$B$32,'Inputs'!$B$30+'Inputs'!$B$31+'Inputs'!$B$32)/1000+'Inputs'!$B$21))^2+('Inputs'!$B$8/2)^2)))-'Results'!B7*(1+'Inputs'!$B$24)*(0.5*((((319-43)*MAX('Inputs'!$B$33,'Inputs'!$B$29+'Inputs'!$B$31+'Inputs'!$B$32,'Inputs'!$B$30+'Inputs'!$B$31+'Inputs'!$B$32)/1000+'Inputs'!$B$21+'Inputs'!$B$9+'Inputs'!$B$10)+'Inputs'!$B$7)/SQRT((((319-43)*MAX('Inputs'!$B$33,'Inputs'!$B$29+'Inputs'!$B$31+'Inputs'!$B$32,'Inputs'!$B$30+'Inputs'!$B$31+'Inputs'!$B$32)/1000+'Inputs'!$B$21+'Inputs'!$B$9+'Inputs'!$B$10)+'Inputs'!$B$7)^2+('Inputs'!$B$6/2)^2)-(((319-43)*MAX('Inputs'!$B$33,'Inputs'!$B$29+'Inputs'!$B$31+'Inputs'!$B$32,'Inputs'!$B$30+'Inputs'!$B$31+'Inputs'!$B$32)/1000+'Inputs'!$B$21+'Inputs'!$B$9+'Inputs'!$B$10))/SQRT((((319-43)*MAX('Inputs'!$B$33,'Inputs'!$B$29+'Inputs'!$B$31+'Inputs'!$B$32,'Inputs'!$B$30+'Inputs'!$B$31+'Inputs'!$B$32)/1000+'Inputs'!$B$21+'Inputs'!$B$9+'Inputs'!$B$10))^2+('Inputs'!$B$6/2)^2))))*'Results'!$B$8)-'Inputs'!$B$28*ABS((('Results'!C7*(1-'Inputs'!$B$24)*(0.5*((((319-43)*MAX('Inputs'!$B$33,'Inputs'!$B$29+'Inputs'!$B$31+'Inputs'!$B$32,'Inputs'!$B$30+'Inputs'!$B$31+'Inputs'!$B$32)/1000+'Inputs'!$B$21)+'Inputs'!$B$9)/SQRT((((319-43)*MAX('Inputs'!$B$33,'Inputs'!$B$29+'Inputs'!$B$31+'Inputs'!$B$32,'Inputs'!$B$30+'Inputs'!$B$31+'Inputs'!$B$32)/1000+'Inputs'!$B$21)+'Inputs'!$B$9)^2+('Inputs'!$B$8/2)^2)-(((319-43)*MAX('Inputs'!$B$33,'Inputs'!$B$29+'Inputs'!$B$31+'Inputs'!$B$32,'Inputs'!$B$30+'Inputs'!$B$31+'Inputs'!$B$32)/1000+'Inputs'!$B$21))/SQRT((((319-43)*MAX('Inputs'!$B$33,'Inputs'!$B$29+'Inputs'!$B$31+'Inputs'!$B$32,'Inputs'!$B$30+'Inputs'!$B$31+'Inputs'!$B$32)/1000+'Inputs'!$B$21))^2+('Inputs'!$B$8/2)^2)))-'Results'!B7*(1+'Inputs'!$B$24)*(0.5*((((319-43)*MAX('Inputs'!$B$33,'Inputs'!$B$29+'Inputs'!$B$31+'Inputs'!$B$32,'Inputs'!$B$30+'Inputs'!$B$31+'Inputs'!$B$32)/1000+'Inputs'!$B$21+'Inputs'!$B$9+'Inputs'!$B$10)+'Inputs'!$B$7)/SQRT((((319-43)*MAX('Inputs'!$B$33,'Inputs'!$B$29+'Inputs'!$B$31+'Inputs'!$B$32,'Inputs'!$B$30+'Inputs'!$B$31+'Inputs'!$B$32)/1000+'Inputs'!$B$21+'Inputs'!$B$9+'Inputs'!$B$10)+'Inputs'!$B$7)^2+('Inputs'!$B$6/2)^2)-(((319-43)*MAX('Inputs'!$B$33,'Inputs'!$B$29+'Inputs'!$B$31+'Inputs'!$B$32,'Inputs'!$B$30+'Inputs'!$B$31+'Inputs'!$B$32)/1000+'Inputs'!$B$21+'Inputs'!$B$9+'Inputs'!$B$10))/SQRT((((319-43)*MAX('Inputs'!$B$33,'Inputs'!$B$29+'Inputs'!$B$31+'Inputs'!$B$32,'Inputs'!$B$30+'Inputs'!$B$31+'Inputs'!$B$32)/1000+'Inputs'!$B$21+'Inputs'!$B$9+'Inputs'!$B$10))^2+('Inputs'!$B$6/2)^2))))*'Results'!$B$8))),"")</x:f>
        <x:v>24.85835627914355</x:v>
      </x:c>
      <x:c r="O319" t="n">
        <x:f>IF(AND(ISNUMBER('Results'!C7),ISNUMBER('Results'!B7),ISNUMBER('Results'!$B$8),ISNUMBER('Inputs'!$B$6),ISNUMBER('Inputs'!$B$7),ISNUMBER('Inputs'!$B$8),ISNUMBER('Inputs'!$B$9),ISNUMBER('Inputs'!$B$10),ISNUMBER('Inputs'!$B$21),ISNUMBER('Inputs'!$B$24),ISNUMBER('Inputs'!$B$28)),((('Results'!C7*(1+'Inputs'!$B$24)*(0.5*((((319-43)*MAX('Inputs'!$B$33,'Inputs'!$B$29+'Inputs'!$B$31+'Inputs'!$B$32,'Inputs'!$B$30+'Inputs'!$B$31+'Inputs'!$B$32)/1000+'Inputs'!$B$21)+'Inputs'!$B$9)/SQRT((((319-43)*MAX('Inputs'!$B$33,'Inputs'!$B$29+'Inputs'!$B$31+'Inputs'!$B$32,'Inputs'!$B$30+'Inputs'!$B$31+'Inputs'!$B$32)/1000+'Inputs'!$B$21)+'Inputs'!$B$9)^2+('Inputs'!$B$8/2)^2)-(((319-43)*MAX('Inputs'!$B$33,'Inputs'!$B$29+'Inputs'!$B$31+'Inputs'!$B$32,'Inputs'!$B$30+'Inputs'!$B$31+'Inputs'!$B$32)/1000+'Inputs'!$B$21))/SQRT((((319-43)*MAX('Inputs'!$B$33,'Inputs'!$B$29+'Inputs'!$B$31+'Inputs'!$B$32,'Inputs'!$B$30+'Inputs'!$B$31+'Inputs'!$B$32)/1000+'Inputs'!$B$21))^2+('Inputs'!$B$8/2)^2)))-'Results'!B7*(1-'Inputs'!$B$24)*(0.5*((((319-43)*MAX('Inputs'!$B$33,'Inputs'!$B$29+'Inputs'!$B$31+'Inputs'!$B$32,'Inputs'!$B$30+'Inputs'!$B$31+'Inputs'!$B$32)/1000+'Inputs'!$B$21+'Inputs'!$B$9+'Inputs'!$B$10)+'Inputs'!$B$7)/SQRT((((319-43)*MAX('Inputs'!$B$33,'Inputs'!$B$29+'Inputs'!$B$31+'Inputs'!$B$32,'Inputs'!$B$30+'Inputs'!$B$31+'Inputs'!$B$32)/1000+'Inputs'!$B$21+'Inputs'!$B$9+'Inputs'!$B$10)+'Inputs'!$B$7)^2+('Inputs'!$B$6/2)^2)-(((319-43)*MAX('Inputs'!$B$33,'Inputs'!$B$29+'Inputs'!$B$31+'Inputs'!$B$32,'Inputs'!$B$30+'Inputs'!$B$31+'Inputs'!$B$32)/1000+'Inputs'!$B$21+'Inputs'!$B$9+'Inputs'!$B$10))/SQRT((((319-43)*MAX('Inputs'!$B$33,'Inputs'!$B$29+'Inputs'!$B$31+'Inputs'!$B$32,'Inputs'!$B$30+'Inputs'!$B$31+'Inputs'!$B$32)/1000+'Inputs'!$B$21+'Inputs'!$B$9+'Inputs'!$B$10))^2+('Inputs'!$B$6/2)^2))))*'Results'!$B$8)+'Inputs'!$B$28*ABS((('Results'!C7*(1+'Inputs'!$B$24)*(0.5*((((319-43)*MAX('Inputs'!$B$33,'Inputs'!$B$29+'Inputs'!$B$31+'Inputs'!$B$32,'Inputs'!$B$30+'Inputs'!$B$31+'Inputs'!$B$32)/1000+'Inputs'!$B$21)+'Inputs'!$B$9)/SQRT((((319-43)*MAX('Inputs'!$B$33,'Inputs'!$B$29+'Inputs'!$B$31+'Inputs'!$B$32,'Inputs'!$B$30+'Inputs'!$B$31+'Inputs'!$B$32)/1000+'Inputs'!$B$21)+'Inputs'!$B$9)^2+('Inputs'!$B$8/2)^2)-(((319-43)*MAX('Inputs'!$B$33,'Inputs'!$B$29+'Inputs'!$B$31+'Inputs'!$B$32,'Inputs'!$B$30+'Inputs'!$B$31+'Inputs'!$B$32)/1000+'Inputs'!$B$21))/SQRT((((319-43)*MAX('Inputs'!$B$33,'Inputs'!$B$29+'Inputs'!$B$31+'Inputs'!$B$32,'Inputs'!$B$30+'Inputs'!$B$31+'Inputs'!$B$32)/1000+'Inputs'!$B$21))^2+('Inputs'!$B$8/2)^2)))-'Results'!B7*(1-'Inputs'!$B$24)*(0.5*((((319-43)*MAX('Inputs'!$B$33,'Inputs'!$B$29+'Inputs'!$B$31+'Inputs'!$B$32,'Inputs'!$B$30+'Inputs'!$B$31+'Inputs'!$B$32)/1000+'Inputs'!$B$21+'Inputs'!$B$9+'Inputs'!$B$10)+'Inputs'!$B$7)/SQRT((((319-43)*MAX('Inputs'!$B$33,'Inputs'!$B$29+'Inputs'!$B$31+'Inputs'!$B$32,'Inputs'!$B$30+'Inputs'!$B$31+'Inputs'!$B$32)/1000+'Inputs'!$B$21+'Inputs'!$B$9+'Inputs'!$B$10)+'Inputs'!$B$7)^2+('Inputs'!$B$6/2)^2)-(((319-43)*MAX('Inputs'!$B$33,'Inputs'!$B$29+'Inputs'!$B$31+'Inputs'!$B$32,'Inputs'!$B$30+'Inputs'!$B$31+'Inputs'!$B$32)/1000+'Inputs'!$B$21+'Inputs'!$B$9+'Inputs'!$B$10))/SQRT((((319-43)*MAX('Inputs'!$B$33,'Inputs'!$B$29+'Inputs'!$B$31+'Inputs'!$B$32,'Inputs'!$B$30+'Inputs'!$B$31+'Inputs'!$B$32)/1000+'Inputs'!$B$21+'Inputs'!$B$9+'Inputs'!$B$10))^2+('Inputs'!$B$6/2)^2))))*'Results'!$B$8))),"")</x:f>
        <x:v>30.163418625462626</x:v>
      </x:c>
      <x:c r="P319" t="n">
        <x:f>IF(AND(MAX(J319,J318)&gt;0,J319&gt;J318+0.00000001),1,0)</x:f>
        <x:v>0</x:v>
      </x:c>
      <x:c r="Q319" t="n">
        <x:f>IF(AND(MAX(K319,K318)&gt;0,K319&gt;K318+0.00000001),1,0)</x:f>
        <x:v>0</x:v>
      </x:c>
      <x:c r="R319" t="n">
        <x:f>IF(AND(MAX(L319,L318)&gt;0,L319&gt;L318+0.00000001),1,0)</x:f>
        <x:v>0</x:v>
      </x:c>
      <x:c r="S319" t="n">
        <x:f>IF(AND(MAX(M319,M318)&gt;0,M319&gt;M318+0.00000001),1,0)</x:f>
        <x:v>0</x:v>
      </x:c>
      <x:c r="T319" t="n">
        <x:f>IF(AND(MAX(N319,N318)&gt;0,N319&gt;N318+0.00000001),1,0)</x:f>
        <x:v>0</x:v>
      </x:c>
      <x:c r="U319" t="n">
        <x:f>IF(AND(MAX(O319,O318)&gt;0,O319&gt;O318+0.00000001),1,0)</x:f>
        <x:v>0</x:v>
      </x:c>
    </x:row>
    <x:row r="320">
      <x:c r="J320" t="n">
        <x:f>IF(AND(ISNUMBER('Results'!B7),ISNUMBER('Results'!C7),ISNUMBER('Results'!$B$8),ISNUMBER('Inputs'!$B$6),ISNUMBER('Inputs'!$B$7),ISNUMBER('Inputs'!$B$8),ISNUMBER('Inputs'!$B$9),ISNUMBER('Inputs'!$B$10),ISNUMBER('Inputs'!$B$21),ISNUMBER('Inputs'!$B$24),ISNUMBER('Inputs'!$B$28)),(('Results'!B7*(0.5*((((320-43)*MAX('Inputs'!$B$33,'Inputs'!$B$29+'Inputs'!$B$31+'Inputs'!$B$32,'Inputs'!$B$30+'Inputs'!$B$31+'Inputs'!$B$32)/1000+'Inputs'!$B$21)+'Inputs'!$B$7)/SQRT((((320-43)*MAX('Inputs'!$B$33,'Inputs'!$B$29+'Inputs'!$B$31+'Inputs'!$B$32,'Inputs'!$B$30+'Inputs'!$B$31+'Inputs'!$B$32)/1000+'Inputs'!$B$21)+'Inputs'!$B$7)^2+('Inputs'!$B$6/2)^2)-(((320-43)*MAX('Inputs'!$B$33,'Inputs'!$B$29+'Inputs'!$B$31+'Inputs'!$B$32,'Inputs'!$B$30+'Inputs'!$B$31+'Inputs'!$B$32)/1000+'Inputs'!$B$21))/SQRT((((320-43)*MAX('Inputs'!$B$33,'Inputs'!$B$29+'Inputs'!$B$31+'Inputs'!$B$32,'Inputs'!$B$30+'Inputs'!$B$31+'Inputs'!$B$32)/1000+'Inputs'!$B$21))^2+('Inputs'!$B$6/2)^2)))-'Results'!C7*(0.5*((((320-43)*MAX('Inputs'!$B$33,'Inputs'!$B$29+'Inputs'!$B$31+'Inputs'!$B$32,'Inputs'!$B$30+'Inputs'!$B$31+'Inputs'!$B$32)/1000+'Inputs'!$B$21+'Inputs'!$B$7+'Inputs'!$B$10)+'Inputs'!$B$9)/SQRT((((320-43)*MAX('Inputs'!$B$33,'Inputs'!$B$29+'Inputs'!$B$31+'Inputs'!$B$32,'Inputs'!$B$30+'Inputs'!$B$31+'Inputs'!$B$32)/1000+'Inputs'!$B$21+'Inputs'!$B$7+'Inputs'!$B$10)+'Inputs'!$B$9)^2+('Inputs'!$B$8/2)^2)-(((320-43)*MAX('Inputs'!$B$33,'Inputs'!$B$29+'Inputs'!$B$31+'Inputs'!$B$32,'Inputs'!$B$30+'Inputs'!$B$31+'Inputs'!$B$32)/1000+'Inputs'!$B$21+'Inputs'!$B$7+'Inputs'!$B$10))/SQRT((((320-43)*MAX('Inputs'!$B$33,'Inputs'!$B$29+'Inputs'!$B$31+'Inputs'!$B$32,'Inputs'!$B$30+'Inputs'!$B$31+'Inputs'!$B$32)/1000+'Inputs'!$B$21+'Inputs'!$B$7+'Inputs'!$B$10))^2+('Inputs'!$B$8/2)^2))))*'Results'!$B$8),"")</x:f>
        <x:v>28.430981188538414</x:v>
      </x:c>
      <x:c r="K320" t="n">
        <x:f>IF(AND(ISNUMBER('Results'!B7),ISNUMBER('Results'!C7),ISNUMBER('Results'!$B$8),ISNUMBER('Inputs'!$B$6),ISNUMBER('Inputs'!$B$7),ISNUMBER('Inputs'!$B$8),ISNUMBER('Inputs'!$B$9),ISNUMBER('Inputs'!$B$10),ISNUMBER('Inputs'!$B$21),ISNUMBER('Inputs'!$B$24),ISNUMBER('Inputs'!$B$28)),((('Results'!B7*(1-'Inputs'!$B$24)*(0.5*((((320-43)*MAX('Inputs'!$B$33,'Inputs'!$B$29+'Inputs'!$B$31+'Inputs'!$B$32,'Inputs'!$B$30+'Inputs'!$B$31+'Inputs'!$B$32)/1000+'Inputs'!$B$21)+'Inputs'!$B$7)/SQRT((((320-43)*MAX('Inputs'!$B$33,'Inputs'!$B$29+'Inputs'!$B$31+'Inputs'!$B$32,'Inputs'!$B$30+'Inputs'!$B$31+'Inputs'!$B$32)/1000+'Inputs'!$B$21)+'Inputs'!$B$7)^2+('Inputs'!$B$6/2)^2)-(((320-43)*MAX('Inputs'!$B$33,'Inputs'!$B$29+'Inputs'!$B$31+'Inputs'!$B$32,'Inputs'!$B$30+'Inputs'!$B$31+'Inputs'!$B$32)/1000+'Inputs'!$B$21))/SQRT((((320-43)*MAX('Inputs'!$B$33,'Inputs'!$B$29+'Inputs'!$B$31+'Inputs'!$B$32,'Inputs'!$B$30+'Inputs'!$B$31+'Inputs'!$B$32)/1000+'Inputs'!$B$21))^2+('Inputs'!$B$6/2)^2)))-'Results'!C7*(1+'Inputs'!$B$24)*(0.5*((((320-43)*MAX('Inputs'!$B$33,'Inputs'!$B$29+'Inputs'!$B$31+'Inputs'!$B$32,'Inputs'!$B$30+'Inputs'!$B$31+'Inputs'!$B$32)/1000+'Inputs'!$B$21+'Inputs'!$B$7+'Inputs'!$B$10)+'Inputs'!$B$9)/SQRT((((320-43)*MAX('Inputs'!$B$33,'Inputs'!$B$29+'Inputs'!$B$31+'Inputs'!$B$32,'Inputs'!$B$30+'Inputs'!$B$31+'Inputs'!$B$32)/1000+'Inputs'!$B$21+'Inputs'!$B$7+'Inputs'!$B$10)+'Inputs'!$B$9)^2+('Inputs'!$B$8/2)^2)-(((320-43)*MAX('Inputs'!$B$33,'Inputs'!$B$29+'Inputs'!$B$31+'Inputs'!$B$32,'Inputs'!$B$30+'Inputs'!$B$31+'Inputs'!$B$32)/1000+'Inputs'!$B$21+'Inputs'!$B$7+'Inputs'!$B$10))/SQRT((((320-43)*MAX('Inputs'!$B$33,'Inputs'!$B$29+'Inputs'!$B$31+'Inputs'!$B$32,'Inputs'!$B$30+'Inputs'!$B$31+'Inputs'!$B$32)/1000+'Inputs'!$B$21+'Inputs'!$B$7+'Inputs'!$B$10))^2+('Inputs'!$B$8/2)^2))))*'Results'!$B$8)-'Inputs'!$B$28*ABS((('Results'!B7*(1-'Inputs'!$B$24)*(0.5*((((320-43)*MAX('Inputs'!$B$33,'Inputs'!$B$29+'Inputs'!$B$31+'Inputs'!$B$32,'Inputs'!$B$30+'Inputs'!$B$31+'Inputs'!$B$32)/1000+'Inputs'!$B$21)+'Inputs'!$B$7)/SQRT((((320-43)*MAX('Inputs'!$B$33,'Inputs'!$B$29+'Inputs'!$B$31+'Inputs'!$B$32,'Inputs'!$B$30+'Inputs'!$B$31+'Inputs'!$B$32)/1000+'Inputs'!$B$21)+'Inputs'!$B$7)^2+('Inputs'!$B$6/2)^2)-(((320-43)*MAX('Inputs'!$B$33,'Inputs'!$B$29+'Inputs'!$B$31+'Inputs'!$B$32,'Inputs'!$B$30+'Inputs'!$B$31+'Inputs'!$B$32)/1000+'Inputs'!$B$21))/SQRT((((320-43)*MAX('Inputs'!$B$33,'Inputs'!$B$29+'Inputs'!$B$31+'Inputs'!$B$32,'Inputs'!$B$30+'Inputs'!$B$31+'Inputs'!$B$32)/1000+'Inputs'!$B$21))^2+('Inputs'!$B$6/2)^2)))-'Results'!C7*(1+'Inputs'!$B$24)*(0.5*((((320-43)*MAX('Inputs'!$B$33,'Inputs'!$B$29+'Inputs'!$B$31+'Inputs'!$B$32,'Inputs'!$B$30+'Inputs'!$B$31+'Inputs'!$B$32)/1000+'Inputs'!$B$21+'Inputs'!$B$7+'Inputs'!$B$10)+'Inputs'!$B$9)/SQRT((((320-43)*MAX('Inputs'!$B$33,'Inputs'!$B$29+'Inputs'!$B$31+'Inputs'!$B$32,'Inputs'!$B$30+'Inputs'!$B$31+'Inputs'!$B$32)/1000+'Inputs'!$B$21+'Inputs'!$B$7+'Inputs'!$B$10)+'Inputs'!$B$9)^2+('Inputs'!$B$8/2)^2)-(((320-43)*MAX('Inputs'!$B$33,'Inputs'!$B$29+'Inputs'!$B$31+'Inputs'!$B$32,'Inputs'!$B$30+'Inputs'!$B$31+'Inputs'!$B$32)/1000+'Inputs'!$B$21+'Inputs'!$B$7+'Inputs'!$B$10))/SQRT((((320-43)*MAX('Inputs'!$B$33,'Inputs'!$B$29+'Inputs'!$B$31+'Inputs'!$B$32,'Inputs'!$B$30+'Inputs'!$B$31+'Inputs'!$B$32)/1000+'Inputs'!$B$21+'Inputs'!$B$7+'Inputs'!$B$10))^2+('Inputs'!$B$8/2)^2))))*'Results'!$B$8))),"")</x:f>
        <x:v>25.79323646839158</x:v>
      </x:c>
      <x:c r="L320" t="n">
        <x:f>IF(AND(ISNUMBER('Results'!B7),ISNUMBER('Results'!C7),ISNUMBER('Results'!$B$8),ISNUMBER('Inputs'!$B$6),ISNUMBER('Inputs'!$B$7),ISNUMBER('Inputs'!$B$8),ISNUMBER('Inputs'!$B$9),ISNUMBER('Inputs'!$B$10),ISNUMBER('Inputs'!$B$21),ISNUMBER('Inputs'!$B$24),ISNUMBER('Inputs'!$B$28)),((('Results'!B7*(1+'Inputs'!$B$24)*(0.5*((((320-43)*MAX('Inputs'!$B$33,'Inputs'!$B$29+'Inputs'!$B$31+'Inputs'!$B$32,'Inputs'!$B$30+'Inputs'!$B$31+'Inputs'!$B$32)/1000+'Inputs'!$B$21)+'Inputs'!$B$7)/SQRT((((320-43)*MAX('Inputs'!$B$33,'Inputs'!$B$29+'Inputs'!$B$31+'Inputs'!$B$32,'Inputs'!$B$30+'Inputs'!$B$31+'Inputs'!$B$32)/1000+'Inputs'!$B$21)+'Inputs'!$B$7)^2+('Inputs'!$B$6/2)^2)-(((320-43)*MAX('Inputs'!$B$33,'Inputs'!$B$29+'Inputs'!$B$31+'Inputs'!$B$32,'Inputs'!$B$30+'Inputs'!$B$31+'Inputs'!$B$32)/1000+'Inputs'!$B$21))/SQRT((((320-43)*MAX('Inputs'!$B$33,'Inputs'!$B$29+'Inputs'!$B$31+'Inputs'!$B$32,'Inputs'!$B$30+'Inputs'!$B$31+'Inputs'!$B$32)/1000+'Inputs'!$B$21))^2+('Inputs'!$B$6/2)^2)))-'Results'!C7*(1-'Inputs'!$B$24)*(0.5*((((320-43)*MAX('Inputs'!$B$33,'Inputs'!$B$29+'Inputs'!$B$31+'Inputs'!$B$32,'Inputs'!$B$30+'Inputs'!$B$31+'Inputs'!$B$32)/1000+'Inputs'!$B$21+'Inputs'!$B$7+'Inputs'!$B$10)+'Inputs'!$B$9)/SQRT((((320-43)*MAX('Inputs'!$B$33,'Inputs'!$B$29+'Inputs'!$B$31+'Inputs'!$B$32,'Inputs'!$B$30+'Inputs'!$B$31+'Inputs'!$B$32)/1000+'Inputs'!$B$21+'Inputs'!$B$7+'Inputs'!$B$10)+'Inputs'!$B$9)^2+('Inputs'!$B$8/2)^2)-(((320-43)*MAX('Inputs'!$B$33,'Inputs'!$B$29+'Inputs'!$B$31+'Inputs'!$B$32,'Inputs'!$B$30+'Inputs'!$B$31+'Inputs'!$B$32)/1000+'Inputs'!$B$21+'Inputs'!$B$7+'Inputs'!$B$10))/SQRT((((320-43)*MAX('Inputs'!$B$33,'Inputs'!$B$29+'Inputs'!$B$31+'Inputs'!$B$32,'Inputs'!$B$30+'Inputs'!$B$31+'Inputs'!$B$32)/1000+'Inputs'!$B$21+'Inputs'!$B$7+'Inputs'!$B$10))^2+('Inputs'!$B$8/2)^2))))*'Results'!$B$8)+'Inputs'!$B$28*ABS((('Results'!B7*(1+'Inputs'!$B$24)*(0.5*((((320-43)*MAX('Inputs'!$B$33,'Inputs'!$B$29+'Inputs'!$B$31+'Inputs'!$B$32,'Inputs'!$B$30+'Inputs'!$B$31+'Inputs'!$B$32)/1000+'Inputs'!$B$21)+'Inputs'!$B$7)/SQRT((((320-43)*MAX('Inputs'!$B$33,'Inputs'!$B$29+'Inputs'!$B$31+'Inputs'!$B$32,'Inputs'!$B$30+'Inputs'!$B$31+'Inputs'!$B$32)/1000+'Inputs'!$B$21)+'Inputs'!$B$7)^2+('Inputs'!$B$6/2)^2)-(((320-43)*MAX('Inputs'!$B$33,'Inputs'!$B$29+'Inputs'!$B$31+'Inputs'!$B$32,'Inputs'!$B$30+'Inputs'!$B$31+'Inputs'!$B$32)/1000+'Inputs'!$B$21))/SQRT((((320-43)*MAX('Inputs'!$B$33,'Inputs'!$B$29+'Inputs'!$B$31+'Inputs'!$B$32,'Inputs'!$B$30+'Inputs'!$B$31+'Inputs'!$B$32)/1000+'Inputs'!$B$21))^2+('Inputs'!$B$6/2)^2)))-'Results'!C7*(1-'Inputs'!$B$24)*(0.5*((((320-43)*MAX('Inputs'!$B$33,'Inputs'!$B$29+'Inputs'!$B$31+'Inputs'!$B$32,'Inputs'!$B$30+'Inputs'!$B$31+'Inputs'!$B$32)/1000+'Inputs'!$B$21+'Inputs'!$B$7+'Inputs'!$B$10)+'Inputs'!$B$9)/SQRT((((320-43)*MAX('Inputs'!$B$33,'Inputs'!$B$29+'Inputs'!$B$31+'Inputs'!$B$32,'Inputs'!$B$30+'Inputs'!$B$31+'Inputs'!$B$32)/1000+'Inputs'!$B$21+'Inputs'!$B$7+'Inputs'!$B$10)+'Inputs'!$B$9)^2+('Inputs'!$B$8/2)^2)-(((320-43)*MAX('Inputs'!$B$33,'Inputs'!$B$29+'Inputs'!$B$31+'Inputs'!$B$32,'Inputs'!$B$30+'Inputs'!$B$31+'Inputs'!$B$32)/1000+'Inputs'!$B$21+'Inputs'!$B$7+'Inputs'!$B$10))/SQRT((((320-43)*MAX('Inputs'!$B$33,'Inputs'!$B$29+'Inputs'!$B$31+'Inputs'!$B$32,'Inputs'!$B$30+'Inputs'!$B$31+'Inputs'!$B$32)/1000+'Inputs'!$B$21+'Inputs'!$B$7+'Inputs'!$B$10))^2+('Inputs'!$B$8/2)^2))))*'Results'!$B$8))),"")</x:f>
        <x:v>31.1967465045505</x:v>
      </x:c>
      <x:c r="M320" t="n">
        <x:f>IF(AND(ISNUMBER('Results'!C7),ISNUMBER('Results'!B7),ISNUMBER('Results'!$B$8),ISNUMBER('Inputs'!$B$6),ISNUMBER('Inputs'!$B$7),ISNUMBER('Inputs'!$B$8),ISNUMBER('Inputs'!$B$9),ISNUMBER('Inputs'!$B$10),ISNUMBER('Inputs'!$B$21),ISNUMBER('Inputs'!$B$24),ISNUMBER('Inputs'!$B$28)),(('Results'!C7*(0.5*((((320-43)*MAX('Inputs'!$B$33,'Inputs'!$B$29+'Inputs'!$B$31+'Inputs'!$B$32,'Inputs'!$B$30+'Inputs'!$B$31+'Inputs'!$B$32)/1000+'Inputs'!$B$21)+'Inputs'!$B$9)/SQRT((((320-43)*MAX('Inputs'!$B$33,'Inputs'!$B$29+'Inputs'!$B$31+'Inputs'!$B$32,'Inputs'!$B$30+'Inputs'!$B$31+'Inputs'!$B$32)/1000+'Inputs'!$B$21)+'Inputs'!$B$9)^2+('Inputs'!$B$8/2)^2)-(((320-43)*MAX('Inputs'!$B$33,'Inputs'!$B$29+'Inputs'!$B$31+'Inputs'!$B$32,'Inputs'!$B$30+'Inputs'!$B$31+'Inputs'!$B$32)/1000+'Inputs'!$B$21))/SQRT((((320-43)*MAX('Inputs'!$B$33,'Inputs'!$B$29+'Inputs'!$B$31+'Inputs'!$B$32,'Inputs'!$B$30+'Inputs'!$B$31+'Inputs'!$B$32)/1000+'Inputs'!$B$21))^2+('Inputs'!$B$8/2)^2)))-'Results'!B7*(0.5*((((320-43)*MAX('Inputs'!$B$33,'Inputs'!$B$29+'Inputs'!$B$31+'Inputs'!$B$32,'Inputs'!$B$30+'Inputs'!$B$31+'Inputs'!$B$32)/1000+'Inputs'!$B$21+'Inputs'!$B$9+'Inputs'!$B$10)+'Inputs'!$B$7)/SQRT((((320-43)*MAX('Inputs'!$B$33,'Inputs'!$B$29+'Inputs'!$B$31+'Inputs'!$B$32,'Inputs'!$B$30+'Inputs'!$B$31+'Inputs'!$B$32)/1000+'Inputs'!$B$21+'Inputs'!$B$9+'Inputs'!$B$10)+'Inputs'!$B$7)^2+('Inputs'!$B$6/2)^2)-(((320-43)*MAX('Inputs'!$B$33,'Inputs'!$B$29+'Inputs'!$B$31+'Inputs'!$B$32,'Inputs'!$B$30+'Inputs'!$B$31+'Inputs'!$B$32)/1000+'Inputs'!$B$21+'Inputs'!$B$9+'Inputs'!$B$10))/SQRT((((320-43)*MAX('Inputs'!$B$33,'Inputs'!$B$29+'Inputs'!$B$31+'Inputs'!$B$32,'Inputs'!$B$30+'Inputs'!$B$31+'Inputs'!$B$32)/1000+'Inputs'!$B$21+'Inputs'!$B$9+'Inputs'!$B$10))^2+('Inputs'!$B$6/2)^2))))*'Results'!$B$8),"")</x:f>
        <x:v>27.143514144836058</x:v>
      </x:c>
      <x:c r="N320" t="n">
        <x:f>IF(AND(ISNUMBER('Results'!C7),ISNUMBER('Results'!B7),ISNUMBER('Results'!$B$8),ISNUMBER('Inputs'!$B$6),ISNUMBER('Inputs'!$B$7),ISNUMBER('Inputs'!$B$8),ISNUMBER('Inputs'!$B$9),ISNUMBER('Inputs'!$B$10),ISNUMBER('Inputs'!$B$21),ISNUMBER('Inputs'!$B$24),ISNUMBER('Inputs'!$B$28)),((('Results'!C7*(1-'Inputs'!$B$24)*(0.5*((((320-43)*MAX('Inputs'!$B$33,'Inputs'!$B$29+'Inputs'!$B$31+'Inputs'!$B$32,'Inputs'!$B$30+'Inputs'!$B$31+'Inputs'!$B$32)/1000+'Inputs'!$B$21)+'Inputs'!$B$9)/SQRT((((320-43)*MAX('Inputs'!$B$33,'Inputs'!$B$29+'Inputs'!$B$31+'Inputs'!$B$32,'Inputs'!$B$30+'Inputs'!$B$31+'Inputs'!$B$32)/1000+'Inputs'!$B$21)+'Inputs'!$B$9)^2+('Inputs'!$B$8/2)^2)-(((320-43)*MAX('Inputs'!$B$33,'Inputs'!$B$29+'Inputs'!$B$31+'Inputs'!$B$32,'Inputs'!$B$30+'Inputs'!$B$31+'Inputs'!$B$32)/1000+'Inputs'!$B$21))/SQRT((((320-43)*MAX('Inputs'!$B$33,'Inputs'!$B$29+'Inputs'!$B$31+'Inputs'!$B$32,'Inputs'!$B$30+'Inputs'!$B$31+'Inputs'!$B$32)/1000+'Inputs'!$B$21))^2+('Inputs'!$B$8/2)^2)))-'Results'!B7*(1+'Inputs'!$B$24)*(0.5*((((320-43)*MAX('Inputs'!$B$33,'Inputs'!$B$29+'Inputs'!$B$31+'Inputs'!$B$32,'Inputs'!$B$30+'Inputs'!$B$31+'Inputs'!$B$32)/1000+'Inputs'!$B$21+'Inputs'!$B$9+'Inputs'!$B$10)+'Inputs'!$B$7)/SQRT((((320-43)*MAX('Inputs'!$B$33,'Inputs'!$B$29+'Inputs'!$B$31+'Inputs'!$B$32,'Inputs'!$B$30+'Inputs'!$B$31+'Inputs'!$B$32)/1000+'Inputs'!$B$21+'Inputs'!$B$9+'Inputs'!$B$10)+'Inputs'!$B$7)^2+('Inputs'!$B$6/2)^2)-(((320-43)*MAX('Inputs'!$B$33,'Inputs'!$B$29+'Inputs'!$B$31+'Inputs'!$B$32,'Inputs'!$B$30+'Inputs'!$B$31+'Inputs'!$B$32)/1000+'Inputs'!$B$21+'Inputs'!$B$9+'Inputs'!$B$10))/SQRT((((320-43)*MAX('Inputs'!$B$33,'Inputs'!$B$29+'Inputs'!$B$31+'Inputs'!$B$32,'Inputs'!$B$30+'Inputs'!$B$31+'Inputs'!$B$32)/1000+'Inputs'!$B$21+'Inputs'!$B$9+'Inputs'!$B$10))^2+('Inputs'!$B$6/2)^2))))*'Results'!$B$8)-'Inputs'!$B$28*ABS((('Results'!C7*(1-'Inputs'!$B$24)*(0.5*((((320-43)*MAX('Inputs'!$B$33,'Inputs'!$B$29+'Inputs'!$B$31+'Inputs'!$B$32,'Inputs'!$B$30+'Inputs'!$B$31+'Inputs'!$B$32)/1000+'Inputs'!$B$21)+'Inputs'!$B$9)/SQRT((((320-43)*MAX('Inputs'!$B$33,'Inputs'!$B$29+'Inputs'!$B$31+'Inputs'!$B$32,'Inputs'!$B$30+'Inputs'!$B$31+'Inputs'!$B$32)/1000+'Inputs'!$B$21)+'Inputs'!$B$9)^2+('Inputs'!$B$8/2)^2)-(((320-43)*MAX('Inputs'!$B$33,'Inputs'!$B$29+'Inputs'!$B$31+'Inputs'!$B$32,'Inputs'!$B$30+'Inputs'!$B$31+'Inputs'!$B$32)/1000+'Inputs'!$B$21))/SQRT((((320-43)*MAX('Inputs'!$B$33,'Inputs'!$B$29+'Inputs'!$B$31+'Inputs'!$B$32,'Inputs'!$B$30+'Inputs'!$B$31+'Inputs'!$B$32)/1000+'Inputs'!$B$21))^2+('Inputs'!$B$8/2)^2)))-'Results'!B7*(1+'Inputs'!$B$24)*(0.5*((((320-43)*MAX('Inputs'!$B$33,'Inputs'!$B$29+'Inputs'!$B$31+'Inputs'!$B$32,'Inputs'!$B$30+'Inputs'!$B$31+'Inputs'!$B$32)/1000+'Inputs'!$B$21+'Inputs'!$B$9+'Inputs'!$B$10)+'Inputs'!$B$7)/SQRT((((320-43)*MAX('Inputs'!$B$33,'Inputs'!$B$29+'Inputs'!$B$31+'Inputs'!$B$32,'Inputs'!$B$30+'Inputs'!$B$31+'Inputs'!$B$32)/1000+'Inputs'!$B$21+'Inputs'!$B$9+'Inputs'!$B$10)+'Inputs'!$B$7)^2+('Inputs'!$B$6/2)^2)-(((320-43)*MAX('Inputs'!$B$33,'Inputs'!$B$29+'Inputs'!$B$31+'Inputs'!$B$32,'Inputs'!$B$30+'Inputs'!$B$31+'Inputs'!$B$32)/1000+'Inputs'!$B$21+'Inputs'!$B$9+'Inputs'!$B$10))/SQRT((((320-43)*MAX('Inputs'!$B$33,'Inputs'!$B$29+'Inputs'!$B$31+'Inputs'!$B$32,'Inputs'!$B$30+'Inputs'!$B$31+'Inputs'!$B$32)/1000+'Inputs'!$B$21+'Inputs'!$B$9+'Inputs'!$B$10))^2+('Inputs'!$B$6/2)^2))))*'Results'!$B$8))),"")</x:f>
        <x:v>24.58080858911004</x:v>
      </x:c>
      <x:c r="O320" t="n">
        <x:f>IF(AND(ISNUMBER('Results'!C7),ISNUMBER('Results'!B7),ISNUMBER('Results'!$B$8),ISNUMBER('Inputs'!$B$6),ISNUMBER('Inputs'!$B$7),ISNUMBER('Inputs'!$B$8),ISNUMBER('Inputs'!$B$9),ISNUMBER('Inputs'!$B$10),ISNUMBER('Inputs'!$B$21),ISNUMBER('Inputs'!$B$24),ISNUMBER('Inputs'!$B$28)),((('Results'!C7*(1+'Inputs'!$B$24)*(0.5*((((320-43)*MAX('Inputs'!$B$33,'Inputs'!$B$29+'Inputs'!$B$31+'Inputs'!$B$32,'Inputs'!$B$30+'Inputs'!$B$31+'Inputs'!$B$32)/1000+'Inputs'!$B$21)+'Inputs'!$B$9)/SQRT((((320-43)*MAX('Inputs'!$B$33,'Inputs'!$B$29+'Inputs'!$B$31+'Inputs'!$B$32,'Inputs'!$B$30+'Inputs'!$B$31+'Inputs'!$B$32)/1000+'Inputs'!$B$21)+'Inputs'!$B$9)^2+('Inputs'!$B$8/2)^2)-(((320-43)*MAX('Inputs'!$B$33,'Inputs'!$B$29+'Inputs'!$B$31+'Inputs'!$B$32,'Inputs'!$B$30+'Inputs'!$B$31+'Inputs'!$B$32)/1000+'Inputs'!$B$21))/SQRT((((320-43)*MAX('Inputs'!$B$33,'Inputs'!$B$29+'Inputs'!$B$31+'Inputs'!$B$32,'Inputs'!$B$30+'Inputs'!$B$31+'Inputs'!$B$32)/1000+'Inputs'!$B$21))^2+('Inputs'!$B$8/2)^2)))-'Results'!B7*(1-'Inputs'!$B$24)*(0.5*((((320-43)*MAX('Inputs'!$B$33,'Inputs'!$B$29+'Inputs'!$B$31+'Inputs'!$B$32,'Inputs'!$B$30+'Inputs'!$B$31+'Inputs'!$B$32)/1000+'Inputs'!$B$21+'Inputs'!$B$9+'Inputs'!$B$10)+'Inputs'!$B$7)/SQRT((((320-43)*MAX('Inputs'!$B$33,'Inputs'!$B$29+'Inputs'!$B$31+'Inputs'!$B$32,'Inputs'!$B$30+'Inputs'!$B$31+'Inputs'!$B$32)/1000+'Inputs'!$B$21+'Inputs'!$B$9+'Inputs'!$B$10)+'Inputs'!$B$7)^2+('Inputs'!$B$6/2)^2)-(((320-43)*MAX('Inputs'!$B$33,'Inputs'!$B$29+'Inputs'!$B$31+'Inputs'!$B$32,'Inputs'!$B$30+'Inputs'!$B$31+'Inputs'!$B$32)/1000+'Inputs'!$B$21+'Inputs'!$B$9+'Inputs'!$B$10))/SQRT((((320-43)*MAX('Inputs'!$B$33,'Inputs'!$B$29+'Inputs'!$B$31+'Inputs'!$B$32,'Inputs'!$B$30+'Inputs'!$B$31+'Inputs'!$B$32)/1000+'Inputs'!$B$21+'Inputs'!$B$9+'Inputs'!$B$10))^2+('Inputs'!$B$6/2)^2))))*'Results'!$B$8)+'Inputs'!$B$28*ABS((('Results'!C7*(1+'Inputs'!$B$24)*(0.5*((((320-43)*MAX('Inputs'!$B$33,'Inputs'!$B$29+'Inputs'!$B$31+'Inputs'!$B$32,'Inputs'!$B$30+'Inputs'!$B$31+'Inputs'!$B$32)/1000+'Inputs'!$B$21)+'Inputs'!$B$9)/SQRT((((320-43)*MAX('Inputs'!$B$33,'Inputs'!$B$29+'Inputs'!$B$31+'Inputs'!$B$32,'Inputs'!$B$30+'Inputs'!$B$31+'Inputs'!$B$32)/1000+'Inputs'!$B$21)+'Inputs'!$B$9)^2+('Inputs'!$B$8/2)^2)-(((320-43)*MAX('Inputs'!$B$33,'Inputs'!$B$29+'Inputs'!$B$31+'Inputs'!$B$32,'Inputs'!$B$30+'Inputs'!$B$31+'Inputs'!$B$32)/1000+'Inputs'!$B$21))/SQRT((((320-43)*MAX('Inputs'!$B$33,'Inputs'!$B$29+'Inputs'!$B$31+'Inputs'!$B$32,'Inputs'!$B$30+'Inputs'!$B$31+'Inputs'!$B$32)/1000+'Inputs'!$B$21))^2+('Inputs'!$B$8/2)^2)))-'Results'!B7*(1-'Inputs'!$B$24)*(0.5*((((320-43)*MAX('Inputs'!$B$33,'Inputs'!$B$29+'Inputs'!$B$31+'Inputs'!$B$32,'Inputs'!$B$30+'Inputs'!$B$31+'Inputs'!$B$32)/1000+'Inputs'!$B$21+'Inputs'!$B$9+'Inputs'!$B$10)+'Inputs'!$B$7)/SQRT((((320-43)*MAX('Inputs'!$B$33,'Inputs'!$B$29+'Inputs'!$B$31+'Inputs'!$B$32,'Inputs'!$B$30+'Inputs'!$B$31+'Inputs'!$B$32)/1000+'Inputs'!$B$21+'Inputs'!$B$9+'Inputs'!$B$10)+'Inputs'!$B$7)^2+('Inputs'!$B$6/2)^2)-(((320-43)*MAX('Inputs'!$B$33,'Inputs'!$B$29+'Inputs'!$B$31+'Inputs'!$B$32,'Inputs'!$B$30+'Inputs'!$B$31+'Inputs'!$B$32)/1000+'Inputs'!$B$21+'Inputs'!$B$9+'Inputs'!$B$10))/SQRT((((320-43)*MAX('Inputs'!$B$33,'Inputs'!$B$29+'Inputs'!$B$31+'Inputs'!$B$32,'Inputs'!$B$30+'Inputs'!$B$31+'Inputs'!$B$32)/1000+'Inputs'!$B$21+'Inputs'!$B$9+'Inputs'!$B$10))^2+('Inputs'!$B$6/2)^2))))*'Results'!$B$8))),"")</x:f>
        <x:v>29.833117579349892</x:v>
      </x:c>
      <x:c r="P320" t="n">
        <x:f>IF(AND(MAX(J320,J319)&gt;0,J320&gt;J319+0.00000001),1,0)</x:f>
        <x:v>0</x:v>
      </x:c>
      <x:c r="Q320" t="n">
        <x:f>IF(AND(MAX(K320,K319)&gt;0,K320&gt;K319+0.00000001),1,0)</x:f>
        <x:v>0</x:v>
      </x:c>
      <x:c r="R320" t="n">
        <x:f>IF(AND(MAX(L320,L319)&gt;0,L320&gt;L319+0.00000001),1,0)</x:f>
        <x:v>0</x:v>
      </x:c>
      <x:c r="S320" t="n">
        <x:f>IF(AND(MAX(M320,M319)&gt;0,M320&gt;M319+0.00000001),1,0)</x:f>
        <x:v>0</x:v>
      </x:c>
      <x:c r="T320" t="n">
        <x:f>IF(AND(MAX(N320,N319)&gt;0,N320&gt;N319+0.00000001),1,0)</x:f>
        <x:v>0</x:v>
      </x:c>
      <x:c r="U320" t="n">
        <x:f>IF(AND(MAX(O320,O319)&gt;0,O320&gt;O319+0.00000001),1,0)</x:f>
        <x:v>0</x:v>
      </x:c>
    </x:row>
    <x:row r="321">
      <x:c r="J321" t="n">
        <x:f>IF(AND(ISNUMBER('Results'!B7),ISNUMBER('Results'!C7),ISNUMBER('Results'!$B$8),ISNUMBER('Inputs'!$B$6),ISNUMBER('Inputs'!$B$7),ISNUMBER('Inputs'!$B$8),ISNUMBER('Inputs'!$B$9),ISNUMBER('Inputs'!$B$10),ISNUMBER('Inputs'!$B$21),ISNUMBER('Inputs'!$B$24),ISNUMBER('Inputs'!$B$28)),(('Results'!B7*(0.5*((((321-43)*MAX('Inputs'!$B$33,'Inputs'!$B$29+'Inputs'!$B$31+'Inputs'!$B$32,'Inputs'!$B$30+'Inputs'!$B$31+'Inputs'!$B$32)/1000+'Inputs'!$B$21)+'Inputs'!$B$7)/SQRT((((321-43)*MAX('Inputs'!$B$33,'Inputs'!$B$29+'Inputs'!$B$31+'Inputs'!$B$32,'Inputs'!$B$30+'Inputs'!$B$31+'Inputs'!$B$32)/1000+'Inputs'!$B$21)+'Inputs'!$B$7)^2+('Inputs'!$B$6/2)^2)-(((321-43)*MAX('Inputs'!$B$33,'Inputs'!$B$29+'Inputs'!$B$31+'Inputs'!$B$32,'Inputs'!$B$30+'Inputs'!$B$31+'Inputs'!$B$32)/1000+'Inputs'!$B$21))/SQRT((((321-43)*MAX('Inputs'!$B$33,'Inputs'!$B$29+'Inputs'!$B$31+'Inputs'!$B$32,'Inputs'!$B$30+'Inputs'!$B$31+'Inputs'!$B$32)/1000+'Inputs'!$B$21))^2+('Inputs'!$B$6/2)^2)))-'Results'!C7*(0.5*((((321-43)*MAX('Inputs'!$B$33,'Inputs'!$B$29+'Inputs'!$B$31+'Inputs'!$B$32,'Inputs'!$B$30+'Inputs'!$B$31+'Inputs'!$B$32)/1000+'Inputs'!$B$21+'Inputs'!$B$7+'Inputs'!$B$10)+'Inputs'!$B$9)/SQRT((((321-43)*MAX('Inputs'!$B$33,'Inputs'!$B$29+'Inputs'!$B$31+'Inputs'!$B$32,'Inputs'!$B$30+'Inputs'!$B$31+'Inputs'!$B$32)/1000+'Inputs'!$B$21+'Inputs'!$B$7+'Inputs'!$B$10)+'Inputs'!$B$9)^2+('Inputs'!$B$8/2)^2)-(((321-43)*MAX('Inputs'!$B$33,'Inputs'!$B$29+'Inputs'!$B$31+'Inputs'!$B$32,'Inputs'!$B$30+'Inputs'!$B$31+'Inputs'!$B$32)/1000+'Inputs'!$B$21+'Inputs'!$B$7+'Inputs'!$B$10))/SQRT((((321-43)*MAX('Inputs'!$B$33,'Inputs'!$B$29+'Inputs'!$B$31+'Inputs'!$B$32,'Inputs'!$B$30+'Inputs'!$B$31+'Inputs'!$B$32)/1000+'Inputs'!$B$21+'Inputs'!$B$7+'Inputs'!$B$10))^2+('Inputs'!$B$8/2)^2))))*'Results'!$B$8),"")</x:f>
        <x:v>28.120503632304267</x:v>
      </x:c>
      <x:c r="K321" t="n">
        <x:f>IF(AND(ISNUMBER('Results'!B7),ISNUMBER('Results'!C7),ISNUMBER('Results'!$B$8),ISNUMBER('Inputs'!$B$6),ISNUMBER('Inputs'!$B$7),ISNUMBER('Inputs'!$B$8),ISNUMBER('Inputs'!$B$9),ISNUMBER('Inputs'!$B$10),ISNUMBER('Inputs'!$B$21),ISNUMBER('Inputs'!$B$24),ISNUMBER('Inputs'!$B$28)),((('Results'!B7*(1-'Inputs'!$B$24)*(0.5*((((321-43)*MAX('Inputs'!$B$33,'Inputs'!$B$29+'Inputs'!$B$31+'Inputs'!$B$32,'Inputs'!$B$30+'Inputs'!$B$31+'Inputs'!$B$32)/1000+'Inputs'!$B$21)+'Inputs'!$B$7)/SQRT((((321-43)*MAX('Inputs'!$B$33,'Inputs'!$B$29+'Inputs'!$B$31+'Inputs'!$B$32,'Inputs'!$B$30+'Inputs'!$B$31+'Inputs'!$B$32)/1000+'Inputs'!$B$21)+'Inputs'!$B$7)^2+('Inputs'!$B$6/2)^2)-(((321-43)*MAX('Inputs'!$B$33,'Inputs'!$B$29+'Inputs'!$B$31+'Inputs'!$B$32,'Inputs'!$B$30+'Inputs'!$B$31+'Inputs'!$B$32)/1000+'Inputs'!$B$21))/SQRT((((321-43)*MAX('Inputs'!$B$33,'Inputs'!$B$29+'Inputs'!$B$31+'Inputs'!$B$32,'Inputs'!$B$30+'Inputs'!$B$31+'Inputs'!$B$32)/1000+'Inputs'!$B$21))^2+('Inputs'!$B$6/2)^2)))-'Results'!C7*(1+'Inputs'!$B$24)*(0.5*((((321-43)*MAX('Inputs'!$B$33,'Inputs'!$B$29+'Inputs'!$B$31+'Inputs'!$B$32,'Inputs'!$B$30+'Inputs'!$B$31+'Inputs'!$B$32)/1000+'Inputs'!$B$21+'Inputs'!$B$7+'Inputs'!$B$10)+'Inputs'!$B$9)/SQRT((((321-43)*MAX('Inputs'!$B$33,'Inputs'!$B$29+'Inputs'!$B$31+'Inputs'!$B$32,'Inputs'!$B$30+'Inputs'!$B$31+'Inputs'!$B$32)/1000+'Inputs'!$B$21+'Inputs'!$B$7+'Inputs'!$B$10)+'Inputs'!$B$9)^2+('Inputs'!$B$8/2)^2)-(((321-43)*MAX('Inputs'!$B$33,'Inputs'!$B$29+'Inputs'!$B$31+'Inputs'!$B$32,'Inputs'!$B$30+'Inputs'!$B$31+'Inputs'!$B$32)/1000+'Inputs'!$B$21+'Inputs'!$B$7+'Inputs'!$B$10))/SQRT((((321-43)*MAX('Inputs'!$B$33,'Inputs'!$B$29+'Inputs'!$B$31+'Inputs'!$B$32,'Inputs'!$B$30+'Inputs'!$B$31+'Inputs'!$B$32)/1000+'Inputs'!$B$21+'Inputs'!$B$7+'Inputs'!$B$10))^2+('Inputs'!$B$8/2)^2))))*'Results'!$B$8)-'Inputs'!$B$28*ABS((('Results'!B7*(1-'Inputs'!$B$24)*(0.5*((((321-43)*MAX('Inputs'!$B$33,'Inputs'!$B$29+'Inputs'!$B$31+'Inputs'!$B$32,'Inputs'!$B$30+'Inputs'!$B$31+'Inputs'!$B$32)/1000+'Inputs'!$B$21)+'Inputs'!$B$7)/SQRT((((321-43)*MAX('Inputs'!$B$33,'Inputs'!$B$29+'Inputs'!$B$31+'Inputs'!$B$32,'Inputs'!$B$30+'Inputs'!$B$31+'Inputs'!$B$32)/1000+'Inputs'!$B$21)+'Inputs'!$B$7)^2+('Inputs'!$B$6/2)^2)-(((321-43)*MAX('Inputs'!$B$33,'Inputs'!$B$29+'Inputs'!$B$31+'Inputs'!$B$32,'Inputs'!$B$30+'Inputs'!$B$31+'Inputs'!$B$32)/1000+'Inputs'!$B$21))/SQRT((((321-43)*MAX('Inputs'!$B$33,'Inputs'!$B$29+'Inputs'!$B$31+'Inputs'!$B$32,'Inputs'!$B$30+'Inputs'!$B$31+'Inputs'!$B$32)/1000+'Inputs'!$B$21))^2+('Inputs'!$B$6/2)^2)))-'Results'!C7*(1+'Inputs'!$B$24)*(0.5*((((321-43)*MAX('Inputs'!$B$33,'Inputs'!$B$29+'Inputs'!$B$31+'Inputs'!$B$32,'Inputs'!$B$30+'Inputs'!$B$31+'Inputs'!$B$32)/1000+'Inputs'!$B$21+'Inputs'!$B$7+'Inputs'!$B$10)+'Inputs'!$B$9)/SQRT((((321-43)*MAX('Inputs'!$B$33,'Inputs'!$B$29+'Inputs'!$B$31+'Inputs'!$B$32,'Inputs'!$B$30+'Inputs'!$B$31+'Inputs'!$B$32)/1000+'Inputs'!$B$21+'Inputs'!$B$7+'Inputs'!$B$10)+'Inputs'!$B$9)^2+('Inputs'!$B$8/2)^2)-(((321-43)*MAX('Inputs'!$B$33,'Inputs'!$B$29+'Inputs'!$B$31+'Inputs'!$B$32,'Inputs'!$B$30+'Inputs'!$B$31+'Inputs'!$B$32)/1000+'Inputs'!$B$21+'Inputs'!$B$7+'Inputs'!$B$10))/SQRT((((321-43)*MAX('Inputs'!$B$33,'Inputs'!$B$29+'Inputs'!$B$31+'Inputs'!$B$32,'Inputs'!$B$30+'Inputs'!$B$31+'Inputs'!$B$32)/1000+'Inputs'!$B$21+'Inputs'!$B$7+'Inputs'!$B$10))^2+('Inputs'!$B$8/2)^2))))*'Results'!$B$8))),"")</x:f>
        <x:v>25.508923945145018</x:v>
      </x:c>
      <x:c r="L321" t="n">
        <x:f>IF(AND(ISNUMBER('Results'!B7),ISNUMBER('Results'!C7),ISNUMBER('Results'!$B$8),ISNUMBER('Inputs'!$B$6),ISNUMBER('Inputs'!$B$7),ISNUMBER('Inputs'!$B$8),ISNUMBER('Inputs'!$B$9),ISNUMBER('Inputs'!$B$10),ISNUMBER('Inputs'!$B$21),ISNUMBER('Inputs'!$B$24),ISNUMBER('Inputs'!$B$28)),((('Results'!B7*(1+'Inputs'!$B$24)*(0.5*((((321-43)*MAX('Inputs'!$B$33,'Inputs'!$B$29+'Inputs'!$B$31+'Inputs'!$B$32,'Inputs'!$B$30+'Inputs'!$B$31+'Inputs'!$B$32)/1000+'Inputs'!$B$21)+'Inputs'!$B$7)/SQRT((((321-43)*MAX('Inputs'!$B$33,'Inputs'!$B$29+'Inputs'!$B$31+'Inputs'!$B$32,'Inputs'!$B$30+'Inputs'!$B$31+'Inputs'!$B$32)/1000+'Inputs'!$B$21)+'Inputs'!$B$7)^2+('Inputs'!$B$6/2)^2)-(((321-43)*MAX('Inputs'!$B$33,'Inputs'!$B$29+'Inputs'!$B$31+'Inputs'!$B$32,'Inputs'!$B$30+'Inputs'!$B$31+'Inputs'!$B$32)/1000+'Inputs'!$B$21))/SQRT((((321-43)*MAX('Inputs'!$B$33,'Inputs'!$B$29+'Inputs'!$B$31+'Inputs'!$B$32,'Inputs'!$B$30+'Inputs'!$B$31+'Inputs'!$B$32)/1000+'Inputs'!$B$21))^2+('Inputs'!$B$6/2)^2)))-'Results'!C7*(1-'Inputs'!$B$24)*(0.5*((((321-43)*MAX('Inputs'!$B$33,'Inputs'!$B$29+'Inputs'!$B$31+'Inputs'!$B$32,'Inputs'!$B$30+'Inputs'!$B$31+'Inputs'!$B$32)/1000+'Inputs'!$B$21+'Inputs'!$B$7+'Inputs'!$B$10)+'Inputs'!$B$9)/SQRT((((321-43)*MAX('Inputs'!$B$33,'Inputs'!$B$29+'Inputs'!$B$31+'Inputs'!$B$32,'Inputs'!$B$30+'Inputs'!$B$31+'Inputs'!$B$32)/1000+'Inputs'!$B$21+'Inputs'!$B$7+'Inputs'!$B$10)+'Inputs'!$B$9)^2+('Inputs'!$B$8/2)^2)-(((321-43)*MAX('Inputs'!$B$33,'Inputs'!$B$29+'Inputs'!$B$31+'Inputs'!$B$32,'Inputs'!$B$30+'Inputs'!$B$31+'Inputs'!$B$32)/1000+'Inputs'!$B$21+'Inputs'!$B$7+'Inputs'!$B$10))/SQRT((((321-43)*MAX('Inputs'!$B$33,'Inputs'!$B$29+'Inputs'!$B$31+'Inputs'!$B$32,'Inputs'!$B$30+'Inputs'!$B$31+'Inputs'!$B$32)/1000+'Inputs'!$B$21+'Inputs'!$B$7+'Inputs'!$B$10))^2+('Inputs'!$B$8/2)^2))))*'Results'!$B$8)+'Inputs'!$B$28*ABS((('Results'!B7*(1+'Inputs'!$B$24)*(0.5*((((321-43)*MAX('Inputs'!$B$33,'Inputs'!$B$29+'Inputs'!$B$31+'Inputs'!$B$32,'Inputs'!$B$30+'Inputs'!$B$31+'Inputs'!$B$32)/1000+'Inputs'!$B$21)+'Inputs'!$B$7)/SQRT((((321-43)*MAX('Inputs'!$B$33,'Inputs'!$B$29+'Inputs'!$B$31+'Inputs'!$B$32,'Inputs'!$B$30+'Inputs'!$B$31+'Inputs'!$B$32)/1000+'Inputs'!$B$21)+'Inputs'!$B$7)^2+('Inputs'!$B$6/2)^2)-(((321-43)*MAX('Inputs'!$B$33,'Inputs'!$B$29+'Inputs'!$B$31+'Inputs'!$B$32,'Inputs'!$B$30+'Inputs'!$B$31+'Inputs'!$B$32)/1000+'Inputs'!$B$21))/SQRT((((321-43)*MAX('Inputs'!$B$33,'Inputs'!$B$29+'Inputs'!$B$31+'Inputs'!$B$32,'Inputs'!$B$30+'Inputs'!$B$31+'Inputs'!$B$32)/1000+'Inputs'!$B$21))^2+('Inputs'!$B$6/2)^2)))-'Results'!C7*(1-'Inputs'!$B$24)*(0.5*((((321-43)*MAX('Inputs'!$B$33,'Inputs'!$B$29+'Inputs'!$B$31+'Inputs'!$B$32,'Inputs'!$B$30+'Inputs'!$B$31+'Inputs'!$B$32)/1000+'Inputs'!$B$21+'Inputs'!$B$7+'Inputs'!$B$10)+'Inputs'!$B$9)/SQRT((((321-43)*MAX('Inputs'!$B$33,'Inputs'!$B$29+'Inputs'!$B$31+'Inputs'!$B$32,'Inputs'!$B$30+'Inputs'!$B$31+'Inputs'!$B$32)/1000+'Inputs'!$B$21+'Inputs'!$B$7+'Inputs'!$B$10)+'Inputs'!$B$9)^2+('Inputs'!$B$8/2)^2)-(((321-43)*MAX('Inputs'!$B$33,'Inputs'!$B$29+'Inputs'!$B$31+'Inputs'!$B$32,'Inputs'!$B$30+'Inputs'!$B$31+'Inputs'!$B$32)/1000+'Inputs'!$B$21+'Inputs'!$B$7+'Inputs'!$B$10))/SQRT((((321-43)*MAX('Inputs'!$B$33,'Inputs'!$B$29+'Inputs'!$B$31+'Inputs'!$B$32,'Inputs'!$B$30+'Inputs'!$B$31+'Inputs'!$B$32)/1000+'Inputs'!$B$21+'Inputs'!$B$7+'Inputs'!$B$10))^2+('Inputs'!$B$8/2)^2))))*'Results'!$B$8))),"")</x:f>
        <x:v>30.858983793731305</x:v>
      </x:c>
      <x:c r="M321" t="n">
        <x:f>IF(AND(ISNUMBER('Results'!C7),ISNUMBER('Results'!B7),ISNUMBER('Results'!$B$8),ISNUMBER('Inputs'!$B$6),ISNUMBER('Inputs'!$B$7),ISNUMBER('Inputs'!$B$8),ISNUMBER('Inputs'!$B$9),ISNUMBER('Inputs'!$B$10),ISNUMBER('Inputs'!$B$21),ISNUMBER('Inputs'!$B$24),ISNUMBER('Inputs'!$B$28)),(('Results'!C7*(0.5*((((321-43)*MAX('Inputs'!$B$33,'Inputs'!$B$29+'Inputs'!$B$31+'Inputs'!$B$32,'Inputs'!$B$30+'Inputs'!$B$31+'Inputs'!$B$32)/1000+'Inputs'!$B$21)+'Inputs'!$B$9)/SQRT((((321-43)*MAX('Inputs'!$B$33,'Inputs'!$B$29+'Inputs'!$B$31+'Inputs'!$B$32,'Inputs'!$B$30+'Inputs'!$B$31+'Inputs'!$B$32)/1000+'Inputs'!$B$21)+'Inputs'!$B$9)^2+('Inputs'!$B$8/2)^2)-(((321-43)*MAX('Inputs'!$B$33,'Inputs'!$B$29+'Inputs'!$B$31+'Inputs'!$B$32,'Inputs'!$B$30+'Inputs'!$B$31+'Inputs'!$B$32)/1000+'Inputs'!$B$21))/SQRT((((321-43)*MAX('Inputs'!$B$33,'Inputs'!$B$29+'Inputs'!$B$31+'Inputs'!$B$32,'Inputs'!$B$30+'Inputs'!$B$31+'Inputs'!$B$32)/1000+'Inputs'!$B$21))^2+('Inputs'!$B$8/2)^2)))-'Results'!B7*(0.5*((((321-43)*MAX('Inputs'!$B$33,'Inputs'!$B$29+'Inputs'!$B$31+'Inputs'!$B$32,'Inputs'!$B$30+'Inputs'!$B$31+'Inputs'!$B$32)/1000+'Inputs'!$B$21+'Inputs'!$B$9+'Inputs'!$B$10)+'Inputs'!$B$7)/SQRT((((321-43)*MAX('Inputs'!$B$33,'Inputs'!$B$29+'Inputs'!$B$31+'Inputs'!$B$32,'Inputs'!$B$30+'Inputs'!$B$31+'Inputs'!$B$32)/1000+'Inputs'!$B$21+'Inputs'!$B$9+'Inputs'!$B$10)+'Inputs'!$B$7)^2+('Inputs'!$B$6/2)^2)-(((321-43)*MAX('Inputs'!$B$33,'Inputs'!$B$29+'Inputs'!$B$31+'Inputs'!$B$32,'Inputs'!$B$30+'Inputs'!$B$31+'Inputs'!$B$32)/1000+'Inputs'!$B$21+'Inputs'!$B$9+'Inputs'!$B$10))/SQRT((((321-43)*MAX('Inputs'!$B$33,'Inputs'!$B$29+'Inputs'!$B$31+'Inputs'!$B$32,'Inputs'!$B$30+'Inputs'!$B$31+'Inputs'!$B$32)/1000+'Inputs'!$B$21+'Inputs'!$B$9+'Inputs'!$B$10))^2+('Inputs'!$B$6/2)^2))))*'Results'!$B$8),"")</x:f>
        <x:v>26.844288739932136</x:v>
      </x:c>
      <x:c r="N321" t="n">
        <x:f>IF(AND(ISNUMBER('Results'!C7),ISNUMBER('Results'!B7),ISNUMBER('Results'!$B$8),ISNUMBER('Inputs'!$B$6),ISNUMBER('Inputs'!$B$7),ISNUMBER('Inputs'!$B$8),ISNUMBER('Inputs'!$B$9),ISNUMBER('Inputs'!$B$10),ISNUMBER('Inputs'!$B$21),ISNUMBER('Inputs'!$B$24),ISNUMBER('Inputs'!$B$28)),((('Results'!C7*(1-'Inputs'!$B$24)*(0.5*((((321-43)*MAX('Inputs'!$B$33,'Inputs'!$B$29+'Inputs'!$B$31+'Inputs'!$B$32,'Inputs'!$B$30+'Inputs'!$B$31+'Inputs'!$B$32)/1000+'Inputs'!$B$21)+'Inputs'!$B$9)/SQRT((((321-43)*MAX('Inputs'!$B$33,'Inputs'!$B$29+'Inputs'!$B$31+'Inputs'!$B$32,'Inputs'!$B$30+'Inputs'!$B$31+'Inputs'!$B$32)/1000+'Inputs'!$B$21)+'Inputs'!$B$9)^2+('Inputs'!$B$8/2)^2)-(((321-43)*MAX('Inputs'!$B$33,'Inputs'!$B$29+'Inputs'!$B$31+'Inputs'!$B$32,'Inputs'!$B$30+'Inputs'!$B$31+'Inputs'!$B$32)/1000+'Inputs'!$B$21))/SQRT((((321-43)*MAX('Inputs'!$B$33,'Inputs'!$B$29+'Inputs'!$B$31+'Inputs'!$B$32,'Inputs'!$B$30+'Inputs'!$B$31+'Inputs'!$B$32)/1000+'Inputs'!$B$21))^2+('Inputs'!$B$8/2)^2)))-'Results'!B7*(1+'Inputs'!$B$24)*(0.5*((((321-43)*MAX('Inputs'!$B$33,'Inputs'!$B$29+'Inputs'!$B$31+'Inputs'!$B$32,'Inputs'!$B$30+'Inputs'!$B$31+'Inputs'!$B$32)/1000+'Inputs'!$B$21+'Inputs'!$B$9+'Inputs'!$B$10)+'Inputs'!$B$7)/SQRT((((321-43)*MAX('Inputs'!$B$33,'Inputs'!$B$29+'Inputs'!$B$31+'Inputs'!$B$32,'Inputs'!$B$30+'Inputs'!$B$31+'Inputs'!$B$32)/1000+'Inputs'!$B$21+'Inputs'!$B$9+'Inputs'!$B$10)+'Inputs'!$B$7)^2+('Inputs'!$B$6/2)^2)-(((321-43)*MAX('Inputs'!$B$33,'Inputs'!$B$29+'Inputs'!$B$31+'Inputs'!$B$32,'Inputs'!$B$30+'Inputs'!$B$31+'Inputs'!$B$32)/1000+'Inputs'!$B$21+'Inputs'!$B$9+'Inputs'!$B$10))/SQRT((((321-43)*MAX('Inputs'!$B$33,'Inputs'!$B$29+'Inputs'!$B$31+'Inputs'!$B$32,'Inputs'!$B$30+'Inputs'!$B$31+'Inputs'!$B$32)/1000+'Inputs'!$B$21+'Inputs'!$B$9+'Inputs'!$B$10))^2+('Inputs'!$B$6/2)^2))))*'Results'!$B$8)-'Inputs'!$B$28*ABS((('Results'!C7*(1-'Inputs'!$B$24)*(0.5*((((321-43)*MAX('Inputs'!$B$33,'Inputs'!$B$29+'Inputs'!$B$31+'Inputs'!$B$32,'Inputs'!$B$30+'Inputs'!$B$31+'Inputs'!$B$32)/1000+'Inputs'!$B$21)+'Inputs'!$B$9)/SQRT((((321-43)*MAX('Inputs'!$B$33,'Inputs'!$B$29+'Inputs'!$B$31+'Inputs'!$B$32,'Inputs'!$B$30+'Inputs'!$B$31+'Inputs'!$B$32)/1000+'Inputs'!$B$21)+'Inputs'!$B$9)^2+('Inputs'!$B$8/2)^2)-(((321-43)*MAX('Inputs'!$B$33,'Inputs'!$B$29+'Inputs'!$B$31+'Inputs'!$B$32,'Inputs'!$B$30+'Inputs'!$B$31+'Inputs'!$B$32)/1000+'Inputs'!$B$21))/SQRT((((321-43)*MAX('Inputs'!$B$33,'Inputs'!$B$29+'Inputs'!$B$31+'Inputs'!$B$32,'Inputs'!$B$30+'Inputs'!$B$31+'Inputs'!$B$32)/1000+'Inputs'!$B$21))^2+('Inputs'!$B$8/2)^2)))-'Results'!B7*(1+'Inputs'!$B$24)*(0.5*((((321-43)*MAX('Inputs'!$B$33,'Inputs'!$B$29+'Inputs'!$B$31+'Inputs'!$B$32,'Inputs'!$B$30+'Inputs'!$B$31+'Inputs'!$B$32)/1000+'Inputs'!$B$21+'Inputs'!$B$9+'Inputs'!$B$10)+'Inputs'!$B$7)/SQRT((((321-43)*MAX('Inputs'!$B$33,'Inputs'!$B$29+'Inputs'!$B$31+'Inputs'!$B$32,'Inputs'!$B$30+'Inputs'!$B$31+'Inputs'!$B$32)/1000+'Inputs'!$B$21+'Inputs'!$B$9+'Inputs'!$B$10)+'Inputs'!$B$7)^2+('Inputs'!$B$6/2)^2)-(((321-43)*MAX('Inputs'!$B$33,'Inputs'!$B$29+'Inputs'!$B$31+'Inputs'!$B$32,'Inputs'!$B$30+'Inputs'!$B$31+'Inputs'!$B$32)/1000+'Inputs'!$B$21+'Inputs'!$B$9+'Inputs'!$B$10))/SQRT((((321-43)*MAX('Inputs'!$B$33,'Inputs'!$B$29+'Inputs'!$B$31+'Inputs'!$B$32,'Inputs'!$B$30+'Inputs'!$B$31+'Inputs'!$B$32)/1000+'Inputs'!$B$21+'Inputs'!$B$9+'Inputs'!$B$10))^2+('Inputs'!$B$6/2)^2))))*'Results'!$B$8))),"")</x:f>
        <x:v>24.30706859592758</x:v>
      </x:c>
      <x:c r="O321" t="n">
        <x:f>IF(AND(ISNUMBER('Results'!C7),ISNUMBER('Results'!B7),ISNUMBER('Results'!$B$8),ISNUMBER('Inputs'!$B$6),ISNUMBER('Inputs'!$B$7),ISNUMBER('Inputs'!$B$8),ISNUMBER('Inputs'!$B$9),ISNUMBER('Inputs'!$B$10),ISNUMBER('Inputs'!$B$21),ISNUMBER('Inputs'!$B$24),ISNUMBER('Inputs'!$B$28)),((('Results'!C7*(1+'Inputs'!$B$24)*(0.5*((((321-43)*MAX('Inputs'!$B$33,'Inputs'!$B$29+'Inputs'!$B$31+'Inputs'!$B$32,'Inputs'!$B$30+'Inputs'!$B$31+'Inputs'!$B$32)/1000+'Inputs'!$B$21)+'Inputs'!$B$9)/SQRT((((321-43)*MAX('Inputs'!$B$33,'Inputs'!$B$29+'Inputs'!$B$31+'Inputs'!$B$32,'Inputs'!$B$30+'Inputs'!$B$31+'Inputs'!$B$32)/1000+'Inputs'!$B$21)+'Inputs'!$B$9)^2+('Inputs'!$B$8/2)^2)-(((321-43)*MAX('Inputs'!$B$33,'Inputs'!$B$29+'Inputs'!$B$31+'Inputs'!$B$32,'Inputs'!$B$30+'Inputs'!$B$31+'Inputs'!$B$32)/1000+'Inputs'!$B$21))/SQRT((((321-43)*MAX('Inputs'!$B$33,'Inputs'!$B$29+'Inputs'!$B$31+'Inputs'!$B$32,'Inputs'!$B$30+'Inputs'!$B$31+'Inputs'!$B$32)/1000+'Inputs'!$B$21))^2+('Inputs'!$B$8/2)^2)))-'Results'!B7*(1-'Inputs'!$B$24)*(0.5*((((321-43)*MAX('Inputs'!$B$33,'Inputs'!$B$29+'Inputs'!$B$31+'Inputs'!$B$32,'Inputs'!$B$30+'Inputs'!$B$31+'Inputs'!$B$32)/1000+'Inputs'!$B$21+'Inputs'!$B$9+'Inputs'!$B$10)+'Inputs'!$B$7)/SQRT((((321-43)*MAX('Inputs'!$B$33,'Inputs'!$B$29+'Inputs'!$B$31+'Inputs'!$B$32,'Inputs'!$B$30+'Inputs'!$B$31+'Inputs'!$B$32)/1000+'Inputs'!$B$21+'Inputs'!$B$9+'Inputs'!$B$10)+'Inputs'!$B$7)^2+('Inputs'!$B$6/2)^2)-(((321-43)*MAX('Inputs'!$B$33,'Inputs'!$B$29+'Inputs'!$B$31+'Inputs'!$B$32,'Inputs'!$B$30+'Inputs'!$B$31+'Inputs'!$B$32)/1000+'Inputs'!$B$21+'Inputs'!$B$9+'Inputs'!$B$10))/SQRT((((321-43)*MAX('Inputs'!$B$33,'Inputs'!$B$29+'Inputs'!$B$31+'Inputs'!$B$32,'Inputs'!$B$30+'Inputs'!$B$31+'Inputs'!$B$32)/1000+'Inputs'!$B$21+'Inputs'!$B$9+'Inputs'!$B$10))^2+('Inputs'!$B$6/2)^2))))*'Results'!$B$8)+'Inputs'!$B$28*ABS((('Results'!C7*(1+'Inputs'!$B$24)*(0.5*((((321-43)*MAX('Inputs'!$B$33,'Inputs'!$B$29+'Inputs'!$B$31+'Inputs'!$B$32,'Inputs'!$B$30+'Inputs'!$B$31+'Inputs'!$B$32)/1000+'Inputs'!$B$21)+'Inputs'!$B$9)/SQRT((((321-43)*MAX('Inputs'!$B$33,'Inputs'!$B$29+'Inputs'!$B$31+'Inputs'!$B$32,'Inputs'!$B$30+'Inputs'!$B$31+'Inputs'!$B$32)/1000+'Inputs'!$B$21)+'Inputs'!$B$9)^2+('Inputs'!$B$8/2)^2)-(((321-43)*MAX('Inputs'!$B$33,'Inputs'!$B$29+'Inputs'!$B$31+'Inputs'!$B$32,'Inputs'!$B$30+'Inputs'!$B$31+'Inputs'!$B$32)/1000+'Inputs'!$B$21))/SQRT((((321-43)*MAX('Inputs'!$B$33,'Inputs'!$B$29+'Inputs'!$B$31+'Inputs'!$B$32,'Inputs'!$B$30+'Inputs'!$B$31+'Inputs'!$B$32)/1000+'Inputs'!$B$21))^2+('Inputs'!$B$8/2)^2)))-'Results'!B7*(1-'Inputs'!$B$24)*(0.5*((((321-43)*MAX('Inputs'!$B$33,'Inputs'!$B$29+'Inputs'!$B$31+'Inputs'!$B$32,'Inputs'!$B$30+'Inputs'!$B$31+'Inputs'!$B$32)/1000+'Inputs'!$B$21+'Inputs'!$B$9+'Inputs'!$B$10)+'Inputs'!$B$7)/SQRT((((321-43)*MAX('Inputs'!$B$33,'Inputs'!$B$29+'Inputs'!$B$31+'Inputs'!$B$32,'Inputs'!$B$30+'Inputs'!$B$31+'Inputs'!$B$32)/1000+'Inputs'!$B$21+'Inputs'!$B$9+'Inputs'!$B$10)+'Inputs'!$B$7)^2+('Inputs'!$B$6/2)^2)-(((321-43)*MAX('Inputs'!$B$33,'Inputs'!$B$29+'Inputs'!$B$31+'Inputs'!$B$32,'Inputs'!$B$30+'Inputs'!$B$31+'Inputs'!$B$32)/1000+'Inputs'!$B$21+'Inputs'!$B$9+'Inputs'!$B$10))/SQRT((((321-43)*MAX('Inputs'!$B$33,'Inputs'!$B$29+'Inputs'!$B$31+'Inputs'!$B$32,'Inputs'!$B$30+'Inputs'!$B$31+'Inputs'!$B$32)/1000+'Inputs'!$B$21+'Inputs'!$B$9+'Inputs'!$B$10))^2+('Inputs'!$B$6/2)^2))))*'Results'!$B$8))),"")</x:f>
        <x:v>29.507298958358582</x:v>
      </x:c>
      <x:c r="P321" t="n">
        <x:f>IF(AND(MAX(J321,J320)&gt;0,J321&gt;J320+0.00000001),1,0)</x:f>
        <x:v>0</x:v>
      </x:c>
      <x:c r="Q321" t="n">
        <x:f>IF(AND(MAX(K321,K320)&gt;0,K321&gt;K320+0.00000001),1,0)</x:f>
        <x:v>0</x:v>
      </x:c>
      <x:c r="R321" t="n">
        <x:f>IF(AND(MAX(L321,L320)&gt;0,L321&gt;L320+0.00000001),1,0)</x:f>
        <x:v>0</x:v>
      </x:c>
      <x:c r="S321" t="n">
        <x:f>IF(AND(MAX(M321,M320)&gt;0,M321&gt;M320+0.00000001),1,0)</x:f>
        <x:v>0</x:v>
      </x:c>
      <x:c r="T321" t="n">
        <x:f>IF(AND(MAX(N321,N320)&gt;0,N321&gt;N320+0.00000001),1,0)</x:f>
        <x:v>0</x:v>
      </x:c>
      <x:c r="U321" t="n">
        <x:f>IF(AND(MAX(O321,O320)&gt;0,O321&gt;O320+0.00000001),1,0)</x:f>
        <x:v>0</x:v>
      </x:c>
    </x:row>
    <x:row r="322">
      <x:c r="J322" t="n">
        <x:f>IF(AND(ISNUMBER('Results'!B7),ISNUMBER('Results'!C7),ISNUMBER('Results'!$B$8),ISNUMBER('Inputs'!$B$6),ISNUMBER('Inputs'!$B$7),ISNUMBER('Inputs'!$B$8),ISNUMBER('Inputs'!$B$9),ISNUMBER('Inputs'!$B$10),ISNUMBER('Inputs'!$B$21),ISNUMBER('Inputs'!$B$24),ISNUMBER('Inputs'!$B$28)),(('Results'!B7*(0.5*((((322-43)*MAX('Inputs'!$B$33,'Inputs'!$B$29+'Inputs'!$B$31+'Inputs'!$B$32,'Inputs'!$B$30+'Inputs'!$B$31+'Inputs'!$B$32)/1000+'Inputs'!$B$21)+'Inputs'!$B$7)/SQRT((((322-43)*MAX('Inputs'!$B$33,'Inputs'!$B$29+'Inputs'!$B$31+'Inputs'!$B$32,'Inputs'!$B$30+'Inputs'!$B$31+'Inputs'!$B$32)/1000+'Inputs'!$B$21)+'Inputs'!$B$7)^2+('Inputs'!$B$6/2)^2)-(((322-43)*MAX('Inputs'!$B$33,'Inputs'!$B$29+'Inputs'!$B$31+'Inputs'!$B$32,'Inputs'!$B$30+'Inputs'!$B$31+'Inputs'!$B$32)/1000+'Inputs'!$B$21))/SQRT((((322-43)*MAX('Inputs'!$B$33,'Inputs'!$B$29+'Inputs'!$B$31+'Inputs'!$B$32,'Inputs'!$B$30+'Inputs'!$B$31+'Inputs'!$B$32)/1000+'Inputs'!$B$21))^2+('Inputs'!$B$6/2)^2)))-'Results'!C7*(0.5*((((322-43)*MAX('Inputs'!$B$33,'Inputs'!$B$29+'Inputs'!$B$31+'Inputs'!$B$32,'Inputs'!$B$30+'Inputs'!$B$31+'Inputs'!$B$32)/1000+'Inputs'!$B$21+'Inputs'!$B$7+'Inputs'!$B$10)+'Inputs'!$B$9)/SQRT((((322-43)*MAX('Inputs'!$B$33,'Inputs'!$B$29+'Inputs'!$B$31+'Inputs'!$B$32,'Inputs'!$B$30+'Inputs'!$B$31+'Inputs'!$B$32)/1000+'Inputs'!$B$21+'Inputs'!$B$7+'Inputs'!$B$10)+'Inputs'!$B$9)^2+('Inputs'!$B$8/2)^2)-(((322-43)*MAX('Inputs'!$B$33,'Inputs'!$B$29+'Inputs'!$B$31+'Inputs'!$B$32,'Inputs'!$B$30+'Inputs'!$B$31+'Inputs'!$B$32)/1000+'Inputs'!$B$21+'Inputs'!$B$7+'Inputs'!$B$10))/SQRT((((322-43)*MAX('Inputs'!$B$33,'Inputs'!$B$29+'Inputs'!$B$31+'Inputs'!$B$32,'Inputs'!$B$30+'Inputs'!$B$31+'Inputs'!$B$32)/1000+'Inputs'!$B$21+'Inputs'!$B$7+'Inputs'!$B$10))^2+('Inputs'!$B$8/2)^2))))*'Results'!$B$8),"")</x:f>
        <x:v>27.814228463235587</x:v>
      </x:c>
      <x:c r="K322" t="n">
        <x:f>IF(AND(ISNUMBER('Results'!B7),ISNUMBER('Results'!C7),ISNUMBER('Results'!$B$8),ISNUMBER('Inputs'!$B$6),ISNUMBER('Inputs'!$B$7),ISNUMBER('Inputs'!$B$8),ISNUMBER('Inputs'!$B$9),ISNUMBER('Inputs'!$B$10),ISNUMBER('Inputs'!$B$21),ISNUMBER('Inputs'!$B$24),ISNUMBER('Inputs'!$B$28)),((('Results'!B7*(1-'Inputs'!$B$24)*(0.5*((((322-43)*MAX('Inputs'!$B$33,'Inputs'!$B$29+'Inputs'!$B$31+'Inputs'!$B$32,'Inputs'!$B$30+'Inputs'!$B$31+'Inputs'!$B$32)/1000+'Inputs'!$B$21)+'Inputs'!$B$7)/SQRT((((322-43)*MAX('Inputs'!$B$33,'Inputs'!$B$29+'Inputs'!$B$31+'Inputs'!$B$32,'Inputs'!$B$30+'Inputs'!$B$31+'Inputs'!$B$32)/1000+'Inputs'!$B$21)+'Inputs'!$B$7)^2+('Inputs'!$B$6/2)^2)-(((322-43)*MAX('Inputs'!$B$33,'Inputs'!$B$29+'Inputs'!$B$31+'Inputs'!$B$32,'Inputs'!$B$30+'Inputs'!$B$31+'Inputs'!$B$32)/1000+'Inputs'!$B$21))/SQRT((((322-43)*MAX('Inputs'!$B$33,'Inputs'!$B$29+'Inputs'!$B$31+'Inputs'!$B$32,'Inputs'!$B$30+'Inputs'!$B$31+'Inputs'!$B$32)/1000+'Inputs'!$B$21))^2+('Inputs'!$B$6/2)^2)))-'Results'!C7*(1+'Inputs'!$B$24)*(0.5*((((322-43)*MAX('Inputs'!$B$33,'Inputs'!$B$29+'Inputs'!$B$31+'Inputs'!$B$32,'Inputs'!$B$30+'Inputs'!$B$31+'Inputs'!$B$32)/1000+'Inputs'!$B$21+'Inputs'!$B$7+'Inputs'!$B$10)+'Inputs'!$B$9)/SQRT((((322-43)*MAX('Inputs'!$B$33,'Inputs'!$B$29+'Inputs'!$B$31+'Inputs'!$B$32,'Inputs'!$B$30+'Inputs'!$B$31+'Inputs'!$B$32)/1000+'Inputs'!$B$21+'Inputs'!$B$7+'Inputs'!$B$10)+'Inputs'!$B$9)^2+('Inputs'!$B$8/2)^2)-(((322-43)*MAX('Inputs'!$B$33,'Inputs'!$B$29+'Inputs'!$B$31+'Inputs'!$B$32,'Inputs'!$B$30+'Inputs'!$B$31+'Inputs'!$B$32)/1000+'Inputs'!$B$21+'Inputs'!$B$7+'Inputs'!$B$10))/SQRT((((322-43)*MAX('Inputs'!$B$33,'Inputs'!$B$29+'Inputs'!$B$31+'Inputs'!$B$32,'Inputs'!$B$30+'Inputs'!$B$31+'Inputs'!$B$32)/1000+'Inputs'!$B$21+'Inputs'!$B$7+'Inputs'!$B$10))^2+('Inputs'!$B$8/2)^2))))*'Results'!$B$8)-'Inputs'!$B$28*ABS((('Results'!B7*(1-'Inputs'!$B$24)*(0.5*((((322-43)*MAX('Inputs'!$B$33,'Inputs'!$B$29+'Inputs'!$B$31+'Inputs'!$B$32,'Inputs'!$B$30+'Inputs'!$B$31+'Inputs'!$B$32)/1000+'Inputs'!$B$21)+'Inputs'!$B$7)/SQRT((((322-43)*MAX('Inputs'!$B$33,'Inputs'!$B$29+'Inputs'!$B$31+'Inputs'!$B$32,'Inputs'!$B$30+'Inputs'!$B$31+'Inputs'!$B$32)/1000+'Inputs'!$B$21)+'Inputs'!$B$7)^2+('Inputs'!$B$6/2)^2)-(((322-43)*MAX('Inputs'!$B$33,'Inputs'!$B$29+'Inputs'!$B$31+'Inputs'!$B$32,'Inputs'!$B$30+'Inputs'!$B$31+'Inputs'!$B$32)/1000+'Inputs'!$B$21))/SQRT((((322-43)*MAX('Inputs'!$B$33,'Inputs'!$B$29+'Inputs'!$B$31+'Inputs'!$B$32,'Inputs'!$B$30+'Inputs'!$B$31+'Inputs'!$B$32)/1000+'Inputs'!$B$21))^2+('Inputs'!$B$6/2)^2)))-'Results'!C7*(1+'Inputs'!$B$24)*(0.5*((((322-43)*MAX('Inputs'!$B$33,'Inputs'!$B$29+'Inputs'!$B$31+'Inputs'!$B$32,'Inputs'!$B$30+'Inputs'!$B$31+'Inputs'!$B$32)/1000+'Inputs'!$B$21+'Inputs'!$B$7+'Inputs'!$B$10)+'Inputs'!$B$9)/SQRT((((322-43)*MAX('Inputs'!$B$33,'Inputs'!$B$29+'Inputs'!$B$31+'Inputs'!$B$32,'Inputs'!$B$30+'Inputs'!$B$31+'Inputs'!$B$32)/1000+'Inputs'!$B$21+'Inputs'!$B$7+'Inputs'!$B$10)+'Inputs'!$B$9)^2+('Inputs'!$B$8/2)^2)-(((322-43)*MAX('Inputs'!$B$33,'Inputs'!$B$29+'Inputs'!$B$31+'Inputs'!$B$32,'Inputs'!$B$30+'Inputs'!$B$31+'Inputs'!$B$32)/1000+'Inputs'!$B$21+'Inputs'!$B$7+'Inputs'!$B$10))/SQRT((((322-43)*MAX('Inputs'!$B$33,'Inputs'!$B$29+'Inputs'!$B$31+'Inputs'!$B$32,'Inputs'!$B$30+'Inputs'!$B$31+'Inputs'!$B$32)/1000+'Inputs'!$B$21+'Inputs'!$B$7+'Inputs'!$B$10))^2+('Inputs'!$B$8/2)^2))))*'Results'!$B$8))),"")</x:f>
        <x:v>25.228479975473252</x:v>
      </x:c>
      <x:c r="L322" t="n">
        <x:f>IF(AND(ISNUMBER('Results'!B7),ISNUMBER('Results'!C7),ISNUMBER('Results'!$B$8),ISNUMBER('Inputs'!$B$6),ISNUMBER('Inputs'!$B$7),ISNUMBER('Inputs'!$B$8),ISNUMBER('Inputs'!$B$9),ISNUMBER('Inputs'!$B$10),ISNUMBER('Inputs'!$B$21),ISNUMBER('Inputs'!$B$24),ISNUMBER('Inputs'!$B$28)),((('Results'!B7*(1+'Inputs'!$B$24)*(0.5*((((322-43)*MAX('Inputs'!$B$33,'Inputs'!$B$29+'Inputs'!$B$31+'Inputs'!$B$32,'Inputs'!$B$30+'Inputs'!$B$31+'Inputs'!$B$32)/1000+'Inputs'!$B$21)+'Inputs'!$B$7)/SQRT((((322-43)*MAX('Inputs'!$B$33,'Inputs'!$B$29+'Inputs'!$B$31+'Inputs'!$B$32,'Inputs'!$B$30+'Inputs'!$B$31+'Inputs'!$B$32)/1000+'Inputs'!$B$21)+'Inputs'!$B$7)^2+('Inputs'!$B$6/2)^2)-(((322-43)*MAX('Inputs'!$B$33,'Inputs'!$B$29+'Inputs'!$B$31+'Inputs'!$B$32,'Inputs'!$B$30+'Inputs'!$B$31+'Inputs'!$B$32)/1000+'Inputs'!$B$21))/SQRT((((322-43)*MAX('Inputs'!$B$33,'Inputs'!$B$29+'Inputs'!$B$31+'Inputs'!$B$32,'Inputs'!$B$30+'Inputs'!$B$31+'Inputs'!$B$32)/1000+'Inputs'!$B$21))^2+('Inputs'!$B$6/2)^2)))-'Results'!C7*(1-'Inputs'!$B$24)*(0.5*((((322-43)*MAX('Inputs'!$B$33,'Inputs'!$B$29+'Inputs'!$B$31+'Inputs'!$B$32,'Inputs'!$B$30+'Inputs'!$B$31+'Inputs'!$B$32)/1000+'Inputs'!$B$21+'Inputs'!$B$7+'Inputs'!$B$10)+'Inputs'!$B$9)/SQRT((((322-43)*MAX('Inputs'!$B$33,'Inputs'!$B$29+'Inputs'!$B$31+'Inputs'!$B$32,'Inputs'!$B$30+'Inputs'!$B$31+'Inputs'!$B$32)/1000+'Inputs'!$B$21+'Inputs'!$B$7+'Inputs'!$B$10)+'Inputs'!$B$9)^2+('Inputs'!$B$8/2)^2)-(((322-43)*MAX('Inputs'!$B$33,'Inputs'!$B$29+'Inputs'!$B$31+'Inputs'!$B$32,'Inputs'!$B$30+'Inputs'!$B$31+'Inputs'!$B$32)/1000+'Inputs'!$B$21+'Inputs'!$B$7+'Inputs'!$B$10))/SQRT((((322-43)*MAX('Inputs'!$B$33,'Inputs'!$B$29+'Inputs'!$B$31+'Inputs'!$B$32,'Inputs'!$B$30+'Inputs'!$B$31+'Inputs'!$B$32)/1000+'Inputs'!$B$21+'Inputs'!$B$7+'Inputs'!$B$10))^2+('Inputs'!$B$8/2)^2))))*'Results'!$B$8)+'Inputs'!$B$28*ABS((('Results'!B7*(1+'Inputs'!$B$24)*(0.5*((((322-43)*MAX('Inputs'!$B$33,'Inputs'!$B$29+'Inputs'!$B$31+'Inputs'!$B$32,'Inputs'!$B$30+'Inputs'!$B$31+'Inputs'!$B$32)/1000+'Inputs'!$B$21)+'Inputs'!$B$7)/SQRT((((322-43)*MAX('Inputs'!$B$33,'Inputs'!$B$29+'Inputs'!$B$31+'Inputs'!$B$32,'Inputs'!$B$30+'Inputs'!$B$31+'Inputs'!$B$32)/1000+'Inputs'!$B$21)+'Inputs'!$B$7)^2+('Inputs'!$B$6/2)^2)-(((322-43)*MAX('Inputs'!$B$33,'Inputs'!$B$29+'Inputs'!$B$31+'Inputs'!$B$32,'Inputs'!$B$30+'Inputs'!$B$31+'Inputs'!$B$32)/1000+'Inputs'!$B$21))/SQRT((((322-43)*MAX('Inputs'!$B$33,'Inputs'!$B$29+'Inputs'!$B$31+'Inputs'!$B$32,'Inputs'!$B$30+'Inputs'!$B$31+'Inputs'!$B$32)/1000+'Inputs'!$B$21))^2+('Inputs'!$B$6/2)^2)))-'Results'!C7*(1-'Inputs'!$B$24)*(0.5*((((322-43)*MAX('Inputs'!$B$33,'Inputs'!$B$29+'Inputs'!$B$31+'Inputs'!$B$32,'Inputs'!$B$30+'Inputs'!$B$31+'Inputs'!$B$32)/1000+'Inputs'!$B$21+'Inputs'!$B$7+'Inputs'!$B$10)+'Inputs'!$B$9)/SQRT((((322-43)*MAX('Inputs'!$B$33,'Inputs'!$B$29+'Inputs'!$B$31+'Inputs'!$B$32,'Inputs'!$B$30+'Inputs'!$B$31+'Inputs'!$B$32)/1000+'Inputs'!$B$21+'Inputs'!$B$7+'Inputs'!$B$10)+'Inputs'!$B$9)^2+('Inputs'!$B$8/2)^2)-(((322-43)*MAX('Inputs'!$B$33,'Inputs'!$B$29+'Inputs'!$B$31+'Inputs'!$B$32,'Inputs'!$B$30+'Inputs'!$B$31+'Inputs'!$B$32)/1000+'Inputs'!$B$21+'Inputs'!$B$7+'Inputs'!$B$10))/SQRT((((322-43)*MAX('Inputs'!$B$33,'Inputs'!$B$29+'Inputs'!$B$31+'Inputs'!$B$32,'Inputs'!$B$30+'Inputs'!$B$31+'Inputs'!$B$32)/1000+'Inputs'!$B$21+'Inputs'!$B$7+'Inputs'!$B$10))^2+('Inputs'!$B$8/2)^2))))*'Results'!$B$8))),"")</x:f>
        <x:v>30.52577032621903</x:v>
      </x:c>
      <x:c r="M322" t="n">
        <x:f>IF(AND(ISNUMBER('Results'!C7),ISNUMBER('Results'!B7),ISNUMBER('Results'!$B$8),ISNUMBER('Inputs'!$B$6),ISNUMBER('Inputs'!$B$7),ISNUMBER('Inputs'!$B$8),ISNUMBER('Inputs'!$B$9),ISNUMBER('Inputs'!$B$10),ISNUMBER('Inputs'!$B$21),ISNUMBER('Inputs'!$B$24),ISNUMBER('Inputs'!$B$28)),(('Results'!C7*(0.5*((((322-43)*MAX('Inputs'!$B$33,'Inputs'!$B$29+'Inputs'!$B$31+'Inputs'!$B$32,'Inputs'!$B$30+'Inputs'!$B$31+'Inputs'!$B$32)/1000+'Inputs'!$B$21)+'Inputs'!$B$9)/SQRT((((322-43)*MAX('Inputs'!$B$33,'Inputs'!$B$29+'Inputs'!$B$31+'Inputs'!$B$32,'Inputs'!$B$30+'Inputs'!$B$31+'Inputs'!$B$32)/1000+'Inputs'!$B$21)+'Inputs'!$B$9)^2+('Inputs'!$B$8/2)^2)-(((322-43)*MAX('Inputs'!$B$33,'Inputs'!$B$29+'Inputs'!$B$31+'Inputs'!$B$32,'Inputs'!$B$30+'Inputs'!$B$31+'Inputs'!$B$32)/1000+'Inputs'!$B$21))/SQRT((((322-43)*MAX('Inputs'!$B$33,'Inputs'!$B$29+'Inputs'!$B$31+'Inputs'!$B$32,'Inputs'!$B$30+'Inputs'!$B$31+'Inputs'!$B$32)/1000+'Inputs'!$B$21))^2+('Inputs'!$B$8/2)^2)))-'Results'!B7*(0.5*((((322-43)*MAX('Inputs'!$B$33,'Inputs'!$B$29+'Inputs'!$B$31+'Inputs'!$B$32,'Inputs'!$B$30+'Inputs'!$B$31+'Inputs'!$B$32)/1000+'Inputs'!$B$21+'Inputs'!$B$9+'Inputs'!$B$10)+'Inputs'!$B$7)/SQRT((((322-43)*MAX('Inputs'!$B$33,'Inputs'!$B$29+'Inputs'!$B$31+'Inputs'!$B$32,'Inputs'!$B$30+'Inputs'!$B$31+'Inputs'!$B$32)/1000+'Inputs'!$B$21+'Inputs'!$B$9+'Inputs'!$B$10)+'Inputs'!$B$7)^2+('Inputs'!$B$6/2)^2)-(((322-43)*MAX('Inputs'!$B$33,'Inputs'!$B$29+'Inputs'!$B$31+'Inputs'!$B$32,'Inputs'!$B$30+'Inputs'!$B$31+'Inputs'!$B$32)/1000+'Inputs'!$B$21+'Inputs'!$B$9+'Inputs'!$B$10))/SQRT((((322-43)*MAX('Inputs'!$B$33,'Inputs'!$B$29+'Inputs'!$B$31+'Inputs'!$B$32,'Inputs'!$B$30+'Inputs'!$B$31+'Inputs'!$B$32)/1000+'Inputs'!$B$21+'Inputs'!$B$9+'Inputs'!$B$10))^2+('Inputs'!$B$6/2)^2))))*'Results'!$B$8),"")</x:f>
        <x:v>26.54913502548421</x:v>
      </x:c>
      <x:c r="N322" t="n">
        <x:f>IF(AND(ISNUMBER('Results'!C7),ISNUMBER('Results'!B7),ISNUMBER('Results'!$B$8),ISNUMBER('Inputs'!$B$6),ISNUMBER('Inputs'!$B$7),ISNUMBER('Inputs'!$B$8),ISNUMBER('Inputs'!$B$9),ISNUMBER('Inputs'!$B$10),ISNUMBER('Inputs'!$B$21),ISNUMBER('Inputs'!$B$24),ISNUMBER('Inputs'!$B$28)),((('Results'!C7*(1-'Inputs'!$B$24)*(0.5*((((322-43)*MAX('Inputs'!$B$33,'Inputs'!$B$29+'Inputs'!$B$31+'Inputs'!$B$32,'Inputs'!$B$30+'Inputs'!$B$31+'Inputs'!$B$32)/1000+'Inputs'!$B$21)+'Inputs'!$B$9)/SQRT((((322-43)*MAX('Inputs'!$B$33,'Inputs'!$B$29+'Inputs'!$B$31+'Inputs'!$B$32,'Inputs'!$B$30+'Inputs'!$B$31+'Inputs'!$B$32)/1000+'Inputs'!$B$21)+'Inputs'!$B$9)^2+('Inputs'!$B$8/2)^2)-(((322-43)*MAX('Inputs'!$B$33,'Inputs'!$B$29+'Inputs'!$B$31+'Inputs'!$B$32,'Inputs'!$B$30+'Inputs'!$B$31+'Inputs'!$B$32)/1000+'Inputs'!$B$21))/SQRT((((322-43)*MAX('Inputs'!$B$33,'Inputs'!$B$29+'Inputs'!$B$31+'Inputs'!$B$32,'Inputs'!$B$30+'Inputs'!$B$31+'Inputs'!$B$32)/1000+'Inputs'!$B$21))^2+('Inputs'!$B$8/2)^2)))-'Results'!B7*(1+'Inputs'!$B$24)*(0.5*((((322-43)*MAX('Inputs'!$B$33,'Inputs'!$B$29+'Inputs'!$B$31+'Inputs'!$B$32,'Inputs'!$B$30+'Inputs'!$B$31+'Inputs'!$B$32)/1000+'Inputs'!$B$21+'Inputs'!$B$9+'Inputs'!$B$10)+'Inputs'!$B$7)/SQRT((((322-43)*MAX('Inputs'!$B$33,'Inputs'!$B$29+'Inputs'!$B$31+'Inputs'!$B$32,'Inputs'!$B$30+'Inputs'!$B$31+'Inputs'!$B$32)/1000+'Inputs'!$B$21+'Inputs'!$B$9+'Inputs'!$B$10)+'Inputs'!$B$7)^2+('Inputs'!$B$6/2)^2)-(((322-43)*MAX('Inputs'!$B$33,'Inputs'!$B$29+'Inputs'!$B$31+'Inputs'!$B$32,'Inputs'!$B$30+'Inputs'!$B$31+'Inputs'!$B$32)/1000+'Inputs'!$B$21+'Inputs'!$B$9+'Inputs'!$B$10))/SQRT((((322-43)*MAX('Inputs'!$B$33,'Inputs'!$B$29+'Inputs'!$B$31+'Inputs'!$B$32,'Inputs'!$B$30+'Inputs'!$B$31+'Inputs'!$B$32)/1000+'Inputs'!$B$21+'Inputs'!$B$9+'Inputs'!$B$10))^2+('Inputs'!$B$6/2)^2))))*'Results'!$B$8)-'Inputs'!$B$28*ABS((('Results'!C7*(1-'Inputs'!$B$24)*(0.5*((((322-43)*MAX('Inputs'!$B$33,'Inputs'!$B$29+'Inputs'!$B$31+'Inputs'!$B$32,'Inputs'!$B$30+'Inputs'!$B$31+'Inputs'!$B$32)/1000+'Inputs'!$B$21)+'Inputs'!$B$9)/SQRT((((322-43)*MAX('Inputs'!$B$33,'Inputs'!$B$29+'Inputs'!$B$31+'Inputs'!$B$32,'Inputs'!$B$30+'Inputs'!$B$31+'Inputs'!$B$32)/1000+'Inputs'!$B$21)+'Inputs'!$B$9)^2+('Inputs'!$B$8/2)^2)-(((322-43)*MAX('Inputs'!$B$33,'Inputs'!$B$29+'Inputs'!$B$31+'Inputs'!$B$32,'Inputs'!$B$30+'Inputs'!$B$31+'Inputs'!$B$32)/1000+'Inputs'!$B$21))/SQRT((((322-43)*MAX('Inputs'!$B$33,'Inputs'!$B$29+'Inputs'!$B$31+'Inputs'!$B$32,'Inputs'!$B$30+'Inputs'!$B$31+'Inputs'!$B$32)/1000+'Inputs'!$B$21))^2+('Inputs'!$B$8/2)^2)))-'Results'!B7*(1+'Inputs'!$B$24)*(0.5*((((322-43)*MAX('Inputs'!$B$33,'Inputs'!$B$29+'Inputs'!$B$31+'Inputs'!$B$32,'Inputs'!$B$30+'Inputs'!$B$31+'Inputs'!$B$32)/1000+'Inputs'!$B$21+'Inputs'!$B$9+'Inputs'!$B$10)+'Inputs'!$B$7)/SQRT((((322-43)*MAX('Inputs'!$B$33,'Inputs'!$B$29+'Inputs'!$B$31+'Inputs'!$B$32,'Inputs'!$B$30+'Inputs'!$B$31+'Inputs'!$B$32)/1000+'Inputs'!$B$21+'Inputs'!$B$9+'Inputs'!$B$10)+'Inputs'!$B$7)^2+('Inputs'!$B$6/2)^2)-(((322-43)*MAX('Inputs'!$B$33,'Inputs'!$B$29+'Inputs'!$B$31+'Inputs'!$B$32,'Inputs'!$B$30+'Inputs'!$B$31+'Inputs'!$B$32)/1000+'Inputs'!$B$21+'Inputs'!$B$9+'Inputs'!$B$10))/SQRT((((322-43)*MAX('Inputs'!$B$33,'Inputs'!$B$29+'Inputs'!$B$31+'Inputs'!$B$32,'Inputs'!$B$30+'Inputs'!$B$31+'Inputs'!$B$32)/1000+'Inputs'!$B$21+'Inputs'!$B$9+'Inputs'!$B$10))^2+('Inputs'!$B$6/2)^2))))*'Results'!$B$8))),"")</x:f>
        <x:v>24.03707458240021</x:v>
      </x:c>
      <x:c r="O322" t="n">
        <x:f>IF(AND(ISNUMBER('Results'!C7),ISNUMBER('Results'!B7),ISNUMBER('Results'!$B$8),ISNUMBER('Inputs'!$B$6),ISNUMBER('Inputs'!$B$7),ISNUMBER('Inputs'!$B$8),ISNUMBER('Inputs'!$B$9),ISNUMBER('Inputs'!$B$10),ISNUMBER('Inputs'!$B$21),ISNUMBER('Inputs'!$B$24),ISNUMBER('Inputs'!$B$28)),((('Results'!C7*(1+'Inputs'!$B$24)*(0.5*((((322-43)*MAX('Inputs'!$B$33,'Inputs'!$B$29+'Inputs'!$B$31+'Inputs'!$B$32,'Inputs'!$B$30+'Inputs'!$B$31+'Inputs'!$B$32)/1000+'Inputs'!$B$21)+'Inputs'!$B$9)/SQRT((((322-43)*MAX('Inputs'!$B$33,'Inputs'!$B$29+'Inputs'!$B$31+'Inputs'!$B$32,'Inputs'!$B$30+'Inputs'!$B$31+'Inputs'!$B$32)/1000+'Inputs'!$B$21)+'Inputs'!$B$9)^2+('Inputs'!$B$8/2)^2)-(((322-43)*MAX('Inputs'!$B$33,'Inputs'!$B$29+'Inputs'!$B$31+'Inputs'!$B$32,'Inputs'!$B$30+'Inputs'!$B$31+'Inputs'!$B$32)/1000+'Inputs'!$B$21))/SQRT((((322-43)*MAX('Inputs'!$B$33,'Inputs'!$B$29+'Inputs'!$B$31+'Inputs'!$B$32,'Inputs'!$B$30+'Inputs'!$B$31+'Inputs'!$B$32)/1000+'Inputs'!$B$21))^2+('Inputs'!$B$8/2)^2)))-'Results'!B7*(1-'Inputs'!$B$24)*(0.5*((((322-43)*MAX('Inputs'!$B$33,'Inputs'!$B$29+'Inputs'!$B$31+'Inputs'!$B$32,'Inputs'!$B$30+'Inputs'!$B$31+'Inputs'!$B$32)/1000+'Inputs'!$B$21+'Inputs'!$B$9+'Inputs'!$B$10)+'Inputs'!$B$7)/SQRT((((322-43)*MAX('Inputs'!$B$33,'Inputs'!$B$29+'Inputs'!$B$31+'Inputs'!$B$32,'Inputs'!$B$30+'Inputs'!$B$31+'Inputs'!$B$32)/1000+'Inputs'!$B$21+'Inputs'!$B$9+'Inputs'!$B$10)+'Inputs'!$B$7)^2+('Inputs'!$B$6/2)^2)-(((322-43)*MAX('Inputs'!$B$33,'Inputs'!$B$29+'Inputs'!$B$31+'Inputs'!$B$32,'Inputs'!$B$30+'Inputs'!$B$31+'Inputs'!$B$32)/1000+'Inputs'!$B$21+'Inputs'!$B$9+'Inputs'!$B$10))/SQRT((((322-43)*MAX('Inputs'!$B$33,'Inputs'!$B$29+'Inputs'!$B$31+'Inputs'!$B$32,'Inputs'!$B$30+'Inputs'!$B$31+'Inputs'!$B$32)/1000+'Inputs'!$B$21+'Inputs'!$B$9+'Inputs'!$B$10))^2+('Inputs'!$B$6/2)^2))))*'Results'!$B$8)+'Inputs'!$B$28*ABS((('Results'!C7*(1+'Inputs'!$B$24)*(0.5*((((322-43)*MAX('Inputs'!$B$33,'Inputs'!$B$29+'Inputs'!$B$31+'Inputs'!$B$32,'Inputs'!$B$30+'Inputs'!$B$31+'Inputs'!$B$32)/1000+'Inputs'!$B$21)+'Inputs'!$B$9)/SQRT((((322-43)*MAX('Inputs'!$B$33,'Inputs'!$B$29+'Inputs'!$B$31+'Inputs'!$B$32,'Inputs'!$B$30+'Inputs'!$B$31+'Inputs'!$B$32)/1000+'Inputs'!$B$21)+'Inputs'!$B$9)^2+('Inputs'!$B$8/2)^2)-(((322-43)*MAX('Inputs'!$B$33,'Inputs'!$B$29+'Inputs'!$B$31+'Inputs'!$B$32,'Inputs'!$B$30+'Inputs'!$B$31+'Inputs'!$B$32)/1000+'Inputs'!$B$21))/SQRT((((322-43)*MAX('Inputs'!$B$33,'Inputs'!$B$29+'Inputs'!$B$31+'Inputs'!$B$32,'Inputs'!$B$30+'Inputs'!$B$31+'Inputs'!$B$32)/1000+'Inputs'!$B$21))^2+('Inputs'!$B$8/2)^2)))-'Results'!B7*(1-'Inputs'!$B$24)*(0.5*((((322-43)*MAX('Inputs'!$B$33,'Inputs'!$B$29+'Inputs'!$B$31+'Inputs'!$B$32,'Inputs'!$B$30+'Inputs'!$B$31+'Inputs'!$B$32)/1000+'Inputs'!$B$21+'Inputs'!$B$9+'Inputs'!$B$10)+'Inputs'!$B$7)/SQRT((((322-43)*MAX('Inputs'!$B$33,'Inputs'!$B$29+'Inputs'!$B$31+'Inputs'!$B$32,'Inputs'!$B$30+'Inputs'!$B$31+'Inputs'!$B$32)/1000+'Inputs'!$B$21+'Inputs'!$B$9+'Inputs'!$B$10)+'Inputs'!$B$7)^2+('Inputs'!$B$6/2)^2)-(((322-43)*MAX('Inputs'!$B$33,'Inputs'!$B$29+'Inputs'!$B$31+'Inputs'!$B$32,'Inputs'!$B$30+'Inputs'!$B$31+'Inputs'!$B$32)/1000+'Inputs'!$B$21+'Inputs'!$B$9+'Inputs'!$B$10))/SQRT((((322-43)*MAX('Inputs'!$B$33,'Inputs'!$B$29+'Inputs'!$B$31+'Inputs'!$B$32,'Inputs'!$B$30+'Inputs'!$B$31+'Inputs'!$B$32)/1000+'Inputs'!$B$21+'Inputs'!$B$9+'Inputs'!$B$10))^2+('Inputs'!$B$6/2)^2))))*'Results'!$B$8))),"")</x:f>
        <x:v>29.185890594021878</x:v>
      </x:c>
      <x:c r="P322" t="n">
        <x:f>IF(AND(MAX(J322,J321)&gt;0,J322&gt;J321+0.00000001),1,0)</x:f>
        <x:v>0</x:v>
      </x:c>
      <x:c r="Q322" t="n">
        <x:f>IF(AND(MAX(K322,K321)&gt;0,K322&gt;K321+0.00000001),1,0)</x:f>
        <x:v>0</x:v>
      </x:c>
      <x:c r="R322" t="n">
        <x:f>IF(AND(MAX(L322,L321)&gt;0,L322&gt;L321+0.00000001),1,0)</x:f>
        <x:v>0</x:v>
      </x:c>
      <x:c r="S322" t="n">
        <x:f>IF(AND(MAX(M322,M321)&gt;0,M322&gt;M321+0.00000001),1,0)</x:f>
        <x:v>0</x:v>
      </x:c>
      <x:c r="T322" t="n">
        <x:f>IF(AND(MAX(N322,N321)&gt;0,N322&gt;N321+0.00000001),1,0)</x:f>
        <x:v>0</x:v>
      </x:c>
      <x:c r="U322" t="n">
        <x:f>IF(AND(MAX(O322,O321)&gt;0,O322&gt;O321+0.00000001),1,0)</x:f>
        <x:v>0</x:v>
      </x:c>
    </x:row>
    <x:row r="323">
      <x:c r="J323" t="n">
        <x:f>IF(AND(ISNUMBER('Results'!B7),ISNUMBER('Results'!C7),ISNUMBER('Results'!$B$8),ISNUMBER('Inputs'!$B$6),ISNUMBER('Inputs'!$B$7),ISNUMBER('Inputs'!$B$8),ISNUMBER('Inputs'!$B$9),ISNUMBER('Inputs'!$B$10),ISNUMBER('Inputs'!$B$21),ISNUMBER('Inputs'!$B$24),ISNUMBER('Inputs'!$B$28)),(('Results'!B7*(0.5*((((323-43)*MAX('Inputs'!$B$33,'Inputs'!$B$29+'Inputs'!$B$31+'Inputs'!$B$32,'Inputs'!$B$30+'Inputs'!$B$31+'Inputs'!$B$32)/1000+'Inputs'!$B$21)+'Inputs'!$B$7)/SQRT((((323-43)*MAX('Inputs'!$B$33,'Inputs'!$B$29+'Inputs'!$B$31+'Inputs'!$B$32,'Inputs'!$B$30+'Inputs'!$B$31+'Inputs'!$B$32)/1000+'Inputs'!$B$21)+'Inputs'!$B$7)^2+('Inputs'!$B$6/2)^2)-(((323-43)*MAX('Inputs'!$B$33,'Inputs'!$B$29+'Inputs'!$B$31+'Inputs'!$B$32,'Inputs'!$B$30+'Inputs'!$B$31+'Inputs'!$B$32)/1000+'Inputs'!$B$21))/SQRT((((323-43)*MAX('Inputs'!$B$33,'Inputs'!$B$29+'Inputs'!$B$31+'Inputs'!$B$32,'Inputs'!$B$30+'Inputs'!$B$31+'Inputs'!$B$32)/1000+'Inputs'!$B$21))^2+('Inputs'!$B$6/2)^2)))-'Results'!C7*(0.5*((((323-43)*MAX('Inputs'!$B$33,'Inputs'!$B$29+'Inputs'!$B$31+'Inputs'!$B$32,'Inputs'!$B$30+'Inputs'!$B$31+'Inputs'!$B$32)/1000+'Inputs'!$B$21+'Inputs'!$B$7+'Inputs'!$B$10)+'Inputs'!$B$9)/SQRT((((323-43)*MAX('Inputs'!$B$33,'Inputs'!$B$29+'Inputs'!$B$31+'Inputs'!$B$32,'Inputs'!$B$30+'Inputs'!$B$31+'Inputs'!$B$32)/1000+'Inputs'!$B$21+'Inputs'!$B$7+'Inputs'!$B$10)+'Inputs'!$B$9)^2+('Inputs'!$B$8/2)^2)-(((323-43)*MAX('Inputs'!$B$33,'Inputs'!$B$29+'Inputs'!$B$31+'Inputs'!$B$32,'Inputs'!$B$30+'Inputs'!$B$31+'Inputs'!$B$32)/1000+'Inputs'!$B$21+'Inputs'!$B$7+'Inputs'!$B$10))/SQRT((((323-43)*MAX('Inputs'!$B$33,'Inputs'!$B$29+'Inputs'!$B$31+'Inputs'!$B$32,'Inputs'!$B$30+'Inputs'!$B$31+'Inputs'!$B$32)/1000+'Inputs'!$B$21+'Inputs'!$B$7+'Inputs'!$B$10))^2+('Inputs'!$B$8/2)^2))))*'Results'!$B$8),"")</x:f>
        <x:v>27.512088190181984</x:v>
      </x:c>
      <x:c r="K323" t="n">
        <x:f>IF(AND(ISNUMBER('Results'!B7),ISNUMBER('Results'!C7),ISNUMBER('Results'!$B$8),ISNUMBER('Inputs'!$B$6),ISNUMBER('Inputs'!$B$7),ISNUMBER('Inputs'!$B$8),ISNUMBER('Inputs'!$B$9),ISNUMBER('Inputs'!$B$10),ISNUMBER('Inputs'!$B$21),ISNUMBER('Inputs'!$B$24),ISNUMBER('Inputs'!$B$28)),((('Results'!B7*(1-'Inputs'!$B$24)*(0.5*((((323-43)*MAX('Inputs'!$B$33,'Inputs'!$B$29+'Inputs'!$B$31+'Inputs'!$B$32,'Inputs'!$B$30+'Inputs'!$B$31+'Inputs'!$B$32)/1000+'Inputs'!$B$21)+'Inputs'!$B$7)/SQRT((((323-43)*MAX('Inputs'!$B$33,'Inputs'!$B$29+'Inputs'!$B$31+'Inputs'!$B$32,'Inputs'!$B$30+'Inputs'!$B$31+'Inputs'!$B$32)/1000+'Inputs'!$B$21)+'Inputs'!$B$7)^2+('Inputs'!$B$6/2)^2)-(((323-43)*MAX('Inputs'!$B$33,'Inputs'!$B$29+'Inputs'!$B$31+'Inputs'!$B$32,'Inputs'!$B$30+'Inputs'!$B$31+'Inputs'!$B$32)/1000+'Inputs'!$B$21))/SQRT((((323-43)*MAX('Inputs'!$B$33,'Inputs'!$B$29+'Inputs'!$B$31+'Inputs'!$B$32,'Inputs'!$B$30+'Inputs'!$B$31+'Inputs'!$B$32)/1000+'Inputs'!$B$21))^2+('Inputs'!$B$6/2)^2)))-'Results'!C7*(1+'Inputs'!$B$24)*(0.5*((((323-43)*MAX('Inputs'!$B$33,'Inputs'!$B$29+'Inputs'!$B$31+'Inputs'!$B$32,'Inputs'!$B$30+'Inputs'!$B$31+'Inputs'!$B$32)/1000+'Inputs'!$B$21+'Inputs'!$B$7+'Inputs'!$B$10)+'Inputs'!$B$9)/SQRT((((323-43)*MAX('Inputs'!$B$33,'Inputs'!$B$29+'Inputs'!$B$31+'Inputs'!$B$32,'Inputs'!$B$30+'Inputs'!$B$31+'Inputs'!$B$32)/1000+'Inputs'!$B$21+'Inputs'!$B$7+'Inputs'!$B$10)+'Inputs'!$B$9)^2+('Inputs'!$B$8/2)^2)-(((323-43)*MAX('Inputs'!$B$33,'Inputs'!$B$29+'Inputs'!$B$31+'Inputs'!$B$32,'Inputs'!$B$30+'Inputs'!$B$31+'Inputs'!$B$32)/1000+'Inputs'!$B$21+'Inputs'!$B$7+'Inputs'!$B$10))/SQRT((((323-43)*MAX('Inputs'!$B$33,'Inputs'!$B$29+'Inputs'!$B$31+'Inputs'!$B$32,'Inputs'!$B$30+'Inputs'!$B$31+'Inputs'!$B$32)/1000+'Inputs'!$B$21+'Inputs'!$B$7+'Inputs'!$B$10))^2+('Inputs'!$B$8/2)^2))))*'Results'!$B$8)-'Inputs'!$B$28*ABS((('Results'!B7*(1-'Inputs'!$B$24)*(0.5*((((323-43)*MAX('Inputs'!$B$33,'Inputs'!$B$29+'Inputs'!$B$31+'Inputs'!$B$32,'Inputs'!$B$30+'Inputs'!$B$31+'Inputs'!$B$32)/1000+'Inputs'!$B$21)+'Inputs'!$B$7)/SQRT((((323-43)*MAX('Inputs'!$B$33,'Inputs'!$B$29+'Inputs'!$B$31+'Inputs'!$B$32,'Inputs'!$B$30+'Inputs'!$B$31+'Inputs'!$B$32)/1000+'Inputs'!$B$21)+'Inputs'!$B$7)^2+('Inputs'!$B$6/2)^2)-(((323-43)*MAX('Inputs'!$B$33,'Inputs'!$B$29+'Inputs'!$B$31+'Inputs'!$B$32,'Inputs'!$B$30+'Inputs'!$B$31+'Inputs'!$B$32)/1000+'Inputs'!$B$21))/SQRT((((323-43)*MAX('Inputs'!$B$33,'Inputs'!$B$29+'Inputs'!$B$31+'Inputs'!$B$32,'Inputs'!$B$30+'Inputs'!$B$31+'Inputs'!$B$32)/1000+'Inputs'!$B$21))^2+('Inputs'!$B$6/2)^2)))-'Results'!C7*(1+'Inputs'!$B$24)*(0.5*((((323-43)*MAX('Inputs'!$B$33,'Inputs'!$B$29+'Inputs'!$B$31+'Inputs'!$B$32,'Inputs'!$B$30+'Inputs'!$B$31+'Inputs'!$B$32)/1000+'Inputs'!$B$21+'Inputs'!$B$7+'Inputs'!$B$10)+'Inputs'!$B$9)/SQRT((((323-43)*MAX('Inputs'!$B$33,'Inputs'!$B$29+'Inputs'!$B$31+'Inputs'!$B$32,'Inputs'!$B$30+'Inputs'!$B$31+'Inputs'!$B$32)/1000+'Inputs'!$B$21+'Inputs'!$B$7+'Inputs'!$B$10)+'Inputs'!$B$9)^2+('Inputs'!$B$8/2)^2)-(((323-43)*MAX('Inputs'!$B$33,'Inputs'!$B$29+'Inputs'!$B$31+'Inputs'!$B$32,'Inputs'!$B$30+'Inputs'!$B$31+'Inputs'!$B$32)/1000+'Inputs'!$B$21+'Inputs'!$B$7+'Inputs'!$B$10))/SQRT((((323-43)*MAX('Inputs'!$B$33,'Inputs'!$B$29+'Inputs'!$B$31+'Inputs'!$B$32,'Inputs'!$B$30+'Inputs'!$B$31+'Inputs'!$B$32)/1000+'Inputs'!$B$21+'Inputs'!$B$7+'Inputs'!$B$10))^2+('Inputs'!$B$8/2)^2))))*'Results'!$B$8))),"")</x:f>
        <x:v>24.95184222674198</x:v>
      </x:c>
      <x:c r="L323" t="n">
        <x:f>IF(AND(ISNUMBER('Results'!B7),ISNUMBER('Results'!C7),ISNUMBER('Results'!$B$8),ISNUMBER('Inputs'!$B$6),ISNUMBER('Inputs'!$B$7),ISNUMBER('Inputs'!$B$8),ISNUMBER('Inputs'!$B$9),ISNUMBER('Inputs'!$B$10),ISNUMBER('Inputs'!$B$21),ISNUMBER('Inputs'!$B$24),ISNUMBER('Inputs'!$B$28)),((('Results'!B7*(1+'Inputs'!$B$24)*(0.5*((((323-43)*MAX('Inputs'!$B$33,'Inputs'!$B$29+'Inputs'!$B$31+'Inputs'!$B$32,'Inputs'!$B$30+'Inputs'!$B$31+'Inputs'!$B$32)/1000+'Inputs'!$B$21)+'Inputs'!$B$7)/SQRT((((323-43)*MAX('Inputs'!$B$33,'Inputs'!$B$29+'Inputs'!$B$31+'Inputs'!$B$32,'Inputs'!$B$30+'Inputs'!$B$31+'Inputs'!$B$32)/1000+'Inputs'!$B$21)+'Inputs'!$B$7)^2+('Inputs'!$B$6/2)^2)-(((323-43)*MAX('Inputs'!$B$33,'Inputs'!$B$29+'Inputs'!$B$31+'Inputs'!$B$32,'Inputs'!$B$30+'Inputs'!$B$31+'Inputs'!$B$32)/1000+'Inputs'!$B$21))/SQRT((((323-43)*MAX('Inputs'!$B$33,'Inputs'!$B$29+'Inputs'!$B$31+'Inputs'!$B$32,'Inputs'!$B$30+'Inputs'!$B$31+'Inputs'!$B$32)/1000+'Inputs'!$B$21))^2+('Inputs'!$B$6/2)^2)))-'Results'!C7*(1-'Inputs'!$B$24)*(0.5*((((323-43)*MAX('Inputs'!$B$33,'Inputs'!$B$29+'Inputs'!$B$31+'Inputs'!$B$32,'Inputs'!$B$30+'Inputs'!$B$31+'Inputs'!$B$32)/1000+'Inputs'!$B$21+'Inputs'!$B$7+'Inputs'!$B$10)+'Inputs'!$B$9)/SQRT((((323-43)*MAX('Inputs'!$B$33,'Inputs'!$B$29+'Inputs'!$B$31+'Inputs'!$B$32,'Inputs'!$B$30+'Inputs'!$B$31+'Inputs'!$B$32)/1000+'Inputs'!$B$21+'Inputs'!$B$7+'Inputs'!$B$10)+'Inputs'!$B$9)^2+('Inputs'!$B$8/2)^2)-(((323-43)*MAX('Inputs'!$B$33,'Inputs'!$B$29+'Inputs'!$B$31+'Inputs'!$B$32,'Inputs'!$B$30+'Inputs'!$B$31+'Inputs'!$B$32)/1000+'Inputs'!$B$21+'Inputs'!$B$7+'Inputs'!$B$10))/SQRT((((323-43)*MAX('Inputs'!$B$33,'Inputs'!$B$29+'Inputs'!$B$31+'Inputs'!$B$32,'Inputs'!$B$30+'Inputs'!$B$31+'Inputs'!$B$32)/1000+'Inputs'!$B$21+'Inputs'!$B$7+'Inputs'!$B$10))^2+('Inputs'!$B$8/2)^2))))*'Results'!$B$8)+'Inputs'!$B$28*ABS((('Results'!B7*(1+'Inputs'!$B$24)*(0.5*((((323-43)*MAX('Inputs'!$B$33,'Inputs'!$B$29+'Inputs'!$B$31+'Inputs'!$B$32,'Inputs'!$B$30+'Inputs'!$B$31+'Inputs'!$B$32)/1000+'Inputs'!$B$21)+'Inputs'!$B$7)/SQRT((((323-43)*MAX('Inputs'!$B$33,'Inputs'!$B$29+'Inputs'!$B$31+'Inputs'!$B$32,'Inputs'!$B$30+'Inputs'!$B$31+'Inputs'!$B$32)/1000+'Inputs'!$B$21)+'Inputs'!$B$7)^2+('Inputs'!$B$6/2)^2)-(((323-43)*MAX('Inputs'!$B$33,'Inputs'!$B$29+'Inputs'!$B$31+'Inputs'!$B$32,'Inputs'!$B$30+'Inputs'!$B$31+'Inputs'!$B$32)/1000+'Inputs'!$B$21))/SQRT((((323-43)*MAX('Inputs'!$B$33,'Inputs'!$B$29+'Inputs'!$B$31+'Inputs'!$B$32,'Inputs'!$B$30+'Inputs'!$B$31+'Inputs'!$B$32)/1000+'Inputs'!$B$21))^2+('Inputs'!$B$6/2)^2)))-'Results'!C7*(1-'Inputs'!$B$24)*(0.5*((((323-43)*MAX('Inputs'!$B$33,'Inputs'!$B$29+'Inputs'!$B$31+'Inputs'!$B$32,'Inputs'!$B$30+'Inputs'!$B$31+'Inputs'!$B$32)/1000+'Inputs'!$B$21+'Inputs'!$B$7+'Inputs'!$B$10)+'Inputs'!$B$9)/SQRT((((323-43)*MAX('Inputs'!$B$33,'Inputs'!$B$29+'Inputs'!$B$31+'Inputs'!$B$32,'Inputs'!$B$30+'Inputs'!$B$31+'Inputs'!$B$32)/1000+'Inputs'!$B$21+'Inputs'!$B$7+'Inputs'!$B$10)+'Inputs'!$B$9)^2+('Inputs'!$B$8/2)^2)-(((323-43)*MAX('Inputs'!$B$33,'Inputs'!$B$29+'Inputs'!$B$31+'Inputs'!$B$32,'Inputs'!$B$30+'Inputs'!$B$31+'Inputs'!$B$32)/1000+'Inputs'!$B$21+'Inputs'!$B$7+'Inputs'!$B$10))/SQRT((((323-43)*MAX('Inputs'!$B$33,'Inputs'!$B$29+'Inputs'!$B$31+'Inputs'!$B$32,'Inputs'!$B$30+'Inputs'!$B$31+'Inputs'!$B$32)/1000+'Inputs'!$B$21+'Inputs'!$B$7+'Inputs'!$B$10))^2+('Inputs'!$B$8/2)^2))))*'Results'!$B$8))),"")</x:f>
        <x:v>30.197033264562084</x:v>
      </x:c>
      <x:c r="M323" t="n">
        <x:f>IF(AND(ISNUMBER('Results'!C7),ISNUMBER('Results'!B7),ISNUMBER('Results'!$B$8),ISNUMBER('Inputs'!$B$6),ISNUMBER('Inputs'!$B$7),ISNUMBER('Inputs'!$B$8),ISNUMBER('Inputs'!$B$9),ISNUMBER('Inputs'!$B$10),ISNUMBER('Inputs'!$B$21),ISNUMBER('Inputs'!$B$24),ISNUMBER('Inputs'!$B$28)),(('Results'!C7*(0.5*((((323-43)*MAX('Inputs'!$B$33,'Inputs'!$B$29+'Inputs'!$B$31+'Inputs'!$B$32,'Inputs'!$B$30+'Inputs'!$B$31+'Inputs'!$B$32)/1000+'Inputs'!$B$21)+'Inputs'!$B$9)/SQRT((((323-43)*MAX('Inputs'!$B$33,'Inputs'!$B$29+'Inputs'!$B$31+'Inputs'!$B$32,'Inputs'!$B$30+'Inputs'!$B$31+'Inputs'!$B$32)/1000+'Inputs'!$B$21)+'Inputs'!$B$9)^2+('Inputs'!$B$8/2)^2)-(((323-43)*MAX('Inputs'!$B$33,'Inputs'!$B$29+'Inputs'!$B$31+'Inputs'!$B$32,'Inputs'!$B$30+'Inputs'!$B$31+'Inputs'!$B$32)/1000+'Inputs'!$B$21))/SQRT((((323-43)*MAX('Inputs'!$B$33,'Inputs'!$B$29+'Inputs'!$B$31+'Inputs'!$B$32,'Inputs'!$B$30+'Inputs'!$B$31+'Inputs'!$B$32)/1000+'Inputs'!$B$21))^2+('Inputs'!$B$8/2)^2)))-'Results'!B7*(0.5*((((323-43)*MAX('Inputs'!$B$33,'Inputs'!$B$29+'Inputs'!$B$31+'Inputs'!$B$32,'Inputs'!$B$30+'Inputs'!$B$31+'Inputs'!$B$32)/1000+'Inputs'!$B$21+'Inputs'!$B$9+'Inputs'!$B$10)+'Inputs'!$B$7)/SQRT((((323-43)*MAX('Inputs'!$B$33,'Inputs'!$B$29+'Inputs'!$B$31+'Inputs'!$B$32,'Inputs'!$B$30+'Inputs'!$B$31+'Inputs'!$B$32)/1000+'Inputs'!$B$21+'Inputs'!$B$9+'Inputs'!$B$10)+'Inputs'!$B$7)^2+('Inputs'!$B$6/2)^2)-(((323-43)*MAX('Inputs'!$B$33,'Inputs'!$B$29+'Inputs'!$B$31+'Inputs'!$B$32,'Inputs'!$B$30+'Inputs'!$B$31+'Inputs'!$B$32)/1000+'Inputs'!$B$21+'Inputs'!$B$9+'Inputs'!$B$10))/SQRT((((323-43)*MAX('Inputs'!$B$33,'Inputs'!$B$29+'Inputs'!$B$31+'Inputs'!$B$32,'Inputs'!$B$30+'Inputs'!$B$31+'Inputs'!$B$32)/1000+'Inputs'!$B$21+'Inputs'!$B$9+'Inputs'!$B$10))^2+('Inputs'!$B$6/2)^2))))*'Results'!$B$8),"")</x:f>
        <x:v>26.25798739358106</x:v>
      </x:c>
      <x:c r="N323" t="n">
        <x:f>IF(AND(ISNUMBER('Results'!C7),ISNUMBER('Results'!B7),ISNUMBER('Results'!$B$8),ISNUMBER('Inputs'!$B$6),ISNUMBER('Inputs'!$B$7),ISNUMBER('Inputs'!$B$8),ISNUMBER('Inputs'!$B$9),ISNUMBER('Inputs'!$B$10),ISNUMBER('Inputs'!$B$21),ISNUMBER('Inputs'!$B$24),ISNUMBER('Inputs'!$B$28)),((('Results'!C7*(1-'Inputs'!$B$24)*(0.5*((((323-43)*MAX('Inputs'!$B$33,'Inputs'!$B$29+'Inputs'!$B$31+'Inputs'!$B$32,'Inputs'!$B$30+'Inputs'!$B$31+'Inputs'!$B$32)/1000+'Inputs'!$B$21)+'Inputs'!$B$9)/SQRT((((323-43)*MAX('Inputs'!$B$33,'Inputs'!$B$29+'Inputs'!$B$31+'Inputs'!$B$32,'Inputs'!$B$30+'Inputs'!$B$31+'Inputs'!$B$32)/1000+'Inputs'!$B$21)+'Inputs'!$B$9)^2+('Inputs'!$B$8/2)^2)-(((323-43)*MAX('Inputs'!$B$33,'Inputs'!$B$29+'Inputs'!$B$31+'Inputs'!$B$32,'Inputs'!$B$30+'Inputs'!$B$31+'Inputs'!$B$32)/1000+'Inputs'!$B$21))/SQRT((((323-43)*MAX('Inputs'!$B$33,'Inputs'!$B$29+'Inputs'!$B$31+'Inputs'!$B$32,'Inputs'!$B$30+'Inputs'!$B$31+'Inputs'!$B$32)/1000+'Inputs'!$B$21))^2+('Inputs'!$B$8/2)^2)))-'Results'!B7*(1+'Inputs'!$B$24)*(0.5*((((323-43)*MAX('Inputs'!$B$33,'Inputs'!$B$29+'Inputs'!$B$31+'Inputs'!$B$32,'Inputs'!$B$30+'Inputs'!$B$31+'Inputs'!$B$32)/1000+'Inputs'!$B$21+'Inputs'!$B$9+'Inputs'!$B$10)+'Inputs'!$B$7)/SQRT((((323-43)*MAX('Inputs'!$B$33,'Inputs'!$B$29+'Inputs'!$B$31+'Inputs'!$B$32,'Inputs'!$B$30+'Inputs'!$B$31+'Inputs'!$B$32)/1000+'Inputs'!$B$21+'Inputs'!$B$9+'Inputs'!$B$10)+'Inputs'!$B$7)^2+('Inputs'!$B$6/2)^2)-(((323-43)*MAX('Inputs'!$B$33,'Inputs'!$B$29+'Inputs'!$B$31+'Inputs'!$B$32,'Inputs'!$B$30+'Inputs'!$B$31+'Inputs'!$B$32)/1000+'Inputs'!$B$21+'Inputs'!$B$9+'Inputs'!$B$10))/SQRT((((323-43)*MAX('Inputs'!$B$33,'Inputs'!$B$29+'Inputs'!$B$31+'Inputs'!$B$32,'Inputs'!$B$30+'Inputs'!$B$31+'Inputs'!$B$32)/1000+'Inputs'!$B$21+'Inputs'!$B$9+'Inputs'!$B$10))^2+('Inputs'!$B$6/2)^2))))*'Results'!$B$8)-'Inputs'!$B$28*ABS((('Results'!C7*(1-'Inputs'!$B$24)*(0.5*((((323-43)*MAX('Inputs'!$B$33,'Inputs'!$B$29+'Inputs'!$B$31+'Inputs'!$B$32,'Inputs'!$B$30+'Inputs'!$B$31+'Inputs'!$B$32)/1000+'Inputs'!$B$21)+'Inputs'!$B$9)/SQRT((((323-43)*MAX('Inputs'!$B$33,'Inputs'!$B$29+'Inputs'!$B$31+'Inputs'!$B$32,'Inputs'!$B$30+'Inputs'!$B$31+'Inputs'!$B$32)/1000+'Inputs'!$B$21)+'Inputs'!$B$9)^2+('Inputs'!$B$8/2)^2)-(((323-43)*MAX('Inputs'!$B$33,'Inputs'!$B$29+'Inputs'!$B$31+'Inputs'!$B$32,'Inputs'!$B$30+'Inputs'!$B$31+'Inputs'!$B$32)/1000+'Inputs'!$B$21))/SQRT((((323-43)*MAX('Inputs'!$B$33,'Inputs'!$B$29+'Inputs'!$B$31+'Inputs'!$B$32,'Inputs'!$B$30+'Inputs'!$B$31+'Inputs'!$B$32)/1000+'Inputs'!$B$21))^2+('Inputs'!$B$8/2)^2)))-'Results'!B7*(1+'Inputs'!$B$24)*(0.5*((((323-43)*MAX('Inputs'!$B$33,'Inputs'!$B$29+'Inputs'!$B$31+'Inputs'!$B$32,'Inputs'!$B$30+'Inputs'!$B$31+'Inputs'!$B$32)/1000+'Inputs'!$B$21+'Inputs'!$B$9+'Inputs'!$B$10)+'Inputs'!$B$7)/SQRT((((323-43)*MAX('Inputs'!$B$33,'Inputs'!$B$29+'Inputs'!$B$31+'Inputs'!$B$32,'Inputs'!$B$30+'Inputs'!$B$31+'Inputs'!$B$32)/1000+'Inputs'!$B$21+'Inputs'!$B$9+'Inputs'!$B$10)+'Inputs'!$B$7)^2+('Inputs'!$B$6/2)^2)-(((323-43)*MAX('Inputs'!$B$33,'Inputs'!$B$29+'Inputs'!$B$31+'Inputs'!$B$32,'Inputs'!$B$30+'Inputs'!$B$31+'Inputs'!$B$32)/1000+'Inputs'!$B$21+'Inputs'!$B$9+'Inputs'!$B$10))/SQRT((((323-43)*MAX('Inputs'!$B$33,'Inputs'!$B$29+'Inputs'!$B$31+'Inputs'!$B$32,'Inputs'!$B$30+'Inputs'!$B$31+'Inputs'!$B$32)/1000+'Inputs'!$B$21+'Inputs'!$B$9+'Inputs'!$B$10))^2+('Inputs'!$B$6/2)^2))))*'Results'!$B$8))),"")</x:f>
        <x:v>23.77076597942657</x:v>
      </x:c>
      <x:c r="O323" t="n">
        <x:f>IF(AND(ISNUMBER('Results'!C7),ISNUMBER('Results'!B7),ISNUMBER('Results'!$B$8),ISNUMBER('Inputs'!$B$6),ISNUMBER('Inputs'!$B$7),ISNUMBER('Inputs'!$B$8),ISNUMBER('Inputs'!$B$9),ISNUMBER('Inputs'!$B$10),ISNUMBER('Inputs'!$B$21),ISNUMBER('Inputs'!$B$24),ISNUMBER('Inputs'!$B$28)),((('Results'!C7*(1+'Inputs'!$B$24)*(0.5*((((323-43)*MAX('Inputs'!$B$33,'Inputs'!$B$29+'Inputs'!$B$31+'Inputs'!$B$32,'Inputs'!$B$30+'Inputs'!$B$31+'Inputs'!$B$32)/1000+'Inputs'!$B$21)+'Inputs'!$B$9)/SQRT((((323-43)*MAX('Inputs'!$B$33,'Inputs'!$B$29+'Inputs'!$B$31+'Inputs'!$B$32,'Inputs'!$B$30+'Inputs'!$B$31+'Inputs'!$B$32)/1000+'Inputs'!$B$21)+'Inputs'!$B$9)^2+('Inputs'!$B$8/2)^2)-(((323-43)*MAX('Inputs'!$B$33,'Inputs'!$B$29+'Inputs'!$B$31+'Inputs'!$B$32,'Inputs'!$B$30+'Inputs'!$B$31+'Inputs'!$B$32)/1000+'Inputs'!$B$21))/SQRT((((323-43)*MAX('Inputs'!$B$33,'Inputs'!$B$29+'Inputs'!$B$31+'Inputs'!$B$32,'Inputs'!$B$30+'Inputs'!$B$31+'Inputs'!$B$32)/1000+'Inputs'!$B$21))^2+('Inputs'!$B$8/2)^2)))-'Results'!B7*(1-'Inputs'!$B$24)*(0.5*((((323-43)*MAX('Inputs'!$B$33,'Inputs'!$B$29+'Inputs'!$B$31+'Inputs'!$B$32,'Inputs'!$B$30+'Inputs'!$B$31+'Inputs'!$B$32)/1000+'Inputs'!$B$21+'Inputs'!$B$9+'Inputs'!$B$10)+'Inputs'!$B$7)/SQRT((((323-43)*MAX('Inputs'!$B$33,'Inputs'!$B$29+'Inputs'!$B$31+'Inputs'!$B$32,'Inputs'!$B$30+'Inputs'!$B$31+'Inputs'!$B$32)/1000+'Inputs'!$B$21+'Inputs'!$B$9+'Inputs'!$B$10)+'Inputs'!$B$7)^2+('Inputs'!$B$6/2)^2)-(((323-43)*MAX('Inputs'!$B$33,'Inputs'!$B$29+'Inputs'!$B$31+'Inputs'!$B$32,'Inputs'!$B$30+'Inputs'!$B$31+'Inputs'!$B$32)/1000+'Inputs'!$B$21+'Inputs'!$B$9+'Inputs'!$B$10))/SQRT((((323-43)*MAX('Inputs'!$B$33,'Inputs'!$B$29+'Inputs'!$B$31+'Inputs'!$B$32,'Inputs'!$B$30+'Inputs'!$B$31+'Inputs'!$B$32)/1000+'Inputs'!$B$21+'Inputs'!$B$9+'Inputs'!$B$10))^2+('Inputs'!$B$6/2)^2))))*'Results'!$B$8)+'Inputs'!$B$28*ABS((('Results'!C7*(1+'Inputs'!$B$24)*(0.5*((((323-43)*MAX('Inputs'!$B$33,'Inputs'!$B$29+'Inputs'!$B$31+'Inputs'!$B$32,'Inputs'!$B$30+'Inputs'!$B$31+'Inputs'!$B$32)/1000+'Inputs'!$B$21)+'Inputs'!$B$9)/SQRT((((323-43)*MAX('Inputs'!$B$33,'Inputs'!$B$29+'Inputs'!$B$31+'Inputs'!$B$32,'Inputs'!$B$30+'Inputs'!$B$31+'Inputs'!$B$32)/1000+'Inputs'!$B$21)+'Inputs'!$B$9)^2+('Inputs'!$B$8/2)^2)-(((323-43)*MAX('Inputs'!$B$33,'Inputs'!$B$29+'Inputs'!$B$31+'Inputs'!$B$32,'Inputs'!$B$30+'Inputs'!$B$31+'Inputs'!$B$32)/1000+'Inputs'!$B$21))/SQRT((((323-43)*MAX('Inputs'!$B$33,'Inputs'!$B$29+'Inputs'!$B$31+'Inputs'!$B$32,'Inputs'!$B$30+'Inputs'!$B$31+'Inputs'!$B$32)/1000+'Inputs'!$B$21))^2+('Inputs'!$B$8/2)^2)))-'Results'!B7*(1-'Inputs'!$B$24)*(0.5*((((323-43)*MAX('Inputs'!$B$33,'Inputs'!$B$29+'Inputs'!$B$31+'Inputs'!$B$32,'Inputs'!$B$30+'Inputs'!$B$31+'Inputs'!$B$32)/1000+'Inputs'!$B$21+'Inputs'!$B$9+'Inputs'!$B$10)+'Inputs'!$B$7)/SQRT((((323-43)*MAX('Inputs'!$B$33,'Inputs'!$B$29+'Inputs'!$B$31+'Inputs'!$B$32,'Inputs'!$B$30+'Inputs'!$B$31+'Inputs'!$B$32)/1000+'Inputs'!$B$21+'Inputs'!$B$9+'Inputs'!$B$10)+'Inputs'!$B$7)^2+('Inputs'!$B$6/2)^2)-(((323-43)*MAX('Inputs'!$B$33,'Inputs'!$B$29+'Inputs'!$B$31+'Inputs'!$B$32,'Inputs'!$B$30+'Inputs'!$B$31+'Inputs'!$B$32)/1000+'Inputs'!$B$21+'Inputs'!$B$9+'Inputs'!$B$10))/SQRT((((323-43)*MAX('Inputs'!$B$33,'Inputs'!$B$29+'Inputs'!$B$31+'Inputs'!$B$32,'Inputs'!$B$30+'Inputs'!$B$31+'Inputs'!$B$32)/1000+'Inputs'!$B$21+'Inputs'!$B$9+'Inputs'!$B$10))^2+('Inputs'!$B$6/2)^2))))*'Results'!$B$8))),"")</x:f>
        <x:v>28.868821654522442</x:v>
      </x:c>
      <x:c r="P323" t="n">
        <x:f>IF(AND(MAX(J323,J322)&gt;0,J323&gt;J322+0.00000001),1,0)</x:f>
        <x:v>0</x:v>
      </x:c>
      <x:c r="Q323" t="n">
        <x:f>IF(AND(MAX(K323,K322)&gt;0,K323&gt;K322+0.00000001),1,0)</x:f>
        <x:v>0</x:v>
      </x:c>
      <x:c r="R323" t="n">
        <x:f>IF(AND(MAX(L323,L322)&gt;0,L323&gt;L322+0.00000001),1,0)</x:f>
        <x:v>0</x:v>
      </x:c>
      <x:c r="S323" t="n">
        <x:f>IF(AND(MAX(M323,M322)&gt;0,M323&gt;M322+0.00000001),1,0)</x:f>
        <x:v>0</x:v>
      </x:c>
      <x:c r="T323" t="n">
        <x:f>IF(AND(MAX(N323,N322)&gt;0,N323&gt;N322+0.00000001),1,0)</x:f>
        <x:v>0</x:v>
      </x:c>
      <x:c r="U323" t="n">
        <x:f>IF(AND(MAX(O323,O322)&gt;0,O323&gt;O322+0.00000001),1,0)</x:f>
        <x:v>0</x:v>
      </x:c>
    </x:row>
    <x:row r="324">
      <x:c r="J324" t="n">
        <x:f>IF(AND(ISNUMBER('Results'!B7),ISNUMBER('Results'!C7),ISNUMBER('Results'!$B$8),ISNUMBER('Inputs'!$B$6),ISNUMBER('Inputs'!$B$7),ISNUMBER('Inputs'!$B$8),ISNUMBER('Inputs'!$B$9),ISNUMBER('Inputs'!$B$10),ISNUMBER('Inputs'!$B$21),ISNUMBER('Inputs'!$B$24),ISNUMBER('Inputs'!$B$28)),(('Results'!B7*(0.5*((((324-43)*MAX('Inputs'!$B$33,'Inputs'!$B$29+'Inputs'!$B$31+'Inputs'!$B$32,'Inputs'!$B$30+'Inputs'!$B$31+'Inputs'!$B$32)/1000+'Inputs'!$B$21)+'Inputs'!$B$7)/SQRT((((324-43)*MAX('Inputs'!$B$33,'Inputs'!$B$29+'Inputs'!$B$31+'Inputs'!$B$32,'Inputs'!$B$30+'Inputs'!$B$31+'Inputs'!$B$32)/1000+'Inputs'!$B$21)+'Inputs'!$B$7)^2+('Inputs'!$B$6/2)^2)-(((324-43)*MAX('Inputs'!$B$33,'Inputs'!$B$29+'Inputs'!$B$31+'Inputs'!$B$32,'Inputs'!$B$30+'Inputs'!$B$31+'Inputs'!$B$32)/1000+'Inputs'!$B$21))/SQRT((((324-43)*MAX('Inputs'!$B$33,'Inputs'!$B$29+'Inputs'!$B$31+'Inputs'!$B$32,'Inputs'!$B$30+'Inputs'!$B$31+'Inputs'!$B$32)/1000+'Inputs'!$B$21))^2+('Inputs'!$B$6/2)^2)))-'Results'!C7*(0.5*((((324-43)*MAX('Inputs'!$B$33,'Inputs'!$B$29+'Inputs'!$B$31+'Inputs'!$B$32,'Inputs'!$B$30+'Inputs'!$B$31+'Inputs'!$B$32)/1000+'Inputs'!$B$21+'Inputs'!$B$7+'Inputs'!$B$10)+'Inputs'!$B$9)/SQRT((((324-43)*MAX('Inputs'!$B$33,'Inputs'!$B$29+'Inputs'!$B$31+'Inputs'!$B$32,'Inputs'!$B$30+'Inputs'!$B$31+'Inputs'!$B$32)/1000+'Inputs'!$B$21+'Inputs'!$B$7+'Inputs'!$B$10)+'Inputs'!$B$9)^2+('Inputs'!$B$8/2)^2)-(((324-43)*MAX('Inputs'!$B$33,'Inputs'!$B$29+'Inputs'!$B$31+'Inputs'!$B$32,'Inputs'!$B$30+'Inputs'!$B$31+'Inputs'!$B$32)/1000+'Inputs'!$B$21+'Inputs'!$B$7+'Inputs'!$B$10))/SQRT((((324-43)*MAX('Inputs'!$B$33,'Inputs'!$B$29+'Inputs'!$B$31+'Inputs'!$B$32,'Inputs'!$B$30+'Inputs'!$B$31+'Inputs'!$B$32)/1000+'Inputs'!$B$21+'Inputs'!$B$7+'Inputs'!$B$10))^2+('Inputs'!$B$8/2)^2))))*'Results'!$B$8),"")</x:f>
        <x:v>27.21401656904712</x:v>
      </x:c>
      <x:c r="K324" t="n">
        <x:f>IF(AND(ISNUMBER('Results'!B7),ISNUMBER('Results'!C7),ISNUMBER('Results'!$B$8),ISNUMBER('Inputs'!$B$6),ISNUMBER('Inputs'!$B$7),ISNUMBER('Inputs'!$B$8),ISNUMBER('Inputs'!$B$9),ISNUMBER('Inputs'!$B$10),ISNUMBER('Inputs'!$B$21),ISNUMBER('Inputs'!$B$24),ISNUMBER('Inputs'!$B$28)),((('Results'!B7*(1-'Inputs'!$B$24)*(0.5*((((324-43)*MAX('Inputs'!$B$33,'Inputs'!$B$29+'Inputs'!$B$31+'Inputs'!$B$32,'Inputs'!$B$30+'Inputs'!$B$31+'Inputs'!$B$32)/1000+'Inputs'!$B$21)+'Inputs'!$B$7)/SQRT((((324-43)*MAX('Inputs'!$B$33,'Inputs'!$B$29+'Inputs'!$B$31+'Inputs'!$B$32,'Inputs'!$B$30+'Inputs'!$B$31+'Inputs'!$B$32)/1000+'Inputs'!$B$21)+'Inputs'!$B$7)^2+('Inputs'!$B$6/2)^2)-(((324-43)*MAX('Inputs'!$B$33,'Inputs'!$B$29+'Inputs'!$B$31+'Inputs'!$B$32,'Inputs'!$B$30+'Inputs'!$B$31+'Inputs'!$B$32)/1000+'Inputs'!$B$21))/SQRT((((324-43)*MAX('Inputs'!$B$33,'Inputs'!$B$29+'Inputs'!$B$31+'Inputs'!$B$32,'Inputs'!$B$30+'Inputs'!$B$31+'Inputs'!$B$32)/1000+'Inputs'!$B$21))^2+('Inputs'!$B$6/2)^2)))-'Results'!C7*(1+'Inputs'!$B$24)*(0.5*((((324-43)*MAX('Inputs'!$B$33,'Inputs'!$B$29+'Inputs'!$B$31+'Inputs'!$B$32,'Inputs'!$B$30+'Inputs'!$B$31+'Inputs'!$B$32)/1000+'Inputs'!$B$21+'Inputs'!$B$7+'Inputs'!$B$10)+'Inputs'!$B$9)/SQRT((((324-43)*MAX('Inputs'!$B$33,'Inputs'!$B$29+'Inputs'!$B$31+'Inputs'!$B$32,'Inputs'!$B$30+'Inputs'!$B$31+'Inputs'!$B$32)/1000+'Inputs'!$B$21+'Inputs'!$B$7+'Inputs'!$B$10)+'Inputs'!$B$9)^2+('Inputs'!$B$8/2)^2)-(((324-43)*MAX('Inputs'!$B$33,'Inputs'!$B$29+'Inputs'!$B$31+'Inputs'!$B$32,'Inputs'!$B$30+'Inputs'!$B$31+'Inputs'!$B$32)/1000+'Inputs'!$B$21+'Inputs'!$B$7+'Inputs'!$B$10))/SQRT((((324-43)*MAX('Inputs'!$B$33,'Inputs'!$B$29+'Inputs'!$B$31+'Inputs'!$B$32,'Inputs'!$B$30+'Inputs'!$B$31+'Inputs'!$B$32)/1000+'Inputs'!$B$21+'Inputs'!$B$7+'Inputs'!$B$10))^2+('Inputs'!$B$8/2)^2))))*'Results'!$B$8)-'Inputs'!$B$28*ABS((('Results'!B7*(1-'Inputs'!$B$24)*(0.5*((((324-43)*MAX('Inputs'!$B$33,'Inputs'!$B$29+'Inputs'!$B$31+'Inputs'!$B$32,'Inputs'!$B$30+'Inputs'!$B$31+'Inputs'!$B$32)/1000+'Inputs'!$B$21)+'Inputs'!$B$7)/SQRT((((324-43)*MAX('Inputs'!$B$33,'Inputs'!$B$29+'Inputs'!$B$31+'Inputs'!$B$32,'Inputs'!$B$30+'Inputs'!$B$31+'Inputs'!$B$32)/1000+'Inputs'!$B$21)+'Inputs'!$B$7)^2+('Inputs'!$B$6/2)^2)-(((324-43)*MAX('Inputs'!$B$33,'Inputs'!$B$29+'Inputs'!$B$31+'Inputs'!$B$32,'Inputs'!$B$30+'Inputs'!$B$31+'Inputs'!$B$32)/1000+'Inputs'!$B$21))/SQRT((((324-43)*MAX('Inputs'!$B$33,'Inputs'!$B$29+'Inputs'!$B$31+'Inputs'!$B$32,'Inputs'!$B$30+'Inputs'!$B$31+'Inputs'!$B$32)/1000+'Inputs'!$B$21))^2+('Inputs'!$B$6/2)^2)))-'Results'!C7*(1+'Inputs'!$B$24)*(0.5*((((324-43)*MAX('Inputs'!$B$33,'Inputs'!$B$29+'Inputs'!$B$31+'Inputs'!$B$32,'Inputs'!$B$30+'Inputs'!$B$31+'Inputs'!$B$32)/1000+'Inputs'!$B$21+'Inputs'!$B$7+'Inputs'!$B$10)+'Inputs'!$B$9)/SQRT((((324-43)*MAX('Inputs'!$B$33,'Inputs'!$B$29+'Inputs'!$B$31+'Inputs'!$B$32,'Inputs'!$B$30+'Inputs'!$B$31+'Inputs'!$B$32)/1000+'Inputs'!$B$21+'Inputs'!$B$7+'Inputs'!$B$10)+'Inputs'!$B$9)^2+('Inputs'!$B$8/2)^2)-(((324-43)*MAX('Inputs'!$B$33,'Inputs'!$B$29+'Inputs'!$B$31+'Inputs'!$B$32,'Inputs'!$B$30+'Inputs'!$B$31+'Inputs'!$B$32)/1000+'Inputs'!$B$21+'Inputs'!$B$7+'Inputs'!$B$10))/SQRT((((324-43)*MAX('Inputs'!$B$33,'Inputs'!$B$29+'Inputs'!$B$31+'Inputs'!$B$32,'Inputs'!$B$30+'Inputs'!$B$31+'Inputs'!$B$32)/1000+'Inputs'!$B$21+'Inputs'!$B$7+'Inputs'!$B$10))^2+('Inputs'!$B$8/2)^2))))*'Results'!$B$8))),"")</x:f>
        <x:v>24.678949520520067</x:v>
      </x:c>
      <x:c r="L324" t="n">
        <x:f>IF(AND(ISNUMBER('Results'!B7),ISNUMBER('Results'!C7),ISNUMBER('Results'!$B$8),ISNUMBER('Inputs'!$B$6),ISNUMBER('Inputs'!$B$7),ISNUMBER('Inputs'!$B$8),ISNUMBER('Inputs'!$B$9),ISNUMBER('Inputs'!$B$10),ISNUMBER('Inputs'!$B$21),ISNUMBER('Inputs'!$B$24),ISNUMBER('Inputs'!$B$28)),((('Results'!B7*(1+'Inputs'!$B$24)*(0.5*((((324-43)*MAX('Inputs'!$B$33,'Inputs'!$B$29+'Inputs'!$B$31+'Inputs'!$B$32,'Inputs'!$B$30+'Inputs'!$B$31+'Inputs'!$B$32)/1000+'Inputs'!$B$21)+'Inputs'!$B$7)/SQRT((((324-43)*MAX('Inputs'!$B$33,'Inputs'!$B$29+'Inputs'!$B$31+'Inputs'!$B$32,'Inputs'!$B$30+'Inputs'!$B$31+'Inputs'!$B$32)/1000+'Inputs'!$B$21)+'Inputs'!$B$7)^2+('Inputs'!$B$6/2)^2)-(((324-43)*MAX('Inputs'!$B$33,'Inputs'!$B$29+'Inputs'!$B$31+'Inputs'!$B$32,'Inputs'!$B$30+'Inputs'!$B$31+'Inputs'!$B$32)/1000+'Inputs'!$B$21))/SQRT((((324-43)*MAX('Inputs'!$B$33,'Inputs'!$B$29+'Inputs'!$B$31+'Inputs'!$B$32,'Inputs'!$B$30+'Inputs'!$B$31+'Inputs'!$B$32)/1000+'Inputs'!$B$21))^2+('Inputs'!$B$6/2)^2)))-'Results'!C7*(1-'Inputs'!$B$24)*(0.5*((((324-43)*MAX('Inputs'!$B$33,'Inputs'!$B$29+'Inputs'!$B$31+'Inputs'!$B$32,'Inputs'!$B$30+'Inputs'!$B$31+'Inputs'!$B$32)/1000+'Inputs'!$B$21+'Inputs'!$B$7+'Inputs'!$B$10)+'Inputs'!$B$9)/SQRT((((324-43)*MAX('Inputs'!$B$33,'Inputs'!$B$29+'Inputs'!$B$31+'Inputs'!$B$32,'Inputs'!$B$30+'Inputs'!$B$31+'Inputs'!$B$32)/1000+'Inputs'!$B$21+'Inputs'!$B$7+'Inputs'!$B$10)+'Inputs'!$B$9)^2+('Inputs'!$B$8/2)^2)-(((324-43)*MAX('Inputs'!$B$33,'Inputs'!$B$29+'Inputs'!$B$31+'Inputs'!$B$32,'Inputs'!$B$30+'Inputs'!$B$31+'Inputs'!$B$32)/1000+'Inputs'!$B$21+'Inputs'!$B$7+'Inputs'!$B$10))/SQRT((((324-43)*MAX('Inputs'!$B$33,'Inputs'!$B$29+'Inputs'!$B$31+'Inputs'!$B$32,'Inputs'!$B$30+'Inputs'!$B$31+'Inputs'!$B$32)/1000+'Inputs'!$B$21+'Inputs'!$B$7+'Inputs'!$B$10))^2+('Inputs'!$B$8/2)^2))))*'Results'!$B$8)+'Inputs'!$B$28*ABS((('Results'!B7*(1+'Inputs'!$B$24)*(0.5*((((324-43)*MAX('Inputs'!$B$33,'Inputs'!$B$29+'Inputs'!$B$31+'Inputs'!$B$32,'Inputs'!$B$30+'Inputs'!$B$31+'Inputs'!$B$32)/1000+'Inputs'!$B$21)+'Inputs'!$B$7)/SQRT((((324-43)*MAX('Inputs'!$B$33,'Inputs'!$B$29+'Inputs'!$B$31+'Inputs'!$B$32,'Inputs'!$B$30+'Inputs'!$B$31+'Inputs'!$B$32)/1000+'Inputs'!$B$21)+'Inputs'!$B$7)^2+('Inputs'!$B$6/2)^2)-(((324-43)*MAX('Inputs'!$B$33,'Inputs'!$B$29+'Inputs'!$B$31+'Inputs'!$B$32,'Inputs'!$B$30+'Inputs'!$B$31+'Inputs'!$B$32)/1000+'Inputs'!$B$21))/SQRT((((324-43)*MAX('Inputs'!$B$33,'Inputs'!$B$29+'Inputs'!$B$31+'Inputs'!$B$32,'Inputs'!$B$30+'Inputs'!$B$31+'Inputs'!$B$32)/1000+'Inputs'!$B$21))^2+('Inputs'!$B$6/2)^2)))-'Results'!C7*(1-'Inputs'!$B$24)*(0.5*((((324-43)*MAX('Inputs'!$B$33,'Inputs'!$B$29+'Inputs'!$B$31+'Inputs'!$B$32,'Inputs'!$B$30+'Inputs'!$B$31+'Inputs'!$B$32)/1000+'Inputs'!$B$21+'Inputs'!$B$7+'Inputs'!$B$10)+'Inputs'!$B$9)/SQRT((((324-43)*MAX('Inputs'!$B$33,'Inputs'!$B$29+'Inputs'!$B$31+'Inputs'!$B$32,'Inputs'!$B$30+'Inputs'!$B$31+'Inputs'!$B$32)/1000+'Inputs'!$B$21+'Inputs'!$B$7+'Inputs'!$B$10)+'Inputs'!$B$9)^2+('Inputs'!$B$8/2)^2)-(((324-43)*MAX('Inputs'!$B$33,'Inputs'!$B$29+'Inputs'!$B$31+'Inputs'!$B$32,'Inputs'!$B$30+'Inputs'!$B$31+'Inputs'!$B$32)/1000+'Inputs'!$B$21+'Inputs'!$B$7+'Inputs'!$B$10))/SQRT((((324-43)*MAX('Inputs'!$B$33,'Inputs'!$B$29+'Inputs'!$B$31+'Inputs'!$B$32,'Inputs'!$B$30+'Inputs'!$B$31+'Inputs'!$B$32)/1000+'Inputs'!$B$21+'Inputs'!$B$7+'Inputs'!$B$10))^2+('Inputs'!$B$8/2)^2))))*'Results'!$B$8))),"")</x:f>
        <x:v>29.872701114424135</x:v>
      </x:c>
      <x:c r="M324" t="n">
        <x:f>IF(AND(ISNUMBER('Results'!C7),ISNUMBER('Results'!B7),ISNUMBER('Results'!$B$8),ISNUMBER('Inputs'!$B$6),ISNUMBER('Inputs'!$B$7),ISNUMBER('Inputs'!$B$8),ISNUMBER('Inputs'!$B$9),ISNUMBER('Inputs'!$B$10),ISNUMBER('Inputs'!$B$21),ISNUMBER('Inputs'!$B$24),ISNUMBER('Inputs'!$B$28)),(('Results'!C7*(0.5*((((324-43)*MAX('Inputs'!$B$33,'Inputs'!$B$29+'Inputs'!$B$31+'Inputs'!$B$32,'Inputs'!$B$30+'Inputs'!$B$31+'Inputs'!$B$32)/1000+'Inputs'!$B$21)+'Inputs'!$B$9)/SQRT((((324-43)*MAX('Inputs'!$B$33,'Inputs'!$B$29+'Inputs'!$B$31+'Inputs'!$B$32,'Inputs'!$B$30+'Inputs'!$B$31+'Inputs'!$B$32)/1000+'Inputs'!$B$21)+'Inputs'!$B$9)^2+('Inputs'!$B$8/2)^2)-(((324-43)*MAX('Inputs'!$B$33,'Inputs'!$B$29+'Inputs'!$B$31+'Inputs'!$B$32,'Inputs'!$B$30+'Inputs'!$B$31+'Inputs'!$B$32)/1000+'Inputs'!$B$21))/SQRT((((324-43)*MAX('Inputs'!$B$33,'Inputs'!$B$29+'Inputs'!$B$31+'Inputs'!$B$32,'Inputs'!$B$30+'Inputs'!$B$31+'Inputs'!$B$32)/1000+'Inputs'!$B$21))^2+('Inputs'!$B$8/2)^2)))-'Results'!B7*(0.5*((((324-43)*MAX('Inputs'!$B$33,'Inputs'!$B$29+'Inputs'!$B$31+'Inputs'!$B$32,'Inputs'!$B$30+'Inputs'!$B$31+'Inputs'!$B$32)/1000+'Inputs'!$B$21+'Inputs'!$B$9+'Inputs'!$B$10)+'Inputs'!$B$7)/SQRT((((324-43)*MAX('Inputs'!$B$33,'Inputs'!$B$29+'Inputs'!$B$31+'Inputs'!$B$32,'Inputs'!$B$30+'Inputs'!$B$31+'Inputs'!$B$32)/1000+'Inputs'!$B$21+'Inputs'!$B$9+'Inputs'!$B$10)+'Inputs'!$B$7)^2+('Inputs'!$B$6/2)^2)-(((324-43)*MAX('Inputs'!$B$33,'Inputs'!$B$29+'Inputs'!$B$31+'Inputs'!$B$32,'Inputs'!$B$30+'Inputs'!$B$31+'Inputs'!$B$32)/1000+'Inputs'!$B$21+'Inputs'!$B$9+'Inputs'!$B$10))/SQRT((((324-43)*MAX('Inputs'!$B$33,'Inputs'!$B$29+'Inputs'!$B$31+'Inputs'!$B$32,'Inputs'!$B$30+'Inputs'!$B$31+'Inputs'!$B$32)/1000+'Inputs'!$B$21+'Inputs'!$B$9+'Inputs'!$B$10))^2+('Inputs'!$B$6/2)^2))))*'Results'!$B$8),"")</x:f>
        <x:v>25.970781451189083</x:v>
      </x:c>
      <x:c r="N324" t="n">
        <x:f>IF(AND(ISNUMBER('Results'!C7),ISNUMBER('Results'!B7),ISNUMBER('Results'!$B$8),ISNUMBER('Inputs'!$B$6),ISNUMBER('Inputs'!$B$7),ISNUMBER('Inputs'!$B$8),ISNUMBER('Inputs'!$B$9),ISNUMBER('Inputs'!$B$10),ISNUMBER('Inputs'!$B$21),ISNUMBER('Inputs'!$B$24),ISNUMBER('Inputs'!$B$28)),((('Results'!C7*(1-'Inputs'!$B$24)*(0.5*((((324-43)*MAX('Inputs'!$B$33,'Inputs'!$B$29+'Inputs'!$B$31+'Inputs'!$B$32,'Inputs'!$B$30+'Inputs'!$B$31+'Inputs'!$B$32)/1000+'Inputs'!$B$21)+'Inputs'!$B$9)/SQRT((((324-43)*MAX('Inputs'!$B$33,'Inputs'!$B$29+'Inputs'!$B$31+'Inputs'!$B$32,'Inputs'!$B$30+'Inputs'!$B$31+'Inputs'!$B$32)/1000+'Inputs'!$B$21)+'Inputs'!$B$9)^2+('Inputs'!$B$8/2)^2)-(((324-43)*MAX('Inputs'!$B$33,'Inputs'!$B$29+'Inputs'!$B$31+'Inputs'!$B$32,'Inputs'!$B$30+'Inputs'!$B$31+'Inputs'!$B$32)/1000+'Inputs'!$B$21))/SQRT((((324-43)*MAX('Inputs'!$B$33,'Inputs'!$B$29+'Inputs'!$B$31+'Inputs'!$B$32,'Inputs'!$B$30+'Inputs'!$B$31+'Inputs'!$B$32)/1000+'Inputs'!$B$21))^2+('Inputs'!$B$8/2)^2)))-'Results'!B7*(1+'Inputs'!$B$24)*(0.5*((((324-43)*MAX('Inputs'!$B$33,'Inputs'!$B$29+'Inputs'!$B$31+'Inputs'!$B$32,'Inputs'!$B$30+'Inputs'!$B$31+'Inputs'!$B$32)/1000+'Inputs'!$B$21+'Inputs'!$B$9+'Inputs'!$B$10)+'Inputs'!$B$7)/SQRT((((324-43)*MAX('Inputs'!$B$33,'Inputs'!$B$29+'Inputs'!$B$31+'Inputs'!$B$32,'Inputs'!$B$30+'Inputs'!$B$31+'Inputs'!$B$32)/1000+'Inputs'!$B$21+'Inputs'!$B$9+'Inputs'!$B$10)+'Inputs'!$B$7)^2+('Inputs'!$B$6/2)^2)-(((324-43)*MAX('Inputs'!$B$33,'Inputs'!$B$29+'Inputs'!$B$31+'Inputs'!$B$32,'Inputs'!$B$30+'Inputs'!$B$31+'Inputs'!$B$32)/1000+'Inputs'!$B$21+'Inputs'!$B$9+'Inputs'!$B$10))/SQRT((((324-43)*MAX('Inputs'!$B$33,'Inputs'!$B$29+'Inputs'!$B$31+'Inputs'!$B$32,'Inputs'!$B$30+'Inputs'!$B$31+'Inputs'!$B$32)/1000+'Inputs'!$B$21+'Inputs'!$B$9+'Inputs'!$B$10))^2+('Inputs'!$B$6/2)^2))))*'Results'!$B$8)-'Inputs'!$B$28*ABS((('Results'!C7*(1-'Inputs'!$B$24)*(0.5*((((324-43)*MAX('Inputs'!$B$33,'Inputs'!$B$29+'Inputs'!$B$31+'Inputs'!$B$32,'Inputs'!$B$30+'Inputs'!$B$31+'Inputs'!$B$32)/1000+'Inputs'!$B$21)+'Inputs'!$B$9)/SQRT((((324-43)*MAX('Inputs'!$B$33,'Inputs'!$B$29+'Inputs'!$B$31+'Inputs'!$B$32,'Inputs'!$B$30+'Inputs'!$B$31+'Inputs'!$B$32)/1000+'Inputs'!$B$21)+'Inputs'!$B$9)^2+('Inputs'!$B$8/2)^2)-(((324-43)*MAX('Inputs'!$B$33,'Inputs'!$B$29+'Inputs'!$B$31+'Inputs'!$B$32,'Inputs'!$B$30+'Inputs'!$B$31+'Inputs'!$B$32)/1000+'Inputs'!$B$21))/SQRT((((324-43)*MAX('Inputs'!$B$33,'Inputs'!$B$29+'Inputs'!$B$31+'Inputs'!$B$32,'Inputs'!$B$30+'Inputs'!$B$31+'Inputs'!$B$32)/1000+'Inputs'!$B$21))^2+('Inputs'!$B$8/2)^2)))-'Results'!B7*(1+'Inputs'!$B$24)*(0.5*((((324-43)*MAX('Inputs'!$B$33,'Inputs'!$B$29+'Inputs'!$B$31+'Inputs'!$B$32,'Inputs'!$B$30+'Inputs'!$B$31+'Inputs'!$B$32)/1000+'Inputs'!$B$21+'Inputs'!$B$9+'Inputs'!$B$10)+'Inputs'!$B$7)/SQRT((((324-43)*MAX('Inputs'!$B$33,'Inputs'!$B$29+'Inputs'!$B$31+'Inputs'!$B$32,'Inputs'!$B$30+'Inputs'!$B$31+'Inputs'!$B$32)/1000+'Inputs'!$B$21+'Inputs'!$B$9+'Inputs'!$B$10)+'Inputs'!$B$7)^2+('Inputs'!$B$6/2)^2)-(((324-43)*MAX('Inputs'!$B$33,'Inputs'!$B$29+'Inputs'!$B$31+'Inputs'!$B$32,'Inputs'!$B$30+'Inputs'!$B$31+'Inputs'!$B$32)/1000+'Inputs'!$B$21+'Inputs'!$B$9+'Inputs'!$B$10))/SQRT((((324-43)*MAX('Inputs'!$B$33,'Inputs'!$B$29+'Inputs'!$B$31+'Inputs'!$B$32,'Inputs'!$B$30+'Inputs'!$B$31+'Inputs'!$B$32)/1000+'Inputs'!$B$21+'Inputs'!$B$9+'Inputs'!$B$10))^2+('Inputs'!$B$6/2)^2))))*'Results'!$B$8))),"")</x:f>
        <x:v>23.508083342013368</x:v>
      </x:c>
      <x:c r="O324" t="n">
        <x:f>IF(AND(ISNUMBER('Results'!C7),ISNUMBER('Results'!B7),ISNUMBER('Results'!$B$8),ISNUMBER('Inputs'!$B$6),ISNUMBER('Inputs'!$B$7),ISNUMBER('Inputs'!$B$8),ISNUMBER('Inputs'!$B$9),ISNUMBER('Inputs'!$B$10),ISNUMBER('Inputs'!$B$21),ISNUMBER('Inputs'!$B$24),ISNUMBER('Inputs'!$B$28)),((('Results'!C7*(1+'Inputs'!$B$24)*(0.5*((((324-43)*MAX('Inputs'!$B$33,'Inputs'!$B$29+'Inputs'!$B$31+'Inputs'!$B$32,'Inputs'!$B$30+'Inputs'!$B$31+'Inputs'!$B$32)/1000+'Inputs'!$B$21)+'Inputs'!$B$9)/SQRT((((324-43)*MAX('Inputs'!$B$33,'Inputs'!$B$29+'Inputs'!$B$31+'Inputs'!$B$32,'Inputs'!$B$30+'Inputs'!$B$31+'Inputs'!$B$32)/1000+'Inputs'!$B$21)+'Inputs'!$B$9)^2+('Inputs'!$B$8/2)^2)-(((324-43)*MAX('Inputs'!$B$33,'Inputs'!$B$29+'Inputs'!$B$31+'Inputs'!$B$32,'Inputs'!$B$30+'Inputs'!$B$31+'Inputs'!$B$32)/1000+'Inputs'!$B$21))/SQRT((((324-43)*MAX('Inputs'!$B$33,'Inputs'!$B$29+'Inputs'!$B$31+'Inputs'!$B$32,'Inputs'!$B$30+'Inputs'!$B$31+'Inputs'!$B$32)/1000+'Inputs'!$B$21))^2+('Inputs'!$B$8/2)^2)))-'Results'!B7*(1-'Inputs'!$B$24)*(0.5*((((324-43)*MAX('Inputs'!$B$33,'Inputs'!$B$29+'Inputs'!$B$31+'Inputs'!$B$32,'Inputs'!$B$30+'Inputs'!$B$31+'Inputs'!$B$32)/1000+'Inputs'!$B$21+'Inputs'!$B$9+'Inputs'!$B$10)+'Inputs'!$B$7)/SQRT((((324-43)*MAX('Inputs'!$B$33,'Inputs'!$B$29+'Inputs'!$B$31+'Inputs'!$B$32,'Inputs'!$B$30+'Inputs'!$B$31+'Inputs'!$B$32)/1000+'Inputs'!$B$21+'Inputs'!$B$9+'Inputs'!$B$10)+'Inputs'!$B$7)^2+('Inputs'!$B$6/2)^2)-(((324-43)*MAX('Inputs'!$B$33,'Inputs'!$B$29+'Inputs'!$B$31+'Inputs'!$B$32,'Inputs'!$B$30+'Inputs'!$B$31+'Inputs'!$B$32)/1000+'Inputs'!$B$21+'Inputs'!$B$9+'Inputs'!$B$10))/SQRT((((324-43)*MAX('Inputs'!$B$33,'Inputs'!$B$29+'Inputs'!$B$31+'Inputs'!$B$32,'Inputs'!$B$30+'Inputs'!$B$31+'Inputs'!$B$32)/1000+'Inputs'!$B$21+'Inputs'!$B$9+'Inputs'!$B$10))^2+('Inputs'!$B$6/2)^2))))*'Results'!$B$8)+'Inputs'!$B$28*ABS((('Results'!C7*(1+'Inputs'!$B$24)*(0.5*((((324-43)*MAX('Inputs'!$B$33,'Inputs'!$B$29+'Inputs'!$B$31+'Inputs'!$B$32,'Inputs'!$B$30+'Inputs'!$B$31+'Inputs'!$B$32)/1000+'Inputs'!$B$21)+'Inputs'!$B$9)/SQRT((((324-43)*MAX('Inputs'!$B$33,'Inputs'!$B$29+'Inputs'!$B$31+'Inputs'!$B$32,'Inputs'!$B$30+'Inputs'!$B$31+'Inputs'!$B$32)/1000+'Inputs'!$B$21)+'Inputs'!$B$9)^2+('Inputs'!$B$8/2)^2)-(((324-43)*MAX('Inputs'!$B$33,'Inputs'!$B$29+'Inputs'!$B$31+'Inputs'!$B$32,'Inputs'!$B$30+'Inputs'!$B$31+'Inputs'!$B$32)/1000+'Inputs'!$B$21))/SQRT((((324-43)*MAX('Inputs'!$B$33,'Inputs'!$B$29+'Inputs'!$B$31+'Inputs'!$B$32,'Inputs'!$B$30+'Inputs'!$B$31+'Inputs'!$B$32)/1000+'Inputs'!$B$21))^2+('Inputs'!$B$8/2)^2)))-'Results'!B7*(1-'Inputs'!$B$24)*(0.5*((((324-43)*MAX('Inputs'!$B$33,'Inputs'!$B$29+'Inputs'!$B$31+'Inputs'!$B$32,'Inputs'!$B$30+'Inputs'!$B$31+'Inputs'!$B$32)/1000+'Inputs'!$B$21+'Inputs'!$B$9+'Inputs'!$B$10)+'Inputs'!$B$7)/SQRT((((324-43)*MAX('Inputs'!$B$33,'Inputs'!$B$29+'Inputs'!$B$31+'Inputs'!$B$32,'Inputs'!$B$30+'Inputs'!$B$31+'Inputs'!$B$32)/1000+'Inputs'!$B$21+'Inputs'!$B$9+'Inputs'!$B$10)+'Inputs'!$B$7)^2+('Inputs'!$B$6/2)^2)-(((324-43)*MAX('Inputs'!$B$33,'Inputs'!$B$29+'Inputs'!$B$31+'Inputs'!$B$32,'Inputs'!$B$30+'Inputs'!$B$31+'Inputs'!$B$32)/1000+'Inputs'!$B$21+'Inputs'!$B$9+'Inputs'!$B$10))/SQRT((((324-43)*MAX('Inputs'!$B$33,'Inputs'!$B$29+'Inputs'!$B$31+'Inputs'!$B$32,'Inputs'!$B$30+'Inputs'!$B$31+'Inputs'!$B$32)/1000+'Inputs'!$B$21+'Inputs'!$B$9+'Inputs'!$B$10))^2+('Inputs'!$B$6/2)^2))))*'Results'!$B$8))),"")</x:f>
        <x:v>28.556022616850733</x:v>
      </x:c>
      <x:c r="P324" t="n">
        <x:f>IF(AND(MAX(J324,J323)&gt;0,J324&gt;J323+0.00000001),1,0)</x:f>
        <x:v>0</x:v>
      </x:c>
      <x:c r="Q324" t="n">
        <x:f>IF(AND(MAX(K324,K323)&gt;0,K324&gt;K323+0.00000001),1,0)</x:f>
        <x:v>0</x:v>
      </x:c>
      <x:c r="R324" t="n">
        <x:f>IF(AND(MAX(L324,L323)&gt;0,L324&gt;L323+0.00000001),1,0)</x:f>
        <x:v>0</x:v>
      </x:c>
      <x:c r="S324" t="n">
        <x:f>IF(AND(MAX(M324,M323)&gt;0,M324&gt;M323+0.00000001),1,0)</x:f>
        <x:v>0</x:v>
      </x:c>
      <x:c r="T324" t="n">
        <x:f>IF(AND(MAX(N324,N323)&gt;0,N324&gt;N323+0.00000001),1,0)</x:f>
        <x:v>0</x:v>
      </x:c>
      <x:c r="U324" t="n">
        <x:f>IF(AND(MAX(O324,O323)&gt;0,O324&gt;O323+0.00000001),1,0)</x:f>
        <x:v>0</x:v>
      </x:c>
    </x:row>
    <x:row r="325">
      <x:c r="J325" t="n">
        <x:f>IF(AND(ISNUMBER('Results'!B7),ISNUMBER('Results'!C7),ISNUMBER('Results'!$B$8),ISNUMBER('Inputs'!$B$6),ISNUMBER('Inputs'!$B$7),ISNUMBER('Inputs'!$B$8),ISNUMBER('Inputs'!$B$9),ISNUMBER('Inputs'!$B$10),ISNUMBER('Inputs'!$B$21),ISNUMBER('Inputs'!$B$24),ISNUMBER('Inputs'!$B$28)),(('Results'!B7*(0.5*((((325-43)*MAX('Inputs'!$B$33,'Inputs'!$B$29+'Inputs'!$B$31+'Inputs'!$B$32,'Inputs'!$B$30+'Inputs'!$B$31+'Inputs'!$B$32)/1000+'Inputs'!$B$21)+'Inputs'!$B$7)/SQRT((((325-43)*MAX('Inputs'!$B$33,'Inputs'!$B$29+'Inputs'!$B$31+'Inputs'!$B$32,'Inputs'!$B$30+'Inputs'!$B$31+'Inputs'!$B$32)/1000+'Inputs'!$B$21)+'Inputs'!$B$7)^2+('Inputs'!$B$6/2)^2)-(((325-43)*MAX('Inputs'!$B$33,'Inputs'!$B$29+'Inputs'!$B$31+'Inputs'!$B$32,'Inputs'!$B$30+'Inputs'!$B$31+'Inputs'!$B$32)/1000+'Inputs'!$B$21))/SQRT((((325-43)*MAX('Inputs'!$B$33,'Inputs'!$B$29+'Inputs'!$B$31+'Inputs'!$B$32,'Inputs'!$B$30+'Inputs'!$B$31+'Inputs'!$B$32)/1000+'Inputs'!$B$21))^2+('Inputs'!$B$6/2)^2)))-'Results'!C7*(0.5*((((325-43)*MAX('Inputs'!$B$33,'Inputs'!$B$29+'Inputs'!$B$31+'Inputs'!$B$32,'Inputs'!$B$30+'Inputs'!$B$31+'Inputs'!$B$32)/1000+'Inputs'!$B$21+'Inputs'!$B$7+'Inputs'!$B$10)+'Inputs'!$B$9)/SQRT((((325-43)*MAX('Inputs'!$B$33,'Inputs'!$B$29+'Inputs'!$B$31+'Inputs'!$B$32,'Inputs'!$B$30+'Inputs'!$B$31+'Inputs'!$B$32)/1000+'Inputs'!$B$21+'Inputs'!$B$7+'Inputs'!$B$10)+'Inputs'!$B$9)^2+('Inputs'!$B$8/2)^2)-(((325-43)*MAX('Inputs'!$B$33,'Inputs'!$B$29+'Inputs'!$B$31+'Inputs'!$B$32,'Inputs'!$B$30+'Inputs'!$B$31+'Inputs'!$B$32)/1000+'Inputs'!$B$21+'Inputs'!$B$7+'Inputs'!$B$10))/SQRT((((325-43)*MAX('Inputs'!$B$33,'Inputs'!$B$29+'Inputs'!$B$31+'Inputs'!$B$32,'Inputs'!$B$30+'Inputs'!$B$31+'Inputs'!$B$32)/1000+'Inputs'!$B$21+'Inputs'!$B$7+'Inputs'!$B$10))^2+('Inputs'!$B$8/2)^2))))*'Results'!$B$8),"")</x:f>
        <x:v>26.91994857691929</x:v>
      </x:c>
      <x:c r="K325" t="n">
        <x:f>IF(AND(ISNUMBER('Results'!B7),ISNUMBER('Results'!C7),ISNUMBER('Results'!$B$8),ISNUMBER('Inputs'!$B$6),ISNUMBER('Inputs'!$B$7),ISNUMBER('Inputs'!$B$8),ISNUMBER('Inputs'!$B$9),ISNUMBER('Inputs'!$B$10),ISNUMBER('Inputs'!$B$21),ISNUMBER('Inputs'!$B$24),ISNUMBER('Inputs'!$B$28)),((('Results'!B7*(1-'Inputs'!$B$24)*(0.5*((((325-43)*MAX('Inputs'!$B$33,'Inputs'!$B$29+'Inputs'!$B$31+'Inputs'!$B$32,'Inputs'!$B$30+'Inputs'!$B$31+'Inputs'!$B$32)/1000+'Inputs'!$B$21)+'Inputs'!$B$7)/SQRT((((325-43)*MAX('Inputs'!$B$33,'Inputs'!$B$29+'Inputs'!$B$31+'Inputs'!$B$32,'Inputs'!$B$30+'Inputs'!$B$31+'Inputs'!$B$32)/1000+'Inputs'!$B$21)+'Inputs'!$B$7)^2+('Inputs'!$B$6/2)^2)-(((325-43)*MAX('Inputs'!$B$33,'Inputs'!$B$29+'Inputs'!$B$31+'Inputs'!$B$32,'Inputs'!$B$30+'Inputs'!$B$31+'Inputs'!$B$32)/1000+'Inputs'!$B$21))/SQRT((((325-43)*MAX('Inputs'!$B$33,'Inputs'!$B$29+'Inputs'!$B$31+'Inputs'!$B$32,'Inputs'!$B$30+'Inputs'!$B$31+'Inputs'!$B$32)/1000+'Inputs'!$B$21))^2+('Inputs'!$B$6/2)^2)))-'Results'!C7*(1+'Inputs'!$B$24)*(0.5*((((325-43)*MAX('Inputs'!$B$33,'Inputs'!$B$29+'Inputs'!$B$31+'Inputs'!$B$32,'Inputs'!$B$30+'Inputs'!$B$31+'Inputs'!$B$32)/1000+'Inputs'!$B$21+'Inputs'!$B$7+'Inputs'!$B$10)+'Inputs'!$B$9)/SQRT((((325-43)*MAX('Inputs'!$B$33,'Inputs'!$B$29+'Inputs'!$B$31+'Inputs'!$B$32,'Inputs'!$B$30+'Inputs'!$B$31+'Inputs'!$B$32)/1000+'Inputs'!$B$21+'Inputs'!$B$7+'Inputs'!$B$10)+'Inputs'!$B$9)^2+('Inputs'!$B$8/2)^2)-(((325-43)*MAX('Inputs'!$B$33,'Inputs'!$B$29+'Inputs'!$B$31+'Inputs'!$B$32,'Inputs'!$B$30+'Inputs'!$B$31+'Inputs'!$B$32)/1000+'Inputs'!$B$21+'Inputs'!$B$7+'Inputs'!$B$10))/SQRT((((325-43)*MAX('Inputs'!$B$33,'Inputs'!$B$29+'Inputs'!$B$31+'Inputs'!$B$32,'Inputs'!$B$30+'Inputs'!$B$31+'Inputs'!$B$32)/1000+'Inputs'!$B$21+'Inputs'!$B$7+'Inputs'!$B$10))^2+('Inputs'!$B$8/2)^2))))*'Results'!$B$8)-'Inputs'!$B$28*ABS((('Results'!B7*(1-'Inputs'!$B$24)*(0.5*((((325-43)*MAX('Inputs'!$B$33,'Inputs'!$B$29+'Inputs'!$B$31+'Inputs'!$B$32,'Inputs'!$B$30+'Inputs'!$B$31+'Inputs'!$B$32)/1000+'Inputs'!$B$21)+'Inputs'!$B$7)/SQRT((((325-43)*MAX('Inputs'!$B$33,'Inputs'!$B$29+'Inputs'!$B$31+'Inputs'!$B$32,'Inputs'!$B$30+'Inputs'!$B$31+'Inputs'!$B$32)/1000+'Inputs'!$B$21)+'Inputs'!$B$7)^2+('Inputs'!$B$6/2)^2)-(((325-43)*MAX('Inputs'!$B$33,'Inputs'!$B$29+'Inputs'!$B$31+'Inputs'!$B$32,'Inputs'!$B$30+'Inputs'!$B$31+'Inputs'!$B$32)/1000+'Inputs'!$B$21))/SQRT((((325-43)*MAX('Inputs'!$B$33,'Inputs'!$B$29+'Inputs'!$B$31+'Inputs'!$B$32,'Inputs'!$B$30+'Inputs'!$B$31+'Inputs'!$B$32)/1000+'Inputs'!$B$21))^2+('Inputs'!$B$6/2)^2)))-'Results'!C7*(1+'Inputs'!$B$24)*(0.5*((((325-43)*MAX('Inputs'!$B$33,'Inputs'!$B$29+'Inputs'!$B$31+'Inputs'!$B$32,'Inputs'!$B$30+'Inputs'!$B$31+'Inputs'!$B$32)/1000+'Inputs'!$B$21+'Inputs'!$B$7+'Inputs'!$B$10)+'Inputs'!$B$9)/SQRT((((325-43)*MAX('Inputs'!$B$33,'Inputs'!$B$29+'Inputs'!$B$31+'Inputs'!$B$32,'Inputs'!$B$30+'Inputs'!$B$31+'Inputs'!$B$32)/1000+'Inputs'!$B$21+'Inputs'!$B$7+'Inputs'!$B$10)+'Inputs'!$B$9)^2+('Inputs'!$B$8/2)^2)-(((325-43)*MAX('Inputs'!$B$33,'Inputs'!$B$29+'Inputs'!$B$31+'Inputs'!$B$32,'Inputs'!$B$30+'Inputs'!$B$31+'Inputs'!$B$32)/1000+'Inputs'!$B$21+'Inputs'!$B$7+'Inputs'!$B$10))/SQRT((((325-43)*MAX('Inputs'!$B$33,'Inputs'!$B$29+'Inputs'!$B$31+'Inputs'!$B$32,'Inputs'!$B$30+'Inputs'!$B$31+'Inputs'!$B$32)/1000+'Inputs'!$B$21+'Inputs'!$B$7+'Inputs'!$B$10))^2+('Inputs'!$B$8/2)^2))))*'Results'!$B$8))),"")</x:f>
        <x:v>24.409741808601684</x:v>
      </x:c>
      <x:c r="L325" t="n">
        <x:f>IF(AND(ISNUMBER('Results'!B7),ISNUMBER('Results'!C7),ISNUMBER('Results'!$B$8),ISNUMBER('Inputs'!$B$6),ISNUMBER('Inputs'!$B$7),ISNUMBER('Inputs'!$B$8),ISNUMBER('Inputs'!$B$9),ISNUMBER('Inputs'!$B$10),ISNUMBER('Inputs'!$B$21),ISNUMBER('Inputs'!$B$24),ISNUMBER('Inputs'!$B$28)),((('Results'!B7*(1+'Inputs'!$B$24)*(0.5*((((325-43)*MAX('Inputs'!$B$33,'Inputs'!$B$29+'Inputs'!$B$31+'Inputs'!$B$32,'Inputs'!$B$30+'Inputs'!$B$31+'Inputs'!$B$32)/1000+'Inputs'!$B$21)+'Inputs'!$B$7)/SQRT((((325-43)*MAX('Inputs'!$B$33,'Inputs'!$B$29+'Inputs'!$B$31+'Inputs'!$B$32,'Inputs'!$B$30+'Inputs'!$B$31+'Inputs'!$B$32)/1000+'Inputs'!$B$21)+'Inputs'!$B$7)^2+('Inputs'!$B$6/2)^2)-(((325-43)*MAX('Inputs'!$B$33,'Inputs'!$B$29+'Inputs'!$B$31+'Inputs'!$B$32,'Inputs'!$B$30+'Inputs'!$B$31+'Inputs'!$B$32)/1000+'Inputs'!$B$21))/SQRT((((325-43)*MAX('Inputs'!$B$33,'Inputs'!$B$29+'Inputs'!$B$31+'Inputs'!$B$32,'Inputs'!$B$30+'Inputs'!$B$31+'Inputs'!$B$32)/1000+'Inputs'!$B$21))^2+('Inputs'!$B$6/2)^2)))-'Results'!C7*(1-'Inputs'!$B$24)*(0.5*((((325-43)*MAX('Inputs'!$B$33,'Inputs'!$B$29+'Inputs'!$B$31+'Inputs'!$B$32,'Inputs'!$B$30+'Inputs'!$B$31+'Inputs'!$B$32)/1000+'Inputs'!$B$21+'Inputs'!$B$7+'Inputs'!$B$10)+'Inputs'!$B$9)/SQRT((((325-43)*MAX('Inputs'!$B$33,'Inputs'!$B$29+'Inputs'!$B$31+'Inputs'!$B$32,'Inputs'!$B$30+'Inputs'!$B$31+'Inputs'!$B$32)/1000+'Inputs'!$B$21+'Inputs'!$B$7+'Inputs'!$B$10)+'Inputs'!$B$9)^2+('Inputs'!$B$8/2)^2)-(((325-43)*MAX('Inputs'!$B$33,'Inputs'!$B$29+'Inputs'!$B$31+'Inputs'!$B$32,'Inputs'!$B$30+'Inputs'!$B$31+'Inputs'!$B$32)/1000+'Inputs'!$B$21+'Inputs'!$B$7+'Inputs'!$B$10))/SQRT((((325-43)*MAX('Inputs'!$B$33,'Inputs'!$B$29+'Inputs'!$B$31+'Inputs'!$B$32,'Inputs'!$B$30+'Inputs'!$B$31+'Inputs'!$B$32)/1000+'Inputs'!$B$21+'Inputs'!$B$7+'Inputs'!$B$10))^2+('Inputs'!$B$8/2)^2))))*'Results'!$B$8)+'Inputs'!$B$28*ABS((('Results'!B7*(1+'Inputs'!$B$24)*(0.5*((((325-43)*MAX('Inputs'!$B$33,'Inputs'!$B$29+'Inputs'!$B$31+'Inputs'!$B$32,'Inputs'!$B$30+'Inputs'!$B$31+'Inputs'!$B$32)/1000+'Inputs'!$B$21)+'Inputs'!$B$7)/SQRT((((325-43)*MAX('Inputs'!$B$33,'Inputs'!$B$29+'Inputs'!$B$31+'Inputs'!$B$32,'Inputs'!$B$30+'Inputs'!$B$31+'Inputs'!$B$32)/1000+'Inputs'!$B$21)+'Inputs'!$B$7)^2+('Inputs'!$B$6/2)^2)-(((325-43)*MAX('Inputs'!$B$33,'Inputs'!$B$29+'Inputs'!$B$31+'Inputs'!$B$32,'Inputs'!$B$30+'Inputs'!$B$31+'Inputs'!$B$32)/1000+'Inputs'!$B$21))/SQRT((((325-43)*MAX('Inputs'!$B$33,'Inputs'!$B$29+'Inputs'!$B$31+'Inputs'!$B$32,'Inputs'!$B$30+'Inputs'!$B$31+'Inputs'!$B$32)/1000+'Inputs'!$B$21))^2+('Inputs'!$B$6/2)^2)))-'Results'!C7*(1-'Inputs'!$B$24)*(0.5*((((325-43)*MAX('Inputs'!$B$33,'Inputs'!$B$29+'Inputs'!$B$31+'Inputs'!$B$32,'Inputs'!$B$30+'Inputs'!$B$31+'Inputs'!$B$32)/1000+'Inputs'!$B$21+'Inputs'!$B$7+'Inputs'!$B$10)+'Inputs'!$B$9)/SQRT((((325-43)*MAX('Inputs'!$B$33,'Inputs'!$B$29+'Inputs'!$B$31+'Inputs'!$B$32,'Inputs'!$B$30+'Inputs'!$B$31+'Inputs'!$B$32)/1000+'Inputs'!$B$21+'Inputs'!$B$7+'Inputs'!$B$10)+'Inputs'!$B$9)^2+('Inputs'!$B$8/2)^2)-(((325-43)*MAX('Inputs'!$B$33,'Inputs'!$B$29+'Inputs'!$B$31+'Inputs'!$B$32,'Inputs'!$B$30+'Inputs'!$B$31+'Inputs'!$B$32)/1000+'Inputs'!$B$21+'Inputs'!$B$7+'Inputs'!$B$10))/SQRT((((325-43)*MAX('Inputs'!$B$33,'Inputs'!$B$29+'Inputs'!$B$31+'Inputs'!$B$32,'Inputs'!$B$30+'Inputs'!$B$31+'Inputs'!$B$32)/1000+'Inputs'!$B$21+'Inputs'!$B$7+'Inputs'!$B$10))^2+('Inputs'!$B$8/2)^2))))*'Results'!$B$8))),"")</x:f>
        <x:v>29.552703696760236</x:v>
      </x:c>
      <x:c r="M325" t="n">
        <x:f>IF(AND(ISNUMBER('Results'!C7),ISNUMBER('Results'!B7),ISNUMBER('Results'!$B$8),ISNUMBER('Inputs'!$B$6),ISNUMBER('Inputs'!$B$7),ISNUMBER('Inputs'!$B$8),ISNUMBER('Inputs'!$B$9),ISNUMBER('Inputs'!$B$10),ISNUMBER('Inputs'!$B$21),ISNUMBER('Inputs'!$B$24),ISNUMBER('Inputs'!$B$28)),(('Results'!C7*(0.5*((((325-43)*MAX('Inputs'!$B$33,'Inputs'!$B$29+'Inputs'!$B$31+'Inputs'!$B$32,'Inputs'!$B$30+'Inputs'!$B$31+'Inputs'!$B$32)/1000+'Inputs'!$B$21)+'Inputs'!$B$9)/SQRT((((325-43)*MAX('Inputs'!$B$33,'Inputs'!$B$29+'Inputs'!$B$31+'Inputs'!$B$32,'Inputs'!$B$30+'Inputs'!$B$31+'Inputs'!$B$32)/1000+'Inputs'!$B$21)+'Inputs'!$B$9)^2+('Inputs'!$B$8/2)^2)-(((325-43)*MAX('Inputs'!$B$33,'Inputs'!$B$29+'Inputs'!$B$31+'Inputs'!$B$32,'Inputs'!$B$30+'Inputs'!$B$31+'Inputs'!$B$32)/1000+'Inputs'!$B$21))/SQRT((((325-43)*MAX('Inputs'!$B$33,'Inputs'!$B$29+'Inputs'!$B$31+'Inputs'!$B$32,'Inputs'!$B$30+'Inputs'!$B$31+'Inputs'!$B$32)/1000+'Inputs'!$B$21))^2+('Inputs'!$B$8/2)^2)))-'Results'!B7*(0.5*((((325-43)*MAX('Inputs'!$B$33,'Inputs'!$B$29+'Inputs'!$B$31+'Inputs'!$B$32,'Inputs'!$B$30+'Inputs'!$B$31+'Inputs'!$B$32)/1000+'Inputs'!$B$21+'Inputs'!$B$9+'Inputs'!$B$10)+'Inputs'!$B$7)/SQRT((((325-43)*MAX('Inputs'!$B$33,'Inputs'!$B$29+'Inputs'!$B$31+'Inputs'!$B$32,'Inputs'!$B$30+'Inputs'!$B$31+'Inputs'!$B$32)/1000+'Inputs'!$B$21+'Inputs'!$B$9+'Inputs'!$B$10)+'Inputs'!$B$7)^2+('Inputs'!$B$6/2)^2)-(((325-43)*MAX('Inputs'!$B$33,'Inputs'!$B$29+'Inputs'!$B$31+'Inputs'!$B$32,'Inputs'!$B$30+'Inputs'!$B$31+'Inputs'!$B$32)/1000+'Inputs'!$B$21+'Inputs'!$B$9+'Inputs'!$B$10))/SQRT((((325-43)*MAX('Inputs'!$B$33,'Inputs'!$B$29+'Inputs'!$B$31+'Inputs'!$B$32,'Inputs'!$B$30+'Inputs'!$B$31+'Inputs'!$B$32)/1000+'Inputs'!$B$21+'Inputs'!$B$9+'Inputs'!$B$10))^2+('Inputs'!$B$6/2)^2))))*'Results'!$B$8),"")</x:f>
        <x:v>25.687453994913586</x:v>
      </x:c>
      <x:c r="N325" t="n">
        <x:f>IF(AND(ISNUMBER('Results'!C7),ISNUMBER('Results'!B7),ISNUMBER('Results'!$B$8),ISNUMBER('Inputs'!$B$6),ISNUMBER('Inputs'!$B$7),ISNUMBER('Inputs'!$B$8),ISNUMBER('Inputs'!$B$9),ISNUMBER('Inputs'!$B$10),ISNUMBER('Inputs'!$B$21),ISNUMBER('Inputs'!$B$24),ISNUMBER('Inputs'!$B$28)),((('Results'!C7*(1-'Inputs'!$B$24)*(0.5*((((325-43)*MAX('Inputs'!$B$33,'Inputs'!$B$29+'Inputs'!$B$31+'Inputs'!$B$32,'Inputs'!$B$30+'Inputs'!$B$31+'Inputs'!$B$32)/1000+'Inputs'!$B$21)+'Inputs'!$B$9)/SQRT((((325-43)*MAX('Inputs'!$B$33,'Inputs'!$B$29+'Inputs'!$B$31+'Inputs'!$B$32,'Inputs'!$B$30+'Inputs'!$B$31+'Inputs'!$B$32)/1000+'Inputs'!$B$21)+'Inputs'!$B$9)^2+('Inputs'!$B$8/2)^2)-(((325-43)*MAX('Inputs'!$B$33,'Inputs'!$B$29+'Inputs'!$B$31+'Inputs'!$B$32,'Inputs'!$B$30+'Inputs'!$B$31+'Inputs'!$B$32)/1000+'Inputs'!$B$21))/SQRT((((325-43)*MAX('Inputs'!$B$33,'Inputs'!$B$29+'Inputs'!$B$31+'Inputs'!$B$32,'Inputs'!$B$30+'Inputs'!$B$31+'Inputs'!$B$32)/1000+'Inputs'!$B$21))^2+('Inputs'!$B$8/2)^2)))-'Results'!B7*(1+'Inputs'!$B$24)*(0.5*((((325-43)*MAX('Inputs'!$B$33,'Inputs'!$B$29+'Inputs'!$B$31+'Inputs'!$B$32,'Inputs'!$B$30+'Inputs'!$B$31+'Inputs'!$B$32)/1000+'Inputs'!$B$21+'Inputs'!$B$9+'Inputs'!$B$10)+'Inputs'!$B$7)/SQRT((((325-43)*MAX('Inputs'!$B$33,'Inputs'!$B$29+'Inputs'!$B$31+'Inputs'!$B$32,'Inputs'!$B$30+'Inputs'!$B$31+'Inputs'!$B$32)/1000+'Inputs'!$B$21+'Inputs'!$B$9+'Inputs'!$B$10)+'Inputs'!$B$7)^2+('Inputs'!$B$6/2)^2)-(((325-43)*MAX('Inputs'!$B$33,'Inputs'!$B$29+'Inputs'!$B$31+'Inputs'!$B$32,'Inputs'!$B$30+'Inputs'!$B$31+'Inputs'!$B$32)/1000+'Inputs'!$B$21+'Inputs'!$B$9+'Inputs'!$B$10))/SQRT((((325-43)*MAX('Inputs'!$B$33,'Inputs'!$B$29+'Inputs'!$B$31+'Inputs'!$B$32,'Inputs'!$B$30+'Inputs'!$B$31+'Inputs'!$B$32)/1000+'Inputs'!$B$21+'Inputs'!$B$9+'Inputs'!$B$10))^2+('Inputs'!$B$6/2)^2))))*'Results'!$B$8)-'Inputs'!$B$28*ABS((('Results'!C7*(1-'Inputs'!$B$24)*(0.5*((((325-43)*MAX('Inputs'!$B$33,'Inputs'!$B$29+'Inputs'!$B$31+'Inputs'!$B$32,'Inputs'!$B$30+'Inputs'!$B$31+'Inputs'!$B$32)/1000+'Inputs'!$B$21)+'Inputs'!$B$9)/SQRT((((325-43)*MAX('Inputs'!$B$33,'Inputs'!$B$29+'Inputs'!$B$31+'Inputs'!$B$32,'Inputs'!$B$30+'Inputs'!$B$31+'Inputs'!$B$32)/1000+'Inputs'!$B$21)+'Inputs'!$B$9)^2+('Inputs'!$B$8/2)^2)-(((325-43)*MAX('Inputs'!$B$33,'Inputs'!$B$29+'Inputs'!$B$31+'Inputs'!$B$32,'Inputs'!$B$30+'Inputs'!$B$31+'Inputs'!$B$32)/1000+'Inputs'!$B$21))/SQRT((((325-43)*MAX('Inputs'!$B$33,'Inputs'!$B$29+'Inputs'!$B$31+'Inputs'!$B$32,'Inputs'!$B$30+'Inputs'!$B$31+'Inputs'!$B$32)/1000+'Inputs'!$B$21))^2+('Inputs'!$B$8/2)^2)))-'Results'!B7*(1+'Inputs'!$B$24)*(0.5*((((325-43)*MAX('Inputs'!$B$33,'Inputs'!$B$29+'Inputs'!$B$31+'Inputs'!$B$32,'Inputs'!$B$30+'Inputs'!$B$31+'Inputs'!$B$32)/1000+'Inputs'!$B$21+'Inputs'!$B$9+'Inputs'!$B$10)+'Inputs'!$B$7)/SQRT((((325-43)*MAX('Inputs'!$B$33,'Inputs'!$B$29+'Inputs'!$B$31+'Inputs'!$B$32,'Inputs'!$B$30+'Inputs'!$B$31+'Inputs'!$B$32)/1000+'Inputs'!$B$21+'Inputs'!$B$9+'Inputs'!$B$10)+'Inputs'!$B$7)^2+('Inputs'!$B$6/2)^2)-(((325-43)*MAX('Inputs'!$B$33,'Inputs'!$B$29+'Inputs'!$B$31+'Inputs'!$B$32,'Inputs'!$B$30+'Inputs'!$B$31+'Inputs'!$B$32)/1000+'Inputs'!$B$21+'Inputs'!$B$9+'Inputs'!$B$10))/SQRT((((325-43)*MAX('Inputs'!$B$33,'Inputs'!$B$29+'Inputs'!$B$31+'Inputs'!$B$32,'Inputs'!$B$30+'Inputs'!$B$31+'Inputs'!$B$32)/1000+'Inputs'!$B$21+'Inputs'!$B$9+'Inputs'!$B$10))^2+('Inputs'!$B$6/2)^2))))*'Results'!$B$8))),"")</x:f>
        <x:v>23.24896832588681</x:v>
      </x:c>
      <x:c r="O325" t="n">
        <x:f>IF(AND(ISNUMBER('Results'!C7),ISNUMBER('Results'!B7),ISNUMBER('Results'!$B$8),ISNUMBER('Inputs'!$B$6),ISNUMBER('Inputs'!$B$7),ISNUMBER('Inputs'!$B$8),ISNUMBER('Inputs'!$B$9),ISNUMBER('Inputs'!$B$10),ISNUMBER('Inputs'!$B$21),ISNUMBER('Inputs'!$B$24),ISNUMBER('Inputs'!$B$28)),((('Results'!C7*(1+'Inputs'!$B$24)*(0.5*((((325-43)*MAX('Inputs'!$B$33,'Inputs'!$B$29+'Inputs'!$B$31+'Inputs'!$B$32,'Inputs'!$B$30+'Inputs'!$B$31+'Inputs'!$B$32)/1000+'Inputs'!$B$21)+'Inputs'!$B$9)/SQRT((((325-43)*MAX('Inputs'!$B$33,'Inputs'!$B$29+'Inputs'!$B$31+'Inputs'!$B$32,'Inputs'!$B$30+'Inputs'!$B$31+'Inputs'!$B$32)/1000+'Inputs'!$B$21)+'Inputs'!$B$9)^2+('Inputs'!$B$8/2)^2)-(((325-43)*MAX('Inputs'!$B$33,'Inputs'!$B$29+'Inputs'!$B$31+'Inputs'!$B$32,'Inputs'!$B$30+'Inputs'!$B$31+'Inputs'!$B$32)/1000+'Inputs'!$B$21))/SQRT((((325-43)*MAX('Inputs'!$B$33,'Inputs'!$B$29+'Inputs'!$B$31+'Inputs'!$B$32,'Inputs'!$B$30+'Inputs'!$B$31+'Inputs'!$B$32)/1000+'Inputs'!$B$21))^2+('Inputs'!$B$8/2)^2)))-'Results'!B7*(1-'Inputs'!$B$24)*(0.5*((((325-43)*MAX('Inputs'!$B$33,'Inputs'!$B$29+'Inputs'!$B$31+'Inputs'!$B$32,'Inputs'!$B$30+'Inputs'!$B$31+'Inputs'!$B$32)/1000+'Inputs'!$B$21+'Inputs'!$B$9+'Inputs'!$B$10)+'Inputs'!$B$7)/SQRT((((325-43)*MAX('Inputs'!$B$33,'Inputs'!$B$29+'Inputs'!$B$31+'Inputs'!$B$32,'Inputs'!$B$30+'Inputs'!$B$31+'Inputs'!$B$32)/1000+'Inputs'!$B$21+'Inputs'!$B$9+'Inputs'!$B$10)+'Inputs'!$B$7)^2+('Inputs'!$B$6/2)^2)-(((325-43)*MAX('Inputs'!$B$33,'Inputs'!$B$29+'Inputs'!$B$31+'Inputs'!$B$32,'Inputs'!$B$30+'Inputs'!$B$31+'Inputs'!$B$32)/1000+'Inputs'!$B$21+'Inputs'!$B$9+'Inputs'!$B$10))/SQRT((((325-43)*MAX('Inputs'!$B$33,'Inputs'!$B$29+'Inputs'!$B$31+'Inputs'!$B$32,'Inputs'!$B$30+'Inputs'!$B$31+'Inputs'!$B$32)/1000+'Inputs'!$B$21+'Inputs'!$B$9+'Inputs'!$B$10))^2+('Inputs'!$B$6/2)^2))))*'Results'!$B$8)+'Inputs'!$B$28*ABS((('Results'!C7*(1+'Inputs'!$B$24)*(0.5*((((325-43)*MAX('Inputs'!$B$33,'Inputs'!$B$29+'Inputs'!$B$31+'Inputs'!$B$32,'Inputs'!$B$30+'Inputs'!$B$31+'Inputs'!$B$32)/1000+'Inputs'!$B$21)+'Inputs'!$B$9)/SQRT((((325-43)*MAX('Inputs'!$B$33,'Inputs'!$B$29+'Inputs'!$B$31+'Inputs'!$B$32,'Inputs'!$B$30+'Inputs'!$B$31+'Inputs'!$B$32)/1000+'Inputs'!$B$21)+'Inputs'!$B$9)^2+('Inputs'!$B$8/2)^2)-(((325-43)*MAX('Inputs'!$B$33,'Inputs'!$B$29+'Inputs'!$B$31+'Inputs'!$B$32,'Inputs'!$B$30+'Inputs'!$B$31+'Inputs'!$B$32)/1000+'Inputs'!$B$21))/SQRT((((325-43)*MAX('Inputs'!$B$33,'Inputs'!$B$29+'Inputs'!$B$31+'Inputs'!$B$32,'Inputs'!$B$30+'Inputs'!$B$31+'Inputs'!$B$32)/1000+'Inputs'!$B$21))^2+('Inputs'!$B$8/2)^2)))-'Results'!B7*(1-'Inputs'!$B$24)*(0.5*((((325-43)*MAX('Inputs'!$B$33,'Inputs'!$B$29+'Inputs'!$B$31+'Inputs'!$B$32,'Inputs'!$B$30+'Inputs'!$B$31+'Inputs'!$B$32)/1000+'Inputs'!$B$21+'Inputs'!$B$9+'Inputs'!$B$10)+'Inputs'!$B$7)/SQRT((((325-43)*MAX('Inputs'!$B$33,'Inputs'!$B$29+'Inputs'!$B$31+'Inputs'!$B$32,'Inputs'!$B$30+'Inputs'!$B$31+'Inputs'!$B$32)/1000+'Inputs'!$B$21+'Inputs'!$B$9+'Inputs'!$B$10)+'Inputs'!$B$7)^2+('Inputs'!$B$6/2)^2)-(((325-43)*MAX('Inputs'!$B$33,'Inputs'!$B$29+'Inputs'!$B$31+'Inputs'!$B$32,'Inputs'!$B$30+'Inputs'!$B$31+'Inputs'!$B$32)/1000+'Inputs'!$B$21+'Inputs'!$B$9+'Inputs'!$B$10))/SQRT((((325-43)*MAX('Inputs'!$B$33,'Inputs'!$B$29+'Inputs'!$B$31+'Inputs'!$B$32,'Inputs'!$B$30+'Inputs'!$B$31+'Inputs'!$B$32)/1000+'Inputs'!$B$21+'Inputs'!$B$9+'Inputs'!$B$10))^2+('Inputs'!$B$6/2)^2))))*'Results'!$B$8))),"")</x:f>
        <x:v>28.247425239654163</x:v>
      </x:c>
      <x:c r="P325" t="n">
        <x:f>IF(AND(MAX(J325,J324)&gt;0,J325&gt;J324+0.00000001),1,0)</x:f>
        <x:v>0</x:v>
      </x:c>
      <x:c r="Q325" t="n">
        <x:f>IF(AND(MAX(K325,K324)&gt;0,K325&gt;K324+0.00000001),1,0)</x:f>
        <x:v>0</x:v>
      </x:c>
      <x:c r="R325" t="n">
        <x:f>IF(AND(MAX(L325,L324)&gt;0,L325&gt;L324+0.00000001),1,0)</x:f>
        <x:v>0</x:v>
      </x:c>
      <x:c r="S325" t="n">
        <x:f>IF(AND(MAX(M325,M324)&gt;0,M325&gt;M324+0.00000001),1,0)</x:f>
        <x:v>0</x:v>
      </x:c>
      <x:c r="T325" t="n">
        <x:f>IF(AND(MAX(N325,N324)&gt;0,N325&gt;N324+0.00000001),1,0)</x:f>
        <x:v>0</x:v>
      </x:c>
      <x:c r="U325" t="n">
        <x:f>IF(AND(MAX(O325,O324)&gt;0,O325&gt;O324+0.00000001),1,0)</x:f>
        <x:v>0</x:v>
      </x:c>
    </x:row>
    <x:row r="326">
      <x:c r="J326" t="n">
        <x:f>IF(AND(ISNUMBER('Results'!B7),ISNUMBER('Results'!C7),ISNUMBER('Results'!$B$8),ISNUMBER('Inputs'!$B$6),ISNUMBER('Inputs'!$B$7),ISNUMBER('Inputs'!$B$8),ISNUMBER('Inputs'!$B$9),ISNUMBER('Inputs'!$B$10),ISNUMBER('Inputs'!$B$21),ISNUMBER('Inputs'!$B$24),ISNUMBER('Inputs'!$B$28)),(('Results'!B7*(0.5*((((326-43)*MAX('Inputs'!$B$33,'Inputs'!$B$29+'Inputs'!$B$31+'Inputs'!$B$32,'Inputs'!$B$30+'Inputs'!$B$31+'Inputs'!$B$32)/1000+'Inputs'!$B$21)+'Inputs'!$B$7)/SQRT((((326-43)*MAX('Inputs'!$B$33,'Inputs'!$B$29+'Inputs'!$B$31+'Inputs'!$B$32,'Inputs'!$B$30+'Inputs'!$B$31+'Inputs'!$B$32)/1000+'Inputs'!$B$21)+'Inputs'!$B$7)^2+('Inputs'!$B$6/2)^2)-(((326-43)*MAX('Inputs'!$B$33,'Inputs'!$B$29+'Inputs'!$B$31+'Inputs'!$B$32,'Inputs'!$B$30+'Inputs'!$B$31+'Inputs'!$B$32)/1000+'Inputs'!$B$21))/SQRT((((326-43)*MAX('Inputs'!$B$33,'Inputs'!$B$29+'Inputs'!$B$31+'Inputs'!$B$32,'Inputs'!$B$30+'Inputs'!$B$31+'Inputs'!$B$32)/1000+'Inputs'!$B$21))^2+('Inputs'!$B$6/2)^2)))-'Results'!C7*(0.5*((((326-43)*MAX('Inputs'!$B$33,'Inputs'!$B$29+'Inputs'!$B$31+'Inputs'!$B$32,'Inputs'!$B$30+'Inputs'!$B$31+'Inputs'!$B$32)/1000+'Inputs'!$B$21+'Inputs'!$B$7+'Inputs'!$B$10)+'Inputs'!$B$9)/SQRT((((326-43)*MAX('Inputs'!$B$33,'Inputs'!$B$29+'Inputs'!$B$31+'Inputs'!$B$32,'Inputs'!$B$30+'Inputs'!$B$31+'Inputs'!$B$32)/1000+'Inputs'!$B$21+'Inputs'!$B$7+'Inputs'!$B$10)+'Inputs'!$B$9)^2+('Inputs'!$B$8/2)^2)-(((326-43)*MAX('Inputs'!$B$33,'Inputs'!$B$29+'Inputs'!$B$31+'Inputs'!$B$32,'Inputs'!$B$30+'Inputs'!$B$31+'Inputs'!$B$32)/1000+'Inputs'!$B$21+'Inputs'!$B$7+'Inputs'!$B$10))/SQRT((((326-43)*MAX('Inputs'!$B$33,'Inputs'!$B$29+'Inputs'!$B$31+'Inputs'!$B$32,'Inputs'!$B$30+'Inputs'!$B$31+'Inputs'!$B$32)/1000+'Inputs'!$B$21+'Inputs'!$B$7+'Inputs'!$B$10))^2+('Inputs'!$B$8/2)^2))))*'Results'!$B$8),"")</x:f>
        <x:v>26.62982038676495</x:v>
      </x:c>
      <x:c r="K326" t="n">
        <x:f>IF(AND(ISNUMBER('Results'!B7),ISNUMBER('Results'!C7),ISNUMBER('Results'!$B$8),ISNUMBER('Inputs'!$B$6),ISNUMBER('Inputs'!$B$7),ISNUMBER('Inputs'!$B$8),ISNUMBER('Inputs'!$B$9),ISNUMBER('Inputs'!$B$10),ISNUMBER('Inputs'!$B$21),ISNUMBER('Inputs'!$B$24),ISNUMBER('Inputs'!$B$28)),((('Results'!B7*(1-'Inputs'!$B$24)*(0.5*((((326-43)*MAX('Inputs'!$B$33,'Inputs'!$B$29+'Inputs'!$B$31+'Inputs'!$B$32,'Inputs'!$B$30+'Inputs'!$B$31+'Inputs'!$B$32)/1000+'Inputs'!$B$21)+'Inputs'!$B$7)/SQRT((((326-43)*MAX('Inputs'!$B$33,'Inputs'!$B$29+'Inputs'!$B$31+'Inputs'!$B$32,'Inputs'!$B$30+'Inputs'!$B$31+'Inputs'!$B$32)/1000+'Inputs'!$B$21)+'Inputs'!$B$7)^2+('Inputs'!$B$6/2)^2)-(((326-43)*MAX('Inputs'!$B$33,'Inputs'!$B$29+'Inputs'!$B$31+'Inputs'!$B$32,'Inputs'!$B$30+'Inputs'!$B$31+'Inputs'!$B$32)/1000+'Inputs'!$B$21))/SQRT((((326-43)*MAX('Inputs'!$B$33,'Inputs'!$B$29+'Inputs'!$B$31+'Inputs'!$B$32,'Inputs'!$B$30+'Inputs'!$B$31+'Inputs'!$B$32)/1000+'Inputs'!$B$21))^2+('Inputs'!$B$6/2)^2)))-'Results'!C7*(1+'Inputs'!$B$24)*(0.5*((((326-43)*MAX('Inputs'!$B$33,'Inputs'!$B$29+'Inputs'!$B$31+'Inputs'!$B$32,'Inputs'!$B$30+'Inputs'!$B$31+'Inputs'!$B$32)/1000+'Inputs'!$B$21+'Inputs'!$B$7+'Inputs'!$B$10)+'Inputs'!$B$9)/SQRT((((326-43)*MAX('Inputs'!$B$33,'Inputs'!$B$29+'Inputs'!$B$31+'Inputs'!$B$32,'Inputs'!$B$30+'Inputs'!$B$31+'Inputs'!$B$32)/1000+'Inputs'!$B$21+'Inputs'!$B$7+'Inputs'!$B$10)+'Inputs'!$B$9)^2+('Inputs'!$B$8/2)^2)-(((326-43)*MAX('Inputs'!$B$33,'Inputs'!$B$29+'Inputs'!$B$31+'Inputs'!$B$32,'Inputs'!$B$30+'Inputs'!$B$31+'Inputs'!$B$32)/1000+'Inputs'!$B$21+'Inputs'!$B$7+'Inputs'!$B$10))/SQRT((((326-43)*MAX('Inputs'!$B$33,'Inputs'!$B$29+'Inputs'!$B$31+'Inputs'!$B$32,'Inputs'!$B$30+'Inputs'!$B$31+'Inputs'!$B$32)/1000+'Inputs'!$B$21+'Inputs'!$B$7+'Inputs'!$B$10))^2+('Inputs'!$B$8/2)^2))))*'Results'!$B$8)-'Inputs'!$B$28*ABS((('Results'!B7*(1-'Inputs'!$B$24)*(0.5*((((326-43)*MAX('Inputs'!$B$33,'Inputs'!$B$29+'Inputs'!$B$31+'Inputs'!$B$32,'Inputs'!$B$30+'Inputs'!$B$31+'Inputs'!$B$32)/1000+'Inputs'!$B$21)+'Inputs'!$B$7)/SQRT((((326-43)*MAX('Inputs'!$B$33,'Inputs'!$B$29+'Inputs'!$B$31+'Inputs'!$B$32,'Inputs'!$B$30+'Inputs'!$B$31+'Inputs'!$B$32)/1000+'Inputs'!$B$21)+'Inputs'!$B$7)^2+('Inputs'!$B$6/2)^2)-(((326-43)*MAX('Inputs'!$B$33,'Inputs'!$B$29+'Inputs'!$B$31+'Inputs'!$B$32,'Inputs'!$B$30+'Inputs'!$B$31+'Inputs'!$B$32)/1000+'Inputs'!$B$21))/SQRT((((326-43)*MAX('Inputs'!$B$33,'Inputs'!$B$29+'Inputs'!$B$31+'Inputs'!$B$32,'Inputs'!$B$30+'Inputs'!$B$31+'Inputs'!$B$32)/1000+'Inputs'!$B$21))^2+('Inputs'!$B$6/2)^2)))-'Results'!C7*(1+'Inputs'!$B$24)*(0.5*((((326-43)*MAX('Inputs'!$B$33,'Inputs'!$B$29+'Inputs'!$B$31+'Inputs'!$B$32,'Inputs'!$B$30+'Inputs'!$B$31+'Inputs'!$B$32)/1000+'Inputs'!$B$21+'Inputs'!$B$7+'Inputs'!$B$10)+'Inputs'!$B$9)/SQRT((((326-43)*MAX('Inputs'!$B$33,'Inputs'!$B$29+'Inputs'!$B$31+'Inputs'!$B$32,'Inputs'!$B$30+'Inputs'!$B$31+'Inputs'!$B$32)/1000+'Inputs'!$B$21+'Inputs'!$B$7+'Inputs'!$B$10)+'Inputs'!$B$9)^2+('Inputs'!$B$8/2)^2)-(((326-43)*MAX('Inputs'!$B$33,'Inputs'!$B$29+'Inputs'!$B$31+'Inputs'!$B$32,'Inputs'!$B$30+'Inputs'!$B$31+'Inputs'!$B$32)/1000+'Inputs'!$B$21+'Inputs'!$B$7+'Inputs'!$B$10))/SQRT((((326-43)*MAX('Inputs'!$B$33,'Inputs'!$B$29+'Inputs'!$B$31+'Inputs'!$B$32,'Inputs'!$B$30+'Inputs'!$B$31+'Inputs'!$B$32)/1000+'Inputs'!$B$21+'Inputs'!$B$7+'Inputs'!$B$10))^2+('Inputs'!$B$8/2)^2))))*'Results'!$B$8))),"")</x:f>
        <x:v>24.144160149550657</x:v>
      </x:c>
      <x:c r="L326" t="n">
        <x:f>IF(AND(ISNUMBER('Results'!B7),ISNUMBER('Results'!C7),ISNUMBER('Results'!$B$8),ISNUMBER('Inputs'!$B$6),ISNUMBER('Inputs'!$B$7),ISNUMBER('Inputs'!$B$8),ISNUMBER('Inputs'!$B$9),ISNUMBER('Inputs'!$B$10),ISNUMBER('Inputs'!$B$21),ISNUMBER('Inputs'!$B$24),ISNUMBER('Inputs'!$B$28)),((('Results'!B7*(1+'Inputs'!$B$24)*(0.5*((((326-43)*MAX('Inputs'!$B$33,'Inputs'!$B$29+'Inputs'!$B$31+'Inputs'!$B$32,'Inputs'!$B$30+'Inputs'!$B$31+'Inputs'!$B$32)/1000+'Inputs'!$B$21)+'Inputs'!$B$7)/SQRT((((326-43)*MAX('Inputs'!$B$33,'Inputs'!$B$29+'Inputs'!$B$31+'Inputs'!$B$32,'Inputs'!$B$30+'Inputs'!$B$31+'Inputs'!$B$32)/1000+'Inputs'!$B$21)+'Inputs'!$B$7)^2+('Inputs'!$B$6/2)^2)-(((326-43)*MAX('Inputs'!$B$33,'Inputs'!$B$29+'Inputs'!$B$31+'Inputs'!$B$32,'Inputs'!$B$30+'Inputs'!$B$31+'Inputs'!$B$32)/1000+'Inputs'!$B$21))/SQRT((((326-43)*MAX('Inputs'!$B$33,'Inputs'!$B$29+'Inputs'!$B$31+'Inputs'!$B$32,'Inputs'!$B$30+'Inputs'!$B$31+'Inputs'!$B$32)/1000+'Inputs'!$B$21))^2+('Inputs'!$B$6/2)^2)))-'Results'!C7*(1-'Inputs'!$B$24)*(0.5*((((326-43)*MAX('Inputs'!$B$33,'Inputs'!$B$29+'Inputs'!$B$31+'Inputs'!$B$32,'Inputs'!$B$30+'Inputs'!$B$31+'Inputs'!$B$32)/1000+'Inputs'!$B$21+'Inputs'!$B$7+'Inputs'!$B$10)+'Inputs'!$B$9)/SQRT((((326-43)*MAX('Inputs'!$B$33,'Inputs'!$B$29+'Inputs'!$B$31+'Inputs'!$B$32,'Inputs'!$B$30+'Inputs'!$B$31+'Inputs'!$B$32)/1000+'Inputs'!$B$21+'Inputs'!$B$7+'Inputs'!$B$10)+'Inputs'!$B$9)^2+('Inputs'!$B$8/2)^2)-(((326-43)*MAX('Inputs'!$B$33,'Inputs'!$B$29+'Inputs'!$B$31+'Inputs'!$B$32,'Inputs'!$B$30+'Inputs'!$B$31+'Inputs'!$B$32)/1000+'Inputs'!$B$21+'Inputs'!$B$7+'Inputs'!$B$10))/SQRT((((326-43)*MAX('Inputs'!$B$33,'Inputs'!$B$29+'Inputs'!$B$31+'Inputs'!$B$32,'Inputs'!$B$30+'Inputs'!$B$31+'Inputs'!$B$32)/1000+'Inputs'!$B$21+'Inputs'!$B$7+'Inputs'!$B$10))^2+('Inputs'!$B$8/2)^2))))*'Results'!$B$8)+'Inputs'!$B$28*ABS((('Results'!B7*(1+'Inputs'!$B$24)*(0.5*((((326-43)*MAX('Inputs'!$B$33,'Inputs'!$B$29+'Inputs'!$B$31+'Inputs'!$B$32,'Inputs'!$B$30+'Inputs'!$B$31+'Inputs'!$B$32)/1000+'Inputs'!$B$21)+'Inputs'!$B$7)/SQRT((((326-43)*MAX('Inputs'!$B$33,'Inputs'!$B$29+'Inputs'!$B$31+'Inputs'!$B$32,'Inputs'!$B$30+'Inputs'!$B$31+'Inputs'!$B$32)/1000+'Inputs'!$B$21)+'Inputs'!$B$7)^2+('Inputs'!$B$6/2)^2)-(((326-43)*MAX('Inputs'!$B$33,'Inputs'!$B$29+'Inputs'!$B$31+'Inputs'!$B$32,'Inputs'!$B$30+'Inputs'!$B$31+'Inputs'!$B$32)/1000+'Inputs'!$B$21))/SQRT((((326-43)*MAX('Inputs'!$B$33,'Inputs'!$B$29+'Inputs'!$B$31+'Inputs'!$B$32,'Inputs'!$B$30+'Inputs'!$B$31+'Inputs'!$B$32)/1000+'Inputs'!$B$21))^2+('Inputs'!$B$6/2)^2)))-'Results'!C7*(1-'Inputs'!$B$24)*(0.5*((((326-43)*MAX('Inputs'!$B$33,'Inputs'!$B$29+'Inputs'!$B$31+'Inputs'!$B$32,'Inputs'!$B$30+'Inputs'!$B$31+'Inputs'!$B$32)/1000+'Inputs'!$B$21+'Inputs'!$B$7+'Inputs'!$B$10)+'Inputs'!$B$9)/SQRT((((326-43)*MAX('Inputs'!$B$33,'Inputs'!$B$29+'Inputs'!$B$31+'Inputs'!$B$32,'Inputs'!$B$30+'Inputs'!$B$31+'Inputs'!$B$32)/1000+'Inputs'!$B$21+'Inputs'!$B$7+'Inputs'!$B$10)+'Inputs'!$B$9)^2+('Inputs'!$B$8/2)^2)-(((326-43)*MAX('Inputs'!$B$33,'Inputs'!$B$29+'Inputs'!$B$31+'Inputs'!$B$32,'Inputs'!$B$30+'Inputs'!$B$31+'Inputs'!$B$32)/1000+'Inputs'!$B$21+'Inputs'!$B$7+'Inputs'!$B$10))/SQRT((((326-43)*MAX('Inputs'!$B$33,'Inputs'!$B$29+'Inputs'!$B$31+'Inputs'!$B$32,'Inputs'!$B$30+'Inputs'!$B$31+'Inputs'!$B$32)/1000+'Inputs'!$B$21+'Inputs'!$B$7+'Inputs'!$B$10))^2+('Inputs'!$B$8/2)^2))))*'Results'!$B$8))),"")</x:f>
        <x:v>29.23697212059777</x:v>
      </x:c>
      <x:c r="M326" t="n">
        <x:f>IF(AND(ISNUMBER('Results'!C7),ISNUMBER('Results'!B7),ISNUMBER('Results'!$B$8),ISNUMBER('Inputs'!$B$6),ISNUMBER('Inputs'!$B$7),ISNUMBER('Inputs'!$B$8),ISNUMBER('Inputs'!$B$9),ISNUMBER('Inputs'!$B$10),ISNUMBER('Inputs'!$B$21),ISNUMBER('Inputs'!$B$24),ISNUMBER('Inputs'!$B$28)),(('Results'!C7*(0.5*((((326-43)*MAX('Inputs'!$B$33,'Inputs'!$B$29+'Inputs'!$B$31+'Inputs'!$B$32,'Inputs'!$B$30+'Inputs'!$B$31+'Inputs'!$B$32)/1000+'Inputs'!$B$21)+'Inputs'!$B$9)/SQRT((((326-43)*MAX('Inputs'!$B$33,'Inputs'!$B$29+'Inputs'!$B$31+'Inputs'!$B$32,'Inputs'!$B$30+'Inputs'!$B$31+'Inputs'!$B$32)/1000+'Inputs'!$B$21)+'Inputs'!$B$9)^2+('Inputs'!$B$8/2)^2)-(((326-43)*MAX('Inputs'!$B$33,'Inputs'!$B$29+'Inputs'!$B$31+'Inputs'!$B$32,'Inputs'!$B$30+'Inputs'!$B$31+'Inputs'!$B$32)/1000+'Inputs'!$B$21))/SQRT((((326-43)*MAX('Inputs'!$B$33,'Inputs'!$B$29+'Inputs'!$B$31+'Inputs'!$B$32,'Inputs'!$B$30+'Inputs'!$B$31+'Inputs'!$B$32)/1000+'Inputs'!$B$21))^2+('Inputs'!$B$8/2)^2)))-'Results'!B7*(0.5*((((326-43)*MAX('Inputs'!$B$33,'Inputs'!$B$29+'Inputs'!$B$31+'Inputs'!$B$32,'Inputs'!$B$30+'Inputs'!$B$31+'Inputs'!$B$32)/1000+'Inputs'!$B$21+'Inputs'!$B$9+'Inputs'!$B$10)+'Inputs'!$B$7)/SQRT((((326-43)*MAX('Inputs'!$B$33,'Inputs'!$B$29+'Inputs'!$B$31+'Inputs'!$B$32,'Inputs'!$B$30+'Inputs'!$B$31+'Inputs'!$B$32)/1000+'Inputs'!$B$21+'Inputs'!$B$9+'Inputs'!$B$10)+'Inputs'!$B$7)^2+('Inputs'!$B$6/2)^2)-(((326-43)*MAX('Inputs'!$B$33,'Inputs'!$B$29+'Inputs'!$B$31+'Inputs'!$B$32,'Inputs'!$B$30+'Inputs'!$B$31+'Inputs'!$B$32)/1000+'Inputs'!$B$21+'Inputs'!$B$9+'Inputs'!$B$10))/SQRT((((326-43)*MAX('Inputs'!$B$33,'Inputs'!$B$29+'Inputs'!$B$31+'Inputs'!$B$32,'Inputs'!$B$30+'Inputs'!$B$31+'Inputs'!$B$32)/1000+'Inputs'!$B$21+'Inputs'!$B$9+'Inputs'!$B$10))^2+('Inputs'!$B$6/2)^2))))*'Results'!$B$8),"")</x:f>
        <x:v>25.40794298630974</x:v>
      </x:c>
      <x:c r="N326" t="n">
        <x:f>IF(AND(ISNUMBER('Results'!C7),ISNUMBER('Results'!B7),ISNUMBER('Results'!$B$8),ISNUMBER('Inputs'!$B$6),ISNUMBER('Inputs'!$B$7),ISNUMBER('Inputs'!$B$8),ISNUMBER('Inputs'!$B$9),ISNUMBER('Inputs'!$B$10),ISNUMBER('Inputs'!$B$21),ISNUMBER('Inputs'!$B$24),ISNUMBER('Inputs'!$B$28)),((('Results'!C7*(1-'Inputs'!$B$24)*(0.5*((((326-43)*MAX('Inputs'!$B$33,'Inputs'!$B$29+'Inputs'!$B$31+'Inputs'!$B$32,'Inputs'!$B$30+'Inputs'!$B$31+'Inputs'!$B$32)/1000+'Inputs'!$B$21)+'Inputs'!$B$9)/SQRT((((326-43)*MAX('Inputs'!$B$33,'Inputs'!$B$29+'Inputs'!$B$31+'Inputs'!$B$32,'Inputs'!$B$30+'Inputs'!$B$31+'Inputs'!$B$32)/1000+'Inputs'!$B$21)+'Inputs'!$B$9)^2+('Inputs'!$B$8/2)^2)-(((326-43)*MAX('Inputs'!$B$33,'Inputs'!$B$29+'Inputs'!$B$31+'Inputs'!$B$32,'Inputs'!$B$30+'Inputs'!$B$31+'Inputs'!$B$32)/1000+'Inputs'!$B$21))/SQRT((((326-43)*MAX('Inputs'!$B$33,'Inputs'!$B$29+'Inputs'!$B$31+'Inputs'!$B$32,'Inputs'!$B$30+'Inputs'!$B$31+'Inputs'!$B$32)/1000+'Inputs'!$B$21))^2+('Inputs'!$B$8/2)^2)))-'Results'!B7*(1+'Inputs'!$B$24)*(0.5*((((326-43)*MAX('Inputs'!$B$33,'Inputs'!$B$29+'Inputs'!$B$31+'Inputs'!$B$32,'Inputs'!$B$30+'Inputs'!$B$31+'Inputs'!$B$32)/1000+'Inputs'!$B$21+'Inputs'!$B$9+'Inputs'!$B$10)+'Inputs'!$B$7)/SQRT((((326-43)*MAX('Inputs'!$B$33,'Inputs'!$B$29+'Inputs'!$B$31+'Inputs'!$B$32,'Inputs'!$B$30+'Inputs'!$B$31+'Inputs'!$B$32)/1000+'Inputs'!$B$21+'Inputs'!$B$9+'Inputs'!$B$10)+'Inputs'!$B$7)^2+('Inputs'!$B$6/2)^2)-(((326-43)*MAX('Inputs'!$B$33,'Inputs'!$B$29+'Inputs'!$B$31+'Inputs'!$B$32,'Inputs'!$B$30+'Inputs'!$B$31+'Inputs'!$B$32)/1000+'Inputs'!$B$21+'Inputs'!$B$9+'Inputs'!$B$10))/SQRT((((326-43)*MAX('Inputs'!$B$33,'Inputs'!$B$29+'Inputs'!$B$31+'Inputs'!$B$32,'Inputs'!$B$30+'Inputs'!$B$31+'Inputs'!$B$32)/1000+'Inputs'!$B$21+'Inputs'!$B$9+'Inputs'!$B$10))^2+('Inputs'!$B$6/2)^2))))*'Results'!$B$8)-'Inputs'!$B$28*ABS((('Results'!C7*(1-'Inputs'!$B$24)*(0.5*((((326-43)*MAX('Inputs'!$B$33,'Inputs'!$B$29+'Inputs'!$B$31+'Inputs'!$B$32,'Inputs'!$B$30+'Inputs'!$B$31+'Inputs'!$B$32)/1000+'Inputs'!$B$21)+'Inputs'!$B$9)/SQRT((((326-43)*MAX('Inputs'!$B$33,'Inputs'!$B$29+'Inputs'!$B$31+'Inputs'!$B$32,'Inputs'!$B$30+'Inputs'!$B$31+'Inputs'!$B$32)/1000+'Inputs'!$B$21)+'Inputs'!$B$9)^2+('Inputs'!$B$8/2)^2)-(((326-43)*MAX('Inputs'!$B$33,'Inputs'!$B$29+'Inputs'!$B$31+'Inputs'!$B$32,'Inputs'!$B$30+'Inputs'!$B$31+'Inputs'!$B$32)/1000+'Inputs'!$B$21))/SQRT((((326-43)*MAX('Inputs'!$B$33,'Inputs'!$B$29+'Inputs'!$B$31+'Inputs'!$B$32,'Inputs'!$B$30+'Inputs'!$B$31+'Inputs'!$B$32)/1000+'Inputs'!$B$21))^2+('Inputs'!$B$8/2)^2)))-'Results'!B7*(1+'Inputs'!$B$24)*(0.5*((((326-43)*MAX('Inputs'!$B$33,'Inputs'!$B$29+'Inputs'!$B$31+'Inputs'!$B$32,'Inputs'!$B$30+'Inputs'!$B$31+'Inputs'!$B$32)/1000+'Inputs'!$B$21+'Inputs'!$B$9+'Inputs'!$B$10)+'Inputs'!$B$7)/SQRT((((326-43)*MAX('Inputs'!$B$33,'Inputs'!$B$29+'Inputs'!$B$31+'Inputs'!$B$32,'Inputs'!$B$30+'Inputs'!$B$31+'Inputs'!$B$32)/1000+'Inputs'!$B$21+'Inputs'!$B$9+'Inputs'!$B$10)+'Inputs'!$B$7)^2+('Inputs'!$B$6/2)^2)-(((326-43)*MAX('Inputs'!$B$33,'Inputs'!$B$29+'Inputs'!$B$31+'Inputs'!$B$32,'Inputs'!$B$30+'Inputs'!$B$31+'Inputs'!$B$32)/1000+'Inputs'!$B$21+'Inputs'!$B$9+'Inputs'!$B$10))/SQRT((((326-43)*MAX('Inputs'!$B$33,'Inputs'!$B$29+'Inputs'!$B$31+'Inputs'!$B$32,'Inputs'!$B$30+'Inputs'!$B$31+'Inputs'!$B$32)/1000+'Inputs'!$B$21+'Inputs'!$B$9+'Inputs'!$B$10))^2+('Inputs'!$B$6/2)^2))))*'Results'!$B$8))),"")</x:f>
        <x:v>22.99336366461406</x:v>
      </x:c>
      <x:c r="O326" t="n">
        <x:f>IF(AND(ISNUMBER('Results'!C7),ISNUMBER('Results'!B7),ISNUMBER('Results'!$B$8),ISNUMBER('Inputs'!$B$6),ISNUMBER('Inputs'!$B$7),ISNUMBER('Inputs'!$B$8),ISNUMBER('Inputs'!$B$9),ISNUMBER('Inputs'!$B$10),ISNUMBER('Inputs'!$B$21),ISNUMBER('Inputs'!$B$24),ISNUMBER('Inputs'!$B$28)),((('Results'!C7*(1+'Inputs'!$B$24)*(0.5*((((326-43)*MAX('Inputs'!$B$33,'Inputs'!$B$29+'Inputs'!$B$31+'Inputs'!$B$32,'Inputs'!$B$30+'Inputs'!$B$31+'Inputs'!$B$32)/1000+'Inputs'!$B$21)+'Inputs'!$B$9)/SQRT((((326-43)*MAX('Inputs'!$B$33,'Inputs'!$B$29+'Inputs'!$B$31+'Inputs'!$B$32,'Inputs'!$B$30+'Inputs'!$B$31+'Inputs'!$B$32)/1000+'Inputs'!$B$21)+'Inputs'!$B$9)^2+('Inputs'!$B$8/2)^2)-(((326-43)*MAX('Inputs'!$B$33,'Inputs'!$B$29+'Inputs'!$B$31+'Inputs'!$B$32,'Inputs'!$B$30+'Inputs'!$B$31+'Inputs'!$B$32)/1000+'Inputs'!$B$21))/SQRT((((326-43)*MAX('Inputs'!$B$33,'Inputs'!$B$29+'Inputs'!$B$31+'Inputs'!$B$32,'Inputs'!$B$30+'Inputs'!$B$31+'Inputs'!$B$32)/1000+'Inputs'!$B$21))^2+('Inputs'!$B$8/2)^2)))-'Results'!B7*(1-'Inputs'!$B$24)*(0.5*((((326-43)*MAX('Inputs'!$B$33,'Inputs'!$B$29+'Inputs'!$B$31+'Inputs'!$B$32,'Inputs'!$B$30+'Inputs'!$B$31+'Inputs'!$B$32)/1000+'Inputs'!$B$21+'Inputs'!$B$9+'Inputs'!$B$10)+'Inputs'!$B$7)/SQRT((((326-43)*MAX('Inputs'!$B$33,'Inputs'!$B$29+'Inputs'!$B$31+'Inputs'!$B$32,'Inputs'!$B$30+'Inputs'!$B$31+'Inputs'!$B$32)/1000+'Inputs'!$B$21+'Inputs'!$B$9+'Inputs'!$B$10)+'Inputs'!$B$7)^2+('Inputs'!$B$6/2)^2)-(((326-43)*MAX('Inputs'!$B$33,'Inputs'!$B$29+'Inputs'!$B$31+'Inputs'!$B$32,'Inputs'!$B$30+'Inputs'!$B$31+'Inputs'!$B$32)/1000+'Inputs'!$B$21+'Inputs'!$B$9+'Inputs'!$B$10))/SQRT((((326-43)*MAX('Inputs'!$B$33,'Inputs'!$B$29+'Inputs'!$B$31+'Inputs'!$B$32,'Inputs'!$B$30+'Inputs'!$B$31+'Inputs'!$B$32)/1000+'Inputs'!$B$21+'Inputs'!$B$9+'Inputs'!$B$10))^2+('Inputs'!$B$6/2)^2))))*'Results'!$B$8)+'Inputs'!$B$28*ABS((('Results'!C7*(1+'Inputs'!$B$24)*(0.5*((((326-43)*MAX('Inputs'!$B$33,'Inputs'!$B$29+'Inputs'!$B$31+'Inputs'!$B$32,'Inputs'!$B$30+'Inputs'!$B$31+'Inputs'!$B$32)/1000+'Inputs'!$B$21)+'Inputs'!$B$9)/SQRT((((326-43)*MAX('Inputs'!$B$33,'Inputs'!$B$29+'Inputs'!$B$31+'Inputs'!$B$32,'Inputs'!$B$30+'Inputs'!$B$31+'Inputs'!$B$32)/1000+'Inputs'!$B$21)+'Inputs'!$B$9)^2+('Inputs'!$B$8/2)^2)-(((326-43)*MAX('Inputs'!$B$33,'Inputs'!$B$29+'Inputs'!$B$31+'Inputs'!$B$32,'Inputs'!$B$30+'Inputs'!$B$31+'Inputs'!$B$32)/1000+'Inputs'!$B$21))/SQRT((((326-43)*MAX('Inputs'!$B$33,'Inputs'!$B$29+'Inputs'!$B$31+'Inputs'!$B$32,'Inputs'!$B$30+'Inputs'!$B$31+'Inputs'!$B$32)/1000+'Inputs'!$B$21))^2+('Inputs'!$B$8/2)^2)))-'Results'!B7*(1-'Inputs'!$B$24)*(0.5*((((326-43)*MAX('Inputs'!$B$33,'Inputs'!$B$29+'Inputs'!$B$31+'Inputs'!$B$32,'Inputs'!$B$30+'Inputs'!$B$31+'Inputs'!$B$32)/1000+'Inputs'!$B$21+'Inputs'!$B$9+'Inputs'!$B$10)+'Inputs'!$B$7)/SQRT((((326-43)*MAX('Inputs'!$B$33,'Inputs'!$B$29+'Inputs'!$B$31+'Inputs'!$B$32,'Inputs'!$B$30+'Inputs'!$B$31+'Inputs'!$B$32)/1000+'Inputs'!$B$21+'Inputs'!$B$9+'Inputs'!$B$10)+'Inputs'!$B$7)^2+('Inputs'!$B$6/2)^2)-(((326-43)*MAX('Inputs'!$B$33,'Inputs'!$B$29+'Inputs'!$B$31+'Inputs'!$B$32,'Inputs'!$B$30+'Inputs'!$B$31+'Inputs'!$B$32)/1000+'Inputs'!$B$21+'Inputs'!$B$9+'Inputs'!$B$10))/SQRT((((326-43)*MAX('Inputs'!$B$33,'Inputs'!$B$29+'Inputs'!$B$31+'Inputs'!$B$32,'Inputs'!$B$30+'Inputs'!$B$31+'Inputs'!$B$32)/1000+'Inputs'!$B$21+'Inputs'!$B$9+'Inputs'!$B$10))^2+('Inputs'!$B$6/2)^2))))*'Results'!$B$8))),"")</x:f>
        <x:v>27.942962536677037</x:v>
      </x:c>
      <x:c r="P326" t="n">
        <x:f>IF(AND(MAX(J326,J325)&gt;0,J326&gt;J325+0.00000001),1,0)</x:f>
        <x:v>0</x:v>
      </x:c>
      <x:c r="Q326" t="n">
        <x:f>IF(AND(MAX(K326,K325)&gt;0,K326&gt;K325+0.00000001),1,0)</x:f>
        <x:v>0</x:v>
      </x:c>
      <x:c r="R326" t="n">
        <x:f>IF(AND(MAX(L326,L325)&gt;0,L326&gt;L325+0.00000001),1,0)</x:f>
        <x:v>0</x:v>
      </x:c>
      <x:c r="S326" t="n">
        <x:f>IF(AND(MAX(M326,M325)&gt;0,M326&gt;M325+0.00000001),1,0)</x:f>
        <x:v>0</x:v>
      </x:c>
      <x:c r="T326" t="n">
        <x:f>IF(AND(MAX(N326,N325)&gt;0,N326&gt;N325+0.00000001),1,0)</x:f>
        <x:v>0</x:v>
      </x:c>
      <x:c r="U326" t="n">
        <x:f>IF(AND(MAX(O326,O325)&gt;0,O326&gt;O325+0.00000001),1,0)</x:f>
        <x:v>0</x:v>
      </x:c>
    </x:row>
    <x:row r="327">
      <x:c r="J327" t="n">
        <x:f>IF(AND(ISNUMBER('Results'!B7),ISNUMBER('Results'!C7),ISNUMBER('Results'!$B$8),ISNUMBER('Inputs'!$B$6),ISNUMBER('Inputs'!$B$7),ISNUMBER('Inputs'!$B$8),ISNUMBER('Inputs'!$B$9),ISNUMBER('Inputs'!$B$10),ISNUMBER('Inputs'!$B$21),ISNUMBER('Inputs'!$B$24),ISNUMBER('Inputs'!$B$28)),(('Results'!B7*(0.5*((((327-43)*MAX('Inputs'!$B$33,'Inputs'!$B$29+'Inputs'!$B$31+'Inputs'!$B$32,'Inputs'!$B$30+'Inputs'!$B$31+'Inputs'!$B$32)/1000+'Inputs'!$B$21)+'Inputs'!$B$7)/SQRT((((327-43)*MAX('Inputs'!$B$33,'Inputs'!$B$29+'Inputs'!$B$31+'Inputs'!$B$32,'Inputs'!$B$30+'Inputs'!$B$31+'Inputs'!$B$32)/1000+'Inputs'!$B$21)+'Inputs'!$B$7)^2+('Inputs'!$B$6/2)^2)-(((327-43)*MAX('Inputs'!$B$33,'Inputs'!$B$29+'Inputs'!$B$31+'Inputs'!$B$32,'Inputs'!$B$30+'Inputs'!$B$31+'Inputs'!$B$32)/1000+'Inputs'!$B$21))/SQRT((((327-43)*MAX('Inputs'!$B$33,'Inputs'!$B$29+'Inputs'!$B$31+'Inputs'!$B$32,'Inputs'!$B$30+'Inputs'!$B$31+'Inputs'!$B$32)/1000+'Inputs'!$B$21))^2+('Inputs'!$B$6/2)^2)))-'Results'!C7*(0.5*((((327-43)*MAX('Inputs'!$B$33,'Inputs'!$B$29+'Inputs'!$B$31+'Inputs'!$B$32,'Inputs'!$B$30+'Inputs'!$B$31+'Inputs'!$B$32)/1000+'Inputs'!$B$21+'Inputs'!$B$7+'Inputs'!$B$10)+'Inputs'!$B$9)/SQRT((((327-43)*MAX('Inputs'!$B$33,'Inputs'!$B$29+'Inputs'!$B$31+'Inputs'!$B$32,'Inputs'!$B$30+'Inputs'!$B$31+'Inputs'!$B$32)/1000+'Inputs'!$B$21+'Inputs'!$B$7+'Inputs'!$B$10)+'Inputs'!$B$9)^2+('Inputs'!$B$8/2)^2)-(((327-43)*MAX('Inputs'!$B$33,'Inputs'!$B$29+'Inputs'!$B$31+'Inputs'!$B$32,'Inputs'!$B$30+'Inputs'!$B$31+'Inputs'!$B$32)/1000+'Inputs'!$B$21+'Inputs'!$B$7+'Inputs'!$B$10))/SQRT((((327-43)*MAX('Inputs'!$B$33,'Inputs'!$B$29+'Inputs'!$B$31+'Inputs'!$B$32,'Inputs'!$B$30+'Inputs'!$B$31+'Inputs'!$B$32)/1000+'Inputs'!$B$21+'Inputs'!$B$7+'Inputs'!$B$10))^2+('Inputs'!$B$8/2)^2))))*'Results'!$B$8),"")</x:f>
        <x:v>26.343569342709568</x:v>
      </x:c>
      <x:c r="K327" t="n">
        <x:f>IF(AND(ISNUMBER('Results'!B7),ISNUMBER('Results'!C7),ISNUMBER('Results'!$B$8),ISNUMBER('Inputs'!$B$6),ISNUMBER('Inputs'!$B$7),ISNUMBER('Inputs'!$B$8),ISNUMBER('Inputs'!$B$9),ISNUMBER('Inputs'!$B$10),ISNUMBER('Inputs'!$B$21),ISNUMBER('Inputs'!$B$24),ISNUMBER('Inputs'!$B$28)),((('Results'!B7*(1-'Inputs'!$B$24)*(0.5*((((327-43)*MAX('Inputs'!$B$33,'Inputs'!$B$29+'Inputs'!$B$31+'Inputs'!$B$32,'Inputs'!$B$30+'Inputs'!$B$31+'Inputs'!$B$32)/1000+'Inputs'!$B$21)+'Inputs'!$B$7)/SQRT((((327-43)*MAX('Inputs'!$B$33,'Inputs'!$B$29+'Inputs'!$B$31+'Inputs'!$B$32,'Inputs'!$B$30+'Inputs'!$B$31+'Inputs'!$B$32)/1000+'Inputs'!$B$21)+'Inputs'!$B$7)^2+('Inputs'!$B$6/2)^2)-(((327-43)*MAX('Inputs'!$B$33,'Inputs'!$B$29+'Inputs'!$B$31+'Inputs'!$B$32,'Inputs'!$B$30+'Inputs'!$B$31+'Inputs'!$B$32)/1000+'Inputs'!$B$21))/SQRT((((327-43)*MAX('Inputs'!$B$33,'Inputs'!$B$29+'Inputs'!$B$31+'Inputs'!$B$32,'Inputs'!$B$30+'Inputs'!$B$31+'Inputs'!$B$32)/1000+'Inputs'!$B$21))^2+('Inputs'!$B$6/2)^2)))-'Results'!C7*(1+'Inputs'!$B$24)*(0.5*((((327-43)*MAX('Inputs'!$B$33,'Inputs'!$B$29+'Inputs'!$B$31+'Inputs'!$B$32,'Inputs'!$B$30+'Inputs'!$B$31+'Inputs'!$B$32)/1000+'Inputs'!$B$21+'Inputs'!$B$7+'Inputs'!$B$10)+'Inputs'!$B$9)/SQRT((((327-43)*MAX('Inputs'!$B$33,'Inputs'!$B$29+'Inputs'!$B$31+'Inputs'!$B$32,'Inputs'!$B$30+'Inputs'!$B$31+'Inputs'!$B$32)/1000+'Inputs'!$B$21+'Inputs'!$B$7+'Inputs'!$B$10)+'Inputs'!$B$9)^2+('Inputs'!$B$8/2)^2)-(((327-43)*MAX('Inputs'!$B$33,'Inputs'!$B$29+'Inputs'!$B$31+'Inputs'!$B$32,'Inputs'!$B$30+'Inputs'!$B$31+'Inputs'!$B$32)/1000+'Inputs'!$B$21+'Inputs'!$B$7+'Inputs'!$B$10))/SQRT((((327-43)*MAX('Inputs'!$B$33,'Inputs'!$B$29+'Inputs'!$B$31+'Inputs'!$B$32,'Inputs'!$B$30+'Inputs'!$B$31+'Inputs'!$B$32)/1000+'Inputs'!$B$21+'Inputs'!$B$7+'Inputs'!$B$10))^2+('Inputs'!$B$8/2)^2))))*'Results'!$B$8)-'Inputs'!$B$28*ABS((('Results'!B7*(1-'Inputs'!$B$24)*(0.5*((((327-43)*MAX('Inputs'!$B$33,'Inputs'!$B$29+'Inputs'!$B$31+'Inputs'!$B$32,'Inputs'!$B$30+'Inputs'!$B$31+'Inputs'!$B$32)/1000+'Inputs'!$B$21)+'Inputs'!$B$7)/SQRT((((327-43)*MAX('Inputs'!$B$33,'Inputs'!$B$29+'Inputs'!$B$31+'Inputs'!$B$32,'Inputs'!$B$30+'Inputs'!$B$31+'Inputs'!$B$32)/1000+'Inputs'!$B$21)+'Inputs'!$B$7)^2+('Inputs'!$B$6/2)^2)-(((327-43)*MAX('Inputs'!$B$33,'Inputs'!$B$29+'Inputs'!$B$31+'Inputs'!$B$32,'Inputs'!$B$30+'Inputs'!$B$31+'Inputs'!$B$32)/1000+'Inputs'!$B$21))/SQRT((((327-43)*MAX('Inputs'!$B$33,'Inputs'!$B$29+'Inputs'!$B$31+'Inputs'!$B$32,'Inputs'!$B$30+'Inputs'!$B$31+'Inputs'!$B$32)/1000+'Inputs'!$B$21))^2+('Inputs'!$B$6/2)^2)))-'Results'!C7*(1+'Inputs'!$B$24)*(0.5*((((327-43)*MAX('Inputs'!$B$33,'Inputs'!$B$29+'Inputs'!$B$31+'Inputs'!$B$32,'Inputs'!$B$30+'Inputs'!$B$31+'Inputs'!$B$32)/1000+'Inputs'!$B$21+'Inputs'!$B$7+'Inputs'!$B$10)+'Inputs'!$B$9)/SQRT((((327-43)*MAX('Inputs'!$B$33,'Inputs'!$B$29+'Inputs'!$B$31+'Inputs'!$B$32,'Inputs'!$B$30+'Inputs'!$B$31+'Inputs'!$B$32)/1000+'Inputs'!$B$21+'Inputs'!$B$7+'Inputs'!$B$10)+'Inputs'!$B$9)^2+('Inputs'!$B$8/2)^2)-(((327-43)*MAX('Inputs'!$B$33,'Inputs'!$B$29+'Inputs'!$B$31+'Inputs'!$B$32,'Inputs'!$B$30+'Inputs'!$B$31+'Inputs'!$B$32)/1000+'Inputs'!$B$21+'Inputs'!$B$7+'Inputs'!$B$10))/SQRT((((327-43)*MAX('Inputs'!$B$33,'Inputs'!$B$29+'Inputs'!$B$31+'Inputs'!$B$32,'Inputs'!$B$30+'Inputs'!$B$31+'Inputs'!$B$32)/1000+'Inputs'!$B$21+'Inputs'!$B$7+'Inputs'!$B$10))^2+('Inputs'!$B$8/2)^2))))*'Results'!$B$8))),"")</x:f>
        <x:v>23.88214668578934</x:v>
      </x:c>
      <x:c r="L327" t="n">
        <x:f>IF(AND(ISNUMBER('Results'!B7),ISNUMBER('Results'!C7),ISNUMBER('Results'!$B$8),ISNUMBER('Inputs'!$B$6),ISNUMBER('Inputs'!$B$7),ISNUMBER('Inputs'!$B$8),ISNUMBER('Inputs'!$B$9),ISNUMBER('Inputs'!$B$10),ISNUMBER('Inputs'!$B$21),ISNUMBER('Inputs'!$B$24),ISNUMBER('Inputs'!$B$28)),((('Results'!B7*(1+'Inputs'!$B$24)*(0.5*((((327-43)*MAX('Inputs'!$B$33,'Inputs'!$B$29+'Inputs'!$B$31+'Inputs'!$B$32,'Inputs'!$B$30+'Inputs'!$B$31+'Inputs'!$B$32)/1000+'Inputs'!$B$21)+'Inputs'!$B$7)/SQRT((((327-43)*MAX('Inputs'!$B$33,'Inputs'!$B$29+'Inputs'!$B$31+'Inputs'!$B$32,'Inputs'!$B$30+'Inputs'!$B$31+'Inputs'!$B$32)/1000+'Inputs'!$B$21)+'Inputs'!$B$7)^2+('Inputs'!$B$6/2)^2)-(((327-43)*MAX('Inputs'!$B$33,'Inputs'!$B$29+'Inputs'!$B$31+'Inputs'!$B$32,'Inputs'!$B$30+'Inputs'!$B$31+'Inputs'!$B$32)/1000+'Inputs'!$B$21))/SQRT((((327-43)*MAX('Inputs'!$B$33,'Inputs'!$B$29+'Inputs'!$B$31+'Inputs'!$B$32,'Inputs'!$B$30+'Inputs'!$B$31+'Inputs'!$B$32)/1000+'Inputs'!$B$21))^2+('Inputs'!$B$6/2)^2)))-'Results'!C7*(1-'Inputs'!$B$24)*(0.5*((((327-43)*MAX('Inputs'!$B$33,'Inputs'!$B$29+'Inputs'!$B$31+'Inputs'!$B$32,'Inputs'!$B$30+'Inputs'!$B$31+'Inputs'!$B$32)/1000+'Inputs'!$B$21+'Inputs'!$B$7+'Inputs'!$B$10)+'Inputs'!$B$9)/SQRT((((327-43)*MAX('Inputs'!$B$33,'Inputs'!$B$29+'Inputs'!$B$31+'Inputs'!$B$32,'Inputs'!$B$30+'Inputs'!$B$31+'Inputs'!$B$32)/1000+'Inputs'!$B$21+'Inputs'!$B$7+'Inputs'!$B$10)+'Inputs'!$B$9)^2+('Inputs'!$B$8/2)^2)-(((327-43)*MAX('Inputs'!$B$33,'Inputs'!$B$29+'Inputs'!$B$31+'Inputs'!$B$32,'Inputs'!$B$30+'Inputs'!$B$31+'Inputs'!$B$32)/1000+'Inputs'!$B$21+'Inputs'!$B$7+'Inputs'!$B$10))/SQRT((((327-43)*MAX('Inputs'!$B$33,'Inputs'!$B$29+'Inputs'!$B$31+'Inputs'!$B$32,'Inputs'!$B$30+'Inputs'!$B$31+'Inputs'!$B$32)/1000+'Inputs'!$B$21+'Inputs'!$B$7+'Inputs'!$B$10))^2+('Inputs'!$B$8/2)^2))))*'Results'!$B$8)+'Inputs'!$B$28*ABS((('Results'!B7*(1+'Inputs'!$B$24)*(0.5*((((327-43)*MAX('Inputs'!$B$33,'Inputs'!$B$29+'Inputs'!$B$31+'Inputs'!$B$32,'Inputs'!$B$30+'Inputs'!$B$31+'Inputs'!$B$32)/1000+'Inputs'!$B$21)+'Inputs'!$B$7)/SQRT((((327-43)*MAX('Inputs'!$B$33,'Inputs'!$B$29+'Inputs'!$B$31+'Inputs'!$B$32,'Inputs'!$B$30+'Inputs'!$B$31+'Inputs'!$B$32)/1000+'Inputs'!$B$21)+'Inputs'!$B$7)^2+('Inputs'!$B$6/2)^2)-(((327-43)*MAX('Inputs'!$B$33,'Inputs'!$B$29+'Inputs'!$B$31+'Inputs'!$B$32,'Inputs'!$B$30+'Inputs'!$B$31+'Inputs'!$B$32)/1000+'Inputs'!$B$21))/SQRT((((327-43)*MAX('Inputs'!$B$33,'Inputs'!$B$29+'Inputs'!$B$31+'Inputs'!$B$32,'Inputs'!$B$30+'Inputs'!$B$31+'Inputs'!$B$32)/1000+'Inputs'!$B$21))^2+('Inputs'!$B$6/2)^2)))-'Results'!C7*(1-'Inputs'!$B$24)*(0.5*((((327-43)*MAX('Inputs'!$B$33,'Inputs'!$B$29+'Inputs'!$B$31+'Inputs'!$B$32,'Inputs'!$B$30+'Inputs'!$B$31+'Inputs'!$B$32)/1000+'Inputs'!$B$21+'Inputs'!$B$7+'Inputs'!$B$10)+'Inputs'!$B$9)/SQRT((((327-43)*MAX('Inputs'!$B$33,'Inputs'!$B$29+'Inputs'!$B$31+'Inputs'!$B$32,'Inputs'!$B$30+'Inputs'!$B$31+'Inputs'!$B$32)/1000+'Inputs'!$B$21+'Inputs'!$B$7+'Inputs'!$B$10)+'Inputs'!$B$9)^2+('Inputs'!$B$8/2)^2)-(((327-43)*MAX('Inputs'!$B$33,'Inputs'!$B$29+'Inputs'!$B$31+'Inputs'!$B$32,'Inputs'!$B$30+'Inputs'!$B$31+'Inputs'!$B$32)/1000+'Inputs'!$B$21+'Inputs'!$B$7+'Inputs'!$B$10))/SQRT((((327-43)*MAX('Inputs'!$B$33,'Inputs'!$B$29+'Inputs'!$B$31+'Inputs'!$B$32,'Inputs'!$B$30+'Inputs'!$B$31+'Inputs'!$B$32)/1000+'Inputs'!$B$21+'Inputs'!$B$7+'Inputs'!$B$10))^2+('Inputs'!$B$8/2)^2))))*'Results'!$B$8))),"")</x:f>
        <x:v>28.925438756449243</x:v>
      </x:c>
      <x:c r="M327" t="n">
        <x:f>IF(AND(ISNUMBER('Results'!C7),ISNUMBER('Results'!B7),ISNUMBER('Results'!$B$8),ISNUMBER('Inputs'!$B$6),ISNUMBER('Inputs'!$B$7),ISNUMBER('Inputs'!$B$8),ISNUMBER('Inputs'!$B$9),ISNUMBER('Inputs'!$B$10),ISNUMBER('Inputs'!$B$21),ISNUMBER('Inputs'!$B$24),ISNUMBER('Inputs'!$B$28)),(('Results'!C7*(0.5*((((327-43)*MAX('Inputs'!$B$33,'Inputs'!$B$29+'Inputs'!$B$31+'Inputs'!$B$32,'Inputs'!$B$30+'Inputs'!$B$31+'Inputs'!$B$32)/1000+'Inputs'!$B$21)+'Inputs'!$B$9)/SQRT((((327-43)*MAX('Inputs'!$B$33,'Inputs'!$B$29+'Inputs'!$B$31+'Inputs'!$B$32,'Inputs'!$B$30+'Inputs'!$B$31+'Inputs'!$B$32)/1000+'Inputs'!$B$21)+'Inputs'!$B$9)^2+('Inputs'!$B$8/2)^2)-(((327-43)*MAX('Inputs'!$B$33,'Inputs'!$B$29+'Inputs'!$B$31+'Inputs'!$B$32,'Inputs'!$B$30+'Inputs'!$B$31+'Inputs'!$B$32)/1000+'Inputs'!$B$21))/SQRT((((327-43)*MAX('Inputs'!$B$33,'Inputs'!$B$29+'Inputs'!$B$31+'Inputs'!$B$32,'Inputs'!$B$30+'Inputs'!$B$31+'Inputs'!$B$32)/1000+'Inputs'!$B$21))^2+('Inputs'!$B$8/2)^2)))-'Results'!B7*(0.5*((((327-43)*MAX('Inputs'!$B$33,'Inputs'!$B$29+'Inputs'!$B$31+'Inputs'!$B$32,'Inputs'!$B$30+'Inputs'!$B$31+'Inputs'!$B$32)/1000+'Inputs'!$B$21+'Inputs'!$B$9+'Inputs'!$B$10)+'Inputs'!$B$7)/SQRT((((327-43)*MAX('Inputs'!$B$33,'Inputs'!$B$29+'Inputs'!$B$31+'Inputs'!$B$32,'Inputs'!$B$30+'Inputs'!$B$31+'Inputs'!$B$32)/1000+'Inputs'!$B$21+'Inputs'!$B$9+'Inputs'!$B$10)+'Inputs'!$B$7)^2+('Inputs'!$B$6/2)^2)-(((327-43)*MAX('Inputs'!$B$33,'Inputs'!$B$29+'Inputs'!$B$31+'Inputs'!$B$32,'Inputs'!$B$30+'Inputs'!$B$31+'Inputs'!$B$32)/1000+'Inputs'!$B$21+'Inputs'!$B$9+'Inputs'!$B$10))/SQRT((((327-43)*MAX('Inputs'!$B$33,'Inputs'!$B$29+'Inputs'!$B$31+'Inputs'!$B$32,'Inputs'!$B$30+'Inputs'!$B$31+'Inputs'!$B$32)/1000+'Inputs'!$B$21+'Inputs'!$B$9+'Inputs'!$B$10))^2+('Inputs'!$B$6/2)^2))))*'Results'!$B$8),"")</x:f>
        <x:v>25.132187527766725</x:v>
      </x:c>
      <x:c r="N327" t="n">
        <x:f>IF(AND(ISNUMBER('Results'!C7),ISNUMBER('Results'!B7),ISNUMBER('Results'!$B$8),ISNUMBER('Inputs'!$B$6),ISNUMBER('Inputs'!$B$7),ISNUMBER('Inputs'!$B$8),ISNUMBER('Inputs'!$B$9),ISNUMBER('Inputs'!$B$10),ISNUMBER('Inputs'!$B$21),ISNUMBER('Inputs'!$B$24),ISNUMBER('Inputs'!$B$28)),((('Results'!C7*(1-'Inputs'!$B$24)*(0.5*((((327-43)*MAX('Inputs'!$B$33,'Inputs'!$B$29+'Inputs'!$B$31+'Inputs'!$B$32,'Inputs'!$B$30+'Inputs'!$B$31+'Inputs'!$B$32)/1000+'Inputs'!$B$21)+'Inputs'!$B$9)/SQRT((((327-43)*MAX('Inputs'!$B$33,'Inputs'!$B$29+'Inputs'!$B$31+'Inputs'!$B$32,'Inputs'!$B$30+'Inputs'!$B$31+'Inputs'!$B$32)/1000+'Inputs'!$B$21)+'Inputs'!$B$9)^2+('Inputs'!$B$8/2)^2)-(((327-43)*MAX('Inputs'!$B$33,'Inputs'!$B$29+'Inputs'!$B$31+'Inputs'!$B$32,'Inputs'!$B$30+'Inputs'!$B$31+'Inputs'!$B$32)/1000+'Inputs'!$B$21))/SQRT((((327-43)*MAX('Inputs'!$B$33,'Inputs'!$B$29+'Inputs'!$B$31+'Inputs'!$B$32,'Inputs'!$B$30+'Inputs'!$B$31+'Inputs'!$B$32)/1000+'Inputs'!$B$21))^2+('Inputs'!$B$8/2)^2)))-'Results'!B7*(1+'Inputs'!$B$24)*(0.5*((((327-43)*MAX('Inputs'!$B$33,'Inputs'!$B$29+'Inputs'!$B$31+'Inputs'!$B$32,'Inputs'!$B$30+'Inputs'!$B$31+'Inputs'!$B$32)/1000+'Inputs'!$B$21+'Inputs'!$B$9+'Inputs'!$B$10)+'Inputs'!$B$7)/SQRT((((327-43)*MAX('Inputs'!$B$33,'Inputs'!$B$29+'Inputs'!$B$31+'Inputs'!$B$32,'Inputs'!$B$30+'Inputs'!$B$31+'Inputs'!$B$32)/1000+'Inputs'!$B$21+'Inputs'!$B$9+'Inputs'!$B$10)+'Inputs'!$B$7)^2+('Inputs'!$B$6/2)^2)-(((327-43)*MAX('Inputs'!$B$33,'Inputs'!$B$29+'Inputs'!$B$31+'Inputs'!$B$32,'Inputs'!$B$30+'Inputs'!$B$31+'Inputs'!$B$32)/1000+'Inputs'!$B$21+'Inputs'!$B$9+'Inputs'!$B$10))/SQRT((((327-43)*MAX('Inputs'!$B$33,'Inputs'!$B$29+'Inputs'!$B$31+'Inputs'!$B$32,'Inputs'!$B$30+'Inputs'!$B$31+'Inputs'!$B$32)/1000+'Inputs'!$B$21+'Inputs'!$B$9+'Inputs'!$B$10))^2+('Inputs'!$B$6/2)^2))))*'Results'!$B$8)-'Inputs'!$B$28*ABS((('Results'!C7*(1-'Inputs'!$B$24)*(0.5*((((327-43)*MAX('Inputs'!$B$33,'Inputs'!$B$29+'Inputs'!$B$31+'Inputs'!$B$32,'Inputs'!$B$30+'Inputs'!$B$31+'Inputs'!$B$32)/1000+'Inputs'!$B$21)+'Inputs'!$B$9)/SQRT((((327-43)*MAX('Inputs'!$B$33,'Inputs'!$B$29+'Inputs'!$B$31+'Inputs'!$B$32,'Inputs'!$B$30+'Inputs'!$B$31+'Inputs'!$B$32)/1000+'Inputs'!$B$21)+'Inputs'!$B$9)^2+('Inputs'!$B$8/2)^2)-(((327-43)*MAX('Inputs'!$B$33,'Inputs'!$B$29+'Inputs'!$B$31+'Inputs'!$B$32,'Inputs'!$B$30+'Inputs'!$B$31+'Inputs'!$B$32)/1000+'Inputs'!$B$21))/SQRT((((327-43)*MAX('Inputs'!$B$33,'Inputs'!$B$29+'Inputs'!$B$31+'Inputs'!$B$32,'Inputs'!$B$30+'Inputs'!$B$31+'Inputs'!$B$32)/1000+'Inputs'!$B$21))^2+('Inputs'!$B$8/2)^2)))-'Results'!B7*(1+'Inputs'!$B$24)*(0.5*((((327-43)*MAX('Inputs'!$B$33,'Inputs'!$B$29+'Inputs'!$B$31+'Inputs'!$B$32,'Inputs'!$B$30+'Inputs'!$B$31+'Inputs'!$B$32)/1000+'Inputs'!$B$21+'Inputs'!$B$9+'Inputs'!$B$10)+'Inputs'!$B$7)/SQRT((((327-43)*MAX('Inputs'!$B$33,'Inputs'!$B$29+'Inputs'!$B$31+'Inputs'!$B$32,'Inputs'!$B$30+'Inputs'!$B$31+'Inputs'!$B$32)/1000+'Inputs'!$B$21+'Inputs'!$B$9+'Inputs'!$B$10)+'Inputs'!$B$7)^2+('Inputs'!$B$6/2)^2)-(((327-43)*MAX('Inputs'!$B$33,'Inputs'!$B$29+'Inputs'!$B$31+'Inputs'!$B$32,'Inputs'!$B$30+'Inputs'!$B$31+'Inputs'!$B$32)/1000+'Inputs'!$B$21+'Inputs'!$B$9+'Inputs'!$B$10))/SQRT((((327-43)*MAX('Inputs'!$B$33,'Inputs'!$B$29+'Inputs'!$B$31+'Inputs'!$B$32,'Inputs'!$B$30+'Inputs'!$B$31+'Inputs'!$B$32)/1000+'Inputs'!$B$21+'Inputs'!$B$9+'Inputs'!$B$10))^2+('Inputs'!$B$6/2)^2))))*'Results'!$B$8))),"")</x:f>
        <x:v>22.74121314725564</x:v>
      </x:c>
      <x:c r="O327" t="n">
        <x:f>IF(AND(ISNUMBER('Results'!C7),ISNUMBER('Results'!B7),ISNUMBER('Results'!$B$8),ISNUMBER('Inputs'!$B$6),ISNUMBER('Inputs'!$B$7),ISNUMBER('Inputs'!$B$8),ISNUMBER('Inputs'!$B$9),ISNUMBER('Inputs'!$B$10),ISNUMBER('Inputs'!$B$21),ISNUMBER('Inputs'!$B$24),ISNUMBER('Inputs'!$B$28)),((('Results'!C7*(1+'Inputs'!$B$24)*(0.5*((((327-43)*MAX('Inputs'!$B$33,'Inputs'!$B$29+'Inputs'!$B$31+'Inputs'!$B$32,'Inputs'!$B$30+'Inputs'!$B$31+'Inputs'!$B$32)/1000+'Inputs'!$B$21)+'Inputs'!$B$9)/SQRT((((327-43)*MAX('Inputs'!$B$33,'Inputs'!$B$29+'Inputs'!$B$31+'Inputs'!$B$32,'Inputs'!$B$30+'Inputs'!$B$31+'Inputs'!$B$32)/1000+'Inputs'!$B$21)+'Inputs'!$B$9)^2+('Inputs'!$B$8/2)^2)-(((327-43)*MAX('Inputs'!$B$33,'Inputs'!$B$29+'Inputs'!$B$31+'Inputs'!$B$32,'Inputs'!$B$30+'Inputs'!$B$31+'Inputs'!$B$32)/1000+'Inputs'!$B$21))/SQRT((((327-43)*MAX('Inputs'!$B$33,'Inputs'!$B$29+'Inputs'!$B$31+'Inputs'!$B$32,'Inputs'!$B$30+'Inputs'!$B$31+'Inputs'!$B$32)/1000+'Inputs'!$B$21))^2+('Inputs'!$B$8/2)^2)))-'Results'!B7*(1-'Inputs'!$B$24)*(0.5*((((327-43)*MAX('Inputs'!$B$33,'Inputs'!$B$29+'Inputs'!$B$31+'Inputs'!$B$32,'Inputs'!$B$30+'Inputs'!$B$31+'Inputs'!$B$32)/1000+'Inputs'!$B$21+'Inputs'!$B$9+'Inputs'!$B$10)+'Inputs'!$B$7)/SQRT((((327-43)*MAX('Inputs'!$B$33,'Inputs'!$B$29+'Inputs'!$B$31+'Inputs'!$B$32,'Inputs'!$B$30+'Inputs'!$B$31+'Inputs'!$B$32)/1000+'Inputs'!$B$21+'Inputs'!$B$9+'Inputs'!$B$10)+'Inputs'!$B$7)^2+('Inputs'!$B$6/2)^2)-(((327-43)*MAX('Inputs'!$B$33,'Inputs'!$B$29+'Inputs'!$B$31+'Inputs'!$B$32,'Inputs'!$B$30+'Inputs'!$B$31+'Inputs'!$B$32)/1000+'Inputs'!$B$21+'Inputs'!$B$9+'Inputs'!$B$10))/SQRT((((327-43)*MAX('Inputs'!$B$33,'Inputs'!$B$29+'Inputs'!$B$31+'Inputs'!$B$32,'Inputs'!$B$30+'Inputs'!$B$31+'Inputs'!$B$32)/1000+'Inputs'!$B$21+'Inputs'!$B$9+'Inputs'!$B$10))^2+('Inputs'!$B$6/2)^2))))*'Results'!$B$8)+'Inputs'!$B$28*ABS((('Results'!C7*(1+'Inputs'!$B$24)*(0.5*((((327-43)*MAX('Inputs'!$B$33,'Inputs'!$B$29+'Inputs'!$B$31+'Inputs'!$B$32,'Inputs'!$B$30+'Inputs'!$B$31+'Inputs'!$B$32)/1000+'Inputs'!$B$21)+'Inputs'!$B$9)/SQRT((((327-43)*MAX('Inputs'!$B$33,'Inputs'!$B$29+'Inputs'!$B$31+'Inputs'!$B$32,'Inputs'!$B$30+'Inputs'!$B$31+'Inputs'!$B$32)/1000+'Inputs'!$B$21)+'Inputs'!$B$9)^2+('Inputs'!$B$8/2)^2)-(((327-43)*MAX('Inputs'!$B$33,'Inputs'!$B$29+'Inputs'!$B$31+'Inputs'!$B$32,'Inputs'!$B$30+'Inputs'!$B$31+'Inputs'!$B$32)/1000+'Inputs'!$B$21))/SQRT((((327-43)*MAX('Inputs'!$B$33,'Inputs'!$B$29+'Inputs'!$B$31+'Inputs'!$B$32,'Inputs'!$B$30+'Inputs'!$B$31+'Inputs'!$B$32)/1000+'Inputs'!$B$21))^2+('Inputs'!$B$8/2)^2)))-'Results'!B7*(1-'Inputs'!$B$24)*(0.5*((((327-43)*MAX('Inputs'!$B$33,'Inputs'!$B$29+'Inputs'!$B$31+'Inputs'!$B$32,'Inputs'!$B$30+'Inputs'!$B$31+'Inputs'!$B$32)/1000+'Inputs'!$B$21+'Inputs'!$B$9+'Inputs'!$B$10)+'Inputs'!$B$7)/SQRT((((327-43)*MAX('Inputs'!$B$33,'Inputs'!$B$29+'Inputs'!$B$31+'Inputs'!$B$32,'Inputs'!$B$30+'Inputs'!$B$31+'Inputs'!$B$32)/1000+'Inputs'!$B$21+'Inputs'!$B$9+'Inputs'!$B$10)+'Inputs'!$B$7)^2+('Inputs'!$B$6/2)^2)-(((327-43)*MAX('Inputs'!$B$33,'Inputs'!$B$29+'Inputs'!$B$31+'Inputs'!$B$32,'Inputs'!$B$30+'Inputs'!$B$31+'Inputs'!$B$32)/1000+'Inputs'!$B$21+'Inputs'!$B$9+'Inputs'!$B$10))/SQRT((((327-43)*MAX('Inputs'!$B$33,'Inputs'!$B$29+'Inputs'!$B$31+'Inputs'!$B$32,'Inputs'!$B$30+'Inputs'!$B$31+'Inputs'!$B$32)/1000+'Inputs'!$B$21+'Inputs'!$B$9+'Inputs'!$B$10))^2+('Inputs'!$B$6/2)^2))))*'Results'!$B$8))),"")</x:f>
        <x:v>27.642568750817038</x:v>
      </x:c>
      <x:c r="P327" t="n">
        <x:f>IF(AND(MAX(J327,J326)&gt;0,J327&gt;J326+0.00000001),1,0)</x:f>
        <x:v>0</x:v>
      </x:c>
      <x:c r="Q327" t="n">
        <x:f>IF(AND(MAX(K327,K326)&gt;0,K327&gt;K326+0.00000001),1,0)</x:f>
        <x:v>0</x:v>
      </x:c>
      <x:c r="R327" t="n">
        <x:f>IF(AND(MAX(L327,L326)&gt;0,L327&gt;L326+0.00000001),1,0)</x:f>
        <x:v>0</x:v>
      </x:c>
      <x:c r="S327" t="n">
        <x:f>IF(AND(MAX(M327,M326)&gt;0,M327&gt;M326+0.00000001),1,0)</x:f>
        <x:v>0</x:v>
      </x:c>
      <x:c r="T327" t="n">
        <x:f>IF(AND(MAX(N327,N326)&gt;0,N327&gt;N326+0.00000001),1,0)</x:f>
        <x:v>0</x:v>
      </x:c>
      <x:c r="U327" t="n">
        <x:f>IF(AND(MAX(O327,O326)&gt;0,O327&gt;O326+0.00000001),1,0)</x:f>
        <x:v>0</x:v>
      </x:c>
    </x:row>
    <x:row r="328">
      <x:c r="J328" t="n">
        <x:f>IF(AND(ISNUMBER('Results'!B7),ISNUMBER('Results'!C7),ISNUMBER('Results'!$B$8),ISNUMBER('Inputs'!$B$6),ISNUMBER('Inputs'!$B$7),ISNUMBER('Inputs'!$B$8),ISNUMBER('Inputs'!$B$9),ISNUMBER('Inputs'!$B$10),ISNUMBER('Inputs'!$B$21),ISNUMBER('Inputs'!$B$24),ISNUMBER('Inputs'!$B$28)),(('Results'!B7*(0.5*((((328-43)*MAX('Inputs'!$B$33,'Inputs'!$B$29+'Inputs'!$B$31+'Inputs'!$B$32,'Inputs'!$B$30+'Inputs'!$B$31+'Inputs'!$B$32)/1000+'Inputs'!$B$21)+'Inputs'!$B$7)/SQRT((((328-43)*MAX('Inputs'!$B$33,'Inputs'!$B$29+'Inputs'!$B$31+'Inputs'!$B$32,'Inputs'!$B$30+'Inputs'!$B$31+'Inputs'!$B$32)/1000+'Inputs'!$B$21)+'Inputs'!$B$7)^2+('Inputs'!$B$6/2)^2)-(((328-43)*MAX('Inputs'!$B$33,'Inputs'!$B$29+'Inputs'!$B$31+'Inputs'!$B$32,'Inputs'!$B$30+'Inputs'!$B$31+'Inputs'!$B$32)/1000+'Inputs'!$B$21))/SQRT((((328-43)*MAX('Inputs'!$B$33,'Inputs'!$B$29+'Inputs'!$B$31+'Inputs'!$B$32,'Inputs'!$B$30+'Inputs'!$B$31+'Inputs'!$B$32)/1000+'Inputs'!$B$21))^2+('Inputs'!$B$6/2)^2)))-'Results'!C7*(0.5*((((328-43)*MAX('Inputs'!$B$33,'Inputs'!$B$29+'Inputs'!$B$31+'Inputs'!$B$32,'Inputs'!$B$30+'Inputs'!$B$31+'Inputs'!$B$32)/1000+'Inputs'!$B$21+'Inputs'!$B$7+'Inputs'!$B$10)+'Inputs'!$B$9)/SQRT((((328-43)*MAX('Inputs'!$B$33,'Inputs'!$B$29+'Inputs'!$B$31+'Inputs'!$B$32,'Inputs'!$B$30+'Inputs'!$B$31+'Inputs'!$B$32)/1000+'Inputs'!$B$21+'Inputs'!$B$7+'Inputs'!$B$10)+'Inputs'!$B$9)^2+('Inputs'!$B$8/2)^2)-(((328-43)*MAX('Inputs'!$B$33,'Inputs'!$B$29+'Inputs'!$B$31+'Inputs'!$B$32,'Inputs'!$B$30+'Inputs'!$B$31+'Inputs'!$B$32)/1000+'Inputs'!$B$21+'Inputs'!$B$7+'Inputs'!$B$10))/SQRT((((328-43)*MAX('Inputs'!$B$33,'Inputs'!$B$29+'Inputs'!$B$31+'Inputs'!$B$32,'Inputs'!$B$30+'Inputs'!$B$31+'Inputs'!$B$32)/1000+'Inputs'!$B$21+'Inputs'!$B$7+'Inputs'!$B$10))^2+('Inputs'!$B$8/2)^2))))*'Results'!$B$8),"")</x:f>
        <x:v>26.061133935881724</x:v>
      </x:c>
      <x:c r="K328" t="n">
        <x:f>IF(AND(ISNUMBER('Results'!B7),ISNUMBER('Results'!C7),ISNUMBER('Results'!$B$8),ISNUMBER('Inputs'!$B$6),ISNUMBER('Inputs'!$B$7),ISNUMBER('Inputs'!$B$8),ISNUMBER('Inputs'!$B$9),ISNUMBER('Inputs'!$B$10),ISNUMBER('Inputs'!$B$21),ISNUMBER('Inputs'!$B$24),ISNUMBER('Inputs'!$B$28)),((('Results'!B7*(1-'Inputs'!$B$24)*(0.5*((((328-43)*MAX('Inputs'!$B$33,'Inputs'!$B$29+'Inputs'!$B$31+'Inputs'!$B$32,'Inputs'!$B$30+'Inputs'!$B$31+'Inputs'!$B$32)/1000+'Inputs'!$B$21)+'Inputs'!$B$7)/SQRT((((328-43)*MAX('Inputs'!$B$33,'Inputs'!$B$29+'Inputs'!$B$31+'Inputs'!$B$32,'Inputs'!$B$30+'Inputs'!$B$31+'Inputs'!$B$32)/1000+'Inputs'!$B$21)+'Inputs'!$B$7)^2+('Inputs'!$B$6/2)^2)-(((328-43)*MAX('Inputs'!$B$33,'Inputs'!$B$29+'Inputs'!$B$31+'Inputs'!$B$32,'Inputs'!$B$30+'Inputs'!$B$31+'Inputs'!$B$32)/1000+'Inputs'!$B$21))/SQRT((((328-43)*MAX('Inputs'!$B$33,'Inputs'!$B$29+'Inputs'!$B$31+'Inputs'!$B$32,'Inputs'!$B$30+'Inputs'!$B$31+'Inputs'!$B$32)/1000+'Inputs'!$B$21))^2+('Inputs'!$B$6/2)^2)))-'Results'!C7*(1+'Inputs'!$B$24)*(0.5*((((328-43)*MAX('Inputs'!$B$33,'Inputs'!$B$29+'Inputs'!$B$31+'Inputs'!$B$32,'Inputs'!$B$30+'Inputs'!$B$31+'Inputs'!$B$32)/1000+'Inputs'!$B$21+'Inputs'!$B$7+'Inputs'!$B$10)+'Inputs'!$B$9)/SQRT((((328-43)*MAX('Inputs'!$B$33,'Inputs'!$B$29+'Inputs'!$B$31+'Inputs'!$B$32,'Inputs'!$B$30+'Inputs'!$B$31+'Inputs'!$B$32)/1000+'Inputs'!$B$21+'Inputs'!$B$7+'Inputs'!$B$10)+'Inputs'!$B$9)^2+('Inputs'!$B$8/2)^2)-(((328-43)*MAX('Inputs'!$B$33,'Inputs'!$B$29+'Inputs'!$B$31+'Inputs'!$B$32,'Inputs'!$B$30+'Inputs'!$B$31+'Inputs'!$B$32)/1000+'Inputs'!$B$21+'Inputs'!$B$7+'Inputs'!$B$10))/SQRT((((328-43)*MAX('Inputs'!$B$33,'Inputs'!$B$29+'Inputs'!$B$31+'Inputs'!$B$32,'Inputs'!$B$30+'Inputs'!$B$31+'Inputs'!$B$32)/1000+'Inputs'!$B$21+'Inputs'!$B$7+'Inputs'!$B$10))^2+('Inputs'!$B$8/2)^2))))*'Results'!$B$8)-'Inputs'!$B$28*ABS((('Results'!B7*(1-'Inputs'!$B$24)*(0.5*((((328-43)*MAX('Inputs'!$B$33,'Inputs'!$B$29+'Inputs'!$B$31+'Inputs'!$B$32,'Inputs'!$B$30+'Inputs'!$B$31+'Inputs'!$B$32)/1000+'Inputs'!$B$21)+'Inputs'!$B$7)/SQRT((((328-43)*MAX('Inputs'!$B$33,'Inputs'!$B$29+'Inputs'!$B$31+'Inputs'!$B$32,'Inputs'!$B$30+'Inputs'!$B$31+'Inputs'!$B$32)/1000+'Inputs'!$B$21)+'Inputs'!$B$7)^2+('Inputs'!$B$6/2)^2)-(((328-43)*MAX('Inputs'!$B$33,'Inputs'!$B$29+'Inputs'!$B$31+'Inputs'!$B$32,'Inputs'!$B$30+'Inputs'!$B$31+'Inputs'!$B$32)/1000+'Inputs'!$B$21))/SQRT((((328-43)*MAX('Inputs'!$B$33,'Inputs'!$B$29+'Inputs'!$B$31+'Inputs'!$B$32,'Inputs'!$B$30+'Inputs'!$B$31+'Inputs'!$B$32)/1000+'Inputs'!$B$21))^2+('Inputs'!$B$6/2)^2)))-'Results'!C7*(1+'Inputs'!$B$24)*(0.5*((((328-43)*MAX('Inputs'!$B$33,'Inputs'!$B$29+'Inputs'!$B$31+'Inputs'!$B$32,'Inputs'!$B$30+'Inputs'!$B$31+'Inputs'!$B$32)/1000+'Inputs'!$B$21+'Inputs'!$B$7+'Inputs'!$B$10)+'Inputs'!$B$9)/SQRT((((328-43)*MAX('Inputs'!$B$33,'Inputs'!$B$29+'Inputs'!$B$31+'Inputs'!$B$32,'Inputs'!$B$30+'Inputs'!$B$31+'Inputs'!$B$32)/1000+'Inputs'!$B$21+'Inputs'!$B$7+'Inputs'!$B$10)+'Inputs'!$B$9)^2+('Inputs'!$B$8/2)^2)-(((328-43)*MAX('Inputs'!$B$33,'Inputs'!$B$29+'Inputs'!$B$31+'Inputs'!$B$32,'Inputs'!$B$30+'Inputs'!$B$31+'Inputs'!$B$32)/1000+'Inputs'!$B$21+'Inputs'!$B$7+'Inputs'!$B$10))/SQRT((((328-43)*MAX('Inputs'!$B$33,'Inputs'!$B$29+'Inputs'!$B$31+'Inputs'!$B$32,'Inputs'!$B$30+'Inputs'!$B$31+'Inputs'!$B$32)/1000+'Inputs'!$B$21+'Inputs'!$B$7+'Inputs'!$B$10))^2+('Inputs'!$B$8/2)^2))))*'Results'!$B$8))),"")</x:f>
        <x:v>23.623644621210392</x:v>
      </x:c>
      <x:c r="L328" t="n">
        <x:f>IF(AND(ISNUMBER('Results'!B7),ISNUMBER('Results'!C7),ISNUMBER('Results'!$B$8),ISNUMBER('Inputs'!$B$6),ISNUMBER('Inputs'!$B$7),ISNUMBER('Inputs'!$B$8),ISNUMBER('Inputs'!$B$9),ISNUMBER('Inputs'!$B$10),ISNUMBER('Inputs'!$B$21),ISNUMBER('Inputs'!$B$24),ISNUMBER('Inputs'!$B$28)),((('Results'!B7*(1+'Inputs'!$B$24)*(0.5*((((328-43)*MAX('Inputs'!$B$33,'Inputs'!$B$29+'Inputs'!$B$31+'Inputs'!$B$32,'Inputs'!$B$30+'Inputs'!$B$31+'Inputs'!$B$32)/1000+'Inputs'!$B$21)+'Inputs'!$B$7)/SQRT((((328-43)*MAX('Inputs'!$B$33,'Inputs'!$B$29+'Inputs'!$B$31+'Inputs'!$B$32,'Inputs'!$B$30+'Inputs'!$B$31+'Inputs'!$B$32)/1000+'Inputs'!$B$21)+'Inputs'!$B$7)^2+('Inputs'!$B$6/2)^2)-(((328-43)*MAX('Inputs'!$B$33,'Inputs'!$B$29+'Inputs'!$B$31+'Inputs'!$B$32,'Inputs'!$B$30+'Inputs'!$B$31+'Inputs'!$B$32)/1000+'Inputs'!$B$21))/SQRT((((328-43)*MAX('Inputs'!$B$33,'Inputs'!$B$29+'Inputs'!$B$31+'Inputs'!$B$32,'Inputs'!$B$30+'Inputs'!$B$31+'Inputs'!$B$32)/1000+'Inputs'!$B$21))^2+('Inputs'!$B$6/2)^2)))-'Results'!C7*(1-'Inputs'!$B$24)*(0.5*((((328-43)*MAX('Inputs'!$B$33,'Inputs'!$B$29+'Inputs'!$B$31+'Inputs'!$B$32,'Inputs'!$B$30+'Inputs'!$B$31+'Inputs'!$B$32)/1000+'Inputs'!$B$21+'Inputs'!$B$7+'Inputs'!$B$10)+'Inputs'!$B$9)/SQRT((((328-43)*MAX('Inputs'!$B$33,'Inputs'!$B$29+'Inputs'!$B$31+'Inputs'!$B$32,'Inputs'!$B$30+'Inputs'!$B$31+'Inputs'!$B$32)/1000+'Inputs'!$B$21+'Inputs'!$B$7+'Inputs'!$B$10)+'Inputs'!$B$9)^2+('Inputs'!$B$8/2)^2)-(((328-43)*MAX('Inputs'!$B$33,'Inputs'!$B$29+'Inputs'!$B$31+'Inputs'!$B$32,'Inputs'!$B$30+'Inputs'!$B$31+'Inputs'!$B$32)/1000+'Inputs'!$B$21+'Inputs'!$B$7+'Inputs'!$B$10))/SQRT((((328-43)*MAX('Inputs'!$B$33,'Inputs'!$B$29+'Inputs'!$B$31+'Inputs'!$B$32,'Inputs'!$B$30+'Inputs'!$B$31+'Inputs'!$B$32)/1000+'Inputs'!$B$21+'Inputs'!$B$7+'Inputs'!$B$10))^2+('Inputs'!$B$8/2)^2))))*'Results'!$B$8)+'Inputs'!$B$28*ABS((('Results'!B7*(1+'Inputs'!$B$24)*(0.5*((((328-43)*MAX('Inputs'!$B$33,'Inputs'!$B$29+'Inputs'!$B$31+'Inputs'!$B$32,'Inputs'!$B$30+'Inputs'!$B$31+'Inputs'!$B$32)/1000+'Inputs'!$B$21)+'Inputs'!$B$7)/SQRT((((328-43)*MAX('Inputs'!$B$33,'Inputs'!$B$29+'Inputs'!$B$31+'Inputs'!$B$32,'Inputs'!$B$30+'Inputs'!$B$31+'Inputs'!$B$32)/1000+'Inputs'!$B$21)+'Inputs'!$B$7)^2+('Inputs'!$B$6/2)^2)-(((328-43)*MAX('Inputs'!$B$33,'Inputs'!$B$29+'Inputs'!$B$31+'Inputs'!$B$32,'Inputs'!$B$30+'Inputs'!$B$31+'Inputs'!$B$32)/1000+'Inputs'!$B$21))/SQRT((((328-43)*MAX('Inputs'!$B$33,'Inputs'!$B$29+'Inputs'!$B$31+'Inputs'!$B$32,'Inputs'!$B$30+'Inputs'!$B$31+'Inputs'!$B$32)/1000+'Inputs'!$B$21))^2+('Inputs'!$B$6/2)^2)))-'Results'!C7*(1-'Inputs'!$B$24)*(0.5*((((328-43)*MAX('Inputs'!$B$33,'Inputs'!$B$29+'Inputs'!$B$31+'Inputs'!$B$32,'Inputs'!$B$30+'Inputs'!$B$31+'Inputs'!$B$32)/1000+'Inputs'!$B$21+'Inputs'!$B$7+'Inputs'!$B$10)+'Inputs'!$B$9)/SQRT((((328-43)*MAX('Inputs'!$B$33,'Inputs'!$B$29+'Inputs'!$B$31+'Inputs'!$B$32,'Inputs'!$B$30+'Inputs'!$B$31+'Inputs'!$B$32)/1000+'Inputs'!$B$21+'Inputs'!$B$7+'Inputs'!$B$10)+'Inputs'!$B$9)^2+('Inputs'!$B$8/2)^2)-(((328-43)*MAX('Inputs'!$B$33,'Inputs'!$B$29+'Inputs'!$B$31+'Inputs'!$B$32,'Inputs'!$B$30+'Inputs'!$B$31+'Inputs'!$B$32)/1000+'Inputs'!$B$21+'Inputs'!$B$7+'Inputs'!$B$10))/SQRT((((328-43)*MAX('Inputs'!$B$33,'Inputs'!$B$29+'Inputs'!$B$31+'Inputs'!$B$32,'Inputs'!$B$30+'Inputs'!$B$31+'Inputs'!$B$32)/1000+'Inputs'!$B$21+'Inputs'!$B$7+'Inputs'!$B$10))^2+('Inputs'!$B$8/2)^2))))*'Results'!$B$8))),"")</x:f>
        <x:v>28.618037210329607</x:v>
      </x:c>
      <x:c r="M328" t="n">
        <x:f>IF(AND(ISNUMBER('Results'!C7),ISNUMBER('Results'!B7),ISNUMBER('Results'!$B$8),ISNUMBER('Inputs'!$B$6),ISNUMBER('Inputs'!$B$7),ISNUMBER('Inputs'!$B$8),ISNUMBER('Inputs'!$B$9),ISNUMBER('Inputs'!$B$10),ISNUMBER('Inputs'!$B$21),ISNUMBER('Inputs'!$B$24),ISNUMBER('Inputs'!$B$28)),(('Results'!C7*(0.5*((((328-43)*MAX('Inputs'!$B$33,'Inputs'!$B$29+'Inputs'!$B$31+'Inputs'!$B$32,'Inputs'!$B$30+'Inputs'!$B$31+'Inputs'!$B$32)/1000+'Inputs'!$B$21)+'Inputs'!$B$9)/SQRT((((328-43)*MAX('Inputs'!$B$33,'Inputs'!$B$29+'Inputs'!$B$31+'Inputs'!$B$32,'Inputs'!$B$30+'Inputs'!$B$31+'Inputs'!$B$32)/1000+'Inputs'!$B$21)+'Inputs'!$B$9)^2+('Inputs'!$B$8/2)^2)-(((328-43)*MAX('Inputs'!$B$33,'Inputs'!$B$29+'Inputs'!$B$31+'Inputs'!$B$32,'Inputs'!$B$30+'Inputs'!$B$31+'Inputs'!$B$32)/1000+'Inputs'!$B$21))/SQRT((((328-43)*MAX('Inputs'!$B$33,'Inputs'!$B$29+'Inputs'!$B$31+'Inputs'!$B$32,'Inputs'!$B$30+'Inputs'!$B$31+'Inputs'!$B$32)/1000+'Inputs'!$B$21))^2+('Inputs'!$B$8/2)^2)))-'Results'!B7*(0.5*((((328-43)*MAX('Inputs'!$B$33,'Inputs'!$B$29+'Inputs'!$B$31+'Inputs'!$B$32,'Inputs'!$B$30+'Inputs'!$B$31+'Inputs'!$B$32)/1000+'Inputs'!$B$21+'Inputs'!$B$9+'Inputs'!$B$10)+'Inputs'!$B$7)/SQRT((((328-43)*MAX('Inputs'!$B$33,'Inputs'!$B$29+'Inputs'!$B$31+'Inputs'!$B$32,'Inputs'!$B$30+'Inputs'!$B$31+'Inputs'!$B$32)/1000+'Inputs'!$B$21+'Inputs'!$B$9+'Inputs'!$B$10)+'Inputs'!$B$7)^2+('Inputs'!$B$6/2)^2)-(((328-43)*MAX('Inputs'!$B$33,'Inputs'!$B$29+'Inputs'!$B$31+'Inputs'!$B$32,'Inputs'!$B$30+'Inputs'!$B$31+'Inputs'!$B$32)/1000+'Inputs'!$B$21+'Inputs'!$B$9+'Inputs'!$B$10))/SQRT((((328-43)*MAX('Inputs'!$B$33,'Inputs'!$B$29+'Inputs'!$B$31+'Inputs'!$B$32,'Inputs'!$B$30+'Inputs'!$B$31+'Inputs'!$B$32)/1000+'Inputs'!$B$21+'Inputs'!$B$9+'Inputs'!$B$10))^2+('Inputs'!$B$6/2)^2))))*'Results'!$B$8),"")</x:f>
        <x:v>24.860127838942248</x:v>
      </x:c>
      <x:c r="N328" t="n">
        <x:f>IF(AND(ISNUMBER('Results'!C7),ISNUMBER('Results'!B7),ISNUMBER('Results'!$B$8),ISNUMBER('Inputs'!$B$6),ISNUMBER('Inputs'!$B$7),ISNUMBER('Inputs'!$B$8),ISNUMBER('Inputs'!$B$9),ISNUMBER('Inputs'!$B$10),ISNUMBER('Inputs'!$B$21),ISNUMBER('Inputs'!$B$24),ISNUMBER('Inputs'!$B$28)),((('Results'!C7*(1-'Inputs'!$B$24)*(0.5*((((328-43)*MAX('Inputs'!$B$33,'Inputs'!$B$29+'Inputs'!$B$31+'Inputs'!$B$32,'Inputs'!$B$30+'Inputs'!$B$31+'Inputs'!$B$32)/1000+'Inputs'!$B$21)+'Inputs'!$B$9)/SQRT((((328-43)*MAX('Inputs'!$B$33,'Inputs'!$B$29+'Inputs'!$B$31+'Inputs'!$B$32,'Inputs'!$B$30+'Inputs'!$B$31+'Inputs'!$B$32)/1000+'Inputs'!$B$21)+'Inputs'!$B$9)^2+('Inputs'!$B$8/2)^2)-(((328-43)*MAX('Inputs'!$B$33,'Inputs'!$B$29+'Inputs'!$B$31+'Inputs'!$B$32,'Inputs'!$B$30+'Inputs'!$B$31+'Inputs'!$B$32)/1000+'Inputs'!$B$21))/SQRT((((328-43)*MAX('Inputs'!$B$33,'Inputs'!$B$29+'Inputs'!$B$31+'Inputs'!$B$32,'Inputs'!$B$30+'Inputs'!$B$31+'Inputs'!$B$32)/1000+'Inputs'!$B$21))^2+('Inputs'!$B$8/2)^2)))-'Results'!B7*(1+'Inputs'!$B$24)*(0.5*((((328-43)*MAX('Inputs'!$B$33,'Inputs'!$B$29+'Inputs'!$B$31+'Inputs'!$B$32,'Inputs'!$B$30+'Inputs'!$B$31+'Inputs'!$B$32)/1000+'Inputs'!$B$21+'Inputs'!$B$9+'Inputs'!$B$10)+'Inputs'!$B$7)/SQRT((((328-43)*MAX('Inputs'!$B$33,'Inputs'!$B$29+'Inputs'!$B$31+'Inputs'!$B$32,'Inputs'!$B$30+'Inputs'!$B$31+'Inputs'!$B$32)/1000+'Inputs'!$B$21+'Inputs'!$B$9+'Inputs'!$B$10)+'Inputs'!$B$7)^2+('Inputs'!$B$6/2)^2)-(((328-43)*MAX('Inputs'!$B$33,'Inputs'!$B$29+'Inputs'!$B$31+'Inputs'!$B$32,'Inputs'!$B$30+'Inputs'!$B$31+'Inputs'!$B$32)/1000+'Inputs'!$B$21+'Inputs'!$B$9+'Inputs'!$B$10))/SQRT((((328-43)*MAX('Inputs'!$B$33,'Inputs'!$B$29+'Inputs'!$B$31+'Inputs'!$B$32,'Inputs'!$B$30+'Inputs'!$B$31+'Inputs'!$B$32)/1000+'Inputs'!$B$21+'Inputs'!$B$9+'Inputs'!$B$10))^2+('Inputs'!$B$6/2)^2))))*'Results'!$B$8)-'Inputs'!$B$28*ABS((('Results'!C7*(1-'Inputs'!$B$24)*(0.5*((((328-43)*MAX('Inputs'!$B$33,'Inputs'!$B$29+'Inputs'!$B$31+'Inputs'!$B$32,'Inputs'!$B$30+'Inputs'!$B$31+'Inputs'!$B$32)/1000+'Inputs'!$B$21)+'Inputs'!$B$9)/SQRT((((328-43)*MAX('Inputs'!$B$33,'Inputs'!$B$29+'Inputs'!$B$31+'Inputs'!$B$32,'Inputs'!$B$30+'Inputs'!$B$31+'Inputs'!$B$32)/1000+'Inputs'!$B$21)+'Inputs'!$B$9)^2+('Inputs'!$B$8/2)^2)-(((328-43)*MAX('Inputs'!$B$33,'Inputs'!$B$29+'Inputs'!$B$31+'Inputs'!$B$32,'Inputs'!$B$30+'Inputs'!$B$31+'Inputs'!$B$32)/1000+'Inputs'!$B$21))/SQRT((((328-43)*MAX('Inputs'!$B$33,'Inputs'!$B$29+'Inputs'!$B$31+'Inputs'!$B$32,'Inputs'!$B$30+'Inputs'!$B$31+'Inputs'!$B$32)/1000+'Inputs'!$B$21))^2+('Inputs'!$B$8/2)^2)))-'Results'!B7*(1+'Inputs'!$B$24)*(0.5*((((328-43)*MAX('Inputs'!$B$33,'Inputs'!$B$29+'Inputs'!$B$31+'Inputs'!$B$32,'Inputs'!$B$30+'Inputs'!$B$31+'Inputs'!$B$32)/1000+'Inputs'!$B$21+'Inputs'!$B$9+'Inputs'!$B$10)+'Inputs'!$B$7)/SQRT((((328-43)*MAX('Inputs'!$B$33,'Inputs'!$B$29+'Inputs'!$B$31+'Inputs'!$B$32,'Inputs'!$B$30+'Inputs'!$B$31+'Inputs'!$B$32)/1000+'Inputs'!$B$21+'Inputs'!$B$9+'Inputs'!$B$10)+'Inputs'!$B$7)^2+('Inputs'!$B$6/2)^2)-(((328-43)*MAX('Inputs'!$B$33,'Inputs'!$B$29+'Inputs'!$B$31+'Inputs'!$B$32,'Inputs'!$B$30+'Inputs'!$B$31+'Inputs'!$B$32)/1000+'Inputs'!$B$21+'Inputs'!$B$9+'Inputs'!$B$10))/SQRT((((328-43)*MAX('Inputs'!$B$33,'Inputs'!$B$29+'Inputs'!$B$31+'Inputs'!$B$32,'Inputs'!$B$30+'Inputs'!$B$31+'Inputs'!$B$32)/1000+'Inputs'!$B$21+'Inputs'!$B$9+'Inputs'!$B$10))^2+('Inputs'!$B$6/2)^2))))*'Results'!$B$8))),"")</x:f>
        <x:v>22.49246159652922</x:v>
      </x:c>
      <x:c r="O328" t="n">
        <x:f>IF(AND(ISNUMBER('Results'!C7),ISNUMBER('Results'!B7),ISNUMBER('Results'!$B$8),ISNUMBER('Inputs'!$B$6),ISNUMBER('Inputs'!$B$7),ISNUMBER('Inputs'!$B$8),ISNUMBER('Inputs'!$B$9),ISNUMBER('Inputs'!$B$10),ISNUMBER('Inputs'!$B$21),ISNUMBER('Inputs'!$B$24),ISNUMBER('Inputs'!$B$28)),((('Results'!C7*(1+'Inputs'!$B$24)*(0.5*((((328-43)*MAX('Inputs'!$B$33,'Inputs'!$B$29+'Inputs'!$B$31+'Inputs'!$B$32,'Inputs'!$B$30+'Inputs'!$B$31+'Inputs'!$B$32)/1000+'Inputs'!$B$21)+'Inputs'!$B$9)/SQRT((((328-43)*MAX('Inputs'!$B$33,'Inputs'!$B$29+'Inputs'!$B$31+'Inputs'!$B$32,'Inputs'!$B$30+'Inputs'!$B$31+'Inputs'!$B$32)/1000+'Inputs'!$B$21)+'Inputs'!$B$9)^2+('Inputs'!$B$8/2)^2)-(((328-43)*MAX('Inputs'!$B$33,'Inputs'!$B$29+'Inputs'!$B$31+'Inputs'!$B$32,'Inputs'!$B$30+'Inputs'!$B$31+'Inputs'!$B$32)/1000+'Inputs'!$B$21))/SQRT((((328-43)*MAX('Inputs'!$B$33,'Inputs'!$B$29+'Inputs'!$B$31+'Inputs'!$B$32,'Inputs'!$B$30+'Inputs'!$B$31+'Inputs'!$B$32)/1000+'Inputs'!$B$21))^2+('Inputs'!$B$8/2)^2)))-'Results'!B7*(1-'Inputs'!$B$24)*(0.5*((((328-43)*MAX('Inputs'!$B$33,'Inputs'!$B$29+'Inputs'!$B$31+'Inputs'!$B$32,'Inputs'!$B$30+'Inputs'!$B$31+'Inputs'!$B$32)/1000+'Inputs'!$B$21+'Inputs'!$B$9+'Inputs'!$B$10)+'Inputs'!$B$7)/SQRT((((328-43)*MAX('Inputs'!$B$33,'Inputs'!$B$29+'Inputs'!$B$31+'Inputs'!$B$32,'Inputs'!$B$30+'Inputs'!$B$31+'Inputs'!$B$32)/1000+'Inputs'!$B$21+'Inputs'!$B$9+'Inputs'!$B$10)+'Inputs'!$B$7)^2+('Inputs'!$B$6/2)^2)-(((328-43)*MAX('Inputs'!$B$33,'Inputs'!$B$29+'Inputs'!$B$31+'Inputs'!$B$32,'Inputs'!$B$30+'Inputs'!$B$31+'Inputs'!$B$32)/1000+'Inputs'!$B$21+'Inputs'!$B$9+'Inputs'!$B$10))/SQRT((((328-43)*MAX('Inputs'!$B$33,'Inputs'!$B$29+'Inputs'!$B$31+'Inputs'!$B$32,'Inputs'!$B$30+'Inputs'!$B$31+'Inputs'!$B$32)/1000+'Inputs'!$B$21+'Inputs'!$B$9+'Inputs'!$B$10))^2+('Inputs'!$B$6/2)^2))))*'Results'!$B$8)+'Inputs'!$B$28*ABS((('Results'!C7*(1+'Inputs'!$B$24)*(0.5*((((328-43)*MAX('Inputs'!$B$33,'Inputs'!$B$29+'Inputs'!$B$31+'Inputs'!$B$32,'Inputs'!$B$30+'Inputs'!$B$31+'Inputs'!$B$32)/1000+'Inputs'!$B$21)+'Inputs'!$B$9)/SQRT((((328-43)*MAX('Inputs'!$B$33,'Inputs'!$B$29+'Inputs'!$B$31+'Inputs'!$B$32,'Inputs'!$B$30+'Inputs'!$B$31+'Inputs'!$B$32)/1000+'Inputs'!$B$21)+'Inputs'!$B$9)^2+('Inputs'!$B$8/2)^2)-(((328-43)*MAX('Inputs'!$B$33,'Inputs'!$B$29+'Inputs'!$B$31+'Inputs'!$B$32,'Inputs'!$B$30+'Inputs'!$B$31+'Inputs'!$B$32)/1000+'Inputs'!$B$21))/SQRT((((328-43)*MAX('Inputs'!$B$33,'Inputs'!$B$29+'Inputs'!$B$31+'Inputs'!$B$32,'Inputs'!$B$30+'Inputs'!$B$31+'Inputs'!$B$32)/1000+'Inputs'!$B$21))^2+('Inputs'!$B$8/2)^2)))-'Results'!B7*(1-'Inputs'!$B$24)*(0.5*((((328-43)*MAX('Inputs'!$B$33,'Inputs'!$B$29+'Inputs'!$B$31+'Inputs'!$B$32,'Inputs'!$B$30+'Inputs'!$B$31+'Inputs'!$B$32)/1000+'Inputs'!$B$21+'Inputs'!$B$9+'Inputs'!$B$10)+'Inputs'!$B$7)/SQRT((((328-43)*MAX('Inputs'!$B$33,'Inputs'!$B$29+'Inputs'!$B$31+'Inputs'!$B$32,'Inputs'!$B$30+'Inputs'!$B$31+'Inputs'!$B$32)/1000+'Inputs'!$B$21+'Inputs'!$B$9+'Inputs'!$B$10)+'Inputs'!$B$7)^2+('Inputs'!$B$6/2)^2)-(((328-43)*MAX('Inputs'!$B$33,'Inputs'!$B$29+'Inputs'!$B$31+'Inputs'!$B$32,'Inputs'!$B$30+'Inputs'!$B$31+'Inputs'!$B$32)/1000+'Inputs'!$B$21+'Inputs'!$B$9+'Inputs'!$B$10))/SQRT((((328-43)*MAX('Inputs'!$B$33,'Inputs'!$B$29+'Inputs'!$B$31+'Inputs'!$B$32,'Inputs'!$B$30+'Inputs'!$B$31+'Inputs'!$B$32)/1000+'Inputs'!$B$21+'Inputs'!$B$9+'Inputs'!$B$10))^2+('Inputs'!$B$6/2)^2))))*'Results'!$B$8))),"")</x:f>
        <x:v>27.346179328772738</x:v>
      </x:c>
      <x:c r="P328" t="n">
        <x:f>IF(AND(MAX(J328,J327)&gt;0,J328&gt;J327+0.00000001),1,0)</x:f>
        <x:v>0</x:v>
      </x:c>
      <x:c r="Q328" t="n">
        <x:f>IF(AND(MAX(K328,K327)&gt;0,K328&gt;K327+0.00000001),1,0)</x:f>
        <x:v>0</x:v>
      </x:c>
      <x:c r="R328" t="n">
        <x:f>IF(AND(MAX(L328,L327)&gt;0,L328&gt;L327+0.00000001),1,0)</x:f>
        <x:v>0</x:v>
      </x:c>
      <x:c r="S328" t="n">
        <x:f>IF(AND(MAX(M328,M327)&gt;0,M328&gt;M327+0.00000001),1,0)</x:f>
        <x:v>0</x:v>
      </x:c>
      <x:c r="T328" t="n">
        <x:f>IF(AND(MAX(N328,N327)&gt;0,N328&gt;N327+0.00000001),1,0)</x:f>
        <x:v>0</x:v>
      </x:c>
      <x:c r="U328" t="n">
        <x:f>IF(AND(MAX(O328,O327)&gt;0,O328&gt;O327+0.00000001),1,0)</x:f>
        <x:v>0</x:v>
      </x:c>
    </x:row>
    <x:row r="329">
      <x:c r="J329" t="n">
        <x:f>IF(AND(ISNUMBER('Results'!B7),ISNUMBER('Results'!C7),ISNUMBER('Results'!$B$8),ISNUMBER('Inputs'!$B$6),ISNUMBER('Inputs'!$B$7),ISNUMBER('Inputs'!$B$8),ISNUMBER('Inputs'!$B$9),ISNUMBER('Inputs'!$B$10),ISNUMBER('Inputs'!$B$21),ISNUMBER('Inputs'!$B$24),ISNUMBER('Inputs'!$B$28)),(('Results'!B7*(0.5*((((329-43)*MAX('Inputs'!$B$33,'Inputs'!$B$29+'Inputs'!$B$31+'Inputs'!$B$32,'Inputs'!$B$30+'Inputs'!$B$31+'Inputs'!$B$32)/1000+'Inputs'!$B$21)+'Inputs'!$B$7)/SQRT((((329-43)*MAX('Inputs'!$B$33,'Inputs'!$B$29+'Inputs'!$B$31+'Inputs'!$B$32,'Inputs'!$B$30+'Inputs'!$B$31+'Inputs'!$B$32)/1000+'Inputs'!$B$21)+'Inputs'!$B$7)^2+('Inputs'!$B$6/2)^2)-(((329-43)*MAX('Inputs'!$B$33,'Inputs'!$B$29+'Inputs'!$B$31+'Inputs'!$B$32,'Inputs'!$B$30+'Inputs'!$B$31+'Inputs'!$B$32)/1000+'Inputs'!$B$21))/SQRT((((329-43)*MAX('Inputs'!$B$33,'Inputs'!$B$29+'Inputs'!$B$31+'Inputs'!$B$32,'Inputs'!$B$30+'Inputs'!$B$31+'Inputs'!$B$32)/1000+'Inputs'!$B$21))^2+('Inputs'!$B$6/2)^2)))-'Results'!C7*(0.5*((((329-43)*MAX('Inputs'!$B$33,'Inputs'!$B$29+'Inputs'!$B$31+'Inputs'!$B$32,'Inputs'!$B$30+'Inputs'!$B$31+'Inputs'!$B$32)/1000+'Inputs'!$B$21+'Inputs'!$B$7+'Inputs'!$B$10)+'Inputs'!$B$9)/SQRT((((329-43)*MAX('Inputs'!$B$33,'Inputs'!$B$29+'Inputs'!$B$31+'Inputs'!$B$32,'Inputs'!$B$30+'Inputs'!$B$31+'Inputs'!$B$32)/1000+'Inputs'!$B$21+'Inputs'!$B$7+'Inputs'!$B$10)+'Inputs'!$B$9)^2+('Inputs'!$B$8/2)^2)-(((329-43)*MAX('Inputs'!$B$33,'Inputs'!$B$29+'Inputs'!$B$31+'Inputs'!$B$32,'Inputs'!$B$30+'Inputs'!$B$31+'Inputs'!$B$32)/1000+'Inputs'!$B$21+'Inputs'!$B$7+'Inputs'!$B$10))/SQRT((((329-43)*MAX('Inputs'!$B$33,'Inputs'!$B$29+'Inputs'!$B$31+'Inputs'!$B$32,'Inputs'!$B$30+'Inputs'!$B$31+'Inputs'!$B$32)/1000+'Inputs'!$B$21+'Inputs'!$B$7+'Inputs'!$B$10))^2+('Inputs'!$B$8/2)^2))))*'Results'!$B$8),"")</x:f>
        <x:v>25.782453780797635</x:v>
      </x:c>
      <x:c r="K329" t="n">
        <x:f>IF(AND(ISNUMBER('Results'!B7),ISNUMBER('Results'!C7),ISNUMBER('Results'!$B$8),ISNUMBER('Inputs'!$B$6),ISNUMBER('Inputs'!$B$7),ISNUMBER('Inputs'!$B$8),ISNUMBER('Inputs'!$B$9),ISNUMBER('Inputs'!$B$10),ISNUMBER('Inputs'!$B$21),ISNUMBER('Inputs'!$B$24),ISNUMBER('Inputs'!$B$28)),((('Results'!B7*(1-'Inputs'!$B$24)*(0.5*((((329-43)*MAX('Inputs'!$B$33,'Inputs'!$B$29+'Inputs'!$B$31+'Inputs'!$B$32,'Inputs'!$B$30+'Inputs'!$B$31+'Inputs'!$B$32)/1000+'Inputs'!$B$21)+'Inputs'!$B$7)/SQRT((((329-43)*MAX('Inputs'!$B$33,'Inputs'!$B$29+'Inputs'!$B$31+'Inputs'!$B$32,'Inputs'!$B$30+'Inputs'!$B$31+'Inputs'!$B$32)/1000+'Inputs'!$B$21)+'Inputs'!$B$7)^2+('Inputs'!$B$6/2)^2)-(((329-43)*MAX('Inputs'!$B$33,'Inputs'!$B$29+'Inputs'!$B$31+'Inputs'!$B$32,'Inputs'!$B$30+'Inputs'!$B$31+'Inputs'!$B$32)/1000+'Inputs'!$B$21))/SQRT((((329-43)*MAX('Inputs'!$B$33,'Inputs'!$B$29+'Inputs'!$B$31+'Inputs'!$B$32,'Inputs'!$B$30+'Inputs'!$B$31+'Inputs'!$B$32)/1000+'Inputs'!$B$21))^2+('Inputs'!$B$6/2)^2)))-'Results'!C7*(1+'Inputs'!$B$24)*(0.5*((((329-43)*MAX('Inputs'!$B$33,'Inputs'!$B$29+'Inputs'!$B$31+'Inputs'!$B$32,'Inputs'!$B$30+'Inputs'!$B$31+'Inputs'!$B$32)/1000+'Inputs'!$B$21+'Inputs'!$B$7+'Inputs'!$B$10)+'Inputs'!$B$9)/SQRT((((329-43)*MAX('Inputs'!$B$33,'Inputs'!$B$29+'Inputs'!$B$31+'Inputs'!$B$32,'Inputs'!$B$30+'Inputs'!$B$31+'Inputs'!$B$32)/1000+'Inputs'!$B$21+'Inputs'!$B$7+'Inputs'!$B$10)+'Inputs'!$B$9)^2+('Inputs'!$B$8/2)^2)-(((329-43)*MAX('Inputs'!$B$33,'Inputs'!$B$29+'Inputs'!$B$31+'Inputs'!$B$32,'Inputs'!$B$30+'Inputs'!$B$31+'Inputs'!$B$32)/1000+'Inputs'!$B$21+'Inputs'!$B$7+'Inputs'!$B$10))/SQRT((((329-43)*MAX('Inputs'!$B$33,'Inputs'!$B$29+'Inputs'!$B$31+'Inputs'!$B$32,'Inputs'!$B$30+'Inputs'!$B$31+'Inputs'!$B$32)/1000+'Inputs'!$B$21+'Inputs'!$B$7+'Inputs'!$B$10))^2+('Inputs'!$B$8/2)^2))))*'Results'!$B$8)-'Inputs'!$B$28*ABS((('Results'!B7*(1-'Inputs'!$B$24)*(0.5*((((329-43)*MAX('Inputs'!$B$33,'Inputs'!$B$29+'Inputs'!$B$31+'Inputs'!$B$32,'Inputs'!$B$30+'Inputs'!$B$31+'Inputs'!$B$32)/1000+'Inputs'!$B$21)+'Inputs'!$B$7)/SQRT((((329-43)*MAX('Inputs'!$B$33,'Inputs'!$B$29+'Inputs'!$B$31+'Inputs'!$B$32,'Inputs'!$B$30+'Inputs'!$B$31+'Inputs'!$B$32)/1000+'Inputs'!$B$21)+'Inputs'!$B$7)^2+('Inputs'!$B$6/2)^2)-(((329-43)*MAX('Inputs'!$B$33,'Inputs'!$B$29+'Inputs'!$B$31+'Inputs'!$B$32,'Inputs'!$B$30+'Inputs'!$B$31+'Inputs'!$B$32)/1000+'Inputs'!$B$21))/SQRT((((329-43)*MAX('Inputs'!$B$33,'Inputs'!$B$29+'Inputs'!$B$31+'Inputs'!$B$32,'Inputs'!$B$30+'Inputs'!$B$31+'Inputs'!$B$32)/1000+'Inputs'!$B$21))^2+('Inputs'!$B$6/2)^2)))-'Results'!C7*(1+'Inputs'!$B$24)*(0.5*((((329-43)*MAX('Inputs'!$B$33,'Inputs'!$B$29+'Inputs'!$B$31+'Inputs'!$B$32,'Inputs'!$B$30+'Inputs'!$B$31+'Inputs'!$B$32)/1000+'Inputs'!$B$21+'Inputs'!$B$7+'Inputs'!$B$10)+'Inputs'!$B$9)/SQRT((((329-43)*MAX('Inputs'!$B$33,'Inputs'!$B$29+'Inputs'!$B$31+'Inputs'!$B$32,'Inputs'!$B$30+'Inputs'!$B$31+'Inputs'!$B$32)/1000+'Inputs'!$B$21+'Inputs'!$B$7+'Inputs'!$B$10)+'Inputs'!$B$9)^2+('Inputs'!$B$8/2)^2)-(((329-43)*MAX('Inputs'!$B$33,'Inputs'!$B$29+'Inputs'!$B$31+'Inputs'!$B$32,'Inputs'!$B$30+'Inputs'!$B$31+'Inputs'!$B$32)/1000+'Inputs'!$B$21+'Inputs'!$B$7+'Inputs'!$B$10))/SQRT((((329-43)*MAX('Inputs'!$B$33,'Inputs'!$B$29+'Inputs'!$B$31+'Inputs'!$B$32,'Inputs'!$B$30+'Inputs'!$B$31+'Inputs'!$B$32)/1000+'Inputs'!$B$21+'Inputs'!$B$7+'Inputs'!$B$10))^2+('Inputs'!$B$8/2)^2))))*'Results'!$B$8))),"")</x:f>
        <x:v>23.368598199290002</x:v>
      </x:c>
      <x:c r="L329" t="n">
        <x:f>IF(AND(ISNUMBER('Results'!B7),ISNUMBER('Results'!C7),ISNUMBER('Results'!$B$8),ISNUMBER('Inputs'!$B$6),ISNUMBER('Inputs'!$B$7),ISNUMBER('Inputs'!$B$8),ISNUMBER('Inputs'!$B$9),ISNUMBER('Inputs'!$B$10),ISNUMBER('Inputs'!$B$21),ISNUMBER('Inputs'!$B$24),ISNUMBER('Inputs'!$B$28)),((('Results'!B7*(1+'Inputs'!$B$24)*(0.5*((((329-43)*MAX('Inputs'!$B$33,'Inputs'!$B$29+'Inputs'!$B$31+'Inputs'!$B$32,'Inputs'!$B$30+'Inputs'!$B$31+'Inputs'!$B$32)/1000+'Inputs'!$B$21)+'Inputs'!$B$7)/SQRT((((329-43)*MAX('Inputs'!$B$33,'Inputs'!$B$29+'Inputs'!$B$31+'Inputs'!$B$32,'Inputs'!$B$30+'Inputs'!$B$31+'Inputs'!$B$32)/1000+'Inputs'!$B$21)+'Inputs'!$B$7)^2+('Inputs'!$B$6/2)^2)-(((329-43)*MAX('Inputs'!$B$33,'Inputs'!$B$29+'Inputs'!$B$31+'Inputs'!$B$32,'Inputs'!$B$30+'Inputs'!$B$31+'Inputs'!$B$32)/1000+'Inputs'!$B$21))/SQRT((((329-43)*MAX('Inputs'!$B$33,'Inputs'!$B$29+'Inputs'!$B$31+'Inputs'!$B$32,'Inputs'!$B$30+'Inputs'!$B$31+'Inputs'!$B$32)/1000+'Inputs'!$B$21))^2+('Inputs'!$B$6/2)^2)))-'Results'!C7*(1-'Inputs'!$B$24)*(0.5*((((329-43)*MAX('Inputs'!$B$33,'Inputs'!$B$29+'Inputs'!$B$31+'Inputs'!$B$32,'Inputs'!$B$30+'Inputs'!$B$31+'Inputs'!$B$32)/1000+'Inputs'!$B$21+'Inputs'!$B$7+'Inputs'!$B$10)+'Inputs'!$B$9)/SQRT((((329-43)*MAX('Inputs'!$B$33,'Inputs'!$B$29+'Inputs'!$B$31+'Inputs'!$B$32,'Inputs'!$B$30+'Inputs'!$B$31+'Inputs'!$B$32)/1000+'Inputs'!$B$21+'Inputs'!$B$7+'Inputs'!$B$10)+'Inputs'!$B$9)^2+('Inputs'!$B$8/2)^2)-(((329-43)*MAX('Inputs'!$B$33,'Inputs'!$B$29+'Inputs'!$B$31+'Inputs'!$B$32,'Inputs'!$B$30+'Inputs'!$B$31+'Inputs'!$B$32)/1000+'Inputs'!$B$21+'Inputs'!$B$7+'Inputs'!$B$10))/SQRT((((329-43)*MAX('Inputs'!$B$33,'Inputs'!$B$29+'Inputs'!$B$31+'Inputs'!$B$32,'Inputs'!$B$30+'Inputs'!$B$31+'Inputs'!$B$32)/1000+'Inputs'!$B$21+'Inputs'!$B$7+'Inputs'!$B$10))^2+('Inputs'!$B$8/2)^2))))*'Results'!$B$8)+'Inputs'!$B$28*ABS((('Results'!B7*(1+'Inputs'!$B$24)*(0.5*((((329-43)*MAX('Inputs'!$B$33,'Inputs'!$B$29+'Inputs'!$B$31+'Inputs'!$B$32,'Inputs'!$B$30+'Inputs'!$B$31+'Inputs'!$B$32)/1000+'Inputs'!$B$21)+'Inputs'!$B$7)/SQRT((((329-43)*MAX('Inputs'!$B$33,'Inputs'!$B$29+'Inputs'!$B$31+'Inputs'!$B$32,'Inputs'!$B$30+'Inputs'!$B$31+'Inputs'!$B$32)/1000+'Inputs'!$B$21)+'Inputs'!$B$7)^2+('Inputs'!$B$6/2)^2)-(((329-43)*MAX('Inputs'!$B$33,'Inputs'!$B$29+'Inputs'!$B$31+'Inputs'!$B$32,'Inputs'!$B$30+'Inputs'!$B$31+'Inputs'!$B$32)/1000+'Inputs'!$B$21))/SQRT((((329-43)*MAX('Inputs'!$B$33,'Inputs'!$B$29+'Inputs'!$B$31+'Inputs'!$B$32,'Inputs'!$B$30+'Inputs'!$B$31+'Inputs'!$B$32)/1000+'Inputs'!$B$21))^2+('Inputs'!$B$6/2)^2)))-'Results'!C7*(1-'Inputs'!$B$24)*(0.5*((((329-43)*MAX('Inputs'!$B$33,'Inputs'!$B$29+'Inputs'!$B$31+'Inputs'!$B$32,'Inputs'!$B$30+'Inputs'!$B$31+'Inputs'!$B$32)/1000+'Inputs'!$B$21+'Inputs'!$B$7+'Inputs'!$B$10)+'Inputs'!$B$9)/SQRT((((329-43)*MAX('Inputs'!$B$33,'Inputs'!$B$29+'Inputs'!$B$31+'Inputs'!$B$32,'Inputs'!$B$30+'Inputs'!$B$31+'Inputs'!$B$32)/1000+'Inputs'!$B$21+'Inputs'!$B$7+'Inputs'!$B$10)+'Inputs'!$B$9)^2+('Inputs'!$B$8/2)^2)-(((329-43)*MAX('Inputs'!$B$33,'Inputs'!$B$29+'Inputs'!$B$31+'Inputs'!$B$32,'Inputs'!$B$30+'Inputs'!$B$31+'Inputs'!$B$32)/1000+'Inputs'!$B$21+'Inputs'!$B$7+'Inputs'!$B$10))/SQRT((((329-43)*MAX('Inputs'!$B$33,'Inputs'!$B$29+'Inputs'!$B$31+'Inputs'!$B$32,'Inputs'!$B$30+'Inputs'!$B$31+'Inputs'!$B$32)/1000+'Inputs'!$B$21+'Inputs'!$B$7+'Inputs'!$B$10))^2+('Inputs'!$B$8/2)^2))))*'Results'!$B$8))),"")</x:f>
        <x:v>28.314702298354515</x:v>
      </x:c>
      <x:c r="M329" t="n">
        <x:f>IF(AND(ISNUMBER('Results'!C7),ISNUMBER('Results'!B7),ISNUMBER('Results'!$B$8),ISNUMBER('Inputs'!$B$6),ISNUMBER('Inputs'!$B$7),ISNUMBER('Inputs'!$B$8),ISNUMBER('Inputs'!$B$9),ISNUMBER('Inputs'!$B$10),ISNUMBER('Inputs'!$B$21),ISNUMBER('Inputs'!$B$24),ISNUMBER('Inputs'!$B$28)),(('Results'!C7*(0.5*((((329-43)*MAX('Inputs'!$B$33,'Inputs'!$B$29+'Inputs'!$B$31+'Inputs'!$B$32,'Inputs'!$B$30+'Inputs'!$B$31+'Inputs'!$B$32)/1000+'Inputs'!$B$21)+'Inputs'!$B$9)/SQRT((((329-43)*MAX('Inputs'!$B$33,'Inputs'!$B$29+'Inputs'!$B$31+'Inputs'!$B$32,'Inputs'!$B$30+'Inputs'!$B$31+'Inputs'!$B$32)/1000+'Inputs'!$B$21)+'Inputs'!$B$9)^2+('Inputs'!$B$8/2)^2)-(((329-43)*MAX('Inputs'!$B$33,'Inputs'!$B$29+'Inputs'!$B$31+'Inputs'!$B$32,'Inputs'!$B$30+'Inputs'!$B$31+'Inputs'!$B$32)/1000+'Inputs'!$B$21))/SQRT((((329-43)*MAX('Inputs'!$B$33,'Inputs'!$B$29+'Inputs'!$B$31+'Inputs'!$B$32,'Inputs'!$B$30+'Inputs'!$B$31+'Inputs'!$B$32)/1000+'Inputs'!$B$21))^2+('Inputs'!$B$8/2)^2)))-'Results'!B7*(0.5*((((329-43)*MAX('Inputs'!$B$33,'Inputs'!$B$29+'Inputs'!$B$31+'Inputs'!$B$32,'Inputs'!$B$30+'Inputs'!$B$31+'Inputs'!$B$32)/1000+'Inputs'!$B$21+'Inputs'!$B$9+'Inputs'!$B$10)+'Inputs'!$B$7)/SQRT((((329-43)*MAX('Inputs'!$B$33,'Inputs'!$B$29+'Inputs'!$B$31+'Inputs'!$B$32,'Inputs'!$B$30+'Inputs'!$B$31+'Inputs'!$B$32)/1000+'Inputs'!$B$21+'Inputs'!$B$9+'Inputs'!$B$10)+'Inputs'!$B$7)^2+('Inputs'!$B$6/2)^2)-(((329-43)*MAX('Inputs'!$B$33,'Inputs'!$B$29+'Inputs'!$B$31+'Inputs'!$B$32,'Inputs'!$B$30+'Inputs'!$B$31+'Inputs'!$B$32)/1000+'Inputs'!$B$21+'Inputs'!$B$9+'Inputs'!$B$10))/SQRT((((329-43)*MAX('Inputs'!$B$33,'Inputs'!$B$29+'Inputs'!$B$31+'Inputs'!$B$32,'Inputs'!$B$30+'Inputs'!$B$31+'Inputs'!$B$32)/1000+'Inputs'!$B$21+'Inputs'!$B$9+'Inputs'!$B$10))^2+('Inputs'!$B$6/2)^2))))*'Results'!$B$8),"")</x:f>
        <x:v>24.59170523372489</x:v>
      </x:c>
      <x:c r="N329" t="n">
        <x:f>IF(AND(ISNUMBER('Results'!C7),ISNUMBER('Results'!B7),ISNUMBER('Results'!$B$8),ISNUMBER('Inputs'!$B$6),ISNUMBER('Inputs'!$B$7),ISNUMBER('Inputs'!$B$8),ISNUMBER('Inputs'!$B$9),ISNUMBER('Inputs'!$B$10),ISNUMBER('Inputs'!$B$21),ISNUMBER('Inputs'!$B$24),ISNUMBER('Inputs'!$B$28)),((('Results'!C7*(1-'Inputs'!$B$24)*(0.5*((((329-43)*MAX('Inputs'!$B$33,'Inputs'!$B$29+'Inputs'!$B$31+'Inputs'!$B$32,'Inputs'!$B$30+'Inputs'!$B$31+'Inputs'!$B$32)/1000+'Inputs'!$B$21)+'Inputs'!$B$9)/SQRT((((329-43)*MAX('Inputs'!$B$33,'Inputs'!$B$29+'Inputs'!$B$31+'Inputs'!$B$32,'Inputs'!$B$30+'Inputs'!$B$31+'Inputs'!$B$32)/1000+'Inputs'!$B$21)+'Inputs'!$B$9)^2+('Inputs'!$B$8/2)^2)-(((329-43)*MAX('Inputs'!$B$33,'Inputs'!$B$29+'Inputs'!$B$31+'Inputs'!$B$32,'Inputs'!$B$30+'Inputs'!$B$31+'Inputs'!$B$32)/1000+'Inputs'!$B$21))/SQRT((((329-43)*MAX('Inputs'!$B$33,'Inputs'!$B$29+'Inputs'!$B$31+'Inputs'!$B$32,'Inputs'!$B$30+'Inputs'!$B$31+'Inputs'!$B$32)/1000+'Inputs'!$B$21))^2+('Inputs'!$B$8/2)^2)))-'Results'!B7*(1+'Inputs'!$B$24)*(0.5*((((329-43)*MAX('Inputs'!$B$33,'Inputs'!$B$29+'Inputs'!$B$31+'Inputs'!$B$32,'Inputs'!$B$30+'Inputs'!$B$31+'Inputs'!$B$32)/1000+'Inputs'!$B$21+'Inputs'!$B$9+'Inputs'!$B$10)+'Inputs'!$B$7)/SQRT((((329-43)*MAX('Inputs'!$B$33,'Inputs'!$B$29+'Inputs'!$B$31+'Inputs'!$B$32,'Inputs'!$B$30+'Inputs'!$B$31+'Inputs'!$B$32)/1000+'Inputs'!$B$21+'Inputs'!$B$9+'Inputs'!$B$10)+'Inputs'!$B$7)^2+('Inputs'!$B$6/2)^2)-(((329-43)*MAX('Inputs'!$B$33,'Inputs'!$B$29+'Inputs'!$B$31+'Inputs'!$B$32,'Inputs'!$B$30+'Inputs'!$B$31+'Inputs'!$B$32)/1000+'Inputs'!$B$21+'Inputs'!$B$9+'Inputs'!$B$10))/SQRT((((329-43)*MAX('Inputs'!$B$33,'Inputs'!$B$29+'Inputs'!$B$31+'Inputs'!$B$32,'Inputs'!$B$30+'Inputs'!$B$31+'Inputs'!$B$32)/1000+'Inputs'!$B$21+'Inputs'!$B$9+'Inputs'!$B$10))^2+('Inputs'!$B$6/2)^2))))*'Results'!$B$8)-'Inputs'!$B$28*ABS((('Results'!C7*(1-'Inputs'!$B$24)*(0.5*((((329-43)*MAX('Inputs'!$B$33,'Inputs'!$B$29+'Inputs'!$B$31+'Inputs'!$B$32,'Inputs'!$B$30+'Inputs'!$B$31+'Inputs'!$B$32)/1000+'Inputs'!$B$21)+'Inputs'!$B$9)/SQRT((((329-43)*MAX('Inputs'!$B$33,'Inputs'!$B$29+'Inputs'!$B$31+'Inputs'!$B$32,'Inputs'!$B$30+'Inputs'!$B$31+'Inputs'!$B$32)/1000+'Inputs'!$B$21)+'Inputs'!$B$9)^2+('Inputs'!$B$8/2)^2)-(((329-43)*MAX('Inputs'!$B$33,'Inputs'!$B$29+'Inputs'!$B$31+'Inputs'!$B$32,'Inputs'!$B$30+'Inputs'!$B$31+'Inputs'!$B$32)/1000+'Inputs'!$B$21))/SQRT((((329-43)*MAX('Inputs'!$B$33,'Inputs'!$B$29+'Inputs'!$B$31+'Inputs'!$B$32,'Inputs'!$B$30+'Inputs'!$B$31+'Inputs'!$B$32)/1000+'Inputs'!$B$21))^2+('Inputs'!$B$8/2)^2)))-'Results'!B7*(1+'Inputs'!$B$24)*(0.5*((((329-43)*MAX('Inputs'!$B$33,'Inputs'!$B$29+'Inputs'!$B$31+'Inputs'!$B$32,'Inputs'!$B$30+'Inputs'!$B$31+'Inputs'!$B$32)/1000+'Inputs'!$B$21+'Inputs'!$B$9+'Inputs'!$B$10)+'Inputs'!$B$7)/SQRT((((329-43)*MAX('Inputs'!$B$33,'Inputs'!$B$29+'Inputs'!$B$31+'Inputs'!$B$32,'Inputs'!$B$30+'Inputs'!$B$31+'Inputs'!$B$32)/1000+'Inputs'!$B$21+'Inputs'!$B$9+'Inputs'!$B$10)+'Inputs'!$B$7)^2+('Inputs'!$B$6/2)^2)-(((329-43)*MAX('Inputs'!$B$33,'Inputs'!$B$29+'Inputs'!$B$31+'Inputs'!$B$32,'Inputs'!$B$30+'Inputs'!$B$31+'Inputs'!$B$32)/1000+'Inputs'!$B$21+'Inputs'!$B$9+'Inputs'!$B$10))/SQRT((((329-43)*MAX('Inputs'!$B$33,'Inputs'!$B$29+'Inputs'!$B$31+'Inputs'!$B$32,'Inputs'!$B$30+'Inputs'!$B$31+'Inputs'!$B$32)/1000+'Inputs'!$B$21+'Inputs'!$B$9+'Inputs'!$B$10))^2+('Inputs'!$B$6/2)^2))))*'Results'!$B$8))),"")</x:f>
        <x:v>22.247054847462557</x:v>
      </x:c>
      <x:c r="O329" t="n">
        <x:f>IF(AND(ISNUMBER('Results'!C7),ISNUMBER('Results'!B7),ISNUMBER('Results'!$B$8),ISNUMBER('Inputs'!$B$6),ISNUMBER('Inputs'!$B$7),ISNUMBER('Inputs'!$B$8),ISNUMBER('Inputs'!$B$9),ISNUMBER('Inputs'!$B$10),ISNUMBER('Inputs'!$B$21),ISNUMBER('Inputs'!$B$24),ISNUMBER('Inputs'!$B$28)),((('Results'!C7*(1+'Inputs'!$B$24)*(0.5*((((329-43)*MAX('Inputs'!$B$33,'Inputs'!$B$29+'Inputs'!$B$31+'Inputs'!$B$32,'Inputs'!$B$30+'Inputs'!$B$31+'Inputs'!$B$32)/1000+'Inputs'!$B$21)+'Inputs'!$B$9)/SQRT((((329-43)*MAX('Inputs'!$B$33,'Inputs'!$B$29+'Inputs'!$B$31+'Inputs'!$B$32,'Inputs'!$B$30+'Inputs'!$B$31+'Inputs'!$B$32)/1000+'Inputs'!$B$21)+'Inputs'!$B$9)^2+('Inputs'!$B$8/2)^2)-(((329-43)*MAX('Inputs'!$B$33,'Inputs'!$B$29+'Inputs'!$B$31+'Inputs'!$B$32,'Inputs'!$B$30+'Inputs'!$B$31+'Inputs'!$B$32)/1000+'Inputs'!$B$21))/SQRT((((329-43)*MAX('Inputs'!$B$33,'Inputs'!$B$29+'Inputs'!$B$31+'Inputs'!$B$32,'Inputs'!$B$30+'Inputs'!$B$31+'Inputs'!$B$32)/1000+'Inputs'!$B$21))^2+('Inputs'!$B$8/2)^2)))-'Results'!B7*(1-'Inputs'!$B$24)*(0.5*((((329-43)*MAX('Inputs'!$B$33,'Inputs'!$B$29+'Inputs'!$B$31+'Inputs'!$B$32,'Inputs'!$B$30+'Inputs'!$B$31+'Inputs'!$B$32)/1000+'Inputs'!$B$21+'Inputs'!$B$9+'Inputs'!$B$10)+'Inputs'!$B$7)/SQRT((((329-43)*MAX('Inputs'!$B$33,'Inputs'!$B$29+'Inputs'!$B$31+'Inputs'!$B$32,'Inputs'!$B$30+'Inputs'!$B$31+'Inputs'!$B$32)/1000+'Inputs'!$B$21+'Inputs'!$B$9+'Inputs'!$B$10)+'Inputs'!$B$7)^2+('Inputs'!$B$6/2)^2)-(((329-43)*MAX('Inputs'!$B$33,'Inputs'!$B$29+'Inputs'!$B$31+'Inputs'!$B$32,'Inputs'!$B$30+'Inputs'!$B$31+'Inputs'!$B$32)/1000+'Inputs'!$B$21+'Inputs'!$B$9+'Inputs'!$B$10))/SQRT((((329-43)*MAX('Inputs'!$B$33,'Inputs'!$B$29+'Inputs'!$B$31+'Inputs'!$B$32,'Inputs'!$B$30+'Inputs'!$B$31+'Inputs'!$B$32)/1000+'Inputs'!$B$21+'Inputs'!$B$9+'Inputs'!$B$10))^2+('Inputs'!$B$6/2)^2))))*'Results'!$B$8)+'Inputs'!$B$28*ABS((('Results'!C7*(1+'Inputs'!$B$24)*(0.5*((((329-43)*MAX('Inputs'!$B$33,'Inputs'!$B$29+'Inputs'!$B$31+'Inputs'!$B$32,'Inputs'!$B$30+'Inputs'!$B$31+'Inputs'!$B$32)/1000+'Inputs'!$B$21)+'Inputs'!$B$9)/SQRT((((329-43)*MAX('Inputs'!$B$33,'Inputs'!$B$29+'Inputs'!$B$31+'Inputs'!$B$32,'Inputs'!$B$30+'Inputs'!$B$31+'Inputs'!$B$32)/1000+'Inputs'!$B$21)+'Inputs'!$B$9)^2+('Inputs'!$B$8/2)^2)-(((329-43)*MAX('Inputs'!$B$33,'Inputs'!$B$29+'Inputs'!$B$31+'Inputs'!$B$32,'Inputs'!$B$30+'Inputs'!$B$31+'Inputs'!$B$32)/1000+'Inputs'!$B$21))/SQRT((((329-43)*MAX('Inputs'!$B$33,'Inputs'!$B$29+'Inputs'!$B$31+'Inputs'!$B$32,'Inputs'!$B$30+'Inputs'!$B$31+'Inputs'!$B$32)/1000+'Inputs'!$B$21))^2+('Inputs'!$B$8/2)^2)))-'Results'!B7*(1-'Inputs'!$B$24)*(0.5*((((329-43)*MAX('Inputs'!$B$33,'Inputs'!$B$29+'Inputs'!$B$31+'Inputs'!$B$32,'Inputs'!$B$30+'Inputs'!$B$31+'Inputs'!$B$32)/1000+'Inputs'!$B$21+'Inputs'!$B$9+'Inputs'!$B$10)+'Inputs'!$B$7)/SQRT((((329-43)*MAX('Inputs'!$B$33,'Inputs'!$B$29+'Inputs'!$B$31+'Inputs'!$B$32,'Inputs'!$B$30+'Inputs'!$B$31+'Inputs'!$B$32)/1000+'Inputs'!$B$21+'Inputs'!$B$9+'Inputs'!$B$10)+'Inputs'!$B$7)^2+('Inputs'!$B$6/2)^2)-(((329-43)*MAX('Inputs'!$B$33,'Inputs'!$B$29+'Inputs'!$B$31+'Inputs'!$B$32,'Inputs'!$B$30+'Inputs'!$B$31+'Inputs'!$B$32)/1000+'Inputs'!$B$21+'Inputs'!$B$9+'Inputs'!$B$10))/SQRT((((329-43)*MAX('Inputs'!$B$33,'Inputs'!$B$29+'Inputs'!$B$31+'Inputs'!$B$32,'Inputs'!$B$30+'Inputs'!$B$31+'Inputs'!$B$32)/1000+'Inputs'!$B$21+'Inputs'!$B$9+'Inputs'!$B$10))^2+('Inputs'!$B$6/2)^2))))*'Results'!$B$8))),"")</x:f>
        <x:v>27.053730896258386</x:v>
      </x:c>
      <x:c r="P329" t="n">
        <x:f>IF(AND(MAX(J329,J328)&gt;0,J329&gt;J328+0.00000001),1,0)</x:f>
        <x:v>0</x:v>
      </x:c>
      <x:c r="Q329" t="n">
        <x:f>IF(AND(MAX(K329,K328)&gt;0,K329&gt;K328+0.00000001),1,0)</x:f>
        <x:v>0</x:v>
      </x:c>
      <x:c r="R329" t="n">
        <x:f>IF(AND(MAX(L329,L328)&gt;0,L329&gt;L328+0.00000001),1,0)</x:f>
        <x:v>0</x:v>
      </x:c>
      <x:c r="S329" t="n">
        <x:f>IF(AND(MAX(M329,M328)&gt;0,M329&gt;M328+0.00000001),1,0)</x:f>
        <x:v>0</x:v>
      </x:c>
      <x:c r="T329" t="n">
        <x:f>IF(AND(MAX(N329,N328)&gt;0,N329&gt;N328+0.00000001),1,0)</x:f>
        <x:v>0</x:v>
      </x:c>
      <x:c r="U329" t="n">
        <x:f>IF(AND(MAX(O329,O328)&gt;0,O329&gt;O328+0.00000001),1,0)</x:f>
        <x:v>0</x:v>
      </x:c>
    </x:row>
    <x:row r="330">
      <x:c r="J330" t="n">
        <x:f>IF(AND(ISNUMBER('Results'!B7),ISNUMBER('Results'!C7),ISNUMBER('Results'!$B$8),ISNUMBER('Inputs'!$B$6),ISNUMBER('Inputs'!$B$7),ISNUMBER('Inputs'!$B$8),ISNUMBER('Inputs'!$B$9),ISNUMBER('Inputs'!$B$10),ISNUMBER('Inputs'!$B$21),ISNUMBER('Inputs'!$B$24),ISNUMBER('Inputs'!$B$28)),(('Results'!B7*(0.5*((((330-43)*MAX('Inputs'!$B$33,'Inputs'!$B$29+'Inputs'!$B$31+'Inputs'!$B$32,'Inputs'!$B$30+'Inputs'!$B$31+'Inputs'!$B$32)/1000+'Inputs'!$B$21)+'Inputs'!$B$7)/SQRT((((330-43)*MAX('Inputs'!$B$33,'Inputs'!$B$29+'Inputs'!$B$31+'Inputs'!$B$32,'Inputs'!$B$30+'Inputs'!$B$31+'Inputs'!$B$32)/1000+'Inputs'!$B$21)+'Inputs'!$B$7)^2+('Inputs'!$B$6/2)^2)-(((330-43)*MAX('Inputs'!$B$33,'Inputs'!$B$29+'Inputs'!$B$31+'Inputs'!$B$32,'Inputs'!$B$30+'Inputs'!$B$31+'Inputs'!$B$32)/1000+'Inputs'!$B$21))/SQRT((((330-43)*MAX('Inputs'!$B$33,'Inputs'!$B$29+'Inputs'!$B$31+'Inputs'!$B$32,'Inputs'!$B$30+'Inputs'!$B$31+'Inputs'!$B$32)/1000+'Inputs'!$B$21))^2+('Inputs'!$B$6/2)^2)))-'Results'!C7*(0.5*((((330-43)*MAX('Inputs'!$B$33,'Inputs'!$B$29+'Inputs'!$B$31+'Inputs'!$B$32,'Inputs'!$B$30+'Inputs'!$B$31+'Inputs'!$B$32)/1000+'Inputs'!$B$21+'Inputs'!$B$7+'Inputs'!$B$10)+'Inputs'!$B$9)/SQRT((((330-43)*MAX('Inputs'!$B$33,'Inputs'!$B$29+'Inputs'!$B$31+'Inputs'!$B$32,'Inputs'!$B$30+'Inputs'!$B$31+'Inputs'!$B$32)/1000+'Inputs'!$B$21+'Inputs'!$B$7+'Inputs'!$B$10)+'Inputs'!$B$9)^2+('Inputs'!$B$8/2)^2)-(((330-43)*MAX('Inputs'!$B$33,'Inputs'!$B$29+'Inputs'!$B$31+'Inputs'!$B$32,'Inputs'!$B$30+'Inputs'!$B$31+'Inputs'!$B$32)/1000+'Inputs'!$B$21+'Inputs'!$B$7+'Inputs'!$B$10))/SQRT((((330-43)*MAX('Inputs'!$B$33,'Inputs'!$B$29+'Inputs'!$B$31+'Inputs'!$B$32,'Inputs'!$B$30+'Inputs'!$B$31+'Inputs'!$B$32)/1000+'Inputs'!$B$21+'Inputs'!$B$7+'Inputs'!$B$10))^2+('Inputs'!$B$8/2)^2))))*'Results'!$B$8),"")</x:f>
        <x:v>25.50746959230324</x:v>
      </x:c>
      <x:c r="K330" t="n">
        <x:f>IF(AND(ISNUMBER('Results'!B7),ISNUMBER('Results'!C7),ISNUMBER('Results'!$B$8),ISNUMBER('Inputs'!$B$6),ISNUMBER('Inputs'!$B$7),ISNUMBER('Inputs'!$B$8),ISNUMBER('Inputs'!$B$9),ISNUMBER('Inputs'!$B$10),ISNUMBER('Inputs'!$B$21),ISNUMBER('Inputs'!$B$24),ISNUMBER('Inputs'!$B$28)),((('Results'!B7*(1-'Inputs'!$B$24)*(0.5*((((330-43)*MAX('Inputs'!$B$33,'Inputs'!$B$29+'Inputs'!$B$31+'Inputs'!$B$32,'Inputs'!$B$30+'Inputs'!$B$31+'Inputs'!$B$32)/1000+'Inputs'!$B$21)+'Inputs'!$B$7)/SQRT((((330-43)*MAX('Inputs'!$B$33,'Inputs'!$B$29+'Inputs'!$B$31+'Inputs'!$B$32,'Inputs'!$B$30+'Inputs'!$B$31+'Inputs'!$B$32)/1000+'Inputs'!$B$21)+'Inputs'!$B$7)^2+('Inputs'!$B$6/2)^2)-(((330-43)*MAX('Inputs'!$B$33,'Inputs'!$B$29+'Inputs'!$B$31+'Inputs'!$B$32,'Inputs'!$B$30+'Inputs'!$B$31+'Inputs'!$B$32)/1000+'Inputs'!$B$21))/SQRT((((330-43)*MAX('Inputs'!$B$33,'Inputs'!$B$29+'Inputs'!$B$31+'Inputs'!$B$32,'Inputs'!$B$30+'Inputs'!$B$31+'Inputs'!$B$32)/1000+'Inputs'!$B$21))^2+('Inputs'!$B$6/2)^2)))-'Results'!C7*(1+'Inputs'!$B$24)*(0.5*((((330-43)*MAX('Inputs'!$B$33,'Inputs'!$B$29+'Inputs'!$B$31+'Inputs'!$B$32,'Inputs'!$B$30+'Inputs'!$B$31+'Inputs'!$B$32)/1000+'Inputs'!$B$21+'Inputs'!$B$7+'Inputs'!$B$10)+'Inputs'!$B$9)/SQRT((((330-43)*MAX('Inputs'!$B$33,'Inputs'!$B$29+'Inputs'!$B$31+'Inputs'!$B$32,'Inputs'!$B$30+'Inputs'!$B$31+'Inputs'!$B$32)/1000+'Inputs'!$B$21+'Inputs'!$B$7+'Inputs'!$B$10)+'Inputs'!$B$9)^2+('Inputs'!$B$8/2)^2)-(((330-43)*MAX('Inputs'!$B$33,'Inputs'!$B$29+'Inputs'!$B$31+'Inputs'!$B$32,'Inputs'!$B$30+'Inputs'!$B$31+'Inputs'!$B$32)/1000+'Inputs'!$B$21+'Inputs'!$B$7+'Inputs'!$B$10))/SQRT((((330-43)*MAX('Inputs'!$B$33,'Inputs'!$B$29+'Inputs'!$B$31+'Inputs'!$B$32,'Inputs'!$B$30+'Inputs'!$B$31+'Inputs'!$B$32)/1000+'Inputs'!$B$21+'Inputs'!$B$7+'Inputs'!$B$10))^2+('Inputs'!$B$8/2)^2))))*'Results'!$B$8)-'Inputs'!$B$28*ABS((('Results'!B7*(1-'Inputs'!$B$24)*(0.5*((((330-43)*MAX('Inputs'!$B$33,'Inputs'!$B$29+'Inputs'!$B$31+'Inputs'!$B$32,'Inputs'!$B$30+'Inputs'!$B$31+'Inputs'!$B$32)/1000+'Inputs'!$B$21)+'Inputs'!$B$7)/SQRT((((330-43)*MAX('Inputs'!$B$33,'Inputs'!$B$29+'Inputs'!$B$31+'Inputs'!$B$32,'Inputs'!$B$30+'Inputs'!$B$31+'Inputs'!$B$32)/1000+'Inputs'!$B$21)+'Inputs'!$B$7)^2+('Inputs'!$B$6/2)^2)-(((330-43)*MAX('Inputs'!$B$33,'Inputs'!$B$29+'Inputs'!$B$31+'Inputs'!$B$32,'Inputs'!$B$30+'Inputs'!$B$31+'Inputs'!$B$32)/1000+'Inputs'!$B$21))/SQRT((((330-43)*MAX('Inputs'!$B$33,'Inputs'!$B$29+'Inputs'!$B$31+'Inputs'!$B$32,'Inputs'!$B$30+'Inputs'!$B$31+'Inputs'!$B$32)/1000+'Inputs'!$B$21))^2+('Inputs'!$B$6/2)^2)))-'Results'!C7*(1+'Inputs'!$B$24)*(0.5*((((330-43)*MAX('Inputs'!$B$33,'Inputs'!$B$29+'Inputs'!$B$31+'Inputs'!$B$32,'Inputs'!$B$30+'Inputs'!$B$31+'Inputs'!$B$32)/1000+'Inputs'!$B$21+'Inputs'!$B$7+'Inputs'!$B$10)+'Inputs'!$B$9)/SQRT((((330-43)*MAX('Inputs'!$B$33,'Inputs'!$B$29+'Inputs'!$B$31+'Inputs'!$B$32,'Inputs'!$B$30+'Inputs'!$B$31+'Inputs'!$B$32)/1000+'Inputs'!$B$21+'Inputs'!$B$7+'Inputs'!$B$10)+'Inputs'!$B$9)^2+('Inputs'!$B$8/2)^2)-(((330-43)*MAX('Inputs'!$B$33,'Inputs'!$B$29+'Inputs'!$B$31+'Inputs'!$B$32,'Inputs'!$B$30+'Inputs'!$B$31+'Inputs'!$B$32)/1000+'Inputs'!$B$21+'Inputs'!$B$7+'Inputs'!$B$10))/SQRT((((330-43)*MAX('Inputs'!$B$33,'Inputs'!$B$29+'Inputs'!$B$31+'Inputs'!$B$32,'Inputs'!$B$30+'Inputs'!$B$31+'Inputs'!$B$32)/1000+'Inputs'!$B$21+'Inputs'!$B$7+'Inputs'!$B$10))^2+('Inputs'!$B$8/2)^2))))*'Results'!$B$8))),"")</x:f>
        <x:v>23.116952681718153</x:v>
      </x:c>
      <x:c r="L330" t="n">
        <x:f>IF(AND(ISNUMBER('Results'!B7),ISNUMBER('Results'!C7),ISNUMBER('Results'!$B$8),ISNUMBER('Inputs'!$B$6),ISNUMBER('Inputs'!$B$7),ISNUMBER('Inputs'!$B$8),ISNUMBER('Inputs'!$B$9),ISNUMBER('Inputs'!$B$10),ISNUMBER('Inputs'!$B$21),ISNUMBER('Inputs'!$B$24),ISNUMBER('Inputs'!$B$28)),((('Results'!B7*(1+'Inputs'!$B$24)*(0.5*((((330-43)*MAX('Inputs'!$B$33,'Inputs'!$B$29+'Inputs'!$B$31+'Inputs'!$B$32,'Inputs'!$B$30+'Inputs'!$B$31+'Inputs'!$B$32)/1000+'Inputs'!$B$21)+'Inputs'!$B$7)/SQRT((((330-43)*MAX('Inputs'!$B$33,'Inputs'!$B$29+'Inputs'!$B$31+'Inputs'!$B$32,'Inputs'!$B$30+'Inputs'!$B$31+'Inputs'!$B$32)/1000+'Inputs'!$B$21)+'Inputs'!$B$7)^2+('Inputs'!$B$6/2)^2)-(((330-43)*MAX('Inputs'!$B$33,'Inputs'!$B$29+'Inputs'!$B$31+'Inputs'!$B$32,'Inputs'!$B$30+'Inputs'!$B$31+'Inputs'!$B$32)/1000+'Inputs'!$B$21))/SQRT((((330-43)*MAX('Inputs'!$B$33,'Inputs'!$B$29+'Inputs'!$B$31+'Inputs'!$B$32,'Inputs'!$B$30+'Inputs'!$B$31+'Inputs'!$B$32)/1000+'Inputs'!$B$21))^2+('Inputs'!$B$6/2)^2)))-'Results'!C7*(1-'Inputs'!$B$24)*(0.5*((((330-43)*MAX('Inputs'!$B$33,'Inputs'!$B$29+'Inputs'!$B$31+'Inputs'!$B$32,'Inputs'!$B$30+'Inputs'!$B$31+'Inputs'!$B$32)/1000+'Inputs'!$B$21+'Inputs'!$B$7+'Inputs'!$B$10)+'Inputs'!$B$9)/SQRT((((330-43)*MAX('Inputs'!$B$33,'Inputs'!$B$29+'Inputs'!$B$31+'Inputs'!$B$32,'Inputs'!$B$30+'Inputs'!$B$31+'Inputs'!$B$32)/1000+'Inputs'!$B$21+'Inputs'!$B$7+'Inputs'!$B$10)+'Inputs'!$B$9)^2+('Inputs'!$B$8/2)^2)-(((330-43)*MAX('Inputs'!$B$33,'Inputs'!$B$29+'Inputs'!$B$31+'Inputs'!$B$32,'Inputs'!$B$30+'Inputs'!$B$31+'Inputs'!$B$32)/1000+'Inputs'!$B$21+'Inputs'!$B$7+'Inputs'!$B$10))/SQRT((((330-43)*MAX('Inputs'!$B$33,'Inputs'!$B$29+'Inputs'!$B$31+'Inputs'!$B$32,'Inputs'!$B$30+'Inputs'!$B$31+'Inputs'!$B$32)/1000+'Inputs'!$B$21+'Inputs'!$B$7+'Inputs'!$B$10))^2+('Inputs'!$B$8/2)^2))))*'Results'!$B$8)+'Inputs'!$B$28*ABS((('Results'!B7*(1+'Inputs'!$B$24)*(0.5*((((330-43)*MAX('Inputs'!$B$33,'Inputs'!$B$29+'Inputs'!$B$31+'Inputs'!$B$32,'Inputs'!$B$30+'Inputs'!$B$31+'Inputs'!$B$32)/1000+'Inputs'!$B$21)+'Inputs'!$B$7)/SQRT((((330-43)*MAX('Inputs'!$B$33,'Inputs'!$B$29+'Inputs'!$B$31+'Inputs'!$B$32,'Inputs'!$B$30+'Inputs'!$B$31+'Inputs'!$B$32)/1000+'Inputs'!$B$21)+'Inputs'!$B$7)^2+('Inputs'!$B$6/2)^2)-(((330-43)*MAX('Inputs'!$B$33,'Inputs'!$B$29+'Inputs'!$B$31+'Inputs'!$B$32,'Inputs'!$B$30+'Inputs'!$B$31+'Inputs'!$B$32)/1000+'Inputs'!$B$21))/SQRT((((330-43)*MAX('Inputs'!$B$33,'Inputs'!$B$29+'Inputs'!$B$31+'Inputs'!$B$32,'Inputs'!$B$30+'Inputs'!$B$31+'Inputs'!$B$32)/1000+'Inputs'!$B$21))^2+('Inputs'!$B$6/2)^2)))-'Results'!C7*(1-'Inputs'!$B$24)*(0.5*((((330-43)*MAX('Inputs'!$B$33,'Inputs'!$B$29+'Inputs'!$B$31+'Inputs'!$B$32,'Inputs'!$B$30+'Inputs'!$B$31+'Inputs'!$B$32)/1000+'Inputs'!$B$21+'Inputs'!$B$7+'Inputs'!$B$10)+'Inputs'!$B$9)/SQRT((((330-43)*MAX('Inputs'!$B$33,'Inputs'!$B$29+'Inputs'!$B$31+'Inputs'!$B$32,'Inputs'!$B$30+'Inputs'!$B$31+'Inputs'!$B$32)/1000+'Inputs'!$B$21+'Inputs'!$B$7+'Inputs'!$B$10)+'Inputs'!$B$9)^2+('Inputs'!$B$8/2)^2)-(((330-43)*MAX('Inputs'!$B$33,'Inputs'!$B$29+'Inputs'!$B$31+'Inputs'!$B$32,'Inputs'!$B$30+'Inputs'!$B$31+'Inputs'!$B$32)/1000+'Inputs'!$B$21+'Inputs'!$B$7+'Inputs'!$B$10))/SQRT((((330-43)*MAX('Inputs'!$B$33,'Inputs'!$B$29+'Inputs'!$B$31+'Inputs'!$B$32,'Inputs'!$B$30+'Inputs'!$B$31+'Inputs'!$B$32)/1000+'Inputs'!$B$21+'Inputs'!$B$7+'Inputs'!$B$10))^2+('Inputs'!$B$8/2)^2))))*'Results'!$B$8))),"")</x:f>
        <x:v>28.015370021937795</x:v>
      </x:c>
      <x:c r="M330" t="n">
        <x:f>IF(AND(ISNUMBER('Results'!C7),ISNUMBER('Results'!B7),ISNUMBER('Results'!$B$8),ISNUMBER('Inputs'!$B$6),ISNUMBER('Inputs'!$B$7),ISNUMBER('Inputs'!$B$8),ISNUMBER('Inputs'!$B$9),ISNUMBER('Inputs'!$B$10),ISNUMBER('Inputs'!$B$21),ISNUMBER('Inputs'!$B$24),ISNUMBER('Inputs'!$B$28)),(('Results'!C7*(0.5*((((330-43)*MAX('Inputs'!$B$33,'Inputs'!$B$29+'Inputs'!$B$31+'Inputs'!$B$32,'Inputs'!$B$30+'Inputs'!$B$31+'Inputs'!$B$32)/1000+'Inputs'!$B$21)+'Inputs'!$B$9)/SQRT((((330-43)*MAX('Inputs'!$B$33,'Inputs'!$B$29+'Inputs'!$B$31+'Inputs'!$B$32,'Inputs'!$B$30+'Inputs'!$B$31+'Inputs'!$B$32)/1000+'Inputs'!$B$21)+'Inputs'!$B$9)^2+('Inputs'!$B$8/2)^2)-(((330-43)*MAX('Inputs'!$B$33,'Inputs'!$B$29+'Inputs'!$B$31+'Inputs'!$B$32,'Inputs'!$B$30+'Inputs'!$B$31+'Inputs'!$B$32)/1000+'Inputs'!$B$21))/SQRT((((330-43)*MAX('Inputs'!$B$33,'Inputs'!$B$29+'Inputs'!$B$31+'Inputs'!$B$32,'Inputs'!$B$30+'Inputs'!$B$31+'Inputs'!$B$32)/1000+'Inputs'!$B$21))^2+('Inputs'!$B$8/2)^2)))-'Results'!B7*(0.5*((((330-43)*MAX('Inputs'!$B$33,'Inputs'!$B$29+'Inputs'!$B$31+'Inputs'!$B$32,'Inputs'!$B$30+'Inputs'!$B$31+'Inputs'!$B$32)/1000+'Inputs'!$B$21+'Inputs'!$B$9+'Inputs'!$B$10)+'Inputs'!$B$7)/SQRT((((330-43)*MAX('Inputs'!$B$33,'Inputs'!$B$29+'Inputs'!$B$31+'Inputs'!$B$32,'Inputs'!$B$30+'Inputs'!$B$31+'Inputs'!$B$32)/1000+'Inputs'!$B$21+'Inputs'!$B$9+'Inputs'!$B$10)+'Inputs'!$B$7)^2+('Inputs'!$B$6/2)^2)-(((330-43)*MAX('Inputs'!$B$33,'Inputs'!$B$29+'Inputs'!$B$31+'Inputs'!$B$32,'Inputs'!$B$30+'Inputs'!$B$31+'Inputs'!$B$32)/1000+'Inputs'!$B$21+'Inputs'!$B$9+'Inputs'!$B$10))/SQRT((((330-43)*MAX('Inputs'!$B$33,'Inputs'!$B$29+'Inputs'!$B$31+'Inputs'!$B$32,'Inputs'!$B$30+'Inputs'!$B$31+'Inputs'!$B$32)/1000+'Inputs'!$B$21+'Inputs'!$B$9+'Inputs'!$B$10))^2+('Inputs'!$B$6/2)^2))))*'Results'!$B$8),"")</x:f>
        <x:v>24.32686209774074</x:v>
      </x:c>
      <x:c r="N330" t="n">
        <x:f>IF(AND(ISNUMBER('Results'!C7),ISNUMBER('Results'!B7),ISNUMBER('Results'!$B$8),ISNUMBER('Inputs'!$B$6),ISNUMBER('Inputs'!$B$7),ISNUMBER('Inputs'!$B$8),ISNUMBER('Inputs'!$B$9),ISNUMBER('Inputs'!$B$10),ISNUMBER('Inputs'!$B$21),ISNUMBER('Inputs'!$B$24),ISNUMBER('Inputs'!$B$28)),((('Results'!C7*(1-'Inputs'!$B$24)*(0.5*((((330-43)*MAX('Inputs'!$B$33,'Inputs'!$B$29+'Inputs'!$B$31+'Inputs'!$B$32,'Inputs'!$B$30+'Inputs'!$B$31+'Inputs'!$B$32)/1000+'Inputs'!$B$21)+'Inputs'!$B$9)/SQRT((((330-43)*MAX('Inputs'!$B$33,'Inputs'!$B$29+'Inputs'!$B$31+'Inputs'!$B$32,'Inputs'!$B$30+'Inputs'!$B$31+'Inputs'!$B$32)/1000+'Inputs'!$B$21)+'Inputs'!$B$9)^2+('Inputs'!$B$8/2)^2)-(((330-43)*MAX('Inputs'!$B$33,'Inputs'!$B$29+'Inputs'!$B$31+'Inputs'!$B$32,'Inputs'!$B$30+'Inputs'!$B$31+'Inputs'!$B$32)/1000+'Inputs'!$B$21))/SQRT((((330-43)*MAX('Inputs'!$B$33,'Inputs'!$B$29+'Inputs'!$B$31+'Inputs'!$B$32,'Inputs'!$B$30+'Inputs'!$B$31+'Inputs'!$B$32)/1000+'Inputs'!$B$21))^2+('Inputs'!$B$8/2)^2)))-'Results'!B7*(1+'Inputs'!$B$24)*(0.5*((((330-43)*MAX('Inputs'!$B$33,'Inputs'!$B$29+'Inputs'!$B$31+'Inputs'!$B$32,'Inputs'!$B$30+'Inputs'!$B$31+'Inputs'!$B$32)/1000+'Inputs'!$B$21+'Inputs'!$B$9+'Inputs'!$B$10)+'Inputs'!$B$7)/SQRT((((330-43)*MAX('Inputs'!$B$33,'Inputs'!$B$29+'Inputs'!$B$31+'Inputs'!$B$32,'Inputs'!$B$30+'Inputs'!$B$31+'Inputs'!$B$32)/1000+'Inputs'!$B$21+'Inputs'!$B$9+'Inputs'!$B$10)+'Inputs'!$B$7)^2+('Inputs'!$B$6/2)^2)-(((330-43)*MAX('Inputs'!$B$33,'Inputs'!$B$29+'Inputs'!$B$31+'Inputs'!$B$32,'Inputs'!$B$30+'Inputs'!$B$31+'Inputs'!$B$32)/1000+'Inputs'!$B$21+'Inputs'!$B$9+'Inputs'!$B$10))/SQRT((((330-43)*MAX('Inputs'!$B$33,'Inputs'!$B$29+'Inputs'!$B$31+'Inputs'!$B$32,'Inputs'!$B$30+'Inputs'!$B$31+'Inputs'!$B$32)/1000+'Inputs'!$B$21+'Inputs'!$B$9+'Inputs'!$B$10))^2+('Inputs'!$B$6/2)^2))))*'Results'!$B$8)-'Inputs'!$B$28*ABS((('Results'!C7*(1-'Inputs'!$B$24)*(0.5*((((330-43)*MAX('Inputs'!$B$33,'Inputs'!$B$29+'Inputs'!$B$31+'Inputs'!$B$32,'Inputs'!$B$30+'Inputs'!$B$31+'Inputs'!$B$32)/1000+'Inputs'!$B$21)+'Inputs'!$B$9)/SQRT((((330-43)*MAX('Inputs'!$B$33,'Inputs'!$B$29+'Inputs'!$B$31+'Inputs'!$B$32,'Inputs'!$B$30+'Inputs'!$B$31+'Inputs'!$B$32)/1000+'Inputs'!$B$21)+'Inputs'!$B$9)^2+('Inputs'!$B$8/2)^2)-(((330-43)*MAX('Inputs'!$B$33,'Inputs'!$B$29+'Inputs'!$B$31+'Inputs'!$B$32,'Inputs'!$B$30+'Inputs'!$B$31+'Inputs'!$B$32)/1000+'Inputs'!$B$21))/SQRT((((330-43)*MAX('Inputs'!$B$33,'Inputs'!$B$29+'Inputs'!$B$31+'Inputs'!$B$32,'Inputs'!$B$30+'Inputs'!$B$31+'Inputs'!$B$32)/1000+'Inputs'!$B$21))^2+('Inputs'!$B$8/2)^2)))-'Results'!B7*(1+'Inputs'!$B$24)*(0.5*((((330-43)*MAX('Inputs'!$B$33,'Inputs'!$B$29+'Inputs'!$B$31+'Inputs'!$B$32,'Inputs'!$B$30+'Inputs'!$B$31+'Inputs'!$B$32)/1000+'Inputs'!$B$21+'Inputs'!$B$9+'Inputs'!$B$10)+'Inputs'!$B$7)/SQRT((((330-43)*MAX('Inputs'!$B$33,'Inputs'!$B$29+'Inputs'!$B$31+'Inputs'!$B$32,'Inputs'!$B$30+'Inputs'!$B$31+'Inputs'!$B$32)/1000+'Inputs'!$B$21+'Inputs'!$B$9+'Inputs'!$B$10)+'Inputs'!$B$7)^2+('Inputs'!$B$6/2)^2)-(((330-43)*MAX('Inputs'!$B$33,'Inputs'!$B$29+'Inputs'!$B$31+'Inputs'!$B$32,'Inputs'!$B$30+'Inputs'!$B$31+'Inputs'!$B$32)/1000+'Inputs'!$B$21+'Inputs'!$B$9+'Inputs'!$B$10))/SQRT((((330-43)*MAX('Inputs'!$B$33,'Inputs'!$B$29+'Inputs'!$B$31+'Inputs'!$B$32,'Inputs'!$B$30+'Inputs'!$B$31+'Inputs'!$B$32)/1000+'Inputs'!$B$21+'Inputs'!$B$9+'Inputs'!$B$10))^2+('Inputs'!$B$6/2)^2))))*'Results'!$B$8))),"")</x:f>
        <x:v>22.004939726551555</x:v>
      </x:c>
      <x:c r="O330" t="n">
        <x:f>IF(AND(ISNUMBER('Results'!C7),ISNUMBER('Results'!B7),ISNUMBER('Results'!$B$8),ISNUMBER('Inputs'!$B$6),ISNUMBER('Inputs'!$B$7),ISNUMBER('Inputs'!$B$8),ISNUMBER('Inputs'!$B$9),ISNUMBER('Inputs'!$B$10),ISNUMBER('Inputs'!$B$21),ISNUMBER('Inputs'!$B$24),ISNUMBER('Inputs'!$B$28)),((('Results'!C7*(1+'Inputs'!$B$24)*(0.5*((((330-43)*MAX('Inputs'!$B$33,'Inputs'!$B$29+'Inputs'!$B$31+'Inputs'!$B$32,'Inputs'!$B$30+'Inputs'!$B$31+'Inputs'!$B$32)/1000+'Inputs'!$B$21)+'Inputs'!$B$9)/SQRT((((330-43)*MAX('Inputs'!$B$33,'Inputs'!$B$29+'Inputs'!$B$31+'Inputs'!$B$32,'Inputs'!$B$30+'Inputs'!$B$31+'Inputs'!$B$32)/1000+'Inputs'!$B$21)+'Inputs'!$B$9)^2+('Inputs'!$B$8/2)^2)-(((330-43)*MAX('Inputs'!$B$33,'Inputs'!$B$29+'Inputs'!$B$31+'Inputs'!$B$32,'Inputs'!$B$30+'Inputs'!$B$31+'Inputs'!$B$32)/1000+'Inputs'!$B$21))/SQRT((((330-43)*MAX('Inputs'!$B$33,'Inputs'!$B$29+'Inputs'!$B$31+'Inputs'!$B$32,'Inputs'!$B$30+'Inputs'!$B$31+'Inputs'!$B$32)/1000+'Inputs'!$B$21))^2+('Inputs'!$B$8/2)^2)))-'Results'!B7*(1-'Inputs'!$B$24)*(0.5*((((330-43)*MAX('Inputs'!$B$33,'Inputs'!$B$29+'Inputs'!$B$31+'Inputs'!$B$32,'Inputs'!$B$30+'Inputs'!$B$31+'Inputs'!$B$32)/1000+'Inputs'!$B$21+'Inputs'!$B$9+'Inputs'!$B$10)+'Inputs'!$B$7)/SQRT((((330-43)*MAX('Inputs'!$B$33,'Inputs'!$B$29+'Inputs'!$B$31+'Inputs'!$B$32,'Inputs'!$B$30+'Inputs'!$B$31+'Inputs'!$B$32)/1000+'Inputs'!$B$21+'Inputs'!$B$9+'Inputs'!$B$10)+'Inputs'!$B$7)^2+('Inputs'!$B$6/2)^2)-(((330-43)*MAX('Inputs'!$B$33,'Inputs'!$B$29+'Inputs'!$B$31+'Inputs'!$B$32,'Inputs'!$B$30+'Inputs'!$B$31+'Inputs'!$B$32)/1000+'Inputs'!$B$21+'Inputs'!$B$9+'Inputs'!$B$10))/SQRT((((330-43)*MAX('Inputs'!$B$33,'Inputs'!$B$29+'Inputs'!$B$31+'Inputs'!$B$32,'Inputs'!$B$30+'Inputs'!$B$31+'Inputs'!$B$32)/1000+'Inputs'!$B$21+'Inputs'!$B$9+'Inputs'!$B$10))^2+('Inputs'!$B$6/2)^2))))*'Results'!$B$8)+'Inputs'!$B$28*ABS((('Results'!C7*(1+'Inputs'!$B$24)*(0.5*((((330-43)*MAX('Inputs'!$B$33,'Inputs'!$B$29+'Inputs'!$B$31+'Inputs'!$B$32,'Inputs'!$B$30+'Inputs'!$B$31+'Inputs'!$B$32)/1000+'Inputs'!$B$21)+'Inputs'!$B$9)/SQRT((((330-43)*MAX('Inputs'!$B$33,'Inputs'!$B$29+'Inputs'!$B$31+'Inputs'!$B$32,'Inputs'!$B$30+'Inputs'!$B$31+'Inputs'!$B$32)/1000+'Inputs'!$B$21)+'Inputs'!$B$9)^2+('Inputs'!$B$8/2)^2)-(((330-43)*MAX('Inputs'!$B$33,'Inputs'!$B$29+'Inputs'!$B$31+'Inputs'!$B$32,'Inputs'!$B$30+'Inputs'!$B$31+'Inputs'!$B$32)/1000+'Inputs'!$B$21))/SQRT((((330-43)*MAX('Inputs'!$B$33,'Inputs'!$B$29+'Inputs'!$B$31+'Inputs'!$B$32,'Inputs'!$B$30+'Inputs'!$B$31+'Inputs'!$B$32)/1000+'Inputs'!$B$21))^2+('Inputs'!$B$8/2)^2)))-'Results'!B7*(1-'Inputs'!$B$24)*(0.5*((((330-43)*MAX('Inputs'!$B$33,'Inputs'!$B$29+'Inputs'!$B$31+'Inputs'!$B$32,'Inputs'!$B$30+'Inputs'!$B$31+'Inputs'!$B$32)/1000+'Inputs'!$B$21+'Inputs'!$B$9+'Inputs'!$B$10)+'Inputs'!$B$7)/SQRT((((330-43)*MAX('Inputs'!$B$33,'Inputs'!$B$29+'Inputs'!$B$31+'Inputs'!$B$32,'Inputs'!$B$30+'Inputs'!$B$31+'Inputs'!$B$32)/1000+'Inputs'!$B$21+'Inputs'!$B$9+'Inputs'!$B$10)+'Inputs'!$B$7)^2+('Inputs'!$B$6/2)^2)-(((330-43)*MAX('Inputs'!$B$33,'Inputs'!$B$29+'Inputs'!$B$31+'Inputs'!$B$32,'Inputs'!$B$30+'Inputs'!$B$31+'Inputs'!$B$32)/1000+'Inputs'!$B$21+'Inputs'!$B$9+'Inputs'!$B$10))/SQRT((((330-43)*MAX('Inputs'!$B$33,'Inputs'!$B$29+'Inputs'!$B$31+'Inputs'!$B$32,'Inputs'!$B$30+'Inputs'!$B$31+'Inputs'!$B$32)/1000+'Inputs'!$B$21+'Inputs'!$B$9+'Inputs'!$B$10))^2+('Inputs'!$B$6/2)^2))))*'Results'!$B$8))),"")</x:f>
        <x:v>26.765161233803827</x:v>
      </x:c>
      <x:c r="P330" t="n">
        <x:f>IF(AND(MAX(J330,J329)&gt;0,J330&gt;J329+0.00000001),1,0)</x:f>
        <x:v>0</x:v>
      </x:c>
      <x:c r="Q330" t="n">
        <x:f>IF(AND(MAX(K330,K329)&gt;0,K330&gt;K329+0.00000001),1,0)</x:f>
        <x:v>0</x:v>
      </x:c>
      <x:c r="R330" t="n">
        <x:f>IF(AND(MAX(L330,L329)&gt;0,L330&gt;L329+0.00000001),1,0)</x:f>
        <x:v>0</x:v>
      </x:c>
      <x:c r="S330" t="n">
        <x:f>IF(AND(MAX(M330,M329)&gt;0,M330&gt;M329+0.00000001),1,0)</x:f>
        <x:v>0</x:v>
      </x:c>
      <x:c r="T330" t="n">
        <x:f>IF(AND(MAX(N330,N329)&gt;0,N330&gt;N329+0.00000001),1,0)</x:f>
        <x:v>0</x:v>
      </x:c>
      <x:c r="U330" t="n">
        <x:f>IF(AND(MAX(O330,O329)&gt;0,O330&gt;O329+0.00000001),1,0)</x:f>
        <x:v>0</x:v>
      </x:c>
    </x:row>
    <x:row r="331">
      <x:c r="J331" t="n">
        <x:f>IF(AND(ISNUMBER('Results'!B7),ISNUMBER('Results'!C7),ISNUMBER('Results'!$B$8),ISNUMBER('Inputs'!$B$6),ISNUMBER('Inputs'!$B$7),ISNUMBER('Inputs'!$B$8),ISNUMBER('Inputs'!$B$9),ISNUMBER('Inputs'!$B$10),ISNUMBER('Inputs'!$B$21),ISNUMBER('Inputs'!$B$24),ISNUMBER('Inputs'!$B$28)),(('Results'!B7*(0.5*((((331-43)*MAX('Inputs'!$B$33,'Inputs'!$B$29+'Inputs'!$B$31+'Inputs'!$B$32,'Inputs'!$B$30+'Inputs'!$B$31+'Inputs'!$B$32)/1000+'Inputs'!$B$21)+'Inputs'!$B$7)/SQRT((((331-43)*MAX('Inputs'!$B$33,'Inputs'!$B$29+'Inputs'!$B$31+'Inputs'!$B$32,'Inputs'!$B$30+'Inputs'!$B$31+'Inputs'!$B$32)/1000+'Inputs'!$B$21)+'Inputs'!$B$7)^2+('Inputs'!$B$6/2)^2)-(((331-43)*MAX('Inputs'!$B$33,'Inputs'!$B$29+'Inputs'!$B$31+'Inputs'!$B$32,'Inputs'!$B$30+'Inputs'!$B$31+'Inputs'!$B$32)/1000+'Inputs'!$B$21))/SQRT((((331-43)*MAX('Inputs'!$B$33,'Inputs'!$B$29+'Inputs'!$B$31+'Inputs'!$B$32,'Inputs'!$B$30+'Inputs'!$B$31+'Inputs'!$B$32)/1000+'Inputs'!$B$21))^2+('Inputs'!$B$6/2)^2)))-'Results'!C7*(0.5*((((331-43)*MAX('Inputs'!$B$33,'Inputs'!$B$29+'Inputs'!$B$31+'Inputs'!$B$32,'Inputs'!$B$30+'Inputs'!$B$31+'Inputs'!$B$32)/1000+'Inputs'!$B$21+'Inputs'!$B$7+'Inputs'!$B$10)+'Inputs'!$B$9)/SQRT((((331-43)*MAX('Inputs'!$B$33,'Inputs'!$B$29+'Inputs'!$B$31+'Inputs'!$B$32,'Inputs'!$B$30+'Inputs'!$B$31+'Inputs'!$B$32)/1000+'Inputs'!$B$21+'Inputs'!$B$7+'Inputs'!$B$10)+'Inputs'!$B$9)^2+('Inputs'!$B$8/2)^2)-(((331-43)*MAX('Inputs'!$B$33,'Inputs'!$B$29+'Inputs'!$B$31+'Inputs'!$B$32,'Inputs'!$B$30+'Inputs'!$B$31+'Inputs'!$B$32)/1000+'Inputs'!$B$21+'Inputs'!$B$7+'Inputs'!$B$10))/SQRT((((331-43)*MAX('Inputs'!$B$33,'Inputs'!$B$29+'Inputs'!$B$31+'Inputs'!$B$32,'Inputs'!$B$30+'Inputs'!$B$31+'Inputs'!$B$32)/1000+'Inputs'!$B$21+'Inputs'!$B$7+'Inputs'!$B$10))^2+('Inputs'!$B$8/2)^2))))*'Results'!$B$8),"")</x:f>
        <x:v>25.23612316300761</x:v>
      </x:c>
      <x:c r="K331" t="n">
        <x:f>IF(AND(ISNUMBER('Results'!B7),ISNUMBER('Results'!C7),ISNUMBER('Results'!$B$8),ISNUMBER('Inputs'!$B$6),ISNUMBER('Inputs'!$B$7),ISNUMBER('Inputs'!$B$8),ISNUMBER('Inputs'!$B$9),ISNUMBER('Inputs'!$B$10),ISNUMBER('Inputs'!$B$21),ISNUMBER('Inputs'!$B$24),ISNUMBER('Inputs'!$B$28)),((('Results'!B7*(1-'Inputs'!$B$24)*(0.5*((((331-43)*MAX('Inputs'!$B$33,'Inputs'!$B$29+'Inputs'!$B$31+'Inputs'!$B$32,'Inputs'!$B$30+'Inputs'!$B$31+'Inputs'!$B$32)/1000+'Inputs'!$B$21)+'Inputs'!$B$7)/SQRT((((331-43)*MAX('Inputs'!$B$33,'Inputs'!$B$29+'Inputs'!$B$31+'Inputs'!$B$32,'Inputs'!$B$30+'Inputs'!$B$31+'Inputs'!$B$32)/1000+'Inputs'!$B$21)+'Inputs'!$B$7)^2+('Inputs'!$B$6/2)^2)-(((331-43)*MAX('Inputs'!$B$33,'Inputs'!$B$29+'Inputs'!$B$31+'Inputs'!$B$32,'Inputs'!$B$30+'Inputs'!$B$31+'Inputs'!$B$32)/1000+'Inputs'!$B$21))/SQRT((((331-43)*MAX('Inputs'!$B$33,'Inputs'!$B$29+'Inputs'!$B$31+'Inputs'!$B$32,'Inputs'!$B$30+'Inputs'!$B$31+'Inputs'!$B$32)/1000+'Inputs'!$B$21))^2+('Inputs'!$B$6/2)^2)))-'Results'!C7*(1+'Inputs'!$B$24)*(0.5*((((331-43)*MAX('Inputs'!$B$33,'Inputs'!$B$29+'Inputs'!$B$31+'Inputs'!$B$32,'Inputs'!$B$30+'Inputs'!$B$31+'Inputs'!$B$32)/1000+'Inputs'!$B$21+'Inputs'!$B$7+'Inputs'!$B$10)+'Inputs'!$B$9)/SQRT((((331-43)*MAX('Inputs'!$B$33,'Inputs'!$B$29+'Inputs'!$B$31+'Inputs'!$B$32,'Inputs'!$B$30+'Inputs'!$B$31+'Inputs'!$B$32)/1000+'Inputs'!$B$21+'Inputs'!$B$7+'Inputs'!$B$10)+'Inputs'!$B$9)^2+('Inputs'!$B$8/2)^2)-(((331-43)*MAX('Inputs'!$B$33,'Inputs'!$B$29+'Inputs'!$B$31+'Inputs'!$B$32,'Inputs'!$B$30+'Inputs'!$B$31+'Inputs'!$B$32)/1000+'Inputs'!$B$21+'Inputs'!$B$7+'Inputs'!$B$10))/SQRT((((331-43)*MAX('Inputs'!$B$33,'Inputs'!$B$29+'Inputs'!$B$31+'Inputs'!$B$32,'Inputs'!$B$30+'Inputs'!$B$31+'Inputs'!$B$32)/1000+'Inputs'!$B$21+'Inputs'!$B$7+'Inputs'!$B$10))^2+('Inputs'!$B$8/2)^2))))*'Results'!$B$8)-'Inputs'!$B$28*ABS((('Results'!B7*(1-'Inputs'!$B$24)*(0.5*((((331-43)*MAX('Inputs'!$B$33,'Inputs'!$B$29+'Inputs'!$B$31+'Inputs'!$B$32,'Inputs'!$B$30+'Inputs'!$B$31+'Inputs'!$B$32)/1000+'Inputs'!$B$21)+'Inputs'!$B$7)/SQRT((((331-43)*MAX('Inputs'!$B$33,'Inputs'!$B$29+'Inputs'!$B$31+'Inputs'!$B$32,'Inputs'!$B$30+'Inputs'!$B$31+'Inputs'!$B$32)/1000+'Inputs'!$B$21)+'Inputs'!$B$7)^2+('Inputs'!$B$6/2)^2)-(((331-43)*MAX('Inputs'!$B$33,'Inputs'!$B$29+'Inputs'!$B$31+'Inputs'!$B$32,'Inputs'!$B$30+'Inputs'!$B$31+'Inputs'!$B$32)/1000+'Inputs'!$B$21))/SQRT((((331-43)*MAX('Inputs'!$B$33,'Inputs'!$B$29+'Inputs'!$B$31+'Inputs'!$B$32,'Inputs'!$B$30+'Inputs'!$B$31+'Inputs'!$B$32)/1000+'Inputs'!$B$21))^2+('Inputs'!$B$6/2)^2)))-'Results'!C7*(1+'Inputs'!$B$24)*(0.5*((((331-43)*MAX('Inputs'!$B$33,'Inputs'!$B$29+'Inputs'!$B$31+'Inputs'!$B$32,'Inputs'!$B$30+'Inputs'!$B$31+'Inputs'!$B$32)/1000+'Inputs'!$B$21+'Inputs'!$B$7+'Inputs'!$B$10)+'Inputs'!$B$9)/SQRT((((331-43)*MAX('Inputs'!$B$33,'Inputs'!$B$29+'Inputs'!$B$31+'Inputs'!$B$32,'Inputs'!$B$30+'Inputs'!$B$31+'Inputs'!$B$32)/1000+'Inputs'!$B$21+'Inputs'!$B$7+'Inputs'!$B$10)+'Inputs'!$B$9)^2+('Inputs'!$B$8/2)^2)-(((331-43)*MAX('Inputs'!$B$33,'Inputs'!$B$29+'Inputs'!$B$31+'Inputs'!$B$32,'Inputs'!$B$30+'Inputs'!$B$31+'Inputs'!$B$32)/1000+'Inputs'!$B$21+'Inputs'!$B$7+'Inputs'!$B$10))/SQRT((((331-43)*MAX('Inputs'!$B$33,'Inputs'!$B$29+'Inputs'!$B$31+'Inputs'!$B$32,'Inputs'!$B$30+'Inputs'!$B$31+'Inputs'!$B$32)/1000+'Inputs'!$B$21+'Inputs'!$B$7+'Inputs'!$B$10))^2+('Inputs'!$B$8/2)^2))))*'Results'!$B$8))),"")</x:f>
        <x:v>22.868654327484798</x:v>
      </x:c>
      <x:c r="L331" t="n">
        <x:f>IF(AND(ISNUMBER('Results'!B7),ISNUMBER('Results'!C7),ISNUMBER('Results'!$B$8),ISNUMBER('Inputs'!$B$6),ISNUMBER('Inputs'!$B$7),ISNUMBER('Inputs'!$B$8),ISNUMBER('Inputs'!$B$9),ISNUMBER('Inputs'!$B$10),ISNUMBER('Inputs'!$B$21),ISNUMBER('Inputs'!$B$24),ISNUMBER('Inputs'!$B$28)),((('Results'!B7*(1+'Inputs'!$B$24)*(0.5*((((331-43)*MAX('Inputs'!$B$33,'Inputs'!$B$29+'Inputs'!$B$31+'Inputs'!$B$32,'Inputs'!$B$30+'Inputs'!$B$31+'Inputs'!$B$32)/1000+'Inputs'!$B$21)+'Inputs'!$B$7)/SQRT((((331-43)*MAX('Inputs'!$B$33,'Inputs'!$B$29+'Inputs'!$B$31+'Inputs'!$B$32,'Inputs'!$B$30+'Inputs'!$B$31+'Inputs'!$B$32)/1000+'Inputs'!$B$21)+'Inputs'!$B$7)^2+('Inputs'!$B$6/2)^2)-(((331-43)*MAX('Inputs'!$B$33,'Inputs'!$B$29+'Inputs'!$B$31+'Inputs'!$B$32,'Inputs'!$B$30+'Inputs'!$B$31+'Inputs'!$B$32)/1000+'Inputs'!$B$21))/SQRT((((331-43)*MAX('Inputs'!$B$33,'Inputs'!$B$29+'Inputs'!$B$31+'Inputs'!$B$32,'Inputs'!$B$30+'Inputs'!$B$31+'Inputs'!$B$32)/1000+'Inputs'!$B$21))^2+('Inputs'!$B$6/2)^2)))-'Results'!C7*(1-'Inputs'!$B$24)*(0.5*((((331-43)*MAX('Inputs'!$B$33,'Inputs'!$B$29+'Inputs'!$B$31+'Inputs'!$B$32,'Inputs'!$B$30+'Inputs'!$B$31+'Inputs'!$B$32)/1000+'Inputs'!$B$21+'Inputs'!$B$7+'Inputs'!$B$10)+'Inputs'!$B$9)/SQRT((((331-43)*MAX('Inputs'!$B$33,'Inputs'!$B$29+'Inputs'!$B$31+'Inputs'!$B$32,'Inputs'!$B$30+'Inputs'!$B$31+'Inputs'!$B$32)/1000+'Inputs'!$B$21+'Inputs'!$B$7+'Inputs'!$B$10)+'Inputs'!$B$9)^2+('Inputs'!$B$8/2)^2)-(((331-43)*MAX('Inputs'!$B$33,'Inputs'!$B$29+'Inputs'!$B$31+'Inputs'!$B$32,'Inputs'!$B$30+'Inputs'!$B$31+'Inputs'!$B$32)/1000+'Inputs'!$B$21+'Inputs'!$B$7+'Inputs'!$B$10))/SQRT((((331-43)*MAX('Inputs'!$B$33,'Inputs'!$B$29+'Inputs'!$B$31+'Inputs'!$B$32,'Inputs'!$B$30+'Inputs'!$B$31+'Inputs'!$B$32)/1000+'Inputs'!$B$21+'Inputs'!$B$7+'Inputs'!$B$10))^2+('Inputs'!$B$8/2)^2))))*'Results'!$B$8)+'Inputs'!$B$28*ABS((('Results'!B7*(1+'Inputs'!$B$24)*(0.5*((((331-43)*MAX('Inputs'!$B$33,'Inputs'!$B$29+'Inputs'!$B$31+'Inputs'!$B$32,'Inputs'!$B$30+'Inputs'!$B$31+'Inputs'!$B$32)/1000+'Inputs'!$B$21)+'Inputs'!$B$7)/SQRT((((331-43)*MAX('Inputs'!$B$33,'Inputs'!$B$29+'Inputs'!$B$31+'Inputs'!$B$32,'Inputs'!$B$30+'Inputs'!$B$31+'Inputs'!$B$32)/1000+'Inputs'!$B$21)+'Inputs'!$B$7)^2+('Inputs'!$B$6/2)^2)-(((331-43)*MAX('Inputs'!$B$33,'Inputs'!$B$29+'Inputs'!$B$31+'Inputs'!$B$32,'Inputs'!$B$30+'Inputs'!$B$31+'Inputs'!$B$32)/1000+'Inputs'!$B$21))/SQRT((((331-43)*MAX('Inputs'!$B$33,'Inputs'!$B$29+'Inputs'!$B$31+'Inputs'!$B$32,'Inputs'!$B$30+'Inputs'!$B$31+'Inputs'!$B$32)/1000+'Inputs'!$B$21))^2+('Inputs'!$B$6/2)^2)))-'Results'!C7*(1-'Inputs'!$B$24)*(0.5*((((331-43)*MAX('Inputs'!$B$33,'Inputs'!$B$29+'Inputs'!$B$31+'Inputs'!$B$32,'Inputs'!$B$30+'Inputs'!$B$31+'Inputs'!$B$32)/1000+'Inputs'!$B$21+'Inputs'!$B$7+'Inputs'!$B$10)+'Inputs'!$B$9)/SQRT((((331-43)*MAX('Inputs'!$B$33,'Inputs'!$B$29+'Inputs'!$B$31+'Inputs'!$B$32,'Inputs'!$B$30+'Inputs'!$B$31+'Inputs'!$B$32)/1000+'Inputs'!$B$21+'Inputs'!$B$7+'Inputs'!$B$10)+'Inputs'!$B$9)^2+('Inputs'!$B$8/2)^2)-(((331-43)*MAX('Inputs'!$B$33,'Inputs'!$B$29+'Inputs'!$B$31+'Inputs'!$B$32,'Inputs'!$B$30+'Inputs'!$B$31+'Inputs'!$B$32)/1000+'Inputs'!$B$21+'Inputs'!$B$7+'Inputs'!$B$10))/SQRT((((331-43)*MAX('Inputs'!$B$33,'Inputs'!$B$29+'Inputs'!$B$31+'Inputs'!$B$32,'Inputs'!$B$30+'Inputs'!$B$31+'Inputs'!$B$32)/1000+'Inputs'!$B$21+'Inputs'!$B$7+'Inputs'!$B$10))^2+('Inputs'!$B$8/2)^2))))*'Results'!$B$8))),"")</x:f>
        <x:v>27.719977543517004</x:v>
      </x:c>
      <x:c r="M331" t="n">
        <x:f>IF(AND(ISNUMBER('Results'!C7),ISNUMBER('Results'!B7),ISNUMBER('Results'!$B$8),ISNUMBER('Inputs'!$B$6),ISNUMBER('Inputs'!$B$7),ISNUMBER('Inputs'!$B$8),ISNUMBER('Inputs'!$B$9),ISNUMBER('Inputs'!$B$10),ISNUMBER('Inputs'!$B$21),ISNUMBER('Inputs'!$B$24),ISNUMBER('Inputs'!$B$28)),(('Results'!C7*(0.5*((((331-43)*MAX('Inputs'!$B$33,'Inputs'!$B$29+'Inputs'!$B$31+'Inputs'!$B$32,'Inputs'!$B$30+'Inputs'!$B$31+'Inputs'!$B$32)/1000+'Inputs'!$B$21)+'Inputs'!$B$9)/SQRT((((331-43)*MAX('Inputs'!$B$33,'Inputs'!$B$29+'Inputs'!$B$31+'Inputs'!$B$32,'Inputs'!$B$30+'Inputs'!$B$31+'Inputs'!$B$32)/1000+'Inputs'!$B$21)+'Inputs'!$B$9)^2+('Inputs'!$B$8/2)^2)-(((331-43)*MAX('Inputs'!$B$33,'Inputs'!$B$29+'Inputs'!$B$31+'Inputs'!$B$32,'Inputs'!$B$30+'Inputs'!$B$31+'Inputs'!$B$32)/1000+'Inputs'!$B$21))/SQRT((((331-43)*MAX('Inputs'!$B$33,'Inputs'!$B$29+'Inputs'!$B$31+'Inputs'!$B$32,'Inputs'!$B$30+'Inputs'!$B$31+'Inputs'!$B$32)/1000+'Inputs'!$B$21))^2+('Inputs'!$B$8/2)^2)))-'Results'!B7*(0.5*((((331-43)*MAX('Inputs'!$B$33,'Inputs'!$B$29+'Inputs'!$B$31+'Inputs'!$B$32,'Inputs'!$B$30+'Inputs'!$B$31+'Inputs'!$B$32)/1000+'Inputs'!$B$21+'Inputs'!$B$9+'Inputs'!$B$10)+'Inputs'!$B$7)/SQRT((((331-43)*MAX('Inputs'!$B$33,'Inputs'!$B$29+'Inputs'!$B$31+'Inputs'!$B$32,'Inputs'!$B$30+'Inputs'!$B$31+'Inputs'!$B$32)/1000+'Inputs'!$B$21+'Inputs'!$B$9+'Inputs'!$B$10)+'Inputs'!$B$7)^2+('Inputs'!$B$6/2)^2)-(((331-43)*MAX('Inputs'!$B$33,'Inputs'!$B$29+'Inputs'!$B$31+'Inputs'!$B$32,'Inputs'!$B$30+'Inputs'!$B$31+'Inputs'!$B$32)/1000+'Inputs'!$B$21+'Inputs'!$B$9+'Inputs'!$B$10))/SQRT((((331-43)*MAX('Inputs'!$B$33,'Inputs'!$B$29+'Inputs'!$B$31+'Inputs'!$B$32,'Inputs'!$B$30+'Inputs'!$B$31+'Inputs'!$B$32)/1000+'Inputs'!$B$21+'Inputs'!$B$9+'Inputs'!$B$10))^2+('Inputs'!$B$6/2)^2))))*'Results'!$B$8),"")</x:f>
        <x:v>24.065541866339792</x:v>
      </x:c>
      <x:c r="N331" t="n">
        <x:f>IF(AND(ISNUMBER('Results'!C7),ISNUMBER('Results'!B7),ISNUMBER('Results'!$B$8),ISNUMBER('Inputs'!$B$6),ISNUMBER('Inputs'!$B$7),ISNUMBER('Inputs'!$B$8),ISNUMBER('Inputs'!$B$9),ISNUMBER('Inputs'!$B$10),ISNUMBER('Inputs'!$B$21),ISNUMBER('Inputs'!$B$24),ISNUMBER('Inputs'!$B$28)),((('Results'!C7*(1-'Inputs'!$B$24)*(0.5*((((331-43)*MAX('Inputs'!$B$33,'Inputs'!$B$29+'Inputs'!$B$31+'Inputs'!$B$32,'Inputs'!$B$30+'Inputs'!$B$31+'Inputs'!$B$32)/1000+'Inputs'!$B$21)+'Inputs'!$B$9)/SQRT((((331-43)*MAX('Inputs'!$B$33,'Inputs'!$B$29+'Inputs'!$B$31+'Inputs'!$B$32,'Inputs'!$B$30+'Inputs'!$B$31+'Inputs'!$B$32)/1000+'Inputs'!$B$21)+'Inputs'!$B$9)^2+('Inputs'!$B$8/2)^2)-(((331-43)*MAX('Inputs'!$B$33,'Inputs'!$B$29+'Inputs'!$B$31+'Inputs'!$B$32,'Inputs'!$B$30+'Inputs'!$B$31+'Inputs'!$B$32)/1000+'Inputs'!$B$21))/SQRT((((331-43)*MAX('Inputs'!$B$33,'Inputs'!$B$29+'Inputs'!$B$31+'Inputs'!$B$32,'Inputs'!$B$30+'Inputs'!$B$31+'Inputs'!$B$32)/1000+'Inputs'!$B$21))^2+('Inputs'!$B$8/2)^2)))-'Results'!B7*(1+'Inputs'!$B$24)*(0.5*((((331-43)*MAX('Inputs'!$B$33,'Inputs'!$B$29+'Inputs'!$B$31+'Inputs'!$B$32,'Inputs'!$B$30+'Inputs'!$B$31+'Inputs'!$B$32)/1000+'Inputs'!$B$21+'Inputs'!$B$9+'Inputs'!$B$10)+'Inputs'!$B$7)/SQRT((((331-43)*MAX('Inputs'!$B$33,'Inputs'!$B$29+'Inputs'!$B$31+'Inputs'!$B$32,'Inputs'!$B$30+'Inputs'!$B$31+'Inputs'!$B$32)/1000+'Inputs'!$B$21+'Inputs'!$B$9+'Inputs'!$B$10)+'Inputs'!$B$7)^2+('Inputs'!$B$6/2)^2)-(((331-43)*MAX('Inputs'!$B$33,'Inputs'!$B$29+'Inputs'!$B$31+'Inputs'!$B$32,'Inputs'!$B$30+'Inputs'!$B$31+'Inputs'!$B$32)/1000+'Inputs'!$B$21+'Inputs'!$B$9+'Inputs'!$B$10))/SQRT((((331-43)*MAX('Inputs'!$B$33,'Inputs'!$B$29+'Inputs'!$B$31+'Inputs'!$B$32,'Inputs'!$B$30+'Inputs'!$B$31+'Inputs'!$B$32)/1000+'Inputs'!$B$21+'Inputs'!$B$9+'Inputs'!$B$10))^2+('Inputs'!$B$6/2)^2))))*'Results'!$B$8)-'Inputs'!$B$28*ABS((('Results'!C7*(1-'Inputs'!$B$24)*(0.5*((((331-43)*MAX('Inputs'!$B$33,'Inputs'!$B$29+'Inputs'!$B$31+'Inputs'!$B$32,'Inputs'!$B$30+'Inputs'!$B$31+'Inputs'!$B$32)/1000+'Inputs'!$B$21)+'Inputs'!$B$9)/SQRT((((331-43)*MAX('Inputs'!$B$33,'Inputs'!$B$29+'Inputs'!$B$31+'Inputs'!$B$32,'Inputs'!$B$30+'Inputs'!$B$31+'Inputs'!$B$32)/1000+'Inputs'!$B$21)+'Inputs'!$B$9)^2+('Inputs'!$B$8/2)^2)-(((331-43)*MAX('Inputs'!$B$33,'Inputs'!$B$29+'Inputs'!$B$31+'Inputs'!$B$32,'Inputs'!$B$30+'Inputs'!$B$31+'Inputs'!$B$32)/1000+'Inputs'!$B$21))/SQRT((((331-43)*MAX('Inputs'!$B$33,'Inputs'!$B$29+'Inputs'!$B$31+'Inputs'!$B$32,'Inputs'!$B$30+'Inputs'!$B$31+'Inputs'!$B$32)/1000+'Inputs'!$B$21))^2+('Inputs'!$B$8/2)^2)))-'Results'!B7*(1+'Inputs'!$B$24)*(0.5*((((331-43)*MAX('Inputs'!$B$33,'Inputs'!$B$29+'Inputs'!$B$31+'Inputs'!$B$32,'Inputs'!$B$30+'Inputs'!$B$31+'Inputs'!$B$32)/1000+'Inputs'!$B$21+'Inputs'!$B$9+'Inputs'!$B$10)+'Inputs'!$B$7)/SQRT((((331-43)*MAX('Inputs'!$B$33,'Inputs'!$B$29+'Inputs'!$B$31+'Inputs'!$B$32,'Inputs'!$B$30+'Inputs'!$B$31+'Inputs'!$B$32)/1000+'Inputs'!$B$21+'Inputs'!$B$9+'Inputs'!$B$10)+'Inputs'!$B$7)^2+('Inputs'!$B$6/2)^2)-(((331-43)*MAX('Inputs'!$B$33,'Inputs'!$B$29+'Inputs'!$B$31+'Inputs'!$B$32,'Inputs'!$B$30+'Inputs'!$B$31+'Inputs'!$B$32)/1000+'Inputs'!$B$21+'Inputs'!$B$9+'Inputs'!$B$10))/SQRT((((331-43)*MAX('Inputs'!$B$33,'Inputs'!$B$29+'Inputs'!$B$31+'Inputs'!$B$32,'Inputs'!$B$30+'Inputs'!$B$31+'Inputs'!$B$32)/1000+'Inputs'!$B$21+'Inputs'!$B$9+'Inputs'!$B$10))^2+('Inputs'!$B$6/2)^2))))*'Results'!$B$8))),"")</x:f>
        <x:v>21.76606403136307</x:v>
      </x:c>
      <x:c r="O331" t="n">
        <x:f>IF(AND(ISNUMBER('Results'!C7),ISNUMBER('Results'!B7),ISNUMBER('Results'!$B$8),ISNUMBER('Inputs'!$B$6),ISNUMBER('Inputs'!$B$7),ISNUMBER('Inputs'!$B$8),ISNUMBER('Inputs'!$B$9),ISNUMBER('Inputs'!$B$10),ISNUMBER('Inputs'!$B$21),ISNUMBER('Inputs'!$B$24),ISNUMBER('Inputs'!$B$28)),((('Results'!C7*(1+'Inputs'!$B$24)*(0.5*((((331-43)*MAX('Inputs'!$B$33,'Inputs'!$B$29+'Inputs'!$B$31+'Inputs'!$B$32,'Inputs'!$B$30+'Inputs'!$B$31+'Inputs'!$B$32)/1000+'Inputs'!$B$21)+'Inputs'!$B$9)/SQRT((((331-43)*MAX('Inputs'!$B$33,'Inputs'!$B$29+'Inputs'!$B$31+'Inputs'!$B$32,'Inputs'!$B$30+'Inputs'!$B$31+'Inputs'!$B$32)/1000+'Inputs'!$B$21)+'Inputs'!$B$9)^2+('Inputs'!$B$8/2)^2)-(((331-43)*MAX('Inputs'!$B$33,'Inputs'!$B$29+'Inputs'!$B$31+'Inputs'!$B$32,'Inputs'!$B$30+'Inputs'!$B$31+'Inputs'!$B$32)/1000+'Inputs'!$B$21))/SQRT((((331-43)*MAX('Inputs'!$B$33,'Inputs'!$B$29+'Inputs'!$B$31+'Inputs'!$B$32,'Inputs'!$B$30+'Inputs'!$B$31+'Inputs'!$B$32)/1000+'Inputs'!$B$21))^2+('Inputs'!$B$8/2)^2)))-'Results'!B7*(1-'Inputs'!$B$24)*(0.5*((((331-43)*MAX('Inputs'!$B$33,'Inputs'!$B$29+'Inputs'!$B$31+'Inputs'!$B$32,'Inputs'!$B$30+'Inputs'!$B$31+'Inputs'!$B$32)/1000+'Inputs'!$B$21+'Inputs'!$B$9+'Inputs'!$B$10)+'Inputs'!$B$7)/SQRT((((331-43)*MAX('Inputs'!$B$33,'Inputs'!$B$29+'Inputs'!$B$31+'Inputs'!$B$32,'Inputs'!$B$30+'Inputs'!$B$31+'Inputs'!$B$32)/1000+'Inputs'!$B$21+'Inputs'!$B$9+'Inputs'!$B$10)+'Inputs'!$B$7)^2+('Inputs'!$B$6/2)^2)-(((331-43)*MAX('Inputs'!$B$33,'Inputs'!$B$29+'Inputs'!$B$31+'Inputs'!$B$32,'Inputs'!$B$30+'Inputs'!$B$31+'Inputs'!$B$32)/1000+'Inputs'!$B$21+'Inputs'!$B$9+'Inputs'!$B$10))/SQRT((((331-43)*MAX('Inputs'!$B$33,'Inputs'!$B$29+'Inputs'!$B$31+'Inputs'!$B$32,'Inputs'!$B$30+'Inputs'!$B$31+'Inputs'!$B$32)/1000+'Inputs'!$B$21+'Inputs'!$B$9+'Inputs'!$B$10))^2+('Inputs'!$B$6/2)^2))))*'Results'!$B$8)+'Inputs'!$B$28*ABS((('Results'!C7*(1+'Inputs'!$B$24)*(0.5*((((331-43)*MAX('Inputs'!$B$33,'Inputs'!$B$29+'Inputs'!$B$31+'Inputs'!$B$32,'Inputs'!$B$30+'Inputs'!$B$31+'Inputs'!$B$32)/1000+'Inputs'!$B$21)+'Inputs'!$B$9)/SQRT((((331-43)*MAX('Inputs'!$B$33,'Inputs'!$B$29+'Inputs'!$B$31+'Inputs'!$B$32,'Inputs'!$B$30+'Inputs'!$B$31+'Inputs'!$B$32)/1000+'Inputs'!$B$21)+'Inputs'!$B$9)^2+('Inputs'!$B$8/2)^2)-(((331-43)*MAX('Inputs'!$B$33,'Inputs'!$B$29+'Inputs'!$B$31+'Inputs'!$B$32,'Inputs'!$B$30+'Inputs'!$B$31+'Inputs'!$B$32)/1000+'Inputs'!$B$21))/SQRT((((331-43)*MAX('Inputs'!$B$33,'Inputs'!$B$29+'Inputs'!$B$31+'Inputs'!$B$32,'Inputs'!$B$30+'Inputs'!$B$31+'Inputs'!$B$32)/1000+'Inputs'!$B$21))^2+('Inputs'!$B$8/2)^2)))-'Results'!B7*(1-'Inputs'!$B$24)*(0.5*((((331-43)*MAX('Inputs'!$B$33,'Inputs'!$B$29+'Inputs'!$B$31+'Inputs'!$B$32,'Inputs'!$B$30+'Inputs'!$B$31+'Inputs'!$B$32)/1000+'Inputs'!$B$21+'Inputs'!$B$9+'Inputs'!$B$10)+'Inputs'!$B$7)/SQRT((((331-43)*MAX('Inputs'!$B$33,'Inputs'!$B$29+'Inputs'!$B$31+'Inputs'!$B$32,'Inputs'!$B$30+'Inputs'!$B$31+'Inputs'!$B$32)/1000+'Inputs'!$B$21+'Inputs'!$B$9+'Inputs'!$B$10)+'Inputs'!$B$7)^2+('Inputs'!$B$6/2)^2)-(((331-43)*MAX('Inputs'!$B$33,'Inputs'!$B$29+'Inputs'!$B$31+'Inputs'!$B$32,'Inputs'!$B$30+'Inputs'!$B$31+'Inputs'!$B$32)/1000+'Inputs'!$B$21+'Inputs'!$B$9+'Inputs'!$B$10))/SQRT((((331-43)*MAX('Inputs'!$B$33,'Inputs'!$B$29+'Inputs'!$B$31+'Inputs'!$B$32,'Inputs'!$B$30+'Inputs'!$B$31+'Inputs'!$B$32)/1000+'Inputs'!$B$21+'Inputs'!$B$9+'Inputs'!$B$10))^2+('Inputs'!$B$6/2)^2))))*'Results'!$B$8))),"")</x:f>
        <x:v>26.480409253070178</x:v>
      </x:c>
      <x:c r="P331" t="n">
        <x:f>IF(AND(MAX(J331,J330)&gt;0,J331&gt;J330+0.00000001),1,0)</x:f>
        <x:v>0</x:v>
      </x:c>
      <x:c r="Q331" t="n">
        <x:f>IF(AND(MAX(K331,K330)&gt;0,K331&gt;K330+0.00000001),1,0)</x:f>
        <x:v>0</x:v>
      </x:c>
      <x:c r="R331" t="n">
        <x:f>IF(AND(MAX(L331,L330)&gt;0,L331&gt;L330+0.00000001),1,0)</x:f>
        <x:v>0</x:v>
      </x:c>
      <x:c r="S331" t="n">
        <x:f>IF(AND(MAX(M331,M330)&gt;0,M331&gt;M330+0.00000001),1,0)</x:f>
        <x:v>0</x:v>
      </x:c>
      <x:c r="T331" t="n">
        <x:f>IF(AND(MAX(N331,N330)&gt;0,N331&gt;N330+0.00000001),1,0)</x:f>
        <x:v>0</x:v>
      </x:c>
      <x:c r="U331" t="n">
        <x:f>IF(AND(MAX(O331,O330)&gt;0,O331&gt;O330+0.00000001),1,0)</x:f>
        <x:v>0</x:v>
      </x:c>
    </x:row>
    <x:row r="332">
      <x:c r="J332" t="n">
        <x:f>IF(AND(ISNUMBER('Results'!B7),ISNUMBER('Results'!C7),ISNUMBER('Results'!$B$8),ISNUMBER('Inputs'!$B$6),ISNUMBER('Inputs'!$B$7),ISNUMBER('Inputs'!$B$8),ISNUMBER('Inputs'!$B$9),ISNUMBER('Inputs'!$B$10),ISNUMBER('Inputs'!$B$21),ISNUMBER('Inputs'!$B$24),ISNUMBER('Inputs'!$B$28)),(('Results'!B7*(0.5*((((332-43)*MAX('Inputs'!$B$33,'Inputs'!$B$29+'Inputs'!$B$31+'Inputs'!$B$32,'Inputs'!$B$30+'Inputs'!$B$31+'Inputs'!$B$32)/1000+'Inputs'!$B$21)+'Inputs'!$B$7)/SQRT((((332-43)*MAX('Inputs'!$B$33,'Inputs'!$B$29+'Inputs'!$B$31+'Inputs'!$B$32,'Inputs'!$B$30+'Inputs'!$B$31+'Inputs'!$B$32)/1000+'Inputs'!$B$21)+'Inputs'!$B$7)^2+('Inputs'!$B$6/2)^2)-(((332-43)*MAX('Inputs'!$B$33,'Inputs'!$B$29+'Inputs'!$B$31+'Inputs'!$B$32,'Inputs'!$B$30+'Inputs'!$B$31+'Inputs'!$B$32)/1000+'Inputs'!$B$21))/SQRT((((332-43)*MAX('Inputs'!$B$33,'Inputs'!$B$29+'Inputs'!$B$31+'Inputs'!$B$32,'Inputs'!$B$30+'Inputs'!$B$31+'Inputs'!$B$32)/1000+'Inputs'!$B$21))^2+('Inputs'!$B$6/2)^2)))-'Results'!C7*(0.5*((((332-43)*MAX('Inputs'!$B$33,'Inputs'!$B$29+'Inputs'!$B$31+'Inputs'!$B$32,'Inputs'!$B$30+'Inputs'!$B$31+'Inputs'!$B$32)/1000+'Inputs'!$B$21+'Inputs'!$B$7+'Inputs'!$B$10)+'Inputs'!$B$9)/SQRT((((332-43)*MAX('Inputs'!$B$33,'Inputs'!$B$29+'Inputs'!$B$31+'Inputs'!$B$32,'Inputs'!$B$30+'Inputs'!$B$31+'Inputs'!$B$32)/1000+'Inputs'!$B$21+'Inputs'!$B$7+'Inputs'!$B$10)+'Inputs'!$B$9)^2+('Inputs'!$B$8/2)^2)-(((332-43)*MAX('Inputs'!$B$33,'Inputs'!$B$29+'Inputs'!$B$31+'Inputs'!$B$32,'Inputs'!$B$30+'Inputs'!$B$31+'Inputs'!$B$32)/1000+'Inputs'!$B$21+'Inputs'!$B$7+'Inputs'!$B$10))/SQRT((((332-43)*MAX('Inputs'!$B$33,'Inputs'!$B$29+'Inputs'!$B$31+'Inputs'!$B$32,'Inputs'!$B$30+'Inputs'!$B$31+'Inputs'!$B$32)/1000+'Inputs'!$B$21+'Inputs'!$B$7+'Inputs'!$B$10))^2+('Inputs'!$B$8/2)^2))))*'Results'!$B$8),"")</x:f>
        <x:v>24.968357341258297</x:v>
      </x:c>
      <x:c r="K332" t="n">
        <x:f>IF(AND(ISNUMBER('Results'!B7),ISNUMBER('Results'!C7),ISNUMBER('Results'!$B$8),ISNUMBER('Inputs'!$B$6),ISNUMBER('Inputs'!$B$7),ISNUMBER('Inputs'!$B$8),ISNUMBER('Inputs'!$B$9),ISNUMBER('Inputs'!$B$10),ISNUMBER('Inputs'!$B$21),ISNUMBER('Inputs'!$B$24),ISNUMBER('Inputs'!$B$28)),((('Results'!B7*(1-'Inputs'!$B$24)*(0.5*((((332-43)*MAX('Inputs'!$B$33,'Inputs'!$B$29+'Inputs'!$B$31+'Inputs'!$B$32,'Inputs'!$B$30+'Inputs'!$B$31+'Inputs'!$B$32)/1000+'Inputs'!$B$21)+'Inputs'!$B$7)/SQRT((((332-43)*MAX('Inputs'!$B$33,'Inputs'!$B$29+'Inputs'!$B$31+'Inputs'!$B$32,'Inputs'!$B$30+'Inputs'!$B$31+'Inputs'!$B$32)/1000+'Inputs'!$B$21)+'Inputs'!$B$7)^2+('Inputs'!$B$6/2)^2)-(((332-43)*MAX('Inputs'!$B$33,'Inputs'!$B$29+'Inputs'!$B$31+'Inputs'!$B$32,'Inputs'!$B$30+'Inputs'!$B$31+'Inputs'!$B$32)/1000+'Inputs'!$B$21))/SQRT((((332-43)*MAX('Inputs'!$B$33,'Inputs'!$B$29+'Inputs'!$B$31+'Inputs'!$B$32,'Inputs'!$B$30+'Inputs'!$B$31+'Inputs'!$B$32)/1000+'Inputs'!$B$21))^2+('Inputs'!$B$6/2)^2)))-'Results'!C7*(1+'Inputs'!$B$24)*(0.5*((((332-43)*MAX('Inputs'!$B$33,'Inputs'!$B$29+'Inputs'!$B$31+'Inputs'!$B$32,'Inputs'!$B$30+'Inputs'!$B$31+'Inputs'!$B$32)/1000+'Inputs'!$B$21+'Inputs'!$B$7+'Inputs'!$B$10)+'Inputs'!$B$9)/SQRT((((332-43)*MAX('Inputs'!$B$33,'Inputs'!$B$29+'Inputs'!$B$31+'Inputs'!$B$32,'Inputs'!$B$30+'Inputs'!$B$31+'Inputs'!$B$32)/1000+'Inputs'!$B$21+'Inputs'!$B$7+'Inputs'!$B$10)+'Inputs'!$B$9)^2+('Inputs'!$B$8/2)^2)-(((332-43)*MAX('Inputs'!$B$33,'Inputs'!$B$29+'Inputs'!$B$31+'Inputs'!$B$32,'Inputs'!$B$30+'Inputs'!$B$31+'Inputs'!$B$32)/1000+'Inputs'!$B$21+'Inputs'!$B$7+'Inputs'!$B$10))/SQRT((((332-43)*MAX('Inputs'!$B$33,'Inputs'!$B$29+'Inputs'!$B$31+'Inputs'!$B$32,'Inputs'!$B$30+'Inputs'!$B$31+'Inputs'!$B$32)/1000+'Inputs'!$B$21+'Inputs'!$B$7+'Inputs'!$B$10))^2+('Inputs'!$B$8/2)^2))))*'Results'!$B$8)-'Inputs'!$B$28*ABS((('Results'!B7*(1-'Inputs'!$B$24)*(0.5*((((332-43)*MAX('Inputs'!$B$33,'Inputs'!$B$29+'Inputs'!$B$31+'Inputs'!$B$32,'Inputs'!$B$30+'Inputs'!$B$31+'Inputs'!$B$32)/1000+'Inputs'!$B$21)+'Inputs'!$B$7)/SQRT((((332-43)*MAX('Inputs'!$B$33,'Inputs'!$B$29+'Inputs'!$B$31+'Inputs'!$B$32,'Inputs'!$B$30+'Inputs'!$B$31+'Inputs'!$B$32)/1000+'Inputs'!$B$21)+'Inputs'!$B$7)^2+('Inputs'!$B$6/2)^2)-(((332-43)*MAX('Inputs'!$B$33,'Inputs'!$B$29+'Inputs'!$B$31+'Inputs'!$B$32,'Inputs'!$B$30+'Inputs'!$B$31+'Inputs'!$B$32)/1000+'Inputs'!$B$21))/SQRT((((332-43)*MAX('Inputs'!$B$33,'Inputs'!$B$29+'Inputs'!$B$31+'Inputs'!$B$32,'Inputs'!$B$30+'Inputs'!$B$31+'Inputs'!$B$32)/1000+'Inputs'!$B$21))^2+('Inputs'!$B$6/2)^2)))-'Results'!C7*(1+'Inputs'!$B$24)*(0.5*((((332-43)*MAX('Inputs'!$B$33,'Inputs'!$B$29+'Inputs'!$B$31+'Inputs'!$B$32,'Inputs'!$B$30+'Inputs'!$B$31+'Inputs'!$B$32)/1000+'Inputs'!$B$21+'Inputs'!$B$7+'Inputs'!$B$10)+'Inputs'!$B$9)/SQRT((((332-43)*MAX('Inputs'!$B$33,'Inputs'!$B$29+'Inputs'!$B$31+'Inputs'!$B$32,'Inputs'!$B$30+'Inputs'!$B$31+'Inputs'!$B$32)/1000+'Inputs'!$B$21+'Inputs'!$B$7+'Inputs'!$B$10)+'Inputs'!$B$9)^2+('Inputs'!$B$8/2)^2)-(((332-43)*MAX('Inputs'!$B$33,'Inputs'!$B$29+'Inputs'!$B$31+'Inputs'!$B$32,'Inputs'!$B$30+'Inputs'!$B$31+'Inputs'!$B$32)/1000+'Inputs'!$B$21+'Inputs'!$B$7+'Inputs'!$B$10))/SQRT((((332-43)*MAX('Inputs'!$B$33,'Inputs'!$B$29+'Inputs'!$B$31+'Inputs'!$B$32,'Inputs'!$B$30+'Inputs'!$B$31+'Inputs'!$B$32)/1000+'Inputs'!$B$21+'Inputs'!$B$7+'Inputs'!$B$10))^2+('Inputs'!$B$8/2)^2))))*'Results'!$B$8))),"")</x:f>
        <x:v>22.623650372469104</x:v>
      </x:c>
      <x:c r="L332" t="n">
        <x:f>IF(AND(ISNUMBER('Results'!B7),ISNUMBER('Results'!C7),ISNUMBER('Results'!$B$8),ISNUMBER('Inputs'!$B$6),ISNUMBER('Inputs'!$B$7),ISNUMBER('Inputs'!$B$8),ISNUMBER('Inputs'!$B$9),ISNUMBER('Inputs'!$B$10),ISNUMBER('Inputs'!$B$21),ISNUMBER('Inputs'!$B$24),ISNUMBER('Inputs'!$B$28)),((('Results'!B7*(1+'Inputs'!$B$24)*(0.5*((((332-43)*MAX('Inputs'!$B$33,'Inputs'!$B$29+'Inputs'!$B$31+'Inputs'!$B$32,'Inputs'!$B$30+'Inputs'!$B$31+'Inputs'!$B$32)/1000+'Inputs'!$B$21)+'Inputs'!$B$7)/SQRT((((332-43)*MAX('Inputs'!$B$33,'Inputs'!$B$29+'Inputs'!$B$31+'Inputs'!$B$32,'Inputs'!$B$30+'Inputs'!$B$31+'Inputs'!$B$32)/1000+'Inputs'!$B$21)+'Inputs'!$B$7)^2+('Inputs'!$B$6/2)^2)-(((332-43)*MAX('Inputs'!$B$33,'Inputs'!$B$29+'Inputs'!$B$31+'Inputs'!$B$32,'Inputs'!$B$30+'Inputs'!$B$31+'Inputs'!$B$32)/1000+'Inputs'!$B$21))/SQRT((((332-43)*MAX('Inputs'!$B$33,'Inputs'!$B$29+'Inputs'!$B$31+'Inputs'!$B$32,'Inputs'!$B$30+'Inputs'!$B$31+'Inputs'!$B$32)/1000+'Inputs'!$B$21))^2+('Inputs'!$B$6/2)^2)))-'Results'!C7*(1-'Inputs'!$B$24)*(0.5*((((332-43)*MAX('Inputs'!$B$33,'Inputs'!$B$29+'Inputs'!$B$31+'Inputs'!$B$32,'Inputs'!$B$30+'Inputs'!$B$31+'Inputs'!$B$32)/1000+'Inputs'!$B$21+'Inputs'!$B$7+'Inputs'!$B$10)+'Inputs'!$B$9)/SQRT((((332-43)*MAX('Inputs'!$B$33,'Inputs'!$B$29+'Inputs'!$B$31+'Inputs'!$B$32,'Inputs'!$B$30+'Inputs'!$B$31+'Inputs'!$B$32)/1000+'Inputs'!$B$21+'Inputs'!$B$7+'Inputs'!$B$10)+'Inputs'!$B$9)^2+('Inputs'!$B$8/2)^2)-(((332-43)*MAX('Inputs'!$B$33,'Inputs'!$B$29+'Inputs'!$B$31+'Inputs'!$B$32,'Inputs'!$B$30+'Inputs'!$B$31+'Inputs'!$B$32)/1000+'Inputs'!$B$21+'Inputs'!$B$7+'Inputs'!$B$10))/SQRT((((332-43)*MAX('Inputs'!$B$33,'Inputs'!$B$29+'Inputs'!$B$31+'Inputs'!$B$32,'Inputs'!$B$30+'Inputs'!$B$31+'Inputs'!$B$32)/1000+'Inputs'!$B$21+'Inputs'!$B$7+'Inputs'!$B$10))^2+('Inputs'!$B$8/2)^2))))*'Results'!$B$8)+'Inputs'!$B$28*ABS((('Results'!B7*(1+'Inputs'!$B$24)*(0.5*((((332-43)*MAX('Inputs'!$B$33,'Inputs'!$B$29+'Inputs'!$B$31+'Inputs'!$B$32,'Inputs'!$B$30+'Inputs'!$B$31+'Inputs'!$B$32)/1000+'Inputs'!$B$21)+'Inputs'!$B$7)/SQRT((((332-43)*MAX('Inputs'!$B$33,'Inputs'!$B$29+'Inputs'!$B$31+'Inputs'!$B$32,'Inputs'!$B$30+'Inputs'!$B$31+'Inputs'!$B$32)/1000+'Inputs'!$B$21)+'Inputs'!$B$7)^2+('Inputs'!$B$6/2)^2)-(((332-43)*MAX('Inputs'!$B$33,'Inputs'!$B$29+'Inputs'!$B$31+'Inputs'!$B$32,'Inputs'!$B$30+'Inputs'!$B$31+'Inputs'!$B$32)/1000+'Inputs'!$B$21))/SQRT((((332-43)*MAX('Inputs'!$B$33,'Inputs'!$B$29+'Inputs'!$B$31+'Inputs'!$B$32,'Inputs'!$B$30+'Inputs'!$B$31+'Inputs'!$B$32)/1000+'Inputs'!$B$21))^2+('Inputs'!$B$6/2)^2)))-'Results'!C7*(1-'Inputs'!$B$24)*(0.5*((((332-43)*MAX('Inputs'!$B$33,'Inputs'!$B$29+'Inputs'!$B$31+'Inputs'!$B$32,'Inputs'!$B$30+'Inputs'!$B$31+'Inputs'!$B$32)/1000+'Inputs'!$B$21+'Inputs'!$B$7+'Inputs'!$B$10)+'Inputs'!$B$9)/SQRT((((332-43)*MAX('Inputs'!$B$33,'Inputs'!$B$29+'Inputs'!$B$31+'Inputs'!$B$32,'Inputs'!$B$30+'Inputs'!$B$31+'Inputs'!$B$32)/1000+'Inputs'!$B$21+'Inputs'!$B$7+'Inputs'!$B$10)+'Inputs'!$B$9)^2+('Inputs'!$B$8/2)^2)-(((332-43)*MAX('Inputs'!$B$33,'Inputs'!$B$29+'Inputs'!$B$31+'Inputs'!$B$32,'Inputs'!$B$30+'Inputs'!$B$31+'Inputs'!$B$32)/1000+'Inputs'!$B$21+'Inputs'!$B$7+'Inputs'!$B$10))/SQRT((((332-43)*MAX('Inputs'!$B$33,'Inputs'!$B$29+'Inputs'!$B$31+'Inputs'!$B$32,'Inputs'!$B$30+'Inputs'!$B$31+'Inputs'!$B$32)/1000+'Inputs'!$B$21+'Inputs'!$B$7+'Inputs'!$B$10))^2+('Inputs'!$B$8/2)^2))))*'Results'!$B$8))),"")</x:f>
        <x:v>27.42846316286078</x:v>
      </x:c>
      <x:c r="M332" t="n">
        <x:f>IF(AND(ISNUMBER('Results'!C7),ISNUMBER('Results'!B7),ISNUMBER('Results'!$B$8),ISNUMBER('Inputs'!$B$6),ISNUMBER('Inputs'!$B$7),ISNUMBER('Inputs'!$B$8),ISNUMBER('Inputs'!$B$9),ISNUMBER('Inputs'!$B$10),ISNUMBER('Inputs'!$B$21),ISNUMBER('Inputs'!$B$24),ISNUMBER('Inputs'!$B$28)),(('Results'!C7*(0.5*((((332-43)*MAX('Inputs'!$B$33,'Inputs'!$B$29+'Inputs'!$B$31+'Inputs'!$B$32,'Inputs'!$B$30+'Inputs'!$B$31+'Inputs'!$B$32)/1000+'Inputs'!$B$21)+'Inputs'!$B$9)/SQRT((((332-43)*MAX('Inputs'!$B$33,'Inputs'!$B$29+'Inputs'!$B$31+'Inputs'!$B$32,'Inputs'!$B$30+'Inputs'!$B$31+'Inputs'!$B$32)/1000+'Inputs'!$B$21)+'Inputs'!$B$9)^2+('Inputs'!$B$8/2)^2)-(((332-43)*MAX('Inputs'!$B$33,'Inputs'!$B$29+'Inputs'!$B$31+'Inputs'!$B$32,'Inputs'!$B$30+'Inputs'!$B$31+'Inputs'!$B$32)/1000+'Inputs'!$B$21))/SQRT((((332-43)*MAX('Inputs'!$B$33,'Inputs'!$B$29+'Inputs'!$B$31+'Inputs'!$B$32,'Inputs'!$B$30+'Inputs'!$B$31+'Inputs'!$B$32)/1000+'Inputs'!$B$21))^2+('Inputs'!$B$8/2)^2)))-'Results'!B7*(0.5*((((332-43)*MAX('Inputs'!$B$33,'Inputs'!$B$29+'Inputs'!$B$31+'Inputs'!$B$32,'Inputs'!$B$30+'Inputs'!$B$31+'Inputs'!$B$32)/1000+'Inputs'!$B$21+'Inputs'!$B$9+'Inputs'!$B$10)+'Inputs'!$B$7)/SQRT((((332-43)*MAX('Inputs'!$B$33,'Inputs'!$B$29+'Inputs'!$B$31+'Inputs'!$B$32,'Inputs'!$B$30+'Inputs'!$B$31+'Inputs'!$B$32)/1000+'Inputs'!$B$21+'Inputs'!$B$9+'Inputs'!$B$10)+'Inputs'!$B$7)^2+('Inputs'!$B$6/2)^2)-(((332-43)*MAX('Inputs'!$B$33,'Inputs'!$B$29+'Inputs'!$B$31+'Inputs'!$B$32,'Inputs'!$B$30+'Inputs'!$B$31+'Inputs'!$B$32)/1000+'Inputs'!$B$21+'Inputs'!$B$9+'Inputs'!$B$10))/SQRT((((332-43)*MAX('Inputs'!$B$33,'Inputs'!$B$29+'Inputs'!$B$31+'Inputs'!$B$32,'Inputs'!$B$30+'Inputs'!$B$31+'Inputs'!$B$32)/1000+'Inputs'!$B$21+'Inputs'!$B$9+'Inputs'!$B$10))^2+('Inputs'!$B$6/2)^2))))*'Results'!$B$8),"")</x:f>
        <x:v>23.80768900311203</x:v>
      </x:c>
      <x:c r="N332" t="n">
        <x:f>IF(AND(ISNUMBER('Results'!C7),ISNUMBER('Results'!B7),ISNUMBER('Results'!$B$8),ISNUMBER('Inputs'!$B$6),ISNUMBER('Inputs'!$B$7),ISNUMBER('Inputs'!$B$8),ISNUMBER('Inputs'!$B$9),ISNUMBER('Inputs'!$B$10),ISNUMBER('Inputs'!$B$21),ISNUMBER('Inputs'!$B$24),ISNUMBER('Inputs'!$B$28)),((('Results'!C7*(1-'Inputs'!$B$24)*(0.5*((((332-43)*MAX('Inputs'!$B$33,'Inputs'!$B$29+'Inputs'!$B$31+'Inputs'!$B$32,'Inputs'!$B$30+'Inputs'!$B$31+'Inputs'!$B$32)/1000+'Inputs'!$B$21)+'Inputs'!$B$9)/SQRT((((332-43)*MAX('Inputs'!$B$33,'Inputs'!$B$29+'Inputs'!$B$31+'Inputs'!$B$32,'Inputs'!$B$30+'Inputs'!$B$31+'Inputs'!$B$32)/1000+'Inputs'!$B$21)+'Inputs'!$B$9)^2+('Inputs'!$B$8/2)^2)-(((332-43)*MAX('Inputs'!$B$33,'Inputs'!$B$29+'Inputs'!$B$31+'Inputs'!$B$32,'Inputs'!$B$30+'Inputs'!$B$31+'Inputs'!$B$32)/1000+'Inputs'!$B$21))/SQRT((((332-43)*MAX('Inputs'!$B$33,'Inputs'!$B$29+'Inputs'!$B$31+'Inputs'!$B$32,'Inputs'!$B$30+'Inputs'!$B$31+'Inputs'!$B$32)/1000+'Inputs'!$B$21))^2+('Inputs'!$B$8/2)^2)))-'Results'!B7*(1+'Inputs'!$B$24)*(0.5*((((332-43)*MAX('Inputs'!$B$33,'Inputs'!$B$29+'Inputs'!$B$31+'Inputs'!$B$32,'Inputs'!$B$30+'Inputs'!$B$31+'Inputs'!$B$32)/1000+'Inputs'!$B$21+'Inputs'!$B$9+'Inputs'!$B$10)+'Inputs'!$B$7)/SQRT((((332-43)*MAX('Inputs'!$B$33,'Inputs'!$B$29+'Inputs'!$B$31+'Inputs'!$B$32,'Inputs'!$B$30+'Inputs'!$B$31+'Inputs'!$B$32)/1000+'Inputs'!$B$21+'Inputs'!$B$9+'Inputs'!$B$10)+'Inputs'!$B$7)^2+('Inputs'!$B$6/2)^2)-(((332-43)*MAX('Inputs'!$B$33,'Inputs'!$B$29+'Inputs'!$B$31+'Inputs'!$B$32,'Inputs'!$B$30+'Inputs'!$B$31+'Inputs'!$B$32)/1000+'Inputs'!$B$21+'Inputs'!$B$9+'Inputs'!$B$10))/SQRT((((332-43)*MAX('Inputs'!$B$33,'Inputs'!$B$29+'Inputs'!$B$31+'Inputs'!$B$32,'Inputs'!$B$30+'Inputs'!$B$31+'Inputs'!$B$32)/1000+'Inputs'!$B$21+'Inputs'!$B$9+'Inputs'!$B$10))^2+('Inputs'!$B$6/2)^2))))*'Results'!$B$8)-'Inputs'!$B$28*ABS((('Results'!C7*(1-'Inputs'!$B$24)*(0.5*((((332-43)*MAX('Inputs'!$B$33,'Inputs'!$B$29+'Inputs'!$B$31+'Inputs'!$B$32,'Inputs'!$B$30+'Inputs'!$B$31+'Inputs'!$B$32)/1000+'Inputs'!$B$21)+'Inputs'!$B$9)/SQRT((((332-43)*MAX('Inputs'!$B$33,'Inputs'!$B$29+'Inputs'!$B$31+'Inputs'!$B$32,'Inputs'!$B$30+'Inputs'!$B$31+'Inputs'!$B$32)/1000+'Inputs'!$B$21)+'Inputs'!$B$9)^2+('Inputs'!$B$8/2)^2)-(((332-43)*MAX('Inputs'!$B$33,'Inputs'!$B$29+'Inputs'!$B$31+'Inputs'!$B$32,'Inputs'!$B$30+'Inputs'!$B$31+'Inputs'!$B$32)/1000+'Inputs'!$B$21))/SQRT((((332-43)*MAX('Inputs'!$B$33,'Inputs'!$B$29+'Inputs'!$B$31+'Inputs'!$B$32,'Inputs'!$B$30+'Inputs'!$B$31+'Inputs'!$B$32)/1000+'Inputs'!$B$21))^2+('Inputs'!$B$8/2)^2)))-'Results'!B7*(1+'Inputs'!$B$24)*(0.5*((((332-43)*MAX('Inputs'!$B$33,'Inputs'!$B$29+'Inputs'!$B$31+'Inputs'!$B$32,'Inputs'!$B$30+'Inputs'!$B$31+'Inputs'!$B$32)/1000+'Inputs'!$B$21+'Inputs'!$B$9+'Inputs'!$B$10)+'Inputs'!$B$7)/SQRT((((332-43)*MAX('Inputs'!$B$33,'Inputs'!$B$29+'Inputs'!$B$31+'Inputs'!$B$32,'Inputs'!$B$30+'Inputs'!$B$31+'Inputs'!$B$32)/1000+'Inputs'!$B$21+'Inputs'!$B$9+'Inputs'!$B$10)+'Inputs'!$B$7)^2+('Inputs'!$B$6/2)^2)-(((332-43)*MAX('Inputs'!$B$33,'Inputs'!$B$29+'Inputs'!$B$31+'Inputs'!$B$32,'Inputs'!$B$30+'Inputs'!$B$31+'Inputs'!$B$32)/1000+'Inputs'!$B$21+'Inputs'!$B$9+'Inputs'!$B$10))/SQRT((((332-43)*MAX('Inputs'!$B$33,'Inputs'!$B$29+'Inputs'!$B$31+'Inputs'!$B$32,'Inputs'!$B$30+'Inputs'!$B$31+'Inputs'!$B$32)/1000+'Inputs'!$B$21+'Inputs'!$B$9+'Inputs'!$B$10))^2+('Inputs'!$B$6/2)^2))))*'Results'!$B$8))),"")</x:f>
        <x:v>21.530376510629576</x:v>
      </x:c>
      <x:c r="O332" t="n">
        <x:f>IF(AND(ISNUMBER('Results'!C7),ISNUMBER('Results'!B7),ISNUMBER('Results'!$B$8),ISNUMBER('Inputs'!$B$6),ISNUMBER('Inputs'!$B$7),ISNUMBER('Inputs'!$B$8),ISNUMBER('Inputs'!$B$9),ISNUMBER('Inputs'!$B$10),ISNUMBER('Inputs'!$B$21),ISNUMBER('Inputs'!$B$24),ISNUMBER('Inputs'!$B$28)),((('Results'!C7*(1+'Inputs'!$B$24)*(0.5*((((332-43)*MAX('Inputs'!$B$33,'Inputs'!$B$29+'Inputs'!$B$31+'Inputs'!$B$32,'Inputs'!$B$30+'Inputs'!$B$31+'Inputs'!$B$32)/1000+'Inputs'!$B$21)+'Inputs'!$B$9)/SQRT((((332-43)*MAX('Inputs'!$B$33,'Inputs'!$B$29+'Inputs'!$B$31+'Inputs'!$B$32,'Inputs'!$B$30+'Inputs'!$B$31+'Inputs'!$B$32)/1000+'Inputs'!$B$21)+'Inputs'!$B$9)^2+('Inputs'!$B$8/2)^2)-(((332-43)*MAX('Inputs'!$B$33,'Inputs'!$B$29+'Inputs'!$B$31+'Inputs'!$B$32,'Inputs'!$B$30+'Inputs'!$B$31+'Inputs'!$B$32)/1000+'Inputs'!$B$21))/SQRT((((332-43)*MAX('Inputs'!$B$33,'Inputs'!$B$29+'Inputs'!$B$31+'Inputs'!$B$32,'Inputs'!$B$30+'Inputs'!$B$31+'Inputs'!$B$32)/1000+'Inputs'!$B$21))^2+('Inputs'!$B$8/2)^2)))-'Results'!B7*(1-'Inputs'!$B$24)*(0.5*((((332-43)*MAX('Inputs'!$B$33,'Inputs'!$B$29+'Inputs'!$B$31+'Inputs'!$B$32,'Inputs'!$B$30+'Inputs'!$B$31+'Inputs'!$B$32)/1000+'Inputs'!$B$21+'Inputs'!$B$9+'Inputs'!$B$10)+'Inputs'!$B$7)/SQRT((((332-43)*MAX('Inputs'!$B$33,'Inputs'!$B$29+'Inputs'!$B$31+'Inputs'!$B$32,'Inputs'!$B$30+'Inputs'!$B$31+'Inputs'!$B$32)/1000+'Inputs'!$B$21+'Inputs'!$B$9+'Inputs'!$B$10)+'Inputs'!$B$7)^2+('Inputs'!$B$6/2)^2)-(((332-43)*MAX('Inputs'!$B$33,'Inputs'!$B$29+'Inputs'!$B$31+'Inputs'!$B$32,'Inputs'!$B$30+'Inputs'!$B$31+'Inputs'!$B$32)/1000+'Inputs'!$B$21+'Inputs'!$B$9+'Inputs'!$B$10))/SQRT((((332-43)*MAX('Inputs'!$B$33,'Inputs'!$B$29+'Inputs'!$B$31+'Inputs'!$B$32,'Inputs'!$B$30+'Inputs'!$B$31+'Inputs'!$B$32)/1000+'Inputs'!$B$21+'Inputs'!$B$9+'Inputs'!$B$10))^2+('Inputs'!$B$6/2)^2))))*'Results'!$B$8)+'Inputs'!$B$28*ABS((('Results'!C7*(1+'Inputs'!$B$24)*(0.5*((((332-43)*MAX('Inputs'!$B$33,'Inputs'!$B$29+'Inputs'!$B$31+'Inputs'!$B$32,'Inputs'!$B$30+'Inputs'!$B$31+'Inputs'!$B$32)/1000+'Inputs'!$B$21)+'Inputs'!$B$9)/SQRT((((332-43)*MAX('Inputs'!$B$33,'Inputs'!$B$29+'Inputs'!$B$31+'Inputs'!$B$32,'Inputs'!$B$30+'Inputs'!$B$31+'Inputs'!$B$32)/1000+'Inputs'!$B$21)+'Inputs'!$B$9)^2+('Inputs'!$B$8/2)^2)-(((332-43)*MAX('Inputs'!$B$33,'Inputs'!$B$29+'Inputs'!$B$31+'Inputs'!$B$32,'Inputs'!$B$30+'Inputs'!$B$31+'Inputs'!$B$32)/1000+'Inputs'!$B$21))/SQRT((((332-43)*MAX('Inputs'!$B$33,'Inputs'!$B$29+'Inputs'!$B$31+'Inputs'!$B$32,'Inputs'!$B$30+'Inputs'!$B$31+'Inputs'!$B$32)/1000+'Inputs'!$B$21))^2+('Inputs'!$B$8/2)^2)))-'Results'!B7*(1-'Inputs'!$B$24)*(0.5*((((332-43)*MAX('Inputs'!$B$33,'Inputs'!$B$29+'Inputs'!$B$31+'Inputs'!$B$32,'Inputs'!$B$30+'Inputs'!$B$31+'Inputs'!$B$32)/1000+'Inputs'!$B$21+'Inputs'!$B$9+'Inputs'!$B$10)+'Inputs'!$B$7)/SQRT((((332-43)*MAX('Inputs'!$B$33,'Inputs'!$B$29+'Inputs'!$B$31+'Inputs'!$B$32,'Inputs'!$B$30+'Inputs'!$B$31+'Inputs'!$B$32)/1000+'Inputs'!$B$21+'Inputs'!$B$9+'Inputs'!$B$10)+'Inputs'!$B$7)^2+('Inputs'!$B$6/2)^2)-(((332-43)*MAX('Inputs'!$B$33,'Inputs'!$B$29+'Inputs'!$B$31+'Inputs'!$B$32,'Inputs'!$B$30+'Inputs'!$B$31+'Inputs'!$B$32)/1000+'Inputs'!$B$21+'Inputs'!$B$9+'Inputs'!$B$10))/SQRT((((332-43)*MAX('Inputs'!$B$33,'Inputs'!$B$29+'Inputs'!$B$31+'Inputs'!$B$32,'Inputs'!$B$30+'Inputs'!$B$31+'Inputs'!$B$32)/1000+'Inputs'!$B$21+'Inputs'!$B$9+'Inputs'!$B$10))^2+('Inputs'!$B$6/2)^2))))*'Results'!$B$8))),"")</x:f>
        <x:v>26.199414973734154</x:v>
      </x:c>
      <x:c r="P332" t="n">
        <x:f>IF(AND(MAX(J332,J331)&gt;0,J332&gt;J331+0.00000001),1,0)</x:f>
        <x:v>0</x:v>
      </x:c>
      <x:c r="Q332" t="n">
        <x:f>IF(AND(MAX(K332,K331)&gt;0,K332&gt;K331+0.00000001),1,0)</x:f>
        <x:v>0</x:v>
      </x:c>
      <x:c r="R332" t="n">
        <x:f>IF(AND(MAX(L332,L331)&gt;0,L332&gt;L331+0.00000001),1,0)</x:f>
        <x:v>0</x:v>
      </x:c>
      <x:c r="S332" t="n">
        <x:f>IF(AND(MAX(M332,M331)&gt;0,M332&gt;M331+0.00000001),1,0)</x:f>
        <x:v>0</x:v>
      </x:c>
      <x:c r="T332" t="n">
        <x:f>IF(AND(MAX(N332,N331)&gt;0,N332&gt;N331+0.00000001),1,0)</x:f>
        <x:v>0</x:v>
      </x:c>
      <x:c r="U332" t="n">
        <x:f>IF(AND(MAX(O332,O331)&gt;0,O332&gt;O331+0.00000001),1,0)</x:f>
        <x:v>0</x:v>
      </x:c>
    </x:row>
    <x:row r="333">
      <x:c r="J333" t="n">
        <x:f>IF(AND(ISNUMBER('Results'!B7),ISNUMBER('Results'!C7),ISNUMBER('Results'!$B$8),ISNUMBER('Inputs'!$B$6),ISNUMBER('Inputs'!$B$7),ISNUMBER('Inputs'!$B$8),ISNUMBER('Inputs'!$B$9),ISNUMBER('Inputs'!$B$10),ISNUMBER('Inputs'!$B$21),ISNUMBER('Inputs'!$B$24),ISNUMBER('Inputs'!$B$28)),(('Results'!B7*(0.5*((((333-43)*MAX('Inputs'!$B$33,'Inputs'!$B$29+'Inputs'!$B$31+'Inputs'!$B$32,'Inputs'!$B$30+'Inputs'!$B$31+'Inputs'!$B$32)/1000+'Inputs'!$B$21)+'Inputs'!$B$7)/SQRT((((333-43)*MAX('Inputs'!$B$33,'Inputs'!$B$29+'Inputs'!$B$31+'Inputs'!$B$32,'Inputs'!$B$30+'Inputs'!$B$31+'Inputs'!$B$32)/1000+'Inputs'!$B$21)+'Inputs'!$B$7)^2+('Inputs'!$B$6/2)^2)-(((333-43)*MAX('Inputs'!$B$33,'Inputs'!$B$29+'Inputs'!$B$31+'Inputs'!$B$32,'Inputs'!$B$30+'Inputs'!$B$31+'Inputs'!$B$32)/1000+'Inputs'!$B$21))/SQRT((((333-43)*MAX('Inputs'!$B$33,'Inputs'!$B$29+'Inputs'!$B$31+'Inputs'!$B$32,'Inputs'!$B$30+'Inputs'!$B$31+'Inputs'!$B$32)/1000+'Inputs'!$B$21))^2+('Inputs'!$B$6/2)^2)))-'Results'!C7*(0.5*((((333-43)*MAX('Inputs'!$B$33,'Inputs'!$B$29+'Inputs'!$B$31+'Inputs'!$B$32,'Inputs'!$B$30+'Inputs'!$B$31+'Inputs'!$B$32)/1000+'Inputs'!$B$21+'Inputs'!$B$7+'Inputs'!$B$10)+'Inputs'!$B$9)/SQRT((((333-43)*MAX('Inputs'!$B$33,'Inputs'!$B$29+'Inputs'!$B$31+'Inputs'!$B$32,'Inputs'!$B$30+'Inputs'!$B$31+'Inputs'!$B$32)/1000+'Inputs'!$B$21+'Inputs'!$B$7+'Inputs'!$B$10)+'Inputs'!$B$9)^2+('Inputs'!$B$8/2)^2)-(((333-43)*MAX('Inputs'!$B$33,'Inputs'!$B$29+'Inputs'!$B$31+'Inputs'!$B$32,'Inputs'!$B$30+'Inputs'!$B$31+'Inputs'!$B$32)/1000+'Inputs'!$B$21+'Inputs'!$B$7+'Inputs'!$B$10))/SQRT((((333-43)*MAX('Inputs'!$B$33,'Inputs'!$B$29+'Inputs'!$B$31+'Inputs'!$B$32,'Inputs'!$B$30+'Inputs'!$B$31+'Inputs'!$B$32)/1000+'Inputs'!$B$21+'Inputs'!$B$7+'Inputs'!$B$10))^2+('Inputs'!$B$8/2)^2))))*'Results'!$B$8),"")</x:f>
        <x:v>24.70411600959167</x:v>
      </x:c>
      <x:c r="K333" t="n">
        <x:f>IF(AND(ISNUMBER('Results'!B7),ISNUMBER('Results'!C7),ISNUMBER('Results'!$B$8),ISNUMBER('Inputs'!$B$6),ISNUMBER('Inputs'!$B$7),ISNUMBER('Inputs'!$B$8),ISNUMBER('Inputs'!$B$9),ISNUMBER('Inputs'!$B$10),ISNUMBER('Inputs'!$B$21),ISNUMBER('Inputs'!$B$24),ISNUMBER('Inputs'!$B$28)),((('Results'!B7*(1-'Inputs'!$B$24)*(0.5*((((333-43)*MAX('Inputs'!$B$33,'Inputs'!$B$29+'Inputs'!$B$31+'Inputs'!$B$32,'Inputs'!$B$30+'Inputs'!$B$31+'Inputs'!$B$32)/1000+'Inputs'!$B$21)+'Inputs'!$B$7)/SQRT((((333-43)*MAX('Inputs'!$B$33,'Inputs'!$B$29+'Inputs'!$B$31+'Inputs'!$B$32,'Inputs'!$B$30+'Inputs'!$B$31+'Inputs'!$B$32)/1000+'Inputs'!$B$21)+'Inputs'!$B$7)^2+('Inputs'!$B$6/2)^2)-(((333-43)*MAX('Inputs'!$B$33,'Inputs'!$B$29+'Inputs'!$B$31+'Inputs'!$B$32,'Inputs'!$B$30+'Inputs'!$B$31+'Inputs'!$B$32)/1000+'Inputs'!$B$21))/SQRT((((333-43)*MAX('Inputs'!$B$33,'Inputs'!$B$29+'Inputs'!$B$31+'Inputs'!$B$32,'Inputs'!$B$30+'Inputs'!$B$31+'Inputs'!$B$32)/1000+'Inputs'!$B$21))^2+('Inputs'!$B$6/2)^2)))-'Results'!C7*(1+'Inputs'!$B$24)*(0.5*((((333-43)*MAX('Inputs'!$B$33,'Inputs'!$B$29+'Inputs'!$B$31+'Inputs'!$B$32,'Inputs'!$B$30+'Inputs'!$B$31+'Inputs'!$B$32)/1000+'Inputs'!$B$21+'Inputs'!$B$7+'Inputs'!$B$10)+'Inputs'!$B$9)/SQRT((((333-43)*MAX('Inputs'!$B$33,'Inputs'!$B$29+'Inputs'!$B$31+'Inputs'!$B$32,'Inputs'!$B$30+'Inputs'!$B$31+'Inputs'!$B$32)/1000+'Inputs'!$B$21+'Inputs'!$B$7+'Inputs'!$B$10)+'Inputs'!$B$9)^2+('Inputs'!$B$8/2)^2)-(((333-43)*MAX('Inputs'!$B$33,'Inputs'!$B$29+'Inputs'!$B$31+'Inputs'!$B$32,'Inputs'!$B$30+'Inputs'!$B$31+'Inputs'!$B$32)/1000+'Inputs'!$B$21+'Inputs'!$B$7+'Inputs'!$B$10))/SQRT((((333-43)*MAX('Inputs'!$B$33,'Inputs'!$B$29+'Inputs'!$B$31+'Inputs'!$B$32,'Inputs'!$B$30+'Inputs'!$B$31+'Inputs'!$B$32)/1000+'Inputs'!$B$21+'Inputs'!$B$7+'Inputs'!$B$10))^2+('Inputs'!$B$8/2)^2))))*'Results'!$B$8)-'Inputs'!$B$28*ABS((('Results'!B7*(1-'Inputs'!$B$24)*(0.5*((((333-43)*MAX('Inputs'!$B$33,'Inputs'!$B$29+'Inputs'!$B$31+'Inputs'!$B$32,'Inputs'!$B$30+'Inputs'!$B$31+'Inputs'!$B$32)/1000+'Inputs'!$B$21)+'Inputs'!$B$7)/SQRT((((333-43)*MAX('Inputs'!$B$33,'Inputs'!$B$29+'Inputs'!$B$31+'Inputs'!$B$32,'Inputs'!$B$30+'Inputs'!$B$31+'Inputs'!$B$32)/1000+'Inputs'!$B$21)+'Inputs'!$B$7)^2+('Inputs'!$B$6/2)^2)-(((333-43)*MAX('Inputs'!$B$33,'Inputs'!$B$29+'Inputs'!$B$31+'Inputs'!$B$32,'Inputs'!$B$30+'Inputs'!$B$31+'Inputs'!$B$32)/1000+'Inputs'!$B$21))/SQRT((((333-43)*MAX('Inputs'!$B$33,'Inputs'!$B$29+'Inputs'!$B$31+'Inputs'!$B$32,'Inputs'!$B$30+'Inputs'!$B$31+'Inputs'!$B$32)/1000+'Inputs'!$B$21))^2+('Inputs'!$B$6/2)^2)))-'Results'!C7*(1+'Inputs'!$B$24)*(0.5*((((333-43)*MAX('Inputs'!$B$33,'Inputs'!$B$29+'Inputs'!$B$31+'Inputs'!$B$32,'Inputs'!$B$30+'Inputs'!$B$31+'Inputs'!$B$32)/1000+'Inputs'!$B$21+'Inputs'!$B$7+'Inputs'!$B$10)+'Inputs'!$B$9)/SQRT((((333-43)*MAX('Inputs'!$B$33,'Inputs'!$B$29+'Inputs'!$B$31+'Inputs'!$B$32,'Inputs'!$B$30+'Inputs'!$B$31+'Inputs'!$B$32)/1000+'Inputs'!$B$21+'Inputs'!$B$7+'Inputs'!$B$10)+'Inputs'!$B$9)^2+('Inputs'!$B$8/2)^2)-(((333-43)*MAX('Inputs'!$B$33,'Inputs'!$B$29+'Inputs'!$B$31+'Inputs'!$B$32,'Inputs'!$B$30+'Inputs'!$B$31+'Inputs'!$B$32)/1000+'Inputs'!$B$21+'Inputs'!$B$7+'Inputs'!$B$10))/SQRT((((333-43)*MAX('Inputs'!$B$33,'Inputs'!$B$29+'Inputs'!$B$31+'Inputs'!$B$32,'Inputs'!$B$30+'Inputs'!$B$31+'Inputs'!$B$32)/1000+'Inputs'!$B$21+'Inputs'!$B$7+'Inputs'!$B$10))^2+('Inputs'!$B$8/2)^2))))*'Results'!$B$8))),"")</x:f>
        <x:v>22.38188900946882</x:v>
      </x:c>
      <x:c r="L333" t="n">
        <x:f>IF(AND(ISNUMBER('Results'!B7),ISNUMBER('Results'!C7),ISNUMBER('Results'!$B$8),ISNUMBER('Inputs'!$B$6),ISNUMBER('Inputs'!$B$7),ISNUMBER('Inputs'!$B$8),ISNUMBER('Inputs'!$B$9),ISNUMBER('Inputs'!$B$10),ISNUMBER('Inputs'!$B$21),ISNUMBER('Inputs'!$B$24),ISNUMBER('Inputs'!$B$28)),((('Results'!B7*(1+'Inputs'!$B$24)*(0.5*((((333-43)*MAX('Inputs'!$B$33,'Inputs'!$B$29+'Inputs'!$B$31+'Inputs'!$B$32,'Inputs'!$B$30+'Inputs'!$B$31+'Inputs'!$B$32)/1000+'Inputs'!$B$21)+'Inputs'!$B$7)/SQRT((((333-43)*MAX('Inputs'!$B$33,'Inputs'!$B$29+'Inputs'!$B$31+'Inputs'!$B$32,'Inputs'!$B$30+'Inputs'!$B$31+'Inputs'!$B$32)/1000+'Inputs'!$B$21)+'Inputs'!$B$7)^2+('Inputs'!$B$6/2)^2)-(((333-43)*MAX('Inputs'!$B$33,'Inputs'!$B$29+'Inputs'!$B$31+'Inputs'!$B$32,'Inputs'!$B$30+'Inputs'!$B$31+'Inputs'!$B$32)/1000+'Inputs'!$B$21))/SQRT((((333-43)*MAX('Inputs'!$B$33,'Inputs'!$B$29+'Inputs'!$B$31+'Inputs'!$B$32,'Inputs'!$B$30+'Inputs'!$B$31+'Inputs'!$B$32)/1000+'Inputs'!$B$21))^2+('Inputs'!$B$6/2)^2)))-'Results'!C7*(1-'Inputs'!$B$24)*(0.5*((((333-43)*MAX('Inputs'!$B$33,'Inputs'!$B$29+'Inputs'!$B$31+'Inputs'!$B$32,'Inputs'!$B$30+'Inputs'!$B$31+'Inputs'!$B$32)/1000+'Inputs'!$B$21+'Inputs'!$B$7+'Inputs'!$B$10)+'Inputs'!$B$9)/SQRT((((333-43)*MAX('Inputs'!$B$33,'Inputs'!$B$29+'Inputs'!$B$31+'Inputs'!$B$32,'Inputs'!$B$30+'Inputs'!$B$31+'Inputs'!$B$32)/1000+'Inputs'!$B$21+'Inputs'!$B$7+'Inputs'!$B$10)+'Inputs'!$B$9)^2+('Inputs'!$B$8/2)^2)-(((333-43)*MAX('Inputs'!$B$33,'Inputs'!$B$29+'Inputs'!$B$31+'Inputs'!$B$32,'Inputs'!$B$30+'Inputs'!$B$31+'Inputs'!$B$32)/1000+'Inputs'!$B$21+'Inputs'!$B$7+'Inputs'!$B$10))/SQRT((((333-43)*MAX('Inputs'!$B$33,'Inputs'!$B$29+'Inputs'!$B$31+'Inputs'!$B$32,'Inputs'!$B$30+'Inputs'!$B$31+'Inputs'!$B$32)/1000+'Inputs'!$B$21+'Inputs'!$B$7+'Inputs'!$B$10))^2+('Inputs'!$B$8/2)^2))))*'Results'!$B$8)+'Inputs'!$B$28*ABS((('Results'!B7*(1+'Inputs'!$B$24)*(0.5*((((333-43)*MAX('Inputs'!$B$33,'Inputs'!$B$29+'Inputs'!$B$31+'Inputs'!$B$32,'Inputs'!$B$30+'Inputs'!$B$31+'Inputs'!$B$32)/1000+'Inputs'!$B$21)+'Inputs'!$B$7)/SQRT((((333-43)*MAX('Inputs'!$B$33,'Inputs'!$B$29+'Inputs'!$B$31+'Inputs'!$B$32,'Inputs'!$B$30+'Inputs'!$B$31+'Inputs'!$B$32)/1000+'Inputs'!$B$21)+'Inputs'!$B$7)^2+('Inputs'!$B$6/2)^2)-(((333-43)*MAX('Inputs'!$B$33,'Inputs'!$B$29+'Inputs'!$B$31+'Inputs'!$B$32,'Inputs'!$B$30+'Inputs'!$B$31+'Inputs'!$B$32)/1000+'Inputs'!$B$21))/SQRT((((333-43)*MAX('Inputs'!$B$33,'Inputs'!$B$29+'Inputs'!$B$31+'Inputs'!$B$32,'Inputs'!$B$30+'Inputs'!$B$31+'Inputs'!$B$32)/1000+'Inputs'!$B$21))^2+('Inputs'!$B$6/2)^2)))-'Results'!C7*(1-'Inputs'!$B$24)*(0.5*((((333-43)*MAX('Inputs'!$B$33,'Inputs'!$B$29+'Inputs'!$B$31+'Inputs'!$B$32,'Inputs'!$B$30+'Inputs'!$B$31+'Inputs'!$B$32)/1000+'Inputs'!$B$21+'Inputs'!$B$7+'Inputs'!$B$10)+'Inputs'!$B$9)/SQRT((((333-43)*MAX('Inputs'!$B$33,'Inputs'!$B$29+'Inputs'!$B$31+'Inputs'!$B$32,'Inputs'!$B$30+'Inputs'!$B$31+'Inputs'!$B$32)/1000+'Inputs'!$B$21+'Inputs'!$B$7+'Inputs'!$B$10)+'Inputs'!$B$9)^2+('Inputs'!$B$8/2)^2)-(((333-43)*MAX('Inputs'!$B$33,'Inputs'!$B$29+'Inputs'!$B$31+'Inputs'!$B$32,'Inputs'!$B$30+'Inputs'!$B$31+'Inputs'!$B$32)/1000+'Inputs'!$B$21+'Inputs'!$B$7+'Inputs'!$B$10))/SQRT((((333-43)*MAX('Inputs'!$B$33,'Inputs'!$B$29+'Inputs'!$B$31+'Inputs'!$B$32,'Inputs'!$B$30+'Inputs'!$B$31+'Inputs'!$B$32)/1000+'Inputs'!$B$21+'Inputs'!$B$7+'Inputs'!$B$10))^2+('Inputs'!$B$8/2)^2))))*'Results'!$B$8))),"")</x:f>
        <x:v>27.140766293887495</x:v>
      </x:c>
      <x:c r="M333" t="n">
        <x:f>IF(AND(ISNUMBER('Results'!C7),ISNUMBER('Results'!B7),ISNUMBER('Results'!$B$8),ISNUMBER('Inputs'!$B$6),ISNUMBER('Inputs'!$B$7),ISNUMBER('Inputs'!$B$8),ISNUMBER('Inputs'!$B$9),ISNUMBER('Inputs'!$B$10),ISNUMBER('Inputs'!$B$21),ISNUMBER('Inputs'!$B$24),ISNUMBER('Inputs'!$B$28)),(('Results'!C7*(0.5*((((333-43)*MAX('Inputs'!$B$33,'Inputs'!$B$29+'Inputs'!$B$31+'Inputs'!$B$32,'Inputs'!$B$30+'Inputs'!$B$31+'Inputs'!$B$32)/1000+'Inputs'!$B$21)+'Inputs'!$B$9)/SQRT((((333-43)*MAX('Inputs'!$B$33,'Inputs'!$B$29+'Inputs'!$B$31+'Inputs'!$B$32,'Inputs'!$B$30+'Inputs'!$B$31+'Inputs'!$B$32)/1000+'Inputs'!$B$21)+'Inputs'!$B$9)^2+('Inputs'!$B$8/2)^2)-(((333-43)*MAX('Inputs'!$B$33,'Inputs'!$B$29+'Inputs'!$B$31+'Inputs'!$B$32,'Inputs'!$B$30+'Inputs'!$B$31+'Inputs'!$B$32)/1000+'Inputs'!$B$21))/SQRT((((333-43)*MAX('Inputs'!$B$33,'Inputs'!$B$29+'Inputs'!$B$31+'Inputs'!$B$32,'Inputs'!$B$30+'Inputs'!$B$31+'Inputs'!$B$32)/1000+'Inputs'!$B$21))^2+('Inputs'!$B$8/2)^2)))-'Results'!B7*(0.5*((((333-43)*MAX('Inputs'!$B$33,'Inputs'!$B$29+'Inputs'!$B$31+'Inputs'!$B$32,'Inputs'!$B$30+'Inputs'!$B$31+'Inputs'!$B$32)/1000+'Inputs'!$B$21+'Inputs'!$B$9+'Inputs'!$B$10)+'Inputs'!$B$7)/SQRT((((333-43)*MAX('Inputs'!$B$33,'Inputs'!$B$29+'Inputs'!$B$31+'Inputs'!$B$32,'Inputs'!$B$30+'Inputs'!$B$31+'Inputs'!$B$32)/1000+'Inputs'!$B$21+'Inputs'!$B$9+'Inputs'!$B$10)+'Inputs'!$B$7)^2+('Inputs'!$B$6/2)^2)-(((333-43)*MAX('Inputs'!$B$33,'Inputs'!$B$29+'Inputs'!$B$31+'Inputs'!$B$32,'Inputs'!$B$30+'Inputs'!$B$31+'Inputs'!$B$32)/1000+'Inputs'!$B$21+'Inputs'!$B$9+'Inputs'!$B$10))/SQRT((((333-43)*MAX('Inputs'!$B$33,'Inputs'!$B$29+'Inputs'!$B$31+'Inputs'!$B$32,'Inputs'!$B$30+'Inputs'!$B$31+'Inputs'!$B$32)/1000+'Inputs'!$B$21+'Inputs'!$B$9+'Inputs'!$B$10))^2+('Inputs'!$B$6/2)^2))))*'Results'!$B$8),"")</x:f>
        <x:v>23.55324897886663</x:v>
      </x:c>
      <x:c r="N333" t="n">
        <x:f>IF(AND(ISNUMBER('Results'!C7),ISNUMBER('Results'!B7),ISNUMBER('Results'!$B$8),ISNUMBER('Inputs'!$B$6),ISNUMBER('Inputs'!$B$7),ISNUMBER('Inputs'!$B$8),ISNUMBER('Inputs'!$B$9),ISNUMBER('Inputs'!$B$10),ISNUMBER('Inputs'!$B$21),ISNUMBER('Inputs'!$B$24),ISNUMBER('Inputs'!$B$28)),((('Results'!C7*(1-'Inputs'!$B$24)*(0.5*((((333-43)*MAX('Inputs'!$B$33,'Inputs'!$B$29+'Inputs'!$B$31+'Inputs'!$B$32,'Inputs'!$B$30+'Inputs'!$B$31+'Inputs'!$B$32)/1000+'Inputs'!$B$21)+'Inputs'!$B$9)/SQRT((((333-43)*MAX('Inputs'!$B$33,'Inputs'!$B$29+'Inputs'!$B$31+'Inputs'!$B$32,'Inputs'!$B$30+'Inputs'!$B$31+'Inputs'!$B$32)/1000+'Inputs'!$B$21)+'Inputs'!$B$9)^2+('Inputs'!$B$8/2)^2)-(((333-43)*MAX('Inputs'!$B$33,'Inputs'!$B$29+'Inputs'!$B$31+'Inputs'!$B$32,'Inputs'!$B$30+'Inputs'!$B$31+'Inputs'!$B$32)/1000+'Inputs'!$B$21))/SQRT((((333-43)*MAX('Inputs'!$B$33,'Inputs'!$B$29+'Inputs'!$B$31+'Inputs'!$B$32,'Inputs'!$B$30+'Inputs'!$B$31+'Inputs'!$B$32)/1000+'Inputs'!$B$21))^2+('Inputs'!$B$8/2)^2)))-'Results'!B7*(1+'Inputs'!$B$24)*(0.5*((((333-43)*MAX('Inputs'!$B$33,'Inputs'!$B$29+'Inputs'!$B$31+'Inputs'!$B$32,'Inputs'!$B$30+'Inputs'!$B$31+'Inputs'!$B$32)/1000+'Inputs'!$B$21+'Inputs'!$B$9+'Inputs'!$B$10)+'Inputs'!$B$7)/SQRT((((333-43)*MAX('Inputs'!$B$33,'Inputs'!$B$29+'Inputs'!$B$31+'Inputs'!$B$32,'Inputs'!$B$30+'Inputs'!$B$31+'Inputs'!$B$32)/1000+'Inputs'!$B$21+'Inputs'!$B$9+'Inputs'!$B$10)+'Inputs'!$B$7)^2+('Inputs'!$B$6/2)^2)-(((333-43)*MAX('Inputs'!$B$33,'Inputs'!$B$29+'Inputs'!$B$31+'Inputs'!$B$32,'Inputs'!$B$30+'Inputs'!$B$31+'Inputs'!$B$32)/1000+'Inputs'!$B$21+'Inputs'!$B$9+'Inputs'!$B$10))/SQRT((((333-43)*MAX('Inputs'!$B$33,'Inputs'!$B$29+'Inputs'!$B$31+'Inputs'!$B$32,'Inputs'!$B$30+'Inputs'!$B$31+'Inputs'!$B$32)/1000+'Inputs'!$B$21+'Inputs'!$B$9+'Inputs'!$B$10))^2+('Inputs'!$B$6/2)^2))))*'Results'!$B$8)-'Inputs'!$B$28*ABS((('Results'!C7*(1-'Inputs'!$B$24)*(0.5*((((333-43)*MAX('Inputs'!$B$33,'Inputs'!$B$29+'Inputs'!$B$31+'Inputs'!$B$32,'Inputs'!$B$30+'Inputs'!$B$31+'Inputs'!$B$32)/1000+'Inputs'!$B$21)+'Inputs'!$B$9)/SQRT((((333-43)*MAX('Inputs'!$B$33,'Inputs'!$B$29+'Inputs'!$B$31+'Inputs'!$B$32,'Inputs'!$B$30+'Inputs'!$B$31+'Inputs'!$B$32)/1000+'Inputs'!$B$21)+'Inputs'!$B$9)^2+('Inputs'!$B$8/2)^2)-(((333-43)*MAX('Inputs'!$B$33,'Inputs'!$B$29+'Inputs'!$B$31+'Inputs'!$B$32,'Inputs'!$B$30+'Inputs'!$B$31+'Inputs'!$B$32)/1000+'Inputs'!$B$21))/SQRT((((333-43)*MAX('Inputs'!$B$33,'Inputs'!$B$29+'Inputs'!$B$31+'Inputs'!$B$32,'Inputs'!$B$30+'Inputs'!$B$31+'Inputs'!$B$32)/1000+'Inputs'!$B$21))^2+('Inputs'!$B$8/2)^2)))-'Results'!B7*(1+'Inputs'!$B$24)*(0.5*((((333-43)*MAX('Inputs'!$B$33,'Inputs'!$B$29+'Inputs'!$B$31+'Inputs'!$B$32,'Inputs'!$B$30+'Inputs'!$B$31+'Inputs'!$B$32)/1000+'Inputs'!$B$21+'Inputs'!$B$9+'Inputs'!$B$10)+'Inputs'!$B$7)/SQRT((((333-43)*MAX('Inputs'!$B$33,'Inputs'!$B$29+'Inputs'!$B$31+'Inputs'!$B$32,'Inputs'!$B$30+'Inputs'!$B$31+'Inputs'!$B$32)/1000+'Inputs'!$B$21+'Inputs'!$B$9+'Inputs'!$B$10)+'Inputs'!$B$7)^2+('Inputs'!$B$6/2)^2)-(((333-43)*MAX('Inputs'!$B$33,'Inputs'!$B$29+'Inputs'!$B$31+'Inputs'!$B$32,'Inputs'!$B$30+'Inputs'!$B$31+'Inputs'!$B$32)/1000+'Inputs'!$B$21+'Inputs'!$B$9+'Inputs'!$B$10))/SQRT((((333-43)*MAX('Inputs'!$B$33,'Inputs'!$B$29+'Inputs'!$B$31+'Inputs'!$B$32,'Inputs'!$B$30+'Inputs'!$B$31+'Inputs'!$B$32)/1000+'Inputs'!$B$21+'Inputs'!$B$9+'Inputs'!$B$10))^2+('Inputs'!$B$6/2)^2))))*'Results'!$B$8))),"")</x:f>
        <x:v>21.29782684477276</x:v>
      </x:c>
      <x:c r="O333" t="n">
        <x:f>IF(AND(ISNUMBER('Results'!C7),ISNUMBER('Results'!B7),ISNUMBER('Results'!$B$8),ISNUMBER('Inputs'!$B$6),ISNUMBER('Inputs'!$B$7),ISNUMBER('Inputs'!$B$8),ISNUMBER('Inputs'!$B$9),ISNUMBER('Inputs'!$B$10),ISNUMBER('Inputs'!$B$21),ISNUMBER('Inputs'!$B$24),ISNUMBER('Inputs'!$B$28)),((('Results'!C7*(1+'Inputs'!$B$24)*(0.5*((((333-43)*MAX('Inputs'!$B$33,'Inputs'!$B$29+'Inputs'!$B$31+'Inputs'!$B$32,'Inputs'!$B$30+'Inputs'!$B$31+'Inputs'!$B$32)/1000+'Inputs'!$B$21)+'Inputs'!$B$9)/SQRT((((333-43)*MAX('Inputs'!$B$33,'Inputs'!$B$29+'Inputs'!$B$31+'Inputs'!$B$32,'Inputs'!$B$30+'Inputs'!$B$31+'Inputs'!$B$32)/1000+'Inputs'!$B$21)+'Inputs'!$B$9)^2+('Inputs'!$B$8/2)^2)-(((333-43)*MAX('Inputs'!$B$33,'Inputs'!$B$29+'Inputs'!$B$31+'Inputs'!$B$32,'Inputs'!$B$30+'Inputs'!$B$31+'Inputs'!$B$32)/1000+'Inputs'!$B$21))/SQRT((((333-43)*MAX('Inputs'!$B$33,'Inputs'!$B$29+'Inputs'!$B$31+'Inputs'!$B$32,'Inputs'!$B$30+'Inputs'!$B$31+'Inputs'!$B$32)/1000+'Inputs'!$B$21))^2+('Inputs'!$B$8/2)^2)))-'Results'!B7*(1-'Inputs'!$B$24)*(0.5*((((333-43)*MAX('Inputs'!$B$33,'Inputs'!$B$29+'Inputs'!$B$31+'Inputs'!$B$32,'Inputs'!$B$30+'Inputs'!$B$31+'Inputs'!$B$32)/1000+'Inputs'!$B$21+'Inputs'!$B$9+'Inputs'!$B$10)+'Inputs'!$B$7)/SQRT((((333-43)*MAX('Inputs'!$B$33,'Inputs'!$B$29+'Inputs'!$B$31+'Inputs'!$B$32,'Inputs'!$B$30+'Inputs'!$B$31+'Inputs'!$B$32)/1000+'Inputs'!$B$21+'Inputs'!$B$9+'Inputs'!$B$10)+'Inputs'!$B$7)^2+('Inputs'!$B$6/2)^2)-(((333-43)*MAX('Inputs'!$B$33,'Inputs'!$B$29+'Inputs'!$B$31+'Inputs'!$B$32,'Inputs'!$B$30+'Inputs'!$B$31+'Inputs'!$B$32)/1000+'Inputs'!$B$21+'Inputs'!$B$9+'Inputs'!$B$10))/SQRT((((333-43)*MAX('Inputs'!$B$33,'Inputs'!$B$29+'Inputs'!$B$31+'Inputs'!$B$32,'Inputs'!$B$30+'Inputs'!$B$31+'Inputs'!$B$32)/1000+'Inputs'!$B$21+'Inputs'!$B$9+'Inputs'!$B$10))^2+('Inputs'!$B$6/2)^2))))*'Results'!$B$8)+'Inputs'!$B$28*ABS((('Results'!C7*(1+'Inputs'!$B$24)*(0.5*((((333-43)*MAX('Inputs'!$B$33,'Inputs'!$B$29+'Inputs'!$B$31+'Inputs'!$B$32,'Inputs'!$B$30+'Inputs'!$B$31+'Inputs'!$B$32)/1000+'Inputs'!$B$21)+'Inputs'!$B$9)/SQRT((((333-43)*MAX('Inputs'!$B$33,'Inputs'!$B$29+'Inputs'!$B$31+'Inputs'!$B$32,'Inputs'!$B$30+'Inputs'!$B$31+'Inputs'!$B$32)/1000+'Inputs'!$B$21)+'Inputs'!$B$9)^2+('Inputs'!$B$8/2)^2)-(((333-43)*MAX('Inputs'!$B$33,'Inputs'!$B$29+'Inputs'!$B$31+'Inputs'!$B$32,'Inputs'!$B$30+'Inputs'!$B$31+'Inputs'!$B$32)/1000+'Inputs'!$B$21))/SQRT((((333-43)*MAX('Inputs'!$B$33,'Inputs'!$B$29+'Inputs'!$B$31+'Inputs'!$B$32,'Inputs'!$B$30+'Inputs'!$B$31+'Inputs'!$B$32)/1000+'Inputs'!$B$21))^2+('Inputs'!$B$8/2)^2)))-'Results'!B7*(1-'Inputs'!$B$24)*(0.5*((((333-43)*MAX('Inputs'!$B$33,'Inputs'!$B$29+'Inputs'!$B$31+'Inputs'!$B$32,'Inputs'!$B$30+'Inputs'!$B$31+'Inputs'!$B$32)/1000+'Inputs'!$B$21+'Inputs'!$B$9+'Inputs'!$B$10)+'Inputs'!$B$7)/SQRT((((333-43)*MAX('Inputs'!$B$33,'Inputs'!$B$29+'Inputs'!$B$31+'Inputs'!$B$32,'Inputs'!$B$30+'Inputs'!$B$31+'Inputs'!$B$32)/1000+'Inputs'!$B$21+'Inputs'!$B$9+'Inputs'!$B$10)+'Inputs'!$B$7)^2+('Inputs'!$B$6/2)^2)-(((333-43)*MAX('Inputs'!$B$33,'Inputs'!$B$29+'Inputs'!$B$31+'Inputs'!$B$32,'Inputs'!$B$30+'Inputs'!$B$31+'Inputs'!$B$32)/1000+'Inputs'!$B$21+'Inputs'!$B$9+'Inputs'!$B$10))/SQRT((((333-43)*MAX('Inputs'!$B$33,'Inputs'!$B$29+'Inputs'!$B$31+'Inputs'!$B$32,'Inputs'!$B$30+'Inputs'!$B$31+'Inputs'!$B$32)/1000+'Inputs'!$B$21+'Inputs'!$B$9+'Inputs'!$B$10))^2+('Inputs'!$B$6/2)^2))))*'Results'!$B$8))),"")</x:f>
        <x:v>25.92211950087108</x:v>
      </x:c>
      <x:c r="P333" t="n">
        <x:f>IF(AND(MAX(J333,J332)&gt;0,J333&gt;J332+0.00000001),1,0)</x:f>
        <x:v>0</x:v>
      </x:c>
      <x:c r="Q333" t="n">
        <x:f>IF(AND(MAX(K333,K332)&gt;0,K333&gt;K332+0.00000001),1,0)</x:f>
        <x:v>0</x:v>
      </x:c>
      <x:c r="R333" t="n">
        <x:f>IF(AND(MAX(L333,L332)&gt;0,L333&gt;L332+0.00000001),1,0)</x:f>
        <x:v>0</x:v>
      </x:c>
      <x:c r="S333" t="n">
        <x:f>IF(AND(MAX(M333,M332)&gt;0,M333&gt;M332+0.00000001),1,0)</x:f>
        <x:v>0</x:v>
      </x:c>
      <x:c r="T333" t="n">
        <x:f>IF(AND(MAX(N333,N332)&gt;0,N333&gt;N332+0.00000001),1,0)</x:f>
        <x:v>0</x:v>
      </x:c>
      <x:c r="U333" t="n">
        <x:f>IF(AND(MAX(O333,O332)&gt;0,O333&gt;O332+0.00000001),1,0)</x:f>
        <x:v>0</x:v>
      </x:c>
    </x:row>
    <x:row r="334">
      <x:c r="J334" t="n">
        <x:f>IF(AND(ISNUMBER('Results'!B7),ISNUMBER('Results'!C7),ISNUMBER('Results'!$B$8),ISNUMBER('Inputs'!$B$6),ISNUMBER('Inputs'!$B$7),ISNUMBER('Inputs'!$B$8),ISNUMBER('Inputs'!$B$9),ISNUMBER('Inputs'!$B$10),ISNUMBER('Inputs'!$B$21),ISNUMBER('Inputs'!$B$24),ISNUMBER('Inputs'!$B$28)),(('Results'!B7*(0.5*((((334-43)*MAX('Inputs'!$B$33,'Inputs'!$B$29+'Inputs'!$B$31+'Inputs'!$B$32,'Inputs'!$B$30+'Inputs'!$B$31+'Inputs'!$B$32)/1000+'Inputs'!$B$21)+'Inputs'!$B$7)/SQRT((((334-43)*MAX('Inputs'!$B$33,'Inputs'!$B$29+'Inputs'!$B$31+'Inputs'!$B$32,'Inputs'!$B$30+'Inputs'!$B$31+'Inputs'!$B$32)/1000+'Inputs'!$B$21)+'Inputs'!$B$7)^2+('Inputs'!$B$6/2)^2)-(((334-43)*MAX('Inputs'!$B$33,'Inputs'!$B$29+'Inputs'!$B$31+'Inputs'!$B$32,'Inputs'!$B$30+'Inputs'!$B$31+'Inputs'!$B$32)/1000+'Inputs'!$B$21))/SQRT((((334-43)*MAX('Inputs'!$B$33,'Inputs'!$B$29+'Inputs'!$B$31+'Inputs'!$B$32,'Inputs'!$B$30+'Inputs'!$B$31+'Inputs'!$B$32)/1000+'Inputs'!$B$21))^2+('Inputs'!$B$6/2)^2)))-'Results'!C7*(0.5*((((334-43)*MAX('Inputs'!$B$33,'Inputs'!$B$29+'Inputs'!$B$31+'Inputs'!$B$32,'Inputs'!$B$30+'Inputs'!$B$31+'Inputs'!$B$32)/1000+'Inputs'!$B$21+'Inputs'!$B$7+'Inputs'!$B$10)+'Inputs'!$B$9)/SQRT((((334-43)*MAX('Inputs'!$B$33,'Inputs'!$B$29+'Inputs'!$B$31+'Inputs'!$B$32,'Inputs'!$B$30+'Inputs'!$B$31+'Inputs'!$B$32)/1000+'Inputs'!$B$21+'Inputs'!$B$7+'Inputs'!$B$10)+'Inputs'!$B$9)^2+('Inputs'!$B$8/2)^2)-(((334-43)*MAX('Inputs'!$B$33,'Inputs'!$B$29+'Inputs'!$B$31+'Inputs'!$B$32,'Inputs'!$B$30+'Inputs'!$B$31+'Inputs'!$B$32)/1000+'Inputs'!$B$21+'Inputs'!$B$7+'Inputs'!$B$10))/SQRT((((334-43)*MAX('Inputs'!$B$33,'Inputs'!$B$29+'Inputs'!$B$31+'Inputs'!$B$32,'Inputs'!$B$30+'Inputs'!$B$31+'Inputs'!$B$32)/1000+'Inputs'!$B$21+'Inputs'!$B$7+'Inputs'!$B$10))^2+('Inputs'!$B$8/2)^2))))*'Results'!$B$8),"")</x:f>
        <x:v>24.44334406367025</x:v>
      </x:c>
      <x:c r="K334" t="n">
        <x:f>IF(AND(ISNUMBER('Results'!B7),ISNUMBER('Results'!C7),ISNUMBER('Results'!$B$8),ISNUMBER('Inputs'!$B$6),ISNUMBER('Inputs'!$B$7),ISNUMBER('Inputs'!$B$8),ISNUMBER('Inputs'!$B$9),ISNUMBER('Inputs'!$B$10),ISNUMBER('Inputs'!$B$21),ISNUMBER('Inputs'!$B$24),ISNUMBER('Inputs'!$B$28)),((('Results'!B7*(1-'Inputs'!$B$24)*(0.5*((((334-43)*MAX('Inputs'!$B$33,'Inputs'!$B$29+'Inputs'!$B$31+'Inputs'!$B$32,'Inputs'!$B$30+'Inputs'!$B$31+'Inputs'!$B$32)/1000+'Inputs'!$B$21)+'Inputs'!$B$7)/SQRT((((334-43)*MAX('Inputs'!$B$33,'Inputs'!$B$29+'Inputs'!$B$31+'Inputs'!$B$32,'Inputs'!$B$30+'Inputs'!$B$31+'Inputs'!$B$32)/1000+'Inputs'!$B$21)+'Inputs'!$B$7)^2+('Inputs'!$B$6/2)^2)-(((334-43)*MAX('Inputs'!$B$33,'Inputs'!$B$29+'Inputs'!$B$31+'Inputs'!$B$32,'Inputs'!$B$30+'Inputs'!$B$31+'Inputs'!$B$32)/1000+'Inputs'!$B$21))/SQRT((((334-43)*MAX('Inputs'!$B$33,'Inputs'!$B$29+'Inputs'!$B$31+'Inputs'!$B$32,'Inputs'!$B$30+'Inputs'!$B$31+'Inputs'!$B$32)/1000+'Inputs'!$B$21))^2+('Inputs'!$B$6/2)^2)))-'Results'!C7*(1+'Inputs'!$B$24)*(0.5*((((334-43)*MAX('Inputs'!$B$33,'Inputs'!$B$29+'Inputs'!$B$31+'Inputs'!$B$32,'Inputs'!$B$30+'Inputs'!$B$31+'Inputs'!$B$32)/1000+'Inputs'!$B$21+'Inputs'!$B$7+'Inputs'!$B$10)+'Inputs'!$B$9)/SQRT((((334-43)*MAX('Inputs'!$B$33,'Inputs'!$B$29+'Inputs'!$B$31+'Inputs'!$B$32,'Inputs'!$B$30+'Inputs'!$B$31+'Inputs'!$B$32)/1000+'Inputs'!$B$21+'Inputs'!$B$7+'Inputs'!$B$10)+'Inputs'!$B$9)^2+('Inputs'!$B$8/2)^2)-(((334-43)*MAX('Inputs'!$B$33,'Inputs'!$B$29+'Inputs'!$B$31+'Inputs'!$B$32,'Inputs'!$B$30+'Inputs'!$B$31+'Inputs'!$B$32)/1000+'Inputs'!$B$21+'Inputs'!$B$7+'Inputs'!$B$10))/SQRT((((334-43)*MAX('Inputs'!$B$33,'Inputs'!$B$29+'Inputs'!$B$31+'Inputs'!$B$32,'Inputs'!$B$30+'Inputs'!$B$31+'Inputs'!$B$32)/1000+'Inputs'!$B$21+'Inputs'!$B$7+'Inputs'!$B$10))^2+('Inputs'!$B$8/2)^2))))*'Results'!$B$8)-'Inputs'!$B$28*ABS((('Results'!B7*(1-'Inputs'!$B$24)*(0.5*((((334-43)*MAX('Inputs'!$B$33,'Inputs'!$B$29+'Inputs'!$B$31+'Inputs'!$B$32,'Inputs'!$B$30+'Inputs'!$B$31+'Inputs'!$B$32)/1000+'Inputs'!$B$21)+'Inputs'!$B$7)/SQRT((((334-43)*MAX('Inputs'!$B$33,'Inputs'!$B$29+'Inputs'!$B$31+'Inputs'!$B$32,'Inputs'!$B$30+'Inputs'!$B$31+'Inputs'!$B$32)/1000+'Inputs'!$B$21)+'Inputs'!$B$7)^2+('Inputs'!$B$6/2)^2)-(((334-43)*MAX('Inputs'!$B$33,'Inputs'!$B$29+'Inputs'!$B$31+'Inputs'!$B$32,'Inputs'!$B$30+'Inputs'!$B$31+'Inputs'!$B$32)/1000+'Inputs'!$B$21))/SQRT((((334-43)*MAX('Inputs'!$B$33,'Inputs'!$B$29+'Inputs'!$B$31+'Inputs'!$B$32,'Inputs'!$B$30+'Inputs'!$B$31+'Inputs'!$B$32)/1000+'Inputs'!$B$21))^2+('Inputs'!$B$6/2)^2)))-'Results'!C7*(1+'Inputs'!$B$24)*(0.5*((((334-43)*MAX('Inputs'!$B$33,'Inputs'!$B$29+'Inputs'!$B$31+'Inputs'!$B$32,'Inputs'!$B$30+'Inputs'!$B$31+'Inputs'!$B$32)/1000+'Inputs'!$B$21+'Inputs'!$B$7+'Inputs'!$B$10)+'Inputs'!$B$9)/SQRT((((334-43)*MAX('Inputs'!$B$33,'Inputs'!$B$29+'Inputs'!$B$31+'Inputs'!$B$32,'Inputs'!$B$30+'Inputs'!$B$31+'Inputs'!$B$32)/1000+'Inputs'!$B$21+'Inputs'!$B$7+'Inputs'!$B$10)+'Inputs'!$B$9)^2+('Inputs'!$B$8/2)^2)-(((334-43)*MAX('Inputs'!$B$33,'Inputs'!$B$29+'Inputs'!$B$31+'Inputs'!$B$32,'Inputs'!$B$30+'Inputs'!$B$31+'Inputs'!$B$32)/1000+'Inputs'!$B$21+'Inputs'!$B$7+'Inputs'!$B$10))/SQRT((((334-43)*MAX('Inputs'!$B$33,'Inputs'!$B$29+'Inputs'!$B$31+'Inputs'!$B$32,'Inputs'!$B$30+'Inputs'!$B$31+'Inputs'!$B$32)/1000+'Inputs'!$B$21+'Inputs'!$B$7+'Inputs'!$B$10))^2+('Inputs'!$B$8/2)^2))))*'Results'!$B$8))),"")</x:f>
        <x:v>22.1433193686817</x:v>
      </x:c>
      <x:c r="L334" t="n">
        <x:f>IF(AND(ISNUMBER('Results'!B7),ISNUMBER('Results'!C7),ISNUMBER('Results'!$B$8),ISNUMBER('Inputs'!$B$6),ISNUMBER('Inputs'!$B$7),ISNUMBER('Inputs'!$B$8),ISNUMBER('Inputs'!$B$9),ISNUMBER('Inputs'!$B$10),ISNUMBER('Inputs'!$B$21),ISNUMBER('Inputs'!$B$24),ISNUMBER('Inputs'!$B$28)),((('Results'!B7*(1+'Inputs'!$B$24)*(0.5*((((334-43)*MAX('Inputs'!$B$33,'Inputs'!$B$29+'Inputs'!$B$31+'Inputs'!$B$32,'Inputs'!$B$30+'Inputs'!$B$31+'Inputs'!$B$32)/1000+'Inputs'!$B$21)+'Inputs'!$B$7)/SQRT((((334-43)*MAX('Inputs'!$B$33,'Inputs'!$B$29+'Inputs'!$B$31+'Inputs'!$B$32,'Inputs'!$B$30+'Inputs'!$B$31+'Inputs'!$B$32)/1000+'Inputs'!$B$21)+'Inputs'!$B$7)^2+('Inputs'!$B$6/2)^2)-(((334-43)*MAX('Inputs'!$B$33,'Inputs'!$B$29+'Inputs'!$B$31+'Inputs'!$B$32,'Inputs'!$B$30+'Inputs'!$B$31+'Inputs'!$B$32)/1000+'Inputs'!$B$21))/SQRT((((334-43)*MAX('Inputs'!$B$33,'Inputs'!$B$29+'Inputs'!$B$31+'Inputs'!$B$32,'Inputs'!$B$30+'Inputs'!$B$31+'Inputs'!$B$32)/1000+'Inputs'!$B$21))^2+('Inputs'!$B$6/2)^2)))-'Results'!C7*(1-'Inputs'!$B$24)*(0.5*((((334-43)*MAX('Inputs'!$B$33,'Inputs'!$B$29+'Inputs'!$B$31+'Inputs'!$B$32,'Inputs'!$B$30+'Inputs'!$B$31+'Inputs'!$B$32)/1000+'Inputs'!$B$21+'Inputs'!$B$7+'Inputs'!$B$10)+'Inputs'!$B$9)/SQRT((((334-43)*MAX('Inputs'!$B$33,'Inputs'!$B$29+'Inputs'!$B$31+'Inputs'!$B$32,'Inputs'!$B$30+'Inputs'!$B$31+'Inputs'!$B$32)/1000+'Inputs'!$B$21+'Inputs'!$B$7+'Inputs'!$B$10)+'Inputs'!$B$9)^2+('Inputs'!$B$8/2)^2)-(((334-43)*MAX('Inputs'!$B$33,'Inputs'!$B$29+'Inputs'!$B$31+'Inputs'!$B$32,'Inputs'!$B$30+'Inputs'!$B$31+'Inputs'!$B$32)/1000+'Inputs'!$B$21+'Inputs'!$B$7+'Inputs'!$B$10))/SQRT((((334-43)*MAX('Inputs'!$B$33,'Inputs'!$B$29+'Inputs'!$B$31+'Inputs'!$B$32,'Inputs'!$B$30+'Inputs'!$B$31+'Inputs'!$B$32)/1000+'Inputs'!$B$21+'Inputs'!$B$7+'Inputs'!$B$10))^2+('Inputs'!$B$8/2)^2))))*'Results'!$B$8)+'Inputs'!$B$28*ABS((('Results'!B7*(1+'Inputs'!$B$24)*(0.5*((((334-43)*MAX('Inputs'!$B$33,'Inputs'!$B$29+'Inputs'!$B$31+'Inputs'!$B$32,'Inputs'!$B$30+'Inputs'!$B$31+'Inputs'!$B$32)/1000+'Inputs'!$B$21)+'Inputs'!$B$7)/SQRT((((334-43)*MAX('Inputs'!$B$33,'Inputs'!$B$29+'Inputs'!$B$31+'Inputs'!$B$32,'Inputs'!$B$30+'Inputs'!$B$31+'Inputs'!$B$32)/1000+'Inputs'!$B$21)+'Inputs'!$B$7)^2+('Inputs'!$B$6/2)^2)-(((334-43)*MAX('Inputs'!$B$33,'Inputs'!$B$29+'Inputs'!$B$31+'Inputs'!$B$32,'Inputs'!$B$30+'Inputs'!$B$31+'Inputs'!$B$32)/1000+'Inputs'!$B$21))/SQRT((((334-43)*MAX('Inputs'!$B$33,'Inputs'!$B$29+'Inputs'!$B$31+'Inputs'!$B$32,'Inputs'!$B$30+'Inputs'!$B$31+'Inputs'!$B$32)/1000+'Inputs'!$B$21))^2+('Inputs'!$B$6/2)^2)))-'Results'!C7*(1-'Inputs'!$B$24)*(0.5*((((334-43)*MAX('Inputs'!$B$33,'Inputs'!$B$29+'Inputs'!$B$31+'Inputs'!$B$32,'Inputs'!$B$30+'Inputs'!$B$31+'Inputs'!$B$32)/1000+'Inputs'!$B$21+'Inputs'!$B$7+'Inputs'!$B$10)+'Inputs'!$B$9)/SQRT((((334-43)*MAX('Inputs'!$B$33,'Inputs'!$B$29+'Inputs'!$B$31+'Inputs'!$B$32,'Inputs'!$B$30+'Inputs'!$B$31+'Inputs'!$B$32)/1000+'Inputs'!$B$21+'Inputs'!$B$7+'Inputs'!$B$10)+'Inputs'!$B$9)^2+('Inputs'!$B$8/2)^2)-(((334-43)*MAX('Inputs'!$B$33,'Inputs'!$B$29+'Inputs'!$B$31+'Inputs'!$B$32,'Inputs'!$B$30+'Inputs'!$B$31+'Inputs'!$B$32)/1000+'Inputs'!$B$21+'Inputs'!$B$7+'Inputs'!$B$10))/SQRT((((334-43)*MAX('Inputs'!$B$33,'Inputs'!$B$29+'Inputs'!$B$31+'Inputs'!$B$32,'Inputs'!$B$30+'Inputs'!$B$31+'Inputs'!$B$32)/1000+'Inputs'!$B$21+'Inputs'!$B$7+'Inputs'!$B$10))^2+('Inputs'!$B$8/2)^2))))*'Results'!$B$8))),"")</x:f>
        <x:v>26.85682744200669</x:v>
      </x:c>
      <x:c r="M334" t="n">
        <x:f>IF(AND(ISNUMBER('Results'!C7),ISNUMBER('Results'!B7),ISNUMBER('Results'!$B$8),ISNUMBER('Inputs'!$B$6),ISNUMBER('Inputs'!$B$7),ISNUMBER('Inputs'!$B$8),ISNUMBER('Inputs'!$B$9),ISNUMBER('Inputs'!$B$10),ISNUMBER('Inputs'!$B$21),ISNUMBER('Inputs'!$B$24),ISNUMBER('Inputs'!$B$28)),(('Results'!C7*(0.5*((((334-43)*MAX('Inputs'!$B$33,'Inputs'!$B$29+'Inputs'!$B$31+'Inputs'!$B$32,'Inputs'!$B$30+'Inputs'!$B$31+'Inputs'!$B$32)/1000+'Inputs'!$B$21)+'Inputs'!$B$9)/SQRT((((334-43)*MAX('Inputs'!$B$33,'Inputs'!$B$29+'Inputs'!$B$31+'Inputs'!$B$32,'Inputs'!$B$30+'Inputs'!$B$31+'Inputs'!$B$32)/1000+'Inputs'!$B$21)+'Inputs'!$B$9)^2+('Inputs'!$B$8/2)^2)-(((334-43)*MAX('Inputs'!$B$33,'Inputs'!$B$29+'Inputs'!$B$31+'Inputs'!$B$32,'Inputs'!$B$30+'Inputs'!$B$31+'Inputs'!$B$32)/1000+'Inputs'!$B$21))/SQRT((((334-43)*MAX('Inputs'!$B$33,'Inputs'!$B$29+'Inputs'!$B$31+'Inputs'!$B$32,'Inputs'!$B$30+'Inputs'!$B$31+'Inputs'!$B$32)/1000+'Inputs'!$B$21))^2+('Inputs'!$B$8/2)^2)))-'Results'!B7*(0.5*((((334-43)*MAX('Inputs'!$B$33,'Inputs'!$B$29+'Inputs'!$B$31+'Inputs'!$B$32,'Inputs'!$B$30+'Inputs'!$B$31+'Inputs'!$B$32)/1000+'Inputs'!$B$21+'Inputs'!$B$9+'Inputs'!$B$10)+'Inputs'!$B$7)/SQRT((((334-43)*MAX('Inputs'!$B$33,'Inputs'!$B$29+'Inputs'!$B$31+'Inputs'!$B$32,'Inputs'!$B$30+'Inputs'!$B$31+'Inputs'!$B$32)/1000+'Inputs'!$B$21+'Inputs'!$B$9+'Inputs'!$B$10)+'Inputs'!$B$7)^2+('Inputs'!$B$6/2)^2)-(((334-43)*MAX('Inputs'!$B$33,'Inputs'!$B$29+'Inputs'!$B$31+'Inputs'!$B$32,'Inputs'!$B$30+'Inputs'!$B$31+'Inputs'!$B$32)/1000+'Inputs'!$B$21+'Inputs'!$B$9+'Inputs'!$B$10))/SQRT((((334-43)*MAX('Inputs'!$B$33,'Inputs'!$B$29+'Inputs'!$B$31+'Inputs'!$B$32,'Inputs'!$B$30+'Inputs'!$B$31+'Inputs'!$B$32)/1000+'Inputs'!$B$21+'Inputs'!$B$9+'Inputs'!$B$10))^2+('Inputs'!$B$6/2)^2))))*'Results'!$B$8),"")</x:f>
        <x:v>23.302168251087124</x:v>
      </x:c>
      <x:c r="N334" t="n">
        <x:f>IF(AND(ISNUMBER('Results'!C7),ISNUMBER('Results'!B7),ISNUMBER('Results'!$B$8),ISNUMBER('Inputs'!$B$6),ISNUMBER('Inputs'!$B$7),ISNUMBER('Inputs'!$B$8),ISNUMBER('Inputs'!$B$9),ISNUMBER('Inputs'!$B$10),ISNUMBER('Inputs'!$B$21),ISNUMBER('Inputs'!$B$24),ISNUMBER('Inputs'!$B$28)),((('Results'!C7*(1-'Inputs'!$B$24)*(0.5*((((334-43)*MAX('Inputs'!$B$33,'Inputs'!$B$29+'Inputs'!$B$31+'Inputs'!$B$32,'Inputs'!$B$30+'Inputs'!$B$31+'Inputs'!$B$32)/1000+'Inputs'!$B$21)+'Inputs'!$B$9)/SQRT((((334-43)*MAX('Inputs'!$B$33,'Inputs'!$B$29+'Inputs'!$B$31+'Inputs'!$B$32,'Inputs'!$B$30+'Inputs'!$B$31+'Inputs'!$B$32)/1000+'Inputs'!$B$21)+'Inputs'!$B$9)^2+('Inputs'!$B$8/2)^2)-(((334-43)*MAX('Inputs'!$B$33,'Inputs'!$B$29+'Inputs'!$B$31+'Inputs'!$B$32,'Inputs'!$B$30+'Inputs'!$B$31+'Inputs'!$B$32)/1000+'Inputs'!$B$21))/SQRT((((334-43)*MAX('Inputs'!$B$33,'Inputs'!$B$29+'Inputs'!$B$31+'Inputs'!$B$32,'Inputs'!$B$30+'Inputs'!$B$31+'Inputs'!$B$32)/1000+'Inputs'!$B$21))^2+('Inputs'!$B$8/2)^2)))-'Results'!B7*(1+'Inputs'!$B$24)*(0.5*((((334-43)*MAX('Inputs'!$B$33,'Inputs'!$B$29+'Inputs'!$B$31+'Inputs'!$B$32,'Inputs'!$B$30+'Inputs'!$B$31+'Inputs'!$B$32)/1000+'Inputs'!$B$21+'Inputs'!$B$9+'Inputs'!$B$10)+'Inputs'!$B$7)/SQRT((((334-43)*MAX('Inputs'!$B$33,'Inputs'!$B$29+'Inputs'!$B$31+'Inputs'!$B$32,'Inputs'!$B$30+'Inputs'!$B$31+'Inputs'!$B$32)/1000+'Inputs'!$B$21+'Inputs'!$B$9+'Inputs'!$B$10)+'Inputs'!$B$7)^2+('Inputs'!$B$6/2)^2)-(((334-43)*MAX('Inputs'!$B$33,'Inputs'!$B$29+'Inputs'!$B$31+'Inputs'!$B$32,'Inputs'!$B$30+'Inputs'!$B$31+'Inputs'!$B$32)/1000+'Inputs'!$B$21+'Inputs'!$B$9+'Inputs'!$B$10))/SQRT((((334-43)*MAX('Inputs'!$B$33,'Inputs'!$B$29+'Inputs'!$B$31+'Inputs'!$B$32,'Inputs'!$B$30+'Inputs'!$B$31+'Inputs'!$B$32)/1000+'Inputs'!$B$21+'Inputs'!$B$9+'Inputs'!$B$10))^2+('Inputs'!$B$6/2)^2))))*'Results'!$B$8)-'Inputs'!$B$28*ABS((('Results'!C7*(1-'Inputs'!$B$24)*(0.5*((((334-43)*MAX('Inputs'!$B$33,'Inputs'!$B$29+'Inputs'!$B$31+'Inputs'!$B$32,'Inputs'!$B$30+'Inputs'!$B$31+'Inputs'!$B$32)/1000+'Inputs'!$B$21)+'Inputs'!$B$9)/SQRT((((334-43)*MAX('Inputs'!$B$33,'Inputs'!$B$29+'Inputs'!$B$31+'Inputs'!$B$32,'Inputs'!$B$30+'Inputs'!$B$31+'Inputs'!$B$32)/1000+'Inputs'!$B$21)+'Inputs'!$B$9)^2+('Inputs'!$B$8/2)^2)-(((334-43)*MAX('Inputs'!$B$33,'Inputs'!$B$29+'Inputs'!$B$31+'Inputs'!$B$32,'Inputs'!$B$30+'Inputs'!$B$31+'Inputs'!$B$32)/1000+'Inputs'!$B$21))/SQRT((((334-43)*MAX('Inputs'!$B$33,'Inputs'!$B$29+'Inputs'!$B$31+'Inputs'!$B$32,'Inputs'!$B$30+'Inputs'!$B$31+'Inputs'!$B$32)/1000+'Inputs'!$B$21))^2+('Inputs'!$B$8/2)^2)))-'Results'!B7*(1+'Inputs'!$B$24)*(0.5*((((334-43)*MAX('Inputs'!$B$33,'Inputs'!$B$29+'Inputs'!$B$31+'Inputs'!$B$32,'Inputs'!$B$30+'Inputs'!$B$31+'Inputs'!$B$32)/1000+'Inputs'!$B$21+'Inputs'!$B$9+'Inputs'!$B$10)+'Inputs'!$B$7)/SQRT((((334-43)*MAX('Inputs'!$B$33,'Inputs'!$B$29+'Inputs'!$B$31+'Inputs'!$B$32,'Inputs'!$B$30+'Inputs'!$B$31+'Inputs'!$B$32)/1000+'Inputs'!$B$21+'Inputs'!$B$9+'Inputs'!$B$10)+'Inputs'!$B$7)^2+('Inputs'!$B$6/2)^2)-(((334-43)*MAX('Inputs'!$B$33,'Inputs'!$B$29+'Inputs'!$B$31+'Inputs'!$B$32,'Inputs'!$B$30+'Inputs'!$B$31+'Inputs'!$B$32)/1000+'Inputs'!$B$21+'Inputs'!$B$9+'Inputs'!$B$10))/SQRT((((334-43)*MAX('Inputs'!$B$33,'Inputs'!$B$29+'Inputs'!$B$31+'Inputs'!$B$32,'Inputs'!$B$30+'Inputs'!$B$31+'Inputs'!$B$32)/1000+'Inputs'!$B$21+'Inputs'!$B$9+'Inputs'!$B$10))^2+('Inputs'!$B$6/2)^2))))*'Results'!$B$8))),"")</x:f>
        <x:v>21.068365626868953</x:v>
      </x:c>
      <x:c r="O334" t="n">
        <x:f>IF(AND(ISNUMBER('Results'!C7),ISNUMBER('Results'!B7),ISNUMBER('Results'!$B$8),ISNUMBER('Inputs'!$B$6),ISNUMBER('Inputs'!$B$7),ISNUMBER('Inputs'!$B$8),ISNUMBER('Inputs'!$B$9),ISNUMBER('Inputs'!$B$10),ISNUMBER('Inputs'!$B$21),ISNUMBER('Inputs'!$B$24),ISNUMBER('Inputs'!$B$28)),((('Results'!C7*(1+'Inputs'!$B$24)*(0.5*((((334-43)*MAX('Inputs'!$B$33,'Inputs'!$B$29+'Inputs'!$B$31+'Inputs'!$B$32,'Inputs'!$B$30+'Inputs'!$B$31+'Inputs'!$B$32)/1000+'Inputs'!$B$21)+'Inputs'!$B$9)/SQRT((((334-43)*MAX('Inputs'!$B$33,'Inputs'!$B$29+'Inputs'!$B$31+'Inputs'!$B$32,'Inputs'!$B$30+'Inputs'!$B$31+'Inputs'!$B$32)/1000+'Inputs'!$B$21)+'Inputs'!$B$9)^2+('Inputs'!$B$8/2)^2)-(((334-43)*MAX('Inputs'!$B$33,'Inputs'!$B$29+'Inputs'!$B$31+'Inputs'!$B$32,'Inputs'!$B$30+'Inputs'!$B$31+'Inputs'!$B$32)/1000+'Inputs'!$B$21))/SQRT((((334-43)*MAX('Inputs'!$B$33,'Inputs'!$B$29+'Inputs'!$B$31+'Inputs'!$B$32,'Inputs'!$B$30+'Inputs'!$B$31+'Inputs'!$B$32)/1000+'Inputs'!$B$21))^2+('Inputs'!$B$8/2)^2)))-'Results'!B7*(1-'Inputs'!$B$24)*(0.5*((((334-43)*MAX('Inputs'!$B$33,'Inputs'!$B$29+'Inputs'!$B$31+'Inputs'!$B$32,'Inputs'!$B$30+'Inputs'!$B$31+'Inputs'!$B$32)/1000+'Inputs'!$B$21+'Inputs'!$B$9+'Inputs'!$B$10)+'Inputs'!$B$7)/SQRT((((334-43)*MAX('Inputs'!$B$33,'Inputs'!$B$29+'Inputs'!$B$31+'Inputs'!$B$32,'Inputs'!$B$30+'Inputs'!$B$31+'Inputs'!$B$32)/1000+'Inputs'!$B$21+'Inputs'!$B$9+'Inputs'!$B$10)+'Inputs'!$B$7)^2+('Inputs'!$B$6/2)^2)-(((334-43)*MAX('Inputs'!$B$33,'Inputs'!$B$29+'Inputs'!$B$31+'Inputs'!$B$32,'Inputs'!$B$30+'Inputs'!$B$31+'Inputs'!$B$32)/1000+'Inputs'!$B$21+'Inputs'!$B$9+'Inputs'!$B$10))/SQRT((((334-43)*MAX('Inputs'!$B$33,'Inputs'!$B$29+'Inputs'!$B$31+'Inputs'!$B$32,'Inputs'!$B$30+'Inputs'!$B$31+'Inputs'!$B$32)/1000+'Inputs'!$B$21+'Inputs'!$B$9+'Inputs'!$B$10))^2+('Inputs'!$B$6/2)^2))))*'Results'!$B$8)+'Inputs'!$B$28*ABS((('Results'!C7*(1+'Inputs'!$B$24)*(0.5*((((334-43)*MAX('Inputs'!$B$33,'Inputs'!$B$29+'Inputs'!$B$31+'Inputs'!$B$32,'Inputs'!$B$30+'Inputs'!$B$31+'Inputs'!$B$32)/1000+'Inputs'!$B$21)+'Inputs'!$B$9)/SQRT((((334-43)*MAX('Inputs'!$B$33,'Inputs'!$B$29+'Inputs'!$B$31+'Inputs'!$B$32,'Inputs'!$B$30+'Inputs'!$B$31+'Inputs'!$B$32)/1000+'Inputs'!$B$21)+'Inputs'!$B$9)^2+('Inputs'!$B$8/2)^2)-(((334-43)*MAX('Inputs'!$B$33,'Inputs'!$B$29+'Inputs'!$B$31+'Inputs'!$B$32,'Inputs'!$B$30+'Inputs'!$B$31+'Inputs'!$B$32)/1000+'Inputs'!$B$21))/SQRT((((334-43)*MAX('Inputs'!$B$33,'Inputs'!$B$29+'Inputs'!$B$31+'Inputs'!$B$32,'Inputs'!$B$30+'Inputs'!$B$31+'Inputs'!$B$32)/1000+'Inputs'!$B$21))^2+('Inputs'!$B$8/2)^2)))-'Results'!B7*(1-'Inputs'!$B$24)*(0.5*((((334-43)*MAX('Inputs'!$B$33,'Inputs'!$B$29+'Inputs'!$B$31+'Inputs'!$B$32,'Inputs'!$B$30+'Inputs'!$B$31+'Inputs'!$B$32)/1000+'Inputs'!$B$21+'Inputs'!$B$9+'Inputs'!$B$10)+'Inputs'!$B$7)/SQRT((((334-43)*MAX('Inputs'!$B$33,'Inputs'!$B$29+'Inputs'!$B$31+'Inputs'!$B$32,'Inputs'!$B$30+'Inputs'!$B$31+'Inputs'!$B$32)/1000+'Inputs'!$B$21+'Inputs'!$B$9+'Inputs'!$B$10)+'Inputs'!$B$7)^2+('Inputs'!$B$6/2)^2)-(((334-43)*MAX('Inputs'!$B$33,'Inputs'!$B$29+'Inputs'!$B$31+'Inputs'!$B$32,'Inputs'!$B$30+'Inputs'!$B$31+'Inputs'!$B$32)/1000+'Inputs'!$B$21+'Inputs'!$B$9+'Inputs'!$B$10))/SQRT((((334-43)*MAX('Inputs'!$B$33,'Inputs'!$B$29+'Inputs'!$B$31+'Inputs'!$B$32,'Inputs'!$B$30+'Inputs'!$B$31+'Inputs'!$B$32)/1000+'Inputs'!$B$21+'Inputs'!$B$9+'Inputs'!$B$10))^2+('Inputs'!$B$6/2)^2))))*'Results'!$B$8))),"")</x:f>
        <x:v>25.648465002848862</x:v>
      </x:c>
      <x:c r="P334" t="n">
        <x:f>IF(AND(MAX(J334,J333)&gt;0,J334&gt;J333+0.00000001),1,0)</x:f>
        <x:v>0</x:v>
      </x:c>
      <x:c r="Q334" t="n">
        <x:f>IF(AND(MAX(K334,K333)&gt;0,K334&gt;K333+0.00000001),1,0)</x:f>
        <x:v>0</x:v>
      </x:c>
      <x:c r="R334" t="n">
        <x:f>IF(AND(MAX(L334,L333)&gt;0,L334&gt;L333+0.00000001),1,0)</x:f>
        <x:v>0</x:v>
      </x:c>
      <x:c r="S334" t="n">
        <x:f>IF(AND(MAX(M334,M333)&gt;0,M334&gt;M333+0.00000001),1,0)</x:f>
        <x:v>0</x:v>
      </x:c>
      <x:c r="T334" t="n">
        <x:f>IF(AND(MAX(N334,N333)&gt;0,N334&gt;N333+0.00000001),1,0)</x:f>
        <x:v>0</x:v>
      </x:c>
      <x:c r="U334" t="n">
        <x:f>IF(AND(MAX(O334,O333)&gt;0,O334&gt;O333+0.00000001),1,0)</x:f>
        <x:v>0</x:v>
      </x:c>
    </x:row>
    <x:row r="335">
      <x:c r="J335" t="n">
        <x:f>IF(AND(ISNUMBER('Results'!B7),ISNUMBER('Results'!C7),ISNUMBER('Results'!$B$8),ISNUMBER('Inputs'!$B$6),ISNUMBER('Inputs'!$B$7),ISNUMBER('Inputs'!$B$8),ISNUMBER('Inputs'!$B$9),ISNUMBER('Inputs'!$B$10),ISNUMBER('Inputs'!$B$21),ISNUMBER('Inputs'!$B$24),ISNUMBER('Inputs'!$B$28)),(('Results'!B7*(0.5*((((335-43)*MAX('Inputs'!$B$33,'Inputs'!$B$29+'Inputs'!$B$31+'Inputs'!$B$32,'Inputs'!$B$30+'Inputs'!$B$31+'Inputs'!$B$32)/1000+'Inputs'!$B$21)+'Inputs'!$B$7)/SQRT((((335-43)*MAX('Inputs'!$B$33,'Inputs'!$B$29+'Inputs'!$B$31+'Inputs'!$B$32,'Inputs'!$B$30+'Inputs'!$B$31+'Inputs'!$B$32)/1000+'Inputs'!$B$21)+'Inputs'!$B$7)^2+('Inputs'!$B$6/2)^2)-(((335-43)*MAX('Inputs'!$B$33,'Inputs'!$B$29+'Inputs'!$B$31+'Inputs'!$B$32,'Inputs'!$B$30+'Inputs'!$B$31+'Inputs'!$B$32)/1000+'Inputs'!$B$21))/SQRT((((335-43)*MAX('Inputs'!$B$33,'Inputs'!$B$29+'Inputs'!$B$31+'Inputs'!$B$32,'Inputs'!$B$30+'Inputs'!$B$31+'Inputs'!$B$32)/1000+'Inputs'!$B$21))^2+('Inputs'!$B$6/2)^2)))-'Results'!C7*(0.5*((((335-43)*MAX('Inputs'!$B$33,'Inputs'!$B$29+'Inputs'!$B$31+'Inputs'!$B$32,'Inputs'!$B$30+'Inputs'!$B$31+'Inputs'!$B$32)/1000+'Inputs'!$B$21+'Inputs'!$B$7+'Inputs'!$B$10)+'Inputs'!$B$9)/SQRT((((335-43)*MAX('Inputs'!$B$33,'Inputs'!$B$29+'Inputs'!$B$31+'Inputs'!$B$32,'Inputs'!$B$30+'Inputs'!$B$31+'Inputs'!$B$32)/1000+'Inputs'!$B$21+'Inputs'!$B$7+'Inputs'!$B$10)+'Inputs'!$B$9)^2+('Inputs'!$B$8/2)^2)-(((335-43)*MAX('Inputs'!$B$33,'Inputs'!$B$29+'Inputs'!$B$31+'Inputs'!$B$32,'Inputs'!$B$30+'Inputs'!$B$31+'Inputs'!$B$32)/1000+'Inputs'!$B$21+'Inputs'!$B$7+'Inputs'!$B$10))/SQRT((((335-43)*MAX('Inputs'!$B$33,'Inputs'!$B$29+'Inputs'!$B$31+'Inputs'!$B$32,'Inputs'!$B$30+'Inputs'!$B$31+'Inputs'!$B$32)/1000+'Inputs'!$B$21+'Inputs'!$B$7+'Inputs'!$B$10))^2+('Inputs'!$B$8/2)^2))))*'Results'!$B$8),"")</x:f>
        <x:v>24.185987391710015</x:v>
      </x:c>
      <x:c r="K335" t="n">
        <x:f>IF(AND(ISNUMBER('Results'!B7),ISNUMBER('Results'!C7),ISNUMBER('Results'!$B$8),ISNUMBER('Inputs'!$B$6),ISNUMBER('Inputs'!$B$7),ISNUMBER('Inputs'!$B$8),ISNUMBER('Inputs'!$B$9),ISNUMBER('Inputs'!$B$10),ISNUMBER('Inputs'!$B$21),ISNUMBER('Inputs'!$B$24),ISNUMBER('Inputs'!$B$28)),((('Results'!B7*(1-'Inputs'!$B$24)*(0.5*((((335-43)*MAX('Inputs'!$B$33,'Inputs'!$B$29+'Inputs'!$B$31+'Inputs'!$B$32,'Inputs'!$B$30+'Inputs'!$B$31+'Inputs'!$B$32)/1000+'Inputs'!$B$21)+'Inputs'!$B$7)/SQRT((((335-43)*MAX('Inputs'!$B$33,'Inputs'!$B$29+'Inputs'!$B$31+'Inputs'!$B$32,'Inputs'!$B$30+'Inputs'!$B$31+'Inputs'!$B$32)/1000+'Inputs'!$B$21)+'Inputs'!$B$7)^2+('Inputs'!$B$6/2)^2)-(((335-43)*MAX('Inputs'!$B$33,'Inputs'!$B$29+'Inputs'!$B$31+'Inputs'!$B$32,'Inputs'!$B$30+'Inputs'!$B$31+'Inputs'!$B$32)/1000+'Inputs'!$B$21))/SQRT((((335-43)*MAX('Inputs'!$B$33,'Inputs'!$B$29+'Inputs'!$B$31+'Inputs'!$B$32,'Inputs'!$B$30+'Inputs'!$B$31+'Inputs'!$B$32)/1000+'Inputs'!$B$21))^2+('Inputs'!$B$6/2)^2)))-'Results'!C7*(1+'Inputs'!$B$24)*(0.5*((((335-43)*MAX('Inputs'!$B$33,'Inputs'!$B$29+'Inputs'!$B$31+'Inputs'!$B$32,'Inputs'!$B$30+'Inputs'!$B$31+'Inputs'!$B$32)/1000+'Inputs'!$B$21+'Inputs'!$B$7+'Inputs'!$B$10)+'Inputs'!$B$9)/SQRT((((335-43)*MAX('Inputs'!$B$33,'Inputs'!$B$29+'Inputs'!$B$31+'Inputs'!$B$32,'Inputs'!$B$30+'Inputs'!$B$31+'Inputs'!$B$32)/1000+'Inputs'!$B$21+'Inputs'!$B$7+'Inputs'!$B$10)+'Inputs'!$B$9)^2+('Inputs'!$B$8/2)^2)-(((335-43)*MAX('Inputs'!$B$33,'Inputs'!$B$29+'Inputs'!$B$31+'Inputs'!$B$32,'Inputs'!$B$30+'Inputs'!$B$31+'Inputs'!$B$32)/1000+'Inputs'!$B$21+'Inputs'!$B$7+'Inputs'!$B$10))/SQRT((((335-43)*MAX('Inputs'!$B$33,'Inputs'!$B$29+'Inputs'!$B$31+'Inputs'!$B$32,'Inputs'!$B$30+'Inputs'!$B$31+'Inputs'!$B$32)/1000+'Inputs'!$B$21+'Inputs'!$B$7+'Inputs'!$B$10))^2+('Inputs'!$B$8/2)^2))))*'Results'!$B$8)-'Inputs'!$B$28*ABS((('Results'!B7*(1-'Inputs'!$B$24)*(0.5*((((335-43)*MAX('Inputs'!$B$33,'Inputs'!$B$29+'Inputs'!$B$31+'Inputs'!$B$32,'Inputs'!$B$30+'Inputs'!$B$31+'Inputs'!$B$32)/1000+'Inputs'!$B$21)+'Inputs'!$B$7)/SQRT((((335-43)*MAX('Inputs'!$B$33,'Inputs'!$B$29+'Inputs'!$B$31+'Inputs'!$B$32,'Inputs'!$B$30+'Inputs'!$B$31+'Inputs'!$B$32)/1000+'Inputs'!$B$21)+'Inputs'!$B$7)^2+('Inputs'!$B$6/2)^2)-(((335-43)*MAX('Inputs'!$B$33,'Inputs'!$B$29+'Inputs'!$B$31+'Inputs'!$B$32,'Inputs'!$B$30+'Inputs'!$B$31+'Inputs'!$B$32)/1000+'Inputs'!$B$21))/SQRT((((335-43)*MAX('Inputs'!$B$33,'Inputs'!$B$29+'Inputs'!$B$31+'Inputs'!$B$32,'Inputs'!$B$30+'Inputs'!$B$31+'Inputs'!$B$32)/1000+'Inputs'!$B$21))^2+('Inputs'!$B$6/2)^2)))-'Results'!C7*(1+'Inputs'!$B$24)*(0.5*((((335-43)*MAX('Inputs'!$B$33,'Inputs'!$B$29+'Inputs'!$B$31+'Inputs'!$B$32,'Inputs'!$B$30+'Inputs'!$B$31+'Inputs'!$B$32)/1000+'Inputs'!$B$21+'Inputs'!$B$7+'Inputs'!$B$10)+'Inputs'!$B$9)/SQRT((((335-43)*MAX('Inputs'!$B$33,'Inputs'!$B$29+'Inputs'!$B$31+'Inputs'!$B$32,'Inputs'!$B$30+'Inputs'!$B$31+'Inputs'!$B$32)/1000+'Inputs'!$B$21+'Inputs'!$B$7+'Inputs'!$B$10)+'Inputs'!$B$9)^2+('Inputs'!$B$8/2)^2)-(((335-43)*MAX('Inputs'!$B$33,'Inputs'!$B$29+'Inputs'!$B$31+'Inputs'!$B$32,'Inputs'!$B$30+'Inputs'!$B$31+'Inputs'!$B$32)/1000+'Inputs'!$B$21+'Inputs'!$B$7+'Inputs'!$B$10))/SQRT((((335-43)*MAX('Inputs'!$B$33,'Inputs'!$B$29+'Inputs'!$B$31+'Inputs'!$B$32,'Inputs'!$B$30+'Inputs'!$B$31+'Inputs'!$B$32)/1000+'Inputs'!$B$21+'Inputs'!$B$7+'Inputs'!$B$10))^2+('Inputs'!$B$8/2)^2))))*'Results'!$B$8))),"")</x:f>
        <x:v>21.90789149864168</x:v>
      </x:c>
      <x:c r="L335" t="n">
        <x:f>IF(AND(ISNUMBER('Results'!B7),ISNUMBER('Results'!C7),ISNUMBER('Results'!$B$8),ISNUMBER('Inputs'!$B$6),ISNUMBER('Inputs'!$B$7),ISNUMBER('Inputs'!$B$8),ISNUMBER('Inputs'!$B$9),ISNUMBER('Inputs'!$B$10),ISNUMBER('Inputs'!$B$21),ISNUMBER('Inputs'!$B$24),ISNUMBER('Inputs'!$B$28)),((('Results'!B7*(1+'Inputs'!$B$24)*(0.5*((((335-43)*MAX('Inputs'!$B$33,'Inputs'!$B$29+'Inputs'!$B$31+'Inputs'!$B$32,'Inputs'!$B$30+'Inputs'!$B$31+'Inputs'!$B$32)/1000+'Inputs'!$B$21)+'Inputs'!$B$7)/SQRT((((335-43)*MAX('Inputs'!$B$33,'Inputs'!$B$29+'Inputs'!$B$31+'Inputs'!$B$32,'Inputs'!$B$30+'Inputs'!$B$31+'Inputs'!$B$32)/1000+'Inputs'!$B$21)+'Inputs'!$B$7)^2+('Inputs'!$B$6/2)^2)-(((335-43)*MAX('Inputs'!$B$33,'Inputs'!$B$29+'Inputs'!$B$31+'Inputs'!$B$32,'Inputs'!$B$30+'Inputs'!$B$31+'Inputs'!$B$32)/1000+'Inputs'!$B$21))/SQRT((((335-43)*MAX('Inputs'!$B$33,'Inputs'!$B$29+'Inputs'!$B$31+'Inputs'!$B$32,'Inputs'!$B$30+'Inputs'!$B$31+'Inputs'!$B$32)/1000+'Inputs'!$B$21))^2+('Inputs'!$B$6/2)^2)))-'Results'!C7*(1-'Inputs'!$B$24)*(0.5*((((335-43)*MAX('Inputs'!$B$33,'Inputs'!$B$29+'Inputs'!$B$31+'Inputs'!$B$32,'Inputs'!$B$30+'Inputs'!$B$31+'Inputs'!$B$32)/1000+'Inputs'!$B$21+'Inputs'!$B$7+'Inputs'!$B$10)+'Inputs'!$B$9)/SQRT((((335-43)*MAX('Inputs'!$B$33,'Inputs'!$B$29+'Inputs'!$B$31+'Inputs'!$B$32,'Inputs'!$B$30+'Inputs'!$B$31+'Inputs'!$B$32)/1000+'Inputs'!$B$21+'Inputs'!$B$7+'Inputs'!$B$10)+'Inputs'!$B$9)^2+('Inputs'!$B$8/2)^2)-(((335-43)*MAX('Inputs'!$B$33,'Inputs'!$B$29+'Inputs'!$B$31+'Inputs'!$B$32,'Inputs'!$B$30+'Inputs'!$B$31+'Inputs'!$B$32)/1000+'Inputs'!$B$21+'Inputs'!$B$7+'Inputs'!$B$10))/SQRT((((335-43)*MAX('Inputs'!$B$33,'Inputs'!$B$29+'Inputs'!$B$31+'Inputs'!$B$32,'Inputs'!$B$30+'Inputs'!$B$31+'Inputs'!$B$32)/1000+'Inputs'!$B$21+'Inputs'!$B$7+'Inputs'!$B$10))^2+('Inputs'!$B$8/2)^2))))*'Results'!$B$8)+'Inputs'!$B$28*ABS((('Results'!B7*(1+'Inputs'!$B$24)*(0.5*((((335-43)*MAX('Inputs'!$B$33,'Inputs'!$B$29+'Inputs'!$B$31+'Inputs'!$B$32,'Inputs'!$B$30+'Inputs'!$B$31+'Inputs'!$B$32)/1000+'Inputs'!$B$21)+'Inputs'!$B$7)/SQRT((((335-43)*MAX('Inputs'!$B$33,'Inputs'!$B$29+'Inputs'!$B$31+'Inputs'!$B$32,'Inputs'!$B$30+'Inputs'!$B$31+'Inputs'!$B$32)/1000+'Inputs'!$B$21)+'Inputs'!$B$7)^2+('Inputs'!$B$6/2)^2)-(((335-43)*MAX('Inputs'!$B$33,'Inputs'!$B$29+'Inputs'!$B$31+'Inputs'!$B$32,'Inputs'!$B$30+'Inputs'!$B$31+'Inputs'!$B$32)/1000+'Inputs'!$B$21))/SQRT((((335-43)*MAX('Inputs'!$B$33,'Inputs'!$B$29+'Inputs'!$B$31+'Inputs'!$B$32,'Inputs'!$B$30+'Inputs'!$B$31+'Inputs'!$B$32)/1000+'Inputs'!$B$21))^2+('Inputs'!$B$6/2)^2)))-'Results'!C7*(1-'Inputs'!$B$24)*(0.5*((((335-43)*MAX('Inputs'!$B$33,'Inputs'!$B$29+'Inputs'!$B$31+'Inputs'!$B$32,'Inputs'!$B$30+'Inputs'!$B$31+'Inputs'!$B$32)/1000+'Inputs'!$B$21+'Inputs'!$B$7+'Inputs'!$B$10)+'Inputs'!$B$9)/SQRT((((335-43)*MAX('Inputs'!$B$33,'Inputs'!$B$29+'Inputs'!$B$31+'Inputs'!$B$32,'Inputs'!$B$30+'Inputs'!$B$31+'Inputs'!$B$32)/1000+'Inputs'!$B$21+'Inputs'!$B$7+'Inputs'!$B$10)+'Inputs'!$B$9)^2+('Inputs'!$B$8/2)^2)-(((335-43)*MAX('Inputs'!$B$33,'Inputs'!$B$29+'Inputs'!$B$31+'Inputs'!$B$32,'Inputs'!$B$30+'Inputs'!$B$31+'Inputs'!$B$32)/1000+'Inputs'!$B$21+'Inputs'!$B$7+'Inputs'!$B$10))/SQRT((((335-43)*MAX('Inputs'!$B$33,'Inputs'!$B$29+'Inputs'!$B$31+'Inputs'!$B$32,'Inputs'!$B$30+'Inputs'!$B$31+'Inputs'!$B$32)/1000+'Inputs'!$B$21+'Inputs'!$B$7+'Inputs'!$B$10))^2+('Inputs'!$B$8/2)^2))))*'Results'!$B$8))),"")</x:f>
        <x:v>26.57658818198707</x:v>
      </x:c>
      <x:c r="M335" t="n">
        <x:f>IF(AND(ISNUMBER('Results'!C7),ISNUMBER('Results'!B7),ISNUMBER('Results'!$B$8),ISNUMBER('Inputs'!$B$6),ISNUMBER('Inputs'!$B$7),ISNUMBER('Inputs'!$B$8),ISNUMBER('Inputs'!$B$9),ISNUMBER('Inputs'!$B$10),ISNUMBER('Inputs'!$B$21),ISNUMBER('Inputs'!$B$24),ISNUMBER('Inputs'!$B$28)),(('Results'!C7*(0.5*((((335-43)*MAX('Inputs'!$B$33,'Inputs'!$B$29+'Inputs'!$B$31+'Inputs'!$B$32,'Inputs'!$B$30+'Inputs'!$B$31+'Inputs'!$B$32)/1000+'Inputs'!$B$21)+'Inputs'!$B$9)/SQRT((((335-43)*MAX('Inputs'!$B$33,'Inputs'!$B$29+'Inputs'!$B$31+'Inputs'!$B$32,'Inputs'!$B$30+'Inputs'!$B$31+'Inputs'!$B$32)/1000+'Inputs'!$B$21)+'Inputs'!$B$9)^2+('Inputs'!$B$8/2)^2)-(((335-43)*MAX('Inputs'!$B$33,'Inputs'!$B$29+'Inputs'!$B$31+'Inputs'!$B$32,'Inputs'!$B$30+'Inputs'!$B$31+'Inputs'!$B$32)/1000+'Inputs'!$B$21))/SQRT((((335-43)*MAX('Inputs'!$B$33,'Inputs'!$B$29+'Inputs'!$B$31+'Inputs'!$B$32,'Inputs'!$B$30+'Inputs'!$B$31+'Inputs'!$B$32)/1000+'Inputs'!$B$21))^2+('Inputs'!$B$8/2)^2)))-'Results'!B7*(0.5*((((335-43)*MAX('Inputs'!$B$33,'Inputs'!$B$29+'Inputs'!$B$31+'Inputs'!$B$32,'Inputs'!$B$30+'Inputs'!$B$31+'Inputs'!$B$32)/1000+'Inputs'!$B$21+'Inputs'!$B$9+'Inputs'!$B$10)+'Inputs'!$B$7)/SQRT((((335-43)*MAX('Inputs'!$B$33,'Inputs'!$B$29+'Inputs'!$B$31+'Inputs'!$B$32,'Inputs'!$B$30+'Inputs'!$B$31+'Inputs'!$B$32)/1000+'Inputs'!$B$21+'Inputs'!$B$9+'Inputs'!$B$10)+'Inputs'!$B$7)^2+('Inputs'!$B$6/2)^2)-(((335-43)*MAX('Inputs'!$B$33,'Inputs'!$B$29+'Inputs'!$B$31+'Inputs'!$B$32,'Inputs'!$B$30+'Inputs'!$B$31+'Inputs'!$B$32)/1000+'Inputs'!$B$21+'Inputs'!$B$9+'Inputs'!$B$10))/SQRT((((335-43)*MAX('Inputs'!$B$33,'Inputs'!$B$29+'Inputs'!$B$31+'Inputs'!$B$32,'Inputs'!$B$30+'Inputs'!$B$31+'Inputs'!$B$32)/1000+'Inputs'!$B$21+'Inputs'!$B$9+'Inputs'!$B$10))^2+('Inputs'!$B$6/2)^2))))*'Results'!$B$8),"")</x:f>
        <x:v>23.054394243865133</x:v>
      </x:c>
      <x:c r="N335" t="n">
        <x:f>IF(AND(ISNUMBER('Results'!C7),ISNUMBER('Results'!B7),ISNUMBER('Results'!$B$8),ISNUMBER('Inputs'!$B$6),ISNUMBER('Inputs'!$B$7),ISNUMBER('Inputs'!$B$8),ISNUMBER('Inputs'!$B$9),ISNUMBER('Inputs'!$B$10),ISNUMBER('Inputs'!$B$21),ISNUMBER('Inputs'!$B$24),ISNUMBER('Inputs'!$B$28)),((('Results'!C7*(1-'Inputs'!$B$24)*(0.5*((((335-43)*MAX('Inputs'!$B$33,'Inputs'!$B$29+'Inputs'!$B$31+'Inputs'!$B$32,'Inputs'!$B$30+'Inputs'!$B$31+'Inputs'!$B$32)/1000+'Inputs'!$B$21)+'Inputs'!$B$9)/SQRT((((335-43)*MAX('Inputs'!$B$33,'Inputs'!$B$29+'Inputs'!$B$31+'Inputs'!$B$32,'Inputs'!$B$30+'Inputs'!$B$31+'Inputs'!$B$32)/1000+'Inputs'!$B$21)+'Inputs'!$B$9)^2+('Inputs'!$B$8/2)^2)-(((335-43)*MAX('Inputs'!$B$33,'Inputs'!$B$29+'Inputs'!$B$31+'Inputs'!$B$32,'Inputs'!$B$30+'Inputs'!$B$31+'Inputs'!$B$32)/1000+'Inputs'!$B$21))/SQRT((((335-43)*MAX('Inputs'!$B$33,'Inputs'!$B$29+'Inputs'!$B$31+'Inputs'!$B$32,'Inputs'!$B$30+'Inputs'!$B$31+'Inputs'!$B$32)/1000+'Inputs'!$B$21))^2+('Inputs'!$B$8/2)^2)))-'Results'!B7*(1+'Inputs'!$B$24)*(0.5*((((335-43)*MAX('Inputs'!$B$33,'Inputs'!$B$29+'Inputs'!$B$31+'Inputs'!$B$32,'Inputs'!$B$30+'Inputs'!$B$31+'Inputs'!$B$32)/1000+'Inputs'!$B$21+'Inputs'!$B$9+'Inputs'!$B$10)+'Inputs'!$B$7)/SQRT((((335-43)*MAX('Inputs'!$B$33,'Inputs'!$B$29+'Inputs'!$B$31+'Inputs'!$B$32,'Inputs'!$B$30+'Inputs'!$B$31+'Inputs'!$B$32)/1000+'Inputs'!$B$21+'Inputs'!$B$9+'Inputs'!$B$10)+'Inputs'!$B$7)^2+('Inputs'!$B$6/2)^2)-(((335-43)*MAX('Inputs'!$B$33,'Inputs'!$B$29+'Inputs'!$B$31+'Inputs'!$B$32,'Inputs'!$B$30+'Inputs'!$B$31+'Inputs'!$B$32)/1000+'Inputs'!$B$21+'Inputs'!$B$9+'Inputs'!$B$10))/SQRT((((335-43)*MAX('Inputs'!$B$33,'Inputs'!$B$29+'Inputs'!$B$31+'Inputs'!$B$32,'Inputs'!$B$30+'Inputs'!$B$31+'Inputs'!$B$32)/1000+'Inputs'!$B$21+'Inputs'!$B$9+'Inputs'!$B$10))^2+('Inputs'!$B$6/2)^2))))*'Results'!$B$8)-'Inputs'!$B$28*ABS((('Results'!C7*(1-'Inputs'!$B$24)*(0.5*((((335-43)*MAX('Inputs'!$B$33,'Inputs'!$B$29+'Inputs'!$B$31+'Inputs'!$B$32,'Inputs'!$B$30+'Inputs'!$B$31+'Inputs'!$B$32)/1000+'Inputs'!$B$21)+'Inputs'!$B$9)/SQRT((((335-43)*MAX('Inputs'!$B$33,'Inputs'!$B$29+'Inputs'!$B$31+'Inputs'!$B$32,'Inputs'!$B$30+'Inputs'!$B$31+'Inputs'!$B$32)/1000+'Inputs'!$B$21)+'Inputs'!$B$9)^2+('Inputs'!$B$8/2)^2)-(((335-43)*MAX('Inputs'!$B$33,'Inputs'!$B$29+'Inputs'!$B$31+'Inputs'!$B$32,'Inputs'!$B$30+'Inputs'!$B$31+'Inputs'!$B$32)/1000+'Inputs'!$B$21))/SQRT((((335-43)*MAX('Inputs'!$B$33,'Inputs'!$B$29+'Inputs'!$B$31+'Inputs'!$B$32,'Inputs'!$B$30+'Inputs'!$B$31+'Inputs'!$B$32)/1000+'Inputs'!$B$21))^2+('Inputs'!$B$8/2)^2)))-'Results'!B7*(1+'Inputs'!$B$24)*(0.5*((((335-43)*MAX('Inputs'!$B$33,'Inputs'!$B$29+'Inputs'!$B$31+'Inputs'!$B$32,'Inputs'!$B$30+'Inputs'!$B$31+'Inputs'!$B$32)/1000+'Inputs'!$B$21+'Inputs'!$B$9+'Inputs'!$B$10)+'Inputs'!$B$7)/SQRT((((335-43)*MAX('Inputs'!$B$33,'Inputs'!$B$29+'Inputs'!$B$31+'Inputs'!$B$32,'Inputs'!$B$30+'Inputs'!$B$31+'Inputs'!$B$32)/1000+'Inputs'!$B$21+'Inputs'!$B$9+'Inputs'!$B$10)+'Inputs'!$B$7)^2+('Inputs'!$B$6/2)^2)-(((335-43)*MAX('Inputs'!$B$33,'Inputs'!$B$29+'Inputs'!$B$31+'Inputs'!$B$32,'Inputs'!$B$30+'Inputs'!$B$31+'Inputs'!$B$32)/1000+'Inputs'!$B$21+'Inputs'!$B$9+'Inputs'!$B$10))/SQRT((((335-43)*MAX('Inputs'!$B$33,'Inputs'!$B$29+'Inputs'!$B$31+'Inputs'!$B$32,'Inputs'!$B$30+'Inputs'!$B$31+'Inputs'!$B$32)/1000+'Inputs'!$B$21+'Inputs'!$B$9+'Inputs'!$B$10))^2+('Inputs'!$B$6/2)^2))))*'Results'!$B$8))),"")</x:f>
        <x:v>20.841944344058493</x:v>
      </x:c>
      <x:c r="O335" t="n">
        <x:f>IF(AND(ISNUMBER('Results'!C7),ISNUMBER('Results'!B7),ISNUMBER('Results'!$B$8),ISNUMBER('Inputs'!$B$6),ISNUMBER('Inputs'!$B$7),ISNUMBER('Inputs'!$B$8),ISNUMBER('Inputs'!$B$9),ISNUMBER('Inputs'!$B$10),ISNUMBER('Inputs'!$B$21),ISNUMBER('Inputs'!$B$24),ISNUMBER('Inputs'!$B$28)),((('Results'!C7*(1+'Inputs'!$B$24)*(0.5*((((335-43)*MAX('Inputs'!$B$33,'Inputs'!$B$29+'Inputs'!$B$31+'Inputs'!$B$32,'Inputs'!$B$30+'Inputs'!$B$31+'Inputs'!$B$32)/1000+'Inputs'!$B$21)+'Inputs'!$B$9)/SQRT((((335-43)*MAX('Inputs'!$B$33,'Inputs'!$B$29+'Inputs'!$B$31+'Inputs'!$B$32,'Inputs'!$B$30+'Inputs'!$B$31+'Inputs'!$B$32)/1000+'Inputs'!$B$21)+'Inputs'!$B$9)^2+('Inputs'!$B$8/2)^2)-(((335-43)*MAX('Inputs'!$B$33,'Inputs'!$B$29+'Inputs'!$B$31+'Inputs'!$B$32,'Inputs'!$B$30+'Inputs'!$B$31+'Inputs'!$B$32)/1000+'Inputs'!$B$21))/SQRT((((335-43)*MAX('Inputs'!$B$33,'Inputs'!$B$29+'Inputs'!$B$31+'Inputs'!$B$32,'Inputs'!$B$30+'Inputs'!$B$31+'Inputs'!$B$32)/1000+'Inputs'!$B$21))^2+('Inputs'!$B$8/2)^2)))-'Results'!B7*(1-'Inputs'!$B$24)*(0.5*((((335-43)*MAX('Inputs'!$B$33,'Inputs'!$B$29+'Inputs'!$B$31+'Inputs'!$B$32,'Inputs'!$B$30+'Inputs'!$B$31+'Inputs'!$B$32)/1000+'Inputs'!$B$21+'Inputs'!$B$9+'Inputs'!$B$10)+'Inputs'!$B$7)/SQRT((((335-43)*MAX('Inputs'!$B$33,'Inputs'!$B$29+'Inputs'!$B$31+'Inputs'!$B$32,'Inputs'!$B$30+'Inputs'!$B$31+'Inputs'!$B$32)/1000+'Inputs'!$B$21+'Inputs'!$B$9+'Inputs'!$B$10)+'Inputs'!$B$7)^2+('Inputs'!$B$6/2)^2)-(((335-43)*MAX('Inputs'!$B$33,'Inputs'!$B$29+'Inputs'!$B$31+'Inputs'!$B$32,'Inputs'!$B$30+'Inputs'!$B$31+'Inputs'!$B$32)/1000+'Inputs'!$B$21+'Inputs'!$B$9+'Inputs'!$B$10))/SQRT((((335-43)*MAX('Inputs'!$B$33,'Inputs'!$B$29+'Inputs'!$B$31+'Inputs'!$B$32,'Inputs'!$B$30+'Inputs'!$B$31+'Inputs'!$B$32)/1000+'Inputs'!$B$21+'Inputs'!$B$9+'Inputs'!$B$10))^2+('Inputs'!$B$6/2)^2))))*'Results'!$B$8)+'Inputs'!$B$28*ABS((('Results'!C7*(1+'Inputs'!$B$24)*(0.5*((((335-43)*MAX('Inputs'!$B$33,'Inputs'!$B$29+'Inputs'!$B$31+'Inputs'!$B$32,'Inputs'!$B$30+'Inputs'!$B$31+'Inputs'!$B$32)/1000+'Inputs'!$B$21)+'Inputs'!$B$9)/SQRT((((335-43)*MAX('Inputs'!$B$33,'Inputs'!$B$29+'Inputs'!$B$31+'Inputs'!$B$32,'Inputs'!$B$30+'Inputs'!$B$31+'Inputs'!$B$32)/1000+'Inputs'!$B$21)+'Inputs'!$B$9)^2+('Inputs'!$B$8/2)^2)-(((335-43)*MAX('Inputs'!$B$33,'Inputs'!$B$29+'Inputs'!$B$31+'Inputs'!$B$32,'Inputs'!$B$30+'Inputs'!$B$31+'Inputs'!$B$32)/1000+'Inputs'!$B$21))/SQRT((((335-43)*MAX('Inputs'!$B$33,'Inputs'!$B$29+'Inputs'!$B$31+'Inputs'!$B$32,'Inputs'!$B$30+'Inputs'!$B$31+'Inputs'!$B$32)/1000+'Inputs'!$B$21))^2+('Inputs'!$B$8/2)^2)))-'Results'!B7*(1-'Inputs'!$B$24)*(0.5*((((335-43)*MAX('Inputs'!$B$33,'Inputs'!$B$29+'Inputs'!$B$31+'Inputs'!$B$32,'Inputs'!$B$30+'Inputs'!$B$31+'Inputs'!$B$32)/1000+'Inputs'!$B$21+'Inputs'!$B$9+'Inputs'!$B$10)+'Inputs'!$B$7)/SQRT((((335-43)*MAX('Inputs'!$B$33,'Inputs'!$B$29+'Inputs'!$B$31+'Inputs'!$B$32,'Inputs'!$B$30+'Inputs'!$B$31+'Inputs'!$B$32)/1000+'Inputs'!$B$21+'Inputs'!$B$9+'Inputs'!$B$10)+'Inputs'!$B$7)^2+('Inputs'!$B$6/2)^2)-(((335-43)*MAX('Inputs'!$B$33,'Inputs'!$B$29+'Inputs'!$B$31+'Inputs'!$B$32,'Inputs'!$B$30+'Inputs'!$B$31+'Inputs'!$B$32)/1000+'Inputs'!$B$21+'Inputs'!$B$9+'Inputs'!$B$10))/SQRT((((335-43)*MAX('Inputs'!$B$33,'Inputs'!$B$29+'Inputs'!$B$31+'Inputs'!$B$32,'Inputs'!$B$30+'Inputs'!$B$31+'Inputs'!$B$32)/1000+'Inputs'!$B$21+'Inputs'!$B$9+'Inputs'!$B$10))^2+('Inputs'!$B$6/2)^2))))*'Results'!$B$8))),"")</x:f>
        <x:v>25.37839468973634</x:v>
      </x:c>
      <x:c r="P335" t="n">
        <x:f>IF(AND(MAX(J335,J334)&gt;0,J335&gt;J334+0.00000001),1,0)</x:f>
        <x:v>0</x:v>
      </x:c>
      <x:c r="Q335" t="n">
        <x:f>IF(AND(MAX(K335,K334)&gt;0,K335&gt;K334+0.00000001),1,0)</x:f>
        <x:v>0</x:v>
      </x:c>
      <x:c r="R335" t="n">
        <x:f>IF(AND(MAX(L335,L334)&gt;0,L335&gt;L334+0.00000001),1,0)</x:f>
        <x:v>0</x:v>
      </x:c>
      <x:c r="S335" t="n">
        <x:f>IF(AND(MAX(M335,M334)&gt;0,M335&gt;M334+0.00000001),1,0)</x:f>
        <x:v>0</x:v>
      </x:c>
      <x:c r="T335" t="n">
        <x:f>IF(AND(MAX(N335,N334)&gt;0,N335&gt;N334+0.00000001),1,0)</x:f>
        <x:v>0</x:v>
      </x:c>
      <x:c r="U335" t="n">
        <x:f>IF(AND(MAX(O335,O334)&gt;0,O335&gt;O334+0.00000001),1,0)</x:f>
        <x:v>0</x:v>
      </x:c>
    </x:row>
    <x:row r="336">
      <x:c r="J336" t="n">
        <x:f>IF(AND(ISNUMBER('Results'!B7),ISNUMBER('Results'!C7),ISNUMBER('Results'!$B$8),ISNUMBER('Inputs'!$B$6),ISNUMBER('Inputs'!$B$7),ISNUMBER('Inputs'!$B$8),ISNUMBER('Inputs'!$B$9),ISNUMBER('Inputs'!$B$10),ISNUMBER('Inputs'!$B$21),ISNUMBER('Inputs'!$B$24),ISNUMBER('Inputs'!$B$28)),(('Results'!B7*(0.5*((((336-43)*MAX('Inputs'!$B$33,'Inputs'!$B$29+'Inputs'!$B$31+'Inputs'!$B$32,'Inputs'!$B$30+'Inputs'!$B$31+'Inputs'!$B$32)/1000+'Inputs'!$B$21)+'Inputs'!$B$7)/SQRT((((336-43)*MAX('Inputs'!$B$33,'Inputs'!$B$29+'Inputs'!$B$31+'Inputs'!$B$32,'Inputs'!$B$30+'Inputs'!$B$31+'Inputs'!$B$32)/1000+'Inputs'!$B$21)+'Inputs'!$B$7)^2+('Inputs'!$B$6/2)^2)-(((336-43)*MAX('Inputs'!$B$33,'Inputs'!$B$29+'Inputs'!$B$31+'Inputs'!$B$32,'Inputs'!$B$30+'Inputs'!$B$31+'Inputs'!$B$32)/1000+'Inputs'!$B$21))/SQRT((((336-43)*MAX('Inputs'!$B$33,'Inputs'!$B$29+'Inputs'!$B$31+'Inputs'!$B$32,'Inputs'!$B$30+'Inputs'!$B$31+'Inputs'!$B$32)/1000+'Inputs'!$B$21))^2+('Inputs'!$B$6/2)^2)))-'Results'!C7*(0.5*((((336-43)*MAX('Inputs'!$B$33,'Inputs'!$B$29+'Inputs'!$B$31+'Inputs'!$B$32,'Inputs'!$B$30+'Inputs'!$B$31+'Inputs'!$B$32)/1000+'Inputs'!$B$21+'Inputs'!$B$7+'Inputs'!$B$10)+'Inputs'!$B$9)/SQRT((((336-43)*MAX('Inputs'!$B$33,'Inputs'!$B$29+'Inputs'!$B$31+'Inputs'!$B$32,'Inputs'!$B$30+'Inputs'!$B$31+'Inputs'!$B$32)/1000+'Inputs'!$B$21+'Inputs'!$B$7+'Inputs'!$B$10)+'Inputs'!$B$9)^2+('Inputs'!$B$8/2)^2)-(((336-43)*MAX('Inputs'!$B$33,'Inputs'!$B$29+'Inputs'!$B$31+'Inputs'!$B$32,'Inputs'!$B$30+'Inputs'!$B$31+'Inputs'!$B$32)/1000+'Inputs'!$B$21+'Inputs'!$B$7+'Inputs'!$B$10))/SQRT((((336-43)*MAX('Inputs'!$B$33,'Inputs'!$B$29+'Inputs'!$B$31+'Inputs'!$B$32,'Inputs'!$B$30+'Inputs'!$B$31+'Inputs'!$B$32)/1000+'Inputs'!$B$21+'Inputs'!$B$7+'Inputs'!$B$10))^2+('Inputs'!$B$8/2)^2))))*'Results'!$B$8),"")</x:f>
        <x:v>23.931992854354768</x:v>
      </x:c>
      <x:c r="K336" t="n">
        <x:f>IF(AND(ISNUMBER('Results'!B7),ISNUMBER('Results'!C7),ISNUMBER('Results'!$B$8),ISNUMBER('Inputs'!$B$6),ISNUMBER('Inputs'!$B$7),ISNUMBER('Inputs'!$B$8),ISNUMBER('Inputs'!$B$9),ISNUMBER('Inputs'!$B$10),ISNUMBER('Inputs'!$B$21),ISNUMBER('Inputs'!$B$24),ISNUMBER('Inputs'!$B$28)),((('Results'!B7*(1-'Inputs'!$B$24)*(0.5*((((336-43)*MAX('Inputs'!$B$33,'Inputs'!$B$29+'Inputs'!$B$31+'Inputs'!$B$32,'Inputs'!$B$30+'Inputs'!$B$31+'Inputs'!$B$32)/1000+'Inputs'!$B$21)+'Inputs'!$B$7)/SQRT((((336-43)*MAX('Inputs'!$B$33,'Inputs'!$B$29+'Inputs'!$B$31+'Inputs'!$B$32,'Inputs'!$B$30+'Inputs'!$B$31+'Inputs'!$B$32)/1000+'Inputs'!$B$21)+'Inputs'!$B$7)^2+('Inputs'!$B$6/2)^2)-(((336-43)*MAX('Inputs'!$B$33,'Inputs'!$B$29+'Inputs'!$B$31+'Inputs'!$B$32,'Inputs'!$B$30+'Inputs'!$B$31+'Inputs'!$B$32)/1000+'Inputs'!$B$21))/SQRT((((336-43)*MAX('Inputs'!$B$33,'Inputs'!$B$29+'Inputs'!$B$31+'Inputs'!$B$32,'Inputs'!$B$30+'Inputs'!$B$31+'Inputs'!$B$32)/1000+'Inputs'!$B$21))^2+('Inputs'!$B$6/2)^2)))-'Results'!C7*(1+'Inputs'!$B$24)*(0.5*((((336-43)*MAX('Inputs'!$B$33,'Inputs'!$B$29+'Inputs'!$B$31+'Inputs'!$B$32,'Inputs'!$B$30+'Inputs'!$B$31+'Inputs'!$B$32)/1000+'Inputs'!$B$21+'Inputs'!$B$7+'Inputs'!$B$10)+'Inputs'!$B$9)/SQRT((((336-43)*MAX('Inputs'!$B$33,'Inputs'!$B$29+'Inputs'!$B$31+'Inputs'!$B$32,'Inputs'!$B$30+'Inputs'!$B$31+'Inputs'!$B$32)/1000+'Inputs'!$B$21+'Inputs'!$B$7+'Inputs'!$B$10)+'Inputs'!$B$9)^2+('Inputs'!$B$8/2)^2)-(((336-43)*MAX('Inputs'!$B$33,'Inputs'!$B$29+'Inputs'!$B$31+'Inputs'!$B$32,'Inputs'!$B$30+'Inputs'!$B$31+'Inputs'!$B$32)/1000+'Inputs'!$B$21+'Inputs'!$B$7+'Inputs'!$B$10))/SQRT((((336-43)*MAX('Inputs'!$B$33,'Inputs'!$B$29+'Inputs'!$B$31+'Inputs'!$B$32,'Inputs'!$B$30+'Inputs'!$B$31+'Inputs'!$B$32)/1000+'Inputs'!$B$21+'Inputs'!$B$7+'Inputs'!$B$10))^2+('Inputs'!$B$8/2)^2))))*'Results'!$B$8)-'Inputs'!$B$28*ABS((('Results'!B7*(1-'Inputs'!$B$24)*(0.5*((((336-43)*MAX('Inputs'!$B$33,'Inputs'!$B$29+'Inputs'!$B$31+'Inputs'!$B$32,'Inputs'!$B$30+'Inputs'!$B$31+'Inputs'!$B$32)/1000+'Inputs'!$B$21)+'Inputs'!$B$7)/SQRT((((336-43)*MAX('Inputs'!$B$33,'Inputs'!$B$29+'Inputs'!$B$31+'Inputs'!$B$32,'Inputs'!$B$30+'Inputs'!$B$31+'Inputs'!$B$32)/1000+'Inputs'!$B$21)+'Inputs'!$B$7)^2+('Inputs'!$B$6/2)^2)-(((336-43)*MAX('Inputs'!$B$33,'Inputs'!$B$29+'Inputs'!$B$31+'Inputs'!$B$32,'Inputs'!$B$30+'Inputs'!$B$31+'Inputs'!$B$32)/1000+'Inputs'!$B$21))/SQRT((((336-43)*MAX('Inputs'!$B$33,'Inputs'!$B$29+'Inputs'!$B$31+'Inputs'!$B$32,'Inputs'!$B$30+'Inputs'!$B$31+'Inputs'!$B$32)/1000+'Inputs'!$B$21))^2+('Inputs'!$B$6/2)^2)))-'Results'!C7*(1+'Inputs'!$B$24)*(0.5*((((336-43)*MAX('Inputs'!$B$33,'Inputs'!$B$29+'Inputs'!$B$31+'Inputs'!$B$32,'Inputs'!$B$30+'Inputs'!$B$31+'Inputs'!$B$32)/1000+'Inputs'!$B$21+'Inputs'!$B$7+'Inputs'!$B$10)+'Inputs'!$B$9)/SQRT((((336-43)*MAX('Inputs'!$B$33,'Inputs'!$B$29+'Inputs'!$B$31+'Inputs'!$B$32,'Inputs'!$B$30+'Inputs'!$B$31+'Inputs'!$B$32)/1000+'Inputs'!$B$21+'Inputs'!$B$7+'Inputs'!$B$10)+'Inputs'!$B$9)^2+('Inputs'!$B$8/2)^2)-(((336-43)*MAX('Inputs'!$B$33,'Inputs'!$B$29+'Inputs'!$B$31+'Inputs'!$B$32,'Inputs'!$B$30+'Inputs'!$B$31+'Inputs'!$B$32)/1000+'Inputs'!$B$21+'Inputs'!$B$7+'Inputs'!$B$10))/SQRT((((336-43)*MAX('Inputs'!$B$33,'Inputs'!$B$29+'Inputs'!$B$31+'Inputs'!$B$32,'Inputs'!$B$30+'Inputs'!$B$31+'Inputs'!$B$32)/1000+'Inputs'!$B$21+'Inputs'!$B$7+'Inputs'!$B$10))^2+('Inputs'!$B$8/2)^2))))*'Results'!$B$8))),"")</x:f>
        <x:v>21.67555634756942</x:v>
      </x:c>
      <x:c r="L336" t="n">
        <x:f>IF(AND(ISNUMBER('Results'!B7),ISNUMBER('Results'!C7),ISNUMBER('Results'!$B$8),ISNUMBER('Inputs'!$B$6),ISNUMBER('Inputs'!$B$7),ISNUMBER('Inputs'!$B$8),ISNUMBER('Inputs'!$B$9),ISNUMBER('Inputs'!$B$10),ISNUMBER('Inputs'!$B$21),ISNUMBER('Inputs'!$B$24),ISNUMBER('Inputs'!$B$28)),((('Results'!B7*(1+'Inputs'!$B$24)*(0.5*((((336-43)*MAX('Inputs'!$B$33,'Inputs'!$B$29+'Inputs'!$B$31+'Inputs'!$B$32,'Inputs'!$B$30+'Inputs'!$B$31+'Inputs'!$B$32)/1000+'Inputs'!$B$21)+'Inputs'!$B$7)/SQRT((((336-43)*MAX('Inputs'!$B$33,'Inputs'!$B$29+'Inputs'!$B$31+'Inputs'!$B$32,'Inputs'!$B$30+'Inputs'!$B$31+'Inputs'!$B$32)/1000+'Inputs'!$B$21)+'Inputs'!$B$7)^2+('Inputs'!$B$6/2)^2)-(((336-43)*MAX('Inputs'!$B$33,'Inputs'!$B$29+'Inputs'!$B$31+'Inputs'!$B$32,'Inputs'!$B$30+'Inputs'!$B$31+'Inputs'!$B$32)/1000+'Inputs'!$B$21))/SQRT((((336-43)*MAX('Inputs'!$B$33,'Inputs'!$B$29+'Inputs'!$B$31+'Inputs'!$B$32,'Inputs'!$B$30+'Inputs'!$B$31+'Inputs'!$B$32)/1000+'Inputs'!$B$21))^2+('Inputs'!$B$6/2)^2)))-'Results'!C7*(1-'Inputs'!$B$24)*(0.5*((((336-43)*MAX('Inputs'!$B$33,'Inputs'!$B$29+'Inputs'!$B$31+'Inputs'!$B$32,'Inputs'!$B$30+'Inputs'!$B$31+'Inputs'!$B$32)/1000+'Inputs'!$B$21+'Inputs'!$B$7+'Inputs'!$B$10)+'Inputs'!$B$9)/SQRT((((336-43)*MAX('Inputs'!$B$33,'Inputs'!$B$29+'Inputs'!$B$31+'Inputs'!$B$32,'Inputs'!$B$30+'Inputs'!$B$31+'Inputs'!$B$32)/1000+'Inputs'!$B$21+'Inputs'!$B$7+'Inputs'!$B$10)+'Inputs'!$B$9)^2+('Inputs'!$B$8/2)^2)-(((336-43)*MAX('Inputs'!$B$33,'Inputs'!$B$29+'Inputs'!$B$31+'Inputs'!$B$32,'Inputs'!$B$30+'Inputs'!$B$31+'Inputs'!$B$32)/1000+'Inputs'!$B$21+'Inputs'!$B$7+'Inputs'!$B$10))/SQRT((((336-43)*MAX('Inputs'!$B$33,'Inputs'!$B$29+'Inputs'!$B$31+'Inputs'!$B$32,'Inputs'!$B$30+'Inputs'!$B$31+'Inputs'!$B$32)/1000+'Inputs'!$B$21+'Inputs'!$B$7+'Inputs'!$B$10))^2+('Inputs'!$B$8/2)^2))))*'Results'!$B$8)+'Inputs'!$B$28*ABS((('Results'!B7*(1+'Inputs'!$B$24)*(0.5*((((336-43)*MAX('Inputs'!$B$33,'Inputs'!$B$29+'Inputs'!$B$31+'Inputs'!$B$32,'Inputs'!$B$30+'Inputs'!$B$31+'Inputs'!$B$32)/1000+'Inputs'!$B$21)+'Inputs'!$B$7)/SQRT((((336-43)*MAX('Inputs'!$B$33,'Inputs'!$B$29+'Inputs'!$B$31+'Inputs'!$B$32,'Inputs'!$B$30+'Inputs'!$B$31+'Inputs'!$B$32)/1000+'Inputs'!$B$21)+'Inputs'!$B$7)^2+('Inputs'!$B$6/2)^2)-(((336-43)*MAX('Inputs'!$B$33,'Inputs'!$B$29+'Inputs'!$B$31+'Inputs'!$B$32,'Inputs'!$B$30+'Inputs'!$B$31+'Inputs'!$B$32)/1000+'Inputs'!$B$21))/SQRT((((336-43)*MAX('Inputs'!$B$33,'Inputs'!$B$29+'Inputs'!$B$31+'Inputs'!$B$32,'Inputs'!$B$30+'Inputs'!$B$31+'Inputs'!$B$32)/1000+'Inputs'!$B$21))^2+('Inputs'!$B$6/2)^2)))-'Results'!C7*(1-'Inputs'!$B$24)*(0.5*((((336-43)*MAX('Inputs'!$B$33,'Inputs'!$B$29+'Inputs'!$B$31+'Inputs'!$B$32,'Inputs'!$B$30+'Inputs'!$B$31+'Inputs'!$B$32)/1000+'Inputs'!$B$21+'Inputs'!$B$7+'Inputs'!$B$10)+'Inputs'!$B$9)/SQRT((((336-43)*MAX('Inputs'!$B$33,'Inputs'!$B$29+'Inputs'!$B$31+'Inputs'!$B$32,'Inputs'!$B$30+'Inputs'!$B$31+'Inputs'!$B$32)/1000+'Inputs'!$B$21+'Inputs'!$B$7+'Inputs'!$B$10)+'Inputs'!$B$9)^2+('Inputs'!$B$8/2)^2)-(((336-43)*MAX('Inputs'!$B$33,'Inputs'!$B$29+'Inputs'!$B$31+'Inputs'!$B$32,'Inputs'!$B$30+'Inputs'!$B$31+'Inputs'!$B$32)/1000+'Inputs'!$B$21+'Inputs'!$B$7+'Inputs'!$B$10))/SQRT((((336-43)*MAX('Inputs'!$B$33,'Inputs'!$B$29+'Inputs'!$B$31+'Inputs'!$B$32,'Inputs'!$B$30+'Inputs'!$B$31+'Inputs'!$B$32)/1000+'Inputs'!$B$21+'Inputs'!$B$7+'Inputs'!$B$10))^2+('Inputs'!$B$8/2)^2))))*'Results'!$B$8))),"")</x:f>
        <x:v>26.29999113630513</x:v>
      </x:c>
      <x:c r="M336" t="n">
        <x:f>IF(AND(ISNUMBER('Results'!C7),ISNUMBER('Results'!B7),ISNUMBER('Results'!$B$8),ISNUMBER('Inputs'!$B$6),ISNUMBER('Inputs'!$B$7),ISNUMBER('Inputs'!$B$8),ISNUMBER('Inputs'!$B$9),ISNUMBER('Inputs'!$B$10),ISNUMBER('Inputs'!$B$21),ISNUMBER('Inputs'!$B$24),ISNUMBER('Inputs'!$B$28)),(('Results'!C7*(0.5*((((336-43)*MAX('Inputs'!$B$33,'Inputs'!$B$29+'Inputs'!$B$31+'Inputs'!$B$32,'Inputs'!$B$30+'Inputs'!$B$31+'Inputs'!$B$32)/1000+'Inputs'!$B$21)+'Inputs'!$B$9)/SQRT((((336-43)*MAX('Inputs'!$B$33,'Inputs'!$B$29+'Inputs'!$B$31+'Inputs'!$B$32,'Inputs'!$B$30+'Inputs'!$B$31+'Inputs'!$B$32)/1000+'Inputs'!$B$21)+'Inputs'!$B$9)^2+('Inputs'!$B$8/2)^2)-(((336-43)*MAX('Inputs'!$B$33,'Inputs'!$B$29+'Inputs'!$B$31+'Inputs'!$B$32,'Inputs'!$B$30+'Inputs'!$B$31+'Inputs'!$B$32)/1000+'Inputs'!$B$21))/SQRT((((336-43)*MAX('Inputs'!$B$33,'Inputs'!$B$29+'Inputs'!$B$31+'Inputs'!$B$32,'Inputs'!$B$30+'Inputs'!$B$31+'Inputs'!$B$32)/1000+'Inputs'!$B$21))^2+('Inputs'!$B$8/2)^2)))-'Results'!B7*(0.5*((((336-43)*MAX('Inputs'!$B$33,'Inputs'!$B$29+'Inputs'!$B$31+'Inputs'!$B$32,'Inputs'!$B$30+'Inputs'!$B$31+'Inputs'!$B$32)/1000+'Inputs'!$B$21+'Inputs'!$B$9+'Inputs'!$B$10)+'Inputs'!$B$7)/SQRT((((336-43)*MAX('Inputs'!$B$33,'Inputs'!$B$29+'Inputs'!$B$31+'Inputs'!$B$32,'Inputs'!$B$30+'Inputs'!$B$31+'Inputs'!$B$32)/1000+'Inputs'!$B$21+'Inputs'!$B$9+'Inputs'!$B$10)+'Inputs'!$B$7)^2+('Inputs'!$B$6/2)^2)-(((336-43)*MAX('Inputs'!$B$33,'Inputs'!$B$29+'Inputs'!$B$31+'Inputs'!$B$32,'Inputs'!$B$30+'Inputs'!$B$31+'Inputs'!$B$32)/1000+'Inputs'!$B$21+'Inputs'!$B$9+'Inputs'!$B$10))/SQRT((((336-43)*MAX('Inputs'!$B$33,'Inputs'!$B$29+'Inputs'!$B$31+'Inputs'!$B$32,'Inputs'!$B$30+'Inputs'!$B$31+'Inputs'!$B$32)/1000+'Inputs'!$B$21+'Inputs'!$B$9+'Inputs'!$B$10))^2+('Inputs'!$B$6/2)^2))))*'Results'!$B$8),"")</x:f>
        <x:v>22.809875328270333</x:v>
      </x:c>
      <x:c r="N336" t="n">
        <x:f>IF(AND(ISNUMBER('Results'!C7),ISNUMBER('Results'!B7),ISNUMBER('Results'!$B$8),ISNUMBER('Inputs'!$B$6),ISNUMBER('Inputs'!$B$7),ISNUMBER('Inputs'!$B$8),ISNUMBER('Inputs'!$B$9),ISNUMBER('Inputs'!$B$10),ISNUMBER('Inputs'!$B$21),ISNUMBER('Inputs'!$B$24),ISNUMBER('Inputs'!$B$28)),((('Results'!C7*(1-'Inputs'!$B$24)*(0.5*((((336-43)*MAX('Inputs'!$B$33,'Inputs'!$B$29+'Inputs'!$B$31+'Inputs'!$B$32,'Inputs'!$B$30+'Inputs'!$B$31+'Inputs'!$B$32)/1000+'Inputs'!$B$21)+'Inputs'!$B$9)/SQRT((((336-43)*MAX('Inputs'!$B$33,'Inputs'!$B$29+'Inputs'!$B$31+'Inputs'!$B$32,'Inputs'!$B$30+'Inputs'!$B$31+'Inputs'!$B$32)/1000+'Inputs'!$B$21)+'Inputs'!$B$9)^2+('Inputs'!$B$8/2)^2)-(((336-43)*MAX('Inputs'!$B$33,'Inputs'!$B$29+'Inputs'!$B$31+'Inputs'!$B$32,'Inputs'!$B$30+'Inputs'!$B$31+'Inputs'!$B$32)/1000+'Inputs'!$B$21))/SQRT((((336-43)*MAX('Inputs'!$B$33,'Inputs'!$B$29+'Inputs'!$B$31+'Inputs'!$B$32,'Inputs'!$B$30+'Inputs'!$B$31+'Inputs'!$B$32)/1000+'Inputs'!$B$21))^2+('Inputs'!$B$8/2)^2)))-'Results'!B7*(1+'Inputs'!$B$24)*(0.5*((((336-43)*MAX('Inputs'!$B$33,'Inputs'!$B$29+'Inputs'!$B$31+'Inputs'!$B$32,'Inputs'!$B$30+'Inputs'!$B$31+'Inputs'!$B$32)/1000+'Inputs'!$B$21+'Inputs'!$B$9+'Inputs'!$B$10)+'Inputs'!$B$7)/SQRT((((336-43)*MAX('Inputs'!$B$33,'Inputs'!$B$29+'Inputs'!$B$31+'Inputs'!$B$32,'Inputs'!$B$30+'Inputs'!$B$31+'Inputs'!$B$32)/1000+'Inputs'!$B$21+'Inputs'!$B$9+'Inputs'!$B$10)+'Inputs'!$B$7)^2+('Inputs'!$B$6/2)^2)-(((336-43)*MAX('Inputs'!$B$33,'Inputs'!$B$29+'Inputs'!$B$31+'Inputs'!$B$32,'Inputs'!$B$30+'Inputs'!$B$31+'Inputs'!$B$32)/1000+'Inputs'!$B$21+'Inputs'!$B$9+'Inputs'!$B$10))/SQRT((((336-43)*MAX('Inputs'!$B$33,'Inputs'!$B$29+'Inputs'!$B$31+'Inputs'!$B$32,'Inputs'!$B$30+'Inputs'!$B$31+'Inputs'!$B$32)/1000+'Inputs'!$B$21+'Inputs'!$B$9+'Inputs'!$B$10))^2+('Inputs'!$B$6/2)^2))))*'Results'!$B$8)-'Inputs'!$B$28*ABS((('Results'!C7*(1-'Inputs'!$B$24)*(0.5*((((336-43)*MAX('Inputs'!$B$33,'Inputs'!$B$29+'Inputs'!$B$31+'Inputs'!$B$32,'Inputs'!$B$30+'Inputs'!$B$31+'Inputs'!$B$32)/1000+'Inputs'!$B$21)+'Inputs'!$B$9)/SQRT((((336-43)*MAX('Inputs'!$B$33,'Inputs'!$B$29+'Inputs'!$B$31+'Inputs'!$B$32,'Inputs'!$B$30+'Inputs'!$B$31+'Inputs'!$B$32)/1000+'Inputs'!$B$21)+'Inputs'!$B$9)^2+('Inputs'!$B$8/2)^2)-(((336-43)*MAX('Inputs'!$B$33,'Inputs'!$B$29+'Inputs'!$B$31+'Inputs'!$B$32,'Inputs'!$B$30+'Inputs'!$B$31+'Inputs'!$B$32)/1000+'Inputs'!$B$21))/SQRT((((336-43)*MAX('Inputs'!$B$33,'Inputs'!$B$29+'Inputs'!$B$31+'Inputs'!$B$32,'Inputs'!$B$30+'Inputs'!$B$31+'Inputs'!$B$32)/1000+'Inputs'!$B$21))^2+('Inputs'!$B$8/2)^2)))-'Results'!B7*(1+'Inputs'!$B$24)*(0.5*((((336-43)*MAX('Inputs'!$B$33,'Inputs'!$B$29+'Inputs'!$B$31+'Inputs'!$B$32,'Inputs'!$B$30+'Inputs'!$B$31+'Inputs'!$B$32)/1000+'Inputs'!$B$21+'Inputs'!$B$9+'Inputs'!$B$10)+'Inputs'!$B$7)/SQRT((((336-43)*MAX('Inputs'!$B$33,'Inputs'!$B$29+'Inputs'!$B$31+'Inputs'!$B$32,'Inputs'!$B$30+'Inputs'!$B$31+'Inputs'!$B$32)/1000+'Inputs'!$B$21+'Inputs'!$B$9+'Inputs'!$B$10)+'Inputs'!$B$7)^2+('Inputs'!$B$6/2)^2)-(((336-43)*MAX('Inputs'!$B$33,'Inputs'!$B$29+'Inputs'!$B$31+'Inputs'!$B$32,'Inputs'!$B$30+'Inputs'!$B$31+'Inputs'!$B$32)/1000+'Inputs'!$B$21+'Inputs'!$B$9+'Inputs'!$B$10))/SQRT((((336-43)*MAX('Inputs'!$B$33,'Inputs'!$B$29+'Inputs'!$B$31+'Inputs'!$B$32,'Inputs'!$B$30+'Inputs'!$B$31+'Inputs'!$B$32)/1000+'Inputs'!$B$21+'Inputs'!$B$9+'Inputs'!$B$10))^2+('Inputs'!$B$6/2)^2))))*'Results'!$B$8))),"")</x:f>
        <x:v>20.618515359359606</x:v>
      </x:c>
      <x:c r="O336" t="n">
        <x:f>IF(AND(ISNUMBER('Results'!C7),ISNUMBER('Results'!B7),ISNUMBER('Results'!$B$8),ISNUMBER('Inputs'!$B$6),ISNUMBER('Inputs'!$B$7),ISNUMBER('Inputs'!$B$8),ISNUMBER('Inputs'!$B$9),ISNUMBER('Inputs'!$B$10),ISNUMBER('Inputs'!$B$21),ISNUMBER('Inputs'!$B$24),ISNUMBER('Inputs'!$B$28)),((('Results'!C7*(1+'Inputs'!$B$24)*(0.5*((((336-43)*MAX('Inputs'!$B$33,'Inputs'!$B$29+'Inputs'!$B$31+'Inputs'!$B$32,'Inputs'!$B$30+'Inputs'!$B$31+'Inputs'!$B$32)/1000+'Inputs'!$B$21)+'Inputs'!$B$9)/SQRT((((336-43)*MAX('Inputs'!$B$33,'Inputs'!$B$29+'Inputs'!$B$31+'Inputs'!$B$32,'Inputs'!$B$30+'Inputs'!$B$31+'Inputs'!$B$32)/1000+'Inputs'!$B$21)+'Inputs'!$B$9)^2+('Inputs'!$B$8/2)^2)-(((336-43)*MAX('Inputs'!$B$33,'Inputs'!$B$29+'Inputs'!$B$31+'Inputs'!$B$32,'Inputs'!$B$30+'Inputs'!$B$31+'Inputs'!$B$32)/1000+'Inputs'!$B$21))/SQRT((((336-43)*MAX('Inputs'!$B$33,'Inputs'!$B$29+'Inputs'!$B$31+'Inputs'!$B$32,'Inputs'!$B$30+'Inputs'!$B$31+'Inputs'!$B$32)/1000+'Inputs'!$B$21))^2+('Inputs'!$B$8/2)^2)))-'Results'!B7*(1-'Inputs'!$B$24)*(0.5*((((336-43)*MAX('Inputs'!$B$33,'Inputs'!$B$29+'Inputs'!$B$31+'Inputs'!$B$32,'Inputs'!$B$30+'Inputs'!$B$31+'Inputs'!$B$32)/1000+'Inputs'!$B$21+'Inputs'!$B$9+'Inputs'!$B$10)+'Inputs'!$B$7)/SQRT((((336-43)*MAX('Inputs'!$B$33,'Inputs'!$B$29+'Inputs'!$B$31+'Inputs'!$B$32,'Inputs'!$B$30+'Inputs'!$B$31+'Inputs'!$B$32)/1000+'Inputs'!$B$21+'Inputs'!$B$9+'Inputs'!$B$10)+'Inputs'!$B$7)^2+('Inputs'!$B$6/2)^2)-(((336-43)*MAX('Inputs'!$B$33,'Inputs'!$B$29+'Inputs'!$B$31+'Inputs'!$B$32,'Inputs'!$B$30+'Inputs'!$B$31+'Inputs'!$B$32)/1000+'Inputs'!$B$21+'Inputs'!$B$9+'Inputs'!$B$10))/SQRT((((336-43)*MAX('Inputs'!$B$33,'Inputs'!$B$29+'Inputs'!$B$31+'Inputs'!$B$32,'Inputs'!$B$30+'Inputs'!$B$31+'Inputs'!$B$32)/1000+'Inputs'!$B$21+'Inputs'!$B$9+'Inputs'!$B$10))^2+('Inputs'!$B$6/2)^2))))*'Results'!$B$8)+'Inputs'!$B$28*ABS((('Results'!C7*(1+'Inputs'!$B$24)*(0.5*((((336-43)*MAX('Inputs'!$B$33,'Inputs'!$B$29+'Inputs'!$B$31+'Inputs'!$B$32,'Inputs'!$B$30+'Inputs'!$B$31+'Inputs'!$B$32)/1000+'Inputs'!$B$21)+'Inputs'!$B$9)/SQRT((((336-43)*MAX('Inputs'!$B$33,'Inputs'!$B$29+'Inputs'!$B$31+'Inputs'!$B$32,'Inputs'!$B$30+'Inputs'!$B$31+'Inputs'!$B$32)/1000+'Inputs'!$B$21)+'Inputs'!$B$9)^2+('Inputs'!$B$8/2)^2)-(((336-43)*MAX('Inputs'!$B$33,'Inputs'!$B$29+'Inputs'!$B$31+'Inputs'!$B$32,'Inputs'!$B$30+'Inputs'!$B$31+'Inputs'!$B$32)/1000+'Inputs'!$B$21))/SQRT((((336-43)*MAX('Inputs'!$B$33,'Inputs'!$B$29+'Inputs'!$B$31+'Inputs'!$B$32,'Inputs'!$B$30+'Inputs'!$B$31+'Inputs'!$B$32)/1000+'Inputs'!$B$21))^2+('Inputs'!$B$8/2)^2)))-'Results'!B7*(1-'Inputs'!$B$24)*(0.5*((((336-43)*MAX('Inputs'!$B$33,'Inputs'!$B$29+'Inputs'!$B$31+'Inputs'!$B$32,'Inputs'!$B$30+'Inputs'!$B$31+'Inputs'!$B$32)/1000+'Inputs'!$B$21+'Inputs'!$B$9+'Inputs'!$B$10)+'Inputs'!$B$7)/SQRT((((336-43)*MAX('Inputs'!$B$33,'Inputs'!$B$29+'Inputs'!$B$31+'Inputs'!$B$32,'Inputs'!$B$30+'Inputs'!$B$31+'Inputs'!$B$32)/1000+'Inputs'!$B$21+'Inputs'!$B$9+'Inputs'!$B$10)+'Inputs'!$B$7)^2+('Inputs'!$B$6/2)^2)-(((336-43)*MAX('Inputs'!$B$33,'Inputs'!$B$29+'Inputs'!$B$31+'Inputs'!$B$32,'Inputs'!$B$30+'Inputs'!$B$31+'Inputs'!$B$32)/1000+'Inputs'!$B$21+'Inputs'!$B$9+'Inputs'!$B$10))/SQRT((((336-43)*MAX('Inputs'!$B$33,'Inputs'!$B$29+'Inputs'!$B$31+'Inputs'!$B$32,'Inputs'!$B$30+'Inputs'!$B$31+'Inputs'!$B$32)/1000+'Inputs'!$B$21+'Inputs'!$B$9+'Inputs'!$B$10))^2+('Inputs'!$B$6/2)^2))))*'Results'!$B$8))),"")</x:f>
        <x:v>25.111852792180777</x:v>
      </x:c>
      <x:c r="P336" t="n">
        <x:f>IF(AND(MAX(J336,J335)&gt;0,J336&gt;J335+0.00000001),1,0)</x:f>
        <x:v>0</x:v>
      </x:c>
      <x:c r="Q336" t="n">
        <x:f>IF(AND(MAX(K336,K335)&gt;0,K336&gt;K335+0.00000001),1,0)</x:f>
        <x:v>0</x:v>
      </x:c>
      <x:c r="R336" t="n">
        <x:f>IF(AND(MAX(L336,L335)&gt;0,L336&gt;L335+0.00000001),1,0)</x:f>
        <x:v>0</x:v>
      </x:c>
      <x:c r="S336" t="n">
        <x:f>IF(AND(MAX(M336,M335)&gt;0,M336&gt;M335+0.00000001),1,0)</x:f>
        <x:v>0</x:v>
      </x:c>
      <x:c r="T336" t="n">
        <x:f>IF(AND(MAX(N336,N335)&gt;0,N336&gt;N335+0.00000001),1,0)</x:f>
        <x:v>0</x:v>
      </x:c>
      <x:c r="U336" t="n">
        <x:f>IF(AND(MAX(O336,O335)&gt;0,O336&gt;O335+0.00000001),1,0)</x:f>
        <x:v>0</x:v>
      </x:c>
    </x:row>
    <x:row r="337">
      <x:c r="J337" t="n">
        <x:f>IF(AND(ISNUMBER('Results'!B7),ISNUMBER('Results'!C7),ISNUMBER('Results'!$B$8),ISNUMBER('Inputs'!$B$6),ISNUMBER('Inputs'!$B$7),ISNUMBER('Inputs'!$B$8),ISNUMBER('Inputs'!$B$9),ISNUMBER('Inputs'!$B$10),ISNUMBER('Inputs'!$B$21),ISNUMBER('Inputs'!$B$24),ISNUMBER('Inputs'!$B$28)),(('Results'!B7*(0.5*((((337-43)*MAX('Inputs'!$B$33,'Inputs'!$B$29+'Inputs'!$B$31+'Inputs'!$B$32,'Inputs'!$B$30+'Inputs'!$B$31+'Inputs'!$B$32)/1000+'Inputs'!$B$21)+'Inputs'!$B$7)/SQRT((((337-43)*MAX('Inputs'!$B$33,'Inputs'!$B$29+'Inputs'!$B$31+'Inputs'!$B$32,'Inputs'!$B$30+'Inputs'!$B$31+'Inputs'!$B$32)/1000+'Inputs'!$B$21)+'Inputs'!$B$7)^2+('Inputs'!$B$6/2)^2)-(((337-43)*MAX('Inputs'!$B$33,'Inputs'!$B$29+'Inputs'!$B$31+'Inputs'!$B$32,'Inputs'!$B$30+'Inputs'!$B$31+'Inputs'!$B$32)/1000+'Inputs'!$B$21))/SQRT((((337-43)*MAX('Inputs'!$B$33,'Inputs'!$B$29+'Inputs'!$B$31+'Inputs'!$B$32,'Inputs'!$B$30+'Inputs'!$B$31+'Inputs'!$B$32)/1000+'Inputs'!$B$21))^2+('Inputs'!$B$6/2)^2)))-'Results'!C7*(0.5*((((337-43)*MAX('Inputs'!$B$33,'Inputs'!$B$29+'Inputs'!$B$31+'Inputs'!$B$32,'Inputs'!$B$30+'Inputs'!$B$31+'Inputs'!$B$32)/1000+'Inputs'!$B$21+'Inputs'!$B$7+'Inputs'!$B$10)+'Inputs'!$B$9)/SQRT((((337-43)*MAX('Inputs'!$B$33,'Inputs'!$B$29+'Inputs'!$B$31+'Inputs'!$B$32,'Inputs'!$B$30+'Inputs'!$B$31+'Inputs'!$B$32)/1000+'Inputs'!$B$21+'Inputs'!$B$7+'Inputs'!$B$10)+'Inputs'!$B$9)^2+('Inputs'!$B$8/2)^2)-(((337-43)*MAX('Inputs'!$B$33,'Inputs'!$B$29+'Inputs'!$B$31+'Inputs'!$B$32,'Inputs'!$B$30+'Inputs'!$B$31+'Inputs'!$B$32)/1000+'Inputs'!$B$21+'Inputs'!$B$7+'Inputs'!$B$10))/SQRT((((337-43)*MAX('Inputs'!$B$33,'Inputs'!$B$29+'Inputs'!$B$31+'Inputs'!$B$32,'Inputs'!$B$30+'Inputs'!$B$31+'Inputs'!$B$32)/1000+'Inputs'!$B$21+'Inputs'!$B$7+'Inputs'!$B$10))^2+('Inputs'!$B$8/2)^2))))*'Results'!$B$8),"")</x:f>
        <x:v>23.681308264997394</x:v>
      </x:c>
      <x:c r="K337" t="n">
        <x:f>IF(AND(ISNUMBER('Results'!B7),ISNUMBER('Results'!C7),ISNUMBER('Results'!$B$8),ISNUMBER('Inputs'!$B$6),ISNUMBER('Inputs'!$B$7),ISNUMBER('Inputs'!$B$8),ISNUMBER('Inputs'!$B$9),ISNUMBER('Inputs'!$B$10),ISNUMBER('Inputs'!$B$21),ISNUMBER('Inputs'!$B$24),ISNUMBER('Inputs'!$B$28)),((('Results'!B7*(1-'Inputs'!$B$24)*(0.5*((((337-43)*MAX('Inputs'!$B$33,'Inputs'!$B$29+'Inputs'!$B$31+'Inputs'!$B$32,'Inputs'!$B$30+'Inputs'!$B$31+'Inputs'!$B$32)/1000+'Inputs'!$B$21)+'Inputs'!$B$7)/SQRT((((337-43)*MAX('Inputs'!$B$33,'Inputs'!$B$29+'Inputs'!$B$31+'Inputs'!$B$32,'Inputs'!$B$30+'Inputs'!$B$31+'Inputs'!$B$32)/1000+'Inputs'!$B$21)+'Inputs'!$B$7)^2+('Inputs'!$B$6/2)^2)-(((337-43)*MAX('Inputs'!$B$33,'Inputs'!$B$29+'Inputs'!$B$31+'Inputs'!$B$32,'Inputs'!$B$30+'Inputs'!$B$31+'Inputs'!$B$32)/1000+'Inputs'!$B$21))/SQRT((((337-43)*MAX('Inputs'!$B$33,'Inputs'!$B$29+'Inputs'!$B$31+'Inputs'!$B$32,'Inputs'!$B$30+'Inputs'!$B$31+'Inputs'!$B$32)/1000+'Inputs'!$B$21))^2+('Inputs'!$B$6/2)^2)))-'Results'!C7*(1+'Inputs'!$B$24)*(0.5*((((337-43)*MAX('Inputs'!$B$33,'Inputs'!$B$29+'Inputs'!$B$31+'Inputs'!$B$32,'Inputs'!$B$30+'Inputs'!$B$31+'Inputs'!$B$32)/1000+'Inputs'!$B$21+'Inputs'!$B$7+'Inputs'!$B$10)+'Inputs'!$B$9)/SQRT((((337-43)*MAX('Inputs'!$B$33,'Inputs'!$B$29+'Inputs'!$B$31+'Inputs'!$B$32,'Inputs'!$B$30+'Inputs'!$B$31+'Inputs'!$B$32)/1000+'Inputs'!$B$21+'Inputs'!$B$7+'Inputs'!$B$10)+'Inputs'!$B$9)^2+('Inputs'!$B$8/2)^2)-(((337-43)*MAX('Inputs'!$B$33,'Inputs'!$B$29+'Inputs'!$B$31+'Inputs'!$B$32,'Inputs'!$B$30+'Inputs'!$B$31+'Inputs'!$B$32)/1000+'Inputs'!$B$21+'Inputs'!$B$7+'Inputs'!$B$10))/SQRT((((337-43)*MAX('Inputs'!$B$33,'Inputs'!$B$29+'Inputs'!$B$31+'Inputs'!$B$32,'Inputs'!$B$30+'Inputs'!$B$31+'Inputs'!$B$32)/1000+'Inputs'!$B$21+'Inputs'!$B$7+'Inputs'!$B$10))^2+('Inputs'!$B$8/2)^2))))*'Results'!$B$8)-'Inputs'!$B$28*ABS((('Results'!B7*(1-'Inputs'!$B$24)*(0.5*((((337-43)*MAX('Inputs'!$B$33,'Inputs'!$B$29+'Inputs'!$B$31+'Inputs'!$B$32,'Inputs'!$B$30+'Inputs'!$B$31+'Inputs'!$B$32)/1000+'Inputs'!$B$21)+'Inputs'!$B$7)/SQRT((((337-43)*MAX('Inputs'!$B$33,'Inputs'!$B$29+'Inputs'!$B$31+'Inputs'!$B$32,'Inputs'!$B$30+'Inputs'!$B$31+'Inputs'!$B$32)/1000+'Inputs'!$B$21)+'Inputs'!$B$7)^2+('Inputs'!$B$6/2)^2)-(((337-43)*MAX('Inputs'!$B$33,'Inputs'!$B$29+'Inputs'!$B$31+'Inputs'!$B$32,'Inputs'!$B$30+'Inputs'!$B$31+'Inputs'!$B$32)/1000+'Inputs'!$B$21))/SQRT((((337-43)*MAX('Inputs'!$B$33,'Inputs'!$B$29+'Inputs'!$B$31+'Inputs'!$B$32,'Inputs'!$B$30+'Inputs'!$B$31+'Inputs'!$B$32)/1000+'Inputs'!$B$21))^2+('Inputs'!$B$6/2)^2)))-'Results'!C7*(1+'Inputs'!$B$24)*(0.5*((((337-43)*MAX('Inputs'!$B$33,'Inputs'!$B$29+'Inputs'!$B$31+'Inputs'!$B$32,'Inputs'!$B$30+'Inputs'!$B$31+'Inputs'!$B$32)/1000+'Inputs'!$B$21+'Inputs'!$B$7+'Inputs'!$B$10)+'Inputs'!$B$9)/SQRT((((337-43)*MAX('Inputs'!$B$33,'Inputs'!$B$29+'Inputs'!$B$31+'Inputs'!$B$32,'Inputs'!$B$30+'Inputs'!$B$31+'Inputs'!$B$32)/1000+'Inputs'!$B$21+'Inputs'!$B$7+'Inputs'!$B$10)+'Inputs'!$B$9)^2+('Inputs'!$B$8/2)^2)-(((337-43)*MAX('Inputs'!$B$33,'Inputs'!$B$29+'Inputs'!$B$31+'Inputs'!$B$32,'Inputs'!$B$30+'Inputs'!$B$31+'Inputs'!$B$32)/1000+'Inputs'!$B$21+'Inputs'!$B$7+'Inputs'!$B$10))/SQRT((((337-43)*MAX('Inputs'!$B$33,'Inputs'!$B$29+'Inputs'!$B$31+'Inputs'!$B$32,'Inputs'!$B$30+'Inputs'!$B$31+'Inputs'!$B$32)/1000+'Inputs'!$B$21+'Inputs'!$B$7+'Inputs'!$B$10))^2+('Inputs'!$B$8/2)^2))))*'Results'!$B$8))),"")</x:f>
        <x:v>21.44626574513749</x:v>
      </x:c>
      <x:c r="L337" t="n">
        <x:f>IF(AND(ISNUMBER('Results'!B7),ISNUMBER('Results'!C7),ISNUMBER('Results'!$B$8),ISNUMBER('Inputs'!$B$6),ISNUMBER('Inputs'!$B$7),ISNUMBER('Inputs'!$B$8),ISNUMBER('Inputs'!$B$9),ISNUMBER('Inputs'!$B$10),ISNUMBER('Inputs'!$B$21),ISNUMBER('Inputs'!$B$24),ISNUMBER('Inputs'!$B$28)),((('Results'!B7*(1+'Inputs'!$B$24)*(0.5*((((337-43)*MAX('Inputs'!$B$33,'Inputs'!$B$29+'Inputs'!$B$31+'Inputs'!$B$32,'Inputs'!$B$30+'Inputs'!$B$31+'Inputs'!$B$32)/1000+'Inputs'!$B$21)+'Inputs'!$B$7)/SQRT((((337-43)*MAX('Inputs'!$B$33,'Inputs'!$B$29+'Inputs'!$B$31+'Inputs'!$B$32,'Inputs'!$B$30+'Inputs'!$B$31+'Inputs'!$B$32)/1000+'Inputs'!$B$21)+'Inputs'!$B$7)^2+('Inputs'!$B$6/2)^2)-(((337-43)*MAX('Inputs'!$B$33,'Inputs'!$B$29+'Inputs'!$B$31+'Inputs'!$B$32,'Inputs'!$B$30+'Inputs'!$B$31+'Inputs'!$B$32)/1000+'Inputs'!$B$21))/SQRT((((337-43)*MAX('Inputs'!$B$33,'Inputs'!$B$29+'Inputs'!$B$31+'Inputs'!$B$32,'Inputs'!$B$30+'Inputs'!$B$31+'Inputs'!$B$32)/1000+'Inputs'!$B$21))^2+('Inputs'!$B$6/2)^2)))-'Results'!C7*(1-'Inputs'!$B$24)*(0.5*((((337-43)*MAX('Inputs'!$B$33,'Inputs'!$B$29+'Inputs'!$B$31+'Inputs'!$B$32,'Inputs'!$B$30+'Inputs'!$B$31+'Inputs'!$B$32)/1000+'Inputs'!$B$21+'Inputs'!$B$7+'Inputs'!$B$10)+'Inputs'!$B$9)/SQRT((((337-43)*MAX('Inputs'!$B$33,'Inputs'!$B$29+'Inputs'!$B$31+'Inputs'!$B$32,'Inputs'!$B$30+'Inputs'!$B$31+'Inputs'!$B$32)/1000+'Inputs'!$B$21+'Inputs'!$B$7+'Inputs'!$B$10)+'Inputs'!$B$9)^2+('Inputs'!$B$8/2)^2)-(((337-43)*MAX('Inputs'!$B$33,'Inputs'!$B$29+'Inputs'!$B$31+'Inputs'!$B$32,'Inputs'!$B$30+'Inputs'!$B$31+'Inputs'!$B$32)/1000+'Inputs'!$B$21+'Inputs'!$B$7+'Inputs'!$B$10))/SQRT((((337-43)*MAX('Inputs'!$B$33,'Inputs'!$B$29+'Inputs'!$B$31+'Inputs'!$B$32,'Inputs'!$B$30+'Inputs'!$B$31+'Inputs'!$B$32)/1000+'Inputs'!$B$21+'Inputs'!$B$7+'Inputs'!$B$10))^2+('Inputs'!$B$8/2)^2))))*'Results'!$B$8)+'Inputs'!$B$28*ABS((('Results'!B7*(1+'Inputs'!$B$24)*(0.5*((((337-43)*MAX('Inputs'!$B$33,'Inputs'!$B$29+'Inputs'!$B$31+'Inputs'!$B$32,'Inputs'!$B$30+'Inputs'!$B$31+'Inputs'!$B$32)/1000+'Inputs'!$B$21)+'Inputs'!$B$7)/SQRT((((337-43)*MAX('Inputs'!$B$33,'Inputs'!$B$29+'Inputs'!$B$31+'Inputs'!$B$32,'Inputs'!$B$30+'Inputs'!$B$31+'Inputs'!$B$32)/1000+'Inputs'!$B$21)+'Inputs'!$B$7)^2+('Inputs'!$B$6/2)^2)-(((337-43)*MAX('Inputs'!$B$33,'Inputs'!$B$29+'Inputs'!$B$31+'Inputs'!$B$32,'Inputs'!$B$30+'Inputs'!$B$31+'Inputs'!$B$32)/1000+'Inputs'!$B$21))/SQRT((((337-43)*MAX('Inputs'!$B$33,'Inputs'!$B$29+'Inputs'!$B$31+'Inputs'!$B$32,'Inputs'!$B$30+'Inputs'!$B$31+'Inputs'!$B$32)/1000+'Inputs'!$B$21))^2+('Inputs'!$B$6/2)^2)))-'Results'!C7*(1-'Inputs'!$B$24)*(0.5*((((337-43)*MAX('Inputs'!$B$33,'Inputs'!$B$29+'Inputs'!$B$31+'Inputs'!$B$32,'Inputs'!$B$30+'Inputs'!$B$31+'Inputs'!$B$32)/1000+'Inputs'!$B$21+'Inputs'!$B$7+'Inputs'!$B$10)+'Inputs'!$B$9)/SQRT((((337-43)*MAX('Inputs'!$B$33,'Inputs'!$B$29+'Inputs'!$B$31+'Inputs'!$B$32,'Inputs'!$B$30+'Inputs'!$B$31+'Inputs'!$B$32)/1000+'Inputs'!$B$21+'Inputs'!$B$7+'Inputs'!$B$10)+'Inputs'!$B$9)^2+('Inputs'!$B$8/2)^2)-(((337-43)*MAX('Inputs'!$B$33,'Inputs'!$B$29+'Inputs'!$B$31+'Inputs'!$B$32,'Inputs'!$B$30+'Inputs'!$B$31+'Inputs'!$B$32)/1000+'Inputs'!$B$21+'Inputs'!$B$7+'Inputs'!$B$10))/SQRT((((337-43)*MAX('Inputs'!$B$33,'Inputs'!$B$29+'Inputs'!$B$31+'Inputs'!$B$32,'Inputs'!$B$30+'Inputs'!$B$31+'Inputs'!$B$32)/1000+'Inputs'!$B$21+'Inputs'!$B$7+'Inputs'!$B$10))^2+('Inputs'!$B$8/2)^2))))*'Results'!$B$8))),"")</x:f>
        <x:v>26.026979953974138</x:v>
      </x:c>
      <x:c r="M337" t="n">
        <x:f>IF(AND(ISNUMBER('Results'!C7),ISNUMBER('Results'!B7),ISNUMBER('Results'!$B$8),ISNUMBER('Inputs'!$B$6),ISNUMBER('Inputs'!$B$7),ISNUMBER('Inputs'!$B$8),ISNUMBER('Inputs'!$B$9),ISNUMBER('Inputs'!$B$10),ISNUMBER('Inputs'!$B$21),ISNUMBER('Inputs'!$B$24),ISNUMBER('Inputs'!$B$28)),(('Results'!C7*(0.5*((((337-43)*MAX('Inputs'!$B$33,'Inputs'!$B$29+'Inputs'!$B$31+'Inputs'!$B$32,'Inputs'!$B$30+'Inputs'!$B$31+'Inputs'!$B$32)/1000+'Inputs'!$B$21)+'Inputs'!$B$9)/SQRT((((337-43)*MAX('Inputs'!$B$33,'Inputs'!$B$29+'Inputs'!$B$31+'Inputs'!$B$32,'Inputs'!$B$30+'Inputs'!$B$31+'Inputs'!$B$32)/1000+'Inputs'!$B$21)+'Inputs'!$B$9)^2+('Inputs'!$B$8/2)^2)-(((337-43)*MAX('Inputs'!$B$33,'Inputs'!$B$29+'Inputs'!$B$31+'Inputs'!$B$32,'Inputs'!$B$30+'Inputs'!$B$31+'Inputs'!$B$32)/1000+'Inputs'!$B$21))/SQRT((((337-43)*MAX('Inputs'!$B$33,'Inputs'!$B$29+'Inputs'!$B$31+'Inputs'!$B$32,'Inputs'!$B$30+'Inputs'!$B$31+'Inputs'!$B$32)/1000+'Inputs'!$B$21))^2+('Inputs'!$B$8/2)^2)))-'Results'!B7*(0.5*((((337-43)*MAX('Inputs'!$B$33,'Inputs'!$B$29+'Inputs'!$B$31+'Inputs'!$B$32,'Inputs'!$B$30+'Inputs'!$B$31+'Inputs'!$B$32)/1000+'Inputs'!$B$21+'Inputs'!$B$9+'Inputs'!$B$10)+'Inputs'!$B$7)/SQRT((((337-43)*MAX('Inputs'!$B$33,'Inputs'!$B$29+'Inputs'!$B$31+'Inputs'!$B$32,'Inputs'!$B$30+'Inputs'!$B$31+'Inputs'!$B$32)/1000+'Inputs'!$B$21+'Inputs'!$B$9+'Inputs'!$B$10)+'Inputs'!$B$7)^2+('Inputs'!$B$6/2)^2)-(((337-43)*MAX('Inputs'!$B$33,'Inputs'!$B$29+'Inputs'!$B$31+'Inputs'!$B$32,'Inputs'!$B$30+'Inputs'!$B$31+'Inputs'!$B$32)/1000+'Inputs'!$B$21+'Inputs'!$B$9+'Inputs'!$B$10))/SQRT((((337-43)*MAX('Inputs'!$B$33,'Inputs'!$B$29+'Inputs'!$B$31+'Inputs'!$B$32,'Inputs'!$B$30+'Inputs'!$B$31+'Inputs'!$B$32)/1000+'Inputs'!$B$21+'Inputs'!$B$9+'Inputs'!$B$10))^2+('Inputs'!$B$6/2)^2))))*'Results'!$B$8),"")</x:f>
        <x:v>22.568560803156814</x:v>
      </x:c>
      <x:c r="N337" t="n">
        <x:f>IF(AND(ISNUMBER('Results'!C7),ISNUMBER('Results'!B7),ISNUMBER('Results'!$B$8),ISNUMBER('Inputs'!$B$6),ISNUMBER('Inputs'!$B$7),ISNUMBER('Inputs'!$B$8),ISNUMBER('Inputs'!$B$9),ISNUMBER('Inputs'!$B$10),ISNUMBER('Inputs'!$B$21),ISNUMBER('Inputs'!$B$24),ISNUMBER('Inputs'!$B$28)),((('Results'!C7*(1-'Inputs'!$B$24)*(0.5*((((337-43)*MAX('Inputs'!$B$33,'Inputs'!$B$29+'Inputs'!$B$31+'Inputs'!$B$32,'Inputs'!$B$30+'Inputs'!$B$31+'Inputs'!$B$32)/1000+'Inputs'!$B$21)+'Inputs'!$B$9)/SQRT((((337-43)*MAX('Inputs'!$B$33,'Inputs'!$B$29+'Inputs'!$B$31+'Inputs'!$B$32,'Inputs'!$B$30+'Inputs'!$B$31+'Inputs'!$B$32)/1000+'Inputs'!$B$21)+'Inputs'!$B$9)^2+('Inputs'!$B$8/2)^2)-(((337-43)*MAX('Inputs'!$B$33,'Inputs'!$B$29+'Inputs'!$B$31+'Inputs'!$B$32,'Inputs'!$B$30+'Inputs'!$B$31+'Inputs'!$B$32)/1000+'Inputs'!$B$21))/SQRT((((337-43)*MAX('Inputs'!$B$33,'Inputs'!$B$29+'Inputs'!$B$31+'Inputs'!$B$32,'Inputs'!$B$30+'Inputs'!$B$31+'Inputs'!$B$32)/1000+'Inputs'!$B$21))^2+('Inputs'!$B$8/2)^2)))-'Results'!B7*(1+'Inputs'!$B$24)*(0.5*((((337-43)*MAX('Inputs'!$B$33,'Inputs'!$B$29+'Inputs'!$B$31+'Inputs'!$B$32,'Inputs'!$B$30+'Inputs'!$B$31+'Inputs'!$B$32)/1000+'Inputs'!$B$21+'Inputs'!$B$9+'Inputs'!$B$10)+'Inputs'!$B$7)/SQRT((((337-43)*MAX('Inputs'!$B$33,'Inputs'!$B$29+'Inputs'!$B$31+'Inputs'!$B$32,'Inputs'!$B$30+'Inputs'!$B$31+'Inputs'!$B$32)/1000+'Inputs'!$B$21+'Inputs'!$B$9+'Inputs'!$B$10)+'Inputs'!$B$7)^2+('Inputs'!$B$6/2)^2)-(((337-43)*MAX('Inputs'!$B$33,'Inputs'!$B$29+'Inputs'!$B$31+'Inputs'!$B$32,'Inputs'!$B$30+'Inputs'!$B$31+'Inputs'!$B$32)/1000+'Inputs'!$B$21+'Inputs'!$B$9+'Inputs'!$B$10))/SQRT((((337-43)*MAX('Inputs'!$B$33,'Inputs'!$B$29+'Inputs'!$B$31+'Inputs'!$B$32,'Inputs'!$B$30+'Inputs'!$B$31+'Inputs'!$B$32)/1000+'Inputs'!$B$21+'Inputs'!$B$9+'Inputs'!$B$10))^2+('Inputs'!$B$6/2)^2))))*'Results'!$B$8)-'Inputs'!$B$28*ABS((('Results'!C7*(1-'Inputs'!$B$24)*(0.5*((((337-43)*MAX('Inputs'!$B$33,'Inputs'!$B$29+'Inputs'!$B$31+'Inputs'!$B$32,'Inputs'!$B$30+'Inputs'!$B$31+'Inputs'!$B$32)/1000+'Inputs'!$B$21)+'Inputs'!$B$9)/SQRT((((337-43)*MAX('Inputs'!$B$33,'Inputs'!$B$29+'Inputs'!$B$31+'Inputs'!$B$32,'Inputs'!$B$30+'Inputs'!$B$31+'Inputs'!$B$32)/1000+'Inputs'!$B$21)+'Inputs'!$B$9)^2+('Inputs'!$B$8/2)^2)-(((337-43)*MAX('Inputs'!$B$33,'Inputs'!$B$29+'Inputs'!$B$31+'Inputs'!$B$32,'Inputs'!$B$30+'Inputs'!$B$31+'Inputs'!$B$32)/1000+'Inputs'!$B$21))/SQRT((((337-43)*MAX('Inputs'!$B$33,'Inputs'!$B$29+'Inputs'!$B$31+'Inputs'!$B$32,'Inputs'!$B$30+'Inputs'!$B$31+'Inputs'!$B$32)/1000+'Inputs'!$B$21))^2+('Inputs'!$B$8/2)^2)))-'Results'!B7*(1+'Inputs'!$B$24)*(0.5*((((337-43)*MAX('Inputs'!$B$33,'Inputs'!$B$29+'Inputs'!$B$31+'Inputs'!$B$32,'Inputs'!$B$30+'Inputs'!$B$31+'Inputs'!$B$32)/1000+'Inputs'!$B$21+'Inputs'!$B$9+'Inputs'!$B$10)+'Inputs'!$B$7)/SQRT((((337-43)*MAX('Inputs'!$B$33,'Inputs'!$B$29+'Inputs'!$B$31+'Inputs'!$B$32,'Inputs'!$B$30+'Inputs'!$B$31+'Inputs'!$B$32)/1000+'Inputs'!$B$21+'Inputs'!$B$9+'Inputs'!$B$10)+'Inputs'!$B$7)^2+('Inputs'!$B$6/2)^2)-(((337-43)*MAX('Inputs'!$B$33,'Inputs'!$B$29+'Inputs'!$B$31+'Inputs'!$B$32,'Inputs'!$B$30+'Inputs'!$B$31+'Inputs'!$B$32)/1000+'Inputs'!$B$21+'Inputs'!$B$9+'Inputs'!$B$10))/SQRT((((337-43)*MAX('Inputs'!$B$33,'Inputs'!$B$29+'Inputs'!$B$31+'Inputs'!$B$32,'Inputs'!$B$30+'Inputs'!$B$31+'Inputs'!$B$32)/1000+'Inputs'!$B$21+'Inputs'!$B$9+'Inputs'!$B$10))^2+('Inputs'!$B$6/2)^2))))*'Results'!$B$8))),"")</x:f>
        <x:v>20.398031893886866</x:v>
      </x:c>
      <x:c r="O337" t="n">
        <x:f>IF(AND(ISNUMBER('Results'!C7),ISNUMBER('Results'!B7),ISNUMBER('Results'!$B$8),ISNUMBER('Inputs'!$B$6),ISNUMBER('Inputs'!$B$7),ISNUMBER('Inputs'!$B$8),ISNUMBER('Inputs'!$B$9),ISNUMBER('Inputs'!$B$10),ISNUMBER('Inputs'!$B$21),ISNUMBER('Inputs'!$B$24),ISNUMBER('Inputs'!$B$28)),((('Results'!C7*(1+'Inputs'!$B$24)*(0.5*((((337-43)*MAX('Inputs'!$B$33,'Inputs'!$B$29+'Inputs'!$B$31+'Inputs'!$B$32,'Inputs'!$B$30+'Inputs'!$B$31+'Inputs'!$B$32)/1000+'Inputs'!$B$21)+'Inputs'!$B$9)/SQRT((((337-43)*MAX('Inputs'!$B$33,'Inputs'!$B$29+'Inputs'!$B$31+'Inputs'!$B$32,'Inputs'!$B$30+'Inputs'!$B$31+'Inputs'!$B$32)/1000+'Inputs'!$B$21)+'Inputs'!$B$9)^2+('Inputs'!$B$8/2)^2)-(((337-43)*MAX('Inputs'!$B$33,'Inputs'!$B$29+'Inputs'!$B$31+'Inputs'!$B$32,'Inputs'!$B$30+'Inputs'!$B$31+'Inputs'!$B$32)/1000+'Inputs'!$B$21))/SQRT((((337-43)*MAX('Inputs'!$B$33,'Inputs'!$B$29+'Inputs'!$B$31+'Inputs'!$B$32,'Inputs'!$B$30+'Inputs'!$B$31+'Inputs'!$B$32)/1000+'Inputs'!$B$21))^2+('Inputs'!$B$8/2)^2)))-'Results'!B7*(1-'Inputs'!$B$24)*(0.5*((((337-43)*MAX('Inputs'!$B$33,'Inputs'!$B$29+'Inputs'!$B$31+'Inputs'!$B$32,'Inputs'!$B$30+'Inputs'!$B$31+'Inputs'!$B$32)/1000+'Inputs'!$B$21+'Inputs'!$B$9+'Inputs'!$B$10)+'Inputs'!$B$7)/SQRT((((337-43)*MAX('Inputs'!$B$33,'Inputs'!$B$29+'Inputs'!$B$31+'Inputs'!$B$32,'Inputs'!$B$30+'Inputs'!$B$31+'Inputs'!$B$32)/1000+'Inputs'!$B$21+'Inputs'!$B$9+'Inputs'!$B$10)+'Inputs'!$B$7)^2+('Inputs'!$B$6/2)^2)-(((337-43)*MAX('Inputs'!$B$33,'Inputs'!$B$29+'Inputs'!$B$31+'Inputs'!$B$32,'Inputs'!$B$30+'Inputs'!$B$31+'Inputs'!$B$32)/1000+'Inputs'!$B$21+'Inputs'!$B$9+'Inputs'!$B$10))/SQRT((((337-43)*MAX('Inputs'!$B$33,'Inputs'!$B$29+'Inputs'!$B$31+'Inputs'!$B$32,'Inputs'!$B$30+'Inputs'!$B$31+'Inputs'!$B$32)/1000+'Inputs'!$B$21+'Inputs'!$B$9+'Inputs'!$B$10))^2+('Inputs'!$B$6/2)^2))))*'Results'!$B$8)+'Inputs'!$B$28*ABS((('Results'!C7*(1+'Inputs'!$B$24)*(0.5*((((337-43)*MAX('Inputs'!$B$33,'Inputs'!$B$29+'Inputs'!$B$31+'Inputs'!$B$32,'Inputs'!$B$30+'Inputs'!$B$31+'Inputs'!$B$32)/1000+'Inputs'!$B$21)+'Inputs'!$B$9)/SQRT((((337-43)*MAX('Inputs'!$B$33,'Inputs'!$B$29+'Inputs'!$B$31+'Inputs'!$B$32,'Inputs'!$B$30+'Inputs'!$B$31+'Inputs'!$B$32)/1000+'Inputs'!$B$21)+'Inputs'!$B$9)^2+('Inputs'!$B$8/2)^2)-(((337-43)*MAX('Inputs'!$B$33,'Inputs'!$B$29+'Inputs'!$B$31+'Inputs'!$B$32,'Inputs'!$B$30+'Inputs'!$B$31+'Inputs'!$B$32)/1000+'Inputs'!$B$21))/SQRT((((337-43)*MAX('Inputs'!$B$33,'Inputs'!$B$29+'Inputs'!$B$31+'Inputs'!$B$32,'Inputs'!$B$30+'Inputs'!$B$31+'Inputs'!$B$32)/1000+'Inputs'!$B$21))^2+('Inputs'!$B$8/2)^2)))-'Results'!B7*(1-'Inputs'!$B$24)*(0.5*((((337-43)*MAX('Inputs'!$B$33,'Inputs'!$B$29+'Inputs'!$B$31+'Inputs'!$B$32,'Inputs'!$B$30+'Inputs'!$B$31+'Inputs'!$B$32)/1000+'Inputs'!$B$21+'Inputs'!$B$9+'Inputs'!$B$10)+'Inputs'!$B$7)/SQRT((((337-43)*MAX('Inputs'!$B$33,'Inputs'!$B$29+'Inputs'!$B$31+'Inputs'!$B$32,'Inputs'!$B$30+'Inputs'!$B$31+'Inputs'!$B$32)/1000+'Inputs'!$B$21+'Inputs'!$B$9+'Inputs'!$B$10)+'Inputs'!$B$7)^2+('Inputs'!$B$6/2)^2)-(((337-43)*MAX('Inputs'!$B$33,'Inputs'!$B$29+'Inputs'!$B$31+'Inputs'!$B$32,'Inputs'!$B$30+'Inputs'!$B$31+'Inputs'!$B$32)/1000+'Inputs'!$B$21+'Inputs'!$B$9+'Inputs'!$B$10))/SQRT((((337-43)*MAX('Inputs'!$B$33,'Inputs'!$B$29+'Inputs'!$B$31+'Inputs'!$B$32,'Inputs'!$B$30+'Inputs'!$B$31+'Inputs'!$B$32)/1000+'Inputs'!$B$21+'Inputs'!$B$9+'Inputs'!$B$10))^2+('Inputs'!$B$6/2)^2))))*'Results'!$B$8))),"")</x:f>
        <x:v>24.848784540754348</x:v>
      </x:c>
      <x:c r="P337" t="n">
        <x:f>IF(AND(MAX(J337,J336)&gt;0,J337&gt;J336+0.00000001),1,0)</x:f>
        <x:v>0</x:v>
      </x:c>
      <x:c r="Q337" t="n">
        <x:f>IF(AND(MAX(K337,K336)&gt;0,K337&gt;K336+0.00000001),1,0)</x:f>
        <x:v>0</x:v>
      </x:c>
      <x:c r="R337" t="n">
        <x:f>IF(AND(MAX(L337,L336)&gt;0,L337&gt;L336+0.00000001),1,0)</x:f>
        <x:v>0</x:v>
      </x:c>
      <x:c r="S337" t="n">
        <x:f>IF(AND(MAX(M337,M336)&gt;0,M337&gt;M336+0.00000001),1,0)</x:f>
        <x:v>0</x:v>
      </x:c>
      <x:c r="T337" t="n">
        <x:f>IF(AND(MAX(N337,N336)&gt;0,N337&gt;N336+0.00000001),1,0)</x:f>
        <x:v>0</x:v>
      </x:c>
      <x:c r="U337" t="n">
        <x:f>IF(AND(MAX(O337,O336)&gt;0,O337&gt;O336+0.00000001),1,0)</x:f>
        <x:v>0</x:v>
      </x:c>
    </x:row>
    <x:row r="338">
      <x:c r="J338" t="n">
        <x:f>IF(AND(ISNUMBER('Results'!B7),ISNUMBER('Results'!C7),ISNUMBER('Results'!$B$8),ISNUMBER('Inputs'!$B$6),ISNUMBER('Inputs'!$B$7),ISNUMBER('Inputs'!$B$8),ISNUMBER('Inputs'!$B$9),ISNUMBER('Inputs'!$B$10),ISNUMBER('Inputs'!$B$21),ISNUMBER('Inputs'!$B$24),ISNUMBER('Inputs'!$B$28)),(('Results'!B7*(0.5*((((338-43)*MAX('Inputs'!$B$33,'Inputs'!$B$29+'Inputs'!$B$31+'Inputs'!$B$32,'Inputs'!$B$30+'Inputs'!$B$31+'Inputs'!$B$32)/1000+'Inputs'!$B$21)+'Inputs'!$B$7)/SQRT((((338-43)*MAX('Inputs'!$B$33,'Inputs'!$B$29+'Inputs'!$B$31+'Inputs'!$B$32,'Inputs'!$B$30+'Inputs'!$B$31+'Inputs'!$B$32)/1000+'Inputs'!$B$21)+'Inputs'!$B$7)^2+('Inputs'!$B$6/2)^2)-(((338-43)*MAX('Inputs'!$B$33,'Inputs'!$B$29+'Inputs'!$B$31+'Inputs'!$B$32,'Inputs'!$B$30+'Inputs'!$B$31+'Inputs'!$B$32)/1000+'Inputs'!$B$21))/SQRT((((338-43)*MAX('Inputs'!$B$33,'Inputs'!$B$29+'Inputs'!$B$31+'Inputs'!$B$32,'Inputs'!$B$30+'Inputs'!$B$31+'Inputs'!$B$32)/1000+'Inputs'!$B$21))^2+('Inputs'!$B$6/2)^2)))-'Results'!C7*(0.5*((((338-43)*MAX('Inputs'!$B$33,'Inputs'!$B$29+'Inputs'!$B$31+'Inputs'!$B$32,'Inputs'!$B$30+'Inputs'!$B$31+'Inputs'!$B$32)/1000+'Inputs'!$B$21+'Inputs'!$B$7+'Inputs'!$B$10)+'Inputs'!$B$9)/SQRT((((338-43)*MAX('Inputs'!$B$33,'Inputs'!$B$29+'Inputs'!$B$31+'Inputs'!$B$32,'Inputs'!$B$30+'Inputs'!$B$31+'Inputs'!$B$32)/1000+'Inputs'!$B$21+'Inputs'!$B$7+'Inputs'!$B$10)+'Inputs'!$B$9)^2+('Inputs'!$B$8/2)^2)-(((338-43)*MAX('Inputs'!$B$33,'Inputs'!$B$29+'Inputs'!$B$31+'Inputs'!$B$32,'Inputs'!$B$30+'Inputs'!$B$31+'Inputs'!$B$32)/1000+'Inputs'!$B$21+'Inputs'!$B$7+'Inputs'!$B$10))/SQRT((((338-43)*MAX('Inputs'!$B$33,'Inputs'!$B$29+'Inputs'!$B$31+'Inputs'!$B$32,'Inputs'!$B$30+'Inputs'!$B$31+'Inputs'!$B$32)/1000+'Inputs'!$B$21+'Inputs'!$B$7+'Inputs'!$B$10))^2+('Inputs'!$B$8/2)^2))))*'Results'!$B$8),"")</x:f>
        <x:v>23.43388237055497</x:v>
      </x:c>
      <x:c r="K338" t="n">
        <x:f>IF(AND(ISNUMBER('Results'!B7),ISNUMBER('Results'!C7),ISNUMBER('Results'!$B$8),ISNUMBER('Inputs'!$B$6),ISNUMBER('Inputs'!$B$7),ISNUMBER('Inputs'!$B$8),ISNUMBER('Inputs'!$B$9),ISNUMBER('Inputs'!$B$10),ISNUMBER('Inputs'!$B$21),ISNUMBER('Inputs'!$B$24),ISNUMBER('Inputs'!$B$28)),((('Results'!B7*(1-'Inputs'!$B$24)*(0.5*((((338-43)*MAX('Inputs'!$B$33,'Inputs'!$B$29+'Inputs'!$B$31+'Inputs'!$B$32,'Inputs'!$B$30+'Inputs'!$B$31+'Inputs'!$B$32)/1000+'Inputs'!$B$21)+'Inputs'!$B$7)/SQRT((((338-43)*MAX('Inputs'!$B$33,'Inputs'!$B$29+'Inputs'!$B$31+'Inputs'!$B$32,'Inputs'!$B$30+'Inputs'!$B$31+'Inputs'!$B$32)/1000+'Inputs'!$B$21)+'Inputs'!$B$7)^2+('Inputs'!$B$6/2)^2)-(((338-43)*MAX('Inputs'!$B$33,'Inputs'!$B$29+'Inputs'!$B$31+'Inputs'!$B$32,'Inputs'!$B$30+'Inputs'!$B$31+'Inputs'!$B$32)/1000+'Inputs'!$B$21))/SQRT((((338-43)*MAX('Inputs'!$B$33,'Inputs'!$B$29+'Inputs'!$B$31+'Inputs'!$B$32,'Inputs'!$B$30+'Inputs'!$B$31+'Inputs'!$B$32)/1000+'Inputs'!$B$21))^2+('Inputs'!$B$6/2)^2)))-'Results'!C7*(1+'Inputs'!$B$24)*(0.5*((((338-43)*MAX('Inputs'!$B$33,'Inputs'!$B$29+'Inputs'!$B$31+'Inputs'!$B$32,'Inputs'!$B$30+'Inputs'!$B$31+'Inputs'!$B$32)/1000+'Inputs'!$B$21+'Inputs'!$B$7+'Inputs'!$B$10)+'Inputs'!$B$9)/SQRT((((338-43)*MAX('Inputs'!$B$33,'Inputs'!$B$29+'Inputs'!$B$31+'Inputs'!$B$32,'Inputs'!$B$30+'Inputs'!$B$31+'Inputs'!$B$32)/1000+'Inputs'!$B$21+'Inputs'!$B$7+'Inputs'!$B$10)+'Inputs'!$B$9)^2+('Inputs'!$B$8/2)^2)-(((338-43)*MAX('Inputs'!$B$33,'Inputs'!$B$29+'Inputs'!$B$31+'Inputs'!$B$32,'Inputs'!$B$30+'Inputs'!$B$31+'Inputs'!$B$32)/1000+'Inputs'!$B$21+'Inputs'!$B$7+'Inputs'!$B$10))/SQRT((((338-43)*MAX('Inputs'!$B$33,'Inputs'!$B$29+'Inputs'!$B$31+'Inputs'!$B$32,'Inputs'!$B$30+'Inputs'!$B$31+'Inputs'!$B$32)/1000+'Inputs'!$B$21+'Inputs'!$B$7+'Inputs'!$B$10))^2+('Inputs'!$B$8/2)^2))))*'Results'!$B$8)-'Inputs'!$B$28*ABS((('Results'!B7*(1-'Inputs'!$B$24)*(0.5*((((338-43)*MAX('Inputs'!$B$33,'Inputs'!$B$29+'Inputs'!$B$31+'Inputs'!$B$32,'Inputs'!$B$30+'Inputs'!$B$31+'Inputs'!$B$32)/1000+'Inputs'!$B$21)+'Inputs'!$B$7)/SQRT((((338-43)*MAX('Inputs'!$B$33,'Inputs'!$B$29+'Inputs'!$B$31+'Inputs'!$B$32,'Inputs'!$B$30+'Inputs'!$B$31+'Inputs'!$B$32)/1000+'Inputs'!$B$21)+'Inputs'!$B$7)^2+('Inputs'!$B$6/2)^2)-(((338-43)*MAX('Inputs'!$B$33,'Inputs'!$B$29+'Inputs'!$B$31+'Inputs'!$B$32,'Inputs'!$B$30+'Inputs'!$B$31+'Inputs'!$B$32)/1000+'Inputs'!$B$21))/SQRT((((338-43)*MAX('Inputs'!$B$33,'Inputs'!$B$29+'Inputs'!$B$31+'Inputs'!$B$32,'Inputs'!$B$30+'Inputs'!$B$31+'Inputs'!$B$32)/1000+'Inputs'!$B$21))^2+('Inputs'!$B$6/2)^2)))-'Results'!C7*(1+'Inputs'!$B$24)*(0.5*((((338-43)*MAX('Inputs'!$B$33,'Inputs'!$B$29+'Inputs'!$B$31+'Inputs'!$B$32,'Inputs'!$B$30+'Inputs'!$B$31+'Inputs'!$B$32)/1000+'Inputs'!$B$21+'Inputs'!$B$7+'Inputs'!$B$10)+'Inputs'!$B$9)/SQRT((((338-43)*MAX('Inputs'!$B$33,'Inputs'!$B$29+'Inputs'!$B$31+'Inputs'!$B$32,'Inputs'!$B$30+'Inputs'!$B$31+'Inputs'!$B$32)/1000+'Inputs'!$B$21+'Inputs'!$B$7+'Inputs'!$B$10)+'Inputs'!$B$9)^2+('Inputs'!$B$8/2)^2)-(((338-43)*MAX('Inputs'!$B$33,'Inputs'!$B$29+'Inputs'!$B$31+'Inputs'!$B$32,'Inputs'!$B$30+'Inputs'!$B$31+'Inputs'!$B$32)/1000+'Inputs'!$B$21+'Inputs'!$B$7+'Inputs'!$B$10))/SQRT((((338-43)*MAX('Inputs'!$B$33,'Inputs'!$B$29+'Inputs'!$B$31+'Inputs'!$B$32,'Inputs'!$B$30+'Inputs'!$B$31+'Inputs'!$B$32)/1000+'Inputs'!$B$21+'Inputs'!$B$7+'Inputs'!$B$10))^2+('Inputs'!$B$8/2)^2))))*'Results'!$B$8))),"")</x:f>
        <x:v>21.21997238465672</x:v>
      </x:c>
      <x:c r="L338" t="n">
        <x:f>IF(AND(ISNUMBER('Results'!B7),ISNUMBER('Results'!C7),ISNUMBER('Results'!$B$8),ISNUMBER('Inputs'!$B$6),ISNUMBER('Inputs'!$B$7),ISNUMBER('Inputs'!$B$8),ISNUMBER('Inputs'!$B$9),ISNUMBER('Inputs'!$B$10),ISNUMBER('Inputs'!$B$21),ISNUMBER('Inputs'!$B$24),ISNUMBER('Inputs'!$B$28)),((('Results'!B7*(1+'Inputs'!$B$24)*(0.5*((((338-43)*MAX('Inputs'!$B$33,'Inputs'!$B$29+'Inputs'!$B$31+'Inputs'!$B$32,'Inputs'!$B$30+'Inputs'!$B$31+'Inputs'!$B$32)/1000+'Inputs'!$B$21)+'Inputs'!$B$7)/SQRT((((338-43)*MAX('Inputs'!$B$33,'Inputs'!$B$29+'Inputs'!$B$31+'Inputs'!$B$32,'Inputs'!$B$30+'Inputs'!$B$31+'Inputs'!$B$32)/1000+'Inputs'!$B$21)+'Inputs'!$B$7)^2+('Inputs'!$B$6/2)^2)-(((338-43)*MAX('Inputs'!$B$33,'Inputs'!$B$29+'Inputs'!$B$31+'Inputs'!$B$32,'Inputs'!$B$30+'Inputs'!$B$31+'Inputs'!$B$32)/1000+'Inputs'!$B$21))/SQRT((((338-43)*MAX('Inputs'!$B$33,'Inputs'!$B$29+'Inputs'!$B$31+'Inputs'!$B$32,'Inputs'!$B$30+'Inputs'!$B$31+'Inputs'!$B$32)/1000+'Inputs'!$B$21))^2+('Inputs'!$B$6/2)^2)))-'Results'!C7*(1-'Inputs'!$B$24)*(0.5*((((338-43)*MAX('Inputs'!$B$33,'Inputs'!$B$29+'Inputs'!$B$31+'Inputs'!$B$32,'Inputs'!$B$30+'Inputs'!$B$31+'Inputs'!$B$32)/1000+'Inputs'!$B$21+'Inputs'!$B$7+'Inputs'!$B$10)+'Inputs'!$B$9)/SQRT((((338-43)*MAX('Inputs'!$B$33,'Inputs'!$B$29+'Inputs'!$B$31+'Inputs'!$B$32,'Inputs'!$B$30+'Inputs'!$B$31+'Inputs'!$B$32)/1000+'Inputs'!$B$21+'Inputs'!$B$7+'Inputs'!$B$10)+'Inputs'!$B$9)^2+('Inputs'!$B$8/2)^2)-(((338-43)*MAX('Inputs'!$B$33,'Inputs'!$B$29+'Inputs'!$B$31+'Inputs'!$B$32,'Inputs'!$B$30+'Inputs'!$B$31+'Inputs'!$B$32)/1000+'Inputs'!$B$21+'Inputs'!$B$7+'Inputs'!$B$10))/SQRT((((338-43)*MAX('Inputs'!$B$33,'Inputs'!$B$29+'Inputs'!$B$31+'Inputs'!$B$32,'Inputs'!$B$30+'Inputs'!$B$31+'Inputs'!$B$32)/1000+'Inputs'!$B$21+'Inputs'!$B$7+'Inputs'!$B$10))^2+('Inputs'!$B$8/2)^2))))*'Results'!$B$8)+'Inputs'!$B$28*ABS((('Results'!B7*(1+'Inputs'!$B$24)*(0.5*((((338-43)*MAX('Inputs'!$B$33,'Inputs'!$B$29+'Inputs'!$B$31+'Inputs'!$B$32,'Inputs'!$B$30+'Inputs'!$B$31+'Inputs'!$B$32)/1000+'Inputs'!$B$21)+'Inputs'!$B$7)/SQRT((((338-43)*MAX('Inputs'!$B$33,'Inputs'!$B$29+'Inputs'!$B$31+'Inputs'!$B$32,'Inputs'!$B$30+'Inputs'!$B$31+'Inputs'!$B$32)/1000+'Inputs'!$B$21)+'Inputs'!$B$7)^2+('Inputs'!$B$6/2)^2)-(((338-43)*MAX('Inputs'!$B$33,'Inputs'!$B$29+'Inputs'!$B$31+'Inputs'!$B$32,'Inputs'!$B$30+'Inputs'!$B$31+'Inputs'!$B$32)/1000+'Inputs'!$B$21))/SQRT((((338-43)*MAX('Inputs'!$B$33,'Inputs'!$B$29+'Inputs'!$B$31+'Inputs'!$B$32,'Inputs'!$B$30+'Inputs'!$B$31+'Inputs'!$B$32)/1000+'Inputs'!$B$21))^2+('Inputs'!$B$6/2)^2)))-'Results'!C7*(1-'Inputs'!$B$24)*(0.5*((((338-43)*MAX('Inputs'!$B$33,'Inputs'!$B$29+'Inputs'!$B$31+'Inputs'!$B$32,'Inputs'!$B$30+'Inputs'!$B$31+'Inputs'!$B$32)/1000+'Inputs'!$B$21+'Inputs'!$B$7+'Inputs'!$B$10)+'Inputs'!$B$9)/SQRT((((338-43)*MAX('Inputs'!$B$33,'Inputs'!$B$29+'Inputs'!$B$31+'Inputs'!$B$32,'Inputs'!$B$30+'Inputs'!$B$31+'Inputs'!$B$32)/1000+'Inputs'!$B$21+'Inputs'!$B$7+'Inputs'!$B$10)+'Inputs'!$B$9)^2+('Inputs'!$B$8/2)^2)-(((338-43)*MAX('Inputs'!$B$33,'Inputs'!$B$29+'Inputs'!$B$31+'Inputs'!$B$32,'Inputs'!$B$30+'Inputs'!$B$31+'Inputs'!$B$32)/1000+'Inputs'!$B$21+'Inputs'!$B$7+'Inputs'!$B$10))/SQRT((((338-43)*MAX('Inputs'!$B$33,'Inputs'!$B$29+'Inputs'!$B$31+'Inputs'!$B$32,'Inputs'!$B$30+'Inputs'!$B$31+'Inputs'!$B$32)/1000+'Inputs'!$B$21+'Inputs'!$B$7+'Inputs'!$B$10))^2+('Inputs'!$B$8/2)^2))))*'Results'!$B$8))),"")</x:f>
        <x:v>25.75749928986064</x:v>
      </x:c>
      <x:c r="M338" t="n">
        <x:f>IF(AND(ISNUMBER('Results'!C7),ISNUMBER('Results'!B7),ISNUMBER('Results'!$B$8),ISNUMBER('Inputs'!$B$6),ISNUMBER('Inputs'!$B$7),ISNUMBER('Inputs'!$B$8),ISNUMBER('Inputs'!$B$9),ISNUMBER('Inputs'!$B$10),ISNUMBER('Inputs'!$B$21),ISNUMBER('Inputs'!$B$24),ISNUMBER('Inputs'!$B$28)),(('Results'!C7*(0.5*((((338-43)*MAX('Inputs'!$B$33,'Inputs'!$B$29+'Inputs'!$B$31+'Inputs'!$B$32,'Inputs'!$B$30+'Inputs'!$B$31+'Inputs'!$B$32)/1000+'Inputs'!$B$21)+'Inputs'!$B$9)/SQRT((((338-43)*MAX('Inputs'!$B$33,'Inputs'!$B$29+'Inputs'!$B$31+'Inputs'!$B$32,'Inputs'!$B$30+'Inputs'!$B$31+'Inputs'!$B$32)/1000+'Inputs'!$B$21)+'Inputs'!$B$9)^2+('Inputs'!$B$8/2)^2)-(((338-43)*MAX('Inputs'!$B$33,'Inputs'!$B$29+'Inputs'!$B$31+'Inputs'!$B$32,'Inputs'!$B$30+'Inputs'!$B$31+'Inputs'!$B$32)/1000+'Inputs'!$B$21))/SQRT((((338-43)*MAX('Inputs'!$B$33,'Inputs'!$B$29+'Inputs'!$B$31+'Inputs'!$B$32,'Inputs'!$B$30+'Inputs'!$B$31+'Inputs'!$B$32)/1000+'Inputs'!$B$21))^2+('Inputs'!$B$8/2)^2)))-'Results'!B7*(0.5*((((338-43)*MAX('Inputs'!$B$33,'Inputs'!$B$29+'Inputs'!$B$31+'Inputs'!$B$32,'Inputs'!$B$30+'Inputs'!$B$31+'Inputs'!$B$32)/1000+'Inputs'!$B$21+'Inputs'!$B$9+'Inputs'!$B$10)+'Inputs'!$B$7)/SQRT((((338-43)*MAX('Inputs'!$B$33,'Inputs'!$B$29+'Inputs'!$B$31+'Inputs'!$B$32,'Inputs'!$B$30+'Inputs'!$B$31+'Inputs'!$B$32)/1000+'Inputs'!$B$21+'Inputs'!$B$9+'Inputs'!$B$10)+'Inputs'!$B$7)^2+('Inputs'!$B$6/2)^2)-(((338-43)*MAX('Inputs'!$B$33,'Inputs'!$B$29+'Inputs'!$B$31+'Inputs'!$B$32,'Inputs'!$B$30+'Inputs'!$B$31+'Inputs'!$B$32)/1000+'Inputs'!$B$21+'Inputs'!$B$9+'Inputs'!$B$10))/SQRT((((338-43)*MAX('Inputs'!$B$33,'Inputs'!$B$29+'Inputs'!$B$31+'Inputs'!$B$32,'Inputs'!$B$30+'Inputs'!$B$31+'Inputs'!$B$32)/1000+'Inputs'!$B$21+'Inputs'!$B$9+'Inputs'!$B$10))^2+('Inputs'!$B$6/2)^2))))*'Results'!$B$8),"")</x:f>
        <x:v>22.33040087641277</x:v>
      </x:c>
      <x:c r="N338" t="n">
        <x:f>IF(AND(ISNUMBER('Results'!C7),ISNUMBER('Results'!B7),ISNUMBER('Results'!$B$8),ISNUMBER('Inputs'!$B$6),ISNUMBER('Inputs'!$B$7),ISNUMBER('Inputs'!$B$8),ISNUMBER('Inputs'!$B$9),ISNUMBER('Inputs'!$B$10),ISNUMBER('Inputs'!$B$21),ISNUMBER('Inputs'!$B$24),ISNUMBER('Inputs'!$B$28)),((('Results'!C7*(1-'Inputs'!$B$24)*(0.5*((((338-43)*MAX('Inputs'!$B$33,'Inputs'!$B$29+'Inputs'!$B$31+'Inputs'!$B$32,'Inputs'!$B$30+'Inputs'!$B$31+'Inputs'!$B$32)/1000+'Inputs'!$B$21)+'Inputs'!$B$9)/SQRT((((338-43)*MAX('Inputs'!$B$33,'Inputs'!$B$29+'Inputs'!$B$31+'Inputs'!$B$32,'Inputs'!$B$30+'Inputs'!$B$31+'Inputs'!$B$32)/1000+'Inputs'!$B$21)+'Inputs'!$B$9)^2+('Inputs'!$B$8/2)^2)-(((338-43)*MAX('Inputs'!$B$33,'Inputs'!$B$29+'Inputs'!$B$31+'Inputs'!$B$32,'Inputs'!$B$30+'Inputs'!$B$31+'Inputs'!$B$32)/1000+'Inputs'!$B$21))/SQRT((((338-43)*MAX('Inputs'!$B$33,'Inputs'!$B$29+'Inputs'!$B$31+'Inputs'!$B$32,'Inputs'!$B$30+'Inputs'!$B$31+'Inputs'!$B$32)/1000+'Inputs'!$B$21))^2+('Inputs'!$B$8/2)^2)))-'Results'!B7*(1+'Inputs'!$B$24)*(0.5*((((338-43)*MAX('Inputs'!$B$33,'Inputs'!$B$29+'Inputs'!$B$31+'Inputs'!$B$32,'Inputs'!$B$30+'Inputs'!$B$31+'Inputs'!$B$32)/1000+'Inputs'!$B$21+'Inputs'!$B$9+'Inputs'!$B$10)+'Inputs'!$B$7)/SQRT((((338-43)*MAX('Inputs'!$B$33,'Inputs'!$B$29+'Inputs'!$B$31+'Inputs'!$B$32,'Inputs'!$B$30+'Inputs'!$B$31+'Inputs'!$B$32)/1000+'Inputs'!$B$21+'Inputs'!$B$9+'Inputs'!$B$10)+'Inputs'!$B$7)^2+('Inputs'!$B$6/2)^2)-(((338-43)*MAX('Inputs'!$B$33,'Inputs'!$B$29+'Inputs'!$B$31+'Inputs'!$B$32,'Inputs'!$B$30+'Inputs'!$B$31+'Inputs'!$B$32)/1000+'Inputs'!$B$21+'Inputs'!$B$9+'Inputs'!$B$10))/SQRT((((338-43)*MAX('Inputs'!$B$33,'Inputs'!$B$29+'Inputs'!$B$31+'Inputs'!$B$32,'Inputs'!$B$30+'Inputs'!$B$31+'Inputs'!$B$32)/1000+'Inputs'!$B$21+'Inputs'!$B$9+'Inputs'!$B$10))^2+('Inputs'!$B$6/2)^2))))*'Results'!$B$8)-'Inputs'!$B$28*ABS((('Results'!C7*(1-'Inputs'!$B$24)*(0.5*((((338-43)*MAX('Inputs'!$B$33,'Inputs'!$B$29+'Inputs'!$B$31+'Inputs'!$B$32,'Inputs'!$B$30+'Inputs'!$B$31+'Inputs'!$B$32)/1000+'Inputs'!$B$21)+'Inputs'!$B$9)/SQRT((((338-43)*MAX('Inputs'!$B$33,'Inputs'!$B$29+'Inputs'!$B$31+'Inputs'!$B$32,'Inputs'!$B$30+'Inputs'!$B$31+'Inputs'!$B$32)/1000+'Inputs'!$B$21)+'Inputs'!$B$9)^2+('Inputs'!$B$8/2)^2)-(((338-43)*MAX('Inputs'!$B$33,'Inputs'!$B$29+'Inputs'!$B$31+'Inputs'!$B$32,'Inputs'!$B$30+'Inputs'!$B$31+'Inputs'!$B$32)/1000+'Inputs'!$B$21))/SQRT((((338-43)*MAX('Inputs'!$B$33,'Inputs'!$B$29+'Inputs'!$B$31+'Inputs'!$B$32,'Inputs'!$B$30+'Inputs'!$B$31+'Inputs'!$B$32)/1000+'Inputs'!$B$21))^2+('Inputs'!$B$8/2)^2)))-'Results'!B7*(1+'Inputs'!$B$24)*(0.5*((((338-43)*MAX('Inputs'!$B$33,'Inputs'!$B$29+'Inputs'!$B$31+'Inputs'!$B$32,'Inputs'!$B$30+'Inputs'!$B$31+'Inputs'!$B$32)/1000+'Inputs'!$B$21+'Inputs'!$B$9+'Inputs'!$B$10)+'Inputs'!$B$7)/SQRT((((338-43)*MAX('Inputs'!$B$33,'Inputs'!$B$29+'Inputs'!$B$31+'Inputs'!$B$32,'Inputs'!$B$30+'Inputs'!$B$31+'Inputs'!$B$32)/1000+'Inputs'!$B$21+'Inputs'!$B$9+'Inputs'!$B$10)+'Inputs'!$B$7)^2+('Inputs'!$B$6/2)^2)-(((338-43)*MAX('Inputs'!$B$33,'Inputs'!$B$29+'Inputs'!$B$31+'Inputs'!$B$32,'Inputs'!$B$30+'Inputs'!$B$31+'Inputs'!$B$32)/1000+'Inputs'!$B$21+'Inputs'!$B$9+'Inputs'!$B$10))/SQRT((((338-43)*MAX('Inputs'!$B$33,'Inputs'!$B$29+'Inputs'!$B$31+'Inputs'!$B$32,'Inputs'!$B$30+'Inputs'!$B$31+'Inputs'!$B$32)/1000+'Inputs'!$B$21+'Inputs'!$B$9+'Inputs'!$B$10))^2+('Inputs'!$B$6/2)^2))))*'Results'!$B$8))),"")</x:f>
        <x:v>20.180448009481154</x:v>
      </x:c>
      <x:c r="O338" t="n">
        <x:f>IF(AND(ISNUMBER('Results'!C7),ISNUMBER('Results'!B7),ISNUMBER('Results'!$B$8),ISNUMBER('Inputs'!$B$6),ISNUMBER('Inputs'!$B$7),ISNUMBER('Inputs'!$B$8),ISNUMBER('Inputs'!$B$9),ISNUMBER('Inputs'!$B$10),ISNUMBER('Inputs'!$B$21),ISNUMBER('Inputs'!$B$24),ISNUMBER('Inputs'!$B$28)),((('Results'!C7*(1+'Inputs'!$B$24)*(0.5*((((338-43)*MAX('Inputs'!$B$33,'Inputs'!$B$29+'Inputs'!$B$31+'Inputs'!$B$32,'Inputs'!$B$30+'Inputs'!$B$31+'Inputs'!$B$32)/1000+'Inputs'!$B$21)+'Inputs'!$B$9)/SQRT((((338-43)*MAX('Inputs'!$B$33,'Inputs'!$B$29+'Inputs'!$B$31+'Inputs'!$B$32,'Inputs'!$B$30+'Inputs'!$B$31+'Inputs'!$B$32)/1000+'Inputs'!$B$21)+'Inputs'!$B$9)^2+('Inputs'!$B$8/2)^2)-(((338-43)*MAX('Inputs'!$B$33,'Inputs'!$B$29+'Inputs'!$B$31+'Inputs'!$B$32,'Inputs'!$B$30+'Inputs'!$B$31+'Inputs'!$B$32)/1000+'Inputs'!$B$21))/SQRT((((338-43)*MAX('Inputs'!$B$33,'Inputs'!$B$29+'Inputs'!$B$31+'Inputs'!$B$32,'Inputs'!$B$30+'Inputs'!$B$31+'Inputs'!$B$32)/1000+'Inputs'!$B$21))^2+('Inputs'!$B$8/2)^2)))-'Results'!B7*(1-'Inputs'!$B$24)*(0.5*((((338-43)*MAX('Inputs'!$B$33,'Inputs'!$B$29+'Inputs'!$B$31+'Inputs'!$B$32,'Inputs'!$B$30+'Inputs'!$B$31+'Inputs'!$B$32)/1000+'Inputs'!$B$21+'Inputs'!$B$9+'Inputs'!$B$10)+'Inputs'!$B$7)/SQRT((((338-43)*MAX('Inputs'!$B$33,'Inputs'!$B$29+'Inputs'!$B$31+'Inputs'!$B$32,'Inputs'!$B$30+'Inputs'!$B$31+'Inputs'!$B$32)/1000+'Inputs'!$B$21+'Inputs'!$B$9+'Inputs'!$B$10)+'Inputs'!$B$7)^2+('Inputs'!$B$6/2)^2)-(((338-43)*MAX('Inputs'!$B$33,'Inputs'!$B$29+'Inputs'!$B$31+'Inputs'!$B$32,'Inputs'!$B$30+'Inputs'!$B$31+'Inputs'!$B$32)/1000+'Inputs'!$B$21+'Inputs'!$B$9+'Inputs'!$B$10))/SQRT((((338-43)*MAX('Inputs'!$B$33,'Inputs'!$B$29+'Inputs'!$B$31+'Inputs'!$B$32,'Inputs'!$B$30+'Inputs'!$B$31+'Inputs'!$B$32)/1000+'Inputs'!$B$21+'Inputs'!$B$9+'Inputs'!$B$10))^2+('Inputs'!$B$6/2)^2))))*'Results'!$B$8)+'Inputs'!$B$28*ABS((('Results'!C7*(1+'Inputs'!$B$24)*(0.5*((((338-43)*MAX('Inputs'!$B$33,'Inputs'!$B$29+'Inputs'!$B$31+'Inputs'!$B$32,'Inputs'!$B$30+'Inputs'!$B$31+'Inputs'!$B$32)/1000+'Inputs'!$B$21)+'Inputs'!$B$9)/SQRT((((338-43)*MAX('Inputs'!$B$33,'Inputs'!$B$29+'Inputs'!$B$31+'Inputs'!$B$32,'Inputs'!$B$30+'Inputs'!$B$31+'Inputs'!$B$32)/1000+'Inputs'!$B$21)+'Inputs'!$B$9)^2+('Inputs'!$B$8/2)^2)-(((338-43)*MAX('Inputs'!$B$33,'Inputs'!$B$29+'Inputs'!$B$31+'Inputs'!$B$32,'Inputs'!$B$30+'Inputs'!$B$31+'Inputs'!$B$32)/1000+'Inputs'!$B$21))/SQRT((((338-43)*MAX('Inputs'!$B$33,'Inputs'!$B$29+'Inputs'!$B$31+'Inputs'!$B$32,'Inputs'!$B$30+'Inputs'!$B$31+'Inputs'!$B$32)/1000+'Inputs'!$B$21))^2+('Inputs'!$B$8/2)^2)))-'Results'!B7*(1-'Inputs'!$B$24)*(0.5*((((338-43)*MAX('Inputs'!$B$33,'Inputs'!$B$29+'Inputs'!$B$31+'Inputs'!$B$32,'Inputs'!$B$30+'Inputs'!$B$31+'Inputs'!$B$32)/1000+'Inputs'!$B$21+'Inputs'!$B$9+'Inputs'!$B$10)+'Inputs'!$B$7)/SQRT((((338-43)*MAX('Inputs'!$B$33,'Inputs'!$B$29+'Inputs'!$B$31+'Inputs'!$B$32,'Inputs'!$B$30+'Inputs'!$B$31+'Inputs'!$B$32)/1000+'Inputs'!$B$21+'Inputs'!$B$9+'Inputs'!$B$10)+'Inputs'!$B$7)^2+('Inputs'!$B$6/2)^2)-(((338-43)*MAX('Inputs'!$B$33,'Inputs'!$B$29+'Inputs'!$B$31+'Inputs'!$B$32,'Inputs'!$B$30+'Inputs'!$B$31+'Inputs'!$B$32)/1000+'Inputs'!$B$21+'Inputs'!$B$9+'Inputs'!$B$10))/SQRT((((338-43)*MAX('Inputs'!$B$33,'Inputs'!$B$29+'Inputs'!$B$31+'Inputs'!$B$32,'Inputs'!$B$30+'Inputs'!$B$31+'Inputs'!$B$32)/1000+'Inputs'!$B$21+'Inputs'!$B$9+'Inputs'!$B$10))^2+('Inputs'!$B$6/2)^2))))*'Results'!$B$8))),"")</x:f>
        <x:v>24.589136145777125</x:v>
      </x:c>
      <x:c r="P338" t="n">
        <x:f>IF(AND(MAX(J338,J337)&gt;0,J338&gt;J337+0.00000001),1,0)</x:f>
        <x:v>0</x:v>
      </x:c>
      <x:c r="Q338" t="n">
        <x:f>IF(AND(MAX(K338,K337)&gt;0,K338&gt;K337+0.00000001),1,0)</x:f>
        <x:v>0</x:v>
      </x:c>
      <x:c r="R338" t="n">
        <x:f>IF(AND(MAX(L338,L337)&gt;0,L338&gt;L337+0.00000001),1,0)</x:f>
        <x:v>0</x:v>
      </x:c>
      <x:c r="S338" t="n">
        <x:f>IF(AND(MAX(M338,M337)&gt;0,M338&gt;M337+0.00000001),1,0)</x:f>
        <x:v>0</x:v>
      </x:c>
      <x:c r="T338" t="n">
        <x:f>IF(AND(MAX(N338,N337)&gt;0,N338&gt;N337+0.00000001),1,0)</x:f>
        <x:v>0</x:v>
      </x:c>
      <x:c r="U338" t="n">
        <x:f>IF(AND(MAX(O338,O337)&gt;0,O338&gt;O337+0.00000001),1,0)</x:f>
        <x:v>0</x:v>
      </x:c>
    </x:row>
    <x:row r="339">
      <x:c r="J339" t="n">
        <x:f>IF(AND(ISNUMBER('Results'!B7),ISNUMBER('Results'!C7),ISNUMBER('Results'!$B$8),ISNUMBER('Inputs'!$B$6),ISNUMBER('Inputs'!$B$7),ISNUMBER('Inputs'!$B$8),ISNUMBER('Inputs'!$B$9),ISNUMBER('Inputs'!$B$10),ISNUMBER('Inputs'!$B$21),ISNUMBER('Inputs'!$B$24),ISNUMBER('Inputs'!$B$28)),(('Results'!B7*(0.5*((((339-43)*MAX('Inputs'!$B$33,'Inputs'!$B$29+'Inputs'!$B$31+'Inputs'!$B$32,'Inputs'!$B$30+'Inputs'!$B$31+'Inputs'!$B$32)/1000+'Inputs'!$B$21)+'Inputs'!$B$7)/SQRT((((339-43)*MAX('Inputs'!$B$33,'Inputs'!$B$29+'Inputs'!$B$31+'Inputs'!$B$32,'Inputs'!$B$30+'Inputs'!$B$31+'Inputs'!$B$32)/1000+'Inputs'!$B$21)+'Inputs'!$B$7)^2+('Inputs'!$B$6/2)^2)-(((339-43)*MAX('Inputs'!$B$33,'Inputs'!$B$29+'Inputs'!$B$31+'Inputs'!$B$32,'Inputs'!$B$30+'Inputs'!$B$31+'Inputs'!$B$32)/1000+'Inputs'!$B$21))/SQRT((((339-43)*MAX('Inputs'!$B$33,'Inputs'!$B$29+'Inputs'!$B$31+'Inputs'!$B$32,'Inputs'!$B$30+'Inputs'!$B$31+'Inputs'!$B$32)/1000+'Inputs'!$B$21))^2+('Inputs'!$B$6/2)^2)))-'Results'!C7*(0.5*((((339-43)*MAX('Inputs'!$B$33,'Inputs'!$B$29+'Inputs'!$B$31+'Inputs'!$B$32,'Inputs'!$B$30+'Inputs'!$B$31+'Inputs'!$B$32)/1000+'Inputs'!$B$21+'Inputs'!$B$7+'Inputs'!$B$10)+'Inputs'!$B$9)/SQRT((((339-43)*MAX('Inputs'!$B$33,'Inputs'!$B$29+'Inputs'!$B$31+'Inputs'!$B$32,'Inputs'!$B$30+'Inputs'!$B$31+'Inputs'!$B$32)/1000+'Inputs'!$B$21+'Inputs'!$B$7+'Inputs'!$B$10)+'Inputs'!$B$9)^2+('Inputs'!$B$8/2)^2)-(((339-43)*MAX('Inputs'!$B$33,'Inputs'!$B$29+'Inputs'!$B$31+'Inputs'!$B$32,'Inputs'!$B$30+'Inputs'!$B$31+'Inputs'!$B$32)/1000+'Inputs'!$B$21+'Inputs'!$B$7+'Inputs'!$B$10))/SQRT((((339-43)*MAX('Inputs'!$B$33,'Inputs'!$B$29+'Inputs'!$B$31+'Inputs'!$B$32,'Inputs'!$B$30+'Inputs'!$B$31+'Inputs'!$B$32)/1000+'Inputs'!$B$21+'Inputs'!$B$7+'Inputs'!$B$10))^2+('Inputs'!$B$8/2)^2))))*'Results'!$B$8),"")</x:f>
        <x:v>23.189664832662533</x:v>
      </x:c>
      <x:c r="K339" t="n">
        <x:f>IF(AND(ISNUMBER('Results'!B7),ISNUMBER('Results'!C7),ISNUMBER('Results'!$B$8),ISNUMBER('Inputs'!$B$6),ISNUMBER('Inputs'!$B$7),ISNUMBER('Inputs'!$B$8),ISNUMBER('Inputs'!$B$9),ISNUMBER('Inputs'!$B$10),ISNUMBER('Inputs'!$B$21),ISNUMBER('Inputs'!$B$24),ISNUMBER('Inputs'!$B$28)),((('Results'!B7*(1-'Inputs'!$B$24)*(0.5*((((339-43)*MAX('Inputs'!$B$33,'Inputs'!$B$29+'Inputs'!$B$31+'Inputs'!$B$32,'Inputs'!$B$30+'Inputs'!$B$31+'Inputs'!$B$32)/1000+'Inputs'!$B$21)+'Inputs'!$B$7)/SQRT((((339-43)*MAX('Inputs'!$B$33,'Inputs'!$B$29+'Inputs'!$B$31+'Inputs'!$B$32,'Inputs'!$B$30+'Inputs'!$B$31+'Inputs'!$B$32)/1000+'Inputs'!$B$21)+'Inputs'!$B$7)^2+('Inputs'!$B$6/2)^2)-(((339-43)*MAX('Inputs'!$B$33,'Inputs'!$B$29+'Inputs'!$B$31+'Inputs'!$B$32,'Inputs'!$B$30+'Inputs'!$B$31+'Inputs'!$B$32)/1000+'Inputs'!$B$21))/SQRT((((339-43)*MAX('Inputs'!$B$33,'Inputs'!$B$29+'Inputs'!$B$31+'Inputs'!$B$32,'Inputs'!$B$30+'Inputs'!$B$31+'Inputs'!$B$32)/1000+'Inputs'!$B$21))^2+('Inputs'!$B$6/2)^2)))-'Results'!C7*(1+'Inputs'!$B$24)*(0.5*((((339-43)*MAX('Inputs'!$B$33,'Inputs'!$B$29+'Inputs'!$B$31+'Inputs'!$B$32,'Inputs'!$B$30+'Inputs'!$B$31+'Inputs'!$B$32)/1000+'Inputs'!$B$21+'Inputs'!$B$7+'Inputs'!$B$10)+'Inputs'!$B$9)/SQRT((((339-43)*MAX('Inputs'!$B$33,'Inputs'!$B$29+'Inputs'!$B$31+'Inputs'!$B$32,'Inputs'!$B$30+'Inputs'!$B$31+'Inputs'!$B$32)/1000+'Inputs'!$B$21+'Inputs'!$B$7+'Inputs'!$B$10)+'Inputs'!$B$9)^2+('Inputs'!$B$8/2)^2)-(((339-43)*MAX('Inputs'!$B$33,'Inputs'!$B$29+'Inputs'!$B$31+'Inputs'!$B$32,'Inputs'!$B$30+'Inputs'!$B$31+'Inputs'!$B$32)/1000+'Inputs'!$B$21+'Inputs'!$B$7+'Inputs'!$B$10))/SQRT((((339-43)*MAX('Inputs'!$B$33,'Inputs'!$B$29+'Inputs'!$B$31+'Inputs'!$B$32,'Inputs'!$B$30+'Inputs'!$B$31+'Inputs'!$B$32)/1000+'Inputs'!$B$21+'Inputs'!$B$7+'Inputs'!$B$10))^2+('Inputs'!$B$8/2)^2))))*'Results'!$B$8)-'Inputs'!$B$28*ABS((('Results'!B7*(1-'Inputs'!$B$24)*(0.5*((((339-43)*MAX('Inputs'!$B$33,'Inputs'!$B$29+'Inputs'!$B$31+'Inputs'!$B$32,'Inputs'!$B$30+'Inputs'!$B$31+'Inputs'!$B$32)/1000+'Inputs'!$B$21)+'Inputs'!$B$7)/SQRT((((339-43)*MAX('Inputs'!$B$33,'Inputs'!$B$29+'Inputs'!$B$31+'Inputs'!$B$32,'Inputs'!$B$30+'Inputs'!$B$31+'Inputs'!$B$32)/1000+'Inputs'!$B$21)+'Inputs'!$B$7)^2+('Inputs'!$B$6/2)^2)-(((339-43)*MAX('Inputs'!$B$33,'Inputs'!$B$29+'Inputs'!$B$31+'Inputs'!$B$32,'Inputs'!$B$30+'Inputs'!$B$31+'Inputs'!$B$32)/1000+'Inputs'!$B$21))/SQRT((((339-43)*MAX('Inputs'!$B$33,'Inputs'!$B$29+'Inputs'!$B$31+'Inputs'!$B$32,'Inputs'!$B$30+'Inputs'!$B$31+'Inputs'!$B$32)/1000+'Inputs'!$B$21))^2+('Inputs'!$B$6/2)^2)))-'Results'!C7*(1+'Inputs'!$B$24)*(0.5*((((339-43)*MAX('Inputs'!$B$33,'Inputs'!$B$29+'Inputs'!$B$31+'Inputs'!$B$32,'Inputs'!$B$30+'Inputs'!$B$31+'Inputs'!$B$32)/1000+'Inputs'!$B$21+'Inputs'!$B$7+'Inputs'!$B$10)+'Inputs'!$B$9)/SQRT((((339-43)*MAX('Inputs'!$B$33,'Inputs'!$B$29+'Inputs'!$B$31+'Inputs'!$B$32,'Inputs'!$B$30+'Inputs'!$B$31+'Inputs'!$B$32)/1000+'Inputs'!$B$21+'Inputs'!$B$7+'Inputs'!$B$10)+'Inputs'!$B$9)^2+('Inputs'!$B$8/2)^2)-(((339-43)*MAX('Inputs'!$B$33,'Inputs'!$B$29+'Inputs'!$B$31+'Inputs'!$B$32,'Inputs'!$B$30+'Inputs'!$B$31+'Inputs'!$B$32)/1000+'Inputs'!$B$21+'Inputs'!$B$7+'Inputs'!$B$10))/SQRT((((339-43)*MAX('Inputs'!$B$33,'Inputs'!$B$29+'Inputs'!$B$31+'Inputs'!$B$32,'Inputs'!$B$30+'Inputs'!$B$31+'Inputs'!$B$32)/1000+'Inputs'!$B$21+'Inputs'!$B$7+'Inputs'!$B$10))^2+('Inputs'!$B$8/2)^2))))*'Results'!$B$8))),"")</x:f>
        <x:v>20.99662980565066</x:v>
      </x:c>
      <x:c r="L339" t="n">
        <x:f>IF(AND(ISNUMBER('Results'!B7),ISNUMBER('Results'!C7),ISNUMBER('Results'!$B$8),ISNUMBER('Inputs'!$B$6),ISNUMBER('Inputs'!$B$7),ISNUMBER('Inputs'!$B$8),ISNUMBER('Inputs'!$B$9),ISNUMBER('Inputs'!$B$10),ISNUMBER('Inputs'!$B$21),ISNUMBER('Inputs'!$B$24),ISNUMBER('Inputs'!$B$28)),((('Results'!B7*(1+'Inputs'!$B$24)*(0.5*((((339-43)*MAX('Inputs'!$B$33,'Inputs'!$B$29+'Inputs'!$B$31+'Inputs'!$B$32,'Inputs'!$B$30+'Inputs'!$B$31+'Inputs'!$B$32)/1000+'Inputs'!$B$21)+'Inputs'!$B$7)/SQRT((((339-43)*MAX('Inputs'!$B$33,'Inputs'!$B$29+'Inputs'!$B$31+'Inputs'!$B$32,'Inputs'!$B$30+'Inputs'!$B$31+'Inputs'!$B$32)/1000+'Inputs'!$B$21)+'Inputs'!$B$7)^2+('Inputs'!$B$6/2)^2)-(((339-43)*MAX('Inputs'!$B$33,'Inputs'!$B$29+'Inputs'!$B$31+'Inputs'!$B$32,'Inputs'!$B$30+'Inputs'!$B$31+'Inputs'!$B$32)/1000+'Inputs'!$B$21))/SQRT((((339-43)*MAX('Inputs'!$B$33,'Inputs'!$B$29+'Inputs'!$B$31+'Inputs'!$B$32,'Inputs'!$B$30+'Inputs'!$B$31+'Inputs'!$B$32)/1000+'Inputs'!$B$21))^2+('Inputs'!$B$6/2)^2)))-'Results'!C7*(1-'Inputs'!$B$24)*(0.5*((((339-43)*MAX('Inputs'!$B$33,'Inputs'!$B$29+'Inputs'!$B$31+'Inputs'!$B$32,'Inputs'!$B$30+'Inputs'!$B$31+'Inputs'!$B$32)/1000+'Inputs'!$B$21+'Inputs'!$B$7+'Inputs'!$B$10)+'Inputs'!$B$9)/SQRT((((339-43)*MAX('Inputs'!$B$33,'Inputs'!$B$29+'Inputs'!$B$31+'Inputs'!$B$32,'Inputs'!$B$30+'Inputs'!$B$31+'Inputs'!$B$32)/1000+'Inputs'!$B$21+'Inputs'!$B$7+'Inputs'!$B$10)+'Inputs'!$B$9)^2+('Inputs'!$B$8/2)^2)-(((339-43)*MAX('Inputs'!$B$33,'Inputs'!$B$29+'Inputs'!$B$31+'Inputs'!$B$32,'Inputs'!$B$30+'Inputs'!$B$31+'Inputs'!$B$32)/1000+'Inputs'!$B$21+'Inputs'!$B$7+'Inputs'!$B$10))/SQRT((((339-43)*MAX('Inputs'!$B$33,'Inputs'!$B$29+'Inputs'!$B$31+'Inputs'!$B$32,'Inputs'!$B$30+'Inputs'!$B$31+'Inputs'!$B$32)/1000+'Inputs'!$B$21+'Inputs'!$B$7+'Inputs'!$B$10))^2+('Inputs'!$B$8/2)^2))))*'Results'!$B$8)+'Inputs'!$B$28*ABS((('Results'!B7*(1+'Inputs'!$B$24)*(0.5*((((339-43)*MAX('Inputs'!$B$33,'Inputs'!$B$29+'Inputs'!$B$31+'Inputs'!$B$32,'Inputs'!$B$30+'Inputs'!$B$31+'Inputs'!$B$32)/1000+'Inputs'!$B$21)+'Inputs'!$B$7)/SQRT((((339-43)*MAX('Inputs'!$B$33,'Inputs'!$B$29+'Inputs'!$B$31+'Inputs'!$B$32,'Inputs'!$B$30+'Inputs'!$B$31+'Inputs'!$B$32)/1000+'Inputs'!$B$21)+'Inputs'!$B$7)^2+('Inputs'!$B$6/2)^2)-(((339-43)*MAX('Inputs'!$B$33,'Inputs'!$B$29+'Inputs'!$B$31+'Inputs'!$B$32,'Inputs'!$B$30+'Inputs'!$B$31+'Inputs'!$B$32)/1000+'Inputs'!$B$21))/SQRT((((339-43)*MAX('Inputs'!$B$33,'Inputs'!$B$29+'Inputs'!$B$31+'Inputs'!$B$32,'Inputs'!$B$30+'Inputs'!$B$31+'Inputs'!$B$32)/1000+'Inputs'!$B$21))^2+('Inputs'!$B$6/2)^2)))-'Results'!C7*(1-'Inputs'!$B$24)*(0.5*((((339-43)*MAX('Inputs'!$B$33,'Inputs'!$B$29+'Inputs'!$B$31+'Inputs'!$B$32,'Inputs'!$B$30+'Inputs'!$B$31+'Inputs'!$B$32)/1000+'Inputs'!$B$21+'Inputs'!$B$7+'Inputs'!$B$10)+'Inputs'!$B$9)/SQRT((((339-43)*MAX('Inputs'!$B$33,'Inputs'!$B$29+'Inputs'!$B$31+'Inputs'!$B$32,'Inputs'!$B$30+'Inputs'!$B$31+'Inputs'!$B$32)/1000+'Inputs'!$B$21+'Inputs'!$B$7+'Inputs'!$B$10)+'Inputs'!$B$9)^2+('Inputs'!$B$8/2)^2)-(((339-43)*MAX('Inputs'!$B$33,'Inputs'!$B$29+'Inputs'!$B$31+'Inputs'!$B$32,'Inputs'!$B$30+'Inputs'!$B$31+'Inputs'!$B$32)/1000+'Inputs'!$B$21+'Inputs'!$B$7+'Inputs'!$B$10))/SQRT((((339-43)*MAX('Inputs'!$B$33,'Inputs'!$B$29+'Inputs'!$B$31+'Inputs'!$B$32,'Inputs'!$B$30+'Inputs'!$B$31+'Inputs'!$B$32)/1000+'Inputs'!$B$21+'Inputs'!$B$7+'Inputs'!$B$10))^2+('Inputs'!$B$8/2)^2))))*'Results'!$B$8))),"")</x:f>
        <x:v>25.49149478445111</x:v>
      </x:c>
      <x:c r="M339" t="n">
        <x:f>IF(AND(ISNUMBER('Results'!C7),ISNUMBER('Results'!B7),ISNUMBER('Results'!$B$8),ISNUMBER('Inputs'!$B$6),ISNUMBER('Inputs'!$B$7),ISNUMBER('Inputs'!$B$8),ISNUMBER('Inputs'!$B$9),ISNUMBER('Inputs'!$B$10),ISNUMBER('Inputs'!$B$21),ISNUMBER('Inputs'!$B$24),ISNUMBER('Inputs'!$B$28)),(('Results'!C7*(0.5*((((339-43)*MAX('Inputs'!$B$33,'Inputs'!$B$29+'Inputs'!$B$31+'Inputs'!$B$32,'Inputs'!$B$30+'Inputs'!$B$31+'Inputs'!$B$32)/1000+'Inputs'!$B$21)+'Inputs'!$B$9)/SQRT((((339-43)*MAX('Inputs'!$B$33,'Inputs'!$B$29+'Inputs'!$B$31+'Inputs'!$B$32,'Inputs'!$B$30+'Inputs'!$B$31+'Inputs'!$B$32)/1000+'Inputs'!$B$21)+'Inputs'!$B$9)^2+('Inputs'!$B$8/2)^2)-(((339-43)*MAX('Inputs'!$B$33,'Inputs'!$B$29+'Inputs'!$B$31+'Inputs'!$B$32,'Inputs'!$B$30+'Inputs'!$B$31+'Inputs'!$B$32)/1000+'Inputs'!$B$21))/SQRT((((339-43)*MAX('Inputs'!$B$33,'Inputs'!$B$29+'Inputs'!$B$31+'Inputs'!$B$32,'Inputs'!$B$30+'Inputs'!$B$31+'Inputs'!$B$32)/1000+'Inputs'!$B$21))^2+('Inputs'!$B$8/2)^2)))-'Results'!B7*(0.5*((((339-43)*MAX('Inputs'!$B$33,'Inputs'!$B$29+'Inputs'!$B$31+'Inputs'!$B$32,'Inputs'!$B$30+'Inputs'!$B$31+'Inputs'!$B$32)/1000+'Inputs'!$B$21+'Inputs'!$B$9+'Inputs'!$B$10)+'Inputs'!$B$7)/SQRT((((339-43)*MAX('Inputs'!$B$33,'Inputs'!$B$29+'Inputs'!$B$31+'Inputs'!$B$32,'Inputs'!$B$30+'Inputs'!$B$31+'Inputs'!$B$32)/1000+'Inputs'!$B$21+'Inputs'!$B$9+'Inputs'!$B$10)+'Inputs'!$B$7)^2+('Inputs'!$B$6/2)^2)-(((339-43)*MAX('Inputs'!$B$33,'Inputs'!$B$29+'Inputs'!$B$31+'Inputs'!$B$32,'Inputs'!$B$30+'Inputs'!$B$31+'Inputs'!$B$32)/1000+'Inputs'!$B$21+'Inputs'!$B$9+'Inputs'!$B$10))/SQRT((((339-43)*MAX('Inputs'!$B$33,'Inputs'!$B$29+'Inputs'!$B$31+'Inputs'!$B$32,'Inputs'!$B$30+'Inputs'!$B$31+'Inputs'!$B$32)/1000+'Inputs'!$B$21+'Inputs'!$B$9+'Inputs'!$B$10))^2+('Inputs'!$B$6/2)^2))))*'Results'!$B$8),"")</x:f>
        <x:v>22.095346646618758</x:v>
      </x:c>
      <x:c r="N339" t="n">
        <x:f>IF(AND(ISNUMBER('Results'!C7),ISNUMBER('Results'!B7),ISNUMBER('Results'!$B$8),ISNUMBER('Inputs'!$B$6),ISNUMBER('Inputs'!$B$7),ISNUMBER('Inputs'!$B$8),ISNUMBER('Inputs'!$B$9),ISNUMBER('Inputs'!$B$10),ISNUMBER('Inputs'!$B$21),ISNUMBER('Inputs'!$B$24),ISNUMBER('Inputs'!$B$28)),((('Results'!C7*(1-'Inputs'!$B$24)*(0.5*((((339-43)*MAX('Inputs'!$B$33,'Inputs'!$B$29+'Inputs'!$B$31+'Inputs'!$B$32,'Inputs'!$B$30+'Inputs'!$B$31+'Inputs'!$B$32)/1000+'Inputs'!$B$21)+'Inputs'!$B$9)/SQRT((((339-43)*MAX('Inputs'!$B$33,'Inputs'!$B$29+'Inputs'!$B$31+'Inputs'!$B$32,'Inputs'!$B$30+'Inputs'!$B$31+'Inputs'!$B$32)/1000+'Inputs'!$B$21)+'Inputs'!$B$9)^2+('Inputs'!$B$8/2)^2)-(((339-43)*MAX('Inputs'!$B$33,'Inputs'!$B$29+'Inputs'!$B$31+'Inputs'!$B$32,'Inputs'!$B$30+'Inputs'!$B$31+'Inputs'!$B$32)/1000+'Inputs'!$B$21))/SQRT((((339-43)*MAX('Inputs'!$B$33,'Inputs'!$B$29+'Inputs'!$B$31+'Inputs'!$B$32,'Inputs'!$B$30+'Inputs'!$B$31+'Inputs'!$B$32)/1000+'Inputs'!$B$21))^2+('Inputs'!$B$8/2)^2)))-'Results'!B7*(1+'Inputs'!$B$24)*(0.5*((((339-43)*MAX('Inputs'!$B$33,'Inputs'!$B$29+'Inputs'!$B$31+'Inputs'!$B$32,'Inputs'!$B$30+'Inputs'!$B$31+'Inputs'!$B$32)/1000+'Inputs'!$B$21+'Inputs'!$B$9+'Inputs'!$B$10)+'Inputs'!$B$7)/SQRT((((339-43)*MAX('Inputs'!$B$33,'Inputs'!$B$29+'Inputs'!$B$31+'Inputs'!$B$32,'Inputs'!$B$30+'Inputs'!$B$31+'Inputs'!$B$32)/1000+'Inputs'!$B$21+'Inputs'!$B$9+'Inputs'!$B$10)+'Inputs'!$B$7)^2+('Inputs'!$B$6/2)^2)-(((339-43)*MAX('Inputs'!$B$33,'Inputs'!$B$29+'Inputs'!$B$31+'Inputs'!$B$32,'Inputs'!$B$30+'Inputs'!$B$31+'Inputs'!$B$32)/1000+'Inputs'!$B$21+'Inputs'!$B$9+'Inputs'!$B$10))/SQRT((((339-43)*MAX('Inputs'!$B$33,'Inputs'!$B$29+'Inputs'!$B$31+'Inputs'!$B$32,'Inputs'!$B$30+'Inputs'!$B$31+'Inputs'!$B$32)/1000+'Inputs'!$B$21+'Inputs'!$B$9+'Inputs'!$B$10))^2+('Inputs'!$B$6/2)^2))))*'Results'!$B$8)-'Inputs'!$B$28*ABS((('Results'!C7*(1-'Inputs'!$B$24)*(0.5*((((339-43)*MAX('Inputs'!$B$33,'Inputs'!$B$29+'Inputs'!$B$31+'Inputs'!$B$32,'Inputs'!$B$30+'Inputs'!$B$31+'Inputs'!$B$32)/1000+'Inputs'!$B$21)+'Inputs'!$B$9)/SQRT((((339-43)*MAX('Inputs'!$B$33,'Inputs'!$B$29+'Inputs'!$B$31+'Inputs'!$B$32,'Inputs'!$B$30+'Inputs'!$B$31+'Inputs'!$B$32)/1000+'Inputs'!$B$21)+'Inputs'!$B$9)^2+('Inputs'!$B$8/2)^2)-(((339-43)*MAX('Inputs'!$B$33,'Inputs'!$B$29+'Inputs'!$B$31+'Inputs'!$B$32,'Inputs'!$B$30+'Inputs'!$B$31+'Inputs'!$B$32)/1000+'Inputs'!$B$21))/SQRT((((339-43)*MAX('Inputs'!$B$33,'Inputs'!$B$29+'Inputs'!$B$31+'Inputs'!$B$32,'Inputs'!$B$30+'Inputs'!$B$31+'Inputs'!$B$32)/1000+'Inputs'!$B$21))^2+('Inputs'!$B$8/2)^2)))-'Results'!B7*(1+'Inputs'!$B$24)*(0.5*((((339-43)*MAX('Inputs'!$B$33,'Inputs'!$B$29+'Inputs'!$B$31+'Inputs'!$B$32,'Inputs'!$B$30+'Inputs'!$B$31+'Inputs'!$B$32)/1000+'Inputs'!$B$21+'Inputs'!$B$9+'Inputs'!$B$10)+'Inputs'!$B$7)/SQRT((((339-43)*MAX('Inputs'!$B$33,'Inputs'!$B$29+'Inputs'!$B$31+'Inputs'!$B$32,'Inputs'!$B$30+'Inputs'!$B$31+'Inputs'!$B$32)/1000+'Inputs'!$B$21+'Inputs'!$B$9+'Inputs'!$B$10)+'Inputs'!$B$7)^2+('Inputs'!$B$6/2)^2)-(((339-43)*MAX('Inputs'!$B$33,'Inputs'!$B$29+'Inputs'!$B$31+'Inputs'!$B$32,'Inputs'!$B$30+'Inputs'!$B$31+'Inputs'!$B$32)/1000+'Inputs'!$B$21+'Inputs'!$B$9+'Inputs'!$B$10))/SQRT((((339-43)*MAX('Inputs'!$B$33,'Inputs'!$B$29+'Inputs'!$B$31+'Inputs'!$B$32,'Inputs'!$B$30+'Inputs'!$B$31+'Inputs'!$B$32)/1000+'Inputs'!$B$21+'Inputs'!$B$9+'Inputs'!$B$10))^2+('Inputs'!$B$6/2)^2))))*'Results'!$B$8))),"")</x:f>
        <x:v>19.965718591718225</x:v>
      </x:c>
      <x:c r="O339" t="n">
        <x:f>IF(AND(ISNUMBER('Results'!C7),ISNUMBER('Results'!B7),ISNUMBER('Results'!$B$8),ISNUMBER('Inputs'!$B$6),ISNUMBER('Inputs'!$B$7),ISNUMBER('Inputs'!$B$8),ISNUMBER('Inputs'!$B$9),ISNUMBER('Inputs'!$B$10),ISNUMBER('Inputs'!$B$21),ISNUMBER('Inputs'!$B$24),ISNUMBER('Inputs'!$B$28)),((('Results'!C7*(1+'Inputs'!$B$24)*(0.5*((((339-43)*MAX('Inputs'!$B$33,'Inputs'!$B$29+'Inputs'!$B$31+'Inputs'!$B$32,'Inputs'!$B$30+'Inputs'!$B$31+'Inputs'!$B$32)/1000+'Inputs'!$B$21)+'Inputs'!$B$9)/SQRT((((339-43)*MAX('Inputs'!$B$33,'Inputs'!$B$29+'Inputs'!$B$31+'Inputs'!$B$32,'Inputs'!$B$30+'Inputs'!$B$31+'Inputs'!$B$32)/1000+'Inputs'!$B$21)+'Inputs'!$B$9)^2+('Inputs'!$B$8/2)^2)-(((339-43)*MAX('Inputs'!$B$33,'Inputs'!$B$29+'Inputs'!$B$31+'Inputs'!$B$32,'Inputs'!$B$30+'Inputs'!$B$31+'Inputs'!$B$32)/1000+'Inputs'!$B$21))/SQRT((((339-43)*MAX('Inputs'!$B$33,'Inputs'!$B$29+'Inputs'!$B$31+'Inputs'!$B$32,'Inputs'!$B$30+'Inputs'!$B$31+'Inputs'!$B$32)/1000+'Inputs'!$B$21))^2+('Inputs'!$B$8/2)^2)))-'Results'!B7*(1-'Inputs'!$B$24)*(0.5*((((339-43)*MAX('Inputs'!$B$33,'Inputs'!$B$29+'Inputs'!$B$31+'Inputs'!$B$32,'Inputs'!$B$30+'Inputs'!$B$31+'Inputs'!$B$32)/1000+'Inputs'!$B$21+'Inputs'!$B$9+'Inputs'!$B$10)+'Inputs'!$B$7)/SQRT((((339-43)*MAX('Inputs'!$B$33,'Inputs'!$B$29+'Inputs'!$B$31+'Inputs'!$B$32,'Inputs'!$B$30+'Inputs'!$B$31+'Inputs'!$B$32)/1000+'Inputs'!$B$21+'Inputs'!$B$9+'Inputs'!$B$10)+'Inputs'!$B$7)^2+('Inputs'!$B$6/2)^2)-(((339-43)*MAX('Inputs'!$B$33,'Inputs'!$B$29+'Inputs'!$B$31+'Inputs'!$B$32,'Inputs'!$B$30+'Inputs'!$B$31+'Inputs'!$B$32)/1000+'Inputs'!$B$21+'Inputs'!$B$9+'Inputs'!$B$10))/SQRT((((339-43)*MAX('Inputs'!$B$33,'Inputs'!$B$29+'Inputs'!$B$31+'Inputs'!$B$32,'Inputs'!$B$30+'Inputs'!$B$31+'Inputs'!$B$32)/1000+'Inputs'!$B$21+'Inputs'!$B$9+'Inputs'!$B$10))^2+('Inputs'!$B$6/2)^2))))*'Results'!$B$8)+'Inputs'!$B$28*ABS((('Results'!C7*(1+'Inputs'!$B$24)*(0.5*((((339-43)*MAX('Inputs'!$B$33,'Inputs'!$B$29+'Inputs'!$B$31+'Inputs'!$B$32,'Inputs'!$B$30+'Inputs'!$B$31+'Inputs'!$B$32)/1000+'Inputs'!$B$21)+'Inputs'!$B$9)/SQRT((((339-43)*MAX('Inputs'!$B$33,'Inputs'!$B$29+'Inputs'!$B$31+'Inputs'!$B$32,'Inputs'!$B$30+'Inputs'!$B$31+'Inputs'!$B$32)/1000+'Inputs'!$B$21)+'Inputs'!$B$9)^2+('Inputs'!$B$8/2)^2)-(((339-43)*MAX('Inputs'!$B$33,'Inputs'!$B$29+'Inputs'!$B$31+'Inputs'!$B$32,'Inputs'!$B$30+'Inputs'!$B$31+'Inputs'!$B$32)/1000+'Inputs'!$B$21))/SQRT((((339-43)*MAX('Inputs'!$B$33,'Inputs'!$B$29+'Inputs'!$B$31+'Inputs'!$B$32,'Inputs'!$B$30+'Inputs'!$B$31+'Inputs'!$B$32)/1000+'Inputs'!$B$21))^2+('Inputs'!$B$8/2)^2)))-'Results'!B7*(1-'Inputs'!$B$24)*(0.5*((((339-43)*MAX('Inputs'!$B$33,'Inputs'!$B$29+'Inputs'!$B$31+'Inputs'!$B$32,'Inputs'!$B$30+'Inputs'!$B$31+'Inputs'!$B$32)/1000+'Inputs'!$B$21+'Inputs'!$B$9+'Inputs'!$B$10)+'Inputs'!$B$7)/SQRT((((339-43)*MAX('Inputs'!$B$33,'Inputs'!$B$29+'Inputs'!$B$31+'Inputs'!$B$32,'Inputs'!$B$30+'Inputs'!$B$31+'Inputs'!$B$32)/1000+'Inputs'!$B$21+'Inputs'!$B$9+'Inputs'!$B$10)+'Inputs'!$B$7)^2+('Inputs'!$B$6/2)^2)-(((339-43)*MAX('Inputs'!$B$33,'Inputs'!$B$29+'Inputs'!$B$31+'Inputs'!$B$32,'Inputs'!$B$30+'Inputs'!$B$31+'Inputs'!$B$32)/1000+'Inputs'!$B$21+'Inputs'!$B$9+'Inputs'!$B$10))/SQRT((((339-43)*MAX('Inputs'!$B$33,'Inputs'!$B$29+'Inputs'!$B$31+'Inputs'!$B$32,'Inputs'!$B$30+'Inputs'!$B$31+'Inputs'!$B$32)/1000+'Inputs'!$B$21+'Inputs'!$B$9+'Inputs'!$B$10))^2+('Inputs'!$B$6/2)^2))))*'Results'!$B$8))),"")</x:f>
        <x:v>24.332854777579247</x:v>
      </x:c>
      <x:c r="P339" t="n">
        <x:f>IF(AND(MAX(J339,J338)&gt;0,J339&gt;J338+0.00000001),1,0)</x:f>
        <x:v>0</x:v>
      </x:c>
      <x:c r="Q339" t="n">
        <x:f>IF(AND(MAX(K339,K338)&gt;0,K339&gt;K338+0.00000001),1,0)</x:f>
        <x:v>0</x:v>
      </x:c>
      <x:c r="R339" t="n">
        <x:f>IF(AND(MAX(L339,L338)&gt;0,L339&gt;L338+0.00000001),1,0)</x:f>
        <x:v>0</x:v>
      </x:c>
      <x:c r="S339" t="n">
        <x:f>IF(AND(MAX(M339,M338)&gt;0,M339&gt;M338+0.00000001),1,0)</x:f>
        <x:v>0</x:v>
      </x:c>
      <x:c r="T339" t="n">
        <x:f>IF(AND(MAX(N339,N338)&gt;0,N339&gt;N338+0.00000001),1,0)</x:f>
        <x:v>0</x:v>
      </x:c>
      <x:c r="U339" t="n">
        <x:f>IF(AND(MAX(O339,O338)&gt;0,O339&gt;O338+0.00000001),1,0)</x:f>
        <x:v>0</x:v>
      </x:c>
    </x:row>
    <x:row r="340">
      <x:c r="J340" t="n">
        <x:f>IF(AND(ISNUMBER('Results'!B7),ISNUMBER('Results'!C7),ISNUMBER('Results'!$B$8),ISNUMBER('Inputs'!$B$6),ISNUMBER('Inputs'!$B$7),ISNUMBER('Inputs'!$B$8),ISNUMBER('Inputs'!$B$9),ISNUMBER('Inputs'!$B$10),ISNUMBER('Inputs'!$B$21),ISNUMBER('Inputs'!$B$24),ISNUMBER('Inputs'!$B$28)),(('Results'!B7*(0.5*((((340-43)*MAX('Inputs'!$B$33,'Inputs'!$B$29+'Inputs'!$B$31+'Inputs'!$B$32,'Inputs'!$B$30+'Inputs'!$B$31+'Inputs'!$B$32)/1000+'Inputs'!$B$21)+'Inputs'!$B$7)/SQRT((((340-43)*MAX('Inputs'!$B$33,'Inputs'!$B$29+'Inputs'!$B$31+'Inputs'!$B$32,'Inputs'!$B$30+'Inputs'!$B$31+'Inputs'!$B$32)/1000+'Inputs'!$B$21)+'Inputs'!$B$7)^2+('Inputs'!$B$6/2)^2)-(((340-43)*MAX('Inputs'!$B$33,'Inputs'!$B$29+'Inputs'!$B$31+'Inputs'!$B$32,'Inputs'!$B$30+'Inputs'!$B$31+'Inputs'!$B$32)/1000+'Inputs'!$B$21))/SQRT((((340-43)*MAX('Inputs'!$B$33,'Inputs'!$B$29+'Inputs'!$B$31+'Inputs'!$B$32,'Inputs'!$B$30+'Inputs'!$B$31+'Inputs'!$B$32)/1000+'Inputs'!$B$21))^2+('Inputs'!$B$6/2)^2)))-'Results'!C7*(0.5*((((340-43)*MAX('Inputs'!$B$33,'Inputs'!$B$29+'Inputs'!$B$31+'Inputs'!$B$32,'Inputs'!$B$30+'Inputs'!$B$31+'Inputs'!$B$32)/1000+'Inputs'!$B$21+'Inputs'!$B$7+'Inputs'!$B$10)+'Inputs'!$B$9)/SQRT((((340-43)*MAX('Inputs'!$B$33,'Inputs'!$B$29+'Inputs'!$B$31+'Inputs'!$B$32,'Inputs'!$B$30+'Inputs'!$B$31+'Inputs'!$B$32)/1000+'Inputs'!$B$21+'Inputs'!$B$7+'Inputs'!$B$10)+'Inputs'!$B$9)^2+('Inputs'!$B$8/2)^2)-(((340-43)*MAX('Inputs'!$B$33,'Inputs'!$B$29+'Inputs'!$B$31+'Inputs'!$B$32,'Inputs'!$B$30+'Inputs'!$B$31+'Inputs'!$B$32)/1000+'Inputs'!$B$21+'Inputs'!$B$7+'Inputs'!$B$10))/SQRT((((340-43)*MAX('Inputs'!$B$33,'Inputs'!$B$29+'Inputs'!$B$31+'Inputs'!$B$32,'Inputs'!$B$30+'Inputs'!$B$31+'Inputs'!$B$32)/1000+'Inputs'!$B$21+'Inputs'!$B$7+'Inputs'!$B$10))^2+('Inputs'!$B$8/2)^2))))*'Results'!$B$8),"")</x:f>
        <x:v>22.94860620928874</x:v>
      </x:c>
      <x:c r="K340" t="n">
        <x:f>IF(AND(ISNUMBER('Results'!B7),ISNUMBER('Results'!C7),ISNUMBER('Results'!$B$8),ISNUMBER('Inputs'!$B$6),ISNUMBER('Inputs'!$B$7),ISNUMBER('Inputs'!$B$8),ISNUMBER('Inputs'!$B$9),ISNUMBER('Inputs'!$B$10),ISNUMBER('Inputs'!$B$21),ISNUMBER('Inputs'!$B$24),ISNUMBER('Inputs'!$B$28)),((('Results'!B7*(1-'Inputs'!$B$24)*(0.5*((((340-43)*MAX('Inputs'!$B$33,'Inputs'!$B$29+'Inputs'!$B$31+'Inputs'!$B$32,'Inputs'!$B$30+'Inputs'!$B$31+'Inputs'!$B$32)/1000+'Inputs'!$B$21)+'Inputs'!$B$7)/SQRT((((340-43)*MAX('Inputs'!$B$33,'Inputs'!$B$29+'Inputs'!$B$31+'Inputs'!$B$32,'Inputs'!$B$30+'Inputs'!$B$31+'Inputs'!$B$32)/1000+'Inputs'!$B$21)+'Inputs'!$B$7)^2+('Inputs'!$B$6/2)^2)-(((340-43)*MAX('Inputs'!$B$33,'Inputs'!$B$29+'Inputs'!$B$31+'Inputs'!$B$32,'Inputs'!$B$30+'Inputs'!$B$31+'Inputs'!$B$32)/1000+'Inputs'!$B$21))/SQRT((((340-43)*MAX('Inputs'!$B$33,'Inputs'!$B$29+'Inputs'!$B$31+'Inputs'!$B$32,'Inputs'!$B$30+'Inputs'!$B$31+'Inputs'!$B$32)/1000+'Inputs'!$B$21))^2+('Inputs'!$B$6/2)^2)))-'Results'!C7*(1+'Inputs'!$B$24)*(0.5*((((340-43)*MAX('Inputs'!$B$33,'Inputs'!$B$29+'Inputs'!$B$31+'Inputs'!$B$32,'Inputs'!$B$30+'Inputs'!$B$31+'Inputs'!$B$32)/1000+'Inputs'!$B$21+'Inputs'!$B$7+'Inputs'!$B$10)+'Inputs'!$B$9)/SQRT((((340-43)*MAX('Inputs'!$B$33,'Inputs'!$B$29+'Inputs'!$B$31+'Inputs'!$B$32,'Inputs'!$B$30+'Inputs'!$B$31+'Inputs'!$B$32)/1000+'Inputs'!$B$21+'Inputs'!$B$7+'Inputs'!$B$10)+'Inputs'!$B$9)^2+('Inputs'!$B$8/2)^2)-(((340-43)*MAX('Inputs'!$B$33,'Inputs'!$B$29+'Inputs'!$B$31+'Inputs'!$B$32,'Inputs'!$B$30+'Inputs'!$B$31+'Inputs'!$B$32)/1000+'Inputs'!$B$21+'Inputs'!$B$7+'Inputs'!$B$10))/SQRT((((340-43)*MAX('Inputs'!$B$33,'Inputs'!$B$29+'Inputs'!$B$31+'Inputs'!$B$32,'Inputs'!$B$30+'Inputs'!$B$31+'Inputs'!$B$32)/1000+'Inputs'!$B$21+'Inputs'!$B$7+'Inputs'!$B$10))^2+('Inputs'!$B$8/2)^2))))*'Results'!$B$8)-'Inputs'!$B$28*ABS((('Results'!B7*(1-'Inputs'!$B$24)*(0.5*((((340-43)*MAX('Inputs'!$B$33,'Inputs'!$B$29+'Inputs'!$B$31+'Inputs'!$B$32,'Inputs'!$B$30+'Inputs'!$B$31+'Inputs'!$B$32)/1000+'Inputs'!$B$21)+'Inputs'!$B$7)/SQRT((((340-43)*MAX('Inputs'!$B$33,'Inputs'!$B$29+'Inputs'!$B$31+'Inputs'!$B$32,'Inputs'!$B$30+'Inputs'!$B$31+'Inputs'!$B$32)/1000+'Inputs'!$B$21)+'Inputs'!$B$7)^2+('Inputs'!$B$6/2)^2)-(((340-43)*MAX('Inputs'!$B$33,'Inputs'!$B$29+'Inputs'!$B$31+'Inputs'!$B$32,'Inputs'!$B$30+'Inputs'!$B$31+'Inputs'!$B$32)/1000+'Inputs'!$B$21))/SQRT((((340-43)*MAX('Inputs'!$B$33,'Inputs'!$B$29+'Inputs'!$B$31+'Inputs'!$B$32,'Inputs'!$B$30+'Inputs'!$B$31+'Inputs'!$B$32)/1000+'Inputs'!$B$21))^2+('Inputs'!$B$6/2)^2)))-'Results'!C7*(1+'Inputs'!$B$24)*(0.5*((((340-43)*MAX('Inputs'!$B$33,'Inputs'!$B$29+'Inputs'!$B$31+'Inputs'!$B$32,'Inputs'!$B$30+'Inputs'!$B$31+'Inputs'!$B$32)/1000+'Inputs'!$B$21+'Inputs'!$B$7+'Inputs'!$B$10)+'Inputs'!$B$9)/SQRT((((340-43)*MAX('Inputs'!$B$33,'Inputs'!$B$29+'Inputs'!$B$31+'Inputs'!$B$32,'Inputs'!$B$30+'Inputs'!$B$31+'Inputs'!$B$32)/1000+'Inputs'!$B$21+'Inputs'!$B$7+'Inputs'!$B$10)+'Inputs'!$B$9)^2+('Inputs'!$B$8/2)^2)-(((340-43)*MAX('Inputs'!$B$33,'Inputs'!$B$29+'Inputs'!$B$31+'Inputs'!$B$32,'Inputs'!$B$30+'Inputs'!$B$31+'Inputs'!$B$32)/1000+'Inputs'!$B$21+'Inputs'!$B$7+'Inputs'!$B$10))/SQRT((((340-43)*MAX('Inputs'!$B$33,'Inputs'!$B$29+'Inputs'!$B$31+'Inputs'!$B$32,'Inputs'!$B$30+'Inputs'!$B$31+'Inputs'!$B$32)/1000+'Inputs'!$B$21+'Inputs'!$B$7+'Inputs'!$B$10))^2+('Inputs'!$B$8/2)^2))))*'Results'!$B$8))),"")</x:f>
        <x:v>20.776192376821633</x:v>
      </x:c>
      <x:c r="L340" t="n">
        <x:f>IF(AND(ISNUMBER('Results'!B7),ISNUMBER('Results'!C7),ISNUMBER('Results'!$B$8),ISNUMBER('Inputs'!$B$6),ISNUMBER('Inputs'!$B$7),ISNUMBER('Inputs'!$B$8),ISNUMBER('Inputs'!$B$9),ISNUMBER('Inputs'!$B$10),ISNUMBER('Inputs'!$B$21),ISNUMBER('Inputs'!$B$24),ISNUMBER('Inputs'!$B$28)),((('Results'!B7*(1+'Inputs'!$B$24)*(0.5*((((340-43)*MAX('Inputs'!$B$33,'Inputs'!$B$29+'Inputs'!$B$31+'Inputs'!$B$32,'Inputs'!$B$30+'Inputs'!$B$31+'Inputs'!$B$32)/1000+'Inputs'!$B$21)+'Inputs'!$B$7)/SQRT((((340-43)*MAX('Inputs'!$B$33,'Inputs'!$B$29+'Inputs'!$B$31+'Inputs'!$B$32,'Inputs'!$B$30+'Inputs'!$B$31+'Inputs'!$B$32)/1000+'Inputs'!$B$21)+'Inputs'!$B$7)^2+('Inputs'!$B$6/2)^2)-(((340-43)*MAX('Inputs'!$B$33,'Inputs'!$B$29+'Inputs'!$B$31+'Inputs'!$B$32,'Inputs'!$B$30+'Inputs'!$B$31+'Inputs'!$B$32)/1000+'Inputs'!$B$21))/SQRT((((340-43)*MAX('Inputs'!$B$33,'Inputs'!$B$29+'Inputs'!$B$31+'Inputs'!$B$32,'Inputs'!$B$30+'Inputs'!$B$31+'Inputs'!$B$32)/1000+'Inputs'!$B$21))^2+('Inputs'!$B$6/2)^2)))-'Results'!C7*(1-'Inputs'!$B$24)*(0.5*((((340-43)*MAX('Inputs'!$B$33,'Inputs'!$B$29+'Inputs'!$B$31+'Inputs'!$B$32,'Inputs'!$B$30+'Inputs'!$B$31+'Inputs'!$B$32)/1000+'Inputs'!$B$21+'Inputs'!$B$7+'Inputs'!$B$10)+'Inputs'!$B$9)/SQRT((((340-43)*MAX('Inputs'!$B$33,'Inputs'!$B$29+'Inputs'!$B$31+'Inputs'!$B$32,'Inputs'!$B$30+'Inputs'!$B$31+'Inputs'!$B$32)/1000+'Inputs'!$B$21+'Inputs'!$B$7+'Inputs'!$B$10)+'Inputs'!$B$9)^2+('Inputs'!$B$8/2)^2)-(((340-43)*MAX('Inputs'!$B$33,'Inputs'!$B$29+'Inputs'!$B$31+'Inputs'!$B$32,'Inputs'!$B$30+'Inputs'!$B$31+'Inputs'!$B$32)/1000+'Inputs'!$B$21+'Inputs'!$B$7+'Inputs'!$B$10))/SQRT((((340-43)*MAX('Inputs'!$B$33,'Inputs'!$B$29+'Inputs'!$B$31+'Inputs'!$B$32,'Inputs'!$B$30+'Inputs'!$B$31+'Inputs'!$B$32)/1000+'Inputs'!$B$21+'Inputs'!$B$7+'Inputs'!$B$10))^2+('Inputs'!$B$8/2)^2))))*'Results'!$B$8)+'Inputs'!$B$28*ABS((('Results'!B7*(1+'Inputs'!$B$24)*(0.5*((((340-43)*MAX('Inputs'!$B$33,'Inputs'!$B$29+'Inputs'!$B$31+'Inputs'!$B$32,'Inputs'!$B$30+'Inputs'!$B$31+'Inputs'!$B$32)/1000+'Inputs'!$B$21)+'Inputs'!$B$7)/SQRT((((340-43)*MAX('Inputs'!$B$33,'Inputs'!$B$29+'Inputs'!$B$31+'Inputs'!$B$32,'Inputs'!$B$30+'Inputs'!$B$31+'Inputs'!$B$32)/1000+'Inputs'!$B$21)+'Inputs'!$B$7)^2+('Inputs'!$B$6/2)^2)-(((340-43)*MAX('Inputs'!$B$33,'Inputs'!$B$29+'Inputs'!$B$31+'Inputs'!$B$32,'Inputs'!$B$30+'Inputs'!$B$31+'Inputs'!$B$32)/1000+'Inputs'!$B$21))/SQRT((((340-43)*MAX('Inputs'!$B$33,'Inputs'!$B$29+'Inputs'!$B$31+'Inputs'!$B$32,'Inputs'!$B$30+'Inputs'!$B$31+'Inputs'!$B$32)/1000+'Inputs'!$B$21))^2+('Inputs'!$B$6/2)^2)))-'Results'!C7*(1-'Inputs'!$B$24)*(0.5*((((340-43)*MAX('Inputs'!$B$33,'Inputs'!$B$29+'Inputs'!$B$31+'Inputs'!$B$32,'Inputs'!$B$30+'Inputs'!$B$31+'Inputs'!$B$32)/1000+'Inputs'!$B$21+'Inputs'!$B$7+'Inputs'!$B$10)+'Inputs'!$B$9)/SQRT((((340-43)*MAX('Inputs'!$B$33,'Inputs'!$B$29+'Inputs'!$B$31+'Inputs'!$B$32,'Inputs'!$B$30+'Inputs'!$B$31+'Inputs'!$B$32)/1000+'Inputs'!$B$21+'Inputs'!$B$7+'Inputs'!$B$10)+'Inputs'!$B$9)^2+('Inputs'!$B$8/2)^2)-(((340-43)*MAX('Inputs'!$B$33,'Inputs'!$B$29+'Inputs'!$B$31+'Inputs'!$B$32,'Inputs'!$B$30+'Inputs'!$B$31+'Inputs'!$B$32)/1000+'Inputs'!$B$21+'Inputs'!$B$7+'Inputs'!$B$10))/SQRT((((340-43)*MAX('Inputs'!$B$33,'Inputs'!$B$29+'Inputs'!$B$31+'Inputs'!$B$32,'Inputs'!$B$30+'Inputs'!$B$31+'Inputs'!$B$32)/1000+'Inputs'!$B$21+'Inputs'!$B$7+'Inputs'!$B$10))^2+('Inputs'!$B$8/2)^2))))*'Results'!$B$8))),"")</x:f>
        <x:v>25.22891304407192</x:v>
      </x:c>
      <x:c r="M340" t="n">
        <x:f>IF(AND(ISNUMBER('Results'!C7),ISNUMBER('Results'!B7),ISNUMBER('Results'!$B$8),ISNUMBER('Inputs'!$B$6),ISNUMBER('Inputs'!$B$7),ISNUMBER('Inputs'!$B$8),ISNUMBER('Inputs'!$B$9),ISNUMBER('Inputs'!$B$10),ISNUMBER('Inputs'!$B$21),ISNUMBER('Inputs'!$B$24),ISNUMBER('Inputs'!$B$28)),(('Results'!C7*(0.5*((((340-43)*MAX('Inputs'!$B$33,'Inputs'!$B$29+'Inputs'!$B$31+'Inputs'!$B$32,'Inputs'!$B$30+'Inputs'!$B$31+'Inputs'!$B$32)/1000+'Inputs'!$B$21)+'Inputs'!$B$9)/SQRT((((340-43)*MAX('Inputs'!$B$33,'Inputs'!$B$29+'Inputs'!$B$31+'Inputs'!$B$32,'Inputs'!$B$30+'Inputs'!$B$31+'Inputs'!$B$32)/1000+'Inputs'!$B$21)+'Inputs'!$B$9)^2+('Inputs'!$B$8/2)^2)-(((340-43)*MAX('Inputs'!$B$33,'Inputs'!$B$29+'Inputs'!$B$31+'Inputs'!$B$32,'Inputs'!$B$30+'Inputs'!$B$31+'Inputs'!$B$32)/1000+'Inputs'!$B$21))/SQRT((((340-43)*MAX('Inputs'!$B$33,'Inputs'!$B$29+'Inputs'!$B$31+'Inputs'!$B$32,'Inputs'!$B$30+'Inputs'!$B$31+'Inputs'!$B$32)/1000+'Inputs'!$B$21))^2+('Inputs'!$B$8/2)^2)))-'Results'!B7*(0.5*((((340-43)*MAX('Inputs'!$B$33,'Inputs'!$B$29+'Inputs'!$B$31+'Inputs'!$B$32,'Inputs'!$B$30+'Inputs'!$B$31+'Inputs'!$B$32)/1000+'Inputs'!$B$21+'Inputs'!$B$9+'Inputs'!$B$10)+'Inputs'!$B$7)/SQRT((((340-43)*MAX('Inputs'!$B$33,'Inputs'!$B$29+'Inputs'!$B$31+'Inputs'!$B$32,'Inputs'!$B$30+'Inputs'!$B$31+'Inputs'!$B$32)/1000+'Inputs'!$B$21+'Inputs'!$B$9+'Inputs'!$B$10)+'Inputs'!$B$7)^2+('Inputs'!$B$6/2)^2)-(((340-43)*MAX('Inputs'!$B$33,'Inputs'!$B$29+'Inputs'!$B$31+'Inputs'!$B$32,'Inputs'!$B$30+'Inputs'!$B$31+'Inputs'!$B$32)/1000+'Inputs'!$B$21+'Inputs'!$B$9+'Inputs'!$B$10))/SQRT((((340-43)*MAX('Inputs'!$B$33,'Inputs'!$B$29+'Inputs'!$B$31+'Inputs'!$B$32,'Inputs'!$B$30+'Inputs'!$B$31+'Inputs'!$B$32)/1000+'Inputs'!$B$21+'Inputs'!$B$9+'Inputs'!$B$10))^2+('Inputs'!$B$6/2)^2))))*'Results'!$B$8),"")</x:f>
        <x:v>21.863350085118086</x:v>
      </x:c>
      <x:c r="N340" t="n">
        <x:f>IF(AND(ISNUMBER('Results'!C7),ISNUMBER('Results'!B7),ISNUMBER('Results'!$B$8),ISNUMBER('Inputs'!$B$6),ISNUMBER('Inputs'!$B$7),ISNUMBER('Inputs'!$B$8),ISNUMBER('Inputs'!$B$9),ISNUMBER('Inputs'!$B$10),ISNUMBER('Inputs'!$B$21),ISNUMBER('Inputs'!$B$24),ISNUMBER('Inputs'!$B$28)),((('Results'!C7*(1-'Inputs'!$B$24)*(0.5*((((340-43)*MAX('Inputs'!$B$33,'Inputs'!$B$29+'Inputs'!$B$31+'Inputs'!$B$32,'Inputs'!$B$30+'Inputs'!$B$31+'Inputs'!$B$32)/1000+'Inputs'!$B$21)+'Inputs'!$B$9)/SQRT((((340-43)*MAX('Inputs'!$B$33,'Inputs'!$B$29+'Inputs'!$B$31+'Inputs'!$B$32,'Inputs'!$B$30+'Inputs'!$B$31+'Inputs'!$B$32)/1000+'Inputs'!$B$21)+'Inputs'!$B$9)^2+('Inputs'!$B$8/2)^2)-(((340-43)*MAX('Inputs'!$B$33,'Inputs'!$B$29+'Inputs'!$B$31+'Inputs'!$B$32,'Inputs'!$B$30+'Inputs'!$B$31+'Inputs'!$B$32)/1000+'Inputs'!$B$21))/SQRT((((340-43)*MAX('Inputs'!$B$33,'Inputs'!$B$29+'Inputs'!$B$31+'Inputs'!$B$32,'Inputs'!$B$30+'Inputs'!$B$31+'Inputs'!$B$32)/1000+'Inputs'!$B$21))^2+('Inputs'!$B$8/2)^2)))-'Results'!B7*(1+'Inputs'!$B$24)*(0.5*((((340-43)*MAX('Inputs'!$B$33,'Inputs'!$B$29+'Inputs'!$B$31+'Inputs'!$B$32,'Inputs'!$B$30+'Inputs'!$B$31+'Inputs'!$B$32)/1000+'Inputs'!$B$21+'Inputs'!$B$9+'Inputs'!$B$10)+'Inputs'!$B$7)/SQRT((((340-43)*MAX('Inputs'!$B$33,'Inputs'!$B$29+'Inputs'!$B$31+'Inputs'!$B$32,'Inputs'!$B$30+'Inputs'!$B$31+'Inputs'!$B$32)/1000+'Inputs'!$B$21+'Inputs'!$B$9+'Inputs'!$B$10)+'Inputs'!$B$7)^2+('Inputs'!$B$6/2)^2)-(((340-43)*MAX('Inputs'!$B$33,'Inputs'!$B$29+'Inputs'!$B$31+'Inputs'!$B$32,'Inputs'!$B$30+'Inputs'!$B$31+'Inputs'!$B$32)/1000+'Inputs'!$B$21+'Inputs'!$B$9+'Inputs'!$B$10))/SQRT((((340-43)*MAX('Inputs'!$B$33,'Inputs'!$B$29+'Inputs'!$B$31+'Inputs'!$B$32,'Inputs'!$B$30+'Inputs'!$B$31+'Inputs'!$B$32)/1000+'Inputs'!$B$21+'Inputs'!$B$9+'Inputs'!$B$10))^2+('Inputs'!$B$6/2)^2))))*'Results'!$B$8)-'Inputs'!$B$28*ABS((('Results'!C7*(1-'Inputs'!$B$24)*(0.5*((((340-43)*MAX('Inputs'!$B$33,'Inputs'!$B$29+'Inputs'!$B$31+'Inputs'!$B$32,'Inputs'!$B$30+'Inputs'!$B$31+'Inputs'!$B$32)/1000+'Inputs'!$B$21)+'Inputs'!$B$9)/SQRT((((340-43)*MAX('Inputs'!$B$33,'Inputs'!$B$29+'Inputs'!$B$31+'Inputs'!$B$32,'Inputs'!$B$30+'Inputs'!$B$31+'Inputs'!$B$32)/1000+'Inputs'!$B$21)+'Inputs'!$B$9)^2+('Inputs'!$B$8/2)^2)-(((340-43)*MAX('Inputs'!$B$33,'Inputs'!$B$29+'Inputs'!$B$31+'Inputs'!$B$32,'Inputs'!$B$30+'Inputs'!$B$31+'Inputs'!$B$32)/1000+'Inputs'!$B$21))/SQRT((((340-43)*MAX('Inputs'!$B$33,'Inputs'!$B$29+'Inputs'!$B$31+'Inputs'!$B$32,'Inputs'!$B$30+'Inputs'!$B$31+'Inputs'!$B$32)/1000+'Inputs'!$B$21))^2+('Inputs'!$B$8/2)^2)))-'Results'!B7*(1+'Inputs'!$B$24)*(0.5*((((340-43)*MAX('Inputs'!$B$33,'Inputs'!$B$29+'Inputs'!$B$31+'Inputs'!$B$32,'Inputs'!$B$30+'Inputs'!$B$31+'Inputs'!$B$32)/1000+'Inputs'!$B$21+'Inputs'!$B$9+'Inputs'!$B$10)+'Inputs'!$B$7)/SQRT((((340-43)*MAX('Inputs'!$B$33,'Inputs'!$B$29+'Inputs'!$B$31+'Inputs'!$B$32,'Inputs'!$B$30+'Inputs'!$B$31+'Inputs'!$B$32)/1000+'Inputs'!$B$21+'Inputs'!$B$9+'Inputs'!$B$10)+'Inputs'!$B$7)^2+('Inputs'!$B$6/2)^2)-(((340-43)*MAX('Inputs'!$B$33,'Inputs'!$B$29+'Inputs'!$B$31+'Inputs'!$B$32,'Inputs'!$B$30+'Inputs'!$B$31+'Inputs'!$B$32)/1000+'Inputs'!$B$21+'Inputs'!$B$9+'Inputs'!$B$10))/SQRT((((340-43)*MAX('Inputs'!$B$33,'Inputs'!$B$29+'Inputs'!$B$31+'Inputs'!$B$32,'Inputs'!$B$30+'Inputs'!$B$31+'Inputs'!$B$32)/1000+'Inputs'!$B$21+'Inputs'!$B$9+'Inputs'!$B$10))^2+('Inputs'!$B$6/2)^2))))*'Results'!$B$8))),"")</x:f>
        <x:v>19.75379933329985</x:v>
      </x:c>
      <x:c r="O340" t="n">
        <x:f>IF(AND(ISNUMBER('Results'!C7),ISNUMBER('Results'!B7),ISNUMBER('Results'!$B$8),ISNUMBER('Inputs'!$B$6),ISNUMBER('Inputs'!$B$7),ISNUMBER('Inputs'!$B$8),ISNUMBER('Inputs'!$B$9),ISNUMBER('Inputs'!$B$10),ISNUMBER('Inputs'!$B$21),ISNUMBER('Inputs'!$B$24),ISNUMBER('Inputs'!$B$28)),((('Results'!C7*(1+'Inputs'!$B$24)*(0.5*((((340-43)*MAX('Inputs'!$B$33,'Inputs'!$B$29+'Inputs'!$B$31+'Inputs'!$B$32,'Inputs'!$B$30+'Inputs'!$B$31+'Inputs'!$B$32)/1000+'Inputs'!$B$21)+'Inputs'!$B$9)/SQRT((((340-43)*MAX('Inputs'!$B$33,'Inputs'!$B$29+'Inputs'!$B$31+'Inputs'!$B$32,'Inputs'!$B$30+'Inputs'!$B$31+'Inputs'!$B$32)/1000+'Inputs'!$B$21)+'Inputs'!$B$9)^2+('Inputs'!$B$8/2)^2)-(((340-43)*MAX('Inputs'!$B$33,'Inputs'!$B$29+'Inputs'!$B$31+'Inputs'!$B$32,'Inputs'!$B$30+'Inputs'!$B$31+'Inputs'!$B$32)/1000+'Inputs'!$B$21))/SQRT((((340-43)*MAX('Inputs'!$B$33,'Inputs'!$B$29+'Inputs'!$B$31+'Inputs'!$B$32,'Inputs'!$B$30+'Inputs'!$B$31+'Inputs'!$B$32)/1000+'Inputs'!$B$21))^2+('Inputs'!$B$8/2)^2)))-'Results'!B7*(1-'Inputs'!$B$24)*(0.5*((((340-43)*MAX('Inputs'!$B$33,'Inputs'!$B$29+'Inputs'!$B$31+'Inputs'!$B$32,'Inputs'!$B$30+'Inputs'!$B$31+'Inputs'!$B$32)/1000+'Inputs'!$B$21+'Inputs'!$B$9+'Inputs'!$B$10)+'Inputs'!$B$7)/SQRT((((340-43)*MAX('Inputs'!$B$33,'Inputs'!$B$29+'Inputs'!$B$31+'Inputs'!$B$32,'Inputs'!$B$30+'Inputs'!$B$31+'Inputs'!$B$32)/1000+'Inputs'!$B$21+'Inputs'!$B$9+'Inputs'!$B$10)+'Inputs'!$B$7)^2+('Inputs'!$B$6/2)^2)-(((340-43)*MAX('Inputs'!$B$33,'Inputs'!$B$29+'Inputs'!$B$31+'Inputs'!$B$32,'Inputs'!$B$30+'Inputs'!$B$31+'Inputs'!$B$32)/1000+'Inputs'!$B$21+'Inputs'!$B$9+'Inputs'!$B$10))/SQRT((((340-43)*MAX('Inputs'!$B$33,'Inputs'!$B$29+'Inputs'!$B$31+'Inputs'!$B$32,'Inputs'!$B$30+'Inputs'!$B$31+'Inputs'!$B$32)/1000+'Inputs'!$B$21+'Inputs'!$B$9+'Inputs'!$B$10))^2+('Inputs'!$B$6/2)^2))))*'Results'!$B$8)+'Inputs'!$B$28*ABS((('Results'!C7*(1+'Inputs'!$B$24)*(0.5*((((340-43)*MAX('Inputs'!$B$33,'Inputs'!$B$29+'Inputs'!$B$31+'Inputs'!$B$32,'Inputs'!$B$30+'Inputs'!$B$31+'Inputs'!$B$32)/1000+'Inputs'!$B$21)+'Inputs'!$B$9)/SQRT((((340-43)*MAX('Inputs'!$B$33,'Inputs'!$B$29+'Inputs'!$B$31+'Inputs'!$B$32,'Inputs'!$B$30+'Inputs'!$B$31+'Inputs'!$B$32)/1000+'Inputs'!$B$21)+'Inputs'!$B$9)^2+('Inputs'!$B$8/2)^2)-(((340-43)*MAX('Inputs'!$B$33,'Inputs'!$B$29+'Inputs'!$B$31+'Inputs'!$B$32,'Inputs'!$B$30+'Inputs'!$B$31+'Inputs'!$B$32)/1000+'Inputs'!$B$21))/SQRT((((340-43)*MAX('Inputs'!$B$33,'Inputs'!$B$29+'Inputs'!$B$31+'Inputs'!$B$32,'Inputs'!$B$30+'Inputs'!$B$31+'Inputs'!$B$32)/1000+'Inputs'!$B$21))^2+('Inputs'!$B$8/2)^2)))-'Results'!B7*(1-'Inputs'!$B$24)*(0.5*((((340-43)*MAX('Inputs'!$B$33,'Inputs'!$B$29+'Inputs'!$B$31+'Inputs'!$B$32,'Inputs'!$B$30+'Inputs'!$B$31+'Inputs'!$B$32)/1000+'Inputs'!$B$21+'Inputs'!$B$9+'Inputs'!$B$10)+'Inputs'!$B$7)/SQRT((((340-43)*MAX('Inputs'!$B$33,'Inputs'!$B$29+'Inputs'!$B$31+'Inputs'!$B$32,'Inputs'!$B$30+'Inputs'!$B$31+'Inputs'!$B$32)/1000+'Inputs'!$B$21+'Inputs'!$B$9+'Inputs'!$B$10)+'Inputs'!$B$7)^2+('Inputs'!$B$6/2)^2)-(((340-43)*MAX('Inputs'!$B$33,'Inputs'!$B$29+'Inputs'!$B$31+'Inputs'!$B$32,'Inputs'!$B$30+'Inputs'!$B$31+'Inputs'!$B$32)/1000+'Inputs'!$B$21+'Inputs'!$B$9+'Inputs'!$B$10))/SQRT((((340-43)*MAX('Inputs'!$B$33,'Inputs'!$B$29+'Inputs'!$B$31+'Inputs'!$B$32,'Inputs'!$B$30+'Inputs'!$B$31+'Inputs'!$B$32)/1000+'Inputs'!$B$21+'Inputs'!$B$9+'Inputs'!$B$10))^2+('Inputs'!$B$6/2)^2))))*'Results'!$B$8))),"")</x:f>
        <x:v>24.079888547206043</x:v>
      </x:c>
      <x:c r="P340" t="n">
        <x:f>IF(AND(MAX(J340,J339)&gt;0,J340&gt;J339+0.00000001),1,0)</x:f>
        <x:v>0</x:v>
      </x:c>
      <x:c r="Q340" t="n">
        <x:f>IF(AND(MAX(K340,K339)&gt;0,K340&gt;K339+0.00000001),1,0)</x:f>
        <x:v>0</x:v>
      </x:c>
      <x:c r="R340" t="n">
        <x:f>IF(AND(MAX(L340,L339)&gt;0,L340&gt;L339+0.00000001),1,0)</x:f>
        <x:v>0</x:v>
      </x:c>
      <x:c r="S340" t="n">
        <x:f>IF(AND(MAX(M340,M339)&gt;0,M340&gt;M339+0.00000001),1,0)</x:f>
        <x:v>0</x:v>
      </x:c>
      <x:c r="T340" t="n">
        <x:f>IF(AND(MAX(N340,N339)&gt;0,N340&gt;N339+0.00000001),1,0)</x:f>
        <x:v>0</x:v>
      </x:c>
      <x:c r="U340" t="n">
        <x:f>IF(AND(MAX(O340,O339)&gt;0,O340&gt;O339+0.00000001),1,0)</x:f>
        <x:v>0</x:v>
      </x:c>
    </x:row>
    <x:row r="341">
      <x:c r="J341" t="n">
        <x:f>IF(AND(ISNUMBER('Results'!B7),ISNUMBER('Results'!C7),ISNUMBER('Results'!$B$8),ISNUMBER('Inputs'!$B$6),ISNUMBER('Inputs'!$B$7),ISNUMBER('Inputs'!$B$8),ISNUMBER('Inputs'!$B$9),ISNUMBER('Inputs'!$B$10),ISNUMBER('Inputs'!$B$21),ISNUMBER('Inputs'!$B$24),ISNUMBER('Inputs'!$B$28)),(('Results'!B7*(0.5*((((341-43)*MAX('Inputs'!$B$33,'Inputs'!$B$29+'Inputs'!$B$31+'Inputs'!$B$32,'Inputs'!$B$30+'Inputs'!$B$31+'Inputs'!$B$32)/1000+'Inputs'!$B$21)+'Inputs'!$B$7)/SQRT((((341-43)*MAX('Inputs'!$B$33,'Inputs'!$B$29+'Inputs'!$B$31+'Inputs'!$B$32,'Inputs'!$B$30+'Inputs'!$B$31+'Inputs'!$B$32)/1000+'Inputs'!$B$21)+'Inputs'!$B$7)^2+('Inputs'!$B$6/2)^2)-(((341-43)*MAX('Inputs'!$B$33,'Inputs'!$B$29+'Inputs'!$B$31+'Inputs'!$B$32,'Inputs'!$B$30+'Inputs'!$B$31+'Inputs'!$B$32)/1000+'Inputs'!$B$21))/SQRT((((341-43)*MAX('Inputs'!$B$33,'Inputs'!$B$29+'Inputs'!$B$31+'Inputs'!$B$32,'Inputs'!$B$30+'Inputs'!$B$31+'Inputs'!$B$32)/1000+'Inputs'!$B$21))^2+('Inputs'!$B$6/2)^2)))-'Results'!C7*(0.5*((((341-43)*MAX('Inputs'!$B$33,'Inputs'!$B$29+'Inputs'!$B$31+'Inputs'!$B$32,'Inputs'!$B$30+'Inputs'!$B$31+'Inputs'!$B$32)/1000+'Inputs'!$B$21+'Inputs'!$B$7+'Inputs'!$B$10)+'Inputs'!$B$9)/SQRT((((341-43)*MAX('Inputs'!$B$33,'Inputs'!$B$29+'Inputs'!$B$31+'Inputs'!$B$32,'Inputs'!$B$30+'Inputs'!$B$31+'Inputs'!$B$32)/1000+'Inputs'!$B$21+'Inputs'!$B$7+'Inputs'!$B$10)+'Inputs'!$B$9)^2+('Inputs'!$B$8/2)^2)-(((341-43)*MAX('Inputs'!$B$33,'Inputs'!$B$29+'Inputs'!$B$31+'Inputs'!$B$32,'Inputs'!$B$30+'Inputs'!$B$31+'Inputs'!$B$32)/1000+'Inputs'!$B$21+'Inputs'!$B$7+'Inputs'!$B$10))/SQRT((((341-43)*MAX('Inputs'!$B$33,'Inputs'!$B$29+'Inputs'!$B$31+'Inputs'!$B$32,'Inputs'!$B$30+'Inputs'!$B$31+'Inputs'!$B$32)/1000+'Inputs'!$B$21+'Inputs'!$B$7+'Inputs'!$B$10))^2+('Inputs'!$B$8/2)^2))))*'Results'!$B$8),"")</x:f>
        <x:v>22.710657936758356</x:v>
      </x:c>
      <x:c r="K341" t="n">
        <x:f>IF(AND(ISNUMBER('Results'!B7),ISNUMBER('Results'!C7),ISNUMBER('Results'!$B$8),ISNUMBER('Inputs'!$B$6),ISNUMBER('Inputs'!$B$7),ISNUMBER('Inputs'!$B$8),ISNUMBER('Inputs'!$B$9),ISNUMBER('Inputs'!$B$10),ISNUMBER('Inputs'!$B$21),ISNUMBER('Inputs'!$B$24),ISNUMBER('Inputs'!$B$28)),((('Results'!B7*(1-'Inputs'!$B$24)*(0.5*((((341-43)*MAX('Inputs'!$B$33,'Inputs'!$B$29+'Inputs'!$B$31+'Inputs'!$B$32,'Inputs'!$B$30+'Inputs'!$B$31+'Inputs'!$B$32)/1000+'Inputs'!$B$21)+'Inputs'!$B$7)/SQRT((((341-43)*MAX('Inputs'!$B$33,'Inputs'!$B$29+'Inputs'!$B$31+'Inputs'!$B$32,'Inputs'!$B$30+'Inputs'!$B$31+'Inputs'!$B$32)/1000+'Inputs'!$B$21)+'Inputs'!$B$7)^2+('Inputs'!$B$6/2)^2)-(((341-43)*MAX('Inputs'!$B$33,'Inputs'!$B$29+'Inputs'!$B$31+'Inputs'!$B$32,'Inputs'!$B$30+'Inputs'!$B$31+'Inputs'!$B$32)/1000+'Inputs'!$B$21))/SQRT((((341-43)*MAX('Inputs'!$B$33,'Inputs'!$B$29+'Inputs'!$B$31+'Inputs'!$B$32,'Inputs'!$B$30+'Inputs'!$B$31+'Inputs'!$B$32)/1000+'Inputs'!$B$21))^2+('Inputs'!$B$6/2)^2)))-'Results'!C7*(1+'Inputs'!$B$24)*(0.5*((((341-43)*MAX('Inputs'!$B$33,'Inputs'!$B$29+'Inputs'!$B$31+'Inputs'!$B$32,'Inputs'!$B$30+'Inputs'!$B$31+'Inputs'!$B$32)/1000+'Inputs'!$B$21+'Inputs'!$B$7+'Inputs'!$B$10)+'Inputs'!$B$9)/SQRT((((341-43)*MAX('Inputs'!$B$33,'Inputs'!$B$29+'Inputs'!$B$31+'Inputs'!$B$32,'Inputs'!$B$30+'Inputs'!$B$31+'Inputs'!$B$32)/1000+'Inputs'!$B$21+'Inputs'!$B$7+'Inputs'!$B$10)+'Inputs'!$B$9)^2+('Inputs'!$B$8/2)^2)-(((341-43)*MAX('Inputs'!$B$33,'Inputs'!$B$29+'Inputs'!$B$31+'Inputs'!$B$32,'Inputs'!$B$30+'Inputs'!$B$31+'Inputs'!$B$32)/1000+'Inputs'!$B$21+'Inputs'!$B$7+'Inputs'!$B$10))/SQRT((((341-43)*MAX('Inputs'!$B$33,'Inputs'!$B$29+'Inputs'!$B$31+'Inputs'!$B$32,'Inputs'!$B$30+'Inputs'!$B$31+'Inputs'!$B$32)/1000+'Inputs'!$B$21+'Inputs'!$B$7+'Inputs'!$B$10))^2+('Inputs'!$B$8/2)^2))))*'Results'!$B$8)-'Inputs'!$B$28*ABS((('Results'!B7*(1-'Inputs'!$B$24)*(0.5*((((341-43)*MAX('Inputs'!$B$33,'Inputs'!$B$29+'Inputs'!$B$31+'Inputs'!$B$32,'Inputs'!$B$30+'Inputs'!$B$31+'Inputs'!$B$32)/1000+'Inputs'!$B$21)+'Inputs'!$B$7)/SQRT((((341-43)*MAX('Inputs'!$B$33,'Inputs'!$B$29+'Inputs'!$B$31+'Inputs'!$B$32,'Inputs'!$B$30+'Inputs'!$B$31+'Inputs'!$B$32)/1000+'Inputs'!$B$21)+'Inputs'!$B$7)^2+('Inputs'!$B$6/2)^2)-(((341-43)*MAX('Inputs'!$B$33,'Inputs'!$B$29+'Inputs'!$B$31+'Inputs'!$B$32,'Inputs'!$B$30+'Inputs'!$B$31+'Inputs'!$B$32)/1000+'Inputs'!$B$21))/SQRT((((341-43)*MAX('Inputs'!$B$33,'Inputs'!$B$29+'Inputs'!$B$31+'Inputs'!$B$32,'Inputs'!$B$30+'Inputs'!$B$31+'Inputs'!$B$32)/1000+'Inputs'!$B$21))^2+('Inputs'!$B$6/2)^2)))-'Results'!C7*(1+'Inputs'!$B$24)*(0.5*((((341-43)*MAX('Inputs'!$B$33,'Inputs'!$B$29+'Inputs'!$B$31+'Inputs'!$B$32,'Inputs'!$B$30+'Inputs'!$B$31+'Inputs'!$B$32)/1000+'Inputs'!$B$21+'Inputs'!$B$7+'Inputs'!$B$10)+'Inputs'!$B$9)/SQRT((((341-43)*MAX('Inputs'!$B$33,'Inputs'!$B$29+'Inputs'!$B$31+'Inputs'!$B$32,'Inputs'!$B$30+'Inputs'!$B$31+'Inputs'!$B$32)/1000+'Inputs'!$B$21+'Inputs'!$B$7+'Inputs'!$B$10)+'Inputs'!$B$9)^2+('Inputs'!$B$8/2)^2)-(((341-43)*MAX('Inputs'!$B$33,'Inputs'!$B$29+'Inputs'!$B$31+'Inputs'!$B$32,'Inputs'!$B$30+'Inputs'!$B$31+'Inputs'!$B$32)/1000+'Inputs'!$B$21+'Inputs'!$B$7+'Inputs'!$B$10))/SQRT((((341-43)*MAX('Inputs'!$B$33,'Inputs'!$B$29+'Inputs'!$B$31+'Inputs'!$B$32,'Inputs'!$B$30+'Inputs'!$B$31+'Inputs'!$B$32)/1000+'Inputs'!$B$21+'Inputs'!$B$7+'Inputs'!$B$10))^2+('Inputs'!$B$8/2)^2))))*'Results'!$B$8))),"")</x:f>
        <x:v>20.558615279393898</x:v>
      </x:c>
      <x:c r="L341" t="n">
        <x:f>IF(AND(ISNUMBER('Results'!B7),ISNUMBER('Results'!C7),ISNUMBER('Results'!$B$8),ISNUMBER('Inputs'!$B$6),ISNUMBER('Inputs'!$B$7),ISNUMBER('Inputs'!$B$8),ISNUMBER('Inputs'!$B$9),ISNUMBER('Inputs'!$B$10),ISNUMBER('Inputs'!$B$21),ISNUMBER('Inputs'!$B$24),ISNUMBER('Inputs'!$B$28)),((('Results'!B7*(1+'Inputs'!$B$24)*(0.5*((((341-43)*MAX('Inputs'!$B$33,'Inputs'!$B$29+'Inputs'!$B$31+'Inputs'!$B$32,'Inputs'!$B$30+'Inputs'!$B$31+'Inputs'!$B$32)/1000+'Inputs'!$B$21)+'Inputs'!$B$7)/SQRT((((341-43)*MAX('Inputs'!$B$33,'Inputs'!$B$29+'Inputs'!$B$31+'Inputs'!$B$32,'Inputs'!$B$30+'Inputs'!$B$31+'Inputs'!$B$32)/1000+'Inputs'!$B$21)+'Inputs'!$B$7)^2+('Inputs'!$B$6/2)^2)-(((341-43)*MAX('Inputs'!$B$33,'Inputs'!$B$29+'Inputs'!$B$31+'Inputs'!$B$32,'Inputs'!$B$30+'Inputs'!$B$31+'Inputs'!$B$32)/1000+'Inputs'!$B$21))/SQRT((((341-43)*MAX('Inputs'!$B$33,'Inputs'!$B$29+'Inputs'!$B$31+'Inputs'!$B$32,'Inputs'!$B$30+'Inputs'!$B$31+'Inputs'!$B$32)/1000+'Inputs'!$B$21))^2+('Inputs'!$B$6/2)^2)))-'Results'!C7*(1-'Inputs'!$B$24)*(0.5*((((341-43)*MAX('Inputs'!$B$33,'Inputs'!$B$29+'Inputs'!$B$31+'Inputs'!$B$32,'Inputs'!$B$30+'Inputs'!$B$31+'Inputs'!$B$32)/1000+'Inputs'!$B$21+'Inputs'!$B$7+'Inputs'!$B$10)+'Inputs'!$B$9)/SQRT((((341-43)*MAX('Inputs'!$B$33,'Inputs'!$B$29+'Inputs'!$B$31+'Inputs'!$B$32,'Inputs'!$B$30+'Inputs'!$B$31+'Inputs'!$B$32)/1000+'Inputs'!$B$21+'Inputs'!$B$7+'Inputs'!$B$10)+'Inputs'!$B$9)^2+('Inputs'!$B$8/2)^2)-(((341-43)*MAX('Inputs'!$B$33,'Inputs'!$B$29+'Inputs'!$B$31+'Inputs'!$B$32,'Inputs'!$B$30+'Inputs'!$B$31+'Inputs'!$B$32)/1000+'Inputs'!$B$21+'Inputs'!$B$7+'Inputs'!$B$10))/SQRT((((341-43)*MAX('Inputs'!$B$33,'Inputs'!$B$29+'Inputs'!$B$31+'Inputs'!$B$32,'Inputs'!$B$30+'Inputs'!$B$31+'Inputs'!$B$32)/1000+'Inputs'!$B$21+'Inputs'!$B$7+'Inputs'!$B$10))^2+('Inputs'!$B$8/2)^2))))*'Results'!$B$8)+'Inputs'!$B$28*ABS((('Results'!B7*(1+'Inputs'!$B$24)*(0.5*((((341-43)*MAX('Inputs'!$B$33,'Inputs'!$B$29+'Inputs'!$B$31+'Inputs'!$B$32,'Inputs'!$B$30+'Inputs'!$B$31+'Inputs'!$B$32)/1000+'Inputs'!$B$21)+'Inputs'!$B$7)/SQRT((((341-43)*MAX('Inputs'!$B$33,'Inputs'!$B$29+'Inputs'!$B$31+'Inputs'!$B$32,'Inputs'!$B$30+'Inputs'!$B$31+'Inputs'!$B$32)/1000+'Inputs'!$B$21)+'Inputs'!$B$7)^2+('Inputs'!$B$6/2)^2)-(((341-43)*MAX('Inputs'!$B$33,'Inputs'!$B$29+'Inputs'!$B$31+'Inputs'!$B$32,'Inputs'!$B$30+'Inputs'!$B$31+'Inputs'!$B$32)/1000+'Inputs'!$B$21))/SQRT((((341-43)*MAX('Inputs'!$B$33,'Inputs'!$B$29+'Inputs'!$B$31+'Inputs'!$B$32,'Inputs'!$B$30+'Inputs'!$B$31+'Inputs'!$B$32)/1000+'Inputs'!$B$21))^2+('Inputs'!$B$6/2)^2)))-'Results'!C7*(1-'Inputs'!$B$24)*(0.5*((((341-43)*MAX('Inputs'!$B$33,'Inputs'!$B$29+'Inputs'!$B$31+'Inputs'!$B$32,'Inputs'!$B$30+'Inputs'!$B$31+'Inputs'!$B$32)/1000+'Inputs'!$B$21+'Inputs'!$B$7+'Inputs'!$B$10)+'Inputs'!$B$9)/SQRT((((341-43)*MAX('Inputs'!$B$33,'Inputs'!$B$29+'Inputs'!$B$31+'Inputs'!$B$32,'Inputs'!$B$30+'Inputs'!$B$31+'Inputs'!$B$32)/1000+'Inputs'!$B$21+'Inputs'!$B$7+'Inputs'!$B$10)+'Inputs'!$B$9)^2+('Inputs'!$B$8/2)^2)-(((341-43)*MAX('Inputs'!$B$33,'Inputs'!$B$29+'Inputs'!$B$31+'Inputs'!$B$32,'Inputs'!$B$30+'Inputs'!$B$31+'Inputs'!$B$32)/1000+'Inputs'!$B$21+'Inputs'!$B$7+'Inputs'!$B$10))/SQRT((((341-43)*MAX('Inputs'!$B$33,'Inputs'!$B$29+'Inputs'!$B$31+'Inputs'!$B$32,'Inputs'!$B$30+'Inputs'!$B$31+'Inputs'!$B$32)/1000+'Inputs'!$B$21+'Inputs'!$B$7+'Inputs'!$B$10))^2+('Inputs'!$B$8/2)^2))))*'Results'!$B$8))),"")</x:f>
        <x:v>24.96970162154665</x:v>
      </x:c>
      <x:c r="M341" t="n">
        <x:f>IF(AND(ISNUMBER('Results'!C7),ISNUMBER('Results'!B7),ISNUMBER('Results'!$B$8),ISNUMBER('Inputs'!$B$6),ISNUMBER('Inputs'!$B$7),ISNUMBER('Inputs'!$B$8),ISNUMBER('Inputs'!$B$9),ISNUMBER('Inputs'!$B$10),ISNUMBER('Inputs'!$B$21),ISNUMBER('Inputs'!$B$24),ISNUMBER('Inputs'!$B$28)),(('Results'!C7*(0.5*((((341-43)*MAX('Inputs'!$B$33,'Inputs'!$B$29+'Inputs'!$B$31+'Inputs'!$B$32,'Inputs'!$B$30+'Inputs'!$B$31+'Inputs'!$B$32)/1000+'Inputs'!$B$21)+'Inputs'!$B$9)/SQRT((((341-43)*MAX('Inputs'!$B$33,'Inputs'!$B$29+'Inputs'!$B$31+'Inputs'!$B$32,'Inputs'!$B$30+'Inputs'!$B$31+'Inputs'!$B$32)/1000+'Inputs'!$B$21)+'Inputs'!$B$9)^2+('Inputs'!$B$8/2)^2)-(((341-43)*MAX('Inputs'!$B$33,'Inputs'!$B$29+'Inputs'!$B$31+'Inputs'!$B$32,'Inputs'!$B$30+'Inputs'!$B$31+'Inputs'!$B$32)/1000+'Inputs'!$B$21))/SQRT((((341-43)*MAX('Inputs'!$B$33,'Inputs'!$B$29+'Inputs'!$B$31+'Inputs'!$B$32,'Inputs'!$B$30+'Inputs'!$B$31+'Inputs'!$B$32)/1000+'Inputs'!$B$21))^2+('Inputs'!$B$8/2)^2)))-'Results'!B7*(0.5*((((341-43)*MAX('Inputs'!$B$33,'Inputs'!$B$29+'Inputs'!$B$31+'Inputs'!$B$32,'Inputs'!$B$30+'Inputs'!$B$31+'Inputs'!$B$32)/1000+'Inputs'!$B$21+'Inputs'!$B$9+'Inputs'!$B$10)+'Inputs'!$B$7)/SQRT((((341-43)*MAX('Inputs'!$B$33,'Inputs'!$B$29+'Inputs'!$B$31+'Inputs'!$B$32,'Inputs'!$B$30+'Inputs'!$B$31+'Inputs'!$B$32)/1000+'Inputs'!$B$21+'Inputs'!$B$9+'Inputs'!$B$10)+'Inputs'!$B$7)^2+('Inputs'!$B$6/2)^2)-(((341-43)*MAX('Inputs'!$B$33,'Inputs'!$B$29+'Inputs'!$B$31+'Inputs'!$B$32,'Inputs'!$B$30+'Inputs'!$B$31+'Inputs'!$B$32)/1000+'Inputs'!$B$21+'Inputs'!$B$9+'Inputs'!$B$10))/SQRT((((341-43)*MAX('Inputs'!$B$33,'Inputs'!$B$29+'Inputs'!$B$31+'Inputs'!$B$32,'Inputs'!$B$30+'Inputs'!$B$31+'Inputs'!$B$32)/1000+'Inputs'!$B$21+'Inputs'!$B$9+'Inputs'!$B$10))^2+('Inputs'!$B$6/2)^2))))*'Results'!$B$8),"")</x:f>
        <x:v>21.634364018484145</x:v>
      </x:c>
      <x:c r="N341" t="n">
        <x:f>IF(AND(ISNUMBER('Results'!C7),ISNUMBER('Results'!B7),ISNUMBER('Results'!$B$8),ISNUMBER('Inputs'!$B$6),ISNUMBER('Inputs'!$B$7),ISNUMBER('Inputs'!$B$8),ISNUMBER('Inputs'!$B$9),ISNUMBER('Inputs'!$B$10),ISNUMBER('Inputs'!$B$21),ISNUMBER('Inputs'!$B$24),ISNUMBER('Inputs'!$B$28)),((('Results'!C7*(1-'Inputs'!$B$24)*(0.5*((((341-43)*MAX('Inputs'!$B$33,'Inputs'!$B$29+'Inputs'!$B$31+'Inputs'!$B$32,'Inputs'!$B$30+'Inputs'!$B$31+'Inputs'!$B$32)/1000+'Inputs'!$B$21)+'Inputs'!$B$9)/SQRT((((341-43)*MAX('Inputs'!$B$33,'Inputs'!$B$29+'Inputs'!$B$31+'Inputs'!$B$32,'Inputs'!$B$30+'Inputs'!$B$31+'Inputs'!$B$32)/1000+'Inputs'!$B$21)+'Inputs'!$B$9)^2+('Inputs'!$B$8/2)^2)-(((341-43)*MAX('Inputs'!$B$33,'Inputs'!$B$29+'Inputs'!$B$31+'Inputs'!$B$32,'Inputs'!$B$30+'Inputs'!$B$31+'Inputs'!$B$32)/1000+'Inputs'!$B$21))/SQRT((((341-43)*MAX('Inputs'!$B$33,'Inputs'!$B$29+'Inputs'!$B$31+'Inputs'!$B$32,'Inputs'!$B$30+'Inputs'!$B$31+'Inputs'!$B$32)/1000+'Inputs'!$B$21))^2+('Inputs'!$B$8/2)^2)))-'Results'!B7*(1+'Inputs'!$B$24)*(0.5*((((341-43)*MAX('Inputs'!$B$33,'Inputs'!$B$29+'Inputs'!$B$31+'Inputs'!$B$32,'Inputs'!$B$30+'Inputs'!$B$31+'Inputs'!$B$32)/1000+'Inputs'!$B$21+'Inputs'!$B$9+'Inputs'!$B$10)+'Inputs'!$B$7)/SQRT((((341-43)*MAX('Inputs'!$B$33,'Inputs'!$B$29+'Inputs'!$B$31+'Inputs'!$B$32,'Inputs'!$B$30+'Inputs'!$B$31+'Inputs'!$B$32)/1000+'Inputs'!$B$21+'Inputs'!$B$9+'Inputs'!$B$10)+'Inputs'!$B$7)^2+('Inputs'!$B$6/2)^2)-(((341-43)*MAX('Inputs'!$B$33,'Inputs'!$B$29+'Inputs'!$B$31+'Inputs'!$B$32,'Inputs'!$B$30+'Inputs'!$B$31+'Inputs'!$B$32)/1000+'Inputs'!$B$21+'Inputs'!$B$9+'Inputs'!$B$10))/SQRT((((341-43)*MAX('Inputs'!$B$33,'Inputs'!$B$29+'Inputs'!$B$31+'Inputs'!$B$32,'Inputs'!$B$30+'Inputs'!$B$31+'Inputs'!$B$32)/1000+'Inputs'!$B$21+'Inputs'!$B$9+'Inputs'!$B$10))^2+('Inputs'!$B$6/2)^2))))*'Results'!$B$8)-'Inputs'!$B$28*ABS((('Results'!C7*(1-'Inputs'!$B$24)*(0.5*((((341-43)*MAX('Inputs'!$B$33,'Inputs'!$B$29+'Inputs'!$B$31+'Inputs'!$B$32,'Inputs'!$B$30+'Inputs'!$B$31+'Inputs'!$B$32)/1000+'Inputs'!$B$21)+'Inputs'!$B$9)/SQRT((((341-43)*MAX('Inputs'!$B$33,'Inputs'!$B$29+'Inputs'!$B$31+'Inputs'!$B$32,'Inputs'!$B$30+'Inputs'!$B$31+'Inputs'!$B$32)/1000+'Inputs'!$B$21)+'Inputs'!$B$9)^2+('Inputs'!$B$8/2)^2)-(((341-43)*MAX('Inputs'!$B$33,'Inputs'!$B$29+'Inputs'!$B$31+'Inputs'!$B$32,'Inputs'!$B$30+'Inputs'!$B$31+'Inputs'!$B$32)/1000+'Inputs'!$B$21))/SQRT((((341-43)*MAX('Inputs'!$B$33,'Inputs'!$B$29+'Inputs'!$B$31+'Inputs'!$B$32,'Inputs'!$B$30+'Inputs'!$B$31+'Inputs'!$B$32)/1000+'Inputs'!$B$21))^2+('Inputs'!$B$8/2)^2)))-'Results'!B7*(1+'Inputs'!$B$24)*(0.5*((((341-43)*MAX('Inputs'!$B$33,'Inputs'!$B$29+'Inputs'!$B$31+'Inputs'!$B$32,'Inputs'!$B$30+'Inputs'!$B$31+'Inputs'!$B$32)/1000+'Inputs'!$B$21+'Inputs'!$B$9+'Inputs'!$B$10)+'Inputs'!$B$7)/SQRT((((341-43)*MAX('Inputs'!$B$33,'Inputs'!$B$29+'Inputs'!$B$31+'Inputs'!$B$32,'Inputs'!$B$30+'Inputs'!$B$31+'Inputs'!$B$32)/1000+'Inputs'!$B$21+'Inputs'!$B$9+'Inputs'!$B$10)+'Inputs'!$B$7)^2+('Inputs'!$B$6/2)^2)-(((341-43)*MAX('Inputs'!$B$33,'Inputs'!$B$29+'Inputs'!$B$31+'Inputs'!$B$32,'Inputs'!$B$30+'Inputs'!$B$31+'Inputs'!$B$32)/1000+'Inputs'!$B$21+'Inputs'!$B$9+'Inputs'!$B$10))/SQRT((((341-43)*MAX('Inputs'!$B$33,'Inputs'!$B$29+'Inputs'!$B$31+'Inputs'!$B$32,'Inputs'!$B$30+'Inputs'!$B$31+'Inputs'!$B$32)/1000+'Inputs'!$B$21+'Inputs'!$B$9+'Inputs'!$B$10))^2+('Inputs'!$B$6/2)^2))))*'Results'!$B$8))),"")</x:f>
        <x:v>19.54464671781269</x:v>
      </x:c>
      <x:c r="O341" t="n">
        <x:f>IF(AND(ISNUMBER('Results'!C7),ISNUMBER('Results'!B7),ISNUMBER('Results'!$B$8),ISNUMBER('Inputs'!$B$6),ISNUMBER('Inputs'!$B$7),ISNUMBER('Inputs'!$B$8),ISNUMBER('Inputs'!$B$9),ISNUMBER('Inputs'!$B$10),ISNUMBER('Inputs'!$B$21),ISNUMBER('Inputs'!$B$24),ISNUMBER('Inputs'!$B$28)),((('Results'!C7*(1+'Inputs'!$B$24)*(0.5*((((341-43)*MAX('Inputs'!$B$33,'Inputs'!$B$29+'Inputs'!$B$31+'Inputs'!$B$32,'Inputs'!$B$30+'Inputs'!$B$31+'Inputs'!$B$32)/1000+'Inputs'!$B$21)+'Inputs'!$B$9)/SQRT((((341-43)*MAX('Inputs'!$B$33,'Inputs'!$B$29+'Inputs'!$B$31+'Inputs'!$B$32,'Inputs'!$B$30+'Inputs'!$B$31+'Inputs'!$B$32)/1000+'Inputs'!$B$21)+'Inputs'!$B$9)^2+('Inputs'!$B$8/2)^2)-(((341-43)*MAX('Inputs'!$B$33,'Inputs'!$B$29+'Inputs'!$B$31+'Inputs'!$B$32,'Inputs'!$B$30+'Inputs'!$B$31+'Inputs'!$B$32)/1000+'Inputs'!$B$21))/SQRT((((341-43)*MAX('Inputs'!$B$33,'Inputs'!$B$29+'Inputs'!$B$31+'Inputs'!$B$32,'Inputs'!$B$30+'Inputs'!$B$31+'Inputs'!$B$32)/1000+'Inputs'!$B$21))^2+('Inputs'!$B$8/2)^2)))-'Results'!B7*(1-'Inputs'!$B$24)*(0.5*((((341-43)*MAX('Inputs'!$B$33,'Inputs'!$B$29+'Inputs'!$B$31+'Inputs'!$B$32,'Inputs'!$B$30+'Inputs'!$B$31+'Inputs'!$B$32)/1000+'Inputs'!$B$21+'Inputs'!$B$9+'Inputs'!$B$10)+'Inputs'!$B$7)/SQRT((((341-43)*MAX('Inputs'!$B$33,'Inputs'!$B$29+'Inputs'!$B$31+'Inputs'!$B$32,'Inputs'!$B$30+'Inputs'!$B$31+'Inputs'!$B$32)/1000+'Inputs'!$B$21+'Inputs'!$B$9+'Inputs'!$B$10)+'Inputs'!$B$7)^2+('Inputs'!$B$6/2)^2)-(((341-43)*MAX('Inputs'!$B$33,'Inputs'!$B$29+'Inputs'!$B$31+'Inputs'!$B$32,'Inputs'!$B$30+'Inputs'!$B$31+'Inputs'!$B$32)/1000+'Inputs'!$B$21+'Inputs'!$B$9+'Inputs'!$B$10))/SQRT((((341-43)*MAX('Inputs'!$B$33,'Inputs'!$B$29+'Inputs'!$B$31+'Inputs'!$B$32,'Inputs'!$B$30+'Inputs'!$B$31+'Inputs'!$B$32)/1000+'Inputs'!$B$21+'Inputs'!$B$9+'Inputs'!$B$10))^2+('Inputs'!$B$6/2)^2))))*'Results'!$B$8)+'Inputs'!$B$28*ABS((('Results'!C7*(1+'Inputs'!$B$24)*(0.5*((((341-43)*MAX('Inputs'!$B$33,'Inputs'!$B$29+'Inputs'!$B$31+'Inputs'!$B$32,'Inputs'!$B$30+'Inputs'!$B$31+'Inputs'!$B$32)/1000+'Inputs'!$B$21)+'Inputs'!$B$9)/SQRT((((341-43)*MAX('Inputs'!$B$33,'Inputs'!$B$29+'Inputs'!$B$31+'Inputs'!$B$32,'Inputs'!$B$30+'Inputs'!$B$31+'Inputs'!$B$32)/1000+'Inputs'!$B$21)+'Inputs'!$B$9)^2+('Inputs'!$B$8/2)^2)-(((341-43)*MAX('Inputs'!$B$33,'Inputs'!$B$29+'Inputs'!$B$31+'Inputs'!$B$32,'Inputs'!$B$30+'Inputs'!$B$31+'Inputs'!$B$32)/1000+'Inputs'!$B$21))/SQRT((((341-43)*MAX('Inputs'!$B$33,'Inputs'!$B$29+'Inputs'!$B$31+'Inputs'!$B$32,'Inputs'!$B$30+'Inputs'!$B$31+'Inputs'!$B$32)/1000+'Inputs'!$B$21))^2+('Inputs'!$B$8/2)^2)))-'Results'!B7*(1-'Inputs'!$B$24)*(0.5*((((341-43)*MAX('Inputs'!$B$33,'Inputs'!$B$29+'Inputs'!$B$31+'Inputs'!$B$32,'Inputs'!$B$30+'Inputs'!$B$31+'Inputs'!$B$32)/1000+'Inputs'!$B$21+'Inputs'!$B$9+'Inputs'!$B$10)+'Inputs'!$B$7)/SQRT((((341-43)*MAX('Inputs'!$B$33,'Inputs'!$B$29+'Inputs'!$B$31+'Inputs'!$B$32,'Inputs'!$B$30+'Inputs'!$B$31+'Inputs'!$B$32)/1000+'Inputs'!$B$21+'Inputs'!$B$9+'Inputs'!$B$10)+'Inputs'!$B$7)^2+('Inputs'!$B$6/2)^2)-(((341-43)*MAX('Inputs'!$B$33,'Inputs'!$B$29+'Inputs'!$B$31+'Inputs'!$B$32,'Inputs'!$B$30+'Inputs'!$B$31+'Inputs'!$B$32)/1000+'Inputs'!$B$21+'Inputs'!$B$9+'Inputs'!$B$10))/SQRT((((341-43)*MAX('Inputs'!$B$33,'Inputs'!$B$29+'Inputs'!$B$31+'Inputs'!$B$32,'Inputs'!$B$30+'Inputs'!$B$31+'Inputs'!$B$32)/1000+'Inputs'!$B$21+'Inputs'!$B$9+'Inputs'!$B$10))^2+('Inputs'!$B$6/2)^2))))*'Results'!$B$8))),"")</x:f>
        <x:v>23.83018648755005</x:v>
      </x:c>
      <x:c r="P341" t="n">
        <x:f>IF(AND(MAX(J341,J340)&gt;0,J341&gt;J340+0.00000001),1,0)</x:f>
        <x:v>0</x:v>
      </x:c>
      <x:c r="Q341" t="n">
        <x:f>IF(AND(MAX(K341,K340)&gt;0,K341&gt;K340+0.00000001),1,0)</x:f>
        <x:v>0</x:v>
      </x:c>
      <x:c r="R341" t="n">
        <x:f>IF(AND(MAX(L341,L340)&gt;0,L341&gt;L340+0.00000001),1,0)</x:f>
        <x:v>0</x:v>
      </x:c>
      <x:c r="S341" t="n">
        <x:f>IF(AND(MAX(M341,M340)&gt;0,M341&gt;M340+0.00000001),1,0)</x:f>
        <x:v>0</x:v>
      </x:c>
      <x:c r="T341" t="n">
        <x:f>IF(AND(MAX(N341,N340)&gt;0,N341&gt;N340+0.00000001),1,0)</x:f>
        <x:v>0</x:v>
      </x:c>
      <x:c r="U341" t="n">
        <x:f>IF(AND(MAX(O341,O340)&gt;0,O341&gt;O340+0.00000001),1,0)</x:f>
        <x:v>0</x:v>
      </x:c>
    </x:row>
    <x:row r="342">
      <x:c r="J342" t="n">
        <x:f>IF(AND(ISNUMBER('Results'!B7),ISNUMBER('Results'!C7),ISNUMBER('Results'!$B$8),ISNUMBER('Inputs'!$B$6),ISNUMBER('Inputs'!$B$7),ISNUMBER('Inputs'!$B$8),ISNUMBER('Inputs'!$B$9),ISNUMBER('Inputs'!$B$10),ISNUMBER('Inputs'!$B$21),ISNUMBER('Inputs'!$B$24),ISNUMBER('Inputs'!$B$28)),(('Results'!B7*(0.5*((((342-43)*MAX('Inputs'!$B$33,'Inputs'!$B$29+'Inputs'!$B$31+'Inputs'!$B$32,'Inputs'!$B$30+'Inputs'!$B$31+'Inputs'!$B$32)/1000+'Inputs'!$B$21)+'Inputs'!$B$7)/SQRT((((342-43)*MAX('Inputs'!$B$33,'Inputs'!$B$29+'Inputs'!$B$31+'Inputs'!$B$32,'Inputs'!$B$30+'Inputs'!$B$31+'Inputs'!$B$32)/1000+'Inputs'!$B$21)+'Inputs'!$B$7)^2+('Inputs'!$B$6/2)^2)-(((342-43)*MAX('Inputs'!$B$33,'Inputs'!$B$29+'Inputs'!$B$31+'Inputs'!$B$32,'Inputs'!$B$30+'Inputs'!$B$31+'Inputs'!$B$32)/1000+'Inputs'!$B$21))/SQRT((((342-43)*MAX('Inputs'!$B$33,'Inputs'!$B$29+'Inputs'!$B$31+'Inputs'!$B$32,'Inputs'!$B$30+'Inputs'!$B$31+'Inputs'!$B$32)/1000+'Inputs'!$B$21))^2+('Inputs'!$B$6/2)^2)))-'Results'!C7*(0.5*((((342-43)*MAX('Inputs'!$B$33,'Inputs'!$B$29+'Inputs'!$B$31+'Inputs'!$B$32,'Inputs'!$B$30+'Inputs'!$B$31+'Inputs'!$B$32)/1000+'Inputs'!$B$21+'Inputs'!$B$7+'Inputs'!$B$10)+'Inputs'!$B$9)/SQRT((((342-43)*MAX('Inputs'!$B$33,'Inputs'!$B$29+'Inputs'!$B$31+'Inputs'!$B$32,'Inputs'!$B$30+'Inputs'!$B$31+'Inputs'!$B$32)/1000+'Inputs'!$B$21+'Inputs'!$B$7+'Inputs'!$B$10)+'Inputs'!$B$9)^2+('Inputs'!$B$8/2)^2)-(((342-43)*MAX('Inputs'!$B$33,'Inputs'!$B$29+'Inputs'!$B$31+'Inputs'!$B$32,'Inputs'!$B$30+'Inputs'!$B$31+'Inputs'!$B$32)/1000+'Inputs'!$B$21+'Inputs'!$B$7+'Inputs'!$B$10))/SQRT((((342-43)*MAX('Inputs'!$B$33,'Inputs'!$B$29+'Inputs'!$B$31+'Inputs'!$B$32,'Inputs'!$B$30+'Inputs'!$B$31+'Inputs'!$B$32)/1000+'Inputs'!$B$21+'Inputs'!$B$7+'Inputs'!$B$10))^2+('Inputs'!$B$8/2)^2))))*'Results'!$B$8),"")</x:f>
        <x:v>22.47577231217586</x:v>
      </x:c>
      <x:c r="K342" t="n">
        <x:f>IF(AND(ISNUMBER('Results'!B7),ISNUMBER('Results'!C7),ISNUMBER('Results'!$B$8),ISNUMBER('Inputs'!$B$6),ISNUMBER('Inputs'!$B$7),ISNUMBER('Inputs'!$B$8),ISNUMBER('Inputs'!$B$9),ISNUMBER('Inputs'!$B$10),ISNUMBER('Inputs'!$B$21),ISNUMBER('Inputs'!$B$24),ISNUMBER('Inputs'!$B$28)),((('Results'!B7*(1-'Inputs'!$B$24)*(0.5*((((342-43)*MAX('Inputs'!$B$33,'Inputs'!$B$29+'Inputs'!$B$31+'Inputs'!$B$32,'Inputs'!$B$30+'Inputs'!$B$31+'Inputs'!$B$32)/1000+'Inputs'!$B$21)+'Inputs'!$B$7)/SQRT((((342-43)*MAX('Inputs'!$B$33,'Inputs'!$B$29+'Inputs'!$B$31+'Inputs'!$B$32,'Inputs'!$B$30+'Inputs'!$B$31+'Inputs'!$B$32)/1000+'Inputs'!$B$21)+'Inputs'!$B$7)^2+('Inputs'!$B$6/2)^2)-(((342-43)*MAX('Inputs'!$B$33,'Inputs'!$B$29+'Inputs'!$B$31+'Inputs'!$B$32,'Inputs'!$B$30+'Inputs'!$B$31+'Inputs'!$B$32)/1000+'Inputs'!$B$21))/SQRT((((342-43)*MAX('Inputs'!$B$33,'Inputs'!$B$29+'Inputs'!$B$31+'Inputs'!$B$32,'Inputs'!$B$30+'Inputs'!$B$31+'Inputs'!$B$32)/1000+'Inputs'!$B$21))^2+('Inputs'!$B$6/2)^2)))-'Results'!C7*(1+'Inputs'!$B$24)*(0.5*((((342-43)*MAX('Inputs'!$B$33,'Inputs'!$B$29+'Inputs'!$B$31+'Inputs'!$B$32,'Inputs'!$B$30+'Inputs'!$B$31+'Inputs'!$B$32)/1000+'Inputs'!$B$21+'Inputs'!$B$7+'Inputs'!$B$10)+'Inputs'!$B$9)/SQRT((((342-43)*MAX('Inputs'!$B$33,'Inputs'!$B$29+'Inputs'!$B$31+'Inputs'!$B$32,'Inputs'!$B$30+'Inputs'!$B$31+'Inputs'!$B$32)/1000+'Inputs'!$B$21+'Inputs'!$B$7+'Inputs'!$B$10)+'Inputs'!$B$9)^2+('Inputs'!$B$8/2)^2)-(((342-43)*MAX('Inputs'!$B$33,'Inputs'!$B$29+'Inputs'!$B$31+'Inputs'!$B$32,'Inputs'!$B$30+'Inputs'!$B$31+'Inputs'!$B$32)/1000+'Inputs'!$B$21+'Inputs'!$B$7+'Inputs'!$B$10))/SQRT((((342-43)*MAX('Inputs'!$B$33,'Inputs'!$B$29+'Inputs'!$B$31+'Inputs'!$B$32,'Inputs'!$B$30+'Inputs'!$B$31+'Inputs'!$B$32)/1000+'Inputs'!$B$21+'Inputs'!$B$7+'Inputs'!$B$10))^2+('Inputs'!$B$8/2)^2))))*'Results'!$B$8)-'Inputs'!$B$28*ABS((('Results'!B7*(1-'Inputs'!$B$24)*(0.5*((((342-43)*MAX('Inputs'!$B$33,'Inputs'!$B$29+'Inputs'!$B$31+'Inputs'!$B$32,'Inputs'!$B$30+'Inputs'!$B$31+'Inputs'!$B$32)/1000+'Inputs'!$B$21)+'Inputs'!$B$7)/SQRT((((342-43)*MAX('Inputs'!$B$33,'Inputs'!$B$29+'Inputs'!$B$31+'Inputs'!$B$32,'Inputs'!$B$30+'Inputs'!$B$31+'Inputs'!$B$32)/1000+'Inputs'!$B$21)+'Inputs'!$B$7)^2+('Inputs'!$B$6/2)^2)-(((342-43)*MAX('Inputs'!$B$33,'Inputs'!$B$29+'Inputs'!$B$31+'Inputs'!$B$32,'Inputs'!$B$30+'Inputs'!$B$31+'Inputs'!$B$32)/1000+'Inputs'!$B$21))/SQRT((((342-43)*MAX('Inputs'!$B$33,'Inputs'!$B$29+'Inputs'!$B$31+'Inputs'!$B$32,'Inputs'!$B$30+'Inputs'!$B$31+'Inputs'!$B$32)/1000+'Inputs'!$B$21))^2+('Inputs'!$B$6/2)^2)))-'Results'!C7*(1+'Inputs'!$B$24)*(0.5*((((342-43)*MAX('Inputs'!$B$33,'Inputs'!$B$29+'Inputs'!$B$31+'Inputs'!$B$32,'Inputs'!$B$30+'Inputs'!$B$31+'Inputs'!$B$32)/1000+'Inputs'!$B$21+'Inputs'!$B$7+'Inputs'!$B$10)+'Inputs'!$B$9)/SQRT((((342-43)*MAX('Inputs'!$B$33,'Inputs'!$B$29+'Inputs'!$B$31+'Inputs'!$B$32,'Inputs'!$B$30+'Inputs'!$B$31+'Inputs'!$B$32)/1000+'Inputs'!$B$21+'Inputs'!$B$7+'Inputs'!$B$10)+'Inputs'!$B$9)^2+('Inputs'!$B$8/2)^2)-(((342-43)*MAX('Inputs'!$B$33,'Inputs'!$B$29+'Inputs'!$B$31+'Inputs'!$B$32,'Inputs'!$B$30+'Inputs'!$B$31+'Inputs'!$B$32)/1000+'Inputs'!$B$21+'Inputs'!$B$7+'Inputs'!$B$10))/SQRT((((342-43)*MAX('Inputs'!$B$33,'Inputs'!$B$29+'Inputs'!$B$31+'Inputs'!$B$32,'Inputs'!$B$30+'Inputs'!$B$31+'Inputs'!$B$32)/1000+'Inputs'!$B$21+'Inputs'!$B$7+'Inputs'!$B$10))^2+('Inputs'!$B$8/2)^2))))*'Results'!$B$8))),"")</x:f>
        <x:v>20.343854490829166</x:v>
      </x:c>
      <x:c r="L342" t="n">
        <x:f>IF(AND(ISNUMBER('Results'!B7),ISNUMBER('Results'!C7),ISNUMBER('Results'!$B$8),ISNUMBER('Inputs'!$B$6),ISNUMBER('Inputs'!$B$7),ISNUMBER('Inputs'!$B$8),ISNUMBER('Inputs'!$B$9),ISNUMBER('Inputs'!$B$10),ISNUMBER('Inputs'!$B$21),ISNUMBER('Inputs'!$B$24),ISNUMBER('Inputs'!$B$28)),((('Results'!B7*(1+'Inputs'!$B$24)*(0.5*((((342-43)*MAX('Inputs'!$B$33,'Inputs'!$B$29+'Inputs'!$B$31+'Inputs'!$B$32,'Inputs'!$B$30+'Inputs'!$B$31+'Inputs'!$B$32)/1000+'Inputs'!$B$21)+'Inputs'!$B$7)/SQRT((((342-43)*MAX('Inputs'!$B$33,'Inputs'!$B$29+'Inputs'!$B$31+'Inputs'!$B$32,'Inputs'!$B$30+'Inputs'!$B$31+'Inputs'!$B$32)/1000+'Inputs'!$B$21)+'Inputs'!$B$7)^2+('Inputs'!$B$6/2)^2)-(((342-43)*MAX('Inputs'!$B$33,'Inputs'!$B$29+'Inputs'!$B$31+'Inputs'!$B$32,'Inputs'!$B$30+'Inputs'!$B$31+'Inputs'!$B$32)/1000+'Inputs'!$B$21))/SQRT((((342-43)*MAX('Inputs'!$B$33,'Inputs'!$B$29+'Inputs'!$B$31+'Inputs'!$B$32,'Inputs'!$B$30+'Inputs'!$B$31+'Inputs'!$B$32)/1000+'Inputs'!$B$21))^2+('Inputs'!$B$6/2)^2)))-'Results'!C7*(1-'Inputs'!$B$24)*(0.5*((((342-43)*MAX('Inputs'!$B$33,'Inputs'!$B$29+'Inputs'!$B$31+'Inputs'!$B$32,'Inputs'!$B$30+'Inputs'!$B$31+'Inputs'!$B$32)/1000+'Inputs'!$B$21+'Inputs'!$B$7+'Inputs'!$B$10)+'Inputs'!$B$9)/SQRT((((342-43)*MAX('Inputs'!$B$33,'Inputs'!$B$29+'Inputs'!$B$31+'Inputs'!$B$32,'Inputs'!$B$30+'Inputs'!$B$31+'Inputs'!$B$32)/1000+'Inputs'!$B$21+'Inputs'!$B$7+'Inputs'!$B$10)+'Inputs'!$B$9)^2+('Inputs'!$B$8/2)^2)-(((342-43)*MAX('Inputs'!$B$33,'Inputs'!$B$29+'Inputs'!$B$31+'Inputs'!$B$32,'Inputs'!$B$30+'Inputs'!$B$31+'Inputs'!$B$32)/1000+'Inputs'!$B$21+'Inputs'!$B$7+'Inputs'!$B$10))/SQRT((((342-43)*MAX('Inputs'!$B$33,'Inputs'!$B$29+'Inputs'!$B$31+'Inputs'!$B$32,'Inputs'!$B$30+'Inputs'!$B$31+'Inputs'!$B$32)/1000+'Inputs'!$B$21+'Inputs'!$B$7+'Inputs'!$B$10))^2+('Inputs'!$B$8/2)^2))))*'Results'!$B$8)+'Inputs'!$B$28*ABS((('Results'!B7*(1+'Inputs'!$B$24)*(0.5*((((342-43)*MAX('Inputs'!$B$33,'Inputs'!$B$29+'Inputs'!$B$31+'Inputs'!$B$32,'Inputs'!$B$30+'Inputs'!$B$31+'Inputs'!$B$32)/1000+'Inputs'!$B$21)+'Inputs'!$B$7)/SQRT((((342-43)*MAX('Inputs'!$B$33,'Inputs'!$B$29+'Inputs'!$B$31+'Inputs'!$B$32,'Inputs'!$B$30+'Inputs'!$B$31+'Inputs'!$B$32)/1000+'Inputs'!$B$21)+'Inputs'!$B$7)^2+('Inputs'!$B$6/2)^2)-(((342-43)*MAX('Inputs'!$B$33,'Inputs'!$B$29+'Inputs'!$B$31+'Inputs'!$B$32,'Inputs'!$B$30+'Inputs'!$B$31+'Inputs'!$B$32)/1000+'Inputs'!$B$21))/SQRT((((342-43)*MAX('Inputs'!$B$33,'Inputs'!$B$29+'Inputs'!$B$31+'Inputs'!$B$32,'Inputs'!$B$30+'Inputs'!$B$31+'Inputs'!$B$32)/1000+'Inputs'!$B$21))^2+('Inputs'!$B$6/2)^2)))-'Results'!C7*(1-'Inputs'!$B$24)*(0.5*((((342-43)*MAX('Inputs'!$B$33,'Inputs'!$B$29+'Inputs'!$B$31+'Inputs'!$B$32,'Inputs'!$B$30+'Inputs'!$B$31+'Inputs'!$B$32)/1000+'Inputs'!$B$21+'Inputs'!$B$7+'Inputs'!$B$10)+'Inputs'!$B$9)/SQRT((((342-43)*MAX('Inputs'!$B$33,'Inputs'!$B$29+'Inputs'!$B$31+'Inputs'!$B$32,'Inputs'!$B$30+'Inputs'!$B$31+'Inputs'!$B$32)/1000+'Inputs'!$B$21+'Inputs'!$B$7+'Inputs'!$B$10)+'Inputs'!$B$9)^2+('Inputs'!$B$8/2)^2)-(((342-43)*MAX('Inputs'!$B$33,'Inputs'!$B$29+'Inputs'!$B$31+'Inputs'!$B$32,'Inputs'!$B$30+'Inputs'!$B$31+'Inputs'!$B$32)/1000+'Inputs'!$B$21+'Inputs'!$B$7+'Inputs'!$B$10))/SQRT((((342-43)*MAX('Inputs'!$B$33,'Inputs'!$B$29+'Inputs'!$B$31+'Inputs'!$B$32,'Inputs'!$B$30+'Inputs'!$B$31+'Inputs'!$B$32)/1000+'Inputs'!$B$21+'Inputs'!$B$7+'Inputs'!$B$10))^2+('Inputs'!$B$8/2)^2))))*'Results'!$B$8))),"")</x:f>
        <x:v>24.713808997284445</x:v>
      </x:c>
      <x:c r="M342" t="n">
        <x:f>IF(AND(ISNUMBER('Results'!C7),ISNUMBER('Results'!B7),ISNUMBER('Results'!$B$8),ISNUMBER('Inputs'!$B$6),ISNUMBER('Inputs'!$B$7),ISNUMBER('Inputs'!$B$8),ISNUMBER('Inputs'!$B$9),ISNUMBER('Inputs'!$B$10),ISNUMBER('Inputs'!$B$21),ISNUMBER('Inputs'!$B$24),ISNUMBER('Inputs'!$B$28)),(('Results'!C7*(0.5*((((342-43)*MAX('Inputs'!$B$33,'Inputs'!$B$29+'Inputs'!$B$31+'Inputs'!$B$32,'Inputs'!$B$30+'Inputs'!$B$31+'Inputs'!$B$32)/1000+'Inputs'!$B$21)+'Inputs'!$B$9)/SQRT((((342-43)*MAX('Inputs'!$B$33,'Inputs'!$B$29+'Inputs'!$B$31+'Inputs'!$B$32,'Inputs'!$B$30+'Inputs'!$B$31+'Inputs'!$B$32)/1000+'Inputs'!$B$21)+'Inputs'!$B$9)^2+('Inputs'!$B$8/2)^2)-(((342-43)*MAX('Inputs'!$B$33,'Inputs'!$B$29+'Inputs'!$B$31+'Inputs'!$B$32,'Inputs'!$B$30+'Inputs'!$B$31+'Inputs'!$B$32)/1000+'Inputs'!$B$21))/SQRT((((342-43)*MAX('Inputs'!$B$33,'Inputs'!$B$29+'Inputs'!$B$31+'Inputs'!$B$32,'Inputs'!$B$30+'Inputs'!$B$31+'Inputs'!$B$32)/1000+'Inputs'!$B$21))^2+('Inputs'!$B$8/2)^2)))-'Results'!B7*(0.5*((((342-43)*MAX('Inputs'!$B$33,'Inputs'!$B$29+'Inputs'!$B$31+'Inputs'!$B$32,'Inputs'!$B$30+'Inputs'!$B$31+'Inputs'!$B$32)/1000+'Inputs'!$B$21+'Inputs'!$B$9+'Inputs'!$B$10)+'Inputs'!$B$7)/SQRT((((342-43)*MAX('Inputs'!$B$33,'Inputs'!$B$29+'Inputs'!$B$31+'Inputs'!$B$32,'Inputs'!$B$30+'Inputs'!$B$31+'Inputs'!$B$32)/1000+'Inputs'!$B$21+'Inputs'!$B$9+'Inputs'!$B$10)+'Inputs'!$B$7)^2+('Inputs'!$B$6/2)^2)-(((342-43)*MAX('Inputs'!$B$33,'Inputs'!$B$29+'Inputs'!$B$31+'Inputs'!$B$32,'Inputs'!$B$30+'Inputs'!$B$31+'Inputs'!$B$32)/1000+'Inputs'!$B$21+'Inputs'!$B$9+'Inputs'!$B$10))/SQRT((((342-43)*MAX('Inputs'!$B$33,'Inputs'!$B$29+'Inputs'!$B$31+'Inputs'!$B$32,'Inputs'!$B$30+'Inputs'!$B$31+'Inputs'!$B$32)/1000+'Inputs'!$B$21+'Inputs'!$B$9+'Inputs'!$B$10))^2+('Inputs'!$B$6/2)^2))))*'Results'!$B$8),"")</x:f>
        <x:v>21.40834211137972</x:v>
      </x:c>
      <x:c r="N342" t="n">
        <x:f>IF(AND(ISNUMBER('Results'!C7),ISNUMBER('Results'!B7),ISNUMBER('Results'!$B$8),ISNUMBER('Inputs'!$B$6),ISNUMBER('Inputs'!$B$7),ISNUMBER('Inputs'!$B$8),ISNUMBER('Inputs'!$B$9),ISNUMBER('Inputs'!$B$10),ISNUMBER('Inputs'!$B$21),ISNUMBER('Inputs'!$B$24),ISNUMBER('Inputs'!$B$28)),((('Results'!C7*(1-'Inputs'!$B$24)*(0.5*((((342-43)*MAX('Inputs'!$B$33,'Inputs'!$B$29+'Inputs'!$B$31+'Inputs'!$B$32,'Inputs'!$B$30+'Inputs'!$B$31+'Inputs'!$B$32)/1000+'Inputs'!$B$21)+'Inputs'!$B$9)/SQRT((((342-43)*MAX('Inputs'!$B$33,'Inputs'!$B$29+'Inputs'!$B$31+'Inputs'!$B$32,'Inputs'!$B$30+'Inputs'!$B$31+'Inputs'!$B$32)/1000+'Inputs'!$B$21)+'Inputs'!$B$9)^2+('Inputs'!$B$8/2)^2)-(((342-43)*MAX('Inputs'!$B$33,'Inputs'!$B$29+'Inputs'!$B$31+'Inputs'!$B$32,'Inputs'!$B$30+'Inputs'!$B$31+'Inputs'!$B$32)/1000+'Inputs'!$B$21))/SQRT((((342-43)*MAX('Inputs'!$B$33,'Inputs'!$B$29+'Inputs'!$B$31+'Inputs'!$B$32,'Inputs'!$B$30+'Inputs'!$B$31+'Inputs'!$B$32)/1000+'Inputs'!$B$21))^2+('Inputs'!$B$8/2)^2)))-'Results'!B7*(1+'Inputs'!$B$24)*(0.5*((((342-43)*MAX('Inputs'!$B$33,'Inputs'!$B$29+'Inputs'!$B$31+'Inputs'!$B$32,'Inputs'!$B$30+'Inputs'!$B$31+'Inputs'!$B$32)/1000+'Inputs'!$B$21+'Inputs'!$B$9+'Inputs'!$B$10)+'Inputs'!$B$7)/SQRT((((342-43)*MAX('Inputs'!$B$33,'Inputs'!$B$29+'Inputs'!$B$31+'Inputs'!$B$32,'Inputs'!$B$30+'Inputs'!$B$31+'Inputs'!$B$32)/1000+'Inputs'!$B$21+'Inputs'!$B$9+'Inputs'!$B$10)+'Inputs'!$B$7)^2+('Inputs'!$B$6/2)^2)-(((342-43)*MAX('Inputs'!$B$33,'Inputs'!$B$29+'Inputs'!$B$31+'Inputs'!$B$32,'Inputs'!$B$30+'Inputs'!$B$31+'Inputs'!$B$32)/1000+'Inputs'!$B$21+'Inputs'!$B$9+'Inputs'!$B$10))/SQRT((((342-43)*MAX('Inputs'!$B$33,'Inputs'!$B$29+'Inputs'!$B$31+'Inputs'!$B$32,'Inputs'!$B$30+'Inputs'!$B$31+'Inputs'!$B$32)/1000+'Inputs'!$B$21+'Inputs'!$B$9+'Inputs'!$B$10))^2+('Inputs'!$B$6/2)^2))))*'Results'!$B$8)-'Inputs'!$B$28*ABS((('Results'!C7*(1-'Inputs'!$B$24)*(0.5*((((342-43)*MAX('Inputs'!$B$33,'Inputs'!$B$29+'Inputs'!$B$31+'Inputs'!$B$32,'Inputs'!$B$30+'Inputs'!$B$31+'Inputs'!$B$32)/1000+'Inputs'!$B$21)+'Inputs'!$B$9)/SQRT((((342-43)*MAX('Inputs'!$B$33,'Inputs'!$B$29+'Inputs'!$B$31+'Inputs'!$B$32,'Inputs'!$B$30+'Inputs'!$B$31+'Inputs'!$B$32)/1000+'Inputs'!$B$21)+'Inputs'!$B$9)^2+('Inputs'!$B$8/2)^2)-(((342-43)*MAX('Inputs'!$B$33,'Inputs'!$B$29+'Inputs'!$B$31+'Inputs'!$B$32,'Inputs'!$B$30+'Inputs'!$B$31+'Inputs'!$B$32)/1000+'Inputs'!$B$21))/SQRT((((342-43)*MAX('Inputs'!$B$33,'Inputs'!$B$29+'Inputs'!$B$31+'Inputs'!$B$32,'Inputs'!$B$30+'Inputs'!$B$31+'Inputs'!$B$32)/1000+'Inputs'!$B$21))^2+('Inputs'!$B$8/2)^2)))-'Results'!B7*(1+'Inputs'!$B$24)*(0.5*((((342-43)*MAX('Inputs'!$B$33,'Inputs'!$B$29+'Inputs'!$B$31+'Inputs'!$B$32,'Inputs'!$B$30+'Inputs'!$B$31+'Inputs'!$B$32)/1000+'Inputs'!$B$21+'Inputs'!$B$9+'Inputs'!$B$10)+'Inputs'!$B$7)/SQRT((((342-43)*MAX('Inputs'!$B$33,'Inputs'!$B$29+'Inputs'!$B$31+'Inputs'!$B$32,'Inputs'!$B$30+'Inputs'!$B$31+'Inputs'!$B$32)/1000+'Inputs'!$B$21+'Inputs'!$B$9+'Inputs'!$B$10)+'Inputs'!$B$7)^2+('Inputs'!$B$6/2)^2)-(((342-43)*MAX('Inputs'!$B$33,'Inputs'!$B$29+'Inputs'!$B$31+'Inputs'!$B$32,'Inputs'!$B$30+'Inputs'!$B$31+'Inputs'!$B$32)/1000+'Inputs'!$B$21+'Inputs'!$B$9+'Inputs'!$B$10))/SQRT((((342-43)*MAX('Inputs'!$B$33,'Inputs'!$B$29+'Inputs'!$B$31+'Inputs'!$B$32,'Inputs'!$B$30+'Inputs'!$B$31+'Inputs'!$B$32)/1000+'Inputs'!$B$21+'Inputs'!$B$9+'Inputs'!$B$10))^2+('Inputs'!$B$6/2)^2))))*'Results'!$B$8))),"")</x:f>
        <x:v>19.338218003851082</x:v>
      </x:c>
      <x:c r="O342" t="n">
        <x:f>IF(AND(ISNUMBER('Results'!C7),ISNUMBER('Results'!B7),ISNUMBER('Results'!$B$8),ISNUMBER('Inputs'!$B$6),ISNUMBER('Inputs'!$B$7),ISNUMBER('Inputs'!$B$8),ISNUMBER('Inputs'!$B$9),ISNUMBER('Inputs'!$B$10),ISNUMBER('Inputs'!$B$21),ISNUMBER('Inputs'!$B$24),ISNUMBER('Inputs'!$B$28)),((('Results'!C7*(1+'Inputs'!$B$24)*(0.5*((((342-43)*MAX('Inputs'!$B$33,'Inputs'!$B$29+'Inputs'!$B$31+'Inputs'!$B$32,'Inputs'!$B$30+'Inputs'!$B$31+'Inputs'!$B$32)/1000+'Inputs'!$B$21)+'Inputs'!$B$9)/SQRT((((342-43)*MAX('Inputs'!$B$33,'Inputs'!$B$29+'Inputs'!$B$31+'Inputs'!$B$32,'Inputs'!$B$30+'Inputs'!$B$31+'Inputs'!$B$32)/1000+'Inputs'!$B$21)+'Inputs'!$B$9)^2+('Inputs'!$B$8/2)^2)-(((342-43)*MAX('Inputs'!$B$33,'Inputs'!$B$29+'Inputs'!$B$31+'Inputs'!$B$32,'Inputs'!$B$30+'Inputs'!$B$31+'Inputs'!$B$32)/1000+'Inputs'!$B$21))/SQRT((((342-43)*MAX('Inputs'!$B$33,'Inputs'!$B$29+'Inputs'!$B$31+'Inputs'!$B$32,'Inputs'!$B$30+'Inputs'!$B$31+'Inputs'!$B$32)/1000+'Inputs'!$B$21))^2+('Inputs'!$B$8/2)^2)))-'Results'!B7*(1-'Inputs'!$B$24)*(0.5*((((342-43)*MAX('Inputs'!$B$33,'Inputs'!$B$29+'Inputs'!$B$31+'Inputs'!$B$32,'Inputs'!$B$30+'Inputs'!$B$31+'Inputs'!$B$32)/1000+'Inputs'!$B$21+'Inputs'!$B$9+'Inputs'!$B$10)+'Inputs'!$B$7)/SQRT((((342-43)*MAX('Inputs'!$B$33,'Inputs'!$B$29+'Inputs'!$B$31+'Inputs'!$B$32,'Inputs'!$B$30+'Inputs'!$B$31+'Inputs'!$B$32)/1000+'Inputs'!$B$21+'Inputs'!$B$9+'Inputs'!$B$10)+'Inputs'!$B$7)^2+('Inputs'!$B$6/2)^2)-(((342-43)*MAX('Inputs'!$B$33,'Inputs'!$B$29+'Inputs'!$B$31+'Inputs'!$B$32,'Inputs'!$B$30+'Inputs'!$B$31+'Inputs'!$B$32)/1000+'Inputs'!$B$21+'Inputs'!$B$9+'Inputs'!$B$10))/SQRT((((342-43)*MAX('Inputs'!$B$33,'Inputs'!$B$29+'Inputs'!$B$31+'Inputs'!$B$32,'Inputs'!$B$30+'Inputs'!$B$31+'Inputs'!$B$32)/1000+'Inputs'!$B$21+'Inputs'!$B$9+'Inputs'!$B$10))^2+('Inputs'!$B$6/2)^2))))*'Results'!$B$8)+'Inputs'!$B$28*ABS((('Results'!C7*(1+'Inputs'!$B$24)*(0.5*((((342-43)*MAX('Inputs'!$B$33,'Inputs'!$B$29+'Inputs'!$B$31+'Inputs'!$B$32,'Inputs'!$B$30+'Inputs'!$B$31+'Inputs'!$B$32)/1000+'Inputs'!$B$21)+'Inputs'!$B$9)/SQRT((((342-43)*MAX('Inputs'!$B$33,'Inputs'!$B$29+'Inputs'!$B$31+'Inputs'!$B$32,'Inputs'!$B$30+'Inputs'!$B$31+'Inputs'!$B$32)/1000+'Inputs'!$B$21)+'Inputs'!$B$9)^2+('Inputs'!$B$8/2)^2)-(((342-43)*MAX('Inputs'!$B$33,'Inputs'!$B$29+'Inputs'!$B$31+'Inputs'!$B$32,'Inputs'!$B$30+'Inputs'!$B$31+'Inputs'!$B$32)/1000+'Inputs'!$B$21))/SQRT((((342-43)*MAX('Inputs'!$B$33,'Inputs'!$B$29+'Inputs'!$B$31+'Inputs'!$B$32,'Inputs'!$B$30+'Inputs'!$B$31+'Inputs'!$B$32)/1000+'Inputs'!$B$21))^2+('Inputs'!$B$8/2)^2)))-'Results'!B7*(1-'Inputs'!$B$24)*(0.5*((((342-43)*MAX('Inputs'!$B$33,'Inputs'!$B$29+'Inputs'!$B$31+'Inputs'!$B$32,'Inputs'!$B$30+'Inputs'!$B$31+'Inputs'!$B$32)/1000+'Inputs'!$B$21+'Inputs'!$B$9+'Inputs'!$B$10)+'Inputs'!$B$7)/SQRT((((342-43)*MAX('Inputs'!$B$33,'Inputs'!$B$29+'Inputs'!$B$31+'Inputs'!$B$32,'Inputs'!$B$30+'Inputs'!$B$31+'Inputs'!$B$32)/1000+'Inputs'!$B$21+'Inputs'!$B$9+'Inputs'!$B$10)+'Inputs'!$B$7)^2+('Inputs'!$B$6/2)^2)-(((342-43)*MAX('Inputs'!$B$33,'Inputs'!$B$29+'Inputs'!$B$31+'Inputs'!$B$32,'Inputs'!$B$30+'Inputs'!$B$31+'Inputs'!$B$32)/1000+'Inputs'!$B$21+'Inputs'!$B$9+'Inputs'!$B$10))/SQRT((((342-43)*MAX('Inputs'!$B$33,'Inputs'!$B$29+'Inputs'!$B$31+'Inputs'!$B$32,'Inputs'!$B$30+'Inputs'!$B$31+'Inputs'!$B$32)/1000+'Inputs'!$B$21+'Inputs'!$B$9+'Inputs'!$B$10))^2+('Inputs'!$B$6/2)^2))))*'Results'!$B$8))),"")</x:f>
        <x:v>23.58369853490411</x:v>
      </x:c>
      <x:c r="P342" t="n">
        <x:f>IF(AND(MAX(J342,J341)&gt;0,J342&gt;J341+0.00000001),1,0)</x:f>
        <x:v>0</x:v>
      </x:c>
      <x:c r="Q342" t="n">
        <x:f>IF(AND(MAX(K342,K341)&gt;0,K342&gt;K341+0.00000001),1,0)</x:f>
        <x:v>0</x:v>
      </x:c>
      <x:c r="R342" t="n">
        <x:f>IF(AND(MAX(L342,L341)&gt;0,L342&gt;L341+0.00000001),1,0)</x:f>
        <x:v>0</x:v>
      </x:c>
      <x:c r="S342" t="n">
        <x:f>IF(AND(MAX(M342,M341)&gt;0,M342&gt;M341+0.00000001),1,0)</x:f>
        <x:v>0</x:v>
      </x:c>
      <x:c r="T342" t="n">
        <x:f>IF(AND(MAX(N342,N341)&gt;0,N342&gt;N341+0.00000001),1,0)</x:f>
        <x:v>0</x:v>
      </x:c>
      <x:c r="U342" t="n">
        <x:f>IF(AND(MAX(O342,O341)&gt;0,O342&gt;O341+0.00000001),1,0)</x:f>
        <x:v>0</x:v>
      </x:c>
    </x:row>
    <x:row r="343">
      <x:c r="J343" t="n">
        <x:f>IF(AND(ISNUMBER('Results'!B7),ISNUMBER('Results'!C7),ISNUMBER('Results'!$B$8),ISNUMBER('Inputs'!$B$6),ISNUMBER('Inputs'!$B$7),ISNUMBER('Inputs'!$B$8),ISNUMBER('Inputs'!$B$9),ISNUMBER('Inputs'!$B$10),ISNUMBER('Inputs'!$B$21),ISNUMBER('Inputs'!$B$24),ISNUMBER('Inputs'!$B$28)),(('Results'!B7*(0.5*((((343-43)*MAX('Inputs'!$B$33,'Inputs'!$B$29+'Inputs'!$B$31+'Inputs'!$B$32,'Inputs'!$B$30+'Inputs'!$B$31+'Inputs'!$B$32)/1000+'Inputs'!$B$21)+'Inputs'!$B$7)/SQRT((((343-43)*MAX('Inputs'!$B$33,'Inputs'!$B$29+'Inputs'!$B$31+'Inputs'!$B$32,'Inputs'!$B$30+'Inputs'!$B$31+'Inputs'!$B$32)/1000+'Inputs'!$B$21)+'Inputs'!$B$7)^2+('Inputs'!$B$6/2)^2)-(((343-43)*MAX('Inputs'!$B$33,'Inputs'!$B$29+'Inputs'!$B$31+'Inputs'!$B$32,'Inputs'!$B$30+'Inputs'!$B$31+'Inputs'!$B$32)/1000+'Inputs'!$B$21))/SQRT((((343-43)*MAX('Inputs'!$B$33,'Inputs'!$B$29+'Inputs'!$B$31+'Inputs'!$B$32,'Inputs'!$B$30+'Inputs'!$B$31+'Inputs'!$B$32)/1000+'Inputs'!$B$21))^2+('Inputs'!$B$6/2)^2)))-'Results'!C7*(0.5*((((343-43)*MAX('Inputs'!$B$33,'Inputs'!$B$29+'Inputs'!$B$31+'Inputs'!$B$32,'Inputs'!$B$30+'Inputs'!$B$31+'Inputs'!$B$32)/1000+'Inputs'!$B$21+'Inputs'!$B$7+'Inputs'!$B$10)+'Inputs'!$B$9)/SQRT((((343-43)*MAX('Inputs'!$B$33,'Inputs'!$B$29+'Inputs'!$B$31+'Inputs'!$B$32,'Inputs'!$B$30+'Inputs'!$B$31+'Inputs'!$B$32)/1000+'Inputs'!$B$21+'Inputs'!$B$7+'Inputs'!$B$10)+'Inputs'!$B$9)^2+('Inputs'!$B$8/2)^2)-(((343-43)*MAX('Inputs'!$B$33,'Inputs'!$B$29+'Inputs'!$B$31+'Inputs'!$B$32,'Inputs'!$B$30+'Inputs'!$B$31+'Inputs'!$B$32)/1000+'Inputs'!$B$21+'Inputs'!$B$7+'Inputs'!$B$10))/SQRT((((343-43)*MAX('Inputs'!$B$33,'Inputs'!$B$29+'Inputs'!$B$31+'Inputs'!$B$32,'Inputs'!$B$30+'Inputs'!$B$31+'Inputs'!$B$32)/1000+'Inputs'!$B$21+'Inputs'!$B$7+'Inputs'!$B$10))^2+('Inputs'!$B$8/2)^2))))*'Results'!$B$8),"")</x:f>
        <x:v>22.24390247623583</x:v>
      </x:c>
      <x:c r="K343" t="n">
        <x:f>IF(AND(ISNUMBER('Results'!B7),ISNUMBER('Results'!C7),ISNUMBER('Results'!$B$8),ISNUMBER('Inputs'!$B$6),ISNUMBER('Inputs'!$B$7),ISNUMBER('Inputs'!$B$8),ISNUMBER('Inputs'!$B$9),ISNUMBER('Inputs'!$B$10),ISNUMBER('Inputs'!$B$21),ISNUMBER('Inputs'!$B$24),ISNUMBER('Inputs'!$B$28)),((('Results'!B7*(1-'Inputs'!$B$24)*(0.5*((((343-43)*MAX('Inputs'!$B$33,'Inputs'!$B$29+'Inputs'!$B$31+'Inputs'!$B$32,'Inputs'!$B$30+'Inputs'!$B$31+'Inputs'!$B$32)/1000+'Inputs'!$B$21)+'Inputs'!$B$7)/SQRT((((343-43)*MAX('Inputs'!$B$33,'Inputs'!$B$29+'Inputs'!$B$31+'Inputs'!$B$32,'Inputs'!$B$30+'Inputs'!$B$31+'Inputs'!$B$32)/1000+'Inputs'!$B$21)+'Inputs'!$B$7)^2+('Inputs'!$B$6/2)^2)-(((343-43)*MAX('Inputs'!$B$33,'Inputs'!$B$29+'Inputs'!$B$31+'Inputs'!$B$32,'Inputs'!$B$30+'Inputs'!$B$31+'Inputs'!$B$32)/1000+'Inputs'!$B$21))/SQRT((((343-43)*MAX('Inputs'!$B$33,'Inputs'!$B$29+'Inputs'!$B$31+'Inputs'!$B$32,'Inputs'!$B$30+'Inputs'!$B$31+'Inputs'!$B$32)/1000+'Inputs'!$B$21))^2+('Inputs'!$B$6/2)^2)))-'Results'!C7*(1+'Inputs'!$B$24)*(0.5*((((343-43)*MAX('Inputs'!$B$33,'Inputs'!$B$29+'Inputs'!$B$31+'Inputs'!$B$32,'Inputs'!$B$30+'Inputs'!$B$31+'Inputs'!$B$32)/1000+'Inputs'!$B$21+'Inputs'!$B$7+'Inputs'!$B$10)+'Inputs'!$B$9)/SQRT((((343-43)*MAX('Inputs'!$B$33,'Inputs'!$B$29+'Inputs'!$B$31+'Inputs'!$B$32,'Inputs'!$B$30+'Inputs'!$B$31+'Inputs'!$B$32)/1000+'Inputs'!$B$21+'Inputs'!$B$7+'Inputs'!$B$10)+'Inputs'!$B$9)^2+('Inputs'!$B$8/2)^2)-(((343-43)*MAX('Inputs'!$B$33,'Inputs'!$B$29+'Inputs'!$B$31+'Inputs'!$B$32,'Inputs'!$B$30+'Inputs'!$B$31+'Inputs'!$B$32)/1000+'Inputs'!$B$21+'Inputs'!$B$7+'Inputs'!$B$10))/SQRT((((343-43)*MAX('Inputs'!$B$33,'Inputs'!$B$29+'Inputs'!$B$31+'Inputs'!$B$32,'Inputs'!$B$30+'Inputs'!$B$31+'Inputs'!$B$32)/1000+'Inputs'!$B$21+'Inputs'!$B$7+'Inputs'!$B$10))^2+('Inputs'!$B$8/2)^2))))*'Results'!$B$8)-'Inputs'!$B$28*ABS((('Results'!B7*(1-'Inputs'!$B$24)*(0.5*((((343-43)*MAX('Inputs'!$B$33,'Inputs'!$B$29+'Inputs'!$B$31+'Inputs'!$B$32,'Inputs'!$B$30+'Inputs'!$B$31+'Inputs'!$B$32)/1000+'Inputs'!$B$21)+'Inputs'!$B$7)/SQRT((((343-43)*MAX('Inputs'!$B$33,'Inputs'!$B$29+'Inputs'!$B$31+'Inputs'!$B$32,'Inputs'!$B$30+'Inputs'!$B$31+'Inputs'!$B$32)/1000+'Inputs'!$B$21)+'Inputs'!$B$7)^2+('Inputs'!$B$6/2)^2)-(((343-43)*MAX('Inputs'!$B$33,'Inputs'!$B$29+'Inputs'!$B$31+'Inputs'!$B$32,'Inputs'!$B$30+'Inputs'!$B$31+'Inputs'!$B$32)/1000+'Inputs'!$B$21))/SQRT((((343-43)*MAX('Inputs'!$B$33,'Inputs'!$B$29+'Inputs'!$B$31+'Inputs'!$B$32,'Inputs'!$B$30+'Inputs'!$B$31+'Inputs'!$B$32)/1000+'Inputs'!$B$21))^2+('Inputs'!$B$6/2)^2)))-'Results'!C7*(1+'Inputs'!$B$24)*(0.5*((((343-43)*MAX('Inputs'!$B$33,'Inputs'!$B$29+'Inputs'!$B$31+'Inputs'!$B$32,'Inputs'!$B$30+'Inputs'!$B$31+'Inputs'!$B$32)/1000+'Inputs'!$B$21+'Inputs'!$B$7+'Inputs'!$B$10)+'Inputs'!$B$9)/SQRT((((343-43)*MAX('Inputs'!$B$33,'Inputs'!$B$29+'Inputs'!$B$31+'Inputs'!$B$32,'Inputs'!$B$30+'Inputs'!$B$31+'Inputs'!$B$32)/1000+'Inputs'!$B$21+'Inputs'!$B$7+'Inputs'!$B$10)+'Inputs'!$B$9)^2+('Inputs'!$B$8/2)^2)-(((343-43)*MAX('Inputs'!$B$33,'Inputs'!$B$29+'Inputs'!$B$31+'Inputs'!$B$32,'Inputs'!$B$30+'Inputs'!$B$31+'Inputs'!$B$32)/1000+'Inputs'!$B$21+'Inputs'!$B$7+'Inputs'!$B$10))/SQRT((((343-43)*MAX('Inputs'!$B$33,'Inputs'!$B$29+'Inputs'!$B$31+'Inputs'!$B$32,'Inputs'!$B$30+'Inputs'!$B$31+'Inputs'!$B$32)/1000+'Inputs'!$B$21+'Inputs'!$B$7+'Inputs'!$B$10))^2+('Inputs'!$B$8/2)^2))))*'Results'!$B$8))),"")</x:f>
        <x:v>20.131866768900522</x:v>
      </x:c>
      <x:c r="L343" t="n">
        <x:f>IF(AND(ISNUMBER('Results'!B7),ISNUMBER('Results'!C7),ISNUMBER('Results'!$B$8),ISNUMBER('Inputs'!$B$6),ISNUMBER('Inputs'!$B$7),ISNUMBER('Inputs'!$B$8),ISNUMBER('Inputs'!$B$9),ISNUMBER('Inputs'!$B$10),ISNUMBER('Inputs'!$B$21),ISNUMBER('Inputs'!$B$24),ISNUMBER('Inputs'!$B$28)),((('Results'!B7*(1+'Inputs'!$B$24)*(0.5*((((343-43)*MAX('Inputs'!$B$33,'Inputs'!$B$29+'Inputs'!$B$31+'Inputs'!$B$32,'Inputs'!$B$30+'Inputs'!$B$31+'Inputs'!$B$32)/1000+'Inputs'!$B$21)+'Inputs'!$B$7)/SQRT((((343-43)*MAX('Inputs'!$B$33,'Inputs'!$B$29+'Inputs'!$B$31+'Inputs'!$B$32,'Inputs'!$B$30+'Inputs'!$B$31+'Inputs'!$B$32)/1000+'Inputs'!$B$21)+'Inputs'!$B$7)^2+('Inputs'!$B$6/2)^2)-(((343-43)*MAX('Inputs'!$B$33,'Inputs'!$B$29+'Inputs'!$B$31+'Inputs'!$B$32,'Inputs'!$B$30+'Inputs'!$B$31+'Inputs'!$B$32)/1000+'Inputs'!$B$21))/SQRT((((343-43)*MAX('Inputs'!$B$33,'Inputs'!$B$29+'Inputs'!$B$31+'Inputs'!$B$32,'Inputs'!$B$30+'Inputs'!$B$31+'Inputs'!$B$32)/1000+'Inputs'!$B$21))^2+('Inputs'!$B$6/2)^2)))-'Results'!C7*(1-'Inputs'!$B$24)*(0.5*((((343-43)*MAX('Inputs'!$B$33,'Inputs'!$B$29+'Inputs'!$B$31+'Inputs'!$B$32,'Inputs'!$B$30+'Inputs'!$B$31+'Inputs'!$B$32)/1000+'Inputs'!$B$21+'Inputs'!$B$7+'Inputs'!$B$10)+'Inputs'!$B$9)/SQRT((((343-43)*MAX('Inputs'!$B$33,'Inputs'!$B$29+'Inputs'!$B$31+'Inputs'!$B$32,'Inputs'!$B$30+'Inputs'!$B$31+'Inputs'!$B$32)/1000+'Inputs'!$B$21+'Inputs'!$B$7+'Inputs'!$B$10)+'Inputs'!$B$9)^2+('Inputs'!$B$8/2)^2)-(((343-43)*MAX('Inputs'!$B$33,'Inputs'!$B$29+'Inputs'!$B$31+'Inputs'!$B$32,'Inputs'!$B$30+'Inputs'!$B$31+'Inputs'!$B$32)/1000+'Inputs'!$B$21+'Inputs'!$B$7+'Inputs'!$B$10))/SQRT((((343-43)*MAX('Inputs'!$B$33,'Inputs'!$B$29+'Inputs'!$B$31+'Inputs'!$B$32,'Inputs'!$B$30+'Inputs'!$B$31+'Inputs'!$B$32)/1000+'Inputs'!$B$21+'Inputs'!$B$7+'Inputs'!$B$10))^2+('Inputs'!$B$8/2)^2))))*'Results'!$B$8)+'Inputs'!$B$28*ABS((('Results'!B7*(1+'Inputs'!$B$24)*(0.5*((((343-43)*MAX('Inputs'!$B$33,'Inputs'!$B$29+'Inputs'!$B$31+'Inputs'!$B$32,'Inputs'!$B$30+'Inputs'!$B$31+'Inputs'!$B$32)/1000+'Inputs'!$B$21)+'Inputs'!$B$7)/SQRT((((343-43)*MAX('Inputs'!$B$33,'Inputs'!$B$29+'Inputs'!$B$31+'Inputs'!$B$32,'Inputs'!$B$30+'Inputs'!$B$31+'Inputs'!$B$32)/1000+'Inputs'!$B$21)+'Inputs'!$B$7)^2+('Inputs'!$B$6/2)^2)-(((343-43)*MAX('Inputs'!$B$33,'Inputs'!$B$29+'Inputs'!$B$31+'Inputs'!$B$32,'Inputs'!$B$30+'Inputs'!$B$31+'Inputs'!$B$32)/1000+'Inputs'!$B$21))/SQRT((((343-43)*MAX('Inputs'!$B$33,'Inputs'!$B$29+'Inputs'!$B$31+'Inputs'!$B$32,'Inputs'!$B$30+'Inputs'!$B$31+'Inputs'!$B$32)/1000+'Inputs'!$B$21))^2+('Inputs'!$B$6/2)^2)))-'Results'!C7*(1-'Inputs'!$B$24)*(0.5*((((343-43)*MAX('Inputs'!$B$33,'Inputs'!$B$29+'Inputs'!$B$31+'Inputs'!$B$32,'Inputs'!$B$30+'Inputs'!$B$31+'Inputs'!$B$32)/1000+'Inputs'!$B$21+'Inputs'!$B$7+'Inputs'!$B$10)+'Inputs'!$B$9)/SQRT((((343-43)*MAX('Inputs'!$B$33,'Inputs'!$B$29+'Inputs'!$B$31+'Inputs'!$B$32,'Inputs'!$B$30+'Inputs'!$B$31+'Inputs'!$B$32)/1000+'Inputs'!$B$21+'Inputs'!$B$7+'Inputs'!$B$10)+'Inputs'!$B$9)^2+('Inputs'!$B$8/2)^2)-(((343-43)*MAX('Inputs'!$B$33,'Inputs'!$B$29+'Inputs'!$B$31+'Inputs'!$B$32,'Inputs'!$B$30+'Inputs'!$B$31+'Inputs'!$B$32)/1000+'Inputs'!$B$21+'Inputs'!$B$7+'Inputs'!$B$10))/SQRT((((343-43)*MAX('Inputs'!$B$33,'Inputs'!$B$29+'Inputs'!$B$31+'Inputs'!$B$32,'Inputs'!$B$30+'Inputs'!$B$31+'Inputs'!$B$32)/1000+'Inputs'!$B$21+'Inputs'!$B$7+'Inputs'!$B$10))^2+('Inputs'!$B$8/2)^2))))*'Results'!$B$8))),"")</x:f>
        <x:v>24.461184560784133</x:v>
      </x:c>
      <x:c r="M343" t="n">
        <x:f>IF(AND(ISNUMBER('Results'!C7),ISNUMBER('Results'!B7),ISNUMBER('Results'!$B$8),ISNUMBER('Inputs'!$B$6),ISNUMBER('Inputs'!$B$7),ISNUMBER('Inputs'!$B$8),ISNUMBER('Inputs'!$B$9),ISNUMBER('Inputs'!$B$10),ISNUMBER('Inputs'!$B$21),ISNUMBER('Inputs'!$B$24),ISNUMBER('Inputs'!$B$28)),(('Results'!C7*(0.5*((((343-43)*MAX('Inputs'!$B$33,'Inputs'!$B$29+'Inputs'!$B$31+'Inputs'!$B$32,'Inputs'!$B$30+'Inputs'!$B$31+'Inputs'!$B$32)/1000+'Inputs'!$B$21)+'Inputs'!$B$9)/SQRT((((343-43)*MAX('Inputs'!$B$33,'Inputs'!$B$29+'Inputs'!$B$31+'Inputs'!$B$32,'Inputs'!$B$30+'Inputs'!$B$31+'Inputs'!$B$32)/1000+'Inputs'!$B$21)+'Inputs'!$B$9)^2+('Inputs'!$B$8/2)^2)-(((343-43)*MAX('Inputs'!$B$33,'Inputs'!$B$29+'Inputs'!$B$31+'Inputs'!$B$32,'Inputs'!$B$30+'Inputs'!$B$31+'Inputs'!$B$32)/1000+'Inputs'!$B$21))/SQRT((((343-43)*MAX('Inputs'!$B$33,'Inputs'!$B$29+'Inputs'!$B$31+'Inputs'!$B$32,'Inputs'!$B$30+'Inputs'!$B$31+'Inputs'!$B$32)/1000+'Inputs'!$B$21))^2+('Inputs'!$B$8/2)^2)))-'Results'!B7*(0.5*((((343-43)*MAX('Inputs'!$B$33,'Inputs'!$B$29+'Inputs'!$B$31+'Inputs'!$B$32,'Inputs'!$B$30+'Inputs'!$B$31+'Inputs'!$B$32)/1000+'Inputs'!$B$21+'Inputs'!$B$9+'Inputs'!$B$10)+'Inputs'!$B$7)/SQRT((((343-43)*MAX('Inputs'!$B$33,'Inputs'!$B$29+'Inputs'!$B$31+'Inputs'!$B$32,'Inputs'!$B$30+'Inputs'!$B$31+'Inputs'!$B$32)/1000+'Inputs'!$B$21+'Inputs'!$B$9+'Inputs'!$B$10)+'Inputs'!$B$7)^2+('Inputs'!$B$6/2)^2)-(((343-43)*MAX('Inputs'!$B$33,'Inputs'!$B$29+'Inputs'!$B$31+'Inputs'!$B$32,'Inputs'!$B$30+'Inputs'!$B$31+'Inputs'!$B$32)/1000+'Inputs'!$B$21+'Inputs'!$B$9+'Inputs'!$B$10))/SQRT((((343-43)*MAX('Inputs'!$B$33,'Inputs'!$B$29+'Inputs'!$B$31+'Inputs'!$B$32,'Inputs'!$B$30+'Inputs'!$B$31+'Inputs'!$B$32)/1000+'Inputs'!$B$21+'Inputs'!$B$9+'Inputs'!$B$10))^2+('Inputs'!$B$6/2)^2))))*'Results'!$B$8),"")</x:f>
        <x:v>21.185238849793514</x:v>
      </x:c>
      <x:c r="N343" t="n">
        <x:f>IF(AND(ISNUMBER('Results'!C7),ISNUMBER('Results'!B7),ISNUMBER('Results'!$B$8),ISNUMBER('Inputs'!$B$6),ISNUMBER('Inputs'!$B$7),ISNUMBER('Inputs'!$B$8),ISNUMBER('Inputs'!$B$9),ISNUMBER('Inputs'!$B$10),ISNUMBER('Inputs'!$B$21),ISNUMBER('Inputs'!$B$24),ISNUMBER('Inputs'!$B$28)),((('Results'!C7*(1-'Inputs'!$B$24)*(0.5*((((343-43)*MAX('Inputs'!$B$33,'Inputs'!$B$29+'Inputs'!$B$31+'Inputs'!$B$32,'Inputs'!$B$30+'Inputs'!$B$31+'Inputs'!$B$32)/1000+'Inputs'!$B$21)+'Inputs'!$B$9)/SQRT((((343-43)*MAX('Inputs'!$B$33,'Inputs'!$B$29+'Inputs'!$B$31+'Inputs'!$B$32,'Inputs'!$B$30+'Inputs'!$B$31+'Inputs'!$B$32)/1000+'Inputs'!$B$21)+'Inputs'!$B$9)^2+('Inputs'!$B$8/2)^2)-(((343-43)*MAX('Inputs'!$B$33,'Inputs'!$B$29+'Inputs'!$B$31+'Inputs'!$B$32,'Inputs'!$B$30+'Inputs'!$B$31+'Inputs'!$B$32)/1000+'Inputs'!$B$21))/SQRT((((343-43)*MAX('Inputs'!$B$33,'Inputs'!$B$29+'Inputs'!$B$31+'Inputs'!$B$32,'Inputs'!$B$30+'Inputs'!$B$31+'Inputs'!$B$32)/1000+'Inputs'!$B$21))^2+('Inputs'!$B$8/2)^2)))-'Results'!B7*(1+'Inputs'!$B$24)*(0.5*((((343-43)*MAX('Inputs'!$B$33,'Inputs'!$B$29+'Inputs'!$B$31+'Inputs'!$B$32,'Inputs'!$B$30+'Inputs'!$B$31+'Inputs'!$B$32)/1000+'Inputs'!$B$21+'Inputs'!$B$9+'Inputs'!$B$10)+'Inputs'!$B$7)/SQRT((((343-43)*MAX('Inputs'!$B$33,'Inputs'!$B$29+'Inputs'!$B$31+'Inputs'!$B$32,'Inputs'!$B$30+'Inputs'!$B$31+'Inputs'!$B$32)/1000+'Inputs'!$B$21+'Inputs'!$B$9+'Inputs'!$B$10)+'Inputs'!$B$7)^2+('Inputs'!$B$6/2)^2)-(((343-43)*MAX('Inputs'!$B$33,'Inputs'!$B$29+'Inputs'!$B$31+'Inputs'!$B$32,'Inputs'!$B$30+'Inputs'!$B$31+'Inputs'!$B$32)/1000+'Inputs'!$B$21+'Inputs'!$B$9+'Inputs'!$B$10))/SQRT((((343-43)*MAX('Inputs'!$B$33,'Inputs'!$B$29+'Inputs'!$B$31+'Inputs'!$B$32,'Inputs'!$B$30+'Inputs'!$B$31+'Inputs'!$B$32)/1000+'Inputs'!$B$21+'Inputs'!$B$9+'Inputs'!$B$10))^2+('Inputs'!$B$6/2)^2))))*'Results'!$B$8)-'Inputs'!$B$28*ABS((('Results'!C7*(1-'Inputs'!$B$24)*(0.5*((((343-43)*MAX('Inputs'!$B$33,'Inputs'!$B$29+'Inputs'!$B$31+'Inputs'!$B$32,'Inputs'!$B$30+'Inputs'!$B$31+'Inputs'!$B$32)/1000+'Inputs'!$B$21)+'Inputs'!$B$9)/SQRT((((343-43)*MAX('Inputs'!$B$33,'Inputs'!$B$29+'Inputs'!$B$31+'Inputs'!$B$32,'Inputs'!$B$30+'Inputs'!$B$31+'Inputs'!$B$32)/1000+'Inputs'!$B$21)+'Inputs'!$B$9)^2+('Inputs'!$B$8/2)^2)-(((343-43)*MAX('Inputs'!$B$33,'Inputs'!$B$29+'Inputs'!$B$31+'Inputs'!$B$32,'Inputs'!$B$30+'Inputs'!$B$31+'Inputs'!$B$32)/1000+'Inputs'!$B$21))/SQRT((((343-43)*MAX('Inputs'!$B$33,'Inputs'!$B$29+'Inputs'!$B$31+'Inputs'!$B$32,'Inputs'!$B$30+'Inputs'!$B$31+'Inputs'!$B$32)/1000+'Inputs'!$B$21))^2+('Inputs'!$B$8/2)^2)))-'Results'!B7*(1+'Inputs'!$B$24)*(0.5*((((343-43)*MAX('Inputs'!$B$33,'Inputs'!$B$29+'Inputs'!$B$31+'Inputs'!$B$32,'Inputs'!$B$30+'Inputs'!$B$31+'Inputs'!$B$32)/1000+'Inputs'!$B$21+'Inputs'!$B$9+'Inputs'!$B$10)+'Inputs'!$B$7)/SQRT((((343-43)*MAX('Inputs'!$B$33,'Inputs'!$B$29+'Inputs'!$B$31+'Inputs'!$B$32,'Inputs'!$B$30+'Inputs'!$B$31+'Inputs'!$B$32)/1000+'Inputs'!$B$21+'Inputs'!$B$9+'Inputs'!$B$10)+'Inputs'!$B$7)^2+('Inputs'!$B$6/2)^2)-(((343-43)*MAX('Inputs'!$B$33,'Inputs'!$B$29+'Inputs'!$B$31+'Inputs'!$B$32,'Inputs'!$B$30+'Inputs'!$B$31+'Inputs'!$B$32)/1000+'Inputs'!$B$21+'Inputs'!$B$9+'Inputs'!$B$10))/SQRT((((343-43)*MAX('Inputs'!$B$33,'Inputs'!$B$29+'Inputs'!$B$31+'Inputs'!$B$32,'Inputs'!$B$30+'Inputs'!$B$31+'Inputs'!$B$32)/1000+'Inputs'!$B$21+'Inputs'!$B$9+'Inputs'!$B$10))^2+('Inputs'!$B$6/2)^2))))*'Results'!$B$8))),"")</x:f>
        <x:v>19.134471209489362</x:v>
      </x:c>
      <x:c r="O343" t="n">
        <x:f>IF(AND(ISNUMBER('Results'!C7),ISNUMBER('Results'!B7),ISNUMBER('Results'!$B$8),ISNUMBER('Inputs'!$B$6),ISNUMBER('Inputs'!$B$7),ISNUMBER('Inputs'!$B$8),ISNUMBER('Inputs'!$B$9),ISNUMBER('Inputs'!$B$10),ISNUMBER('Inputs'!$B$21),ISNUMBER('Inputs'!$B$24),ISNUMBER('Inputs'!$B$28)),((('Results'!C7*(1+'Inputs'!$B$24)*(0.5*((((343-43)*MAX('Inputs'!$B$33,'Inputs'!$B$29+'Inputs'!$B$31+'Inputs'!$B$32,'Inputs'!$B$30+'Inputs'!$B$31+'Inputs'!$B$32)/1000+'Inputs'!$B$21)+'Inputs'!$B$9)/SQRT((((343-43)*MAX('Inputs'!$B$33,'Inputs'!$B$29+'Inputs'!$B$31+'Inputs'!$B$32,'Inputs'!$B$30+'Inputs'!$B$31+'Inputs'!$B$32)/1000+'Inputs'!$B$21)+'Inputs'!$B$9)^2+('Inputs'!$B$8/2)^2)-(((343-43)*MAX('Inputs'!$B$33,'Inputs'!$B$29+'Inputs'!$B$31+'Inputs'!$B$32,'Inputs'!$B$30+'Inputs'!$B$31+'Inputs'!$B$32)/1000+'Inputs'!$B$21))/SQRT((((343-43)*MAX('Inputs'!$B$33,'Inputs'!$B$29+'Inputs'!$B$31+'Inputs'!$B$32,'Inputs'!$B$30+'Inputs'!$B$31+'Inputs'!$B$32)/1000+'Inputs'!$B$21))^2+('Inputs'!$B$8/2)^2)))-'Results'!B7*(1-'Inputs'!$B$24)*(0.5*((((343-43)*MAX('Inputs'!$B$33,'Inputs'!$B$29+'Inputs'!$B$31+'Inputs'!$B$32,'Inputs'!$B$30+'Inputs'!$B$31+'Inputs'!$B$32)/1000+'Inputs'!$B$21+'Inputs'!$B$9+'Inputs'!$B$10)+'Inputs'!$B$7)/SQRT((((343-43)*MAX('Inputs'!$B$33,'Inputs'!$B$29+'Inputs'!$B$31+'Inputs'!$B$32,'Inputs'!$B$30+'Inputs'!$B$31+'Inputs'!$B$32)/1000+'Inputs'!$B$21+'Inputs'!$B$9+'Inputs'!$B$10)+'Inputs'!$B$7)^2+('Inputs'!$B$6/2)^2)-(((343-43)*MAX('Inputs'!$B$33,'Inputs'!$B$29+'Inputs'!$B$31+'Inputs'!$B$32,'Inputs'!$B$30+'Inputs'!$B$31+'Inputs'!$B$32)/1000+'Inputs'!$B$21+'Inputs'!$B$9+'Inputs'!$B$10))/SQRT((((343-43)*MAX('Inputs'!$B$33,'Inputs'!$B$29+'Inputs'!$B$31+'Inputs'!$B$32,'Inputs'!$B$30+'Inputs'!$B$31+'Inputs'!$B$32)/1000+'Inputs'!$B$21+'Inputs'!$B$9+'Inputs'!$B$10))^2+('Inputs'!$B$6/2)^2))))*'Results'!$B$8)+'Inputs'!$B$28*ABS((('Results'!C7*(1+'Inputs'!$B$24)*(0.5*((((343-43)*MAX('Inputs'!$B$33,'Inputs'!$B$29+'Inputs'!$B$31+'Inputs'!$B$32,'Inputs'!$B$30+'Inputs'!$B$31+'Inputs'!$B$32)/1000+'Inputs'!$B$21)+'Inputs'!$B$9)/SQRT((((343-43)*MAX('Inputs'!$B$33,'Inputs'!$B$29+'Inputs'!$B$31+'Inputs'!$B$32,'Inputs'!$B$30+'Inputs'!$B$31+'Inputs'!$B$32)/1000+'Inputs'!$B$21)+'Inputs'!$B$9)^2+('Inputs'!$B$8/2)^2)-(((343-43)*MAX('Inputs'!$B$33,'Inputs'!$B$29+'Inputs'!$B$31+'Inputs'!$B$32,'Inputs'!$B$30+'Inputs'!$B$31+'Inputs'!$B$32)/1000+'Inputs'!$B$21))/SQRT((((343-43)*MAX('Inputs'!$B$33,'Inputs'!$B$29+'Inputs'!$B$31+'Inputs'!$B$32,'Inputs'!$B$30+'Inputs'!$B$31+'Inputs'!$B$32)/1000+'Inputs'!$B$21))^2+('Inputs'!$B$8/2)^2)))-'Results'!B7*(1-'Inputs'!$B$24)*(0.5*((((343-43)*MAX('Inputs'!$B$33,'Inputs'!$B$29+'Inputs'!$B$31+'Inputs'!$B$32,'Inputs'!$B$30+'Inputs'!$B$31+'Inputs'!$B$32)/1000+'Inputs'!$B$21+'Inputs'!$B$9+'Inputs'!$B$10)+'Inputs'!$B$7)/SQRT((((343-43)*MAX('Inputs'!$B$33,'Inputs'!$B$29+'Inputs'!$B$31+'Inputs'!$B$32,'Inputs'!$B$30+'Inputs'!$B$31+'Inputs'!$B$32)/1000+'Inputs'!$B$21+'Inputs'!$B$9+'Inputs'!$B$10)+'Inputs'!$B$7)^2+('Inputs'!$B$6/2)^2)-(((343-43)*MAX('Inputs'!$B$33,'Inputs'!$B$29+'Inputs'!$B$31+'Inputs'!$B$32,'Inputs'!$B$30+'Inputs'!$B$31+'Inputs'!$B$32)/1000+'Inputs'!$B$21+'Inputs'!$B$9+'Inputs'!$B$10))/SQRT((((343-43)*MAX('Inputs'!$B$33,'Inputs'!$B$29+'Inputs'!$B$31+'Inputs'!$B$32,'Inputs'!$B$30+'Inputs'!$B$31+'Inputs'!$B$32)/1000+'Inputs'!$B$21+'Inputs'!$B$9+'Inputs'!$B$10))^2+('Inputs'!$B$6/2)^2))))*'Results'!$B$8))),"")</x:f>
        <x:v>23.340375510920254</x:v>
      </x:c>
      <x:c r="P343" t="n">
        <x:f>IF(AND(MAX(J343,J342)&gt;0,J343&gt;J342+0.00000001),1,0)</x:f>
        <x:v>0</x:v>
      </x:c>
      <x:c r="Q343" t="n">
        <x:f>IF(AND(MAX(K343,K342)&gt;0,K343&gt;K342+0.00000001),1,0)</x:f>
        <x:v>0</x:v>
      </x:c>
      <x:c r="R343" t="n">
        <x:f>IF(AND(MAX(L343,L342)&gt;0,L343&gt;L342+0.00000001),1,0)</x:f>
        <x:v>0</x:v>
      </x:c>
      <x:c r="S343" t="n">
        <x:f>IF(AND(MAX(M343,M342)&gt;0,M343&gt;M342+0.00000001),1,0)</x:f>
        <x:v>0</x:v>
      </x:c>
      <x:c r="T343" t="n">
        <x:f>IF(AND(MAX(N343,N342)&gt;0,N343&gt;N342+0.00000001),1,0)</x:f>
        <x:v>0</x:v>
      </x:c>
      <x:c r="U343" t="n">
        <x:f>IF(AND(MAX(O343,O342)&gt;0,O343&gt;O342+0.00000001),1,0)</x:f>
        <x:v>0</x:v>
      </x:c>
    </x:row>
    <x:row r="344">
      <x:c r="J344" t="n">
        <x:f>IF(AND(ISNUMBER('Results'!B7),ISNUMBER('Results'!C7),ISNUMBER('Results'!$B$8),ISNUMBER('Inputs'!$B$6),ISNUMBER('Inputs'!$B$7),ISNUMBER('Inputs'!$B$8),ISNUMBER('Inputs'!$B$9),ISNUMBER('Inputs'!$B$10),ISNUMBER('Inputs'!$B$21),ISNUMBER('Inputs'!$B$24),ISNUMBER('Inputs'!$B$28)),(('Results'!B7*(0.5*((((344-43)*MAX('Inputs'!$B$33,'Inputs'!$B$29+'Inputs'!$B$31+'Inputs'!$B$32,'Inputs'!$B$30+'Inputs'!$B$31+'Inputs'!$B$32)/1000+'Inputs'!$B$21)+'Inputs'!$B$7)/SQRT((((344-43)*MAX('Inputs'!$B$33,'Inputs'!$B$29+'Inputs'!$B$31+'Inputs'!$B$32,'Inputs'!$B$30+'Inputs'!$B$31+'Inputs'!$B$32)/1000+'Inputs'!$B$21)+'Inputs'!$B$7)^2+('Inputs'!$B$6/2)^2)-(((344-43)*MAX('Inputs'!$B$33,'Inputs'!$B$29+'Inputs'!$B$31+'Inputs'!$B$32,'Inputs'!$B$30+'Inputs'!$B$31+'Inputs'!$B$32)/1000+'Inputs'!$B$21))/SQRT((((344-43)*MAX('Inputs'!$B$33,'Inputs'!$B$29+'Inputs'!$B$31+'Inputs'!$B$32,'Inputs'!$B$30+'Inputs'!$B$31+'Inputs'!$B$32)/1000+'Inputs'!$B$21))^2+('Inputs'!$B$6/2)^2)))-'Results'!C7*(0.5*((((344-43)*MAX('Inputs'!$B$33,'Inputs'!$B$29+'Inputs'!$B$31+'Inputs'!$B$32,'Inputs'!$B$30+'Inputs'!$B$31+'Inputs'!$B$32)/1000+'Inputs'!$B$21+'Inputs'!$B$7+'Inputs'!$B$10)+'Inputs'!$B$9)/SQRT((((344-43)*MAX('Inputs'!$B$33,'Inputs'!$B$29+'Inputs'!$B$31+'Inputs'!$B$32,'Inputs'!$B$30+'Inputs'!$B$31+'Inputs'!$B$32)/1000+'Inputs'!$B$21+'Inputs'!$B$7+'Inputs'!$B$10)+'Inputs'!$B$9)^2+('Inputs'!$B$8/2)^2)-(((344-43)*MAX('Inputs'!$B$33,'Inputs'!$B$29+'Inputs'!$B$31+'Inputs'!$B$32,'Inputs'!$B$30+'Inputs'!$B$31+'Inputs'!$B$32)/1000+'Inputs'!$B$21+'Inputs'!$B$7+'Inputs'!$B$10))/SQRT((((344-43)*MAX('Inputs'!$B$33,'Inputs'!$B$29+'Inputs'!$B$31+'Inputs'!$B$32,'Inputs'!$B$30+'Inputs'!$B$31+'Inputs'!$B$32)/1000+'Inputs'!$B$21+'Inputs'!$B$7+'Inputs'!$B$10))^2+('Inputs'!$B$8/2)^2))))*'Results'!$B$8),"")</x:f>
        <x:v>22.01500239641492</x:v>
      </x:c>
      <x:c r="K344" t="n">
        <x:f>IF(AND(ISNUMBER('Results'!B7),ISNUMBER('Results'!C7),ISNUMBER('Results'!$B$8),ISNUMBER('Inputs'!$B$6),ISNUMBER('Inputs'!$B$7),ISNUMBER('Inputs'!$B$8),ISNUMBER('Inputs'!$B$9),ISNUMBER('Inputs'!$B$10),ISNUMBER('Inputs'!$B$21),ISNUMBER('Inputs'!$B$24),ISNUMBER('Inputs'!$B$28)),((('Results'!B7*(1-'Inputs'!$B$24)*(0.5*((((344-43)*MAX('Inputs'!$B$33,'Inputs'!$B$29+'Inputs'!$B$31+'Inputs'!$B$32,'Inputs'!$B$30+'Inputs'!$B$31+'Inputs'!$B$32)/1000+'Inputs'!$B$21)+'Inputs'!$B$7)/SQRT((((344-43)*MAX('Inputs'!$B$33,'Inputs'!$B$29+'Inputs'!$B$31+'Inputs'!$B$32,'Inputs'!$B$30+'Inputs'!$B$31+'Inputs'!$B$32)/1000+'Inputs'!$B$21)+'Inputs'!$B$7)^2+('Inputs'!$B$6/2)^2)-(((344-43)*MAX('Inputs'!$B$33,'Inputs'!$B$29+'Inputs'!$B$31+'Inputs'!$B$32,'Inputs'!$B$30+'Inputs'!$B$31+'Inputs'!$B$32)/1000+'Inputs'!$B$21))/SQRT((((344-43)*MAX('Inputs'!$B$33,'Inputs'!$B$29+'Inputs'!$B$31+'Inputs'!$B$32,'Inputs'!$B$30+'Inputs'!$B$31+'Inputs'!$B$32)/1000+'Inputs'!$B$21))^2+('Inputs'!$B$6/2)^2)))-'Results'!C7*(1+'Inputs'!$B$24)*(0.5*((((344-43)*MAX('Inputs'!$B$33,'Inputs'!$B$29+'Inputs'!$B$31+'Inputs'!$B$32,'Inputs'!$B$30+'Inputs'!$B$31+'Inputs'!$B$32)/1000+'Inputs'!$B$21+'Inputs'!$B$7+'Inputs'!$B$10)+'Inputs'!$B$9)/SQRT((((344-43)*MAX('Inputs'!$B$33,'Inputs'!$B$29+'Inputs'!$B$31+'Inputs'!$B$32,'Inputs'!$B$30+'Inputs'!$B$31+'Inputs'!$B$32)/1000+'Inputs'!$B$21+'Inputs'!$B$7+'Inputs'!$B$10)+'Inputs'!$B$9)^2+('Inputs'!$B$8/2)^2)-(((344-43)*MAX('Inputs'!$B$33,'Inputs'!$B$29+'Inputs'!$B$31+'Inputs'!$B$32,'Inputs'!$B$30+'Inputs'!$B$31+'Inputs'!$B$32)/1000+'Inputs'!$B$21+'Inputs'!$B$7+'Inputs'!$B$10))/SQRT((((344-43)*MAX('Inputs'!$B$33,'Inputs'!$B$29+'Inputs'!$B$31+'Inputs'!$B$32,'Inputs'!$B$30+'Inputs'!$B$31+'Inputs'!$B$32)/1000+'Inputs'!$B$21+'Inputs'!$B$7+'Inputs'!$B$10))^2+('Inputs'!$B$8/2)^2))))*'Results'!$B$8)-'Inputs'!$B$28*ABS((('Results'!B7*(1-'Inputs'!$B$24)*(0.5*((((344-43)*MAX('Inputs'!$B$33,'Inputs'!$B$29+'Inputs'!$B$31+'Inputs'!$B$32,'Inputs'!$B$30+'Inputs'!$B$31+'Inputs'!$B$32)/1000+'Inputs'!$B$21)+'Inputs'!$B$7)/SQRT((((344-43)*MAX('Inputs'!$B$33,'Inputs'!$B$29+'Inputs'!$B$31+'Inputs'!$B$32,'Inputs'!$B$30+'Inputs'!$B$31+'Inputs'!$B$32)/1000+'Inputs'!$B$21)+'Inputs'!$B$7)^2+('Inputs'!$B$6/2)^2)-(((344-43)*MAX('Inputs'!$B$33,'Inputs'!$B$29+'Inputs'!$B$31+'Inputs'!$B$32,'Inputs'!$B$30+'Inputs'!$B$31+'Inputs'!$B$32)/1000+'Inputs'!$B$21))/SQRT((((344-43)*MAX('Inputs'!$B$33,'Inputs'!$B$29+'Inputs'!$B$31+'Inputs'!$B$32,'Inputs'!$B$30+'Inputs'!$B$31+'Inputs'!$B$32)/1000+'Inputs'!$B$21))^2+('Inputs'!$B$6/2)^2)))-'Results'!C7*(1+'Inputs'!$B$24)*(0.5*((((344-43)*MAX('Inputs'!$B$33,'Inputs'!$B$29+'Inputs'!$B$31+'Inputs'!$B$32,'Inputs'!$B$30+'Inputs'!$B$31+'Inputs'!$B$32)/1000+'Inputs'!$B$21+'Inputs'!$B$7+'Inputs'!$B$10)+'Inputs'!$B$9)/SQRT((((344-43)*MAX('Inputs'!$B$33,'Inputs'!$B$29+'Inputs'!$B$31+'Inputs'!$B$32,'Inputs'!$B$30+'Inputs'!$B$31+'Inputs'!$B$32)/1000+'Inputs'!$B$21+'Inputs'!$B$7+'Inputs'!$B$10)+'Inputs'!$B$9)^2+('Inputs'!$B$8/2)^2)-(((344-43)*MAX('Inputs'!$B$33,'Inputs'!$B$29+'Inputs'!$B$31+'Inputs'!$B$32,'Inputs'!$B$30+'Inputs'!$B$31+'Inputs'!$B$32)/1000+'Inputs'!$B$21+'Inputs'!$B$7+'Inputs'!$B$10))/SQRT((((344-43)*MAX('Inputs'!$B$33,'Inputs'!$B$29+'Inputs'!$B$31+'Inputs'!$B$32,'Inputs'!$B$30+'Inputs'!$B$31+'Inputs'!$B$32)/1000+'Inputs'!$B$21+'Inputs'!$B$7+'Inputs'!$B$10))^2+('Inputs'!$B$8/2)^2))))*'Results'!$B$8))),"")</x:f>
        <x:v>19.922609636120615</x:v>
      </x:c>
      <x:c r="L344" t="n">
        <x:f>IF(AND(ISNUMBER('Results'!B7),ISNUMBER('Results'!C7),ISNUMBER('Results'!$B$8),ISNUMBER('Inputs'!$B$6),ISNUMBER('Inputs'!$B$7),ISNUMBER('Inputs'!$B$8),ISNUMBER('Inputs'!$B$9),ISNUMBER('Inputs'!$B$10),ISNUMBER('Inputs'!$B$21),ISNUMBER('Inputs'!$B$24),ISNUMBER('Inputs'!$B$28)),((('Results'!B7*(1+'Inputs'!$B$24)*(0.5*((((344-43)*MAX('Inputs'!$B$33,'Inputs'!$B$29+'Inputs'!$B$31+'Inputs'!$B$32,'Inputs'!$B$30+'Inputs'!$B$31+'Inputs'!$B$32)/1000+'Inputs'!$B$21)+'Inputs'!$B$7)/SQRT((((344-43)*MAX('Inputs'!$B$33,'Inputs'!$B$29+'Inputs'!$B$31+'Inputs'!$B$32,'Inputs'!$B$30+'Inputs'!$B$31+'Inputs'!$B$32)/1000+'Inputs'!$B$21)+'Inputs'!$B$7)^2+('Inputs'!$B$6/2)^2)-(((344-43)*MAX('Inputs'!$B$33,'Inputs'!$B$29+'Inputs'!$B$31+'Inputs'!$B$32,'Inputs'!$B$30+'Inputs'!$B$31+'Inputs'!$B$32)/1000+'Inputs'!$B$21))/SQRT((((344-43)*MAX('Inputs'!$B$33,'Inputs'!$B$29+'Inputs'!$B$31+'Inputs'!$B$32,'Inputs'!$B$30+'Inputs'!$B$31+'Inputs'!$B$32)/1000+'Inputs'!$B$21))^2+('Inputs'!$B$6/2)^2)))-'Results'!C7*(1-'Inputs'!$B$24)*(0.5*((((344-43)*MAX('Inputs'!$B$33,'Inputs'!$B$29+'Inputs'!$B$31+'Inputs'!$B$32,'Inputs'!$B$30+'Inputs'!$B$31+'Inputs'!$B$32)/1000+'Inputs'!$B$21+'Inputs'!$B$7+'Inputs'!$B$10)+'Inputs'!$B$9)/SQRT((((344-43)*MAX('Inputs'!$B$33,'Inputs'!$B$29+'Inputs'!$B$31+'Inputs'!$B$32,'Inputs'!$B$30+'Inputs'!$B$31+'Inputs'!$B$32)/1000+'Inputs'!$B$21+'Inputs'!$B$7+'Inputs'!$B$10)+'Inputs'!$B$9)^2+('Inputs'!$B$8/2)^2)-(((344-43)*MAX('Inputs'!$B$33,'Inputs'!$B$29+'Inputs'!$B$31+'Inputs'!$B$32,'Inputs'!$B$30+'Inputs'!$B$31+'Inputs'!$B$32)/1000+'Inputs'!$B$21+'Inputs'!$B$7+'Inputs'!$B$10))/SQRT((((344-43)*MAX('Inputs'!$B$33,'Inputs'!$B$29+'Inputs'!$B$31+'Inputs'!$B$32,'Inputs'!$B$30+'Inputs'!$B$31+'Inputs'!$B$32)/1000+'Inputs'!$B$21+'Inputs'!$B$7+'Inputs'!$B$10))^2+('Inputs'!$B$8/2)^2))))*'Results'!$B$8)+'Inputs'!$B$28*ABS((('Results'!B7*(1+'Inputs'!$B$24)*(0.5*((((344-43)*MAX('Inputs'!$B$33,'Inputs'!$B$29+'Inputs'!$B$31+'Inputs'!$B$32,'Inputs'!$B$30+'Inputs'!$B$31+'Inputs'!$B$32)/1000+'Inputs'!$B$21)+'Inputs'!$B$7)/SQRT((((344-43)*MAX('Inputs'!$B$33,'Inputs'!$B$29+'Inputs'!$B$31+'Inputs'!$B$32,'Inputs'!$B$30+'Inputs'!$B$31+'Inputs'!$B$32)/1000+'Inputs'!$B$21)+'Inputs'!$B$7)^2+('Inputs'!$B$6/2)^2)-(((344-43)*MAX('Inputs'!$B$33,'Inputs'!$B$29+'Inputs'!$B$31+'Inputs'!$B$32,'Inputs'!$B$30+'Inputs'!$B$31+'Inputs'!$B$32)/1000+'Inputs'!$B$21))/SQRT((((344-43)*MAX('Inputs'!$B$33,'Inputs'!$B$29+'Inputs'!$B$31+'Inputs'!$B$32,'Inputs'!$B$30+'Inputs'!$B$31+'Inputs'!$B$32)/1000+'Inputs'!$B$21))^2+('Inputs'!$B$6/2)^2)))-'Results'!C7*(1-'Inputs'!$B$24)*(0.5*((((344-43)*MAX('Inputs'!$B$33,'Inputs'!$B$29+'Inputs'!$B$31+'Inputs'!$B$32,'Inputs'!$B$30+'Inputs'!$B$31+'Inputs'!$B$32)/1000+'Inputs'!$B$21+'Inputs'!$B$7+'Inputs'!$B$10)+'Inputs'!$B$9)/SQRT((((344-43)*MAX('Inputs'!$B$33,'Inputs'!$B$29+'Inputs'!$B$31+'Inputs'!$B$32,'Inputs'!$B$30+'Inputs'!$B$31+'Inputs'!$B$32)/1000+'Inputs'!$B$21+'Inputs'!$B$7+'Inputs'!$B$10)+'Inputs'!$B$9)^2+('Inputs'!$B$8/2)^2)-(((344-43)*MAX('Inputs'!$B$33,'Inputs'!$B$29+'Inputs'!$B$31+'Inputs'!$B$32,'Inputs'!$B$30+'Inputs'!$B$31+'Inputs'!$B$32)/1000+'Inputs'!$B$21+'Inputs'!$B$7+'Inputs'!$B$10))/SQRT((((344-43)*MAX('Inputs'!$B$33,'Inputs'!$B$29+'Inputs'!$B$31+'Inputs'!$B$32,'Inputs'!$B$30+'Inputs'!$B$31+'Inputs'!$B$32)/1000+'Inputs'!$B$21+'Inputs'!$B$7+'Inputs'!$B$10))^2+('Inputs'!$B$8/2)^2))))*'Results'!$B$8))),"")</x:f>
        <x:v>24.21177859254854</x:v>
      </x:c>
      <x:c r="M344" t="n">
        <x:f>IF(AND(ISNUMBER('Results'!C7),ISNUMBER('Results'!B7),ISNUMBER('Results'!$B$8),ISNUMBER('Inputs'!$B$6),ISNUMBER('Inputs'!$B$7),ISNUMBER('Inputs'!$B$8),ISNUMBER('Inputs'!$B$9),ISNUMBER('Inputs'!$B$10),ISNUMBER('Inputs'!$B$21),ISNUMBER('Inputs'!$B$24),ISNUMBER('Inputs'!$B$28)),(('Results'!C7*(0.5*((((344-43)*MAX('Inputs'!$B$33,'Inputs'!$B$29+'Inputs'!$B$31+'Inputs'!$B$32,'Inputs'!$B$30+'Inputs'!$B$31+'Inputs'!$B$32)/1000+'Inputs'!$B$21)+'Inputs'!$B$9)/SQRT((((344-43)*MAX('Inputs'!$B$33,'Inputs'!$B$29+'Inputs'!$B$31+'Inputs'!$B$32,'Inputs'!$B$30+'Inputs'!$B$31+'Inputs'!$B$32)/1000+'Inputs'!$B$21)+'Inputs'!$B$9)^2+('Inputs'!$B$8/2)^2)-(((344-43)*MAX('Inputs'!$B$33,'Inputs'!$B$29+'Inputs'!$B$31+'Inputs'!$B$32,'Inputs'!$B$30+'Inputs'!$B$31+'Inputs'!$B$32)/1000+'Inputs'!$B$21))/SQRT((((344-43)*MAX('Inputs'!$B$33,'Inputs'!$B$29+'Inputs'!$B$31+'Inputs'!$B$32,'Inputs'!$B$30+'Inputs'!$B$31+'Inputs'!$B$32)/1000+'Inputs'!$B$21))^2+('Inputs'!$B$8/2)^2)))-'Results'!B7*(0.5*((((344-43)*MAX('Inputs'!$B$33,'Inputs'!$B$29+'Inputs'!$B$31+'Inputs'!$B$32,'Inputs'!$B$30+'Inputs'!$B$31+'Inputs'!$B$32)/1000+'Inputs'!$B$21+'Inputs'!$B$9+'Inputs'!$B$10)+'Inputs'!$B$7)/SQRT((((344-43)*MAX('Inputs'!$B$33,'Inputs'!$B$29+'Inputs'!$B$31+'Inputs'!$B$32,'Inputs'!$B$30+'Inputs'!$B$31+'Inputs'!$B$32)/1000+'Inputs'!$B$21+'Inputs'!$B$9+'Inputs'!$B$10)+'Inputs'!$B$7)^2+('Inputs'!$B$6/2)^2)-(((344-43)*MAX('Inputs'!$B$33,'Inputs'!$B$29+'Inputs'!$B$31+'Inputs'!$B$32,'Inputs'!$B$30+'Inputs'!$B$31+'Inputs'!$B$32)/1000+'Inputs'!$B$21+'Inputs'!$B$9+'Inputs'!$B$10))/SQRT((((344-43)*MAX('Inputs'!$B$33,'Inputs'!$B$29+'Inputs'!$B$31+'Inputs'!$B$32,'Inputs'!$B$30+'Inputs'!$B$31+'Inputs'!$B$32)/1000+'Inputs'!$B$21+'Inputs'!$B$9+'Inputs'!$B$10))^2+('Inputs'!$B$6/2)^2))))*'Results'!$B$8),"")</x:f>
        <x:v>20.965009524649616</x:v>
      </x:c>
      <x:c r="N344" t="n">
        <x:f>IF(AND(ISNUMBER('Results'!C7),ISNUMBER('Results'!B7),ISNUMBER('Results'!$B$8),ISNUMBER('Inputs'!$B$6),ISNUMBER('Inputs'!$B$7),ISNUMBER('Inputs'!$B$8),ISNUMBER('Inputs'!$B$9),ISNUMBER('Inputs'!$B$10),ISNUMBER('Inputs'!$B$21),ISNUMBER('Inputs'!$B$24),ISNUMBER('Inputs'!$B$28)),((('Results'!C7*(1-'Inputs'!$B$24)*(0.5*((((344-43)*MAX('Inputs'!$B$33,'Inputs'!$B$29+'Inputs'!$B$31+'Inputs'!$B$32,'Inputs'!$B$30+'Inputs'!$B$31+'Inputs'!$B$32)/1000+'Inputs'!$B$21)+'Inputs'!$B$9)/SQRT((((344-43)*MAX('Inputs'!$B$33,'Inputs'!$B$29+'Inputs'!$B$31+'Inputs'!$B$32,'Inputs'!$B$30+'Inputs'!$B$31+'Inputs'!$B$32)/1000+'Inputs'!$B$21)+'Inputs'!$B$9)^2+('Inputs'!$B$8/2)^2)-(((344-43)*MAX('Inputs'!$B$33,'Inputs'!$B$29+'Inputs'!$B$31+'Inputs'!$B$32,'Inputs'!$B$30+'Inputs'!$B$31+'Inputs'!$B$32)/1000+'Inputs'!$B$21))/SQRT((((344-43)*MAX('Inputs'!$B$33,'Inputs'!$B$29+'Inputs'!$B$31+'Inputs'!$B$32,'Inputs'!$B$30+'Inputs'!$B$31+'Inputs'!$B$32)/1000+'Inputs'!$B$21))^2+('Inputs'!$B$8/2)^2)))-'Results'!B7*(1+'Inputs'!$B$24)*(0.5*((((344-43)*MAX('Inputs'!$B$33,'Inputs'!$B$29+'Inputs'!$B$31+'Inputs'!$B$32,'Inputs'!$B$30+'Inputs'!$B$31+'Inputs'!$B$32)/1000+'Inputs'!$B$21+'Inputs'!$B$9+'Inputs'!$B$10)+'Inputs'!$B$7)/SQRT((((344-43)*MAX('Inputs'!$B$33,'Inputs'!$B$29+'Inputs'!$B$31+'Inputs'!$B$32,'Inputs'!$B$30+'Inputs'!$B$31+'Inputs'!$B$32)/1000+'Inputs'!$B$21+'Inputs'!$B$9+'Inputs'!$B$10)+'Inputs'!$B$7)^2+('Inputs'!$B$6/2)^2)-(((344-43)*MAX('Inputs'!$B$33,'Inputs'!$B$29+'Inputs'!$B$31+'Inputs'!$B$32,'Inputs'!$B$30+'Inputs'!$B$31+'Inputs'!$B$32)/1000+'Inputs'!$B$21+'Inputs'!$B$9+'Inputs'!$B$10))/SQRT((((344-43)*MAX('Inputs'!$B$33,'Inputs'!$B$29+'Inputs'!$B$31+'Inputs'!$B$32,'Inputs'!$B$30+'Inputs'!$B$31+'Inputs'!$B$32)/1000+'Inputs'!$B$21+'Inputs'!$B$9+'Inputs'!$B$10))^2+('Inputs'!$B$6/2)^2))))*'Results'!$B$8)-'Inputs'!$B$28*ABS((('Results'!C7*(1-'Inputs'!$B$24)*(0.5*((((344-43)*MAX('Inputs'!$B$33,'Inputs'!$B$29+'Inputs'!$B$31+'Inputs'!$B$32,'Inputs'!$B$30+'Inputs'!$B$31+'Inputs'!$B$32)/1000+'Inputs'!$B$21)+'Inputs'!$B$9)/SQRT((((344-43)*MAX('Inputs'!$B$33,'Inputs'!$B$29+'Inputs'!$B$31+'Inputs'!$B$32,'Inputs'!$B$30+'Inputs'!$B$31+'Inputs'!$B$32)/1000+'Inputs'!$B$21)+'Inputs'!$B$9)^2+('Inputs'!$B$8/2)^2)-(((344-43)*MAX('Inputs'!$B$33,'Inputs'!$B$29+'Inputs'!$B$31+'Inputs'!$B$32,'Inputs'!$B$30+'Inputs'!$B$31+'Inputs'!$B$32)/1000+'Inputs'!$B$21))/SQRT((((344-43)*MAX('Inputs'!$B$33,'Inputs'!$B$29+'Inputs'!$B$31+'Inputs'!$B$32,'Inputs'!$B$30+'Inputs'!$B$31+'Inputs'!$B$32)/1000+'Inputs'!$B$21))^2+('Inputs'!$B$8/2)^2)))-'Results'!B7*(1+'Inputs'!$B$24)*(0.5*((((344-43)*MAX('Inputs'!$B$33,'Inputs'!$B$29+'Inputs'!$B$31+'Inputs'!$B$32,'Inputs'!$B$30+'Inputs'!$B$31+'Inputs'!$B$32)/1000+'Inputs'!$B$21+'Inputs'!$B$9+'Inputs'!$B$10)+'Inputs'!$B$7)/SQRT((((344-43)*MAX('Inputs'!$B$33,'Inputs'!$B$29+'Inputs'!$B$31+'Inputs'!$B$32,'Inputs'!$B$30+'Inputs'!$B$31+'Inputs'!$B$32)/1000+'Inputs'!$B$21+'Inputs'!$B$9+'Inputs'!$B$10)+'Inputs'!$B$7)^2+('Inputs'!$B$6/2)^2)-(((344-43)*MAX('Inputs'!$B$33,'Inputs'!$B$29+'Inputs'!$B$31+'Inputs'!$B$32,'Inputs'!$B$30+'Inputs'!$B$31+'Inputs'!$B$32)/1000+'Inputs'!$B$21+'Inputs'!$B$9+'Inputs'!$B$10))/SQRT((((344-43)*MAX('Inputs'!$B$33,'Inputs'!$B$29+'Inputs'!$B$31+'Inputs'!$B$32,'Inputs'!$B$30+'Inputs'!$B$31+'Inputs'!$B$32)/1000+'Inputs'!$B$21+'Inputs'!$B$9+'Inputs'!$B$10))^2+('Inputs'!$B$6/2)^2))))*'Results'!$B$8))),"")</x:f>
        <x:v>18.933365097100143</x:v>
      </x:c>
      <x:c r="O344" t="n">
        <x:f>IF(AND(ISNUMBER('Results'!C7),ISNUMBER('Results'!B7),ISNUMBER('Results'!$B$8),ISNUMBER('Inputs'!$B$6),ISNUMBER('Inputs'!$B$7),ISNUMBER('Inputs'!$B$8),ISNUMBER('Inputs'!$B$9),ISNUMBER('Inputs'!$B$10),ISNUMBER('Inputs'!$B$21),ISNUMBER('Inputs'!$B$24),ISNUMBER('Inputs'!$B$28)),((('Results'!C7*(1+'Inputs'!$B$24)*(0.5*((((344-43)*MAX('Inputs'!$B$33,'Inputs'!$B$29+'Inputs'!$B$31+'Inputs'!$B$32,'Inputs'!$B$30+'Inputs'!$B$31+'Inputs'!$B$32)/1000+'Inputs'!$B$21)+'Inputs'!$B$9)/SQRT((((344-43)*MAX('Inputs'!$B$33,'Inputs'!$B$29+'Inputs'!$B$31+'Inputs'!$B$32,'Inputs'!$B$30+'Inputs'!$B$31+'Inputs'!$B$32)/1000+'Inputs'!$B$21)+'Inputs'!$B$9)^2+('Inputs'!$B$8/2)^2)-(((344-43)*MAX('Inputs'!$B$33,'Inputs'!$B$29+'Inputs'!$B$31+'Inputs'!$B$32,'Inputs'!$B$30+'Inputs'!$B$31+'Inputs'!$B$32)/1000+'Inputs'!$B$21))/SQRT((((344-43)*MAX('Inputs'!$B$33,'Inputs'!$B$29+'Inputs'!$B$31+'Inputs'!$B$32,'Inputs'!$B$30+'Inputs'!$B$31+'Inputs'!$B$32)/1000+'Inputs'!$B$21))^2+('Inputs'!$B$8/2)^2)))-'Results'!B7*(1-'Inputs'!$B$24)*(0.5*((((344-43)*MAX('Inputs'!$B$33,'Inputs'!$B$29+'Inputs'!$B$31+'Inputs'!$B$32,'Inputs'!$B$30+'Inputs'!$B$31+'Inputs'!$B$32)/1000+'Inputs'!$B$21+'Inputs'!$B$9+'Inputs'!$B$10)+'Inputs'!$B$7)/SQRT((((344-43)*MAX('Inputs'!$B$33,'Inputs'!$B$29+'Inputs'!$B$31+'Inputs'!$B$32,'Inputs'!$B$30+'Inputs'!$B$31+'Inputs'!$B$32)/1000+'Inputs'!$B$21+'Inputs'!$B$9+'Inputs'!$B$10)+'Inputs'!$B$7)^2+('Inputs'!$B$6/2)^2)-(((344-43)*MAX('Inputs'!$B$33,'Inputs'!$B$29+'Inputs'!$B$31+'Inputs'!$B$32,'Inputs'!$B$30+'Inputs'!$B$31+'Inputs'!$B$32)/1000+'Inputs'!$B$21+'Inputs'!$B$9+'Inputs'!$B$10))/SQRT((((344-43)*MAX('Inputs'!$B$33,'Inputs'!$B$29+'Inputs'!$B$31+'Inputs'!$B$32,'Inputs'!$B$30+'Inputs'!$B$31+'Inputs'!$B$32)/1000+'Inputs'!$B$21+'Inputs'!$B$9+'Inputs'!$B$10))^2+('Inputs'!$B$6/2)^2))))*'Results'!$B$8)+'Inputs'!$B$28*ABS((('Results'!C7*(1+'Inputs'!$B$24)*(0.5*((((344-43)*MAX('Inputs'!$B$33,'Inputs'!$B$29+'Inputs'!$B$31+'Inputs'!$B$32,'Inputs'!$B$30+'Inputs'!$B$31+'Inputs'!$B$32)/1000+'Inputs'!$B$21)+'Inputs'!$B$9)/SQRT((((344-43)*MAX('Inputs'!$B$33,'Inputs'!$B$29+'Inputs'!$B$31+'Inputs'!$B$32,'Inputs'!$B$30+'Inputs'!$B$31+'Inputs'!$B$32)/1000+'Inputs'!$B$21)+'Inputs'!$B$9)^2+('Inputs'!$B$8/2)^2)-(((344-43)*MAX('Inputs'!$B$33,'Inputs'!$B$29+'Inputs'!$B$31+'Inputs'!$B$32,'Inputs'!$B$30+'Inputs'!$B$31+'Inputs'!$B$32)/1000+'Inputs'!$B$21))/SQRT((((344-43)*MAX('Inputs'!$B$33,'Inputs'!$B$29+'Inputs'!$B$31+'Inputs'!$B$32,'Inputs'!$B$30+'Inputs'!$B$31+'Inputs'!$B$32)/1000+'Inputs'!$B$21))^2+('Inputs'!$B$8/2)^2)))-'Results'!B7*(1-'Inputs'!$B$24)*(0.5*((((344-43)*MAX('Inputs'!$B$33,'Inputs'!$B$29+'Inputs'!$B$31+'Inputs'!$B$32,'Inputs'!$B$30+'Inputs'!$B$31+'Inputs'!$B$32)/1000+'Inputs'!$B$21+'Inputs'!$B$9+'Inputs'!$B$10)+'Inputs'!$B$7)/SQRT((((344-43)*MAX('Inputs'!$B$33,'Inputs'!$B$29+'Inputs'!$B$31+'Inputs'!$B$32,'Inputs'!$B$30+'Inputs'!$B$31+'Inputs'!$B$32)/1000+'Inputs'!$B$21+'Inputs'!$B$9+'Inputs'!$B$10)+'Inputs'!$B$7)^2+('Inputs'!$B$6/2)^2)-(((344-43)*MAX('Inputs'!$B$33,'Inputs'!$B$29+'Inputs'!$B$31+'Inputs'!$B$32,'Inputs'!$B$30+'Inputs'!$B$31+'Inputs'!$B$32)/1000+'Inputs'!$B$21+'Inputs'!$B$9+'Inputs'!$B$10))/SQRT((((344-43)*MAX('Inputs'!$B$33,'Inputs'!$B$29+'Inputs'!$B$31+'Inputs'!$B$32,'Inputs'!$B$30+'Inputs'!$B$31+'Inputs'!$B$32)/1000+'Inputs'!$B$21+'Inputs'!$B$9+'Inputs'!$B$10))^2+('Inputs'!$B$6/2)^2))))*'Results'!$B$8))),"")</x:f>
        <x:v>23.100169104969293</x:v>
      </x:c>
      <x:c r="P344" t="n">
        <x:f>IF(AND(MAX(J344,J343)&gt;0,J344&gt;J343+0.00000001),1,0)</x:f>
        <x:v>0</x:v>
      </x:c>
      <x:c r="Q344" t="n">
        <x:f>IF(AND(MAX(K344,K343)&gt;0,K344&gt;K343+0.00000001),1,0)</x:f>
        <x:v>0</x:v>
      </x:c>
      <x:c r="R344" t="n">
        <x:f>IF(AND(MAX(L344,L343)&gt;0,L344&gt;L343+0.00000001),1,0)</x:f>
        <x:v>0</x:v>
      </x:c>
      <x:c r="S344" t="n">
        <x:f>IF(AND(MAX(M344,M343)&gt;0,M344&gt;M343+0.00000001),1,0)</x:f>
        <x:v>0</x:v>
      </x:c>
      <x:c r="T344" t="n">
        <x:f>IF(AND(MAX(N344,N343)&gt;0,N344&gt;N343+0.00000001),1,0)</x:f>
        <x:v>0</x:v>
      </x:c>
      <x:c r="U344" t="n">
        <x:f>IF(AND(MAX(O344,O343)&gt;0,O344&gt;O343+0.00000001),1,0)</x:f>
        <x:v>0</x:v>
      </x:c>
    </x:row>
    <x:row r="345">
      <x:c r="J345" t="n">
        <x:f>IF(AND(ISNUMBER('Results'!B7),ISNUMBER('Results'!C7),ISNUMBER('Results'!$B$8),ISNUMBER('Inputs'!$B$6),ISNUMBER('Inputs'!$B$7),ISNUMBER('Inputs'!$B$8),ISNUMBER('Inputs'!$B$9),ISNUMBER('Inputs'!$B$10),ISNUMBER('Inputs'!$B$21),ISNUMBER('Inputs'!$B$24),ISNUMBER('Inputs'!$B$28)),(('Results'!B7*(0.5*((((345-43)*MAX('Inputs'!$B$33,'Inputs'!$B$29+'Inputs'!$B$31+'Inputs'!$B$32,'Inputs'!$B$30+'Inputs'!$B$31+'Inputs'!$B$32)/1000+'Inputs'!$B$21)+'Inputs'!$B$7)/SQRT((((345-43)*MAX('Inputs'!$B$33,'Inputs'!$B$29+'Inputs'!$B$31+'Inputs'!$B$32,'Inputs'!$B$30+'Inputs'!$B$31+'Inputs'!$B$32)/1000+'Inputs'!$B$21)+'Inputs'!$B$7)^2+('Inputs'!$B$6/2)^2)-(((345-43)*MAX('Inputs'!$B$33,'Inputs'!$B$29+'Inputs'!$B$31+'Inputs'!$B$32,'Inputs'!$B$30+'Inputs'!$B$31+'Inputs'!$B$32)/1000+'Inputs'!$B$21))/SQRT((((345-43)*MAX('Inputs'!$B$33,'Inputs'!$B$29+'Inputs'!$B$31+'Inputs'!$B$32,'Inputs'!$B$30+'Inputs'!$B$31+'Inputs'!$B$32)/1000+'Inputs'!$B$21))^2+('Inputs'!$B$6/2)^2)))-'Results'!C7*(0.5*((((345-43)*MAX('Inputs'!$B$33,'Inputs'!$B$29+'Inputs'!$B$31+'Inputs'!$B$32,'Inputs'!$B$30+'Inputs'!$B$31+'Inputs'!$B$32)/1000+'Inputs'!$B$21+'Inputs'!$B$7+'Inputs'!$B$10)+'Inputs'!$B$9)/SQRT((((345-43)*MAX('Inputs'!$B$33,'Inputs'!$B$29+'Inputs'!$B$31+'Inputs'!$B$32,'Inputs'!$B$30+'Inputs'!$B$31+'Inputs'!$B$32)/1000+'Inputs'!$B$21+'Inputs'!$B$7+'Inputs'!$B$10)+'Inputs'!$B$9)^2+('Inputs'!$B$8/2)^2)-(((345-43)*MAX('Inputs'!$B$33,'Inputs'!$B$29+'Inputs'!$B$31+'Inputs'!$B$32,'Inputs'!$B$30+'Inputs'!$B$31+'Inputs'!$B$32)/1000+'Inputs'!$B$21+'Inputs'!$B$7+'Inputs'!$B$10))/SQRT((((345-43)*MAX('Inputs'!$B$33,'Inputs'!$B$29+'Inputs'!$B$31+'Inputs'!$B$32,'Inputs'!$B$30+'Inputs'!$B$31+'Inputs'!$B$32)/1000+'Inputs'!$B$21+'Inputs'!$B$7+'Inputs'!$B$10))^2+('Inputs'!$B$8/2)^2))))*'Results'!$B$8),"")</x:f>
        <x:v>21.78902685052457</x:v>
      </x:c>
      <x:c r="K345" t="n">
        <x:f>IF(AND(ISNUMBER('Results'!B7),ISNUMBER('Results'!C7),ISNUMBER('Results'!$B$8),ISNUMBER('Inputs'!$B$6),ISNUMBER('Inputs'!$B$7),ISNUMBER('Inputs'!$B$8),ISNUMBER('Inputs'!$B$9),ISNUMBER('Inputs'!$B$10),ISNUMBER('Inputs'!$B$21),ISNUMBER('Inputs'!$B$24),ISNUMBER('Inputs'!$B$28)),((('Results'!B7*(1-'Inputs'!$B$24)*(0.5*((((345-43)*MAX('Inputs'!$B$33,'Inputs'!$B$29+'Inputs'!$B$31+'Inputs'!$B$32,'Inputs'!$B$30+'Inputs'!$B$31+'Inputs'!$B$32)/1000+'Inputs'!$B$21)+'Inputs'!$B$7)/SQRT((((345-43)*MAX('Inputs'!$B$33,'Inputs'!$B$29+'Inputs'!$B$31+'Inputs'!$B$32,'Inputs'!$B$30+'Inputs'!$B$31+'Inputs'!$B$32)/1000+'Inputs'!$B$21)+'Inputs'!$B$7)^2+('Inputs'!$B$6/2)^2)-(((345-43)*MAX('Inputs'!$B$33,'Inputs'!$B$29+'Inputs'!$B$31+'Inputs'!$B$32,'Inputs'!$B$30+'Inputs'!$B$31+'Inputs'!$B$32)/1000+'Inputs'!$B$21))/SQRT((((345-43)*MAX('Inputs'!$B$33,'Inputs'!$B$29+'Inputs'!$B$31+'Inputs'!$B$32,'Inputs'!$B$30+'Inputs'!$B$31+'Inputs'!$B$32)/1000+'Inputs'!$B$21))^2+('Inputs'!$B$6/2)^2)))-'Results'!C7*(1+'Inputs'!$B$24)*(0.5*((((345-43)*MAX('Inputs'!$B$33,'Inputs'!$B$29+'Inputs'!$B$31+'Inputs'!$B$32,'Inputs'!$B$30+'Inputs'!$B$31+'Inputs'!$B$32)/1000+'Inputs'!$B$21+'Inputs'!$B$7+'Inputs'!$B$10)+'Inputs'!$B$9)/SQRT((((345-43)*MAX('Inputs'!$B$33,'Inputs'!$B$29+'Inputs'!$B$31+'Inputs'!$B$32,'Inputs'!$B$30+'Inputs'!$B$31+'Inputs'!$B$32)/1000+'Inputs'!$B$21+'Inputs'!$B$7+'Inputs'!$B$10)+'Inputs'!$B$9)^2+('Inputs'!$B$8/2)^2)-(((345-43)*MAX('Inputs'!$B$33,'Inputs'!$B$29+'Inputs'!$B$31+'Inputs'!$B$32,'Inputs'!$B$30+'Inputs'!$B$31+'Inputs'!$B$32)/1000+'Inputs'!$B$21+'Inputs'!$B$7+'Inputs'!$B$10))/SQRT((((345-43)*MAX('Inputs'!$B$33,'Inputs'!$B$29+'Inputs'!$B$31+'Inputs'!$B$32,'Inputs'!$B$30+'Inputs'!$B$31+'Inputs'!$B$32)/1000+'Inputs'!$B$21+'Inputs'!$B$7+'Inputs'!$B$10))^2+('Inputs'!$B$8/2)^2))))*'Results'!$B$8)-'Inputs'!$B$28*ABS((('Results'!B7*(1-'Inputs'!$B$24)*(0.5*((((345-43)*MAX('Inputs'!$B$33,'Inputs'!$B$29+'Inputs'!$B$31+'Inputs'!$B$32,'Inputs'!$B$30+'Inputs'!$B$31+'Inputs'!$B$32)/1000+'Inputs'!$B$21)+'Inputs'!$B$7)/SQRT((((345-43)*MAX('Inputs'!$B$33,'Inputs'!$B$29+'Inputs'!$B$31+'Inputs'!$B$32,'Inputs'!$B$30+'Inputs'!$B$31+'Inputs'!$B$32)/1000+'Inputs'!$B$21)+'Inputs'!$B$7)^2+('Inputs'!$B$6/2)^2)-(((345-43)*MAX('Inputs'!$B$33,'Inputs'!$B$29+'Inputs'!$B$31+'Inputs'!$B$32,'Inputs'!$B$30+'Inputs'!$B$31+'Inputs'!$B$32)/1000+'Inputs'!$B$21))/SQRT((((345-43)*MAX('Inputs'!$B$33,'Inputs'!$B$29+'Inputs'!$B$31+'Inputs'!$B$32,'Inputs'!$B$30+'Inputs'!$B$31+'Inputs'!$B$32)/1000+'Inputs'!$B$21))^2+('Inputs'!$B$6/2)^2)))-'Results'!C7*(1+'Inputs'!$B$24)*(0.5*((((345-43)*MAX('Inputs'!$B$33,'Inputs'!$B$29+'Inputs'!$B$31+'Inputs'!$B$32,'Inputs'!$B$30+'Inputs'!$B$31+'Inputs'!$B$32)/1000+'Inputs'!$B$21+'Inputs'!$B$7+'Inputs'!$B$10)+'Inputs'!$B$9)/SQRT((((345-43)*MAX('Inputs'!$B$33,'Inputs'!$B$29+'Inputs'!$B$31+'Inputs'!$B$32,'Inputs'!$B$30+'Inputs'!$B$31+'Inputs'!$B$32)/1000+'Inputs'!$B$21+'Inputs'!$B$7+'Inputs'!$B$10)+'Inputs'!$B$9)^2+('Inputs'!$B$8/2)^2)-(((345-43)*MAX('Inputs'!$B$33,'Inputs'!$B$29+'Inputs'!$B$31+'Inputs'!$B$32,'Inputs'!$B$30+'Inputs'!$B$31+'Inputs'!$B$32)/1000+'Inputs'!$B$21+'Inputs'!$B$7+'Inputs'!$B$10))/SQRT((((345-43)*MAX('Inputs'!$B$33,'Inputs'!$B$29+'Inputs'!$B$31+'Inputs'!$B$32,'Inputs'!$B$30+'Inputs'!$B$31+'Inputs'!$B$32)/1000+'Inputs'!$B$21+'Inputs'!$B$7+'Inputs'!$B$10))^2+('Inputs'!$B$8/2)^2))))*'Results'!$B$8))),"")</x:f>
        <x:v>19.71604136450403</x:v>
      </x:c>
      <x:c r="L345" t="n">
        <x:f>IF(AND(ISNUMBER('Results'!B7),ISNUMBER('Results'!C7),ISNUMBER('Results'!$B$8),ISNUMBER('Inputs'!$B$6),ISNUMBER('Inputs'!$B$7),ISNUMBER('Inputs'!$B$8),ISNUMBER('Inputs'!$B$9),ISNUMBER('Inputs'!$B$10),ISNUMBER('Inputs'!$B$21),ISNUMBER('Inputs'!$B$24),ISNUMBER('Inputs'!$B$28)),((('Results'!B7*(1+'Inputs'!$B$24)*(0.5*((((345-43)*MAX('Inputs'!$B$33,'Inputs'!$B$29+'Inputs'!$B$31+'Inputs'!$B$32,'Inputs'!$B$30+'Inputs'!$B$31+'Inputs'!$B$32)/1000+'Inputs'!$B$21)+'Inputs'!$B$7)/SQRT((((345-43)*MAX('Inputs'!$B$33,'Inputs'!$B$29+'Inputs'!$B$31+'Inputs'!$B$32,'Inputs'!$B$30+'Inputs'!$B$31+'Inputs'!$B$32)/1000+'Inputs'!$B$21)+'Inputs'!$B$7)^2+('Inputs'!$B$6/2)^2)-(((345-43)*MAX('Inputs'!$B$33,'Inputs'!$B$29+'Inputs'!$B$31+'Inputs'!$B$32,'Inputs'!$B$30+'Inputs'!$B$31+'Inputs'!$B$32)/1000+'Inputs'!$B$21))/SQRT((((345-43)*MAX('Inputs'!$B$33,'Inputs'!$B$29+'Inputs'!$B$31+'Inputs'!$B$32,'Inputs'!$B$30+'Inputs'!$B$31+'Inputs'!$B$32)/1000+'Inputs'!$B$21))^2+('Inputs'!$B$6/2)^2)))-'Results'!C7*(1-'Inputs'!$B$24)*(0.5*((((345-43)*MAX('Inputs'!$B$33,'Inputs'!$B$29+'Inputs'!$B$31+'Inputs'!$B$32,'Inputs'!$B$30+'Inputs'!$B$31+'Inputs'!$B$32)/1000+'Inputs'!$B$21+'Inputs'!$B$7+'Inputs'!$B$10)+'Inputs'!$B$9)/SQRT((((345-43)*MAX('Inputs'!$B$33,'Inputs'!$B$29+'Inputs'!$B$31+'Inputs'!$B$32,'Inputs'!$B$30+'Inputs'!$B$31+'Inputs'!$B$32)/1000+'Inputs'!$B$21+'Inputs'!$B$7+'Inputs'!$B$10)+'Inputs'!$B$9)^2+('Inputs'!$B$8/2)^2)-(((345-43)*MAX('Inputs'!$B$33,'Inputs'!$B$29+'Inputs'!$B$31+'Inputs'!$B$32,'Inputs'!$B$30+'Inputs'!$B$31+'Inputs'!$B$32)/1000+'Inputs'!$B$21+'Inputs'!$B$7+'Inputs'!$B$10))/SQRT((((345-43)*MAX('Inputs'!$B$33,'Inputs'!$B$29+'Inputs'!$B$31+'Inputs'!$B$32,'Inputs'!$B$30+'Inputs'!$B$31+'Inputs'!$B$32)/1000+'Inputs'!$B$21+'Inputs'!$B$7+'Inputs'!$B$10))^2+('Inputs'!$B$8/2)^2))))*'Results'!$B$8)+'Inputs'!$B$28*ABS((('Results'!B7*(1+'Inputs'!$B$24)*(0.5*((((345-43)*MAX('Inputs'!$B$33,'Inputs'!$B$29+'Inputs'!$B$31+'Inputs'!$B$32,'Inputs'!$B$30+'Inputs'!$B$31+'Inputs'!$B$32)/1000+'Inputs'!$B$21)+'Inputs'!$B$7)/SQRT((((345-43)*MAX('Inputs'!$B$33,'Inputs'!$B$29+'Inputs'!$B$31+'Inputs'!$B$32,'Inputs'!$B$30+'Inputs'!$B$31+'Inputs'!$B$32)/1000+'Inputs'!$B$21)+'Inputs'!$B$7)^2+('Inputs'!$B$6/2)^2)-(((345-43)*MAX('Inputs'!$B$33,'Inputs'!$B$29+'Inputs'!$B$31+'Inputs'!$B$32,'Inputs'!$B$30+'Inputs'!$B$31+'Inputs'!$B$32)/1000+'Inputs'!$B$21))/SQRT((((345-43)*MAX('Inputs'!$B$33,'Inputs'!$B$29+'Inputs'!$B$31+'Inputs'!$B$32,'Inputs'!$B$30+'Inputs'!$B$31+'Inputs'!$B$32)/1000+'Inputs'!$B$21))^2+('Inputs'!$B$6/2)^2)))-'Results'!C7*(1-'Inputs'!$B$24)*(0.5*((((345-43)*MAX('Inputs'!$B$33,'Inputs'!$B$29+'Inputs'!$B$31+'Inputs'!$B$32,'Inputs'!$B$30+'Inputs'!$B$31+'Inputs'!$B$32)/1000+'Inputs'!$B$21+'Inputs'!$B$7+'Inputs'!$B$10)+'Inputs'!$B$9)/SQRT((((345-43)*MAX('Inputs'!$B$33,'Inputs'!$B$29+'Inputs'!$B$31+'Inputs'!$B$32,'Inputs'!$B$30+'Inputs'!$B$31+'Inputs'!$B$32)/1000+'Inputs'!$B$21+'Inputs'!$B$7+'Inputs'!$B$10)+'Inputs'!$B$9)^2+('Inputs'!$B$8/2)^2)-(((345-43)*MAX('Inputs'!$B$33,'Inputs'!$B$29+'Inputs'!$B$31+'Inputs'!$B$32,'Inputs'!$B$30+'Inputs'!$B$31+'Inputs'!$B$32)/1000+'Inputs'!$B$21+'Inputs'!$B$7+'Inputs'!$B$10))/SQRT((((345-43)*MAX('Inputs'!$B$33,'Inputs'!$B$29+'Inputs'!$B$31+'Inputs'!$B$32,'Inputs'!$B$30+'Inputs'!$B$31+'Inputs'!$B$32)/1000+'Inputs'!$B$21+'Inputs'!$B$7+'Inputs'!$B$10))^2+('Inputs'!$B$8/2)^2))))*'Results'!$B$8))),"")</x:f>
        <x:v>23.965542246386626</x:v>
      </x:c>
      <x:c r="M345" t="n">
        <x:f>IF(AND(ISNUMBER('Results'!C7),ISNUMBER('Results'!B7),ISNUMBER('Results'!$B$8),ISNUMBER('Inputs'!$B$6),ISNUMBER('Inputs'!$B$7),ISNUMBER('Inputs'!$B$8),ISNUMBER('Inputs'!$B$9),ISNUMBER('Inputs'!$B$10),ISNUMBER('Inputs'!$B$21),ISNUMBER('Inputs'!$B$24),ISNUMBER('Inputs'!$B$28)),(('Results'!C7*(0.5*((((345-43)*MAX('Inputs'!$B$33,'Inputs'!$B$29+'Inputs'!$B$31+'Inputs'!$B$32,'Inputs'!$B$30+'Inputs'!$B$31+'Inputs'!$B$32)/1000+'Inputs'!$B$21)+'Inputs'!$B$9)/SQRT((((345-43)*MAX('Inputs'!$B$33,'Inputs'!$B$29+'Inputs'!$B$31+'Inputs'!$B$32,'Inputs'!$B$30+'Inputs'!$B$31+'Inputs'!$B$32)/1000+'Inputs'!$B$21)+'Inputs'!$B$9)^2+('Inputs'!$B$8/2)^2)-(((345-43)*MAX('Inputs'!$B$33,'Inputs'!$B$29+'Inputs'!$B$31+'Inputs'!$B$32,'Inputs'!$B$30+'Inputs'!$B$31+'Inputs'!$B$32)/1000+'Inputs'!$B$21))/SQRT((((345-43)*MAX('Inputs'!$B$33,'Inputs'!$B$29+'Inputs'!$B$31+'Inputs'!$B$32,'Inputs'!$B$30+'Inputs'!$B$31+'Inputs'!$B$32)/1000+'Inputs'!$B$21))^2+('Inputs'!$B$8/2)^2)))-'Results'!B7*(0.5*((((345-43)*MAX('Inputs'!$B$33,'Inputs'!$B$29+'Inputs'!$B$31+'Inputs'!$B$32,'Inputs'!$B$30+'Inputs'!$B$31+'Inputs'!$B$32)/1000+'Inputs'!$B$21+'Inputs'!$B$9+'Inputs'!$B$10)+'Inputs'!$B$7)/SQRT((((345-43)*MAX('Inputs'!$B$33,'Inputs'!$B$29+'Inputs'!$B$31+'Inputs'!$B$32,'Inputs'!$B$30+'Inputs'!$B$31+'Inputs'!$B$32)/1000+'Inputs'!$B$21+'Inputs'!$B$9+'Inputs'!$B$10)+'Inputs'!$B$7)^2+('Inputs'!$B$6/2)^2)-(((345-43)*MAX('Inputs'!$B$33,'Inputs'!$B$29+'Inputs'!$B$31+'Inputs'!$B$32,'Inputs'!$B$30+'Inputs'!$B$31+'Inputs'!$B$32)/1000+'Inputs'!$B$21+'Inputs'!$B$9+'Inputs'!$B$10))/SQRT((((345-43)*MAX('Inputs'!$B$33,'Inputs'!$B$29+'Inputs'!$B$31+'Inputs'!$B$32,'Inputs'!$B$30+'Inputs'!$B$31+'Inputs'!$B$32)/1000+'Inputs'!$B$21+'Inputs'!$B$9+'Inputs'!$B$10))^2+('Inputs'!$B$6/2)^2))))*'Results'!$B$8),"")</x:f>
        <x:v>20.747610215768642</x:v>
      </x:c>
      <x:c r="N345" t="n">
        <x:f>IF(AND(ISNUMBER('Results'!C7),ISNUMBER('Results'!B7),ISNUMBER('Results'!$B$8),ISNUMBER('Inputs'!$B$6),ISNUMBER('Inputs'!$B$7),ISNUMBER('Inputs'!$B$8),ISNUMBER('Inputs'!$B$9),ISNUMBER('Inputs'!$B$10),ISNUMBER('Inputs'!$B$21),ISNUMBER('Inputs'!$B$24),ISNUMBER('Inputs'!$B$28)),((('Results'!C7*(1-'Inputs'!$B$24)*(0.5*((((345-43)*MAX('Inputs'!$B$33,'Inputs'!$B$29+'Inputs'!$B$31+'Inputs'!$B$32,'Inputs'!$B$30+'Inputs'!$B$31+'Inputs'!$B$32)/1000+'Inputs'!$B$21)+'Inputs'!$B$9)/SQRT((((345-43)*MAX('Inputs'!$B$33,'Inputs'!$B$29+'Inputs'!$B$31+'Inputs'!$B$32,'Inputs'!$B$30+'Inputs'!$B$31+'Inputs'!$B$32)/1000+'Inputs'!$B$21)+'Inputs'!$B$9)^2+('Inputs'!$B$8/2)^2)-(((345-43)*MAX('Inputs'!$B$33,'Inputs'!$B$29+'Inputs'!$B$31+'Inputs'!$B$32,'Inputs'!$B$30+'Inputs'!$B$31+'Inputs'!$B$32)/1000+'Inputs'!$B$21))/SQRT((((345-43)*MAX('Inputs'!$B$33,'Inputs'!$B$29+'Inputs'!$B$31+'Inputs'!$B$32,'Inputs'!$B$30+'Inputs'!$B$31+'Inputs'!$B$32)/1000+'Inputs'!$B$21))^2+('Inputs'!$B$8/2)^2)))-'Results'!B7*(1+'Inputs'!$B$24)*(0.5*((((345-43)*MAX('Inputs'!$B$33,'Inputs'!$B$29+'Inputs'!$B$31+'Inputs'!$B$32,'Inputs'!$B$30+'Inputs'!$B$31+'Inputs'!$B$32)/1000+'Inputs'!$B$21+'Inputs'!$B$9+'Inputs'!$B$10)+'Inputs'!$B$7)/SQRT((((345-43)*MAX('Inputs'!$B$33,'Inputs'!$B$29+'Inputs'!$B$31+'Inputs'!$B$32,'Inputs'!$B$30+'Inputs'!$B$31+'Inputs'!$B$32)/1000+'Inputs'!$B$21+'Inputs'!$B$9+'Inputs'!$B$10)+'Inputs'!$B$7)^2+('Inputs'!$B$6/2)^2)-(((345-43)*MAX('Inputs'!$B$33,'Inputs'!$B$29+'Inputs'!$B$31+'Inputs'!$B$32,'Inputs'!$B$30+'Inputs'!$B$31+'Inputs'!$B$32)/1000+'Inputs'!$B$21+'Inputs'!$B$9+'Inputs'!$B$10))/SQRT((((345-43)*MAX('Inputs'!$B$33,'Inputs'!$B$29+'Inputs'!$B$31+'Inputs'!$B$32,'Inputs'!$B$30+'Inputs'!$B$31+'Inputs'!$B$32)/1000+'Inputs'!$B$21+'Inputs'!$B$9+'Inputs'!$B$10))^2+('Inputs'!$B$6/2)^2))))*'Results'!$B$8)-'Inputs'!$B$28*ABS((('Results'!C7*(1-'Inputs'!$B$24)*(0.5*((((345-43)*MAX('Inputs'!$B$33,'Inputs'!$B$29+'Inputs'!$B$31+'Inputs'!$B$32,'Inputs'!$B$30+'Inputs'!$B$31+'Inputs'!$B$32)/1000+'Inputs'!$B$21)+'Inputs'!$B$9)/SQRT((((345-43)*MAX('Inputs'!$B$33,'Inputs'!$B$29+'Inputs'!$B$31+'Inputs'!$B$32,'Inputs'!$B$30+'Inputs'!$B$31+'Inputs'!$B$32)/1000+'Inputs'!$B$21)+'Inputs'!$B$9)^2+('Inputs'!$B$8/2)^2)-(((345-43)*MAX('Inputs'!$B$33,'Inputs'!$B$29+'Inputs'!$B$31+'Inputs'!$B$32,'Inputs'!$B$30+'Inputs'!$B$31+'Inputs'!$B$32)/1000+'Inputs'!$B$21))/SQRT((((345-43)*MAX('Inputs'!$B$33,'Inputs'!$B$29+'Inputs'!$B$31+'Inputs'!$B$32,'Inputs'!$B$30+'Inputs'!$B$31+'Inputs'!$B$32)/1000+'Inputs'!$B$21))^2+('Inputs'!$B$8/2)^2)))-'Results'!B7*(1+'Inputs'!$B$24)*(0.5*((((345-43)*MAX('Inputs'!$B$33,'Inputs'!$B$29+'Inputs'!$B$31+'Inputs'!$B$32,'Inputs'!$B$30+'Inputs'!$B$31+'Inputs'!$B$32)/1000+'Inputs'!$B$21+'Inputs'!$B$9+'Inputs'!$B$10)+'Inputs'!$B$7)/SQRT((((345-43)*MAX('Inputs'!$B$33,'Inputs'!$B$29+'Inputs'!$B$31+'Inputs'!$B$32,'Inputs'!$B$30+'Inputs'!$B$31+'Inputs'!$B$32)/1000+'Inputs'!$B$21+'Inputs'!$B$9+'Inputs'!$B$10)+'Inputs'!$B$7)^2+('Inputs'!$B$6/2)^2)-(((345-43)*MAX('Inputs'!$B$33,'Inputs'!$B$29+'Inputs'!$B$31+'Inputs'!$B$32,'Inputs'!$B$30+'Inputs'!$B$31+'Inputs'!$B$32)/1000+'Inputs'!$B$21+'Inputs'!$B$9+'Inputs'!$B$10))/SQRT((((345-43)*MAX('Inputs'!$B$33,'Inputs'!$B$29+'Inputs'!$B$31+'Inputs'!$B$32,'Inputs'!$B$30+'Inputs'!$B$31+'Inputs'!$B$32)/1000+'Inputs'!$B$21+'Inputs'!$B$9+'Inputs'!$B$10))^2+('Inputs'!$B$6/2)^2))))*'Results'!$B$8))),"")</x:f>
        <x:v>18.73485915849861</x:v>
      </x:c>
      <x:c r="O345" t="n">
        <x:f>IF(AND(ISNUMBER('Results'!C7),ISNUMBER('Results'!B7),ISNUMBER('Results'!$B$8),ISNUMBER('Inputs'!$B$6),ISNUMBER('Inputs'!$B$7),ISNUMBER('Inputs'!$B$8),ISNUMBER('Inputs'!$B$9),ISNUMBER('Inputs'!$B$10),ISNUMBER('Inputs'!$B$21),ISNUMBER('Inputs'!$B$24),ISNUMBER('Inputs'!$B$28)),((('Results'!C7*(1+'Inputs'!$B$24)*(0.5*((((345-43)*MAX('Inputs'!$B$33,'Inputs'!$B$29+'Inputs'!$B$31+'Inputs'!$B$32,'Inputs'!$B$30+'Inputs'!$B$31+'Inputs'!$B$32)/1000+'Inputs'!$B$21)+'Inputs'!$B$9)/SQRT((((345-43)*MAX('Inputs'!$B$33,'Inputs'!$B$29+'Inputs'!$B$31+'Inputs'!$B$32,'Inputs'!$B$30+'Inputs'!$B$31+'Inputs'!$B$32)/1000+'Inputs'!$B$21)+'Inputs'!$B$9)^2+('Inputs'!$B$8/2)^2)-(((345-43)*MAX('Inputs'!$B$33,'Inputs'!$B$29+'Inputs'!$B$31+'Inputs'!$B$32,'Inputs'!$B$30+'Inputs'!$B$31+'Inputs'!$B$32)/1000+'Inputs'!$B$21))/SQRT((((345-43)*MAX('Inputs'!$B$33,'Inputs'!$B$29+'Inputs'!$B$31+'Inputs'!$B$32,'Inputs'!$B$30+'Inputs'!$B$31+'Inputs'!$B$32)/1000+'Inputs'!$B$21))^2+('Inputs'!$B$8/2)^2)))-'Results'!B7*(1-'Inputs'!$B$24)*(0.5*((((345-43)*MAX('Inputs'!$B$33,'Inputs'!$B$29+'Inputs'!$B$31+'Inputs'!$B$32,'Inputs'!$B$30+'Inputs'!$B$31+'Inputs'!$B$32)/1000+'Inputs'!$B$21+'Inputs'!$B$9+'Inputs'!$B$10)+'Inputs'!$B$7)/SQRT((((345-43)*MAX('Inputs'!$B$33,'Inputs'!$B$29+'Inputs'!$B$31+'Inputs'!$B$32,'Inputs'!$B$30+'Inputs'!$B$31+'Inputs'!$B$32)/1000+'Inputs'!$B$21+'Inputs'!$B$9+'Inputs'!$B$10)+'Inputs'!$B$7)^2+('Inputs'!$B$6/2)^2)-(((345-43)*MAX('Inputs'!$B$33,'Inputs'!$B$29+'Inputs'!$B$31+'Inputs'!$B$32,'Inputs'!$B$30+'Inputs'!$B$31+'Inputs'!$B$32)/1000+'Inputs'!$B$21+'Inputs'!$B$9+'Inputs'!$B$10))/SQRT((((345-43)*MAX('Inputs'!$B$33,'Inputs'!$B$29+'Inputs'!$B$31+'Inputs'!$B$32,'Inputs'!$B$30+'Inputs'!$B$31+'Inputs'!$B$32)/1000+'Inputs'!$B$21+'Inputs'!$B$9+'Inputs'!$B$10))^2+('Inputs'!$B$6/2)^2))))*'Results'!$B$8)+'Inputs'!$B$28*ABS((('Results'!C7*(1+'Inputs'!$B$24)*(0.5*((((345-43)*MAX('Inputs'!$B$33,'Inputs'!$B$29+'Inputs'!$B$31+'Inputs'!$B$32,'Inputs'!$B$30+'Inputs'!$B$31+'Inputs'!$B$32)/1000+'Inputs'!$B$21)+'Inputs'!$B$9)/SQRT((((345-43)*MAX('Inputs'!$B$33,'Inputs'!$B$29+'Inputs'!$B$31+'Inputs'!$B$32,'Inputs'!$B$30+'Inputs'!$B$31+'Inputs'!$B$32)/1000+'Inputs'!$B$21)+'Inputs'!$B$9)^2+('Inputs'!$B$8/2)^2)-(((345-43)*MAX('Inputs'!$B$33,'Inputs'!$B$29+'Inputs'!$B$31+'Inputs'!$B$32,'Inputs'!$B$30+'Inputs'!$B$31+'Inputs'!$B$32)/1000+'Inputs'!$B$21))/SQRT((((345-43)*MAX('Inputs'!$B$33,'Inputs'!$B$29+'Inputs'!$B$31+'Inputs'!$B$32,'Inputs'!$B$30+'Inputs'!$B$31+'Inputs'!$B$32)/1000+'Inputs'!$B$21))^2+('Inputs'!$B$8/2)^2)))-'Results'!B7*(1-'Inputs'!$B$24)*(0.5*((((345-43)*MAX('Inputs'!$B$33,'Inputs'!$B$29+'Inputs'!$B$31+'Inputs'!$B$32,'Inputs'!$B$30+'Inputs'!$B$31+'Inputs'!$B$32)/1000+'Inputs'!$B$21+'Inputs'!$B$9+'Inputs'!$B$10)+'Inputs'!$B$7)/SQRT((((345-43)*MAX('Inputs'!$B$33,'Inputs'!$B$29+'Inputs'!$B$31+'Inputs'!$B$32,'Inputs'!$B$30+'Inputs'!$B$31+'Inputs'!$B$32)/1000+'Inputs'!$B$21+'Inputs'!$B$9+'Inputs'!$B$10)+'Inputs'!$B$7)^2+('Inputs'!$B$6/2)^2)-(((345-43)*MAX('Inputs'!$B$33,'Inputs'!$B$29+'Inputs'!$B$31+'Inputs'!$B$32,'Inputs'!$B$30+'Inputs'!$B$31+'Inputs'!$B$32)/1000+'Inputs'!$B$21+'Inputs'!$B$9+'Inputs'!$B$10))/SQRT((((345-43)*MAX('Inputs'!$B$33,'Inputs'!$B$29+'Inputs'!$B$31+'Inputs'!$B$32,'Inputs'!$B$30+'Inputs'!$B$31+'Inputs'!$B$32)/1000+'Inputs'!$B$21+'Inputs'!$B$9+'Inputs'!$B$10))^2+('Inputs'!$B$6/2)^2))))*'Results'!$B$8))),"")</x:f>
        <x:v>22.863031856878838</x:v>
      </x:c>
      <x:c r="P345" t="n">
        <x:f>IF(AND(MAX(J345,J344)&gt;0,J345&gt;J344+0.00000001),1,0)</x:f>
        <x:v>0</x:v>
      </x:c>
      <x:c r="Q345" t="n">
        <x:f>IF(AND(MAX(K345,K344)&gt;0,K345&gt;K344+0.00000001),1,0)</x:f>
        <x:v>0</x:v>
      </x:c>
      <x:c r="R345" t="n">
        <x:f>IF(AND(MAX(L345,L344)&gt;0,L345&gt;L344+0.00000001),1,0)</x:f>
        <x:v>0</x:v>
      </x:c>
      <x:c r="S345" t="n">
        <x:f>IF(AND(MAX(M345,M344)&gt;0,M345&gt;M344+0.00000001),1,0)</x:f>
        <x:v>0</x:v>
      </x:c>
      <x:c r="T345" t="n">
        <x:f>IF(AND(MAX(N345,N344)&gt;0,N345&gt;N344+0.00000001),1,0)</x:f>
        <x:v>0</x:v>
      </x:c>
      <x:c r="U345" t="n">
        <x:f>IF(AND(MAX(O345,O344)&gt;0,O345&gt;O344+0.00000001),1,0)</x:f>
        <x:v>0</x:v>
      </x:c>
    </x:row>
    <x:row r="346">
      <x:c r="J346" t="n">
        <x:f>IF(AND(ISNUMBER('Results'!B7),ISNUMBER('Results'!C7),ISNUMBER('Results'!$B$8),ISNUMBER('Inputs'!$B$6),ISNUMBER('Inputs'!$B$7),ISNUMBER('Inputs'!$B$8),ISNUMBER('Inputs'!$B$9),ISNUMBER('Inputs'!$B$10),ISNUMBER('Inputs'!$B$21),ISNUMBER('Inputs'!$B$24),ISNUMBER('Inputs'!$B$28)),(('Results'!B7*(0.5*((((346-43)*MAX('Inputs'!$B$33,'Inputs'!$B$29+'Inputs'!$B$31+'Inputs'!$B$32,'Inputs'!$B$30+'Inputs'!$B$31+'Inputs'!$B$32)/1000+'Inputs'!$B$21)+'Inputs'!$B$7)/SQRT((((346-43)*MAX('Inputs'!$B$33,'Inputs'!$B$29+'Inputs'!$B$31+'Inputs'!$B$32,'Inputs'!$B$30+'Inputs'!$B$31+'Inputs'!$B$32)/1000+'Inputs'!$B$21)+'Inputs'!$B$7)^2+('Inputs'!$B$6/2)^2)-(((346-43)*MAX('Inputs'!$B$33,'Inputs'!$B$29+'Inputs'!$B$31+'Inputs'!$B$32,'Inputs'!$B$30+'Inputs'!$B$31+'Inputs'!$B$32)/1000+'Inputs'!$B$21))/SQRT((((346-43)*MAX('Inputs'!$B$33,'Inputs'!$B$29+'Inputs'!$B$31+'Inputs'!$B$32,'Inputs'!$B$30+'Inputs'!$B$31+'Inputs'!$B$32)/1000+'Inputs'!$B$21))^2+('Inputs'!$B$6/2)^2)))-'Results'!C7*(0.5*((((346-43)*MAX('Inputs'!$B$33,'Inputs'!$B$29+'Inputs'!$B$31+'Inputs'!$B$32,'Inputs'!$B$30+'Inputs'!$B$31+'Inputs'!$B$32)/1000+'Inputs'!$B$21+'Inputs'!$B$7+'Inputs'!$B$10)+'Inputs'!$B$9)/SQRT((((346-43)*MAX('Inputs'!$B$33,'Inputs'!$B$29+'Inputs'!$B$31+'Inputs'!$B$32,'Inputs'!$B$30+'Inputs'!$B$31+'Inputs'!$B$32)/1000+'Inputs'!$B$21+'Inputs'!$B$7+'Inputs'!$B$10)+'Inputs'!$B$9)^2+('Inputs'!$B$8/2)^2)-(((346-43)*MAX('Inputs'!$B$33,'Inputs'!$B$29+'Inputs'!$B$31+'Inputs'!$B$32,'Inputs'!$B$30+'Inputs'!$B$31+'Inputs'!$B$32)/1000+'Inputs'!$B$21+'Inputs'!$B$7+'Inputs'!$B$10))/SQRT((((346-43)*MAX('Inputs'!$B$33,'Inputs'!$B$29+'Inputs'!$B$31+'Inputs'!$B$32,'Inputs'!$B$30+'Inputs'!$B$31+'Inputs'!$B$32)/1000+'Inputs'!$B$21+'Inputs'!$B$7+'Inputs'!$B$10))^2+('Inputs'!$B$8/2)^2))))*'Results'!$B$8),"")</x:f>
        <x:v>21.565931410644055</x:v>
      </x:c>
      <x:c r="K346" t="n">
        <x:f>IF(AND(ISNUMBER('Results'!B7),ISNUMBER('Results'!C7),ISNUMBER('Results'!$B$8),ISNUMBER('Inputs'!$B$6),ISNUMBER('Inputs'!$B$7),ISNUMBER('Inputs'!$B$8),ISNUMBER('Inputs'!$B$9),ISNUMBER('Inputs'!$B$10),ISNUMBER('Inputs'!$B$21),ISNUMBER('Inputs'!$B$24),ISNUMBER('Inputs'!$B$28)),((('Results'!B7*(1-'Inputs'!$B$24)*(0.5*((((346-43)*MAX('Inputs'!$B$33,'Inputs'!$B$29+'Inputs'!$B$31+'Inputs'!$B$32,'Inputs'!$B$30+'Inputs'!$B$31+'Inputs'!$B$32)/1000+'Inputs'!$B$21)+'Inputs'!$B$7)/SQRT((((346-43)*MAX('Inputs'!$B$33,'Inputs'!$B$29+'Inputs'!$B$31+'Inputs'!$B$32,'Inputs'!$B$30+'Inputs'!$B$31+'Inputs'!$B$32)/1000+'Inputs'!$B$21)+'Inputs'!$B$7)^2+('Inputs'!$B$6/2)^2)-(((346-43)*MAX('Inputs'!$B$33,'Inputs'!$B$29+'Inputs'!$B$31+'Inputs'!$B$32,'Inputs'!$B$30+'Inputs'!$B$31+'Inputs'!$B$32)/1000+'Inputs'!$B$21))/SQRT((((346-43)*MAX('Inputs'!$B$33,'Inputs'!$B$29+'Inputs'!$B$31+'Inputs'!$B$32,'Inputs'!$B$30+'Inputs'!$B$31+'Inputs'!$B$32)/1000+'Inputs'!$B$21))^2+('Inputs'!$B$6/2)^2)))-'Results'!C7*(1+'Inputs'!$B$24)*(0.5*((((346-43)*MAX('Inputs'!$B$33,'Inputs'!$B$29+'Inputs'!$B$31+'Inputs'!$B$32,'Inputs'!$B$30+'Inputs'!$B$31+'Inputs'!$B$32)/1000+'Inputs'!$B$21+'Inputs'!$B$7+'Inputs'!$B$10)+'Inputs'!$B$9)/SQRT((((346-43)*MAX('Inputs'!$B$33,'Inputs'!$B$29+'Inputs'!$B$31+'Inputs'!$B$32,'Inputs'!$B$30+'Inputs'!$B$31+'Inputs'!$B$32)/1000+'Inputs'!$B$21+'Inputs'!$B$7+'Inputs'!$B$10)+'Inputs'!$B$9)^2+('Inputs'!$B$8/2)^2)-(((346-43)*MAX('Inputs'!$B$33,'Inputs'!$B$29+'Inputs'!$B$31+'Inputs'!$B$32,'Inputs'!$B$30+'Inputs'!$B$31+'Inputs'!$B$32)/1000+'Inputs'!$B$21+'Inputs'!$B$7+'Inputs'!$B$10))/SQRT((((346-43)*MAX('Inputs'!$B$33,'Inputs'!$B$29+'Inputs'!$B$31+'Inputs'!$B$32,'Inputs'!$B$30+'Inputs'!$B$31+'Inputs'!$B$32)/1000+'Inputs'!$B$21+'Inputs'!$B$7+'Inputs'!$B$10))^2+('Inputs'!$B$8/2)^2))))*'Results'!$B$8)-'Inputs'!$B$28*ABS((('Results'!B7*(1-'Inputs'!$B$24)*(0.5*((((346-43)*MAX('Inputs'!$B$33,'Inputs'!$B$29+'Inputs'!$B$31+'Inputs'!$B$32,'Inputs'!$B$30+'Inputs'!$B$31+'Inputs'!$B$32)/1000+'Inputs'!$B$21)+'Inputs'!$B$7)/SQRT((((346-43)*MAX('Inputs'!$B$33,'Inputs'!$B$29+'Inputs'!$B$31+'Inputs'!$B$32,'Inputs'!$B$30+'Inputs'!$B$31+'Inputs'!$B$32)/1000+'Inputs'!$B$21)+'Inputs'!$B$7)^2+('Inputs'!$B$6/2)^2)-(((346-43)*MAX('Inputs'!$B$33,'Inputs'!$B$29+'Inputs'!$B$31+'Inputs'!$B$32,'Inputs'!$B$30+'Inputs'!$B$31+'Inputs'!$B$32)/1000+'Inputs'!$B$21))/SQRT((((346-43)*MAX('Inputs'!$B$33,'Inputs'!$B$29+'Inputs'!$B$31+'Inputs'!$B$32,'Inputs'!$B$30+'Inputs'!$B$31+'Inputs'!$B$32)/1000+'Inputs'!$B$21))^2+('Inputs'!$B$6/2)^2)))-'Results'!C7*(1+'Inputs'!$B$24)*(0.5*((((346-43)*MAX('Inputs'!$B$33,'Inputs'!$B$29+'Inputs'!$B$31+'Inputs'!$B$32,'Inputs'!$B$30+'Inputs'!$B$31+'Inputs'!$B$32)/1000+'Inputs'!$B$21+'Inputs'!$B$7+'Inputs'!$B$10)+'Inputs'!$B$9)/SQRT((((346-43)*MAX('Inputs'!$B$33,'Inputs'!$B$29+'Inputs'!$B$31+'Inputs'!$B$32,'Inputs'!$B$30+'Inputs'!$B$31+'Inputs'!$B$32)/1000+'Inputs'!$B$21+'Inputs'!$B$7+'Inputs'!$B$10)+'Inputs'!$B$9)^2+('Inputs'!$B$8/2)^2)-(((346-43)*MAX('Inputs'!$B$33,'Inputs'!$B$29+'Inputs'!$B$31+'Inputs'!$B$32,'Inputs'!$B$30+'Inputs'!$B$31+'Inputs'!$B$32)/1000+'Inputs'!$B$21+'Inputs'!$B$7+'Inputs'!$B$10))/SQRT((((346-43)*MAX('Inputs'!$B$33,'Inputs'!$B$29+'Inputs'!$B$31+'Inputs'!$B$32,'Inputs'!$B$30+'Inputs'!$B$31+'Inputs'!$B$32)/1000+'Inputs'!$B$21+'Inputs'!$B$7+'Inputs'!$B$10))^2+('Inputs'!$B$8/2)^2))))*'Results'!$B$8))),"")</x:f>
        <x:v>19.512120960682953</x:v>
      </x:c>
      <x:c r="L346" t="n">
        <x:f>IF(AND(ISNUMBER('Results'!B7),ISNUMBER('Results'!C7),ISNUMBER('Results'!$B$8),ISNUMBER('Inputs'!$B$6),ISNUMBER('Inputs'!$B$7),ISNUMBER('Inputs'!$B$8),ISNUMBER('Inputs'!$B$9),ISNUMBER('Inputs'!$B$10),ISNUMBER('Inputs'!$B$21),ISNUMBER('Inputs'!$B$24),ISNUMBER('Inputs'!$B$28)),((('Results'!B7*(1+'Inputs'!$B$24)*(0.5*((((346-43)*MAX('Inputs'!$B$33,'Inputs'!$B$29+'Inputs'!$B$31+'Inputs'!$B$32,'Inputs'!$B$30+'Inputs'!$B$31+'Inputs'!$B$32)/1000+'Inputs'!$B$21)+'Inputs'!$B$7)/SQRT((((346-43)*MAX('Inputs'!$B$33,'Inputs'!$B$29+'Inputs'!$B$31+'Inputs'!$B$32,'Inputs'!$B$30+'Inputs'!$B$31+'Inputs'!$B$32)/1000+'Inputs'!$B$21)+'Inputs'!$B$7)^2+('Inputs'!$B$6/2)^2)-(((346-43)*MAX('Inputs'!$B$33,'Inputs'!$B$29+'Inputs'!$B$31+'Inputs'!$B$32,'Inputs'!$B$30+'Inputs'!$B$31+'Inputs'!$B$32)/1000+'Inputs'!$B$21))/SQRT((((346-43)*MAX('Inputs'!$B$33,'Inputs'!$B$29+'Inputs'!$B$31+'Inputs'!$B$32,'Inputs'!$B$30+'Inputs'!$B$31+'Inputs'!$B$32)/1000+'Inputs'!$B$21))^2+('Inputs'!$B$6/2)^2)))-'Results'!C7*(1-'Inputs'!$B$24)*(0.5*((((346-43)*MAX('Inputs'!$B$33,'Inputs'!$B$29+'Inputs'!$B$31+'Inputs'!$B$32,'Inputs'!$B$30+'Inputs'!$B$31+'Inputs'!$B$32)/1000+'Inputs'!$B$21+'Inputs'!$B$7+'Inputs'!$B$10)+'Inputs'!$B$9)/SQRT((((346-43)*MAX('Inputs'!$B$33,'Inputs'!$B$29+'Inputs'!$B$31+'Inputs'!$B$32,'Inputs'!$B$30+'Inputs'!$B$31+'Inputs'!$B$32)/1000+'Inputs'!$B$21+'Inputs'!$B$7+'Inputs'!$B$10)+'Inputs'!$B$9)^2+('Inputs'!$B$8/2)^2)-(((346-43)*MAX('Inputs'!$B$33,'Inputs'!$B$29+'Inputs'!$B$31+'Inputs'!$B$32,'Inputs'!$B$30+'Inputs'!$B$31+'Inputs'!$B$32)/1000+'Inputs'!$B$21+'Inputs'!$B$7+'Inputs'!$B$10))/SQRT((((346-43)*MAX('Inputs'!$B$33,'Inputs'!$B$29+'Inputs'!$B$31+'Inputs'!$B$32,'Inputs'!$B$30+'Inputs'!$B$31+'Inputs'!$B$32)/1000+'Inputs'!$B$21+'Inputs'!$B$7+'Inputs'!$B$10))^2+('Inputs'!$B$8/2)^2))))*'Results'!$B$8)+'Inputs'!$B$28*ABS((('Results'!B7*(1+'Inputs'!$B$24)*(0.5*((((346-43)*MAX('Inputs'!$B$33,'Inputs'!$B$29+'Inputs'!$B$31+'Inputs'!$B$32,'Inputs'!$B$30+'Inputs'!$B$31+'Inputs'!$B$32)/1000+'Inputs'!$B$21)+'Inputs'!$B$7)/SQRT((((346-43)*MAX('Inputs'!$B$33,'Inputs'!$B$29+'Inputs'!$B$31+'Inputs'!$B$32,'Inputs'!$B$30+'Inputs'!$B$31+'Inputs'!$B$32)/1000+'Inputs'!$B$21)+'Inputs'!$B$7)^2+('Inputs'!$B$6/2)^2)-(((346-43)*MAX('Inputs'!$B$33,'Inputs'!$B$29+'Inputs'!$B$31+'Inputs'!$B$32,'Inputs'!$B$30+'Inputs'!$B$31+'Inputs'!$B$32)/1000+'Inputs'!$B$21))/SQRT((((346-43)*MAX('Inputs'!$B$33,'Inputs'!$B$29+'Inputs'!$B$31+'Inputs'!$B$32,'Inputs'!$B$30+'Inputs'!$B$31+'Inputs'!$B$32)/1000+'Inputs'!$B$21))^2+('Inputs'!$B$6/2)^2)))-'Results'!C7*(1-'Inputs'!$B$24)*(0.5*((((346-43)*MAX('Inputs'!$B$33,'Inputs'!$B$29+'Inputs'!$B$31+'Inputs'!$B$32,'Inputs'!$B$30+'Inputs'!$B$31+'Inputs'!$B$32)/1000+'Inputs'!$B$21+'Inputs'!$B$7+'Inputs'!$B$10)+'Inputs'!$B$9)/SQRT((((346-43)*MAX('Inputs'!$B$33,'Inputs'!$B$29+'Inputs'!$B$31+'Inputs'!$B$32,'Inputs'!$B$30+'Inputs'!$B$31+'Inputs'!$B$32)/1000+'Inputs'!$B$21+'Inputs'!$B$7+'Inputs'!$B$10)+'Inputs'!$B$9)^2+('Inputs'!$B$8/2)^2)-(((346-43)*MAX('Inputs'!$B$33,'Inputs'!$B$29+'Inputs'!$B$31+'Inputs'!$B$32,'Inputs'!$B$30+'Inputs'!$B$31+'Inputs'!$B$32)/1000+'Inputs'!$B$21+'Inputs'!$B$7+'Inputs'!$B$10))/SQRT((((346-43)*MAX('Inputs'!$B$33,'Inputs'!$B$29+'Inputs'!$B$31+'Inputs'!$B$32,'Inputs'!$B$30+'Inputs'!$B$31+'Inputs'!$B$32)/1000+'Inputs'!$B$21+'Inputs'!$B$7+'Inputs'!$B$10))^2+('Inputs'!$B$8/2)^2))))*'Results'!$B$8))),"")</x:f>
        <x:v>23.722427532123998</x:v>
      </x:c>
      <x:c r="M346" t="n">
        <x:f>IF(AND(ISNUMBER('Results'!C7),ISNUMBER('Results'!B7),ISNUMBER('Results'!$B$8),ISNUMBER('Inputs'!$B$6),ISNUMBER('Inputs'!$B$7),ISNUMBER('Inputs'!$B$8),ISNUMBER('Inputs'!$B$9),ISNUMBER('Inputs'!$B$10),ISNUMBER('Inputs'!$B$21),ISNUMBER('Inputs'!$B$24),ISNUMBER('Inputs'!$B$28)),(('Results'!C7*(0.5*((((346-43)*MAX('Inputs'!$B$33,'Inputs'!$B$29+'Inputs'!$B$31+'Inputs'!$B$32,'Inputs'!$B$30+'Inputs'!$B$31+'Inputs'!$B$32)/1000+'Inputs'!$B$21)+'Inputs'!$B$9)/SQRT((((346-43)*MAX('Inputs'!$B$33,'Inputs'!$B$29+'Inputs'!$B$31+'Inputs'!$B$32,'Inputs'!$B$30+'Inputs'!$B$31+'Inputs'!$B$32)/1000+'Inputs'!$B$21)+'Inputs'!$B$9)^2+('Inputs'!$B$8/2)^2)-(((346-43)*MAX('Inputs'!$B$33,'Inputs'!$B$29+'Inputs'!$B$31+'Inputs'!$B$32,'Inputs'!$B$30+'Inputs'!$B$31+'Inputs'!$B$32)/1000+'Inputs'!$B$21))/SQRT((((346-43)*MAX('Inputs'!$B$33,'Inputs'!$B$29+'Inputs'!$B$31+'Inputs'!$B$32,'Inputs'!$B$30+'Inputs'!$B$31+'Inputs'!$B$32)/1000+'Inputs'!$B$21))^2+('Inputs'!$B$8/2)^2)))-'Results'!B7*(0.5*((((346-43)*MAX('Inputs'!$B$33,'Inputs'!$B$29+'Inputs'!$B$31+'Inputs'!$B$32,'Inputs'!$B$30+'Inputs'!$B$31+'Inputs'!$B$32)/1000+'Inputs'!$B$21+'Inputs'!$B$9+'Inputs'!$B$10)+'Inputs'!$B$7)/SQRT((((346-43)*MAX('Inputs'!$B$33,'Inputs'!$B$29+'Inputs'!$B$31+'Inputs'!$B$32,'Inputs'!$B$30+'Inputs'!$B$31+'Inputs'!$B$32)/1000+'Inputs'!$B$21+'Inputs'!$B$9+'Inputs'!$B$10)+'Inputs'!$B$7)^2+('Inputs'!$B$6/2)^2)-(((346-43)*MAX('Inputs'!$B$33,'Inputs'!$B$29+'Inputs'!$B$31+'Inputs'!$B$32,'Inputs'!$B$30+'Inputs'!$B$31+'Inputs'!$B$32)/1000+'Inputs'!$B$21+'Inputs'!$B$9+'Inputs'!$B$10))/SQRT((((346-43)*MAX('Inputs'!$B$33,'Inputs'!$B$29+'Inputs'!$B$31+'Inputs'!$B$32,'Inputs'!$B$30+'Inputs'!$B$31+'Inputs'!$B$32)/1000+'Inputs'!$B$21+'Inputs'!$B$9+'Inputs'!$B$10))^2+('Inputs'!$B$6/2)^2))))*'Results'!$B$8),"")</x:f>
        <x:v>20.532997776200887</x:v>
      </x:c>
      <x:c r="N346" t="n">
        <x:f>IF(AND(ISNUMBER('Results'!C7),ISNUMBER('Results'!B7),ISNUMBER('Results'!$B$8),ISNUMBER('Inputs'!$B$6),ISNUMBER('Inputs'!$B$7),ISNUMBER('Inputs'!$B$8),ISNUMBER('Inputs'!$B$9),ISNUMBER('Inputs'!$B$10),ISNUMBER('Inputs'!$B$21),ISNUMBER('Inputs'!$B$24),ISNUMBER('Inputs'!$B$28)),((('Results'!C7*(1-'Inputs'!$B$24)*(0.5*((((346-43)*MAX('Inputs'!$B$33,'Inputs'!$B$29+'Inputs'!$B$31+'Inputs'!$B$32,'Inputs'!$B$30+'Inputs'!$B$31+'Inputs'!$B$32)/1000+'Inputs'!$B$21)+'Inputs'!$B$9)/SQRT((((346-43)*MAX('Inputs'!$B$33,'Inputs'!$B$29+'Inputs'!$B$31+'Inputs'!$B$32,'Inputs'!$B$30+'Inputs'!$B$31+'Inputs'!$B$32)/1000+'Inputs'!$B$21)+'Inputs'!$B$9)^2+('Inputs'!$B$8/2)^2)-(((346-43)*MAX('Inputs'!$B$33,'Inputs'!$B$29+'Inputs'!$B$31+'Inputs'!$B$32,'Inputs'!$B$30+'Inputs'!$B$31+'Inputs'!$B$32)/1000+'Inputs'!$B$21))/SQRT((((346-43)*MAX('Inputs'!$B$33,'Inputs'!$B$29+'Inputs'!$B$31+'Inputs'!$B$32,'Inputs'!$B$30+'Inputs'!$B$31+'Inputs'!$B$32)/1000+'Inputs'!$B$21))^2+('Inputs'!$B$8/2)^2)))-'Results'!B7*(1+'Inputs'!$B$24)*(0.5*((((346-43)*MAX('Inputs'!$B$33,'Inputs'!$B$29+'Inputs'!$B$31+'Inputs'!$B$32,'Inputs'!$B$30+'Inputs'!$B$31+'Inputs'!$B$32)/1000+'Inputs'!$B$21+'Inputs'!$B$9+'Inputs'!$B$10)+'Inputs'!$B$7)/SQRT((((346-43)*MAX('Inputs'!$B$33,'Inputs'!$B$29+'Inputs'!$B$31+'Inputs'!$B$32,'Inputs'!$B$30+'Inputs'!$B$31+'Inputs'!$B$32)/1000+'Inputs'!$B$21+'Inputs'!$B$9+'Inputs'!$B$10)+'Inputs'!$B$7)^2+('Inputs'!$B$6/2)^2)-(((346-43)*MAX('Inputs'!$B$33,'Inputs'!$B$29+'Inputs'!$B$31+'Inputs'!$B$32,'Inputs'!$B$30+'Inputs'!$B$31+'Inputs'!$B$32)/1000+'Inputs'!$B$21+'Inputs'!$B$9+'Inputs'!$B$10))/SQRT((((346-43)*MAX('Inputs'!$B$33,'Inputs'!$B$29+'Inputs'!$B$31+'Inputs'!$B$32,'Inputs'!$B$30+'Inputs'!$B$31+'Inputs'!$B$32)/1000+'Inputs'!$B$21+'Inputs'!$B$9+'Inputs'!$B$10))^2+('Inputs'!$B$6/2)^2))))*'Results'!$B$8)-'Inputs'!$B$28*ABS((('Results'!C7*(1-'Inputs'!$B$24)*(0.5*((((346-43)*MAX('Inputs'!$B$33,'Inputs'!$B$29+'Inputs'!$B$31+'Inputs'!$B$32,'Inputs'!$B$30+'Inputs'!$B$31+'Inputs'!$B$32)/1000+'Inputs'!$B$21)+'Inputs'!$B$9)/SQRT((((346-43)*MAX('Inputs'!$B$33,'Inputs'!$B$29+'Inputs'!$B$31+'Inputs'!$B$32,'Inputs'!$B$30+'Inputs'!$B$31+'Inputs'!$B$32)/1000+'Inputs'!$B$21)+'Inputs'!$B$9)^2+('Inputs'!$B$8/2)^2)-(((346-43)*MAX('Inputs'!$B$33,'Inputs'!$B$29+'Inputs'!$B$31+'Inputs'!$B$32,'Inputs'!$B$30+'Inputs'!$B$31+'Inputs'!$B$32)/1000+'Inputs'!$B$21))/SQRT((((346-43)*MAX('Inputs'!$B$33,'Inputs'!$B$29+'Inputs'!$B$31+'Inputs'!$B$32,'Inputs'!$B$30+'Inputs'!$B$31+'Inputs'!$B$32)/1000+'Inputs'!$B$21))^2+('Inputs'!$B$8/2)^2)))-'Results'!B7*(1+'Inputs'!$B$24)*(0.5*((((346-43)*MAX('Inputs'!$B$33,'Inputs'!$B$29+'Inputs'!$B$31+'Inputs'!$B$32,'Inputs'!$B$30+'Inputs'!$B$31+'Inputs'!$B$32)/1000+'Inputs'!$B$21+'Inputs'!$B$9+'Inputs'!$B$10)+'Inputs'!$B$7)/SQRT((((346-43)*MAX('Inputs'!$B$33,'Inputs'!$B$29+'Inputs'!$B$31+'Inputs'!$B$32,'Inputs'!$B$30+'Inputs'!$B$31+'Inputs'!$B$32)/1000+'Inputs'!$B$21+'Inputs'!$B$9+'Inputs'!$B$10)+'Inputs'!$B$7)^2+('Inputs'!$B$6/2)^2)-(((346-43)*MAX('Inputs'!$B$33,'Inputs'!$B$29+'Inputs'!$B$31+'Inputs'!$B$32,'Inputs'!$B$30+'Inputs'!$B$31+'Inputs'!$B$32)/1000+'Inputs'!$B$21+'Inputs'!$B$9+'Inputs'!$B$10))/SQRT((((346-43)*MAX('Inputs'!$B$33,'Inputs'!$B$29+'Inputs'!$B$31+'Inputs'!$B$32,'Inputs'!$B$30+'Inputs'!$B$31+'Inputs'!$B$32)/1000+'Inputs'!$B$21+'Inputs'!$B$9+'Inputs'!$B$10))^2+('Inputs'!$B$6/2)^2))))*'Results'!$B$8))),"")</x:f>
        <x:v>18.53891360043214</x:v>
      </x:c>
      <x:c r="O346" t="n">
        <x:f>IF(AND(ISNUMBER('Results'!C7),ISNUMBER('Results'!B7),ISNUMBER('Results'!$B$8),ISNUMBER('Inputs'!$B$6),ISNUMBER('Inputs'!$B$7),ISNUMBER('Inputs'!$B$8),ISNUMBER('Inputs'!$B$9),ISNUMBER('Inputs'!$B$10),ISNUMBER('Inputs'!$B$21),ISNUMBER('Inputs'!$B$24),ISNUMBER('Inputs'!$B$28)),((('Results'!C7*(1+'Inputs'!$B$24)*(0.5*((((346-43)*MAX('Inputs'!$B$33,'Inputs'!$B$29+'Inputs'!$B$31+'Inputs'!$B$32,'Inputs'!$B$30+'Inputs'!$B$31+'Inputs'!$B$32)/1000+'Inputs'!$B$21)+'Inputs'!$B$9)/SQRT((((346-43)*MAX('Inputs'!$B$33,'Inputs'!$B$29+'Inputs'!$B$31+'Inputs'!$B$32,'Inputs'!$B$30+'Inputs'!$B$31+'Inputs'!$B$32)/1000+'Inputs'!$B$21)+'Inputs'!$B$9)^2+('Inputs'!$B$8/2)^2)-(((346-43)*MAX('Inputs'!$B$33,'Inputs'!$B$29+'Inputs'!$B$31+'Inputs'!$B$32,'Inputs'!$B$30+'Inputs'!$B$31+'Inputs'!$B$32)/1000+'Inputs'!$B$21))/SQRT((((346-43)*MAX('Inputs'!$B$33,'Inputs'!$B$29+'Inputs'!$B$31+'Inputs'!$B$32,'Inputs'!$B$30+'Inputs'!$B$31+'Inputs'!$B$32)/1000+'Inputs'!$B$21))^2+('Inputs'!$B$8/2)^2)))-'Results'!B7*(1-'Inputs'!$B$24)*(0.5*((((346-43)*MAX('Inputs'!$B$33,'Inputs'!$B$29+'Inputs'!$B$31+'Inputs'!$B$32,'Inputs'!$B$30+'Inputs'!$B$31+'Inputs'!$B$32)/1000+'Inputs'!$B$21+'Inputs'!$B$9+'Inputs'!$B$10)+'Inputs'!$B$7)/SQRT((((346-43)*MAX('Inputs'!$B$33,'Inputs'!$B$29+'Inputs'!$B$31+'Inputs'!$B$32,'Inputs'!$B$30+'Inputs'!$B$31+'Inputs'!$B$32)/1000+'Inputs'!$B$21+'Inputs'!$B$9+'Inputs'!$B$10)+'Inputs'!$B$7)^2+('Inputs'!$B$6/2)^2)-(((346-43)*MAX('Inputs'!$B$33,'Inputs'!$B$29+'Inputs'!$B$31+'Inputs'!$B$32,'Inputs'!$B$30+'Inputs'!$B$31+'Inputs'!$B$32)/1000+'Inputs'!$B$21+'Inputs'!$B$9+'Inputs'!$B$10))/SQRT((((346-43)*MAX('Inputs'!$B$33,'Inputs'!$B$29+'Inputs'!$B$31+'Inputs'!$B$32,'Inputs'!$B$30+'Inputs'!$B$31+'Inputs'!$B$32)/1000+'Inputs'!$B$21+'Inputs'!$B$9+'Inputs'!$B$10))^2+('Inputs'!$B$6/2)^2))))*'Results'!$B$8)+'Inputs'!$B$28*ABS((('Results'!C7*(1+'Inputs'!$B$24)*(0.5*((((346-43)*MAX('Inputs'!$B$33,'Inputs'!$B$29+'Inputs'!$B$31+'Inputs'!$B$32,'Inputs'!$B$30+'Inputs'!$B$31+'Inputs'!$B$32)/1000+'Inputs'!$B$21)+'Inputs'!$B$9)/SQRT((((346-43)*MAX('Inputs'!$B$33,'Inputs'!$B$29+'Inputs'!$B$31+'Inputs'!$B$32,'Inputs'!$B$30+'Inputs'!$B$31+'Inputs'!$B$32)/1000+'Inputs'!$B$21)+'Inputs'!$B$9)^2+('Inputs'!$B$8/2)^2)-(((346-43)*MAX('Inputs'!$B$33,'Inputs'!$B$29+'Inputs'!$B$31+'Inputs'!$B$32,'Inputs'!$B$30+'Inputs'!$B$31+'Inputs'!$B$32)/1000+'Inputs'!$B$21))/SQRT((((346-43)*MAX('Inputs'!$B$33,'Inputs'!$B$29+'Inputs'!$B$31+'Inputs'!$B$32,'Inputs'!$B$30+'Inputs'!$B$31+'Inputs'!$B$32)/1000+'Inputs'!$B$21))^2+('Inputs'!$B$8/2)^2)))-'Results'!B7*(1-'Inputs'!$B$24)*(0.5*((((346-43)*MAX('Inputs'!$B$33,'Inputs'!$B$29+'Inputs'!$B$31+'Inputs'!$B$32,'Inputs'!$B$30+'Inputs'!$B$31+'Inputs'!$B$32)/1000+'Inputs'!$B$21+'Inputs'!$B$9+'Inputs'!$B$10)+'Inputs'!$B$7)/SQRT((((346-43)*MAX('Inputs'!$B$33,'Inputs'!$B$29+'Inputs'!$B$31+'Inputs'!$B$32,'Inputs'!$B$30+'Inputs'!$B$31+'Inputs'!$B$32)/1000+'Inputs'!$B$21+'Inputs'!$B$9+'Inputs'!$B$10)+'Inputs'!$B$7)^2+('Inputs'!$B$6/2)^2)-(((346-43)*MAX('Inputs'!$B$33,'Inputs'!$B$29+'Inputs'!$B$31+'Inputs'!$B$32,'Inputs'!$B$30+'Inputs'!$B$31+'Inputs'!$B$32)/1000+'Inputs'!$B$21+'Inputs'!$B$9+'Inputs'!$B$10))/SQRT((((346-43)*MAX('Inputs'!$B$33,'Inputs'!$B$29+'Inputs'!$B$31+'Inputs'!$B$32,'Inputs'!$B$30+'Inputs'!$B$31+'Inputs'!$B$32)/1000+'Inputs'!$B$21+'Inputs'!$B$9+'Inputs'!$B$10))^2+('Inputs'!$B$6/2)^2))))*'Results'!$B$8))),"")</x:f>
        <x:v>22.628917140070552</x:v>
      </x:c>
      <x:c r="P346" t="n">
        <x:f>IF(AND(MAX(J346,J345)&gt;0,J346&gt;J345+0.00000001),1,0)</x:f>
        <x:v>0</x:v>
      </x:c>
      <x:c r="Q346" t="n">
        <x:f>IF(AND(MAX(K346,K345)&gt;0,K346&gt;K345+0.00000001),1,0)</x:f>
        <x:v>0</x:v>
      </x:c>
      <x:c r="R346" t="n">
        <x:f>IF(AND(MAX(L346,L345)&gt;0,L346&gt;L345+0.00000001),1,0)</x:f>
        <x:v>0</x:v>
      </x:c>
      <x:c r="S346" t="n">
        <x:f>IF(AND(MAX(M346,M345)&gt;0,M346&gt;M345+0.00000001),1,0)</x:f>
        <x:v>0</x:v>
      </x:c>
      <x:c r="T346" t="n">
        <x:f>IF(AND(MAX(N346,N345)&gt;0,N346&gt;N345+0.00000001),1,0)</x:f>
        <x:v>0</x:v>
      </x:c>
      <x:c r="U346" t="n">
        <x:f>IF(AND(MAX(O346,O345)&gt;0,O346&gt;O345+0.00000001),1,0)</x:f>
        <x:v>0</x:v>
      </x:c>
    </x:row>
    <x:row r="347">
      <x:c r="J347" t="n">
        <x:f>IF(AND(ISNUMBER('Results'!B7),ISNUMBER('Results'!C7),ISNUMBER('Results'!$B$8),ISNUMBER('Inputs'!$B$6),ISNUMBER('Inputs'!$B$7),ISNUMBER('Inputs'!$B$8),ISNUMBER('Inputs'!$B$9),ISNUMBER('Inputs'!$B$10),ISNUMBER('Inputs'!$B$21),ISNUMBER('Inputs'!$B$24),ISNUMBER('Inputs'!$B$28)),(('Results'!B7*(0.5*((((347-43)*MAX('Inputs'!$B$33,'Inputs'!$B$29+'Inputs'!$B$31+'Inputs'!$B$32,'Inputs'!$B$30+'Inputs'!$B$31+'Inputs'!$B$32)/1000+'Inputs'!$B$21)+'Inputs'!$B$7)/SQRT((((347-43)*MAX('Inputs'!$B$33,'Inputs'!$B$29+'Inputs'!$B$31+'Inputs'!$B$32,'Inputs'!$B$30+'Inputs'!$B$31+'Inputs'!$B$32)/1000+'Inputs'!$B$21)+'Inputs'!$B$7)^2+('Inputs'!$B$6/2)^2)-(((347-43)*MAX('Inputs'!$B$33,'Inputs'!$B$29+'Inputs'!$B$31+'Inputs'!$B$32,'Inputs'!$B$30+'Inputs'!$B$31+'Inputs'!$B$32)/1000+'Inputs'!$B$21))/SQRT((((347-43)*MAX('Inputs'!$B$33,'Inputs'!$B$29+'Inputs'!$B$31+'Inputs'!$B$32,'Inputs'!$B$30+'Inputs'!$B$31+'Inputs'!$B$32)/1000+'Inputs'!$B$21))^2+('Inputs'!$B$6/2)^2)))-'Results'!C7*(0.5*((((347-43)*MAX('Inputs'!$B$33,'Inputs'!$B$29+'Inputs'!$B$31+'Inputs'!$B$32,'Inputs'!$B$30+'Inputs'!$B$31+'Inputs'!$B$32)/1000+'Inputs'!$B$21+'Inputs'!$B$7+'Inputs'!$B$10)+'Inputs'!$B$9)/SQRT((((347-43)*MAX('Inputs'!$B$33,'Inputs'!$B$29+'Inputs'!$B$31+'Inputs'!$B$32,'Inputs'!$B$30+'Inputs'!$B$31+'Inputs'!$B$32)/1000+'Inputs'!$B$21+'Inputs'!$B$7+'Inputs'!$B$10)+'Inputs'!$B$9)^2+('Inputs'!$B$8/2)^2)-(((347-43)*MAX('Inputs'!$B$33,'Inputs'!$B$29+'Inputs'!$B$31+'Inputs'!$B$32,'Inputs'!$B$30+'Inputs'!$B$31+'Inputs'!$B$32)/1000+'Inputs'!$B$21+'Inputs'!$B$7+'Inputs'!$B$10))/SQRT((((347-43)*MAX('Inputs'!$B$33,'Inputs'!$B$29+'Inputs'!$B$31+'Inputs'!$B$32,'Inputs'!$B$30+'Inputs'!$B$31+'Inputs'!$B$32)/1000+'Inputs'!$B$21+'Inputs'!$B$7+'Inputs'!$B$10))^2+('Inputs'!$B$8/2)^2))))*'Results'!$B$8),"")</x:f>
        <x:v>21.345672427392394</x:v>
      </x:c>
      <x:c r="K347" t="n">
        <x:f>IF(AND(ISNUMBER('Results'!B7),ISNUMBER('Results'!C7),ISNUMBER('Results'!$B$8),ISNUMBER('Inputs'!$B$6),ISNUMBER('Inputs'!$B$7),ISNUMBER('Inputs'!$B$8),ISNUMBER('Inputs'!$B$9),ISNUMBER('Inputs'!$B$10),ISNUMBER('Inputs'!$B$21),ISNUMBER('Inputs'!$B$24),ISNUMBER('Inputs'!$B$28)),((('Results'!B7*(1-'Inputs'!$B$24)*(0.5*((((347-43)*MAX('Inputs'!$B$33,'Inputs'!$B$29+'Inputs'!$B$31+'Inputs'!$B$32,'Inputs'!$B$30+'Inputs'!$B$31+'Inputs'!$B$32)/1000+'Inputs'!$B$21)+'Inputs'!$B$7)/SQRT((((347-43)*MAX('Inputs'!$B$33,'Inputs'!$B$29+'Inputs'!$B$31+'Inputs'!$B$32,'Inputs'!$B$30+'Inputs'!$B$31+'Inputs'!$B$32)/1000+'Inputs'!$B$21)+'Inputs'!$B$7)^2+('Inputs'!$B$6/2)^2)-(((347-43)*MAX('Inputs'!$B$33,'Inputs'!$B$29+'Inputs'!$B$31+'Inputs'!$B$32,'Inputs'!$B$30+'Inputs'!$B$31+'Inputs'!$B$32)/1000+'Inputs'!$B$21))/SQRT((((347-43)*MAX('Inputs'!$B$33,'Inputs'!$B$29+'Inputs'!$B$31+'Inputs'!$B$32,'Inputs'!$B$30+'Inputs'!$B$31+'Inputs'!$B$32)/1000+'Inputs'!$B$21))^2+('Inputs'!$B$6/2)^2)))-'Results'!C7*(1+'Inputs'!$B$24)*(0.5*((((347-43)*MAX('Inputs'!$B$33,'Inputs'!$B$29+'Inputs'!$B$31+'Inputs'!$B$32,'Inputs'!$B$30+'Inputs'!$B$31+'Inputs'!$B$32)/1000+'Inputs'!$B$21+'Inputs'!$B$7+'Inputs'!$B$10)+'Inputs'!$B$9)/SQRT((((347-43)*MAX('Inputs'!$B$33,'Inputs'!$B$29+'Inputs'!$B$31+'Inputs'!$B$32,'Inputs'!$B$30+'Inputs'!$B$31+'Inputs'!$B$32)/1000+'Inputs'!$B$21+'Inputs'!$B$7+'Inputs'!$B$10)+'Inputs'!$B$9)^2+('Inputs'!$B$8/2)^2)-(((347-43)*MAX('Inputs'!$B$33,'Inputs'!$B$29+'Inputs'!$B$31+'Inputs'!$B$32,'Inputs'!$B$30+'Inputs'!$B$31+'Inputs'!$B$32)/1000+'Inputs'!$B$21+'Inputs'!$B$7+'Inputs'!$B$10))/SQRT((((347-43)*MAX('Inputs'!$B$33,'Inputs'!$B$29+'Inputs'!$B$31+'Inputs'!$B$32,'Inputs'!$B$30+'Inputs'!$B$31+'Inputs'!$B$32)/1000+'Inputs'!$B$21+'Inputs'!$B$7+'Inputs'!$B$10))^2+('Inputs'!$B$8/2)^2))))*'Results'!$B$8)-'Inputs'!$B$28*ABS((('Results'!B7*(1-'Inputs'!$B$24)*(0.5*((((347-43)*MAX('Inputs'!$B$33,'Inputs'!$B$29+'Inputs'!$B$31+'Inputs'!$B$32,'Inputs'!$B$30+'Inputs'!$B$31+'Inputs'!$B$32)/1000+'Inputs'!$B$21)+'Inputs'!$B$7)/SQRT((((347-43)*MAX('Inputs'!$B$33,'Inputs'!$B$29+'Inputs'!$B$31+'Inputs'!$B$32,'Inputs'!$B$30+'Inputs'!$B$31+'Inputs'!$B$32)/1000+'Inputs'!$B$21)+'Inputs'!$B$7)^2+('Inputs'!$B$6/2)^2)-(((347-43)*MAX('Inputs'!$B$33,'Inputs'!$B$29+'Inputs'!$B$31+'Inputs'!$B$32,'Inputs'!$B$30+'Inputs'!$B$31+'Inputs'!$B$32)/1000+'Inputs'!$B$21))/SQRT((((347-43)*MAX('Inputs'!$B$33,'Inputs'!$B$29+'Inputs'!$B$31+'Inputs'!$B$32,'Inputs'!$B$30+'Inputs'!$B$31+'Inputs'!$B$32)/1000+'Inputs'!$B$21))^2+('Inputs'!$B$6/2)^2)))-'Results'!C7*(1+'Inputs'!$B$24)*(0.5*((((347-43)*MAX('Inputs'!$B$33,'Inputs'!$B$29+'Inputs'!$B$31+'Inputs'!$B$32,'Inputs'!$B$30+'Inputs'!$B$31+'Inputs'!$B$32)/1000+'Inputs'!$B$21+'Inputs'!$B$7+'Inputs'!$B$10)+'Inputs'!$B$9)/SQRT((((347-43)*MAX('Inputs'!$B$33,'Inputs'!$B$29+'Inputs'!$B$31+'Inputs'!$B$32,'Inputs'!$B$30+'Inputs'!$B$31+'Inputs'!$B$32)/1000+'Inputs'!$B$21+'Inputs'!$B$7+'Inputs'!$B$10)+'Inputs'!$B$9)^2+('Inputs'!$B$8/2)^2)-(((347-43)*MAX('Inputs'!$B$33,'Inputs'!$B$29+'Inputs'!$B$31+'Inputs'!$B$32,'Inputs'!$B$30+'Inputs'!$B$31+'Inputs'!$B$32)/1000+'Inputs'!$B$21+'Inputs'!$B$7+'Inputs'!$B$10))/SQRT((((347-43)*MAX('Inputs'!$B$33,'Inputs'!$B$29+'Inputs'!$B$31+'Inputs'!$B$32,'Inputs'!$B$30+'Inputs'!$B$31+'Inputs'!$B$32)/1000+'Inputs'!$B$21+'Inputs'!$B$7+'Inputs'!$B$10))^2+('Inputs'!$B$8/2)^2))))*'Results'!$B$8))),"")</x:f>
        <x:v>19.31080815133665</x:v>
      </x:c>
      <x:c r="L347" t="n">
        <x:f>IF(AND(ISNUMBER('Results'!B7),ISNUMBER('Results'!C7),ISNUMBER('Results'!$B$8),ISNUMBER('Inputs'!$B$6),ISNUMBER('Inputs'!$B$7),ISNUMBER('Inputs'!$B$8),ISNUMBER('Inputs'!$B$9),ISNUMBER('Inputs'!$B$10),ISNUMBER('Inputs'!$B$21),ISNUMBER('Inputs'!$B$24),ISNUMBER('Inputs'!$B$28)),((('Results'!B7*(1+'Inputs'!$B$24)*(0.5*((((347-43)*MAX('Inputs'!$B$33,'Inputs'!$B$29+'Inputs'!$B$31+'Inputs'!$B$32,'Inputs'!$B$30+'Inputs'!$B$31+'Inputs'!$B$32)/1000+'Inputs'!$B$21)+'Inputs'!$B$7)/SQRT((((347-43)*MAX('Inputs'!$B$33,'Inputs'!$B$29+'Inputs'!$B$31+'Inputs'!$B$32,'Inputs'!$B$30+'Inputs'!$B$31+'Inputs'!$B$32)/1000+'Inputs'!$B$21)+'Inputs'!$B$7)^2+('Inputs'!$B$6/2)^2)-(((347-43)*MAX('Inputs'!$B$33,'Inputs'!$B$29+'Inputs'!$B$31+'Inputs'!$B$32,'Inputs'!$B$30+'Inputs'!$B$31+'Inputs'!$B$32)/1000+'Inputs'!$B$21))/SQRT((((347-43)*MAX('Inputs'!$B$33,'Inputs'!$B$29+'Inputs'!$B$31+'Inputs'!$B$32,'Inputs'!$B$30+'Inputs'!$B$31+'Inputs'!$B$32)/1000+'Inputs'!$B$21))^2+('Inputs'!$B$6/2)^2)))-'Results'!C7*(1-'Inputs'!$B$24)*(0.5*((((347-43)*MAX('Inputs'!$B$33,'Inputs'!$B$29+'Inputs'!$B$31+'Inputs'!$B$32,'Inputs'!$B$30+'Inputs'!$B$31+'Inputs'!$B$32)/1000+'Inputs'!$B$21+'Inputs'!$B$7+'Inputs'!$B$10)+'Inputs'!$B$9)/SQRT((((347-43)*MAX('Inputs'!$B$33,'Inputs'!$B$29+'Inputs'!$B$31+'Inputs'!$B$32,'Inputs'!$B$30+'Inputs'!$B$31+'Inputs'!$B$32)/1000+'Inputs'!$B$21+'Inputs'!$B$7+'Inputs'!$B$10)+'Inputs'!$B$9)^2+('Inputs'!$B$8/2)^2)-(((347-43)*MAX('Inputs'!$B$33,'Inputs'!$B$29+'Inputs'!$B$31+'Inputs'!$B$32,'Inputs'!$B$30+'Inputs'!$B$31+'Inputs'!$B$32)/1000+'Inputs'!$B$21+'Inputs'!$B$7+'Inputs'!$B$10))/SQRT((((347-43)*MAX('Inputs'!$B$33,'Inputs'!$B$29+'Inputs'!$B$31+'Inputs'!$B$32,'Inputs'!$B$30+'Inputs'!$B$31+'Inputs'!$B$32)/1000+'Inputs'!$B$21+'Inputs'!$B$7+'Inputs'!$B$10))^2+('Inputs'!$B$8/2)^2))))*'Results'!$B$8)+'Inputs'!$B$28*ABS((('Results'!B7*(1+'Inputs'!$B$24)*(0.5*((((347-43)*MAX('Inputs'!$B$33,'Inputs'!$B$29+'Inputs'!$B$31+'Inputs'!$B$32,'Inputs'!$B$30+'Inputs'!$B$31+'Inputs'!$B$32)/1000+'Inputs'!$B$21)+'Inputs'!$B$7)/SQRT((((347-43)*MAX('Inputs'!$B$33,'Inputs'!$B$29+'Inputs'!$B$31+'Inputs'!$B$32,'Inputs'!$B$30+'Inputs'!$B$31+'Inputs'!$B$32)/1000+'Inputs'!$B$21)+'Inputs'!$B$7)^2+('Inputs'!$B$6/2)^2)-(((347-43)*MAX('Inputs'!$B$33,'Inputs'!$B$29+'Inputs'!$B$31+'Inputs'!$B$32,'Inputs'!$B$30+'Inputs'!$B$31+'Inputs'!$B$32)/1000+'Inputs'!$B$21))/SQRT((((347-43)*MAX('Inputs'!$B$33,'Inputs'!$B$29+'Inputs'!$B$31+'Inputs'!$B$32,'Inputs'!$B$30+'Inputs'!$B$31+'Inputs'!$B$32)/1000+'Inputs'!$B$21))^2+('Inputs'!$B$6/2)^2)))-'Results'!C7*(1-'Inputs'!$B$24)*(0.5*((((347-43)*MAX('Inputs'!$B$33,'Inputs'!$B$29+'Inputs'!$B$31+'Inputs'!$B$32,'Inputs'!$B$30+'Inputs'!$B$31+'Inputs'!$B$32)/1000+'Inputs'!$B$21+'Inputs'!$B$7+'Inputs'!$B$10)+'Inputs'!$B$9)/SQRT((((347-43)*MAX('Inputs'!$B$33,'Inputs'!$B$29+'Inputs'!$B$31+'Inputs'!$B$32,'Inputs'!$B$30+'Inputs'!$B$31+'Inputs'!$B$32)/1000+'Inputs'!$B$21+'Inputs'!$B$7+'Inputs'!$B$10)+'Inputs'!$B$9)^2+('Inputs'!$B$8/2)^2)-(((347-43)*MAX('Inputs'!$B$33,'Inputs'!$B$29+'Inputs'!$B$31+'Inputs'!$B$32,'Inputs'!$B$30+'Inputs'!$B$31+'Inputs'!$B$32)/1000+'Inputs'!$B$21+'Inputs'!$B$7+'Inputs'!$B$10))/SQRT((((347-43)*MAX('Inputs'!$B$33,'Inputs'!$B$29+'Inputs'!$B$31+'Inputs'!$B$32,'Inputs'!$B$30+'Inputs'!$B$31+'Inputs'!$B$32)/1000+'Inputs'!$B$21+'Inputs'!$B$7+'Inputs'!$B$10))^2+('Inputs'!$B$8/2)^2))))*'Results'!$B$8))),"")</x:f>
        <x:v>23.48238729867826</x:v>
      </x:c>
      <x:c r="M347" t="n">
        <x:f>IF(AND(ISNUMBER('Results'!C7),ISNUMBER('Results'!B7),ISNUMBER('Results'!$B$8),ISNUMBER('Inputs'!$B$6),ISNUMBER('Inputs'!$B$7),ISNUMBER('Inputs'!$B$8),ISNUMBER('Inputs'!$B$9),ISNUMBER('Inputs'!$B$10),ISNUMBER('Inputs'!$B$21),ISNUMBER('Inputs'!$B$24),ISNUMBER('Inputs'!$B$28)),(('Results'!C7*(0.5*((((347-43)*MAX('Inputs'!$B$33,'Inputs'!$B$29+'Inputs'!$B$31+'Inputs'!$B$32,'Inputs'!$B$30+'Inputs'!$B$31+'Inputs'!$B$32)/1000+'Inputs'!$B$21)+'Inputs'!$B$9)/SQRT((((347-43)*MAX('Inputs'!$B$33,'Inputs'!$B$29+'Inputs'!$B$31+'Inputs'!$B$32,'Inputs'!$B$30+'Inputs'!$B$31+'Inputs'!$B$32)/1000+'Inputs'!$B$21)+'Inputs'!$B$9)^2+('Inputs'!$B$8/2)^2)-(((347-43)*MAX('Inputs'!$B$33,'Inputs'!$B$29+'Inputs'!$B$31+'Inputs'!$B$32,'Inputs'!$B$30+'Inputs'!$B$31+'Inputs'!$B$32)/1000+'Inputs'!$B$21))/SQRT((((347-43)*MAX('Inputs'!$B$33,'Inputs'!$B$29+'Inputs'!$B$31+'Inputs'!$B$32,'Inputs'!$B$30+'Inputs'!$B$31+'Inputs'!$B$32)/1000+'Inputs'!$B$21))^2+('Inputs'!$B$8/2)^2)))-'Results'!B7*(0.5*((((347-43)*MAX('Inputs'!$B$33,'Inputs'!$B$29+'Inputs'!$B$31+'Inputs'!$B$32,'Inputs'!$B$30+'Inputs'!$B$31+'Inputs'!$B$32)/1000+'Inputs'!$B$21+'Inputs'!$B$9+'Inputs'!$B$10)+'Inputs'!$B$7)/SQRT((((347-43)*MAX('Inputs'!$B$33,'Inputs'!$B$29+'Inputs'!$B$31+'Inputs'!$B$32,'Inputs'!$B$30+'Inputs'!$B$31+'Inputs'!$B$32)/1000+'Inputs'!$B$21+'Inputs'!$B$9+'Inputs'!$B$10)+'Inputs'!$B$7)^2+('Inputs'!$B$6/2)^2)-(((347-43)*MAX('Inputs'!$B$33,'Inputs'!$B$29+'Inputs'!$B$31+'Inputs'!$B$32,'Inputs'!$B$30+'Inputs'!$B$31+'Inputs'!$B$32)/1000+'Inputs'!$B$21+'Inputs'!$B$9+'Inputs'!$B$10))/SQRT((((347-43)*MAX('Inputs'!$B$33,'Inputs'!$B$29+'Inputs'!$B$31+'Inputs'!$B$32,'Inputs'!$B$30+'Inputs'!$B$31+'Inputs'!$B$32)/1000+'Inputs'!$B$21+'Inputs'!$B$9+'Inputs'!$B$10))^2+('Inputs'!$B$6/2)^2))))*'Results'!$B$8),"")</x:f>
        <x:v>20.32112981688965</x:v>
      </x:c>
      <x:c r="N347" t="n">
        <x:f>IF(AND(ISNUMBER('Results'!C7),ISNUMBER('Results'!B7),ISNUMBER('Results'!$B$8),ISNUMBER('Inputs'!$B$6),ISNUMBER('Inputs'!$B$7),ISNUMBER('Inputs'!$B$8),ISNUMBER('Inputs'!$B$9),ISNUMBER('Inputs'!$B$10),ISNUMBER('Inputs'!$B$21),ISNUMBER('Inputs'!$B$24),ISNUMBER('Inputs'!$B$28)),((('Results'!C7*(1-'Inputs'!$B$24)*(0.5*((((347-43)*MAX('Inputs'!$B$33,'Inputs'!$B$29+'Inputs'!$B$31+'Inputs'!$B$32,'Inputs'!$B$30+'Inputs'!$B$31+'Inputs'!$B$32)/1000+'Inputs'!$B$21)+'Inputs'!$B$9)/SQRT((((347-43)*MAX('Inputs'!$B$33,'Inputs'!$B$29+'Inputs'!$B$31+'Inputs'!$B$32,'Inputs'!$B$30+'Inputs'!$B$31+'Inputs'!$B$32)/1000+'Inputs'!$B$21)+'Inputs'!$B$9)^2+('Inputs'!$B$8/2)^2)-(((347-43)*MAX('Inputs'!$B$33,'Inputs'!$B$29+'Inputs'!$B$31+'Inputs'!$B$32,'Inputs'!$B$30+'Inputs'!$B$31+'Inputs'!$B$32)/1000+'Inputs'!$B$21))/SQRT((((347-43)*MAX('Inputs'!$B$33,'Inputs'!$B$29+'Inputs'!$B$31+'Inputs'!$B$32,'Inputs'!$B$30+'Inputs'!$B$31+'Inputs'!$B$32)/1000+'Inputs'!$B$21))^2+('Inputs'!$B$8/2)^2)))-'Results'!B7*(1+'Inputs'!$B$24)*(0.5*((((347-43)*MAX('Inputs'!$B$33,'Inputs'!$B$29+'Inputs'!$B$31+'Inputs'!$B$32,'Inputs'!$B$30+'Inputs'!$B$31+'Inputs'!$B$32)/1000+'Inputs'!$B$21+'Inputs'!$B$9+'Inputs'!$B$10)+'Inputs'!$B$7)/SQRT((((347-43)*MAX('Inputs'!$B$33,'Inputs'!$B$29+'Inputs'!$B$31+'Inputs'!$B$32,'Inputs'!$B$30+'Inputs'!$B$31+'Inputs'!$B$32)/1000+'Inputs'!$B$21+'Inputs'!$B$9+'Inputs'!$B$10)+'Inputs'!$B$7)^2+('Inputs'!$B$6/2)^2)-(((347-43)*MAX('Inputs'!$B$33,'Inputs'!$B$29+'Inputs'!$B$31+'Inputs'!$B$32,'Inputs'!$B$30+'Inputs'!$B$31+'Inputs'!$B$32)/1000+'Inputs'!$B$21+'Inputs'!$B$9+'Inputs'!$B$10))/SQRT((((347-43)*MAX('Inputs'!$B$33,'Inputs'!$B$29+'Inputs'!$B$31+'Inputs'!$B$32,'Inputs'!$B$30+'Inputs'!$B$31+'Inputs'!$B$32)/1000+'Inputs'!$B$21+'Inputs'!$B$9+'Inputs'!$B$10))^2+('Inputs'!$B$6/2)^2))))*'Results'!$B$8)-'Inputs'!$B$28*ABS((('Results'!C7*(1-'Inputs'!$B$24)*(0.5*((((347-43)*MAX('Inputs'!$B$33,'Inputs'!$B$29+'Inputs'!$B$31+'Inputs'!$B$32,'Inputs'!$B$30+'Inputs'!$B$31+'Inputs'!$B$32)/1000+'Inputs'!$B$21)+'Inputs'!$B$9)/SQRT((((347-43)*MAX('Inputs'!$B$33,'Inputs'!$B$29+'Inputs'!$B$31+'Inputs'!$B$32,'Inputs'!$B$30+'Inputs'!$B$31+'Inputs'!$B$32)/1000+'Inputs'!$B$21)+'Inputs'!$B$9)^2+('Inputs'!$B$8/2)^2)-(((347-43)*MAX('Inputs'!$B$33,'Inputs'!$B$29+'Inputs'!$B$31+'Inputs'!$B$32,'Inputs'!$B$30+'Inputs'!$B$31+'Inputs'!$B$32)/1000+'Inputs'!$B$21))/SQRT((((347-43)*MAX('Inputs'!$B$33,'Inputs'!$B$29+'Inputs'!$B$31+'Inputs'!$B$32,'Inputs'!$B$30+'Inputs'!$B$31+'Inputs'!$B$32)/1000+'Inputs'!$B$21))^2+('Inputs'!$B$8/2)^2)))-'Results'!B7*(1+'Inputs'!$B$24)*(0.5*((((347-43)*MAX('Inputs'!$B$33,'Inputs'!$B$29+'Inputs'!$B$31+'Inputs'!$B$32,'Inputs'!$B$30+'Inputs'!$B$31+'Inputs'!$B$32)/1000+'Inputs'!$B$21+'Inputs'!$B$9+'Inputs'!$B$10)+'Inputs'!$B$7)/SQRT((((347-43)*MAX('Inputs'!$B$33,'Inputs'!$B$29+'Inputs'!$B$31+'Inputs'!$B$32,'Inputs'!$B$30+'Inputs'!$B$31+'Inputs'!$B$32)/1000+'Inputs'!$B$21+'Inputs'!$B$9+'Inputs'!$B$10)+'Inputs'!$B$7)^2+('Inputs'!$B$6/2)^2)-(((347-43)*MAX('Inputs'!$B$33,'Inputs'!$B$29+'Inputs'!$B$31+'Inputs'!$B$32,'Inputs'!$B$30+'Inputs'!$B$31+'Inputs'!$B$32)/1000+'Inputs'!$B$21+'Inputs'!$B$9+'Inputs'!$B$10))/SQRT((((347-43)*MAX('Inputs'!$B$33,'Inputs'!$B$29+'Inputs'!$B$31+'Inputs'!$B$32,'Inputs'!$B$30+'Inputs'!$B$31+'Inputs'!$B$32)/1000+'Inputs'!$B$21+'Inputs'!$B$9+'Inputs'!$B$10))^2+('Inputs'!$B$6/2)^2))))*'Results'!$B$8))),"")</x:f>
        <x:v>18.34548933037562</x:v>
      </x:c>
      <x:c r="O347" t="n">
        <x:f>IF(AND(ISNUMBER('Results'!C7),ISNUMBER('Results'!B7),ISNUMBER('Results'!$B$8),ISNUMBER('Inputs'!$B$6),ISNUMBER('Inputs'!$B$7),ISNUMBER('Inputs'!$B$8),ISNUMBER('Inputs'!$B$9),ISNUMBER('Inputs'!$B$10),ISNUMBER('Inputs'!$B$21),ISNUMBER('Inputs'!$B$24),ISNUMBER('Inputs'!$B$28)),((('Results'!C7*(1+'Inputs'!$B$24)*(0.5*((((347-43)*MAX('Inputs'!$B$33,'Inputs'!$B$29+'Inputs'!$B$31+'Inputs'!$B$32,'Inputs'!$B$30+'Inputs'!$B$31+'Inputs'!$B$32)/1000+'Inputs'!$B$21)+'Inputs'!$B$9)/SQRT((((347-43)*MAX('Inputs'!$B$33,'Inputs'!$B$29+'Inputs'!$B$31+'Inputs'!$B$32,'Inputs'!$B$30+'Inputs'!$B$31+'Inputs'!$B$32)/1000+'Inputs'!$B$21)+'Inputs'!$B$9)^2+('Inputs'!$B$8/2)^2)-(((347-43)*MAX('Inputs'!$B$33,'Inputs'!$B$29+'Inputs'!$B$31+'Inputs'!$B$32,'Inputs'!$B$30+'Inputs'!$B$31+'Inputs'!$B$32)/1000+'Inputs'!$B$21))/SQRT((((347-43)*MAX('Inputs'!$B$33,'Inputs'!$B$29+'Inputs'!$B$31+'Inputs'!$B$32,'Inputs'!$B$30+'Inputs'!$B$31+'Inputs'!$B$32)/1000+'Inputs'!$B$21))^2+('Inputs'!$B$8/2)^2)))-'Results'!B7*(1-'Inputs'!$B$24)*(0.5*((((347-43)*MAX('Inputs'!$B$33,'Inputs'!$B$29+'Inputs'!$B$31+'Inputs'!$B$32,'Inputs'!$B$30+'Inputs'!$B$31+'Inputs'!$B$32)/1000+'Inputs'!$B$21+'Inputs'!$B$9+'Inputs'!$B$10)+'Inputs'!$B$7)/SQRT((((347-43)*MAX('Inputs'!$B$33,'Inputs'!$B$29+'Inputs'!$B$31+'Inputs'!$B$32,'Inputs'!$B$30+'Inputs'!$B$31+'Inputs'!$B$32)/1000+'Inputs'!$B$21+'Inputs'!$B$9+'Inputs'!$B$10)+'Inputs'!$B$7)^2+('Inputs'!$B$6/2)^2)-(((347-43)*MAX('Inputs'!$B$33,'Inputs'!$B$29+'Inputs'!$B$31+'Inputs'!$B$32,'Inputs'!$B$30+'Inputs'!$B$31+'Inputs'!$B$32)/1000+'Inputs'!$B$21+'Inputs'!$B$9+'Inputs'!$B$10))/SQRT((((347-43)*MAX('Inputs'!$B$33,'Inputs'!$B$29+'Inputs'!$B$31+'Inputs'!$B$32,'Inputs'!$B$30+'Inputs'!$B$31+'Inputs'!$B$32)/1000+'Inputs'!$B$21+'Inputs'!$B$9+'Inputs'!$B$10))^2+('Inputs'!$B$6/2)^2))))*'Results'!$B$8)+'Inputs'!$B$28*ABS((('Results'!C7*(1+'Inputs'!$B$24)*(0.5*((((347-43)*MAX('Inputs'!$B$33,'Inputs'!$B$29+'Inputs'!$B$31+'Inputs'!$B$32,'Inputs'!$B$30+'Inputs'!$B$31+'Inputs'!$B$32)/1000+'Inputs'!$B$21)+'Inputs'!$B$9)/SQRT((((347-43)*MAX('Inputs'!$B$33,'Inputs'!$B$29+'Inputs'!$B$31+'Inputs'!$B$32,'Inputs'!$B$30+'Inputs'!$B$31+'Inputs'!$B$32)/1000+'Inputs'!$B$21)+'Inputs'!$B$9)^2+('Inputs'!$B$8/2)^2)-(((347-43)*MAX('Inputs'!$B$33,'Inputs'!$B$29+'Inputs'!$B$31+'Inputs'!$B$32,'Inputs'!$B$30+'Inputs'!$B$31+'Inputs'!$B$32)/1000+'Inputs'!$B$21))/SQRT((((347-43)*MAX('Inputs'!$B$33,'Inputs'!$B$29+'Inputs'!$B$31+'Inputs'!$B$32,'Inputs'!$B$30+'Inputs'!$B$31+'Inputs'!$B$32)/1000+'Inputs'!$B$21))^2+('Inputs'!$B$8/2)^2)))-'Results'!B7*(1-'Inputs'!$B$24)*(0.5*((((347-43)*MAX('Inputs'!$B$33,'Inputs'!$B$29+'Inputs'!$B$31+'Inputs'!$B$32,'Inputs'!$B$30+'Inputs'!$B$31+'Inputs'!$B$32)/1000+'Inputs'!$B$21+'Inputs'!$B$9+'Inputs'!$B$10)+'Inputs'!$B$7)/SQRT((((347-43)*MAX('Inputs'!$B$33,'Inputs'!$B$29+'Inputs'!$B$31+'Inputs'!$B$32,'Inputs'!$B$30+'Inputs'!$B$31+'Inputs'!$B$32)/1000+'Inputs'!$B$21+'Inputs'!$B$9+'Inputs'!$B$10)+'Inputs'!$B$7)^2+('Inputs'!$B$6/2)^2)-(((347-43)*MAX('Inputs'!$B$33,'Inputs'!$B$29+'Inputs'!$B$31+'Inputs'!$B$32,'Inputs'!$B$30+'Inputs'!$B$31+'Inputs'!$B$32)/1000+'Inputs'!$B$21+'Inputs'!$B$9+'Inputs'!$B$10))/SQRT((((347-43)*MAX('Inputs'!$B$33,'Inputs'!$B$29+'Inputs'!$B$31+'Inputs'!$B$32,'Inputs'!$B$30+'Inputs'!$B$31+'Inputs'!$B$32)/1000+'Inputs'!$B$21+'Inputs'!$B$9+'Inputs'!$B$10))^2+('Inputs'!$B$6/2)^2))))*'Results'!$B$8))),"")</x:f>
        <x:v>22.3977791450531</x:v>
      </x:c>
      <x:c r="P347" t="n">
        <x:f>IF(AND(MAX(J347,J346)&gt;0,J347&gt;J346+0.00000001),1,0)</x:f>
        <x:v>0</x:v>
      </x:c>
      <x:c r="Q347" t="n">
        <x:f>IF(AND(MAX(K347,K346)&gt;0,K347&gt;K346+0.00000001),1,0)</x:f>
        <x:v>0</x:v>
      </x:c>
      <x:c r="R347" t="n">
        <x:f>IF(AND(MAX(L347,L346)&gt;0,L347&gt;L346+0.00000001),1,0)</x:f>
        <x:v>0</x:v>
      </x:c>
      <x:c r="S347" t="n">
        <x:f>IF(AND(MAX(M347,M346)&gt;0,M347&gt;M346+0.00000001),1,0)</x:f>
        <x:v>0</x:v>
      </x:c>
      <x:c r="T347" t="n">
        <x:f>IF(AND(MAX(N347,N346)&gt;0,N347&gt;N346+0.00000001),1,0)</x:f>
        <x:v>0</x:v>
      </x:c>
      <x:c r="U347" t="n">
        <x:f>IF(AND(MAX(O347,O346)&gt;0,O347&gt;O346+0.00000001),1,0)</x:f>
        <x:v>0</x:v>
      </x:c>
    </x:row>
    <x:row r="348">
      <x:c r="J348" t="n">
        <x:f>IF(AND(ISNUMBER('Results'!B7),ISNUMBER('Results'!C7),ISNUMBER('Results'!$B$8),ISNUMBER('Inputs'!$B$6),ISNUMBER('Inputs'!$B$7),ISNUMBER('Inputs'!$B$8),ISNUMBER('Inputs'!$B$9),ISNUMBER('Inputs'!$B$10),ISNUMBER('Inputs'!$B$21),ISNUMBER('Inputs'!$B$24),ISNUMBER('Inputs'!$B$28)),(('Results'!B7*(0.5*((((348-43)*MAX('Inputs'!$B$33,'Inputs'!$B$29+'Inputs'!$B$31+'Inputs'!$B$32,'Inputs'!$B$30+'Inputs'!$B$31+'Inputs'!$B$32)/1000+'Inputs'!$B$21)+'Inputs'!$B$7)/SQRT((((348-43)*MAX('Inputs'!$B$33,'Inputs'!$B$29+'Inputs'!$B$31+'Inputs'!$B$32,'Inputs'!$B$30+'Inputs'!$B$31+'Inputs'!$B$32)/1000+'Inputs'!$B$21)+'Inputs'!$B$7)^2+('Inputs'!$B$6/2)^2)-(((348-43)*MAX('Inputs'!$B$33,'Inputs'!$B$29+'Inputs'!$B$31+'Inputs'!$B$32,'Inputs'!$B$30+'Inputs'!$B$31+'Inputs'!$B$32)/1000+'Inputs'!$B$21))/SQRT((((348-43)*MAX('Inputs'!$B$33,'Inputs'!$B$29+'Inputs'!$B$31+'Inputs'!$B$32,'Inputs'!$B$30+'Inputs'!$B$31+'Inputs'!$B$32)/1000+'Inputs'!$B$21))^2+('Inputs'!$B$6/2)^2)))-'Results'!C7*(0.5*((((348-43)*MAX('Inputs'!$B$33,'Inputs'!$B$29+'Inputs'!$B$31+'Inputs'!$B$32,'Inputs'!$B$30+'Inputs'!$B$31+'Inputs'!$B$32)/1000+'Inputs'!$B$21+'Inputs'!$B$7+'Inputs'!$B$10)+'Inputs'!$B$9)/SQRT((((348-43)*MAX('Inputs'!$B$33,'Inputs'!$B$29+'Inputs'!$B$31+'Inputs'!$B$32,'Inputs'!$B$30+'Inputs'!$B$31+'Inputs'!$B$32)/1000+'Inputs'!$B$21+'Inputs'!$B$7+'Inputs'!$B$10)+'Inputs'!$B$9)^2+('Inputs'!$B$8/2)^2)-(((348-43)*MAX('Inputs'!$B$33,'Inputs'!$B$29+'Inputs'!$B$31+'Inputs'!$B$32,'Inputs'!$B$30+'Inputs'!$B$31+'Inputs'!$B$32)/1000+'Inputs'!$B$21+'Inputs'!$B$7+'Inputs'!$B$10))/SQRT((((348-43)*MAX('Inputs'!$B$33,'Inputs'!$B$29+'Inputs'!$B$31+'Inputs'!$B$32,'Inputs'!$B$30+'Inputs'!$B$31+'Inputs'!$B$32)/1000+'Inputs'!$B$21+'Inputs'!$B$7+'Inputs'!$B$10))^2+('Inputs'!$B$8/2)^2))))*'Results'!$B$8),"")</x:f>
        <x:v>21.128207014543523</x:v>
      </x:c>
      <x:c r="K348" t="n">
        <x:f>IF(AND(ISNUMBER('Results'!B7),ISNUMBER('Results'!C7),ISNUMBER('Results'!$B$8),ISNUMBER('Inputs'!$B$6),ISNUMBER('Inputs'!$B$7),ISNUMBER('Inputs'!$B$8),ISNUMBER('Inputs'!$B$9),ISNUMBER('Inputs'!$B$10),ISNUMBER('Inputs'!$B$21),ISNUMBER('Inputs'!$B$24),ISNUMBER('Inputs'!$B$28)),((('Results'!B7*(1-'Inputs'!$B$24)*(0.5*((((348-43)*MAX('Inputs'!$B$33,'Inputs'!$B$29+'Inputs'!$B$31+'Inputs'!$B$32,'Inputs'!$B$30+'Inputs'!$B$31+'Inputs'!$B$32)/1000+'Inputs'!$B$21)+'Inputs'!$B$7)/SQRT((((348-43)*MAX('Inputs'!$B$33,'Inputs'!$B$29+'Inputs'!$B$31+'Inputs'!$B$32,'Inputs'!$B$30+'Inputs'!$B$31+'Inputs'!$B$32)/1000+'Inputs'!$B$21)+'Inputs'!$B$7)^2+('Inputs'!$B$6/2)^2)-(((348-43)*MAX('Inputs'!$B$33,'Inputs'!$B$29+'Inputs'!$B$31+'Inputs'!$B$32,'Inputs'!$B$30+'Inputs'!$B$31+'Inputs'!$B$32)/1000+'Inputs'!$B$21))/SQRT((((348-43)*MAX('Inputs'!$B$33,'Inputs'!$B$29+'Inputs'!$B$31+'Inputs'!$B$32,'Inputs'!$B$30+'Inputs'!$B$31+'Inputs'!$B$32)/1000+'Inputs'!$B$21))^2+('Inputs'!$B$6/2)^2)))-'Results'!C7*(1+'Inputs'!$B$24)*(0.5*((((348-43)*MAX('Inputs'!$B$33,'Inputs'!$B$29+'Inputs'!$B$31+'Inputs'!$B$32,'Inputs'!$B$30+'Inputs'!$B$31+'Inputs'!$B$32)/1000+'Inputs'!$B$21+'Inputs'!$B$7+'Inputs'!$B$10)+'Inputs'!$B$9)/SQRT((((348-43)*MAX('Inputs'!$B$33,'Inputs'!$B$29+'Inputs'!$B$31+'Inputs'!$B$32,'Inputs'!$B$30+'Inputs'!$B$31+'Inputs'!$B$32)/1000+'Inputs'!$B$21+'Inputs'!$B$7+'Inputs'!$B$10)+'Inputs'!$B$9)^2+('Inputs'!$B$8/2)^2)-(((348-43)*MAX('Inputs'!$B$33,'Inputs'!$B$29+'Inputs'!$B$31+'Inputs'!$B$32,'Inputs'!$B$30+'Inputs'!$B$31+'Inputs'!$B$32)/1000+'Inputs'!$B$21+'Inputs'!$B$7+'Inputs'!$B$10))/SQRT((((348-43)*MAX('Inputs'!$B$33,'Inputs'!$B$29+'Inputs'!$B$31+'Inputs'!$B$32,'Inputs'!$B$30+'Inputs'!$B$31+'Inputs'!$B$32)/1000+'Inputs'!$B$21+'Inputs'!$B$7+'Inputs'!$B$10))^2+('Inputs'!$B$8/2)^2))))*'Results'!$B$8)-'Inputs'!$B$28*ABS((('Results'!B7*(1-'Inputs'!$B$24)*(0.5*((((348-43)*MAX('Inputs'!$B$33,'Inputs'!$B$29+'Inputs'!$B$31+'Inputs'!$B$32,'Inputs'!$B$30+'Inputs'!$B$31+'Inputs'!$B$32)/1000+'Inputs'!$B$21)+'Inputs'!$B$7)/SQRT((((348-43)*MAX('Inputs'!$B$33,'Inputs'!$B$29+'Inputs'!$B$31+'Inputs'!$B$32,'Inputs'!$B$30+'Inputs'!$B$31+'Inputs'!$B$32)/1000+'Inputs'!$B$21)+'Inputs'!$B$7)^2+('Inputs'!$B$6/2)^2)-(((348-43)*MAX('Inputs'!$B$33,'Inputs'!$B$29+'Inputs'!$B$31+'Inputs'!$B$32,'Inputs'!$B$30+'Inputs'!$B$31+'Inputs'!$B$32)/1000+'Inputs'!$B$21))/SQRT((((348-43)*MAX('Inputs'!$B$33,'Inputs'!$B$29+'Inputs'!$B$31+'Inputs'!$B$32,'Inputs'!$B$30+'Inputs'!$B$31+'Inputs'!$B$32)/1000+'Inputs'!$B$21))^2+('Inputs'!$B$6/2)^2)))-'Results'!C7*(1+'Inputs'!$B$24)*(0.5*((((348-43)*MAX('Inputs'!$B$33,'Inputs'!$B$29+'Inputs'!$B$31+'Inputs'!$B$32,'Inputs'!$B$30+'Inputs'!$B$31+'Inputs'!$B$32)/1000+'Inputs'!$B$21+'Inputs'!$B$7+'Inputs'!$B$10)+'Inputs'!$B$9)/SQRT((((348-43)*MAX('Inputs'!$B$33,'Inputs'!$B$29+'Inputs'!$B$31+'Inputs'!$B$32,'Inputs'!$B$30+'Inputs'!$B$31+'Inputs'!$B$32)/1000+'Inputs'!$B$21+'Inputs'!$B$7+'Inputs'!$B$10)+'Inputs'!$B$9)^2+('Inputs'!$B$8/2)^2)-(((348-43)*MAX('Inputs'!$B$33,'Inputs'!$B$29+'Inputs'!$B$31+'Inputs'!$B$32,'Inputs'!$B$30+'Inputs'!$B$31+'Inputs'!$B$32)/1000+'Inputs'!$B$21+'Inputs'!$B$7+'Inputs'!$B$10))/SQRT((((348-43)*MAX('Inputs'!$B$33,'Inputs'!$B$29+'Inputs'!$B$31+'Inputs'!$B$32,'Inputs'!$B$30+'Inputs'!$B$31+'Inputs'!$B$32)/1000+'Inputs'!$B$21+'Inputs'!$B$7+'Inputs'!$B$10))^2+('Inputs'!$B$8/2)^2))))*'Results'!$B$8))),"")</x:f>
        <x:v>19.112063368939445</x:v>
      </x:c>
      <x:c r="L348" t="n">
        <x:f>IF(AND(ISNUMBER('Results'!B7),ISNUMBER('Results'!C7),ISNUMBER('Results'!$B$8),ISNUMBER('Inputs'!$B$6),ISNUMBER('Inputs'!$B$7),ISNUMBER('Inputs'!$B$8),ISNUMBER('Inputs'!$B$9),ISNUMBER('Inputs'!$B$10),ISNUMBER('Inputs'!$B$21),ISNUMBER('Inputs'!$B$24),ISNUMBER('Inputs'!$B$28)),((('Results'!B7*(1+'Inputs'!$B$24)*(0.5*((((348-43)*MAX('Inputs'!$B$33,'Inputs'!$B$29+'Inputs'!$B$31+'Inputs'!$B$32,'Inputs'!$B$30+'Inputs'!$B$31+'Inputs'!$B$32)/1000+'Inputs'!$B$21)+'Inputs'!$B$7)/SQRT((((348-43)*MAX('Inputs'!$B$33,'Inputs'!$B$29+'Inputs'!$B$31+'Inputs'!$B$32,'Inputs'!$B$30+'Inputs'!$B$31+'Inputs'!$B$32)/1000+'Inputs'!$B$21)+'Inputs'!$B$7)^2+('Inputs'!$B$6/2)^2)-(((348-43)*MAX('Inputs'!$B$33,'Inputs'!$B$29+'Inputs'!$B$31+'Inputs'!$B$32,'Inputs'!$B$30+'Inputs'!$B$31+'Inputs'!$B$32)/1000+'Inputs'!$B$21))/SQRT((((348-43)*MAX('Inputs'!$B$33,'Inputs'!$B$29+'Inputs'!$B$31+'Inputs'!$B$32,'Inputs'!$B$30+'Inputs'!$B$31+'Inputs'!$B$32)/1000+'Inputs'!$B$21))^2+('Inputs'!$B$6/2)^2)))-'Results'!C7*(1-'Inputs'!$B$24)*(0.5*((((348-43)*MAX('Inputs'!$B$33,'Inputs'!$B$29+'Inputs'!$B$31+'Inputs'!$B$32,'Inputs'!$B$30+'Inputs'!$B$31+'Inputs'!$B$32)/1000+'Inputs'!$B$21+'Inputs'!$B$7+'Inputs'!$B$10)+'Inputs'!$B$9)/SQRT((((348-43)*MAX('Inputs'!$B$33,'Inputs'!$B$29+'Inputs'!$B$31+'Inputs'!$B$32,'Inputs'!$B$30+'Inputs'!$B$31+'Inputs'!$B$32)/1000+'Inputs'!$B$21+'Inputs'!$B$7+'Inputs'!$B$10)+'Inputs'!$B$9)^2+('Inputs'!$B$8/2)^2)-(((348-43)*MAX('Inputs'!$B$33,'Inputs'!$B$29+'Inputs'!$B$31+'Inputs'!$B$32,'Inputs'!$B$30+'Inputs'!$B$31+'Inputs'!$B$32)/1000+'Inputs'!$B$21+'Inputs'!$B$7+'Inputs'!$B$10))/SQRT((((348-43)*MAX('Inputs'!$B$33,'Inputs'!$B$29+'Inputs'!$B$31+'Inputs'!$B$32,'Inputs'!$B$30+'Inputs'!$B$31+'Inputs'!$B$32)/1000+'Inputs'!$B$21+'Inputs'!$B$7+'Inputs'!$B$10))^2+('Inputs'!$B$8/2)^2))))*'Results'!$B$8)+'Inputs'!$B$28*ABS((('Results'!B7*(1+'Inputs'!$B$24)*(0.5*((((348-43)*MAX('Inputs'!$B$33,'Inputs'!$B$29+'Inputs'!$B$31+'Inputs'!$B$32,'Inputs'!$B$30+'Inputs'!$B$31+'Inputs'!$B$32)/1000+'Inputs'!$B$21)+'Inputs'!$B$7)/SQRT((((348-43)*MAX('Inputs'!$B$33,'Inputs'!$B$29+'Inputs'!$B$31+'Inputs'!$B$32,'Inputs'!$B$30+'Inputs'!$B$31+'Inputs'!$B$32)/1000+'Inputs'!$B$21)+'Inputs'!$B$7)^2+('Inputs'!$B$6/2)^2)-(((348-43)*MAX('Inputs'!$B$33,'Inputs'!$B$29+'Inputs'!$B$31+'Inputs'!$B$32,'Inputs'!$B$30+'Inputs'!$B$31+'Inputs'!$B$32)/1000+'Inputs'!$B$21))/SQRT((((348-43)*MAX('Inputs'!$B$33,'Inputs'!$B$29+'Inputs'!$B$31+'Inputs'!$B$32,'Inputs'!$B$30+'Inputs'!$B$31+'Inputs'!$B$32)/1000+'Inputs'!$B$21))^2+('Inputs'!$B$6/2)^2)))-'Results'!C7*(1-'Inputs'!$B$24)*(0.5*((((348-43)*MAX('Inputs'!$B$33,'Inputs'!$B$29+'Inputs'!$B$31+'Inputs'!$B$32,'Inputs'!$B$30+'Inputs'!$B$31+'Inputs'!$B$32)/1000+'Inputs'!$B$21+'Inputs'!$B$7+'Inputs'!$B$10)+'Inputs'!$B$9)/SQRT((((348-43)*MAX('Inputs'!$B$33,'Inputs'!$B$29+'Inputs'!$B$31+'Inputs'!$B$32,'Inputs'!$B$30+'Inputs'!$B$31+'Inputs'!$B$32)/1000+'Inputs'!$B$21+'Inputs'!$B$7+'Inputs'!$B$10)+'Inputs'!$B$9)^2+('Inputs'!$B$8/2)^2)-(((348-43)*MAX('Inputs'!$B$33,'Inputs'!$B$29+'Inputs'!$B$31+'Inputs'!$B$32,'Inputs'!$B$30+'Inputs'!$B$31+'Inputs'!$B$32)/1000+'Inputs'!$B$21+'Inputs'!$B$7+'Inputs'!$B$10))/SQRT((((348-43)*MAX('Inputs'!$B$33,'Inputs'!$B$29+'Inputs'!$B$31+'Inputs'!$B$32,'Inputs'!$B$30+'Inputs'!$B$31+'Inputs'!$B$32)/1000+'Inputs'!$B$21+'Inputs'!$B$7+'Inputs'!$B$10))^2+('Inputs'!$B$8/2)^2))))*'Results'!$B$8))),"")</x:f>
        <x:v>23.245375217503053</x:v>
      </x:c>
      <x:c r="M348" t="n">
        <x:f>IF(AND(ISNUMBER('Results'!C7),ISNUMBER('Results'!B7),ISNUMBER('Results'!$B$8),ISNUMBER('Inputs'!$B$6),ISNUMBER('Inputs'!$B$7),ISNUMBER('Inputs'!$B$8),ISNUMBER('Inputs'!$B$9),ISNUMBER('Inputs'!$B$10),ISNUMBER('Inputs'!$B$21),ISNUMBER('Inputs'!$B$24),ISNUMBER('Inputs'!$B$28)),(('Results'!C7*(0.5*((((348-43)*MAX('Inputs'!$B$33,'Inputs'!$B$29+'Inputs'!$B$31+'Inputs'!$B$32,'Inputs'!$B$30+'Inputs'!$B$31+'Inputs'!$B$32)/1000+'Inputs'!$B$21)+'Inputs'!$B$9)/SQRT((((348-43)*MAX('Inputs'!$B$33,'Inputs'!$B$29+'Inputs'!$B$31+'Inputs'!$B$32,'Inputs'!$B$30+'Inputs'!$B$31+'Inputs'!$B$32)/1000+'Inputs'!$B$21)+'Inputs'!$B$9)^2+('Inputs'!$B$8/2)^2)-(((348-43)*MAX('Inputs'!$B$33,'Inputs'!$B$29+'Inputs'!$B$31+'Inputs'!$B$32,'Inputs'!$B$30+'Inputs'!$B$31+'Inputs'!$B$32)/1000+'Inputs'!$B$21))/SQRT((((348-43)*MAX('Inputs'!$B$33,'Inputs'!$B$29+'Inputs'!$B$31+'Inputs'!$B$32,'Inputs'!$B$30+'Inputs'!$B$31+'Inputs'!$B$32)/1000+'Inputs'!$B$21))^2+('Inputs'!$B$8/2)^2)))-'Results'!B7*(0.5*((((348-43)*MAX('Inputs'!$B$33,'Inputs'!$B$29+'Inputs'!$B$31+'Inputs'!$B$32,'Inputs'!$B$30+'Inputs'!$B$31+'Inputs'!$B$32)/1000+'Inputs'!$B$21+'Inputs'!$B$9+'Inputs'!$B$10)+'Inputs'!$B$7)/SQRT((((348-43)*MAX('Inputs'!$B$33,'Inputs'!$B$29+'Inputs'!$B$31+'Inputs'!$B$32,'Inputs'!$B$30+'Inputs'!$B$31+'Inputs'!$B$32)/1000+'Inputs'!$B$21+'Inputs'!$B$9+'Inputs'!$B$10)+'Inputs'!$B$7)^2+('Inputs'!$B$6/2)^2)-(((348-43)*MAX('Inputs'!$B$33,'Inputs'!$B$29+'Inputs'!$B$31+'Inputs'!$B$32,'Inputs'!$B$30+'Inputs'!$B$31+'Inputs'!$B$32)/1000+'Inputs'!$B$21+'Inputs'!$B$9+'Inputs'!$B$10))/SQRT((((348-43)*MAX('Inputs'!$B$33,'Inputs'!$B$29+'Inputs'!$B$31+'Inputs'!$B$32,'Inputs'!$B$30+'Inputs'!$B$31+'Inputs'!$B$32)/1000+'Inputs'!$B$21+'Inputs'!$B$9+'Inputs'!$B$10))^2+('Inputs'!$B$6/2)^2))))*'Results'!$B$8),"")</x:f>
        <x:v>20.111964691669872</x:v>
      </x:c>
      <x:c r="N348" t="n">
        <x:f>IF(AND(ISNUMBER('Results'!C7),ISNUMBER('Results'!B7),ISNUMBER('Results'!$B$8),ISNUMBER('Inputs'!$B$6),ISNUMBER('Inputs'!$B$7),ISNUMBER('Inputs'!$B$8),ISNUMBER('Inputs'!$B$9),ISNUMBER('Inputs'!$B$10),ISNUMBER('Inputs'!$B$21),ISNUMBER('Inputs'!$B$24),ISNUMBER('Inputs'!$B$28)),((('Results'!C7*(1-'Inputs'!$B$24)*(0.5*((((348-43)*MAX('Inputs'!$B$33,'Inputs'!$B$29+'Inputs'!$B$31+'Inputs'!$B$32,'Inputs'!$B$30+'Inputs'!$B$31+'Inputs'!$B$32)/1000+'Inputs'!$B$21)+'Inputs'!$B$9)/SQRT((((348-43)*MAX('Inputs'!$B$33,'Inputs'!$B$29+'Inputs'!$B$31+'Inputs'!$B$32,'Inputs'!$B$30+'Inputs'!$B$31+'Inputs'!$B$32)/1000+'Inputs'!$B$21)+'Inputs'!$B$9)^2+('Inputs'!$B$8/2)^2)-(((348-43)*MAX('Inputs'!$B$33,'Inputs'!$B$29+'Inputs'!$B$31+'Inputs'!$B$32,'Inputs'!$B$30+'Inputs'!$B$31+'Inputs'!$B$32)/1000+'Inputs'!$B$21))/SQRT((((348-43)*MAX('Inputs'!$B$33,'Inputs'!$B$29+'Inputs'!$B$31+'Inputs'!$B$32,'Inputs'!$B$30+'Inputs'!$B$31+'Inputs'!$B$32)/1000+'Inputs'!$B$21))^2+('Inputs'!$B$8/2)^2)))-'Results'!B7*(1+'Inputs'!$B$24)*(0.5*((((348-43)*MAX('Inputs'!$B$33,'Inputs'!$B$29+'Inputs'!$B$31+'Inputs'!$B$32,'Inputs'!$B$30+'Inputs'!$B$31+'Inputs'!$B$32)/1000+'Inputs'!$B$21+'Inputs'!$B$9+'Inputs'!$B$10)+'Inputs'!$B$7)/SQRT((((348-43)*MAX('Inputs'!$B$33,'Inputs'!$B$29+'Inputs'!$B$31+'Inputs'!$B$32,'Inputs'!$B$30+'Inputs'!$B$31+'Inputs'!$B$32)/1000+'Inputs'!$B$21+'Inputs'!$B$9+'Inputs'!$B$10)+'Inputs'!$B$7)^2+('Inputs'!$B$6/2)^2)-(((348-43)*MAX('Inputs'!$B$33,'Inputs'!$B$29+'Inputs'!$B$31+'Inputs'!$B$32,'Inputs'!$B$30+'Inputs'!$B$31+'Inputs'!$B$32)/1000+'Inputs'!$B$21+'Inputs'!$B$9+'Inputs'!$B$10))/SQRT((((348-43)*MAX('Inputs'!$B$33,'Inputs'!$B$29+'Inputs'!$B$31+'Inputs'!$B$32,'Inputs'!$B$30+'Inputs'!$B$31+'Inputs'!$B$32)/1000+'Inputs'!$B$21+'Inputs'!$B$9+'Inputs'!$B$10))^2+('Inputs'!$B$6/2)^2))))*'Results'!$B$8)-'Inputs'!$B$28*ABS((('Results'!C7*(1-'Inputs'!$B$24)*(0.5*((((348-43)*MAX('Inputs'!$B$33,'Inputs'!$B$29+'Inputs'!$B$31+'Inputs'!$B$32,'Inputs'!$B$30+'Inputs'!$B$31+'Inputs'!$B$32)/1000+'Inputs'!$B$21)+'Inputs'!$B$9)/SQRT((((348-43)*MAX('Inputs'!$B$33,'Inputs'!$B$29+'Inputs'!$B$31+'Inputs'!$B$32,'Inputs'!$B$30+'Inputs'!$B$31+'Inputs'!$B$32)/1000+'Inputs'!$B$21)+'Inputs'!$B$9)^2+('Inputs'!$B$8/2)^2)-(((348-43)*MAX('Inputs'!$B$33,'Inputs'!$B$29+'Inputs'!$B$31+'Inputs'!$B$32,'Inputs'!$B$30+'Inputs'!$B$31+'Inputs'!$B$32)/1000+'Inputs'!$B$21))/SQRT((((348-43)*MAX('Inputs'!$B$33,'Inputs'!$B$29+'Inputs'!$B$31+'Inputs'!$B$32,'Inputs'!$B$30+'Inputs'!$B$31+'Inputs'!$B$32)/1000+'Inputs'!$B$21))^2+('Inputs'!$B$8/2)^2)))-'Results'!B7*(1+'Inputs'!$B$24)*(0.5*((((348-43)*MAX('Inputs'!$B$33,'Inputs'!$B$29+'Inputs'!$B$31+'Inputs'!$B$32,'Inputs'!$B$30+'Inputs'!$B$31+'Inputs'!$B$32)/1000+'Inputs'!$B$21+'Inputs'!$B$9+'Inputs'!$B$10)+'Inputs'!$B$7)/SQRT((((348-43)*MAX('Inputs'!$B$33,'Inputs'!$B$29+'Inputs'!$B$31+'Inputs'!$B$32,'Inputs'!$B$30+'Inputs'!$B$31+'Inputs'!$B$32)/1000+'Inputs'!$B$21+'Inputs'!$B$9+'Inputs'!$B$10)+'Inputs'!$B$7)^2+('Inputs'!$B$6/2)^2)-(((348-43)*MAX('Inputs'!$B$33,'Inputs'!$B$29+'Inputs'!$B$31+'Inputs'!$B$32,'Inputs'!$B$30+'Inputs'!$B$31+'Inputs'!$B$32)/1000+'Inputs'!$B$21+'Inputs'!$B$9+'Inputs'!$B$10))/SQRT((((348-43)*MAX('Inputs'!$B$33,'Inputs'!$B$29+'Inputs'!$B$31+'Inputs'!$B$32,'Inputs'!$B$30+'Inputs'!$B$31+'Inputs'!$B$32)/1000+'Inputs'!$B$21+'Inputs'!$B$9+'Inputs'!$B$10))^2+('Inputs'!$B$6/2)^2))))*'Results'!$B$8))),"")</x:f>
        <x:v>18.154547942637947</x:v>
      </x:c>
      <x:c r="O348" t="n">
        <x:f>IF(AND(ISNUMBER('Results'!C7),ISNUMBER('Results'!B7),ISNUMBER('Results'!$B$8),ISNUMBER('Inputs'!$B$6),ISNUMBER('Inputs'!$B$7),ISNUMBER('Inputs'!$B$8),ISNUMBER('Inputs'!$B$9),ISNUMBER('Inputs'!$B$10),ISNUMBER('Inputs'!$B$21),ISNUMBER('Inputs'!$B$24),ISNUMBER('Inputs'!$B$28)),((('Results'!C7*(1+'Inputs'!$B$24)*(0.5*((((348-43)*MAX('Inputs'!$B$33,'Inputs'!$B$29+'Inputs'!$B$31+'Inputs'!$B$32,'Inputs'!$B$30+'Inputs'!$B$31+'Inputs'!$B$32)/1000+'Inputs'!$B$21)+'Inputs'!$B$9)/SQRT((((348-43)*MAX('Inputs'!$B$33,'Inputs'!$B$29+'Inputs'!$B$31+'Inputs'!$B$32,'Inputs'!$B$30+'Inputs'!$B$31+'Inputs'!$B$32)/1000+'Inputs'!$B$21)+'Inputs'!$B$9)^2+('Inputs'!$B$8/2)^2)-(((348-43)*MAX('Inputs'!$B$33,'Inputs'!$B$29+'Inputs'!$B$31+'Inputs'!$B$32,'Inputs'!$B$30+'Inputs'!$B$31+'Inputs'!$B$32)/1000+'Inputs'!$B$21))/SQRT((((348-43)*MAX('Inputs'!$B$33,'Inputs'!$B$29+'Inputs'!$B$31+'Inputs'!$B$32,'Inputs'!$B$30+'Inputs'!$B$31+'Inputs'!$B$32)/1000+'Inputs'!$B$21))^2+('Inputs'!$B$8/2)^2)))-'Results'!B7*(1-'Inputs'!$B$24)*(0.5*((((348-43)*MAX('Inputs'!$B$33,'Inputs'!$B$29+'Inputs'!$B$31+'Inputs'!$B$32,'Inputs'!$B$30+'Inputs'!$B$31+'Inputs'!$B$32)/1000+'Inputs'!$B$21+'Inputs'!$B$9+'Inputs'!$B$10)+'Inputs'!$B$7)/SQRT((((348-43)*MAX('Inputs'!$B$33,'Inputs'!$B$29+'Inputs'!$B$31+'Inputs'!$B$32,'Inputs'!$B$30+'Inputs'!$B$31+'Inputs'!$B$32)/1000+'Inputs'!$B$21+'Inputs'!$B$9+'Inputs'!$B$10)+'Inputs'!$B$7)^2+('Inputs'!$B$6/2)^2)-(((348-43)*MAX('Inputs'!$B$33,'Inputs'!$B$29+'Inputs'!$B$31+'Inputs'!$B$32,'Inputs'!$B$30+'Inputs'!$B$31+'Inputs'!$B$32)/1000+'Inputs'!$B$21+'Inputs'!$B$9+'Inputs'!$B$10))/SQRT((((348-43)*MAX('Inputs'!$B$33,'Inputs'!$B$29+'Inputs'!$B$31+'Inputs'!$B$32,'Inputs'!$B$30+'Inputs'!$B$31+'Inputs'!$B$32)/1000+'Inputs'!$B$21+'Inputs'!$B$9+'Inputs'!$B$10))^2+('Inputs'!$B$6/2)^2))))*'Results'!$B$8)+'Inputs'!$B$28*ABS((('Results'!C7*(1+'Inputs'!$B$24)*(0.5*((((348-43)*MAX('Inputs'!$B$33,'Inputs'!$B$29+'Inputs'!$B$31+'Inputs'!$B$32,'Inputs'!$B$30+'Inputs'!$B$31+'Inputs'!$B$32)/1000+'Inputs'!$B$21)+'Inputs'!$B$9)/SQRT((((348-43)*MAX('Inputs'!$B$33,'Inputs'!$B$29+'Inputs'!$B$31+'Inputs'!$B$32,'Inputs'!$B$30+'Inputs'!$B$31+'Inputs'!$B$32)/1000+'Inputs'!$B$21)+'Inputs'!$B$9)^2+('Inputs'!$B$8/2)^2)-(((348-43)*MAX('Inputs'!$B$33,'Inputs'!$B$29+'Inputs'!$B$31+'Inputs'!$B$32,'Inputs'!$B$30+'Inputs'!$B$31+'Inputs'!$B$32)/1000+'Inputs'!$B$21))/SQRT((((348-43)*MAX('Inputs'!$B$33,'Inputs'!$B$29+'Inputs'!$B$31+'Inputs'!$B$32,'Inputs'!$B$30+'Inputs'!$B$31+'Inputs'!$B$32)/1000+'Inputs'!$B$21))^2+('Inputs'!$B$8/2)^2)))-'Results'!B7*(1-'Inputs'!$B$24)*(0.5*((((348-43)*MAX('Inputs'!$B$33,'Inputs'!$B$29+'Inputs'!$B$31+'Inputs'!$B$32,'Inputs'!$B$30+'Inputs'!$B$31+'Inputs'!$B$32)/1000+'Inputs'!$B$21+'Inputs'!$B$9+'Inputs'!$B$10)+'Inputs'!$B$7)/SQRT((((348-43)*MAX('Inputs'!$B$33,'Inputs'!$B$29+'Inputs'!$B$31+'Inputs'!$B$32,'Inputs'!$B$30+'Inputs'!$B$31+'Inputs'!$B$32)/1000+'Inputs'!$B$21+'Inputs'!$B$9+'Inputs'!$B$10)+'Inputs'!$B$7)^2+('Inputs'!$B$6/2)^2)-(((348-43)*MAX('Inputs'!$B$33,'Inputs'!$B$29+'Inputs'!$B$31+'Inputs'!$B$32,'Inputs'!$B$30+'Inputs'!$B$31+'Inputs'!$B$32)/1000+'Inputs'!$B$21+'Inputs'!$B$9+'Inputs'!$B$10))/SQRT((((348-43)*MAX('Inputs'!$B$33,'Inputs'!$B$29+'Inputs'!$B$31+'Inputs'!$B$32,'Inputs'!$B$30+'Inputs'!$B$31+'Inputs'!$B$32)/1000+'Inputs'!$B$21+'Inputs'!$B$9+'Inputs'!$B$10))^2+('Inputs'!$B$6/2)^2))))*'Results'!$B$8))),"")</x:f>
        <x:v>22.169572863275324</x:v>
      </x:c>
      <x:c r="P348" t="n">
        <x:f>IF(AND(MAX(J348,J347)&gt;0,J348&gt;J347+0.00000001),1,0)</x:f>
        <x:v>0</x:v>
      </x:c>
      <x:c r="Q348" t="n">
        <x:f>IF(AND(MAX(K348,K347)&gt;0,K348&gt;K347+0.00000001),1,0)</x:f>
        <x:v>0</x:v>
      </x:c>
      <x:c r="R348" t="n">
        <x:f>IF(AND(MAX(L348,L347)&gt;0,L348&gt;L347+0.00000001),1,0)</x:f>
        <x:v>0</x:v>
      </x:c>
      <x:c r="S348" t="n">
        <x:f>IF(AND(MAX(M348,M347)&gt;0,M348&gt;M347+0.00000001),1,0)</x:f>
        <x:v>0</x:v>
      </x:c>
      <x:c r="T348" t="n">
        <x:f>IF(AND(MAX(N348,N347)&gt;0,N348&gt;N347+0.00000001),1,0)</x:f>
        <x:v>0</x:v>
      </x:c>
      <x:c r="U348" t="n">
        <x:f>IF(AND(MAX(O348,O347)&gt;0,O348&gt;O347+0.00000001),1,0)</x:f>
        <x:v>0</x:v>
      </x:c>
    </x:row>
    <x:row r="349">
      <x:c r="J349" t="n">
        <x:f>IF(AND(ISNUMBER('Results'!B7),ISNUMBER('Results'!C7),ISNUMBER('Results'!$B$8),ISNUMBER('Inputs'!$B$6),ISNUMBER('Inputs'!$B$7),ISNUMBER('Inputs'!$B$8),ISNUMBER('Inputs'!$B$9),ISNUMBER('Inputs'!$B$10),ISNUMBER('Inputs'!$B$21),ISNUMBER('Inputs'!$B$24),ISNUMBER('Inputs'!$B$28)),(('Results'!B7*(0.5*((((349-43)*MAX('Inputs'!$B$33,'Inputs'!$B$29+'Inputs'!$B$31+'Inputs'!$B$32,'Inputs'!$B$30+'Inputs'!$B$31+'Inputs'!$B$32)/1000+'Inputs'!$B$21)+'Inputs'!$B$7)/SQRT((((349-43)*MAX('Inputs'!$B$33,'Inputs'!$B$29+'Inputs'!$B$31+'Inputs'!$B$32,'Inputs'!$B$30+'Inputs'!$B$31+'Inputs'!$B$32)/1000+'Inputs'!$B$21)+'Inputs'!$B$7)^2+('Inputs'!$B$6/2)^2)-(((349-43)*MAX('Inputs'!$B$33,'Inputs'!$B$29+'Inputs'!$B$31+'Inputs'!$B$32,'Inputs'!$B$30+'Inputs'!$B$31+'Inputs'!$B$32)/1000+'Inputs'!$B$21))/SQRT((((349-43)*MAX('Inputs'!$B$33,'Inputs'!$B$29+'Inputs'!$B$31+'Inputs'!$B$32,'Inputs'!$B$30+'Inputs'!$B$31+'Inputs'!$B$32)/1000+'Inputs'!$B$21))^2+('Inputs'!$B$6/2)^2)))-'Results'!C7*(0.5*((((349-43)*MAX('Inputs'!$B$33,'Inputs'!$B$29+'Inputs'!$B$31+'Inputs'!$B$32,'Inputs'!$B$30+'Inputs'!$B$31+'Inputs'!$B$32)/1000+'Inputs'!$B$21+'Inputs'!$B$7+'Inputs'!$B$10)+'Inputs'!$B$9)/SQRT((((349-43)*MAX('Inputs'!$B$33,'Inputs'!$B$29+'Inputs'!$B$31+'Inputs'!$B$32,'Inputs'!$B$30+'Inputs'!$B$31+'Inputs'!$B$32)/1000+'Inputs'!$B$21+'Inputs'!$B$7+'Inputs'!$B$10)+'Inputs'!$B$9)^2+('Inputs'!$B$8/2)^2)-(((349-43)*MAX('Inputs'!$B$33,'Inputs'!$B$29+'Inputs'!$B$31+'Inputs'!$B$32,'Inputs'!$B$30+'Inputs'!$B$31+'Inputs'!$B$32)/1000+'Inputs'!$B$21+'Inputs'!$B$7+'Inputs'!$B$10))/SQRT((((349-43)*MAX('Inputs'!$B$33,'Inputs'!$B$29+'Inputs'!$B$31+'Inputs'!$B$32,'Inputs'!$B$30+'Inputs'!$B$31+'Inputs'!$B$32)/1000+'Inputs'!$B$21+'Inputs'!$B$7+'Inputs'!$B$10))^2+('Inputs'!$B$8/2)^2))))*'Results'!$B$8),"")</x:f>
        <x:v>20.913493033986516</x:v>
      </x:c>
      <x:c r="K349" t="n">
        <x:f>IF(AND(ISNUMBER('Results'!B7),ISNUMBER('Results'!C7),ISNUMBER('Results'!$B$8),ISNUMBER('Inputs'!$B$6),ISNUMBER('Inputs'!$B$7),ISNUMBER('Inputs'!$B$8),ISNUMBER('Inputs'!$B$9),ISNUMBER('Inputs'!$B$10),ISNUMBER('Inputs'!$B$21),ISNUMBER('Inputs'!$B$24),ISNUMBER('Inputs'!$B$28)),((('Results'!B7*(1-'Inputs'!$B$24)*(0.5*((((349-43)*MAX('Inputs'!$B$33,'Inputs'!$B$29+'Inputs'!$B$31+'Inputs'!$B$32,'Inputs'!$B$30+'Inputs'!$B$31+'Inputs'!$B$32)/1000+'Inputs'!$B$21)+'Inputs'!$B$7)/SQRT((((349-43)*MAX('Inputs'!$B$33,'Inputs'!$B$29+'Inputs'!$B$31+'Inputs'!$B$32,'Inputs'!$B$30+'Inputs'!$B$31+'Inputs'!$B$32)/1000+'Inputs'!$B$21)+'Inputs'!$B$7)^2+('Inputs'!$B$6/2)^2)-(((349-43)*MAX('Inputs'!$B$33,'Inputs'!$B$29+'Inputs'!$B$31+'Inputs'!$B$32,'Inputs'!$B$30+'Inputs'!$B$31+'Inputs'!$B$32)/1000+'Inputs'!$B$21))/SQRT((((349-43)*MAX('Inputs'!$B$33,'Inputs'!$B$29+'Inputs'!$B$31+'Inputs'!$B$32,'Inputs'!$B$30+'Inputs'!$B$31+'Inputs'!$B$32)/1000+'Inputs'!$B$21))^2+('Inputs'!$B$6/2)^2)))-'Results'!C7*(1+'Inputs'!$B$24)*(0.5*((((349-43)*MAX('Inputs'!$B$33,'Inputs'!$B$29+'Inputs'!$B$31+'Inputs'!$B$32,'Inputs'!$B$30+'Inputs'!$B$31+'Inputs'!$B$32)/1000+'Inputs'!$B$21+'Inputs'!$B$7+'Inputs'!$B$10)+'Inputs'!$B$9)/SQRT((((349-43)*MAX('Inputs'!$B$33,'Inputs'!$B$29+'Inputs'!$B$31+'Inputs'!$B$32,'Inputs'!$B$30+'Inputs'!$B$31+'Inputs'!$B$32)/1000+'Inputs'!$B$21+'Inputs'!$B$7+'Inputs'!$B$10)+'Inputs'!$B$9)^2+('Inputs'!$B$8/2)^2)-(((349-43)*MAX('Inputs'!$B$33,'Inputs'!$B$29+'Inputs'!$B$31+'Inputs'!$B$32,'Inputs'!$B$30+'Inputs'!$B$31+'Inputs'!$B$32)/1000+'Inputs'!$B$21+'Inputs'!$B$7+'Inputs'!$B$10))/SQRT((((349-43)*MAX('Inputs'!$B$33,'Inputs'!$B$29+'Inputs'!$B$31+'Inputs'!$B$32,'Inputs'!$B$30+'Inputs'!$B$31+'Inputs'!$B$32)/1000+'Inputs'!$B$21+'Inputs'!$B$7+'Inputs'!$B$10))^2+('Inputs'!$B$8/2)^2))))*'Results'!$B$8)-'Inputs'!$B$28*ABS((('Results'!B7*(1-'Inputs'!$B$24)*(0.5*((((349-43)*MAX('Inputs'!$B$33,'Inputs'!$B$29+'Inputs'!$B$31+'Inputs'!$B$32,'Inputs'!$B$30+'Inputs'!$B$31+'Inputs'!$B$32)/1000+'Inputs'!$B$21)+'Inputs'!$B$7)/SQRT((((349-43)*MAX('Inputs'!$B$33,'Inputs'!$B$29+'Inputs'!$B$31+'Inputs'!$B$32,'Inputs'!$B$30+'Inputs'!$B$31+'Inputs'!$B$32)/1000+'Inputs'!$B$21)+'Inputs'!$B$7)^2+('Inputs'!$B$6/2)^2)-(((349-43)*MAX('Inputs'!$B$33,'Inputs'!$B$29+'Inputs'!$B$31+'Inputs'!$B$32,'Inputs'!$B$30+'Inputs'!$B$31+'Inputs'!$B$32)/1000+'Inputs'!$B$21))/SQRT((((349-43)*MAX('Inputs'!$B$33,'Inputs'!$B$29+'Inputs'!$B$31+'Inputs'!$B$32,'Inputs'!$B$30+'Inputs'!$B$31+'Inputs'!$B$32)/1000+'Inputs'!$B$21))^2+('Inputs'!$B$6/2)^2)))-'Results'!C7*(1+'Inputs'!$B$24)*(0.5*((((349-43)*MAX('Inputs'!$B$33,'Inputs'!$B$29+'Inputs'!$B$31+'Inputs'!$B$32,'Inputs'!$B$30+'Inputs'!$B$31+'Inputs'!$B$32)/1000+'Inputs'!$B$21+'Inputs'!$B$7+'Inputs'!$B$10)+'Inputs'!$B$9)/SQRT((((349-43)*MAX('Inputs'!$B$33,'Inputs'!$B$29+'Inputs'!$B$31+'Inputs'!$B$32,'Inputs'!$B$30+'Inputs'!$B$31+'Inputs'!$B$32)/1000+'Inputs'!$B$21+'Inputs'!$B$7+'Inputs'!$B$10)+'Inputs'!$B$9)^2+('Inputs'!$B$8/2)^2)-(((349-43)*MAX('Inputs'!$B$33,'Inputs'!$B$29+'Inputs'!$B$31+'Inputs'!$B$32,'Inputs'!$B$30+'Inputs'!$B$31+'Inputs'!$B$32)/1000+'Inputs'!$B$21+'Inputs'!$B$7+'Inputs'!$B$10))/SQRT((((349-43)*MAX('Inputs'!$B$33,'Inputs'!$B$29+'Inputs'!$B$31+'Inputs'!$B$32,'Inputs'!$B$30+'Inputs'!$B$31+'Inputs'!$B$32)/1000+'Inputs'!$B$21+'Inputs'!$B$7+'Inputs'!$B$10))^2+('Inputs'!$B$8/2)^2))))*'Results'!$B$8))),"")</x:f>
        <x:v>18.915847737828827</x:v>
      </x:c>
      <x:c r="L349" t="n">
        <x:f>IF(AND(ISNUMBER('Results'!B7),ISNUMBER('Results'!C7),ISNUMBER('Results'!$B$8),ISNUMBER('Inputs'!$B$6),ISNUMBER('Inputs'!$B$7),ISNUMBER('Inputs'!$B$8),ISNUMBER('Inputs'!$B$9),ISNUMBER('Inputs'!$B$10),ISNUMBER('Inputs'!$B$21),ISNUMBER('Inputs'!$B$24),ISNUMBER('Inputs'!$B$28)),((('Results'!B7*(1+'Inputs'!$B$24)*(0.5*((((349-43)*MAX('Inputs'!$B$33,'Inputs'!$B$29+'Inputs'!$B$31+'Inputs'!$B$32,'Inputs'!$B$30+'Inputs'!$B$31+'Inputs'!$B$32)/1000+'Inputs'!$B$21)+'Inputs'!$B$7)/SQRT((((349-43)*MAX('Inputs'!$B$33,'Inputs'!$B$29+'Inputs'!$B$31+'Inputs'!$B$32,'Inputs'!$B$30+'Inputs'!$B$31+'Inputs'!$B$32)/1000+'Inputs'!$B$21)+'Inputs'!$B$7)^2+('Inputs'!$B$6/2)^2)-(((349-43)*MAX('Inputs'!$B$33,'Inputs'!$B$29+'Inputs'!$B$31+'Inputs'!$B$32,'Inputs'!$B$30+'Inputs'!$B$31+'Inputs'!$B$32)/1000+'Inputs'!$B$21))/SQRT((((349-43)*MAX('Inputs'!$B$33,'Inputs'!$B$29+'Inputs'!$B$31+'Inputs'!$B$32,'Inputs'!$B$30+'Inputs'!$B$31+'Inputs'!$B$32)/1000+'Inputs'!$B$21))^2+('Inputs'!$B$6/2)^2)))-'Results'!C7*(1-'Inputs'!$B$24)*(0.5*((((349-43)*MAX('Inputs'!$B$33,'Inputs'!$B$29+'Inputs'!$B$31+'Inputs'!$B$32,'Inputs'!$B$30+'Inputs'!$B$31+'Inputs'!$B$32)/1000+'Inputs'!$B$21+'Inputs'!$B$7+'Inputs'!$B$10)+'Inputs'!$B$9)/SQRT((((349-43)*MAX('Inputs'!$B$33,'Inputs'!$B$29+'Inputs'!$B$31+'Inputs'!$B$32,'Inputs'!$B$30+'Inputs'!$B$31+'Inputs'!$B$32)/1000+'Inputs'!$B$21+'Inputs'!$B$7+'Inputs'!$B$10)+'Inputs'!$B$9)^2+('Inputs'!$B$8/2)^2)-(((349-43)*MAX('Inputs'!$B$33,'Inputs'!$B$29+'Inputs'!$B$31+'Inputs'!$B$32,'Inputs'!$B$30+'Inputs'!$B$31+'Inputs'!$B$32)/1000+'Inputs'!$B$21+'Inputs'!$B$7+'Inputs'!$B$10))/SQRT((((349-43)*MAX('Inputs'!$B$33,'Inputs'!$B$29+'Inputs'!$B$31+'Inputs'!$B$32,'Inputs'!$B$30+'Inputs'!$B$31+'Inputs'!$B$32)/1000+'Inputs'!$B$21+'Inputs'!$B$7+'Inputs'!$B$10))^2+('Inputs'!$B$8/2)^2))))*'Results'!$B$8)+'Inputs'!$B$28*ABS((('Results'!B7*(1+'Inputs'!$B$24)*(0.5*((((349-43)*MAX('Inputs'!$B$33,'Inputs'!$B$29+'Inputs'!$B$31+'Inputs'!$B$32,'Inputs'!$B$30+'Inputs'!$B$31+'Inputs'!$B$32)/1000+'Inputs'!$B$21)+'Inputs'!$B$7)/SQRT((((349-43)*MAX('Inputs'!$B$33,'Inputs'!$B$29+'Inputs'!$B$31+'Inputs'!$B$32,'Inputs'!$B$30+'Inputs'!$B$31+'Inputs'!$B$32)/1000+'Inputs'!$B$21)+'Inputs'!$B$7)^2+('Inputs'!$B$6/2)^2)-(((349-43)*MAX('Inputs'!$B$33,'Inputs'!$B$29+'Inputs'!$B$31+'Inputs'!$B$32,'Inputs'!$B$30+'Inputs'!$B$31+'Inputs'!$B$32)/1000+'Inputs'!$B$21))/SQRT((((349-43)*MAX('Inputs'!$B$33,'Inputs'!$B$29+'Inputs'!$B$31+'Inputs'!$B$32,'Inputs'!$B$30+'Inputs'!$B$31+'Inputs'!$B$32)/1000+'Inputs'!$B$21))^2+('Inputs'!$B$6/2)^2)))-'Results'!C7*(1-'Inputs'!$B$24)*(0.5*((((349-43)*MAX('Inputs'!$B$33,'Inputs'!$B$29+'Inputs'!$B$31+'Inputs'!$B$32,'Inputs'!$B$30+'Inputs'!$B$31+'Inputs'!$B$32)/1000+'Inputs'!$B$21+'Inputs'!$B$7+'Inputs'!$B$10)+'Inputs'!$B$9)/SQRT((((349-43)*MAX('Inputs'!$B$33,'Inputs'!$B$29+'Inputs'!$B$31+'Inputs'!$B$32,'Inputs'!$B$30+'Inputs'!$B$31+'Inputs'!$B$32)/1000+'Inputs'!$B$21+'Inputs'!$B$7+'Inputs'!$B$10)+'Inputs'!$B$9)^2+('Inputs'!$B$8/2)^2)-(((349-43)*MAX('Inputs'!$B$33,'Inputs'!$B$29+'Inputs'!$B$31+'Inputs'!$B$32,'Inputs'!$B$30+'Inputs'!$B$31+'Inputs'!$B$32)/1000+'Inputs'!$B$21+'Inputs'!$B$7+'Inputs'!$B$10))/SQRT((((349-43)*MAX('Inputs'!$B$33,'Inputs'!$B$29+'Inputs'!$B$31+'Inputs'!$B$32,'Inputs'!$B$30+'Inputs'!$B$31+'Inputs'!$B$32)/1000+'Inputs'!$B$21+'Inputs'!$B$7+'Inputs'!$B$10))^2+('Inputs'!$B$8/2)^2))))*'Results'!$B$8))),"")</x:f>
        <x:v>23.011345766402986</x:v>
      </x:c>
      <x:c r="M349" t="n">
        <x:f>IF(AND(ISNUMBER('Results'!C7),ISNUMBER('Results'!B7),ISNUMBER('Results'!$B$8),ISNUMBER('Inputs'!$B$6),ISNUMBER('Inputs'!$B$7),ISNUMBER('Inputs'!$B$8),ISNUMBER('Inputs'!$B$9),ISNUMBER('Inputs'!$B$10),ISNUMBER('Inputs'!$B$21),ISNUMBER('Inputs'!$B$24),ISNUMBER('Inputs'!$B$28)),(('Results'!C7*(0.5*((((349-43)*MAX('Inputs'!$B$33,'Inputs'!$B$29+'Inputs'!$B$31+'Inputs'!$B$32,'Inputs'!$B$30+'Inputs'!$B$31+'Inputs'!$B$32)/1000+'Inputs'!$B$21)+'Inputs'!$B$9)/SQRT((((349-43)*MAX('Inputs'!$B$33,'Inputs'!$B$29+'Inputs'!$B$31+'Inputs'!$B$32,'Inputs'!$B$30+'Inputs'!$B$31+'Inputs'!$B$32)/1000+'Inputs'!$B$21)+'Inputs'!$B$9)^2+('Inputs'!$B$8/2)^2)-(((349-43)*MAX('Inputs'!$B$33,'Inputs'!$B$29+'Inputs'!$B$31+'Inputs'!$B$32,'Inputs'!$B$30+'Inputs'!$B$31+'Inputs'!$B$32)/1000+'Inputs'!$B$21))/SQRT((((349-43)*MAX('Inputs'!$B$33,'Inputs'!$B$29+'Inputs'!$B$31+'Inputs'!$B$32,'Inputs'!$B$30+'Inputs'!$B$31+'Inputs'!$B$32)/1000+'Inputs'!$B$21))^2+('Inputs'!$B$8/2)^2)))-'Results'!B7*(0.5*((((349-43)*MAX('Inputs'!$B$33,'Inputs'!$B$29+'Inputs'!$B$31+'Inputs'!$B$32,'Inputs'!$B$30+'Inputs'!$B$31+'Inputs'!$B$32)/1000+'Inputs'!$B$21+'Inputs'!$B$9+'Inputs'!$B$10)+'Inputs'!$B$7)/SQRT((((349-43)*MAX('Inputs'!$B$33,'Inputs'!$B$29+'Inputs'!$B$31+'Inputs'!$B$32,'Inputs'!$B$30+'Inputs'!$B$31+'Inputs'!$B$32)/1000+'Inputs'!$B$21+'Inputs'!$B$9+'Inputs'!$B$10)+'Inputs'!$B$7)^2+('Inputs'!$B$6/2)^2)-(((349-43)*MAX('Inputs'!$B$33,'Inputs'!$B$29+'Inputs'!$B$31+'Inputs'!$B$32,'Inputs'!$B$30+'Inputs'!$B$31+'Inputs'!$B$32)/1000+'Inputs'!$B$21+'Inputs'!$B$9+'Inputs'!$B$10))/SQRT((((349-43)*MAX('Inputs'!$B$33,'Inputs'!$B$29+'Inputs'!$B$31+'Inputs'!$B$32,'Inputs'!$B$30+'Inputs'!$B$31+'Inputs'!$B$32)/1000+'Inputs'!$B$21+'Inputs'!$B$9+'Inputs'!$B$10))^2+('Inputs'!$B$6/2)^2))))*'Results'!$B$8),"")</x:f>
        <x:v>19.905461482603783</x:v>
      </x:c>
      <x:c r="N349" t="n">
        <x:f>IF(AND(ISNUMBER('Results'!C7),ISNUMBER('Results'!B7),ISNUMBER('Results'!$B$8),ISNUMBER('Inputs'!$B$6),ISNUMBER('Inputs'!$B$7),ISNUMBER('Inputs'!$B$8),ISNUMBER('Inputs'!$B$9),ISNUMBER('Inputs'!$B$10),ISNUMBER('Inputs'!$B$21),ISNUMBER('Inputs'!$B$24),ISNUMBER('Inputs'!$B$28)),((('Results'!C7*(1-'Inputs'!$B$24)*(0.5*((((349-43)*MAX('Inputs'!$B$33,'Inputs'!$B$29+'Inputs'!$B$31+'Inputs'!$B$32,'Inputs'!$B$30+'Inputs'!$B$31+'Inputs'!$B$32)/1000+'Inputs'!$B$21)+'Inputs'!$B$9)/SQRT((((349-43)*MAX('Inputs'!$B$33,'Inputs'!$B$29+'Inputs'!$B$31+'Inputs'!$B$32,'Inputs'!$B$30+'Inputs'!$B$31+'Inputs'!$B$32)/1000+'Inputs'!$B$21)+'Inputs'!$B$9)^2+('Inputs'!$B$8/2)^2)-(((349-43)*MAX('Inputs'!$B$33,'Inputs'!$B$29+'Inputs'!$B$31+'Inputs'!$B$32,'Inputs'!$B$30+'Inputs'!$B$31+'Inputs'!$B$32)/1000+'Inputs'!$B$21))/SQRT((((349-43)*MAX('Inputs'!$B$33,'Inputs'!$B$29+'Inputs'!$B$31+'Inputs'!$B$32,'Inputs'!$B$30+'Inputs'!$B$31+'Inputs'!$B$32)/1000+'Inputs'!$B$21))^2+('Inputs'!$B$8/2)^2)))-'Results'!B7*(1+'Inputs'!$B$24)*(0.5*((((349-43)*MAX('Inputs'!$B$33,'Inputs'!$B$29+'Inputs'!$B$31+'Inputs'!$B$32,'Inputs'!$B$30+'Inputs'!$B$31+'Inputs'!$B$32)/1000+'Inputs'!$B$21+'Inputs'!$B$9+'Inputs'!$B$10)+'Inputs'!$B$7)/SQRT((((349-43)*MAX('Inputs'!$B$33,'Inputs'!$B$29+'Inputs'!$B$31+'Inputs'!$B$32,'Inputs'!$B$30+'Inputs'!$B$31+'Inputs'!$B$32)/1000+'Inputs'!$B$21+'Inputs'!$B$9+'Inputs'!$B$10)+'Inputs'!$B$7)^2+('Inputs'!$B$6/2)^2)-(((349-43)*MAX('Inputs'!$B$33,'Inputs'!$B$29+'Inputs'!$B$31+'Inputs'!$B$32,'Inputs'!$B$30+'Inputs'!$B$31+'Inputs'!$B$32)/1000+'Inputs'!$B$21+'Inputs'!$B$9+'Inputs'!$B$10))/SQRT((((349-43)*MAX('Inputs'!$B$33,'Inputs'!$B$29+'Inputs'!$B$31+'Inputs'!$B$32,'Inputs'!$B$30+'Inputs'!$B$31+'Inputs'!$B$32)/1000+'Inputs'!$B$21+'Inputs'!$B$9+'Inputs'!$B$10))^2+('Inputs'!$B$6/2)^2))))*'Results'!$B$8)-'Inputs'!$B$28*ABS((('Results'!C7*(1-'Inputs'!$B$24)*(0.5*((((349-43)*MAX('Inputs'!$B$33,'Inputs'!$B$29+'Inputs'!$B$31+'Inputs'!$B$32,'Inputs'!$B$30+'Inputs'!$B$31+'Inputs'!$B$32)/1000+'Inputs'!$B$21)+'Inputs'!$B$9)/SQRT((((349-43)*MAX('Inputs'!$B$33,'Inputs'!$B$29+'Inputs'!$B$31+'Inputs'!$B$32,'Inputs'!$B$30+'Inputs'!$B$31+'Inputs'!$B$32)/1000+'Inputs'!$B$21)+'Inputs'!$B$9)^2+('Inputs'!$B$8/2)^2)-(((349-43)*MAX('Inputs'!$B$33,'Inputs'!$B$29+'Inputs'!$B$31+'Inputs'!$B$32,'Inputs'!$B$30+'Inputs'!$B$31+'Inputs'!$B$32)/1000+'Inputs'!$B$21))/SQRT((((349-43)*MAX('Inputs'!$B$33,'Inputs'!$B$29+'Inputs'!$B$31+'Inputs'!$B$32,'Inputs'!$B$30+'Inputs'!$B$31+'Inputs'!$B$32)/1000+'Inputs'!$B$21))^2+('Inputs'!$B$8/2)^2)))-'Results'!B7*(1+'Inputs'!$B$24)*(0.5*((((349-43)*MAX('Inputs'!$B$33,'Inputs'!$B$29+'Inputs'!$B$31+'Inputs'!$B$32,'Inputs'!$B$30+'Inputs'!$B$31+'Inputs'!$B$32)/1000+'Inputs'!$B$21+'Inputs'!$B$9+'Inputs'!$B$10)+'Inputs'!$B$7)/SQRT((((349-43)*MAX('Inputs'!$B$33,'Inputs'!$B$29+'Inputs'!$B$31+'Inputs'!$B$32,'Inputs'!$B$30+'Inputs'!$B$31+'Inputs'!$B$32)/1000+'Inputs'!$B$21+'Inputs'!$B$9+'Inputs'!$B$10)+'Inputs'!$B$7)^2+('Inputs'!$B$6/2)^2)-(((349-43)*MAX('Inputs'!$B$33,'Inputs'!$B$29+'Inputs'!$B$31+'Inputs'!$B$32,'Inputs'!$B$30+'Inputs'!$B$31+'Inputs'!$B$32)/1000+'Inputs'!$B$21+'Inputs'!$B$9+'Inputs'!$B$10))/SQRT((((349-43)*MAX('Inputs'!$B$33,'Inputs'!$B$29+'Inputs'!$B$31+'Inputs'!$B$32,'Inputs'!$B$30+'Inputs'!$B$31+'Inputs'!$B$32)/1000+'Inputs'!$B$21+'Inputs'!$B$9+'Inputs'!$B$10))^2+('Inputs'!$B$6/2)^2))))*'Results'!$B$8))),"")</x:f>
        <x:v>17.966051704781037</x:v>
      </x:c>
      <x:c r="O349" t="n">
        <x:f>IF(AND(ISNUMBER('Results'!C7),ISNUMBER('Results'!B7),ISNUMBER('Results'!$B$8),ISNUMBER('Inputs'!$B$6),ISNUMBER('Inputs'!$B$7),ISNUMBER('Inputs'!$B$8),ISNUMBER('Inputs'!$B$9),ISNUMBER('Inputs'!$B$10),ISNUMBER('Inputs'!$B$21),ISNUMBER('Inputs'!$B$24),ISNUMBER('Inputs'!$B$28)),((('Results'!C7*(1+'Inputs'!$B$24)*(0.5*((((349-43)*MAX('Inputs'!$B$33,'Inputs'!$B$29+'Inputs'!$B$31+'Inputs'!$B$32,'Inputs'!$B$30+'Inputs'!$B$31+'Inputs'!$B$32)/1000+'Inputs'!$B$21)+'Inputs'!$B$9)/SQRT((((349-43)*MAX('Inputs'!$B$33,'Inputs'!$B$29+'Inputs'!$B$31+'Inputs'!$B$32,'Inputs'!$B$30+'Inputs'!$B$31+'Inputs'!$B$32)/1000+'Inputs'!$B$21)+'Inputs'!$B$9)^2+('Inputs'!$B$8/2)^2)-(((349-43)*MAX('Inputs'!$B$33,'Inputs'!$B$29+'Inputs'!$B$31+'Inputs'!$B$32,'Inputs'!$B$30+'Inputs'!$B$31+'Inputs'!$B$32)/1000+'Inputs'!$B$21))/SQRT((((349-43)*MAX('Inputs'!$B$33,'Inputs'!$B$29+'Inputs'!$B$31+'Inputs'!$B$32,'Inputs'!$B$30+'Inputs'!$B$31+'Inputs'!$B$32)/1000+'Inputs'!$B$21))^2+('Inputs'!$B$8/2)^2)))-'Results'!B7*(1-'Inputs'!$B$24)*(0.5*((((349-43)*MAX('Inputs'!$B$33,'Inputs'!$B$29+'Inputs'!$B$31+'Inputs'!$B$32,'Inputs'!$B$30+'Inputs'!$B$31+'Inputs'!$B$32)/1000+'Inputs'!$B$21+'Inputs'!$B$9+'Inputs'!$B$10)+'Inputs'!$B$7)/SQRT((((349-43)*MAX('Inputs'!$B$33,'Inputs'!$B$29+'Inputs'!$B$31+'Inputs'!$B$32,'Inputs'!$B$30+'Inputs'!$B$31+'Inputs'!$B$32)/1000+'Inputs'!$B$21+'Inputs'!$B$9+'Inputs'!$B$10)+'Inputs'!$B$7)^2+('Inputs'!$B$6/2)^2)-(((349-43)*MAX('Inputs'!$B$33,'Inputs'!$B$29+'Inputs'!$B$31+'Inputs'!$B$32,'Inputs'!$B$30+'Inputs'!$B$31+'Inputs'!$B$32)/1000+'Inputs'!$B$21+'Inputs'!$B$9+'Inputs'!$B$10))/SQRT((((349-43)*MAX('Inputs'!$B$33,'Inputs'!$B$29+'Inputs'!$B$31+'Inputs'!$B$32,'Inputs'!$B$30+'Inputs'!$B$31+'Inputs'!$B$32)/1000+'Inputs'!$B$21+'Inputs'!$B$9+'Inputs'!$B$10))^2+('Inputs'!$B$6/2)^2))))*'Results'!$B$8)+'Inputs'!$B$28*ABS((('Results'!C7*(1+'Inputs'!$B$24)*(0.5*((((349-43)*MAX('Inputs'!$B$33,'Inputs'!$B$29+'Inputs'!$B$31+'Inputs'!$B$32,'Inputs'!$B$30+'Inputs'!$B$31+'Inputs'!$B$32)/1000+'Inputs'!$B$21)+'Inputs'!$B$9)/SQRT((((349-43)*MAX('Inputs'!$B$33,'Inputs'!$B$29+'Inputs'!$B$31+'Inputs'!$B$32,'Inputs'!$B$30+'Inputs'!$B$31+'Inputs'!$B$32)/1000+'Inputs'!$B$21)+'Inputs'!$B$9)^2+('Inputs'!$B$8/2)^2)-(((349-43)*MAX('Inputs'!$B$33,'Inputs'!$B$29+'Inputs'!$B$31+'Inputs'!$B$32,'Inputs'!$B$30+'Inputs'!$B$31+'Inputs'!$B$32)/1000+'Inputs'!$B$21))/SQRT((((349-43)*MAX('Inputs'!$B$33,'Inputs'!$B$29+'Inputs'!$B$31+'Inputs'!$B$32,'Inputs'!$B$30+'Inputs'!$B$31+'Inputs'!$B$32)/1000+'Inputs'!$B$21))^2+('Inputs'!$B$8/2)^2)))-'Results'!B7*(1-'Inputs'!$B$24)*(0.5*((((349-43)*MAX('Inputs'!$B$33,'Inputs'!$B$29+'Inputs'!$B$31+'Inputs'!$B$32,'Inputs'!$B$30+'Inputs'!$B$31+'Inputs'!$B$32)/1000+'Inputs'!$B$21+'Inputs'!$B$9+'Inputs'!$B$10)+'Inputs'!$B$7)/SQRT((((349-43)*MAX('Inputs'!$B$33,'Inputs'!$B$29+'Inputs'!$B$31+'Inputs'!$B$32,'Inputs'!$B$30+'Inputs'!$B$31+'Inputs'!$B$32)/1000+'Inputs'!$B$21+'Inputs'!$B$9+'Inputs'!$B$10)+'Inputs'!$B$7)^2+('Inputs'!$B$6/2)^2)-(((349-43)*MAX('Inputs'!$B$33,'Inputs'!$B$29+'Inputs'!$B$31+'Inputs'!$B$32,'Inputs'!$B$30+'Inputs'!$B$31+'Inputs'!$B$32)/1000+'Inputs'!$B$21+'Inputs'!$B$9+'Inputs'!$B$10))/SQRT((((349-43)*MAX('Inputs'!$B$33,'Inputs'!$B$29+'Inputs'!$B$31+'Inputs'!$B$32,'Inputs'!$B$30+'Inputs'!$B$31+'Inputs'!$B$32)/1000+'Inputs'!$B$21+'Inputs'!$B$9+'Inputs'!$B$10))^2+('Inputs'!$B$6/2)^2))))*'Results'!$B$8))),"")</x:f>
        <x:v>21.94425407134154</x:v>
      </x:c>
      <x:c r="P349" t="n">
        <x:f>IF(AND(MAX(J349,J348)&gt;0,J349&gt;J348+0.00000001),1,0)</x:f>
        <x:v>0</x:v>
      </x:c>
      <x:c r="Q349" t="n">
        <x:f>IF(AND(MAX(K349,K348)&gt;0,K349&gt;K348+0.00000001),1,0)</x:f>
        <x:v>0</x:v>
      </x:c>
      <x:c r="R349" t="n">
        <x:f>IF(AND(MAX(L349,L348)&gt;0,L349&gt;L348+0.00000001),1,0)</x:f>
        <x:v>0</x:v>
      </x:c>
      <x:c r="S349" t="n">
        <x:f>IF(AND(MAX(M349,M348)&gt;0,M349&gt;M348+0.00000001),1,0)</x:f>
        <x:v>0</x:v>
      </x:c>
      <x:c r="T349" t="n">
        <x:f>IF(AND(MAX(N349,N348)&gt;0,N349&gt;N348+0.00000001),1,0)</x:f>
        <x:v>0</x:v>
      </x:c>
      <x:c r="U349" t="n">
        <x:f>IF(AND(MAX(O349,O348)&gt;0,O349&gt;O348+0.00000001),1,0)</x:f>
        <x:v>0</x:v>
      </x:c>
    </x:row>
    <x:row r="350">
      <x:c r="J350" t="n">
        <x:f>IF(AND(ISNUMBER('Results'!B7),ISNUMBER('Results'!C7),ISNUMBER('Results'!$B$8),ISNUMBER('Inputs'!$B$6),ISNUMBER('Inputs'!$B$7),ISNUMBER('Inputs'!$B$8),ISNUMBER('Inputs'!$B$9),ISNUMBER('Inputs'!$B$10),ISNUMBER('Inputs'!$B$21),ISNUMBER('Inputs'!$B$24),ISNUMBER('Inputs'!$B$28)),(('Results'!B7*(0.5*((((350-43)*MAX('Inputs'!$B$33,'Inputs'!$B$29+'Inputs'!$B$31+'Inputs'!$B$32,'Inputs'!$B$30+'Inputs'!$B$31+'Inputs'!$B$32)/1000+'Inputs'!$B$21)+'Inputs'!$B$7)/SQRT((((350-43)*MAX('Inputs'!$B$33,'Inputs'!$B$29+'Inputs'!$B$31+'Inputs'!$B$32,'Inputs'!$B$30+'Inputs'!$B$31+'Inputs'!$B$32)/1000+'Inputs'!$B$21)+'Inputs'!$B$7)^2+('Inputs'!$B$6/2)^2)-(((350-43)*MAX('Inputs'!$B$33,'Inputs'!$B$29+'Inputs'!$B$31+'Inputs'!$B$32,'Inputs'!$B$30+'Inputs'!$B$31+'Inputs'!$B$32)/1000+'Inputs'!$B$21))/SQRT((((350-43)*MAX('Inputs'!$B$33,'Inputs'!$B$29+'Inputs'!$B$31+'Inputs'!$B$32,'Inputs'!$B$30+'Inputs'!$B$31+'Inputs'!$B$32)/1000+'Inputs'!$B$21))^2+('Inputs'!$B$6/2)^2)))-'Results'!C7*(0.5*((((350-43)*MAX('Inputs'!$B$33,'Inputs'!$B$29+'Inputs'!$B$31+'Inputs'!$B$32,'Inputs'!$B$30+'Inputs'!$B$31+'Inputs'!$B$32)/1000+'Inputs'!$B$21+'Inputs'!$B$7+'Inputs'!$B$10)+'Inputs'!$B$9)/SQRT((((350-43)*MAX('Inputs'!$B$33,'Inputs'!$B$29+'Inputs'!$B$31+'Inputs'!$B$32,'Inputs'!$B$30+'Inputs'!$B$31+'Inputs'!$B$32)/1000+'Inputs'!$B$21+'Inputs'!$B$7+'Inputs'!$B$10)+'Inputs'!$B$9)^2+('Inputs'!$B$8/2)^2)-(((350-43)*MAX('Inputs'!$B$33,'Inputs'!$B$29+'Inputs'!$B$31+'Inputs'!$B$32,'Inputs'!$B$30+'Inputs'!$B$31+'Inputs'!$B$32)/1000+'Inputs'!$B$21+'Inputs'!$B$7+'Inputs'!$B$10))/SQRT((((350-43)*MAX('Inputs'!$B$33,'Inputs'!$B$29+'Inputs'!$B$31+'Inputs'!$B$32,'Inputs'!$B$30+'Inputs'!$B$31+'Inputs'!$B$32)/1000+'Inputs'!$B$21+'Inputs'!$B$7+'Inputs'!$B$10))^2+('Inputs'!$B$8/2)^2))))*'Results'!$B$8),"")</x:f>
        <x:v>20.701489081010358</x:v>
      </x:c>
      <x:c r="K350" t="n">
        <x:f>IF(AND(ISNUMBER('Results'!B7),ISNUMBER('Results'!C7),ISNUMBER('Results'!$B$8),ISNUMBER('Inputs'!$B$6),ISNUMBER('Inputs'!$B$7),ISNUMBER('Inputs'!$B$8),ISNUMBER('Inputs'!$B$9),ISNUMBER('Inputs'!$B$10),ISNUMBER('Inputs'!$B$21),ISNUMBER('Inputs'!$B$24),ISNUMBER('Inputs'!$B$28)),((('Results'!B7*(1-'Inputs'!$B$24)*(0.5*((((350-43)*MAX('Inputs'!$B$33,'Inputs'!$B$29+'Inputs'!$B$31+'Inputs'!$B$32,'Inputs'!$B$30+'Inputs'!$B$31+'Inputs'!$B$32)/1000+'Inputs'!$B$21)+'Inputs'!$B$7)/SQRT((((350-43)*MAX('Inputs'!$B$33,'Inputs'!$B$29+'Inputs'!$B$31+'Inputs'!$B$32,'Inputs'!$B$30+'Inputs'!$B$31+'Inputs'!$B$32)/1000+'Inputs'!$B$21)+'Inputs'!$B$7)^2+('Inputs'!$B$6/2)^2)-(((350-43)*MAX('Inputs'!$B$33,'Inputs'!$B$29+'Inputs'!$B$31+'Inputs'!$B$32,'Inputs'!$B$30+'Inputs'!$B$31+'Inputs'!$B$32)/1000+'Inputs'!$B$21))/SQRT((((350-43)*MAX('Inputs'!$B$33,'Inputs'!$B$29+'Inputs'!$B$31+'Inputs'!$B$32,'Inputs'!$B$30+'Inputs'!$B$31+'Inputs'!$B$32)/1000+'Inputs'!$B$21))^2+('Inputs'!$B$6/2)^2)))-'Results'!C7*(1+'Inputs'!$B$24)*(0.5*((((350-43)*MAX('Inputs'!$B$33,'Inputs'!$B$29+'Inputs'!$B$31+'Inputs'!$B$32,'Inputs'!$B$30+'Inputs'!$B$31+'Inputs'!$B$32)/1000+'Inputs'!$B$21+'Inputs'!$B$7+'Inputs'!$B$10)+'Inputs'!$B$9)/SQRT((((350-43)*MAX('Inputs'!$B$33,'Inputs'!$B$29+'Inputs'!$B$31+'Inputs'!$B$32,'Inputs'!$B$30+'Inputs'!$B$31+'Inputs'!$B$32)/1000+'Inputs'!$B$21+'Inputs'!$B$7+'Inputs'!$B$10)+'Inputs'!$B$9)^2+('Inputs'!$B$8/2)^2)-(((350-43)*MAX('Inputs'!$B$33,'Inputs'!$B$29+'Inputs'!$B$31+'Inputs'!$B$32,'Inputs'!$B$30+'Inputs'!$B$31+'Inputs'!$B$32)/1000+'Inputs'!$B$21+'Inputs'!$B$7+'Inputs'!$B$10))/SQRT((((350-43)*MAX('Inputs'!$B$33,'Inputs'!$B$29+'Inputs'!$B$31+'Inputs'!$B$32,'Inputs'!$B$30+'Inputs'!$B$31+'Inputs'!$B$32)/1000+'Inputs'!$B$21+'Inputs'!$B$7+'Inputs'!$B$10))^2+('Inputs'!$B$8/2)^2))))*'Results'!$B$8)-'Inputs'!$B$28*ABS((('Results'!B7*(1-'Inputs'!$B$24)*(0.5*((((350-43)*MAX('Inputs'!$B$33,'Inputs'!$B$29+'Inputs'!$B$31+'Inputs'!$B$32,'Inputs'!$B$30+'Inputs'!$B$31+'Inputs'!$B$32)/1000+'Inputs'!$B$21)+'Inputs'!$B$7)/SQRT((((350-43)*MAX('Inputs'!$B$33,'Inputs'!$B$29+'Inputs'!$B$31+'Inputs'!$B$32,'Inputs'!$B$30+'Inputs'!$B$31+'Inputs'!$B$32)/1000+'Inputs'!$B$21)+'Inputs'!$B$7)^2+('Inputs'!$B$6/2)^2)-(((350-43)*MAX('Inputs'!$B$33,'Inputs'!$B$29+'Inputs'!$B$31+'Inputs'!$B$32,'Inputs'!$B$30+'Inputs'!$B$31+'Inputs'!$B$32)/1000+'Inputs'!$B$21))/SQRT((((350-43)*MAX('Inputs'!$B$33,'Inputs'!$B$29+'Inputs'!$B$31+'Inputs'!$B$32,'Inputs'!$B$30+'Inputs'!$B$31+'Inputs'!$B$32)/1000+'Inputs'!$B$21))^2+('Inputs'!$B$6/2)^2)))-'Results'!C7*(1+'Inputs'!$B$24)*(0.5*((((350-43)*MAX('Inputs'!$B$33,'Inputs'!$B$29+'Inputs'!$B$31+'Inputs'!$B$32,'Inputs'!$B$30+'Inputs'!$B$31+'Inputs'!$B$32)/1000+'Inputs'!$B$21+'Inputs'!$B$7+'Inputs'!$B$10)+'Inputs'!$B$9)/SQRT((((350-43)*MAX('Inputs'!$B$33,'Inputs'!$B$29+'Inputs'!$B$31+'Inputs'!$B$32,'Inputs'!$B$30+'Inputs'!$B$31+'Inputs'!$B$32)/1000+'Inputs'!$B$21+'Inputs'!$B$7+'Inputs'!$B$10)+'Inputs'!$B$9)^2+('Inputs'!$B$8/2)^2)-(((350-43)*MAX('Inputs'!$B$33,'Inputs'!$B$29+'Inputs'!$B$31+'Inputs'!$B$32,'Inputs'!$B$30+'Inputs'!$B$31+'Inputs'!$B$32)/1000+'Inputs'!$B$21+'Inputs'!$B$7+'Inputs'!$B$10))/SQRT((((350-43)*MAX('Inputs'!$B$33,'Inputs'!$B$29+'Inputs'!$B$31+'Inputs'!$B$32,'Inputs'!$B$30+'Inputs'!$B$31+'Inputs'!$B$32)/1000+'Inputs'!$B$21+'Inputs'!$B$7+'Inputs'!$B$10))^2+('Inputs'!$B$8/2)^2))))*'Results'!$B$8))),"")</x:f>
        <x:v>18.722123060574344</x:v>
      </x:c>
      <x:c r="L350" t="n">
        <x:f>IF(AND(ISNUMBER('Results'!B7),ISNUMBER('Results'!C7),ISNUMBER('Results'!$B$8),ISNUMBER('Inputs'!$B$6),ISNUMBER('Inputs'!$B$7),ISNUMBER('Inputs'!$B$8),ISNUMBER('Inputs'!$B$9),ISNUMBER('Inputs'!$B$10),ISNUMBER('Inputs'!$B$21),ISNUMBER('Inputs'!$B$24),ISNUMBER('Inputs'!$B$28)),((('Results'!B7*(1+'Inputs'!$B$24)*(0.5*((((350-43)*MAX('Inputs'!$B$33,'Inputs'!$B$29+'Inputs'!$B$31+'Inputs'!$B$32,'Inputs'!$B$30+'Inputs'!$B$31+'Inputs'!$B$32)/1000+'Inputs'!$B$21)+'Inputs'!$B$7)/SQRT((((350-43)*MAX('Inputs'!$B$33,'Inputs'!$B$29+'Inputs'!$B$31+'Inputs'!$B$32,'Inputs'!$B$30+'Inputs'!$B$31+'Inputs'!$B$32)/1000+'Inputs'!$B$21)+'Inputs'!$B$7)^2+('Inputs'!$B$6/2)^2)-(((350-43)*MAX('Inputs'!$B$33,'Inputs'!$B$29+'Inputs'!$B$31+'Inputs'!$B$32,'Inputs'!$B$30+'Inputs'!$B$31+'Inputs'!$B$32)/1000+'Inputs'!$B$21))/SQRT((((350-43)*MAX('Inputs'!$B$33,'Inputs'!$B$29+'Inputs'!$B$31+'Inputs'!$B$32,'Inputs'!$B$30+'Inputs'!$B$31+'Inputs'!$B$32)/1000+'Inputs'!$B$21))^2+('Inputs'!$B$6/2)^2)))-'Results'!C7*(1-'Inputs'!$B$24)*(0.5*((((350-43)*MAX('Inputs'!$B$33,'Inputs'!$B$29+'Inputs'!$B$31+'Inputs'!$B$32,'Inputs'!$B$30+'Inputs'!$B$31+'Inputs'!$B$32)/1000+'Inputs'!$B$21+'Inputs'!$B$7+'Inputs'!$B$10)+'Inputs'!$B$9)/SQRT((((350-43)*MAX('Inputs'!$B$33,'Inputs'!$B$29+'Inputs'!$B$31+'Inputs'!$B$32,'Inputs'!$B$30+'Inputs'!$B$31+'Inputs'!$B$32)/1000+'Inputs'!$B$21+'Inputs'!$B$7+'Inputs'!$B$10)+'Inputs'!$B$9)^2+('Inputs'!$B$8/2)^2)-(((350-43)*MAX('Inputs'!$B$33,'Inputs'!$B$29+'Inputs'!$B$31+'Inputs'!$B$32,'Inputs'!$B$30+'Inputs'!$B$31+'Inputs'!$B$32)/1000+'Inputs'!$B$21+'Inputs'!$B$7+'Inputs'!$B$10))/SQRT((((350-43)*MAX('Inputs'!$B$33,'Inputs'!$B$29+'Inputs'!$B$31+'Inputs'!$B$32,'Inputs'!$B$30+'Inputs'!$B$31+'Inputs'!$B$32)/1000+'Inputs'!$B$21+'Inputs'!$B$7+'Inputs'!$B$10))^2+('Inputs'!$B$8/2)^2))))*'Results'!$B$8)+'Inputs'!$B$28*ABS((('Results'!B7*(1+'Inputs'!$B$24)*(0.5*((((350-43)*MAX('Inputs'!$B$33,'Inputs'!$B$29+'Inputs'!$B$31+'Inputs'!$B$32,'Inputs'!$B$30+'Inputs'!$B$31+'Inputs'!$B$32)/1000+'Inputs'!$B$21)+'Inputs'!$B$7)/SQRT((((350-43)*MAX('Inputs'!$B$33,'Inputs'!$B$29+'Inputs'!$B$31+'Inputs'!$B$32,'Inputs'!$B$30+'Inputs'!$B$31+'Inputs'!$B$32)/1000+'Inputs'!$B$21)+'Inputs'!$B$7)^2+('Inputs'!$B$6/2)^2)-(((350-43)*MAX('Inputs'!$B$33,'Inputs'!$B$29+'Inputs'!$B$31+'Inputs'!$B$32,'Inputs'!$B$30+'Inputs'!$B$31+'Inputs'!$B$32)/1000+'Inputs'!$B$21))/SQRT((((350-43)*MAX('Inputs'!$B$33,'Inputs'!$B$29+'Inputs'!$B$31+'Inputs'!$B$32,'Inputs'!$B$30+'Inputs'!$B$31+'Inputs'!$B$32)/1000+'Inputs'!$B$21))^2+('Inputs'!$B$6/2)^2)))-'Results'!C7*(1-'Inputs'!$B$24)*(0.5*((((350-43)*MAX('Inputs'!$B$33,'Inputs'!$B$29+'Inputs'!$B$31+'Inputs'!$B$32,'Inputs'!$B$30+'Inputs'!$B$31+'Inputs'!$B$32)/1000+'Inputs'!$B$21+'Inputs'!$B$7+'Inputs'!$B$10)+'Inputs'!$B$9)/SQRT((((350-43)*MAX('Inputs'!$B$33,'Inputs'!$B$29+'Inputs'!$B$31+'Inputs'!$B$32,'Inputs'!$B$30+'Inputs'!$B$31+'Inputs'!$B$32)/1000+'Inputs'!$B$21+'Inputs'!$B$7+'Inputs'!$B$10)+'Inputs'!$B$9)^2+('Inputs'!$B$8/2)^2)-(((350-43)*MAX('Inputs'!$B$33,'Inputs'!$B$29+'Inputs'!$B$31+'Inputs'!$B$32,'Inputs'!$B$30+'Inputs'!$B$31+'Inputs'!$B$32)/1000+'Inputs'!$B$21+'Inputs'!$B$7+'Inputs'!$B$10))/SQRT((((350-43)*MAX('Inputs'!$B$33,'Inputs'!$B$29+'Inputs'!$B$31+'Inputs'!$B$32,'Inputs'!$B$30+'Inputs'!$B$31+'Inputs'!$B$32)/1000+'Inputs'!$B$21+'Inputs'!$B$7+'Inputs'!$B$10))^2+('Inputs'!$B$8/2)^2))))*'Results'!$B$8))),"")</x:f>
        <x:v>22.78025421369747</x:v>
      </x:c>
      <x:c r="M350" t="n">
        <x:f>IF(AND(ISNUMBER('Results'!C7),ISNUMBER('Results'!B7),ISNUMBER('Results'!$B$8),ISNUMBER('Inputs'!$B$6),ISNUMBER('Inputs'!$B$7),ISNUMBER('Inputs'!$B$8),ISNUMBER('Inputs'!$B$9),ISNUMBER('Inputs'!$B$10),ISNUMBER('Inputs'!$B$21),ISNUMBER('Inputs'!$B$24),ISNUMBER('Inputs'!$B$28)),(('Results'!C7*(0.5*((((350-43)*MAX('Inputs'!$B$33,'Inputs'!$B$29+'Inputs'!$B$31+'Inputs'!$B$32,'Inputs'!$B$30+'Inputs'!$B$31+'Inputs'!$B$32)/1000+'Inputs'!$B$21)+'Inputs'!$B$9)/SQRT((((350-43)*MAX('Inputs'!$B$33,'Inputs'!$B$29+'Inputs'!$B$31+'Inputs'!$B$32,'Inputs'!$B$30+'Inputs'!$B$31+'Inputs'!$B$32)/1000+'Inputs'!$B$21)+'Inputs'!$B$9)^2+('Inputs'!$B$8/2)^2)-(((350-43)*MAX('Inputs'!$B$33,'Inputs'!$B$29+'Inputs'!$B$31+'Inputs'!$B$32,'Inputs'!$B$30+'Inputs'!$B$31+'Inputs'!$B$32)/1000+'Inputs'!$B$21))/SQRT((((350-43)*MAX('Inputs'!$B$33,'Inputs'!$B$29+'Inputs'!$B$31+'Inputs'!$B$32,'Inputs'!$B$30+'Inputs'!$B$31+'Inputs'!$B$32)/1000+'Inputs'!$B$21))^2+('Inputs'!$B$8/2)^2)))-'Results'!B7*(0.5*((((350-43)*MAX('Inputs'!$B$33,'Inputs'!$B$29+'Inputs'!$B$31+'Inputs'!$B$32,'Inputs'!$B$30+'Inputs'!$B$31+'Inputs'!$B$32)/1000+'Inputs'!$B$21+'Inputs'!$B$9+'Inputs'!$B$10)+'Inputs'!$B$7)/SQRT((((350-43)*MAX('Inputs'!$B$33,'Inputs'!$B$29+'Inputs'!$B$31+'Inputs'!$B$32,'Inputs'!$B$30+'Inputs'!$B$31+'Inputs'!$B$32)/1000+'Inputs'!$B$21+'Inputs'!$B$9+'Inputs'!$B$10)+'Inputs'!$B$7)^2+('Inputs'!$B$6/2)^2)-(((350-43)*MAX('Inputs'!$B$33,'Inputs'!$B$29+'Inputs'!$B$31+'Inputs'!$B$32,'Inputs'!$B$30+'Inputs'!$B$31+'Inputs'!$B$32)/1000+'Inputs'!$B$21+'Inputs'!$B$9+'Inputs'!$B$10))/SQRT((((350-43)*MAX('Inputs'!$B$33,'Inputs'!$B$29+'Inputs'!$B$31+'Inputs'!$B$32,'Inputs'!$B$30+'Inputs'!$B$31+'Inputs'!$B$32)/1000+'Inputs'!$B$21+'Inputs'!$B$9+'Inputs'!$B$10))^2+('Inputs'!$B$6/2)^2))))*'Results'!$B$8),"")</x:f>
        <x:v>19.701579985633078</x:v>
      </x:c>
      <x:c r="N350" t="n">
        <x:f>IF(AND(ISNUMBER('Results'!C7),ISNUMBER('Results'!B7),ISNUMBER('Results'!$B$8),ISNUMBER('Inputs'!$B$6),ISNUMBER('Inputs'!$B$7),ISNUMBER('Inputs'!$B$8),ISNUMBER('Inputs'!$B$9),ISNUMBER('Inputs'!$B$10),ISNUMBER('Inputs'!$B$21),ISNUMBER('Inputs'!$B$24),ISNUMBER('Inputs'!$B$28)),((('Results'!C7*(1-'Inputs'!$B$24)*(0.5*((((350-43)*MAX('Inputs'!$B$33,'Inputs'!$B$29+'Inputs'!$B$31+'Inputs'!$B$32,'Inputs'!$B$30+'Inputs'!$B$31+'Inputs'!$B$32)/1000+'Inputs'!$B$21)+'Inputs'!$B$9)/SQRT((((350-43)*MAX('Inputs'!$B$33,'Inputs'!$B$29+'Inputs'!$B$31+'Inputs'!$B$32,'Inputs'!$B$30+'Inputs'!$B$31+'Inputs'!$B$32)/1000+'Inputs'!$B$21)+'Inputs'!$B$9)^2+('Inputs'!$B$8/2)^2)-(((350-43)*MAX('Inputs'!$B$33,'Inputs'!$B$29+'Inputs'!$B$31+'Inputs'!$B$32,'Inputs'!$B$30+'Inputs'!$B$31+'Inputs'!$B$32)/1000+'Inputs'!$B$21))/SQRT((((350-43)*MAX('Inputs'!$B$33,'Inputs'!$B$29+'Inputs'!$B$31+'Inputs'!$B$32,'Inputs'!$B$30+'Inputs'!$B$31+'Inputs'!$B$32)/1000+'Inputs'!$B$21))^2+('Inputs'!$B$8/2)^2)))-'Results'!B7*(1+'Inputs'!$B$24)*(0.5*((((350-43)*MAX('Inputs'!$B$33,'Inputs'!$B$29+'Inputs'!$B$31+'Inputs'!$B$32,'Inputs'!$B$30+'Inputs'!$B$31+'Inputs'!$B$32)/1000+'Inputs'!$B$21+'Inputs'!$B$9+'Inputs'!$B$10)+'Inputs'!$B$7)/SQRT((((350-43)*MAX('Inputs'!$B$33,'Inputs'!$B$29+'Inputs'!$B$31+'Inputs'!$B$32,'Inputs'!$B$30+'Inputs'!$B$31+'Inputs'!$B$32)/1000+'Inputs'!$B$21+'Inputs'!$B$9+'Inputs'!$B$10)+'Inputs'!$B$7)^2+('Inputs'!$B$6/2)^2)-(((350-43)*MAX('Inputs'!$B$33,'Inputs'!$B$29+'Inputs'!$B$31+'Inputs'!$B$32,'Inputs'!$B$30+'Inputs'!$B$31+'Inputs'!$B$32)/1000+'Inputs'!$B$21+'Inputs'!$B$9+'Inputs'!$B$10))/SQRT((((350-43)*MAX('Inputs'!$B$33,'Inputs'!$B$29+'Inputs'!$B$31+'Inputs'!$B$32,'Inputs'!$B$30+'Inputs'!$B$31+'Inputs'!$B$32)/1000+'Inputs'!$B$21+'Inputs'!$B$9+'Inputs'!$B$10))^2+('Inputs'!$B$6/2)^2))))*'Results'!$B$8)-'Inputs'!$B$28*ABS((('Results'!C7*(1-'Inputs'!$B$24)*(0.5*((((350-43)*MAX('Inputs'!$B$33,'Inputs'!$B$29+'Inputs'!$B$31+'Inputs'!$B$32,'Inputs'!$B$30+'Inputs'!$B$31+'Inputs'!$B$32)/1000+'Inputs'!$B$21)+'Inputs'!$B$9)/SQRT((((350-43)*MAX('Inputs'!$B$33,'Inputs'!$B$29+'Inputs'!$B$31+'Inputs'!$B$32,'Inputs'!$B$30+'Inputs'!$B$31+'Inputs'!$B$32)/1000+'Inputs'!$B$21)+'Inputs'!$B$9)^2+('Inputs'!$B$8/2)^2)-(((350-43)*MAX('Inputs'!$B$33,'Inputs'!$B$29+'Inputs'!$B$31+'Inputs'!$B$32,'Inputs'!$B$30+'Inputs'!$B$31+'Inputs'!$B$32)/1000+'Inputs'!$B$21))/SQRT((((350-43)*MAX('Inputs'!$B$33,'Inputs'!$B$29+'Inputs'!$B$31+'Inputs'!$B$32,'Inputs'!$B$30+'Inputs'!$B$31+'Inputs'!$B$32)/1000+'Inputs'!$B$21))^2+('Inputs'!$B$8/2)^2)))-'Results'!B7*(1+'Inputs'!$B$24)*(0.5*((((350-43)*MAX('Inputs'!$B$33,'Inputs'!$B$29+'Inputs'!$B$31+'Inputs'!$B$32,'Inputs'!$B$30+'Inputs'!$B$31+'Inputs'!$B$32)/1000+'Inputs'!$B$21+'Inputs'!$B$9+'Inputs'!$B$10)+'Inputs'!$B$7)/SQRT((((350-43)*MAX('Inputs'!$B$33,'Inputs'!$B$29+'Inputs'!$B$31+'Inputs'!$B$32,'Inputs'!$B$30+'Inputs'!$B$31+'Inputs'!$B$32)/1000+'Inputs'!$B$21+'Inputs'!$B$9+'Inputs'!$B$10)+'Inputs'!$B$7)^2+('Inputs'!$B$6/2)^2)-(((350-43)*MAX('Inputs'!$B$33,'Inputs'!$B$29+'Inputs'!$B$31+'Inputs'!$B$32,'Inputs'!$B$30+'Inputs'!$B$31+'Inputs'!$B$32)/1000+'Inputs'!$B$21+'Inputs'!$B$9+'Inputs'!$B$10))/SQRT((((350-43)*MAX('Inputs'!$B$33,'Inputs'!$B$29+'Inputs'!$B$31+'Inputs'!$B$32,'Inputs'!$B$30+'Inputs'!$B$31+'Inputs'!$B$32)/1000+'Inputs'!$B$21+'Inputs'!$B$9+'Inputs'!$B$10))^2+('Inputs'!$B$6/2)^2))))*'Results'!$B$8))),"")</x:f>
        <x:v>17.779963544332254</x:v>
      </x:c>
      <x:c r="O350" t="n">
        <x:f>IF(AND(ISNUMBER('Results'!C7),ISNUMBER('Results'!B7),ISNUMBER('Results'!$B$8),ISNUMBER('Inputs'!$B$6),ISNUMBER('Inputs'!$B$7),ISNUMBER('Inputs'!$B$8),ISNUMBER('Inputs'!$B$9),ISNUMBER('Inputs'!$B$10),ISNUMBER('Inputs'!$B$21),ISNUMBER('Inputs'!$B$24),ISNUMBER('Inputs'!$B$28)),((('Results'!C7*(1+'Inputs'!$B$24)*(0.5*((((350-43)*MAX('Inputs'!$B$33,'Inputs'!$B$29+'Inputs'!$B$31+'Inputs'!$B$32,'Inputs'!$B$30+'Inputs'!$B$31+'Inputs'!$B$32)/1000+'Inputs'!$B$21)+'Inputs'!$B$9)/SQRT((((350-43)*MAX('Inputs'!$B$33,'Inputs'!$B$29+'Inputs'!$B$31+'Inputs'!$B$32,'Inputs'!$B$30+'Inputs'!$B$31+'Inputs'!$B$32)/1000+'Inputs'!$B$21)+'Inputs'!$B$9)^2+('Inputs'!$B$8/2)^2)-(((350-43)*MAX('Inputs'!$B$33,'Inputs'!$B$29+'Inputs'!$B$31+'Inputs'!$B$32,'Inputs'!$B$30+'Inputs'!$B$31+'Inputs'!$B$32)/1000+'Inputs'!$B$21))/SQRT((((350-43)*MAX('Inputs'!$B$33,'Inputs'!$B$29+'Inputs'!$B$31+'Inputs'!$B$32,'Inputs'!$B$30+'Inputs'!$B$31+'Inputs'!$B$32)/1000+'Inputs'!$B$21))^2+('Inputs'!$B$8/2)^2)))-'Results'!B7*(1-'Inputs'!$B$24)*(0.5*((((350-43)*MAX('Inputs'!$B$33,'Inputs'!$B$29+'Inputs'!$B$31+'Inputs'!$B$32,'Inputs'!$B$30+'Inputs'!$B$31+'Inputs'!$B$32)/1000+'Inputs'!$B$21+'Inputs'!$B$9+'Inputs'!$B$10)+'Inputs'!$B$7)/SQRT((((350-43)*MAX('Inputs'!$B$33,'Inputs'!$B$29+'Inputs'!$B$31+'Inputs'!$B$32,'Inputs'!$B$30+'Inputs'!$B$31+'Inputs'!$B$32)/1000+'Inputs'!$B$21+'Inputs'!$B$9+'Inputs'!$B$10)+'Inputs'!$B$7)^2+('Inputs'!$B$6/2)^2)-(((350-43)*MAX('Inputs'!$B$33,'Inputs'!$B$29+'Inputs'!$B$31+'Inputs'!$B$32,'Inputs'!$B$30+'Inputs'!$B$31+'Inputs'!$B$32)/1000+'Inputs'!$B$21+'Inputs'!$B$9+'Inputs'!$B$10))/SQRT((((350-43)*MAX('Inputs'!$B$33,'Inputs'!$B$29+'Inputs'!$B$31+'Inputs'!$B$32,'Inputs'!$B$30+'Inputs'!$B$31+'Inputs'!$B$32)/1000+'Inputs'!$B$21+'Inputs'!$B$9+'Inputs'!$B$10))^2+('Inputs'!$B$6/2)^2))))*'Results'!$B$8)+'Inputs'!$B$28*ABS((('Results'!C7*(1+'Inputs'!$B$24)*(0.5*((((350-43)*MAX('Inputs'!$B$33,'Inputs'!$B$29+'Inputs'!$B$31+'Inputs'!$B$32,'Inputs'!$B$30+'Inputs'!$B$31+'Inputs'!$B$32)/1000+'Inputs'!$B$21)+'Inputs'!$B$9)/SQRT((((350-43)*MAX('Inputs'!$B$33,'Inputs'!$B$29+'Inputs'!$B$31+'Inputs'!$B$32,'Inputs'!$B$30+'Inputs'!$B$31+'Inputs'!$B$32)/1000+'Inputs'!$B$21)+'Inputs'!$B$9)^2+('Inputs'!$B$8/2)^2)-(((350-43)*MAX('Inputs'!$B$33,'Inputs'!$B$29+'Inputs'!$B$31+'Inputs'!$B$32,'Inputs'!$B$30+'Inputs'!$B$31+'Inputs'!$B$32)/1000+'Inputs'!$B$21))/SQRT((((350-43)*MAX('Inputs'!$B$33,'Inputs'!$B$29+'Inputs'!$B$31+'Inputs'!$B$32,'Inputs'!$B$30+'Inputs'!$B$31+'Inputs'!$B$32)/1000+'Inputs'!$B$21))^2+('Inputs'!$B$8/2)^2)))-'Results'!B7*(1-'Inputs'!$B$24)*(0.5*((((350-43)*MAX('Inputs'!$B$33,'Inputs'!$B$29+'Inputs'!$B$31+'Inputs'!$B$32,'Inputs'!$B$30+'Inputs'!$B$31+'Inputs'!$B$32)/1000+'Inputs'!$B$21+'Inputs'!$B$9+'Inputs'!$B$10)+'Inputs'!$B$7)/SQRT((((350-43)*MAX('Inputs'!$B$33,'Inputs'!$B$29+'Inputs'!$B$31+'Inputs'!$B$32,'Inputs'!$B$30+'Inputs'!$B$31+'Inputs'!$B$32)/1000+'Inputs'!$B$21+'Inputs'!$B$9+'Inputs'!$B$10)+'Inputs'!$B$7)^2+('Inputs'!$B$6/2)^2)-(((350-43)*MAX('Inputs'!$B$33,'Inputs'!$B$29+'Inputs'!$B$31+'Inputs'!$B$32,'Inputs'!$B$30+'Inputs'!$B$31+'Inputs'!$B$32)/1000+'Inputs'!$B$21+'Inputs'!$B$9+'Inputs'!$B$10))/SQRT((((350-43)*MAX('Inputs'!$B$33,'Inputs'!$B$29+'Inputs'!$B$31+'Inputs'!$B$32,'Inputs'!$B$30+'Inputs'!$B$31+'Inputs'!$B$32)/1000+'Inputs'!$B$21+'Inputs'!$B$9+'Inputs'!$B$10))^2+('Inputs'!$B$6/2)^2))))*'Results'!$B$8))),"")</x:f>
        <x:v>21.7217793155675</x:v>
      </x:c>
      <x:c r="P350" t="n">
        <x:f>IF(AND(MAX(J350,J349)&gt;0,J350&gt;J349+0.00000001),1,0)</x:f>
        <x:v>0</x:v>
      </x:c>
      <x:c r="Q350" t="n">
        <x:f>IF(AND(MAX(K350,K349)&gt;0,K350&gt;K349+0.00000001),1,0)</x:f>
        <x:v>0</x:v>
      </x:c>
      <x:c r="R350" t="n">
        <x:f>IF(AND(MAX(L350,L349)&gt;0,L350&gt;L349+0.00000001),1,0)</x:f>
        <x:v>0</x:v>
      </x:c>
      <x:c r="S350" t="n">
        <x:f>IF(AND(MAX(M350,M349)&gt;0,M350&gt;M349+0.00000001),1,0)</x:f>
        <x:v>0</x:v>
      </x:c>
      <x:c r="T350" t="n">
        <x:f>IF(AND(MAX(N350,N349)&gt;0,N350&gt;N349+0.00000001),1,0)</x:f>
        <x:v>0</x:v>
      </x:c>
      <x:c r="U350" t="n">
        <x:f>IF(AND(MAX(O350,O349)&gt;0,O350&gt;O349+0.00000001),1,0)</x:f>
        <x:v>0</x:v>
      </x:c>
    </x:row>
    <x:row r="351">
      <x:c r="J351" t="n">
        <x:f>IF(AND(ISNUMBER('Results'!B7),ISNUMBER('Results'!C7),ISNUMBER('Results'!$B$8),ISNUMBER('Inputs'!$B$6),ISNUMBER('Inputs'!$B$7),ISNUMBER('Inputs'!$B$8),ISNUMBER('Inputs'!$B$9),ISNUMBER('Inputs'!$B$10),ISNUMBER('Inputs'!$B$21),ISNUMBER('Inputs'!$B$24),ISNUMBER('Inputs'!$B$28)),(('Results'!B7*(0.5*((((351-43)*MAX('Inputs'!$B$33,'Inputs'!$B$29+'Inputs'!$B$31+'Inputs'!$B$32,'Inputs'!$B$30+'Inputs'!$B$31+'Inputs'!$B$32)/1000+'Inputs'!$B$21)+'Inputs'!$B$7)/SQRT((((351-43)*MAX('Inputs'!$B$33,'Inputs'!$B$29+'Inputs'!$B$31+'Inputs'!$B$32,'Inputs'!$B$30+'Inputs'!$B$31+'Inputs'!$B$32)/1000+'Inputs'!$B$21)+'Inputs'!$B$7)^2+('Inputs'!$B$6/2)^2)-(((351-43)*MAX('Inputs'!$B$33,'Inputs'!$B$29+'Inputs'!$B$31+'Inputs'!$B$32,'Inputs'!$B$30+'Inputs'!$B$31+'Inputs'!$B$32)/1000+'Inputs'!$B$21))/SQRT((((351-43)*MAX('Inputs'!$B$33,'Inputs'!$B$29+'Inputs'!$B$31+'Inputs'!$B$32,'Inputs'!$B$30+'Inputs'!$B$31+'Inputs'!$B$32)/1000+'Inputs'!$B$21))^2+('Inputs'!$B$6/2)^2)))-'Results'!C7*(0.5*((((351-43)*MAX('Inputs'!$B$33,'Inputs'!$B$29+'Inputs'!$B$31+'Inputs'!$B$32,'Inputs'!$B$30+'Inputs'!$B$31+'Inputs'!$B$32)/1000+'Inputs'!$B$21+'Inputs'!$B$7+'Inputs'!$B$10)+'Inputs'!$B$9)/SQRT((((351-43)*MAX('Inputs'!$B$33,'Inputs'!$B$29+'Inputs'!$B$31+'Inputs'!$B$32,'Inputs'!$B$30+'Inputs'!$B$31+'Inputs'!$B$32)/1000+'Inputs'!$B$21+'Inputs'!$B$7+'Inputs'!$B$10)+'Inputs'!$B$9)^2+('Inputs'!$B$8/2)^2)-(((351-43)*MAX('Inputs'!$B$33,'Inputs'!$B$29+'Inputs'!$B$31+'Inputs'!$B$32,'Inputs'!$B$30+'Inputs'!$B$31+'Inputs'!$B$32)/1000+'Inputs'!$B$21+'Inputs'!$B$7+'Inputs'!$B$10))/SQRT((((351-43)*MAX('Inputs'!$B$33,'Inputs'!$B$29+'Inputs'!$B$31+'Inputs'!$B$32,'Inputs'!$B$30+'Inputs'!$B$31+'Inputs'!$B$32)/1000+'Inputs'!$B$21+'Inputs'!$B$7+'Inputs'!$B$10))^2+('Inputs'!$B$8/2)^2))))*'Results'!$B$8),"")</x:f>
        <x:v>20.492154469906442</x:v>
      </x:c>
      <x:c r="K351" t="n">
        <x:f>IF(AND(ISNUMBER('Results'!B7),ISNUMBER('Results'!C7),ISNUMBER('Results'!$B$8),ISNUMBER('Inputs'!$B$6),ISNUMBER('Inputs'!$B$7),ISNUMBER('Inputs'!$B$8),ISNUMBER('Inputs'!$B$9),ISNUMBER('Inputs'!$B$10),ISNUMBER('Inputs'!$B$21),ISNUMBER('Inputs'!$B$24),ISNUMBER('Inputs'!$B$28)),((('Results'!B7*(1-'Inputs'!$B$24)*(0.5*((((351-43)*MAX('Inputs'!$B$33,'Inputs'!$B$29+'Inputs'!$B$31+'Inputs'!$B$32,'Inputs'!$B$30+'Inputs'!$B$31+'Inputs'!$B$32)/1000+'Inputs'!$B$21)+'Inputs'!$B$7)/SQRT((((351-43)*MAX('Inputs'!$B$33,'Inputs'!$B$29+'Inputs'!$B$31+'Inputs'!$B$32,'Inputs'!$B$30+'Inputs'!$B$31+'Inputs'!$B$32)/1000+'Inputs'!$B$21)+'Inputs'!$B$7)^2+('Inputs'!$B$6/2)^2)-(((351-43)*MAX('Inputs'!$B$33,'Inputs'!$B$29+'Inputs'!$B$31+'Inputs'!$B$32,'Inputs'!$B$30+'Inputs'!$B$31+'Inputs'!$B$32)/1000+'Inputs'!$B$21))/SQRT((((351-43)*MAX('Inputs'!$B$33,'Inputs'!$B$29+'Inputs'!$B$31+'Inputs'!$B$32,'Inputs'!$B$30+'Inputs'!$B$31+'Inputs'!$B$32)/1000+'Inputs'!$B$21))^2+('Inputs'!$B$6/2)^2)))-'Results'!C7*(1+'Inputs'!$B$24)*(0.5*((((351-43)*MAX('Inputs'!$B$33,'Inputs'!$B$29+'Inputs'!$B$31+'Inputs'!$B$32,'Inputs'!$B$30+'Inputs'!$B$31+'Inputs'!$B$32)/1000+'Inputs'!$B$21+'Inputs'!$B$7+'Inputs'!$B$10)+'Inputs'!$B$9)/SQRT((((351-43)*MAX('Inputs'!$B$33,'Inputs'!$B$29+'Inputs'!$B$31+'Inputs'!$B$32,'Inputs'!$B$30+'Inputs'!$B$31+'Inputs'!$B$32)/1000+'Inputs'!$B$21+'Inputs'!$B$7+'Inputs'!$B$10)+'Inputs'!$B$9)^2+('Inputs'!$B$8/2)^2)-(((351-43)*MAX('Inputs'!$B$33,'Inputs'!$B$29+'Inputs'!$B$31+'Inputs'!$B$32,'Inputs'!$B$30+'Inputs'!$B$31+'Inputs'!$B$32)/1000+'Inputs'!$B$21+'Inputs'!$B$7+'Inputs'!$B$10))/SQRT((((351-43)*MAX('Inputs'!$B$33,'Inputs'!$B$29+'Inputs'!$B$31+'Inputs'!$B$32,'Inputs'!$B$30+'Inputs'!$B$31+'Inputs'!$B$32)/1000+'Inputs'!$B$21+'Inputs'!$B$7+'Inputs'!$B$10))^2+('Inputs'!$B$8/2)^2))))*'Results'!$B$8)-'Inputs'!$B$28*ABS((('Results'!B7*(1-'Inputs'!$B$24)*(0.5*((((351-43)*MAX('Inputs'!$B$33,'Inputs'!$B$29+'Inputs'!$B$31+'Inputs'!$B$32,'Inputs'!$B$30+'Inputs'!$B$31+'Inputs'!$B$32)/1000+'Inputs'!$B$21)+'Inputs'!$B$7)/SQRT((((351-43)*MAX('Inputs'!$B$33,'Inputs'!$B$29+'Inputs'!$B$31+'Inputs'!$B$32,'Inputs'!$B$30+'Inputs'!$B$31+'Inputs'!$B$32)/1000+'Inputs'!$B$21)+'Inputs'!$B$7)^2+('Inputs'!$B$6/2)^2)-(((351-43)*MAX('Inputs'!$B$33,'Inputs'!$B$29+'Inputs'!$B$31+'Inputs'!$B$32,'Inputs'!$B$30+'Inputs'!$B$31+'Inputs'!$B$32)/1000+'Inputs'!$B$21))/SQRT((((351-43)*MAX('Inputs'!$B$33,'Inputs'!$B$29+'Inputs'!$B$31+'Inputs'!$B$32,'Inputs'!$B$30+'Inputs'!$B$31+'Inputs'!$B$32)/1000+'Inputs'!$B$21))^2+('Inputs'!$B$6/2)^2)))-'Results'!C7*(1+'Inputs'!$B$24)*(0.5*((((351-43)*MAX('Inputs'!$B$33,'Inputs'!$B$29+'Inputs'!$B$31+'Inputs'!$B$32,'Inputs'!$B$30+'Inputs'!$B$31+'Inputs'!$B$32)/1000+'Inputs'!$B$21+'Inputs'!$B$7+'Inputs'!$B$10)+'Inputs'!$B$9)/SQRT((((351-43)*MAX('Inputs'!$B$33,'Inputs'!$B$29+'Inputs'!$B$31+'Inputs'!$B$32,'Inputs'!$B$30+'Inputs'!$B$31+'Inputs'!$B$32)/1000+'Inputs'!$B$21+'Inputs'!$B$7+'Inputs'!$B$10)+'Inputs'!$B$9)^2+('Inputs'!$B$8/2)^2)-(((351-43)*MAX('Inputs'!$B$33,'Inputs'!$B$29+'Inputs'!$B$31+'Inputs'!$B$32,'Inputs'!$B$30+'Inputs'!$B$31+'Inputs'!$B$32)/1000+'Inputs'!$B$21+'Inputs'!$B$7+'Inputs'!$B$10))/SQRT((((351-43)*MAX('Inputs'!$B$33,'Inputs'!$B$29+'Inputs'!$B$31+'Inputs'!$B$32,'Inputs'!$B$30+'Inputs'!$B$31+'Inputs'!$B$32)/1000+'Inputs'!$B$21+'Inputs'!$B$7+'Inputs'!$B$10))^2+('Inputs'!$B$8/2)^2))))*'Results'!$B$8))),"")</x:f>
        <x:v>18.530851804641397</x:v>
      </x:c>
      <x:c r="L351" t="n">
        <x:f>IF(AND(ISNUMBER('Results'!B7),ISNUMBER('Results'!C7),ISNUMBER('Results'!$B$8),ISNUMBER('Inputs'!$B$6),ISNUMBER('Inputs'!$B$7),ISNUMBER('Inputs'!$B$8),ISNUMBER('Inputs'!$B$9),ISNUMBER('Inputs'!$B$10),ISNUMBER('Inputs'!$B$21),ISNUMBER('Inputs'!$B$24),ISNUMBER('Inputs'!$B$28)),((('Results'!B7*(1+'Inputs'!$B$24)*(0.5*((((351-43)*MAX('Inputs'!$B$33,'Inputs'!$B$29+'Inputs'!$B$31+'Inputs'!$B$32,'Inputs'!$B$30+'Inputs'!$B$31+'Inputs'!$B$32)/1000+'Inputs'!$B$21)+'Inputs'!$B$7)/SQRT((((351-43)*MAX('Inputs'!$B$33,'Inputs'!$B$29+'Inputs'!$B$31+'Inputs'!$B$32,'Inputs'!$B$30+'Inputs'!$B$31+'Inputs'!$B$32)/1000+'Inputs'!$B$21)+'Inputs'!$B$7)^2+('Inputs'!$B$6/2)^2)-(((351-43)*MAX('Inputs'!$B$33,'Inputs'!$B$29+'Inputs'!$B$31+'Inputs'!$B$32,'Inputs'!$B$30+'Inputs'!$B$31+'Inputs'!$B$32)/1000+'Inputs'!$B$21))/SQRT((((351-43)*MAX('Inputs'!$B$33,'Inputs'!$B$29+'Inputs'!$B$31+'Inputs'!$B$32,'Inputs'!$B$30+'Inputs'!$B$31+'Inputs'!$B$32)/1000+'Inputs'!$B$21))^2+('Inputs'!$B$6/2)^2)))-'Results'!C7*(1-'Inputs'!$B$24)*(0.5*((((351-43)*MAX('Inputs'!$B$33,'Inputs'!$B$29+'Inputs'!$B$31+'Inputs'!$B$32,'Inputs'!$B$30+'Inputs'!$B$31+'Inputs'!$B$32)/1000+'Inputs'!$B$21+'Inputs'!$B$7+'Inputs'!$B$10)+'Inputs'!$B$9)/SQRT((((351-43)*MAX('Inputs'!$B$33,'Inputs'!$B$29+'Inputs'!$B$31+'Inputs'!$B$32,'Inputs'!$B$30+'Inputs'!$B$31+'Inputs'!$B$32)/1000+'Inputs'!$B$21+'Inputs'!$B$7+'Inputs'!$B$10)+'Inputs'!$B$9)^2+('Inputs'!$B$8/2)^2)-(((351-43)*MAX('Inputs'!$B$33,'Inputs'!$B$29+'Inputs'!$B$31+'Inputs'!$B$32,'Inputs'!$B$30+'Inputs'!$B$31+'Inputs'!$B$32)/1000+'Inputs'!$B$21+'Inputs'!$B$7+'Inputs'!$B$10))/SQRT((((351-43)*MAX('Inputs'!$B$33,'Inputs'!$B$29+'Inputs'!$B$31+'Inputs'!$B$32,'Inputs'!$B$30+'Inputs'!$B$31+'Inputs'!$B$32)/1000+'Inputs'!$B$21+'Inputs'!$B$7+'Inputs'!$B$10))^2+('Inputs'!$B$8/2)^2))))*'Results'!$B$8)+'Inputs'!$B$28*ABS((('Results'!B7*(1+'Inputs'!$B$24)*(0.5*((((351-43)*MAX('Inputs'!$B$33,'Inputs'!$B$29+'Inputs'!$B$31+'Inputs'!$B$32,'Inputs'!$B$30+'Inputs'!$B$31+'Inputs'!$B$32)/1000+'Inputs'!$B$21)+'Inputs'!$B$7)/SQRT((((351-43)*MAX('Inputs'!$B$33,'Inputs'!$B$29+'Inputs'!$B$31+'Inputs'!$B$32,'Inputs'!$B$30+'Inputs'!$B$31+'Inputs'!$B$32)/1000+'Inputs'!$B$21)+'Inputs'!$B$7)^2+('Inputs'!$B$6/2)^2)-(((351-43)*MAX('Inputs'!$B$33,'Inputs'!$B$29+'Inputs'!$B$31+'Inputs'!$B$32,'Inputs'!$B$30+'Inputs'!$B$31+'Inputs'!$B$32)/1000+'Inputs'!$B$21))/SQRT((((351-43)*MAX('Inputs'!$B$33,'Inputs'!$B$29+'Inputs'!$B$31+'Inputs'!$B$32,'Inputs'!$B$30+'Inputs'!$B$31+'Inputs'!$B$32)/1000+'Inputs'!$B$21))^2+('Inputs'!$B$6/2)^2)))-'Results'!C7*(1-'Inputs'!$B$24)*(0.5*((((351-43)*MAX('Inputs'!$B$33,'Inputs'!$B$29+'Inputs'!$B$31+'Inputs'!$B$32,'Inputs'!$B$30+'Inputs'!$B$31+'Inputs'!$B$32)/1000+'Inputs'!$B$21+'Inputs'!$B$7+'Inputs'!$B$10)+'Inputs'!$B$9)/SQRT((((351-43)*MAX('Inputs'!$B$33,'Inputs'!$B$29+'Inputs'!$B$31+'Inputs'!$B$32,'Inputs'!$B$30+'Inputs'!$B$31+'Inputs'!$B$32)/1000+'Inputs'!$B$21+'Inputs'!$B$7+'Inputs'!$B$10)+'Inputs'!$B$9)^2+('Inputs'!$B$8/2)^2)-(((351-43)*MAX('Inputs'!$B$33,'Inputs'!$B$29+'Inputs'!$B$31+'Inputs'!$B$32,'Inputs'!$B$30+'Inputs'!$B$31+'Inputs'!$B$32)/1000+'Inputs'!$B$21+'Inputs'!$B$7+'Inputs'!$B$10))/SQRT((((351-43)*MAX('Inputs'!$B$33,'Inputs'!$B$29+'Inputs'!$B$31+'Inputs'!$B$32,'Inputs'!$B$30+'Inputs'!$B$31+'Inputs'!$B$32)/1000+'Inputs'!$B$21+'Inputs'!$B$7+'Inputs'!$B$10))^2+('Inputs'!$B$8/2)^2))))*'Results'!$B$8))),"")</x:f>
        <x:v>22.552056602726193</x:v>
      </x:c>
      <x:c r="M351" t="n">
        <x:f>IF(AND(ISNUMBER('Results'!C7),ISNUMBER('Results'!B7),ISNUMBER('Results'!$B$8),ISNUMBER('Inputs'!$B$6),ISNUMBER('Inputs'!$B$7),ISNUMBER('Inputs'!$B$8),ISNUMBER('Inputs'!$B$9),ISNUMBER('Inputs'!$B$10),ISNUMBER('Inputs'!$B$21),ISNUMBER('Inputs'!$B$24),ISNUMBER('Inputs'!$B$28)),(('Results'!C7*(0.5*((((351-43)*MAX('Inputs'!$B$33,'Inputs'!$B$29+'Inputs'!$B$31+'Inputs'!$B$32,'Inputs'!$B$30+'Inputs'!$B$31+'Inputs'!$B$32)/1000+'Inputs'!$B$21)+'Inputs'!$B$9)/SQRT((((351-43)*MAX('Inputs'!$B$33,'Inputs'!$B$29+'Inputs'!$B$31+'Inputs'!$B$32,'Inputs'!$B$30+'Inputs'!$B$31+'Inputs'!$B$32)/1000+'Inputs'!$B$21)+'Inputs'!$B$9)^2+('Inputs'!$B$8/2)^2)-(((351-43)*MAX('Inputs'!$B$33,'Inputs'!$B$29+'Inputs'!$B$31+'Inputs'!$B$32,'Inputs'!$B$30+'Inputs'!$B$31+'Inputs'!$B$32)/1000+'Inputs'!$B$21))/SQRT((((351-43)*MAX('Inputs'!$B$33,'Inputs'!$B$29+'Inputs'!$B$31+'Inputs'!$B$32,'Inputs'!$B$30+'Inputs'!$B$31+'Inputs'!$B$32)/1000+'Inputs'!$B$21))^2+('Inputs'!$B$8/2)^2)))-'Results'!B7*(0.5*((((351-43)*MAX('Inputs'!$B$33,'Inputs'!$B$29+'Inputs'!$B$31+'Inputs'!$B$32,'Inputs'!$B$30+'Inputs'!$B$31+'Inputs'!$B$32)/1000+'Inputs'!$B$21+'Inputs'!$B$9+'Inputs'!$B$10)+'Inputs'!$B$7)/SQRT((((351-43)*MAX('Inputs'!$B$33,'Inputs'!$B$29+'Inputs'!$B$31+'Inputs'!$B$32,'Inputs'!$B$30+'Inputs'!$B$31+'Inputs'!$B$32)/1000+'Inputs'!$B$21+'Inputs'!$B$9+'Inputs'!$B$10)+'Inputs'!$B$7)^2+('Inputs'!$B$6/2)^2)-(((351-43)*MAX('Inputs'!$B$33,'Inputs'!$B$29+'Inputs'!$B$31+'Inputs'!$B$32,'Inputs'!$B$30+'Inputs'!$B$31+'Inputs'!$B$32)/1000+'Inputs'!$B$21+'Inputs'!$B$9+'Inputs'!$B$10))/SQRT((((351-43)*MAX('Inputs'!$B$33,'Inputs'!$B$29+'Inputs'!$B$31+'Inputs'!$B$32,'Inputs'!$B$30+'Inputs'!$B$31+'Inputs'!$B$32)/1000+'Inputs'!$B$21+'Inputs'!$B$9+'Inputs'!$B$10))^2+('Inputs'!$B$6/2)^2))))*'Results'!$B$8),"")</x:f>
        <x:v>19.50028069654152</x:v>
      </x:c>
      <x:c r="N351" t="n">
        <x:f>IF(AND(ISNUMBER('Results'!C7),ISNUMBER('Results'!B7),ISNUMBER('Results'!$B$8),ISNUMBER('Inputs'!$B$6),ISNUMBER('Inputs'!$B$7),ISNUMBER('Inputs'!$B$8),ISNUMBER('Inputs'!$B$9),ISNUMBER('Inputs'!$B$10),ISNUMBER('Inputs'!$B$21),ISNUMBER('Inputs'!$B$24),ISNUMBER('Inputs'!$B$28)),((('Results'!C7*(1-'Inputs'!$B$24)*(0.5*((((351-43)*MAX('Inputs'!$B$33,'Inputs'!$B$29+'Inputs'!$B$31+'Inputs'!$B$32,'Inputs'!$B$30+'Inputs'!$B$31+'Inputs'!$B$32)/1000+'Inputs'!$B$21)+'Inputs'!$B$9)/SQRT((((351-43)*MAX('Inputs'!$B$33,'Inputs'!$B$29+'Inputs'!$B$31+'Inputs'!$B$32,'Inputs'!$B$30+'Inputs'!$B$31+'Inputs'!$B$32)/1000+'Inputs'!$B$21)+'Inputs'!$B$9)^2+('Inputs'!$B$8/2)^2)-(((351-43)*MAX('Inputs'!$B$33,'Inputs'!$B$29+'Inputs'!$B$31+'Inputs'!$B$32,'Inputs'!$B$30+'Inputs'!$B$31+'Inputs'!$B$32)/1000+'Inputs'!$B$21))/SQRT((((351-43)*MAX('Inputs'!$B$33,'Inputs'!$B$29+'Inputs'!$B$31+'Inputs'!$B$32,'Inputs'!$B$30+'Inputs'!$B$31+'Inputs'!$B$32)/1000+'Inputs'!$B$21))^2+('Inputs'!$B$8/2)^2)))-'Results'!B7*(1+'Inputs'!$B$24)*(0.5*((((351-43)*MAX('Inputs'!$B$33,'Inputs'!$B$29+'Inputs'!$B$31+'Inputs'!$B$32,'Inputs'!$B$30+'Inputs'!$B$31+'Inputs'!$B$32)/1000+'Inputs'!$B$21+'Inputs'!$B$9+'Inputs'!$B$10)+'Inputs'!$B$7)/SQRT((((351-43)*MAX('Inputs'!$B$33,'Inputs'!$B$29+'Inputs'!$B$31+'Inputs'!$B$32,'Inputs'!$B$30+'Inputs'!$B$31+'Inputs'!$B$32)/1000+'Inputs'!$B$21+'Inputs'!$B$9+'Inputs'!$B$10)+'Inputs'!$B$7)^2+('Inputs'!$B$6/2)^2)-(((351-43)*MAX('Inputs'!$B$33,'Inputs'!$B$29+'Inputs'!$B$31+'Inputs'!$B$32,'Inputs'!$B$30+'Inputs'!$B$31+'Inputs'!$B$32)/1000+'Inputs'!$B$21+'Inputs'!$B$9+'Inputs'!$B$10))/SQRT((((351-43)*MAX('Inputs'!$B$33,'Inputs'!$B$29+'Inputs'!$B$31+'Inputs'!$B$32,'Inputs'!$B$30+'Inputs'!$B$31+'Inputs'!$B$32)/1000+'Inputs'!$B$21+'Inputs'!$B$9+'Inputs'!$B$10))^2+('Inputs'!$B$6/2)^2))))*'Results'!$B$8)-'Inputs'!$B$28*ABS((('Results'!C7*(1-'Inputs'!$B$24)*(0.5*((((351-43)*MAX('Inputs'!$B$33,'Inputs'!$B$29+'Inputs'!$B$31+'Inputs'!$B$32,'Inputs'!$B$30+'Inputs'!$B$31+'Inputs'!$B$32)/1000+'Inputs'!$B$21)+'Inputs'!$B$9)/SQRT((((351-43)*MAX('Inputs'!$B$33,'Inputs'!$B$29+'Inputs'!$B$31+'Inputs'!$B$32,'Inputs'!$B$30+'Inputs'!$B$31+'Inputs'!$B$32)/1000+'Inputs'!$B$21)+'Inputs'!$B$9)^2+('Inputs'!$B$8/2)^2)-(((351-43)*MAX('Inputs'!$B$33,'Inputs'!$B$29+'Inputs'!$B$31+'Inputs'!$B$32,'Inputs'!$B$30+'Inputs'!$B$31+'Inputs'!$B$32)/1000+'Inputs'!$B$21))/SQRT((((351-43)*MAX('Inputs'!$B$33,'Inputs'!$B$29+'Inputs'!$B$31+'Inputs'!$B$32,'Inputs'!$B$30+'Inputs'!$B$31+'Inputs'!$B$32)/1000+'Inputs'!$B$21))^2+('Inputs'!$B$8/2)^2)))-'Results'!B7*(1+'Inputs'!$B$24)*(0.5*((((351-43)*MAX('Inputs'!$B$33,'Inputs'!$B$29+'Inputs'!$B$31+'Inputs'!$B$32,'Inputs'!$B$30+'Inputs'!$B$31+'Inputs'!$B$32)/1000+'Inputs'!$B$21+'Inputs'!$B$9+'Inputs'!$B$10)+'Inputs'!$B$7)/SQRT((((351-43)*MAX('Inputs'!$B$33,'Inputs'!$B$29+'Inputs'!$B$31+'Inputs'!$B$32,'Inputs'!$B$30+'Inputs'!$B$31+'Inputs'!$B$32)/1000+'Inputs'!$B$21+'Inputs'!$B$9+'Inputs'!$B$10)+'Inputs'!$B$7)^2+('Inputs'!$B$6/2)^2)-(((351-43)*MAX('Inputs'!$B$33,'Inputs'!$B$29+'Inputs'!$B$31+'Inputs'!$B$32,'Inputs'!$B$30+'Inputs'!$B$31+'Inputs'!$B$32)/1000+'Inputs'!$B$21+'Inputs'!$B$9+'Inputs'!$B$10))/SQRT((((351-43)*MAX('Inputs'!$B$33,'Inputs'!$B$29+'Inputs'!$B$31+'Inputs'!$B$32,'Inputs'!$B$30+'Inputs'!$B$31+'Inputs'!$B$32)/1000+'Inputs'!$B$21+'Inputs'!$B$9+'Inputs'!$B$10))^2+('Inputs'!$B$6/2)^2))))*'Results'!$B$8))),"")</x:f>
        <x:v>17.596247035784742</x:v>
      </x:c>
      <x:c r="O351" t="n">
        <x:f>IF(AND(ISNUMBER('Results'!C7),ISNUMBER('Results'!B7),ISNUMBER('Results'!$B$8),ISNUMBER('Inputs'!$B$6),ISNUMBER('Inputs'!$B$7),ISNUMBER('Inputs'!$B$8),ISNUMBER('Inputs'!$B$9),ISNUMBER('Inputs'!$B$10),ISNUMBER('Inputs'!$B$21),ISNUMBER('Inputs'!$B$24),ISNUMBER('Inputs'!$B$28)),((('Results'!C7*(1+'Inputs'!$B$24)*(0.5*((((351-43)*MAX('Inputs'!$B$33,'Inputs'!$B$29+'Inputs'!$B$31+'Inputs'!$B$32,'Inputs'!$B$30+'Inputs'!$B$31+'Inputs'!$B$32)/1000+'Inputs'!$B$21)+'Inputs'!$B$9)/SQRT((((351-43)*MAX('Inputs'!$B$33,'Inputs'!$B$29+'Inputs'!$B$31+'Inputs'!$B$32,'Inputs'!$B$30+'Inputs'!$B$31+'Inputs'!$B$32)/1000+'Inputs'!$B$21)+'Inputs'!$B$9)^2+('Inputs'!$B$8/2)^2)-(((351-43)*MAX('Inputs'!$B$33,'Inputs'!$B$29+'Inputs'!$B$31+'Inputs'!$B$32,'Inputs'!$B$30+'Inputs'!$B$31+'Inputs'!$B$32)/1000+'Inputs'!$B$21))/SQRT((((351-43)*MAX('Inputs'!$B$33,'Inputs'!$B$29+'Inputs'!$B$31+'Inputs'!$B$32,'Inputs'!$B$30+'Inputs'!$B$31+'Inputs'!$B$32)/1000+'Inputs'!$B$21))^2+('Inputs'!$B$8/2)^2)))-'Results'!B7*(1-'Inputs'!$B$24)*(0.5*((((351-43)*MAX('Inputs'!$B$33,'Inputs'!$B$29+'Inputs'!$B$31+'Inputs'!$B$32,'Inputs'!$B$30+'Inputs'!$B$31+'Inputs'!$B$32)/1000+'Inputs'!$B$21+'Inputs'!$B$9+'Inputs'!$B$10)+'Inputs'!$B$7)/SQRT((((351-43)*MAX('Inputs'!$B$33,'Inputs'!$B$29+'Inputs'!$B$31+'Inputs'!$B$32,'Inputs'!$B$30+'Inputs'!$B$31+'Inputs'!$B$32)/1000+'Inputs'!$B$21+'Inputs'!$B$9+'Inputs'!$B$10)+'Inputs'!$B$7)^2+('Inputs'!$B$6/2)^2)-(((351-43)*MAX('Inputs'!$B$33,'Inputs'!$B$29+'Inputs'!$B$31+'Inputs'!$B$32,'Inputs'!$B$30+'Inputs'!$B$31+'Inputs'!$B$32)/1000+'Inputs'!$B$21+'Inputs'!$B$9+'Inputs'!$B$10))/SQRT((((351-43)*MAX('Inputs'!$B$33,'Inputs'!$B$29+'Inputs'!$B$31+'Inputs'!$B$32,'Inputs'!$B$30+'Inputs'!$B$31+'Inputs'!$B$32)/1000+'Inputs'!$B$21+'Inputs'!$B$9+'Inputs'!$B$10))^2+('Inputs'!$B$6/2)^2))))*'Results'!$B$8)+'Inputs'!$B$28*ABS((('Results'!C7*(1+'Inputs'!$B$24)*(0.5*((((351-43)*MAX('Inputs'!$B$33,'Inputs'!$B$29+'Inputs'!$B$31+'Inputs'!$B$32,'Inputs'!$B$30+'Inputs'!$B$31+'Inputs'!$B$32)/1000+'Inputs'!$B$21)+'Inputs'!$B$9)/SQRT((((351-43)*MAX('Inputs'!$B$33,'Inputs'!$B$29+'Inputs'!$B$31+'Inputs'!$B$32,'Inputs'!$B$30+'Inputs'!$B$31+'Inputs'!$B$32)/1000+'Inputs'!$B$21)+'Inputs'!$B$9)^2+('Inputs'!$B$8/2)^2)-(((351-43)*MAX('Inputs'!$B$33,'Inputs'!$B$29+'Inputs'!$B$31+'Inputs'!$B$32,'Inputs'!$B$30+'Inputs'!$B$31+'Inputs'!$B$32)/1000+'Inputs'!$B$21))/SQRT((((351-43)*MAX('Inputs'!$B$33,'Inputs'!$B$29+'Inputs'!$B$31+'Inputs'!$B$32,'Inputs'!$B$30+'Inputs'!$B$31+'Inputs'!$B$32)/1000+'Inputs'!$B$21))^2+('Inputs'!$B$8/2)^2)))-'Results'!B7*(1-'Inputs'!$B$24)*(0.5*((((351-43)*MAX('Inputs'!$B$33,'Inputs'!$B$29+'Inputs'!$B$31+'Inputs'!$B$32,'Inputs'!$B$30+'Inputs'!$B$31+'Inputs'!$B$32)/1000+'Inputs'!$B$21+'Inputs'!$B$9+'Inputs'!$B$10)+'Inputs'!$B$7)/SQRT((((351-43)*MAX('Inputs'!$B$33,'Inputs'!$B$29+'Inputs'!$B$31+'Inputs'!$B$32,'Inputs'!$B$30+'Inputs'!$B$31+'Inputs'!$B$32)/1000+'Inputs'!$B$21+'Inputs'!$B$9+'Inputs'!$B$10)+'Inputs'!$B$7)^2+('Inputs'!$B$6/2)^2)-(((351-43)*MAX('Inputs'!$B$33,'Inputs'!$B$29+'Inputs'!$B$31+'Inputs'!$B$32,'Inputs'!$B$30+'Inputs'!$B$31+'Inputs'!$B$32)/1000+'Inputs'!$B$21+'Inputs'!$B$9+'Inputs'!$B$10))/SQRT((((351-43)*MAX('Inputs'!$B$33,'Inputs'!$B$29+'Inputs'!$B$31+'Inputs'!$B$32,'Inputs'!$B$30+'Inputs'!$B$31+'Inputs'!$B$32)/1000+'Inputs'!$B$21+'Inputs'!$B$9+'Inputs'!$B$10))^2+('Inputs'!$B$6/2)^2))))*'Results'!$B$8))),"")</x:f>
        <x:v>21.50210589686984</x:v>
      </x:c>
      <x:c r="P351" t="n">
        <x:f>IF(AND(MAX(J351,J350)&gt;0,J351&gt;J350+0.00000001),1,0)</x:f>
        <x:v>0</x:v>
      </x:c>
      <x:c r="Q351" t="n">
        <x:f>IF(AND(MAX(K351,K350)&gt;0,K351&gt;K350+0.00000001),1,0)</x:f>
        <x:v>0</x:v>
      </x:c>
      <x:c r="R351" t="n">
        <x:f>IF(AND(MAX(L351,L350)&gt;0,L351&gt;L350+0.00000001),1,0)</x:f>
        <x:v>0</x:v>
      </x:c>
      <x:c r="S351" t="n">
        <x:f>IF(AND(MAX(M351,M350)&gt;0,M351&gt;M350+0.00000001),1,0)</x:f>
        <x:v>0</x:v>
      </x:c>
      <x:c r="T351" t="n">
        <x:f>IF(AND(MAX(N351,N350)&gt;0,N351&gt;N350+0.00000001),1,0)</x:f>
        <x:v>0</x:v>
      </x:c>
      <x:c r="U351" t="n">
        <x:f>IF(AND(MAX(O351,O350)&gt;0,O351&gt;O350+0.00000001),1,0)</x:f>
        <x:v>0</x:v>
      </x:c>
    </x:row>
    <x:row r="352">
      <x:c r="J352" t="n">
        <x:f>IF(AND(ISNUMBER('Results'!B7),ISNUMBER('Results'!C7),ISNUMBER('Results'!$B$8),ISNUMBER('Inputs'!$B$6),ISNUMBER('Inputs'!$B$7),ISNUMBER('Inputs'!$B$8),ISNUMBER('Inputs'!$B$9),ISNUMBER('Inputs'!$B$10),ISNUMBER('Inputs'!$B$21),ISNUMBER('Inputs'!$B$24),ISNUMBER('Inputs'!$B$28)),(('Results'!B7*(0.5*((((352-43)*MAX('Inputs'!$B$33,'Inputs'!$B$29+'Inputs'!$B$31+'Inputs'!$B$32,'Inputs'!$B$30+'Inputs'!$B$31+'Inputs'!$B$32)/1000+'Inputs'!$B$21)+'Inputs'!$B$7)/SQRT((((352-43)*MAX('Inputs'!$B$33,'Inputs'!$B$29+'Inputs'!$B$31+'Inputs'!$B$32,'Inputs'!$B$30+'Inputs'!$B$31+'Inputs'!$B$32)/1000+'Inputs'!$B$21)+'Inputs'!$B$7)^2+('Inputs'!$B$6/2)^2)-(((352-43)*MAX('Inputs'!$B$33,'Inputs'!$B$29+'Inputs'!$B$31+'Inputs'!$B$32,'Inputs'!$B$30+'Inputs'!$B$31+'Inputs'!$B$32)/1000+'Inputs'!$B$21))/SQRT((((352-43)*MAX('Inputs'!$B$33,'Inputs'!$B$29+'Inputs'!$B$31+'Inputs'!$B$32,'Inputs'!$B$30+'Inputs'!$B$31+'Inputs'!$B$32)/1000+'Inputs'!$B$21))^2+('Inputs'!$B$6/2)^2)))-'Results'!C7*(0.5*((((352-43)*MAX('Inputs'!$B$33,'Inputs'!$B$29+'Inputs'!$B$31+'Inputs'!$B$32,'Inputs'!$B$30+'Inputs'!$B$31+'Inputs'!$B$32)/1000+'Inputs'!$B$21+'Inputs'!$B$7+'Inputs'!$B$10)+'Inputs'!$B$9)/SQRT((((352-43)*MAX('Inputs'!$B$33,'Inputs'!$B$29+'Inputs'!$B$31+'Inputs'!$B$32,'Inputs'!$B$30+'Inputs'!$B$31+'Inputs'!$B$32)/1000+'Inputs'!$B$21+'Inputs'!$B$7+'Inputs'!$B$10)+'Inputs'!$B$9)^2+('Inputs'!$B$8/2)^2)-(((352-43)*MAX('Inputs'!$B$33,'Inputs'!$B$29+'Inputs'!$B$31+'Inputs'!$B$32,'Inputs'!$B$30+'Inputs'!$B$31+'Inputs'!$B$32)/1000+'Inputs'!$B$21+'Inputs'!$B$7+'Inputs'!$B$10))/SQRT((((352-43)*MAX('Inputs'!$B$33,'Inputs'!$B$29+'Inputs'!$B$31+'Inputs'!$B$32,'Inputs'!$B$30+'Inputs'!$B$31+'Inputs'!$B$32)/1000+'Inputs'!$B$21+'Inputs'!$B$7+'Inputs'!$B$10))^2+('Inputs'!$B$8/2)^2))))*'Results'!$B$8),"")</x:f>
        <x:v>20.28544921988614</x:v>
      </x:c>
      <x:c r="K352" t="n">
        <x:f>IF(AND(ISNUMBER('Results'!B7),ISNUMBER('Results'!C7),ISNUMBER('Results'!$B$8),ISNUMBER('Inputs'!$B$6),ISNUMBER('Inputs'!$B$7),ISNUMBER('Inputs'!$B$8),ISNUMBER('Inputs'!$B$9),ISNUMBER('Inputs'!$B$10),ISNUMBER('Inputs'!$B$21),ISNUMBER('Inputs'!$B$24),ISNUMBER('Inputs'!$B$28)),((('Results'!B7*(1-'Inputs'!$B$24)*(0.5*((((352-43)*MAX('Inputs'!$B$33,'Inputs'!$B$29+'Inputs'!$B$31+'Inputs'!$B$32,'Inputs'!$B$30+'Inputs'!$B$31+'Inputs'!$B$32)/1000+'Inputs'!$B$21)+'Inputs'!$B$7)/SQRT((((352-43)*MAX('Inputs'!$B$33,'Inputs'!$B$29+'Inputs'!$B$31+'Inputs'!$B$32,'Inputs'!$B$30+'Inputs'!$B$31+'Inputs'!$B$32)/1000+'Inputs'!$B$21)+'Inputs'!$B$7)^2+('Inputs'!$B$6/2)^2)-(((352-43)*MAX('Inputs'!$B$33,'Inputs'!$B$29+'Inputs'!$B$31+'Inputs'!$B$32,'Inputs'!$B$30+'Inputs'!$B$31+'Inputs'!$B$32)/1000+'Inputs'!$B$21))/SQRT((((352-43)*MAX('Inputs'!$B$33,'Inputs'!$B$29+'Inputs'!$B$31+'Inputs'!$B$32,'Inputs'!$B$30+'Inputs'!$B$31+'Inputs'!$B$32)/1000+'Inputs'!$B$21))^2+('Inputs'!$B$6/2)^2)))-'Results'!C7*(1+'Inputs'!$B$24)*(0.5*((((352-43)*MAX('Inputs'!$B$33,'Inputs'!$B$29+'Inputs'!$B$31+'Inputs'!$B$32,'Inputs'!$B$30+'Inputs'!$B$31+'Inputs'!$B$32)/1000+'Inputs'!$B$21+'Inputs'!$B$7+'Inputs'!$B$10)+'Inputs'!$B$9)/SQRT((((352-43)*MAX('Inputs'!$B$33,'Inputs'!$B$29+'Inputs'!$B$31+'Inputs'!$B$32,'Inputs'!$B$30+'Inputs'!$B$31+'Inputs'!$B$32)/1000+'Inputs'!$B$21+'Inputs'!$B$7+'Inputs'!$B$10)+'Inputs'!$B$9)^2+('Inputs'!$B$8/2)^2)-(((352-43)*MAX('Inputs'!$B$33,'Inputs'!$B$29+'Inputs'!$B$31+'Inputs'!$B$32,'Inputs'!$B$30+'Inputs'!$B$31+'Inputs'!$B$32)/1000+'Inputs'!$B$21+'Inputs'!$B$7+'Inputs'!$B$10))/SQRT((((352-43)*MAX('Inputs'!$B$33,'Inputs'!$B$29+'Inputs'!$B$31+'Inputs'!$B$32,'Inputs'!$B$30+'Inputs'!$B$31+'Inputs'!$B$32)/1000+'Inputs'!$B$21+'Inputs'!$B$7+'Inputs'!$B$10))^2+('Inputs'!$B$8/2)^2))))*'Results'!$B$8)-'Inputs'!$B$28*ABS((('Results'!B7*(1-'Inputs'!$B$24)*(0.5*((((352-43)*MAX('Inputs'!$B$33,'Inputs'!$B$29+'Inputs'!$B$31+'Inputs'!$B$32,'Inputs'!$B$30+'Inputs'!$B$31+'Inputs'!$B$32)/1000+'Inputs'!$B$21)+'Inputs'!$B$7)/SQRT((((352-43)*MAX('Inputs'!$B$33,'Inputs'!$B$29+'Inputs'!$B$31+'Inputs'!$B$32,'Inputs'!$B$30+'Inputs'!$B$31+'Inputs'!$B$32)/1000+'Inputs'!$B$21)+'Inputs'!$B$7)^2+('Inputs'!$B$6/2)^2)-(((352-43)*MAX('Inputs'!$B$33,'Inputs'!$B$29+'Inputs'!$B$31+'Inputs'!$B$32,'Inputs'!$B$30+'Inputs'!$B$31+'Inputs'!$B$32)/1000+'Inputs'!$B$21))/SQRT((((352-43)*MAX('Inputs'!$B$33,'Inputs'!$B$29+'Inputs'!$B$31+'Inputs'!$B$32,'Inputs'!$B$30+'Inputs'!$B$31+'Inputs'!$B$32)/1000+'Inputs'!$B$21))^2+('Inputs'!$B$6/2)^2)))-'Results'!C7*(1+'Inputs'!$B$24)*(0.5*((((352-43)*MAX('Inputs'!$B$33,'Inputs'!$B$29+'Inputs'!$B$31+'Inputs'!$B$32,'Inputs'!$B$30+'Inputs'!$B$31+'Inputs'!$B$32)/1000+'Inputs'!$B$21+'Inputs'!$B$7+'Inputs'!$B$10)+'Inputs'!$B$9)/SQRT((((352-43)*MAX('Inputs'!$B$33,'Inputs'!$B$29+'Inputs'!$B$31+'Inputs'!$B$32,'Inputs'!$B$30+'Inputs'!$B$31+'Inputs'!$B$32)/1000+'Inputs'!$B$21+'Inputs'!$B$7+'Inputs'!$B$10)+'Inputs'!$B$9)^2+('Inputs'!$B$8/2)^2)-(((352-43)*MAX('Inputs'!$B$33,'Inputs'!$B$29+'Inputs'!$B$31+'Inputs'!$B$32,'Inputs'!$B$30+'Inputs'!$B$31+'Inputs'!$B$32)/1000+'Inputs'!$B$21+'Inputs'!$B$7+'Inputs'!$B$10))/SQRT((((352-43)*MAX('Inputs'!$B$33,'Inputs'!$B$29+'Inputs'!$B$31+'Inputs'!$B$32,'Inputs'!$B$30+'Inputs'!$B$31+'Inputs'!$B$32)/1000+'Inputs'!$B$21+'Inputs'!$B$7+'Inputs'!$B$10))^2+('Inputs'!$B$8/2)^2))))*'Results'!$B$8))),"")</x:f>
        <x:v>18.341997089347018</x:v>
      </x:c>
      <x:c r="L352" t="n">
        <x:f>IF(AND(ISNUMBER('Results'!B7),ISNUMBER('Results'!C7),ISNUMBER('Results'!$B$8),ISNUMBER('Inputs'!$B$6),ISNUMBER('Inputs'!$B$7),ISNUMBER('Inputs'!$B$8),ISNUMBER('Inputs'!$B$9),ISNUMBER('Inputs'!$B$10),ISNUMBER('Inputs'!$B$21),ISNUMBER('Inputs'!$B$24),ISNUMBER('Inputs'!$B$28)),((('Results'!B7*(1+'Inputs'!$B$24)*(0.5*((((352-43)*MAX('Inputs'!$B$33,'Inputs'!$B$29+'Inputs'!$B$31+'Inputs'!$B$32,'Inputs'!$B$30+'Inputs'!$B$31+'Inputs'!$B$32)/1000+'Inputs'!$B$21)+'Inputs'!$B$7)/SQRT((((352-43)*MAX('Inputs'!$B$33,'Inputs'!$B$29+'Inputs'!$B$31+'Inputs'!$B$32,'Inputs'!$B$30+'Inputs'!$B$31+'Inputs'!$B$32)/1000+'Inputs'!$B$21)+'Inputs'!$B$7)^2+('Inputs'!$B$6/2)^2)-(((352-43)*MAX('Inputs'!$B$33,'Inputs'!$B$29+'Inputs'!$B$31+'Inputs'!$B$32,'Inputs'!$B$30+'Inputs'!$B$31+'Inputs'!$B$32)/1000+'Inputs'!$B$21))/SQRT((((352-43)*MAX('Inputs'!$B$33,'Inputs'!$B$29+'Inputs'!$B$31+'Inputs'!$B$32,'Inputs'!$B$30+'Inputs'!$B$31+'Inputs'!$B$32)/1000+'Inputs'!$B$21))^2+('Inputs'!$B$6/2)^2)))-'Results'!C7*(1-'Inputs'!$B$24)*(0.5*((((352-43)*MAX('Inputs'!$B$33,'Inputs'!$B$29+'Inputs'!$B$31+'Inputs'!$B$32,'Inputs'!$B$30+'Inputs'!$B$31+'Inputs'!$B$32)/1000+'Inputs'!$B$21+'Inputs'!$B$7+'Inputs'!$B$10)+'Inputs'!$B$9)/SQRT((((352-43)*MAX('Inputs'!$B$33,'Inputs'!$B$29+'Inputs'!$B$31+'Inputs'!$B$32,'Inputs'!$B$30+'Inputs'!$B$31+'Inputs'!$B$32)/1000+'Inputs'!$B$21+'Inputs'!$B$7+'Inputs'!$B$10)+'Inputs'!$B$9)^2+('Inputs'!$B$8/2)^2)-(((352-43)*MAX('Inputs'!$B$33,'Inputs'!$B$29+'Inputs'!$B$31+'Inputs'!$B$32,'Inputs'!$B$30+'Inputs'!$B$31+'Inputs'!$B$32)/1000+'Inputs'!$B$21+'Inputs'!$B$7+'Inputs'!$B$10))/SQRT((((352-43)*MAX('Inputs'!$B$33,'Inputs'!$B$29+'Inputs'!$B$31+'Inputs'!$B$32,'Inputs'!$B$30+'Inputs'!$B$31+'Inputs'!$B$32)/1000+'Inputs'!$B$21+'Inputs'!$B$7+'Inputs'!$B$10))^2+('Inputs'!$B$8/2)^2))))*'Results'!$B$8)+'Inputs'!$B$28*ABS((('Results'!B7*(1+'Inputs'!$B$24)*(0.5*((((352-43)*MAX('Inputs'!$B$33,'Inputs'!$B$29+'Inputs'!$B$31+'Inputs'!$B$32,'Inputs'!$B$30+'Inputs'!$B$31+'Inputs'!$B$32)/1000+'Inputs'!$B$21)+'Inputs'!$B$7)/SQRT((((352-43)*MAX('Inputs'!$B$33,'Inputs'!$B$29+'Inputs'!$B$31+'Inputs'!$B$32,'Inputs'!$B$30+'Inputs'!$B$31+'Inputs'!$B$32)/1000+'Inputs'!$B$21)+'Inputs'!$B$7)^2+('Inputs'!$B$6/2)^2)-(((352-43)*MAX('Inputs'!$B$33,'Inputs'!$B$29+'Inputs'!$B$31+'Inputs'!$B$32,'Inputs'!$B$30+'Inputs'!$B$31+'Inputs'!$B$32)/1000+'Inputs'!$B$21))/SQRT((((352-43)*MAX('Inputs'!$B$33,'Inputs'!$B$29+'Inputs'!$B$31+'Inputs'!$B$32,'Inputs'!$B$30+'Inputs'!$B$31+'Inputs'!$B$32)/1000+'Inputs'!$B$21))^2+('Inputs'!$B$6/2)^2)))-'Results'!C7*(1-'Inputs'!$B$24)*(0.5*((((352-43)*MAX('Inputs'!$B$33,'Inputs'!$B$29+'Inputs'!$B$31+'Inputs'!$B$32,'Inputs'!$B$30+'Inputs'!$B$31+'Inputs'!$B$32)/1000+'Inputs'!$B$21+'Inputs'!$B$7+'Inputs'!$B$10)+'Inputs'!$B$9)/SQRT((((352-43)*MAX('Inputs'!$B$33,'Inputs'!$B$29+'Inputs'!$B$31+'Inputs'!$B$32,'Inputs'!$B$30+'Inputs'!$B$31+'Inputs'!$B$32)/1000+'Inputs'!$B$21+'Inputs'!$B$7+'Inputs'!$B$10)+'Inputs'!$B$9)^2+('Inputs'!$B$8/2)^2)-(((352-43)*MAX('Inputs'!$B$33,'Inputs'!$B$29+'Inputs'!$B$31+'Inputs'!$B$32,'Inputs'!$B$30+'Inputs'!$B$31+'Inputs'!$B$32)/1000+'Inputs'!$B$21+'Inputs'!$B$7+'Inputs'!$B$10))/SQRT((((352-43)*MAX('Inputs'!$B$33,'Inputs'!$B$29+'Inputs'!$B$31+'Inputs'!$B$32,'Inputs'!$B$30+'Inputs'!$B$31+'Inputs'!$B$32)/1000+'Inputs'!$B$21+'Inputs'!$B$7+'Inputs'!$B$10))^2+('Inputs'!$B$8/2)^2))))*'Results'!$B$8))),"")</x:f>
        <x:v>22.326709736693147</x:v>
      </x:c>
      <x:c r="M352" t="n">
        <x:f>IF(AND(ISNUMBER('Results'!C7),ISNUMBER('Results'!B7),ISNUMBER('Results'!$B$8),ISNUMBER('Inputs'!$B$6),ISNUMBER('Inputs'!$B$7),ISNUMBER('Inputs'!$B$8),ISNUMBER('Inputs'!$B$9),ISNUMBER('Inputs'!$B$10),ISNUMBER('Inputs'!$B$21),ISNUMBER('Inputs'!$B$24),ISNUMBER('Inputs'!$B$28)),(('Results'!C7*(0.5*((((352-43)*MAX('Inputs'!$B$33,'Inputs'!$B$29+'Inputs'!$B$31+'Inputs'!$B$32,'Inputs'!$B$30+'Inputs'!$B$31+'Inputs'!$B$32)/1000+'Inputs'!$B$21)+'Inputs'!$B$9)/SQRT((((352-43)*MAX('Inputs'!$B$33,'Inputs'!$B$29+'Inputs'!$B$31+'Inputs'!$B$32,'Inputs'!$B$30+'Inputs'!$B$31+'Inputs'!$B$32)/1000+'Inputs'!$B$21)+'Inputs'!$B$9)^2+('Inputs'!$B$8/2)^2)-(((352-43)*MAX('Inputs'!$B$33,'Inputs'!$B$29+'Inputs'!$B$31+'Inputs'!$B$32,'Inputs'!$B$30+'Inputs'!$B$31+'Inputs'!$B$32)/1000+'Inputs'!$B$21))/SQRT((((352-43)*MAX('Inputs'!$B$33,'Inputs'!$B$29+'Inputs'!$B$31+'Inputs'!$B$32,'Inputs'!$B$30+'Inputs'!$B$31+'Inputs'!$B$32)/1000+'Inputs'!$B$21))^2+('Inputs'!$B$8/2)^2)))-'Results'!B7*(0.5*((((352-43)*MAX('Inputs'!$B$33,'Inputs'!$B$29+'Inputs'!$B$31+'Inputs'!$B$32,'Inputs'!$B$30+'Inputs'!$B$31+'Inputs'!$B$32)/1000+'Inputs'!$B$21+'Inputs'!$B$9+'Inputs'!$B$10)+'Inputs'!$B$7)/SQRT((((352-43)*MAX('Inputs'!$B$33,'Inputs'!$B$29+'Inputs'!$B$31+'Inputs'!$B$32,'Inputs'!$B$30+'Inputs'!$B$31+'Inputs'!$B$32)/1000+'Inputs'!$B$21+'Inputs'!$B$9+'Inputs'!$B$10)+'Inputs'!$B$7)^2+('Inputs'!$B$6/2)^2)-(((352-43)*MAX('Inputs'!$B$33,'Inputs'!$B$29+'Inputs'!$B$31+'Inputs'!$B$32,'Inputs'!$B$30+'Inputs'!$B$31+'Inputs'!$B$32)/1000+'Inputs'!$B$21+'Inputs'!$B$9+'Inputs'!$B$10))/SQRT((((352-43)*MAX('Inputs'!$B$33,'Inputs'!$B$29+'Inputs'!$B$31+'Inputs'!$B$32,'Inputs'!$B$30+'Inputs'!$B$31+'Inputs'!$B$32)/1000+'Inputs'!$B$21+'Inputs'!$B$9+'Inputs'!$B$10))^2+('Inputs'!$B$6/2)^2))))*'Results'!$B$8),"")</x:f>
        <x:v>19.30152479722493</x:v>
      </x:c>
      <x:c r="N352" t="n">
        <x:f>IF(AND(ISNUMBER('Results'!C7),ISNUMBER('Results'!B7),ISNUMBER('Results'!$B$8),ISNUMBER('Inputs'!$B$6),ISNUMBER('Inputs'!$B$7),ISNUMBER('Inputs'!$B$8),ISNUMBER('Inputs'!$B$9),ISNUMBER('Inputs'!$B$10),ISNUMBER('Inputs'!$B$21),ISNUMBER('Inputs'!$B$24),ISNUMBER('Inputs'!$B$28)),((('Results'!C7*(1-'Inputs'!$B$24)*(0.5*((((352-43)*MAX('Inputs'!$B$33,'Inputs'!$B$29+'Inputs'!$B$31+'Inputs'!$B$32,'Inputs'!$B$30+'Inputs'!$B$31+'Inputs'!$B$32)/1000+'Inputs'!$B$21)+'Inputs'!$B$9)/SQRT((((352-43)*MAX('Inputs'!$B$33,'Inputs'!$B$29+'Inputs'!$B$31+'Inputs'!$B$32,'Inputs'!$B$30+'Inputs'!$B$31+'Inputs'!$B$32)/1000+'Inputs'!$B$21)+'Inputs'!$B$9)^2+('Inputs'!$B$8/2)^2)-(((352-43)*MAX('Inputs'!$B$33,'Inputs'!$B$29+'Inputs'!$B$31+'Inputs'!$B$32,'Inputs'!$B$30+'Inputs'!$B$31+'Inputs'!$B$32)/1000+'Inputs'!$B$21))/SQRT((((352-43)*MAX('Inputs'!$B$33,'Inputs'!$B$29+'Inputs'!$B$31+'Inputs'!$B$32,'Inputs'!$B$30+'Inputs'!$B$31+'Inputs'!$B$32)/1000+'Inputs'!$B$21))^2+('Inputs'!$B$8/2)^2)))-'Results'!B7*(1+'Inputs'!$B$24)*(0.5*((((352-43)*MAX('Inputs'!$B$33,'Inputs'!$B$29+'Inputs'!$B$31+'Inputs'!$B$32,'Inputs'!$B$30+'Inputs'!$B$31+'Inputs'!$B$32)/1000+'Inputs'!$B$21+'Inputs'!$B$9+'Inputs'!$B$10)+'Inputs'!$B$7)/SQRT((((352-43)*MAX('Inputs'!$B$33,'Inputs'!$B$29+'Inputs'!$B$31+'Inputs'!$B$32,'Inputs'!$B$30+'Inputs'!$B$31+'Inputs'!$B$32)/1000+'Inputs'!$B$21+'Inputs'!$B$9+'Inputs'!$B$10)+'Inputs'!$B$7)^2+('Inputs'!$B$6/2)^2)-(((352-43)*MAX('Inputs'!$B$33,'Inputs'!$B$29+'Inputs'!$B$31+'Inputs'!$B$32,'Inputs'!$B$30+'Inputs'!$B$31+'Inputs'!$B$32)/1000+'Inputs'!$B$21+'Inputs'!$B$9+'Inputs'!$B$10))/SQRT((((352-43)*MAX('Inputs'!$B$33,'Inputs'!$B$29+'Inputs'!$B$31+'Inputs'!$B$32,'Inputs'!$B$30+'Inputs'!$B$31+'Inputs'!$B$32)/1000+'Inputs'!$B$21+'Inputs'!$B$9+'Inputs'!$B$10))^2+('Inputs'!$B$6/2)^2))))*'Results'!$B$8)-'Inputs'!$B$28*ABS((('Results'!C7*(1-'Inputs'!$B$24)*(0.5*((((352-43)*MAX('Inputs'!$B$33,'Inputs'!$B$29+'Inputs'!$B$31+'Inputs'!$B$32,'Inputs'!$B$30+'Inputs'!$B$31+'Inputs'!$B$32)/1000+'Inputs'!$B$21)+'Inputs'!$B$9)/SQRT((((352-43)*MAX('Inputs'!$B$33,'Inputs'!$B$29+'Inputs'!$B$31+'Inputs'!$B$32,'Inputs'!$B$30+'Inputs'!$B$31+'Inputs'!$B$32)/1000+'Inputs'!$B$21)+'Inputs'!$B$9)^2+('Inputs'!$B$8/2)^2)-(((352-43)*MAX('Inputs'!$B$33,'Inputs'!$B$29+'Inputs'!$B$31+'Inputs'!$B$32,'Inputs'!$B$30+'Inputs'!$B$31+'Inputs'!$B$32)/1000+'Inputs'!$B$21))/SQRT((((352-43)*MAX('Inputs'!$B$33,'Inputs'!$B$29+'Inputs'!$B$31+'Inputs'!$B$32,'Inputs'!$B$30+'Inputs'!$B$31+'Inputs'!$B$32)/1000+'Inputs'!$B$21))^2+('Inputs'!$B$8/2)^2)))-'Results'!B7*(1+'Inputs'!$B$24)*(0.5*((((352-43)*MAX('Inputs'!$B$33,'Inputs'!$B$29+'Inputs'!$B$31+'Inputs'!$B$32,'Inputs'!$B$30+'Inputs'!$B$31+'Inputs'!$B$32)/1000+'Inputs'!$B$21+'Inputs'!$B$9+'Inputs'!$B$10)+'Inputs'!$B$7)/SQRT((((352-43)*MAX('Inputs'!$B$33,'Inputs'!$B$29+'Inputs'!$B$31+'Inputs'!$B$32,'Inputs'!$B$30+'Inputs'!$B$31+'Inputs'!$B$32)/1000+'Inputs'!$B$21+'Inputs'!$B$9+'Inputs'!$B$10)+'Inputs'!$B$7)^2+('Inputs'!$B$6/2)^2)-(((352-43)*MAX('Inputs'!$B$33,'Inputs'!$B$29+'Inputs'!$B$31+'Inputs'!$B$32,'Inputs'!$B$30+'Inputs'!$B$31+'Inputs'!$B$32)/1000+'Inputs'!$B$21+'Inputs'!$B$9+'Inputs'!$B$10))/SQRT((((352-43)*MAX('Inputs'!$B$33,'Inputs'!$B$29+'Inputs'!$B$31+'Inputs'!$B$32,'Inputs'!$B$30+'Inputs'!$B$31+'Inputs'!$B$32)/1000+'Inputs'!$B$21+'Inputs'!$B$9+'Inputs'!$B$10))^2+('Inputs'!$B$6/2)^2))))*'Results'!$B$8))),"")</x:f>
        <x:v>17.41486638788275</x:v>
      </x:c>
      <x:c r="O352" t="n">
        <x:f>IF(AND(ISNUMBER('Results'!C7),ISNUMBER('Results'!B7),ISNUMBER('Results'!$B$8),ISNUMBER('Inputs'!$B$6),ISNUMBER('Inputs'!$B$7),ISNUMBER('Inputs'!$B$8),ISNUMBER('Inputs'!$B$9),ISNUMBER('Inputs'!$B$10),ISNUMBER('Inputs'!$B$21),ISNUMBER('Inputs'!$B$24),ISNUMBER('Inputs'!$B$28)),((('Results'!C7*(1+'Inputs'!$B$24)*(0.5*((((352-43)*MAX('Inputs'!$B$33,'Inputs'!$B$29+'Inputs'!$B$31+'Inputs'!$B$32,'Inputs'!$B$30+'Inputs'!$B$31+'Inputs'!$B$32)/1000+'Inputs'!$B$21)+'Inputs'!$B$9)/SQRT((((352-43)*MAX('Inputs'!$B$33,'Inputs'!$B$29+'Inputs'!$B$31+'Inputs'!$B$32,'Inputs'!$B$30+'Inputs'!$B$31+'Inputs'!$B$32)/1000+'Inputs'!$B$21)+'Inputs'!$B$9)^2+('Inputs'!$B$8/2)^2)-(((352-43)*MAX('Inputs'!$B$33,'Inputs'!$B$29+'Inputs'!$B$31+'Inputs'!$B$32,'Inputs'!$B$30+'Inputs'!$B$31+'Inputs'!$B$32)/1000+'Inputs'!$B$21))/SQRT((((352-43)*MAX('Inputs'!$B$33,'Inputs'!$B$29+'Inputs'!$B$31+'Inputs'!$B$32,'Inputs'!$B$30+'Inputs'!$B$31+'Inputs'!$B$32)/1000+'Inputs'!$B$21))^2+('Inputs'!$B$8/2)^2)))-'Results'!B7*(1-'Inputs'!$B$24)*(0.5*((((352-43)*MAX('Inputs'!$B$33,'Inputs'!$B$29+'Inputs'!$B$31+'Inputs'!$B$32,'Inputs'!$B$30+'Inputs'!$B$31+'Inputs'!$B$32)/1000+'Inputs'!$B$21+'Inputs'!$B$9+'Inputs'!$B$10)+'Inputs'!$B$7)/SQRT((((352-43)*MAX('Inputs'!$B$33,'Inputs'!$B$29+'Inputs'!$B$31+'Inputs'!$B$32,'Inputs'!$B$30+'Inputs'!$B$31+'Inputs'!$B$32)/1000+'Inputs'!$B$21+'Inputs'!$B$9+'Inputs'!$B$10)+'Inputs'!$B$7)^2+('Inputs'!$B$6/2)^2)-(((352-43)*MAX('Inputs'!$B$33,'Inputs'!$B$29+'Inputs'!$B$31+'Inputs'!$B$32,'Inputs'!$B$30+'Inputs'!$B$31+'Inputs'!$B$32)/1000+'Inputs'!$B$21+'Inputs'!$B$9+'Inputs'!$B$10))/SQRT((((352-43)*MAX('Inputs'!$B$33,'Inputs'!$B$29+'Inputs'!$B$31+'Inputs'!$B$32,'Inputs'!$B$30+'Inputs'!$B$31+'Inputs'!$B$32)/1000+'Inputs'!$B$21+'Inputs'!$B$9+'Inputs'!$B$10))^2+('Inputs'!$B$6/2)^2))))*'Results'!$B$8)+'Inputs'!$B$28*ABS((('Results'!C7*(1+'Inputs'!$B$24)*(0.5*((((352-43)*MAX('Inputs'!$B$33,'Inputs'!$B$29+'Inputs'!$B$31+'Inputs'!$B$32,'Inputs'!$B$30+'Inputs'!$B$31+'Inputs'!$B$32)/1000+'Inputs'!$B$21)+'Inputs'!$B$9)/SQRT((((352-43)*MAX('Inputs'!$B$33,'Inputs'!$B$29+'Inputs'!$B$31+'Inputs'!$B$32,'Inputs'!$B$30+'Inputs'!$B$31+'Inputs'!$B$32)/1000+'Inputs'!$B$21)+'Inputs'!$B$9)^2+('Inputs'!$B$8/2)^2)-(((352-43)*MAX('Inputs'!$B$33,'Inputs'!$B$29+'Inputs'!$B$31+'Inputs'!$B$32,'Inputs'!$B$30+'Inputs'!$B$31+'Inputs'!$B$32)/1000+'Inputs'!$B$21))/SQRT((((352-43)*MAX('Inputs'!$B$33,'Inputs'!$B$29+'Inputs'!$B$31+'Inputs'!$B$32,'Inputs'!$B$30+'Inputs'!$B$31+'Inputs'!$B$32)/1000+'Inputs'!$B$21))^2+('Inputs'!$B$8/2)^2)))-'Results'!B7*(1-'Inputs'!$B$24)*(0.5*((((352-43)*MAX('Inputs'!$B$33,'Inputs'!$B$29+'Inputs'!$B$31+'Inputs'!$B$32,'Inputs'!$B$30+'Inputs'!$B$31+'Inputs'!$B$32)/1000+'Inputs'!$B$21+'Inputs'!$B$9+'Inputs'!$B$10)+'Inputs'!$B$7)/SQRT((((352-43)*MAX('Inputs'!$B$33,'Inputs'!$B$29+'Inputs'!$B$31+'Inputs'!$B$32,'Inputs'!$B$30+'Inputs'!$B$31+'Inputs'!$B$32)/1000+'Inputs'!$B$21+'Inputs'!$B$9+'Inputs'!$B$10)+'Inputs'!$B$7)^2+('Inputs'!$B$6/2)^2)-(((352-43)*MAX('Inputs'!$B$33,'Inputs'!$B$29+'Inputs'!$B$31+'Inputs'!$B$32,'Inputs'!$B$30+'Inputs'!$B$31+'Inputs'!$B$32)/1000+'Inputs'!$B$21+'Inputs'!$B$9+'Inputs'!$B$10))/SQRT((((352-43)*MAX('Inputs'!$B$33,'Inputs'!$B$29+'Inputs'!$B$31+'Inputs'!$B$32,'Inputs'!$B$30+'Inputs'!$B$31+'Inputs'!$B$32)/1000+'Inputs'!$B$21+'Inputs'!$B$9+'Inputs'!$B$10))^2+('Inputs'!$B$6/2)^2))))*'Results'!$B$8))),"")</x:f>
        <x:v>21.285191855986152</x:v>
      </x:c>
      <x:c r="P352" t="n">
        <x:f>IF(AND(MAX(J352,J351)&gt;0,J352&gt;J351+0.00000001),1,0)</x:f>
        <x:v>0</x:v>
      </x:c>
      <x:c r="Q352" t="n">
        <x:f>IF(AND(MAX(K352,K351)&gt;0,K352&gt;K351+0.00000001),1,0)</x:f>
        <x:v>0</x:v>
      </x:c>
      <x:c r="R352" t="n">
        <x:f>IF(AND(MAX(L352,L351)&gt;0,L352&gt;L351+0.00000001),1,0)</x:f>
        <x:v>0</x:v>
      </x:c>
      <x:c r="S352" t="n">
        <x:f>IF(AND(MAX(M352,M351)&gt;0,M352&gt;M351+0.00000001),1,0)</x:f>
        <x:v>0</x:v>
      </x:c>
      <x:c r="T352" t="n">
        <x:f>IF(AND(MAX(N352,N351)&gt;0,N352&gt;N351+0.00000001),1,0)</x:f>
        <x:v>0</x:v>
      </x:c>
      <x:c r="U352" t="n">
        <x:f>IF(AND(MAX(O352,O351)&gt;0,O352&gt;O351+0.00000001),1,0)</x:f>
        <x:v>0</x:v>
      </x:c>
    </x:row>
    <x:row r="353">
      <x:c r="J353" t="n">
        <x:f>IF(AND(ISNUMBER('Results'!B7),ISNUMBER('Results'!C7),ISNUMBER('Results'!$B$8),ISNUMBER('Inputs'!$B$6),ISNUMBER('Inputs'!$B$7),ISNUMBER('Inputs'!$B$8),ISNUMBER('Inputs'!$B$9),ISNUMBER('Inputs'!$B$10),ISNUMBER('Inputs'!$B$21),ISNUMBER('Inputs'!$B$24),ISNUMBER('Inputs'!$B$28)),(('Results'!B7*(0.5*((((353-43)*MAX('Inputs'!$B$33,'Inputs'!$B$29+'Inputs'!$B$31+'Inputs'!$B$32,'Inputs'!$B$30+'Inputs'!$B$31+'Inputs'!$B$32)/1000+'Inputs'!$B$21)+'Inputs'!$B$7)/SQRT((((353-43)*MAX('Inputs'!$B$33,'Inputs'!$B$29+'Inputs'!$B$31+'Inputs'!$B$32,'Inputs'!$B$30+'Inputs'!$B$31+'Inputs'!$B$32)/1000+'Inputs'!$B$21)+'Inputs'!$B$7)^2+('Inputs'!$B$6/2)^2)-(((353-43)*MAX('Inputs'!$B$33,'Inputs'!$B$29+'Inputs'!$B$31+'Inputs'!$B$32,'Inputs'!$B$30+'Inputs'!$B$31+'Inputs'!$B$32)/1000+'Inputs'!$B$21))/SQRT((((353-43)*MAX('Inputs'!$B$33,'Inputs'!$B$29+'Inputs'!$B$31+'Inputs'!$B$32,'Inputs'!$B$30+'Inputs'!$B$31+'Inputs'!$B$32)/1000+'Inputs'!$B$21))^2+('Inputs'!$B$6/2)^2)))-'Results'!C7*(0.5*((((353-43)*MAX('Inputs'!$B$33,'Inputs'!$B$29+'Inputs'!$B$31+'Inputs'!$B$32,'Inputs'!$B$30+'Inputs'!$B$31+'Inputs'!$B$32)/1000+'Inputs'!$B$21+'Inputs'!$B$7+'Inputs'!$B$10)+'Inputs'!$B$9)/SQRT((((353-43)*MAX('Inputs'!$B$33,'Inputs'!$B$29+'Inputs'!$B$31+'Inputs'!$B$32,'Inputs'!$B$30+'Inputs'!$B$31+'Inputs'!$B$32)/1000+'Inputs'!$B$21+'Inputs'!$B$7+'Inputs'!$B$10)+'Inputs'!$B$9)^2+('Inputs'!$B$8/2)^2)-(((353-43)*MAX('Inputs'!$B$33,'Inputs'!$B$29+'Inputs'!$B$31+'Inputs'!$B$32,'Inputs'!$B$30+'Inputs'!$B$31+'Inputs'!$B$32)/1000+'Inputs'!$B$21+'Inputs'!$B$7+'Inputs'!$B$10))/SQRT((((353-43)*MAX('Inputs'!$B$33,'Inputs'!$B$29+'Inputs'!$B$31+'Inputs'!$B$32,'Inputs'!$B$30+'Inputs'!$B$31+'Inputs'!$B$32)/1000+'Inputs'!$B$21+'Inputs'!$B$7+'Inputs'!$B$10))^2+('Inputs'!$B$8/2)^2))))*'Results'!$B$8),"")</x:f>
        <x:v>20.08133404130333</x:v>
      </x:c>
      <x:c r="K353" t="n">
        <x:f>IF(AND(ISNUMBER('Results'!B7),ISNUMBER('Results'!C7),ISNUMBER('Results'!$B$8),ISNUMBER('Inputs'!$B$6),ISNUMBER('Inputs'!$B$7),ISNUMBER('Inputs'!$B$8),ISNUMBER('Inputs'!$B$9),ISNUMBER('Inputs'!$B$10),ISNUMBER('Inputs'!$B$21),ISNUMBER('Inputs'!$B$24),ISNUMBER('Inputs'!$B$28)),((('Results'!B7*(1-'Inputs'!$B$24)*(0.5*((((353-43)*MAX('Inputs'!$B$33,'Inputs'!$B$29+'Inputs'!$B$31+'Inputs'!$B$32,'Inputs'!$B$30+'Inputs'!$B$31+'Inputs'!$B$32)/1000+'Inputs'!$B$21)+'Inputs'!$B$7)/SQRT((((353-43)*MAX('Inputs'!$B$33,'Inputs'!$B$29+'Inputs'!$B$31+'Inputs'!$B$32,'Inputs'!$B$30+'Inputs'!$B$31+'Inputs'!$B$32)/1000+'Inputs'!$B$21)+'Inputs'!$B$7)^2+('Inputs'!$B$6/2)^2)-(((353-43)*MAX('Inputs'!$B$33,'Inputs'!$B$29+'Inputs'!$B$31+'Inputs'!$B$32,'Inputs'!$B$30+'Inputs'!$B$31+'Inputs'!$B$32)/1000+'Inputs'!$B$21))/SQRT((((353-43)*MAX('Inputs'!$B$33,'Inputs'!$B$29+'Inputs'!$B$31+'Inputs'!$B$32,'Inputs'!$B$30+'Inputs'!$B$31+'Inputs'!$B$32)/1000+'Inputs'!$B$21))^2+('Inputs'!$B$6/2)^2)))-'Results'!C7*(1+'Inputs'!$B$24)*(0.5*((((353-43)*MAX('Inputs'!$B$33,'Inputs'!$B$29+'Inputs'!$B$31+'Inputs'!$B$32,'Inputs'!$B$30+'Inputs'!$B$31+'Inputs'!$B$32)/1000+'Inputs'!$B$21+'Inputs'!$B$7+'Inputs'!$B$10)+'Inputs'!$B$9)/SQRT((((353-43)*MAX('Inputs'!$B$33,'Inputs'!$B$29+'Inputs'!$B$31+'Inputs'!$B$32,'Inputs'!$B$30+'Inputs'!$B$31+'Inputs'!$B$32)/1000+'Inputs'!$B$21+'Inputs'!$B$7+'Inputs'!$B$10)+'Inputs'!$B$9)^2+('Inputs'!$B$8/2)^2)-(((353-43)*MAX('Inputs'!$B$33,'Inputs'!$B$29+'Inputs'!$B$31+'Inputs'!$B$32,'Inputs'!$B$30+'Inputs'!$B$31+'Inputs'!$B$32)/1000+'Inputs'!$B$21+'Inputs'!$B$7+'Inputs'!$B$10))/SQRT((((353-43)*MAX('Inputs'!$B$33,'Inputs'!$B$29+'Inputs'!$B$31+'Inputs'!$B$32,'Inputs'!$B$30+'Inputs'!$B$31+'Inputs'!$B$32)/1000+'Inputs'!$B$21+'Inputs'!$B$7+'Inputs'!$B$10))^2+('Inputs'!$B$8/2)^2))))*'Results'!$B$8)-'Inputs'!$B$28*ABS((('Results'!B7*(1-'Inputs'!$B$24)*(0.5*((((353-43)*MAX('Inputs'!$B$33,'Inputs'!$B$29+'Inputs'!$B$31+'Inputs'!$B$32,'Inputs'!$B$30+'Inputs'!$B$31+'Inputs'!$B$32)/1000+'Inputs'!$B$21)+'Inputs'!$B$7)/SQRT((((353-43)*MAX('Inputs'!$B$33,'Inputs'!$B$29+'Inputs'!$B$31+'Inputs'!$B$32,'Inputs'!$B$30+'Inputs'!$B$31+'Inputs'!$B$32)/1000+'Inputs'!$B$21)+'Inputs'!$B$7)^2+('Inputs'!$B$6/2)^2)-(((353-43)*MAX('Inputs'!$B$33,'Inputs'!$B$29+'Inputs'!$B$31+'Inputs'!$B$32,'Inputs'!$B$30+'Inputs'!$B$31+'Inputs'!$B$32)/1000+'Inputs'!$B$21))/SQRT((((353-43)*MAX('Inputs'!$B$33,'Inputs'!$B$29+'Inputs'!$B$31+'Inputs'!$B$32,'Inputs'!$B$30+'Inputs'!$B$31+'Inputs'!$B$32)/1000+'Inputs'!$B$21))^2+('Inputs'!$B$6/2)^2)))-'Results'!C7*(1+'Inputs'!$B$24)*(0.5*((((353-43)*MAX('Inputs'!$B$33,'Inputs'!$B$29+'Inputs'!$B$31+'Inputs'!$B$32,'Inputs'!$B$30+'Inputs'!$B$31+'Inputs'!$B$32)/1000+'Inputs'!$B$21+'Inputs'!$B$7+'Inputs'!$B$10)+'Inputs'!$B$9)/SQRT((((353-43)*MAX('Inputs'!$B$33,'Inputs'!$B$29+'Inputs'!$B$31+'Inputs'!$B$32,'Inputs'!$B$30+'Inputs'!$B$31+'Inputs'!$B$32)/1000+'Inputs'!$B$21+'Inputs'!$B$7+'Inputs'!$B$10)+'Inputs'!$B$9)^2+('Inputs'!$B$8/2)^2)-(((353-43)*MAX('Inputs'!$B$33,'Inputs'!$B$29+'Inputs'!$B$31+'Inputs'!$B$32,'Inputs'!$B$30+'Inputs'!$B$31+'Inputs'!$B$32)/1000+'Inputs'!$B$21+'Inputs'!$B$7+'Inputs'!$B$10))/SQRT((((353-43)*MAX('Inputs'!$B$33,'Inputs'!$B$29+'Inputs'!$B$31+'Inputs'!$B$32,'Inputs'!$B$30+'Inputs'!$B$31+'Inputs'!$B$32)/1000+'Inputs'!$B$21+'Inputs'!$B$7+'Inputs'!$B$10))^2+('Inputs'!$B$8/2)^2))))*'Results'!$B$8))),"")</x:f>
        <x:v>18.155522673098364</x:v>
      </x:c>
      <x:c r="L353" t="n">
        <x:f>IF(AND(ISNUMBER('Results'!B7),ISNUMBER('Results'!C7),ISNUMBER('Results'!$B$8),ISNUMBER('Inputs'!$B$6),ISNUMBER('Inputs'!$B$7),ISNUMBER('Inputs'!$B$8),ISNUMBER('Inputs'!$B$9),ISNUMBER('Inputs'!$B$10),ISNUMBER('Inputs'!$B$21),ISNUMBER('Inputs'!$B$24),ISNUMBER('Inputs'!$B$28)),((('Results'!B7*(1+'Inputs'!$B$24)*(0.5*((((353-43)*MAX('Inputs'!$B$33,'Inputs'!$B$29+'Inputs'!$B$31+'Inputs'!$B$32,'Inputs'!$B$30+'Inputs'!$B$31+'Inputs'!$B$32)/1000+'Inputs'!$B$21)+'Inputs'!$B$7)/SQRT((((353-43)*MAX('Inputs'!$B$33,'Inputs'!$B$29+'Inputs'!$B$31+'Inputs'!$B$32,'Inputs'!$B$30+'Inputs'!$B$31+'Inputs'!$B$32)/1000+'Inputs'!$B$21)+'Inputs'!$B$7)^2+('Inputs'!$B$6/2)^2)-(((353-43)*MAX('Inputs'!$B$33,'Inputs'!$B$29+'Inputs'!$B$31+'Inputs'!$B$32,'Inputs'!$B$30+'Inputs'!$B$31+'Inputs'!$B$32)/1000+'Inputs'!$B$21))/SQRT((((353-43)*MAX('Inputs'!$B$33,'Inputs'!$B$29+'Inputs'!$B$31+'Inputs'!$B$32,'Inputs'!$B$30+'Inputs'!$B$31+'Inputs'!$B$32)/1000+'Inputs'!$B$21))^2+('Inputs'!$B$6/2)^2)))-'Results'!C7*(1-'Inputs'!$B$24)*(0.5*((((353-43)*MAX('Inputs'!$B$33,'Inputs'!$B$29+'Inputs'!$B$31+'Inputs'!$B$32,'Inputs'!$B$30+'Inputs'!$B$31+'Inputs'!$B$32)/1000+'Inputs'!$B$21+'Inputs'!$B$7+'Inputs'!$B$10)+'Inputs'!$B$9)/SQRT((((353-43)*MAX('Inputs'!$B$33,'Inputs'!$B$29+'Inputs'!$B$31+'Inputs'!$B$32,'Inputs'!$B$30+'Inputs'!$B$31+'Inputs'!$B$32)/1000+'Inputs'!$B$21+'Inputs'!$B$7+'Inputs'!$B$10)+'Inputs'!$B$9)^2+('Inputs'!$B$8/2)^2)-(((353-43)*MAX('Inputs'!$B$33,'Inputs'!$B$29+'Inputs'!$B$31+'Inputs'!$B$32,'Inputs'!$B$30+'Inputs'!$B$31+'Inputs'!$B$32)/1000+'Inputs'!$B$21+'Inputs'!$B$7+'Inputs'!$B$10))/SQRT((((353-43)*MAX('Inputs'!$B$33,'Inputs'!$B$29+'Inputs'!$B$31+'Inputs'!$B$32,'Inputs'!$B$30+'Inputs'!$B$31+'Inputs'!$B$32)/1000+'Inputs'!$B$21+'Inputs'!$B$7+'Inputs'!$B$10))^2+('Inputs'!$B$8/2)^2))))*'Results'!$B$8)+'Inputs'!$B$28*ABS((('Results'!B7*(1+'Inputs'!$B$24)*(0.5*((((353-43)*MAX('Inputs'!$B$33,'Inputs'!$B$29+'Inputs'!$B$31+'Inputs'!$B$32,'Inputs'!$B$30+'Inputs'!$B$31+'Inputs'!$B$32)/1000+'Inputs'!$B$21)+'Inputs'!$B$7)/SQRT((((353-43)*MAX('Inputs'!$B$33,'Inputs'!$B$29+'Inputs'!$B$31+'Inputs'!$B$32,'Inputs'!$B$30+'Inputs'!$B$31+'Inputs'!$B$32)/1000+'Inputs'!$B$21)+'Inputs'!$B$7)^2+('Inputs'!$B$6/2)^2)-(((353-43)*MAX('Inputs'!$B$33,'Inputs'!$B$29+'Inputs'!$B$31+'Inputs'!$B$32,'Inputs'!$B$30+'Inputs'!$B$31+'Inputs'!$B$32)/1000+'Inputs'!$B$21))/SQRT((((353-43)*MAX('Inputs'!$B$33,'Inputs'!$B$29+'Inputs'!$B$31+'Inputs'!$B$32,'Inputs'!$B$30+'Inputs'!$B$31+'Inputs'!$B$32)/1000+'Inputs'!$B$21))^2+('Inputs'!$B$6/2)^2)))-'Results'!C7*(1-'Inputs'!$B$24)*(0.5*((((353-43)*MAX('Inputs'!$B$33,'Inputs'!$B$29+'Inputs'!$B$31+'Inputs'!$B$32,'Inputs'!$B$30+'Inputs'!$B$31+'Inputs'!$B$32)/1000+'Inputs'!$B$21+'Inputs'!$B$7+'Inputs'!$B$10)+'Inputs'!$B$9)/SQRT((((353-43)*MAX('Inputs'!$B$33,'Inputs'!$B$29+'Inputs'!$B$31+'Inputs'!$B$32,'Inputs'!$B$30+'Inputs'!$B$31+'Inputs'!$B$32)/1000+'Inputs'!$B$21+'Inputs'!$B$7+'Inputs'!$B$10)+'Inputs'!$B$9)^2+('Inputs'!$B$8/2)^2)-(((353-43)*MAX('Inputs'!$B$33,'Inputs'!$B$29+'Inputs'!$B$31+'Inputs'!$B$32,'Inputs'!$B$30+'Inputs'!$B$31+'Inputs'!$B$32)/1000+'Inputs'!$B$21+'Inputs'!$B$7+'Inputs'!$B$10))/SQRT((((353-43)*MAX('Inputs'!$B$33,'Inputs'!$B$29+'Inputs'!$B$31+'Inputs'!$B$32,'Inputs'!$B$30+'Inputs'!$B$31+'Inputs'!$B$32)/1000+'Inputs'!$B$21+'Inputs'!$B$7+'Inputs'!$B$10))^2+('Inputs'!$B$8/2)^2))))*'Results'!$B$8))),"")</x:f>
        <x:v>22.104171163838796</x:v>
      </x:c>
      <x:c r="M353" t="n">
        <x:f>IF(AND(ISNUMBER('Results'!C7),ISNUMBER('Results'!B7),ISNUMBER('Results'!$B$8),ISNUMBER('Inputs'!$B$6),ISNUMBER('Inputs'!$B$7),ISNUMBER('Inputs'!$B$8),ISNUMBER('Inputs'!$B$9),ISNUMBER('Inputs'!$B$10),ISNUMBER('Inputs'!$B$21),ISNUMBER('Inputs'!$B$24),ISNUMBER('Inputs'!$B$28)),(('Results'!C7*(0.5*((((353-43)*MAX('Inputs'!$B$33,'Inputs'!$B$29+'Inputs'!$B$31+'Inputs'!$B$32,'Inputs'!$B$30+'Inputs'!$B$31+'Inputs'!$B$32)/1000+'Inputs'!$B$21)+'Inputs'!$B$9)/SQRT((((353-43)*MAX('Inputs'!$B$33,'Inputs'!$B$29+'Inputs'!$B$31+'Inputs'!$B$32,'Inputs'!$B$30+'Inputs'!$B$31+'Inputs'!$B$32)/1000+'Inputs'!$B$21)+'Inputs'!$B$9)^2+('Inputs'!$B$8/2)^2)-(((353-43)*MAX('Inputs'!$B$33,'Inputs'!$B$29+'Inputs'!$B$31+'Inputs'!$B$32,'Inputs'!$B$30+'Inputs'!$B$31+'Inputs'!$B$32)/1000+'Inputs'!$B$21))/SQRT((((353-43)*MAX('Inputs'!$B$33,'Inputs'!$B$29+'Inputs'!$B$31+'Inputs'!$B$32,'Inputs'!$B$30+'Inputs'!$B$31+'Inputs'!$B$32)/1000+'Inputs'!$B$21))^2+('Inputs'!$B$8/2)^2)))-'Results'!B7*(0.5*((((353-43)*MAX('Inputs'!$B$33,'Inputs'!$B$29+'Inputs'!$B$31+'Inputs'!$B$32,'Inputs'!$B$30+'Inputs'!$B$31+'Inputs'!$B$32)/1000+'Inputs'!$B$21+'Inputs'!$B$9+'Inputs'!$B$10)+'Inputs'!$B$7)/SQRT((((353-43)*MAX('Inputs'!$B$33,'Inputs'!$B$29+'Inputs'!$B$31+'Inputs'!$B$32,'Inputs'!$B$30+'Inputs'!$B$31+'Inputs'!$B$32)/1000+'Inputs'!$B$21+'Inputs'!$B$9+'Inputs'!$B$10)+'Inputs'!$B$7)^2+('Inputs'!$B$6/2)^2)-(((353-43)*MAX('Inputs'!$B$33,'Inputs'!$B$29+'Inputs'!$B$31+'Inputs'!$B$32,'Inputs'!$B$30+'Inputs'!$B$31+'Inputs'!$B$32)/1000+'Inputs'!$B$21+'Inputs'!$B$9+'Inputs'!$B$10))/SQRT((((353-43)*MAX('Inputs'!$B$33,'Inputs'!$B$29+'Inputs'!$B$31+'Inputs'!$B$32,'Inputs'!$B$30+'Inputs'!$B$31+'Inputs'!$B$32)/1000+'Inputs'!$B$21+'Inputs'!$B$9+'Inputs'!$B$10))^2+('Inputs'!$B$6/2)^2))))*'Results'!$B$8),"")</x:f>
        <x:v>19.1052741422587</x:v>
      </x:c>
      <x:c r="N353" t="n">
        <x:f>IF(AND(ISNUMBER('Results'!C7),ISNUMBER('Results'!B7),ISNUMBER('Results'!$B$8),ISNUMBER('Inputs'!$B$6),ISNUMBER('Inputs'!$B$7),ISNUMBER('Inputs'!$B$8),ISNUMBER('Inputs'!$B$9),ISNUMBER('Inputs'!$B$10),ISNUMBER('Inputs'!$B$21),ISNUMBER('Inputs'!$B$24),ISNUMBER('Inputs'!$B$28)),((('Results'!C7*(1-'Inputs'!$B$24)*(0.5*((((353-43)*MAX('Inputs'!$B$33,'Inputs'!$B$29+'Inputs'!$B$31+'Inputs'!$B$32,'Inputs'!$B$30+'Inputs'!$B$31+'Inputs'!$B$32)/1000+'Inputs'!$B$21)+'Inputs'!$B$9)/SQRT((((353-43)*MAX('Inputs'!$B$33,'Inputs'!$B$29+'Inputs'!$B$31+'Inputs'!$B$32,'Inputs'!$B$30+'Inputs'!$B$31+'Inputs'!$B$32)/1000+'Inputs'!$B$21)+'Inputs'!$B$9)^2+('Inputs'!$B$8/2)^2)-(((353-43)*MAX('Inputs'!$B$33,'Inputs'!$B$29+'Inputs'!$B$31+'Inputs'!$B$32,'Inputs'!$B$30+'Inputs'!$B$31+'Inputs'!$B$32)/1000+'Inputs'!$B$21))/SQRT((((353-43)*MAX('Inputs'!$B$33,'Inputs'!$B$29+'Inputs'!$B$31+'Inputs'!$B$32,'Inputs'!$B$30+'Inputs'!$B$31+'Inputs'!$B$32)/1000+'Inputs'!$B$21))^2+('Inputs'!$B$8/2)^2)))-'Results'!B7*(1+'Inputs'!$B$24)*(0.5*((((353-43)*MAX('Inputs'!$B$33,'Inputs'!$B$29+'Inputs'!$B$31+'Inputs'!$B$32,'Inputs'!$B$30+'Inputs'!$B$31+'Inputs'!$B$32)/1000+'Inputs'!$B$21+'Inputs'!$B$9+'Inputs'!$B$10)+'Inputs'!$B$7)/SQRT((((353-43)*MAX('Inputs'!$B$33,'Inputs'!$B$29+'Inputs'!$B$31+'Inputs'!$B$32,'Inputs'!$B$30+'Inputs'!$B$31+'Inputs'!$B$32)/1000+'Inputs'!$B$21+'Inputs'!$B$9+'Inputs'!$B$10)+'Inputs'!$B$7)^2+('Inputs'!$B$6/2)^2)-(((353-43)*MAX('Inputs'!$B$33,'Inputs'!$B$29+'Inputs'!$B$31+'Inputs'!$B$32,'Inputs'!$B$30+'Inputs'!$B$31+'Inputs'!$B$32)/1000+'Inputs'!$B$21+'Inputs'!$B$9+'Inputs'!$B$10))/SQRT((((353-43)*MAX('Inputs'!$B$33,'Inputs'!$B$29+'Inputs'!$B$31+'Inputs'!$B$32,'Inputs'!$B$30+'Inputs'!$B$31+'Inputs'!$B$32)/1000+'Inputs'!$B$21+'Inputs'!$B$9+'Inputs'!$B$10))^2+('Inputs'!$B$6/2)^2))))*'Results'!$B$8)-'Inputs'!$B$28*ABS((('Results'!C7*(1-'Inputs'!$B$24)*(0.5*((((353-43)*MAX('Inputs'!$B$33,'Inputs'!$B$29+'Inputs'!$B$31+'Inputs'!$B$32,'Inputs'!$B$30+'Inputs'!$B$31+'Inputs'!$B$32)/1000+'Inputs'!$B$21)+'Inputs'!$B$9)/SQRT((((353-43)*MAX('Inputs'!$B$33,'Inputs'!$B$29+'Inputs'!$B$31+'Inputs'!$B$32,'Inputs'!$B$30+'Inputs'!$B$31+'Inputs'!$B$32)/1000+'Inputs'!$B$21)+'Inputs'!$B$9)^2+('Inputs'!$B$8/2)^2)-(((353-43)*MAX('Inputs'!$B$33,'Inputs'!$B$29+'Inputs'!$B$31+'Inputs'!$B$32,'Inputs'!$B$30+'Inputs'!$B$31+'Inputs'!$B$32)/1000+'Inputs'!$B$21))/SQRT((((353-43)*MAX('Inputs'!$B$33,'Inputs'!$B$29+'Inputs'!$B$31+'Inputs'!$B$32,'Inputs'!$B$30+'Inputs'!$B$31+'Inputs'!$B$32)/1000+'Inputs'!$B$21))^2+('Inputs'!$B$8/2)^2)))-'Results'!B7*(1+'Inputs'!$B$24)*(0.5*((((353-43)*MAX('Inputs'!$B$33,'Inputs'!$B$29+'Inputs'!$B$31+'Inputs'!$B$32,'Inputs'!$B$30+'Inputs'!$B$31+'Inputs'!$B$32)/1000+'Inputs'!$B$21+'Inputs'!$B$9+'Inputs'!$B$10)+'Inputs'!$B$7)/SQRT((((353-43)*MAX('Inputs'!$B$33,'Inputs'!$B$29+'Inputs'!$B$31+'Inputs'!$B$32,'Inputs'!$B$30+'Inputs'!$B$31+'Inputs'!$B$32)/1000+'Inputs'!$B$21+'Inputs'!$B$9+'Inputs'!$B$10)+'Inputs'!$B$7)^2+('Inputs'!$B$6/2)^2)-(((353-43)*MAX('Inputs'!$B$33,'Inputs'!$B$29+'Inputs'!$B$31+'Inputs'!$B$32,'Inputs'!$B$30+'Inputs'!$B$31+'Inputs'!$B$32)/1000+'Inputs'!$B$21+'Inputs'!$B$9+'Inputs'!$B$10))/SQRT((((353-43)*MAX('Inputs'!$B$33,'Inputs'!$B$29+'Inputs'!$B$31+'Inputs'!$B$32,'Inputs'!$B$30+'Inputs'!$B$31+'Inputs'!$B$32)/1000+'Inputs'!$B$21+'Inputs'!$B$9+'Inputs'!$B$10))^2+('Inputs'!$B$6/2)^2))))*'Results'!$B$8))),"")</x:f>
        <x:v>17.23578643118261</x:v>
      </x:c>
      <x:c r="O353" t="n">
        <x:f>IF(AND(ISNUMBER('Results'!C7),ISNUMBER('Results'!B7),ISNUMBER('Results'!$B$8),ISNUMBER('Inputs'!$B$6),ISNUMBER('Inputs'!$B$7),ISNUMBER('Inputs'!$B$8),ISNUMBER('Inputs'!$B$9),ISNUMBER('Inputs'!$B$10),ISNUMBER('Inputs'!$B$21),ISNUMBER('Inputs'!$B$24),ISNUMBER('Inputs'!$B$28)),((('Results'!C7*(1+'Inputs'!$B$24)*(0.5*((((353-43)*MAX('Inputs'!$B$33,'Inputs'!$B$29+'Inputs'!$B$31+'Inputs'!$B$32,'Inputs'!$B$30+'Inputs'!$B$31+'Inputs'!$B$32)/1000+'Inputs'!$B$21)+'Inputs'!$B$9)/SQRT((((353-43)*MAX('Inputs'!$B$33,'Inputs'!$B$29+'Inputs'!$B$31+'Inputs'!$B$32,'Inputs'!$B$30+'Inputs'!$B$31+'Inputs'!$B$32)/1000+'Inputs'!$B$21)+'Inputs'!$B$9)^2+('Inputs'!$B$8/2)^2)-(((353-43)*MAX('Inputs'!$B$33,'Inputs'!$B$29+'Inputs'!$B$31+'Inputs'!$B$32,'Inputs'!$B$30+'Inputs'!$B$31+'Inputs'!$B$32)/1000+'Inputs'!$B$21))/SQRT((((353-43)*MAX('Inputs'!$B$33,'Inputs'!$B$29+'Inputs'!$B$31+'Inputs'!$B$32,'Inputs'!$B$30+'Inputs'!$B$31+'Inputs'!$B$32)/1000+'Inputs'!$B$21))^2+('Inputs'!$B$8/2)^2)))-'Results'!B7*(1-'Inputs'!$B$24)*(0.5*((((353-43)*MAX('Inputs'!$B$33,'Inputs'!$B$29+'Inputs'!$B$31+'Inputs'!$B$32,'Inputs'!$B$30+'Inputs'!$B$31+'Inputs'!$B$32)/1000+'Inputs'!$B$21+'Inputs'!$B$9+'Inputs'!$B$10)+'Inputs'!$B$7)/SQRT((((353-43)*MAX('Inputs'!$B$33,'Inputs'!$B$29+'Inputs'!$B$31+'Inputs'!$B$32,'Inputs'!$B$30+'Inputs'!$B$31+'Inputs'!$B$32)/1000+'Inputs'!$B$21+'Inputs'!$B$9+'Inputs'!$B$10)+'Inputs'!$B$7)^2+('Inputs'!$B$6/2)^2)-(((353-43)*MAX('Inputs'!$B$33,'Inputs'!$B$29+'Inputs'!$B$31+'Inputs'!$B$32,'Inputs'!$B$30+'Inputs'!$B$31+'Inputs'!$B$32)/1000+'Inputs'!$B$21+'Inputs'!$B$9+'Inputs'!$B$10))/SQRT((((353-43)*MAX('Inputs'!$B$33,'Inputs'!$B$29+'Inputs'!$B$31+'Inputs'!$B$32,'Inputs'!$B$30+'Inputs'!$B$31+'Inputs'!$B$32)/1000+'Inputs'!$B$21+'Inputs'!$B$9+'Inputs'!$B$10))^2+('Inputs'!$B$6/2)^2))))*'Results'!$B$8)+'Inputs'!$B$28*ABS((('Results'!C7*(1+'Inputs'!$B$24)*(0.5*((((353-43)*MAX('Inputs'!$B$33,'Inputs'!$B$29+'Inputs'!$B$31+'Inputs'!$B$32,'Inputs'!$B$30+'Inputs'!$B$31+'Inputs'!$B$32)/1000+'Inputs'!$B$21)+'Inputs'!$B$9)/SQRT((((353-43)*MAX('Inputs'!$B$33,'Inputs'!$B$29+'Inputs'!$B$31+'Inputs'!$B$32,'Inputs'!$B$30+'Inputs'!$B$31+'Inputs'!$B$32)/1000+'Inputs'!$B$21)+'Inputs'!$B$9)^2+('Inputs'!$B$8/2)^2)-(((353-43)*MAX('Inputs'!$B$33,'Inputs'!$B$29+'Inputs'!$B$31+'Inputs'!$B$32,'Inputs'!$B$30+'Inputs'!$B$31+'Inputs'!$B$32)/1000+'Inputs'!$B$21))/SQRT((((353-43)*MAX('Inputs'!$B$33,'Inputs'!$B$29+'Inputs'!$B$31+'Inputs'!$B$32,'Inputs'!$B$30+'Inputs'!$B$31+'Inputs'!$B$32)/1000+'Inputs'!$B$21))^2+('Inputs'!$B$8/2)^2)))-'Results'!B7*(1-'Inputs'!$B$24)*(0.5*((((353-43)*MAX('Inputs'!$B$33,'Inputs'!$B$29+'Inputs'!$B$31+'Inputs'!$B$32,'Inputs'!$B$30+'Inputs'!$B$31+'Inputs'!$B$32)/1000+'Inputs'!$B$21+'Inputs'!$B$9+'Inputs'!$B$10)+'Inputs'!$B$7)/SQRT((((353-43)*MAX('Inputs'!$B$33,'Inputs'!$B$29+'Inputs'!$B$31+'Inputs'!$B$32,'Inputs'!$B$30+'Inputs'!$B$31+'Inputs'!$B$32)/1000+'Inputs'!$B$21+'Inputs'!$B$9+'Inputs'!$B$10)+'Inputs'!$B$7)^2+('Inputs'!$B$6/2)^2)-(((353-43)*MAX('Inputs'!$B$33,'Inputs'!$B$29+'Inputs'!$B$31+'Inputs'!$B$32,'Inputs'!$B$30+'Inputs'!$B$31+'Inputs'!$B$32)/1000+'Inputs'!$B$21+'Inputs'!$B$9+'Inputs'!$B$10))/SQRT((((353-43)*MAX('Inputs'!$B$33,'Inputs'!$B$29+'Inputs'!$B$31+'Inputs'!$B$32,'Inputs'!$B$30+'Inputs'!$B$31+'Inputs'!$B$32)/1000+'Inputs'!$B$21+'Inputs'!$B$9+'Inputs'!$B$10))^2+('Inputs'!$B$6/2)^2))))*'Results'!$B$8))),"")</x:f>
        <x:v>21.07099595901513</x:v>
      </x:c>
      <x:c r="P353" t="n">
        <x:f>IF(AND(MAX(J353,J352)&gt;0,J353&gt;J352+0.00000001),1,0)</x:f>
        <x:v>0</x:v>
      </x:c>
      <x:c r="Q353" t="n">
        <x:f>IF(AND(MAX(K353,K352)&gt;0,K353&gt;K352+0.00000001),1,0)</x:f>
        <x:v>0</x:v>
      </x:c>
      <x:c r="R353" t="n">
        <x:f>IF(AND(MAX(L353,L352)&gt;0,L353&gt;L352+0.00000001),1,0)</x:f>
        <x:v>0</x:v>
      </x:c>
      <x:c r="S353" t="n">
        <x:f>IF(AND(MAX(M353,M352)&gt;0,M353&gt;M352+0.00000001),1,0)</x:f>
        <x:v>0</x:v>
      </x:c>
      <x:c r="T353" t="n">
        <x:f>IF(AND(MAX(N353,N352)&gt;0,N353&gt;N352+0.00000001),1,0)</x:f>
        <x:v>0</x:v>
      </x:c>
      <x:c r="U353" t="n">
        <x:f>IF(AND(MAX(O353,O352)&gt;0,O353&gt;O352+0.00000001),1,0)</x:f>
        <x:v>0</x:v>
      </x:c>
    </x:row>
    <x:row r="354">
      <x:c r="J354" t="n">
        <x:f>IF(AND(ISNUMBER('Results'!B7),ISNUMBER('Results'!C7),ISNUMBER('Results'!$B$8),ISNUMBER('Inputs'!$B$6),ISNUMBER('Inputs'!$B$7),ISNUMBER('Inputs'!$B$8),ISNUMBER('Inputs'!$B$9),ISNUMBER('Inputs'!$B$10),ISNUMBER('Inputs'!$B$21),ISNUMBER('Inputs'!$B$24),ISNUMBER('Inputs'!$B$28)),(('Results'!B7*(0.5*((((354-43)*MAX('Inputs'!$B$33,'Inputs'!$B$29+'Inputs'!$B$31+'Inputs'!$B$32,'Inputs'!$B$30+'Inputs'!$B$31+'Inputs'!$B$32)/1000+'Inputs'!$B$21)+'Inputs'!$B$7)/SQRT((((354-43)*MAX('Inputs'!$B$33,'Inputs'!$B$29+'Inputs'!$B$31+'Inputs'!$B$32,'Inputs'!$B$30+'Inputs'!$B$31+'Inputs'!$B$32)/1000+'Inputs'!$B$21)+'Inputs'!$B$7)^2+('Inputs'!$B$6/2)^2)-(((354-43)*MAX('Inputs'!$B$33,'Inputs'!$B$29+'Inputs'!$B$31+'Inputs'!$B$32,'Inputs'!$B$30+'Inputs'!$B$31+'Inputs'!$B$32)/1000+'Inputs'!$B$21))/SQRT((((354-43)*MAX('Inputs'!$B$33,'Inputs'!$B$29+'Inputs'!$B$31+'Inputs'!$B$32,'Inputs'!$B$30+'Inputs'!$B$31+'Inputs'!$B$32)/1000+'Inputs'!$B$21))^2+('Inputs'!$B$6/2)^2)))-'Results'!C7*(0.5*((((354-43)*MAX('Inputs'!$B$33,'Inputs'!$B$29+'Inputs'!$B$31+'Inputs'!$B$32,'Inputs'!$B$30+'Inputs'!$B$31+'Inputs'!$B$32)/1000+'Inputs'!$B$21+'Inputs'!$B$7+'Inputs'!$B$10)+'Inputs'!$B$9)/SQRT((((354-43)*MAX('Inputs'!$B$33,'Inputs'!$B$29+'Inputs'!$B$31+'Inputs'!$B$32,'Inputs'!$B$30+'Inputs'!$B$31+'Inputs'!$B$32)/1000+'Inputs'!$B$21+'Inputs'!$B$7+'Inputs'!$B$10)+'Inputs'!$B$9)^2+('Inputs'!$B$8/2)^2)-(((354-43)*MAX('Inputs'!$B$33,'Inputs'!$B$29+'Inputs'!$B$31+'Inputs'!$B$32,'Inputs'!$B$30+'Inputs'!$B$31+'Inputs'!$B$32)/1000+'Inputs'!$B$21+'Inputs'!$B$7+'Inputs'!$B$10))/SQRT((((354-43)*MAX('Inputs'!$B$33,'Inputs'!$B$29+'Inputs'!$B$31+'Inputs'!$B$32,'Inputs'!$B$30+'Inputs'!$B$31+'Inputs'!$B$32)/1000+'Inputs'!$B$21+'Inputs'!$B$7+'Inputs'!$B$10))^2+('Inputs'!$B$8/2)^2))))*'Results'!$B$8),"")</x:f>
        <x:v>19.879770322175027</x:v>
      </x:c>
      <x:c r="K354" t="n">
        <x:f>IF(AND(ISNUMBER('Results'!B7),ISNUMBER('Results'!C7),ISNUMBER('Results'!$B$8),ISNUMBER('Inputs'!$B$6),ISNUMBER('Inputs'!$B$7),ISNUMBER('Inputs'!$B$8),ISNUMBER('Inputs'!$B$9),ISNUMBER('Inputs'!$B$10),ISNUMBER('Inputs'!$B$21),ISNUMBER('Inputs'!$B$24),ISNUMBER('Inputs'!$B$28)),((('Results'!B7*(1-'Inputs'!$B$24)*(0.5*((((354-43)*MAX('Inputs'!$B$33,'Inputs'!$B$29+'Inputs'!$B$31+'Inputs'!$B$32,'Inputs'!$B$30+'Inputs'!$B$31+'Inputs'!$B$32)/1000+'Inputs'!$B$21)+'Inputs'!$B$7)/SQRT((((354-43)*MAX('Inputs'!$B$33,'Inputs'!$B$29+'Inputs'!$B$31+'Inputs'!$B$32,'Inputs'!$B$30+'Inputs'!$B$31+'Inputs'!$B$32)/1000+'Inputs'!$B$21)+'Inputs'!$B$7)^2+('Inputs'!$B$6/2)^2)-(((354-43)*MAX('Inputs'!$B$33,'Inputs'!$B$29+'Inputs'!$B$31+'Inputs'!$B$32,'Inputs'!$B$30+'Inputs'!$B$31+'Inputs'!$B$32)/1000+'Inputs'!$B$21))/SQRT((((354-43)*MAX('Inputs'!$B$33,'Inputs'!$B$29+'Inputs'!$B$31+'Inputs'!$B$32,'Inputs'!$B$30+'Inputs'!$B$31+'Inputs'!$B$32)/1000+'Inputs'!$B$21))^2+('Inputs'!$B$6/2)^2)))-'Results'!C7*(1+'Inputs'!$B$24)*(0.5*((((354-43)*MAX('Inputs'!$B$33,'Inputs'!$B$29+'Inputs'!$B$31+'Inputs'!$B$32,'Inputs'!$B$30+'Inputs'!$B$31+'Inputs'!$B$32)/1000+'Inputs'!$B$21+'Inputs'!$B$7+'Inputs'!$B$10)+'Inputs'!$B$9)/SQRT((((354-43)*MAX('Inputs'!$B$33,'Inputs'!$B$29+'Inputs'!$B$31+'Inputs'!$B$32,'Inputs'!$B$30+'Inputs'!$B$31+'Inputs'!$B$32)/1000+'Inputs'!$B$21+'Inputs'!$B$7+'Inputs'!$B$10)+'Inputs'!$B$9)^2+('Inputs'!$B$8/2)^2)-(((354-43)*MAX('Inputs'!$B$33,'Inputs'!$B$29+'Inputs'!$B$31+'Inputs'!$B$32,'Inputs'!$B$30+'Inputs'!$B$31+'Inputs'!$B$32)/1000+'Inputs'!$B$21+'Inputs'!$B$7+'Inputs'!$B$10))/SQRT((((354-43)*MAX('Inputs'!$B$33,'Inputs'!$B$29+'Inputs'!$B$31+'Inputs'!$B$32,'Inputs'!$B$30+'Inputs'!$B$31+'Inputs'!$B$32)/1000+'Inputs'!$B$21+'Inputs'!$B$7+'Inputs'!$B$10))^2+('Inputs'!$B$8/2)^2))))*'Results'!$B$8)-'Inputs'!$B$28*ABS((('Results'!B7*(1-'Inputs'!$B$24)*(0.5*((((354-43)*MAX('Inputs'!$B$33,'Inputs'!$B$29+'Inputs'!$B$31+'Inputs'!$B$32,'Inputs'!$B$30+'Inputs'!$B$31+'Inputs'!$B$32)/1000+'Inputs'!$B$21)+'Inputs'!$B$7)/SQRT((((354-43)*MAX('Inputs'!$B$33,'Inputs'!$B$29+'Inputs'!$B$31+'Inputs'!$B$32,'Inputs'!$B$30+'Inputs'!$B$31+'Inputs'!$B$32)/1000+'Inputs'!$B$21)+'Inputs'!$B$7)^2+('Inputs'!$B$6/2)^2)-(((354-43)*MAX('Inputs'!$B$33,'Inputs'!$B$29+'Inputs'!$B$31+'Inputs'!$B$32,'Inputs'!$B$30+'Inputs'!$B$31+'Inputs'!$B$32)/1000+'Inputs'!$B$21))/SQRT((((354-43)*MAX('Inputs'!$B$33,'Inputs'!$B$29+'Inputs'!$B$31+'Inputs'!$B$32,'Inputs'!$B$30+'Inputs'!$B$31+'Inputs'!$B$32)/1000+'Inputs'!$B$21))^2+('Inputs'!$B$6/2)^2)))-'Results'!C7*(1+'Inputs'!$B$24)*(0.5*((((354-43)*MAX('Inputs'!$B$33,'Inputs'!$B$29+'Inputs'!$B$31+'Inputs'!$B$32,'Inputs'!$B$30+'Inputs'!$B$31+'Inputs'!$B$32)/1000+'Inputs'!$B$21+'Inputs'!$B$7+'Inputs'!$B$10)+'Inputs'!$B$9)/SQRT((((354-43)*MAX('Inputs'!$B$33,'Inputs'!$B$29+'Inputs'!$B$31+'Inputs'!$B$32,'Inputs'!$B$30+'Inputs'!$B$31+'Inputs'!$B$32)/1000+'Inputs'!$B$21+'Inputs'!$B$7+'Inputs'!$B$10)+'Inputs'!$B$9)^2+('Inputs'!$B$8/2)^2)-(((354-43)*MAX('Inputs'!$B$33,'Inputs'!$B$29+'Inputs'!$B$31+'Inputs'!$B$32,'Inputs'!$B$30+'Inputs'!$B$31+'Inputs'!$B$32)/1000+'Inputs'!$B$21+'Inputs'!$B$7+'Inputs'!$B$10))/SQRT((((354-43)*MAX('Inputs'!$B$33,'Inputs'!$B$29+'Inputs'!$B$31+'Inputs'!$B$32,'Inputs'!$B$30+'Inputs'!$B$31+'Inputs'!$B$32)/1000+'Inputs'!$B$21+'Inputs'!$B$7+'Inputs'!$B$10))^2+('Inputs'!$B$8/2)^2))))*'Results'!$B$8))),"")</x:f>
        <x:v>17.971392940908018</x:v>
      </x:c>
      <x:c r="L354" t="n">
        <x:f>IF(AND(ISNUMBER('Results'!B7),ISNUMBER('Results'!C7),ISNUMBER('Results'!$B$8),ISNUMBER('Inputs'!$B$6),ISNUMBER('Inputs'!$B$7),ISNUMBER('Inputs'!$B$8),ISNUMBER('Inputs'!$B$9),ISNUMBER('Inputs'!$B$10),ISNUMBER('Inputs'!$B$21),ISNUMBER('Inputs'!$B$24),ISNUMBER('Inputs'!$B$28)),((('Results'!B7*(1+'Inputs'!$B$24)*(0.5*((((354-43)*MAX('Inputs'!$B$33,'Inputs'!$B$29+'Inputs'!$B$31+'Inputs'!$B$32,'Inputs'!$B$30+'Inputs'!$B$31+'Inputs'!$B$32)/1000+'Inputs'!$B$21)+'Inputs'!$B$7)/SQRT((((354-43)*MAX('Inputs'!$B$33,'Inputs'!$B$29+'Inputs'!$B$31+'Inputs'!$B$32,'Inputs'!$B$30+'Inputs'!$B$31+'Inputs'!$B$32)/1000+'Inputs'!$B$21)+'Inputs'!$B$7)^2+('Inputs'!$B$6/2)^2)-(((354-43)*MAX('Inputs'!$B$33,'Inputs'!$B$29+'Inputs'!$B$31+'Inputs'!$B$32,'Inputs'!$B$30+'Inputs'!$B$31+'Inputs'!$B$32)/1000+'Inputs'!$B$21))/SQRT((((354-43)*MAX('Inputs'!$B$33,'Inputs'!$B$29+'Inputs'!$B$31+'Inputs'!$B$32,'Inputs'!$B$30+'Inputs'!$B$31+'Inputs'!$B$32)/1000+'Inputs'!$B$21))^2+('Inputs'!$B$6/2)^2)))-'Results'!C7*(1-'Inputs'!$B$24)*(0.5*((((354-43)*MAX('Inputs'!$B$33,'Inputs'!$B$29+'Inputs'!$B$31+'Inputs'!$B$32,'Inputs'!$B$30+'Inputs'!$B$31+'Inputs'!$B$32)/1000+'Inputs'!$B$21+'Inputs'!$B$7+'Inputs'!$B$10)+'Inputs'!$B$9)/SQRT((((354-43)*MAX('Inputs'!$B$33,'Inputs'!$B$29+'Inputs'!$B$31+'Inputs'!$B$32,'Inputs'!$B$30+'Inputs'!$B$31+'Inputs'!$B$32)/1000+'Inputs'!$B$21+'Inputs'!$B$7+'Inputs'!$B$10)+'Inputs'!$B$9)^2+('Inputs'!$B$8/2)^2)-(((354-43)*MAX('Inputs'!$B$33,'Inputs'!$B$29+'Inputs'!$B$31+'Inputs'!$B$32,'Inputs'!$B$30+'Inputs'!$B$31+'Inputs'!$B$32)/1000+'Inputs'!$B$21+'Inputs'!$B$7+'Inputs'!$B$10))/SQRT((((354-43)*MAX('Inputs'!$B$33,'Inputs'!$B$29+'Inputs'!$B$31+'Inputs'!$B$32,'Inputs'!$B$30+'Inputs'!$B$31+'Inputs'!$B$32)/1000+'Inputs'!$B$21+'Inputs'!$B$7+'Inputs'!$B$10))^2+('Inputs'!$B$8/2)^2))))*'Results'!$B$8)+'Inputs'!$B$28*ABS((('Results'!B7*(1+'Inputs'!$B$24)*(0.5*((((354-43)*MAX('Inputs'!$B$33,'Inputs'!$B$29+'Inputs'!$B$31+'Inputs'!$B$32,'Inputs'!$B$30+'Inputs'!$B$31+'Inputs'!$B$32)/1000+'Inputs'!$B$21)+'Inputs'!$B$7)/SQRT((((354-43)*MAX('Inputs'!$B$33,'Inputs'!$B$29+'Inputs'!$B$31+'Inputs'!$B$32,'Inputs'!$B$30+'Inputs'!$B$31+'Inputs'!$B$32)/1000+'Inputs'!$B$21)+'Inputs'!$B$7)^2+('Inputs'!$B$6/2)^2)-(((354-43)*MAX('Inputs'!$B$33,'Inputs'!$B$29+'Inputs'!$B$31+'Inputs'!$B$32,'Inputs'!$B$30+'Inputs'!$B$31+'Inputs'!$B$32)/1000+'Inputs'!$B$21))/SQRT((((354-43)*MAX('Inputs'!$B$33,'Inputs'!$B$29+'Inputs'!$B$31+'Inputs'!$B$32,'Inputs'!$B$30+'Inputs'!$B$31+'Inputs'!$B$32)/1000+'Inputs'!$B$21))^2+('Inputs'!$B$6/2)^2)))-'Results'!C7*(1-'Inputs'!$B$24)*(0.5*((((354-43)*MAX('Inputs'!$B$33,'Inputs'!$B$29+'Inputs'!$B$31+'Inputs'!$B$32,'Inputs'!$B$30+'Inputs'!$B$31+'Inputs'!$B$32)/1000+'Inputs'!$B$21+'Inputs'!$B$7+'Inputs'!$B$10)+'Inputs'!$B$9)/SQRT((((354-43)*MAX('Inputs'!$B$33,'Inputs'!$B$29+'Inputs'!$B$31+'Inputs'!$B$32,'Inputs'!$B$30+'Inputs'!$B$31+'Inputs'!$B$32)/1000+'Inputs'!$B$21+'Inputs'!$B$7+'Inputs'!$B$10)+'Inputs'!$B$9)^2+('Inputs'!$B$8/2)^2)-(((354-43)*MAX('Inputs'!$B$33,'Inputs'!$B$29+'Inputs'!$B$31+'Inputs'!$B$32,'Inputs'!$B$30+'Inputs'!$B$31+'Inputs'!$B$32)/1000+'Inputs'!$B$21+'Inputs'!$B$7+'Inputs'!$B$10))/SQRT((((354-43)*MAX('Inputs'!$B$33,'Inputs'!$B$29+'Inputs'!$B$31+'Inputs'!$B$32,'Inputs'!$B$30+'Inputs'!$B$31+'Inputs'!$B$32)/1000+'Inputs'!$B$21+'Inputs'!$B$7+'Inputs'!$B$10))^2+('Inputs'!$B$8/2)^2))))*'Results'!$B$8))),"")</x:f>
        <x:v>21.884399162932382</x:v>
      </x:c>
      <x:c r="M354" t="n">
        <x:f>IF(AND(ISNUMBER('Results'!C7),ISNUMBER('Results'!B7),ISNUMBER('Results'!$B$8),ISNUMBER('Inputs'!$B$6),ISNUMBER('Inputs'!$B$7),ISNUMBER('Inputs'!$B$8),ISNUMBER('Inputs'!$B$9),ISNUMBER('Inputs'!$B$10),ISNUMBER('Inputs'!$B$21),ISNUMBER('Inputs'!$B$24),ISNUMBER('Inputs'!$B$28)),(('Results'!C7*(0.5*((((354-43)*MAX('Inputs'!$B$33,'Inputs'!$B$29+'Inputs'!$B$31+'Inputs'!$B$32,'Inputs'!$B$30+'Inputs'!$B$31+'Inputs'!$B$32)/1000+'Inputs'!$B$21)+'Inputs'!$B$9)/SQRT((((354-43)*MAX('Inputs'!$B$33,'Inputs'!$B$29+'Inputs'!$B$31+'Inputs'!$B$32,'Inputs'!$B$30+'Inputs'!$B$31+'Inputs'!$B$32)/1000+'Inputs'!$B$21)+'Inputs'!$B$9)^2+('Inputs'!$B$8/2)^2)-(((354-43)*MAX('Inputs'!$B$33,'Inputs'!$B$29+'Inputs'!$B$31+'Inputs'!$B$32,'Inputs'!$B$30+'Inputs'!$B$31+'Inputs'!$B$32)/1000+'Inputs'!$B$21))/SQRT((((354-43)*MAX('Inputs'!$B$33,'Inputs'!$B$29+'Inputs'!$B$31+'Inputs'!$B$32,'Inputs'!$B$30+'Inputs'!$B$31+'Inputs'!$B$32)/1000+'Inputs'!$B$21))^2+('Inputs'!$B$8/2)^2)))-'Results'!B7*(0.5*((((354-43)*MAX('Inputs'!$B$33,'Inputs'!$B$29+'Inputs'!$B$31+'Inputs'!$B$32,'Inputs'!$B$30+'Inputs'!$B$31+'Inputs'!$B$32)/1000+'Inputs'!$B$21+'Inputs'!$B$9+'Inputs'!$B$10)+'Inputs'!$B$7)/SQRT((((354-43)*MAX('Inputs'!$B$33,'Inputs'!$B$29+'Inputs'!$B$31+'Inputs'!$B$32,'Inputs'!$B$30+'Inputs'!$B$31+'Inputs'!$B$32)/1000+'Inputs'!$B$21+'Inputs'!$B$9+'Inputs'!$B$10)+'Inputs'!$B$7)^2+('Inputs'!$B$6/2)^2)-(((354-43)*MAX('Inputs'!$B$33,'Inputs'!$B$29+'Inputs'!$B$31+'Inputs'!$B$32,'Inputs'!$B$30+'Inputs'!$B$31+'Inputs'!$B$32)/1000+'Inputs'!$B$21+'Inputs'!$B$9+'Inputs'!$B$10))/SQRT((((354-43)*MAX('Inputs'!$B$33,'Inputs'!$B$29+'Inputs'!$B$31+'Inputs'!$B$32,'Inputs'!$B$30+'Inputs'!$B$31+'Inputs'!$B$32)/1000+'Inputs'!$B$21+'Inputs'!$B$9+'Inputs'!$B$10))^2+('Inputs'!$B$6/2)^2))))*'Results'!$B$8),"")</x:f>
        <x:v>18.9114912457567</x:v>
      </x:c>
      <x:c r="N354" t="n">
        <x:f>IF(AND(ISNUMBER('Results'!C7),ISNUMBER('Results'!B7),ISNUMBER('Results'!$B$8),ISNUMBER('Inputs'!$B$6),ISNUMBER('Inputs'!$B$7),ISNUMBER('Inputs'!$B$8),ISNUMBER('Inputs'!$B$9),ISNUMBER('Inputs'!$B$10),ISNUMBER('Inputs'!$B$21),ISNUMBER('Inputs'!$B$24),ISNUMBER('Inputs'!$B$28)),((('Results'!C7*(1-'Inputs'!$B$24)*(0.5*((((354-43)*MAX('Inputs'!$B$33,'Inputs'!$B$29+'Inputs'!$B$31+'Inputs'!$B$32,'Inputs'!$B$30+'Inputs'!$B$31+'Inputs'!$B$32)/1000+'Inputs'!$B$21)+'Inputs'!$B$9)/SQRT((((354-43)*MAX('Inputs'!$B$33,'Inputs'!$B$29+'Inputs'!$B$31+'Inputs'!$B$32,'Inputs'!$B$30+'Inputs'!$B$31+'Inputs'!$B$32)/1000+'Inputs'!$B$21)+'Inputs'!$B$9)^2+('Inputs'!$B$8/2)^2)-(((354-43)*MAX('Inputs'!$B$33,'Inputs'!$B$29+'Inputs'!$B$31+'Inputs'!$B$32,'Inputs'!$B$30+'Inputs'!$B$31+'Inputs'!$B$32)/1000+'Inputs'!$B$21))/SQRT((((354-43)*MAX('Inputs'!$B$33,'Inputs'!$B$29+'Inputs'!$B$31+'Inputs'!$B$32,'Inputs'!$B$30+'Inputs'!$B$31+'Inputs'!$B$32)/1000+'Inputs'!$B$21))^2+('Inputs'!$B$8/2)^2)))-'Results'!B7*(1+'Inputs'!$B$24)*(0.5*((((354-43)*MAX('Inputs'!$B$33,'Inputs'!$B$29+'Inputs'!$B$31+'Inputs'!$B$32,'Inputs'!$B$30+'Inputs'!$B$31+'Inputs'!$B$32)/1000+'Inputs'!$B$21+'Inputs'!$B$9+'Inputs'!$B$10)+'Inputs'!$B$7)/SQRT((((354-43)*MAX('Inputs'!$B$33,'Inputs'!$B$29+'Inputs'!$B$31+'Inputs'!$B$32,'Inputs'!$B$30+'Inputs'!$B$31+'Inputs'!$B$32)/1000+'Inputs'!$B$21+'Inputs'!$B$9+'Inputs'!$B$10)+'Inputs'!$B$7)^2+('Inputs'!$B$6/2)^2)-(((354-43)*MAX('Inputs'!$B$33,'Inputs'!$B$29+'Inputs'!$B$31+'Inputs'!$B$32,'Inputs'!$B$30+'Inputs'!$B$31+'Inputs'!$B$32)/1000+'Inputs'!$B$21+'Inputs'!$B$9+'Inputs'!$B$10))/SQRT((((354-43)*MAX('Inputs'!$B$33,'Inputs'!$B$29+'Inputs'!$B$31+'Inputs'!$B$32,'Inputs'!$B$30+'Inputs'!$B$31+'Inputs'!$B$32)/1000+'Inputs'!$B$21+'Inputs'!$B$9+'Inputs'!$B$10))^2+('Inputs'!$B$6/2)^2))))*'Results'!$B$8)-'Inputs'!$B$28*ABS((('Results'!C7*(1-'Inputs'!$B$24)*(0.5*((((354-43)*MAX('Inputs'!$B$33,'Inputs'!$B$29+'Inputs'!$B$31+'Inputs'!$B$32,'Inputs'!$B$30+'Inputs'!$B$31+'Inputs'!$B$32)/1000+'Inputs'!$B$21)+'Inputs'!$B$9)/SQRT((((354-43)*MAX('Inputs'!$B$33,'Inputs'!$B$29+'Inputs'!$B$31+'Inputs'!$B$32,'Inputs'!$B$30+'Inputs'!$B$31+'Inputs'!$B$32)/1000+'Inputs'!$B$21)+'Inputs'!$B$9)^2+('Inputs'!$B$8/2)^2)-(((354-43)*MAX('Inputs'!$B$33,'Inputs'!$B$29+'Inputs'!$B$31+'Inputs'!$B$32,'Inputs'!$B$30+'Inputs'!$B$31+'Inputs'!$B$32)/1000+'Inputs'!$B$21))/SQRT((((354-43)*MAX('Inputs'!$B$33,'Inputs'!$B$29+'Inputs'!$B$31+'Inputs'!$B$32,'Inputs'!$B$30+'Inputs'!$B$31+'Inputs'!$B$32)/1000+'Inputs'!$B$21))^2+('Inputs'!$B$8/2)^2)))-'Results'!B7*(1+'Inputs'!$B$24)*(0.5*((((354-43)*MAX('Inputs'!$B$33,'Inputs'!$B$29+'Inputs'!$B$31+'Inputs'!$B$32,'Inputs'!$B$30+'Inputs'!$B$31+'Inputs'!$B$32)/1000+'Inputs'!$B$21+'Inputs'!$B$9+'Inputs'!$B$10)+'Inputs'!$B$7)/SQRT((((354-43)*MAX('Inputs'!$B$33,'Inputs'!$B$29+'Inputs'!$B$31+'Inputs'!$B$32,'Inputs'!$B$30+'Inputs'!$B$31+'Inputs'!$B$32)/1000+'Inputs'!$B$21+'Inputs'!$B$9+'Inputs'!$B$10)+'Inputs'!$B$7)^2+('Inputs'!$B$6/2)^2)-(((354-43)*MAX('Inputs'!$B$33,'Inputs'!$B$29+'Inputs'!$B$31+'Inputs'!$B$32,'Inputs'!$B$30+'Inputs'!$B$31+'Inputs'!$B$32)/1000+'Inputs'!$B$21+'Inputs'!$B$9+'Inputs'!$B$10))/SQRT((((354-43)*MAX('Inputs'!$B$33,'Inputs'!$B$29+'Inputs'!$B$31+'Inputs'!$B$32,'Inputs'!$B$30+'Inputs'!$B$31+'Inputs'!$B$32)/1000+'Inputs'!$B$21+'Inputs'!$B$9+'Inputs'!$B$10))^2+('Inputs'!$B$6/2)^2))))*'Results'!$B$8))),"")</x:f>
        <x:v>17.058972605884254</x:v>
      </x:c>
      <x:c r="O354" t="n">
        <x:f>IF(AND(ISNUMBER('Results'!C7),ISNUMBER('Results'!B7),ISNUMBER('Results'!$B$8),ISNUMBER('Inputs'!$B$6),ISNUMBER('Inputs'!$B$7),ISNUMBER('Inputs'!$B$8),ISNUMBER('Inputs'!$B$9),ISNUMBER('Inputs'!$B$10),ISNUMBER('Inputs'!$B$21),ISNUMBER('Inputs'!$B$24),ISNUMBER('Inputs'!$B$28)),((('Results'!C7*(1+'Inputs'!$B$24)*(0.5*((((354-43)*MAX('Inputs'!$B$33,'Inputs'!$B$29+'Inputs'!$B$31+'Inputs'!$B$32,'Inputs'!$B$30+'Inputs'!$B$31+'Inputs'!$B$32)/1000+'Inputs'!$B$21)+'Inputs'!$B$9)/SQRT((((354-43)*MAX('Inputs'!$B$33,'Inputs'!$B$29+'Inputs'!$B$31+'Inputs'!$B$32,'Inputs'!$B$30+'Inputs'!$B$31+'Inputs'!$B$32)/1000+'Inputs'!$B$21)+'Inputs'!$B$9)^2+('Inputs'!$B$8/2)^2)-(((354-43)*MAX('Inputs'!$B$33,'Inputs'!$B$29+'Inputs'!$B$31+'Inputs'!$B$32,'Inputs'!$B$30+'Inputs'!$B$31+'Inputs'!$B$32)/1000+'Inputs'!$B$21))/SQRT((((354-43)*MAX('Inputs'!$B$33,'Inputs'!$B$29+'Inputs'!$B$31+'Inputs'!$B$32,'Inputs'!$B$30+'Inputs'!$B$31+'Inputs'!$B$32)/1000+'Inputs'!$B$21))^2+('Inputs'!$B$8/2)^2)))-'Results'!B7*(1-'Inputs'!$B$24)*(0.5*((((354-43)*MAX('Inputs'!$B$33,'Inputs'!$B$29+'Inputs'!$B$31+'Inputs'!$B$32,'Inputs'!$B$30+'Inputs'!$B$31+'Inputs'!$B$32)/1000+'Inputs'!$B$21+'Inputs'!$B$9+'Inputs'!$B$10)+'Inputs'!$B$7)/SQRT((((354-43)*MAX('Inputs'!$B$33,'Inputs'!$B$29+'Inputs'!$B$31+'Inputs'!$B$32,'Inputs'!$B$30+'Inputs'!$B$31+'Inputs'!$B$32)/1000+'Inputs'!$B$21+'Inputs'!$B$9+'Inputs'!$B$10)+'Inputs'!$B$7)^2+('Inputs'!$B$6/2)^2)-(((354-43)*MAX('Inputs'!$B$33,'Inputs'!$B$29+'Inputs'!$B$31+'Inputs'!$B$32,'Inputs'!$B$30+'Inputs'!$B$31+'Inputs'!$B$32)/1000+'Inputs'!$B$21+'Inputs'!$B$9+'Inputs'!$B$10))/SQRT((((354-43)*MAX('Inputs'!$B$33,'Inputs'!$B$29+'Inputs'!$B$31+'Inputs'!$B$32,'Inputs'!$B$30+'Inputs'!$B$31+'Inputs'!$B$32)/1000+'Inputs'!$B$21+'Inputs'!$B$9+'Inputs'!$B$10))^2+('Inputs'!$B$6/2)^2))))*'Results'!$B$8)+'Inputs'!$B$28*ABS((('Results'!C7*(1+'Inputs'!$B$24)*(0.5*((((354-43)*MAX('Inputs'!$B$33,'Inputs'!$B$29+'Inputs'!$B$31+'Inputs'!$B$32,'Inputs'!$B$30+'Inputs'!$B$31+'Inputs'!$B$32)/1000+'Inputs'!$B$21)+'Inputs'!$B$9)/SQRT((((354-43)*MAX('Inputs'!$B$33,'Inputs'!$B$29+'Inputs'!$B$31+'Inputs'!$B$32,'Inputs'!$B$30+'Inputs'!$B$31+'Inputs'!$B$32)/1000+'Inputs'!$B$21)+'Inputs'!$B$9)^2+('Inputs'!$B$8/2)^2)-(((354-43)*MAX('Inputs'!$B$33,'Inputs'!$B$29+'Inputs'!$B$31+'Inputs'!$B$32,'Inputs'!$B$30+'Inputs'!$B$31+'Inputs'!$B$32)/1000+'Inputs'!$B$21))/SQRT((((354-43)*MAX('Inputs'!$B$33,'Inputs'!$B$29+'Inputs'!$B$31+'Inputs'!$B$32,'Inputs'!$B$30+'Inputs'!$B$31+'Inputs'!$B$32)/1000+'Inputs'!$B$21))^2+('Inputs'!$B$8/2)^2)))-'Results'!B7*(1-'Inputs'!$B$24)*(0.5*((((354-43)*MAX('Inputs'!$B$33,'Inputs'!$B$29+'Inputs'!$B$31+'Inputs'!$B$32,'Inputs'!$B$30+'Inputs'!$B$31+'Inputs'!$B$32)/1000+'Inputs'!$B$21+'Inputs'!$B$9+'Inputs'!$B$10)+'Inputs'!$B$7)/SQRT((((354-43)*MAX('Inputs'!$B$33,'Inputs'!$B$29+'Inputs'!$B$31+'Inputs'!$B$32,'Inputs'!$B$30+'Inputs'!$B$31+'Inputs'!$B$32)/1000+'Inputs'!$B$21+'Inputs'!$B$9+'Inputs'!$B$10)+'Inputs'!$B$7)^2+('Inputs'!$B$6/2)^2)-(((354-43)*MAX('Inputs'!$B$33,'Inputs'!$B$29+'Inputs'!$B$31+'Inputs'!$B$32,'Inputs'!$B$30+'Inputs'!$B$31+'Inputs'!$B$32)/1000+'Inputs'!$B$21+'Inputs'!$B$9+'Inputs'!$B$10))/SQRT((((354-43)*MAX('Inputs'!$B$33,'Inputs'!$B$29+'Inputs'!$B$31+'Inputs'!$B$32,'Inputs'!$B$30+'Inputs'!$B$31+'Inputs'!$B$32)/1000+'Inputs'!$B$21+'Inputs'!$B$9+'Inputs'!$B$10))^2+('Inputs'!$B$6/2)^2))))*'Results'!$B$8))),"")</x:f>
        <x:v>20.85947768326964</x:v>
      </x:c>
      <x:c r="P354" t="n">
        <x:f>IF(AND(MAX(J354,J353)&gt;0,J354&gt;J353+0.00000001),1,0)</x:f>
        <x:v>0</x:v>
      </x:c>
      <x:c r="Q354" t="n">
        <x:f>IF(AND(MAX(K354,K353)&gt;0,K354&gt;K353+0.00000001),1,0)</x:f>
        <x:v>0</x:v>
      </x:c>
      <x:c r="R354" t="n">
        <x:f>IF(AND(MAX(L354,L353)&gt;0,L354&gt;L353+0.00000001),1,0)</x:f>
        <x:v>0</x:v>
      </x:c>
      <x:c r="S354" t="n">
        <x:f>IF(AND(MAX(M354,M353)&gt;0,M354&gt;M353+0.00000001),1,0)</x:f>
        <x:v>0</x:v>
      </x:c>
      <x:c r="T354" t="n">
        <x:f>IF(AND(MAX(N354,N353)&gt;0,N354&gt;N353+0.00000001),1,0)</x:f>
        <x:v>0</x:v>
      </x:c>
      <x:c r="U354" t="n">
        <x:f>IF(AND(MAX(O354,O353)&gt;0,O354&gt;O353+0.00000001),1,0)</x:f>
        <x:v>0</x:v>
      </x:c>
    </x:row>
    <x:row r="355">
      <x:c r="J355" t="n">
        <x:f>IF(AND(ISNUMBER('Results'!B7),ISNUMBER('Results'!C7),ISNUMBER('Results'!$B$8),ISNUMBER('Inputs'!$B$6),ISNUMBER('Inputs'!$B$7),ISNUMBER('Inputs'!$B$8),ISNUMBER('Inputs'!$B$9),ISNUMBER('Inputs'!$B$10),ISNUMBER('Inputs'!$B$21),ISNUMBER('Inputs'!$B$24),ISNUMBER('Inputs'!$B$28)),(('Results'!B7*(0.5*((((355-43)*MAX('Inputs'!$B$33,'Inputs'!$B$29+'Inputs'!$B$31+'Inputs'!$B$32,'Inputs'!$B$30+'Inputs'!$B$31+'Inputs'!$B$32)/1000+'Inputs'!$B$21)+'Inputs'!$B$7)/SQRT((((355-43)*MAX('Inputs'!$B$33,'Inputs'!$B$29+'Inputs'!$B$31+'Inputs'!$B$32,'Inputs'!$B$30+'Inputs'!$B$31+'Inputs'!$B$32)/1000+'Inputs'!$B$21)+'Inputs'!$B$7)^2+('Inputs'!$B$6/2)^2)-(((355-43)*MAX('Inputs'!$B$33,'Inputs'!$B$29+'Inputs'!$B$31+'Inputs'!$B$32,'Inputs'!$B$30+'Inputs'!$B$31+'Inputs'!$B$32)/1000+'Inputs'!$B$21))/SQRT((((355-43)*MAX('Inputs'!$B$33,'Inputs'!$B$29+'Inputs'!$B$31+'Inputs'!$B$32,'Inputs'!$B$30+'Inputs'!$B$31+'Inputs'!$B$32)/1000+'Inputs'!$B$21))^2+('Inputs'!$B$6/2)^2)))-'Results'!C7*(0.5*((((355-43)*MAX('Inputs'!$B$33,'Inputs'!$B$29+'Inputs'!$B$31+'Inputs'!$B$32,'Inputs'!$B$30+'Inputs'!$B$31+'Inputs'!$B$32)/1000+'Inputs'!$B$21+'Inputs'!$B$7+'Inputs'!$B$10)+'Inputs'!$B$9)/SQRT((((355-43)*MAX('Inputs'!$B$33,'Inputs'!$B$29+'Inputs'!$B$31+'Inputs'!$B$32,'Inputs'!$B$30+'Inputs'!$B$31+'Inputs'!$B$32)/1000+'Inputs'!$B$21+'Inputs'!$B$7+'Inputs'!$B$10)+'Inputs'!$B$9)^2+('Inputs'!$B$8/2)^2)-(((355-43)*MAX('Inputs'!$B$33,'Inputs'!$B$29+'Inputs'!$B$31+'Inputs'!$B$32,'Inputs'!$B$30+'Inputs'!$B$31+'Inputs'!$B$32)/1000+'Inputs'!$B$21+'Inputs'!$B$7+'Inputs'!$B$10))/SQRT((((355-43)*MAX('Inputs'!$B$33,'Inputs'!$B$29+'Inputs'!$B$31+'Inputs'!$B$32,'Inputs'!$B$30+'Inputs'!$B$31+'Inputs'!$B$32)/1000+'Inputs'!$B$21+'Inputs'!$B$7+'Inputs'!$B$10))^2+('Inputs'!$B$8/2)^2))))*'Results'!$B$8),"")</x:f>
        <x:v>19.680720115002917</x:v>
      </x:c>
      <x:c r="K355" t="n">
        <x:f>IF(AND(ISNUMBER('Results'!B7),ISNUMBER('Results'!C7),ISNUMBER('Results'!$B$8),ISNUMBER('Inputs'!$B$6),ISNUMBER('Inputs'!$B$7),ISNUMBER('Inputs'!$B$8),ISNUMBER('Inputs'!$B$9),ISNUMBER('Inputs'!$B$10),ISNUMBER('Inputs'!$B$21),ISNUMBER('Inputs'!$B$24),ISNUMBER('Inputs'!$B$28)),((('Results'!B7*(1-'Inputs'!$B$24)*(0.5*((((355-43)*MAX('Inputs'!$B$33,'Inputs'!$B$29+'Inputs'!$B$31+'Inputs'!$B$32,'Inputs'!$B$30+'Inputs'!$B$31+'Inputs'!$B$32)/1000+'Inputs'!$B$21)+'Inputs'!$B$7)/SQRT((((355-43)*MAX('Inputs'!$B$33,'Inputs'!$B$29+'Inputs'!$B$31+'Inputs'!$B$32,'Inputs'!$B$30+'Inputs'!$B$31+'Inputs'!$B$32)/1000+'Inputs'!$B$21)+'Inputs'!$B$7)^2+('Inputs'!$B$6/2)^2)-(((355-43)*MAX('Inputs'!$B$33,'Inputs'!$B$29+'Inputs'!$B$31+'Inputs'!$B$32,'Inputs'!$B$30+'Inputs'!$B$31+'Inputs'!$B$32)/1000+'Inputs'!$B$21))/SQRT((((355-43)*MAX('Inputs'!$B$33,'Inputs'!$B$29+'Inputs'!$B$31+'Inputs'!$B$32,'Inputs'!$B$30+'Inputs'!$B$31+'Inputs'!$B$32)/1000+'Inputs'!$B$21))^2+('Inputs'!$B$6/2)^2)))-'Results'!C7*(1+'Inputs'!$B$24)*(0.5*((((355-43)*MAX('Inputs'!$B$33,'Inputs'!$B$29+'Inputs'!$B$31+'Inputs'!$B$32,'Inputs'!$B$30+'Inputs'!$B$31+'Inputs'!$B$32)/1000+'Inputs'!$B$21+'Inputs'!$B$7+'Inputs'!$B$10)+'Inputs'!$B$9)/SQRT((((355-43)*MAX('Inputs'!$B$33,'Inputs'!$B$29+'Inputs'!$B$31+'Inputs'!$B$32,'Inputs'!$B$30+'Inputs'!$B$31+'Inputs'!$B$32)/1000+'Inputs'!$B$21+'Inputs'!$B$7+'Inputs'!$B$10)+'Inputs'!$B$9)^2+('Inputs'!$B$8/2)^2)-(((355-43)*MAX('Inputs'!$B$33,'Inputs'!$B$29+'Inputs'!$B$31+'Inputs'!$B$32,'Inputs'!$B$30+'Inputs'!$B$31+'Inputs'!$B$32)/1000+'Inputs'!$B$21+'Inputs'!$B$7+'Inputs'!$B$10))/SQRT((((355-43)*MAX('Inputs'!$B$33,'Inputs'!$B$29+'Inputs'!$B$31+'Inputs'!$B$32,'Inputs'!$B$30+'Inputs'!$B$31+'Inputs'!$B$32)/1000+'Inputs'!$B$21+'Inputs'!$B$7+'Inputs'!$B$10))^2+('Inputs'!$B$8/2)^2))))*'Results'!$B$8)-'Inputs'!$B$28*ABS((('Results'!B7*(1-'Inputs'!$B$24)*(0.5*((((355-43)*MAX('Inputs'!$B$33,'Inputs'!$B$29+'Inputs'!$B$31+'Inputs'!$B$32,'Inputs'!$B$30+'Inputs'!$B$31+'Inputs'!$B$32)/1000+'Inputs'!$B$21)+'Inputs'!$B$7)/SQRT((((355-43)*MAX('Inputs'!$B$33,'Inputs'!$B$29+'Inputs'!$B$31+'Inputs'!$B$32,'Inputs'!$B$30+'Inputs'!$B$31+'Inputs'!$B$32)/1000+'Inputs'!$B$21)+'Inputs'!$B$7)^2+('Inputs'!$B$6/2)^2)-(((355-43)*MAX('Inputs'!$B$33,'Inputs'!$B$29+'Inputs'!$B$31+'Inputs'!$B$32,'Inputs'!$B$30+'Inputs'!$B$31+'Inputs'!$B$32)/1000+'Inputs'!$B$21))/SQRT((((355-43)*MAX('Inputs'!$B$33,'Inputs'!$B$29+'Inputs'!$B$31+'Inputs'!$B$32,'Inputs'!$B$30+'Inputs'!$B$31+'Inputs'!$B$32)/1000+'Inputs'!$B$21))^2+('Inputs'!$B$6/2)^2)))-'Results'!C7*(1+'Inputs'!$B$24)*(0.5*((((355-43)*MAX('Inputs'!$B$33,'Inputs'!$B$29+'Inputs'!$B$31+'Inputs'!$B$32,'Inputs'!$B$30+'Inputs'!$B$31+'Inputs'!$B$32)/1000+'Inputs'!$B$21+'Inputs'!$B$7+'Inputs'!$B$10)+'Inputs'!$B$9)/SQRT((((355-43)*MAX('Inputs'!$B$33,'Inputs'!$B$29+'Inputs'!$B$31+'Inputs'!$B$32,'Inputs'!$B$30+'Inputs'!$B$31+'Inputs'!$B$32)/1000+'Inputs'!$B$21+'Inputs'!$B$7+'Inputs'!$B$10)+'Inputs'!$B$9)^2+('Inputs'!$B$8/2)^2)-(((355-43)*MAX('Inputs'!$B$33,'Inputs'!$B$29+'Inputs'!$B$31+'Inputs'!$B$32,'Inputs'!$B$30+'Inputs'!$B$31+'Inputs'!$B$32)/1000+'Inputs'!$B$21+'Inputs'!$B$7+'Inputs'!$B$10))/SQRT((((355-43)*MAX('Inputs'!$B$33,'Inputs'!$B$29+'Inputs'!$B$31+'Inputs'!$B$32,'Inputs'!$B$30+'Inputs'!$B$31+'Inputs'!$B$32)/1000+'Inputs'!$B$21+'Inputs'!$B$7+'Inputs'!$B$10))^2+('Inputs'!$B$8/2)^2))))*'Results'!$B$8))),"")</x:f>
        <x:v>17.789572892188158</x:v>
      </x:c>
      <x:c r="L355" t="n">
        <x:f>IF(AND(ISNUMBER('Results'!B7),ISNUMBER('Results'!C7),ISNUMBER('Results'!$B$8),ISNUMBER('Inputs'!$B$6),ISNUMBER('Inputs'!$B$7),ISNUMBER('Inputs'!$B$8),ISNUMBER('Inputs'!$B$9),ISNUMBER('Inputs'!$B$10),ISNUMBER('Inputs'!$B$21),ISNUMBER('Inputs'!$B$24),ISNUMBER('Inputs'!$B$28)),((('Results'!B7*(1+'Inputs'!$B$24)*(0.5*((((355-43)*MAX('Inputs'!$B$33,'Inputs'!$B$29+'Inputs'!$B$31+'Inputs'!$B$32,'Inputs'!$B$30+'Inputs'!$B$31+'Inputs'!$B$32)/1000+'Inputs'!$B$21)+'Inputs'!$B$7)/SQRT((((355-43)*MAX('Inputs'!$B$33,'Inputs'!$B$29+'Inputs'!$B$31+'Inputs'!$B$32,'Inputs'!$B$30+'Inputs'!$B$31+'Inputs'!$B$32)/1000+'Inputs'!$B$21)+'Inputs'!$B$7)^2+('Inputs'!$B$6/2)^2)-(((355-43)*MAX('Inputs'!$B$33,'Inputs'!$B$29+'Inputs'!$B$31+'Inputs'!$B$32,'Inputs'!$B$30+'Inputs'!$B$31+'Inputs'!$B$32)/1000+'Inputs'!$B$21))/SQRT((((355-43)*MAX('Inputs'!$B$33,'Inputs'!$B$29+'Inputs'!$B$31+'Inputs'!$B$32,'Inputs'!$B$30+'Inputs'!$B$31+'Inputs'!$B$32)/1000+'Inputs'!$B$21))^2+('Inputs'!$B$6/2)^2)))-'Results'!C7*(1-'Inputs'!$B$24)*(0.5*((((355-43)*MAX('Inputs'!$B$33,'Inputs'!$B$29+'Inputs'!$B$31+'Inputs'!$B$32,'Inputs'!$B$30+'Inputs'!$B$31+'Inputs'!$B$32)/1000+'Inputs'!$B$21+'Inputs'!$B$7+'Inputs'!$B$10)+'Inputs'!$B$9)/SQRT((((355-43)*MAX('Inputs'!$B$33,'Inputs'!$B$29+'Inputs'!$B$31+'Inputs'!$B$32,'Inputs'!$B$30+'Inputs'!$B$31+'Inputs'!$B$32)/1000+'Inputs'!$B$21+'Inputs'!$B$7+'Inputs'!$B$10)+'Inputs'!$B$9)^2+('Inputs'!$B$8/2)^2)-(((355-43)*MAX('Inputs'!$B$33,'Inputs'!$B$29+'Inputs'!$B$31+'Inputs'!$B$32,'Inputs'!$B$30+'Inputs'!$B$31+'Inputs'!$B$32)/1000+'Inputs'!$B$21+'Inputs'!$B$7+'Inputs'!$B$10))/SQRT((((355-43)*MAX('Inputs'!$B$33,'Inputs'!$B$29+'Inputs'!$B$31+'Inputs'!$B$32,'Inputs'!$B$30+'Inputs'!$B$31+'Inputs'!$B$32)/1000+'Inputs'!$B$21+'Inputs'!$B$7+'Inputs'!$B$10))^2+('Inputs'!$B$8/2)^2))))*'Results'!$B$8)+'Inputs'!$B$28*ABS((('Results'!B7*(1+'Inputs'!$B$24)*(0.5*((((355-43)*MAX('Inputs'!$B$33,'Inputs'!$B$29+'Inputs'!$B$31+'Inputs'!$B$32,'Inputs'!$B$30+'Inputs'!$B$31+'Inputs'!$B$32)/1000+'Inputs'!$B$21)+'Inputs'!$B$7)/SQRT((((355-43)*MAX('Inputs'!$B$33,'Inputs'!$B$29+'Inputs'!$B$31+'Inputs'!$B$32,'Inputs'!$B$30+'Inputs'!$B$31+'Inputs'!$B$32)/1000+'Inputs'!$B$21)+'Inputs'!$B$7)^2+('Inputs'!$B$6/2)^2)-(((355-43)*MAX('Inputs'!$B$33,'Inputs'!$B$29+'Inputs'!$B$31+'Inputs'!$B$32,'Inputs'!$B$30+'Inputs'!$B$31+'Inputs'!$B$32)/1000+'Inputs'!$B$21))/SQRT((((355-43)*MAX('Inputs'!$B$33,'Inputs'!$B$29+'Inputs'!$B$31+'Inputs'!$B$32,'Inputs'!$B$30+'Inputs'!$B$31+'Inputs'!$B$32)/1000+'Inputs'!$B$21))^2+('Inputs'!$B$6/2)^2)))-'Results'!C7*(1-'Inputs'!$B$24)*(0.5*((((355-43)*MAX('Inputs'!$B$33,'Inputs'!$B$29+'Inputs'!$B$31+'Inputs'!$B$32,'Inputs'!$B$30+'Inputs'!$B$31+'Inputs'!$B$32)/1000+'Inputs'!$B$21+'Inputs'!$B$7+'Inputs'!$B$10)+'Inputs'!$B$9)/SQRT((((355-43)*MAX('Inputs'!$B$33,'Inputs'!$B$29+'Inputs'!$B$31+'Inputs'!$B$32,'Inputs'!$B$30+'Inputs'!$B$31+'Inputs'!$B$32)/1000+'Inputs'!$B$21+'Inputs'!$B$7+'Inputs'!$B$10)+'Inputs'!$B$9)^2+('Inputs'!$B$8/2)^2)-(((355-43)*MAX('Inputs'!$B$33,'Inputs'!$B$29+'Inputs'!$B$31+'Inputs'!$B$32,'Inputs'!$B$30+'Inputs'!$B$31+'Inputs'!$B$32)/1000+'Inputs'!$B$21+'Inputs'!$B$7+'Inputs'!$B$10))/SQRT((((355-43)*MAX('Inputs'!$B$33,'Inputs'!$B$29+'Inputs'!$B$31+'Inputs'!$B$32,'Inputs'!$B$30+'Inputs'!$B$31+'Inputs'!$B$32)/1000+'Inputs'!$B$21+'Inputs'!$B$7+'Inputs'!$B$10))^2+('Inputs'!$B$8/2)^2))))*'Results'!$B$8))),"")</x:f>
        <x:v>21.667352729087625</x:v>
      </x:c>
      <x:c r="M355" t="n">
        <x:f>IF(AND(ISNUMBER('Results'!C7),ISNUMBER('Results'!B7),ISNUMBER('Results'!$B$8),ISNUMBER('Inputs'!$B$6),ISNUMBER('Inputs'!$B$7),ISNUMBER('Inputs'!$B$8),ISNUMBER('Inputs'!$B$9),ISNUMBER('Inputs'!$B$10),ISNUMBER('Inputs'!$B$21),ISNUMBER('Inputs'!$B$24),ISNUMBER('Inputs'!$B$28)),(('Results'!C7*(0.5*((((355-43)*MAX('Inputs'!$B$33,'Inputs'!$B$29+'Inputs'!$B$31+'Inputs'!$B$32,'Inputs'!$B$30+'Inputs'!$B$31+'Inputs'!$B$32)/1000+'Inputs'!$B$21)+'Inputs'!$B$9)/SQRT((((355-43)*MAX('Inputs'!$B$33,'Inputs'!$B$29+'Inputs'!$B$31+'Inputs'!$B$32,'Inputs'!$B$30+'Inputs'!$B$31+'Inputs'!$B$32)/1000+'Inputs'!$B$21)+'Inputs'!$B$9)^2+('Inputs'!$B$8/2)^2)-(((355-43)*MAX('Inputs'!$B$33,'Inputs'!$B$29+'Inputs'!$B$31+'Inputs'!$B$32,'Inputs'!$B$30+'Inputs'!$B$31+'Inputs'!$B$32)/1000+'Inputs'!$B$21))/SQRT((((355-43)*MAX('Inputs'!$B$33,'Inputs'!$B$29+'Inputs'!$B$31+'Inputs'!$B$32,'Inputs'!$B$30+'Inputs'!$B$31+'Inputs'!$B$32)/1000+'Inputs'!$B$21))^2+('Inputs'!$B$8/2)^2)))-'Results'!B7*(0.5*((((355-43)*MAX('Inputs'!$B$33,'Inputs'!$B$29+'Inputs'!$B$31+'Inputs'!$B$32,'Inputs'!$B$30+'Inputs'!$B$31+'Inputs'!$B$32)/1000+'Inputs'!$B$21+'Inputs'!$B$9+'Inputs'!$B$10)+'Inputs'!$B$7)/SQRT((((355-43)*MAX('Inputs'!$B$33,'Inputs'!$B$29+'Inputs'!$B$31+'Inputs'!$B$32,'Inputs'!$B$30+'Inputs'!$B$31+'Inputs'!$B$32)/1000+'Inputs'!$B$21+'Inputs'!$B$9+'Inputs'!$B$10)+'Inputs'!$B$7)^2+('Inputs'!$B$6/2)^2)-(((355-43)*MAX('Inputs'!$B$33,'Inputs'!$B$29+'Inputs'!$B$31+'Inputs'!$B$32,'Inputs'!$B$30+'Inputs'!$B$31+'Inputs'!$B$32)/1000+'Inputs'!$B$21+'Inputs'!$B$9+'Inputs'!$B$10))/SQRT((((355-43)*MAX('Inputs'!$B$33,'Inputs'!$B$29+'Inputs'!$B$31+'Inputs'!$B$32,'Inputs'!$B$30+'Inputs'!$B$31+'Inputs'!$B$32)/1000+'Inputs'!$B$21+'Inputs'!$B$9+'Inputs'!$B$10))^2+('Inputs'!$B$6/2)^2))))*'Results'!$B$8),"")</x:f>
        <x:v>18.720139268523738</x:v>
      </x:c>
      <x:c r="N355" t="n">
        <x:f>IF(AND(ISNUMBER('Results'!C7),ISNUMBER('Results'!B7),ISNUMBER('Results'!$B$8),ISNUMBER('Inputs'!$B$6),ISNUMBER('Inputs'!$B$7),ISNUMBER('Inputs'!$B$8),ISNUMBER('Inputs'!$B$9),ISNUMBER('Inputs'!$B$10),ISNUMBER('Inputs'!$B$21),ISNUMBER('Inputs'!$B$24),ISNUMBER('Inputs'!$B$28)),((('Results'!C7*(1-'Inputs'!$B$24)*(0.5*((((355-43)*MAX('Inputs'!$B$33,'Inputs'!$B$29+'Inputs'!$B$31+'Inputs'!$B$32,'Inputs'!$B$30+'Inputs'!$B$31+'Inputs'!$B$32)/1000+'Inputs'!$B$21)+'Inputs'!$B$9)/SQRT((((355-43)*MAX('Inputs'!$B$33,'Inputs'!$B$29+'Inputs'!$B$31+'Inputs'!$B$32,'Inputs'!$B$30+'Inputs'!$B$31+'Inputs'!$B$32)/1000+'Inputs'!$B$21)+'Inputs'!$B$9)^2+('Inputs'!$B$8/2)^2)-(((355-43)*MAX('Inputs'!$B$33,'Inputs'!$B$29+'Inputs'!$B$31+'Inputs'!$B$32,'Inputs'!$B$30+'Inputs'!$B$31+'Inputs'!$B$32)/1000+'Inputs'!$B$21))/SQRT((((355-43)*MAX('Inputs'!$B$33,'Inputs'!$B$29+'Inputs'!$B$31+'Inputs'!$B$32,'Inputs'!$B$30+'Inputs'!$B$31+'Inputs'!$B$32)/1000+'Inputs'!$B$21))^2+('Inputs'!$B$8/2)^2)))-'Results'!B7*(1+'Inputs'!$B$24)*(0.5*((((355-43)*MAX('Inputs'!$B$33,'Inputs'!$B$29+'Inputs'!$B$31+'Inputs'!$B$32,'Inputs'!$B$30+'Inputs'!$B$31+'Inputs'!$B$32)/1000+'Inputs'!$B$21+'Inputs'!$B$9+'Inputs'!$B$10)+'Inputs'!$B$7)/SQRT((((355-43)*MAX('Inputs'!$B$33,'Inputs'!$B$29+'Inputs'!$B$31+'Inputs'!$B$32,'Inputs'!$B$30+'Inputs'!$B$31+'Inputs'!$B$32)/1000+'Inputs'!$B$21+'Inputs'!$B$9+'Inputs'!$B$10)+'Inputs'!$B$7)^2+('Inputs'!$B$6/2)^2)-(((355-43)*MAX('Inputs'!$B$33,'Inputs'!$B$29+'Inputs'!$B$31+'Inputs'!$B$32,'Inputs'!$B$30+'Inputs'!$B$31+'Inputs'!$B$32)/1000+'Inputs'!$B$21+'Inputs'!$B$9+'Inputs'!$B$10))/SQRT((((355-43)*MAX('Inputs'!$B$33,'Inputs'!$B$29+'Inputs'!$B$31+'Inputs'!$B$32,'Inputs'!$B$30+'Inputs'!$B$31+'Inputs'!$B$32)/1000+'Inputs'!$B$21+'Inputs'!$B$9+'Inputs'!$B$10))^2+('Inputs'!$B$6/2)^2))))*'Results'!$B$8)-'Inputs'!$B$28*ABS((('Results'!C7*(1-'Inputs'!$B$24)*(0.5*((((355-43)*MAX('Inputs'!$B$33,'Inputs'!$B$29+'Inputs'!$B$31+'Inputs'!$B$32,'Inputs'!$B$30+'Inputs'!$B$31+'Inputs'!$B$32)/1000+'Inputs'!$B$21)+'Inputs'!$B$9)/SQRT((((355-43)*MAX('Inputs'!$B$33,'Inputs'!$B$29+'Inputs'!$B$31+'Inputs'!$B$32,'Inputs'!$B$30+'Inputs'!$B$31+'Inputs'!$B$32)/1000+'Inputs'!$B$21)+'Inputs'!$B$9)^2+('Inputs'!$B$8/2)^2)-(((355-43)*MAX('Inputs'!$B$33,'Inputs'!$B$29+'Inputs'!$B$31+'Inputs'!$B$32,'Inputs'!$B$30+'Inputs'!$B$31+'Inputs'!$B$32)/1000+'Inputs'!$B$21))/SQRT((((355-43)*MAX('Inputs'!$B$33,'Inputs'!$B$29+'Inputs'!$B$31+'Inputs'!$B$32,'Inputs'!$B$30+'Inputs'!$B$31+'Inputs'!$B$32)/1000+'Inputs'!$B$21))^2+('Inputs'!$B$8/2)^2)))-'Results'!B7*(1+'Inputs'!$B$24)*(0.5*((((355-43)*MAX('Inputs'!$B$33,'Inputs'!$B$29+'Inputs'!$B$31+'Inputs'!$B$32,'Inputs'!$B$30+'Inputs'!$B$31+'Inputs'!$B$32)/1000+'Inputs'!$B$21+'Inputs'!$B$9+'Inputs'!$B$10)+'Inputs'!$B$7)/SQRT((((355-43)*MAX('Inputs'!$B$33,'Inputs'!$B$29+'Inputs'!$B$31+'Inputs'!$B$32,'Inputs'!$B$30+'Inputs'!$B$31+'Inputs'!$B$32)/1000+'Inputs'!$B$21+'Inputs'!$B$9+'Inputs'!$B$10)+'Inputs'!$B$7)^2+('Inputs'!$B$6/2)^2)-(((355-43)*MAX('Inputs'!$B$33,'Inputs'!$B$29+'Inputs'!$B$31+'Inputs'!$B$32,'Inputs'!$B$30+'Inputs'!$B$31+'Inputs'!$B$32)/1000+'Inputs'!$B$21+'Inputs'!$B$9+'Inputs'!$B$10))/SQRT((((355-43)*MAX('Inputs'!$B$33,'Inputs'!$B$29+'Inputs'!$B$31+'Inputs'!$B$32,'Inputs'!$B$30+'Inputs'!$B$31+'Inputs'!$B$32)/1000+'Inputs'!$B$21+'Inputs'!$B$9+'Inputs'!$B$10))^2+('Inputs'!$B$6/2)^2))))*'Results'!$B$8))),"")</x:f>
        <x:v>16.884390949934836</x:v>
      </x:c>
      <x:c r="O355" t="n">
        <x:f>IF(AND(ISNUMBER('Results'!C7),ISNUMBER('Results'!B7),ISNUMBER('Results'!$B$8),ISNUMBER('Inputs'!$B$6),ISNUMBER('Inputs'!$B$7),ISNUMBER('Inputs'!$B$8),ISNUMBER('Inputs'!$B$9),ISNUMBER('Inputs'!$B$10),ISNUMBER('Inputs'!$B$21),ISNUMBER('Inputs'!$B$24),ISNUMBER('Inputs'!$B$28)),((('Results'!C7*(1+'Inputs'!$B$24)*(0.5*((((355-43)*MAX('Inputs'!$B$33,'Inputs'!$B$29+'Inputs'!$B$31+'Inputs'!$B$32,'Inputs'!$B$30+'Inputs'!$B$31+'Inputs'!$B$32)/1000+'Inputs'!$B$21)+'Inputs'!$B$9)/SQRT((((355-43)*MAX('Inputs'!$B$33,'Inputs'!$B$29+'Inputs'!$B$31+'Inputs'!$B$32,'Inputs'!$B$30+'Inputs'!$B$31+'Inputs'!$B$32)/1000+'Inputs'!$B$21)+'Inputs'!$B$9)^2+('Inputs'!$B$8/2)^2)-(((355-43)*MAX('Inputs'!$B$33,'Inputs'!$B$29+'Inputs'!$B$31+'Inputs'!$B$32,'Inputs'!$B$30+'Inputs'!$B$31+'Inputs'!$B$32)/1000+'Inputs'!$B$21))/SQRT((((355-43)*MAX('Inputs'!$B$33,'Inputs'!$B$29+'Inputs'!$B$31+'Inputs'!$B$32,'Inputs'!$B$30+'Inputs'!$B$31+'Inputs'!$B$32)/1000+'Inputs'!$B$21))^2+('Inputs'!$B$8/2)^2)))-'Results'!B7*(1-'Inputs'!$B$24)*(0.5*((((355-43)*MAX('Inputs'!$B$33,'Inputs'!$B$29+'Inputs'!$B$31+'Inputs'!$B$32,'Inputs'!$B$30+'Inputs'!$B$31+'Inputs'!$B$32)/1000+'Inputs'!$B$21+'Inputs'!$B$9+'Inputs'!$B$10)+'Inputs'!$B$7)/SQRT((((355-43)*MAX('Inputs'!$B$33,'Inputs'!$B$29+'Inputs'!$B$31+'Inputs'!$B$32,'Inputs'!$B$30+'Inputs'!$B$31+'Inputs'!$B$32)/1000+'Inputs'!$B$21+'Inputs'!$B$9+'Inputs'!$B$10)+'Inputs'!$B$7)^2+('Inputs'!$B$6/2)^2)-(((355-43)*MAX('Inputs'!$B$33,'Inputs'!$B$29+'Inputs'!$B$31+'Inputs'!$B$32,'Inputs'!$B$30+'Inputs'!$B$31+'Inputs'!$B$32)/1000+'Inputs'!$B$21+'Inputs'!$B$9+'Inputs'!$B$10))/SQRT((((355-43)*MAX('Inputs'!$B$33,'Inputs'!$B$29+'Inputs'!$B$31+'Inputs'!$B$32,'Inputs'!$B$30+'Inputs'!$B$31+'Inputs'!$B$32)/1000+'Inputs'!$B$21+'Inputs'!$B$9+'Inputs'!$B$10))^2+('Inputs'!$B$6/2)^2))))*'Results'!$B$8)+'Inputs'!$B$28*ABS((('Results'!C7*(1+'Inputs'!$B$24)*(0.5*((((355-43)*MAX('Inputs'!$B$33,'Inputs'!$B$29+'Inputs'!$B$31+'Inputs'!$B$32,'Inputs'!$B$30+'Inputs'!$B$31+'Inputs'!$B$32)/1000+'Inputs'!$B$21)+'Inputs'!$B$9)/SQRT((((355-43)*MAX('Inputs'!$B$33,'Inputs'!$B$29+'Inputs'!$B$31+'Inputs'!$B$32,'Inputs'!$B$30+'Inputs'!$B$31+'Inputs'!$B$32)/1000+'Inputs'!$B$21)+'Inputs'!$B$9)^2+('Inputs'!$B$8/2)^2)-(((355-43)*MAX('Inputs'!$B$33,'Inputs'!$B$29+'Inputs'!$B$31+'Inputs'!$B$32,'Inputs'!$B$30+'Inputs'!$B$31+'Inputs'!$B$32)/1000+'Inputs'!$B$21))/SQRT((((355-43)*MAX('Inputs'!$B$33,'Inputs'!$B$29+'Inputs'!$B$31+'Inputs'!$B$32,'Inputs'!$B$30+'Inputs'!$B$31+'Inputs'!$B$32)/1000+'Inputs'!$B$21))^2+('Inputs'!$B$8/2)^2)))-'Results'!B7*(1-'Inputs'!$B$24)*(0.5*((((355-43)*MAX('Inputs'!$B$33,'Inputs'!$B$29+'Inputs'!$B$31+'Inputs'!$B$32,'Inputs'!$B$30+'Inputs'!$B$31+'Inputs'!$B$32)/1000+'Inputs'!$B$21+'Inputs'!$B$9+'Inputs'!$B$10)+'Inputs'!$B$7)/SQRT((((355-43)*MAX('Inputs'!$B$33,'Inputs'!$B$29+'Inputs'!$B$31+'Inputs'!$B$32,'Inputs'!$B$30+'Inputs'!$B$31+'Inputs'!$B$32)/1000+'Inputs'!$B$21+'Inputs'!$B$9+'Inputs'!$B$10)+'Inputs'!$B$7)^2+('Inputs'!$B$6/2)^2)-(((355-43)*MAX('Inputs'!$B$33,'Inputs'!$B$29+'Inputs'!$B$31+'Inputs'!$B$32,'Inputs'!$B$30+'Inputs'!$B$31+'Inputs'!$B$32)/1000+'Inputs'!$B$21+'Inputs'!$B$9+'Inputs'!$B$10))/SQRT((((355-43)*MAX('Inputs'!$B$33,'Inputs'!$B$29+'Inputs'!$B$31+'Inputs'!$B$32,'Inputs'!$B$30+'Inputs'!$B$31+'Inputs'!$B$32)/1000+'Inputs'!$B$21+'Inputs'!$B$9+'Inputs'!$B$10))^2+('Inputs'!$B$6/2)^2))))*'Results'!$B$8))),"")</x:f>
        <x:v>20.65059720344557</x:v>
      </x:c>
      <x:c r="P355" t="n">
        <x:f>IF(AND(MAX(J355,J354)&gt;0,J355&gt;J354+0.00000001),1,0)</x:f>
        <x:v>0</x:v>
      </x:c>
      <x:c r="Q355" t="n">
        <x:f>IF(AND(MAX(K355,K354)&gt;0,K355&gt;K354+0.00000001),1,0)</x:f>
        <x:v>0</x:v>
      </x:c>
      <x:c r="R355" t="n">
        <x:f>IF(AND(MAX(L355,L354)&gt;0,L355&gt;L354+0.00000001),1,0)</x:f>
        <x:v>0</x:v>
      </x:c>
      <x:c r="S355" t="n">
        <x:f>IF(AND(MAX(M355,M354)&gt;0,M355&gt;M354+0.00000001),1,0)</x:f>
        <x:v>0</x:v>
      </x:c>
      <x:c r="T355" t="n">
        <x:f>IF(AND(MAX(N355,N354)&gt;0,N355&gt;N354+0.00000001),1,0)</x:f>
        <x:v>0</x:v>
      </x:c>
      <x:c r="U355" t="n">
        <x:f>IF(AND(MAX(O355,O354)&gt;0,O355&gt;O354+0.00000001),1,0)</x:f>
        <x:v>0</x:v>
      </x:c>
    </x:row>
    <x:row r="356">
      <x:c r="J356" t="n">
        <x:f>IF(AND(ISNUMBER('Results'!B7),ISNUMBER('Results'!C7),ISNUMBER('Results'!$B$8),ISNUMBER('Inputs'!$B$6),ISNUMBER('Inputs'!$B$7),ISNUMBER('Inputs'!$B$8),ISNUMBER('Inputs'!$B$9),ISNUMBER('Inputs'!$B$10),ISNUMBER('Inputs'!$B$21),ISNUMBER('Inputs'!$B$24),ISNUMBER('Inputs'!$B$28)),(('Results'!B7*(0.5*((((356-43)*MAX('Inputs'!$B$33,'Inputs'!$B$29+'Inputs'!$B$31+'Inputs'!$B$32,'Inputs'!$B$30+'Inputs'!$B$31+'Inputs'!$B$32)/1000+'Inputs'!$B$21)+'Inputs'!$B$7)/SQRT((((356-43)*MAX('Inputs'!$B$33,'Inputs'!$B$29+'Inputs'!$B$31+'Inputs'!$B$32,'Inputs'!$B$30+'Inputs'!$B$31+'Inputs'!$B$32)/1000+'Inputs'!$B$21)+'Inputs'!$B$7)^2+('Inputs'!$B$6/2)^2)-(((356-43)*MAX('Inputs'!$B$33,'Inputs'!$B$29+'Inputs'!$B$31+'Inputs'!$B$32,'Inputs'!$B$30+'Inputs'!$B$31+'Inputs'!$B$32)/1000+'Inputs'!$B$21))/SQRT((((356-43)*MAX('Inputs'!$B$33,'Inputs'!$B$29+'Inputs'!$B$31+'Inputs'!$B$32,'Inputs'!$B$30+'Inputs'!$B$31+'Inputs'!$B$32)/1000+'Inputs'!$B$21))^2+('Inputs'!$B$6/2)^2)))-'Results'!C7*(0.5*((((356-43)*MAX('Inputs'!$B$33,'Inputs'!$B$29+'Inputs'!$B$31+'Inputs'!$B$32,'Inputs'!$B$30+'Inputs'!$B$31+'Inputs'!$B$32)/1000+'Inputs'!$B$21+'Inputs'!$B$7+'Inputs'!$B$10)+'Inputs'!$B$9)/SQRT((((356-43)*MAX('Inputs'!$B$33,'Inputs'!$B$29+'Inputs'!$B$31+'Inputs'!$B$32,'Inputs'!$B$30+'Inputs'!$B$31+'Inputs'!$B$32)/1000+'Inputs'!$B$21+'Inputs'!$B$7+'Inputs'!$B$10)+'Inputs'!$B$9)^2+('Inputs'!$B$8/2)^2)-(((356-43)*MAX('Inputs'!$B$33,'Inputs'!$B$29+'Inputs'!$B$31+'Inputs'!$B$32,'Inputs'!$B$30+'Inputs'!$B$31+'Inputs'!$B$32)/1000+'Inputs'!$B$21+'Inputs'!$B$7+'Inputs'!$B$10))/SQRT((((356-43)*MAX('Inputs'!$B$33,'Inputs'!$B$29+'Inputs'!$B$31+'Inputs'!$B$32,'Inputs'!$B$30+'Inputs'!$B$31+'Inputs'!$B$32)/1000+'Inputs'!$B$21+'Inputs'!$B$7+'Inputs'!$B$10))^2+('Inputs'!$B$8/2)^2))))*'Results'!$B$8),"")</x:f>
        <x:v>19.48414612384906</x:v>
      </x:c>
      <x:c r="K356" t="n">
        <x:f>IF(AND(ISNUMBER('Results'!B7),ISNUMBER('Results'!C7),ISNUMBER('Results'!$B$8),ISNUMBER('Inputs'!$B$6),ISNUMBER('Inputs'!$B$7),ISNUMBER('Inputs'!$B$8),ISNUMBER('Inputs'!$B$9),ISNUMBER('Inputs'!$B$10),ISNUMBER('Inputs'!$B$21),ISNUMBER('Inputs'!$B$24),ISNUMBER('Inputs'!$B$28)),((('Results'!B7*(1-'Inputs'!$B$24)*(0.5*((((356-43)*MAX('Inputs'!$B$33,'Inputs'!$B$29+'Inputs'!$B$31+'Inputs'!$B$32,'Inputs'!$B$30+'Inputs'!$B$31+'Inputs'!$B$32)/1000+'Inputs'!$B$21)+'Inputs'!$B$7)/SQRT((((356-43)*MAX('Inputs'!$B$33,'Inputs'!$B$29+'Inputs'!$B$31+'Inputs'!$B$32,'Inputs'!$B$30+'Inputs'!$B$31+'Inputs'!$B$32)/1000+'Inputs'!$B$21)+'Inputs'!$B$7)^2+('Inputs'!$B$6/2)^2)-(((356-43)*MAX('Inputs'!$B$33,'Inputs'!$B$29+'Inputs'!$B$31+'Inputs'!$B$32,'Inputs'!$B$30+'Inputs'!$B$31+'Inputs'!$B$32)/1000+'Inputs'!$B$21))/SQRT((((356-43)*MAX('Inputs'!$B$33,'Inputs'!$B$29+'Inputs'!$B$31+'Inputs'!$B$32,'Inputs'!$B$30+'Inputs'!$B$31+'Inputs'!$B$32)/1000+'Inputs'!$B$21))^2+('Inputs'!$B$6/2)^2)))-'Results'!C7*(1+'Inputs'!$B$24)*(0.5*((((356-43)*MAX('Inputs'!$B$33,'Inputs'!$B$29+'Inputs'!$B$31+'Inputs'!$B$32,'Inputs'!$B$30+'Inputs'!$B$31+'Inputs'!$B$32)/1000+'Inputs'!$B$21+'Inputs'!$B$7+'Inputs'!$B$10)+'Inputs'!$B$9)/SQRT((((356-43)*MAX('Inputs'!$B$33,'Inputs'!$B$29+'Inputs'!$B$31+'Inputs'!$B$32,'Inputs'!$B$30+'Inputs'!$B$31+'Inputs'!$B$32)/1000+'Inputs'!$B$21+'Inputs'!$B$7+'Inputs'!$B$10)+'Inputs'!$B$9)^2+('Inputs'!$B$8/2)^2)-(((356-43)*MAX('Inputs'!$B$33,'Inputs'!$B$29+'Inputs'!$B$31+'Inputs'!$B$32,'Inputs'!$B$30+'Inputs'!$B$31+'Inputs'!$B$32)/1000+'Inputs'!$B$21+'Inputs'!$B$7+'Inputs'!$B$10))/SQRT((((356-43)*MAX('Inputs'!$B$33,'Inputs'!$B$29+'Inputs'!$B$31+'Inputs'!$B$32,'Inputs'!$B$30+'Inputs'!$B$31+'Inputs'!$B$32)/1000+'Inputs'!$B$21+'Inputs'!$B$7+'Inputs'!$B$10))^2+('Inputs'!$B$8/2)^2))))*'Results'!$B$8)-'Inputs'!$B$28*ABS((('Results'!B7*(1-'Inputs'!$B$24)*(0.5*((((356-43)*MAX('Inputs'!$B$33,'Inputs'!$B$29+'Inputs'!$B$31+'Inputs'!$B$32,'Inputs'!$B$30+'Inputs'!$B$31+'Inputs'!$B$32)/1000+'Inputs'!$B$21)+'Inputs'!$B$7)/SQRT((((356-43)*MAX('Inputs'!$B$33,'Inputs'!$B$29+'Inputs'!$B$31+'Inputs'!$B$32,'Inputs'!$B$30+'Inputs'!$B$31+'Inputs'!$B$32)/1000+'Inputs'!$B$21)+'Inputs'!$B$7)^2+('Inputs'!$B$6/2)^2)-(((356-43)*MAX('Inputs'!$B$33,'Inputs'!$B$29+'Inputs'!$B$31+'Inputs'!$B$32,'Inputs'!$B$30+'Inputs'!$B$31+'Inputs'!$B$32)/1000+'Inputs'!$B$21))/SQRT((((356-43)*MAX('Inputs'!$B$33,'Inputs'!$B$29+'Inputs'!$B$31+'Inputs'!$B$32,'Inputs'!$B$30+'Inputs'!$B$31+'Inputs'!$B$32)/1000+'Inputs'!$B$21))^2+('Inputs'!$B$6/2)^2)))-'Results'!C7*(1+'Inputs'!$B$24)*(0.5*((((356-43)*MAX('Inputs'!$B$33,'Inputs'!$B$29+'Inputs'!$B$31+'Inputs'!$B$32,'Inputs'!$B$30+'Inputs'!$B$31+'Inputs'!$B$32)/1000+'Inputs'!$B$21+'Inputs'!$B$7+'Inputs'!$B$10)+'Inputs'!$B$9)/SQRT((((356-43)*MAX('Inputs'!$B$33,'Inputs'!$B$29+'Inputs'!$B$31+'Inputs'!$B$32,'Inputs'!$B$30+'Inputs'!$B$31+'Inputs'!$B$32)/1000+'Inputs'!$B$21+'Inputs'!$B$7+'Inputs'!$B$10)+'Inputs'!$B$9)^2+('Inputs'!$B$8/2)^2)-(((356-43)*MAX('Inputs'!$B$33,'Inputs'!$B$29+'Inputs'!$B$31+'Inputs'!$B$32,'Inputs'!$B$30+'Inputs'!$B$31+'Inputs'!$B$32)/1000+'Inputs'!$B$21+'Inputs'!$B$7+'Inputs'!$B$10))/SQRT((((356-43)*MAX('Inputs'!$B$33,'Inputs'!$B$29+'Inputs'!$B$31+'Inputs'!$B$32,'Inputs'!$B$30+'Inputs'!$B$31+'Inputs'!$B$32)/1000+'Inputs'!$B$21+'Inputs'!$B$7+'Inputs'!$B$10))^2+('Inputs'!$B$8/2)^2))))*'Results'!$B$8))),"")</x:f>
        <x:v>17.610028128780012</x:v>
      </x:c>
      <x:c r="L356" t="n">
        <x:f>IF(AND(ISNUMBER('Results'!B7),ISNUMBER('Results'!C7),ISNUMBER('Results'!$B$8),ISNUMBER('Inputs'!$B$6),ISNUMBER('Inputs'!$B$7),ISNUMBER('Inputs'!$B$8),ISNUMBER('Inputs'!$B$9),ISNUMBER('Inputs'!$B$10),ISNUMBER('Inputs'!$B$21),ISNUMBER('Inputs'!$B$24),ISNUMBER('Inputs'!$B$28)),((('Results'!B7*(1+'Inputs'!$B$24)*(0.5*((((356-43)*MAX('Inputs'!$B$33,'Inputs'!$B$29+'Inputs'!$B$31+'Inputs'!$B$32,'Inputs'!$B$30+'Inputs'!$B$31+'Inputs'!$B$32)/1000+'Inputs'!$B$21)+'Inputs'!$B$7)/SQRT((((356-43)*MAX('Inputs'!$B$33,'Inputs'!$B$29+'Inputs'!$B$31+'Inputs'!$B$32,'Inputs'!$B$30+'Inputs'!$B$31+'Inputs'!$B$32)/1000+'Inputs'!$B$21)+'Inputs'!$B$7)^2+('Inputs'!$B$6/2)^2)-(((356-43)*MAX('Inputs'!$B$33,'Inputs'!$B$29+'Inputs'!$B$31+'Inputs'!$B$32,'Inputs'!$B$30+'Inputs'!$B$31+'Inputs'!$B$32)/1000+'Inputs'!$B$21))/SQRT((((356-43)*MAX('Inputs'!$B$33,'Inputs'!$B$29+'Inputs'!$B$31+'Inputs'!$B$32,'Inputs'!$B$30+'Inputs'!$B$31+'Inputs'!$B$32)/1000+'Inputs'!$B$21))^2+('Inputs'!$B$6/2)^2)))-'Results'!C7*(1-'Inputs'!$B$24)*(0.5*((((356-43)*MAX('Inputs'!$B$33,'Inputs'!$B$29+'Inputs'!$B$31+'Inputs'!$B$32,'Inputs'!$B$30+'Inputs'!$B$31+'Inputs'!$B$32)/1000+'Inputs'!$B$21+'Inputs'!$B$7+'Inputs'!$B$10)+'Inputs'!$B$9)/SQRT((((356-43)*MAX('Inputs'!$B$33,'Inputs'!$B$29+'Inputs'!$B$31+'Inputs'!$B$32,'Inputs'!$B$30+'Inputs'!$B$31+'Inputs'!$B$32)/1000+'Inputs'!$B$21+'Inputs'!$B$7+'Inputs'!$B$10)+'Inputs'!$B$9)^2+('Inputs'!$B$8/2)^2)-(((356-43)*MAX('Inputs'!$B$33,'Inputs'!$B$29+'Inputs'!$B$31+'Inputs'!$B$32,'Inputs'!$B$30+'Inputs'!$B$31+'Inputs'!$B$32)/1000+'Inputs'!$B$21+'Inputs'!$B$7+'Inputs'!$B$10))/SQRT((((356-43)*MAX('Inputs'!$B$33,'Inputs'!$B$29+'Inputs'!$B$31+'Inputs'!$B$32,'Inputs'!$B$30+'Inputs'!$B$31+'Inputs'!$B$32)/1000+'Inputs'!$B$21+'Inputs'!$B$7+'Inputs'!$B$10))^2+('Inputs'!$B$8/2)^2))))*'Results'!$B$8)+'Inputs'!$B$28*ABS((('Results'!B7*(1+'Inputs'!$B$24)*(0.5*((((356-43)*MAX('Inputs'!$B$33,'Inputs'!$B$29+'Inputs'!$B$31+'Inputs'!$B$32,'Inputs'!$B$30+'Inputs'!$B$31+'Inputs'!$B$32)/1000+'Inputs'!$B$21)+'Inputs'!$B$7)/SQRT((((356-43)*MAX('Inputs'!$B$33,'Inputs'!$B$29+'Inputs'!$B$31+'Inputs'!$B$32,'Inputs'!$B$30+'Inputs'!$B$31+'Inputs'!$B$32)/1000+'Inputs'!$B$21)+'Inputs'!$B$7)^2+('Inputs'!$B$6/2)^2)-(((356-43)*MAX('Inputs'!$B$33,'Inputs'!$B$29+'Inputs'!$B$31+'Inputs'!$B$32,'Inputs'!$B$30+'Inputs'!$B$31+'Inputs'!$B$32)/1000+'Inputs'!$B$21))/SQRT((((356-43)*MAX('Inputs'!$B$33,'Inputs'!$B$29+'Inputs'!$B$31+'Inputs'!$B$32,'Inputs'!$B$30+'Inputs'!$B$31+'Inputs'!$B$32)/1000+'Inputs'!$B$21))^2+('Inputs'!$B$6/2)^2)))-'Results'!C7*(1-'Inputs'!$B$24)*(0.5*((((356-43)*MAX('Inputs'!$B$33,'Inputs'!$B$29+'Inputs'!$B$31+'Inputs'!$B$32,'Inputs'!$B$30+'Inputs'!$B$31+'Inputs'!$B$32)/1000+'Inputs'!$B$21+'Inputs'!$B$7+'Inputs'!$B$10)+'Inputs'!$B$9)/SQRT((((356-43)*MAX('Inputs'!$B$33,'Inputs'!$B$29+'Inputs'!$B$31+'Inputs'!$B$32,'Inputs'!$B$30+'Inputs'!$B$31+'Inputs'!$B$32)/1000+'Inputs'!$B$21+'Inputs'!$B$7+'Inputs'!$B$10)+'Inputs'!$B$9)^2+('Inputs'!$B$8/2)^2)-(((356-43)*MAX('Inputs'!$B$33,'Inputs'!$B$29+'Inputs'!$B$31+'Inputs'!$B$32,'Inputs'!$B$30+'Inputs'!$B$31+'Inputs'!$B$32)/1000+'Inputs'!$B$21+'Inputs'!$B$7+'Inputs'!$B$10))/SQRT((((356-43)*MAX('Inputs'!$B$33,'Inputs'!$B$29+'Inputs'!$B$31+'Inputs'!$B$32,'Inputs'!$B$30+'Inputs'!$B$31+'Inputs'!$B$32)/1000+'Inputs'!$B$21+'Inputs'!$B$7+'Inputs'!$B$10))^2+('Inputs'!$B$8/2)^2))))*'Results'!$B$8))),"")</x:f>
        <x:v>21.452991559852475</x:v>
      </x:c>
      <x:c r="M356" t="n">
        <x:f>IF(AND(ISNUMBER('Results'!C7),ISNUMBER('Results'!B7),ISNUMBER('Results'!$B$8),ISNUMBER('Inputs'!$B$6),ISNUMBER('Inputs'!$B$7),ISNUMBER('Inputs'!$B$8),ISNUMBER('Inputs'!$B$9),ISNUMBER('Inputs'!$B$10),ISNUMBER('Inputs'!$B$21),ISNUMBER('Inputs'!$B$24),ISNUMBER('Inputs'!$B$28)),(('Results'!C7*(0.5*((((356-43)*MAX('Inputs'!$B$33,'Inputs'!$B$29+'Inputs'!$B$31+'Inputs'!$B$32,'Inputs'!$B$30+'Inputs'!$B$31+'Inputs'!$B$32)/1000+'Inputs'!$B$21)+'Inputs'!$B$9)/SQRT((((356-43)*MAX('Inputs'!$B$33,'Inputs'!$B$29+'Inputs'!$B$31+'Inputs'!$B$32,'Inputs'!$B$30+'Inputs'!$B$31+'Inputs'!$B$32)/1000+'Inputs'!$B$21)+'Inputs'!$B$9)^2+('Inputs'!$B$8/2)^2)-(((356-43)*MAX('Inputs'!$B$33,'Inputs'!$B$29+'Inputs'!$B$31+'Inputs'!$B$32,'Inputs'!$B$30+'Inputs'!$B$31+'Inputs'!$B$32)/1000+'Inputs'!$B$21))/SQRT((((356-43)*MAX('Inputs'!$B$33,'Inputs'!$B$29+'Inputs'!$B$31+'Inputs'!$B$32,'Inputs'!$B$30+'Inputs'!$B$31+'Inputs'!$B$32)/1000+'Inputs'!$B$21))^2+('Inputs'!$B$8/2)^2)))-'Results'!B7*(0.5*((((356-43)*MAX('Inputs'!$B$33,'Inputs'!$B$29+'Inputs'!$B$31+'Inputs'!$B$32,'Inputs'!$B$30+'Inputs'!$B$31+'Inputs'!$B$32)/1000+'Inputs'!$B$21+'Inputs'!$B$9+'Inputs'!$B$10)+'Inputs'!$B$7)/SQRT((((356-43)*MAX('Inputs'!$B$33,'Inputs'!$B$29+'Inputs'!$B$31+'Inputs'!$B$32,'Inputs'!$B$30+'Inputs'!$B$31+'Inputs'!$B$32)/1000+'Inputs'!$B$21+'Inputs'!$B$9+'Inputs'!$B$10)+'Inputs'!$B$7)^2+('Inputs'!$B$6/2)^2)-(((356-43)*MAX('Inputs'!$B$33,'Inputs'!$B$29+'Inputs'!$B$31+'Inputs'!$B$32,'Inputs'!$B$30+'Inputs'!$B$31+'Inputs'!$B$32)/1000+'Inputs'!$B$21+'Inputs'!$B$9+'Inputs'!$B$10))/SQRT((((356-43)*MAX('Inputs'!$B$33,'Inputs'!$B$29+'Inputs'!$B$31+'Inputs'!$B$32,'Inputs'!$B$30+'Inputs'!$B$31+'Inputs'!$B$32)/1000+'Inputs'!$B$21+'Inputs'!$B$9+'Inputs'!$B$10))^2+('Inputs'!$B$6/2)^2))))*'Results'!$B$8),"")</x:f>
        <x:v>18.53118200545562</x:v>
      </x:c>
      <x:c r="N356" t="n">
        <x:f>IF(AND(ISNUMBER('Results'!C7),ISNUMBER('Results'!B7),ISNUMBER('Results'!$B$8),ISNUMBER('Inputs'!$B$6),ISNUMBER('Inputs'!$B$7),ISNUMBER('Inputs'!$B$8),ISNUMBER('Inputs'!$B$9),ISNUMBER('Inputs'!$B$10),ISNUMBER('Inputs'!$B$21),ISNUMBER('Inputs'!$B$24),ISNUMBER('Inputs'!$B$28)),((('Results'!C7*(1-'Inputs'!$B$24)*(0.5*((((356-43)*MAX('Inputs'!$B$33,'Inputs'!$B$29+'Inputs'!$B$31+'Inputs'!$B$32,'Inputs'!$B$30+'Inputs'!$B$31+'Inputs'!$B$32)/1000+'Inputs'!$B$21)+'Inputs'!$B$9)/SQRT((((356-43)*MAX('Inputs'!$B$33,'Inputs'!$B$29+'Inputs'!$B$31+'Inputs'!$B$32,'Inputs'!$B$30+'Inputs'!$B$31+'Inputs'!$B$32)/1000+'Inputs'!$B$21)+'Inputs'!$B$9)^2+('Inputs'!$B$8/2)^2)-(((356-43)*MAX('Inputs'!$B$33,'Inputs'!$B$29+'Inputs'!$B$31+'Inputs'!$B$32,'Inputs'!$B$30+'Inputs'!$B$31+'Inputs'!$B$32)/1000+'Inputs'!$B$21))/SQRT((((356-43)*MAX('Inputs'!$B$33,'Inputs'!$B$29+'Inputs'!$B$31+'Inputs'!$B$32,'Inputs'!$B$30+'Inputs'!$B$31+'Inputs'!$B$32)/1000+'Inputs'!$B$21))^2+('Inputs'!$B$8/2)^2)))-'Results'!B7*(1+'Inputs'!$B$24)*(0.5*((((356-43)*MAX('Inputs'!$B$33,'Inputs'!$B$29+'Inputs'!$B$31+'Inputs'!$B$32,'Inputs'!$B$30+'Inputs'!$B$31+'Inputs'!$B$32)/1000+'Inputs'!$B$21+'Inputs'!$B$9+'Inputs'!$B$10)+'Inputs'!$B$7)/SQRT((((356-43)*MAX('Inputs'!$B$33,'Inputs'!$B$29+'Inputs'!$B$31+'Inputs'!$B$32,'Inputs'!$B$30+'Inputs'!$B$31+'Inputs'!$B$32)/1000+'Inputs'!$B$21+'Inputs'!$B$9+'Inputs'!$B$10)+'Inputs'!$B$7)^2+('Inputs'!$B$6/2)^2)-(((356-43)*MAX('Inputs'!$B$33,'Inputs'!$B$29+'Inputs'!$B$31+'Inputs'!$B$32,'Inputs'!$B$30+'Inputs'!$B$31+'Inputs'!$B$32)/1000+'Inputs'!$B$21+'Inputs'!$B$9+'Inputs'!$B$10))/SQRT((((356-43)*MAX('Inputs'!$B$33,'Inputs'!$B$29+'Inputs'!$B$31+'Inputs'!$B$32,'Inputs'!$B$30+'Inputs'!$B$31+'Inputs'!$B$32)/1000+'Inputs'!$B$21+'Inputs'!$B$9+'Inputs'!$B$10))^2+('Inputs'!$B$6/2)^2))))*'Results'!$B$8)-'Inputs'!$B$28*ABS((('Results'!C7*(1-'Inputs'!$B$24)*(0.5*((((356-43)*MAX('Inputs'!$B$33,'Inputs'!$B$29+'Inputs'!$B$31+'Inputs'!$B$32,'Inputs'!$B$30+'Inputs'!$B$31+'Inputs'!$B$32)/1000+'Inputs'!$B$21)+'Inputs'!$B$9)/SQRT((((356-43)*MAX('Inputs'!$B$33,'Inputs'!$B$29+'Inputs'!$B$31+'Inputs'!$B$32,'Inputs'!$B$30+'Inputs'!$B$31+'Inputs'!$B$32)/1000+'Inputs'!$B$21)+'Inputs'!$B$9)^2+('Inputs'!$B$8/2)^2)-(((356-43)*MAX('Inputs'!$B$33,'Inputs'!$B$29+'Inputs'!$B$31+'Inputs'!$B$32,'Inputs'!$B$30+'Inputs'!$B$31+'Inputs'!$B$32)/1000+'Inputs'!$B$21))/SQRT((((356-43)*MAX('Inputs'!$B$33,'Inputs'!$B$29+'Inputs'!$B$31+'Inputs'!$B$32,'Inputs'!$B$30+'Inputs'!$B$31+'Inputs'!$B$32)/1000+'Inputs'!$B$21))^2+('Inputs'!$B$8/2)^2)))-'Results'!B7*(1+'Inputs'!$B$24)*(0.5*((((356-43)*MAX('Inputs'!$B$33,'Inputs'!$B$29+'Inputs'!$B$31+'Inputs'!$B$32,'Inputs'!$B$30+'Inputs'!$B$31+'Inputs'!$B$32)/1000+'Inputs'!$B$21+'Inputs'!$B$9+'Inputs'!$B$10)+'Inputs'!$B$7)/SQRT((((356-43)*MAX('Inputs'!$B$33,'Inputs'!$B$29+'Inputs'!$B$31+'Inputs'!$B$32,'Inputs'!$B$30+'Inputs'!$B$31+'Inputs'!$B$32)/1000+'Inputs'!$B$21+'Inputs'!$B$9+'Inputs'!$B$10)+'Inputs'!$B$7)^2+('Inputs'!$B$6/2)^2)-(((356-43)*MAX('Inputs'!$B$33,'Inputs'!$B$29+'Inputs'!$B$31+'Inputs'!$B$32,'Inputs'!$B$30+'Inputs'!$B$31+'Inputs'!$B$32)/1000+'Inputs'!$B$21+'Inputs'!$B$9+'Inputs'!$B$10))/SQRT((((356-43)*MAX('Inputs'!$B$33,'Inputs'!$B$29+'Inputs'!$B$31+'Inputs'!$B$32,'Inputs'!$B$30+'Inputs'!$B$31+'Inputs'!$B$32)/1000+'Inputs'!$B$21+'Inputs'!$B$9+'Inputs'!$B$10))^2+('Inputs'!$B$6/2)^2))))*'Results'!$B$8))),"")</x:f>
        <x:v>16.712008087361365</x:v>
      </x:c>
      <x:c r="O356" t="n">
        <x:f>IF(AND(ISNUMBER('Results'!C7),ISNUMBER('Results'!B7),ISNUMBER('Results'!$B$8),ISNUMBER('Inputs'!$B$6),ISNUMBER('Inputs'!$B$7),ISNUMBER('Inputs'!$B$8),ISNUMBER('Inputs'!$B$9),ISNUMBER('Inputs'!$B$10),ISNUMBER('Inputs'!$B$21),ISNUMBER('Inputs'!$B$24),ISNUMBER('Inputs'!$B$28)),((('Results'!C7*(1+'Inputs'!$B$24)*(0.5*((((356-43)*MAX('Inputs'!$B$33,'Inputs'!$B$29+'Inputs'!$B$31+'Inputs'!$B$32,'Inputs'!$B$30+'Inputs'!$B$31+'Inputs'!$B$32)/1000+'Inputs'!$B$21)+'Inputs'!$B$9)/SQRT((((356-43)*MAX('Inputs'!$B$33,'Inputs'!$B$29+'Inputs'!$B$31+'Inputs'!$B$32,'Inputs'!$B$30+'Inputs'!$B$31+'Inputs'!$B$32)/1000+'Inputs'!$B$21)+'Inputs'!$B$9)^2+('Inputs'!$B$8/2)^2)-(((356-43)*MAX('Inputs'!$B$33,'Inputs'!$B$29+'Inputs'!$B$31+'Inputs'!$B$32,'Inputs'!$B$30+'Inputs'!$B$31+'Inputs'!$B$32)/1000+'Inputs'!$B$21))/SQRT((((356-43)*MAX('Inputs'!$B$33,'Inputs'!$B$29+'Inputs'!$B$31+'Inputs'!$B$32,'Inputs'!$B$30+'Inputs'!$B$31+'Inputs'!$B$32)/1000+'Inputs'!$B$21))^2+('Inputs'!$B$8/2)^2)))-'Results'!B7*(1-'Inputs'!$B$24)*(0.5*((((356-43)*MAX('Inputs'!$B$33,'Inputs'!$B$29+'Inputs'!$B$31+'Inputs'!$B$32,'Inputs'!$B$30+'Inputs'!$B$31+'Inputs'!$B$32)/1000+'Inputs'!$B$21+'Inputs'!$B$9+'Inputs'!$B$10)+'Inputs'!$B$7)/SQRT((((356-43)*MAX('Inputs'!$B$33,'Inputs'!$B$29+'Inputs'!$B$31+'Inputs'!$B$32,'Inputs'!$B$30+'Inputs'!$B$31+'Inputs'!$B$32)/1000+'Inputs'!$B$21+'Inputs'!$B$9+'Inputs'!$B$10)+'Inputs'!$B$7)^2+('Inputs'!$B$6/2)^2)-(((356-43)*MAX('Inputs'!$B$33,'Inputs'!$B$29+'Inputs'!$B$31+'Inputs'!$B$32,'Inputs'!$B$30+'Inputs'!$B$31+'Inputs'!$B$32)/1000+'Inputs'!$B$21+'Inputs'!$B$9+'Inputs'!$B$10))/SQRT((((356-43)*MAX('Inputs'!$B$33,'Inputs'!$B$29+'Inputs'!$B$31+'Inputs'!$B$32,'Inputs'!$B$30+'Inputs'!$B$31+'Inputs'!$B$32)/1000+'Inputs'!$B$21+'Inputs'!$B$9+'Inputs'!$B$10))^2+('Inputs'!$B$6/2)^2))))*'Results'!$B$8)+'Inputs'!$B$28*ABS((('Results'!C7*(1+'Inputs'!$B$24)*(0.5*((((356-43)*MAX('Inputs'!$B$33,'Inputs'!$B$29+'Inputs'!$B$31+'Inputs'!$B$32,'Inputs'!$B$30+'Inputs'!$B$31+'Inputs'!$B$32)/1000+'Inputs'!$B$21)+'Inputs'!$B$9)/SQRT((((356-43)*MAX('Inputs'!$B$33,'Inputs'!$B$29+'Inputs'!$B$31+'Inputs'!$B$32,'Inputs'!$B$30+'Inputs'!$B$31+'Inputs'!$B$32)/1000+'Inputs'!$B$21)+'Inputs'!$B$9)^2+('Inputs'!$B$8/2)^2)-(((356-43)*MAX('Inputs'!$B$33,'Inputs'!$B$29+'Inputs'!$B$31+'Inputs'!$B$32,'Inputs'!$B$30+'Inputs'!$B$31+'Inputs'!$B$32)/1000+'Inputs'!$B$21))/SQRT((((356-43)*MAX('Inputs'!$B$33,'Inputs'!$B$29+'Inputs'!$B$31+'Inputs'!$B$32,'Inputs'!$B$30+'Inputs'!$B$31+'Inputs'!$B$32)/1000+'Inputs'!$B$21))^2+('Inputs'!$B$8/2)^2)))-'Results'!B7*(1-'Inputs'!$B$24)*(0.5*((((356-43)*MAX('Inputs'!$B$33,'Inputs'!$B$29+'Inputs'!$B$31+'Inputs'!$B$32,'Inputs'!$B$30+'Inputs'!$B$31+'Inputs'!$B$32)/1000+'Inputs'!$B$21+'Inputs'!$B$9+'Inputs'!$B$10)+'Inputs'!$B$7)/SQRT((((356-43)*MAX('Inputs'!$B$33,'Inputs'!$B$29+'Inputs'!$B$31+'Inputs'!$B$32,'Inputs'!$B$30+'Inputs'!$B$31+'Inputs'!$B$32)/1000+'Inputs'!$B$21+'Inputs'!$B$9+'Inputs'!$B$10)+'Inputs'!$B$7)^2+('Inputs'!$B$6/2)^2)-(((356-43)*MAX('Inputs'!$B$33,'Inputs'!$B$29+'Inputs'!$B$31+'Inputs'!$B$32,'Inputs'!$B$30+'Inputs'!$B$31+'Inputs'!$B$32)/1000+'Inputs'!$B$21+'Inputs'!$B$9+'Inputs'!$B$10))/SQRT((((356-43)*MAX('Inputs'!$B$33,'Inputs'!$B$29+'Inputs'!$B$31+'Inputs'!$B$32,'Inputs'!$B$30+'Inputs'!$B$31+'Inputs'!$B$32)/1000+'Inputs'!$B$21+'Inputs'!$B$9+'Inputs'!$B$10))^2+('Inputs'!$B$6/2)^2))))*'Results'!$B$8))),"")</x:f>
        <x:v>20.444315378057397</x:v>
      </x:c>
      <x:c r="P356" t="n">
        <x:f>IF(AND(MAX(J356,J355)&gt;0,J356&gt;J355+0.00000001),1,0)</x:f>
        <x:v>0</x:v>
      </x:c>
      <x:c r="Q356" t="n">
        <x:f>IF(AND(MAX(K356,K355)&gt;0,K356&gt;K355+0.00000001),1,0)</x:f>
        <x:v>0</x:v>
      </x:c>
      <x:c r="R356" t="n">
        <x:f>IF(AND(MAX(L356,L355)&gt;0,L356&gt;L355+0.00000001),1,0)</x:f>
        <x:v>0</x:v>
      </x:c>
      <x:c r="S356" t="n">
        <x:f>IF(AND(MAX(M356,M355)&gt;0,M356&gt;M355+0.00000001),1,0)</x:f>
        <x:v>0</x:v>
      </x:c>
      <x:c r="T356" t="n">
        <x:f>IF(AND(MAX(N356,N355)&gt;0,N356&gt;N355+0.00000001),1,0)</x:f>
        <x:v>0</x:v>
      </x:c>
      <x:c r="U356" t="n">
        <x:f>IF(AND(MAX(O356,O355)&gt;0,O356&gt;O355+0.00000001),1,0)</x:f>
        <x:v>0</x:v>
      </x:c>
    </x:row>
    <x:row r="357">
      <x:c r="J357" t="n">
        <x:f>IF(AND(ISNUMBER('Results'!B7),ISNUMBER('Results'!C7),ISNUMBER('Results'!$B$8),ISNUMBER('Inputs'!$B$6),ISNUMBER('Inputs'!$B$7),ISNUMBER('Inputs'!$B$8),ISNUMBER('Inputs'!$B$9),ISNUMBER('Inputs'!$B$10),ISNUMBER('Inputs'!$B$21),ISNUMBER('Inputs'!$B$24),ISNUMBER('Inputs'!$B$28)),(('Results'!B7*(0.5*((((357-43)*MAX('Inputs'!$B$33,'Inputs'!$B$29+'Inputs'!$B$31+'Inputs'!$B$32,'Inputs'!$B$30+'Inputs'!$B$31+'Inputs'!$B$32)/1000+'Inputs'!$B$21)+'Inputs'!$B$7)/SQRT((((357-43)*MAX('Inputs'!$B$33,'Inputs'!$B$29+'Inputs'!$B$31+'Inputs'!$B$32,'Inputs'!$B$30+'Inputs'!$B$31+'Inputs'!$B$32)/1000+'Inputs'!$B$21)+'Inputs'!$B$7)^2+('Inputs'!$B$6/2)^2)-(((357-43)*MAX('Inputs'!$B$33,'Inputs'!$B$29+'Inputs'!$B$31+'Inputs'!$B$32,'Inputs'!$B$30+'Inputs'!$B$31+'Inputs'!$B$32)/1000+'Inputs'!$B$21))/SQRT((((357-43)*MAX('Inputs'!$B$33,'Inputs'!$B$29+'Inputs'!$B$31+'Inputs'!$B$32,'Inputs'!$B$30+'Inputs'!$B$31+'Inputs'!$B$32)/1000+'Inputs'!$B$21))^2+('Inputs'!$B$6/2)^2)))-'Results'!C7*(0.5*((((357-43)*MAX('Inputs'!$B$33,'Inputs'!$B$29+'Inputs'!$B$31+'Inputs'!$B$32,'Inputs'!$B$30+'Inputs'!$B$31+'Inputs'!$B$32)/1000+'Inputs'!$B$21+'Inputs'!$B$7+'Inputs'!$B$10)+'Inputs'!$B$9)/SQRT((((357-43)*MAX('Inputs'!$B$33,'Inputs'!$B$29+'Inputs'!$B$31+'Inputs'!$B$32,'Inputs'!$B$30+'Inputs'!$B$31+'Inputs'!$B$32)/1000+'Inputs'!$B$21+'Inputs'!$B$7+'Inputs'!$B$10)+'Inputs'!$B$9)^2+('Inputs'!$B$8/2)^2)-(((357-43)*MAX('Inputs'!$B$33,'Inputs'!$B$29+'Inputs'!$B$31+'Inputs'!$B$32,'Inputs'!$B$30+'Inputs'!$B$31+'Inputs'!$B$32)/1000+'Inputs'!$B$21+'Inputs'!$B$7+'Inputs'!$B$10))/SQRT((((357-43)*MAX('Inputs'!$B$33,'Inputs'!$B$29+'Inputs'!$B$31+'Inputs'!$B$32,'Inputs'!$B$30+'Inputs'!$B$31+'Inputs'!$B$32)/1000+'Inputs'!$B$21+'Inputs'!$B$7+'Inputs'!$B$10))^2+('Inputs'!$B$8/2)^2))))*'Results'!$B$8),"")</x:f>
        <x:v>19.290011691734986</x:v>
      </x:c>
      <x:c r="K357" t="n">
        <x:f>IF(AND(ISNUMBER('Results'!B7),ISNUMBER('Results'!C7),ISNUMBER('Results'!$B$8),ISNUMBER('Inputs'!$B$6),ISNUMBER('Inputs'!$B$7),ISNUMBER('Inputs'!$B$8),ISNUMBER('Inputs'!$B$9),ISNUMBER('Inputs'!$B$10),ISNUMBER('Inputs'!$B$21),ISNUMBER('Inputs'!$B$24),ISNUMBER('Inputs'!$B$28)),((('Results'!B7*(1-'Inputs'!$B$24)*(0.5*((((357-43)*MAX('Inputs'!$B$33,'Inputs'!$B$29+'Inputs'!$B$31+'Inputs'!$B$32,'Inputs'!$B$30+'Inputs'!$B$31+'Inputs'!$B$32)/1000+'Inputs'!$B$21)+'Inputs'!$B$7)/SQRT((((357-43)*MAX('Inputs'!$B$33,'Inputs'!$B$29+'Inputs'!$B$31+'Inputs'!$B$32,'Inputs'!$B$30+'Inputs'!$B$31+'Inputs'!$B$32)/1000+'Inputs'!$B$21)+'Inputs'!$B$7)^2+('Inputs'!$B$6/2)^2)-(((357-43)*MAX('Inputs'!$B$33,'Inputs'!$B$29+'Inputs'!$B$31+'Inputs'!$B$32,'Inputs'!$B$30+'Inputs'!$B$31+'Inputs'!$B$32)/1000+'Inputs'!$B$21))/SQRT((((357-43)*MAX('Inputs'!$B$33,'Inputs'!$B$29+'Inputs'!$B$31+'Inputs'!$B$32,'Inputs'!$B$30+'Inputs'!$B$31+'Inputs'!$B$32)/1000+'Inputs'!$B$21))^2+('Inputs'!$B$6/2)^2)))-'Results'!C7*(1+'Inputs'!$B$24)*(0.5*((((357-43)*MAX('Inputs'!$B$33,'Inputs'!$B$29+'Inputs'!$B$31+'Inputs'!$B$32,'Inputs'!$B$30+'Inputs'!$B$31+'Inputs'!$B$32)/1000+'Inputs'!$B$21+'Inputs'!$B$7+'Inputs'!$B$10)+'Inputs'!$B$9)/SQRT((((357-43)*MAX('Inputs'!$B$33,'Inputs'!$B$29+'Inputs'!$B$31+'Inputs'!$B$32,'Inputs'!$B$30+'Inputs'!$B$31+'Inputs'!$B$32)/1000+'Inputs'!$B$21+'Inputs'!$B$7+'Inputs'!$B$10)+'Inputs'!$B$9)^2+('Inputs'!$B$8/2)^2)-(((357-43)*MAX('Inputs'!$B$33,'Inputs'!$B$29+'Inputs'!$B$31+'Inputs'!$B$32,'Inputs'!$B$30+'Inputs'!$B$31+'Inputs'!$B$32)/1000+'Inputs'!$B$21+'Inputs'!$B$7+'Inputs'!$B$10))/SQRT((((357-43)*MAX('Inputs'!$B$33,'Inputs'!$B$29+'Inputs'!$B$31+'Inputs'!$B$32,'Inputs'!$B$30+'Inputs'!$B$31+'Inputs'!$B$32)/1000+'Inputs'!$B$21+'Inputs'!$B$7+'Inputs'!$B$10))^2+('Inputs'!$B$8/2)^2))))*'Results'!$B$8)-'Inputs'!$B$28*ABS((('Results'!B7*(1-'Inputs'!$B$24)*(0.5*((((357-43)*MAX('Inputs'!$B$33,'Inputs'!$B$29+'Inputs'!$B$31+'Inputs'!$B$32,'Inputs'!$B$30+'Inputs'!$B$31+'Inputs'!$B$32)/1000+'Inputs'!$B$21)+'Inputs'!$B$7)/SQRT((((357-43)*MAX('Inputs'!$B$33,'Inputs'!$B$29+'Inputs'!$B$31+'Inputs'!$B$32,'Inputs'!$B$30+'Inputs'!$B$31+'Inputs'!$B$32)/1000+'Inputs'!$B$21)+'Inputs'!$B$7)^2+('Inputs'!$B$6/2)^2)-(((357-43)*MAX('Inputs'!$B$33,'Inputs'!$B$29+'Inputs'!$B$31+'Inputs'!$B$32,'Inputs'!$B$30+'Inputs'!$B$31+'Inputs'!$B$32)/1000+'Inputs'!$B$21))/SQRT((((357-43)*MAX('Inputs'!$B$33,'Inputs'!$B$29+'Inputs'!$B$31+'Inputs'!$B$32,'Inputs'!$B$30+'Inputs'!$B$31+'Inputs'!$B$32)/1000+'Inputs'!$B$21))^2+('Inputs'!$B$6/2)^2)))-'Results'!C7*(1+'Inputs'!$B$24)*(0.5*((((357-43)*MAX('Inputs'!$B$33,'Inputs'!$B$29+'Inputs'!$B$31+'Inputs'!$B$32,'Inputs'!$B$30+'Inputs'!$B$31+'Inputs'!$B$32)/1000+'Inputs'!$B$21+'Inputs'!$B$7+'Inputs'!$B$10)+'Inputs'!$B$9)/SQRT((((357-43)*MAX('Inputs'!$B$33,'Inputs'!$B$29+'Inputs'!$B$31+'Inputs'!$B$32,'Inputs'!$B$30+'Inputs'!$B$31+'Inputs'!$B$32)/1000+'Inputs'!$B$21+'Inputs'!$B$7+'Inputs'!$B$10)+'Inputs'!$B$9)^2+('Inputs'!$B$8/2)^2)-(((357-43)*MAX('Inputs'!$B$33,'Inputs'!$B$29+'Inputs'!$B$31+'Inputs'!$B$32,'Inputs'!$B$30+'Inputs'!$B$31+'Inputs'!$B$32)/1000+'Inputs'!$B$21+'Inputs'!$B$7+'Inputs'!$B$10))/SQRT((((357-43)*MAX('Inputs'!$B$33,'Inputs'!$B$29+'Inputs'!$B$31+'Inputs'!$B$32,'Inputs'!$B$30+'Inputs'!$B$31+'Inputs'!$B$32)/1000+'Inputs'!$B$21+'Inputs'!$B$7+'Inputs'!$B$10))^2+('Inputs'!$B$8/2)^2))))*'Results'!$B$8))),"")</x:f>
        <x:v>17.432724843283967</x:v>
      </x:c>
      <x:c r="L357" t="n">
        <x:f>IF(AND(ISNUMBER('Results'!B7),ISNUMBER('Results'!C7),ISNUMBER('Results'!$B$8),ISNUMBER('Inputs'!$B$6),ISNUMBER('Inputs'!$B$7),ISNUMBER('Inputs'!$B$8),ISNUMBER('Inputs'!$B$9),ISNUMBER('Inputs'!$B$10),ISNUMBER('Inputs'!$B$21),ISNUMBER('Inputs'!$B$24),ISNUMBER('Inputs'!$B$28)),((('Results'!B7*(1+'Inputs'!$B$24)*(0.5*((((357-43)*MAX('Inputs'!$B$33,'Inputs'!$B$29+'Inputs'!$B$31+'Inputs'!$B$32,'Inputs'!$B$30+'Inputs'!$B$31+'Inputs'!$B$32)/1000+'Inputs'!$B$21)+'Inputs'!$B$7)/SQRT((((357-43)*MAX('Inputs'!$B$33,'Inputs'!$B$29+'Inputs'!$B$31+'Inputs'!$B$32,'Inputs'!$B$30+'Inputs'!$B$31+'Inputs'!$B$32)/1000+'Inputs'!$B$21)+'Inputs'!$B$7)^2+('Inputs'!$B$6/2)^2)-(((357-43)*MAX('Inputs'!$B$33,'Inputs'!$B$29+'Inputs'!$B$31+'Inputs'!$B$32,'Inputs'!$B$30+'Inputs'!$B$31+'Inputs'!$B$32)/1000+'Inputs'!$B$21))/SQRT((((357-43)*MAX('Inputs'!$B$33,'Inputs'!$B$29+'Inputs'!$B$31+'Inputs'!$B$32,'Inputs'!$B$30+'Inputs'!$B$31+'Inputs'!$B$32)/1000+'Inputs'!$B$21))^2+('Inputs'!$B$6/2)^2)))-'Results'!C7*(1-'Inputs'!$B$24)*(0.5*((((357-43)*MAX('Inputs'!$B$33,'Inputs'!$B$29+'Inputs'!$B$31+'Inputs'!$B$32,'Inputs'!$B$30+'Inputs'!$B$31+'Inputs'!$B$32)/1000+'Inputs'!$B$21+'Inputs'!$B$7+'Inputs'!$B$10)+'Inputs'!$B$9)/SQRT((((357-43)*MAX('Inputs'!$B$33,'Inputs'!$B$29+'Inputs'!$B$31+'Inputs'!$B$32,'Inputs'!$B$30+'Inputs'!$B$31+'Inputs'!$B$32)/1000+'Inputs'!$B$21+'Inputs'!$B$7+'Inputs'!$B$10)+'Inputs'!$B$9)^2+('Inputs'!$B$8/2)^2)-(((357-43)*MAX('Inputs'!$B$33,'Inputs'!$B$29+'Inputs'!$B$31+'Inputs'!$B$32,'Inputs'!$B$30+'Inputs'!$B$31+'Inputs'!$B$32)/1000+'Inputs'!$B$21+'Inputs'!$B$7+'Inputs'!$B$10))/SQRT((((357-43)*MAX('Inputs'!$B$33,'Inputs'!$B$29+'Inputs'!$B$31+'Inputs'!$B$32,'Inputs'!$B$30+'Inputs'!$B$31+'Inputs'!$B$32)/1000+'Inputs'!$B$21+'Inputs'!$B$7+'Inputs'!$B$10))^2+('Inputs'!$B$8/2)^2))))*'Results'!$B$8)+'Inputs'!$B$28*ABS((('Results'!B7*(1+'Inputs'!$B$24)*(0.5*((((357-43)*MAX('Inputs'!$B$33,'Inputs'!$B$29+'Inputs'!$B$31+'Inputs'!$B$32,'Inputs'!$B$30+'Inputs'!$B$31+'Inputs'!$B$32)/1000+'Inputs'!$B$21)+'Inputs'!$B$7)/SQRT((((357-43)*MAX('Inputs'!$B$33,'Inputs'!$B$29+'Inputs'!$B$31+'Inputs'!$B$32,'Inputs'!$B$30+'Inputs'!$B$31+'Inputs'!$B$32)/1000+'Inputs'!$B$21)+'Inputs'!$B$7)^2+('Inputs'!$B$6/2)^2)-(((357-43)*MAX('Inputs'!$B$33,'Inputs'!$B$29+'Inputs'!$B$31+'Inputs'!$B$32,'Inputs'!$B$30+'Inputs'!$B$31+'Inputs'!$B$32)/1000+'Inputs'!$B$21))/SQRT((((357-43)*MAX('Inputs'!$B$33,'Inputs'!$B$29+'Inputs'!$B$31+'Inputs'!$B$32,'Inputs'!$B$30+'Inputs'!$B$31+'Inputs'!$B$32)/1000+'Inputs'!$B$21))^2+('Inputs'!$B$6/2)^2)))-'Results'!C7*(1-'Inputs'!$B$24)*(0.5*((((357-43)*MAX('Inputs'!$B$33,'Inputs'!$B$29+'Inputs'!$B$31+'Inputs'!$B$32,'Inputs'!$B$30+'Inputs'!$B$31+'Inputs'!$B$32)/1000+'Inputs'!$B$21+'Inputs'!$B$7+'Inputs'!$B$10)+'Inputs'!$B$9)/SQRT((((357-43)*MAX('Inputs'!$B$33,'Inputs'!$B$29+'Inputs'!$B$31+'Inputs'!$B$32,'Inputs'!$B$30+'Inputs'!$B$31+'Inputs'!$B$32)/1000+'Inputs'!$B$21+'Inputs'!$B$7+'Inputs'!$B$10)+'Inputs'!$B$9)^2+('Inputs'!$B$8/2)^2)-(((357-43)*MAX('Inputs'!$B$33,'Inputs'!$B$29+'Inputs'!$B$31+'Inputs'!$B$32,'Inputs'!$B$30+'Inputs'!$B$31+'Inputs'!$B$32)/1000+'Inputs'!$B$21+'Inputs'!$B$7+'Inputs'!$B$10))/SQRT((((357-43)*MAX('Inputs'!$B$33,'Inputs'!$B$29+'Inputs'!$B$31+'Inputs'!$B$32,'Inputs'!$B$30+'Inputs'!$B$31+'Inputs'!$B$32)/1000+'Inputs'!$B$21+'Inputs'!$B$7+'Inputs'!$B$10))^2+('Inputs'!$B$8/2)^2))))*'Results'!$B$8))),"")</x:f>
        <x:v>21.241276041645392</x:v>
      </x:c>
      <x:c r="M357" t="n">
        <x:f>IF(AND(ISNUMBER('Results'!C7),ISNUMBER('Results'!B7),ISNUMBER('Results'!$B$8),ISNUMBER('Inputs'!$B$6),ISNUMBER('Inputs'!$B$7),ISNUMBER('Inputs'!$B$8),ISNUMBER('Inputs'!$B$9),ISNUMBER('Inputs'!$B$10),ISNUMBER('Inputs'!$B$21),ISNUMBER('Inputs'!$B$24),ISNUMBER('Inputs'!$B$28)),(('Results'!C7*(0.5*((((357-43)*MAX('Inputs'!$B$33,'Inputs'!$B$29+'Inputs'!$B$31+'Inputs'!$B$32,'Inputs'!$B$30+'Inputs'!$B$31+'Inputs'!$B$32)/1000+'Inputs'!$B$21)+'Inputs'!$B$9)/SQRT((((357-43)*MAX('Inputs'!$B$33,'Inputs'!$B$29+'Inputs'!$B$31+'Inputs'!$B$32,'Inputs'!$B$30+'Inputs'!$B$31+'Inputs'!$B$32)/1000+'Inputs'!$B$21)+'Inputs'!$B$9)^2+('Inputs'!$B$8/2)^2)-(((357-43)*MAX('Inputs'!$B$33,'Inputs'!$B$29+'Inputs'!$B$31+'Inputs'!$B$32,'Inputs'!$B$30+'Inputs'!$B$31+'Inputs'!$B$32)/1000+'Inputs'!$B$21))/SQRT((((357-43)*MAX('Inputs'!$B$33,'Inputs'!$B$29+'Inputs'!$B$31+'Inputs'!$B$32,'Inputs'!$B$30+'Inputs'!$B$31+'Inputs'!$B$32)/1000+'Inputs'!$B$21))^2+('Inputs'!$B$8/2)^2)))-'Results'!B7*(0.5*((((357-43)*MAX('Inputs'!$B$33,'Inputs'!$B$29+'Inputs'!$B$31+'Inputs'!$B$32,'Inputs'!$B$30+'Inputs'!$B$31+'Inputs'!$B$32)/1000+'Inputs'!$B$21+'Inputs'!$B$9+'Inputs'!$B$10)+'Inputs'!$B$7)/SQRT((((357-43)*MAX('Inputs'!$B$33,'Inputs'!$B$29+'Inputs'!$B$31+'Inputs'!$B$32,'Inputs'!$B$30+'Inputs'!$B$31+'Inputs'!$B$32)/1000+'Inputs'!$B$21+'Inputs'!$B$9+'Inputs'!$B$10)+'Inputs'!$B$7)^2+('Inputs'!$B$6/2)^2)-(((357-43)*MAX('Inputs'!$B$33,'Inputs'!$B$29+'Inputs'!$B$31+'Inputs'!$B$32,'Inputs'!$B$30+'Inputs'!$B$31+'Inputs'!$B$32)/1000+'Inputs'!$B$21+'Inputs'!$B$9+'Inputs'!$B$10))/SQRT((((357-43)*MAX('Inputs'!$B$33,'Inputs'!$B$29+'Inputs'!$B$31+'Inputs'!$B$32,'Inputs'!$B$30+'Inputs'!$B$31+'Inputs'!$B$32)/1000+'Inputs'!$B$21+'Inputs'!$B$9+'Inputs'!$B$10))^2+('Inputs'!$B$6/2)^2))))*'Results'!$B$8),"")</x:f>
        <x:v>18.344583873255726</x:v>
      </x:c>
      <x:c r="N357" t="n">
        <x:f>IF(AND(ISNUMBER('Results'!C7),ISNUMBER('Results'!B7),ISNUMBER('Results'!$B$8),ISNUMBER('Inputs'!$B$6),ISNUMBER('Inputs'!$B$7),ISNUMBER('Inputs'!$B$8),ISNUMBER('Inputs'!$B$9),ISNUMBER('Inputs'!$B$10),ISNUMBER('Inputs'!$B$21),ISNUMBER('Inputs'!$B$24),ISNUMBER('Inputs'!$B$28)),((('Results'!C7*(1-'Inputs'!$B$24)*(0.5*((((357-43)*MAX('Inputs'!$B$33,'Inputs'!$B$29+'Inputs'!$B$31+'Inputs'!$B$32,'Inputs'!$B$30+'Inputs'!$B$31+'Inputs'!$B$32)/1000+'Inputs'!$B$21)+'Inputs'!$B$9)/SQRT((((357-43)*MAX('Inputs'!$B$33,'Inputs'!$B$29+'Inputs'!$B$31+'Inputs'!$B$32,'Inputs'!$B$30+'Inputs'!$B$31+'Inputs'!$B$32)/1000+'Inputs'!$B$21)+'Inputs'!$B$9)^2+('Inputs'!$B$8/2)^2)-(((357-43)*MAX('Inputs'!$B$33,'Inputs'!$B$29+'Inputs'!$B$31+'Inputs'!$B$32,'Inputs'!$B$30+'Inputs'!$B$31+'Inputs'!$B$32)/1000+'Inputs'!$B$21))/SQRT((((357-43)*MAX('Inputs'!$B$33,'Inputs'!$B$29+'Inputs'!$B$31+'Inputs'!$B$32,'Inputs'!$B$30+'Inputs'!$B$31+'Inputs'!$B$32)/1000+'Inputs'!$B$21))^2+('Inputs'!$B$8/2)^2)))-'Results'!B7*(1+'Inputs'!$B$24)*(0.5*((((357-43)*MAX('Inputs'!$B$33,'Inputs'!$B$29+'Inputs'!$B$31+'Inputs'!$B$32,'Inputs'!$B$30+'Inputs'!$B$31+'Inputs'!$B$32)/1000+'Inputs'!$B$21+'Inputs'!$B$9+'Inputs'!$B$10)+'Inputs'!$B$7)/SQRT((((357-43)*MAX('Inputs'!$B$33,'Inputs'!$B$29+'Inputs'!$B$31+'Inputs'!$B$32,'Inputs'!$B$30+'Inputs'!$B$31+'Inputs'!$B$32)/1000+'Inputs'!$B$21+'Inputs'!$B$9+'Inputs'!$B$10)+'Inputs'!$B$7)^2+('Inputs'!$B$6/2)^2)-(((357-43)*MAX('Inputs'!$B$33,'Inputs'!$B$29+'Inputs'!$B$31+'Inputs'!$B$32,'Inputs'!$B$30+'Inputs'!$B$31+'Inputs'!$B$32)/1000+'Inputs'!$B$21+'Inputs'!$B$9+'Inputs'!$B$10))/SQRT((((357-43)*MAX('Inputs'!$B$33,'Inputs'!$B$29+'Inputs'!$B$31+'Inputs'!$B$32,'Inputs'!$B$30+'Inputs'!$B$31+'Inputs'!$B$32)/1000+'Inputs'!$B$21+'Inputs'!$B$9+'Inputs'!$B$10))^2+('Inputs'!$B$6/2)^2))))*'Results'!$B$8)-'Inputs'!$B$28*ABS((('Results'!C7*(1-'Inputs'!$B$24)*(0.5*((((357-43)*MAX('Inputs'!$B$33,'Inputs'!$B$29+'Inputs'!$B$31+'Inputs'!$B$32,'Inputs'!$B$30+'Inputs'!$B$31+'Inputs'!$B$32)/1000+'Inputs'!$B$21)+'Inputs'!$B$9)/SQRT((((357-43)*MAX('Inputs'!$B$33,'Inputs'!$B$29+'Inputs'!$B$31+'Inputs'!$B$32,'Inputs'!$B$30+'Inputs'!$B$31+'Inputs'!$B$32)/1000+'Inputs'!$B$21)+'Inputs'!$B$9)^2+('Inputs'!$B$8/2)^2)-(((357-43)*MAX('Inputs'!$B$33,'Inputs'!$B$29+'Inputs'!$B$31+'Inputs'!$B$32,'Inputs'!$B$30+'Inputs'!$B$31+'Inputs'!$B$32)/1000+'Inputs'!$B$21))/SQRT((((357-43)*MAX('Inputs'!$B$33,'Inputs'!$B$29+'Inputs'!$B$31+'Inputs'!$B$32,'Inputs'!$B$30+'Inputs'!$B$31+'Inputs'!$B$32)/1000+'Inputs'!$B$21))^2+('Inputs'!$B$8/2)^2)))-'Results'!B7*(1+'Inputs'!$B$24)*(0.5*((((357-43)*MAX('Inputs'!$B$33,'Inputs'!$B$29+'Inputs'!$B$31+'Inputs'!$B$32,'Inputs'!$B$30+'Inputs'!$B$31+'Inputs'!$B$32)/1000+'Inputs'!$B$21+'Inputs'!$B$9+'Inputs'!$B$10)+'Inputs'!$B$7)/SQRT((((357-43)*MAX('Inputs'!$B$33,'Inputs'!$B$29+'Inputs'!$B$31+'Inputs'!$B$32,'Inputs'!$B$30+'Inputs'!$B$31+'Inputs'!$B$32)/1000+'Inputs'!$B$21+'Inputs'!$B$9+'Inputs'!$B$10)+'Inputs'!$B$7)^2+('Inputs'!$B$6/2)^2)-(((357-43)*MAX('Inputs'!$B$33,'Inputs'!$B$29+'Inputs'!$B$31+'Inputs'!$B$32,'Inputs'!$B$30+'Inputs'!$B$31+'Inputs'!$B$32)/1000+'Inputs'!$B$21+'Inputs'!$B$9+'Inputs'!$B$10))/SQRT((((357-43)*MAX('Inputs'!$B$33,'Inputs'!$B$29+'Inputs'!$B$31+'Inputs'!$B$32,'Inputs'!$B$30+'Inputs'!$B$31+'Inputs'!$B$32)/1000+'Inputs'!$B$21+'Inputs'!$B$9+'Inputs'!$B$10))^2+('Inputs'!$B$6/2)^2))))*'Results'!$B$8))),"")</x:f>
        <x:v>16.54179121689771</x:v>
      </x:c>
      <x:c r="O357" t="n">
        <x:f>IF(AND(ISNUMBER('Results'!C7),ISNUMBER('Results'!B7),ISNUMBER('Results'!$B$8),ISNUMBER('Inputs'!$B$6),ISNUMBER('Inputs'!$B$7),ISNUMBER('Inputs'!$B$8),ISNUMBER('Inputs'!$B$9),ISNUMBER('Inputs'!$B$10),ISNUMBER('Inputs'!$B$21),ISNUMBER('Inputs'!$B$24),ISNUMBER('Inputs'!$B$28)),((('Results'!C7*(1+'Inputs'!$B$24)*(0.5*((((357-43)*MAX('Inputs'!$B$33,'Inputs'!$B$29+'Inputs'!$B$31+'Inputs'!$B$32,'Inputs'!$B$30+'Inputs'!$B$31+'Inputs'!$B$32)/1000+'Inputs'!$B$21)+'Inputs'!$B$9)/SQRT((((357-43)*MAX('Inputs'!$B$33,'Inputs'!$B$29+'Inputs'!$B$31+'Inputs'!$B$32,'Inputs'!$B$30+'Inputs'!$B$31+'Inputs'!$B$32)/1000+'Inputs'!$B$21)+'Inputs'!$B$9)^2+('Inputs'!$B$8/2)^2)-(((357-43)*MAX('Inputs'!$B$33,'Inputs'!$B$29+'Inputs'!$B$31+'Inputs'!$B$32,'Inputs'!$B$30+'Inputs'!$B$31+'Inputs'!$B$32)/1000+'Inputs'!$B$21))/SQRT((((357-43)*MAX('Inputs'!$B$33,'Inputs'!$B$29+'Inputs'!$B$31+'Inputs'!$B$32,'Inputs'!$B$30+'Inputs'!$B$31+'Inputs'!$B$32)/1000+'Inputs'!$B$21))^2+('Inputs'!$B$8/2)^2)))-'Results'!B7*(1-'Inputs'!$B$24)*(0.5*((((357-43)*MAX('Inputs'!$B$33,'Inputs'!$B$29+'Inputs'!$B$31+'Inputs'!$B$32,'Inputs'!$B$30+'Inputs'!$B$31+'Inputs'!$B$32)/1000+'Inputs'!$B$21+'Inputs'!$B$9+'Inputs'!$B$10)+'Inputs'!$B$7)/SQRT((((357-43)*MAX('Inputs'!$B$33,'Inputs'!$B$29+'Inputs'!$B$31+'Inputs'!$B$32,'Inputs'!$B$30+'Inputs'!$B$31+'Inputs'!$B$32)/1000+'Inputs'!$B$21+'Inputs'!$B$9+'Inputs'!$B$10)+'Inputs'!$B$7)^2+('Inputs'!$B$6/2)^2)-(((357-43)*MAX('Inputs'!$B$33,'Inputs'!$B$29+'Inputs'!$B$31+'Inputs'!$B$32,'Inputs'!$B$30+'Inputs'!$B$31+'Inputs'!$B$32)/1000+'Inputs'!$B$21+'Inputs'!$B$9+'Inputs'!$B$10))/SQRT((((357-43)*MAX('Inputs'!$B$33,'Inputs'!$B$29+'Inputs'!$B$31+'Inputs'!$B$32,'Inputs'!$B$30+'Inputs'!$B$31+'Inputs'!$B$32)/1000+'Inputs'!$B$21+'Inputs'!$B$9+'Inputs'!$B$10))^2+('Inputs'!$B$6/2)^2))))*'Results'!$B$8)+'Inputs'!$B$28*ABS((('Results'!C7*(1+'Inputs'!$B$24)*(0.5*((((357-43)*MAX('Inputs'!$B$33,'Inputs'!$B$29+'Inputs'!$B$31+'Inputs'!$B$32,'Inputs'!$B$30+'Inputs'!$B$31+'Inputs'!$B$32)/1000+'Inputs'!$B$21)+'Inputs'!$B$9)/SQRT((((357-43)*MAX('Inputs'!$B$33,'Inputs'!$B$29+'Inputs'!$B$31+'Inputs'!$B$32,'Inputs'!$B$30+'Inputs'!$B$31+'Inputs'!$B$32)/1000+'Inputs'!$B$21)+'Inputs'!$B$9)^2+('Inputs'!$B$8/2)^2)-(((357-43)*MAX('Inputs'!$B$33,'Inputs'!$B$29+'Inputs'!$B$31+'Inputs'!$B$32,'Inputs'!$B$30+'Inputs'!$B$31+'Inputs'!$B$32)/1000+'Inputs'!$B$21))/SQRT((((357-43)*MAX('Inputs'!$B$33,'Inputs'!$B$29+'Inputs'!$B$31+'Inputs'!$B$32,'Inputs'!$B$30+'Inputs'!$B$31+'Inputs'!$B$32)/1000+'Inputs'!$B$21))^2+('Inputs'!$B$8/2)^2)))-'Results'!B7*(1-'Inputs'!$B$24)*(0.5*((((357-43)*MAX('Inputs'!$B$33,'Inputs'!$B$29+'Inputs'!$B$31+'Inputs'!$B$32,'Inputs'!$B$30+'Inputs'!$B$31+'Inputs'!$B$32)/1000+'Inputs'!$B$21+'Inputs'!$B$9+'Inputs'!$B$10)+'Inputs'!$B$7)/SQRT((((357-43)*MAX('Inputs'!$B$33,'Inputs'!$B$29+'Inputs'!$B$31+'Inputs'!$B$32,'Inputs'!$B$30+'Inputs'!$B$31+'Inputs'!$B$32)/1000+'Inputs'!$B$21+'Inputs'!$B$9+'Inputs'!$B$10)+'Inputs'!$B$7)^2+('Inputs'!$B$6/2)^2)-(((357-43)*MAX('Inputs'!$B$33,'Inputs'!$B$29+'Inputs'!$B$31+'Inputs'!$B$32,'Inputs'!$B$30+'Inputs'!$B$31+'Inputs'!$B$32)/1000+'Inputs'!$B$21+'Inputs'!$B$9+'Inputs'!$B$10))/SQRT((((357-43)*MAX('Inputs'!$B$33,'Inputs'!$B$29+'Inputs'!$B$31+'Inputs'!$B$32,'Inputs'!$B$30+'Inputs'!$B$31+'Inputs'!$B$32)/1000+'Inputs'!$B$21+'Inputs'!$B$9+'Inputs'!$B$10))^2+('Inputs'!$B$6/2)^2))))*'Results'!$B$8))),"")</x:f>
        <x:v>20.240593736213235</x:v>
      </x:c>
      <x:c r="P357" t="n">
        <x:f>IF(AND(MAX(J357,J356)&gt;0,J357&gt;J356+0.00000001),1,0)</x:f>
        <x:v>0</x:v>
      </x:c>
      <x:c r="Q357" t="n">
        <x:f>IF(AND(MAX(K357,K356)&gt;0,K357&gt;K356+0.00000001),1,0)</x:f>
        <x:v>0</x:v>
      </x:c>
      <x:c r="R357" t="n">
        <x:f>IF(AND(MAX(L357,L356)&gt;0,L357&gt;L356+0.00000001),1,0)</x:f>
        <x:v>0</x:v>
      </x:c>
      <x:c r="S357" t="n">
        <x:f>IF(AND(MAX(M357,M356)&gt;0,M357&gt;M356+0.00000001),1,0)</x:f>
        <x:v>0</x:v>
      </x:c>
      <x:c r="T357" t="n">
        <x:f>IF(AND(MAX(N357,N356)&gt;0,N357&gt;N356+0.00000001),1,0)</x:f>
        <x:v>0</x:v>
      </x:c>
      <x:c r="U357" t="n">
        <x:f>IF(AND(MAX(O357,O356)&gt;0,O357&gt;O356+0.00000001),1,0)</x:f>
        <x:v>0</x:v>
      </x:c>
    </x:row>
    <x:row r="358">
      <x:c r="J358" t="n">
        <x:f>IF(AND(ISNUMBER('Results'!B7),ISNUMBER('Results'!C7),ISNUMBER('Results'!$B$8),ISNUMBER('Inputs'!$B$6),ISNUMBER('Inputs'!$B$7),ISNUMBER('Inputs'!$B$8),ISNUMBER('Inputs'!$B$9),ISNUMBER('Inputs'!$B$10),ISNUMBER('Inputs'!$B$21),ISNUMBER('Inputs'!$B$24),ISNUMBER('Inputs'!$B$28)),(('Results'!B7*(0.5*((((358-43)*MAX('Inputs'!$B$33,'Inputs'!$B$29+'Inputs'!$B$31+'Inputs'!$B$32,'Inputs'!$B$30+'Inputs'!$B$31+'Inputs'!$B$32)/1000+'Inputs'!$B$21)+'Inputs'!$B$7)/SQRT((((358-43)*MAX('Inputs'!$B$33,'Inputs'!$B$29+'Inputs'!$B$31+'Inputs'!$B$32,'Inputs'!$B$30+'Inputs'!$B$31+'Inputs'!$B$32)/1000+'Inputs'!$B$21)+'Inputs'!$B$7)^2+('Inputs'!$B$6/2)^2)-(((358-43)*MAX('Inputs'!$B$33,'Inputs'!$B$29+'Inputs'!$B$31+'Inputs'!$B$32,'Inputs'!$B$30+'Inputs'!$B$31+'Inputs'!$B$32)/1000+'Inputs'!$B$21))/SQRT((((358-43)*MAX('Inputs'!$B$33,'Inputs'!$B$29+'Inputs'!$B$31+'Inputs'!$B$32,'Inputs'!$B$30+'Inputs'!$B$31+'Inputs'!$B$32)/1000+'Inputs'!$B$21))^2+('Inputs'!$B$6/2)^2)))-'Results'!C7*(0.5*((((358-43)*MAX('Inputs'!$B$33,'Inputs'!$B$29+'Inputs'!$B$31+'Inputs'!$B$32,'Inputs'!$B$30+'Inputs'!$B$31+'Inputs'!$B$32)/1000+'Inputs'!$B$21+'Inputs'!$B$7+'Inputs'!$B$10)+'Inputs'!$B$9)/SQRT((((358-43)*MAX('Inputs'!$B$33,'Inputs'!$B$29+'Inputs'!$B$31+'Inputs'!$B$32,'Inputs'!$B$30+'Inputs'!$B$31+'Inputs'!$B$32)/1000+'Inputs'!$B$21+'Inputs'!$B$7+'Inputs'!$B$10)+'Inputs'!$B$9)^2+('Inputs'!$B$8/2)^2)-(((358-43)*MAX('Inputs'!$B$33,'Inputs'!$B$29+'Inputs'!$B$31+'Inputs'!$B$32,'Inputs'!$B$30+'Inputs'!$B$31+'Inputs'!$B$32)/1000+'Inputs'!$B$21+'Inputs'!$B$7+'Inputs'!$B$10))/SQRT((((358-43)*MAX('Inputs'!$B$33,'Inputs'!$B$29+'Inputs'!$B$31+'Inputs'!$B$32,'Inputs'!$B$30+'Inputs'!$B$31+'Inputs'!$B$32)/1000+'Inputs'!$B$21+'Inputs'!$B$7+'Inputs'!$B$10))^2+('Inputs'!$B$8/2)^2))))*'Results'!$B$8),"")</x:f>
        <x:v>19.098280788268596</x:v>
      </x:c>
      <x:c r="K358" t="n">
        <x:f>IF(AND(ISNUMBER('Results'!B7),ISNUMBER('Results'!C7),ISNUMBER('Results'!$B$8),ISNUMBER('Inputs'!$B$6),ISNUMBER('Inputs'!$B$7),ISNUMBER('Inputs'!$B$8),ISNUMBER('Inputs'!$B$9),ISNUMBER('Inputs'!$B$10),ISNUMBER('Inputs'!$B$21),ISNUMBER('Inputs'!$B$24),ISNUMBER('Inputs'!$B$28)),((('Results'!B7*(1-'Inputs'!$B$24)*(0.5*((((358-43)*MAX('Inputs'!$B$33,'Inputs'!$B$29+'Inputs'!$B$31+'Inputs'!$B$32,'Inputs'!$B$30+'Inputs'!$B$31+'Inputs'!$B$32)/1000+'Inputs'!$B$21)+'Inputs'!$B$7)/SQRT((((358-43)*MAX('Inputs'!$B$33,'Inputs'!$B$29+'Inputs'!$B$31+'Inputs'!$B$32,'Inputs'!$B$30+'Inputs'!$B$31+'Inputs'!$B$32)/1000+'Inputs'!$B$21)+'Inputs'!$B$7)^2+('Inputs'!$B$6/2)^2)-(((358-43)*MAX('Inputs'!$B$33,'Inputs'!$B$29+'Inputs'!$B$31+'Inputs'!$B$32,'Inputs'!$B$30+'Inputs'!$B$31+'Inputs'!$B$32)/1000+'Inputs'!$B$21))/SQRT((((358-43)*MAX('Inputs'!$B$33,'Inputs'!$B$29+'Inputs'!$B$31+'Inputs'!$B$32,'Inputs'!$B$30+'Inputs'!$B$31+'Inputs'!$B$32)/1000+'Inputs'!$B$21))^2+('Inputs'!$B$6/2)^2)))-'Results'!C7*(1+'Inputs'!$B$24)*(0.5*((((358-43)*MAX('Inputs'!$B$33,'Inputs'!$B$29+'Inputs'!$B$31+'Inputs'!$B$32,'Inputs'!$B$30+'Inputs'!$B$31+'Inputs'!$B$32)/1000+'Inputs'!$B$21+'Inputs'!$B$7+'Inputs'!$B$10)+'Inputs'!$B$9)/SQRT((((358-43)*MAX('Inputs'!$B$33,'Inputs'!$B$29+'Inputs'!$B$31+'Inputs'!$B$32,'Inputs'!$B$30+'Inputs'!$B$31+'Inputs'!$B$32)/1000+'Inputs'!$B$21+'Inputs'!$B$7+'Inputs'!$B$10)+'Inputs'!$B$9)^2+('Inputs'!$B$8/2)^2)-(((358-43)*MAX('Inputs'!$B$33,'Inputs'!$B$29+'Inputs'!$B$31+'Inputs'!$B$32,'Inputs'!$B$30+'Inputs'!$B$31+'Inputs'!$B$32)/1000+'Inputs'!$B$21+'Inputs'!$B$7+'Inputs'!$B$10))/SQRT((((358-43)*MAX('Inputs'!$B$33,'Inputs'!$B$29+'Inputs'!$B$31+'Inputs'!$B$32,'Inputs'!$B$30+'Inputs'!$B$31+'Inputs'!$B$32)/1000+'Inputs'!$B$21+'Inputs'!$B$7+'Inputs'!$B$10))^2+('Inputs'!$B$8/2)^2))))*'Results'!$B$8)-'Inputs'!$B$28*ABS((('Results'!B7*(1-'Inputs'!$B$24)*(0.5*((((358-43)*MAX('Inputs'!$B$33,'Inputs'!$B$29+'Inputs'!$B$31+'Inputs'!$B$32,'Inputs'!$B$30+'Inputs'!$B$31+'Inputs'!$B$32)/1000+'Inputs'!$B$21)+'Inputs'!$B$7)/SQRT((((358-43)*MAX('Inputs'!$B$33,'Inputs'!$B$29+'Inputs'!$B$31+'Inputs'!$B$32,'Inputs'!$B$30+'Inputs'!$B$31+'Inputs'!$B$32)/1000+'Inputs'!$B$21)+'Inputs'!$B$7)^2+('Inputs'!$B$6/2)^2)-(((358-43)*MAX('Inputs'!$B$33,'Inputs'!$B$29+'Inputs'!$B$31+'Inputs'!$B$32,'Inputs'!$B$30+'Inputs'!$B$31+'Inputs'!$B$32)/1000+'Inputs'!$B$21))/SQRT((((358-43)*MAX('Inputs'!$B$33,'Inputs'!$B$29+'Inputs'!$B$31+'Inputs'!$B$32,'Inputs'!$B$30+'Inputs'!$B$31+'Inputs'!$B$32)/1000+'Inputs'!$B$21))^2+('Inputs'!$B$6/2)^2)))-'Results'!C7*(1+'Inputs'!$B$24)*(0.5*((((358-43)*MAX('Inputs'!$B$33,'Inputs'!$B$29+'Inputs'!$B$31+'Inputs'!$B$32,'Inputs'!$B$30+'Inputs'!$B$31+'Inputs'!$B$32)/1000+'Inputs'!$B$21+'Inputs'!$B$7+'Inputs'!$B$10)+'Inputs'!$B$9)/SQRT((((358-43)*MAX('Inputs'!$B$33,'Inputs'!$B$29+'Inputs'!$B$31+'Inputs'!$B$32,'Inputs'!$B$30+'Inputs'!$B$31+'Inputs'!$B$32)/1000+'Inputs'!$B$21+'Inputs'!$B$7+'Inputs'!$B$10)+'Inputs'!$B$9)^2+('Inputs'!$B$8/2)^2)-(((358-43)*MAX('Inputs'!$B$33,'Inputs'!$B$29+'Inputs'!$B$31+'Inputs'!$B$32,'Inputs'!$B$30+'Inputs'!$B$31+'Inputs'!$B$32)/1000+'Inputs'!$B$21+'Inputs'!$B$7+'Inputs'!$B$10))/SQRT((((358-43)*MAX('Inputs'!$B$33,'Inputs'!$B$29+'Inputs'!$B$31+'Inputs'!$B$32,'Inputs'!$B$30+'Inputs'!$B$31+'Inputs'!$B$32)/1000+'Inputs'!$B$21+'Inputs'!$B$7+'Inputs'!$B$10))^2+('Inputs'!$B$8/2)^2))))*'Results'!$B$8))),"")</x:f>
        <x:v>17.257629807600146</x:v>
      </x:c>
      <x:c r="L358" t="n">
        <x:f>IF(AND(ISNUMBER('Results'!B7),ISNUMBER('Results'!C7),ISNUMBER('Results'!$B$8),ISNUMBER('Inputs'!$B$6),ISNUMBER('Inputs'!$B$7),ISNUMBER('Inputs'!$B$8),ISNUMBER('Inputs'!$B$9),ISNUMBER('Inputs'!$B$10),ISNUMBER('Inputs'!$B$21),ISNUMBER('Inputs'!$B$24),ISNUMBER('Inputs'!$B$28)),((('Results'!B7*(1+'Inputs'!$B$24)*(0.5*((((358-43)*MAX('Inputs'!$B$33,'Inputs'!$B$29+'Inputs'!$B$31+'Inputs'!$B$32,'Inputs'!$B$30+'Inputs'!$B$31+'Inputs'!$B$32)/1000+'Inputs'!$B$21)+'Inputs'!$B$7)/SQRT((((358-43)*MAX('Inputs'!$B$33,'Inputs'!$B$29+'Inputs'!$B$31+'Inputs'!$B$32,'Inputs'!$B$30+'Inputs'!$B$31+'Inputs'!$B$32)/1000+'Inputs'!$B$21)+'Inputs'!$B$7)^2+('Inputs'!$B$6/2)^2)-(((358-43)*MAX('Inputs'!$B$33,'Inputs'!$B$29+'Inputs'!$B$31+'Inputs'!$B$32,'Inputs'!$B$30+'Inputs'!$B$31+'Inputs'!$B$32)/1000+'Inputs'!$B$21))/SQRT((((358-43)*MAX('Inputs'!$B$33,'Inputs'!$B$29+'Inputs'!$B$31+'Inputs'!$B$32,'Inputs'!$B$30+'Inputs'!$B$31+'Inputs'!$B$32)/1000+'Inputs'!$B$21))^2+('Inputs'!$B$6/2)^2)))-'Results'!C7*(1-'Inputs'!$B$24)*(0.5*((((358-43)*MAX('Inputs'!$B$33,'Inputs'!$B$29+'Inputs'!$B$31+'Inputs'!$B$32,'Inputs'!$B$30+'Inputs'!$B$31+'Inputs'!$B$32)/1000+'Inputs'!$B$21+'Inputs'!$B$7+'Inputs'!$B$10)+'Inputs'!$B$9)/SQRT((((358-43)*MAX('Inputs'!$B$33,'Inputs'!$B$29+'Inputs'!$B$31+'Inputs'!$B$32,'Inputs'!$B$30+'Inputs'!$B$31+'Inputs'!$B$32)/1000+'Inputs'!$B$21+'Inputs'!$B$7+'Inputs'!$B$10)+'Inputs'!$B$9)^2+('Inputs'!$B$8/2)^2)-(((358-43)*MAX('Inputs'!$B$33,'Inputs'!$B$29+'Inputs'!$B$31+'Inputs'!$B$32,'Inputs'!$B$30+'Inputs'!$B$31+'Inputs'!$B$32)/1000+'Inputs'!$B$21+'Inputs'!$B$7+'Inputs'!$B$10))/SQRT((((358-43)*MAX('Inputs'!$B$33,'Inputs'!$B$29+'Inputs'!$B$31+'Inputs'!$B$32,'Inputs'!$B$30+'Inputs'!$B$31+'Inputs'!$B$32)/1000+'Inputs'!$B$21+'Inputs'!$B$7+'Inputs'!$B$10))^2+('Inputs'!$B$8/2)^2))))*'Results'!$B$8)+'Inputs'!$B$28*ABS((('Results'!B7*(1+'Inputs'!$B$24)*(0.5*((((358-43)*MAX('Inputs'!$B$33,'Inputs'!$B$29+'Inputs'!$B$31+'Inputs'!$B$32,'Inputs'!$B$30+'Inputs'!$B$31+'Inputs'!$B$32)/1000+'Inputs'!$B$21)+'Inputs'!$B$7)/SQRT((((358-43)*MAX('Inputs'!$B$33,'Inputs'!$B$29+'Inputs'!$B$31+'Inputs'!$B$32,'Inputs'!$B$30+'Inputs'!$B$31+'Inputs'!$B$32)/1000+'Inputs'!$B$21)+'Inputs'!$B$7)^2+('Inputs'!$B$6/2)^2)-(((358-43)*MAX('Inputs'!$B$33,'Inputs'!$B$29+'Inputs'!$B$31+'Inputs'!$B$32,'Inputs'!$B$30+'Inputs'!$B$31+'Inputs'!$B$32)/1000+'Inputs'!$B$21))/SQRT((((358-43)*MAX('Inputs'!$B$33,'Inputs'!$B$29+'Inputs'!$B$31+'Inputs'!$B$32,'Inputs'!$B$30+'Inputs'!$B$31+'Inputs'!$B$32)/1000+'Inputs'!$B$21))^2+('Inputs'!$B$6/2)^2)))-'Results'!C7*(1-'Inputs'!$B$24)*(0.5*((((358-43)*MAX('Inputs'!$B$33,'Inputs'!$B$29+'Inputs'!$B$31+'Inputs'!$B$32,'Inputs'!$B$30+'Inputs'!$B$31+'Inputs'!$B$32)/1000+'Inputs'!$B$21+'Inputs'!$B$7+'Inputs'!$B$10)+'Inputs'!$B$9)/SQRT((((358-43)*MAX('Inputs'!$B$33,'Inputs'!$B$29+'Inputs'!$B$31+'Inputs'!$B$32,'Inputs'!$B$30+'Inputs'!$B$31+'Inputs'!$B$32)/1000+'Inputs'!$B$21+'Inputs'!$B$7+'Inputs'!$B$10)+'Inputs'!$B$9)^2+('Inputs'!$B$8/2)^2)-(((358-43)*MAX('Inputs'!$B$33,'Inputs'!$B$29+'Inputs'!$B$31+'Inputs'!$B$32,'Inputs'!$B$30+'Inputs'!$B$31+'Inputs'!$B$32)/1000+'Inputs'!$B$21+'Inputs'!$B$7+'Inputs'!$B$10))/SQRT((((358-43)*MAX('Inputs'!$B$33,'Inputs'!$B$29+'Inputs'!$B$31+'Inputs'!$B$32,'Inputs'!$B$30+'Inputs'!$B$31+'Inputs'!$B$32)/1000+'Inputs'!$B$21+'Inputs'!$B$7+'Inputs'!$B$10))^2+('Inputs'!$B$8/2)^2))))*'Results'!$B$8))),"")</x:f>
        <x:v>21.03216723643758</x:v>
      </x:c>
      <x:c r="M358" t="n">
        <x:f>IF(AND(ISNUMBER('Results'!C7),ISNUMBER('Results'!B7),ISNUMBER('Results'!$B$8),ISNUMBER('Inputs'!$B$6),ISNUMBER('Inputs'!$B$7),ISNUMBER('Inputs'!$B$8),ISNUMBER('Inputs'!$B$9),ISNUMBER('Inputs'!$B$10),ISNUMBER('Inputs'!$B$21),ISNUMBER('Inputs'!$B$24),ISNUMBER('Inputs'!$B$28)),(('Results'!C7*(0.5*((((358-43)*MAX('Inputs'!$B$33,'Inputs'!$B$29+'Inputs'!$B$31+'Inputs'!$B$32,'Inputs'!$B$30+'Inputs'!$B$31+'Inputs'!$B$32)/1000+'Inputs'!$B$21)+'Inputs'!$B$9)/SQRT((((358-43)*MAX('Inputs'!$B$33,'Inputs'!$B$29+'Inputs'!$B$31+'Inputs'!$B$32,'Inputs'!$B$30+'Inputs'!$B$31+'Inputs'!$B$32)/1000+'Inputs'!$B$21)+'Inputs'!$B$9)^2+('Inputs'!$B$8/2)^2)-(((358-43)*MAX('Inputs'!$B$33,'Inputs'!$B$29+'Inputs'!$B$31+'Inputs'!$B$32,'Inputs'!$B$30+'Inputs'!$B$31+'Inputs'!$B$32)/1000+'Inputs'!$B$21))/SQRT((((358-43)*MAX('Inputs'!$B$33,'Inputs'!$B$29+'Inputs'!$B$31+'Inputs'!$B$32,'Inputs'!$B$30+'Inputs'!$B$31+'Inputs'!$B$32)/1000+'Inputs'!$B$21))^2+('Inputs'!$B$8/2)^2)))-'Results'!B7*(0.5*((((358-43)*MAX('Inputs'!$B$33,'Inputs'!$B$29+'Inputs'!$B$31+'Inputs'!$B$32,'Inputs'!$B$30+'Inputs'!$B$31+'Inputs'!$B$32)/1000+'Inputs'!$B$21+'Inputs'!$B$9+'Inputs'!$B$10)+'Inputs'!$B$7)/SQRT((((358-43)*MAX('Inputs'!$B$33,'Inputs'!$B$29+'Inputs'!$B$31+'Inputs'!$B$32,'Inputs'!$B$30+'Inputs'!$B$31+'Inputs'!$B$32)/1000+'Inputs'!$B$21+'Inputs'!$B$9+'Inputs'!$B$10)+'Inputs'!$B$7)^2+('Inputs'!$B$6/2)^2)-(((358-43)*MAX('Inputs'!$B$33,'Inputs'!$B$29+'Inputs'!$B$31+'Inputs'!$B$32,'Inputs'!$B$30+'Inputs'!$B$31+'Inputs'!$B$32)/1000+'Inputs'!$B$21+'Inputs'!$B$9+'Inputs'!$B$10))/SQRT((((358-43)*MAX('Inputs'!$B$33,'Inputs'!$B$29+'Inputs'!$B$31+'Inputs'!$B$32,'Inputs'!$B$30+'Inputs'!$B$31+'Inputs'!$B$32)/1000+'Inputs'!$B$21+'Inputs'!$B$9+'Inputs'!$B$10))^2+('Inputs'!$B$6/2)^2))))*'Results'!$B$8),"")</x:f>
        <x:v>18.160309898373107</x:v>
      </x:c>
      <x:c r="N358" t="n">
        <x:f>IF(AND(ISNUMBER('Results'!C7),ISNUMBER('Results'!B7),ISNUMBER('Results'!$B$8),ISNUMBER('Inputs'!$B$6),ISNUMBER('Inputs'!$B$7),ISNUMBER('Inputs'!$B$8),ISNUMBER('Inputs'!$B$9),ISNUMBER('Inputs'!$B$10),ISNUMBER('Inputs'!$B$21),ISNUMBER('Inputs'!$B$24),ISNUMBER('Inputs'!$B$28)),((('Results'!C7*(1-'Inputs'!$B$24)*(0.5*((((358-43)*MAX('Inputs'!$B$33,'Inputs'!$B$29+'Inputs'!$B$31+'Inputs'!$B$32,'Inputs'!$B$30+'Inputs'!$B$31+'Inputs'!$B$32)/1000+'Inputs'!$B$21)+'Inputs'!$B$9)/SQRT((((358-43)*MAX('Inputs'!$B$33,'Inputs'!$B$29+'Inputs'!$B$31+'Inputs'!$B$32,'Inputs'!$B$30+'Inputs'!$B$31+'Inputs'!$B$32)/1000+'Inputs'!$B$21)+'Inputs'!$B$9)^2+('Inputs'!$B$8/2)^2)-(((358-43)*MAX('Inputs'!$B$33,'Inputs'!$B$29+'Inputs'!$B$31+'Inputs'!$B$32,'Inputs'!$B$30+'Inputs'!$B$31+'Inputs'!$B$32)/1000+'Inputs'!$B$21))/SQRT((((358-43)*MAX('Inputs'!$B$33,'Inputs'!$B$29+'Inputs'!$B$31+'Inputs'!$B$32,'Inputs'!$B$30+'Inputs'!$B$31+'Inputs'!$B$32)/1000+'Inputs'!$B$21))^2+('Inputs'!$B$8/2)^2)))-'Results'!B7*(1+'Inputs'!$B$24)*(0.5*((((358-43)*MAX('Inputs'!$B$33,'Inputs'!$B$29+'Inputs'!$B$31+'Inputs'!$B$32,'Inputs'!$B$30+'Inputs'!$B$31+'Inputs'!$B$32)/1000+'Inputs'!$B$21+'Inputs'!$B$9+'Inputs'!$B$10)+'Inputs'!$B$7)/SQRT((((358-43)*MAX('Inputs'!$B$33,'Inputs'!$B$29+'Inputs'!$B$31+'Inputs'!$B$32,'Inputs'!$B$30+'Inputs'!$B$31+'Inputs'!$B$32)/1000+'Inputs'!$B$21+'Inputs'!$B$9+'Inputs'!$B$10)+'Inputs'!$B$7)^2+('Inputs'!$B$6/2)^2)-(((358-43)*MAX('Inputs'!$B$33,'Inputs'!$B$29+'Inputs'!$B$31+'Inputs'!$B$32,'Inputs'!$B$30+'Inputs'!$B$31+'Inputs'!$B$32)/1000+'Inputs'!$B$21+'Inputs'!$B$9+'Inputs'!$B$10))/SQRT((((358-43)*MAX('Inputs'!$B$33,'Inputs'!$B$29+'Inputs'!$B$31+'Inputs'!$B$32,'Inputs'!$B$30+'Inputs'!$B$31+'Inputs'!$B$32)/1000+'Inputs'!$B$21+'Inputs'!$B$9+'Inputs'!$B$10))^2+('Inputs'!$B$6/2)^2))))*'Results'!$B$8)-'Inputs'!$B$28*ABS((('Results'!C7*(1-'Inputs'!$B$24)*(0.5*((((358-43)*MAX('Inputs'!$B$33,'Inputs'!$B$29+'Inputs'!$B$31+'Inputs'!$B$32,'Inputs'!$B$30+'Inputs'!$B$31+'Inputs'!$B$32)/1000+'Inputs'!$B$21)+'Inputs'!$B$9)/SQRT((((358-43)*MAX('Inputs'!$B$33,'Inputs'!$B$29+'Inputs'!$B$31+'Inputs'!$B$32,'Inputs'!$B$30+'Inputs'!$B$31+'Inputs'!$B$32)/1000+'Inputs'!$B$21)+'Inputs'!$B$9)^2+('Inputs'!$B$8/2)^2)-(((358-43)*MAX('Inputs'!$B$33,'Inputs'!$B$29+'Inputs'!$B$31+'Inputs'!$B$32,'Inputs'!$B$30+'Inputs'!$B$31+'Inputs'!$B$32)/1000+'Inputs'!$B$21))/SQRT((((358-43)*MAX('Inputs'!$B$33,'Inputs'!$B$29+'Inputs'!$B$31+'Inputs'!$B$32,'Inputs'!$B$30+'Inputs'!$B$31+'Inputs'!$B$32)/1000+'Inputs'!$B$21))^2+('Inputs'!$B$8/2)^2)))-'Results'!B7*(1+'Inputs'!$B$24)*(0.5*((((358-43)*MAX('Inputs'!$B$33,'Inputs'!$B$29+'Inputs'!$B$31+'Inputs'!$B$32,'Inputs'!$B$30+'Inputs'!$B$31+'Inputs'!$B$32)/1000+'Inputs'!$B$21+'Inputs'!$B$9+'Inputs'!$B$10)+'Inputs'!$B$7)/SQRT((((358-43)*MAX('Inputs'!$B$33,'Inputs'!$B$29+'Inputs'!$B$31+'Inputs'!$B$32,'Inputs'!$B$30+'Inputs'!$B$31+'Inputs'!$B$32)/1000+'Inputs'!$B$21+'Inputs'!$B$9+'Inputs'!$B$10)+'Inputs'!$B$7)^2+('Inputs'!$B$6/2)^2)-(((358-43)*MAX('Inputs'!$B$33,'Inputs'!$B$29+'Inputs'!$B$31+'Inputs'!$B$32,'Inputs'!$B$30+'Inputs'!$B$31+'Inputs'!$B$32)/1000+'Inputs'!$B$21+'Inputs'!$B$9+'Inputs'!$B$10))/SQRT((((358-43)*MAX('Inputs'!$B$33,'Inputs'!$B$29+'Inputs'!$B$31+'Inputs'!$B$32,'Inputs'!$B$30+'Inputs'!$B$31+'Inputs'!$B$32)/1000+'Inputs'!$B$21+'Inputs'!$B$9+'Inputs'!$B$10))^2+('Inputs'!$B$6/2)^2))))*'Results'!$B$8))),"")</x:f>
        <x:v>16.373708100816064</x:v>
      </x:c>
      <x:c r="O358" t="n">
        <x:f>IF(AND(ISNUMBER('Results'!C7),ISNUMBER('Results'!B7),ISNUMBER('Results'!$B$8),ISNUMBER('Inputs'!$B$6),ISNUMBER('Inputs'!$B$7),ISNUMBER('Inputs'!$B$8),ISNUMBER('Inputs'!$B$9),ISNUMBER('Inputs'!$B$10),ISNUMBER('Inputs'!$B$21),ISNUMBER('Inputs'!$B$24),ISNUMBER('Inputs'!$B$28)),((('Results'!C7*(1+'Inputs'!$B$24)*(0.5*((((358-43)*MAX('Inputs'!$B$33,'Inputs'!$B$29+'Inputs'!$B$31+'Inputs'!$B$32,'Inputs'!$B$30+'Inputs'!$B$31+'Inputs'!$B$32)/1000+'Inputs'!$B$21)+'Inputs'!$B$9)/SQRT((((358-43)*MAX('Inputs'!$B$33,'Inputs'!$B$29+'Inputs'!$B$31+'Inputs'!$B$32,'Inputs'!$B$30+'Inputs'!$B$31+'Inputs'!$B$32)/1000+'Inputs'!$B$21)+'Inputs'!$B$9)^2+('Inputs'!$B$8/2)^2)-(((358-43)*MAX('Inputs'!$B$33,'Inputs'!$B$29+'Inputs'!$B$31+'Inputs'!$B$32,'Inputs'!$B$30+'Inputs'!$B$31+'Inputs'!$B$32)/1000+'Inputs'!$B$21))/SQRT((((358-43)*MAX('Inputs'!$B$33,'Inputs'!$B$29+'Inputs'!$B$31+'Inputs'!$B$32,'Inputs'!$B$30+'Inputs'!$B$31+'Inputs'!$B$32)/1000+'Inputs'!$B$21))^2+('Inputs'!$B$8/2)^2)))-'Results'!B7*(1-'Inputs'!$B$24)*(0.5*((((358-43)*MAX('Inputs'!$B$33,'Inputs'!$B$29+'Inputs'!$B$31+'Inputs'!$B$32,'Inputs'!$B$30+'Inputs'!$B$31+'Inputs'!$B$32)/1000+'Inputs'!$B$21+'Inputs'!$B$9+'Inputs'!$B$10)+'Inputs'!$B$7)/SQRT((((358-43)*MAX('Inputs'!$B$33,'Inputs'!$B$29+'Inputs'!$B$31+'Inputs'!$B$32,'Inputs'!$B$30+'Inputs'!$B$31+'Inputs'!$B$32)/1000+'Inputs'!$B$21+'Inputs'!$B$9+'Inputs'!$B$10)+'Inputs'!$B$7)^2+('Inputs'!$B$6/2)^2)-(((358-43)*MAX('Inputs'!$B$33,'Inputs'!$B$29+'Inputs'!$B$31+'Inputs'!$B$32,'Inputs'!$B$30+'Inputs'!$B$31+'Inputs'!$B$32)/1000+'Inputs'!$B$21+'Inputs'!$B$9+'Inputs'!$B$10))/SQRT((((358-43)*MAX('Inputs'!$B$33,'Inputs'!$B$29+'Inputs'!$B$31+'Inputs'!$B$32,'Inputs'!$B$30+'Inputs'!$B$31+'Inputs'!$B$32)/1000+'Inputs'!$B$21+'Inputs'!$B$9+'Inputs'!$B$10))^2+('Inputs'!$B$6/2)^2))))*'Results'!$B$8)+'Inputs'!$B$28*ABS((('Results'!C7*(1+'Inputs'!$B$24)*(0.5*((((358-43)*MAX('Inputs'!$B$33,'Inputs'!$B$29+'Inputs'!$B$31+'Inputs'!$B$32,'Inputs'!$B$30+'Inputs'!$B$31+'Inputs'!$B$32)/1000+'Inputs'!$B$21)+'Inputs'!$B$9)/SQRT((((358-43)*MAX('Inputs'!$B$33,'Inputs'!$B$29+'Inputs'!$B$31+'Inputs'!$B$32,'Inputs'!$B$30+'Inputs'!$B$31+'Inputs'!$B$32)/1000+'Inputs'!$B$21)+'Inputs'!$B$9)^2+('Inputs'!$B$8/2)^2)-(((358-43)*MAX('Inputs'!$B$33,'Inputs'!$B$29+'Inputs'!$B$31+'Inputs'!$B$32,'Inputs'!$B$30+'Inputs'!$B$31+'Inputs'!$B$32)/1000+'Inputs'!$B$21))/SQRT((((358-43)*MAX('Inputs'!$B$33,'Inputs'!$B$29+'Inputs'!$B$31+'Inputs'!$B$32,'Inputs'!$B$30+'Inputs'!$B$31+'Inputs'!$B$32)/1000+'Inputs'!$B$21))^2+('Inputs'!$B$8/2)^2)))-'Results'!B7*(1-'Inputs'!$B$24)*(0.5*((((358-43)*MAX('Inputs'!$B$33,'Inputs'!$B$29+'Inputs'!$B$31+'Inputs'!$B$32,'Inputs'!$B$30+'Inputs'!$B$31+'Inputs'!$B$32)/1000+'Inputs'!$B$21+'Inputs'!$B$9+'Inputs'!$B$10)+'Inputs'!$B$7)/SQRT((((358-43)*MAX('Inputs'!$B$33,'Inputs'!$B$29+'Inputs'!$B$31+'Inputs'!$B$32,'Inputs'!$B$30+'Inputs'!$B$31+'Inputs'!$B$32)/1000+'Inputs'!$B$21+'Inputs'!$B$9+'Inputs'!$B$10)+'Inputs'!$B$7)^2+('Inputs'!$B$6/2)^2)-(((358-43)*MAX('Inputs'!$B$33,'Inputs'!$B$29+'Inputs'!$B$31+'Inputs'!$B$32,'Inputs'!$B$30+'Inputs'!$B$31+'Inputs'!$B$32)/1000+'Inputs'!$B$21+'Inputs'!$B$9+'Inputs'!$B$10))/SQRT((((358-43)*MAX('Inputs'!$B$33,'Inputs'!$B$29+'Inputs'!$B$31+'Inputs'!$B$32,'Inputs'!$B$30+'Inputs'!$B$31+'Inputs'!$B$32)/1000+'Inputs'!$B$21+'Inputs'!$B$9+'Inputs'!$B$10))^2+('Inputs'!$B$6/2)^2))))*'Results'!$B$8))),"")</x:f>
        <x:v>20.039394464628938</x:v>
      </x:c>
      <x:c r="P358" t="n">
        <x:f>IF(AND(MAX(J358,J357)&gt;0,J358&gt;J357+0.00000001),1,0)</x:f>
        <x:v>0</x:v>
      </x:c>
      <x:c r="Q358" t="n">
        <x:f>IF(AND(MAX(K358,K357)&gt;0,K358&gt;K357+0.00000001),1,0)</x:f>
        <x:v>0</x:v>
      </x:c>
      <x:c r="R358" t="n">
        <x:f>IF(AND(MAX(L358,L357)&gt;0,L358&gt;L357+0.00000001),1,0)</x:f>
        <x:v>0</x:v>
      </x:c>
      <x:c r="S358" t="n">
        <x:f>IF(AND(MAX(M358,M357)&gt;0,M358&gt;M357+0.00000001),1,0)</x:f>
        <x:v>0</x:v>
      </x:c>
      <x:c r="T358" t="n">
        <x:f>IF(AND(MAX(N358,N357)&gt;0,N358&gt;N357+0.00000001),1,0)</x:f>
        <x:v>0</x:v>
      </x:c>
      <x:c r="U358" t="n">
        <x:f>IF(AND(MAX(O358,O357)&gt;0,O358&gt;O357+0.00000001),1,0)</x:f>
        <x:v>0</x:v>
      </x:c>
    </x:row>
    <x:row r="359">
      <x:c r="J359" t="n">
        <x:f>IF(AND(ISNUMBER('Results'!B7),ISNUMBER('Results'!C7),ISNUMBER('Results'!$B$8),ISNUMBER('Inputs'!$B$6),ISNUMBER('Inputs'!$B$7),ISNUMBER('Inputs'!$B$8),ISNUMBER('Inputs'!$B$9),ISNUMBER('Inputs'!$B$10),ISNUMBER('Inputs'!$B$21),ISNUMBER('Inputs'!$B$24),ISNUMBER('Inputs'!$B$28)),(('Results'!B7*(0.5*((((359-43)*MAX('Inputs'!$B$33,'Inputs'!$B$29+'Inputs'!$B$31+'Inputs'!$B$32,'Inputs'!$B$30+'Inputs'!$B$31+'Inputs'!$B$32)/1000+'Inputs'!$B$21)+'Inputs'!$B$7)/SQRT((((359-43)*MAX('Inputs'!$B$33,'Inputs'!$B$29+'Inputs'!$B$31+'Inputs'!$B$32,'Inputs'!$B$30+'Inputs'!$B$31+'Inputs'!$B$32)/1000+'Inputs'!$B$21)+'Inputs'!$B$7)^2+('Inputs'!$B$6/2)^2)-(((359-43)*MAX('Inputs'!$B$33,'Inputs'!$B$29+'Inputs'!$B$31+'Inputs'!$B$32,'Inputs'!$B$30+'Inputs'!$B$31+'Inputs'!$B$32)/1000+'Inputs'!$B$21))/SQRT((((359-43)*MAX('Inputs'!$B$33,'Inputs'!$B$29+'Inputs'!$B$31+'Inputs'!$B$32,'Inputs'!$B$30+'Inputs'!$B$31+'Inputs'!$B$32)/1000+'Inputs'!$B$21))^2+('Inputs'!$B$6/2)^2)))-'Results'!C7*(0.5*((((359-43)*MAX('Inputs'!$B$33,'Inputs'!$B$29+'Inputs'!$B$31+'Inputs'!$B$32,'Inputs'!$B$30+'Inputs'!$B$31+'Inputs'!$B$32)/1000+'Inputs'!$B$21+'Inputs'!$B$7+'Inputs'!$B$10)+'Inputs'!$B$9)/SQRT((((359-43)*MAX('Inputs'!$B$33,'Inputs'!$B$29+'Inputs'!$B$31+'Inputs'!$B$32,'Inputs'!$B$30+'Inputs'!$B$31+'Inputs'!$B$32)/1000+'Inputs'!$B$21+'Inputs'!$B$7+'Inputs'!$B$10)+'Inputs'!$B$9)^2+('Inputs'!$B$8/2)^2)-(((359-43)*MAX('Inputs'!$B$33,'Inputs'!$B$29+'Inputs'!$B$31+'Inputs'!$B$32,'Inputs'!$B$30+'Inputs'!$B$31+'Inputs'!$B$32)/1000+'Inputs'!$B$21+'Inputs'!$B$7+'Inputs'!$B$10))/SQRT((((359-43)*MAX('Inputs'!$B$33,'Inputs'!$B$29+'Inputs'!$B$31+'Inputs'!$B$32,'Inputs'!$B$30+'Inputs'!$B$31+'Inputs'!$B$32)/1000+'Inputs'!$B$21+'Inputs'!$B$7+'Inputs'!$B$10))^2+('Inputs'!$B$8/2)^2))))*'Results'!$B$8),"")</x:f>
        <x:v>18.90891799756141</x:v>
      </x:c>
      <x:c r="K359" t="n">
        <x:f>IF(AND(ISNUMBER('Results'!B7),ISNUMBER('Results'!C7),ISNUMBER('Results'!$B$8),ISNUMBER('Inputs'!$B$6),ISNUMBER('Inputs'!$B$7),ISNUMBER('Inputs'!$B$8),ISNUMBER('Inputs'!$B$9),ISNUMBER('Inputs'!$B$10),ISNUMBER('Inputs'!$B$21),ISNUMBER('Inputs'!$B$24),ISNUMBER('Inputs'!$B$28)),((('Results'!B7*(1-'Inputs'!$B$24)*(0.5*((((359-43)*MAX('Inputs'!$B$33,'Inputs'!$B$29+'Inputs'!$B$31+'Inputs'!$B$32,'Inputs'!$B$30+'Inputs'!$B$31+'Inputs'!$B$32)/1000+'Inputs'!$B$21)+'Inputs'!$B$7)/SQRT((((359-43)*MAX('Inputs'!$B$33,'Inputs'!$B$29+'Inputs'!$B$31+'Inputs'!$B$32,'Inputs'!$B$30+'Inputs'!$B$31+'Inputs'!$B$32)/1000+'Inputs'!$B$21)+'Inputs'!$B$7)^2+('Inputs'!$B$6/2)^2)-(((359-43)*MAX('Inputs'!$B$33,'Inputs'!$B$29+'Inputs'!$B$31+'Inputs'!$B$32,'Inputs'!$B$30+'Inputs'!$B$31+'Inputs'!$B$32)/1000+'Inputs'!$B$21))/SQRT((((359-43)*MAX('Inputs'!$B$33,'Inputs'!$B$29+'Inputs'!$B$31+'Inputs'!$B$32,'Inputs'!$B$30+'Inputs'!$B$31+'Inputs'!$B$32)/1000+'Inputs'!$B$21))^2+('Inputs'!$B$6/2)^2)))-'Results'!C7*(1+'Inputs'!$B$24)*(0.5*((((359-43)*MAX('Inputs'!$B$33,'Inputs'!$B$29+'Inputs'!$B$31+'Inputs'!$B$32,'Inputs'!$B$30+'Inputs'!$B$31+'Inputs'!$B$32)/1000+'Inputs'!$B$21+'Inputs'!$B$7+'Inputs'!$B$10)+'Inputs'!$B$9)/SQRT((((359-43)*MAX('Inputs'!$B$33,'Inputs'!$B$29+'Inputs'!$B$31+'Inputs'!$B$32,'Inputs'!$B$30+'Inputs'!$B$31+'Inputs'!$B$32)/1000+'Inputs'!$B$21+'Inputs'!$B$7+'Inputs'!$B$10)+'Inputs'!$B$9)^2+('Inputs'!$B$8/2)^2)-(((359-43)*MAX('Inputs'!$B$33,'Inputs'!$B$29+'Inputs'!$B$31+'Inputs'!$B$32,'Inputs'!$B$30+'Inputs'!$B$31+'Inputs'!$B$32)/1000+'Inputs'!$B$21+'Inputs'!$B$7+'Inputs'!$B$10))/SQRT((((359-43)*MAX('Inputs'!$B$33,'Inputs'!$B$29+'Inputs'!$B$31+'Inputs'!$B$32,'Inputs'!$B$30+'Inputs'!$B$31+'Inputs'!$B$32)/1000+'Inputs'!$B$21+'Inputs'!$B$7+'Inputs'!$B$10))^2+('Inputs'!$B$8/2)^2))))*'Results'!$B$8)-'Inputs'!$B$28*ABS((('Results'!B7*(1-'Inputs'!$B$24)*(0.5*((((359-43)*MAX('Inputs'!$B$33,'Inputs'!$B$29+'Inputs'!$B$31+'Inputs'!$B$32,'Inputs'!$B$30+'Inputs'!$B$31+'Inputs'!$B$32)/1000+'Inputs'!$B$21)+'Inputs'!$B$7)/SQRT((((359-43)*MAX('Inputs'!$B$33,'Inputs'!$B$29+'Inputs'!$B$31+'Inputs'!$B$32,'Inputs'!$B$30+'Inputs'!$B$31+'Inputs'!$B$32)/1000+'Inputs'!$B$21)+'Inputs'!$B$7)^2+('Inputs'!$B$6/2)^2)-(((359-43)*MAX('Inputs'!$B$33,'Inputs'!$B$29+'Inputs'!$B$31+'Inputs'!$B$32,'Inputs'!$B$30+'Inputs'!$B$31+'Inputs'!$B$32)/1000+'Inputs'!$B$21))/SQRT((((359-43)*MAX('Inputs'!$B$33,'Inputs'!$B$29+'Inputs'!$B$31+'Inputs'!$B$32,'Inputs'!$B$30+'Inputs'!$B$31+'Inputs'!$B$32)/1000+'Inputs'!$B$21))^2+('Inputs'!$B$6/2)^2)))-'Results'!C7*(1+'Inputs'!$B$24)*(0.5*((((359-43)*MAX('Inputs'!$B$33,'Inputs'!$B$29+'Inputs'!$B$31+'Inputs'!$B$32,'Inputs'!$B$30+'Inputs'!$B$31+'Inputs'!$B$32)/1000+'Inputs'!$B$21+'Inputs'!$B$7+'Inputs'!$B$10)+'Inputs'!$B$9)/SQRT((((359-43)*MAX('Inputs'!$B$33,'Inputs'!$B$29+'Inputs'!$B$31+'Inputs'!$B$32,'Inputs'!$B$30+'Inputs'!$B$31+'Inputs'!$B$32)/1000+'Inputs'!$B$21+'Inputs'!$B$7+'Inputs'!$B$10)+'Inputs'!$B$9)^2+('Inputs'!$B$8/2)^2)-(((359-43)*MAX('Inputs'!$B$33,'Inputs'!$B$29+'Inputs'!$B$31+'Inputs'!$B$32,'Inputs'!$B$30+'Inputs'!$B$31+'Inputs'!$B$32)/1000+'Inputs'!$B$21+'Inputs'!$B$7+'Inputs'!$B$10))/SQRT((((359-43)*MAX('Inputs'!$B$33,'Inputs'!$B$29+'Inputs'!$B$31+'Inputs'!$B$32,'Inputs'!$B$30+'Inputs'!$B$31+'Inputs'!$B$32)/1000+'Inputs'!$B$21+'Inputs'!$B$7+'Inputs'!$B$10))^2+('Inputs'!$B$8/2)^2))))*'Results'!$B$8))),"")</x:f>
        <x:v>17.08471036173875</x:v>
      </x:c>
      <x:c r="L359" t="n">
        <x:f>IF(AND(ISNUMBER('Results'!B7),ISNUMBER('Results'!C7),ISNUMBER('Results'!$B$8),ISNUMBER('Inputs'!$B$6),ISNUMBER('Inputs'!$B$7),ISNUMBER('Inputs'!$B$8),ISNUMBER('Inputs'!$B$9),ISNUMBER('Inputs'!$B$10),ISNUMBER('Inputs'!$B$21),ISNUMBER('Inputs'!$B$24),ISNUMBER('Inputs'!$B$28)),((('Results'!B7*(1+'Inputs'!$B$24)*(0.5*((((359-43)*MAX('Inputs'!$B$33,'Inputs'!$B$29+'Inputs'!$B$31+'Inputs'!$B$32,'Inputs'!$B$30+'Inputs'!$B$31+'Inputs'!$B$32)/1000+'Inputs'!$B$21)+'Inputs'!$B$7)/SQRT((((359-43)*MAX('Inputs'!$B$33,'Inputs'!$B$29+'Inputs'!$B$31+'Inputs'!$B$32,'Inputs'!$B$30+'Inputs'!$B$31+'Inputs'!$B$32)/1000+'Inputs'!$B$21)+'Inputs'!$B$7)^2+('Inputs'!$B$6/2)^2)-(((359-43)*MAX('Inputs'!$B$33,'Inputs'!$B$29+'Inputs'!$B$31+'Inputs'!$B$32,'Inputs'!$B$30+'Inputs'!$B$31+'Inputs'!$B$32)/1000+'Inputs'!$B$21))/SQRT((((359-43)*MAX('Inputs'!$B$33,'Inputs'!$B$29+'Inputs'!$B$31+'Inputs'!$B$32,'Inputs'!$B$30+'Inputs'!$B$31+'Inputs'!$B$32)/1000+'Inputs'!$B$21))^2+('Inputs'!$B$6/2)^2)))-'Results'!C7*(1-'Inputs'!$B$24)*(0.5*((((359-43)*MAX('Inputs'!$B$33,'Inputs'!$B$29+'Inputs'!$B$31+'Inputs'!$B$32,'Inputs'!$B$30+'Inputs'!$B$31+'Inputs'!$B$32)/1000+'Inputs'!$B$21+'Inputs'!$B$7+'Inputs'!$B$10)+'Inputs'!$B$9)/SQRT((((359-43)*MAX('Inputs'!$B$33,'Inputs'!$B$29+'Inputs'!$B$31+'Inputs'!$B$32,'Inputs'!$B$30+'Inputs'!$B$31+'Inputs'!$B$32)/1000+'Inputs'!$B$21+'Inputs'!$B$7+'Inputs'!$B$10)+'Inputs'!$B$9)^2+('Inputs'!$B$8/2)^2)-(((359-43)*MAX('Inputs'!$B$33,'Inputs'!$B$29+'Inputs'!$B$31+'Inputs'!$B$32,'Inputs'!$B$30+'Inputs'!$B$31+'Inputs'!$B$32)/1000+'Inputs'!$B$21+'Inputs'!$B$7+'Inputs'!$B$10))/SQRT((((359-43)*MAX('Inputs'!$B$33,'Inputs'!$B$29+'Inputs'!$B$31+'Inputs'!$B$32,'Inputs'!$B$30+'Inputs'!$B$31+'Inputs'!$B$32)/1000+'Inputs'!$B$21+'Inputs'!$B$7+'Inputs'!$B$10))^2+('Inputs'!$B$8/2)^2))))*'Results'!$B$8)+'Inputs'!$B$28*ABS((('Results'!B7*(1+'Inputs'!$B$24)*(0.5*((((359-43)*MAX('Inputs'!$B$33,'Inputs'!$B$29+'Inputs'!$B$31+'Inputs'!$B$32,'Inputs'!$B$30+'Inputs'!$B$31+'Inputs'!$B$32)/1000+'Inputs'!$B$21)+'Inputs'!$B$7)/SQRT((((359-43)*MAX('Inputs'!$B$33,'Inputs'!$B$29+'Inputs'!$B$31+'Inputs'!$B$32,'Inputs'!$B$30+'Inputs'!$B$31+'Inputs'!$B$32)/1000+'Inputs'!$B$21)+'Inputs'!$B$7)^2+('Inputs'!$B$6/2)^2)-(((359-43)*MAX('Inputs'!$B$33,'Inputs'!$B$29+'Inputs'!$B$31+'Inputs'!$B$32,'Inputs'!$B$30+'Inputs'!$B$31+'Inputs'!$B$32)/1000+'Inputs'!$B$21))/SQRT((((359-43)*MAX('Inputs'!$B$33,'Inputs'!$B$29+'Inputs'!$B$31+'Inputs'!$B$32,'Inputs'!$B$30+'Inputs'!$B$31+'Inputs'!$B$32)/1000+'Inputs'!$B$21))^2+('Inputs'!$B$6/2)^2)))-'Results'!C7*(1-'Inputs'!$B$24)*(0.5*((((359-43)*MAX('Inputs'!$B$33,'Inputs'!$B$29+'Inputs'!$B$31+'Inputs'!$B$32,'Inputs'!$B$30+'Inputs'!$B$31+'Inputs'!$B$32)/1000+'Inputs'!$B$21+'Inputs'!$B$7+'Inputs'!$B$10)+'Inputs'!$B$9)/SQRT((((359-43)*MAX('Inputs'!$B$33,'Inputs'!$B$29+'Inputs'!$B$31+'Inputs'!$B$32,'Inputs'!$B$30+'Inputs'!$B$31+'Inputs'!$B$32)/1000+'Inputs'!$B$21+'Inputs'!$B$7+'Inputs'!$B$10)+'Inputs'!$B$9)^2+('Inputs'!$B$8/2)^2)-(((359-43)*MAX('Inputs'!$B$33,'Inputs'!$B$29+'Inputs'!$B$31+'Inputs'!$B$32,'Inputs'!$B$30+'Inputs'!$B$31+'Inputs'!$B$32)/1000+'Inputs'!$B$21+'Inputs'!$B$7+'Inputs'!$B$10))/SQRT((((359-43)*MAX('Inputs'!$B$33,'Inputs'!$B$29+'Inputs'!$B$31+'Inputs'!$B$32,'Inputs'!$B$30+'Inputs'!$B$31+'Inputs'!$B$32)/1000+'Inputs'!$B$21+'Inputs'!$B$7+'Inputs'!$B$10))^2+('Inputs'!$B$8/2)^2))))*'Results'!$B$8))),"")</x:f>
        <x:v>20.825626868746657</x:v>
      </x:c>
      <x:c r="M359" t="n">
        <x:f>IF(AND(ISNUMBER('Results'!C7),ISNUMBER('Results'!B7),ISNUMBER('Results'!$B$8),ISNUMBER('Inputs'!$B$6),ISNUMBER('Inputs'!$B$7),ISNUMBER('Inputs'!$B$8),ISNUMBER('Inputs'!$B$9),ISNUMBER('Inputs'!$B$10),ISNUMBER('Inputs'!$B$21),ISNUMBER('Inputs'!$B$24),ISNUMBER('Inputs'!$B$28)),(('Results'!C7*(0.5*((((359-43)*MAX('Inputs'!$B$33,'Inputs'!$B$29+'Inputs'!$B$31+'Inputs'!$B$32,'Inputs'!$B$30+'Inputs'!$B$31+'Inputs'!$B$32)/1000+'Inputs'!$B$21)+'Inputs'!$B$9)/SQRT((((359-43)*MAX('Inputs'!$B$33,'Inputs'!$B$29+'Inputs'!$B$31+'Inputs'!$B$32,'Inputs'!$B$30+'Inputs'!$B$31+'Inputs'!$B$32)/1000+'Inputs'!$B$21)+'Inputs'!$B$9)^2+('Inputs'!$B$8/2)^2)-(((359-43)*MAX('Inputs'!$B$33,'Inputs'!$B$29+'Inputs'!$B$31+'Inputs'!$B$32,'Inputs'!$B$30+'Inputs'!$B$31+'Inputs'!$B$32)/1000+'Inputs'!$B$21))/SQRT((((359-43)*MAX('Inputs'!$B$33,'Inputs'!$B$29+'Inputs'!$B$31+'Inputs'!$B$32,'Inputs'!$B$30+'Inputs'!$B$31+'Inputs'!$B$32)/1000+'Inputs'!$B$21))^2+('Inputs'!$B$8/2)^2)))-'Results'!B7*(0.5*((((359-43)*MAX('Inputs'!$B$33,'Inputs'!$B$29+'Inputs'!$B$31+'Inputs'!$B$32,'Inputs'!$B$30+'Inputs'!$B$31+'Inputs'!$B$32)/1000+'Inputs'!$B$21+'Inputs'!$B$9+'Inputs'!$B$10)+'Inputs'!$B$7)/SQRT((((359-43)*MAX('Inputs'!$B$33,'Inputs'!$B$29+'Inputs'!$B$31+'Inputs'!$B$32,'Inputs'!$B$30+'Inputs'!$B$31+'Inputs'!$B$32)/1000+'Inputs'!$B$21+'Inputs'!$B$9+'Inputs'!$B$10)+'Inputs'!$B$7)^2+('Inputs'!$B$6/2)^2)-(((359-43)*MAX('Inputs'!$B$33,'Inputs'!$B$29+'Inputs'!$B$31+'Inputs'!$B$32,'Inputs'!$B$30+'Inputs'!$B$31+'Inputs'!$B$32)/1000+'Inputs'!$B$21+'Inputs'!$B$9+'Inputs'!$B$10))/SQRT((((359-43)*MAX('Inputs'!$B$33,'Inputs'!$B$29+'Inputs'!$B$31+'Inputs'!$B$32,'Inputs'!$B$30+'Inputs'!$B$31+'Inputs'!$B$32)/1000+'Inputs'!$B$21+'Inputs'!$B$9+'Inputs'!$B$10))^2+('Inputs'!$B$6/2)^2))))*'Results'!$B$8),"")</x:f>
        <x:v>17.978325705224563</x:v>
      </x:c>
      <x:c r="N359" t="n">
        <x:f>IF(AND(ISNUMBER('Results'!C7),ISNUMBER('Results'!B7),ISNUMBER('Results'!$B$8),ISNUMBER('Inputs'!$B$6),ISNUMBER('Inputs'!$B$7),ISNUMBER('Inputs'!$B$8),ISNUMBER('Inputs'!$B$9),ISNUMBER('Inputs'!$B$10),ISNUMBER('Inputs'!$B$21),ISNUMBER('Inputs'!$B$24),ISNUMBER('Inputs'!$B$28)),((('Results'!C7*(1-'Inputs'!$B$24)*(0.5*((((359-43)*MAX('Inputs'!$B$33,'Inputs'!$B$29+'Inputs'!$B$31+'Inputs'!$B$32,'Inputs'!$B$30+'Inputs'!$B$31+'Inputs'!$B$32)/1000+'Inputs'!$B$21)+'Inputs'!$B$9)/SQRT((((359-43)*MAX('Inputs'!$B$33,'Inputs'!$B$29+'Inputs'!$B$31+'Inputs'!$B$32,'Inputs'!$B$30+'Inputs'!$B$31+'Inputs'!$B$32)/1000+'Inputs'!$B$21)+'Inputs'!$B$9)^2+('Inputs'!$B$8/2)^2)-(((359-43)*MAX('Inputs'!$B$33,'Inputs'!$B$29+'Inputs'!$B$31+'Inputs'!$B$32,'Inputs'!$B$30+'Inputs'!$B$31+'Inputs'!$B$32)/1000+'Inputs'!$B$21))/SQRT((((359-43)*MAX('Inputs'!$B$33,'Inputs'!$B$29+'Inputs'!$B$31+'Inputs'!$B$32,'Inputs'!$B$30+'Inputs'!$B$31+'Inputs'!$B$32)/1000+'Inputs'!$B$21))^2+('Inputs'!$B$8/2)^2)))-'Results'!B7*(1+'Inputs'!$B$24)*(0.5*((((359-43)*MAX('Inputs'!$B$33,'Inputs'!$B$29+'Inputs'!$B$31+'Inputs'!$B$32,'Inputs'!$B$30+'Inputs'!$B$31+'Inputs'!$B$32)/1000+'Inputs'!$B$21+'Inputs'!$B$9+'Inputs'!$B$10)+'Inputs'!$B$7)/SQRT((((359-43)*MAX('Inputs'!$B$33,'Inputs'!$B$29+'Inputs'!$B$31+'Inputs'!$B$32,'Inputs'!$B$30+'Inputs'!$B$31+'Inputs'!$B$32)/1000+'Inputs'!$B$21+'Inputs'!$B$9+'Inputs'!$B$10)+'Inputs'!$B$7)^2+('Inputs'!$B$6/2)^2)-(((359-43)*MAX('Inputs'!$B$33,'Inputs'!$B$29+'Inputs'!$B$31+'Inputs'!$B$32,'Inputs'!$B$30+'Inputs'!$B$31+'Inputs'!$B$32)/1000+'Inputs'!$B$21+'Inputs'!$B$9+'Inputs'!$B$10))/SQRT((((359-43)*MAX('Inputs'!$B$33,'Inputs'!$B$29+'Inputs'!$B$31+'Inputs'!$B$32,'Inputs'!$B$30+'Inputs'!$B$31+'Inputs'!$B$32)/1000+'Inputs'!$B$21+'Inputs'!$B$9+'Inputs'!$B$10))^2+('Inputs'!$B$6/2)^2))))*'Results'!$B$8)-'Inputs'!$B$28*ABS((('Results'!C7*(1-'Inputs'!$B$24)*(0.5*((((359-43)*MAX('Inputs'!$B$33,'Inputs'!$B$29+'Inputs'!$B$31+'Inputs'!$B$32,'Inputs'!$B$30+'Inputs'!$B$31+'Inputs'!$B$32)/1000+'Inputs'!$B$21)+'Inputs'!$B$9)/SQRT((((359-43)*MAX('Inputs'!$B$33,'Inputs'!$B$29+'Inputs'!$B$31+'Inputs'!$B$32,'Inputs'!$B$30+'Inputs'!$B$31+'Inputs'!$B$32)/1000+'Inputs'!$B$21)+'Inputs'!$B$9)^2+('Inputs'!$B$8/2)^2)-(((359-43)*MAX('Inputs'!$B$33,'Inputs'!$B$29+'Inputs'!$B$31+'Inputs'!$B$32,'Inputs'!$B$30+'Inputs'!$B$31+'Inputs'!$B$32)/1000+'Inputs'!$B$21))/SQRT((((359-43)*MAX('Inputs'!$B$33,'Inputs'!$B$29+'Inputs'!$B$31+'Inputs'!$B$32,'Inputs'!$B$30+'Inputs'!$B$31+'Inputs'!$B$32)/1000+'Inputs'!$B$21))^2+('Inputs'!$B$8/2)^2)))-'Results'!B7*(1+'Inputs'!$B$24)*(0.5*((((359-43)*MAX('Inputs'!$B$33,'Inputs'!$B$29+'Inputs'!$B$31+'Inputs'!$B$32,'Inputs'!$B$30+'Inputs'!$B$31+'Inputs'!$B$32)/1000+'Inputs'!$B$21+'Inputs'!$B$9+'Inputs'!$B$10)+'Inputs'!$B$7)/SQRT((((359-43)*MAX('Inputs'!$B$33,'Inputs'!$B$29+'Inputs'!$B$31+'Inputs'!$B$32,'Inputs'!$B$30+'Inputs'!$B$31+'Inputs'!$B$32)/1000+'Inputs'!$B$21+'Inputs'!$B$9+'Inputs'!$B$10)+'Inputs'!$B$7)^2+('Inputs'!$B$6/2)^2)-(((359-43)*MAX('Inputs'!$B$33,'Inputs'!$B$29+'Inputs'!$B$31+'Inputs'!$B$32,'Inputs'!$B$30+'Inputs'!$B$31+'Inputs'!$B$32)/1000+'Inputs'!$B$21+'Inputs'!$B$9+'Inputs'!$B$10))/SQRT((((359-43)*MAX('Inputs'!$B$33,'Inputs'!$B$29+'Inputs'!$B$31+'Inputs'!$B$32,'Inputs'!$B$30+'Inputs'!$B$31+'Inputs'!$B$32)/1000+'Inputs'!$B$21+'Inputs'!$B$9+'Inputs'!$B$10))^2+('Inputs'!$B$6/2)^2))))*'Results'!$B$8))),"")</x:f>
        <x:v>16.20772705402231</x:v>
      </x:c>
      <x:c r="O359" t="n">
        <x:f>IF(AND(ISNUMBER('Results'!C7),ISNUMBER('Results'!B7),ISNUMBER('Results'!$B$8),ISNUMBER('Inputs'!$B$6),ISNUMBER('Inputs'!$B$7),ISNUMBER('Inputs'!$B$8),ISNUMBER('Inputs'!$B$9),ISNUMBER('Inputs'!$B$10),ISNUMBER('Inputs'!$B$21),ISNUMBER('Inputs'!$B$24),ISNUMBER('Inputs'!$B$28)),((('Results'!C7*(1+'Inputs'!$B$24)*(0.5*((((359-43)*MAX('Inputs'!$B$33,'Inputs'!$B$29+'Inputs'!$B$31+'Inputs'!$B$32,'Inputs'!$B$30+'Inputs'!$B$31+'Inputs'!$B$32)/1000+'Inputs'!$B$21)+'Inputs'!$B$9)/SQRT((((359-43)*MAX('Inputs'!$B$33,'Inputs'!$B$29+'Inputs'!$B$31+'Inputs'!$B$32,'Inputs'!$B$30+'Inputs'!$B$31+'Inputs'!$B$32)/1000+'Inputs'!$B$21)+'Inputs'!$B$9)^2+('Inputs'!$B$8/2)^2)-(((359-43)*MAX('Inputs'!$B$33,'Inputs'!$B$29+'Inputs'!$B$31+'Inputs'!$B$32,'Inputs'!$B$30+'Inputs'!$B$31+'Inputs'!$B$32)/1000+'Inputs'!$B$21))/SQRT((((359-43)*MAX('Inputs'!$B$33,'Inputs'!$B$29+'Inputs'!$B$31+'Inputs'!$B$32,'Inputs'!$B$30+'Inputs'!$B$31+'Inputs'!$B$32)/1000+'Inputs'!$B$21))^2+('Inputs'!$B$8/2)^2)))-'Results'!B7*(1-'Inputs'!$B$24)*(0.5*((((359-43)*MAX('Inputs'!$B$33,'Inputs'!$B$29+'Inputs'!$B$31+'Inputs'!$B$32,'Inputs'!$B$30+'Inputs'!$B$31+'Inputs'!$B$32)/1000+'Inputs'!$B$21+'Inputs'!$B$9+'Inputs'!$B$10)+'Inputs'!$B$7)/SQRT((((359-43)*MAX('Inputs'!$B$33,'Inputs'!$B$29+'Inputs'!$B$31+'Inputs'!$B$32,'Inputs'!$B$30+'Inputs'!$B$31+'Inputs'!$B$32)/1000+'Inputs'!$B$21+'Inputs'!$B$9+'Inputs'!$B$10)+'Inputs'!$B$7)^2+('Inputs'!$B$6/2)^2)-(((359-43)*MAX('Inputs'!$B$33,'Inputs'!$B$29+'Inputs'!$B$31+'Inputs'!$B$32,'Inputs'!$B$30+'Inputs'!$B$31+'Inputs'!$B$32)/1000+'Inputs'!$B$21+'Inputs'!$B$9+'Inputs'!$B$10))/SQRT((((359-43)*MAX('Inputs'!$B$33,'Inputs'!$B$29+'Inputs'!$B$31+'Inputs'!$B$32,'Inputs'!$B$30+'Inputs'!$B$31+'Inputs'!$B$32)/1000+'Inputs'!$B$21+'Inputs'!$B$9+'Inputs'!$B$10))^2+('Inputs'!$B$6/2)^2))))*'Results'!$B$8)+'Inputs'!$B$28*ABS((('Results'!C7*(1+'Inputs'!$B$24)*(0.5*((((359-43)*MAX('Inputs'!$B$33,'Inputs'!$B$29+'Inputs'!$B$31+'Inputs'!$B$32,'Inputs'!$B$30+'Inputs'!$B$31+'Inputs'!$B$32)/1000+'Inputs'!$B$21)+'Inputs'!$B$9)/SQRT((((359-43)*MAX('Inputs'!$B$33,'Inputs'!$B$29+'Inputs'!$B$31+'Inputs'!$B$32,'Inputs'!$B$30+'Inputs'!$B$31+'Inputs'!$B$32)/1000+'Inputs'!$B$21)+'Inputs'!$B$9)^2+('Inputs'!$B$8/2)^2)-(((359-43)*MAX('Inputs'!$B$33,'Inputs'!$B$29+'Inputs'!$B$31+'Inputs'!$B$32,'Inputs'!$B$30+'Inputs'!$B$31+'Inputs'!$B$32)/1000+'Inputs'!$B$21))/SQRT((((359-43)*MAX('Inputs'!$B$33,'Inputs'!$B$29+'Inputs'!$B$31+'Inputs'!$B$32,'Inputs'!$B$30+'Inputs'!$B$31+'Inputs'!$B$32)/1000+'Inputs'!$B$21))^2+('Inputs'!$B$8/2)^2)))-'Results'!B7*(1-'Inputs'!$B$24)*(0.5*((((359-43)*MAX('Inputs'!$B$33,'Inputs'!$B$29+'Inputs'!$B$31+'Inputs'!$B$32,'Inputs'!$B$30+'Inputs'!$B$31+'Inputs'!$B$32)/1000+'Inputs'!$B$21+'Inputs'!$B$9+'Inputs'!$B$10)+'Inputs'!$B$7)/SQRT((((359-43)*MAX('Inputs'!$B$33,'Inputs'!$B$29+'Inputs'!$B$31+'Inputs'!$B$32,'Inputs'!$B$30+'Inputs'!$B$31+'Inputs'!$B$32)/1000+'Inputs'!$B$21+'Inputs'!$B$9+'Inputs'!$B$10)+'Inputs'!$B$7)^2+('Inputs'!$B$6/2)^2)-(((359-43)*MAX('Inputs'!$B$33,'Inputs'!$B$29+'Inputs'!$B$31+'Inputs'!$B$32,'Inputs'!$B$30+'Inputs'!$B$31+'Inputs'!$B$32)/1000+'Inputs'!$B$21+'Inputs'!$B$9+'Inputs'!$B$10))/SQRT((((359-43)*MAX('Inputs'!$B$33,'Inputs'!$B$29+'Inputs'!$B$31+'Inputs'!$B$32,'Inputs'!$B$30+'Inputs'!$B$31+'Inputs'!$B$32)/1000+'Inputs'!$B$21+'Inputs'!$B$9+'Inputs'!$B$10))^2+('Inputs'!$B$6/2)^2))))*'Results'!$B$8))),"")</x:f>
        <x:v>19.840680394946922</x:v>
      </x:c>
      <x:c r="P359" t="n">
        <x:f>IF(AND(MAX(J359,J358)&gt;0,J359&gt;J358+0.00000001),1,0)</x:f>
        <x:v>0</x:v>
      </x:c>
      <x:c r="Q359" t="n">
        <x:f>IF(AND(MAX(K359,K358)&gt;0,K359&gt;K358+0.00000001),1,0)</x:f>
        <x:v>0</x:v>
      </x:c>
      <x:c r="R359" t="n">
        <x:f>IF(AND(MAX(L359,L358)&gt;0,L359&gt;L358+0.00000001),1,0)</x:f>
        <x:v>0</x:v>
      </x:c>
      <x:c r="S359" t="n">
        <x:f>IF(AND(MAX(M359,M358)&gt;0,M359&gt;M358+0.00000001),1,0)</x:f>
        <x:v>0</x:v>
      </x:c>
      <x:c r="T359" t="n">
        <x:f>IF(AND(MAX(N359,N358)&gt;0,N359&gt;N358+0.00000001),1,0)</x:f>
        <x:v>0</x:v>
      </x:c>
      <x:c r="U359" t="n">
        <x:f>IF(AND(MAX(O359,O358)&gt;0,O359&gt;O358+0.00000001),1,0)</x:f>
        <x:v>0</x:v>
      </x:c>
    </x:row>
    <x:row r="360">
      <x:c r="J360" t="n">
        <x:f>IF(AND(ISNUMBER('Results'!B7),ISNUMBER('Results'!C7),ISNUMBER('Results'!$B$8),ISNUMBER('Inputs'!$B$6),ISNUMBER('Inputs'!$B$7),ISNUMBER('Inputs'!$B$8),ISNUMBER('Inputs'!$B$9),ISNUMBER('Inputs'!$B$10),ISNUMBER('Inputs'!$B$21),ISNUMBER('Inputs'!$B$24),ISNUMBER('Inputs'!$B$28)),(('Results'!B7*(0.5*((((360-43)*MAX('Inputs'!$B$33,'Inputs'!$B$29+'Inputs'!$B$31+'Inputs'!$B$32,'Inputs'!$B$30+'Inputs'!$B$31+'Inputs'!$B$32)/1000+'Inputs'!$B$21)+'Inputs'!$B$7)/SQRT((((360-43)*MAX('Inputs'!$B$33,'Inputs'!$B$29+'Inputs'!$B$31+'Inputs'!$B$32,'Inputs'!$B$30+'Inputs'!$B$31+'Inputs'!$B$32)/1000+'Inputs'!$B$21)+'Inputs'!$B$7)^2+('Inputs'!$B$6/2)^2)-(((360-43)*MAX('Inputs'!$B$33,'Inputs'!$B$29+'Inputs'!$B$31+'Inputs'!$B$32,'Inputs'!$B$30+'Inputs'!$B$31+'Inputs'!$B$32)/1000+'Inputs'!$B$21))/SQRT((((360-43)*MAX('Inputs'!$B$33,'Inputs'!$B$29+'Inputs'!$B$31+'Inputs'!$B$32,'Inputs'!$B$30+'Inputs'!$B$31+'Inputs'!$B$32)/1000+'Inputs'!$B$21))^2+('Inputs'!$B$6/2)^2)))-'Results'!C7*(0.5*((((360-43)*MAX('Inputs'!$B$33,'Inputs'!$B$29+'Inputs'!$B$31+'Inputs'!$B$32,'Inputs'!$B$30+'Inputs'!$B$31+'Inputs'!$B$32)/1000+'Inputs'!$B$21+'Inputs'!$B$7+'Inputs'!$B$10)+'Inputs'!$B$9)/SQRT((((360-43)*MAX('Inputs'!$B$33,'Inputs'!$B$29+'Inputs'!$B$31+'Inputs'!$B$32,'Inputs'!$B$30+'Inputs'!$B$31+'Inputs'!$B$32)/1000+'Inputs'!$B$21+'Inputs'!$B$7+'Inputs'!$B$10)+'Inputs'!$B$9)^2+('Inputs'!$B$8/2)^2)-(((360-43)*MAX('Inputs'!$B$33,'Inputs'!$B$29+'Inputs'!$B$31+'Inputs'!$B$32,'Inputs'!$B$30+'Inputs'!$B$31+'Inputs'!$B$32)/1000+'Inputs'!$B$21+'Inputs'!$B$7+'Inputs'!$B$10))/SQRT((((360-43)*MAX('Inputs'!$B$33,'Inputs'!$B$29+'Inputs'!$B$31+'Inputs'!$B$32,'Inputs'!$B$30+'Inputs'!$B$31+'Inputs'!$B$32)/1000+'Inputs'!$B$21+'Inputs'!$B$7+'Inputs'!$B$10))^2+('Inputs'!$B$8/2)^2))))*'Results'!$B$8),"")</x:f>
        <x:v>18.72188850639703</x:v>
      </x:c>
      <x:c r="K360" t="n">
        <x:f>IF(AND(ISNUMBER('Results'!B7),ISNUMBER('Results'!C7),ISNUMBER('Results'!$B$8),ISNUMBER('Inputs'!$B$6),ISNUMBER('Inputs'!$B$7),ISNUMBER('Inputs'!$B$8),ISNUMBER('Inputs'!$B$9),ISNUMBER('Inputs'!$B$10),ISNUMBER('Inputs'!$B$21),ISNUMBER('Inputs'!$B$24),ISNUMBER('Inputs'!$B$28)),((('Results'!B7*(1-'Inputs'!$B$24)*(0.5*((((360-43)*MAX('Inputs'!$B$33,'Inputs'!$B$29+'Inputs'!$B$31+'Inputs'!$B$32,'Inputs'!$B$30+'Inputs'!$B$31+'Inputs'!$B$32)/1000+'Inputs'!$B$21)+'Inputs'!$B$7)/SQRT((((360-43)*MAX('Inputs'!$B$33,'Inputs'!$B$29+'Inputs'!$B$31+'Inputs'!$B$32,'Inputs'!$B$30+'Inputs'!$B$31+'Inputs'!$B$32)/1000+'Inputs'!$B$21)+'Inputs'!$B$7)^2+('Inputs'!$B$6/2)^2)-(((360-43)*MAX('Inputs'!$B$33,'Inputs'!$B$29+'Inputs'!$B$31+'Inputs'!$B$32,'Inputs'!$B$30+'Inputs'!$B$31+'Inputs'!$B$32)/1000+'Inputs'!$B$21))/SQRT((((360-43)*MAX('Inputs'!$B$33,'Inputs'!$B$29+'Inputs'!$B$31+'Inputs'!$B$32,'Inputs'!$B$30+'Inputs'!$B$31+'Inputs'!$B$32)/1000+'Inputs'!$B$21))^2+('Inputs'!$B$6/2)^2)))-'Results'!C7*(1+'Inputs'!$B$24)*(0.5*((((360-43)*MAX('Inputs'!$B$33,'Inputs'!$B$29+'Inputs'!$B$31+'Inputs'!$B$32,'Inputs'!$B$30+'Inputs'!$B$31+'Inputs'!$B$32)/1000+'Inputs'!$B$21+'Inputs'!$B$7+'Inputs'!$B$10)+'Inputs'!$B$9)/SQRT((((360-43)*MAX('Inputs'!$B$33,'Inputs'!$B$29+'Inputs'!$B$31+'Inputs'!$B$32,'Inputs'!$B$30+'Inputs'!$B$31+'Inputs'!$B$32)/1000+'Inputs'!$B$21+'Inputs'!$B$7+'Inputs'!$B$10)+'Inputs'!$B$9)^2+('Inputs'!$B$8/2)^2)-(((360-43)*MAX('Inputs'!$B$33,'Inputs'!$B$29+'Inputs'!$B$31+'Inputs'!$B$32,'Inputs'!$B$30+'Inputs'!$B$31+'Inputs'!$B$32)/1000+'Inputs'!$B$21+'Inputs'!$B$7+'Inputs'!$B$10))/SQRT((((360-43)*MAX('Inputs'!$B$33,'Inputs'!$B$29+'Inputs'!$B$31+'Inputs'!$B$32,'Inputs'!$B$30+'Inputs'!$B$31+'Inputs'!$B$32)/1000+'Inputs'!$B$21+'Inputs'!$B$7+'Inputs'!$B$10))^2+('Inputs'!$B$8/2)^2))))*'Results'!$B$8)-'Inputs'!$B$28*ABS((('Results'!B7*(1-'Inputs'!$B$24)*(0.5*((((360-43)*MAX('Inputs'!$B$33,'Inputs'!$B$29+'Inputs'!$B$31+'Inputs'!$B$32,'Inputs'!$B$30+'Inputs'!$B$31+'Inputs'!$B$32)/1000+'Inputs'!$B$21)+'Inputs'!$B$7)/SQRT((((360-43)*MAX('Inputs'!$B$33,'Inputs'!$B$29+'Inputs'!$B$31+'Inputs'!$B$32,'Inputs'!$B$30+'Inputs'!$B$31+'Inputs'!$B$32)/1000+'Inputs'!$B$21)+'Inputs'!$B$7)^2+('Inputs'!$B$6/2)^2)-(((360-43)*MAX('Inputs'!$B$33,'Inputs'!$B$29+'Inputs'!$B$31+'Inputs'!$B$32,'Inputs'!$B$30+'Inputs'!$B$31+'Inputs'!$B$32)/1000+'Inputs'!$B$21))/SQRT((((360-43)*MAX('Inputs'!$B$33,'Inputs'!$B$29+'Inputs'!$B$31+'Inputs'!$B$32,'Inputs'!$B$30+'Inputs'!$B$31+'Inputs'!$B$32)/1000+'Inputs'!$B$21))^2+('Inputs'!$B$6/2)^2)))-'Results'!C7*(1+'Inputs'!$B$24)*(0.5*((((360-43)*MAX('Inputs'!$B$33,'Inputs'!$B$29+'Inputs'!$B$31+'Inputs'!$B$32,'Inputs'!$B$30+'Inputs'!$B$31+'Inputs'!$B$32)/1000+'Inputs'!$B$21+'Inputs'!$B$7+'Inputs'!$B$10)+'Inputs'!$B$9)/SQRT((((360-43)*MAX('Inputs'!$B$33,'Inputs'!$B$29+'Inputs'!$B$31+'Inputs'!$B$32,'Inputs'!$B$30+'Inputs'!$B$31+'Inputs'!$B$32)/1000+'Inputs'!$B$21+'Inputs'!$B$7+'Inputs'!$B$10)+'Inputs'!$B$9)^2+('Inputs'!$B$8/2)^2)-(((360-43)*MAX('Inputs'!$B$33,'Inputs'!$B$29+'Inputs'!$B$31+'Inputs'!$B$32,'Inputs'!$B$30+'Inputs'!$B$31+'Inputs'!$B$32)/1000+'Inputs'!$B$21+'Inputs'!$B$7+'Inputs'!$B$10))/SQRT((((360-43)*MAX('Inputs'!$B$33,'Inputs'!$B$29+'Inputs'!$B$31+'Inputs'!$B$32,'Inputs'!$B$30+'Inputs'!$B$31+'Inputs'!$B$32)/1000+'Inputs'!$B$21+'Inputs'!$B$7+'Inputs'!$B$10))^2+('Inputs'!$B$8/2)^2))))*'Results'!$B$8))),"")</x:f>
        <x:v>16.913934402863045</x:v>
      </x:c>
      <x:c r="L360" t="n">
        <x:f>IF(AND(ISNUMBER('Results'!B7),ISNUMBER('Results'!C7),ISNUMBER('Results'!$B$8),ISNUMBER('Inputs'!$B$6),ISNUMBER('Inputs'!$B$7),ISNUMBER('Inputs'!$B$8),ISNUMBER('Inputs'!$B$9),ISNUMBER('Inputs'!$B$10),ISNUMBER('Inputs'!$B$21),ISNUMBER('Inputs'!$B$24),ISNUMBER('Inputs'!$B$28)),((('Results'!B7*(1+'Inputs'!$B$24)*(0.5*((((360-43)*MAX('Inputs'!$B$33,'Inputs'!$B$29+'Inputs'!$B$31+'Inputs'!$B$32,'Inputs'!$B$30+'Inputs'!$B$31+'Inputs'!$B$32)/1000+'Inputs'!$B$21)+'Inputs'!$B$7)/SQRT((((360-43)*MAX('Inputs'!$B$33,'Inputs'!$B$29+'Inputs'!$B$31+'Inputs'!$B$32,'Inputs'!$B$30+'Inputs'!$B$31+'Inputs'!$B$32)/1000+'Inputs'!$B$21)+'Inputs'!$B$7)^2+('Inputs'!$B$6/2)^2)-(((360-43)*MAX('Inputs'!$B$33,'Inputs'!$B$29+'Inputs'!$B$31+'Inputs'!$B$32,'Inputs'!$B$30+'Inputs'!$B$31+'Inputs'!$B$32)/1000+'Inputs'!$B$21))/SQRT((((360-43)*MAX('Inputs'!$B$33,'Inputs'!$B$29+'Inputs'!$B$31+'Inputs'!$B$32,'Inputs'!$B$30+'Inputs'!$B$31+'Inputs'!$B$32)/1000+'Inputs'!$B$21))^2+('Inputs'!$B$6/2)^2)))-'Results'!C7*(1-'Inputs'!$B$24)*(0.5*((((360-43)*MAX('Inputs'!$B$33,'Inputs'!$B$29+'Inputs'!$B$31+'Inputs'!$B$32,'Inputs'!$B$30+'Inputs'!$B$31+'Inputs'!$B$32)/1000+'Inputs'!$B$21+'Inputs'!$B$7+'Inputs'!$B$10)+'Inputs'!$B$9)/SQRT((((360-43)*MAX('Inputs'!$B$33,'Inputs'!$B$29+'Inputs'!$B$31+'Inputs'!$B$32,'Inputs'!$B$30+'Inputs'!$B$31+'Inputs'!$B$32)/1000+'Inputs'!$B$21+'Inputs'!$B$7+'Inputs'!$B$10)+'Inputs'!$B$9)^2+('Inputs'!$B$8/2)^2)-(((360-43)*MAX('Inputs'!$B$33,'Inputs'!$B$29+'Inputs'!$B$31+'Inputs'!$B$32,'Inputs'!$B$30+'Inputs'!$B$31+'Inputs'!$B$32)/1000+'Inputs'!$B$21+'Inputs'!$B$7+'Inputs'!$B$10))/SQRT((((360-43)*MAX('Inputs'!$B$33,'Inputs'!$B$29+'Inputs'!$B$31+'Inputs'!$B$32,'Inputs'!$B$30+'Inputs'!$B$31+'Inputs'!$B$32)/1000+'Inputs'!$B$21+'Inputs'!$B$7+'Inputs'!$B$10))^2+('Inputs'!$B$8/2)^2))))*'Results'!$B$8)+'Inputs'!$B$28*ABS((('Results'!B7*(1+'Inputs'!$B$24)*(0.5*((((360-43)*MAX('Inputs'!$B$33,'Inputs'!$B$29+'Inputs'!$B$31+'Inputs'!$B$32,'Inputs'!$B$30+'Inputs'!$B$31+'Inputs'!$B$32)/1000+'Inputs'!$B$21)+'Inputs'!$B$7)/SQRT((((360-43)*MAX('Inputs'!$B$33,'Inputs'!$B$29+'Inputs'!$B$31+'Inputs'!$B$32,'Inputs'!$B$30+'Inputs'!$B$31+'Inputs'!$B$32)/1000+'Inputs'!$B$21)+'Inputs'!$B$7)^2+('Inputs'!$B$6/2)^2)-(((360-43)*MAX('Inputs'!$B$33,'Inputs'!$B$29+'Inputs'!$B$31+'Inputs'!$B$32,'Inputs'!$B$30+'Inputs'!$B$31+'Inputs'!$B$32)/1000+'Inputs'!$B$21))/SQRT((((360-43)*MAX('Inputs'!$B$33,'Inputs'!$B$29+'Inputs'!$B$31+'Inputs'!$B$32,'Inputs'!$B$30+'Inputs'!$B$31+'Inputs'!$B$32)/1000+'Inputs'!$B$21))^2+('Inputs'!$B$6/2)^2)))-'Results'!C7*(1-'Inputs'!$B$24)*(0.5*((((360-43)*MAX('Inputs'!$B$33,'Inputs'!$B$29+'Inputs'!$B$31+'Inputs'!$B$32,'Inputs'!$B$30+'Inputs'!$B$31+'Inputs'!$B$32)/1000+'Inputs'!$B$21+'Inputs'!$B$7+'Inputs'!$B$10)+'Inputs'!$B$9)/SQRT((((360-43)*MAX('Inputs'!$B$33,'Inputs'!$B$29+'Inputs'!$B$31+'Inputs'!$B$32,'Inputs'!$B$30+'Inputs'!$B$31+'Inputs'!$B$32)/1000+'Inputs'!$B$21+'Inputs'!$B$7+'Inputs'!$B$10)+'Inputs'!$B$9)^2+('Inputs'!$B$8/2)^2)-(((360-43)*MAX('Inputs'!$B$33,'Inputs'!$B$29+'Inputs'!$B$31+'Inputs'!$B$32,'Inputs'!$B$30+'Inputs'!$B$31+'Inputs'!$B$32)/1000+'Inputs'!$B$21+'Inputs'!$B$7+'Inputs'!$B$10))/SQRT((((360-43)*MAX('Inputs'!$B$33,'Inputs'!$B$29+'Inputs'!$B$31+'Inputs'!$B$32,'Inputs'!$B$30+'Inputs'!$B$31+'Inputs'!$B$32)/1000+'Inputs'!$B$21+'Inputs'!$B$7+'Inputs'!$B$10))^2+('Inputs'!$B$8/2)^2))))*'Results'!$B$8))),"")</x:f>
        <x:v>20.621617312900923</x:v>
      </x:c>
      <x:c r="M360" t="n">
        <x:f>IF(AND(ISNUMBER('Results'!C7),ISNUMBER('Results'!B7),ISNUMBER('Results'!$B$8),ISNUMBER('Inputs'!$B$6),ISNUMBER('Inputs'!$B$7),ISNUMBER('Inputs'!$B$8),ISNUMBER('Inputs'!$B$9),ISNUMBER('Inputs'!$B$10),ISNUMBER('Inputs'!$B$21),ISNUMBER('Inputs'!$B$24),ISNUMBER('Inputs'!$B$28)),(('Results'!C7*(0.5*((((360-43)*MAX('Inputs'!$B$33,'Inputs'!$B$29+'Inputs'!$B$31+'Inputs'!$B$32,'Inputs'!$B$30+'Inputs'!$B$31+'Inputs'!$B$32)/1000+'Inputs'!$B$21)+'Inputs'!$B$9)/SQRT((((360-43)*MAX('Inputs'!$B$33,'Inputs'!$B$29+'Inputs'!$B$31+'Inputs'!$B$32,'Inputs'!$B$30+'Inputs'!$B$31+'Inputs'!$B$32)/1000+'Inputs'!$B$21)+'Inputs'!$B$9)^2+('Inputs'!$B$8/2)^2)-(((360-43)*MAX('Inputs'!$B$33,'Inputs'!$B$29+'Inputs'!$B$31+'Inputs'!$B$32,'Inputs'!$B$30+'Inputs'!$B$31+'Inputs'!$B$32)/1000+'Inputs'!$B$21))/SQRT((((360-43)*MAX('Inputs'!$B$33,'Inputs'!$B$29+'Inputs'!$B$31+'Inputs'!$B$32,'Inputs'!$B$30+'Inputs'!$B$31+'Inputs'!$B$32)/1000+'Inputs'!$B$21))^2+('Inputs'!$B$8/2)^2)))-'Results'!B7*(0.5*((((360-43)*MAX('Inputs'!$B$33,'Inputs'!$B$29+'Inputs'!$B$31+'Inputs'!$B$32,'Inputs'!$B$30+'Inputs'!$B$31+'Inputs'!$B$32)/1000+'Inputs'!$B$21+'Inputs'!$B$9+'Inputs'!$B$10)+'Inputs'!$B$7)/SQRT((((360-43)*MAX('Inputs'!$B$33,'Inputs'!$B$29+'Inputs'!$B$31+'Inputs'!$B$32,'Inputs'!$B$30+'Inputs'!$B$31+'Inputs'!$B$32)/1000+'Inputs'!$B$21+'Inputs'!$B$9+'Inputs'!$B$10)+'Inputs'!$B$7)^2+('Inputs'!$B$6/2)^2)-(((360-43)*MAX('Inputs'!$B$33,'Inputs'!$B$29+'Inputs'!$B$31+'Inputs'!$B$32,'Inputs'!$B$30+'Inputs'!$B$31+'Inputs'!$B$32)/1000+'Inputs'!$B$21+'Inputs'!$B$9+'Inputs'!$B$10))/SQRT((((360-43)*MAX('Inputs'!$B$33,'Inputs'!$B$29+'Inputs'!$B$31+'Inputs'!$B$32,'Inputs'!$B$30+'Inputs'!$B$31+'Inputs'!$B$32)/1000+'Inputs'!$B$21+'Inputs'!$B$9+'Inputs'!$B$10))^2+('Inputs'!$B$6/2)^2))))*'Results'!$B$8),"")</x:f>
        <x:v>17.7985975046615</x:v>
      </x:c>
      <x:c r="N360" t="n">
        <x:f>IF(AND(ISNUMBER('Results'!C7),ISNUMBER('Results'!B7),ISNUMBER('Results'!$B$8),ISNUMBER('Inputs'!$B$6),ISNUMBER('Inputs'!$B$7),ISNUMBER('Inputs'!$B$8),ISNUMBER('Inputs'!$B$9),ISNUMBER('Inputs'!$B$10),ISNUMBER('Inputs'!$B$21),ISNUMBER('Inputs'!$B$24),ISNUMBER('Inputs'!$B$28)),((('Results'!C7*(1-'Inputs'!$B$24)*(0.5*((((360-43)*MAX('Inputs'!$B$33,'Inputs'!$B$29+'Inputs'!$B$31+'Inputs'!$B$32,'Inputs'!$B$30+'Inputs'!$B$31+'Inputs'!$B$32)/1000+'Inputs'!$B$21)+'Inputs'!$B$9)/SQRT((((360-43)*MAX('Inputs'!$B$33,'Inputs'!$B$29+'Inputs'!$B$31+'Inputs'!$B$32,'Inputs'!$B$30+'Inputs'!$B$31+'Inputs'!$B$32)/1000+'Inputs'!$B$21)+'Inputs'!$B$9)^2+('Inputs'!$B$8/2)^2)-(((360-43)*MAX('Inputs'!$B$33,'Inputs'!$B$29+'Inputs'!$B$31+'Inputs'!$B$32,'Inputs'!$B$30+'Inputs'!$B$31+'Inputs'!$B$32)/1000+'Inputs'!$B$21))/SQRT((((360-43)*MAX('Inputs'!$B$33,'Inputs'!$B$29+'Inputs'!$B$31+'Inputs'!$B$32,'Inputs'!$B$30+'Inputs'!$B$31+'Inputs'!$B$32)/1000+'Inputs'!$B$21))^2+('Inputs'!$B$8/2)^2)))-'Results'!B7*(1+'Inputs'!$B$24)*(0.5*((((360-43)*MAX('Inputs'!$B$33,'Inputs'!$B$29+'Inputs'!$B$31+'Inputs'!$B$32,'Inputs'!$B$30+'Inputs'!$B$31+'Inputs'!$B$32)/1000+'Inputs'!$B$21+'Inputs'!$B$9+'Inputs'!$B$10)+'Inputs'!$B$7)/SQRT((((360-43)*MAX('Inputs'!$B$33,'Inputs'!$B$29+'Inputs'!$B$31+'Inputs'!$B$32,'Inputs'!$B$30+'Inputs'!$B$31+'Inputs'!$B$32)/1000+'Inputs'!$B$21+'Inputs'!$B$9+'Inputs'!$B$10)+'Inputs'!$B$7)^2+('Inputs'!$B$6/2)^2)-(((360-43)*MAX('Inputs'!$B$33,'Inputs'!$B$29+'Inputs'!$B$31+'Inputs'!$B$32,'Inputs'!$B$30+'Inputs'!$B$31+'Inputs'!$B$32)/1000+'Inputs'!$B$21+'Inputs'!$B$9+'Inputs'!$B$10))/SQRT((((360-43)*MAX('Inputs'!$B$33,'Inputs'!$B$29+'Inputs'!$B$31+'Inputs'!$B$32,'Inputs'!$B$30+'Inputs'!$B$31+'Inputs'!$B$32)/1000+'Inputs'!$B$21+'Inputs'!$B$9+'Inputs'!$B$10))^2+('Inputs'!$B$6/2)^2))))*'Results'!$B$8)-'Inputs'!$B$28*ABS((('Results'!C7*(1-'Inputs'!$B$24)*(0.5*((((360-43)*MAX('Inputs'!$B$33,'Inputs'!$B$29+'Inputs'!$B$31+'Inputs'!$B$32,'Inputs'!$B$30+'Inputs'!$B$31+'Inputs'!$B$32)/1000+'Inputs'!$B$21)+'Inputs'!$B$9)/SQRT((((360-43)*MAX('Inputs'!$B$33,'Inputs'!$B$29+'Inputs'!$B$31+'Inputs'!$B$32,'Inputs'!$B$30+'Inputs'!$B$31+'Inputs'!$B$32)/1000+'Inputs'!$B$21)+'Inputs'!$B$9)^2+('Inputs'!$B$8/2)^2)-(((360-43)*MAX('Inputs'!$B$33,'Inputs'!$B$29+'Inputs'!$B$31+'Inputs'!$B$32,'Inputs'!$B$30+'Inputs'!$B$31+'Inputs'!$B$32)/1000+'Inputs'!$B$21))/SQRT((((360-43)*MAX('Inputs'!$B$33,'Inputs'!$B$29+'Inputs'!$B$31+'Inputs'!$B$32,'Inputs'!$B$30+'Inputs'!$B$31+'Inputs'!$B$32)/1000+'Inputs'!$B$21))^2+('Inputs'!$B$8/2)^2)))-'Results'!B7*(1+'Inputs'!$B$24)*(0.5*((((360-43)*MAX('Inputs'!$B$33,'Inputs'!$B$29+'Inputs'!$B$31+'Inputs'!$B$32,'Inputs'!$B$30+'Inputs'!$B$31+'Inputs'!$B$32)/1000+'Inputs'!$B$21+'Inputs'!$B$9+'Inputs'!$B$10)+'Inputs'!$B$7)/SQRT((((360-43)*MAX('Inputs'!$B$33,'Inputs'!$B$29+'Inputs'!$B$31+'Inputs'!$B$32,'Inputs'!$B$30+'Inputs'!$B$31+'Inputs'!$B$32)/1000+'Inputs'!$B$21+'Inputs'!$B$9+'Inputs'!$B$10)+'Inputs'!$B$7)^2+('Inputs'!$B$6/2)^2)-(((360-43)*MAX('Inputs'!$B$33,'Inputs'!$B$29+'Inputs'!$B$31+'Inputs'!$B$32,'Inputs'!$B$30+'Inputs'!$B$31+'Inputs'!$B$32)/1000+'Inputs'!$B$21+'Inputs'!$B$9+'Inputs'!$B$10))/SQRT((((360-43)*MAX('Inputs'!$B$33,'Inputs'!$B$29+'Inputs'!$B$31+'Inputs'!$B$32,'Inputs'!$B$30+'Inputs'!$B$31+'Inputs'!$B$32)/1000+'Inputs'!$B$21+'Inputs'!$B$9+'Inputs'!$B$10))^2+('Inputs'!$B$6/2)^2))))*'Results'!$B$8))),"")</x:f>
        <x:v>16.04381693337803</x:v>
      </x:c>
      <x:c r="O360" t="n">
        <x:f>IF(AND(ISNUMBER('Results'!C7),ISNUMBER('Results'!B7),ISNUMBER('Results'!$B$8),ISNUMBER('Inputs'!$B$6),ISNUMBER('Inputs'!$B$7),ISNUMBER('Inputs'!$B$8),ISNUMBER('Inputs'!$B$9),ISNUMBER('Inputs'!$B$10),ISNUMBER('Inputs'!$B$21),ISNUMBER('Inputs'!$B$24),ISNUMBER('Inputs'!$B$28)),((('Results'!C7*(1+'Inputs'!$B$24)*(0.5*((((360-43)*MAX('Inputs'!$B$33,'Inputs'!$B$29+'Inputs'!$B$31+'Inputs'!$B$32,'Inputs'!$B$30+'Inputs'!$B$31+'Inputs'!$B$32)/1000+'Inputs'!$B$21)+'Inputs'!$B$9)/SQRT((((360-43)*MAX('Inputs'!$B$33,'Inputs'!$B$29+'Inputs'!$B$31+'Inputs'!$B$32,'Inputs'!$B$30+'Inputs'!$B$31+'Inputs'!$B$32)/1000+'Inputs'!$B$21)+'Inputs'!$B$9)^2+('Inputs'!$B$8/2)^2)-(((360-43)*MAX('Inputs'!$B$33,'Inputs'!$B$29+'Inputs'!$B$31+'Inputs'!$B$32,'Inputs'!$B$30+'Inputs'!$B$31+'Inputs'!$B$32)/1000+'Inputs'!$B$21))/SQRT((((360-43)*MAX('Inputs'!$B$33,'Inputs'!$B$29+'Inputs'!$B$31+'Inputs'!$B$32,'Inputs'!$B$30+'Inputs'!$B$31+'Inputs'!$B$32)/1000+'Inputs'!$B$21))^2+('Inputs'!$B$8/2)^2)))-'Results'!B7*(1-'Inputs'!$B$24)*(0.5*((((360-43)*MAX('Inputs'!$B$33,'Inputs'!$B$29+'Inputs'!$B$31+'Inputs'!$B$32,'Inputs'!$B$30+'Inputs'!$B$31+'Inputs'!$B$32)/1000+'Inputs'!$B$21+'Inputs'!$B$9+'Inputs'!$B$10)+'Inputs'!$B$7)/SQRT((((360-43)*MAX('Inputs'!$B$33,'Inputs'!$B$29+'Inputs'!$B$31+'Inputs'!$B$32,'Inputs'!$B$30+'Inputs'!$B$31+'Inputs'!$B$32)/1000+'Inputs'!$B$21+'Inputs'!$B$9+'Inputs'!$B$10)+'Inputs'!$B$7)^2+('Inputs'!$B$6/2)^2)-(((360-43)*MAX('Inputs'!$B$33,'Inputs'!$B$29+'Inputs'!$B$31+'Inputs'!$B$32,'Inputs'!$B$30+'Inputs'!$B$31+'Inputs'!$B$32)/1000+'Inputs'!$B$21+'Inputs'!$B$9+'Inputs'!$B$10))/SQRT((((360-43)*MAX('Inputs'!$B$33,'Inputs'!$B$29+'Inputs'!$B$31+'Inputs'!$B$32,'Inputs'!$B$30+'Inputs'!$B$31+'Inputs'!$B$32)/1000+'Inputs'!$B$21+'Inputs'!$B$9+'Inputs'!$B$10))^2+('Inputs'!$B$6/2)^2))))*'Results'!$B$8)+'Inputs'!$B$28*ABS((('Results'!C7*(1+'Inputs'!$B$24)*(0.5*((((360-43)*MAX('Inputs'!$B$33,'Inputs'!$B$29+'Inputs'!$B$31+'Inputs'!$B$32,'Inputs'!$B$30+'Inputs'!$B$31+'Inputs'!$B$32)/1000+'Inputs'!$B$21)+'Inputs'!$B$9)/SQRT((((360-43)*MAX('Inputs'!$B$33,'Inputs'!$B$29+'Inputs'!$B$31+'Inputs'!$B$32,'Inputs'!$B$30+'Inputs'!$B$31+'Inputs'!$B$32)/1000+'Inputs'!$B$21)+'Inputs'!$B$9)^2+('Inputs'!$B$8/2)^2)-(((360-43)*MAX('Inputs'!$B$33,'Inputs'!$B$29+'Inputs'!$B$31+'Inputs'!$B$32,'Inputs'!$B$30+'Inputs'!$B$31+'Inputs'!$B$32)/1000+'Inputs'!$B$21))/SQRT((((360-43)*MAX('Inputs'!$B$33,'Inputs'!$B$29+'Inputs'!$B$31+'Inputs'!$B$32,'Inputs'!$B$30+'Inputs'!$B$31+'Inputs'!$B$32)/1000+'Inputs'!$B$21))^2+('Inputs'!$B$8/2)^2)))-'Results'!B7*(1-'Inputs'!$B$24)*(0.5*((((360-43)*MAX('Inputs'!$B$33,'Inputs'!$B$29+'Inputs'!$B$31+'Inputs'!$B$32,'Inputs'!$B$30+'Inputs'!$B$31+'Inputs'!$B$32)/1000+'Inputs'!$B$21+'Inputs'!$B$9+'Inputs'!$B$10)+'Inputs'!$B$7)/SQRT((((360-43)*MAX('Inputs'!$B$33,'Inputs'!$B$29+'Inputs'!$B$31+'Inputs'!$B$32,'Inputs'!$B$30+'Inputs'!$B$31+'Inputs'!$B$32)/1000+'Inputs'!$B$21+'Inputs'!$B$9+'Inputs'!$B$10)+'Inputs'!$B$7)^2+('Inputs'!$B$6/2)^2)-(((360-43)*MAX('Inputs'!$B$33,'Inputs'!$B$29+'Inputs'!$B$31+'Inputs'!$B$32,'Inputs'!$B$30+'Inputs'!$B$31+'Inputs'!$B$32)/1000+'Inputs'!$B$21+'Inputs'!$B$9+'Inputs'!$B$10))/SQRT((((360-43)*MAX('Inputs'!$B$33,'Inputs'!$B$29+'Inputs'!$B$31+'Inputs'!$B$32,'Inputs'!$B$30+'Inputs'!$B$31+'Inputs'!$B$32)/1000+'Inputs'!$B$21+'Inputs'!$B$9+'Inputs'!$B$10))^2+('Inputs'!$B$6/2)^2))))*'Results'!$B$8))),"")</x:f>
        <x:v>19.644414991318705</x:v>
      </x:c>
      <x:c r="P360" t="n">
        <x:f>IF(AND(MAX(J360,J359)&gt;0,J360&gt;J359+0.00000001),1,0)</x:f>
        <x:v>0</x:v>
      </x:c>
      <x:c r="Q360" t="n">
        <x:f>IF(AND(MAX(K360,K359)&gt;0,K360&gt;K359+0.00000001),1,0)</x:f>
        <x:v>0</x:v>
      </x:c>
      <x:c r="R360" t="n">
        <x:f>IF(AND(MAX(L360,L359)&gt;0,L360&gt;L359+0.00000001),1,0)</x:f>
        <x:v>0</x:v>
      </x:c>
      <x:c r="S360" t="n">
        <x:f>IF(AND(MAX(M360,M359)&gt;0,M360&gt;M359+0.00000001),1,0)</x:f>
        <x:v>0</x:v>
      </x:c>
      <x:c r="T360" t="n">
        <x:f>IF(AND(MAX(N360,N359)&gt;0,N360&gt;N359+0.00000001),1,0)</x:f>
        <x:v>0</x:v>
      </x:c>
      <x:c r="U360" t="n">
        <x:f>IF(AND(MAX(O360,O359)&gt;0,O360&gt;O359+0.00000001),1,0)</x:f>
        <x:v>0</x:v>
      </x:c>
    </x:row>
    <x:row r="361">
      <x:c r="J361" t="n">
        <x:f>IF(AND(ISNUMBER('Results'!B7),ISNUMBER('Results'!C7),ISNUMBER('Results'!$B$8),ISNUMBER('Inputs'!$B$6),ISNUMBER('Inputs'!$B$7),ISNUMBER('Inputs'!$B$8),ISNUMBER('Inputs'!$B$9),ISNUMBER('Inputs'!$B$10),ISNUMBER('Inputs'!$B$21),ISNUMBER('Inputs'!$B$24),ISNUMBER('Inputs'!$B$28)),(('Results'!B7*(0.5*((((361-43)*MAX('Inputs'!$B$33,'Inputs'!$B$29+'Inputs'!$B$31+'Inputs'!$B$32,'Inputs'!$B$30+'Inputs'!$B$31+'Inputs'!$B$32)/1000+'Inputs'!$B$21)+'Inputs'!$B$7)/SQRT((((361-43)*MAX('Inputs'!$B$33,'Inputs'!$B$29+'Inputs'!$B$31+'Inputs'!$B$32,'Inputs'!$B$30+'Inputs'!$B$31+'Inputs'!$B$32)/1000+'Inputs'!$B$21)+'Inputs'!$B$7)^2+('Inputs'!$B$6/2)^2)-(((361-43)*MAX('Inputs'!$B$33,'Inputs'!$B$29+'Inputs'!$B$31+'Inputs'!$B$32,'Inputs'!$B$30+'Inputs'!$B$31+'Inputs'!$B$32)/1000+'Inputs'!$B$21))/SQRT((((361-43)*MAX('Inputs'!$B$33,'Inputs'!$B$29+'Inputs'!$B$31+'Inputs'!$B$32,'Inputs'!$B$30+'Inputs'!$B$31+'Inputs'!$B$32)/1000+'Inputs'!$B$21))^2+('Inputs'!$B$6/2)^2)))-'Results'!C7*(0.5*((((361-43)*MAX('Inputs'!$B$33,'Inputs'!$B$29+'Inputs'!$B$31+'Inputs'!$B$32,'Inputs'!$B$30+'Inputs'!$B$31+'Inputs'!$B$32)/1000+'Inputs'!$B$21+'Inputs'!$B$7+'Inputs'!$B$10)+'Inputs'!$B$9)/SQRT((((361-43)*MAX('Inputs'!$B$33,'Inputs'!$B$29+'Inputs'!$B$31+'Inputs'!$B$32,'Inputs'!$B$30+'Inputs'!$B$31+'Inputs'!$B$32)/1000+'Inputs'!$B$21+'Inputs'!$B$7+'Inputs'!$B$10)+'Inputs'!$B$9)^2+('Inputs'!$B$8/2)^2)-(((361-43)*MAX('Inputs'!$B$33,'Inputs'!$B$29+'Inputs'!$B$31+'Inputs'!$B$32,'Inputs'!$B$30+'Inputs'!$B$31+'Inputs'!$B$32)/1000+'Inputs'!$B$21+'Inputs'!$B$7+'Inputs'!$B$10))/SQRT((((361-43)*MAX('Inputs'!$B$33,'Inputs'!$B$29+'Inputs'!$B$31+'Inputs'!$B$32,'Inputs'!$B$30+'Inputs'!$B$31+'Inputs'!$B$32)/1000+'Inputs'!$B$21+'Inputs'!$B$7+'Inputs'!$B$10))^2+('Inputs'!$B$8/2)^2))))*'Results'!$B$8),"")</x:f>
        <x:v>18.537158092652355</x:v>
      </x:c>
      <x:c r="K361" t="n">
        <x:f>IF(AND(ISNUMBER('Results'!B7),ISNUMBER('Results'!C7),ISNUMBER('Results'!$B$8),ISNUMBER('Inputs'!$B$6),ISNUMBER('Inputs'!$B$7),ISNUMBER('Inputs'!$B$8),ISNUMBER('Inputs'!$B$9),ISNUMBER('Inputs'!$B$10),ISNUMBER('Inputs'!$B$21),ISNUMBER('Inputs'!$B$24),ISNUMBER('Inputs'!$B$28)),((('Results'!B7*(1-'Inputs'!$B$24)*(0.5*((((361-43)*MAX('Inputs'!$B$33,'Inputs'!$B$29+'Inputs'!$B$31+'Inputs'!$B$32,'Inputs'!$B$30+'Inputs'!$B$31+'Inputs'!$B$32)/1000+'Inputs'!$B$21)+'Inputs'!$B$7)/SQRT((((361-43)*MAX('Inputs'!$B$33,'Inputs'!$B$29+'Inputs'!$B$31+'Inputs'!$B$32,'Inputs'!$B$30+'Inputs'!$B$31+'Inputs'!$B$32)/1000+'Inputs'!$B$21)+'Inputs'!$B$7)^2+('Inputs'!$B$6/2)^2)-(((361-43)*MAX('Inputs'!$B$33,'Inputs'!$B$29+'Inputs'!$B$31+'Inputs'!$B$32,'Inputs'!$B$30+'Inputs'!$B$31+'Inputs'!$B$32)/1000+'Inputs'!$B$21))/SQRT((((361-43)*MAX('Inputs'!$B$33,'Inputs'!$B$29+'Inputs'!$B$31+'Inputs'!$B$32,'Inputs'!$B$30+'Inputs'!$B$31+'Inputs'!$B$32)/1000+'Inputs'!$B$21))^2+('Inputs'!$B$6/2)^2)))-'Results'!C7*(1+'Inputs'!$B$24)*(0.5*((((361-43)*MAX('Inputs'!$B$33,'Inputs'!$B$29+'Inputs'!$B$31+'Inputs'!$B$32,'Inputs'!$B$30+'Inputs'!$B$31+'Inputs'!$B$32)/1000+'Inputs'!$B$21+'Inputs'!$B$7+'Inputs'!$B$10)+'Inputs'!$B$9)/SQRT((((361-43)*MAX('Inputs'!$B$33,'Inputs'!$B$29+'Inputs'!$B$31+'Inputs'!$B$32,'Inputs'!$B$30+'Inputs'!$B$31+'Inputs'!$B$32)/1000+'Inputs'!$B$21+'Inputs'!$B$7+'Inputs'!$B$10)+'Inputs'!$B$9)^2+('Inputs'!$B$8/2)^2)-(((361-43)*MAX('Inputs'!$B$33,'Inputs'!$B$29+'Inputs'!$B$31+'Inputs'!$B$32,'Inputs'!$B$30+'Inputs'!$B$31+'Inputs'!$B$32)/1000+'Inputs'!$B$21+'Inputs'!$B$7+'Inputs'!$B$10))/SQRT((((361-43)*MAX('Inputs'!$B$33,'Inputs'!$B$29+'Inputs'!$B$31+'Inputs'!$B$32,'Inputs'!$B$30+'Inputs'!$B$31+'Inputs'!$B$32)/1000+'Inputs'!$B$21+'Inputs'!$B$7+'Inputs'!$B$10))^2+('Inputs'!$B$8/2)^2))))*'Results'!$B$8)-'Inputs'!$B$28*ABS((('Results'!B7*(1-'Inputs'!$B$24)*(0.5*((((361-43)*MAX('Inputs'!$B$33,'Inputs'!$B$29+'Inputs'!$B$31+'Inputs'!$B$32,'Inputs'!$B$30+'Inputs'!$B$31+'Inputs'!$B$32)/1000+'Inputs'!$B$21)+'Inputs'!$B$7)/SQRT((((361-43)*MAX('Inputs'!$B$33,'Inputs'!$B$29+'Inputs'!$B$31+'Inputs'!$B$32,'Inputs'!$B$30+'Inputs'!$B$31+'Inputs'!$B$32)/1000+'Inputs'!$B$21)+'Inputs'!$B$7)^2+('Inputs'!$B$6/2)^2)-(((361-43)*MAX('Inputs'!$B$33,'Inputs'!$B$29+'Inputs'!$B$31+'Inputs'!$B$32,'Inputs'!$B$30+'Inputs'!$B$31+'Inputs'!$B$32)/1000+'Inputs'!$B$21))/SQRT((((361-43)*MAX('Inputs'!$B$33,'Inputs'!$B$29+'Inputs'!$B$31+'Inputs'!$B$32,'Inputs'!$B$30+'Inputs'!$B$31+'Inputs'!$B$32)/1000+'Inputs'!$B$21))^2+('Inputs'!$B$6/2)^2)))-'Results'!C7*(1+'Inputs'!$B$24)*(0.5*((((361-43)*MAX('Inputs'!$B$33,'Inputs'!$B$29+'Inputs'!$B$31+'Inputs'!$B$32,'Inputs'!$B$30+'Inputs'!$B$31+'Inputs'!$B$32)/1000+'Inputs'!$B$21+'Inputs'!$B$7+'Inputs'!$B$10)+'Inputs'!$B$9)/SQRT((((361-43)*MAX('Inputs'!$B$33,'Inputs'!$B$29+'Inputs'!$B$31+'Inputs'!$B$32,'Inputs'!$B$30+'Inputs'!$B$31+'Inputs'!$B$32)/1000+'Inputs'!$B$21+'Inputs'!$B$7+'Inputs'!$B$10)+'Inputs'!$B$9)^2+('Inputs'!$B$8/2)^2)-(((361-43)*MAX('Inputs'!$B$33,'Inputs'!$B$29+'Inputs'!$B$31+'Inputs'!$B$32,'Inputs'!$B$30+'Inputs'!$B$31+'Inputs'!$B$32)/1000+'Inputs'!$B$21+'Inputs'!$B$7+'Inputs'!$B$10))/SQRT((((361-43)*MAX('Inputs'!$B$33,'Inputs'!$B$29+'Inputs'!$B$31+'Inputs'!$B$32,'Inputs'!$B$30+'Inputs'!$B$31+'Inputs'!$B$32)/1000+'Inputs'!$B$21+'Inputs'!$B$7+'Inputs'!$B$10))^2+('Inputs'!$B$8/2)^2))))*'Results'!$B$8))),"")</x:f>
        <x:v>16.74527037456678</x:v>
      </x:c>
      <x:c r="L361" t="n">
        <x:f>IF(AND(ISNUMBER('Results'!B7),ISNUMBER('Results'!C7),ISNUMBER('Results'!$B$8),ISNUMBER('Inputs'!$B$6),ISNUMBER('Inputs'!$B$7),ISNUMBER('Inputs'!$B$8),ISNUMBER('Inputs'!$B$9),ISNUMBER('Inputs'!$B$10),ISNUMBER('Inputs'!$B$21),ISNUMBER('Inputs'!$B$24),ISNUMBER('Inputs'!$B$28)),((('Results'!B7*(1+'Inputs'!$B$24)*(0.5*((((361-43)*MAX('Inputs'!$B$33,'Inputs'!$B$29+'Inputs'!$B$31+'Inputs'!$B$32,'Inputs'!$B$30+'Inputs'!$B$31+'Inputs'!$B$32)/1000+'Inputs'!$B$21)+'Inputs'!$B$7)/SQRT((((361-43)*MAX('Inputs'!$B$33,'Inputs'!$B$29+'Inputs'!$B$31+'Inputs'!$B$32,'Inputs'!$B$30+'Inputs'!$B$31+'Inputs'!$B$32)/1000+'Inputs'!$B$21)+'Inputs'!$B$7)^2+('Inputs'!$B$6/2)^2)-(((361-43)*MAX('Inputs'!$B$33,'Inputs'!$B$29+'Inputs'!$B$31+'Inputs'!$B$32,'Inputs'!$B$30+'Inputs'!$B$31+'Inputs'!$B$32)/1000+'Inputs'!$B$21))/SQRT((((361-43)*MAX('Inputs'!$B$33,'Inputs'!$B$29+'Inputs'!$B$31+'Inputs'!$B$32,'Inputs'!$B$30+'Inputs'!$B$31+'Inputs'!$B$32)/1000+'Inputs'!$B$21))^2+('Inputs'!$B$6/2)^2)))-'Results'!C7*(1-'Inputs'!$B$24)*(0.5*((((361-43)*MAX('Inputs'!$B$33,'Inputs'!$B$29+'Inputs'!$B$31+'Inputs'!$B$32,'Inputs'!$B$30+'Inputs'!$B$31+'Inputs'!$B$32)/1000+'Inputs'!$B$21+'Inputs'!$B$7+'Inputs'!$B$10)+'Inputs'!$B$9)/SQRT((((361-43)*MAX('Inputs'!$B$33,'Inputs'!$B$29+'Inputs'!$B$31+'Inputs'!$B$32,'Inputs'!$B$30+'Inputs'!$B$31+'Inputs'!$B$32)/1000+'Inputs'!$B$21+'Inputs'!$B$7+'Inputs'!$B$10)+'Inputs'!$B$9)^2+('Inputs'!$B$8/2)^2)-(((361-43)*MAX('Inputs'!$B$33,'Inputs'!$B$29+'Inputs'!$B$31+'Inputs'!$B$32,'Inputs'!$B$30+'Inputs'!$B$31+'Inputs'!$B$32)/1000+'Inputs'!$B$21+'Inputs'!$B$7+'Inputs'!$B$10))/SQRT((((361-43)*MAX('Inputs'!$B$33,'Inputs'!$B$29+'Inputs'!$B$31+'Inputs'!$B$32,'Inputs'!$B$30+'Inputs'!$B$31+'Inputs'!$B$32)/1000+'Inputs'!$B$21+'Inputs'!$B$7+'Inputs'!$B$10))^2+('Inputs'!$B$8/2)^2))))*'Results'!$B$8)+'Inputs'!$B$28*ABS((('Results'!B7*(1+'Inputs'!$B$24)*(0.5*((((361-43)*MAX('Inputs'!$B$33,'Inputs'!$B$29+'Inputs'!$B$31+'Inputs'!$B$32,'Inputs'!$B$30+'Inputs'!$B$31+'Inputs'!$B$32)/1000+'Inputs'!$B$21)+'Inputs'!$B$7)/SQRT((((361-43)*MAX('Inputs'!$B$33,'Inputs'!$B$29+'Inputs'!$B$31+'Inputs'!$B$32,'Inputs'!$B$30+'Inputs'!$B$31+'Inputs'!$B$32)/1000+'Inputs'!$B$21)+'Inputs'!$B$7)^2+('Inputs'!$B$6/2)^2)-(((361-43)*MAX('Inputs'!$B$33,'Inputs'!$B$29+'Inputs'!$B$31+'Inputs'!$B$32,'Inputs'!$B$30+'Inputs'!$B$31+'Inputs'!$B$32)/1000+'Inputs'!$B$21))/SQRT((((361-43)*MAX('Inputs'!$B$33,'Inputs'!$B$29+'Inputs'!$B$31+'Inputs'!$B$32,'Inputs'!$B$30+'Inputs'!$B$31+'Inputs'!$B$32)/1000+'Inputs'!$B$21))^2+('Inputs'!$B$6/2)^2)))-'Results'!C7*(1-'Inputs'!$B$24)*(0.5*((((361-43)*MAX('Inputs'!$B$33,'Inputs'!$B$29+'Inputs'!$B$31+'Inputs'!$B$32,'Inputs'!$B$30+'Inputs'!$B$31+'Inputs'!$B$32)/1000+'Inputs'!$B$21+'Inputs'!$B$7+'Inputs'!$B$10)+'Inputs'!$B$9)/SQRT((((361-43)*MAX('Inputs'!$B$33,'Inputs'!$B$29+'Inputs'!$B$31+'Inputs'!$B$32,'Inputs'!$B$30+'Inputs'!$B$31+'Inputs'!$B$32)/1000+'Inputs'!$B$21+'Inputs'!$B$7+'Inputs'!$B$10)+'Inputs'!$B$9)^2+('Inputs'!$B$8/2)^2)-(((361-43)*MAX('Inputs'!$B$33,'Inputs'!$B$29+'Inputs'!$B$31+'Inputs'!$B$32,'Inputs'!$B$30+'Inputs'!$B$31+'Inputs'!$B$32)/1000+'Inputs'!$B$21+'Inputs'!$B$7+'Inputs'!$B$10))/SQRT((((361-43)*MAX('Inputs'!$B$33,'Inputs'!$B$29+'Inputs'!$B$31+'Inputs'!$B$32,'Inputs'!$B$30+'Inputs'!$B$31+'Inputs'!$B$32)/1000+'Inputs'!$B$21+'Inputs'!$B$7+'Inputs'!$B$10))^2+('Inputs'!$B$8/2)^2))))*'Results'!$B$8))),"")</x:f>
        <x:v>20.42010158057509</x:v>
      </x:c>
      <x:c r="M361" t="n">
        <x:f>IF(AND(ISNUMBER('Results'!C7),ISNUMBER('Results'!B7),ISNUMBER('Results'!$B$8),ISNUMBER('Inputs'!$B$6),ISNUMBER('Inputs'!$B$7),ISNUMBER('Inputs'!$B$8),ISNUMBER('Inputs'!$B$9),ISNUMBER('Inputs'!$B$10),ISNUMBER('Inputs'!$B$21),ISNUMBER('Inputs'!$B$24),ISNUMBER('Inputs'!$B$28)),(('Results'!C7*(0.5*((((361-43)*MAX('Inputs'!$B$33,'Inputs'!$B$29+'Inputs'!$B$31+'Inputs'!$B$32,'Inputs'!$B$30+'Inputs'!$B$31+'Inputs'!$B$32)/1000+'Inputs'!$B$21)+'Inputs'!$B$9)/SQRT((((361-43)*MAX('Inputs'!$B$33,'Inputs'!$B$29+'Inputs'!$B$31+'Inputs'!$B$32,'Inputs'!$B$30+'Inputs'!$B$31+'Inputs'!$B$32)/1000+'Inputs'!$B$21)+'Inputs'!$B$9)^2+('Inputs'!$B$8/2)^2)-(((361-43)*MAX('Inputs'!$B$33,'Inputs'!$B$29+'Inputs'!$B$31+'Inputs'!$B$32,'Inputs'!$B$30+'Inputs'!$B$31+'Inputs'!$B$32)/1000+'Inputs'!$B$21))/SQRT((((361-43)*MAX('Inputs'!$B$33,'Inputs'!$B$29+'Inputs'!$B$31+'Inputs'!$B$32,'Inputs'!$B$30+'Inputs'!$B$31+'Inputs'!$B$32)/1000+'Inputs'!$B$21))^2+('Inputs'!$B$8/2)^2)))-'Results'!B7*(0.5*((((361-43)*MAX('Inputs'!$B$33,'Inputs'!$B$29+'Inputs'!$B$31+'Inputs'!$B$32,'Inputs'!$B$30+'Inputs'!$B$31+'Inputs'!$B$32)/1000+'Inputs'!$B$21+'Inputs'!$B$9+'Inputs'!$B$10)+'Inputs'!$B$7)/SQRT((((361-43)*MAX('Inputs'!$B$33,'Inputs'!$B$29+'Inputs'!$B$31+'Inputs'!$B$32,'Inputs'!$B$30+'Inputs'!$B$31+'Inputs'!$B$32)/1000+'Inputs'!$B$21+'Inputs'!$B$9+'Inputs'!$B$10)+'Inputs'!$B$7)^2+('Inputs'!$B$6/2)^2)-(((361-43)*MAX('Inputs'!$B$33,'Inputs'!$B$29+'Inputs'!$B$31+'Inputs'!$B$32,'Inputs'!$B$30+'Inputs'!$B$31+'Inputs'!$B$32)/1000+'Inputs'!$B$21+'Inputs'!$B$9+'Inputs'!$B$10))/SQRT((((361-43)*MAX('Inputs'!$B$33,'Inputs'!$B$29+'Inputs'!$B$31+'Inputs'!$B$32,'Inputs'!$B$30+'Inputs'!$B$31+'Inputs'!$B$32)/1000+'Inputs'!$B$21+'Inputs'!$B$9+'Inputs'!$B$10))^2+('Inputs'!$B$6/2)^2))))*'Results'!$B$8),"")</x:f>
        <x:v>17.621092082683695</x:v>
      </x:c>
      <x:c r="N361" t="n">
        <x:f>IF(AND(ISNUMBER('Results'!C7),ISNUMBER('Results'!B7),ISNUMBER('Results'!$B$8),ISNUMBER('Inputs'!$B$6),ISNUMBER('Inputs'!$B$7),ISNUMBER('Inputs'!$B$8),ISNUMBER('Inputs'!$B$9),ISNUMBER('Inputs'!$B$10),ISNUMBER('Inputs'!$B$21),ISNUMBER('Inputs'!$B$24),ISNUMBER('Inputs'!$B$28)),((('Results'!C7*(1-'Inputs'!$B$24)*(0.5*((((361-43)*MAX('Inputs'!$B$33,'Inputs'!$B$29+'Inputs'!$B$31+'Inputs'!$B$32,'Inputs'!$B$30+'Inputs'!$B$31+'Inputs'!$B$32)/1000+'Inputs'!$B$21)+'Inputs'!$B$9)/SQRT((((361-43)*MAX('Inputs'!$B$33,'Inputs'!$B$29+'Inputs'!$B$31+'Inputs'!$B$32,'Inputs'!$B$30+'Inputs'!$B$31+'Inputs'!$B$32)/1000+'Inputs'!$B$21)+'Inputs'!$B$9)^2+('Inputs'!$B$8/2)^2)-(((361-43)*MAX('Inputs'!$B$33,'Inputs'!$B$29+'Inputs'!$B$31+'Inputs'!$B$32,'Inputs'!$B$30+'Inputs'!$B$31+'Inputs'!$B$32)/1000+'Inputs'!$B$21))/SQRT((((361-43)*MAX('Inputs'!$B$33,'Inputs'!$B$29+'Inputs'!$B$31+'Inputs'!$B$32,'Inputs'!$B$30+'Inputs'!$B$31+'Inputs'!$B$32)/1000+'Inputs'!$B$21))^2+('Inputs'!$B$8/2)^2)))-'Results'!B7*(1+'Inputs'!$B$24)*(0.5*((((361-43)*MAX('Inputs'!$B$33,'Inputs'!$B$29+'Inputs'!$B$31+'Inputs'!$B$32,'Inputs'!$B$30+'Inputs'!$B$31+'Inputs'!$B$32)/1000+'Inputs'!$B$21+'Inputs'!$B$9+'Inputs'!$B$10)+'Inputs'!$B$7)/SQRT((((361-43)*MAX('Inputs'!$B$33,'Inputs'!$B$29+'Inputs'!$B$31+'Inputs'!$B$32,'Inputs'!$B$30+'Inputs'!$B$31+'Inputs'!$B$32)/1000+'Inputs'!$B$21+'Inputs'!$B$9+'Inputs'!$B$10)+'Inputs'!$B$7)^2+('Inputs'!$B$6/2)^2)-(((361-43)*MAX('Inputs'!$B$33,'Inputs'!$B$29+'Inputs'!$B$31+'Inputs'!$B$32,'Inputs'!$B$30+'Inputs'!$B$31+'Inputs'!$B$32)/1000+'Inputs'!$B$21+'Inputs'!$B$9+'Inputs'!$B$10))/SQRT((((361-43)*MAX('Inputs'!$B$33,'Inputs'!$B$29+'Inputs'!$B$31+'Inputs'!$B$32,'Inputs'!$B$30+'Inputs'!$B$31+'Inputs'!$B$32)/1000+'Inputs'!$B$21+'Inputs'!$B$9+'Inputs'!$B$10))^2+('Inputs'!$B$6/2)^2))))*'Results'!$B$8)-'Inputs'!$B$28*ABS((('Results'!C7*(1-'Inputs'!$B$24)*(0.5*((((361-43)*MAX('Inputs'!$B$33,'Inputs'!$B$29+'Inputs'!$B$31+'Inputs'!$B$32,'Inputs'!$B$30+'Inputs'!$B$31+'Inputs'!$B$32)/1000+'Inputs'!$B$21)+'Inputs'!$B$9)/SQRT((((361-43)*MAX('Inputs'!$B$33,'Inputs'!$B$29+'Inputs'!$B$31+'Inputs'!$B$32,'Inputs'!$B$30+'Inputs'!$B$31+'Inputs'!$B$32)/1000+'Inputs'!$B$21)+'Inputs'!$B$9)^2+('Inputs'!$B$8/2)^2)-(((361-43)*MAX('Inputs'!$B$33,'Inputs'!$B$29+'Inputs'!$B$31+'Inputs'!$B$32,'Inputs'!$B$30+'Inputs'!$B$31+'Inputs'!$B$32)/1000+'Inputs'!$B$21))/SQRT((((361-43)*MAX('Inputs'!$B$33,'Inputs'!$B$29+'Inputs'!$B$31+'Inputs'!$B$32,'Inputs'!$B$30+'Inputs'!$B$31+'Inputs'!$B$32)/1000+'Inputs'!$B$21))^2+('Inputs'!$B$8/2)^2)))-'Results'!B7*(1+'Inputs'!$B$24)*(0.5*((((361-43)*MAX('Inputs'!$B$33,'Inputs'!$B$29+'Inputs'!$B$31+'Inputs'!$B$32,'Inputs'!$B$30+'Inputs'!$B$31+'Inputs'!$B$32)/1000+'Inputs'!$B$21+'Inputs'!$B$9+'Inputs'!$B$10)+'Inputs'!$B$7)/SQRT((((361-43)*MAX('Inputs'!$B$33,'Inputs'!$B$29+'Inputs'!$B$31+'Inputs'!$B$32,'Inputs'!$B$30+'Inputs'!$B$31+'Inputs'!$B$32)/1000+'Inputs'!$B$21+'Inputs'!$B$9+'Inputs'!$B$10)+'Inputs'!$B$7)^2+('Inputs'!$B$6/2)^2)-(((361-43)*MAX('Inputs'!$B$33,'Inputs'!$B$29+'Inputs'!$B$31+'Inputs'!$B$32,'Inputs'!$B$30+'Inputs'!$B$31+'Inputs'!$B$32)/1000+'Inputs'!$B$21+'Inputs'!$B$9+'Inputs'!$B$10))/SQRT((((361-43)*MAX('Inputs'!$B$33,'Inputs'!$B$29+'Inputs'!$B$31+'Inputs'!$B$32,'Inputs'!$B$30+'Inputs'!$B$31+'Inputs'!$B$32)/1000+'Inputs'!$B$21+'Inputs'!$B$9+'Inputs'!$B$10))^2+('Inputs'!$B$6/2)^2))))*'Results'!$B$8))),"")</x:f>
        <x:v>15.88194712725141</x:v>
      </x:c>
      <x:c r="O361" t="n">
        <x:f>IF(AND(ISNUMBER('Results'!C7),ISNUMBER('Results'!B7),ISNUMBER('Results'!$B$8),ISNUMBER('Inputs'!$B$6),ISNUMBER('Inputs'!$B$7),ISNUMBER('Inputs'!$B$8),ISNUMBER('Inputs'!$B$9),ISNUMBER('Inputs'!$B$10),ISNUMBER('Inputs'!$B$21),ISNUMBER('Inputs'!$B$24),ISNUMBER('Inputs'!$B$28)),((('Results'!C7*(1+'Inputs'!$B$24)*(0.5*((((361-43)*MAX('Inputs'!$B$33,'Inputs'!$B$29+'Inputs'!$B$31+'Inputs'!$B$32,'Inputs'!$B$30+'Inputs'!$B$31+'Inputs'!$B$32)/1000+'Inputs'!$B$21)+'Inputs'!$B$9)/SQRT((((361-43)*MAX('Inputs'!$B$33,'Inputs'!$B$29+'Inputs'!$B$31+'Inputs'!$B$32,'Inputs'!$B$30+'Inputs'!$B$31+'Inputs'!$B$32)/1000+'Inputs'!$B$21)+'Inputs'!$B$9)^2+('Inputs'!$B$8/2)^2)-(((361-43)*MAX('Inputs'!$B$33,'Inputs'!$B$29+'Inputs'!$B$31+'Inputs'!$B$32,'Inputs'!$B$30+'Inputs'!$B$31+'Inputs'!$B$32)/1000+'Inputs'!$B$21))/SQRT((((361-43)*MAX('Inputs'!$B$33,'Inputs'!$B$29+'Inputs'!$B$31+'Inputs'!$B$32,'Inputs'!$B$30+'Inputs'!$B$31+'Inputs'!$B$32)/1000+'Inputs'!$B$21))^2+('Inputs'!$B$8/2)^2)))-'Results'!B7*(1-'Inputs'!$B$24)*(0.5*((((361-43)*MAX('Inputs'!$B$33,'Inputs'!$B$29+'Inputs'!$B$31+'Inputs'!$B$32,'Inputs'!$B$30+'Inputs'!$B$31+'Inputs'!$B$32)/1000+'Inputs'!$B$21+'Inputs'!$B$9+'Inputs'!$B$10)+'Inputs'!$B$7)/SQRT((((361-43)*MAX('Inputs'!$B$33,'Inputs'!$B$29+'Inputs'!$B$31+'Inputs'!$B$32,'Inputs'!$B$30+'Inputs'!$B$31+'Inputs'!$B$32)/1000+'Inputs'!$B$21+'Inputs'!$B$9+'Inputs'!$B$10)+'Inputs'!$B$7)^2+('Inputs'!$B$6/2)^2)-(((361-43)*MAX('Inputs'!$B$33,'Inputs'!$B$29+'Inputs'!$B$31+'Inputs'!$B$32,'Inputs'!$B$30+'Inputs'!$B$31+'Inputs'!$B$32)/1000+'Inputs'!$B$21+'Inputs'!$B$9+'Inputs'!$B$10))/SQRT((((361-43)*MAX('Inputs'!$B$33,'Inputs'!$B$29+'Inputs'!$B$31+'Inputs'!$B$32,'Inputs'!$B$30+'Inputs'!$B$31+'Inputs'!$B$32)/1000+'Inputs'!$B$21+'Inputs'!$B$9+'Inputs'!$B$10))^2+('Inputs'!$B$6/2)^2))))*'Results'!$B$8)+'Inputs'!$B$28*ABS((('Results'!C7*(1+'Inputs'!$B$24)*(0.5*((((361-43)*MAX('Inputs'!$B$33,'Inputs'!$B$29+'Inputs'!$B$31+'Inputs'!$B$32,'Inputs'!$B$30+'Inputs'!$B$31+'Inputs'!$B$32)/1000+'Inputs'!$B$21)+'Inputs'!$B$9)/SQRT((((361-43)*MAX('Inputs'!$B$33,'Inputs'!$B$29+'Inputs'!$B$31+'Inputs'!$B$32,'Inputs'!$B$30+'Inputs'!$B$31+'Inputs'!$B$32)/1000+'Inputs'!$B$21)+'Inputs'!$B$9)^2+('Inputs'!$B$8/2)^2)-(((361-43)*MAX('Inputs'!$B$33,'Inputs'!$B$29+'Inputs'!$B$31+'Inputs'!$B$32,'Inputs'!$B$30+'Inputs'!$B$31+'Inputs'!$B$32)/1000+'Inputs'!$B$21))/SQRT((((361-43)*MAX('Inputs'!$B$33,'Inputs'!$B$29+'Inputs'!$B$31+'Inputs'!$B$32,'Inputs'!$B$30+'Inputs'!$B$31+'Inputs'!$B$32)/1000+'Inputs'!$B$21))^2+('Inputs'!$B$8/2)^2)))-'Results'!B7*(1-'Inputs'!$B$24)*(0.5*((((361-43)*MAX('Inputs'!$B$33,'Inputs'!$B$29+'Inputs'!$B$31+'Inputs'!$B$32,'Inputs'!$B$30+'Inputs'!$B$31+'Inputs'!$B$32)/1000+'Inputs'!$B$21+'Inputs'!$B$9+'Inputs'!$B$10)+'Inputs'!$B$7)/SQRT((((361-43)*MAX('Inputs'!$B$33,'Inputs'!$B$29+'Inputs'!$B$31+'Inputs'!$B$32,'Inputs'!$B$30+'Inputs'!$B$31+'Inputs'!$B$32)/1000+'Inputs'!$B$21+'Inputs'!$B$9+'Inputs'!$B$10)+'Inputs'!$B$7)^2+('Inputs'!$B$6/2)^2)-(((361-43)*MAX('Inputs'!$B$33,'Inputs'!$B$29+'Inputs'!$B$31+'Inputs'!$B$32,'Inputs'!$B$30+'Inputs'!$B$31+'Inputs'!$B$32)/1000+'Inputs'!$B$21+'Inputs'!$B$9+'Inputs'!$B$10))/SQRT((((361-43)*MAX('Inputs'!$B$33,'Inputs'!$B$29+'Inputs'!$B$31+'Inputs'!$B$32,'Inputs'!$B$30+'Inputs'!$B$31+'Inputs'!$B$32)/1000+'Inputs'!$B$21+'Inputs'!$B$9+'Inputs'!$B$10))^2+('Inputs'!$B$6/2)^2))))*'Results'!$B$8))),"")</x:f>
        <x:v>19.450562338252617</x:v>
      </x:c>
      <x:c r="P361" t="n">
        <x:f>IF(AND(MAX(J361,J360)&gt;0,J361&gt;J360+0.00000001),1,0)</x:f>
        <x:v>0</x:v>
      </x:c>
      <x:c r="Q361" t="n">
        <x:f>IF(AND(MAX(K361,K360)&gt;0,K361&gt;K360+0.00000001),1,0)</x:f>
        <x:v>0</x:v>
      </x:c>
      <x:c r="R361" t="n">
        <x:f>IF(AND(MAX(L361,L360)&gt;0,L361&gt;L360+0.00000001),1,0)</x:f>
        <x:v>0</x:v>
      </x:c>
      <x:c r="S361" t="n">
        <x:f>IF(AND(MAX(M361,M360)&gt;0,M361&gt;M360+0.00000001),1,0)</x:f>
        <x:v>0</x:v>
      </x:c>
      <x:c r="T361" t="n">
        <x:f>IF(AND(MAX(N361,N360)&gt;0,N361&gt;N360+0.00000001),1,0)</x:f>
        <x:v>0</x:v>
      </x:c>
      <x:c r="U361" t="n">
        <x:f>IF(AND(MAX(O361,O360)&gt;0,O361&gt;O360+0.00000001),1,0)</x:f>
        <x:v>0</x:v>
      </x:c>
    </x:row>
    <x:row r="362">
      <x:c r="J362" t="n">
        <x:f>IF(AND(ISNUMBER('Results'!B7),ISNUMBER('Results'!C7),ISNUMBER('Results'!$B$8),ISNUMBER('Inputs'!$B$6),ISNUMBER('Inputs'!$B$7),ISNUMBER('Inputs'!$B$8),ISNUMBER('Inputs'!$B$9),ISNUMBER('Inputs'!$B$10),ISNUMBER('Inputs'!$B$21),ISNUMBER('Inputs'!$B$24),ISNUMBER('Inputs'!$B$28)),(('Results'!B7*(0.5*((((362-43)*MAX('Inputs'!$B$33,'Inputs'!$B$29+'Inputs'!$B$31+'Inputs'!$B$32,'Inputs'!$B$30+'Inputs'!$B$31+'Inputs'!$B$32)/1000+'Inputs'!$B$21)+'Inputs'!$B$7)/SQRT((((362-43)*MAX('Inputs'!$B$33,'Inputs'!$B$29+'Inputs'!$B$31+'Inputs'!$B$32,'Inputs'!$B$30+'Inputs'!$B$31+'Inputs'!$B$32)/1000+'Inputs'!$B$21)+'Inputs'!$B$7)^2+('Inputs'!$B$6/2)^2)-(((362-43)*MAX('Inputs'!$B$33,'Inputs'!$B$29+'Inputs'!$B$31+'Inputs'!$B$32,'Inputs'!$B$30+'Inputs'!$B$31+'Inputs'!$B$32)/1000+'Inputs'!$B$21))/SQRT((((362-43)*MAX('Inputs'!$B$33,'Inputs'!$B$29+'Inputs'!$B$31+'Inputs'!$B$32,'Inputs'!$B$30+'Inputs'!$B$31+'Inputs'!$B$32)/1000+'Inputs'!$B$21))^2+('Inputs'!$B$6/2)^2)))-'Results'!C7*(0.5*((((362-43)*MAX('Inputs'!$B$33,'Inputs'!$B$29+'Inputs'!$B$31+'Inputs'!$B$32,'Inputs'!$B$30+'Inputs'!$B$31+'Inputs'!$B$32)/1000+'Inputs'!$B$21+'Inputs'!$B$7+'Inputs'!$B$10)+'Inputs'!$B$9)/SQRT((((362-43)*MAX('Inputs'!$B$33,'Inputs'!$B$29+'Inputs'!$B$31+'Inputs'!$B$32,'Inputs'!$B$30+'Inputs'!$B$31+'Inputs'!$B$32)/1000+'Inputs'!$B$21+'Inputs'!$B$7+'Inputs'!$B$10)+'Inputs'!$B$9)^2+('Inputs'!$B$8/2)^2)-(((362-43)*MAX('Inputs'!$B$33,'Inputs'!$B$29+'Inputs'!$B$31+'Inputs'!$B$32,'Inputs'!$B$30+'Inputs'!$B$31+'Inputs'!$B$32)/1000+'Inputs'!$B$21+'Inputs'!$B$7+'Inputs'!$B$10))/SQRT((((362-43)*MAX('Inputs'!$B$33,'Inputs'!$B$29+'Inputs'!$B$31+'Inputs'!$B$32,'Inputs'!$B$30+'Inputs'!$B$31+'Inputs'!$B$32)/1000+'Inputs'!$B$21+'Inputs'!$B$7+'Inputs'!$B$10))^2+('Inputs'!$B$8/2)^2))))*'Results'!$B$8),"")</x:f>
        <x:v>18.354693113961012</x:v>
      </x:c>
      <x:c r="K362" t="n">
        <x:f>IF(AND(ISNUMBER('Results'!B7),ISNUMBER('Results'!C7),ISNUMBER('Results'!$B$8),ISNUMBER('Inputs'!$B$6),ISNUMBER('Inputs'!$B$7),ISNUMBER('Inputs'!$B$8),ISNUMBER('Inputs'!$B$9),ISNUMBER('Inputs'!$B$10),ISNUMBER('Inputs'!$B$21),ISNUMBER('Inputs'!$B$24),ISNUMBER('Inputs'!$B$28)),((('Results'!B7*(1-'Inputs'!$B$24)*(0.5*((((362-43)*MAX('Inputs'!$B$33,'Inputs'!$B$29+'Inputs'!$B$31+'Inputs'!$B$32,'Inputs'!$B$30+'Inputs'!$B$31+'Inputs'!$B$32)/1000+'Inputs'!$B$21)+'Inputs'!$B$7)/SQRT((((362-43)*MAX('Inputs'!$B$33,'Inputs'!$B$29+'Inputs'!$B$31+'Inputs'!$B$32,'Inputs'!$B$30+'Inputs'!$B$31+'Inputs'!$B$32)/1000+'Inputs'!$B$21)+'Inputs'!$B$7)^2+('Inputs'!$B$6/2)^2)-(((362-43)*MAX('Inputs'!$B$33,'Inputs'!$B$29+'Inputs'!$B$31+'Inputs'!$B$32,'Inputs'!$B$30+'Inputs'!$B$31+'Inputs'!$B$32)/1000+'Inputs'!$B$21))/SQRT((((362-43)*MAX('Inputs'!$B$33,'Inputs'!$B$29+'Inputs'!$B$31+'Inputs'!$B$32,'Inputs'!$B$30+'Inputs'!$B$31+'Inputs'!$B$32)/1000+'Inputs'!$B$21))^2+('Inputs'!$B$6/2)^2)))-'Results'!C7*(1+'Inputs'!$B$24)*(0.5*((((362-43)*MAX('Inputs'!$B$33,'Inputs'!$B$29+'Inputs'!$B$31+'Inputs'!$B$32,'Inputs'!$B$30+'Inputs'!$B$31+'Inputs'!$B$32)/1000+'Inputs'!$B$21+'Inputs'!$B$7+'Inputs'!$B$10)+'Inputs'!$B$9)/SQRT((((362-43)*MAX('Inputs'!$B$33,'Inputs'!$B$29+'Inputs'!$B$31+'Inputs'!$B$32,'Inputs'!$B$30+'Inputs'!$B$31+'Inputs'!$B$32)/1000+'Inputs'!$B$21+'Inputs'!$B$7+'Inputs'!$B$10)+'Inputs'!$B$9)^2+('Inputs'!$B$8/2)^2)-(((362-43)*MAX('Inputs'!$B$33,'Inputs'!$B$29+'Inputs'!$B$31+'Inputs'!$B$32,'Inputs'!$B$30+'Inputs'!$B$31+'Inputs'!$B$32)/1000+'Inputs'!$B$21+'Inputs'!$B$7+'Inputs'!$B$10))/SQRT((((362-43)*MAX('Inputs'!$B$33,'Inputs'!$B$29+'Inputs'!$B$31+'Inputs'!$B$32,'Inputs'!$B$30+'Inputs'!$B$31+'Inputs'!$B$32)/1000+'Inputs'!$B$21+'Inputs'!$B$7+'Inputs'!$B$10))^2+('Inputs'!$B$8/2)^2))))*'Results'!$B$8)-'Inputs'!$B$28*ABS((('Results'!B7*(1-'Inputs'!$B$24)*(0.5*((((362-43)*MAX('Inputs'!$B$33,'Inputs'!$B$29+'Inputs'!$B$31+'Inputs'!$B$32,'Inputs'!$B$30+'Inputs'!$B$31+'Inputs'!$B$32)/1000+'Inputs'!$B$21)+'Inputs'!$B$7)/SQRT((((362-43)*MAX('Inputs'!$B$33,'Inputs'!$B$29+'Inputs'!$B$31+'Inputs'!$B$32,'Inputs'!$B$30+'Inputs'!$B$31+'Inputs'!$B$32)/1000+'Inputs'!$B$21)+'Inputs'!$B$7)^2+('Inputs'!$B$6/2)^2)-(((362-43)*MAX('Inputs'!$B$33,'Inputs'!$B$29+'Inputs'!$B$31+'Inputs'!$B$32,'Inputs'!$B$30+'Inputs'!$B$31+'Inputs'!$B$32)/1000+'Inputs'!$B$21))/SQRT((((362-43)*MAX('Inputs'!$B$33,'Inputs'!$B$29+'Inputs'!$B$31+'Inputs'!$B$32,'Inputs'!$B$30+'Inputs'!$B$31+'Inputs'!$B$32)/1000+'Inputs'!$B$21))^2+('Inputs'!$B$6/2)^2)))-'Results'!C7*(1+'Inputs'!$B$24)*(0.5*((((362-43)*MAX('Inputs'!$B$33,'Inputs'!$B$29+'Inputs'!$B$31+'Inputs'!$B$32,'Inputs'!$B$30+'Inputs'!$B$31+'Inputs'!$B$32)/1000+'Inputs'!$B$21+'Inputs'!$B$7+'Inputs'!$B$10)+'Inputs'!$B$9)/SQRT((((362-43)*MAX('Inputs'!$B$33,'Inputs'!$B$29+'Inputs'!$B$31+'Inputs'!$B$32,'Inputs'!$B$30+'Inputs'!$B$31+'Inputs'!$B$32)/1000+'Inputs'!$B$21+'Inputs'!$B$7+'Inputs'!$B$10)+'Inputs'!$B$9)^2+('Inputs'!$B$8/2)^2)-(((362-43)*MAX('Inputs'!$B$33,'Inputs'!$B$29+'Inputs'!$B$31+'Inputs'!$B$32,'Inputs'!$B$30+'Inputs'!$B$31+'Inputs'!$B$32)/1000+'Inputs'!$B$21+'Inputs'!$B$7+'Inputs'!$B$10))/SQRT((((362-43)*MAX('Inputs'!$B$33,'Inputs'!$B$29+'Inputs'!$B$31+'Inputs'!$B$32,'Inputs'!$B$30+'Inputs'!$B$31+'Inputs'!$B$32)/1000+'Inputs'!$B$21+'Inputs'!$B$7+'Inputs'!$B$10))^2+('Inputs'!$B$8/2)^2))))*'Results'!$B$8))),"")</x:f>
        <x:v>16.578687256376057</x:v>
      </x:c>
      <x:c r="L362" t="n">
        <x:f>IF(AND(ISNUMBER('Results'!B7),ISNUMBER('Results'!C7),ISNUMBER('Results'!$B$8),ISNUMBER('Inputs'!$B$6),ISNUMBER('Inputs'!$B$7),ISNUMBER('Inputs'!$B$8),ISNUMBER('Inputs'!$B$9),ISNUMBER('Inputs'!$B$10),ISNUMBER('Inputs'!$B$21),ISNUMBER('Inputs'!$B$24),ISNUMBER('Inputs'!$B$28)),((('Results'!B7*(1+'Inputs'!$B$24)*(0.5*((((362-43)*MAX('Inputs'!$B$33,'Inputs'!$B$29+'Inputs'!$B$31+'Inputs'!$B$32,'Inputs'!$B$30+'Inputs'!$B$31+'Inputs'!$B$32)/1000+'Inputs'!$B$21)+'Inputs'!$B$7)/SQRT((((362-43)*MAX('Inputs'!$B$33,'Inputs'!$B$29+'Inputs'!$B$31+'Inputs'!$B$32,'Inputs'!$B$30+'Inputs'!$B$31+'Inputs'!$B$32)/1000+'Inputs'!$B$21)+'Inputs'!$B$7)^2+('Inputs'!$B$6/2)^2)-(((362-43)*MAX('Inputs'!$B$33,'Inputs'!$B$29+'Inputs'!$B$31+'Inputs'!$B$32,'Inputs'!$B$30+'Inputs'!$B$31+'Inputs'!$B$32)/1000+'Inputs'!$B$21))/SQRT((((362-43)*MAX('Inputs'!$B$33,'Inputs'!$B$29+'Inputs'!$B$31+'Inputs'!$B$32,'Inputs'!$B$30+'Inputs'!$B$31+'Inputs'!$B$32)/1000+'Inputs'!$B$21))^2+('Inputs'!$B$6/2)^2)))-'Results'!C7*(1-'Inputs'!$B$24)*(0.5*((((362-43)*MAX('Inputs'!$B$33,'Inputs'!$B$29+'Inputs'!$B$31+'Inputs'!$B$32,'Inputs'!$B$30+'Inputs'!$B$31+'Inputs'!$B$32)/1000+'Inputs'!$B$21+'Inputs'!$B$7+'Inputs'!$B$10)+'Inputs'!$B$9)/SQRT((((362-43)*MAX('Inputs'!$B$33,'Inputs'!$B$29+'Inputs'!$B$31+'Inputs'!$B$32,'Inputs'!$B$30+'Inputs'!$B$31+'Inputs'!$B$32)/1000+'Inputs'!$B$21+'Inputs'!$B$7+'Inputs'!$B$10)+'Inputs'!$B$9)^2+('Inputs'!$B$8/2)^2)-(((362-43)*MAX('Inputs'!$B$33,'Inputs'!$B$29+'Inputs'!$B$31+'Inputs'!$B$32,'Inputs'!$B$30+'Inputs'!$B$31+'Inputs'!$B$32)/1000+'Inputs'!$B$21+'Inputs'!$B$7+'Inputs'!$B$10))/SQRT((((362-43)*MAX('Inputs'!$B$33,'Inputs'!$B$29+'Inputs'!$B$31+'Inputs'!$B$32,'Inputs'!$B$30+'Inputs'!$B$31+'Inputs'!$B$32)/1000+'Inputs'!$B$21+'Inputs'!$B$7+'Inputs'!$B$10))^2+('Inputs'!$B$8/2)^2))))*'Results'!$B$8)+'Inputs'!$B$28*ABS((('Results'!B7*(1+'Inputs'!$B$24)*(0.5*((((362-43)*MAX('Inputs'!$B$33,'Inputs'!$B$29+'Inputs'!$B$31+'Inputs'!$B$32,'Inputs'!$B$30+'Inputs'!$B$31+'Inputs'!$B$32)/1000+'Inputs'!$B$21)+'Inputs'!$B$7)/SQRT((((362-43)*MAX('Inputs'!$B$33,'Inputs'!$B$29+'Inputs'!$B$31+'Inputs'!$B$32,'Inputs'!$B$30+'Inputs'!$B$31+'Inputs'!$B$32)/1000+'Inputs'!$B$21)+'Inputs'!$B$7)^2+('Inputs'!$B$6/2)^2)-(((362-43)*MAX('Inputs'!$B$33,'Inputs'!$B$29+'Inputs'!$B$31+'Inputs'!$B$32,'Inputs'!$B$30+'Inputs'!$B$31+'Inputs'!$B$32)/1000+'Inputs'!$B$21))/SQRT((((362-43)*MAX('Inputs'!$B$33,'Inputs'!$B$29+'Inputs'!$B$31+'Inputs'!$B$32,'Inputs'!$B$30+'Inputs'!$B$31+'Inputs'!$B$32)/1000+'Inputs'!$B$21))^2+('Inputs'!$B$6/2)^2)))-'Results'!C7*(1-'Inputs'!$B$24)*(0.5*((((362-43)*MAX('Inputs'!$B$33,'Inputs'!$B$29+'Inputs'!$B$31+'Inputs'!$B$32,'Inputs'!$B$30+'Inputs'!$B$31+'Inputs'!$B$32)/1000+'Inputs'!$B$21+'Inputs'!$B$7+'Inputs'!$B$10)+'Inputs'!$B$9)/SQRT((((362-43)*MAX('Inputs'!$B$33,'Inputs'!$B$29+'Inputs'!$B$31+'Inputs'!$B$32,'Inputs'!$B$30+'Inputs'!$B$31+'Inputs'!$B$32)/1000+'Inputs'!$B$21+'Inputs'!$B$7+'Inputs'!$B$10)+'Inputs'!$B$9)^2+('Inputs'!$B$8/2)^2)-(((362-43)*MAX('Inputs'!$B$33,'Inputs'!$B$29+'Inputs'!$B$31+'Inputs'!$B$32,'Inputs'!$B$30+'Inputs'!$B$31+'Inputs'!$B$32)/1000+'Inputs'!$B$21+'Inputs'!$B$7+'Inputs'!$B$10))/SQRT((((362-43)*MAX('Inputs'!$B$33,'Inputs'!$B$29+'Inputs'!$B$31+'Inputs'!$B$32,'Inputs'!$B$30+'Inputs'!$B$31+'Inputs'!$B$32)/1000+'Inputs'!$B$21+'Inputs'!$B$7+'Inputs'!$B$10))^2+('Inputs'!$B$8/2)^2))))*'Results'!$B$8))),"")</x:f>
        <x:v>20.22104330858669</x:v>
      </x:c>
      <x:c r="M362" t="n">
        <x:f>IF(AND(ISNUMBER('Results'!C7),ISNUMBER('Results'!B7),ISNUMBER('Results'!$B$8),ISNUMBER('Inputs'!$B$6),ISNUMBER('Inputs'!$B$7),ISNUMBER('Inputs'!$B$8),ISNUMBER('Inputs'!$B$9),ISNUMBER('Inputs'!$B$10),ISNUMBER('Inputs'!$B$21),ISNUMBER('Inputs'!$B$24),ISNUMBER('Inputs'!$B$28)),(('Results'!C7*(0.5*((((362-43)*MAX('Inputs'!$B$33,'Inputs'!$B$29+'Inputs'!$B$31+'Inputs'!$B$32,'Inputs'!$B$30+'Inputs'!$B$31+'Inputs'!$B$32)/1000+'Inputs'!$B$21)+'Inputs'!$B$9)/SQRT((((362-43)*MAX('Inputs'!$B$33,'Inputs'!$B$29+'Inputs'!$B$31+'Inputs'!$B$32,'Inputs'!$B$30+'Inputs'!$B$31+'Inputs'!$B$32)/1000+'Inputs'!$B$21)+'Inputs'!$B$9)^2+('Inputs'!$B$8/2)^2)-(((362-43)*MAX('Inputs'!$B$33,'Inputs'!$B$29+'Inputs'!$B$31+'Inputs'!$B$32,'Inputs'!$B$30+'Inputs'!$B$31+'Inputs'!$B$32)/1000+'Inputs'!$B$21))/SQRT((((362-43)*MAX('Inputs'!$B$33,'Inputs'!$B$29+'Inputs'!$B$31+'Inputs'!$B$32,'Inputs'!$B$30+'Inputs'!$B$31+'Inputs'!$B$32)/1000+'Inputs'!$B$21))^2+('Inputs'!$B$8/2)^2)))-'Results'!B7*(0.5*((((362-43)*MAX('Inputs'!$B$33,'Inputs'!$B$29+'Inputs'!$B$31+'Inputs'!$B$32,'Inputs'!$B$30+'Inputs'!$B$31+'Inputs'!$B$32)/1000+'Inputs'!$B$21+'Inputs'!$B$9+'Inputs'!$B$10)+'Inputs'!$B$7)/SQRT((((362-43)*MAX('Inputs'!$B$33,'Inputs'!$B$29+'Inputs'!$B$31+'Inputs'!$B$32,'Inputs'!$B$30+'Inputs'!$B$31+'Inputs'!$B$32)/1000+'Inputs'!$B$21+'Inputs'!$B$9+'Inputs'!$B$10)+'Inputs'!$B$7)^2+('Inputs'!$B$6/2)^2)-(((362-43)*MAX('Inputs'!$B$33,'Inputs'!$B$29+'Inputs'!$B$31+'Inputs'!$B$32,'Inputs'!$B$30+'Inputs'!$B$31+'Inputs'!$B$32)/1000+'Inputs'!$B$21+'Inputs'!$B$9+'Inputs'!$B$10))/SQRT((((362-43)*MAX('Inputs'!$B$33,'Inputs'!$B$29+'Inputs'!$B$31+'Inputs'!$B$32,'Inputs'!$B$30+'Inputs'!$B$31+'Inputs'!$B$32)/1000+'Inputs'!$B$21+'Inputs'!$B$9+'Inputs'!$B$10))^2+('Inputs'!$B$6/2)^2))))*'Results'!$B$8),"")</x:f>
        <x:v>17.445776789389175</x:v>
      </x:c>
      <x:c r="N362" t="n">
        <x:f>IF(AND(ISNUMBER('Results'!C7),ISNUMBER('Results'!B7),ISNUMBER('Results'!$B$8),ISNUMBER('Inputs'!$B$6),ISNUMBER('Inputs'!$B$7),ISNUMBER('Inputs'!$B$8),ISNUMBER('Inputs'!$B$9),ISNUMBER('Inputs'!$B$10),ISNUMBER('Inputs'!$B$21),ISNUMBER('Inputs'!$B$24),ISNUMBER('Inputs'!$B$28)),((('Results'!C7*(1-'Inputs'!$B$24)*(0.5*((((362-43)*MAX('Inputs'!$B$33,'Inputs'!$B$29+'Inputs'!$B$31+'Inputs'!$B$32,'Inputs'!$B$30+'Inputs'!$B$31+'Inputs'!$B$32)/1000+'Inputs'!$B$21)+'Inputs'!$B$9)/SQRT((((362-43)*MAX('Inputs'!$B$33,'Inputs'!$B$29+'Inputs'!$B$31+'Inputs'!$B$32,'Inputs'!$B$30+'Inputs'!$B$31+'Inputs'!$B$32)/1000+'Inputs'!$B$21)+'Inputs'!$B$9)^2+('Inputs'!$B$8/2)^2)-(((362-43)*MAX('Inputs'!$B$33,'Inputs'!$B$29+'Inputs'!$B$31+'Inputs'!$B$32,'Inputs'!$B$30+'Inputs'!$B$31+'Inputs'!$B$32)/1000+'Inputs'!$B$21))/SQRT((((362-43)*MAX('Inputs'!$B$33,'Inputs'!$B$29+'Inputs'!$B$31+'Inputs'!$B$32,'Inputs'!$B$30+'Inputs'!$B$31+'Inputs'!$B$32)/1000+'Inputs'!$B$21))^2+('Inputs'!$B$8/2)^2)))-'Results'!B7*(1+'Inputs'!$B$24)*(0.5*((((362-43)*MAX('Inputs'!$B$33,'Inputs'!$B$29+'Inputs'!$B$31+'Inputs'!$B$32,'Inputs'!$B$30+'Inputs'!$B$31+'Inputs'!$B$32)/1000+'Inputs'!$B$21+'Inputs'!$B$9+'Inputs'!$B$10)+'Inputs'!$B$7)/SQRT((((362-43)*MAX('Inputs'!$B$33,'Inputs'!$B$29+'Inputs'!$B$31+'Inputs'!$B$32,'Inputs'!$B$30+'Inputs'!$B$31+'Inputs'!$B$32)/1000+'Inputs'!$B$21+'Inputs'!$B$9+'Inputs'!$B$10)+'Inputs'!$B$7)^2+('Inputs'!$B$6/2)^2)-(((362-43)*MAX('Inputs'!$B$33,'Inputs'!$B$29+'Inputs'!$B$31+'Inputs'!$B$32,'Inputs'!$B$30+'Inputs'!$B$31+'Inputs'!$B$32)/1000+'Inputs'!$B$21+'Inputs'!$B$9+'Inputs'!$B$10))/SQRT((((362-43)*MAX('Inputs'!$B$33,'Inputs'!$B$29+'Inputs'!$B$31+'Inputs'!$B$32,'Inputs'!$B$30+'Inputs'!$B$31+'Inputs'!$B$32)/1000+'Inputs'!$B$21+'Inputs'!$B$9+'Inputs'!$B$10))^2+('Inputs'!$B$6/2)^2))))*'Results'!$B$8)-'Inputs'!$B$28*ABS((('Results'!C7*(1-'Inputs'!$B$24)*(0.5*((((362-43)*MAX('Inputs'!$B$33,'Inputs'!$B$29+'Inputs'!$B$31+'Inputs'!$B$32,'Inputs'!$B$30+'Inputs'!$B$31+'Inputs'!$B$32)/1000+'Inputs'!$B$21)+'Inputs'!$B$9)/SQRT((((362-43)*MAX('Inputs'!$B$33,'Inputs'!$B$29+'Inputs'!$B$31+'Inputs'!$B$32,'Inputs'!$B$30+'Inputs'!$B$31+'Inputs'!$B$32)/1000+'Inputs'!$B$21)+'Inputs'!$B$9)^2+('Inputs'!$B$8/2)^2)-(((362-43)*MAX('Inputs'!$B$33,'Inputs'!$B$29+'Inputs'!$B$31+'Inputs'!$B$32,'Inputs'!$B$30+'Inputs'!$B$31+'Inputs'!$B$32)/1000+'Inputs'!$B$21))/SQRT((((362-43)*MAX('Inputs'!$B$33,'Inputs'!$B$29+'Inputs'!$B$31+'Inputs'!$B$32,'Inputs'!$B$30+'Inputs'!$B$31+'Inputs'!$B$32)/1000+'Inputs'!$B$21))^2+('Inputs'!$B$8/2)^2)))-'Results'!B7*(1+'Inputs'!$B$24)*(0.5*((((362-43)*MAX('Inputs'!$B$33,'Inputs'!$B$29+'Inputs'!$B$31+'Inputs'!$B$32,'Inputs'!$B$30+'Inputs'!$B$31+'Inputs'!$B$32)/1000+'Inputs'!$B$21+'Inputs'!$B$9+'Inputs'!$B$10)+'Inputs'!$B$7)/SQRT((((362-43)*MAX('Inputs'!$B$33,'Inputs'!$B$29+'Inputs'!$B$31+'Inputs'!$B$32,'Inputs'!$B$30+'Inputs'!$B$31+'Inputs'!$B$32)/1000+'Inputs'!$B$21+'Inputs'!$B$9+'Inputs'!$B$10)+'Inputs'!$B$7)^2+('Inputs'!$B$6/2)^2)-(((362-43)*MAX('Inputs'!$B$33,'Inputs'!$B$29+'Inputs'!$B$31+'Inputs'!$B$32,'Inputs'!$B$30+'Inputs'!$B$31+'Inputs'!$B$32)/1000+'Inputs'!$B$21+'Inputs'!$B$9+'Inputs'!$B$10))/SQRT((((362-43)*MAX('Inputs'!$B$33,'Inputs'!$B$29+'Inputs'!$B$31+'Inputs'!$B$32,'Inputs'!$B$30+'Inputs'!$B$31+'Inputs'!$B$32)/1000+'Inputs'!$B$21+'Inputs'!$B$9+'Inputs'!$B$10))^2+('Inputs'!$B$6/2)^2))))*'Results'!$B$8))),"")</x:f>
        <x:v>15.722087545286994</x:v>
      </x:c>
      <x:c r="O362" t="n">
        <x:f>IF(AND(ISNUMBER('Results'!C7),ISNUMBER('Results'!B7),ISNUMBER('Results'!$B$8),ISNUMBER('Inputs'!$B$6),ISNUMBER('Inputs'!$B$7),ISNUMBER('Inputs'!$B$8),ISNUMBER('Inputs'!$B$9),ISNUMBER('Inputs'!$B$10),ISNUMBER('Inputs'!$B$21),ISNUMBER('Inputs'!$B$24),ISNUMBER('Inputs'!$B$28)),((('Results'!C7*(1+'Inputs'!$B$24)*(0.5*((((362-43)*MAX('Inputs'!$B$33,'Inputs'!$B$29+'Inputs'!$B$31+'Inputs'!$B$32,'Inputs'!$B$30+'Inputs'!$B$31+'Inputs'!$B$32)/1000+'Inputs'!$B$21)+'Inputs'!$B$9)/SQRT((((362-43)*MAX('Inputs'!$B$33,'Inputs'!$B$29+'Inputs'!$B$31+'Inputs'!$B$32,'Inputs'!$B$30+'Inputs'!$B$31+'Inputs'!$B$32)/1000+'Inputs'!$B$21)+'Inputs'!$B$9)^2+('Inputs'!$B$8/2)^2)-(((362-43)*MAX('Inputs'!$B$33,'Inputs'!$B$29+'Inputs'!$B$31+'Inputs'!$B$32,'Inputs'!$B$30+'Inputs'!$B$31+'Inputs'!$B$32)/1000+'Inputs'!$B$21))/SQRT((((362-43)*MAX('Inputs'!$B$33,'Inputs'!$B$29+'Inputs'!$B$31+'Inputs'!$B$32,'Inputs'!$B$30+'Inputs'!$B$31+'Inputs'!$B$32)/1000+'Inputs'!$B$21))^2+('Inputs'!$B$8/2)^2)))-'Results'!B7*(1-'Inputs'!$B$24)*(0.5*((((362-43)*MAX('Inputs'!$B$33,'Inputs'!$B$29+'Inputs'!$B$31+'Inputs'!$B$32,'Inputs'!$B$30+'Inputs'!$B$31+'Inputs'!$B$32)/1000+'Inputs'!$B$21+'Inputs'!$B$9+'Inputs'!$B$10)+'Inputs'!$B$7)/SQRT((((362-43)*MAX('Inputs'!$B$33,'Inputs'!$B$29+'Inputs'!$B$31+'Inputs'!$B$32,'Inputs'!$B$30+'Inputs'!$B$31+'Inputs'!$B$32)/1000+'Inputs'!$B$21+'Inputs'!$B$9+'Inputs'!$B$10)+'Inputs'!$B$7)^2+('Inputs'!$B$6/2)^2)-(((362-43)*MAX('Inputs'!$B$33,'Inputs'!$B$29+'Inputs'!$B$31+'Inputs'!$B$32,'Inputs'!$B$30+'Inputs'!$B$31+'Inputs'!$B$32)/1000+'Inputs'!$B$21+'Inputs'!$B$9+'Inputs'!$B$10))/SQRT((((362-43)*MAX('Inputs'!$B$33,'Inputs'!$B$29+'Inputs'!$B$31+'Inputs'!$B$32,'Inputs'!$B$30+'Inputs'!$B$31+'Inputs'!$B$32)/1000+'Inputs'!$B$21+'Inputs'!$B$9+'Inputs'!$B$10))^2+('Inputs'!$B$6/2)^2))))*'Results'!$B$8)+'Inputs'!$B$28*ABS((('Results'!C7*(1+'Inputs'!$B$24)*(0.5*((((362-43)*MAX('Inputs'!$B$33,'Inputs'!$B$29+'Inputs'!$B$31+'Inputs'!$B$32,'Inputs'!$B$30+'Inputs'!$B$31+'Inputs'!$B$32)/1000+'Inputs'!$B$21)+'Inputs'!$B$9)/SQRT((((362-43)*MAX('Inputs'!$B$33,'Inputs'!$B$29+'Inputs'!$B$31+'Inputs'!$B$32,'Inputs'!$B$30+'Inputs'!$B$31+'Inputs'!$B$32)/1000+'Inputs'!$B$21)+'Inputs'!$B$9)^2+('Inputs'!$B$8/2)^2)-(((362-43)*MAX('Inputs'!$B$33,'Inputs'!$B$29+'Inputs'!$B$31+'Inputs'!$B$32,'Inputs'!$B$30+'Inputs'!$B$31+'Inputs'!$B$32)/1000+'Inputs'!$B$21))/SQRT((((362-43)*MAX('Inputs'!$B$33,'Inputs'!$B$29+'Inputs'!$B$31+'Inputs'!$B$32,'Inputs'!$B$30+'Inputs'!$B$31+'Inputs'!$B$32)/1000+'Inputs'!$B$21))^2+('Inputs'!$B$8/2)^2)))-'Results'!B7*(1-'Inputs'!$B$24)*(0.5*((((362-43)*MAX('Inputs'!$B$33,'Inputs'!$B$29+'Inputs'!$B$31+'Inputs'!$B$32,'Inputs'!$B$30+'Inputs'!$B$31+'Inputs'!$B$32)/1000+'Inputs'!$B$21+'Inputs'!$B$9+'Inputs'!$B$10)+'Inputs'!$B$7)/SQRT((((362-43)*MAX('Inputs'!$B$33,'Inputs'!$B$29+'Inputs'!$B$31+'Inputs'!$B$32,'Inputs'!$B$30+'Inputs'!$B$31+'Inputs'!$B$32)/1000+'Inputs'!$B$21+'Inputs'!$B$9+'Inputs'!$B$10)+'Inputs'!$B$7)^2+('Inputs'!$B$6/2)^2)-(((362-43)*MAX('Inputs'!$B$33,'Inputs'!$B$29+'Inputs'!$B$31+'Inputs'!$B$32,'Inputs'!$B$30+'Inputs'!$B$31+'Inputs'!$B$32)/1000+'Inputs'!$B$21+'Inputs'!$B$9+'Inputs'!$B$10))/SQRT((((362-43)*MAX('Inputs'!$B$33,'Inputs'!$B$29+'Inputs'!$B$31+'Inputs'!$B$32,'Inputs'!$B$30+'Inputs'!$B$31+'Inputs'!$B$32)/1000+'Inputs'!$B$21+'Inputs'!$B$9+'Inputs'!$B$10))^2+('Inputs'!$B$6/2)^2))))*'Results'!$B$8))),"")</x:f>
        <x:v>19.259087128715862</x:v>
      </x:c>
      <x:c r="P362" t="n">
        <x:f>IF(AND(MAX(J362,J361)&gt;0,J362&gt;J361+0.00000001),1,0)</x:f>
        <x:v>0</x:v>
      </x:c>
      <x:c r="Q362" t="n">
        <x:f>IF(AND(MAX(K362,K361)&gt;0,K362&gt;K361+0.00000001),1,0)</x:f>
        <x:v>0</x:v>
      </x:c>
      <x:c r="R362" t="n">
        <x:f>IF(AND(MAX(L362,L361)&gt;0,L362&gt;L361+0.00000001),1,0)</x:f>
        <x:v>0</x:v>
      </x:c>
      <x:c r="S362" t="n">
        <x:f>IF(AND(MAX(M362,M361)&gt;0,M362&gt;M361+0.00000001),1,0)</x:f>
        <x:v>0</x:v>
      </x:c>
      <x:c r="T362" t="n">
        <x:f>IF(AND(MAX(N362,N361)&gt;0,N362&gt;N361+0.00000001),1,0)</x:f>
        <x:v>0</x:v>
      </x:c>
      <x:c r="U362" t="n">
        <x:f>IF(AND(MAX(O362,O361)&gt;0,O362&gt;O361+0.00000001),1,0)</x:f>
        <x:v>0</x:v>
      </x:c>
    </x:row>
    <x:row r="363">
      <x:c r="J363" t="n">
        <x:f>IF(AND(ISNUMBER('Results'!B7),ISNUMBER('Results'!C7),ISNUMBER('Results'!$B$8),ISNUMBER('Inputs'!$B$6),ISNUMBER('Inputs'!$B$7),ISNUMBER('Inputs'!$B$8),ISNUMBER('Inputs'!$B$9),ISNUMBER('Inputs'!$B$10),ISNUMBER('Inputs'!$B$21),ISNUMBER('Inputs'!$B$24),ISNUMBER('Inputs'!$B$28)),(('Results'!B7*(0.5*((((363-43)*MAX('Inputs'!$B$33,'Inputs'!$B$29+'Inputs'!$B$31+'Inputs'!$B$32,'Inputs'!$B$30+'Inputs'!$B$31+'Inputs'!$B$32)/1000+'Inputs'!$B$21)+'Inputs'!$B$7)/SQRT((((363-43)*MAX('Inputs'!$B$33,'Inputs'!$B$29+'Inputs'!$B$31+'Inputs'!$B$32,'Inputs'!$B$30+'Inputs'!$B$31+'Inputs'!$B$32)/1000+'Inputs'!$B$21)+'Inputs'!$B$7)^2+('Inputs'!$B$6/2)^2)-(((363-43)*MAX('Inputs'!$B$33,'Inputs'!$B$29+'Inputs'!$B$31+'Inputs'!$B$32,'Inputs'!$B$30+'Inputs'!$B$31+'Inputs'!$B$32)/1000+'Inputs'!$B$21))/SQRT((((363-43)*MAX('Inputs'!$B$33,'Inputs'!$B$29+'Inputs'!$B$31+'Inputs'!$B$32,'Inputs'!$B$30+'Inputs'!$B$31+'Inputs'!$B$32)/1000+'Inputs'!$B$21))^2+('Inputs'!$B$6/2)^2)))-'Results'!C7*(0.5*((((363-43)*MAX('Inputs'!$B$33,'Inputs'!$B$29+'Inputs'!$B$31+'Inputs'!$B$32,'Inputs'!$B$30+'Inputs'!$B$31+'Inputs'!$B$32)/1000+'Inputs'!$B$21+'Inputs'!$B$7+'Inputs'!$B$10)+'Inputs'!$B$9)/SQRT((((363-43)*MAX('Inputs'!$B$33,'Inputs'!$B$29+'Inputs'!$B$31+'Inputs'!$B$32,'Inputs'!$B$30+'Inputs'!$B$31+'Inputs'!$B$32)/1000+'Inputs'!$B$21+'Inputs'!$B$7+'Inputs'!$B$10)+'Inputs'!$B$9)^2+('Inputs'!$B$8/2)^2)-(((363-43)*MAX('Inputs'!$B$33,'Inputs'!$B$29+'Inputs'!$B$31+'Inputs'!$B$32,'Inputs'!$B$30+'Inputs'!$B$31+'Inputs'!$B$32)/1000+'Inputs'!$B$21+'Inputs'!$B$7+'Inputs'!$B$10))/SQRT((((363-43)*MAX('Inputs'!$B$33,'Inputs'!$B$29+'Inputs'!$B$31+'Inputs'!$B$32,'Inputs'!$B$30+'Inputs'!$B$31+'Inputs'!$B$32)/1000+'Inputs'!$B$21+'Inputs'!$B$7+'Inputs'!$B$10))^2+('Inputs'!$B$8/2)^2))))*'Results'!$B$8),"")</x:f>
        <x:v>18.174460496634033</x:v>
      </x:c>
      <x:c r="K363" t="n">
        <x:f>IF(AND(ISNUMBER('Results'!B7),ISNUMBER('Results'!C7),ISNUMBER('Results'!$B$8),ISNUMBER('Inputs'!$B$6),ISNUMBER('Inputs'!$B$7),ISNUMBER('Inputs'!$B$8),ISNUMBER('Inputs'!$B$9),ISNUMBER('Inputs'!$B$10),ISNUMBER('Inputs'!$B$21),ISNUMBER('Inputs'!$B$24),ISNUMBER('Inputs'!$B$28)),((('Results'!B7*(1-'Inputs'!$B$24)*(0.5*((((363-43)*MAX('Inputs'!$B$33,'Inputs'!$B$29+'Inputs'!$B$31+'Inputs'!$B$32,'Inputs'!$B$30+'Inputs'!$B$31+'Inputs'!$B$32)/1000+'Inputs'!$B$21)+'Inputs'!$B$7)/SQRT((((363-43)*MAX('Inputs'!$B$33,'Inputs'!$B$29+'Inputs'!$B$31+'Inputs'!$B$32,'Inputs'!$B$30+'Inputs'!$B$31+'Inputs'!$B$32)/1000+'Inputs'!$B$21)+'Inputs'!$B$7)^2+('Inputs'!$B$6/2)^2)-(((363-43)*MAX('Inputs'!$B$33,'Inputs'!$B$29+'Inputs'!$B$31+'Inputs'!$B$32,'Inputs'!$B$30+'Inputs'!$B$31+'Inputs'!$B$32)/1000+'Inputs'!$B$21))/SQRT((((363-43)*MAX('Inputs'!$B$33,'Inputs'!$B$29+'Inputs'!$B$31+'Inputs'!$B$32,'Inputs'!$B$30+'Inputs'!$B$31+'Inputs'!$B$32)/1000+'Inputs'!$B$21))^2+('Inputs'!$B$6/2)^2)))-'Results'!C7*(1+'Inputs'!$B$24)*(0.5*((((363-43)*MAX('Inputs'!$B$33,'Inputs'!$B$29+'Inputs'!$B$31+'Inputs'!$B$32,'Inputs'!$B$30+'Inputs'!$B$31+'Inputs'!$B$32)/1000+'Inputs'!$B$21+'Inputs'!$B$7+'Inputs'!$B$10)+'Inputs'!$B$9)/SQRT((((363-43)*MAX('Inputs'!$B$33,'Inputs'!$B$29+'Inputs'!$B$31+'Inputs'!$B$32,'Inputs'!$B$30+'Inputs'!$B$31+'Inputs'!$B$32)/1000+'Inputs'!$B$21+'Inputs'!$B$7+'Inputs'!$B$10)+'Inputs'!$B$9)^2+('Inputs'!$B$8/2)^2)-(((363-43)*MAX('Inputs'!$B$33,'Inputs'!$B$29+'Inputs'!$B$31+'Inputs'!$B$32,'Inputs'!$B$30+'Inputs'!$B$31+'Inputs'!$B$32)/1000+'Inputs'!$B$21+'Inputs'!$B$7+'Inputs'!$B$10))/SQRT((((363-43)*MAX('Inputs'!$B$33,'Inputs'!$B$29+'Inputs'!$B$31+'Inputs'!$B$32,'Inputs'!$B$30+'Inputs'!$B$31+'Inputs'!$B$32)/1000+'Inputs'!$B$21+'Inputs'!$B$7+'Inputs'!$B$10))^2+('Inputs'!$B$8/2)^2))))*'Results'!$B$8)-'Inputs'!$B$28*ABS((('Results'!B7*(1-'Inputs'!$B$24)*(0.5*((((363-43)*MAX('Inputs'!$B$33,'Inputs'!$B$29+'Inputs'!$B$31+'Inputs'!$B$32,'Inputs'!$B$30+'Inputs'!$B$31+'Inputs'!$B$32)/1000+'Inputs'!$B$21)+'Inputs'!$B$7)/SQRT((((363-43)*MAX('Inputs'!$B$33,'Inputs'!$B$29+'Inputs'!$B$31+'Inputs'!$B$32,'Inputs'!$B$30+'Inputs'!$B$31+'Inputs'!$B$32)/1000+'Inputs'!$B$21)+'Inputs'!$B$7)^2+('Inputs'!$B$6/2)^2)-(((363-43)*MAX('Inputs'!$B$33,'Inputs'!$B$29+'Inputs'!$B$31+'Inputs'!$B$32,'Inputs'!$B$30+'Inputs'!$B$31+'Inputs'!$B$32)/1000+'Inputs'!$B$21))/SQRT((((363-43)*MAX('Inputs'!$B$33,'Inputs'!$B$29+'Inputs'!$B$31+'Inputs'!$B$32,'Inputs'!$B$30+'Inputs'!$B$31+'Inputs'!$B$32)/1000+'Inputs'!$B$21))^2+('Inputs'!$B$6/2)^2)))-'Results'!C7*(1+'Inputs'!$B$24)*(0.5*((((363-43)*MAX('Inputs'!$B$33,'Inputs'!$B$29+'Inputs'!$B$31+'Inputs'!$B$32,'Inputs'!$B$30+'Inputs'!$B$31+'Inputs'!$B$32)/1000+'Inputs'!$B$21+'Inputs'!$B$7+'Inputs'!$B$10)+'Inputs'!$B$9)/SQRT((((363-43)*MAX('Inputs'!$B$33,'Inputs'!$B$29+'Inputs'!$B$31+'Inputs'!$B$32,'Inputs'!$B$30+'Inputs'!$B$31+'Inputs'!$B$32)/1000+'Inputs'!$B$21+'Inputs'!$B$7+'Inputs'!$B$10)+'Inputs'!$B$9)^2+('Inputs'!$B$8/2)^2)-(((363-43)*MAX('Inputs'!$B$33,'Inputs'!$B$29+'Inputs'!$B$31+'Inputs'!$B$32,'Inputs'!$B$30+'Inputs'!$B$31+'Inputs'!$B$32)/1000+'Inputs'!$B$21+'Inputs'!$B$7+'Inputs'!$B$10))/SQRT((((363-43)*MAX('Inputs'!$B$33,'Inputs'!$B$29+'Inputs'!$B$31+'Inputs'!$B$32,'Inputs'!$B$30+'Inputs'!$B$31+'Inputs'!$B$32)/1000+'Inputs'!$B$21+'Inputs'!$B$7+'Inputs'!$B$10))^2+('Inputs'!$B$8/2)^2))))*'Results'!$B$8))),"")</x:f>
        <x:v>16.4141545534903</x:v>
      </x:c>
      <x:c r="L363" t="n">
        <x:f>IF(AND(ISNUMBER('Results'!B7),ISNUMBER('Results'!C7),ISNUMBER('Results'!$B$8),ISNUMBER('Inputs'!$B$6),ISNUMBER('Inputs'!$B$7),ISNUMBER('Inputs'!$B$8),ISNUMBER('Inputs'!$B$9),ISNUMBER('Inputs'!$B$10),ISNUMBER('Inputs'!$B$21),ISNUMBER('Inputs'!$B$24),ISNUMBER('Inputs'!$B$28)),((('Results'!B7*(1+'Inputs'!$B$24)*(0.5*((((363-43)*MAX('Inputs'!$B$33,'Inputs'!$B$29+'Inputs'!$B$31+'Inputs'!$B$32,'Inputs'!$B$30+'Inputs'!$B$31+'Inputs'!$B$32)/1000+'Inputs'!$B$21)+'Inputs'!$B$7)/SQRT((((363-43)*MAX('Inputs'!$B$33,'Inputs'!$B$29+'Inputs'!$B$31+'Inputs'!$B$32,'Inputs'!$B$30+'Inputs'!$B$31+'Inputs'!$B$32)/1000+'Inputs'!$B$21)+'Inputs'!$B$7)^2+('Inputs'!$B$6/2)^2)-(((363-43)*MAX('Inputs'!$B$33,'Inputs'!$B$29+'Inputs'!$B$31+'Inputs'!$B$32,'Inputs'!$B$30+'Inputs'!$B$31+'Inputs'!$B$32)/1000+'Inputs'!$B$21))/SQRT((((363-43)*MAX('Inputs'!$B$33,'Inputs'!$B$29+'Inputs'!$B$31+'Inputs'!$B$32,'Inputs'!$B$30+'Inputs'!$B$31+'Inputs'!$B$32)/1000+'Inputs'!$B$21))^2+('Inputs'!$B$6/2)^2)))-'Results'!C7*(1-'Inputs'!$B$24)*(0.5*((((363-43)*MAX('Inputs'!$B$33,'Inputs'!$B$29+'Inputs'!$B$31+'Inputs'!$B$32,'Inputs'!$B$30+'Inputs'!$B$31+'Inputs'!$B$32)/1000+'Inputs'!$B$21+'Inputs'!$B$7+'Inputs'!$B$10)+'Inputs'!$B$9)/SQRT((((363-43)*MAX('Inputs'!$B$33,'Inputs'!$B$29+'Inputs'!$B$31+'Inputs'!$B$32,'Inputs'!$B$30+'Inputs'!$B$31+'Inputs'!$B$32)/1000+'Inputs'!$B$21+'Inputs'!$B$7+'Inputs'!$B$10)+'Inputs'!$B$9)^2+('Inputs'!$B$8/2)^2)-(((363-43)*MAX('Inputs'!$B$33,'Inputs'!$B$29+'Inputs'!$B$31+'Inputs'!$B$32,'Inputs'!$B$30+'Inputs'!$B$31+'Inputs'!$B$32)/1000+'Inputs'!$B$21+'Inputs'!$B$7+'Inputs'!$B$10))/SQRT((((363-43)*MAX('Inputs'!$B$33,'Inputs'!$B$29+'Inputs'!$B$31+'Inputs'!$B$32,'Inputs'!$B$30+'Inputs'!$B$31+'Inputs'!$B$32)/1000+'Inputs'!$B$21+'Inputs'!$B$7+'Inputs'!$B$10))^2+('Inputs'!$B$8/2)^2))))*'Results'!$B$8)+'Inputs'!$B$28*ABS((('Results'!B7*(1+'Inputs'!$B$24)*(0.5*((((363-43)*MAX('Inputs'!$B$33,'Inputs'!$B$29+'Inputs'!$B$31+'Inputs'!$B$32,'Inputs'!$B$30+'Inputs'!$B$31+'Inputs'!$B$32)/1000+'Inputs'!$B$21)+'Inputs'!$B$7)/SQRT((((363-43)*MAX('Inputs'!$B$33,'Inputs'!$B$29+'Inputs'!$B$31+'Inputs'!$B$32,'Inputs'!$B$30+'Inputs'!$B$31+'Inputs'!$B$32)/1000+'Inputs'!$B$21)+'Inputs'!$B$7)^2+('Inputs'!$B$6/2)^2)-(((363-43)*MAX('Inputs'!$B$33,'Inputs'!$B$29+'Inputs'!$B$31+'Inputs'!$B$32,'Inputs'!$B$30+'Inputs'!$B$31+'Inputs'!$B$32)/1000+'Inputs'!$B$21))/SQRT((((363-43)*MAX('Inputs'!$B$33,'Inputs'!$B$29+'Inputs'!$B$31+'Inputs'!$B$32,'Inputs'!$B$30+'Inputs'!$B$31+'Inputs'!$B$32)/1000+'Inputs'!$B$21))^2+('Inputs'!$B$6/2)^2)))-'Results'!C7*(1-'Inputs'!$B$24)*(0.5*((((363-43)*MAX('Inputs'!$B$33,'Inputs'!$B$29+'Inputs'!$B$31+'Inputs'!$B$32,'Inputs'!$B$30+'Inputs'!$B$31+'Inputs'!$B$32)/1000+'Inputs'!$B$21+'Inputs'!$B$7+'Inputs'!$B$10)+'Inputs'!$B$9)/SQRT((((363-43)*MAX('Inputs'!$B$33,'Inputs'!$B$29+'Inputs'!$B$31+'Inputs'!$B$32,'Inputs'!$B$30+'Inputs'!$B$31+'Inputs'!$B$32)/1000+'Inputs'!$B$21+'Inputs'!$B$7+'Inputs'!$B$10)+'Inputs'!$B$9)^2+('Inputs'!$B$8/2)^2)-(((363-43)*MAX('Inputs'!$B$33,'Inputs'!$B$29+'Inputs'!$B$31+'Inputs'!$B$32,'Inputs'!$B$30+'Inputs'!$B$31+'Inputs'!$B$32)/1000+'Inputs'!$B$21+'Inputs'!$B$7+'Inputs'!$B$10))/SQRT((((363-43)*MAX('Inputs'!$B$33,'Inputs'!$B$29+'Inputs'!$B$31+'Inputs'!$B$32,'Inputs'!$B$30+'Inputs'!$B$31+'Inputs'!$B$32)/1000+'Inputs'!$B$21+'Inputs'!$B$7+'Inputs'!$B$10))^2+('Inputs'!$B$8/2)^2))))*'Results'!$B$8))),"")</x:f>
        <x:v>20.024406746968513</x:v>
      </x:c>
      <x:c r="M363" t="n">
        <x:f>IF(AND(ISNUMBER('Results'!C7),ISNUMBER('Results'!B7),ISNUMBER('Results'!$B$8),ISNUMBER('Inputs'!$B$6),ISNUMBER('Inputs'!$B$7),ISNUMBER('Inputs'!$B$8),ISNUMBER('Inputs'!$B$9),ISNUMBER('Inputs'!$B$10),ISNUMBER('Inputs'!$B$21),ISNUMBER('Inputs'!$B$24),ISNUMBER('Inputs'!$B$28)),(('Results'!C7*(0.5*((((363-43)*MAX('Inputs'!$B$33,'Inputs'!$B$29+'Inputs'!$B$31+'Inputs'!$B$32,'Inputs'!$B$30+'Inputs'!$B$31+'Inputs'!$B$32)/1000+'Inputs'!$B$21)+'Inputs'!$B$9)/SQRT((((363-43)*MAX('Inputs'!$B$33,'Inputs'!$B$29+'Inputs'!$B$31+'Inputs'!$B$32,'Inputs'!$B$30+'Inputs'!$B$31+'Inputs'!$B$32)/1000+'Inputs'!$B$21)+'Inputs'!$B$9)^2+('Inputs'!$B$8/2)^2)-(((363-43)*MAX('Inputs'!$B$33,'Inputs'!$B$29+'Inputs'!$B$31+'Inputs'!$B$32,'Inputs'!$B$30+'Inputs'!$B$31+'Inputs'!$B$32)/1000+'Inputs'!$B$21))/SQRT((((363-43)*MAX('Inputs'!$B$33,'Inputs'!$B$29+'Inputs'!$B$31+'Inputs'!$B$32,'Inputs'!$B$30+'Inputs'!$B$31+'Inputs'!$B$32)/1000+'Inputs'!$B$21))^2+('Inputs'!$B$8/2)^2)))-'Results'!B7*(0.5*((((363-43)*MAX('Inputs'!$B$33,'Inputs'!$B$29+'Inputs'!$B$31+'Inputs'!$B$32,'Inputs'!$B$30+'Inputs'!$B$31+'Inputs'!$B$32)/1000+'Inputs'!$B$21+'Inputs'!$B$9+'Inputs'!$B$10)+'Inputs'!$B$7)/SQRT((((363-43)*MAX('Inputs'!$B$33,'Inputs'!$B$29+'Inputs'!$B$31+'Inputs'!$B$32,'Inputs'!$B$30+'Inputs'!$B$31+'Inputs'!$B$32)/1000+'Inputs'!$B$21+'Inputs'!$B$9+'Inputs'!$B$10)+'Inputs'!$B$7)^2+('Inputs'!$B$6/2)^2)-(((363-43)*MAX('Inputs'!$B$33,'Inputs'!$B$29+'Inputs'!$B$31+'Inputs'!$B$32,'Inputs'!$B$30+'Inputs'!$B$31+'Inputs'!$B$32)/1000+'Inputs'!$B$21+'Inputs'!$B$9+'Inputs'!$B$10))/SQRT((((363-43)*MAX('Inputs'!$B$33,'Inputs'!$B$29+'Inputs'!$B$31+'Inputs'!$B$32,'Inputs'!$B$30+'Inputs'!$B$31+'Inputs'!$B$32)/1000+'Inputs'!$B$21+'Inputs'!$B$9+'Inputs'!$B$10))^2+('Inputs'!$B$6/2)^2))))*'Results'!$B$8),"")</x:f>
        <x:v>17.272619528175866</x:v>
      </x:c>
      <x:c r="N363" t="n">
        <x:f>IF(AND(ISNUMBER('Results'!C7),ISNUMBER('Results'!B7),ISNUMBER('Results'!$B$8),ISNUMBER('Inputs'!$B$6),ISNUMBER('Inputs'!$B$7),ISNUMBER('Inputs'!$B$8),ISNUMBER('Inputs'!$B$9),ISNUMBER('Inputs'!$B$10),ISNUMBER('Inputs'!$B$21),ISNUMBER('Inputs'!$B$24),ISNUMBER('Inputs'!$B$28)),((('Results'!C7*(1-'Inputs'!$B$24)*(0.5*((((363-43)*MAX('Inputs'!$B$33,'Inputs'!$B$29+'Inputs'!$B$31+'Inputs'!$B$32,'Inputs'!$B$30+'Inputs'!$B$31+'Inputs'!$B$32)/1000+'Inputs'!$B$21)+'Inputs'!$B$9)/SQRT((((363-43)*MAX('Inputs'!$B$33,'Inputs'!$B$29+'Inputs'!$B$31+'Inputs'!$B$32,'Inputs'!$B$30+'Inputs'!$B$31+'Inputs'!$B$32)/1000+'Inputs'!$B$21)+'Inputs'!$B$9)^2+('Inputs'!$B$8/2)^2)-(((363-43)*MAX('Inputs'!$B$33,'Inputs'!$B$29+'Inputs'!$B$31+'Inputs'!$B$32,'Inputs'!$B$30+'Inputs'!$B$31+'Inputs'!$B$32)/1000+'Inputs'!$B$21))/SQRT((((363-43)*MAX('Inputs'!$B$33,'Inputs'!$B$29+'Inputs'!$B$31+'Inputs'!$B$32,'Inputs'!$B$30+'Inputs'!$B$31+'Inputs'!$B$32)/1000+'Inputs'!$B$21))^2+('Inputs'!$B$8/2)^2)))-'Results'!B7*(1+'Inputs'!$B$24)*(0.5*((((363-43)*MAX('Inputs'!$B$33,'Inputs'!$B$29+'Inputs'!$B$31+'Inputs'!$B$32,'Inputs'!$B$30+'Inputs'!$B$31+'Inputs'!$B$32)/1000+'Inputs'!$B$21+'Inputs'!$B$9+'Inputs'!$B$10)+'Inputs'!$B$7)/SQRT((((363-43)*MAX('Inputs'!$B$33,'Inputs'!$B$29+'Inputs'!$B$31+'Inputs'!$B$32,'Inputs'!$B$30+'Inputs'!$B$31+'Inputs'!$B$32)/1000+'Inputs'!$B$21+'Inputs'!$B$9+'Inputs'!$B$10)+'Inputs'!$B$7)^2+('Inputs'!$B$6/2)^2)-(((363-43)*MAX('Inputs'!$B$33,'Inputs'!$B$29+'Inputs'!$B$31+'Inputs'!$B$32,'Inputs'!$B$30+'Inputs'!$B$31+'Inputs'!$B$32)/1000+'Inputs'!$B$21+'Inputs'!$B$9+'Inputs'!$B$10))/SQRT((((363-43)*MAX('Inputs'!$B$33,'Inputs'!$B$29+'Inputs'!$B$31+'Inputs'!$B$32,'Inputs'!$B$30+'Inputs'!$B$31+'Inputs'!$B$32)/1000+'Inputs'!$B$21+'Inputs'!$B$9+'Inputs'!$B$10))^2+('Inputs'!$B$6/2)^2))))*'Results'!$B$8)-'Inputs'!$B$28*ABS((('Results'!C7*(1-'Inputs'!$B$24)*(0.5*((((363-43)*MAX('Inputs'!$B$33,'Inputs'!$B$29+'Inputs'!$B$31+'Inputs'!$B$32,'Inputs'!$B$30+'Inputs'!$B$31+'Inputs'!$B$32)/1000+'Inputs'!$B$21)+'Inputs'!$B$9)/SQRT((((363-43)*MAX('Inputs'!$B$33,'Inputs'!$B$29+'Inputs'!$B$31+'Inputs'!$B$32,'Inputs'!$B$30+'Inputs'!$B$31+'Inputs'!$B$32)/1000+'Inputs'!$B$21)+'Inputs'!$B$9)^2+('Inputs'!$B$8/2)^2)-(((363-43)*MAX('Inputs'!$B$33,'Inputs'!$B$29+'Inputs'!$B$31+'Inputs'!$B$32,'Inputs'!$B$30+'Inputs'!$B$31+'Inputs'!$B$32)/1000+'Inputs'!$B$21))/SQRT((((363-43)*MAX('Inputs'!$B$33,'Inputs'!$B$29+'Inputs'!$B$31+'Inputs'!$B$32,'Inputs'!$B$30+'Inputs'!$B$31+'Inputs'!$B$32)/1000+'Inputs'!$B$21))^2+('Inputs'!$B$8/2)^2)))-'Results'!B7*(1+'Inputs'!$B$24)*(0.5*((((363-43)*MAX('Inputs'!$B$33,'Inputs'!$B$29+'Inputs'!$B$31+'Inputs'!$B$32,'Inputs'!$B$30+'Inputs'!$B$31+'Inputs'!$B$32)/1000+'Inputs'!$B$21+'Inputs'!$B$9+'Inputs'!$B$10)+'Inputs'!$B$7)/SQRT((((363-43)*MAX('Inputs'!$B$33,'Inputs'!$B$29+'Inputs'!$B$31+'Inputs'!$B$32,'Inputs'!$B$30+'Inputs'!$B$31+'Inputs'!$B$32)/1000+'Inputs'!$B$21+'Inputs'!$B$9+'Inputs'!$B$10)+'Inputs'!$B$7)^2+('Inputs'!$B$6/2)^2)-(((363-43)*MAX('Inputs'!$B$33,'Inputs'!$B$29+'Inputs'!$B$31+'Inputs'!$B$32,'Inputs'!$B$30+'Inputs'!$B$31+'Inputs'!$B$32)/1000+'Inputs'!$B$21+'Inputs'!$B$9+'Inputs'!$B$10))/SQRT((((363-43)*MAX('Inputs'!$B$33,'Inputs'!$B$29+'Inputs'!$B$31+'Inputs'!$B$32,'Inputs'!$B$30+'Inputs'!$B$31+'Inputs'!$B$32)/1000+'Inputs'!$B$21+'Inputs'!$B$9+'Inputs'!$B$10))^2+('Inputs'!$B$6/2)^2))))*'Results'!$B$8))),"")</x:f>
        <x:v>15.564208608409295</x:v>
      </x:c>
      <x:c r="O363" t="n">
        <x:f>IF(AND(ISNUMBER('Results'!C7),ISNUMBER('Results'!B7),ISNUMBER('Results'!$B$8),ISNUMBER('Inputs'!$B$6),ISNUMBER('Inputs'!$B$7),ISNUMBER('Inputs'!$B$8),ISNUMBER('Inputs'!$B$9),ISNUMBER('Inputs'!$B$10),ISNUMBER('Inputs'!$B$21),ISNUMBER('Inputs'!$B$24),ISNUMBER('Inputs'!$B$28)),((('Results'!C7*(1+'Inputs'!$B$24)*(0.5*((((363-43)*MAX('Inputs'!$B$33,'Inputs'!$B$29+'Inputs'!$B$31+'Inputs'!$B$32,'Inputs'!$B$30+'Inputs'!$B$31+'Inputs'!$B$32)/1000+'Inputs'!$B$21)+'Inputs'!$B$9)/SQRT((((363-43)*MAX('Inputs'!$B$33,'Inputs'!$B$29+'Inputs'!$B$31+'Inputs'!$B$32,'Inputs'!$B$30+'Inputs'!$B$31+'Inputs'!$B$32)/1000+'Inputs'!$B$21)+'Inputs'!$B$9)^2+('Inputs'!$B$8/2)^2)-(((363-43)*MAX('Inputs'!$B$33,'Inputs'!$B$29+'Inputs'!$B$31+'Inputs'!$B$32,'Inputs'!$B$30+'Inputs'!$B$31+'Inputs'!$B$32)/1000+'Inputs'!$B$21))/SQRT((((363-43)*MAX('Inputs'!$B$33,'Inputs'!$B$29+'Inputs'!$B$31+'Inputs'!$B$32,'Inputs'!$B$30+'Inputs'!$B$31+'Inputs'!$B$32)/1000+'Inputs'!$B$21))^2+('Inputs'!$B$8/2)^2)))-'Results'!B7*(1-'Inputs'!$B$24)*(0.5*((((363-43)*MAX('Inputs'!$B$33,'Inputs'!$B$29+'Inputs'!$B$31+'Inputs'!$B$32,'Inputs'!$B$30+'Inputs'!$B$31+'Inputs'!$B$32)/1000+'Inputs'!$B$21+'Inputs'!$B$9+'Inputs'!$B$10)+'Inputs'!$B$7)/SQRT((((363-43)*MAX('Inputs'!$B$33,'Inputs'!$B$29+'Inputs'!$B$31+'Inputs'!$B$32,'Inputs'!$B$30+'Inputs'!$B$31+'Inputs'!$B$32)/1000+'Inputs'!$B$21+'Inputs'!$B$9+'Inputs'!$B$10)+'Inputs'!$B$7)^2+('Inputs'!$B$6/2)^2)-(((363-43)*MAX('Inputs'!$B$33,'Inputs'!$B$29+'Inputs'!$B$31+'Inputs'!$B$32,'Inputs'!$B$30+'Inputs'!$B$31+'Inputs'!$B$32)/1000+'Inputs'!$B$21+'Inputs'!$B$9+'Inputs'!$B$10))/SQRT((((363-43)*MAX('Inputs'!$B$33,'Inputs'!$B$29+'Inputs'!$B$31+'Inputs'!$B$32,'Inputs'!$B$30+'Inputs'!$B$31+'Inputs'!$B$32)/1000+'Inputs'!$B$21+'Inputs'!$B$9+'Inputs'!$B$10))^2+('Inputs'!$B$6/2)^2))))*'Results'!$B$8)+'Inputs'!$B$28*ABS((('Results'!C7*(1+'Inputs'!$B$24)*(0.5*((((363-43)*MAX('Inputs'!$B$33,'Inputs'!$B$29+'Inputs'!$B$31+'Inputs'!$B$32,'Inputs'!$B$30+'Inputs'!$B$31+'Inputs'!$B$32)/1000+'Inputs'!$B$21)+'Inputs'!$B$9)/SQRT((((363-43)*MAX('Inputs'!$B$33,'Inputs'!$B$29+'Inputs'!$B$31+'Inputs'!$B$32,'Inputs'!$B$30+'Inputs'!$B$31+'Inputs'!$B$32)/1000+'Inputs'!$B$21)+'Inputs'!$B$9)^2+('Inputs'!$B$8/2)^2)-(((363-43)*MAX('Inputs'!$B$33,'Inputs'!$B$29+'Inputs'!$B$31+'Inputs'!$B$32,'Inputs'!$B$30+'Inputs'!$B$31+'Inputs'!$B$32)/1000+'Inputs'!$B$21))/SQRT((((363-43)*MAX('Inputs'!$B$33,'Inputs'!$B$29+'Inputs'!$B$31+'Inputs'!$B$32,'Inputs'!$B$30+'Inputs'!$B$31+'Inputs'!$B$32)/1000+'Inputs'!$B$21))^2+('Inputs'!$B$8/2)^2)))-'Results'!B7*(1-'Inputs'!$B$24)*(0.5*((((363-43)*MAX('Inputs'!$B$33,'Inputs'!$B$29+'Inputs'!$B$31+'Inputs'!$B$32,'Inputs'!$B$30+'Inputs'!$B$31+'Inputs'!$B$32)/1000+'Inputs'!$B$21+'Inputs'!$B$9+'Inputs'!$B$10)+'Inputs'!$B$7)/SQRT((((363-43)*MAX('Inputs'!$B$33,'Inputs'!$B$29+'Inputs'!$B$31+'Inputs'!$B$32,'Inputs'!$B$30+'Inputs'!$B$31+'Inputs'!$B$32)/1000+'Inputs'!$B$21+'Inputs'!$B$9+'Inputs'!$B$10)+'Inputs'!$B$7)^2+('Inputs'!$B$6/2)^2)-(((363-43)*MAX('Inputs'!$B$33,'Inputs'!$B$29+'Inputs'!$B$31+'Inputs'!$B$32,'Inputs'!$B$30+'Inputs'!$B$31+'Inputs'!$B$32)/1000+'Inputs'!$B$21+'Inputs'!$B$9+'Inputs'!$B$10))/SQRT((((363-43)*MAX('Inputs'!$B$33,'Inputs'!$B$29+'Inputs'!$B$31+'Inputs'!$B$32,'Inputs'!$B$30+'Inputs'!$B$31+'Inputs'!$B$32)/1000+'Inputs'!$B$21+'Inputs'!$B$9+'Inputs'!$B$10))^2+('Inputs'!$B$6/2)^2))))*'Results'!$B$8))),"")</x:f>
        <x:v>19.06995465250642</x:v>
      </x:c>
      <x:c r="P363" t="n">
        <x:f>IF(AND(MAX(J363,J362)&gt;0,J363&gt;J362+0.00000001),1,0)</x:f>
        <x:v>0</x:v>
      </x:c>
      <x:c r="Q363" t="n">
        <x:f>IF(AND(MAX(K363,K362)&gt;0,K363&gt;K362+0.00000001),1,0)</x:f>
        <x:v>0</x:v>
      </x:c>
      <x:c r="R363" t="n">
        <x:f>IF(AND(MAX(L363,L362)&gt;0,L363&gt;L362+0.00000001),1,0)</x:f>
        <x:v>0</x:v>
      </x:c>
      <x:c r="S363" t="n">
        <x:f>IF(AND(MAX(M363,M362)&gt;0,M363&gt;M362+0.00000001),1,0)</x:f>
        <x:v>0</x:v>
      </x:c>
      <x:c r="T363" t="n">
        <x:f>IF(AND(MAX(N363,N362)&gt;0,N363&gt;N362+0.00000001),1,0)</x:f>
        <x:v>0</x:v>
      </x:c>
      <x:c r="U363" t="n">
        <x:f>IF(AND(MAX(O363,O362)&gt;0,O363&gt;O362+0.00000001),1,0)</x:f>
        <x:v>0</x:v>
      </x:c>
    </x:row>
    <x:row r="364">
      <x:c r="J364" t="n">
        <x:f>IF(AND(ISNUMBER('Results'!B7),ISNUMBER('Results'!C7),ISNUMBER('Results'!$B$8),ISNUMBER('Inputs'!$B$6),ISNUMBER('Inputs'!$B$7),ISNUMBER('Inputs'!$B$8),ISNUMBER('Inputs'!$B$9),ISNUMBER('Inputs'!$B$10),ISNUMBER('Inputs'!$B$21),ISNUMBER('Inputs'!$B$24),ISNUMBER('Inputs'!$B$28)),(('Results'!B7*(0.5*((((364-43)*MAX('Inputs'!$B$33,'Inputs'!$B$29+'Inputs'!$B$31+'Inputs'!$B$32,'Inputs'!$B$30+'Inputs'!$B$31+'Inputs'!$B$32)/1000+'Inputs'!$B$21)+'Inputs'!$B$7)/SQRT((((364-43)*MAX('Inputs'!$B$33,'Inputs'!$B$29+'Inputs'!$B$31+'Inputs'!$B$32,'Inputs'!$B$30+'Inputs'!$B$31+'Inputs'!$B$32)/1000+'Inputs'!$B$21)+'Inputs'!$B$7)^2+('Inputs'!$B$6/2)^2)-(((364-43)*MAX('Inputs'!$B$33,'Inputs'!$B$29+'Inputs'!$B$31+'Inputs'!$B$32,'Inputs'!$B$30+'Inputs'!$B$31+'Inputs'!$B$32)/1000+'Inputs'!$B$21))/SQRT((((364-43)*MAX('Inputs'!$B$33,'Inputs'!$B$29+'Inputs'!$B$31+'Inputs'!$B$32,'Inputs'!$B$30+'Inputs'!$B$31+'Inputs'!$B$32)/1000+'Inputs'!$B$21))^2+('Inputs'!$B$6/2)^2)))-'Results'!C7*(0.5*((((364-43)*MAX('Inputs'!$B$33,'Inputs'!$B$29+'Inputs'!$B$31+'Inputs'!$B$32,'Inputs'!$B$30+'Inputs'!$B$31+'Inputs'!$B$32)/1000+'Inputs'!$B$21+'Inputs'!$B$7+'Inputs'!$B$10)+'Inputs'!$B$9)/SQRT((((364-43)*MAX('Inputs'!$B$33,'Inputs'!$B$29+'Inputs'!$B$31+'Inputs'!$B$32,'Inputs'!$B$30+'Inputs'!$B$31+'Inputs'!$B$32)/1000+'Inputs'!$B$21+'Inputs'!$B$7+'Inputs'!$B$10)+'Inputs'!$B$9)^2+('Inputs'!$B$8/2)^2)-(((364-43)*MAX('Inputs'!$B$33,'Inputs'!$B$29+'Inputs'!$B$31+'Inputs'!$B$32,'Inputs'!$B$30+'Inputs'!$B$31+'Inputs'!$B$32)/1000+'Inputs'!$B$21+'Inputs'!$B$7+'Inputs'!$B$10))/SQRT((((364-43)*MAX('Inputs'!$B$33,'Inputs'!$B$29+'Inputs'!$B$31+'Inputs'!$B$32,'Inputs'!$B$30+'Inputs'!$B$31+'Inputs'!$B$32)/1000+'Inputs'!$B$21+'Inputs'!$B$7+'Inputs'!$B$10))^2+('Inputs'!$B$8/2)^2))))*'Results'!$B$8),"")</x:f>
        <x:v>17.996427724783057</x:v>
      </x:c>
      <x:c r="K364" t="n">
        <x:f>IF(AND(ISNUMBER('Results'!B7),ISNUMBER('Results'!C7),ISNUMBER('Results'!$B$8),ISNUMBER('Inputs'!$B$6),ISNUMBER('Inputs'!$B$7),ISNUMBER('Inputs'!$B$8),ISNUMBER('Inputs'!$B$9),ISNUMBER('Inputs'!$B$10),ISNUMBER('Inputs'!$B$21),ISNUMBER('Inputs'!$B$24),ISNUMBER('Inputs'!$B$28)),((('Results'!B7*(1-'Inputs'!$B$24)*(0.5*((((364-43)*MAX('Inputs'!$B$33,'Inputs'!$B$29+'Inputs'!$B$31+'Inputs'!$B$32,'Inputs'!$B$30+'Inputs'!$B$31+'Inputs'!$B$32)/1000+'Inputs'!$B$21)+'Inputs'!$B$7)/SQRT((((364-43)*MAX('Inputs'!$B$33,'Inputs'!$B$29+'Inputs'!$B$31+'Inputs'!$B$32,'Inputs'!$B$30+'Inputs'!$B$31+'Inputs'!$B$32)/1000+'Inputs'!$B$21)+'Inputs'!$B$7)^2+('Inputs'!$B$6/2)^2)-(((364-43)*MAX('Inputs'!$B$33,'Inputs'!$B$29+'Inputs'!$B$31+'Inputs'!$B$32,'Inputs'!$B$30+'Inputs'!$B$31+'Inputs'!$B$32)/1000+'Inputs'!$B$21))/SQRT((((364-43)*MAX('Inputs'!$B$33,'Inputs'!$B$29+'Inputs'!$B$31+'Inputs'!$B$32,'Inputs'!$B$30+'Inputs'!$B$31+'Inputs'!$B$32)/1000+'Inputs'!$B$21))^2+('Inputs'!$B$6/2)^2)))-'Results'!C7*(1+'Inputs'!$B$24)*(0.5*((((364-43)*MAX('Inputs'!$B$33,'Inputs'!$B$29+'Inputs'!$B$31+'Inputs'!$B$32,'Inputs'!$B$30+'Inputs'!$B$31+'Inputs'!$B$32)/1000+'Inputs'!$B$21+'Inputs'!$B$7+'Inputs'!$B$10)+'Inputs'!$B$9)/SQRT((((364-43)*MAX('Inputs'!$B$33,'Inputs'!$B$29+'Inputs'!$B$31+'Inputs'!$B$32,'Inputs'!$B$30+'Inputs'!$B$31+'Inputs'!$B$32)/1000+'Inputs'!$B$21+'Inputs'!$B$7+'Inputs'!$B$10)+'Inputs'!$B$9)^2+('Inputs'!$B$8/2)^2)-(((364-43)*MAX('Inputs'!$B$33,'Inputs'!$B$29+'Inputs'!$B$31+'Inputs'!$B$32,'Inputs'!$B$30+'Inputs'!$B$31+'Inputs'!$B$32)/1000+'Inputs'!$B$21+'Inputs'!$B$7+'Inputs'!$B$10))/SQRT((((364-43)*MAX('Inputs'!$B$33,'Inputs'!$B$29+'Inputs'!$B$31+'Inputs'!$B$32,'Inputs'!$B$30+'Inputs'!$B$31+'Inputs'!$B$32)/1000+'Inputs'!$B$21+'Inputs'!$B$7+'Inputs'!$B$10))^2+('Inputs'!$B$8/2)^2))))*'Results'!$B$8)-'Inputs'!$B$28*ABS((('Results'!B7*(1-'Inputs'!$B$24)*(0.5*((((364-43)*MAX('Inputs'!$B$33,'Inputs'!$B$29+'Inputs'!$B$31+'Inputs'!$B$32,'Inputs'!$B$30+'Inputs'!$B$31+'Inputs'!$B$32)/1000+'Inputs'!$B$21)+'Inputs'!$B$7)/SQRT((((364-43)*MAX('Inputs'!$B$33,'Inputs'!$B$29+'Inputs'!$B$31+'Inputs'!$B$32,'Inputs'!$B$30+'Inputs'!$B$31+'Inputs'!$B$32)/1000+'Inputs'!$B$21)+'Inputs'!$B$7)^2+('Inputs'!$B$6/2)^2)-(((364-43)*MAX('Inputs'!$B$33,'Inputs'!$B$29+'Inputs'!$B$31+'Inputs'!$B$32,'Inputs'!$B$30+'Inputs'!$B$31+'Inputs'!$B$32)/1000+'Inputs'!$B$21))/SQRT((((364-43)*MAX('Inputs'!$B$33,'Inputs'!$B$29+'Inputs'!$B$31+'Inputs'!$B$32,'Inputs'!$B$30+'Inputs'!$B$31+'Inputs'!$B$32)/1000+'Inputs'!$B$21))^2+('Inputs'!$B$6/2)^2)))-'Results'!C7*(1+'Inputs'!$B$24)*(0.5*((((364-43)*MAX('Inputs'!$B$33,'Inputs'!$B$29+'Inputs'!$B$31+'Inputs'!$B$32,'Inputs'!$B$30+'Inputs'!$B$31+'Inputs'!$B$32)/1000+'Inputs'!$B$21+'Inputs'!$B$7+'Inputs'!$B$10)+'Inputs'!$B$9)/SQRT((((364-43)*MAX('Inputs'!$B$33,'Inputs'!$B$29+'Inputs'!$B$31+'Inputs'!$B$32,'Inputs'!$B$30+'Inputs'!$B$31+'Inputs'!$B$32)/1000+'Inputs'!$B$21+'Inputs'!$B$7+'Inputs'!$B$10)+'Inputs'!$B$9)^2+('Inputs'!$B$8/2)^2)-(((364-43)*MAX('Inputs'!$B$33,'Inputs'!$B$29+'Inputs'!$B$31+'Inputs'!$B$32,'Inputs'!$B$30+'Inputs'!$B$31+'Inputs'!$B$32)/1000+'Inputs'!$B$21+'Inputs'!$B$7+'Inputs'!$B$10))/SQRT((((364-43)*MAX('Inputs'!$B$33,'Inputs'!$B$29+'Inputs'!$B$31+'Inputs'!$B$32,'Inputs'!$B$30+'Inputs'!$B$31+'Inputs'!$B$32)/1000+'Inputs'!$B$21+'Inputs'!$B$7+'Inputs'!$B$10))^2+('Inputs'!$B$8/2)^2))))*'Results'!$B$8))),"")</x:f>
        <x:v>16.251642286709764</x:v>
      </x:c>
      <x:c r="L364" t="n">
        <x:f>IF(AND(ISNUMBER('Results'!B7),ISNUMBER('Results'!C7),ISNUMBER('Results'!$B$8),ISNUMBER('Inputs'!$B$6),ISNUMBER('Inputs'!$B$7),ISNUMBER('Inputs'!$B$8),ISNUMBER('Inputs'!$B$9),ISNUMBER('Inputs'!$B$10),ISNUMBER('Inputs'!$B$21),ISNUMBER('Inputs'!$B$24),ISNUMBER('Inputs'!$B$28)),((('Results'!B7*(1+'Inputs'!$B$24)*(0.5*((((364-43)*MAX('Inputs'!$B$33,'Inputs'!$B$29+'Inputs'!$B$31+'Inputs'!$B$32,'Inputs'!$B$30+'Inputs'!$B$31+'Inputs'!$B$32)/1000+'Inputs'!$B$21)+'Inputs'!$B$7)/SQRT((((364-43)*MAX('Inputs'!$B$33,'Inputs'!$B$29+'Inputs'!$B$31+'Inputs'!$B$32,'Inputs'!$B$30+'Inputs'!$B$31+'Inputs'!$B$32)/1000+'Inputs'!$B$21)+'Inputs'!$B$7)^2+('Inputs'!$B$6/2)^2)-(((364-43)*MAX('Inputs'!$B$33,'Inputs'!$B$29+'Inputs'!$B$31+'Inputs'!$B$32,'Inputs'!$B$30+'Inputs'!$B$31+'Inputs'!$B$32)/1000+'Inputs'!$B$21))/SQRT((((364-43)*MAX('Inputs'!$B$33,'Inputs'!$B$29+'Inputs'!$B$31+'Inputs'!$B$32,'Inputs'!$B$30+'Inputs'!$B$31+'Inputs'!$B$32)/1000+'Inputs'!$B$21))^2+('Inputs'!$B$6/2)^2)))-'Results'!C7*(1-'Inputs'!$B$24)*(0.5*((((364-43)*MAX('Inputs'!$B$33,'Inputs'!$B$29+'Inputs'!$B$31+'Inputs'!$B$32,'Inputs'!$B$30+'Inputs'!$B$31+'Inputs'!$B$32)/1000+'Inputs'!$B$21+'Inputs'!$B$7+'Inputs'!$B$10)+'Inputs'!$B$9)/SQRT((((364-43)*MAX('Inputs'!$B$33,'Inputs'!$B$29+'Inputs'!$B$31+'Inputs'!$B$32,'Inputs'!$B$30+'Inputs'!$B$31+'Inputs'!$B$32)/1000+'Inputs'!$B$21+'Inputs'!$B$7+'Inputs'!$B$10)+'Inputs'!$B$9)^2+('Inputs'!$B$8/2)^2)-(((364-43)*MAX('Inputs'!$B$33,'Inputs'!$B$29+'Inputs'!$B$31+'Inputs'!$B$32,'Inputs'!$B$30+'Inputs'!$B$31+'Inputs'!$B$32)/1000+'Inputs'!$B$21+'Inputs'!$B$7+'Inputs'!$B$10))/SQRT((((364-43)*MAX('Inputs'!$B$33,'Inputs'!$B$29+'Inputs'!$B$31+'Inputs'!$B$32,'Inputs'!$B$30+'Inputs'!$B$31+'Inputs'!$B$32)/1000+'Inputs'!$B$21+'Inputs'!$B$7+'Inputs'!$B$10))^2+('Inputs'!$B$8/2)^2))))*'Results'!$B$8)+'Inputs'!$B$28*ABS((('Results'!B7*(1+'Inputs'!$B$24)*(0.5*((((364-43)*MAX('Inputs'!$B$33,'Inputs'!$B$29+'Inputs'!$B$31+'Inputs'!$B$32,'Inputs'!$B$30+'Inputs'!$B$31+'Inputs'!$B$32)/1000+'Inputs'!$B$21)+'Inputs'!$B$7)/SQRT((((364-43)*MAX('Inputs'!$B$33,'Inputs'!$B$29+'Inputs'!$B$31+'Inputs'!$B$32,'Inputs'!$B$30+'Inputs'!$B$31+'Inputs'!$B$32)/1000+'Inputs'!$B$21)+'Inputs'!$B$7)^2+('Inputs'!$B$6/2)^2)-(((364-43)*MAX('Inputs'!$B$33,'Inputs'!$B$29+'Inputs'!$B$31+'Inputs'!$B$32,'Inputs'!$B$30+'Inputs'!$B$31+'Inputs'!$B$32)/1000+'Inputs'!$B$21))/SQRT((((364-43)*MAX('Inputs'!$B$33,'Inputs'!$B$29+'Inputs'!$B$31+'Inputs'!$B$32,'Inputs'!$B$30+'Inputs'!$B$31+'Inputs'!$B$32)/1000+'Inputs'!$B$21))^2+('Inputs'!$B$6/2)^2)))-'Results'!C7*(1-'Inputs'!$B$24)*(0.5*((((364-43)*MAX('Inputs'!$B$33,'Inputs'!$B$29+'Inputs'!$B$31+'Inputs'!$B$32,'Inputs'!$B$30+'Inputs'!$B$31+'Inputs'!$B$32)/1000+'Inputs'!$B$21+'Inputs'!$B$7+'Inputs'!$B$10)+'Inputs'!$B$9)/SQRT((((364-43)*MAX('Inputs'!$B$33,'Inputs'!$B$29+'Inputs'!$B$31+'Inputs'!$B$32,'Inputs'!$B$30+'Inputs'!$B$31+'Inputs'!$B$32)/1000+'Inputs'!$B$21+'Inputs'!$B$7+'Inputs'!$B$10)+'Inputs'!$B$9)^2+('Inputs'!$B$8/2)^2)-(((364-43)*MAX('Inputs'!$B$33,'Inputs'!$B$29+'Inputs'!$B$31+'Inputs'!$B$32,'Inputs'!$B$30+'Inputs'!$B$31+'Inputs'!$B$32)/1000+'Inputs'!$B$21+'Inputs'!$B$7+'Inputs'!$B$10))/SQRT((((364-43)*MAX('Inputs'!$B$33,'Inputs'!$B$29+'Inputs'!$B$31+'Inputs'!$B$32,'Inputs'!$B$30+'Inputs'!$B$31+'Inputs'!$B$32)/1000+'Inputs'!$B$21+'Inputs'!$B$7+'Inputs'!$B$10))^2+('Inputs'!$B$8/2)^2))))*'Results'!$B$8))),"")</x:f>
        <x:v>19.83015674725995</x:v>
      </x:c>
      <x:c r="M364" t="n">
        <x:f>IF(AND(ISNUMBER('Results'!C7),ISNUMBER('Results'!B7),ISNUMBER('Results'!$B$8),ISNUMBER('Inputs'!$B$6),ISNUMBER('Inputs'!$B$7),ISNUMBER('Inputs'!$B$8),ISNUMBER('Inputs'!$B$9),ISNUMBER('Inputs'!$B$10),ISNUMBER('Inputs'!$B$21),ISNUMBER('Inputs'!$B$24),ISNUMBER('Inputs'!$B$28)),(('Results'!C7*(0.5*((((364-43)*MAX('Inputs'!$B$33,'Inputs'!$B$29+'Inputs'!$B$31+'Inputs'!$B$32,'Inputs'!$B$30+'Inputs'!$B$31+'Inputs'!$B$32)/1000+'Inputs'!$B$21)+'Inputs'!$B$9)/SQRT((((364-43)*MAX('Inputs'!$B$33,'Inputs'!$B$29+'Inputs'!$B$31+'Inputs'!$B$32,'Inputs'!$B$30+'Inputs'!$B$31+'Inputs'!$B$32)/1000+'Inputs'!$B$21)+'Inputs'!$B$9)^2+('Inputs'!$B$8/2)^2)-(((364-43)*MAX('Inputs'!$B$33,'Inputs'!$B$29+'Inputs'!$B$31+'Inputs'!$B$32,'Inputs'!$B$30+'Inputs'!$B$31+'Inputs'!$B$32)/1000+'Inputs'!$B$21))/SQRT((((364-43)*MAX('Inputs'!$B$33,'Inputs'!$B$29+'Inputs'!$B$31+'Inputs'!$B$32,'Inputs'!$B$30+'Inputs'!$B$31+'Inputs'!$B$32)/1000+'Inputs'!$B$21))^2+('Inputs'!$B$8/2)^2)))-'Results'!B7*(0.5*((((364-43)*MAX('Inputs'!$B$33,'Inputs'!$B$29+'Inputs'!$B$31+'Inputs'!$B$32,'Inputs'!$B$30+'Inputs'!$B$31+'Inputs'!$B$32)/1000+'Inputs'!$B$21+'Inputs'!$B$9+'Inputs'!$B$10)+'Inputs'!$B$7)/SQRT((((364-43)*MAX('Inputs'!$B$33,'Inputs'!$B$29+'Inputs'!$B$31+'Inputs'!$B$32,'Inputs'!$B$30+'Inputs'!$B$31+'Inputs'!$B$32)/1000+'Inputs'!$B$21+'Inputs'!$B$9+'Inputs'!$B$10)+'Inputs'!$B$7)^2+('Inputs'!$B$6/2)^2)-(((364-43)*MAX('Inputs'!$B$33,'Inputs'!$B$29+'Inputs'!$B$31+'Inputs'!$B$32,'Inputs'!$B$30+'Inputs'!$B$31+'Inputs'!$B$32)/1000+'Inputs'!$B$21+'Inputs'!$B$9+'Inputs'!$B$10))/SQRT((((364-43)*MAX('Inputs'!$B$33,'Inputs'!$B$29+'Inputs'!$B$31+'Inputs'!$B$32,'Inputs'!$B$30+'Inputs'!$B$31+'Inputs'!$B$32)/1000+'Inputs'!$B$21+'Inputs'!$B$9+'Inputs'!$B$10))^2+('Inputs'!$B$6/2)^2))))*'Results'!$B$8),"")</x:f>
        <x:v>17.10158874513957</x:v>
      </x:c>
      <x:c r="N364" t="n">
        <x:f>IF(AND(ISNUMBER('Results'!C7),ISNUMBER('Results'!B7),ISNUMBER('Results'!$B$8),ISNUMBER('Inputs'!$B$6),ISNUMBER('Inputs'!$B$7),ISNUMBER('Inputs'!$B$8),ISNUMBER('Inputs'!$B$9),ISNUMBER('Inputs'!$B$10),ISNUMBER('Inputs'!$B$21),ISNUMBER('Inputs'!$B$24),ISNUMBER('Inputs'!$B$28)),((('Results'!C7*(1-'Inputs'!$B$24)*(0.5*((((364-43)*MAX('Inputs'!$B$33,'Inputs'!$B$29+'Inputs'!$B$31+'Inputs'!$B$32,'Inputs'!$B$30+'Inputs'!$B$31+'Inputs'!$B$32)/1000+'Inputs'!$B$21)+'Inputs'!$B$9)/SQRT((((364-43)*MAX('Inputs'!$B$33,'Inputs'!$B$29+'Inputs'!$B$31+'Inputs'!$B$32,'Inputs'!$B$30+'Inputs'!$B$31+'Inputs'!$B$32)/1000+'Inputs'!$B$21)+'Inputs'!$B$9)^2+('Inputs'!$B$8/2)^2)-(((364-43)*MAX('Inputs'!$B$33,'Inputs'!$B$29+'Inputs'!$B$31+'Inputs'!$B$32,'Inputs'!$B$30+'Inputs'!$B$31+'Inputs'!$B$32)/1000+'Inputs'!$B$21))/SQRT((((364-43)*MAX('Inputs'!$B$33,'Inputs'!$B$29+'Inputs'!$B$31+'Inputs'!$B$32,'Inputs'!$B$30+'Inputs'!$B$31+'Inputs'!$B$32)/1000+'Inputs'!$B$21))^2+('Inputs'!$B$8/2)^2)))-'Results'!B7*(1+'Inputs'!$B$24)*(0.5*((((364-43)*MAX('Inputs'!$B$33,'Inputs'!$B$29+'Inputs'!$B$31+'Inputs'!$B$32,'Inputs'!$B$30+'Inputs'!$B$31+'Inputs'!$B$32)/1000+'Inputs'!$B$21+'Inputs'!$B$9+'Inputs'!$B$10)+'Inputs'!$B$7)/SQRT((((364-43)*MAX('Inputs'!$B$33,'Inputs'!$B$29+'Inputs'!$B$31+'Inputs'!$B$32,'Inputs'!$B$30+'Inputs'!$B$31+'Inputs'!$B$32)/1000+'Inputs'!$B$21+'Inputs'!$B$9+'Inputs'!$B$10)+'Inputs'!$B$7)^2+('Inputs'!$B$6/2)^2)-(((364-43)*MAX('Inputs'!$B$33,'Inputs'!$B$29+'Inputs'!$B$31+'Inputs'!$B$32,'Inputs'!$B$30+'Inputs'!$B$31+'Inputs'!$B$32)/1000+'Inputs'!$B$21+'Inputs'!$B$9+'Inputs'!$B$10))/SQRT((((364-43)*MAX('Inputs'!$B$33,'Inputs'!$B$29+'Inputs'!$B$31+'Inputs'!$B$32,'Inputs'!$B$30+'Inputs'!$B$31+'Inputs'!$B$32)/1000+'Inputs'!$B$21+'Inputs'!$B$9+'Inputs'!$B$10))^2+('Inputs'!$B$6/2)^2))))*'Results'!$B$8)-'Inputs'!$B$28*ABS((('Results'!C7*(1-'Inputs'!$B$24)*(0.5*((((364-43)*MAX('Inputs'!$B$33,'Inputs'!$B$29+'Inputs'!$B$31+'Inputs'!$B$32,'Inputs'!$B$30+'Inputs'!$B$31+'Inputs'!$B$32)/1000+'Inputs'!$B$21)+'Inputs'!$B$9)/SQRT((((364-43)*MAX('Inputs'!$B$33,'Inputs'!$B$29+'Inputs'!$B$31+'Inputs'!$B$32,'Inputs'!$B$30+'Inputs'!$B$31+'Inputs'!$B$32)/1000+'Inputs'!$B$21)+'Inputs'!$B$9)^2+('Inputs'!$B$8/2)^2)-(((364-43)*MAX('Inputs'!$B$33,'Inputs'!$B$29+'Inputs'!$B$31+'Inputs'!$B$32,'Inputs'!$B$30+'Inputs'!$B$31+'Inputs'!$B$32)/1000+'Inputs'!$B$21))/SQRT((((364-43)*MAX('Inputs'!$B$33,'Inputs'!$B$29+'Inputs'!$B$31+'Inputs'!$B$32,'Inputs'!$B$30+'Inputs'!$B$31+'Inputs'!$B$32)/1000+'Inputs'!$B$21))^2+('Inputs'!$B$8/2)^2)))-'Results'!B7*(1+'Inputs'!$B$24)*(0.5*((((364-43)*MAX('Inputs'!$B$33,'Inputs'!$B$29+'Inputs'!$B$31+'Inputs'!$B$32,'Inputs'!$B$30+'Inputs'!$B$31+'Inputs'!$B$32)/1000+'Inputs'!$B$21+'Inputs'!$B$9+'Inputs'!$B$10)+'Inputs'!$B$7)/SQRT((((364-43)*MAX('Inputs'!$B$33,'Inputs'!$B$29+'Inputs'!$B$31+'Inputs'!$B$32,'Inputs'!$B$30+'Inputs'!$B$31+'Inputs'!$B$32)/1000+'Inputs'!$B$21+'Inputs'!$B$9+'Inputs'!$B$10)+'Inputs'!$B$7)^2+('Inputs'!$B$6/2)^2)-(((364-43)*MAX('Inputs'!$B$33,'Inputs'!$B$29+'Inputs'!$B$31+'Inputs'!$B$32,'Inputs'!$B$30+'Inputs'!$B$31+'Inputs'!$B$32)/1000+'Inputs'!$B$21+'Inputs'!$B$9+'Inputs'!$B$10))/SQRT((((364-43)*MAX('Inputs'!$B$33,'Inputs'!$B$29+'Inputs'!$B$31+'Inputs'!$B$32,'Inputs'!$B$30+'Inputs'!$B$31+'Inputs'!$B$32)/1000+'Inputs'!$B$21+'Inputs'!$B$9+'Inputs'!$B$10))^2+('Inputs'!$B$6/2)^2))))*'Results'!$B$8))),"")</x:f>
        <x:v>15.40828123900732</x:v>
      </x:c>
      <x:c r="O364" t="n">
        <x:f>IF(AND(ISNUMBER('Results'!C7),ISNUMBER('Results'!B7),ISNUMBER('Results'!$B$8),ISNUMBER('Inputs'!$B$6),ISNUMBER('Inputs'!$B$7),ISNUMBER('Inputs'!$B$8),ISNUMBER('Inputs'!$B$9),ISNUMBER('Inputs'!$B$10),ISNUMBER('Inputs'!$B$21),ISNUMBER('Inputs'!$B$24),ISNUMBER('Inputs'!$B$28)),((('Results'!C7*(1+'Inputs'!$B$24)*(0.5*((((364-43)*MAX('Inputs'!$B$33,'Inputs'!$B$29+'Inputs'!$B$31+'Inputs'!$B$32,'Inputs'!$B$30+'Inputs'!$B$31+'Inputs'!$B$32)/1000+'Inputs'!$B$21)+'Inputs'!$B$9)/SQRT((((364-43)*MAX('Inputs'!$B$33,'Inputs'!$B$29+'Inputs'!$B$31+'Inputs'!$B$32,'Inputs'!$B$30+'Inputs'!$B$31+'Inputs'!$B$32)/1000+'Inputs'!$B$21)+'Inputs'!$B$9)^2+('Inputs'!$B$8/2)^2)-(((364-43)*MAX('Inputs'!$B$33,'Inputs'!$B$29+'Inputs'!$B$31+'Inputs'!$B$32,'Inputs'!$B$30+'Inputs'!$B$31+'Inputs'!$B$32)/1000+'Inputs'!$B$21))/SQRT((((364-43)*MAX('Inputs'!$B$33,'Inputs'!$B$29+'Inputs'!$B$31+'Inputs'!$B$32,'Inputs'!$B$30+'Inputs'!$B$31+'Inputs'!$B$32)/1000+'Inputs'!$B$21))^2+('Inputs'!$B$8/2)^2)))-'Results'!B7*(1-'Inputs'!$B$24)*(0.5*((((364-43)*MAX('Inputs'!$B$33,'Inputs'!$B$29+'Inputs'!$B$31+'Inputs'!$B$32,'Inputs'!$B$30+'Inputs'!$B$31+'Inputs'!$B$32)/1000+'Inputs'!$B$21+'Inputs'!$B$9+'Inputs'!$B$10)+'Inputs'!$B$7)/SQRT((((364-43)*MAX('Inputs'!$B$33,'Inputs'!$B$29+'Inputs'!$B$31+'Inputs'!$B$32,'Inputs'!$B$30+'Inputs'!$B$31+'Inputs'!$B$32)/1000+'Inputs'!$B$21+'Inputs'!$B$9+'Inputs'!$B$10)+'Inputs'!$B$7)^2+('Inputs'!$B$6/2)^2)-(((364-43)*MAX('Inputs'!$B$33,'Inputs'!$B$29+'Inputs'!$B$31+'Inputs'!$B$32,'Inputs'!$B$30+'Inputs'!$B$31+'Inputs'!$B$32)/1000+'Inputs'!$B$21+'Inputs'!$B$9+'Inputs'!$B$10))/SQRT((((364-43)*MAX('Inputs'!$B$33,'Inputs'!$B$29+'Inputs'!$B$31+'Inputs'!$B$32,'Inputs'!$B$30+'Inputs'!$B$31+'Inputs'!$B$32)/1000+'Inputs'!$B$21+'Inputs'!$B$9+'Inputs'!$B$10))^2+('Inputs'!$B$6/2)^2))))*'Results'!$B$8)+'Inputs'!$B$28*ABS((('Results'!C7*(1+'Inputs'!$B$24)*(0.5*((((364-43)*MAX('Inputs'!$B$33,'Inputs'!$B$29+'Inputs'!$B$31+'Inputs'!$B$32,'Inputs'!$B$30+'Inputs'!$B$31+'Inputs'!$B$32)/1000+'Inputs'!$B$21)+'Inputs'!$B$9)/SQRT((((364-43)*MAX('Inputs'!$B$33,'Inputs'!$B$29+'Inputs'!$B$31+'Inputs'!$B$32,'Inputs'!$B$30+'Inputs'!$B$31+'Inputs'!$B$32)/1000+'Inputs'!$B$21)+'Inputs'!$B$9)^2+('Inputs'!$B$8/2)^2)-(((364-43)*MAX('Inputs'!$B$33,'Inputs'!$B$29+'Inputs'!$B$31+'Inputs'!$B$32,'Inputs'!$B$30+'Inputs'!$B$31+'Inputs'!$B$32)/1000+'Inputs'!$B$21))/SQRT((((364-43)*MAX('Inputs'!$B$33,'Inputs'!$B$29+'Inputs'!$B$31+'Inputs'!$B$32,'Inputs'!$B$30+'Inputs'!$B$31+'Inputs'!$B$32)/1000+'Inputs'!$B$21))^2+('Inputs'!$B$8/2)^2)))-'Results'!B7*(1-'Inputs'!$B$24)*(0.5*((((364-43)*MAX('Inputs'!$B$33,'Inputs'!$B$29+'Inputs'!$B$31+'Inputs'!$B$32,'Inputs'!$B$30+'Inputs'!$B$31+'Inputs'!$B$32)/1000+'Inputs'!$B$21+'Inputs'!$B$9+'Inputs'!$B$10)+'Inputs'!$B$7)/SQRT((((364-43)*MAX('Inputs'!$B$33,'Inputs'!$B$29+'Inputs'!$B$31+'Inputs'!$B$32,'Inputs'!$B$30+'Inputs'!$B$31+'Inputs'!$B$32)/1000+'Inputs'!$B$21+'Inputs'!$B$9+'Inputs'!$B$10)+'Inputs'!$B$7)^2+('Inputs'!$B$6/2)^2)-(((364-43)*MAX('Inputs'!$B$33,'Inputs'!$B$29+'Inputs'!$B$31+'Inputs'!$B$32,'Inputs'!$B$30+'Inputs'!$B$31+'Inputs'!$B$32)/1000+'Inputs'!$B$21+'Inputs'!$B$9+'Inputs'!$B$10))/SQRT((((364-43)*MAX('Inputs'!$B$33,'Inputs'!$B$29+'Inputs'!$B$31+'Inputs'!$B$32,'Inputs'!$B$30+'Inputs'!$B$31+'Inputs'!$B$32)/1000+'Inputs'!$B$21+'Inputs'!$B$9+'Inputs'!$B$10))^2+('Inputs'!$B$6/2)^2))))*'Results'!$B$8))),"")</x:f>
        <x:v>18.88313078483763</x:v>
      </x:c>
      <x:c r="P364" t="n">
        <x:f>IF(AND(MAX(J364,J363)&gt;0,J364&gt;J363+0.00000001),1,0)</x:f>
        <x:v>0</x:v>
      </x:c>
      <x:c r="Q364" t="n">
        <x:f>IF(AND(MAX(K364,K363)&gt;0,K364&gt;K363+0.00000001),1,0)</x:f>
        <x:v>0</x:v>
      </x:c>
      <x:c r="R364" t="n">
        <x:f>IF(AND(MAX(L364,L363)&gt;0,L364&gt;L363+0.00000001),1,0)</x:f>
        <x:v>0</x:v>
      </x:c>
      <x:c r="S364" t="n">
        <x:f>IF(AND(MAX(M364,M363)&gt;0,M364&gt;M363+0.00000001),1,0)</x:f>
        <x:v>0</x:v>
      </x:c>
      <x:c r="T364" t="n">
        <x:f>IF(AND(MAX(N364,N363)&gt;0,N364&gt;N363+0.00000001),1,0)</x:f>
        <x:v>0</x:v>
      </x:c>
      <x:c r="U364" t="n">
        <x:f>IF(AND(MAX(O364,O363)&gt;0,O364&gt;O363+0.00000001),1,0)</x:f>
        <x:v>0</x:v>
      </x:c>
    </x:row>
    <x:row r="365">
      <x:c r="J365" t="n">
        <x:f>IF(AND(ISNUMBER('Results'!B7),ISNUMBER('Results'!C7),ISNUMBER('Results'!$B$8),ISNUMBER('Inputs'!$B$6),ISNUMBER('Inputs'!$B$7),ISNUMBER('Inputs'!$B$8),ISNUMBER('Inputs'!$B$9),ISNUMBER('Inputs'!$B$10),ISNUMBER('Inputs'!$B$21),ISNUMBER('Inputs'!$B$24),ISNUMBER('Inputs'!$B$28)),(('Results'!B7*(0.5*((((365-43)*MAX('Inputs'!$B$33,'Inputs'!$B$29+'Inputs'!$B$31+'Inputs'!$B$32,'Inputs'!$B$30+'Inputs'!$B$31+'Inputs'!$B$32)/1000+'Inputs'!$B$21)+'Inputs'!$B$7)/SQRT((((365-43)*MAX('Inputs'!$B$33,'Inputs'!$B$29+'Inputs'!$B$31+'Inputs'!$B$32,'Inputs'!$B$30+'Inputs'!$B$31+'Inputs'!$B$32)/1000+'Inputs'!$B$21)+'Inputs'!$B$7)^2+('Inputs'!$B$6/2)^2)-(((365-43)*MAX('Inputs'!$B$33,'Inputs'!$B$29+'Inputs'!$B$31+'Inputs'!$B$32,'Inputs'!$B$30+'Inputs'!$B$31+'Inputs'!$B$32)/1000+'Inputs'!$B$21))/SQRT((((365-43)*MAX('Inputs'!$B$33,'Inputs'!$B$29+'Inputs'!$B$31+'Inputs'!$B$32,'Inputs'!$B$30+'Inputs'!$B$31+'Inputs'!$B$32)/1000+'Inputs'!$B$21))^2+('Inputs'!$B$6/2)^2)))-'Results'!C7*(0.5*((((365-43)*MAX('Inputs'!$B$33,'Inputs'!$B$29+'Inputs'!$B$31+'Inputs'!$B$32,'Inputs'!$B$30+'Inputs'!$B$31+'Inputs'!$B$32)/1000+'Inputs'!$B$21+'Inputs'!$B$7+'Inputs'!$B$10)+'Inputs'!$B$9)/SQRT((((365-43)*MAX('Inputs'!$B$33,'Inputs'!$B$29+'Inputs'!$B$31+'Inputs'!$B$32,'Inputs'!$B$30+'Inputs'!$B$31+'Inputs'!$B$32)/1000+'Inputs'!$B$21+'Inputs'!$B$7+'Inputs'!$B$10)+'Inputs'!$B$9)^2+('Inputs'!$B$8/2)^2)-(((365-43)*MAX('Inputs'!$B$33,'Inputs'!$B$29+'Inputs'!$B$31+'Inputs'!$B$32,'Inputs'!$B$30+'Inputs'!$B$31+'Inputs'!$B$32)/1000+'Inputs'!$B$21+'Inputs'!$B$7+'Inputs'!$B$10))/SQRT((((365-43)*MAX('Inputs'!$B$33,'Inputs'!$B$29+'Inputs'!$B$31+'Inputs'!$B$32,'Inputs'!$B$30+'Inputs'!$B$31+'Inputs'!$B$32)/1000+'Inputs'!$B$21+'Inputs'!$B$7+'Inputs'!$B$10))^2+('Inputs'!$B$8/2)^2))))*'Results'!$B$8),"")</x:f>
        <x:v>17.820562829721556</x:v>
      </x:c>
      <x:c r="K365" t="n">
        <x:f>IF(AND(ISNUMBER('Results'!B7),ISNUMBER('Results'!C7),ISNUMBER('Results'!$B$8),ISNUMBER('Inputs'!$B$6),ISNUMBER('Inputs'!$B$7),ISNUMBER('Inputs'!$B$8),ISNUMBER('Inputs'!$B$9),ISNUMBER('Inputs'!$B$10),ISNUMBER('Inputs'!$B$21),ISNUMBER('Inputs'!$B$24),ISNUMBER('Inputs'!$B$28)),((('Results'!B7*(1-'Inputs'!$B$24)*(0.5*((((365-43)*MAX('Inputs'!$B$33,'Inputs'!$B$29+'Inputs'!$B$31+'Inputs'!$B$32,'Inputs'!$B$30+'Inputs'!$B$31+'Inputs'!$B$32)/1000+'Inputs'!$B$21)+'Inputs'!$B$7)/SQRT((((365-43)*MAX('Inputs'!$B$33,'Inputs'!$B$29+'Inputs'!$B$31+'Inputs'!$B$32,'Inputs'!$B$30+'Inputs'!$B$31+'Inputs'!$B$32)/1000+'Inputs'!$B$21)+'Inputs'!$B$7)^2+('Inputs'!$B$6/2)^2)-(((365-43)*MAX('Inputs'!$B$33,'Inputs'!$B$29+'Inputs'!$B$31+'Inputs'!$B$32,'Inputs'!$B$30+'Inputs'!$B$31+'Inputs'!$B$32)/1000+'Inputs'!$B$21))/SQRT((((365-43)*MAX('Inputs'!$B$33,'Inputs'!$B$29+'Inputs'!$B$31+'Inputs'!$B$32,'Inputs'!$B$30+'Inputs'!$B$31+'Inputs'!$B$32)/1000+'Inputs'!$B$21))^2+('Inputs'!$B$6/2)^2)))-'Results'!C7*(1+'Inputs'!$B$24)*(0.5*((((365-43)*MAX('Inputs'!$B$33,'Inputs'!$B$29+'Inputs'!$B$31+'Inputs'!$B$32,'Inputs'!$B$30+'Inputs'!$B$31+'Inputs'!$B$32)/1000+'Inputs'!$B$21+'Inputs'!$B$7+'Inputs'!$B$10)+'Inputs'!$B$9)/SQRT((((365-43)*MAX('Inputs'!$B$33,'Inputs'!$B$29+'Inputs'!$B$31+'Inputs'!$B$32,'Inputs'!$B$30+'Inputs'!$B$31+'Inputs'!$B$32)/1000+'Inputs'!$B$21+'Inputs'!$B$7+'Inputs'!$B$10)+'Inputs'!$B$9)^2+('Inputs'!$B$8/2)^2)-(((365-43)*MAX('Inputs'!$B$33,'Inputs'!$B$29+'Inputs'!$B$31+'Inputs'!$B$32,'Inputs'!$B$30+'Inputs'!$B$31+'Inputs'!$B$32)/1000+'Inputs'!$B$21+'Inputs'!$B$7+'Inputs'!$B$10))/SQRT((((365-43)*MAX('Inputs'!$B$33,'Inputs'!$B$29+'Inputs'!$B$31+'Inputs'!$B$32,'Inputs'!$B$30+'Inputs'!$B$31+'Inputs'!$B$32)/1000+'Inputs'!$B$21+'Inputs'!$B$7+'Inputs'!$B$10))^2+('Inputs'!$B$8/2)^2))))*'Results'!$B$8)-'Inputs'!$B$28*ABS((('Results'!B7*(1-'Inputs'!$B$24)*(0.5*((((365-43)*MAX('Inputs'!$B$33,'Inputs'!$B$29+'Inputs'!$B$31+'Inputs'!$B$32,'Inputs'!$B$30+'Inputs'!$B$31+'Inputs'!$B$32)/1000+'Inputs'!$B$21)+'Inputs'!$B$7)/SQRT((((365-43)*MAX('Inputs'!$B$33,'Inputs'!$B$29+'Inputs'!$B$31+'Inputs'!$B$32,'Inputs'!$B$30+'Inputs'!$B$31+'Inputs'!$B$32)/1000+'Inputs'!$B$21)+'Inputs'!$B$7)^2+('Inputs'!$B$6/2)^2)-(((365-43)*MAX('Inputs'!$B$33,'Inputs'!$B$29+'Inputs'!$B$31+'Inputs'!$B$32,'Inputs'!$B$30+'Inputs'!$B$31+'Inputs'!$B$32)/1000+'Inputs'!$B$21))/SQRT((((365-43)*MAX('Inputs'!$B$33,'Inputs'!$B$29+'Inputs'!$B$31+'Inputs'!$B$32,'Inputs'!$B$30+'Inputs'!$B$31+'Inputs'!$B$32)/1000+'Inputs'!$B$21))^2+('Inputs'!$B$6/2)^2)))-'Results'!C7*(1+'Inputs'!$B$24)*(0.5*((((365-43)*MAX('Inputs'!$B$33,'Inputs'!$B$29+'Inputs'!$B$31+'Inputs'!$B$32,'Inputs'!$B$30+'Inputs'!$B$31+'Inputs'!$B$32)/1000+'Inputs'!$B$21+'Inputs'!$B$7+'Inputs'!$B$10)+'Inputs'!$B$9)/SQRT((((365-43)*MAX('Inputs'!$B$33,'Inputs'!$B$29+'Inputs'!$B$31+'Inputs'!$B$32,'Inputs'!$B$30+'Inputs'!$B$31+'Inputs'!$B$32)/1000+'Inputs'!$B$21+'Inputs'!$B$7+'Inputs'!$B$10)+'Inputs'!$B$9)^2+('Inputs'!$B$8/2)^2)-(((365-43)*MAX('Inputs'!$B$33,'Inputs'!$B$29+'Inputs'!$B$31+'Inputs'!$B$32,'Inputs'!$B$30+'Inputs'!$B$31+'Inputs'!$B$32)/1000+'Inputs'!$B$21+'Inputs'!$B$7+'Inputs'!$B$10))/SQRT((((365-43)*MAX('Inputs'!$B$33,'Inputs'!$B$29+'Inputs'!$B$31+'Inputs'!$B$32,'Inputs'!$B$30+'Inputs'!$B$31+'Inputs'!$B$32)/1000+'Inputs'!$B$21+'Inputs'!$B$7+'Inputs'!$B$10))^2+('Inputs'!$B$8/2)^2))))*'Results'!$B$8))),"")</x:f>
        <x:v>16.091120982622442</x:v>
      </x:c>
      <x:c r="L365" t="n">
        <x:f>IF(AND(ISNUMBER('Results'!B7),ISNUMBER('Results'!C7),ISNUMBER('Results'!$B$8),ISNUMBER('Inputs'!$B$6),ISNUMBER('Inputs'!$B$7),ISNUMBER('Inputs'!$B$8),ISNUMBER('Inputs'!$B$9),ISNUMBER('Inputs'!$B$10),ISNUMBER('Inputs'!$B$21),ISNUMBER('Inputs'!$B$24),ISNUMBER('Inputs'!$B$28)),((('Results'!B7*(1+'Inputs'!$B$24)*(0.5*((((365-43)*MAX('Inputs'!$B$33,'Inputs'!$B$29+'Inputs'!$B$31+'Inputs'!$B$32,'Inputs'!$B$30+'Inputs'!$B$31+'Inputs'!$B$32)/1000+'Inputs'!$B$21)+'Inputs'!$B$7)/SQRT((((365-43)*MAX('Inputs'!$B$33,'Inputs'!$B$29+'Inputs'!$B$31+'Inputs'!$B$32,'Inputs'!$B$30+'Inputs'!$B$31+'Inputs'!$B$32)/1000+'Inputs'!$B$21)+'Inputs'!$B$7)^2+('Inputs'!$B$6/2)^2)-(((365-43)*MAX('Inputs'!$B$33,'Inputs'!$B$29+'Inputs'!$B$31+'Inputs'!$B$32,'Inputs'!$B$30+'Inputs'!$B$31+'Inputs'!$B$32)/1000+'Inputs'!$B$21))/SQRT((((365-43)*MAX('Inputs'!$B$33,'Inputs'!$B$29+'Inputs'!$B$31+'Inputs'!$B$32,'Inputs'!$B$30+'Inputs'!$B$31+'Inputs'!$B$32)/1000+'Inputs'!$B$21))^2+('Inputs'!$B$6/2)^2)))-'Results'!C7*(1-'Inputs'!$B$24)*(0.5*((((365-43)*MAX('Inputs'!$B$33,'Inputs'!$B$29+'Inputs'!$B$31+'Inputs'!$B$32,'Inputs'!$B$30+'Inputs'!$B$31+'Inputs'!$B$32)/1000+'Inputs'!$B$21+'Inputs'!$B$7+'Inputs'!$B$10)+'Inputs'!$B$9)/SQRT((((365-43)*MAX('Inputs'!$B$33,'Inputs'!$B$29+'Inputs'!$B$31+'Inputs'!$B$32,'Inputs'!$B$30+'Inputs'!$B$31+'Inputs'!$B$32)/1000+'Inputs'!$B$21+'Inputs'!$B$7+'Inputs'!$B$10)+'Inputs'!$B$9)^2+('Inputs'!$B$8/2)^2)-(((365-43)*MAX('Inputs'!$B$33,'Inputs'!$B$29+'Inputs'!$B$31+'Inputs'!$B$32,'Inputs'!$B$30+'Inputs'!$B$31+'Inputs'!$B$32)/1000+'Inputs'!$B$21+'Inputs'!$B$7+'Inputs'!$B$10))/SQRT((((365-43)*MAX('Inputs'!$B$33,'Inputs'!$B$29+'Inputs'!$B$31+'Inputs'!$B$32,'Inputs'!$B$30+'Inputs'!$B$31+'Inputs'!$B$32)/1000+'Inputs'!$B$21+'Inputs'!$B$7+'Inputs'!$B$10))^2+('Inputs'!$B$8/2)^2))))*'Results'!$B$8)+'Inputs'!$B$28*ABS((('Results'!B7*(1+'Inputs'!$B$24)*(0.5*((((365-43)*MAX('Inputs'!$B$33,'Inputs'!$B$29+'Inputs'!$B$31+'Inputs'!$B$32,'Inputs'!$B$30+'Inputs'!$B$31+'Inputs'!$B$32)/1000+'Inputs'!$B$21)+'Inputs'!$B$7)/SQRT((((365-43)*MAX('Inputs'!$B$33,'Inputs'!$B$29+'Inputs'!$B$31+'Inputs'!$B$32,'Inputs'!$B$30+'Inputs'!$B$31+'Inputs'!$B$32)/1000+'Inputs'!$B$21)+'Inputs'!$B$7)^2+('Inputs'!$B$6/2)^2)-(((365-43)*MAX('Inputs'!$B$33,'Inputs'!$B$29+'Inputs'!$B$31+'Inputs'!$B$32,'Inputs'!$B$30+'Inputs'!$B$31+'Inputs'!$B$32)/1000+'Inputs'!$B$21))/SQRT((((365-43)*MAX('Inputs'!$B$33,'Inputs'!$B$29+'Inputs'!$B$31+'Inputs'!$B$32,'Inputs'!$B$30+'Inputs'!$B$31+'Inputs'!$B$32)/1000+'Inputs'!$B$21))^2+('Inputs'!$B$6/2)^2)))-'Results'!C7*(1-'Inputs'!$B$24)*(0.5*((((365-43)*MAX('Inputs'!$B$33,'Inputs'!$B$29+'Inputs'!$B$31+'Inputs'!$B$32,'Inputs'!$B$30+'Inputs'!$B$31+'Inputs'!$B$32)/1000+'Inputs'!$B$21+'Inputs'!$B$7+'Inputs'!$B$10)+'Inputs'!$B$9)/SQRT((((365-43)*MAX('Inputs'!$B$33,'Inputs'!$B$29+'Inputs'!$B$31+'Inputs'!$B$32,'Inputs'!$B$30+'Inputs'!$B$31+'Inputs'!$B$32)/1000+'Inputs'!$B$21+'Inputs'!$B$7+'Inputs'!$B$10)+'Inputs'!$B$9)^2+('Inputs'!$B$8/2)^2)-(((365-43)*MAX('Inputs'!$B$33,'Inputs'!$B$29+'Inputs'!$B$31+'Inputs'!$B$32,'Inputs'!$B$30+'Inputs'!$B$31+'Inputs'!$B$32)/1000+'Inputs'!$B$21+'Inputs'!$B$7+'Inputs'!$B$10))/SQRT((((365-43)*MAX('Inputs'!$B$33,'Inputs'!$B$29+'Inputs'!$B$31+'Inputs'!$B$32,'Inputs'!$B$30+'Inputs'!$B$31+'Inputs'!$B$32)/1000+'Inputs'!$B$21+'Inputs'!$B$7+'Inputs'!$B$10))^2+('Inputs'!$B$8/2)^2))))*'Results'!$B$8))),"")</x:f>
        <x:v>19.63825875109572</x:v>
      </x:c>
      <x:c r="M365" t="n">
        <x:f>IF(AND(ISNUMBER('Results'!C7),ISNUMBER('Results'!B7),ISNUMBER('Results'!$B$8),ISNUMBER('Inputs'!$B$6),ISNUMBER('Inputs'!$B$7),ISNUMBER('Inputs'!$B$8),ISNUMBER('Inputs'!$B$9),ISNUMBER('Inputs'!$B$10),ISNUMBER('Inputs'!$B$21),ISNUMBER('Inputs'!$B$24),ISNUMBER('Inputs'!$B$28)),(('Results'!C7*(0.5*((((365-43)*MAX('Inputs'!$B$33,'Inputs'!$B$29+'Inputs'!$B$31+'Inputs'!$B$32,'Inputs'!$B$30+'Inputs'!$B$31+'Inputs'!$B$32)/1000+'Inputs'!$B$21)+'Inputs'!$B$9)/SQRT((((365-43)*MAX('Inputs'!$B$33,'Inputs'!$B$29+'Inputs'!$B$31+'Inputs'!$B$32,'Inputs'!$B$30+'Inputs'!$B$31+'Inputs'!$B$32)/1000+'Inputs'!$B$21)+'Inputs'!$B$9)^2+('Inputs'!$B$8/2)^2)-(((365-43)*MAX('Inputs'!$B$33,'Inputs'!$B$29+'Inputs'!$B$31+'Inputs'!$B$32,'Inputs'!$B$30+'Inputs'!$B$31+'Inputs'!$B$32)/1000+'Inputs'!$B$21))/SQRT((((365-43)*MAX('Inputs'!$B$33,'Inputs'!$B$29+'Inputs'!$B$31+'Inputs'!$B$32,'Inputs'!$B$30+'Inputs'!$B$31+'Inputs'!$B$32)/1000+'Inputs'!$B$21))^2+('Inputs'!$B$8/2)^2)))-'Results'!B7*(0.5*((((365-43)*MAX('Inputs'!$B$33,'Inputs'!$B$29+'Inputs'!$B$31+'Inputs'!$B$32,'Inputs'!$B$30+'Inputs'!$B$31+'Inputs'!$B$32)/1000+'Inputs'!$B$21+'Inputs'!$B$9+'Inputs'!$B$10)+'Inputs'!$B$7)/SQRT((((365-43)*MAX('Inputs'!$B$33,'Inputs'!$B$29+'Inputs'!$B$31+'Inputs'!$B$32,'Inputs'!$B$30+'Inputs'!$B$31+'Inputs'!$B$32)/1000+'Inputs'!$B$21+'Inputs'!$B$9+'Inputs'!$B$10)+'Inputs'!$B$7)^2+('Inputs'!$B$6/2)^2)-(((365-43)*MAX('Inputs'!$B$33,'Inputs'!$B$29+'Inputs'!$B$31+'Inputs'!$B$32,'Inputs'!$B$30+'Inputs'!$B$31+'Inputs'!$B$32)/1000+'Inputs'!$B$21+'Inputs'!$B$9+'Inputs'!$B$10))/SQRT((((365-43)*MAX('Inputs'!$B$33,'Inputs'!$B$29+'Inputs'!$B$31+'Inputs'!$B$32,'Inputs'!$B$30+'Inputs'!$B$31+'Inputs'!$B$32)/1000+'Inputs'!$B$21+'Inputs'!$B$9+'Inputs'!$B$10))^2+('Inputs'!$B$6/2)^2))))*'Results'!$B$8),"")</x:f>
        <x:v>16.932653418744916</x:v>
      </x:c>
      <x:c r="N365" t="n">
        <x:f>IF(AND(ISNUMBER('Results'!C7),ISNUMBER('Results'!B7),ISNUMBER('Results'!$B$8),ISNUMBER('Inputs'!$B$6),ISNUMBER('Inputs'!$B$7),ISNUMBER('Inputs'!$B$8),ISNUMBER('Inputs'!$B$9),ISNUMBER('Inputs'!$B$10),ISNUMBER('Inputs'!$B$21),ISNUMBER('Inputs'!$B$24),ISNUMBER('Inputs'!$B$28)),((('Results'!C7*(1-'Inputs'!$B$24)*(0.5*((((365-43)*MAX('Inputs'!$B$33,'Inputs'!$B$29+'Inputs'!$B$31+'Inputs'!$B$32,'Inputs'!$B$30+'Inputs'!$B$31+'Inputs'!$B$32)/1000+'Inputs'!$B$21)+'Inputs'!$B$9)/SQRT((((365-43)*MAX('Inputs'!$B$33,'Inputs'!$B$29+'Inputs'!$B$31+'Inputs'!$B$32,'Inputs'!$B$30+'Inputs'!$B$31+'Inputs'!$B$32)/1000+'Inputs'!$B$21)+'Inputs'!$B$9)^2+('Inputs'!$B$8/2)^2)-(((365-43)*MAX('Inputs'!$B$33,'Inputs'!$B$29+'Inputs'!$B$31+'Inputs'!$B$32,'Inputs'!$B$30+'Inputs'!$B$31+'Inputs'!$B$32)/1000+'Inputs'!$B$21))/SQRT((((365-43)*MAX('Inputs'!$B$33,'Inputs'!$B$29+'Inputs'!$B$31+'Inputs'!$B$32,'Inputs'!$B$30+'Inputs'!$B$31+'Inputs'!$B$32)/1000+'Inputs'!$B$21))^2+('Inputs'!$B$8/2)^2)))-'Results'!B7*(1+'Inputs'!$B$24)*(0.5*((((365-43)*MAX('Inputs'!$B$33,'Inputs'!$B$29+'Inputs'!$B$31+'Inputs'!$B$32,'Inputs'!$B$30+'Inputs'!$B$31+'Inputs'!$B$32)/1000+'Inputs'!$B$21+'Inputs'!$B$9+'Inputs'!$B$10)+'Inputs'!$B$7)/SQRT((((365-43)*MAX('Inputs'!$B$33,'Inputs'!$B$29+'Inputs'!$B$31+'Inputs'!$B$32,'Inputs'!$B$30+'Inputs'!$B$31+'Inputs'!$B$32)/1000+'Inputs'!$B$21+'Inputs'!$B$9+'Inputs'!$B$10)+'Inputs'!$B$7)^2+('Inputs'!$B$6/2)^2)-(((365-43)*MAX('Inputs'!$B$33,'Inputs'!$B$29+'Inputs'!$B$31+'Inputs'!$B$32,'Inputs'!$B$30+'Inputs'!$B$31+'Inputs'!$B$32)/1000+'Inputs'!$B$21+'Inputs'!$B$9+'Inputs'!$B$10))/SQRT((((365-43)*MAX('Inputs'!$B$33,'Inputs'!$B$29+'Inputs'!$B$31+'Inputs'!$B$32,'Inputs'!$B$30+'Inputs'!$B$31+'Inputs'!$B$32)/1000+'Inputs'!$B$21+'Inputs'!$B$9+'Inputs'!$B$10))^2+('Inputs'!$B$6/2)^2))))*'Results'!$B$8)-'Inputs'!$B$28*ABS((('Results'!C7*(1-'Inputs'!$B$24)*(0.5*((((365-43)*MAX('Inputs'!$B$33,'Inputs'!$B$29+'Inputs'!$B$31+'Inputs'!$B$32,'Inputs'!$B$30+'Inputs'!$B$31+'Inputs'!$B$32)/1000+'Inputs'!$B$21)+'Inputs'!$B$9)/SQRT((((365-43)*MAX('Inputs'!$B$33,'Inputs'!$B$29+'Inputs'!$B$31+'Inputs'!$B$32,'Inputs'!$B$30+'Inputs'!$B$31+'Inputs'!$B$32)/1000+'Inputs'!$B$21)+'Inputs'!$B$9)^2+('Inputs'!$B$8/2)^2)-(((365-43)*MAX('Inputs'!$B$33,'Inputs'!$B$29+'Inputs'!$B$31+'Inputs'!$B$32,'Inputs'!$B$30+'Inputs'!$B$31+'Inputs'!$B$32)/1000+'Inputs'!$B$21))/SQRT((((365-43)*MAX('Inputs'!$B$33,'Inputs'!$B$29+'Inputs'!$B$31+'Inputs'!$B$32,'Inputs'!$B$30+'Inputs'!$B$31+'Inputs'!$B$32)/1000+'Inputs'!$B$21))^2+('Inputs'!$B$8/2)^2)))-'Results'!B7*(1+'Inputs'!$B$24)*(0.5*((((365-43)*MAX('Inputs'!$B$33,'Inputs'!$B$29+'Inputs'!$B$31+'Inputs'!$B$32,'Inputs'!$B$30+'Inputs'!$B$31+'Inputs'!$B$32)/1000+'Inputs'!$B$21+'Inputs'!$B$9+'Inputs'!$B$10)+'Inputs'!$B$7)/SQRT((((365-43)*MAX('Inputs'!$B$33,'Inputs'!$B$29+'Inputs'!$B$31+'Inputs'!$B$32,'Inputs'!$B$30+'Inputs'!$B$31+'Inputs'!$B$32)/1000+'Inputs'!$B$21+'Inputs'!$B$9+'Inputs'!$B$10)+'Inputs'!$B$7)^2+('Inputs'!$B$6/2)^2)-(((365-43)*MAX('Inputs'!$B$33,'Inputs'!$B$29+'Inputs'!$B$31+'Inputs'!$B$32,'Inputs'!$B$30+'Inputs'!$B$31+'Inputs'!$B$32)/1000+'Inputs'!$B$21+'Inputs'!$B$9+'Inputs'!$B$10))/SQRT((((365-43)*MAX('Inputs'!$B$33,'Inputs'!$B$29+'Inputs'!$B$31+'Inputs'!$B$32,'Inputs'!$B$30+'Inputs'!$B$31+'Inputs'!$B$32)/1000+'Inputs'!$B$21+'Inputs'!$B$9+'Inputs'!$B$10))^2+('Inputs'!$B$6/2)^2))))*'Results'!$B$8))),"")</x:f>
        <x:v>15.254276851373636</x:v>
      </x:c>
      <x:c r="O365" t="n">
        <x:f>IF(AND(ISNUMBER('Results'!C7),ISNUMBER('Results'!B7),ISNUMBER('Results'!$B$8),ISNUMBER('Inputs'!$B$6),ISNUMBER('Inputs'!$B$7),ISNUMBER('Inputs'!$B$8),ISNUMBER('Inputs'!$B$9),ISNUMBER('Inputs'!$B$10),ISNUMBER('Inputs'!$B$21),ISNUMBER('Inputs'!$B$24),ISNUMBER('Inputs'!$B$28)),((('Results'!C7*(1+'Inputs'!$B$24)*(0.5*((((365-43)*MAX('Inputs'!$B$33,'Inputs'!$B$29+'Inputs'!$B$31+'Inputs'!$B$32,'Inputs'!$B$30+'Inputs'!$B$31+'Inputs'!$B$32)/1000+'Inputs'!$B$21)+'Inputs'!$B$9)/SQRT((((365-43)*MAX('Inputs'!$B$33,'Inputs'!$B$29+'Inputs'!$B$31+'Inputs'!$B$32,'Inputs'!$B$30+'Inputs'!$B$31+'Inputs'!$B$32)/1000+'Inputs'!$B$21)+'Inputs'!$B$9)^2+('Inputs'!$B$8/2)^2)-(((365-43)*MAX('Inputs'!$B$33,'Inputs'!$B$29+'Inputs'!$B$31+'Inputs'!$B$32,'Inputs'!$B$30+'Inputs'!$B$31+'Inputs'!$B$32)/1000+'Inputs'!$B$21))/SQRT((((365-43)*MAX('Inputs'!$B$33,'Inputs'!$B$29+'Inputs'!$B$31+'Inputs'!$B$32,'Inputs'!$B$30+'Inputs'!$B$31+'Inputs'!$B$32)/1000+'Inputs'!$B$21))^2+('Inputs'!$B$8/2)^2)))-'Results'!B7*(1-'Inputs'!$B$24)*(0.5*((((365-43)*MAX('Inputs'!$B$33,'Inputs'!$B$29+'Inputs'!$B$31+'Inputs'!$B$32,'Inputs'!$B$30+'Inputs'!$B$31+'Inputs'!$B$32)/1000+'Inputs'!$B$21+'Inputs'!$B$9+'Inputs'!$B$10)+'Inputs'!$B$7)/SQRT((((365-43)*MAX('Inputs'!$B$33,'Inputs'!$B$29+'Inputs'!$B$31+'Inputs'!$B$32,'Inputs'!$B$30+'Inputs'!$B$31+'Inputs'!$B$32)/1000+'Inputs'!$B$21+'Inputs'!$B$9+'Inputs'!$B$10)+'Inputs'!$B$7)^2+('Inputs'!$B$6/2)^2)-(((365-43)*MAX('Inputs'!$B$33,'Inputs'!$B$29+'Inputs'!$B$31+'Inputs'!$B$32,'Inputs'!$B$30+'Inputs'!$B$31+'Inputs'!$B$32)/1000+'Inputs'!$B$21+'Inputs'!$B$9+'Inputs'!$B$10))/SQRT((((365-43)*MAX('Inputs'!$B$33,'Inputs'!$B$29+'Inputs'!$B$31+'Inputs'!$B$32,'Inputs'!$B$30+'Inputs'!$B$31+'Inputs'!$B$32)/1000+'Inputs'!$B$21+'Inputs'!$B$9+'Inputs'!$B$10))^2+('Inputs'!$B$6/2)^2))))*'Results'!$B$8)+'Inputs'!$B$28*ABS((('Results'!C7*(1+'Inputs'!$B$24)*(0.5*((((365-43)*MAX('Inputs'!$B$33,'Inputs'!$B$29+'Inputs'!$B$31+'Inputs'!$B$32,'Inputs'!$B$30+'Inputs'!$B$31+'Inputs'!$B$32)/1000+'Inputs'!$B$21)+'Inputs'!$B$9)/SQRT((((365-43)*MAX('Inputs'!$B$33,'Inputs'!$B$29+'Inputs'!$B$31+'Inputs'!$B$32,'Inputs'!$B$30+'Inputs'!$B$31+'Inputs'!$B$32)/1000+'Inputs'!$B$21)+'Inputs'!$B$9)^2+('Inputs'!$B$8/2)^2)-(((365-43)*MAX('Inputs'!$B$33,'Inputs'!$B$29+'Inputs'!$B$31+'Inputs'!$B$32,'Inputs'!$B$30+'Inputs'!$B$31+'Inputs'!$B$32)/1000+'Inputs'!$B$21))/SQRT((((365-43)*MAX('Inputs'!$B$33,'Inputs'!$B$29+'Inputs'!$B$31+'Inputs'!$B$32,'Inputs'!$B$30+'Inputs'!$B$31+'Inputs'!$B$32)/1000+'Inputs'!$B$21))^2+('Inputs'!$B$8/2)^2)))-'Results'!B7*(1-'Inputs'!$B$24)*(0.5*((((365-43)*MAX('Inputs'!$B$33,'Inputs'!$B$29+'Inputs'!$B$31+'Inputs'!$B$32,'Inputs'!$B$30+'Inputs'!$B$31+'Inputs'!$B$32)/1000+'Inputs'!$B$21+'Inputs'!$B$9+'Inputs'!$B$10)+'Inputs'!$B$7)/SQRT((((365-43)*MAX('Inputs'!$B$33,'Inputs'!$B$29+'Inputs'!$B$31+'Inputs'!$B$32,'Inputs'!$B$30+'Inputs'!$B$31+'Inputs'!$B$32)/1000+'Inputs'!$B$21+'Inputs'!$B$9+'Inputs'!$B$10)+'Inputs'!$B$7)^2+('Inputs'!$B$6/2)^2)-(((365-43)*MAX('Inputs'!$B$33,'Inputs'!$B$29+'Inputs'!$B$31+'Inputs'!$B$32,'Inputs'!$B$30+'Inputs'!$B$31+'Inputs'!$B$32)/1000+'Inputs'!$B$21+'Inputs'!$B$9+'Inputs'!$B$10))/SQRT((((365-43)*MAX('Inputs'!$B$33,'Inputs'!$B$29+'Inputs'!$B$31+'Inputs'!$B$32,'Inputs'!$B$30+'Inputs'!$B$31+'Inputs'!$B$32)/1000+'Inputs'!$B$21+'Inputs'!$B$9+'Inputs'!$B$10))^2+('Inputs'!$B$6/2)^2))))*'Results'!$B$8))),"")</x:f>
        <x:v>18.698581975214513</x:v>
      </x:c>
      <x:c r="P365" t="n">
        <x:f>IF(AND(MAX(J365,J364)&gt;0,J365&gt;J364+0.00000001),1,0)</x:f>
        <x:v>0</x:v>
      </x:c>
      <x:c r="Q365" t="n">
        <x:f>IF(AND(MAX(K365,K364)&gt;0,K365&gt;K364+0.00000001),1,0)</x:f>
        <x:v>0</x:v>
      </x:c>
      <x:c r="R365" t="n">
        <x:f>IF(AND(MAX(L365,L364)&gt;0,L365&gt;L364+0.00000001),1,0)</x:f>
        <x:v>0</x:v>
      </x:c>
      <x:c r="S365" t="n">
        <x:f>IF(AND(MAX(M365,M364)&gt;0,M365&gt;M364+0.00000001),1,0)</x:f>
        <x:v>0</x:v>
      </x:c>
      <x:c r="T365" t="n">
        <x:f>IF(AND(MAX(N365,N364)&gt;0,N365&gt;N364+0.00000001),1,0)</x:f>
        <x:v>0</x:v>
      </x:c>
      <x:c r="U365" t="n">
        <x:f>IF(AND(MAX(O365,O364)&gt;0,O365&gt;O364+0.00000001),1,0)</x:f>
        <x:v>0</x:v>
      </x:c>
    </x:row>
    <x:row r="366">
      <x:c r="J366" t="n">
        <x:f>IF(AND(ISNUMBER('Results'!B7),ISNUMBER('Results'!C7),ISNUMBER('Results'!$B$8),ISNUMBER('Inputs'!$B$6),ISNUMBER('Inputs'!$B$7),ISNUMBER('Inputs'!$B$8),ISNUMBER('Inputs'!$B$9),ISNUMBER('Inputs'!$B$10),ISNUMBER('Inputs'!$B$21),ISNUMBER('Inputs'!$B$24),ISNUMBER('Inputs'!$B$28)),(('Results'!B7*(0.5*((((366-43)*MAX('Inputs'!$B$33,'Inputs'!$B$29+'Inputs'!$B$31+'Inputs'!$B$32,'Inputs'!$B$30+'Inputs'!$B$31+'Inputs'!$B$32)/1000+'Inputs'!$B$21)+'Inputs'!$B$7)/SQRT((((366-43)*MAX('Inputs'!$B$33,'Inputs'!$B$29+'Inputs'!$B$31+'Inputs'!$B$32,'Inputs'!$B$30+'Inputs'!$B$31+'Inputs'!$B$32)/1000+'Inputs'!$B$21)+'Inputs'!$B$7)^2+('Inputs'!$B$6/2)^2)-(((366-43)*MAX('Inputs'!$B$33,'Inputs'!$B$29+'Inputs'!$B$31+'Inputs'!$B$32,'Inputs'!$B$30+'Inputs'!$B$31+'Inputs'!$B$32)/1000+'Inputs'!$B$21))/SQRT((((366-43)*MAX('Inputs'!$B$33,'Inputs'!$B$29+'Inputs'!$B$31+'Inputs'!$B$32,'Inputs'!$B$30+'Inputs'!$B$31+'Inputs'!$B$32)/1000+'Inputs'!$B$21))^2+('Inputs'!$B$6/2)^2)))-'Results'!C7*(0.5*((((366-43)*MAX('Inputs'!$B$33,'Inputs'!$B$29+'Inputs'!$B$31+'Inputs'!$B$32,'Inputs'!$B$30+'Inputs'!$B$31+'Inputs'!$B$32)/1000+'Inputs'!$B$21+'Inputs'!$B$7+'Inputs'!$B$10)+'Inputs'!$B$9)/SQRT((((366-43)*MAX('Inputs'!$B$33,'Inputs'!$B$29+'Inputs'!$B$31+'Inputs'!$B$32,'Inputs'!$B$30+'Inputs'!$B$31+'Inputs'!$B$32)/1000+'Inputs'!$B$21+'Inputs'!$B$7+'Inputs'!$B$10)+'Inputs'!$B$9)^2+('Inputs'!$B$8/2)^2)-(((366-43)*MAX('Inputs'!$B$33,'Inputs'!$B$29+'Inputs'!$B$31+'Inputs'!$B$32,'Inputs'!$B$30+'Inputs'!$B$31+'Inputs'!$B$32)/1000+'Inputs'!$B$21+'Inputs'!$B$7+'Inputs'!$B$10))/SQRT((((366-43)*MAX('Inputs'!$B$33,'Inputs'!$B$29+'Inputs'!$B$31+'Inputs'!$B$32,'Inputs'!$B$30+'Inputs'!$B$31+'Inputs'!$B$32)/1000+'Inputs'!$B$21+'Inputs'!$B$7+'Inputs'!$B$10))^2+('Inputs'!$B$8/2)^2))))*'Results'!$B$8),"")</x:f>
        <x:v>17.646834379536283</x:v>
      </x:c>
      <x:c r="K366" t="n">
        <x:f>IF(AND(ISNUMBER('Results'!B7),ISNUMBER('Results'!C7),ISNUMBER('Results'!$B$8),ISNUMBER('Inputs'!$B$6),ISNUMBER('Inputs'!$B$7),ISNUMBER('Inputs'!$B$8),ISNUMBER('Inputs'!$B$9),ISNUMBER('Inputs'!$B$10),ISNUMBER('Inputs'!$B$21),ISNUMBER('Inputs'!$B$24),ISNUMBER('Inputs'!$B$28)),((('Results'!B7*(1-'Inputs'!$B$24)*(0.5*((((366-43)*MAX('Inputs'!$B$33,'Inputs'!$B$29+'Inputs'!$B$31+'Inputs'!$B$32,'Inputs'!$B$30+'Inputs'!$B$31+'Inputs'!$B$32)/1000+'Inputs'!$B$21)+'Inputs'!$B$7)/SQRT((((366-43)*MAX('Inputs'!$B$33,'Inputs'!$B$29+'Inputs'!$B$31+'Inputs'!$B$32,'Inputs'!$B$30+'Inputs'!$B$31+'Inputs'!$B$32)/1000+'Inputs'!$B$21)+'Inputs'!$B$7)^2+('Inputs'!$B$6/2)^2)-(((366-43)*MAX('Inputs'!$B$33,'Inputs'!$B$29+'Inputs'!$B$31+'Inputs'!$B$32,'Inputs'!$B$30+'Inputs'!$B$31+'Inputs'!$B$32)/1000+'Inputs'!$B$21))/SQRT((((366-43)*MAX('Inputs'!$B$33,'Inputs'!$B$29+'Inputs'!$B$31+'Inputs'!$B$32,'Inputs'!$B$30+'Inputs'!$B$31+'Inputs'!$B$32)/1000+'Inputs'!$B$21))^2+('Inputs'!$B$6/2)^2)))-'Results'!C7*(1+'Inputs'!$B$24)*(0.5*((((366-43)*MAX('Inputs'!$B$33,'Inputs'!$B$29+'Inputs'!$B$31+'Inputs'!$B$32,'Inputs'!$B$30+'Inputs'!$B$31+'Inputs'!$B$32)/1000+'Inputs'!$B$21+'Inputs'!$B$7+'Inputs'!$B$10)+'Inputs'!$B$9)/SQRT((((366-43)*MAX('Inputs'!$B$33,'Inputs'!$B$29+'Inputs'!$B$31+'Inputs'!$B$32,'Inputs'!$B$30+'Inputs'!$B$31+'Inputs'!$B$32)/1000+'Inputs'!$B$21+'Inputs'!$B$7+'Inputs'!$B$10)+'Inputs'!$B$9)^2+('Inputs'!$B$8/2)^2)-(((366-43)*MAX('Inputs'!$B$33,'Inputs'!$B$29+'Inputs'!$B$31+'Inputs'!$B$32,'Inputs'!$B$30+'Inputs'!$B$31+'Inputs'!$B$32)/1000+'Inputs'!$B$21+'Inputs'!$B$7+'Inputs'!$B$10))/SQRT((((366-43)*MAX('Inputs'!$B$33,'Inputs'!$B$29+'Inputs'!$B$31+'Inputs'!$B$32,'Inputs'!$B$30+'Inputs'!$B$31+'Inputs'!$B$32)/1000+'Inputs'!$B$21+'Inputs'!$B$7+'Inputs'!$B$10))^2+('Inputs'!$B$8/2)^2))))*'Results'!$B$8)-'Inputs'!$B$28*ABS((('Results'!B7*(1-'Inputs'!$B$24)*(0.5*((((366-43)*MAX('Inputs'!$B$33,'Inputs'!$B$29+'Inputs'!$B$31+'Inputs'!$B$32,'Inputs'!$B$30+'Inputs'!$B$31+'Inputs'!$B$32)/1000+'Inputs'!$B$21)+'Inputs'!$B$7)/SQRT((((366-43)*MAX('Inputs'!$B$33,'Inputs'!$B$29+'Inputs'!$B$31+'Inputs'!$B$32,'Inputs'!$B$30+'Inputs'!$B$31+'Inputs'!$B$32)/1000+'Inputs'!$B$21)+'Inputs'!$B$7)^2+('Inputs'!$B$6/2)^2)-(((366-43)*MAX('Inputs'!$B$33,'Inputs'!$B$29+'Inputs'!$B$31+'Inputs'!$B$32,'Inputs'!$B$30+'Inputs'!$B$31+'Inputs'!$B$32)/1000+'Inputs'!$B$21))/SQRT((((366-43)*MAX('Inputs'!$B$33,'Inputs'!$B$29+'Inputs'!$B$31+'Inputs'!$B$32,'Inputs'!$B$30+'Inputs'!$B$31+'Inputs'!$B$32)/1000+'Inputs'!$B$21))^2+('Inputs'!$B$6/2)^2)))-'Results'!C7*(1+'Inputs'!$B$24)*(0.5*((((366-43)*MAX('Inputs'!$B$33,'Inputs'!$B$29+'Inputs'!$B$31+'Inputs'!$B$32,'Inputs'!$B$30+'Inputs'!$B$31+'Inputs'!$B$32)/1000+'Inputs'!$B$21+'Inputs'!$B$7+'Inputs'!$B$10)+'Inputs'!$B$9)/SQRT((((366-43)*MAX('Inputs'!$B$33,'Inputs'!$B$29+'Inputs'!$B$31+'Inputs'!$B$32,'Inputs'!$B$30+'Inputs'!$B$31+'Inputs'!$B$32)/1000+'Inputs'!$B$21+'Inputs'!$B$7+'Inputs'!$B$10)+'Inputs'!$B$9)^2+('Inputs'!$B$8/2)^2)-(((366-43)*MAX('Inputs'!$B$33,'Inputs'!$B$29+'Inputs'!$B$31+'Inputs'!$B$32,'Inputs'!$B$30+'Inputs'!$B$31+'Inputs'!$B$32)/1000+'Inputs'!$B$21+'Inputs'!$B$7+'Inputs'!$B$10))/SQRT((((366-43)*MAX('Inputs'!$B$33,'Inputs'!$B$29+'Inputs'!$B$31+'Inputs'!$B$32,'Inputs'!$B$30+'Inputs'!$B$31+'Inputs'!$B$32)/1000+'Inputs'!$B$21+'Inputs'!$B$7+'Inputs'!$B$10))^2+('Inputs'!$B$8/2)^2))))*'Results'!$B$8))),"")</x:f>
        <x:v>15.932561663947084</x:v>
      </x:c>
      <x:c r="L366" t="n">
        <x:f>IF(AND(ISNUMBER('Results'!B7),ISNUMBER('Results'!C7),ISNUMBER('Results'!$B$8),ISNUMBER('Inputs'!$B$6),ISNUMBER('Inputs'!$B$7),ISNUMBER('Inputs'!$B$8),ISNUMBER('Inputs'!$B$9),ISNUMBER('Inputs'!$B$10),ISNUMBER('Inputs'!$B$21),ISNUMBER('Inputs'!$B$24),ISNUMBER('Inputs'!$B$28)),((('Results'!B7*(1+'Inputs'!$B$24)*(0.5*((((366-43)*MAX('Inputs'!$B$33,'Inputs'!$B$29+'Inputs'!$B$31+'Inputs'!$B$32,'Inputs'!$B$30+'Inputs'!$B$31+'Inputs'!$B$32)/1000+'Inputs'!$B$21)+'Inputs'!$B$7)/SQRT((((366-43)*MAX('Inputs'!$B$33,'Inputs'!$B$29+'Inputs'!$B$31+'Inputs'!$B$32,'Inputs'!$B$30+'Inputs'!$B$31+'Inputs'!$B$32)/1000+'Inputs'!$B$21)+'Inputs'!$B$7)^2+('Inputs'!$B$6/2)^2)-(((366-43)*MAX('Inputs'!$B$33,'Inputs'!$B$29+'Inputs'!$B$31+'Inputs'!$B$32,'Inputs'!$B$30+'Inputs'!$B$31+'Inputs'!$B$32)/1000+'Inputs'!$B$21))/SQRT((((366-43)*MAX('Inputs'!$B$33,'Inputs'!$B$29+'Inputs'!$B$31+'Inputs'!$B$32,'Inputs'!$B$30+'Inputs'!$B$31+'Inputs'!$B$32)/1000+'Inputs'!$B$21))^2+('Inputs'!$B$6/2)^2)))-'Results'!C7*(1-'Inputs'!$B$24)*(0.5*((((366-43)*MAX('Inputs'!$B$33,'Inputs'!$B$29+'Inputs'!$B$31+'Inputs'!$B$32,'Inputs'!$B$30+'Inputs'!$B$31+'Inputs'!$B$32)/1000+'Inputs'!$B$21+'Inputs'!$B$7+'Inputs'!$B$10)+'Inputs'!$B$9)/SQRT((((366-43)*MAX('Inputs'!$B$33,'Inputs'!$B$29+'Inputs'!$B$31+'Inputs'!$B$32,'Inputs'!$B$30+'Inputs'!$B$31+'Inputs'!$B$32)/1000+'Inputs'!$B$21+'Inputs'!$B$7+'Inputs'!$B$10)+'Inputs'!$B$9)^2+('Inputs'!$B$8/2)^2)-(((366-43)*MAX('Inputs'!$B$33,'Inputs'!$B$29+'Inputs'!$B$31+'Inputs'!$B$32,'Inputs'!$B$30+'Inputs'!$B$31+'Inputs'!$B$32)/1000+'Inputs'!$B$21+'Inputs'!$B$7+'Inputs'!$B$10))/SQRT((((366-43)*MAX('Inputs'!$B$33,'Inputs'!$B$29+'Inputs'!$B$31+'Inputs'!$B$32,'Inputs'!$B$30+'Inputs'!$B$31+'Inputs'!$B$32)/1000+'Inputs'!$B$21+'Inputs'!$B$7+'Inputs'!$B$10))^2+('Inputs'!$B$8/2)^2))))*'Results'!$B$8)+'Inputs'!$B$28*ABS((('Results'!B7*(1+'Inputs'!$B$24)*(0.5*((((366-43)*MAX('Inputs'!$B$33,'Inputs'!$B$29+'Inputs'!$B$31+'Inputs'!$B$32,'Inputs'!$B$30+'Inputs'!$B$31+'Inputs'!$B$32)/1000+'Inputs'!$B$21)+'Inputs'!$B$7)/SQRT((((366-43)*MAX('Inputs'!$B$33,'Inputs'!$B$29+'Inputs'!$B$31+'Inputs'!$B$32,'Inputs'!$B$30+'Inputs'!$B$31+'Inputs'!$B$32)/1000+'Inputs'!$B$21)+'Inputs'!$B$7)^2+('Inputs'!$B$6/2)^2)-(((366-43)*MAX('Inputs'!$B$33,'Inputs'!$B$29+'Inputs'!$B$31+'Inputs'!$B$32,'Inputs'!$B$30+'Inputs'!$B$31+'Inputs'!$B$32)/1000+'Inputs'!$B$21))/SQRT((((366-43)*MAX('Inputs'!$B$33,'Inputs'!$B$29+'Inputs'!$B$31+'Inputs'!$B$32,'Inputs'!$B$30+'Inputs'!$B$31+'Inputs'!$B$32)/1000+'Inputs'!$B$21))^2+('Inputs'!$B$6/2)^2)))-'Results'!C7*(1-'Inputs'!$B$24)*(0.5*((((366-43)*MAX('Inputs'!$B$33,'Inputs'!$B$29+'Inputs'!$B$31+'Inputs'!$B$32,'Inputs'!$B$30+'Inputs'!$B$31+'Inputs'!$B$32)/1000+'Inputs'!$B$21+'Inputs'!$B$7+'Inputs'!$B$10)+'Inputs'!$B$9)/SQRT((((366-43)*MAX('Inputs'!$B$33,'Inputs'!$B$29+'Inputs'!$B$31+'Inputs'!$B$32,'Inputs'!$B$30+'Inputs'!$B$31+'Inputs'!$B$32)/1000+'Inputs'!$B$21+'Inputs'!$B$7+'Inputs'!$B$10)+'Inputs'!$B$9)^2+('Inputs'!$B$8/2)^2)-(((366-43)*MAX('Inputs'!$B$33,'Inputs'!$B$29+'Inputs'!$B$31+'Inputs'!$B$32,'Inputs'!$B$30+'Inputs'!$B$31+'Inputs'!$B$32)/1000+'Inputs'!$B$21+'Inputs'!$B$7+'Inputs'!$B$10))/SQRT((((366-43)*MAX('Inputs'!$B$33,'Inputs'!$B$29+'Inputs'!$B$31+'Inputs'!$B$32,'Inputs'!$B$30+'Inputs'!$B$31+'Inputs'!$B$32)/1000+'Inputs'!$B$21+'Inputs'!$B$7+'Inputs'!$B$10))^2+('Inputs'!$B$8/2)^2))))*'Results'!$B$8))),"")</x:f>
        <x:v>19.448678778979428</x:v>
      </x:c>
      <x:c r="M366" t="n">
        <x:f>IF(AND(ISNUMBER('Results'!C7),ISNUMBER('Results'!B7),ISNUMBER('Results'!$B$8),ISNUMBER('Inputs'!$B$6),ISNUMBER('Inputs'!$B$7),ISNUMBER('Inputs'!$B$8),ISNUMBER('Inputs'!$B$9),ISNUMBER('Inputs'!$B$10),ISNUMBER('Inputs'!$B$21),ISNUMBER('Inputs'!$B$24),ISNUMBER('Inputs'!$B$28)),(('Results'!C7*(0.5*((((366-43)*MAX('Inputs'!$B$33,'Inputs'!$B$29+'Inputs'!$B$31+'Inputs'!$B$32,'Inputs'!$B$30+'Inputs'!$B$31+'Inputs'!$B$32)/1000+'Inputs'!$B$21)+'Inputs'!$B$9)/SQRT((((366-43)*MAX('Inputs'!$B$33,'Inputs'!$B$29+'Inputs'!$B$31+'Inputs'!$B$32,'Inputs'!$B$30+'Inputs'!$B$31+'Inputs'!$B$32)/1000+'Inputs'!$B$21)+'Inputs'!$B$9)^2+('Inputs'!$B$8/2)^2)-(((366-43)*MAX('Inputs'!$B$33,'Inputs'!$B$29+'Inputs'!$B$31+'Inputs'!$B$32,'Inputs'!$B$30+'Inputs'!$B$31+'Inputs'!$B$32)/1000+'Inputs'!$B$21))/SQRT((((366-43)*MAX('Inputs'!$B$33,'Inputs'!$B$29+'Inputs'!$B$31+'Inputs'!$B$32,'Inputs'!$B$30+'Inputs'!$B$31+'Inputs'!$B$32)/1000+'Inputs'!$B$21))^2+('Inputs'!$B$8/2)^2)))-'Results'!B7*(0.5*((((366-43)*MAX('Inputs'!$B$33,'Inputs'!$B$29+'Inputs'!$B$31+'Inputs'!$B$32,'Inputs'!$B$30+'Inputs'!$B$31+'Inputs'!$B$32)/1000+'Inputs'!$B$21+'Inputs'!$B$9+'Inputs'!$B$10)+'Inputs'!$B$7)/SQRT((((366-43)*MAX('Inputs'!$B$33,'Inputs'!$B$29+'Inputs'!$B$31+'Inputs'!$B$32,'Inputs'!$B$30+'Inputs'!$B$31+'Inputs'!$B$32)/1000+'Inputs'!$B$21+'Inputs'!$B$9+'Inputs'!$B$10)+'Inputs'!$B$7)^2+('Inputs'!$B$6/2)^2)-(((366-43)*MAX('Inputs'!$B$33,'Inputs'!$B$29+'Inputs'!$B$31+'Inputs'!$B$32,'Inputs'!$B$30+'Inputs'!$B$31+'Inputs'!$B$32)/1000+'Inputs'!$B$21+'Inputs'!$B$9+'Inputs'!$B$10))/SQRT((((366-43)*MAX('Inputs'!$B$33,'Inputs'!$B$29+'Inputs'!$B$31+'Inputs'!$B$32,'Inputs'!$B$30+'Inputs'!$B$31+'Inputs'!$B$32)/1000+'Inputs'!$B$21+'Inputs'!$B$9+'Inputs'!$B$10))^2+('Inputs'!$B$6/2)^2))))*'Results'!$B$8),"")</x:f>
        <x:v>16.76578304966072</x:v>
      </x:c>
      <x:c r="N366" t="n">
        <x:f>IF(AND(ISNUMBER('Results'!C7),ISNUMBER('Results'!B7),ISNUMBER('Results'!$B$8),ISNUMBER('Inputs'!$B$6),ISNUMBER('Inputs'!$B$7),ISNUMBER('Inputs'!$B$8),ISNUMBER('Inputs'!$B$9),ISNUMBER('Inputs'!$B$10),ISNUMBER('Inputs'!$B$21),ISNUMBER('Inputs'!$B$24),ISNUMBER('Inputs'!$B$28)),((('Results'!C7*(1-'Inputs'!$B$24)*(0.5*((((366-43)*MAX('Inputs'!$B$33,'Inputs'!$B$29+'Inputs'!$B$31+'Inputs'!$B$32,'Inputs'!$B$30+'Inputs'!$B$31+'Inputs'!$B$32)/1000+'Inputs'!$B$21)+'Inputs'!$B$9)/SQRT((((366-43)*MAX('Inputs'!$B$33,'Inputs'!$B$29+'Inputs'!$B$31+'Inputs'!$B$32,'Inputs'!$B$30+'Inputs'!$B$31+'Inputs'!$B$32)/1000+'Inputs'!$B$21)+'Inputs'!$B$9)^2+('Inputs'!$B$8/2)^2)-(((366-43)*MAX('Inputs'!$B$33,'Inputs'!$B$29+'Inputs'!$B$31+'Inputs'!$B$32,'Inputs'!$B$30+'Inputs'!$B$31+'Inputs'!$B$32)/1000+'Inputs'!$B$21))/SQRT((((366-43)*MAX('Inputs'!$B$33,'Inputs'!$B$29+'Inputs'!$B$31+'Inputs'!$B$32,'Inputs'!$B$30+'Inputs'!$B$31+'Inputs'!$B$32)/1000+'Inputs'!$B$21))^2+('Inputs'!$B$8/2)^2)))-'Results'!B7*(1+'Inputs'!$B$24)*(0.5*((((366-43)*MAX('Inputs'!$B$33,'Inputs'!$B$29+'Inputs'!$B$31+'Inputs'!$B$32,'Inputs'!$B$30+'Inputs'!$B$31+'Inputs'!$B$32)/1000+'Inputs'!$B$21+'Inputs'!$B$9+'Inputs'!$B$10)+'Inputs'!$B$7)/SQRT((((366-43)*MAX('Inputs'!$B$33,'Inputs'!$B$29+'Inputs'!$B$31+'Inputs'!$B$32,'Inputs'!$B$30+'Inputs'!$B$31+'Inputs'!$B$32)/1000+'Inputs'!$B$21+'Inputs'!$B$9+'Inputs'!$B$10)+'Inputs'!$B$7)^2+('Inputs'!$B$6/2)^2)-(((366-43)*MAX('Inputs'!$B$33,'Inputs'!$B$29+'Inputs'!$B$31+'Inputs'!$B$32,'Inputs'!$B$30+'Inputs'!$B$31+'Inputs'!$B$32)/1000+'Inputs'!$B$21+'Inputs'!$B$9+'Inputs'!$B$10))/SQRT((((366-43)*MAX('Inputs'!$B$33,'Inputs'!$B$29+'Inputs'!$B$31+'Inputs'!$B$32,'Inputs'!$B$30+'Inputs'!$B$31+'Inputs'!$B$32)/1000+'Inputs'!$B$21+'Inputs'!$B$9+'Inputs'!$B$10))^2+('Inputs'!$B$6/2)^2))))*'Results'!$B$8)-'Inputs'!$B$28*ABS((('Results'!C7*(1-'Inputs'!$B$24)*(0.5*((((366-43)*MAX('Inputs'!$B$33,'Inputs'!$B$29+'Inputs'!$B$31+'Inputs'!$B$32,'Inputs'!$B$30+'Inputs'!$B$31+'Inputs'!$B$32)/1000+'Inputs'!$B$21)+'Inputs'!$B$9)/SQRT((((366-43)*MAX('Inputs'!$B$33,'Inputs'!$B$29+'Inputs'!$B$31+'Inputs'!$B$32,'Inputs'!$B$30+'Inputs'!$B$31+'Inputs'!$B$32)/1000+'Inputs'!$B$21)+'Inputs'!$B$9)^2+('Inputs'!$B$8/2)^2)-(((366-43)*MAX('Inputs'!$B$33,'Inputs'!$B$29+'Inputs'!$B$31+'Inputs'!$B$32,'Inputs'!$B$30+'Inputs'!$B$31+'Inputs'!$B$32)/1000+'Inputs'!$B$21))/SQRT((((366-43)*MAX('Inputs'!$B$33,'Inputs'!$B$29+'Inputs'!$B$31+'Inputs'!$B$32,'Inputs'!$B$30+'Inputs'!$B$31+'Inputs'!$B$32)/1000+'Inputs'!$B$21))^2+('Inputs'!$B$8/2)^2)))-'Results'!B7*(1+'Inputs'!$B$24)*(0.5*((((366-43)*MAX('Inputs'!$B$33,'Inputs'!$B$29+'Inputs'!$B$31+'Inputs'!$B$32,'Inputs'!$B$30+'Inputs'!$B$31+'Inputs'!$B$32)/1000+'Inputs'!$B$21+'Inputs'!$B$9+'Inputs'!$B$10)+'Inputs'!$B$7)/SQRT((((366-43)*MAX('Inputs'!$B$33,'Inputs'!$B$29+'Inputs'!$B$31+'Inputs'!$B$32,'Inputs'!$B$30+'Inputs'!$B$31+'Inputs'!$B$32)/1000+'Inputs'!$B$21+'Inputs'!$B$9+'Inputs'!$B$10)+'Inputs'!$B$7)^2+('Inputs'!$B$6/2)^2)-(((366-43)*MAX('Inputs'!$B$33,'Inputs'!$B$29+'Inputs'!$B$31+'Inputs'!$B$32,'Inputs'!$B$30+'Inputs'!$B$31+'Inputs'!$B$32)/1000+'Inputs'!$B$21+'Inputs'!$B$9+'Inputs'!$B$10))/SQRT((((366-43)*MAX('Inputs'!$B$33,'Inputs'!$B$29+'Inputs'!$B$31+'Inputs'!$B$32,'Inputs'!$B$30+'Inputs'!$B$31+'Inputs'!$B$32)/1000+'Inputs'!$B$21+'Inputs'!$B$9+'Inputs'!$B$10))^2+('Inputs'!$B$6/2)^2))))*'Results'!$B$8))),"")</x:f>
        <x:v>15.102167342294132</x:v>
      </x:c>
      <x:c r="O366" t="n">
        <x:f>IF(AND(ISNUMBER('Results'!C7),ISNUMBER('Results'!B7),ISNUMBER('Results'!$B$8),ISNUMBER('Inputs'!$B$6),ISNUMBER('Inputs'!$B$7),ISNUMBER('Inputs'!$B$8),ISNUMBER('Inputs'!$B$9),ISNUMBER('Inputs'!$B$10),ISNUMBER('Inputs'!$B$21),ISNUMBER('Inputs'!$B$24),ISNUMBER('Inputs'!$B$28)),((('Results'!C7*(1+'Inputs'!$B$24)*(0.5*((((366-43)*MAX('Inputs'!$B$33,'Inputs'!$B$29+'Inputs'!$B$31+'Inputs'!$B$32,'Inputs'!$B$30+'Inputs'!$B$31+'Inputs'!$B$32)/1000+'Inputs'!$B$21)+'Inputs'!$B$9)/SQRT((((366-43)*MAX('Inputs'!$B$33,'Inputs'!$B$29+'Inputs'!$B$31+'Inputs'!$B$32,'Inputs'!$B$30+'Inputs'!$B$31+'Inputs'!$B$32)/1000+'Inputs'!$B$21)+'Inputs'!$B$9)^2+('Inputs'!$B$8/2)^2)-(((366-43)*MAX('Inputs'!$B$33,'Inputs'!$B$29+'Inputs'!$B$31+'Inputs'!$B$32,'Inputs'!$B$30+'Inputs'!$B$31+'Inputs'!$B$32)/1000+'Inputs'!$B$21))/SQRT((((366-43)*MAX('Inputs'!$B$33,'Inputs'!$B$29+'Inputs'!$B$31+'Inputs'!$B$32,'Inputs'!$B$30+'Inputs'!$B$31+'Inputs'!$B$32)/1000+'Inputs'!$B$21))^2+('Inputs'!$B$8/2)^2)))-'Results'!B7*(1-'Inputs'!$B$24)*(0.5*((((366-43)*MAX('Inputs'!$B$33,'Inputs'!$B$29+'Inputs'!$B$31+'Inputs'!$B$32,'Inputs'!$B$30+'Inputs'!$B$31+'Inputs'!$B$32)/1000+'Inputs'!$B$21+'Inputs'!$B$9+'Inputs'!$B$10)+'Inputs'!$B$7)/SQRT((((366-43)*MAX('Inputs'!$B$33,'Inputs'!$B$29+'Inputs'!$B$31+'Inputs'!$B$32,'Inputs'!$B$30+'Inputs'!$B$31+'Inputs'!$B$32)/1000+'Inputs'!$B$21+'Inputs'!$B$9+'Inputs'!$B$10)+'Inputs'!$B$7)^2+('Inputs'!$B$6/2)^2)-(((366-43)*MAX('Inputs'!$B$33,'Inputs'!$B$29+'Inputs'!$B$31+'Inputs'!$B$32,'Inputs'!$B$30+'Inputs'!$B$31+'Inputs'!$B$32)/1000+'Inputs'!$B$21+'Inputs'!$B$9+'Inputs'!$B$10))/SQRT((((366-43)*MAX('Inputs'!$B$33,'Inputs'!$B$29+'Inputs'!$B$31+'Inputs'!$B$32,'Inputs'!$B$30+'Inputs'!$B$31+'Inputs'!$B$32)/1000+'Inputs'!$B$21+'Inputs'!$B$9+'Inputs'!$B$10))^2+('Inputs'!$B$6/2)^2))))*'Results'!$B$8)+'Inputs'!$B$28*ABS((('Results'!C7*(1+'Inputs'!$B$24)*(0.5*((((366-43)*MAX('Inputs'!$B$33,'Inputs'!$B$29+'Inputs'!$B$31+'Inputs'!$B$32,'Inputs'!$B$30+'Inputs'!$B$31+'Inputs'!$B$32)/1000+'Inputs'!$B$21)+'Inputs'!$B$9)/SQRT((((366-43)*MAX('Inputs'!$B$33,'Inputs'!$B$29+'Inputs'!$B$31+'Inputs'!$B$32,'Inputs'!$B$30+'Inputs'!$B$31+'Inputs'!$B$32)/1000+'Inputs'!$B$21)+'Inputs'!$B$9)^2+('Inputs'!$B$8/2)^2)-(((366-43)*MAX('Inputs'!$B$33,'Inputs'!$B$29+'Inputs'!$B$31+'Inputs'!$B$32,'Inputs'!$B$30+'Inputs'!$B$31+'Inputs'!$B$32)/1000+'Inputs'!$B$21))/SQRT((((366-43)*MAX('Inputs'!$B$33,'Inputs'!$B$29+'Inputs'!$B$31+'Inputs'!$B$32,'Inputs'!$B$30+'Inputs'!$B$31+'Inputs'!$B$32)/1000+'Inputs'!$B$21))^2+('Inputs'!$B$8/2)^2)))-'Results'!B7*(1-'Inputs'!$B$24)*(0.5*((((366-43)*MAX('Inputs'!$B$33,'Inputs'!$B$29+'Inputs'!$B$31+'Inputs'!$B$32,'Inputs'!$B$30+'Inputs'!$B$31+'Inputs'!$B$32)/1000+'Inputs'!$B$21+'Inputs'!$B$9+'Inputs'!$B$10)+'Inputs'!$B$7)/SQRT((((366-43)*MAX('Inputs'!$B$33,'Inputs'!$B$29+'Inputs'!$B$31+'Inputs'!$B$32,'Inputs'!$B$30+'Inputs'!$B$31+'Inputs'!$B$32)/1000+'Inputs'!$B$21+'Inputs'!$B$9+'Inputs'!$B$10)+'Inputs'!$B$7)^2+('Inputs'!$B$6/2)^2)-(((366-43)*MAX('Inputs'!$B$33,'Inputs'!$B$29+'Inputs'!$B$31+'Inputs'!$B$32,'Inputs'!$B$30+'Inputs'!$B$31+'Inputs'!$B$32)/1000+'Inputs'!$B$21+'Inputs'!$B$9+'Inputs'!$B$10))/SQRT((((366-43)*MAX('Inputs'!$B$33,'Inputs'!$B$29+'Inputs'!$B$31+'Inputs'!$B$32,'Inputs'!$B$30+'Inputs'!$B$31+'Inputs'!$B$32)/1000+'Inputs'!$B$21+'Inputs'!$B$9+'Inputs'!$B$10))^2+('Inputs'!$B$6/2)^2))))*'Results'!$B$8))),"")</x:f>
        <x:v>18.51627523648873</x:v>
      </x:c>
      <x:c r="P366" t="n">
        <x:f>IF(AND(MAX(J366,J365)&gt;0,J366&gt;J365+0.00000001),1,0)</x:f>
        <x:v>0</x:v>
      </x:c>
      <x:c r="Q366" t="n">
        <x:f>IF(AND(MAX(K366,K365)&gt;0,K366&gt;K365+0.00000001),1,0)</x:f>
        <x:v>0</x:v>
      </x:c>
      <x:c r="R366" t="n">
        <x:f>IF(AND(MAX(L366,L365)&gt;0,L366&gt;L365+0.00000001),1,0)</x:f>
        <x:v>0</x:v>
      </x:c>
      <x:c r="S366" t="n">
        <x:f>IF(AND(MAX(M366,M365)&gt;0,M366&gt;M365+0.00000001),1,0)</x:f>
        <x:v>0</x:v>
      </x:c>
      <x:c r="T366" t="n">
        <x:f>IF(AND(MAX(N366,N365)&gt;0,N366&gt;N365+0.00000001),1,0)</x:f>
        <x:v>0</x:v>
      </x:c>
      <x:c r="U366" t="n">
        <x:f>IF(AND(MAX(O366,O365)&gt;0,O366&gt;O365+0.00000001),1,0)</x:f>
        <x:v>0</x:v>
      </x:c>
    </x:row>
    <x:row r="367">
      <x:c r="J367" t="n">
        <x:f>IF(AND(ISNUMBER('Results'!B7),ISNUMBER('Results'!C7),ISNUMBER('Results'!$B$8),ISNUMBER('Inputs'!$B$6),ISNUMBER('Inputs'!$B$7),ISNUMBER('Inputs'!$B$8),ISNUMBER('Inputs'!$B$9),ISNUMBER('Inputs'!$B$10),ISNUMBER('Inputs'!$B$21),ISNUMBER('Inputs'!$B$24),ISNUMBER('Inputs'!$B$28)),(('Results'!B7*(0.5*((((367-43)*MAX('Inputs'!$B$33,'Inputs'!$B$29+'Inputs'!$B$31+'Inputs'!$B$32,'Inputs'!$B$30+'Inputs'!$B$31+'Inputs'!$B$32)/1000+'Inputs'!$B$21)+'Inputs'!$B$7)/SQRT((((367-43)*MAX('Inputs'!$B$33,'Inputs'!$B$29+'Inputs'!$B$31+'Inputs'!$B$32,'Inputs'!$B$30+'Inputs'!$B$31+'Inputs'!$B$32)/1000+'Inputs'!$B$21)+'Inputs'!$B$7)^2+('Inputs'!$B$6/2)^2)-(((367-43)*MAX('Inputs'!$B$33,'Inputs'!$B$29+'Inputs'!$B$31+'Inputs'!$B$32,'Inputs'!$B$30+'Inputs'!$B$31+'Inputs'!$B$32)/1000+'Inputs'!$B$21))/SQRT((((367-43)*MAX('Inputs'!$B$33,'Inputs'!$B$29+'Inputs'!$B$31+'Inputs'!$B$32,'Inputs'!$B$30+'Inputs'!$B$31+'Inputs'!$B$32)/1000+'Inputs'!$B$21))^2+('Inputs'!$B$6/2)^2)))-'Results'!C7*(0.5*((((367-43)*MAX('Inputs'!$B$33,'Inputs'!$B$29+'Inputs'!$B$31+'Inputs'!$B$32,'Inputs'!$B$30+'Inputs'!$B$31+'Inputs'!$B$32)/1000+'Inputs'!$B$21+'Inputs'!$B$7+'Inputs'!$B$10)+'Inputs'!$B$9)/SQRT((((367-43)*MAX('Inputs'!$B$33,'Inputs'!$B$29+'Inputs'!$B$31+'Inputs'!$B$32,'Inputs'!$B$30+'Inputs'!$B$31+'Inputs'!$B$32)/1000+'Inputs'!$B$21+'Inputs'!$B$7+'Inputs'!$B$10)+'Inputs'!$B$9)^2+('Inputs'!$B$8/2)^2)-(((367-43)*MAX('Inputs'!$B$33,'Inputs'!$B$29+'Inputs'!$B$31+'Inputs'!$B$32,'Inputs'!$B$30+'Inputs'!$B$31+'Inputs'!$B$32)/1000+'Inputs'!$B$21+'Inputs'!$B$7+'Inputs'!$B$10))/SQRT((((367-43)*MAX('Inputs'!$B$33,'Inputs'!$B$29+'Inputs'!$B$31+'Inputs'!$B$32,'Inputs'!$B$30+'Inputs'!$B$31+'Inputs'!$B$32)/1000+'Inputs'!$B$21+'Inputs'!$B$7+'Inputs'!$B$10))^2+('Inputs'!$B$8/2)^2))))*'Results'!$B$8),"")</x:f>
        <x:v>17.475211468920914</x:v>
      </x:c>
      <x:c r="K367" t="n">
        <x:f>IF(AND(ISNUMBER('Results'!B7),ISNUMBER('Results'!C7),ISNUMBER('Results'!$B$8),ISNUMBER('Inputs'!$B$6),ISNUMBER('Inputs'!$B$7),ISNUMBER('Inputs'!$B$8),ISNUMBER('Inputs'!$B$9),ISNUMBER('Inputs'!$B$10),ISNUMBER('Inputs'!$B$21),ISNUMBER('Inputs'!$B$24),ISNUMBER('Inputs'!$B$28)),((('Results'!B7*(1-'Inputs'!$B$24)*(0.5*((((367-43)*MAX('Inputs'!$B$33,'Inputs'!$B$29+'Inputs'!$B$31+'Inputs'!$B$32,'Inputs'!$B$30+'Inputs'!$B$31+'Inputs'!$B$32)/1000+'Inputs'!$B$21)+'Inputs'!$B$7)/SQRT((((367-43)*MAX('Inputs'!$B$33,'Inputs'!$B$29+'Inputs'!$B$31+'Inputs'!$B$32,'Inputs'!$B$30+'Inputs'!$B$31+'Inputs'!$B$32)/1000+'Inputs'!$B$21)+'Inputs'!$B$7)^2+('Inputs'!$B$6/2)^2)-(((367-43)*MAX('Inputs'!$B$33,'Inputs'!$B$29+'Inputs'!$B$31+'Inputs'!$B$32,'Inputs'!$B$30+'Inputs'!$B$31+'Inputs'!$B$32)/1000+'Inputs'!$B$21))/SQRT((((367-43)*MAX('Inputs'!$B$33,'Inputs'!$B$29+'Inputs'!$B$31+'Inputs'!$B$32,'Inputs'!$B$30+'Inputs'!$B$31+'Inputs'!$B$32)/1000+'Inputs'!$B$21))^2+('Inputs'!$B$6/2)^2)))-'Results'!C7*(1+'Inputs'!$B$24)*(0.5*((((367-43)*MAX('Inputs'!$B$33,'Inputs'!$B$29+'Inputs'!$B$31+'Inputs'!$B$32,'Inputs'!$B$30+'Inputs'!$B$31+'Inputs'!$B$32)/1000+'Inputs'!$B$21+'Inputs'!$B$7+'Inputs'!$B$10)+'Inputs'!$B$9)/SQRT((((367-43)*MAX('Inputs'!$B$33,'Inputs'!$B$29+'Inputs'!$B$31+'Inputs'!$B$32,'Inputs'!$B$30+'Inputs'!$B$31+'Inputs'!$B$32)/1000+'Inputs'!$B$21+'Inputs'!$B$7+'Inputs'!$B$10)+'Inputs'!$B$9)^2+('Inputs'!$B$8/2)^2)-(((367-43)*MAX('Inputs'!$B$33,'Inputs'!$B$29+'Inputs'!$B$31+'Inputs'!$B$32,'Inputs'!$B$30+'Inputs'!$B$31+'Inputs'!$B$32)/1000+'Inputs'!$B$21+'Inputs'!$B$7+'Inputs'!$B$10))/SQRT((((367-43)*MAX('Inputs'!$B$33,'Inputs'!$B$29+'Inputs'!$B$31+'Inputs'!$B$32,'Inputs'!$B$30+'Inputs'!$B$31+'Inputs'!$B$32)/1000+'Inputs'!$B$21+'Inputs'!$B$7+'Inputs'!$B$10))^2+('Inputs'!$B$8/2)^2))))*'Results'!$B$8)-'Inputs'!$B$28*ABS((('Results'!B7*(1-'Inputs'!$B$24)*(0.5*((((367-43)*MAX('Inputs'!$B$33,'Inputs'!$B$29+'Inputs'!$B$31+'Inputs'!$B$32,'Inputs'!$B$30+'Inputs'!$B$31+'Inputs'!$B$32)/1000+'Inputs'!$B$21)+'Inputs'!$B$7)/SQRT((((367-43)*MAX('Inputs'!$B$33,'Inputs'!$B$29+'Inputs'!$B$31+'Inputs'!$B$32,'Inputs'!$B$30+'Inputs'!$B$31+'Inputs'!$B$32)/1000+'Inputs'!$B$21)+'Inputs'!$B$7)^2+('Inputs'!$B$6/2)^2)-(((367-43)*MAX('Inputs'!$B$33,'Inputs'!$B$29+'Inputs'!$B$31+'Inputs'!$B$32,'Inputs'!$B$30+'Inputs'!$B$31+'Inputs'!$B$32)/1000+'Inputs'!$B$21))/SQRT((((367-43)*MAX('Inputs'!$B$33,'Inputs'!$B$29+'Inputs'!$B$31+'Inputs'!$B$32,'Inputs'!$B$30+'Inputs'!$B$31+'Inputs'!$B$32)/1000+'Inputs'!$B$21))^2+('Inputs'!$B$6/2)^2)))-'Results'!C7*(1+'Inputs'!$B$24)*(0.5*((((367-43)*MAX('Inputs'!$B$33,'Inputs'!$B$29+'Inputs'!$B$31+'Inputs'!$B$32,'Inputs'!$B$30+'Inputs'!$B$31+'Inputs'!$B$32)/1000+'Inputs'!$B$21+'Inputs'!$B$7+'Inputs'!$B$10)+'Inputs'!$B$9)/SQRT((((367-43)*MAX('Inputs'!$B$33,'Inputs'!$B$29+'Inputs'!$B$31+'Inputs'!$B$32,'Inputs'!$B$30+'Inputs'!$B$31+'Inputs'!$B$32)/1000+'Inputs'!$B$21+'Inputs'!$B$7+'Inputs'!$B$10)+'Inputs'!$B$9)^2+('Inputs'!$B$8/2)^2)-(((367-43)*MAX('Inputs'!$B$33,'Inputs'!$B$29+'Inputs'!$B$31+'Inputs'!$B$32,'Inputs'!$B$30+'Inputs'!$B$31+'Inputs'!$B$32)/1000+'Inputs'!$B$21+'Inputs'!$B$7+'Inputs'!$B$10))/SQRT((((367-43)*MAX('Inputs'!$B$33,'Inputs'!$B$29+'Inputs'!$B$31+'Inputs'!$B$32,'Inputs'!$B$30+'Inputs'!$B$31+'Inputs'!$B$32)/1000+'Inputs'!$B$21+'Inputs'!$B$7+'Inputs'!$B$10))^2+('Inputs'!$B$8/2)^2))))*'Results'!$B$8))),"")</x:f>
        <x:v>15.775935840120647</x:v>
      </x:c>
      <x:c r="L367" t="n">
        <x:f>IF(AND(ISNUMBER('Results'!B7),ISNUMBER('Results'!C7),ISNUMBER('Results'!$B$8),ISNUMBER('Inputs'!$B$6),ISNUMBER('Inputs'!$B$7),ISNUMBER('Inputs'!$B$8),ISNUMBER('Inputs'!$B$9),ISNUMBER('Inputs'!$B$10),ISNUMBER('Inputs'!$B$21),ISNUMBER('Inputs'!$B$24),ISNUMBER('Inputs'!$B$28)),((('Results'!B7*(1+'Inputs'!$B$24)*(0.5*((((367-43)*MAX('Inputs'!$B$33,'Inputs'!$B$29+'Inputs'!$B$31+'Inputs'!$B$32,'Inputs'!$B$30+'Inputs'!$B$31+'Inputs'!$B$32)/1000+'Inputs'!$B$21)+'Inputs'!$B$7)/SQRT((((367-43)*MAX('Inputs'!$B$33,'Inputs'!$B$29+'Inputs'!$B$31+'Inputs'!$B$32,'Inputs'!$B$30+'Inputs'!$B$31+'Inputs'!$B$32)/1000+'Inputs'!$B$21)+'Inputs'!$B$7)^2+('Inputs'!$B$6/2)^2)-(((367-43)*MAX('Inputs'!$B$33,'Inputs'!$B$29+'Inputs'!$B$31+'Inputs'!$B$32,'Inputs'!$B$30+'Inputs'!$B$31+'Inputs'!$B$32)/1000+'Inputs'!$B$21))/SQRT((((367-43)*MAX('Inputs'!$B$33,'Inputs'!$B$29+'Inputs'!$B$31+'Inputs'!$B$32,'Inputs'!$B$30+'Inputs'!$B$31+'Inputs'!$B$32)/1000+'Inputs'!$B$21))^2+('Inputs'!$B$6/2)^2)))-'Results'!C7*(1-'Inputs'!$B$24)*(0.5*((((367-43)*MAX('Inputs'!$B$33,'Inputs'!$B$29+'Inputs'!$B$31+'Inputs'!$B$32,'Inputs'!$B$30+'Inputs'!$B$31+'Inputs'!$B$32)/1000+'Inputs'!$B$21+'Inputs'!$B$7+'Inputs'!$B$10)+'Inputs'!$B$9)/SQRT((((367-43)*MAX('Inputs'!$B$33,'Inputs'!$B$29+'Inputs'!$B$31+'Inputs'!$B$32,'Inputs'!$B$30+'Inputs'!$B$31+'Inputs'!$B$32)/1000+'Inputs'!$B$21+'Inputs'!$B$7+'Inputs'!$B$10)+'Inputs'!$B$9)^2+('Inputs'!$B$8/2)^2)-(((367-43)*MAX('Inputs'!$B$33,'Inputs'!$B$29+'Inputs'!$B$31+'Inputs'!$B$32,'Inputs'!$B$30+'Inputs'!$B$31+'Inputs'!$B$32)/1000+'Inputs'!$B$21+'Inputs'!$B$7+'Inputs'!$B$10))/SQRT((((367-43)*MAX('Inputs'!$B$33,'Inputs'!$B$29+'Inputs'!$B$31+'Inputs'!$B$32,'Inputs'!$B$30+'Inputs'!$B$31+'Inputs'!$B$32)/1000+'Inputs'!$B$21+'Inputs'!$B$7+'Inputs'!$B$10))^2+('Inputs'!$B$8/2)^2))))*'Results'!$B$8)+'Inputs'!$B$28*ABS((('Results'!B7*(1+'Inputs'!$B$24)*(0.5*((((367-43)*MAX('Inputs'!$B$33,'Inputs'!$B$29+'Inputs'!$B$31+'Inputs'!$B$32,'Inputs'!$B$30+'Inputs'!$B$31+'Inputs'!$B$32)/1000+'Inputs'!$B$21)+'Inputs'!$B$7)/SQRT((((367-43)*MAX('Inputs'!$B$33,'Inputs'!$B$29+'Inputs'!$B$31+'Inputs'!$B$32,'Inputs'!$B$30+'Inputs'!$B$31+'Inputs'!$B$32)/1000+'Inputs'!$B$21)+'Inputs'!$B$7)^2+('Inputs'!$B$6/2)^2)-(((367-43)*MAX('Inputs'!$B$33,'Inputs'!$B$29+'Inputs'!$B$31+'Inputs'!$B$32,'Inputs'!$B$30+'Inputs'!$B$31+'Inputs'!$B$32)/1000+'Inputs'!$B$21))/SQRT((((367-43)*MAX('Inputs'!$B$33,'Inputs'!$B$29+'Inputs'!$B$31+'Inputs'!$B$32,'Inputs'!$B$30+'Inputs'!$B$31+'Inputs'!$B$32)/1000+'Inputs'!$B$21))^2+('Inputs'!$B$6/2)^2)))-'Results'!C7*(1-'Inputs'!$B$24)*(0.5*((((367-43)*MAX('Inputs'!$B$33,'Inputs'!$B$29+'Inputs'!$B$31+'Inputs'!$B$32,'Inputs'!$B$30+'Inputs'!$B$31+'Inputs'!$B$32)/1000+'Inputs'!$B$21+'Inputs'!$B$7+'Inputs'!$B$10)+'Inputs'!$B$9)/SQRT((((367-43)*MAX('Inputs'!$B$33,'Inputs'!$B$29+'Inputs'!$B$31+'Inputs'!$B$32,'Inputs'!$B$30+'Inputs'!$B$31+'Inputs'!$B$32)/1000+'Inputs'!$B$21+'Inputs'!$B$7+'Inputs'!$B$10)+'Inputs'!$B$9)^2+('Inputs'!$B$8/2)^2)-(((367-43)*MAX('Inputs'!$B$33,'Inputs'!$B$29+'Inputs'!$B$31+'Inputs'!$B$32,'Inputs'!$B$30+'Inputs'!$B$31+'Inputs'!$B$32)/1000+'Inputs'!$B$21+'Inputs'!$B$7+'Inputs'!$B$10))/SQRT((((367-43)*MAX('Inputs'!$B$33,'Inputs'!$B$29+'Inputs'!$B$31+'Inputs'!$B$32,'Inputs'!$B$30+'Inputs'!$B$31+'Inputs'!$B$32)/1000+'Inputs'!$B$21+'Inputs'!$B$7+'Inputs'!$B$10))^2+('Inputs'!$B$8/2)^2))))*'Results'!$B$8))),"")</x:f>
        <x:v>19.26138341933742</x:v>
      </x:c>
      <x:c r="M367" t="n">
        <x:f>IF(AND(ISNUMBER('Results'!C7),ISNUMBER('Results'!B7),ISNUMBER('Results'!$B$8),ISNUMBER('Inputs'!$B$6),ISNUMBER('Inputs'!$B$7),ISNUMBER('Inputs'!$B$8),ISNUMBER('Inputs'!$B$9),ISNUMBER('Inputs'!$B$10),ISNUMBER('Inputs'!$B$21),ISNUMBER('Inputs'!$B$24),ISNUMBER('Inputs'!$B$28)),(('Results'!C7*(0.5*((((367-43)*MAX('Inputs'!$B$33,'Inputs'!$B$29+'Inputs'!$B$31+'Inputs'!$B$32,'Inputs'!$B$30+'Inputs'!$B$31+'Inputs'!$B$32)/1000+'Inputs'!$B$21)+'Inputs'!$B$9)/SQRT((((367-43)*MAX('Inputs'!$B$33,'Inputs'!$B$29+'Inputs'!$B$31+'Inputs'!$B$32,'Inputs'!$B$30+'Inputs'!$B$31+'Inputs'!$B$32)/1000+'Inputs'!$B$21)+'Inputs'!$B$9)^2+('Inputs'!$B$8/2)^2)-(((367-43)*MAX('Inputs'!$B$33,'Inputs'!$B$29+'Inputs'!$B$31+'Inputs'!$B$32,'Inputs'!$B$30+'Inputs'!$B$31+'Inputs'!$B$32)/1000+'Inputs'!$B$21))/SQRT((((367-43)*MAX('Inputs'!$B$33,'Inputs'!$B$29+'Inputs'!$B$31+'Inputs'!$B$32,'Inputs'!$B$30+'Inputs'!$B$31+'Inputs'!$B$32)/1000+'Inputs'!$B$21))^2+('Inputs'!$B$8/2)^2)))-'Results'!B7*(0.5*((((367-43)*MAX('Inputs'!$B$33,'Inputs'!$B$29+'Inputs'!$B$31+'Inputs'!$B$32,'Inputs'!$B$30+'Inputs'!$B$31+'Inputs'!$B$32)/1000+'Inputs'!$B$21+'Inputs'!$B$9+'Inputs'!$B$10)+'Inputs'!$B$7)/SQRT((((367-43)*MAX('Inputs'!$B$33,'Inputs'!$B$29+'Inputs'!$B$31+'Inputs'!$B$32,'Inputs'!$B$30+'Inputs'!$B$31+'Inputs'!$B$32)/1000+'Inputs'!$B$21+'Inputs'!$B$9+'Inputs'!$B$10)+'Inputs'!$B$7)^2+('Inputs'!$B$6/2)^2)-(((367-43)*MAX('Inputs'!$B$33,'Inputs'!$B$29+'Inputs'!$B$31+'Inputs'!$B$32,'Inputs'!$B$30+'Inputs'!$B$31+'Inputs'!$B$32)/1000+'Inputs'!$B$21+'Inputs'!$B$9+'Inputs'!$B$10))/SQRT((((367-43)*MAX('Inputs'!$B$33,'Inputs'!$B$29+'Inputs'!$B$31+'Inputs'!$B$32,'Inputs'!$B$30+'Inputs'!$B$31+'Inputs'!$B$32)/1000+'Inputs'!$B$21+'Inputs'!$B$9+'Inputs'!$B$10))^2+('Inputs'!$B$6/2)^2))))*'Results'!$B$8),"")</x:f>
        <x:v>16.600947650852614</x:v>
      </x:c>
      <x:c r="N367" t="n">
        <x:f>IF(AND(ISNUMBER('Results'!C7),ISNUMBER('Results'!B7),ISNUMBER('Results'!$B$8),ISNUMBER('Inputs'!$B$6),ISNUMBER('Inputs'!$B$7),ISNUMBER('Inputs'!$B$8),ISNUMBER('Inputs'!$B$9),ISNUMBER('Inputs'!$B$10),ISNUMBER('Inputs'!$B$21),ISNUMBER('Inputs'!$B$24),ISNUMBER('Inputs'!$B$28)),((('Results'!C7*(1-'Inputs'!$B$24)*(0.5*((((367-43)*MAX('Inputs'!$B$33,'Inputs'!$B$29+'Inputs'!$B$31+'Inputs'!$B$32,'Inputs'!$B$30+'Inputs'!$B$31+'Inputs'!$B$32)/1000+'Inputs'!$B$21)+'Inputs'!$B$9)/SQRT((((367-43)*MAX('Inputs'!$B$33,'Inputs'!$B$29+'Inputs'!$B$31+'Inputs'!$B$32,'Inputs'!$B$30+'Inputs'!$B$31+'Inputs'!$B$32)/1000+'Inputs'!$B$21)+'Inputs'!$B$9)^2+('Inputs'!$B$8/2)^2)-(((367-43)*MAX('Inputs'!$B$33,'Inputs'!$B$29+'Inputs'!$B$31+'Inputs'!$B$32,'Inputs'!$B$30+'Inputs'!$B$31+'Inputs'!$B$32)/1000+'Inputs'!$B$21))/SQRT((((367-43)*MAX('Inputs'!$B$33,'Inputs'!$B$29+'Inputs'!$B$31+'Inputs'!$B$32,'Inputs'!$B$30+'Inputs'!$B$31+'Inputs'!$B$32)/1000+'Inputs'!$B$21))^2+('Inputs'!$B$8/2)^2)))-'Results'!B7*(1+'Inputs'!$B$24)*(0.5*((((367-43)*MAX('Inputs'!$B$33,'Inputs'!$B$29+'Inputs'!$B$31+'Inputs'!$B$32,'Inputs'!$B$30+'Inputs'!$B$31+'Inputs'!$B$32)/1000+'Inputs'!$B$21+'Inputs'!$B$9+'Inputs'!$B$10)+'Inputs'!$B$7)/SQRT((((367-43)*MAX('Inputs'!$B$33,'Inputs'!$B$29+'Inputs'!$B$31+'Inputs'!$B$32,'Inputs'!$B$30+'Inputs'!$B$31+'Inputs'!$B$32)/1000+'Inputs'!$B$21+'Inputs'!$B$9+'Inputs'!$B$10)+'Inputs'!$B$7)^2+('Inputs'!$B$6/2)^2)-(((367-43)*MAX('Inputs'!$B$33,'Inputs'!$B$29+'Inputs'!$B$31+'Inputs'!$B$32,'Inputs'!$B$30+'Inputs'!$B$31+'Inputs'!$B$32)/1000+'Inputs'!$B$21+'Inputs'!$B$9+'Inputs'!$B$10))/SQRT((((367-43)*MAX('Inputs'!$B$33,'Inputs'!$B$29+'Inputs'!$B$31+'Inputs'!$B$32,'Inputs'!$B$30+'Inputs'!$B$31+'Inputs'!$B$32)/1000+'Inputs'!$B$21+'Inputs'!$B$9+'Inputs'!$B$10))^2+('Inputs'!$B$6/2)^2))))*'Results'!$B$8)-'Inputs'!$B$28*ABS((('Results'!C7*(1-'Inputs'!$B$24)*(0.5*((((367-43)*MAX('Inputs'!$B$33,'Inputs'!$B$29+'Inputs'!$B$31+'Inputs'!$B$32,'Inputs'!$B$30+'Inputs'!$B$31+'Inputs'!$B$32)/1000+'Inputs'!$B$21)+'Inputs'!$B$9)/SQRT((((367-43)*MAX('Inputs'!$B$33,'Inputs'!$B$29+'Inputs'!$B$31+'Inputs'!$B$32,'Inputs'!$B$30+'Inputs'!$B$31+'Inputs'!$B$32)/1000+'Inputs'!$B$21)+'Inputs'!$B$9)^2+('Inputs'!$B$8/2)^2)-(((367-43)*MAX('Inputs'!$B$33,'Inputs'!$B$29+'Inputs'!$B$31+'Inputs'!$B$32,'Inputs'!$B$30+'Inputs'!$B$31+'Inputs'!$B$32)/1000+'Inputs'!$B$21))/SQRT((((367-43)*MAX('Inputs'!$B$33,'Inputs'!$B$29+'Inputs'!$B$31+'Inputs'!$B$32,'Inputs'!$B$30+'Inputs'!$B$31+'Inputs'!$B$32)/1000+'Inputs'!$B$21))^2+('Inputs'!$B$8/2)^2)))-'Results'!B7*(1+'Inputs'!$B$24)*(0.5*((((367-43)*MAX('Inputs'!$B$33,'Inputs'!$B$29+'Inputs'!$B$31+'Inputs'!$B$32,'Inputs'!$B$30+'Inputs'!$B$31+'Inputs'!$B$32)/1000+'Inputs'!$B$21+'Inputs'!$B$9+'Inputs'!$B$10)+'Inputs'!$B$7)/SQRT((((367-43)*MAX('Inputs'!$B$33,'Inputs'!$B$29+'Inputs'!$B$31+'Inputs'!$B$32,'Inputs'!$B$30+'Inputs'!$B$31+'Inputs'!$B$32)/1000+'Inputs'!$B$21+'Inputs'!$B$9+'Inputs'!$B$10)+'Inputs'!$B$7)^2+('Inputs'!$B$6/2)^2)-(((367-43)*MAX('Inputs'!$B$33,'Inputs'!$B$29+'Inputs'!$B$31+'Inputs'!$B$32,'Inputs'!$B$30+'Inputs'!$B$31+'Inputs'!$B$32)/1000+'Inputs'!$B$21+'Inputs'!$B$9+'Inputs'!$B$10))/SQRT((((367-43)*MAX('Inputs'!$B$33,'Inputs'!$B$29+'Inputs'!$B$31+'Inputs'!$B$32,'Inputs'!$B$30+'Inputs'!$B$31+'Inputs'!$B$32)/1000+'Inputs'!$B$21+'Inputs'!$B$9+'Inputs'!$B$10))^2+('Inputs'!$B$6/2)^2))))*'Results'!$B$8))),"")</x:f>
        <x:v>14.951925081877732</x:v>
      </x:c>
      <x:c r="O367" t="n">
        <x:f>IF(AND(ISNUMBER('Results'!C7),ISNUMBER('Results'!B7),ISNUMBER('Results'!$B$8),ISNUMBER('Inputs'!$B$6),ISNUMBER('Inputs'!$B$7),ISNUMBER('Inputs'!$B$8),ISNUMBER('Inputs'!$B$9),ISNUMBER('Inputs'!$B$10),ISNUMBER('Inputs'!$B$21),ISNUMBER('Inputs'!$B$24),ISNUMBER('Inputs'!$B$28)),((('Results'!C7*(1+'Inputs'!$B$24)*(0.5*((((367-43)*MAX('Inputs'!$B$33,'Inputs'!$B$29+'Inputs'!$B$31+'Inputs'!$B$32,'Inputs'!$B$30+'Inputs'!$B$31+'Inputs'!$B$32)/1000+'Inputs'!$B$21)+'Inputs'!$B$9)/SQRT((((367-43)*MAX('Inputs'!$B$33,'Inputs'!$B$29+'Inputs'!$B$31+'Inputs'!$B$32,'Inputs'!$B$30+'Inputs'!$B$31+'Inputs'!$B$32)/1000+'Inputs'!$B$21)+'Inputs'!$B$9)^2+('Inputs'!$B$8/2)^2)-(((367-43)*MAX('Inputs'!$B$33,'Inputs'!$B$29+'Inputs'!$B$31+'Inputs'!$B$32,'Inputs'!$B$30+'Inputs'!$B$31+'Inputs'!$B$32)/1000+'Inputs'!$B$21))/SQRT((((367-43)*MAX('Inputs'!$B$33,'Inputs'!$B$29+'Inputs'!$B$31+'Inputs'!$B$32,'Inputs'!$B$30+'Inputs'!$B$31+'Inputs'!$B$32)/1000+'Inputs'!$B$21))^2+('Inputs'!$B$8/2)^2)))-'Results'!B7*(1-'Inputs'!$B$24)*(0.5*((((367-43)*MAX('Inputs'!$B$33,'Inputs'!$B$29+'Inputs'!$B$31+'Inputs'!$B$32,'Inputs'!$B$30+'Inputs'!$B$31+'Inputs'!$B$32)/1000+'Inputs'!$B$21+'Inputs'!$B$9+'Inputs'!$B$10)+'Inputs'!$B$7)/SQRT((((367-43)*MAX('Inputs'!$B$33,'Inputs'!$B$29+'Inputs'!$B$31+'Inputs'!$B$32,'Inputs'!$B$30+'Inputs'!$B$31+'Inputs'!$B$32)/1000+'Inputs'!$B$21+'Inputs'!$B$9+'Inputs'!$B$10)+'Inputs'!$B$7)^2+('Inputs'!$B$6/2)^2)-(((367-43)*MAX('Inputs'!$B$33,'Inputs'!$B$29+'Inputs'!$B$31+'Inputs'!$B$32,'Inputs'!$B$30+'Inputs'!$B$31+'Inputs'!$B$32)/1000+'Inputs'!$B$21+'Inputs'!$B$9+'Inputs'!$B$10))/SQRT((((367-43)*MAX('Inputs'!$B$33,'Inputs'!$B$29+'Inputs'!$B$31+'Inputs'!$B$32,'Inputs'!$B$30+'Inputs'!$B$31+'Inputs'!$B$32)/1000+'Inputs'!$B$21+'Inputs'!$B$9+'Inputs'!$B$10))^2+('Inputs'!$B$6/2)^2))))*'Results'!$B$8)+'Inputs'!$B$28*ABS((('Results'!C7*(1+'Inputs'!$B$24)*(0.5*((((367-43)*MAX('Inputs'!$B$33,'Inputs'!$B$29+'Inputs'!$B$31+'Inputs'!$B$32,'Inputs'!$B$30+'Inputs'!$B$31+'Inputs'!$B$32)/1000+'Inputs'!$B$21)+'Inputs'!$B$9)/SQRT((((367-43)*MAX('Inputs'!$B$33,'Inputs'!$B$29+'Inputs'!$B$31+'Inputs'!$B$32,'Inputs'!$B$30+'Inputs'!$B$31+'Inputs'!$B$32)/1000+'Inputs'!$B$21)+'Inputs'!$B$9)^2+('Inputs'!$B$8/2)^2)-(((367-43)*MAX('Inputs'!$B$33,'Inputs'!$B$29+'Inputs'!$B$31+'Inputs'!$B$32,'Inputs'!$B$30+'Inputs'!$B$31+'Inputs'!$B$32)/1000+'Inputs'!$B$21))/SQRT((((367-43)*MAX('Inputs'!$B$33,'Inputs'!$B$29+'Inputs'!$B$31+'Inputs'!$B$32,'Inputs'!$B$30+'Inputs'!$B$31+'Inputs'!$B$32)/1000+'Inputs'!$B$21))^2+('Inputs'!$B$8/2)^2)))-'Results'!B7*(1-'Inputs'!$B$24)*(0.5*((((367-43)*MAX('Inputs'!$B$33,'Inputs'!$B$29+'Inputs'!$B$31+'Inputs'!$B$32,'Inputs'!$B$30+'Inputs'!$B$31+'Inputs'!$B$32)/1000+'Inputs'!$B$21+'Inputs'!$B$9+'Inputs'!$B$10)+'Inputs'!$B$7)/SQRT((((367-43)*MAX('Inputs'!$B$33,'Inputs'!$B$29+'Inputs'!$B$31+'Inputs'!$B$32,'Inputs'!$B$30+'Inputs'!$B$31+'Inputs'!$B$32)/1000+'Inputs'!$B$21+'Inputs'!$B$9+'Inputs'!$B$10)+'Inputs'!$B$7)^2+('Inputs'!$B$6/2)^2)-(((367-43)*MAX('Inputs'!$B$33,'Inputs'!$B$29+'Inputs'!$B$31+'Inputs'!$B$32,'Inputs'!$B$30+'Inputs'!$B$31+'Inputs'!$B$32)/1000+'Inputs'!$B$21+'Inputs'!$B$9+'Inputs'!$B$10))/SQRT((((367-43)*MAX('Inputs'!$B$33,'Inputs'!$B$29+'Inputs'!$B$31+'Inputs'!$B$32,'Inputs'!$B$30+'Inputs'!$B$31+'Inputs'!$B$32)/1000+'Inputs'!$B$21+'Inputs'!$B$9+'Inputs'!$B$10))^2+('Inputs'!$B$6/2)^2))))*'Results'!$B$8))),"")</x:f>
        <x:v>18.336178134188785</x:v>
      </x:c>
      <x:c r="P367" t="n">
        <x:f>IF(AND(MAX(J367,J366)&gt;0,J367&gt;J366+0.00000001),1,0)</x:f>
        <x:v>0</x:v>
      </x:c>
      <x:c r="Q367" t="n">
        <x:f>IF(AND(MAX(K367,K366)&gt;0,K367&gt;K366+0.00000001),1,0)</x:f>
        <x:v>0</x:v>
      </x:c>
      <x:c r="R367" t="n">
        <x:f>IF(AND(MAX(L367,L366)&gt;0,L367&gt;L366+0.00000001),1,0)</x:f>
        <x:v>0</x:v>
      </x:c>
      <x:c r="S367" t="n">
        <x:f>IF(AND(MAX(M367,M366)&gt;0,M367&gt;M366+0.00000001),1,0)</x:f>
        <x:v>0</x:v>
      </x:c>
      <x:c r="T367" t="n">
        <x:f>IF(AND(MAX(N367,N366)&gt;0,N367&gt;N366+0.00000001),1,0)</x:f>
        <x:v>0</x:v>
      </x:c>
      <x:c r="U367" t="n">
        <x:f>IF(AND(MAX(O367,O366)&gt;0,O367&gt;O366+0.00000001),1,0)</x:f>
        <x:v>0</x:v>
      </x:c>
    </x:row>
    <x:row r="368">
      <x:c r="J368" t="n">
        <x:f>IF(AND(ISNUMBER('Results'!B7),ISNUMBER('Results'!C7),ISNUMBER('Results'!$B$8),ISNUMBER('Inputs'!$B$6),ISNUMBER('Inputs'!$B$7),ISNUMBER('Inputs'!$B$8),ISNUMBER('Inputs'!$B$9),ISNUMBER('Inputs'!$B$10),ISNUMBER('Inputs'!$B$21),ISNUMBER('Inputs'!$B$24),ISNUMBER('Inputs'!$B$28)),(('Results'!B7*(0.5*((((368-43)*MAX('Inputs'!$B$33,'Inputs'!$B$29+'Inputs'!$B$31+'Inputs'!$B$32,'Inputs'!$B$30+'Inputs'!$B$31+'Inputs'!$B$32)/1000+'Inputs'!$B$21)+'Inputs'!$B$7)/SQRT((((368-43)*MAX('Inputs'!$B$33,'Inputs'!$B$29+'Inputs'!$B$31+'Inputs'!$B$32,'Inputs'!$B$30+'Inputs'!$B$31+'Inputs'!$B$32)/1000+'Inputs'!$B$21)+'Inputs'!$B$7)^2+('Inputs'!$B$6/2)^2)-(((368-43)*MAX('Inputs'!$B$33,'Inputs'!$B$29+'Inputs'!$B$31+'Inputs'!$B$32,'Inputs'!$B$30+'Inputs'!$B$31+'Inputs'!$B$32)/1000+'Inputs'!$B$21))/SQRT((((368-43)*MAX('Inputs'!$B$33,'Inputs'!$B$29+'Inputs'!$B$31+'Inputs'!$B$32,'Inputs'!$B$30+'Inputs'!$B$31+'Inputs'!$B$32)/1000+'Inputs'!$B$21))^2+('Inputs'!$B$6/2)^2)))-'Results'!C7*(0.5*((((368-43)*MAX('Inputs'!$B$33,'Inputs'!$B$29+'Inputs'!$B$31+'Inputs'!$B$32,'Inputs'!$B$30+'Inputs'!$B$31+'Inputs'!$B$32)/1000+'Inputs'!$B$21+'Inputs'!$B$7+'Inputs'!$B$10)+'Inputs'!$B$9)/SQRT((((368-43)*MAX('Inputs'!$B$33,'Inputs'!$B$29+'Inputs'!$B$31+'Inputs'!$B$32,'Inputs'!$B$30+'Inputs'!$B$31+'Inputs'!$B$32)/1000+'Inputs'!$B$21+'Inputs'!$B$7+'Inputs'!$B$10)+'Inputs'!$B$9)^2+('Inputs'!$B$8/2)^2)-(((368-43)*MAX('Inputs'!$B$33,'Inputs'!$B$29+'Inputs'!$B$31+'Inputs'!$B$32,'Inputs'!$B$30+'Inputs'!$B$31+'Inputs'!$B$32)/1000+'Inputs'!$B$21+'Inputs'!$B$7+'Inputs'!$B$10))/SQRT((((368-43)*MAX('Inputs'!$B$33,'Inputs'!$B$29+'Inputs'!$B$31+'Inputs'!$B$32,'Inputs'!$B$30+'Inputs'!$B$31+'Inputs'!$B$32)/1000+'Inputs'!$B$21+'Inputs'!$B$7+'Inputs'!$B$10))^2+('Inputs'!$B$8/2)^2))))*'Results'!$B$8),"")</x:f>
        <x:v>17.305663709210062</x:v>
      </x:c>
      <x:c r="K368" t="n">
        <x:f>IF(AND(ISNUMBER('Results'!B7),ISNUMBER('Results'!C7),ISNUMBER('Results'!$B$8),ISNUMBER('Inputs'!$B$6),ISNUMBER('Inputs'!$B$7),ISNUMBER('Inputs'!$B$8),ISNUMBER('Inputs'!$B$9),ISNUMBER('Inputs'!$B$10),ISNUMBER('Inputs'!$B$21),ISNUMBER('Inputs'!$B$24),ISNUMBER('Inputs'!$B$28)),((('Results'!B7*(1-'Inputs'!$B$24)*(0.5*((((368-43)*MAX('Inputs'!$B$33,'Inputs'!$B$29+'Inputs'!$B$31+'Inputs'!$B$32,'Inputs'!$B$30+'Inputs'!$B$31+'Inputs'!$B$32)/1000+'Inputs'!$B$21)+'Inputs'!$B$7)/SQRT((((368-43)*MAX('Inputs'!$B$33,'Inputs'!$B$29+'Inputs'!$B$31+'Inputs'!$B$32,'Inputs'!$B$30+'Inputs'!$B$31+'Inputs'!$B$32)/1000+'Inputs'!$B$21)+'Inputs'!$B$7)^2+('Inputs'!$B$6/2)^2)-(((368-43)*MAX('Inputs'!$B$33,'Inputs'!$B$29+'Inputs'!$B$31+'Inputs'!$B$32,'Inputs'!$B$30+'Inputs'!$B$31+'Inputs'!$B$32)/1000+'Inputs'!$B$21))/SQRT((((368-43)*MAX('Inputs'!$B$33,'Inputs'!$B$29+'Inputs'!$B$31+'Inputs'!$B$32,'Inputs'!$B$30+'Inputs'!$B$31+'Inputs'!$B$32)/1000+'Inputs'!$B$21))^2+('Inputs'!$B$6/2)^2)))-'Results'!C7*(1+'Inputs'!$B$24)*(0.5*((((368-43)*MAX('Inputs'!$B$33,'Inputs'!$B$29+'Inputs'!$B$31+'Inputs'!$B$32,'Inputs'!$B$30+'Inputs'!$B$31+'Inputs'!$B$32)/1000+'Inputs'!$B$21+'Inputs'!$B$7+'Inputs'!$B$10)+'Inputs'!$B$9)/SQRT((((368-43)*MAX('Inputs'!$B$33,'Inputs'!$B$29+'Inputs'!$B$31+'Inputs'!$B$32,'Inputs'!$B$30+'Inputs'!$B$31+'Inputs'!$B$32)/1000+'Inputs'!$B$21+'Inputs'!$B$7+'Inputs'!$B$10)+'Inputs'!$B$9)^2+('Inputs'!$B$8/2)^2)-(((368-43)*MAX('Inputs'!$B$33,'Inputs'!$B$29+'Inputs'!$B$31+'Inputs'!$B$32,'Inputs'!$B$30+'Inputs'!$B$31+'Inputs'!$B$32)/1000+'Inputs'!$B$21+'Inputs'!$B$7+'Inputs'!$B$10))/SQRT((((368-43)*MAX('Inputs'!$B$33,'Inputs'!$B$29+'Inputs'!$B$31+'Inputs'!$B$32,'Inputs'!$B$30+'Inputs'!$B$31+'Inputs'!$B$32)/1000+'Inputs'!$B$21+'Inputs'!$B$7+'Inputs'!$B$10))^2+('Inputs'!$B$8/2)^2))))*'Results'!$B$8)-'Inputs'!$B$28*ABS((('Results'!B7*(1-'Inputs'!$B$24)*(0.5*((((368-43)*MAX('Inputs'!$B$33,'Inputs'!$B$29+'Inputs'!$B$31+'Inputs'!$B$32,'Inputs'!$B$30+'Inputs'!$B$31+'Inputs'!$B$32)/1000+'Inputs'!$B$21)+'Inputs'!$B$7)/SQRT((((368-43)*MAX('Inputs'!$B$33,'Inputs'!$B$29+'Inputs'!$B$31+'Inputs'!$B$32,'Inputs'!$B$30+'Inputs'!$B$31+'Inputs'!$B$32)/1000+'Inputs'!$B$21)+'Inputs'!$B$7)^2+('Inputs'!$B$6/2)^2)-(((368-43)*MAX('Inputs'!$B$33,'Inputs'!$B$29+'Inputs'!$B$31+'Inputs'!$B$32,'Inputs'!$B$30+'Inputs'!$B$31+'Inputs'!$B$32)/1000+'Inputs'!$B$21))/SQRT((((368-43)*MAX('Inputs'!$B$33,'Inputs'!$B$29+'Inputs'!$B$31+'Inputs'!$B$32,'Inputs'!$B$30+'Inputs'!$B$31+'Inputs'!$B$32)/1000+'Inputs'!$B$21))^2+('Inputs'!$B$6/2)^2)))-'Results'!C7*(1+'Inputs'!$B$24)*(0.5*((((368-43)*MAX('Inputs'!$B$33,'Inputs'!$B$29+'Inputs'!$B$31+'Inputs'!$B$32,'Inputs'!$B$30+'Inputs'!$B$31+'Inputs'!$B$32)/1000+'Inputs'!$B$21+'Inputs'!$B$7+'Inputs'!$B$10)+'Inputs'!$B$9)/SQRT((((368-43)*MAX('Inputs'!$B$33,'Inputs'!$B$29+'Inputs'!$B$31+'Inputs'!$B$32,'Inputs'!$B$30+'Inputs'!$B$31+'Inputs'!$B$32)/1000+'Inputs'!$B$21+'Inputs'!$B$7+'Inputs'!$B$10)+'Inputs'!$B$9)^2+('Inputs'!$B$8/2)^2)-(((368-43)*MAX('Inputs'!$B$33,'Inputs'!$B$29+'Inputs'!$B$31+'Inputs'!$B$32,'Inputs'!$B$30+'Inputs'!$B$31+'Inputs'!$B$32)/1000+'Inputs'!$B$21+'Inputs'!$B$7+'Inputs'!$B$10))/SQRT((((368-43)*MAX('Inputs'!$B$33,'Inputs'!$B$29+'Inputs'!$B$31+'Inputs'!$B$32,'Inputs'!$B$30+'Inputs'!$B$31+'Inputs'!$B$32)/1000+'Inputs'!$B$21+'Inputs'!$B$7+'Inputs'!$B$10))^2+('Inputs'!$B$8/2)^2))))*'Results'!$B$8))),"")</x:f>
        <x:v>15.621215498070937</x:v>
      </x:c>
      <x:c r="L368" t="n">
        <x:f>IF(AND(ISNUMBER('Results'!B7),ISNUMBER('Results'!C7),ISNUMBER('Results'!$B$8),ISNUMBER('Inputs'!$B$6),ISNUMBER('Inputs'!$B$7),ISNUMBER('Inputs'!$B$8),ISNUMBER('Inputs'!$B$9),ISNUMBER('Inputs'!$B$10),ISNUMBER('Inputs'!$B$21),ISNUMBER('Inputs'!$B$24),ISNUMBER('Inputs'!$B$28)),((('Results'!B7*(1+'Inputs'!$B$24)*(0.5*((((368-43)*MAX('Inputs'!$B$33,'Inputs'!$B$29+'Inputs'!$B$31+'Inputs'!$B$32,'Inputs'!$B$30+'Inputs'!$B$31+'Inputs'!$B$32)/1000+'Inputs'!$B$21)+'Inputs'!$B$7)/SQRT((((368-43)*MAX('Inputs'!$B$33,'Inputs'!$B$29+'Inputs'!$B$31+'Inputs'!$B$32,'Inputs'!$B$30+'Inputs'!$B$31+'Inputs'!$B$32)/1000+'Inputs'!$B$21)+'Inputs'!$B$7)^2+('Inputs'!$B$6/2)^2)-(((368-43)*MAX('Inputs'!$B$33,'Inputs'!$B$29+'Inputs'!$B$31+'Inputs'!$B$32,'Inputs'!$B$30+'Inputs'!$B$31+'Inputs'!$B$32)/1000+'Inputs'!$B$21))/SQRT((((368-43)*MAX('Inputs'!$B$33,'Inputs'!$B$29+'Inputs'!$B$31+'Inputs'!$B$32,'Inputs'!$B$30+'Inputs'!$B$31+'Inputs'!$B$32)/1000+'Inputs'!$B$21))^2+('Inputs'!$B$6/2)^2)))-'Results'!C7*(1-'Inputs'!$B$24)*(0.5*((((368-43)*MAX('Inputs'!$B$33,'Inputs'!$B$29+'Inputs'!$B$31+'Inputs'!$B$32,'Inputs'!$B$30+'Inputs'!$B$31+'Inputs'!$B$32)/1000+'Inputs'!$B$21+'Inputs'!$B$7+'Inputs'!$B$10)+'Inputs'!$B$9)/SQRT((((368-43)*MAX('Inputs'!$B$33,'Inputs'!$B$29+'Inputs'!$B$31+'Inputs'!$B$32,'Inputs'!$B$30+'Inputs'!$B$31+'Inputs'!$B$32)/1000+'Inputs'!$B$21+'Inputs'!$B$7+'Inputs'!$B$10)+'Inputs'!$B$9)^2+('Inputs'!$B$8/2)^2)-(((368-43)*MAX('Inputs'!$B$33,'Inputs'!$B$29+'Inputs'!$B$31+'Inputs'!$B$32,'Inputs'!$B$30+'Inputs'!$B$31+'Inputs'!$B$32)/1000+'Inputs'!$B$21+'Inputs'!$B$7+'Inputs'!$B$10))/SQRT((((368-43)*MAX('Inputs'!$B$33,'Inputs'!$B$29+'Inputs'!$B$31+'Inputs'!$B$32,'Inputs'!$B$30+'Inputs'!$B$31+'Inputs'!$B$32)/1000+'Inputs'!$B$21+'Inputs'!$B$7+'Inputs'!$B$10))^2+('Inputs'!$B$8/2)^2))))*'Results'!$B$8)+'Inputs'!$B$28*ABS((('Results'!B7*(1+'Inputs'!$B$24)*(0.5*((((368-43)*MAX('Inputs'!$B$33,'Inputs'!$B$29+'Inputs'!$B$31+'Inputs'!$B$32,'Inputs'!$B$30+'Inputs'!$B$31+'Inputs'!$B$32)/1000+'Inputs'!$B$21)+'Inputs'!$B$7)/SQRT((((368-43)*MAX('Inputs'!$B$33,'Inputs'!$B$29+'Inputs'!$B$31+'Inputs'!$B$32,'Inputs'!$B$30+'Inputs'!$B$31+'Inputs'!$B$32)/1000+'Inputs'!$B$21)+'Inputs'!$B$7)^2+('Inputs'!$B$6/2)^2)-(((368-43)*MAX('Inputs'!$B$33,'Inputs'!$B$29+'Inputs'!$B$31+'Inputs'!$B$32,'Inputs'!$B$30+'Inputs'!$B$31+'Inputs'!$B$32)/1000+'Inputs'!$B$21))/SQRT((((368-43)*MAX('Inputs'!$B$33,'Inputs'!$B$29+'Inputs'!$B$31+'Inputs'!$B$32,'Inputs'!$B$30+'Inputs'!$B$31+'Inputs'!$B$32)/1000+'Inputs'!$B$21))^2+('Inputs'!$B$6/2)^2)))-'Results'!C7*(1-'Inputs'!$B$24)*(0.5*((((368-43)*MAX('Inputs'!$B$33,'Inputs'!$B$29+'Inputs'!$B$31+'Inputs'!$B$32,'Inputs'!$B$30+'Inputs'!$B$31+'Inputs'!$B$32)/1000+'Inputs'!$B$21+'Inputs'!$B$7+'Inputs'!$B$10)+'Inputs'!$B$9)/SQRT((((368-43)*MAX('Inputs'!$B$33,'Inputs'!$B$29+'Inputs'!$B$31+'Inputs'!$B$32,'Inputs'!$B$30+'Inputs'!$B$31+'Inputs'!$B$32)/1000+'Inputs'!$B$21+'Inputs'!$B$7+'Inputs'!$B$10)+'Inputs'!$B$9)^2+('Inputs'!$B$8/2)^2)-(((368-43)*MAX('Inputs'!$B$33,'Inputs'!$B$29+'Inputs'!$B$31+'Inputs'!$B$32,'Inputs'!$B$30+'Inputs'!$B$31+'Inputs'!$B$32)/1000+'Inputs'!$B$21+'Inputs'!$B$7+'Inputs'!$B$10))/SQRT((((368-43)*MAX('Inputs'!$B$33,'Inputs'!$B$29+'Inputs'!$B$31+'Inputs'!$B$32,'Inputs'!$B$30+'Inputs'!$B$31+'Inputs'!$B$32)/1000+'Inputs'!$B$21+'Inputs'!$B$7+'Inputs'!$B$10))^2+('Inputs'!$B$8/2)^2))))*'Results'!$B$8))),"")</x:f>
        <x:v>19.076339817789044</x:v>
      </x:c>
      <x:c r="M368" t="n">
        <x:f>IF(AND(ISNUMBER('Results'!C7),ISNUMBER('Results'!B7),ISNUMBER('Results'!$B$8),ISNUMBER('Inputs'!$B$6),ISNUMBER('Inputs'!$B$7),ISNUMBER('Inputs'!$B$8),ISNUMBER('Inputs'!$B$9),ISNUMBER('Inputs'!$B$10),ISNUMBER('Inputs'!$B$21),ISNUMBER('Inputs'!$B$24),ISNUMBER('Inputs'!$B$28)),(('Results'!C7*(0.5*((((368-43)*MAX('Inputs'!$B$33,'Inputs'!$B$29+'Inputs'!$B$31+'Inputs'!$B$32,'Inputs'!$B$30+'Inputs'!$B$31+'Inputs'!$B$32)/1000+'Inputs'!$B$21)+'Inputs'!$B$9)/SQRT((((368-43)*MAX('Inputs'!$B$33,'Inputs'!$B$29+'Inputs'!$B$31+'Inputs'!$B$32,'Inputs'!$B$30+'Inputs'!$B$31+'Inputs'!$B$32)/1000+'Inputs'!$B$21)+'Inputs'!$B$9)^2+('Inputs'!$B$8/2)^2)-(((368-43)*MAX('Inputs'!$B$33,'Inputs'!$B$29+'Inputs'!$B$31+'Inputs'!$B$32,'Inputs'!$B$30+'Inputs'!$B$31+'Inputs'!$B$32)/1000+'Inputs'!$B$21))/SQRT((((368-43)*MAX('Inputs'!$B$33,'Inputs'!$B$29+'Inputs'!$B$31+'Inputs'!$B$32,'Inputs'!$B$30+'Inputs'!$B$31+'Inputs'!$B$32)/1000+'Inputs'!$B$21))^2+('Inputs'!$B$8/2)^2)))-'Results'!B7*(0.5*((((368-43)*MAX('Inputs'!$B$33,'Inputs'!$B$29+'Inputs'!$B$31+'Inputs'!$B$32,'Inputs'!$B$30+'Inputs'!$B$31+'Inputs'!$B$32)/1000+'Inputs'!$B$21+'Inputs'!$B$9+'Inputs'!$B$10)+'Inputs'!$B$7)/SQRT((((368-43)*MAX('Inputs'!$B$33,'Inputs'!$B$29+'Inputs'!$B$31+'Inputs'!$B$32,'Inputs'!$B$30+'Inputs'!$B$31+'Inputs'!$B$32)/1000+'Inputs'!$B$21+'Inputs'!$B$9+'Inputs'!$B$10)+'Inputs'!$B$7)^2+('Inputs'!$B$6/2)^2)-(((368-43)*MAX('Inputs'!$B$33,'Inputs'!$B$29+'Inputs'!$B$31+'Inputs'!$B$32,'Inputs'!$B$30+'Inputs'!$B$31+'Inputs'!$B$32)/1000+'Inputs'!$B$21+'Inputs'!$B$9+'Inputs'!$B$10))/SQRT((((368-43)*MAX('Inputs'!$B$33,'Inputs'!$B$29+'Inputs'!$B$31+'Inputs'!$B$32,'Inputs'!$B$30+'Inputs'!$B$31+'Inputs'!$B$32)/1000+'Inputs'!$B$21+'Inputs'!$B$9+'Inputs'!$B$10))^2+('Inputs'!$B$6/2)^2))))*'Results'!$B$8),"")</x:f>
        <x:v>16.438117737870556</x:v>
      </x:c>
      <x:c r="N368" t="n">
        <x:f>IF(AND(ISNUMBER('Results'!C7),ISNUMBER('Results'!B7),ISNUMBER('Results'!$B$8),ISNUMBER('Inputs'!$B$6),ISNUMBER('Inputs'!$B$7),ISNUMBER('Inputs'!$B$8),ISNUMBER('Inputs'!$B$9),ISNUMBER('Inputs'!$B$10),ISNUMBER('Inputs'!$B$21),ISNUMBER('Inputs'!$B$24),ISNUMBER('Inputs'!$B$28)),((('Results'!C7*(1-'Inputs'!$B$24)*(0.5*((((368-43)*MAX('Inputs'!$B$33,'Inputs'!$B$29+'Inputs'!$B$31+'Inputs'!$B$32,'Inputs'!$B$30+'Inputs'!$B$31+'Inputs'!$B$32)/1000+'Inputs'!$B$21)+'Inputs'!$B$9)/SQRT((((368-43)*MAX('Inputs'!$B$33,'Inputs'!$B$29+'Inputs'!$B$31+'Inputs'!$B$32,'Inputs'!$B$30+'Inputs'!$B$31+'Inputs'!$B$32)/1000+'Inputs'!$B$21)+'Inputs'!$B$9)^2+('Inputs'!$B$8/2)^2)-(((368-43)*MAX('Inputs'!$B$33,'Inputs'!$B$29+'Inputs'!$B$31+'Inputs'!$B$32,'Inputs'!$B$30+'Inputs'!$B$31+'Inputs'!$B$32)/1000+'Inputs'!$B$21))/SQRT((((368-43)*MAX('Inputs'!$B$33,'Inputs'!$B$29+'Inputs'!$B$31+'Inputs'!$B$32,'Inputs'!$B$30+'Inputs'!$B$31+'Inputs'!$B$32)/1000+'Inputs'!$B$21))^2+('Inputs'!$B$8/2)^2)))-'Results'!B7*(1+'Inputs'!$B$24)*(0.5*((((368-43)*MAX('Inputs'!$B$33,'Inputs'!$B$29+'Inputs'!$B$31+'Inputs'!$B$32,'Inputs'!$B$30+'Inputs'!$B$31+'Inputs'!$B$32)/1000+'Inputs'!$B$21+'Inputs'!$B$9+'Inputs'!$B$10)+'Inputs'!$B$7)/SQRT((((368-43)*MAX('Inputs'!$B$33,'Inputs'!$B$29+'Inputs'!$B$31+'Inputs'!$B$32,'Inputs'!$B$30+'Inputs'!$B$31+'Inputs'!$B$32)/1000+'Inputs'!$B$21+'Inputs'!$B$9+'Inputs'!$B$10)+'Inputs'!$B$7)^2+('Inputs'!$B$6/2)^2)-(((368-43)*MAX('Inputs'!$B$33,'Inputs'!$B$29+'Inputs'!$B$31+'Inputs'!$B$32,'Inputs'!$B$30+'Inputs'!$B$31+'Inputs'!$B$32)/1000+'Inputs'!$B$21+'Inputs'!$B$9+'Inputs'!$B$10))/SQRT((((368-43)*MAX('Inputs'!$B$33,'Inputs'!$B$29+'Inputs'!$B$31+'Inputs'!$B$32,'Inputs'!$B$30+'Inputs'!$B$31+'Inputs'!$B$32)/1000+'Inputs'!$B$21+'Inputs'!$B$9+'Inputs'!$B$10))^2+('Inputs'!$B$6/2)^2))))*'Results'!$B$8)-'Inputs'!$B$28*ABS((('Results'!C7*(1-'Inputs'!$B$24)*(0.5*((((368-43)*MAX('Inputs'!$B$33,'Inputs'!$B$29+'Inputs'!$B$31+'Inputs'!$B$32,'Inputs'!$B$30+'Inputs'!$B$31+'Inputs'!$B$32)/1000+'Inputs'!$B$21)+'Inputs'!$B$9)/SQRT((((368-43)*MAX('Inputs'!$B$33,'Inputs'!$B$29+'Inputs'!$B$31+'Inputs'!$B$32,'Inputs'!$B$30+'Inputs'!$B$31+'Inputs'!$B$32)/1000+'Inputs'!$B$21)+'Inputs'!$B$9)^2+('Inputs'!$B$8/2)^2)-(((368-43)*MAX('Inputs'!$B$33,'Inputs'!$B$29+'Inputs'!$B$31+'Inputs'!$B$32,'Inputs'!$B$30+'Inputs'!$B$31+'Inputs'!$B$32)/1000+'Inputs'!$B$21))/SQRT((((368-43)*MAX('Inputs'!$B$33,'Inputs'!$B$29+'Inputs'!$B$31+'Inputs'!$B$32,'Inputs'!$B$30+'Inputs'!$B$31+'Inputs'!$B$32)/1000+'Inputs'!$B$21))^2+('Inputs'!$B$8/2)^2)))-'Results'!B7*(1+'Inputs'!$B$24)*(0.5*((((368-43)*MAX('Inputs'!$B$33,'Inputs'!$B$29+'Inputs'!$B$31+'Inputs'!$B$32,'Inputs'!$B$30+'Inputs'!$B$31+'Inputs'!$B$32)/1000+'Inputs'!$B$21+'Inputs'!$B$9+'Inputs'!$B$10)+'Inputs'!$B$7)/SQRT((((368-43)*MAX('Inputs'!$B$33,'Inputs'!$B$29+'Inputs'!$B$31+'Inputs'!$B$32,'Inputs'!$B$30+'Inputs'!$B$31+'Inputs'!$B$32)/1000+'Inputs'!$B$21+'Inputs'!$B$9+'Inputs'!$B$10)+'Inputs'!$B$7)^2+('Inputs'!$B$6/2)^2)-(((368-43)*MAX('Inputs'!$B$33,'Inputs'!$B$29+'Inputs'!$B$31+'Inputs'!$B$32,'Inputs'!$B$30+'Inputs'!$B$31+'Inputs'!$B$32)/1000+'Inputs'!$B$21+'Inputs'!$B$9+'Inputs'!$B$10))/SQRT((((368-43)*MAX('Inputs'!$B$33,'Inputs'!$B$29+'Inputs'!$B$31+'Inputs'!$B$32,'Inputs'!$B$30+'Inputs'!$B$31+'Inputs'!$B$32)/1000+'Inputs'!$B$21+'Inputs'!$B$9+'Inputs'!$B$10))^2+('Inputs'!$B$6/2)^2))))*'Results'!$B$8))),"")</x:f>
        <x:v>14.803522904566025</x:v>
      </x:c>
      <x:c r="O368" t="n">
        <x:f>IF(AND(ISNUMBER('Results'!C7),ISNUMBER('Results'!B7),ISNUMBER('Results'!$B$8),ISNUMBER('Inputs'!$B$6),ISNUMBER('Inputs'!$B$7),ISNUMBER('Inputs'!$B$8),ISNUMBER('Inputs'!$B$9),ISNUMBER('Inputs'!$B$10),ISNUMBER('Inputs'!$B$21),ISNUMBER('Inputs'!$B$24),ISNUMBER('Inputs'!$B$28)),((('Results'!C7*(1+'Inputs'!$B$24)*(0.5*((((368-43)*MAX('Inputs'!$B$33,'Inputs'!$B$29+'Inputs'!$B$31+'Inputs'!$B$32,'Inputs'!$B$30+'Inputs'!$B$31+'Inputs'!$B$32)/1000+'Inputs'!$B$21)+'Inputs'!$B$9)/SQRT((((368-43)*MAX('Inputs'!$B$33,'Inputs'!$B$29+'Inputs'!$B$31+'Inputs'!$B$32,'Inputs'!$B$30+'Inputs'!$B$31+'Inputs'!$B$32)/1000+'Inputs'!$B$21)+'Inputs'!$B$9)^2+('Inputs'!$B$8/2)^2)-(((368-43)*MAX('Inputs'!$B$33,'Inputs'!$B$29+'Inputs'!$B$31+'Inputs'!$B$32,'Inputs'!$B$30+'Inputs'!$B$31+'Inputs'!$B$32)/1000+'Inputs'!$B$21))/SQRT((((368-43)*MAX('Inputs'!$B$33,'Inputs'!$B$29+'Inputs'!$B$31+'Inputs'!$B$32,'Inputs'!$B$30+'Inputs'!$B$31+'Inputs'!$B$32)/1000+'Inputs'!$B$21))^2+('Inputs'!$B$8/2)^2)))-'Results'!B7*(1-'Inputs'!$B$24)*(0.5*((((368-43)*MAX('Inputs'!$B$33,'Inputs'!$B$29+'Inputs'!$B$31+'Inputs'!$B$32,'Inputs'!$B$30+'Inputs'!$B$31+'Inputs'!$B$32)/1000+'Inputs'!$B$21+'Inputs'!$B$9+'Inputs'!$B$10)+'Inputs'!$B$7)/SQRT((((368-43)*MAX('Inputs'!$B$33,'Inputs'!$B$29+'Inputs'!$B$31+'Inputs'!$B$32,'Inputs'!$B$30+'Inputs'!$B$31+'Inputs'!$B$32)/1000+'Inputs'!$B$21+'Inputs'!$B$9+'Inputs'!$B$10)+'Inputs'!$B$7)^2+('Inputs'!$B$6/2)^2)-(((368-43)*MAX('Inputs'!$B$33,'Inputs'!$B$29+'Inputs'!$B$31+'Inputs'!$B$32,'Inputs'!$B$30+'Inputs'!$B$31+'Inputs'!$B$32)/1000+'Inputs'!$B$21+'Inputs'!$B$9+'Inputs'!$B$10))/SQRT((((368-43)*MAX('Inputs'!$B$33,'Inputs'!$B$29+'Inputs'!$B$31+'Inputs'!$B$32,'Inputs'!$B$30+'Inputs'!$B$31+'Inputs'!$B$32)/1000+'Inputs'!$B$21+'Inputs'!$B$9+'Inputs'!$B$10))^2+('Inputs'!$B$6/2)^2))))*'Results'!$B$8)+'Inputs'!$B$28*ABS((('Results'!C7*(1+'Inputs'!$B$24)*(0.5*((((368-43)*MAX('Inputs'!$B$33,'Inputs'!$B$29+'Inputs'!$B$31+'Inputs'!$B$32,'Inputs'!$B$30+'Inputs'!$B$31+'Inputs'!$B$32)/1000+'Inputs'!$B$21)+'Inputs'!$B$9)/SQRT((((368-43)*MAX('Inputs'!$B$33,'Inputs'!$B$29+'Inputs'!$B$31+'Inputs'!$B$32,'Inputs'!$B$30+'Inputs'!$B$31+'Inputs'!$B$32)/1000+'Inputs'!$B$21)+'Inputs'!$B$9)^2+('Inputs'!$B$8/2)^2)-(((368-43)*MAX('Inputs'!$B$33,'Inputs'!$B$29+'Inputs'!$B$31+'Inputs'!$B$32,'Inputs'!$B$30+'Inputs'!$B$31+'Inputs'!$B$32)/1000+'Inputs'!$B$21))/SQRT((((368-43)*MAX('Inputs'!$B$33,'Inputs'!$B$29+'Inputs'!$B$31+'Inputs'!$B$32,'Inputs'!$B$30+'Inputs'!$B$31+'Inputs'!$B$32)/1000+'Inputs'!$B$21))^2+('Inputs'!$B$8/2)^2)))-'Results'!B7*(1-'Inputs'!$B$24)*(0.5*((((368-43)*MAX('Inputs'!$B$33,'Inputs'!$B$29+'Inputs'!$B$31+'Inputs'!$B$32,'Inputs'!$B$30+'Inputs'!$B$31+'Inputs'!$B$32)/1000+'Inputs'!$B$21+'Inputs'!$B$9+'Inputs'!$B$10)+'Inputs'!$B$7)/SQRT((((368-43)*MAX('Inputs'!$B$33,'Inputs'!$B$29+'Inputs'!$B$31+'Inputs'!$B$32,'Inputs'!$B$30+'Inputs'!$B$31+'Inputs'!$B$32)/1000+'Inputs'!$B$21+'Inputs'!$B$9+'Inputs'!$B$10)+'Inputs'!$B$7)^2+('Inputs'!$B$6/2)^2)-(((368-43)*MAX('Inputs'!$B$33,'Inputs'!$B$29+'Inputs'!$B$31+'Inputs'!$B$32,'Inputs'!$B$30+'Inputs'!$B$31+'Inputs'!$B$32)/1000+'Inputs'!$B$21+'Inputs'!$B$9+'Inputs'!$B$10))/SQRT((((368-43)*MAX('Inputs'!$B$33,'Inputs'!$B$29+'Inputs'!$B$31+'Inputs'!$B$32,'Inputs'!$B$30+'Inputs'!$B$31+'Inputs'!$B$32)/1000+'Inputs'!$B$21+'Inputs'!$B$9+'Inputs'!$B$10))^2+('Inputs'!$B$6/2)^2))))*'Results'!$B$8))),"")</x:f>
        <x:v>18.158258776060453</x:v>
      </x:c>
      <x:c r="P368" t="n">
        <x:f>IF(AND(MAX(J368,J367)&gt;0,J368&gt;J367+0.00000001),1,0)</x:f>
        <x:v>0</x:v>
      </x:c>
      <x:c r="Q368" t="n">
        <x:f>IF(AND(MAX(K368,K367)&gt;0,K368&gt;K367+0.00000001),1,0)</x:f>
        <x:v>0</x:v>
      </x:c>
      <x:c r="R368" t="n">
        <x:f>IF(AND(MAX(L368,L367)&gt;0,L368&gt;L367+0.00000001),1,0)</x:f>
        <x:v>0</x:v>
      </x:c>
      <x:c r="S368" t="n">
        <x:f>IF(AND(MAX(M368,M367)&gt;0,M368&gt;M367+0.00000001),1,0)</x:f>
        <x:v>0</x:v>
      </x:c>
      <x:c r="T368" t="n">
        <x:f>IF(AND(MAX(N368,N367)&gt;0,N368&gt;N367+0.00000001),1,0)</x:f>
        <x:v>0</x:v>
      </x:c>
      <x:c r="U368" t="n">
        <x:f>IF(AND(MAX(O368,O367)&gt;0,O368&gt;O367+0.00000001),1,0)</x:f>
        <x:v>0</x:v>
      </x:c>
    </x:row>
    <x:row r="369">
      <x:c r="J369" t="n">
        <x:f>IF(AND(ISNUMBER('Results'!B7),ISNUMBER('Results'!C7),ISNUMBER('Results'!$B$8),ISNUMBER('Inputs'!$B$6),ISNUMBER('Inputs'!$B$7),ISNUMBER('Inputs'!$B$8),ISNUMBER('Inputs'!$B$9),ISNUMBER('Inputs'!$B$10),ISNUMBER('Inputs'!$B$21),ISNUMBER('Inputs'!$B$24),ISNUMBER('Inputs'!$B$28)),(('Results'!B7*(0.5*((((369-43)*MAX('Inputs'!$B$33,'Inputs'!$B$29+'Inputs'!$B$31+'Inputs'!$B$32,'Inputs'!$B$30+'Inputs'!$B$31+'Inputs'!$B$32)/1000+'Inputs'!$B$21)+'Inputs'!$B$7)/SQRT((((369-43)*MAX('Inputs'!$B$33,'Inputs'!$B$29+'Inputs'!$B$31+'Inputs'!$B$32,'Inputs'!$B$30+'Inputs'!$B$31+'Inputs'!$B$32)/1000+'Inputs'!$B$21)+'Inputs'!$B$7)^2+('Inputs'!$B$6/2)^2)-(((369-43)*MAX('Inputs'!$B$33,'Inputs'!$B$29+'Inputs'!$B$31+'Inputs'!$B$32,'Inputs'!$B$30+'Inputs'!$B$31+'Inputs'!$B$32)/1000+'Inputs'!$B$21))/SQRT((((369-43)*MAX('Inputs'!$B$33,'Inputs'!$B$29+'Inputs'!$B$31+'Inputs'!$B$32,'Inputs'!$B$30+'Inputs'!$B$31+'Inputs'!$B$32)/1000+'Inputs'!$B$21))^2+('Inputs'!$B$6/2)^2)))-'Results'!C7*(0.5*((((369-43)*MAX('Inputs'!$B$33,'Inputs'!$B$29+'Inputs'!$B$31+'Inputs'!$B$32,'Inputs'!$B$30+'Inputs'!$B$31+'Inputs'!$B$32)/1000+'Inputs'!$B$21+'Inputs'!$B$7+'Inputs'!$B$10)+'Inputs'!$B$9)/SQRT((((369-43)*MAX('Inputs'!$B$33,'Inputs'!$B$29+'Inputs'!$B$31+'Inputs'!$B$32,'Inputs'!$B$30+'Inputs'!$B$31+'Inputs'!$B$32)/1000+'Inputs'!$B$21+'Inputs'!$B$7+'Inputs'!$B$10)+'Inputs'!$B$9)^2+('Inputs'!$B$8/2)^2)-(((369-43)*MAX('Inputs'!$B$33,'Inputs'!$B$29+'Inputs'!$B$31+'Inputs'!$B$32,'Inputs'!$B$30+'Inputs'!$B$31+'Inputs'!$B$32)/1000+'Inputs'!$B$21+'Inputs'!$B$7+'Inputs'!$B$10))/SQRT((((369-43)*MAX('Inputs'!$B$33,'Inputs'!$B$29+'Inputs'!$B$31+'Inputs'!$B$32,'Inputs'!$B$30+'Inputs'!$B$31+'Inputs'!$B$32)/1000+'Inputs'!$B$21+'Inputs'!$B$7+'Inputs'!$B$10))^2+('Inputs'!$B$8/2)^2))))*'Results'!$B$8),"")</x:f>
        <x:v>17.13816121860947</x:v>
      </x:c>
      <x:c r="K369" t="n">
        <x:f>IF(AND(ISNUMBER('Results'!B7),ISNUMBER('Results'!C7),ISNUMBER('Results'!$B$8),ISNUMBER('Inputs'!$B$6),ISNUMBER('Inputs'!$B$7),ISNUMBER('Inputs'!$B$8),ISNUMBER('Inputs'!$B$9),ISNUMBER('Inputs'!$B$10),ISNUMBER('Inputs'!$B$21),ISNUMBER('Inputs'!$B$24),ISNUMBER('Inputs'!$B$28)),((('Results'!B7*(1-'Inputs'!$B$24)*(0.5*((((369-43)*MAX('Inputs'!$B$33,'Inputs'!$B$29+'Inputs'!$B$31+'Inputs'!$B$32,'Inputs'!$B$30+'Inputs'!$B$31+'Inputs'!$B$32)/1000+'Inputs'!$B$21)+'Inputs'!$B$7)/SQRT((((369-43)*MAX('Inputs'!$B$33,'Inputs'!$B$29+'Inputs'!$B$31+'Inputs'!$B$32,'Inputs'!$B$30+'Inputs'!$B$31+'Inputs'!$B$32)/1000+'Inputs'!$B$21)+'Inputs'!$B$7)^2+('Inputs'!$B$6/2)^2)-(((369-43)*MAX('Inputs'!$B$33,'Inputs'!$B$29+'Inputs'!$B$31+'Inputs'!$B$32,'Inputs'!$B$30+'Inputs'!$B$31+'Inputs'!$B$32)/1000+'Inputs'!$B$21))/SQRT((((369-43)*MAX('Inputs'!$B$33,'Inputs'!$B$29+'Inputs'!$B$31+'Inputs'!$B$32,'Inputs'!$B$30+'Inputs'!$B$31+'Inputs'!$B$32)/1000+'Inputs'!$B$21))^2+('Inputs'!$B$6/2)^2)))-'Results'!C7*(1+'Inputs'!$B$24)*(0.5*((((369-43)*MAX('Inputs'!$B$33,'Inputs'!$B$29+'Inputs'!$B$31+'Inputs'!$B$32,'Inputs'!$B$30+'Inputs'!$B$31+'Inputs'!$B$32)/1000+'Inputs'!$B$21+'Inputs'!$B$7+'Inputs'!$B$10)+'Inputs'!$B$9)/SQRT((((369-43)*MAX('Inputs'!$B$33,'Inputs'!$B$29+'Inputs'!$B$31+'Inputs'!$B$32,'Inputs'!$B$30+'Inputs'!$B$31+'Inputs'!$B$32)/1000+'Inputs'!$B$21+'Inputs'!$B$7+'Inputs'!$B$10)+'Inputs'!$B$9)^2+('Inputs'!$B$8/2)^2)-(((369-43)*MAX('Inputs'!$B$33,'Inputs'!$B$29+'Inputs'!$B$31+'Inputs'!$B$32,'Inputs'!$B$30+'Inputs'!$B$31+'Inputs'!$B$32)/1000+'Inputs'!$B$21+'Inputs'!$B$7+'Inputs'!$B$10))/SQRT((((369-43)*MAX('Inputs'!$B$33,'Inputs'!$B$29+'Inputs'!$B$31+'Inputs'!$B$32,'Inputs'!$B$30+'Inputs'!$B$31+'Inputs'!$B$32)/1000+'Inputs'!$B$21+'Inputs'!$B$7+'Inputs'!$B$10))^2+('Inputs'!$B$8/2)^2))))*'Results'!$B$8)-'Inputs'!$B$28*ABS((('Results'!B7*(1-'Inputs'!$B$24)*(0.5*((((369-43)*MAX('Inputs'!$B$33,'Inputs'!$B$29+'Inputs'!$B$31+'Inputs'!$B$32,'Inputs'!$B$30+'Inputs'!$B$31+'Inputs'!$B$32)/1000+'Inputs'!$B$21)+'Inputs'!$B$7)/SQRT((((369-43)*MAX('Inputs'!$B$33,'Inputs'!$B$29+'Inputs'!$B$31+'Inputs'!$B$32,'Inputs'!$B$30+'Inputs'!$B$31+'Inputs'!$B$32)/1000+'Inputs'!$B$21)+'Inputs'!$B$7)^2+('Inputs'!$B$6/2)^2)-(((369-43)*MAX('Inputs'!$B$33,'Inputs'!$B$29+'Inputs'!$B$31+'Inputs'!$B$32,'Inputs'!$B$30+'Inputs'!$B$31+'Inputs'!$B$32)/1000+'Inputs'!$B$21))/SQRT((((369-43)*MAX('Inputs'!$B$33,'Inputs'!$B$29+'Inputs'!$B$31+'Inputs'!$B$32,'Inputs'!$B$30+'Inputs'!$B$31+'Inputs'!$B$32)/1000+'Inputs'!$B$21))^2+('Inputs'!$B$6/2)^2)))-'Results'!C7*(1+'Inputs'!$B$24)*(0.5*((((369-43)*MAX('Inputs'!$B$33,'Inputs'!$B$29+'Inputs'!$B$31+'Inputs'!$B$32,'Inputs'!$B$30+'Inputs'!$B$31+'Inputs'!$B$32)/1000+'Inputs'!$B$21+'Inputs'!$B$7+'Inputs'!$B$10)+'Inputs'!$B$9)/SQRT((((369-43)*MAX('Inputs'!$B$33,'Inputs'!$B$29+'Inputs'!$B$31+'Inputs'!$B$32,'Inputs'!$B$30+'Inputs'!$B$31+'Inputs'!$B$32)/1000+'Inputs'!$B$21+'Inputs'!$B$7+'Inputs'!$B$10)+'Inputs'!$B$9)^2+('Inputs'!$B$8/2)^2)-(((369-43)*MAX('Inputs'!$B$33,'Inputs'!$B$29+'Inputs'!$B$31+'Inputs'!$B$32,'Inputs'!$B$30+'Inputs'!$B$31+'Inputs'!$B$32)/1000+'Inputs'!$B$21+'Inputs'!$B$7+'Inputs'!$B$10))/SQRT((((369-43)*MAX('Inputs'!$B$33,'Inputs'!$B$29+'Inputs'!$B$31+'Inputs'!$B$32,'Inputs'!$B$30+'Inputs'!$B$31+'Inputs'!$B$32)/1000+'Inputs'!$B$21+'Inputs'!$B$7+'Inputs'!$B$10))^2+('Inputs'!$B$8/2)^2))))*'Results'!$B$8))),"")</x:f>
        <x:v>15.468373093170918</x:v>
      </x:c>
      <x:c r="L369" t="n">
        <x:f>IF(AND(ISNUMBER('Results'!B7),ISNUMBER('Results'!C7),ISNUMBER('Results'!$B$8),ISNUMBER('Inputs'!$B$6),ISNUMBER('Inputs'!$B$7),ISNUMBER('Inputs'!$B$8),ISNUMBER('Inputs'!$B$9),ISNUMBER('Inputs'!$B$10),ISNUMBER('Inputs'!$B$21),ISNUMBER('Inputs'!$B$24),ISNUMBER('Inputs'!$B$28)),((('Results'!B7*(1+'Inputs'!$B$24)*(0.5*((((369-43)*MAX('Inputs'!$B$33,'Inputs'!$B$29+'Inputs'!$B$31+'Inputs'!$B$32,'Inputs'!$B$30+'Inputs'!$B$31+'Inputs'!$B$32)/1000+'Inputs'!$B$21)+'Inputs'!$B$7)/SQRT((((369-43)*MAX('Inputs'!$B$33,'Inputs'!$B$29+'Inputs'!$B$31+'Inputs'!$B$32,'Inputs'!$B$30+'Inputs'!$B$31+'Inputs'!$B$32)/1000+'Inputs'!$B$21)+'Inputs'!$B$7)^2+('Inputs'!$B$6/2)^2)-(((369-43)*MAX('Inputs'!$B$33,'Inputs'!$B$29+'Inputs'!$B$31+'Inputs'!$B$32,'Inputs'!$B$30+'Inputs'!$B$31+'Inputs'!$B$32)/1000+'Inputs'!$B$21))/SQRT((((369-43)*MAX('Inputs'!$B$33,'Inputs'!$B$29+'Inputs'!$B$31+'Inputs'!$B$32,'Inputs'!$B$30+'Inputs'!$B$31+'Inputs'!$B$32)/1000+'Inputs'!$B$21))^2+('Inputs'!$B$6/2)^2)))-'Results'!C7*(1-'Inputs'!$B$24)*(0.5*((((369-43)*MAX('Inputs'!$B$33,'Inputs'!$B$29+'Inputs'!$B$31+'Inputs'!$B$32,'Inputs'!$B$30+'Inputs'!$B$31+'Inputs'!$B$32)/1000+'Inputs'!$B$21+'Inputs'!$B$7+'Inputs'!$B$10)+'Inputs'!$B$9)/SQRT((((369-43)*MAX('Inputs'!$B$33,'Inputs'!$B$29+'Inputs'!$B$31+'Inputs'!$B$32,'Inputs'!$B$30+'Inputs'!$B$31+'Inputs'!$B$32)/1000+'Inputs'!$B$21+'Inputs'!$B$7+'Inputs'!$B$10)+'Inputs'!$B$9)^2+('Inputs'!$B$8/2)^2)-(((369-43)*MAX('Inputs'!$B$33,'Inputs'!$B$29+'Inputs'!$B$31+'Inputs'!$B$32,'Inputs'!$B$30+'Inputs'!$B$31+'Inputs'!$B$32)/1000+'Inputs'!$B$21+'Inputs'!$B$7+'Inputs'!$B$10))/SQRT((((369-43)*MAX('Inputs'!$B$33,'Inputs'!$B$29+'Inputs'!$B$31+'Inputs'!$B$32,'Inputs'!$B$30+'Inputs'!$B$31+'Inputs'!$B$32)/1000+'Inputs'!$B$21+'Inputs'!$B$7+'Inputs'!$B$10))^2+('Inputs'!$B$8/2)^2))))*'Results'!$B$8)+'Inputs'!$B$28*ABS((('Results'!B7*(1+'Inputs'!$B$24)*(0.5*((((369-43)*MAX('Inputs'!$B$33,'Inputs'!$B$29+'Inputs'!$B$31+'Inputs'!$B$32,'Inputs'!$B$30+'Inputs'!$B$31+'Inputs'!$B$32)/1000+'Inputs'!$B$21)+'Inputs'!$B$7)/SQRT((((369-43)*MAX('Inputs'!$B$33,'Inputs'!$B$29+'Inputs'!$B$31+'Inputs'!$B$32,'Inputs'!$B$30+'Inputs'!$B$31+'Inputs'!$B$32)/1000+'Inputs'!$B$21)+'Inputs'!$B$7)^2+('Inputs'!$B$6/2)^2)-(((369-43)*MAX('Inputs'!$B$33,'Inputs'!$B$29+'Inputs'!$B$31+'Inputs'!$B$32,'Inputs'!$B$30+'Inputs'!$B$31+'Inputs'!$B$32)/1000+'Inputs'!$B$21))/SQRT((((369-43)*MAX('Inputs'!$B$33,'Inputs'!$B$29+'Inputs'!$B$31+'Inputs'!$B$32,'Inputs'!$B$30+'Inputs'!$B$31+'Inputs'!$B$32)/1000+'Inputs'!$B$21))^2+('Inputs'!$B$6/2)^2)))-'Results'!C7*(1-'Inputs'!$B$24)*(0.5*((((369-43)*MAX('Inputs'!$B$33,'Inputs'!$B$29+'Inputs'!$B$31+'Inputs'!$B$32,'Inputs'!$B$30+'Inputs'!$B$31+'Inputs'!$B$32)/1000+'Inputs'!$B$21+'Inputs'!$B$7+'Inputs'!$B$10)+'Inputs'!$B$9)/SQRT((((369-43)*MAX('Inputs'!$B$33,'Inputs'!$B$29+'Inputs'!$B$31+'Inputs'!$B$32,'Inputs'!$B$30+'Inputs'!$B$31+'Inputs'!$B$32)/1000+'Inputs'!$B$21+'Inputs'!$B$7+'Inputs'!$B$10)+'Inputs'!$B$9)^2+('Inputs'!$B$8/2)^2)-(((369-43)*MAX('Inputs'!$B$33,'Inputs'!$B$29+'Inputs'!$B$31+'Inputs'!$B$32,'Inputs'!$B$30+'Inputs'!$B$31+'Inputs'!$B$32)/1000+'Inputs'!$B$21+'Inputs'!$B$7+'Inputs'!$B$10))/SQRT((((369-43)*MAX('Inputs'!$B$33,'Inputs'!$B$29+'Inputs'!$B$31+'Inputs'!$B$32,'Inputs'!$B$30+'Inputs'!$B$31+'Inputs'!$B$32)/1000+'Inputs'!$B$21+'Inputs'!$B$7+'Inputs'!$B$10))^2+('Inputs'!$B$8/2)^2))))*'Results'!$B$8))),"")</x:f>
        <x:v>18.893515666627817</x:v>
      </x:c>
      <x:c r="M369" t="n">
        <x:f>IF(AND(ISNUMBER('Results'!C7),ISNUMBER('Results'!B7),ISNUMBER('Results'!$B$8),ISNUMBER('Inputs'!$B$6),ISNUMBER('Inputs'!$B$7),ISNUMBER('Inputs'!$B$8),ISNUMBER('Inputs'!$B$9),ISNUMBER('Inputs'!$B$10),ISNUMBER('Inputs'!$B$21),ISNUMBER('Inputs'!$B$24),ISNUMBER('Inputs'!$B$28)),(('Results'!C7*(0.5*((((369-43)*MAX('Inputs'!$B$33,'Inputs'!$B$29+'Inputs'!$B$31+'Inputs'!$B$32,'Inputs'!$B$30+'Inputs'!$B$31+'Inputs'!$B$32)/1000+'Inputs'!$B$21)+'Inputs'!$B$9)/SQRT((((369-43)*MAX('Inputs'!$B$33,'Inputs'!$B$29+'Inputs'!$B$31+'Inputs'!$B$32,'Inputs'!$B$30+'Inputs'!$B$31+'Inputs'!$B$32)/1000+'Inputs'!$B$21)+'Inputs'!$B$9)^2+('Inputs'!$B$8/2)^2)-(((369-43)*MAX('Inputs'!$B$33,'Inputs'!$B$29+'Inputs'!$B$31+'Inputs'!$B$32,'Inputs'!$B$30+'Inputs'!$B$31+'Inputs'!$B$32)/1000+'Inputs'!$B$21))/SQRT((((369-43)*MAX('Inputs'!$B$33,'Inputs'!$B$29+'Inputs'!$B$31+'Inputs'!$B$32,'Inputs'!$B$30+'Inputs'!$B$31+'Inputs'!$B$32)/1000+'Inputs'!$B$21))^2+('Inputs'!$B$8/2)^2)))-'Results'!B7*(0.5*((((369-43)*MAX('Inputs'!$B$33,'Inputs'!$B$29+'Inputs'!$B$31+'Inputs'!$B$32,'Inputs'!$B$30+'Inputs'!$B$31+'Inputs'!$B$32)/1000+'Inputs'!$B$21+'Inputs'!$B$9+'Inputs'!$B$10)+'Inputs'!$B$7)/SQRT((((369-43)*MAX('Inputs'!$B$33,'Inputs'!$B$29+'Inputs'!$B$31+'Inputs'!$B$32,'Inputs'!$B$30+'Inputs'!$B$31+'Inputs'!$B$32)/1000+'Inputs'!$B$21+'Inputs'!$B$9+'Inputs'!$B$10)+'Inputs'!$B$7)^2+('Inputs'!$B$6/2)^2)-(((369-43)*MAX('Inputs'!$B$33,'Inputs'!$B$29+'Inputs'!$B$31+'Inputs'!$B$32,'Inputs'!$B$30+'Inputs'!$B$31+'Inputs'!$B$32)/1000+'Inputs'!$B$21+'Inputs'!$B$9+'Inputs'!$B$10))/SQRT((((369-43)*MAX('Inputs'!$B$33,'Inputs'!$B$29+'Inputs'!$B$31+'Inputs'!$B$32,'Inputs'!$B$30+'Inputs'!$B$31+'Inputs'!$B$32)/1000+'Inputs'!$B$21+'Inputs'!$B$9+'Inputs'!$B$10))^2+('Inputs'!$B$6/2)^2))))*'Results'!$B$8),"")</x:f>
        <x:v>16.277264319327557</x:v>
      </x:c>
      <x:c r="N369" t="n">
        <x:f>IF(AND(ISNUMBER('Results'!C7),ISNUMBER('Results'!B7),ISNUMBER('Results'!$B$8),ISNUMBER('Inputs'!$B$6),ISNUMBER('Inputs'!$B$7),ISNUMBER('Inputs'!$B$8),ISNUMBER('Inputs'!$B$9),ISNUMBER('Inputs'!$B$10),ISNUMBER('Inputs'!$B$21),ISNUMBER('Inputs'!$B$24),ISNUMBER('Inputs'!$B$28)),((('Results'!C7*(1-'Inputs'!$B$24)*(0.5*((((369-43)*MAX('Inputs'!$B$33,'Inputs'!$B$29+'Inputs'!$B$31+'Inputs'!$B$32,'Inputs'!$B$30+'Inputs'!$B$31+'Inputs'!$B$32)/1000+'Inputs'!$B$21)+'Inputs'!$B$9)/SQRT((((369-43)*MAX('Inputs'!$B$33,'Inputs'!$B$29+'Inputs'!$B$31+'Inputs'!$B$32,'Inputs'!$B$30+'Inputs'!$B$31+'Inputs'!$B$32)/1000+'Inputs'!$B$21)+'Inputs'!$B$9)^2+('Inputs'!$B$8/2)^2)-(((369-43)*MAX('Inputs'!$B$33,'Inputs'!$B$29+'Inputs'!$B$31+'Inputs'!$B$32,'Inputs'!$B$30+'Inputs'!$B$31+'Inputs'!$B$32)/1000+'Inputs'!$B$21))/SQRT((((369-43)*MAX('Inputs'!$B$33,'Inputs'!$B$29+'Inputs'!$B$31+'Inputs'!$B$32,'Inputs'!$B$30+'Inputs'!$B$31+'Inputs'!$B$32)/1000+'Inputs'!$B$21))^2+('Inputs'!$B$8/2)^2)))-'Results'!B7*(1+'Inputs'!$B$24)*(0.5*((((369-43)*MAX('Inputs'!$B$33,'Inputs'!$B$29+'Inputs'!$B$31+'Inputs'!$B$32,'Inputs'!$B$30+'Inputs'!$B$31+'Inputs'!$B$32)/1000+'Inputs'!$B$21+'Inputs'!$B$9+'Inputs'!$B$10)+'Inputs'!$B$7)/SQRT((((369-43)*MAX('Inputs'!$B$33,'Inputs'!$B$29+'Inputs'!$B$31+'Inputs'!$B$32,'Inputs'!$B$30+'Inputs'!$B$31+'Inputs'!$B$32)/1000+'Inputs'!$B$21+'Inputs'!$B$9+'Inputs'!$B$10)+'Inputs'!$B$7)^2+('Inputs'!$B$6/2)^2)-(((369-43)*MAX('Inputs'!$B$33,'Inputs'!$B$29+'Inputs'!$B$31+'Inputs'!$B$32,'Inputs'!$B$30+'Inputs'!$B$31+'Inputs'!$B$32)/1000+'Inputs'!$B$21+'Inputs'!$B$9+'Inputs'!$B$10))/SQRT((((369-43)*MAX('Inputs'!$B$33,'Inputs'!$B$29+'Inputs'!$B$31+'Inputs'!$B$32,'Inputs'!$B$30+'Inputs'!$B$31+'Inputs'!$B$32)/1000+'Inputs'!$B$21+'Inputs'!$B$9+'Inputs'!$B$10))^2+('Inputs'!$B$6/2)^2))))*'Results'!$B$8)-'Inputs'!$B$28*ABS((('Results'!C7*(1-'Inputs'!$B$24)*(0.5*((((369-43)*MAX('Inputs'!$B$33,'Inputs'!$B$29+'Inputs'!$B$31+'Inputs'!$B$32,'Inputs'!$B$30+'Inputs'!$B$31+'Inputs'!$B$32)/1000+'Inputs'!$B$21)+'Inputs'!$B$9)/SQRT((((369-43)*MAX('Inputs'!$B$33,'Inputs'!$B$29+'Inputs'!$B$31+'Inputs'!$B$32,'Inputs'!$B$30+'Inputs'!$B$31+'Inputs'!$B$32)/1000+'Inputs'!$B$21)+'Inputs'!$B$9)^2+('Inputs'!$B$8/2)^2)-(((369-43)*MAX('Inputs'!$B$33,'Inputs'!$B$29+'Inputs'!$B$31+'Inputs'!$B$32,'Inputs'!$B$30+'Inputs'!$B$31+'Inputs'!$B$32)/1000+'Inputs'!$B$21))/SQRT((((369-43)*MAX('Inputs'!$B$33,'Inputs'!$B$29+'Inputs'!$B$31+'Inputs'!$B$32,'Inputs'!$B$30+'Inputs'!$B$31+'Inputs'!$B$32)/1000+'Inputs'!$B$21))^2+('Inputs'!$B$8/2)^2)))-'Results'!B7*(1+'Inputs'!$B$24)*(0.5*((((369-43)*MAX('Inputs'!$B$33,'Inputs'!$B$29+'Inputs'!$B$31+'Inputs'!$B$32,'Inputs'!$B$30+'Inputs'!$B$31+'Inputs'!$B$32)/1000+'Inputs'!$B$21+'Inputs'!$B$9+'Inputs'!$B$10)+'Inputs'!$B$7)/SQRT((((369-43)*MAX('Inputs'!$B$33,'Inputs'!$B$29+'Inputs'!$B$31+'Inputs'!$B$32,'Inputs'!$B$30+'Inputs'!$B$31+'Inputs'!$B$32)/1000+'Inputs'!$B$21+'Inputs'!$B$9+'Inputs'!$B$10)+'Inputs'!$B$7)^2+('Inputs'!$B$6/2)^2)-(((369-43)*MAX('Inputs'!$B$33,'Inputs'!$B$29+'Inputs'!$B$31+'Inputs'!$B$32,'Inputs'!$B$30+'Inputs'!$B$31+'Inputs'!$B$32)/1000+'Inputs'!$B$21+'Inputs'!$B$9+'Inputs'!$B$10))/SQRT((((369-43)*MAX('Inputs'!$B$33,'Inputs'!$B$29+'Inputs'!$B$31+'Inputs'!$B$32,'Inputs'!$B$30+'Inputs'!$B$31+'Inputs'!$B$32)/1000+'Inputs'!$B$21+'Inputs'!$B$9+'Inputs'!$B$10))^2+('Inputs'!$B$6/2)^2))))*'Results'!$B$8))),"")</x:f>
        <x:v>14.656934100319978</x:v>
      </x:c>
      <x:c r="O369" t="n">
        <x:f>IF(AND(ISNUMBER('Results'!C7),ISNUMBER('Results'!B7),ISNUMBER('Results'!$B$8),ISNUMBER('Inputs'!$B$6),ISNUMBER('Inputs'!$B$7),ISNUMBER('Inputs'!$B$8),ISNUMBER('Inputs'!$B$9),ISNUMBER('Inputs'!$B$10),ISNUMBER('Inputs'!$B$21),ISNUMBER('Inputs'!$B$24),ISNUMBER('Inputs'!$B$28)),((('Results'!C7*(1+'Inputs'!$B$24)*(0.5*((((369-43)*MAX('Inputs'!$B$33,'Inputs'!$B$29+'Inputs'!$B$31+'Inputs'!$B$32,'Inputs'!$B$30+'Inputs'!$B$31+'Inputs'!$B$32)/1000+'Inputs'!$B$21)+'Inputs'!$B$9)/SQRT((((369-43)*MAX('Inputs'!$B$33,'Inputs'!$B$29+'Inputs'!$B$31+'Inputs'!$B$32,'Inputs'!$B$30+'Inputs'!$B$31+'Inputs'!$B$32)/1000+'Inputs'!$B$21)+'Inputs'!$B$9)^2+('Inputs'!$B$8/2)^2)-(((369-43)*MAX('Inputs'!$B$33,'Inputs'!$B$29+'Inputs'!$B$31+'Inputs'!$B$32,'Inputs'!$B$30+'Inputs'!$B$31+'Inputs'!$B$32)/1000+'Inputs'!$B$21))/SQRT((((369-43)*MAX('Inputs'!$B$33,'Inputs'!$B$29+'Inputs'!$B$31+'Inputs'!$B$32,'Inputs'!$B$30+'Inputs'!$B$31+'Inputs'!$B$32)/1000+'Inputs'!$B$21))^2+('Inputs'!$B$8/2)^2)))-'Results'!B7*(1-'Inputs'!$B$24)*(0.5*((((369-43)*MAX('Inputs'!$B$33,'Inputs'!$B$29+'Inputs'!$B$31+'Inputs'!$B$32,'Inputs'!$B$30+'Inputs'!$B$31+'Inputs'!$B$32)/1000+'Inputs'!$B$21+'Inputs'!$B$9+'Inputs'!$B$10)+'Inputs'!$B$7)/SQRT((((369-43)*MAX('Inputs'!$B$33,'Inputs'!$B$29+'Inputs'!$B$31+'Inputs'!$B$32,'Inputs'!$B$30+'Inputs'!$B$31+'Inputs'!$B$32)/1000+'Inputs'!$B$21+'Inputs'!$B$9+'Inputs'!$B$10)+'Inputs'!$B$7)^2+('Inputs'!$B$6/2)^2)-(((369-43)*MAX('Inputs'!$B$33,'Inputs'!$B$29+'Inputs'!$B$31+'Inputs'!$B$32,'Inputs'!$B$30+'Inputs'!$B$31+'Inputs'!$B$32)/1000+'Inputs'!$B$21+'Inputs'!$B$9+'Inputs'!$B$10))/SQRT((((369-43)*MAX('Inputs'!$B$33,'Inputs'!$B$29+'Inputs'!$B$31+'Inputs'!$B$32,'Inputs'!$B$30+'Inputs'!$B$31+'Inputs'!$B$32)/1000+'Inputs'!$B$21+'Inputs'!$B$9+'Inputs'!$B$10))^2+('Inputs'!$B$6/2)^2))))*'Results'!$B$8)+'Inputs'!$B$28*ABS((('Results'!C7*(1+'Inputs'!$B$24)*(0.5*((((369-43)*MAX('Inputs'!$B$33,'Inputs'!$B$29+'Inputs'!$B$31+'Inputs'!$B$32,'Inputs'!$B$30+'Inputs'!$B$31+'Inputs'!$B$32)/1000+'Inputs'!$B$21)+'Inputs'!$B$9)/SQRT((((369-43)*MAX('Inputs'!$B$33,'Inputs'!$B$29+'Inputs'!$B$31+'Inputs'!$B$32,'Inputs'!$B$30+'Inputs'!$B$31+'Inputs'!$B$32)/1000+'Inputs'!$B$21)+'Inputs'!$B$9)^2+('Inputs'!$B$8/2)^2)-(((369-43)*MAX('Inputs'!$B$33,'Inputs'!$B$29+'Inputs'!$B$31+'Inputs'!$B$32,'Inputs'!$B$30+'Inputs'!$B$31+'Inputs'!$B$32)/1000+'Inputs'!$B$21))/SQRT((((369-43)*MAX('Inputs'!$B$33,'Inputs'!$B$29+'Inputs'!$B$31+'Inputs'!$B$32,'Inputs'!$B$30+'Inputs'!$B$31+'Inputs'!$B$32)/1000+'Inputs'!$B$21))^2+('Inputs'!$B$8/2)^2)))-'Results'!B7*(1-'Inputs'!$B$24)*(0.5*((((369-43)*MAX('Inputs'!$B$33,'Inputs'!$B$29+'Inputs'!$B$31+'Inputs'!$B$32,'Inputs'!$B$30+'Inputs'!$B$31+'Inputs'!$B$32)/1000+'Inputs'!$B$21+'Inputs'!$B$9+'Inputs'!$B$10)+'Inputs'!$B$7)/SQRT((((369-43)*MAX('Inputs'!$B$33,'Inputs'!$B$29+'Inputs'!$B$31+'Inputs'!$B$32,'Inputs'!$B$30+'Inputs'!$B$31+'Inputs'!$B$32)/1000+'Inputs'!$B$21+'Inputs'!$B$9+'Inputs'!$B$10)+'Inputs'!$B$7)^2+('Inputs'!$B$6/2)^2)-(((369-43)*MAX('Inputs'!$B$33,'Inputs'!$B$29+'Inputs'!$B$31+'Inputs'!$B$32,'Inputs'!$B$30+'Inputs'!$B$31+'Inputs'!$B$32)/1000+'Inputs'!$B$21+'Inputs'!$B$9+'Inputs'!$B$10))/SQRT((((369-43)*MAX('Inputs'!$B$33,'Inputs'!$B$29+'Inputs'!$B$31+'Inputs'!$B$32,'Inputs'!$B$30+'Inputs'!$B$31+'Inputs'!$B$32)/1000+'Inputs'!$B$21+'Inputs'!$B$9+'Inputs'!$B$10))^2+('Inputs'!$B$6/2)^2))))*'Results'!$B$8))),"")</x:f>
        <x:v>17.98248580181316</x:v>
      </x:c>
      <x:c r="P369" t="n">
        <x:f>IF(AND(MAX(J369,J368)&gt;0,J369&gt;J368+0.00000001),1,0)</x:f>
        <x:v>0</x:v>
      </x:c>
      <x:c r="Q369" t="n">
        <x:f>IF(AND(MAX(K369,K368)&gt;0,K369&gt;K368+0.00000001),1,0)</x:f>
        <x:v>0</x:v>
      </x:c>
      <x:c r="R369" t="n">
        <x:f>IF(AND(MAX(L369,L368)&gt;0,L369&gt;L368+0.00000001),1,0)</x:f>
        <x:v>0</x:v>
      </x:c>
      <x:c r="S369" t="n">
        <x:f>IF(AND(MAX(M369,M368)&gt;0,M369&gt;M368+0.00000001),1,0)</x:f>
        <x:v>0</x:v>
      </x:c>
      <x:c r="T369" t="n">
        <x:f>IF(AND(MAX(N369,N368)&gt;0,N369&gt;N368+0.00000001),1,0)</x:f>
        <x:v>0</x:v>
      </x:c>
      <x:c r="U369" t="n">
        <x:f>IF(AND(MAX(O369,O368)&gt;0,O369&gt;O368+0.00000001),1,0)</x:f>
        <x:v>0</x:v>
      </x:c>
    </x:row>
    <x:row r="370">
      <x:c r="J370" t="n">
        <x:f>IF(AND(ISNUMBER('Results'!B7),ISNUMBER('Results'!C7),ISNUMBER('Results'!$B$8),ISNUMBER('Inputs'!$B$6),ISNUMBER('Inputs'!$B$7),ISNUMBER('Inputs'!$B$8),ISNUMBER('Inputs'!$B$9),ISNUMBER('Inputs'!$B$10),ISNUMBER('Inputs'!$B$21),ISNUMBER('Inputs'!$B$24),ISNUMBER('Inputs'!$B$28)),(('Results'!B7*(0.5*((((370-43)*MAX('Inputs'!$B$33,'Inputs'!$B$29+'Inputs'!$B$31+'Inputs'!$B$32,'Inputs'!$B$30+'Inputs'!$B$31+'Inputs'!$B$32)/1000+'Inputs'!$B$21)+'Inputs'!$B$7)/SQRT((((370-43)*MAX('Inputs'!$B$33,'Inputs'!$B$29+'Inputs'!$B$31+'Inputs'!$B$32,'Inputs'!$B$30+'Inputs'!$B$31+'Inputs'!$B$32)/1000+'Inputs'!$B$21)+'Inputs'!$B$7)^2+('Inputs'!$B$6/2)^2)-(((370-43)*MAX('Inputs'!$B$33,'Inputs'!$B$29+'Inputs'!$B$31+'Inputs'!$B$32,'Inputs'!$B$30+'Inputs'!$B$31+'Inputs'!$B$32)/1000+'Inputs'!$B$21))/SQRT((((370-43)*MAX('Inputs'!$B$33,'Inputs'!$B$29+'Inputs'!$B$31+'Inputs'!$B$32,'Inputs'!$B$30+'Inputs'!$B$31+'Inputs'!$B$32)/1000+'Inputs'!$B$21))^2+('Inputs'!$B$6/2)^2)))-'Results'!C7*(0.5*((((370-43)*MAX('Inputs'!$B$33,'Inputs'!$B$29+'Inputs'!$B$31+'Inputs'!$B$32,'Inputs'!$B$30+'Inputs'!$B$31+'Inputs'!$B$32)/1000+'Inputs'!$B$21+'Inputs'!$B$7+'Inputs'!$B$10)+'Inputs'!$B$9)/SQRT((((370-43)*MAX('Inputs'!$B$33,'Inputs'!$B$29+'Inputs'!$B$31+'Inputs'!$B$32,'Inputs'!$B$30+'Inputs'!$B$31+'Inputs'!$B$32)/1000+'Inputs'!$B$21+'Inputs'!$B$7+'Inputs'!$B$10)+'Inputs'!$B$9)^2+('Inputs'!$B$8/2)^2)-(((370-43)*MAX('Inputs'!$B$33,'Inputs'!$B$29+'Inputs'!$B$31+'Inputs'!$B$32,'Inputs'!$B$30+'Inputs'!$B$31+'Inputs'!$B$32)/1000+'Inputs'!$B$21+'Inputs'!$B$7+'Inputs'!$B$10))/SQRT((((370-43)*MAX('Inputs'!$B$33,'Inputs'!$B$29+'Inputs'!$B$31+'Inputs'!$B$32,'Inputs'!$B$30+'Inputs'!$B$31+'Inputs'!$B$32)/1000+'Inputs'!$B$21+'Inputs'!$B$7+'Inputs'!$B$10))^2+('Inputs'!$B$8/2)^2))))*'Results'!$B$8),"")</x:f>
        <x:v>16.97267461264854</x:v>
      </x:c>
      <x:c r="K370" t="n">
        <x:f>IF(AND(ISNUMBER('Results'!B7),ISNUMBER('Results'!C7),ISNUMBER('Results'!$B$8),ISNUMBER('Inputs'!$B$6),ISNUMBER('Inputs'!$B$7),ISNUMBER('Inputs'!$B$8),ISNUMBER('Inputs'!$B$9),ISNUMBER('Inputs'!$B$10),ISNUMBER('Inputs'!$B$21),ISNUMBER('Inputs'!$B$24),ISNUMBER('Inputs'!$B$28)),((('Results'!B7*(1-'Inputs'!$B$24)*(0.5*((((370-43)*MAX('Inputs'!$B$33,'Inputs'!$B$29+'Inputs'!$B$31+'Inputs'!$B$32,'Inputs'!$B$30+'Inputs'!$B$31+'Inputs'!$B$32)/1000+'Inputs'!$B$21)+'Inputs'!$B$7)/SQRT((((370-43)*MAX('Inputs'!$B$33,'Inputs'!$B$29+'Inputs'!$B$31+'Inputs'!$B$32,'Inputs'!$B$30+'Inputs'!$B$31+'Inputs'!$B$32)/1000+'Inputs'!$B$21)+'Inputs'!$B$7)^2+('Inputs'!$B$6/2)^2)-(((370-43)*MAX('Inputs'!$B$33,'Inputs'!$B$29+'Inputs'!$B$31+'Inputs'!$B$32,'Inputs'!$B$30+'Inputs'!$B$31+'Inputs'!$B$32)/1000+'Inputs'!$B$21))/SQRT((((370-43)*MAX('Inputs'!$B$33,'Inputs'!$B$29+'Inputs'!$B$31+'Inputs'!$B$32,'Inputs'!$B$30+'Inputs'!$B$31+'Inputs'!$B$32)/1000+'Inputs'!$B$21))^2+('Inputs'!$B$6/2)^2)))-'Results'!C7*(1+'Inputs'!$B$24)*(0.5*((((370-43)*MAX('Inputs'!$B$33,'Inputs'!$B$29+'Inputs'!$B$31+'Inputs'!$B$32,'Inputs'!$B$30+'Inputs'!$B$31+'Inputs'!$B$32)/1000+'Inputs'!$B$21+'Inputs'!$B$7+'Inputs'!$B$10)+'Inputs'!$B$9)/SQRT((((370-43)*MAX('Inputs'!$B$33,'Inputs'!$B$29+'Inputs'!$B$31+'Inputs'!$B$32,'Inputs'!$B$30+'Inputs'!$B$31+'Inputs'!$B$32)/1000+'Inputs'!$B$21+'Inputs'!$B$7+'Inputs'!$B$10)+'Inputs'!$B$9)^2+('Inputs'!$B$8/2)^2)-(((370-43)*MAX('Inputs'!$B$33,'Inputs'!$B$29+'Inputs'!$B$31+'Inputs'!$B$32,'Inputs'!$B$30+'Inputs'!$B$31+'Inputs'!$B$32)/1000+'Inputs'!$B$21+'Inputs'!$B$7+'Inputs'!$B$10))/SQRT((((370-43)*MAX('Inputs'!$B$33,'Inputs'!$B$29+'Inputs'!$B$31+'Inputs'!$B$32,'Inputs'!$B$30+'Inputs'!$B$31+'Inputs'!$B$32)/1000+'Inputs'!$B$21+'Inputs'!$B$7+'Inputs'!$B$10))^2+('Inputs'!$B$8/2)^2))))*'Results'!$B$8)-'Inputs'!$B$28*ABS((('Results'!B7*(1-'Inputs'!$B$24)*(0.5*((((370-43)*MAX('Inputs'!$B$33,'Inputs'!$B$29+'Inputs'!$B$31+'Inputs'!$B$32,'Inputs'!$B$30+'Inputs'!$B$31+'Inputs'!$B$32)/1000+'Inputs'!$B$21)+'Inputs'!$B$7)/SQRT((((370-43)*MAX('Inputs'!$B$33,'Inputs'!$B$29+'Inputs'!$B$31+'Inputs'!$B$32,'Inputs'!$B$30+'Inputs'!$B$31+'Inputs'!$B$32)/1000+'Inputs'!$B$21)+'Inputs'!$B$7)^2+('Inputs'!$B$6/2)^2)-(((370-43)*MAX('Inputs'!$B$33,'Inputs'!$B$29+'Inputs'!$B$31+'Inputs'!$B$32,'Inputs'!$B$30+'Inputs'!$B$31+'Inputs'!$B$32)/1000+'Inputs'!$B$21))/SQRT((((370-43)*MAX('Inputs'!$B$33,'Inputs'!$B$29+'Inputs'!$B$31+'Inputs'!$B$32,'Inputs'!$B$30+'Inputs'!$B$31+'Inputs'!$B$32)/1000+'Inputs'!$B$21))^2+('Inputs'!$B$6/2)^2)))-'Results'!C7*(1+'Inputs'!$B$24)*(0.5*((((370-43)*MAX('Inputs'!$B$33,'Inputs'!$B$29+'Inputs'!$B$31+'Inputs'!$B$32,'Inputs'!$B$30+'Inputs'!$B$31+'Inputs'!$B$32)/1000+'Inputs'!$B$21+'Inputs'!$B$7+'Inputs'!$B$10)+'Inputs'!$B$9)/SQRT((((370-43)*MAX('Inputs'!$B$33,'Inputs'!$B$29+'Inputs'!$B$31+'Inputs'!$B$32,'Inputs'!$B$30+'Inputs'!$B$31+'Inputs'!$B$32)/1000+'Inputs'!$B$21+'Inputs'!$B$7+'Inputs'!$B$10)+'Inputs'!$B$9)^2+('Inputs'!$B$8/2)^2)-(((370-43)*MAX('Inputs'!$B$33,'Inputs'!$B$29+'Inputs'!$B$31+'Inputs'!$B$32,'Inputs'!$B$30+'Inputs'!$B$31+'Inputs'!$B$32)/1000+'Inputs'!$B$21+'Inputs'!$B$7+'Inputs'!$B$10))/SQRT((((370-43)*MAX('Inputs'!$B$33,'Inputs'!$B$29+'Inputs'!$B$31+'Inputs'!$B$32,'Inputs'!$B$30+'Inputs'!$B$31+'Inputs'!$B$32)/1000+'Inputs'!$B$21+'Inputs'!$B$7+'Inputs'!$B$10))^2+('Inputs'!$B$8/2)^2))))*'Results'!$B$8))),"")</x:f>
        <x:v>15.317381540399495</x:v>
      </x:c>
      <x:c r="L370" t="n">
        <x:f>IF(AND(ISNUMBER('Results'!B7),ISNUMBER('Results'!C7),ISNUMBER('Results'!$B$8),ISNUMBER('Inputs'!$B$6),ISNUMBER('Inputs'!$B$7),ISNUMBER('Inputs'!$B$8),ISNUMBER('Inputs'!$B$9),ISNUMBER('Inputs'!$B$10),ISNUMBER('Inputs'!$B$21),ISNUMBER('Inputs'!$B$24),ISNUMBER('Inputs'!$B$28)),((('Results'!B7*(1+'Inputs'!$B$24)*(0.5*((((370-43)*MAX('Inputs'!$B$33,'Inputs'!$B$29+'Inputs'!$B$31+'Inputs'!$B$32,'Inputs'!$B$30+'Inputs'!$B$31+'Inputs'!$B$32)/1000+'Inputs'!$B$21)+'Inputs'!$B$7)/SQRT((((370-43)*MAX('Inputs'!$B$33,'Inputs'!$B$29+'Inputs'!$B$31+'Inputs'!$B$32,'Inputs'!$B$30+'Inputs'!$B$31+'Inputs'!$B$32)/1000+'Inputs'!$B$21)+'Inputs'!$B$7)^2+('Inputs'!$B$6/2)^2)-(((370-43)*MAX('Inputs'!$B$33,'Inputs'!$B$29+'Inputs'!$B$31+'Inputs'!$B$32,'Inputs'!$B$30+'Inputs'!$B$31+'Inputs'!$B$32)/1000+'Inputs'!$B$21))/SQRT((((370-43)*MAX('Inputs'!$B$33,'Inputs'!$B$29+'Inputs'!$B$31+'Inputs'!$B$32,'Inputs'!$B$30+'Inputs'!$B$31+'Inputs'!$B$32)/1000+'Inputs'!$B$21))^2+('Inputs'!$B$6/2)^2)))-'Results'!C7*(1-'Inputs'!$B$24)*(0.5*((((370-43)*MAX('Inputs'!$B$33,'Inputs'!$B$29+'Inputs'!$B$31+'Inputs'!$B$32,'Inputs'!$B$30+'Inputs'!$B$31+'Inputs'!$B$32)/1000+'Inputs'!$B$21+'Inputs'!$B$7+'Inputs'!$B$10)+'Inputs'!$B$9)/SQRT((((370-43)*MAX('Inputs'!$B$33,'Inputs'!$B$29+'Inputs'!$B$31+'Inputs'!$B$32,'Inputs'!$B$30+'Inputs'!$B$31+'Inputs'!$B$32)/1000+'Inputs'!$B$21+'Inputs'!$B$7+'Inputs'!$B$10)+'Inputs'!$B$9)^2+('Inputs'!$B$8/2)^2)-(((370-43)*MAX('Inputs'!$B$33,'Inputs'!$B$29+'Inputs'!$B$31+'Inputs'!$B$32,'Inputs'!$B$30+'Inputs'!$B$31+'Inputs'!$B$32)/1000+'Inputs'!$B$21+'Inputs'!$B$7+'Inputs'!$B$10))/SQRT((((370-43)*MAX('Inputs'!$B$33,'Inputs'!$B$29+'Inputs'!$B$31+'Inputs'!$B$32,'Inputs'!$B$30+'Inputs'!$B$31+'Inputs'!$B$32)/1000+'Inputs'!$B$21+'Inputs'!$B$7+'Inputs'!$B$10))^2+('Inputs'!$B$8/2)^2))))*'Results'!$B$8)+'Inputs'!$B$28*ABS((('Results'!B7*(1+'Inputs'!$B$24)*(0.5*((((370-43)*MAX('Inputs'!$B$33,'Inputs'!$B$29+'Inputs'!$B$31+'Inputs'!$B$32,'Inputs'!$B$30+'Inputs'!$B$31+'Inputs'!$B$32)/1000+'Inputs'!$B$21)+'Inputs'!$B$7)/SQRT((((370-43)*MAX('Inputs'!$B$33,'Inputs'!$B$29+'Inputs'!$B$31+'Inputs'!$B$32,'Inputs'!$B$30+'Inputs'!$B$31+'Inputs'!$B$32)/1000+'Inputs'!$B$21)+'Inputs'!$B$7)^2+('Inputs'!$B$6/2)^2)-(((370-43)*MAX('Inputs'!$B$33,'Inputs'!$B$29+'Inputs'!$B$31+'Inputs'!$B$32,'Inputs'!$B$30+'Inputs'!$B$31+'Inputs'!$B$32)/1000+'Inputs'!$B$21))/SQRT((((370-43)*MAX('Inputs'!$B$33,'Inputs'!$B$29+'Inputs'!$B$31+'Inputs'!$B$32,'Inputs'!$B$30+'Inputs'!$B$31+'Inputs'!$B$32)/1000+'Inputs'!$B$21))^2+('Inputs'!$B$6/2)^2)))-'Results'!C7*(1-'Inputs'!$B$24)*(0.5*((((370-43)*MAX('Inputs'!$B$33,'Inputs'!$B$29+'Inputs'!$B$31+'Inputs'!$B$32,'Inputs'!$B$30+'Inputs'!$B$31+'Inputs'!$B$32)/1000+'Inputs'!$B$21+'Inputs'!$B$7+'Inputs'!$B$10)+'Inputs'!$B$9)/SQRT((((370-43)*MAX('Inputs'!$B$33,'Inputs'!$B$29+'Inputs'!$B$31+'Inputs'!$B$32,'Inputs'!$B$30+'Inputs'!$B$31+'Inputs'!$B$32)/1000+'Inputs'!$B$21+'Inputs'!$B$7+'Inputs'!$B$10)+'Inputs'!$B$9)^2+('Inputs'!$B$8/2)^2)-(((370-43)*MAX('Inputs'!$B$33,'Inputs'!$B$29+'Inputs'!$B$31+'Inputs'!$B$32,'Inputs'!$B$30+'Inputs'!$B$31+'Inputs'!$B$32)/1000+'Inputs'!$B$21+'Inputs'!$B$7+'Inputs'!$B$10))/SQRT((((370-43)*MAX('Inputs'!$B$33,'Inputs'!$B$29+'Inputs'!$B$31+'Inputs'!$B$32,'Inputs'!$B$30+'Inputs'!$B$31+'Inputs'!$B$32)/1000+'Inputs'!$B$21+'Inputs'!$B$7+'Inputs'!$B$10))^2+('Inputs'!$B$8/2)^2))))*'Results'!$B$8))),"")</x:f>
        <x:v>18.71287919454144</x:v>
      </x:c>
      <x:c r="M370" t="n">
        <x:f>IF(AND(ISNUMBER('Results'!C7),ISNUMBER('Results'!B7),ISNUMBER('Results'!$B$8),ISNUMBER('Inputs'!$B$6),ISNUMBER('Inputs'!$B$7),ISNUMBER('Inputs'!$B$8),ISNUMBER('Inputs'!$B$9),ISNUMBER('Inputs'!$B$10),ISNUMBER('Inputs'!$B$21),ISNUMBER('Inputs'!$B$24),ISNUMBER('Inputs'!$B$28)),(('Results'!C7*(0.5*((((370-43)*MAX('Inputs'!$B$33,'Inputs'!$B$29+'Inputs'!$B$31+'Inputs'!$B$32,'Inputs'!$B$30+'Inputs'!$B$31+'Inputs'!$B$32)/1000+'Inputs'!$B$21)+'Inputs'!$B$9)/SQRT((((370-43)*MAX('Inputs'!$B$33,'Inputs'!$B$29+'Inputs'!$B$31+'Inputs'!$B$32,'Inputs'!$B$30+'Inputs'!$B$31+'Inputs'!$B$32)/1000+'Inputs'!$B$21)+'Inputs'!$B$9)^2+('Inputs'!$B$8/2)^2)-(((370-43)*MAX('Inputs'!$B$33,'Inputs'!$B$29+'Inputs'!$B$31+'Inputs'!$B$32,'Inputs'!$B$30+'Inputs'!$B$31+'Inputs'!$B$32)/1000+'Inputs'!$B$21))/SQRT((((370-43)*MAX('Inputs'!$B$33,'Inputs'!$B$29+'Inputs'!$B$31+'Inputs'!$B$32,'Inputs'!$B$30+'Inputs'!$B$31+'Inputs'!$B$32)/1000+'Inputs'!$B$21))^2+('Inputs'!$B$8/2)^2)))-'Results'!B7*(0.5*((((370-43)*MAX('Inputs'!$B$33,'Inputs'!$B$29+'Inputs'!$B$31+'Inputs'!$B$32,'Inputs'!$B$30+'Inputs'!$B$31+'Inputs'!$B$32)/1000+'Inputs'!$B$21+'Inputs'!$B$9+'Inputs'!$B$10)+'Inputs'!$B$7)/SQRT((((370-43)*MAX('Inputs'!$B$33,'Inputs'!$B$29+'Inputs'!$B$31+'Inputs'!$B$32,'Inputs'!$B$30+'Inputs'!$B$31+'Inputs'!$B$32)/1000+'Inputs'!$B$21+'Inputs'!$B$9+'Inputs'!$B$10)+'Inputs'!$B$7)^2+('Inputs'!$B$6/2)^2)-(((370-43)*MAX('Inputs'!$B$33,'Inputs'!$B$29+'Inputs'!$B$31+'Inputs'!$B$32,'Inputs'!$B$30+'Inputs'!$B$31+'Inputs'!$B$32)/1000+'Inputs'!$B$21+'Inputs'!$B$9+'Inputs'!$B$10))/SQRT((((370-43)*MAX('Inputs'!$B$33,'Inputs'!$B$29+'Inputs'!$B$31+'Inputs'!$B$32,'Inputs'!$B$30+'Inputs'!$B$31+'Inputs'!$B$32)/1000+'Inputs'!$B$21+'Inputs'!$B$9+'Inputs'!$B$10))^2+('Inputs'!$B$6/2)^2))))*'Results'!$B$8),"")</x:f>
        <x:v>16.118358887595857</x:v>
      </x:c>
      <x:c r="N370" t="n">
        <x:f>IF(AND(ISNUMBER('Results'!C7),ISNUMBER('Results'!B7),ISNUMBER('Results'!$B$8),ISNUMBER('Inputs'!$B$6),ISNUMBER('Inputs'!$B$7),ISNUMBER('Inputs'!$B$8),ISNUMBER('Inputs'!$B$9),ISNUMBER('Inputs'!$B$10),ISNUMBER('Inputs'!$B$21),ISNUMBER('Inputs'!$B$24),ISNUMBER('Inputs'!$B$28)),((('Results'!C7*(1-'Inputs'!$B$24)*(0.5*((((370-43)*MAX('Inputs'!$B$33,'Inputs'!$B$29+'Inputs'!$B$31+'Inputs'!$B$32,'Inputs'!$B$30+'Inputs'!$B$31+'Inputs'!$B$32)/1000+'Inputs'!$B$21)+'Inputs'!$B$9)/SQRT((((370-43)*MAX('Inputs'!$B$33,'Inputs'!$B$29+'Inputs'!$B$31+'Inputs'!$B$32,'Inputs'!$B$30+'Inputs'!$B$31+'Inputs'!$B$32)/1000+'Inputs'!$B$21)+'Inputs'!$B$9)^2+('Inputs'!$B$8/2)^2)-(((370-43)*MAX('Inputs'!$B$33,'Inputs'!$B$29+'Inputs'!$B$31+'Inputs'!$B$32,'Inputs'!$B$30+'Inputs'!$B$31+'Inputs'!$B$32)/1000+'Inputs'!$B$21))/SQRT((((370-43)*MAX('Inputs'!$B$33,'Inputs'!$B$29+'Inputs'!$B$31+'Inputs'!$B$32,'Inputs'!$B$30+'Inputs'!$B$31+'Inputs'!$B$32)/1000+'Inputs'!$B$21))^2+('Inputs'!$B$8/2)^2)))-'Results'!B7*(1+'Inputs'!$B$24)*(0.5*((((370-43)*MAX('Inputs'!$B$33,'Inputs'!$B$29+'Inputs'!$B$31+'Inputs'!$B$32,'Inputs'!$B$30+'Inputs'!$B$31+'Inputs'!$B$32)/1000+'Inputs'!$B$21+'Inputs'!$B$9+'Inputs'!$B$10)+'Inputs'!$B$7)/SQRT((((370-43)*MAX('Inputs'!$B$33,'Inputs'!$B$29+'Inputs'!$B$31+'Inputs'!$B$32,'Inputs'!$B$30+'Inputs'!$B$31+'Inputs'!$B$32)/1000+'Inputs'!$B$21+'Inputs'!$B$9+'Inputs'!$B$10)+'Inputs'!$B$7)^2+('Inputs'!$B$6/2)^2)-(((370-43)*MAX('Inputs'!$B$33,'Inputs'!$B$29+'Inputs'!$B$31+'Inputs'!$B$32,'Inputs'!$B$30+'Inputs'!$B$31+'Inputs'!$B$32)/1000+'Inputs'!$B$21+'Inputs'!$B$9+'Inputs'!$B$10))/SQRT((((370-43)*MAX('Inputs'!$B$33,'Inputs'!$B$29+'Inputs'!$B$31+'Inputs'!$B$32,'Inputs'!$B$30+'Inputs'!$B$31+'Inputs'!$B$32)/1000+'Inputs'!$B$21+'Inputs'!$B$9+'Inputs'!$B$10))^2+('Inputs'!$B$6/2)^2))))*'Results'!$B$8)-'Inputs'!$B$28*ABS((('Results'!C7*(1-'Inputs'!$B$24)*(0.5*((((370-43)*MAX('Inputs'!$B$33,'Inputs'!$B$29+'Inputs'!$B$31+'Inputs'!$B$32,'Inputs'!$B$30+'Inputs'!$B$31+'Inputs'!$B$32)/1000+'Inputs'!$B$21)+'Inputs'!$B$9)/SQRT((((370-43)*MAX('Inputs'!$B$33,'Inputs'!$B$29+'Inputs'!$B$31+'Inputs'!$B$32,'Inputs'!$B$30+'Inputs'!$B$31+'Inputs'!$B$32)/1000+'Inputs'!$B$21)+'Inputs'!$B$9)^2+('Inputs'!$B$8/2)^2)-(((370-43)*MAX('Inputs'!$B$33,'Inputs'!$B$29+'Inputs'!$B$31+'Inputs'!$B$32,'Inputs'!$B$30+'Inputs'!$B$31+'Inputs'!$B$32)/1000+'Inputs'!$B$21))/SQRT((((370-43)*MAX('Inputs'!$B$33,'Inputs'!$B$29+'Inputs'!$B$31+'Inputs'!$B$32,'Inputs'!$B$30+'Inputs'!$B$31+'Inputs'!$B$32)/1000+'Inputs'!$B$21))^2+('Inputs'!$B$8/2)^2)))-'Results'!B7*(1+'Inputs'!$B$24)*(0.5*((((370-43)*MAX('Inputs'!$B$33,'Inputs'!$B$29+'Inputs'!$B$31+'Inputs'!$B$32,'Inputs'!$B$30+'Inputs'!$B$31+'Inputs'!$B$32)/1000+'Inputs'!$B$21+'Inputs'!$B$9+'Inputs'!$B$10)+'Inputs'!$B$7)/SQRT((((370-43)*MAX('Inputs'!$B$33,'Inputs'!$B$29+'Inputs'!$B$31+'Inputs'!$B$32,'Inputs'!$B$30+'Inputs'!$B$31+'Inputs'!$B$32)/1000+'Inputs'!$B$21+'Inputs'!$B$9+'Inputs'!$B$10)+'Inputs'!$B$7)^2+('Inputs'!$B$6/2)^2)-(((370-43)*MAX('Inputs'!$B$33,'Inputs'!$B$29+'Inputs'!$B$31+'Inputs'!$B$32,'Inputs'!$B$30+'Inputs'!$B$31+'Inputs'!$B$32)/1000+'Inputs'!$B$21+'Inputs'!$B$9+'Inputs'!$B$10))/SQRT((((370-43)*MAX('Inputs'!$B$33,'Inputs'!$B$29+'Inputs'!$B$31+'Inputs'!$B$32,'Inputs'!$B$30+'Inputs'!$B$31+'Inputs'!$B$32)/1000+'Inputs'!$B$21+'Inputs'!$B$9+'Inputs'!$B$10))^2+('Inputs'!$B$6/2)^2))))*'Results'!$B$8))),"")</x:f>
        <x:v>14.512132406008579</x:v>
      </x:c>
      <x:c r="O370" t="n">
        <x:f>IF(AND(ISNUMBER('Results'!C7),ISNUMBER('Results'!B7),ISNUMBER('Results'!$B$8),ISNUMBER('Inputs'!$B$6),ISNUMBER('Inputs'!$B$7),ISNUMBER('Inputs'!$B$8),ISNUMBER('Inputs'!$B$9),ISNUMBER('Inputs'!$B$10),ISNUMBER('Inputs'!$B$21),ISNUMBER('Inputs'!$B$24),ISNUMBER('Inputs'!$B$28)),((('Results'!C7*(1+'Inputs'!$B$24)*(0.5*((((370-43)*MAX('Inputs'!$B$33,'Inputs'!$B$29+'Inputs'!$B$31+'Inputs'!$B$32,'Inputs'!$B$30+'Inputs'!$B$31+'Inputs'!$B$32)/1000+'Inputs'!$B$21)+'Inputs'!$B$9)/SQRT((((370-43)*MAX('Inputs'!$B$33,'Inputs'!$B$29+'Inputs'!$B$31+'Inputs'!$B$32,'Inputs'!$B$30+'Inputs'!$B$31+'Inputs'!$B$32)/1000+'Inputs'!$B$21)+'Inputs'!$B$9)^2+('Inputs'!$B$8/2)^2)-(((370-43)*MAX('Inputs'!$B$33,'Inputs'!$B$29+'Inputs'!$B$31+'Inputs'!$B$32,'Inputs'!$B$30+'Inputs'!$B$31+'Inputs'!$B$32)/1000+'Inputs'!$B$21))/SQRT((((370-43)*MAX('Inputs'!$B$33,'Inputs'!$B$29+'Inputs'!$B$31+'Inputs'!$B$32,'Inputs'!$B$30+'Inputs'!$B$31+'Inputs'!$B$32)/1000+'Inputs'!$B$21))^2+('Inputs'!$B$8/2)^2)))-'Results'!B7*(1-'Inputs'!$B$24)*(0.5*((((370-43)*MAX('Inputs'!$B$33,'Inputs'!$B$29+'Inputs'!$B$31+'Inputs'!$B$32,'Inputs'!$B$30+'Inputs'!$B$31+'Inputs'!$B$32)/1000+'Inputs'!$B$21+'Inputs'!$B$9+'Inputs'!$B$10)+'Inputs'!$B$7)/SQRT((((370-43)*MAX('Inputs'!$B$33,'Inputs'!$B$29+'Inputs'!$B$31+'Inputs'!$B$32,'Inputs'!$B$30+'Inputs'!$B$31+'Inputs'!$B$32)/1000+'Inputs'!$B$21+'Inputs'!$B$9+'Inputs'!$B$10)+'Inputs'!$B$7)^2+('Inputs'!$B$6/2)^2)-(((370-43)*MAX('Inputs'!$B$33,'Inputs'!$B$29+'Inputs'!$B$31+'Inputs'!$B$32,'Inputs'!$B$30+'Inputs'!$B$31+'Inputs'!$B$32)/1000+'Inputs'!$B$21+'Inputs'!$B$9+'Inputs'!$B$10))/SQRT((((370-43)*MAX('Inputs'!$B$33,'Inputs'!$B$29+'Inputs'!$B$31+'Inputs'!$B$32,'Inputs'!$B$30+'Inputs'!$B$31+'Inputs'!$B$32)/1000+'Inputs'!$B$21+'Inputs'!$B$9+'Inputs'!$B$10))^2+('Inputs'!$B$6/2)^2))))*'Results'!$B$8)+'Inputs'!$B$28*ABS((('Results'!C7*(1+'Inputs'!$B$24)*(0.5*((((370-43)*MAX('Inputs'!$B$33,'Inputs'!$B$29+'Inputs'!$B$31+'Inputs'!$B$32,'Inputs'!$B$30+'Inputs'!$B$31+'Inputs'!$B$32)/1000+'Inputs'!$B$21)+'Inputs'!$B$9)/SQRT((((370-43)*MAX('Inputs'!$B$33,'Inputs'!$B$29+'Inputs'!$B$31+'Inputs'!$B$32,'Inputs'!$B$30+'Inputs'!$B$31+'Inputs'!$B$32)/1000+'Inputs'!$B$21)+'Inputs'!$B$9)^2+('Inputs'!$B$8/2)^2)-(((370-43)*MAX('Inputs'!$B$33,'Inputs'!$B$29+'Inputs'!$B$31+'Inputs'!$B$32,'Inputs'!$B$30+'Inputs'!$B$31+'Inputs'!$B$32)/1000+'Inputs'!$B$21))/SQRT((((370-43)*MAX('Inputs'!$B$33,'Inputs'!$B$29+'Inputs'!$B$31+'Inputs'!$B$32,'Inputs'!$B$30+'Inputs'!$B$31+'Inputs'!$B$32)/1000+'Inputs'!$B$21))^2+('Inputs'!$B$8/2)^2)))-'Results'!B7*(1-'Inputs'!$B$24)*(0.5*((((370-43)*MAX('Inputs'!$B$33,'Inputs'!$B$29+'Inputs'!$B$31+'Inputs'!$B$32,'Inputs'!$B$30+'Inputs'!$B$31+'Inputs'!$B$32)/1000+'Inputs'!$B$21+'Inputs'!$B$9+'Inputs'!$B$10)+'Inputs'!$B$7)/SQRT((((370-43)*MAX('Inputs'!$B$33,'Inputs'!$B$29+'Inputs'!$B$31+'Inputs'!$B$32,'Inputs'!$B$30+'Inputs'!$B$31+'Inputs'!$B$32)/1000+'Inputs'!$B$21+'Inputs'!$B$9+'Inputs'!$B$10)+'Inputs'!$B$7)^2+('Inputs'!$B$6/2)^2)-(((370-43)*MAX('Inputs'!$B$33,'Inputs'!$B$29+'Inputs'!$B$31+'Inputs'!$B$32,'Inputs'!$B$30+'Inputs'!$B$31+'Inputs'!$B$32)/1000+'Inputs'!$B$21+'Inputs'!$B$9+'Inputs'!$B$10))/SQRT((((370-43)*MAX('Inputs'!$B$33,'Inputs'!$B$29+'Inputs'!$B$31+'Inputs'!$B$32,'Inputs'!$B$30+'Inputs'!$B$31+'Inputs'!$B$32)/1000+'Inputs'!$B$21+'Inputs'!$B$9+'Inputs'!$B$10))^2+('Inputs'!$B$6/2)^2))))*'Results'!$B$8))),"")</x:f>
        <x:v>17.808828373099708</x:v>
      </x:c>
      <x:c r="P370" t="n">
        <x:f>IF(AND(MAX(J370,J369)&gt;0,J370&gt;J369+0.00000001),1,0)</x:f>
        <x:v>0</x:v>
      </x:c>
      <x:c r="Q370" t="n">
        <x:f>IF(AND(MAX(K370,K369)&gt;0,K370&gt;K369+0.00000001),1,0)</x:f>
        <x:v>0</x:v>
      </x:c>
      <x:c r="R370" t="n">
        <x:f>IF(AND(MAX(L370,L369)&gt;0,L370&gt;L369+0.00000001),1,0)</x:f>
        <x:v>0</x:v>
      </x:c>
      <x:c r="S370" t="n">
        <x:f>IF(AND(MAX(M370,M369)&gt;0,M370&gt;M369+0.00000001),1,0)</x:f>
        <x:v>0</x:v>
      </x:c>
      <x:c r="T370" t="n">
        <x:f>IF(AND(MAX(N370,N369)&gt;0,N370&gt;N369+0.00000001),1,0)</x:f>
        <x:v>0</x:v>
      </x:c>
      <x:c r="U370" t="n">
        <x:f>IF(AND(MAX(O370,O369)&gt;0,O370&gt;O369+0.00000001),1,0)</x:f>
        <x:v>0</x:v>
      </x:c>
    </x:row>
    <x:row r="371">
      <x:c r="J371" t="n">
        <x:f>IF(AND(ISNUMBER('Results'!B7),ISNUMBER('Results'!C7),ISNUMBER('Results'!$B$8),ISNUMBER('Inputs'!$B$6),ISNUMBER('Inputs'!$B$7),ISNUMBER('Inputs'!$B$8),ISNUMBER('Inputs'!$B$9),ISNUMBER('Inputs'!$B$10),ISNUMBER('Inputs'!$B$21),ISNUMBER('Inputs'!$B$24),ISNUMBER('Inputs'!$B$28)),(('Results'!B7*(0.5*((((371-43)*MAX('Inputs'!$B$33,'Inputs'!$B$29+'Inputs'!$B$31+'Inputs'!$B$32,'Inputs'!$B$30+'Inputs'!$B$31+'Inputs'!$B$32)/1000+'Inputs'!$B$21)+'Inputs'!$B$7)/SQRT((((371-43)*MAX('Inputs'!$B$33,'Inputs'!$B$29+'Inputs'!$B$31+'Inputs'!$B$32,'Inputs'!$B$30+'Inputs'!$B$31+'Inputs'!$B$32)/1000+'Inputs'!$B$21)+'Inputs'!$B$7)^2+('Inputs'!$B$6/2)^2)-(((371-43)*MAX('Inputs'!$B$33,'Inputs'!$B$29+'Inputs'!$B$31+'Inputs'!$B$32,'Inputs'!$B$30+'Inputs'!$B$31+'Inputs'!$B$32)/1000+'Inputs'!$B$21))/SQRT((((371-43)*MAX('Inputs'!$B$33,'Inputs'!$B$29+'Inputs'!$B$31+'Inputs'!$B$32,'Inputs'!$B$30+'Inputs'!$B$31+'Inputs'!$B$32)/1000+'Inputs'!$B$21))^2+('Inputs'!$B$6/2)^2)))-'Results'!C7*(0.5*((((371-43)*MAX('Inputs'!$B$33,'Inputs'!$B$29+'Inputs'!$B$31+'Inputs'!$B$32,'Inputs'!$B$30+'Inputs'!$B$31+'Inputs'!$B$32)/1000+'Inputs'!$B$21+'Inputs'!$B$7+'Inputs'!$B$10)+'Inputs'!$B$9)/SQRT((((371-43)*MAX('Inputs'!$B$33,'Inputs'!$B$29+'Inputs'!$B$31+'Inputs'!$B$32,'Inputs'!$B$30+'Inputs'!$B$31+'Inputs'!$B$32)/1000+'Inputs'!$B$21+'Inputs'!$B$7+'Inputs'!$B$10)+'Inputs'!$B$9)^2+('Inputs'!$B$8/2)^2)-(((371-43)*MAX('Inputs'!$B$33,'Inputs'!$B$29+'Inputs'!$B$31+'Inputs'!$B$32,'Inputs'!$B$30+'Inputs'!$B$31+'Inputs'!$B$32)/1000+'Inputs'!$B$21+'Inputs'!$B$7+'Inputs'!$B$10))/SQRT((((371-43)*MAX('Inputs'!$B$33,'Inputs'!$B$29+'Inputs'!$B$31+'Inputs'!$B$32,'Inputs'!$B$30+'Inputs'!$B$31+'Inputs'!$B$32)/1000+'Inputs'!$B$21+'Inputs'!$B$7+'Inputs'!$B$10))^2+('Inputs'!$B$8/2)^2))))*'Results'!$B$8),"")</x:f>
        <x:v>16.80917499482957</x:v>
      </x:c>
      <x:c r="K371" t="n">
        <x:f>IF(AND(ISNUMBER('Results'!B7),ISNUMBER('Results'!C7),ISNUMBER('Results'!$B$8),ISNUMBER('Inputs'!$B$6),ISNUMBER('Inputs'!$B$7),ISNUMBER('Inputs'!$B$8),ISNUMBER('Inputs'!$B$9),ISNUMBER('Inputs'!$B$10),ISNUMBER('Inputs'!$B$21),ISNUMBER('Inputs'!$B$24),ISNUMBER('Inputs'!$B$28)),((('Results'!B7*(1-'Inputs'!$B$24)*(0.5*((((371-43)*MAX('Inputs'!$B$33,'Inputs'!$B$29+'Inputs'!$B$31+'Inputs'!$B$32,'Inputs'!$B$30+'Inputs'!$B$31+'Inputs'!$B$32)/1000+'Inputs'!$B$21)+'Inputs'!$B$7)/SQRT((((371-43)*MAX('Inputs'!$B$33,'Inputs'!$B$29+'Inputs'!$B$31+'Inputs'!$B$32,'Inputs'!$B$30+'Inputs'!$B$31+'Inputs'!$B$32)/1000+'Inputs'!$B$21)+'Inputs'!$B$7)^2+('Inputs'!$B$6/2)^2)-(((371-43)*MAX('Inputs'!$B$33,'Inputs'!$B$29+'Inputs'!$B$31+'Inputs'!$B$32,'Inputs'!$B$30+'Inputs'!$B$31+'Inputs'!$B$32)/1000+'Inputs'!$B$21))/SQRT((((371-43)*MAX('Inputs'!$B$33,'Inputs'!$B$29+'Inputs'!$B$31+'Inputs'!$B$32,'Inputs'!$B$30+'Inputs'!$B$31+'Inputs'!$B$32)/1000+'Inputs'!$B$21))^2+('Inputs'!$B$6/2)^2)))-'Results'!C7*(1+'Inputs'!$B$24)*(0.5*((((371-43)*MAX('Inputs'!$B$33,'Inputs'!$B$29+'Inputs'!$B$31+'Inputs'!$B$32,'Inputs'!$B$30+'Inputs'!$B$31+'Inputs'!$B$32)/1000+'Inputs'!$B$21+'Inputs'!$B$7+'Inputs'!$B$10)+'Inputs'!$B$9)/SQRT((((371-43)*MAX('Inputs'!$B$33,'Inputs'!$B$29+'Inputs'!$B$31+'Inputs'!$B$32,'Inputs'!$B$30+'Inputs'!$B$31+'Inputs'!$B$32)/1000+'Inputs'!$B$21+'Inputs'!$B$7+'Inputs'!$B$10)+'Inputs'!$B$9)^2+('Inputs'!$B$8/2)^2)-(((371-43)*MAX('Inputs'!$B$33,'Inputs'!$B$29+'Inputs'!$B$31+'Inputs'!$B$32,'Inputs'!$B$30+'Inputs'!$B$31+'Inputs'!$B$32)/1000+'Inputs'!$B$21+'Inputs'!$B$7+'Inputs'!$B$10))/SQRT((((371-43)*MAX('Inputs'!$B$33,'Inputs'!$B$29+'Inputs'!$B$31+'Inputs'!$B$32,'Inputs'!$B$30+'Inputs'!$B$31+'Inputs'!$B$32)/1000+'Inputs'!$B$21+'Inputs'!$B$7+'Inputs'!$B$10))^2+('Inputs'!$B$8/2)^2))))*'Results'!$B$8)-'Inputs'!$B$28*ABS((('Results'!B7*(1-'Inputs'!$B$24)*(0.5*((((371-43)*MAX('Inputs'!$B$33,'Inputs'!$B$29+'Inputs'!$B$31+'Inputs'!$B$32,'Inputs'!$B$30+'Inputs'!$B$31+'Inputs'!$B$32)/1000+'Inputs'!$B$21)+'Inputs'!$B$7)/SQRT((((371-43)*MAX('Inputs'!$B$33,'Inputs'!$B$29+'Inputs'!$B$31+'Inputs'!$B$32,'Inputs'!$B$30+'Inputs'!$B$31+'Inputs'!$B$32)/1000+'Inputs'!$B$21)+'Inputs'!$B$7)^2+('Inputs'!$B$6/2)^2)-(((371-43)*MAX('Inputs'!$B$33,'Inputs'!$B$29+'Inputs'!$B$31+'Inputs'!$B$32,'Inputs'!$B$30+'Inputs'!$B$31+'Inputs'!$B$32)/1000+'Inputs'!$B$21))/SQRT((((371-43)*MAX('Inputs'!$B$33,'Inputs'!$B$29+'Inputs'!$B$31+'Inputs'!$B$32,'Inputs'!$B$30+'Inputs'!$B$31+'Inputs'!$B$32)/1000+'Inputs'!$B$21))^2+('Inputs'!$B$6/2)^2)))-'Results'!C7*(1+'Inputs'!$B$24)*(0.5*((((371-43)*MAX('Inputs'!$B$33,'Inputs'!$B$29+'Inputs'!$B$31+'Inputs'!$B$32,'Inputs'!$B$30+'Inputs'!$B$31+'Inputs'!$B$32)/1000+'Inputs'!$B$21+'Inputs'!$B$7+'Inputs'!$B$10)+'Inputs'!$B$9)/SQRT((((371-43)*MAX('Inputs'!$B$33,'Inputs'!$B$29+'Inputs'!$B$31+'Inputs'!$B$32,'Inputs'!$B$30+'Inputs'!$B$31+'Inputs'!$B$32)/1000+'Inputs'!$B$21+'Inputs'!$B$7+'Inputs'!$B$10)+'Inputs'!$B$9)^2+('Inputs'!$B$8/2)^2)-(((371-43)*MAX('Inputs'!$B$33,'Inputs'!$B$29+'Inputs'!$B$31+'Inputs'!$B$32,'Inputs'!$B$30+'Inputs'!$B$31+'Inputs'!$B$32)/1000+'Inputs'!$B$21+'Inputs'!$B$7+'Inputs'!$B$10))/SQRT((((371-43)*MAX('Inputs'!$B$33,'Inputs'!$B$29+'Inputs'!$B$31+'Inputs'!$B$32,'Inputs'!$B$30+'Inputs'!$B$31+'Inputs'!$B$32)/1000+'Inputs'!$B$21+'Inputs'!$B$7+'Inputs'!$B$10))^2+('Inputs'!$B$8/2)^2))))*'Results'!$B$8))),"")</x:f>
        <x:v>15.168214205684578</x:v>
      </x:c>
      <x:c r="L371" t="n">
        <x:f>IF(AND(ISNUMBER('Results'!B7),ISNUMBER('Results'!C7),ISNUMBER('Results'!$B$8),ISNUMBER('Inputs'!$B$6),ISNUMBER('Inputs'!$B$7),ISNUMBER('Inputs'!$B$8),ISNUMBER('Inputs'!$B$9),ISNUMBER('Inputs'!$B$10),ISNUMBER('Inputs'!$B$21),ISNUMBER('Inputs'!$B$24),ISNUMBER('Inputs'!$B$28)),((('Results'!B7*(1+'Inputs'!$B$24)*(0.5*((((371-43)*MAX('Inputs'!$B$33,'Inputs'!$B$29+'Inputs'!$B$31+'Inputs'!$B$32,'Inputs'!$B$30+'Inputs'!$B$31+'Inputs'!$B$32)/1000+'Inputs'!$B$21)+'Inputs'!$B$7)/SQRT((((371-43)*MAX('Inputs'!$B$33,'Inputs'!$B$29+'Inputs'!$B$31+'Inputs'!$B$32,'Inputs'!$B$30+'Inputs'!$B$31+'Inputs'!$B$32)/1000+'Inputs'!$B$21)+'Inputs'!$B$7)^2+('Inputs'!$B$6/2)^2)-(((371-43)*MAX('Inputs'!$B$33,'Inputs'!$B$29+'Inputs'!$B$31+'Inputs'!$B$32,'Inputs'!$B$30+'Inputs'!$B$31+'Inputs'!$B$32)/1000+'Inputs'!$B$21))/SQRT((((371-43)*MAX('Inputs'!$B$33,'Inputs'!$B$29+'Inputs'!$B$31+'Inputs'!$B$32,'Inputs'!$B$30+'Inputs'!$B$31+'Inputs'!$B$32)/1000+'Inputs'!$B$21))^2+('Inputs'!$B$6/2)^2)))-'Results'!C7*(1-'Inputs'!$B$24)*(0.5*((((371-43)*MAX('Inputs'!$B$33,'Inputs'!$B$29+'Inputs'!$B$31+'Inputs'!$B$32,'Inputs'!$B$30+'Inputs'!$B$31+'Inputs'!$B$32)/1000+'Inputs'!$B$21+'Inputs'!$B$7+'Inputs'!$B$10)+'Inputs'!$B$9)/SQRT((((371-43)*MAX('Inputs'!$B$33,'Inputs'!$B$29+'Inputs'!$B$31+'Inputs'!$B$32,'Inputs'!$B$30+'Inputs'!$B$31+'Inputs'!$B$32)/1000+'Inputs'!$B$21+'Inputs'!$B$7+'Inputs'!$B$10)+'Inputs'!$B$9)^2+('Inputs'!$B$8/2)^2)-(((371-43)*MAX('Inputs'!$B$33,'Inputs'!$B$29+'Inputs'!$B$31+'Inputs'!$B$32,'Inputs'!$B$30+'Inputs'!$B$31+'Inputs'!$B$32)/1000+'Inputs'!$B$21+'Inputs'!$B$7+'Inputs'!$B$10))/SQRT((((371-43)*MAX('Inputs'!$B$33,'Inputs'!$B$29+'Inputs'!$B$31+'Inputs'!$B$32,'Inputs'!$B$30+'Inputs'!$B$31+'Inputs'!$B$32)/1000+'Inputs'!$B$21+'Inputs'!$B$7+'Inputs'!$B$10))^2+('Inputs'!$B$8/2)^2))))*'Results'!$B$8)+'Inputs'!$B$28*ABS((('Results'!B7*(1+'Inputs'!$B$24)*(0.5*((((371-43)*MAX('Inputs'!$B$33,'Inputs'!$B$29+'Inputs'!$B$31+'Inputs'!$B$32,'Inputs'!$B$30+'Inputs'!$B$31+'Inputs'!$B$32)/1000+'Inputs'!$B$21)+'Inputs'!$B$7)/SQRT((((371-43)*MAX('Inputs'!$B$33,'Inputs'!$B$29+'Inputs'!$B$31+'Inputs'!$B$32,'Inputs'!$B$30+'Inputs'!$B$31+'Inputs'!$B$32)/1000+'Inputs'!$B$21)+'Inputs'!$B$7)^2+('Inputs'!$B$6/2)^2)-(((371-43)*MAX('Inputs'!$B$33,'Inputs'!$B$29+'Inputs'!$B$31+'Inputs'!$B$32,'Inputs'!$B$30+'Inputs'!$B$31+'Inputs'!$B$32)/1000+'Inputs'!$B$21))/SQRT((((371-43)*MAX('Inputs'!$B$33,'Inputs'!$B$29+'Inputs'!$B$31+'Inputs'!$B$32,'Inputs'!$B$30+'Inputs'!$B$31+'Inputs'!$B$32)/1000+'Inputs'!$B$21))^2+('Inputs'!$B$6/2)^2)))-'Results'!C7*(1-'Inputs'!$B$24)*(0.5*((((371-43)*MAX('Inputs'!$B$33,'Inputs'!$B$29+'Inputs'!$B$31+'Inputs'!$B$32,'Inputs'!$B$30+'Inputs'!$B$31+'Inputs'!$B$32)/1000+'Inputs'!$B$21+'Inputs'!$B$7+'Inputs'!$B$10)+'Inputs'!$B$9)/SQRT((((371-43)*MAX('Inputs'!$B$33,'Inputs'!$B$29+'Inputs'!$B$31+'Inputs'!$B$32,'Inputs'!$B$30+'Inputs'!$B$31+'Inputs'!$B$32)/1000+'Inputs'!$B$21+'Inputs'!$B$7+'Inputs'!$B$10)+'Inputs'!$B$9)^2+('Inputs'!$B$8/2)^2)-(((371-43)*MAX('Inputs'!$B$33,'Inputs'!$B$29+'Inputs'!$B$31+'Inputs'!$B$32,'Inputs'!$B$30+'Inputs'!$B$31+'Inputs'!$B$32)/1000+'Inputs'!$B$21+'Inputs'!$B$7+'Inputs'!$B$10))/SQRT((((371-43)*MAX('Inputs'!$B$33,'Inputs'!$B$29+'Inputs'!$B$31+'Inputs'!$B$32,'Inputs'!$B$30+'Inputs'!$B$31+'Inputs'!$B$32)/1000+'Inputs'!$B$21+'Inputs'!$B$7+'Inputs'!$B$10))^2+('Inputs'!$B$8/2)^2))))*'Results'!$B$8))),"")</x:f>
        <x:v>18.53439915654335</x:v>
      </x:c>
      <x:c r="M371" t="n">
        <x:f>IF(AND(ISNUMBER('Results'!C7),ISNUMBER('Results'!B7),ISNUMBER('Results'!$B$8),ISNUMBER('Inputs'!$B$6),ISNUMBER('Inputs'!$B$7),ISNUMBER('Inputs'!$B$8),ISNUMBER('Inputs'!$B$9),ISNUMBER('Inputs'!$B$10),ISNUMBER('Inputs'!$B$21),ISNUMBER('Inputs'!$B$24),ISNUMBER('Inputs'!$B$28)),(('Results'!C7*(0.5*((((371-43)*MAX('Inputs'!$B$33,'Inputs'!$B$29+'Inputs'!$B$31+'Inputs'!$B$32,'Inputs'!$B$30+'Inputs'!$B$31+'Inputs'!$B$32)/1000+'Inputs'!$B$21)+'Inputs'!$B$9)/SQRT((((371-43)*MAX('Inputs'!$B$33,'Inputs'!$B$29+'Inputs'!$B$31+'Inputs'!$B$32,'Inputs'!$B$30+'Inputs'!$B$31+'Inputs'!$B$32)/1000+'Inputs'!$B$21)+'Inputs'!$B$9)^2+('Inputs'!$B$8/2)^2)-(((371-43)*MAX('Inputs'!$B$33,'Inputs'!$B$29+'Inputs'!$B$31+'Inputs'!$B$32,'Inputs'!$B$30+'Inputs'!$B$31+'Inputs'!$B$32)/1000+'Inputs'!$B$21))/SQRT((((371-43)*MAX('Inputs'!$B$33,'Inputs'!$B$29+'Inputs'!$B$31+'Inputs'!$B$32,'Inputs'!$B$30+'Inputs'!$B$31+'Inputs'!$B$32)/1000+'Inputs'!$B$21))^2+('Inputs'!$B$8/2)^2)))-'Results'!B7*(0.5*((((371-43)*MAX('Inputs'!$B$33,'Inputs'!$B$29+'Inputs'!$B$31+'Inputs'!$B$32,'Inputs'!$B$30+'Inputs'!$B$31+'Inputs'!$B$32)/1000+'Inputs'!$B$21+'Inputs'!$B$9+'Inputs'!$B$10)+'Inputs'!$B$7)/SQRT((((371-43)*MAX('Inputs'!$B$33,'Inputs'!$B$29+'Inputs'!$B$31+'Inputs'!$B$32,'Inputs'!$B$30+'Inputs'!$B$31+'Inputs'!$B$32)/1000+'Inputs'!$B$21+'Inputs'!$B$9+'Inputs'!$B$10)+'Inputs'!$B$7)^2+('Inputs'!$B$6/2)^2)-(((371-43)*MAX('Inputs'!$B$33,'Inputs'!$B$29+'Inputs'!$B$31+'Inputs'!$B$32,'Inputs'!$B$30+'Inputs'!$B$31+'Inputs'!$B$32)/1000+'Inputs'!$B$21+'Inputs'!$B$9+'Inputs'!$B$10))/SQRT((((371-43)*MAX('Inputs'!$B$33,'Inputs'!$B$29+'Inputs'!$B$31+'Inputs'!$B$32,'Inputs'!$B$30+'Inputs'!$B$31+'Inputs'!$B$32)/1000+'Inputs'!$B$21+'Inputs'!$B$9+'Inputs'!$B$10))^2+('Inputs'!$B$6/2)^2))))*'Results'!$B$8),"")</x:f>
        <x:v>15.961373409694811</x:v>
      </x:c>
      <x:c r="N371" t="n">
        <x:f>IF(AND(ISNUMBER('Results'!C7),ISNUMBER('Results'!B7),ISNUMBER('Results'!$B$8),ISNUMBER('Inputs'!$B$6),ISNUMBER('Inputs'!$B$7),ISNUMBER('Inputs'!$B$8),ISNUMBER('Inputs'!$B$9),ISNUMBER('Inputs'!$B$10),ISNUMBER('Inputs'!$B$21),ISNUMBER('Inputs'!$B$24),ISNUMBER('Inputs'!$B$28)),((('Results'!C7*(1-'Inputs'!$B$24)*(0.5*((((371-43)*MAX('Inputs'!$B$33,'Inputs'!$B$29+'Inputs'!$B$31+'Inputs'!$B$32,'Inputs'!$B$30+'Inputs'!$B$31+'Inputs'!$B$32)/1000+'Inputs'!$B$21)+'Inputs'!$B$9)/SQRT((((371-43)*MAX('Inputs'!$B$33,'Inputs'!$B$29+'Inputs'!$B$31+'Inputs'!$B$32,'Inputs'!$B$30+'Inputs'!$B$31+'Inputs'!$B$32)/1000+'Inputs'!$B$21)+'Inputs'!$B$9)^2+('Inputs'!$B$8/2)^2)-(((371-43)*MAX('Inputs'!$B$33,'Inputs'!$B$29+'Inputs'!$B$31+'Inputs'!$B$32,'Inputs'!$B$30+'Inputs'!$B$31+'Inputs'!$B$32)/1000+'Inputs'!$B$21))/SQRT((((371-43)*MAX('Inputs'!$B$33,'Inputs'!$B$29+'Inputs'!$B$31+'Inputs'!$B$32,'Inputs'!$B$30+'Inputs'!$B$31+'Inputs'!$B$32)/1000+'Inputs'!$B$21))^2+('Inputs'!$B$8/2)^2)))-'Results'!B7*(1+'Inputs'!$B$24)*(0.5*((((371-43)*MAX('Inputs'!$B$33,'Inputs'!$B$29+'Inputs'!$B$31+'Inputs'!$B$32,'Inputs'!$B$30+'Inputs'!$B$31+'Inputs'!$B$32)/1000+'Inputs'!$B$21+'Inputs'!$B$9+'Inputs'!$B$10)+'Inputs'!$B$7)/SQRT((((371-43)*MAX('Inputs'!$B$33,'Inputs'!$B$29+'Inputs'!$B$31+'Inputs'!$B$32,'Inputs'!$B$30+'Inputs'!$B$31+'Inputs'!$B$32)/1000+'Inputs'!$B$21+'Inputs'!$B$9+'Inputs'!$B$10)+'Inputs'!$B$7)^2+('Inputs'!$B$6/2)^2)-(((371-43)*MAX('Inputs'!$B$33,'Inputs'!$B$29+'Inputs'!$B$31+'Inputs'!$B$32,'Inputs'!$B$30+'Inputs'!$B$31+'Inputs'!$B$32)/1000+'Inputs'!$B$21+'Inputs'!$B$9+'Inputs'!$B$10))/SQRT((((371-43)*MAX('Inputs'!$B$33,'Inputs'!$B$29+'Inputs'!$B$31+'Inputs'!$B$32,'Inputs'!$B$30+'Inputs'!$B$31+'Inputs'!$B$32)/1000+'Inputs'!$B$21+'Inputs'!$B$9+'Inputs'!$B$10))^2+('Inputs'!$B$6/2)^2))))*'Results'!$B$8)-'Inputs'!$B$28*ABS((('Results'!C7*(1-'Inputs'!$B$24)*(0.5*((((371-43)*MAX('Inputs'!$B$33,'Inputs'!$B$29+'Inputs'!$B$31+'Inputs'!$B$32,'Inputs'!$B$30+'Inputs'!$B$31+'Inputs'!$B$32)/1000+'Inputs'!$B$21)+'Inputs'!$B$9)/SQRT((((371-43)*MAX('Inputs'!$B$33,'Inputs'!$B$29+'Inputs'!$B$31+'Inputs'!$B$32,'Inputs'!$B$30+'Inputs'!$B$31+'Inputs'!$B$32)/1000+'Inputs'!$B$21)+'Inputs'!$B$9)^2+('Inputs'!$B$8/2)^2)-(((371-43)*MAX('Inputs'!$B$33,'Inputs'!$B$29+'Inputs'!$B$31+'Inputs'!$B$32,'Inputs'!$B$30+'Inputs'!$B$31+'Inputs'!$B$32)/1000+'Inputs'!$B$21))/SQRT((((371-43)*MAX('Inputs'!$B$33,'Inputs'!$B$29+'Inputs'!$B$31+'Inputs'!$B$32,'Inputs'!$B$30+'Inputs'!$B$31+'Inputs'!$B$32)/1000+'Inputs'!$B$21))^2+('Inputs'!$B$8/2)^2)))-'Results'!B7*(1+'Inputs'!$B$24)*(0.5*((((371-43)*MAX('Inputs'!$B$33,'Inputs'!$B$29+'Inputs'!$B$31+'Inputs'!$B$32,'Inputs'!$B$30+'Inputs'!$B$31+'Inputs'!$B$32)/1000+'Inputs'!$B$21+'Inputs'!$B$9+'Inputs'!$B$10)+'Inputs'!$B$7)/SQRT((((371-43)*MAX('Inputs'!$B$33,'Inputs'!$B$29+'Inputs'!$B$31+'Inputs'!$B$32,'Inputs'!$B$30+'Inputs'!$B$31+'Inputs'!$B$32)/1000+'Inputs'!$B$21+'Inputs'!$B$9+'Inputs'!$B$10)+'Inputs'!$B$7)^2+('Inputs'!$B$6/2)^2)-(((371-43)*MAX('Inputs'!$B$33,'Inputs'!$B$29+'Inputs'!$B$31+'Inputs'!$B$32,'Inputs'!$B$30+'Inputs'!$B$31+'Inputs'!$B$32)/1000+'Inputs'!$B$21+'Inputs'!$B$9+'Inputs'!$B$10))/SQRT((((371-43)*MAX('Inputs'!$B$33,'Inputs'!$B$29+'Inputs'!$B$31+'Inputs'!$B$32,'Inputs'!$B$30+'Inputs'!$B$31+'Inputs'!$B$32)/1000+'Inputs'!$B$21+'Inputs'!$B$9+'Inputs'!$B$10))^2+('Inputs'!$B$6/2)^2))))*'Results'!$B$8))),"")</x:f>
        <x:v>14.369091996975108</x:v>
      </x:c>
      <x:c r="O371" t="n">
        <x:f>IF(AND(ISNUMBER('Results'!C7),ISNUMBER('Results'!B7),ISNUMBER('Results'!$B$8),ISNUMBER('Inputs'!$B$6),ISNUMBER('Inputs'!$B$7),ISNUMBER('Inputs'!$B$8),ISNUMBER('Inputs'!$B$9),ISNUMBER('Inputs'!$B$10),ISNUMBER('Inputs'!$B$21),ISNUMBER('Inputs'!$B$24),ISNUMBER('Inputs'!$B$28)),((('Results'!C7*(1+'Inputs'!$B$24)*(0.5*((((371-43)*MAX('Inputs'!$B$33,'Inputs'!$B$29+'Inputs'!$B$31+'Inputs'!$B$32,'Inputs'!$B$30+'Inputs'!$B$31+'Inputs'!$B$32)/1000+'Inputs'!$B$21)+'Inputs'!$B$9)/SQRT((((371-43)*MAX('Inputs'!$B$33,'Inputs'!$B$29+'Inputs'!$B$31+'Inputs'!$B$32,'Inputs'!$B$30+'Inputs'!$B$31+'Inputs'!$B$32)/1000+'Inputs'!$B$21)+'Inputs'!$B$9)^2+('Inputs'!$B$8/2)^2)-(((371-43)*MAX('Inputs'!$B$33,'Inputs'!$B$29+'Inputs'!$B$31+'Inputs'!$B$32,'Inputs'!$B$30+'Inputs'!$B$31+'Inputs'!$B$32)/1000+'Inputs'!$B$21))/SQRT((((371-43)*MAX('Inputs'!$B$33,'Inputs'!$B$29+'Inputs'!$B$31+'Inputs'!$B$32,'Inputs'!$B$30+'Inputs'!$B$31+'Inputs'!$B$32)/1000+'Inputs'!$B$21))^2+('Inputs'!$B$8/2)^2)))-'Results'!B7*(1-'Inputs'!$B$24)*(0.5*((((371-43)*MAX('Inputs'!$B$33,'Inputs'!$B$29+'Inputs'!$B$31+'Inputs'!$B$32,'Inputs'!$B$30+'Inputs'!$B$31+'Inputs'!$B$32)/1000+'Inputs'!$B$21+'Inputs'!$B$9+'Inputs'!$B$10)+'Inputs'!$B$7)/SQRT((((371-43)*MAX('Inputs'!$B$33,'Inputs'!$B$29+'Inputs'!$B$31+'Inputs'!$B$32,'Inputs'!$B$30+'Inputs'!$B$31+'Inputs'!$B$32)/1000+'Inputs'!$B$21+'Inputs'!$B$9+'Inputs'!$B$10)+'Inputs'!$B$7)^2+('Inputs'!$B$6/2)^2)-(((371-43)*MAX('Inputs'!$B$33,'Inputs'!$B$29+'Inputs'!$B$31+'Inputs'!$B$32,'Inputs'!$B$30+'Inputs'!$B$31+'Inputs'!$B$32)/1000+'Inputs'!$B$21+'Inputs'!$B$9+'Inputs'!$B$10))/SQRT((((371-43)*MAX('Inputs'!$B$33,'Inputs'!$B$29+'Inputs'!$B$31+'Inputs'!$B$32,'Inputs'!$B$30+'Inputs'!$B$31+'Inputs'!$B$32)/1000+'Inputs'!$B$21+'Inputs'!$B$9+'Inputs'!$B$10))^2+('Inputs'!$B$6/2)^2))))*'Results'!$B$8)+'Inputs'!$B$28*ABS((('Results'!C7*(1+'Inputs'!$B$24)*(0.5*((((371-43)*MAX('Inputs'!$B$33,'Inputs'!$B$29+'Inputs'!$B$31+'Inputs'!$B$32,'Inputs'!$B$30+'Inputs'!$B$31+'Inputs'!$B$32)/1000+'Inputs'!$B$21)+'Inputs'!$B$9)/SQRT((((371-43)*MAX('Inputs'!$B$33,'Inputs'!$B$29+'Inputs'!$B$31+'Inputs'!$B$32,'Inputs'!$B$30+'Inputs'!$B$31+'Inputs'!$B$32)/1000+'Inputs'!$B$21)+'Inputs'!$B$9)^2+('Inputs'!$B$8/2)^2)-(((371-43)*MAX('Inputs'!$B$33,'Inputs'!$B$29+'Inputs'!$B$31+'Inputs'!$B$32,'Inputs'!$B$30+'Inputs'!$B$31+'Inputs'!$B$32)/1000+'Inputs'!$B$21))/SQRT((((371-43)*MAX('Inputs'!$B$33,'Inputs'!$B$29+'Inputs'!$B$31+'Inputs'!$B$32,'Inputs'!$B$30+'Inputs'!$B$31+'Inputs'!$B$32)/1000+'Inputs'!$B$21))^2+('Inputs'!$B$8/2)^2)))-'Results'!B7*(1-'Inputs'!$B$24)*(0.5*((((371-43)*MAX('Inputs'!$B$33,'Inputs'!$B$29+'Inputs'!$B$31+'Inputs'!$B$32,'Inputs'!$B$30+'Inputs'!$B$31+'Inputs'!$B$32)/1000+'Inputs'!$B$21+'Inputs'!$B$9+'Inputs'!$B$10)+'Inputs'!$B$7)/SQRT((((371-43)*MAX('Inputs'!$B$33,'Inputs'!$B$29+'Inputs'!$B$31+'Inputs'!$B$32,'Inputs'!$B$30+'Inputs'!$B$31+'Inputs'!$B$32)/1000+'Inputs'!$B$21+'Inputs'!$B$9+'Inputs'!$B$10)+'Inputs'!$B$7)^2+('Inputs'!$B$6/2)^2)-(((371-43)*MAX('Inputs'!$B$33,'Inputs'!$B$29+'Inputs'!$B$31+'Inputs'!$B$32,'Inputs'!$B$30+'Inputs'!$B$31+'Inputs'!$B$32)/1000+'Inputs'!$B$21+'Inputs'!$B$9+'Inputs'!$B$10))/SQRT((((371-43)*MAX('Inputs'!$B$33,'Inputs'!$B$29+'Inputs'!$B$31+'Inputs'!$B$32,'Inputs'!$B$30+'Inputs'!$B$31+'Inputs'!$B$32)/1000+'Inputs'!$B$21+'Inputs'!$B$9+'Inputs'!$B$10))^2+('Inputs'!$B$6/2)^2))))*'Results'!$B$8))),"")</x:f>
        <x:v>17.63725616370241</x:v>
      </x:c>
      <x:c r="P371" t="n">
        <x:f>IF(AND(MAX(J371,J370)&gt;0,J371&gt;J370+0.00000001),1,0)</x:f>
        <x:v>0</x:v>
      </x:c>
      <x:c r="Q371" t="n">
        <x:f>IF(AND(MAX(K371,K370)&gt;0,K371&gt;K370+0.00000001),1,0)</x:f>
        <x:v>0</x:v>
      </x:c>
      <x:c r="R371" t="n">
        <x:f>IF(AND(MAX(L371,L370)&gt;0,L371&gt;L370+0.00000001),1,0)</x:f>
        <x:v>0</x:v>
      </x:c>
      <x:c r="S371" t="n">
        <x:f>IF(AND(MAX(M371,M370)&gt;0,M371&gt;M370+0.00000001),1,0)</x:f>
        <x:v>0</x:v>
      </x:c>
      <x:c r="T371" t="n">
        <x:f>IF(AND(MAX(N371,N370)&gt;0,N371&gt;N370+0.00000001),1,0)</x:f>
        <x:v>0</x:v>
      </x:c>
      <x:c r="U371" t="n">
        <x:f>IF(AND(MAX(O371,O370)&gt;0,O371&gt;O370+0.00000001),1,0)</x:f>
        <x:v>0</x:v>
      </x:c>
    </x:row>
    <x:row r="372">
      <x:c r="J372" t="n">
        <x:f>IF(AND(ISNUMBER('Results'!B7),ISNUMBER('Results'!C7),ISNUMBER('Results'!$B$8),ISNUMBER('Inputs'!$B$6),ISNUMBER('Inputs'!$B$7),ISNUMBER('Inputs'!$B$8),ISNUMBER('Inputs'!$B$9),ISNUMBER('Inputs'!$B$10),ISNUMBER('Inputs'!$B$21),ISNUMBER('Inputs'!$B$24),ISNUMBER('Inputs'!$B$28)),(('Results'!B7*(0.5*((((372-43)*MAX('Inputs'!$B$33,'Inputs'!$B$29+'Inputs'!$B$31+'Inputs'!$B$32,'Inputs'!$B$30+'Inputs'!$B$31+'Inputs'!$B$32)/1000+'Inputs'!$B$21)+'Inputs'!$B$7)/SQRT((((372-43)*MAX('Inputs'!$B$33,'Inputs'!$B$29+'Inputs'!$B$31+'Inputs'!$B$32,'Inputs'!$B$30+'Inputs'!$B$31+'Inputs'!$B$32)/1000+'Inputs'!$B$21)+'Inputs'!$B$7)^2+('Inputs'!$B$6/2)^2)-(((372-43)*MAX('Inputs'!$B$33,'Inputs'!$B$29+'Inputs'!$B$31+'Inputs'!$B$32,'Inputs'!$B$30+'Inputs'!$B$31+'Inputs'!$B$32)/1000+'Inputs'!$B$21))/SQRT((((372-43)*MAX('Inputs'!$B$33,'Inputs'!$B$29+'Inputs'!$B$31+'Inputs'!$B$32,'Inputs'!$B$30+'Inputs'!$B$31+'Inputs'!$B$32)/1000+'Inputs'!$B$21))^2+('Inputs'!$B$6/2)^2)))-'Results'!C7*(0.5*((((372-43)*MAX('Inputs'!$B$33,'Inputs'!$B$29+'Inputs'!$B$31+'Inputs'!$B$32,'Inputs'!$B$30+'Inputs'!$B$31+'Inputs'!$B$32)/1000+'Inputs'!$B$21+'Inputs'!$B$7+'Inputs'!$B$10)+'Inputs'!$B$9)/SQRT((((372-43)*MAX('Inputs'!$B$33,'Inputs'!$B$29+'Inputs'!$B$31+'Inputs'!$B$32,'Inputs'!$B$30+'Inputs'!$B$31+'Inputs'!$B$32)/1000+'Inputs'!$B$21+'Inputs'!$B$7+'Inputs'!$B$10)+'Inputs'!$B$9)^2+('Inputs'!$B$8/2)^2)-(((372-43)*MAX('Inputs'!$B$33,'Inputs'!$B$29+'Inputs'!$B$31+'Inputs'!$B$32,'Inputs'!$B$30+'Inputs'!$B$31+'Inputs'!$B$32)/1000+'Inputs'!$B$21+'Inputs'!$B$7+'Inputs'!$B$10))/SQRT((((372-43)*MAX('Inputs'!$B$33,'Inputs'!$B$29+'Inputs'!$B$31+'Inputs'!$B$32,'Inputs'!$B$30+'Inputs'!$B$31+'Inputs'!$B$32)/1000+'Inputs'!$B$21+'Inputs'!$B$7+'Inputs'!$B$10))^2+('Inputs'!$B$8/2)^2))))*'Results'!$B$8),"")</x:f>
        <x:v>16.64763394746118</x:v>
      </x:c>
      <x:c r="K372" t="n">
        <x:f>IF(AND(ISNUMBER('Results'!B7),ISNUMBER('Results'!C7),ISNUMBER('Results'!$B$8),ISNUMBER('Inputs'!$B$6),ISNUMBER('Inputs'!$B$7),ISNUMBER('Inputs'!$B$8),ISNUMBER('Inputs'!$B$9),ISNUMBER('Inputs'!$B$10),ISNUMBER('Inputs'!$B$21),ISNUMBER('Inputs'!$B$24),ISNUMBER('Inputs'!$B$28)),((('Results'!B7*(1-'Inputs'!$B$24)*(0.5*((((372-43)*MAX('Inputs'!$B$33,'Inputs'!$B$29+'Inputs'!$B$31+'Inputs'!$B$32,'Inputs'!$B$30+'Inputs'!$B$31+'Inputs'!$B$32)/1000+'Inputs'!$B$21)+'Inputs'!$B$7)/SQRT((((372-43)*MAX('Inputs'!$B$33,'Inputs'!$B$29+'Inputs'!$B$31+'Inputs'!$B$32,'Inputs'!$B$30+'Inputs'!$B$31+'Inputs'!$B$32)/1000+'Inputs'!$B$21)+'Inputs'!$B$7)^2+('Inputs'!$B$6/2)^2)-(((372-43)*MAX('Inputs'!$B$33,'Inputs'!$B$29+'Inputs'!$B$31+'Inputs'!$B$32,'Inputs'!$B$30+'Inputs'!$B$31+'Inputs'!$B$32)/1000+'Inputs'!$B$21))/SQRT((((372-43)*MAX('Inputs'!$B$33,'Inputs'!$B$29+'Inputs'!$B$31+'Inputs'!$B$32,'Inputs'!$B$30+'Inputs'!$B$31+'Inputs'!$B$32)/1000+'Inputs'!$B$21))^2+('Inputs'!$B$6/2)^2)))-'Results'!C7*(1+'Inputs'!$B$24)*(0.5*((((372-43)*MAX('Inputs'!$B$33,'Inputs'!$B$29+'Inputs'!$B$31+'Inputs'!$B$32,'Inputs'!$B$30+'Inputs'!$B$31+'Inputs'!$B$32)/1000+'Inputs'!$B$21+'Inputs'!$B$7+'Inputs'!$B$10)+'Inputs'!$B$9)/SQRT((((372-43)*MAX('Inputs'!$B$33,'Inputs'!$B$29+'Inputs'!$B$31+'Inputs'!$B$32,'Inputs'!$B$30+'Inputs'!$B$31+'Inputs'!$B$32)/1000+'Inputs'!$B$21+'Inputs'!$B$7+'Inputs'!$B$10)+'Inputs'!$B$9)^2+('Inputs'!$B$8/2)^2)-(((372-43)*MAX('Inputs'!$B$33,'Inputs'!$B$29+'Inputs'!$B$31+'Inputs'!$B$32,'Inputs'!$B$30+'Inputs'!$B$31+'Inputs'!$B$32)/1000+'Inputs'!$B$21+'Inputs'!$B$7+'Inputs'!$B$10))/SQRT((((372-43)*MAX('Inputs'!$B$33,'Inputs'!$B$29+'Inputs'!$B$31+'Inputs'!$B$32,'Inputs'!$B$30+'Inputs'!$B$31+'Inputs'!$B$32)/1000+'Inputs'!$B$21+'Inputs'!$B$7+'Inputs'!$B$10))^2+('Inputs'!$B$8/2)^2))))*'Results'!$B$8)-'Inputs'!$B$28*ABS((('Results'!B7*(1-'Inputs'!$B$24)*(0.5*((((372-43)*MAX('Inputs'!$B$33,'Inputs'!$B$29+'Inputs'!$B$31+'Inputs'!$B$32,'Inputs'!$B$30+'Inputs'!$B$31+'Inputs'!$B$32)/1000+'Inputs'!$B$21)+'Inputs'!$B$7)/SQRT((((372-43)*MAX('Inputs'!$B$33,'Inputs'!$B$29+'Inputs'!$B$31+'Inputs'!$B$32,'Inputs'!$B$30+'Inputs'!$B$31+'Inputs'!$B$32)/1000+'Inputs'!$B$21)+'Inputs'!$B$7)^2+('Inputs'!$B$6/2)^2)-(((372-43)*MAX('Inputs'!$B$33,'Inputs'!$B$29+'Inputs'!$B$31+'Inputs'!$B$32,'Inputs'!$B$30+'Inputs'!$B$31+'Inputs'!$B$32)/1000+'Inputs'!$B$21))/SQRT((((372-43)*MAX('Inputs'!$B$33,'Inputs'!$B$29+'Inputs'!$B$31+'Inputs'!$B$32,'Inputs'!$B$30+'Inputs'!$B$31+'Inputs'!$B$32)/1000+'Inputs'!$B$21))^2+('Inputs'!$B$6/2)^2)))-'Results'!C7*(1+'Inputs'!$B$24)*(0.5*((((372-43)*MAX('Inputs'!$B$33,'Inputs'!$B$29+'Inputs'!$B$31+'Inputs'!$B$32,'Inputs'!$B$30+'Inputs'!$B$31+'Inputs'!$B$32)/1000+'Inputs'!$B$21+'Inputs'!$B$7+'Inputs'!$B$10)+'Inputs'!$B$9)/SQRT((((372-43)*MAX('Inputs'!$B$33,'Inputs'!$B$29+'Inputs'!$B$31+'Inputs'!$B$32,'Inputs'!$B$30+'Inputs'!$B$31+'Inputs'!$B$32)/1000+'Inputs'!$B$21+'Inputs'!$B$7+'Inputs'!$B$10)+'Inputs'!$B$9)^2+('Inputs'!$B$8/2)^2)-(((372-43)*MAX('Inputs'!$B$33,'Inputs'!$B$29+'Inputs'!$B$31+'Inputs'!$B$32,'Inputs'!$B$30+'Inputs'!$B$31+'Inputs'!$B$32)/1000+'Inputs'!$B$21+'Inputs'!$B$7+'Inputs'!$B$10))/SQRT((((372-43)*MAX('Inputs'!$B$33,'Inputs'!$B$29+'Inputs'!$B$31+'Inputs'!$B$32,'Inputs'!$B$30+'Inputs'!$B$31+'Inputs'!$B$32)/1000+'Inputs'!$B$21+'Inputs'!$B$7+'Inputs'!$B$10))^2+('Inputs'!$B$8/2)^2))))*'Results'!$B$8))),"")</x:f>
        <x:v>15.02084489741672</x:v>
      </x:c>
      <x:c r="L372" t="n">
        <x:f>IF(AND(ISNUMBER('Results'!B7),ISNUMBER('Results'!C7),ISNUMBER('Results'!$B$8),ISNUMBER('Inputs'!$B$6),ISNUMBER('Inputs'!$B$7),ISNUMBER('Inputs'!$B$8),ISNUMBER('Inputs'!$B$9),ISNUMBER('Inputs'!$B$10),ISNUMBER('Inputs'!$B$21),ISNUMBER('Inputs'!$B$24),ISNUMBER('Inputs'!$B$28)),((('Results'!B7*(1+'Inputs'!$B$24)*(0.5*((((372-43)*MAX('Inputs'!$B$33,'Inputs'!$B$29+'Inputs'!$B$31+'Inputs'!$B$32,'Inputs'!$B$30+'Inputs'!$B$31+'Inputs'!$B$32)/1000+'Inputs'!$B$21)+'Inputs'!$B$7)/SQRT((((372-43)*MAX('Inputs'!$B$33,'Inputs'!$B$29+'Inputs'!$B$31+'Inputs'!$B$32,'Inputs'!$B$30+'Inputs'!$B$31+'Inputs'!$B$32)/1000+'Inputs'!$B$21)+'Inputs'!$B$7)^2+('Inputs'!$B$6/2)^2)-(((372-43)*MAX('Inputs'!$B$33,'Inputs'!$B$29+'Inputs'!$B$31+'Inputs'!$B$32,'Inputs'!$B$30+'Inputs'!$B$31+'Inputs'!$B$32)/1000+'Inputs'!$B$21))/SQRT((((372-43)*MAX('Inputs'!$B$33,'Inputs'!$B$29+'Inputs'!$B$31+'Inputs'!$B$32,'Inputs'!$B$30+'Inputs'!$B$31+'Inputs'!$B$32)/1000+'Inputs'!$B$21))^2+('Inputs'!$B$6/2)^2)))-'Results'!C7*(1-'Inputs'!$B$24)*(0.5*((((372-43)*MAX('Inputs'!$B$33,'Inputs'!$B$29+'Inputs'!$B$31+'Inputs'!$B$32,'Inputs'!$B$30+'Inputs'!$B$31+'Inputs'!$B$32)/1000+'Inputs'!$B$21+'Inputs'!$B$7+'Inputs'!$B$10)+'Inputs'!$B$9)/SQRT((((372-43)*MAX('Inputs'!$B$33,'Inputs'!$B$29+'Inputs'!$B$31+'Inputs'!$B$32,'Inputs'!$B$30+'Inputs'!$B$31+'Inputs'!$B$32)/1000+'Inputs'!$B$21+'Inputs'!$B$7+'Inputs'!$B$10)+'Inputs'!$B$9)^2+('Inputs'!$B$8/2)^2)-(((372-43)*MAX('Inputs'!$B$33,'Inputs'!$B$29+'Inputs'!$B$31+'Inputs'!$B$32,'Inputs'!$B$30+'Inputs'!$B$31+'Inputs'!$B$32)/1000+'Inputs'!$B$21+'Inputs'!$B$7+'Inputs'!$B$10))/SQRT((((372-43)*MAX('Inputs'!$B$33,'Inputs'!$B$29+'Inputs'!$B$31+'Inputs'!$B$32,'Inputs'!$B$30+'Inputs'!$B$31+'Inputs'!$B$32)/1000+'Inputs'!$B$21+'Inputs'!$B$7+'Inputs'!$B$10))^2+('Inputs'!$B$8/2)^2))))*'Results'!$B$8)+'Inputs'!$B$28*ABS((('Results'!B7*(1+'Inputs'!$B$24)*(0.5*((((372-43)*MAX('Inputs'!$B$33,'Inputs'!$B$29+'Inputs'!$B$31+'Inputs'!$B$32,'Inputs'!$B$30+'Inputs'!$B$31+'Inputs'!$B$32)/1000+'Inputs'!$B$21)+'Inputs'!$B$7)/SQRT((((372-43)*MAX('Inputs'!$B$33,'Inputs'!$B$29+'Inputs'!$B$31+'Inputs'!$B$32,'Inputs'!$B$30+'Inputs'!$B$31+'Inputs'!$B$32)/1000+'Inputs'!$B$21)+'Inputs'!$B$7)^2+('Inputs'!$B$6/2)^2)-(((372-43)*MAX('Inputs'!$B$33,'Inputs'!$B$29+'Inputs'!$B$31+'Inputs'!$B$32,'Inputs'!$B$30+'Inputs'!$B$31+'Inputs'!$B$32)/1000+'Inputs'!$B$21))/SQRT((((372-43)*MAX('Inputs'!$B$33,'Inputs'!$B$29+'Inputs'!$B$31+'Inputs'!$B$32,'Inputs'!$B$30+'Inputs'!$B$31+'Inputs'!$B$32)/1000+'Inputs'!$B$21))^2+('Inputs'!$B$6/2)^2)))-'Results'!C7*(1-'Inputs'!$B$24)*(0.5*((((372-43)*MAX('Inputs'!$B$33,'Inputs'!$B$29+'Inputs'!$B$31+'Inputs'!$B$32,'Inputs'!$B$30+'Inputs'!$B$31+'Inputs'!$B$32)/1000+'Inputs'!$B$21+'Inputs'!$B$7+'Inputs'!$B$10)+'Inputs'!$B$9)/SQRT((((372-43)*MAX('Inputs'!$B$33,'Inputs'!$B$29+'Inputs'!$B$31+'Inputs'!$B$32,'Inputs'!$B$30+'Inputs'!$B$31+'Inputs'!$B$32)/1000+'Inputs'!$B$21+'Inputs'!$B$7+'Inputs'!$B$10)+'Inputs'!$B$9)^2+('Inputs'!$B$8/2)^2)-(((372-43)*MAX('Inputs'!$B$33,'Inputs'!$B$29+'Inputs'!$B$31+'Inputs'!$B$32,'Inputs'!$B$30+'Inputs'!$B$31+'Inputs'!$B$32)/1000+'Inputs'!$B$21+'Inputs'!$B$7+'Inputs'!$B$10))/SQRT((((372-43)*MAX('Inputs'!$B$33,'Inputs'!$B$29+'Inputs'!$B$31+'Inputs'!$B$32,'Inputs'!$B$30+'Inputs'!$B$31+'Inputs'!$B$32)/1000+'Inputs'!$B$21+'Inputs'!$B$7+'Inputs'!$B$10))^2+('Inputs'!$B$8/2)^2))))*'Results'!$B$8))),"")</x:f>
        <x:v>18.35804482410263</x:v>
      </x:c>
      <x:c r="M372" t="n">
        <x:f>IF(AND(ISNUMBER('Results'!C7),ISNUMBER('Results'!B7),ISNUMBER('Results'!$B$8),ISNUMBER('Inputs'!$B$6),ISNUMBER('Inputs'!$B$7),ISNUMBER('Inputs'!$B$8),ISNUMBER('Inputs'!$B$9),ISNUMBER('Inputs'!$B$10),ISNUMBER('Inputs'!$B$21),ISNUMBER('Inputs'!$B$24),ISNUMBER('Inputs'!$B$28)),(('Results'!C7*(0.5*((((372-43)*MAX('Inputs'!$B$33,'Inputs'!$B$29+'Inputs'!$B$31+'Inputs'!$B$32,'Inputs'!$B$30+'Inputs'!$B$31+'Inputs'!$B$32)/1000+'Inputs'!$B$21)+'Inputs'!$B$9)/SQRT((((372-43)*MAX('Inputs'!$B$33,'Inputs'!$B$29+'Inputs'!$B$31+'Inputs'!$B$32,'Inputs'!$B$30+'Inputs'!$B$31+'Inputs'!$B$32)/1000+'Inputs'!$B$21)+'Inputs'!$B$9)^2+('Inputs'!$B$8/2)^2)-(((372-43)*MAX('Inputs'!$B$33,'Inputs'!$B$29+'Inputs'!$B$31+'Inputs'!$B$32,'Inputs'!$B$30+'Inputs'!$B$31+'Inputs'!$B$32)/1000+'Inputs'!$B$21))/SQRT((((372-43)*MAX('Inputs'!$B$33,'Inputs'!$B$29+'Inputs'!$B$31+'Inputs'!$B$32,'Inputs'!$B$30+'Inputs'!$B$31+'Inputs'!$B$32)/1000+'Inputs'!$B$21))^2+('Inputs'!$B$8/2)^2)))-'Results'!B7*(0.5*((((372-43)*MAX('Inputs'!$B$33,'Inputs'!$B$29+'Inputs'!$B$31+'Inputs'!$B$32,'Inputs'!$B$30+'Inputs'!$B$31+'Inputs'!$B$32)/1000+'Inputs'!$B$21+'Inputs'!$B$9+'Inputs'!$B$10)+'Inputs'!$B$7)/SQRT((((372-43)*MAX('Inputs'!$B$33,'Inputs'!$B$29+'Inputs'!$B$31+'Inputs'!$B$32,'Inputs'!$B$30+'Inputs'!$B$31+'Inputs'!$B$32)/1000+'Inputs'!$B$21+'Inputs'!$B$9+'Inputs'!$B$10)+'Inputs'!$B$7)^2+('Inputs'!$B$6/2)^2)-(((372-43)*MAX('Inputs'!$B$33,'Inputs'!$B$29+'Inputs'!$B$31+'Inputs'!$B$32,'Inputs'!$B$30+'Inputs'!$B$31+'Inputs'!$B$32)/1000+'Inputs'!$B$21+'Inputs'!$B$9+'Inputs'!$B$10))/SQRT((((372-43)*MAX('Inputs'!$B$33,'Inputs'!$B$29+'Inputs'!$B$31+'Inputs'!$B$32,'Inputs'!$B$30+'Inputs'!$B$31+'Inputs'!$B$32)/1000+'Inputs'!$B$21+'Inputs'!$B$9+'Inputs'!$B$10))^2+('Inputs'!$B$6/2)^2))))*'Results'!$B$8),"")</x:f>
        <x:v>15.806280318358423</x:v>
      </x:c>
      <x:c r="N372" t="n">
        <x:f>IF(AND(ISNUMBER('Results'!C7),ISNUMBER('Results'!B7),ISNUMBER('Results'!$B$8),ISNUMBER('Inputs'!$B$6),ISNUMBER('Inputs'!$B$7),ISNUMBER('Inputs'!$B$8),ISNUMBER('Inputs'!$B$9),ISNUMBER('Inputs'!$B$10),ISNUMBER('Inputs'!$B$21),ISNUMBER('Inputs'!$B$24),ISNUMBER('Inputs'!$B$28)),((('Results'!C7*(1-'Inputs'!$B$24)*(0.5*((((372-43)*MAX('Inputs'!$B$33,'Inputs'!$B$29+'Inputs'!$B$31+'Inputs'!$B$32,'Inputs'!$B$30+'Inputs'!$B$31+'Inputs'!$B$32)/1000+'Inputs'!$B$21)+'Inputs'!$B$9)/SQRT((((372-43)*MAX('Inputs'!$B$33,'Inputs'!$B$29+'Inputs'!$B$31+'Inputs'!$B$32,'Inputs'!$B$30+'Inputs'!$B$31+'Inputs'!$B$32)/1000+'Inputs'!$B$21)+'Inputs'!$B$9)^2+('Inputs'!$B$8/2)^2)-(((372-43)*MAX('Inputs'!$B$33,'Inputs'!$B$29+'Inputs'!$B$31+'Inputs'!$B$32,'Inputs'!$B$30+'Inputs'!$B$31+'Inputs'!$B$32)/1000+'Inputs'!$B$21))/SQRT((((372-43)*MAX('Inputs'!$B$33,'Inputs'!$B$29+'Inputs'!$B$31+'Inputs'!$B$32,'Inputs'!$B$30+'Inputs'!$B$31+'Inputs'!$B$32)/1000+'Inputs'!$B$21))^2+('Inputs'!$B$8/2)^2)))-'Results'!B7*(1+'Inputs'!$B$24)*(0.5*((((372-43)*MAX('Inputs'!$B$33,'Inputs'!$B$29+'Inputs'!$B$31+'Inputs'!$B$32,'Inputs'!$B$30+'Inputs'!$B$31+'Inputs'!$B$32)/1000+'Inputs'!$B$21+'Inputs'!$B$9+'Inputs'!$B$10)+'Inputs'!$B$7)/SQRT((((372-43)*MAX('Inputs'!$B$33,'Inputs'!$B$29+'Inputs'!$B$31+'Inputs'!$B$32,'Inputs'!$B$30+'Inputs'!$B$31+'Inputs'!$B$32)/1000+'Inputs'!$B$21+'Inputs'!$B$9+'Inputs'!$B$10)+'Inputs'!$B$7)^2+('Inputs'!$B$6/2)^2)-(((372-43)*MAX('Inputs'!$B$33,'Inputs'!$B$29+'Inputs'!$B$31+'Inputs'!$B$32,'Inputs'!$B$30+'Inputs'!$B$31+'Inputs'!$B$32)/1000+'Inputs'!$B$21+'Inputs'!$B$9+'Inputs'!$B$10))/SQRT((((372-43)*MAX('Inputs'!$B$33,'Inputs'!$B$29+'Inputs'!$B$31+'Inputs'!$B$32,'Inputs'!$B$30+'Inputs'!$B$31+'Inputs'!$B$32)/1000+'Inputs'!$B$21+'Inputs'!$B$9+'Inputs'!$B$10))^2+('Inputs'!$B$6/2)^2))))*'Results'!$B$8)-'Inputs'!$B$28*ABS((('Results'!C7*(1-'Inputs'!$B$24)*(0.5*((((372-43)*MAX('Inputs'!$B$33,'Inputs'!$B$29+'Inputs'!$B$31+'Inputs'!$B$32,'Inputs'!$B$30+'Inputs'!$B$31+'Inputs'!$B$32)/1000+'Inputs'!$B$21)+'Inputs'!$B$9)/SQRT((((372-43)*MAX('Inputs'!$B$33,'Inputs'!$B$29+'Inputs'!$B$31+'Inputs'!$B$32,'Inputs'!$B$30+'Inputs'!$B$31+'Inputs'!$B$32)/1000+'Inputs'!$B$21)+'Inputs'!$B$9)^2+('Inputs'!$B$8/2)^2)-(((372-43)*MAX('Inputs'!$B$33,'Inputs'!$B$29+'Inputs'!$B$31+'Inputs'!$B$32,'Inputs'!$B$30+'Inputs'!$B$31+'Inputs'!$B$32)/1000+'Inputs'!$B$21))/SQRT((((372-43)*MAX('Inputs'!$B$33,'Inputs'!$B$29+'Inputs'!$B$31+'Inputs'!$B$32,'Inputs'!$B$30+'Inputs'!$B$31+'Inputs'!$B$32)/1000+'Inputs'!$B$21))^2+('Inputs'!$B$8/2)^2)))-'Results'!B7*(1+'Inputs'!$B$24)*(0.5*((((372-43)*MAX('Inputs'!$B$33,'Inputs'!$B$29+'Inputs'!$B$31+'Inputs'!$B$32,'Inputs'!$B$30+'Inputs'!$B$31+'Inputs'!$B$32)/1000+'Inputs'!$B$21+'Inputs'!$B$9+'Inputs'!$B$10)+'Inputs'!$B$7)/SQRT((((372-43)*MAX('Inputs'!$B$33,'Inputs'!$B$29+'Inputs'!$B$31+'Inputs'!$B$32,'Inputs'!$B$30+'Inputs'!$B$31+'Inputs'!$B$32)/1000+'Inputs'!$B$21+'Inputs'!$B$9+'Inputs'!$B$10)+'Inputs'!$B$7)^2+('Inputs'!$B$6/2)^2)-(((372-43)*MAX('Inputs'!$B$33,'Inputs'!$B$29+'Inputs'!$B$31+'Inputs'!$B$32,'Inputs'!$B$30+'Inputs'!$B$31+'Inputs'!$B$32)/1000+'Inputs'!$B$21+'Inputs'!$B$9+'Inputs'!$B$10))/SQRT((((372-43)*MAX('Inputs'!$B$33,'Inputs'!$B$29+'Inputs'!$B$31+'Inputs'!$B$32,'Inputs'!$B$30+'Inputs'!$B$31+'Inputs'!$B$32)/1000+'Inputs'!$B$21+'Inputs'!$B$9+'Inputs'!$B$10))^2+('Inputs'!$B$6/2)^2))))*'Results'!$B$8))),"")</x:f>
        <x:v>14.22778747876961</x:v>
      </x:c>
      <x:c r="O372" t="n">
        <x:f>IF(AND(ISNUMBER('Results'!C7),ISNUMBER('Results'!B7),ISNUMBER('Results'!$B$8),ISNUMBER('Inputs'!$B$6),ISNUMBER('Inputs'!$B$7),ISNUMBER('Inputs'!$B$8),ISNUMBER('Inputs'!$B$9),ISNUMBER('Inputs'!$B$10),ISNUMBER('Inputs'!$B$21),ISNUMBER('Inputs'!$B$24),ISNUMBER('Inputs'!$B$28)),((('Results'!C7*(1+'Inputs'!$B$24)*(0.5*((((372-43)*MAX('Inputs'!$B$33,'Inputs'!$B$29+'Inputs'!$B$31+'Inputs'!$B$32,'Inputs'!$B$30+'Inputs'!$B$31+'Inputs'!$B$32)/1000+'Inputs'!$B$21)+'Inputs'!$B$9)/SQRT((((372-43)*MAX('Inputs'!$B$33,'Inputs'!$B$29+'Inputs'!$B$31+'Inputs'!$B$32,'Inputs'!$B$30+'Inputs'!$B$31+'Inputs'!$B$32)/1000+'Inputs'!$B$21)+'Inputs'!$B$9)^2+('Inputs'!$B$8/2)^2)-(((372-43)*MAX('Inputs'!$B$33,'Inputs'!$B$29+'Inputs'!$B$31+'Inputs'!$B$32,'Inputs'!$B$30+'Inputs'!$B$31+'Inputs'!$B$32)/1000+'Inputs'!$B$21))/SQRT((((372-43)*MAX('Inputs'!$B$33,'Inputs'!$B$29+'Inputs'!$B$31+'Inputs'!$B$32,'Inputs'!$B$30+'Inputs'!$B$31+'Inputs'!$B$32)/1000+'Inputs'!$B$21))^2+('Inputs'!$B$8/2)^2)))-'Results'!B7*(1-'Inputs'!$B$24)*(0.5*((((372-43)*MAX('Inputs'!$B$33,'Inputs'!$B$29+'Inputs'!$B$31+'Inputs'!$B$32,'Inputs'!$B$30+'Inputs'!$B$31+'Inputs'!$B$32)/1000+'Inputs'!$B$21+'Inputs'!$B$9+'Inputs'!$B$10)+'Inputs'!$B$7)/SQRT((((372-43)*MAX('Inputs'!$B$33,'Inputs'!$B$29+'Inputs'!$B$31+'Inputs'!$B$32,'Inputs'!$B$30+'Inputs'!$B$31+'Inputs'!$B$32)/1000+'Inputs'!$B$21+'Inputs'!$B$9+'Inputs'!$B$10)+'Inputs'!$B$7)^2+('Inputs'!$B$6/2)^2)-(((372-43)*MAX('Inputs'!$B$33,'Inputs'!$B$29+'Inputs'!$B$31+'Inputs'!$B$32,'Inputs'!$B$30+'Inputs'!$B$31+'Inputs'!$B$32)/1000+'Inputs'!$B$21+'Inputs'!$B$9+'Inputs'!$B$10))/SQRT((((372-43)*MAX('Inputs'!$B$33,'Inputs'!$B$29+'Inputs'!$B$31+'Inputs'!$B$32,'Inputs'!$B$30+'Inputs'!$B$31+'Inputs'!$B$32)/1000+'Inputs'!$B$21+'Inputs'!$B$9+'Inputs'!$B$10))^2+('Inputs'!$B$6/2)^2))))*'Results'!$B$8)+'Inputs'!$B$28*ABS((('Results'!C7*(1+'Inputs'!$B$24)*(0.5*((((372-43)*MAX('Inputs'!$B$33,'Inputs'!$B$29+'Inputs'!$B$31+'Inputs'!$B$32,'Inputs'!$B$30+'Inputs'!$B$31+'Inputs'!$B$32)/1000+'Inputs'!$B$21)+'Inputs'!$B$9)/SQRT((((372-43)*MAX('Inputs'!$B$33,'Inputs'!$B$29+'Inputs'!$B$31+'Inputs'!$B$32,'Inputs'!$B$30+'Inputs'!$B$31+'Inputs'!$B$32)/1000+'Inputs'!$B$21)+'Inputs'!$B$9)^2+('Inputs'!$B$8/2)^2)-(((372-43)*MAX('Inputs'!$B$33,'Inputs'!$B$29+'Inputs'!$B$31+'Inputs'!$B$32,'Inputs'!$B$30+'Inputs'!$B$31+'Inputs'!$B$32)/1000+'Inputs'!$B$21))/SQRT((((372-43)*MAX('Inputs'!$B$33,'Inputs'!$B$29+'Inputs'!$B$31+'Inputs'!$B$32,'Inputs'!$B$30+'Inputs'!$B$31+'Inputs'!$B$32)/1000+'Inputs'!$B$21))^2+('Inputs'!$B$8/2)^2)))-'Results'!B7*(1-'Inputs'!$B$24)*(0.5*((((372-43)*MAX('Inputs'!$B$33,'Inputs'!$B$29+'Inputs'!$B$31+'Inputs'!$B$32,'Inputs'!$B$30+'Inputs'!$B$31+'Inputs'!$B$32)/1000+'Inputs'!$B$21+'Inputs'!$B$9+'Inputs'!$B$10)+'Inputs'!$B$7)/SQRT((((372-43)*MAX('Inputs'!$B$33,'Inputs'!$B$29+'Inputs'!$B$31+'Inputs'!$B$32,'Inputs'!$B$30+'Inputs'!$B$31+'Inputs'!$B$32)/1000+'Inputs'!$B$21+'Inputs'!$B$9+'Inputs'!$B$10)+'Inputs'!$B$7)^2+('Inputs'!$B$6/2)^2)-(((372-43)*MAX('Inputs'!$B$33,'Inputs'!$B$29+'Inputs'!$B$31+'Inputs'!$B$32,'Inputs'!$B$30+'Inputs'!$B$31+'Inputs'!$B$32)/1000+'Inputs'!$B$21+'Inputs'!$B$9+'Inputs'!$B$10))/SQRT((((372-43)*MAX('Inputs'!$B$33,'Inputs'!$B$29+'Inputs'!$B$31+'Inputs'!$B$32,'Inputs'!$B$30+'Inputs'!$B$31+'Inputs'!$B$32)/1000+'Inputs'!$B$21+'Inputs'!$B$9+'Inputs'!$B$10))^2+('Inputs'!$B$6/2)^2))))*'Results'!$B$8))),"")</x:f>
        <x:v>17.467739349912595</x:v>
      </x:c>
      <x:c r="P372" t="n">
        <x:f>IF(AND(MAX(J372,J371)&gt;0,J372&gt;J371+0.00000001),1,0)</x:f>
        <x:v>0</x:v>
      </x:c>
      <x:c r="Q372" t="n">
        <x:f>IF(AND(MAX(K372,K371)&gt;0,K372&gt;K371+0.00000001),1,0)</x:f>
        <x:v>0</x:v>
      </x:c>
      <x:c r="R372" t="n">
        <x:f>IF(AND(MAX(L372,L371)&gt;0,L372&gt;L371+0.00000001),1,0)</x:f>
        <x:v>0</x:v>
      </x:c>
      <x:c r="S372" t="n">
        <x:f>IF(AND(MAX(M372,M371)&gt;0,M372&gt;M371+0.00000001),1,0)</x:f>
        <x:v>0</x:v>
      </x:c>
      <x:c r="T372" t="n">
        <x:f>IF(AND(MAX(N372,N371)&gt;0,N372&gt;N371+0.00000001),1,0)</x:f>
        <x:v>0</x:v>
      </x:c>
      <x:c r="U372" t="n">
        <x:f>IF(AND(MAX(O372,O371)&gt;0,O372&gt;O371+0.00000001),1,0)</x:f>
        <x:v>0</x:v>
      </x:c>
    </x:row>
    <x:row r="373">
      <x:c r="J373" t="n">
        <x:f>IF(AND(ISNUMBER('Results'!B7),ISNUMBER('Results'!C7),ISNUMBER('Results'!$B$8),ISNUMBER('Inputs'!$B$6),ISNUMBER('Inputs'!$B$7),ISNUMBER('Inputs'!$B$8),ISNUMBER('Inputs'!$B$9),ISNUMBER('Inputs'!$B$10),ISNUMBER('Inputs'!$B$21),ISNUMBER('Inputs'!$B$24),ISNUMBER('Inputs'!$B$28)),(('Results'!B7*(0.5*((((373-43)*MAX('Inputs'!$B$33,'Inputs'!$B$29+'Inputs'!$B$31+'Inputs'!$B$32,'Inputs'!$B$30+'Inputs'!$B$31+'Inputs'!$B$32)/1000+'Inputs'!$B$21)+'Inputs'!$B$7)/SQRT((((373-43)*MAX('Inputs'!$B$33,'Inputs'!$B$29+'Inputs'!$B$31+'Inputs'!$B$32,'Inputs'!$B$30+'Inputs'!$B$31+'Inputs'!$B$32)/1000+'Inputs'!$B$21)+'Inputs'!$B$7)^2+('Inputs'!$B$6/2)^2)-(((373-43)*MAX('Inputs'!$B$33,'Inputs'!$B$29+'Inputs'!$B$31+'Inputs'!$B$32,'Inputs'!$B$30+'Inputs'!$B$31+'Inputs'!$B$32)/1000+'Inputs'!$B$21))/SQRT((((373-43)*MAX('Inputs'!$B$33,'Inputs'!$B$29+'Inputs'!$B$31+'Inputs'!$B$32,'Inputs'!$B$30+'Inputs'!$B$31+'Inputs'!$B$32)/1000+'Inputs'!$B$21))^2+('Inputs'!$B$6/2)^2)))-'Results'!C7*(0.5*((((373-43)*MAX('Inputs'!$B$33,'Inputs'!$B$29+'Inputs'!$B$31+'Inputs'!$B$32,'Inputs'!$B$30+'Inputs'!$B$31+'Inputs'!$B$32)/1000+'Inputs'!$B$21+'Inputs'!$B$7+'Inputs'!$B$10)+'Inputs'!$B$9)/SQRT((((373-43)*MAX('Inputs'!$B$33,'Inputs'!$B$29+'Inputs'!$B$31+'Inputs'!$B$32,'Inputs'!$B$30+'Inputs'!$B$31+'Inputs'!$B$32)/1000+'Inputs'!$B$21+'Inputs'!$B$7+'Inputs'!$B$10)+'Inputs'!$B$9)^2+('Inputs'!$B$8/2)^2)-(((373-43)*MAX('Inputs'!$B$33,'Inputs'!$B$29+'Inputs'!$B$31+'Inputs'!$B$32,'Inputs'!$B$30+'Inputs'!$B$31+'Inputs'!$B$32)/1000+'Inputs'!$B$21+'Inputs'!$B$7+'Inputs'!$B$10))/SQRT((((373-43)*MAX('Inputs'!$B$33,'Inputs'!$B$29+'Inputs'!$B$31+'Inputs'!$B$32,'Inputs'!$B$30+'Inputs'!$B$31+'Inputs'!$B$32)/1000+'Inputs'!$B$21+'Inputs'!$B$7+'Inputs'!$B$10))^2+('Inputs'!$B$8/2)^2))))*'Results'!$B$8),"")</x:f>
        <x:v>16.488023522695354</x:v>
      </x:c>
      <x:c r="K373" t="n">
        <x:f>IF(AND(ISNUMBER('Results'!B7),ISNUMBER('Results'!C7),ISNUMBER('Results'!$B$8),ISNUMBER('Inputs'!$B$6),ISNUMBER('Inputs'!$B$7),ISNUMBER('Inputs'!$B$8),ISNUMBER('Inputs'!$B$9),ISNUMBER('Inputs'!$B$10),ISNUMBER('Inputs'!$B$21),ISNUMBER('Inputs'!$B$24),ISNUMBER('Inputs'!$B$28)),((('Results'!B7*(1-'Inputs'!$B$24)*(0.5*((((373-43)*MAX('Inputs'!$B$33,'Inputs'!$B$29+'Inputs'!$B$31+'Inputs'!$B$32,'Inputs'!$B$30+'Inputs'!$B$31+'Inputs'!$B$32)/1000+'Inputs'!$B$21)+'Inputs'!$B$7)/SQRT((((373-43)*MAX('Inputs'!$B$33,'Inputs'!$B$29+'Inputs'!$B$31+'Inputs'!$B$32,'Inputs'!$B$30+'Inputs'!$B$31+'Inputs'!$B$32)/1000+'Inputs'!$B$21)+'Inputs'!$B$7)^2+('Inputs'!$B$6/2)^2)-(((373-43)*MAX('Inputs'!$B$33,'Inputs'!$B$29+'Inputs'!$B$31+'Inputs'!$B$32,'Inputs'!$B$30+'Inputs'!$B$31+'Inputs'!$B$32)/1000+'Inputs'!$B$21))/SQRT((((373-43)*MAX('Inputs'!$B$33,'Inputs'!$B$29+'Inputs'!$B$31+'Inputs'!$B$32,'Inputs'!$B$30+'Inputs'!$B$31+'Inputs'!$B$32)/1000+'Inputs'!$B$21))^2+('Inputs'!$B$6/2)^2)))-'Results'!C7*(1+'Inputs'!$B$24)*(0.5*((((373-43)*MAX('Inputs'!$B$33,'Inputs'!$B$29+'Inputs'!$B$31+'Inputs'!$B$32,'Inputs'!$B$30+'Inputs'!$B$31+'Inputs'!$B$32)/1000+'Inputs'!$B$21+'Inputs'!$B$7+'Inputs'!$B$10)+'Inputs'!$B$9)/SQRT((((373-43)*MAX('Inputs'!$B$33,'Inputs'!$B$29+'Inputs'!$B$31+'Inputs'!$B$32,'Inputs'!$B$30+'Inputs'!$B$31+'Inputs'!$B$32)/1000+'Inputs'!$B$21+'Inputs'!$B$7+'Inputs'!$B$10)+'Inputs'!$B$9)^2+('Inputs'!$B$8/2)^2)-(((373-43)*MAX('Inputs'!$B$33,'Inputs'!$B$29+'Inputs'!$B$31+'Inputs'!$B$32,'Inputs'!$B$30+'Inputs'!$B$31+'Inputs'!$B$32)/1000+'Inputs'!$B$21+'Inputs'!$B$7+'Inputs'!$B$10))/SQRT((((373-43)*MAX('Inputs'!$B$33,'Inputs'!$B$29+'Inputs'!$B$31+'Inputs'!$B$32,'Inputs'!$B$30+'Inputs'!$B$31+'Inputs'!$B$32)/1000+'Inputs'!$B$21+'Inputs'!$B$7+'Inputs'!$B$10))^2+('Inputs'!$B$8/2)^2))))*'Results'!$B$8)-'Inputs'!$B$28*ABS((('Results'!B7*(1-'Inputs'!$B$24)*(0.5*((((373-43)*MAX('Inputs'!$B$33,'Inputs'!$B$29+'Inputs'!$B$31+'Inputs'!$B$32,'Inputs'!$B$30+'Inputs'!$B$31+'Inputs'!$B$32)/1000+'Inputs'!$B$21)+'Inputs'!$B$7)/SQRT((((373-43)*MAX('Inputs'!$B$33,'Inputs'!$B$29+'Inputs'!$B$31+'Inputs'!$B$32,'Inputs'!$B$30+'Inputs'!$B$31+'Inputs'!$B$32)/1000+'Inputs'!$B$21)+'Inputs'!$B$7)^2+('Inputs'!$B$6/2)^2)-(((373-43)*MAX('Inputs'!$B$33,'Inputs'!$B$29+'Inputs'!$B$31+'Inputs'!$B$32,'Inputs'!$B$30+'Inputs'!$B$31+'Inputs'!$B$32)/1000+'Inputs'!$B$21))/SQRT((((373-43)*MAX('Inputs'!$B$33,'Inputs'!$B$29+'Inputs'!$B$31+'Inputs'!$B$32,'Inputs'!$B$30+'Inputs'!$B$31+'Inputs'!$B$32)/1000+'Inputs'!$B$21))^2+('Inputs'!$B$6/2)^2)))-'Results'!C7*(1+'Inputs'!$B$24)*(0.5*((((373-43)*MAX('Inputs'!$B$33,'Inputs'!$B$29+'Inputs'!$B$31+'Inputs'!$B$32,'Inputs'!$B$30+'Inputs'!$B$31+'Inputs'!$B$32)/1000+'Inputs'!$B$21+'Inputs'!$B$7+'Inputs'!$B$10)+'Inputs'!$B$9)/SQRT((((373-43)*MAX('Inputs'!$B$33,'Inputs'!$B$29+'Inputs'!$B$31+'Inputs'!$B$32,'Inputs'!$B$30+'Inputs'!$B$31+'Inputs'!$B$32)/1000+'Inputs'!$B$21+'Inputs'!$B$7+'Inputs'!$B$10)+'Inputs'!$B$9)^2+('Inputs'!$B$8/2)^2)-(((373-43)*MAX('Inputs'!$B$33,'Inputs'!$B$29+'Inputs'!$B$31+'Inputs'!$B$32,'Inputs'!$B$30+'Inputs'!$B$31+'Inputs'!$B$32)/1000+'Inputs'!$B$21+'Inputs'!$B$7+'Inputs'!$B$10))/SQRT((((373-43)*MAX('Inputs'!$B$33,'Inputs'!$B$29+'Inputs'!$B$31+'Inputs'!$B$32,'Inputs'!$B$30+'Inputs'!$B$31+'Inputs'!$B$32)/1000+'Inputs'!$B$21+'Inputs'!$B$7+'Inputs'!$B$10))^2+('Inputs'!$B$8/2)^2))))*'Results'!$B$8))),"")</x:f>
        <x:v>14.87524785815167</x:v>
      </x:c>
      <x:c r="L373" t="n">
        <x:f>IF(AND(ISNUMBER('Results'!B7),ISNUMBER('Results'!C7),ISNUMBER('Results'!$B$8),ISNUMBER('Inputs'!$B$6),ISNUMBER('Inputs'!$B$7),ISNUMBER('Inputs'!$B$8),ISNUMBER('Inputs'!$B$9),ISNUMBER('Inputs'!$B$10),ISNUMBER('Inputs'!$B$21),ISNUMBER('Inputs'!$B$24),ISNUMBER('Inputs'!$B$28)),((('Results'!B7*(1+'Inputs'!$B$24)*(0.5*((((373-43)*MAX('Inputs'!$B$33,'Inputs'!$B$29+'Inputs'!$B$31+'Inputs'!$B$32,'Inputs'!$B$30+'Inputs'!$B$31+'Inputs'!$B$32)/1000+'Inputs'!$B$21)+'Inputs'!$B$7)/SQRT((((373-43)*MAX('Inputs'!$B$33,'Inputs'!$B$29+'Inputs'!$B$31+'Inputs'!$B$32,'Inputs'!$B$30+'Inputs'!$B$31+'Inputs'!$B$32)/1000+'Inputs'!$B$21)+'Inputs'!$B$7)^2+('Inputs'!$B$6/2)^2)-(((373-43)*MAX('Inputs'!$B$33,'Inputs'!$B$29+'Inputs'!$B$31+'Inputs'!$B$32,'Inputs'!$B$30+'Inputs'!$B$31+'Inputs'!$B$32)/1000+'Inputs'!$B$21))/SQRT((((373-43)*MAX('Inputs'!$B$33,'Inputs'!$B$29+'Inputs'!$B$31+'Inputs'!$B$32,'Inputs'!$B$30+'Inputs'!$B$31+'Inputs'!$B$32)/1000+'Inputs'!$B$21))^2+('Inputs'!$B$6/2)^2)))-'Results'!C7*(1-'Inputs'!$B$24)*(0.5*((((373-43)*MAX('Inputs'!$B$33,'Inputs'!$B$29+'Inputs'!$B$31+'Inputs'!$B$32,'Inputs'!$B$30+'Inputs'!$B$31+'Inputs'!$B$32)/1000+'Inputs'!$B$21+'Inputs'!$B$7+'Inputs'!$B$10)+'Inputs'!$B$9)/SQRT((((373-43)*MAX('Inputs'!$B$33,'Inputs'!$B$29+'Inputs'!$B$31+'Inputs'!$B$32,'Inputs'!$B$30+'Inputs'!$B$31+'Inputs'!$B$32)/1000+'Inputs'!$B$21+'Inputs'!$B$7+'Inputs'!$B$10)+'Inputs'!$B$9)^2+('Inputs'!$B$8/2)^2)-(((373-43)*MAX('Inputs'!$B$33,'Inputs'!$B$29+'Inputs'!$B$31+'Inputs'!$B$32,'Inputs'!$B$30+'Inputs'!$B$31+'Inputs'!$B$32)/1000+'Inputs'!$B$21+'Inputs'!$B$7+'Inputs'!$B$10))/SQRT((((373-43)*MAX('Inputs'!$B$33,'Inputs'!$B$29+'Inputs'!$B$31+'Inputs'!$B$32,'Inputs'!$B$30+'Inputs'!$B$31+'Inputs'!$B$32)/1000+'Inputs'!$B$21+'Inputs'!$B$7+'Inputs'!$B$10))^2+('Inputs'!$B$8/2)^2))))*'Results'!$B$8)+'Inputs'!$B$28*ABS((('Results'!B7*(1+'Inputs'!$B$24)*(0.5*((((373-43)*MAX('Inputs'!$B$33,'Inputs'!$B$29+'Inputs'!$B$31+'Inputs'!$B$32,'Inputs'!$B$30+'Inputs'!$B$31+'Inputs'!$B$32)/1000+'Inputs'!$B$21)+'Inputs'!$B$7)/SQRT((((373-43)*MAX('Inputs'!$B$33,'Inputs'!$B$29+'Inputs'!$B$31+'Inputs'!$B$32,'Inputs'!$B$30+'Inputs'!$B$31+'Inputs'!$B$32)/1000+'Inputs'!$B$21)+'Inputs'!$B$7)^2+('Inputs'!$B$6/2)^2)-(((373-43)*MAX('Inputs'!$B$33,'Inputs'!$B$29+'Inputs'!$B$31+'Inputs'!$B$32,'Inputs'!$B$30+'Inputs'!$B$31+'Inputs'!$B$32)/1000+'Inputs'!$B$21))/SQRT((((373-43)*MAX('Inputs'!$B$33,'Inputs'!$B$29+'Inputs'!$B$31+'Inputs'!$B$32,'Inputs'!$B$30+'Inputs'!$B$31+'Inputs'!$B$32)/1000+'Inputs'!$B$21))^2+('Inputs'!$B$6/2)^2)))-'Results'!C7*(1-'Inputs'!$B$24)*(0.5*((((373-43)*MAX('Inputs'!$B$33,'Inputs'!$B$29+'Inputs'!$B$31+'Inputs'!$B$32,'Inputs'!$B$30+'Inputs'!$B$31+'Inputs'!$B$32)/1000+'Inputs'!$B$21+'Inputs'!$B$7+'Inputs'!$B$10)+'Inputs'!$B$9)/SQRT((((373-43)*MAX('Inputs'!$B$33,'Inputs'!$B$29+'Inputs'!$B$31+'Inputs'!$B$32,'Inputs'!$B$30+'Inputs'!$B$31+'Inputs'!$B$32)/1000+'Inputs'!$B$21+'Inputs'!$B$7+'Inputs'!$B$10)+'Inputs'!$B$9)^2+('Inputs'!$B$8/2)^2)-(((373-43)*MAX('Inputs'!$B$33,'Inputs'!$B$29+'Inputs'!$B$31+'Inputs'!$B$32,'Inputs'!$B$30+'Inputs'!$B$31+'Inputs'!$B$32)/1000+'Inputs'!$B$21+'Inputs'!$B$7+'Inputs'!$B$10))/SQRT((((373-43)*MAX('Inputs'!$B$33,'Inputs'!$B$29+'Inputs'!$B$31+'Inputs'!$B$32,'Inputs'!$B$30+'Inputs'!$B$31+'Inputs'!$B$32)/1000+'Inputs'!$B$21+'Inputs'!$B$7+'Inputs'!$B$10))^2+('Inputs'!$B$8/2)^2))))*'Results'!$B$8))),"")</x:f>
        <x:v>18.18378597549261</x:v>
      </x:c>
      <x:c r="M373" t="n">
        <x:f>IF(AND(ISNUMBER('Results'!C7),ISNUMBER('Results'!B7),ISNUMBER('Results'!$B$8),ISNUMBER('Inputs'!$B$6),ISNUMBER('Inputs'!$B$7),ISNUMBER('Inputs'!$B$8),ISNUMBER('Inputs'!$B$9),ISNUMBER('Inputs'!$B$10),ISNUMBER('Inputs'!$B$21),ISNUMBER('Inputs'!$B$24),ISNUMBER('Inputs'!$B$28)),(('Results'!C7*(0.5*((((373-43)*MAX('Inputs'!$B$33,'Inputs'!$B$29+'Inputs'!$B$31+'Inputs'!$B$32,'Inputs'!$B$30+'Inputs'!$B$31+'Inputs'!$B$32)/1000+'Inputs'!$B$21)+'Inputs'!$B$9)/SQRT((((373-43)*MAX('Inputs'!$B$33,'Inputs'!$B$29+'Inputs'!$B$31+'Inputs'!$B$32,'Inputs'!$B$30+'Inputs'!$B$31+'Inputs'!$B$32)/1000+'Inputs'!$B$21)+'Inputs'!$B$9)^2+('Inputs'!$B$8/2)^2)-(((373-43)*MAX('Inputs'!$B$33,'Inputs'!$B$29+'Inputs'!$B$31+'Inputs'!$B$32,'Inputs'!$B$30+'Inputs'!$B$31+'Inputs'!$B$32)/1000+'Inputs'!$B$21))/SQRT((((373-43)*MAX('Inputs'!$B$33,'Inputs'!$B$29+'Inputs'!$B$31+'Inputs'!$B$32,'Inputs'!$B$30+'Inputs'!$B$31+'Inputs'!$B$32)/1000+'Inputs'!$B$21))^2+('Inputs'!$B$8/2)^2)))-'Results'!B7*(0.5*((((373-43)*MAX('Inputs'!$B$33,'Inputs'!$B$29+'Inputs'!$B$31+'Inputs'!$B$32,'Inputs'!$B$30+'Inputs'!$B$31+'Inputs'!$B$32)/1000+'Inputs'!$B$21+'Inputs'!$B$9+'Inputs'!$B$10)+'Inputs'!$B$7)/SQRT((((373-43)*MAX('Inputs'!$B$33,'Inputs'!$B$29+'Inputs'!$B$31+'Inputs'!$B$32,'Inputs'!$B$30+'Inputs'!$B$31+'Inputs'!$B$32)/1000+'Inputs'!$B$21+'Inputs'!$B$9+'Inputs'!$B$10)+'Inputs'!$B$7)^2+('Inputs'!$B$6/2)^2)-(((373-43)*MAX('Inputs'!$B$33,'Inputs'!$B$29+'Inputs'!$B$31+'Inputs'!$B$32,'Inputs'!$B$30+'Inputs'!$B$31+'Inputs'!$B$32)/1000+'Inputs'!$B$21+'Inputs'!$B$9+'Inputs'!$B$10))/SQRT((((373-43)*MAX('Inputs'!$B$33,'Inputs'!$B$29+'Inputs'!$B$31+'Inputs'!$B$32,'Inputs'!$B$30+'Inputs'!$B$31+'Inputs'!$B$32)/1000+'Inputs'!$B$21+'Inputs'!$B$9+'Inputs'!$B$10))^2+('Inputs'!$B$6/2)^2))))*'Results'!$B$8),"")</x:f>
        <x:v>15.653052503301673</x:v>
      </x:c>
      <x:c r="N373" t="n">
        <x:f>IF(AND(ISNUMBER('Results'!C7),ISNUMBER('Results'!B7),ISNUMBER('Results'!$B$8),ISNUMBER('Inputs'!$B$6),ISNUMBER('Inputs'!$B$7),ISNUMBER('Inputs'!$B$8),ISNUMBER('Inputs'!$B$9),ISNUMBER('Inputs'!$B$10),ISNUMBER('Inputs'!$B$21),ISNUMBER('Inputs'!$B$24),ISNUMBER('Inputs'!$B$28)),((('Results'!C7*(1-'Inputs'!$B$24)*(0.5*((((373-43)*MAX('Inputs'!$B$33,'Inputs'!$B$29+'Inputs'!$B$31+'Inputs'!$B$32,'Inputs'!$B$30+'Inputs'!$B$31+'Inputs'!$B$32)/1000+'Inputs'!$B$21)+'Inputs'!$B$9)/SQRT((((373-43)*MAX('Inputs'!$B$33,'Inputs'!$B$29+'Inputs'!$B$31+'Inputs'!$B$32,'Inputs'!$B$30+'Inputs'!$B$31+'Inputs'!$B$32)/1000+'Inputs'!$B$21)+'Inputs'!$B$9)^2+('Inputs'!$B$8/2)^2)-(((373-43)*MAX('Inputs'!$B$33,'Inputs'!$B$29+'Inputs'!$B$31+'Inputs'!$B$32,'Inputs'!$B$30+'Inputs'!$B$31+'Inputs'!$B$32)/1000+'Inputs'!$B$21))/SQRT((((373-43)*MAX('Inputs'!$B$33,'Inputs'!$B$29+'Inputs'!$B$31+'Inputs'!$B$32,'Inputs'!$B$30+'Inputs'!$B$31+'Inputs'!$B$32)/1000+'Inputs'!$B$21))^2+('Inputs'!$B$8/2)^2)))-'Results'!B7*(1+'Inputs'!$B$24)*(0.5*((((373-43)*MAX('Inputs'!$B$33,'Inputs'!$B$29+'Inputs'!$B$31+'Inputs'!$B$32,'Inputs'!$B$30+'Inputs'!$B$31+'Inputs'!$B$32)/1000+'Inputs'!$B$21+'Inputs'!$B$9+'Inputs'!$B$10)+'Inputs'!$B$7)/SQRT((((373-43)*MAX('Inputs'!$B$33,'Inputs'!$B$29+'Inputs'!$B$31+'Inputs'!$B$32,'Inputs'!$B$30+'Inputs'!$B$31+'Inputs'!$B$32)/1000+'Inputs'!$B$21+'Inputs'!$B$9+'Inputs'!$B$10)+'Inputs'!$B$7)^2+('Inputs'!$B$6/2)^2)-(((373-43)*MAX('Inputs'!$B$33,'Inputs'!$B$29+'Inputs'!$B$31+'Inputs'!$B$32,'Inputs'!$B$30+'Inputs'!$B$31+'Inputs'!$B$32)/1000+'Inputs'!$B$21+'Inputs'!$B$9+'Inputs'!$B$10))/SQRT((((373-43)*MAX('Inputs'!$B$33,'Inputs'!$B$29+'Inputs'!$B$31+'Inputs'!$B$32,'Inputs'!$B$30+'Inputs'!$B$31+'Inputs'!$B$32)/1000+'Inputs'!$B$21+'Inputs'!$B$9+'Inputs'!$B$10))^2+('Inputs'!$B$6/2)^2))))*'Results'!$B$8)-'Inputs'!$B$28*ABS((('Results'!C7*(1-'Inputs'!$B$24)*(0.5*((((373-43)*MAX('Inputs'!$B$33,'Inputs'!$B$29+'Inputs'!$B$31+'Inputs'!$B$32,'Inputs'!$B$30+'Inputs'!$B$31+'Inputs'!$B$32)/1000+'Inputs'!$B$21)+'Inputs'!$B$9)/SQRT((((373-43)*MAX('Inputs'!$B$33,'Inputs'!$B$29+'Inputs'!$B$31+'Inputs'!$B$32,'Inputs'!$B$30+'Inputs'!$B$31+'Inputs'!$B$32)/1000+'Inputs'!$B$21)+'Inputs'!$B$9)^2+('Inputs'!$B$8/2)^2)-(((373-43)*MAX('Inputs'!$B$33,'Inputs'!$B$29+'Inputs'!$B$31+'Inputs'!$B$32,'Inputs'!$B$30+'Inputs'!$B$31+'Inputs'!$B$32)/1000+'Inputs'!$B$21))/SQRT((((373-43)*MAX('Inputs'!$B$33,'Inputs'!$B$29+'Inputs'!$B$31+'Inputs'!$B$32,'Inputs'!$B$30+'Inputs'!$B$31+'Inputs'!$B$32)/1000+'Inputs'!$B$21))^2+('Inputs'!$B$8/2)^2)))-'Results'!B7*(1+'Inputs'!$B$24)*(0.5*((((373-43)*MAX('Inputs'!$B$33,'Inputs'!$B$29+'Inputs'!$B$31+'Inputs'!$B$32,'Inputs'!$B$30+'Inputs'!$B$31+'Inputs'!$B$32)/1000+'Inputs'!$B$21+'Inputs'!$B$9+'Inputs'!$B$10)+'Inputs'!$B$7)/SQRT((((373-43)*MAX('Inputs'!$B$33,'Inputs'!$B$29+'Inputs'!$B$31+'Inputs'!$B$32,'Inputs'!$B$30+'Inputs'!$B$31+'Inputs'!$B$32)/1000+'Inputs'!$B$21+'Inputs'!$B$9+'Inputs'!$B$10)+'Inputs'!$B$7)^2+('Inputs'!$B$6/2)^2)-(((373-43)*MAX('Inputs'!$B$33,'Inputs'!$B$29+'Inputs'!$B$31+'Inputs'!$B$32,'Inputs'!$B$30+'Inputs'!$B$31+'Inputs'!$B$32)/1000+'Inputs'!$B$21+'Inputs'!$B$9+'Inputs'!$B$10))/SQRT((((373-43)*MAX('Inputs'!$B$33,'Inputs'!$B$29+'Inputs'!$B$31+'Inputs'!$B$32,'Inputs'!$B$30+'Inputs'!$B$31+'Inputs'!$B$32)/1000+'Inputs'!$B$21+'Inputs'!$B$9+'Inputs'!$B$10))^2+('Inputs'!$B$6/2)^2))))*'Results'!$B$8))),"")</x:f>
        <x:v>14.088193879065992</x:v>
      </x:c>
      <x:c r="O373" t="n">
        <x:f>IF(AND(ISNUMBER('Results'!C7),ISNUMBER('Results'!B7),ISNUMBER('Results'!$B$8),ISNUMBER('Inputs'!$B$6),ISNUMBER('Inputs'!$B$7),ISNUMBER('Inputs'!$B$8),ISNUMBER('Inputs'!$B$9),ISNUMBER('Inputs'!$B$10),ISNUMBER('Inputs'!$B$21),ISNUMBER('Inputs'!$B$24),ISNUMBER('Inputs'!$B$28)),((('Results'!C7*(1+'Inputs'!$B$24)*(0.5*((((373-43)*MAX('Inputs'!$B$33,'Inputs'!$B$29+'Inputs'!$B$31+'Inputs'!$B$32,'Inputs'!$B$30+'Inputs'!$B$31+'Inputs'!$B$32)/1000+'Inputs'!$B$21)+'Inputs'!$B$9)/SQRT((((373-43)*MAX('Inputs'!$B$33,'Inputs'!$B$29+'Inputs'!$B$31+'Inputs'!$B$32,'Inputs'!$B$30+'Inputs'!$B$31+'Inputs'!$B$32)/1000+'Inputs'!$B$21)+'Inputs'!$B$9)^2+('Inputs'!$B$8/2)^2)-(((373-43)*MAX('Inputs'!$B$33,'Inputs'!$B$29+'Inputs'!$B$31+'Inputs'!$B$32,'Inputs'!$B$30+'Inputs'!$B$31+'Inputs'!$B$32)/1000+'Inputs'!$B$21))/SQRT((((373-43)*MAX('Inputs'!$B$33,'Inputs'!$B$29+'Inputs'!$B$31+'Inputs'!$B$32,'Inputs'!$B$30+'Inputs'!$B$31+'Inputs'!$B$32)/1000+'Inputs'!$B$21))^2+('Inputs'!$B$8/2)^2)))-'Results'!B7*(1-'Inputs'!$B$24)*(0.5*((((373-43)*MAX('Inputs'!$B$33,'Inputs'!$B$29+'Inputs'!$B$31+'Inputs'!$B$32,'Inputs'!$B$30+'Inputs'!$B$31+'Inputs'!$B$32)/1000+'Inputs'!$B$21+'Inputs'!$B$9+'Inputs'!$B$10)+'Inputs'!$B$7)/SQRT((((373-43)*MAX('Inputs'!$B$33,'Inputs'!$B$29+'Inputs'!$B$31+'Inputs'!$B$32,'Inputs'!$B$30+'Inputs'!$B$31+'Inputs'!$B$32)/1000+'Inputs'!$B$21+'Inputs'!$B$9+'Inputs'!$B$10)+'Inputs'!$B$7)^2+('Inputs'!$B$6/2)^2)-(((373-43)*MAX('Inputs'!$B$33,'Inputs'!$B$29+'Inputs'!$B$31+'Inputs'!$B$32,'Inputs'!$B$30+'Inputs'!$B$31+'Inputs'!$B$32)/1000+'Inputs'!$B$21+'Inputs'!$B$9+'Inputs'!$B$10))/SQRT((((373-43)*MAX('Inputs'!$B$33,'Inputs'!$B$29+'Inputs'!$B$31+'Inputs'!$B$32,'Inputs'!$B$30+'Inputs'!$B$31+'Inputs'!$B$32)/1000+'Inputs'!$B$21+'Inputs'!$B$9+'Inputs'!$B$10))^2+('Inputs'!$B$6/2)^2))))*'Results'!$B$8)+'Inputs'!$B$28*ABS((('Results'!C7*(1+'Inputs'!$B$24)*(0.5*((((373-43)*MAX('Inputs'!$B$33,'Inputs'!$B$29+'Inputs'!$B$31+'Inputs'!$B$32,'Inputs'!$B$30+'Inputs'!$B$31+'Inputs'!$B$32)/1000+'Inputs'!$B$21)+'Inputs'!$B$9)/SQRT((((373-43)*MAX('Inputs'!$B$33,'Inputs'!$B$29+'Inputs'!$B$31+'Inputs'!$B$32,'Inputs'!$B$30+'Inputs'!$B$31+'Inputs'!$B$32)/1000+'Inputs'!$B$21)+'Inputs'!$B$9)^2+('Inputs'!$B$8/2)^2)-(((373-43)*MAX('Inputs'!$B$33,'Inputs'!$B$29+'Inputs'!$B$31+'Inputs'!$B$32,'Inputs'!$B$30+'Inputs'!$B$31+'Inputs'!$B$32)/1000+'Inputs'!$B$21))/SQRT((((373-43)*MAX('Inputs'!$B$33,'Inputs'!$B$29+'Inputs'!$B$31+'Inputs'!$B$32,'Inputs'!$B$30+'Inputs'!$B$31+'Inputs'!$B$32)/1000+'Inputs'!$B$21))^2+('Inputs'!$B$8/2)^2)))-'Results'!B7*(1-'Inputs'!$B$24)*(0.5*((((373-43)*MAX('Inputs'!$B$33,'Inputs'!$B$29+'Inputs'!$B$31+'Inputs'!$B$32,'Inputs'!$B$30+'Inputs'!$B$31+'Inputs'!$B$32)/1000+'Inputs'!$B$21+'Inputs'!$B$9+'Inputs'!$B$10)+'Inputs'!$B$7)/SQRT((((373-43)*MAX('Inputs'!$B$33,'Inputs'!$B$29+'Inputs'!$B$31+'Inputs'!$B$32,'Inputs'!$B$30+'Inputs'!$B$31+'Inputs'!$B$32)/1000+'Inputs'!$B$21+'Inputs'!$B$9+'Inputs'!$B$10)+'Inputs'!$B$7)^2+('Inputs'!$B$6/2)^2)-(((373-43)*MAX('Inputs'!$B$33,'Inputs'!$B$29+'Inputs'!$B$31+'Inputs'!$B$32,'Inputs'!$B$30+'Inputs'!$B$31+'Inputs'!$B$32)/1000+'Inputs'!$B$21+'Inputs'!$B$9+'Inputs'!$B$10))/SQRT((((373-43)*MAX('Inputs'!$B$33,'Inputs'!$B$29+'Inputs'!$B$31+'Inputs'!$B$32,'Inputs'!$B$30+'Inputs'!$B$31+'Inputs'!$B$32)/1000+'Inputs'!$B$21+'Inputs'!$B$9+'Inputs'!$B$10))^2+('Inputs'!$B$6/2)^2))))*'Results'!$B$8))),"")</x:f>
        <x:v>17.300248601123734</x:v>
      </x:c>
      <x:c r="P373" t="n">
        <x:f>IF(AND(MAX(J373,J372)&gt;0,J373&gt;J372+0.00000001),1,0)</x:f>
        <x:v>0</x:v>
      </x:c>
      <x:c r="Q373" t="n">
        <x:f>IF(AND(MAX(K373,K372)&gt;0,K373&gt;K372+0.00000001),1,0)</x:f>
        <x:v>0</x:v>
      </x:c>
      <x:c r="R373" t="n">
        <x:f>IF(AND(MAX(L373,L372)&gt;0,L373&gt;L372+0.00000001),1,0)</x:f>
        <x:v>0</x:v>
      </x:c>
      <x:c r="S373" t="n">
        <x:f>IF(AND(MAX(M373,M372)&gt;0,M373&gt;M372+0.00000001),1,0)</x:f>
        <x:v>0</x:v>
      </x:c>
      <x:c r="T373" t="n">
        <x:f>IF(AND(MAX(N373,N372)&gt;0,N373&gt;N372+0.00000001),1,0)</x:f>
        <x:v>0</x:v>
      </x:c>
      <x:c r="U373" t="n">
        <x:f>IF(AND(MAX(O373,O372)&gt;0,O373&gt;O372+0.00000001),1,0)</x:f>
        <x:v>0</x:v>
      </x:c>
    </x:row>
    <x:row r="374">
      <x:c r="J374" t="n">
        <x:f>IF(AND(ISNUMBER('Results'!B7),ISNUMBER('Results'!C7),ISNUMBER('Results'!$B$8),ISNUMBER('Inputs'!$B$6),ISNUMBER('Inputs'!$B$7),ISNUMBER('Inputs'!$B$8),ISNUMBER('Inputs'!$B$9),ISNUMBER('Inputs'!$B$10),ISNUMBER('Inputs'!$B$21),ISNUMBER('Inputs'!$B$24),ISNUMBER('Inputs'!$B$28)),(('Results'!B7*(0.5*((((374-43)*MAX('Inputs'!$B$33,'Inputs'!$B$29+'Inputs'!$B$31+'Inputs'!$B$32,'Inputs'!$B$30+'Inputs'!$B$31+'Inputs'!$B$32)/1000+'Inputs'!$B$21)+'Inputs'!$B$7)/SQRT((((374-43)*MAX('Inputs'!$B$33,'Inputs'!$B$29+'Inputs'!$B$31+'Inputs'!$B$32,'Inputs'!$B$30+'Inputs'!$B$31+'Inputs'!$B$32)/1000+'Inputs'!$B$21)+'Inputs'!$B$7)^2+('Inputs'!$B$6/2)^2)-(((374-43)*MAX('Inputs'!$B$33,'Inputs'!$B$29+'Inputs'!$B$31+'Inputs'!$B$32,'Inputs'!$B$30+'Inputs'!$B$31+'Inputs'!$B$32)/1000+'Inputs'!$B$21))/SQRT((((374-43)*MAX('Inputs'!$B$33,'Inputs'!$B$29+'Inputs'!$B$31+'Inputs'!$B$32,'Inputs'!$B$30+'Inputs'!$B$31+'Inputs'!$B$32)/1000+'Inputs'!$B$21))^2+('Inputs'!$B$6/2)^2)))-'Results'!C7*(0.5*((((374-43)*MAX('Inputs'!$B$33,'Inputs'!$B$29+'Inputs'!$B$31+'Inputs'!$B$32,'Inputs'!$B$30+'Inputs'!$B$31+'Inputs'!$B$32)/1000+'Inputs'!$B$21+'Inputs'!$B$7+'Inputs'!$B$10)+'Inputs'!$B$9)/SQRT((((374-43)*MAX('Inputs'!$B$33,'Inputs'!$B$29+'Inputs'!$B$31+'Inputs'!$B$32,'Inputs'!$B$30+'Inputs'!$B$31+'Inputs'!$B$32)/1000+'Inputs'!$B$21+'Inputs'!$B$7+'Inputs'!$B$10)+'Inputs'!$B$9)^2+('Inputs'!$B$8/2)^2)-(((374-43)*MAX('Inputs'!$B$33,'Inputs'!$B$29+'Inputs'!$B$31+'Inputs'!$B$32,'Inputs'!$B$30+'Inputs'!$B$31+'Inputs'!$B$32)/1000+'Inputs'!$B$21+'Inputs'!$B$7+'Inputs'!$B$10))/SQRT((((374-43)*MAX('Inputs'!$B$33,'Inputs'!$B$29+'Inputs'!$B$31+'Inputs'!$B$32,'Inputs'!$B$30+'Inputs'!$B$31+'Inputs'!$B$32)/1000+'Inputs'!$B$21+'Inputs'!$B$7+'Inputs'!$B$10))^2+('Inputs'!$B$8/2)^2))))*'Results'!$B$8),"")</x:f>
        <x:v>16.330316233748082</x:v>
      </x:c>
      <x:c r="K374" t="n">
        <x:f>IF(AND(ISNUMBER('Results'!B7),ISNUMBER('Results'!C7),ISNUMBER('Results'!$B$8),ISNUMBER('Inputs'!$B$6),ISNUMBER('Inputs'!$B$7),ISNUMBER('Inputs'!$B$8),ISNUMBER('Inputs'!$B$9),ISNUMBER('Inputs'!$B$10),ISNUMBER('Inputs'!$B$21),ISNUMBER('Inputs'!$B$24),ISNUMBER('Inputs'!$B$28)),((('Results'!B7*(1-'Inputs'!$B$24)*(0.5*((((374-43)*MAX('Inputs'!$B$33,'Inputs'!$B$29+'Inputs'!$B$31+'Inputs'!$B$32,'Inputs'!$B$30+'Inputs'!$B$31+'Inputs'!$B$32)/1000+'Inputs'!$B$21)+'Inputs'!$B$7)/SQRT((((374-43)*MAX('Inputs'!$B$33,'Inputs'!$B$29+'Inputs'!$B$31+'Inputs'!$B$32,'Inputs'!$B$30+'Inputs'!$B$31+'Inputs'!$B$32)/1000+'Inputs'!$B$21)+'Inputs'!$B$7)^2+('Inputs'!$B$6/2)^2)-(((374-43)*MAX('Inputs'!$B$33,'Inputs'!$B$29+'Inputs'!$B$31+'Inputs'!$B$32,'Inputs'!$B$30+'Inputs'!$B$31+'Inputs'!$B$32)/1000+'Inputs'!$B$21))/SQRT((((374-43)*MAX('Inputs'!$B$33,'Inputs'!$B$29+'Inputs'!$B$31+'Inputs'!$B$32,'Inputs'!$B$30+'Inputs'!$B$31+'Inputs'!$B$32)/1000+'Inputs'!$B$21))^2+('Inputs'!$B$6/2)^2)))-'Results'!C7*(1+'Inputs'!$B$24)*(0.5*((((374-43)*MAX('Inputs'!$B$33,'Inputs'!$B$29+'Inputs'!$B$31+'Inputs'!$B$32,'Inputs'!$B$30+'Inputs'!$B$31+'Inputs'!$B$32)/1000+'Inputs'!$B$21+'Inputs'!$B$7+'Inputs'!$B$10)+'Inputs'!$B$9)/SQRT((((374-43)*MAX('Inputs'!$B$33,'Inputs'!$B$29+'Inputs'!$B$31+'Inputs'!$B$32,'Inputs'!$B$30+'Inputs'!$B$31+'Inputs'!$B$32)/1000+'Inputs'!$B$21+'Inputs'!$B$7+'Inputs'!$B$10)+'Inputs'!$B$9)^2+('Inputs'!$B$8/2)^2)-(((374-43)*MAX('Inputs'!$B$33,'Inputs'!$B$29+'Inputs'!$B$31+'Inputs'!$B$32,'Inputs'!$B$30+'Inputs'!$B$31+'Inputs'!$B$32)/1000+'Inputs'!$B$21+'Inputs'!$B$7+'Inputs'!$B$10))/SQRT((((374-43)*MAX('Inputs'!$B$33,'Inputs'!$B$29+'Inputs'!$B$31+'Inputs'!$B$32,'Inputs'!$B$30+'Inputs'!$B$31+'Inputs'!$B$32)/1000+'Inputs'!$B$21+'Inputs'!$B$7+'Inputs'!$B$10))^2+('Inputs'!$B$8/2)^2))))*'Results'!$B$8)-'Inputs'!$B$28*ABS((('Results'!B7*(1-'Inputs'!$B$24)*(0.5*((((374-43)*MAX('Inputs'!$B$33,'Inputs'!$B$29+'Inputs'!$B$31+'Inputs'!$B$32,'Inputs'!$B$30+'Inputs'!$B$31+'Inputs'!$B$32)/1000+'Inputs'!$B$21)+'Inputs'!$B$7)/SQRT((((374-43)*MAX('Inputs'!$B$33,'Inputs'!$B$29+'Inputs'!$B$31+'Inputs'!$B$32,'Inputs'!$B$30+'Inputs'!$B$31+'Inputs'!$B$32)/1000+'Inputs'!$B$21)+'Inputs'!$B$7)^2+('Inputs'!$B$6/2)^2)-(((374-43)*MAX('Inputs'!$B$33,'Inputs'!$B$29+'Inputs'!$B$31+'Inputs'!$B$32,'Inputs'!$B$30+'Inputs'!$B$31+'Inputs'!$B$32)/1000+'Inputs'!$B$21))/SQRT((((374-43)*MAX('Inputs'!$B$33,'Inputs'!$B$29+'Inputs'!$B$31+'Inputs'!$B$32,'Inputs'!$B$30+'Inputs'!$B$31+'Inputs'!$B$32)/1000+'Inputs'!$B$21))^2+('Inputs'!$B$6/2)^2)))-'Results'!C7*(1+'Inputs'!$B$24)*(0.5*((((374-43)*MAX('Inputs'!$B$33,'Inputs'!$B$29+'Inputs'!$B$31+'Inputs'!$B$32,'Inputs'!$B$30+'Inputs'!$B$31+'Inputs'!$B$32)/1000+'Inputs'!$B$21+'Inputs'!$B$7+'Inputs'!$B$10)+'Inputs'!$B$9)/SQRT((((374-43)*MAX('Inputs'!$B$33,'Inputs'!$B$29+'Inputs'!$B$31+'Inputs'!$B$32,'Inputs'!$B$30+'Inputs'!$B$31+'Inputs'!$B$32)/1000+'Inputs'!$B$21+'Inputs'!$B$7+'Inputs'!$B$10)+'Inputs'!$B$9)^2+('Inputs'!$B$8/2)^2)-(((374-43)*MAX('Inputs'!$B$33,'Inputs'!$B$29+'Inputs'!$B$31+'Inputs'!$B$32,'Inputs'!$B$30+'Inputs'!$B$31+'Inputs'!$B$32)/1000+'Inputs'!$B$21+'Inputs'!$B$7+'Inputs'!$B$10))/SQRT((((374-43)*MAX('Inputs'!$B$33,'Inputs'!$B$29+'Inputs'!$B$31+'Inputs'!$B$32,'Inputs'!$B$30+'Inputs'!$B$31+'Inputs'!$B$32)/1000+'Inputs'!$B$21+'Inputs'!$B$7+'Inputs'!$B$10))^2+('Inputs'!$B$8/2)^2))))*'Results'!$B$8))),"")</x:f>
        <x:v>14.731397756483</x:v>
      </x:c>
      <x:c r="L374" t="n">
        <x:f>IF(AND(ISNUMBER('Results'!B7),ISNUMBER('Results'!C7),ISNUMBER('Results'!$B$8),ISNUMBER('Inputs'!$B$6),ISNUMBER('Inputs'!$B$7),ISNUMBER('Inputs'!$B$8),ISNUMBER('Inputs'!$B$9),ISNUMBER('Inputs'!$B$10),ISNUMBER('Inputs'!$B$21),ISNUMBER('Inputs'!$B$24),ISNUMBER('Inputs'!$B$28)),((('Results'!B7*(1+'Inputs'!$B$24)*(0.5*((((374-43)*MAX('Inputs'!$B$33,'Inputs'!$B$29+'Inputs'!$B$31+'Inputs'!$B$32,'Inputs'!$B$30+'Inputs'!$B$31+'Inputs'!$B$32)/1000+'Inputs'!$B$21)+'Inputs'!$B$7)/SQRT((((374-43)*MAX('Inputs'!$B$33,'Inputs'!$B$29+'Inputs'!$B$31+'Inputs'!$B$32,'Inputs'!$B$30+'Inputs'!$B$31+'Inputs'!$B$32)/1000+'Inputs'!$B$21)+'Inputs'!$B$7)^2+('Inputs'!$B$6/2)^2)-(((374-43)*MAX('Inputs'!$B$33,'Inputs'!$B$29+'Inputs'!$B$31+'Inputs'!$B$32,'Inputs'!$B$30+'Inputs'!$B$31+'Inputs'!$B$32)/1000+'Inputs'!$B$21))/SQRT((((374-43)*MAX('Inputs'!$B$33,'Inputs'!$B$29+'Inputs'!$B$31+'Inputs'!$B$32,'Inputs'!$B$30+'Inputs'!$B$31+'Inputs'!$B$32)/1000+'Inputs'!$B$21))^2+('Inputs'!$B$6/2)^2)))-'Results'!C7*(1-'Inputs'!$B$24)*(0.5*((((374-43)*MAX('Inputs'!$B$33,'Inputs'!$B$29+'Inputs'!$B$31+'Inputs'!$B$32,'Inputs'!$B$30+'Inputs'!$B$31+'Inputs'!$B$32)/1000+'Inputs'!$B$21+'Inputs'!$B$7+'Inputs'!$B$10)+'Inputs'!$B$9)/SQRT((((374-43)*MAX('Inputs'!$B$33,'Inputs'!$B$29+'Inputs'!$B$31+'Inputs'!$B$32,'Inputs'!$B$30+'Inputs'!$B$31+'Inputs'!$B$32)/1000+'Inputs'!$B$21+'Inputs'!$B$7+'Inputs'!$B$10)+'Inputs'!$B$9)^2+('Inputs'!$B$8/2)^2)-(((374-43)*MAX('Inputs'!$B$33,'Inputs'!$B$29+'Inputs'!$B$31+'Inputs'!$B$32,'Inputs'!$B$30+'Inputs'!$B$31+'Inputs'!$B$32)/1000+'Inputs'!$B$21+'Inputs'!$B$7+'Inputs'!$B$10))/SQRT((((374-43)*MAX('Inputs'!$B$33,'Inputs'!$B$29+'Inputs'!$B$31+'Inputs'!$B$32,'Inputs'!$B$30+'Inputs'!$B$31+'Inputs'!$B$32)/1000+'Inputs'!$B$21+'Inputs'!$B$7+'Inputs'!$B$10))^2+('Inputs'!$B$8/2)^2))))*'Results'!$B$8)+'Inputs'!$B$28*ABS((('Results'!B7*(1+'Inputs'!$B$24)*(0.5*((((374-43)*MAX('Inputs'!$B$33,'Inputs'!$B$29+'Inputs'!$B$31+'Inputs'!$B$32,'Inputs'!$B$30+'Inputs'!$B$31+'Inputs'!$B$32)/1000+'Inputs'!$B$21)+'Inputs'!$B$7)/SQRT((((374-43)*MAX('Inputs'!$B$33,'Inputs'!$B$29+'Inputs'!$B$31+'Inputs'!$B$32,'Inputs'!$B$30+'Inputs'!$B$31+'Inputs'!$B$32)/1000+'Inputs'!$B$21)+'Inputs'!$B$7)^2+('Inputs'!$B$6/2)^2)-(((374-43)*MAX('Inputs'!$B$33,'Inputs'!$B$29+'Inputs'!$B$31+'Inputs'!$B$32,'Inputs'!$B$30+'Inputs'!$B$31+'Inputs'!$B$32)/1000+'Inputs'!$B$21))/SQRT((((374-43)*MAX('Inputs'!$B$33,'Inputs'!$B$29+'Inputs'!$B$31+'Inputs'!$B$32,'Inputs'!$B$30+'Inputs'!$B$31+'Inputs'!$B$32)/1000+'Inputs'!$B$21))^2+('Inputs'!$B$6/2)^2)))-'Results'!C7*(1-'Inputs'!$B$24)*(0.5*((((374-43)*MAX('Inputs'!$B$33,'Inputs'!$B$29+'Inputs'!$B$31+'Inputs'!$B$32,'Inputs'!$B$30+'Inputs'!$B$31+'Inputs'!$B$32)/1000+'Inputs'!$B$21+'Inputs'!$B$7+'Inputs'!$B$10)+'Inputs'!$B$9)/SQRT((((374-43)*MAX('Inputs'!$B$33,'Inputs'!$B$29+'Inputs'!$B$31+'Inputs'!$B$32,'Inputs'!$B$30+'Inputs'!$B$31+'Inputs'!$B$32)/1000+'Inputs'!$B$21+'Inputs'!$B$7+'Inputs'!$B$10)+'Inputs'!$B$9)^2+('Inputs'!$B$8/2)^2)-(((374-43)*MAX('Inputs'!$B$33,'Inputs'!$B$29+'Inputs'!$B$31+'Inputs'!$B$32,'Inputs'!$B$30+'Inputs'!$B$31+'Inputs'!$B$32)/1000+'Inputs'!$B$21+'Inputs'!$B$7+'Inputs'!$B$10))/SQRT((((374-43)*MAX('Inputs'!$B$33,'Inputs'!$B$29+'Inputs'!$B$31+'Inputs'!$B$32,'Inputs'!$B$30+'Inputs'!$B$31+'Inputs'!$B$32)/1000+'Inputs'!$B$21+'Inputs'!$B$7+'Inputs'!$B$10))^2+('Inputs'!$B$8/2)^2))))*'Results'!$B$8))),"")</x:f>
        <x:v>18.011592886337127</x:v>
      </x:c>
      <x:c r="M374" t="n">
        <x:f>IF(AND(ISNUMBER('Results'!C7),ISNUMBER('Results'!B7),ISNUMBER('Results'!$B$8),ISNUMBER('Inputs'!$B$6),ISNUMBER('Inputs'!$B$7),ISNUMBER('Inputs'!$B$8),ISNUMBER('Inputs'!$B$9),ISNUMBER('Inputs'!$B$10),ISNUMBER('Inputs'!$B$21),ISNUMBER('Inputs'!$B$24),ISNUMBER('Inputs'!$B$28)),(('Results'!C7*(0.5*((((374-43)*MAX('Inputs'!$B$33,'Inputs'!$B$29+'Inputs'!$B$31+'Inputs'!$B$32,'Inputs'!$B$30+'Inputs'!$B$31+'Inputs'!$B$32)/1000+'Inputs'!$B$21)+'Inputs'!$B$9)/SQRT((((374-43)*MAX('Inputs'!$B$33,'Inputs'!$B$29+'Inputs'!$B$31+'Inputs'!$B$32,'Inputs'!$B$30+'Inputs'!$B$31+'Inputs'!$B$32)/1000+'Inputs'!$B$21)+'Inputs'!$B$9)^2+('Inputs'!$B$8/2)^2)-(((374-43)*MAX('Inputs'!$B$33,'Inputs'!$B$29+'Inputs'!$B$31+'Inputs'!$B$32,'Inputs'!$B$30+'Inputs'!$B$31+'Inputs'!$B$32)/1000+'Inputs'!$B$21))/SQRT((((374-43)*MAX('Inputs'!$B$33,'Inputs'!$B$29+'Inputs'!$B$31+'Inputs'!$B$32,'Inputs'!$B$30+'Inputs'!$B$31+'Inputs'!$B$32)/1000+'Inputs'!$B$21))^2+('Inputs'!$B$8/2)^2)))-'Results'!B7*(0.5*((((374-43)*MAX('Inputs'!$B$33,'Inputs'!$B$29+'Inputs'!$B$31+'Inputs'!$B$32,'Inputs'!$B$30+'Inputs'!$B$31+'Inputs'!$B$32)/1000+'Inputs'!$B$21+'Inputs'!$B$9+'Inputs'!$B$10)+'Inputs'!$B$7)/SQRT((((374-43)*MAX('Inputs'!$B$33,'Inputs'!$B$29+'Inputs'!$B$31+'Inputs'!$B$32,'Inputs'!$B$30+'Inputs'!$B$31+'Inputs'!$B$32)/1000+'Inputs'!$B$21+'Inputs'!$B$9+'Inputs'!$B$10)+'Inputs'!$B$7)^2+('Inputs'!$B$6/2)^2)-(((374-43)*MAX('Inputs'!$B$33,'Inputs'!$B$29+'Inputs'!$B$31+'Inputs'!$B$32,'Inputs'!$B$30+'Inputs'!$B$31+'Inputs'!$B$32)/1000+'Inputs'!$B$21+'Inputs'!$B$9+'Inputs'!$B$10))/SQRT((((374-43)*MAX('Inputs'!$B$33,'Inputs'!$B$29+'Inputs'!$B$31+'Inputs'!$B$32,'Inputs'!$B$30+'Inputs'!$B$31+'Inputs'!$B$32)/1000+'Inputs'!$B$21+'Inputs'!$B$9+'Inputs'!$B$10))^2+('Inputs'!$B$6/2)^2))))*'Results'!$B$8),"")</x:f>
        <x:v>15.501663302665927</x:v>
      </x:c>
      <x:c r="N374" t="n">
        <x:f>IF(AND(ISNUMBER('Results'!C7),ISNUMBER('Results'!B7),ISNUMBER('Results'!$B$8),ISNUMBER('Inputs'!$B$6),ISNUMBER('Inputs'!$B$7),ISNUMBER('Inputs'!$B$8),ISNUMBER('Inputs'!$B$9),ISNUMBER('Inputs'!$B$10),ISNUMBER('Inputs'!$B$21),ISNUMBER('Inputs'!$B$24),ISNUMBER('Inputs'!$B$28)),((('Results'!C7*(1-'Inputs'!$B$24)*(0.5*((((374-43)*MAX('Inputs'!$B$33,'Inputs'!$B$29+'Inputs'!$B$31+'Inputs'!$B$32,'Inputs'!$B$30+'Inputs'!$B$31+'Inputs'!$B$32)/1000+'Inputs'!$B$21)+'Inputs'!$B$9)/SQRT((((374-43)*MAX('Inputs'!$B$33,'Inputs'!$B$29+'Inputs'!$B$31+'Inputs'!$B$32,'Inputs'!$B$30+'Inputs'!$B$31+'Inputs'!$B$32)/1000+'Inputs'!$B$21)+'Inputs'!$B$9)^2+('Inputs'!$B$8/2)^2)-(((374-43)*MAX('Inputs'!$B$33,'Inputs'!$B$29+'Inputs'!$B$31+'Inputs'!$B$32,'Inputs'!$B$30+'Inputs'!$B$31+'Inputs'!$B$32)/1000+'Inputs'!$B$21))/SQRT((((374-43)*MAX('Inputs'!$B$33,'Inputs'!$B$29+'Inputs'!$B$31+'Inputs'!$B$32,'Inputs'!$B$30+'Inputs'!$B$31+'Inputs'!$B$32)/1000+'Inputs'!$B$21))^2+('Inputs'!$B$8/2)^2)))-'Results'!B7*(1+'Inputs'!$B$24)*(0.5*((((374-43)*MAX('Inputs'!$B$33,'Inputs'!$B$29+'Inputs'!$B$31+'Inputs'!$B$32,'Inputs'!$B$30+'Inputs'!$B$31+'Inputs'!$B$32)/1000+'Inputs'!$B$21+'Inputs'!$B$9+'Inputs'!$B$10)+'Inputs'!$B$7)/SQRT((((374-43)*MAX('Inputs'!$B$33,'Inputs'!$B$29+'Inputs'!$B$31+'Inputs'!$B$32,'Inputs'!$B$30+'Inputs'!$B$31+'Inputs'!$B$32)/1000+'Inputs'!$B$21+'Inputs'!$B$9+'Inputs'!$B$10)+'Inputs'!$B$7)^2+('Inputs'!$B$6/2)^2)-(((374-43)*MAX('Inputs'!$B$33,'Inputs'!$B$29+'Inputs'!$B$31+'Inputs'!$B$32,'Inputs'!$B$30+'Inputs'!$B$31+'Inputs'!$B$32)/1000+'Inputs'!$B$21+'Inputs'!$B$9+'Inputs'!$B$10))/SQRT((((374-43)*MAX('Inputs'!$B$33,'Inputs'!$B$29+'Inputs'!$B$31+'Inputs'!$B$32,'Inputs'!$B$30+'Inputs'!$B$31+'Inputs'!$B$32)/1000+'Inputs'!$B$21+'Inputs'!$B$9+'Inputs'!$B$10))^2+('Inputs'!$B$6/2)^2))))*'Results'!$B$8)-'Inputs'!$B$28*ABS((('Results'!C7*(1-'Inputs'!$B$24)*(0.5*((((374-43)*MAX('Inputs'!$B$33,'Inputs'!$B$29+'Inputs'!$B$31+'Inputs'!$B$32,'Inputs'!$B$30+'Inputs'!$B$31+'Inputs'!$B$32)/1000+'Inputs'!$B$21)+'Inputs'!$B$9)/SQRT((((374-43)*MAX('Inputs'!$B$33,'Inputs'!$B$29+'Inputs'!$B$31+'Inputs'!$B$32,'Inputs'!$B$30+'Inputs'!$B$31+'Inputs'!$B$32)/1000+'Inputs'!$B$21)+'Inputs'!$B$9)^2+('Inputs'!$B$8/2)^2)-(((374-43)*MAX('Inputs'!$B$33,'Inputs'!$B$29+'Inputs'!$B$31+'Inputs'!$B$32,'Inputs'!$B$30+'Inputs'!$B$31+'Inputs'!$B$32)/1000+'Inputs'!$B$21))/SQRT((((374-43)*MAX('Inputs'!$B$33,'Inputs'!$B$29+'Inputs'!$B$31+'Inputs'!$B$32,'Inputs'!$B$30+'Inputs'!$B$31+'Inputs'!$B$32)/1000+'Inputs'!$B$21))^2+('Inputs'!$B$8/2)^2)))-'Results'!B7*(1+'Inputs'!$B$24)*(0.5*((((374-43)*MAX('Inputs'!$B$33,'Inputs'!$B$29+'Inputs'!$B$31+'Inputs'!$B$32,'Inputs'!$B$30+'Inputs'!$B$31+'Inputs'!$B$32)/1000+'Inputs'!$B$21+'Inputs'!$B$9+'Inputs'!$B$10)+'Inputs'!$B$7)/SQRT((((374-43)*MAX('Inputs'!$B$33,'Inputs'!$B$29+'Inputs'!$B$31+'Inputs'!$B$32,'Inputs'!$B$30+'Inputs'!$B$31+'Inputs'!$B$32)/1000+'Inputs'!$B$21+'Inputs'!$B$9+'Inputs'!$B$10)+'Inputs'!$B$7)^2+('Inputs'!$B$6/2)^2)-(((374-43)*MAX('Inputs'!$B$33,'Inputs'!$B$29+'Inputs'!$B$31+'Inputs'!$B$32,'Inputs'!$B$30+'Inputs'!$B$31+'Inputs'!$B$32)/1000+'Inputs'!$B$21+'Inputs'!$B$9+'Inputs'!$B$10))/SQRT((((374-43)*MAX('Inputs'!$B$33,'Inputs'!$B$29+'Inputs'!$B$31+'Inputs'!$B$32,'Inputs'!$B$30+'Inputs'!$B$31+'Inputs'!$B$32)/1000+'Inputs'!$B$21+'Inputs'!$B$9+'Inputs'!$B$10))^2+('Inputs'!$B$6/2)^2))))*'Results'!$B$8))),"")</x:f>
        <x:v>13.950286639744773</x:v>
      </x:c>
      <x:c r="O374" t="n">
        <x:f>IF(AND(ISNUMBER('Results'!C7),ISNUMBER('Results'!B7),ISNUMBER('Results'!$B$8),ISNUMBER('Inputs'!$B$6),ISNUMBER('Inputs'!$B$7),ISNUMBER('Inputs'!$B$8),ISNUMBER('Inputs'!$B$9),ISNUMBER('Inputs'!$B$10),ISNUMBER('Inputs'!$B$21),ISNUMBER('Inputs'!$B$24),ISNUMBER('Inputs'!$B$28)),((('Results'!C7*(1+'Inputs'!$B$24)*(0.5*((((374-43)*MAX('Inputs'!$B$33,'Inputs'!$B$29+'Inputs'!$B$31+'Inputs'!$B$32,'Inputs'!$B$30+'Inputs'!$B$31+'Inputs'!$B$32)/1000+'Inputs'!$B$21)+'Inputs'!$B$9)/SQRT((((374-43)*MAX('Inputs'!$B$33,'Inputs'!$B$29+'Inputs'!$B$31+'Inputs'!$B$32,'Inputs'!$B$30+'Inputs'!$B$31+'Inputs'!$B$32)/1000+'Inputs'!$B$21)+'Inputs'!$B$9)^2+('Inputs'!$B$8/2)^2)-(((374-43)*MAX('Inputs'!$B$33,'Inputs'!$B$29+'Inputs'!$B$31+'Inputs'!$B$32,'Inputs'!$B$30+'Inputs'!$B$31+'Inputs'!$B$32)/1000+'Inputs'!$B$21))/SQRT((((374-43)*MAX('Inputs'!$B$33,'Inputs'!$B$29+'Inputs'!$B$31+'Inputs'!$B$32,'Inputs'!$B$30+'Inputs'!$B$31+'Inputs'!$B$32)/1000+'Inputs'!$B$21))^2+('Inputs'!$B$8/2)^2)))-'Results'!B7*(1-'Inputs'!$B$24)*(0.5*((((374-43)*MAX('Inputs'!$B$33,'Inputs'!$B$29+'Inputs'!$B$31+'Inputs'!$B$32,'Inputs'!$B$30+'Inputs'!$B$31+'Inputs'!$B$32)/1000+'Inputs'!$B$21+'Inputs'!$B$9+'Inputs'!$B$10)+'Inputs'!$B$7)/SQRT((((374-43)*MAX('Inputs'!$B$33,'Inputs'!$B$29+'Inputs'!$B$31+'Inputs'!$B$32,'Inputs'!$B$30+'Inputs'!$B$31+'Inputs'!$B$32)/1000+'Inputs'!$B$21+'Inputs'!$B$9+'Inputs'!$B$10)+'Inputs'!$B$7)^2+('Inputs'!$B$6/2)^2)-(((374-43)*MAX('Inputs'!$B$33,'Inputs'!$B$29+'Inputs'!$B$31+'Inputs'!$B$32,'Inputs'!$B$30+'Inputs'!$B$31+'Inputs'!$B$32)/1000+'Inputs'!$B$21+'Inputs'!$B$9+'Inputs'!$B$10))/SQRT((((374-43)*MAX('Inputs'!$B$33,'Inputs'!$B$29+'Inputs'!$B$31+'Inputs'!$B$32,'Inputs'!$B$30+'Inputs'!$B$31+'Inputs'!$B$32)/1000+'Inputs'!$B$21+'Inputs'!$B$9+'Inputs'!$B$10))^2+('Inputs'!$B$6/2)^2))))*'Results'!$B$8)+'Inputs'!$B$28*ABS((('Results'!C7*(1+'Inputs'!$B$24)*(0.5*((((374-43)*MAX('Inputs'!$B$33,'Inputs'!$B$29+'Inputs'!$B$31+'Inputs'!$B$32,'Inputs'!$B$30+'Inputs'!$B$31+'Inputs'!$B$32)/1000+'Inputs'!$B$21)+'Inputs'!$B$9)/SQRT((((374-43)*MAX('Inputs'!$B$33,'Inputs'!$B$29+'Inputs'!$B$31+'Inputs'!$B$32,'Inputs'!$B$30+'Inputs'!$B$31+'Inputs'!$B$32)/1000+'Inputs'!$B$21)+'Inputs'!$B$9)^2+('Inputs'!$B$8/2)^2)-(((374-43)*MAX('Inputs'!$B$33,'Inputs'!$B$29+'Inputs'!$B$31+'Inputs'!$B$32,'Inputs'!$B$30+'Inputs'!$B$31+'Inputs'!$B$32)/1000+'Inputs'!$B$21))/SQRT((((374-43)*MAX('Inputs'!$B$33,'Inputs'!$B$29+'Inputs'!$B$31+'Inputs'!$B$32,'Inputs'!$B$30+'Inputs'!$B$31+'Inputs'!$B$32)/1000+'Inputs'!$B$21))^2+('Inputs'!$B$8/2)^2)))-'Results'!B7*(1-'Inputs'!$B$24)*(0.5*((((374-43)*MAX('Inputs'!$B$33,'Inputs'!$B$29+'Inputs'!$B$31+'Inputs'!$B$32,'Inputs'!$B$30+'Inputs'!$B$31+'Inputs'!$B$32)/1000+'Inputs'!$B$21+'Inputs'!$B$9+'Inputs'!$B$10)+'Inputs'!$B$7)/SQRT((((374-43)*MAX('Inputs'!$B$33,'Inputs'!$B$29+'Inputs'!$B$31+'Inputs'!$B$32,'Inputs'!$B$30+'Inputs'!$B$31+'Inputs'!$B$32)/1000+'Inputs'!$B$21+'Inputs'!$B$9+'Inputs'!$B$10)+'Inputs'!$B$7)^2+('Inputs'!$B$6/2)^2)-(((374-43)*MAX('Inputs'!$B$33,'Inputs'!$B$29+'Inputs'!$B$31+'Inputs'!$B$32,'Inputs'!$B$30+'Inputs'!$B$31+'Inputs'!$B$32)/1000+'Inputs'!$B$21+'Inputs'!$B$9+'Inputs'!$B$10))/SQRT((((374-43)*MAX('Inputs'!$B$33,'Inputs'!$B$29+'Inputs'!$B$31+'Inputs'!$B$32,'Inputs'!$B$30+'Inputs'!$B$31+'Inputs'!$B$32)/1000+'Inputs'!$B$21+'Inputs'!$B$9+'Inputs'!$B$10))^2+('Inputs'!$B$6/2)^2))))*'Results'!$B$8))),"")</x:f>
        <x:v>17.134755070617388</x:v>
      </x:c>
      <x:c r="P374" t="n">
        <x:f>IF(AND(MAX(J374,J373)&gt;0,J374&gt;J373+0.00000001),1,0)</x:f>
        <x:v>0</x:v>
      </x:c>
      <x:c r="Q374" t="n">
        <x:f>IF(AND(MAX(K374,K373)&gt;0,K374&gt;K373+0.00000001),1,0)</x:f>
        <x:v>0</x:v>
      </x:c>
      <x:c r="R374" t="n">
        <x:f>IF(AND(MAX(L374,L373)&gt;0,L374&gt;L373+0.00000001),1,0)</x:f>
        <x:v>0</x:v>
      </x:c>
      <x:c r="S374" t="n">
        <x:f>IF(AND(MAX(M374,M373)&gt;0,M374&gt;M373+0.00000001),1,0)</x:f>
        <x:v>0</x:v>
      </x:c>
      <x:c r="T374" t="n">
        <x:f>IF(AND(MAX(N374,N373)&gt;0,N374&gt;N373+0.00000001),1,0)</x:f>
        <x:v>0</x:v>
      </x:c>
      <x:c r="U374" t="n">
        <x:f>IF(AND(MAX(O374,O373)&gt;0,O374&gt;O373+0.00000001),1,0)</x:f>
        <x:v>0</x:v>
      </x:c>
    </x:row>
    <x:row r="375">
      <x:c r="J375" t="n">
        <x:f>IF(AND(ISNUMBER('Results'!B7),ISNUMBER('Results'!C7),ISNUMBER('Results'!$B$8),ISNUMBER('Inputs'!$B$6),ISNUMBER('Inputs'!$B$7),ISNUMBER('Inputs'!$B$8),ISNUMBER('Inputs'!$B$9),ISNUMBER('Inputs'!$B$10),ISNUMBER('Inputs'!$B$21),ISNUMBER('Inputs'!$B$24),ISNUMBER('Inputs'!$B$28)),(('Results'!B7*(0.5*((((375-43)*MAX('Inputs'!$B$33,'Inputs'!$B$29+'Inputs'!$B$31+'Inputs'!$B$32,'Inputs'!$B$30+'Inputs'!$B$31+'Inputs'!$B$32)/1000+'Inputs'!$B$21)+'Inputs'!$B$7)/SQRT((((375-43)*MAX('Inputs'!$B$33,'Inputs'!$B$29+'Inputs'!$B$31+'Inputs'!$B$32,'Inputs'!$B$30+'Inputs'!$B$31+'Inputs'!$B$32)/1000+'Inputs'!$B$21)+'Inputs'!$B$7)^2+('Inputs'!$B$6/2)^2)-(((375-43)*MAX('Inputs'!$B$33,'Inputs'!$B$29+'Inputs'!$B$31+'Inputs'!$B$32,'Inputs'!$B$30+'Inputs'!$B$31+'Inputs'!$B$32)/1000+'Inputs'!$B$21))/SQRT((((375-43)*MAX('Inputs'!$B$33,'Inputs'!$B$29+'Inputs'!$B$31+'Inputs'!$B$32,'Inputs'!$B$30+'Inputs'!$B$31+'Inputs'!$B$32)/1000+'Inputs'!$B$21))^2+('Inputs'!$B$6/2)^2)))-'Results'!C7*(0.5*((((375-43)*MAX('Inputs'!$B$33,'Inputs'!$B$29+'Inputs'!$B$31+'Inputs'!$B$32,'Inputs'!$B$30+'Inputs'!$B$31+'Inputs'!$B$32)/1000+'Inputs'!$B$21+'Inputs'!$B$7+'Inputs'!$B$10)+'Inputs'!$B$9)/SQRT((((375-43)*MAX('Inputs'!$B$33,'Inputs'!$B$29+'Inputs'!$B$31+'Inputs'!$B$32,'Inputs'!$B$30+'Inputs'!$B$31+'Inputs'!$B$32)/1000+'Inputs'!$B$21+'Inputs'!$B$7+'Inputs'!$B$10)+'Inputs'!$B$9)^2+('Inputs'!$B$8/2)^2)-(((375-43)*MAX('Inputs'!$B$33,'Inputs'!$B$29+'Inputs'!$B$31+'Inputs'!$B$32,'Inputs'!$B$30+'Inputs'!$B$31+'Inputs'!$B$32)/1000+'Inputs'!$B$21+'Inputs'!$B$7+'Inputs'!$B$10))/SQRT((((375-43)*MAX('Inputs'!$B$33,'Inputs'!$B$29+'Inputs'!$B$31+'Inputs'!$B$32,'Inputs'!$B$30+'Inputs'!$B$31+'Inputs'!$B$32)/1000+'Inputs'!$B$21+'Inputs'!$B$7+'Inputs'!$B$10))^2+('Inputs'!$B$8/2)^2))))*'Results'!$B$8),"")</x:f>
        <x:v>16.174485046295253</x:v>
      </x:c>
      <x:c r="K375" t="n">
        <x:f>IF(AND(ISNUMBER('Results'!B7),ISNUMBER('Results'!C7),ISNUMBER('Results'!$B$8),ISNUMBER('Inputs'!$B$6),ISNUMBER('Inputs'!$B$7),ISNUMBER('Inputs'!$B$8),ISNUMBER('Inputs'!$B$9),ISNUMBER('Inputs'!$B$10),ISNUMBER('Inputs'!$B$21),ISNUMBER('Inputs'!$B$24),ISNUMBER('Inputs'!$B$28)),((('Results'!B7*(1-'Inputs'!$B$24)*(0.5*((((375-43)*MAX('Inputs'!$B$33,'Inputs'!$B$29+'Inputs'!$B$31+'Inputs'!$B$32,'Inputs'!$B$30+'Inputs'!$B$31+'Inputs'!$B$32)/1000+'Inputs'!$B$21)+'Inputs'!$B$7)/SQRT((((375-43)*MAX('Inputs'!$B$33,'Inputs'!$B$29+'Inputs'!$B$31+'Inputs'!$B$32,'Inputs'!$B$30+'Inputs'!$B$31+'Inputs'!$B$32)/1000+'Inputs'!$B$21)+'Inputs'!$B$7)^2+('Inputs'!$B$6/2)^2)-(((375-43)*MAX('Inputs'!$B$33,'Inputs'!$B$29+'Inputs'!$B$31+'Inputs'!$B$32,'Inputs'!$B$30+'Inputs'!$B$31+'Inputs'!$B$32)/1000+'Inputs'!$B$21))/SQRT((((375-43)*MAX('Inputs'!$B$33,'Inputs'!$B$29+'Inputs'!$B$31+'Inputs'!$B$32,'Inputs'!$B$30+'Inputs'!$B$31+'Inputs'!$B$32)/1000+'Inputs'!$B$21))^2+('Inputs'!$B$6/2)^2)))-'Results'!C7*(1+'Inputs'!$B$24)*(0.5*((((375-43)*MAX('Inputs'!$B$33,'Inputs'!$B$29+'Inputs'!$B$31+'Inputs'!$B$32,'Inputs'!$B$30+'Inputs'!$B$31+'Inputs'!$B$32)/1000+'Inputs'!$B$21+'Inputs'!$B$7+'Inputs'!$B$10)+'Inputs'!$B$9)/SQRT((((375-43)*MAX('Inputs'!$B$33,'Inputs'!$B$29+'Inputs'!$B$31+'Inputs'!$B$32,'Inputs'!$B$30+'Inputs'!$B$31+'Inputs'!$B$32)/1000+'Inputs'!$B$21+'Inputs'!$B$7+'Inputs'!$B$10)+'Inputs'!$B$9)^2+('Inputs'!$B$8/2)^2)-(((375-43)*MAX('Inputs'!$B$33,'Inputs'!$B$29+'Inputs'!$B$31+'Inputs'!$B$32,'Inputs'!$B$30+'Inputs'!$B$31+'Inputs'!$B$32)/1000+'Inputs'!$B$21+'Inputs'!$B$7+'Inputs'!$B$10))/SQRT((((375-43)*MAX('Inputs'!$B$33,'Inputs'!$B$29+'Inputs'!$B$31+'Inputs'!$B$32,'Inputs'!$B$30+'Inputs'!$B$31+'Inputs'!$B$32)/1000+'Inputs'!$B$21+'Inputs'!$B$7+'Inputs'!$B$10))^2+('Inputs'!$B$8/2)^2))))*'Results'!$B$8)-'Inputs'!$B$28*ABS((('Results'!B7*(1-'Inputs'!$B$24)*(0.5*((((375-43)*MAX('Inputs'!$B$33,'Inputs'!$B$29+'Inputs'!$B$31+'Inputs'!$B$32,'Inputs'!$B$30+'Inputs'!$B$31+'Inputs'!$B$32)/1000+'Inputs'!$B$21)+'Inputs'!$B$7)/SQRT((((375-43)*MAX('Inputs'!$B$33,'Inputs'!$B$29+'Inputs'!$B$31+'Inputs'!$B$32,'Inputs'!$B$30+'Inputs'!$B$31+'Inputs'!$B$32)/1000+'Inputs'!$B$21)+'Inputs'!$B$7)^2+('Inputs'!$B$6/2)^2)-(((375-43)*MAX('Inputs'!$B$33,'Inputs'!$B$29+'Inputs'!$B$31+'Inputs'!$B$32,'Inputs'!$B$30+'Inputs'!$B$31+'Inputs'!$B$32)/1000+'Inputs'!$B$21))/SQRT((((375-43)*MAX('Inputs'!$B$33,'Inputs'!$B$29+'Inputs'!$B$31+'Inputs'!$B$32,'Inputs'!$B$30+'Inputs'!$B$31+'Inputs'!$B$32)/1000+'Inputs'!$B$21))^2+('Inputs'!$B$6/2)^2)))-'Results'!C7*(1+'Inputs'!$B$24)*(0.5*((((375-43)*MAX('Inputs'!$B$33,'Inputs'!$B$29+'Inputs'!$B$31+'Inputs'!$B$32,'Inputs'!$B$30+'Inputs'!$B$31+'Inputs'!$B$32)/1000+'Inputs'!$B$21+'Inputs'!$B$7+'Inputs'!$B$10)+'Inputs'!$B$9)/SQRT((((375-43)*MAX('Inputs'!$B$33,'Inputs'!$B$29+'Inputs'!$B$31+'Inputs'!$B$32,'Inputs'!$B$30+'Inputs'!$B$31+'Inputs'!$B$32)/1000+'Inputs'!$B$21+'Inputs'!$B$7+'Inputs'!$B$10)+'Inputs'!$B$9)^2+('Inputs'!$B$8/2)^2)-(((375-43)*MAX('Inputs'!$B$33,'Inputs'!$B$29+'Inputs'!$B$31+'Inputs'!$B$32,'Inputs'!$B$30+'Inputs'!$B$31+'Inputs'!$B$32)/1000+'Inputs'!$B$21+'Inputs'!$B$7+'Inputs'!$B$10))/SQRT((((375-43)*MAX('Inputs'!$B$33,'Inputs'!$B$29+'Inputs'!$B$31+'Inputs'!$B$32,'Inputs'!$B$30+'Inputs'!$B$31+'Inputs'!$B$32)/1000+'Inputs'!$B$21+'Inputs'!$B$7+'Inputs'!$B$10))^2+('Inputs'!$B$8/2)^2))))*'Results'!$B$8))),"")</x:f>
        <x:v>14.58926967907732</x:v>
      </x:c>
      <x:c r="L375" t="n">
        <x:f>IF(AND(ISNUMBER('Results'!B7),ISNUMBER('Results'!C7),ISNUMBER('Results'!$B$8),ISNUMBER('Inputs'!$B$6),ISNUMBER('Inputs'!$B$7),ISNUMBER('Inputs'!$B$8),ISNUMBER('Inputs'!$B$9),ISNUMBER('Inputs'!$B$10),ISNUMBER('Inputs'!$B$21),ISNUMBER('Inputs'!$B$24),ISNUMBER('Inputs'!$B$28)),((('Results'!B7*(1+'Inputs'!$B$24)*(0.5*((((375-43)*MAX('Inputs'!$B$33,'Inputs'!$B$29+'Inputs'!$B$31+'Inputs'!$B$32,'Inputs'!$B$30+'Inputs'!$B$31+'Inputs'!$B$32)/1000+'Inputs'!$B$21)+'Inputs'!$B$7)/SQRT((((375-43)*MAX('Inputs'!$B$33,'Inputs'!$B$29+'Inputs'!$B$31+'Inputs'!$B$32,'Inputs'!$B$30+'Inputs'!$B$31+'Inputs'!$B$32)/1000+'Inputs'!$B$21)+'Inputs'!$B$7)^2+('Inputs'!$B$6/2)^2)-(((375-43)*MAX('Inputs'!$B$33,'Inputs'!$B$29+'Inputs'!$B$31+'Inputs'!$B$32,'Inputs'!$B$30+'Inputs'!$B$31+'Inputs'!$B$32)/1000+'Inputs'!$B$21))/SQRT((((375-43)*MAX('Inputs'!$B$33,'Inputs'!$B$29+'Inputs'!$B$31+'Inputs'!$B$32,'Inputs'!$B$30+'Inputs'!$B$31+'Inputs'!$B$32)/1000+'Inputs'!$B$21))^2+('Inputs'!$B$6/2)^2)))-'Results'!C7*(1-'Inputs'!$B$24)*(0.5*((((375-43)*MAX('Inputs'!$B$33,'Inputs'!$B$29+'Inputs'!$B$31+'Inputs'!$B$32,'Inputs'!$B$30+'Inputs'!$B$31+'Inputs'!$B$32)/1000+'Inputs'!$B$21+'Inputs'!$B$7+'Inputs'!$B$10)+'Inputs'!$B$9)/SQRT((((375-43)*MAX('Inputs'!$B$33,'Inputs'!$B$29+'Inputs'!$B$31+'Inputs'!$B$32,'Inputs'!$B$30+'Inputs'!$B$31+'Inputs'!$B$32)/1000+'Inputs'!$B$21+'Inputs'!$B$7+'Inputs'!$B$10)+'Inputs'!$B$9)^2+('Inputs'!$B$8/2)^2)-(((375-43)*MAX('Inputs'!$B$33,'Inputs'!$B$29+'Inputs'!$B$31+'Inputs'!$B$32,'Inputs'!$B$30+'Inputs'!$B$31+'Inputs'!$B$32)/1000+'Inputs'!$B$21+'Inputs'!$B$7+'Inputs'!$B$10))/SQRT((((375-43)*MAX('Inputs'!$B$33,'Inputs'!$B$29+'Inputs'!$B$31+'Inputs'!$B$32,'Inputs'!$B$30+'Inputs'!$B$31+'Inputs'!$B$32)/1000+'Inputs'!$B$21+'Inputs'!$B$7+'Inputs'!$B$10))^2+('Inputs'!$B$8/2)^2))))*'Results'!$B$8)+'Inputs'!$B$28*ABS((('Results'!B7*(1+'Inputs'!$B$24)*(0.5*((((375-43)*MAX('Inputs'!$B$33,'Inputs'!$B$29+'Inputs'!$B$31+'Inputs'!$B$32,'Inputs'!$B$30+'Inputs'!$B$31+'Inputs'!$B$32)/1000+'Inputs'!$B$21)+'Inputs'!$B$7)/SQRT((((375-43)*MAX('Inputs'!$B$33,'Inputs'!$B$29+'Inputs'!$B$31+'Inputs'!$B$32,'Inputs'!$B$30+'Inputs'!$B$31+'Inputs'!$B$32)/1000+'Inputs'!$B$21)+'Inputs'!$B$7)^2+('Inputs'!$B$6/2)^2)-(((375-43)*MAX('Inputs'!$B$33,'Inputs'!$B$29+'Inputs'!$B$31+'Inputs'!$B$32,'Inputs'!$B$30+'Inputs'!$B$31+'Inputs'!$B$32)/1000+'Inputs'!$B$21))/SQRT((((375-43)*MAX('Inputs'!$B$33,'Inputs'!$B$29+'Inputs'!$B$31+'Inputs'!$B$32,'Inputs'!$B$30+'Inputs'!$B$31+'Inputs'!$B$32)/1000+'Inputs'!$B$21))^2+('Inputs'!$B$6/2)^2)))-'Results'!C7*(1-'Inputs'!$B$24)*(0.5*((((375-43)*MAX('Inputs'!$B$33,'Inputs'!$B$29+'Inputs'!$B$31+'Inputs'!$B$32,'Inputs'!$B$30+'Inputs'!$B$31+'Inputs'!$B$32)/1000+'Inputs'!$B$21+'Inputs'!$B$7+'Inputs'!$B$10)+'Inputs'!$B$9)/SQRT((((375-43)*MAX('Inputs'!$B$33,'Inputs'!$B$29+'Inputs'!$B$31+'Inputs'!$B$32,'Inputs'!$B$30+'Inputs'!$B$31+'Inputs'!$B$32)/1000+'Inputs'!$B$21+'Inputs'!$B$7+'Inputs'!$B$10)+'Inputs'!$B$9)^2+('Inputs'!$B$8/2)^2)-(((375-43)*MAX('Inputs'!$B$33,'Inputs'!$B$29+'Inputs'!$B$31+'Inputs'!$B$32,'Inputs'!$B$30+'Inputs'!$B$31+'Inputs'!$B$32)/1000+'Inputs'!$B$21+'Inputs'!$B$7+'Inputs'!$B$10))/SQRT((((375-43)*MAX('Inputs'!$B$33,'Inputs'!$B$29+'Inputs'!$B$31+'Inputs'!$B$32,'Inputs'!$B$30+'Inputs'!$B$31+'Inputs'!$B$32)/1000+'Inputs'!$B$21+'Inputs'!$B$7+'Inputs'!$B$10))^2+('Inputs'!$B$8/2)^2))))*'Results'!$B$8))),"")</x:f>
        <x:v>17.841436320345093</x:v>
      </x:c>
      <x:c r="M375" t="n">
        <x:f>IF(AND(ISNUMBER('Results'!C7),ISNUMBER('Results'!B7),ISNUMBER('Results'!$B$8),ISNUMBER('Inputs'!$B$6),ISNUMBER('Inputs'!$B$7),ISNUMBER('Inputs'!$B$8),ISNUMBER('Inputs'!$B$9),ISNUMBER('Inputs'!$B$10),ISNUMBER('Inputs'!$B$21),ISNUMBER('Inputs'!$B$24),ISNUMBER('Inputs'!$B$28)),(('Results'!C7*(0.5*((((375-43)*MAX('Inputs'!$B$33,'Inputs'!$B$29+'Inputs'!$B$31+'Inputs'!$B$32,'Inputs'!$B$30+'Inputs'!$B$31+'Inputs'!$B$32)/1000+'Inputs'!$B$21)+'Inputs'!$B$9)/SQRT((((375-43)*MAX('Inputs'!$B$33,'Inputs'!$B$29+'Inputs'!$B$31+'Inputs'!$B$32,'Inputs'!$B$30+'Inputs'!$B$31+'Inputs'!$B$32)/1000+'Inputs'!$B$21)+'Inputs'!$B$9)^2+('Inputs'!$B$8/2)^2)-(((375-43)*MAX('Inputs'!$B$33,'Inputs'!$B$29+'Inputs'!$B$31+'Inputs'!$B$32,'Inputs'!$B$30+'Inputs'!$B$31+'Inputs'!$B$32)/1000+'Inputs'!$B$21))/SQRT((((375-43)*MAX('Inputs'!$B$33,'Inputs'!$B$29+'Inputs'!$B$31+'Inputs'!$B$32,'Inputs'!$B$30+'Inputs'!$B$31+'Inputs'!$B$32)/1000+'Inputs'!$B$21))^2+('Inputs'!$B$8/2)^2)))-'Results'!B7*(0.5*((((375-43)*MAX('Inputs'!$B$33,'Inputs'!$B$29+'Inputs'!$B$31+'Inputs'!$B$32,'Inputs'!$B$30+'Inputs'!$B$31+'Inputs'!$B$32)/1000+'Inputs'!$B$21+'Inputs'!$B$9+'Inputs'!$B$10)+'Inputs'!$B$7)/SQRT((((375-43)*MAX('Inputs'!$B$33,'Inputs'!$B$29+'Inputs'!$B$31+'Inputs'!$B$32,'Inputs'!$B$30+'Inputs'!$B$31+'Inputs'!$B$32)/1000+'Inputs'!$B$21+'Inputs'!$B$9+'Inputs'!$B$10)+'Inputs'!$B$7)^2+('Inputs'!$B$6/2)^2)-(((375-43)*MAX('Inputs'!$B$33,'Inputs'!$B$29+'Inputs'!$B$31+'Inputs'!$B$32,'Inputs'!$B$30+'Inputs'!$B$31+'Inputs'!$B$32)/1000+'Inputs'!$B$21+'Inputs'!$B$9+'Inputs'!$B$10))/SQRT((((375-43)*MAX('Inputs'!$B$33,'Inputs'!$B$29+'Inputs'!$B$31+'Inputs'!$B$32,'Inputs'!$B$30+'Inputs'!$B$31+'Inputs'!$B$32)/1000+'Inputs'!$B$21+'Inputs'!$B$9+'Inputs'!$B$10))^2+('Inputs'!$B$6/2)^2))))*'Results'!$B$8),"")</x:f>
        <x:v>15.35208649463538</x:v>
      </x:c>
      <x:c r="N375" t="n">
        <x:f>IF(AND(ISNUMBER('Results'!C7),ISNUMBER('Results'!B7),ISNUMBER('Results'!$B$8),ISNUMBER('Inputs'!$B$6),ISNUMBER('Inputs'!$B$7),ISNUMBER('Inputs'!$B$8),ISNUMBER('Inputs'!$B$9),ISNUMBER('Inputs'!$B$10),ISNUMBER('Inputs'!$B$21),ISNUMBER('Inputs'!$B$24),ISNUMBER('Inputs'!$B$28)),((('Results'!C7*(1-'Inputs'!$B$24)*(0.5*((((375-43)*MAX('Inputs'!$B$33,'Inputs'!$B$29+'Inputs'!$B$31+'Inputs'!$B$32,'Inputs'!$B$30+'Inputs'!$B$31+'Inputs'!$B$32)/1000+'Inputs'!$B$21)+'Inputs'!$B$9)/SQRT((((375-43)*MAX('Inputs'!$B$33,'Inputs'!$B$29+'Inputs'!$B$31+'Inputs'!$B$32,'Inputs'!$B$30+'Inputs'!$B$31+'Inputs'!$B$32)/1000+'Inputs'!$B$21)+'Inputs'!$B$9)^2+('Inputs'!$B$8/2)^2)-(((375-43)*MAX('Inputs'!$B$33,'Inputs'!$B$29+'Inputs'!$B$31+'Inputs'!$B$32,'Inputs'!$B$30+'Inputs'!$B$31+'Inputs'!$B$32)/1000+'Inputs'!$B$21))/SQRT((((375-43)*MAX('Inputs'!$B$33,'Inputs'!$B$29+'Inputs'!$B$31+'Inputs'!$B$32,'Inputs'!$B$30+'Inputs'!$B$31+'Inputs'!$B$32)/1000+'Inputs'!$B$21))^2+('Inputs'!$B$8/2)^2)))-'Results'!B7*(1+'Inputs'!$B$24)*(0.5*((((375-43)*MAX('Inputs'!$B$33,'Inputs'!$B$29+'Inputs'!$B$31+'Inputs'!$B$32,'Inputs'!$B$30+'Inputs'!$B$31+'Inputs'!$B$32)/1000+'Inputs'!$B$21+'Inputs'!$B$9+'Inputs'!$B$10)+'Inputs'!$B$7)/SQRT((((375-43)*MAX('Inputs'!$B$33,'Inputs'!$B$29+'Inputs'!$B$31+'Inputs'!$B$32,'Inputs'!$B$30+'Inputs'!$B$31+'Inputs'!$B$32)/1000+'Inputs'!$B$21+'Inputs'!$B$9+'Inputs'!$B$10)+'Inputs'!$B$7)^2+('Inputs'!$B$6/2)^2)-(((375-43)*MAX('Inputs'!$B$33,'Inputs'!$B$29+'Inputs'!$B$31+'Inputs'!$B$32,'Inputs'!$B$30+'Inputs'!$B$31+'Inputs'!$B$32)/1000+'Inputs'!$B$21+'Inputs'!$B$9+'Inputs'!$B$10))/SQRT((((375-43)*MAX('Inputs'!$B$33,'Inputs'!$B$29+'Inputs'!$B$31+'Inputs'!$B$32,'Inputs'!$B$30+'Inputs'!$B$31+'Inputs'!$B$32)/1000+'Inputs'!$B$21+'Inputs'!$B$9+'Inputs'!$B$10))^2+('Inputs'!$B$6/2)^2))))*'Results'!$B$8)-'Inputs'!$B$28*ABS((('Results'!C7*(1-'Inputs'!$B$24)*(0.5*((((375-43)*MAX('Inputs'!$B$33,'Inputs'!$B$29+'Inputs'!$B$31+'Inputs'!$B$32,'Inputs'!$B$30+'Inputs'!$B$31+'Inputs'!$B$32)/1000+'Inputs'!$B$21)+'Inputs'!$B$9)/SQRT((((375-43)*MAX('Inputs'!$B$33,'Inputs'!$B$29+'Inputs'!$B$31+'Inputs'!$B$32,'Inputs'!$B$30+'Inputs'!$B$31+'Inputs'!$B$32)/1000+'Inputs'!$B$21)+'Inputs'!$B$9)^2+('Inputs'!$B$8/2)^2)-(((375-43)*MAX('Inputs'!$B$33,'Inputs'!$B$29+'Inputs'!$B$31+'Inputs'!$B$32,'Inputs'!$B$30+'Inputs'!$B$31+'Inputs'!$B$32)/1000+'Inputs'!$B$21))/SQRT((((375-43)*MAX('Inputs'!$B$33,'Inputs'!$B$29+'Inputs'!$B$31+'Inputs'!$B$32,'Inputs'!$B$30+'Inputs'!$B$31+'Inputs'!$B$32)/1000+'Inputs'!$B$21))^2+('Inputs'!$B$8/2)^2)))-'Results'!B7*(1+'Inputs'!$B$24)*(0.5*((((375-43)*MAX('Inputs'!$B$33,'Inputs'!$B$29+'Inputs'!$B$31+'Inputs'!$B$32,'Inputs'!$B$30+'Inputs'!$B$31+'Inputs'!$B$32)/1000+'Inputs'!$B$21+'Inputs'!$B$9+'Inputs'!$B$10)+'Inputs'!$B$7)/SQRT((((375-43)*MAX('Inputs'!$B$33,'Inputs'!$B$29+'Inputs'!$B$31+'Inputs'!$B$32,'Inputs'!$B$30+'Inputs'!$B$31+'Inputs'!$B$32)/1000+'Inputs'!$B$21+'Inputs'!$B$9+'Inputs'!$B$10)+'Inputs'!$B$7)^2+('Inputs'!$B$6/2)^2)-(((375-43)*MAX('Inputs'!$B$33,'Inputs'!$B$29+'Inputs'!$B$31+'Inputs'!$B$32,'Inputs'!$B$30+'Inputs'!$B$31+'Inputs'!$B$32)/1000+'Inputs'!$B$21+'Inputs'!$B$9+'Inputs'!$B$10))/SQRT((((375-43)*MAX('Inputs'!$B$33,'Inputs'!$B$29+'Inputs'!$B$31+'Inputs'!$B$32,'Inputs'!$B$30+'Inputs'!$B$31+'Inputs'!$B$32)/1000+'Inputs'!$B$21+'Inputs'!$B$9+'Inputs'!$B$10))^2+('Inputs'!$B$6/2)^2))))*'Results'!$B$8))),"")</x:f>
        <x:v>13.81404160913456</x:v>
      </x:c>
      <x:c r="O375" t="n">
        <x:f>IF(AND(ISNUMBER('Results'!C7),ISNUMBER('Results'!B7),ISNUMBER('Results'!$B$8),ISNUMBER('Inputs'!$B$6),ISNUMBER('Inputs'!$B$7),ISNUMBER('Inputs'!$B$8),ISNUMBER('Inputs'!$B$9),ISNUMBER('Inputs'!$B$10),ISNUMBER('Inputs'!$B$21),ISNUMBER('Inputs'!$B$24),ISNUMBER('Inputs'!$B$28)),((('Results'!C7*(1+'Inputs'!$B$24)*(0.5*((((375-43)*MAX('Inputs'!$B$33,'Inputs'!$B$29+'Inputs'!$B$31+'Inputs'!$B$32,'Inputs'!$B$30+'Inputs'!$B$31+'Inputs'!$B$32)/1000+'Inputs'!$B$21)+'Inputs'!$B$9)/SQRT((((375-43)*MAX('Inputs'!$B$33,'Inputs'!$B$29+'Inputs'!$B$31+'Inputs'!$B$32,'Inputs'!$B$30+'Inputs'!$B$31+'Inputs'!$B$32)/1000+'Inputs'!$B$21)+'Inputs'!$B$9)^2+('Inputs'!$B$8/2)^2)-(((375-43)*MAX('Inputs'!$B$33,'Inputs'!$B$29+'Inputs'!$B$31+'Inputs'!$B$32,'Inputs'!$B$30+'Inputs'!$B$31+'Inputs'!$B$32)/1000+'Inputs'!$B$21))/SQRT((((375-43)*MAX('Inputs'!$B$33,'Inputs'!$B$29+'Inputs'!$B$31+'Inputs'!$B$32,'Inputs'!$B$30+'Inputs'!$B$31+'Inputs'!$B$32)/1000+'Inputs'!$B$21))^2+('Inputs'!$B$8/2)^2)))-'Results'!B7*(1-'Inputs'!$B$24)*(0.5*((((375-43)*MAX('Inputs'!$B$33,'Inputs'!$B$29+'Inputs'!$B$31+'Inputs'!$B$32,'Inputs'!$B$30+'Inputs'!$B$31+'Inputs'!$B$32)/1000+'Inputs'!$B$21+'Inputs'!$B$9+'Inputs'!$B$10)+'Inputs'!$B$7)/SQRT((((375-43)*MAX('Inputs'!$B$33,'Inputs'!$B$29+'Inputs'!$B$31+'Inputs'!$B$32,'Inputs'!$B$30+'Inputs'!$B$31+'Inputs'!$B$32)/1000+'Inputs'!$B$21+'Inputs'!$B$9+'Inputs'!$B$10)+'Inputs'!$B$7)^2+('Inputs'!$B$6/2)^2)-(((375-43)*MAX('Inputs'!$B$33,'Inputs'!$B$29+'Inputs'!$B$31+'Inputs'!$B$32,'Inputs'!$B$30+'Inputs'!$B$31+'Inputs'!$B$32)/1000+'Inputs'!$B$21+'Inputs'!$B$9+'Inputs'!$B$10))/SQRT((((375-43)*MAX('Inputs'!$B$33,'Inputs'!$B$29+'Inputs'!$B$31+'Inputs'!$B$32,'Inputs'!$B$30+'Inputs'!$B$31+'Inputs'!$B$32)/1000+'Inputs'!$B$21+'Inputs'!$B$9+'Inputs'!$B$10))^2+('Inputs'!$B$6/2)^2))))*'Results'!$B$8)+'Inputs'!$B$28*ABS((('Results'!C7*(1+'Inputs'!$B$24)*(0.5*((((375-43)*MAX('Inputs'!$B$33,'Inputs'!$B$29+'Inputs'!$B$31+'Inputs'!$B$32,'Inputs'!$B$30+'Inputs'!$B$31+'Inputs'!$B$32)/1000+'Inputs'!$B$21)+'Inputs'!$B$9)/SQRT((((375-43)*MAX('Inputs'!$B$33,'Inputs'!$B$29+'Inputs'!$B$31+'Inputs'!$B$32,'Inputs'!$B$30+'Inputs'!$B$31+'Inputs'!$B$32)/1000+'Inputs'!$B$21)+'Inputs'!$B$9)^2+('Inputs'!$B$8/2)^2)-(((375-43)*MAX('Inputs'!$B$33,'Inputs'!$B$29+'Inputs'!$B$31+'Inputs'!$B$32,'Inputs'!$B$30+'Inputs'!$B$31+'Inputs'!$B$32)/1000+'Inputs'!$B$21))/SQRT((((375-43)*MAX('Inputs'!$B$33,'Inputs'!$B$29+'Inputs'!$B$31+'Inputs'!$B$32,'Inputs'!$B$30+'Inputs'!$B$31+'Inputs'!$B$32)/1000+'Inputs'!$B$21))^2+('Inputs'!$B$8/2)^2)))-'Results'!B7*(1-'Inputs'!$B$24)*(0.5*((((375-43)*MAX('Inputs'!$B$33,'Inputs'!$B$29+'Inputs'!$B$31+'Inputs'!$B$32,'Inputs'!$B$30+'Inputs'!$B$31+'Inputs'!$B$32)/1000+'Inputs'!$B$21+'Inputs'!$B$9+'Inputs'!$B$10)+'Inputs'!$B$7)/SQRT((((375-43)*MAX('Inputs'!$B$33,'Inputs'!$B$29+'Inputs'!$B$31+'Inputs'!$B$32,'Inputs'!$B$30+'Inputs'!$B$31+'Inputs'!$B$32)/1000+'Inputs'!$B$21+'Inputs'!$B$9+'Inputs'!$B$10)+'Inputs'!$B$7)^2+('Inputs'!$B$6/2)^2)-(((375-43)*MAX('Inputs'!$B$33,'Inputs'!$B$29+'Inputs'!$B$31+'Inputs'!$B$32,'Inputs'!$B$30+'Inputs'!$B$31+'Inputs'!$B$32)/1000+'Inputs'!$B$21+'Inputs'!$B$9+'Inputs'!$B$10))/SQRT((((375-43)*MAX('Inputs'!$B$33,'Inputs'!$B$29+'Inputs'!$B$31+'Inputs'!$B$32,'Inputs'!$B$30+'Inputs'!$B$31+'Inputs'!$B$32)/1000+'Inputs'!$B$21+'Inputs'!$B$9+'Inputs'!$B$10))^2+('Inputs'!$B$6/2)^2))))*'Results'!$B$8))),"")</x:f>
        <x:v>16.971230386532948</x:v>
      </x:c>
      <x:c r="P375" t="n">
        <x:f>IF(AND(MAX(J375,J374)&gt;0,J375&gt;J374+0.00000001),1,0)</x:f>
        <x:v>0</x:v>
      </x:c>
      <x:c r="Q375" t="n">
        <x:f>IF(AND(MAX(K375,K374)&gt;0,K375&gt;K374+0.00000001),1,0)</x:f>
        <x:v>0</x:v>
      </x:c>
      <x:c r="R375" t="n">
        <x:f>IF(AND(MAX(L375,L374)&gt;0,L375&gt;L374+0.00000001),1,0)</x:f>
        <x:v>0</x:v>
      </x:c>
      <x:c r="S375" t="n">
        <x:f>IF(AND(MAX(M375,M374)&gt;0,M375&gt;M374+0.00000001),1,0)</x:f>
        <x:v>0</x:v>
      </x:c>
      <x:c r="T375" t="n">
        <x:f>IF(AND(MAX(N375,N374)&gt;0,N375&gt;N374+0.00000001),1,0)</x:f>
        <x:v>0</x:v>
      </x:c>
      <x:c r="U375" t="n">
        <x:f>IF(AND(MAX(O375,O374)&gt;0,O375&gt;O374+0.00000001),1,0)</x:f>
        <x:v>0</x:v>
      </x:c>
    </x:row>
    <x:row r="376">
      <x:c r="J376" t="n">
        <x:f>IF(AND(ISNUMBER('Results'!B7),ISNUMBER('Results'!C7),ISNUMBER('Results'!$B$8),ISNUMBER('Inputs'!$B$6),ISNUMBER('Inputs'!$B$7),ISNUMBER('Inputs'!$B$8),ISNUMBER('Inputs'!$B$9),ISNUMBER('Inputs'!$B$10),ISNUMBER('Inputs'!$B$21),ISNUMBER('Inputs'!$B$24),ISNUMBER('Inputs'!$B$28)),(('Results'!B7*(0.5*((((376-43)*MAX('Inputs'!$B$33,'Inputs'!$B$29+'Inputs'!$B$31+'Inputs'!$B$32,'Inputs'!$B$30+'Inputs'!$B$31+'Inputs'!$B$32)/1000+'Inputs'!$B$21)+'Inputs'!$B$7)/SQRT((((376-43)*MAX('Inputs'!$B$33,'Inputs'!$B$29+'Inputs'!$B$31+'Inputs'!$B$32,'Inputs'!$B$30+'Inputs'!$B$31+'Inputs'!$B$32)/1000+'Inputs'!$B$21)+'Inputs'!$B$7)^2+('Inputs'!$B$6/2)^2)-(((376-43)*MAX('Inputs'!$B$33,'Inputs'!$B$29+'Inputs'!$B$31+'Inputs'!$B$32,'Inputs'!$B$30+'Inputs'!$B$31+'Inputs'!$B$32)/1000+'Inputs'!$B$21))/SQRT((((376-43)*MAX('Inputs'!$B$33,'Inputs'!$B$29+'Inputs'!$B$31+'Inputs'!$B$32,'Inputs'!$B$30+'Inputs'!$B$31+'Inputs'!$B$32)/1000+'Inputs'!$B$21))^2+('Inputs'!$B$6/2)^2)))-'Results'!C7*(0.5*((((376-43)*MAX('Inputs'!$B$33,'Inputs'!$B$29+'Inputs'!$B$31+'Inputs'!$B$32,'Inputs'!$B$30+'Inputs'!$B$31+'Inputs'!$B$32)/1000+'Inputs'!$B$21+'Inputs'!$B$7+'Inputs'!$B$10)+'Inputs'!$B$9)/SQRT((((376-43)*MAX('Inputs'!$B$33,'Inputs'!$B$29+'Inputs'!$B$31+'Inputs'!$B$32,'Inputs'!$B$30+'Inputs'!$B$31+'Inputs'!$B$32)/1000+'Inputs'!$B$21+'Inputs'!$B$7+'Inputs'!$B$10)+'Inputs'!$B$9)^2+('Inputs'!$B$8/2)^2)-(((376-43)*MAX('Inputs'!$B$33,'Inputs'!$B$29+'Inputs'!$B$31+'Inputs'!$B$32,'Inputs'!$B$30+'Inputs'!$B$31+'Inputs'!$B$32)/1000+'Inputs'!$B$21+'Inputs'!$B$7+'Inputs'!$B$10))/SQRT((((376-43)*MAX('Inputs'!$B$33,'Inputs'!$B$29+'Inputs'!$B$31+'Inputs'!$B$32,'Inputs'!$B$30+'Inputs'!$B$31+'Inputs'!$B$32)/1000+'Inputs'!$B$21+'Inputs'!$B$7+'Inputs'!$B$10))^2+('Inputs'!$B$8/2)^2))))*'Results'!$B$8),"")</x:f>
        <x:v>16.020503370054488</x:v>
      </x:c>
      <x:c r="K376" t="n">
        <x:f>IF(AND(ISNUMBER('Results'!B7),ISNUMBER('Results'!C7),ISNUMBER('Results'!$B$8),ISNUMBER('Inputs'!$B$6),ISNUMBER('Inputs'!$B$7),ISNUMBER('Inputs'!$B$8),ISNUMBER('Inputs'!$B$9),ISNUMBER('Inputs'!$B$10),ISNUMBER('Inputs'!$B$21),ISNUMBER('Inputs'!$B$24),ISNUMBER('Inputs'!$B$28)),((('Results'!B7*(1-'Inputs'!$B$24)*(0.5*((((376-43)*MAX('Inputs'!$B$33,'Inputs'!$B$29+'Inputs'!$B$31+'Inputs'!$B$32,'Inputs'!$B$30+'Inputs'!$B$31+'Inputs'!$B$32)/1000+'Inputs'!$B$21)+'Inputs'!$B$7)/SQRT((((376-43)*MAX('Inputs'!$B$33,'Inputs'!$B$29+'Inputs'!$B$31+'Inputs'!$B$32,'Inputs'!$B$30+'Inputs'!$B$31+'Inputs'!$B$32)/1000+'Inputs'!$B$21)+'Inputs'!$B$7)^2+('Inputs'!$B$6/2)^2)-(((376-43)*MAX('Inputs'!$B$33,'Inputs'!$B$29+'Inputs'!$B$31+'Inputs'!$B$32,'Inputs'!$B$30+'Inputs'!$B$31+'Inputs'!$B$32)/1000+'Inputs'!$B$21))/SQRT((((376-43)*MAX('Inputs'!$B$33,'Inputs'!$B$29+'Inputs'!$B$31+'Inputs'!$B$32,'Inputs'!$B$30+'Inputs'!$B$31+'Inputs'!$B$32)/1000+'Inputs'!$B$21))^2+('Inputs'!$B$6/2)^2)))-'Results'!C7*(1+'Inputs'!$B$24)*(0.5*((((376-43)*MAX('Inputs'!$B$33,'Inputs'!$B$29+'Inputs'!$B$31+'Inputs'!$B$32,'Inputs'!$B$30+'Inputs'!$B$31+'Inputs'!$B$32)/1000+'Inputs'!$B$21+'Inputs'!$B$7+'Inputs'!$B$10)+'Inputs'!$B$9)/SQRT((((376-43)*MAX('Inputs'!$B$33,'Inputs'!$B$29+'Inputs'!$B$31+'Inputs'!$B$32,'Inputs'!$B$30+'Inputs'!$B$31+'Inputs'!$B$32)/1000+'Inputs'!$B$21+'Inputs'!$B$7+'Inputs'!$B$10)+'Inputs'!$B$9)^2+('Inputs'!$B$8/2)^2)-(((376-43)*MAX('Inputs'!$B$33,'Inputs'!$B$29+'Inputs'!$B$31+'Inputs'!$B$32,'Inputs'!$B$30+'Inputs'!$B$31+'Inputs'!$B$32)/1000+'Inputs'!$B$21+'Inputs'!$B$7+'Inputs'!$B$10))/SQRT((((376-43)*MAX('Inputs'!$B$33,'Inputs'!$B$29+'Inputs'!$B$31+'Inputs'!$B$32,'Inputs'!$B$30+'Inputs'!$B$31+'Inputs'!$B$32)/1000+'Inputs'!$B$21+'Inputs'!$B$7+'Inputs'!$B$10))^2+('Inputs'!$B$8/2)^2))))*'Results'!$B$8)-'Inputs'!$B$28*ABS((('Results'!B7*(1-'Inputs'!$B$24)*(0.5*((((376-43)*MAX('Inputs'!$B$33,'Inputs'!$B$29+'Inputs'!$B$31+'Inputs'!$B$32,'Inputs'!$B$30+'Inputs'!$B$31+'Inputs'!$B$32)/1000+'Inputs'!$B$21)+'Inputs'!$B$7)/SQRT((((376-43)*MAX('Inputs'!$B$33,'Inputs'!$B$29+'Inputs'!$B$31+'Inputs'!$B$32,'Inputs'!$B$30+'Inputs'!$B$31+'Inputs'!$B$32)/1000+'Inputs'!$B$21)+'Inputs'!$B$7)^2+('Inputs'!$B$6/2)^2)-(((376-43)*MAX('Inputs'!$B$33,'Inputs'!$B$29+'Inputs'!$B$31+'Inputs'!$B$32,'Inputs'!$B$30+'Inputs'!$B$31+'Inputs'!$B$32)/1000+'Inputs'!$B$21))/SQRT((((376-43)*MAX('Inputs'!$B$33,'Inputs'!$B$29+'Inputs'!$B$31+'Inputs'!$B$32,'Inputs'!$B$30+'Inputs'!$B$31+'Inputs'!$B$32)/1000+'Inputs'!$B$21))^2+('Inputs'!$B$6/2)^2)))-'Results'!C7*(1+'Inputs'!$B$24)*(0.5*((((376-43)*MAX('Inputs'!$B$33,'Inputs'!$B$29+'Inputs'!$B$31+'Inputs'!$B$32,'Inputs'!$B$30+'Inputs'!$B$31+'Inputs'!$B$32)/1000+'Inputs'!$B$21+'Inputs'!$B$7+'Inputs'!$B$10)+'Inputs'!$B$9)/SQRT((((376-43)*MAX('Inputs'!$B$33,'Inputs'!$B$29+'Inputs'!$B$31+'Inputs'!$B$32,'Inputs'!$B$30+'Inputs'!$B$31+'Inputs'!$B$32)/1000+'Inputs'!$B$21+'Inputs'!$B$7+'Inputs'!$B$10)+'Inputs'!$B$9)^2+('Inputs'!$B$8/2)^2)-(((376-43)*MAX('Inputs'!$B$33,'Inputs'!$B$29+'Inputs'!$B$31+'Inputs'!$B$32,'Inputs'!$B$30+'Inputs'!$B$31+'Inputs'!$B$32)/1000+'Inputs'!$B$21+'Inputs'!$B$7+'Inputs'!$B$10))/SQRT((((376-43)*MAX('Inputs'!$B$33,'Inputs'!$B$29+'Inputs'!$B$31+'Inputs'!$B$32,'Inputs'!$B$30+'Inputs'!$B$31+'Inputs'!$B$32)/1000+'Inputs'!$B$21+'Inputs'!$B$7+'Inputs'!$B$10))^2+('Inputs'!$B$8/2)^2))))*'Results'!$B$8))),"")</x:f>
        <x:v>14.448839122881687</x:v>
      </x:c>
      <x:c r="L376" t="n">
        <x:f>IF(AND(ISNUMBER('Results'!B7),ISNUMBER('Results'!C7),ISNUMBER('Results'!$B$8),ISNUMBER('Inputs'!$B$6),ISNUMBER('Inputs'!$B$7),ISNUMBER('Inputs'!$B$8),ISNUMBER('Inputs'!$B$9),ISNUMBER('Inputs'!$B$10),ISNUMBER('Inputs'!$B$21),ISNUMBER('Inputs'!$B$24),ISNUMBER('Inputs'!$B$28)),((('Results'!B7*(1+'Inputs'!$B$24)*(0.5*((((376-43)*MAX('Inputs'!$B$33,'Inputs'!$B$29+'Inputs'!$B$31+'Inputs'!$B$32,'Inputs'!$B$30+'Inputs'!$B$31+'Inputs'!$B$32)/1000+'Inputs'!$B$21)+'Inputs'!$B$7)/SQRT((((376-43)*MAX('Inputs'!$B$33,'Inputs'!$B$29+'Inputs'!$B$31+'Inputs'!$B$32,'Inputs'!$B$30+'Inputs'!$B$31+'Inputs'!$B$32)/1000+'Inputs'!$B$21)+'Inputs'!$B$7)^2+('Inputs'!$B$6/2)^2)-(((376-43)*MAX('Inputs'!$B$33,'Inputs'!$B$29+'Inputs'!$B$31+'Inputs'!$B$32,'Inputs'!$B$30+'Inputs'!$B$31+'Inputs'!$B$32)/1000+'Inputs'!$B$21))/SQRT((((376-43)*MAX('Inputs'!$B$33,'Inputs'!$B$29+'Inputs'!$B$31+'Inputs'!$B$32,'Inputs'!$B$30+'Inputs'!$B$31+'Inputs'!$B$32)/1000+'Inputs'!$B$21))^2+('Inputs'!$B$6/2)^2)))-'Results'!C7*(1-'Inputs'!$B$24)*(0.5*((((376-43)*MAX('Inputs'!$B$33,'Inputs'!$B$29+'Inputs'!$B$31+'Inputs'!$B$32,'Inputs'!$B$30+'Inputs'!$B$31+'Inputs'!$B$32)/1000+'Inputs'!$B$21+'Inputs'!$B$7+'Inputs'!$B$10)+'Inputs'!$B$9)/SQRT((((376-43)*MAX('Inputs'!$B$33,'Inputs'!$B$29+'Inputs'!$B$31+'Inputs'!$B$32,'Inputs'!$B$30+'Inputs'!$B$31+'Inputs'!$B$32)/1000+'Inputs'!$B$21+'Inputs'!$B$7+'Inputs'!$B$10)+'Inputs'!$B$9)^2+('Inputs'!$B$8/2)^2)-(((376-43)*MAX('Inputs'!$B$33,'Inputs'!$B$29+'Inputs'!$B$31+'Inputs'!$B$32,'Inputs'!$B$30+'Inputs'!$B$31+'Inputs'!$B$32)/1000+'Inputs'!$B$21+'Inputs'!$B$7+'Inputs'!$B$10))/SQRT((((376-43)*MAX('Inputs'!$B$33,'Inputs'!$B$29+'Inputs'!$B$31+'Inputs'!$B$32,'Inputs'!$B$30+'Inputs'!$B$31+'Inputs'!$B$32)/1000+'Inputs'!$B$21+'Inputs'!$B$7+'Inputs'!$B$10))^2+('Inputs'!$B$8/2)^2))))*'Results'!$B$8)+'Inputs'!$B$28*ABS((('Results'!B7*(1+'Inputs'!$B$24)*(0.5*((((376-43)*MAX('Inputs'!$B$33,'Inputs'!$B$29+'Inputs'!$B$31+'Inputs'!$B$32,'Inputs'!$B$30+'Inputs'!$B$31+'Inputs'!$B$32)/1000+'Inputs'!$B$21)+'Inputs'!$B$7)/SQRT((((376-43)*MAX('Inputs'!$B$33,'Inputs'!$B$29+'Inputs'!$B$31+'Inputs'!$B$32,'Inputs'!$B$30+'Inputs'!$B$31+'Inputs'!$B$32)/1000+'Inputs'!$B$21)+'Inputs'!$B$7)^2+('Inputs'!$B$6/2)^2)-(((376-43)*MAX('Inputs'!$B$33,'Inputs'!$B$29+'Inputs'!$B$31+'Inputs'!$B$32,'Inputs'!$B$30+'Inputs'!$B$31+'Inputs'!$B$32)/1000+'Inputs'!$B$21))/SQRT((((376-43)*MAX('Inputs'!$B$33,'Inputs'!$B$29+'Inputs'!$B$31+'Inputs'!$B$32,'Inputs'!$B$30+'Inputs'!$B$31+'Inputs'!$B$32)/1000+'Inputs'!$B$21))^2+('Inputs'!$B$6/2)^2)))-'Results'!C7*(1-'Inputs'!$B$24)*(0.5*((((376-43)*MAX('Inputs'!$B$33,'Inputs'!$B$29+'Inputs'!$B$31+'Inputs'!$B$32,'Inputs'!$B$30+'Inputs'!$B$31+'Inputs'!$B$32)/1000+'Inputs'!$B$21+'Inputs'!$B$7+'Inputs'!$B$10)+'Inputs'!$B$9)/SQRT((((376-43)*MAX('Inputs'!$B$33,'Inputs'!$B$29+'Inputs'!$B$31+'Inputs'!$B$32,'Inputs'!$B$30+'Inputs'!$B$31+'Inputs'!$B$32)/1000+'Inputs'!$B$21+'Inputs'!$B$7+'Inputs'!$B$10)+'Inputs'!$B$9)^2+('Inputs'!$B$8/2)^2)-(((376-43)*MAX('Inputs'!$B$33,'Inputs'!$B$29+'Inputs'!$B$31+'Inputs'!$B$32,'Inputs'!$B$30+'Inputs'!$B$31+'Inputs'!$B$32)/1000+'Inputs'!$B$21+'Inputs'!$B$7+'Inputs'!$B$10))/SQRT((((376-43)*MAX('Inputs'!$B$33,'Inputs'!$B$29+'Inputs'!$B$31+'Inputs'!$B$32,'Inputs'!$B$30+'Inputs'!$B$31+'Inputs'!$B$32)/1000+'Inputs'!$B$21+'Inputs'!$B$7+'Inputs'!$B$10))^2+('Inputs'!$B$8/2)^2))))*'Results'!$B$8))),"")</x:f>
        <x:v>17.673287520245193</x:v>
      </x:c>
      <x:c r="M376" t="n">
        <x:f>IF(AND(ISNUMBER('Results'!C7),ISNUMBER('Results'!B7),ISNUMBER('Results'!$B$8),ISNUMBER('Inputs'!$B$6),ISNUMBER('Inputs'!$B$7),ISNUMBER('Inputs'!$B$8),ISNUMBER('Inputs'!$B$9),ISNUMBER('Inputs'!$B$10),ISNUMBER('Inputs'!$B$21),ISNUMBER('Inputs'!$B$24),ISNUMBER('Inputs'!$B$28)),(('Results'!C7*(0.5*((((376-43)*MAX('Inputs'!$B$33,'Inputs'!$B$29+'Inputs'!$B$31+'Inputs'!$B$32,'Inputs'!$B$30+'Inputs'!$B$31+'Inputs'!$B$32)/1000+'Inputs'!$B$21)+'Inputs'!$B$9)/SQRT((((376-43)*MAX('Inputs'!$B$33,'Inputs'!$B$29+'Inputs'!$B$31+'Inputs'!$B$32,'Inputs'!$B$30+'Inputs'!$B$31+'Inputs'!$B$32)/1000+'Inputs'!$B$21)+'Inputs'!$B$9)^2+('Inputs'!$B$8/2)^2)-(((376-43)*MAX('Inputs'!$B$33,'Inputs'!$B$29+'Inputs'!$B$31+'Inputs'!$B$32,'Inputs'!$B$30+'Inputs'!$B$31+'Inputs'!$B$32)/1000+'Inputs'!$B$21))/SQRT((((376-43)*MAX('Inputs'!$B$33,'Inputs'!$B$29+'Inputs'!$B$31+'Inputs'!$B$32,'Inputs'!$B$30+'Inputs'!$B$31+'Inputs'!$B$32)/1000+'Inputs'!$B$21))^2+('Inputs'!$B$8/2)^2)))-'Results'!B7*(0.5*((((376-43)*MAX('Inputs'!$B$33,'Inputs'!$B$29+'Inputs'!$B$31+'Inputs'!$B$32,'Inputs'!$B$30+'Inputs'!$B$31+'Inputs'!$B$32)/1000+'Inputs'!$B$21+'Inputs'!$B$9+'Inputs'!$B$10)+'Inputs'!$B$7)/SQRT((((376-43)*MAX('Inputs'!$B$33,'Inputs'!$B$29+'Inputs'!$B$31+'Inputs'!$B$32,'Inputs'!$B$30+'Inputs'!$B$31+'Inputs'!$B$32)/1000+'Inputs'!$B$21+'Inputs'!$B$9+'Inputs'!$B$10)+'Inputs'!$B$7)^2+('Inputs'!$B$6/2)^2)-(((376-43)*MAX('Inputs'!$B$33,'Inputs'!$B$29+'Inputs'!$B$31+'Inputs'!$B$32,'Inputs'!$B$30+'Inputs'!$B$31+'Inputs'!$B$32)/1000+'Inputs'!$B$21+'Inputs'!$B$9+'Inputs'!$B$10))/SQRT((((376-43)*MAX('Inputs'!$B$33,'Inputs'!$B$29+'Inputs'!$B$31+'Inputs'!$B$32,'Inputs'!$B$30+'Inputs'!$B$31+'Inputs'!$B$32)/1000+'Inputs'!$B$21+'Inputs'!$B$9+'Inputs'!$B$10))^2+('Inputs'!$B$6/2)^2))))*'Results'!$B$8),"")</x:f>
        <x:v>15.204296289234872</x:v>
      </x:c>
      <x:c r="N376" t="n">
        <x:f>IF(AND(ISNUMBER('Results'!C7),ISNUMBER('Results'!B7),ISNUMBER('Results'!$B$8),ISNUMBER('Inputs'!$B$6),ISNUMBER('Inputs'!$B$7),ISNUMBER('Inputs'!$B$8),ISNUMBER('Inputs'!$B$9),ISNUMBER('Inputs'!$B$10),ISNUMBER('Inputs'!$B$21),ISNUMBER('Inputs'!$B$24),ISNUMBER('Inputs'!$B$28)),((('Results'!C7*(1-'Inputs'!$B$24)*(0.5*((((376-43)*MAX('Inputs'!$B$33,'Inputs'!$B$29+'Inputs'!$B$31+'Inputs'!$B$32,'Inputs'!$B$30+'Inputs'!$B$31+'Inputs'!$B$32)/1000+'Inputs'!$B$21)+'Inputs'!$B$9)/SQRT((((376-43)*MAX('Inputs'!$B$33,'Inputs'!$B$29+'Inputs'!$B$31+'Inputs'!$B$32,'Inputs'!$B$30+'Inputs'!$B$31+'Inputs'!$B$32)/1000+'Inputs'!$B$21)+'Inputs'!$B$9)^2+('Inputs'!$B$8/2)^2)-(((376-43)*MAX('Inputs'!$B$33,'Inputs'!$B$29+'Inputs'!$B$31+'Inputs'!$B$32,'Inputs'!$B$30+'Inputs'!$B$31+'Inputs'!$B$32)/1000+'Inputs'!$B$21))/SQRT((((376-43)*MAX('Inputs'!$B$33,'Inputs'!$B$29+'Inputs'!$B$31+'Inputs'!$B$32,'Inputs'!$B$30+'Inputs'!$B$31+'Inputs'!$B$32)/1000+'Inputs'!$B$21))^2+('Inputs'!$B$8/2)^2)))-'Results'!B7*(1+'Inputs'!$B$24)*(0.5*((((376-43)*MAX('Inputs'!$B$33,'Inputs'!$B$29+'Inputs'!$B$31+'Inputs'!$B$32,'Inputs'!$B$30+'Inputs'!$B$31+'Inputs'!$B$32)/1000+'Inputs'!$B$21+'Inputs'!$B$9+'Inputs'!$B$10)+'Inputs'!$B$7)/SQRT((((376-43)*MAX('Inputs'!$B$33,'Inputs'!$B$29+'Inputs'!$B$31+'Inputs'!$B$32,'Inputs'!$B$30+'Inputs'!$B$31+'Inputs'!$B$32)/1000+'Inputs'!$B$21+'Inputs'!$B$9+'Inputs'!$B$10)+'Inputs'!$B$7)^2+('Inputs'!$B$6/2)^2)-(((376-43)*MAX('Inputs'!$B$33,'Inputs'!$B$29+'Inputs'!$B$31+'Inputs'!$B$32,'Inputs'!$B$30+'Inputs'!$B$31+'Inputs'!$B$32)/1000+'Inputs'!$B$21+'Inputs'!$B$9+'Inputs'!$B$10))/SQRT((((376-43)*MAX('Inputs'!$B$33,'Inputs'!$B$29+'Inputs'!$B$31+'Inputs'!$B$32,'Inputs'!$B$30+'Inputs'!$B$31+'Inputs'!$B$32)/1000+'Inputs'!$B$21+'Inputs'!$B$9+'Inputs'!$B$10))^2+('Inputs'!$B$6/2)^2))))*'Results'!$B$8)-'Inputs'!$B$28*ABS((('Results'!C7*(1-'Inputs'!$B$24)*(0.5*((((376-43)*MAX('Inputs'!$B$33,'Inputs'!$B$29+'Inputs'!$B$31+'Inputs'!$B$32,'Inputs'!$B$30+'Inputs'!$B$31+'Inputs'!$B$32)/1000+'Inputs'!$B$21)+'Inputs'!$B$9)/SQRT((((376-43)*MAX('Inputs'!$B$33,'Inputs'!$B$29+'Inputs'!$B$31+'Inputs'!$B$32,'Inputs'!$B$30+'Inputs'!$B$31+'Inputs'!$B$32)/1000+'Inputs'!$B$21)+'Inputs'!$B$9)^2+('Inputs'!$B$8/2)^2)-(((376-43)*MAX('Inputs'!$B$33,'Inputs'!$B$29+'Inputs'!$B$31+'Inputs'!$B$32,'Inputs'!$B$30+'Inputs'!$B$31+'Inputs'!$B$32)/1000+'Inputs'!$B$21))/SQRT((((376-43)*MAX('Inputs'!$B$33,'Inputs'!$B$29+'Inputs'!$B$31+'Inputs'!$B$32,'Inputs'!$B$30+'Inputs'!$B$31+'Inputs'!$B$32)/1000+'Inputs'!$B$21))^2+('Inputs'!$B$8/2)^2)))-'Results'!B7*(1+'Inputs'!$B$24)*(0.5*((((376-43)*MAX('Inputs'!$B$33,'Inputs'!$B$29+'Inputs'!$B$31+'Inputs'!$B$32,'Inputs'!$B$30+'Inputs'!$B$31+'Inputs'!$B$32)/1000+'Inputs'!$B$21+'Inputs'!$B$9+'Inputs'!$B$10)+'Inputs'!$B$7)/SQRT((((376-43)*MAX('Inputs'!$B$33,'Inputs'!$B$29+'Inputs'!$B$31+'Inputs'!$B$32,'Inputs'!$B$30+'Inputs'!$B$31+'Inputs'!$B$32)/1000+'Inputs'!$B$21+'Inputs'!$B$9+'Inputs'!$B$10)+'Inputs'!$B$7)^2+('Inputs'!$B$6/2)^2)-(((376-43)*MAX('Inputs'!$B$33,'Inputs'!$B$29+'Inputs'!$B$31+'Inputs'!$B$32,'Inputs'!$B$30+'Inputs'!$B$31+'Inputs'!$B$32)/1000+'Inputs'!$B$21+'Inputs'!$B$9+'Inputs'!$B$10))/SQRT((((376-43)*MAX('Inputs'!$B$33,'Inputs'!$B$29+'Inputs'!$B$31+'Inputs'!$B$32,'Inputs'!$B$30+'Inputs'!$B$31+'Inputs'!$B$32)/1000+'Inputs'!$B$21+'Inputs'!$B$9+'Inputs'!$B$10))^2+('Inputs'!$B$6/2)^2))))*'Results'!$B$8))),"")</x:f>
        <x:v>13.679435034421498</x:v>
      </x:c>
      <x:c r="O376" t="n">
        <x:f>IF(AND(ISNUMBER('Results'!C7),ISNUMBER('Results'!B7),ISNUMBER('Results'!$B$8),ISNUMBER('Inputs'!$B$6),ISNUMBER('Inputs'!$B$7),ISNUMBER('Inputs'!$B$8),ISNUMBER('Inputs'!$B$9),ISNUMBER('Inputs'!$B$10),ISNUMBER('Inputs'!$B$21),ISNUMBER('Inputs'!$B$24),ISNUMBER('Inputs'!$B$28)),((('Results'!C7*(1+'Inputs'!$B$24)*(0.5*((((376-43)*MAX('Inputs'!$B$33,'Inputs'!$B$29+'Inputs'!$B$31+'Inputs'!$B$32,'Inputs'!$B$30+'Inputs'!$B$31+'Inputs'!$B$32)/1000+'Inputs'!$B$21)+'Inputs'!$B$9)/SQRT((((376-43)*MAX('Inputs'!$B$33,'Inputs'!$B$29+'Inputs'!$B$31+'Inputs'!$B$32,'Inputs'!$B$30+'Inputs'!$B$31+'Inputs'!$B$32)/1000+'Inputs'!$B$21)+'Inputs'!$B$9)^2+('Inputs'!$B$8/2)^2)-(((376-43)*MAX('Inputs'!$B$33,'Inputs'!$B$29+'Inputs'!$B$31+'Inputs'!$B$32,'Inputs'!$B$30+'Inputs'!$B$31+'Inputs'!$B$32)/1000+'Inputs'!$B$21))/SQRT((((376-43)*MAX('Inputs'!$B$33,'Inputs'!$B$29+'Inputs'!$B$31+'Inputs'!$B$32,'Inputs'!$B$30+'Inputs'!$B$31+'Inputs'!$B$32)/1000+'Inputs'!$B$21))^2+('Inputs'!$B$8/2)^2)))-'Results'!B7*(1-'Inputs'!$B$24)*(0.5*((((376-43)*MAX('Inputs'!$B$33,'Inputs'!$B$29+'Inputs'!$B$31+'Inputs'!$B$32,'Inputs'!$B$30+'Inputs'!$B$31+'Inputs'!$B$32)/1000+'Inputs'!$B$21+'Inputs'!$B$9+'Inputs'!$B$10)+'Inputs'!$B$7)/SQRT((((376-43)*MAX('Inputs'!$B$33,'Inputs'!$B$29+'Inputs'!$B$31+'Inputs'!$B$32,'Inputs'!$B$30+'Inputs'!$B$31+'Inputs'!$B$32)/1000+'Inputs'!$B$21+'Inputs'!$B$9+'Inputs'!$B$10)+'Inputs'!$B$7)^2+('Inputs'!$B$6/2)^2)-(((376-43)*MAX('Inputs'!$B$33,'Inputs'!$B$29+'Inputs'!$B$31+'Inputs'!$B$32,'Inputs'!$B$30+'Inputs'!$B$31+'Inputs'!$B$32)/1000+'Inputs'!$B$21+'Inputs'!$B$9+'Inputs'!$B$10))/SQRT((((376-43)*MAX('Inputs'!$B$33,'Inputs'!$B$29+'Inputs'!$B$31+'Inputs'!$B$32,'Inputs'!$B$30+'Inputs'!$B$31+'Inputs'!$B$32)/1000+'Inputs'!$B$21+'Inputs'!$B$9+'Inputs'!$B$10))^2+('Inputs'!$B$6/2)^2))))*'Results'!$B$8)+'Inputs'!$B$28*ABS((('Results'!C7*(1+'Inputs'!$B$24)*(0.5*((((376-43)*MAX('Inputs'!$B$33,'Inputs'!$B$29+'Inputs'!$B$31+'Inputs'!$B$32,'Inputs'!$B$30+'Inputs'!$B$31+'Inputs'!$B$32)/1000+'Inputs'!$B$21)+'Inputs'!$B$9)/SQRT((((376-43)*MAX('Inputs'!$B$33,'Inputs'!$B$29+'Inputs'!$B$31+'Inputs'!$B$32,'Inputs'!$B$30+'Inputs'!$B$31+'Inputs'!$B$32)/1000+'Inputs'!$B$21)+'Inputs'!$B$9)^2+('Inputs'!$B$8/2)^2)-(((376-43)*MAX('Inputs'!$B$33,'Inputs'!$B$29+'Inputs'!$B$31+'Inputs'!$B$32,'Inputs'!$B$30+'Inputs'!$B$31+'Inputs'!$B$32)/1000+'Inputs'!$B$21))/SQRT((((376-43)*MAX('Inputs'!$B$33,'Inputs'!$B$29+'Inputs'!$B$31+'Inputs'!$B$32,'Inputs'!$B$30+'Inputs'!$B$31+'Inputs'!$B$32)/1000+'Inputs'!$B$21))^2+('Inputs'!$B$8/2)^2)))-'Results'!B7*(1-'Inputs'!$B$24)*(0.5*((((376-43)*MAX('Inputs'!$B$33,'Inputs'!$B$29+'Inputs'!$B$31+'Inputs'!$B$32,'Inputs'!$B$30+'Inputs'!$B$31+'Inputs'!$B$32)/1000+'Inputs'!$B$21+'Inputs'!$B$9+'Inputs'!$B$10)+'Inputs'!$B$7)/SQRT((((376-43)*MAX('Inputs'!$B$33,'Inputs'!$B$29+'Inputs'!$B$31+'Inputs'!$B$32,'Inputs'!$B$30+'Inputs'!$B$31+'Inputs'!$B$32)/1000+'Inputs'!$B$21+'Inputs'!$B$9+'Inputs'!$B$10)+'Inputs'!$B$7)^2+('Inputs'!$B$6/2)^2)-(((376-43)*MAX('Inputs'!$B$33,'Inputs'!$B$29+'Inputs'!$B$31+'Inputs'!$B$32,'Inputs'!$B$30+'Inputs'!$B$31+'Inputs'!$B$32)/1000+'Inputs'!$B$21+'Inputs'!$B$9+'Inputs'!$B$10))/SQRT((((376-43)*MAX('Inputs'!$B$33,'Inputs'!$B$29+'Inputs'!$B$31+'Inputs'!$B$32,'Inputs'!$B$30+'Inputs'!$B$31+'Inputs'!$B$32)/1000+'Inputs'!$B$21+'Inputs'!$B$9+'Inputs'!$B$10))^2+('Inputs'!$B$6/2)^2))))*'Results'!$B$8))),"")</x:f>
        <x:v>16.80964664303263</x:v>
      </x:c>
      <x:c r="P376" t="n">
        <x:f>IF(AND(MAX(J376,J375)&gt;0,J376&gt;J375+0.00000001),1,0)</x:f>
        <x:v>0</x:v>
      </x:c>
      <x:c r="Q376" t="n">
        <x:f>IF(AND(MAX(K376,K375)&gt;0,K376&gt;K375+0.00000001),1,0)</x:f>
        <x:v>0</x:v>
      </x:c>
      <x:c r="R376" t="n">
        <x:f>IF(AND(MAX(L376,L375)&gt;0,L376&gt;L375+0.00000001),1,0)</x:f>
        <x:v>0</x:v>
      </x:c>
      <x:c r="S376" t="n">
        <x:f>IF(AND(MAX(M376,M375)&gt;0,M376&gt;M375+0.00000001),1,0)</x:f>
        <x:v>0</x:v>
      </x:c>
      <x:c r="T376" t="n">
        <x:f>IF(AND(MAX(N376,N375)&gt;0,N376&gt;N375+0.00000001),1,0)</x:f>
        <x:v>0</x:v>
      </x:c>
      <x:c r="U376" t="n">
        <x:f>IF(AND(MAX(O376,O375)&gt;0,O376&gt;O375+0.00000001),1,0)</x:f>
        <x:v>0</x:v>
      </x:c>
    </x:row>
    <x:row r="377">
      <x:c r="J377" t="n">
        <x:f>IF(AND(ISNUMBER('Results'!B7),ISNUMBER('Results'!C7),ISNUMBER('Results'!$B$8),ISNUMBER('Inputs'!$B$6),ISNUMBER('Inputs'!$B$7),ISNUMBER('Inputs'!$B$8),ISNUMBER('Inputs'!$B$9),ISNUMBER('Inputs'!$B$10),ISNUMBER('Inputs'!$B$21),ISNUMBER('Inputs'!$B$24),ISNUMBER('Inputs'!$B$28)),(('Results'!B7*(0.5*((((377-43)*MAX('Inputs'!$B$33,'Inputs'!$B$29+'Inputs'!$B$31+'Inputs'!$B$32,'Inputs'!$B$30+'Inputs'!$B$31+'Inputs'!$B$32)/1000+'Inputs'!$B$21)+'Inputs'!$B$7)/SQRT((((377-43)*MAX('Inputs'!$B$33,'Inputs'!$B$29+'Inputs'!$B$31+'Inputs'!$B$32,'Inputs'!$B$30+'Inputs'!$B$31+'Inputs'!$B$32)/1000+'Inputs'!$B$21)+'Inputs'!$B$7)^2+('Inputs'!$B$6/2)^2)-(((377-43)*MAX('Inputs'!$B$33,'Inputs'!$B$29+'Inputs'!$B$31+'Inputs'!$B$32,'Inputs'!$B$30+'Inputs'!$B$31+'Inputs'!$B$32)/1000+'Inputs'!$B$21))/SQRT((((377-43)*MAX('Inputs'!$B$33,'Inputs'!$B$29+'Inputs'!$B$31+'Inputs'!$B$32,'Inputs'!$B$30+'Inputs'!$B$31+'Inputs'!$B$32)/1000+'Inputs'!$B$21))^2+('Inputs'!$B$6/2)^2)))-'Results'!C7*(0.5*((((377-43)*MAX('Inputs'!$B$33,'Inputs'!$B$29+'Inputs'!$B$31+'Inputs'!$B$32,'Inputs'!$B$30+'Inputs'!$B$31+'Inputs'!$B$32)/1000+'Inputs'!$B$21+'Inputs'!$B$7+'Inputs'!$B$10)+'Inputs'!$B$9)/SQRT((((377-43)*MAX('Inputs'!$B$33,'Inputs'!$B$29+'Inputs'!$B$31+'Inputs'!$B$32,'Inputs'!$B$30+'Inputs'!$B$31+'Inputs'!$B$32)/1000+'Inputs'!$B$21+'Inputs'!$B$7+'Inputs'!$B$10)+'Inputs'!$B$9)^2+('Inputs'!$B$8/2)^2)-(((377-43)*MAX('Inputs'!$B$33,'Inputs'!$B$29+'Inputs'!$B$31+'Inputs'!$B$32,'Inputs'!$B$30+'Inputs'!$B$31+'Inputs'!$B$32)/1000+'Inputs'!$B$21+'Inputs'!$B$7+'Inputs'!$B$10))/SQRT((((377-43)*MAX('Inputs'!$B$33,'Inputs'!$B$29+'Inputs'!$B$31+'Inputs'!$B$32,'Inputs'!$B$30+'Inputs'!$B$31+'Inputs'!$B$32)/1000+'Inputs'!$B$21+'Inputs'!$B$7+'Inputs'!$B$10))^2+('Inputs'!$B$8/2)^2))))*'Results'!$B$8),"")</x:f>
        <x:v>15.868345050536448</x:v>
      </x:c>
      <x:c r="K377" t="n">
        <x:f>IF(AND(ISNUMBER('Results'!B7),ISNUMBER('Results'!C7),ISNUMBER('Results'!$B$8),ISNUMBER('Inputs'!$B$6),ISNUMBER('Inputs'!$B$7),ISNUMBER('Inputs'!$B$8),ISNUMBER('Inputs'!$B$9),ISNUMBER('Inputs'!$B$10),ISNUMBER('Inputs'!$B$21),ISNUMBER('Inputs'!$B$24),ISNUMBER('Inputs'!$B$28)),((('Results'!B7*(1-'Inputs'!$B$24)*(0.5*((((377-43)*MAX('Inputs'!$B$33,'Inputs'!$B$29+'Inputs'!$B$31+'Inputs'!$B$32,'Inputs'!$B$30+'Inputs'!$B$31+'Inputs'!$B$32)/1000+'Inputs'!$B$21)+'Inputs'!$B$7)/SQRT((((377-43)*MAX('Inputs'!$B$33,'Inputs'!$B$29+'Inputs'!$B$31+'Inputs'!$B$32,'Inputs'!$B$30+'Inputs'!$B$31+'Inputs'!$B$32)/1000+'Inputs'!$B$21)+'Inputs'!$B$7)^2+('Inputs'!$B$6/2)^2)-(((377-43)*MAX('Inputs'!$B$33,'Inputs'!$B$29+'Inputs'!$B$31+'Inputs'!$B$32,'Inputs'!$B$30+'Inputs'!$B$31+'Inputs'!$B$32)/1000+'Inputs'!$B$21))/SQRT((((377-43)*MAX('Inputs'!$B$33,'Inputs'!$B$29+'Inputs'!$B$31+'Inputs'!$B$32,'Inputs'!$B$30+'Inputs'!$B$31+'Inputs'!$B$32)/1000+'Inputs'!$B$21))^2+('Inputs'!$B$6/2)^2)))-'Results'!C7*(1+'Inputs'!$B$24)*(0.5*((((377-43)*MAX('Inputs'!$B$33,'Inputs'!$B$29+'Inputs'!$B$31+'Inputs'!$B$32,'Inputs'!$B$30+'Inputs'!$B$31+'Inputs'!$B$32)/1000+'Inputs'!$B$21+'Inputs'!$B$7+'Inputs'!$B$10)+'Inputs'!$B$9)/SQRT((((377-43)*MAX('Inputs'!$B$33,'Inputs'!$B$29+'Inputs'!$B$31+'Inputs'!$B$32,'Inputs'!$B$30+'Inputs'!$B$31+'Inputs'!$B$32)/1000+'Inputs'!$B$21+'Inputs'!$B$7+'Inputs'!$B$10)+'Inputs'!$B$9)^2+('Inputs'!$B$8/2)^2)-(((377-43)*MAX('Inputs'!$B$33,'Inputs'!$B$29+'Inputs'!$B$31+'Inputs'!$B$32,'Inputs'!$B$30+'Inputs'!$B$31+'Inputs'!$B$32)/1000+'Inputs'!$B$21+'Inputs'!$B$7+'Inputs'!$B$10))/SQRT((((377-43)*MAX('Inputs'!$B$33,'Inputs'!$B$29+'Inputs'!$B$31+'Inputs'!$B$32,'Inputs'!$B$30+'Inputs'!$B$31+'Inputs'!$B$32)/1000+'Inputs'!$B$21+'Inputs'!$B$7+'Inputs'!$B$10))^2+('Inputs'!$B$8/2)^2))))*'Results'!$B$8)-'Inputs'!$B$28*ABS((('Results'!B7*(1-'Inputs'!$B$24)*(0.5*((((377-43)*MAX('Inputs'!$B$33,'Inputs'!$B$29+'Inputs'!$B$31+'Inputs'!$B$32,'Inputs'!$B$30+'Inputs'!$B$31+'Inputs'!$B$32)/1000+'Inputs'!$B$21)+'Inputs'!$B$7)/SQRT((((377-43)*MAX('Inputs'!$B$33,'Inputs'!$B$29+'Inputs'!$B$31+'Inputs'!$B$32,'Inputs'!$B$30+'Inputs'!$B$31+'Inputs'!$B$32)/1000+'Inputs'!$B$21)+'Inputs'!$B$7)^2+('Inputs'!$B$6/2)^2)-(((377-43)*MAX('Inputs'!$B$33,'Inputs'!$B$29+'Inputs'!$B$31+'Inputs'!$B$32,'Inputs'!$B$30+'Inputs'!$B$31+'Inputs'!$B$32)/1000+'Inputs'!$B$21))/SQRT((((377-43)*MAX('Inputs'!$B$33,'Inputs'!$B$29+'Inputs'!$B$31+'Inputs'!$B$32,'Inputs'!$B$30+'Inputs'!$B$31+'Inputs'!$B$32)/1000+'Inputs'!$B$21))^2+('Inputs'!$B$6/2)^2)))-'Results'!C7*(1+'Inputs'!$B$24)*(0.5*((((377-43)*MAX('Inputs'!$B$33,'Inputs'!$B$29+'Inputs'!$B$31+'Inputs'!$B$32,'Inputs'!$B$30+'Inputs'!$B$31+'Inputs'!$B$32)/1000+'Inputs'!$B$21+'Inputs'!$B$7+'Inputs'!$B$10)+'Inputs'!$B$9)/SQRT((((377-43)*MAX('Inputs'!$B$33,'Inputs'!$B$29+'Inputs'!$B$31+'Inputs'!$B$32,'Inputs'!$B$30+'Inputs'!$B$31+'Inputs'!$B$32)/1000+'Inputs'!$B$21+'Inputs'!$B$7+'Inputs'!$B$10)+'Inputs'!$B$9)^2+('Inputs'!$B$8/2)^2)-(((377-43)*MAX('Inputs'!$B$33,'Inputs'!$B$29+'Inputs'!$B$31+'Inputs'!$B$32,'Inputs'!$B$30+'Inputs'!$B$31+'Inputs'!$B$32)/1000+'Inputs'!$B$21+'Inputs'!$B$7+'Inputs'!$B$10))/SQRT((((377-43)*MAX('Inputs'!$B$33,'Inputs'!$B$29+'Inputs'!$B$31+'Inputs'!$B$32,'Inputs'!$B$30+'Inputs'!$B$31+'Inputs'!$B$32)/1000+'Inputs'!$B$21+'Inputs'!$B$7+'Inputs'!$B$10))^2+('Inputs'!$B$8/2)^2))))*'Results'!$B$8))),"")</x:f>
        <x:v>14.310081987488017</x:v>
      </x:c>
      <x:c r="L377" t="n">
        <x:f>IF(AND(ISNUMBER('Results'!B7),ISNUMBER('Results'!C7),ISNUMBER('Results'!$B$8),ISNUMBER('Inputs'!$B$6),ISNUMBER('Inputs'!$B$7),ISNUMBER('Inputs'!$B$8),ISNUMBER('Inputs'!$B$9),ISNUMBER('Inputs'!$B$10),ISNUMBER('Inputs'!$B$21),ISNUMBER('Inputs'!$B$24),ISNUMBER('Inputs'!$B$28)),((('Results'!B7*(1+'Inputs'!$B$24)*(0.5*((((377-43)*MAX('Inputs'!$B$33,'Inputs'!$B$29+'Inputs'!$B$31+'Inputs'!$B$32,'Inputs'!$B$30+'Inputs'!$B$31+'Inputs'!$B$32)/1000+'Inputs'!$B$21)+'Inputs'!$B$7)/SQRT((((377-43)*MAX('Inputs'!$B$33,'Inputs'!$B$29+'Inputs'!$B$31+'Inputs'!$B$32,'Inputs'!$B$30+'Inputs'!$B$31+'Inputs'!$B$32)/1000+'Inputs'!$B$21)+'Inputs'!$B$7)^2+('Inputs'!$B$6/2)^2)-(((377-43)*MAX('Inputs'!$B$33,'Inputs'!$B$29+'Inputs'!$B$31+'Inputs'!$B$32,'Inputs'!$B$30+'Inputs'!$B$31+'Inputs'!$B$32)/1000+'Inputs'!$B$21))/SQRT((((377-43)*MAX('Inputs'!$B$33,'Inputs'!$B$29+'Inputs'!$B$31+'Inputs'!$B$32,'Inputs'!$B$30+'Inputs'!$B$31+'Inputs'!$B$32)/1000+'Inputs'!$B$21))^2+('Inputs'!$B$6/2)^2)))-'Results'!C7*(1-'Inputs'!$B$24)*(0.5*((((377-43)*MAX('Inputs'!$B$33,'Inputs'!$B$29+'Inputs'!$B$31+'Inputs'!$B$32,'Inputs'!$B$30+'Inputs'!$B$31+'Inputs'!$B$32)/1000+'Inputs'!$B$21+'Inputs'!$B$7+'Inputs'!$B$10)+'Inputs'!$B$9)/SQRT((((377-43)*MAX('Inputs'!$B$33,'Inputs'!$B$29+'Inputs'!$B$31+'Inputs'!$B$32,'Inputs'!$B$30+'Inputs'!$B$31+'Inputs'!$B$32)/1000+'Inputs'!$B$21+'Inputs'!$B$7+'Inputs'!$B$10)+'Inputs'!$B$9)^2+('Inputs'!$B$8/2)^2)-(((377-43)*MAX('Inputs'!$B$33,'Inputs'!$B$29+'Inputs'!$B$31+'Inputs'!$B$32,'Inputs'!$B$30+'Inputs'!$B$31+'Inputs'!$B$32)/1000+'Inputs'!$B$21+'Inputs'!$B$7+'Inputs'!$B$10))/SQRT((((377-43)*MAX('Inputs'!$B$33,'Inputs'!$B$29+'Inputs'!$B$31+'Inputs'!$B$32,'Inputs'!$B$30+'Inputs'!$B$31+'Inputs'!$B$32)/1000+'Inputs'!$B$21+'Inputs'!$B$7+'Inputs'!$B$10))^2+('Inputs'!$B$8/2)^2))))*'Results'!$B$8)+'Inputs'!$B$28*ABS((('Results'!B7*(1+'Inputs'!$B$24)*(0.5*((((377-43)*MAX('Inputs'!$B$33,'Inputs'!$B$29+'Inputs'!$B$31+'Inputs'!$B$32,'Inputs'!$B$30+'Inputs'!$B$31+'Inputs'!$B$32)/1000+'Inputs'!$B$21)+'Inputs'!$B$7)/SQRT((((377-43)*MAX('Inputs'!$B$33,'Inputs'!$B$29+'Inputs'!$B$31+'Inputs'!$B$32,'Inputs'!$B$30+'Inputs'!$B$31+'Inputs'!$B$32)/1000+'Inputs'!$B$21)+'Inputs'!$B$7)^2+('Inputs'!$B$6/2)^2)-(((377-43)*MAX('Inputs'!$B$33,'Inputs'!$B$29+'Inputs'!$B$31+'Inputs'!$B$32,'Inputs'!$B$30+'Inputs'!$B$31+'Inputs'!$B$32)/1000+'Inputs'!$B$21))/SQRT((((377-43)*MAX('Inputs'!$B$33,'Inputs'!$B$29+'Inputs'!$B$31+'Inputs'!$B$32,'Inputs'!$B$30+'Inputs'!$B$31+'Inputs'!$B$32)/1000+'Inputs'!$B$21))^2+('Inputs'!$B$6/2)^2)))-'Results'!C7*(1-'Inputs'!$B$24)*(0.5*((((377-43)*MAX('Inputs'!$B$33,'Inputs'!$B$29+'Inputs'!$B$31+'Inputs'!$B$32,'Inputs'!$B$30+'Inputs'!$B$31+'Inputs'!$B$32)/1000+'Inputs'!$B$21+'Inputs'!$B$7+'Inputs'!$B$10)+'Inputs'!$B$9)/SQRT((((377-43)*MAX('Inputs'!$B$33,'Inputs'!$B$29+'Inputs'!$B$31+'Inputs'!$B$32,'Inputs'!$B$30+'Inputs'!$B$31+'Inputs'!$B$32)/1000+'Inputs'!$B$21+'Inputs'!$B$7+'Inputs'!$B$10)+'Inputs'!$B$9)^2+('Inputs'!$B$8/2)^2)-(((377-43)*MAX('Inputs'!$B$33,'Inputs'!$B$29+'Inputs'!$B$31+'Inputs'!$B$32,'Inputs'!$B$30+'Inputs'!$B$31+'Inputs'!$B$32)/1000+'Inputs'!$B$21+'Inputs'!$B$7+'Inputs'!$B$10))/SQRT((((377-43)*MAX('Inputs'!$B$33,'Inputs'!$B$29+'Inputs'!$B$31+'Inputs'!$B$32,'Inputs'!$B$30+'Inputs'!$B$31+'Inputs'!$B$32)/1000+'Inputs'!$B$21+'Inputs'!$B$7+'Inputs'!$B$10))^2+('Inputs'!$B$8/2)^2))))*'Results'!$B$8))),"")</x:f>
        <x:v>17.507118198902933</x:v>
      </x:c>
      <x:c r="M377" t="n">
        <x:f>IF(AND(ISNUMBER('Results'!C7),ISNUMBER('Results'!B7),ISNUMBER('Results'!$B$8),ISNUMBER('Inputs'!$B$6),ISNUMBER('Inputs'!$B$7),ISNUMBER('Inputs'!$B$8),ISNUMBER('Inputs'!$B$9),ISNUMBER('Inputs'!$B$10),ISNUMBER('Inputs'!$B$21),ISNUMBER('Inputs'!$B$24),ISNUMBER('Inputs'!$B$28)),(('Results'!C7*(0.5*((((377-43)*MAX('Inputs'!$B$33,'Inputs'!$B$29+'Inputs'!$B$31+'Inputs'!$B$32,'Inputs'!$B$30+'Inputs'!$B$31+'Inputs'!$B$32)/1000+'Inputs'!$B$21)+'Inputs'!$B$9)/SQRT((((377-43)*MAX('Inputs'!$B$33,'Inputs'!$B$29+'Inputs'!$B$31+'Inputs'!$B$32,'Inputs'!$B$30+'Inputs'!$B$31+'Inputs'!$B$32)/1000+'Inputs'!$B$21)+'Inputs'!$B$9)^2+('Inputs'!$B$8/2)^2)-(((377-43)*MAX('Inputs'!$B$33,'Inputs'!$B$29+'Inputs'!$B$31+'Inputs'!$B$32,'Inputs'!$B$30+'Inputs'!$B$31+'Inputs'!$B$32)/1000+'Inputs'!$B$21))/SQRT((((377-43)*MAX('Inputs'!$B$33,'Inputs'!$B$29+'Inputs'!$B$31+'Inputs'!$B$32,'Inputs'!$B$30+'Inputs'!$B$31+'Inputs'!$B$32)/1000+'Inputs'!$B$21))^2+('Inputs'!$B$8/2)^2)))-'Results'!B7*(0.5*((((377-43)*MAX('Inputs'!$B$33,'Inputs'!$B$29+'Inputs'!$B$31+'Inputs'!$B$32,'Inputs'!$B$30+'Inputs'!$B$31+'Inputs'!$B$32)/1000+'Inputs'!$B$21+'Inputs'!$B$9+'Inputs'!$B$10)+'Inputs'!$B$7)/SQRT((((377-43)*MAX('Inputs'!$B$33,'Inputs'!$B$29+'Inputs'!$B$31+'Inputs'!$B$32,'Inputs'!$B$30+'Inputs'!$B$31+'Inputs'!$B$32)/1000+'Inputs'!$B$21+'Inputs'!$B$9+'Inputs'!$B$10)+'Inputs'!$B$7)^2+('Inputs'!$B$6/2)^2)-(((377-43)*MAX('Inputs'!$B$33,'Inputs'!$B$29+'Inputs'!$B$31+'Inputs'!$B$32,'Inputs'!$B$30+'Inputs'!$B$31+'Inputs'!$B$32)/1000+'Inputs'!$B$21+'Inputs'!$B$9+'Inputs'!$B$10))/SQRT((((377-43)*MAX('Inputs'!$B$33,'Inputs'!$B$29+'Inputs'!$B$31+'Inputs'!$B$32,'Inputs'!$B$30+'Inputs'!$B$31+'Inputs'!$B$32)/1000+'Inputs'!$B$21+'Inputs'!$B$9+'Inputs'!$B$10))^2+('Inputs'!$B$6/2)^2))))*'Results'!$B$8),"")</x:f>
        <x:v>15.05826732029285</x:v>
      </x:c>
      <x:c r="N377" t="n">
        <x:f>IF(AND(ISNUMBER('Results'!C7),ISNUMBER('Results'!B7),ISNUMBER('Results'!$B$8),ISNUMBER('Inputs'!$B$6),ISNUMBER('Inputs'!$B$7),ISNUMBER('Inputs'!$B$8),ISNUMBER('Inputs'!$B$9),ISNUMBER('Inputs'!$B$10),ISNUMBER('Inputs'!$B$21),ISNUMBER('Inputs'!$B$24),ISNUMBER('Inputs'!$B$28)),((('Results'!C7*(1-'Inputs'!$B$24)*(0.5*((((377-43)*MAX('Inputs'!$B$33,'Inputs'!$B$29+'Inputs'!$B$31+'Inputs'!$B$32,'Inputs'!$B$30+'Inputs'!$B$31+'Inputs'!$B$32)/1000+'Inputs'!$B$21)+'Inputs'!$B$9)/SQRT((((377-43)*MAX('Inputs'!$B$33,'Inputs'!$B$29+'Inputs'!$B$31+'Inputs'!$B$32,'Inputs'!$B$30+'Inputs'!$B$31+'Inputs'!$B$32)/1000+'Inputs'!$B$21)+'Inputs'!$B$9)^2+('Inputs'!$B$8/2)^2)-(((377-43)*MAX('Inputs'!$B$33,'Inputs'!$B$29+'Inputs'!$B$31+'Inputs'!$B$32,'Inputs'!$B$30+'Inputs'!$B$31+'Inputs'!$B$32)/1000+'Inputs'!$B$21))/SQRT((((377-43)*MAX('Inputs'!$B$33,'Inputs'!$B$29+'Inputs'!$B$31+'Inputs'!$B$32,'Inputs'!$B$30+'Inputs'!$B$31+'Inputs'!$B$32)/1000+'Inputs'!$B$21))^2+('Inputs'!$B$8/2)^2)))-'Results'!B7*(1+'Inputs'!$B$24)*(0.5*((((377-43)*MAX('Inputs'!$B$33,'Inputs'!$B$29+'Inputs'!$B$31+'Inputs'!$B$32,'Inputs'!$B$30+'Inputs'!$B$31+'Inputs'!$B$32)/1000+'Inputs'!$B$21+'Inputs'!$B$9+'Inputs'!$B$10)+'Inputs'!$B$7)/SQRT((((377-43)*MAX('Inputs'!$B$33,'Inputs'!$B$29+'Inputs'!$B$31+'Inputs'!$B$32,'Inputs'!$B$30+'Inputs'!$B$31+'Inputs'!$B$32)/1000+'Inputs'!$B$21+'Inputs'!$B$9+'Inputs'!$B$10)+'Inputs'!$B$7)^2+('Inputs'!$B$6/2)^2)-(((377-43)*MAX('Inputs'!$B$33,'Inputs'!$B$29+'Inputs'!$B$31+'Inputs'!$B$32,'Inputs'!$B$30+'Inputs'!$B$31+'Inputs'!$B$32)/1000+'Inputs'!$B$21+'Inputs'!$B$9+'Inputs'!$B$10))/SQRT((((377-43)*MAX('Inputs'!$B$33,'Inputs'!$B$29+'Inputs'!$B$31+'Inputs'!$B$32,'Inputs'!$B$30+'Inputs'!$B$31+'Inputs'!$B$32)/1000+'Inputs'!$B$21+'Inputs'!$B$9+'Inputs'!$B$10))^2+('Inputs'!$B$6/2)^2))))*'Results'!$B$8)-'Inputs'!$B$28*ABS((('Results'!C7*(1-'Inputs'!$B$24)*(0.5*((((377-43)*MAX('Inputs'!$B$33,'Inputs'!$B$29+'Inputs'!$B$31+'Inputs'!$B$32,'Inputs'!$B$30+'Inputs'!$B$31+'Inputs'!$B$32)/1000+'Inputs'!$B$21)+'Inputs'!$B$9)/SQRT((((377-43)*MAX('Inputs'!$B$33,'Inputs'!$B$29+'Inputs'!$B$31+'Inputs'!$B$32,'Inputs'!$B$30+'Inputs'!$B$31+'Inputs'!$B$32)/1000+'Inputs'!$B$21)+'Inputs'!$B$9)^2+('Inputs'!$B$8/2)^2)-(((377-43)*MAX('Inputs'!$B$33,'Inputs'!$B$29+'Inputs'!$B$31+'Inputs'!$B$32,'Inputs'!$B$30+'Inputs'!$B$31+'Inputs'!$B$32)/1000+'Inputs'!$B$21))/SQRT((((377-43)*MAX('Inputs'!$B$33,'Inputs'!$B$29+'Inputs'!$B$31+'Inputs'!$B$32,'Inputs'!$B$30+'Inputs'!$B$31+'Inputs'!$B$32)/1000+'Inputs'!$B$21))^2+('Inputs'!$B$8/2)^2)))-'Results'!B7*(1+'Inputs'!$B$24)*(0.5*((((377-43)*MAX('Inputs'!$B$33,'Inputs'!$B$29+'Inputs'!$B$31+'Inputs'!$B$32,'Inputs'!$B$30+'Inputs'!$B$31+'Inputs'!$B$32)/1000+'Inputs'!$B$21+'Inputs'!$B$9+'Inputs'!$B$10)+'Inputs'!$B$7)/SQRT((((377-43)*MAX('Inputs'!$B$33,'Inputs'!$B$29+'Inputs'!$B$31+'Inputs'!$B$32,'Inputs'!$B$30+'Inputs'!$B$31+'Inputs'!$B$32)/1000+'Inputs'!$B$21+'Inputs'!$B$9+'Inputs'!$B$10)+'Inputs'!$B$7)^2+('Inputs'!$B$6/2)^2)-(((377-43)*MAX('Inputs'!$B$33,'Inputs'!$B$29+'Inputs'!$B$31+'Inputs'!$B$32,'Inputs'!$B$30+'Inputs'!$B$31+'Inputs'!$B$32)/1000+'Inputs'!$B$21+'Inputs'!$B$9+'Inputs'!$B$10))/SQRT((((377-43)*MAX('Inputs'!$B$33,'Inputs'!$B$29+'Inputs'!$B$31+'Inputs'!$B$32,'Inputs'!$B$30+'Inputs'!$B$31+'Inputs'!$B$32)/1000+'Inputs'!$B$21+'Inputs'!$B$9+'Inputs'!$B$10))^2+('Inputs'!$B$6/2)^2))))*'Results'!$B$8))),"")</x:f>
        <x:v>13.546443554211606</x:v>
      </x:c>
      <x:c r="O377" t="n">
        <x:f>IF(AND(ISNUMBER('Results'!C7),ISNUMBER('Results'!B7),ISNUMBER('Results'!$B$8),ISNUMBER('Inputs'!$B$6),ISNUMBER('Inputs'!$B$7),ISNUMBER('Inputs'!$B$8),ISNUMBER('Inputs'!$B$9),ISNUMBER('Inputs'!$B$10),ISNUMBER('Inputs'!$B$21),ISNUMBER('Inputs'!$B$24),ISNUMBER('Inputs'!$B$28)),((('Results'!C7*(1+'Inputs'!$B$24)*(0.5*((((377-43)*MAX('Inputs'!$B$33,'Inputs'!$B$29+'Inputs'!$B$31+'Inputs'!$B$32,'Inputs'!$B$30+'Inputs'!$B$31+'Inputs'!$B$32)/1000+'Inputs'!$B$21)+'Inputs'!$B$9)/SQRT((((377-43)*MAX('Inputs'!$B$33,'Inputs'!$B$29+'Inputs'!$B$31+'Inputs'!$B$32,'Inputs'!$B$30+'Inputs'!$B$31+'Inputs'!$B$32)/1000+'Inputs'!$B$21)+'Inputs'!$B$9)^2+('Inputs'!$B$8/2)^2)-(((377-43)*MAX('Inputs'!$B$33,'Inputs'!$B$29+'Inputs'!$B$31+'Inputs'!$B$32,'Inputs'!$B$30+'Inputs'!$B$31+'Inputs'!$B$32)/1000+'Inputs'!$B$21))/SQRT((((377-43)*MAX('Inputs'!$B$33,'Inputs'!$B$29+'Inputs'!$B$31+'Inputs'!$B$32,'Inputs'!$B$30+'Inputs'!$B$31+'Inputs'!$B$32)/1000+'Inputs'!$B$21))^2+('Inputs'!$B$8/2)^2)))-'Results'!B7*(1-'Inputs'!$B$24)*(0.5*((((377-43)*MAX('Inputs'!$B$33,'Inputs'!$B$29+'Inputs'!$B$31+'Inputs'!$B$32,'Inputs'!$B$30+'Inputs'!$B$31+'Inputs'!$B$32)/1000+'Inputs'!$B$21+'Inputs'!$B$9+'Inputs'!$B$10)+'Inputs'!$B$7)/SQRT((((377-43)*MAX('Inputs'!$B$33,'Inputs'!$B$29+'Inputs'!$B$31+'Inputs'!$B$32,'Inputs'!$B$30+'Inputs'!$B$31+'Inputs'!$B$32)/1000+'Inputs'!$B$21+'Inputs'!$B$9+'Inputs'!$B$10)+'Inputs'!$B$7)^2+('Inputs'!$B$6/2)^2)-(((377-43)*MAX('Inputs'!$B$33,'Inputs'!$B$29+'Inputs'!$B$31+'Inputs'!$B$32,'Inputs'!$B$30+'Inputs'!$B$31+'Inputs'!$B$32)/1000+'Inputs'!$B$21+'Inputs'!$B$9+'Inputs'!$B$10))/SQRT((((377-43)*MAX('Inputs'!$B$33,'Inputs'!$B$29+'Inputs'!$B$31+'Inputs'!$B$32,'Inputs'!$B$30+'Inputs'!$B$31+'Inputs'!$B$32)/1000+'Inputs'!$B$21+'Inputs'!$B$9+'Inputs'!$B$10))^2+('Inputs'!$B$6/2)^2))))*'Results'!$B$8)+'Inputs'!$B$28*ABS((('Results'!C7*(1+'Inputs'!$B$24)*(0.5*((((377-43)*MAX('Inputs'!$B$33,'Inputs'!$B$29+'Inputs'!$B$31+'Inputs'!$B$32,'Inputs'!$B$30+'Inputs'!$B$31+'Inputs'!$B$32)/1000+'Inputs'!$B$21)+'Inputs'!$B$9)/SQRT((((377-43)*MAX('Inputs'!$B$33,'Inputs'!$B$29+'Inputs'!$B$31+'Inputs'!$B$32,'Inputs'!$B$30+'Inputs'!$B$31+'Inputs'!$B$32)/1000+'Inputs'!$B$21)+'Inputs'!$B$9)^2+('Inputs'!$B$8/2)^2)-(((377-43)*MAX('Inputs'!$B$33,'Inputs'!$B$29+'Inputs'!$B$31+'Inputs'!$B$32,'Inputs'!$B$30+'Inputs'!$B$31+'Inputs'!$B$32)/1000+'Inputs'!$B$21))/SQRT((((377-43)*MAX('Inputs'!$B$33,'Inputs'!$B$29+'Inputs'!$B$31+'Inputs'!$B$32,'Inputs'!$B$30+'Inputs'!$B$31+'Inputs'!$B$32)/1000+'Inputs'!$B$21))^2+('Inputs'!$B$8/2)^2)))-'Results'!B7*(1-'Inputs'!$B$24)*(0.5*((((377-43)*MAX('Inputs'!$B$33,'Inputs'!$B$29+'Inputs'!$B$31+'Inputs'!$B$32,'Inputs'!$B$30+'Inputs'!$B$31+'Inputs'!$B$32)/1000+'Inputs'!$B$21+'Inputs'!$B$9+'Inputs'!$B$10)+'Inputs'!$B$7)/SQRT((((377-43)*MAX('Inputs'!$B$33,'Inputs'!$B$29+'Inputs'!$B$31+'Inputs'!$B$32,'Inputs'!$B$30+'Inputs'!$B$31+'Inputs'!$B$32)/1000+'Inputs'!$B$21+'Inputs'!$B$9+'Inputs'!$B$10)+'Inputs'!$B$7)^2+('Inputs'!$B$6/2)^2)-(((377-43)*MAX('Inputs'!$B$33,'Inputs'!$B$29+'Inputs'!$B$31+'Inputs'!$B$32,'Inputs'!$B$30+'Inputs'!$B$31+'Inputs'!$B$32)/1000+'Inputs'!$B$21+'Inputs'!$B$9+'Inputs'!$B$10))/SQRT((((377-43)*MAX('Inputs'!$B$33,'Inputs'!$B$29+'Inputs'!$B$31+'Inputs'!$B$32,'Inputs'!$B$30+'Inputs'!$B$31+'Inputs'!$B$32)/1000+'Inputs'!$B$21+'Inputs'!$B$9+'Inputs'!$B$10))^2+('Inputs'!$B$6/2)^2))))*'Results'!$B$8))),"")</x:f>
        <x:v>16.649976391644262</x:v>
      </x:c>
      <x:c r="P377" t="n">
        <x:f>IF(AND(MAX(J377,J376)&gt;0,J377&gt;J376+0.00000001),1,0)</x:f>
        <x:v>0</x:v>
      </x:c>
      <x:c r="Q377" t="n">
        <x:f>IF(AND(MAX(K377,K376)&gt;0,K377&gt;K376+0.00000001),1,0)</x:f>
        <x:v>0</x:v>
      </x:c>
      <x:c r="R377" t="n">
        <x:f>IF(AND(MAX(L377,L376)&gt;0,L377&gt;L376+0.00000001),1,0)</x:f>
        <x:v>0</x:v>
      </x:c>
      <x:c r="S377" t="n">
        <x:f>IF(AND(MAX(M377,M376)&gt;0,M377&gt;M376+0.00000001),1,0)</x:f>
        <x:v>0</x:v>
      </x:c>
      <x:c r="T377" t="n">
        <x:f>IF(AND(MAX(N377,N376)&gt;0,N377&gt;N376+0.00000001),1,0)</x:f>
        <x:v>0</x:v>
      </x:c>
      <x:c r="U377" t="n">
        <x:f>IF(AND(MAX(O377,O376)&gt;0,O377&gt;O376+0.00000001),1,0)</x:f>
        <x:v>0</x:v>
      </x:c>
    </x:row>
    <x:row r="378">
      <x:c r="J378" t="n">
        <x:f>IF(AND(ISNUMBER('Results'!B7),ISNUMBER('Results'!C7),ISNUMBER('Results'!$B$8),ISNUMBER('Inputs'!$B$6),ISNUMBER('Inputs'!$B$7),ISNUMBER('Inputs'!$B$8),ISNUMBER('Inputs'!$B$9),ISNUMBER('Inputs'!$B$10),ISNUMBER('Inputs'!$B$21),ISNUMBER('Inputs'!$B$24),ISNUMBER('Inputs'!$B$28)),(('Results'!B7*(0.5*((((378-43)*MAX('Inputs'!$B$33,'Inputs'!$B$29+'Inputs'!$B$31+'Inputs'!$B$32,'Inputs'!$B$30+'Inputs'!$B$31+'Inputs'!$B$32)/1000+'Inputs'!$B$21)+'Inputs'!$B$7)/SQRT((((378-43)*MAX('Inputs'!$B$33,'Inputs'!$B$29+'Inputs'!$B$31+'Inputs'!$B$32,'Inputs'!$B$30+'Inputs'!$B$31+'Inputs'!$B$32)/1000+'Inputs'!$B$21)+'Inputs'!$B$7)^2+('Inputs'!$B$6/2)^2)-(((378-43)*MAX('Inputs'!$B$33,'Inputs'!$B$29+'Inputs'!$B$31+'Inputs'!$B$32,'Inputs'!$B$30+'Inputs'!$B$31+'Inputs'!$B$32)/1000+'Inputs'!$B$21))/SQRT((((378-43)*MAX('Inputs'!$B$33,'Inputs'!$B$29+'Inputs'!$B$31+'Inputs'!$B$32,'Inputs'!$B$30+'Inputs'!$B$31+'Inputs'!$B$32)/1000+'Inputs'!$B$21))^2+('Inputs'!$B$6/2)^2)))-'Results'!C7*(0.5*((((378-43)*MAX('Inputs'!$B$33,'Inputs'!$B$29+'Inputs'!$B$31+'Inputs'!$B$32,'Inputs'!$B$30+'Inputs'!$B$31+'Inputs'!$B$32)/1000+'Inputs'!$B$21+'Inputs'!$B$7+'Inputs'!$B$10)+'Inputs'!$B$9)/SQRT((((378-43)*MAX('Inputs'!$B$33,'Inputs'!$B$29+'Inputs'!$B$31+'Inputs'!$B$32,'Inputs'!$B$30+'Inputs'!$B$31+'Inputs'!$B$32)/1000+'Inputs'!$B$21+'Inputs'!$B$7+'Inputs'!$B$10)+'Inputs'!$B$9)^2+('Inputs'!$B$8/2)^2)-(((378-43)*MAX('Inputs'!$B$33,'Inputs'!$B$29+'Inputs'!$B$31+'Inputs'!$B$32,'Inputs'!$B$30+'Inputs'!$B$31+'Inputs'!$B$32)/1000+'Inputs'!$B$21+'Inputs'!$B$7+'Inputs'!$B$10))/SQRT((((378-43)*MAX('Inputs'!$B$33,'Inputs'!$B$29+'Inputs'!$B$31+'Inputs'!$B$32,'Inputs'!$B$30+'Inputs'!$B$31+'Inputs'!$B$32)/1000+'Inputs'!$B$21+'Inputs'!$B$7+'Inputs'!$B$10))^2+('Inputs'!$B$8/2)^2))))*'Results'!$B$8),"")</x:f>
        <x:v>15.717984360970547</x:v>
      </x:c>
      <x:c r="K378" t="n">
        <x:f>IF(AND(ISNUMBER('Results'!B7),ISNUMBER('Results'!C7),ISNUMBER('Results'!$B$8),ISNUMBER('Inputs'!$B$6),ISNUMBER('Inputs'!$B$7),ISNUMBER('Inputs'!$B$8),ISNUMBER('Inputs'!$B$9),ISNUMBER('Inputs'!$B$10),ISNUMBER('Inputs'!$B$21),ISNUMBER('Inputs'!$B$24),ISNUMBER('Inputs'!$B$28)),((('Results'!B7*(1-'Inputs'!$B$24)*(0.5*((((378-43)*MAX('Inputs'!$B$33,'Inputs'!$B$29+'Inputs'!$B$31+'Inputs'!$B$32,'Inputs'!$B$30+'Inputs'!$B$31+'Inputs'!$B$32)/1000+'Inputs'!$B$21)+'Inputs'!$B$7)/SQRT((((378-43)*MAX('Inputs'!$B$33,'Inputs'!$B$29+'Inputs'!$B$31+'Inputs'!$B$32,'Inputs'!$B$30+'Inputs'!$B$31+'Inputs'!$B$32)/1000+'Inputs'!$B$21)+'Inputs'!$B$7)^2+('Inputs'!$B$6/2)^2)-(((378-43)*MAX('Inputs'!$B$33,'Inputs'!$B$29+'Inputs'!$B$31+'Inputs'!$B$32,'Inputs'!$B$30+'Inputs'!$B$31+'Inputs'!$B$32)/1000+'Inputs'!$B$21))/SQRT((((378-43)*MAX('Inputs'!$B$33,'Inputs'!$B$29+'Inputs'!$B$31+'Inputs'!$B$32,'Inputs'!$B$30+'Inputs'!$B$31+'Inputs'!$B$32)/1000+'Inputs'!$B$21))^2+('Inputs'!$B$6/2)^2)))-'Results'!C7*(1+'Inputs'!$B$24)*(0.5*((((378-43)*MAX('Inputs'!$B$33,'Inputs'!$B$29+'Inputs'!$B$31+'Inputs'!$B$32,'Inputs'!$B$30+'Inputs'!$B$31+'Inputs'!$B$32)/1000+'Inputs'!$B$21+'Inputs'!$B$7+'Inputs'!$B$10)+'Inputs'!$B$9)/SQRT((((378-43)*MAX('Inputs'!$B$33,'Inputs'!$B$29+'Inputs'!$B$31+'Inputs'!$B$32,'Inputs'!$B$30+'Inputs'!$B$31+'Inputs'!$B$32)/1000+'Inputs'!$B$21+'Inputs'!$B$7+'Inputs'!$B$10)+'Inputs'!$B$9)^2+('Inputs'!$B$8/2)^2)-(((378-43)*MAX('Inputs'!$B$33,'Inputs'!$B$29+'Inputs'!$B$31+'Inputs'!$B$32,'Inputs'!$B$30+'Inputs'!$B$31+'Inputs'!$B$32)/1000+'Inputs'!$B$21+'Inputs'!$B$7+'Inputs'!$B$10))/SQRT((((378-43)*MAX('Inputs'!$B$33,'Inputs'!$B$29+'Inputs'!$B$31+'Inputs'!$B$32,'Inputs'!$B$30+'Inputs'!$B$31+'Inputs'!$B$32)/1000+'Inputs'!$B$21+'Inputs'!$B$7+'Inputs'!$B$10))^2+('Inputs'!$B$8/2)^2))))*'Results'!$B$8)-'Inputs'!$B$28*ABS((('Results'!B7*(1-'Inputs'!$B$24)*(0.5*((((378-43)*MAX('Inputs'!$B$33,'Inputs'!$B$29+'Inputs'!$B$31+'Inputs'!$B$32,'Inputs'!$B$30+'Inputs'!$B$31+'Inputs'!$B$32)/1000+'Inputs'!$B$21)+'Inputs'!$B$7)/SQRT((((378-43)*MAX('Inputs'!$B$33,'Inputs'!$B$29+'Inputs'!$B$31+'Inputs'!$B$32,'Inputs'!$B$30+'Inputs'!$B$31+'Inputs'!$B$32)/1000+'Inputs'!$B$21)+'Inputs'!$B$7)^2+('Inputs'!$B$6/2)^2)-(((378-43)*MAX('Inputs'!$B$33,'Inputs'!$B$29+'Inputs'!$B$31+'Inputs'!$B$32,'Inputs'!$B$30+'Inputs'!$B$31+'Inputs'!$B$32)/1000+'Inputs'!$B$21))/SQRT((((378-43)*MAX('Inputs'!$B$33,'Inputs'!$B$29+'Inputs'!$B$31+'Inputs'!$B$32,'Inputs'!$B$30+'Inputs'!$B$31+'Inputs'!$B$32)/1000+'Inputs'!$B$21))^2+('Inputs'!$B$6/2)^2)))-'Results'!C7*(1+'Inputs'!$B$24)*(0.5*((((378-43)*MAX('Inputs'!$B$33,'Inputs'!$B$29+'Inputs'!$B$31+'Inputs'!$B$32,'Inputs'!$B$30+'Inputs'!$B$31+'Inputs'!$B$32)/1000+'Inputs'!$B$21+'Inputs'!$B$7+'Inputs'!$B$10)+'Inputs'!$B$9)/SQRT((((378-43)*MAX('Inputs'!$B$33,'Inputs'!$B$29+'Inputs'!$B$31+'Inputs'!$B$32,'Inputs'!$B$30+'Inputs'!$B$31+'Inputs'!$B$32)/1000+'Inputs'!$B$21+'Inputs'!$B$7+'Inputs'!$B$10)+'Inputs'!$B$9)^2+('Inputs'!$B$8/2)^2)-(((378-43)*MAX('Inputs'!$B$33,'Inputs'!$B$29+'Inputs'!$B$31+'Inputs'!$B$32,'Inputs'!$B$30+'Inputs'!$B$31+'Inputs'!$B$32)/1000+'Inputs'!$B$21+'Inputs'!$B$7+'Inputs'!$B$10))/SQRT((((378-43)*MAX('Inputs'!$B$33,'Inputs'!$B$29+'Inputs'!$B$31+'Inputs'!$B$32,'Inputs'!$B$30+'Inputs'!$B$31+'Inputs'!$B$32)/1000+'Inputs'!$B$21+'Inputs'!$B$7+'Inputs'!$B$10))^2+('Inputs'!$B$8/2)^2))))*'Results'!$B$8))),"")</x:f>
        <x:v>14.172974567659532</x:v>
      </x:c>
      <x:c r="L378" t="n">
        <x:f>IF(AND(ISNUMBER('Results'!B7),ISNUMBER('Results'!C7),ISNUMBER('Results'!$B$8),ISNUMBER('Inputs'!$B$6),ISNUMBER('Inputs'!$B$7),ISNUMBER('Inputs'!$B$8),ISNUMBER('Inputs'!$B$9),ISNUMBER('Inputs'!$B$10),ISNUMBER('Inputs'!$B$21),ISNUMBER('Inputs'!$B$24),ISNUMBER('Inputs'!$B$28)),((('Results'!B7*(1+'Inputs'!$B$24)*(0.5*((((378-43)*MAX('Inputs'!$B$33,'Inputs'!$B$29+'Inputs'!$B$31+'Inputs'!$B$32,'Inputs'!$B$30+'Inputs'!$B$31+'Inputs'!$B$32)/1000+'Inputs'!$B$21)+'Inputs'!$B$7)/SQRT((((378-43)*MAX('Inputs'!$B$33,'Inputs'!$B$29+'Inputs'!$B$31+'Inputs'!$B$32,'Inputs'!$B$30+'Inputs'!$B$31+'Inputs'!$B$32)/1000+'Inputs'!$B$21)+'Inputs'!$B$7)^2+('Inputs'!$B$6/2)^2)-(((378-43)*MAX('Inputs'!$B$33,'Inputs'!$B$29+'Inputs'!$B$31+'Inputs'!$B$32,'Inputs'!$B$30+'Inputs'!$B$31+'Inputs'!$B$32)/1000+'Inputs'!$B$21))/SQRT((((378-43)*MAX('Inputs'!$B$33,'Inputs'!$B$29+'Inputs'!$B$31+'Inputs'!$B$32,'Inputs'!$B$30+'Inputs'!$B$31+'Inputs'!$B$32)/1000+'Inputs'!$B$21))^2+('Inputs'!$B$6/2)^2)))-'Results'!C7*(1-'Inputs'!$B$24)*(0.5*((((378-43)*MAX('Inputs'!$B$33,'Inputs'!$B$29+'Inputs'!$B$31+'Inputs'!$B$32,'Inputs'!$B$30+'Inputs'!$B$31+'Inputs'!$B$32)/1000+'Inputs'!$B$21+'Inputs'!$B$7+'Inputs'!$B$10)+'Inputs'!$B$9)/SQRT((((378-43)*MAX('Inputs'!$B$33,'Inputs'!$B$29+'Inputs'!$B$31+'Inputs'!$B$32,'Inputs'!$B$30+'Inputs'!$B$31+'Inputs'!$B$32)/1000+'Inputs'!$B$21+'Inputs'!$B$7+'Inputs'!$B$10)+'Inputs'!$B$9)^2+('Inputs'!$B$8/2)^2)-(((378-43)*MAX('Inputs'!$B$33,'Inputs'!$B$29+'Inputs'!$B$31+'Inputs'!$B$32,'Inputs'!$B$30+'Inputs'!$B$31+'Inputs'!$B$32)/1000+'Inputs'!$B$21+'Inputs'!$B$7+'Inputs'!$B$10))/SQRT((((378-43)*MAX('Inputs'!$B$33,'Inputs'!$B$29+'Inputs'!$B$31+'Inputs'!$B$32,'Inputs'!$B$30+'Inputs'!$B$31+'Inputs'!$B$32)/1000+'Inputs'!$B$21+'Inputs'!$B$7+'Inputs'!$B$10))^2+('Inputs'!$B$8/2)^2))))*'Results'!$B$8)+'Inputs'!$B$28*ABS((('Results'!B7*(1+'Inputs'!$B$24)*(0.5*((((378-43)*MAX('Inputs'!$B$33,'Inputs'!$B$29+'Inputs'!$B$31+'Inputs'!$B$32,'Inputs'!$B$30+'Inputs'!$B$31+'Inputs'!$B$32)/1000+'Inputs'!$B$21)+'Inputs'!$B$7)/SQRT((((378-43)*MAX('Inputs'!$B$33,'Inputs'!$B$29+'Inputs'!$B$31+'Inputs'!$B$32,'Inputs'!$B$30+'Inputs'!$B$31+'Inputs'!$B$32)/1000+'Inputs'!$B$21)+'Inputs'!$B$7)^2+('Inputs'!$B$6/2)^2)-(((378-43)*MAX('Inputs'!$B$33,'Inputs'!$B$29+'Inputs'!$B$31+'Inputs'!$B$32,'Inputs'!$B$30+'Inputs'!$B$31+'Inputs'!$B$32)/1000+'Inputs'!$B$21))/SQRT((((378-43)*MAX('Inputs'!$B$33,'Inputs'!$B$29+'Inputs'!$B$31+'Inputs'!$B$32,'Inputs'!$B$30+'Inputs'!$B$31+'Inputs'!$B$32)/1000+'Inputs'!$B$21))^2+('Inputs'!$B$6/2)^2)))-'Results'!C7*(1-'Inputs'!$B$24)*(0.5*((((378-43)*MAX('Inputs'!$B$33,'Inputs'!$B$29+'Inputs'!$B$31+'Inputs'!$B$32,'Inputs'!$B$30+'Inputs'!$B$31+'Inputs'!$B$32)/1000+'Inputs'!$B$21+'Inputs'!$B$7+'Inputs'!$B$10)+'Inputs'!$B$9)/SQRT((((378-43)*MAX('Inputs'!$B$33,'Inputs'!$B$29+'Inputs'!$B$31+'Inputs'!$B$32,'Inputs'!$B$30+'Inputs'!$B$31+'Inputs'!$B$32)/1000+'Inputs'!$B$21+'Inputs'!$B$7+'Inputs'!$B$10)+'Inputs'!$B$9)^2+('Inputs'!$B$8/2)^2)-(((378-43)*MAX('Inputs'!$B$33,'Inputs'!$B$29+'Inputs'!$B$31+'Inputs'!$B$32,'Inputs'!$B$30+'Inputs'!$B$31+'Inputs'!$B$32)/1000+'Inputs'!$B$21+'Inputs'!$B$7+'Inputs'!$B$10))/SQRT((((378-43)*MAX('Inputs'!$B$33,'Inputs'!$B$29+'Inputs'!$B$31+'Inputs'!$B$32,'Inputs'!$B$30+'Inputs'!$B$31+'Inputs'!$B$32)/1000+'Inputs'!$B$21+'Inputs'!$B$7+'Inputs'!$B$10))^2+('Inputs'!$B$8/2)^2))))*'Results'!$B$8))),"")</x:f>
        <x:v>17.34290053062498</x:v>
      </x:c>
      <x:c r="M378" t="n">
        <x:f>IF(AND(ISNUMBER('Results'!C7),ISNUMBER('Results'!B7),ISNUMBER('Results'!$B$8),ISNUMBER('Inputs'!$B$6),ISNUMBER('Inputs'!$B$7),ISNUMBER('Inputs'!$B$8),ISNUMBER('Inputs'!$B$9),ISNUMBER('Inputs'!$B$10),ISNUMBER('Inputs'!$B$21),ISNUMBER('Inputs'!$B$24),ISNUMBER('Inputs'!$B$28)),(('Results'!C7*(0.5*((((378-43)*MAX('Inputs'!$B$33,'Inputs'!$B$29+'Inputs'!$B$31+'Inputs'!$B$32,'Inputs'!$B$30+'Inputs'!$B$31+'Inputs'!$B$32)/1000+'Inputs'!$B$21)+'Inputs'!$B$9)/SQRT((((378-43)*MAX('Inputs'!$B$33,'Inputs'!$B$29+'Inputs'!$B$31+'Inputs'!$B$32,'Inputs'!$B$30+'Inputs'!$B$31+'Inputs'!$B$32)/1000+'Inputs'!$B$21)+'Inputs'!$B$9)^2+('Inputs'!$B$8/2)^2)-(((378-43)*MAX('Inputs'!$B$33,'Inputs'!$B$29+'Inputs'!$B$31+'Inputs'!$B$32,'Inputs'!$B$30+'Inputs'!$B$31+'Inputs'!$B$32)/1000+'Inputs'!$B$21))/SQRT((((378-43)*MAX('Inputs'!$B$33,'Inputs'!$B$29+'Inputs'!$B$31+'Inputs'!$B$32,'Inputs'!$B$30+'Inputs'!$B$31+'Inputs'!$B$32)/1000+'Inputs'!$B$21))^2+('Inputs'!$B$8/2)^2)))-'Results'!B7*(0.5*((((378-43)*MAX('Inputs'!$B$33,'Inputs'!$B$29+'Inputs'!$B$31+'Inputs'!$B$32,'Inputs'!$B$30+'Inputs'!$B$31+'Inputs'!$B$32)/1000+'Inputs'!$B$21+'Inputs'!$B$9+'Inputs'!$B$10)+'Inputs'!$B$7)/SQRT((((378-43)*MAX('Inputs'!$B$33,'Inputs'!$B$29+'Inputs'!$B$31+'Inputs'!$B$32,'Inputs'!$B$30+'Inputs'!$B$31+'Inputs'!$B$32)/1000+'Inputs'!$B$21+'Inputs'!$B$9+'Inputs'!$B$10)+'Inputs'!$B$7)^2+('Inputs'!$B$6/2)^2)-(((378-43)*MAX('Inputs'!$B$33,'Inputs'!$B$29+'Inputs'!$B$31+'Inputs'!$B$32,'Inputs'!$B$30+'Inputs'!$B$31+'Inputs'!$B$32)/1000+'Inputs'!$B$21+'Inputs'!$B$9+'Inputs'!$B$10))/SQRT((((378-43)*MAX('Inputs'!$B$33,'Inputs'!$B$29+'Inputs'!$B$31+'Inputs'!$B$32,'Inputs'!$B$30+'Inputs'!$B$31+'Inputs'!$B$32)/1000+'Inputs'!$B$21+'Inputs'!$B$9+'Inputs'!$B$10))^2+('Inputs'!$B$6/2)^2))))*'Results'!$B$8),"")</x:f>
        <x:v>14.913974637574976</x:v>
      </x:c>
      <x:c r="N378" t="n">
        <x:f>IF(AND(ISNUMBER('Results'!C7),ISNUMBER('Results'!B7),ISNUMBER('Results'!$B$8),ISNUMBER('Inputs'!$B$6),ISNUMBER('Inputs'!$B$7),ISNUMBER('Inputs'!$B$8),ISNUMBER('Inputs'!$B$9),ISNUMBER('Inputs'!$B$10),ISNUMBER('Inputs'!$B$21),ISNUMBER('Inputs'!$B$24),ISNUMBER('Inputs'!$B$28)),((('Results'!C7*(1-'Inputs'!$B$24)*(0.5*((((378-43)*MAX('Inputs'!$B$33,'Inputs'!$B$29+'Inputs'!$B$31+'Inputs'!$B$32,'Inputs'!$B$30+'Inputs'!$B$31+'Inputs'!$B$32)/1000+'Inputs'!$B$21)+'Inputs'!$B$9)/SQRT((((378-43)*MAX('Inputs'!$B$33,'Inputs'!$B$29+'Inputs'!$B$31+'Inputs'!$B$32,'Inputs'!$B$30+'Inputs'!$B$31+'Inputs'!$B$32)/1000+'Inputs'!$B$21)+'Inputs'!$B$9)^2+('Inputs'!$B$8/2)^2)-(((378-43)*MAX('Inputs'!$B$33,'Inputs'!$B$29+'Inputs'!$B$31+'Inputs'!$B$32,'Inputs'!$B$30+'Inputs'!$B$31+'Inputs'!$B$32)/1000+'Inputs'!$B$21))/SQRT((((378-43)*MAX('Inputs'!$B$33,'Inputs'!$B$29+'Inputs'!$B$31+'Inputs'!$B$32,'Inputs'!$B$30+'Inputs'!$B$31+'Inputs'!$B$32)/1000+'Inputs'!$B$21))^2+('Inputs'!$B$8/2)^2)))-'Results'!B7*(1+'Inputs'!$B$24)*(0.5*((((378-43)*MAX('Inputs'!$B$33,'Inputs'!$B$29+'Inputs'!$B$31+'Inputs'!$B$32,'Inputs'!$B$30+'Inputs'!$B$31+'Inputs'!$B$32)/1000+'Inputs'!$B$21+'Inputs'!$B$9+'Inputs'!$B$10)+'Inputs'!$B$7)/SQRT((((378-43)*MAX('Inputs'!$B$33,'Inputs'!$B$29+'Inputs'!$B$31+'Inputs'!$B$32,'Inputs'!$B$30+'Inputs'!$B$31+'Inputs'!$B$32)/1000+'Inputs'!$B$21+'Inputs'!$B$9+'Inputs'!$B$10)+'Inputs'!$B$7)^2+('Inputs'!$B$6/2)^2)-(((378-43)*MAX('Inputs'!$B$33,'Inputs'!$B$29+'Inputs'!$B$31+'Inputs'!$B$32,'Inputs'!$B$30+'Inputs'!$B$31+'Inputs'!$B$32)/1000+'Inputs'!$B$21+'Inputs'!$B$9+'Inputs'!$B$10))/SQRT((((378-43)*MAX('Inputs'!$B$33,'Inputs'!$B$29+'Inputs'!$B$31+'Inputs'!$B$32,'Inputs'!$B$30+'Inputs'!$B$31+'Inputs'!$B$32)/1000+'Inputs'!$B$21+'Inputs'!$B$9+'Inputs'!$B$10))^2+('Inputs'!$B$6/2)^2))))*'Results'!$B$8)-'Inputs'!$B$28*ABS((('Results'!C7*(1-'Inputs'!$B$24)*(0.5*((((378-43)*MAX('Inputs'!$B$33,'Inputs'!$B$29+'Inputs'!$B$31+'Inputs'!$B$32,'Inputs'!$B$30+'Inputs'!$B$31+'Inputs'!$B$32)/1000+'Inputs'!$B$21)+'Inputs'!$B$9)/SQRT((((378-43)*MAX('Inputs'!$B$33,'Inputs'!$B$29+'Inputs'!$B$31+'Inputs'!$B$32,'Inputs'!$B$30+'Inputs'!$B$31+'Inputs'!$B$32)/1000+'Inputs'!$B$21)+'Inputs'!$B$9)^2+('Inputs'!$B$8/2)^2)-(((378-43)*MAX('Inputs'!$B$33,'Inputs'!$B$29+'Inputs'!$B$31+'Inputs'!$B$32,'Inputs'!$B$30+'Inputs'!$B$31+'Inputs'!$B$32)/1000+'Inputs'!$B$21))/SQRT((((378-43)*MAX('Inputs'!$B$33,'Inputs'!$B$29+'Inputs'!$B$31+'Inputs'!$B$32,'Inputs'!$B$30+'Inputs'!$B$31+'Inputs'!$B$32)/1000+'Inputs'!$B$21))^2+('Inputs'!$B$8/2)^2)))-'Results'!B7*(1+'Inputs'!$B$24)*(0.5*((((378-43)*MAX('Inputs'!$B$33,'Inputs'!$B$29+'Inputs'!$B$31+'Inputs'!$B$32,'Inputs'!$B$30+'Inputs'!$B$31+'Inputs'!$B$32)/1000+'Inputs'!$B$21+'Inputs'!$B$9+'Inputs'!$B$10)+'Inputs'!$B$7)/SQRT((((378-43)*MAX('Inputs'!$B$33,'Inputs'!$B$29+'Inputs'!$B$31+'Inputs'!$B$32,'Inputs'!$B$30+'Inputs'!$B$31+'Inputs'!$B$32)/1000+'Inputs'!$B$21+'Inputs'!$B$9+'Inputs'!$B$10)+'Inputs'!$B$7)^2+('Inputs'!$B$6/2)^2)-(((378-43)*MAX('Inputs'!$B$33,'Inputs'!$B$29+'Inputs'!$B$31+'Inputs'!$B$32,'Inputs'!$B$30+'Inputs'!$B$31+'Inputs'!$B$32)/1000+'Inputs'!$B$21+'Inputs'!$B$9+'Inputs'!$B$10))/SQRT((((378-43)*MAX('Inputs'!$B$33,'Inputs'!$B$29+'Inputs'!$B$31+'Inputs'!$B$32,'Inputs'!$B$30+'Inputs'!$B$31+'Inputs'!$B$32)/1000+'Inputs'!$B$21+'Inputs'!$B$9+'Inputs'!$B$10))^2+('Inputs'!$B$6/2)^2))))*'Results'!$B$8))),"")</x:f>
        <x:v>13.415044191251638</x:v>
      </x:c>
      <x:c r="O378" t="n">
        <x:f>IF(AND(ISNUMBER('Results'!C7),ISNUMBER('Results'!B7),ISNUMBER('Results'!$B$8),ISNUMBER('Inputs'!$B$6),ISNUMBER('Inputs'!$B$7),ISNUMBER('Inputs'!$B$8),ISNUMBER('Inputs'!$B$9),ISNUMBER('Inputs'!$B$10),ISNUMBER('Inputs'!$B$21),ISNUMBER('Inputs'!$B$24),ISNUMBER('Inputs'!$B$28)),((('Results'!C7*(1+'Inputs'!$B$24)*(0.5*((((378-43)*MAX('Inputs'!$B$33,'Inputs'!$B$29+'Inputs'!$B$31+'Inputs'!$B$32,'Inputs'!$B$30+'Inputs'!$B$31+'Inputs'!$B$32)/1000+'Inputs'!$B$21)+'Inputs'!$B$9)/SQRT((((378-43)*MAX('Inputs'!$B$33,'Inputs'!$B$29+'Inputs'!$B$31+'Inputs'!$B$32,'Inputs'!$B$30+'Inputs'!$B$31+'Inputs'!$B$32)/1000+'Inputs'!$B$21)+'Inputs'!$B$9)^2+('Inputs'!$B$8/2)^2)-(((378-43)*MAX('Inputs'!$B$33,'Inputs'!$B$29+'Inputs'!$B$31+'Inputs'!$B$32,'Inputs'!$B$30+'Inputs'!$B$31+'Inputs'!$B$32)/1000+'Inputs'!$B$21))/SQRT((((378-43)*MAX('Inputs'!$B$33,'Inputs'!$B$29+'Inputs'!$B$31+'Inputs'!$B$32,'Inputs'!$B$30+'Inputs'!$B$31+'Inputs'!$B$32)/1000+'Inputs'!$B$21))^2+('Inputs'!$B$8/2)^2)))-'Results'!B7*(1-'Inputs'!$B$24)*(0.5*((((378-43)*MAX('Inputs'!$B$33,'Inputs'!$B$29+'Inputs'!$B$31+'Inputs'!$B$32,'Inputs'!$B$30+'Inputs'!$B$31+'Inputs'!$B$32)/1000+'Inputs'!$B$21+'Inputs'!$B$9+'Inputs'!$B$10)+'Inputs'!$B$7)/SQRT((((378-43)*MAX('Inputs'!$B$33,'Inputs'!$B$29+'Inputs'!$B$31+'Inputs'!$B$32,'Inputs'!$B$30+'Inputs'!$B$31+'Inputs'!$B$32)/1000+'Inputs'!$B$21+'Inputs'!$B$9+'Inputs'!$B$10)+'Inputs'!$B$7)^2+('Inputs'!$B$6/2)^2)-(((378-43)*MAX('Inputs'!$B$33,'Inputs'!$B$29+'Inputs'!$B$31+'Inputs'!$B$32,'Inputs'!$B$30+'Inputs'!$B$31+'Inputs'!$B$32)/1000+'Inputs'!$B$21+'Inputs'!$B$9+'Inputs'!$B$10))/SQRT((((378-43)*MAX('Inputs'!$B$33,'Inputs'!$B$29+'Inputs'!$B$31+'Inputs'!$B$32,'Inputs'!$B$30+'Inputs'!$B$31+'Inputs'!$B$32)/1000+'Inputs'!$B$21+'Inputs'!$B$9+'Inputs'!$B$10))^2+('Inputs'!$B$6/2)^2))))*'Results'!$B$8)+'Inputs'!$B$28*ABS((('Results'!C7*(1+'Inputs'!$B$24)*(0.5*((((378-43)*MAX('Inputs'!$B$33,'Inputs'!$B$29+'Inputs'!$B$31+'Inputs'!$B$32,'Inputs'!$B$30+'Inputs'!$B$31+'Inputs'!$B$32)/1000+'Inputs'!$B$21)+'Inputs'!$B$9)/SQRT((((378-43)*MAX('Inputs'!$B$33,'Inputs'!$B$29+'Inputs'!$B$31+'Inputs'!$B$32,'Inputs'!$B$30+'Inputs'!$B$31+'Inputs'!$B$32)/1000+'Inputs'!$B$21)+'Inputs'!$B$9)^2+('Inputs'!$B$8/2)^2)-(((378-43)*MAX('Inputs'!$B$33,'Inputs'!$B$29+'Inputs'!$B$31+'Inputs'!$B$32,'Inputs'!$B$30+'Inputs'!$B$31+'Inputs'!$B$32)/1000+'Inputs'!$B$21))/SQRT((((378-43)*MAX('Inputs'!$B$33,'Inputs'!$B$29+'Inputs'!$B$31+'Inputs'!$B$32,'Inputs'!$B$30+'Inputs'!$B$31+'Inputs'!$B$32)/1000+'Inputs'!$B$21))^2+('Inputs'!$B$8/2)^2)))-'Results'!B7*(1-'Inputs'!$B$24)*(0.5*((((378-43)*MAX('Inputs'!$B$33,'Inputs'!$B$29+'Inputs'!$B$31+'Inputs'!$B$32,'Inputs'!$B$30+'Inputs'!$B$31+'Inputs'!$B$32)/1000+'Inputs'!$B$21+'Inputs'!$B$9+'Inputs'!$B$10)+'Inputs'!$B$7)/SQRT((((378-43)*MAX('Inputs'!$B$33,'Inputs'!$B$29+'Inputs'!$B$31+'Inputs'!$B$32,'Inputs'!$B$30+'Inputs'!$B$31+'Inputs'!$B$32)/1000+'Inputs'!$B$21+'Inputs'!$B$9+'Inputs'!$B$10)+'Inputs'!$B$7)^2+('Inputs'!$B$6/2)^2)-(((378-43)*MAX('Inputs'!$B$33,'Inputs'!$B$29+'Inputs'!$B$31+'Inputs'!$B$32,'Inputs'!$B$30+'Inputs'!$B$31+'Inputs'!$B$32)/1000+'Inputs'!$B$21+'Inputs'!$B$9+'Inputs'!$B$10))/SQRT((((378-43)*MAX('Inputs'!$B$33,'Inputs'!$B$29+'Inputs'!$B$31+'Inputs'!$B$32,'Inputs'!$B$30+'Inputs'!$B$31+'Inputs'!$B$32)/1000+'Inputs'!$B$21+'Inputs'!$B$9+'Inputs'!$B$10))^2+('Inputs'!$B$6/2)^2))))*'Results'!$B$8))),"")</x:f>
        <x:v>16.492192632787216</x:v>
      </x:c>
      <x:c r="P378" t="n">
        <x:f>IF(AND(MAX(J378,J377)&gt;0,J378&gt;J377+0.00000001),1,0)</x:f>
        <x:v>0</x:v>
      </x:c>
      <x:c r="Q378" t="n">
        <x:f>IF(AND(MAX(K378,K377)&gt;0,K378&gt;K377+0.00000001),1,0)</x:f>
        <x:v>0</x:v>
      </x:c>
      <x:c r="R378" t="n">
        <x:f>IF(AND(MAX(L378,L377)&gt;0,L378&gt;L377+0.00000001),1,0)</x:f>
        <x:v>0</x:v>
      </x:c>
      <x:c r="S378" t="n">
        <x:f>IF(AND(MAX(M378,M377)&gt;0,M378&gt;M377+0.00000001),1,0)</x:f>
        <x:v>0</x:v>
      </x:c>
      <x:c r="T378" t="n">
        <x:f>IF(AND(MAX(N378,N377)&gt;0,N378&gt;N377+0.00000001),1,0)</x:f>
        <x:v>0</x:v>
      </x:c>
      <x:c r="U378" t="n">
        <x:f>IF(AND(MAX(O378,O377)&gt;0,O378&gt;O377+0.00000001),1,0)</x:f>
        <x:v>0</x:v>
      </x:c>
    </x:row>
    <x:row r="379">
      <x:c r="J379" t="n">
        <x:f>IF(AND(ISNUMBER('Results'!B7),ISNUMBER('Results'!C7),ISNUMBER('Results'!$B$8),ISNUMBER('Inputs'!$B$6),ISNUMBER('Inputs'!$B$7),ISNUMBER('Inputs'!$B$8),ISNUMBER('Inputs'!$B$9),ISNUMBER('Inputs'!$B$10),ISNUMBER('Inputs'!$B$21),ISNUMBER('Inputs'!$B$24),ISNUMBER('Inputs'!$B$28)),(('Results'!B7*(0.5*((((379-43)*MAX('Inputs'!$B$33,'Inputs'!$B$29+'Inputs'!$B$31+'Inputs'!$B$32,'Inputs'!$B$30+'Inputs'!$B$31+'Inputs'!$B$32)/1000+'Inputs'!$B$21)+'Inputs'!$B$7)/SQRT((((379-43)*MAX('Inputs'!$B$33,'Inputs'!$B$29+'Inputs'!$B$31+'Inputs'!$B$32,'Inputs'!$B$30+'Inputs'!$B$31+'Inputs'!$B$32)/1000+'Inputs'!$B$21)+'Inputs'!$B$7)^2+('Inputs'!$B$6/2)^2)-(((379-43)*MAX('Inputs'!$B$33,'Inputs'!$B$29+'Inputs'!$B$31+'Inputs'!$B$32,'Inputs'!$B$30+'Inputs'!$B$31+'Inputs'!$B$32)/1000+'Inputs'!$B$21))/SQRT((((379-43)*MAX('Inputs'!$B$33,'Inputs'!$B$29+'Inputs'!$B$31+'Inputs'!$B$32,'Inputs'!$B$30+'Inputs'!$B$31+'Inputs'!$B$32)/1000+'Inputs'!$B$21))^2+('Inputs'!$B$6/2)^2)))-'Results'!C7*(0.5*((((379-43)*MAX('Inputs'!$B$33,'Inputs'!$B$29+'Inputs'!$B$31+'Inputs'!$B$32,'Inputs'!$B$30+'Inputs'!$B$31+'Inputs'!$B$32)/1000+'Inputs'!$B$21+'Inputs'!$B$7+'Inputs'!$B$10)+'Inputs'!$B$9)/SQRT((((379-43)*MAX('Inputs'!$B$33,'Inputs'!$B$29+'Inputs'!$B$31+'Inputs'!$B$32,'Inputs'!$B$30+'Inputs'!$B$31+'Inputs'!$B$32)/1000+'Inputs'!$B$21+'Inputs'!$B$7+'Inputs'!$B$10)+'Inputs'!$B$9)^2+('Inputs'!$B$8/2)^2)-(((379-43)*MAX('Inputs'!$B$33,'Inputs'!$B$29+'Inputs'!$B$31+'Inputs'!$B$32,'Inputs'!$B$30+'Inputs'!$B$31+'Inputs'!$B$32)/1000+'Inputs'!$B$21+'Inputs'!$B$7+'Inputs'!$B$10))/SQRT((((379-43)*MAX('Inputs'!$B$33,'Inputs'!$B$29+'Inputs'!$B$31+'Inputs'!$B$32,'Inputs'!$B$30+'Inputs'!$B$31+'Inputs'!$B$32)/1000+'Inputs'!$B$21+'Inputs'!$B$7+'Inputs'!$B$10))^2+('Inputs'!$B$8/2)^2))))*'Results'!$B$8),"")</x:f>
        <x:v>15.56939599439613</x:v>
      </x:c>
      <x:c r="K379" t="n">
        <x:f>IF(AND(ISNUMBER('Results'!B7),ISNUMBER('Results'!C7),ISNUMBER('Results'!$B$8),ISNUMBER('Inputs'!$B$6),ISNUMBER('Inputs'!$B$7),ISNUMBER('Inputs'!$B$8),ISNUMBER('Inputs'!$B$9),ISNUMBER('Inputs'!$B$10),ISNUMBER('Inputs'!$B$21),ISNUMBER('Inputs'!$B$24),ISNUMBER('Inputs'!$B$28)),((('Results'!B7*(1-'Inputs'!$B$24)*(0.5*((((379-43)*MAX('Inputs'!$B$33,'Inputs'!$B$29+'Inputs'!$B$31+'Inputs'!$B$32,'Inputs'!$B$30+'Inputs'!$B$31+'Inputs'!$B$32)/1000+'Inputs'!$B$21)+'Inputs'!$B$7)/SQRT((((379-43)*MAX('Inputs'!$B$33,'Inputs'!$B$29+'Inputs'!$B$31+'Inputs'!$B$32,'Inputs'!$B$30+'Inputs'!$B$31+'Inputs'!$B$32)/1000+'Inputs'!$B$21)+'Inputs'!$B$7)^2+('Inputs'!$B$6/2)^2)-(((379-43)*MAX('Inputs'!$B$33,'Inputs'!$B$29+'Inputs'!$B$31+'Inputs'!$B$32,'Inputs'!$B$30+'Inputs'!$B$31+'Inputs'!$B$32)/1000+'Inputs'!$B$21))/SQRT((((379-43)*MAX('Inputs'!$B$33,'Inputs'!$B$29+'Inputs'!$B$31+'Inputs'!$B$32,'Inputs'!$B$30+'Inputs'!$B$31+'Inputs'!$B$32)/1000+'Inputs'!$B$21))^2+('Inputs'!$B$6/2)^2)))-'Results'!C7*(1+'Inputs'!$B$24)*(0.5*((((379-43)*MAX('Inputs'!$B$33,'Inputs'!$B$29+'Inputs'!$B$31+'Inputs'!$B$32,'Inputs'!$B$30+'Inputs'!$B$31+'Inputs'!$B$32)/1000+'Inputs'!$B$21+'Inputs'!$B$7+'Inputs'!$B$10)+'Inputs'!$B$9)/SQRT((((379-43)*MAX('Inputs'!$B$33,'Inputs'!$B$29+'Inputs'!$B$31+'Inputs'!$B$32,'Inputs'!$B$30+'Inputs'!$B$31+'Inputs'!$B$32)/1000+'Inputs'!$B$21+'Inputs'!$B$7+'Inputs'!$B$10)+'Inputs'!$B$9)^2+('Inputs'!$B$8/2)^2)-(((379-43)*MAX('Inputs'!$B$33,'Inputs'!$B$29+'Inputs'!$B$31+'Inputs'!$B$32,'Inputs'!$B$30+'Inputs'!$B$31+'Inputs'!$B$32)/1000+'Inputs'!$B$21+'Inputs'!$B$7+'Inputs'!$B$10))/SQRT((((379-43)*MAX('Inputs'!$B$33,'Inputs'!$B$29+'Inputs'!$B$31+'Inputs'!$B$32,'Inputs'!$B$30+'Inputs'!$B$31+'Inputs'!$B$32)/1000+'Inputs'!$B$21+'Inputs'!$B$7+'Inputs'!$B$10))^2+('Inputs'!$B$8/2)^2))))*'Results'!$B$8)-'Inputs'!$B$28*ABS((('Results'!B7*(1-'Inputs'!$B$24)*(0.5*((((379-43)*MAX('Inputs'!$B$33,'Inputs'!$B$29+'Inputs'!$B$31+'Inputs'!$B$32,'Inputs'!$B$30+'Inputs'!$B$31+'Inputs'!$B$32)/1000+'Inputs'!$B$21)+'Inputs'!$B$7)/SQRT((((379-43)*MAX('Inputs'!$B$33,'Inputs'!$B$29+'Inputs'!$B$31+'Inputs'!$B$32,'Inputs'!$B$30+'Inputs'!$B$31+'Inputs'!$B$32)/1000+'Inputs'!$B$21)+'Inputs'!$B$7)^2+('Inputs'!$B$6/2)^2)-(((379-43)*MAX('Inputs'!$B$33,'Inputs'!$B$29+'Inputs'!$B$31+'Inputs'!$B$32,'Inputs'!$B$30+'Inputs'!$B$31+'Inputs'!$B$32)/1000+'Inputs'!$B$21))/SQRT((((379-43)*MAX('Inputs'!$B$33,'Inputs'!$B$29+'Inputs'!$B$31+'Inputs'!$B$32,'Inputs'!$B$30+'Inputs'!$B$31+'Inputs'!$B$32)/1000+'Inputs'!$B$21))^2+('Inputs'!$B$6/2)^2)))-'Results'!C7*(1+'Inputs'!$B$24)*(0.5*((((379-43)*MAX('Inputs'!$B$33,'Inputs'!$B$29+'Inputs'!$B$31+'Inputs'!$B$32,'Inputs'!$B$30+'Inputs'!$B$31+'Inputs'!$B$32)/1000+'Inputs'!$B$21+'Inputs'!$B$7+'Inputs'!$B$10)+'Inputs'!$B$9)/SQRT((((379-43)*MAX('Inputs'!$B$33,'Inputs'!$B$29+'Inputs'!$B$31+'Inputs'!$B$32,'Inputs'!$B$30+'Inputs'!$B$31+'Inputs'!$B$32)/1000+'Inputs'!$B$21+'Inputs'!$B$7+'Inputs'!$B$10)+'Inputs'!$B$9)^2+('Inputs'!$B$8/2)^2)-(((379-43)*MAX('Inputs'!$B$33,'Inputs'!$B$29+'Inputs'!$B$31+'Inputs'!$B$32,'Inputs'!$B$30+'Inputs'!$B$31+'Inputs'!$B$32)/1000+'Inputs'!$B$21+'Inputs'!$B$7+'Inputs'!$B$10))/SQRT((((379-43)*MAX('Inputs'!$B$33,'Inputs'!$B$29+'Inputs'!$B$31+'Inputs'!$B$32,'Inputs'!$B$30+'Inputs'!$B$31+'Inputs'!$B$32)/1000+'Inputs'!$B$21+'Inputs'!$B$7+'Inputs'!$B$10))^2+('Inputs'!$B$8/2)^2))))*'Results'!$B$8))),"")</x:f>
        <x:v>14.037493546010246</x:v>
      </x:c>
      <x:c r="L379" t="n">
        <x:f>IF(AND(ISNUMBER('Results'!B7),ISNUMBER('Results'!C7),ISNUMBER('Results'!$B$8),ISNUMBER('Inputs'!$B$6),ISNUMBER('Inputs'!$B$7),ISNUMBER('Inputs'!$B$8),ISNUMBER('Inputs'!$B$9),ISNUMBER('Inputs'!$B$10),ISNUMBER('Inputs'!$B$21),ISNUMBER('Inputs'!$B$24),ISNUMBER('Inputs'!$B$28)),((('Results'!B7*(1+'Inputs'!$B$24)*(0.5*((((379-43)*MAX('Inputs'!$B$33,'Inputs'!$B$29+'Inputs'!$B$31+'Inputs'!$B$32,'Inputs'!$B$30+'Inputs'!$B$31+'Inputs'!$B$32)/1000+'Inputs'!$B$21)+'Inputs'!$B$7)/SQRT((((379-43)*MAX('Inputs'!$B$33,'Inputs'!$B$29+'Inputs'!$B$31+'Inputs'!$B$32,'Inputs'!$B$30+'Inputs'!$B$31+'Inputs'!$B$32)/1000+'Inputs'!$B$21)+'Inputs'!$B$7)^2+('Inputs'!$B$6/2)^2)-(((379-43)*MAX('Inputs'!$B$33,'Inputs'!$B$29+'Inputs'!$B$31+'Inputs'!$B$32,'Inputs'!$B$30+'Inputs'!$B$31+'Inputs'!$B$32)/1000+'Inputs'!$B$21))/SQRT((((379-43)*MAX('Inputs'!$B$33,'Inputs'!$B$29+'Inputs'!$B$31+'Inputs'!$B$32,'Inputs'!$B$30+'Inputs'!$B$31+'Inputs'!$B$32)/1000+'Inputs'!$B$21))^2+('Inputs'!$B$6/2)^2)))-'Results'!C7*(1-'Inputs'!$B$24)*(0.5*((((379-43)*MAX('Inputs'!$B$33,'Inputs'!$B$29+'Inputs'!$B$31+'Inputs'!$B$32,'Inputs'!$B$30+'Inputs'!$B$31+'Inputs'!$B$32)/1000+'Inputs'!$B$21+'Inputs'!$B$7+'Inputs'!$B$10)+'Inputs'!$B$9)/SQRT((((379-43)*MAX('Inputs'!$B$33,'Inputs'!$B$29+'Inputs'!$B$31+'Inputs'!$B$32,'Inputs'!$B$30+'Inputs'!$B$31+'Inputs'!$B$32)/1000+'Inputs'!$B$21+'Inputs'!$B$7+'Inputs'!$B$10)+'Inputs'!$B$9)^2+('Inputs'!$B$8/2)^2)-(((379-43)*MAX('Inputs'!$B$33,'Inputs'!$B$29+'Inputs'!$B$31+'Inputs'!$B$32,'Inputs'!$B$30+'Inputs'!$B$31+'Inputs'!$B$32)/1000+'Inputs'!$B$21+'Inputs'!$B$7+'Inputs'!$B$10))/SQRT((((379-43)*MAX('Inputs'!$B$33,'Inputs'!$B$29+'Inputs'!$B$31+'Inputs'!$B$32,'Inputs'!$B$30+'Inputs'!$B$31+'Inputs'!$B$32)/1000+'Inputs'!$B$21+'Inputs'!$B$7+'Inputs'!$B$10))^2+('Inputs'!$B$8/2)^2))))*'Results'!$B$8)+'Inputs'!$B$28*ABS((('Results'!B7*(1+'Inputs'!$B$24)*(0.5*((((379-43)*MAX('Inputs'!$B$33,'Inputs'!$B$29+'Inputs'!$B$31+'Inputs'!$B$32,'Inputs'!$B$30+'Inputs'!$B$31+'Inputs'!$B$32)/1000+'Inputs'!$B$21)+'Inputs'!$B$7)/SQRT((((379-43)*MAX('Inputs'!$B$33,'Inputs'!$B$29+'Inputs'!$B$31+'Inputs'!$B$32,'Inputs'!$B$30+'Inputs'!$B$31+'Inputs'!$B$32)/1000+'Inputs'!$B$21)+'Inputs'!$B$7)^2+('Inputs'!$B$6/2)^2)-(((379-43)*MAX('Inputs'!$B$33,'Inputs'!$B$29+'Inputs'!$B$31+'Inputs'!$B$32,'Inputs'!$B$30+'Inputs'!$B$31+'Inputs'!$B$32)/1000+'Inputs'!$B$21))/SQRT((((379-43)*MAX('Inputs'!$B$33,'Inputs'!$B$29+'Inputs'!$B$31+'Inputs'!$B$32,'Inputs'!$B$30+'Inputs'!$B$31+'Inputs'!$B$32)/1000+'Inputs'!$B$21))^2+('Inputs'!$B$6/2)^2)))-'Results'!C7*(1-'Inputs'!$B$24)*(0.5*((((379-43)*MAX('Inputs'!$B$33,'Inputs'!$B$29+'Inputs'!$B$31+'Inputs'!$B$32,'Inputs'!$B$30+'Inputs'!$B$31+'Inputs'!$B$32)/1000+'Inputs'!$B$21+'Inputs'!$B$7+'Inputs'!$B$10)+'Inputs'!$B$9)/SQRT((((379-43)*MAX('Inputs'!$B$33,'Inputs'!$B$29+'Inputs'!$B$31+'Inputs'!$B$32,'Inputs'!$B$30+'Inputs'!$B$31+'Inputs'!$B$32)/1000+'Inputs'!$B$21+'Inputs'!$B$7+'Inputs'!$B$10)+'Inputs'!$B$9)^2+('Inputs'!$B$8/2)^2)-(((379-43)*MAX('Inputs'!$B$33,'Inputs'!$B$29+'Inputs'!$B$31+'Inputs'!$B$32,'Inputs'!$B$30+'Inputs'!$B$31+'Inputs'!$B$32)/1000+'Inputs'!$B$21+'Inputs'!$B$7+'Inputs'!$B$10))/SQRT((((379-43)*MAX('Inputs'!$B$33,'Inputs'!$B$29+'Inputs'!$B$31+'Inputs'!$B$32,'Inputs'!$B$30+'Inputs'!$B$31+'Inputs'!$B$32)/1000+'Inputs'!$B$21+'Inputs'!$B$7+'Inputs'!$B$10))^2+('Inputs'!$B$8/2)^2))))*'Results'!$B$8))),"")</x:f>
        <x:v>17.180607142641605</x:v>
      </x:c>
      <x:c r="M379" t="n">
        <x:f>IF(AND(ISNUMBER('Results'!C7),ISNUMBER('Results'!B7),ISNUMBER('Results'!$B$8),ISNUMBER('Inputs'!$B$6),ISNUMBER('Inputs'!$B$7),ISNUMBER('Inputs'!$B$8),ISNUMBER('Inputs'!$B$9),ISNUMBER('Inputs'!$B$10),ISNUMBER('Inputs'!$B$21),ISNUMBER('Inputs'!$B$24),ISNUMBER('Inputs'!$B$28)),(('Results'!C7*(0.5*((((379-43)*MAX('Inputs'!$B$33,'Inputs'!$B$29+'Inputs'!$B$31+'Inputs'!$B$32,'Inputs'!$B$30+'Inputs'!$B$31+'Inputs'!$B$32)/1000+'Inputs'!$B$21)+'Inputs'!$B$9)/SQRT((((379-43)*MAX('Inputs'!$B$33,'Inputs'!$B$29+'Inputs'!$B$31+'Inputs'!$B$32,'Inputs'!$B$30+'Inputs'!$B$31+'Inputs'!$B$32)/1000+'Inputs'!$B$21)+'Inputs'!$B$9)^2+('Inputs'!$B$8/2)^2)-(((379-43)*MAX('Inputs'!$B$33,'Inputs'!$B$29+'Inputs'!$B$31+'Inputs'!$B$32,'Inputs'!$B$30+'Inputs'!$B$31+'Inputs'!$B$32)/1000+'Inputs'!$B$21))/SQRT((((379-43)*MAX('Inputs'!$B$33,'Inputs'!$B$29+'Inputs'!$B$31+'Inputs'!$B$32,'Inputs'!$B$30+'Inputs'!$B$31+'Inputs'!$B$32)/1000+'Inputs'!$B$21))^2+('Inputs'!$B$8/2)^2)))-'Results'!B7*(0.5*((((379-43)*MAX('Inputs'!$B$33,'Inputs'!$B$29+'Inputs'!$B$31+'Inputs'!$B$32,'Inputs'!$B$30+'Inputs'!$B$31+'Inputs'!$B$32)/1000+'Inputs'!$B$21+'Inputs'!$B$9+'Inputs'!$B$10)+'Inputs'!$B$7)/SQRT((((379-43)*MAX('Inputs'!$B$33,'Inputs'!$B$29+'Inputs'!$B$31+'Inputs'!$B$32,'Inputs'!$B$30+'Inputs'!$B$31+'Inputs'!$B$32)/1000+'Inputs'!$B$21+'Inputs'!$B$9+'Inputs'!$B$10)+'Inputs'!$B$7)^2+('Inputs'!$B$6/2)^2)-(((379-43)*MAX('Inputs'!$B$33,'Inputs'!$B$29+'Inputs'!$B$31+'Inputs'!$B$32,'Inputs'!$B$30+'Inputs'!$B$31+'Inputs'!$B$32)/1000+'Inputs'!$B$21+'Inputs'!$B$9+'Inputs'!$B$10))/SQRT((((379-43)*MAX('Inputs'!$B$33,'Inputs'!$B$29+'Inputs'!$B$31+'Inputs'!$B$32,'Inputs'!$B$30+'Inputs'!$B$31+'Inputs'!$B$32)/1000+'Inputs'!$B$21+'Inputs'!$B$9+'Inputs'!$B$10))^2+('Inputs'!$B$6/2)^2))))*'Results'!$B$8),"")</x:f>
        <x:v>14.771393699078752</x:v>
      </x:c>
      <x:c r="N379" t="n">
        <x:f>IF(AND(ISNUMBER('Results'!C7),ISNUMBER('Results'!B7),ISNUMBER('Results'!$B$8),ISNUMBER('Inputs'!$B$6),ISNUMBER('Inputs'!$B$7),ISNUMBER('Inputs'!$B$8),ISNUMBER('Inputs'!$B$9),ISNUMBER('Inputs'!$B$10),ISNUMBER('Inputs'!$B$21),ISNUMBER('Inputs'!$B$24),ISNUMBER('Inputs'!$B$28)),((('Results'!C7*(1-'Inputs'!$B$24)*(0.5*((((379-43)*MAX('Inputs'!$B$33,'Inputs'!$B$29+'Inputs'!$B$31+'Inputs'!$B$32,'Inputs'!$B$30+'Inputs'!$B$31+'Inputs'!$B$32)/1000+'Inputs'!$B$21)+'Inputs'!$B$9)/SQRT((((379-43)*MAX('Inputs'!$B$33,'Inputs'!$B$29+'Inputs'!$B$31+'Inputs'!$B$32,'Inputs'!$B$30+'Inputs'!$B$31+'Inputs'!$B$32)/1000+'Inputs'!$B$21)+'Inputs'!$B$9)^2+('Inputs'!$B$8/2)^2)-(((379-43)*MAX('Inputs'!$B$33,'Inputs'!$B$29+'Inputs'!$B$31+'Inputs'!$B$32,'Inputs'!$B$30+'Inputs'!$B$31+'Inputs'!$B$32)/1000+'Inputs'!$B$21))/SQRT((((379-43)*MAX('Inputs'!$B$33,'Inputs'!$B$29+'Inputs'!$B$31+'Inputs'!$B$32,'Inputs'!$B$30+'Inputs'!$B$31+'Inputs'!$B$32)/1000+'Inputs'!$B$21))^2+('Inputs'!$B$8/2)^2)))-'Results'!B7*(1+'Inputs'!$B$24)*(0.5*((((379-43)*MAX('Inputs'!$B$33,'Inputs'!$B$29+'Inputs'!$B$31+'Inputs'!$B$32,'Inputs'!$B$30+'Inputs'!$B$31+'Inputs'!$B$32)/1000+'Inputs'!$B$21+'Inputs'!$B$9+'Inputs'!$B$10)+'Inputs'!$B$7)/SQRT((((379-43)*MAX('Inputs'!$B$33,'Inputs'!$B$29+'Inputs'!$B$31+'Inputs'!$B$32,'Inputs'!$B$30+'Inputs'!$B$31+'Inputs'!$B$32)/1000+'Inputs'!$B$21+'Inputs'!$B$9+'Inputs'!$B$10)+'Inputs'!$B$7)^2+('Inputs'!$B$6/2)^2)-(((379-43)*MAX('Inputs'!$B$33,'Inputs'!$B$29+'Inputs'!$B$31+'Inputs'!$B$32,'Inputs'!$B$30+'Inputs'!$B$31+'Inputs'!$B$32)/1000+'Inputs'!$B$21+'Inputs'!$B$9+'Inputs'!$B$10))/SQRT((((379-43)*MAX('Inputs'!$B$33,'Inputs'!$B$29+'Inputs'!$B$31+'Inputs'!$B$32,'Inputs'!$B$30+'Inputs'!$B$31+'Inputs'!$B$32)/1000+'Inputs'!$B$21+'Inputs'!$B$9+'Inputs'!$B$10))^2+('Inputs'!$B$6/2)^2))))*'Results'!$B$8)-'Inputs'!$B$28*ABS((('Results'!C7*(1-'Inputs'!$B$24)*(0.5*((((379-43)*MAX('Inputs'!$B$33,'Inputs'!$B$29+'Inputs'!$B$31+'Inputs'!$B$32,'Inputs'!$B$30+'Inputs'!$B$31+'Inputs'!$B$32)/1000+'Inputs'!$B$21)+'Inputs'!$B$9)/SQRT((((379-43)*MAX('Inputs'!$B$33,'Inputs'!$B$29+'Inputs'!$B$31+'Inputs'!$B$32,'Inputs'!$B$30+'Inputs'!$B$31+'Inputs'!$B$32)/1000+'Inputs'!$B$21)+'Inputs'!$B$9)^2+('Inputs'!$B$8/2)^2)-(((379-43)*MAX('Inputs'!$B$33,'Inputs'!$B$29+'Inputs'!$B$31+'Inputs'!$B$32,'Inputs'!$B$30+'Inputs'!$B$31+'Inputs'!$B$32)/1000+'Inputs'!$B$21))/SQRT((((379-43)*MAX('Inputs'!$B$33,'Inputs'!$B$29+'Inputs'!$B$31+'Inputs'!$B$32,'Inputs'!$B$30+'Inputs'!$B$31+'Inputs'!$B$32)/1000+'Inputs'!$B$21))^2+('Inputs'!$B$8/2)^2)))-'Results'!B7*(1+'Inputs'!$B$24)*(0.5*((((379-43)*MAX('Inputs'!$B$33,'Inputs'!$B$29+'Inputs'!$B$31+'Inputs'!$B$32,'Inputs'!$B$30+'Inputs'!$B$31+'Inputs'!$B$32)/1000+'Inputs'!$B$21+'Inputs'!$B$9+'Inputs'!$B$10)+'Inputs'!$B$7)/SQRT((((379-43)*MAX('Inputs'!$B$33,'Inputs'!$B$29+'Inputs'!$B$31+'Inputs'!$B$32,'Inputs'!$B$30+'Inputs'!$B$31+'Inputs'!$B$32)/1000+'Inputs'!$B$21+'Inputs'!$B$9+'Inputs'!$B$10)+'Inputs'!$B$7)^2+('Inputs'!$B$6/2)^2)-(((379-43)*MAX('Inputs'!$B$33,'Inputs'!$B$29+'Inputs'!$B$31+'Inputs'!$B$32,'Inputs'!$B$30+'Inputs'!$B$31+'Inputs'!$B$32)/1000+'Inputs'!$B$21+'Inputs'!$B$9+'Inputs'!$B$10))/SQRT((((379-43)*MAX('Inputs'!$B$33,'Inputs'!$B$29+'Inputs'!$B$31+'Inputs'!$B$32,'Inputs'!$B$30+'Inputs'!$B$31+'Inputs'!$B$32)/1000+'Inputs'!$B$21+'Inputs'!$B$9+'Inputs'!$B$10))^2+('Inputs'!$B$6/2)^2))))*'Results'!$B$8))),"")</x:f>
        <x:v>13.285214345298895</x:v>
      </x:c>
      <x:c r="O379" t="n">
        <x:f>IF(AND(ISNUMBER('Results'!C7),ISNUMBER('Results'!B7),ISNUMBER('Results'!$B$8),ISNUMBER('Inputs'!$B$6),ISNUMBER('Inputs'!$B$7),ISNUMBER('Inputs'!$B$8),ISNUMBER('Inputs'!$B$9),ISNUMBER('Inputs'!$B$10),ISNUMBER('Inputs'!$B$21),ISNUMBER('Inputs'!$B$24),ISNUMBER('Inputs'!$B$28)),((('Results'!C7*(1+'Inputs'!$B$24)*(0.5*((((379-43)*MAX('Inputs'!$B$33,'Inputs'!$B$29+'Inputs'!$B$31+'Inputs'!$B$32,'Inputs'!$B$30+'Inputs'!$B$31+'Inputs'!$B$32)/1000+'Inputs'!$B$21)+'Inputs'!$B$9)/SQRT((((379-43)*MAX('Inputs'!$B$33,'Inputs'!$B$29+'Inputs'!$B$31+'Inputs'!$B$32,'Inputs'!$B$30+'Inputs'!$B$31+'Inputs'!$B$32)/1000+'Inputs'!$B$21)+'Inputs'!$B$9)^2+('Inputs'!$B$8/2)^2)-(((379-43)*MAX('Inputs'!$B$33,'Inputs'!$B$29+'Inputs'!$B$31+'Inputs'!$B$32,'Inputs'!$B$30+'Inputs'!$B$31+'Inputs'!$B$32)/1000+'Inputs'!$B$21))/SQRT((((379-43)*MAX('Inputs'!$B$33,'Inputs'!$B$29+'Inputs'!$B$31+'Inputs'!$B$32,'Inputs'!$B$30+'Inputs'!$B$31+'Inputs'!$B$32)/1000+'Inputs'!$B$21))^2+('Inputs'!$B$8/2)^2)))-'Results'!B7*(1-'Inputs'!$B$24)*(0.5*((((379-43)*MAX('Inputs'!$B$33,'Inputs'!$B$29+'Inputs'!$B$31+'Inputs'!$B$32,'Inputs'!$B$30+'Inputs'!$B$31+'Inputs'!$B$32)/1000+'Inputs'!$B$21+'Inputs'!$B$9+'Inputs'!$B$10)+'Inputs'!$B$7)/SQRT((((379-43)*MAX('Inputs'!$B$33,'Inputs'!$B$29+'Inputs'!$B$31+'Inputs'!$B$32,'Inputs'!$B$30+'Inputs'!$B$31+'Inputs'!$B$32)/1000+'Inputs'!$B$21+'Inputs'!$B$9+'Inputs'!$B$10)+'Inputs'!$B$7)^2+('Inputs'!$B$6/2)^2)-(((379-43)*MAX('Inputs'!$B$33,'Inputs'!$B$29+'Inputs'!$B$31+'Inputs'!$B$32,'Inputs'!$B$30+'Inputs'!$B$31+'Inputs'!$B$32)/1000+'Inputs'!$B$21+'Inputs'!$B$9+'Inputs'!$B$10))/SQRT((((379-43)*MAX('Inputs'!$B$33,'Inputs'!$B$29+'Inputs'!$B$31+'Inputs'!$B$32,'Inputs'!$B$30+'Inputs'!$B$31+'Inputs'!$B$32)/1000+'Inputs'!$B$21+'Inputs'!$B$9+'Inputs'!$B$10))^2+('Inputs'!$B$6/2)^2))))*'Results'!$B$8)+'Inputs'!$B$28*ABS((('Results'!C7*(1+'Inputs'!$B$24)*(0.5*((((379-43)*MAX('Inputs'!$B$33,'Inputs'!$B$29+'Inputs'!$B$31+'Inputs'!$B$32,'Inputs'!$B$30+'Inputs'!$B$31+'Inputs'!$B$32)/1000+'Inputs'!$B$21)+'Inputs'!$B$9)/SQRT((((379-43)*MAX('Inputs'!$B$33,'Inputs'!$B$29+'Inputs'!$B$31+'Inputs'!$B$32,'Inputs'!$B$30+'Inputs'!$B$31+'Inputs'!$B$32)/1000+'Inputs'!$B$21)+'Inputs'!$B$9)^2+('Inputs'!$B$8/2)^2)-(((379-43)*MAX('Inputs'!$B$33,'Inputs'!$B$29+'Inputs'!$B$31+'Inputs'!$B$32,'Inputs'!$B$30+'Inputs'!$B$31+'Inputs'!$B$32)/1000+'Inputs'!$B$21))/SQRT((((379-43)*MAX('Inputs'!$B$33,'Inputs'!$B$29+'Inputs'!$B$31+'Inputs'!$B$32,'Inputs'!$B$30+'Inputs'!$B$31+'Inputs'!$B$32)/1000+'Inputs'!$B$21))^2+('Inputs'!$B$8/2)^2)))-'Results'!B7*(1-'Inputs'!$B$24)*(0.5*((((379-43)*MAX('Inputs'!$B$33,'Inputs'!$B$29+'Inputs'!$B$31+'Inputs'!$B$32,'Inputs'!$B$30+'Inputs'!$B$31+'Inputs'!$B$32)/1000+'Inputs'!$B$21+'Inputs'!$B$9+'Inputs'!$B$10)+'Inputs'!$B$7)/SQRT((((379-43)*MAX('Inputs'!$B$33,'Inputs'!$B$29+'Inputs'!$B$31+'Inputs'!$B$32,'Inputs'!$B$30+'Inputs'!$B$31+'Inputs'!$B$32)/1000+'Inputs'!$B$21+'Inputs'!$B$9+'Inputs'!$B$10)+'Inputs'!$B$7)^2+('Inputs'!$B$6/2)^2)-(((379-43)*MAX('Inputs'!$B$33,'Inputs'!$B$29+'Inputs'!$B$31+'Inputs'!$B$32,'Inputs'!$B$30+'Inputs'!$B$31+'Inputs'!$B$32)/1000+'Inputs'!$B$21+'Inputs'!$B$9+'Inputs'!$B$10))/SQRT((((379-43)*MAX('Inputs'!$B$33,'Inputs'!$B$29+'Inputs'!$B$31+'Inputs'!$B$32,'Inputs'!$B$30+'Inputs'!$B$31+'Inputs'!$B$32)/1000+'Inputs'!$B$21+'Inputs'!$B$9+'Inputs'!$B$10))^2+('Inputs'!$B$6/2)^2))))*'Results'!$B$8))),"")</x:f>
        <x:v>16.33626880747186</x:v>
      </x:c>
      <x:c r="P379" t="n">
        <x:f>IF(AND(MAX(J379,J378)&gt;0,J379&gt;J378+0.00000001),1,0)</x:f>
        <x:v>0</x:v>
      </x:c>
      <x:c r="Q379" t="n">
        <x:f>IF(AND(MAX(K379,K378)&gt;0,K379&gt;K378+0.00000001),1,0)</x:f>
        <x:v>0</x:v>
      </x:c>
      <x:c r="R379" t="n">
        <x:f>IF(AND(MAX(L379,L378)&gt;0,L379&gt;L378+0.00000001),1,0)</x:f>
        <x:v>0</x:v>
      </x:c>
      <x:c r="S379" t="n">
        <x:f>IF(AND(MAX(M379,M378)&gt;0,M379&gt;M378+0.00000001),1,0)</x:f>
        <x:v>0</x:v>
      </x:c>
      <x:c r="T379" t="n">
        <x:f>IF(AND(MAX(N379,N378)&gt;0,N379&gt;N378+0.00000001),1,0)</x:f>
        <x:v>0</x:v>
      </x:c>
      <x:c r="U379" t="n">
        <x:f>IF(AND(MAX(O379,O378)&gt;0,O379&gt;O378+0.00000001),1,0)</x:f>
        <x:v>0</x:v>
      </x:c>
    </x:row>
    <x:row r="380">
      <x:c r="J380" t="n">
        <x:f>IF(AND(ISNUMBER('Results'!B7),ISNUMBER('Results'!C7),ISNUMBER('Results'!$B$8),ISNUMBER('Inputs'!$B$6),ISNUMBER('Inputs'!$B$7),ISNUMBER('Inputs'!$B$8),ISNUMBER('Inputs'!$B$9),ISNUMBER('Inputs'!$B$10),ISNUMBER('Inputs'!$B$21),ISNUMBER('Inputs'!$B$24),ISNUMBER('Inputs'!$B$28)),(('Results'!B7*(0.5*((((380-43)*MAX('Inputs'!$B$33,'Inputs'!$B$29+'Inputs'!$B$31+'Inputs'!$B$32,'Inputs'!$B$30+'Inputs'!$B$31+'Inputs'!$B$32)/1000+'Inputs'!$B$21)+'Inputs'!$B$7)/SQRT((((380-43)*MAX('Inputs'!$B$33,'Inputs'!$B$29+'Inputs'!$B$31+'Inputs'!$B$32,'Inputs'!$B$30+'Inputs'!$B$31+'Inputs'!$B$32)/1000+'Inputs'!$B$21)+'Inputs'!$B$7)^2+('Inputs'!$B$6/2)^2)-(((380-43)*MAX('Inputs'!$B$33,'Inputs'!$B$29+'Inputs'!$B$31+'Inputs'!$B$32,'Inputs'!$B$30+'Inputs'!$B$31+'Inputs'!$B$32)/1000+'Inputs'!$B$21))/SQRT((((380-43)*MAX('Inputs'!$B$33,'Inputs'!$B$29+'Inputs'!$B$31+'Inputs'!$B$32,'Inputs'!$B$30+'Inputs'!$B$31+'Inputs'!$B$32)/1000+'Inputs'!$B$21))^2+('Inputs'!$B$6/2)^2)))-'Results'!C7*(0.5*((((380-43)*MAX('Inputs'!$B$33,'Inputs'!$B$29+'Inputs'!$B$31+'Inputs'!$B$32,'Inputs'!$B$30+'Inputs'!$B$31+'Inputs'!$B$32)/1000+'Inputs'!$B$21+'Inputs'!$B$7+'Inputs'!$B$10)+'Inputs'!$B$9)/SQRT((((380-43)*MAX('Inputs'!$B$33,'Inputs'!$B$29+'Inputs'!$B$31+'Inputs'!$B$32,'Inputs'!$B$30+'Inputs'!$B$31+'Inputs'!$B$32)/1000+'Inputs'!$B$21+'Inputs'!$B$7+'Inputs'!$B$10)+'Inputs'!$B$9)^2+('Inputs'!$B$8/2)^2)-(((380-43)*MAX('Inputs'!$B$33,'Inputs'!$B$29+'Inputs'!$B$31+'Inputs'!$B$32,'Inputs'!$B$30+'Inputs'!$B$31+'Inputs'!$B$32)/1000+'Inputs'!$B$21+'Inputs'!$B$7+'Inputs'!$B$10))/SQRT((((380-43)*MAX('Inputs'!$B$33,'Inputs'!$B$29+'Inputs'!$B$31+'Inputs'!$B$32,'Inputs'!$B$30+'Inputs'!$B$31+'Inputs'!$B$32)/1000+'Inputs'!$B$21+'Inputs'!$B$7+'Inputs'!$B$10))^2+('Inputs'!$B$8/2)^2))))*'Results'!$B$8),"")</x:f>
        <x:v>15.422555055908173</x:v>
      </x:c>
      <x:c r="K380" t="n">
        <x:f>IF(AND(ISNUMBER('Results'!B7),ISNUMBER('Results'!C7),ISNUMBER('Results'!$B$8),ISNUMBER('Inputs'!$B$6),ISNUMBER('Inputs'!$B$7),ISNUMBER('Inputs'!$B$8),ISNUMBER('Inputs'!$B$9),ISNUMBER('Inputs'!$B$10),ISNUMBER('Inputs'!$B$21),ISNUMBER('Inputs'!$B$24),ISNUMBER('Inputs'!$B$28)),((('Results'!B7*(1-'Inputs'!$B$24)*(0.5*((((380-43)*MAX('Inputs'!$B$33,'Inputs'!$B$29+'Inputs'!$B$31+'Inputs'!$B$32,'Inputs'!$B$30+'Inputs'!$B$31+'Inputs'!$B$32)/1000+'Inputs'!$B$21)+'Inputs'!$B$7)/SQRT((((380-43)*MAX('Inputs'!$B$33,'Inputs'!$B$29+'Inputs'!$B$31+'Inputs'!$B$32,'Inputs'!$B$30+'Inputs'!$B$31+'Inputs'!$B$32)/1000+'Inputs'!$B$21)+'Inputs'!$B$7)^2+('Inputs'!$B$6/2)^2)-(((380-43)*MAX('Inputs'!$B$33,'Inputs'!$B$29+'Inputs'!$B$31+'Inputs'!$B$32,'Inputs'!$B$30+'Inputs'!$B$31+'Inputs'!$B$32)/1000+'Inputs'!$B$21))/SQRT((((380-43)*MAX('Inputs'!$B$33,'Inputs'!$B$29+'Inputs'!$B$31+'Inputs'!$B$32,'Inputs'!$B$30+'Inputs'!$B$31+'Inputs'!$B$32)/1000+'Inputs'!$B$21))^2+('Inputs'!$B$6/2)^2)))-'Results'!C7*(1+'Inputs'!$B$24)*(0.5*((((380-43)*MAX('Inputs'!$B$33,'Inputs'!$B$29+'Inputs'!$B$31+'Inputs'!$B$32,'Inputs'!$B$30+'Inputs'!$B$31+'Inputs'!$B$32)/1000+'Inputs'!$B$21+'Inputs'!$B$7+'Inputs'!$B$10)+'Inputs'!$B$9)/SQRT((((380-43)*MAX('Inputs'!$B$33,'Inputs'!$B$29+'Inputs'!$B$31+'Inputs'!$B$32,'Inputs'!$B$30+'Inputs'!$B$31+'Inputs'!$B$32)/1000+'Inputs'!$B$21+'Inputs'!$B$7+'Inputs'!$B$10)+'Inputs'!$B$9)^2+('Inputs'!$B$8/2)^2)-(((380-43)*MAX('Inputs'!$B$33,'Inputs'!$B$29+'Inputs'!$B$31+'Inputs'!$B$32,'Inputs'!$B$30+'Inputs'!$B$31+'Inputs'!$B$32)/1000+'Inputs'!$B$21+'Inputs'!$B$7+'Inputs'!$B$10))/SQRT((((380-43)*MAX('Inputs'!$B$33,'Inputs'!$B$29+'Inputs'!$B$31+'Inputs'!$B$32,'Inputs'!$B$30+'Inputs'!$B$31+'Inputs'!$B$32)/1000+'Inputs'!$B$21+'Inputs'!$B$7+'Inputs'!$B$10))^2+('Inputs'!$B$8/2)^2))))*'Results'!$B$8)-'Inputs'!$B$28*ABS((('Results'!B7*(1-'Inputs'!$B$24)*(0.5*((((380-43)*MAX('Inputs'!$B$33,'Inputs'!$B$29+'Inputs'!$B$31+'Inputs'!$B$32,'Inputs'!$B$30+'Inputs'!$B$31+'Inputs'!$B$32)/1000+'Inputs'!$B$21)+'Inputs'!$B$7)/SQRT((((380-43)*MAX('Inputs'!$B$33,'Inputs'!$B$29+'Inputs'!$B$31+'Inputs'!$B$32,'Inputs'!$B$30+'Inputs'!$B$31+'Inputs'!$B$32)/1000+'Inputs'!$B$21)+'Inputs'!$B$7)^2+('Inputs'!$B$6/2)^2)-(((380-43)*MAX('Inputs'!$B$33,'Inputs'!$B$29+'Inputs'!$B$31+'Inputs'!$B$32,'Inputs'!$B$30+'Inputs'!$B$31+'Inputs'!$B$32)/1000+'Inputs'!$B$21))/SQRT((((380-43)*MAX('Inputs'!$B$33,'Inputs'!$B$29+'Inputs'!$B$31+'Inputs'!$B$32,'Inputs'!$B$30+'Inputs'!$B$31+'Inputs'!$B$32)/1000+'Inputs'!$B$21))^2+('Inputs'!$B$6/2)^2)))-'Results'!C7*(1+'Inputs'!$B$24)*(0.5*((((380-43)*MAX('Inputs'!$B$33,'Inputs'!$B$29+'Inputs'!$B$31+'Inputs'!$B$32,'Inputs'!$B$30+'Inputs'!$B$31+'Inputs'!$B$32)/1000+'Inputs'!$B$21+'Inputs'!$B$7+'Inputs'!$B$10)+'Inputs'!$B$9)/SQRT((((380-43)*MAX('Inputs'!$B$33,'Inputs'!$B$29+'Inputs'!$B$31+'Inputs'!$B$32,'Inputs'!$B$30+'Inputs'!$B$31+'Inputs'!$B$32)/1000+'Inputs'!$B$21+'Inputs'!$B$7+'Inputs'!$B$10)+'Inputs'!$B$9)^2+('Inputs'!$B$8/2)^2)-(((380-43)*MAX('Inputs'!$B$33,'Inputs'!$B$29+'Inputs'!$B$31+'Inputs'!$B$32,'Inputs'!$B$30+'Inputs'!$B$31+'Inputs'!$B$32)/1000+'Inputs'!$B$21+'Inputs'!$B$7+'Inputs'!$B$10))/SQRT((((380-43)*MAX('Inputs'!$B$33,'Inputs'!$B$29+'Inputs'!$B$31+'Inputs'!$B$32,'Inputs'!$B$30+'Inputs'!$B$31+'Inputs'!$B$32)/1000+'Inputs'!$B$21+'Inputs'!$B$7+'Inputs'!$B$10))^2+('Inputs'!$B$8/2)^2))))*'Results'!$B$8))),"")</x:f>
        <x:v>13.903615985827617</x:v>
      </x:c>
      <x:c r="L380" t="n">
        <x:f>IF(AND(ISNUMBER('Results'!B7),ISNUMBER('Results'!C7),ISNUMBER('Results'!$B$8),ISNUMBER('Inputs'!$B$6),ISNUMBER('Inputs'!$B$7),ISNUMBER('Inputs'!$B$8),ISNUMBER('Inputs'!$B$9),ISNUMBER('Inputs'!$B$10),ISNUMBER('Inputs'!$B$21),ISNUMBER('Inputs'!$B$24),ISNUMBER('Inputs'!$B$28)),((('Results'!B7*(1+'Inputs'!$B$24)*(0.5*((((380-43)*MAX('Inputs'!$B$33,'Inputs'!$B$29+'Inputs'!$B$31+'Inputs'!$B$32,'Inputs'!$B$30+'Inputs'!$B$31+'Inputs'!$B$32)/1000+'Inputs'!$B$21)+'Inputs'!$B$7)/SQRT((((380-43)*MAX('Inputs'!$B$33,'Inputs'!$B$29+'Inputs'!$B$31+'Inputs'!$B$32,'Inputs'!$B$30+'Inputs'!$B$31+'Inputs'!$B$32)/1000+'Inputs'!$B$21)+'Inputs'!$B$7)^2+('Inputs'!$B$6/2)^2)-(((380-43)*MAX('Inputs'!$B$33,'Inputs'!$B$29+'Inputs'!$B$31+'Inputs'!$B$32,'Inputs'!$B$30+'Inputs'!$B$31+'Inputs'!$B$32)/1000+'Inputs'!$B$21))/SQRT((((380-43)*MAX('Inputs'!$B$33,'Inputs'!$B$29+'Inputs'!$B$31+'Inputs'!$B$32,'Inputs'!$B$30+'Inputs'!$B$31+'Inputs'!$B$32)/1000+'Inputs'!$B$21))^2+('Inputs'!$B$6/2)^2)))-'Results'!C7*(1-'Inputs'!$B$24)*(0.5*((((380-43)*MAX('Inputs'!$B$33,'Inputs'!$B$29+'Inputs'!$B$31+'Inputs'!$B$32,'Inputs'!$B$30+'Inputs'!$B$31+'Inputs'!$B$32)/1000+'Inputs'!$B$21+'Inputs'!$B$7+'Inputs'!$B$10)+'Inputs'!$B$9)/SQRT((((380-43)*MAX('Inputs'!$B$33,'Inputs'!$B$29+'Inputs'!$B$31+'Inputs'!$B$32,'Inputs'!$B$30+'Inputs'!$B$31+'Inputs'!$B$32)/1000+'Inputs'!$B$21+'Inputs'!$B$7+'Inputs'!$B$10)+'Inputs'!$B$9)^2+('Inputs'!$B$8/2)^2)-(((380-43)*MAX('Inputs'!$B$33,'Inputs'!$B$29+'Inputs'!$B$31+'Inputs'!$B$32,'Inputs'!$B$30+'Inputs'!$B$31+'Inputs'!$B$32)/1000+'Inputs'!$B$21+'Inputs'!$B$7+'Inputs'!$B$10))/SQRT((((380-43)*MAX('Inputs'!$B$33,'Inputs'!$B$29+'Inputs'!$B$31+'Inputs'!$B$32,'Inputs'!$B$30+'Inputs'!$B$31+'Inputs'!$B$32)/1000+'Inputs'!$B$21+'Inputs'!$B$7+'Inputs'!$B$10))^2+('Inputs'!$B$8/2)^2))))*'Results'!$B$8)+'Inputs'!$B$28*ABS((('Results'!B7*(1+'Inputs'!$B$24)*(0.5*((((380-43)*MAX('Inputs'!$B$33,'Inputs'!$B$29+'Inputs'!$B$31+'Inputs'!$B$32,'Inputs'!$B$30+'Inputs'!$B$31+'Inputs'!$B$32)/1000+'Inputs'!$B$21)+'Inputs'!$B$7)/SQRT((((380-43)*MAX('Inputs'!$B$33,'Inputs'!$B$29+'Inputs'!$B$31+'Inputs'!$B$32,'Inputs'!$B$30+'Inputs'!$B$31+'Inputs'!$B$32)/1000+'Inputs'!$B$21)+'Inputs'!$B$7)^2+('Inputs'!$B$6/2)^2)-(((380-43)*MAX('Inputs'!$B$33,'Inputs'!$B$29+'Inputs'!$B$31+'Inputs'!$B$32,'Inputs'!$B$30+'Inputs'!$B$31+'Inputs'!$B$32)/1000+'Inputs'!$B$21))/SQRT((((380-43)*MAX('Inputs'!$B$33,'Inputs'!$B$29+'Inputs'!$B$31+'Inputs'!$B$32,'Inputs'!$B$30+'Inputs'!$B$31+'Inputs'!$B$32)/1000+'Inputs'!$B$21))^2+('Inputs'!$B$6/2)^2)))-'Results'!C7*(1-'Inputs'!$B$24)*(0.5*((((380-43)*MAX('Inputs'!$B$33,'Inputs'!$B$29+'Inputs'!$B$31+'Inputs'!$B$32,'Inputs'!$B$30+'Inputs'!$B$31+'Inputs'!$B$32)/1000+'Inputs'!$B$21+'Inputs'!$B$7+'Inputs'!$B$10)+'Inputs'!$B$9)/SQRT((((380-43)*MAX('Inputs'!$B$33,'Inputs'!$B$29+'Inputs'!$B$31+'Inputs'!$B$32,'Inputs'!$B$30+'Inputs'!$B$31+'Inputs'!$B$32)/1000+'Inputs'!$B$21+'Inputs'!$B$7+'Inputs'!$B$10)+'Inputs'!$B$9)^2+('Inputs'!$B$8/2)^2)-(((380-43)*MAX('Inputs'!$B$33,'Inputs'!$B$29+'Inputs'!$B$31+'Inputs'!$B$32,'Inputs'!$B$30+'Inputs'!$B$31+'Inputs'!$B$32)/1000+'Inputs'!$B$21+'Inputs'!$B$7+'Inputs'!$B$10))/SQRT((((380-43)*MAX('Inputs'!$B$33,'Inputs'!$B$29+'Inputs'!$B$31+'Inputs'!$B$32,'Inputs'!$B$30+'Inputs'!$B$31+'Inputs'!$B$32)/1000+'Inputs'!$B$21+'Inputs'!$B$7+'Inputs'!$B$10))^2+('Inputs'!$B$8/2)^2))))*'Results'!$B$8))),"")</x:f>
        <x:v>17.02021110675559</x:v>
      </x:c>
      <x:c r="M380" t="n">
        <x:f>IF(AND(ISNUMBER('Results'!C7),ISNUMBER('Results'!B7),ISNUMBER('Results'!$B$8),ISNUMBER('Inputs'!$B$6),ISNUMBER('Inputs'!$B$7),ISNUMBER('Inputs'!$B$8),ISNUMBER('Inputs'!$B$9),ISNUMBER('Inputs'!$B$10),ISNUMBER('Inputs'!$B$21),ISNUMBER('Inputs'!$B$24),ISNUMBER('Inputs'!$B$28)),(('Results'!C7*(0.5*((((380-43)*MAX('Inputs'!$B$33,'Inputs'!$B$29+'Inputs'!$B$31+'Inputs'!$B$32,'Inputs'!$B$30+'Inputs'!$B$31+'Inputs'!$B$32)/1000+'Inputs'!$B$21)+'Inputs'!$B$9)/SQRT((((380-43)*MAX('Inputs'!$B$33,'Inputs'!$B$29+'Inputs'!$B$31+'Inputs'!$B$32,'Inputs'!$B$30+'Inputs'!$B$31+'Inputs'!$B$32)/1000+'Inputs'!$B$21)+'Inputs'!$B$9)^2+('Inputs'!$B$8/2)^2)-(((380-43)*MAX('Inputs'!$B$33,'Inputs'!$B$29+'Inputs'!$B$31+'Inputs'!$B$32,'Inputs'!$B$30+'Inputs'!$B$31+'Inputs'!$B$32)/1000+'Inputs'!$B$21))/SQRT((((380-43)*MAX('Inputs'!$B$33,'Inputs'!$B$29+'Inputs'!$B$31+'Inputs'!$B$32,'Inputs'!$B$30+'Inputs'!$B$31+'Inputs'!$B$32)/1000+'Inputs'!$B$21))^2+('Inputs'!$B$8/2)^2)))-'Results'!B7*(0.5*((((380-43)*MAX('Inputs'!$B$33,'Inputs'!$B$29+'Inputs'!$B$31+'Inputs'!$B$32,'Inputs'!$B$30+'Inputs'!$B$31+'Inputs'!$B$32)/1000+'Inputs'!$B$21+'Inputs'!$B$9+'Inputs'!$B$10)+'Inputs'!$B$7)/SQRT((((380-43)*MAX('Inputs'!$B$33,'Inputs'!$B$29+'Inputs'!$B$31+'Inputs'!$B$32,'Inputs'!$B$30+'Inputs'!$B$31+'Inputs'!$B$32)/1000+'Inputs'!$B$21+'Inputs'!$B$9+'Inputs'!$B$10)+'Inputs'!$B$7)^2+('Inputs'!$B$6/2)^2)-(((380-43)*MAX('Inputs'!$B$33,'Inputs'!$B$29+'Inputs'!$B$31+'Inputs'!$B$32,'Inputs'!$B$30+'Inputs'!$B$31+'Inputs'!$B$32)/1000+'Inputs'!$B$21+'Inputs'!$B$9+'Inputs'!$B$10))/SQRT((((380-43)*MAX('Inputs'!$B$33,'Inputs'!$B$29+'Inputs'!$B$31+'Inputs'!$B$32,'Inputs'!$B$30+'Inputs'!$B$31+'Inputs'!$B$32)/1000+'Inputs'!$B$21+'Inputs'!$B$9+'Inputs'!$B$10))^2+('Inputs'!$B$6/2)^2))))*'Results'!$B$8),"")</x:f>
        <x:v>14.630500363478879</x:v>
      </x:c>
      <x:c r="N380" t="n">
        <x:f>IF(AND(ISNUMBER('Results'!C7),ISNUMBER('Results'!B7),ISNUMBER('Results'!$B$8),ISNUMBER('Inputs'!$B$6),ISNUMBER('Inputs'!$B$7),ISNUMBER('Inputs'!$B$8),ISNUMBER('Inputs'!$B$9),ISNUMBER('Inputs'!$B$10),ISNUMBER('Inputs'!$B$21),ISNUMBER('Inputs'!$B$24),ISNUMBER('Inputs'!$B$28)),((('Results'!C7*(1-'Inputs'!$B$24)*(0.5*((((380-43)*MAX('Inputs'!$B$33,'Inputs'!$B$29+'Inputs'!$B$31+'Inputs'!$B$32,'Inputs'!$B$30+'Inputs'!$B$31+'Inputs'!$B$32)/1000+'Inputs'!$B$21)+'Inputs'!$B$9)/SQRT((((380-43)*MAX('Inputs'!$B$33,'Inputs'!$B$29+'Inputs'!$B$31+'Inputs'!$B$32,'Inputs'!$B$30+'Inputs'!$B$31+'Inputs'!$B$32)/1000+'Inputs'!$B$21)+'Inputs'!$B$9)^2+('Inputs'!$B$8/2)^2)-(((380-43)*MAX('Inputs'!$B$33,'Inputs'!$B$29+'Inputs'!$B$31+'Inputs'!$B$32,'Inputs'!$B$30+'Inputs'!$B$31+'Inputs'!$B$32)/1000+'Inputs'!$B$21))/SQRT((((380-43)*MAX('Inputs'!$B$33,'Inputs'!$B$29+'Inputs'!$B$31+'Inputs'!$B$32,'Inputs'!$B$30+'Inputs'!$B$31+'Inputs'!$B$32)/1000+'Inputs'!$B$21))^2+('Inputs'!$B$8/2)^2)))-'Results'!B7*(1+'Inputs'!$B$24)*(0.5*((((380-43)*MAX('Inputs'!$B$33,'Inputs'!$B$29+'Inputs'!$B$31+'Inputs'!$B$32,'Inputs'!$B$30+'Inputs'!$B$31+'Inputs'!$B$32)/1000+'Inputs'!$B$21+'Inputs'!$B$9+'Inputs'!$B$10)+'Inputs'!$B$7)/SQRT((((380-43)*MAX('Inputs'!$B$33,'Inputs'!$B$29+'Inputs'!$B$31+'Inputs'!$B$32,'Inputs'!$B$30+'Inputs'!$B$31+'Inputs'!$B$32)/1000+'Inputs'!$B$21+'Inputs'!$B$9+'Inputs'!$B$10)+'Inputs'!$B$7)^2+('Inputs'!$B$6/2)^2)-(((380-43)*MAX('Inputs'!$B$33,'Inputs'!$B$29+'Inputs'!$B$31+'Inputs'!$B$32,'Inputs'!$B$30+'Inputs'!$B$31+'Inputs'!$B$32)/1000+'Inputs'!$B$21+'Inputs'!$B$9+'Inputs'!$B$10))/SQRT((((380-43)*MAX('Inputs'!$B$33,'Inputs'!$B$29+'Inputs'!$B$31+'Inputs'!$B$32,'Inputs'!$B$30+'Inputs'!$B$31+'Inputs'!$B$32)/1000+'Inputs'!$B$21+'Inputs'!$B$9+'Inputs'!$B$10))^2+('Inputs'!$B$6/2)^2))))*'Results'!$B$8)-'Inputs'!$B$28*ABS((('Results'!C7*(1-'Inputs'!$B$24)*(0.5*((((380-43)*MAX('Inputs'!$B$33,'Inputs'!$B$29+'Inputs'!$B$31+'Inputs'!$B$32,'Inputs'!$B$30+'Inputs'!$B$31+'Inputs'!$B$32)/1000+'Inputs'!$B$21)+'Inputs'!$B$9)/SQRT((((380-43)*MAX('Inputs'!$B$33,'Inputs'!$B$29+'Inputs'!$B$31+'Inputs'!$B$32,'Inputs'!$B$30+'Inputs'!$B$31+'Inputs'!$B$32)/1000+'Inputs'!$B$21)+'Inputs'!$B$9)^2+('Inputs'!$B$8/2)^2)-(((380-43)*MAX('Inputs'!$B$33,'Inputs'!$B$29+'Inputs'!$B$31+'Inputs'!$B$32,'Inputs'!$B$30+'Inputs'!$B$31+'Inputs'!$B$32)/1000+'Inputs'!$B$21))/SQRT((((380-43)*MAX('Inputs'!$B$33,'Inputs'!$B$29+'Inputs'!$B$31+'Inputs'!$B$32,'Inputs'!$B$30+'Inputs'!$B$31+'Inputs'!$B$32)/1000+'Inputs'!$B$21))^2+('Inputs'!$B$8/2)^2)))-'Results'!B7*(1+'Inputs'!$B$24)*(0.5*((((380-43)*MAX('Inputs'!$B$33,'Inputs'!$B$29+'Inputs'!$B$31+'Inputs'!$B$32,'Inputs'!$B$30+'Inputs'!$B$31+'Inputs'!$B$32)/1000+'Inputs'!$B$21+'Inputs'!$B$9+'Inputs'!$B$10)+'Inputs'!$B$7)/SQRT((((380-43)*MAX('Inputs'!$B$33,'Inputs'!$B$29+'Inputs'!$B$31+'Inputs'!$B$32,'Inputs'!$B$30+'Inputs'!$B$31+'Inputs'!$B$32)/1000+'Inputs'!$B$21+'Inputs'!$B$9+'Inputs'!$B$10)+'Inputs'!$B$7)^2+('Inputs'!$B$6/2)^2)-(((380-43)*MAX('Inputs'!$B$33,'Inputs'!$B$29+'Inputs'!$B$31+'Inputs'!$B$32,'Inputs'!$B$30+'Inputs'!$B$31+'Inputs'!$B$32)/1000+'Inputs'!$B$21+'Inputs'!$B$9+'Inputs'!$B$10))/SQRT((((380-43)*MAX('Inputs'!$B$33,'Inputs'!$B$29+'Inputs'!$B$31+'Inputs'!$B$32,'Inputs'!$B$30+'Inputs'!$B$31+'Inputs'!$B$32)/1000+'Inputs'!$B$21+'Inputs'!$B$9+'Inputs'!$B$10))^2+('Inputs'!$B$6/2)^2))))*'Results'!$B$8))),"")</x:f>
        <x:v>13.156931786130574</x:v>
      </x:c>
      <x:c r="O380" t="n">
        <x:f>IF(AND(ISNUMBER('Results'!C7),ISNUMBER('Results'!B7),ISNUMBER('Results'!$B$8),ISNUMBER('Inputs'!$B$6),ISNUMBER('Inputs'!$B$7),ISNUMBER('Inputs'!$B$8),ISNUMBER('Inputs'!$B$9),ISNUMBER('Inputs'!$B$10),ISNUMBER('Inputs'!$B$21),ISNUMBER('Inputs'!$B$24),ISNUMBER('Inputs'!$B$28)),((('Results'!C7*(1+'Inputs'!$B$24)*(0.5*((((380-43)*MAX('Inputs'!$B$33,'Inputs'!$B$29+'Inputs'!$B$31+'Inputs'!$B$32,'Inputs'!$B$30+'Inputs'!$B$31+'Inputs'!$B$32)/1000+'Inputs'!$B$21)+'Inputs'!$B$9)/SQRT((((380-43)*MAX('Inputs'!$B$33,'Inputs'!$B$29+'Inputs'!$B$31+'Inputs'!$B$32,'Inputs'!$B$30+'Inputs'!$B$31+'Inputs'!$B$32)/1000+'Inputs'!$B$21)+'Inputs'!$B$9)^2+('Inputs'!$B$8/2)^2)-(((380-43)*MAX('Inputs'!$B$33,'Inputs'!$B$29+'Inputs'!$B$31+'Inputs'!$B$32,'Inputs'!$B$30+'Inputs'!$B$31+'Inputs'!$B$32)/1000+'Inputs'!$B$21))/SQRT((((380-43)*MAX('Inputs'!$B$33,'Inputs'!$B$29+'Inputs'!$B$31+'Inputs'!$B$32,'Inputs'!$B$30+'Inputs'!$B$31+'Inputs'!$B$32)/1000+'Inputs'!$B$21))^2+('Inputs'!$B$8/2)^2)))-'Results'!B7*(1-'Inputs'!$B$24)*(0.5*((((380-43)*MAX('Inputs'!$B$33,'Inputs'!$B$29+'Inputs'!$B$31+'Inputs'!$B$32,'Inputs'!$B$30+'Inputs'!$B$31+'Inputs'!$B$32)/1000+'Inputs'!$B$21+'Inputs'!$B$9+'Inputs'!$B$10)+'Inputs'!$B$7)/SQRT((((380-43)*MAX('Inputs'!$B$33,'Inputs'!$B$29+'Inputs'!$B$31+'Inputs'!$B$32,'Inputs'!$B$30+'Inputs'!$B$31+'Inputs'!$B$32)/1000+'Inputs'!$B$21+'Inputs'!$B$9+'Inputs'!$B$10)+'Inputs'!$B$7)^2+('Inputs'!$B$6/2)^2)-(((380-43)*MAX('Inputs'!$B$33,'Inputs'!$B$29+'Inputs'!$B$31+'Inputs'!$B$32,'Inputs'!$B$30+'Inputs'!$B$31+'Inputs'!$B$32)/1000+'Inputs'!$B$21+'Inputs'!$B$9+'Inputs'!$B$10))/SQRT((((380-43)*MAX('Inputs'!$B$33,'Inputs'!$B$29+'Inputs'!$B$31+'Inputs'!$B$32,'Inputs'!$B$30+'Inputs'!$B$31+'Inputs'!$B$32)/1000+'Inputs'!$B$21+'Inputs'!$B$9+'Inputs'!$B$10))^2+('Inputs'!$B$6/2)^2))))*'Results'!$B$8)+'Inputs'!$B$28*ABS((('Results'!C7*(1+'Inputs'!$B$24)*(0.5*((((380-43)*MAX('Inputs'!$B$33,'Inputs'!$B$29+'Inputs'!$B$31+'Inputs'!$B$32,'Inputs'!$B$30+'Inputs'!$B$31+'Inputs'!$B$32)/1000+'Inputs'!$B$21)+'Inputs'!$B$9)/SQRT((((380-43)*MAX('Inputs'!$B$33,'Inputs'!$B$29+'Inputs'!$B$31+'Inputs'!$B$32,'Inputs'!$B$30+'Inputs'!$B$31+'Inputs'!$B$32)/1000+'Inputs'!$B$21)+'Inputs'!$B$9)^2+('Inputs'!$B$8/2)^2)-(((380-43)*MAX('Inputs'!$B$33,'Inputs'!$B$29+'Inputs'!$B$31+'Inputs'!$B$32,'Inputs'!$B$30+'Inputs'!$B$31+'Inputs'!$B$32)/1000+'Inputs'!$B$21))/SQRT((((380-43)*MAX('Inputs'!$B$33,'Inputs'!$B$29+'Inputs'!$B$31+'Inputs'!$B$32,'Inputs'!$B$30+'Inputs'!$B$31+'Inputs'!$B$32)/1000+'Inputs'!$B$21))^2+('Inputs'!$B$8/2)^2)))-'Results'!B7*(1-'Inputs'!$B$24)*(0.5*((((380-43)*MAX('Inputs'!$B$33,'Inputs'!$B$29+'Inputs'!$B$31+'Inputs'!$B$32,'Inputs'!$B$30+'Inputs'!$B$31+'Inputs'!$B$32)/1000+'Inputs'!$B$21+'Inputs'!$B$9+'Inputs'!$B$10)+'Inputs'!$B$7)/SQRT((((380-43)*MAX('Inputs'!$B$33,'Inputs'!$B$29+'Inputs'!$B$31+'Inputs'!$B$32,'Inputs'!$B$30+'Inputs'!$B$31+'Inputs'!$B$32)/1000+'Inputs'!$B$21+'Inputs'!$B$9+'Inputs'!$B$10)+'Inputs'!$B$7)^2+('Inputs'!$B$6/2)^2)-(((380-43)*MAX('Inputs'!$B$33,'Inputs'!$B$29+'Inputs'!$B$31+'Inputs'!$B$32,'Inputs'!$B$30+'Inputs'!$B$31+'Inputs'!$B$32)/1000+'Inputs'!$B$21+'Inputs'!$B$9+'Inputs'!$B$10))/SQRT((((380-43)*MAX('Inputs'!$B$33,'Inputs'!$B$29+'Inputs'!$B$31+'Inputs'!$B$32,'Inputs'!$B$30+'Inputs'!$B$31+'Inputs'!$B$32)/1000+'Inputs'!$B$21+'Inputs'!$B$9+'Inputs'!$B$10))^2+('Inputs'!$B$6/2)^2))))*'Results'!$B$8))),"")</x:f>
        <x:v>16.18217878916133</x:v>
      </x:c>
      <x:c r="P380" t="n">
        <x:f>IF(AND(MAX(J380,J379)&gt;0,J380&gt;J379+0.00000001),1,0)</x:f>
        <x:v>0</x:v>
      </x:c>
      <x:c r="Q380" t="n">
        <x:f>IF(AND(MAX(K380,K379)&gt;0,K380&gt;K379+0.00000001),1,0)</x:f>
        <x:v>0</x:v>
      </x:c>
      <x:c r="R380" t="n">
        <x:f>IF(AND(MAX(L380,L379)&gt;0,L380&gt;L379+0.00000001),1,0)</x:f>
        <x:v>0</x:v>
      </x:c>
      <x:c r="S380" t="n">
        <x:f>IF(AND(MAX(M380,M379)&gt;0,M380&gt;M379+0.00000001),1,0)</x:f>
        <x:v>0</x:v>
      </x:c>
      <x:c r="T380" t="n">
        <x:f>IF(AND(MAX(N380,N379)&gt;0,N380&gt;N379+0.00000001),1,0)</x:f>
        <x:v>0</x:v>
      </x:c>
      <x:c r="U380" t="n">
        <x:f>IF(AND(MAX(O380,O379)&gt;0,O380&gt;O379+0.00000001),1,0)</x:f>
        <x:v>0</x:v>
      </x:c>
    </x:row>
    <x:row r="381">
      <x:c r="J381" t="n">
        <x:f>IF(AND(ISNUMBER('Results'!B7),ISNUMBER('Results'!C7),ISNUMBER('Results'!$B$8),ISNUMBER('Inputs'!$B$6),ISNUMBER('Inputs'!$B$7),ISNUMBER('Inputs'!$B$8),ISNUMBER('Inputs'!$B$9),ISNUMBER('Inputs'!$B$10),ISNUMBER('Inputs'!$B$21),ISNUMBER('Inputs'!$B$24),ISNUMBER('Inputs'!$B$28)),(('Results'!B7*(0.5*((((381-43)*MAX('Inputs'!$B$33,'Inputs'!$B$29+'Inputs'!$B$31+'Inputs'!$B$32,'Inputs'!$B$30+'Inputs'!$B$31+'Inputs'!$B$32)/1000+'Inputs'!$B$21)+'Inputs'!$B$7)/SQRT((((381-43)*MAX('Inputs'!$B$33,'Inputs'!$B$29+'Inputs'!$B$31+'Inputs'!$B$32,'Inputs'!$B$30+'Inputs'!$B$31+'Inputs'!$B$32)/1000+'Inputs'!$B$21)+'Inputs'!$B$7)^2+('Inputs'!$B$6/2)^2)-(((381-43)*MAX('Inputs'!$B$33,'Inputs'!$B$29+'Inputs'!$B$31+'Inputs'!$B$32,'Inputs'!$B$30+'Inputs'!$B$31+'Inputs'!$B$32)/1000+'Inputs'!$B$21))/SQRT((((381-43)*MAX('Inputs'!$B$33,'Inputs'!$B$29+'Inputs'!$B$31+'Inputs'!$B$32,'Inputs'!$B$30+'Inputs'!$B$31+'Inputs'!$B$32)/1000+'Inputs'!$B$21))^2+('Inputs'!$B$6/2)^2)))-'Results'!C7*(0.5*((((381-43)*MAX('Inputs'!$B$33,'Inputs'!$B$29+'Inputs'!$B$31+'Inputs'!$B$32,'Inputs'!$B$30+'Inputs'!$B$31+'Inputs'!$B$32)/1000+'Inputs'!$B$21+'Inputs'!$B$7+'Inputs'!$B$10)+'Inputs'!$B$9)/SQRT((((381-43)*MAX('Inputs'!$B$33,'Inputs'!$B$29+'Inputs'!$B$31+'Inputs'!$B$32,'Inputs'!$B$30+'Inputs'!$B$31+'Inputs'!$B$32)/1000+'Inputs'!$B$21+'Inputs'!$B$7+'Inputs'!$B$10)+'Inputs'!$B$9)^2+('Inputs'!$B$8/2)^2)-(((381-43)*MAX('Inputs'!$B$33,'Inputs'!$B$29+'Inputs'!$B$31+'Inputs'!$B$32,'Inputs'!$B$30+'Inputs'!$B$31+'Inputs'!$B$32)/1000+'Inputs'!$B$21+'Inputs'!$B$7+'Inputs'!$B$10))/SQRT((((381-43)*MAX('Inputs'!$B$33,'Inputs'!$B$29+'Inputs'!$B$31+'Inputs'!$B$32,'Inputs'!$B$30+'Inputs'!$B$31+'Inputs'!$B$32)/1000+'Inputs'!$B$21+'Inputs'!$B$7+'Inputs'!$B$10))^2+('Inputs'!$B$8/2)^2))))*'Results'!$B$8),"")</x:f>
        <x:v>15.277437055068132</x:v>
      </x:c>
      <x:c r="K381" t="n">
        <x:f>IF(AND(ISNUMBER('Results'!B7),ISNUMBER('Results'!C7),ISNUMBER('Results'!$B$8),ISNUMBER('Inputs'!$B$6),ISNUMBER('Inputs'!$B$7),ISNUMBER('Inputs'!$B$8),ISNUMBER('Inputs'!$B$9),ISNUMBER('Inputs'!$B$10),ISNUMBER('Inputs'!$B$21),ISNUMBER('Inputs'!$B$24),ISNUMBER('Inputs'!$B$28)),((('Results'!B7*(1-'Inputs'!$B$24)*(0.5*((((381-43)*MAX('Inputs'!$B$33,'Inputs'!$B$29+'Inputs'!$B$31+'Inputs'!$B$32,'Inputs'!$B$30+'Inputs'!$B$31+'Inputs'!$B$32)/1000+'Inputs'!$B$21)+'Inputs'!$B$7)/SQRT((((381-43)*MAX('Inputs'!$B$33,'Inputs'!$B$29+'Inputs'!$B$31+'Inputs'!$B$32,'Inputs'!$B$30+'Inputs'!$B$31+'Inputs'!$B$32)/1000+'Inputs'!$B$21)+'Inputs'!$B$7)^2+('Inputs'!$B$6/2)^2)-(((381-43)*MAX('Inputs'!$B$33,'Inputs'!$B$29+'Inputs'!$B$31+'Inputs'!$B$32,'Inputs'!$B$30+'Inputs'!$B$31+'Inputs'!$B$32)/1000+'Inputs'!$B$21))/SQRT((((381-43)*MAX('Inputs'!$B$33,'Inputs'!$B$29+'Inputs'!$B$31+'Inputs'!$B$32,'Inputs'!$B$30+'Inputs'!$B$31+'Inputs'!$B$32)/1000+'Inputs'!$B$21))^2+('Inputs'!$B$6/2)^2)))-'Results'!C7*(1+'Inputs'!$B$24)*(0.5*((((381-43)*MAX('Inputs'!$B$33,'Inputs'!$B$29+'Inputs'!$B$31+'Inputs'!$B$32,'Inputs'!$B$30+'Inputs'!$B$31+'Inputs'!$B$32)/1000+'Inputs'!$B$21+'Inputs'!$B$7+'Inputs'!$B$10)+'Inputs'!$B$9)/SQRT((((381-43)*MAX('Inputs'!$B$33,'Inputs'!$B$29+'Inputs'!$B$31+'Inputs'!$B$32,'Inputs'!$B$30+'Inputs'!$B$31+'Inputs'!$B$32)/1000+'Inputs'!$B$21+'Inputs'!$B$7+'Inputs'!$B$10)+'Inputs'!$B$9)^2+('Inputs'!$B$8/2)^2)-(((381-43)*MAX('Inputs'!$B$33,'Inputs'!$B$29+'Inputs'!$B$31+'Inputs'!$B$32,'Inputs'!$B$30+'Inputs'!$B$31+'Inputs'!$B$32)/1000+'Inputs'!$B$21+'Inputs'!$B$7+'Inputs'!$B$10))/SQRT((((381-43)*MAX('Inputs'!$B$33,'Inputs'!$B$29+'Inputs'!$B$31+'Inputs'!$B$32,'Inputs'!$B$30+'Inputs'!$B$31+'Inputs'!$B$32)/1000+'Inputs'!$B$21+'Inputs'!$B$7+'Inputs'!$B$10))^2+('Inputs'!$B$8/2)^2))))*'Results'!$B$8)-'Inputs'!$B$28*ABS((('Results'!B7*(1-'Inputs'!$B$24)*(0.5*((((381-43)*MAX('Inputs'!$B$33,'Inputs'!$B$29+'Inputs'!$B$31+'Inputs'!$B$32,'Inputs'!$B$30+'Inputs'!$B$31+'Inputs'!$B$32)/1000+'Inputs'!$B$21)+'Inputs'!$B$7)/SQRT((((381-43)*MAX('Inputs'!$B$33,'Inputs'!$B$29+'Inputs'!$B$31+'Inputs'!$B$32,'Inputs'!$B$30+'Inputs'!$B$31+'Inputs'!$B$32)/1000+'Inputs'!$B$21)+'Inputs'!$B$7)^2+('Inputs'!$B$6/2)^2)-(((381-43)*MAX('Inputs'!$B$33,'Inputs'!$B$29+'Inputs'!$B$31+'Inputs'!$B$32,'Inputs'!$B$30+'Inputs'!$B$31+'Inputs'!$B$32)/1000+'Inputs'!$B$21))/SQRT((((381-43)*MAX('Inputs'!$B$33,'Inputs'!$B$29+'Inputs'!$B$31+'Inputs'!$B$32,'Inputs'!$B$30+'Inputs'!$B$31+'Inputs'!$B$32)/1000+'Inputs'!$B$21))^2+('Inputs'!$B$6/2)^2)))-'Results'!C7*(1+'Inputs'!$B$24)*(0.5*((((381-43)*MAX('Inputs'!$B$33,'Inputs'!$B$29+'Inputs'!$B$31+'Inputs'!$B$32,'Inputs'!$B$30+'Inputs'!$B$31+'Inputs'!$B$32)/1000+'Inputs'!$B$21+'Inputs'!$B$7+'Inputs'!$B$10)+'Inputs'!$B$9)/SQRT((((381-43)*MAX('Inputs'!$B$33,'Inputs'!$B$29+'Inputs'!$B$31+'Inputs'!$B$32,'Inputs'!$B$30+'Inputs'!$B$31+'Inputs'!$B$32)/1000+'Inputs'!$B$21+'Inputs'!$B$7+'Inputs'!$B$10)+'Inputs'!$B$9)^2+('Inputs'!$B$8/2)^2)-(((381-43)*MAX('Inputs'!$B$33,'Inputs'!$B$29+'Inputs'!$B$31+'Inputs'!$B$32,'Inputs'!$B$30+'Inputs'!$B$31+'Inputs'!$B$32)/1000+'Inputs'!$B$21+'Inputs'!$B$7+'Inputs'!$B$10))/SQRT((((381-43)*MAX('Inputs'!$B$33,'Inputs'!$B$29+'Inputs'!$B$31+'Inputs'!$B$32,'Inputs'!$B$30+'Inputs'!$B$31+'Inputs'!$B$32)/1000+'Inputs'!$B$21+'Inputs'!$B$7+'Inputs'!$B$10))^2+('Inputs'!$B$8/2)^2))))*'Results'!$B$8))),"")</x:f>
        <x:v>13.771319324048418</x:v>
      </x:c>
      <x:c r="L381" t="n">
        <x:f>IF(AND(ISNUMBER('Results'!B7),ISNUMBER('Results'!C7),ISNUMBER('Results'!$B$8),ISNUMBER('Inputs'!$B$6),ISNUMBER('Inputs'!$B$7),ISNUMBER('Inputs'!$B$8),ISNUMBER('Inputs'!$B$9),ISNUMBER('Inputs'!$B$10),ISNUMBER('Inputs'!$B$21),ISNUMBER('Inputs'!$B$24),ISNUMBER('Inputs'!$B$28)),((('Results'!B7*(1+'Inputs'!$B$24)*(0.5*((((381-43)*MAX('Inputs'!$B$33,'Inputs'!$B$29+'Inputs'!$B$31+'Inputs'!$B$32,'Inputs'!$B$30+'Inputs'!$B$31+'Inputs'!$B$32)/1000+'Inputs'!$B$21)+'Inputs'!$B$7)/SQRT((((381-43)*MAX('Inputs'!$B$33,'Inputs'!$B$29+'Inputs'!$B$31+'Inputs'!$B$32,'Inputs'!$B$30+'Inputs'!$B$31+'Inputs'!$B$32)/1000+'Inputs'!$B$21)+'Inputs'!$B$7)^2+('Inputs'!$B$6/2)^2)-(((381-43)*MAX('Inputs'!$B$33,'Inputs'!$B$29+'Inputs'!$B$31+'Inputs'!$B$32,'Inputs'!$B$30+'Inputs'!$B$31+'Inputs'!$B$32)/1000+'Inputs'!$B$21))/SQRT((((381-43)*MAX('Inputs'!$B$33,'Inputs'!$B$29+'Inputs'!$B$31+'Inputs'!$B$32,'Inputs'!$B$30+'Inputs'!$B$31+'Inputs'!$B$32)/1000+'Inputs'!$B$21))^2+('Inputs'!$B$6/2)^2)))-'Results'!C7*(1-'Inputs'!$B$24)*(0.5*((((381-43)*MAX('Inputs'!$B$33,'Inputs'!$B$29+'Inputs'!$B$31+'Inputs'!$B$32,'Inputs'!$B$30+'Inputs'!$B$31+'Inputs'!$B$32)/1000+'Inputs'!$B$21+'Inputs'!$B$7+'Inputs'!$B$10)+'Inputs'!$B$9)/SQRT((((381-43)*MAX('Inputs'!$B$33,'Inputs'!$B$29+'Inputs'!$B$31+'Inputs'!$B$32,'Inputs'!$B$30+'Inputs'!$B$31+'Inputs'!$B$32)/1000+'Inputs'!$B$21+'Inputs'!$B$7+'Inputs'!$B$10)+'Inputs'!$B$9)^2+('Inputs'!$B$8/2)^2)-(((381-43)*MAX('Inputs'!$B$33,'Inputs'!$B$29+'Inputs'!$B$31+'Inputs'!$B$32,'Inputs'!$B$30+'Inputs'!$B$31+'Inputs'!$B$32)/1000+'Inputs'!$B$21+'Inputs'!$B$7+'Inputs'!$B$10))/SQRT((((381-43)*MAX('Inputs'!$B$33,'Inputs'!$B$29+'Inputs'!$B$31+'Inputs'!$B$32,'Inputs'!$B$30+'Inputs'!$B$31+'Inputs'!$B$32)/1000+'Inputs'!$B$21+'Inputs'!$B$7+'Inputs'!$B$10))^2+('Inputs'!$B$8/2)^2))))*'Results'!$B$8)+'Inputs'!$B$28*ABS((('Results'!B7*(1+'Inputs'!$B$24)*(0.5*((((381-43)*MAX('Inputs'!$B$33,'Inputs'!$B$29+'Inputs'!$B$31+'Inputs'!$B$32,'Inputs'!$B$30+'Inputs'!$B$31+'Inputs'!$B$32)/1000+'Inputs'!$B$21)+'Inputs'!$B$7)/SQRT((((381-43)*MAX('Inputs'!$B$33,'Inputs'!$B$29+'Inputs'!$B$31+'Inputs'!$B$32,'Inputs'!$B$30+'Inputs'!$B$31+'Inputs'!$B$32)/1000+'Inputs'!$B$21)+'Inputs'!$B$7)^2+('Inputs'!$B$6/2)^2)-(((381-43)*MAX('Inputs'!$B$33,'Inputs'!$B$29+'Inputs'!$B$31+'Inputs'!$B$32,'Inputs'!$B$30+'Inputs'!$B$31+'Inputs'!$B$32)/1000+'Inputs'!$B$21))/SQRT((((381-43)*MAX('Inputs'!$B$33,'Inputs'!$B$29+'Inputs'!$B$31+'Inputs'!$B$32,'Inputs'!$B$30+'Inputs'!$B$31+'Inputs'!$B$32)/1000+'Inputs'!$B$21))^2+('Inputs'!$B$6/2)^2)))-'Results'!C7*(1-'Inputs'!$B$24)*(0.5*((((381-43)*MAX('Inputs'!$B$33,'Inputs'!$B$29+'Inputs'!$B$31+'Inputs'!$B$32,'Inputs'!$B$30+'Inputs'!$B$31+'Inputs'!$B$32)/1000+'Inputs'!$B$21+'Inputs'!$B$7+'Inputs'!$B$10)+'Inputs'!$B$9)/SQRT((((381-43)*MAX('Inputs'!$B$33,'Inputs'!$B$29+'Inputs'!$B$31+'Inputs'!$B$32,'Inputs'!$B$30+'Inputs'!$B$31+'Inputs'!$B$32)/1000+'Inputs'!$B$21+'Inputs'!$B$7+'Inputs'!$B$10)+'Inputs'!$B$9)^2+('Inputs'!$B$8/2)^2)-(((381-43)*MAX('Inputs'!$B$33,'Inputs'!$B$29+'Inputs'!$B$31+'Inputs'!$B$32,'Inputs'!$B$30+'Inputs'!$B$31+'Inputs'!$B$32)/1000+'Inputs'!$B$21+'Inputs'!$B$7+'Inputs'!$B$10))/SQRT((((381-43)*MAX('Inputs'!$B$33,'Inputs'!$B$29+'Inputs'!$B$31+'Inputs'!$B$32,'Inputs'!$B$30+'Inputs'!$B$31+'Inputs'!$B$32)/1000+'Inputs'!$B$21+'Inputs'!$B$7+'Inputs'!$B$10))^2+('Inputs'!$B$8/2)^2))))*'Results'!$B$8))),"")</x:f>
        <x:v>16.861685931168513</x:v>
      </x:c>
      <x:c r="M381" t="n">
        <x:f>IF(AND(ISNUMBER('Results'!C7),ISNUMBER('Results'!B7),ISNUMBER('Results'!$B$8),ISNUMBER('Inputs'!$B$6),ISNUMBER('Inputs'!$B$7),ISNUMBER('Inputs'!$B$8),ISNUMBER('Inputs'!$B$9),ISNUMBER('Inputs'!$B$10),ISNUMBER('Inputs'!$B$21),ISNUMBER('Inputs'!$B$24),ISNUMBER('Inputs'!$B$28)),(('Results'!C7*(0.5*((((381-43)*MAX('Inputs'!$B$33,'Inputs'!$B$29+'Inputs'!$B$31+'Inputs'!$B$32,'Inputs'!$B$30+'Inputs'!$B$31+'Inputs'!$B$32)/1000+'Inputs'!$B$21)+'Inputs'!$B$9)/SQRT((((381-43)*MAX('Inputs'!$B$33,'Inputs'!$B$29+'Inputs'!$B$31+'Inputs'!$B$32,'Inputs'!$B$30+'Inputs'!$B$31+'Inputs'!$B$32)/1000+'Inputs'!$B$21)+'Inputs'!$B$9)^2+('Inputs'!$B$8/2)^2)-(((381-43)*MAX('Inputs'!$B$33,'Inputs'!$B$29+'Inputs'!$B$31+'Inputs'!$B$32,'Inputs'!$B$30+'Inputs'!$B$31+'Inputs'!$B$32)/1000+'Inputs'!$B$21))/SQRT((((381-43)*MAX('Inputs'!$B$33,'Inputs'!$B$29+'Inputs'!$B$31+'Inputs'!$B$32,'Inputs'!$B$30+'Inputs'!$B$31+'Inputs'!$B$32)/1000+'Inputs'!$B$21))^2+('Inputs'!$B$8/2)^2)))-'Results'!B7*(0.5*((((381-43)*MAX('Inputs'!$B$33,'Inputs'!$B$29+'Inputs'!$B$31+'Inputs'!$B$32,'Inputs'!$B$30+'Inputs'!$B$31+'Inputs'!$B$32)/1000+'Inputs'!$B$21+'Inputs'!$B$9+'Inputs'!$B$10)+'Inputs'!$B$7)/SQRT((((381-43)*MAX('Inputs'!$B$33,'Inputs'!$B$29+'Inputs'!$B$31+'Inputs'!$B$32,'Inputs'!$B$30+'Inputs'!$B$31+'Inputs'!$B$32)/1000+'Inputs'!$B$21+'Inputs'!$B$9+'Inputs'!$B$10)+'Inputs'!$B$7)^2+('Inputs'!$B$6/2)^2)-(((381-43)*MAX('Inputs'!$B$33,'Inputs'!$B$29+'Inputs'!$B$31+'Inputs'!$B$32,'Inputs'!$B$30+'Inputs'!$B$31+'Inputs'!$B$32)/1000+'Inputs'!$B$21+'Inputs'!$B$9+'Inputs'!$B$10))/SQRT((((381-43)*MAX('Inputs'!$B$33,'Inputs'!$B$29+'Inputs'!$B$31+'Inputs'!$B$32,'Inputs'!$B$30+'Inputs'!$B$31+'Inputs'!$B$32)/1000+'Inputs'!$B$21+'Inputs'!$B$9+'Inputs'!$B$10))^2+('Inputs'!$B$6/2)^2))))*'Results'!$B$8),"")</x:f>
        <x:v>14.49127088273389</x:v>
      </x:c>
      <x:c r="N381" t="n">
        <x:f>IF(AND(ISNUMBER('Results'!C7),ISNUMBER('Results'!B7),ISNUMBER('Results'!$B$8),ISNUMBER('Inputs'!$B$6),ISNUMBER('Inputs'!$B$7),ISNUMBER('Inputs'!$B$8),ISNUMBER('Inputs'!$B$9),ISNUMBER('Inputs'!$B$10),ISNUMBER('Inputs'!$B$21),ISNUMBER('Inputs'!$B$24),ISNUMBER('Inputs'!$B$28)),((('Results'!C7*(1-'Inputs'!$B$24)*(0.5*((((381-43)*MAX('Inputs'!$B$33,'Inputs'!$B$29+'Inputs'!$B$31+'Inputs'!$B$32,'Inputs'!$B$30+'Inputs'!$B$31+'Inputs'!$B$32)/1000+'Inputs'!$B$21)+'Inputs'!$B$9)/SQRT((((381-43)*MAX('Inputs'!$B$33,'Inputs'!$B$29+'Inputs'!$B$31+'Inputs'!$B$32,'Inputs'!$B$30+'Inputs'!$B$31+'Inputs'!$B$32)/1000+'Inputs'!$B$21)+'Inputs'!$B$9)^2+('Inputs'!$B$8/2)^2)-(((381-43)*MAX('Inputs'!$B$33,'Inputs'!$B$29+'Inputs'!$B$31+'Inputs'!$B$32,'Inputs'!$B$30+'Inputs'!$B$31+'Inputs'!$B$32)/1000+'Inputs'!$B$21))/SQRT((((381-43)*MAX('Inputs'!$B$33,'Inputs'!$B$29+'Inputs'!$B$31+'Inputs'!$B$32,'Inputs'!$B$30+'Inputs'!$B$31+'Inputs'!$B$32)/1000+'Inputs'!$B$21))^2+('Inputs'!$B$8/2)^2)))-'Results'!B7*(1+'Inputs'!$B$24)*(0.5*((((381-43)*MAX('Inputs'!$B$33,'Inputs'!$B$29+'Inputs'!$B$31+'Inputs'!$B$32,'Inputs'!$B$30+'Inputs'!$B$31+'Inputs'!$B$32)/1000+'Inputs'!$B$21+'Inputs'!$B$9+'Inputs'!$B$10)+'Inputs'!$B$7)/SQRT((((381-43)*MAX('Inputs'!$B$33,'Inputs'!$B$29+'Inputs'!$B$31+'Inputs'!$B$32,'Inputs'!$B$30+'Inputs'!$B$31+'Inputs'!$B$32)/1000+'Inputs'!$B$21+'Inputs'!$B$9+'Inputs'!$B$10)+'Inputs'!$B$7)^2+('Inputs'!$B$6/2)^2)-(((381-43)*MAX('Inputs'!$B$33,'Inputs'!$B$29+'Inputs'!$B$31+'Inputs'!$B$32,'Inputs'!$B$30+'Inputs'!$B$31+'Inputs'!$B$32)/1000+'Inputs'!$B$21+'Inputs'!$B$9+'Inputs'!$B$10))/SQRT((((381-43)*MAX('Inputs'!$B$33,'Inputs'!$B$29+'Inputs'!$B$31+'Inputs'!$B$32,'Inputs'!$B$30+'Inputs'!$B$31+'Inputs'!$B$32)/1000+'Inputs'!$B$21+'Inputs'!$B$9+'Inputs'!$B$10))^2+('Inputs'!$B$6/2)^2))))*'Results'!$B$8)-'Inputs'!$B$28*ABS((('Results'!C7*(1-'Inputs'!$B$24)*(0.5*((((381-43)*MAX('Inputs'!$B$33,'Inputs'!$B$29+'Inputs'!$B$31+'Inputs'!$B$32,'Inputs'!$B$30+'Inputs'!$B$31+'Inputs'!$B$32)/1000+'Inputs'!$B$21)+'Inputs'!$B$9)/SQRT((((381-43)*MAX('Inputs'!$B$33,'Inputs'!$B$29+'Inputs'!$B$31+'Inputs'!$B$32,'Inputs'!$B$30+'Inputs'!$B$31+'Inputs'!$B$32)/1000+'Inputs'!$B$21)+'Inputs'!$B$9)^2+('Inputs'!$B$8/2)^2)-(((381-43)*MAX('Inputs'!$B$33,'Inputs'!$B$29+'Inputs'!$B$31+'Inputs'!$B$32,'Inputs'!$B$30+'Inputs'!$B$31+'Inputs'!$B$32)/1000+'Inputs'!$B$21))/SQRT((((381-43)*MAX('Inputs'!$B$33,'Inputs'!$B$29+'Inputs'!$B$31+'Inputs'!$B$32,'Inputs'!$B$30+'Inputs'!$B$31+'Inputs'!$B$32)/1000+'Inputs'!$B$21))^2+('Inputs'!$B$8/2)^2)))-'Results'!B7*(1+'Inputs'!$B$24)*(0.5*((((381-43)*MAX('Inputs'!$B$33,'Inputs'!$B$29+'Inputs'!$B$31+'Inputs'!$B$32,'Inputs'!$B$30+'Inputs'!$B$31+'Inputs'!$B$32)/1000+'Inputs'!$B$21+'Inputs'!$B$9+'Inputs'!$B$10)+'Inputs'!$B$7)/SQRT((((381-43)*MAX('Inputs'!$B$33,'Inputs'!$B$29+'Inputs'!$B$31+'Inputs'!$B$32,'Inputs'!$B$30+'Inputs'!$B$31+'Inputs'!$B$32)/1000+'Inputs'!$B$21+'Inputs'!$B$9+'Inputs'!$B$10)+'Inputs'!$B$7)^2+('Inputs'!$B$6/2)^2)-(((381-43)*MAX('Inputs'!$B$33,'Inputs'!$B$29+'Inputs'!$B$31+'Inputs'!$B$32,'Inputs'!$B$30+'Inputs'!$B$31+'Inputs'!$B$32)/1000+'Inputs'!$B$21+'Inputs'!$B$9+'Inputs'!$B$10))/SQRT((((381-43)*MAX('Inputs'!$B$33,'Inputs'!$B$29+'Inputs'!$B$31+'Inputs'!$B$32,'Inputs'!$B$30+'Inputs'!$B$31+'Inputs'!$B$32)/1000+'Inputs'!$B$21+'Inputs'!$B$9+'Inputs'!$B$10))^2+('Inputs'!$B$6/2)^2))))*'Results'!$B$8))),"")</x:f>
        <x:v>13.030174646702784</x:v>
      </x:c>
      <x:c r="O381" t="n">
        <x:f>IF(AND(ISNUMBER('Results'!C7),ISNUMBER('Results'!B7),ISNUMBER('Results'!$B$8),ISNUMBER('Inputs'!$B$6),ISNUMBER('Inputs'!$B$7),ISNUMBER('Inputs'!$B$8),ISNUMBER('Inputs'!$B$9),ISNUMBER('Inputs'!$B$10),ISNUMBER('Inputs'!$B$21),ISNUMBER('Inputs'!$B$24),ISNUMBER('Inputs'!$B$28)),((('Results'!C7*(1+'Inputs'!$B$24)*(0.5*((((381-43)*MAX('Inputs'!$B$33,'Inputs'!$B$29+'Inputs'!$B$31+'Inputs'!$B$32,'Inputs'!$B$30+'Inputs'!$B$31+'Inputs'!$B$32)/1000+'Inputs'!$B$21)+'Inputs'!$B$9)/SQRT((((381-43)*MAX('Inputs'!$B$33,'Inputs'!$B$29+'Inputs'!$B$31+'Inputs'!$B$32,'Inputs'!$B$30+'Inputs'!$B$31+'Inputs'!$B$32)/1000+'Inputs'!$B$21)+'Inputs'!$B$9)^2+('Inputs'!$B$8/2)^2)-(((381-43)*MAX('Inputs'!$B$33,'Inputs'!$B$29+'Inputs'!$B$31+'Inputs'!$B$32,'Inputs'!$B$30+'Inputs'!$B$31+'Inputs'!$B$32)/1000+'Inputs'!$B$21))/SQRT((((381-43)*MAX('Inputs'!$B$33,'Inputs'!$B$29+'Inputs'!$B$31+'Inputs'!$B$32,'Inputs'!$B$30+'Inputs'!$B$31+'Inputs'!$B$32)/1000+'Inputs'!$B$21))^2+('Inputs'!$B$8/2)^2)))-'Results'!B7*(1-'Inputs'!$B$24)*(0.5*((((381-43)*MAX('Inputs'!$B$33,'Inputs'!$B$29+'Inputs'!$B$31+'Inputs'!$B$32,'Inputs'!$B$30+'Inputs'!$B$31+'Inputs'!$B$32)/1000+'Inputs'!$B$21+'Inputs'!$B$9+'Inputs'!$B$10)+'Inputs'!$B$7)/SQRT((((381-43)*MAX('Inputs'!$B$33,'Inputs'!$B$29+'Inputs'!$B$31+'Inputs'!$B$32,'Inputs'!$B$30+'Inputs'!$B$31+'Inputs'!$B$32)/1000+'Inputs'!$B$21+'Inputs'!$B$9+'Inputs'!$B$10)+'Inputs'!$B$7)^2+('Inputs'!$B$6/2)^2)-(((381-43)*MAX('Inputs'!$B$33,'Inputs'!$B$29+'Inputs'!$B$31+'Inputs'!$B$32,'Inputs'!$B$30+'Inputs'!$B$31+'Inputs'!$B$32)/1000+'Inputs'!$B$21+'Inputs'!$B$9+'Inputs'!$B$10))/SQRT((((381-43)*MAX('Inputs'!$B$33,'Inputs'!$B$29+'Inputs'!$B$31+'Inputs'!$B$32,'Inputs'!$B$30+'Inputs'!$B$31+'Inputs'!$B$32)/1000+'Inputs'!$B$21+'Inputs'!$B$9+'Inputs'!$B$10))^2+('Inputs'!$B$6/2)^2))))*'Results'!$B$8)+'Inputs'!$B$28*ABS((('Results'!C7*(1+'Inputs'!$B$24)*(0.5*((((381-43)*MAX('Inputs'!$B$33,'Inputs'!$B$29+'Inputs'!$B$31+'Inputs'!$B$32,'Inputs'!$B$30+'Inputs'!$B$31+'Inputs'!$B$32)/1000+'Inputs'!$B$21)+'Inputs'!$B$9)/SQRT((((381-43)*MAX('Inputs'!$B$33,'Inputs'!$B$29+'Inputs'!$B$31+'Inputs'!$B$32,'Inputs'!$B$30+'Inputs'!$B$31+'Inputs'!$B$32)/1000+'Inputs'!$B$21)+'Inputs'!$B$9)^2+('Inputs'!$B$8/2)^2)-(((381-43)*MAX('Inputs'!$B$33,'Inputs'!$B$29+'Inputs'!$B$31+'Inputs'!$B$32,'Inputs'!$B$30+'Inputs'!$B$31+'Inputs'!$B$32)/1000+'Inputs'!$B$21))/SQRT((((381-43)*MAX('Inputs'!$B$33,'Inputs'!$B$29+'Inputs'!$B$31+'Inputs'!$B$32,'Inputs'!$B$30+'Inputs'!$B$31+'Inputs'!$B$32)/1000+'Inputs'!$B$21))^2+('Inputs'!$B$8/2)^2)))-'Results'!B7*(1-'Inputs'!$B$24)*(0.5*((((381-43)*MAX('Inputs'!$B$33,'Inputs'!$B$29+'Inputs'!$B$31+'Inputs'!$B$32,'Inputs'!$B$30+'Inputs'!$B$31+'Inputs'!$B$32)/1000+'Inputs'!$B$21+'Inputs'!$B$9+'Inputs'!$B$10)+'Inputs'!$B$7)/SQRT((((381-43)*MAX('Inputs'!$B$33,'Inputs'!$B$29+'Inputs'!$B$31+'Inputs'!$B$32,'Inputs'!$B$30+'Inputs'!$B$31+'Inputs'!$B$32)/1000+'Inputs'!$B$21+'Inputs'!$B$9+'Inputs'!$B$10)+'Inputs'!$B$7)^2+('Inputs'!$B$6/2)^2)-(((381-43)*MAX('Inputs'!$B$33,'Inputs'!$B$29+'Inputs'!$B$31+'Inputs'!$B$32,'Inputs'!$B$30+'Inputs'!$B$31+'Inputs'!$B$32)/1000+'Inputs'!$B$21+'Inputs'!$B$9+'Inputs'!$B$10))/SQRT((((381-43)*MAX('Inputs'!$B$33,'Inputs'!$B$29+'Inputs'!$B$31+'Inputs'!$B$32,'Inputs'!$B$30+'Inputs'!$B$31+'Inputs'!$B$32)/1000+'Inputs'!$B$21+'Inputs'!$B$9+'Inputs'!$B$10))^2+('Inputs'!$B$6/2)^2))))*'Results'!$B$8))),"")</x:f>
        <x:v>16.02989687580651</x:v>
      </x:c>
      <x:c r="P381" t="n">
        <x:f>IF(AND(MAX(J381,J380)&gt;0,J381&gt;J380+0.00000001),1,0)</x:f>
        <x:v>0</x:v>
      </x:c>
      <x:c r="Q381" t="n">
        <x:f>IF(AND(MAX(K381,K380)&gt;0,K381&gt;K380+0.00000001),1,0)</x:f>
        <x:v>0</x:v>
      </x:c>
      <x:c r="R381" t="n">
        <x:f>IF(AND(MAX(L381,L380)&gt;0,L381&gt;L380+0.00000001),1,0)</x:f>
        <x:v>0</x:v>
      </x:c>
      <x:c r="S381" t="n">
        <x:f>IF(AND(MAX(M381,M380)&gt;0,M381&gt;M380+0.00000001),1,0)</x:f>
        <x:v>0</x:v>
      </x:c>
      <x:c r="T381" t="n">
        <x:f>IF(AND(MAX(N381,N380)&gt;0,N381&gt;N380+0.00000001),1,0)</x:f>
        <x:v>0</x:v>
      </x:c>
      <x:c r="U381" t="n">
        <x:f>IF(AND(MAX(O381,O380)&gt;0,O381&gt;O380+0.00000001),1,0)</x:f>
        <x:v>0</x:v>
      </x:c>
    </x:row>
    <x:row r="382">
      <x:c r="J382" t="n">
        <x:f>IF(AND(ISNUMBER('Results'!B7),ISNUMBER('Results'!C7),ISNUMBER('Results'!$B$8),ISNUMBER('Inputs'!$B$6),ISNUMBER('Inputs'!$B$7),ISNUMBER('Inputs'!$B$8),ISNUMBER('Inputs'!$B$9),ISNUMBER('Inputs'!$B$10),ISNUMBER('Inputs'!$B$21),ISNUMBER('Inputs'!$B$24),ISNUMBER('Inputs'!$B$28)),(('Results'!B7*(0.5*((((382-43)*MAX('Inputs'!$B$33,'Inputs'!$B$29+'Inputs'!$B$31+'Inputs'!$B$32,'Inputs'!$B$30+'Inputs'!$B$31+'Inputs'!$B$32)/1000+'Inputs'!$B$21)+'Inputs'!$B$7)/SQRT((((382-43)*MAX('Inputs'!$B$33,'Inputs'!$B$29+'Inputs'!$B$31+'Inputs'!$B$32,'Inputs'!$B$30+'Inputs'!$B$31+'Inputs'!$B$32)/1000+'Inputs'!$B$21)+'Inputs'!$B$7)^2+('Inputs'!$B$6/2)^2)-(((382-43)*MAX('Inputs'!$B$33,'Inputs'!$B$29+'Inputs'!$B$31+'Inputs'!$B$32,'Inputs'!$B$30+'Inputs'!$B$31+'Inputs'!$B$32)/1000+'Inputs'!$B$21))/SQRT((((382-43)*MAX('Inputs'!$B$33,'Inputs'!$B$29+'Inputs'!$B$31+'Inputs'!$B$32,'Inputs'!$B$30+'Inputs'!$B$31+'Inputs'!$B$32)/1000+'Inputs'!$B$21))^2+('Inputs'!$B$6/2)^2)))-'Results'!C7*(0.5*((((382-43)*MAX('Inputs'!$B$33,'Inputs'!$B$29+'Inputs'!$B$31+'Inputs'!$B$32,'Inputs'!$B$30+'Inputs'!$B$31+'Inputs'!$B$32)/1000+'Inputs'!$B$21+'Inputs'!$B$7+'Inputs'!$B$10)+'Inputs'!$B$9)/SQRT((((382-43)*MAX('Inputs'!$B$33,'Inputs'!$B$29+'Inputs'!$B$31+'Inputs'!$B$32,'Inputs'!$B$30+'Inputs'!$B$31+'Inputs'!$B$32)/1000+'Inputs'!$B$21+'Inputs'!$B$7+'Inputs'!$B$10)+'Inputs'!$B$9)^2+('Inputs'!$B$8/2)^2)-(((382-43)*MAX('Inputs'!$B$33,'Inputs'!$B$29+'Inputs'!$B$31+'Inputs'!$B$32,'Inputs'!$B$30+'Inputs'!$B$31+'Inputs'!$B$32)/1000+'Inputs'!$B$21+'Inputs'!$B$7+'Inputs'!$B$10))/SQRT((((382-43)*MAX('Inputs'!$B$33,'Inputs'!$B$29+'Inputs'!$B$31+'Inputs'!$B$32,'Inputs'!$B$30+'Inputs'!$B$31+'Inputs'!$B$32)/1000+'Inputs'!$B$21+'Inputs'!$B$7+'Inputs'!$B$10))^2+('Inputs'!$B$8/2)^2))))*'Results'!$B$8),"")</x:f>
        <x:v>15.13401789848587</x:v>
      </x:c>
      <x:c r="K382" t="n">
        <x:f>IF(AND(ISNUMBER('Results'!B7),ISNUMBER('Results'!C7),ISNUMBER('Results'!$B$8),ISNUMBER('Inputs'!$B$6),ISNUMBER('Inputs'!$B$7),ISNUMBER('Inputs'!$B$8),ISNUMBER('Inputs'!$B$9),ISNUMBER('Inputs'!$B$10),ISNUMBER('Inputs'!$B$21),ISNUMBER('Inputs'!$B$24),ISNUMBER('Inputs'!$B$28)),((('Results'!B7*(1-'Inputs'!$B$24)*(0.5*((((382-43)*MAX('Inputs'!$B$33,'Inputs'!$B$29+'Inputs'!$B$31+'Inputs'!$B$32,'Inputs'!$B$30+'Inputs'!$B$31+'Inputs'!$B$32)/1000+'Inputs'!$B$21)+'Inputs'!$B$7)/SQRT((((382-43)*MAX('Inputs'!$B$33,'Inputs'!$B$29+'Inputs'!$B$31+'Inputs'!$B$32,'Inputs'!$B$30+'Inputs'!$B$31+'Inputs'!$B$32)/1000+'Inputs'!$B$21)+'Inputs'!$B$7)^2+('Inputs'!$B$6/2)^2)-(((382-43)*MAX('Inputs'!$B$33,'Inputs'!$B$29+'Inputs'!$B$31+'Inputs'!$B$32,'Inputs'!$B$30+'Inputs'!$B$31+'Inputs'!$B$32)/1000+'Inputs'!$B$21))/SQRT((((382-43)*MAX('Inputs'!$B$33,'Inputs'!$B$29+'Inputs'!$B$31+'Inputs'!$B$32,'Inputs'!$B$30+'Inputs'!$B$31+'Inputs'!$B$32)/1000+'Inputs'!$B$21))^2+('Inputs'!$B$6/2)^2)))-'Results'!C7*(1+'Inputs'!$B$24)*(0.5*((((382-43)*MAX('Inputs'!$B$33,'Inputs'!$B$29+'Inputs'!$B$31+'Inputs'!$B$32,'Inputs'!$B$30+'Inputs'!$B$31+'Inputs'!$B$32)/1000+'Inputs'!$B$21+'Inputs'!$B$7+'Inputs'!$B$10)+'Inputs'!$B$9)/SQRT((((382-43)*MAX('Inputs'!$B$33,'Inputs'!$B$29+'Inputs'!$B$31+'Inputs'!$B$32,'Inputs'!$B$30+'Inputs'!$B$31+'Inputs'!$B$32)/1000+'Inputs'!$B$21+'Inputs'!$B$7+'Inputs'!$B$10)+'Inputs'!$B$9)^2+('Inputs'!$B$8/2)^2)-(((382-43)*MAX('Inputs'!$B$33,'Inputs'!$B$29+'Inputs'!$B$31+'Inputs'!$B$32,'Inputs'!$B$30+'Inputs'!$B$31+'Inputs'!$B$32)/1000+'Inputs'!$B$21+'Inputs'!$B$7+'Inputs'!$B$10))/SQRT((((382-43)*MAX('Inputs'!$B$33,'Inputs'!$B$29+'Inputs'!$B$31+'Inputs'!$B$32,'Inputs'!$B$30+'Inputs'!$B$31+'Inputs'!$B$32)/1000+'Inputs'!$B$21+'Inputs'!$B$7+'Inputs'!$B$10))^2+('Inputs'!$B$8/2)^2))))*'Results'!$B$8)-'Inputs'!$B$28*ABS((('Results'!B7*(1-'Inputs'!$B$24)*(0.5*((((382-43)*MAX('Inputs'!$B$33,'Inputs'!$B$29+'Inputs'!$B$31+'Inputs'!$B$32,'Inputs'!$B$30+'Inputs'!$B$31+'Inputs'!$B$32)/1000+'Inputs'!$B$21)+'Inputs'!$B$7)/SQRT((((382-43)*MAX('Inputs'!$B$33,'Inputs'!$B$29+'Inputs'!$B$31+'Inputs'!$B$32,'Inputs'!$B$30+'Inputs'!$B$31+'Inputs'!$B$32)/1000+'Inputs'!$B$21)+'Inputs'!$B$7)^2+('Inputs'!$B$6/2)^2)-(((382-43)*MAX('Inputs'!$B$33,'Inputs'!$B$29+'Inputs'!$B$31+'Inputs'!$B$32,'Inputs'!$B$30+'Inputs'!$B$31+'Inputs'!$B$32)/1000+'Inputs'!$B$21))/SQRT((((382-43)*MAX('Inputs'!$B$33,'Inputs'!$B$29+'Inputs'!$B$31+'Inputs'!$B$32,'Inputs'!$B$30+'Inputs'!$B$31+'Inputs'!$B$32)/1000+'Inputs'!$B$21))^2+('Inputs'!$B$6/2)^2)))-'Results'!C7*(1+'Inputs'!$B$24)*(0.5*((((382-43)*MAX('Inputs'!$B$33,'Inputs'!$B$29+'Inputs'!$B$31+'Inputs'!$B$32,'Inputs'!$B$30+'Inputs'!$B$31+'Inputs'!$B$32)/1000+'Inputs'!$B$21+'Inputs'!$B$7+'Inputs'!$B$10)+'Inputs'!$B$9)/SQRT((((382-43)*MAX('Inputs'!$B$33,'Inputs'!$B$29+'Inputs'!$B$31+'Inputs'!$B$32,'Inputs'!$B$30+'Inputs'!$B$31+'Inputs'!$B$32)/1000+'Inputs'!$B$21+'Inputs'!$B$7+'Inputs'!$B$10)+'Inputs'!$B$9)^2+('Inputs'!$B$8/2)^2)-(((382-43)*MAX('Inputs'!$B$33,'Inputs'!$B$29+'Inputs'!$B$31+'Inputs'!$B$32,'Inputs'!$B$30+'Inputs'!$B$31+'Inputs'!$B$32)/1000+'Inputs'!$B$21+'Inputs'!$B$7+'Inputs'!$B$10))/SQRT((((382-43)*MAX('Inputs'!$B$33,'Inputs'!$B$29+'Inputs'!$B$31+'Inputs'!$B$32,'Inputs'!$B$30+'Inputs'!$B$31+'Inputs'!$B$32)/1000+'Inputs'!$B$21+'Inputs'!$B$7+'Inputs'!$B$10))^2+('Inputs'!$B$8/2)^2))))*'Results'!$B$8))),"")</x:f>
        <x:v>13.640581364393311</x:v>
      </x:c>
      <x:c r="L382" t="n">
        <x:f>IF(AND(ISNUMBER('Results'!B7),ISNUMBER('Results'!C7),ISNUMBER('Results'!$B$8),ISNUMBER('Inputs'!$B$6),ISNUMBER('Inputs'!$B$7),ISNUMBER('Inputs'!$B$8),ISNUMBER('Inputs'!$B$9),ISNUMBER('Inputs'!$B$10),ISNUMBER('Inputs'!$B$21),ISNUMBER('Inputs'!$B$24),ISNUMBER('Inputs'!$B$28)),((('Results'!B7*(1+'Inputs'!$B$24)*(0.5*((((382-43)*MAX('Inputs'!$B$33,'Inputs'!$B$29+'Inputs'!$B$31+'Inputs'!$B$32,'Inputs'!$B$30+'Inputs'!$B$31+'Inputs'!$B$32)/1000+'Inputs'!$B$21)+'Inputs'!$B$7)/SQRT((((382-43)*MAX('Inputs'!$B$33,'Inputs'!$B$29+'Inputs'!$B$31+'Inputs'!$B$32,'Inputs'!$B$30+'Inputs'!$B$31+'Inputs'!$B$32)/1000+'Inputs'!$B$21)+'Inputs'!$B$7)^2+('Inputs'!$B$6/2)^2)-(((382-43)*MAX('Inputs'!$B$33,'Inputs'!$B$29+'Inputs'!$B$31+'Inputs'!$B$32,'Inputs'!$B$30+'Inputs'!$B$31+'Inputs'!$B$32)/1000+'Inputs'!$B$21))/SQRT((((382-43)*MAX('Inputs'!$B$33,'Inputs'!$B$29+'Inputs'!$B$31+'Inputs'!$B$32,'Inputs'!$B$30+'Inputs'!$B$31+'Inputs'!$B$32)/1000+'Inputs'!$B$21))^2+('Inputs'!$B$6/2)^2)))-'Results'!C7*(1-'Inputs'!$B$24)*(0.5*((((382-43)*MAX('Inputs'!$B$33,'Inputs'!$B$29+'Inputs'!$B$31+'Inputs'!$B$32,'Inputs'!$B$30+'Inputs'!$B$31+'Inputs'!$B$32)/1000+'Inputs'!$B$21+'Inputs'!$B$7+'Inputs'!$B$10)+'Inputs'!$B$9)/SQRT((((382-43)*MAX('Inputs'!$B$33,'Inputs'!$B$29+'Inputs'!$B$31+'Inputs'!$B$32,'Inputs'!$B$30+'Inputs'!$B$31+'Inputs'!$B$32)/1000+'Inputs'!$B$21+'Inputs'!$B$7+'Inputs'!$B$10)+'Inputs'!$B$9)^2+('Inputs'!$B$8/2)^2)-(((382-43)*MAX('Inputs'!$B$33,'Inputs'!$B$29+'Inputs'!$B$31+'Inputs'!$B$32,'Inputs'!$B$30+'Inputs'!$B$31+'Inputs'!$B$32)/1000+'Inputs'!$B$21+'Inputs'!$B$7+'Inputs'!$B$10))/SQRT((((382-43)*MAX('Inputs'!$B$33,'Inputs'!$B$29+'Inputs'!$B$31+'Inputs'!$B$32,'Inputs'!$B$30+'Inputs'!$B$31+'Inputs'!$B$32)/1000+'Inputs'!$B$21+'Inputs'!$B$7+'Inputs'!$B$10))^2+('Inputs'!$B$8/2)^2))))*'Results'!$B$8)+'Inputs'!$B$28*ABS((('Results'!B7*(1+'Inputs'!$B$24)*(0.5*((((382-43)*MAX('Inputs'!$B$33,'Inputs'!$B$29+'Inputs'!$B$31+'Inputs'!$B$32,'Inputs'!$B$30+'Inputs'!$B$31+'Inputs'!$B$32)/1000+'Inputs'!$B$21)+'Inputs'!$B$7)/SQRT((((382-43)*MAX('Inputs'!$B$33,'Inputs'!$B$29+'Inputs'!$B$31+'Inputs'!$B$32,'Inputs'!$B$30+'Inputs'!$B$31+'Inputs'!$B$32)/1000+'Inputs'!$B$21)+'Inputs'!$B$7)^2+('Inputs'!$B$6/2)^2)-(((382-43)*MAX('Inputs'!$B$33,'Inputs'!$B$29+'Inputs'!$B$31+'Inputs'!$B$32,'Inputs'!$B$30+'Inputs'!$B$31+'Inputs'!$B$32)/1000+'Inputs'!$B$21))/SQRT((((382-43)*MAX('Inputs'!$B$33,'Inputs'!$B$29+'Inputs'!$B$31+'Inputs'!$B$32,'Inputs'!$B$30+'Inputs'!$B$31+'Inputs'!$B$32)/1000+'Inputs'!$B$21))^2+('Inputs'!$B$6/2)^2)))-'Results'!C7*(1-'Inputs'!$B$24)*(0.5*((((382-43)*MAX('Inputs'!$B$33,'Inputs'!$B$29+'Inputs'!$B$31+'Inputs'!$B$32,'Inputs'!$B$30+'Inputs'!$B$31+'Inputs'!$B$32)/1000+'Inputs'!$B$21+'Inputs'!$B$7+'Inputs'!$B$10)+'Inputs'!$B$9)/SQRT((((382-43)*MAX('Inputs'!$B$33,'Inputs'!$B$29+'Inputs'!$B$31+'Inputs'!$B$32,'Inputs'!$B$30+'Inputs'!$B$31+'Inputs'!$B$32)/1000+'Inputs'!$B$21+'Inputs'!$B$7+'Inputs'!$B$10)+'Inputs'!$B$9)^2+('Inputs'!$B$8/2)^2)-(((382-43)*MAX('Inputs'!$B$33,'Inputs'!$B$29+'Inputs'!$B$31+'Inputs'!$B$32,'Inputs'!$B$30+'Inputs'!$B$31+'Inputs'!$B$32)/1000+'Inputs'!$B$21+'Inputs'!$B$7+'Inputs'!$B$10))/SQRT((((382-43)*MAX('Inputs'!$B$33,'Inputs'!$B$29+'Inputs'!$B$31+'Inputs'!$B$32,'Inputs'!$B$30+'Inputs'!$B$31+'Inputs'!$B$32)/1000+'Inputs'!$B$21+'Inputs'!$B$7+'Inputs'!$B$10))^2+('Inputs'!$B$8/2)^2))))*'Results'!$B$8))),"")</x:f>
        <x:v>16.70500555249087</x:v>
      </x:c>
      <x:c r="M382" t="n">
        <x:f>IF(AND(ISNUMBER('Results'!C7),ISNUMBER('Results'!B7),ISNUMBER('Results'!$B$8),ISNUMBER('Inputs'!$B$6),ISNUMBER('Inputs'!$B$7),ISNUMBER('Inputs'!$B$8),ISNUMBER('Inputs'!$B$9),ISNUMBER('Inputs'!$B$10),ISNUMBER('Inputs'!$B$21),ISNUMBER('Inputs'!$B$24),ISNUMBER('Inputs'!$B$28)),(('Results'!C7*(0.5*((((382-43)*MAX('Inputs'!$B$33,'Inputs'!$B$29+'Inputs'!$B$31+'Inputs'!$B$32,'Inputs'!$B$30+'Inputs'!$B$31+'Inputs'!$B$32)/1000+'Inputs'!$B$21)+'Inputs'!$B$9)/SQRT((((382-43)*MAX('Inputs'!$B$33,'Inputs'!$B$29+'Inputs'!$B$31+'Inputs'!$B$32,'Inputs'!$B$30+'Inputs'!$B$31+'Inputs'!$B$32)/1000+'Inputs'!$B$21)+'Inputs'!$B$9)^2+('Inputs'!$B$8/2)^2)-(((382-43)*MAX('Inputs'!$B$33,'Inputs'!$B$29+'Inputs'!$B$31+'Inputs'!$B$32,'Inputs'!$B$30+'Inputs'!$B$31+'Inputs'!$B$32)/1000+'Inputs'!$B$21))/SQRT((((382-43)*MAX('Inputs'!$B$33,'Inputs'!$B$29+'Inputs'!$B$31+'Inputs'!$B$32,'Inputs'!$B$30+'Inputs'!$B$31+'Inputs'!$B$32)/1000+'Inputs'!$B$21))^2+('Inputs'!$B$8/2)^2)))-'Results'!B7*(0.5*((((382-43)*MAX('Inputs'!$B$33,'Inputs'!$B$29+'Inputs'!$B$31+'Inputs'!$B$32,'Inputs'!$B$30+'Inputs'!$B$31+'Inputs'!$B$32)/1000+'Inputs'!$B$21+'Inputs'!$B$9+'Inputs'!$B$10)+'Inputs'!$B$7)/SQRT((((382-43)*MAX('Inputs'!$B$33,'Inputs'!$B$29+'Inputs'!$B$31+'Inputs'!$B$32,'Inputs'!$B$30+'Inputs'!$B$31+'Inputs'!$B$32)/1000+'Inputs'!$B$21+'Inputs'!$B$9+'Inputs'!$B$10)+'Inputs'!$B$7)^2+('Inputs'!$B$6/2)^2)-(((382-43)*MAX('Inputs'!$B$33,'Inputs'!$B$29+'Inputs'!$B$31+'Inputs'!$B$32,'Inputs'!$B$30+'Inputs'!$B$31+'Inputs'!$B$32)/1000+'Inputs'!$B$21+'Inputs'!$B$9+'Inputs'!$B$10))/SQRT((((382-43)*MAX('Inputs'!$B$33,'Inputs'!$B$29+'Inputs'!$B$31+'Inputs'!$B$32,'Inputs'!$B$30+'Inputs'!$B$31+'Inputs'!$B$32)/1000+'Inputs'!$B$21+'Inputs'!$B$9+'Inputs'!$B$10))^2+('Inputs'!$B$6/2)^2))))*'Results'!$B$8),"")</x:f>
        <x:v>14.353681894859802</x:v>
      </x:c>
      <x:c r="N382" t="n">
        <x:f>IF(AND(ISNUMBER('Results'!C7),ISNUMBER('Results'!B7),ISNUMBER('Results'!$B$8),ISNUMBER('Inputs'!$B$6),ISNUMBER('Inputs'!$B$7),ISNUMBER('Inputs'!$B$8),ISNUMBER('Inputs'!$B$9),ISNUMBER('Inputs'!$B$10),ISNUMBER('Inputs'!$B$21),ISNUMBER('Inputs'!$B$24),ISNUMBER('Inputs'!$B$28)),((('Results'!C7*(1-'Inputs'!$B$24)*(0.5*((((382-43)*MAX('Inputs'!$B$33,'Inputs'!$B$29+'Inputs'!$B$31+'Inputs'!$B$32,'Inputs'!$B$30+'Inputs'!$B$31+'Inputs'!$B$32)/1000+'Inputs'!$B$21)+'Inputs'!$B$9)/SQRT((((382-43)*MAX('Inputs'!$B$33,'Inputs'!$B$29+'Inputs'!$B$31+'Inputs'!$B$32,'Inputs'!$B$30+'Inputs'!$B$31+'Inputs'!$B$32)/1000+'Inputs'!$B$21)+'Inputs'!$B$9)^2+('Inputs'!$B$8/2)^2)-(((382-43)*MAX('Inputs'!$B$33,'Inputs'!$B$29+'Inputs'!$B$31+'Inputs'!$B$32,'Inputs'!$B$30+'Inputs'!$B$31+'Inputs'!$B$32)/1000+'Inputs'!$B$21))/SQRT((((382-43)*MAX('Inputs'!$B$33,'Inputs'!$B$29+'Inputs'!$B$31+'Inputs'!$B$32,'Inputs'!$B$30+'Inputs'!$B$31+'Inputs'!$B$32)/1000+'Inputs'!$B$21))^2+('Inputs'!$B$8/2)^2)))-'Results'!B7*(1+'Inputs'!$B$24)*(0.5*((((382-43)*MAX('Inputs'!$B$33,'Inputs'!$B$29+'Inputs'!$B$31+'Inputs'!$B$32,'Inputs'!$B$30+'Inputs'!$B$31+'Inputs'!$B$32)/1000+'Inputs'!$B$21+'Inputs'!$B$9+'Inputs'!$B$10)+'Inputs'!$B$7)/SQRT((((382-43)*MAX('Inputs'!$B$33,'Inputs'!$B$29+'Inputs'!$B$31+'Inputs'!$B$32,'Inputs'!$B$30+'Inputs'!$B$31+'Inputs'!$B$32)/1000+'Inputs'!$B$21+'Inputs'!$B$9+'Inputs'!$B$10)+'Inputs'!$B$7)^2+('Inputs'!$B$6/2)^2)-(((382-43)*MAX('Inputs'!$B$33,'Inputs'!$B$29+'Inputs'!$B$31+'Inputs'!$B$32,'Inputs'!$B$30+'Inputs'!$B$31+'Inputs'!$B$32)/1000+'Inputs'!$B$21+'Inputs'!$B$9+'Inputs'!$B$10))/SQRT((((382-43)*MAX('Inputs'!$B$33,'Inputs'!$B$29+'Inputs'!$B$31+'Inputs'!$B$32,'Inputs'!$B$30+'Inputs'!$B$31+'Inputs'!$B$32)/1000+'Inputs'!$B$21+'Inputs'!$B$9+'Inputs'!$B$10))^2+('Inputs'!$B$6/2)^2))))*'Results'!$B$8)-'Inputs'!$B$28*ABS((('Results'!C7*(1-'Inputs'!$B$24)*(0.5*((((382-43)*MAX('Inputs'!$B$33,'Inputs'!$B$29+'Inputs'!$B$31+'Inputs'!$B$32,'Inputs'!$B$30+'Inputs'!$B$31+'Inputs'!$B$32)/1000+'Inputs'!$B$21)+'Inputs'!$B$9)/SQRT((((382-43)*MAX('Inputs'!$B$33,'Inputs'!$B$29+'Inputs'!$B$31+'Inputs'!$B$32,'Inputs'!$B$30+'Inputs'!$B$31+'Inputs'!$B$32)/1000+'Inputs'!$B$21)+'Inputs'!$B$9)^2+('Inputs'!$B$8/2)^2)-(((382-43)*MAX('Inputs'!$B$33,'Inputs'!$B$29+'Inputs'!$B$31+'Inputs'!$B$32,'Inputs'!$B$30+'Inputs'!$B$31+'Inputs'!$B$32)/1000+'Inputs'!$B$21))/SQRT((((382-43)*MAX('Inputs'!$B$33,'Inputs'!$B$29+'Inputs'!$B$31+'Inputs'!$B$32,'Inputs'!$B$30+'Inputs'!$B$31+'Inputs'!$B$32)/1000+'Inputs'!$B$21))^2+('Inputs'!$B$8/2)^2)))-'Results'!B7*(1+'Inputs'!$B$24)*(0.5*((((382-43)*MAX('Inputs'!$B$33,'Inputs'!$B$29+'Inputs'!$B$31+'Inputs'!$B$32,'Inputs'!$B$30+'Inputs'!$B$31+'Inputs'!$B$32)/1000+'Inputs'!$B$21+'Inputs'!$B$9+'Inputs'!$B$10)+'Inputs'!$B$7)/SQRT((((382-43)*MAX('Inputs'!$B$33,'Inputs'!$B$29+'Inputs'!$B$31+'Inputs'!$B$32,'Inputs'!$B$30+'Inputs'!$B$31+'Inputs'!$B$32)/1000+'Inputs'!$B$21+'Inputs'!$B$9+'Inputs'!$B$10)+'Inputs'!$B$7)^2+('Inputs'!$B$6/2)^2)-(((382-43)*MAX('Inputs'!$B$33,'Inputs'!$B$29+'Inputs'!$B$31+'Inputs'!$B$32,'Inputs'!$B$30+'Inputs'!$B$31+'Inputs'!$B$32)/1000+'Inputs'!$B$21+'Inputs'!$B$9+'Inputs'!$B$10))/SQRT((((382-43)*MAX('Inputs'!$B$33,'Inputs'!$B$29+'Inputs'!$B$31+'Inputs'!$B$32,'Inputs'!$B$30+'Inputs'!$B$31+'Inputs'!$B$32)/1000+'Inputs'!$B$21+'Inputs'!$B$9+'Inputs'!$B$10))^2+('Inputs'!$B$6/2)^2))))*'Results'!$B$8))),"")</x:f>
        <x:v>12.904921416464443</x:v>
      </x:c>
      <x:c r="O382" t="n">
        <x:f>IF(AND(ISNUMBER('Results'!C7),ISNUMBER('Results'!B7),ISNUMBER('Results'!$B$8),ISNUMBER('Inputs'!$B$6),ISNUMBER('Inputs'!$B$7),ISNUMBER('Inputs'!$B$8),ISNUMBER('Inputs'!$B$9),ISNUMBER('Inputs'!$B$10),ISNUMBER('Inputs'!$B$21),ISNUMBER('Inputs'!$B$24),ISNUMBER('Inputs'!$B$28)),((('Results'!C7*(1+'Inputs'!$B$24)*(0.5*((((382-43)*MAX('Inputs'!$B$33,'Inputs'!$B$29+'Inputs'!$B$31+'Inputs'!$B$32,'Inputs'!$B$30+'Inputs'!$B$31+'Inputs'!$B$32)/1000+'Inputs'!$B$21)+'Inputs'!$B$9)/SQRT((((382-43)*MAX('Inputs'!$B$33,'Inputs'!$B$29+'Inputs'!$B$31+'Inputs'!$B$32,'Inputs'!$B$30+'Inputs'!$B$31+'Inputs'!$B$32)/1000+'Inputs'!$B$21)+'Inputs'!$B$9)^2+('Inputs'!$B$8/2)^2)-(((382-43)*MAX('Inputs'!$B$33,'Inputs'!$B$29+'Inputs'!$B$31+'Inputs'!$B$32,'Inputs'!$B$30+'Inputs'!$B$31+'Inputs'!$B$32)/1000+'Inputs'!$B$21))/SQRT((((382-43)*MAX('Inputs'!$B$33,'Inputs'!$B$29+'Inputs'!$B$31+'Inputs'!$B$32,'Inputs'!$B$30+'Inputs'!$B$31+'Inputs'!$B$32)/1000+'Inputs'!$B$21))^2+('Inputs'!$B$8/2)^2)))-'Results'!B7*(1-'Inputs'!$B$24)*(0.5*((((382-43)*MAX('Inputs'!$B$33,'Inputs'!$B$29+'Inputs'!$B$31+'Inputs'!$B$32,'Inputs'!$B$30+'Inputs'!$B$31+'Inputs'!$B$32)/1000+'Inputs'!$B$21+'Inputs'!$B$9+'Inputs'!$B$10)+'Inputs'!$B$7)/SQRT((((382-43)*MAX('Inputs'!$B$33,'Inputs'!$B$29+'Inputs'!$B$31+'Inputs'!$B$32,'Inputs'!$B$30+'Inputs'!$B$31+'Inputs'!$B$32)/1000+'Inputs'!$B$21+'Inputs'!$B$9+'Inputs'!$B$10)+'Inputs'!$B$7)^2+('Inputs'!$B$6/2)^2)-(((382-43)*MAX('Inputs'!$B$33,'Inputs'!$B$29+'Inputs'!$B$31+'Inputs'!$B$32,'Inputs'!$B$30+'Inputs'!$B$31+'Inputs'!$B$32)/1000+'Inputs'!$B$21+'Inputs'!$B$9+'Inputs'!$B$10))/SQRT((((382-43)*MAX('Inputs'!$B$33,'Inputs'!$B$29+'Inputs'!$B$31+'Inputs'!$B$32,'Inputs'!$B$30+'Inputs'!$B$31+'Inputs'!$B$32)/1000+'Inputs'!$B$21+'Inputs'!$B$9+'Inputs'!$B$10))^2+('Inputs'!$B$6/2)^2))))*'Results'!$B$8)+'Inputs'!$B$28*ABS((('Results'!C7*(1+'Inputs'!$B$24)*(0.5*((((382-43)*MAX('Inputs'!$B$33,'Inputs'!$B$29+'Inputs'!$B$31+'Inputs'!$B$32,'Inputs'!$B$30+'Inputs'!$B$31+'Inputs'!$B$32)/1000+'Inputs'!$B$21)+'Inputs'!$B$9)/SQRT((((382-43)*MAX('Inputs'!$B$33,'Inputs'!$B$29+'Inputs'!$B$31+'Inputs'!$B$32,'Inputs'!$B$30+'Inputs'!$B$31+'Inputs'!$B$32)/1000+'Inputs'!$B$21)+'Inputs'!$B$9)^2+('Inputs'!$B$8/2)^2)-(((382-43)*MAX('Inputs'!$B$33,'Inputs'!$B$29+'Inputs'!$B$31+'Inputs'!$B$32,'Inputs'!$B$30+'Inputs'!$B$31+'Inputs'!$B$32)/1000+'Inputs'!$B$21))/SQRT((((382-43)*MAX('Inputs'!$B$33,'Inputs'!$B$29+'Inputs'!$B$31+'Inputs'!$B$32,'Inputs'!$B$30+'Inputs'!$B$31+'Inputs'!$B$32)/1000+'Inputs'!$B$21))^2+('Inputs'!$B$8/2)^2)))-'Results'!B7*(1-'Inputs'!$B$24)*(0.5*((((382-43)*MAX('Inputs'!$B$33,'Inputs'!$B$29+'Inputs'!$B$31+'Inputs'!$B$32,'Inputs'!$B$30+'Inputs'!$B$31+'Inputs'!$B$32)/1000+'Inputs'!$B$21+'Inputs'!$B$9+'Inputs'!$B$10)+'Inputs'!$B$7)/SQRT((((382-43)*MAX('Inputs'!$B$33,'Inputs'!$B$29+'Inputs'!$B$31+'Inputs'!$B$32,'Inputs'!$B$30+'Inputs'!$B$31+'Inputs'!$B$32)/1000+'Inputs'!$B$21+'Inputs'!$B$9+'Inputs'!$B$10)+'Inputs'!$B$7)^2+('Inputs'!$B$6/2)^2)-(((382-43)*MAX('Inputs'!$B$33,'Inputs'!$B$29+'Inputs'!$B$31+'Inputs'!$B$32,'Inputs'!$B$30+'Inputs'!$B$31+'Inputs'!$B$32)/1000+'Inputs'!$B$21+'Inputs'!$B$9+'Inputs'!$B$10))/SQRT((((382-43)*MAX('Inputs'!$B$33,'Inputs'!$B$29+'Inputs'!$B$31+'Inputs'!$B$32,'Inputs'!$B$30+'Inputs'!$B$31+'Inputs'!$B$32)/1000+'Inputs'!$B$21+'Inputs'!$B$9+'Inputs'!$B$10))^2+('Inputs'!$B$6/2)^2))))*'Results'!$B$8))),"")</x:f>
        <x:v>15.879397782060673</x:v>
      </x:c>
      <x:c r="P382" t="n">
        <x:f>IF(AND(MAX(J382,J381)&gt;0,J382&gt;J381+0.00000001),1,0)</x:f>
        <x:v>0</x:v>
      </x:c>
      <x:c r="Q382" t="n">
        <x:f>IF(AND(MAX(K382,K381)&gt;0,K382&gt;K381+0.00000001),1,0)</x:f>
        <x:v>0</x:v>
      </x:c>
      <x:c r="R382" t="n">
        <x:f>IF(AND(MAX(L382,L381)&gt;0,L382&gt;L381+0.00000001),1,0)</x:f>
        <x:v>0</x:v>
      </x:c>
      <x:c r="S382" t="n">
        <x:f>IF(AND(MAX(M382,M381)&gt;0,M382&gt;M381+0.00000001),1,0)</x:f>
        <x:v>0</x:v>
      </x:c>
      <x:c r="T382" t="n">
        <x:f>IF(AND(MAX(N382,N381)&gt;0,N382&gt;N381+0.00000001),1,0)</x:f>
        <x:v>0</x:v>
      </x:c>
      <x:c r="U382" t="n">
        <x:f>IF(AND(MAX(O382,O381)&gt;0,O382&gt;O381+0.00000001),1,0)</x:f>
        <x:v>0</x:v>
      </x:c>
    </x:row>
    <x:row r="383">
      <x:c r="J383" t="n">
        <x:f>IF(AND(ISNUMBER('Results'!B7),ISNUMBER('Results'!C7),ISNUMBER('Results'!$B$8),ISNUMBER('Inputs'!$B$6),ISNUMBER('Inputs'!$B$7),ISNUMBER('Inputs'!$B$8),ISNUMBER('Inputs'!$B$9),ISNUMBER('Inputs'!$B$10),ISNUMBER('Inputs'!$B$21),ISNUMBER('Inputs'!$B$24),ISNUMBER('Inputs'!$B$28)),(('Results'!B7*(0.5*((((383-43)*MAX('Inputs'!$B$33,'Inputs'!$B$29+'Inputs'!$B$31+'Inputs'!$B$32,'Inputs'!$B$30+'Inputs'!$B$31+'Inputs'!$B$32)/1000+'Inputs'!$B$21)+'Inputs'!$B$7)/SQRT((((383-43)*MAX('Inputs'!$B$33,'Inputs'!$B$29+'Inputs'!$B$31+'Inputs'!$B$32,'Inputs'!$B$30+'Inputs'!$B$31+'Inputs'!$B$32)/1000+'Inputs'!$B$21)+'Inputs'!$B$7)^2+('Inputs'!$B$6/2)^2)-(((383-43)*MAX('Inputs'!$B$33,'Inputs'!$B$29+'Inputs'!$B$31+'Inputs'!$B$32,'Inputs'!$B$30+'Inputs'!$B$31+'Inputs'!$B$32)/1000+'Inputs'!$B$21))/SQRT((((383-43)*MAX('Inputs'!$B$33,'Inputs'!$B$29+'Inputs'!$B$31+'Inputs'!$B$32,'Inputs'!$B$30+'Inputs'!$B$31+'Inputs'!$B$32)/1000+'Inputs'!$B$21))^2+('Inputs'!$B$6/2)^2)))-'Results'!C7*(0.5*((((383-43)*MAX('Inputs'!$B$33,'Inputs'!$B$29+'Inputs'!$B$31+'Inputs'!$B$32,'Inputs'!$B$30+'Inputs'!$B$31+'Inputs'!$B$32)/1000+'Inputs'!$B$21+'Inputs'!$B$7+'Inputs'!$B$10)+'Inputs'!$B$9)/SQRT((((383-43)*MAX('Inputs'!$B$33,'Inputs'!$B$29+'Inputs'!$B$31+'Inputs'!$B$32,'Inputs'!$B$30+'Inputs'!$B$31+'Inputs'!$B$32)/1000+'Inputs'!$B$21+'Inputs'!$B$7+'Inputs'!$B$10)+'Inputs'!$B$9)^2+('Inputs'!$B$8/2)^2)-(((383-43)*MAX('Inputs'!$B$33,'Inputs'!$B$29+'Inputs'!$B$31+'Inputs'!$B$32,'Inputs'!$B$30+'Inputs'!$B$31+'Inputs'!$B$32)/1000+'Inputs'!$B$21+'Inputs'!$B$7+'Inputs'!$B$10))/SQRT((((383-43)*MAX('Inputs'!$B$33,'Inputs'!$B$29+'Inputs'!$B$31+'Inputs'!$B$32,'Inputs'!$B$30+'Inputs'!$B$31+'Inputs'!$B$32)/1000+'Inputs'!$B$21+'Inputs'!$B$7+'Inputs'!$B$10))^2+('Inputs'!$B$8/2)^2))))*'Results'!$B$8),"")</x:f>
        <x:v>14.992273882514308</x:v>
      </x:c>
      <x:c r="K383" t="n">
        <x:f>IF(AND(ISNUMBER('Results'!B7),ISNUMBER('Results'!C7),ISNUMBER('Results'!$B$8),ISNUMBER('Inputs'!$B$6),ISNUMBER('Inputs'!$B$7),ISNUMBER('Inputs'!$B$8),ISNUMBER('Inputs'!$B$9),ISNUMBER('Inputs'!$B$10),ISNUMBER('Inputs'!$B$21),ISNUMBER('Inputs'!$B$24),ISNUMBER('Inputs'!$B$28)),((('Results'!B7*(1-'Inputs'!$B$24)*(0.5*((((383-43)*MAX('Inputs'!$B$33,'Inputs'!$B$29+'Inputs'!$B$31+'Inputs'!$B$32,'Inputs'!$B$30+'Inputs'!$B$31+'Inputs'!$B$32)/1000+'Inputs'!$B$21)+'Inputs'!$B$7)/SQRT((((383-43)*MAX('Inputs'!$B$33,'Inputs'!$B$29+'Inputs'!$B$31+'Inputs'!$B$32,'Inputs'!$B$30+'Inputs'!$B$31+'Inputs'!$B$32)/1000+'Inputs'!$B$21)+'Inputs'!$B$7)^2+('Inputs'!$B$6/2)^2)-(((383-43)*MAX('Inputs'!$B$33,'Inputs'!$B$29+'Inputs'!$B$31+'Inputs'!$B$32,'Inputs'!$B$30+'Inputs'!$B$31+'Inputs'!$B$32)/1000+'Inputs'!$B$21))/SQRT((((383-43)*MAX('Inputs'!$B$33,'Inputs'!$B$29+'Inputs'!$B$31+'Inputs'!$B$32,'Inputs'!$B$30+'Inputs'!$B$31+'Inputs'!$B$32)/1000+'Inputs'!$B$21))^2+('Inputs'!$B$6/2)^2)))-'Results'!C7*(1+'Inputs'!$B$24)*(0.5*((((383-43)*MAX('Inputs'!$B$33,'Inputs'!$B$29+'Inputs'!$B$31+'Inputs'!$B$32,'Inputs'!$B$30+'Inputs'!$B$31+'Inputs'!$B$32)/1000+'Inputs'!$B$21+'Inputs'!$B$7+'Inputs'!$B$10)+'Inputs'!$B$9)/SQRT((((383-43)*MAX('Inputs'!$B$33,'Inputs'!$B$29+'Inputs'!$B$31+'Inputs'!$B$32,'Inputs'!$B$30+'Inputs'!$B$31+'Inputs'!$B$32)/1000+'Inputs'!$B$21+'Inputs'!$B$7+'Inputs'!$B$10)+'Inputs'!$B$9)^2+('Inputs'!$B$8/2)^2)-(((383-43)*MAX('Inputs'!$B$33,'Inputs'!$B$29+'Inputs'!$B$31+'Inputs'!$B$32,'Inputs'!$B$30+'Inputs'!$B$31+'Inputs'!$B$32)/1000+'Inputs'!$B$21+'Inputs'!$B$7+'Inputs'!$B$10))/SQRT((((383-43)*MAX('Inputs'!$B$33,'Inputs'!$B$29+'Inputs'!$B$31+'Inputs'!$B$32,'Inputs'!$B$30+'Inputs'!$B$31+'Inputs'!$B$32)/1000+'Inputs'!$B$21+'Inputs'!$B$7+'Inputs'!$B$10))^2+('Inputs'!$B$8/2)^2))))*'Results'!$B$8)-'Inputs'!$B$28*ABS((('Results'!B7*(1-'Inputs'!$B$24)*(0.5*((((383-43)*MAX('Inputs'!$B$33,'Inputs'!$B$29+'Inputs'!$B$31+'Inputs'!$B$32,'Inputs'!$B$30+'Inputs'!$B$31+'Inputs'!$B$32)/1000+'Inputs'!$B$21)+'Inputs'!$B$7)/SQRT((((383-43)*MAX('Inputs'!$B$33,'Inputs'!$B$29+'Inputs'!$B$31+'Inputs'!$B$32,'Inputs'!$B$30+'Inputs'!$B$31+'Inputs'!$B$32)/1000+'Inputs'!$B$21)+'Inputs'!$B$7)^2+('Inputs'!$B$6/2)^2)-(((383-43)*MAX('Inputs'!$B$33,'Inputs'!$B$29+'Inputs'!$B$31+'Inputs'!$B$32,'Inputs'!$B$30+'Inputs'!$B$31+'Inputs'!$B$32)/1000+'Inputs'!$B$21))/SQRT((((383-43)*MAX('Inputs'!$B$33,'Inputs'!$B$29+'Inputs'!$B$31+'Inputs'!$B$32,'Inputs'!$B$30+'Inputs'!$B$31+'Inputs'!$B$32)/1000+'Inputs'!$B$21))^2+('Inputs'!$B$6/2)^2)))-'Results'!C7*(1+'Inputs'!$B$24)*(0.5*((((383-43)*MAX('Inputs'!$B$33,'Inputs'!$B$29+'Inputs'!$B$31+'Inputs'!$B$32,'Inputs'!$B$30+'Inputs'!$B$31+'Inputs'!$B$32)/1000+'Inputs'!$B$21+'Inputs'!$B$7+'Inputs'!$B$10)+'Inputs'!$B$9)/SQRT((((383-43)*MAX('Inputs'!$B$33,'Inputs'!$B$29+'Inputs'!$B$31+'Inputs'!$B$32,'Inputs'!$B$30+'Inputs'!$B$31+'Inputs'!$B$32)/1000+'Inputs'!$B$21+'Inputs'!$B$7+'Inputs'!$B$10)+'Inputs'!$B$9)^2+('Inputs'!$B$8/2)^2)-(((383-43)*MAX('Inputs'!$B$33,'Inputs'!$B$29+'Inputs'!$B$31+'Inputs'!$B$32,'Inputs'!$B$30+'Inputs'!$B$31+'Inputs'!$B$32)/1000+'Inputs'!$B$21+'Inputs'!$B$7+'Inputs'!$B$10))/SQRT((((383-43)*MAX('Inputs'!$B$33,'Inputs'!$B$29+'Inputs'!$B$31+'Inputs'!$B$32,'Inputs'!$B$30+'Inputs'!$B$31+'Inputs'!$B$32)/1000+'Inputs'!$B$21+'Inputs'!$B$7+'Inputs'!$B$10))^2+('Inputs'!$B$8/2)^2))))*'Results'!$B$8))),"")</x:f>
        <x:v>13.51138027060547</x:v>
      </x:c>
      <x:c r="L383" t="n">
        <x:f>IF(AND(ISNUMBER('Results'!B7),ISNUMBER('Results'!C7),ISNUMBER('Results'!$B$8),ISNUMBER('Inputs'!$B$6),ISNUMBER('Inputs'!$B$7),ISNUMBER('Inputs'!$B$8),ISNUMBER('Inputs'!$B$9),ISNUMBER('Inputs'!$B$10),ISNUMBER('Inputs'!$B$21),ISNUMBER('Inputs'!$B$24),ISNUMBER('Inputs'!$B$28)),((('Results'!B7*(1+'Inputs'!$B$24)*(0.5*((((383-43)*MAX('Inputs'!$B$33,'Inputs'!$B$29+'Inputs'!$B$31+'Inputs'!$B$32,'Inputs'!$B$30+'Inputs'!$B$31+'Inputs'!$B$32)/1000+'Inputs'!$B$21)+'Inputs'!$B$7)/SQRT((((383-43)*MAX('Inputs'!$B$33,'Inputs'!$B$29+'Inputs'!$B$31+'Inputs'!$B$32,'Inputs'!$B$30+'Inputs'!$B$31+'Inputs'!$B$32)/1000+'Inputs'!$B$21)+'Inputs'!$B$7)^2+('Inputs'!$B$6/2)^2)-(((383-43)*MAX('Inputs'!$B$33,'Inputs'!$B$29+'Inputs'!$B$31+'Inputs'!$B$32,'Inputs'!$B$30+'Inputs'!$B$31+'Inputs'!$B$32)/1000+'Inputs'!$B$21))/SQRT((((383-43)*MAX('Inputs'!$B$33,'Inputs'!$B$29+'Inputs'!$B$31+'Inputs'!$B$32,'Inputs'!$B$30+'Inputs'!$B$31+'Inputs'!$B$32)/1000+'Inputs'!$B$21))^2+('Inputs'!$B$6/2)^2)))-'Results'!C7*(1-'Inputs'!$B$24)*(0.5*((((383-43)*MAX('Inputs'!$B$33,'Inputs'!$B$29+'Inputs'!$B$31+'Inputs'!$B$32,'Inputs'!$B$30+'Inputs'!$B$31+'Inputs'!$B$32)/1000+'Inputs'!$B$21+'Inputs'!$B$7+'Inputs'!$B$10)+'Inputs'!$B$9)/SQRT((((383-43)*MAX('Inputs'!$B$33,'Inputs'!$B$29+'Inputs'!$B$31+'Inputs'!$B$32,'Inputs'!$B$30+'Inputs'!$B$31+'Inputs'!$B$32)/1000+'Inputs'!$B$21+'Inputs'!$B$7+'Inputs'!$B$10)+'Inputs'!$B$9)^2+('Inputs'!$B$8/2)^2)-(((383-43)*MAX('Inputs'!$B$33,'Inputs'!$B$29+'Inputs'!$B$31+'Inputs'!$B$32,'Inputs'!$B$30+'Inputs'!$B$31+'Inputs'!$B$32)/1000+'Inputs'!$B$21+'Inputs'!$B$7+'Inputs'!$B$10))/SQRT((((383-43)*MAX('Inputs'!$B$33,'Inputs'!$B$29+'Inputs'!$B$31+'Inputs'!$B$32,'Inputs'!$B$30+'Inputs'!$B$31+'Inputs'!$B$32)/1000+'Inputs'!$B$21+'Inputs'!$B$7+'Inputs'!$B$10))^2+('Inputs'!$B$8/2)^2))))*'Results'!$B$8)+'Inputs'!$B$28*ABS((('Results'!B7*(1+'Inputs'!$B$24)*(0.5*((((383-43)*MAX('Inputs'!$B$33,'Inputs'!$B$29+'Inputs'!$B$31+'Inputs'!$B$32,'Inputs'!$B$30+'Inputs'!$B$31+'Inputs'!$B$32)/1000+'Inputs'!$B$21)+'Inputs'!$B$7)/SQRT((((383-43)*MAX('Inputs'!$B$33,'Inputs'!$B$29+'Inputs'!$B$31+'Inputs'!$B$32,'Inputs'!$B$30+'Inputs'!$B$31+'Inputs'!$B$32)/1000+'Inputs'!$B$21)+'Inputs'!$B$7)^2+('Inputs'!$B$6/2)^2)-(((383-43)*MAX('Inputs'!$B$33,'Inputs'!$B$29+'Inputs'!$B$31+'Inputs'!$B$32,'Inputs'!$B$30+'Inputs'!$B$31+'Inputs'!$B$32)/1000+'Inputs'!$B$21))/SQRT((((383-43)*MAX('Inputs'!$B$33,'Inputs'!$B$29+'Inputs'!$B$31+'Inputs'!$B$32,'Inputs'!$B$30+'Inputs'!$B$31+'Inputs'!$B$32)/1000+'Inputs'!$B$21))^2+('Inputs'!$B$6/2)^2)))-'Results'!C7*(1-'Inputs'!$B$24)*(0.5*((((383-43)*MAX('Inputs'!$B$33,'Inputs'!$B$29+'Inputs'!$B$31+'Inputs'!$B$32,'Inputs'!$B$30+'Inputs'!$B$31+'Inputs'!$B$32)/1000+'Inputs'!$B$21+'Inputs'!$B$7+'Inputs'!$B$10)+'Inputs'!$B$9)/SQRT((((383-43)*MAX('Inputs'!$B$33,'Inputs'!$B$29+'Inputs'!$B$31+'Inputs'!$B$32,'Inputs'!$B$30+'Inputs'!$B$31+'Inputs'!$B$32)/1000+'Inputs'!$B$21+'Inputs'!$B$7+'Inputs'!$B$10)+'Inputs'!$B$9)^2+('Inputs'!$B$8/2)^2)-(((383-43)*MAX('Inputs'!$B$33,'Inputs'!$B$29+'Inputs'!$B$31+'Inputs'!$B$32,'Inputs'!$B$30+'Inputs'!$B$31+'Inputs'!$B$32)/1000+'Inputs'!$B$21+'Inputs'!$B$7+'Inputs'!$B$10))/SQRT((((383-43)*MAX('Inputs'!$B$33,'Inputs'!$B$29+'Inputs'!$B$31+'Inputs'!$B$32,'Inputs'!$B$30+'Inputs'!$B$31+'Inputs'!$B$32)/1000+'Inputs'!$B$21+'Inputs'!$B$7+'Inputs'!$B$10))^2+('Inputs'!$B$8/2)^2))))*'Results'!$B$8))),"")</x:f>
        <x:v>16.550144327873998</x:v>
      </x:c>
      <x:c r="M383" t="n">
        <x:f>IF(AND(ISNUMBER('Results'!C7),ISNUMBER('Results'!B7),ISNUMBER('Results'!$B$8),ISNUMBER('Inputs'!$B$6),ISNUMBER('Inputs'!$B$7),ISNUMBER('Inputs'!$B$8),ISNUMBER('Inputs'!$B$9),ISNUMBER('Inputs'!$B$10),ISNUMBER('Inputs'!$B$21),ISNUMBER('Inputs'!$B$24),ISNUMBER('Inputs'!$B$28)),(('Results'!C7*(0.5*((((383-43)*MAX('Inputs'!$B$33,'Inputs'!$B$29+'Inputs'!$B$31+'Inputs'!$B$32,'Inputs'!$B$30+'Inputs'!$B$31+'Inputs'!$B$32)/1000+'Inputs'!$B$21)+'Inputs'!$B$9)/SQRT((((383-43)*MAX('Inputs'!$B$33,'Inputs'!$B$29+'Inputs'!$B$31+'Inputs'!$B$32,'Inputs'!$B$30+'Inputs'!$B$31+'Inputs'!$B$32)/1000+'Inputs'!$B$21)+'Inputs'!$B$9)^2+('Inputs'!$B$8/2)^2)-(((383-43)*MAX('Inputs'!$B$33,'Inputs'!$B$29+'Inputs'!$B$31+'Inputs'!$B$32,'Inputs'!$B$30+'Inputs'!$B$31+'Inputs'!$B$32)/1000+'Inputs'!$B$21))/SQRT((((383-43)*MAX('Inputs'!$B$33,'Inputs'!$B$29+'Inputs'!$B$31+'Inputs'!$B$32,'Inputs'!$B$30+'Inputs'!$B$31+'Inputs'!$B$32)/1000+'Inputs'!$B$21))^2+('Inputs'!$B$8/2)^2)))-'Results'!B7*(0.5*((((383-43)*MAX('Inputs'!$B$33,'Inputs'!$B$29+'Inputs'!$B$31+'Inputs'!$B$32,'Inputs'!$B$30+'Inputs'!$B$31+'Inputs'!$B$32)/1000+'Inputs'!$B$21+'Inputs'!$B$9+'Inputs'!$B$10)+'Inputs'!$B$7)/SQRT((((383-43)*MAX('Inputs'!$B$33,'Inputs'!$B$29+'Inputs'!$B$31+'Inputs'!$B$32,'Inputs'!$B$30+'Inputs'!$B$31+'Inputs'!$B$32)/1000+'Inputs'!$B$21+'Inputs'!$B$9+'Inputs'!$B$10)+'Inputs'!$B$7)^2+('Inputs'!$B$6/2)^2)-(((383-43)*MAX('Inputs'!$B$33,'Inputs'!$B$29+'Inputs'!$B$31+'Inputs'!$B$32,'Inputs'!$B$30+'Inputs'!$B$31+'Inputs'!$B$32)/1000+'Inputs'!$B$21+'Inputs'!$B$9+'Inputs'!$B$10))/SQRT((((383-43)*MAX('Inputs'!$B$33,'Inputs'!$B$29+'Inputs'!$B$31+'Inputs'!$B$32,'Inputs'!$B$30+'Inputs'!$B$31+'Inputs'!$B$32)/1000+'Inputs'!$B$21+'Inputs'!$B$9+'Inputs'!$B$10))^2+('Inputs'!$B$6/2)^2))))*'Results'!$B$8),"")</x:f>
        <x:v>14.217710416813329</x:v>
      </x:c>
      <x:c r="N383" t="n">
        <x:f>IF(AND(ISNUMBER('Results'!C7),ISNUMBER('Results'!B7),ISNUMBER('Results'!$B$8),ISNUMBER('Inputs'!$B$6),ISNUMBER('Inputs'!$B$7),ISNUMBER('Inputs'!$B$8),ISNUMBER('Inputs'!$B$9),ISNUMBER('Inputs'!$B$10),ISNUMBER('Inputs'!$B$21),ISNUMBER('Inputs'!$B$24),ISNUMBER('Inputs'!$B$28)),((('Results'!C7*(1-'Inputs'!$B$24)*(0.5*((((383-43)*MAX('Inputs'!$B$33,'Inputs'!$B$29+'Inputs'!$B$31+'Inputs'!$B$32,'Inputs'!$B$30+'Inputs'!$B$31+'Inputs'!$B$32)/1000+'Inputs'!$B$21)+'Inputs'!$B$9)/SQRT((((383-43)*MAX('Inputs'!$B$33,'Inputs'!$B$29+'Inputs'!$B$31+'Inputs'!$B$32,'Inputs'!$B$30+'Inputs'!$B$31+'Inputs'!$B$32)/1000+'Inputs'!$B$21)+'Inputs'!$B$9)^2+('Inputs'!$B$8/2)^2)-(((383-43)*MAX('Inputs'!$B$33,'Inputs'!$B$29+'Inputs'!$B$31+'Inputs'!$B$32,'Inputs'!$B$30+'Inputs'!$B$31+'Inputs'!$B$32)/1000+'Inputs'!$B$21))/SQRT((((383-43)*MAX('Inputs'!$B$33,'Inputs'!$B$29+'Inputs'!$B$31+'Inputs'!$B$32,'Inputs'!$B$30+'Inputs'!$B$31+'Inputs'!$B$32)/1000+'Inputs'!$B$21))^2+('Inputs'!$B$8/2)^2)))-'Results'!B7*(1+'Inputs'!$B$24)*(0.5*((((383-43)*MAX('Inputs'!$B$33,'Inputs'!$B$29+'Inputs'!$B$31+'Inputs'!$B$32,'Inputs'!$B$30+'Inputs'!$B$31+'Inputs'!$B$32)/1000+'Inputs'!$B$21+'Inputs'!$B$9+'Inputs'!$B$10)+'Inputs'!$B$7)/SQRT((((383-43)*MAX('Inputs'!$B$33,'Inputs'!$B$29+'Inputs'!$B$31+'Inputs'!$B$32,'Inputs'!$B$30+'Inputs'!$B$31+'Inputs'!$B$32)/1000+'Inputs'!$B$21+'Inputs'!$B$9+'Inputs'!$B$10)+'Inputs'!$B$7)^2+('Inputs'!$B$6/2)^2)-(((383-43)*MAX('Inputs'!$B$33,'Inputs'!$B$29+'Inputs'!$B$31+'Inputs'!$B$32,'Inputs'!$B$30+'Inputs'!$B$31+'Inputs'!$B$32)/1000+'Inputs'!$B$21+'Inputs'!$B$9+'Inputs'!$B$10))/SQRT((((383-43)*MAX('Inputs'!$B$33,'Inputs'!$B$29+'Inputs'!$B$31+'Inputs'!$B$32,'Inputs'!$B$30+'Inputs'!$B$31+'Inputs'!$B$32)/1000+'Inputs'!$B$21+'Inputs'!$B$9+'Inputs'!$B$10))^2+('Inputs'!$B$6/2)^2))))*'Results'!$B$8)-'Inputs'!$B$28*ABS((('Results'!C7*(1-'Inputs'!$B$24)*(0.5*((((383-43)*MAX('Inputs'!$B$33,'Inputs'!$B$29+'Inputs'!$B$31+'Inputs'!$B$32,'Inputs'!$B$30+'Inputs'!$B$31+'Inputs'!$B$32)/1000+'Inputs'!$B$21)+'Inputs'!$B$9)/SQRT((((383-43)*MAX('Inputs'!$B$33,'Inputs'!$B$29+'Inputs'!$B$31+'Inputs'!$B$32,'Inputs'!$B$30+'Inputs'!$B$31+'Inputs'!$B$32)/1000+'Inputs'!$B$21)+'Inputs'!$B$9)^2+('Inputs'!$B$8/2)^2)-(((383-43)*MAX('Inputs'!$B$33,'Inputs'!$B$29+'Inputs'!$B$31+'Inputs'!$B$32,'Inputs'!$B$30+'Inputs'!$B$31+'Inputs'!$B$32)/1000+'Inputs'!$B$21))/SQRT((((383-43)*MAX('Inputs'!$B$33,'Inputs'!$B$29+'Inputs'!$B$31+'Inputs'!$B$32,'Inputs'!$B$30+'Inputs'!$B$31+'Inputs'!$B$32)/1000+'Inputs'!$B$21))^2+('Inputs'!$B$8/2)^2)))-'Results'!B7*(1+'Inputs'!$B$24)*(0.5*((((383-43)*MAX('Inputs'!$B$33,'Inputs'!$B$29+'Inputs'!$B$31+'Inputs'!$B$32,'Inputs'!$B$30+'Inputs'!$B$31+'Inputs'!$B$32)/1000+'Inputs'!$B$21+'Inputs'!$B$9+'Inputs'!$B$10)+'Inputs'!$B$7)/SQRT((((383-43)*MAX('Inputs'!$B$33,'Inputs'!$B$29+'Inputs'!$B$31+'Inputs'!$B$32,'Inputs'!$B$30+'Inputs'!$B$31+'Inputs'!$B$32)/1000+'Inputs'!$B$21+'Inputs'!$B$9+'Inputs'!$B$10)+'Inputs'!$B$7)^2+('Inputs'!$B$6/2)^2)-(((383-43)*MAX('Inputs'!$B$33,'Inputs'!$B$29+'Inputs'!$B$31+'Inputs'!$B$32,'Inputs'!$B$30+'Inputs'!$B$31+'Inputs'!$B$32)/1000+'Inputs'!$B$21+'Inputs'!$B$9+'Inputs'!$B$10))/SQRT((((383-43)*MAX('Inputs'!$B$33,'Inputs'!$B$29+'Inputs'!$B$31+'Inputs'!$B$32,'Inputs'!$B$30+'Inputs'!$B$31+'Inputs'!$B$32)/1000+'Inputs'!$B$21+'Inputs'!$B$9+'Inputs'!$B$10))^2+('Inputs'!$B$6/2)^2))))*'Results'!$B$8))),"")</x:f>
        <x:v>12.781150934772237</x:v>
      </x:c>
      <x:c r="O383" t="n">
        <x:f>IF(AND(ISNUMBER('Results'!C7),ISNUMBER('Results'!B7),ISNUMBER('Results'!$B$8),ISNUMBER('Inputs'!$B$6),ISNUMBER('Inputs'!$B$7),ISNUMBER('Inputs'!$B$8),ISNUMBER('Inputs'!$B$9),ISNUMBER('Inputs'!$B$10),ISNUMBER('Inputs'!$B$21),ISNUMBER('Inputs'!$B$24),ISNUMBER('Inputs'!$B$28)),((('Results'!C7*(1+'Inputs'!$B$24)*(0.5*((((383-43)*MAX('Inputs'!$B$33,'Inputs'!$B$29+'Inputs'!$B$31+'Inputs'!$B$32,'Inputs'!$B$30+'Inputs'!$B$31+'Inputs'!$B$32)/1000+'Inputs'!$B$21)+'Inputs'!$B$9)/SQRT((((383-43)*MAX('Inputs'!$B$33,'Inputs'!$B$29+'Inputs'!$B$31+'Inputs'!$B$32,'Inputs'!$B$30+'Inputs'!$B$31+'Inputs'!$B$32)/1000+'Inputs'!$B$21)+'Inputs'!$B$9)^2+('Inputs'!$B$8/2)^2)-(((383-43)*MAX('Inputs'!$B$33,'Inputs'!$B$29+'Inputs'!$B$31+'Inputs'!$B$32,'Inputs'!$B$30+'Inputs'!$B$31+'Inputs'!$B$32)/1000+'Inputs'!$B$21))/SQRT((((383-43)*MAX('Inputs'!$B$33,'Inputs'!$B$29+'Inputs'!$B$31+'Inputs'!$B$32,'Inputs'!$B$30+'Inputs'!$B$31+'Inputs'!$B$32)/1000+'Inputs'!$B$21))^2+('Inputs'!$B$8/2)^2)))-'Results'!B7*(1-'Inputs'!$B$24)*(0.5*((((383-43)*MAX('Inputs'!$B$33,'Inputs'!$B$29+'Inputs'!$B$31+'Inputs'!$B$32,'Inputs'!$B$30+'Inputs'!$B$31+'Inputs'!$B$32)/1000+'Inputs'!$B$21+'Inputs'!$B$9+'Inputs'!$B$10)+'Inputs'!$B$7)/SQRT((((383-43)*MAX('Inputs'!$B$33,'Inputs'!$B$29+'Inputs'!$B$31+'Inputs'!$B$32,'Inputs'!$B$30+'Inputs'!$B$31+'Inputs'!$B$32)/1000+'Inputs'!$B$21+'Inputs'!$B$9+'Inputs'!$B$10)+'Inputs'!$B$7)^2+('Inputs'!$B$6/2)^2)-(((383-43)*MAX('Inputs'!$B$33,'Inputs'!$B$29+'Inputs'!$B$31+'Inputs'!$B$32,'Inputs'!$B$30+'Inputs'!$B$31+'Inputs'!$B$32)/1000+'Inputs'!$B$21+'Inputs'!$B$9+'Inputs'!$B$10))/SQRT((((383-43)*MAX('Inputs'!$B$33,'Inputs'!$B$29+'Inputs'!$B$31+'Inputs'!$B$32,'Inputs'!$B$30+'Inputs'!$B$31+'Inputs'!$B$32)/1000+'Inputs'!$B$21+'Inputs'!$B$9+'Inputs'!$B$10))^2+('Inputs'!$B$6/2)^2))))*'Results'!$B$8)+'Inputs'!$B$28*ABS((('Results'!C7*(1+'Inputs'!$B$24)*(0.5*((((383-43)*MAX('Inputs'!$B$33,'Inputs'!$B$29+'Inputs'!$B$31+'Inputs'!$B$32,'Inputs'!$B$30+'Inputs'!$B$31+'Inputs'!$B$32)/1000+'Inputs'!$B$21)+'Inputs'!$B$9)/SQRT((((383-43)*MAX('Inputs'!$B$33,'Inputs'!$B$29+'Inputs'!$B$31+'Inputs'!$B$32,'Inputs'!$B$30+'Inputs'!$B$31+'Inputs'!$B$32)/1000+'Inputs'!$B$21)+'Inputs'!$B$9)^2+('Inputs'!$B$8/2)^2)-(((383-43)*MAX('Inputs'!$B$33,'Inputs'!$B$29+'Inputs'!$B$31+'Inputs'!$B$32,'Inputs'!$B$30+'Inputs'!$B$31+'Inputs'!$B$32)/1000+'Inputs'!$B$21))/SQRT((((383-43)*MAX('Inputs'!$B$33,'Inputs'!$B$29+'Inputs'!$B$31+'Inputs'!$B$32,'Inputs'!$B$30+'Inputs'!$B$31+'Inputs'!$B$32)/1000+'Inputs'!$B$21))^2+('Inputs'!$B$8/2)^2)))-'Results'!B7*(1-'Inputs'!$B$24)*(0.5*((((383-43)*MAX('Inputs'!$B$33,'Inputs'!$B$29+'Inputs'!$B$31+'Inputs'!$B$32,'Inputs'!$B$30+'Inputs'!$B$31+'Inputs'!$B$32)/1000+'Inputs'!$B$21+'Inputs'!$B$9+'Inputs'!$B$10)+'Inputs'!$B$7)/SQRT((((383-43)*MAX('Inputs'!$B$33,'Inputs'!$B$29+'Inputs'!$B$31+'Inputs'!$B$32,'Inputs'!$B$30+'Inputs'!$B$31+'Inputs'!$B$32)/1000+'Inputs'!$B$21+'Inputs'!$B$9+'Inputs'!$B$10)+'Inputs'!$B$7)^2+('Inputs'!$B$6/2)^2)-(((383-43)*MAX('Inputs'!$B$33,'Inputs'!$B$29+'Inputs'!$B$31+'Inputs'!$B$32,'Inputs'!$B$30+'Inputs'!$B$31+'Inputs'!$B$32)/1000+'Inputs'!$B$21+'Inputs'!$B$9+'Inputs'!$B$10))/SQRT((((383-43)*MAX('Inputs'!$B$33,'Inputs'!$B$29+'Inputs'!$B$31+'Inputs'!$B$32,'Inputs'!$B$30+'Inputs'!$B$31+'Inputs'!$B$32)/1000+'Inputs'!$B$21+'Inputs'!$B$9+'Inputs'!$B$10))^2+('Inputs'!$B$6/2)^2))))*'Results'!$B$8))),"")</x:f>
        <x:v>15.730656631612357</x:v>
      </x:c>
      <x:c r="P383" t="n">
        <x:f>IF(AND(MAX(J383,J382)&gt;0,J383&gt;J382+0.00000001),1,0)</x:f>
        <x:v>0</x:v>
      </x:c>
      <x:c r="Q383" t="n">
        <x:f>IF(AND(MAX(K383,K382)&gt;0,K383&gt;K382+0.00000001),1,0)</x:f>
        <x:v>0</x:v>
      </x:c>
      <x:c r="R383" t="n">
        <x:f>IF(AND(MAX(L383,L382)&gt;0,L383&gt;L382+0.00000001),1,0)</x:f>
        <x:v>0</x:v>
      </x:c>
      <x:c r="S383" t="n">
        <x:f>IF(AND(MAX(M383,M382)&gt;0,M383&gt;M382+0.00000001),1,0)</x:f>
        <x:v>0</x:v>
      </x:c>
      <x:c r="T383" t="n">
        <x:f>IF(AND(MAX(N383,N382)&gt;0,N383&gt;N382+0.00000001),1,0)</x:f>
        <x:v>0</x:v>
      </x:c>
      <x:c r="U383" t="n">
        <x:f>IF(AND(MAX(O383,O382)&gt;0,O383&gt;O382+0.00000001),1,0)</x:f>
        <x:v>0</x:v>
      </x:c>
    </x:row>
    <x:row r="384">
      <x:c r="J384" t="n">
        <x:f>IF(AND(ISNUMBER('Results'!B7),ISNUMBER('Results'!C7),ISNUMBER('Results'!$B$8),ISNUMBER('Inputs'!$B$6),ISNUMBER('Inputs'!$B$7),ISNUMBER('Inputs'!$B$8),ISNUMBER('Inputs'!$B$9),ISNUMBER('Inputs'!$B$10),ISNUMBER('Inputs'!$B$21),ISNUMBER('Inputs'!$B$24),ISNUMBER('Inputs'!$B$28)),(('Results'!B7*(0.5*((((384-43)*MAX('Inputs'!$B$33,'Inputs'!$B$29+'Inputs'!$B$31+'Inputs'!$B$32,'Inputs'!$B$30+'Inputs'!$B$31+'Inputs'!$B$32)/1000+'Inputs'!$B$21)+'Inputs'!$B$7)/SQRT((((384-43)*MAX('Inputs'!$B$33,'Inputs'!$B$29+'Inputs'!$B$31+'Inputs'!$B$32,'Inputs'!$B$30+'Inputs'!$B$31+'Inputs'!$B$32)/1000+'Inputs'!$B$21)+'Inputs'!$B$7)^2+('Inputs'!$B$6/2)^2)-(((384-43)*MAX('Inputs'!$B$33,'Inputs'!$B$29+'Inputs'!$B$31+'Inputs'!$B$32,'Inputs'!$B$30+'Inputs'!$B$31+'Inputs'!$B$32)/1000+'Inputs'!$B$21))/SQRT((((384-43)*MAX('Inputs'!$B$33,'Inputs'!$B$29+'Inputs'!$B$31+'Inputs'!$B$32,'Inputs'!$B$30+'Inputs'!$B$31+'Inputs'!$B$32)/1000+'Inputs'!$B$21))^2+('Inputs'!$B$6/2)^2)))-'Results'!C7*(0.5*((((384-43)*MAX('Inputs'!$B$33,'Inputs'!$B$29+'Inputs'!$B$31+'Inputs'!$B$32,'Inputs'!$B$30+'Inputs'!$B$31+'Inputs'!$B$32)/1000+'Inputs'!$B$21+'Inputs'!$B$7+'Inputs'!$B$10)+'Inputs'!$B$9)/SQRT((((384-43)*MAX('Inputs'!$B$33,'Inputs'!$B$29+'Inputs'!$B$31+'Inputs'!$B$32,'Inputs'!$B$30+'Inputs'!$B$31+'Inputs'!$B$32)/1000+'Inputs'!$B$21+'Inputs'!$B$7+'Inputs'!$B$10)+'Inputs'!$B$9)^2+('Inputs'!$B$8/2)^2)-(((384-43)*MAX('Inputs'!$B$33,'Inputs'!$B$29+'Inputs'!$B$31+'Inputs'!$B$32,'Inputs'!$B$30+'Inputs'!$B$31+'Inputs'!$B$32)/1000+'Inputs'!$B$21+'Inputs'!$B$7+'Inputs'!$B$10))/SQRT((((384-43)*MAX('Inputs'!$B$33,'Inputs'!$B$29+'Inputs'!$B$31+'Inputs'!$B$32,'Inputs'!$B$30+'Inputs'!$B$31+'Inputs'!$B$32)/1000+'Inputs'!$B$21+'Inputs'!$B$7+'Inputs'!$B$10))^2+('Inputs'!$B$8/2)^2))))*'Results'!$B$8),"")</x:f>
        <x:v>14.852181686135756</x:v>
      </x:c>
      <x:c r="K384" t="n">
        <x:f>IF(AND(ISNUMBER('Results'!B7),ISNUMBER('Results'!C7),ISNUMBER('Results'!$B$8),ISNUMBER('Inputs'!$B$6),ISNUMBER('Inputs'!$B$7),ISNUMBER('Inputs'!$B$8),ISNUMBER('Inputs'!$B$9),ISNUMBER('Inputs'!$B$10),ISNUMBER('Inputs'!$B$21),ISNUMBER('Inputs'!$B$24),ISNUMBER('Inputs'!$B$28)),((('Results'!B7*(1-'Inputs'!$B$24)*(0.5*((((384-43)*MAX('Inputs'!$B$33,'Inputs'!$B$29+'Inputs'!$B$31+'Inputs'!$B$32,'Inputs'!$B$30+'Inputs'!$B$31+'Inputs'!$B$32)/1000+'Inputs'!$B$21)+'Inputs'!$B$7)/SQRT((((384-43)*MAX('Inputs'!$B$33,'Inputs'!$B$29+'Inputs'!$B$31+'Inputs'!$B$32,'Inputs'!$B$30+'Inputs'!$B$31+'Inputs'!$B$32)/1000+'Inputs'!$B$21)+'Inputs'!$B$7)^2+('Inputs'!$B$6/2)^2)-(((384-43)*MAX('Inputs'!$B$33,'Inputs'!$B$29+'Inputs'!$B$31+'Inputs'!$B$32,'Inputs'!$B$30+'Inputs'!$B$31+'Inputs'!$B$32)/1000+'Inputs'!$B$21))/SQRT((((384-43)*MAX('Inputs'!$B$33,'Inputs'!$B$29+'Inputs'!$B$31+'Inputs'!$B$32,'Inputs'!$B$30+'Inputs'!$B$31+'Inputs'!$B$32)/1000+'Inputs'!$B$21))^2+('Inputs'!$B$6/2)^2)))-'Results'!C7*(1+'Inputs'!$B$24)*(0.5*((((384-43)*MAX('Inputs'!$B$33,'Inputs'!$B$29+'Inputs'!$B$31+'Inputs'!$B$32,'Inputs'!$B$30+'Inputs'!$B$31+'Inputs'!$B$32)/1000+'Inputs'!$B$21+'Inputs'!$B$7+'Inputs'!$B$10)+'Inputs'!$B$9)/SQRT((((384-43)*MAX('Inputs'!$B$33,'Inputs'!$B$29+'Inputs'!$B$31+'Inputs'!$B$32,'Inputs'!$B$30+'Inputs'!$B$31+'Inputs'!$B$32)/1000+'Inputs'!$B$21+'Inputs'!$B$7+'Inputs'!$B$10)+'Inputs'!$B$9)^2+('Inputs'!$B$8/2)^2)-(((384-43)*MAX('Inputs'!$B$33,'Inputs'!$B$29+'Inputs'!$B$31+'Inputs'!$B$32,'Inputs'!$B$30+'Inputs'!$B$31+'Inputs'!$B$32)/1000+'Inputs'!$B$21+'Inputs'!$B$7+'Inputs'!$B$10))/SQRT((((384-43)*MAX('Inputs'!$B$33,'Inputs'!$B$29+'Inputs'!$B$31+'Inputs'!$B$32,'Inputs'!$B$30+'Inputs'!$B$31+'Inputs'!$B$32)/1000+'Inputs'!$B$21+'Inputs'!$B$7+'Inputs'!$B$10))^2+('Inputs'!$B$8/2)^2))))*'Results'!$B$8)-'Inputs'!$B$28*ABS((('Results'!B7*(1-'Inputs'!$B$24)*(0.5*((((384-43)*MAX('Inputs'!$B$33,'Inputs'!$B$29+'Inputs'!$B$31+'Inputs'!$B$32,'Inputs'!$B$30+'Inputs'!$B$31+'Inputs'!$B$32)/1000+'Inputs'!$B$21)+'Inputs'!$B$7)/SQRT((((384-43)*MAX('Inputs'!$B$33,'Inputs'!$B$29+'Inputs'!$B$31+'Inputs'!$B$32,'Inputs'!$B$30+'Inputs'!$B$31+'Inputs'!$B$32)/1000+'Inputs'!$B$21)+'Inputs'!$B$7)^2+('Inputs'!$B$6/2)^2)-(((384-43)*MAX('Inputs'!$B$33,'Inputs'!$B$29+'Inputs'!$B$31+'Inputs'!$B$32,'Inputs'!$B$30+'Inputs'!$B$31+'Inputs'!$B$32)/1000+'Inputs'!$B$21))/SQRT((((384-43)*MAX('Inputs'!$B$33,'Inputs'!$B$29+'Inputs'!$B$31+'Inputs'!$B$32,'Inputs'!$B$30+'Inputs'!$B$31+'Inputs'!$B$32)/1000+'Inputs'!$B$21))^2+('Inputs'!$B$6/2)^2)))-'Results'!C7*(1+'Inputs'!$B$24)*(0.5*((((384-43)*MAX('Inputs'!$B$33,'Inputs'!$B$29+'Inputs'!$B$31+'Inputs'!$B$32,'Inputs'!$B$30+'Inputs'!$B$31+'Inputs'!$B$32)/1000+'Inputs'!$B$21+'Inputs'!$B$7+'Inputs'!$B$10)+'Inputs'!$B$9)/SQRT((((384-43)*MAX('Inputs'!$B$33,'Inputs'!$B$29+'Inputs'!$B$31+'Inputs'!$B$32,'Inputs'!$B$30+'Inputs'!$B$31+'Inputs'!$B$32)/1000+'Inputs'!$B$21+'Inputs'!$B$7+'Inputs'!$B$10)+'Inputs'!$B$9)^2+('Inputs'!$B$8/2)^2)-(((384-43)*MAX('Inputs'!$B$33,'Inputs'!$B$29+'Inputs'!$B$31+'Inputs'!$B$32,'Inputs'!$B$30+'Inputs'!$B$31+'Inputs'!$B$32)/1000+'Inputs'!$B$21+'Inputs'!$B$7+'Inputs'!$B$10))/SQRT((((384-43)*MAX('Inputs'!$B$33,'Inputs'!$B$29+'Inputs'!$B$31+'Inputs'!$B$32,'Inputs'!$B$30+'Inputs'!$B$31+'Inputs'!$B$32)/1000+'Inputs'!$B$21+'Inputs'!$B$7+'Inputs'!$B$10))^2+('Inputs'!$B$8/2)^2))))*'Results'!$B$8))),"")</x:f>
        <x:v>13.3836945598672</x:v>
      </x:c>
      <x:c r="L384" t="n">
        <x:f>IF(AND(ISNUMBER('Results'!B7),ISNUMBER('Results'!C7),ISNUMBER('Results'!$B$8),ISNUMBER('Inputs'!$B$6),ISNUMBER('Inputs'!$B$7),ISNUMBER('Inputs'!$B$8),ISNUMBER('Inputs'!$B$9),ISNUMBER('Inputs'!$B$10),ISNUMBER('Inputs'!$B$21),ISNUMBER('Inputs'!$B$24),ISNUMBER('Inputs'!$B$28)),((('Results'!B7*(1+'Inputs'!$B$24)*(0.5*((((384-43)*MAX('Inputs'!$B$33,'Inputs'!$B$29+'Inputs'!$B$31+'Inputs'!$B$32,'Inputs'!$B$30+'Inputs'!$B$31+'Inputs'!$B$32)/1000+'Inputs'!$B$21)+'Inputs'!$B$7)/SQRT((((384-43)*MAX('Inputs'!$B$33,'Inputs'!$B$29+'Inputs'!$B$31+'Inputs'!$B$32,'Inputs'!$B$30+'Inputs'!$B$31+'Inputs'!$B$32)/1000+'Inputs'!$B$21)+'Inputs'!$B$7)^2+('Inputs'!$B$6/2)^2)-(((384-43)*MAX('Inputs'!$B$33,'Inputs'!$B$29+'Inputs'!$B$31+'Inputs'!$B$32,'Inputs'!$B$30+'Inputs'!$B$31+'Inputs'!$B$32)/1000+'Inputs'!$B$21))/SQRT((((384-43)*MAX('Inputs'!$B$33,'Inputs'!$B$29+'Inputs'!$B$31+'Inputs'!$B$32,'Inputs'!$B$30+'Inputs'!$B$31+'Inputs'!$B$32)/1000+'Inputs'!$B$21))^2+('Inputs'!$B$6/2)^2)))-'Results'!C7*(1-'Inputs'!$B$24)*(0.5*((((384-43)*MAX('Inputs'!$B$33,'Inputs'!$B$29+'Inputs'!$B$31+'Inputs'!$B$32,'Inputs'!$B$30+'Inputs'!$B$31+'Inputs'!$B$32)/1000+'Inputs'!$B$21+'Inputs'!$B$7+'Inputs'!$B$10)+'Inputs'!$B$9)/SQRT((((384-43)*MAX('Inputs'!$B$33,'Inputs'!$B$29+'Inputs'!$B$31+'Inputs'!$B$32,'Inputs'!$B$30+'Inputs'!$B$31+'Inputs'!$B$32)/1000+'Inputs'!$B$21+'Inputs'!$B$7+'Inputs'!$B$10)+'Inputs'!$B$9)^2+('Inputs'!$B$8/2)^2)-(((384-43)*MAX('Inputs'!$B$33,'Inputs'!$B$29+'Inputs'!$B$31+'Inputs'!$B$32,'Inputs'!$B$30+'Inputs'!$B$31+'Inputs'!$B$32)/1000+'Inputs'!$B$21+'Inputs'!$B$7+'Inputs'!$B$10))/SQRT((((384-43)*MAX('Inputs'!$B$33,'Inputs'!$B$29+'Inputs'!$B$31+'Inputs'!$B$32,'Inputs'!$B$30+'Inputs'!$B$31+'Inputs'!$B$32)/1000+'Inputs'!$B$21+'Inputs'!$B$7+'Inputs'!$B$10))^2+('Inputs'!$B$8/2)^2))))*'Results'!$B$8)+'Inputs'!$B$28*ABS((('Results'!B7*(1+'Inputs'!$B$24)*(0.5*((((384-43)*MAX('Inputs'!$B$33,'Inputs'!$B$29+'Inputs'!$B$31+'Inputs'!$B$32,'Inputs'!$B$30+'Inputs'!$B$31+'Inputs'!$B$32)/1000+'Inputs'!$B$21)+'Inputs'!$B$7)/SQRT((((384-43)*MAX('Inputs'!$B$33,'Inputs'!$B$29+'Inputs'!$B$31+'Inputs'!$B$32,'Inputs'!$B$30+'Inputs'!$B$31+'Inputs'!$B$32)/1000+'Inputs'!$B$21)+'Inputs'!$B$7)^2+('Inputs'!$B$6/2)^2)-(((384-43)*MAX('Inputs'!$B$33,'Inputs'!$B$29+'Inputs'!$B$31+'Inputs'!$B$32,'Inputs'!$B$30+'Inputs'!$B$31+'Inputs'!$B$32)/1000+'Inputs'!$B$21))/SQRT((((384-43)*MAX('Inputs'!$B$33,'Inputs'!$B$29+'Inputs'!$B$31+'Inputs'!$B$32,'Inputs'!$B$30+'Inputs'!$B$31+'Inputs'!$B$32)/1000+'Inputs'!$B$21))^2+('Inputs'!$B$6/2)^2)))-'Results'!C7*(1-'Inputs'!$B$24)*(0.5*((((384-43)*MAX('Inputs'!$B$33,'Inputs'!$B$29+'Inputs'!$B$31+'Inputs'!$B$32,'Inputs'!$B$30+'Inputs'!$B$31+'Inputs'!$B$32)/1000+'Inputs'!$B$21+'Inputs'!$B$7+'Inputs'!$B$10)+'Inputs'!$B$9)/SQRT((((384-43)*MAX('Inputs'!$B$33,'Inputs'!$B$29+'Inputs'!$B$31+'Inputs'!$B$32,'Inputs'!$B$30+'Inputs'!$B$31+'Inputs'!$B$32)/1000+'Inputs'!$B$21+'Inputs'!$B$7+'Inputs'!$B$10)+'Inputs'!$B$9)^2+('Inputs'!$B$8/2)^2)-(((384-43)*MAX('Inputs'!$B$33,'Inputs'!$B$29+'Inputs'!$B$31+'Inputs'!$B$32,'Inputs'!$B$30+'Inputs'!$B$31+'Inputs'!$B$32)/1000+'Inputs'!$B$21+'Inputs'!$B$7+'Inputs'!$B$10))/SQRT((((384-43)*MAX('Inputs'!$B$33,'Inputs'!$B$29+'Inputs'!$B$31+'Inputs'!$B$32,'Inputs'!$B$30+'Inputs'!$B$31+'Inputs'!$B$32)/1000+'Inputs'!$B$21+'Inputs'!$B$7+'Inputs'!$B$10))^2+('Inputs'!$B$8/2)^2))))*'Results'!$B$8))),"")</x:f>
        <x:v>16.397077027347656</x:v>
      </x:c>
      <x:c r="M384" t="n">
        <x:f>IF(AND(ISNUMBER('Results'!C7),ISNUMBER('Results'!B7),ISNUMBER('Results'!$B$8),ISNUMBER('Inputs'!$B$6),ISNUMBER('Inputs'!$B$7),ISNUMBER('Inputs'!$B$8),ISNUMBER('Inputs'!$B$9),ISNUMBER('Inputs'!$B$10),ISNUMBER('Inputs'!$B$21),ISNUMBER('Inputs'!$B$24),ISNUMBER('Inputs'!$B$28)),(('Results'!C7*(0.5*((((384-43)*MAX('Inputs'!$B$33,'Inputs'!$B$29+'Inputs'!$B$31+'Inputs'!$B$32,'Inputs'!$B$30+'Inputs'!$B$31+'Inputs'!$B$32)/1000+'Inputs'!$B$21)+'Inputs'!$B$9)/SQRT((((384-43)*MAX('Inputs'!$B$33,'Inputs'!$B$29+'Inputs'!$B$31+'Inputs'!$B$32,'Inputs'!$B$30+'Inputs'!$B$31+'Inputs'!$B$32)/1000+'Inputs'!$B$21)+'Inputs'!$B$9)^2+('Inputs'!$B$8/2)^2)-(((384-43)*MAX('Inputs'!$B$33,'Inputs'!$B$29+'Inputs'!$B$31+'Inputs'!$B$32,'Inputs'!$B$30+'Inputs'!$B$31+'Inputs'!$B$32)/1000+'Inputs'!$B$21))/SQRT((((384-43)*MAX('Inputs'!$B$33,'Inputs'!$B$29+'Inputs'!$B$31+'Inputs'!$B$32,'Inputs'!$B$30+'Inputs'!$B$31+'Inputs'!$B$32)/1000+'Inputs'!$B$21))^2+('Inputs'!$B$8/2)^2)))-'Results'!B7*(0.5*((((384-43)*MAX('Inputs'!$B$33,'Inputs'!$B$29+'Inputs'!$B$31+'Inputs'!$B$32,'Inputs'!$B$30+'Inputs'!$B$31+'Inputs'!$B$32)/1000+'Inputs'!$B$21+'Inputs'!$B$9+'Inputs'!$B$10)+'Inputs'!$B$7)/SQRT((((384-43)*MAX('Inputs'!$B$33,'Inputs'!$B$29+'Inputs'!$B$31+'Inputs'!$B$32,'Inputs'!$B$30+'Inputs'!$B$31+'Inputs'!$B$32)/1000+'Inputs'!$B$21+'Inputs'!$B$9+'Inputs'!$B$10)+'Inputs'!$B$7)^2+('Inputs'!$B$6/2)^2)-(((384-43)*MAX('Inputs'!$B$33,'Inputs'!$B$29+'Inputs'!$B$31+'Inputs'!$B$32,'Inputs'!$B$30+'Inputs'!$B$31+'Inputs'!$B$32)/1000+'Inputs'!$B$21+'Inputs'!$B$9+'Inputs'!$B$10))/SQRT((((384-43)*MAX('Inputs'!$B$33,'Inputs'!$B$29+'Inputs'!$B$31+'Inputs'!$B$32,'Inputs'!$B$30+'Inputs'!$B$31+'Inputs'!$B$32)/1000+'Inputs'!$B$21+'Inputs'!$B$9+'Inputs'!$B$10))^2+('Inputs'!$B$6/2)^2))))*'Results'!$B$8),"")</x:f>
        <x:v>14.08333383756241</x:v>
      </x:c>
      <x:c r="N384" t="n">
        <x:f>IF(AND(ISNUMBER('Results'!C7),ISNUMBER('Results'!B7),ISNUMBER('Results'!$B$8),ISNUMBER('Inputs'!$B$6),ISNUMBER('Inputs'!$B$7),ISNUMBER('Inputs'!$B$8),ISNUMBER('Inputs'!$B$9),ISNUMBER('Inputs'!$B$10),ISNUMBER('Inputs'!$B$21),ISNUMBER('Inputs'!$B$24),ISNUMBER('Inputs'!$B$28)),((('Results'!C7*(1-'Inputs'!$B$24)*(0.5*((((384-43)*MAX('Inputs'!$B$33,'Inputs'!$B$29+'Inputs'!$B$31+'Inputs'!$B$32,'Inputs'!$B$30+'Inputs'!$B$31+'Inputs'!$B$32)/1000+'Inputs'!$B$21)+'Inputs'!$B$9)/SQRT((((384-43)*MAX('Inputs'!$B$33,'Inputs'!$B$29+'Inputs'!$B$31+'Inputs'!$B$32,'Inputs'!$B$30+'Inputs'!$B$31+'Inputs'!$B$32)/1000+'Inputs'!$B$21)+'Inputs'!$B$9)^2+('Inputs'!$B$8/2)^2)-(((384-43)*MAX('Inputs'!$B$33,'Inputs'!$B$29+'Inputs'!$B$31+'Inputs'!$B$32,'Inputs'!$B$30+'Inputs'!$B$31+'Inputs'!$B$32)/1000+'Inputs'!$B$21))/SQRT((((384-43)*MAX('Inputs'!$B$33,'Inputs'!$B$29+'Inputs'!$B$31+'Inputs'!$B$32,'Inputs'!$B$30+'Inputs'!$B$31+'Inputs'!$B$32)/1000+'Inputs'!$B$21))^2+('Inputs'!$B$8/2)^2)))-'Results'!B7*(1+'Inputs'!$B$24)*(0.5*((((384-43)*MAX('Inputs'!$B$33,'Inputs'!$B$29+'Inputs'!$B$31+'Inputs'!$B$32,'Inputs'!$B$30+'Inputs'!$B$31+'Inputs'!$B$32)/1000+'Inputs'!$B$21+'Inputs'!$B$9+'Inputs'!$B$10)+'Inputs'!$B$7)/SQRT((((384-43)*MAX('Inputs'!$B$33,'Inputs'!$B$29+'Inputs'!$B$31+'Inputs'!$B$32,'Inputs'!$B$30+'Inputs'!$B$31+'Inputs'!$B$32)/1000+'Inputs'!$B$21+'Inputs'!$B$9+'Inputs'!$B$10)+'Inputs'!$B$7)^2+('Inputs'!$B$6/2)^2)-(((384-43)*MAX('Inputs'!$B$33,'Inputs'!$B$29+'Inputs'!$B$31+'Inputs'!$B$32,'Inputs'!$B$30+'Inputs'!$B$31+'Inputs'!$B$32)/1000+'Inputs'!$B$21+'Inputs'!$B$9+'Inputs'!$B$10))/SQRT((((384-43)*MAX('Inputs'!$B$33,'Inputs'!$B$29+'Inputs'!$B$31+'Inputs'!$B$32,'Inputs'!$B$30+'Inputs'!$B$31+'Inputs'!$B$32)/1000+'Inputs'!$B$21+'Inputs'!$B$9+'Inputs'!$B$10))^2+('Inputs'!$B$6/2)^2))))*'Results'!$B$8)-'Inputs'!$B$28*ABS((('Results'!C7*(1-'Inputs'!$B$24)*(0.5*((((384-43)*MAX('Inputs'!$B$33,'Inputs'!$B$29+'Inputs'!$B$31+'Inputs'!$B$32,'Inputs'!$B$30+'Inputs'!$B$31+'Inputs'!$B$32)/1000+'Inputs'!$B$21)+'Inputs'!$B$9)/SQRT((((384-43)*MAX('Inputs'!$B$33,'Inputs'!$B$29+'Inputs'!$B$31+'Inputs'!$B$32,'Inputs'!$B$30+'Inputs'!$B$31+'Inputs'!$B$32)/1000+'Inputs'!$B$21)+'Inputs'!$B$9)^2+('Inputs'!$B$8/2)^2)-(((384-43)*MAX('Inputs'!$B$33,'Inputs'!$B$29+'Inputs'!$B$31+'Inputs'!$B$32,'Inputs'!$B$30+'Inputs'!$B$31+'Inputs'!$B$32)/1000+'Inputs'!$B$21))/SQRT((((384-43)*MAX('Inputs'!$B$33,'Inputs'!$B$29+'Inputs'!$B$31+'Inputs'!$B$32,'Inputs'!$B$30+'Inputs'!$B$31+'Inputs'!$B$32)/1000+'Inputs'!$B$21))^2+('Inputs'!$B$8/2)^2)))-'Results'!B7*(1+'Inputs'!$B$24)*(0.5*((((384-43)*MAX('Inputs'!$B$33,'Inputs'!$B$29+'Inputs'!$B$31+'Inputs'!$B$32,'Inputs'!$B$30+'Inputs'!$B$31+'Inputs'!$B$32)/1000+'Inputs'!$B$21+'Inputs'!$B$9+'Inputs'!$B$10)+'Inputs'!$B$7)/SQRT((((384-43)*MAX('Inputs'!$B$33,'Inputs'!$B$29+'Inputs'!$B$31+'Inputs'!$B$32,'Inputs'!$B$30+'Inputs'!$B$31+'Inputs'!$B$32)/1000+'Inputs'!$B$21+'Inputs'!$B$9+'Inputs'!$B$10)+'Inputs'!$B$7)^2+('Inputs'!$B$6/2)^2)-(((384-43)*MAX('Inputs'!$B$33,'Inputs'!$B$29+'Inputs'!$B$31+'Inputs'!$B$32,'Inputs'!$B$30+'Inputs'!$B$31+'Inputs'!$B$32)/1000+'Inputs'!$B$21+'Inputs'!$B$9+'Inputs'!$B$10))/SQRT((((384-43)*MAX('Inputs'!$B$33,'Inputs'!$B$29+'Inputs'!$B$31+'Inputs'!$B$32,'Inputs'!$B$30+'Inputs'!$B$31+'Inputs'!$B$32)/1000+'Inputs'!$B$21+'Inputs'!$B$9+'Inputs'!$B$10))^2+('Inputs'!$B$6/2)^2))))*'Results'!$B$8))),"")</x:f>
        <x:v>12.658842384479593</x:v>
      </x:c>
      <x:c r="O384" t="n">
        <x:f>IF(AND(ISNUMBER('Results'!C7),ISNUMBER('Results'!B7),ISNUMBER('Results'!$B$8),ISNUMBER('Inputs'!$B$6),ISNUMBER('Inputs'!$B$7),ISNUMBER('Inputs'!$B$8),ISNUMBER('Inputs'!$B$9),ISNUMBER('Inputs'!$B$10),ISNUMBER('Inputs'!$B$21),ISNUMBER('Inputs'!$B$24),ISNUMBER('Inputs'!$B$28)),((('Results'!C7*(1+'Inputs'!$B$24)*(0.5*((((384-43)*MAX('Inputs'!$B$33,'Inputs'!$B$29+'Inputs'!$B$31+'Inputs'!$B$32,'Inputs'!$B$30+'Inputs'!$B$31+'Inputs'!$B$32)/1000+'Inputs'!$B$21)+'Inputs'!$B$9)/SQRT((((384-43)*MAX('Inputs'!$B$33,'Inputs'!$B$29+'Inputs'!$B$31+'Inputs'!$B$32,'Inputs'!$B$30+'Inputs'!$B$31+'Inputs'!$B$32)/1000+'Inputs'!$B$21)+'Inputs'!$B$9)^2+('Inputs'!$B$8/2)^2)-(((384-43)*MAX('Inputs'!$B$33,'Inputs'!$B$29+'Inputs'!$B$31+'Inputs'!$B$32,'Inputs'!$B$30+'Inputs'!$B$31+'Inputs'!$B$32)/1000+'Inputs'!$B$21))/SQRT((((384-43)*MAX('Inputs'!$B$33,'Inputs'!$B$29+'Inputs'!$B$31+'Inputs'!$B$32,'Inputs'!$B$30+'Inputs'!$B$31+'Inputs'!$B$32)/1000+'Inputs'!$B$21))^2+('Inputs'!$B$8/2)^2)))-'Results'!B7*(1-'Inputs'!$B$24)*(0.5*((((384-43)*MAX('Inputs'!$B$33,'Inputs'!$B$29+'Inputs'!$B$31+'Inputs'!$B$32,'Inputs'!$B$30+'Inputs'!$B$31+'Inputs'!$B$32)/1000+'Inputs'!$B$21+'Inputs'!$B$9+'Inputs'!$B$10)+'Inputs'!$B$7)/SQRT((((384-43)*MAX('Inputs'!$B$33,'Inputs'!$B$29+'Inputs'!$B$31+'Inputs'!$B$32,'Inputs'!$B$30+'Inputs'!$B$31+'Inputs'!$B$32)/1000+'Inputs'!$B$21+'Inputs'!$B$9+'Inputs'!$B$10)+'Inputs'!$B$7)^2+('Inputs'!$B$6/2)^2)-(((384-43)*MAX('Inputs'!$B$33,'Inputs'!$B$29+'Inputs'!$B$31+'Inputs'!$B$32,'Inputs'!$B$30+'Inputs'!$B$31+'Inputs'!$B$32)/1000+'Inputs'!$B$21+'Inputs'!$B$9+'Inputs'!$B$10))/SQRT((((384-43)*MAX('Inputs'!$B$33,'Inputs'!$B$29+'Inputs'!$B$31+'Inputs'!$B$32,'Inputs'!$B$30+'Inputs'!$B$31+'Inputs'!$B$32)/1000+'Inputs'!$B$21+'Inputs'!$B$9+'Inputs'!$B$10))^2+('Inputs'!$B$6/2)^2))))*'Results'!$B$8)+'Inputs'!$B$28*ABS((('Results'!C7*(1+'Inputs'!$B$24)*(0.5*((((384-43)*MAX('Inputs'!$B$33,'Inputs'!$B$29+'Inputs'!$B$31+'Inputs'!$B$32,'Inputs'!$B$30+'Inputs'!$B$31+'Inputs'!$B$32)/1000+'Inputs'!$B$21)+'Inputs'!$B$9)/SQRT((((384-43)*MAX('Inputs'!$B$33,'Inputs'!$B$29+'Inputs'!$B$31+'Inputs'!$B$32,'Inputs'!$B$30+'Inputs'!$B$31+'Inputs'!$B$32)/1000+'Inputs'!$B$21)+'Inputs'!$B$9)^2+('Inputs'!$B$8/2)^2)-(((384-43)*MAX('Inputs'!$B$33,'Inputs'!$B$29+'Inputs'!$B$31+'Inputs'!$B$32,'Inputs'!$B$30+'Inputs'!$B$31+'Inputs'!$B$32)/1000+'Inputs'!$B$21))/SQRT((((384-43)*MAX('Inputs'!$B$33,'Inputs'!$B$29+'Inputs'!$B$31+'Inputs'!$B$32,'Inputs'!$B$30+'Inputs'!$B$31+'Inputs'!$B$32)/1000+'Inputs'!$B$21))^2+('Inputs'!$B$8/2)^2)))-'Results'!B7*(1-'Inputs'!$B$24)*(0.5*((((384-43)*MAX('Inputs'!$B$33,'Inputs'!$B$29+'Inputs'!$B$31+'Inputs'!$B$32,'Inputs'!$B$30+'Inputs'!$B$31+'Inputs'!$B$32)/1000+'Inputs'!$B$21+'Inputs'!$B$9+'Inputs'!$B$10)+'Inputs'!$B$7)/SQRT((((384-43)*MAX('Inputs'!$B$33,'Inputs'!$B$29+'Inputs'!$B$31+'Inputs'!$B$32,'Inputs'!$B$30+'Inputs'!$B$31+'Inputs'!$B$32)/1000+'Inputs'!$B$21+'Inputs'!$B$9+'Inputs'!$B$10)+'Inputs'!$B$7)^2+('Inputs'!$B$6/2)^2)-(((384-43)*MAX('Inputs'!$B$33,'Inputs'!$B$29+'Inputs'!$B$31+'Inputs'!$B$32,'Inputs'!$B$30+'Inputs'!$B$31+'Inputs'!$B$32)/1000+'Inputs'!$B$21+'Inputs'!$B$9+'Inputs'!$B$10))/SQRT((((384-43)*MAX('Inputs'!$B$33,'Inputs'!$B$29+'Inputs'!$B$31+'Inputs'!$B$32,'Inputs'!$B$30+'Inputs'!$B$31+'Inputs'!$B$32)/1000+'Inputs'!$B$21+'Inputs'!$B$9+'Inputs'!$B$10))^2+('Inputs'!$B$6/2)^2))))*'Results'!$B$8))),"")</x:f>
        <x:v>15.583648949719407</x:v>
      </x:c>
      <x:c r="P384" t="n">
        <x:f>IF(AND(MAX(J384,J383)&gt;0,J384&gt;J383+0.00000001),1,0)</x:f>
        <x:v>0</x:v>
      </x:c>
      <x:c r="Q384" t="n">
        <x:f>IF(AND(MAX(K384,K383)&gt;0,K384&gt;K383+0.00000001),1,0)</x:f>
        <x:v>0</x:v>
      </x:c>
      <x:c r="R384" t="n">
        <x:f>IF(AND(MAX(L384,L383)&gt;0,L384&gt;L383+0.00000001),1,0)</x:f>
        <x:v>0</x:v>
      </x:c>
      <x:c r="S384" t="n">
        <x:f>IF(AND(MAX(M384,M383)&gt;0,M384&gt;M383+0.00000001),1,0)</x:f>
        <x:v>0</x:v>
      </x:c>
      <x:c r="T384" t="n">
        <x:f>IF(AND(MAX(N384,N383)&gt;0,N384&gt;N383+0.00000001),1,0)</x:f>
        <x:v>0</x:v>
      </x:c>
      <x:c r="U384" t="n">
        <x:f>IF(AND(MAX(O384,O383)&gt;0,O384&gt;O383+0.00000001),1,0)</x:f>
        <x:v>0</x:v>
      </x:c>
    </x:row>
    <x:row r="385">
      <x:c r="J385" t="n">
        <x:f>IF(AND(ISNUMBER('Results'!B7),ISNUMBER('Results'!C7),ISNUMBER('Results'!$B$8),ISNUMBER('Inputs'!$B$6),ISNUMBER('Inputs'!$B$7),ISNUMBER('Inputs'!$B$8),ISNUMBER('Inputs'!$B$9),ISNUMBER('Inputs'!$B$10),ISNUMBER('Inputs'!$B$21),ISNUMBER('Inputs'!$B$24),ISNUMBER('Inputs'!$B$28)),(('Results'!B7*(0.5*((((385-43)*MAX('Inputs'!$B$33,'Inputs'!$B$29+'Inputs'!$B$31+'Inputs'!$B$32,'Inputs'!$B$30+'Inputs'!$B$31+'Inputs'!$B$32)/1000+'Inputs'!$B$21)+'Inputs'!$B$7)/SQRT((((385-43)*MAX('Inputs'!$B$33,'Inputs'!$B$29+'Inputs'!$B$31+'Inputs'!$B$32,'Inputs'!$B$30+'Inputs'!$B$31+'Inputs'!$B$32)/1000+'Inputs'!$B$21)+'Inputs'!$B$7)^2+('Inputs'!$B$6/2)^2)-(((385-43)*MAX('Inputs'!$B$33,'Inputs'!$B$29+'Inputs'!$B$31+'Inputs'!$B$32,'Inputs'!$B$30+'Inputs'!$B$31+'Inputs'!$B$32)/1000+'Inputs'!$B$21))/SQRT((((385-43)*MAX('Inputs'!$B$33,'Inputs'!$B$29+'Inputs'!$B$31+'Inputs'!$B$32,'Inputs'!$B$30+'Inputs'!$B$31+'Inputs'!$B$32)/1000+'Inputs'!$B$21))^2+('Inputs'!$B$6/2)^2)))-'Results'!C7*(0.5*((((385-43)*MAX('Inputs'!$B$33,'Inputs'!$B$29+'Inputs'!$B$31+'Inputs'!$B$32,'Inputs'!$B$30+'Inputs'!$B$31+'Inputs'!$B$32)/1000+'Inputs'!$B$21+'Inputs'!$B$7+'Inputs'!$B$10)+'Inputs'!$B$9)/SQRT((((385-43)*MAX('Inputs'!$B$33,'Inputs'!$B$29+'Inputs'!$B$31+'Inputs'!$B$32,'Inputs'!$B$30+'Inputs'!$B$31+'Inputs'!$B$32)/1000+'Inputs'!$B$21+'Inputs'!$B$7+'Inputs'!$B$10)+'Inputs'!$B$9)^2+('Inputs'!$B$8/2)^2)-(((385-43)*MAX('Inputs'!$B$33,'Inputs'!$B$29+'Inputs'!$B$31+'Inputs'!$B$32,'Inputs'!$B$30+'Inputs'!$B$31+'Inputs'!$B$32)/1000+'Inputs'!$B$21+'Inputs'!$B$7+'Inputs'!$B$10))/SQRT((((385-43)*MAX('Inputs'!$B$33,'Inputs'!$B$29+'Inputs'!$B$31+'Inputs'!$B$32,'Inputs'!$B$30+'Inputs'!$B$31+'Inputs'!$B$32)/1000+'Inputs'!$B$21+'Inputs'!$B$7+'Inputs'!$B$10))^2+('Inputs'!$B$8/2)^2))))*'Results'!$B$8),"")</x:f>
        <x:v>14.713718363960302</x:v>
      </x:c>
      <x:c r="K385" t="n">
        <x:f>IF(AND(ISNUMBER('Results'!B7),ISNUMBER('Results'!C7),ISNUMBER('Results'!$B$8),ISNUMBER('Inputs'!$B$6),ISNUMBER('Inputs'!$B$7),ISNUMBER('Inputs'!$B$8),ISNUMBER('Inputs'!$B$9),ISNUMBER('Inputs'!$B$10),ISNUMBER('Inputs'!$B$21),ISNUMBER('Inputs'!$B$24),ISNUMBER('Inputs'!$B$28)),((('Results'!B7*(1-'Inputs'!$B$24)*(0.5*((((385-43)*MAX('Inputs'!$B$33,'Inputs'!$B$29+'Inputs'!$B$31+'Inputs'!$B$32,'Inputs'!$B$30+'Inputs'!$B$31+'Inputs'!$B$32)/1000+'Inputs'!$B$21)+'Inputs'!$B$7)/SQRT((((385-43)*MAX('Inputs'!$B$33,'Inputs'!$B$29+'Inputs'!$B$31+'Inputs'!$B$32,'Inputs'!$B$30+'Inputs'!$B$31+'Inputs'!$B$32)/1000+'Inputs'!$B$21)+'Inputs'!$B$7)^2+('Inputs'!$B$6/2)^2)-(((385-43)*MAX('Inputs'!$B$33,'Inputs'!$B$29+'Inputs'!$B$31+'Inputs'!$B$32,'Inputs'!$B$30+'Inputs'!$B$31+'Inputs'!$B$32)/1000+'Inputs'!$B$21))/SQRT((((385-43)*MAX('Inputs'!$B$33,'Inputs'!$B$29+'Inputs'!$B$31+'Inputs'!$B$32,'Inputs'!$B$30+'Inputs'!$B$31+'Inputs'!$B$32)/1000+'Inputs'!$B$21))^2+('Inputs'!$B$6/2)^2)))-'Results'!C7*(1+'Inputs'!$B$24)*(0.5*((((385-43)*MAX('Inputs'!$B$33,'Inputs'!$B$29+'Inputs'!$B$31+'Inputs'!$B$32,'Inputs'!$B$30+'Inputs'!$B$31+'Inputs'!$B$32)/1000+'Inputs'!$B$21+'Inputs'!$B$7+'Inputs'!$B$10)+'Inputs'!$B$9)/SQRT((((385-43)*MAX('Inputs'!$B$33,'Inputs'!$B$29+'Inputs'!$B$31+'Inputs'!$B$32,'Inputs'!$B$30+'Inputs'!$B$31+'Inputs'!$B$32)/1000+'Inputs'!$B$21+'Inputs'!$B$7+'Inputs'!$B$10)+'Inputs'!$B$9)^2+('Inputs'!$B$8/2)^2)-(((385-43)*MAX('Inputs'!$B$33,'Inputs'!$B$29+'Inputs'!$B$31+'Inputs'!$B$32,'Inputs'!$B$30+'Inputs'!$B$31+'Inputs'!$B$32)/1000+'Inputs'!$B$21+'Inputs'!$B$7+'Inputs'!$B$10))/SQRT((((385-43)*MAX('Inputs'!$B$33,'Inputs'!$B$29+'Inputs'!$B$31+'Inputs'!$B$32,'Inputs'!$B$30+'Inputs'!$B$31+'Inputs'!$B$32)/1000+'Inputs'!$B$21+'Inputs'!$B$7+'Inputs'!$B$10))^2+('Inputs'!$B$8/2)^2))))*'Results'!$B$8)-'Inputs'!$B$28*ABS((('Results'!B7*(1-'Inputs'!$B$24)*(0.5*((((385-43)*MAX('Inputs'!$B$33,'Inputs'!$B$29+'Inputs'!$B$31+'Inputs'!$B$32,'Inputs'!$B$30+'Inputs'!$B$31+'Inputs'!$B$32)/1000+'Inputs'!$B$21)+'Inputs'!$B$7)/SQRT((((385-43)*MAX('Inputs'!$B$33,'Inputs'!$B$29+'Inputs'!$B$31+'Inputs'!$B$32,'Inputs'!$B$30+'Inputs'!$B$31+'Inputs'!$B$32)/1000+'Inputs'!$B$21)+'Inputs'!$B$7)^2+('Inputs'!$B$6/2)^2)-(((385-43)*MAX('Inputs'!$B$33,'Inputs'!$B$29+'Inputs'!$B$31+'Inputs'!$B$32,'Inputs'!$B$30+'Inputs'!$B$31+'Inputs'!$B$32)/1000+'Inputs'!$B$21))/SQRT((((385-43)*MAX('Inputs'!$B$33,'Inputs'!$B$29+'Inputs'!$B$31+'Inputs'!$B$32,'Inputs'!$B$30+'Inputs'!$B$31+'Inputs'!$B$32)/1000+'Inputs'!$B$21))^2+('Inputs'!$B$6/2)^2)))-'Results'!C7*(1+'Inputs'!$B$24)*(0.5*((((385-43)*MAX('Inputs'!$B$33,'Inputs'!$B$29+'Inputs'!$B$31+'Inputs'!$B$32,'Inputs'!$B$30+'Inputs'!$B$31+'Inputs'!$B$32)/1000+'Inputs'!$B$21+'Inputs'!$B$7+'Inputs'!$B$10)+'Inputs'!$B$9)/SQRT((((385-43)*MAX('Inputs'!$B$33,'Inputs'!$B$29+'Inputs'!$B$31+'Inputs'!$B$32,'Inputs'!$B$30+'Inputs'!$B$31+'Inputs'!$B$32)/1000+'Inputs'!$B$21+'Inputs'!$B$7+'Inputs'!$B$10)+'Inputs'!$B$9)^2+('Inputs'!$B$8/2)^2)-(((385-43)*MAX('Inputs'!$B$33,'Inputs'!$B$29+'Inputs'!$B$31+'Inputs'!$B$32,'Inputs'!$B$30+'Inputs'!$B$31+'Inputs'!$B$32)/1000+'Inputs'!$B$21+'Inputs'!$B$7+'Inputs'!$B$10))/SQRT((((385-43)*MAX('Inputs'!$B$33,'Inputs'!$B$29+'Inputs'!$B$31+'Inputs'!$B$32,'Inputs'!$B$30+'Inputs'!$B$31+'Inputs'!$B$32)/1000+'Inputs'!$B$21+'Inputs'!$B$7+'Inputs'!$B$10))^2+('Inputs'!$B$8/2)^2))))*'Results'!$B$8))),"")</x:f>
        <x:v>13.25750309632018</x:v>
      </x:c>
      <x:c r="L385" t="n">
        <x:f>IF(AND(ISNUMBER('Results'!B7),ISNUMBER('Results'!C7),ISNUMBER('Results'!$B$8),ISNUMBER('Inputs'!$B$6),ISNUMBER('Inputs'!$B$7),ISNUMBER('Inputs'!$B$8),ISNUMBER('Inputs'!$B$9),ISNUMBER('Inputs'!$B$10),ISNUMBER('Inputs'!$B$21),ISNUMBER('Inputs'!$B$24),ISNUMBER('Inputs'!$B$28)),((('Results'!B7*(1+'Inputs'!$B$24)*(0.5*((((385-43)*MAX('Inputs'!$B$33,'Inputs'!$B$29+'Inputs'!$B$31+'Inputs'!$B$32,'Inputs'!$B$30+'Inputs'!$B$31+'Inputs'!$B$32)/1000+'Inputs'!$B$21)+'Inputs'!$B$7)/SQRT((((385-43)*MAX('Inputs'!$B$33,'Inputs'!$B$29+'Inputs'!$B$31+'Inputs'!$B$32,'Inputs'!$B$30+'Inputs'!$B$31+'Inputs'!$B$32)/1000+'Inputs'!$B$21)+'Inputs'!$B$7)^2+('Inputs'!$B$6/2)^2)-(((385-43)*MAX('Inputs'!$B$33,'Inputs'!$B$29+'Inputs'!$B$31+'Inputs'!$B$32,'Inputs'!$B$30+'Inputs'!$B$31+'Inputs'!$B$32)/1000+'Inputs'!$B$21))/SQRT((((385-43)*MAX('Inputs'!$B$33,'Inputs'!$B$29+'Inputs'!$B$31+'Inputs'!$B$32,'Inputs'!$B$30+'Inputs'!$B$31+'Inputs'!$B$32)/1000+'Inputs'!$B$21))^2+('Inputs'!$B$6/2)^2)))-'Results'!C7*(1-'Inputs'!$B$24)*(0.5*((((385-43)*MAX('Inputs'!$B$33,'Inputs'!$B$29+'Inputs'!$B$31+'Inputs'!$B$32,'Inputs'!$B$30+'Inputs'!$B$31+'Inputs'!$B$32)/1000+'Inputs'!$B$21+'Inputs'!$B$7+'Inputs'!$B$10)+'Inputs'!$B$9)/SQRT((((385-43)*MAX('Inputs'!$B$33,'Inputs'!$B$29+'Inputs'!$B$31+'Inputs'!$B$32,'Inputs'!$B$30+'Inputs'!$B$31+'Inputs'!$B$32)/1000+'Inputs'!$B$21+'Inputs'!$B$7+'Inputs'!$B$10)+'Inputs'!$B$9)^2+('Inputs'!$B$8/2)^2)-(((385-43)*MAX('Inputs'!$B$33,'Inputs'!$B$29+'Inputs'!$B$31+'Inputs'!$B$32,'Inputs'!$B$30+'Inputs'!$B$31+'Inputs'!$B$32)/1000+'Inputs'!$B$21+'Inputs'!$B$7+'Inputs'!$B$10))/SQRT((((385-43)*MAX('Inputs'!$B$33,'Inputs'!$B$29+'Inputs'!$B$31+'Inputs'!$B$32,'Inputs'!$B$30+'Inputs'!$B$31+'Inputs'!$B$32)/1000+'Inputs'!$B$21+'Inputs'!$B$7+'Inputs'!$B$10))^2+('Inputs'!$B$8/2)^2))))*'Results'!$B$8)+'Inputs'!$B$28*ABS((('Results'!B7*(1+'Inputs'!$B$24)*(0.5*((((385-43)*MAX('Inputs'!$B$33,'Inputs'!$B$29+'Inputs'!$B$31+'Inputs'!$B$32,'Inputs'!$B$30+'Inputs'!$B$31+'Inputs'!$B$32)/1000+'Inputs'!$B$21)+'Inputs'!$B$7)/SQRT((((385-43)*MAX('Inputs'!$B$33,'Inputs'!$B$29+'Inputs'!$B$31+'Inputs'!$B$32,'Inputs'!$B$30+'Inputs'!$B$31+'Inputs'!$B$32)/1000+'Inputs'!$B$21)+'Inputs'!$B$7)^2+('Inputs'!$B$6/2)^2)-(((385-43)*MAX('Inputs'!$B$33,'Inputs'!$B$29+'Inputs'!$B$31+'Inputs'!$B$32,'Inputs'!$B$30+'Inputs'!$B$31+'Inputs'!$B$32)/1000+'Inputs'!$B$21))/SQRT((((385-43)*MAX('Inputs'!$B$33,'Inputs'!$B$29+'Inputs'!$B$31+'Inputs'!$B$32,'Inputs'!$B$30+'Inputs'!$B$31+'Inputs'!$B$32)/1000+'Inputs'!$B$21))^2+('Inputs'!$B$6/2)^2)))-'Results'!C7*(1-'Inputs'!$B$24)*(0.5*((((385-43)*MAX('Inputs'!$B$33,'Inputs'!$B$29+'Inputs'!$B$31+'Inputs'!$B$32,'Inputs'!$B$30+'Inputs'!$B$31+'Inputs'!$B$32)/1000+'Inputs'!$B$21+'Inputs'!$B$7+'Inputs'!$B$10)+'Inputs'!$B$9)/SQRT((((385-43)*MAX('Inputs'!$B$33,'Inputs'!$B$29+'Inputs'!$B$31+'Inputs'!$B$32,'Inputs'!$B$30+'Inputs'!$B$31+'Inputs'!$B$32)/1000+'Inputs'!$B$21+'Inputs'!$B$7+'Inputs'!$B$10)+'Inputs'!$B$9)^2+('Inputs'!$B$8/2)^2)-(((385-43)*MAX('Inputs'!$B$33,'Inputs'!$B$29+'Inputs'!$B$31+'Inputs'!$B$32,'Inputs'!$B$30+'Inputs'!$B$31+'Inputs'!$B$32)/1000+'Inputs'!$B$21+'Inputs'!$B$7+'Inputs'!$B$10))/SQRT((((385-43)*MAX('Inputs'!$B$33,'Inputs'!$B$29+'Inputs'!$B$31+'Inputs'!$B$32,'Inputs'!$B$30+'Inputs'!$B$31+'Inputs'!$B$32)/1000+'Inputs'!$B$21+'Inputs'!$B$7+'Inputs'!$B$10))^2+('Inputs'!$B$8/2)^2))))*'Results'!$B$8))),"")</x:f>
        <x:v>16.24577882627854</x:v>
      </x:c>
      <x:c r="M385" t="n">
        <x:f>IF(AND(ISNUMBER('Results'!C7),ISNUMBER('Results'!B7),ISNUMBER('Results'!$B$8),ISNUMBER('Inputs'!$B$6),ISNUMBER('Inputs'!$B$7),ISNUMBER('Inputs'!$B$8),ISNUMBER('Inputs'!$B$9),ISNUMBER('Inputs'!$B$10),ISNUMBER('Inputs'!$B$21),ISNUMBER('Inputs'!$B$24),ISNUMBER('Inputs'!$B$28)),(('Results'!C7*(0.5*((((385-43)*MAX('Inputs'!$B$33,'Inputs'!$B$29+'Inputs'!$B$31+'Inputs'!$B$32,'Inputs'!$B$30+'Inputs'!$B$31+'Inputs'!$B$32)/1000+'Inputs'!$B$21)+'Inputs'!$B$9)/SQRT((((385-43)*MAX('Inputs'!$B$33,'Inputs'!$B$29+'Inputs'!$B$31+'Inputs'!$B$32,'Inputs'!$B$30+'Inputs'!$B$31+'Inputs'!$B$32)/1000+'Inputs'!$B$21)+'Inputs'!$B$9)^2+('Inputs'!$B$8/2)^2)-(((385-43)*MAX('Inputs'!$B$33,'Inputs'!$B$29+'Inputs'!$B$31+'Inputs'!$B$32,'Inputs'!$B$30+'Inputs'!$B$31+'Inputs'!$B$32)/1000+'Inputs'!$B$21))/SQRT((((385-43)*MAX('Inputs'!$B$33,'Inputs'!$B$29+'Inputs'!$B$31+'Inputs'!$B$32,'Inputs'!$B$30+'Inputs'!$B$31+'Inputs'!$B$32)/1000+'Inputs'!$B$21))^2+('Inputs'!$B$8/2)^2)))-'Results'!B7*(0.5*((((385-43)*MAX('Inputs'!$B$33,'Inputs'!$B$29+'Inputs'!$B$31+'Inputs'!$B$32,'Inputs'!$B$30+'Inputs'!$B$31+'Inputs'!$B$32)/1000+'Inputs'!$B$21+'Inputs'!$B$9+'Inputs'!$B$10)+'Inputs'!$B$7)/SQRT((((385-43)*MAX('Inputs'!$B$33,'Inputs'!$B$29+'Inputs'!$B$31+'Inputs'!$B$32,'Inputs'!$B$30+'Inputs'!$B$31+'Inputs'!$B$32)/1000+'Inputs'!$B$21+'Inputs'!$B$9+'Inputs'!$B$10)+'Inputs'!$B$7)^2+('Inputs'!$B$6/2)^2)-(((385-43)*MAX('Inputs'!$B$33,'Inputs'!$B$29+'Inputs'!$B$31+'Inputs'!$B$32,'Inputs'!$B$30+'Inputs'!$B$31+'Inputs'!$B$32)/1000+'Inputs'!$B$21+'Inputs'!$B$9+'Inputs'!$B$10))/SQRT((((385-43)*MAX('Inputs'!$B$33,'Inputs'!$B$29+'Inputs'!$B$31+'Inputs'!$B$32,'Inputs'!$B$30+'Inputs'!$B$31+'Inputs'!$B$32)/1000+'Inputs'!$B$21+'Inputs'!$B$9+'Inputs'!$B$10))^2+('Inputs'!$B$6/2)^2))))*'Results'!$B$8),"")</x:f>
        <x:v>13.950529911265855</x:v>
      </x:c>
      <x:c r="N385" t="n">
        <x:f>IF(AND(ISNUMBER('Results'!C7),ISNUMBER('Results'!B7),ISNUMBER('Results'!$B$8),ISNUMBER('Inputs'!$B$6),ISNUMBER('Inputs'!$B$7),ISNUMBER('Inputs'!$B$8),ISNUMBER('Inputs'!$B$9),ISNUMBER('Inputs'!$B$10),ISNUMBER('Inputs'!$B$21),ISNUMBER('Inputs'!$B$24),ISNUMBER('Inputs'!$B$28)),((('Results'!C7*(1-'Inputs'!$B$24)*(0.5*((((385-43)*MAX('Inputs'!$B$33,'Inputs'!$B$29+'Inputs'!$B$31+'Inputs'!$B$32,'Inputs'!$B$30+'Inputs'!$B$31+'Inputs'!$B$32)/1000+'Inputs'!$B$21)+'Inputs'!$B$9)/SQRT((((385-43)*MAX('Inputs'!$B$33,'Inputs'!$B$29+'Inputs'!$B$31+'Inputs'!$B$32,'Inputs'!$B$30+'Inputs'!$B$31+'Inputs'!$B$32)/1000+'Inputs'!$B$21)+'Inputs'!$B$9)^2+('Inputs'!$B$8/2)^2)-(((385-43)*MAX('Inputs'!$B$33,'Inputs'!$B$29+'Inputs'!$B$31+'Inputs'!$B$32,'Inputs'!$B$30+'Inputs'!$B$31+'Inputs'!$B$32)/1000+'Inputs'!$B$21))/SQRT((((385-43)*MAX('Inputs'!$B$33,'Inputs'!$B$29+'Inputs'!$B$31+'Inputs'!$B$32,'Inputs'!$B$30+'Inputs'!$B$31+'Inputs'!$B$32)/1000+'Inputs'!$B$21))^2+('Inputs'!$B$8/2)^2)))-'Results'!B7*(1+'Inputs'!$B$24)*(0.5*((((385-43)*MAX('Inputs'!$B$33,'Inputs'!$B$29+'Inputs'!$B$31+'Inputs'!$B$32,'Inputs'!$B$30+'Inputs'!$B$31+'Inputs'!$B$32)/1000+'Inputs'!$B$21+'Inputs'!$B$9+'Inputs'!$B$10)+'Inputs'!$B$7)/SQRT((((385-43)*MAX('Inputs'!$B$33,'Inputs'!$B$29+'Inputs'!$B$31+'Inputs'!$B$32,'Inputs'!$B$30+'Inputs'!$B$31+'Inputs'!$B$32)/1000+'Inputs'!$B$21+'Inputs'!$B$9+'Inputs'!$B$10)+'Inputs'!$B$7)^2+('Inputs'!$B$6/2)^2)-(((385-43)*MAX('Inputs'!$B$33,'Inputs'!$B$29+'Inputs'!$B$31+'Inputs'!$B$32,'Inputs'!$B$30+'Inputs'!$B$31+'Inputs'!$B$32)/1000+'Inputs'!$B$21+'Inputs'!$B$9+'Inputs'!$B$10))/SQRT((((385-43)*MAX('Inputs'!$B$33,'Inputs'!$B$29+'Inputs'!$B$31+'Inputs'!$B$32,'Inputs'!$B$30+'Inputs'!$B$31+'Inputs'!$B$32)/1000+'Inputs'!$B$21+'Inputs'!$B$9+'Inputs'!$B$10))^2+('Inputs'!$B$6/2)^2))))*'Results'!$B$8)-'Inputs'!$B$28*ABS((('Results'!C7*(1-'Inputs'!$B$24)*(0.5*((((385-43)*MAX('Inputs'!$B$33,'Inputs'!$B$29+'Inputs'!$B$31+'Inputs'!$B$32,'Inputs'!$B$30+'Inputs'!$B$31+'Inputs'!$B$32)/1000+'Inputs'!$B$21)+'Inputs'!$B$9)/SQRT((((385-43)*MAX('Inputs'!$B$33,'Inputs'!$B$29+'Inputs'!$B$31+'Inputs'!$B$32,'Inputs'!$B$30+'Inputs'!$B$31+'Inputs'!$B$32)/1000+'Inputs'!$B$21)+'Inputs'!$B$9)^2+('Inputs'!$B$8/2)^2)-(((385-43)*MAX('Inputs'!$B$33,'Inputs'!$B$29+'Inputs'!$B$31+'Inputs'!$B$32,'Inputs'!$B$30+'Inputs'!$B$31+'Inputs'!$B$32)/1000+'Inputs'!$B$21))/SQRT((((385-43)*MAX('Inputs'!$B$33,'Inputs'!$B$29+'Inputs'!$B$31+'Inputs'!$B$32,'Inputs'!$B$30+'Inputs'!$B$31+'Inputs'!$B$32)/1000+'Inputs'!$B$21))^2+('Inputs'!$B$8/2)^2)))-'Results'!B7*(1+'Inputs'!$B$24)*(0.5*((((385-43)*MAX('Inputs'!$B$33,'Inputs'!$B$29+'Inputs'!$B$31+'Inputs'!$B$32,'Inputs'!$B$30+'Inputs'!$B$31+'Inputs'!$B$32)/1000+'Inputs'!$B$21+'Inputs'!$B$9+'Inputs'!$B$10)+'Inputs'!$B$7)/SQRT((((385-43)*MAX('Inputs'!$B$33,'Inputs'!$B$29+'Inputs'!$B$31+'Inputs'!$B$32,'Inputs'!$B$30+'Inputs'!$B$31+'Inputs'!$B$32)/1000+'Inputs'!$B$21+'Inputs'!$B$9+'Inputs'!$B$10)+'Inputs'!$B$7)^2+('Inputs'!$B$6/2)^2)-(((385-43)*MAX('Inputs'!$B$33,'Inputs'!$B$29+'Inputs'!$B$31+'Inputs'!$B$32,'Inputs'!$B$30+'Inputs'!$B$31+'Inputs'!$B$32)/1000+'Inputs'!$B$21+'Inputs'!$B$9+'Inputs'!$B$10))/SQRT((((385-43)*MAX('Inputs'!$B$33,'Inputs'!$B$29+'Inputs'!$B$31+'Inputs'!$B$32,'Inputs'!$B$30+'Inputs'!$B$31+'Inputs'!$B$32)/1000+'Inputs'!$B$21+'Inputs'!$B$9+'Inputs'!$B$10))^2+('Inputs'!$B$6/2)^2))))*'Results'!$B$8))),"")</x:f>
        <x:v>12.537975285626406</x:v>
      </x:c>
      <x:c r="O385" t="n">
        <x:f>IF(AND(ISNUMBER('Results'!C7),ISNUMBER('Results'!B7),ISNUMBER('Results'!$B$8),ISNUMBER('Inputs'!$B$6),ISNUMBER('Inputs'!$B$7),ISNUMBER('Inputs'!$B$8),ISNUMBER('Inputs'!$B$9),ISNUMBER('Inputs'!$B$10),ISNUMBER('Inputs'!$B$21),ISNUMBER('Inputs'!$B$24),ISNUMBER('Inputs'!$B$28)),((('Results'!C7*(1+'Inputs'!$B$24)*(0.5*((((385-43)*MAX('Inputs'!$B$33,'Inputs'!$B$29+'Inputs'!$B$31+'Inputs'!$B$32,'Inputs'!$B$30+'Inputs'!$B$31+'Inputs'!$B$32)/1000+'Inputs'!$B$21)+'Inputs'!$B$9)/SQRT((((385-43)*MAX('Inputs'!$B$33,'Inputs'!$B$29+'Inputs'!$B$31+'Inputs'!$B$32,'Inputs'!$B$30+'Inputs'!$B$31+'Inputs'!$B$32)/1000+'Inputs'!$B$21)+'Inputs'!$B$9)^2+('Inputs'!$B$8/2)^2)-(((385-43)*MAX('Inputs'!$B$33,'Inputs'!$B$29+'Inputs'!$B$31+'Inputs'!$B$32,'Inputs'!$B$30+'Inputs'!$B$31+'Inputs'!$B$32)/1000+'Inputs'!$B$21))/SQRT((((385-43)*MAX('Inputs'!$B$33,'Inputs'!$B$29+'Inputs'!$B$31+'Inputs'!$B$32,'Inputs'!$B$30+'Inputs'!$B$31+'Inputs'!$B$32)/1000+'Inputs'!$B$21))^2+('Inputs'!$B$8/2)^2)))-'Results'!B7*(1-'Inputs'!$B$24)*(0.5*((((385-43)*MAX('Inputs'!$B$33,'Inputs'!$B$29+'Inputs'!$B$31+'Inputs'!$B$32,'Inputs'!$B$30+'Inputs'!$B$31+'Inputs'!$B$32)/1000+'Inputs'!$B$21+'Inputs'!$B$9+'Inputs'!$B$10)+'Inputs'!$B$7)/SQRT((((385-43)*MAX('Inputs'!$B$33,'Inputs'!$B$29+'Inputs'!$B$31+'Inputs'!$B$32,'Inputs'!$B$30+'Inputs'!$B$31+'Inputs'!$B$32)/1000+'Inputs'!$B$21+'Inputs'!$B$9+'Inputs'!$B$10)+'Inputs'!$B$7)^2+('Inputs'!$B$6/2)^2)-(((385-43)*MAX('Inputs'!$B$33,'Inputs'!$B$29+'Inputs'!$B$31+'Inputs'!$B$32,'Inputs'!$B$30+'Inputs'!$B$31+'Inputs'!$B$32)/1000+'Inputs'!$B$21+'Inputs'!$B$9+'Inputs'!$B$10))/SQRT((((385-43)*MAX('Inputs'!$B$33,'Inputs'!$B$29+'Inputs'!$B$31+'Inputs'!$B$32,'Inputs'!$B$30+'Inputs'!$B$31+'Inputs'!$B$32)/1000+'Inputs'!$B$21+'Inputs'!$B$9+'Inputs'!$B$10))^2+('Inputs'!$B$6/2)^2))))*'Results'!$B$8)+'Inputs'!$B$28*ABS((('Results'!C7*(1+'Inputs'!$B$24)*(0.5*((((385-43)*MAX('Inputs'!$B$33,'Inputs'!$B$29+'Inputs'!$B$31+'Inputs'!$B$32,'Inputs'!$B$30+'Inputs'!$B$31+'Inputs'!$B$32)/1000+'Inputs'!$B$21)+'Inputs'!$B$9)/SQRT((((385-43)*MAX('Inputs'!$B$33,'Inputs'!$B$29+'Inputs'!$B$31+'Inputs'!$B$32,'Inputs'!$B$30+'Inputs'!$B$31+'Inputs'!$B$32)/1000+'Inputs'!$B$21)+'Inputs'!$B$9)^2+('Inputs'!$B$8/2)^2)-(((385-43)*MAX('Inputs'!$B$33,'Inputs'!$B$29+'Inputs'!$B$31+'Inputs'!$B$32,'Inputs'!$B$30+'Inputs'!$B$31+'Inputs'!$B$32)/1000+'Inputs'!$B$21))/SQRT((((385-43)*MAX('Inputs'!$B$33,'Inputs'!$B$29+'Inputs'!$B$31+'Inputs'!$B$32,'Inputs'!$B$30+'Inputs'!$B$31+'Inputs'!$B$32)/1000+'Inputs'!$B$21))^2+('Inputs'!$B$8/2)^2)))-'Results'!B7*(1-'Inputs'!$B$24)*(0.5*((((385-43)*MAX('Inputs'!$B$33,'Inputs'!$B$29+'Inputs'!$B$31+'Inputs'!$B$32,'Inputs'!$B$30+'Inputs'!$B$31+'Inputs'!$B$32)/1000+'Inputs'!$B$21+'Inputs'!$B$9+'Inputs'!$B$10)+'Inputs'!$B$7)/SQRT((((385-43)*MAX('Inputs'!$B$33,'Inputs'!$B$29+'Inputs'!$B$31+'Inputs'!$B$32,'Inputs'!$B$30+'Inputs'!$B$31+'Inputs'!$B$32)/1000+'Inputs'!$B$21+'Inputs'!$B$9+'Inputs'!$B$10)+'Inputs'!$B$7)^2+('Inputs'!$B$6/2)^2)-(((385-43)*MAX('Inputs'!$B$33,'Inputs'!$B$29+'Inputs'!$B$31+'Inputs'!$B$32,'Inputs'!$B$30+'Inputs'!$B$31+'Inputs'!$B$32)/1000+'Inputs'!$B$21+'Inputs'!$B$9+'Inputs'!$B$10))/SQRT((((385-43)*MAX('Inputs'!$B$33,'Inputs'!$B$29+'Inputs'!$B$31+'Inputs'!$B$32,'Inputs'!$B$30+'Inputs'!$B$31+'Inputs'!$B$32)/1000+'Inputs'!$B$21+'Inputs'!$B$9+'Inputs'!$B$10))^2+('Inputs'!$B$6/2)^2))))*'Results'!$B$8))),"")</x:f>
        <x:v>15.438350655860686</x:v>
      </x:c>
      <x:c r="P385" t="n">
        <x:f>IF(AND(MAX(J385,J384)&gt;0,J385&gt;J384+0.00000001),1,0)</x:f>
        <x:v>0</x:v>
      </x:c>
      <x:c r="Q385" t="n">
        <x:f>IF(AND(MAX(K385,K384)&gt;0,K385&gt;K384+0.00000001),1,0)</x:f>
        <x:v>0</x:v>
      </x:c>
      <x:c r="R385" t="n">
        <x:f>IF(AND(MAX(L385,L384)&gt;0,L385&gt;L384+0.00000001),1,0)</x:f>
        <x:v>0</x:v>
      </x:c>
      <x:c r="S385" t="n">
        <x:f>IF(AND(MAX(M385,M384)&gt;0,M385&gt;M384+0.00000001),1,0)</x:f>
        <x:v>0</x:v>
      </x:c>
      <x:c r="T385" t="n">
        <x:f>IF(AND(MAX(N385,N384)&gt;0,N385&gt;N384+0.00000001),1,0)</x:f>
        <x:v>0</x:v>
      </x:c>
      <x:c r="U385" t="n">
        <x:f>IF(AND(MAX(O385,O384)&gt;0,O385&gt;O384+0.00000001),1,0)</x:f>
        <x:v>0</x:v>
      </x:c>
    </x:row>
    <x:row r="386">
      <x:c r="J386" t="n">
        <x:f>IF(AND(ISNUMBER('Results'!B7),ISNUMBER('Results'!C7),ISNUMBER('Results'!$B$8),ISNUMBER('Inputs'!$B$6),ISNUMBER('Inputs'!$B$7),ISNUMBER('Inputs'!$B$8),ISNUMBER('Inputs'!$B$9),ISNUMBER('Inputs'!$B$10),ISNUMBER('Inputs'!$B$21),ISNUMBER('Inputs'!$B$24),ISNUMBER('Inputs'!$B$28)),(('Results'!B7*(0.5*((((386-43)*MAX('Inputs'!$B$33,'Inputs'!$B$29+'Inputs'!$B$31+'Inputs'!$B$32,'Inputs'!$B$30+'Inputs'!$B$31+'Inputs'!$B$32)/1000+'Inputs'!$B$21)+'Inputs'!$B$7)/SQRT((((386-43)*MAX('Inputs'!$B$33,'Inputs'!$B$29+'Inputs'!$B$31+'Inputs'!$B$32,'Inputs'!$B$30+'Inputs'!$B$31+'Inputs'!$B$32)/1000+'Inputs'!$B$21)+'Inputs'!$B$7)^2+('Inputs'!$B$6/2)^2)-(((386-43)*MAX('Inputs'!$B$33,'Inputs'!$B$29+'Inputs'!$B$31+'Inputs'!$B$32,'Inputs'!$B$30+'Inputs'!$B$31+'Inputs'!$B$32)/1000+'Inputs'!$B$21))/SQRT((((386-43)*MAX('Inputs'!$B$33,'Inputs'!$B$29+'Inputs'!$B$31+'Inputs'!$B$32,'Inputs'!$B$30+'Inputs'!$B$31+'Inputs'!$B$32)/1000+'Inputs'!$B$21))^2+('Inputs'!$B$6/2)^2)))-'Results'!C7*(0.5*((((386-43)*MAX('Inputs'!$B$33,'Inputs'!$B$29+'Inputs'!$B$31+'Inputs'!$B$32,'Inputs'!$B$30+'Inputs'!$B$31+'Inputs'!$B$32)/1000+'Inputs'!$B$21+'Inputs'!$B$7+'Inputs'!$B$10)+'Inputs'!$B$9)/SQRT((((386-43)*MAX('Inputs'!$B$33,'Inputs'!$B$29+'Inputs'!$B$31+'Inputs'!$B$32,'Inputs'!$B$30+'Inputs'!$B$31+'Inputs'!$B$32)/1000+'Inputs'!$B$21+'Inputs'!$B$7+'Inputs'!$B$10)+'Inputs'!$B$9)^2+('Inputs'!$B$8/2)^2)-(((386-43)*MAX('Inputs'!$B$33,'Inputs'!$B$29+'Inputs'!$B$31+'Inputs'!$B$32,'Inputs'!$B$30+'Inputs'!$B$31+'Inputs'!$B$32)/1000+'Inputs'!$B$21+'Inputs'!$B$7+'Inputs'!$B$10))/SQRT((((386-43)*MAX('Inputs'!$B$33,'Inputs'!$B$29+'Inputs'!$B$31+'Inputs'!$B$32,'Inputs'!$B$30+'Inputs'!$B$31+'Inputs'!$B$32)/1000+'Inputs'!$B$21+'Inputs'!$B$7+'Inputs'!$B$10))^2+('Inputs'!$B$8/2)^2))))*'Results'!$B$8),"")</x:f>
        <x:v>14.576861339386921</x:v>
      </x:c>
      <x:c r="K386" t="n">
        <x:f>IF(AND(ISNUMBER('Results'!B7),ISNUMBER('Results'!C7),ISNUMBER('Results'!$B$8),ISNUMBER('Inputs'!$B$6),ISNUMBER('Inputs'!$B$7),ISNUMBER('Inputs'!$B$8),ISNUMBER('Inputs'!$B$9),ISNUMBER('Inputs'!$B$10),ISNUMBER('Inputs'!$B$21),ISNUMBER('Inputs'!$B$24),ISNUMBER('Inputs'!$B$28)),((('Results'!B7*(1-'Inputs'!$B$24)*(0.5*((((386-43)*MAX('Inputs'!$B$33,'Inputs'!$B$29+'Inputs'!$B$31+'Inputs'!$B$32,'Inputs'!$B$30+'Inputs'!$B$31+'Inputs'!$B$32)/1000+'Inputs'!$B$21)+'Inputs'!$B$7)/SQRT((((386-43)*MAX('Inputs'!$B$33,'Inputs'!$B$29+'Inputs'!$B$31+'Inputs'!$B$32,'Inputs'!$B$30+'Inputs'!$B$31+'Inputs'!$B$32)/1000+'Inputs'!$B$21)+'Inputs'!$B$7)^2+('Inputs'!$B$6/2)^2)-(((386-43)*MAX('Inputs'!$B$33,'Inputs'!$B$29+'Inputs'!$B$31+'Inputs'!$B$32,'Inputs'!$B$30+'Inputs'!$B$31+'Inputs'!$B$32)/1000+'Inputs'!$B$21))/SQRT((((386-43)*MAX('Inputs'!$B$33,'Inputs'!$B$29+'Inputs'!$B$31+'Inputs'!$B$32,'Inputs'!$B$30+'Inputs'!$B$31+'Inputs'!$B$32)/1000+'Inputs'!$B$21))^2+('Inputs'!$B$6/2)^2)))-'Results'!C7*(1+'Inputs'!$B$24)*(0.5*((((386-43)*MAX('Inputs'!$B$33,'Inputs'!$B$29+'Inputs'!$B$31+'Inputs'!$B$32,'Inputs'!$B$30+'Inputs'!$B$31+'Inputs'!$B$32)/1000+'Inputs'!$B$21+'Inputs'!$B$7+'Inputs'!$B$10)+'Inputs'!$B$9)/SQRT((((386-43)*MAX('Inputs'!$B$33,'Inputs'!$B$29+'Inputs'!$B$31+'Inputs'!$B$32,'Inputs'!$B$30+'Inputs'!$B$31+'Inputs'!$B$32)/1000+'Inputs'!$B$21+'Inputs'!$B$7+'Inputs'!$B$10)+'Inputs'!$B$9)^2+('Inputs'!$B$8/2)^2)-(((386-43)*MAX('Inputs'!$B$33,'Inputs'!$B$29+'Inputs'!$B$31+'Inputs'!$B$32,'Inputs'!$B$30+'Inputs'!$B$31+'Inputs'!$B$32)/1000+'Inputs'!$B$21+'Inputs'!$B$7+'Inputs'!$B$10))/SQRT((((386-43)*MAX('Inputs'!$B$33,'Inputs'!$B$29+'Inputs'!$B$31+'Inputs'!$B$32,'Inputs'!$B$30+'Inputs'!$B$31+'Inputs'!$B$32)/1000+'Inputs'!$B$21+'Inputs'!$B$7+'Inputs'!$B$10))^2+('Inputs'!$B$8/2)^2))))*'Results'!$B$8)-'Inputs'!$B$28*ABS((('Results'!B7*(1-'Inputs'!$B$24)*(0.5*((((386-43)*MAX('Inputs'!$B$33,'Inputs'!$B$29+'Inputs'!$B$31+'Inputs'!$B$32,'Inputs'!$B$30+'Inputs'!$B$31+'Inputs'!$B$32)/1000+'Inputs'!$B$21)+'Inputs'!$B$7)/SQRT((((386-43)*MAX('Inputs'!$B$33,'Inputs'!$B$29+'Inputs'!$B$31+'Inputs'!$B$32,'Inputs'!$B$30+'Inputs'!$B$31+'Inputs'!$B$32)/1000+'Inputs'!$B$21)+'Inputs'!$B$7)^2+('Inputs'!$B$6/2)^2)-(((386-43)*MAX('Inputs'!$B$33,'Inputs'!$B$29+'Inputs'!$B$31+'Inputs'!$B$32,'Inputs'!$B$30+'Inputs'!$B$31+'Inputs'!$B$32)/1000+'Inputs'!$B$21))/SQRT((((386-43)*MAX('Inputs'!$B$33,'Inputs'!$B$29+'Inputs'!$B$31+'Inputs'!$B$32,'Inputs'!$B$30+'Inputs'!$B$31+'Inputs'!$B$32)/1000+'Inputs'!$B$21))^2+('Inputs'!$B$6/2)^2)))-'Results'!C7*(1+'Inputs'!$B$24)*(0.5*((((386-43)*MAX('Inputs'!$B$33,'Inputs'!$B$29+'Inputs'!$B$31+'Inputs'!$B$32,'Inputs'!$B$30+'Inputs'!$B$31+'Inputs'!$B$32)/1000+'Inputs'!$B$21+'Inputs'!$B$7+'Inputs'!$B$10)+'Inputs'!$B$9)/SQRT((((386-43)*MAX('Inputs'!$B$33,'Inputs'!$B$29+'Inputs'!$B$31+'Inputs'!$B$32,'Inputs'!$B$30+'Inputs'!$B$31+'Inputs'!$B$32)/1000+'Inputs'!$B$21+'Inputs'!$B$7+'Inputs'!$B$10)+'Inputs'!$B$9)^2+('Inputs'!$B$8/2)^2)-(((386-43)*MAX('Inputs'!$B$33,'Inputs'!$B$29+'Inputs'!$B$31+'Inputs'!$B$32,'Inputs'!$B$30+'Inputs'!$B$31+'Inputs'!$B$32)/1000+'Inputs'!$B$21+'Inputs'!$B$7+'Inputs'!$B$10))/SQRT((((386-43)*MAX('Inputs'!$B$33,'Inputs'!$B$29+'Inputs'!$B$31+'Inputs'!$B$32,'Inputs'!$B$30+'Inputs'!$B$31+'Inputs'!$B$32)/1000+'Inputs'!$B$21+'Inputs'!$B$7+'Inputs'!$B$10))^2+('Inputs'!$B$8/2)^2))))*'Results'!$B$8))),"")</x:f>
        <x:v>13.132785084736728</x:v>
      </x:c>
      <x:c r="L386" t="n">
        <x:f>IF(AND(ISNUMBER('Results'!B7),ISNUMBER('Results'!C7),ISNUMBER('Results'!$B$8),ISNUMBER('Inputs'!$B$6),ISNUMBER('Inputs'!$B$7),ISNUMBER('Inputs'!$B$8),ISNUMBER('Inputs'!$B$9),ISNUMBER('Inputs'!$B$10),ISNUMBER('Inputs'!$B$21),ISNUMBER('Inputs'!$B$24),ISNUMBER('Inputs'!$B$28)),((('Results'!B7*(1+'Inputs'!$B$24)*(0.5*((((386-43)*MAX('Inputs'!$B$33,'Inputs'!$B$29+'Inputs'!$B$31+'Inputs'!$B$32,'Inputs'!$B$30+'Inputs'!$B$31+'Inputs'!$B$32)/1000+'Inputs'!$B$21)+'Inputs'!$B$7)/SQRT((((386-43)*MAX('Inputs'!$B$33,'Inputs'!$B$29+'Inputs'!$B$31+'Inputs'!$B$32,'Inputs'!$B$30+'Inputs'!$B$31+'Inputs'!$B$32)/1000+'Inputs'!$B$21)+'Inputs'!$B$7)^2+('Inputs'!$B$6/2)^2)-(((386-43)*MAX('Inputs'!$B$33,'Inputs'!$B$29+'Inputs'!$B$31+'Inputs'!$B$32,'Inputs'!$B$30+'Inputs'!$B$31+'Inputs'!$B$32)/1000+'Inputs'!$B$21))/SQRT((((386-43)*MAX('Inputs'!$B$33,'Inputs'!$B$29+'Inputs'!$B$31+'Inputs'!$B$32,'Inputs'!$B$30+'Inputs'!$B$31+'Inputs'!$B$32)/1000+'Inputs'!$B$21))^2+('Inputs'!$B$6/2)^2)))-'Results'!C7*(1-'Inputs'!$B$24)*(0.5*((((386-43)*MAX('Inputs'!$B$33,'Inputs'!$B$29+'Inputs'!$B$31+'Inputs'!$B$32,'Inputs'!$B$30+'Inputs'!$B$31+'Inputs'!$B$32)/1000+'Inputs'!$B$21+'Inputs'!$B$7+'Inputs'!$B$10)+'Inputs'!$B$9)/SQRT((((386-43)*MAX('Inputs'!$B$33,'Inputs'!$B$29+'Inputs'!$B$31+'Inputs'!$B$32,'Inputs'!$B$30+'Inputs'!$B$31+'Inputs'!$B$32)/1000+'Inputs'!$B$21+'Inputs'!$B$7+'Inputs'!$B$10)+'Inputs'!$B$9)^2+('Inputs'!$B$8/2)^2)-(((386-43)*MAX('Inputs'!$B$33,'Inputs'!$B$29+'Inputs'!$B$31+'Inputs'!$B$32,'Inputs'!$B$30+'Inputs'!$B$31+'Inputs'!$B$32)/1000+'Inputs'!$B$21+'Inputs'!$B$7+'Inputs'!$B$10))/SQRT((((386-43)*MAX('Inputs'!$B$33,'Inputs'!$B$29+'Inputs'!$B$31+'Inputs'!$B$32,'Inputs'!$B$30+'Inputs'!$B$31+'Inputs'!$B$32)/1000+'Inputs'!$B$21+'Inputs'!$B$7+'Inputs'!$B$10))^2+('Inputs'!$B$8/2)^2))))*'Results'!$B$8)+'Inputs'!$B$28*ABS((('Results'!B7*(1+'Inputs'!$B$24)*(0.5*((((386-43)*MAX('Inputs'!$B$33,'Inputs'!$B$29+'Inputs'!$B$31+'Inputs'!$B$32,'Inputs'!$B$30+'Inputs'!$B$31+'Inputs'!$B$32)/1000+'Inputs'!$B$21)+'Inputs'!$B$7)/SQRT((((386-43)*MAX('Inputs'!$B$33,'Inputs'!$B$29+'Inputs'!$B$31+'Inputs'!$B$32,'Inputs'!$B$30+'Inputs'!$B$31+'Inputs'!$B$32)/1000+'Inputs'!$B$21)+'Inputs'!$B$7)^2+('Inputs'!$B$6/2)^2)-(((386-43)*MAX('Inputs'!$B$33,'Inputs'!$B$29+'Inputs'!$B$31+'Inputs'!$B$32,'Inputs'!$B$30+'Inputs'!$B$31+'Inputs'!$B$32)/1000+'Inputs'!$B$21))/SQRT((((386-43)*MAX('Inputs'!$B$33,'Inputs'!$B$29+'Inputs'!$B$31+'Inputs'!$B$32,'Inputs'!$B$30+'Inputs'!$B$31+'Inputs'!$B$32)/1000+'Inputs'!$B$21))^2+('Inputs'!$B$6/2)^2)))-'Results'!C7*(1-'Inputs'!$B$24)*(0.5*((((386-43)*MAX('Inputs'!$B$33,'Inputs'!$B$29+'Inputs'!$B$31+'Inputs'!$B$32,'Inputs'!$B$30+'Inputs'!$B$31+'Inputs'!$B$32)/1000+'Inputs'!$B$21+'Inputs'!$B$7+'Inputs'!$B$10)+'Inputs'!$B$9)/SQRT((((386-43)*MAX('Inputs'!$B$33,'Inputs'!$B$29+'Inputs'!$B$31+'Inputs'!$B$32,'Inputs'!$B$30+'Inputs'!$B$31+'Inputs'!$B$32)/1000+'Inputs'!$B$21+'Inputs'!$B$7+'Inputs'!$B$10)+'Inputs'!$B$9)^2+('Inputs'!$B$8/2)^2)-(((386-43)*MAX('Inputs'!$B$33,'Inputs'!$B$29+'Inputs'!$B$31+'Inputs'!$B$32,'Inputs'!$B$30+'Inputs'!$B$31+'Inputs'!$B$32)/1000+'Inputs'!$B$21+'Inputs'!$B$7+'Inputs'!$B$10))/SQRT((((386-43)*MAX('Inputs'!$B$33,'Inputs'!$B$29+'Inputs'!$B$31+'Inputs'!$B$32,'Inputs'!$B$30+'Inputs'!$B$31+'Inputs'!$B$32)/1000+'Inputs'!$B$21+'Inputs'!$B$7+'Inputs'!$B$10))^2+('Inputs'!$B$8/2)^2))))*'Results'!$B$8))),"")</x:f>
        <x:v>16.096225298003525</x:v>
      </x:c>
      <x:c r="M386" t="n">
        <x:f>IF(AND(ISNUMBER('Results'!C7),ISNUMBER('Results'!B7),ISNUMBER('Results'!$B$8),ISNUMBER('Inputs'!$B$6),ISNUMBER('Inputs'!$B$7),ISNUMBER('Inputs'!$B$8),ISNUMBER('Inputs'!$B$9),ISNUMBER('Inputs'!$B$10),ISNUMBER('Inputs'!$B$21),ISNUMBER('Inputs'!$B$24),ISNUMBER('Inputs'!$B$28)),(('Results'!C7*(0.5*((((386-43)*MAX('Inputs'!$B$33,'Inputs'!$B$29+'Inputs'!$B$31+'Inputs'!$B$32,'Inputs'!$B$30+'Inputs'!$B$31+'Inputs'!$B$32)/1000+'Inputs'!$B$21)+'Inputs'!$B$9)/SQRT((((386-43)*MAX('Inputs'!$B$33,'Inputs'!$B$29+'Inputs'!$B$31+'Inputs'!$B$32,'Inputs'!$B$30+'Inputs'!$B$31+'Inputs'!$B$32)/1000+'Inputs'!$B$21)+'Inputs'!$B$9)^2+('Inputs'!$B$8/2)^2)-(((386-43)*MAX('Inputs'!$B$33,'Inputs'!$B$29+'Inputs'!$B$31+'Inputs'!$B$32,'Inputs'!$B$30+'Inputs'!$B$31+'Inputs'!$B$32)/1000+'Inputs'!$B$21))/SQRT((((386-43)*MAX('Inputs'!$B$33,'Inputs'!$B$29+'Inputs'!$B$31+'Inputs'!$B$32,'Inputs'!$B$30+'Inputs'!$B$31+'Inputs'!$B$32)/1000+'Inputs'!$B$21))^2+('Inputs'!$B$8/2)^2)))-'Results'!B7*(0.5*((((386-43)*MAX('Inputs'!$B$33,'Inputs'!$B$29+'Inputs'!$B$31+'Inputs'!$B$32,'Inputs'!$B$30+'Inputs'!$B$31+'Inputs'!$B$32)/1000+'Inputs'!$B$21+'Inputs'!$B$9+'Inputs'!$B$10)+'Inputs'!$B$7)/SQRT((((386-43)*MAX('Inputs'!$B$33,'Inputs'!$B$29+'Inputs'!$B$31+'Inputs'!$B$32,'Inputs'!$B$30+'Inputs'!$B$31+'Inputs'!$B$32)/1000+'Inputs'!$B$21+'Inputs'!$B$9+'Inputs'!$B$10)+'Inputs'!$B$7)^2+('Inputs'!$B$6/2)^2)-(((386-43)*MAX('Inputs'!$B$33,'Inputs'!$B$29+'Inputs'!$B$31+'Inputs'!$B$32,'Inputs'!$B$30+'Inputs'!$B$31+'Inputs'!$B$32)/1000+'Inputs'!$B$21+'Inputs'!$B$9+'Inputs'!$B$10))/SQRT((((386-43)*MAX('Inputs'!$B$33,'Inputs'!$B$29+'Inputs'!$B$31+'Inputs'!$B$32,'Inputs'!$B$30+'Inputs'!$B$31+'Inputs'!$B$32)/1000+'Inputs'!$B$21+'Inputs'!$B$9+'Inputs'!$B$10))^2+('Inputs'!$B$6/2)^2))))*'Results'!$B$8),"")</x:f>
        <x:v>13.81927675061189</x:v>
      </x:c>
      <x:c r="N386" t="n">
        <x:f>IF(AND(ISNUMBER('Results'!C7),ISNUMBER('Results'!B7),ISNUMBER('Results'!$B$8),ISNUMBER('Inputs'!$B$6),ISNUMBER('Inputs'!$B$7),ISNUMBER('Inputs'!$B$8),ISNUMBER('Inputs'!$B$9),ISNUMBER('Inputs'!$B$10),ISNUMBER('Inputs'!$B$21),ISNUMBER('Inputs'!$B$24),ISNUMBER('Inputs'!$B$28)),((('Results'!C7*(1-'Inputs'!$B$24)*(0.5*((((386-43)*MAX('Inputs'!$B$33,'Inputs'!$B$29+'Inputs'!$B$31+'Inputs'!$B$32,'Inputs'!$B$30+'Inputs'!$B$31+'Inputs'!$B$32)/1000+'Inputs'!$B$21)+'Inputs'!$B$9)/SQRT((((386-43)*MAX('Inputs'!$B$33,'Inputs'!$B$29+'Inputs'!$B$31+'Inputs'!$B$32,'Inputs'!$B$30+'Inputs'!$B$31+'Inputs'!$B$32)/1000+'Inputs'!$B$21)+'Inputs'!$B$9)^2+('Inputs'!$B$8/2)^2)-(((386-43)*MAX('Inputs'!$B$33,'Inputs'!$B$29+'Inputs'!$B$31+'Inputs'!$B$32,'Inputs'!$B$30+'Inputs'!$B$31+'Inputs'!$B$32)/1000+'Inputs'!$B$21))/SQRT((((386-43)*MAX('Inputs'!$B$33,'Inputs'!$B$29+'Inputs'!$B$31+'Inputs'!$B$32,'Inputs'!$B$30+'Inputs'!$B$31+'Inputs'!$B$32)/1000+'Inputs'!$B$21))^2+('Inputs'!$B$8/2)^2)))-'Results'!B7*(1+'Inputs'!$B$24)*(0.5*((((386-43)*MAX('Inputs'!$B$33,'Inputs'!$B$29+'Inputs'!$B$31+'Inputs'!$B$32,'Inputs'!$B$30+'Inputs'!$B$31+'Inputs'!$B$32)/1000+'Inputs'!$B$21+'Inputs'!$B$9+'Inputs'!$B$10)+'Inputs'!$B$7)/SQRT((((386-43)*MAX('Inputs'!$B$33,'Inputs'!$B$29+'Inputs'!$B$31+'Inputs'!$B$32,'Inputs'!$B$30+'Inputs'!$B$31+'Inputs'!$B$32)/1000+'Inputs'!$B$21+'Inputs'!$B$9+'Inputs'!$B$10)+'Inputs'!$B$7)^2+('Inputs'!$B$6/2)^2)-(((386-43)*MAX('Inputs'!$B$33,'Inputs'!$B$29+'Inputs'!$B$31+'Inputs'!$B$32,'Inputs'!$B$30+'Inputs'!$B$31+'Inputs'!$B$32)/1000+'Inputs'!$B$21+'Inputs'!$B$9+'Inputs'!$B$10))/SQRT((((386-43)*MAX('Inputs'!$B$33,'Inputs'!$B$29+'Inputs'!$B$31+'Inputs'!$B$32,'Inputs'!$B$30+'Inputs'!$B$31+'Inputs'!$B$32)/1000+'Inputs'!$B$21+'Inputs'!$B$9+'Inputs'!$B$10))^2+('Inputs'!$B$6/2)^2))))*'Results'!$B$8)-'Inputs'!$B$28*ABS((('Results'!C7*(1-'Inputs'!$B$24)*(0.5*((((386-43)*MAX('Inputs'!$B$33,'Inputs'!$B$29+'Inputs'!$B$31+'Inputs'!$B$32,'Inputs'!$B$30+'Inputs'!$B$31+'Inputs'!$B$32)/1000+'Inputs'!$B$21)+'Inputs'!$B$9)/SQRT((((386-43)*MAX('Inputs'!$B$33,'Inputs'!$B$29+'Inputs'!$B$31+'Inputs'!$B$32,'Inputs'!$B$30+'Inputs'!$B$31+'Inputs'!$B$32)/1000+'Inputs'!$B$21)+'Inputs'!$B$9)^2+('Inputs'!$B$8/2)^2)-(((386-43)*MAX('Inputs'!$B$33,'Inputs'!$B$29+'Inputs'!$B$31+'Inputs'!$B$32,'Inputs'!$B$30+'Inputs'!$B$31+'Inputs'!$B$32)/1000+'Inputs'!$B$21))/SQRT((((386-43)*MAX('Inputs'!$B$33,'Inputs'!$B$29+'Inputs'!$B$31+'Inputs'!$B$32,'Inputs'!$B$30+'Inputs'!$B$31+'Inputs'!$B$32)/1000+'Inputs'!$B$21))^2+('Inputs'!$B$8/2)^2)))-'Results'!B7*(1+'Inputs'!$B$24)*(0.5*((((386-43)*MAX('Inputs'!$B$33,'Inputs'!$B$29+'Inputs'!$B$31+'Inputs'!$B$32,'Inputs'!$B$30+'Inputs'!$B$31+'Inputs'!$B$32)/1000+'Inputs'!$B$21+'Inputs'!$B$9+'Inputs'!$B$10)+'Inputs'!$B$7)/SQRT((((386-43)*MAX('Inputs'!$B$33,'Inputs'!$B$29+'Inputs'!$B$31+'Inputs'!$B$32,'Inputs'!$B$30+'Inputs'!$B$31+'Inputs'!$B$32)/1000+'Inputs'!$B$21+'Inputs'!$B$9+'Inputs'!$B$10)+'Inputs'!$B$7)^2+('Inputs'!$B$6/2)^2)-(((386-43)*MAX('Inputs'!$B$33,'Inputs'!$B$29+'Inputs'!$B$31+'Inputs'!$B$32,'Inputs'!$B$30+'Inputs'!$B$31+'Inputs'!$B$32)/1000+'Inputs'!$B$21+'Inputs'!$B$9+'Inputs'!$B$10))/SQRT((((386-43)*MAX('Inputs'!$B$33,'Inputs'!$B$29+'Inputs'!$B$31+'Inputs'!$B$32,'Inputs'!$B$30+'Inputs'!$B$31+'Inputs'!$B$32)/1000+'Inputs'!$B$21+'Inputs'!$B$9+'Inputs'!$B$10))^2+('Inputs'!$B$6/2)^2))))*'Results'!$B$8))),"")</x:f>
        <x:v>12.418529489276306</x:v>
      </x:c>
      <x:c r="O386" t="n">
        <x:f>IF(AND(ISNUMBER('Results'!C7),ISNUMBER('Results'!B7),ISNUMBER('Results'!$B$8),ISNUMBER('Inputs'!$B$6),ISNUMBER('Inputs'!$B$7),ISNUMBER('Inputs'!$B$8),ISNUMBER('Inputs'!$B$9),ISNUMBER('Inputs'!$B$10),ISNUMBER('Inputs'!$B$21),ISNUMBER('Inputs'!$B$24),ISNUMBER('Inputs'!$B$28)),((('Results'!C7*(1+'Inputs'!$B$24)*(0.5*((((386-43)*MAX('Inputs'!$B$33,'Inputs'!$B$29+'Inputs'!$B$31+'Inputs'!$B$32,'Inputs'!$B$30+'Inputs'!$B$31+'Inputs'!$B$32)/1000+'Inputs'!$B$21)+'Inputs'!$B$9)/SQRT((((386-43)*MAX('Inputs'!$B$33,'Inputs'!$B$29+'Inputs'!$B$31+'Inputs'!$B$32,'Inputs'!$B$30+'Inputs'!$B$31+'Inputs'!$B$32)/1000+'Inputs'!$B$21)+'Inputs'!$B$9)^2+('Inputs'!$B$8/2)^2)-(((386-43)*MAX('Inputs'!$B$33,'Inputs'!$B$29+'Inputs'!$B$31+'Inputs'!$B$32,'Inputs'!$B$30+'Inputs'!$B$31+'Inputs'!$B$32)/1000+'Inputs'!$B$21))/SQRT((((386-43)*MAX('Inputs'!$B$33,'Inputs'!$B$29+'Inputs'!$B$31+'Inputs'!$B$32,'Inputs'!$B$30+'Inputs'!$B$31+'Inputs'!$B$32)/1000+'Inputs'!$B$21))^2+('Inputs'!$B$8/2)^2)))-'Results'!B7*(1-'Inputs'!$B$24)*(0.5*((((386-43)*MAX('Inputs'!$B$33,'Inputs'!$B$29+'Inputs'!$B$31+'Inputs'!$B$32,'Inputs'!$B$30+'Inputs'!$B$31+'Inputs'!$B$32)/1000+'Inputs'!$B$21+'Inputs'!$B$9+'Inputs'!$B$10)+'Inputs'!$B$7)/SQRT((((386-43)*MAX('Inputs'!$B$33,'Inputs'!$B$29+'Inputs'!$B$31+'Inputs'!$B$32,'Inputs'!$B$30+'Inputs'!$B$31+'Inputs'!$B$32)/1000+'Inputs'!$B$21+'Inputs'!$B$9+'Inputs'!$B$10)+'Inputs'!$B$7)^2+('Inputs'!$B$6/2)^2)-(((386-43)*MAX('Inputs'!$B$33,'Inputs'!$B$29+'Inputs'!$B$31+'Inputs'!$B$32,'Inputs'!$B$30+'Inputs'!$B$31+'Inputs'!$B$32)/1000+'Inputs'!$B$21+'Inputs'!$B$9+'Inputs'!$B$10))/SQRT((((386-43)*MAX('Inputs'!$B$33,'Inputs'!$B$29+'Inputs'!$B$31+'Inputs'!$B$32,'Inputs'!$B$30+'Inputs'!$B$31+'Inputs'!$B$32)/1000+'Inputs'!$B$21+'Inputs'!$B$9+'Inputs'!$B$10))^2+('Inputs'!$B$6/2)^2))))*'Results'!$B$8)+'Inputs'!$B$28*ABS((('Results'!C7*(1+'Inputs'!$B$24)*(0.5*((((386-43)*MAX('Inputs'!$B$33,'Inputs'!$B$29+'Inputs'!$B$31+'Inputs'!$B$32,'Inputs'!$B$30+'Inputs'!$B$31+'Inputs'!$B$32)/1000+'Inputs'!$B$21)+'Inputs'!$B$9)/SQRT((((386-43)*MAX('Inputs'!$B$33,'Inputs'!$B$29+'Inputs'!$B$31+'Inputs'!$B$32,'Inputs'!$B$30+'Inputs'!$B$31+'Inputs'!$B$32)/1000+'Inputs'!$B$21)+'Inputs'!$B$9)^2+('Inputs'!$B$8/2)^2)-(((386-43)*MAX('Inputs'!$B$33,'Inputs'!$B$29+'Inputs'!$B$31+'Inputs'!$B$32,'Inputs'!$B$30+'Inputs'!$B$31+'Inputs'!$B$32)/1000+'Inputs'!$B$21))/SQRT((((386-43)*MAX('Inputs'!$B$33,'Inputs'!$B$29+'Inputs'!$B$31+'Inputs'!$B$32,'Inputs'!$B$30+'Inputs'!$B$31+'Inputs'!$B$32)/1000+'Inputs'!$B$21))^2+('Inputs'!$B$8/2)^2)))-'Results'!B7*(1-'Inputs'!$B$24)*(0.5*((((386-43)*MAX('Inputs'!$B$33,'Inputs'!$B$29+'Inputs'!$B$31+'Inputs'!$B$32,'Inputs'!$B$30+'Inputs'!$B$31+'Inputs'!$B$32)/1000+'Inputs'!$B$21+'Inputs'!$B$9+'Inputs'!$B$10)+'Inputs'!$B$7)/SQRT((((386-43)*MAX('Inputs'!$B$33,'Inputs'!$B$29+'Inputs'!$B$31+'Inputs'!$B$32,'Inputs'!$B$30+'Inputs'!$B$31+'Inputs'!$B$32)/1000+'Inputs'!$B$21+'Inputs'!$B$9+'Inputs'!$B$10)+'Inputs'!$B$7)^2+('Inputs'!$B$6/2)^2)-(((386-43)*MAX('Inputs'!$B$33,'Inputs'!$B$29+'Inputs'!$B$31+'Inputs'!$B$32,'Inputs'!$B$30+'Inputs'!$B$31+'Inputs'!$B$32)/1000+'Inputs'!$B$21+'Inputs'!$B$9+'Inputs'!$B$10))/SQRT((((386-43)*MAX('Inputs'!$B$33,'Inputs'!$B$29+'Inputs'!$B$31+'Inputs'!$B$32,'Inputs'!$B$30+'Inputs'!$B$31+'Inputs'!$B$32)/1000+'Inputs'!$B$21+'Inputs'!$B$9+'Inputs'!$B$10))^2+('Inputs'!$B$6/2)^2))))*'Results'!$B$8))),"")</x:f>
        <x:v>15.294738056558526</x:v>
      </x:c>
      <x:c r="P386" t="n">
        <x:f>IF(AND(MAX(J386,J385)&gt;0,J386&gt;J385+0.00000001),1,0)</x:f>
        <x:v>0</x:v>
      </x:c>
      <x:c r="Q386" t="n">
        <x:f>IF(AND(MAX(K386,K385)&gt;0,K386&gt;K385+0.00000001),1,0)</x:f>
        <x:v>0</x:v>
      </x:c>
      <x:c r="R386" t="n">
        <x:f>IF(AND(MAX(L386,L385)&gt;0,L386&gt;L385+0.00000001),1,0)</x:f>
        <x:v>0</x:v>
      </x:c>
      <x:c r="S386" t="n">
        <x:f>IF(AND(MAX(M386,M385)&gt;0,M386&gt;M385+0.00000001),1,0)</x:f>
        <x:v>0</x:v>
      </x:c>
      <x:c r="T386" t="n">
        <x:f>IF(AND(MAX(N386,N385)&gt;0,N386&gt;N385+0.00000001),1,0)</x:f>
        <x:v>0</x:v>
      </x:c>
      <x:c r="U386" t="n">
        <x:f>IF(AND(MAX(O386,O385)&gt;0,O386&gt;O385+0.00000001),1,0)</x:f>
        <x:v>0</x:v>
      </x:c>
    </x:row>
    <x:row r="387">
      <x:c r="J387" t="n">
        <x:f>IF(AND(ISNUMBER('Results'!B7),ISNUMBER('Results'!C7),ISNUMBER('Results'!$B$8),ISNUMBER('Inputs'!$B$6),ISNUMBER('Inputs'!$B$7),ISNUMBER('Inputs'!$B$8),ISNUMBER('Inputs'!$B$9),ISNUMBER('Inputs'!$B$10),ISNUMBER('Inputs'!$B$21),ISNUMBER('Inputs'!$B$24),ISNUMBER('Inputs'!$B$28)),(('Results'!B7*(0.5*((((387-43)*MAX('Inputs'!$B$33,'Inputs'!$B$29+'Inputs'!$B$31+'Inputs'!$B$32,'Inputs'!$B$30+'Inputs'!$B$31+'Inputs'!$B$32)/1000+'Inputs'!$B$21)+'Inputs'!$B$7)/SQRT((((387-43)*MAX('Inputs'!$B$33,'Inputs'!$B$29+'Inputs'!$B$31+'Inputs'!$B$32,'Inputs'!$B$30+'Inputs'!$B$31+'Inputs'!$B$32)/1000+'Inputs'!$B$21)+'Inputs'!$B$7)^2+('Inputs'!$B$6/2)^2)-(((387-43)*MAX('Inputs'!$B$33,'Inputs'!$B$29+'Inputs'!$B$31+'Inputs'!$B$32,'Inputs'!$B$30+'Inputs'!$B$31+'Inputs'!$B$32)/1000+'Inputs'!$B$21))/SQRT((((387-43)*MAX('Inputs'!$B$33,'Inputs'!$B$29+'Inputs'!$B$31+'Inputs'!$B$32,'Inputs'!$B$30+'Inputs'!$B$31+'Inputs'!$B$32)/1000+'Inputs'!$B$21))^2+('Inputs'!$B$6/2)^2)))-'Results'!C7*(0.5*((((387-43)*MAX('Inputs'!$B$33,'Inputs'!$B$29+'Inputs'!$B$31+'Inputs'!$B$32,'Inputs'!$B$30+'Inputs'!$B$31+'Inputs'!$B$32)/1000+'Inputs'!$B$21+'Inputs'!$B$7+'Inputs'!$B$10)+'Inputs'!$B$9)/SQRT((((387-43)*MAX('Inputs'!$B$33,'Inputs'!$B$29+'Inputs'!$B$31+'Inputs'!$B$32,'Inputs'!$B$30+'Inputs'!$B$31+'Inputs'!$B$32)/1000+'Inputs'!$B$21+'Inputs'!$B$7+'Inputs'!$B$10)+'Inputs'!$B$9)^2+('Inputs'!$B$8/2)^2)-(((387-43)*MAX('Inputs'!$B$33,'Inputs'!$B$29+'Inputs'!$B$31+'Inputs'!$B$32,'Inputs'!$B$30+'Inputs'!$B$31+'Inputs'!$B$32)/1000+'Inputs'!$B$21+'Inputs'!$B$7+'Inputs'!$B$10))/SQRT((((387-43)*MAX('Inputs'!$B$33,'Inputs'!$B$29+'Inputs'!$B$31+'Inputs'!$B$32,'Inputs'!$B$30+'Inputs'!$B$31+'Inputs'!$B$32)/1000+'Inputs'!$B$21+'Inputs'!$B$7+'Inputs'!$B$10))^2+('Inputs'!$B$8/2)^2))))*'Results'!$B$8),"")</x:f>
        <x:v>14.441588397898556</x:v>
      </x:c>
      <x:c r="K387" t="n">
        <x:f>IF(AND(ISNUMBER('Results'!B7),ISNUMBER('Results'!C7),ISNUMBER('Results'!$B$8),ISNUMBER('Inputs'!$B$6),ISNUMBER('Inputs'!$B$7),ISNUMBER('Inputs'!$B$8),ISNUMBER('Inputs'!$B$9),ISNUMBER('Inputs'!$B$10),ISNUMBER('Inputs'!$B$21),ISNUMBER('Inputs'!$B$24),ISNUMBER('Inputs'!$B$28)),((('Results'!B7*(1-'Inputs'!$B$24)*(0.5*((((387-43)*MAX('Inputs'!$B$33,'Inputs'!$B$29+'Inputs'!$B$31+'Inputs'!$B$32,'Inputs'!$B$30+'Inputs'!$B$31+'Inputs'!$B$32)/1000+'Inputs'!$B$21)+'Inputs'!$B$7)/SQRT((((387-43)*MAX('Inputs'!$B$33,'Inputs'!$B$29+'Inputs'!$B$31+'Inputs'!$B$32,'Inputs'!$B$30+'Inputs'!$B$31+'Inputs'!$B$32)/1000+'Inputs'!$B$21)+'Inputs'!$B$7)^2+('Inputs'!$B$6/2)^2)-(((387-43)*MAX('Inputs'!$B$33,'Inputs'!$B$29+'Inputs'!$B$31+'Inputs'!$B$32,'Inputs'!$B$30+'Inputs'!$B$31+'Inputs'!$B$32)/1000+'Inputs'!$B$21))/SQRT((((387-43)*MAX('Inputs'!$B$33,'Inputs'!$B$29+'Inputs'!$B$31+'Inputs'!$B$32,'Inputs'!$B$30+'Inputs'!$B$31+'Inputs'!$B$32)/1000+'Inputs'!$B$21))^2+('Inputs'!$B$6/2)^2)))-'Results'!C7*(1+'Inputs'!$B$24)*(0.5*((((387-43)*MAX('Inputs'!$B$33,'Inputs'!$B$29+'Inputs'!$B$31+'Inputs'!$B$32,'Inputs'!$B$30+'Inputs'!$B$31+'Inputs'!$B$32)/1000+'Inputs'!$B$21+'Inputs'!$B$7+'Inputs'!$B$10)+'Inputs'!$B$9)/SQRT((((387-43)*MAX('Inputs'!$B$33,'Inputs'!$B$29+'Inputs'!$B$31+'Inputs'!$B$32,'Inputs'!$B$30+'Inputs'!$B$31+'Inputs'!$B$32)/1000+'Inputs'!$B$21+'Inputs'!$B$7+'Inputs'!$B$10)+'Inputs'!$B$9)^2+('Inputs'!$B$8/2)^2)-(((387-43)*MAX('Inputs'!$B$33,'Inputs'!$B$29+'Inputs'!$B$31+'Inputs'!$B$32,'Inputs'!$B$30+'Inputs'!$B$31+'Inputs'!$B$32)/1000+'Inputs'!$B$21+'Inputs'!$B$7+'Inputs'!$B$10))/SQRT((((387-43)*MAX('Inputs'!$B$33,'Inputs'!$B$29+'Inputs'!$B$31+'Inputs'!$B$32,'Inputs'!$B$30+'Inputs'!$B$31+'Inputs'!$B$32)/1000+'Inputs'!$B$21+'Inputs'!$B$7+'Inputs'!$B$10))^2+('Inputs'!$B$8/2)^2))))*'Results'!$B$8)-'Inputs'!$B$28*ABS((('Results'!B7*(1-'Inputs'!$B$24)*(0.5*((((387-43)*MAX('Inputs'!$B$33,'Inputs'!$B$29+'Inputs'!$B$31+'Inputs'!$B$32,'Inputs'!$B$30+'Inputs'!$B$31+'Inputs'!$B$32)/1000+'Inputs'!$B$21)+'Inputs'!$B$7)/SQRT((((387-43)*MAX('Inputs'!$B$33,'Inputs'!$B$29+'Inputs'!$B$31+'Inputs'!$B$32,'Inputs'!$B$30+'Inputs'!$B$31+'Inputs'!$B$32)/1000+'Inputs'!$B$21)+'Inputs'!$B$7)^2+('Inputs'!$B$6/2)^2)-(((387-43)*MAX('Inputs'!$B$33,'Inputs'!$B$29+'Inputs'!$B$31+'Inputs'!$B$32,'Inputs'!$B$30+'Inputs'!$B$31+'Inputs'!$B$32)/1000+'Inputs'!$B$21))/SQRT((((387-43)*MAX('Inputs'!$B$33,'Inputs'!$B$29+'Inputs'!$B$31+'Inputs'!$B$32,'Inputs'!$B$30+'Inputs'!$B$31+'Inputs'!$B$32)/1000+'Inputs'!$B$21))^2+('Inputs'!$B$6/2)^2)))-'Results'!C7*(1+'Inputs'!$B$24)*(0.5*((((387-43)*MAX('Inputs'!$B$33,'Inputs'!$B$29+'Inputs'!$B$31+'Inputs'!$B$32,'Inputs'!$B$30+'Inputs'!$B$31+'Inputs'!$B$32)/1000+'Inputs'!$B$21+'Inputs'!$B$7+'Inputs'!$B$10)+'Inputs'!$B$9)/SQRT((((387-43)*MAX('Inputs'!$B$33,'Inputs'!$B$29+'Inputs'!$B$31+'Inputs'!$B$32,'Inputs'!$B$30+'Inputs'!$B$31+'Inputs'!$B$32)/1000+'Inputs'!$B$21+'Inputs'!$B$7+'Inputs'!$B$10)+'Inputs'!$B$9)^2+('Inputs'!$B$8/2)^2)-(((387-43)*MAX('Inputs'!$B$33,'Inputs'!$B$29+'Inputs'!$B$31+'Inputs'!$B$32,'Inputs'!$B$30+'Inputs'!$B$31+'Inputs'!$B$32)/1000+'Inputs'!$B$21+'Inputs'!$B$7+'Inputs'!$B$10))/SQRT((((387-43)*MAX('Inputs'!$B$33,'Inputs'!$B$29+'Inputs'!$B$31+'Inputs'!$B$32,'Inputs'!$B$30+'Inputs'!$B$31+'Inputs'!$B$32)/1000+'Inputs'!$B$21+'Inputs'!$B$7+'Inputs'!$B$10))^2+('Inputs'!$B$8/2)^2))))*'Results'!$B$8))),"")</x:f>
        <x:v>13.00952006431499</x:v>
      </x:c>
      <x:c r="L387" t="n">
        <x:f>IF(AND(ISNUMBER('Results'!B7),ISNUMBER('Results'!C7),ISNUMBER('Results'!$B$8),ISNUMBER('Inputs'!$B$6),ISNUMBER('Inputs'!$B$7),ISNUMBER('Inputs'!$B$8),ISNUMBER('Inputs'!$B$9),ISNUMBER('Inputs'!$B$10),ISNUMBER('Inputs'!$B$21),ISNUMBER('Inputs'!$B$24),ISNUMBER('Inputs'!$B$28)),((('Results'!B7*(1+'Inputs'!$B$24)*(0.5*((((387-43)*MAX('Inputs'!$B$33,'Inputs'!$B$29+'Inputs'!$B$31+'Inputs'!$B$32,'Inputs'!$B$30+'Inputs'!$B$31+'Inputs'!$B$32)/1000+'Inputs'!$B$21)+'Inputs'!$B$7)/SQRT((((387-43)*MAX('Inputs'!$B$33,'Inputs'!$B$29+'Inputs'!$B$31+'Inputs'!$B$32,'Inputs'!$B$30+'Inputs'!$B$31+'Inputs'!$B$32)/1000+'Inputs'!$B$21)+'Inputs'!$B$7)^2+('Inputs'!$B$6/2)^2)-(((387-43)*MAX('Inputs'!$B$33,'Inputs'!$B$29+'Inputs'!$B$31+'Inputs'!$B$32,'Inputs'!$B$30+'Inputs'!$B$31+'Inputs'!$B$32)/1000+'Inputs'!$B$21))/SQRT((((387-43)*MAX('Inputs'!$B$33,'Inputs'!$B$29+'Inputs'!$B$31+'Inputs'!$B$32,'Inputs'!$B$30+'Inputs'!$B$31+'Inputs'!$B$32)/1000+'Inputs'!$B$21))^2+('Inputs'!$B$6/2)^2)))-'Results'!C7*(1-'Inputs'!$B$24)*(0.5*((((387-43)*MAX('Inputs'!$B$33,'Inputs'!$B$29+'Inputs'!$B$31+'Inputs'!$B$32,'Inputs'!$B$30+'Inputs'!$B$31+'Inputs'!$B$32)/1000+'Inputs'!$B$21+'Inputs'!$B$7+'Inputs'!$B$10)+'Inputs'!$B$9)/SQRT((((387-43)*MAX('Inputs'!$B$33,'Inputs'!$B$29+'Inputs'!$B$31+'Inputs'!$B$32,'Inputs'!$B$30+'Inputs'!$B$31+'Inputs'!$B$32)/1000+'Inputs'!$B$21+'Inputs'!$B$7+'Inputs'!$B$10)+'Inputs'!$B$9)^2+('Inputs'!$B$8/2)^2)-(((387-43)*MAX('Inputs'!$B$33,'Inputs'!$B$29+'Inputs'!$B$31+'Inputs'!$B$32,'Inputs'!$B$30+'Inputs'!$B$31+'Inputs'!$B$32)/1000+'Inputs'!$B$21+'Inputs'!$B$7+'Inputs'!$B$10))/SQRT((((387-43)*MAX('Inputs'!$B$33,'Inputs'!$B$29+'Inputs'!$B$31+'Inputs'!$B$32,'Inputs'!$B$30+'Inputs'!$B$31+'Inputs'!$B$32)/1000+'Inputs'!$B$21+'Inputs'!$B$7+'Inputs'!$B$10))^2+('Inputs'!$B$8/2)^2))))*'Results'!$B$8)+'Inputs'!$B$28*ABS((('Results'!B7*(1+'Inputs'!$B$24)*(0.5*((((387-43)*MAX('Inputs'!$B$33,'Inputs'!$B$29+'Inputs'!$B$31+'Inputs'!$B$32,'Inputs'!$B$30+'Inputs'!$B$31+'Inputs'!$B$32)/1000+'Inputs'!$B$21)+'Inputs'!$B$7)/SQRT((((387-43)*MAX('Inputs'!$B$33,'Inputs'!$B$29+'Inputs'!$B$31+'Inputs'!$B$32,'Inputs'!$B$30+'Inputs'!$B$31+'Inputs'!$B$32)/1000+'Inputs'!$B$21)+'Inputs'!$B$7)^2+('Inputs'!$B$6/2)^2)-(((387-43)*MAX('Inputs'!$B$33,'Inputs'!$B$29+'Inputs'!$B$31+'Inputs'!$B$32,'Inputs'!$B$30+'Inputs'!$B$31+'Inputs'!$B$32)/1000+'Inputs'!$B$21))/SQRT((((387-43)*MAX('Inputs'!$B$33,'Inputs'!$B$29+'Inputs'!$B$31+'Inputs'!$B$32,'Inputs'!$B$30+'Inputs'!$B$31+'Inputs'!$B$32)/1000+'Inputs'!$B$21))^2+('Inputs'!$B$6/2)^2)))-'Results'!C7*(1-'Inputs'!$B$24)*(0.5*((((387-43)*MAX('Inputs'!$B$33,'Inputs'!$B$29+'Inputs'!$B$31+'Inputs'!$B$32,'Inputs'!$B$30+'Inputs'!$B$31+'Inputs'!$B$32)/1000+'Inputs'!$B$21+'Inputs'!$B$7+'Inputs'!$B$10)+'Inputs'!$B$9)/SQRT((((387-43)*MAX('Inputs'!$B$33,'Inputs'!$B$29+'Inputs'!$B$31+'Inputs'!$B$32,'Inputs'!$B$30+'Inputs'!$B$31+'Inputs'!$B$32)/1000+'Inputs'!$B$21+'Inputs'!$B$7+'Inputs'!$B$10)+'Inputs'!$B$9)^2+('Inputs'!$B$8/2)^2)-(((387-43)*MAX('Inputs'!$B$33,'Inputs'!$B$29+'Inputs'!$B$31+'Inputs'!$B$32,'Inputs'!$B$30+'Inputs'!$B$31+'Inputs'!$B$32)/1000+'Inputs'!$B$21+'Inputs'!$B$7+'Inputs'!$B$10))/SQRT((((387-43)*MAX('Inputs'!$B$33,'Inputs'!$B$29+'Inputs'!$B$31+'Inputs'!$B$32,'Inputs'!$B$30+'Inputs'!$B$31+'Inputs'!$B$32)/1000+'Inputs'!$B$21+'Inputs'!$B$7+'Inputs'!$B$10))^2+('Inputs'!$B$8/2)^2))))*'Results'!$B$8))),"")</x:f>
        <x:v>15.94839240660724</x:v>
      </x:c>
      <x:c r="M387" t="n">
        <x:f>IF(AND(ISNUMBER('Results'!C7),ISNUMBER('Results'!B7),ISNUMBER('Results'!$B$8),ISNUMBER('Inputs'!$B$6),ISNUMBER('Inputs'!$B$7),ISNUMBER('Inputs'!$B$8),ISNUMBER('Inputs'!$B$9),ISNUMBER('Inputs'!$B$10),ISNUMBER('Inputs'!$B$21),ISNUMBER('Inputs'!$B$24),ISNUMBER('Inputs'!$B$28)),(('Results'!C7*(0.5*((((387-43)*MAX('Inputs'!$B$33,'Inputs'!$B$29+'Inputs'!$B$31+'Inputs'!$B$32,'Inputs'!$B$30+'Inputs'!$B$31+'Inputs'!$B$32)/1000+'Inputs'!$B$21)+'Inputs'!$B$9)/SQRT((((387-43)*MAX('Inputs'!$B$33,'Inputs'!$B$29+'Inputs'!$B$31+'Inputs'!$B$32,'Inputs'!$B$30+'Inputs'!$B$31+'Inputs'!$B$32)/1000+'Inputs'!$B$21)+'Inputs'!$B$9)^2+('Inputs'!$B$8/2)^2)-(((387-43)*MAX('Inputs'!$B$33,'Inputs'!$B$29+'Inputs'!$B$31+'Inputs'!$B$32,'Inputs'!$B$30+'Inputs'!$B$31+'Inputs'!$B$32)/1000+'Inputs'!$B$21))/SQRT((((387-43)*MAX('Inputs'!$B$33,'Inputs'!$B$29+'Inputs'!$B$31+'Inputs'!$B$32,'Inputs'!$B$30+'Inputs'!$B$31+'Inputs'!$B$32)/1000+'Inputs'!$B$21))^2+('Inputs'!$B$8/2)^2)))-'Results'!B7*(0.5*((((387-43)*MAX('Inputs'!$B$33,'Inputs'!$B$29+'Inputs'!$B$31+'Inputs'!$B$32,'Inputs'!$B$30+'Inputs'!$B$31+'Inputs'!$B$32)/1000+'Inputs'!$B$21+'Inputs'!$B$9+'Inputs'!$B$10)+'Inputs'!$B$7)/SQRT((((387-43)*MAX('Inputs'!$B$33,'Inputs'!$B$29+'Inputs'!$B$31+'Inputs'!$B$32,'Inputs'!$B$30+'Inputs'!$B$31+'Inputs'!$B$32)/1000+'Inputs'!$B$21+'Inputs'!$B$9+'Inputs'!$B$10)+'Inputs'!$B$7)^2+('Inputs'!$B$6/2)^2)-(((387-43)*MAX('Inputs'!$B$33,'Inputs'!$B$29+'Inputs'!$B$31+'Inputs'!$B$32,'Inputs'!$B$30+'Inputs'!$B$31+'Inputs'!$B$32)/1000+'Inputs'!$B$21+'Inputs'!$B$9+'Inputs'!$B$10))/SQRT((((387-43)*MAX('Inputs'!$B$33,'Inputs'!$B$29+'Inputs'!$B$31+'Inputs'!$B$32,'Inputs'!$B$30+'Inputs'!$B$31+'Inputs'!$B$32)/1000+'Inputs'!$B$21+'Inputs'!$B$9+'Inputs'!$B$10))^2+('Inputs'!$B$6/2)^2))))*'Results'!$B$8),"")</x:f>
        <x:v>13.689552820287224</x:v>
      </x:c>
      <x:c r="N387" t="n">
        <x:f>IF(AND(ISNUMBER('Results'!C7),ISNUMBER('Results'!B7),ISNUMBER('Results'!$B$8),ISNUMBER('Inputs'!$B$6),ISNUMBER('Inputs'!$B$7),ISNUMBER('Inputs'!$B$8),ISNUMBER('Inputs'!$B$9),ISNUMBER('Inputs'!$B$10),ISNUMBER('Inputs'!$B$21),ISNUMBER('Inputs'!$B$24),ISNUMBER('Inputs'!$B$28)),((('Results'!C7*(1-'Inputs'!$B$24)*(0.5*((((387-43)*MAX('Inputs'!$B$33,'Inputs'!$B$29+'Inputs'!$B$31+'Inputs'!$B$32,'Inputs'!$B$30+'Inputs'!$B$31+'Inputs'!$B$32)/1000+'Inputs'!$B$21)+'Inputs'!$B$9)/SQRT((((387-43)*MAX('Inputs'!$B$33,'Inputs'!$B$29+'Inputs'!$B$31+'Inputs'!$B$32,'Inputs'!$B$30+'Inputs'!$B$31+'Inputs'!$B$32)/1000+'Inputs'!$B$21)+'Inputs'!$B$9)^2+('Inputs'!$B$8/2)^2)-(((387-43)*MAX('Inputs'!$B$33,'Inputs'!$B$29+'Inputs'!$B$31+'Inputs'!$B$32,'Inputs'!$B$30+'Inputs'!$B$31+'Inputs'!$B$32)/1000+'Inputs'!$B$21))/SQRT((((387-43)*MAX('Inputs'!$B$33,'Inputs'!$B$29+'Inputs'!$B$31+'Inputs'!$B$32,'Inputs'!$B$30+'Inputs'!$B$31+'Inputs'!$B$32)/1000+'Inputs'!$B$21))^2+('Inputs'!$B$8/2)^2)))-'Results'!B7*(1+'Inputs'!$B$24)*(0.5*((((387-43)*MAX('Inputs'!$B$33,'Inputs'!$B$29+'Inputs'!$B$31+'Inputs'!$B$32,'Inputs'!$B$30+'Inputs'!$B$31+'Inputs'!$B$32)/1000+'Inputs'!$B$21+'Inputs'!$B$9+'Inputs'!$B$10)+'Inputs'!$B$7)/SQRT((((387-43)*MAX('Inputs'!$B$33,'Inputs'!$B$29+'Inputs'!$B$31+'Inputs'!$B$32,'Inputs'!$B$30+'Inputs'!$B$31+'Inputs'!$B$32)/1000+'Inputs'!$B$21+'Inputs'!$B$9+'Inputs'!$B$10)+'Inputs'!$B$7)^2+('Inputs'!$B$6/2)^2)-(((387-43)*MAX('Inputs'!$B$33,'Inputs'!$B$29+'Inputs'!$B$31+'Inputs'!$B$32,'Inputs'!$B$30+'Inputs'!$B$31+'Inputs'!$B$32)/1000+'Inputs'!$B$21+'Inputs'!$B$9+'Inputs'!$B$10))/SQRT((((387-43)*MAX('Inputs'!$B$33,'Inputs'!$B$29+'Inputs'!$B$31+'Inputs'!$B$32,'Inputs'!$B$30+'Inputs'!$B$31+'Inputs'!$B$32)/1000+'Inputs'!$B$21+'Inputs'!$B$9+'Inputs'!$B$10))^2+('Inputs'!$B$6/2)^2))))*'Results'!$B$8)-'Inputs'!$B$28*ABS((('Results'!C7*(1-'Inputs'!$B$24)*(0.5*((((387-43)*MAX('Inputs'!$B$33,'Inputs'!$B$29+'Inputs'!$B$31+'Inputs'!$B$32,'Inputs'!$B$30+'Inputs'!$B$31+'Inputs'!$B$32)/1000+'Inputs'!$B$21)+'Inputs'!$B$9)/SQRT((((387-43)*MAX('Inputs'!$B$33,'Inputs'!$B$29+'Inputs'!$B$31+'Inputs'!$B$32,'Inputs'!$B$30+'Inputs'!$B$31+'Inputs'!$B$32)/1000+'Inputs'!$B$21)+'Inputs'!$B$9)^2+('Inputs'!$B$8/2)^2)-(((387-43)*MAX('Inputs'!$B$33,'Inputs'!$B$29+'Inputs'!$B$31+'Inputs'!$B$32,'Inputs'!$B$30+'Inputs'!$B$31+'Inputs'!$B$32)/1000+'Inputs'!$B$21))/SQRT((((387-43)*MAX('Inputs'!$B$33,'Inputs'!$B$29+'Inputs'!$B$31+'Inputs'!$B$32,'Inputs'!$B$30+'Inputs'!$B$31+'Inputs'!$B$32)/1000+'Inputs'!$B$21))^2+('Inputs'!$B$8/2)^2)))-'Results'!B7*(1+'Inputs'!$B$24)*(0.5*((((387-43)*MAX('Inputs'!$B$33,'Inputs'!$B$29+'Inputs'!$B$31+'Inputs'!$B$32,'Inputs'!$B$30+'Inputs'!$B$31+'Inputs'!$B$32)/1000+'Inputs'!$B$21+'Inputs'!$B$9+'Inputs'!$B$10)+'Inputs'!$B$7)/SQRT((((387-43)*MAX('Inputs'!$B$33,'Inputs'!$B$29+'Inputs'!$B$31+'Inputs'!$B$32,'Inputs'!$B$30+'Inputs'!$B$31+'Inputs'!$B$32)/1000+'Inputs'!$B$21+'Inputs'!$B$9+'Inputs'!$B$10)+'Inputs'!$B$7)^2+('Inputs'!$B$6/2)^2)-(((387-43)*MAX('Inputs'!$B$33,'Inputs'!$B$29+'Inputs'!$B$31+'Inputs'!$B$32,'Inputs'!$B$30+'Inputs'!$B$31+'Inputs'!$B$32)/1000+'Inputs'!$B$21+'Inputs'!$B$9+'Inputs'!$B$10))/SQRT((((387-43)*MAX('Inputs'!$B$33,'Inputs'!$B$29+'Inputs'!$B$31+'Inputs'!$B$32,'Inputs'!$B$30+'Inputs'!$B$31+'Inputs'!$B$32)/1000+'Inputs'!$B$21+'Inputs'!$B$9+'Inputs'!$B$10))^2+('Inputs'!$B$6/2)^2))))*'Results'!$B$8))),"")</x:f>
        <x:v>12.300485171474584</x:v>
      </x:c>
      <x:c r="O387" t="n">
        <x:f>IF(AND(ISNUMBER('Results'!C7),ISNUMBER('Results'!B7),ISNUMBER('Results'!$B$8),ISNUMBER('Inputs'!$B$6),ISNUMBER('Inputs'!$B$7),ISNUMBER('Inputs'!$B$8),ISNUMBER('Inputs'!$B$9),ISNUMBER('Inputs'!$B$10),ISNUMBER('Inputs'!$B$21),ISNUMBER('Inputs'!$B$24),ISNUMBER('Inputs'!$B$28)),((('Results'!C7*(1+'Inputs'!$B$24)*(0.5*((((387-43)*MAX('Inputs'!$B$33,'Inputs'!$B$29+'Inputs'!$B$31+'Inputs'!$B$32,'Inputs'!$B$30+'Inputs'!$B$31+'Inputs'!$B$32)/1000+'Inputs'!$B$21)+'Inputs'!$B$9)/SQRT((((387-43)*MAX('Inputs'!$B$33,'Inputs'!$B$29+'Inputs'!$B$31+'Inputs'!$B$32,'Inputs'!$B$30+'Inputs'!$B$31+'Inputs'!$B$32)/1000+'Inputs'!$B$21)+'Inputs'!$B$9)^2+('Inputs'!$B$8/2)^2)-(((387-43)*MAX('Inputs'!$B$33,'Inputs'!$B$29+'Inputs'!$B$31+'Inputs'!$B$32,'Inputs'!$B$30+'Inputs'!$B$31+'Inputs'!$B$32)/1000+'Inputs'!$B$21))/SQRT((((387-43)*MAX('Inputs'!$B$33,'Inputs'!$B$29+'Inputs'!$B$31+'Inputs'!$B$32,'Inputs'!$B$30+'Inputs'!$B$31+'Inputs'!$B$32)/1000+'Inputs'!$B$21))^2+('Inputs'!$B$8/2)^2)))-'Results'!B7*(1-'Inputs'!$B$24)*(0.5*((((387-43)*MAX('Inputs'!$B$33,'Inputs'!$B$29+'Inputs'!$B$31+'Inputs'!$B$32,'Inputs'!$B$30+'Inputs'!$B$31+'Inputs'!$B$32)/1000+'Inputs'!$B$21+'Inputs'!$B$9+'Inputs'!$B$10)+'Inputs'!$B$7)/SQRT((((387-43)*MAX('Inputs'!$B$33,'Inputs'!$B$29+'Inputs'!$B$31+'Inputs'!$B$32,'Inputs'!$B$30+'Inputs'!$B$31+'Inputs'!$B$32)/1000+'Inputs'!$B$21+'Inputs'!$B$9+'Inputs'!$B$10)+'Inputs'!$B$7)^2+('Inputs'!$B$6/2)^2)-(((387-43)*MAX('Inputs'!$B$33,'Inputs'!$B$29+'Inputs'!$B$31+'Inputs'!$B$32,'Inputs'!$B$30+'Inputs'!$B$31+'Inputs'!$B$32)/1000+'Inputs'!$B$21+'Inputs'!$B$9+'Inputs'!$B$10))/SQRT((((387-43)*MAX('Inputs'!$B$33,'Inputs'!$B$29+'Inputs'!$B$31+'Inputs'!$B$32,'Inputs'!$B$30+'Inputs'!$B$31+'Inputs'!$B$32)/1000+'Inputs'!$B$21+'Inputs'!$B$9+'Inputs'!$B$10))^2+('Inputs'!$B$6/2)^2))))*'Results'!$B$8)+'Inputs'!$B$28*ABS((('Results'!C7*(1+'Inputs'!$B$24)*(0.5*((((387-43)*MAX('Inputs'!$B$33,'Inputs'!$B$29+'Inputs'!$B$31+'Inputs'!$B$32,'Inputs'!$B$30+'Inputs'!$B$31+'Inputs'!$B$32)/1000+'Inputs'!$B$21)+'Inputs'!$B$9)/SQRT((((387-43)*MAX('Inputs'!$B$33,'Inputs'!$B$29+'Inputs'!$B$31+'Inputs'!$B$32,'Inputs'!$B$30+'Inputs'!$B$31+'Inputs'!$B$32)/1000+'Inputs'!$B$21)+'Inputs'!$B$9)^2+('Inputs'!$B$8/2)^2)-(((387-43)*MAX('Inputs'!$B$33,'Inputs'!$B$29+'Inputs'!$B$31+'Inputs'!$B$32,'Inputs'!$B$30+'Inputs'!$B$31+'Inputs'!$B$32)/1000+'Inputs'!$B$21))/SQRT((((387-43)*MAX('Inputs'!$B$33,'Inputs'!$B$29+'Inputs'!$B$31+'Inputs'!$B$32,'Inputs'!$B$30+'Inputs'!$B$31+'Inputs'!$B$32)/1000+'Inputs'!$B$21))^2+('Inputs'!$B$8/2)^2)))-'Results'!B7*(1-'Inputs'!$B$24)*(0.5*((((387-43)*MAX('Inputs'!$B$33,'Inputs'!$B$29+'Inputs'!$B$31+'Inputs'!$B$32,'Inputs'!$B$30+'Inputs'!$B$31+'Inputs'!$B$32)/1000+'Inputs'!$B$21+'Inputs'!$B$9+'Inputs'!$B$10)+'Inputs'!$B$7)/SQRT((((387-43)*MAX('Inputs'!$B$33,'Inputs'!$B$29+'Inputs'!$B$31+'Inputs'!$B$32,'Inputs'!$B$30+'Inputs'!$B$31+'Inputs'!$B$32)/1000+'Inputs'!$B$21+'Inputs'!$B$9+'Inputs'!$B$10)+'Inputs'!$B$7)^2+('Inputs'!$B$6/2)^2)-(((387-43)*MAX('Inputs'!$B$33,'Inputs'!$B$29+'Inputs'!$B$31+'Inputs'!$B$32,'Inputs'!$B$30+'Inputs'!$B$31+'Inputs'!$B$32)/1000+'Inputs'!$B$21+'Inputs'!$B$9+'Inputs'!$B$10))/SQRT((((387-43)*MAX('Inputs'!$B$33,'Inputs'!$B$29+'Inputs'!$B$31+'Inputs'!$B$32,'Inputs'!$B$30+'Inputs'!$B$31+'Inputs'!$B$32)/1000+'Inputs'!$B$21+'Inputs'!$B$9+'Inputs'!$B$10))^2+('Inputs'!$B$6/2)^2))))*'Results'!$B$8))),"")</x:f>
        <x:v>15.152787838341789</x:v>
      </x:c>
      <x:c r="P387" t="n">
        <x:f>IF(AND(MAX(J387,J386)&gt;0,J387&gt;J386+0.00000001),1,0)</x:f>
        <x:v>0</x:v>
      </x:c>
      <x:c r="Q387" t="n">
        <x:f>IF(AND(MAX(K387,K386)&gt;0,K387&gt;K386+0.00000001),1,0)</x:f>
        <x:v>0</x:v>
      </x:c>
      <x:c r="R387" t="n">
        <x:f>IF(AND(MAX(L387,L386)&gt;0,L387&gt;L386+0.00000001),1,0)</x:f>
        <x:v>0</x:v>
      </x:c>
      <x:c r="S387" t="n">
        <x:f>IF(AND(MAX(M387,M386)&gt;0,M387&gt;M386+0.00000001),1,0)</x:f>
        <x:v>0</x:v>
      </x:c>
      <x:c r="T387" t="n">
        <x:f>IF(AND(MAX(N387,N386)&gt;0,N387&gt;N386+0.00000001),1,0)</x:f>
        <x:v>0</x:v>
      </x:c>
      <x:c r="U387" t="n">
        <x:f>IF(AND(MAX(O387,O386)&gt;0,O387&gt;O386+0.00000001),1,0)</x:f>
        <x:v>0</x:v>
      </x:c>
    </x:row>
    <x:row r="388">
      <x:c r="J388" t="n">
        <x:f>IF(AND(ISNUMBER('Results'!B7),ISNUMBER('Results'!C7),ISNUMBER('Results'!$B$8),ISNUMBER('Inputs'!$B$6),ISNUMBER('Inputs'!$B$7),ISNUMBER('Inputs'!$B$8),ISNUMBER('Inputs'!$B$9),ISNUMBER('Inputs'!$B$10),ISNUMBER('Inputs'!$B$21),ISNUMBER('Inputs'!$B$24),ISNUMBER('Inputs'!$B$28)),(('Results'!B7*(0.5*((((388-43)*MAX('Inputs'!$B$33,'Inputs'!$B$29+'Inputs'!$B$31+'Inputs'!$B$32,'Inputs'!$B$30+'Inputs'!$B$31+'Inputs'!$B$32)/1000+'Inputs'!$B$21)+'Inputs'!$B$7)/SQRT((((388-43)*MAX('Inputs'!$B$33,'Inputs'!$B$29+'Inputs'!$B$31+'Inputs'!$B$32,'Inputs'!$B$30+'Inputs'!$B$31+'Inputs'!$B$32)/1000+'Inputs'!$B$21)+'Inputs'!$B$7)^2+('Inputs'!$B$6/2)^2)-(((388-43)*MAX('Inputs'!$B$33,'Inputs'!$B$29+'Inputs'!$B$31+'Inputs'!$B$32,'Inputs'!$B$30+'Inputs'!$B$31+'Inputs'!$B$32)/1000+'Inputs'!$B$21))/SQRT((((388-43)*MAX('Inputs'!$B$33,'Inputs'!$B$29+'Inputs'!$B$31+'Inputs'!$B$32,'Inputs'!$B$30+'Inputs'!$B$31+'Inputs'!$B$32)/1000+'Inputs'!$B$21))^2+('Inputs'!$B$6/2)^2)))-'Results'!C7*(0.5*((((388-43)*MAX('Inputs'!$B$33,'Inputs'!$B$29+'Inputs'!$B$31+'Inputs'!$B$32,'Inputs'!$B$30+'Inputs'!$B$31+'Inputs'!$B$32)/1000+'Inputs'!$B$21+'Inputs'!$B$7+'Inputs'!$B$10)+'Inputs'!$B$9)/SQRT((((388-43)*MAX('Inputs'!$B$33,'Inputs'!$B$29+'Inputs'!$B$31+'Inputs'!$B$32,'Inputs'!$B$30+'Inputs'!$B$31+'Inputs'!$B$32)/1000+'Inputs'!$B$21+'Inputs'!$B$7+'Inputs'!$B$10)+'Inputs'!$B$9)^2+('Inputs'!$B$8/2)^2)-(((388-43)*MAX('Inputs'!$B$33,'Inputs'!$B$29+'Inputs'!$B$31+'Inputs'!$B$32,'Inputs'!$B$30+'Inputs'!$B$31+'Inputs'!$B$32)/1000+'Inputs'!$B$21+'Inputs'!$B$7+'Inputs'!$B$10))/SQRT((((388-43)*MAX('Inputs'!$B$33,'Inputs'!$B$29+'Inputs'!$B$31+'Inputs'!$B$32,'Inputs'!$B$30+'Inputs'!$B$31+'Inputs'!$B$32)/1000+'Inputs'!$B$21+'Inputs'!$B$7+'Inputs'!$B$10))^2+('Inputs'!$B$8/2)^2))))*'Results'!$B$8),"")</x:f>
        <x:v>14.307877680477983</x:v>
      </x:c>
      <x:c r="K388" t="n">
        <x:f>IF(AND(ISNUMBER('Results'!B7),ISNUMBER('Results'!C7),ISNUMBER('Results'!$B$8),ISNUMBER('Inputs'!$B$6),ISNUMBER('Inputs'!$B$7),ISNUMBER('Inputs'!$B$8),ISNUMBER('Inputs'!$B$9),ISNUMBER('Inputs'!$B$10),ISNUMBER('Inputs'!$B$21),ISNUMBER('Inputs'!$B$24),ISNUMBER('Inputs'!$B$28)),((('Results'!B7*(1-'Inputs'!$B$24)*(0.5*((((388-43)*MAX('Inputs'!$B$33,'Inputs'!$B$29+'Inputs'!$B$31+'Inputs'!$B$32,'Inputs'!$B$30+'Inputs'!$B$31+'Inputs'!$B$32)/1000+'Inputs'!$B$21)+'Inputs'!$B$7)/SQRT((((388-43)*MAX('Inputs'!$B$33,'Inputs'!$B$29+'Inputs'!$B$31+'Inputs'!$B$32,'Inputs'!$B$30+'Inputs'!$B$31+'Inputs'!$B$32)/1000+'Inputs'!$B$21)+'Inputs'!$B$7)^2+('Inputs'!$B$6/2)^2)-(((388-43)*MAX('Inputs'!$B$33,'Inputs'!$B$29+'Inputs'!$B$31+'Inputs'!$B$32,'Inputs'!$B$30+'Inputs'!$B$31+'Inputs'!$B$32)/1000+'Inputs'!$B$21))/SQRT((((388-43)*MAX('Inputs'!$B$33,'Inputs'!$B$29+'Inputs'!$B$31+'Inputs'!$B$32,'Inputs'!$B$30+'Inputs'!$B$31+'Inputs'!$B$32)/1000+'Inputs'!$B$21))^2+('Inputs'!$B$6/2)^2)))-'Results'!C7*(1+'Inputs'!$B$24)*(0.5*((((388-43)*MAX('Inputs'!$B$33,'Inputs'!$B$29+'Inputs'!$B$31+'Inputs'!$B$32,'Inputs'!$B$30+'Inputs'!$B$31+'Inputs'!$B$32)/1000+'Inputs'!$B$21+'Inputs'!$B$7+'Inputs'!$B$10)+'Inputs'!$B$9)/SQRT((((388-43)*MAX('Inputs'!$B$33,'Inputs'!$B$29+'Inputs'!$B$31+'Inputs'!$B$32,'Inputs'!$B$30+'Inputs'!$B$31+'Inputs'!$B$32)/1000+'Inputs'!$B$21+'Inputs'!$B$7+'Inputs'!$B$10)+'Inputs'!$B$9)^2+('Inputs'!$B$8/2)^2)-(((388-43)*MAX('Inputs'!$B$33,'Inputs'!$B$29+'Inputs'!$B$31+'Inputs'!$B$32,'Inputs'!$B$30+'Inputs'!$B$31+'Inputs'!$B$32)/1000+'Inputs'!$B$21+'Inputs'!$B$7+'Inputs'!$B$10))/SQRT((((388-43)*MAX('Inputs'!$B$33,'Inputs'!$B$29+'Inputs'!$B$31+'Inputs'!$B$32,'Inputs'!$B$30+'Inputs'!$B$31+'Inputs'!$B$32)/1000+'Inputs'!$B$21+'Inputs'!$B$7+'Inputs'!$B$10))^2+('Inputs'!$B$8/2)^2))))*'Results'!$B$8)-'Inputs'!$B$28*ABS((('Results'!B7*(1-'Inputs'!$B$24)*(0.5*((((388-43)*MAX('Inputs'!$B$33,'Inputs'!$B$29+'Inputs'!$B$31+'Inputs'!$B$32,'Inputs'!$B$30+'Inputs'!$B$31+'Inputs'!$B$32)/1000+'Inputs'!$B$21)+'Inputs'!$B$7)/SQRT((((388-43)*MAX('Inputs'!$B$33,'Inputs'!$B$29+'Inputs'!$B$31+'Inputs'!$B$32,'Inputs'!$B$30+'Inputs'!$B$31+'Inputs'!$B$32)/1000+'Inputs'!$B$21)+'Inputs'!$B$7)^2+('Inputs'!$B$6/2)^2)-(((388-43)*MAX('Inputs'!$B$33,'Inputs'!$B$29+'Inputs'!$B$31+'Inputs'!$B$32,'Inputs'!$B$30+'Inputs'!$B$31+'Inputs'!$B$32)/1000+'Inputs'!$B$21))/SQRT((((388-43)*MAX('Inputs'!$B$33,'Inputs'!$B$29+'Inputs'!$B$31+'Inputs'!$B$32,'Inputs'!$B$30+'Inputs'!$B$31+'Inputs'!$B$32)/1000+'Inputs'!$B$21))^2+('Inputs'!$B$6/2)^2)))-'Results'!C7*(1+'Inputs'!$B$24)*(0.5*((((388-43)*MAX('Inputs'!$B$33,'Inputs'!$B$29+'Inputs'!$B$31+'Inputs'!$B$32,'Inputs'!$B$30+'Inputs'!$B$31+'Inputs'!$B$32)/1000+'Inputs'!$B$21+'Inputs'!$B$7+'Inputs'!$B$10)+'Inputs'!$B$9)/SQRT((((388-43)*MAX('Inputs'!$B$33,'Inputs'!$B$29+'Inputs'!$B$31+'Inputs'!$B$32,'Inputs'!$B$30+'Inputs'!$B$31+'Inputs'!$B$32)/1000+'Inputs'!$B$21+'Inputs'!$B$7+'Inputs'!$B$10)+'Inputs'!$B$9)^2+('Inputs'!$B$8/2)^2)-(((388-43)*MAX('Inputs'!$B$33,'Inputs'!$B$29+'Inputs'!$B$31+'Inputs'!$B$32,'Inputs'!$B$30+'Inputs'!$B$31+'Inputs'!$B$32)/1000+'Inputs'!$B$21+'Inputs'!$B$7+'Inputs'!$B$10))/SQRT((((388-43)*MAX('Inputs'!$B$33,'Inputs'!$B$29+'Inputs'!$B$31+'Inputs'!$B$32,'Inputs'!$B$30+'Inputs'!$B$31+'Inputs'!$B$32)/1000+'Inputs'!$B$21+'Inputs'!$B$7+'Inputs'!$B$10))^2+('Inputs'!$B$8/2)^2))))*'Results'!$B$8))),"")</x:f>
        <x:v>12.887687902586103</x:v>
      </x:c>
      <x:c r="L388" t="n">
        <x:f>IF(AND(ISNUMBER('Results'!B7),ISNUMBER('Results'!C7),ISNUMBER('Results'!$B$8),ISNUMBER('Inputs'!$B$6),ISNUMBER('Inputs'!$B$7),ISNUMBER('Inputs'!$B$8),ISNUMBER('Inputs'!$B$9),ISNUMBER('Inputs'!$B$10),ISNUMBER('Inputs'!$B$21),ISNUMBER('Inputs'!$B$24),ISNUMBER('Inputs'!$B$28)),((('Results'!B7*(1+'Inputs'!$B$24)*(0.5*((((388-43)*MAX('Inputs'!$B$33,'Inputs'!$B$29+'Inputs'!$B$31+'Inputs'!$B$32,'Inputs'!$B$30+'Inputs'!$B$31+'Inputs'!$B$32)/1000+'Inputs'!$B$21)+'Inputs'!$B$7)/SQRT((((388-43)*MAX('Inputs'!$B$33,'Inputs'!$B$29+'Inputs'!$B$31+'Inputs'!$B$32,'Inputs'!$B$30+'Inputs'!$B$31+'Inputs'!$B$32)/1000+'Inputs'!$B$21)+'Inputs'!$B$7)^2+('Inputs'!$B$6/2)^2)-(((388-43)*MAX('Inputs'!$B$33,'Inputs'!$B$29+'Inputs'!$B$31+'Inputs'!$B$32,'Inputs'!$B$30+'Inputs'!$B$31+'Inputs'!$B$32)/1000+'Inputs'!$B$21))/SQRT((((388-43)*MAX('Inputs'!$B$33,'Inputs'!$B$29+'Inputs'!$B$31+'Inputs'!$B$32,'Inputs'!$B$30+'Inputs'!$B$31+'Inputs'!$B$32)/1000+'Inputs'!$B$21))^2+('Inputs'!$B$6/2)^2)))-'Results'!C7*(1-'Inputs'!$B$24)*(0.5*((((388-43)*MAX('Inputs'!$B$33,'Inputs'!$B$29+'Inputs'!$B$31+'Inputs'!$B$32,'Inputs'!$B$30+'Inputs'!$B$31+'Inputs'!$B$32)/1000+'Inputs'!$B$21+'Inputs'!$B$7+'Inputs'!$B$10)+'Inputs'!$B$9)/SQRT((((388-43)*MAX('Inputs'!$B$33,'Inputs'!$B$29+'Inputs'!$B$31+'Inputs'!$B$32,'Inputs'!$B$30+'Inputs'!$B$31+'Inputs'!$B$32)/1000+'Inputs'!$B$21+'Inputs'!$B$7+'Inputs'!$B$10)+'Inputs'!$B$9)^2+('Inputs'!$B$8/2)^2)-(((388-43)*MAX('Inputs'!$B$33,'Inputs'!$B$29+'Inputs'!$B$31+'Inputs'!$B$32,'Inputs'!$B$30+'Inputs'!$B$31+'Inputs'!$B$32)/1000+'Inputs'!$B$21+'Inputs'!$B$7+'Inputs'!$B$10))/SQRT((((388-43)*MAX('Inputs'!$B$33,'Inputs'!$B$29+'Inputs'!$B$31+'Inputs'!$B$32,'Inputs'!$B$30+'Inputs'!$B$31+'Inputs'!$B$32)/1000+'Inputs'!$B$21+'Inputs'!$B$7+'Inputs'!$B$10))^2+('Inputs'!$B$8/2)^2))))*'Results'!$B$8)+'Inputs'!$B$28*ABS((('Results'!B7*(1+'Inputs'!$B$24)*(0.5*((((388-43)*MAX('Inputs'!$B$33,'Inputs'!$B$29+'Inputs'!$B$31+'Inputs'!$B$32,'Inputs'!$B$30+'Inputs'!$B$31+'Inputs'!$B$32)/1000+'Inputs'!$B$21)+'Inputs'!$B$7)/SQRT((((388-43)*MAX('Inputs'!$B$33,'Inputs'!$B$29+'Inputs'!$B$31+'Inputs'!$B$32,'Inputs'!$B$30+'Inputs'!$B$31+'Inputs'!$B$32)/1000+'Inputs'!$B$21)+'Inputs'!$B$7)^2+('Inputs'!$B$6/2)^2)-(((388-43)*MAX('Inputs'!$B$33,'Inputs'!$B$29+'Inputs'!$B$31+'Inputs'!$B$32,'Inputs'!$B$30+'Inputs'!$B$31+'Inputs'!$B$32)/1000+'Inputs'!$B$21))/SQRT((((388-43)*MAX('Inputs'!$B$33,'Inputs'!$B$29+'Inputs'!$B$31+'Inputs'!$B$32,'Inputs'!$B$30+'Inputs'!$B$31+'Inputs'!$B$32)/1000+'Inputs'!$B$21))^2+('Inputs'!$B$6/2)^2)))-'Results'!C7*(1-'Inputs'!$B$24)*(0.5*((((388-43)*MAX('Inputs'!$B$33,'Inputs'!$B$29+'Inputs'!$B$31+'Inputs'!$B$32,'Inputs'!$B$30+'Inputs'!$B$31+'Inputs'!$B$32)/1000+'Inputs'!$B$21+'Inputs'!$B$7+'Inputs'!$B$10)+'Inputs'!$B$9)/SQRT((((388-43)*MAX('Inputs'!$B$33,'Inputs'!$B$29+'Inputs'!$B$31+'Inputs'!$B$32,'Inputs'!$B$30+'Inputs'!$B$31+'Inputs'!$B$32)/1000+'Inputs'!$B$21+'Inputs'!$B$7+'Inputs'!$B$10)+'Inputs'!$B$9)^2+('Inputs'!$B$8/2)^2)-(((388-43)*MAX('Inputs'!$B$33,'Inputs'!$B$29+'Inputs'!$B$31+'Inputs'!$B$32,'Inputs'!$B$30+'Inputs'!$B$31+'Inputs'!$B$32)/1000+'Inputs'!$B$21+'Inputs'!$B$7+'Inputs'!$B$10))/SQRT((((388-43)*MAX('Inputs'!$B$33,'Inputs'!$B$29+'Inputs'!$B$31+'Inputs'!$B$32,'Inputs'!$B$30+'Inputs'!$B$31+'Inputs'!$B$32)/1000+'Inputs'!$B$21+'Inputs'!$B$7+'Inputs'!$B$10))^2+('Inputs'!$B$8/2)^2))))*'Results'!$B$8))),"")</x:f>
        <x:v>15.802256499829648</x:v>
      </x:c>
      <x:c r="M388" t="n">
        <x:f>IF(AND(ISNUMBER('Results'!C7),ISNUMBER('Results'!B7),ISNUMBER('Results'!$B$8),ISNUMBER('Inputs'!$B$6),ISNUMBER('Inputs'!$B$7),ISNUMBER('Inputs'!$B$8),ISNUMBER('Inputs'!$B$9),ISNUMBER('Inputs'!$B$10),ISNUMBER('Inputs'!$B$21),ISNUMBER('Inputs'!$B$24),ISNUMBER('Inputs'!$B$28)),(('Results'!C7*(0.5*((((388-43)*MAX('Inputs'!$B$33,'Inputs'!$B$29+'Inputs'!$B$31+'Inputs'!$B$32,'Inputs'!$B$30+'Inputs'!$B$31+'Inputs'!$B$32)/1000+'Inputs'!$B$21)+'Inputs'!$B$9)/SQRT((((388-43)*MAX('Inputs'!$B$33,'Inputs'!$B$29+'Inputs'!$B$31+'Inputs'!$B$32,'Inputs'!$B$30+'Inputs'!$B$31+'Inputs'!$B$32)/1000+'Inputs'!$B$21)+'Inputs'!$B$9)^2+('Inputs'!$B$8/2)^2)-(((388-43)*MAX('Inputs'!$B$33,'Inputs'!$B$29+'Inputs'!$B$31+'Inputs'!$B$32,'Inputs'!$B$30+'Inputs'!$B$31+'Inputs'!$B$32)/1000+'Inputs'!$B$21))/SQRT((((388-43)*MAX('Inputs'!$B$33,'Inputs'!$B$29+'Inputs'!$B$31+'Inputs'!$B$32,'Inputs'!$B$30+'Inputs'!$B$31+'Inputs'!$B$32)/1000+'Inputs'!$B$21))^2+('Inputs'!$B$8/2)^2)))-'Results'!B7*(0.5*((((388-43)*MAX('Inputs'!$B$33,'Inputs'!$B$29+'Inputs'!$B$31+'Inputs'!$B$32,'Inputs'!$B$30+'Inputs'!$B$31+'Inputs'!$B$32)/1000+'Inputs'!$B$21+'Inputs'!$B$9+'Inputs'!$B$10)+'Inputs'!$B$7)/SQRT((((388-43)*MAX('Inputs'!$B$33,'Inputs'!$B$29+'Inputs'!$B$31+'Inputs'!$B$32,'Inputs'!$B$30+'Inputs'!$B$31+'Inputs'!$B$32)/1000+'Inputs'!$B$21+'Inputs'!$B$9+'Inputs'!$B$10)+'Inputs'!$B$7)^2+('Inputs'!$B$6/2)^2)-(((388-43)*MAX('Inputs'!$B$33,'Inputs'!$B$29+'Inputs'!$B$31+'Inputs'!$B$32,'Inputs'!$B$30+'Inputs'!$B$31+'Inputs'!$B$32)/1000+'Inputs'!$B$21+'Inputs'!$B$9+'Inputs'!$B$10))/SQRT((((388-43)*MAX('Inputs'!$B$33,'Inputs'!$B$29+'Inputs'!$B$31+'Inputs'!$B$32,'Inputs'!$B$30+'Inputs'!$B$31+'Inputs'!$B$32)/1000+'Inputs'!$B$21+'Inputs'!$B$9+'Inputs'!$B$10))^2+('Inputs'!$B$6/2)^2))))*'Results'!$B$8),"")</x:f>
        <x:v>13.561336930563904</x:v>
      </x:c>
      <x:c r="N388" t="n">
        <x:f>IF(AND(ISNUMBER('Results'!C7),ISNUMBER('Results'!B7),ISNUMBER('Results'!$B$8),ISNUMBER('Inputs'!$B$6),ISNUMBER('Inputs'!$B$7),ISNUMBER('Inputs'!$B$8),ISNUMBER('Inputs'!$B$9),ISNUMBER('Inputs'!$B$10),ISNUMBER('Inputs'!$B$21),ISNUMBER('Inputs'!$B$24),ISNUMBER('Inputs'!$B$28)),((('Results'!C7*(1-'Inputs'!$B$24)*(0.5*((((388-43)*MAX('Inputs'!$B$33,'Inputs'!$B$29+'Inputs'!$B$31+'Inputs'!$B$32,'Inputs'!$B$30+'Inputs'!$B$31+'Inputs'!$B$32)/1000+'Inputs'!$B$21)+'Inputs'!$B$9)/SQRT((((388-43)*MAX('Inputs'!$B$33,'Inputs'!$B$29+'Inputs'!$B$31+'Inputs'!$B$32,'Inputs'!$B$30+'Inputs'!$B$31+'Inputs'!$B$32)/1000+'Inputs'!$B$21)+'Inputs'!$B$9)^2+('Inputs'!$B$8/2)^2)-(((388-43)*MAX('Inputs'!$B$33,'Inputs'!$B$29+'Inputs'!$B$31+'Inputs'!$B$32,'Inputs'!$B$30+'Inputs'!$B$31+'Inputs'!$B$32)/1000+'Inputs'!$B$21))/SQRT((((388-43)*MAX('Inputs'!$B$33,'Inputs'!$B$29+'Inputs'!$B$31+'Inputs'!$B$32,'Inputs'!$B$30+'Inputs'!$B$31+'Inputs'!$B$32)/1000+'Inputs'!$B$21))^2+('Inputs'!$B$8/2)^2)))-'Results'!B7*(1+'Inputs'!$B$24)*(0.5*((((388-43)*MAX('Inputs'!$B$33,'Inputs'!$B$29+'Inputs'!$B$31+'Inputs'!$B$32,'Inputs'!$B$30+'Inputs'!$B$31+'Inputs'!$B$32)/1000+'Inputs'!$B$21+'Inputs'!$B$9+'Inputs'!$B$10)+'Inputs'!$B$7)/SQRT((((388-43)*MAX('Inputs'!$B$33,'Inputs'!$B$29+'Inputs'!$B$31+'Inputs'!$B$32,'Inputs'!$B$30+'Inputs'!$B$31+'Inputs'!$B$32)/1000+'Inputs'!$B$21+'Inputs'!$B$9+'Inputs'!$B$10)+'Inputs'!$B$7)^2+('Inputs'!$B$6/2)^2)-(((388-43)*MAX('Inputs'!$B$33,'Inputs'!$B$29+'Inputs'!$B$31+'Inputs'!$B$32,'Inputs'!$B$30+'Inputs'!$B$31+'Inputs'!$B$32)/1000+'Inputs'!$B$21+'Inputs'!$B$9+'Inputs'!$B$10))/SQRT((((388-43)*MAX('Inputs'!$B$33,'Inputs'!$B$29+'Inputs'!$B$31+'Inputs'!$B$32,'Inputs'!$B$30+'Inputs'!$B$31+'Inputs'!$B$32)/1000+'Inputs'!$B$21+'Inputs'!$B$9+'Inputs'!$B$10))^2+('Inputs'!$B$6/2)^2))))*'Results'!$B$8)-'Inputs'!$B$28*ABS((('Results'!C7*(1-'Inputs'!$B$24)*(0.5*((((388-43)*MAX('Inputs'!$B$33,'Inputs'!$B$29+'Inputs'!$B$31+'Inputs'!$B$32,'Inputs'!$B$30+'Inputs'!$B$31+'Inputs'!$B$32)/1000+'Inputs'!$B$21)+'Inputs'!$B$9)/SQRT((((388-43)*MAX('Inputs'!$B$33,'Inputs'!$B$29+'Inputs'!$B$31+'Inputs'!$B$32,'Inputs'!$B$30+'Inputs'!$B$31+'Inputs'!$B$32)/1000+'Inputs'!$B$21)+'Inputs'!$B$9)^2+('Inputs'!$B$8/2)^2)-(((388-43)*MAX('Inputs'!$B$33,'Inputs'!$B$29+'Inputs'!$B$31+'Inputs'!$B$32,'Inputs'!$B$30+'Inputs'!$B$31+'Inputs'!$B$32)/1000+'Inputs'!$B$21))/SQRT((((388-43)*MAX('Inputs'!$B$33,'Inputs'!$B$29+'Inputs'!$B$31+'Inputs'!$B$32,'Inputs'!$B$30+'Inputs'!$B$31+'Inputs'!$B$32)/1000+'Inputs'!$B$21))^2+('Inputs'!$B$8/2)^2)))-'Results'!B7*(1+'Inputs'!$B$24)*(0.5*((((388-43)*MAX('Inputs'!$B$33,'Inputs'!$B$29+'Inputs'!$B$31+'Inputs'!$B$32,'Inputs'!$B$30+'Inputs'!$B$31+'Inputs'!$B$32)/1000+'Inputs'!$B$21+'Inputs'!$B$9+'Inputs'!$B$10)+'Inputs'!$B$7)/SQRT((((388-43)*MAX('Inputs'!$B$33,'Inputs'!$B$29+'Inputs'!$B$31+'Inputs'!$B$32,'Inputs'!$B$30+'Inputs'!$B$31+'Inputs'!$B$32)/1000+'Inputs'!$B$21+'Inputs'!$B$9+'Inputs'!$B$10)+'Inputs'!$B$7)^2+('Inputs'!$B$6/2)^2)-(((388-43)*MAX('Inputs'!$B$33,'Inputs'!$B$29+'Inputs'!$B$31+'Inputs'!$B$32,'Inputs'!$B$30+'Inputs'!$B$31+'Inputs'!$B$32)/1000+'Inputs'!$B$21+'Inputs'!$B$9+'Inputs'!$B$10))/SQRT((((388-43)*MAX('Inputs'!$B$33,'Inputs'!$B$29+'Inputs'!$B$31+'Inputs'!$B$32,'Inputs'!$B$30+'Inputs'!$B$31+'Inputs'!$B$32)/1000+'Inputs'!$B$21+'Inputs'!$B$9+'Inputs'!$B$10))^2+('Inputs'!$B$6/2)^2))))*'Results'!$B$8))),"")</x:f>
        <x:v>12.183822827315304</x:v>
      </x:c>
      <x:c r="O388" t="n">
        <x:f>IF(AND(ISNUMBER('Results'!C7),ISNUMBER('Results'!B7),ISNUMBER('Results'!$B$8),ISNUMBER('Inputs'!$B$6),ISNUMBER('Inputs'!$B$7),ISNUMBER('Inputs'!$B$8),ISNUMBER('Inputs'!$B$9),ISNUMBER('Inputs'!$B$10),ISNUMBER('Inputs'!$B$21),ISNUMBER('Inputs'!$B$24),ISNUMBER('Inputs'!$B$28)),((('Results'!C7*(1+'Inputs'!$B$24)*(0.5*((((388-43)*MAX('Inputs'!$B$33,'Inputs'!$B$29+'Inputs'!$B$31+'Inputs'!$B$32,'Inputs'!$B$30+'Inputs'!$B$31+'Inputs'!$B$32)/1000+'Inputs'!$B$21)+'Inputs'!$B$9)/SQRT((((388-43)*MAX('Inputs'!$B$33,'Inputs'!$B$29+'Inputs'!$B$31+'Inputs'!$B$32,'Inputs'!$B$30+'Inputs'!$B$31+'Inputs'!$B$32)/1000+'Inputs'!$B$21)+'Inputs'!$B$9)^2+('Inputs'!$B$8/2)^2)-(((388-43)*MAX('Inputs'!$B$33,'Inputs'!$B$29+'Inputs'!$B$31+'Inputs'!$B$32,'Inputs'!$B$30+'Inputs'!$B$31+'Inputs'!$B$32)/1000+'Inputs'!$B$21))/SQRT((((388-43)*MAX('Inputs'!$B$33,'Inputs'!$B$29+'Inputs'!$B$31+'Inputs'!$B$32,'Inputs'!$B$30+'Inputs'!$B$31+'Inputs'!$B$32)/1000+'Inputs'!$B$21))^2+('Inputs'!$B$8/2)^2)))-'Results'!B7*(1-'Inputs'!$B$24)*(0.5*((((388-43)*MAX('Inputs'!$B$33,'Inputs'!$B$29+'Inputs'!$B$31+'Inputs'!$B$32,'Inputs'!$B$30+'Inputs'!$B$31+'Inputs'!$B$32)/1000+'Inputs'!$B$21+'Inputs'!$B$9+'Inputs'!$B$10)+'Inputs'!$B$7)/SQRT((((388-43)*MAX('Inputs'!$B$33,'Inputs'!$B$29+'Inputs'!$B$31+'Inputs'!$B$32,'Inputs'!$B$30+'Inputs'!$B$31+'Inputs'!$B$32)/1000+'Inputs'!$B$21+'Inputs'!$B$9+'Inputs'!$B$10)+'Inputs'!$B$7)^2+('Inputs'!$B$6/2)^2)-(((388-43)*MAX('Inputs'!$B$33,'Inputs'!$B$29+'Inputs'!$B$31+'Inputs'!$B$32,'Inputs'!$B$30+'Inputs'!$B$31+'Inputs'!$B$32)/1000+'Inputs'!$B$21+'Inputs'!$B$9+'Inputs'!$B$10))/SQRT((((388-43)*MAX('Inputs'!$B$33,'Inputs'!$B$29+'Inputs'!$B$31+'Inputs'!$B$32,'Inputs'!$B$30+'Inputs'!$B$31+'Inputs'!$B$32)/1000+'Inputs'!$B$21+'Inputs'!$B$9+'Inputs'!$B$10))^2+('Inputs'!$B$6/2)^2))))*'Results'!$B$8)+'Inputs'!$B$28*ABS((('Results'!C7*(1+'Inputs'!$B$24)*(0.5*((((388-43)*MAX('Inputs'!$B$33,'Inputs'!$B$29+'Inputs'!$B$31+'Inputs'!$B$32,'Inputs'!$B$30+'Inputs'!$B$31+'Inputs'!$B$32)/1000+'Inputs'!$B$21)+'Inputs'!$B$9)/SQRT((((388-43)*MAX('Inputs'!$B$33,'Inputs'!$B$29+'Inputs'!$B$31+'Inputs'!$B$32,'Inputs'!$B$30+'Inputs'!$B$31+'Inputs'!$B$32)/1000+'Inputs'!$B$21)+'Inputs'!$B$9)^2+('Inputs'!$B$8/2)^2)-(((388-43)*MAX('Inputs'!$B$33,'Inputs'!$B$29+'Inputs'!$B$31+'Inputs'!$B$32,'Inputs'!$B$30+'Inputs'!$B$31+'Inputs'!$B$32)/1000+'Inputs'!$B$21))/SQRT((((388-43)*MAX('Inputs'!$B$33,'Inputs'!$B$29+'Inputs'!$B$31+'Inputs'!$B$32,'Inputs'!$B$30+'Inputs'!$B$31+'Inputs'!$B$32)/1000+'Inputs'!$B$21))^2+('Inputs'!$B$8/2)^2)))-'Results'!B7*(1-'Inputs'!$B$24)*(0.5*((((388-43)*MAX('Inputs'!$B$33,'Inputs'!$B$29+'Inputs'!$B$31+'Inputs'!$B$32,'Inputs'!$B$30+'Inputs'!$B$31+'Inputs'!$B$32)/1000+'Inputs'!$B$21+'Inputs'!$B$9+'Inputs'!$B$10)+'Inputs'!$B$7)/SQRT((((388-43)*MAX('Inputs'!$B$33,'Inputs'!$B$29+'Inputs'!$B$31+'Inputs'!$B$32,'Inputs'!$B$30+'Inputs'!$B$31+'Inputs'!$B$32)/1000+'Inputs'!$B$21+'Inputs'!$B$9+'Inputs'!$B$10)+'Inputs'!$B$7)^2+('Inputs'!$B$6/2)^2)-(((388-43)*MAX('Inputs'!$B$33,'Inputs'!$B$29+'Inputs'!$B$31+'Inputs'!$B$32,'Inputs'!$B$30+'Inputs'!$B$31+'Inputs'!$B$32)/1000+'Inputs'!$B$21+'Inputs'!$B$9+'Inputs'!$B$10))/SQRT((((388-43)*MAX('Inputs'!$B$33,'Inputs'!$B$29+'Inputs'!$B$31+'Inputs'!$B$32,'Inputs'!$B$30+'Inputs'!$B$31+'Inputs'!$B$32)/1000+'Inputs'!$B$21+'Inputs'!$B$9+'Inputs'!$B$10))^2+('Inputs'!$B$6/2)^2))))*'Results'!$B$8))),"")</x:f>
        <x:v>15.012477060835705</x:v>
      </x:c>
      <x:c r="P388" t="n">
        <x:f>IF(AND(MAX(J388,J387)&gt;0,J388&gt;J387+0.00000001),1,0)</x:f>
        <x:v>0</x:v>
      </x:c>
      <x:c r="Q388" t="n">
        <x:f>IF(AND(MAX(K388,K387)&gt;0,K388&gt;K387+0.00000001),1,0)</x:f>
        <x:v>0</x:v>
      </x:c>
      <x:c r="R388" t="n">
        <x:f>IF(AND(MAX(L388,L387)&gt;0,L388&gt;L387+0.00000001),1,0)</x:f>
        <x:v>0</x:v>
      </x:c>
      <x:c r="S388" t="n">
        <x:f>IF(AND(MAX(M388,M387)&gt;0,M388&gt;M387+0.00000001),1,0)</x:f>
        <x:v>0</x:v>
      </x:c>
      <x:c r="T388" t="n">
        <x:f>IF(AND(MAX(N388,N387)&gt;0,N388&gt;N387+0.00000001),1,0)</x:f>
        <x:v>0</x:v>
      </x:c>
      <x:c r="U388" t="n">
        <x:f>IF(AND(MAX(O388,O387)&gt;0,O388&gt;O387+0.00000001),1,0)</x:f>
        <x:v>0</x:v>
      </x:c>
    </x:row>
    <x:row r="389">
      <x:c r="J389" t="n">
        <x:f>IF(AND(ISNUMBER('Results'!B7),ISNUMBER('Results'!C7),ISNUMBER('Results'!$B$8),ISNUMBER('Inputs'!$B$6),ISNUMBER('Inputs'!$B$7),ISNUMBER('Inputs'!$B$8),ISNUMBER('Inputs'!$B$9),ISNUMBER('Inputs'!$B$10),ISNUMBER('Inputs'!$B$21),ISNUMBER('Inputs'!$B$24),ISNUMBER('Inputs'!$B$28)),(('Results'!B7*(0.5*((((389-43)*MAX('Inputs'!$B$33,'Inputs'!$B$29+'Inputs'!$B$31+'Inputs'!$B$32,'Inputs'!$B$30+'Inputs'!$B$31+'Inputs'!$B$32)/1000+'Inputs'!$B$21)+'Inputs'!$B$7)/SQRT((((389-43)*MAX('Inputs'!$B$33,'Inputs'!$B$29+'Inputs'!$B$31+'Inputs'!$B$32,'Inputs'!$B$30+'Inputs'!$B$31+'Inputs'!$B$32)/1000+'Inputs'!$B$21)+'Inputs'!$B$7)^2+('Inputs'!$B$6/2)^2)-(((389-43)*MAX('Inputs'!$B$33,'Inputs'!$B$29+'Inputs'!$B$31+'Inputs'!$B$32,'Inputs'!$B$30+'Inputs'!$B$31+'Inputs'!$B$32)/1000+'Inputs'!$B$21))/SQRT((((389-43)*MAX('Inputs'!$B$33,'Inputs'!$B$29+'Inputs'!$B$31+'Inputs'!$B$32,'Inputs'!$B$30+'Inputs'!$B$31+'Inputs'!$B$32)/1000+'Inputs'!$B$21))^2+('Inputs'!$B$6/2)^2)))-'Results'!C7*(0.5*((((389-43)*MAX('Inputs'!$B$33,'Inputs'!$B$29+'Inputs'!$B$31+'Inputs'!$B$32,'Inputs'!$B$30+'Inputs'!$B$31+'Inputs'!$B$32)/1000+'Inputs'!$B$21+'Inputs'!$B$7+'Inputs'!$B$10)+'Inputs'!$B$9)/SQRT((((389-43)*MAX('Inputs'!$B$33,'Inputs'!$B$29+'Inputs'!$B$31+'Inputs'!$B$32,'Inputs'!$B$30+'Inputs'!$B$31+'Inputs'!$B$32)/1000+'Inputs'!$B$21+'Inputs'!$B$7+'Inputs'!$B$10)+'Inputs'!$B$9)^2+('Inputs'!$B$8/2)^2)-(((389-43)*MAX('Inputs'!$B$33,'Inputs'!$B$29+'Inputs'!$B$31+'Inputs'!$B$32,'Inputs'!$B$30+'Inputs'!$B$31+'Inputs'!$B$32)/1000+'Inputs'!$B$21+'Inputs'!$B$7+'Inputs'!$B$10))/SQRT((((389-43)*MAX('Inputs'!$B$33,'Inputs'!$B$29+'Inputs'!$B$31+'Inputs'!$B$32,'Inputs'!$B$30+'Inputs'!$B$31+'Inputs'!$B$32)/1000+'Inputs'!$B$21+'Inputs'!$B$7+'Inputs'!$B$10))^2+('Inputs'!$B$8/2)^2))))*'Results'!$B$8),"")</x:f>
        <x:v>14.175707677179366</x:v>
      </x:c>
      <x:c r="K389" t="n">
        <x:f>IF(AND(ISNUMBER('Results'!B7),ISNUMBER('Results'!C7),ISNUMBER('Results'!$B$8),ISNUMBER('Inputs'!$B$6),ISNUMBER('Inputs'!$B$7),ISNUMBER('Inputs'!$B$8),ISNUMBER('Inputs'!$B$9),ISNUMBER('Inputs'!$B$10),ISNUMBER('Inputs'!$B$21),ISNUMBER('Inputs'!$B$24),ISNUMBER('Inputs'!$B$28)),((('Results'!B7*(1-'Inputs'!$B$24)*(0.5*((((389-43)*MAX('Inputs'!$B$33,'Inputs'!$B$29+'Inputs'!$B$31+'Inputs'!$B$32,'Inputs'!$B$30+'Inputs'!$B$31+'Inputs'!$B$32)/1000+'Inputs'!$B$21)+'Inputs'!$B$7)/SQRT((((389-43)*MAX('Inputs'!$B$33,'Inputs'!$B$29+'Inputs'!$B$31+'Inputs'!$B$32,'Inputs'!$B$30+'Inputs'!$B$31+'Inputs'!$B$32)/1000+'Inputs'!$B$21)+'Inputs'!$B$7)^2+('Inputs'!$B$6/2)^2)-(((389-43)*MAX('Inputs'!$B$33,'Inputs'!$B$29+'Inputs'!$B$31+'Inputs'!$B$32,'Inputs'!$B$30+'Inputs'!$B$31+'Inputs'!$B$32)/1000+'Inputs'!$B$21))/SQRT((((389-43)*MAX('Inputs'!$B$33,'Inputs'!$B$29+'Inputs'!$B$31+'Inputs'!$B$32,'Inputs'!$B$30+'Inputs'!$B$31+'Inputs'!$B$32)/1000+'Inputs'!$B$21))^2+('Inputs'!$B$6/2)^2)))-'Results'!C7*(1+'Inputs'!$B$24)*(0.5*((((389-43)*MAX('Inputs'!$B$33,'Inputs'!$B$29+'Inputs'!$B$31+'Inputs'!$B$32,'Inputs'!$B$30+'Inputs'!$B$31+'Inputs'!$B$32)/1000+'Inputs'!$B$21+'Inputs'!$B$7+'Inputs'!$B$10)+'Inputs'!$B$9)/SQRT((((389-43)*MAX('Inputs'!$B$33,'Inputs'!$B$29+'Inputs'!$B$31+'Inputs'!$B$32,'Inputs'!$B$30+'Inputs'!$B$31+'Inputs'!$B$32)/1000+'Inputs'!$B$21+'Inputs'!$B$7+'Inputs'!$B$10)+'Inputs'!$B$9)^2+('Inputs'!$B$8/2)^2)-(((389-43)*MAX('Inputs'!$B$33,'Inputs'!$B$29+'Inputs'!$B$31+'Inputs'!$B$32,'Inputs'!$B$30+'Inputs'!$B$31+'Inputs'!$B$32)/1000+'Inputs'!$B$21+'Inputs'!$B$7+'Inputs'!$B$10))/SQRT((((389-43)*MAX('Inputs'!$B$33,'Inputs'!$B$29+'Inputs'!$B$31+'Inputs'!$B$32,'Inputs'!$B$30+'Inputs'!$B$31+'Inputs'!$B$32)/1000+'Inputs'!$B$21+'Inputs'!$B$7+'Inputs'!$B$10))^2+('Inputs'!$B$8/2)^2))))*'Results'!$B$8)-'Inputs'!$B$28*ABS((('Results'!B7*(1-'Inputs'!$B$24)*(0.5*((((389-43)*MAX('Inputs'!$B$33,'Inputs'!$B$29+'Inputs'!$B$31+'Inputs'!$B$32,'Inputs'!$B$30+'Inputs'!$B$31+'Inputs'!$B$32)/1000+'Inputs'!$B$21)+'Inputs'!$B$7)/SQRT((((389-43)*MAX('Inputs'!$B$33,'Inputs'!$B$29+'Inputs'!$B$31+'Inputs'!$B$32,'Inputs'!$B$30+'Inputs'!$B$31+'Inputs'!$B$32)/1000+'Inputs'!$B$21)+'Inputs'!$B$7)^2+('Inputs'!$B$6/2)^2)-(((389-43)*MAX('Inputs'!$B$33,'Inputs'!$B$29+'Inputs'!$B$31+'Inputs'!$B$32,'Inputs'!$B$30+'Inputs'!$B$31+'Inputs'!$B$32)/1000+'Inputs'!$B$21))/SQRT((((389-43)*MAX('Inputs'!$B$33,'Inputs'!$B$29+'Inputs'!$B$31+'Inputs'!$B$32,'Inputs'!$B$30+'Inputs'!$B$31+'Inputs'!$B$32)/1000+'Inputs'!$B$21))^2+('Inputs'!$B$6/2)^2)))-'Results'!C7*(1+'Inputs'!$B$24)*(0.5*((((389-43)*MAX('Inputs'!$B$33,'Inputs'!$B$29+'Inputs'!$B$31+'Inputs'!$B$32,'Inputs'!$B$30+'Inputs'!$B$31+'Inputs'!$B$32)/1000+'Inputs'!$B$21+'Inputs'!$B$7+'Inputs'!$B$10)+'Inputs'!$B$9)/SQRT((((389-43)*MAX('Inputs'!$B$33,'Inputs'!$B$29+'Inputs'!$B$31+'Inputs'!$B$32,'Inputs'!$B$30+'Inputs'!$B$31+'Inputs'!$B$32)/1000+'Inputs'!$B$21+'Inputs'!$B$7+'Inputs'!$B$10)+'Inputs'!$B$9)^2+('Inputs'!$B$8/2)^2)-(((389-43)*MAX('Inputs'!$B$33,'Inputs'!$B$29+'Inputs'!$B$31+'Inputs'!$B$32,'Inputs'!$B$30+'Inputs'!$B$31+'Inputs'!$B$32)/1000+'Inputs'!$B$21+'Inputs'!$B$7+'Inputs'!$B$10))/SQRT((((389-43)*MAX('Inputs'!$B$33,'Inputs'!$B$29+'Inputs'!$B$31+'Inputs'!$B$32,'Inputs'!$B$30+'Inputs'!$B$31+'Inputs'!$B$32)/1000+'Inputs'!$B$21+'Inputs'!$B$7+'Inputs'!$B$10))^2+('Inputs'!$B$8/2)^2))))*'Results'!$B$8))),"")</x:f>
        <x:v>12.767268789465755</x:v>
      </x:c>
      <x:c r="L389" t="n">
        <x:f>IF(AND(ISNUMBER('Results'!B7),ISNUMBER('Results'!C7),ISNUMBER('Results'!$B$8),ISNUMBER('Inputs'!$B$6),ISNUMBER('Inputs'!$B$7),ISNUMBER('Inputs'!$B$8),ISNUMBER('Inputs'!$B$9),ISNUMBER('Inputs'!$B$10),ISNUMBER('Inputs'!$B$21),ISNUMBER('Inputs'!$B$24),ISNUMBER('Inputs'!$B$28)),((('Results'!B7*(1+'Inputs'!$B$24)*(0.5*((((389-43)*MAX('Inputs'!$B$33,'Inputs'!$B$29+'Inputs'!$B$31+'Inputs'!$B$32,'Inputs'!$B$30+'Inputs'!$B$31+'Inputs'!$B$32)/1000+'Inputs'!$B$21)+'Inputs'!$B$7)/SQRT((((389-43)*MAX('Inputs'!$B$33,'Inputs'!$B$29+'Inputs'!$B$31+'Inputs'!$B$32,'Inputs'!$B$30+'Inputs'!$B$31+'Inputs'!$B$32)/1000+'Inputs'!$B$21)+'Inputs'!$B$7)^2+('Inputs'!$B$6/2)^2)-(((389-43)*MAX('Inputs'!$B$33,'Inputs'!$B$29+'Inputs'!$B$31+'Inputs'!$B$32,'Inputs'!$B$30+'Inputs'!$B$31+'Inputs'!$B$32)/1000+'Inputs'!$B$21))/SQRT((((389-43)*MAX('Inputs'!$B$33,'Inputs'!$B$29+'Inputs'!$B$31+'Inputs'!$B$32,'Inputs'!$B$30+'Inputs'!$B$31+'Inputs'!$B$32)/1000+'Inputs'!$B$21))^2+('Inputs'!$B$6/2)^2)))-'Results'!C7*(1-'Inputs'!$B$24)*(0.5*((((389-43)*MAX('Inputs'!$B$33,'Inputs'!$B$29+'Inputs'!$B$31+'Inputs'!$B$32,'Inputs'!$B$30+'Inputs'!$B$31+'Inputs'!$B$32)/1000+'Inputs'!$B$21+'Inputs'!$B$7+'Inputs'!$B$10)+'Inputs'!$B$9)/SQRT((((389-43)*MAX('Inputs'!$B$33,'Inputs'!$B$29+'Inputs'!$B$31+'Inputs'!$B$32,'Inputs'!$B$30+'Inputs'!$B$31+'Inputs'!$B$32)/1000+'Inputs'!$B$21+'Inputs'!$B$7+'Inputs'!$B$10)+'Inputs'!$B$9)^2+('Inputs'!$B$8/2)^2)-(((389-43)*MAX('Inputs'!$B$33,'Inputs'!$B$29+'Inputs'!$B$31+'Inputs'!$B$32,'Inputs'!$B$30+'Inputs'!$B$31+'Inputs'!$B$32)/1000+'Inputs'!$B$21+'Inputs'!$B$7+'Inputs'!$B$10))/SQRT((((389-43)*MAX('Inputs'!$B$33,'Inputs'!$B$29+'Inputs'!$B$31+'Inputs'!$B$32,'Inputs'!$B$30+'Inputs'!$B$31+'Inputs'!$B$32)/1000+'Inputs'!$B$21+'Inputs'!$B$7+'Inputs'!$B$10))^2+('Inputs'!$B$8/2)^2))))*'Results'!$B$8)+'Inputs'!$B$28*ABS((('Results'!B7*(1+'Inputs'!$B$24)*(0.5*((((389-43)*MAX('Inputs'!$B$33,'Inputs'!$B$29+'Inputs'!$B$31+'Inputs'!$B$32,'Inputs'!$B$30+'Inputs'!$B$31+'Inputs'!$B$32)/1000+'Inputs'!$B$21)+'Inputs'!$B$7)/SQRT((((389-43)*MAX('Inputs'!$B$33,'Inputs'!$B$29+'Inputs'!$B$31+'Inputs'!$B$32,'Inputs'!$B$30+'Inputs'!$B$31+'Inputs'!$B$32)/1000+'Inputs'!$B$21)+'Inputs'!$B$7)^2+('Inputs'!$B$6/2)^2)-(((389-43)*MAX('Inputs'!$B$33,'Inputs'!$B$29+'Inputs'!$B$31+'Inputs'!$B$32,'Inputs'!$B$30+'Inputs'!$B$31+'Inputs'!$B$32)/1000+'Inputs'!$B$21))/SQRT((((389-43)*MAX('Inputs'!$B$33,'Inputs'!$B$29+'Inputs'!$B$31+'Inputs'!$B$32,'Inputs'!$B$30+'Inputs'!$B$31+'Inputs'!$B$32)/1000+'Inputs'!$B$21))^2+('Inputs'!$B$6/2)^2)))-'Results'!C7*(1-'Inputs'!$B$24)*(0.5*((((389-43)*MAX('Inputs'!$B$33,'Inputs'!$B$29+'Inputs'!$B$31+'Inputs'!$B$32,'Inputs'!$B$30+'Inputs'!$B$31+'Inputs'!$B$32)/1000+'Inputs'!$B$21+'Inputs'!$B$7+'Inputs'!$B$10)+'Inputs'!$B$9)/SQRT((((389-43)*MAX('Inputs'!$B$33,'Inputs'!$B$29+'Inputs'!$B$31+'Inputs'!$B$32,'Inputs'!$B$30+'Inputs'!$B$31+'Inputs'!$B$32)/1000+'Inputs'!$B$21+'Inputs'!$B$7+'Inputs'!$B$10)+'Inputs'!$B$9)^2+('Inputs'!$B$8/2)^2)-(((389-43)*MAX('Inputs'!$B$33,'Inputs'!$B$29+'Inputs'!$B$31+'Inputs'!$B$32,'Inputs'!$B$30+'Inputs'!$B$31+'Inputs'!$B$32)/1000+'Inputs'!$B$21+'Inputs'!$B$7+'Inputs'!$B$10))/SQRT((((389-43)*MAX('Inputs'!$B$33,'Inputs'!$B$29+'Inputs'!$B$31+'Inputs'!$B$32,'Inputs'!$B$30+'Inputs'!$B$31+'Inputs'!$B$32)/1000+'Inputs'!$B$21+'Inputs'!$B$7+'Inputs'!$B$10))^2+('Inputs'!$B$8/2)^2))))*'Results'!$B$8))),"")</x:f>
        <x:v>15.657794302140836</x:v>
      </x:c>
      <x:c r="M389" t="n">
        <x:f>IF(AND(ISNUMBER('Results'!C7),ISNUMBER('Results'!B7),ISNUMBER('Results'!$B$8),ISNUMBER('Inputs'!$B$6),ISNUMBER('Inputs'!$B$7),ISNUMBER('Inputs'!$B$8),ISNUMBER('Inputs'!$B$9),ISNUMBER('Inputs'!$B$10),ISNUMBER('Inputs'!$B$21),ISNUMBER('Inputs'!$B$24),ISNUMBER('Inputs'!$B$28)),(('Results'!C7*(0.5*((((389-43)*MAX('Inputs'!$B$33,'Inputs'!$B$29+'Inputs'!$B$31+'Inputs'!$B$32,'Inputs'!$B$30+'Inputs'!$B$31+'Inputs'!$B$32)/1000+'Inputs'!$B$21)+'Inputs'!$B$9)/SQRT((((389-43)*MAX('Inputs'!$B$33,'Inputs'!$B$29+'Inputs'!$B$31+'Inputs'!$B$32,'Inputs'!$B$30+'Inputs'!$B$31+'Inputs'!$B$32)/1000+'Inputs'!$B$21)+'Inputs'!$B$9)^2+('Inputs'!$B$8/2)^2)-(((389-43)*MAX('Inputs'!$B$33,'Inputs'!$B$29+'Inputs'!$B$31+'Inputs'!$B$32,'Inputs'!$B$30+'Inputs'!$B$31+'Inputs'!$B$32)/1000+'Inputs'!$B$21))/SQRT((((389-43)*MAX('Inputs'!$B$33,'Inputs'!$B$29+'Inputs'!$B$31+'Inputs'!$B$32,'Inputs'!$B$30+'Inputs'!$B$31+'Inputs'!$B$32)/1000+'Inputs'!$B$21))^2+('Inputs'!$B$8/2)^2)))-'Results'!B7*(0.5*((((389-43)*MAX('Inputs'!$B$33,'Inputs'!$B$29+'Inputs'!$B$31+'Inputs'!$B$32,'Inputs'!$B$30+'Inputs'!$B$31+'Inputs'!$B$32)/1000+'Inputs'!$B$21+'Inputs'!$B$9+'Inputs'!$B$10)+'Inputs'!$B$7)/SQRT((((389-43)*MAX('Inputs'!$B$33,'Inputs'!$B$29+'Inputs'!$B$31+'Inputs'!$B$32,'Inputs'!$B$30+'Inputs'!$B$31+'Inputs'!$B$32)/1000+'Inputs'!$B$21+'Inputs'!$B$9+'Inputs'!$B$10)+'Inputs'!$B$7)^2+('Inputs'!$B$6/2)^2)-(((389-43)*MAX('Inputs'!$B$33,'Inputs'!$B$29+'Inputs'!$B$31+'Inputs'!$B$32,'Inputs'!$B$30+'Inputs'!$B$31+'Inputs'!$B$32)/1000+'Inputs'!$B$21+'Inputs'!$B$9+'Inputs'!$B$10))/SQRT((((389-43)*MAX('Inputs'!$B$33,'Inputs'!$B$29+'Inputs'!$B$31+'Inputs'!$B$32,'Inputs'!$B$30+'Inputs'!$B$31+'Inputs'!$B$32)/1000+'Inputs'!$B$21+'Inputs'!$B$9+'Inputs'!$B$10))^2+('Inputs'!$B$6/2)^2))))*'Results'!$B$8),"")</x:f>
        <x:v>13.434608231038194</x:v>
      </x:c>
      <x:c r="N389" t="n">
        <x:f>IF(AND(ISNUMBER('Results'!C7),ISNUMBER('Results'!B7),ISNUMBER('Results'!$B$8),ISNUMBER('Inputs'!$B$6),ISNUMBER('Inputs'!$B$7),ISNUMBER('Inputs'!$B$8),ISNUMBER('Inputs'!$B$9),ISNUMBER('Inputs'!$B$10),ISNUMBER('Inputs'!$B$21),ISNUMBER('Inputs'!$B$24),ISNUMBER('Inputs'!$B$28)),((('Results'!C7*(1-'Inputs'!$B$24)*(0.5*((((389-43)*MAX('Inputs'!$B$33,'Inputs'!$B$29+'Inputs'!$B$31+'Inputs'!$B$32,'Inputs'!$B$30+'Inputs'!$B$31+'Inputs'!$B$32)/1000+'Inputs'!$B$21)+'Inputs'!$B$9)/SQRT((((389-43)*MAX('Inputs'!$B$33,'Inputs'!$B$29+'Inputs'!$B$31+'Inputs'!$B$32,'Inputs'!$B$30+'Inputs'!$B$31+'Inputs'!$B$32)/1000+'Inputs'!$B$21)+'Inputs'!$B$9)^2+('Inputs'!$B$8/2)^2)-(((389-43)*MAX('Inputs'!$B$33,'Inputs'!$B$29+'Inputs'!$B$31+'Inputs'!$B$32,'Inputs'!$B$30+'Inputs'!$B$31+'Inputs'!$B$32)/1000+'Inputs'!$B$21))/SQRT((((389-43)*MAX('Inputs'!$B$33,'Inputs'!$B$29+'Inputs'!$B$31+'Inputs'!$B$32,'Inputs'!$B$30+'Inputs'!$B$31+'Inputs'!$B$32)/1000+'Inputs'!$B$21))^2+('Inputs'!$B$8/2)^2)))-'Results'!B7*(1+'Inputs'!$B$24)*(0.5*((((389-43)*MAX('Inputs'!$B$33,'Inputs'!$B$29+'Inputs'!$B$31+'Inputs'!$B$32,'Inputs'!$B$30+'Inputs'!$B$31+'Inputs'!$B$32)/1000+'Inputs'!$B$21+'Inputs'!$B$9+'Inputs'!$B$10)+'Inputs'!$B$7)/SQRT((((389-43)*MAX('Inputs'!$B$33,'Inputs'!$B$29+'Inputs'!$B$31+'Inputs'!$B$32,'Inputs'!$B$30+'Inputs'!$B$31+'Inputs'!$B$32)/1000+'Inputs'!$B$21+'Inputs'!$B$9+'Inputs'!$B$10)+'Inputs'!$B$7)^2+('Inputs'!$B$6/2)^2)-(((389-43)*MAX('Inputs'!$B$33,'Inputs'!$B$29+'Inputs'!$B$31+'Inputs'!$B$32,'Inputs'!$B$30+'Inputs'!$B$31+'Inputs'!$B$32)/1000+'Inputs'!$B$21+'Inputs'!$B$9+'Inputs'!$B$10))/SQRT((((389-43)*MAX('Inputs'!$B$33,'Inputs'!$B$29+'Inputs'!$B$31+'Inputs'!$B$32,'Inputs'!$B$30+'Inputs'!$B$31+'Inputs'!$B$32)/1000+'Inputs'!$B$21+'Inputs'!$B$9+'Inputs'!$B$10))^2+('Inputs'!$B$6/2)^2))))*'Results'!$B$8)-'Inputs'!$B$28*ABS((('Results'!C7*(1-'Inputs'!$B$24)*(0.5*((((389-43)*MAX('Inputs'!$B$33,'Inputs'!$B$29+'Inputs'!$B$31+'Inputs'!$B$32,'Inputs'!$B$30+'Inputs'!$B$31+'Inputs'!$B$32)/1000+'Inputs'!$B$21)+'Inputs'!$B$9)/SQRT((((389-43)*MAX('Inputs'!$B$33,'Inputs'!$B$29+'Inputs'!$B$31+'Inputs'!$B$32,'Inputs'!$B$30+'Inputs'!$B$31+'Inputs'!$B$32)/1000+'Inputs'!$B$21)+'Inputs'!$B$9)^2+('Inputs'!$B$8/2)^2)-(((389-43)*MAX('Inputs'!$B$33,'Inputs'!$B$29+'Inputs'!$B$31+'Inputs'!$B$32,'Inputs'!$B$30+'Inputs'!$B$31+'Inputs'!$B$32)/1000+'Inputs'!$B$21))/SQRT((((389-43)*MAX('Inputs'!$B$33,'Inputs'!$B$29+'Inputs'!$B$31+'Inputs'!$B$32,'Inputs'!$B$30+'Inputs'!$B$31+'Inputs'!$B$32)/1000+'Inputs'!$B$21))^2+('Inputs'!$B$8/2)^2)))-'Results'!B7*(1+'Inputs'!$B$24)*(0.5*((((389-43)*MAX('Inputs'!$B$33,'Inputs'!$B$29+'Inputs'!$B$31+'Inputs'!$B$32,'Inputs'!$B$30+'Inputs'!$B$31+'Inputs'!$B$32)/1000+'Inputs'!$B$21+'Inputs'!$B$9+'Inputs'!$B$10)+'Inputs'!$B$7)/SQRT((((389-43)*MAX('Inputs'!$B$33,'Inputs'!$B$29+'Inputs'!$B$31+'Inputs'!$B$32,'Inputs'!$B$30+'Inputs'!$B$31+'Inputs'!$B$32)/1000+'Inputs'!$B$21+'Inputs'!$B$9+'Inputs'!$B$10)+'Inputs'!$B$7)^2+('Inputs'!$B$6/2)^2)-(((389-43)*MAX('Inputs'!$B$33,'Inputs'!$B$29+'Inputs'!$B$31+'Inputs'!$B$32,'Inputs'!$B$30+'Inputs'!$B$31+'Inputs'!$B$32)/1000+'Inputs'!$B$21+'Inputs'!$B$9+'Inputs'!$B$10))/SQRT((((389-43)*MAX('Inputs'!$B$33,'Inputs'!$B$29+'Inputs'!$B$31+'Inputs'!$B$32,'Inputs'!$B$30+'Inputs'!$B$31+'Inputs'!$B$32)/1000+'Inputs'!$B$21+'Inputs'!$B$9+'Inputs'!$B$10))^2+('Inputs'!$B$6/2)^2))))*'Results'!$B$8))),"")</x:f>
        <x:v>12.068523265149377</x:v>
      </x:c>
      <x:c r="O389" t="n">
        <x:f>IF(AND(ISNUMBER('Results'!C7),ISNUMBER('Results'!B7),ISNUMBER('Results'!$B$8),ISNUMBER('Inputs'!$B$6),ISNUMBER('Inputs'!$B$7),ISNUMBER('Inputs'!$B$8),ISNUMBER('Inputs'!$B$9),ISNUMBER('Inputs'!$B$10),ISNUMBER('Inputs'!$B$21),ISNUMBER('Inputs'!$B$24),ISNUMBER('Inputs'!$B$28)),((('Results'!C7*(1+'Inputs'!$B$24)*(0.5*((((389-43)*MAX('Inputs'!$B$33,'Inputs'!$B$29+'Inputs'!$B$31+'Inputs'!$B$32,'Inputs'!$B$30+'Inputs'!$B$31+'Inputs'!$B$32)/1000+'Inputs'!$B$21)+'Inputs'!$B$9)/SQRT((((389-43)*MAX('Inputs'!$B$33,'Inputs'!$B$29+'Inputs'!$B$31+'Inputs'!$B$32,'Inputs'!$B$30+'Inputs'!$B$31+'Inputs'!$B$32)/1000+'Inputs'!$B$21)+'Inputs'!$B$9)^2+('Inputs'!$B$8/2)^2)-(((389-43)*MAX('Inputs'!$B$33,'Inputs'!$B$29+'Inputs'!$B$31+'Inputs'!$B$32,'Inputs'!$B$30+'Inputs'!$B$31+'Inputs'!$B$32)/1000+'Inputs'!$B$21))/SQRT((((389-43)*MAX('Inputs'!$B$33,'Inputs'!$B$29+'Inputs'!$B$31+'Inputs'!$B$32,'Inputs'!$B$30+'Inputs'!$B$31+'Inputs'!$B$32)/1000+'Inputs'!$B$21))^2+('Inputs'!$B$8/2)^2)))-'Results'!B7*(1-'Inputs'!$B$24)*(0.5*((((389-43)*MAX('Inputs'!$B$33,'Inputs'!$B$29+'Inputs'!$B$31+'Inputs'!$B$32,'Inputs'!$B$30+'Inputs'!$B$31+'Inputs'!$B$32)/1000+'Inputs'!$B$21+'Inputs'!$B$9+'Inputs'!$B$10)+'Inputs'!$B$7)/SQRT((((389-43)*MAX('Inputs'!$B$33,'Inputs'!$B$29+'Inputs'!$B$31+'Inputs'!$B$32,'Inputs'!$B$30+'Inputs'!$B$31+'Inputs'!$B$32)/1000+'Inputs'!$B$21+'Inputs'!$B$9+'Inputs'!$B$10)+'Inputs'!$B$7)^2+('Inputs'!$B$6/2)^2)-(((389-43)*MAX('Inputs'!$B$33,'Inputs'!$B$29+'Inputs'!$B$31+'Inputs'!$B$32,'Inputs'!$B$30+'Inputs'!$B$31+'Inputs'!$B$32)/1000+'Inputs'!$B$21+'Inputs'!$B$9+'Inputs'!$B$10))/SQRT((((389-43)*MAX('Inputs'!$B$33,'Inputs'!$B$29+'Inputs'!$B$31+'Inputs'!$B$32,'Inputs'!$B$30+'Inputs'!$B$31+'Inputs'!$B$32)/1000+'Inputs'!$B$21+'Inputs'!$B$9+'Inputs'!$B$10))^2+('Inputs'!$B$6/2)^2))))*'Results'!$B$8)+'Inputs'!$B$28*ABS((('Results'!C7*(1+'Inputs'!$B$24)*(0.5*((((389-43)*MAX('Inputs'!$B$33,'Inputs'!$B$29+'Inputs'!$B$31+'Inputs'!$B$32,'Inputs'!$B$30+'Inputs'!$B$31+'Inputs'!$B$32)/1000+'Inputs'!$B$21)+'Inputs'!$B$9)/SQRT((((389-43)*MAX('Inputs'!$B$33,'Inputs'!$B$29+'Inputs'!$B$31+'Inputs'!$B$32,'Inputs'!$B$30+'Inputs'!$B$31+'Inputs'!$B$32)/1000+'Inputs'!$B$21)+'Inputs'!$B$9)^2+('Inputs'!$B$8/2)^2)-(((389-43)*MAX('Inputs'!$B$33,'Inputs'!$B$29+'Inputs'!$B$31+'Inputs'!$B$32,'Inputs'!$B$30+'Inputs'!$B$31+'Inputs'!$B$32)/1000+'Inputs'!$B$21))/SQRT((((389-43)*MAX('Inputs'!$B$33,'Inputs'!$B$29+'Inputs'!$B$31+'Inputs'!$B$32,'Inputs'!$B$30+'Inputs'!$B$31+'Inputs'!$B$32)/1000+'Inputs'!$B$21))^2+('Inputs'!$B$8/2)^2)))-'Results'!B7*(1-'Inputs'!$B$24)*(0.5*((((389-43)*MAX('Inputs'!$B$33,'Inputs'!$B$29+'Inputs'!$B$31+'Inputs'!$B$32,'Inputs'!$B$30+'Inputs'!$B$31+'Inputs'!$B$32)/1000+'Inputs'!$B$21+'Inputs'!$B$9+'Inputs'!$B$10)+'Inputs'!$B$7)/SQRT((((389-43)*MAX('Inputs'!$B$33,'Inputs'!$B$29+'Inputs'!$B$31+'Inputs'!$B$32,'Inputs'!$B$30+'Inputs'!$B$31+'Inputs'!$B$32)/1000+'Inputs'!$B$21+'Inputs'!$B$9+'Inputs'!$B$10)+'Inputs'!$B$7)^2+('Inputs'!$B$6/2)^2)-(((389-43)*MAX('Inputs'!$B$33,'Inputs'!$B$29+'Inputs'!$B$31+'Inputs'!$B$32,'Inputs'!$B$30+'Inputs'!$B$31+'Inputs'!$B$32)/1000+'Inputs'!$B$21+'Inputs'!$B$9+'Inputs'!$B$10))/SQRT((((389-43)*MAX('Inputs'!$B$33,'Inputs'!$B$29+'Inputs'!$B$31+'Inputs'!$B$32,'Inputs'!$B$30+'Inputs'!$B$31+'Inputs'!$B$32)/1000+'Inputs'!$B$21+'Inputs'!$B$9+'Inputs'!$B$10))^2+('Inputs'!$B$6/2)^2))))*'Results'!$B$8))),"")</x:f>
        <x:v>14.873783150015104</x:v>
      </x:c>
      <x:c r="P389" t="n">
        <x:f>IF(AND(MAX(J389,J388)&gt;0,J389&gt;J388+0.00000001),1,0)</x:f>
        <x:v>0</x:v>
      </x:c>
      <x:c r="Q389" t="n">
        <x:f>IF(AND(MAX(K389,K388)&gt;0,K389&gt;K388+0.00000001),1,0)</x:f>
        <x:v>0</x:v>
      </x:c>
      <x:c r="R389" t="n">
        <x:f>IF(AND(MAX(L389,L388)&gt;0,L389&gt;L388+0.00000001),1,0)</x:f>
        <x:v>0</x:v>
      </x:c>
      <x:c r="S389" t="n">
        <x:f>IF(AND(MAX(M389,M388)&gt;0,M389&gt;M388+0.00000001),1,0)</x:f>
        <x:v>0</x:v>
      </x:c>
      <x:c r="T389" t="n">
        <x:f>IF(AND(MAX(N389,N388)&gt;0,N389&gt;N388+0.00000001),1,0)</x:f>
        <x:v>0</x:v>
      </x:c>
      <x:c r="U389" t="n">
        <x:f>IF(AND(MAX(O389,O388)&gt;0,O389&gt;O388+0.00000001),1,0)</x:f>
        <x:v>0</x:v>
      </x:c>
    </x:row>
    <x:row r="390">
      <x:c r="J390" t="n">
        <x:f>IF(AND(ISNUMBER('Results'!B7),ISNUMBER('Results'!C7),ISNUMBER('Results'!$B$8),ISNUMBER('Inputs'!$B$6),ISNUMBER('Inputs'!$B$7),ISNUMBER('Inputs'!$B$8),ISNUMBER('Inputs'!$B$9),ISNUMBER('Inputs'!$B$10),ISNUMBER('Inputs'!$B$21),ISNUMBER('Inputs'!$B$24),ISNUMBER('Inputs'!$B$28)),(('Results'!B7*(0.5*((((390-43)*MAX('Inputs'!$B$33,'Inputs'!$B$29+'Inputs'!$B$31+'Inputs'!$B$32,'Inputs'!$B$30+'Inputs'!$B$31+'Inputs'!$B$32)/1000+'Inputs'!$B$21)+'Inputs'!$B$7)/SQRT((((390-43)*MAX('Inputs'!$B$33,'Inputs'!$B$29+'Inputs'!$B$31+'Inputs'!$B$32,'Inputs'!$B$30+'Inputs'!$B$31+'Inputs'!$B$32)/1000+'Inputs'!$B$21)+'Inputs'!$B$7)^2+('Inputs'!$B$6/2)^2)-(((390-43)*MAX('Inputs'!$B$33,'Inputs'!$B$29+'Inputs'!$B$31+'Inputs'!$B$32,'Inputs'!$B$30+'Inputs'!$B$31+'Inputs'!$B$32)/1000+'Inputs'!$B$21))/SQRT((((390-43)*MAX('Inputs'!$B$33,'Inputs'!$B$29+'Inputs'!$B$31+'Inputs'!$B$32,'Inputs'!$B$30+'Inputs'!$B$31+'Inputs'!$B$32)/1000+'Inputs'!$B$21))^2+('Inputs'!$B$6/2)^2)))-'Results'!C7*(0.5*((((390-43)*MAX('Inputs'!$B$33,'Inputs'!$B$29+'Inputs'!$B$31+'Inputs'!$B$32,'Inputs'!$B$30+'Inputs'!$B$31+'Inputs'!$B$32)/1000+'Inputs'!$B$21+'Inputs'!$B$7+'Inputs'!$B$10)+'Inputs'!$B$9)/SQRT((((390-43)*MAX('Inputs'!$B$33,'Inputs'!$B$29+'Inputs'!$B$31+'Inputs'!$B$32,'Inputs'!$B$30+'Inputs'!$B$31+'Inputs'!$B$32)/1000+'Inputs'!$B$21+'Inputs'!$B$7+'Inputs'!$B$10)+'Inputs'!$B$9)^2+('Inputs'!$B$8/2)^2)-(((390-43)*MAX('Inputs'!$B$33,'Inputs'!$B$29+'Inputs'!$B$31+'Inputs'!$B$32,'Inputs'!$B$30+'Inputs'!$B$31+'Inputs'!$B$32)/1000+'Inputs'!$B$21+'Inputs'!$B$7+'Inputs'!$B$10))/SQRT((((390-43)*MAX('Inputs'!$B$33,'Inputs'!$B$29+'Inputs'!$B$31+'Inputs'!$B$32,'Inputs'!$B$30+'Inputs'!$B$31+'Inputs'!$B$32)/1000+'Inputs'!$B$21+'Inputs'!$B$7+'Inputs'!$B$10))^2+('Inputs'!$B$8/2)^2))))*'Results'!$B$8),"")</x:f>
        <x:v>14.045057220817107</x:v>
      </x:c>
      <x:c r="K390" t="n">
        <x:f>IF(AND(ISNUMBER('Results'!B7),ISNUMBER('Results'!C7),ISNUMBER('Results'!$B$8),ISNUMBER('Inputs'!$B$6),ISNUMBER('Inputs'!$B$7),ISNUMBER('Inputs'!$B$8),ISNUMBER('Inputs'!$B$9),ISNUMBER('Inputs'!$B$10),ISNUMBER('Inputs'!$B$21),ISNUMBER('Inputs'!$B$24),ISNUMBER('Inputs'!$B$28)),((('Results'!B7*(1-'Inputs'!$B$24)*(0.5*((((390-43)*MAX('Inputs'!$B$33,'Inputs'!$B$29+'Inputs'!$B$31+'Inputs'!$B$32,'Inputs'!$B$30+'Inputs'!$B$31+'Inputs'!$B$32)/1000+'Inputs'!$B$21)+'Inputs'!$B$7)/SQRT((((390-43)*MAX('Inputs'!$B$33,'Inputs'!$B$29+'Inputs'!$B$31+'Inputs'!$B$32,'Inputs'!$B$30+'Inputs'!$B$31+'Inputs'!$B$32)/1000+'Inputs'!$B$21)+'Inputs'!$B$7)^2+('Inputs'!$B$6/2)^2)-(((390-43)*MAX('Inputs'!$B$33,'Inputs'!$B$29+'Inputs'!$B$31+'Inputs'!$B$32,'Inputs'!$B$30+'Inputs'!$B$31+'Inputs'!$B$32)/1000+'Inputs'!$B$21))/SQRT((((390-43)*MAX('Inputs'!$B$33,'Inputs'!$B$29+'Inputs'!$B$31+'Inputs'!$B$32,'Inputs'!$B$30+'Inputs'!$B$31+'Inputs'!$B$32)/1000+'Inputs'!$B$21))^2+('Inputs'!$B$6/2)^2)))-'Results'!C7*(1+'Inputs'!$B$24)*(0.5*((((390-43)*MAX('Inputs'!$B$33,'Inputs'!$B$29+'Inputs'!$B$31+'Inputs'!$B$32,'Inputs'!$B$30+'Inputs'!$B$31+'Inputs'!$B$32)/1000+'Inputs'!$B$21+'Inputs'!$B$7+'Inputs'!$B$10)+'Inputs'!$B$9)/SQRT((((390-43)*MAX('Inputs'!$B$33,'Inputs'!$B$29+'Inputs'!$B$31+'Inputs'!$B$32,'Inputs'!$B$30+'Inputs'!$B$31+'Inputs'!$B$32)/1000+'Inputs'!$B$21+'Inputs'!$B$7+'Inputs'!$B$10)+'Inputs'!$B$9)^2+('Inputs'!$B$8/2)^2)-(((390-43)*MAX('Inputs'!$B$33,'Inputs'!$B$29+'Inputs'!$B$31+'Inputs'!$B$32,'Inputs'!$B$30+'Inputs'!$B$31+'Inputs'!$B$32)/1000+'Inputs'!$B$21+'Inputs'!$B$7+'Inputs'!$B$10))/SQRT((((390-43)*MAX('Inputs'!$B$33,'Inputs'!$B$29+'Inputs'!$B$31+'Inputs'!$B$32,'Inputs'!$B$30+'Inputs'!$B$31+'Inputs'!$B$32)/1000+'Inputs'!$B$21+'Inputs'!$B$7+'Inputs'!$B$10))^2+('Inputs'!$B$8/2)^2))))*'Results'!$B$8)-'Inputs'!$B$28*ABS((('Results'!B7*(1-'Inputs'!$B$24)*(0.5*((((390-43)*MAX('Inputs'!$B$33,'Inputs'!$B$29+'Inputs'!$B$31+'Inputs'!$B$32,'Inputs'!$B$30+'Inputs'!$B$31+'Inputs'!$B$32)/1000+'Inputs'!$B$21)+'Inputs'!$B$7)/SQRT((((390-43)*MAX('Inputs'!$B$33,'Inputs'!$B$29+'Inputs'!$B$31+'Inputs'!$B$32,'Inputs'!$B$30+'Inputs'!$B$31+'Inputs'!$B$32)/1000+'Inputs'!$B$21)+'Inputs'!$B$7)^2+('Inputs'!$B$6/2)^2)-(((390-43)*MAX('Inputs'!$B$33,'Inputs'!$B$29+'Inputs'!$B$31+'Inputs'!$B$32,'Inputs'!$B$30+'Inputs'!$B$31+'Inputs'!$B$32)/1000+'Inputs'!$B$21))/SQRT((((390-43)*MAX('Inputs'!$B$33,'Inputs'!$B$29+'Inputs'!$B$31+'Inputs'!$B$32,'Inputs'!$B$30+'Inputs'!$B$31+'Inputs'!$B$32)/1000+'Inputs'!$B$21))^2+('Inputs'!$B$6/2)^2)))-'Results'!C7*(1+'Inputs'!$B$24)*(0.5*((((390-43)*MAX('Inputs'!$B$33,'Inputs'!$B$29+'Inputs'!$B$31+'Inputs'!$B$32,'Inputs'!$B$30+'Inputs'!$B$31+'Inputs'!$B$32)/1000+'Inputs'!$B$21+'Inputs'!$B$7+'Inputs'!$B$10)+'Inputs'!$B$9)/SQRT((((390-43)*MAX('Inputs'!$B$33,'Inputs'!$B$29+'Inputs'!$B$31+'Inputs'!$B$32,'Inputs'!$B$30+'Inputs'!$B$31+'Inputs'!$B$32)/1000+'Inputs'!$B$21+'Inputs'!$B$7+'Inputs'!$B$10)+'Inputs'!$B$9)^2+('Inputs'!$B$8/2)^2)-(((390-43)*MAX('Inputs'!$B$33,'Inputs'!$B$29+'Inputs'!$B$31+'Inputs'!$B$32,'Inputs'!$B$30+'Inputs'!$B$31+'Inputs'!$B$32)/1000+'Inputs'!$B$21+'Inputs'!$B$7+'Inputs'!$B$10))/SQRT((((390-43)*MAX('Inputs'!$B$33,'Inputs'!$B$29+'Inputs'!$B$31+'Inputs'!$B$32,'Inputs'!$B$30+'Inputs'!$B$31+'Inputs'!$B$32)/1000+'Inputs'!$B$21+'Inputs'!$B$7+'Inputs'!$B$10))^2+('Inputs'!$B$8/2)^2))))*'Results'!$B$8))),"")</x:f>
        <x:v>12.648243231414359</x:v>
      </x:c>
      <x:c r="L390" t="n">
        <x:f>IF(AND(ISNUMBER('Results'!B7),ISNUMBER('Results'!C7),ISNUMBER('Results'!$B$8),ISNUMBER('Inputs'!$B$6),ISNUMBER('Inputs'!$B$7),ISNUMBER('Inputs'!$B$8),ISNUMBER('Inputs'!$B$9),ISNUMBER('Inputs'!$B$10),ISNUMBER('Inputs'!$B$21),ISNUMBER('Inputs'!$B$24),ISNUMBER('Inputs'!$B$28)),((('Results'!B7*(1+'Inputs'!$B$24)*(0.5*((((390-43)*MAX('Inputs'!$B$33,'Inputs'!$B$29+'Inputs'!$B$31+'Inputs'!$B$32,'Inputs'!$B$30+'Inputs'!$B$31+'Inputs'!$B$32)/1000+'Inputs'!$B$21)+'Inputs'!$B$7)/SQRT((((390-43)*MAX('Inputs'!$B$33,'Inputs'!$B$29+'Inputs'!$B$31+'Inputs'!$B$32,'Inputs'!$B$30+'Inputs'!$B$31+'Inputs'!$B$32)/1000+'Inputs'!$B$21)+'Inputs'!$B$7)^2+('Inputs'!$B$6/2)^2)-(((390-43)*MAX('Inputs'!$B$33,'Inputs'!$B$29+'Inputs'!$B$31+'Inputs'!$B$32,'Inputs'!$B$30+'Inputs'!$B$31+'Inputs'!$B$32)/1000+'Inputs'!$B$21))/SQRT((((390-43)*MAX('Inputs'!$B$33,'Inputs'!$B$29+'Inputs'!$B$31+'Inputs'!$B$32,'Inputs'!$B$30+'Inputs'!$B$31+'Inputs'!$B$32)/1000+'Inputs'!$B$21))^2+('Inputs'!$B$6/2)^2)))-'Results'!C7*(1-'Inputs'!$B$24)*(0.5*((((390-43)*MAX('Inputs'!$B$33,'Inputs'!$B$29+'Inputs'!$B$31+'Inputs'!$B$32,'Inputs'!$B$30+'Inputs'!$B$31+'Inputs'!$B$32)/1000+'Inputs'!$B$21+'Inputs'!$B$7+'Inputs'!$B$10)+'Inputs'!$B$9)/SQRT((((390-43)*MAX('Inputs'!$B$33,'Inputs'!$B$29+'Inputs'!$B$31+'Inputs'!$B$32,'Inputs'!$B$30+'Inputs'!$B$31+'Inputs'!$B$32)/1000+'Inputs'!$B$21+'Inputs'!$B$7+'Inputs'!$B$10)+'Inputs'!$B$9)^2+('Inputs'!$B$8/2)^2)-(((390-43)*MAX('Inputs'!$B$33,'Inputs'!$B$29+'Inputs'!$B$31+'Inputs'!$B$32,'Inputs'!$B$30+'Inputs'!$B$31+'Inputs'!$B$32)/1000+'Inputs'!$B$21+'Inputs'!$B$7+'Inputs'!$B$10))/SQRT((((390-43)*MAX('Inputs'!$B$33,'Inputs'!$B$29+'Inputs'!$B$31+'Inputs'!$B$32,'Inputs'!$B$30+'Inputs'!$B$31+'Inputs'!$B$32)/1000+'Inputs'!$B$21+'Inputs'!$B$7+'Inputs'!$B$10))^2+('Inputs'!$B$8/2)^2))))*'Results'!$B$8)+'Inputs'!$B$28*ABS((('Results'!B7*(1+'Inputs'!$B$24)*(0.5*((((390-43)*MAX('Inputs'!$B$33,'Inputs'!$B$29+'Inputs'!$B$31+'Inputs'!$B$32,'Inputs'!$B$30+'Inputs'!$B$31+'Inputs'!$B$32)/1000+'Inputs'!$B$21)+'Inputs'!$B$7)/SQRT((((390-43)*MAX('Inputs'!$B$33,'Inputs'!$B$29+'Inputs'!$B$31+'Inputs'!$B$32,'Inputs'!$B$30+'Inputs'!$B$31+'Inputs'!$B$32)/1000+'Inputs'!$B$21)+'Inputs'!$B$7)^2+('Inputs'!$B$6/2)^2)-(((390-43)*MAX('Inputs'!$B$33,'Inputs'!$B$29+'Inputs'!$B$31+'Inputs'!$B$32,'Inputs'!$B$30+'Inputs'!$B$31+'Inputs'!$B$32)/1000+'Inputs'!$B$21))/SQRT((((390-43)*MAX('Inputs'!$B$33,'Inputs'!$B$29+'Inputs'!$B$31+'Inputs'!$B$32,'Inputs'!$B$30+'Inputs'!$B$31+'Inputs'!$B$32)/1000+'Inputs'!$B$21))^2+('Inputs'!$B$6/2)^2)))-'Results'!C7*(1-'Inputs'!$B$24)*(0.5*((((390-43)*MAX('Inputs'!$B$33,'Inputs'!$B$29+'Inputs'!$B$31+'Inputs'!$B$32,'Inputs'!$B$30+'Inputs'!$B$31+'Inputs'!$B$32)/1000+'Inputs'!$B$21+'Inputs'!$B$7+'Inputs'!$B$10)+'Inputs'!$B$9)/SQRT((((390-43)*MAX('Inputs'!$B$33,'Inputs'!$B$29+'Inputs'!$B$31+'Inputs'!$B$32,'Inputs'!$B$30+'Inputs'!$B$31+'Inputs'!$B$32)/1000+'Inputs'!$B$21+'Inputs'!$B$7+'Inputs'!$B$10)+'Inputs'!$B$9)^2+('Inputs'!$B$8/2)^2)-(((390-43)*MAX('Inputs'!$B$33,'Inputs'!$B$29+'Inputs'!$B$31+'Inputs'!$B$32,'Inputs'!$B$30+'Inputs'!$B$31+'Inputs'!$B$32)/1000+'Inputs'!$B$21+'Inputs'!$B$7+'Inputs'!$B$10))/SQRT((((390-43)*MAX('Inputs'!$B$33,'Inputs'!$B$29+'Inputs'!$B$31+'Inputs'!$B$32,'Inputs'!$B$30+'Inputs'!$B$31+'Inputs'!$B$32)/1000+'Inputs'!$B$21+'Inputs'!$B$7+'Inputs'!$B$10))^2+('Inputs'!$B$8/2)^2))))*'Results'!$B$8))),"")</x:f>
        <x:v>15.514982907942164</x:v>
      </x:c>
      <x:c r="M390" t="n">
        <x:f>IF(AND(ISNUMBER('Results'!C7),ISNUMBER('Results'!B7),ISNUMBER('Results'!$B$8),ISNUMBER('Inputs'!$B$6),ISNUMBER('Inputs'!$B$7),ISNUMBER('Inputs'!$B$8),ISNUMBER('Inputs'!$B$9),ISNUMBER('Inputs'!$B$10),ISNUMBER('Inputs'!$B$21),ISNUMBER('Inputs'!$B$24),ISNUMBER('Inputs'!$B$28)),(('Results'!C7*(0.5*((((390-43)*MAX('Inputs'!$B$33,'Inputs'!$B$29+'Inputs'!$B$31+'Inputs'!$B$32,'Inputs'!$B$30+'Inputs'!$B$31+'Inputs'!$B$32)/1000+'Inputs'!$B$21)+'Inputs'!$B$9)/SQRT((((390-43)*MAX('Inputs'!$B$33,'Inputs'!$B$29+'Inputs'!$B$31+'Inputs'!$B$32,'Inputs'!$B$30+'Inputs'!$B$31+'Inputs'!$B$32)/1000+'Inputs'!$B$21)+'Inputs'!$B$9)^2+('Inputs'!$B$8/2)^2)-(((390-43)*MAX('Inputs'!$B$33,'Inputs'!$B$29+'Inputs'!$B$31+'Inputs'!$B$32,'Inputs'!$B$30+'Inputs'!$B$31+'Inputs'!$B$32)/1000+'Inputs'!$B$21))/SQRT((((390-43)*MAX('Inputs'!$B$33,'Inputs'!$B$29+'Inputs'!$B$31+'Inputs'!$B$32,'Inputs'!$B$30+'Inputs'!$B$31+'Inputs'!$B$32)/1000+'Inputs'!$B$21))^2+('Inputs'!$B$8/2)^2)))-'Results'!B7*(0.5*((((390-43)*MAX('Inputs'!$B$33,'Inputs'!$B$29+'Inputs'!$B$31+'Inputs'!$B$32,'Inputs'!$B$30+'Inputs'!$B$31+'Inputs'!$B$32)/1000+'Inputs'!$B$21+'Inputs'!$B$9+'Inputs'!$B$10)+'Inputs'!$B$7)/SQRT((((390-43)*MAX('Inputs'!$B$33,'Inputs'!$B$29+'Inputs'!$B$31+'Inputs'!$B$32,'Inputs'!$B$30+'Inputs'!$B$31+'Inputs'!$B$32)/1000+'Inputs'!$B$21+'Inputs'!$B$9+'Inputs'!$B$10)+'Inputs'!$B$7)^2+('Inputs'!$B$6/2)^2)-(((390-43)*MAX('Inputs'!$B$33,'Inputs'!$B$29+'Inputs'!$B$31+'Inputs'!$B$32,'Inputs'!$B$30+'Inputs'!$B$31+'Inputs'!$B$32)/1000+'Inputs'!$B$21+'Inputs'!$B$9+'Inputs'!$B$10))/SQRT((((390-43)*MAX('Inputs'!$B$33,'Inputs'!$B$29+'Inputs'!$B$31+'Inputs'!$B$32,'Inputs'!$B$30+'Inputs'!$B$31+'Inputs'!$B$32)/1000+'Inputs'!$B$21+'Inputs'!$B$9+'Inputs'!$B$10))^2+('Inputs'!$B$6/2)^2))))*'Results'!$B$8),"")</x:f>
        <x:v>13.30934620448379</x:v>
      </x:c>
      <x:c r="N390" t="n">
        <x:f>IF(AND(ISNUMBER('Results'!C7),ISNUMBER('Results'!B7),ISNUMBER('Results'!$B$8),ISNUMBER('Inputs'!$B$6),ISNUMBER('Inputs'!$B$7),ISNUMBER('Inputs'!$B$8),ISNUMBER('Inputs'!$B$9),ISNUMBER('Inputs'!$B$10),ISNUMBER('Inputs'!$B$21),ISNUMBER('Inputs'!$B$24),ISNUMBER('Inputs'!$B$28)),((('Results'!C7*(1-'Inputs'!$B$24)*(0.5*((((390-43)*MAX('Inputs'!$B$33,'Inputs'!$B$29+'Inputs'!$B$31+'Inputs'!$B$32,'Inputs'!$B$30+'Inputs'!$B$31+'Inputs'!$B$32)/1000+'Inputs'!$B$21)+'Inputs'!$B$9)/SQRT((((390-43)*MAX('Inputs'!$B$33,'Inputs'!$B$29+'Inputs'!$B$31+'Inputs'!$B$32,'Inputs'!$B$30+'Inputs'!$B$31+'Inputs'!$B$32)/1000+'Inputs'!$B$21)+'Inputs'!$B$9)^2+('Inputs'!$B$8/2)^2)-(((390-43)*MAX('Inputs'!$B$33,'Inputs'!$B$29+'Inputs'!$B$31+'Inputs'!$B$32,'Inputs'!$B$30+'Inputs'!$B$31+'Inputs'!$B$32)/1000+'Inputs'!$B$21))/SQRT((((390-43)*MAX('Inputs'!$B$33,'Inputs'!$B$29+'Inputs'!$B$31+'Inputs'!$B$32,'Inputs'!$B$30+'Inputs'!$B$31+'Inputs'!$B$32)/1000+'Inputs'!$B$21))^2+('Inputs'!$B$8/2)^2)))-'Results'!B7*(1+'Inputs'!$B$24)*(0.5*((((390-43)*MAX('Inputs'!$B$33,'Inputs'!$B$29+'Inputs'!$B$31+'Inputs'!$B$32,'Inputs'!$B$30+'Inputs'!$B$31+'Inputs'!$B$32)/1000+'Inputs'!$B$21+'Inputs'!$B$9+'Inputs'!$B$10)+'Inputs'!$B$7)/SQRT((((390-43)*MAX('Inputs'!$B$33,'Inputs'!$B$29+'Inputs'!$B$31+'Inputs'!$B$32,'Inputs'!$B$30+'Inputs'!$B$31+'Inputs'!$B$32)/1000+'Inputs'!$B$21+'Inputs'!$B$9+'Inputs'!$B$10)+'Inputs'!$B$7)^2+('Inputs'!$B$6/2)^2)-(((390-43)*MAX('Inputs'!$B$33,'Inputs'!$B$29+'Inputs'!$B$31+'Inputs'!$B$32,'Inputs'!$B$30+'Inputs'!$B$31+'Inputs'!$B$32)/1000+'Inputs'!$B$21+'Inputs'!$B$9+'Inputs'!$B$10))/SQRT((((390-43)*MAX('Inputs'!$B$33,'Inputs'!$B$29+'Inputs'!$B$31+'Inputs'!$B$32,'Inputs'!$B$30+'Inputs'!$B$31+'Inputs'!$B$32)/1000+'Inputs'!$B$21+'Inputs'!$B$9+'Inputs'!$B$10))^2+('Inputs'!$B$6/2)^2))))*'Results'!$B$8)-'Inputs'!$B$28*ABS((('Results'!C7*(1-'Inputs'!$B$24)*(0.5*((((390-43)*MAX('Inputs'!$B$33,'Inputs'!$B$29+'Inputs'!$B$31+'Inputs'!$B$32,'Inputs'!$B$30+'Inputs'!$B$31+'Inputs'!$B$32)/1000+'Inputs'!$B$21)+'Inputs'!$B$9)/SQRT((((390-43)*MAX('Inputs'!$B$33,'Inputs'!$B$29+'Inputs'!$B$31+'Inputs'!$B$32,'Inputs'!$B$30+'Inputs'!$B$31+'Inputs'!$B$32)/1000+'Inputs'!$B$21)+'Inputs'!$B$9)^2+('Inputs'!$B$8/2)^2)-(((390-43)*MAX('Inputs'!$B$33,'Inputs'!$B$29+'Inputs'!$B$31+'Inputs'!$B$32,'Inputs'!$B$30+'Inputs'!$B$31+'Inputs'!$B$32)/1000+'Inputs'!$B$21))/SQRT((((390-43)*MAX('Inputs'!$B$33,'Inputs'!$B$29+'Inputs'!$B$31+'Inputs'!$B$32,'Inputs'!$B$30+'Inputs'!$B$31+'Inputs'!$B$32)/1000+'Inputs'!$B$21))^2+('Inputs'!$B$8/2)^2)))-'Results'!B7*(1+'Inputs'!$B$24)*(0.5*((((390-43)*MAX('Inputs'!$B$33,'Inputs'!$B$29+'Inputs'!$B$31+'Inputs'!$B$32,'Inputs'!$B$30+'Inputs'!$B$31+'Inputs'!$B$32)/1000+'Inputs'!$B$21+'Inputs'!$B$9+'Inputs'!$B$10)+'Inputs'!$B$7)/SQRT((((390-43)*MAX('Inputs'!$B$33,'Inputs'!$B$29+'Inputs'!$B$31+'Inputs'!$B$32,'Inputs'!$B$30+'Inputs'!$B$31+'Inputs'!$B$32)/1000+'Inputs'!$B$21+'Inputs'!$B$9+'Inputs'!$B$10)+'Inputs'!$B$7)^2+('Inputs'!$B$6/2)^2)-(((390-43)*MAX('Inputs'!$B$33,'Inputs'!$B$29+'Inputs'!$B$31+'Inputs'!$B$32,'Inputs'!$B$30+'Inputs'!$B$31+'Inputs'!$B$32)/1000+'Inputs'!$B$21+'Inputs'!$B$9+'Inputs'!$B$10))/SQRT((((390-43)*MAX('Inputs'!$B$33,'Inputs'!$B$29+'Inputs'!$B$31+'Inputs'!$B$32,'Inputs'!$B$30+'Inputs'!$B$31+'Inputs'!$B$32)/1000+'Inputs'!$B$21+'Inputs'!$B$9+'Inputs'!$B$10))^2+('Inputs'!$B$6/2)^2))))*'Results'!$B$8))),"")</x:f>
        <x:v>11.95456760089852</x:v>
      </x:c>
      <x:c r="O390" t="n">
        <x:f>IF(AND(ISNUMBER('Results'!C7),ISNUMBER('Results'!B7),ISNUMBER('Results'!$B$8),ISNUMBER('Inputs'!$B$6),ISNUMBER('Inputs'!$B$7),ISNUMBER('Inputs'!$B$8),ISNUMBER('Inputs'!$B$9),ISNUMBER('Inputs'!$B$10),ISNUMBER('Inputs'!$B$21),ISNUMBER('Inputs'!$B$24),ISNUMBER('Inputs'!$B$28)),((('Results'!C7*(1+'Inputs'!$B$24)*(0.5*((((390-43)*MAX('Inputs'!$B$33,'Inputs'!$B$29+'Inputs'!$B$31+'Inputs'!$B$32,'Inputs'!$B$30+'Inputs'!$B$31+'Inputs'!$B$32)/1000+'Inputs'!$B$21)+'Inputs'!$B$9)/SQRT((((390-43)*MAX('Inputs'!$B$33,'Inputs'!$B$29+'Inputs'!$B$31+'Inputs'!$B$32,'Inputs'!$B$30+'Inputs'!$B$31+'Inputs'!$B$32)/1000+'Inputs'!$B$21)+'Inputs'!$B$9)^2+('Inputs'!$B$8/2)^2)-(((390-43)*MAX('Inputs'!$B$33,'Inputs'!$B$29+'Inputs'!$B$31+'Inputs'!$B$32,'Inputs'!$B$30+'Inputs'!$B$31+'Inputs'!$B$32)/1000+'Inputs'!$B$21))/SQRT((((390-43)*MAX('Inputs'!$B$33,'Inputs'!$B$29+'Inputs'!$B$31+'Inputs'!$B$32,'Inputs'!$B$30+'Inputs'!$B$31+'Inputs'!$B$32)/1000+'Inputs'!$B$21))^2+('Inputs'!$B$8/2)^2)))-'Results'!B7*(1-'Inputs'!$B$24)*(0.5*((((390-43)*MAX('Inputs'!$B$33,'Inputs'!$B$29+'Inputs'!$B$31+'Inputs'!$B$32,'Inputs'!$B$30+'Inputs'!$B$31+'Inputs'!$B$32)/1000+'Inputs'!$B$21+'Inputs'!$B$9+'Inputs'!$B$10)+'Inputs'!$B$7)/SQRT((((390-43)*MAX('Inputs'!$B$33,'Inputs'!$B$29+'Inputs'!$B$31+'Inputs'!$B$32,'Inputs'!$B$30+'Inputs'!$B$31+'Inputs'!$B$32)/1000+'Inputs'!$B$21+'Inputs'!$B$9+'Inputs'!$B$10)+'Inputs'!$B$7)^2+('Inputs'!$B$6/2)^2)-(((390-43)*MAX('Inputs'!$B$33,'Inputs'!$B$29+'Inputs'!$B$31+'Inputs'!$B$32,'Inputs'!$B$30+'Inputs'!$B$31+'Inputs'!$B$32)/1000+'Inputs'!$B$21+'Inputs'!$B$9+'Inputs'!$B$10))/SQRT((((390-43)*MAX('Inputs'!$B$33,'Inputs'!$B$29+'Inputs'!$B$31+'Inputs'!$B$32,'Inputs'!$B$30+'Inputs'!$B$31+'Inputs'!$B$32)/1000+'Inputs'!$B$21+'Inputs'!$B$9+'Inputs'!$B$10))^2+('Inputs'!$B$6/2)^2))))*'Results'!$B$8)+'Inputs'!$B$28*ABS((('Results'!C7*(1+'Inputs'!$B$24)*(0.5*((((390-43)*MAX('Inputs'!$B$33,'Inputs'!$B$29+'Inputs'!$B$31+'Inputs'!$B$32,'Inputs'!$B$30+'Inputs'!$B$31+'Inputs'!$B$32)/1000+'Inputs'!$B$21)+'Inputs'!$B$9)/SQRT((((390-43)*MAX('Inputs'!$B$33,'Inputs'!$B$29+'Inputs'!$B$31+'Inputs'!$B$32,'Inputs'!$B$30+'Inputs'!$B$31+'Inputs'!$B$32)/1000+'Inputs'!$B$21)+'Inputs'!$B$9)^2+('Inputs'!$B$8/2)^2)-(((390-43)*MAX('Inputs'!$B$33,'Inputs'!$B$29+'Inputs'!$B$31+'Inputs'!$B$32,'Inputs'!$B$30+'Inputs'!$B$31+'Inputs'!$B$32)/1000+'Inputs'!$B$21))/SQRT((((390-43)*MAX('Inputs'!$B$33,'Inputs'!$B$29+'Inputs'!$B$31+'Inputs'!$B$32,'Inputs'!$B$30+'Inputs'!$B$31+'Inputs'!$B$32)/1000+'Inputs'!$B$21))^2+('Inputs'!$B$8/2)^2)))-'Results'!B7*(1-'Inputs'!$B$24)*(0.5*((((390-43)*MAX('Inputs'!$B$33,'Inputs'!$B$29+'Inputs'!$B$31+'Inputs'!$B$32,'Inputs'!$B$30+'Inputs'!$B$31+'Inputs'!$B$32)/1000+'Inputs'!$B$21+'Inputs'!$B$9+'Inputs'!$B$10)+'Inputs'!$B$7)/SQRT((((390-43)*MAX('Inputs'!$B$33,'Inputs'!$B$29+'Inputs'!$B$31+'Inputs'!$B$32,'Inputs'!$B$30+'Inputs'!$B$31+'Inputs'!$B$32)/1000+'Inputs'!$B$21+'Inputs'!$B$9+'Inputs'!$B$10)+'Inputs'!$B$7)^2+('Inputs'!$B$6/2)^2)-(((390-43)*MAX('Inputs'!$B$33,'Inputs'!$B$29+'Inputs'!$B$31+'Inputs'!$B$32,'Inputs'!$B$30+'Inputs'!$B$31+'Inputs'!$B$32)/1000+'Inputs'!$B$21+'Inputs'!$B$9+'Inputs'!$B$10))/SQRT((((390-43)*MAX('Inputs'!$B$33,'Inputs'!$B$29+'Inputs'!$B$31+'Inputs'!$B$32,'Inputs'!$B$30+'Inputs'!$B$31+'Inputs'!$B$32)/1000+'Inputs'!$B$21+'Inputs'!$B$9+'Inputs'!$B$10))^2+('Inputs'!$B$6/2)^2))))*'Results'!$B$8))),"")</x:f>
        <x:v>14.73668389158075</x:v>
      </x:c>
      <x:c r="P390" t="n">
        <x:f>IF(AND(MAX(J390,J389)&gt;0,J390&gt;J389+0.00000001),1,0)</x:f>
        <x:v>0</x:v>
      </x:c>
      <x:c r="Q390" t="n">
        <x:f>IF(AND(MAX(K390,K389)&gt;0,K390&gt;K389+0.00000001),1,0)</x:f>
        <x:v>0</x:v>
      </x:c>
      <x:c r="R390" t="n">
        <x:f>IF(AND(MAX(L390,L389)&gt;0,L390&gt;L389+0.00000001),1,0)</x:f>
        <x:v>0</x:v>
      </x:c>
      <x:c r="S390" t="n">
        <x:f>IF(AND(MAX(M390,M389)&gt;0,M390&gt;M389+0.00000001),1,0)</x:f>
        <x:v>0</x:v>
      </x:c>
      <x:c r="T390" t="n">
        <x:f>IF(AND(MAX(N390,N389)&gt;0,N390&gt;N389+0.00000001),1,0)</x:f>
        <x:v>0</x:v>
      </x:c>
      <x:c r="U390" t="n">
        <x:f>IF(AND(MAX(O390,O389)&gt;0,O390&gt;O389+0.00000001),1,0)</x:f>
        <x:v>0</x:v>
      </x:c>
    </x:row>
    <x:row r="391">
      <x:c r="J391" t="n">
        <x:f>IF(AND(ISNUMBER('Results'!B7),ISNUMBER('Results'!C7),ISNUMBER('Results'!$B$8),ISNUMBER('Inputs'!$B$6),ISNUMBER('Inputs'!$B$7),ISNUMBER('Inputs'!$B$8),ISNUMBER('Inputs'!$B$9),ISNUMBER('Inputs'!$B$10),ISNUMBER('Inputs'!$B$21),ISNUMBER('Inputs'!$B$24),ISNUMBER('Inputs'!$B$28)),(('Results'!B7*(0.5*((((391-43)*MAX('Inputs'!$B$33,'Inputs'!$B$29+'Inputs'!$B$31+'Inputs'!$B$32,'Inputs'!$B$30+'Inputs'!$B$31+'Inputs'!$B$32)/1000+'Inputs'!$B$21)+'Inputs'!$B$7)/SQRT((((391-43)*MAX('Inputs'!$B$33,'Inputs'!$B$29+'Inputs'!$B$31+'Inputs'!$B$32,'Inputs'!$B$30+'Inputs'!$B$31+'Inputs'!$B$32)/1000+'Inputs'!$B$21)+'Inputs'!$B$7)^2+('Inputs'!$B$6/2)^2)-(((391-43)*MAX('Inputs'!$B$33,'Inputs'!$B$29+'Inputs'!$B$31+'Inputs'!$B$32,'Inputs'!$B$30+'Inputs'!$B$31+'Inputs'!$B$32)/1000+'Inputs'!$B$21))/SQRT((((391-43)*MAX('Inputs'!$B$33,'Inputs'!$B$29+'Inputs'!$B$31+'Inputs'!$B$32,'Inputs'!$B$30+'Inputs'!$B$31+'Inputs'!$B$32)/1000+'Inputs'!$B$21))^2+('Inputs'!$B$6/2)^2)))-'Results'!C7*(0.5*((((391-43)*MAX('Inputs'!$B$33,'Inputs'!$B$29+'Inputs'!$B$31+'Inputs'!$B$32,'Inputs'!$B$30+'Inputs'!$B$31+'Inputs'!$B$32)/1000+'Inputs'!$B$21+'Inputs'!$B$7+'Inputs'!$B$10)+'Inputs'!$B$9)/SQRT((((391-43)*MAX('Inputs'!$B$33,'Inputs'!$B$29+'Inputs'!$B$31+'Inputs'!$B$32,'Inputs'!$B$30+'Inputs'!$B$31+'Inputs'!$B$32)/1000+'Inputs'!$B$21+'Inputs'!$B$7+'Inputs'!$B$10)+'Inputs'!$B$9)^2+('Inputs'!$B$8/2)^2)-(((391-43)*MAX('Inputs'!$B$33,'Inputs'!$B$29+'Inputs'!$B$31+'Inputs'!$B$32,'Inputs'!$B$30+'Inputs'!$B$31+'Inputs'!$B$32)/1000+'Inputs'!$B$21+'Inputs'!$B$7+'Inputs'!$B$10))/SQRT((((391-43)*MAX('Inputs'!$B$33,'Inputs'!$B$29+'Inputs'!$B$31+'Inputs'!$B$32,'Inputs'!$B$30+'Inputs'!$B$31+'Inputs'!$B$32)/1000+'Inputs'!$B$21+'Inputs'!$B$7+'Inputs'!$B$10))^2+('Inputs'!$B$8/2)^2))))*'Results'!$B$8),"")</x:f>
        <x:v>13.915905480783268</x:v>
      </x:c>
      <x:c r="K391" t="n">
        <x:f>IF(AND(ISNUMBER('Results'!B7),ISNUMBER('Results'!C7),ISNUMBER('Results'!$B$8),ISNUMBER('Inputs'!$B$6),ISNUMBER('Inputs'!$B$7),ISNUMBER('Inputs'!$B$8),ISNUMBER('Inputs'!$B$9),ISNUMBER('Inputs'!$B$10),ISNUMBER('Inputs'!$B$21),ISNUMBER('Inputs'!$B$24),ISNUMBER('Inputs'!$B$28)),((('Results'!B7*(1-'Inputs'!$B$24)*(0.5*((((391-43)*MAX('Inputs'!$B$33,'Inputs'!$B$29+'Inputs'!$B$31+'Inputs'!$B$32,'Inputs'!$B$30+'Inputs'!$B$31+'Inputs'!$B$32)/1000+'Inputs'!$B$21)+'Inputs'!$B$7)/SQRT((((391-43)*MAX('Inputs'!$B$33,'Inputs'!$B$29+'Inputs'!$B$31+'Inputs'!$B$32,'Inputs'!$B$30+'Inputs'!$B$31+'Inputs'!$B$32)/1000+'Inputs'!$B$21)+'Inputs'!$B$7)^2+('Inputs'!$B$6/2)^2)-(((391-43)*MAX('Inputs'!$B$33,'Inputs'!$B$29+'Inputs'!$B$31+'Inputs'!$B$32,'Inputs'!$B$30+'Inputs'!$B$31+'Inputs'!$B$32)/1000+'Inputs'!$B$21))/SQRT((((391-43)*MAX('Inputs'!$B$33,'Inputs'!$B$29+'Inputs'!$B$31+'Inputs'!$B$32,'Inputs'!$B$30+'Inputs'!$B$31+'Inputs'!$B$32)/1000+'Inputs'!$B$21))^2+('Inputs'!$B$6/2)^2)))-'Results'!C7*(1+'Inputs'!$B$24)*(0.5*((((391-43)*MAX('Inputs'!$B$33,'Inputs'!$B$29+'Inputs'!$B$31+'Inputs'!$B$32,'Inputs'!$B$30+'Inputs'!$B$31+'Inputs'!$B$32)/1000+'Inputs'!$B$21+'Inputs'!$B$7+'Inputs'!$B$10)+'Inputs'!$B$9)/SQRT((((391-43)*MAX('Inputs'!$B$33,'Inputs'!$B$29+'Inputs'!$B$31+'Inputs'!$B$32,'Inputs'!$B$30+'Inputs'!$B$31+'Inputs'!$B$32)/1000+'Inputs'!$B$21+'Inputs'!$B$7+'Inputs'!$B$10)+'Inputs'!$B$9)^2+('Inputs'!$B$8/2)^2)-(((391-43)*MAX('Inputs'!$B$33,'Inputs'!$B$29+'Inputs'!$B$31+'Inputs'!$B$32,'Inputs'!$B$30+'Inputs'!$B$31+'Inputs'!$B$32)/1000+'Inputs'!$B$21+'Inputs'!$B$7+'Inputs'!$B$10))/SQRT((((391-43)*MAX('Inputs'!$B$33,'Inputs'!$B$29+'Inputs'!$B$31+'Inputs'!$B$32,'Inputs'!$B$30+'Inputs'!$B$31+'Inputs'!$B$32)/1000+'Inputs'!$B$21+'Inputs'!$B$7+'Inputs'!$B$10))^2+('Inputs'!$B$8/2)^2))))*'Results'!$B$8)-'Inputs'!$B$28*ABS((('Results'!B7*(1-'Inputs'!$B$24)*(0.5*((((391-43)*MAX('Inputs'!$B$33,'Inputs'!$B$29+'Inputs'!$B$31+'Inputs'!$B$32,'Inputs'!$B$30+'Inputs'!$B$31+'Inputs'!$B$32)/1000+'Inputs'!$B$21)+'Inputs'!$B$7)/SQRT((((391-43)*MAX('Inputs'!$B$33,'Inputs'!$B$29+'Inputs'!$B$31+'Inputs'!$B$32,'Inputs'!$B$30+'Inputs'!$B$31+'Inputs'!$B$32)/1000+'Inputs'!$B$21)+'Inputs'!$B$7)^2+('Inputs'!$B$6/2)^2)-(((391-43)*MAX('Inputs'!$B$33,'Inputs'!$B$29+'Inputs'!$B$31+'Inputs'!$B$32,'Inputs'!$B$30+'Inputs'!$B$31+'Inputs'!$B$32)/1000+'Inputs'!$B$21))/SQRT((((391-43)*MAX('Inputs'!$B$33,'Inputs'!$B$29+'Inputs'!$B$31+'Inputs'!$B$32,'Inputs'!$B$30+'Inputs'!$B$31+'Inputs'!$B$32)/1000+'Inputs'!$B$21))^2+('Inputs'!$B$6/2)^2)))-'Results'!C7*(1+'Inputs'!$B$24)*(0.5*((((391-43)*MAX('Inputs'!$B$33,'Inputs'!$B$29+'Inputs'!$B$31+'Inputs'!$B$32,'Inputs'!$B$30+'Inputs'!$B$31+'Inputs'!$B$32)/1000+'Inputs'!$B$21+'Inputs'!$B$7+'Inputs'!$B$10)+'Inputs'!$B$9)/SQRT((((391-43)*MAX('Inputs'!$B$33,'Inputs'!$B$29+'Inputs'!$B$31+'Inputs'!$B$32,'Inputs'!$B$30+'Inputs'!$B$31+'Inputs'!$B$32)/1000+'Inputs'!$B$21+'Inputs'!$B$7+'Inputs'!$B$10)+'Inputs'!$B$9)^2+('Inputs'!$B$8/2)^2)-(((391-43)*MAX('Inputs'!$B$33,'Inputs'!$B$29+'Inputs'!$B$31+'Inputs'!$B$32,'Inputs'!$B$30+'Inputs'!$B$31+'Inputs'!$B$32)/1000+'Inputs'!$B$21+'Inputs'!$B$7+'Inputs'!$B$10))/SQRT((((391-43)*MAX('Inputs'!$B$33,'Inputs'!$B$29+'Inputs'!$B$31+'Inputs'!$B$32,'Inputs'!$B$30+'Inputs'!$B$31+'Inputs'!$B$32)/1000+'Inputs'!$B$21+'Inputs'!$B$7+'Inputs'!$B$10))^2+('Inputs'!$B$8/2)^2))))*'Results'!$B$8))),"")</x:f>
        <x:v>12.530592045716277</x:v>
      </x:c>
      <x:c r="L391" t="n">
        <x:f>IF(AND(ISNUMBER('Results'!B7),ISNUMBER('Results'!C7),ISNUMBER('Results'!$B$8),ISNUMBER('Inputs'!$B$6),ISNUMBER('Inputs'!$B$7),ISNUMBER('Inputs'!$B$8),ISNUMBER('Inputs'!$B$9),ISNUMBER('Inputs'!$B$10),ISNUMBER('Inputs'!$B$21),ISNUMBER('Inputs'!$B$24),ISNUMBER('Inputs'!$B$28)),((('Results'!B7*(1+'Inputs'!$B$24)*(0.5*((((391-43)*MAX('Inputs'!$B$33,'Inputs'!$B$29+'Inputs'!$B$31+'Inputs'!$B$32,'Inputs'!$B$30+'Inputs'!$B$31+'Inputs'!$B$32)/1000+'Inputs'!$B$21)+'Inputs'!$B$7)/SQRT((((391-43)*MAX('Inputs'!$B$33,'Inputs'!$B$29+'Inputs'!$B$31+'Inputs'!$B$32,'Inputs'!$B$30+'Inputs'!$B$31+'Inputs'!$B$32)/1000+'Inputs'!$B$21)+'Inputs'!$B$7)^2+('Inputs'!$B$6/2)^2)-(((391-43)*MAX('Inputs'!$B$33,'Inputs'!$B$29+'Inputs'!$B$31+'Inputs'!$B$32,'Inputs'!$B$30+'Inputs'!$B$31+'Inputs'!$B$32)/1000+'Inputs'!$B$21))/SQRT((((391-43)*MAX('Inputs'!$B$33,'Inputs'!$B$29+'Inputs'!$B$31+'Inputs'!$B$32,'Inputs'!$B$30+'Inputs'!$B$31+'Inputs'!$B$32)/1000+'Inputs'!$B$21))^2+('Inputs'!$B$6/2)^2)))-'Results'!C7*(1-'Inputs'!$B$24)*(0.5*((((391-43)*MAX('Inputs'!$B$33,'Inputs'!$B$29+'Inputs'!$B$31+'Inputs'!$B$32,'Inputs'!$B$30+'Inputs'!$B$31+'Inputs'!$B$32)/1000+'Inputs'!$B$21+'Inputs'!$B$7+'Inputs'!$B$10)+'Inputs'!$B$9)/SQRT((((391-43)*MAX('Inputs'!$B$33,'Inputs'!$B$29+'Inputs'!$B$31+'Inputs'!$B$32,'Inputs'!$B$30+'Inputs'!$B$31+'Inputs'!$B$32)/1000+'Inputs'!$B$21+'Inputs'!$B$7+'Inputs'!$B$10)+'Inputs'!$B$9)^2+('Inputs'!$B$8/2)^2)-(((391-43)*MAX('Inputs'!$B$33,'Inputs'!$B$29+'Inputs'!$B$31+'Inputs'!$B$32,'Inputs'!$B$30+'Inputs'!$B$31+'Inputs'!$B$32)/1000+'Inputs'!$B$21+'Inputs'!$B$7+'Inputs'!$B$10))/SQRT((((391-43)*MAX('Inputs'!$B$33,'Inputs'!$B$29+'Inputs'!$B$31+'Inputs'!$B$32,'Inputs'!$B$30+'Inputs'!$B$31+'Inputs'!$B$32)/1000+'Inputs'!$B$21+'Inputs'!$B$7+'Inputs'!$B$10))^2+('Inputs'!$B$8/2)^2))))*'Results'!$B$8)+'Inputs'!$B$28*ABS((('Results'!B7*(1+'Inputs'!$B$24)*(0.5*((((391-43)*MAX('Inputs'!$B$33,'Inputs'!$B$29+'Inputs'!$B$31+'Inputs'!$B$32,'Inputs'!$B$30+'Inputs'!$B$31+'Inputs'!$B$32)/1000+'Inputs'!$B$21)+'Inputs'!$B$7)/SQRT((((391-43)*MAX('Inputs'!$B$33,'Inputs'!$B$29+'Inputs'!$B$31+'Inputs'!$B$32,'Inputs'!$B$30+'Inputs'!$B$31+'Inputs'!$B$32)/1000+'Inputs'!$B$21)+'Inputs'!$B$7)^2+('Inputs'!$B$6/2)^2)-(((391-43)*MAX('Inputs'!$B$33,'Inputs'!$B$29+'Inputs'!$B$31+'Inputs'!$B$32,'Inputs'!$B$30+'Inputs'!$B$31+'Inputs'!$B$32)/1000+'Inputs'!$B$21))/SQRT((((391-43)*MAX('Inputs'!$B$33,'Inputs'!$B$29+'Inputs'!$B$31+'Inputs'!$B$32,'Inputs'!$B$30+'Inputs'!$B$31+'Inputs'!$B$32)/1000+'Inputs'!$B$21))^2+('Inputs'!$B$6/2)^2)))-'Results'!C7*(1-'Inputs'!$B$24)*(0.5*((((391-43)*MAX('Inputs'!$B$33,'Inputs'!$B$29+'Inputs'!$B$31+'Inputs'!$B$32,'Inputs'!$B$30+'Inputs'!$B$31+'Inputs'!$B$32)/1000+'Inputs'!$B$21+'Inputs'!$B$7+'Inputs'!$B$10)+'Inputs'!$B$9)/SQRT((((391-43)*MAX('Inputs'!$B$33,'Inputs'!$B$29+'Inputs'!$B$31+'Inputs'!$B$32,'Inputs'!$B$30+'Inputs'!$B$31+'Inputs'!$B$32)/1000+'Inputs'!$B$21+'Inputs'!$B$7+'Inputs'!$B$10)+'Inputs'!$B$9)^2+('Inputs'!$B$8/2)^2)-(((391-43)*MAX('Inputs'!$B$33,'Inputs'!$B$29+'Inputs'!$B$31+'Inputs'!$B$32,'Inputs'!$B$30+'Inputs'!$B$31+'Inputs'!$B$32)/1000+'Inputs'!$B$21+'Inputs'!$B$7+'Inputs'!$B$10))/SQRT((((391-43)*MAX('Inputs'!$B$33,'Inputs'!$B$29+'Inputs'!$B$31+'Inputs'!$B$32,'Inputs'!$B$30+'Inputs'!$B$31+'Inputs'!$B$32)/1000+'Inputs'!$B$21+'Inputs'!$B$7+'Inputs'!$B$10))^2+('Inputs'!$B$8/2)^2))))*'Results'!$B$8))),"")</x:f>
        <x:v>15.373799774905814</x:v>
      </x:c>
      <x:c r="M391" t="n">
        <x:f>IF(AND(ISNUMBER('Results'!C7),ISNUMBER('Results'!B7),ISNUMBER('Results'!$B$8),ISNUMBER('Inputs'!$B$6),ISNUMBER('Inputs'!$B$7),ISNUMBER('Inputs'!$B$8),ISNUMBER('Inputs'!$B$9),ISNUMBER('Inputs'!$B$10),ISNUMBER('Inputs'!$B$21),ISNUMBER('Inputs'!$B$24),ISNUMBER('Inputs'!$B$28)),(('Results'!C7*(0.5*((((391-43)*MAX('Inputs'!$B$33,'Inputs'!$B$29+'Inputs'!$B$31+'Inputs'!$B$32,'Inputs'!$B$30+'Inputs'!$B$31+'Inputs'!$B$32)/1000+'Inputs'!$B$21)+'Inputs'!$B$9)/SQRT((((391-43)*MAX('Inputs'!$B$33,'Inputs'!$B$29+'Inputs'!$B$31+'Inputs'!$B$32,'Inputs'!$B$30+'Inputs'!$B$31+'Inputs'!$B$32)/1000+'Inputs'!$B$21)+'Inputs'!$B$9)^2+('Inputs'!$B$8/2)^2)-(((391-43)*MAX('Inputs'!$B$33,'Inputs'!$B$29+'Inputs'!$B$31+'Inputs'!$B$32,'Inputs'!$B$30+'Inputs'!$B$31+'Inputs'!$B$32)/1000+'Inputs'!$B$21))/SQRT((((391-43)*MAX('Inputs'!$B$33,'Inputs'!$B$29+'Inputs'!$B$31+'Inputs'!$B$32,'Inputs'!$B$30+'Inputs'!$B$31+'Inputs'!$B$32)/1000+'Inputs'!$B$21))^2+('Inputs'!$B$8/2)^2)))-'Results'!B7*(0.5*((((391-43)*MAX('Inputs'!$B$33,'Inputs'!$B$29+'Inputs'!$B$31+'Inputs'!$B$32,'Inputs'!$B$30+'Inputs'!$B$31+'Inputs'!$B$32)/1000+'Inputs'!$B$21+'Inputs'!$B$9+'Inputs'!$B$10)+'Inputs'!$B$7)/SQRT((((391-43)*MAX('Inputs'!$B$33,'Inputs'!$B$29+'Inputs'!$B$31+'Inputs'!$B$32,'Inputs'!$B$30+'Inputs'!$B$31+'Inputs'!$B$32)/1000+'Inputs'!$B$21+'Inputs'!$B$9+'Inputs'!$B$10)+'Inputs'!$B$7)^2+('Inputs'!$B$6/2)^2)-(((391-43)*MAX('Inputs'!$B$33,'Inputs'!$B$29+'Inputs'!$B$31+'Inputs'!$B$32,'Inputs'!$B$30+'Inputs'!$B$31+'Inputs'!$B$32)/1000+'Inputs'!$B$21+'Inputs'!$B$9+'Inputs'!$B$10))/SQRT((((391-43)*MAX('Inputs'!$B$33,'Inputs'!$B$29+'Inputs'!$B$31+'Inputs'!$B$32,'Inputs'!$B$30+'Inputs'!$B$31+'Inputs'!$B$32)/1000+'Inputs'!$B$21+'Inputs'!$B$9+'Inputs'!$B$10))^2+('Inputs'!$B$6/2)^2))))*'Results'!$B$8),"")</x:f>
        <x:v>13.185530660830317</x:v>
      </x:c>
      <x:c r="N391" t="n">
        <x:f>IF(AND(ISNUMBER('Results'!C7),ISNUMBER('Results'!B7),ISNUMBER('Results'!$B$8),ISNUMBER('Inputs'!$B$6),ISNUMBER('Inputs'!$B$7),ISNUMBER('Inputs'!$B$8),ISNUMBER('Inputs'!$B$9),ISNUMBER('Inputs'!$B$10),ISNUMBER('Inputs'!$B$21),ISNUMBER('Inputs'!$B$24),ISNUMBER('Inputs'!$B$28)),((('Results'!C7*(1-'Inputs'!$B$24)*(0.5*((((391-43)*MAX('Inputs'!$B$33,'Inputs'!$B$29+'Inputs'!$B$31+'Inputs'!$B$32,'Inputs'!$B$30+'Inputs'!$B$31+'Inputs'!$B$32)/1000+'Inputs'!$B$21)+'Inputs'!$B$9)/SQRT((((391-43)*MAX('Inputs'!$B$33,'Inputs'!$B$29+'Inputs'!$B$31+'Inputs'!$B$32,'Inputs'!$B$30+'Inputs'!$B$31+'Inputs'!$B$32)/1000+'Inputs'!$B$21)+'Inputs'!$B$9)^2+('Inputs'!$B$8/2)^2)-(((391-43)*MAX('Inputs'!$B$33,'Inputs'!$B$29+'Inputs'!$B$31+'Inputs'!$B$32,'Inputs'!$B$30+'Inputs'!$B$31+'Inputs'!$B$32)/1000+'Inputs'!$B$21))/SQRT((((391-43)*MAX('Inputs'!$B$33,'Inputs'!$B$29+'Inputs'!$B$31+'Inputs'!$B$32,'Inputs'!$B$30+'Inputs'!$B$31+'Inputs'!$B$32)/1000+'Inputs'!$B$21))^2+('Inputs'!$B$8/2)^2)))-'Results'!B7*(1+'Inputs'!$B$24)*(0.5*((((391-43)*MAX('Inputs'!$B$33,'Inputs'!$B$29+'Inputs'!$B$31+'Inputs'!$B$32,'Inputs'!$B$30+'Inputs'!$B$31+'Inputs'!$B$32)/1000+'Inputs'!$B$21+'Inputs'!$B$9+'Inputs'!$B$10)+'Inputs'!$B$7)/SQRT((((391-43)*MAX('Inputs'!$B$33,'Inputs'!$B$29+'Inputs'!$B$31+'Inputs'!$B$32,'Inputs'!$B$30+'Inputs'!$B$31+'Inputs'!$B$32)/1000+'Inputs'!$B$21+'Inputs'!$B$9+'Inputs'!$B$10)+'Inputs'!$B$7)^2+('Inputs'!$B$6/2)^2)-(((391-43)*MAX('Inputs'!$B$33,'Inputs'!$B$29+'Inputs'!$B$31+'Inputs'!$B$32,'Inputs'!$B$30+'Inputs'!$B$31+'Inputs'!$B$32)/1000+'Inputs'!$B$21+'Inputs'!$B$9+'Inputs'!$B$10))/SQRT((((391-43)*MAX('Inputs'!$B$33,'Inputs'!$B$29+'Inputs'!$B$31+'Inputs'!$B$32,'Inputs'!$B$30+'Inputs'!$B$31+'Inputs'!$B$32)/1000+'Inputs'!$B$21+'Inputs'!$B$9+'Inputs'!$B$10))^2+('Inputs'!$B$6/2)^2))))*'Results'!$B$8)-'Inputs'!$B$28*ABS((('Results'!C7*(1-'Inputs'!$B$24)*(0.5*((((391-43)*MAX('Inputs'!$B$33,'Inputs'!$B$29+'Inputs'!$B$31+'Inputs'!$B$32,'Inputs'!$B$30+'Inputs'!$B$31+'Inputs'!$B$32)/1000+'Inputs'!$B$21)+'Inputs'!$B$9)/SQRT((((391-43)*MAX('Inputs'!$B$33,'Inputs'!$B$29+'Inputs'!$B$31+'Inputs'!$B$32,'Inputs'!$B$30+'Inputs'!$B$31+'Inputs'!$B$32)/1000+'Inputs'!$B$21)+'Inputs'!$B$9)^2+('Inputs'!$B$8/2)^2)-(((391-43)*MAX('Inputs'!$B$33,'Inputs'!$B$29+'Inputs'!$B$31+'Inputs'!$B$32,'Inputs'!$B$30+'Inputs'!$B$31+'Inputs'!$B$32)/1000+'Inputs'!$B$21))/SQRT((((391-43)*MAX('Inputs'!$B$33,'Inputs'!$B$29+'Inputs'!$B$31+'Inputs'!$B$32,'Inputs'!$B$30+'Inputs'!$B$31+'Inputs'!$B$32)/1000+'Inputs'!$B$21))^2+('Inputs'!$B$8/2)^2)))-'Results'!B7*(1+'Inputs'!$B$24)*(0.5*((((391-43)*MAX('Inputs'!$B$33,'Inputs'!$B$29+'Inputs'!$B$31+'Inputs'!$B$32,'Inputs'!$B$30+'Inputs'!$B$31+'Inputs'!$B$32)/1000+'Inputs'!$B$21+'Inputs'!$B$9+'Inputs'!$B$10)+'Inputs'!$B$7)/SQRT((((391-43)*MAX('Inputs'!$B$33,'Inputs'!$B$29+'Inputs'!$B$31+'Inputs'!$B$32,'Inputs'!$B$30+'Inputs'!$B$31+'Inputs'!$B$32)/1000+'Inputs'!$B$21+'Inputs'!$B$9+'Inputs'!$B$10)+'Inputs'!$B$7)^2+('Inputs'!$B$6/2)^2)-(((391-43)*MAX('Inputs'!$B$33,'Inputs'!$B$29+'Inputs'!$B$31+'Inputs'!$B$32,'Inputs'!$B$30+'Inputs'!$B$31+'Inputs'!$B$32)/1000+'Inputs'!$B$21+'Inputs'!$B$9+'Inputs'!$B$10))/SQRT((((391-43)*MAX('Inputs'!$B$33,'Inputs'!$B$29+'Inputs'!$B$31+'Inputs'!$B$32,'Inputs'!$B$30+'Inputs'!$B$31+'Inputs'!$B$32)/1000+'Inputs'!$B$21+'Inputs'!$B$9+'Inputs'!$B$10))^2+('Inputs'!$B$6/2)^2))))*'Results'!$B$8))),"")</x:f>
        <x:v>11.841937252485122</x:v>
      </x:c>
      <x:c r="O391" t="n">
        <x:f>IF(AND(ISNUMBER('Results'!C7),ISNUMBER('Results'!B7),ISNUMBER('Results'!$B$8),ISNUMBER('Inputs'!$B$6),ISNUMBER('Inputs'!$B$7),ISNUMBER('Inputs'!$B$8),ISNUMBER('Inputs'!$B$9),ISNUMBER('Inputs'!$B$10),ISNUMBER('Inputs'!$B$21),ISNUMBER('Inputs'!$B$24),ISNUMBER('Inputs'!$B$28)),((('Results'!C7*(1+'Inputs'!$B$24)*(0.5*((((391-43)*MAX('Inputs'!$B$33,'Inputs'!$B$29+'Inputs'!$B$31+'Inputs'!$B$32,'Inputs'!$B$30+'Inputs'!$B$31+'Inputs'!$B$32)/1000+'Inputs'!$B$21)+'Inputs'!$B$9)/SQRT((((391-43)*MAX('Inputs'!$B$33,'Inputs'!$B$29+'Inputs'!$B$31+'Inputs'!$B$32,'Inputs'!$B$30+'Inputs'!$B$31+'Inputs'!$B$32)/1000+'Inputs'!$B$21)+'Inputs'!$B$9)^2+('Inputs'!$B$8/2)^2)-(((391-43)*MAX('Inputs'!$B$33,'Inputs'!$B$29+'Inputs'!$B$31+'Inputs'!$B$32,'Inputs'!$B$30+'Inputs'!$B$31+'Inputs'!$B$32)/1000+'Inputs'!$B$21))/SQRT((((391-43)*MAX('Inputs'!$B$33,'Inputs'!$B$29+'Inputs'!$B$31+'Inputs'!$B$32,'Inputs'!$B$30+'Inputs'!$B$31+'Inputs'!$B$32)/1000+'Inputs'!$B$21))^2+('Inputs'!$B$8/2)^2)))-'Results'!B7*(1-'Inputs'!$B$24)*(0.5*((((391-43)*MAX('Inputs'!$B$33,'Inputs'!$B$29+'Inputs'!$B$31+'Inputs'!$B$32,'Inputs'!$B$30+'Inputs'!$B$31+'Inputs'!$B$32)/1000+'Inputs'!$B$21+'Inputs'!$B$9+'Inputs'!$B$10)+'Inputs'!$B$7)/SQRT((((391-43)*MAX('Inputs'!$B$33,'Inputs'!$B$29+'Inputs'!$B$31+'Inputs'!$B$32,'Inputs'!$B$30+'Inputs'!$B$31+'Inputs'!$B$32)/1000+'Inputs'!$B$21+'Inputs'!$B$9+'Inputs'!$B$10)+'Inputs'!$B$7)^2+('Inputs'!$B$6/2)^2)-(((391-43)*MAX('Inputs'!$B$33,'Inputs'!$B$29+'Inputs'!$B$31+'Inputs'!$B$32,'Inputs'!$B$30+'Inputs'!$B$31+'Inputs'!$B$32)/1000+'Inputs'!$B$21+'Inputs'!$B$9+'Inputs'!$B$10))/SQRT((((391-43)*MAX('Inputs'!$B$33,'Inputs'!$B$29+'Inputs'!$B$31+'Inputs'!$B$32,'Inputs'!$B$30+'Inputs'!$B$31+'Inputs'!$B$32)/1000+'Inputs'!$B$21+'Inputs'!$B$9+'Inputs'!$B$10))^2+('Inputs'!$B$6/2)^2))))*'Results'!$B$8)+'Inputs'!$B$28*ABS((('Results'!C7*(1+'Inputs'!$B$24)*(0.5*((((391-43)*MAX('Inputs'!$B$33,'Inputs'!$B$29+'Inputs'!$B$31+'Inputs'!$B$32,'Inputs'!$B$30+'Inputs'!$B$31+'Inputs'!$B$32)/1000+'Inputs'!$B$21)+'Inputs'!$B$9)/SQRT((((391-43)*MAX('Inputs'!$B$33,'Inputs'!$B$29+'Inputs'!$B$31+'Inputs'!$B$32,'Inputs'!$B$30+'Inputs'!$B$31+'Inputs'!$B$32)/1000+'Inputs'!$B$21)+'Inputs'!$B$9)^2+('Inputs'!$B$8/2)^2)-(((391-43)*MAX('Inputs'!$B$33,'Inputs'!$B$29+'Inputs'!$B$31+'Inputs'!$B$32,'Inputs'!$B$30+'Inputs'!$B$31+'Inputs'!$B$32)/1000+'Inputs'!$B$21))/SQRT((((391-43)*MAX('Inputs'!$B$33,'Inputs'!$B$29+'Inputs'!$B$31+'Inputs'!$B$32,'Inputs'!$B$30+'Inputs'!$B$31+'Inputs'!$B$32)/1000+'Inputs'!$B$21))^2+('Inputs'!$B$8/2)^2)))-'Results'!B7*(1-'Inputs'!$B$24)*(0.5*((((391-43)*MAX('Inputs'!$B$33,'Inputs'!$B$29+'Inputs'!$B$31+'Inputs'!$B$32,'Inputs'!$B$30+'Inputs'!$B$31+'Inputs'!$B$32)/1000+'Inputs'!$B$21+'Inputs'!$B$9+'Inputs'!$B$10)+'Inputs'!$B$7)/SQRT((((391-43)*MAX('Inputs'!$B$33,'Inputs'!$B$29+'Inputs'!$B$31+'Inputs'!$B$32,'Inputs'!$B$30+'Inputs'!$B$31+'Inputs'!$B$32)/1000+'Inputs'!$B$21+'Inputs'!$B$9+'Inputs'!$B$10)+'Inputs'!$B$7)^2+('Inputs'!$B$6/2)^2)-(((391-43)*MAX('Inputs'!$B$33,'Inputs'!$B$29+'Inputs'!$B$31+'Inputs'!$B$32,'Inputs'!$B$30+'Inputs'!$B$31+'Inputs'!$B$32)/1000+'Inputs'!$B$21+'Inputs'!$B$9+'Inputs'!$B$10))/SQRT((((391-43)*MAX('Inputs'!$B$33,'Inputs'!$B$29+'Inputs'!$B$31+'Inputs'!$B$32,'Inputs'!$B$30+'Inputs'!$B$31+'Inputs'!$B$32)/1000+'Inputs'!$B$21+'Inputs'!$B$9+'Inputs'!$B$10))^2+('Inputs'!$B$6/2)^2))))*'Results'!$B$8))),"")</x:f>
        <x:v>14.601157424470635</x:v>
      </x:c>
      <x:c r="P391" t="n">
        <x:f>IF(AND(MAX(J391,J390)&gt;0,J391&gt;J390+0.00000001),1,0)</x:f>
        <x:v>0</x:v>
      </x:c>
      <x:c r="Q391" t="n">
        <x:f>IF(AND(MAX(K391,K390)&gt;0,K391&gt;K390+0.00000001),1,0)</x:f>
        <x:v>0</x:v>
      </x:c>
      <x:c r="R391" t="n">
        <x:f>IF(AND(MAX(L391,L390)&gt;0,L391&gt;L390+0.00000001),1,0)</x:f>
        <x:v>0</x:v>
      </x:c>
      <x:c r="S391" t="n">
        <x:f>IF(AND(MAX(M391,M390)&gt;0,M391&gt;M390+0.00000001),1,0)</x:f>
        <x:v>0</x:v>
      </x:c>
      <x:c r="T391" t="n">
        <x:f>IF(AND(MAX(N391,N390)&gt;0,N391&gt;N390+0.00000001),1,0)</x:f>
        <x:v>0</x:v>
      </x:c>
      <x:c r="U391" t="n">
        <x:f>IF(AND(MAX(O391,O390)&gt;0,O391&gt;O390+0.00000001),1,0)</x:f>
        <x:v>0</x:v>
      </x:c>
    </x:row>
    <x:row r="392">
      <x:c r="J392" t="n">
        <x:f>IF(AND(ISNUMBER('Results'!B7),ISNUMBER('Results'!C7),ISNUMBER('Results'!$B$8),ISNUMBER('Inputs'!$B$6),ISNUMBER('Inputs'!$B$7),ISNUMBER('Inputs'!$B$8),ISNUMBER('Inputs'!$B$9),ISNUMBER('Inputs'!$B$10),ISNUMBER('Inputs'!$B$21),ISNUMBER('Inputs'!$B$24),ISNUMBER('Inputs'!$B$28)),(('Results'!B7*(0.5*((((392-43)*MAX('Inputs'!$B$33,'Inputs'!$B$29+'Inputs'!$B$31+'Inputs'!$B$32,'Inputs'!$B$30+'Inputs'!$B$31+'Inputs'!$B$32)/1000+'Inputs'!$B$21)+'Inputs'!$B$7)/SQRT((((392-43)*MAX('Inputs'!$B$33,'Inputs'!$B$29+'Inputs'!$B$31+'Inputs'!$B$32,'Inputs'!$B$30+'Inputs'!$B$31+'Inputs'!$B$32)/1000+'Inputs'!$B$21)+'Inputs'!$B$7)^2+('Inputs'!$B$6/2)^2)-(((392-43)*MAX('Inputs'!$B$33,'Inputs'!$B$29+'Inputs'!$B$31+'Inputs'!$B$32,'Inputs'!$B$30+'Inputs'!$B$31+'Inputs'!$B$32)/1000+'Inputs'!$B$21))/SQRT((((392-43)*MAX('Inputs'!$B$33,'Inputs'!$B$29+'Inputs'!$B$31+'Inputs'!$B$32,'Inputs'!$B$30+'Inputs'!$B$31+'Inputs'!$B$32)/1000+'Inputs'!$B$21))^2+('Inputs'!$B$6/2)^2)))-'Results'!C7*(0.5*((((392-43)*MAX('Inputs'!$B$33,'Inputs'!$B$29+'Inputs'!$B$31+'Inputs'!$B$32,'Inputs'!$B$30+'Inputs'!$B$31+'Inputs'!$B$32)/1000+'Inputs'!$B$21+'Inputs'!$B$7+'Inputs'!$B$10)+'Inputs'!$B$9)/SQRT((((392-43)*MAX('Inputs'!$B$33,'Inputs'!$B$29+'Inputs'!$B$31+'Inputs'!$B$32,'Inputs'!$B$30+'Inputs'!$B$31+'Inputs'!$B$32)/1000+'Inputs'!$B$21+'Inputs'!$B$7+'Inputs'!$B$10)+'Inputs'!$B$9)^2+('Inputs'!$B$8/2)^2)-(((392-43)*MAX('Inputs'!$B$33,'Inputs'!$B$29+'Inputs'!$B$31+'Inputs'!$B$32,'Inputs'!$B$30+'Inputs'!$B$31+'Inputs'!$B$32)/1000+'Inputs'!$B$21+'Inputs'!$B$7+'Inputs'!$B$10))/SQRT((((392-43)*MAX('Inputs'!$B$33,'Inputs'!$B$29+'Inputs'!$B$31+'Inputs'!$B$32,'Inputs'!$B$30+'Inputs'!$B$31+'Inputs'!$B$32)/1000+'Inputs'!$B$21+'Inputs'!$B$7+'Inputs'!$B$10))^2+('Inputs'!$B$8/2)^2))))*'Results'!$B$8),"")</x:f>
        <x:v>13.788231956981637</x:v>
      </x:c>
      <x:c r="K392" t="n">
        <x:f>IF(AND(ISNUMBER('Results'!B7),ISNUMBER('Results'!C7),ISNUMBER('Results'!$B$8),ISNUMBER('Inputs'!$B$6),ISNUMBER('Inputs'!$B$7),ISNUMBER('Inputs'!$B$8),ISNUMBER('Inputs'!$B$9),ISNUMBER('Inputs'!$B$10),ISNUMBER('Inputs'!$B$21),ISNUMBER('Inputs'!$B$24),ISNUMBER('Inputs'!$B$28)),((('Results'!B7*(1-'Inputs'!$B$24)*(0.5*((((392-43)*MAX('Inputs'!$B$33,'Inputs'!$B$29+'Inputs'!$B$31+'Inputs'!$B$32,'Inputs'!$B$30+'Inputs'!$B$31+'Inputs'!$B$32)/1000+'Inputs'!$B$21)+'Inputs'!$B$7)/SQRT((((392-43)*MAX('Inputs'!$B$33,'Inputs'!$B$29+'Inputs'!$B$31+'Inputs'!$B$32,'Inputs'!$B$30+'Inputs'!$B$31+'Inputs'!$B$32)/1000+'Inputs'!$B$21)+'Inputs'!$B$7)^2+('Inputs'!$B$6/2)^2)-(((392-43)*MAX('Inputs'!$B$33,'Inputs'!$B$29+'Inputs'!$B$31+'Inputs'!$B$32,'Inputs'!$B$30+'Inputs'!$B$31+'Inputs'!$B$32)/1000+'Inputs'!$B$21))/SQRT((((392-43)*MAX('Inputs'!$B$33,'Inputs'!$B$29+'Inputs'!$B$31+'Inputs'!$B$32,'Inputs'!$B$30+'Inputs'!$B$31+'Inputs'!$B$32)/1000+'Inputs'!$B$21))^2+('Inputs'!$B$6/2)^2)))-'Results'!C7*(1+'Inputs'!$B$24)*(0.5*((((392-43)*MAX('Inputs'!$B$33,'Inputs'!$B$29+'Inputs'!$B$31+'Inputs'!$B$32,'Inputs'!$B$30+'Inputs'!$B$31+'Inputs'!$B$32)/1000+'Inputs'!$B$21+'Inputs'!$B$7+'Inputs'!$B$10)+'Inputs'!$B$9)/SQRT((((392-43)*MAX('Inputs'!$B$33,'Inputs'!$B$29+'Inputs'!$B$31+'Inputs'!$B$32,'Inputs'!$B$30+'Inputs'!$B$31+'Inputs'!$B$32)/1000+'Inputs'!$B$21+'Inputs'!$B$7+'Inputs'!$B$10)+'Inputs'!$B$9)^2+('Inputs'!$B$8/2)^2)-(((392-43)*MAX('Inputs'!$B$33,'Inputs'!$B$29+'Inputs'!$B$31+'Inputs'!$B$32,'Inputs'!$B$30+'Inputs'!$B$31+'Inputs'!$B$32)/1000+'Inputs'!$B$21+'Inputs'!$B$7+'Inputs'!$B$10))/SQRT((((392-43)*MAX('Inputs'!$B$33,'Inputs'!$B$29+'Inputs'!$B$31+'Inputs'!$B$32,'Inputs'!$B$30+'Inputs'!$B$31+'Inputs'!$B$32)/1000+'Inputs'!$B$21+'Inputs'!$B$7+'Inputs'!$B$10))^2+('Inputs'!$B$8/2)^2))))*'Results'!$B$8)-'Inputs'!$B$28*ABS((('Results'!B7*(1-'Inputs'!$B$24)*(0.5*((((392-43)*MAX('Inputs'!$B$33,'Inputs'!$B$29+'Inputs'!$B$31+'Inputs'!$B$32,'Inputs'!$B$30+'Inputs'!$B$31+'Inputs'!$B$32)/1000+'Inputs'!$B$21)+'Inputs'!$B$7)/SQRT((((392-43)*MAX('Inputs'!$B$33,'Inputs'!$B$29+'Inputs'!$B$31+'Inputs'!$B$32,'Inputs'!$B$30+'Inputs'!$B$31+'Inputs'!$B$32)/1000+'Inputs'!$B$21)+'Inputs'!$B$7)^2+('Inputs'!$B$6/2)^2)-(((392-43)*MAX('Inputs'!$B$33,'Inputs'!$B$29+'Inputs'!$B$31+'Inputs'!$B$32,'Inputs'!$B$30+'Inputs'!$B$31+'Inputs'!$B$32)/1000+'Inputs'!$B$21))/SQRT((((392-43)*MAX('Inputs'!$B$33,'Inputs'!$B$29+'Inputs'!$B$31+'Inputs'!$B$32,'Inputs'!$B$30+'Inputs'!$B$31+'Inputs'!$B$32)/1000+'Inputs'!$B$21))^2+('Inputs'!$B$6/2)^2)))-'Results'!C7*(1+'Inputs'!$B$24)*(0.5*((((392-43)*MAX('Inputs'!$B$33,'Inputs'!$B$29+'Inputs'!$B$31+'Inputs'!$B$32,'Inputs'!$B$30+'Inputs'!$B$31+'Inputs'!$B$32)/1000+'Inputs'!$B$21+'Inputs'!$B$7+'Inputs'!$B$10)+'Inputs'!$B$9)/SQRT((((392-43)*MAX('Inputs'!$B$33,'Inputs'!$B$29+'Inputs'!$B$31+'Inputs'!$B$32,'Inputs'!$B$30+'Inputs'!$B$31+'Inputs'!$B$32)/1000+'Inputs'!$B$21+'Inputs'!$B$7+'Inputs'!$B$10)+'Inputs'!$B$9)^2+('Inputs'!$B$8/2)^2)-(((392-43)*MAX('Inputs'!$B$33,'Inputs'!$B$29+'Inputs'!$B$31+'Inputs'!$B$32,'Inputs'!$B$30+'Inputs'!$B$31+'Inputs'!$B$32)/1000+'Inputs'!$B$21+'Inputs'!$B$7+'Inputs'!$B$10))/SQRT((((392-43)*MAX('Inputs'!$B$33,'Inputs'!$B$29+'Inputs'!$B$31+'Inputs'!$B$32,'Inputs'!$B$30+'Inputs'!$B$31+'Inputs'!$B$32)/1000+'Inputs'!$B$21+'Inputs'!$B$7+'Inputs'!$B$10))^2+('Inputs'!$B$8/2)^2))))*'Results'!$B$8))),"")</x:f>
        <x:v>12.414296354867181</x:v>
      </x:c>
      <x:c r="L392" t="n">
        <x:f>IF(AND(ISNUMBER('Results'!B7),ISNUMBER('Results'!C7),ISNUMBER('Results'!$B$8),ISNUMBER('Inputs'!$B$6),ISNUMBER('Inputs'!$B$7),ISNUMBER('Inputs'!$B$8),ISNUMBER('Inputs'!$B$9),ISNUMBER('Inputs'!$B$10),ISNUMBER('Inputs'!$B$21),ISNUMBER('Inputs'!$B$24),ISNUMBER('Inputs'!$B$28)),((('Results'!B7*(1+'Inputs'!$B$24)*(0.5*((((392-43)*MAX('Inputs'!$B$33,'Inputs'!$B$29+'Inputs'!$B$31+'Inputs'!$B$32,'Inputs'!$B$30+'Inputs'!$B$31+'Inputs'!$B$32)/1000+'Inputs'!$B$21)+'Inputs'!$B$7)/SQRT((((392-43)*MAX('Inputs'!$B$33,'Inputs'!$B$29+'Inputs'!$B$31+'Inputs'!$B$32,'Inputs'!$B$30+'Inputs'!$B$31+'Inputs'!$B$32)/1000+'Inputs'!$B$21)+'Inputs'!$B$7)^2+('Inputs'!$B$6/2)^2)-(((392-43)*MAX('Inputs'!$B$33,'Inputs'!$B$29+'Inputs'!$B$31+'Inputs'!$B$32,'Inputs'!$B$30+'Inputs'!$B$31+'Inputs'!$B$32)/1000+'Inputs'!$B$21))/SQRT((((392-43)*MAX('Inputs'!$B$33,'Inputs'!$B$29+'Inputs'!$B$31+'Inputs'!$B$32,'Inputs'!$B$30+'Inputs'!$B$31+'Inputs'!$B$32)/1000+'Inputs'!$B$21))^2+('Inputs'!$B$6/2)^2)))-'Results'!C7*(1-'Inputs'!$B$24)*(0.5*((((392-43)*MAX('Inputs'!$B$33,'Inputs'!$B$29+'Inputs'!$B$31+'Inputs'!$B$32,'Inputs'!$B$30+'Inputs'!$B$31+'Inputs'!$B$32)/1000+'Inputs'!$B$21+'Inputs'!$B$7+'Inputs'!$B$10)+'Inputs'!$B$9)/SQRT((((392-43)*MAX('Inputs'!$B$33,'Inputs'!$B$29+'Inputs'!$B$31+'Inputs'!$B$32,'Inputs'!$B$30+'Inputs'!$B$31+'Inputs'!$B$32)/1000+'Inputs'!$B$21+'Inputs'!$B$7+'Inputs'!$B$10)+'Inputs'!$B$9)^2+('Inputs'!$B$8/2)^2)-(((392-43)*MAX('Inputs'!$B$33,'Inputs'!$B$29+'Inputs'!$B$31+'Inputs'!$B$32,'Inputs'!$B$30+'Inputs'!$B$31+'Inputs'!$B$32)/1000+'Inputs'!$B$21+'Inputs'!$B$7+'Inputs'!$B$10))/SQRT((((392-43)*MAX('Inputs'!$B$33,'Inputs'!$B$29+'Inputs'!$B$31+'Inputs'!$B$32,'Inputs'!$B$30+'Inputs'!$B$31+'Inputs'!$B$32)/1000+'Inputs'!$B$21+'Inputs'!$B$7+'Inputs'!$B$10))^2+('Inputs'!$B$8/2)^2))))*'Results'!$B$8)+'Inputs'!$B$28*ABS((('Results'!B7*(1+'Inputs'!$B$24)*(0.5*((((392-43)*MAX('Inputs'!$B$33,'Inputs'!$B$29+'Inputs'!$B$31+'Inputs'!$B$32,'Inputs'!$B$30+'Inputs'!$B$31+'Inputs'!$B$32)/1000+'Inputs'!$B$21)+'Inputs'!$B$7)/SQRT((((392-43)*MAX('Inputs'!$B$33,'Inputs'!$B$29+'Inputs'!$B$31+'Inputs'!$B$32,'Inputs'!$B$30+'Inputs'!$B$31+'Inputs'!$B$32)/1000+'Inputs'!$B$21)+'Inputs'!$B$7)^2+('Inputs'!$B$6/2)^2)-(((392-43)*MAX('Inputs'!$B$33,'Inputs'!$B$29+'Inputs'!$B$31+'Inputs'!$B$32,'Inputs'!$B$30+'Inputs'!$B$31+'Inputs'!$B$32)/1000+'Inputs'!$B$21))/SQRT((((392-43)*MAX('Inputs'!$B$33,'Inputs'!$B$29+'Inputs'!$B$31+'Inputs'!$B$32,'Inputs'!$B$30+'Inputs'!$B$31+'Inputs'!$B$32)/1000+'Inputs'!$B$21))^2+('Inputs'!$B$6/2)^2)))-'Results'!C7*(1-'Inputs'!$B$24)*(0.5*((((392-43)*MAX('Inputs'!$B$33,'Inputs'!$B$29+'Inputs'!$B$31+'Inputs'!$B$32,'Inputs'!$B$30+'Inputs'!$B$31+'Inputs'!$B$32)/1000+'Inputs'!$B$21+'Inputs'!$B$7+'Inputs'!$B$10)+'Inputs'!$B$9)/SQRT((((392-43)*MAX('Inputs'!$B$33,'Inputs'!$B$29+'Inputs'!$B$31+'Inputs'!$B$32,'Inputs'!$B$30+'Inputs'!$B$31+'Inputs'!$B$32)/1000+'Inputs'!$B$21+'Inputs'!$B$7+'Inputs'!$B$10)+'Inputs'!$B$9)^2+('Inputs'!$B$8/2)^2)-(((392-43)*MAX('Inputs'!$B$33,'Inputs'!$B$29+'Inputs'!$B$31+'Inputs'!$B$32,'Inputs'!$B$30+'Inputs'!$B$31+'Inputs'!$B$32)/1000+'Inputs'!$B$21+'Inputs'!$B$7+'Inputs'!$B$10))/SQRT((((392-43)*MAX('Inputs'!$B$33,'Inputs'!$B$29+'Inputs'!$B$31+'Inputs'!$B$32,'Inputs'!$B$30+'Inputs'!$B$31+'Inputs'!$B$32)/1000+'Inputs'!$B$21+'Inputs'!$B$7+'Inputs'!$B$10))^2+('Inputs'!$B$8/2)^2))))*'Results'!$B$8))),"")</x:f>
        <x:v>15.234222717439813</x:v>
      </x:c>
      <x:c r="M392" t="n">
        <x:f>IF(AND(ISNUMBER('Results'!C7),ISNUMBER('Results'!B7),ISNUMBER('Results'!$B$8),ISNUMBER('Inputs'!$B$6),ISNUMBER('Inputs'!$B$7),ISNUMBER('Inputs'!$B$8),ISNUMBER('Inputs'!$B$9),ISNUMBER('Inputs'!$B$10),ISNUMBER('Inputs'!$B$21),ISNUMBER('Inputs'!$B$24),ISNUMBER('Inputs'!$B$28)),(('Results'!C7*(0.5*((((392-43)*MAX('Inputs'!$B$33,'Inputs'!$B$29+'Inputs'!$B$31+'Inputs'!$B$32,'Inputs'!$B$30+'Inputs'!$B$31+'Inputs'!$B$32)/1000+'Inputs'!$B$21)+'Inputs'!$B$9)/SQRT((((392-43)*MAX('Inputs'!$B$33,'Inputs'!$B$29+'Inputs'!$B$31+'Inputs'!$B$32,'Inputs'!$B$30+'Inputs'!$B$31+'Inputs'!$B$32)/1000+'Inputs'!$B$21)+'Inputs'!$B$9)^2+('Inputs'!$B$8/2)^2)-(((392-43)*MAX('Inputs'!$B$33,'Inputs'!$B$29+'Inputs'!$B$31+'Inputs'!$B$32,'Inputs'!$B$30+'Inputs'!$B$31+'Inputs'!$B$32)/1000+'Inputs'!$B$21))/SQRT((((392-43)*MAX('Inputs'!$B$33,'Inputs'!$B$29+'Inputs'!$B$31+'Inputs'!$B$32,'Inputs'!$B$30+'Inputs'!$B$31+'Inputs'!$B$32)/1000+'Inputs'!$B$21))^2+('Inputs'!$B$8/2)^2)))-'Results'!B7*(0.5*((((392-43)*MAX('Inputs'!$B$33,'Inputs'!$B$29+'Inputs'!$B$31+'Inputs'!$B$32,'Inputs'!$B$30+'Inputs'!$B$31+'Inputs'!$B$32)/1000+'Inputs'!$B$21+'Inputs'!$B$9+'Inputs'!$B$10)+'Inputs'!$B$7)/SQRT((((392-43)*MAX('Inputs'!$B$33,'Inputs'!$B$29+'Inputs'!$B$31+'Inputs'!$B$32,'Inputs'!$B$30+'Inputs'!$B$31+'Inputs'!$B$32)/1000+'Inputs'!$B$21+'Inputs'!$B$9+'Inputs'!$B$10)+'Inputs'!$B$7)^2+('Inputs'!$B$6/2)^2)-(((392-43)*MAX('Inputs'!$B$33,'Inputs'!$B$29+'Inputs'!$B$31+'Inputs'!$B$32,'Inputs'!$B$30+'Inputs'!$B$31+'Inputs'!$B$32)/1000+'Inputs'!$B$21+'Inputs'!$B$9+'Inputs'!$B$10))/SQRT((((392-43)*MAX('Inputs'!$B$33,'Inputs'!$B$29+'Inputs'!$B$31+'Inputs'!$B$32,'Inputs'!$B$30+'Inputs'!$B$31+'Inputs'!$B$32)/1000+'Inputs'!$B$21+'Inputs'!$B$9+'Inputs'!$B$10))^2+('Inputs'!$B$6/2)^2))))*'Results'!$B$8),"")</x:f>
        <x:v>13.063141731255651</x:v>
      </x:c>
      <x:c r="N392" t="n">
        <x:f>IF(AND(ISNUMBER('Results'!C7),ISNUMBER('Results'!B7),ISNUMBER('Results'!$B$8),ISNUMBER('Inputs'!$B$6),ISNUMBER('Inputs'!$B$7),ISNUMBER('Inputs'!$B$8),ISNUMBER('Inputs'!$B$9),ISNUMBER('Inputs'!$B$10),ISNUMBER('Inputs'!$B$21),ISNUMBER('Inputs'!$B$24),ISNUMBER('Inputs'!$B$28)),((('Results'!C7*(1-'Inputs'!$B$24)*(0.5*((((392-43)*MAX('Inputs'!$B$33,'Inputs'!$B$29+'Inputs'!$B$31+'Inputs'!$B$32,'Inputs'!$B$30+'Inputs'!$B$31+'Inputs'!$B$32)/1000+'Inputs'!$B$21)+'Inputs'!$B$9)/SQRT((((392-43)*MAX('Inputs'!$B$33,'Inputs'!$B$29+'Inputs'!$B$31+'Inputs'!$B$32,'Inputs'!$B$30+'Inputs'!$B$31+'Inputs'!$B$32)/1000+'Inputs'!$B$21)+'Inputs'!$B$9)^2+('Inputs'!$B$8/2)^2)-(((392-43)*MAX('Inputs'!$B$33,'Inputs'!$B$29+'Inputs'!$B$31+'Inputs'!$B$32,'Inputs'!$B$30+'Inputs'!$B$31+'Inputs'!$B$32)/1000+'Inputs'!$B$21))/SQRT((((392-43)*MAX('Inputs'!$B$33,'Inputs'!$B$29+'Inputs'!$B$31+'Inputs'!$B$32,'Inputs'!$B$30+'Inputs'!$B$31+'Inputs'!$B$32)/1000+'Inputs'!$B$21))^2+('Inputs'!$B$8/2)^2)))-'Results'!B7*(1+'Inputs'!$B$24)*(0.5*((((392-43)*MAX('Inputs'!$B$33,'Inputs'!$B$29+'Inputs'!$B$31+'Inputs'!$B$32,'Inputs'!$B$30+'Inputs'!$B$31+'Inputs'!$B$32)/1000+'Inputs'!$B$21+'Inputs'!$B$9+'Inputs'!$B$10)+'Inputs'!$B$7)/SQRT((((392-43)*MAX('Inputs'!$B$33,'Inputs'!$B$29+'Inputs'!$B$31+'Inputs'!$B$32,'Inputs'!$B$30+'Inputs'!$B$31+'Inputs'!$B$32)/1000+'Inputs'!$B$21+'Inputs'!$B$9+'Inputs'!$B$10)+'Inputs'!$B$7)^2+('Inputs'!$B$6/2)^2)-(((392-43)*MAX('Inputs'!$B$33,'Inputs'!$B$29+'Inputs'!$B$31+'Inputs'!$B$32,'Inputs'!$B$30+'Inputs'!$B$31+'Inputs'!$B$32)/1000+'Inputs'!$B$21+'Inputs'!$B$9+'Inputs'!$B$10))/SQRT((((392-43)*MAX('Inputs'!$B$33,'Inputs'!$B$29+'Inputs'!$B$31+'Inputs'!$B$32,'Inputs'!$B$30+'Inputs'!$B$31+'Inputs'!$B$32)/1000+'Inputs'!$B$21+'Inputs'!$B$9+'Inputs'!$B$10))^2+('Inputs'!$B$6/2)^2))))*'Results'!$B$8)-'Inputs'!$B$28*ABS((('Results'!C7*(1-'Inputs'!$B$24)*(0.5*((((392-43)*MAX('Inputs'!$B$33,'Inputs'!$B$29+'Inputs'!$B$31+'Inputs'!$B$32,'Inputs'!$B$30+'Inputs'!$B$31+'Inputs'!$B$32)/1000+'Inputs'!$B$21)+'Inputs'!$B$9)/SQRT((((392-43)*MAX('Inputs'!$B$33,'Inputs'!$B$29+'Inputs'!$B$31+'Inputs'!$B$32,'Inputs'!$B$30+'Inputs'!$B$31+'Inputs'!$B$32)/1000+'Inputs'!$B$21)+'Inputs'!$B$9)^2+('Inputs'!$B$8/2)^2)-(((392-43)*MAX('Inputs'!$B$33,'Inputs'!$B$29+'Inputs'!$B$31+'Inputs'!$B$32,'Inputs'!$B$30+'Inputs'!$B$31+'Inputs'!$B$32)/1000+'Inputs'!$B$21))/SQRT((((392-43)*MAX('Inputs'!$B$33,'Inputs'!$B$29+'Inputs'!$B$31+'Inputs'!$B$32,'Inputs'!$B$30+'Inputs'!$B$31+'Inputs'!$B$32)/1000+'Inputs'!$B$21))^2+('Inputs'!$B$8/2)^2)))-'Results'!B7*(1+'Inputs'!$B$24)*(0.5*((((392-43)*MAX('Inputs'!$B$33,'Inputs'!$B$29+'Inputs'!$B$31+'Inputs'!$B$32,'Inputs'!$B$30+'Inputs'!$B$31+'Inputs'!$B$32)/1000+'Inputs'!$B$21+'Inputs'!$B$9+'Inputs'!$B$10)+'Inputs'!$B$7)/SQRT((((392-43)*MAX('Inputs'!$B$33,'Inputs'!$B$29+'Inputs'!$B$31+'Inputs'!$B$32,'Inputs'!$B$30+'Inputs'!$B$31+'Inputs'!$B$32)/1000+'Inputs'!$B$21+'Inputs'!$B$9+'Inputs'!$B$10)+'Inputs'!$B$7)^2+('Inputs'!$B$6/2)^2)-(((392-43)*MAX('Inputs'!$B$33,'Inputs'!$B$29+'Inputs'!$B$31+'Inputs'!$B$32,'Inputs'!$B$30+'Inputs'!$B$31+'Inputs'!$B$32)/1000+'Inputs'!$B$21+'Inputs'!$B$9+'Inputs'!$B$10))/SQRT((((392-43)*MAX('Inputs'!$B$33,'Inputs'!$B$29+'Inputs'!$B$31+'Inputs'!$B$32,'Inputs'!$B$30+'Inputs'!$B$31+'Inputs'!$B$32)/1000+'Inputs'!$B$21+'Inputs'!$B$9+'Inputs'!$B$10))^2+('Inputs'!$B$6/2)^2))))*'Results'!$B$8))),"")</x:f>
        <x:v>11.730613934367662</x:v>
      </x:c>
      <x:c r="O392" t="n">
        <x:f>IF(AND(ISNUMBER('Results'!C7),ISNUMBER('Results'!B7),ISNUMBER('Results'!$B$8),ISNUMBER('Inputs'!$B$6),ISNUMBER('Inputs'!$B$7),ISNUMBER('Inputs'!$B$8),ISNUMBER('Inputs'!$B$9),ISNUMBER('Inputs'!$B$10),ISNUMBER('Inputs'!$B$21),ISNUMBER('Inputs'!$B$24),ISNUMBER('Inputs'!$B$28)),((('Results'!C7*(1+'Inputs'!$B$24)*(0.5*((((392-43)*MAX('Inputs'!$B$33,'Inputs'!$B$29+'Inputs'!$B$31+'Inputs'!$B$32,'Inputs'!$B$30+'Inputs'!$B$31+'Inputs'!$B$32)/1000+'Inputs'!$B$21)+'Inputs'!$B$9)/SQRT((((392-43)*MAX('Inputs'!$B$33,'Inputs'!$B$29+'Inputs'!$B$31+'Inputs'!$B$32,'Inputs'!$B$30+'Inputs'!$B$31+'Inputs'!$B$32)/1000+'Inputs'!$B$21)+'Inputs'!$B$9)^2+('Inputs'!$B$8/2)^2)-(((392-43)*MAX('Inputs'!$B$33,'Inputs'!$B$29+'Inputs'!$B$31+'Inputs'!$B$32,'Inputs'!$B$30+'Inputs'!$B$31+'Inputs'!$B$32)/1000+'Inputs'!$B$21))/SQRT((((392-43)*MAX('Inputs'!$B$33,'Inputs'!$B$29+'Inputs'!$B$31+'Inputs'!$B$32,'Inputs'!$B$30+'Inputs'!$B$31+'Inputs'!$B$32)/1000+'Inputs'!$B$21))^2+('Inputs'!$B$8/2)^2)))-'Results'!B7*(1-'Inputs'!$B$24)*(0.5*((((392-43)*MAX('Inputs'!$B$33,'Inputs'!$B$29+'Inputs'!$B$31+'Inputs'!$B$32,'Inputs'!$B$30+'Inputs'!$B$31+'Inputs'!$B$32)/1000+'Inputs'!$B$21+'Inputs'!$B$9+'Inputs'!$B$10)+'Inputs'!$B$7)/SQRT((((392-43)*MAX('Inputs'!$B$33,'Inputs'!$B$29+'Inputs'!$B$31+'Inputs'!$B$32,'Inputs'!$B$30+'Inputs'!$B$31+'Inputs'!$B$32)/1000+'Inputs'!$B$21+'Inputs'!$B$9+'Inputs'!$B$10)+'Inputs'!$B$7)^2+('Inputs'!$B$6/2)^2)-(((392-43)*MAX('Inputs'!$B$33,'Inputs'!$B$29+'Inputs'!$B$31+'Inputs'!$B$32,'Inputs'!$B$30+'Inputs'!$B$31+'Inputs'!$B$32)/1000+'Inputs'!$B$21+'Inputs'!$B$9+'Inputs'!$B$10))/SQRT((((392-43)*MAX('Inputs'!$B$33,'Inputs'!$B$29+'Inputs'!$B$31+'Inputs'!$B$32,'Inputs'!$B$30+'Inputs'!$B$31+'Inputs'!$B$32)/1000+'Inputs'!$B$21+'Inputs'!$B$9+'Inputs'!$B$10))^2+('Inputs'!$B$6/2)^2))))*'Results'!$B$8)+'Inputs'!$B$28*ABS((('Results'!C7*(1+'Inputs'!$B$24)*(0.5*((((392-43)*MAX('Inputs'!$B$33,'Inputs'!$B$29+'Inputs'!$B$31+'Inputs'!$B$32,'Inputs'!$B$30+'Inputs'!$B$31+'Inputs'!$B$32)/1000+'Inputs'!$B$21)+'Inputs'!$B$9)/SQRT((((392-43)*MAX('Inputs'!$B$33,'Inputs'!$B$29+'Inputs'!$B$31+'Inputs'!$B$32,'Inputs'!$B$30+'Inputs'!$B$31+'Inputs'!$B$32)/1000+'Inputs'!$B$21)+'Inputs'!$B$9)^2+('Inputs'!$B$8/2)^2)-(((392-43)*MAX('Inputs'!$B$33,'Inputs'!$B$29+'Inputs'!$B$31+'Inputs'!$B$32,'Inputs'!$B$30+'Inputs'!$B$31+'Inputs'!$B$32)/1000+'Inputs'!$B$21))/SQRT((((392-43)*MAX('Inputs'!$B$33,'Inputs'!$B$29+'Inputs'!$B$31+'Inputs'!$B$32,'Inputs'!$B$30+'Inputs'!$B$31+'Inputs'!$B$32)/1000+'Inputs'!$B$21))^2+('Inputs'!$B$8/2)^2)))-'Results'!B7*(1-'Inputs'!$B$24)*(0.5*((((392-43)*MAX('Inputs'!$B$33,'Inputs'!$B$29+'Inputs'!$B$31+'Inputs'!$B$32,'Inputs'!$B$30+'Inputs'!$B$31+'Inputs'!$B$32)/1000+'Inputs'!$B$21+'Inputs'!$B$9+'Inputs'!$B$10)+'Inputs'!$B$7)/SQRT((((392-43)*MAX('Inputs'!$B$33,'Inputs'!$B$29+'Inputs'!$B$31+'Inputs'!$B$32,'Inputs'!$B$30+'Inputs'!$B$31+'Inputs'!$B$32)/1000+'Inputs'!$B$21+'Inputs'!$B$9+'Inputs'!$B$10)+'Inputs'!$B$7)^2+('Inputs'!$B$6/2)^2)-(((392-43)*MAX('Inputs'!$B$33,'Inputs'!$B$29+'Inputs'!$B$31+'Inputs'!$B$32,'Inputs'!$B$30+'Inputs'!$B$31+'Inputs'!$B$32)/1000+'Inputs'!$B$21+'Inputs'!$B$9+'Inputs'!$B$10))/SQRT((((392-43)*MAX('Inputs'!$B$33,'Inputs'!$B$29+'Inputs'!$B$31+'Inputs'!$B$32,'Inputs'!$B$30+'Inputs'!$B$31+'Inputs'!$B$32)/1000+'Inputs'!$B$21+'Inputs'!$B$9+'Inputs'!$B$10))^2+('Inputs'!$B$6/2)^2))))*'Results'!$B$8))),"")</x:f>
        <x:v>14.467182234493663</x:v>
      </x:c>
      <x:c r="P392" t="n">
        <x:f>IF(AND(MAX(J392,J391)&gt;0,J392&gt;J391+0.00000001),1,0)</x:f>
        <x:v>0</x:v>
      </x:c>
      <x:c r="Q392" t="n">
        <x:f>IF(AND(MAX(K392,K391)&gt;0,K392&gt;K391+0.00000001),1,0)</x:f>
        <x:v>0</x:v>
      </x:c>
      <x:c r="R392" t="n">
        <x:f>IF(AND(MAX(L392,L391)&gt;0,L392&gt;L391+0.00000001),1,0)</x:f>
        <x:v>0</x:v>
      </x:c>
      <x:c r="S392" t="n">
        <x:f>IF(AND(MAX(M392,M391)&gt;0,M392&gt;M391+0.00000001),1,0)</x:f>
        <x:v>0</x:v>
      </x:c>
      <x:c r="T392" t="n">
        <x:f>IF(AND(MAX(N392,N391)&gt;0,N392&gt;N391+0.00000001),1,0)</x:f>
        <x:v>0</x:v>
      </x:c>
      <x:c r="U392" t="n">
        <x:f>IF(AND(MAX(O392,O391)&gt;0,O392&gt;O391+0.00000001),1,0)</x:f>
        <x:v>0</x:v>
      </x:c>
    </x:row>
    <x:row r="393">
      <x:c r="J393" t="n">
        <x:f>IF(AND(ISNUMBER('Results'!B7),ISNUMBER('Results'!C7),ISNUMBER('Results'!$B$8),ISNUMBER('Inputs'!$B$6),ISNUMBER('Inputs'!$B$7),ISNUMBER('Inputs'!$B$8),ISNUMBER('Inputs'!$B$9),ISNUMBER('Inputs'!$B$10),ISNUMBER('Inputs'!$B$21),ISNUMBER('Inputs'!$B$24),ISNUMBER('Inputs'!$B$28)),(('Results'!B7*(0.5*((((393-43)*MAX('Inputs'!$B$33,'Inputs'!$B$29+'Inputs'!$B$31+'Inputs'!$B$32,'Inputs'!$B$30+'Inputs'!$B$31+'Inputs'!$B$32)/1000+'Inputs'!$B$21)+'Inputs'!$B$7)/SQRT((((393-43)*MAX('Inputs'!$B$33,'Inputs'!$B$29+'Inputs'!$B$31+'Inputs'!$B$32,'Inputs'!$B$30+'Inputs'!$B$31+'Inputs'!$B$32)/1000+'Inputs'!$B$21)+'Inputs'!$B$7)^2+('Inputs'!$B$6/2)^2)-(((393-43)*MAX('Inputs'!$B$33,'Inputs'!$B$29+'Inputs'!$B$31+'Inputs'!$B$32,'Inputs'!$B$30+'Inputs'!$B$31+'Inputs'!$B$32)/1000+'Inputs'!$B$21))/SQRT((((393-43)*MAX('Inputs'!$B$33,'Inputs'!$B$29+'Inputs'!$B$31+'Inputs'!$B$32,'Inputs'!$B$30+'Inputs'!$B$31+'Inputs'!$B$32)/1000+'Inputs'!$B$21))^2+('Inputs'!$B$6/2)^2)))-'Results'!C7*(0.5*((((393-43)*MAX('Inputs'!$B$33,'Inputs'!$B$29+'Inputs'!$B$31+'Inputs'!$B$32,'Inputs'!$B$30+'Inputs'!$B$31+'Inputs'!$B$32)/1000+'Inputs'!$B$21+'Inputs'!$B$7+'Inputs'!$B$10)+'Inputs'!$B$9)/SQRT((((393-43)*MAX('Inputs'!$B$33,'Inputs'!$B$29+'Inputs'!$B$31+'Inputs'!$B$32,'Inputs'!$B$30+'Inputs'!$B$31+'Inputs'!$B$32)/1000+'Inputs'!$B$21+'Inputs'!$B$7+'Inputs'!$B$10)+'Inputs'!$B$9)^2+('Inputs'!$B$8/2)^2)-(((393-43)*MAX('Inputs'!$B$33,'Inputs'!$B$29+'Inputs'!$B$31+'Inputs'!$B$32,'Inputs'!$B$30+'Inputs'!$B$31+'Inputs'!$B$32)/1000+'Inputs'!$B$21+'Inputs'!$B$7+'Inputs'!$B$10))/SQRT((((393-43)*MAX('Inputs'!$B$33,'Inputs'!$B$29+'Inputs'!$B$31+'Inputs'!$B$32,'Inputs'!$B$30+'Inputs'!$B$31+'Inputs'!$B$32)/1000+'Inputs'!$B$21+'Inputs'!$B$7+'Inputs'!$B$10))^2+('Inputs'!$B$8/2)^2))))*'Results'!$B$8),"")</x:f>
        <x:v>13.66201647390091</x:v>
      </x:c>
      <x:c r="K393" t="n">
        <x:f>IF(AND(ISNUMBER('Results'!B7),ISNUMBER('Results'!C7),ISNUMBER('Results'!$B$8),ISNUMBER('Inputs'!$B$6),ISNUMBER('Inputs'!$B$7),ISNUMBER('Inputs'!$B$8),ISNUMBER('Inputs'!$B$9),ISNUMBER('Inputs'!$B$10),ISNUMBER('Inputs'!$B$21),ISNUMBER('Inputs'!$B$24),ISNUMBER('Inputs'!$B$28)),((('Results'!B7*(1-'Inputs'!$B$24)*(0.5*((((393-43)*MAX('Inputs'!$B$33,'Inputs'!$B$29+'Inputs'!$B$31+'Inputs'!$B$32,'Inputs'!$B$30+'Inputs'!$B$31+'Inputs'!$B$32)/1000+'Inputs'!$B$21)+'Inputs'!$B$7)/SQRT((((393-43)*MAX('Inputs'!$B$33,'Inputs'!$B$29+'Inputs'!$B$31+'Inputs'!$B$32,'Inputs'!$B$30+'Inputs'!$B$31+'Inputs'!$B$32)/1000+'Inputs'!$B$21)+'Inputs'!$B$7)^2+('Inputs'!$B$6/2)^2)-(((393-43)*MAX('Inputs'!$B$33,'Inputs'!$B$29+'Inputs'!$B$31+'Inputs'!$B$32,'Inputs'!$B$30+'Inputs'!$B$31+'Inputs'!$B$32)/1000+'Inputs'!$B$21))/SQRT((((393-43)*MAX('Inputs'!$B$33,'Inputs'!$B$29+'Inputs'!$B$31+'Inputs'!$B$32,'Inputs'!$B$30+'Inputs'!$B$31+'Inputs'!$B$32)/1000+'Inputs'!$B$21))^2+('Inputs'!$B$6/2)^2)))-'Results'!C7*(1+'Inputs'!$B$24)*(0.5*((((393-43)*MAX('Inputs'!$B$33,'Inputs'!$B$29+'Inputs'!$B$31+'Inputs'!$B$32,'Inputs'!$B$30+'Inputs'!$B$31+'Inputs'!$B$32)/1000+'Inputs'!$B$21+'Inputs'!$B$7+'Inputs'!$B$10)+'Inputs'!$B$9)/SQRT((((393-43)*MAX('Inputs'!$B$33,'Inputs'!$B$29+'Inputs'!$B$31+'Inputs'!$B$32,'Inputs'!$B$30+'Inputs'!$B$31+'Inputs'!$B$32)/1000+'Inputs'!$B$21+'Inputs'!$B$7+'Inputs'!$B$10)+'Inputs'!$B$9)^2+('Inputs'!$B$8/2)^2)-(((393-43)*MAX('Inputs'!$B$33,'Inputs'!$B$29+'Inputs'!$B$31+'Inputs'!$B$32,'Inputs'!$B$30+'Inputs'!$B$31+'Inputs'!$B$32)/1000+'Inputs'!$B$21+'Inputs'!$B$7+'Inputs'!$B$10))/SQRT((((393-43)*MAX('Inputs'!$B$33,'Inputs'!$B$29+'Inputs'!$B$31+'Inputs'!$B$32,'Inputs'!$B$30+'Inputs'!$B$31+'Inputs'!$B$32)/1000+'Inputs'!$B$21+'Inputs'!$B$7+'Inputs'!$B$10))^2+('Inputs'!$B$8/2)^2))))*'Results'!$B$8)-'Inputs'!$B$28*ABS((('Results'!B7*(1-'Inputs'!$B$24)*(0.5*((((393-43)*MAX('Inputs'!$B$33,'Inputs'!$B$29+'Inputs'!$B$31+'Inputs'!$B$32,'Inputs'!$B$30+'Inputs'!$B$31+'Inputs'!$B$32)/1000+'Inputs'!$B$21)+'Inputs'!$B$7)/SQRT((((393-43)*MAX('Inputs'!$B$33,'Inputs'!$B$29+'Inputs'!$B$31+'Inputs'!$B$32,'Inputs'!$B$30+'Inputs'!$B$31+'Inputs'!$B$32)/1000+'Inputs'!$B$21)+'Inputs'!$B$7)^2+('Inputs'!$B$6/2)^2)-(((393-43)*MAX('Inputs'!$B$33,'Inputs'!$B$29+'Inputs'!$B$31+'Inputs'!$B$32,'Inputs'!$B$30+'Inputs'!$B$31+'Inputs'!$B$32)/1000+'Inputs'!$B$21))/SQRT((((393-43)*MAX('Inputs'!$B$33,'Inputs'!$B$29+'Inputs'!$B$31+'Inputs'!$B$32,'Inputs'!$B$30+'Inputs'!$B$31+'Inputs'!$B$32)/1000+'Inputs'!$B$21))^2+('Inputs'!$B$6/2)^2)))-'Results'!C7*(1+'Inputs'!$B$24)*(0.5*((((393-43)*MAX('Inputs'!$B$33,'Inputs'!$B$29+'Inputs'!$B$31+'Inputs'!$B$32,'Inputs'!$B$30+'Inputs'!$B$31+'Inputs'!$B$32)/1000+'Inputs'!$B$21+'Inputs'!$B$7+'Inputs'!$B$10)+'Inputs'!$B$9)/SQRT((((393-43)*MAX('Inputs'!$B$33,'Inputs'!$B$29+'Inputs'!$B$31+'Inputs'!$B$32,'Inputs'!$B$30+'Inputs'!$B$31+'Inputs'!$B$32)/1000+'Inputs'!$B$21+'Inputs'!$B$7+'Inputs'!$B$10)+'Inputs'!$B$9)^2+('Inputs'!$B$8/2)^2)-(((393-43)*MAX('Inputs'!$B$33,'Inputs'!$B$29+'Inputs'!$B$31+'Inputs'!$B$32,'Inputs'!$B$30+'Inputs'!$B$31+'Inputs'!$B$32)/1000+'Inputs'!$B$21+'Inputs'!$B$7+'Inputs'!$B$10))/SQRT((((393-43)*MAX('Inputs'!$B$33,'Inputs'!$B$29+'Inputs'!$B$31+'Inputs'!$B$32,'Inputs'!$B$30+'Inputs'!$B$31+'Inputs'!$B$32)/1000+'Inputs'!$B$21+'Inputs'!$B$7+'Inputs'!$B$10))^2+('Inputs'!$B$8/2)^2))))*'Results'!$B$8))),"")</x:f>
        <x:v>12.299337581090397</x:v>
      </x:c>
      <x:c r="L393" t="n">
        <x:f>IF(AND(ISNUMBER('Results'!B7),ISNUMBER('Results'!C7),ISNUMBER('Results'!$B$8),ISNUMBER('Inputs'!$B$6),ISNUMBER('Inputs'!$B$7),ISNUMBER('Inputs'!$B$8),ISNUMBER('Inputs'!$B$9),ISNUMBER('Inputs'!$B$10),ISNUMBER('Inputs'!$B$21),ISNUMBER('Inputs'!$B$24),ISNUMBER('Inputs'!$B$28)),((('Results'!B7*(1+'Inputs'!$B$24)*(0.5*((((393-43)*MAX('Inputs'!$B$33,'Inputs'!$B$29+'Inputs'!$B$31+'Inputs'!$B$32,'Inputs'!$B$30+'Inputs'!$B$31+'Inputs'!$B$32)/1000+'Inputs'!$B$21)+'Inputs'!$B$7)/SQRT((((393-43)*MAX('Inputs'!$B$33,'Inputs'!$B$29+'Inputs'!$B$31+'Inputs'!$B$32,'Inputs'!$B$30+'Inputs'!$B$31+'Inputs'!$B$32)/1000+'Inputs'!$B$21)+'Inputs'!$B$7)^2+('Inputs'!$B$6/2)^2)-(((393-43)*MAX('Inputs'!$B$33,'Inputs'!$B$29+'Inputs'!$B$31+'Inputs'!$B$32,'Inputs'!$B$30+'Inputs'!$B$31+'Inputs'!$B$32)/1000+'Inputs'!$B$21))/SQRT((((393-43)*MAX('Inputs'!$B$33,'Inputs'!$B$29+'Inputs'!$B$31+'Inputs'!$B$32,'Inputs'!$B$30+'Inputs'!$B$31+'Inputs'!$B$32)/1000+'Inputs'!$B$21))^2+('Inputs'!$B$6/2)^2)))-'Results'!C7*(1-'Inputs'!$B$24)*(0.5*((((393-43)*MAX('Inputs'!$B$33,'Inputs'!$B$29+'Inputs'!$B$31+'Inputs'!$B$32,'Inputs'!$B$30+'Inputs'!$B$31+'Inputs'!$B$32)/1000+'Inputs'!$B$21+'Inputs'!$B$7+'Inputs'!$B$10)+'Inputs'!$B$9)/SQRT((((393-43)*MAX('Inputs'!$B$33,'Inputs'!$B$29+'Inputs'!$B$31+'Inputs'!$B$32,'Inputs'!$B$30+'Inputs'!$B$31+'Inputs'!$B$32)/1000+'Inputs'!$B$21+'Inputs'!$B$7+'Inputs'!$B$10)+'Inputs'!$B$9)^2+('Inputs'!$B$8/2)^2)-(((393-43)*MAX('Inputs'!$B$33,'Inputs'!$B$29+'Inputs'!$B$31+'Inputs'!$B$32,'Inputs'!$B$30+'Inputs'!$B$31+'Inputs'!$B$32)/1000+'Inputs'!$B$21+'Inputs'!$B$7+'Inputs'!$B$10))/SQRT((((393-43)*MAX('Inputs'!$B$33,'Inputs'!$B$29+'Inputs'!$B$31+'Inputs'!$B$32,'Inputs'!$B$30+'Inputs'!$B$31+'Inputs'!$B$32)/1000+'Inputs'!$B$21+'Inputs'!$B$7+'Inputs'!$B$10))^2+('Inputs'!$B$8/2)^2))))*'Results'!$B$8)+'Inputs'!$B$28*ABS((('Results'!B7*(1+'Inputs'!$B$24)*(0.5*((((393-43)*MAX('Inputs'!$B$33,'Inputs'!$B$29+'Inputs'!$B$31+'Inputs'!$B$32,'Inputs'!$B$30+'Inputs'!$B$31+'Inputs'!$B$32)/1000+'Inputs'!$B$21)+'Inputs'!$B$7)/SQRT((((393-43)*MAX('Inputs'!$B$33,'Inputs'!$B$29+'Inputs'!$B$31+'Inputs'!$B$32,'Inputs'!$B$30+'Inputs'!$B$31+'Inputs'!$B$32)/1000+'Inputs'!$B$21)+'Inputs'!$B$7)^2+('Inputs'!$B$6/2)^2)-(((393-43)*MAX('Inputs'!$B$33,'Inputs'!$B$29+'Inputs'!$B$31+'Inputs'!$B$32,'Inputs'!$B$30+'Inputs'!$B$31+'Inputs'!$B$32)/1000+'Inputs'!$B$21))/SQRT((((393-43)*MAX('Inputs'!$B$33,'Inputs'!$B$29+'Inputs'!$B$31+'Inputs'!$B$32,'Inputs'!$B$30+'Inputs'!$B$31+'Inputs'!$B$32)/1000+'Inputs'!$B$21))^2+('Inputs'!$B$6/2)^2)))-'Results'!C7*(1-'Inputs'!$B$24)*(0.5*((((393-43)*MAX('Inputs'!$B$33,'Inputs'!$B$29+'Inputs'!$B$31+'Inputs'!$B$32,'Inputs'!$B$30+'Inputs'!$B$31+'Inputs'!$B$32)/1000+'Inputs'!$B$21+'Inputs'!$B$7+'Inputs'!$B$10)+'Inputs'!$B$9)/SQRT((((393-43)*MAX('Inputs'!$B$33,'Inputs'!$B$29+'Inputs'!$B$31+'Inputs'!$B$32,'Inputs'!$B$30+'Inputs'!$B$31+'Inputs'!$B$32)/1000+'Inputs'!$B$21+'Inputs'!$B$7+'Inputs'!$B$10)+'Inputs'!$B$9)^2+('Inputs'!$B$8/2)^2)-(((393-43)*MAX('Inputs'!$B$33,'Inputs'!$B$29+'Inputs'!$B$31+'Inputs'!$B$32,'Inputs'!$B$30+'Inputs'!$B$31+'Inputs'!$B$32)/1000+'Inputs'!$B$21+'Inputs'!$B$7+'Inputs'!$B$10))/SQRT((((393-43)*MAX('Inputs'!$B$33,'Inputs'!$B$29+'Inputs'!$B$31+'Inputs'!$B$32,'Inputs'!$B$30+'Inputs'!$B$31+'Inputs'!$B$32)/1000+'Inputs'!$B$21+'Inputs'!$B$7+'Inputs'!$B$10))^2+('Inputs'!$B$8/2)^2))))*'Results'!$B$8))),"")</x:f>
        <x:v>15.096229900302525</x:v>
      </x:c>
      <x:c r="M393" t="n">
        <x:f>IF(AND(ISNUMBER('Results'!C7),ISNUMBER('Results'!B7),ISNUMBER('Results'!$B$8),ISNUMBER('Inputs'!$B$6),ISNUMBER('Inputs'!$B$7),ISNUMBER('Inputs'!$B$8),ISNUMBER('Inputs'!$B$9),ISNUMBER('Inputs'!$B$10),ISNUMBER('Inputs'!$B$21),ISNUMBER('Inputs'!$B$24),ISNUMBER('Inputs'!$B$28)),(('Results'!C7*(0.5*((((393-43)*MAX('Inputs'!$B$33,'Inputs'!$B$29+'Inputs'!$B$31+'Inputs'!$B$32,'Inputs'!$B$30+'Inputs'!$B$31+'Inputs'!$B$32)/1000+'Inputs'!$B$21)+'Inputs'!$B$9)/SQRT((((393-43)*MAX('Inputs'!$B$33,'Inputs'!$B$29+'Inputs'!$B$31+'Inputs'!$B$32,'Inputs'!$B$30+'Inputs'!$B$31+'Inputs'!$B$32)/1000+'Inputs'!$B$21)+'Inputs'!$B$9)^2+('Inputs'!$B$8/2)^2)-(((393-43)*MAX('Inputs'!$B$33,'Inputs'!$B$29+'Inputs'!$B$31+'Inputs'!$B$32,'Inputs'!$B$30+'Inputs'!$B$31+'Inputs'!$B$32)/1000+'Inputs'!$B$21))/SQRT((((393-43)*MAX('Inputs'!$B$33,'Inputs'!$B$29+'Inputs'!$B$31+'Inputs'!$B$32,'Inputs'!$B$30+'Inputs'!$B$31+'Inputs'!$B$32)/1000+'Inputs'!$B$21))^2+('Inputs'!$B$8/2)^2)))-'Results'!B7*(0.5*((((393-43)*MAX('Inputs'!$B$33,'Inputs'!$B$29+'Inputs'!$B$31+'Inputs'!$B$32,'Inputs'!$B$30+'Inputs'!$B$31+'Inputs'!$B$32)/1000+'Inputs'!$B$21+'Inputs'!$B$9+'Inputs'!$B$10)+'Inputs'!$B$7)/SQRT((((393-43)*MAX('Inputs'!$B$33,'Inputs'!$B$29+'Inputs'!$B$31+'Inputs'!$B$32,'Inputs'!$B$30+'Inputs'!$B$31+'Inputs'!$B$32)/1000+'Inputs'!$B$21+'Inputs'!$B$9+'Inputs'!$B$10)+'Inputs'!$B$7)^2+('Inputs'!$B$6/2)^2)-(((393-43)*MAX('Inputs'!$B$33,'Inputs'!$B$29+'Inputs'!$B$31+'Inputs'!$B$32,'Inputs'!$B$30+'Inputs'!$B$31+'Inputs'!$B$32)/1000+'Inputs'!$B$21+'Inputs'!$B$9+'Inputs'!$B$10))/SQRT((((393-43)*MAX('Inputs'!$B$33,'Inputs'!$B$29+'Inputs'!$B$31+'Inputs'!$B$32,'Inputs'!$B$30+'Inputs'!$B$31+'Inputs'!$B$32)/1000+'Inputs'!$B$21+'Inputs'!$B$9+'Inputs'!$B$10))^2+('Inputs'!$B$6/2)^2))))*'Results'!$B$8),"")</x:f>
        <x:v>12.942159862414046</x:v>
      </x:c>
      <x:c r="N393" t="n">
        <x:f>IF(AND(ISNUMBER('Results'!C7),ISNUMBER('Results'!B7),ISNUMBER('Results'!$B$8),ISNUMBER('Inputs'!$B$6),ISNUMBER('Inputs'!$B$7),ISNUMBER('Inputs'!$B$8),ISNUMBER('Inputs'!$B$9),ISNUMBER('Inputs'!$B$10),ISNUMBER('Inputs'!$B$21),ISNUMBER('Inputs'!$B$24),ISNUMBER('Inputs'!$B$28)),((('Results'!C7*(1-'Inputs'!$B$24)*(0.5*((((393-43)*MAX('Inputs'!$B$33,'Inputs'!$B$29+'Inputs'!$B$31+'Inputs'!$B$32,'Inputs'!$B$30+'Inputs'!$B$31+'Inputs'!$B$32)/1000+'Inputs'!$B$21)+'Inputs'!$B$9)/SQRT((((393-43)*MAX('Inputs'!$B$33,'Inputs'!$B$29+'Inputs'!$B$31+'Inputs'!$B$32,'Inputs'!$B$30+'Inputs'!$B$31+'Inputs'!$B$32)/1000+'Inputs'!$B$21)+'Inputs'!$B$9)^2+('Inputs'!$B$8/2)^2)-(((393-43)*MAX('Inputs'!$B$33,'Inputs'!$B$29+'Inputs'!$B$31+'Inputs'!$B$32,'Inputs'!$B$30+'Inputs'!$B$31+'Inputs'!$B$32)/1000+'Inputs'!$B$21))/SQRT((((393-43)*MAX('Inputs'!$B$33,'Inputs'!$B$29+'Inputs'!$B$31+'Inputs'!$B$32,'Inputs'!$B$30+'Inputs'!$B$31+'Inputs'!$B$32)/1000+'Inputs'!$B$21))^2+('Inputs'!$B$8/2)^2)))-'Results'!B7*(1+'Inputs'!$B$24)*(0.5*((((393-43)*MAX('Inputs'!$B$33,'Inputs'!$B$29+'Inputs'!$B$31+'Inputs'!$B$32,'Inputs'!$B$30+'Inputs'!$B$31+'Inputs'!$B$32)/1000+'Inputs'!$B$21+'Inputs'!$B$9+'Inputs'!$B$10)+'Inputs'!$B$7)/SQRT((((393-43)*MAX('Inputs'!$B$33,'Inputs'!$B$29+'Inputs'!$B$31+'Inputs'!$B$32,'Inputs'!$B$30+'Inputs'!$B$31+'Inputs'!$B$32)/1000+'Inputs'!$B$21+'Inputs'!$B$9+'Inputs'!$B$10)+'Inputs'!$B$7)^2+('Inputs'!$B$6/2)^2)-(((393-43)*MAX('Inputs'!$B$33,'Inputs'!$B$29+'Inputs'!$B$31+'Inputs'!$B$32,'Inputs'!$B$30+'Inputs'!$B$31+'Inputs'!$B$32)/1000+'Inputs'!$B$21+'Inputs'!$B$9+'Inputs'!$B$10))/SQRT((((393-43)*MAX('Inputs'!$B$33,'Inputs'!$B$29+'Inputs'!$B$31+'Inputs'!$B$32,'Inputs'!$B$30+'Inputs'!$B$31+'Inputs'!$B$32)/1000+'Inputs'!$B$21+'Inputs'!$B$9+'Inputs'!$B$10))^2+('Inputs'!$B$6/2)^2))))*'Results'!$B$8)-'Inputs'!$B$28*ABS((('Results'!C7*(1-'Inputs'!$B$24)*(0.5*((((393-43)*MAX('Inputs'!$B$33,'Inputs'!$B$29+'Inputs'!$B$31+'Inputs'!$B$32,'Inputs'!$B$30+'Inputs'!$B$31+'Inputs'!$B$32)/1000+'Inputs'!$B$21)+'Inputs'!$B$9)/SQRT((((393-43)*MAX('Inputs'!$B$33,'Inputs'!$B$29+'Inputs'!$B$31+'Inputs'!$B$32,'Inputs'!$B$30+'Inputs'!$B$31+'Inputs'!$B$32)/1000+'Inputs'!$B$21)+'Inputs'!$B$9)^2+('Inputs'!$B$8/2)^2)-(((393-43)*MAX('Inputs'!$B$33,'Inputs'!$B$29+'Inputs'!$B$31+'Inputs'!$B$32,'Inputs'!$B$30+'Inputs'!$B$31+'Inputs'!$B$32)/1000+'Inputs'!$B$21))/SQRT((((393-43)*MAX('Inputs'!$B$33,'Inputs'!$B$29+'Inputs'!$B$31+'Inputs'!$B$32,'Inputs'!$B$30+'Inputs'!$B$31+'Inputs'!$B$32)/1000+'Inputs'!$B$21))^2+('Inputs'!$B$8/2)^2)))-'Results'!B7*(1+'Inputs'!$B$24)*(0.5*((((393-43)*MAX('Inputs'!$B$33,'Inputs'!$B$29+'Inputs'!$B$31+'Inputs'!$B$32,'Inputs'!$B$30+'Inputs'!$B$31+'Inputs'!$B$32)/1000+'Inputs'!$B$21+'Inputs'!$B$9+'Inputs'!$B$10)+'Inputs'!$B$7)/SQRT((((393-43)*MAX('Inputs'!$B$33,'Inputs'!$B$29+'Inputs'!$B$31+'Inputs'!$B$32,'Inputs'!$B$30+'Inputs'!$B$31+'Inputs'!$B$32)/1000+'Inputs'!$B$21+'Inputs'!$B$9+'Inputs'!$B$10)+'Inputs'!$B$7)^2+('Inputs'!$B$6/2)^2)-(((393-43)*MAX('Inputs'!$B$33,'Inputs'!$B$29+'Inputs'!$B$31+'Inputs'!$B$32,'Inputs'!$B$30+'Inputs'!$B$31+'Inputs'!$B$32)/1000+'Inputs'!$B$21+'Inputs'!$B$9+'Inputs'!$B$10))/SQRT((((393-43)*MAX('Inputs'!$B$33,'Inputs'!$B$29+'Inputs'!$B$31+'Inputs'!$B$32,'Inputs'!$B$30+'Inputs'!$B$31+'Inputs'!$B$32)/1000+'Inputs'!$B$21+'Inputs'!$B$9+'Inputs'!$B$10))^2+('Inputs'!$B$6/2)^2))))*'Results'!$B$8))),"")</x:f>
        <x:v>11.620579652202016</x:v>
      </x:c>
      <x:c r="O393" t="n">
        <x:f>IF(AND(ISNUMBER('Results'!C7),ISNUMBER('Results'!B7),ISNUMBER('Results'!$B$8),ISNUMBER('Inputs'!$B$6),ISNUMBER('Inputs'!$B$7),ISNUMBER('Inputs'!$B$8),ISNUMBER('Inputs'!$B$9),ISNUMBER('Inputs'!$B$10),ISNUMBER('Inputs'!$B$21),ISNUMBER('Inputs'!$B$24),ISNUMBER('Inputs'!$B$28)),((('Results'!C7*(1+'Inputs'!$B$24)*(0.5*((((393-43)*MAX('Inputs'!$B$33,'Inputs'!$B$29+'Inputs'!$B$31+'Inputs'!$B$32,'Inputs'!$B$30+'Inputs'!$B$31+'Inputs'!$B$32)/1000+'Inputs'!$B$21)+'Inputs'!$B$9)/SQRT((((393-43)*MAX('Inputs'!$B$33,'Inputs'!$B$29+'Inputs'!$B$31+'Inputs'!$B$32,'Inputs'!$B$30+'Inputs'!$B$31+'Inputs'!$B$32)/1000+'Inputs'!$B$21)+'Inputs'!$B$9)^2+('Inputs'!$B$8/2)^2)-(((393-43)*MAX('Inputs'!$B$33,'Inputs'!$B$29+'Inputs'!$B$31+'Inputs'!$B$32,'Inputs'!$B$30+'Inputs'!$B$31+'Inputs'!$B$32)/1000+'Inputs'!$B$21))/SQRT((((393-43)*MAX('Inputs'!$B$33,'Inputs'!$B$29+'Inputs'!$B$31+'Inputs'!$B$32,'Inputs'!$B$30+'Inputs'!$B$31+'Inputs'!$B$32)/1000+'Inputs'!$B$21))^2+('Inputs'!$B$8/2)^2)))-'Results'!B7*(1-'Inputs'!$B$24)*(0.5*((((393-43)*MAX('Inputs'!$B$33,'Inputs'!$B$29+'Inputs'!$B$31+'Inputs'!$B$32,'Inputs'!$B$30+'Inputs'!$B$31+'Inputs'!$B$32)/1000+'Inputs'!$B$21+'Inputs'!$B$9+'Inputs'!$B$10)+'Inputs'!$B$7)/SQRT((((393-43)*MAX('Inputs'!$B$33,'Inputs'!$B$29+'Inputs'!$B$31+'Inputs'!$B$32,'Inputs'!$B$30+'Inputs'!$B$31+'Inputs'!$B$32)/1000+'Inputs'!$B$21+'Inputs'!$B$9+'Inputs'!$B$10)+'Inputs'!$B$7)^2+('Inputs'!$B$6/2)^2)-(((393-43)*MAX('Inputs'!$B$33,'Inputs'!$B$29+'Inputs'!$B$31+'Inputs'!$B$32,'Inputs'!$B$30+'Inputs'!$B$31+'Inputs'!$B$32)/1000+'Inputs'!$B$21+'Inputs'!$B$9+'Inputs'!$B$10))/SQRT((((393-43)*MAX('Inputs'!$B$33,'Inputs'!$B$29+'Inputs'!$B$31+'Inputs'!$B$32,'Inputs'!$B$30+'Inputs'!$B$31+'Inputs'!$B$32)/1000+'Inputs'!$B$21+'Inputs'!$B$9+'Inputs'!$B$10))^2+('Inputs'!$B$6/2)^2))))*'Results'!$B$8)+'Inputs'!$B$28*ABS((('Results'!C7*(1+'Inputs'!$B$24)*(0.5*((((393-43)*MAX('Inputs'!$B$33,'Inputs'!$B$29+'Inputs'!$B$31+'Inputs'!$B$32,'Inputs'!$B$30+'Inputs'!$B$31+'Inputs'!$B$32)/1000+'Inputs'!$B$21)+'Inputs'!$B$9)/SQRT((((393-43)*MAX('Inputs'!$B$33,'Inputs'!$B$29+'Inputs'!$B$31+'Inputs'!$B$32,'Inputs'!$B$30+'Inputs'!$B$31+'Inputs'!$B$32)/1000+'Inputs'!$B$21)+'Inputs'!$B$9)^2+('Inputs'!$B$8/2)^2)-(((393-43)*MAX('Inputs'!$B$33,'Inputs'!$B$29+'Inputs'!$B$31+'Inputs'!$B$32,'Inputs'!$B$30+'Inputs'!$B$31+'Inputs'!$B$32)/1000+'Inputs'!$B$21))/SQRT((((393-43)*MAX('Inputs'!$B$33,'Inputs'!$B$29+'Inputs'!$B$31+'Inputs'!$B$32,'Inputs'!$B$30+'Inputs'!$B$31+'Inputs'!$B$32)/1000+'Inputs'!$B$21))^2+('Inputs'!$B$8/2)^2)))-'Results'!B7*(1-'Inputs'!$B$24)*(0.5*((((393-43)*MAX('Inputs'!$B$33,'Inputs'!$B$29+'Inputs'!$B$31+'Inputs'!$B$32,'Inputs'!$B$30+'Inputs'!$B$31+'Inputs'!$B$32)/1000+'Inputs'!$B$21+'Inputs'!$B$9+'Inputs'!$B$10)+'Inputs'!$B$7)/SQRT((((393-43)*MAX('Inputs'!$B$33,'Inputs'!$B$29+'Inputs'!$B$31+'Inputs'!$B$32,'Inputs'!$B$30+'Inputs'!$B$31+'Inputs'!$B$32)/1000+'Inputs'!$B$21+'Inputs'!$B$9+'Inputs'!$B$10)+'Inputs'!$B$7)^2+('Inputs'!$B$6/2)^2)-(((393-43)*MAX('Inputs'!$B$33,'Inputs'!$B$29+'Inputs'!$B$31+'Inputs'!$B$32,'Inputs'!$B$30+'Inputs'!$B$31+'Inputs'!$B$32)/1000+'Inputs'!$B$21+'Inputs'!$B$9+'Inputs'!$B$10))/SQRT((((393-43)*MAX('Inputs'!$B$33,'Inputs'!$B$29+'Inputs'!$B$31+'Inputs'!$B$32,'Inputs'!$B$30+'Inputs'!$B$31+'Inputs'!$B$32)/1000+'Inputs'!$B$21+'Inputs'!$B$9+'Inputs'!$B$10))^2+('Inputs'!$B$6/2)^2))))*'Results'!$B$8))),"")</x:f>
        <x:v>14.33473714810937</x:v>
      </x:c>
      <x:c r="P393" t="n">
        <x:f>IF(AND(MAX(J393,J392)&gt;0,J393&gt;J392+0.00000001),1,0)</x:f>
        <x:v>0</x:v>
      </x:c>
      <x:c r="Q393" t="n">
        <x:f>IF(AND(MAX(K393,K392)&gt;0,K393&gt;K392+0.00000001),1,0)</x:f>
        <x:v>0</x:v>
      </x:c>
      <x:c r="R393" t="n">
        <x:f>IF(AND(MAX(L393,L392)&gt;0,L393&gt;L392+0.00000001),1,0)</x:f>
        <x:v>0</x:v>
      </x:c>
      <x:c r="S393" t="n">
        <x:f>IF(AND(MAX(M393,M392)&gt;0,M393&gt;M392+0.00000001),1,0)</x:f>
        <x:v>0</x:v>
      </x:c>
      <x:c r="T393" t="n">
        <x:f>IF(AND(MAX(N393,N392)&gt;0,N393&gt;N392+0.00000001),1,0)</x:f>
        <x:v>0</x:v>
      </x:c>
      <x:c r="U393" t="n">
        <x:f>IF(AND(MAX(O393,O392)&gt;0,O393&gt;O392+0.00000001),1,0)</x:f>
        <x:v>0</x:v>
      </x:c>
    </x:row>
    <x:row r="394">
      <x:c r="J394" t="n">
        <x:f>IF(AND(ISNUMBER('Results'!B7),ISNUMBER('Results'!C7),ISNUMBER('Results'!$B$8),ISNUMBER('Inputs'!$B$6),ISNUMBER('Inputs'!$B$7),ISNUMBER('Inputs'!$B$8),ISNUMBER('Inputs'!$B$9),ISNUMBER('Inputs'!$B$10),ISNUMBER('Inputs'!$B$21),ISNUMBER('Inputs'!$B$24),ISNUMBER('Inputs'!$B$28)),(('Results'!B7*(0.5*((((394-43)*MAX('Inputs'!$B$33,'Inputs'!$B$29+'Inputs'!$B$31+'Inputs'!$B$32,'Inputs'!$B$30+'Inputs'!$B$31+'Inputs'!$B$32)/1000+'Inputs'!$B$21)+'Inputs'!$B$7)/SQRT((((394-43)*MAX('Inputs'!$B$33,'Inputs'!$B$29+'Inputs'!$B$31+'Inputs'!$B$32,'Inputs'!$B$30+'Inputs'!$B$31+'Inputs'!$B$32)/1000+'Inputs'!$B$21)+'Inputs'!$B$7)^2+('Inputs'!$B$6/2)^2)-(((394-43)*MAX('Inputs'!$B$33,'Inputs'!$B$29+'Inputs'!$B$31+'Inputs'!$B$32,'Inputs'!$B$30+'Inputs'!$B$31+'Inputs'!$B$32)/1000+'Inputs'!$B$21))/SQRT((((394-43)*MAX('Inputs'!$B$33,'Inputs'!$B$29+'Inputs'!$B$31+'Inputs'!$B$32,'Inputs'!$B$30+'Inputs'!$B$31+'Inputs'!$B$32)/1000+'Inputs'!$B$21))^2+('Inputs'!$B$6/2)^2)))-'Results'!C7*(0.5*((((394-43)*MAX('Inputs'!$B$33,'Inputs'!$B$29+'Inputs'!$B$31+'Inputs'!$B$32,'Inputs'!$B$30+'Inputs'!$B$31+'Inputs'!$B$32)/1000+'Inputs'!$B$21+'Inputs'!$B$7+'Inputs'!$B$10)+'Inputs'!$B$9)/SQRT((((394-43)*MAX('Inputs'!$B$33,'Inputs'!$B$29+'Inputs'!$B$31+'Inputs'!$B$32,'Inputs'!$B$30+'Inputs'!$B$31+'Inputs'!$B$32)/1000+'Inputs'!$B$21+'Inputs'!$B$7+'Inputs'!$B$10)+'Inputs'!$B$9)^2+('Inputs'!$B$8/2)^2)-(((394-43)*MAX('Inputs'!$B$33,'Inputs'!$B$29+'Inputs'!$B$31+'Inputs'!$B$32,'Inputs'!$B$30+'Inputs'!$B$31+'Inputs'!$B$32)/1000+'Inputs'!$B$21+'Inputs'!$B$7+'Inputs'!$B$10))/SQRT((((394-43)*MAX('Inputs'!$B$33,'Inputs'!$B$29+'Inputs'!$B$31+'Inputs'!$B$32,'Inputs'!$B$30+'Inputs'!$B$31+'Inputs'!$B$32)/1000+'Inputs'!$B$21+'Inputs'!$B$7+'Inputs'!$B$10))^2+('Inputs'!$B$8/2)^2))))*'Results'!$B$8),"")</x:f>
        <x:v>13.537239174789228</x:v>
      </x:c>
      <x:c r="K394" t="n">
        <x:f>IF(AND(ISNUMBER('Results'!B7),ISNUMBER('Results'!C7),ISNUMBER('Results'!$B$8),ISNUMBER('Inputs'!$B$6),ISNUMBER('Inputs'!$B$7),ISNUMBER('Inputs'!$B$8),ISNUMBER('Inputs'!$B$9),ISNUMBER('Inputs'!$B$10),ISNUMBER('Inputs'!$B$21),ISNUMBER('Inputs'!$B$24),ISNUMBER('Inputs'!$B$28)),((('Results'!B7*(1-'Inputs'!$B$24)*(0.5*((((394-43)*MAX('Inputs'!$B$33,'Inputs'!$B$29+'Inputs'!$B$31+'Inputs'!$B$32,'Inputs'!$B$30+'Inputs'!$B$31+'Inputs'!$B$32)/1000+'Inputs'!$B$21)+'Inputs'!$B$7)/SQRT((((394-43)*MAX('Inputs'!$B$33,'Inputs'!$B$29+'Inputs'!$B$31+'Inputs'!$B$32,'Inputs'!$B$30+'Inputs'!$B$31+'Inputs'!$B$32)/1000+'Inputs'!$B$21)+'Inputs'!$B$7)^2+('Inputs'!$B$6/2)^2)-(((394-43)*MAX('Inputs'!$B$33,'Inputs'!$B$29+'Inputs'!$B$31+'Inputs'!$B$32,'Inputs'!$B$30+'Inputs'!$B$31+'Inputs'!$B$32)/1000+'Inputs'!$B$21))/SQRT((((394-43)*MAX('Inputs'!$B$33,'Inputs'!$B$29+'Inputs'!$B$31+'Inputs'!$B$32,'Inputs'!$B$30+'Inputs'!$B$31+'Inputs'!$B$32)/1000+'Inputs'!$B$21))^2+('Inputs'!$B$6/2)^2)))-'Results'!C7*(1+'Inputs'!$B$24)*(0.5*((((394-43)*MAX('Inputs'!$B$33,'Inputs'!$B$29+'Inputs'!$B$31+'Inputs'!$B$32,'Inputs'!$B$30+'Inputs'!$B$31+'Inputs'!$B$32)/1000+'Inputs'!$B$21+'Inputs'!$B$7+'Inputs'!$B$10)+'Inputs'!$B$9)/SQRT((((394-43)*MAX('Inputs'!$B$33,'Inputs'!$B$29+'Inputs'!$B$31+'Inputs'!$B$32,'Inputs'!$B$30+'Inputs'!$B$31+'Inputs'!$B$32)/1000+'Inputs'!$B$21+'Inputs'!$B$7+'Inputs'!$B$10)+'Inputs'!$B$9)^2+('Inputs'!$B$8/2)^2)-(((394-43)*MAX('Inputs'!$B$33,'Inputs'!$B$29+'Inputs'!$B$31+'Inputs'!$B$32,'Inputs'!$B$30+'Inputs'!$B$31+'Inputs'!$B$32)/1000+'Inputs'!$B$21+'Inputs'!$B$7+'Inputs'!$B$10))/SQRT((((394-43)*MAX('Inputs'!$B$33,'Inputs'!$B$29+'Inputs'!$B$31+'Inputs'!$B$32,'Inputs'!$B$30+'Inputs'!$B$31+'Inputs'!$B$32)/1000+'Inputs'!$B$21+'Inputs'!$B$7+'Inputs'!$B$10))^2+('Inputs'!$B$8/2)^2))))*'Results'!$B$8)-'Inputs'!$B$28*ABS((('Results'!B7*(1-'Inputs'!$B$24)*(0.5*((((394-43)*MAX('Inputs'!$B$33,'Inputs'!$B$29+'Inputs'!$B$31+'Inputs'!$B$32,'Inputs'!$B$30+'Inputs'!$B$31+'Inputs'!$B$32)/1000+'Inputs'!$B$21)+'Inputs'!$B$7)/SQRT((((394-43)*MAX('Inputs'!$B$33,'Inputs'!$B$29+'Inputs'!$B$31+'Inputs'!$B$32,'Inputs'!$B$30+'Inputs'!$B$31+'Inputs'!$B$32)/1000+'Inputs'!$B$21)+'Inputs'!$B$7)^2+('Inputs'!$B$6/2)^2)-(((394-43)*MAX('Inputs'!$B$33,'Inputs'!$B$29+'Inputs'!$B$31+'Inputs'!$B$32,'Inputs'!$B$30+'Inputs'!$B$31+'Inputs'!$B$32)/1000+'Inputs'!$B$21))/SQRT((((394-43)*MAX('Inputs'!$B$33,'Inputs'!$B$29+'Inputs'!$B$31+'Inputs'!$B$32,'Inputs'!$B$30+'Inputs'!$B$31+'Inputs'!$B$32)/1000+'Inputs'!$B$21))^2+('Inputs'!$B$6/2)^2)))-'Results'!C7*(1+'Inputs'!$B$24)*(0.5*((((394-43)*MAX('Inputs'!$B$33,'Inputs'!$B$29+'Inputs'!$B$31+'Inputs'!$B$32,'Inputs'!$B$30+'Inputs'!$B$31+'Inputs'!$B$32)/1000+'Inputs'!$B$21+'Inputs'!$B$7+'Inputs'!$B$10)+'Inputs'!$B$9)/SQRT((((394-43)*MAX('Inputs'!$B$33,'Inputs'!$B$29+'Inputs'!$B$31+'Inputs'!$B$32,'Inputs'!$B$30+'Inputs'!$B$31+'Inputs'!$B$32)/1000+'Inputs'!$B$21+'Inputs'!$B$7+'Inputs'!$B$10)+'Inputs'!$B$9)^2+('Inputs'!$B$8/2)^2)-(((394-43)*MAX('Inputs'!$B$33,'Inputs'!$B$29+'Inputs'!$B$31+'Inputs'!$B$32,'Inputs'!$B$30+'Inputs'!$B$31+'Inputs'!$B$32)/1000+'Inputs'!$B$21+'Inputs'!$B$7+'Inputs'!$B$10))/SQRT((((394-43)*MAX('Inputs'!$B$33,'Inputs'!$B$29+'Inputs'!$B$31+'Inputs'!$B$32,'Inputs'!$B$30+'Inputs'!$B$31+'Inputs'!$B$32)/1000+'Inputs'!$B$21+'Inputs'!$B$7+'Inputs'!$B$10))^2+('Inputs'!$B$8/2)^2))))*'Results'!$B$8))),"")</x:f>
        <x:v>12.185697440947058</x:v>
      </x:c>
      <x:c r="L394" t="n">
        <x:f>IF(AND(ISNUMBER('Results'!B7),ISNUMBER('Results'!C7),ISNUMBER('Results'!$B$8),ISNUMBER('Inputs'!$B$6),ISNUMBER('Inputs'!$B$7),ISNUMBER('Inputs'!$B$8),ISNUMBER('Inputs'!$B$9),ISNUMBER('Inputs'!$B$10),ISNUMBER('Inputs'!$B$21),ISNUMBER('Inputs'!$B$24),ISNUMBER('Inputs'!$B$28)),((('Results'!B7*(1+'Inputs'!$B$24)*(0.5*((((394-43)*MAX('Inputs'!$B$33,'Inputs'!$B$29+'Inputs'!$B$31+'Inputs'!$B$32,'Inputs'!$B$30+'Inputs'!$B$31+'Inputs'!$B$32)/1000+'Inputs'!$B$21)+'Inputs'!$B$7)/SQRT((((394-43)*MAX('Inputs'!$B$33,'Inputs'!$B$29+'Inputs'!$B$31+'Inputs'!$B$32,'Inputs'!$B$30+'Inputs'!$B$31+'Inputs'!$B$32)/1000+'Inputs'!$B$21)+'Inputs'!$B$7)^2+('Inputs'!$B$6/2)^2)-(((394-43)*MAX('Inputs'!$B$33,'Inputs'!$B$29+'Inputs'!$B$31+'Inputs'!$B$32,'Inputs'!$B$30+'Inputs'!$B$31+'Inputs'!$B$32)/1000+'Inputs'!$B$21))/SQRT((((394-43)*MAX('Inputs'!$B$33,'Inputs'!$B$29+'Inputs'!$B$31+'Inputs'!$B$32,'Inputs'!$B$30+'Inputs'!$B$31+'Inputs'!$B$32)/1000+'Inputs'!$B$21))^2+('Inputs'!$B$6/2)^2)))-'Results'!C7*(1-'Inputs'!$B$24)*(0.5*((((394-43)*MAX('Inputs'!$B$33,'Inputs'!$B$29+'Inputs'!$B$31+'Inputs'!$B$32,'Inputs'!$B$30+'Inputs'!$B$31+'Inputs'!$B$32)/1000+'Inputs'!$B$21+'Inputs'!$B$7+'Inputs'!$B$10)+'Inputs'!$B$9)/SQRT((((394-43)*MAX('Inputs'!$B$33,'Inputs'!$B$29+'Inputs'!$B$31+'Inputs'!$B$32,'Inputs'!$B$30+'Inputs'!$B$31+'Inputs'!$B$32)/1000+'Inputs'!$B$21+'Inputs'!$B$7+'Inputs'!$B$10)+'Inputs'!$B$9)^2+('Inputs'!$B$8/2)^2)-(((394-43)*MAX('Inputs'!$B$33,'Inputs'!$B$29+'Inputs'!$B$31+'Inputs'!$B$32,'Inputs'!$B$30+'Inputs'!$B$31+'Inputs'!$B$32)/1000+'Inputs'!$B$21+'Inputs'!$B$7+'Inputs'!$B$10))/SQRT((((394-43)*MAX('Inputs'!$B$33,'Inputs'!$B$29+'Inputs'!$B$31+'Inputs'!$B$32,'Inputs'!$B$30+'Inputs'!$B$31+'Inputs'!$B$32)/1000+'Inputs'!$B$21+'Inputs'!$B$7+'Inputs'!$B$10))^2+('Inputs'!$B$8/2)^2))))*'Results'!$B$8)+'Inputs'!$B$28*ABS((('Results'!B7*(1+'Inputs'!$B$24)*(0.5*((((394-43)*MAX('Inputs'!$B$33,'Inputs'!$B$29+'Inputs'!$B$31+'Inputs'!$B$32,'Inputs'!$B$30+'Inputs'!$B$31+'Inputs'!$B$32)/1000+'Inputs'!$B$21)+'Inputs'!$B$7)/SQRT((((394-43)*MAX('Inputs'!$B$33,'Inputs'!$B$29+'Inputs'!$B$31+'Inputs'!$B$32,'Inputs'!$B$30+'Inputs'!$B$31+'Inputs'!$B$32)/1000+'Inputs'!$B$21)+'Inputs'!$B$7)^2+('Inputs'!$B$6/2)^2)-(((394-43)*MAX('Inputs'!$B$33,'Inputs'!$B$29+'Inputs'!$B$31+'Inputs'!$B$32,'Inputs'!$B$30+'Inputs'!$B$31+'Inputs'!$B$32)/1000+'Inputs'!$B$21))/SQRT((((394-43)*MAX('Inputs'!$B$33,'Inputs'!$B$29+'Inputs'!$B$31+'Inputs'!$B$32,'Inputs'!$B$30+'Inputs'!$B$31+'Inputs'!$B$32)/1000+'Inputs'!$B$21))^2+('Inputs'!$B$6/2)^2)))-'Results'!C7*(1-'Inputs'!$B$24)*(0.5*((((394-43)*MAX('Inputs'!$B$33,'Inputs'!$B$29+'Inputs'!$B$31+'Inputs'!$B$32,'Inputs'!$B$30+'Inputs'!$B$31+'Inputs'!$B$32)/1000+'Inputs'!$B$21+'Inputs'!$B$7+'Inputs'!$B$10)+'Inputs'!$B$9)/SQRT((((394-43)*MAX('Inputs'!$B$33,'Inputs'!$B$29+'Inputs'!$B$31+'Inputs'!$B$32,'Inputs'!$B$30+'Inputs'!$B$31+'Inputs'!$B$32)/1000+'Inputs'!$B$21+'Inputs'!$B$7+'Inputs'!$B$10)+'Inputs'!$B$9)^2+('Inputs'!$B$8/2)^2)-(((394-43)*MAX('Inputs'!$B$33,'Inputs'!$B$29+'Inputs'!$B$31+'Inputs'!$B$32,'Inputs'!$B$30+'Inputs'!$B$31+'Inputs'!$B$32)/1000+'Inputs'!$B$21+'Inputs'!$B$7+'Inputs'!$B$10))/SQRT((((394-43)*MAX('Inputs'!$B$33,'Inputs'!$B$29+'Inputs'!$B$31+'Inputs'!$B$32,'Inputs'!$B$30+'Inputs'!$B$31+'Inputs'!$B$32)/1000+'Inputs'!$B$21+'Inputs'!$B$7+'Inputs'!$B$10))^2+('Inputs'!$B$8/2)^2))))*'Results'!$B$8))),"")</x:f>
        <x:v>14.95979983232642</x:v>
      </x:c>
      <x:c r="M394" t="n">
        <x:f>IF(AND(ISNUMBER('Results'!C7),ISNUMBER('Results'!B7),ISNUMBER('Results'!$B$8),ISNUMBER('Inputs'!$B$6),ISNUMBER('Inputs'!$B$7),ISNUMBER('Inputs'!$B$8),ISNUMBER('Inputs'!$B$9),ISNUMBER('Inputs'!$B$10),ISNUMBER('Inputs'!$B$21),ISNUMBER('Inputs'!$B$24),ISNUMBER('Inputs'!$B$28)),(('Results'!C7*(0.5*((((394-43)*MAX('Inputs'!$B$33,'Inputs'!$B$29+'Inputs'!$B$31+'Inputs'!$B$32,'Inputs'!$B$30+'Inputs'!$B$31+'Inputs'!$B$32)/1000+'Inputs'!$B$21)+'Inputs'!$B$9)/SQRT((((394-43)*MAX('Inputs'!$B$33,'Inputs'!$B$29+'Inputs'!$B$31+'Inputs'!$B$32,'Inputs'!$B$30+'Inputs'!$B$31+'Inputs'!$B$32)/1000+'Inputs'!$B$21)+'Inputs'!$B$9)^2+('Inputs'!$B$8/2)^2)-(((394-43)*MAX('Inputs'!$B$33,'Inputs'!$B$29+'Inputs'!$B$31+'Inputs'!$B$32,'Inputs'!$B$30+'Inputs'!$B$31+'Inputs'!$B$32)/1000+'Inputs'!$B$21))/SQRT((((394-43)*MAX('Inputs'!$B$33,'Inputs'!$B$29+'Inputs'!$B$31+'Inputs'!$B$32,'Inputs'!$B$30+'Inputs'!$B$31+'Inputs'!$B$32)/1000+'Inputs'!$B$21))^2+('Inputs'!$B$8/2)^2)))-'Results'!B7*(0.5*((((394-43)*MAX('Inputs'!$B$33,'Inputs'!$B$29+'Inputs'!$B$31+'Inputs'!$B$32,'Inputs'!$B$30+'Inputs'!$B$31+'Inputs'!$B$32)/1000+'Inputs'!$B$21+'Inputs'!$B$9+'Inputs'!$B$10)+'Inputs'!$B$7)/SQRT((((394-43)*MAX('Inputs'!$B$33,'Inputs'!$B$29+'Inputs'!$B$31+'Inputs'!$B$32,'Inputs'!$B$30+'Inputs'!$B$31+'Inputs'!$B$32)/1000+'Inputs'!$B$21+'Inputs'!$B$9+'Inputs'!$B$10)+'Inputs'!$B$7)^2+('Inputs'!$B$6/2)^2)-(((394-43)*MAX('Inputs'!$B$33,'Inputs'!$B$29+'Inputs'!$B$31+'Inputs'!$B$32,'Inputs'!$B$30+'Inputs'!$B$31+'Inputs'!$B$32)/1000+'Inputs'!$B$21+'Inputs'!$B$9+'Inputs'!$B$10))/SQRT((((394-43)*MAX('Inputs'!$B$33,'Inputs'!$B$29+'Inputs'!$B$31+'Inputs'!$B$32,'Inputs'!$B$30+'Inputs'!$B$31+'Inputs'!$B$32)/1000+'Inputs'!$B$21+'Inputs'!$B$9+'Inputs'!$B$10))^2+('Inputs'!$B$6/2)^2))))*'Results'!$B$8),"")</x:f>
        <x:v>12.822565810762944</x:v>
      </x:c>
      <x:c r="N394" t="n">
        <x:f>IF(AND(ISNUMBER('Results'!C7),ISNUMBER('Results'!B7),ISNUMBER('Results'!$B$8),ISNUMBER('Inputs'!$B$6),ISNUMBER('Inputs'!$B$7),ISNUMBER('Inputs'!$B$8),ISNUMBER('Inputs'!$B$9),ISNUMBER('Inputs'!$B$10),ISNUMBER('Inputs'!$B$21),ISNUMBER('Inputs'!$B$24),ISNUMBER('Inputs'!$B$28)),((('Results'!C7*(1-'Inputs'!$B$24)*(0.5*((((394-43)*MAX('Inputs'!$B$33,'Inputs'!$B$29+'Inputs'!$B$31+'Inputs'!$B$32,'Inputs'!$B$30+'Inputs'!$B$31+'Inputs'!$B$32)/1000+'Inputs'!$B$21)+'Inputs'!$B$9)/SQRT((((394-43)*MAX('Inputs'!$B$33,'Inputs'!$B$29+'Inputs'!$B$31+'Inputs'!$B$32,'Inputs'!$B$30+'Inputs'!$B$31+'Inputs'!$B$32)/1000+'Inputs'!$B$21)+'Inputs'!$B$9)^2+('Inputs'!$B$8/2)^2)-(((394-43)*MAX('Inputs'!$B$33,'Inputs'!$B$29+'Inputs'!$B$31+'Inputs'!$B$32,'Inputs'!$B$30+'Inputs'!$B$31+'Inputs'!$B$32)/1000+'Inputs'!$B$21))/SQRT((((394-43)*MAX('Inputs'!$B$33,'Inputs'!$B$29+'Inputs'!$B$31+'Inputs'!$B$32,'Inputs'!$B$30+'Inputs'!$B$31+'Inputs'!$B$32)/1000+'Inputs'!$B$21))^2+('Inputs'!$B$8/2)^2)))-'Results'!B7*(1+'Inputs'!$B$24)*(0.5*((((394-43)*MAX('Inputs'!$B$33,'Inputs'!$B$29+'Inputs'!$B$31+'Inputs'!$B$32,'Inputs'!$B$30+'Inputs'!$B$31+'Inputs'!$B$32)/1000+'Inputs'!$B$21+'Inputs'!$B$9+'Inputs'!$B$10)+'Inputs'!$B$7)/SQRT((((394-43)*MAX('Inputs'!$B$33,'Inputs'!$B$29+'Inputs'!$B$31+'Inputs'!$B$32,'Inputs'!$B$30+'Inputs'!$B$31+'Inputs'!$B$32)/1000+'Inputs'!$B$21+'Inputs'!$B$9+'Inputs'!$B$10)+'Inputs'!$B$7)^2+('Inputs'!$B$6/2)^2)-(((394-43)*MAX('Inputs'!$B$33,'Inputs'!$B$29+'Inputs'!$B$31+'Inputs'!$B$32,'Inputs'!$B$30+'Inputs'!$B$31+'Inputs'!$B$32)/1000+'Inputs'!$B$21+'Inputs'!$B$9+'Inputs'!$B$10))/SQRT((((394-43)*MAX('Inputs'!$B$33,'Inputs'!$B$29+'Inputs'!$B$31+'Inputs'!$B$32,'Inputs'!$B$30+'Inputs'!$B$31+'Inputs'!$B$32)/1000+'Inputs'!$B$21+'Inputs'!$B$9+'Inputs'!$B$10))^2+('Inputs'!$B$6/2)^2))))*'Results'!$B$8)-'Inputs'!$B$28*ABS((('Results'!C7*(1-'Inputs'!$B$24)*(0.5*((((394-43)*MAX('Inputs'!$B$33,'Inputs'!$B$29+'Inputs'!$B$31+'Inputs'!$B$32,'Inputs'!$B$30+'Inputs'!$B$31+'Inputs'!$B$32)/1000+'Inputs'!$B$21)+'Inputs'!$B$9)/SQRT((((394-43)*MAX('Inputs'!$B$33,'Inputs'!$B$29+'Inputs'!$B$31+'Inputs'!$B$32,'Inputs'!$B$30+'Inputs'!$B$31+'Inputs'!$B$32)/1000+'Inputs'!$B$21)+'Inputs'!$B$9)^2+('Inputs'!$B$8/2)^2)-(((394-43)*MAX('Inputs'!$B$33,'Inputs'!$B$29+'Inputs'!$B$31+'Inputs'!$B$32,'Inputs'!$B$30+'Inputs'!$B$31+'Inputs'!$B$32)/1000+'Inputs'!$B$21))/SQRT((((394-43)*MAX('Inputs'!$B$33,'Inputs'!$B$29+'Inputs'!$B$31+'Inputs'!$B$32,'Inputs'!$B$30+'Inputs'!$B$31+'Inputs'!$B$32)/1000+'Inputs'!$B$21))^2+('Inputs'!$B$8/2)^2)))-'Results'!B7*(1+'Inputs'!$B$24)*(0.5*((((394-43)*MAX('Inputs'!$B$33,'Inputs'!$B$29+'Inputs'!$B$31+'Inputs'!$B$32,'Inputs'!$B$30+'Inputs'!$B$31+'Inputs'!$B$32)/1000+'Inputs'!$B$21+'Inputs'!$B$9+'Inputs'!$B$10)+'Inputs'!$B$7)/SQRT((((394-43)*MAX('Inputs'!$B$33,'Inputs'!$B$29+'Inputs'!$B$31+'Inputs'!$B$32,'Inputs'!$B$30+'Inputs'!$B$31+'Inputs'!$B$32)/1000+'Inputs'!$B$21+'Inputs'!$B$9+'Inputs'!$B$10)+'Inputs'!$B$7)^2+('Inputs'!$B$6/2)^2)-(((394-43)*MAX('Inputs'!$B$33,'Inputs'!$B$29+'Inputs'!$B$31+'Inputs'!$B$32,'Inputs'!$B$30+'Inputs'!$B$31+'Inputs'!$B$32)/1000+'Inputs'!$B$21+'Inputs'!$B$9+'Inputs'!$B$10))/SQRT((((394-43)*MAX('Inputs'!$B$33,'Inputs'!$B$29+'Inputs'!$B$31+'Inputs'!$B$32,'Inputs'!$B$30+'Inputs'!$B$31+'Inputs'!$B$32)/1000+'Inputs'!$B$21+'Inputs'!$B$9+'Inputs'!$B$10))^2+('Inputs'!$B$6/2)^2))))*'Results'!$B$8))),"")</x:f>
        <x:v>11.51181669759406</x:v>
      </x:c>
      <x:c r="O394" t="n">
        <x:f>IF(AND(ISNUMBER('Results'!C7),ISNUMBER('Results'!B7),ISNUMBER('Results'!$B$8),ISNUMBER('Inputs'!$B$6),ISNUMBER('Inputs'!$B$7),ISNUMBER('Inputs'!$B$8),ISNUMBER('Inputs'!$B$9),ISNUMBER('Inputs'!$B$10),ISNUMBER('Inputs'!$B$21),ISNUMBER('Inputs'!$B$24),ISNUMBER('Inputs'!$B$28)),((('Results'!C7*(1+'Inputs'!$B$24)*(0.5*((((394-43)*MAX('Inputs'!$B$33,'Inputs'!$B$29+'Inputs'!$B$31+'Inputs'!$B$32,'Inputs'!$B$30+'Inputs'!$B$31+'Inputs'!$B$32)/1000+'Inputs'!$B$21)+'Inputs'!$B$9)/SQRT((((394-43)*MAX('Inputs'!$B$33,'Inputs'!$B$29+'Inputs'!$B$31+'Inputs'!$B$32,'Inputs'!$B$30+'Inputs'!$B$31+'Inputs'!$B$32)/1000+'Inputs'!$B$21)+'Inputs'!$B$9)^2+('Inputs'!$B$8/2)^2)-(((394-43)*MAX('Inputs'!$B$33,'Inputs'!$B$29+'Inputs'!$B$31+'Inputs'!$B$32,'Inputs'!$B$30+'Inputs'!$B$31+'Inputs'!$B$32)/1000+'Inputs'!$B$21))/SQRT((((394-43)*MAX('Inputs'!$B$33,'Inputs'!$B$29+'Inputs'!$B$31+'Inputs'!$B$32,'Inputs'!$B$30+'Inputs'!$B$31+'Inputs'!$B$32)/1000+'Inputs'!$B$21))^2+('Inputs'!$B$8/2)^2)))-'Results'!B7*(1-'Inputs'!$B$24)*(0.5*((((394-43)*MAX('Inputs'!$B$33,'Inputs'!$B$29+'Inputs'!$B$31+'Inputs'!$B$32,'Inputs'!$B$30+'Inputs'!$B$31+'Inputs'!$B$32)/1000+'Inputs'!$B$21+'Inputs'!$B$9+'Inputs'!$B$10)+'Inputs'!$B$7)/SQRT((((394-43)*MAX('Inputs'!$B$33,'Inputs'!$B$29+'Inputs'!$B$31+'Inputs'!$B$32,'Inputs'!$B$30+'Inputs'!$B$31+'Inputs'!$B$32)/1000+'Inputs'!$B$21+'Inputs'!$B$9+'Inputs'!$B$10)+'Inputs'!$B$7)^2+('Inputs'!$B$6/2)^2)-(((394-43)*MAX('Inputs'!$B$33,'Inputs'!$B$29+'Inputs'!$B$31+'Inputs'!$B$32,'Inputs'!$B$30+'Inputs'!$B$31+'Inputs'!$B$32)/1000+'Inputs'!$B$21+'Inputs'!$B$9+'Inputs'!$B$10))/SQRT((((394-43)*MAX('Inputs'!$B$33,'Inputs'!$B$29+'Inputs'!$B$31+'Inputs'!$B$32,'Inputs'!$B$30+'Inputs'!$B$31+'Inputs'!$B$32)/1000+'Inputs'!$B$21+'Inputs'!$B$9+'Inputs'!$B$10))^2+('Inputs'!$B$6/2)^2))))*'Results'!$B$8)+'Inputs'!$B$28*ABS((('Results'!C7*(1+'Inputs'!$B$24)*(0.5*((((394-43)*MAX('Inputs'!$B$33,'Inputs'!$B$29+'Inputs'!$B$31+'Inputs'!$B$32,'Inputs'!$B$30+'Inputs'!$B$31+'Inputs'!$B$32)/1000+'Inputs'!$B$21)+'Inputs'!$B$9)/SQRT((((394-43)*MAX('Inputs'!$B$33,'Inputs'!$B$29+'Inputs'!$B$31+'Inputs'!$B$32,'Inputs'!$B$30+'Inputs'!$B$31+'Inputs'!$B$32)/1000+'Inputs'!$B$21)+'Inputs'!$B$9)^2+('Inputs'!$B$8/2)^2)-(((394-43)*MAX('Inputs'!$B$33,'Inputs'!$B$29+'Inputs'!$B$31+'Inputs'!$B$32,'Inputs'!$B$30+'Inputs'!$B$31+'Inputs'!$B$32)/1000+'Inputs'!$B$21))/SQRT((((394-43)*MAX('Inputs'!$B$33,'Inputs'!$B$29+'Inputs'!$B$31+'Inputs'!$B$32,'Inputs'!$B$30+'Inputs'!$B$31+'Inputs'!$B$32)/1000+'Inputs'!$B$21))^2+('Inputs'!$B$8/2)^2)))-'Results'!B7*(1-'Inputs'!$B$24)*(0.5*((((394-43)*MAX('Inputs'!$B$33,'Inputs'!$B$29+'Inputs'!$B$31+'Inputs'!$B$32,'Inputs'!$B$30+'Inputs'!$B$31+'Inputs'!$B$32)/1000+'Inputs'!$B$21+'Inputs'!$B$9+'Inputs'!$B$10)+'Inputs'!$B$7)/SQRT((((394-43)*MAX('Inputs'!$B$33,'Inputs'!$B$29+'Inputs'!$B$31+'Inputs'!$B$32,'Inputs'!$B$30+'Inputs'!$B$31+'Inputs'!$B$32)/1000+'Inputs'!$B$21+'Inputs'!$B$9+'Inputs'!$B$10)+'Inputs'!$B$7)^2+('Inputs'!$B$6/2)^2)-(((394-43)*MAX('Inputs'!$B$33,'Inputs'!$B$29+'Inputs'!$B$31+'Inputs'!$B$32,'Inputs'!$B$30+'Inputs'!$B$31+'Inputs'!$B$32)/1000+'Inputs'!$B$21+'Inputs'!$B$9+'Inputs'!$B$10))/SQRT((((394-43)*MAX('Inputs'!$B$33,'Inputs'!$B$29+'Inputs'!$B$31+'Inputs'!$B$32,'Inputs'!$B$30+'Inputs'!$B$31+'Inputs'!$B$32)/1000+'Inputs'!$B$21+'Inputs'!$B$9+'Inputs'!$B$10))^2+('Inputs'!$B$6/2)^2))))*'Results'!$B$8))),"")</x:f>
        <x:v>14.203801326314007</x:v>
      </x:c>
      <x:c r="P394" t="n">
        <x:f>IF(AND(MAX(J394,J393)&gt;0,J394&gt;J393+0.00000001),1,0)</x:f>
        <x:v>0</x:v>
      </x:c>
      <x:c r="Q394" t="n">
        <x:f>IF(AND(MAX(K394,K393)&gt;0,K394&gt;K393+0.00000001),1,0)</x:f>
        <x:v>0</x:v>
      </x:c>
      <x:c r="R394" t="n">
        <x:f>IF(AND(MAX(L394,L393)&gt;0,L394&gt;L393+0.00000001),1,0)</x:f>
        <x:v>0</x:v>
      </x:c>
      <x:c r="S394" t="n">
        <x:f>IF(AND(MAX(M394,M393)&gt;0,M394&gt;M393+0.00000001),1,0)</x:f>
        <x:v>0</x:v>
      </x:c>
      <x:c r="T394" t="n">
        <x:f>IF(AND(MAX(N394,N393)&gt;0,N394&gt;N393+0.00000001),1,0)</x:f>
        <x:v>0</x:v>
      </x:c>
      <x:c r="U394" t="n">
        <x:f>IF(AND(MAX(O394,O393)&gt;0,O394&gt;O393+0.00000001),1,0)</x:f>
        <x:v>0</x:v>
      </x:c>
    </x:row>
    <x:row r="395">
      <x:c r="J395" t="n">
        <x:f>IF(AND(ISNUMBER('Results'!B7),ISNUMBER('Results'!C7),ISNUMBER('Results'!$B$8),ISNUMBER('Inputs'!$B$6),ISNUMBER('Inputs'!$B$7),ISNUMBER('Inputs'!$B$8),ISNUMBER('Inputs'!$B$9),ISNUMBER('Inputs'!$B$10),ISNUMBER('Inputs'!$B$21),ISNUMBER('Inputs'!$B$24),ISNUMBER('Inputs'!$B$28)),(('Results'!B7*(0.5*((((395-43)*MAX('Inputs'!$B$33,'Inputs'!$B$29+'Inputs'!$B$31+'Inputs'!$B$32,'Inputs'!$B$30+'Inputs'!$B$31+'Inputs'!$B$32)/1000+'Inputs'!$B$21)+'Inputs'!$B$7)/SQRT((((395-43)*MAX('Inputs'!$B$33,'Inputs'!$B$29+'Inputs'!$B$31+'Inputs'!$B$32,'Inputs'!$B$30+'Inputs'!$B$31+'Inputs'!$B$32)/1000+'Inputs'!$B$21)+'Inputs'!$B$7)^2+('Inputs'!$B$6/2)^2)-(((395-43)*MAX('Inputs'!$B$33,'Inputs'!$B$29+'Inputs'!$B$31+'Inputs'!$B$32,'Inputs'!$B$30+'Inputs'!$B$31+'Inputs'!$B$32)/1000+'Inputs'!$B$21))/SQRT((((395-43)*MAX('Inputs'!$B$33,'Inputs'!$B$29+'Inputs'!$B$31+'Inputs'!$B$32,'Inputs'!$B$30+'Inputs'!$B$31+'Inputs'!$B$32)/1000+'Inputs'!$B$21))^2+('Inputs'!$B$6/2)^2)))-'Results'!C7*(0.5*((((395-43)*MAX('Inputs'!$B$33,'Inputs'!$B$29+'Inputs'!$B$31+'Inputs'!$B$32,'Inputs'!$B$30+'Inputs'!$B$31+'Inputs'!$B$32)/1000+'Inputs'!$B$21+'Inputs'!$B$7+'Inputs'!$B$10)+'Inputs'!$B$9)/SQRT((((395-43)*MAX('Inputs'!$B$33,'Inputs'!$B$29+'Inputs'!$B$31+'Inputs'!$B$32,'Inputs'!$B$30+'Inputs'!$B$31+'Inputs'!$B$32)/1000+'Inputs'!$B$21+'Inputs'!$B$7+'Inputs'!$B$10)+'Inputs'!$B$9)^2+('Inputs'!$B$8/2)^2)-(((395-43)*MAX('Inputs'!$B$33,'Inputs'!$B$29+'Inputs'!$B$31+'Inputs'!$B$32,'Inputs'!$B$30+'Inputs'!$B$31+'Inputs'!$B$32)/1000+'Inputs'!$B$21+'Inputs'!$B$7+'Inputs'!$B$10))/SQRT((((395-43)*MAX('Inputs'!$B$33,'Inputs'!$B$29+'Inputs'!$B$31+'Inputs'!$B$32,'Inputs'!$B$30+'Inputs'!$B$31+'Inputs'!$B$32)/1000+'Inputs'!$B$21+'Inputs'!$B$7+'Inputs'!$B$10))^2+('Inputs'!$B$8/2)^2))))*'Results'!$B$8),"")</x:f>
        <x:v>13.41388051595191</x:v>
      </x:c>
      <x:c r="K395" t="n">
        <x:f>IF(AND(ISNUMBER('Results'!B7),ISNUMBER('Results'!C7),ISNUMBER('Results'!$B$8),ISNUMBER('Inputs'!$B$6),ISNUMBER('Inputs'!$B$7),ISNUMBER('Inputs'!$B$8),ISNUMBER('Inputs'!$B$9),ISNUMBER('Inputs'!$B$10),ISNUMBER('Inputs'!$B$21),ISNUMBER('Inputs'!$B$24),ISNUMBER('Inputs'!$B$28)),((('Results'!B7*(1-'Inputs'!$B$24)*(0.5*((((395-43)*MAX('Inputs'!$B$33,'Inputs'!$B$29+'Inputs'!$B$31+'Inputs'!$B$32,'Inputs'!$B$30+'Inputs'!$B$31+'Inputs'!$B$32)/1000+'Inputs'!$B$21)+'Inputs'!$B$7)/SQRT((((395-43)*MAX('Inputs'!$B$33,'Inputs'!$B$29+'Inputs'!$B$31+'Inputs'!$B$32,'Inputs'!$B$30+'Inputs'!$B$31+'Inputs'!$B$32)/1000+'Inputs'!$B$21)+'Inputs'!$B$7)^2+('Inputs'!$B$6/2)^2)-(((395-43)*MAX('Inputs'!$B$33,'Inputs'!$B$29+'Inputs'!$B$31+'Inputs'!$B$32,'Inputs'!$B$30+'Inputs'!$B$31+'Inputs'!$B$32)/1000+'Inputs'!$B$21))/SQRT((((395-43)*MAX('Inputs'!$B$33,'Inputs'!$B$29+'Inputs'!$B$31+'Inputs'!$B$32,'Inputs'!$B$30+'Inputs'!$B$31+'Inputs'!$B$32)/1000+'Inputs'!$B$21))^2+('Inputs'!$B$6/2)^2)))-'Results'!C7*(1+'Inputs'!$B$24)*(0.5*((((395-43)*MAX('Inputs'!$B$33,'Inputs'!$B$29+'Inputs'!$B$31+'Inputs'!$B$32,'Inputs'!$B$30+'Inputs'!$B$31+'Inputs'!$B$32)/1000+'Inputs'!$B$21+'Inputs'!$B$7+'Inputs'!$B$10)+'Inputs'!$B$9)/SQRT((((395-43)*MAX('Inputs'!$B$33,'Inputs'!$B$29+'Inputs'!$B$31+'Inputs'!$B$32,'Inputs'!$B$30+'Inputs'!$B$31+'Inputs'!$B$32)/1000+'Inputs'!$B$21+'Inputs'!$B$7+'Inputs'!$B$10)+'Inputs'!$B$9)^2+('Inputs'!$B$8/2)^2)-(((395-43)*MAX('Inputs'!$B$33,'Inputs'!$B$29+'Inputs'!$B$31+'Inputs'!$B$32,'Inputs'!$B$30+'Inputs'!$B$31+'Inputs'!$B$32)/1000+'Inputs'!$B$21+'Inputs'!$B$7+'Inputs'!$B$10))/SQRT((((395-43)*MAX('Inputs'!$B$33,'Inputs'!$B$29+'Inputs'!$B$31+'Inputs'!$B$32,'Inputs'!$B$30+'Inputs'!$B$31+'Inputs'!$B$32)/1000+'Inputs'!$B$21+'Inputs'!$B$7+'Inputs'!$B$10))^2+('Inputs'!$B$8/2)^2))))*'Results'!$B$8)-'Inputs'!$B$28*ABS((('Results'!B7*(1-'Inputs'!$B$24)*(0.5*((((395-43)*MAX('Inputs'!$B$33,'Inputs'!$B$29+'Inputs'!$B$31+'Inputs'!$B$32,'Inputs'!$B$30+'Inputs'!$B$31+'Inputs'!$B$32)/1000+'Inputs'!$B$21)+'Inputs'!$B$7)/SQRT((((395-43)*MAX('Inputs'!$B$33,'Inputs'!$B$29+'Inputs'!$B$31+'Inputs'!$B$32,'Inputs'!$B$30+'Inputs'!$B$31+'Inputs'!$B$32)/1000+'Inputs'!$B$21)+'Inputs'!$B$7)^2+('Inputs'!$B$6/2)^2)-(((395-43)*MAX('Inputs'!$B$33,'Inputs'!$B$29+'Inputs'!$B$31+'Inputs'!$B$32,'Inputs'!$B$30+'Inputs'!$B$31+'Inputs'!$B$32)/1000+'Inputs'!$B$21))/SQRT((((395-43)*MAX('Inputs'!$B$33,'Inputs'!$B$29+'Inputs'!$B$31+'Inputs'!$B$32,'Inputs'!$B$30+'Inputs'!$B$31+'Inputs'!$B$32)/1000+'Inputs'!$B$21))^2+('Inputs'!$B$6/2)^2)))-'Results'!C7*(1+'Inputs'!$B$24)*(0.5*((((395-43)*MAX('Inputs'!$B$33,'Inputs'!$B$29+'Inputs'!$B$31+'Inputs'!$B$32,'Inputs'!$B$30+'Inputs'!$B$31+'Inputs'!$B$32)/1000+'Inputs'!$B$21+'Inputs'!$B$7+'Inputs'!$B$10)+'Inputs'!$B$9)/SQRT((((395-43)*MAX('Inputs'!$B$33,'Inputs'!$B$29+'Inputs'!$B$31+'Inputs'!$B$32,'Inputs'!$B$30+'Inputs'!$B$31+'Inputs'!$B$32)/1000+'Inputs'!$B$21+'Inputs'!$B$7+'Inputs'!$B$10)+'Inputs'!$B$9)^2+('Inputs'!$B$8/2)^2)-(((395-43)*MAX('Inputs'!$B$33,'Inputs'!$B$29+'Inputs'!$B$31+'Inputs'!$B$32,'Inputs'!$B$30+'Inputs'!$B$31+'Inputs'!$B$32)/1000+'Inputs'!$B$21+'Inputs'!$B$7+'Inputs'!$B$10))/SQRT((((395-43)*MAX('Inputs'!$B$33,'Inputs'!$B$29+'Inputs'!$B$31+'Inputs'!$B$32,'Inputs'!$B$30+'Inputs'!$B$31+'Inputs'!$B$32)/1000+'Inputs'!$B$21+'Inputs'!$B$7+'Inputs'!$B$10))^2+('Inputs'!$B$8/2)^2))))*'Results'!$B$8))),"")</x:f>
        <x:v>12.073357940060362</x:v>
      </x:c>
      <x:c r="L395" t="n">
        <x:f>IF(AND(ISNUMBER('Results'!B7),ISNUMBER('Results'!C7),ISNUMBER('Results'!$B$8),ISNUMBER('Inputs'!$B$6),ISNUMBER('Inputs'!$B$7),ISNUMBER('Inputs'!$B$8),ISNUMBER('Inputs'!$B$9),ISNUMBER('Inputs'!$B$10),ISNUMBER('Inputs'!$B$21),ISNUMBER('Inputs'!$B$24),ISNUMBER('Inputs'!$B$28)),((('Results'!B7*(1+'Inputs'!$B$24)*(0.5*((((395-43)*MAX('Inputs'!$B$33,'Inputs'!$B$29+'Inputs'!$B$31+'Inputs'!$B$32,'Inputs'!$B$30+'Inputs'!$B$31+'Inputs'!$B$32)/1000+'Inputs'!$B$21)+'Inputs'!$B$7)/SQRT((((395-43)*MAX('Inputs'!$B$33,'Inputs'!$B$29+'Inputs'!$B$31+'Inputs'!$B$32,'Inputs'!$B$30+'Inputs'!$B$31+'Inputs'!$B$32)/1000+'Inputs'!$B$21)+'Inputs'!$B$7)^2+('Inputs'!$B$6/2)^2)-(((395-43)*MAX('Inputs'!$B$33,'Inputs'!$B$29+'Inputs'!$B$31+'Inputs'!$B$32,'Inputs'!$B$30+'Inputs'!$B$31+'Inputs'!$B$32)/1000+'Inputs'!$B$21))/SQRT((((395-43)*MAX('Inputs'!$B$33,'Inputs'!$B$29+'Inputs'!$B$31+'Inputs'!$B$32,'Inputs'!$B$30+'Inputs'!$B$31+'Inputs'!$B$32)/1000+'Inputs'!$B$21))^2+('Inputs'!$B$6/2)^2)))-'Results'!C7*(1-'Inputs'!$B$24)*(0.5*((((395-43)*MAX('Inputs'!$B$33,'Inputs'!$B$29+'Inputs'!$B$31+'Inputs'!$B$32,'Inputs'!$B$30+'Inputs'!$B$31+'Inputs'!$B$32)/1000+'Inputs'!$B$21+'Inputs'!$B$7+'Inputs'!$B$10)+'Inputs'!$B$9)/SQRT((((395-43)*MAX('Inputs'!$B$33,'Inputs'!$B$29+'Inputs'!$B$31+'Inputs'!$B$32,'Inputs'!$B$30+'Inputs'!$B$31+'Inputs'!$B$32)/1000+'Inputs'!$B$21+'Inputs'!$B$7+'Inputs'!$B$10)+'Inputs'!$B$9)^2+('Inputs'!$B$8/2)^2)-(((395-43)*MAX('Inputs'!$B$33,'Inputs'!$B$29+'Inputs'!$B$31+'Inputs'!$B$32,'Inputs'!$B$30+'Inputs'!$B$31+'Inputs'!$B$32)/1000+'Inputs'!$B$21+'Inputs'!$B$7+'Inputs'!$B$10))/SQRT((((395-43)*MAX('Inputs'!$B$33,'Inputs'!$B$29+'Inputs'!$B$31+'Inputs'!$B$32,'Inputs'!$B$30+'Inputs'!$B$31+'Inputs'!$B$32)/1000+'Inputs'!$B$21+'Inputs'!$B$7+'Inputs'!$B$10))^2+('Inputs'!$B$8/2)^2))))*'Results'!$B$8)+'Inputs'!$B$28*ABS((('Results'!B7*(1+'Inputs'!$B$24)*(0.5*((((395-43)*MAX('Inputs'!$B$33,'Inputs'!$B$29+'Inputs'!$B$31+'Inputs'!$B$32,'Inputs'!$B$30+'Inputs'!$B$31+'Inputs'!$B$32)/1000+'Inputs'!$B$21)+'Inputs'!$B$7)/SQRT((((395-43)*MAX('Inputs'!$B$33,'Inputs'!$B$29+'Inputs'!$B$31+'Inputs'!$B$32,'Inputs'!$B$30+'Inputs'!$B$31+'Inputs'!$B$32)/1000+'Inputs'!$B$21)+'Inputs'!$B$7)^2+('Inputs'!$B$6/2)^2)-(((395-43)*MAX('Inputs'!$B$33,'Inputs'!$B$29+'Inputs'!$B$31+'Inputs'!$B$32,'Inputs'!$B$30+'Inputs'!$B$31+'Inputs'!$B$32)/1000+'Inputs'!$B$21))/SQRT((((395-43)*MAX('Inputs'!$B$33,'Inputs'!$B$29+'Inputs'!$B$31+'Inputs'!$B$32,'Inputs'!$B$30+'Inputs'!$B$31+'Inputs'!$B$32)/1000+'Inputs'!$B$21))^2+('Inputs'!$B$6/2)^2)))-'Results'!C7*(1-'Inputs'!$B$24)*(0.5*((((395-43)*MAX('Inputs'!$B$33,'Inputs'!$B$29+'Inputs'!$B$31+'Inputs'!$B$32,'Inputs'!$B$30+'Inputs'!$B$31+'Inputs'!$B$32)/1000+'Inputs'!$B$21+'Inputs'!$B$7+'Inputs'!$B$10)+'Inputs'!$B$9)/SQRT((((395-43)*MAX('Inputs'!$B$33,'Inputs'!$B$29+'Inputs'!$B$31+'Inputs'!$B$32,'Inputs'!$B$30+'Inputs'!$B$31+'Inputs'!$B$32)/1000+'Inputs'!$B$21+'Inputs'!$B$7+'Inputs'!$B$10)+'Inputs'!$B$9)^2+('Inputs'!$B$8/2)^2)-(((395-43)*MAX('Inputs'!$B$33,'Inputs'!$B$29+'Inputs'!$B$31+'Inputs'!$B$32,'Inputs'!$B$30+'Inputs'!$B$31+'Inputs'!$B$32)/1000+'Inputs'!$B$21+'Inputs'!$B$7+'Inputs'!$B$10))/SQRT((((395-43)*MAX('Inputs'!$B$33,'Inputs'!$B$29+'Inputs'!$B$31+'Inputs'!$B$32,'Inputs'!$B$30+'Inputs'!$B$31+'Inputs'!$B$32)/1000+'Inputs'!$B$21+'Inputs'!$B$7+'Inputs'!$B$10))^2+('Inputs'!$B$8/2)^2))))*'Results'!$B$8))),"")</x:f>
        <x:v>14.824911360274399</x:v>
      </x:c>
      <x:c r="M395" t="n">
        <x:f>IF(AND(ISNUMBER('Results'!C7),ISNUMBER('Results'!B7),ISNUMBER('Results'!$B$8),ISNUMBER('Inputs'!$B$6),ISNUMBER('Inputs'!$B$7),ISNUMBER('Inputs'!$B$8),ISNUMBER('Inputs'!$B$9),ISNUMBER('Inputs'!$B$10),ISNUMBER('Inputs'!$B$21),ISNUMBER('Inputs'!$B$24),ISNUMBER('Inputs'!$B$28)),(('Results'!C7*(0.5*((((395-43)*MAX('Inputs'!$B$33,'Inputs'!$B$29+'Inputs'!$B$31+'Inputs'!$B$32,'Inputs'!$B$30+'Inputs'!$B$31+'Inputs'!$B$32)/1000+'Inputs'!$B$21)+'Inputs'!$B$9)/SQRT((((395-43)*MAX('Inputs'!$B$33,'Inputs'!$B$29+'Inputs'!$B$31+'Inputs'!$B$32,'Inputs'!$B$30+'Inputs'!$B$31+'Inputs'!$B$32)/1000+'Inputs'!$B$21)+'Inputs'!$B$9)^2+('Inputs'!$B$8/2)^2)-(((395-43)*MAX('Inputs'!$B$33,'Inputs'!$B$29+'Inputs'!$B$31+'Inputs'!$B$32,'Inputs'!$B$30+'Inputs'!$B$31+'Inputs'!$B$32)/1000+'Inputs'!$B$21))/SQRT((((395-43)*MAX('Inputs'!$B$33,'Inputs'!$B$29+'Inputs'!$B$31+'Inputs'!$B$32,'Inputs'!$B$30+'Inputs'!$B$31+'Inputs'!$B$32)/1000+'Inputs'!$B$21))^2+('Inputs'!$B$8/2)^2)))-'Results'!B7*(0.5*((((395-43)*MAX('Inputs'!$B$33,'Inputs'!$B$29+'Inputs'!$B$31+'Inputs'!$B$32,'Inputs'!$B$30+'Inputs'!$B$31+'Inputs'!$B$32)/1000+'Inputs'!$B$21+'Inputs'!$B$9+'Inputs'!$B$10)+'Inputs'!$B$7)/SQRT((((395-43)*MAX('Inputs'!$B$33,'Inputs'!$B$29+'Inputs'!$B$31+'Inputs'!$B$32,'Inputs'!$B$30+'Inputs'!$B$31+'Inputs'!$B$32)/1000+'Inputs'!$B$21+'Inputs'!$B$9+'Inputs'!$B$10)+'Inputs'!$B$7)^2+('Inputs'!$B$6/2)^2)-(((395-43)*MAX('Inputs'!$B$33,'Inputs'!$B$29+'Inputs'!$B$31+'Inputs'!$B$32,'Inputs'!$B$30+'Inputs'!$B$31+'Inputs'!$B$32)/1000+'Inputs'!$B$21+'Inputs'!$B$9+'Inputs'!$B$10))/SQRT((((395-43)*MAX('Inputs'!$B$33,'Inputs'!$B$29+'Inputs'!$B$31+'Inputs'!$B$32,'Inputs'!$B$30+'Inputs'!$B$31+'Inputs'!$B$32)/1000+'Inputs'!$B$21+'Inputs'!$B$9+'Inputs'!$B$10))^2+('Inputs'!$B$6/2)^2))))*'Results'!$B$8),"")</x:f>
        <x:v>12.704340637009933</x:v>
      </x:c>
      <x:c r="N395" t="n">
        <x:f>IF(AND(ISNUMBER('Results'!C7),ISNUMBER('Results'!B7),ISNUMBER('Results'!$B$8),ISNUMBER('Inputs'!$B$6),ISNUMBER('Inputs'!$B$7),ISNUMBER('Inputs'!$B$8),ISNUMBER('Inputs'!$B$9),ISNUMBER('Inputs'!$B$10),ISNUMBER('Inputs'!$B$21),ISNUMBER('Inputs'!$B$24),ISNUMBER('Inputs'!$B$28)),((('Results'!C7*(1-'Inputs'!$B$24)*(0.5*((((395-43)*MAX('Inputs'!$B$33,'Inputs'!$B$29+'Inputs'!$B$31+'Inputs'!$B$32,'Inputs'!$B$30+'Inputs'!$B$31+'Inputs'!$B$32)/1000+'Inputs'!$B$21)+'Inputs'!$B$9)/SQRT((((395-43)*MAX('Inputs'!$B$33,'Inputs'!$B$29+'Inputs'!$B$31+'Inputs'!$B$32,'Inputs'!$B$30+'Inputs'!$B$31+'Inputs'!$B$32)/1000+'Inputs'!$B$21)+'Inputs'!$B$9)^2+('Inputs'!$B$8/2)^2)-(((395-43)*MAX('Inputs'!$B$33,'Inputs'!$B$29+'Inputs'!$B$31+'Inputs'!$B$32,'Inputs'!$B$30+'Inputs'!$B$31+'Inputs'!$B$32)/1000+'Inputs'!$B$21))/SQRT((((395-43)*MAX('Inputs'!$B$33,'Inputs'!$B$29+'Inputs'!$B$31+'Inputs'!$B$32,'Inputs'!$B$30+'Inputs'!$B$31+'Inputs'!$B$32)/1000+'Inputs'!$B$21))^2+('Inputs'!$B$8/2)^2)))-'Results'!B7*(1+'Inputs'!$B$24)*(0.5*((((395-43)*MAX('Inputs'!$B$33,'Inputs'!$B$29+'Inputs'!$B$31+'Inputs'!$B$32,'Inputs'!$B$30+'Inputs'!$B$31+'Inputs'!$B$32)/1000+'Inputs'!$B$21+'Inputs'!$B$9+'Inputs'!$B$10)+'Inputs'!$B$7)/SQRT((((395-43)*MAX('Inputs'!$B$33,'Inputs'!$B$29+'Inputs'!$B$31+'Inputs'!$B$32,'Inputs'!$B$30+'Inputs'!$B$31+'Inputs'!$B$32)/1000+'Inputs'!$B$21+'Inputs'!$B$9+'Inputs'!$B$10)+'Inputs'!$B$7)^2+('Inputs'!$B$6/2)^2)-(((395-43)*MAX('Inputs'!$B$33,'Inputs'!$B$29+'Inputs'!$B$31+'Inputs'!$B$32,'Inputs'!$B$30+'Inputs'!$B$31+'Inputs'!$B$32)/1000+'Inputs'!$B$21+'Inputs'!$B$9+'Inputs'!$B$10))/SQRT((((395-43)*MAX('Inputs'!$B$33,'Inputs'!$B$29+'Inputs'!$B$31+'Inputs'!$B$32,'Inputs'!$B$30+'Inputs'!$B$31+'Inputs'!$B$32)/1000+'Inputs'!$B$21+'Inputs'!$B$9+'Inputs'!$B$10))^2+('Inputs'!$B$6/2)^2))))*'Results'!$B$8)-'Inputs'!$B$28*ABS((('Results'!C7*(1-'Inputs'!$B$24)*(0.5*((((395-43)*MAX('Inputs'!$B$33,'Inputs'!$B$29+'Inputs'!$B$31+'Inputs'!$B$32,'Inputs'!$B$30+'Inputs'!$B$31+'Inputs'!$B$32)/1000+'Inputs'!$B$21)+'Inputs'!$B$9)/SQRT((((395-43)*MAX('Inputs'!$B$33,'Inputs'!$B$29+'Inputs'!$B$31+'Inputs'!$B$32,'Inputs'!$B$30+'Inputs'!$B$31+'Inputs'!$B$32)/1000+'Inputs'!$B$21)+'Inputs'!$B$9)^2+('Inputs'!$B$8/2)^2)-(((395-43)*MAX('Inputs'!$B$33,'Inputs'!$B$29+'Inputs'!$B$31+'Inputs'!$B$32,'Inputs'!$B$30+'Inputs'!$B$31+'Inputs'!$B$32)/1000+'Inputs'!$B$21))/SQRT((((395-43)*MAX('Inputs'!$B$33,'Inputs'!$B$29+'Inputs'!$B$31+'Inputs'!$B$32,'Inputs'!$B$30+'Inputs'!$B$31+'Inputs'!$B$32)/1000+'Inputs'!$B$21))^2+('Inputs'!$B$8/2)^2)))-'Results'!B7*(1+'Inputs'!$B$24)*(0.5*((((395-43)*MAX('Inputs'!$B$33,'Inputs'!$B$29+'Inputs'!$B$31+'Inputs'!$B$32,'Inputs'!$B$30+'Inputs'!$B$31+'Inputs'!$B$32)/1000+'Inputs'!$B$21+'Inputs'!$B$9+'Inputs'!$B$10)+'Inputs'!$B$7)/SQRT((((395-43)*MAX('Inputs'!$B$33,'Inputs'!$B$29+'Inputs'!$B$31+'Inputs'!$B$32,'Inputs'!$B$30+'Inputs'!$B$31+'Inputs'!$B$32)/1000+'Inputs'!$B$21+'Inputs'!$B$9+'Inputs'!$B$10)+'Inputs'!$B$7)^2+('Inputs'!$B$6/2)^2)-(((395-43)*MAX('Inputs'!$B$33,'Inputs'!$B$29+'Inputs'!$B$31+'Inputs'!$B$32,'Inputs'!$B$30+'Inputs'!$B$31+'Inputs'!$B$32)/1000+'Inputs'!$B$21+'Inputs'!$B$9+'Inputs'!$B$10))/SQRT((((395-43)*MAX('Inputs'!$B$33,'Inputs'!$B$29+'Inputs'!$B$31+'Inputs'!$B$32,'Inputs'!$B$30+'Inputs'!$B$31+'Inputs'!$B$32)/1000+'Inputs'!$B$21+'Inputs'!$B$9+'Inputs'!$B$10))^2+('Inputs'!$B$6/2)^2))))*'Results'!$B$8))),"")</x:f>
        <x:v>11.404307642963529</x:v>
      </x:c>
      <x:c r="O395" t="n">
        <x:f>IF(AND(ISNUMBER('Results'!C7),ISNUMBER('Results'!B7),ISNUMBER('Results'!$B$8),ISNUMBER('Inputs'!$B$6),ISNUMBER('Inputs'!$B$7),ISNUMBER('Inputs'!$B$8),ISNUMBER('Inputs'!$B$9),ISNUMBER('Inputs'!$B$10),ISNUMBER('Inputs'!$B$21),ISNUMBER('Inputs'!$B$24),ISNUMBER('Inputs'!$B$28)),((('Results'!C7*(1+'Inputs'!$B$24)*(0.5*((((395-43)*MAX('Inputs'!$B$33,'Inputs'!$B$29+'Inputs'!$B$31+'Inputs'!$B$32,'Inputs'!$B$30+'Inputs'!$B$31+'Inputs'!$B$32)/1000+'Inputs'!$B$21)+'Inputs'!$B$9)/SQRT((((395-43)*MAX('Inputs'!$B$33,'Inputs'!$B$29+'Inputs'!$B$31+'Inputs'!$B$32,'Inputs'!$B$30+'Inputs'!$B$31+'Inputs'!$B$32)/1000+'Inputs'!$B$21)+'Inputs'!$B$9)^2+('Inputs'!$B$8/2)^2)-(((395-43)*MAX('Inputs'!$B$33,'Inputs'!$B$29+'Inputs'!$B$31+'Inputs'!$B$32,'Inputs'!$B$30+'Inputs'!$B$31+'Inputs'!$B$32)/1000+'Inputs'!$B$21))/SQRT((((395-43)*MAX('Inputs'!$B$33,'Inputs'!$B$29+'Inputs'!$B$31+'Inputs'!$B$32,'Inputs'!$B$30+'Inputs'!$B$31+'Inputs'!$B$32)/1000+'Inputs'!$B$21))^2+('Inputs'!$B$8/2)^2)))-'Results'!B7*(1-'Inputs'!$B$24)*(0.5*((((395-43)*MAX('Inputs'!$B$33,'Inputs'!$B$29+'Inputs'!$B$31+'Inputs'!$B$32,'Inputs'!$B$30+'Inputs'!$B$31+'Inputs'!$B$32)/1000+'Inputs'!$B$21+'Inputs'!$B$9+'Inputs'!$B$10)+'Inputs'!$B$7)/SQRT((((395-43)*MAX('Inputs'!$B$33,'Inputs'!$B$29+'Inputs'!$B$31+'Inputs'!$B$32,'Inputs'!$B$30+'Inputs'!$B$31+'Inputs'!$B$32)/1000+'Inputs'!$B$21+'Inputs'!$B$9+'Inputs'!$B$10)+'Inputs'!$B$7)^2+('Inputs'!$B$6/2)^2)-(((395-43)*MAX('Inputs'!$B$33,'Inputs'!$B$29+'Inputs'!$B$31+'Inputs'!$B$32,'Inputs'!$B$30+'Inputs'!$B$31+'Inputs'!$B$32)/1000+'Inputs'!$B$21+'Inputs'!$B$9+'Inputs'!$B$10))/SQRT((((395-43)*MAX('Inputs'!$B$33,'Inputs'!$B$29+'Inputs'!$B$31+'Inputs'!$B$32,'Inputs'!$B$30+'Inputs'!$B$31+'Inputs'!$B$32)/1000+'Inputs'!$B$21+'Inputs'!$B$9+'Inputs'!$B$10))^2+('Inputs'!$B$6/2)^2))))*'Results'!$B$8)+'Inputs'!$B$28*ABS((('Results'!C7*(1+'Inputs'!$B$24)*(0.5*((((395-43)*MAX('Inputs'!$B$33,'Inputs'!$B$29+'Inputs'!$B$31+'Inputs'!$B$32,'Inputs'!$B$30+'Inputs'!$B$31+'Inputs'!$B$32)/1000+'Inputs'!$B$21)+'Inputs'!$B$9)/SQRT((((395-43)*MAX('Inputs'!$B$33,'Inputs'!$B$29+'Inputs'!$B$31+'Inputs'!$B$32,'Inputs'!$B$30+'Inputs'!$B$31+'Inputs'!$B$32)/1000+'Inputs'!$B$21)+'Inputs'!$B$9)^2+('Inputs'!$B$8/2)^2)-(((395-43)*MAX('Inputs'!$B$33,'Inputs'!$B$29+'Inputs'!$B$31+'Inputs'!$B$32,'Inputs'!$B$30+'Inputs'!$B$31+'Inputs'!$B$32)/1000+'Inputs'!$B$21))/SQRT((((395-43)*MAX('Inputs'!$B$33,'Inputs'!$B$29+'Inputs'!$B$31+'Inputs'!$B$32,'Inputs'!$B$30+'Inputs'!$B$31+'Inputs'!$B$32)/1000+'Inputs'!$B$21))^2+('Inputs'!$B$8/2)^2)))-'Results'!B7*(1-'Inputs'!$B$24)*(0.5*((((395-43)*MAX('Inputs'!$B$33,'Inputs'!$B$29+'Inputs'!$B$31+'Inputs'!$B$32,'Inputs'!$B$30+'Inputs'!$B$31+'Inputs'!$B$32)/1000+'Inputs'!$B$21+'Inputs'!$B$9+'Inputs'!$B$10)+'Inputs'!$B$7)/SQRT((((395-43)*MAX('Inputs'!$B$33,'Inputs'!$B$29+'Inputs'!$B$31+'Inputs'!$B$32,'Inputs'!$B$30+'Inputs'!$B$31+'Inputs'!$B$32)/1000+'Inputs'!$B$21+'Inputs'!$B$9+'Inputs'!$B$10)+'Inputs'!$B$7)^2+('Inputs'!$B$6/2)^2)-(((395-43)*MAX('Inputs'!$B$33,'Inputs'!$B$29+'Inputs'!$B$31+'Inputs'!$B$32,'Inputs'!$B$30+'Inputs'!$B$31+'Inputs'!$B$32)/1000+'Inputs'!$B$21+'Inputs'!$B$9+'Inputs'!$B$10))/SQRT((((395-43)*MAX('Inputs'!$B$33,'Inputs'!$B$29+'Inputs'!$B$31+'Inputs'!$B$32,'Inputs'!$B$30+'Inputs'!$B$31+'Inputs'!$B$32)/1000+'Inputs'!$B$21+'Inputs'!$B$9+'Inputs'!$B$10))^2+('Inputs'!$B$6/2)^2))))*'Results'!$B$8))),"")</x:f>
        <x:v>14.07435425865591</x:v>
      </x:c>
      <x:c r="P395" t="n">
        <x:f>IF(AND(MAX(J395,J394)&gt;0,J395&gt;J394+0.00000001),1,0)</x:f>
        <x:v>0</x:v>
      </x:c>
      <x:c r="Q395" t="n">
        <x:f>IF(AND(MAX(K395,K394)&gt;0,K395&gt;K394+0.00000001),1,0)</x:f>
        <x:v>0</x:v>
      </x:c>
      <x:c r="R395" t="n">
        <x:f>IF(AND(MAX(L395,L394)&gt;0,L395&gt;L394+0.00000001),1,0)</x:f>
        <x:v>0</x:v>
      </x:c>
      <x:c r="S395" t="n">
        <x:f>IF(AND(MAX(M395,M394)&gt;0,M395&gt;M394+0.00000001),1,0)</x:f>
        <x:v>0</x:v>
      </x:c>
      <x:c r="T395" t="n">
        <x:f>IF(AND(MAX(N395,N394)&gt;0,N395&gt;N394+0.00000001),1,0)</x:f>
        <x:v>0</x:v>
      </x:c>
      <x:c r="U395" t="n">
        <x:f>IF(AND(MAX(O395,O394)&gt;0,O395&gt;O394+0.00000001),1,0)</x:f>
        <x:v>0</x:v>
      </x:c>
    </x:row>
    <x:row r="396">
      <x:c r="J396" t="n">
        <x:f>IF(AND(ISNUMBER('Results'!B7),ISNUMBER('Results'!C7),ISNUMBER('Results'!$B$8),ISNUMBER('Inputs'!$B$6),ISNUMBER('Inputs'!$B$7),ISNUMBER('Inputs'!$B$8),ISNUMBER('Inputs'!$B$9),ISNUMBER('Inputs'!$B$10),ISNUMBER('Inputs'!$B$21),ISNUMBER('Inputs'!$B$24),ISNUMBER('Inputs'!$B$28)),(('Results'!B7*(0.5*((((396-43)*MAX('Inputs'!$B$33,'Inputs'!$B$29+'Inputs'!$B$31+'Inputs'!$B$32,'Inputs'!$B$30+'Inputs'!$B$31+'Inputs'!$B$32)/1000+'Inputs'!$B$21)+'Inputs'!$B$7)/SQRT((((396-43)*MAX('Inputs'!$B$33,'Inputs'!$B$29+'Inputs'!$B$31+'Inputs'!$B$32,'Inputs'!$B$30+'Inputs'!$B$31+'Inputs'!$B$32)/1000+'Inputs'!$B$21)+'Inputs'!$B$7)^2+('Inputs'!$B$6/2)^2)-(((396-43)*MAX('Inputs'!$B$33,'Inputs'!$B$29+'Inputs'!$B$31+'Inputs'!$B$32,'Inputs'!$B$30+'Inputs'!$B$31+'Inputs'!$B$32)/1000+'Inputs'!$B$21))/SQRT((((396-43)*MAX('Inputs'!$B$33,'Inputs'!$B$29+'Inputs'!$B$31+'Inputs'!$B$32,'Inputs'!$B$30+'Inputs'!$B$31+'Inputs'!$B$32)/1000+'Inputs'!$B$21))^2+('Inputs'!$B$6/2)^2)))-'Results'!C7*(0.5*((((396-43)*MAX('Inputs'!$B$33,'Inputs'!$B$29+'Inputs'!$B$31+'Inputs'!$B$32,'Inputs'!$B$30+'Inputs'!$B$31+'Inputs'!$B$32)/1000+'Inputs'!$B$21+'Inputs'!$B$7+'Inputs'!$B$10)+'Inputs'!$B$9)/SQRT((((396-43)*MAX('Inputs'!$B$33,'Inputs'!$B$29+'Inputs'!$B$31+'Inputs'!$B$32,'Inputs'!$B$30+'Inputs'!$B$31+'Inputs'!$B$32)/1000+'Inputs'!$B$21+'Inputs'!$B$7+'Inputs'!$B$10)+'Inputs'!$B$9)^2+('Inputs'!$B$8/2)^2)-(((396-43)*MAX('Inputs'!$B$33,'Inputs'!$B$29+'Inputs'!$B$31+'Inputs'!$B$32,'Inputs'!$B$30+'Inputs'!$B$31+'Inputs'!$B$32)/1000+'Inputs'!$B$21+'Inputs'!$B$7+'Inputs'!$B$10))/SQRT((((396-43)*MAX('Inputs'!$B$33,'Inputs'!$B$29+'Inputs'!$B$31+'Inputs'!$B$32,'Inputs'!$B$30+'Inputs'!$B$31+'Inputs'!$B$32)/1000+'Inputs'!$B$21+'Inputs'!$B$7+'Inputs'!$B$10))^2+('Inputs'!$B$8/2)^2))))*'Results'!$B$8),"")</x:f>
        <x:v>13.291921261168765</x:v>
      </x:c>
      <x:c r="K396" t="n">
        <x:f>IF(AND(ISNUMBER('Results'!B7),ISNUMBER('Results'!C7),ISNUMBER('Results'!$B$8),ISNUMBER('Inputs'!$B$6),ISNUMBER('Inputs'!$B$7),ISNUMBER('Inputs'!$B$8),ISNUMBER('Inputs'!$B$9),ISNUMBER('Inputs'!$B$10),ISNUMBER('Inputs'!$B$21),ISNUMBER('Inputs'!$B$24),ISNUMBER('Inputs'!$B$28)),((('Results'!B7*(1-'Inputs'!$B$24)*(0.5*((((396-43)*MAX('Inputs'!$B$33,'Inputs'!$B$29+'Inputs'!$B$31+'Inputs'!$B$32,'Inputs'!$B$30+'Inputs'!$B$31+'Inputs'!$B$32)/1000+'Inputs'!$B$21)+'Inputs'!$B$7)/SQRT((((396-43)*MAX('Inputs'!$B$33,'Inputs'!$B$29+'Inputs'!$B$31+'Inputs'!$B$32,'Inputs'!$B$30+'Inputs'!$B$31+'Inputs'!$B$32)/1000+'Inputs'!$B$21)+'Inputs'!$B$7)^2+('Inputs'!$B$6/2)^2)-(((396-43)*MAX('Inputs'!$B$33,'Inputs'!$B$29+'Inputs'!$B$31+'Inputs'!$B$32,'Inputs'!$B$30+'Inputs'!$B$31+'Inputs'!$B$32)/1000+'Inputs'!$B$21))/SQRT((((396-43)*MAX('Inputs'!$B$33,'Inputs'!$B$29+'Inputs'!$B$31+'Inputs'!$B$32,'Inputs'!$B$30+'Inputs'!$B$31+'Inputs'!$B$32)/1000+'Inputs'!$B$21))^2+('Inputs'!$B$6/2)^2)))-'Results'!C7*(1+'Inputs'!$B$24)*(0.5*((((396-43)*MAX('Inputs'!$B$33,'Inputs'!$B$29+'Inputs'!$B$31+'Inputs'!$B$32,'Inputs'!$B$30+'Inputs'!$B$31+'Inputs'!$B$32)/1000+'Inputs'!$B$21+'Inputs'!$B$7+'Inputs'!$B$10)+'Inputs'!$B$9)/SQRT((((396-43)*MAX('Inputs'!$B$33,'Inputs'!$B$29+'Inputs'!$B$31+'Inputs'!$B$32,'Inputs'!$B$30+'Inputs'!$B$31+'Inputs'!$B$32)/1000+'Inputs'!$B$21+'Inputs'!$B$7+'Inputs'!$B$10)+'Inputs'!$B$9)^2+('Inputs'!$B$8/2)^2)-(((396-43)*MAX('Inputs'!$B$33,'Inputs'!$B$29+'Inputs'!$B$31+'Inputs'!$B$32,'Inputs'!$B$30+'Inputs'!$B$31+'Inputs'!$B$32)/1000+'Inputs'!$B$21+'Inputs'!$B$7+'Inputs'!$B$10))/SQRT((((396-43)*MAX('Inputs'!$B$33,'Inputs'!$B$29+'Inputs'!$B$31+'Inputs'!$B$32,'Inputs'!$B$30+'Inputs'!$B$31+'Inputs'!$B$32)/1000+'Inputs'!$B$21+'Inputs'!$B$7+'Inputs'!$B$10))^2+('Inputs'!$B$8/2)^2))))*'Results'!$B$8)-'Inputs'!$B$28*ABS((('Results'!B7*(1-'Inputs'!$B$24)*(0.5*((((396-43)*MAX('Inputs'!$B$33,'Inputs'!$B$29+'Inputs'!$B$31+'Inputs'!$B$32,'Inputs'!$B$30+'Inputs'!$B$31+'Inputs'!$B$32)/1000+'Inputs'!$B$21)+'Inputs'!$B$7)/SQRT((((396-43)*MAX('Inputs'!$B$33,'Inputs'!$B$29+'Inputs'!$B$31+'Inputs'!$B$32,'Inputs'!$B$30+'Inputs'!$B$31+'Inputs'!$B$32)/1000+'Inputs'!$B$21)+'Inputs'!$B$7)^2+('Inputs'!$B$6/2)^2)-(((396-43)*MAX('Inputs'!$B$33,'Inputs'!$B$29+'Inputs'!$B$31+'Inputs'!$B$32,'Inputs'!$B$30+'Inputs'!$B$31+'Inputs'!$B$32)/1000+'Inputs'!$B$21))/SQRT((((396-43)*MAX('Inputs'!$B$33,'Inputs'!$B$29+'Inputs'!$B$31+'Inputs'!$B$32,'Inputs'!$B$30+'Inputs'!$B$31+'Inputs'!$B$32)/1000+'Inputs'!$B$21))^2+('Inputs'!$B$6/2)^2)))-'Results'!C7*(1+'Inputs'!$B$24)*(0.5*((((396-43)*MAX('Inputs'!$B$33,'Inputs'!$B$29+'Inputs'!$B$31+'Inputs'!$B$32,'Inputs'!$B$30+'Inputs'!$B$31+'Inputs'!$B$32)/1000+'Inputs'!$B$21+'Inputs'!$B$7+'Inputs'!$B$10)+'Inputs'!$B$9)/SQRT((((396-43)*MAX('Inputs'!$B$33,'Inputs'!$B$29+'Inputs'!$B$31+'Inputs'!$B$32,'Inputs'!$B$30+'Inputs'!$B$31+'Inputs'!$B$32)/1000+'Inputs'!$B$21+'Inputs'!$B$7+'Inputs'!$B$10)+'Inputs'!$B$9)^2+('Inputs'!$B$8/2)^2)-(((396-43)*MAX('Inputs'!$B$33,'Inputs'!$B$29+'Inputs'!$B$31+'Inputs'!$B$32,'Inputs'!$B$30+'Inputs'!$B$31+'Inputs'!$B$32)/1000+'Inputs'!$B$21+'Inputs'!$B$7+'Inputs'!$B$10))/SQRT((((396-43)*MAX('Inputs'!$B$33,'Inputs'!$B$29+'Inputs'!$B$31+'Inputs'!$B$32,'Inputs'!$B$30+'Inputs'!$B$31+'Inputs'!$B$32)/1000+'Inputs'!$B$21+'Inputs'!$B$7+'Inputs'!$B$10))^2+('Inputs'!$B$8/2)^2))))*'Results'!$B$8))),"")</x:f>
        <x:v>11.962301367950746</x:v>
      </x:c>
      <x:c r="L396" t="n">
        <x:f>IF(AND(ISNUMBER('Results'!B7),ISNUMBER('Results'!C7),ISNUMBER('Results'!$B$8),ISNUMBER('Inputs'!$B$6),ISNUMBER('Inputs'!$B$7),ISNUMBER('Inputs'!$B$8),ISNUMBER('Inputs'!$B$9),ISNUMBER('Inputs'!$B$10),ISNUMBER('Inputs'!$B$21),ISNUMBER('Inputs'!$B$24),ISNUMBER('Inputs'!$B$28)),((('Results'!B7*(1+'Inputs'!$B$24)*(0.5*((((396-43)*MAX('Inputs'!$B$33,'Inputs'!$B$29+'Inputs'!$B$31+'Inputs'!$B$32,'Inputs'!$B$30+'Inputs'!$B$31+'Inputs'!$B$32)/1000+'Inputs'!$B$21)+'Inputs'!$B$7)/SQRT((((396-43)*MAX('Inputs'!$B$33,'Inputs'!$B$29+'Inputs'!$B$31+'Inputs'!$B$32,'Inputs'!$B$30+'Inputs'!$B$31+'Inputs'!$B$32)/1000+'Inputs'!$B$21)+'Inputs'!$B$7)^2+('Inputs'!$B$6/2)^2)-(((396-43)*MAX('Inputs'!$B$33,'Inputs'!$B$29+'Inputs'!$B$31+'Inputs'!$B$32,'Inputs'!$B$30+'Inputs'!$B$31+'Inputs'!$B$32)/1000+'Inputs'!$B$21))/SQRT((((396-43)*MAX('Inputs'!$B$33,'Inputs'!$B$29+'Inputs'!$B$31+'Inputs'!$B$32,'Inputs'!$B$30+'Inputs'!$B$31+'Inputs'!$B$32)/1000+'Inputs'!$B$21))^2+('Inputs'!$B$6/2)^2)))-'Results'!C7*(1-'Inputs'!$B$24)*(0.5*((((396-43)*MAX('Inputs'!$B$33,'Inputs'!$B$29+'Inputs'!$B$31+'Inputs'!$B$32,'Inputs'!$B$30+'Inputs'!$B$31+'Inputs'!$B$32)/1000+'Inputs'!$B$21+'Inputs'!$B$7+'Inputs'!$B$10)+'Inputs'!$B$9)/SQRT((((396-43)*MAX('Inputs'!$B$33,'Inputs'!$B$29+'Inputs'!$B$31+'Inputs'!$B$32,'Inputs'!$B$30+'Inputs'!$B$31+'Inputs'!$B$32)/1000+'Inputs'!$B$21+'Inputs'!$B$7+'Inputs'!$B$10)+'Inputs'!$B$9)^2+('Inputs'!$B$8/2)^2)-(((396-43)*MAX('Inputs'!$B$33,'Inputs'!$B$29+'Inputs'!$B$31+'Inputs'!$B$32,'Inputs'!$B$30+'Inputs'!$B$31+'Inputs'!$B$32)/1000+'Inputs'!$B$21+'Inputs'!$B$7+'Inputs'!$B$10))/SQRT((((396-43)*MAX('Inputs'!$B$33,'Inputs'!$B$29+'Inputs'!$B$31+'Inputs'!$B$32,'Inputs'!$B$30+'Inputs'!$B$31+'Inputs'!$B$32)/1000+'Inputs'!$B$21+'Inputs'!$B$7+'Inputs'!$B$10))^2+('Inputs'!$B$8/2)^2))))*'Results'!$B$8)+'Inputs'!$B$28*ABS((('Results'!B7*(1+'Inputs'!$B$24)*(0.5*((((396-43)*MAX('Inputs'!$B$33,'Inputs'!$B$29+'Inputs'!$B$31+'Inputs'!$B$32,'Inputs'!$B$30+'Inputs'!$B$31+'Inputs'!$B$32)/1000+'Inputs'!$B$21)+'Inputs'!$B$7)/SQRT((((396-43)*MAX('Inputs'!$B$33,'Inputs'!$B$29+'Inputs'!$B$31+'Inputs'!$B$32,'Inputs'!$B$30+'Inputs'!$B$31+'Inputs'!$B$32)/1000+'Inputs'!$B$21)+'Inputs'!$B$7)^2+('Inputs'!$B$6/2)^2)-(((396-43)*MAX('Inputs'!$B$33,'Inputs'!$B$29+'Inputs'!$B$31+'Inputs'!$B$32,'Inputs'!$B$30+'Inputs'!$B$31+'Inputs'!$B$32)/1000+'Inputs'!$B$21))/SQRT((((396-43)*MAX('Inputs'!$B$33,'Inputs'!$B$29+'Inputs'!$B$31+'Inputs'!$B$32,'Inputs'!$B$30+'Inputs'!$B$31+'Inputs'!$B$32)/1000+'Inputs'!$B$21))^2+('Inputs'!$B$6/2)^2)))-'Results'!C7*(1-'Inputs'!$B$24)*(0.5*((((396-43)*MAX('Inputs'!$B$33,'Inputs'!$B$29+'Inputs'!$B$31+'Inputs'!$B$32,'Inputs'!$B$30+'Inputs'!$B$31+'Inputs'!$B$32)/1000+'Inputs'!$B$21+'Inputs'!$B$7+'Inputs'!$B$10)+'Inputs'!$B$9)/SQRT((((396-43)*MAX('Inputs'!$B$33,'Inputs'!$B$29+'Inputs'!$B$31+'Inputs'!$B$32,'Inputs'!$B$30+'Inputs'!$B$31+'Inputs'!$B$32)/1000+'Inputs'!$B$21+'Inputs'!$B$7+'Inputs'!$B$10)+'Inputs'!$B$9)^2+('Inputs'!$B$8/2)^2)-(((396-43)*MAX('Inputs'!$B$33,'Inputs'!$B$29+'Inputs'!$B$31+'Inputs'!$B$32,'Inputs'!$B$30+'Inputs'!$B$31+'Inputs'!$B$32)/1000+'Inputs'!$B$21+'Inputs'!$B$7+'Inputs'!$B$10))/SQRT((((396-43)*MAX('Inputs'!$B$33,'Inputs'!$B$29+'Inputs'!$B$31+'Inputs'!$B$32,'Inputs'!$B$30+'Inputs'!$B$31+'Inputs'!$B$32)/1000+'Inputs'!$B$21+'Inputs'!$B$7+'Inputs'!$B$10))^2+('Inputs'!$B$8/2)^2))))*'Results'!$B$8))),"")</x:f>
        <x:v>14.691543662824635</x:v>
      </x:c>
      <x:c r="M396" t="n">
        <x:f>IF(AND(ISNUMBER('Results'!C7),ISNUMBER('Results'!B7),ISNUMBER('Results'!$B$8),ISNUMBER('Inputs'!$B$6),ISNUMBER('Inputs'!$B$7),ISNUMBER('Inputs'!$B$8),ISNUMBER('Inputs'!$B$9),ISNUMBER('Inputs'!$B$10),ISNUMBER('Inputs'!$B$21),ISNUMBER('Inputs'!$B$24),ISNUMBER('Inputs'!$B$28)),(('Results'!C7*(0.5*((((396-43)*MAX('Inputs'!$B$33,'Inputs'!$B$29+'Inputs'!$B$31+'Inputs'!$B$32,'Inputs'!$B$30+'Inputs'!$B$31+'Inputs'!$B$32)/1000+'Inputs'!$B$21)+'Inputs'!$B$9)/SQRT((((396-43)*MAX('Inputs'!$B$33,'Inputs'!$B$29+'Inputs'!$B$31+'Inputs'!$B$32,'Inputs'!$B$30+'Inputs'!$B$31+'Inputs'!$B$32)/1000+'Inputs'!$B$21)+'Inputs'!$B$9)^2+('Inputs'!$B$8/2)^2)-(((396-43)*MAX('Inputs'!$B$33,'Inputs'!$B$29+'Inputs'!$B$31+'Inputs'!$B$32,'Inputs'!$B$30+'Inputs'!$B$31+'Inputs'!$B$32)/1000+'Inputs'!$B$21))/SQRT((((396-43)*MAX('Inputs'!$B$33,'Inputs'!$B$29+'Inputs'!$B$31+'Inputs'!$B$32,'Inputs'!$B$30+'Inputs'!$B$31+'Inputs'!$B$32)/1000+'Inputs'!$B$21))^2+('Inputs'!$B$8/2)^2)))-'Results'!B7*(0.5*((((396-43)*MAX('Inputs'!$B$33,'Inputs'!$B$29+'Inputs'!$B$31+'Inputs'!$B$32,'Inputs'!$B$30+'Inputs'!$B$31+'Inputs'!$B$32)/1000+'Inputs'!$B$21+'Inputs'!$B$9+'Inputs'!$B$10)+'Inputs'!$B$7)/SQRT((((396-43)*MAX('Inputs'!$B$33,'Inputs'!$B$29+'Inputs'!$B$31+'Inputs'!$B$32,'Inputs'!$B$30+'Inputs'!$B$31+'Inputs'!$B$32)/1000+'Inputs'!$B$21+'Inputs'!$B$9+'Inputs'!$B$10)+'Inputs'!$B$7)^2+('Inputs'!$B$6/2)^2)-(((396-43)*MAX('Inputs'!$B$33,'Inputs'!$B$29+'Inputs'!$B$31+'Inputs'!$B$32,'Inputs'!$B$30+'Inputs'!$B$31+'Inputs'!$B$32)/1000+'Inputs'!$B$21+'Inputs'!$B$9+'Inputs'!$B$10))/SQRT((((396-43)*MAX('Inputs'!$B$33,'Inputs'!$B$29+'Inputs'!$B$31+'Inputs'!$B$32,'Inputs'!$B$30+'Inputs'!$B$31+'Inputs'!$B$32)/1000+'Inputs'!$B$21+'Inputs'!$B$9+'Inputs'!$B$10))^2+('Inputs'!$B$6/2)^2))))*'Results'!$B$8),"")</x:f>
        <x:v>12.587465700676434</x:v>
      </x:c>
      <x:c r="N396" t="n">
        <x:f>IF(AND(ISNUMBER('Results'!C7),ISNUMBER('Results'!B7),ISNUMBER('Results'!$B$8),ISNUMBER('Inputs'!$B$6),ISNUMBER('Inputs'!$B$7),ISNUMBER('Inputs'!$B$8),ISNUMBER('Inputs'!$B$9),ISNUMBER('Inputs'!$B$10),ISNUMBER('Inputs'!$B$21),ISNUMBER('Inputs'!$B$24),ISNUMBER('Inputs'!$B$28)),((('Results'!C7*(1-'Inputs'!$B$24)*(0.5*((((396-43)*MAX('Inputs'!$B$33,'Inputs'!$B$29+'Inputs'!$B$31+'Inputs'!$B$32,'Inputs'!$B$30+'Inputs'!$B$31+'Inputs'!$B$32)/1000+'Inputs'!$B$21)+'Inputs'!$B$9)/SQRT((((396-43)*MAX('Inputs'!$B$33,'Inputs'!$B$29+'Inputs'!$B$31+'Inputs'!$B$32,'Inputs'!$B$30+'Inputs'!$B$31+'Inputs'!$B$32)/1000+'Inputs'!$B$21)+'Inputs'!$B$9)^2+('Inputs'!$B$8/2)^2)-(((396-43)*MAX('Inputs'!$B$33,'Inputs'!$B$29+'Inputs'!$B$31+'Inputs'!$B$32,'Inputs'!$B$30+'Inputs'!$B$31+'Inputs'!$B$32)/1000+'Inputs'!$B$21))/SQRT((((396-43)*MAX('Inputs'!$B$33,'Inputs'!$B$29+'Inputs'!$B$31+'Inputs'!$B$32,'Inputs'!$B$30+'Inputs'!$B$31+'Inputs'!$B$32)/1000+'Inputs'!$B$21))^2+('Inputs'!$B$8/2)^2)))-'Results'!B7*(1+'Inputs'!$B$24)*(0.5*((((396-43)*MAX('Inputs'!$B$33,'Inputs'!$B$29+'Inputs'!$B$31+'Inputs'!$B$32,'Inputs'!$B$30+'Inputs'!$B$31+'Inputs'!$B$32)/1000+'Inputs'!$B$21+'Inputs'!$B$9+'Inputs'!$B$10)+'Inputs'!$B$7)/SQRT((((396-43)*MAX('Inputs'!$B$33,'Inputs'!$B$29+'Inputs'!$B$31+'Inputs'!$B$32,'Inputs'!$B$30+'Inputs'!$B$31+'Inputs'!$B$32)/1000+'Inputs'!$B$21+'Inputs'!$B$9+'Inputs'!$B$10)+'Inputs'!$B$7)^2+('Inputs'!$B$6/2)^2)-(((396-43)*MAX('Inputs'!$B$33,'Inputs'!$B$29+'Inputs'!$B$31+'Inputs'!$B$32,'Inputs'!$B$30+'Inputs'!$B$31+'Inputs'!$B$32)/1000+'Inputs'!$B$21+'Inputs'!$B$9+'Inputs'!$B$10))/SQRT((((396-43)*MAX('Inputs'!$B$33,'Inputs'!$B$29+'Inputs'!$B$31+'Inputs'!$B$32,'Inputs'!$B$30+'Inputs'!$B$31+'Inputs'!$B$32)/1000+'Inputs'!$B$21+'Inputs'!$B$9+'Inputs'!$B$10))^2+('Inputs'!$B$6/2)^2))))*'Results'!$B$8)-'Inputs'!$B$28*ABS((('Results'!C7*(1-'Inputs'!$B$24)*(0.5*((((396-43)*MAX('Inputs'!$B$33,'Inputs'!$B$29+'Inputs'!$B$31+'Inputs'!$B$32,'Inputs'!$B$30+'Inputs'!$B$31+'Inputs'!$B$32)/1000+'Inputs'!$B$21)+'Inputs'!$B$9)/SQRT((((396-43)*MAX('Inputs'!$B$33,'Inputs'!$B$29+'Inputs'!$B$31+'Inputs'!$B$32,'Inputs'!$B$30+'Inputs'!$B$31+'Inputs'!$B$32)/1000+'Inputs'!$B$21)+'Inputs'!$B$9)^2+('Inputs'!$B$8/2)^2)-(((396-43)*MAX('Inputs'!$B$33,'Inputs'!$B$29+'Inputs'!$B$31+'Inputs'!$B$32,'Inputs'!$B$30+'Inputs'!$B$31+'Inputs'!$B$32)/1000+'Inputs'!$B$21))/SQRT((((396-43)*MAX('Inputs'!$B$33,'Inputs'!$B$29+'Inputs'!$B$31+'Inputs'!$B$32,'Inputs'!$B$30+'Inputs'!$B$31+'Inputs'!$B$32)/1000+'Inputs'!$B$21))^2+('Inputs'!$B$8/2)^2)))-'Results'!B7*(1+'Inputs'!$B$24)*(0.5*((((396-43)*MAX('Inputs'!$B$33,'Inputs'!$B$29+'Inputs'!$B$31+'Inputs'!$B$32,'Inputs'!$B$30+'Inputs'!$B$31+'Inputs'!$B$32)/1000+'Inputs'!$B$21+'Inputs'!$B$9+'Inputs'!$B$10)+'Inputs'!$B$7)/SQRT((((396-43)*MAX('Inputs'!$B$33,'Inputs'!$B$29+'Inputs'!$B$31+'Inputs'!$B$32,'Inputs'!$B$30+'Inputs'!$B$31+'Inputs'!$B$32)/1000+'Inputs'!$B$21+'Inputs'!$B$9+'Inputs'!$B$10)+'Inputs'!$B$7)^2+('Inputs'!$B$6/2)^2)-(((396-43)*MAX('Inputs'!$B$33,'Inputs'!$B$29+'Inputs'!$B$31+'Inputs'!$B$32,'Inputs'!$B$30+'Inputs'!$B$31+'Inputs'!$B$32)/1000+'Inputs'!$B$21+'Inputs'!$B$9+'Inputs'!$B$10))/SQRT((((396-43)*MAX('Inputs'!$B$33,'Inputs'!$B$29+'Inputs'!$B$31+'Inputs'!$B$32,'Inputs'!$B$30+'Inputs'!$B$31+'Inputs'!$B$32)/1000+'Inputs'!$B$21+'Inputs'!$B$9+'Inputs'!$B$10))^2+('Inputs'!$B$6/2)^2))))*'Results'!$B$8))),"")</x:f>
        <x:v>11.298035336516111</x:v>
      </x:c>
      <x:c r="O396" t="n">
        <x:f>IF(AND(ISNUMBER('Results'!C7),ISNUMBER('Results'!B7),ISNUMBER('Results'!$B$8),ISNUMBER('Inputs'!$B$6),ISNUMBER('Inputs'!$B$7),ISNUMBER('Inputs'!$B$8),ISNUMBER('Inputs'!$B$9),ISNUMBER('Inputs'!$B$10),ISNUMBER('Inputs'!$B$21),ISNUMBER('Inputs'!$B$24),ISNUMBER('Inputs'!$B$28)),((('Results'!C7*(1+'Inputs'!$B$24)*(0.5*((((396-43)*MAX('Inputs'!$B$33,'Inputs'!$B$29+'Inputs'!$B$31+'Inputs'!$B$32,'Inputs'!$B$30+'Inputs'!$B$31+'Inputs'!$B$32)/1000+'Inputs'!$B$21)+'Inputs'!$B$9)/SQRT((((396-43)*MAX('Inputs'!$B$33,'Inputs'!$B$29+'Inputs'!$B$31+'Inputs'!$B$32,'Inputs'!$B$30+'Inputs'!$B$31+'Inputs'!$B$32)/1000+'Inputs'!$B$21)+'Inputs'!$B$9)^2+('Inputs'!$B$8/2)^2)-(((396-43)*MAX('Inputs'!$B$33,'Inputs'!$B$29+'Inputs'!$B$31+'Inputs'!$B$32,'Inputs'!$B$30+'Inputs'!$B$31+'Inputs'!$B$32)/1000+'Inputs'!$B$21))/SQRT((((396-43)*MAX('Inputs'!$B$33,'Inputs'!$B$29+'Inputs'!$B$31+'Inputs'!$B$32,'Inputs'!$B$30+'Inputs'!$B$31+'Inputs'!$B$32)/1000+'Inputs'!$B$21))^2+('Inputs'!$B$8/2)^2)))-'Results'!B7*(1-'Inputs'!$B$24)*(0.5*((((396-43)*MAX('Inputs'!$B$33,'Inputs'!$B$29+'Inputs'!$B$31+'Inputs'!$B$32,'Inputs'!$B$30+'Inputs'!$B$31+'Inputs'!$B$32)/1000+'Inputs'!$B$21+'Inputs'!$B$9+'Inputs'!$B$10)+'Inputs'!$B$7)/SQRT((((396-43)*MAX('Inputs'!$B$33,'Inputs'!$B$29+'Inputs'!$B$31+'Inputs'!$B$32,'Inputs'!$B$30+'Inputs'!$B$31+'Inputs'!$B$32)/1000+'Inputs'!$B$21+'Inputs'!$B$9+'Inputs'!$B$10)+'Inputs'!$B$7)^2+('Inputs'!$B$6/2)^2)-(((396-43)*MAX('Inputs'!$B$33,'Inputs'!$B$29+'Inputs'!$B$31+'Inputs'!$B$32,'Inputs'!$B$30+'Inputs'!$B$31+'Inputs'!$B$32)/1000+'Inputs'!$B$21+'Inputs'!$B$9+'Inputs'!$B$10))/SQRT((((396-43)*MAX('Inputs'!$B$33,'Inputs'!$B$29+'Inputs'!$B$31+'Inputs'!$B$32,'Inputs'!$B$30+'Inputs'!$B$31+'Inputs'!$B$32)/1000+'Inputs'!$B$21+'Inputs'!$B$9+'Inputs'!$B$10))^2+('Inputs'!$B$6/2)^2))))*'Results'!$B$8)+'Inputs'!$B$28*ABS((('Results'!C7*(1+'Inputs'!$B$24)*(0.5*((((396-43)*MAX('Inputs'!$B$33,'Inputs'!$B$29+'Inputs'!$B$31+'Inputs'!$B$32,'Inputs'!$B$30+'Inputs'!$B$31+'Inputs'!$B$32)/1000+'Inputs'!$B$21)+'Inputs'!$B$9)/SQRT((((396-43)*MAX('Inputs'!$B$33,'Inputs'!$B$29+'Inputs'!$B$31+'Inputs'!$B$32,'Inputs'!$B$30+'Inputs'!$B$31+'Inputs'!$B$32)/1000+'Inputs'!$B$21)+'Inputs'!$B$9)^2+('Inputs'!$B$8/2)^2)-(((396-43)*MAX('Inputs'!$B$33,'Inputs'!$B$29+'Inputs'!$B$31+'Inputs'!$B$32,'Inputs'!$B$30+'Inputs'!$B$31+'Inputs'!$B$32)/1000+'Inputs'!$B$21))/SQRT((((396-43)*MAX('Inputs'!$B$33,'Inputs'!$B$29+'Inputs'!$B$31+'Inputs'!$B$32,'Inputs'!$B$30+'Inputs'!$B$31+'Inputs'!$B$32)/1000+'Inputs'!$B$21))^2+('Inputs'!$B$8/2)^2)))-'Results'!B7*(1-'Inputs'!$B$24)*(0.5*((((396-43)*MAX('Inputs'!$B$33,'Inputs'!$B$29+'Inputs'!$B$31+'Inputs'!$B$32,'Inputs'!$B$30+'Inputs'!$B$31+'Inputs'!$B$32)/1000+'Inputs'!$B$21+'Inputs'!$B$9+'Inputs'!$B$10)+'Inputs'!$B$7)/SQRT((((396-43)*MAX('Inputs'!$B$33,'Inputs'!$B$29+'Inputs'!$B$31+'Inputs'!$B$32,'Inputs'!$B$30+'Inputs'!$B$31+'Inputs'!$B$32)/1000+'Inputs'!$B$21+'Inputs'!$B$9+'Inputs'!$B$10)+'Inputs'!$B$7)^2+('Inputs'!$B$6/2)^2)-(((396-43)*MAX('Inputs'!$B$33,'Inputs'!$B$29+'Inputs'!$B$31+'Inputs'!$B$32,'Inputs'!$B$30+'Inputs'!$B$31+'Inputs'!$B$32)/1000+'Inputs'!$B$21+'Inputs'!$B$9+'Inputs'!$B$10))/SQRT((((396-43)*MAX('Inputs'!$B$33,'Inputs'!$B$29+'Inputs'!$B$31+'Inputs'!$B$32,'Inputs'!$B$30+'Inputs'!$B$31+'Inputs'!$B$32)/1000+'Inputs'!$B$21+'Inputs'!$B$9+'Inputs'!$B$10))^2+('Inputs'!$B$6/2)^2))))*'Results'!$B$8))),"")</x:f>
        <x:v>13.946375757376385</x:v>
      </x:c>
      <x:c r="P396" t="n">
        <x:f>IF(AND(MAX(J396,J395)&gt;0,J396&gt;J395+0.00000001),1,0)</x:f>
        <x:v>0</x:v>
      </x:c>
      <x:c r="Q396" t="n">
        <x:f>IF(AND(MAX(K396,K395)&gt;0,K396&gt;K395+0.00000001),1,0)</x:f>
        <x:v>0</x:v>
      </x:c>
      <x:c r="R396" t="n">
        <x:f>IF(AND(MAX(L396,L395)&gt;0,L396&gt;L395+0.00000001),1,0)</x:f>
        <x:v>0</x:v>
      </x:c>
      <x:c r="S396" t="n">
        <x:f>IF(AND(MAX(M396,M395)&gt;0,M396&gt;M395+0.00000001),1,0)</x:f>
        <x:v>0</x:v>
      </x:c>
      <x:c r="T396" t="n">
        <x:f>IF(AND(MAX(N396,N395)&gt;0,N396&gt;N395+0.00000001),1,0)</x:f>
        <x:v>0</x:v>
      </x:c>
      <x:c r="U396" t="n">
        <x:f>IF(AND(MAX(O396,O395)&gt;0,O396&gt;O395+0.00000001),1,0)</x:f>
        <x:v>0</x:v>
      </x:c>
    </x:row>
    <x:row r="397">
      <x:c r="J397" t="n">
        <x:f>IF(AND(ISNUMBER('Results'!B7),ISNUMBER('Results'!C7),ISNUMBER('Results'!$B$8),ISNUMBER('Inputs'!$B$6),ISNUMBER('Inputs'!$B$7),ISNUMBER('Inputs'!$B$8),ISNUMBER('Inputs'!$B$9),ISNUMBER('Inputs'!$B$10),ISNUMBER('Inputs'!$B$21),ISNUMBER('Inputs'!$B$24),ISNUMBER('Inputs'!$B$28)),(('Results'!B7*(0.5*((((397-43)*MAX('Inputs'!$B$33,'Inputs'!$B$29+'Inputs'!$B$31+'Inputs'!$B$32,'Inputs'!$B$30+'Inputs'!$B$31+'Inputs'!$B$32)/1000+'Inputs'!$B$21)+'Inputs'!$B$7)/SQRT((((397-43)*MAX('Inputs'!$B$33,'Inputs'!$B$29+'Inputs'!$B$31+'Inputs'!$B$32,'Inputs'!$B$30+'Inputs'!$B$31+'Inputs'!$B$32)/1000+'Inputs'!$B$21)+'Inputs'!$B$7)^2+('Inputs'!$B$6/2)^2)-(((397-43)*MAX('Inputs'!$B$33,'Inputs'!$B$29+'Inputs'!$B$31+'Inputs'!$B$32,'Inputs'!$B$30+'Inputs'!$B$31+'Inputs'!$B$32)/1000+'Inputs'!$B$21))/SQRT((((397-43)*MAX('Inputs'!$B$33,'Inputs'!$B$29+'Inputs'!$B$31+'Inputs'!$B$32,'Inputs'!$B$30+'Inputs'!$B$31+'Inputs'!$B$32)/1000+'Inputs'!$B$21))^2+('Inputs'!$B$6/2)^2)))-'Results'!C7*(0.5*((((397-43)*MAX('Inputs'!$B$33,'Inputs'!$B$29+'Inputs'!$B$31+'Inputs'!$B$32,'Inputs'!$B$30+'Inputs'!$B$31+'Inputs'!$B$32)/1000+'Inputs'!$B$21+'Inputs'!$B$7+'Inputs'!$B$10)+'Inputs'!$B$9)/SQRT((((397-43)*MAX('Inputs'!$B$33,'Inputs'!$B$29+'Inputs'!$B$31+'Inputs'!$B$32,'Inputs'!$B$30+'Inputs'!$B$31+'Inputs'!$B$32)/1000+'Inputs'!$B$21+'Inputs'!$B$7+'Inputs'!$B$10)+'Inputs'!$B$9)^2+('Inputs'!$B$8/2)^2)-(((397-43)*MAX('Inputs'!$B$33,'Inputs'!$B$29+'Inputs'!$B$31+'Inputs'!$B$32,'Inputs'!$B$30+'Inputs'!$B$31+'Inputs'!$B$32)/1000+'Inputs'!$B$21+'Inputs'!$B$7+'Inputs'!$B$10))/SQRT((((397-43)*MAX('Inputs'!$B$33,'Inputs'!$B$29+'Inputs'!$B$31+'Inputs'!$B$32,'Inputs'!$B$30+'Inputs'!$B$31+'Inputs'!$B$32)/1000+'Inputs'!$B$21+'Inputs'!$B$7+'Inputs'!$B$10))^2+('Inputs'!$B$8/2)^2))))*'Results'!$B$8),"")</x:f>
        <x:v>13.171342476209702</x:v>
      </x:c>
      <x:c r="K397" t="n">
        <x:f>IF(AND(ISNUMBER('Results'!B7),ISNUMBER('Results'!C7),ISNUMBER('Results'!$B$8),ISNUMBER('Inputs'!$B$6),ISNUMBER('Inputs'!$B$7),ISNUMBER('Inputs'!$B$8),ISNUMBER('Inputs'!$B$9),ISNUMBER('Inputs'!$B$10),ISNUMBER('Inputs'!$B$21),ISNUMBER('Inputs'!$B$24),ISNUMBER('Inputs'!$B$28)),((('Results'!B7*(1-'Inputs'!$B$24)*(0.5*((((397-43)*MAX('Inputs'!$B$33,'Inputs'!$B$29+'Inputs'!$B$31+'Inputs'!$B$32,'Inputs'!$B$30+'Inputs'!$B$31+'Inputs'!$B$32)/1000+'Inputs'!$B$21)+'Inputs'!$B$7)/SQRT((((397-43)*MAX('Inputs'!$B$33,'Inputs'!$B$29+'Inputs'!$B$31+'Inputs'!$B$32,'Inputs'!$B$30+'Inputs'!$B$31+'Inputs'!$B$32)/1000+'Inputs'!$B$21)+'Inputs'!$B$7)^2+('Inputs'!$B$6/2)^2)-(((397-43)*MAX('Inputs'!$B$33,'Inputs'!$B$29+'Inputs'!$B$31+'Inputs'!$B$32,'Inputs'!$B$30+'Inputs'!$B$31+'Inputs'!$B$32)/1000+'Inputs'!$B$21))/SQRT((((397-43)*MAX('Inputs'!$B$33,'Inputs'!$B$29+'Inputs'!$B$31+'Inputs'!$B$32,'Inputs'!$B$30+'Inputs'!$B$31+'Inputs'!$B$32)/1000+'Inputs'!$B$21))^2+('Inputs'!$B$6/2)^2)))-'Results'!C7*(1+'Inputs'!$B$24)*(0.5*((((397-43)*MAX('Inputs'!$B$33,'Inputs'!$B$29+'Inputs'!$B$31+'Inputs'!$B$32,'Inputs'!$B$30+'Inputs'!$B$31+'Inputs'!$B$32)/1000+'Inputs'!$B$21+'Inputs'!$B$7+'Inputs'!$B$10)+'Inputs'!$B$9)/SQRT((((397-43)*MAX('Inputs'!$B$33,'Inputs'!$B$29+'Inputs'!$B$31+'Inputs'!$B$32,'Inputs'!$B$30+'Inputs'!$B$31+'Inputs'!$B$32)/1000+'Inputs'!$B$21+'Inputs'!$B$7+'Inputs'!$B$10)+'Inputs'!$B$9)^2+('Inputs'!$B$8/2)^2)-(((397-43)*MAX('Inputs'!$B$33,'Inputs'!$B$29+'Inputs'!$B$31+'Inputs'!$B$32,'Inputs'!$B$30+'Inputs'!$B$31+'Inputs'!$B$32)/1000+'Inputs'!$B$21+'Inputs'!$B$7+'Inputs'!$B$10))/SQRT((((397-43)*MAX('Inputs'!$B$33,'Inputs'!$B$29+'Inputs'!$B$31+'Inputs'!$B$32,'Inputs'!$B$30+'Inputs'!$B$31+'Inputs'!$B$32)/1000+'Inputs'!$B$21+'Inputs'!$B$7+'Inputs'!$B$10))^2+('Inputs'!$B$8/2)^2))))*'Results'!$B$8)-'Inputs'!$B$28*ABS((('Results'!B7*(1-'Inputs'!$B$24)*(0.5*((((397-43)*MAX('Inputs'!$B$33,'Inputs'!$B$29+'Inputs'!$B$31+'Inputs'!$B$32,'Inputs'!$B$30+'Inputs'!$B$31+'Inputs'!$B$32)/1000+'Inputs'!$B$21)+'Inputs'!$B$7)/SQRT((((397-43)*MAX('Inputs'!$B$33,'Inputs'!$B$29+'Inputs'!$B$31+'Inputs'!$B$32,'Inputs'!$B$30+'Inputs'!$B$31+'Inputs'!$B$32)/1000+'Inputs'!$B$21)+'Inputs'!$B$7)^2+('Inputs'!$B$6/2)^2)-(((397-43)*MAX('Inputs'!$B$33,'Inputs'!$B$29+'Inputs'!$B$31+'Inputs'!$B$32,'Inputs'!$B$30+'Inputs'!$B$31+'Inputs'!$B$32)/1000+'Inputs'!$B$21))/SQRT((((397-43)*MAX('Inputs'!$B$33,'Inputs'!$B$29+'Inputs'!$B$31+'Inputs'!$B$32,'Inputs'!$B$30+'Inputs'!$B$31+'Inputs'!$B$32)/1000+'Inputs'!$B$21))^2+('Inputs'!$B$6/2)^2)))-'Results'!C7*(1+'Inputs'!$B$24)*(0.5*((((397-43)*MAX('Inputs'!$B$33,'Inputs'!$B$29+'Inputs'!$B$31+'Inputs'!$B$32,'Inputs'!$B$30+'Inputs'!$B$31+'Inputs'!$B$32)/1000+'Inputs'!$B$21+'Inputs'!$B$7+'Inputs'!$B$10)+'Inputs'!$B$9)/SQRT((((397-43)*MAX('Inputs'!$B$33,'Inputs'!$B$29+'Inputs'!$B$31+'Inputs'!$B$32,'Inputs'!$B$30+'Inputs'!$B$31+'Inputs'!$B$32)/1000+'Inputs'!$B$21+'Inputs'!$B$7+'Inputs'!$B$10)+'Inputs'!$B$9)^2+('Inputs'!$B$8/2)^2)-(((397-43)*MAX('Inputs'!$B$33,'Inputs'!$B$29+'Inputs'!$B$31+'Inputs'!$B$32,'Inputs'!$B$30+'Inputs'!$B$31+'Inputs'!$B$32)/1000+'Inputs'!$B$21+'Inputs'!$B$7+'Inputs'!$B$10))/SQRT((((397-43)*MAX('Inputs'!$B$33,'Inputs'!$B$29+'Inputs'!$B$31+'Inputs'!$B$32,'Inputs'!$B$30+'Inputs'!$B$31+'Inputs'!$B$32)/1000+'Inputs'!$B$21+'Inputs'!$B$7+'Inputs'!$B$10))^2+('Inputs'!$B$8/2)^2))))*'Results'!$B$8))),"")</x:f>
        <x:v>11.852510292962165</x:v>
      </x:c>
      <x:c r="L397" t="n">
        <x:f>IF(AND(ISNUMBER('Results'!B7),ISNUMBER('Results'!C7),ISNUMBER('Results'!$B$8),ISNUMBER('Inputs'!$B$6),ISNUMBER('Inputs'!$B$7),ISNUMBER('Inputs'!$B$8),ISNUMBER('Inputs'!$B$9),ISNUMBER('Inputs'!$B$10),ISNUMBER('Inputs'!$B$21),ISNUMBER('Inputs'!$B$24),ISNUMBER('Inputs'!$B$28)),((('Results'!B7*(1+'Inputs'!$B$24)*(0.5*((((397-43)*MAX('Inputs'!$B$33,'Inputs'!$B$29+'Inputs'!$B$31+'Inputs'!$B$32,'Inputs'!$B$30+'Inputs'!$B$31+'Inputs'!$B$32)/1000+'Inputs'!$B$21)+'Inputs'!$B$7)/SQRT((((397-43)*MAX('Inputs'!$B$33,'Inputs'!$B$29+'Inputs'!$B$31+'Inputs'!$B$32,'Inputs'!$B$30+'Inputs'!$B$31+'Inputs'!$B$32)/1000+'Inputs'!$B$21)+'Inputs'!$B$7)^2+('Inputs'!$B$6/2)^2)-(((397-43)*MAX('Inputs'!$B$33,'Inputs'!$B$29+'Inputs'!$B$31+'Inputs'!$B$32,'Inputs'!$B$30+'Inputs'!$B$31+'Inputs'!$B$32)/1000+'Inputs'!$B$21))/SQRT((((397-43)*MAX('Inputs'!$B$33,'Inputs'!$B$29+'Inputs'!$B$31+'Inputs'!$B$32,'Inputs'!$B$30+'Inputs'!$B$31+'Inputs'!$B$32)/1000+'Inputs'!$B$21))^2+('Inputs'!$B$6/2)^2)))-'Results'!C7*(1-'Inputs'!$B$24)*(0.5*((((397-43)*MAX('Inputs'!$B$33,'Inputs'!$B$29+'Inputs'!$B$31+'Inputs'!$B$32,'Inputs'!$B$30+'Inputs'!$B$31+'Inputs'!$B$32)/1000+'Inputs'!$B$21+'Inputs'!$B$7+'Inputs'!$B$10)+'Inputs'!$B$9)/SQRT((((397-43)*MAX('Inputs'!$B$33,'Inputs'!$B$29+'Inputs'!$B$31+'Inputs'!$B$32,'Inputs'!$B$30+'Inputs'!$B$31+'Inputs'!$B$32)/1000+'Inputs'!$B$21+'Inputs'!$B$7+'Inputs'!$B$10)+'Inputs'!$B$9)^2+('Inputs'!$B$8/2)^2)-(((397-43)*MAX('Inputs'!$B$33,'Inputs'!$B$29+'Inputs'!$B$31+'Inputs'!$B$32,'Inputs'!$B$30+'Inputs'!$B$31+'Inputs'!$B$32)/1000+'Inputs'!$B$21+'Inputs'!$B$7+'Inputs'!$B$10))/SQRT((((397-43)*MAX('Inputs'!$B$33,'Inputs'!$B$29+'Inputs'!$B$31+'Inputs'!$B$32,'Inputs'!$B$30+'Inputs'!$B$31+'Inputs'!$B$32)/1000+'Inputs'!$B$21+'Inputs'!$B$7+'Inputs'!$B$10))^2+('Inputs'!$B$8/2)^2))))*'Results'!$B$8)+'Inputs'!$B$28*ABS((('Results'!B7*(1+'Inputs'!$B$24)*(0.5*((((397-43)*MAX('Inputs'!$B$33,'Inputs'!$B$29+'Inputs'!$B$31+'Inputs'!$B$32,'Inputs'!$B$30+'Inputs'!$B$31+'Inputs'!$B$32)/1000+'Inputs'!$B$21)+'Inputs'!$B$7)/SQRT((((397-43)*MAX('Inputs'!$B$33,'Inputs'!$B$29+'Inputs'!$B$31+'Inputs'!$B$32,'Inputs'!$B$30+'Inputs'!$B$31+'Inputs'!$B$32)/1000+'Inputs'!$B$21)+'Inputs'!$B$7)^2+('Inputs'!$B$6/2)^2)-(((397-43)*MAX('Inputs'!$B$33,'Inputs'!$B$29+'Inputs'!$B$31+'Inputs'!$B$32,'Inputs'!$B$30+'Inputs'!$B$31+'Inputs'!$B$32)/1000+'Inputs'!$B$21))/SQRT((((397-43)*MAX('Inputs'!$B$33,'Inputs'!$B$29+'Inputs'!$B$31+'Inputs'!$B$32,'Inputs'!$B$30+'Inputs'!$B$31+'Inputs'!$B$32)/1000+'Inputs'!$B$21))^2+('Inputs'!$B$6/2)^2)))-'Results'!C7*(1-'Inputs'!$B$24)*(0.5*((((397-43)*MAX('Inputs'!$B$33,'Inputs'!$B$29+'Inputs'!$B$31+'Inputs'!$B$32,'Inputs'!$B$30+'Inputs'!$B$31+'Inputs'!$B$32)/1000+'Inputs'!$B$21+'Inputs'!$B$7+'Inputs'!$B$10)+'Inputs'!$B$9)/SQRT((((397-43)*MAX('Inputs'!$B$33,'Inputs'!$B$29+'Inputs'!$B$31+'Inputs'!$B$32,'Inputs'!$B$30+'Inputs'!$B$31+'Inputs'!$B$32)/1000+'Inputs'!$B$21+'Inputs'!$B$7+'Inputs'!$B$10)+'Inputs'!$B$9)^2+('Inputs'!$B$8/2)^2)-(((397-43)*MAX('Inputs'!$B$33,'Inputs'!$B$29+'Inputs'!$B$31+'Inputs'!$B$32,'Inputs'!$B$30+'Inputs'!$B$31+'Inputs'!$B$32)/1000+'Inputs'!$B$21+'Inputs'!$B$7+'Inputs'!$B$10))/SQRT((((397-43)*MAX('Inputs'!$B$33,'Inputs'!$B$29+'Inputs'!$B$31+'Inputs'!$B$32,'Inputs'!$B$30+'Inputs'!$B$31+'Inputs'!$B$32)/1000+'Inputs'!$B$21+'Inputs'!$B$7+'Inputs'!$B$10))^2+('Inputs'!$B$8/2)^2))))*'Results'!$B$8))),"")</x:f>
        <x:v>14.559676244661137</x:v>
      </x:c>
      <x:c r="M397" t="n">
        <x:f>IF(AND(ISNUMBER('Results'!C7),ISNUMBER('Results'!B7),ISNUMBER('Results'!$B$8),ISNUMBER('Inputs'!$B$6),ISNUMBER('Inputs'!$B$7),ISNUMBER('Inputs'!$B$8),ISNUMBER('Inputs'!$B$9),ISNUMBER('Inputs'!$B$10),ISNUMBER('Inputs'!$B$21),ISNUMBER('Inputs'!$B$24),ISNUMBER('Inputs'!$B$28)),(('Results'!C7*(0.5*((((397-43)*MAX('Inputs'!$B$33,'Inputs'!$B$29+'Inputs'!$B$31+'Inputs'!$B$32,'Inputs'!$B$30+'Inputs'!$B$31+'Inputs'!$B$32)/1000+'Inputs'!$B$21)+'Inputs'!$B$9)/SQRT((((397-43)*MAX('Inputs'!$B$33,'Inputs'!$B$29+'Inputs'!$B$31+'Inputs'!$B$32,'Inputs'!$B$30+'Inputs'!$B$31+'Inputs'!$B$32)/1000+'Inputs'!$B$21)+'Inputs'!$B$9)^2+('Inputs'!$B$8/2)^2)-(((397-43)*MAX('Inputs'!$B$33,'Inputs'!$B$29+'Inputs'!$B$31+'Inputs'!$B$32,'Inputs'!$B$30+'Inputs'!$B$31+'Inputs'!$B$32)/1000+'Inputs'!$B$21))/SQRT((((397-43)*MAX('Inputs'!$B$33,'Inputs'!$B$29+'Inputs'!$B$31+'Inputs'!$B$32,'Inputs'!$B$30+'Inputs'!$B$31+'Inputs'!$B$32)/1000+'Inputs'!$B$21))^2+('Inputs'!$B$8/2)^2)))-'Results'!B7*(0.5*((((397-43)*MAX('Inputs'!$B$33,'Inputs'!$B$29+'Inputs'!$B$31+'Inputs'!$B$32,'Inputs'!$B$30+'Inputs'!$B$31+'Inputs'!$B$32)/1000+'Inputs'!$B$21+'Inputs'!$B$9+'Inputs'!$B$10)+'Inputs'!$B$7)/SQRT((((397-43)*MAX('Inputs'!$B$33,'Inputs'!$B$29+'Inputs'!$B$31+'Inputs'!$B$32,'Inputs'!$B$30+'Inputs'!$B$31+'Inputs'!$B$32)/1000+'Inputs'!$B$21+'Inputs'!$B$9+'Inputs'!$B$10)+'Inputs'!$B$7)^2+('Inputs'!$B$6/2)^2)-(((397-43)*MAX('Inputs'!$B$33,'Inputs'!$B$29+'Inputs'!$B$31+'Inputs'!$B$32,'Inputs'!$B$30+'Inputs'!$B$31+'Inputs'!$B$32)/1000+'Inputs'!$B$21+'Inputs'!$B$9+'Inputs'!$B$10))/SQRT((((397-43)*MAX('Inputs'!$B$33,'Inputs'!$B$29+'Inputs'!$B$31+'Inputs'!$B$32,'Inputs'!$B$30+'Inputs'!$B$31+'Inputs'!$B$32)/1000+'Inputs'!$B$21+'Inputs'!$B$9+'Inputs'!$B$10))^2+('Inputs'!$B$6/2)^2))))*'Results'!$B$8),"")</x:f>
        <x:v>12.471922654757286</x:v>
      </x:c>
      <x:c r="N397" t="n">
        <x:f>IF(AND(ISNUMBER('Results'!C7),ISNUMBER('Results'!B7),ISNUMBER('Results'!$B$8),ISNUMBER('Inputs'!$B$6),ISNUMBER('Inputs'!$B$7),ISNUMBER('Inputs'!$B$8),ISNUMBER('Inputs'!$B$9),ISNUMBER('Inputs'!$B$10),ISNUMBER('Inputs'!$B$21),ISNUMBER('Inputs'!$B$24),ISNUMBER('Inputs'!$B$28)),((('Results'!C7*(1-'Inputs'!$B$24)*(0.5*((((397-43)*MAX('Inputs'!$B$33,'Inputs'!$B$29+'Inputs'!$B$31+'Inputs'!$B$32,'Inputs'!$B$30+'Inputs'!$B$31+'Inputs'!$B$32)/1000+'Inputs'!$B$21)+'Inputs'!$B$9)/SQRT((((397-43)*MAX('Inputs'!$B$33,'Inputs'!$B$29+'Inputs'!$B$31+'Inputs'!$B$32,'Inputs'!$B$30+'Inputs'!$B$31+'Inputs'!$B$32)/1000+'Inputs'!$B$21)+'Inputs'!$B$9)^2+('Inputs'!$B$8/2)^2)-(((397-43)*MAX('Inputs'!$B$33,'Inputs'!$B$29+'Inputs'!$B$31+'Inputs'!$B$32,'Inputs'!$B$30+'Inputs'!$B$31+'Inputs'!$B$32)/1000+'Inputs'!$B$21))/SQRT((((397-43)*MAX('Inputs'!$B$33,'Inputs'!$B$29+'Inputs'!$B$31+'Inputs'!$B$32,'Inputs'!$B$30+'Inputs'!$B$31+'Inputs'!$B$32)/1000+'Inputs'!$B$21))^2+('Inputs'!$B$8/2)^2)))-'Results'!B7*(1+'Inputs'!$B$24)*(0.5*((((397-43)*MAX('Inputs'!$B$33,'Inputs'!$B$29+'Inputs'!$B$31+'Inputs'!$B$32,'Inputs'!$B$30+'Inputs'!$B$31+'Inputs'!$B$32)/1000+'Inputs'!$B$21+'Inputs'!$B$9+'Inputs'!$B$10)+'Inputs'!$B$7)/SQRT((((397-43)*MAX('Inputs'!$B$33,'Inputs'!$B$29+'Inputs'!$B$31+'Inputs'!$B$32,'Inputs'!$B$30+'Inputs'!$B$31+'Inputs'!$B$32)/1000+'Inputs'!$B$21+'Inputs'!$B$9+'Inputs'!$B$10)+'Inputs'!$B$7)^2+('Inputs'!$B$6/2)^2)-(((397-43)*MAX('Inputs'!$B$33,'Inputs'!$B$29+'Inputs'!$B$31+'Inputs'!$B$32,'Inputs'!$B$30+'Inputs'!$B$31+'Inputs'!$B$32)/1000+'Inputs'!$B$21+'Inputs'!$B$9+'Inputs'!$B$10))/SQRT((((397-43)*MAX('Inputs'!$B$33,'Inputs'!$B$29+'Inputs'!$B$31+'Inputs'!$B$32,'Inputs'!$B$30+'Inputs'!$B$31+'Inputs'!$B$32)/1000+'Inputs'!$B$21+'Inputs'!$B$9+'Inputs'!$B$10))^2+('Inputs'!$B$6/2)^2))))*'Results'!$B$8)-'Inputs'!$B$28*ABS((('Results'!C7*(1-'Inputs'!$B$24)*(0.5*((((397-43)*MAX('Inputs'!$B$33,'Inputs'!$B$29+'Inputs'!$B$31+'Inputs'!$B$32,'Inputs'!$B$30+'Inputs'!$B$31+'Inputs'!$B$32)/1000+'Inputs'!$B$21)+'Inputs'!$B$9)/SQRT((((397-43)*MAX('Inputs'!$B$33,'Inputs'!$B$29+'Inputs'!$B$31+'Inputs'!$B$32,'Inputs'!$B$30+'Inputs'!$B$31+'Inputs'!$B$32)/1000+'Inputs'!$B$21)+'Inputs'!$B$9)^2+('Inputs'!$B$8/2)^2)-(((397-43)*MAX('Inputs'!$B$33,'Inputs'!$B$29+'Inputs'!$B$31+'Inputs'!$B$32,'Inputs'!$B$30+'Inputs'!$B$31+'Inputs'!$B$32)/1000+'Inputs'!$B$21))/SQRT((((397-43)*MAX('Inputs'!$B$33,'Inputs'!$B$29+'Inputs'!$B$31+'Inputs'!$B$32,'Inputs'!$B$30+'Inputs'!$B$31+'Inputs'!$B$32)/1000+'Inputs'!$B$21))^2+('Inputs'!$B$8/2)^2)))-'Results'!B7*(1+'Inputs'!$B$24)*(0.5*((((397-43)*MAX('Inputs'!$B$33,'Inputs'!$B$29+'Inputs'!$B$31+'Inputs'!$B$32,'Inputs'!$B$30+'Inputs'!$B$31+'Inputs'!$B$32)/1000+'Inputs'!$B$21+'Inputs'!$B$9+'Inputs'!$B$10)+'Inputs'!$B$7)/SQRT((((397-43)*MAX('Inputs'!$B$33,'Inputs'!$B$29+'Inputs'!$B$31+'Inputs'!$B$32,'Inputs'!$B$30+'Inputs'!$B$31+'Inputs'!$B$32)/1000+'Inputs'!$B$21+'Inputs'!$B$9+'Inputs'!$B$10)+'Inputs'!$B$7)^2+('Inputs'!$B$6/2)^2)-(((397-43)*MAX('Inputs'!$B$33,'Inputs'!$B$29+'Inputs'!$B$31+'Inputs'!$B$32,'Inputs'!$B$30+'Inputs'!$B$31+'Inputs'!$B$32)/1000+'Inputs'!$B$21+'Inputs'!$B$9+'Inputs'!$B$10))/SQRT((((397-43)*MAX('Inputs'!$B$33,'Inputs'!$B$29+'Inputs'!$B$31+'Inputs'!$B$32,'Inputs'!$B$30+'Inputs'!$B$31+'Inputs'!$B$32)/1000+'Inputs'!$B$21+'Inputs'!$B$9+'Inputs'!$B$10))^2+('Inputs'!$B$6/2)^2))))*'Results'!$B$8))),"")</x:f>
        <x:v>11.192982897304477</x:v>
      </x:c>
      <x:c r="O397" t="n">
        <x:f>IF(AND(ISNUMBER('Results'!C7),ISNUMBER('Results'!B7),ISNUMBER('Results'!$B$8),ISNUMBER('Inputs'!$B$6),ISNUMBER('Inputs'!$B$7),ISNUMBER('Inputs'!$B$8),ISNUMBER('Inputs'!$B$9),ISNUMBER('Inputs'!$B$10),ISNUMBER('Inputs'!$B$21),ISNUMBER('Inputs'!$B$24),ISNUMBER('Inputs'!$B$28)),((('Results'!C7*(1+'Inputs'!$B$24)*(0.5*((((397-43)*MAX('Inputs'!$B$33,'Inputs'!$B$29+'Inputs'!$B$31+'Inputs'!$B$32,'Inputs'!$B$30+'Inputs'!$B$31+'Inputs'!$B$32)/1000+'Inputs'!$B$21)+'Inputs'!$B$9)/SQRT((((397-43)*MAX('Inputs'!$B$33,'Inputs'!$B$29+'Inputs'!$B$31+'Inputs'!$B$32,'Inputs'!$B$30+'Inputs'!$B$31+'Inputs'!$B$32)/1000+'Inputs'!$B$21)+'Inputs'!$B$9)^2+('Inputs'!$B$8/2)^2)-(((397-43)*MAX('Inputs'!$B$33,'Inputs'!$B$29+'Inputs'!$B$31+'Inputs'!$B$32,'Inputs'!$B$30+'Inputs'!$B$31+'Inputs'!$B$32)/1000+'Inputs'!$B$21))/SQRT((((397-43)*MAX('Inputs'!$B$33,'Inputs'!$B$29+'Inputs'!$B$31+'Inputs'!$B$32,'Inputs'!$B$30+'Inputs'!$B$31+'Inputs'!$B$32)/1000+'Inputs'!$B$21))^2+('Inputs'!$B$8/2)^2)))-'Results'!B7*(1-'Inputs'!$B$24)*(0.5*((((397-43)*MAX('Inputs'!$B$33,'Inputs'!$B$29+'Inputs'!$B$31+'Inputs'!$B$32,'Inputs'!$B$30+'Inputs'!$B$31+'Inputs'!$B$32)/1000+'Inputs'!$B$21+'Inputs'!$B$9+'Inputs'!$B$10)+'Inputs'!$B$7)/SQRT((((397-43)*MAX('Inputs'!$B$33,'Inputs'!$B$29+'Inputs'!$B$31+'Inputs'!$B$32,'Inputs'!$B$30+'Inputs'!$B$31+'Inputs'!$B$32)/1000+'Inputs'!$B$21+'Inputs'!$B$9+'Inputs'!$B$10)+'Inputs'!$B$7)^2+('Inputs'!$B$6/2)^2)-(((397-43)*MAX('Inputs'!$B$33,'Inputs'!$B$29+'Inputs'!$B$31+'Inputs'!$B$32,'Inputs'!$B$30+'Inputs'!$B$31+'Inputs'!$B$32)/1000+'Inputs'!$B$21+'Inputs'!$B$9+'Inputs'!$B$10))/SQRT((((397-43)*MAX('Inputs'!$B$33,'Inputs'!$B$29+'Inputs'!$B$31+'Inputs'!$B$32,'Inputs'!$B$30+'Inputs'!$B$31+'Inputs'!$B$32)/1000+'Inputs'!$B$21+'Inputs'!$B$9+'Inputs'!$B$10))^2+('Inputs'!$B$6/2)^2))))*'Results'!$B$8)+'Inputs'!$B$28*ABS((('Results'!C7*(1+'Inputs'!$B$24)*(0.5*((((397-43)*MAX('Inputs'!$B$33,'Inputs'!$B$29+'Inputs'!$B$31+'Inputs'!$B$32,'Inputs'!$B$30+'Inputs'!$B$31+'Inputs'!$B$32)/1000+'Inputs'!$B$21)+'Inputs'!$B$9)/SQRT((((397-43)*MAX('Inputs'!$B$33,'Inputs'!$B$29+'Inputs'!$B$31+'Inputs'!$B$32,'Inputs'!$B$30+'Inputs'!$B$31+'Inputs'!$B$32)/1000+'Inputs'!$B$21)+'Inputs'!$B$9)^2+('Inputs'!$B$8/2)^2)-(((397-43)*MAX('Inputs'!$B$33,'Inputs'!$B$29+'Inputs'!$B$31+'Inputs'!$B$32,'Inputs'!$B$30+'Inputs'!$B$31+'Inputs'!$B$32)/1000+'Inputs'!$B$21))/SQRT((((397-43)*MAX('Inputs'!$B$33,'Inputs'!$B$29+'Inputs'!$B$31+'Inputs'!$B$32,'Inputs'!$B$30+'Inputs'!$B$31+'Inputs'!$B$32)/1000+'Inputs'!$B$21))^2+('Inputs'!$B$8/2)^2)))-'Results'!B7*(1-'Inputs'!$B$24)*(0.5*((((397-43)*MAX('Inputs'!$B$33,'Inputs'!$B$29+'Inputs'!$B$31+'Inputs'!$B$32,'Inputs'!$B$30+'Inputs'!$B$31+'Inputs'!$B$32)/1000+'Inputs'!$B$21+'Inputs'!$B$9+'Inputs'!$B$10)+'Inputs'!$B$7)/SQRT((((397-43)*MAX('Inputs'!$B$33,'Inputs'!$B$29+'Inputs'!$B$31+'Inputs'!$B$32,'Inputs'!$B$30+'Inputs'!$B$31+'Inputs'!$B$32)/1000+'Inputs'!$B$21+'Inputs'!$B$9+'Inputs'!$B$10)+'Inputs'!$B$7)^2+('Inputs'!$B$6/2)^2)-(((397-43)*MAX('Inputs'!$B$33,'Inputs'!$B$29+'Inputs'!$B$31+'Inputs'!$B$32,'Inputs'!$B$30+'Inputs'!$B$31+'Inputs'!$B$32)/1000+'Inputs'!$B$21+'Inputs'!$B$9+'Inputs'!$B$10))/SQRT((((397-43)*MAX('Inputs'!$B$33,'Inputs'!$B$29+'Inputs'!$B$31+'Inputs'!$B$32,'Inputs'!$B$30+'Inputs'!$B$31+'Inputs'!$B$32)/1000+'Inputs'!$B$21+'Inputs'!$B$9+'Inputs'!$B$10))^2+('Inputs'!$B$6/2)^2))))*'Results'!$B$8))),"")</x:f>
        <x:v>13.819845951653773</x:v>
      </x:c>
      <x:c r="P397" t="n">
        <x:f>IF(AND(MAX(J397,J396)&gt;0,J397&gt;J396+0.00000001),1,0)</x:f>
        <x:v>0</x:v>
      </x:c>
      <x:c r="Q397" t="n">
        <x:f>IF(AND(MAX(K397,K396)&gt;0,K397&gt;K396+0.00000001),1,0)</x:f>
        <x:v>0</x:v>
      </x:c>
      <x:c r="R397" t="n">
        <x:f>IF(AND(MAX(L397,L396)&gt;0,L397&gt;L396+0.00000001),1,0)</x:f>
        <x:v>0</x:v>
      </x:c>
      <x:c r="S397" t="n">
        <x:f>IF(AND(MAX(M397,M396)&gt;0,M397&gt;M396+0.00000001),1,0)</x:f>
        <x:v>0</x:v>
      </x:c>
      <x:c r="T397" t="n">
        <x:f>IF(AND(MAX(N397,N396)&gt;0,N397&gt;N396+0.00000001),1,0)</x:f>
        <x:v>0</x:v>
      </x:c>
      <x:c r="U397" t="n">
        <x:f>IF(AND(MAX(O397,O396)&gt;0,O397&gt;O396+0.00000001),1,0)</x:f>
        <x:v>0</x:v>
      </x:c>
    </x:row>
    <x:row r="398">
      <x:c r="J398" t="n">
        <x:f>IF(AND(ISNUMBER('Results'!B7),ISNUMBER('Results'!C7),ISNUMBER('Results'!$B$8),ISNUMBER('Inputs'!$B$6),ISNUMBER('Inputs'!$B$7),ISNUMBER('Inputs'!$B$8),ISNUMBER('Inputs'!$B$9),ISNUMBER('Inputs'!$B$10),ISNUMBER('Inputs'!$B$21),ISNUMBER('Inputs'!$B$24),ISNUMBER('Inputs'!$B$28)),(('Results'!B7*(0.5*((((398-43)*MAX('Inputs'!$B$33,'Inputs'!$B$29+'Inputs'!$B$31+'Inputs'!$B$32,'Inputs'!$B$30+'Inputs'!$B$31+'Inputs'!$B$32)/1000+'Inputs'!$B$21)+'Inputs'!$B$7)/SQRT((((398-43)*MAX('Inputs'!$B$33,'Inputs'!$B$29+'Inputs'!$B$31+'Inputs'!$B$32,'Inputs'!$B$30+'Inputs'!$B$31+'Inputs'!$B$32)/1000+'Inputs'!$B$21)+'Inputs'!$B$7)^2+('Inputs'!$B$6/2)^2)-(((398-43)*MAX('Inputs'!$B$33,'Inputs'!$B$29+'Inputs'!$B$31+'Inputs'!$B$32,'Inputs'!$B$30+'Inputs'!$B$31+'Inputs'!$B$32)/1000+'Inputs'!$B$21))/SQRT((((398-43)*MAX('Inputs'!$B$33,'Inputs'!$B$29+'Inputs'!$B$31+'Inputs'!$B$32,'Inputs'!$B$30+'Inputs'!$B$31+'Inputs'!$B$32)/1000+'Inputs'!$B$21))^2+('Inputs'!$B$6/2)^2)))-'Results'!C7*(0.5*((((398-43)*MAX('Inputs'!$B$33,'Inputs'!$B$29+'Inputs'!$B$31+'Inputs'!$B$32,'Inputs'!$B$30+'Inputs'!$B$31+'Inputs'!$B$32)/1000+'Inputs'!$B$21+'Inputs'!$B$7+'Inputs'!$B$10)+'Inputs'!$B$9)/SQRT((((398-43)*MAX('Inputs'!$B$33,'Inputs'!$B$29+'Inputs'!$B$31+'Inputs'!$B$32,'Inputs'!$B$30+'Inputs'!$B$31+'Inputs'!$B$32)/1000+'Inputs'!$B$21+'Inputs'!$B$7+'Inputs'!$B$10)+'Inputs'!$B$9)^2+('Inputs'!$B$8/2)^2)-(((398-43)*MAX('Inputs'!$B$33,'Inputs'!$B$29+'Inputs'!$B$31+'Inputs'!$B$32,'Inputs'!$B$30+'Inputs'!$B$31+'Inputs'!$B$32)/1000+'Inputs'!$B$21+'Inputs'!$B$7+'Inputs'!$B$10))/SQRT((((398-43)*MAX('Inputs'!$B$33,'Inputs'!$B$29+'Inputs'!$B$31+'Inputs'!$B$32,'Inputs'!$B$30+'Inputs'!$B$31+'Inputs'!$B$32)/1000+'Inputs'!$B$21+'Inputs'!$B$7+'Inputs'!$B$10))^2+('Inputs'!$B$8/2)^2))))*'Results'!$B$8),"")</x:f>
        <x:v>13.052125523466032</x:v>
      </x:c>
      <x:c r="K398" t="n">
        <x:f>IF(AND(ISNUMBER('Results'!B7),ISNUMBER('Results'!C7),ISNUMBER('Results'!$B$8),ISNUMBER('Inputs'!$B$6),ISNUMBER('Inputs'!$B$7),ISNUMBER('Inputs'!$B$8),ISNUMBER('Inputs'!$B$9),ISNUMBER('Inputs'!$B$10),ISNUMBER('Inputs'!$B$21),ISNUMBER('Inputs'!$B$24),ISNUMBER('Inputs'!$B$28)),((('Results'!B7*(1-'Inputs'!$B$24)*(0.5*((((398-43)*MAX('Inputs'!$B$33,'Inputs'!$B$29+'Inputs'!$B$31+'Inputs'!$B$32,'Inputs'!$B$30+'Inputs'!$B$31+'Inputs'!$B$32)/1000+'Inputs'!$B$21)+'Inputs'!$B$7)/SQRT((((398-43)*MAX('Inputs'!$B$33,'Inputs'!$B$29+'Inputs'!$B$31+'Inputs'!$B$32,'Inputs'!$B$30+'Inputs'!$B$31+'Inputs'!$B$32)/1000+'Inputs'!$B$21)+'Inputs'!$B$7)^2+('Inputs'!$B$6/2)^2)-(((398-43)*MAX('Inputs'!$B$33,'Inputs'!$B$29+'Inputs'!$B$31+'Inputs'!$B$32,'Inputs'!$B$30+'Inputs'!$B$31+'Inputs'!$B$32)/1000+'Inputs'!$B$21))/SQRT((((398-43)*MAX('Inputs'!$B$33,'Inputs'!$B$29+'Inputs'!$B$31+'Inputs'!$B$32,'Inputs'!$B$30+'Inputs'!$B$31+'Inputs'!$B$32)/1000+'Inputs'!$B$21))^2+('Inputs'!$B$6/2)^2)))-'Results'!C7*(1+'Inputs'!$B$24)*(0.5*((((398-43)*MAX('Inputs'!$B$33,'Inputs'!$B$29+'Inputs'!$B$31+'Inputs'!$B$32,'Inputs'!$B$30+'Inputs'!$B$31+'Inputs'!$B$32)/1000+'Inputs'!$B$21+'Inputs'!$B$7+'Inputs'!$B$10)+'Inputs'!$B$9)/SQRT((((398-43)*MAX('Inputs'!$B$33,'Inputs'!$B$29+'Inputs'!$B$31+'Inputs'!$B$32,'Inputs'!$B$30+'Inputs'!$B$31+'Inputs'!$B$32)/1000+'Inputs'!$B$21+'Inputs'!$B$7+'Inputs'!$B$10)+'Inputs'!$B$9)^2+('Inputs'!$B$8/2)^2)-(((398-43)*MAX('Inputs'!$B$33,'Inputs'!$B$29+'Inputs'!$B$31+'Inputs'!$B$32,'Inputs'!$B$30+'Inputs'!$B$31+'Inputs'!$B$32)/1000+'Inputs'!$B$21+'Inputs'!$B$7+'Inputs'!$B$10))/SQRT((((398-43)*MAX('Inputs'!$B$33,'Inputs'!$B$29+'Inputs'!$B$31+'Inputs'!$B$32,'Inputs'!$B$30+'Inputs'!$B$31+'Inputs'!$B$32)/1000+'Inputs'!$B$21+'Inputs'!$B$7+'Inputs'!$B$10))^2+('Inputs'!$B$8/2)^2))))*'Results'!$B$8)-'Inputs'!$B$28*ABS((('Results'!B7*(1-'Inputs'!$B$24)*(0.5*((((398-43)*MAX('Inputs'!$B$33,'Inputs'!$B$29+'Inputs'!$B$31+'Inputs'!$B$32,'Inputs'!$B$30+'Inputs'!$B$31+'Inputs'!$B$32)/1000+'Inputs'!$B$21)+'Inputs'!$B$7)/SQRT((((398-43)*MAX('Inputs'!$B$33,'Inputs'!$B$29+'Inputs'!$B$31+'Inputs'!$B$32,'Inputs'!$B$30+'Inputs'!$B$31+'Inputs'!$B$32)/1000+'Inputs'!$B$21)+'Inputs'!$B$7)^2+('Inputs'!$B$6/2)^2)-(((398-43)*MAX('Inputs'!$B$33,'Inputs'!$B$29+'Inputs'!$B$31+'Inputs'!$B$32,'Inputs'!$B$30+'Inputs'!$B$31+'Inputs'!$B$32)/1000+'Inputs'!$B$21))/SQRT((((398-43)*MAX('Inputs'!$B$33,'Inputs'!$B$29+'Inputs'!$B$31+'Inputs'!$B$32,'Inputs'!$B$30+'Inputs'!$B$31+'Inputs'!$B$32)/1000+'Inputs'!$B$21))^2+('Inputs'!$B$6/2)^2)))-'Results'!C7*(1+'Inputs'!$B$24)*(0.5*((((398-43)*MAX('Inputs'!$B$33,'Inputs'!$B$29+'Inputs'!$B$31+'Inputs'!$B$32,'Inputs'!$B$30+'Inputs'!$B$31+'Inputs'!$B$32)/1000+'Inputs'!$B$21+'Inputs'!$B$7+'Inputs'!$B$10)+'Inputs'!$B$9)/SQRT((((398-43)*MAX('Inputs'!$B$33,'Inputs'!$B$29+'Inputs'!$B$31+'Inputs'!$B$32,'Inputs'!$B$30+'Inputs'!$B$31+'Inputs'!$B$32)/1000+'Inputs'!$B$21+'Inputs'!$B$7+'Inputs'!$B$10)+'Inputs'!$B$9)^2+('Inputs'!$B$8/2)^2)-(((398-43)*MAX('Inputs'!$B$33,'Inputs'!$B$29+'Inputs'!$B$31+'Inputs'!$B$32,'Inputs'!$B$30+'Inputs'!$B$31+'Inputs'!$B$32)/1000+'Inputs'!$B$21+'Inputs'!$B$7+'Inputs'!$B$10))/SQRT((((398-43)*MAX('Inputs'!$B$33,'Inputs'!$B$29+'Inputs'!$B$31+'Inputs'!$B$32,'Inputs'!$B$30+'Inputs'!$B$31+'Inputs'!$B$32)/1000+'Inputs'!$B$21+'Inputs'!$B$7+'Inputs'!$B$10))^2+('Inputs'!$B$8/2)^2))))*'Results'!$B$8))),"")</x:f>
        <x:v>11.743967557295198</x:v>
      </x:c>
      <x:c r="L398" t="n">
        <x:f>IF(AND(ISNUMBER('Results'!B7),ISNUMBER('Results'!C7),ISNUMBER('Results'!$B$8),ISNUMBER('Inputs'!$B$6),ISNUMBER('Inputs'!$B$7),ISNUMBER('Inputs'!$B$8),ISNUMBER('Inputs'!$B$9),ISNUMBER('Inputs'!$B$10),ISNUMBER('Inputs'!$B$21),ISNUMBER('Inputs'!$B$24),ISNUMBER('Inputs'!$B$28)),((('Results'!B7*(1+'Inputs'!$B$24)*(0.5*((((398-43)*MAX('Inputs'!$B$33,'Inputs'!$B$29+'Inputs'!$B$31+'Inputs'!$B$32,'Inputs'!$B$30+'Inputs'!$B$31+'Inputs'!$B$32)/1000+'Inputs'!$B$21)+'Inputs'!$B$7)/SQRT((((398-43)*MAX('Inputs'!$B$33,'Inputs'!$B$29+'Inputs'!$B$31+'Inputs'!$B$32,'Inputs'!$B$30+'Inputs'!$B$31+'Inputs'!$B$32)/1000+'Inputs'!$B$21)+'Inputs'!$B$7)^2+('Inputs'!$B$6/2)^2)-(((398-43)*MAX('Inputs'!$B$33,'Inputs'!$B$29+'Inputs'!$B$31+'Inputs'!$B$32,'Inputs'!$B$30+'Inputs'!$B$31+'Inputs'!$B$32)/1000+'Inputs'!$B$21))/SQRT((((398-43)*MAX('Inputs'!$B$33,'Inputs'!$B$29+'Inputs'!$B$31+'Inputs'!$B$32,'Inputs'!$B$30+'Inputs'!$B$31+'Inputs'!$B$32)/1000+'Inputs'!$B$21))^2+('Inputs'!$B$6/2)^2)))-'Results'!C7*(1-'Inputs'!$B$24)*(0.5*((((398-43)*MAX('Inputs'!$B$33,'Inputs'!$B$29+'Inputs'!$B$31+'Inputs'!$B$32,'Inputs'!$B$30+'Inputs'!$B$31+'Inputs'!$B$32)/1000+'Inputs'!$B$21+'Inputs'!$B$7+'Inputs'!$B$10)+'Inputs'!$B$9)/SQRT((((398-43)*MAX('Inputs'!$B$33,'Inputs'!$B$29+'Inputs'!$B$31+'Inputs'!$B$32,'Inputs'!$B$30+'Inputs'!$B$31+'Inputs'!$B$32)/1000+'Inputs'!$B$21+'Inputs'!$B$7+'Inputs'!$B$10)+'Inputs'!$B$9)^2+('Inputs'!$B$8/2)^2)-(((398-43)*MAX('Inputs'!$B$33,'Inputs'!$B$29+'Inputs'!$B$31+'Inputs'!$B$32,'Inputs'!$B$30+'Inputs'!$B$31+'Inputs'!$B$32)/1000+'Inputs'!$B$21+'Inputs'!$B$7+'Inputs'!$B$10))/SQRT((((398-43)*MAX('Inputs'!$B$33,'Inputs'!$B$29+'Inputs'!$B$31+'Inputs'!$B$32,'Inputs'!$B$30+'Inputs'!$B$31+'Inputs'!$B$32)/1000+'Inputs'!$B$21+'Inputs'!$B$7+'Inputs'!$B$10))^2+('Inputs'!$B$8/2)^2))))*'Results'!$B$8)+'Inputs'!$B$28*ABS((('Results'!B7*(1+'Inputs'!$B$24)*(0.5*((((398-43)*MAX('Inputs'!$B$33,'Inputs'!$B$29+'Inputs'!$B$31+'Inputs'!$B$32,'Inputs'!$B$30+'Inputs'!$B$31+'Inputs'!$B$32)/1000+'Inputs'!$B$21)+'Inputs'!$B$7)/SQRT((((398-43)*MAX('Inputs'!$B$33,'Inputs'!$B$29+'Inputs'!$B$31+'Inputs'!$B$32,'Inputs'!$B$30+'Inputs'!$B$31+'Inputs'!$B$32)/1000+'Inputs'!$B$21)+'Inputs'!$B$7)^2+('Inputs'!$B$6/2)^2)-(((398-43)*MAX('Inputs'!$B$33,'Inputs'!$B$29+'Inputs'!$B$31+'Inputs'!$B$32,'Inputs'!$B$30+'Inputs'!$B$31+'Inputs'!$B$32)/1000+'Inputs'!$B$21))/SQRT((((398-43)*MAX('Inputs'!$B$33,'Inputs'!$B$29+'Inputs'!$B$31+'Inputs'!$B$32,'Inputs'!$B$30+'Inputs'!$B$31+'Inputs'!$B$32)/1000+'Inputs'!$B$21))^2+('Inputs'!$B$6/2)^2)))-'Results'!C7*(1-'Inputs'!$B$24)*(0.5*((((398-43)*MAX('Inputs'!$B$33,'Inputs'!$B$29+'Inputs'!$B$31+'Inputs'!$B$32,'Inputs'!$B$30+'Inputs'!$B$31+'Inputs'!$B$32)/1000+'Inputs'!$B$21+'Inputs'!$B$7+'Inputs'!$B$10)+'Inputs'!$B$9)/SQRT((((398-43)*MAX('Inputs'!$B$33,'Inputs'!$B$29+'Inputs'!$B$31+'Inputs'!$B$32,'Inputs'!$B$30+'Inputs'!$B$31+'Inputs'!$B$32)/1000+'Inputs'!$B$21+'Inputs'!$B$7+'Inputs'!$B$10)+'Inputs'!$B$9)^2+('Inputs'!$B$8/2)^2)-(((398-43)*MAX('Inputs'!$B$33,'Inputs'!$B$29+'Inputs'!$B$31+'Inputs'!$B$32,'Inputs'!$B$30+'Inputs'!$B$31+'Inputs'!$B$32)/1000+'Inputs'!$B$21+'Inputs'!$B$7+'Inputs'!$B$10))/SQRT((((398-43)*MAX('Inputs'!$B$33,'Inputs'!$B$29+'Inputs'!$B$31+'Inputs'!$B$32,'Inputs'!$B$30+'Inputs'!$B$31+'Inputs'!$B$32)/1000+'Inputs'!$B$21+'Inputs'!$B$7+'Inputs'!$B$10))^2+('Inputs'!$B$8/2)^2))))*'Results'!$B$8))),"")</x:f>
        <x:v>14.429288930689236</x:v>
      </x:c>
      <x:c r="M398" t="n">
        <x:f>IF(AND(ISNUMBER('Results'!C7),ISNUMBER('Results'!B7),ISNUMBER('Results'!$B$8),ISNUMBER('Inputs'!$B$6),ISNUMBER('Inputs'!$B$7),ISNUMBER('Inputs'!$B$8),ISNUMBER('Inputs'!$B$9),ISNUMBER('Inputs'!$B$10),ISNUMBER('Inputs'!$B$21),ISNUMBER('Inputs'!$B$24),ISNUMBER('Inputs'!$B$28)),(('Results'!C7*(0.5*((((398-43)*MAX('Inputs'!$B$33,'Inputs'!$B$29+'Inputs'!$B$31+'Inputs'!$B$32,'Inputs'!$B$30+'Inputs'!$B$31+'Inputs'!$B$32)/1000+'Inputs'!$B$21)+'Inputs'!$B$9)/SQRT((((398-43)*MAX('Inputs'!$B$33,'Inputs'!$B$29+'Inputs'!$B$31+'Inputs'!$B$32,'Inputs'!$B$30+'Inputs'!$B$31+'Inputs'!$B$32)/1000+'Inputs'!$B$21)+'Inputs'!$B$9)^2+('Inputs'!$B$8/2)^2)-(((398-43)*MAX('Inputs'!$B$33,'Inputs'!$B$29+'Inputs'!$B$31+'Inputs'!$B$32,'Inputs'!$B$30+'Inputs'!$B$31+'Inputs'!$B$32)/1000+'Inputs'!$B$21))/SQRT((((398-43)*MAX('Inputs'!$B$33,'Inputs'!$B$29+'Inputs'!$B$31+'Inputs'!$B$32,'Inputs'!$B$30+'Inputs'!$B$31+'Inputs'!$B$32)/1000+'Inputs'!$B$21))^2+('Inputs'!$B$8/2)^2)))-'Results'!B7*(0.5*((((398-43)*MAX('Inputs'!$B$33,'Inputs'!$B$29+'Inputs'!$B$31+'Inputs'!$B$32,'Inputs'!$B$30+'Inputs'!$B$31+'Inputs'!$B$32)/1000+'Inputs'!$B$21+'Inputs'!$B$9+'Inputs'!$B$10)+'Inputs'!$B$7)/SQRT((((398-43)*MAX('Inputs'!$B$33,'Inputs'!$B$29+'Inputs'!$B$31+'Inputs'!$B$32,'Inputs'!$B$30+'Inputs'!$B$31+'Inputs'!$B$32)/1000+'Inputs'!$B$21+'Inputs'!$B$9+'Inputs'!$B$10)+'Inputs'!$B$7)^2+('Inputs'!$B$6/2)^2)-(((398-43)*MAX('Inputs'!$B$33,'Inputs'!$B$29+'Inputs'!$B$31+'Inputs'!$B$32,'Inputs'!$B$30+'Inputs'!$B$31+'Inputs'!$B$32)/1000+'Inputs'!$B$21+'Inputs'!$B$9+'Inputs'!$B$10))/SQRT((((398-43)*MAX('Inputs'!$B$33,'Inputs'!$B$29+'Inputs'!$B$31+'Inputs'!$B$32,'Inputs'!$B$30+'Inputs'!$B$31+'Inputs'!$B$32)/1000+'Inputs'!$B$21+'Inputs'!$B$9+'Inputs'!$B$10))^2+('Inputs'!$B$6/2)^2))))*'Results'!$B$8),"")</x:f>
        <x:v>12.35769344049278</x:v>
      </x:c>
      <x:c r="N398" t="n">
        <x:f>IF(AND(ISNUMBER('Results'!C7),ISNUMBER('Results'!B7),ISNUMBER('Results'!$B$8),ISNUMBER('Inputs'!$B$6),ISNUMBER('Inputs'!$B$7),ISNUMBER('Inputs'!$B$8),ISNUMBER('Inputs'!$B$9),ISNUMBER('Inputs'!$B$10),ISNUMBER('Inputs'!$B$21),ISNUMBER('Inputs'!$B$24),ISNUMBER('Inputs'!$B$28)),((('Results'!C7*(1-'Inputs'!$B$24)*(0.5*((((398-43)*MAX('Inputs'!$B$33,'Inputs'!$B$29+'Inputs'!$B$31+'Inputs'!$B$32,'Inputs'!$B$30+'Inputs'!$B$31+'Inputs'!$B$32)/1000+'Inputs'!$B$21)+'Inputs'!$B$9)/SQRT((((398-43)*MAX('Inputs'!$B$33,'Inputs'!$B$29+'Inputs'!$B$31+'Inputs'!$B$32,'Inputs'!$B$30+'Inputs'!$B$31+'Inputs'!$B$32)/1000+'Inputs'!$B$21)+'Inputs'!$B$9)^2+('Inputs'!$B$8/2)^2)-(((398-43)*MAX('Inputs'!$B$33,'Inputs'!$B$29+'Inputs'!$B$31+'Inputs'!$B$32,'Inputs'!$B$30+'Inputs'!$B$31+'Inputs'!$B$32)/1000+'Inputs'!$B$21))/SQRT((((398-43)*MAX('Inputs'!$B$33,'Inputs'!$B$29+'Inputs'!$B$31+'Inputs'!$B$32,'Inputs'!$B$30+'Inputs'!$B$31+'Inputs'!$B$32)/1000+'Inputs'!$B$21))^2+('Inputs'!$B$8/2)^2)))-'Results'!B7*(1+'Inputs'!$B$24)*(0.5*((((398-43)*MAX('Inputs'!$B$33,'Inputs'!$B$29+'Inputs'!$B$31+'Inputs'!$B$32,'Inputs'!$B$30+'Inputs'!$B$31+'Inputs'!$B$32)/1000+'Inputs'!$B$21+'Inputs'!$B$9+'Inputs'!$B$10)+'Inputs'!$B$7)/SQRT((((398-43)*MAX('Inputs'!$B$33,'Inputs'!$B$29+'Inputs'!$B$31+'Inputs'!$B$32,'Inputs'!$B$30+'Inputs'!$B$31+'Inputs'!$B$32)/1000+'Inputs'!$B$21+'Inputs'!$B$9+'Inputs'!$B$10)+'Inputs'!$B$7)^2+('Inputs'!$B$6/2)^2)-(((398-43)*MAX('Inputs'!$B$33,'Inputs'!$B$29+'Inputs'!$B$31+'Inputs'!$B$32,'Inputs'!$B$30+'Inputs'!$B$31+'Inputs'!$B$32)/1000+'Inputs'!$B$21+'Inputs'!$B$9+'Inputs'!$B$10))/SQRT((((398-43)*MAX('Inputs'!$B$33,'Inputs'!$B$29+'Inputs'!$B$31+'Inputs'!$B$32,'Inputs'!$B$30+'Inputs'!$B$31+'Inputs'!$B$32)/1000+'Inputs'!$B$21+'Inputs'!$B$9+'Inputs'!$B$10))^2+('Inputs'!$B$6/2)^2))))*'Results'!$B$8)-'Inputs'!$B$28*ABS((('Results'!C7*(1-'Inputs'!$B$24)*(0.5*((((398-43)*MAX('Inputs'!$B$33,'Inputs'!$B$29+'Inputs'!$B$31+'Inputs'!$B$32,'Inputs'!$B$30+'Inputs'!$B$31+'Inputs'!$B$32)/1000+'Inputs'!$B$21)+'Inputs'!$B$9)/SQRT((((398-43)*MAX('Inputs'!$B$33,'Inputs'!$B$29+'Inputs'!$B$31+'Inputs'!$B$32,'Inputs'!$B$30+'Inputs'!$B$31+'Inputs'!$B$32)/1000+'Inputs'!$B$21)+'Inputs'!$B$9)^2+('Inputs'!$B$8/2)^2)-(((398-43)*MAX('Inputs'!$B$33,'Inputs'!$B$29+'Inputs'!$B$31+'Inputs'!$B$32,'Inputs'!$B$30+'Inputs'!$B$31+'Inputs'!$B$32)/1000+'Inputs'!$B$21))/SQRT((((398-43)*MAX('Inputs'!$B$33,'Inputs'!$B$29+'Inputs'!$B$31+'Inputs'!$B$32,'Inputs'!$B$30+'Inputs'!$B$31+'Inputs'!$B$32)/1000+'Inputs'!$B$21))^2+('Inputs'!$B$8/2)^2)))-'Results'!B7*(1+'Inputs'!$B$24)*(0.5*((((398-43)*MAX('Inputs'!$B$33,'Inputs'!$B$29+'Inputs'!$B$31+'Inputs'!$B$32,'Inputs'!$B$30+'Inputs'!$B$31+'Inputs'!$B$32)/1000+'Inputs'!$B$21+'Inputs'!$B$9+'Inputs'!$B$10)+'Inputs'!$B$7)/SQRT((((398-43)*MAX('Inputs'!$B$33,'Inputs'!$B$29+'Inputs'!$B$31+'Inputs'!$B$32,'Inputs'!$B$30+'Inputs'!$B$31+'Inputs'!$B$32)/1000+'Inputs'!$B$21+'Inputs'!$B$9+'Inputs'!$B$10)+'Inputs'!$B$7)^2+('Inputs'!$B$6/2)^2)-(((398-43)*MAX('Inputs'!$B$33,'Inputs'!$B$29+'Inputs'!$B$31+'Inputs'!$B$32,'Inputs'!$B$30+'Inputs'!$B$31+'Inputs'!$B$32)/1000+'Inputs'!$B$21+'Inputs'!$B$9+'Inputs'!$B$10))/SQRT((((398-43)*MAX('Inputs'!$B$33,'Inputs'!$B$29+'Inputs'!$B$31+'Inputs'!$B$32,'Inputs'!$B$30+'Inputs'!$B$31+'Inputs'!$B$32)/1000+'Inputs'!$B$21+'Inputs'!$B$9+'Inputs'!$B$10))^2+('Inputs'!$B$6/2)^2))))*'Results'!$B$8))),"")</x:f>
        <x:v>11.08913371039299</x:v>
      </x:c>
      <x:c r="O398" t="n">
        <x:f>IF(AND(ISNUMBER('Results'!C7),ISNUMBER('Results'!B7),ISNUMBER('Results'!$B$8),ISNUMBER('Inputs'!$B$6),ISNUMBER('Inputs'!$B$7),ISNUMBER('Inputs'!$B$8),ISNUMBER('Inputs'!$B$9),ISNUMBER('Inputs'!$B$10),ISNUMBER('Inputs'!$B$21),ISNUMBER('Inputs'!$B$24),ISNUMBER('Inputs'!$B$28)),((('Results'!C7*(1+'Inputs'!$B$24)*(0.5*((((398-43)*MAX('Inputs'!$B$33,'Inputs'!$B$29+'Inputs'!$B$31+'Inputs'!$B$32,'Inputs'!$B$30+'Inputs'!$B$31+'Inputs'!$B$32)/1000+'Inputs'!$B$21)+'Inputs'!$B$9)/SQRT((((398-43)*MAX('Inputs'!$B$33,'Inputs'!$B$29+'Inputs'!$B$31+'Inputs'!$B$32,'Inputs'!$B$30+'Inputs'!$B$31+'Inputs'!$B$32)/1000+'Inputs'!$B$21)+'Inputs'!$B$9)^2+('Inputs'!$B$8/2)^2)-(((398-43)*MAX('Inputs'!$B$33,'Inputs'!$B$29+'Inputs'!$B$31+'Inputs'!$B$32,'Inputs'!$B$30+'Inputs'!$B$31+'Inputs'!$B$32)/1000+'Inputs'!$B$21))/SQRT((((398-43)*MAX('Inputs'!$B$33,'Inputs'!$B$29+'Inputs'!$B$31+'Inputs'!$B$32,'Inputs'!$B$30+'Inputs'!$B$31+'Inputs'!$B$32)/1000+'Inputs'!$B$21))^2+('Inputs'!$B$8/2)^2)))-'Results'!B7*(1-'Inputs'!$B$24)*(0.5*((((398-43)*MAX('Inputs'!$B$33,'Inputs'!$B$29+'Inputs'!$B$31+'Inputs'!$B$32,'Inputs'!$B$30+'Inputs'!$B$31+'Inputs'!$B$32)/1000+'Inputs'!$B$21+'Inputs'!$B$9+'Inputs'!$B$10)+'Inputs'!$B$7)/SQRT((((398-43)*MAX('Inputs'!$B$33,'Inputs'!$B$29+'Inputs'!$B$31+'Inputs'!$B$32,'Inputs'!$B$30+'Inputs'!$B$31+'Inputs'!$B$32)/1000+'Inputs'!$B$21+'Inputs'!$B$9+'Inputs'!$B$10)+'Inputs'!$B$7)^2+('Inputs'!$B$6/2)^2)-(((398-43)*MAX('Inputs'!$B$33,'Inputs'!$B$29+'Inputs'!$B$31+'Inputs'!$B$32,'Inputs'!$B$30+'Inputs'!$B$31+'Inputs'!$B$32)/1000+'Inputs'!$B$21+'Inputs'!$B$9+'Inputs'!$B$10))/SQRT((((398-43)*MAX('Inputs'!$B$33,'Inputs'!$B$29+'Inputs'!$B$31+'Inputs'!$B$32,'Inputs'!$B$30+'Inputs'!$B$31+'Inputs'!$B$32)/1000+'Inputs'!$B$21+'Inputs'!$B$9+'Inputs'!$B$10))^2+('Inputs'!$B$6/2)^2))))*'Results'!$B$8)+'Inputs'!$B$28*ABS((('Results'!C7*(1+'Inputs'!$B$24)*(0.5*((((398-43)*MAX('Inputs'!$B$33,'Inputs'!$B$29+'Inputs'!$B$31+'Inputs'!$B$32,'Inputs'!$B$30+'Inputs'!$B$31+'Inputs'!$B$32)/1000+'Inputs'!$B$21)+'Inputs'!$B$9)/SQRT((((398-43)*MAX('Inputs'!$B$33,'Inputs'!$B$29+'Inputs'!$B$31+'Inputs'!$B$32,'Inputs'!$B$30+'Inputs'!$B$31+'Inputs'!$B$32)/1000+'Inputs'!$B$21)+'Inputs'!$B$9)^2+('Inputs'!$B$8/2)^2)-(((398-43)*MAX('Inputs'!$B$33,'Inputs'!$B$29+'Inputs'!$B$31+'Inputs'!$B$32,'Inputs'!$B$30+'Inputs'!$B$31+'Inputs'!$B$32)/1000+'Inputs'!$B$21))/SQRT((((398-43)*MAX('Inputs'!$B$33,'Inputs'!$B$29+'Inputs'!$B$31+'Inputs'!$B$32,'Inputs'!$B$30+'Inputs'!$B$31+'Inputs'!$B$32)/1000+'Inputs'!$B$21))^2+('Inputs'!$B$8/2)^2)))-'Results'!B7*(1-'Inputs'!$B$24)*(0.5*((((398-43)*MAX('Inputs'!$B$33,'Inputs'!$B$29+'Inputs'!$B$31+'Inputs'!$B$32,'Inputs'!$B$30+'Inputs'!$B$31+'Inputs'!$B$32)/1000+'Inputs'!$B$21+'Inputs'!$B$9+'Inputs'!$B$10)+'Inputs'!$B$7)/SQRT((((398-43)*MAX('Inputs'!$B$33,'Inputs'!$B$29+'Inputs'!$B$31+'Inputs'!$B$32,'Inputs'!$B$30+'Inputs'!$B$31+'Inputs'!$B$32)/1000+'Inputs'!$B$21+'Inputs'!$B$9+'Inputs'!$B$10)+'Inputs'!$B$7)^2+('Inputs'!$B$6/2)^2)-(((398-43)*MAX('Inputs'!$B$33,'Inputs'!$B$29+'Inputs'!$B$31+'Inputs'!$B$32,'Inputs'!$B$30+'Inputs'!$B$31+'Inputs'!$B$32)/1000+'Inputs'!$B$21+'Inputs'!$B$9+'Inputs'!$B$10))/SQRT((((398-43)*MAX('Inputs'!$B$33,'Inputs'!$B$29+'Inputs'!$B$31+'Inputs'!$B$32,'Inputs'!$B$30+'Inputs'!$B$31+'Inputs'!$B$32)/1000+'Inputs'!$B$21+'Inputs'!$B$9+'Inputs'!$B$10))^2+('Inputs'!$B$6/2)^2))))*'Results'!$B$8))),"")</x:f>
        <x:v>13.694745281968908</x:v>
      </x:c>
      <x:c r="P398" t="n">
        <x:f>IF(AND(MAX(J398,J397)&gt;0,J398&gt;J397+0.00000001),1,0)</x:f>
        <x:v>0</x:v>
      </x:c>
      <x:c r="Q398" t="n">
        <x:f>IF(AND(MAX(K398,K397)&gt;0,K398&gt;K397+0.00000001),1,0)</x:f>
        <x:v>0</x:v>
      </x:c>
      <x:c r="R398" t="n">
        <x:f>IF(AND(MAX(L398,L397)&gt;0,L398&gt;L397+0.00000001),1,0)</x:f>
        <x:v>0</x:v>
      </x:c>
      <x:c r="S398" t="n">
        <x:f>IF(AND(MAX(M398,M397)&gt;0,M398&gt;M397+0.00000001),1,0)</x:f>
        <x:v>0</x:v>
      </x:c>
      <x:c r="T398" t="n">
        <x:f>IF(AND(MAX(N398,N397)&gt;0,N398&gt;N397+0.00000001),1,0)</x:f>
        <x:v>0</x:v>
      </x:c>
      <x:c r="U398" t="n">
        <x:f>IF(AND(MAX(O398,O397)&gt;0,O398&gt;O397+0.00000001),1,0)</x:f>
        <x:v>0</x:v>
      </x:c>
    </x:row>
    <x:row r="399">
      <x:c r="J399" t="n">
        <x:f>IF(AND(ISNUMBER('Results'!B7),ISNUMBER('Results'!C7),ISNUMBER('Results'!$B$8),ISNUMBER('Inputs'!$B$6),ISNUMBER('Inputs'!$B$7),ISNUMBER('Inputs'!$B$8),ISNUMBER('Inputs'!$B$9),ISNUMBER('Inputs'!$B$10),ISNUMBER('Inputs'!$B$21),ISNUMBER('Inputs'!$B$24),ISNUMBER('Inputs'!$B$28)),(('Results'!B7*(0.5*((((399-43)*MAX('Inputs'!$B$33,'Inputs'!$B$29+'Inputs'!$B$31+'Inputs'!$B$32,'Inputs'!$B$30+'Inputs'!$B$31+'Inputs'!$B$32)/1000+'Inputs'!$B$21)+'Inputs'!$B$7)/SQRT((((399-43)*MAX('Inputs'!$B$33,'Inputs'!$B$29+'Inputs'!$B$31+'Inputs'!$B$32,'Inputs'!$B$30+'Inputs'!$B$31+'Inputs'!$B$32)/1000+'Inputs'!$B$21)+'Inputs'!$B$7)^2+('Inputs'!$B$6/2)^2)-(((399-43)*MAX('Inputs'!$B$33,'Inputs'!$B$29+'Inputs'!$B$31+'Inputs'!$B$32,'Inputs'!$B$30+'Inputs'!$B$31+'Inputs'!$B$32)/1000+'Inputs'!$B$21))/SQRT((((399-43)*MAX('Inputs'!$B$33,'Inputs'!$B$29+'Inputs'!$B$31+'Inputs'!$B$32,'Inputs'!$B$30+'Inputs'!$B$31+'Inputs'!$B$32)/1000+'Inputs'!$B$21))^2+('Inputs'!$B$6/2)^2)))-'Results'!C7*(0.5*((((399-43)*MAX('Inputs'!$B$33,'Inputs'!$B$29+'Inputs'!$B$31+'Inputs'!$B$32,'Inputs'!$B$30+'Inputs'!$B$31+'Inputs'!$B$32)/1000+'Inputs'!$B$21+'Inputs'!$B$7+'Inputs'!$B$10)+'Inputs'!$B$9)/SQRT((((399-43)*MAX('Inputs'!$B$33,'Inputs'!$B$29+'Inputs'!$B$31+'Inputs'!$B$32,'Inputs'!$B$30+'Inputs'!$B$31+'Inputs'!$B$32)/1000+'Inputs'!$B$21+'Inputs'!$B$7+'Inputs'!$B$10)+'Inputs'!$B$9)^2+('Inputs'!$B$8/2)^2)-(((399-43)*MAX('Inputs'!$B$33,'Inputs'!$B$29+'Inputs'!$B$31+'Inputs'!$B$32,'Inputs'!$B$30+'Inputs'!$B$31+'Inputs'!$B$32)/1000+'Inputs'!$B$21+'Inputs'!$B$7+'Inputs'!$B$10))/SQRT((((399-43)*MAX('Inputs'!$B$33,'Inputs'!$B$29+'Inputs'!$B$31+'Inputs'!$B$32,'Inputs'!$B$30+'Inputs'!$B$31+'Inputs'!$B$32)/1000+'Inputs'!$B$21+'Inputs'!$B$7+'Inputs'!$B$10))^2+('Inputs'!$B$8/2)^2))))*'Results'!$B$8),"")</x:f>
        <x:v>12.934252056687527</x:v>
      </x:c>
      <x:c r="K399" t="n">
        <x:f>IF(AND(ISNUMBER('Results'!B7),ISNUMBER('Results'!C7),ISNUMBER('Results'!$B$8),ISNUMBER('Inputs'!$B$6),ISNUMBER('Inputs'!$B$7),ISNUMBER('Inputs'!$B$8),ISNUMBER('Inputs'!$B$9),ISNUMBER('Inputs'!$B$10),ISNUMBER('Inputs'!$B$21),ISNUMBER('Inputs'!$B$24),ISNUMBER('Inputs'!$B$28)),((('Results'!B7*(1-'Inputs'!$B$24)*(0.5*((((399-43)*MAX('Inputs'!$B$33,'Inputs'!$B$29+'Inputs'!$B$31+'Inputs'!$B$32,'Inputs'!$B$30+'Inputs'!$B$31+'Inputs'!$B$32)/1000+'Inputs'!$B$21)+'Inputs'!$B$7)/SQRT((((399-43)*MAX('Inputs'!$B$33,'Inputs'!$B$29+'Inputs'!$B$31+'Inputs'!$B$32,'Inputs'!$B$30+'Inputs'!$B$31+'Inputs'!$B$32)/1000+'Inputs'!$B$21)+'Inputs'!$B$7)^2+('Inputs'!$B$6/2)^2)-(((399-43)*MAX('Inputs'!$B$33,'Inputs'!$B$29+'Inputs'!$B$31+'Inputs'!$B$32,'Inputs'!$B$30+'Inputs'!$B$31+'Inputs'!$B$32)/1000+'Inputs'!$B$21))/SQRT((((399-43)*MAX('Inputs'!$B$33,'Inputs'!$B$29+'Inputs'!$B$31+'Inputs'!$B$32,'Inputs'!$B$30+'Inputs'!$B$31+'Inputs'!$B$32)/1000+'Inputs'!$B$21))^2+('Inputs'!$B$6/2)^2)))-'Results'!C7*(1+'Inputs'!$B$24)*(0.5*((((399-43)*MAX('Inputs'!$B$33,'Inputs'!$B$29+'Inputs'!$B$31+'Inputs'!$B$32,'Inputs'!$B$30+'Inputs'!$B$31+'Inputs'!$B$32)/1000+'Inputs'!$B$21+'Inputs'!$B$7+'Inputs'!$B$10)+'Inputs'!$B$9)/SQRT((((399-43)*MAX('Inputs'!$B$33,'Inputs'!$B$29+'Inputs'!$B$31+'Inputs'!$B$32,'Inputs'!$B$30+'Inputs'!$B$31+'Inputs'!$B$32)/1000+'Inputs'!$B$21+'Inputs'!$B$7+'Inputs'!$B$10)+'Inputs'!$B$9)^2+('Inputs'!$B$8/2)^2)-(((399-43)*MAX('Inputs'!$B$33,'Inputs'!$B$29+'Inputs'!$B$31+'Inputs'!$B$32,'Inputs'!$B$30+'Inputs'!$B$31+'Inputs'!$B$32)/1000+'Inputs'!$B$21+'Inputs'!$B$7+'Inputs'!$B$10))/SQRT((((399-43)*MAX('Inputs'!$B$33,'Inputs'!$B$29+'Inputs'!$B$31+'Inputs'!$B$32,'Inputs'!$B$30+'Inputs'!$B$31+'Inputs'!$B$32)/1000+'Inputs'!$B$21+'Inputs'!$B$7+'Inputs'!$B$10))^2+('Inputs'!$B$8/2)^2))))*'Results'!$B$8)-'Inputs'!$B$28*ABS((('Results'!B7*(1-'Inputs'!$B$24)*(0.5*((((399-43)*MAX('Inputs'!$B$33,'Inputs'!$B$29+'Inputs'!$B$31+'Inputs'!$B$32,'Inputs'!$B$30+'Inputs'!$B$31+'Inputs'!$B$32)/1000+'Inputs'!$B$21)+'Inputs'!$B$7)/SQRT((((399-43)*MAX('Inputs'!$B$33,'Inputs'!$B$29+'Inputs'!$B$31+'Inputs'!$B$32,'Inputs'!$B$30+'Inputs'!$B$31+'Inputs'!$B$32)/1000+'Inputs'!$B$21)+'Inputs'!$B$7)^2+('Inputs'!$B$6/2)^2)-(((399-43)*MAX('Inputs'!$B$33,'Inputs'!$B$29+'Inputs'!$B$31+'Inputs'!$B$32,'Inputs'!$B$30+'Inputs'!$B$31+'Inputs'!$B$32)/1000+'Inputs'!$B$21))/SQRT((((399-43)*MAX('Inputs'!$B$33,'Inputs'!$B$29+'Inputs'!$B$31+'Inputs'!$B$32,'Inputs'!$B$30+'Inputs'!$B$31+'Inputs'!$B$32)/1000+'Inputs'!$B$21))^2+('Inputs'!$B$6/2)^2)))-'Results'!C7*(1+'Inputs'!$B$24)*(0.5*((((399-43)*MAX('Inputs'!$B$33,'Inputs'!$B$29+'Inputs'!$B$31+'Inputs'!$B$32,'Inputs'!$B$30+'Inputs'!$B$31+'Inputs'!$B$32)/1000+'Inputs'!$B$21+'Inputs'!$B$7+'Inputs'!$B$10)+'Inputs'!$B$9)/SQRT((((399-43)*MAX('Inputs'!$B$33,'Inputs'!$B$29+'Inputs'!$B$31+'Inputs'!$B$32,'Inputs'!$B$30+'Inputs'!$B$31+'Inputs'!$B$32)/1000+'Inputs'!$B$21+'Inputs'!$B$7+'Inputs'!$B$10)+'Inputs'!$B$9)^2+('Inputs'!$B$8/2)^2)-(((399-43)*MAX('Inputs'!$B$33,'Inputs'!$B$29+'Inputs'!$B$31+'Inputs'!$B$32,'Inputs'!$B$30+'Inputs'!$B$31+'Inputs'!$B$32)/1000+'Inputs'!$B$21+'Inputs'!$B$7+'Inputs'!$B$10))/SQRT((((399-43)*MAX('Inputs'!$B$33,'Inputs'!$B$29+'Inputs'!$B$31+'Inputs'!$B$32,'Inputs'!$B$30+'Inputs'!$B$31+'Inputs'!$B$32)/1000+'Inputs'!$B$21+'Inputs'!$B$7+'Inputs'!$B$10))^2+('Inputs'!$B$8/2)^2))))*'Results'!$B$8))),"")</x:f>
        <x:v>11.636656272138602</x:v>
      </x:c>
      <x:c r="L399" t="n">
        <x:f>IF(AND(ISNUMBER('Results'!B7),ISNUMBER('Results'!C7),ISNUMBER('Results'!$B$8),ISNUMBER('Inputs'!$B$6),ISNUMBER('Inputs'!$B$7),ISNUMBER('Inputs'!$B$8),ISNUMBER('Inputs'!$B$9),ISNUMBER('Inputs'!$B$10),ISNUMBER('Inputs'!$B$21),ISNUMBER('Inputs'!$B$24),ISNUMBER('Inputs'!$B$28)),((('Results'!B7*(1+'Inputs'!$B$24)*(0.5*((((399-43)*MAX('Inputs'!$B$33,'Inputs'!$B$29+'Inputs'!$B$31+'Inputs'!$B$32,'Inputs'!$B$30+'Inputs'!$B$31+'Inputs'!$B$32)/1000+'Inputs'!$B$21)+'Inputs'!$B$7)/SQRT((((399-43)*MAX('Inputs'!$B$33,'Inputs'!$B$29+'Inputs'!$B$31+'Inputs'!$B$32,'Inputs'!$B$30+'Inputs'!$B$31+'Inputs'!$B$32)/1000+'Inputs'!$B$21)+'Inputs'!$B$7)^2+('Inputs'!$B$6/2)^2)-(((399-43)*MAX('Inputs'!$B$33,'Inputs'!$B$29+'Inputs'!$B$31+'Inputs'!$B$32,'Inputs'!$B$30+'Inputs'!$B$31+'Inputs'!$B$32)/1000+'Inputs'!$B$21))/SQRT((((399-43)*MAX('Inputs'!$B$33,'Inputs'!$B$29+'Inputs'!$B$31+'Inputs'!$B$32,'Inputs'!$B$30+'Inputs'!$B$31+'Inputs'!$B$32)/1000+'Inputs'!$B$21))^2+('Inputs'!$B$6/2)^2)))-'Results'!C7*(1-'Inputs'!$B$24)*(0.5*((((399-43)*MAX('Inputs'!$B$33,'Inputs'!$B$29+'Inputs'!$B$31+'Inputs'!$B$32,'Inputs'!$B$30+'Inputs'!$B$31+'Inputs'!$B$32)/1000+'Inputs'!$B$21+'Inputs'!$B$7+'Inputs'!$B$10)+'Inputs'!$B$9)/SQRT((((399-43)*MAX('Inputs'!$B$33,'Inputs'!$B$29+'Inputs'!$B$31+'Inputs'!$B$32,'Inputs'!$B$30+'Inputs'!$B$31+'Inputs'!$B$32)/1000+'Inputs'!$B$21+'Inputs'!$B$7+'Inputs'!$B$10)+'Inputs'!$B$9)^2+('Inputs'!$B$8/2)^2)-(((399-43)*MAX('Inputs'!$B$33,'Inputs'!$B$29+'Inputs'!$B$31+'Inputs'!$B$32,'Inputs'!$B$30+'Inputs'!$B$31+'Inputs'!$B$32)/1000+'Inputs'!$B$21+'Inputs'!$B$7+'Inputs'!$B$10))/SQRT((((399-43)*MAX('Inputs'!$B$33,'Inputs'!$B$29+'Inputs'!$B$31+'Inputs'!$B$32,'Inputs'!$B$30+'Inputs'!$B$31+'Inputs'!$B$32)/1000+'Inputs'!$B$21+'Inputs'!$B$7+'Inputs'!$B$10))^2+('Inputs'!$B$8/2)^2))))*'Results'!$B$8)+'Inputs'!$B$28*ABS((('Results'!B7*(1+'Inputs'!$B$24)*(0.5*((((399-43)*MAX('Inputs'!$B$33,'Inputs'!$B$29+'Inputs'!$B$31+'Inputs'!$B$32,'Inputs'!$B$30+'Inputs'!$B$31+'Inputs'!$B$32)/1000+'Inputs'!$B$21)+'Inputs'!$B$7)/SQRT((((399-43)*MAX('Inputs'!$B$33,'Inputs'!$B$29+'Inputs'!$B$31+'Inputs'!$B$32,'Inputs'!$B$30+'Inputs'!$B$31+'Inputs'!$B$32)/1000+'Inputs'!$B$21)+'Inputs'!$B$7)^2+('Inputs'!$B$6/2)^2)-(((399-43)*MAX('Inputs'!$B$33,'Inputs'!$B$29+'Inputs'!$B$31+'Inputs'!$B$32,'Inputs'!$B$30+'Inputs'!$B$31+'Inputs'!$B$32)/1000+'Inputs'!$B$21))/SQRT((((399-43)*MAX('Inputs'!$B$33,'Inputs'!$B$29+'Inputs'!$B$31+'Inputs'!$B$32,'Inputs'!$B$30+'Inputs'!$B$31+'Inputs'!$B$32)/1000+'Inputs'!$B$21))^2+('Inputs'!$B$6/2)^2)))-'Results'!C7*(1-'Inputs'!$B$24)*(0.5*((((399-43)*MAX('Inputs'!$B$33,'Inputs'!$B$29+'Inputs'!$B$31+'Inputs'!$B$32,'Inputs'!$B$30+'Inputs'!$B$31+'Inputs'!$B$32)/1000+'Inputs'!$B$21+'Inputs'!$B$7+'Inputs'!$B$10)+'Inputs'!$B$9)/SQRT((((399-43)*MAX('Inputs'!$B$33,'Inputs'!$B$29+'Inputs'!$B$31+'Inputs'!$B$32,'Inputs'!$B$30+'Inputs'!$B$31+'Inputs'!$B$32)/1000+'Inputs'!$B$21+'Inputs'!$B$7+'Inputs'!$B$10)+'Inputs'!$B$9)^2+('Inputs'!$B$8/2)^2)-(((399-43)*MAX('Inputs'!$B$33,'Inputs'!$B$29+'Inputs'!$B$31+'Inputs'!$B$32,'Inputs'!$B$30+'Inputs'!$B$31+'Inputs'!$B$32)/1000+'Inputs'!$B$21+'Inputs'!$B$7+'Inputs'!$B$10))/SQRT((((399-43)*MAX('Inputs'!$B$33,'Inputs'!$B$29+'Inputs'!$B$31+'Inputs'!$B$32,'Inputs'!$B$30+'Inputs'!$B$31+'Inputs'!$B$32)/1000+'Inputs'!$B$21+'Inputs'!$B$7+'Inputs'!$B$10))^2+('Inputs'!$B$8/2)^2))))*'Results'!$B$8))),"")</x:f>
        <x:v>14.300361860364301</x:v>
      </x:c>
      <x:c r="M399" t="n">
        <x:f>IF(AND(ISNUMBER('Results'!C7),ISNUMBER('Results'!B7),ISNUMBER('Results'!$B$8),ISNUMBER('Inputs'!$B$6),ISNUMBER('Inputs'!$B$7),ISNUMBER('Inputs'!$B$8),ISNUMBER('Inputs'!$B$9),ISNUMBER('Inputs'!$B$10),ISNUMBER('Inputs'!$B$21),ISNUMBER('Inputs'!$B$24),ISNUMBER('Inputs'!$B$28)),(('Results'!C7*(0.5*((((399-43)*MAX('Inputs'!$B$33,'Inputs'!$B$29+'Inputs'!$B$31+'Inputs'!$B$32,'Inputs'!$B$30+'Inputs'!$B$31+'Inputs'!$B$32)/1000+'Inputs'!$B$21)+'Inputs'!$B$9)/SQRT((((399-43)*MAX('Inputs'!$B$33,'Inputs'!$B$29+'Inputs'!$B$31+'Inputs'!$B$32,'Inputs'!$B$30+'Inputs'!$B$31+'Inputs'!$B$32)/1000+'Inputs'!$B$21)+'Inputs'!$B$9)^2+('Inputs'!$B$8/2)^2)-(((399-43)*MAX('Inputs'!$B$33,'Inputs'!$B$29+'Inputs'!$B$31+'Inputs'!$B$32,'Inputs'!$B$30+'Inputs'!$B$31+'Inputs'!$B$32)/1000+'Inputs'!$B$21))/SQRT((((399-43)*MAX('Inputs'!$B$33,'Inputs'!$B$29+'Inputs'!$B$31+'Inputs'!$B$32,'Inputs'!$B$30+'Inputs'!$B$31+'Inputs'!$B$32)/1000+'Inputs'!$B$21))^2+('Inputs'!$B$8/2)^2)))-'Results'!B7*(0.5*((((399-43)*MAX('Inputs'!$B$33,'Inputs'!$B$29+'Inputs'!$B$31+'Inputs'!$B$32,'Inputs'!$B$30+'Inputs'!$B$31+'Inputs'!$B$32)/1000+'Inputs'!$B$21+'Inputs'!$B$9+'Inputs'!$B$10)+'Inputs'!$B$7)/SQRT((((399-43)*MAX('Inputs'!$B$33,'Inputs'!$B$29+'Inputs'!$B$31+'Inputs'!$B$32,'Inputs'!$B$30+'Inputs'!$B$31+'Inputs'!$B$32)/1000+'Inputs'!$B$21+'Inputs'!$B$9+'Inputs'!$B$10)+'Inputs'!$B$7)^2+('Inputs'!$B$6/2)^2)-(((399-43)*MAX('Inputs'!$B$33,'Inputs'!$B$29+'Inputs'!$B$31+'Inputs'!$B$32,'Inputs'!$B$30+'Inputs'!$B$31+'Inputs'!$B$32)/1000+'Inputs'!$B$21+'Inputs'!$B$9+'Inputs'!$B$10))/SQRT((((399-43)*MAX('Inputs'!$B$33,'Inputs'!$B$29+'Inputs'!$B$31+'Inputs'!$B$32,'Inputs'!$B$30+'Inputs'!$B$31+'Inputs'!$B$32)/1000+'Inputs'!$B$21+'Inputs'!$B$9+'Inputs'!$B$10))^2+('Inputs'!$B$6/2)^2))))*'Results'!$B$8),"")</x:f>
        <x:v>12.244760282244313</x:v>
      </x:c>
      <x:c r="N399" t="n">
        <x:f>IF(AND(ISNUMBER('Results'!C7),ISNUMBER('Results'!B7),ISNUMBER('Results'!$B$8),ISNUMBER('Inputs'!$B$6),ISNUMBER('Inputs'!$B$7),ISNUMBER('Inputs'!$B$8),ISNUMBER('Inputs'!$B$9),ISNUMBER('Inputs'!$B$10),ISNUMBER('Inputs'!$B$21),ISNUMBER('Inputs'!$B$24),ISNUMBER('Inputs'!$B$28)),((('Results'!C7*(1-'Inputs'!$B$24)*(0.5*((((399-43)*MAX('Inputs'!$B$33,'Inputs'!$B$29+'Inputs'!$B$31+'Inputs'!$B$32,'Inputs'!$B$30+'Inputs'!$B$31+'Inputs'!$B$32)/1000+'Inputs'!$B$21)+'Inputs'!$B$9)/SQRT((((399-43)*MAX('Inputs'!$B$33,'Inputs'!$B$29+'Inputs'!$B$31+'Inputs'!$B$32,'Inputs'!$B$30+'Inputs'!$B$31+'Inputs'!$B$32)/1000+'Inputs'!$B$21)+'Inputs'!$B$9)^2+('Inputs'!$B$8/2)^2)-(((399-43)*MAX('Inputs'!$B$33,'Inputs'!$B$29+'Inputs'!$B$31+'Inputs'!$B$32,'Inputs'!$B$30+'Inputs'!$B$31+'Inputs'!$B$32)/1000+'Inputs'!$B$21))/SQRT((((399-43)*MAX('Inputs'!$B$33,'Inputs'!$B$29+'Inputs'!$B$31+'Inputs'!$B$32,'Inputs'!$B$30+'Inputs'!$B$31+'Inputs'!$B$32)/1000+'Inputs'!$B$21))^2+('Inputs'!$B$8/2)^2)))-'Results'!B7*(1+'Inputs'!$B$24)*(0.5*((((399-43)*MAX('Inputs'!$B$33,'Inputs'!$B$29+'Inputs'!$B$31+'Inputs'!$B$32,'Inputs'!$B$30+'Inputs'!$B$31+'Inputs'!$B$32)/1000+'Inputs'!$B$21+'Inputs'!$B$9+'Inputs'!$B$10)+'Inputs'!$B$7)/SQRT((((399-43)*MAX('Inputs'!$B$33,'Inputs'!$B$29+'Inputs'!$B$31+'Inputs'!$B$32,'Inputs'!$B$30+'Inputs'!$B$31+'Inputs'!$B$32)/1000+'Inputs'!$B$21+'Inputs'!$B$9+'Inputs'!$B$10)+'Inputs'!$B$7)^2+('Inputs'!$B$6/2)^2)-(((399-43)*MAX('Inputs'!$B$33,'Inputs'!$B$29+'Inputs'!$B$31+'Inputs'!$B$32,'Inputs'!$B$30+'Inputs'!$B$31+'Inputs'!$B$32)/1000+'Inputs'!$B$21+'Inputs'!$B$9+'Inputs'!$B$10))/SQRT((((399-43)*MAX('Inputs'!$B$33,'Inputs'!$B$29+'Inputs'!$B$31+'Inputs'!$B$32,'Inputs'!$B$30+'Inputs'!$B$31+'Inputs'!$B$32)/1000+'Inputs'!$B$21+'Inputs'!$B$9+'Inputs'!$B$10))^2+('Inputs'!$B$6/2)^2))))*'Results'!$B$8)-'Inputs'!$B$28*ABS((('Results'!C7*(1-'Inputs'!$B$24)*(0.5*((((399-43)*MAX('Inputs'!$B$33,'Inputs'!$B$29+'Inputs'!$B$31+'Inputs'!$B$32,'Inputs'!$B$30+'Inputs'!$B$31+'Inputs'!$B$32)/1000+'Inputs'!$B$21)+'Inputs'!$B$9)/SQRT((((399-43)*MAX('Inputs'!$B$33,'Inputs'!$B$29+'Inputs'!$B$31+'Inputs'!$B$32,'Inputs'!$B$30+'Inputs'!$B$31+'Inputs'!$B$32)/1000+'Inputs'!$B$21)+'Inputs'!$B$9)^2+('Inputs'!$B$8/2)^2)-(((399-43)*MAX('Inputs'!$B$33,'Inputs'!$B$29+'Inputs'!$B$31+'Inputs'!$B$32,'Inputs'!$B$30+'Inputs'!$B$31+'Inputs'!$B$32)/1000+'Inputs'!$B$21))/SQRT((((399-43)*MAX('Inputs'!$B$33,'Inputs'!$B$29+'Inputs'!$B$31+'Inputs'!$B$32,'Inputs'!$B$30+'Inputs'!$B$31+'Inputs'!$B$32)/1000+'Inputs'!$B$21))^2+('Inputs'!$B$8/2)^2)))-'Results'!B7*(1+'Inputs'!$B$24)*(0.5*((((399-43)*MAX('Inputs'!$B$33,'Inputs'!$B$29+'Inputs'!$B$31+'Inputs'!$B$32,'Inputs'!$B$30+'Inputs'!$B$31+'Inputs'!$B$32)/1000+'Inputs'!$B$21+'Inputs'!$B$9+'Inputs'!$B$10)+'Inputs'!$B$7)/SQRT((((399-43)*MAX('Inputs'!$B$33,'Inputs'!$B$29+'Inputs'!$B$31+'Inputs'!$B$32,'Inputs'!$B$30+'Inputs'!$B$31+'Inputs'!$B$32)/1000+'Inputs'!$B$21+'Inputs'!$B$9+'Inputs'!$B$10)+'Inputs'!$B$7)^2+('Inputs'!$B$6/2)^2)-(((399-43)*MAX('Inputs'!$B$33,'Inputs'!$B$29+'Inputs'!$B$31+'Inputs'!$B$32,'Inputs'!$B$30+'Inputs'!$B$31+'Inputs'!$B$32)/1000+'Inputs'!$B$21+'Inputs'!$B$9+'Inputs'!$B$10))/SQRT((((399-43)*MAX('Inputs'!$B$33,'Inputs'!$B$29+'Inputs'!$B$31+'Inputs'!$B$32,'Inputs'!$B$30+'Inputs'!$B$31+'Inputs'!$B$32)/1000+'Inputs'!$B$21+'Inputs'!$B$9+'Inputs'!$B$10))^2+('Inputs'!$B$6/2)^2))))*'Results'!$B$8))),"")</x:f>
        <x:v>10.98647142211896</x:v>
      </x:c>
      <x:c r="O399" t="n">
        <x:f>IF(AND(ISNUMBER('Results'!C7),ISNUMBER('Results'!B7),ISNUMBER('Results'!$B$8),ISNUMBER('Inputs'!$B$6),ISNUMBER('Inputs'!$B$7),ISNUMBER('Inputs'!$B$8),ISNUMBER('Inputs'!$B$9),ISNUMBER('Inputs'!$B$10),ISNUMBER('Inputs'!$B$21),ISNUMBER('Inputs'!$B$24),ISNUMBER('Inputs'!$B$28)),((('Results'!C7*(1+'Inputs'!$B$24)*(0.5*((((399-43)*MAX('Inputs'!$B$33,'Inputs'!$B$29+'Inputs'!$B$31+'Inputs'!$B$32,'Inputs'!$B$30+'Inputs'!$B$31+'Inputs'!$B$32)/1000+'Inputs'!$B$21)+'Inputs'!$B$9)/SQRT((((399-43)*MAX('Inputs'!$B$33,'Inputs'!$B$29+'Inputs'!$B$31+'Inputs'!$B$32,'Inputs'!$B$30+'Inputs'!$B$31+'Inputs'!$B$32)/1000+'Inputs'!$B$21)+'Inputs'!$B$9)^2+('Inputs'!$B$8/2)^2)-(((399-43)*MAX('Inputs'!$B$33,'Inputs'!$B$29+'Inputs'!$B$31+'Inputs'!$B$32,'Inputs'!$B$30+'Inputs'!$B$31+'Inputs'!$B$32)/1000+'Inputs'!$B$21))/SQRT((((399-43)*MAX('Inputs'!$B$33,'Inputs'!$B$29+'Inputs'!$B$31+'Inputs'!$B$32,'Inputs'!$B$30+'Inputs'!$B$31+'Inputs'!$B$32)/1000+'Inputs'!$B$21))^2+('Inputs'!$B$8/2)^2)))-'Results'!B7*(1-'Inputs'!$B$24)*(0.5*((((399-43)*MAX('Inputs'!$B$33,'Inputs'!$B$29+'Inputs'!$B$31+'Inputs'!$B$32,'Inputs'!$B$30+'Inputs'!$B$31+'Inputs'!$B$32)/1000+'Inputs'!$B$21+'Inputs'!$B$9+'Inputs'!$B$10)+'Inputs'!$B$7)/SQRT((((399-43)*MAX('Inputs'!$B$33,'Inputs'!$B$29+'Inputs'!$B$31+'Inputs'!$B$32,'Inputs'!$B$30+'Inputs'!$B$31+'Inputs'!$B$32)/1000+'Inputs'!$B$21+'Inputs'!$B$9+'Inputs'!$B$10)+'Inputs'!$B$7)^2+('Inputs'!$B$6/2)^2)-(((399-43)*MAX('Inputs'!$B$33,'Inputs'!$B$29+'Inputs'!$B$31+'Inputs'!$B$32,'Inputs'!$B$30+'Inputs'!$B$31+'Inputs'!$B$32)/1000+'Inputs'!$B$21+'Inputs'!$B$9+'Inputs'!$B$10))/SQRT((((399-43)*MAX('Inputs'!$B$33,'Inputs'!$B$29+'Inputs'!$B$31+'Inputs'!$B$32,'Inputs'!$B$30+'Inputs'!$B$31+'Inputs'!$B$32)/1000+'Inputs'!$B$21+'Inputs'!$B$9+'Inputs'!$B$10))^2+('Inputs'!$B$6/2)^2))))*'Results'!$B$8)+'Inputs'!$B$28*ABS((('Results'!C7*(1+'Inputs'!$B$24)*(0.5*((((399-43)*MAX('Inputs'!$B$33,'Inputs'!$B$29+'Inputs'!$B$31+'Inputs'!$B$32,'Inputs'!$B$30+'Inputs'!$B$31+'Inputs'!$B$32)/1000+'Inputs'!$B$21)+'Inputs'!$B$9)/SQRT((((399-43)*MAX('Inputs'!$B$33,'Inputs'!$B$29+'Inputs'!$B$31+'Inputs'!$B$32,'Inputs'!$B$30+'Inputs'!$B$31+'Inputs'!$B$32)/1000+'Inputs'!$B$21)+'Inputs'!$B$9)^2+('Inputs'!$B$8/2)^2)-(((399-43)*MAX('Inputs'!$B$33,'Inputs'!$B$29+'Inputs'!$B$31+'Inputs'!$B$32,'Inputs'!$B$30+'Inputs'!$B$31+'Inputs'!$B$32)/1000+'Inputs'!$B$21))/SQRT((((399-43)*MAX('Inputs'!$B$33,'Inputs'!$B$29+'Inputs'!$B$31+'Inputs'!$B$32,'Inputs'!$B$30+'Inputs'!$B$31+'Inputs'!$B$32)/1000+'Inputs'!$B$21))^2+('Inputs'!$B$8/2)^2)))-'Results'!B7*(1-'Inputs'!$B$24)*(0.5*((((399-43)*MAX('Inputs'!$B$33,'Inputs'!$B$29+'Inputs'!$B$31+'Inputs'!$B$32,'Inputs'!$B$30+'Inputs'!$B$31+'Inputs'!$B$32)/1000+'Inputs'!$B$21+'Inputs'!$B$9+'Inputs'!$B$10)+'Inputs'!$B$7)/SQRT((((399-43)*MAX('Inputs'!$B$33,'Inputs'!$B$29+'Inputs'!$B$31+'Inputs'!$B$32,'Inputs'!$B$30+'Inputs'!$B$31+'Inputs'!$B$32)/1000+'Inputs'!$B$21+'Inputs'!$B$9+'Inputs'!$B$10)+'Inputs'!$B$7)^2+('Inputs'!$B$6/2)^2)-(((399-43)*MAX('Inputs'!$B$33,'Inputs'!$B$29+'Inputs'!$B$31+'Inputs'!$B$32,'Inputs'!$B$30+'Inputs'!$B$31+'Inputs'!$B$32)/1000+'Inputs'!$B$21+'Inputs'!$B$9+'Inputs'!$B$10))/SQRT((((399-43)*MAX('Inputs'!$B$33,'Inputs'!$B$29+'Inputs'!$B$31+'Inputs'!$B$32,'Inputs'!$B$30+'Inputs'!$B$31+'Inputs'!$B$32)/1000+'Inputs'!$B$21+'Inputs'!$B$9+'Inputs'!$B$10))^2+('Inputs'!$B$6/2)^2))))*'Results'!$B$8))),"")</x:f>
        <x:v>13.571054494581578</x:v>
      </x:c>
      <x:c r="P399" t="n">
        <x:f>IF(AND(MAX(J399,J398)&gt;0,J399&gt;J398+0.00000001),1,0)</x:f>
        <x:v>0</x:v>
      </x:c>
      <x:c r="Q399" t="n">
        <x:f>IF(AND(MAX(K399,K398)&gt;0,K399&gt;K398+0.00000001),1,0)</x:f>
        <x:v>0</x:v>
      </x:c>
      <x:c r="R399" t="n">
        <x:f>IF(AND(MAX(L399,L398)&gt;0,L399&gt;L398+0.00000001),1,0)</x:f>
        <x:v>0</x:v>
      </x:c>
      <x:c r="S399" t="n">
        <x:f>IF(AND(MAX(M399,M398)&gt;0,M399&gt;M398+0.00000001),1,0)</x:f>
        <x:v>0</x:v>
      </x:c>
      <x:c r="T399" t="n">
        <x:f>IF(AND(MAX(N399,N398)&gt;0,N399&gt;N398+0.00000001),1,0)</x:f>
        <x:v>0</x:v>
      </x:c>
      <x:c r="U399" t="n">
        <x:f>IF(AND(MAX(O399,O398)&gt;0,O399&gt;O398+0.00000001),1,0)</x:f>
        <x:v>0</x:v>
      </x:c>
    </x:row>
    <x:row r="400">
      <x:c r="J400" t="n">
        <x:f>IF(AND(ISNUMBER('Results'!B7),ISNUMBER('Results'!C7),ISNUMBER('Results'!$B$8),ISNUMBER('Inputs'!$B$6),ISNUMBER('Inputs'!$B$7),ISNUMBER('Inputs'!$B$8),ISNUMBER('Inputs'!$B$9),ISNUMBER('Inputs'!$B$10),ISNUMBER('Inputs'!$B$21),ISNUMBER('Inputs'!$B$24),ISNUMBER('Inputs'!$B$28)),(('Results'!B7*(0.5*((((400-43)*MAX('Inputs'!$B$33,'Inputs'!$B$29+'Inputs'!$B$31+'Inputs'!$B$32,'Inputs'!$B$30+'Inputs'!$B$31+'Inputs'!$B$32)/1000+'Inputs'!$B$21)+'Inputs'!$B$7)/SQRT((((400-43)*MAX('Inputs'!$B$33,'Inputs'!$B$29+'Inputs'!$B$31+'Inputs'!$B$32,'Inputs'!$B$30+'Inputs'!$B$31+'Inputs'!$B$32)/1000+'Inputs'!$B$21)+'Inputs'!$B$7)^2+('Inputs'!$B$6/2)^2)-(((400-43)*MAX('Inputs'!$B$33,'Inputs'!$B$29+'Inputs'!$B$31+'Inputs'!$B$32,'Inputs'!$B$30+'Inputs'!$B$31+'Inputs'!$B$32)/1000+'Inputs'!$B$21))/SQRT((((400-43)*MAX('Inputs'!$B$33,'Inputs'!$B$29+'Inputs'!$B$31+'Inputs'!$B$32,'Inputs'!$B$30+'Inputs'!$B$31+'Inputs'!$B$32)/1000+'Inputs'!$B$21))^2+('Inputs'!$B$6/2)^2)))-'Results'!C7*(0.5*((((400-43)*MAX('Inputs'!$B$33,'Inputs'!$B$29+'Inputs'!$B$31+'Inputs'!$B$32,'Inputs'!$B$30+'Inputs'!$B$31+'Inputs'!$B$32)/1000+'Inputs'!$B$21+'Inputs'!$B$7+'Inputs'!$B$10)+'Inputs'!$B$9)/SQRT((((400-43)*MAX('Inputs'!$B$33,'Inputs'!$B$29+'Inputs'!$B$31+'Inputs'!$B$32,'Inputs'!$B$30+'Inputs'!$B$31+'Inputs'!$B$32)/1000+'Inputs'!$B$21+'Inputs'!$B$7+'Inputs'!$B$10)+'Inputs'!$B$9)^2+('Inputs'!$B$8/2)^2)-(((400-43)*MAX('Inputs'!$B$33,'Inputs'!$B$29+'Inputs'!$B$31+'Inputs'!$B$32,'Inputs'!$B$30+'Inputs'!$B$31+'Inputs'!$B$32)/1000+'Inputs'!$B$21+'Inputs'!$B$7+'Inputs'!$B$10))/SQRT((((400-43)*MAX('Inputs'!$B$33,'Inputs'!$B$29+'Inputs'!$B$31+'Inputs'!$B$32,'Inputs'!$B$30+'Inputs'!$B$31+'Inputs'!$B$32)/1000+'Inputs'!$B$21+'Inputs'!$B$7+'Inputs'!$B$10))^2+('Inputs'!$B$8/2)^2))))*'Results'!$B$8),"")</x:f>
        <x:v>12.817704015826854</x:v>
      </x:c>
      <x:c r="K400" t="n">
        <x:f>IF(AND(ISNUMBER('Results'!B7),ISNUMBER('Results'!C7),ISNUMBER('Results'!$B$8),ISNUMBER('Inputs'!$B$6),ISNUMBER('Inputs'!$B$7),ISNUMBER('Inputs'!$B$8),ISNUMBER('Inputs'!$B$9),ISNUMBER('Inputs'!$B$10),ISNUMBER('Inputs'!$B$21),ISNUMBER('Inputs'!$B$24),ISNUMBER('Inputs'!$B$28)),((('Results'!B7*(1-'Inputs'!$B$24)*(0.5*((((400-43)*MAX('Inputs'!$B$33,'Inputs'!$B$29+'Inputs'!$B$31+'Inputs'!$B$32,'Inputs'!$B$30+'Inputs'!$B$31+'Inputs'!$B$32)/1000+'Inputs'!$B$21)+'Inputs'!$B$7)/SQRT((((400-43)*MAX('Inputs'!$B$33,'Inputs'!$B$29+'Inputs'!$B$31+'Inputs'!$B$32,'Inputs'!$B$30+'Inputs'!$B$31+'Inputs'!$B$32)/1000+'Inputs'!$B$21)+'Inputs'!$B$7)^2+('Inputs'!$B$6/2)^2)-(((400-43)*MAX('Inputs'!$B$33,'Inputs'!$B$29+'Inputs'!$B$31+'Inputs'!$B$32,'Inputs'!$B$30+'Inputs'!$B$31+'Inputs'!$B$32)/1000+'Inputs'!$B$21))/SQRT((((400-43)*MAX('Inputs'!$B$33,'Inputs'!$B$29+'Inputs'!$B$31+'Inputs'!$B$32,'Inputs'!$B$30+'Inputs'!$B$31+'Inputs'!$B$32)/1000+'Inputs'!$B$21))^2+('Inputs'!$B$6/2)^2)))-'Results'!C7*(1+'Inputs'!$B$24)*(0.5*((((400-43)*MAX('Inputs'!$B$33,'Inputs'!$B$29+'Inputs'!$B$31+'Inputs'!$B$32,'Inputs'!$B$30+'Inputs'!$B$31+'Inputs'!$B$32)/1000+'Inputs'!$B$21+'Inputs'!$B$7+'Inputs'!$B$10)+'Inputs'!$B$9)/SQRT((((400-43)*MAX('Inputs'!$B$33,'Inputs'!$B$29+'Inputs'!$B$31+'Inputs'!$B$32,'Inputs'!$B$30+'Inputs'!$B$31+'Inputs'!$B$32)/1000+'Inputs'!$B$21+'Inputs'!$B$7+'Inputs'!$B$10)+'Inputs'!$B$9)^2+('Inputs'!$B$8/2)^2)-(((400-43)*MAX('Inputs'!$B$33,'Inputs'!$B$29+'Inputs'!$B$31+'Inputs'!$B$32,'Inputs'!$B$30+'Inputs'!$B$31+'Inputs'!$B$32)/1000+'Inputs'!$B$21+'Inputs'!$B$7+'Inputs'!$B$10))/SQRT((((400-43)*MAX('Inputs'!$B$33,'Inputs'!$B$29+'Inputs'!$B$31+'Inputs'!$B$32,'Inputs'!$B$30+'Inputs'!$B$31+'Inputs'!$B$32)/1000+'Inputs'!$B$21+'Inputs'!$B$7+'Inputs'!$B$10))^2+('Inputs'!$B$8/2)^2))))*'Results'!$B$8)-'Inputs'!$B$28*ABS((('Results'!B7*(1-'Inputs'!$B$24)*(0.5*((((400-43)*MAX('Inputs'!$B$33,'Inputs'!$B$29+'Inputs'!$B$31+'Inputs'!$B$32,'Inputs'!$B$30+'Inputs'!$B$31+'Inputs'!$B$32)/1000+'Inputs'!$B$21)+'Inputs'!$B$7)/SQRT((((400-43)*MAX('Inputs'!$B$33,'Inputs'!$B$29+'Inputs'!$B$31+'Inputs'!$B$32,'Inputs'!$B$30+'Inputs'!$B$31+'Inputs'!$B$32)/1000+'Inputs'!$B$21)+'Inputs'!$B$7)^2+('Inputs'!$B$6/2)^2)-(((400-43)*MAX('Inputs'!$B$33,'Inputs'!$B$29+'Inputs'!$B$31+'Inputs'!$B$32,'Inputs'!$B$30+'Inputs'!$B$31+'Inputs'!$B$32)/1000+'Inputs'!$B$21))/SQRT((((400-43)*MAX('Inputs'!$B$33,'Inputs'!$B$29+'Inputs'!$B$31+'Inputs'!$B$32,'Inputs'!$B$30+'Inputs'!$B$31+'Inputs'!$B$32)/1000+'Inputs'!$B$21))^2+('Inputs'!$B$6/2)^2)))-'Results'!C7*(1+'Inputs'!$B$24)*(0.5*((((400-43)*MAX('Inputs'!$B$33,'Inputs'!$B$29+'Inputs'!$B$31+'Inputs'!$B$32,'Inputs'!$B$30+'Inputs'!$B$31+'Inputs'!$B$32)/1000+'Inputs'!$B$21+'Inputs'!$B$7+'Inputs'!$B$10)+'Inputs'!$B$9)/SQRT((((400-43)*MAX('Inputs'!$B$33,'Inputs'!$B$29+'Inputs'!$B$31+'Inputs'!$B$32,'Inputs'!$B$30+'Inputs'!$B$31+'Inputs'!$B$32)/1000+'Inputs'!$B$21+'Inputs'!$B$7+'Inputs'!$B$10)+'Inputs'!$B$9)^2+('Inputs'!$B$8/2)^2)-(((400-43)*MAX('Inputs'!$B$33,'Inputs'!$B$29+'Inputs'!$B$31+'Inputs'!$B$32,'Inputs'!$B$30+'Inputs'!$B$31+'Inputs'!$B$32)/1000+'Inputs'!$B$21+'Inputs'!$B$7+'Inputs'!$B$10))/SQRT((((400-43)*MAX('Inputs'!$B$33,'Inputs'!$B$29+'Inputs'!$B$31+'Inputs'!$B$32,'Inputs'!$B$30+'Inputs'!$B$31+'Inputs'!$B$32)/1000+'Inputs'!$B$21+'Inputs'!$B$7+'Inputs'!$B$10))^2+('Inputs'!$B$8/2)^2))))*'Results'!$B$8))),"")</x:f>
        <x:v>11.530559812900053</x:v>
      </x:c>
      <x:c r="L400" t="n">
        <x:f>IF(AND(ISNUMBER('Results'!B7),ISNUMBER('Results'!C7),ISNUMBER('Results'!$B$8),ISNUMBER('Inputs'!$B$6),ISNUMBER('Inputs'!$B$7),ISNUMBER('Inputs'!$B$8),ISNUMBER('Inputs'!$B$9),ISNUMBER('Inputs'!$B$10),ISNUMBER('Inputs'!$B$21),ISNUMBER('Inputs'!$B$24),ISNUMBER('Inputs'!$B$28)),((('Results'!B7*(1+'Inputs'!$B$24)*(0.5*((((400-43)*MAX('Inputs'!$B$33,'Inputs'!$B$29+'Inputs'!$B$31+'Inputs'!$B$32,'Inputs'!$B$30+'Inputs'!$B$31+'Inputs'!$B$32)/1000+'Inputs'!$B$21)+'Inputs'!$B$7)/SQRT((((400-43)*MAX('Inputs'!$B$33,'Inputs'!$B$29+'Inputs'!$B$31+'Inputs'!$B$32,'Inputs'!$B$30+'Inputs'!$B$31+'Inputs'!$B$32)/1000+'Inputs'!$B$21)+'Inputs'!$B$7)^2+('Inputs'!$B$6/2)^2)-(((400-43)*MAX('Inputs'!$B$33,'Inputs'!$B$29+'Inputs'!$B$31+'Inputs'!$B$32,'Inputs'!$B$30+'Inputs'!$B$31+'Inputs'!$B$32)/1000+'Inputs'!$B$21))/SQRT((((400-43)*MAX('Inputs'!$B$33,'Inputs'!$B$29+'Inputs'!$B$31+'Inputs'!$B$32,'Inputs'!$B$30+'Inputs'!$B$31+'Inputs'!$B$32)/1000+'Inputs'!$B$21))^2+('Inputs'!$B$6/2)^2)))-'Results'!C7*(1-'Inputs'!$B$24)*(0.5*((((400-43)*MAX('Inputs'!$B$33,'Inputs'!$B$29+'Inputs'!$B$31+'Inputs'!$B$32,'Inputs'!$B$30+'Inputs'!$B$31+'Inputs'!$B$32)/1000+'Inputs'!$B$21+'Inputs'!$B$7+'Inputs'!$B$10)+'Inputs'!$B$9)/SQRT((((400-43)*MAX('Inputs'!$B$33,'Inputs'!$B$29+'Inputs'!$B$31+'Inputs'!$B$32,'Inputs'!$B$30+'Inputs'!$B$31+'Inputs'!$B$32)/1000+'Inputs'!$B$21+'Inputs'!$B$7+'Inputs'!$B$10)+'Inputs'!$B$9)^2+('Inputs'!$B$8/2)^2)-(((400-43)*MAX('Inputs'!$B$33,'Inputs'!$B$29+'Inputs'!$B$31+'Inputs'!$B$32,'Inputs'!$B$30+'Inputs'!$B$31+'Inputs'!$B$32)/1000+'Inputs'!$B$21+'Inputs'!$B$7+'Inputs'!$B$10))/SQRT((((400-43)*MAX('Inputs'!$B$33,'Inputs'!$B$29+'Inputs'!$B$31+'Inputs'!$B$32,'Inputs'!$B$30+'Inputs'!$B$31+'Inputs'!$B$32)/1000+'Inputs'!$B$21+'Inputs'!$B$7+'Inputs'!$B$10))^2+('Inputs'!$B$8/2)^2))))*'Results'!$B$8)+'Inputs'!$B$28*ABS((('Results'!B7*(1+'Inputs'!$B$24)*(0.5*((((400-43)*MAX('Inputs'!$B$33,'Inputs'!$B$29+'Inputs'!$B$31+'Inputs'!$B$32,'Inputs'!$B$30+'Inputs'!$B$31+'Inputs'!$B$32)/1000+'Inputs'!$B$21)+'Inputs'!$B$7)/SQRT((((400-43)*MAX('Inputs'!$B$33,'Inputs'!$B$29+'Inputs'!$B$31+'Inputs'!$B$32,'Inputs'!$B$30+'Inputs'!$B$31+'Inputs'!$B$32)/1000+'Inputs'!$B$21)+'Inputs'!$B$7)^2+('Inputs'!$B$6/2)^2)-(((400-43)*MAX('Inputs'!$B$33,'Inputs'!$B$29+'Inputs'!$B$31+'Inputs'!$B$32,'Inputs'!$B$30+'Inputs'!$B$31+'Inputs'!$B$32)/1000+'Inputs'!$B$21))/SQRT((((400-43)*MAX('Inputs'!$B$33,'Inputs'!$B$29+'Inputs'!$B$31+'Inputs'!$B$32,'Inputs'!$B$30+'Inputs'!$B$31+'Inputs'!$B$32)/1000+'Inputs'!$B$21))^2+('Inputs'!$B$6/2)^2)))-'Results'!C7*(1-'Inputs'!$B$24)*(0.5*((((400-43)*MAX('Inputs'!$B$33,'Inputs'!$B$29+'Inputs'!$B$31+'Inputs'!$B$32,'Inputs'!$B$30+'Inputs'!$B$31+'Inputs'!$B$32)/1000+'Inputs'!$B$21+'Inputs'!$B$7+'Inputs'!$B$10)+'Inputs'!$B$9)/SQRT((((400-43)*MAX('Inputs'!$B$33,'Inputs'!$B$29+'Inputs'!$B$31+'Inputs'!$B$32,'Inputs'!$B$30+'Inputs'!$B$31+'Inputs'!$B$32)/1000+'Inputs'!$B$21+'Inputs'!$B$7+'Inputs'!$B$10)+'Inputs'!$B$9)^2+('Inputs'!$B$8/2)^2)-(((400-43)*MAX('Inputs'!$B$33,'Inputs'!$B$29+'Inputs'!$B$31+'Inputs'!$B$32,'Inputs'!$B$30+'Inputs'!$B$31+'Inputs'!$B$32)/1000+'Inputs'!$B$21+'Inputs'!$B$7+'Inputs'!$B$10))/SQRT((((400-43)*MAX('Inputs'!$B$33,'Inputs'!$B$29+'Inputs'!$B$31+'Inputs'!$B$32,'Inputs'!$B$30+'Inputs'!$B$31+'Inputs'!$B$32)/1000+'Inputs'!$B$21+'Inputs'!$B$7+'Inputs'!$B$10))^2+('Inputs'!$B$8/2)^2))))*'Results'!$B$8))),"")</x:f>
        <x:v>14.172875482136337</x:v>
      </x:c>
      <x:c r="M400" t="n">
        <x:f>IF(AND(ISNUMBER('Results'!C7),ISNUMBER('Results'!B7),ISNUMBER('Results'!$B$8),ISNUMBER('Inputs'!$B$6),ISNUMBER('Inputs'!$B$7),ISNUMBER('Inputs'!$B$8),ISNUMBER('Inputs'!$B$9),ISNUMBER('Inputs'!$B$10),ISNUMBER('Inputs'!$B$21),ISNUMBER('Inputs'!$B$24),ISNUMBER('Inputs'!$B$28)),(('Results'!C7*(0.5*((((400-43)*MAX('Inputs'!$B$33,'Inputs'!$B$29+'Inputs'!$B$31+'Inputs'!$B$32,'Inputs'!$B$30+'Inputs'!$B$31+'Inputs'!$B$32)/1000+'Inputs'!$B$21)+'Inputs'!$B$9)/SQRT((((400-43)*MAX('Inputs'!$B$33,'Inputs'!$B$29+'Inputs'!$B$31+'Inputs'!$B$32,'Inputs'!$B$30+'Inputs'!$B$31+'Inputs'!$B$32)/1000+'Inputs'!$B$21)+'Inputs'!$B$9)^2+('Inputs'!$B$8/2)^2)-(((400-43)*MAX('Inputs'!$B$33,'Inputs'!$B$29+'Inputs'!$B$31+'Inputs'!$B$32,'Inputs'!$B$30+'Inputs'!$B$31+'Inputs'!$B$32)/1000+'Inputs'!$B$21))/SQRT((((400-43)*MAX('Inputs'!$B$33,'Inputs'!$B$29+'Inputs'!$B$31+'Inputs'!$B$32,'Inputs'!$B$30+'Inputs'!$B$31+'Inputs'!$B$32)/1000+'Inputs'!$B$21))^2+('Inputs'!$B$8/2)^2)))-'Results'!B7*(0.5*((((400-43)*MAX('Inputs'!$B$33,'Inputs'!$B$29+'Inputs'!$B$31+'Inputs'!$B$32,'Inputs'!$B$30+'Inputs'!$B$31+'Inputs'!$B$32)/1000+'Inputs'!$B$21+'Inputs'!$B$9+'Inputs'!$B$10)+'Inputs'!$B$7)/SQRT((((400-43)*MAX('Inputs'!$B$33,'Inputs'!$B$29+'Inputs'!$B$31+'Inputs'!$B$32,'Inputs'!$B$30+'Inputs'!$B$31+'Inputs'!$B$32)/1000+'Inputs'!$B$21+'Inputs'!$B$9+'Inputs'!$B$10)+'Inputs'!$B$7)^2+('Inputs'!$B$6/2)^2)-(((400-43)*MAX('Inputs'!$B$33,'Inputs'!$B$29+'Inputs'!$B$31+'Inputs'!$B$32,'Inputs'!$B$30+'Inputs'!$B$31+'Inputs'!$B$32)/1000+'Inputs'!$B$21+'Inputs'!$B$9+'Inputs'!$B$10))/SQRT((((400-43)*MAX('Inputs'!$B$33,'Inputs'!$B$29+'Inputs'!$B$31+'Inputs'!$B$32,'Inputs'!$B$30+'Inputs'!$B$31+'Inputs'!$B$32)/1000+'Inputs'!$B$21+'Inputs'!$B$9+'Inputs'!$B$10))^2+('Inputs'!$B$6/2)^2))))*'Results'!$B$8),"")</x:f>
        <x:v>12.133105682474442</x:v>
      </x:c>
      <x:c r="N400" t="n">
        <x:f>IF(AND(ISNUMBER('Results'!C7),ISNUMBER('Results'!B7),ISNUMBER('Results'!$B$8),ISNUMBER('Inputs'!$B$6),ISNUMBER('Inputs'!$B$7),ISNUMBER('Inputs'!$B$8),ISNUMBER('Inputs'!$B$9),ISNUMBER('Inputs'!$B$10),ISNUMBER('Inputs'!$B$21),ISNUMBER('Inputs'!$B$24),ISNUMBER('Inputs'!$B$28)),((('Results'!C7*(1-'Inputs'!$B$24)*(0.5*((((400-43)*MAX('Inputs'!$B$33,'Inputs'!$B$29+'Inputs'!$B$31+'Inputs'!$B$32,'Inputs'!$B$30+'Inputs'!$B$31+'Inputs'!$B$32)/1000+'Inputs'!$B$21)+'Inputs'!$B$9)/SQRT((((400-43)*MAX('Inputs'!$B$33,'Inputs'!$B$29+'Inputs'!$B$31+'Inputs'!$B$32,'Inputs'!$B$30+'Inputs'!$B$31+'Inputs'!$B$32)/1000+'Inputs'!$B$21)+'Inputs'!$B$9)^2+('Inputs'!$B$8/2)^2)-(((400-43)*MAX('Inputs'!$B$33,'Inputs'!$B$29+'Inputs'!$B$31+'Inputs'!$B$32,'Inputs'!$B$30+'Inputs'!$B$31+'Inputs'!$B$32)/1000+'Inputs'!$B$21))/SQRT((((400-43)*MAX('Inputs'!$B$33,'Inputs'!$B$29+'Inputs'!$B$31+'Inputs'!$B$32,'Inputs'!$B$30+'Inputs'!$B$31+'Inputs'!$B$32)/1000+'Inputs'!$B$21))^2+('Inputs'!$B$8/2)^2)))-'Results'!B7*(1+'Inputs'!$B$24)*(0.5*((((400-43)*MAX('Inputs'!$B$33,'Inputs'!$B$29+'Inputs'!$B$31+'Inputs'!$B$32,'Inputs'!$B$30+'Inputs'!$B$31+'Inputs'!$B$32)/1000+'Inputs'!$B$21+'Inputs'!$B$9+'Inputs'!$B$10)+'Inputs'!$B$7)/SQRT((((400-43)*MAX('Inputs'!$B$33,'Inputs'!$B$29+'Inputs'!$B$31+'Inputs'!$B$32,'Inputs'!$B$30+'Inputs'!$B$31+'Inputs'!$B$32)/1000+'Inputs'!$B$21+'Inputs'!$B$9+'Inputs'!$B$10)+'Inputs'!$B$7)^2+('Inputs'!$B$6/2)^2)-(((400-43)*MAX('Inputs'!$B$33,'Inputs'!$B$29+'Inputs'!$B$31+'Inputs'!$B$32,'Inputs'!$B$30+'Inputs'!$B$31+'Inputs'!$B$32)/1000+'Inputs'!$B$21+'Inputs'!$B$9+'Inputs'!$B$10))/SQRT((((400-43)*MAX('Inputs'!$B$33,'Inputs'!$B$29+'Inputs'!$B$31+'Inputs'!$B$32,'Inputs'!$B$30+'Inputs'!$B$31+'Inputs'!$B$32)/1000+'Inputs'!$B$21+'Inputs'!$B$9+'Inputs'!$B$10))^2+('Inputs'!$B$6/2)^2))))*'Results'!$B$8)-'Inputs'!$B$28*ABS((('Results'!C7*(1-'Inputs'!$B$24)*(0.5*((((400-43)*MAX('Inputs'!$B$33,'Inputs'!$B$29+'Inputs'!$B$31+'Inputs'!$B$32,'Inputs'!$B$30+'Inputs'!$B$31+'Inputs'!$B$32)/1000+'Inputs'!$B$21)+'Inputs'!$B$9)/SQRT((((400-43)*MAX('Inputs'!$B$33,'Inputs'!$B$29+'Inputs'!$B$31+'Inputs'!$B$32,'Inputs'!$B$30+'Inputs'!$B$31+'Inputs'!$B$32)/1000+'Inputs'!$B$21)+'Inputs'!$B$9)^2+('Inputs'!$B$8/2)^2)-(((400-43)*MAX('Inputs'!$B$33,'Inputs'!$B$29+'Inputs'!$B$31+'Inputs'!$B$32,'Inputs'!$B$30+'Inputs'!$B$31+'Inputs'!$B$32)/1000+'Inputs'!$B$21))/SQRT((((400-43)*MAX('Inputs'!$B$33,'Inputs'!$B$29+'Inputs'!$B$31+'Inputs'!$B$32,'Inputs'!$B$30+'Inputs'!$B$31+'Inputs'!$B$32)/1000+'Inputs'!$B$21))^2+('Inputs'!$B$8/2)^2)))-'Results'!B7*(1+'Inputs'!$B$24)*(0.5*((((400-43)*MAX('Inputs'!$B$33,'Inputs'!$B$29+'Inputs'!$B$31+'Inputs'!$B$32,'Inputs'!$B$30+'Inputs'!$B$31+'Inputs'!$B$32)/1000+'Inputs'!$B$21+'Inputs'!$B$9+'Inputs'!$B$10)+'Inputs'!$B$7)/SQRT((((400-43)*MAX('Inputs'!$B$33,'Inputs'!$B$29+'Inputs'!$B$31+'Inputs'!$B$32,'Inputs'!$B$30+'Inputs'!$B$31+'Inputs'!$B$32)/1000+'Inputs'!$B$21+'Inputs'!$B$9+'Inputs'!$B$10)+'Inputs'!$B$7)^2+('Inputs'!$B$6/2)^2)-(((400-43)*MAX('Inputs'!$B$33,'Inputs'!$B$29+'Inputs'!$B$31+'Inputs'!$B$32,'Inputs'!$B$30+'Inputs'!$B$31+'Inputs'!$B$32)/1000+'Inputs'!$B$21+'Inputs'!$B$9+'Inputs'!$B$10))/SQRT((((400-43)*MAX('Inputs'!$B$33,'Inputs'!$B$29+'Inputs'!$B$31+'Inputs'!$B$32,'Inputs'!$B$30+'Inputs'!$B$31+'Inputs'!$B$32)/1000+'Inputs'!$B$21+'Inputs'!$B$9+'Inputs'!$B$10))^2+('Inputs'!$B$6/2)^2))))*'Results'!$B$8))),"")</x:f>
        <x:v>10.884979935450286</x:v>
      </x:c>
      <x:c r="O400" t="n">
        <x:f>IF(AND(ISNUMBER('Results'!C7),ISNUMBER('Results'!B7),ISNUMBER('Results'!$B$8),ISNUMBER('Inputs'!$B$6),ISNUMBER('Inputs'!$B$7),ISNUMBER('Inputs'!$B$8),ISNUMBER('Inputs'!$B$9),ISNUMBER('Inputs'!$B$10),ISNUMBER('Inputs'!$B$21),ISNUMBER('Inputs'!$B$24),ISNUMBER('Inputs'!$B$28)),((('Results'!C7*(1+'Inputs'!$B$24)*(0.5*((((400-43)*MAX('Inputs'!$B$33,'Inputs'!$B$29+'Inputs'!$B$31+'Inputs'!$B$32,'Inputs'!$B$30+'Inputs'!$B$31+'Inputs'!$B$32)/1000+'Inputs'!$B$21)+'Inputs'!$B$9)/SQRT((((400-43)*MAX('Inputs'!$B$33,'Inputs'!$B$29+'Inputs'!$B$31+'Inputs'!$B$32,'Inputs'!$B$30+'Inputs'!$B$31+'Inputs'!$B$32)/1000+'Inputs'!$B$21)+'Inputs'!$B$9)^2+('Inputs'!$B$8/2)^2)-(((400-43)*MAX('Inputs'!$B$33,'Inputs'!$B$29+'Inputs'!$B$31+'Inputs'!$B$32,'Inputs'!$B$30+'Inputs'!$B$31+'Inputs'!$B$32)/1000+'Inputs'!$B$21))/SQRT((((400-43)*MAX('Inputs'!$B$33,'Inputs'!$B$29+'Inputs'!$B$31+'Inputs'!$B$32,'Inputs'!$B$30+'Inputs'!$B$31+'Inputs'!$B$32)/1000+'Inputs'!$B$21))^2+('Inputs'!$B$8/2)^2)))-'Results'!B7*(1-'Inputs'!$B$24)*(0.5*((((400-43)*MAX('Inputs'!$B$33,'Inputs'!$B$29+'Inputs'!$B$31+'Inputs'!$B$32,'Inputs'!$B$30+'Inputs'!$B$31+'Inputs'!$B$32)/1000+'Inputs'!$B$21+'Inputs'!$B$9+'Inputs'!$B$10)+'Inputs'!$B$7)/SQRT((((400-43)*MAX('Inputs'!$B$33,'Inputs'!$B$29+'Inputs'!$B$31+'Inputs'!$B$32,'Inputs'!$B$30+'Inputs'!$B$31+'Inputs'!$B$32)/1000+'Inputs'!$B$21+'Inputs'!$B$9+'Inputs'!$B$10)+'Inputs'!$B$7)^2+('Inputs'!$B$6/2)^2)-(((400-43)*MAX('Inputs'!$B$33,'Inputs'!$B$29+'Inputs'!$B$31+'Inputs'!$B$32,'Inputs'!$B$30+'Inputs'!$B$31+'Inputs'!$B$32)/1000+'Inputs'!$B$21+'Inputs'!$B$9+'Inputs'!$B$10))/SQRT((((400-43)*MAX('Inputs'!$B$33,'Inputs'!$B$29+'Inputs'!$B$31+'Inputs'!$B$32,'Inputs'!$B$30+'Inputs'!$B$31+'Inputs'!$B$32)/1000+'Inputs'!$B$21+'Inputs'!$B$9+'Inputs'!$B$10))^2+('Inputs'!$B$6/2)^2))))*'Results'!$B$8)+'Inputs'!$B$28*ABS((('Results'!C7*(1+'Inputs'!$B$24)*(0.5*((((400-43)*MAX('Inputs'!$B$33,'Inputs'!$B$29+'Inputs'!$B$31+'Inputs'!$B$32,'Inputs'!$B$30+'Inputs'!$B$31+'Inputs'!$B$32)/1000+'Inputs'!$B$21)+'Inputs'!$B$9)/SQRT((((400-43)*MAX('Inputs'!$B$33,'Inputs'!$B$29+'Inputs'!$B$31+'Inputs'!$B$32,'Inputs'!$B$30+'Inputs'!$B$31+'Inputs'!$B$32)/1000+'Inputs'!$B$21)+'Inputs'!$B$9)^2+('Inputs'!$B$8/2)^2)-(((400-43)*MAX('Inputs'!$B$33,'Inputs'!$B$29+'Inputs'!$B$31+'Inputs'!$B$32,'Inputs'!$B$30+'Inputs'!$B$31+'Inputs'!$B$32)/1000+'Inputs'!$B$21))/SQRT((((400-43)*MAX('Inputs'!$B$33,'Inputs'!$B$29+'Inputs'!$B$31+'Inputs'!$B$32,'Inputs'!$B$30+'Inputs'!$B$31+'Inputs'!$B$32)/1000+'Inputs'!$B$21))^2+('Inputs'!$B$8/2)^2)))-'Results'!B7*(1-'Inputs'!$B$24)*(0.5*((((400-43)*MAX('Inputs'!$B$33,'Inputs'!$B$29+'Inputs'!$B$31+'Inputs'!$B$32,'Inputs'!$B$30+'Inputs'!$B$31+'Inputs'!$B$32)/1000+'Inputs'!$B$21+'Inputs'!$B$9+'Inputs'!$B$10)+'Inputs'!$B$7)/SQRT((((400-43)*MAX('Inputs'!$B$33,'Inputs'!$B$29+'Inputs'!$B$31+'Inputs'!$B$32,'Inputs'!$B$30+'Inputs'!$B$31+'Inputs'!$B$32)/1000+'Inputs'!$B$21+'Inputs'!$B$9+'Inputs'!$B$10)+'Inputs'!$B$7)^2+('Inputs'!$B$6/2)^2)-(((400-43)*MAX('Inputs'!$B$33,'Inputs'!$B$29+'Inputs'!$B$31+'Inputs'!$B$32,'Inputs'!$B$30+'Inputs'!$B$31+'Inputs'!$B$32)/1000+'Inputs'!$B$21+'Inputs'!$B$9+'Inputs'!$B$10))/SQRT((((400-43)*MAX('Inputs'!$B$33,'Inputs'!$B$29+'Inputs'!$B$31+'Inputs'!$B$32,'Inputs'!$B$30+'Inputs'!$B$31+'Inputs'!$B$32)/1000+'Inputs'!$B$21+'Inputs'!$B$9+'Inputs'!$B$10))^2+('Inputs'!$B$6/2)^2))))*'Results'!$B$8))),"")</x:f>
        <x:v>13.448754636119695</x:v>
      </x:c>
      <x:c r="P400" t="n">
        <x:f>IF(AND(MAX(J400,J399)&gt;0,J400&gt;J399+0.00000001),1,0)</x:f>
        <x:v>0</x:v>
      </x:c>
      <x:c r="Q400" t="n">
        <x:f>IF(AND(MAX(K400,K399)&gt;0,K400&gt;K399+0.00000001),1,0)</x:f>
        <x:v>0</x:v>
      </x:c>
      <x:c r="R400" t="n">
        <x:f>IF(AND(MAX(L400,L399)&gt;0,L400&gt;L399+0.00000001),1,0)</x:f>
        <x:v>0</x:v>
      </x:c>
      <x:c r="S400" t="n">
        <x:f>IF(AND(MAX(M400,M399)&gt;0,M400&gt;M399+0.00000001),1,0)</x:f>
        <x:v>0</x:v>
      </x:c>
      <x:c r="T400" t="n">
        <x:f>IF(AND(MAX(N400,N399)&gt;0,N400&gt;N399+0.00000001),1,0)</x:f>
        <x:v>0</x:v>
      </x:c>
      <x:c r="U400" t="n">
        <x:f>IF(AND(MAX(O400,O399)&gt;0,O400&gt;O399+0.00000001),1,0)</x:f>
        <x:v>0</x:v>
      </x:c>
    </x:row>
    <x:row r="401">
      <x:c r="J401" t="n">
        <x:f>IF(AND(ISNUMBER('Results'!B7),ISNUMBER('Results'!C7),ISNUMBER('Results'!$B$8),ISNUMBER('Inputs'!$B$6),ISNUMBER('Inputs'!$B$7),ISNUMBER('Inputs'!$B$8),ISNUMBER('Inputs'!$B$9),ISNUMBER('Inputs'!$B$10),ISNUMBER('Inputs'!$B$21),ISNUMBER('Inputs'!$B$24),ISNUMBER('Inputs'!$B$28)),(('Results'!B7*(0.5*((((401-43)*MAX('Inputs'!$B$33,'Inputs'!$B$29+'Inputs'!$B$31+'Inputs'!$B$32,'Inputs'!$B$30+'Inputs'!$B$31+'Inputs'!$B$32)/1000+'Inputs'!$B$21)+'Inputs'!$B$7)/SQRT((((401-43)*MAX('Inputs'!$B$33,'Inputs'!$B$29+'Inputs'!$B$31+'Inputs'!$B$32,'Inputs'!$B$30+'Inputs'!$B$31+'Inputs'!$B$32)/1000+'Inputs'!$B$21)+'Inputs'!$B$7)^2+('Inputs'!$B$6/2)^2)-(((401-43)*MAX('Inputs'!$B$33,'Inputs'!$B$29+'Inputs'!$B$31+'Inputs'!$B$32,'Inputs'!$B$30+'Inputs'!$B$31+'Inputs'!$B$32)/1000+'Inputs'!$B$21))/SQRT((((401-43)*MAX('Inputs'!$B$33,'Inputs'!$B$29+'Inputs'!$B$31+'Inputs'!$B$32,'Inputs'!$B$30+'Inputs'!$B$31+'Inputs'!$B$32)/1000+'Inputs'!$B$21))^2+('Inputs'!$B$6/2)^2)))-'Results'!C7*(0.5*((((401-43)*MAX('Inputs'!$B$33,'Inputs'!$B$29+'Inputs'!$B$31+'Inputs'!$B$32,'Inputs'!$B$30+'Inputs'!$B$31+'Inputs'!$B$32)/1000+'Inputs'!$B$21+'Inputs'!$B$7+'Inputs'!$B$10)+'Inputs'!$B$9)/SQRT((((401-43)*MAX('Inputs'!$B$33,'Inputs'!$B$29+'Inputs'!$B$31+'Inputs'!$B$32,'Inputs'!$B$30+'Inputs'!$B$31+'Inputs'!$B$32)/1000+'Inputs'!$B$21+'Inputs'!$B$7+'Inputs'!$B$10)+'Inputs'!$B$9)^2+('Inputs'!$B$8/2)^2)-(((401-43)*MAX('Inputs'!$B$33,'Inputs'!$B$29+'Inputs'!$B$31+'Inputs'!$B$32,'Inputs'!$B$30+'Inputs'!$B$31+'Inputs'!$B$32)/1000+'Inputs'!$B$21+'Inputs'!$B$7+'Inputs'!$B$10))/SQRT((((401-43)*MAX('Inputs'!$B$33,'Inputs'!$B$29+'Inputs'!$B$31+'Inputs'!$B$32,'Inputs'!$B$30+'Inputs'!$B$31+'Inputs'!$B$32)/1000+'Inputs'!$B$21+'Inputs'!$B$7+'Inputs'!$B$10))^2+('Inputs'!$B$8/2)^2))))*'Results'!$B$8),"")</x:f>
        <x:v>12.702463621980492</x:v>
      </x:c>
      <x:c r="K401" t="n">
        <x:f>IF(AND(ISNUMBER('Results'!B7),ISNUMBER('Results'!C7),ISNUMBER('Results'!$B$8),ISNUMBER('Inputs'!$B$6),ISNUMBER('Inputs'!$B$7),ISNUMBER('Inputs'!$B$8),ISNUMBER('Inputs'!$B$9),ISNUMBER('Inputs'!$B$10),ISNUMBER('Inputs'!$B$21),ISNUMBER('Inputs'!$B$24),ISNUMBER('Inputs'!$B$28)),((('Results'!B7*(1-'Inputs'!$B$24)*(0.5*((((401-43)*MAX('Inputs'!$B$33,'Inputs'!$B$29+'Inputs'!$B$31+'Inputs'!$B$32,'Inputs'!$B$30+'Inputs'!$B$31+'Inputs'!$B$32)/1000+'Inputs'!$B$21)+'Inputs'!$B$7)/SQRT((((401-43)*MAX('Inputs'!$B$33,'Inputs'!$B$29+'Inputs'!$B$31+'Inputs'!$B$32,'Inputs'!$B$30+'Inputs'!$B$31+'Inputs'!$B$32)/1000+'Inputs'!$B$21)+'Inputs'!$B$7)^2+('Inputs'!$B$6/2)^2)-(((401-43)*MAX('Inputs'!$B$33,'Inputs'!$B$29+'Inputs'!$B$31+'Inputs'!$B$32,'Inputs'!$B$30+'Inputs'!$B$31+'Inputs'!$B$32)/1000+'Inputs'!$B$21))/SQRT((((401-43)*MAX('Inputs'!$B$33,'Inputs'!$B$29+'Inputs'!$B$31+'Inputs'!$B$32,'Inputs'!$B$30+'Inputs'!$B$31+'Inputs'!$B$32)/1000+'Inputs'!$B$21))^2+('Inputs'!$B$6/2)^2)))-'Results'!C7*(1+'Inputs'!$B$24)*(0.5*((((401-43)*MAX('Inputs'!$B$33,'Inputs'!$B$29+'Inputs'!$B$31+'Inputs'!$B$32,'Inputs'!$B$30+'Inputs'!$B$31+'Inputs'!$B$32)/1000+'Inputs'!$B$21+'Inputs'!$B$7+'Inputs'!$B$10)+'Inputs'!$B$9)/SQRT((((401-43)*MAX('Inputs'!$B$33,'Inputs'!$B$29+'Inputs'!$B$31+'Inputs'!$B$32,'Inputs'!$B$30+'Inputs'!$B$31+'Inputs'!$B$32)/1000+'Inputs'!$B$21+'Inputs'!$B$7+'Inputs'!$B$10)+'Inputs'!$B$9)^2+('Inputs'!$B$8/2)^2)-(((401-43)*MAX('Inputs'!$B$33,'Inputs'!$B$29+'Inputs'!$B$31+'Inputs'!$B$32,'Inputs'!$B$30+'Inputs'!$B$31+'Inputs'!$B$32)/1000+'Inputs'!$B$21+'Inputs'!$B$7+'Inputs'!$B$10))/SQRT((((401-43)*MAX('Inputs'!$B$33,'Inputs'!$B$29+'Inputs'!$B$31+'Inputs'!$B$32,'Inputs'!$B$30+'Inputs'!$B$31+'Inputs'!$B$32)/1000+'Inputs'!$B$21+'Inputs'!$B$7+'Inputs'!$B$10))^2+('Inputs'!$B$8/2)^2))))*'Results'!$B$8)-'Inputs'!$B$28*ABS((('Results'!B7*(1-'Inputs'!$B$24)*(0.5*((((401-43)*MAX('Inputs'!$B$33,'Inputs'!$B$29+'Inputs'!$B$31+'Inputs'!$B$32,'Inputs'!$B$30+'Inputs'!$B$31+'Inputs'!$B$32)/1000+'Inputs'!$B$21)+'Inputs'!$B$7)/SQRT((((401-43)*MAX('Inputs'!$B$33,'Inputs'!$B$29+'Inputs'!$B$31+'Inputs'!$B$32,'Inputs'!$B$30+'Inputs'!$B$31+'Inputs'!$B$32)/1000+'Inputs'!$B$21)+'Inputs'!$B$7)^2+('Inputs'!$B$6/2)^2)-(((401-43)*MAX('Inputs'!$B$33,'Inputs'!$B$29+'Inputs'!$B$31+'Inputs'!$B$32,'Inputs'!$B$30+'Inputs'!$B$31+'Inputs'!$B$32)/1000+'Inputs'!$B$21))/SQRT((((401-43)*MAX('Inputs'!$B$33,'Inputs'!$B$29+'Inputs'!$B$31+'Inputs'!$B$32,'Inputs'!$B$30+'Inputs'!$B$31+'Inputs'!$B$32)/1000+'Inputs'!$B$21))^2+('Inputs'!$B$6/2)^2)))-'Results'!C7*(1+'Inputs'!$B$24)*(0.5*((((401-43)*MAX('Inputs'!$B$33,'Inputs'!$B$29+'Inputs'!$B$31+'Inputs'!$B$32,'Inputs'!$B$30+'Inputs'!$B$31+'Inputs'!$B$32)/1000+'Inputs'!$B$21+'Inputs'!$B$7+'Inputs'!$B$10)+'Inputs'!$B$9)/SQRT((((401-43)*MAX('Inputs'!$B$33,'Inputs'!$B$29+'Inputs'!$B$31+'Inputs'!$B$32,'Inputs'!$B$30+'Inputs'!$B$31+'Inputs'!$B$32)/1000+'Inputs'!$B$21+'Inputs'!$B$7+'Inputs'!$B$10)+'Inputs'!$B$9)^2+('Inputs'!$B$8/2)^2)-(((401-43)*MAX('Inputs'!$B$33,'Inputs'!$B$29+'Inputs'!$B$31+'Inputs'!$B$32,'Inputs'!$B$30+'Inputs'!$B$31+'Inputs'!$B$32)/1000+'Inputs'!$B$21+'Inputs'!$B$7+'Inputs'!$B$10))/SQRT((((401-43)*MAX('Inputs'!$B$33,'Inputs'!$B$29+'Inputs'!$B$31+'Inputs'!$B$32,'Inputs'!$B$30+'Inputs'!$B$31+'Inputs'!$B$32)/1000+'Inputs'!$B$21+'Inputs'!$B$7+'Inputs'!$B$10))^2+('Inputs'!$B$8/2)^2))))*'Results'!$B$8))),"")</x:f>
        <x:v>11.425661814526364</x:v>
      </x:c>
      <x:c r="L401" t="n">
        <x:f>IF(AND(ISNUMBER('Results'!B7),ISNUMBER('Results'!C7),ISNUMBER('Results'!$B$8),ISNUMBER('Inputs'!$B$6),ISNUMBER('Inputs'!$B$7),ISNUMBER('Inputs'!$B$8),ISNUMBER('Inputs'!$B$9),ISNUMBER('Inputs'!$B$10),ISNUMBER('Inputs'!$B$21),ISNUMBER('Inputs'!$B$24),ISNUMBER('Inputs'!$B$28)),((('Results'!B7*(1+'Inputs'!$B$24)*(0.5*((((401-43)*MAX('Inputs'!$B$33,'Inputs'!$B$29+'Inputs'!$B$31+'Inputs'!$B$32,'Inputs'!$B$30+'Inputs'!$B$31+'Inputs'!$B$32)/1000+'Inputs'!$B$21)+'Inputs'!$B$7)/SQRT((((401-43)*MAX('Inputs'!$B$33,'Inputs'!$B$29+'Inputs'!$B$31+'Inputs'!$B$32,'Inputs'!$B$30+'Inputs'!$B$31+'Inputs'!$B$32)/1000+'Inputs'!$B$21)+'Inputs'!$B$7)^2+('Inputs'!$B$6/2)^2)-(((401-43)*MAX('Inputs'!$B$33,'Inputs'!$B$29+'Inputs'!$B$31+'Inputs'!$B$32,'Inputs'!$B$30+'Inputs'!$B$31+'Inputs'!$B$32)/1000+'Inputs'!$B$21))/SQRT((((401-43)*MAX('Inputs'!$B$33,'Inputs'!$B$29+'Inputs'!$B$31+'Inputs'!$B$32,'Inputs'!$B$30+'Inputs'!$B$31+'Inputs'!$B$32)/1000+'Inputs'!$B$21))^2+('Inputs'!$B$6/2)^2)))-'Results'!C7*(1-'Inputs'!$B$24)*(0.5*((((401-43)*MAX('Inputs'!$B$33,'Inputs'!$B$29+'Inputs'!$B$31+'Inputs'!$B$32,'Inputs'!$B$30+'Inputs'!$B$31+'Inputs'!$B$32)/1000+'Inputs'!$B$21+'Inputs'!$B$7+'Inputs'!$B$10)+'Inputs'!$B$9)/SQRT((((401-43)*MAX('Inputs'!$B$33,'Inputs'!$B$29+'Inputs'!$B$31+'Inputs'!$B$32,'Inputs'!$B$30+'Inputs'!$B$31+'Inputs'!$B$32)/1000+'Inputs'!$B$21+'Inputs'!$B$7+'Inputs'!$B$10)+'Inputs'!$B$9)^2+('Inputs'!$B$8/2)^2)-(((401-43)*MAX('Inputs'!$B$33,'Inputs'!$B$29+'Inputs'!$B$31+'Inputs'!$B$32,'Inputs'!$B$30+'Inputs'!$B$31+'Inputs'!$B$32)/1000+'Inputs'!$B$21+'Inputs'!$B$7+'Inputs'!$B$10))/SQRT((((401-43)*MAX('Inputs'!$B$33,'Inputs'!$B$29+'Inputs'!$B$31+'Inputs'!$B$32,'Inputs'!$B$30+'Inputs'!$B$31+'Inputs'!$B$32)/1000+'Inputs'!$B$21+'Inputs'!$B$7+'Inputs'!$B$10))^2+('Inputs'!$B$8/2)^2))))*'Results'!$B$8)+'Inputs'!$B$28*ABS((('Results'!B7*(1+'Inputs'!$B$24)*(0.5*((((401-43)*MAX('Inputs'!$B$33,'Inputs'!$B$29+'Inputs'!$B$31+'Inputs'!$B$32,'Inputs'!$B$30+'Inputs'!$B$31+'Inputs'!$B$32)/1000+'Inputs'!$B$21)+'Inputs'!$B$7)/SQRT((((401-43)*MAX('Inputs'!$B$33,'Inputs'!$B$29+'Inputs'!$B$31+'Inputs'!$B$32,'Inputs'!$B$30+'Inputs'!$B$31+'Inputs'!$B$32)/1000+'Inputs'!$B$21)+'Inputs'!$B$7)^2+('Inputs'!$B$6/2)^2)-(((401-43)*MAX('Inputs'!$B$33,'Inputs'!$B$29+'Inputs'!$B$31+'Inputs'!$B$32,'Inputs'!$B$30+'Inputs'!$B$31+'Inputs'!$B$32)/1000+'Inputs'!$B$21))/SQRT((((401-43)*MAX('Inputs'!$B$33,'Inputs'!$B$29+'Inputs'!$B$31+'Inputs'!$B$32,'Inputs'!$B$30+'Inputs'!$B$31+'Inputs'!$B$32)/1000+'Inputs'!$B$21))^2+('Inputs'!$B$6/2)^2)))-'Results'!C7*(1-'Inputs'!$B$24)*(0.5*((((401-43)*MAX('Inputs'!$B$33,'Inputs'!$B$29+'Inputs'!$B$31+'Inputs'!$B$32,'Inputs'!$B$30+'Inputs'!$B$31+'Inputs'!$B$32)/1000+'Inputs'!$B$21+'Inputs'!$B$7+'Inputs'!$B$10)+'Inputs'!$B$9)/SQRT((((401-43)*MAX('Inputs'!$B$33,'Inputs'!$B$29+'Inputs'!$B$31+'Inputs'!$B$32,'Inputs'!$B$30+'Inputs'!$B$31+'Inputs'!$B$32)/1000+'Inputs'!$B$21+'Inputs'!$B$7+'Inputs'!$B$10)+'Inputs'!$B$9)^2+('Inputs'!$B$8/2)^2)-(((401-43)*MAX('Inputs'!$B$33,'Inputs'!$B$29+'Inputs'!$B$31+'Inputs'!$B$32,'Inputs'!$B$30+'Inputs'!$B$31+'Inputs'!$B$32)/1000+'Inputs'!$B$21+'Inputs'!$B$7+'Inputs'!$B$10))/SQRT((((401-43)*MAX('Inputs'!$B$33,'Inputs'!$B$29+'Inputs'!$B$31+'Inputs'!$B$32,'Inputs'!$B$30+'Inputs'!$B$31+'Inputs'!$B$32)/1000+'Inputs'!$B$21+'Inputs'!$B$7+'Inputs'!$B$10))^2+('Inputs'!$B$8/2)^2))))*'Results'!$B$8))),"")</x:f>
        <x:v>14.046810547998309</x:v>
      </x:c>
      <x:c r="M401" t="n">
        <x:f>IF(AND(ISNUMBER('Results'!C7),ISNUMBER('Results'!B7),ISNUMBER('Results'!$B$8),ISNUMBER('Inputs'!$B$6),ISNUMBER('Inputs'!$B$7),ISNUMBER('Inputs'!$B$8),ISNUMBER('Inputs'!$B$9),ISNUMBER('Inputs'!$B$10),ISNUMBER('Inputs'!$B$21),ISNUMBER('Inputs'!$B$24),ISNUMBER('Inputs'!$B$28)),(('Results'!C7*(0.5*((((401-43)*MAX('Inputs'!$B$33,'Inputs'!$B$29+'Inputs'!$B$31+'Inputs'!$B$32,'Inputs'!$B$30+'Inputs'!$B$31+'Inputs'!$B$32)/1000+'Inputs'!$B$21)+'Inputs'!$B$9)/SQRT((((401-43)*MAX('Inputs'!$B$33,'Inputs'!$B$29+'Inputs'!$B$31+'Inputs'!$B$32,'Inputs'!$B$30+'Inputs'!$B$31+'Inputs'!$B$32)/1000+'Inputs'!$B$21)+'Inputs'!$B$9)^2+('Inputs'!$B$8/2)^2)-(((401-43)*MAX('Inputs'!$B$33,'Inputs'!$B$29+'Inputs'!$B$31+'Inputs'!$B$32,'Inputs'!$B$30+'Inputs'!$B$31+'Inputs'!$B$32)/1000+'Inputs'!$B$21))/SQRT((((401-43)*MAX('Inputs'!$B$33,'Inputs'!$B$29+'Inputs'!$B$31+'Inputs'!$B$32,'Inputs'!$B$30+'Inputs'!$B$31+'Inputs'!$B$32)/1000+'Inputs'!$B$21))^2+('Inputs'!$B$8/2)^2)))-'Results'!B7*(0.5*((((401-43)*MAX('Inputs'!$B$33,'Inputs'!$B$29+'Inputs'!$B$31+'Inputs'!$B$32,'Inputs'!$B$30+'Inputs'!$B$31+'Inputs'!$B$32)/1000+'Inputs'!$B$21+'Inputs'!$B$9+'Inputs'!$B$10)+'Inputs'!$B$7)/SQRT((((401-43)*MAX('Inputs'!$B$33,'Inputs'!$B$29+'Inputs'!$B$31+'Inputs'!$B$32,'Inputs'!$B$30+'Inputs'!$B$31+'Inputs'!$B$32)/1000+'Inputs'!$B$21+'Inputs'!$B$9+'Inputs'!$B$10)+'Inputs'!$B$7)^2+('Inputs'!$B$6/2)^2)-(((401-43)*MAX('Inputs'!$B$33,'Inputs'!$B$29+'Inputs'!$B$31+'Inputs'!$B$32,'Inputs'!$B$30+'Inputs'!$B$31+'Inputs'!$B$32)/1000+'Inputs'!$B$21+'Inputs'!$B$9+'Inputs'!$B$10))/SQRT((((401-43)*MAX('Inputs'!$B$33,'Inputs'!$B$29+'Inputs'!$B$31+'Inputs'!$B$32,'Inputs'!$B$30+'Inputs'!$B$31+'Inputs'!$B$32)/1000+'Inputs'!$B$21+'Inputs'!$B$9+'Inputs'!$B$10))^2+('Inputs'!$B$6/2)^2))))*'Results'!$B$8),"")</x:f>
        <x:v>12.022712416821122</x:v>
      </x:c>
      <x:c r="N401" t="n">
        <x:f>IF(AND(ISNUMBER('Results'!C7),ISNUMBER('Results'!B7),ISNUMBER('Results'!$B$8),ISNUMBER('Inputs'!$B$6),ISNUMBER('Inputs'!$B$7),ISNUMBER('Inputs'!$B$8),ISNUMBER('Inputs'!$B$9),ISNUMBER('Inputs'!$B$10),ISNUMBER('Inputs'!$B$21),ISNUMBER('Inputs'!$B$24),ISNUMBER('Inputs'!$B$28)),((('Results'!C7*(1-'Inputs'!$B$24)*(0.5*((((401-43)*MAX('Inputs'!$B$33,'Inputs'!$B$29+'Inputs'!$B$31+'Inputs'!$B$32,'Inputs'!$B$30+'Inputs'!$B$31+'Inputs'!$B$32)/1000+'Inputs'!$B$21)+'Inputs'!$B$9)/SQRT((((401-43)*MAX('Inputs'!$B$33,'Inputs'!$B$29+'Inputs'!$B$31+'Inputs'!$B$32,'Inputs'!$B$30+'Inputs'!$B$31+'Inputs'!$B$32)/1000+'Inputs'!$B$21)+'Inputs'!$B$9)^2+('Inputs'!$B$8/2)^2)-(((401-43)*MAX('Inputs'!$B$33,'Inputs'!$B$29+'Inputs'!$B$31+'Inputs'!$B$32,'Inputs'!$B$30+'Inputs'!$B$31+'Inputs'!$B$32)/1000+'Inputs'!$B$21))/SQRT((((401-43)*MAX('Inputs'!$B$33,'Inputs'!$B$29+'Inputs'!$B$31+'Inputs'!$B$32,'Inputs'!$B$30+'Inputs'!$B$31+'Inputs'!$B$32)/1000+'Inputs'!$B$21))^2+('Inputs'!$B$8/2)^2)))-'Results'!B7*(1+'Inputs'!$B$24)*(0.5*((((401-43)*MAX('Inputs'!$B$33,'Inputs'!$B$29+'Inputs'!$B$31+'Inputs'!$B$32,'Inputs'!$B$30+'Inputs'!$B$31+'Inputs'!$B$32)/1000+'Inputs'!$B$21+'Inputs'!$B$9+'Inputs'!$B$10)+'Inputs'!$B$7)/SQRT((((401-43)*MAX('Inputs'!$B$33,'Inputs'!$B$29+'Inputs'!$B$31+'Inputs'!$B$32,'Inputs'!$B$30+'Inputs'!$B$31+'Inputs'!$B$32)/1000+'Inputs'!$B$21+'Inputs'!$B$9+'Inputs'!$B$10)+'Inputs'!$B$7)^2+('Inputs'!$B$6/2)^2)-(((401-43)*MAX('Inputs'!$B$33,'Inputs'!$B$29+'Inputs'!$B$31+'Inputs'!$B$32,'Inputs'!$B$30+'Inputs'!$B$31+'Inputs'!$B$32)/1000+'Inputs'!$B$21+'Inputs'!$B$9+'Inputs'!$B$10))/SQRT((((401-43)*MAX('Inputs'!$B$33,'Inputs'!$B$29+'Inputs'!$B$31+'Inputs'!$B$32,'Inputs'!$B$30+'Inputs'!$B$31+'Inputs'!$B$32)/1000+'Inputs'!$B$21+'Inputs'!$B$9+'Inputs'!$B$10))^2+('Inputs'!$B$6/2)^2))))*'Results'!$B$8)-'Inputs'!$B$28*ABS((('Results'!C7*(1-'Inputs'!$B$24)*(0.5*((((401-43)*MAX('Inputs'!$B$33,'Inputs'!$B$29+'Inputs'!$B$31+'Inputs'!$B$32,'Inputs'!$B$30+'Inputs'!$B$31+'Inputs'!$B$32)/1000+'Inputs'!$B$21)+'Inputs'!$B$9)/SQRT((((401-43)*MAX('Inputs'!$B$33,'Inputs'!$B$29+'Inputs'!$B$31+'Inputs'!$B$32,'Inputs'!$B$30+'Inputs'!$B$31+'Inputs'!$B$32)/1000+'Inputs'!$B$21)+'Inputs'!$B$9)^2+('Inputs'!$B$8/2)^2)-(((401-43)*MAX('Inputs'!$B$33,'Inputs'!$B$29+'Inputs'!$B$31+'Inputs'!$B$32,'Inputs'!$B$30+'Inputs'!$B$31+'Inputs'!$B$32)/1000+'Inputs'!$B$21))/SQRT((((401-43)*MAX('Inputs'!$B$33,'Inputs'!$B$29+'Inputs'!$B$31+'Inputs'!$B$32,'Inputs'!$B$30+'Inputs'!$B$31+'Inputs'!$B$32)/1000+'Inputs'!$B$21))^2+('Inputs'!$B$8/2)^2)))-'Results'!B7*(1+'Inputs'!$B$24)*(0.5*((((401-43)*MAX('Inputs'!$B$33,'Inputs'!$B$29+'Inputs'!$B$31+'Inputs'!$B$32,'Inputs'!$B$30+'Inputs'!$B$31+'Inputs'!$B$32)/1000+'Inputs'!$B$21+'Inputs'!$B$9+'Inputs'!$B$10)+'Inputs'!$B$7)/SQRT((((401-43)*MAX('Inputs'!$B$33,'Inputs'!$B$29+'Inputs'!$B$31+'Inputs'!$B$32,'Inputs'!$B$30+'Inputs'!$B$31+'Inputs'!$B$32)/1000+'Inputs'!$B$21+'Inputs'!$B$9+'Inputs'!$B$10)+'Inputs'!$B$7)^2+('Inputs'!$B$6/2)^2)-(((401-43)*MAX('Inputs'!$B$33,'Inputs'!$B$29+'Inputs'!$B$31+'Inputs'!$B$32,'Inputs'!$B$30+'Inputs'!$B$31+'Inputs'!$B$32)/1000+'Inputs'!$B$21+'Inputs'!$B$9+'Inputs'!$B$10))/SQRT((((401-43)*MAX('Inputs'!$B$33,'Inputs'!$B$29+'Inputs'!$B$31+'Inputs'!$B$32,'Inputs'!$B$30+'Inputs'!$B$31+'Inputs'!$B$32)/1000+'Inputs'!$B$21+'Inputs'!$B$9+'Inputs'!$B$10))^2+('Inputs'!$B$6/2)^2))))*'Results'!$B$8))),"")</x:f>
        <x:v>10.78464340543039</x:v>
      </x:c>
      <x:c r="O401" t="n">
        <x:f>IF(AND(ISNUMBER('Results'!C7),ISNUMBER('Results'!B7),ISNUMBER('Results'!$B$8),ISNUMBER('Inputs'!$B$6),ISNUMBER('Inputs'!$B$7),ISNUMBER('Inputs'!$B$8),ISNUMBER('Inputs'!$B$9),ISNUMBER('Inputs'!$B$10),ISNUMBER('Inputs'!$B$21),ISNUMBER('Inputs'!$B$24),ISNUMBER('Inputs'!$B$28)),((('Results'!C7*(1+'Inputs'!$B$24)*(0.5*((((401-43)*MAX('Inputs'!$B$33,'Inputs'!$B$29+'Inputs'!$B$31+'Inputs'!$B$32,'Inputs'!$B$30+'Inputs'!$B$31+'Inputs'!$B$32)/1000+'Inputs'!$B$21)+'Inputs'!$B$9)/SQRT((((401-43)*MAX('Inputs'!$B$33,'Inputs'!$B$29+'Inputs'!$B$31+'Inputs'!$B$32,'Inputs'!$B$30+'Inputs'!$B$31+'Inputs'!$B$32)/1000+'Inputs'!$B$21)+'Inputs'!$B$9)^2+('Inputs'!$B$8/2)^2)-(((401-43)*MAX('Inputs'!$B$33,'Inputs'!$B$29+'Inputs'!$B$31+'Inputs'!$B$32,'Inputs'!$B$30+'Inputs'!$B$31+'Inputs'!$B$32)/1000+'Inputs'!$B$21))/SQRT((((401-43)*MAX('Inputs'!$B$33,'Inputs'!$B$29+'Inputs'!$B$31+'Inputs'!$B$32,'Inputs'!$B$30+'Inputs'!$B$31+'Inputs'!$B$32)/1000+'Inputs'!$B$21))^2+('Inputs'!$B$8/2)^2)))-'Results'!B7*(1-'Inputs'!$B$24)*(0.5*((((401-43)*MAX('Inputs'!$B$33,'Inputs'!$B$29+'Inputs'!$B$31+'Inputs'!$B$32,'Inputs'!$B$30+'Inputs'!$B$31+'Inputs'!$B$32)/1000+'Inputs'!$B$21+'Inputs'!$B$9+'Inputs'!$B$10)+'Inputs'!$B$7)/SQRT((((401-43)*MAX('Inputs'!$B$33,'Inputs'!$B$29+'Inputs'!$B$31+'Inputs'!$B$32,'Inputs'!$B$30+'Inputs'!$B$31+'Inputs'!$B$32)/1000+'Inputs'!$B$21+'Inputs'!$B$9+'Inputs'!$B$10)+'Inputs'!$B$7)^2+('Inputs'!$B$6/2)^2)-(((401-43)*MAX('Inputs'!$B$33,'Inputs'!$B$29+'Inputs'!$B$31+'Inputs'!$B$32,'Inputs'!$B$30+'Inputs'!$B$31+'Inputs'!$B$32)/1000+'Inputs'!$B$21+'Inputs'!$B$9+'Inputs'!$B$10))/SQRT((((401-43)*MAX('Inputs'!$B$33,'Inputs'!$B$29+'Inputs'!$B$31+'Inputs'!$B$32,'Inputs'!$B$30+'Inputs'!$B$31+'Inputs'!$B$32)/1000+'Inputs'!$B$21+'Inputs'!$B$9+'Inputs'!$B$10))^2+('Inputs'!$B$6/2)^2))))*'Results'!$B$8)+'Inputs'!$B$28*ABS((('Results'!C7*(1+'Inputs'!$B$24)*(0.5*((((401-43)*MAX('Inputs'!$B$33,'Inputs'!$B$29+'Inputs'!$B$31+'Inputs'!$B$32,'Inputs'!$B$30+'Inputs'!$B$31+'Inputs'!$B$32)/1000+'Inputs'!$B$21)+'Inputs'!$B$9)/SQRT((((401-43)*MAX('Inputs'!$B$33,'Inputs'!$B$29+'Inputs'!$B$31+'Inputs'!$B$32,'Inputs'!$B$30+'Inputs'!$B$31+'Inputs'!$B$32)/1000+'Inputs'!$B$21)+'Inputs'!$B$9)^2+('Inputs'!$B$8/2)^2)-(((401-43)*MAX('Inputs'!$B$33,'Inputs'!$B$29+'Inputs'!$B$31+'Inputs'!$B$32,'Inputs'!$B$30+'Inputs'!$B$31+'Inputs'!$B$32)/1000+'Inputs'!$B$21))/SQRT((((401-43)*MAX('Inputs'!$B$33,'Inputs'!$B$29+'Inputs'!$B$31+'Inputs'!$B$32,'Inputs'!$B$30+'Inputs'!$B$31+'Inputs'!$B$32)/1000+'Inputs'!$B$21))^2+('Inputs'!$B$8/2)^2)))-'Results'!B7*(1-'Inputs'!$B$24)*(0.5*((((401-43)*MAX('Inputs'!$B$33,'Inputs'!$B$29+'Inputs'!$B$31+'Inputs'!$B$32,'Inputs'!$B$30+'Inputs'!$B$31+'Inputs'!$B$32)/1000+'Inputs'!$B$21+'Inputs'!$B$9+'Inputs'!$B$10)+'Inputs'!$B$7)/SQRT((((401-43)*MAX('Inputs'!$B$33,'Inputs'!$B$29+'Inputs'!$B$31+'Inputs'!$B$32,'Inputs'!$B$30+'Inputs'!$B$31+'Inputs'!$B$32)/1000+'Inputs'!$B$21+'Inputs'!$B$9+'Inputs'!$B$10)+'Inputs'!$B$7)^2+('Inputs'!$B$6/2)^2)-(((401-43)*MAX('Inputs'!$B$33,'Inputs'!$B$29+'Inputs'!$B$31+'Inputs'!$B$32,'Inputs'!$B$30+'Inputs'!$B$31+'Inputs'!$B$32)/1000+'Inputs'!$B$21+'Inputs'!$B$9+'Inputs'!$B$10))/SQRT((((401-43)*MAX('Inputs'!$B$33,'Inputs'!$B$29+'Inputs'!$B$31+'Inputs'!$B$32,'Inputs'!$B$30+'Inputs'!$B$31+'Inputs'!$B$32)/1000+'Inputs'!$B$21+'Inputs'!$B$9+'Inputs'!$B$10))^2+('Inputs'!$B$6/2)^2))))*'Results'!$B$8))),"")</x:f>
        <x:v>13.327827048269715</x:v>
      </x:c>
      <x:c r="P401" t="n">
        <x:f>IF(AND(MAX(J401,J400)&gt;0,J401&gt;J400+0.00000001),1,0)</x:f>
        <x:v>0</x:v>
      </x:c>
      <x:c r="Q401" t="n">
        <x:f>IF(AND(MAX(K401,K400)&gt;0,K401&gt;K400+0.00000001),1,0)</x:f>
        <x:v>0</x:v>
      </x:c>
      <x:c r="R401" t="n">
        <x:f>IF(AND(MAX(L401,L400)&gt;0,L401&gt;L400+0.00000001),1,0)</x:f>
        <x:v>0</x:v>
      </x:c>
      <x:c r="S401" t="n">
        <x:f>IF(AND(MAX(M401,M400)&gt;0,M401&gt;M400+0.00000001),1,0)</x:f>
        <x:v>0</x:v>
      </x:c>
      <x:c r="T401" t="n">
        <x:f>IF(AND(MAX(N401,N400)&gt;0,N401&gt;N400+0.00000001),1,0)</x:f>
        <x:v>0</x:v>
      </x:c>
      <x:c r="U401" t="n">
        <x:f>IF(AND(MAX(O401,O400)&gt;0,O401&gt;O400+0.00000001),1,0)</x:f>
        <x:v>0</x:v>
      </x:c>
    </x:row>
    <x:row r="402">
      <x:c r="J402" t="n">
        <x:f>IF(AND(ISNUMBER('Results'!B7),ISNUMBER('Results'!C7),ISNUMBER('Results'!$B$8),ISNUMBER('Inputs'!$B$6),ISNUMBER('Inputs'!$B$7),ISNUMBER('Inputs'!$B$8),ISNUMBER('Inputs'!$B$9),ISNUMBER('Inputs'!$B$10),ISNUMBER('Inputs'!$B$21),ISNUMBER('Inputs'!$B$24),ISNUMBER('Inputs'!$B$28)),(('Results'!B7*(0.5*((((402-43)*MAX('Inputs'!$B$33,'Inputs'!$B$29+'Inputs'!$B$31+'Inputs'!$B$32,'Inputs'!$B$30+'Inputs'!$B$31+'Inputs'!$B$32)/1000+'Inputs'!$B$21)+'Inputs'!$B$7)/SQRT((((402-43)*MAX('Inputs'!$B$33,'Inputs'!$B$29+'Inputs'!$B$31+'Inputs'!$B$32,'Inputs'!$B$30+'Inputs'!$B$31+'Inputs'!$B$32)/1000+'Inputs'!$B$21)+'Inputs'!$B$7)^2+('Inputs'!$B$6/2)^2)-(((402-43)*MAX('Inputs'!$B$33,'Inputs'!$B$29+'Inputs'!$B$31+'Inputs'!$B$32,'Inputs'!$B$30+'Inputs'!$B$31+'Inputs'!$B$32)/1000+'Inputs'!$B$21))/SQRT((((402-43)*MAX('Inputs'!$B$33,'Inputs'!$B$29+'Inputs'!$B$31+'Inputs'!$B$32,'Inputs'!$B$30+'Inputs'!$B$31+'Inputs'!$B$32)/1000+'Inputs'!$B$21))^2+('Inputs'!$B$6/2)^2)))-'Results'!C7*(0.5*((((402-43)*MAX('Inputs'!$B$33,'Inputs'!$B$29+'Inputs'!$B$31+'Inputs'!$B$32,'Inputs'!$B$30+'Inputs'!$B$31+'Inputs'!$B$32)/1000+'Inputs'!$B$21+'Inputs'!$B$7+'Inputs'!$B$10)+'Inputs'!$B$9)/SQRT((((402-43)*MAX('Inputs'!$B$33,'Inputs'!$B$29+'Inputs'!$B$31+'Inputs'!$B$32,'Inputs'!$B$30+'Inputs'!$B$31+'Inputs'!$B$32)/1000+'Inputs'!$B$21+'Inputs'!$B$7+'Inputs'!$B$10)+'Inputs'!$B$9)^2+('Inputs'!$B$8/2)^2)-(((402-43)*MAX('Inputs'!$B$33,'Inputs'!$B$29+'Inputs'!$B$31+'Inputs'!$B$32,'Inputs'!$B$30+'Inputs'!$B$31+'Inputs'!$B$32)/1000+'Inputs'!$B$21+'Inputs'!$B$7+'Inputs'!$B$10))/SQRT((((402-43)*MAX('Inputs'!$B$33,'Inputs'!$B$29+'Inputs'!$B$31+'Inputs'!$B$32,'Inputs'!$B$30+'Inputs'!$B$31+'Inputs'!$B$32)/1000+'Inputs'!$B$21+'Inputs'!$B$7+'Inputs'!$B$10))^2+('Inputs'!$B$8/2)^2))))*'Results'!$B$8),"")</x:f>
        <x:v>12.588513372426286</x:v>
      </x:c>
      <x:c r="K402" t="n">
        <x:f>IF(AND(ISNUMBER('Results'!B7),ISNUMBER('Results'!C7),ISNUMBER('Results'!$B$8),ISNUMBER('Inputs'!$B$6),ISNUMBER('Inputs'!$B$7),ISNUMBER('Inputs'!$B$8),ISNUMBER('Inputs'!$B$9),ISNUMBER('Inputs'!$B$10),ISNUMBER('Inputs'!$B$21),ISNUMBER('Inputs'!$B$24),ISNUMBER('Inputs'!$B$28)),((('Results'!B7*(1-'Inputs'!$B$24)*(0.5*((((402-43)*MAX('Inputs'!$B$33,'Inputs'!$B$29+'Inputs'!$B$31+'Inputs'!$B$32,'Inputs'!$B$30+'Inputs'!$B$31+'Inputs'!$B$32)/1000+'Inputs'!$B$21)+'Inputs'!$B$7)/SQRT((((402-43)*MAX('Inputs'!$B$33,'Inputs'!$B$29+'Inputs'!$B$31+'Inputs'!$B$32,'Inputs'!$B$30+'Inputs'!$B$31+'Inputs'!$B$32)/1000+'Inputs'!$B$21)+'Inputs'!$B$7)^2+('Inputs'!$B$6/2)^2)-(((402-43)*MAX('Inputs'!$B$33,'Inputs'!$B$29+'Inputs'!$B$31+'Inputs'!$B$32,'Inputs'!$B$30+'Inputs'!$B$31+'Inputs'!$B$32)/1000+'Inputs'!$B$21))/SQRT((((402-43)*MAX('Inputs'!$B$33,'Inputs'!$B$29+'Inputs'!$B$31+'Inputs'!$B$32,'Inputs'!$B$30+'Inputs'!$B$31+'Inputs'!$B$32)/1000+'Inputs'!$B$21))^2+('Inputs'!$B$6/2)^2)))-'Results'!C7*(1+'Inputs'!$B$24)*(0.5*((((402-43)*MAX('Inputs'!$B$33,'Inputs'!$B$29+'Inputs'!$B$31+'Inputs'!$B$32,'Inputs'!$B$30+'Inputs'!$B$31+'Inputs'!$B$32)/1000+'Inputs'!$B$21+'Inputs'!$B$7+'Inputs'!$B$10)+'Inputs'!$B$9)/SQRT((((402-43)*MAX('Inputs'!$B$33,'Inputs'!$B$29+'Inputs'!$B$31+'Inputs'!$B$32,'Inputs'!$B$30+'Inputs'!$B$31+'Inputs'!$B$32)/1000+'Inputs'!$B$21+'Inputs'!$B$7+'Inputs'!$B$10)+'Inputs'!$B$9)^2+('Inputs'!$B$8/2)^2)-(((402-43)*MAX('Inputs'!$B$33,'Inputs'!$B$29+'Inputs'!$B$31+'Inputs'!$B$32,'Inputs'!$B$30+'Inputs'!$B$31+'Inputs'!$B$32)/1000+'Inputs'!$B$21+'Inputs'!$B$7+'Inputs'!$B$10))/SQRT((((402-43)*MAX('Inputs'!$B$33,'Inputs'!$B$29+'Inputs'!$B$31+'Inputs'!$B$32,'Inputs'!$B$30+'Inputs'!$B$31+'Inputs'!$B$32)/1000+'Inputs'!$B$21+'Inputs'!$B$7+'Inputs'!$B$10))^2+('Inputs'!$B$8/2)^2))))*'Results'!$B$8)-'Inputs'!$B$28*ABS((('Results'!B7*(1-'Inputs'!$B$24)*(0.5*((((402-43)*MAX('Inputs'!$B$33,'Inputs'!$B$29+'Inputs'!$B$31+'Inputs'!$B$32,'Inputs'!$B$30+'Inputs'!$B$31+'Inputs'!$B$32)/1000+'Inputs'!$B$21)+'Inputs'!$B$7)/SQRT((((402-43)*MAX('Inputs'!$B$33,'Inputs'!$B$29+'Inputs'!$B$31+'Inputs'!$B$32,'Inputs'!$B$30+'Inputs'!$B$31+'Inputs'!$B$32)/1000+'Inputs'!$B$21)+'Inputs'!$B$7)^2+('Inputs'!$B$6/2)^2)-(((402-43)*MAX('Inputs'!$B$33,'Inputs'!$B$29+'Inputs'!$B$31+'Inputs'!$B$32,'Inputs'!$B$30+'Inputs'!$B$31+'Inputs'!$B$32)/1000+'Inputs'!$B$21))/SQRT((((402-43)*MAX('Inputs'!$B$33,'Inputs'!$B$29+'Inputs'!$B$31+'Inputs'!$B$32,'Inputs'!$B$30+'Inputs'!$B$31+'Inputs'!$B$32)/1000+'Inputs'!$B$21))^2+('Inputs'!$B$6/2)^2)))-'Results'!C7*(1+'Inputs'!$B$24)*(0.5*((((402-43)*MAX('Inputs'!$B$33,'Inputs'!$B$29+'Inputs'!$B$31+'Inputs'!$B$32,'Inputs'!$B$30+'Inputs'!$B$31+'Inputs'!$B$32)/1000+'Inputs'!$B$21+'Inputs'!$B$7+'Inputs'!$B$10)+'Inputs'!$B$9)/SQRT((((402-43)*MAX('Inputs'!$B$33,'Inputs'!$B$29+'Inputs'!$B$31+'Inputs'!$B$32,'Inputs'!$B$30+'Inputs'!$B$31+'Inputs'!$B$32)/1000+'Inputs'!$B$21+'Inputs'!$B$7+'Inputs'!$B$10)+'Inputs'!$B$9)^2+('Inputs'!$B$8/2)^2)-(((402-43)*MAX('Inputs'!$B$33,'Inputs'!$B$29+'Inputs'!$B$31+'Inputs'!$B$32,'Inputs'!$B$30+'Inputs'!$B$31+'Inputs'!$B$32)/1000+'Inputs'!$B$21+'Inputs'!$B$7+'Inputs'!$B$10))/SQRT((((402-43)*MAX('Inputs'!$B$33,'Inputs'!$B$29+'Inputs'!$B$31+'Inputs'!$B$32,'Inputs'!$B$30+'Inputs'!$B$31+'Inputs'!$B$32)/1000+'Inputs'!$B$21+'Inputs'!$B$7+'Inputs'!$B$10))^2+('Inputs'!$B$8/2)^2))))*'Results'!$B$8))),"")</x:f>
        <x:v>11.321946166913074</x:v>
      </x:c>
      <x:c r="L402" t="n">
        <x:f>IF(AND(ISNUMBER('Results'!B7),ISNUMBER('Results'!C7),ISNUMBER('Results'!$B$8),ISNUMBER('Inputs'!$B$6),ISNUMBER('Inputs'!$B$7),ISNUMBER('Inputs'!$B$8),ISNUMBER('Inputs'!$B$9),ISNUMBER('Inputs'!$B$10),ISNUMBER('Inputs'!$B$21),ISNUMBER('Inputs'!$B$24),ISNUMBER('Inputs'!$B$28)),((('Results'!B7*(1+'Inputs'!$B$24)*(0.5*((((402-43)*MAX('Inputs'!$B$33,'Inputs'!$B$29+'Inputs'!$B$31+'Inputs'!$B$32,'Inputs'!$B$30+'Inputs'!$B$31+'Inputs'!$B$32)/1000+'Inputs'!$B$21)+'Inputs'!$B$7)/SQRT((((402-43)*MAX('Inputs'!$B$33,'Inputs'!$B$29+'Inputs'!$B$31+'Inputs'!$B$32,'Inputs'!$B$30+'Inputs'!$B$31+'Inputs'!$B$32)/1000+'Inputs'!$B$21)+'Inputs'!$B$7)^2+('Inputs'!$B$6/2)^2)-(((402-43)*MAX('Inputs'!$B$33,'Inputs'!$B$29+'Inputs'!$B$31+'Inputs'!$B$32,'Inputs'!$B$30+'Inputs'!$B$31+'Inputs'!$B$32)/1000+'Inputs'!$B$21))/SQRT((((402-43)*MAX('Inputs'!$B$33,'Inputs'!$B$29+'Inputs'!$B$31+'Inputs'!$B$32,'Inputs'!$B$30+'Inputs'!$B$31+'Inputs'!$B$32)/1000+'Inputs'!$B$21))^2+('Inputs'!$B$6/2)^2)))-'Results'!C7*(1-'Inputs'!$B$24)*(0.5*((((402-43)*MAX('Inputs'!$B$33,'Inputs'!$B$29+'Inputs'!$B$31+'Inputs'!$B$32,'Inputs'!$B$30+'Inputs'!$B$31+'Inputs'!$B$32)/1000+'Inputs'!$B$21+'Inputs'!$B$7+'Inputs'!$B$10)+'Inputs'!$B$9)/SQRT((((402-43)*MAX('Inputs'!$B$33,'Inputs'!$B$29+'Inputs'!$B$31+'Inputs'!$B$32,'Inputs'!$B$30+'Inputs'!$B$31+'Inputs'!$B$32)/1000+'Inputs'!$B$21+'Inputs'!$B$7+'Inputs'!$B$10)+'Inputs'!$B$9)^2+('Inputs'!$B$8/2)^2)-(((402-43)*MAX('Inputs'!$B$33,'Inputs'!$B$29+'Inputs'!$B$31+'Inputs'!$B$32,'Inputs'!$B$30+'Inputs'!$B$31+'Inputs'!$B$32)/1000+'Inputs'!$B$21+'Inputs'!$B$7+'Inputs'!$B$10))/SQRT((((402-43)*MAX('Inputs'!$B$33,'Inputs'!$B$29+'Inputs'!$B$31+'Inputs'!$B$32,'Inputs'!$B$30+'Inputs'!$B$31+'Inputs'!$B$32)/1000+'Inputs'!$B$21+'Inputs'!$B$7+'Inputs'!$B$10))^2+('Inputs'!$B$8/2)^2))))*'Results'!$B$8)+'Inputs'!$B$28*ABS((('Results'!B7*(1+'Inputs'!$B$24)*(0.5*((((402-43)*MAX('Inputs'!$B$33,'Inputs'!$B$29+'Inputs'!$B$31+'Inputs'!$B$32,'Inputs'!$B$30+'Inputs'!$B$31+'Inputs'!$B$32)/1000+'Inputs'!$B$21)+'Inputs'!$B$7)/SQRT((((402-43)*MAX('Inputs'!$B$33,'Inputs'!$B$29+'Inputs'!$B$31+'Inputs'!$B$32,'Inputs'!$B$30+'Inputs'!$B$31+'Inputs'!$B$32)/1000+'Inputs'!$B$21)+'Inputs'!$B$7)^2+('Inputs'!$B$6/2)^2)-(((402-43)*MAX('Inputs'!$B$33,'Inputs'!$B$29+'Inputs'!$B$31+'Inputs'!$B$32,'Inputs'!$B$30+'Inputs'!$B$31+'Inputs'!$B$32)/1000+'Inputs'!$B$21))/SQRT((((402-43)*MAX('Inputs'!$B$33,'Inputs'!$B$29+'Inputs'!$B$31+'Inputs'!$B$32,'Inputs'!$B$30+'Inputs'!$B$31+'Inputs'!$B$32)/1000+'Inputs'!$B$21))^2+('Inputs'!$B$6/2)^2)))-'Results'!C7*(1-'Inputs'!$B$24)*(0.5*((((402-43)*MAX('Inputs'!$B$33,'Inputs'!$B$29+'Inputs'!$B$31+'Inputs'!$B$32,'Inputs'!$B$30+'Inputs'!$B$31+'Inputs'!$B$32)/1000+'Inputs'!$B$21+'Inputs'!$B$7+'Inputs'!$B$10)+'Inputs'!$B$9)/SQRT((((402-43)*MAX('Inputs'!$B$33,'Inputs'!$B$29+'Inputs'!$B$31+'Inputs'!$B$32,'Inputs'!$B$30+'Inputs'!$B$31+'Inputs'!$B$32)/1000+'Inputs'!$B$21+'Inputs'!$B$7+'Inputs'!$B$10)+'Inputs'!$B$9)^2+('Inputs'!$B$8/2)^2)-(((402-43)*MAX('Inputs'!$B$33,'Inputs'!$B$29+'Inputs'!$B$31+'Inputs'!$B$32,'Inputs'!$B$30+'Inputs'!$B$31+'Inputs'!$B$32)/1000+'Inputs'!$B$21+'Inputs'!$B$7+'Inputs'!$B$10))/SQRT((((402-43)*MAX('Inputs'!$B$33,'Inputs'!$B$29+'Inputs'!$B$31+'Inputs'!$B$32,'Inputs'!$B$30+'Inputs'!$B$31+'Inputs'!$B$32)/1000+'Inputs'!$B$21+'Inputs'!$B$7+'Inputs'!$B$10))^2+('Inputs'!$B$8/2)^2))))*'Results'!$B$8))),"")</x:f>
        <x:v>13.922148108138646</x:v>
      </x:c>
      <x:c r="M402" t="n">
        <x:f>IF(AND(ISNUMBER('Results'!C7),ISNUMBER('Results'!B7),ISNUMBER('Results'!$B$8),ISNUMBER('Inputs'!$B$6),ISNUMBER('Inputs'!$B$7),ISNUMBER('Inputs'!$B$8),ISNUMBER('Inputs'!$B$9),ISNUMBER('Inputs'!$B$10),ISNUMBER('Inputs'!$B$21),ISNUMBER('Inputs'!$B$24),ISNUMBER('Inputs'!$B$28)),(('Results'!C7*(0.5*((((402-43)*MAX('Inputs'!$B$33,'Inputs'!$B$29+'Inputs'!$B$31+'Inputs'!$B$32,'Inputs'!$B$30+'Inputs'!$B$31+'Inputs'!$B$32)/1000+'Inputs'!$B$21)+'Inputs'!$B$9)/SQRT((((402-43)*MAX('Inputs'!$B$33,'Inputs'!$B$29+'Inputs'!$B$31+'Inputs'!$B$32,'Inputs'!$B$30+'Inputs'!$B$31+'Inputs'!$B$32)/1000+'Inputs'!$B$21)+'Inputs'!$B$9)^2+('Inputs'!$B$8/2)^2)-(((402-43)*MAX('Inputs'!$B$33,'Inputs'!$B$29+'Inputs'!$B$31+'Inputs'!$B$32,'Inputs'!$B$30+'Inputs'!$B$31+'Inputs'!$B$32)/1000+'Inputs'!$B$21))/SQRT((((402-43)*MAX('Inputs'!$B$33,'Inputs'!$B$29+'Inputs'!$B$31+'Inputs'!$B$32,'Inputs'!$B$30+'Inputs'!$B$31+'Inputs'!$B$32)/1000+'Inputs'!$B$21))^2+('Inputs'!$B$8/2)^2)))-'Results'!B7*(0.5*((((402-43)*MAX('Inputs'!$B$33,'Inputs'!$B$29+'Inputs'!$B$31+'Inputs'!$B$32,'Inputs'!$B$30+'Inputs'!$B$31+'Inputs'!$B$32)/1000+'Inputs'!$B$21+'Inputs'!$B$9+'Inputs'!$B$10)+'Inputs'!$B$7)/SQRT((((402-43)*MAX('Inputs'!$B$33,'Inputs'!$B$29+'Inputs'!$B$31+'Inputs'!$B$32,'Inputs'!$B$30+'Inputs'!$B$31+'Inputs'!$B$32)/1000+'Inputs'!$B$21+'Inputs'!$B$9+'Inputs'!$B$10)+'Inputs'!$B$7)^2+('Inputs'!$B$6/2)^2)-(((402-43)*MAX('Inputs'!$B$33,'Inputs'!$B$29+'Inputs'!$B$31+'Inputs'!$B$32,'Inputs'!$B$30+'Inputs'!$B$31+'Inputs'!$B$32)/1000+'Inputs'!$B$21+'Inputs'!$B$9+'Inputs'!$B$10))/SQRT((((402-43)*MAX('Inputs'!$B$33,'Inputs'!$B$29+'Inputs'!$B$31+'Inputs'!$B$32,'Inputs'!$B$30+'Inputs'!$B$31+'Inputs'!$B$32)/1000+'Inputs'!$B$21+'Inputs'!$B$9+'Inputs'!$B$10))^2+('Inputs'!$B$6/2)^2))))*'Results'!$B$8),"")</x:f>
        <x:v>11.913563529266009</x:v>
      </x:c>
      <x:c r="N402" t="n">
        <x:f>IF(AND(ISNUMBER('Results'!C7),ISNUMBER('Results'!B7),ISNUMBER('Results'!$B$8),ISNUMBER('Inputs'!$B$6),ISNUMBER('Inputs'!$B$7),ISNUMBER('Inputs'!$B$8),ISNUMBER('Inputs'!$B$9),ISNUMBER('Inputs'!$B$10),ISNUMBER('Inputs'!$B$21),ISNUMBER('Inputs'!$B$24),ISNUMBER('Inputs'!$B$28)),((('Results'!C7*(1-'Inputs'!$B$24)*(0.5*((((402-43)*MAX('Inputs'!$B$33,'Inputs'!$B$29+'Inputs'!$B$31+'Inputs'!$B$32,'Inputs'!$B$30+'Inputs'!$B$31+'Inputs'!$B$32)/1000+'Inputs'!$B$21)+'Inputs'!$B$9)/SQRT((((402-43)*MAX('Inputs'!$B$33,'Inputs'!$B$29+'Inputs'!$B$31+'Inputs'!$B$32,'Inputs'!$B$30+'Inputs'!$B$31+'Inputs'!$B$32)/1000+'Inputs'!$B$21)+'Inputs'!$B$9)^2+('Inputs'!$B$8/2)^2)-(((402-43)*MAX('Inputs'!$B$33,'Inputs'!$B$29+'Inputs'!$B$31+'Inputs'!$B$32,'Inputs'!$B$30+'Inputs'!$B$31+'Inputs'!$B$32)/1000+'Inputs'!$B$21))/SQRT((((402-43)*MAX('Inputs'!$B$33,'Inputs'!$B$29+'Inputs'!$B$31+'Inputs'!$B$32,'Inputs'!$B$30+'Inputs'!$B$31+'Inputs'!$B$32)/1000+'Inputs'!$B$21))^2+('Inputs'!$B$8/2)^2)))-'Results'!B7*(1+'Inputs'!$B$24)*(0.5*((((402-43)*MAX('Inputs'!$B$33,'Inputs'!$B$29+'Inputs'!$B$31+'Inputs'!$B$32,'Inputs'!$B$30+'Inputs'!$B$31+'Inputs'!$B$32)/1000+'Inputs'!$B$21+'Inputs'!$B$9+'Inputs'!$B$10)+'Inputs'!$B$7)/SQRT((((402-43)*MAX('Inputs'!$B$33,'Inputs'!$B$29+'Inputs'!$B$31+'Inputs'!$B$32,'Inputs'!$B$30+'Inputs'!$B$31+'Inputs'!$B$32)/1000+'Inputs'!$B$21+'Inputs'!$B$9+'Inputs'!$B$10)+'Inputs'!$B$7)^2+('Inputs'!$B$6/2)^2)-(((402-43)*MAX('Inputs'!$B$33,'Inputs'!$B$29+'Inputs'!$B$31+'Inputs'!$B$32,'Inputs'!$B$30+'Inputs'!$B$31+'Inputs'!$B$32)/1000+'Inputs'!$B$21+'Inputs'!$B$9+'Inputs'!$B$10))/SQRT((((402-43)*MAX('Inputs'!$B$33,'Inputs'!$B$29+'Inputs'!$B$31+'Inputs'!$B$32,'Inputs'!$B$30+'Inputs'!$B$31+'Inputs'!$B$32)/1000+'Inputs'!$B$21+'Inputs'!$B$9+'Inputs'!$B$10))^2+('Inputs'!$B$6/2)^2))))*'Results'!$B$8)-'Inputs'!$B$28*ABS((('Results'!C7*(1-'Inputs'!$B$24)*(0.5*((((402-43)*MAX('Inputs'!$B$33,'Inputs'!$B$29+'Inputs'!$B$31+'Inputs'!$B$32,'Inputs'!$B$30+'Inputs'!$B$31+'Inputs'!$B$32)/1000+'Inputs'!$B$21)+'Inputs'!$B$9)/SQRT((((402-43)*MAX('Inputs'!$B$33,'Inputs'!$B$29+'Inputs'!$B$31+'Inputs'!$B$32,'Inputs'!$B$30+'Inputs'!$B$31+'Inputs'!$B$32)/1000+'Inputs'!$B$21)+'Inputs'!$B$9)^2+('Inputs'!$B$8/2)^2)-(((402-43)*MAX('Inputs'!$B$33,'Inputs'!$B$29+'Inputs'!$B$31+'Inputs'!$B$32,'Inputs'!$B$30+'Inputs'!$B$31+'Inputs'!$B$32)/1000+'Inputs'!$B$21))/SQRT((((402-43)*MAX('Inputs'!$B$33,'Inputs'!$B$29+'Inputs'!$B$31+'Inputs'!$B$32,'Inputs'!$B$30+'Inputs'!$B$31+'Inputs'!$B$32)/1000+'Inputs'!$B$21))^2+('Inputs'!$B$8/2)^2)))-'Results'!B7*(1+'Inputs'!$B$24)*(0.5*((((402-43)*MAX('Inputs'!$B$33,'Inputs'!$B$29+'Inputs'!$B$31+'Inputs'!$B$32,'Inputs'!$B$30+'Inputs'!$B$31+'Inputs'!$B$32)/1000+'Inputs'!$B$21+'Inputs'!$B$9+'Inputs'!$B$10)+'Inputs'!$B$7)/SQRT((((402-43)*MAX('Inputs'!$B$33,'Inputs'!$B$29+'Inputs'!$B$31+'Inputs'!$B$32,'Inputs'!$B$30+'Inputs'!$B$31+'Inputs'!$B$32)/1000+'Inputs'!$B$21+'Inputs'!$B$9+'Inputs'!$B$10)+'Inputs'!$B$7)^2+('Inputs'!$B$6/2)^2)-(((402-43)*MAX('Inputs'!$B$33,'Inputs'!$B$29+'Inputs'!$B$31+'Inputs'!$B$32,'Inputs'!$B$30+'Inputs'!$B$31+'Inputs'!$B$32)/1000+'Inputs'!$B$21+'Inputs'!$B$9+'Inputs'!$B$10))/SQRT((((402-43)*MAX('Inputs'!$B$33,'Inputs'!$B$29+'Inputs'!$B$31+'Inputs'!$B$32,'Inputs'!$B$30+'Inputs'!$B$31+'Inputs'!$B$32)/1000+'Inputs'!$B$21+'Inputs'!$B$9+'Inputs'!$B$10))^2+('Inputs'!$B$6/2)^2))))*'Results'!$B$8))),"")</x:f>
        <x:v>10.685446234710124</x:v>
      </x:c>
      <x:c r="O402" t="n">
        <x:f>IF(AND(ISNUMBER('Results'!C7),ISNUMBER('Results'!B7),ISNUMBER('Results'!$B$8),ISNUMBER('Inputs'!$B$6),ISNUMBER('Inputs'!$B$7),ISNUMBER('Inputs'!$B$8),ISNUMBER('Inputs'!$B$9),ISNUMBER('Inputs'!$B$10),ISNUMBER('Inputs'!$B$21),ISNUMBER('Inputs'!$B$24),ISNUMBER('Inputs'!$B$28)),((('Results'!C7*(1+'Inputs'!$B$24)*(0.5*((((402-43)*MAX('Inputs'!$B$33,'Inputs'!$B$29+'Inputs'!$B$31+'Inputs'!$B$32,'Inputs'!$B$30+'Inputs'!$B$31+'Inputs'!$B$32)/1000+'Inputs'!$B$21)+'Inputs'!$B$9)/SQRT((((402-43)*MAX('Inputs'!$B$33,'Inputs'!$B$29+'Inputs'!$B$31+'Inputs'!$B$32,'Inputs'!$B$30+'Inputs'!$B$31+'Inputs'!$B$32)/1000+'Inputs'!$B$21)+'Inputs'!$B$9)^2+('Inputs'!$B$8/2)^2)-(((402-43)*MAX('Inputs'!$B$33,'Inputs'!$B$29+'Inputs'!$B$31+'Inputs'!$B$32,'Inputs'!$B$30+'Inputs'!$B$31+'Inputs'!$B$32)/1000+'Inputs'!$B$21))/SQRT((((402-43)*MAX('Inputs'!$B$33,'Inputs'!$B$29+'Inputs'!$B$31+'Inputs'!$B$32,'Inputs'!$B$30+'Inputs'!$B$31+'Inputs'!$B$32)/1000+'Inputs'!$B$21))^2+('Inputs'!$B$8/2)^2)))-'Results'!B7*(1-'Inputs'!$B$24)*(0.5*((((402-43)*MAX('Inputs'!$B$33,'Inputs'!$B$29+'Inputs'!$B$31+'Inputs'!$B$32,'Inputs'!$B$30+'Inputs'!$B$31+'Inputs'!$B$32)/1000+'Inputs'!$B$21+'Inputs'!$B$9+'Inputs'!$B$10)+'Inputs'!$B$7)/SQRT((((402-43)*MAX('Inputs'!$B$33,'Inputs'!$B$29+'Inputs'!$B$31+'Inputs'!$B$32,'Inputs'!$B$30+'Inputs'!$B$31+'Inputs'!$B$32)/1000+'Inputs'!$B$21+'Inputs'!$B$9+'Inputs'!$B$10)+'Inputs'!$B$7)^2+('Inputs'!$B$6/2)^2)-(((402-43)*MAX('Inputs'!$B$33,'Inputs'!$B$29+'Inputs'!$B$31+'Inputs'!$B$32,'Inputs'!$B$30+'Inputs'!$B$31+'Inputs'!$B$32)/1000+'Inputs'!$B$21+'Inputs'!$B$9+'Inputs'!$B$10))/SQRT((((402-43)*MAX('Inputs'!$B$33,'Inputs'!$B$29+'Inputs'!$B$31+'Inputs'!$B$32,'Inputs'!$B$30+'Inputs'!$B$31+'Inputs'!$B$32)/1000+'Inputs'!$B$21+'Inputs'!$B$9+'Inputs'!$B$10))^2+('Inputs'!$B$6/2)^2))))*'Results'!$B$8)+'Inputs'!$B$28*ABS((('Results'!C7*(1+'Inputs'!$B$24)*(0.5*((((402-43)*MAX('Inputs'!$B$33,'Inputs'!$B$29+'Inputs'!$B$31+'Inputs'!$B$32,'Inputs'!$B$30+'Inputs'!$B$31+'Inputs'!$B$32)/1000+'Inputs'!$B$21)+'Inputs'!$B$9)/SQRT((((402-43)*MAX('Inputs'!$B$33,'Inputs'!$B$29+'Inputs'!$B$31+'Inputs'!$B$32,'Inputs'!$B$30+'Inputs'!$B$31+'Inputs'!$B$32)/1000+'Inputs'!$B$21)+'Inputs'!$B$9)^2+('Inputs'!$B$8/2)^2)-(((402-43)*MAX('Inputs'!$B$33,'Inputs'!$B$29+'Inputs'!$B$31+'Inputs'!$B$32,'Inputs'!$B$30+'Inputs'!$B$31+'Inputs'!$B$32)/1000+'Inputs'!$B$21))/SQRT((((402-43)*MAX('Inputs'!$B$33,'Inputs'!$B$29+'Inputs'!$B$31+'Inputs'!$B$32,'Inputs'!$B$30+'Inputs'!$B$31+'Inputs'!$B$32)/1000+'Inputs'!$B$21))^2+('Inputs'!$B$8/2)^2)))-'Results'!B7*(1-'Inputs'!$B$24)*(0.5*((((402-43)*MAX('Inputs'!$B$33,'Inputs'!$B$29+'Inputs'!$B$31+'Inputs'!$B$32,'Inputs'!$B$30+'Inputs'!$B$31+'Inputs'!$B$32)/1000+'Inputs'!$B$21+'Inputs'!$B$9+'Inputs'!$B$10)+'Inputs'!$B$7)/SQRT((((402-43)*MAX('Inputs'!$B$33,'Inputs'!$B$29+'Inputs'!$B$31+'Inputs'!$B$32,'Inputs'!$B$30+'Inputs'!$B$31+'Inputs'!$B$32)/1000+'Inputs'!$B$21+'Inputs'!$B$9+'Inputs'!$B$10)+'Inputs'!$B$7)^2+('Inputs'!$B$6/2)^2)-(((402-43)*MAX('Inputs'!$B$33,'Inputs'!$B$29+'Inputs'!$B$31+'Inputs'!$B$32,'Inputs'!$B$30+'Inputs'!$B$31+'Inputs'!$B$32)/1000+'Inputs'!$B$21+'Inputs'!$B$9+'Inputs'!$B$10))/SQRT((((402-43)*MAX('Inputs'!$B$33,'Inputs'!$B$29+'Inputs'!$B$31+'Inputs'!$B$32,'Inputs'!$B$30+'Inputs'!$B$31+'Inputs'!$B$32)/1000+'Inputs'!$B$21+'Inputs'!$B$9+'Inputs'!$B$10))^2+('Inputs'!$B$6/2)^2))))*'Results'!$B$8))),"")</x:f>
        <x:v>13.208253362568483</x:v>
      </x:c>
      <x:c r="P402" t="n">
        <x:f>IF(AND(MAX(J402,J401)&gt;0,J402&gt;J401+0.00000001),1,0)</x:f>
        <x:v>0</x:v>
      </x:c>
      <x:c r="Q402" t="n">
        <x:f>IF(AND(MAX(K402,K401)&gt;0,K402&gt;K401+0.00000001),1,0)</x:f>
        <x:v>0</x:v>
      </x:c>
      <x:c r="R402" t="n">
        <x:f>IF(AND(MAX(L402,L401)&gt;0,L402&gt;L401+0.00000001),1,0)</x:f>
        <x:v>0</x:v>
      </x:c>
      <x:c r="S402" t="n">
        <x:f>IF(AND(MAX(M402,M401)&gt;0,M402&gt;M401+0.00000001),1,0)</x:f>
        <x:v>0</x:v>
      </x:c>
      <x:c r="T402" t="n">
        <x:f>IF(AND(MAX(N402,N401)&gt;0,N402&gt;N401+0.00000001),1,0)</x:f>
        <x:v>0</x:v>
      </x:c>
      <x:c r="U402" t="n">
        <x:f>IF(AND(MAX(O402,O401)&gt;0,O402&gt;O401+0.00000001),1,0)</x:f>
        <x:v>0</x:v>
      </x:c>
    </x:row>
    <x:row r="403">
      <x:c r="J403" t="n">
        <x:f>IF(AND(ISNUMBER('Results'!B7),ISNUMBER('Results'!C7),ISNUMBER('Results'!$B$8),ISNUMBER('Inputs'!$B$6),ISNUMBER('Inputs'!$B$7),ISNUMBER('Inputs'!$B$8),ISNUMBER('Inputs'!$B$9),ISNUMBER('Inputs'!$B$10),ISNUMBER('Inputs'!$B$21),ISNUMBER('Inputs'!$B$24),ISNUMBER('Inputs'!$B$28)),(('Results'!B7*(0.5*((((403-43)*MAX('Inputs'!$B$33,'Inputs'!$B$29+'Inputs'!$B$31+'Inputs'!$B$32,'Inputs'!$B$30+'Inputs'!$B$31+'Inputs'!$B$32)/1000+'Inputs'!$B$21)+'Inputs'!$B$7)/SQRT((((403-43)*MAX('Inputs'!$B$33,'Inputs'!$B$29+'Inputs'!$B$31+'Inputs'!$B$32,'Inputs'!$B$30+'Inputs'!$B$31+'Inputs'!$B$32)/1000+'Inputs'!$B$21)+'Inputs'!$B$7)^2+('Inputs'!$B$6/2)^2)-(((403-43)*MAX('Inputs'!$B$33,'Inputs'!$B$29+'Inputs'!$B$31+'Inputs'!$B$32,'Inputs'!$B$30+'Inputs'!$B$31+'Inputs'!$B$32)/1000+'Inputs'!$B$21))/SQRT((((403-43)*MAX('Inputs'!$B$33,'Inputs'!$B$29+'Inputs'!$B$31+'Inputs'!$B$32,'Inputs'!$B$30+'Inputs'!$B$31+'Inputs'!$B$32)/1000+'Inputs'!$B$21))^2+('Inputs'!$B$6/2)^2)))-'Results'!C7*(0.5*((((403-43)*MAX('Inputs'!$B$33,'Inputs'!$B$29+'Inputs'!$B$31+'Inputs'!$B$32,'Inputs'!$B$30+'Inputs'!$B$31+'Inputs'!$B$32)/1000+'Inputs'!$B$21+'Inputs'!$B$7+'Inputs'!$B$10)+'Inputs'!$B$9)/SQRT((((403-43)*MAX('Inputs'!$B$33,'Inputs'!$B$29+'Inputs'!$B$31+'Inputs'!$B$32,'Inputs'!$B$30+'Inputs'!$B$31+'Inputs'!$B$32)/1000+'Inputs'!$B$21+'Inputs'!$B$7+'Inputs'!$B$10)+'Inputs'!$B$9)^2+('Inputs'!$B$8/2)^2)-(((403-43)*MAX('Inputs'!$B$33,'Inputs'!$B$29+'Inputs'!$B$31+'Inputs'!$B$32,'Inputs'!$B$30+'Inputs'!$B$31+'Inputs'!$B$32)/1000+'Inputs'!$B$21+'Inputs'!$B$7+'Inputs'!$B$10))/SQRT((((403-43)*MAX('Inputs'!$B$33,'Inputs'!$B$29+'Inputs'!$B$31+'Inputs'!$B$32,'Inputs'!$B$30+'Inputs'!$B$31+'Inputs'!$B$32)/1000+'Inputs'!$B$21+'Inputs'!$B$7+'Inputs'!$B$10))^2+('Inputs'!$B$8/2)^2))))*'Results'!$B$8),"")</x:f>
        <x:v>12.475836035769763</x:v>
      </x:c>
      <x:c r="K403" t="n">
        <x:f>IF(AND(ISNUMBER('Results'!B7),ISNUMBER('Results'!C7),ISNUMBER('Results'!$B$8),ISNUMBER('Inputs'!$B$6),ISNUMBER('Inputs'!$B$7),ISNUMBER('Inputs'!$B$8),ISNUMBER('Inputs'!$B$9),ISNUMBER('Inputs'!$B$10),ISNUMBER('Inputs'!$B$21),ISNUMBER('Inputs'!$B$24),ISNUMBER('Inputs'!$B$28)),((('Results'!B7*(1-'Inputs'!$B$24)*(0.5*((((403-43)*MAX('Inputs'!$B$33,'Inputs'!$B$29+'Inputs'!$B$31+'Inputs'!$B$32,'Inputs'!$B$30+'Inputs'!$B$31+'Inputs'!$B$32)/1000+'Inputs'!$B$21)+'Inputs'!$B$7)/SQRT((((403-43)*MAX('Inputs'!$B$33,'Inputs'!$B$29+'Inputs'!$B$31+'Inputs'!$B$32,'Inputs'!$B$30+'Inputs'!$B$31+'Inputs'!$B$32)/1000+'Inputs'!$B$21)+'Inputs'!$B$7)^2+('Inputs'!$B$6/2)^2)-(((403-43)*MAX('Inputs'!$B$33,'Inputs'!$B$29+'Inputs'!$B$31+'Inputs'!$B$32,'Inputs'!$B$30+'Inputs'!$B$31+'Inputs'!$B$32)/1000+'Inputs'!$B$21))/SQRT((((403-43)*MAX('Inputs'!$B$33,'Inputs'!$B$29+'Inputs'!$B$31+'Inputs'!$B$32,'Inputs'!$B$30+'Inputs'!$B$31+'Inputs'!$B$32)/1000+'Inputs'!$B$21))^2+('Inputs'!$B$6/2)^2)))-'Results'!C7*(1+'Inputs'!$B$24)*(0.5*((((403-43)*MAX('Inputs'!$B$33,'Inputs'!$B$29+'Inputs'!$B$31+'Inputs'!$B$32,'Inputs'!$B$30+'Inputs'!$B$31+'Inputs'!$B$32)/1000+'Inputs'!$B$21+'Inputs'!$B$7+'Inputs'!$B$10)+'Inputs'!$B$9)/SQRT((((403-43)*MAX('Inputs'!$B$33,'Inputs'!$B$29+'Inputs'!$B$31+'Inputs'!$B$32,'Inputs'!$B$30+'Inputs'!$B$31+'Inputs'!$B$32)/1000+'Inputs'!$B$21+'Inputs'!$B$7+'Inputs'!$B$10)+'Inputs'!$B$9)^2+('Inputs'!$B$8/2)^2)-(((403-43)*MAX('Inputs'!$B$33,'Inputs'!$B$29+'Inputs'!$B$31+'Inputs'!$B$32,'Inputs'!$B$30+'Inputs'!$B$31+'Inputs'!$B$32)/1000+'Inputs'!$B$21+'Inputs'!$B$7+'Inputs'!$B$10))/SQRT((((403-43)*MAX('Inputs'!$B$33,'Inputs'!$B$29+'Inputs'!$B$31+'Inputs'!$B$32,'Inputs'!$B$30+'Inputs'!$B$31+'Inputs'!$B$32)/1000+'Inputs'!$B$21+'Inputs'!$B$7+'Inputs'!$B$10))^2+('Inputs'!$B$8/2)^2))))*'Results'!$B$8)-'Inputs'!$B$28*ABS((('Results'!B7*(1-'Inputs'!$B$24)*(0.5*((((403-43)*MAX('Inputs'!$B$33,'Inputs'!$B$29+'Inputs'!$B$31+'Inputs'!$B$32,'Inputs'!$B$30+'Inputs'!$B$31+'Inputs'!$B$32)/1000+'Inputs'!$B$21)+'Inputs'!$B$7)/SQRT((((403-43)*MAX('Inputs'!$B$33,'Inputs'!$B$29+'Inputs'!$B$31+'Inputs'!$B$32,'Inputs'!$B$30+'Inputs'!$B$31+'Inputs'!$B$32)/1000+'Inputs'!$B$21)+'Inputs'!$B$7)^2+('Inputs'!$B$6/2)^2)-(((403-43)*MAX('Inputs'!$B$33,'Inputs'!$B$29+'Inputs'!$B$31+'Inputs'!$B$32,'Inputs'!$B$30+'Inputs'!$B$31+'Inputs'!$B$32)/1000+'Inputs'!$B$21))/SQRT((((403-43)*MAX('Inputs'!$B$33,'Inputs'!$B$29+'Inputs'!$B$31+'Inputs'!$B$32,'Inputs'!$B$30+'Inputs'!$B$31+'Inputs'!$B$32)/1000+'Inputs'!$B$21))^2+('Inputs'!$B$6/2)^2)))-'Results'!C7*(1+'Inputs'!$B$24)*(0.5*((((403-43)*MAX('Inputs'!$B$33,'Inputs'!$B$29+'Inputs'!$B$31+'Inputs'!$B$32,'Inputs'!$B$30+'Inputs'!$B$31+'Inputs'!$B$32)/1000+'Inputs'!$B$21+'Inputs'!$B$7+'Inputs'!$B$10)+'Inputs'!$B$9)/SQRT((((403-43)*MAX('Inputs'!$B$33,'Inputs'!$B$29+'Inputs'!$B$31+'Inputs'!$B$32,'Inputs'!$B$30+'Inputs'!$B$31+'Inputs'!$B$32)/1000+'Inputs'!$B$21+'Inputs'!$B$7+'Inputs'!$B$10)+'Inputs'!$B$9)^2+('Inputs'!$B$8/2)^2)-(((403-43)*MAX('Inputs'!$B$33,'Inputs'!$B$29+'Inputs'!$B$31+'Inputs'!$B$32,'Inputs'!$B$30+'Inputs'!$B$31+'Inputs'!$B$32)/1000+'Inputs'!$B$21+'Inputs'!$B$7+'Inputs'!$B$10))/SQRT((((403-43)*MAX('Inputs'!$B$33,'Inputs'!$B$29+'Inputs'!$B$31+'Inputs'!$B$32,'Inputs'!$B$30+'Inputs'!$B$31+'Inputs'!$B$32)/1000+'Inputs'!$B$21+'Inputs'!$B$7+'Inputs'!$B$10))^2+('Inputs'!$B$8/2)^2))))*'Results'!$B$8))),"")</x:f>
        <x:v>11.219397010415197</x:v>
      </x:c>
      <x:c r="L403" t="n">
        <x:f>IF(AND(ISNUMBER('Results'!B7),ISNUMBER('Results'!C7),ISNUMBER('Results'!$B$8),ISNUMBER('Inputs'!$B$6),ISNUMBER('Inputs'!$B$7),ISNUMBER('Inputs'!$B$8),ISNUMBER('Inputs'!$B$9),ISNUMBER('Inputs'!$B$10),ISNUMBER('Inputs'!$B$21),ISNUMBER('Inputs'!$B$24),ISNUMBER('Inputs'!$B$28)),((('Results'!B7*(1+'Inputs'!$B$24)*(0.5*((((403-43)*MAX('Inputs'!$B$33,'Inputs'!$B$29+'Inputs'!$B$31+'Inputs'!$B$32,'Inputs'!$B$30+'Inputs'!$B$31+'Inputs'!$B$32)/1000+'Inputs'!$B$21)+'Inputs'!$B$7)/SQRT((((403-43)*MAX('Inputs'!$B$33,'Inputs'!$B$29+'Inputs'!$B$31+'Inputs'!$B$32,'Inputs'!$B$30+'Inputs'!$B$31+'Inputs'!$B$32)/1000+'Inputs'!$B$21)+'Inputs'!$B$7)^2+('Inputs'!$B$6/2)^2)-(((403-43)*MAX('Inputs'!$B$33,'Inputs'!$B$29+'Inputs'!$B$31+'Inputs'!$B$32,'Inputs'!$B$30+'Inputs'!$B$31+'Inputs'!$B$32)/1000+'Inputs'!$B$21))/SQRT((((403-43)*MAX('Inputs'!$B$33,'Inputs'!$B$29+'Inputs'!$B$31+'Inputs'!$B$32,'Inputs'!$B$30+'Inputs'!$B$31+'Inputs'!$B$32)/1000+'Inputs'!$B$21))^2+('Inputs'!$B$6/2)^2)))-'Results'!C7*(1-'Inputs'!$B$24)*(0.5*((((403-43)*MAX('Inputs'!$B$33,'Inputs'!$B$29+'Inputs'!$B$31+'Inputs'!$B$32,'Inputs'!$B$30+'Inputs'!$B$31+'Inputs'!$B$32)/1000+'Inputs'!$B$21+'Inputs'!$B$7+'Inputs'!$B$10)+'Inputs'!$B$9)/SQRT((((403-43)*MAX('Inputs'!$B$33,'Inputs'!$B$29+'Inputs'!$B$31+'Inputs'!$B$32,'Inputs'!$B$30+'Inputs'!$B$31+'Inputs'!$B$32)/1000+'Inputs'!$B$21+'Inputs'!$B$7+'Inputs'!$B$10)+'Inputs'!$B$9)^2+('Inputs'!$B$8/2)^2)-(((403-43)*MAX('Inputs'!$B$33,'Inputs'!$B$29+'Inputs'!$B$31+'Inputs'!$B$32,'Inputs'!$B$30+'Inputs'!$B$31+'Inputs'!$B$32)/1000+'Inputs'!$B$21+'Inputs'!$B$7+'Inputs'!$B$10))/SQRT((((403-43)*MAX('Inputs'!$B$33,'Inputs'!$B$29+'Inputs'!$B$31+'Inputs'!$B$32,'Inputs'!$B$30+'Inputs'!$B$31+'Inputs'!$B$32)/1000+'Inputs'!$B$21+'Inputs'!$B$7+'Inputs'!$B$10))^2+('Inputs'!$B$8/2)^2))))*'Results'!$B$8)+'Inputs'!$B$28*ABS((('Results'!B7*(1+'Inputs'!$B$24)*(0.5*((((403-43)*MAX('Inputs'!$B$33,'Inputs'!$B$29+'Inputs'!$B$31+'Inputs'!$B$32,'Inputs'!$B$30+'Inputs'!$B$31+'Inputs'!$B$32)/1000+'Inputs'!$B$21)+'Inputs'!$B$7)/SQRT((((403-43)*MAX('Inputs'!$B$33,'Inputs'!$B$29+'Inputs'!$B$31+'Inputs'!$B$32,'Inputs'!$B$30+'Inputs'!$B$31+'Inputs'!$B$32)/1000+'Inputs'!$B$21)+'Inputs'!$B$7)^2+('Inputs'!$B$6/2)^2)-(((403-43)*MAX('Inputs'!$B$33,'Inputs'!$B$29+'Inputs'!$B$31+'Inputs'!$B$32,'Inputs'!$B$30+'Inputs'!$B$31+'Inputs'!$B$32)/1000+'Inputs'!$B$21))/SQRT((((403-43)*MAX('Inputs'!$B$33,'Inputs'!$B$29+'Inputs'!$B$31+'Inputs'!$B$32,'Inputs'!$B$30+'Inputs'!$B$31+'Inputs'!$B$32)/1000+'Inputs'!$B$21))^2+('Inputs'!$B$6/2)^2)))-'Results'!C7*(1-'Inputs'!$B$24)*(0.5*((((403-43)*MAX('Inputs'!$B$33,'Inputs'!$B$29+'Inputs'!$B$31+'Inputs'!$B$32,'Inputs'!$B$30+'Inputs'!$B$31+'Inputs'!$B$32)/1000+'Inputs'!$B$21+'Inputs'!$B$7+'Inputs'!$B$10)+'Inputs'!$B$9)/SQRT((((403-43)*MAX('Inputs'!$B$33,'Inputs'!$B$29+'Inputs'!$B$31+'Inputs'!$B$32,'Inputs'!$B$30+'Inputs'!$B$31+'Inputs'!$B$32)/1000+'Inputs'!$B$21+'Inputs'!$B$7+'Inputs'!$B$10)+'Inputs'!$B$9)^2+('Inputs'!$B$8/2)^2)-(((403-43)*MAX('Inputs'!$B$33,'Inputs'!$B$29+'Inputs'!$B$31+'Inputs'!$B$32,'Inputs'!$B$30+'Inputs'!$B$31+'Inputs'!$B$32)/1000+'Inputs'!$B$21+'Inputs'!$B$7+'Inputs'!$B$10))/SQRT((((403-43)*MAX('Inputs'!$B$33,'Inputs'!$B$29+'Inputs'!$B$31+'Inputs'!$B$32,'Inputs'!$B$30+'Inputs'!$B$31+'Inputs'!$B$32)/1000+'Inputs'!$B$21+'Inputs'!$B$7+'Inputs'!$B$10))^2+('Inputs'!$B$8/2)^2))))*'Results'!$B$8))),"")</x:f>
        <x:v>13.79886950571023</x:v>
      </x:c>
      <x:c r="M403" t="n">
        <x:f>IF(AND(ISNUMBER('Results'!C7),ISNUMBER('Results'!B7),ISNUMBER('Results'!$B$8),ISNUMBER('Inputs'!$B$6),ISNUMBER('Inputs'!$B$7),ISNUMBER('Inputs'!$B$8),ISNUMBER('Inputs'!$B$9),ISNUMBER('Inputs'!$B$10),ISNUMBER('Inputs'!$B$21),ISNUMBER('Inputs'!$B$24),ISNUMBER('Inputs'!$B$28)),(('Results'!C7*(0.5*((((403-43)*MAX('Inputs'!$B$33,'Inputs'!$B$29+'Inputs'!$B$31+'Inputs'!$B$32,'Inputs'!$B$30+'Inputs'!$B$31+'Inputs'!$B$32)/1000+'Inputs'!$B$21)+'Inputs'!$B$9)/SQRT((((403-43)*MAX('Inputs'!$B$33,'Inputs'!$B$29+'Inputs'!$B$31+'Inputs'!$B$32,'Inputs'!$B$30+'Inputs'!$B$31+'Inputs'!$B$32)/1000+'Inputs'!$B$21)+'Inputs'!$B$9)^2+('Inputs'!$B$8/2)^2)-(((403-43)*MAX('Inputs'!$B$33,'Inputs'!$B$29+'Inputs'!$B$31+'Inputs'!$B$32,'Inputs'!$B$30+'Inputs'!$B$31+'Inputs'!$B$32)/1000+'Inputs'!$B$21))/SQRT((((403-43)*MAX('Inputs'!$B$33,'Inputs'!$B$29+'Inputs'!$B$31+'Inputs'!$B$32,'Inputs'!$B$30+'Inputs'!$B$31+'Inputs'!$B$32)/1000+'Inputs'!$B$21))^2+('Inputs'!$B$8/2)^2)))-'Results'!B7*(0.5*((((403-43)*MAX('Inputs'!$B$33,'Inputs'!$B$29+'Inputs'!$B$31+'Inputs'!$B$32,'Inputs'!$B$30+'Inputs'!$B$31+'Inputs'!$B$32)/1000+'Inputs'!$B$21+'Inputs'!$B$9+'Inputs'!$B$10)+'Inputs'!$B$7)/SQRT((((403-43)*MAX('Inputs'!$B$33,'Inputs'!$B$29+'Inputs'!$B$31+'Inputs'!$B$32,'Inputs'!$B$30+'Inputs'!$B$31+'Inputs'!$B$32)/1000+'Inputs'!$B$21+'Inputs'!$B$9+'Inputs'!$B$10)+'Inputs'!$B$7)^2+('Inputs'!$B$6/2)^2)-(((403-43)*MAX('Inputs'!$B$33,'Inputs'!$B$29+'Inputs'!$B$31+'Inputs'!$B$32,'Inputs'!$B$30+'Inputs'!$B$31+'Inputs'!$B$32)/1000+'Inputs'!$B$21+'Inputs'!$B$9+'Inputs'!$B$10))/SQRT((((403-43)*MAX('Inputs'!$B$33,'Inputs'!$B$29+'Inputs'!$B$31+'Inputs'!$B$32,'Inputs'!$B$30+'Inputs'!$B$31+'Inputs'!$B$32)/1000+'Inputs'!$B$21+'Inputs'!$B$9+'Inputs'!$B$10))^2+('Inputs'!$B$6/2)^2))))*'Results'!$B$8),"")</x:f>
        <x:v>11.80564232740927</x:v>
      </x:c>
      <x:c r="N403" t="n">
        <x:f>IF(AND(ISNUMBER('Results'!C7),ISNUMBER('Results'!B7),ISNUMBER('Results'!$B$8),ISNUMBER('Inputs'!$B$6),ISNUMBER('Inputs'!$B$7),ISNUMBER('Inputs'!$B$8),ISNUMBER('Inputs'!$B$9),ISNUMBER('Inputs'!$B$10),ISNUMBER('Inputs'!$B$21),ISNUMBER('Inputs'!$B$24),ISNUMBER('Inputs'!$B$28)),((('Results'!C7*(1-'Inputs'!$B$24)*(0.5*((((403-43)*MAX('Inputs'!$B$33,'Inputs'!$B$29+'Inputs'!$B$31+'Inputs'!$B$32,'Inputs'!$B$30+'Inputs'!$B$31+'Inputs'!$B$32)/1000+'Inputs'!$B$21)+'Inputs'!$B$9)/SQRT((((403-43)*MAX('Inputs'!$B$33,'Inputs'!$B$29+'Inputs'!$B$31+'Inputs'!$B$32,'Inputs'!$B$30+'Inputs'!$B$31+'Inputs'!$B$32)/1000+'Inputs'!$B$21)+'Inputs'!$B$9)^2+('Inputs'!$B$8/2)^2)-(((403-43)*MAX('Inputs'!$B$33,'Inputs'!$B$29+'Inputs'!$B$31+'Inputs'!$B$32,'Inputs'!$B$30+'Inputs'!$B$31+'Inputs'!$B$32)/1000+'Inputs'!$B$21))/SQRT((((403-43)*MAX('Inputs'!$B$33,'Inputs'!$B$29+'Inputs'!$B$31+'Inputs'!$B$32,'Inputs'!$B$30+'Inputs'!$B$31+'Inputs'!$B$32)/1000+'Inputs'!$B$21))^2+('Inputs'!$B$8/2)^2)))-'Results'!B7*(1+'Inputs'!$B$24)*(0.5*((((403-43)*MAX('Inputs'!$B$33,'Inputs'!$B$29+'Inputs'!$B$31+'Inputs'!$B$32,'Inputs'!$B$30+'Inputs'!$B$31+'Inputs'!$B$32)/1000+'Inputs'!$B$21+'Inputs'!$B$9+'Inputs'!$B$10)+'Inputs'!$B$7)/SQRT((((403-43)*MAX('Inputs'!$B$33,'Inputs'!$B$29+'Inputs'!$B$31+'Inputs'!$B$32,'Inputs'!$B$30+'Inputs'!$B$31+'Inputs'!$B$32)/1000+'Inputs'!$B$21+'Inputs'!$B$9+'Inputs'!$B$10)+'Inputs'!$B$7)^2+('Inputs'!$B$6/2)^2)-(((403-43)*MAX('Inputs'!$B$33,'Inputs'!$B$29+'Inputs'!$B$31+'Inputs'!$B$32,'Inputs'!$B$30+'Inputs'!$B$31+'Inputs'!$B$32)/1000+'Inputs'!$B$21+'Inputs'!$B$9+'Inputs'!$B$10))/SQRT((((403-43)*MAX('Inputs'!$B$33,'Inputs'!$B$29+'Inputs'!$B$31+'Inputs'!$B$32,'Inputs'!$B$30+'Inputs'!$B$31+'Inputs'!$B$32)/1000+'Inputs'!$B$21+'Inputs'!$B$9+'Inputs'!$B$10))^2+('Inputs'!$B$6/2)^2))))*'Results'!$B$8)-'Inputs'!$B$28*ABS((('Results'!C7*(1-'Inputs'!$B$24)*(0.5*((((403-43)*MAX('Inputs'!$B$33,'Inputs'!$B$29+'Inputs'!$B$31+'Inputs'!$B$32,'Inputs'!$B$30+'Inputs'!$B$31+'Inputs'!$B$32)/1000+'Inputs'!$B$21)+'Inputs'!$B$9)/SQRT((((403-43)*MAX('Inputs'!$B$33,'Inputs'!$B$29+'Inputs'!$B$31+'Inputs'!$B$32,'Inputs'!$B$30+'Inputs'!$B$31+'Inputs'!$B$32)/1000+'Inputs'!$B$21)+'Inputs'!$B$9)^2+('Inputs'!$B$8/2)^2)-(((403-43)*MAX('Inputs'!$B$33,'Inputs'!$B$29+'Inputs'!$B$31+'Inputs'!$B$32,'Inputs'!$B$30+'Inputs'!$B$31+'Inputs'!$B$32)/1000+'Inputs'!$B$21))/SQRT((((403-43)*MAX('Inputs'!$B$33,'Inputs'!$B$29+'Inputs'!$B$31+'Inputs'!$B$32,'Inputs'!$B$30+'Inputs'!$B$31+'Inputs'!$B$32)/1000+'Inputs'!$B$21))^2+('Inputs'!$B$8/2)^2)))-'Results'!B7*(1+'Inputs'!$B$24)*(0.5*((((403-43)*MAX('Inputs'!$B$33,'Inputs'!$B$29+'Inputs'!$B$31+'Inputs'!$B$32,'Inputs'!$B$30+'Inputs'!$B$31+'Inputs'!$B$32)/1000+'Inputs'!$B$21+'Inputs'!$B$9+'Inputs'!$B$10)+'Inputs'!$B$7)/SQRT((((403-43)*MAX('Inputs'!$B$33,'Inputs'!$B$29+'Inputs'!$B$31+'Inputs'!$B$32,'Inputs'!$B$30+'Inputs'!$B$31+'Inputs'!$B$32)/1000+'Inputs'!$B$21+'Inputs'!$B$9+'Inputs'!$B$10)+'Inputs'!$B$7)^2+('Inputs'!$B$6/2)^2)-(((403-43)*MAX('Inputs'!$B$33,'Inputs'!$B$29+'Inputs'!$B$31+'Inputs'!$B$32,'Inputs'!$B$30+'Inputs'!$B$31+'Inputs'!$B$32)/1000+'Inputs'!$B$21+'Inputs'!$B$9+'Inputs'!$B$10))/SQRT((((403-43)*MAX('Inputs'!$B$33,'Inputs'!$B$29+'Inputs'!$B$31+'Inputs'!$B$32,'Inputs'!$B$30+'Inputs'!$B$31+'Inputs'!$B$32)/1000+'Inputs'!$B$21+'Inputs'!$B$9+'Inputs'!$B$10))^2+('Inputs'!$B$6/2)^2))))*'Results'!$B$8))),"")</x:f>
        <x:v>10.587373069178792</x:v>
      </x:c>
      <x:c r="O403" t="n">
        <x:f>IF(AND(ISNUMBER('Results'!C7),ISNUMBER('Results'!B7),ISNUMBER('Results'!$B$8),ISNUMBER('Inputs'!$B$6),ISNUMBER('Inputs'!$B$7),ISNUMBER('Inputs'!$B$8),ISNUMBER('Inputs'!$B$9),ISNUMBER('Inputs'!$B$10),ISNUMBER('Inputs'!$B$21),ISNUMBER('Inputs'!$B$24),ISNUMBER('Inputs'!$B$28)),((('Results'!C7*(1+'Inputs'!$B$24)*(0.5*((((403-43)*MAX('Inputs'!$B$33,'Inputs'!$B$29+'Inputs'!$B$31+'Inputs'!$B$32,'Inputs'!$B$30+'Inputs'!$B$31+'Inputs'!$B$32)/1000+'Inputs'!$B$21)+'Inputs'!$B$9)/SQRT((((403-43)*MAX('Inputs'!$B$33,'Inputs'!$B$29+'Inputs'!$B$31+'Inputs'!$B$32,'Inputs'!$B$30+'Inputs'!$B$31+'Inputs'!$B$32)/1000+'Inputs'!$B$21)+'Inputs'!$B$9)^2+('Inputs'!$B$8/2)^2)-(((403-43)*MAX('Inputs'!$B$33,'Inputs'!$B$29+'Inputs'!$B$31+'Inputs'!$B$32,'Inputs'!$B$30+'Inputs'!$B$31+'Inputs'!$B$32)/1000+'Inputs'!$B$21))/SQRT((((403-43)*MAX('Inputs'!$B$33,'Inputs'!$B$29+'Inputs'!$B$31+'Inputs'!$B$32,'Inputs'!$B$30+'Inputs'!$B$31+'Inputs'!$B$32)/1000+'Inputs'!$B$21))^2+('Inputs'!$B$8/2)^2)))-'Results'!B7*(1-'Inputs'!$B$24)*(0.5*((((403-43)*MAX('Inputs'!$B$33,'Inputs'!$B$29+'Inputs'!$B$31+'Inputs'!$B$32,'Inputs'!$B$30+'Inputs'!$B$31+'Inputs'!$B$32)/1000+'Inputs'!$B$21+'Inputs'!$B$9+'Inputs'!$B$10)+'Inputs'!$B$7)/SQRT((((403-43)*MAX('Inputs'!$B$33,'Inputs'!$B$29+'Inputs'!$B$31+'Inputs'!$B$32,'Inputs'!$B$30+'Inputs'!$B$31+'Inputs'!$B$32)/1000+'Inputs'!$B$21+'Inputs'!$B$9+'Inputs'!$B$10)+'Inputs'!$B$7)^2+('Inputs'!$B$6/2)^2)-(((403-43)*MAX('Inputs'!$B$33,'Inputs'!$B$29+'Inputs'!$B$31+'Inputs'!$B$32,'Inputs'!$B$30+'Inputs'!$B$31+'Inputs'!$B$32)/1000+'Inputs'!$B$21+'Inputs'!$B$9+'Inputs'!$B$10))/SQRT((((403-43)*MAX('Inputs'!$B$33,'Inputs'!$B$29+'Inputs'!$B$31+'Inputs'!$B$32,'Inputs'!$B$30+'Inputs'!$B$31+'Inputs'!$B$32)/1000+'Inputs'!$B$21+'Inputs'!$B$9+'Inputs'!$B$10))^2+('Inputs'!$B$6/2)^2))))*'Results'!$B$8)+'Inputs'!$B$28*ABS((('Results'!C7*(1+'Inputs'!$B$24)*(0.5*((((403-43)*MAX('Inputs'!$B$33,'Inputs'!$B$29+'Inputs'!$B$31+'Inputs'!$B$32,'Inputs'!$B$30+'Inputs'!$B$31+'Inputs'!$B$32)/1000+'Inputs'!$B$21)+'Inputs'!$B$9)/SQRT((((403-43)*MAX('Inputs'!$B$33,'Inputs'!$B$29+'Inputs'!$B$31+'Inputs'!$B$32,'Inputs'!$B$30+'Inputs'!$B$31+'Inputs'!$B$32)/1000+'Inputs'!$B$21)+'Inputs'!$B$9)^2+('Inputs'!$B$8/2)^2)-(((403-43)*MAX('Inputs'!$B$33,'Inputs'!$B$29+'Inputs'!$B$31+'Inputs'!$B$32,'Inputs'!$B$30+'Inputs'!$B$31+'Inputs'!$B$32)/1000+'Inputs'!$B$21))/SQRT((((403-43)*MAX('Inputs'!$B$33,'Inputs'!$B$29+'Inputs'!$B$31+'Inputs'!$B$32,'Inputs'!$B$30+'Inputs'!$B$31+'Inputs'!$B$32)/1000+'Inputs'!$B$21))^2+('Inputs'!$B$8/2)^2)))-'Results'!B7*(1-'Inputs'!$B$24)*(0.5*((((403-43)*MAX('Inputs'!$B$33,'Inputs'!$B$29+'Inputs'!$B$31+'Inputs'!$B$32,'Inputs'!$B$30+'Inputs'!$B$31+'Inputs'!$B$32)/1000+'Inputs'!$B$21+'Inputs'!$B$9+'Inputs'!$B$10)+'Inputs'!$B$7)/SQRT((((403-43)*MAX('Inputs'!$B$33,'Inputs'!$B$29+'Inputs'!$B$31+'Inputs'!$B$32,'Inputs'!$B$30+'Inputs'!$B$31+'Inputs'!$B$32)/1000+'Inputs'!$B$21+'Inputs'!$B$9+'Inputs'!$B$10)+'Inputs'!$B$7)^2+('Inputs'!$B$6/2)^2)-(((403-43)*MAX('Inputs'!$B$33,'Inputs'!$B$29+'Inputs'!$B$31+'Inputs'!$B$32,'Inputs'!$B$30+'Inputs'!$B$31+'Inputs'!$B$32)/1000+'Inputs'!$B$21+'Inputs'!$B$9+'Inputs'!$B$10))/SQRT((((403-43)*MAX('Inputs'!$B$33,'Inputs'!$B$29+'Inputs'!$B$31+'Inputs'!$B$32,'Inputs'!$B$30+'Inputs'!$B$31+'Inputs'!$B$32)/1000+'Inputs'!$B$21+'Inputs'!$B$9+'Inputs'!$B$10))^2+('Inputs'!$B$6/2)^2))))*'Results'!$B$8))),"")</x:f>
        <x:v>13.09001549530922</x:v>
      </x:c>
      <x:c r="P403" t="n">
        <x:f>IF(AND(MAX(J403,J402)&gt;0,J403&gt;J402+0.00000001),1,0)</x:f>
        <x:v>0</x:v>
      </x:c>
      <x:c r="Q403" t="n">
        <x:f>IF(AND(MAX(K403,K402)&gt;0,K403&gt;K402+0.00000001),1,0)</x:f>
        <x:v>0</x:v>
      </x:c>
      <x:c r="R403" t="n">
        <x:f>IF(AND(MAX(L403,L402)&gt;0,L403&gt;L402+0.00000001),1,0)</x:f>
        <x:v>0</x:v>
      </x:c>
      <x:c r="S403" t="n">
        <x:f>IF(AND(MAX(M403,M402)&gt;0,M403&gt;M402+0.00000001),1,0)</x:f>
        <x:v>0</x:v>
      </x:c>
      <x:c r="T403" t="n">
        <x:f>IF(AND(MAX(N403,N402)&gt;0,N403&gt;N402+0.00000001),1,0)</x:f>
        <x:v>0</x:v>
      </x:c>
      <x:c r="U403" t="n">
        <x:f>IF(AND(MAX(O403,O402)&gt;0,O403&gt;O402+0.00000001),1,0)</x:f>
        <x:v>0</x:v>
      </x:c>
    </x:row>
    <x:row r="404">
      <x:c r="J404" t="n">
        <x:f>IF(AND(ISNUMBER('Results'!B7),ISNUMBER('Results'!C7),ISNUMBER('Results'!$B$8),ISNUMBER('Inputs'!$B$6),ISNUMBER('Inputs'!$B$7),ISNUMBER('Inputs'!$B$8),ISNUMBER('Inputs'!$B$9),ISNUMBER('Inputs'!$B$10),ISNUMBER('Inputs'!$B$21),ISNUMBER('Inputs'!$B$24),ISNUMBER('Inputs'!$B$28)),(('Results'!B7*(0.5*((((404-43)*MAX('Inputs'!$B$33,'Inputs'!$B$29+'Inputs'!$B$31+'Inputs'!$B$32,'Inputs'!$B$30+'Inputs'!$B$31+'Inputs'!$B$32)/1000+'Inputs'!$B$21)+'Inputs'!$B$7)/SQRT((((404-43)*MAX('Inputs'!$B$33,'Inputs'!$B$29+'Inputs'!$B$31+'Inputs'!$B$32,'Inputs'!$B$30+'Inputs'!$B$31+'Inputs'!$B$32)/1000+'Inputs'!$B$21)+'Inputs'!$B$7)^2+('Inputs'!$B$6/2)^2)-(((404-43)*MAX('Inputs'!$B$33,'Inputs'!$B$29+'Inputs'!$B$31+'Inputs'!$B$32,'Inputs'!$B$30+'Inputs'!$B$31+'Inputs'!$B$32)/1000+'Inputs'!$B$21))/SQRT((((404-43)*MAX('Inputs'!$B$33,'Inputs'!$B$29+'Inputs'!$B$31+'Inputs'!$B$32,'Inputs'!$B$30+'Inputs'!$B$31+'Inputs'!$B$32)/1000+'Inputs'!$B$21))^2+('Inputs'!$B$6/2)^2)))-'Results'!C7*(0.5*((((404-43)*MAX('Inputs'!$B$33,'Inputs'!$B$29+'Inputs'!$B$31+'Inputs'!$B$32,'Inputs'!$B$30+'Inputs'!$B$31+'Inputs'!$B$32)/1000+'Inputs'!$B$21+'Inputs'!$B$7+'Inputs'!$B$10)+'Inputs'!$B$9)/SQRT((((404-43)*MAX('Inputs'!$B$33,'Inputs'!$B$29+'Inputs'!$B$31+'Inputs'!$B$32,'Inputs'!$B$30+'Inputs'!$B$31+'Inputs'!$B$32)/1000+'Inputs'!$B$21+'Inputs'!$B$7+'Inputs'!$B$10)+'Inputs'!$B$9)^2+('Inputs'!$B$8/2)^2)-(((404-43)*MAX('Inputs'!$B$33,'Inputs'!$B$29+'Inputs'!$B$31+'Inputs'!$B$32,'Inputs'!$B$30+'Inputs'!$B$31+'Inputs'!$B$32)/1000+'Inputs'!$B$21+'Inputs'!$B$7+'Inputs'!$B$10))/SQRT((((404-43)*MAX('Inputs'!$B$33,'Inputs'!$B$29+'Inputs'!$B$31+'Inputs'!$B$32,'Inputs'!$B$30+'Inputs'!$B$31+'Inputs'!$B$32)/1000+'Inputs'!$B$21+'Inputs'!$B$7+'Inputs'!$B$10))^2+('Inputs'!$B$8/2)^2))))*'Results'!$B$8),"")</x:f>
        <x:v>12.364414647173765</x:v>
      </x:c>
      <x:c r="K404" t="n">
        <x:f>IF(AND(ISNUMBER('Results'!B7),ISNUMBER('Results'!C7),ISNUMBER('Results'!$B$8),ISNUMBER('Inputs'!$B$6),ISNUMBER('Inputs'!$B$7),ISNUMBER('Inputs'!$B$8),ISNUMBER('Inputs'!$B$9),ISNUMBER('Inputs'!$B$10),ISNUMBER('Inputs'!$B$21),ISNUMBER('Inputs'!$B$24),ISNUMBER('Inputs'!$B$28)),((('Results'!B7*(1-'Inputs'!$B$24)*(0.5*((((404-43)*MAX('Inputs'!$B$33,'Inputs'!$B$29+'Inputs'!$B$31+'Inputs'!$B$32,'Inputs'!$B$30+'Inputs'!$B$31+'Inputs'!$B$32)/1000+'Inputs'!$B$21)+'Inputs'!$B$7)/SQRT((((404-43)*MAX('Inputs'!$B$33,'Inputs'!$B$29+'Inputs'!$B$31+'Inputs'!$B$32,'Inputs'!$B$30+'Inputs'!$B$31+'Inputs'!$B$32)/1000+'Inputs'!$B$21)+'Inputs'!$B$7)^2+('Inputs'!$B$6/2)^2)-(((404-43)*MAX('Inputs'!$B$33,'Inputs'!$B$29+'Inputs'!$B$31+'Inputs'!$B$32,'Inputs'!$B$30+'Inputs'!$B$31+'Inputs'!$B$32)/1000+'Inputs'!$B$21))/SQRT((((404-43)*MAX('Inputs'!$B$33,'Inputs'!$B$29+'Inputs'!$B$31+'Inputs'!$B$32,'Inputs'!$B$30+'Inputs'!$B$31+'Inputs'!$B$32)/1000+'Inputs'!$B$21))^2+('Inputs'!$B$6/2)^2)))-'Results'!C7*(1+'Inputs'!$B$24)*(0.5*((((404-43)*MAX('Inputs'!$B$33,'Inputs'!$B$29+'Inputs'!$B$31+'Inputs'!$B$32,'Inputs'!$B$30+'Inputs'!$B$31+'Inputs'!$B$32)/1000+'Inputs'!$B$21+'Inputs'!$B$7+'Inputs'!$B$10)+'Inputs'!$B$9)/SQRT((((404-43)*MAX('Inputs'!$B$33,'Inputs'!$B$29+'Inputs'!$B$31+'Inputs'!$B$32,'Inputs'!$B$30+'Inputs'!$B$31+'Inputs'!$B$32)/1000+'Inputs'!$B$21+'Inputs'!$B$7+'Inputs'!$B$10)+'Inputs'!$B$9)^2+('Inputs'!$B$8/2)^2)-(((404-43)*MAX('Inputs'!$B$33,'Inputs'!$B$29+'Inputs'!$B$31+'Inputs'!$B$32,'Inputs'!$B$30+'Inputs'!$B$31+'Inputs'!$B$32)/1000+'Inputs'!$B$21+'Inputs'!$B$7+'Inputs'!$B$10))/SQRT((((404-43)*MAX('Inputs'!$B$33,'Inputs'!$B$29+'Inputs'!$B$31+'Inputs'!$B$32,'Inputs'!$B$30+'Inputs'!$B$31+'Inputs'!$B$32)/1000+'Inputs'!$B$21+'Inputs'!$B$7+'Inputs'!$B$10))^2+('Inputs'!$B$8/2)^2))))*'Results'!$B$8)-'Inputs'!$B$28*ABS((('Results'!B7*(1-'Inputs'!$B$24)*(0.5*((((404-43)*MAX('Inputs'!$B$33,'Inputs'!$B$29+'Inputs'!$B$31+'Inputs'!$B$32,'Inputs'!$B$30+'Inputs'!$B$31+'Inputs'!$B$32)/1000+'Inputs'!$B$21)+'Inputs'!$B$7)/SQRT((((404-43)*MAX('Inputs'!$B$33,'Inputs'!$B$29+'Inputs'!$B$31+'Inputs'!$B$32,'Inputs'!$B$30+'Inputs'!$B$31+'Inputs'!$B$32)/1000+'Inputs'!$B$21)+'Inputs'!$B$7)^2+('Inputs'!$B$6/2)^2)-(((404-43)*MAX('Inputs'!$B$33,'Inputs'!$B$29+'Inputs'!$B$31+'Inputs'!$B$32,'Inputs'!$B$30+'Inputs'!$B$31+'Inputs'!$B$32)/1000+'Inputs'!$B$21))/SQRT((((404-43)*MAX('Inputs'!$B$33,'Inputs'!$B$29+'Inputs'!$B$31+'Inputs'!$B$32,'Inputs'!$B$30+'Inputs'!$B$31+'Inputs'!$B$32)/1000+'Inputs'!$B$21))^2+('Inputs'!$B$6/2)^2)))-'Results'!C7*(1+'Inputs'!$B$24)*(0.5*((((404-43)*MAX('Inputs'!$B$33,'Inputs'!$B$29+'Inputs'!$B$31+'Inputs'!$B$32,'Inputs'!$B$30+'Inputs'!$B$31+'Inputs'!$B$32)/1000+'Inputs'!$B$21+'Inputs'!$B$7+'Inputs'!$B$10)+'Inputs'!$B$9)/SQRT((((404-43)*MAX('Inputs'!$B$33,'Inputs'!$B$29+'Inputs'!$B$31+'Inputs'!$B$32,'Inputs'!$B$30+'Inputs'!$B$31+'Inputs'!$B$32)/1000+'Inputs'!$B$21+'Inputs'!$B$7+'Inputs'!$B$10)+'Inputs'!$B$9)^2+('Inputs'!$B$8/2)^2)-(((404-43)*MAX('Inputs'!$B$33,'Inputs'!$B$29+'Inputs'!$B$31+'Inputs'!$B$32,'Inputs'!$B$30+'Inputs'!$B$31+'Inputs'!$B$32)/1000+'Inputs'!$B$21+'Inputs'!$B$7+'Inputs'!$B$10))/SQRT((((404-43)*MAX('Inputs'!$B$33,'Inputs'!$B$29+'Inputs'!$B$31+'Inputs'!$B$32,'Inputs'!$B$30+'Inputs'!$B$31+'Inputs'!$B$32)/1000+'Inputs'!$B$21+'Inputs'!$B$7+'Inputs'!$B$10))^2+('Inputs'!$B$8/2)^2))))*'Results'!$B$8))),"")</x:f>
        <x:v>11.117998731434424</x:v>
      </x:c>
      <x:c r="L404" t="n">
        <x:f>IF(AND(ISNUMBER('Results'!B7),ISNUMBER('Results'!C7),ISNUMBER('Results'!$B$8),ISNUMBER('Inputs'!$B$6),ISNUMBER('Inputs'!$B$7),ISNUMBER('Inputs'!$B$8),ISNUMBER('Inputs'!$B$9),ISNUMBER('Inputs'!$B$10),ISNUMBER('Inputs'!$B$21),ISNUMBER('Inputs'!$B$24),ISNUMBER('Inputs'!$B$28)),((('Results'!B7*(1+'Inputs'!$B$24)*(0.5*((((404-43)*MAX('Inputs'!$B$33,'Inputs'!$B$29+'Inputs'!$B$31+'Inputs'!$B$32,'Inputs'!$B$30+'Inputs'!$B$31+'Inputs'!$B$32)/1000+'Inputs'!$B$21)+'Inputs'!$B$7)/SQRT((((404-43)*MAX('Inputs'!$B$33,'Inputs'!$B$29+'Inputs'!$B$31+'Inputs'!$B$32,'Inputs'!$B$30+'Inputs'!$B$31+'Inputs'!$B$32)/1000+'Inputs'!$B$21)+'Inputs'!$B$7)^2+('Inputs'!$B$6/2)^2)-(((404-43)*MAX('Inputs'!$B$33,'Inputs'!$B$29+'Inputs'!$B$31+'Inputs'!$B$32,'Inputs'!$B$30+'Inputs'!$B$31+'Inputs'!$B$32)/1000+'Inputs'!$B$21))/SQRT((((404-43)*MAX('Inputs'!$B$33,'Inputs'!$B$29+'Inputs'!$B$31+'Inputs'!$B$32,'Inputs'!$B$30+'Inputs'!$B$31+'Inputs'!$B$32)/1000+'Inputs'!$B$21))^2+('Inputs'!$B$6/2)^2)))-'Results'!C7*(1-'Inputs'!$B$24)*(0.5*((((404-43)*MAX('Inputs'!$B$33,'Inputs'!$B$29+'Inputs'!$B$31+'Inputs'!$B$32,'Inputs'!$B$30+'Inputs'!$B$31+'Inputs'!$B$32)/1000+'Inputs'!$B$21+'Inputs'!$B$7+'Inputs'!$B$10)+'Inputs'!$B$9)/SQRT((((404-43)*MAX('Inputs'!$B$33,'Inputs'!$B$29+'Inputs'!$B$31+'Inputs'!$B$32,'Inputs'!$B$30+'Inputs'!$B$31+'Inputs'!$B$32)/1000+'Inputs'!$B$21+'Inputs'!$B$7+'Inputs'!$B$10)+'Inputs'!$B$9)^2+('Inputs'!$B$8/2)^2)-(((404-43)*MAX('Inputs'!$B$33,'Inputs'!$B$29+'Inputs'!$B$31+'Inputs'!$B$32,'Inputs'!$B$30+'Inputs'!$B$31+'Inputs'!$B$32)/1000+'Inputs'!$B$21+'Inputs'!$B$7+'Inputs'!$B$10))/SQRT((((404-43)*MAX('Inputs'!$B$33,'Inputs'!$B$29+'Inputs'!$B$31+'Inputs'!$B$32,'Inputs'!$B$30+'Inputs'!$B$31+'Inputs'!$B$32)/1000+'Inputs'!$B$21+'Inputs'!$B$7+'Inputs'!$B$10))^2+('Inputs'!$B$8/2)^2))))*'Results'!$B$8)+'Inputs'!$B$28*ABS((('Results'!B7*(1+'Inputs'!$B$24)*(0.5*((((404-43)*MAX('Inputs'!$B$33,'Inputs'!$B$29+'Inputs'!$B$31+'Inputs'!$B$32,'Inputs'!$B$30+'Inputs'!$B$31+'Inputs'!$B$32)/1000+'Inputs'!$B$21)+'Inputs'!$B$7)/SQRT((((404-43)*MAX('Inputs'!$B$33,'Inputs'!$B$29+'Inputs'!$B$31+'Inputs'!$B$32,'Inputs'!$B$30+'Inputs'!$B$31+'Inputs'!$B$32)/1000+'Inputs'!$B$21)+'Inputs'!$B$7)^2+('Inputs'!$B$6/2)^2)-(((404-43)*MAX('Inputs'!$B$33,'Inputs'!$B$29+'Inputs'!$B$31+'Inputs'!$B$32,'Inputs'!$B$30+'Inputs'!$B$31+'Inputs'!$B$32)/1000+'Inputs'!$B$21))/SQRT((((404-43)*MAX('Inputs'!$B$33,'Inputs'!$B$29+'Inputs'!$B$31+'Inputs'!$B$32,'Inputs'!$B$30+'Inputs'!$B$31+'Inputs'!$B$32)/1000+'Inputs'!$B$21))^2+('Inputs'!$B$6/2)^2)))-'Results'!C7*(1-'Inputs'!$B$24)*(0.5*((((404-43)*MAX('Inputs'!$B$33,'Inputs'!$B$29+'Inputs'!$B$31+'Inputs'!$B$32,'Inputs'!$B$30+'Inputs'!$B$31+'Inputs'!$B$32)/1000+'Inputs'!$B$21+'Inputs'!$B$7+'Inputs'!$B$10)+'Inputs'!$B$9)/SQRT((((404-43)*MAX('Inputs'!$B$33,'Inputs'!$B$29+'Inputs'!$B$31+'Inputs'!$B$32,'Inputs'!$B$30+'Inputs'!$B$31+'Inputs'!$B$32)/1000+'Inputs'!$B$21+'Inputs'!$B$7+'Inputs'!$B$10)+'Inputs'!$B$9)^2+('Inputs'!$B$8/2)^2)-(((404-43)*MAX('Inputs'!$B$33,'Inputs'!$B$29+'Inputs'!$B$31+'Inputs'!$B$32,'Inputs'!$B$30+'Inputs'!$B$31+'Inputs'!$B$32)/1000+'Inputs'!$B$21+'Inputs'!$B$7+'Inputs'!$B$10))/SQRT((((404-43)*MAX('Inputs'!$B$33,'Inputs'!$B$29+'Inputs'!$B$31+'Inputs'!$B$32,'Inputs'!$B$30+'Inputs'!$B$31+'Inputs'!$B$32)/1000+'Inputs'!$B$21+'Inputs'!$B$7+'Inputs'!$B$10))^2+('Inputs'!$B$8/2)^2))))*'Results'!$B$8))),"")</x:f>
        <x:v>13.67695637169001</x:v>
      </x:c>
      <x:c r="M404" t="n">
        <x:f>IF(AND(ISNUMBER('Results'!C7),ISNUMBER('Results'!B7),ISNUMBER('Results'!$B$8),ISNUMBER('Inputs'!$B$6),ISNUMBER('Inputs'!$B$7),ISNUMBER('Inputs'!$B$8),ISNUMBER('Inputs'!$B$9),ISNUMBER('Inputs'!$B$10),ISNUMBER('Inputs'!$B$21),ISNUMBER('Inputs'!$B$24),ISNUMBER('Inputs'!$B$28)),(('Results'!C7*(0.5*((((404-43)*MAX('Inputs'!$B$33,'Inputs'!$B$29+'Inputs'!$B$31+'Inputs'!$B$32,'Inputs'!$B$30+'Inputs'!$B$31+'Inputs'!$B$32)/1000+'Inputs'!$B$21)+'Inputs'!$B$9)/SQRT((((404-43)*MAX('Inputs'!$B$33,'Inputs'!$B$29+'Inputs'!$B$31+'Inputs'!$B$32,'Inputs'!$B$30+'Inputs'!$B$31+'Inputs'!$B$32)/1000+'Inputs'!$B$21)+'Inputs'!$B$9)^2+('Inputs'!$B$8/2)^2)-(((404-43)*MAX('Inputs'!$B$33,'Inputs'!$B$29+'Inputs'!$B$31+'Inputs'!$B$32,'Inputs'!$B$30+'Inputs'!$B$31+'Inputs'!$B$32)/1000+'Inputs'!$B$21))/SQRT((((404-43)*MAX('Inputs'!$B$33,'Inputs'!$B$29+'Inputs'!$B$31+'Inputs'!$B$32,'Inputs'!$B$30+'Inputs'!$B$31+'Inputs'!$B$32)/1000+'Inputs'!$B$21))^2+('Inputs'!$B$8/2)^2)))-'Results'!B7*(0.5*((((404-43)*MAX('Inputs'!$B$33,'Inputs'!$B$29+'Inputs'!$B$31+'Inputs'!$B$32,'Inputs'!$B$30+'Inputs'!$B$31+'Inputs'!$B$32)/1000+'Inputs'!$B$21+'Inputs'!$B$9+'Inputs'!$B$10)+'Inputs'!$B$7)/SQRT((((404-43)*MAX('Inputs'!$B$33,'Inputs'!$B$29+'Inputs'!$B$31+'Inputs'!$B$32,'Inputs'!$B$30+'Inputs'!$B$31+'Inputs'!$B$32)/1000+'Inputs'!$B$21+'Inputs'!$B$9+'Inputs'!$B$10)+'Inputs'!$B$7)^2+('Inputs'!$B$6/2)^2)-(((404-43)*MAX('Inputs'!$B$33,'Inputs'!$B$29+'Inputs'!$B$31+'Inputs'!$B$32,'Inputs'!$B$30+'Inputs'!$B$31+'Inputs'!$B$32)/1000+'Inputs'!$B$21+'Inputs'!$B$9+'Inputs'!$B$10))/SQRT((((404-43)*MAX('Inputs'!$B$33,'Inputs'!$B$29+'Inputs'!$B$31+'Inputs'!$B$32,'Inputs'!$B$30+'Inputs'!$B$31+'Inputs'!$B$32)/1000+'Inputs'!$B$21+'Inputs'!$B$9+'Inputs'!$B$10))^2+('Inputs'!$B$6/2)^2))))*'Results'!$B$8),"")</x:f>
        <x:v>11.698932377824804</x:v>
      </x:c>
      <x:c r="N404" t="n">
        <x:f>IF(AND(ISNUMBER('Results'!C7),ISNUMBER('Results'!B7),ISNUMBER('Results'!$B$8),ISNUMBER('Inputs'!$B$6),ISNUMBER('Inputs'!$B$7),ISNUMBER('Inputs'!$B$8),ISNUMBER('Inputs'!$B$9),ISNUMBER('Inputs'!$B$10),ISNUMBER('Inputs'!$B$21),ISNUMBER('Inputs'!$B$24),ISNUMBER('Inputs'!$B$28)),((('Results'!C7*(1-'Inputs'!$B$24)*(0.5*((((404-43)*MAX('Inputs'!$B$33,'Inputs'!$B$29+'Inputs'!$B$31+'Inputs'!$B$32,'Inputs'!$B$30+'Inputs'!$B$31+'Inputs'!$B$32)/1000+'Inputs'!$B$21)+'Inputs'!$B$9)/SQRT((((404-43)*MAX('Inputs'!$B$33,'Inputs'!$B$29+'Inputs'!$B$31+'Inputs'!$B$32,'Inputs'!$B$30+'Inputs'!$B$31+'Inputs'!$B$32)/1000+'Inputs'!$B$21)+'Inputs'!$B$9)^2+('Inputs'!$B$8/2)^2)-(((404-43)*MAX('Inputs'!$B$33,'Inputs'!$B$29+'Inputs'!$B$31+'Inputs'!$B$32,'Inputs'!$B$30+'Inputs'!$B$31+'Inputs'!$B$32)/1000+'Inputs'!$B$21))/SQRT((((404-43)*MAX('Inputs'!$B$33,'Inputs'!$B$29+'Inputs'!$B$31+'Inputs'!$B$32,'Inputs'!$B$30+'Inputs'!$B$31+'Inputs'!$B$32)/1000+'Inputs'!$B$21))^2+('Inputs'!$B$8/2)^2)))-'Results'!B7*(1+'Inputs'!$B$24)*(0.5*((((404-43)*MAX('Inputs'!$B$33,'Inputs'!$B$29+'Inputs'!$B$31+'Inputs'!$B$32,'Inputs'!$B$30+'Inputs'!$B$31+'Inputs'!$B$32)/1000+'Inputs'!$B$21+'Inputs'!$B$9+'Inputs'!$B$10)+'Inputs'!$B$7)/SQRT((((404-43)*MAX('Inputs'!$B$33,'Inputs'!$B$29+'Inputs'!$B$31+'Inputs'!$B$32,'Inputs'!$B$30+'Inputs'!$B$31+'Inputs'!$B$32)/1000+'Inputs'!$B$21+'Inputs'!$B$9+'Inputs'!$B$10)+'Inputs'!$B$7)^2+('Inputs'!$B$6/2)^2)-(((404-43)*MAX('Inputs'!$B$33,'Inputs'!$B$29+'Inputs'!$B$31+'Inputs'!$B$32,'Inputs'!$B$30+'Inputs'!$B$31+'Inputs'!$B$32)/1000+'Inputs'!$B$21+'Inputs'!$B$9+'Inputs'!$B$10))/SQRT((((404-43)*MAX('Inputs'!$B$33,'Inputs'!$B$29+'Inputs'!$B$31+'Inputs'!$B$32,'Inputs'!$B$30+'Inputs'!$B$31+'Inputs'!$B$32)/1000+'Inputs'!$B$21+'Inputs'!$B$9+'Inputs'!$B$10))^2+('Inputs'!$B$6/2)^2))))*'Results'!$B$8)-'Inputs'!$B$28*ABS((('Results'!C7*(1-'Inputs'!$B$24)*(0.5*((((404-43)*MAX('Inputs'!$B$33,'Inputs'!$B$29+'Inputs'!$B$31+'Inputs'!$B$32,'Inputs'!$B$30+'Inputs'!$B$31+'Inputs'!$B$32)/1000+'Inputs'!$B$21)+'Inputs'!$B$9)/SQRT((((404-43)*MAX('Inputs'!$B$33,'Inputs'!$B$29+'Inputs'!$B$31+'Inputs'!$B$32,'Inputs'!$B$30+'Inputs'!$B$31+'Inputs'!$B$32)/1000+'Inputs'!$B$21)+'Inputs'!$B$9)^2+('Inputs'!$B$8/2)^2)-(((404-43)*MAX('Inputs'!$B$33,'Inputs'!$B$29+'Inputs'!$B$31+'Inputs'!$B$32,'Inputs'!$B$30+'Inputs'!$B$31+'Inputs'!$B$32)/1000+'Inputs'!$B$21))/SQRT((((404-43)*MAX('Inputs'!$B$33,'Inputs'!$B$29+'Inputs'!$B$31+'Inputs'!$B$32,'Inputs'!$B$30+'Inputs'!$B$31+'Inputs'!$B$32)/1000+'Inputs'!$B$21))^2+('Inputs'!$B$8/2)^2)))-'Results'!B7*(1+'Inputs'!$B$24)*(0.5*((((404-43)*MAX('Inputs'!$B$33,'Inputs'!$B$29+'Inputs'!$B$31+'Inputs'!$B$32,'Inputs'!$B$30+'Inputs'!$B$31+'Inputs'!$B$32)/1000+'Inputs'!$B$21+'Inputs'!$B$9+'Inputs'!$B$10)+'Inputs'!$B$7)/SQRT((((404-43)*MAX('Inputs'!$B$33,'Inputs'!$B$29+'Inputs'!$B$31+'Inputs'!$B$32,'Inputs'!$B$30+'Inputs'!$B$31+'Inputs'!$B$32)/1000+'Inputs'!$B$21+'Inputs'!$B$9+'Inputs'!$B$10)+'Inputs'!$B$7)^2+('Inputs'!$B$6/2)^2)-(((404-43)*MAX('Inputs'!$B$33,'Inputs'!$B$29+'Inputs'!$B$31+'Inputs'!$B$32,'Inputs'!$B$30+'Inputs'!$B$31+'Inputs'!$B$32)/1000+'Inputs'!$B$21+'Inputs'!$B$9+'Inputs'!$B$10))/SQRT((((404-43)*MAX('Inputs'!$B$33,'Inputs'!$B$29+'Inputs'!$B$31+'Inputs'!$B$32,'Inputs'!$B$30+'Inputs'!$B$31+'Inputs'!$B$32)/1000+'Inputs'!$B$21+'Inputs'!$B$9+'Inputs'!$B$10))^2+('Inputs'!$B$6/2)^2))))*'Results'!$B$8))),"")</x:f>
        <x:v>10.490408793668822</x:v>
      </x:c>
      <x:c r="O404" t="n">
        <x:f>IF(AND(ISNUMBER('Results'!C7),ISNUMBER('Results'!B7),ISNUMBER('Results'!$B$8),ISNUMBER('Inputs'!$B$6),ISNUMBER('Inputs'!$B$7),ISNUMBER('Inputs'!$B$8),ISNUMBER('Inputs'!$B$9),ISNUMBER('Inputs'!$B$10),ISNUMBER('Inputs'!$B$21),ISNUMBER('Inputs'!$B$24),ISNUMBER('Inputs'!$B$28)),((('Results'!C7*(1+'Inputs'!$B$24)*(0.5*((((404-43)*MAX('Inputs'!$B$33,'Inputs'!$B$29+'Inputs'!$B$31+'Inputs'!$B$32,'Inputs'!$B$30+'Inputs'!$B$31+'Inputs'!$B$32)/1000+'Inputs'!$B$21)+'Inputs'!$B$9)/SQRT((((404-43)*MAX('Inputs'!$B$33,'Inputs'!$B$29+'Inputs'!$B$31+'Inputs'!$B$32,'Inputs'!$B$30+'Inputs'!$B$31+'Inputs'!$B$32)/1000+'Inputs'!$B$21)+'Inputs'!$B$9)^2+('Inputs'!$B$8/2)^2)-(((404-43)*MAX('Inputs'!$B$33,'Inputs'!$B$29+'Inputs'!$B$31+'Inputs'!$B$32,'Inputs'!$B$30+'Inputs'!$B$31+'Inputs'!$B$32)/1000+'Inputs'!$B$21))/SQRT((((404-43)*MAX('Inputs'!$B$33,'Inputs'!$B$29+'Inputs'!$B$31+'Inputs'!$B$32,'Inputs'!$B$30+'Inputs'!$B$31+'Inputs'!$B$32)/1000+'Inputs'!$B$21))^2+('Inputs'!$B$8/2)^2)))-'Results'!B7*(1-'Inputs'!$B$24)*(0.5*((((404-43)*MAX('Inputs'!$B$33,'Inputs'!$B$29+'Inputs'!$B$31+'Inputs'!$B$32,'Inputs'!$B$30+'Inputs'!$B$31+'Inputs'!$B$32)/1000+'Inputs'!$B$21+'Inputs'!$B$9+'Inputs'!$B$10)+'Inputs'!$B$7)/SQRT((((404-43)*MAX('Inputs'!$B$33,'Inputs'!$B$29+'Inputs'!$B$31+'Inputs'!$B$32,'Inputs'!$B$30+'Inputs'!$B$31+'Inputs'!$B$32)/1000+'Inputs'!$B$21+'Inputs'!$B$9+'Inputs'!$B$10)+'Inputs'!$B$7)^2+('Inputs'!$B$6/2)^2)-(((404-43)*MAX('Inputs'!$B$33,'Inputs'!$B$29+'Inputs'!$B$31+'Inputs'!$B$32,'Inputs'!$B$30+'Inputs'!$B$31+'Inputs'!$B$32)/1000+'Inputs'!$B$21+'Inputs'!$B$9+'Inputs'!$B$10))/SQRT((((404-43)*MAX('Inputs'!$B$33,'Inputs'!$B$29+'Inputs'!$B$31+'Inputs'!$B$32,'Inputs'!$B$30+'Inputs'!$B$31+'Inputs'!$B$32)/1000+'Inputs'!$B$21+'Inputs'!$B$9+'Inputs'!$B$10))^2+('Inputs'!$B$6/2)^2))))*'Results'!$B$8)+'Inputs'!$B$28*ABS((('Results'!C7*(1+'Inputs'!$B$24)*(0.5*((((404-43)*MAX('Inputs'!$B$33,'Inputs'!$B$29+'Inputs'!$B$31+'Inputs'!$B$32,'Inputs'!$B$30+'Inputs'!$B$31+'Inputs'!$B$32)/1000+'Inputs'!$B$21)+'Inputs'!$B$9)/SQRT((((404-43)*MAX('Inputs'!$B$33,'Inputs'!$B$29+'Inputs'!$B$31+'Inputs'!$B$32,'Inputs'!$B$30+'Inputs'!$B$31+'Inputs'!$B$32)/1000+'Inputs'!$B$21)+'Inputs'!$B$9)^2+('Inputs'!$B$8/2)^2)-(((404-43)*MAX('Inputs'!$B$33,'Inputs'!$B$29+'Inputs'!$B$31+'Inputs'!$B$32,'Inputs'!$B$30+'Inputs'!$B$31+'Inputs'!$B$32)/1000+'Inputs'!$B$21))/SQRT((((404-43)*MAX('Inputs'!$B$33,'Inputs'!$B$29+'Inputs'!$B$31+'Inputs'!$B$32,'Inputs'!$B$30+'Inputs'!$B$31+'Inputs'!$B$32)/1000+'Inputs'!$B$21))^2+('Inputs'!$B$8/2)^2)))-'Results'!B7*(1-'Inputs'!$B$24)*(0.5*((((404-43)*MAX('Inputs'!$B$33,'Inputs'!$B$29+'Inputs'!$B$31+'Inputs'!$B$32,'Inputs'!$B$30+'Inputs'!$B$31+'Inputs'!$B$32)/1000+'Inputs'!$B$21+'Inputs'!$B$9+'Inputs'!$B$10)+'Inputs'!$B$7)/SQRT((((404-43)*MAX('Inputs'!$B$33,'Inputs'!$B$29+'Inputs'!$B$31+'Inputs'!$B$32,'Inputs'!$B$30+'Inputs'!$B$31+'Inputs'!$B$32)/1000+'Inputs'!$B$21+'Inputs'!$B$9+'Inputs'!$B$10)+'Inputs'!$B$7)^2+('Inputs'!$B$6/2)^2)-(((404-43)*MAX('Inputs'!$B$33,'Inputs'!$B$29+'Inputs'!$B$31+'Inputs'!$B$32,'Inputs'!$B$30+'Inputs'!$B$31+'Inputs'!$B$32)/1000+'Inputs'!$B$21+'Inputs'!$B$9+'Inputs'!$B$10))/SQRT((((404-43)*MAX('Inputs'!$B$33,'Inputs'!$B$29+'Inputs'!$B$31+'Inputs'!$B$32,'Inputs'!$B$30+'Inputs'!$B$31+'Inputs'!$B$32)/1000+'Inputs'!$B$21+'Inputs'!$B$9+'Inputs'!$B$10))^2+('Inputs'!$B$6/2)^2))))*'Results'!$B$8))),"")</x:f>
        <x:v>12.973095642534972</x:v>
      </x:c>
      <x:c r="P404" t="n">
        <x:f>IF(AND(MAX(J404,J403)&gt;0,J404&gt;J403+0.00000001),1,0)</x:f>
        <x:v>0</x:v>
      </x:c>
      <x:c r="Q404" t="n">
        <x:f>IF(AND(MAX(K404,K403)&gt;0,K404&gt;K403+0.00000001),1,0)</x:f>
        <x:v>0</x:v>
      </x:c>
      <x:c r="R404" t="n">
        <x:f>IF(AND(MAX(L404,L403)&gt;0,L404&gt;L403+0.00000001),1,0)</x:f>
        <x:v>0</x:v>
      </x:c>
      <x:c r="S404" t="n">
        <x:f>IF(AND(MAX(M404,M403)&gt;0,M404&gt;M403+0.00000001),1,0)</x:f>
        <x:v>0</x:v>
      </x:c>
      <x:c r="T404" t="n">
        <x:f>IF(AND(MAX(N404,N403)&gt;0,N404&gt;N403+0.00000001),1,0)</x:f>
        <x:v>0</x:v>
      </x:c>
      <x:c r="U404" t="n">
        <x:f>IF(AND(MAX(O404,O403)&gt;0,O404&gt;O403+0.00000001),1,0)</x:f>
        <x:v>0</x:v>
      </x:c>
    </x:row>
    <x:row r="405">
      <x:c r="J405" t="n">
        <x:f>IF(AND(ISNUMBER('Results'!B7),ISNUMBER('Results'!C7),ISNUMBER('Results'!$B$8),ISNUMBER('Inputs'!$B$6),ISNUMBER('Inputs'!$B$7),ISNUMBER('Inputs'!$B$8),ISNUMBER('Inputs'!$B$9),ISNUMBER('Inputs'!$B$10),ISNUMBER('Inputs'!$B$21),ISNUMBER('Inputs'!$B$24),ISNUMBER('Inputs'!$B$28)),(('Results'!B7*(0.5*((((405-43)*MAX('Inputs'!$B$33,'Inputs'!$B$29+'Inputs'!$B$31+'Inputs'!$B$32,'Inputs'!$B$30+'Inputs'!$B$31+'Inputs'!$B$32)/1000+'Inputs'!$B$21)+'Inputs'!$B$7)/SQRT((((405-43)*MAX('Inputs'!$B$33,'Inputs'!$B$29+'Inputs'!$B$31+'Inputs'!$B$32,'Inputs'!$B$30+'Inputs'!$B$31+'Inputs'!$B$32)/1000+'Inputs'!$B$21)+'Inputs'!$B$7)^2+('Inputs'!$B$6/2)^2)-(((405-43)*MAX('Inputs'!$B$33,'Inputs'!$B$29+'Inputs'!$B$31+'Inputs'!$B$32,'Inputs'!$B$30+'Inputs'!$B$31+'Inputs'!$B$32)/1000+'Inputs'!$B$21))/SQRT((((405-43)*MAX('Inputs'!$B$33,'Inputs'!$B$29+'Inputs'!$B$31+'Inputs'!$B$32,'Inputs'!$B$30+'Inputs'!$B$31+'Inputs'!$B$32)/1000+'Inputs'!$B$21))^2+('Inputs'!$B$6/2)^2)))-'Results'!C7*(0.5*((((405-43)*MAX('Inputs'!$B$33,'Inputs'!$B$29+'Inputs'!$B$31+'Inputs'!$B$32,'Inputs'!$B$30+'Inputs'!$B$31+'Inputs'!$B$32)/1000+'Inputs'!$B$21+'Inputs'!$B$7+'Inputs'!$B$10)+'Inputs'!$B$9)/SQRT((((405-43)*MAX('Inputs'!$B$33,'Inputs'!$B$29+'Inputs'!$B$31+'Inputs'!$B$32,'Inputs'!$B$30+'Inputs'!$B$31+'Inputs'!$B$32)/1000+'Inputs'!$B$21+'Inputs'!$B$7+'Inputs'!$B$10)+'Inputs'!$B$9)^2+('Inputs'!$B$8/2)^2)-(((405-43)*MAX('Inputs'!$B$33,'Inputs'!$B$29+'Inputs'!$B$31+'Inputs'!$B$32,'Inputs'!$B$30+'Inputs'!$B$31+'Inputs'!$B$32)/1000+'Inputs'!$B$21+'Inputs'!$B$7+'Inputs'!$B$10))/SQRT((((405-43)*MAX('Inputs'!$B$33,'Inputs'!$B$29+'Inputs'!$B$31+'Inputs'!$B$32,'Inputs'!$B$30+'Inputs'!$B$31+'Inputs'!$B$32)/1000+'Inputs'!$B$21+'Inputs'!$B$7+'Inputs'!$B$10))^2+('Inputs'!$B$8/2)^2))))*'Results'!$B$8),"")</x:f>
        <x:v>12.25423250368887</x:v>
      </x:c>
      <x:c r="K405" t="n">
        <x:f>IF(AND(ISNUMBER('Results'!B7),ISNUMBER('Results'!C7),ISNUMBER('Results'!$B$8),ISNUMBER('Inputs'!$B$6),ISNUMBER('Inputs'!$B$7),ISNUMBER('Inputs'!$B$8),ISNUMBER('Inputs'!$B$9),ISNUMBER('Inputs'!$B$10),ISNUMBER('Inputs'!$B$21),ISNUMBER('Inputs'!$B$24),ISNUMBER('Inputs'!$B$28)),((('Results'!B7*(1-'Inputs'!$B$24)*(0.5*((((405-43)*MAX('Inputs'!$B$33,'Inputs'!$B$29+'Inputs'!$B$31+'Inputs'!$B$32,'Inputs'!$B$30+'Inputs'!$B$31+'Inputs'!$B$32)/1000+'Inputs'!$B$21)+'Inputs'!$B$7)/SQRT((((405-43)*MAX('Inputs'!$B$33,'Inputs'!$B$29+'Inputs'!$B$31+'Inputs'!$B$32,'Inputs'!$B$30+'Inputs'!$B$31+'Inputs'!$B$32)/1000+'Inputs'!$B$21)+'Inputs'!$B$7)^2+('Inputs'!$B$6/2)^2)-(((405-43)*MAX('Inputs'!$B$33,'Inputs'!$B$29+'Inputs'!$B$31+'Inputs'!$B$32,'Inputs'!$B$30+'Inputs'!$B$31+'Inputs'!$B$32)/1000+'Inputs'!$B$21))/SQRT((((405-43)*MAX('Inputs'!$B$33,'Inputs'!$B$29+'Inputs'!$B$31+'Inputs'!$B$32,'Inputs'!$B$30+'Inputs'!$B$31+'Inputs'!$B$32)/1000+'Inputs'!$B$21))^2+('Inputs'!$B$6/2)^2)))-'Results'!C7*(1+'Inputs'!$B$24)*(0.5*((((405-43)*MAX('Inputs'!$B$33,'Inputs'!$B$29+'Inputs'!$B$31+'Inputs'!$B$32,'Inputs'!$B$30+'Inputs'!$B$31+'Inputs'!$B$32)/1000+'Inputs'!$B$21+'Inputs'!$B$7+'Inputs'!$B$10)+'Inputs'!$B$9)/SQRT((((405-43)*MAX('Inputs'!$B$33,'Inputs'!$B$29+'Inputs'!$B$31+'Inputs'!$B$32,'Inputs'!$B$30+'Inputs'!$B$31+'Inputs'!$B$32)/1000+'Inputs'!$B$21+'Inputs'!$B$7+'Inputs'!$B$10)+'Inputs'!$B$9)^2+('Inputs'!$B$8/2)^2)-(((405-43)*MAX('Inputs'!$B$33,'Inputs'!$B$29+'Inputs'!$B$31+'Inputs'!$B$32,'Inputs'!$B$30+'Inputs'!$B$31+'Inputs'!$B$32)/1000+'Inputs'!$B$21+'Inputs'!$B$7+'Inputs'!$B$10))/SQRT((((405-43)*MAX('Inputs'!$B$33,'Inputs'!$B$29+'Inputs'!$B$31+'Inputs'!$B$32,'Inputs'!$B$30+'Inputs'!$B$31+'Inputs'!$B$32)/1000+'Inputs'!$B$21+'Inputs'!$B$7+'Inputs'!$B$10))^2+('Inputs'!$B$8/2)^2))))*'Results'!$B$8)-'Inputs'!$B$28*ABS((('Results'!B7*(1-'Inputs'!$B$24)*(0.5*((((405-43)*MAX('Inputs'!$B$33,'Inputs'!$B$29+'Inputs'!$B$31+'Inputs'!$B$32,'Inputs'!$B$30+'Inputs'!$B$31+'Inputs'!$B$32)/1000+'Inputs'!$B$21)+'Inputs'!$B$7)/SQRT((((405-43)*MAX('Inputs'!$B$33,'Inputs'!$B$29+'Inputs'!$B$31+'Inputs'!$B$32,'Inputs'!$B$30+'Inputs'!$B$31+'Inputs'!$B$32)/1000+'Inputs'!$B$21)+'Inputs'!$B$7)^2+('Inputs'!$B$6/2)^2)-(((405-43)*MAX('Inputs'!$B$33,'Inputs'!$B$29+'Inputs'!$B$31+'Inputs'!$B$32,'Inputs'!$B$30+'Inputs'!$B$31+'Inputs'!$B$32)/1000+'Inputs'!$B$21))/SQRT((((405-43)*MAX('Inputs'!$B$33,'Inputs'!$B$29+'Inputs'!$B$31+'Inputs'!$B$32,'Inputs'!$B$30+'Inputs'!$B$31+'Inputs'!$B$32)/1000+'Inputs'!$B$21))^2+('Inputs'!$B$6/2)^2)))-'Results'!C7*(1+'Inputs'!$B$24)*(0.5*((((405-43)*MAX('Inputs'!$B$33,'Inputs'!$B$29+'Inputs'!$B$31+'Inputs'!$B$32,'Inputs'!$B$30+'Inputs'!$B$31+'Inputs'!$B$32)/1000+'Inputs'!$B$21+'Inputs'!$B$7+'Inputs'!$B$10)+'Inputs'!$B$9)/SQRT((((405-43)*MAX('Inputs'!$B$33,'Inputs'!$B$29+'Inputs'!$B$31+'Inputs'!$B$32,'Inputs'!$B$30+'Inputs'!$B$31+'Inputs'!$B$32)/1000+'Inputs'!$B$21+'Inputs'!$B$7+'Inputs'!$B$10)+'Inputs'!$B$9)^2+('Inputs'!$B$8/2)^2)-(((405-43)*MAX('Inputs'!$B$33,'Inputs'!$B$29+'Inputs'!$B$31+'Inputs'!$B$32,'Inputs'!$B$30+'Inputs'!$B$31+'Inputs'!$B$32)/1000+'Inputs'!$B$21+'Inputs'!$B$7+'Inputs'!$B$10))/SQRT((((405-43)*MAX('Inputs'!$B$33,'Inputs'!$B$29+'Inputs'!$B$31+'Inputs'!$B$32,'Inputs'!$B$30+'Inputs'!$B$31+'Inputs'!$B$32)/1000+'Inputs'!$B$21+'Inputs'!$B$7+'Inputs'!$B$10))^2+('Inputs'!$B$8/2)^2))))*'Results'!$B$8))),"")</x:f>
        <x:v>11.017735958100625</x:v>
      </x:c>
      <x:c r="L405" t="n">
        <x:f>IF(AND(ISNUMBER('Results'!B7),ISNUMBER('Results'!C7),ISNUMBER('Results'!$B$8),ISNUMBER('Inputs'!$B$6),ISNUMBER('Inputs'!$B$7),ISNUMBER('Inputs'!$B$8),ISNUMBER('Inputs'!$B$9),ISNUMBER('Inputs'!$B$10),ISNUMBER('Inputs'!$B$21),ISNUMBER('Inputs'!$B$24),ISNUMBER('Inputs'!$B$28)),((('Results'!B7*(1+'Inputs'!$B$24)*(0.5*((((405-43)*MAX('Inputs'!$B$33,'Inputs'!$B$29+'Inputs'!$B$31+'Inputs'!$B$32,'Inputs'!$B$30+'Inputs'!$B$31+'Inputs'!$B$32)/1000+'Inputs'!$B$21)+'Inputs'!$B$7)/SQRT((((405-43)*MAX('Inputs'!$B$33,'Inputs'!$B$29+'Inputs'!$B$31+'Inputs'!$B$32,'Inputs'!$B$30+'Inputs'!$B$31+'Inputs'!$B$32)/1000+'Inputs'!$B$21)+'Inputs'!$B$7)^2+('Inputs'!$B$6/2)^2)-(((405-43)*MAX('Inputs'!$B$33,'Inputs'!$B$29+'Inputs'!$B$31+'Inputs'!$B$32,'Inputs'!$B$30+'Inputs'!$B$31+'Inputs'!$B$32)/1000+'Inputs'!$B$21))/SQRT((((405-43)*MAX('Inputs'!$B$33,'Inputs'!$B$29+'Inputs'!$B$31+'Inputs'!$B$32,'Inputs'!$B$30+'Inputs'!$B$31+'Inputs'!$B$32)/1000+'Inputs'!$B$21))^2+('Inputs'!$B$6/2)^2)))-'Results'!C7*(1-'Inputs'!$B$24)*(0.5*((((405-43)*MAX('Inputs'!$B$33,'Inputs'!$B$29+'Inputs'!$B$31+'Inputs'!$B$32,'Inputs'!$B$30+'Inputs'!$B$31+'Inputs'!$B$32)/1000+'Inputs'!$B$21+'Inputs'!$B$7+'Inputs'!$B$10)+'Inputs'!$B$9)/SQRT((((405-43)*MAX('Inputs'!$B$33,'Inputs'!$B$29+'Inputs'!$B$31+'Inputs'!$B$32,'Inputs'!$B$30+'Inputs'!$B$31+'Inputs'!$B$32)/1000+'Inputs'!$B$21+'Inputs'!$B$7+'Inputs'!$B$10)+'Inputs'!$B$9)^2+('Inputs'!$B$8/2)^2)-(((405-43)*MAX('Inputs'!$B$33,'Inputs'!$B$29+'Inputs'!$B$31+'Inputs'!$B$32,'Inputs'!$B$30+'Inputs'!$B$31+'Inputs'!$B$32)/1000+'Inputs'!$B$21+'Inputs'!$B$7+'Inputs'!$B$10))/SQRT((((405-43)*MAX('Inputs'!$B$33,'Inputs'!$B$29+'Inputs'!$B$31+'Inputs'!$B$32,'Inputs'!$B$30+'Inputs'!$B$31+'Inputs'!$B$32)/1000+'Inputs'!$B$21+'Inputs'!$B$7+'Inputs'!$B$10))^2+('Inputs'!$B$8/2)^2))))*'Results'!$B$8)+'Inputs'!$B$28*ABS((('Results'!B7*(1+'Inputs'!$B$24)*(0.5*((((405-43)*MAX('Inputs'!$B$33,'Inputs'!$B$29+'Inputs'!$B$31+'Inputs'!$B$32,'Inputs'!$B$30+'Inputs'!$B$31+'Inputs'!$B$32)/1000+'Inputs'!$B$21)+'Inputs'!$B$7)/SQRT((((405-43)*MAX('Inputs'!$B$33,'Inputs'!$B$29+'Inputs'!$B$31+'Inputs'!$B$32,'Inputs'!$B$30+'Inputs'!$B$31+'Inputs'!$B$32)/1000+'Inputs'!$B$21)+'Inputs'!$B$7)^2+('Inputs'!$B$6/2)^2)-(((405-43)*MAX('Inputs'!$B$33,'Inputs'!$B$29+'Inputs'!$B$31+'Inputs'!$B$32,'Inputs'!$B$30+'Inputs'!$B$31+'Inputs'!$B$32)/1000+'Inputs'!$B$21))/SQRT((((405-43)*MAX('Inputs'!$B$33,'Inputs'!$B$29+'Inputs'!$B$31+'Inputs'!$B$32,'Inputs'!$B$30+'Inputs'!$B$31+'Inputs'!$B$32)/1000+'Inputs'!$B$21))^2+('Inputs'!$B$6/2)^2)))-'Results'!C7*(1-'Inputs'!$B$24)*(0.5*((((405-43)*MAX('Inputs'!$B$33,'Inputs'!$B$29+'Inputs'!$B$31+'Inputs'!$B$32,'Inputs'!$B$30+'Inputs'!$B$31+'Inputs'!$B$32)/1000+'Inputs'!$B$21+'Inputs'!$B$7+'Inputs'!$B$10)+'Inputs'!$B$9)/SQRT((((405-43)*MAX('Inputs'!$B$33,'Inputs'!$B$29+'Inputs'!$B$31+'Inputs'!$B$32,'Inputs'!$B$30+'Inputs'!$B$31+'Inputs'!$B$32)/1000+'Inputs'!$B$21+'Inputs'!$B$7+'Inputs'!$B$10)+'Inputs'!$B$9)^2+('Inputs'!$B$8/2)^2)-(((405-43)*MAX('Inputs'!$B$33,'Inputs'!$B$29+'Inputs'!$B$31+'Inputs'!$B$32,'Inputs'!$B$30+'Inputs'!$B$31+'Inputs'!$B$32)/1000+'Inputs'!$B$21+'Inputs'!$B$7+'Inputs'!$B$10))/SQRT((((405-43)*MAX('Inputs'!$B$33,'Inputs'!$B$29+'Inputs'!$B$31+'Inputs'!$B$32,'Inputs'!$B$30+'Inputs'!$B$31+'Inputs'!$B$32)/1000+'Inputs'!$B$21+'Inputs'!$B$7+'Inputs'!$B$10))^2+('Inputs'!$B$8/2)^2))))*'Results'!$B$8))),"")</x:f>
        <x:v>13.556390619845931</x:v>
      </x:c>
      <x:c r="M405" t="n">
        <x:f>IF(AND(ISNUMBER('Results'!C7),ISNUMBER('Results'!B7),ISNUMBER('Results'!$B$8),ISNUMBER('Inputs'!$B$6),ISNUMBER('Inputs'!$B$7),ISNUMBER('Inputs'!$B$8),ISNUMBER('Inputs'!$B$9),ISNUMBER('Inputs'!$B$10),ISNUMBER('Inputs'!$B$21),ISNUMBER('Inputs'!$B$24),ISNUMBER('Inputs'!$B$28)),(('Results'!C7*(0.5*((((405-43)*MAX('Inputs'!$B$33,'Inputs'!$B$29+'Inputs'!$B$31+'Inputs'!$B$32,'Inputs'!$B$30+'Inputs'!$B$31+'Inputs'!$B$32)/1000+'Inputs'!$B$21)+'Inputs'!$B$9)/SQRT((((405-43)*MAX('Inputs'!$B$33,'Inputs'!$B$29+'Inputs'!$B$31+'Inputs'!$B$32,'Inputs'!$B$30+'Inputs'!$B$31+'Inputs'!$B$32)/1000+'Inputs'!$B$21)+'Inputs'!$B$9)^2+('Inputs'!$B$8/2)^2)-(((405-43)*MAX('Inputs'!$B$33,'Inputs'!$B$29+'Inputs'!$B$31+'Inputs'!$B$32,'Inputs'!$B$30+'Inputs'!$B$31+'Inputs'!$B$32)/1000+'Inputs'!$B$21))/SQRT((((405-43)*MAX('Inputs'!$B$33,'Inputs'!$B$29+'Inputs'!$B$31+'Inputs'!$B$32,'Inputs'!$B$30+'Inputs'!$B$31+'Inputs'!$B$32)/1000+'Inputs'!$B$21))^2+('Inputs'!$B$8/2)^2)))-'Results'!B7*(0.5*((((405-43)*MAX('Inputs'!$B$33,'Inputs'!$B$29+'Inputs'!$B$31+'Inputs'!$B$32,'Inputs'!$B$30+'Inputs'!$B$31+'Inputs'!$B$32)/1000+'Inputs'!$B$21+'Inputs'!$B$9+'Inputs'!$B$10)+'Inputs'!$B$7)/SQRT((((405-43)*MAX('Inputs'!$B$33,'Inputs'!$B$29+'Inputs'!$B$31+'Inputs'!$B$32,'Inputs'!$B$30+'Inputs'!$B$31+'Inputs'!$B$32)/1000+'Inputs'!$B$21+'Inputs'!$B$9+'Inputs'!$B$10)+'Inputs'!$B$7)^2+('Inputs'!$B$6/2)^2)-(((405-43)*MAX('Inputs'!$B$33,'Inputs'!$B$29+'Inputs'!$B$31+'Inputs'!$B$32,'Inputs'!$B$30+'Inputs'!$B$31+'Inputs'!$B$32)/1000+'Inputs'!$B$21+'Inputs'!$B$9+'Inputs'!$B$10))/SQRT((((405-43)*MAX('Inputs'!$B$33,'Inputs'!$B$29+'Inputs'!$B$31+'Inputs'!$B$32,'Inputs'!$B$30+'Inputs'!$B$31+'Inputs'!$B$32)/1000+'Inputs'!$B$21+'Inputs'!$B$9+'Inputs'!$B$10))^2+('Inputs'!$B$6/2)^2))))*'Results'!$B$8),"")</x:f>
        <x:v>11.593417501514798</x:v>
      </x:c>
      <x:c r="N405" t="n">
        <x:f>IF(AND(ISNUMBER('Results'!C7),ISNUMBER('Results'!B7),ISNUMBER('Results'!$B$8),ISNUMBER('Inputs'!$B$6),ISNUMBER('Inputs'!$B$7),ISNUMBER('Inputs'!$B$8),ISNUMBER('Inputs'!$B$9),ISNUMBER('Inputs'!$B$10),ISNUMBER('Inputs'!$B$21),ISNUMBER('Inputs'!$B$24),ISNUMBER('Inputs'!$B$28)),((('Results'!C7*(1-'Inputs'!$B$24)*(0.5*((((405-43)*MAX('Inputs'!$B$33,'Inputs'!$B$29+'Inputs'!$B$31+'Inputs'!$B$32,'Inputs'!$B$30+'Inputs'!$B$31+'Inputs'!$B$32)/1000+'Inputs'!$B$21)+'Inputs'!$B$9)/SQRT((((405-43)*MAX('Inputs'!$B$33,'Inputs'!$B$29+'Inputs'!$B$31+'Inputs'!$B$32,'Inputs'!$B$30+'Inputs'!$B$31+'Inputs'!$B$32)/1000+'Inputs'!$B$21)+'Inputs'!$B$9)^2+('Inputs'!$B$8/2)^2)-(((405-43)*MAX('Inputs'!$B$33,'Inputs'!$B$29+'Inputs'!$B$31+'Inputs'!$B$32,'Inputs'!$B$30+'Inputs'!$B$31+'Inputs'!$B$32)/1000+'Inputs'!$B$21))/SQRT((((405-43)*MAX('Inputs'!$B$33,'Inputs'!$B$29+'Inputs'!$B$31+'Inputs'!$B$32,'Inputs'!$B$30+'Inputs'!$B$31+'Inputs'!$B$32)/1000+'Inputs'!$B$21))^2+('Inputs'!$B$8/2)^2)))-'Results'!B7*(1+'Inputs'!$B$24)*(0.5*((((405-43)*MAX('Inputs'!$B$33,'Inputs'!$B$29+'Inputs'!$B$31+'Inputs'!$B$32,'Inputs'!$B$30+'Inputs'!$B$31+'Inputs'!$B$32)/1000+'Inputs'!$B$21+'Inputs'!$B$9+'Inputs'!$B$10)+'Inputs'!$B$7)/SQRT((((405-43)*MAX('Inputs'!$B$33,'Inputs'!$B$29+'Inputs'!$B$31+'Inputs'!$B$32,'Inputs'!$B$30+'Inputs'!$B$31+'Inputs'!$B$32)/1000+'Inputs'!$B$21+'Inputs'!$B$9+'Inputs'!$B$10)+'Inputs'!$B$7)^2+('Inputs'!$B$6/2)^2)-(((405-43)*MAX('Inputs'!$B$33,'Inputs'!$B$29+'Inputs'!$B$31+'Inputs'!$B$32,'Inputs'!$B$30+'Inputs'!$B$31+'Inputs'!$B$32)/1000+'Inputs'!$B$21+'Inputs'!$B$9+'Inputs'!$B$10))/SQRT((((405-43)*MAX('Inputs'!$B$33,'Inputs'!$B$29+'Inputs'!$B$31+'Inputs'!$B$32,'Inputs'!$B$30+'Inputs'!$B$31+'Inputs'!$B$32)/1000+'Inputs'!$B$21+'Inputs'!$B$9+'Inputs'!$B$10))^2+('Inputs'!$B$6/2)^2))))*'Results'!$B$8)-'Inputs'!$B$28*ABS((('Results'!C7*(1-'Inputs'!$B$24)*(0.5*((((405-43)*MAX('Inputs'!$B$33,'Inputs'!$B$29+'Inputs'!$B$31+'Inputs'!$B$32,'Inputs'!$B$30+'Inputs'!$B$31+'Inputs'!$B$32)/1000+'Inputs'!$B$21)+'Inputs'!$B$9)/SQRT((((405-43)*MAX('Inputs'!$B$33,'Inputs'!$B$29+'Inputs'!$B$31+'Inputs'!$B$32,'Inputs'!$B$30+'Inputs'!$B$31+'Inputs'!$B$32)/1000+'Inputs'!$B$21)+'Inputs'!$B$9)^2+('Inputs'!$B$8/2)^2)-(((405-43)*MAX('Inputs'!$B$33,'Inputs'!$B$29+'Inputs'!$B$31+'Inputs'!$B$32,'Inputs'!$B$30+'Inputs'!$B$31+'Inputs'!$B$32)/1000+'Inputs'!$B$21))/SQRT((((405-43)*MAX('Inputs'!$B$33,'Inputs'!$B$29+'Inputs'!$B$31+'Inputs'!$B$32,'Inputs'!$B$30+'Inputs'!$B$31+'Inputs'!$B$32)/1000+'Inputs'!$B$21))^2+('Inputs'!$B$8/2)^2)))-'Results'!B7*(1+'Inputs'!$B$24)*(0.5*((((405-43)*MAX('Inputs'!$B$33,'Inputs'!$B$29+'Inputs'!$B$31+'Inputs'!$B$32,'Inputs'!$B$30+'Inputs'!$B$31+'Inputs'!$B$32)/1000+'Inputs'!$B$21+'Inputs'!$B$9+'Inputs'!$B$10)+'Inputs'!$B$7)/SQRT((((405-43)*MAX('Inputs'!$B$33,'Inputs'!$B$29+'Inputs'!$B$31+'Inputs'!$B$32,'Inputs'!$B$30+'Inputs'!$B$31+'Inputs'!$B$32)/1000+'Inputs'!$B$21+'Inputs'!$B$9+'Inputs'!$B$10)+'Inputs'!$B$7)^2+('Inputs'!$B$6/2)^2)-(((405-43)*MAX('Inputs'!$B$33,'Inputs'!$B$29+'Inputs'!$B$31+'Inputs'!$B$32,'Inputs'!$B$30+'Inputs'!$B$31+'Inputs'!$B$32)/1000+'Inputs'!$B$21+'Inputs'!$B$9+'Inputs'!$B$10))/SQRT((((405-43)*MAX('Inputs'!$B$33,'Inputs'!$B$29+'Inputs'!$B$31+'Inputs'!$B$32,'Inputs'!$B$30+'Inputs'!$B$31+'Inputs'!$B$32)/1000+'Inputs'!$B$21+'Inputs'!$B$9+'Inputs'!$B$10))^2+('Inputs'!$B$6/2)^2))))*'Results'!$B$8))),"")</x:f>
        <x:v>10.394538527753431</x:v>
      </x:c>
      <x:c r="O405" t="n">
        <x:f>IF(AND(ISNUMBER('Results'!C7),ISNUMBER('Results'!B7),ISNUMBER('Results'!$B$8),ISNUMBER('Inputs'!$B$6),ISNUMBER('Inputs'!$B$7),ISNUMBER('Inputs'!$B$8),ISNUMBER('Inputs'!$B$9),ISNUMBER('Inputs'!$B$10),ISNUMBER('Inputs'!$B$21),ISNUMBER('Inputs'!$B$24),ISNUMBER('Inputs'!$B$28)),((('Results'!C7*(1+'Inputs'!$B$24)*(0.5*((((405-43)*MAX('Inputs'!$B$33,'Inputs'!$B$29+'Inputs'!$B$31+'Inputs'!$B$32,'Inputs'!$B$30+'Inputs'!$B$31+'Inputs'!$B$32)/1000+'Inputs'!$B$21)+'Inputs'!$B$9)/SQRT((((405-43)*MAX('Inputs'!$B$33,'Inputs'!$B$29+'Inputs'!$B$31+'Inputs'!$B$32,'Inputs'!$B$30+'Inputs'!$B$31+'Inputs'!$B$32)/1000+'Inputs'!$B$21)+'Inputs'!$B$9)^2+('Inputs'!$B$8/2)^2)-(((405-43)*MAX('Inputs'!$B$33,'Inputs'!$B$29+'Inputs'!$B$31+'Inputs'!$B$32,'Inputs'!$B$30+'Inputs'!$B$31+'Inputs'!$B$32)/1000+'Inputs'!$B$21))/SQRT((((405-43)*MAX('Inputs'!$B$33,'Inputs'!$B$29+'Inputs'!$B$31+'Inputs'!$B$32,'Inputs'!$B$30+'Inputs'!$B$31+'Inputs'!$B$32)/1000+'Inputs'!$B$21))^2+('Inputs'!$B$8/2)^2)))-'Results'!B7*(1-'Inputs'!$B$24)*(0.5*((((405-43)*MAX('Inputs'!$B$33,'Inputs'!$B$29+'Inputs'!$B$31+'Inputs'!$B$32,'Inputs'!$B$30+'Inputs'!$B$31+'Inputs'!$B$32)/1000+'Inputs'!$B$21+'Inputs'!$B$9+'Inputs'!$B$10)+'Inputs'!$B$7)/SQRT((((405-43)*MAX('Inputs'!$B$33,'Inputs'!$B$29+'Inputs'!$B$31+'Inputs'!$B$32,'Inputs'!$B$30+'Inputs'!$B$31+'Inputs'!$B$32)/1000+'Inputs'!$B$21+'Inputs'!$B$9+'Inputs'!$B$10)+'Inputs'!$B$7)^2+('Inputs'!$B$6/2)^2)-(((405-43)*MAX('Inputs'!$B$33,'Inputs'!$B$29+'Inputs'!$B$31+'Inputs'!$B$32,'Inputs'!$B$30+'Inputs'!$B$31+'Inputs'!$B$32)/1000+'Inputs'!$B$21+'Inputs'!$B$9+'Inputs'!$B$10))/SQRT((((405-43)*MAX('Inputs'!$B$33,'Inputs'!$B$29+'Inputs'!$B$31+'Inputs'!$B$32,'Inputs'!$B$30+'Inputs'!$B$31+'Inputs'!$B$32)/1000+'Inputs'!$B$21+'Inputs'!$B$9+'Inputs'!$B$10))^2+('Inputs'!$B$6/2)^2))))*'Results'!$B$8)+'Inputs'!$B$28*ABS((('Results'!C7*(1+'Inputs'!$B$24)*(0.5*((((405-43)*MAX('Inputs'!$B$33,'Inputs'!$B$29+'Inputs'!$B$31+'Inputs'!$B$32,'Inputs'!$B$30+'Inputs'!$B$31+'Inputs'!$B$32)/1000+'Inputs'!$B$21)+'Inputs'!$B$9)/SQRT((((405-43)*MAX('Inputs'!$B$33,'Inputs'!$B$29+'Inputs'!$B$31+'Inputs'!$B$32,'Inputs'!$B$30+'Inputs'!$B$31+'Inputs'!$B$32)/1000+'Inputs'!$B$21)+'Inputs'!$B$9)^2+('Inputs'!$B$8/2)^2)-(((405-43)*MAX('Inputs'!$B$33,'Inputs'!$B$29+'Inputs'!$B$31+'Inputs'!$B$32,'Inputs'!$B$30+'Inputs'!$B$31+'Inputs'!$B$32)/1000+'Inputs'!$B$21))/SQRT((((405-43)*MAX('Inputs'!$B$33,'Inputs'!$B$29+'Inputs'!$B$31+'Inputs'!$B$32,'Inputs'!$B$30+'Inputs'!$B$31+'Inputs'!$B$32)/1000+'Inputs'!$B$21))^2+('Inputs'!$B$8/2)^2)))-'Results'!B7*(1-'Inputs'!$B$24)*(0.5*((((405-43)*MAX('Inputs'!$B$33,'Inputs'!$B$29+'Inputs'!$B$31+'Inputs'!$B$32,'Inputs'!$B$30+'Inputs'!$B$31+'Inputs'!$B$32)/1000+'Inputs'!$B$21+'Inputs'!$B$9+'Inputs'!$B$10)+'Inputs'!$B$7)/SQRT((((405-43)*MAX('Inputs'!$B$33,'Inputs'!$B$29+'Inputs'!$B$31+'Inputs'!$B$32,'Inputs'!$B$30+'Inputs'!$B$31+'Inputs'!$B$32)/1000+'Inputs'!$B$21+'Inputs'!$B$9+'Inputs'!$B$10)+'Inputs'!$B$7)^2+('Inputs'!$B$6/2)^2)-(((405-43)*MAX('Inputs'!$B$33,'Inputs'!$B$29+'Inputs'!$B$31+'Inputs'!$B$32,'Inputs'!$B$30+'Inputs'!$B$31+'Inputs'!$B$32)/1000+'Inputs'!$B$21+'Inputs'!$B$9+'Inputs'!$B$10))/SQRT((((405-43)*MAX('Inputs'!$B$33,'Inputs'!$B$29+'Inputs'!$B$31+'Inputs'!$B$32,'Inputs'!$B$30+'Inputs'!$B$31+'Inputs'!$B$32)/1000+'Inputs'!$B$21+'Inputs'!$B$9+'Inputs'!$B$10))^2+('Inputs'!$B$6/2)^2))))*'Results'!$B$8))),"")</x:f>
        <x:v>12.857476275137815</x:v>
      </x:c>
      <x:c r="P405" t="n">
        <x:f>IF(AND(MAX(J405,J404)&gt;0,J405&gt;J404+0.00000001),1,0)</x:f>
        <x:v>0</x:v>
      </x:c>
      <x:c r="Q405" t="n">
        <x:f>IF(AND(MAX(K405,K404)&gt;0,K405&gt;K404+0.00000001),1,0)</x:f>
        <x:v>0</x:v>
      </x:c>
      <x:c r="R405" t="n">
        <x:f>IF(AND(MAX(L405,L404)&gt;0,L405&gt;L404+0.00000001),1,0)</x:f>
        <x:v>0</x:v>
      </x:c>
      <x:c r="S405" t="n">
        <x:f>IF(AND(MAX(M405,M404)&gt;0,M405&gt;M404+0.00000001),1,0)</x:f>
        <x:v>0</x:v>
      </x:c>
      <x:c r="T405" t="n">
        <x:f>IF(AND(MAX(N405,N404)&gt;0,N405&gt;N404+0.00000001),1,0)</x:f>
        <x:v>0</x:v>
      </x:c>
      <x:c r="U405" t="n">
        <x:f>IF(AND(MAX(O405,O404)&gt;0,O405&gt;O404+0.00000001),1,0)</x:f>
        <x:v>0</x:v>
      </x:c>
    </x:row>
    <x:row r="406">
      <x:c r="J406" t="n">
        <x:f>IF(AND(ISNUMBER('Results'!B7),ISNUMBER('Results'!C7),ISNUMBER('Results'!$B$8),ISNUMBER('Inputs'!$B$6),ISNUMBER('Inputs'!$B$7),ISNUMBER('Inputs'!$B$8),ISNUMBER('Inputs'!$B$9),ISNUMBER('Inputs'!$B$10),ISNUMBER('Inputs'!$B$21),ISNUMBER('Inputs'!$B$24),ISNUMBER('Inputs'!$B$28)),(('Results'!B7*(0.5*((((406-43)*MAX('Inputs'!$B$33,'Inputs'!$B$29+'Inputs'!$B$31+'Inputs'!$B$32,'Inputs'!$B$30+'Inputs'!$B$31+'Inputs'!$B$32)/1000+'Inputs'!$B$21)+'Inputs'!$B$7)/SQRT((((406-43)*MAX('Inputs'!$B$33,'Inputs'!$B$29+'Inputs'!$B$31+'Inputs'!$B$32,'Inputs'!$B$30+'Inputs'!$B$31+'Inputs'!$B$32)/1000+'Inputs'!$B$21)+'Inputs'!$B$7)^2+('Inputs'!$B$6/2)^2)-(((406-43)*MAX('Inputs'!$B$33,'Inputs'!$B$29+'Inputs'!$B$31+'Inputs'!$B$32,'Inputs'!$B$30+'Inputs'!$B$31+'Inputs'!$B$32)/1000+'Inputs'!$B$21))/SQRT((((406-43)*MAX('Inputs'!$B$33,'Inputs'!$B$29+'Inputs'!$B$31+'Inputs'!$B$32,'Inputs'!$B$30+'Inputs'!$B$31+'Inputs'!$B$32)/1000+'Inputs'!$B$21))^2+('Inputs'!$B$6/2)^2)))-'Results'!C7*(0.5*((((406-43)*MAX('Inputs'!$B$33,'Inputs'!$B$29+'Inputs'!$B$31+'Inputs'!$B$32,'Inputs'!$B$30+'Inputs'!$B$31+'Inputs'!$B$32)/1000+'Inputs'!$B$21+'Inputs'!$B$7+'Inputs'!$B$10)+'Inputs'!$B$9)/SQRT((((406-43)*MAX('Inputs'!$B$33,'Inputs'!$B$29+'Inputs'!$B$31+'Inputs'!$B$32,'Inputs'!$B$30+'Inputs'!$B$31+'Inputs'!$B$32)/1000+'Inputs'!$B$21+'Inputs'!$B$7+'Inputs'!$B$10)+'Inputs'!$B$9)^2+('Inputs'!$B$8/2)^2)-(((406-43)*MAX('Inputs'!$B$33,'Inputs'!$B$29+'Inputs'!$B$31+'Inputs'!$B$32,'Inputs'!$B$30+'Inputs'!$B$31+'Inputs'!$B$32)/1000+'Inputs'!$B$21+'Inputs'!$B$7+'Inputs'!$B$10))/SQRT((((406-43)*MAX('Inputs'!$B$33,'Inputs'!$B$29+'Inputs'!$B$31+'Inputs'!$B$32,'Inputs'!$B$30+'Inputs'!$B$31+'Inputs'!$B$32)/1000+'Inputs'!$B$21+'Inputs'!$B$7+'Inputs'!$B$10))^2+('Inputs'!$B$8/2)^2))))*'Results'!$B$8),"")</x:f>
        <x:v>12.145273159668482</x:v>
      </x:c>
      <x:c r="K406" t="n">
        <x:f>IF(AND(ISNUMBER('Results'!B7),ISNUMBER('Results'!C7),ISNUMBER('Results'!$B$8),ISNUMBER('Inputs'!$B$6),ISNUMBER('Inputs'!$B$7),ISNUMBER('Inputs'!$B$8),ISNUMBER('Inputs'!$B$9),ISNUMBER('Inputs'!$B$10),ISNUMBER('Inputs'!$B$21),ISNUMBER('Inputs'!$B$24),ISNUMBER('Inputs'!$B$28)),((('Results'!B7*(1-'Inputs'!$B$24)*(0.5*((((406-43)*MAX('Inputs'!$B$33,'Inputs'!$B$29+'Inputs'!$B$31+'Inputs'!$B$32,'Inputs'!$B$30+'Inputs'!$B$31+'Inputs'!$B$32)/1000+'Inputs'!$B$21)+'Inputs'!$B$7)/SQRT((((406-43)*MAX('Inputs'!$B$33,'Inputs'!$B$29+'Inputs'!$B$31+'Inputs'!$B$32,'Inputs'!$B$30+'Inputs'!$B$31+'Inputs'!$B$32)/1000+'Inputs'!$B$21)+'Inputs'!$B$7)^2+('Inputs'!$B$6/2)^2)-(((406-43)*MAX('Inputs'!$B$33,'Inputs'!$B$29+'Inputs'!$B$31+'Inputs'!$B$32,'Inputs'!$B$30+'Inputs'!$B$31+'Inputs'!$B$32)/1000+'Inputs'!$B$21))/SQRT((((406-43)*MAX('Inputs'!$B$33,'Inputs'!$B$29+'Inputs'!$B$31+'Inputs'!$B$32,'Inputs'!$B$30+'Inputs'!$B$31+'Inputs'!$B$32)/1000+'Inputs'!$B$21))^2+('Inputs'!$B$6/2)^2)))-'Results'!C7*(1+'Inputs'!$B$24)*(0.5*((((406-43)*MAX('Inputs'!$B$33,'Inputs'!$B$29+'Inputs'!$B$31+'Inputs'!$B$32,'Inputs'!$B$30+'Inputs'!$B$31+'Inputs'!$B$32)/1000+'Inputs'!$B$21+'Inputs'!$B$7+'Inputs'!$B$10)+'Inputs'!$B$9)/SQRT((((406-43)*MAX('Inputs'!$B$33,'Inputs'!$B$29+'Inputs'!$B$31+'Inputs'!$B$32,'Inputs'!$B$30+'Inputs'!$B$31+'Inputs'!$B$32)/1000+'Inputs'!$B$21+'Inputs'!$B$7+'Inputs'!$B$10)+'Inputs'!$B$9)^2+('Inputs'!$B$8/2)^2)-(((406-43)*MAX('Inputs'!$B$33,'Inputs'!$B$29+'Inputs'!$B$31+'Inputs'!$B$32,'Inputs'!$B$30+'Inputs'!$B$31+'Inputs'!$B$32)/1000+'Inputs'!$B$21+'Inputs'!$B$7+'Inputs'!$B$10))/SQRT((((406-43)*MAX('Inputs'!$B$33,'Inputs'!$B$29+'Inputs'!$B$31+'Inputs'!$B$32,'Inputs'!$B$30+'Inputs'!$B$31+'Inputs'!$B$32)/1000+'Inputs'!$B$21+'Inputs'!$B$7+'Inputs'!$B$10))^2+('Inputs'!$B$8/2)^2))))*'Results'!$B$8)-'Inputs'!$B$28*ABS((('Results'!B7*(1-'Inputs'!$B$24)*(0.5*((((406-43)*MAX('Inputs'!$B$33,'Inputs'!$B$29+'Inputs'!$B$31+'Inputs'!$B$32,'Inputs'!$B$30+'Inputs'!$B$31+'Inputs'!$B$32)/1000+'Inputs'!$B$21)+'Inputs'!$B$7)/SQRT((((406-43)*MAX('Inputs'!$B$33,'Inputs'!$B$29+'Inputs'!$B$31+'Inputs'!$B$32,'Inputs'!$B$30+'Inputs'!$B$31+'Inputs'!$B$32)/1000+'Inputs'!$B$21)+'Inputs'!$B$7)^2+('Inputs'!$B$6/2)^2)-(((406-43)*MAX('Inputs'!$B$33,'Inputs'!$B$29+'Inputs'!$B$31+'Inputs'!$B$32,'Inputs'!$B$30+'Inputs'!$B$31+'Inputs'!$B$32)/1000+'Inputs'!$B$21))/SQRT((((406-43)*MAX('Inputs'!$B$33,'Inputs'!$B$29+'Inputs'!$B$31+'Inputs'!$B$32,'Inputs'!$B$30+'Inputs'!$B$31+'Inputs'!$B$32)/1000+'Inputs'!$B$21))^2+('Inputs'!$B$6/2)^2)))-'Results'!C7*(1+'Inputs'!$B$24)*(0.5*((((406-43)*MAX('Inputs'!$B$33,'Inputs'!$B$29+'Inputs'!$B$31+'Inputs'!$B$32,'Inputs'!$B$30+'Inputs'!$B$31+'Inputs'!$B$32)/1000+'Inputs'!$B$21+'Inputs'!$B$7+'Inputs'!$B$10)+'Inputs'!$B$9)/SQRT((((406-43)*MAX('Inputs'!$B$33,'Inputs'!$B$29+'Inputs'!$B$31+'Inputs'!$B$32,'Inputs'!$B$30+'Inputs'!$B$31+'Inputs'!$B$32)/1000+'Inputs'!$B$21+'Inputs'!$B$7+'Inputs'!$B$10)+'Inputs'!$B$9)^2+('Inputs'!$B$8/2)^2)-(((406-43)*MAX('Inputs'!$B$33,'Inputs'!$B$29+'Inputs'!$B$31+'Inputs'!$B$32,'Inputs'!$B$30+'Inputs'!$B$31+'Inputs'!$B$32)/1000+'Inputs'!$B$21+'Inputs'!$B$7+'Inputs'!$B$10))/SQRT((((406-43)*MAX('Inputs'!$B$33,'Inputs'!$B$29+'Inputs'!$B$31+'Inputs'!$B$32,'Inputs'!$B$30+'Inputs'!$B$31+'Inputs'!$B$32)/1000+'Inputs'!$B$21+'Inputs'!$B$7+'Inputs'!$B$10))^2+('Inputs'!$B$8/2)^2))))*'Results'!$B$8))),"")</x:f>
        <x:v>10.918593556030745</x:v>
      </x:c>
      <x:c r="L406" t="n">
        <x:f>IF(AND(ISNUMBER('Results'!B7),ISNUMBER('Results'!C7),ISNUMBER('Results'!$B$8),ISNUMBER('Inputs'!$B$6),ISNUMBER('Inputs'!$B$7),ISNUMBER('Inputs'!$B$8),ISNUMBER('Inputs'!$B$9),ISNUMBER('Inputs'!$B$10),ISNUMBER('Inputs'!$B$21),ISNUMBER('Inputs'!$B$24),ISNUMBER('Inputs'!$B$28)),((('Results'!B7*(1+'Inputs'!$B$24)*(0.5*((((406-43)*MAX('Inputs'!$B$33,'Inputs'!$B$29+'Inputs'!$B$31+'Inputs'!$B$32,'Inputs'!$B$30+'Inputs'!$B$31+'Inputs'!$B$32)/1000+'Inputs'!$B$21)+'Inputs'!$B$7)/SQRT((((406-43)*MAX('Inputs'!$B$33,'Inputs'!$B$29+'Inputs'!$B$31+'Inputs'!$B$32,'Inputs'!$B$30+'Inputs'!$B$31+'Inputs'!$B$32)/1000+'Inputs'!$B$21)+'Inputs'!$B$7)^2+('Inputs'!$B$6/2)^2)-(((406-43)*MAX('Inputs'!$B$33,'Inputs'!$B$29+'Inputs'!$B$31+'Inputs'!$B$32,'Inputs'!$B$30+'Inputs'!$B$31+'Inputs'!$B$32)/1000+'Inputs'!$B$21))/SQRT((((406-43)*MAX('Inputs'!$B$33,'Inputs'!$B$29+'Inputs'!$B$31+'Inputs'!$B$32,'Inputs'!$B$30+'Inputs'!$B$31+'Inputs'!$B$32)/1000+'Inputs'!$B$21))^2+('Inputs'!$B$6/2)^2)))-'Results'!C7*(1-'Inputs'!$B$24)*(0.5*((((406-43)*MAX('Inputs'!$B$33,'Inputs'!$B$29+'Inputs'!$B$31+'Inputs'!$B$32,'Inputs'!$B$30+'Inputs'!$B$31+'Inputs'!$B$32)/1000+'Inputs'!$B$21+'Inputs'!$B$7+'Inputs'!$B$10)+'Inputs'!$B$9)/SQRT((((406-43)*MAX('Inputs'!$B$33,'Inputs'!$B$29+'Inputs'!$B$31+'Inputs'!$B$32,'Inputs'!$B$30+'Inputs'!$B$31+'Inputs'!$B$32)/1000+'Inputs'!$B$21+'Inputs'!$B$7+'Inputs'!$B$10)+'Inputs'!$B$9)^2+('Inputs'!$B$8/2)^2)-(((406-43)*MAX('Inputs'!$B$33,'Inputs'!$B$29+'Inputs'!$B$31+'Inputs'!$B$32,'Inputs'!$B$30+'Inputs'!$B$31+'Inputs'!$B$32)/1000+'Inputs'!$B$21+'Inputs'!$B$7+'Inputs'!$B$10))/SQRT((((406-43)*MAX('Inputs'!$B$33,'Inputs'!$B$29+'Inputs'!$B$31+'Inputs'!$B$32,'Inputs'!$B$30+'Inputs'!$B$31+'Inputs'!$B$32)/1000+'Inputs'!$B$21+'Inputs'!$B$7+'Inputs'!$B$10))^2+('Inputs'!$B$8/2)^2))))*'Results'!$B$8)+'Inputs'!$B$28*ABS((('Results'!B7*(1+'Inputs'!$B$24)*(0.5*((((406-43)*MAX('Inputs'!$B$33,'Inputs'!$B$29+'Inputs'!$B$31+'Inputs'!$B$32,'Inputs'!$B$30+'Inputs'!$B$31+'Inputs'!$B$32)/1000+'Inputs'!$B$21)+'Inputs'!$B$7)/SQRT((((406-43)*MAX('Inputs'!$B$33,'Inputs'!$B$29+'Inputs'!$B$31+'Inputs'!$B$32,'Inputs'!$B$30+'Inputs'!$B$31+'Inputs'!$B$32)/1000+'Inputs'!$B$21)+'Inputs'!$B$7)^2+('Inputs'!$B$6/2)^2)-(((406-43)*MAX('Inputs'!$B$33,'Inputs'!$B$29+'Inputs'!$B$31+'Inputs'!$B$32,'Inputs'!$B$30+'Inputs'!$B$31+'Inputs'!$B$32)/1000+'Inputs'!$B$21))/SQRT((((406-43)*MAX('Inputs'!$B$33,'Inputs'!$B$29+'Inputs'!$B$31+'Inputs'!$B$32,'Inputs'!$B$30+'Inputs'!$B$31+'Inputs'!$B$32)/1000+'Inputs'!$B$21))^2+('Inputs'!$B$6/2)^2)))-'Results'!C7*(1-'Inputs'!$B$24)*(0.5*((((406-43)*MAX('Inputs'!$B$33,'Inputs'!$B$29+'Inputs'!$B$31+'Inputs'!$B$32,'Inputs'!$B$30+'Inputs'!$B$31+'Inputs'!$B$32)/1000+'Inputs'!$B$21+'Inputs'!$B$7+'Inputs'!$B$10)+'Inputs'!$B$9)/SQRT((((406-43)*MAX('Inputs'!$B$33,'Inputs'!$B$29+'Inputs'!$B$31+'Inputs'!$B$32,'Inputs'!$B$30+'Inputs'!$B$31+'Inputs'!$B$32)/1000+'Inputs'!$B$21+'Inputs'!$B$7+'Inputs'!$B$10)+'Inputs'!$B$9)^2+('Inputs'!$B$8/2)^2)-(((406-43)*MAX('Inputs'!$B$33,'Inputs'!$B$29+'Inputs'!$B$31+'Inputs'!$B$32,'Inputs'!$B$30+'Inputs'!$B$31+'Inputs'!$B$32)/1000+'Inputs'!$B$21+'Inputs'!$B$7+'Inputs'!$B$10))/SQRT((((406-43)*MAX('Inputs'!$B$33,'Inputs'!$B$29+'Inputs'!$B$31+'Inputs'!$B$32,'Inputs'!$B$30+'Inputs'!$B$31+'Inputs'!$B$32)/1000+'Inputs'!$B$21+'Inputs'!$B$7+'Inputs'!$B$10))^2+('Inputs'!$B$8/2)^2))))*'Results'!$B$8))),"")</x:f>
        <x:v>13.437154441796142</x:v>
      </x:c>
      <x:c r="M406" t="n">
        <x:f>IF(AND(ISNUMBER('Results'!C7),ISNUMBER('Results'!B7),ISNUMBER('Results'!$B$8),ISNUMBER('Inputs'!$B$6),ISNUMBER('Inputs'!$B$7),ISNUMBER('Inputs'!$B$8),ISNUMBER('Inputs'!$B$9),ISNUMBER('Inputs'!$B$10),ISNUMBER('Inputs'!$B$21),ISNUMBER('Inputs'!$B$24),ISNUMBER('Inputs'!$B$28)),(('Results'!C7*(0.5*((((406-43)*MAX('Inputs'!$B$33,'Inputs'!$B$29+'Inputs'!$B$31+'Inputs'!$B$32,'Inputs'!$B$30+'Inputs'!$B$31+'Inputs'!$B$32)/1000+'Inputs'!$B$21)+'Inputs'!$B$9)/SQRT((((406-43)*MAX('Inputs'!$B$33,'Inputs'!$B$29+'Inputs'!$B$31+'Inputs'!$B$32,'Inputs'!$B$30+'Inputs'!$B$31+'Inputs'!$B$32)/1000+'Inputs'!$B$21)+'Inputs'!$B$9)^2+('Inputs'!$B$8/2)^2)-(((406-43)*MAX('Inputs'!$B$33,'Inputs'!$B$29+'Inputs'!$B$31+'Inputs'!$B$32,'Inputs'!$B$30+'Inputs'!$B$31+'Inputs'!$B$32)/1000+'Inputs'!$B$21))/SQRT((((406-43)*MAX('Inputs'!$B$33,'Inputs'!$B$29+'Inputs'!$B$31+'Inputs'!$B$32,'Inputs'!$B$30+'Inputs'!$B$31+'Inputs'!$B$32)/1000+'Inputs'!$B$21))^2+('Inputs'!$B$8/2)^2)))-'Results'!B7*(0.5*((((406-43)*MAX('Inputs'!$B$33,'Inputs'!$B$29+'Inputs'!$B$31+'Inputs'!$B$32,'Inputs'!$B$30+'Inputs'!$B$31+'Inputs'!$B$32)/1000+'Inputs'!$B$21+'Inputs'!$B$9+'Inputs'!$B$10)+'Inputs'!$B$7)/SQRT((((406-43)*MAX('Inputs'!$B$33,'Inputs'!$B$29+'Inputs'!$B$31+'Inputs'!$B$32,'Inputs'!$B$30+'Inputs'!$B$31+'Inputs'!$B$32)/1000+'Inputs'!$B$21+'Inputs'!$B$9+'Inputs'!$B$10)+'Inputs'!$B$7)^2+('Inputs'!$B$6/2)^2)-(((406-43)*MAX('Inputs'!$B$33,'Inputs'!$B$29+'Inputs'!$B$31+'Inputs'!$B$32,'Inputs'!$B$30+'Inputs'!$B$31+'Inputs'!$B$32)/1000+'Inputs'!$B$21+'Inputs'!$B$9+'Inputs'!$B$10))/SQRT((((406-43)*MAX('Inputs'!$B$33,'Inputs'!$B$29+'Inputs'!$B$31+'Inputs'!$B$32,'Inputs'!$B$30+'Inputs'!$B$31+'Inputs'!$B$32)/1000+'Inputs'!$B$21+'Inputs'!$B$9+'Inputs'!$B$10))^2+('Inputs'!$B$6/2)^2))))*'Results'!$B$8),"")</x:f>
        <x:v>11.489081769445676</x:v>
      </x:c>
      <x:c r="N406" t="n">
        <x:f>IF(AND(ISNUMBER('Results'!C7),ISNUMBER('Results'!B7),ISNUMBER('Results'!$B$8),ISNUMBER('Inputs'!$B$6),ISNUMBER('Inputs'!$B$7),ISNUMBER('Inputs'!$B$8),ISNUMBER('Inputs'!$B$9),ISNUMBER('Inputs'!$B$10),ISNUMBER('Inputs'!$B$21),ISNUMBER('Inputs'!$B$24),ISNUMBER('Inputs'!$B$28)),((('Results'!C7*(1-'Inputs'!$B$24)*(0.5*((((406-43)*MAX('Inputs'!$B$33,'Inputs'!$B$29+'Inputs'!$B$31+'Inputs'!$B$32,'Inputs'!$B$30+'Inputs'!$B$31+'Inputs'!$B$32)/1000+'Inputs'!$B$21)+'Inputs'!$B$9)/SQRT((((406-43)*MAX('Inputs'!$B$33,'Inputs'!$B$29+'Inputs'!$B$31+'Inputs'!$B$32,'Inputs'!$B$30+'Inputs'!$B$31+'Inputs'!$B$32)/1000+'Inputs'!$B$21)+'Inputs'!$B$9)^2+('Inputs'!$B$8/2)^2)-(((406-43)*MAX('Inputs'!$B$33,'Inputs'!$B$29+'Inputs'!$B$31+'Inputs'!$B$32,'Inputs'!$B$30+'Inputs'!$B$31+'Inputs'!$B$32)/1000+'Inputs'!$B$21))/SQRT((((406-43)*MAX('Inputs'!$B$33,'Inputs'!$B$29+'Inputs'!$B$31+'Inputs'!$B$32,'Inputs'!$B$30+'Inputs'!$B$31+'Inputs'!$B$32)/1000+'Inputs'!$B$21))^2+('Inputs'!$B$8/2)^2)))-'Results'!B7*(1+'Inputs'!$B$24)*(0.5*((((406-43)*MAX('Inputs'!$B$33,'Inputs'!$B$29+'Inputs'!$B$31+'Inputs'!$B$32,'Inputs'!$B$30+'Inputs'!$B$31+'Inputs'!$B$32)/1000+'Inputs'!$B$21+'Inputs'!$B$9+'Inputs'!$B$10)+'Inputs'!$B$7)/SQRT((((406-43)*MAX('Inputs'!$B$33,'Inputs'!$B$29+'Inputs'!$B$31+'Inputs'!$B$32,'Inputs'!$B$30+'Inputs'!$B$31+'Inputs'!$B$32)/1000+'Inputs'!$B$21+'Inputs'!$B$9+'Inputs'!$B$10)+'Inputs'!$B$7)^2+('Inputs'!$B$6/2)^2)-(((406-43)*MAX('Inputs'!$B$33,'Inputs'!$B$29+'Inputs'!$B$31+'Inputs'!$B$32,'Inputs'!$B$30+'Inputs'!$B$31+'Inputs'!$B$32)/1000+'Inputs'!$B$21+'Inputs'!$B$9+'Inputs'!$B$10))/SQRT((((406-43)*MAX('Inputs'!$B$33,'Inputs'!$B$29+'Inputs'!$B$31+'Inputs'!$B$32,'Inputs'!$B$30+'Inputs'!$B$31+'Inputs'!$B$32)/1000+'Inputs'!$B$21+'Inputs'!$B$9+'Inputs'!$B$10))^2+('Inputs'!$B$6/2)^2))))*'Results'!$B$8)-'Inputs'!$B$28*ABS((('Results'!C7*(1-'Inputs'!$B$24)*(0.5*((((406-43)*MAX('Inputs'!$B$33,'Inputs'!$B$29+'Inputs'!$B$31+'Inputs'!$B$32,'Inputs'!$B$30+'Inputs'!$B$31+'Inputs'!$B$32)/1000+'Inputs'!$B$21)+'Inputs'!$B$9)/SQRT((((406-43)*MAX('Inputs'!$B$33,'Inputs'!$B$29+'Inputs'!$B$31+'Inputs'!$B$32,'Inputs'!$B$30+'Inputs'!$B$31+'Inputs'!$B$32)/1000+'Inputs'!$B$21)+'Inputs'!$B$9)^2+('Inputs'!$B$8/2)^2)-(((406-43)*MAX('Inputs'!$B$33,'Inputs'!$B$29+'Inputs'!$B$31+'Inputs'!$B$32,'Inputs'!$B$30+'Inputs'!$B$31+'Inputs'!$B$32)/1000+'Inputs'!$B$21))/SQRT((((406-43)*MAX('Inputs'!$B$33,'Inputs'!$B$29+'Inputs'!$B$31+'Inputs'!$B$32,'Inputs'!$B$30+'Inputs'!$B$31+'Inputs'!$B$32)/1000+'Inputs'!$B$21))^2+('Inputs'!$B$8/2)^2)))-'Results'!B7*(1+'Inputs'!$B$24)*(0.5*((((406-43)*MAX('Inputs'!$B$33,'Inputs'!$B$29+'Inputs'!$B$31+'Inputs'!$B$32,'Inputs'!$B$30+'Inputs'!$B$31+'Inputs'!$B$32)/1000+'Inputs'!$B$21+'Inputs'!$B$9+'Inputs'!$B$10)+'Inputs'!$B$7)/SQRT((((406-43)*MAX('Inputs'!$B$33,'Inputs'!$B$29+'Inputs'!$B$31+'Inputs'!$B$32,'Inputs'!$B$30+'Inputs'!$B$31+'Inputs'!$B$32)/1000+'Inputs'!$B$21+'Inputs'!$B$9+'Inputs'!$B$10)+'Inputs'!$B$7)^2+('Inputs'!$B$6/2)^2)-(((406-43)*MAX('Inputs'!$B$33,'Inputs'!$B$29+'Inputs'!$B$31+'Inputs'!$B$32,'Inputs'!$B$30+'Inputs'!$B$31+'Inputs'!$B$32)/1000+'Inputs'!$B$21+'Inputs'!$B$9+'Inputs'!$B$10))/SQRT((((406-43)*MAX('Inputs'!$B$33,'Inputs'!$B$29+'Inputs'!$B$31+'Inputs'!$B$32,'Inputs'!$B$30+'Inputs'!$B$31+'Inputs'!$B$32)/1000+'Inputs'!$B$21+'Inputs'!$B$9+'Inputs'!$B$10))^2+('Inputs'!$B$6/2)^2))))*'Results'!$B$8))),"")</x:f>
        <x:v>10.29974762161861</x:v>
      </x:c>
      <x:c r="O406" t="n">
        <x:f>IF(AND(ISNUMBER('Results'!C7),ISNUMBER('Results'!B7),ISNUMBER('Results'!$B$8),ISNUMBER('Inputs'!$B$6),ISNUMBER('Inputs'!$B$7),ISNUMBER('Inputs'!$B$8),ISNUMBER('Inputs'!$B$9),ISNUMBER('Inputs'!$B$10),ISNUMBER('Inputs'!$B$21),ISNUMBER('Inputs'!$B$24),ISNUMBER('Inputs'!$B$28)),((('Results'!C7*(1+'Inputs'!$B$24)*(0.5*((((406-43)*MAX('Inputs'!$B$33,'Inputs'!$B$29+'Inputs'!$B$31+'Inputs'!$B$32,'Inputs'!$B$30+'Inputs'!$B$31+'Inputs'!$B$32)/1000+'Inputs'!$B$21)+'Inputs'!$B$9)/SQRT((((406-43)*MAX('Inputs'!$B$33,'Inputs'!$B$29+'Inputs'!$B$31+'Inputs'!$B$32,'Inputs'!$B$30+'Inputs'!$B$31+'Inputs'!$B$32)/1000+'Inputs'!$B$21)+'Inputs'!$B$9)^2+('Inputs'!$B$8/2)^2)-(((406-43)*MAX('Inputs'!$B$33,'Inputs'!$B$29+'Inputs'!$B$31+'Inputs'!$B$32,'Inputs'!$B$30+'Inputs'!$B$31+'Inputs'!$B$32)/1000+'Inputs'!$B$21))/SQRT((((406-43)*MAX('Inputs'!$B$33,'Inputs'!$B$29+'Inputs'!$B$31+'Inputs'!$B$32,'Inputs'!$B$30+'Inputs'!$B$31+'Inputs'!$B$32)/1000+'Inputs'!$B$21))^2+('Inputs'!$B$8/2)^2)))-'Results'!B7*(1-'Inputs'!$B$24)*(0.5*((((406-43)*MAX('Inputs'!$B$33,'Inputs'!$B$29+'Inputs'!$B$31+'Inputs'!$B$32,'Inputs'!$B$30+'Inputs'!$B$31+'Inputs'!$B$32)/1000+'Inputs'!$B$21+'Inputs'!$B$9+'Inputs'!$B$10)+'Inputs'!$B$7)/SQRT((((406-43)*MAX('Inputs'!$B$33,'Inputs'!$B$29+'Inputs'!$B$31+'Inputs'!$B$32,'Inputs'!$B$30+'Inputs'!$B$31+'Inputs'!$B$32)/1000+'Inputs'!$B$21+'Inputs'!$B$9+'Inputs'!$B$10)+'Inputs'!$B$7)^2+('Inputs'!$B$6/2)^2)-(((406-43)*MAX('Inputs'!$B$33,'Inputs'!$B$29+'Inputs'!$B$31+'Inputs'!$B$32,'Inputs'!$B$30+'Inputs'!$B$31+'Inputs'!$B$32)/1000+'Inputs'!$B$21+'Inputs'!$B$9+'Inputs'!$B$10))/SQRT((((406-43)*MAX('Inputs'!$B$33,'Inputs'!$B$29+'Inputs'!$B$31+'Inputs'!$B$32,'Inputs'!$B$30+'Inputs'!$B$31+'Inputs'!$B$32)/1000+'Inputs'!$B$21+'Inputs'!$B$9+'Inputs'!$B$10))^2+('Inputs'!$B$6/2)^2))))*'Results'!$B$8)+'Inputs'!$B$28*ABS((('Results'!C7*(1+'Inputs'!$B$24)*(0.5*((((406-43)*MAX('Inputs'!$B$33,'Inputs'!$B$29+'Inputs'!$B$31+'Inputs'!$B$32,'Inputs'!$B$30+'Inputs'!$B$31+'Inputs'!$B$32)/1000+'Inputs'!$B$21)+'Inputs'!$B$9)/SQRT((((406-43)*MAX('Inputs'!$B$33,'Inputs'!$B$29+'Inputs'!$B$31+'Inputs'!$B$32,'Inputs'!$B$30+'Inputs'!$B$31+'Inputs'!$B$32)/1000+'Inputs'!$B$21)+'Inputs'!$B$9)^2+('Inputs'!$B$8/2)^2)-(((406-43)*MAX('Inputs'!$B$33,'Inputs'!$B$29+'Inputs'!$B$31+'Inputs'!$B$32,'Inputs'!$B$30+'Inputs'!$B$31+'Inputs'!$B$32)/1000+'Inputs'!$B$21))/SQRT((((406-43)*MAX('Inputs'!$B$33,'Inputs'!$B$29+'Inputs'!$B$31+'Inputs'!$B$32,'Inputs'!$B$30+'Inputs'!$B$31+'Inputs'!$B$32)/1000+'Inputs'!$B$21))^2+('Inputs'!$B$8/2)^2)))-'Results'!B7*(1-'Inputs'!$B$24)*(0.5*((((406-43)*MAX('Inputs'!$B$33,'Inputs'!$B$29+'Inputs'!$B$31+'Inputs'!$B$32,'Inputs'!$B$30+'Inputs'!$B$31+'Inputs'!$B$32)/1000+'Inputs'!$B$21+'Inputs'!$B$9+'Inputs'!$B$10)+'Inputs'!$B$7)/SQRT((((406-43)*MAX('Inputs'!$B$33,'Inputs'!$B$29+'Inputs'!$B$31+'Inputs'!$B$32,'Inputs'!$B$30+'Inputs'!$B$31+'Inputs'!$B$32)/1000+'Inputs'!$B$21+'Inputs'!$B$9+'Inputs'!$B$10)+'Inputs'!$B$7)^2+('Inputs'!$B$6/2)^2)-(((406-43)*MAX('Inputs'!$B$33,'Inputs'!$B$29+'Inputs'!$B$31+'Inputs'!$B$32,'Inputs'!$B$30+'Inputs'!$B$31+'Inputs'!$B$32)/1000+'Inputs'!$B$21+'Inputs'!$B$9+'Inputs'!$B$10))/SQRT((((406-43)*MAX('Inputs'!$B$33,'Inputs'!$B$29+'Inputs'!$B$31+'Inputs'!$B$32,'Inputs'!$B$30+'Inputs'!$B$31+'Inputs'!$B$32)/1000+'Inputs'!$B$21+'Inputs'!$B$9+'Inputs'!$B$10))^2+('Inputs'!$B$6/2)^2))))*'Results'!$B$8))),"")</x:f>
        <x:v>12.743140134046932</x:v>
      </x:c>
      <x:c r="P406" t="n">
        <x:f>IF(AND(MAX(J406,J405)&gt;0,J406&gt;J405+0.00000001),1,0)</x:f>
        <x:v>0</x:v>
      </x:c>
      <x:c r="Q406" t="n">
        <x:f>IF(AND(MAX(K406,K405)&gt;0,K406&gt;K405+0.00000001),1,0)</x:f>
        <x:v>0</x:v>
      </x:c>
      <x:c r="R406" t="n">
        <x:f>IF(AND(MAX(L406,L405)&gt;0,L406&gt;L405+0.00000001),1,0)</x:f>
        <x:v>0</x:v>
      </x:c>
      <x:c r="S406" t="n">
        <x:f>IF(AND(MAX(M406,M405)&gt;0,M406&gt;M405+0.00000001),1,0)</x:f>
        <x:v>0</x:v>
      </x:c>
      <x:c r="T406" t="n">
        <x:f>IF(AND(MAX(N406,N405)&gt;0,N406&gt;N405+0.00000001),1,0)</x:f>
        <x:v>0</x:v>
      </x:c>
      <x:c r="U406" t="n">
        <x:f>IF(AND(MAX(O406,O405)&gt;0,O406&gt;O405+0.00000001),1,0)</x:f>
        <x:v>0</x:v>
      </x:c>
    </x:row>
    <x:row r="407">
      <x:c r="J407" t="n">
        <x:f>IF(AND(ISNUMBER('Results'!B7),ISNUMBER('Results'!C7),ISNUMBER('Results'!$B$8),ISNUMBER('Inputs'!$B$6),ISNUMBER('Inputs'!$B$7),ISNUMBER('Inputs'!$B$8),ISNUMBER('Inputs'!$B$9),ISNUMBER('Inputs'!$B$10),ISNUMBER('Inputs'!$B$21),ISNUMBER('Inputs'!$B$24),ISNUMBER('Inputs'!$B$28)),(('Results'!B7*(0.5*((((407-43)*MAX('Inputs'!$B$33,'Inputs'!$B$29+'Inputs'!$B$31+'Inputs'!$B$32,'Inputs'!$B$30+'Inputs'!$B$31+'Inputs'!$B$32)/1000+'Inputs'!$B$21)+'Inputs'!$B$7)/SQRT((((407-43)*MAX('Inputs'!$B$33,'Inputs'!$B$29+'Inputs'!$B$31+'Inputs'!$B$32,'Inputs'!$B$30+'Inputs'!$B$31+'Inputs'!$B$32)/1000+'Inputs'!$B$21)+'Inputs'!$B$7)^2+('Inputs'!$B$6/2)^2)-(((407-43)*MAX('Inputs'!$B$33,'Inputs'!$B$29+'Inputs'!$B$31+'Inputs'!$B$32,'Inputs'!$B$30+'Inputs'!$B$31+'Inputs'!$B$32)/1000+'Inputs'!$B$21))/SQRT((((407-43)*MAX('Inputs'!$B$33,'Inputs'!$B$29+'Inputs'!$B$31+'Inputs'!$B$32,'Inputs'!$B$30+'Inputs'!$B$31+'Inputs'!$B$32)/1000+'Inputs'!$B$21))^2+('Inputs'!$B$6/2)^2)))-'Results'!C7*(0.5*((((407-43)*MAX('Inputs'!$B$33,'Inputs'!$B$29+'Inputs'!$B$31+'Inputs'!$B$32,'Inputs'!$B$30+'Inputs'!$B$31+'Inputs'!$B$32)/1000+'Inputs'!$B$21+'Inputs'!$B$7+'Inputs'!$B$10)+'Inputs'!$B$9)/SQRT((((407-43)*MAX('Inputs'!$B$33,'Inputs'!$B$29+'Inputs'!$B$31+'Inputs'!$B$32,'Inputs'!$B$30+'Inputs'!$B$31+'Inputs'!$B$32)/1000+'Inputs'!$B$21+'Inputs'!$B$7+'Inputs'!$B$10)+'Inputs'!$B$9)^2+('Inputs'!$B$8/2)^2)-(((407-43)*MAX('Inputs'!$B$33,'Inputs'!$B$29+'Inputs'!$B$31+'Inputs'!$B$32,'Inputs'!$B$30+'Inputs'!$B$31+'Inputs'!$B$32)/1000+'Inputs'!$B$21+'Inputs'!$B$7+'Inputs'!$B$10))/SQRT((((407-43)*MAX('Inputs'!$B$33,'Inputs'!$B$29+'Inputs'!$B$31+'Inputs'!$B$32,'Inputs'!$B$30+'Inputs'!$B$31+'Inputs'!$B$32)/1000+'Inputs'!$B$21+'Inputs'!$B$7+'Inputs'!$B$10))^2+('Inputs'!$B$8/2)^2))))*'Results'!$B$8),"")</x:f>
        <x:v>12.037520422285812</x:v>
      </x:c>
      <x:c r="K407" t="n">
        <x:f>IF(AND(ISNUMBER('Results'!B7),ISNUMBER('Results'!C7),ISNUMBER('Results'!$B$8),ISNUMBER('Inputs'!$B$6),ISNUMBER('Inputs'!$B$7),ISNUMBER('Inputs'!$B$8),ISNUMBER('Inputs'!$B$9),ISNUMBER('Inputs'!$B$10),ISNUMBER('Inputs'!$B$21),ISNUMBER('Inputs'!$B$24),ISNUMBER('Inputs'!$B$28)),((('Results'!B7*(1-'Inputs'!$B$24)*(0.5*((((407-43)*MAX('Inputs'!$B$33,'Inputs'!$B$29+'Inputs'!$B$31+'Inputs'!$B$32,'Inputs'!$B$30+'Inputs'!$B$31+'Inputs'!$B$32)/1000+'Inputs'!$B$21)+'Inputs'!$B$7)/SQRT((((407-43)*MAX('Inputs'!$B$33,'Inputs'!$B$29+'Inputs'!$B$31+'Inputs'!$B$32,'Inputs'!$B$30+'Inputs'!$B$31+'Inputs'!$B$32)/1000+'Inputs'!$B$21)+'Inputs'!$B$7)^2+('Inputs'!$B$6/2)^2)-(((407-43)*MAX('Inputs'!$B$33,'Inputs'!$B$29+'Inputs'!$B$31+'Inputs'!$B$32,'Inputs'!$B$30+'Inputs'!$B$31+'Inputs'!$B$32)/1000+'Inputs'!$B$21))/SQRT((((407-43)*MAX('Inputs'!$B$33,'Inputs'!$B$29+'Inputs'!$B$31+'Inputs'!$B$32,'Inputs'!$B$30+'Inputs'!$B$31+'Inputs'!$B$32)/1000+'Inputs'!$B$21))^2+('Inputs'!$B$6/2)^2)))-'Results'!C7*(1+'Inputs'!$B$24)*(0.5*((((407-43)*MAX('Inputs'!$B$33,'Inputs'!$B$29+'Inputs'!$B$31+'Inputs'!$B$32,'Inputs'!$B$30+'Inputs'!$B$31+'Inputs'!$B$32)/1000+'Inputs'!$B$21+'Inputs'!$B$7+'Inputs'!$B$10)+'Inputs'!$B$9)/SQRT((((407-43)*MAX('Inputs'!$B$33,'Inputs'!$B$29+'Inputs'!$B$31+'Inputs'!$B$32,'Inputs'!$B$30+'Inputs'!$B$31+'Inputs'!$B$32)/1000+'Inputs'!$B$21+'Inputs'!$B$7+'Inputs'!$B$10)+'Inputs'!$B$9)^2+('Inputs'!$B$8/2)^2)-(((407-43)*MAX('Inputs'!$B$33,'Inputs'!$B$29+'Inputs'!$B$31+'Inputs'!$B$32,'Inputs'!$B$30+'Inputs'!$B$31+'Inputs'!$B$32)/1000+'Inputs'!$B$21+'Inputs'!$B$7+'Inputs'!$B$10))/SQRT((((407-43)*MAX('Inputs'!$B$33,'Inputs'!$B$29+'Inputs'!$B$31+'Inputs'!$B$32,'Inputs'!$B$30+'Inputs'!$B$31+'Inputs'!$B$32)/1000+'Inputs'!$B$21+'Inputs'!$B$7+'Inputs'!$B$10))^2+('Inputs'!$B$8/2)^2))))*'Results'!$B$8)-'Inputs'!$B$28*ABS((('Results'!B7*(1-'Inputs'!$B$24)*(0.5*((((407-43)*MAX('Inputs'!$B$33,'Inputs'!$B$29+'Inputs'!$B$31+'Inputs'!$B$32,'Inputs'!$B$30+'Inputs'!$B$31+'Inputs'!$B$32)/1000+'Inputs'!$B$21)+'Inputs'!$B$7)/SQRT((((407-43)*MAX('Inputs'!$B$33,'Inputs'!$B$29+'Inputs'!$B$31+'Inputs'!$B$32,'Inputs'!$B$30+'Inputs'!$B$31+'Inputs'!$B$32)/1000+'Inputs'!$B$21)+'Inputs'!$B$7)^2+('Inputs'!$B$6/2)^2)-(((407-43)*MAX('Inputs'!$B$33,'Inputs'!$B$29+'Inputs'!$B$31+'Inputs'!$B$32,'Inputs'!$B$30+'Inputs'!$B$31+'Inputs'!$B$32)/1000+'Inputs'!$B$21))/SQRT((((407-43)*MAX('Inputs'!$B$33,'Inputs'!$B$29+'Inputs'!$B$31+'Inputs'!$B$32,'Inputs'!$B$30+'Inputs'!$B$31+'Inputs'!$B$32)/1000+'Inputs'!$B$21))^2+('Inputs'!$B$6/2)^2)))-'Results'!C7*(1+'Inputs'!$B$24)*(0.5*((((407-43)*MAX('Inputs'!$B$33,'Inputs'!$B$29+'Inputs'!$B$31+'Inputs'!$B$32,'Inputs'!$B$30+'Inputs'!$B$31+'Inputs'!$B$32)/1000+'Inputs'!$B$21+'Inputs'!$B$7+'Inputs'!$B$10)+'Inputs'!$B$9)/SQRT((((407-43)*MAX('Inputs'!$B$33,'Inputs'!$B$29+'Inputs'!$B$31+'Inputs'!$B$32,'Inputs'!$B$30+'Inputs'!$B$31+'Inputs'!$B$32)/1000+'Inputs'!$B$21+'Inputs'!$B$7+'Inputs'!$B$10)+'Inputs'!$B$9)^2+('Inputs'!$B$8/2)^2)-(((407-43)*MAX('Inputs'!$B$33,'Inputs'!$B$29+'Inputs'!$B$31+'Inputs'!$B$32,'Inputs'!$B$30+'Inputs'!$B$31+'Inputs'!$B$32)/1000+'Inputs'!$B$21+'Inputs'!$B$7+'Inputs'!$B$10))/SQRT((((407-43)*MAX('Inputs'!$B$33,'Inputs'!$B$29+'Inputs'!$B$31+'Inputs'!$B$32,'Inputs'!$B$30+'Inputs'!$B$31+'Inputs'!$B$32)/1000+'Inputs'!$B$21+'Inputs'!$B$7+'Inputs'!$B$10))^2+('Inputs'!$B$8/2)^2))))*'Results'!$B$8))),"")</x:f>
        <x:v>10.82055662418315</x:v>
      </x:c>
      <x:c r="L407" t="n">
        <x:f>IF(AND(ISNUMBER('Results'!B7),ISNUMBER('Results'!C7),ISNUMBER('Results'!$B$8),ISNUMBER('Inputs'!$B$6),ISNUMBER('Inputs'!$B$7),ISNUMBER('Inputs'!$B$8),ISNUMBER('Inputs'!$B$9),ISNUMBER('Inputs'!$B$10),ISNUMBER('Inputs'!$B$21),ISNUMBER('Inputs'!$B$24),ISNUMBER('Inputs'!$B$28)),((('Results'!B7*(1+'Inputs'!$B$24)*(0.5*((((407-43)*MAX('Inputs'!$B$33,'Inputs'!$B$29+'Inputs'!$B$31+'Inputs'!$B$32,'Inputs'!$B$30+'Inputs'!$B$31+'Inputs'!$B$32)/1000+'Inputs'!$B$21)+'Inputs'!$B$7)/SQRT((((407-43)*MAX('Inputs'!$B$33,'Inputs'!$B$29+'Inputs'!$B$31+'Inputs'!$B$32,'Inputs'!$B$30+'Inputs'!$B$31+'Inputs'!$B$32)/1000+'Inputs'!$B$21)+'Inputs'!$B$7)^2+('Inputs'!$B$6/2)^2)-(((407-43)*MAX('Inputs'!$B$33,'Inputs'!$B$29+'Inputs'!$B$31+'Inputs'!$B$32,'Inputs'!$B$30+'Inputs'!$B$31+'Inputs'!$B$32)/1000+'Inputs'!$B$21))/SQRT((((407-43)*MAX('Inputs'!$B$33,'Inputs'!$B$29+'Inputs'!$B$31+'Inputs'!$B$32,'Inputs'!$B$30+'Inputs'!$B$31+'Inputs'!$B$32)/1000+'Inputs'!$B$21))^2+('Inputs'!$B$6/2)^2)))-'Results'!C7*(1-'Inputs'!$B$24)*(0.5*((((407-43)*MAX('Inputs'!$B$33,'Inputs'!$B$29+'Inputs'!$B$31+'Inputs'!$B$32,'Inputs'!$B$30+'Inputs'!$B$31+'Inputs'!$B$32)/1000+'Inputs'!$B$21+'Inputs'!$B$7+'Inputs'!$B$10)+'Inputs'!$B$9)/SQRT((((407-43)*MAX('Inputs'!$B$33,'Inputs'!$B$29+'Inputs'!$B$31+'Inputs'!$B$32,'Inputs'!$B$30+'Inputs'!$B$31+'Inputs'!$B$32)/1000+'Inputs'!$B$21+'Inputs'!$B$7+'Inputs'!$B$10)+'Inputs'!$B$9)^2+('Inputs'!$B$8/2)^2)-(((407-43)*MAX('Inputs'!$B$33,'Inputs'!$B$29+'Inputs'!$B$31+'Inputs'!$B$32,'Inputs'!$B$30+'Inputs'!$B$31+'Inputs'!$B$32)/1000+'Inputs'!$B$21+'Inputs'!$B$7+'Inputs'!$B$10))/SQRT((((407-43)*MAX('Inputs'!$B$33,'Inputs'!$B$29+'Inputs'!$B$31+'Inputs'!$B$32,'Inputs'!$B$30+'Inputs'!$B$31+'Inputs'!$B$32)/1000+'Inputs'!$B$21+'Inputs'!$B$7+'Inputs'!$B$10))^2+('Inputs'!$B$8/2)^2))))*'Results'!$B$8)+'Inputs'!$B$28*ABS((('Results'!B7*(1+'Inputs'!$B$24)*(0.5*((((407-43)*MAX('Inputs'!$B$33,'Inputs'!$B$29+'Inputs'!$B$31+'Inputs'!$B$32,'Inputs'!$B$30+'Inputs'!$B$31+'Inputs'!$B$32)/1000+'Inputs'!$B$21)+'Inputs'!$B$7)/SQRT((((407-43)*MAX('Inputs'!$B$33,'Inputs'!$B$29+'Inputs'!$B$31+'Inputs'!$B$32,'Inputs'!$B$30+'Inputs'!$B$31+'Inputs'!$B$32)/1000+'Inputs'!$B$21)+'Inputs'!$B$7)^2+('Inputs'!$B$6/2)^2)-(((407-43)*MAX('Inputs'!$B$33,'Inputs'!$B$29+'Inputs'!$B$31+'Inputs'!$B$32,'Inputs'!$B$30+'Inputs'!$B$31+'Inputs'!$B$32)/1000+'Inputs'!$B$21))/SQRT((((407-43)*MAX('Inputs'!$B$33,'Inputs'!$B$29+'Inputs'!$B$31+'Inputs'!$B$32,'Inputs'!$B$30+'Inputs'!$B$31+'Inputs'!$B$32)/1000+'Inputs'!$B$21))^2+('Inputs'!$B$6/2)^2)))-'Results'!C7*(1-'Inputs'!$B$24)*(0.5*((((407-43)*MAX('Inputs'!$B$33,'Inputs'!$B$29+'Inputs'!$B$31+'Inputs'!$B$32,'Inputs'!$B$30+'Inputs'!$B$31+'Inputs'!$B$32)/1000+'Inputs'!$B$21+'Inputs'!$B$7+'Inputs'!$B$10)+'Inputs'!$B$9)/SQRT((((407-43)*MAX('Inputs'!$B$33,'Inputs'!$B$29+'Inputs'!$B$31+'Inputs'!$B$32,'Inputs'!$B$30+'Inputs'!$B$31+'Inputs'!$B$32)/1000+'Inputs'!$B$21+'Inputs'!$B$7+'Inputs'!$B$10)+'Inputs'!$B$9)^2+('Inputs'!$B$8/2)^2)-(((407-43)*MAX('Inputs'!$B$33,'Inputs'!$B$29+'Inputs'!$B$31+'Inputs'!$B$32,'Inputs'!$B$30+'Inputs'!$B$31+'Inputs'!$B$32)/1000+'Inputs'!$B$21+'Inputs'!$B$7+'Inputs'!$B$10))/SQRT((((407-43)*MAX('Inputs'!$B$33,'Inputs'!$B$29+'Inputs'!$B$31+'Inputs'!$B$32,'Inputs'!$B$30+'Inputs'!$B$31+'Inputs'!$B$32)/1000+'Inputs'!$B$21+'Inputs'!$B$7+'Inputs'!$B$10))^2+('Inputs'!$B$8/2)^2))))*'Results'!$B$8))),"")</x:f>
        <x:v>13.319230302176726</x:v>
      </x:c>
      <x:c r="M407" t="n">
        <x:f>IF(AND(ISNUMBER('Results'!C7),ISNUMBER('Results'!B7),ISNUMBER('Results'!$B$8),ISNUMBER('Inputs'!$B$6),ISNUMBER('Inputs'!$B$7),ISNUMBER('Inputs'!$B$8),ISNUMBER('Inputs'!$B$9),ISNUMBER('Inputs'!$B$10),ISNUMBER('Inputs'!$B$21),ISNUMBER('Inputs'!$B$24),ISNUMBER('Inputs'!$B$28)),(('Results'!C7*(0.5*((((407-43)*MAX('Inputs'!$B$33,'Inputs'!$B$29+'Inputs'!$B$31+'Inputs'!$B$32,'Inputs'!$B$30+'Inputs'!$B$31+'Inputs'!$B$32)/1000+'Inputs'!$B$21)+'Inputs'!$B$9)/SQRT((((407-43)*MAX('Inputs'!$B$33,'Inputs'!$B$29+'Inputs'!$B$31+'Inputs'!$B$32,'Inputs'!$B$30+'Inputs'!$B$31+'Inputs'!$B$32)/1000+'Inputs'!$B$21)+'Inputs'!$B$9)^2+('Inputs'!$B$8/2)^2)-(((407-43)*MAX('Inputs'!$B$33,'Inputs'!$B$29+'Inputs'!$B$31+'Inputs'!$B$32,'Inputs'!$B$30+'Inputs'!$B$31+'Inputs'!$B$32)/1000+'Inputs'!$B$21))/SQRT((((407-43)*MAX('Inputs'!$B$33,'Inputs'!$B$29+'Inputs'!$B$31+'Inputs'!$B$32,'Inputs'!$B$30+'Inputs'!$B$31+'Inputs'!$B$32)/1000+'Inputs'!$B$21))^2+('Inputs'!$B$8/2)^2)))-'Results'!B7*(0.5*((((407-43)*MAX('Inputs'!$B$33,'Inputs'!$B$29+'Inputs'!$B$31+'Inputs'!$B$32,'Inputs'!$B$30+'Inputs'!$B$31+'Inputs'!$B$32)/1000+'Inputs'!$B$21+'Inputs'!$B$9+'Inputs'!$B$10)+'Inputs'!$B$7)/SQRT((((407-43)*MAX('Inputs'!$B$33,'Inputs'!$B$29+'Inputs'!$B$31+'Inputs'!$B$32,'Inputs'!$B$30+'Inputs'!$B$31+'Inputs'!$B$32)/1000+'Inputs'!$B$21+'Inputs'!$B$9+'Inputs'!$B$10)+'Inputs'!$B$7)^2+('Inputs'!$B$6/2)^2)-(((407-43)*MAX('Inputs'!$B$33,'Inputs'!$B$29+'Inputs'!$B$31+'Inputs'!$B$32,'Inputs'!$B$30+'Inputs'!$B$31+'Inputs'!$B$32)/1000+'Inputs'!$B$21+'Inputs'!$B$9+'Inputs'!$B$10))/SQRT((((407-43)*MAX('Inputs'!$B$33,'Inputs'!$B$29+'Inputs'!$B$31+'Inputs'!$B$32,'Inputs'!$B$30+'Inputs'!$B$31+'Inputs'!$B$32)/1000+'Inputs'!$B$21+'Inputs'!$B$9+'Inputs'!$B$10))^2+('Inputs'!$B$6/2)^2))))*'Results'!$B$8),"")</x:f>
        <x:v>11.385909498184573</x:v>
      </x:c>
      <x:c r="N407" t="n">
        <x:f>IF(AND(ISNUMBER('Results'!C7),ISNUMBER('Results'!B7),ISNUMBER('Results'!$B$8),ISNUMBER('Inputs'!$B$6),ISNUMBER('Inputs'!$B$7),ISNUMBER('Inputs'!$B$8),ISNUMBER('Inputs'!$B$9),ISNUMBER('Inputs'!$B$10),ISNUMBER('Inputs'!$B$21),ISNUMBER('Inputs'!$B$24),ISNUMBER('Inputs'!$B$28)),((('Results'!C7*(1-'Inputs'!$B$24)*(0.5*((((407-43)*MAX('Inputs'!$B$33,'Inputs'!$B$29+'Inputs'!$B$31+'Inputs'!$B$32,'Inputs'!$B$30+'Inputs'!$B$31+'Inputs'!$B$32)/1000+'Inputs'!$B$21)+'Inputs'!$B$9)/SQRT((((407-43)*MAX('Inputs'!$B$33,'Inputs'!$B$29+'Inputs'!$B$31+'Inputs'!$B$32,'Inputs'!$B$30+'Inputs'!$B$31+'Inputs'!$B$32)/1000+'Inputs'!$B$21)+'Inputs'!$B$9)^2+('Inputs'!$B$8/2)^2)-(((407-43)*MAX('Inputs'!$B$33,'Inputs'!$B$29+'Inputs'!$B$31+'Inputs'!$B$32,'Inputs'!$B$30+'Inputs'!$B$31+'Inputs'!$B$32)/1000+'Inputs'!$B$21))/SQRT((((407-43)*MAX('Inputs'!$B$33,'Inputs'!$B$29+'Inputs'!$B$31+'Inputs'!$B$32,'Inputs'!$B$30+'Inputs'!$B$31+'Inputs'!$B$32)/1000+'Inputs'!$B$21))^2+('Inputs'!$B$8/2)^2)))-'Results'!B7*(1+'Inputs'!$B$24)*(0.5*((((407-43)*MAX('Inputs'!$B$33,'Inputs'!$B$29+'Inputs'!$B$31+'Inputs'!$B$32,'Inputs'!$B$30+'Inputs'!$B$31+'Inputs'!$B$32)/1000+'Inputs'!$B$21+'Inputs'!$B$9+'Inputs'!$B$10)+'Inputs'!$B$7)/SQRT((((407-43)*MAX('Inputs'!$B$33,'Inputs'!$B$29+'Inputs'!$B$31+'Inputs'!$B$32,'Inputs'!$B$30+'Inputs'!$B$31+'Inputs'!$B$32)/1000+'Inputs'!$B$21+'Inputs'!$B$9+'Inputs'!$B$10)+'Inputs'!$B$7)^2+('Inputs'!$B$6/2)^2)-(((407-43)*MAX('Inputs'!$B$33,'Inputs'!$B$29+'Inputs'!$B$31+'Inputs'!$B$32,'Inputs'!$B$30+'Inputs'!$B$31+'Inputs'!$B$32)/1000+'Inputs'!$B$21+'Inputs'!$B$9+'Inputs'!$B$10))/SQRT((((407-43)*MAX('Inputs'!$B$33,'Inputs'!$B$29+'Inputs'!$B$31+'Inputs'!$B$32,'Inputs'!$B$30+'Inputs'!$B$31+'Inputs'!$B$32)/1000+'Inputs'!$B$21+'Inputs'!$B$9+'Inputs'!$B$10))^2+('Inputs'!$B$6/2)^2))))*'Results'!$B$8)-'Inputs'!$B$28*ABS((('Results'!C7*(1-'Inputs'!$B$24)*(0.5*((((407-43)*MAX('Inputs'!$B$33,'Inputs'!$B$29+'Inputs'!$B$31+'Inputs'!$B$32,'Inputs'!$B$30+'Inputs'!$B$31+'Inputs'!$B$32)/1000+'Inputs'!$B$21)+'Inputs'!$B$9)/SQRT((((407-43)*MAX('Inputs'!$B$33,'Inputs'!$B$29+'Inputs'!$B$31+'Inputs'!$B$32,'Inputs'!$B$30+'Inputs'!$B$31+'Inputs'!$B$32)/1000+'Inputs'!$B$21)+'Inputs'!$B$9)^2+('Inputs'!$B$8/2)^2)-(((407-43)*MAX('Inputs'!$B$33,'Inputs'!$B$29+'Inputs'!$B$31+'Inputs'!$B$32,'Inputs'!$B$30+'Inputs'!$B$31+'Inputs'!$B$32)/1000+'Inputs'!$B$21))/SQRT((((407-43)*MAX('Inputs'!$B$33,'Inputs'!$B$29+'Inputs'!$B$31+'Inputs'!$B$32,'Inputs'!$B$30+'Inputs'!$B$31+'Inputs'!$B$32)/1000+'Inputs'!$B$21))^2+('Inputs'!$B$8/2)^2)))-'Results'!B7*(1+'Inputs'!$B$24)*(0.5*((((407-43)*MAX('Inputs'!$B$33,'Inputs'!$B$29+'Inputs'!$B$31+'Inputs'!$B$32,'Inputs'!$B$30+'Inputs'!$B$31+'Inputs'!$B$32)/1000+'Inputs'!$B$21+'Inputs'!$B$9+'Inputs'!$B$10)+'Inputs'!$B$7)/SQRT((((407-43)*MAX('Inputs'!$B$33,'Inputs'!$B$29+'Inputs'!$B$31+'Inputs'!$B$32,'Inputs'!$B$30+'Inputs'!$B$31+'Inputs'!$B$32)/1000+'Inputs'!$B$21+'Inputs'!$B$9+'Inputs'!$B$10)+'Inputs'!$B$7)^2+('Inputs'!$B$6/2)^2)-(((407-43)*MAX('Inputs'!$B$33,'Inputs'!$B$29+'Inputs'!$B$31+'Inputs'!$B$32,'Inputs'!$B$30+'Inputs'!$B$31+'Inputs'!$B$32)/1000+'Inputs'!$B$21+'Inputs'!$B$9+'Inputs'!$B$10))/SQRT((((407-43)*MAX('Inputs'!$B$33,'Inputs'!$B$29+'Inputs'!$B$31+'Inputs'!$B$32,'Inputs'!$B$30+'Inputs'!$B$31+'Inputs'!$B$32)/1000+'Inputs'!$B$21+'Inputs'!$B$9+'Inputs'!$B$10))^2+('Inputs'!$B$6/2)^2))))*'Results'!$B$8))),"")</x:f>
        <x:v>10.20602165202928</x:v>
      </x:c>
      <x:c r="O407" t="n">
        <x:f>IF(AND(ISNUMBER('Results'!C7),ISNUMBER('Results'!B7),ISNUMBER('Results'!$B$8),ISNUMBER('Inputs'!$B$6),ISNUMBER('Inputs'!$B$7),ISNUMBER('Inputs'!$B$8),ISNUMBER('Inputs'!$B$9),ISNUMBER('Inputs'!$B$10),ISNUMBER('Inputs'!$B$21),ISNUMBER('Inputs'!$B$24),ISNUMBER('Inputs'!$B$28)),((('Results'!C7*(1+'Inputs'!$B$24)*(0.5*((((407-43)*MAX('Inputs'!$B$33,'Inputs'!$B$29+'Inputs'!$B$31+'Inputs'!$B$32,'Inputs'!$B$30+'Inputs'!$B$31+'Inputs'!$B$32)/1000+'Inputs'!$B$21)+'Inputs'!$B$9)/SQRT((((407-43)*MAX('Inputs'!$B$33,'Inputs'!$B$29+'Inputs'!$B$31+'Inputs'!$B$32,'Inputs'!$B$30+'Inputs'!$B$31+'Inputs'!$B$32)/1000+'Inputs'!$B$21)+'Inputs'!$B$9)^2+('Inputs'!$B$8/2)^2)-(((407-43)*MAX('Inputs'!$B$33,'Inputs'!$B$29+'Inputs'!$B$31+'Inputs'!$B$32,'Inputs'!$B$30+'Inputs'!$B$31+'Inputs'!$B$32)/1000+'Inputs'!$B$21))/SQRT((((407-43)*MAX('Inputs'!$B$33,'Inputs'!$B$29+'Inputs'!$B$31+'Inputs'!$B$32,'Inputs'!$B$30+'Inputs'!$B$31+'Inputs'!$B$32)/1000+'Inputs'!$B$21))^2+('Inputs'!$B$8/2)^2)))-'Results'!B7*(1-'Inputs'!$B$24)*(0.5*((((407-43)*MAX('Inputs'!$B$33,'Inputs'!$B$29+'Inputs'!$B$31+'Inputs'!$B$32,'Inputs'!$B$30+'Inputs'!$B$31+'Inputs'!$B$32)/1000+'Inputs'!$B$21+'Inputs'!$B$9+'Inputs'!$B$10)+'Inputs'!$B$7)/SQRT((((407-43)*MAX('Inputs'!$B$33,'Inputs'!$B$29+'Inputs'!$B$31+'Inputs'!$B$32,'Inputs'!$B$30+'Inputs'!$B$31+'Inputs'!$B$32)/1000+'Inputs'!$B$21+'Inputs'!$B$9+'Inputs'!$B$10)+'Inputs'!$B$7)^2+('Inputs'!$B$6/2)^2)-(((407-43)*MAX('Inputs'!$B$33,'Inputs'!$B$29+'Inputs'!$B$31+'Inputs'!$B$32,'Inputs'!$B$30+'Inputs'!$B$31+'Inputs'!$B$32)/1000+'Inputs'!$B$21+'Inputs'!$B$9+'Inputs'!$B$10))/SQRT((((407-43)*MAX('Inputs'!$B$33,'Inputs'!$B$29+'Inputs'!$B$31+'Inputs'!$B$32,'Inputs'!$B$30+'Inputs'!$B$31+'Inputs'!$B$32)/1000+'Inputs'!$B$21+'Inputs'!$B$9+'Inputs'!$B$10))^2+('Inputs'!$B$6/2)^2))))*'Results'!$B$8)+'Inputs'!$B$28*ABS((('Results'!C7*(1+'Inputs'!$B$24)*(0.5*((((407-43)*MAX('Inputs'!$B$33,'Inputs'!$B$29+'Inputs'!$B$31+'Inputs'!$B$32,'Inputs'!$B$30+'Inputs'!$B$31+'Inputs'!$B$32)/1000+'Inputs'!$B$21)+'Inputs'!$B$9)/SQRT((((407-43)*MAX('Inputs'!$B$33,'Inputs'!$B$29+'Inputs'!$B$31+'Inputs'!$B$32,'Inputs'!$B$30+'Inputs'!$B$31+'Inputs'!$B$32)/1000+'Inputs'!$B$21)+'Inputs'!$B$9)^2+('Inputs'!$B$8/2)^2)-(((407-43)*MAX('Inputs'!$B$33,'Inputs'!$B$29+'Inputs'!$B$31+'Inputs'!$B$32,'Inputs'!$B$30+'Inputs'!$B$31+'Inputs'!$B$32)/1000+'Inputs'!$B$21))/SQRT((((407-43)*MAX('Inputs'!$B$33,'Inputs'!$B$29+'Inputs'!$B$31+'Inputs'!$B$32,'Inputs'!$B$30+'Inputs'!$B$31+'Inputs'!$B$32)/1000+'Inputs'!$B$21))^2+('Inputs'!$B$8/2)^2)))-'Results'!B7*(1-'Inputs'!$B$24)*(0.5*((((407-43)*MAX('Inputs'!$B$33,'Inputs'!$B$29+'Inputs'!$B$31+'Inputs'!$B$32,'Inputs'!$B$30+'Inputs'!$B$31+'Inputs'!$B$32)/1000+'Inputs'!$B$21+'Inputs'!$B$9+'Inputs'!$B$10)+'Inputs'!$B$7)/SQRT((((407-43)*MAX('Inputs'!$B$33,'Inputs'!$B$29+'Inputs'!$B$31+'Inputs'!$B$32,'Inputs'!$B$30+'Inputs'!$B$31+'Inputs'!$B$32)/1000+'Inputs'!$B$21+'Inputs'!$B$9+'Inputs'!$B$10)+'Inputs'!$B$7)^2+('Inputs'!$B$6/2)^2)-(((407-43)*MAX('Inputs'!$B$33,'Inputs'!$B$29+'Inputs'!$B$31+'Inputs'!$B$32,'Inputs'!$B$30+'Inputs'!$B$31+'Inputs'!$B$32)/1000+'Inputs'!$B$21+'Inputs'!$B$9+'Inputs'!$B$10))/SQRT((((407-43)*MAX('Inputs'!$B$33,'Inputs'!$B$29+'Inputs'!$B$31+'Inputs'!$B$32,'Inputs'!$B$30+'Inputs'!$B$31+'Inputs'!$B$32)/1000+'Inputs'!$B$21+'Inputs'!$B$9+'Inputs'!$B$10))^2+('Inputs'!$B$6/2)^2))))*'Results'!$B$8))),"")</x:f>
        <x:v>12.63007022552366</x:v>
      </x:c>
      <x:c r="P407" t="n">
        <x:f>IF(AND(MAX(J407,J406)&gt;0,J407&gt;J406+0.00000001),1,0)</x:f>
        <x:v>0</x:v>
      </x:c>
      <x:c r="Q407" t="n">
        <x:f>IF(AND(MAX(K407,K406)&gt;0,K407&gt;K406+0.00000001),1,0)</x:f>
        <x:v>0</x:v>
      </x:c>
      <x:c r="R407" t="n">
        <x:f>IF(AND(MAX(L407,L406)&gt;0,L407&gt;L406+0.00000001),1,0)</x:f>
        <x:v>0</x:v>
      </x:c>
      <x:c r="S407" t="n">
        <x:f>IF(AND(MAX(M407,M406)&gt;0,M407&gt;M406+0.00000001),1,0)</x:f>
        <x:v>0</x:v>
      </x:c>
      <x:c r="T407" t="n">
        <x:f>IF(AND(MAX(N407,N406)&gt;0,N407&gt;N406+0.00000001),1,0)</x:f>
        <x:v>0</x:v>
      </x:c>
      <x:c r="U407" t="n">
        <x:f>IF(AND(MAX(O407,O406)&gt;0,O407&gt;O406+0.00000001),1,0)</x:f>
        <x:v>0</x:v>
      </x:c>
    </x:row>
    <x:row r="408">
      <x:c r="J408" t="n">
        <x:f>IF(AND(ISNUMBER('Results'!B7),ISNUMBER('Results'!C7),ISNUMBER('Results'!$B$8),ISNUMBER('Inputs'!$B$6),ISNUMBER('Inputs'!$B$7),ISNUMBER('Inputs'!$B$8),ISNUMBER('Inputs'!$B$9),ISNUMBER('Inputs'!$B$10),ISNUMBER('Inputs'!$B$21),ISNUMBER('Inputs'!$B$24),ISNUMBER('Inputs'!$B$28)),(('Results'!B7*(0.5*((((408-43)*MAX('Inputs'!$B$33,'Inputs'!$B$29+'Inputs'!$B$31+'Inputs'!$B$32,'Inputs'!$B$30+'Inputs'!$B$31+'Inputs'!$B$32)/1000+'Inputs'!$B$21)+'Inputs'!$B$7)/SQRT((((408-43)*MAX('Inputs'!$B$33,'Inputs'!$B$29+'Inputs'!$B$31+'Inputs'!$B$32,'Inputs'!$B$30+'Inputs'!$B$31+'Inputs'!$B$32)/1000+'Inputs'!$B$21)+'Inputs'!$B$7)^2+('Inputs'!$B$6/2)^2)-(((408-43)*MAX('Inputs'!$B$33,'Inputs'!$B$29+'Inputs'!$B$31+'Inputs'!$B$32,'Inputs'!$B$30+'Inputs'!$B$31+'Inputs'!$B$32)/1000+'Inputs'!$B$21))/SQRT((((408-43)*MAX('Inputs'!$B$33,'Inputs'!$B$29+'Inputs'!$B$31+'Inputs'!$B$32,'Inputs'!$B$30+'Inputs'!$B$31+'Inputs'!$B$32)/1000+'Inputs'!$B$21))^2+('Inputs'!$B$6/2)^2)))-'Results'!C7*(0.5*((((408-43)*MAX('Inputs'!$B$33,'Inputs'!$B$29+'Inputs'!$B$31+'Inputs'!$B$32,'Inputs'!$B$30+'Inputs'!$B$31+'Inputs'!$B$32)/1000+'Inputs'!$B$21+'Inputs'!$B$7+'Inputs'!$B$10)+'Inputs'!$B$9)/SQRT((((408-43)*MAX('Inputs'!$B$33,'Inputs'!$B$29+'Inputs'!$B$31+'Inputs'!$B$32,'Inputs'!$B$30+'Inputs'!$B$31+'Inputs'!$B$32)/1000+'Inputs'!$B$21+'Inputs'!$B$7+'Inputs'!$B$10)+'Inputs'!$B$9)^2+('Inputs'!$B$8/2)^2)-(((408-43)*MAX('Inputs'!$B$33,'Inputs'!$B$29+'Inputs'!$B$31+'Inputs'!$B$32,'Inputs'!$B$30+'Inputs'!$B$31+'Inputs'!$B$32)/1000+'Inputs'!$B$21+'Inputs'!$B$7+'Inputs'!$B$10))/SQRT((((408-43)*MAX('Inputs'!$B$33,'Inputs'!$B$29+'Inputs'!$B$31+'Inputs'!$B$32,'Inputs'!$B$30+'Inputs'!$B$31+'Inputs'!$B$32)/1000+'Inputs'!$B$21+'Inputs'!$B$7+'Inputs'!$B$10))^2+('Inputs'!$B$8/2)^2))))*'Results'!$B$8),"")</x:f>
        <x:v>11.930958347121877</x:v>
      </x:c>
      <x:c r="K408" t="n">
        <x:f>IF(AND(ISNUMBER('Results'!B7),ISNUMBER('Results'!C7),ISNUMBER('Results'!$B$8),ISNUMBER('Inputs'!$B$6),ISNUMBER('Inputs'!$B$7),ISNUMBER('Inputs'!$B$8),ISNUMBER('Inputs'!$B$9),ISNUMBER('Inputs'!$B$10),ISNUMBER('Inputs'!$B$21),ISNUMBER('Inputs'!$B$24),ISNUMBER('Inputs'!$B$28)),((('Results'!B7*(1-'Inputs'!$B$24)*(0.5*((((408-43)*MAX('Inputs'!$B$33,'Inputs'!$B$29+'Inputs'!$B$31+'Inputs'!$B$32,'Inputs'!$B$30+'Inputs'!$B$31+'Inputs'!$B$32)/1000+'Inputs'!$B$21)+'Inputs'!$B$7)/SQRT((((408-43)*MAX('Inputs'!$B$33,'Inputs'!$B$29+'Inputs'!$B$31+'Inputs'!$B$32,'Inputs'!$B$30+'Inputs'!$B$31+'Inputs'!$B$32)/1000+'Inputs'!$B$21)+'Inputs'!$B$7)^2+('Inputs'!$B$6/2)^2)-(((408-43)*MAX('Inputs'!$B$33,'Inputs'!$B$29+'Inputs'!$B$31+'Inputs'!$B$32,'Inputs'!$B$30+'Inputs'!$B$31+'Inputs'!$B$32)/1000+'Inputs'!$B$21))/SQRT((((408-43)*MAX('Inputs'!$B$33,'Inputs'!$B$29+'Inputs'!$B$31+'Inputs'!$B$32,'Inputs'!$B$30+'Inputs'!$B$31+'Inputs'!$B$32)/1000+'Inputs'!$B$21))^2+('Inputs'!$B$6/2)^2)))-'Results'!C7*(1+'Inputs'!$B$24)*(0.5*((((408-43)*MAX('Inputs'!$B$33,'Inputs'!$B$29+'Inputs'!$B$31+'Inputs'!$B$32,'Inputs'!$B$30+'Inputs'!$B$31+'Inputs'!$B$32)/1000+'Inputs'!$B$21+'Inputs'!$B$7+'Inputs'!$B$10)+'Inputs'!$B$9)/SQRT((((408-43)*MAX('Inputs'!$B$33,'Inputs'!$B$29+'Inputs'!$B$31+'Inputs'!$B$32,'Inputs'!$B$30+'Inputs'!$B$31+'Inputs'!$B$32)/1000+'Inputs'!$B$21+'Inputs'!$B$7+'Inputs'!$B$10)+'Inputs'!$B$9)^2+('Inputs'!$B$8/2)^2)-(((408-43)*MAX('Inputs'!$B$33,'Inputs'!$B$29+'Inputs'!$B$31+'Inputs'!$B$32,'Inputs'!$B$30+'Inputs'!$B$31+'Inputs'!$B$32)/1000+'Inputs'!$B$21+'Inputs'!$B$7+'Inputs'!$B$10))/SQRT((((408-43)*MAX('Inputs'!$B$33,'Inputs'!$B$29+'Inputs'!$B$31+'Inputs'!$B$32,'Inputs'!$B$30+'Inputs'!$B$31+'Inputs'!$B$32)/1000+'Inputs'!$B$21+'Inputs'!$B$7+'Inputs'!$B$10))^2+('Inputs'!$B$8/2)^2))))*'Results'!$B$8)-'Inputs'!$B$28*ABS((('Results'!B7*(1-'Inputs'!$B$24)*(0.5*((((408-43)*MAX('Inputs'!$B$33,'Inputs'!$B$29+'Inputs'!$B$31+'Inputs'!$B$32,'Inputs'!$B$30+'Inputs'!$B$31+'Inputs'!$B$32)/1000+'Inputs'!$B$21)+'Inputs'!$B$7)/SQRT((((408-43)*MAX('Inputs'!$B$33,'Inputs'!$B$29+'Inputs'!$B$31+'Inputs'!$B$32,'Inputs'!$B$30+'Inputs'!$B$31+'Inputs'!$B$32)/1000+'Inputs'!$B$21)+'Inputs'!$B$7)^2+('Inputs'!$B$6/2)^2)-(((408-43)*MAX('Inputs'!$B$33,'Inputs'!$B$29+'Inputs'!$B$31+'Inputs'!$B$32,'Inputs'!$B$30+'Inputs'!$B$31+'Inputs'!$B$32)/1000+'Inputs'!$B$21))/SQRT((((408-43)*MAX('Inputs'!$B$33,'Inputs'!$B$29+'Inputs'!$B$31+'Inputs'!$B$32,'Inputs'!$B$30+'Inputs'!$B$31+'Inputs'!$B$32)/1000+'Inputs'!$B$21))^2+('Inputs'!$B$6/2)^2)))-'Results'!C7*(1+'Inputs'!$B$24)*(0.5*((((408-43)*MAX('Inputs'!$B$33,'Inputs'!$B$29+'Inputs'!$B$31+'Inputs'!$B$32,'Inputs'!$B$30+'Inputs'!$B$31+'Inputs'!$B$32)/1000+'Inputs'!$B$21+'Inputs'!$B$7+'Inputs'!$B$10)+'Inputs'!$B$9)/SQRT((((408-43)*MAX('Inputs'!$B$33,'Inputs'!$B$29+'Inputs'!$B$31+'Inputs'!$B$32,'Inputs'!$B$30+'Inputs'!$B$31+'Inputs'!$B$32)/1000+'Inputs'!$B$21+'Inputs'!$B$7+'Inputs'!$B$10)+'Inputs'!$B$9)^2+('Inputs'!$B$8/2)^2)-(((408-43)*MAX('Inputs'!$B$33,'Inputs'!$B$29+'Inputs'!$B$31+'Inputs'!$B$32,'Inputs'!$B$30+'Inputs'!$B$31+'Inputs'!$B$32)/1000+'Inputs'!$B$21+'Inputs'!$B$7+'Inputs'!$B$10))/SQRT((((408-43)*MAX('Inputs'!$B$33,'Inputs'!$B$29+'Inputs'!$B$31+'Inputs'!$B$32,'Inputs'!$B$30+'Inputs'!$B$31+'Inputs'!$B$32)/1000+'Inputs'!$B$21+'Inputs'!$B$7+'Inputs'!$B$10))^2+('Inputs'!$B$8/2)^2))))*'Results'!$B$8))),"")</x:f>
        <x:v>10.723610490776784</x:v>
      </x:c>
      <x:c r="L408" t="n">
        <x:f>IF(AND(ISNUMBER('Results'!B7),ISNUMBER('Results'!C7),ISNUMBER('Results'!$B$8),ISNUMBER('Inputs'!$B$6),ISNUMBER('Inputs'!$B$7),ISNUMBER('Inputs'!$B$8),ISNUMBER('Inputs'!$B$9),ISNUMBER('Inputs'!$B$10),ISNUMBER('Inputs'!$B$21),ISNUMBER('Inputs'!$B$24),ISNUMBER('Inputs'!$B$28)),((('Results'!B7*(1+'Inputs'!$B$24)*(0.5*((((408-43)*MAX('Inputs'!$B$33,'Inputs'!$B$29+'Inputs'!$B$31+'Inputs'!$B$32,'Inputs'!$B$30+'Inputs'!$B$31+'Inputs'!$B$32)/1000+'Inputs'!$B$21)+'Inputs'!$B$7)/SQRT((((408-43)*MAX('Inputs'!$B$33,'Inputs'!$B$29+'Inputs'!$B$31+'Inputs'!$B$32,'Inputs'!$B$30+'Inputs'!$B$31+'Inputs'!$B$32)/1000+'Inputs'!$B$21)+'Inputs'!$B$7)^2+('Inputs'!$B$6/2)^2)-(((408-43)*MAX('Inputs'!$B$33,'Inputs'!$B$29+'Inputs'!$B$31+'Inputs'!$B$32,'Inputs'!$B$30+'Inputs'!$B$31+'Inputs'!$B$32)/1000+'Inputs'!$B$21))/SQRT((((408-43)*MAX('Inputs'!$B$33,'Inputs'!$B$29+'Inputs'!$B$31+'Inputs'!$B$32,'Inputs'!$B$30+'Inputs'!$B$31+'Inputs'!$B$32)/1000+'Inputs'!$B$21))^2+('Inputs'!$B$6/2)^2)))-'Results'!C7*(1-'Inputs'!$B$24)*(0.5*((((408-43)*MAX('Inputs'!$B$33,'Inputs'!$B$29+'Inputs'!$B$31+'Inputs'!$B$32,'Inputs'!$B$30+'Inputs'!$B$31+'Inputs'!$B$32)/1000+'Inputs'!$B$21+'Inputs'!$B$7+'Inputs'!$B$10)+'Inputs'!$B$9)/SQRT((((408-43)*MAX('Inputs'!$B$33,'Inputs'!$B$29+'Inputs'!$B$31+'Inputs'!$B$32,'Inputs'!$B$30+'Inputs'!$B$31+'Inputs'!$B$32)/1000+'Inputs'!$B$21+'Inputs'!$B$7+'Inputs'!$B$10)+'Inputs'!$B$9)^2+('Inputs'!$B$8/2)^2)-(((408-43)*MAX('Inputs'!$B$33,'Inputs'!$B$29+'Inputs'!$B$31+'Inputs'!$B$32,'Inputs'!$B$30+'Inputs'!$B$31+'Inputs'!$B$32)/1000+'Inputs'!$B$21+'Inputs'!$B$7+'Inputs'!$B$10))/SQRT((((408-43)*MAX('Inputs'!$B$33,'Inputs'!$B$29+'Inputs'!$B$31+'Inputs'!$B$32,'Inputs'!$B$30+'Inputs'!$B$31+'Inputs'!$B$32)/1000+'Inputs'!$B$21+'Inputs'!$B$7+'Inputs'!$B$10))^2+('Inputs'!$B$8/2)^2))))*'Results'!$B$8)+'Inputs'!$B$28*ABS((('Results'!B7*(1+'Inputs'!$B$24)*(0.5*((((408-43)*MAX('Inputs'!$B$33,'Inputs'!$B$29+'Inputs'!$B$31+'Inputs'!$B$32,'Inputs'!$B$30+'Inputs'!$B$31+'Inputs'!$B$32)/1000+'Inputs'!$B$21)+'Inputs'!$B$7)/SQRT((((408-43)*MAX('Inputs'!$B$33,'Inputs'!$B$29+'Inputs'!$B$31+'Inputs'!$B$32,'Inputs'!$B$30+'Inputs'!$B$31+'Inputs'!$B$32)/1000+'Inputs'!$B$21)+'Inputs'!$B$7)^2+('Inputs'!$B$6/2)^2)-(((408-43)*MAX('Inputs'!$B$33,'Inputs'!$B$29+'Inputs'!$B$31+'Inputs'!$B$32,'Inputs'!$B$30+'Inputs'!$B$31+'Inputs'!$B$32)/1000+'Inputs'!$B$21))/SQRT((((408-43)*MAX('Inputs'!$B$33,'Inputs'!$B$29+'Inputs'!$B$31+'Inputs'!$B$32,'Inputs'!$B$30+'Inputs'!$B$31+'Inputs'!$B$32)/1000+'Inputs'!$B$21))^2+('Inputs'!$B$6/2)^2)))-'Results'!C7*(1-'Inputs'!$B$24)*(0.5*((((408-43)*MAX('Inputs'!$B$33,'Inputs'!$B$29+'Inputs'!$B$31+'Inputs'!$B$32,'Inputs'!$B$30+'Inputs'!$B$31+'Inputs'!$B$32)/1000+'Inputs'!$B$21+'Inputs'!$B$7+'Inputs'!$B$10)+'Inputs'!$B$9)/SQRT((((408-43)*MAX('Inputs'!$B$33,'Inputs'!$B$29+'Inputs'!$B$31+'Inputs'!$B$32,'Inputs'!$B$30+'Inputs'!$B$31+'Inputs'!$B$32)/1000+'Inputs'!$B$21+'Inputs'!$B$7+'Inputs'!$B$10)+'Inputs'!$B$9)^2+('Inputs'!$B$8/2)^2)-(((408-43)*MAX('Inputs'!$B$33,'Inputs'!$B$29+'Inputs'!$B$31+'Inputs'!$B$32,'Inputs'!$B$30+'Inputs'!$B$31+'Inputs'!$B$32)/1000+'Inputs'!$B$21+'Inputs'!$B$7+'Inputs'!$B$10))/SQRT((((408-43)*MAX('Inputs'!$B$33,'Inputs'!$B$29+'Inputs'!$B$31+'Inputs'!$B$32,'Inputs'!$B$30+'Inputs'!$B$31+'Inputs'!$B$32)/1000+'Inputs'!$B$21+'Inputs'!$B$7+'Inputs'!$B$10))^2+('Inputs'!$B$8/2)^2))))*'Results'!$B$8))),"")</x:f>
        <x:v>13.20260093388687</x:v>
      </x:c>
      <x:c r="M408" t="n">
        <x:f>IF(AND(ISNUMBER('Results'!C7),ISNUMBER('Results'!B7),ISNUMBER('Results'!$B$8),ISNUMBER('Inputs'!$B$6),ISNUMBER('Inputs'!$B$7),ISNUMBER('Inputs'!$B$8),ISNUMBER('Inputs'!$B$9),ISNUMBER('Inputs'!$B$10),ISNUMBER('Inputs'!$B$21),ISNUMBER('Inputs'!$B$24),ISNUMBER('Inputs'!$B$28)),(('Results'!C7*(0.5*((((408-43)*MAX('Inputs'!$B$33,'Inputs'!$B$29+'Inputs'!$B$31+'Inputs'!$B$32,'Inputs'!$B$30+'Inputs'!$B$31+'Inputs'!$B$32)/1000+'Inputs'!$B$21)+'Inputs'!$B$9)/SQRT((((408-43)*MAX('Inputs'!$B$33,'Inputs'!$B$29+'Inputs'!$B$31+'Inputs'!$B$32,'Inputs'!$B$30+'Inputs'!$B$31+'Inputs'!$B$32)/1000+'Inputs'!$B$21)+'Inputs'!$B$9)^2+('Inputs'!$B$8/2)^2)-(((408-43)*MAX('Inputs'!$B$33,'Inputs'!$B$29+'Inputs'!$B$31+'Inputs'!$B$32,'Inputs'!$B$30+'Inputs'!$B$31+'Inputs'!$B$32)/1000+'Inputs'!$B$21))/SQRT((((408-43)*MAX('Inputs'!$B$33,'Inputs'!$B$29+'Inputs'!$B$31+'Inputs'!$B$32,'Inputs'!$B$30+'Inputs'!$B$31+'Inputs'!$B$32)/1000+'Inputs'!$B$21))^2+('Inputs'!$B$8/2)^2)))-'Results'!B7*(0.5*((((408-43)*MAX('Inputs'!$B$33,'Inputs'!$B$29+'Inputs'!$B$31+'Inputs'!$B$32,'Inputs'!$B$30+'Inputs'!$B$31+'Inputs'!$B$32)/1000+'Inputs'!$B$21+'Inputs'!$B$9+'Inputs'!$B$10)+'Inputs'!$B$7)/SQRT((((408-43)*MAX('Inputs'!$B$33,'Inputs'!$B$29+'Inputs'!$B$31+'Inputs'!$B$32,'Inputs'!$B$30+'Inputs'!$B$31+'Inputs'!$B$32)/1000+'Inputs'!$B$21+'Inputs'!$B$9+'Inputs'!$B$10)+'Inputs'!$B$7)^2+('Inputs'!$B$6/2)^2)-(((408-43)*MAX('Inputs'!$B$33,'Inputs'!$B$29+'Inputs'!$B$31+'Inputs'!$B$32,'Inputs'!$B$30+'Inputs'!$B$31+'Inputs'!$B$32)/1000+'Inputs'!$B$21+'Inputs'!$B$9+'Inputs'!$B$10))/SQRT((((408-43)*MAX('Inputs'!$B$33,'Inputs'!$B$29+'Inputs'!$B$31+'Inputs'!$B$32,'Inputs'!$B$30+'Inputs'!$B$31+'Inputs'!$B$32)/1000+'Inputs'!$B$21+'Inputs'!$B$9+'Inputs'!$B$10))^2+('Inputs'!$B$6/2)^2))))*'Results'!$B$8),"")</x:f>
        <x:v>11.283885245603987</x:v>
      </x:c>
      <x:c r="N408" t="n">
        <x:f>IF(AND(ISNUMBER('Results'!C7),ISNUMBER('Results'!B7),ISNUMBER('Results'!$B$8),ISNUMBER('Inputs'!$B$6),ISNUMBER('Inputs'!$B$7),ISNUMBER('Inputs'!$B$8),ISNUMBER('Inputs'!$B$9),ISNUMBER('Inputs'!$B$10),ISNUMBER('Inputs'!$B$21),ISNUMBER('Inputs'!$B$24),ISNUMBER('Inputs'!$B$28)),((('Results'!C7*(1-'Inputs'!$B$24)*(0.5*((((408-43)*MAX('Inputs'!$B$33,'Inputs'!$B$29+'Inputs'!$B$31+'Inputs'!$B$32,'Inputs'!$B$30+'Inputs'!$B$31+'Inputs'!$B$32)/1000+'Inputs'!$B$21)+'Inputs'!$B$9)/SQRT((((408-43)*MAX('Inputs'!$B$33,'Inputs'!$B$29+'Inputs'!$B$31+'Inputs'!$B$32,'Inputs'!$B$30+'Inputs'!$B$31+'Inputs'!$B$32)/1000+'Inputs'!$B$21)+'Inputs'!$B$9)^2+('Inputs'!$B$8/2)^2)-(((408-43)*MAX('Inputs'!$B$33,'Inputs'!$B$29+'Inputs'!$B$31+'Inputs'!$B$32,'Inputs'!$B$30+'Inputs'!$B$31+'Inputs'!$B$32)/1000+'Inputs'!$B$21))/SQRT((((408-43)*MAX('Inputs'!$B$33,'Inputs'!$B$29+'Inputs'!$B$31+'Inputs'!$B$32,'Inputs'!$B$30+'Inputs'!$B$31+'Inputs'!$B$32)/1000+'Inputs'!$B$21))^2+('Inputs'!$B$8/2)^2)))-'Results'!B7*(1+'Inputs'!$B$24)*(0.5*((((408-43)*MAX('Inputs'!$B$33,'Inputs'!$B$29+'Inputs'!$B$31+'Inputs'!$B$32,'Inputs'!$B$30+'Inputs'!$B$31+'Inputs'!$B$32)/1000+'Inputs'!$B$21+'Inputs'!$B$9+'Inputs'!$B$10)+'Inputs'!$B$7)/SQRT((((408-43)*MAX('Inputs'!$B$33,'Inputs'!$B$29+'Inputs'!$B$31+'Inputs'!$B$32,'Inputs'!$B$30+'Inputs'!$B$31+'Inputs'!$B$32)/1000+'Inputs'!$B$21+'Inputs'!$B$9+'Inputs'!$B$10)+'Inputs'!$B$7)^2+('Inputs'!$B$6/2)^2)-(((408-43)*MAX('Inputs'!$B$33,'Inputs'!$B$29+'Inputs'!$B$31+'Inputs'!$B$32,'Inputs'!$B$30+'Inputs'!$B$31+'Inputs'!$B$32)/1000+'Inputs'!$B$21+'Inputs'!$B$9+'Inputs'!$B$10))/SQRT((((408-43)*MAX('Inputs'!$B$33,'Inputs'!$B$29+'Inputs'!$B$31+'Inputs'!$B$32,'Inputs'!$B$30+'Inputs'!$B$31+'Inputs'!$B$32)/1000+'Inputs'!$B$21+'Inputs'!$B$9+'Inputs'!$B$10))^2+('Inputs'!$B$6/2)^2))))*'Results'!$B$8)-'Inputs'!$B$28*ABS((('Results'!C7*(1-'Inputs'!$B$24)*(0.5*((((408-43)*MAX('Inputs'!$B$33,'Inputs'!$B$29+'Inputs'!$B$31+'Inputs'!$B$32,'Inputs'!$B$30+'Inputs'!$B$31+'Inputs'!$B$32)/1000+'Inputs'!$B$21)+'Inputs'!$B$9)/SQRT((((408-43)*MAX('Inputs'!$B$33,'Inputs'!$B$29+'Inputs'!$B$31+'Inputs'!$B$32,'Inputs'!$B$30+'Inputs'!$B$31+'Inputs'!$B$32)/1000+'Inputs'!$B$21)+'Inputs'!$B$9)^2+('Inputs'!$B$8/2)^2)-(((408-43)*MAX('Inputs'!$B$33,'Inputs'!$B$29+'Inputs'!$B$31+'Inputs'!$B$32,'Inputs'!$B$30+'Inputs'!$B$31+'Inputs'!$B$32)/1000+'Inputs'!$B$21))/SQRT((((408-43)*MAX('Inputs'!$B$33,'Inputs'!$B$29+'Inputs'!$B$31+'Inputs'!$B$32,'Inputs'!$B$30+'Inputs'!$B$31+'Inputs'!$B$32)/1000+'Inputs'!$B$21))^2+('Inputs'!$B$8/2)^2)))-'Results'!B7*(1+'Inputs'!$B$24)*(0.5*((((408-43)*MAX('Inputs'!$B$33,'Inputs'!$B$29+'Inputs'!$B$31+'Inputs'!$B$32,'Inputs'!$B$30+'Inputs'!$B$31+'Inputs'!$B$32)/1000+'Inputs'!$B$21+'Inputs'!$B$9+'Inputs'!$B$10)+'Inputs'!$B$7)/SQRT((((408-43)*MAX('Inputs'!$B$33,'Inputs'!$B$29+'Inputs'!$B$31+'Inputs'!$B$32,'Inputs'!$B$30+'Inputs'!$B$31+'Inputs'!$B$32)/1000+'Inputs'!$B$21+'Inputs'!$B$9+'Inputs'!$B$10)+'Inputs'!$B$7)^2+('Inputs'!$B$6/2)^2)-(((408-43)*MAX('Inputs'!$B$33,'Inputs'!$B$29+'Inputs'!$B$31+'Inputs'!$B$32,'Inputs'!$B$30+'Inputs'!$B$31+'Inputs'!$B$32)/1000+'Inputs'!$B$21+'Inputs'!$B$9+'Inputs'!$B$10))/SQRT((((408-43)*MAX('Inputs'!$B$33,'Inputs'!$B$29+'Inputs'!$B$31+'Inputs'!$B$32,'Inputs'!$B$30+'Inputs'!$B$31+'Inputs'!$B$32)/1000+'Inputs'!$B$21+'Inputs'!$B$9+'Inputs'!$B$10))^2+('Inputs'!$B$6/2)^2))))*'Results'!$B$8))),"")</x:f>
        <x:v>10.113346418357631</x:v>
      </x:c>
      <x:c r="O408" t="n">
        <x:f>IF(AND(ISNUMBER('Results'!C7),ISNUMBER('Results'!B7),ISNUMBER('Results'!$B$8),ISNUMBER('Inputs'!$B$6),ISNUMBER('Inputs'!$B$7),ISNUMBER('Inputs'!$B$8),ISNUMBER('Inputs'!$B$9),ISNUMBER('Inputs'!$B$10),ISNUMBER('Inputs'!$B$21),ISNUMBER('Inputs'!$B$24),ISNUMBER('Inputs'!$B$28)),((('Results'!C7*(1+'Inputs'!$B$24)*(0.5*((((408-43)*MAX('Inputs'!$B$33,'Inputs'!$B$29+'Inputs'!$B$31+'Inputs'!$B$32,'Inputs'!$B$30+'Inputs'!$B$31+'Inputs'!$B$32)/1000+'Inputs'!$B$21)+'Inputs'!$B$9)/SQRT((((408-43)*MAX('Inputs'!$B$33,'Inputs'!$B$29+'Inputs'!$B$31+'Inputs'!$B$32,'Inputs'!$B$30+'Inputs'!$B$31+'Inputs'!$B$32)/1000+'Inputs'!$B$21)+'Inputs'!$B$9)^2+('Inputs'!$B$8/2)^2)-(((408-43)*MAX('Inputs'!$B$33,'Inputs'!$B$29+'Inputs'!$B$31+'Inputs'!$B$32,'Inputs'!$B$30+'Inputs'!$B$31+'Inputs'!$B$32)/1000+'Inputs'!$B$21))/SQRT((((408-43)*MAX('Inputs'!$B$33,'Inputs'!$B$29+'Inputs'!$B$31+'Inputs'!$B$32,'Inputs'!$B$30+'Inputs'!$B$31+'Inputs'!$B$32)/1000+'Inputs'!$B$21))^2+('Inputs'!$B$8/2)^2)))-'Results'!B7*(1-'Inputs'!$B$24)*(0.5*((((408-43)*MAX('Inputs'!$B$33,'Inputs'!$B$29+'Inputs'!$B$31+'Inputs'!$B$32,'Inputs'!$B$30+'Inputs'!$B$31+'Inputs'!$B$32)/1000+'Inputs'!$B$21+'Inputs'!$B$9+'Inputs'!$B$10)+'Inputs'!$B$7)/SQRT((((408-43)*MAX('Inputs'!$B$33,'Inputs'!$B$29+'Inputs'!$B$31+'Inputs'!$B$32,'Inputs'!$B$30+'Inputs'!$B$31+'Inputs'!$B$32)/1000+'Inputs'!$B$21+'Inputs'!$B$9+'Inputs'!$B$10)+'Inputs'!$B$7)^2+('Inputs'!$B$6/2)^2)-(((408-43)*MAX('Inputs'!$B$33,'Inputs'!$B$29+'Inputs'!$B$31+'Inputs'!$B$32,'Inputs'!$B$30+'Inputs'!$B$31+'Inputs'!$B$32)/1000+'Inputs'!$B$21+'Inputs'!$B$9+'Inputs'!$B$10))/SQRT((((408-43)*MAX('Inputs'!$B$33,'Inputs'!$B$29+'Inputs'!$B$31+'Inputs'!$B$32,'Inputs'!$B$30+'Inputs'!$B$31+'Inputs'!$B$32)/1000+'Inputs'!$B$21+'Inputs'!$B$9+'Inputs'!$B$10))^2+('Inputs'!$B$6/2)^2))))*'Results'!$B$8)+'Inputs'!$B$28*ABS((('Results'!C7*(1+'Inputs'!$B$24)*(0.5*((((408-43)*MAX('Inputs'!$B$33,'Inputs'!$B$29+'Inputs'!$B$31+'Inputs'!$B$32,'Inputs'!$B$30+'Inputs'!$B$31+'Inputs'!$B$32)/1000+'Inputs'!$B$21)+'Inputs'!$B$9)/SQRT((((408-43)*MAX('Inputs'!$B$33,'Inputs'!$B$29+'Inputs'!$B$31+'Inputs'!$B$32,'Inputs'!$B$30+'Inputs'!$B$31+'Inputs'!$B$32)/1000+'Inputs'!$B$21)+'Inputs'!$B$9)^2+('Inputs'!$B$8/2)^2)-(((408-43)*MAX('Inputs'!$B$33,'Inputs'!$B$29+'Inputs'!$B$31+'Inputs'!$B$32,'Inputs'!$B$30+'Inputs'!$B$31+'Inputs'!$B$32)/1000+'Inputs'!$B$21))/SQRT((((408-43)*MAX('Inputs'!$B$33,'Inputs'!$B$29+'Inputs'!$B$31+'Inputs'!$B$32,'Inputs'!$B$30+'Inputs'!$B$31+'Inputs'!$B$32)/1000+'Inputs'!$B$21))^2+('Inputs'!$B$8/2)^2)))-'Results'!B7*(1-'Inputs'!$B$24)*(0.5*((((408-43)*MAX('Inputs'!$B$33,'Inputs'!$B$29+'Inputs'!$B$31+'Inputs'!$B$32,'Inputs'!$B$30+'Inputs'!$B$31+'Inputs'!$B$32)/1000+'Inputs'!$B$21+'Inputs'!$B$9+'Inputs'!$B$10)+'Inputs'!$B$7)/SQRT((((408-43)*MAX('Inputs'!$B$33,'Inputs'!$B$29+'Inputs'!$B$31+'Inputs'!$B$32,'Inputs'!$B$30+'Inputs'!$B$31+'Inputs'!$B$32)/1000+'Inputs'!$B$21+'Inputs'!$B$9+'Inputs'!$B$10)+'Inputs'!$B$7)^2+('Inputs'!$B$6/2)^2)-(((408-43)*MAX('Inputs'!$B$33,'Inputs'!$B$29+'Inputs'!$B$31+'Inputs'!$B$32,'Inputs'!$B$30+'Inputs'!$B$31+'Inputs'!$B$32)/1000+'Inputs'!$B$21+'Inputs'!$B$9+'Inputs'!$B$10))/SQRT((((408-43)*MAX('Inputs'!$B$33,'Inputs'!$B$29+'Inputs'!$B$31+'Inputs'!$B$32,'Inputs'!$B$30+'Inputs'!$B$31+'Inputs'!$B$32)/1000+'Inputs'!$B$21+'Inputs'!$B$9+'Inputs'!$B$10))^2+('Inputs'!$B$6/2)^2))))*'Results'!$B$8))),"")</x:f>
        <x:v>12.51824981653099</x:v>
      </x:c>
      <x:c r="P408" t="n">
        <x:f>IF(AND(MAX(J408,J407)&gt;0,J408&gt;J407+0.00000001),1,0)</x:f>
        <x:v>0</x:v>
      </x:c>
      <x:c r="Q408" t="n">
        <x:f>IF(AND(MAX(K408,K407)&gt;0,K408&gt;K407+0.00000001),1,0)</x:f>
        <x:v>0</x:v>
      </x:c>
      <x:c r="R408" t="n">
        <x:f>IF(AND(MAX(L408,L407)&gt;0,L408&gt;L407+0.00000001),1,0)</x:f>
        <x:v>0</x:v>
      </x:c>
      <x:c r="S408" t="n">
        <x:f>IF(AND(MAX(M408,M407)&gt;0,M408&gt;M407+0.00000001),1,0)</x:f>
        <x:v>0</x:v>
      </x:c>
      <x:c r="T408" t="n">
        <x:f>IF(AND(MAX(N408,N407)&gt;0,N408&gt;N407+0.00000001),1,0)</x:f>
        <x:v>0</x:v>
      </x:c>
      <x:c r="U408" t="n">
        <x:f>IF(AND(MAX(O408,O407)&gt;0,O408&gt;O407+0.00000001),1,0)</x:f>
        <x:v>0</x:v>
      </x:c>
    </x:row>
    <x:row r="409">
      <x:c r="J409" t="n">
        <x:f>IF(AND(ISNUMBER('Results'!B7),ISNUMBER('Results'!C7),ISNUMBER('Results'!$B$8),ISNUMBER('Inputs'!$B$6),ISNUMBER('Inputs'!$B$7),ISNUMBER('Inputs'!$B$8),ISNUMBER('Inputs'!$B$9),ISNUMBER('Inputs'!$B$10),ISNUMBER('Inputs'!$B$21),ISNUMBER('Inputs'!$B$24),ISNUMBER('Inputs'!$B$28)),(('Results'!B7*(0.5*((((409-43)*MAX('Inputs'!$B$33,'Inputs'!$B$29+'Inputs'!$B$31+'Inputs'!$B$32,'Inputs'!$B$30+'Inputs'!$B$31+'Inputs'!$B$32)/1000+'Inputs'!$B$21)+'Inputs'!$B$7)/SQRT((((409-43)*MAX('Inputs'!$B$33,'Inputs'!$B$29+'Inputs'!$B$31+'Inputs'!$B$32,'Inputs'!$B$30+'Inputs'!$B$31+'Inputs'!$B$32)/1000+'Inputs'!$B$21)+'Inputs'!$B$7)^2+('Inputs'!$B$6/2)^2)-(((409-43)*MAX('Inputs'!$B$33,'Inputs'!$B$29+'Inputs'!$B$31+'Inputs'!$B$32,'Inputs'!$B$30+'Inputs'!$B$31+'Inputs'!$B$32)/1000+'Inputs'!$B$21))/SQRT((((409-43)*MAX('Inputs'!$B$33,'Inputs'!$B$29+'Inputs'!$B$31+'Inputs'!$B$32,'Inputs'!$B$30+'Inputs'!$B$31+'Inputs'!$B$32)/1000+'Inputs'!$B$21))^2+('Inputs'!$B$6/2)^2)))-'Results'!C7*(0.5*((((409-43)*MAX('Inputs'!$B$33,'Inputs'!$B$29+'Inputs'!$B$31+'Inputs'!$B$32,'Inputs'!$B$30+'Inputs'!$B$31+'Inputs'!$B$32)/1000+'Inputs'!$B$21+'Inputs'!$B$7+'Inputs'!$B$10)+'Inputs'!$B$9)/SQRT((((409-43)*MAX('Inputs'!$B$33,'Inputs'!$B$29+'Inputs'!$B$31+'Inputs'!$B$32,'Inputs'!$B$30+'Inputs'!$B$31+'Inputs'!$B$32)/1000+'Inputs'!$B$21+'Inputs'!$B$7+'Inputs'!$B$10)+'Inputs'!$B$9)^2+('Inputs'!$B$8/2)^2)-(((409-43)*MAX('Inputs'!$B$33,'Inputs'!$B$29+'Inputs'!$B$31+'Inputs'!$B$32,'Inputs'!$B$30+'Inputs'!$B$31+'Inputs'!$B$32)/1000+'Inputs'!$B$21+'Inputs'!$B$7+'Inputs'!$B$10))/SQRT((((409-43)*MAX('Inputs'!$B$33,'Inputs'!$B$29+'Inputs'!$B$31+'Inputs'!$B$32,'Inputs'!$B$30+'Inputs'!$B$31+'Inputs'!$B$32)/1000+'Inputs'!$B$21+'Inputs'!$B$7+'Inputs'!$B$10))^2+('Inputs'!$B$8/2)^2))))*'Results'!$B$8),"")</x:f>
        <x:v>11.825571233846782</x:v>
      </x:c>
      <x:c r="K409" t="n">
        <x:f>IF(AND(ISNUMBER('Results'!B7),ISNUMBER('Results'!C7),ISNUMBER('Results'!$B$8),ISNUMBER('Inputs'!$B$6),ISNUMBER('Inputs'!$B$7),ISNUMBER('Inputs'!$B$8),ISNUMBER('Inputs'!$B$9),ISNUMBER('Inputs'!$B$10),ISNUMBER('Inputs'!$B$21),ISNUMBER('Inputs'!$B$24),ISNUMBER('Inputs'!$B$28)),((('Results'!B7*(1-'Inputs'!$B$24)*(0.5*((((409-43)*MAX('Inputs'!$B$33,'Inputs'!$B$29+'Inputs'!$B$31+'Inputs'!$B$32,'Inputs'!$B$30+'Inputs'!$B$31+'Inputs'!$B$32)/1000+'Inputs'!$B$21)+'Inputs'!$B$7)/SQRT((((409-43)*MAX('Inputs'!$B$33,'Inputs'!$B$29+'Inputs'!$B$31+'Inputs'!$B$32,'Inputs'!$B$30+'Inputs'!$B$31+'Inputs'!$B$32)/1000+'Inputs'!$B$21)+'Inputs'!$B$7)^2+('Inputs'!$B$6/2)^2)-(((409-43)*MAX('Inputs'!$B$33,'Inputs'!$B$29+'Inputs'!$B$31+'Inputs'!$B$32,'Inputs'!$B$30+'Inputs'!$B$31+'Inputs'!$B$32)/1000+'Inputs'!$B$21))/SQRT((((409-43)*MAX('Inputs'!$B$33,'Inputs'!$B$29+'Inputs'!$B$31+'Inputs'!$B$32,'Inputs'!$B$30+'Inputs'!$B$31+'Inputs'!$B$32)/1000+'Inputs'!$B$21))^2+('Inputs'!$B$6/2)^2)))-'Results'!C7*(1+'Inputs'!$B$24)*(0.5*((((409-43)*MAX('Inputs'!$B$33,'Inputs'!$B$29+'Inputs'!$B$31+'Inputs'!$B$32,'Inputs'!$B$30+'Inputs'!$B$31+'Inputs'!$B$32)/1000+'Inputs'!$B$21+'Inputs'!$B$7+'Inputs'!$B$10)+'Inputs'!$B$9)/SQRT((((409-43)*MAX('Inputs'!$B$33,'Inputs'!$B$29+'Inputs'!$B$31+'Inputs'!$B$32,'Inputs'!$B$30+'Inputs'!$B$31+'Inputs'!$B$32)/1000+'Inputs'!$B$21+'Inputs'!$B$7+'Inputs'!$B$10)+'Inputs'!$B$9)^2+('Inputs'!$B$8/2)^2)-(((409-43)*MAX('Inputs'!$B$33,'Inputs'!$B$29+'Inputs'!$B$31+'Inputs'!$B$32,'Inputs'!$B$30+'Inputs'!$B$31+'Inputs'!$B$32)/1000+'Inputs'!$B$21+'Inputs'!$B$7+'Inputs'!$B$10))/SQRT((((409-43)*MAX('Inputs'!$B$33,'Inputs'!$B$29+'Inputs'!$B$31+'Inputs'!$B$32,'Inputs'!$B$30+'Inputs'!$B$31+'Inputs'!$B$32)/1000+'Inputs'!$B$21+'Inputs'!$B$7+'Inputs'!$B$10))^2+('Inputs'!$B$8/2)^2))))*'Results'!$B$8)-'Inputs'!$B$28*ABS((('Results'!B7*(1-'Inputs'!$B$24)*(0.5*((((409-43)*MAX('Inputs'!$B$33,'Inputs'!$B$29+'Inputs'!$B$31+'Inputs'!$B$32,'Inputs'!$B$30+'Inputs'!$B$31+'Inputs'!$B$32)/1000+'Inputs'!$B$21)+'Inputs'!$B$7)/SQRT((((409-43)*MAX('Inputs'!$B$33,'Inputs'!$B$29+'Inputs'!$B$31+'Inputs'!$B$32,'Inputs'!$B$30+'Inputs'!$B$31+'Inputs'!$B$32)/1000+'Inputs'!$B$21)+'Inputs'!$B$7)^2+('Inputs'!$B$6/2)^2)-(((409-43)*MAX('Inputs'!$B$33,'Inputs'!$B$29+'Inputs'!$B$31+'Inputs'!$B$32,'Inputs'!$B$30+'Inputs'!$B$31+'Inputs'!$B$32)/1000+'Inputs'!$B$21))/SQRT((((409-43)*MAX('Inputs'!$B$33,'Inputs'!$B$29+'Inputs'!$B$31+'Inputs'!$B$32,'Inputs'!$B$30+'Inputs'!$B$31+'Inputs'!$B$32)/1000+'Inputs'!$B$21))^2+('Inputs'!$B$6/2)^2)))-'Results'!C7*(1+'Inputs'!$B$24)*(0.5*((((409-43)*MAX('Inputs'!$B$33,'Inputs'!$B$29+'Inputs'!$B$31+'Inputs'!$B$32,'Inputs'!$B$30+'Inputs'!$B$31+'Inputs'!$B$32)/1000+'Inputs'!$B$21+'Inputs'!$B$7+'Inputs'!$B$10)+'Inputs'!$B$9)/SQRT((((409-43)*MAX('Inputs'!$B$33,'Inputs'!$B$29+'Inputs'!$B$31+'Inputs'!$B$32,'Inputs'!$B$30+'Inputs'!$B$31+'Inputs'!$B$32)/1000+'Inputs'!$B$21+'Inputs'!$B$7+'Inputs'!$B$10)+'Inputs'!$B$9)^2+('Inputs'!$B$8/2)^2)-(((409-43)*MAX('Inputs'!$B$33,'Inputs'!$B$29+'Inputs'!$B$31+'Inputs'!$B$32,'Inputs'!$B$30+'Inputs'!$B$31+'Inputs'!$B$32)/1000+'Inputs'!$B$21+'Inputs'!$B$7+'Inputs'!$B$10))/SQRT((((409-43)*MAX('Inputs'!$B$33,'Inputs'!$B$29+'Inputs'!$B$31+'Inputs'!$B$32,'Inputs'!$B$30+'Inputs'!$B$31+'Inputs'!$B$32)/1000+'Inputs'!$B$21+'Inputs'!$B$7+'Inputs'!$B$10))^2+('Inputs'!$B$8/2)^2))))*'Results'!$B$8))),"")</x:f>
        <x:v>10.627740709297324</x:v>
      </x:c>
      <x:c r="L409" t="n">
        <x:f>IF(AND(ISNUMBER('Results'!B7),ISNUMBER('Results'!C7),ISNUMBER('Results'!$B$8),ISNUMBER('Inputs'!$B$6),ISNUMBER('Inputs'!$B$7),ISNUMBER('Inputs'!$B$8),ISNUMBER('Inputs'!$B$9),ISNUMBER('Inputs'!$B$10),ISNUMBER('Inputs'!$B$21),ISNUMBER('Inputs'!$B$24),ISNUMBER('Inputs'!$B$28)),((('Results'!B7*(1+'Inputs'!$B$24)*(0.5*((((409-43)*MAX('Inputs'!$B$33,'Inputs'!$B$29+'Inputs'!$B$31+'Inputs'!$B$32,'Inputs'!$B$30+'Inputs'!$B$31+'Inputs'!$B$32)/1000+'Inputs'!$B$21)+'Inputs'!$B$7)/SQRT((((409-43)*MAX('Inputs'!$B$33,'Inputs'!$B$29+'Inputs'!$B$31+'Inputs'!$B$32,'Inputs'!$B$30+'Inputs'!$B$31+'Inputs'!$B$32)/1000+'Inputs'!$B$21)+'Inputs'!$B$7)^2+('Inputs'!$B$6/2)^2)-(((409-43)*MAX('Inputs'!$B$33,'Inputs'!$B$29+'Inputs'!$B$31+'Inputs'!$B$32,'Inputs'!$B$30+'Inputs'!$B$31+'Inputs'!$B$32)/1000+'Inputs'!$B$21))/SQRT((((409-43)*MAX('Inputs'!$B$33,'Inputs'!$B$29+'Inputs'!$B$31+'Inputs'!$B$32,'Inputs'!$B$30+'Inputs'!$B$31+'Inputs'!$B$32)/1000+'Inputs'!$B$21))^2+('Inputs'!$B$6/2)^2)))-'Results'!C7*(1-'Inputs'!$B$24)*(0.5*((((409-43)*MAX('Inputs'!$B$33,'Inputs'!$B$29+'Inputs'!$B$31+'Inputs'!$B$32,'Inputs'!$B$30+'Inputs'!$B$31+'Inputs'!$B$32)/1000+'Inputs'!$B$21+'Inputs'!$B$7+'Inputs'!$B$10)+'Inputs'!$B$9)/SQRT((((409-43)*MAX('Inputs'!$B$33,'Inputs'!$B$29+'Inputs'!$B$31+'Inputs'!$B$32,'Inputs'!$B$30+'Inputs'!$B$31+'Inputs'!$B$32)/1000+'Inputs'!$B$21+'Inputs'!$B$7+'Inputs'!$B$10)+'Inputs'!$B$9)^2+('Inputs'!$B$8/2)^2)-(((409-43)*MAX('Inputs'!$B$33,'Inputs'!$B$29+'Inputs'!$B$31+'Inputs'!$B$32,'Inputs'!$B$30+'Inputs'!$B$31+'Inputs'!$B$32)/1000+'Inputs'!$B$21+'Inputs'!$B$7+'Inputs'!$B$10))/SQRT((((409-43)*MAX('Inputs'!$B$33,'Inputs'!$B$29+'Inputs'!$B$31+'Inputs'!$B$32,'Inputs'!$B$30+'Inputs'!$B$31+'Inputs'!$B$32)/1000+'Inputs'!$B$21+'Inputs'!$B$7+'Inputs'!$B$10))^2+('Inputs'!$B$8/2)^2))))*'Results'!$B$8)+'Inputs'!$B$28*ABS((('Results'!B7*(1+'Inputs'!$B$24)*(0.5*((((409-43)*MAX('Inputs'!$B$33,'Inputs'!$B$29+'Inputs'!$B$31+'Inputs'!$B$32,'Inputs'!$B$30+'Inputs'!$B$31+'Inputs'!$B$32)/1000+'Inputs'!$B$21)+'Inputs'!$B$7)/SQRT((((409-43)*MAX('Inputs'!$B$33,'Inputs'!$B$29+'Inputs'!$B$31+'Inputs'!$B$32,'Inputs'!$B$30+'Inputs'!$B$31+'Inputs'!$B$32)/1000+'Inputs'!$B$21)+'Inputs'!$B$7)^2+('Inputs'!$B$6/2)^2)-(((409-43)*MAX('Inputs'!$B$33,'Inputs'!$B$29+'Inputs'!$B$31+'Inputs'!$B$32,'Inputs'!$B$30+'Inputs'!$B$31+'Inputs'!$B$32)/1000+'Inputs'!$B$21))/SQRT((((409-43)*MAX('Inputs'!$B$33,'Inputs'!$B$29+'Inputs'!$B$31+'Inputs'!$B$32,'Inputs'!$B$30+'Inputs'!$B$31+'Inputs'!$B$32)/1000+'Inputs'!$B$21))^2+('Inputs'!$B$6/2)^2)))-'Results'!C7*(1-'Inputs'!$B$24)*(0.5*((((409-43)*MAX('Inputs'!$B$33,'Inputs'!$B$29+'Inputs'!$B$31+'Inputs'!$B$32,'Inputs'!$B$30+'Inputs'!$B$31+'Inputs'!$B$32)/1000+'Inputs'!$B$21+'Inputs'!$B$7+'Inputs'!$B$10)+'Inputs'!$B$9)/SQRT((((409-43)*MAX('Inputs'!$B$33,'Inputs'!$B$29+'Inputs'!$B$31+'Inputs'!$B$32,'Inputs'!$B$30+'Inputs'!$B$31+'Inputs'!$B$32)/1000+'Inputs'!$B$21+'Inputs'!$B$7+'Inputs'!$B$10)+'Inputs'!$B$9)^2+('Inputs'!$B$8/2)^2)-(((409-43)*MAX('Inputs'!$B$33,'Inputs'!$B$29+'Inputs'!$B$31+'Inputs'!$B$32,'Inputs'!$B$30+'Inputs'!$B$31+'Inputs'!$B$32)/1000+'Inputs'!$B$21+'Inputs'!$B$7+'Inputs'!$B$10))/SQRT((((409-43)*MAX('Inputs'!$B$33,'Inputs'!$B$29+'Inputs'!$B$31+'Inputs'!$B$32,'Inputs'!$B$30+'Inputs'!$B$31+'Inputs'!$B$32)/1000+'Inputs'!$B$21+'Inputs'!$B$7+'Inputs'!$B$10))^2+('Inputs'!$B$8/2)^2))))*'Results'!$B$8))),"")</x:f>
        <x:v>13.087249333433828</x:v>
      </x:c>
      <x:c r="M409" t="n">
        <x:f>IF(AND(ISNUMBER('Results'!C7),ISNUMBER('Results'!B7),ISNUMBER('Results'!$B$8),ISNUMBER('Inputs'!$B$6),ISNUMBER('Inputs'!$B$7),ISNUMBER('Inputs'!$B$8),ISNUMBER('Inputs'!$B$9),ISNUMBER('Inputs'!$B$10),ISNUMBER('Inputs'!$B$21),ISNUMBER('Inputs'!$B$24),ISNUMBER('Inputs'!$B$28)),(('Results'!C7*(0.5*((((409-43)*MAX('Inputs'!$B$33,'Inputs'!$B$29+'Inputs'!$B$31+'Inputs'!$B$32,'Inputs'!$B$30+'Inputs'!$B$31+'Inputs'!$B$32)/1000+'Inputs'!$B$21)+'Inputs'!$B$9)/SQRT((((409-43)*MAX('Inputs'!$B$33,'Inputs'!$B$29+'Inputs'!$B$31+'Inputs'!$B$32,'Inputs'!$B$30+'Inputs'!$B$31+'Inputs'!$B$32)/1000+'Inputs'!$B$21)+'Inputs'!$B$9)^2+('Inputs'!$B$8/2)^2)-(((409-43)*MAX('Inputs'!$B$33,'Inputs'!$B$29+'Inputs'!$B$31+'Inputs'!$B$32,'Inputs'!$B$30+'Inputs'!$B$31+'Inputs'!$B$32)/1000+'Inputs'!$B$21))/SQRT((((409-43)*MAX('Inputs'!$B$33,'Inputs'!$B$29+'Inputs'!$B$31+'Inputs'!$B$32,'Inputs'!$B$30+'Inputs'!$B$31+'Inputs'!$B$32)/1000+'Inputs'!$B$21))^2+('Inputs'!$B$8/2)^2)))-'Results'!B7*(0.5*((((409-43)*MAX('Inputs'!$B$33,'Inputs'!$B$29+'Inputs'!$B$31+'Inputs'!$B$32,'Inputs'!$B$30+'Inputs'!$B$31+'Inputs'!$B$32)/1000+'Inputs'!$B$21+'Inputs'!$B$9+'Inputs'!$B$10)+'Inputs'!$B$7)/SQRT((((409-43)*MAX('Inputs'!$B$33,'Inputs'!$B$29+'Inputs'!$B$31+'Inputs'!$B$32,'Inputs'!$B$30+'Inputs'!$B$31+'Inputs'!$B$32)/1000+'Inputs'!$B$21+'Inputs'!$B$9+'Inputs'!$B$10)+'Inputs'!$B$7)^2+('Inputs'!$B$6/2)^2)-(((409-43)*MAX('Inputs'!$B$33,'Inputs'!$B$29+'Inputs'!$B$31+'Inputs'!$B$32,'Inputs'!$B$30+'Inputs'!$B$31+'Inputs'!$B$32)/1000+'Inputs'!$B$21+'Inputs'!$B$9+'Inputs'!$B$10))/SQRT((((409-43)*MAX('Inputs'!$B$33,'Inputs'!$B$29+'Inputs'!$B$31+'Inputs'!$B$32,'Inputs'!$B$30+'Inputs'!$B$31+'Inputs'!$B$32)/1000+'Inputs'!$B$21+'Inputs'!$B$9+'Inputs'!$B$10))^2+('Inputs'!$B$6/2)^2))))*'Results'!$B$8),"")</x:f>
        <x:v>11.182993806678022</x:v>
      </x:c>
      <x:c r="N409" t="n">
        <x:f>IF(AND(ISNUMBER('Results'!C7),ISNUMBER('Results'!B7),ISNUMBER('Results'!$B$8),ISNUMBER('Inputs'!$B$6),ISNUMBER('Inputs'!$B$7),ISNUMBER('Inputs'!$B$8),ISNUMBER('Inputs'!$B$9),ISNUMBER('Inputs'!$B$10),ISNUMBER('Inputs'!$B$21),ISNUMBER('Inputs'!$B$24),ISNUMBER('Inputs'!$B$28)),((('Results'!C7*(1-'Inputs'!$B$24)*(0.5*((((409-43)*MAX('Inputs'!$B$33,'Inputs'!$B$29+'Inputs'!$B$31+'Inputs'!$B$32,'Inputs'!$B$30+'Inputs'!$B$31+'Inputs'!$B$32)/1000+'Inputs'!$B$21)+'Inputs'!$B$9)/SQRT((((409-43)*MAX('Inputs'!$B$33,'Inputs'!$B$29+'Inputs'!$B$31+'Inputs'!$B$32,'Inputs'!$B$30+'Inputs'!$B$31+'Inputs'!$B$32)/1000+'Inputs'!$B$21)+'Inputs'!$B$9)^2+('Inputs'!$B$8/2)^2)-(((409-43)*MAX('Inputs'!$B$33,'Inputs'!$B$29+'Inputs'!$B$31+'Inputs'!$B$32,'Inputs'!$B$30+'Inputs'!$B$31+'Inputs'!$B$32)/1000+'Inputs'!$B$21))/SQRT((((409-43)*MAX('Inputs'!$B$33,'Inputs'!$B$29+'Inputs'!$B$31+'Inputs'!$B$32,'Inputs'!$B$30+'Inputs'!$B$31+'Inputs'!$B$32)/1000+'Inputs'!$B$21))^2+('Inputs'!$B$8/2)^2)))-'Results'!B7*(1+'Inputs'!$B$24)*(0.5*((((409-43)*MAX('Inputs'!$B$33,'Inputs'!$B$29+'Inputs'!$B$31+'Inputs'!$B$32,'Inputs'!$B$30+'Inputs'!$B$31+'Inputs'!$B$32)/1000+'Inputs'!$B$21+'Inputs'!$B$9+'Inputs'!$B$10)+'Inputs'!$B$7)/SQRT((((409-43)*MAX('Inputs'!$B$33,'Inputs'!$B$29+'Inputs'!$B$31+'Inputs'!$B$32,'Inputs'!$B$30+'Inputs'!$B$31+'Inputs'!$B$32)/1000+'Inputs'!$B$21+'Inputs'!$B$9+'Inputs'!$B$10)+'Inputs'!$B$7)^2+('Inputs'!$B$6/2)^2)-(((409-43)*MAX('Inputs'!$B$33,'Inputs'!$B$29+'Inputs'!$B$31+'Inputs'!$B$32,'Inputs'!$B$30+'Inputs'!$B$31+'Inputs'!$B$32)/1000+'Inputs'!$B$21+'Inputs'!$B$9+'Inputs'!$B$10))/SQRT((((409-43)*MAX('Inputs'!$B$33,'Inputs'!$B$29+'Inputs'!$B$31+'Inputs'!$B$32,'Inputs'!$B$30+'Inputs'!$B$31+'Inputs'!$B$32)/1000+'Inputs'!$B$21+'Inputs'!$B$9+'Inputs'!$B$10))^2+('Inputs'!$B$6/2)^2))))*'Results'!$B$8)-'Inputs'!$B$28*ABS((('Results'!C7*(1-'Inputs'!$B$24)*(0.5*((((409-43)*MAX('Inputs'!$B$33,'Inputs'!$B$29+'Inputs'!$B$31+'Inputs'!$B$32,'Inputs'!$B$30+'Inputs'!$B$31+'Inputs'!$B$32)/1000+'Inputs'!$B$21)+'Inputs'!$B$9)/SQRT((((409-43)*MAX('Inputs'!$B$33,'Inputs'!$B$29+'Inputs'!$B$31+'Inputs'!$B$32,'Inputs'!$B$30+'Inputs'!$B$31+'Inputs'!$B$32)/1000+'Inputs'!$B$21)+'Inputs'!$B$9)^2+('Inputs'!$B$8/2)^2)-(((409-43)*MAX('Inputs'!$B$33,'Inputs'!$B$29+'Inputs'!$B$31+'Inputs'!$B$32,'Inputs'!$B$30+'Inputs'!$B$31+'Inputs'!$B$32)/1000+'Inputs'!$B$21))/SQRT((((409-43)*MAX('Inputs'!$B$33,'Inputs'!$B$29+'Inputs'!$B$31+'Inputs'!$B$32,'Inputs'!$B$30+'Inputs'!$B$31+'Inputs'!$B$32)/1000+'Inputs'!$B$21))^2+('Inputs'!$B$8/2)^2)))-'Results'!B7*(1+'Inputs'!$B$24)*(0.5*((((409-43)*MAX('Inputs'!$B$33,'Inputs'!$B$29+'Inputs'!$B$31+'Inputs'!$B$32,'Inputs'!$B$30+'Inputs'!$B$31+'Inputs'!$B$32)/1000+'Inputs'!$B$21+'Inputs'!$B$9+'Inputs'!$B$10)+'Inputs'!$B$7)/SQRT((((409-43)*MAX('Inputs'!$B$33,'Inputs'!$B$29+'Inputs'!$B$31+'Inputs'!$B$32,'Inputs'!$B$30+'Inputs'!$B$31+'Inputs'!$B$32)/1000+'Inputs'!$B$21+'Inputs'!$B$9+'Inputs'!$B$10)+'Inputs'!$B$7)^2+('Inputs'!$B$6/2)^2)-(((409-43)*MAX('Inputs'!$B$33,'Inputs'!$B$29+'Inputs'!$B$31+'Inputs'!$B$32,'Inputs'!$B$30+'Inputs'!$B$31+'Inputs'!$B$32)/1000+'Inputs'!$B$21+'Inputs'!$B$9+'Inputs'!$B$10))/SQRT((((409-43)*MAX('Inputs'!$B$33,'Inputs'!$B$29+'Inputs'!$B$31+'Inputs'!$B$32,'Inputs'!$B$30+'Inputs'!$B$31+'Inputs'!$B$32)/1000+'Inputs'!$B$21+'Inputs'!$B$9+'Inputs'!$B$10))^2+('Inputs'!$B$6/2)^2))))*'Results'!$B$8))),"")</x:f>
        <x:v>10.021707938696803</x:v>
      </x:c>
      <x:c r="O409" t="n">
        <x:f>IF(AND(ISNUMBER('Results'!C7),ISNUMBER('Results'!B7),ISNUMBER('Results'!$B$8),ISNUMBER('Inputs'!$B$6),ISNUMBER('Inputs'!$B$7),ISNUMBER('Inputs'!$B$8),ISNUMBER('Inputs'!$B$9),ISNUMBER('Inputs'!$B$10),ISNUMBER('Inputs'!$B$21),ISNUMBER('Inputs'!$B$24),ISNUMBER('Inputs'!$B$28)),((('Results'!C7*(1+'Inputs'!$B$24)*(0.5*((((409-43)*MAX('Inputs'!$B$33,'Inputs'!$B$29+'Inputs'!$B$31+'Inputs'!$B$32,'Inputs'!$B$30+'Inputs'!$B$31+'Inputs'!$B$32)/1000+'Inputs'!$B$21)+'Inputs'!$B$9)/SQRT((((409-43)*MAX('Inputs'!$B$33,'Inputs'!$B$29+'Inputs'!$B$31+'Inputs'!$B$32,'Inputs'!$B$30+'Inputs'!$B$31+'Inputs'!$B$32)/1000+'Inputs'!$B$21)+'Inputs'!$B$9)^2+('Inputs'!$B$8/2)^2)-(((409-43)*MAX('Inputs'!$B$33,'Inputs'!$B$29+'Inputs'!$B$31+'Inputs'!$B$32,'Inputs'!$B$30+'Inputs'!$B$31+'Inputs'!$B$32)/1000+'Inputs'!$B$21))/SQRT((((409-43)*MAX('Inputs'!$B$33,'Inputs'!$B$29+'Inputs'!$B$31+'Inputs'!$B$32,'Inputs'!$B$30+'Inputs'!$B$31+'Inputs'!$B$32)/1000+'Inputs'!$B$21))^2+('Inputs'!$B$8/2)^2)))-'Results'!B7*(1-'Inputs'!$B$24)*(0.5*((((409-43)*MAX('Inputs'!$B$33,'Inputs'!$B$29+'Inputs'!$B$31+'Inputs'!$B$32,'Inputs'!$B$30+'Inputs'!$B$31+'Inputs'!$B$32)/1000+'Inputs'!$B$21+'Inputs'!$B$9+'Inputs'!$B$10)+'Inputs'!$B$7)/SQRT((((409-43)*MAX('Inputs'!$B$33,'Inputs'!$B$29+'Inputs'!$B$31+'Inputs'!$B$32,'Inputs'!$B$30+'Inputs'!$B$31+'Inputs'!$B$32)/1000+'Inputs'!$B$21+'Inputs'!$B$9+'Inputs'!$B$10)+'Inputs'!$B$7)^2+('Inputs'!$B$6/2)^2)-(((409-43)*MAX('Inputs'!$B$33,'Inputs'!$B$29+'Inputs'!$B$31+'Inputs'!$B$32,'Inputs'!$B$30+'Inputs'!$B$31+'Inputs'!$B$32)/1000+'Inputs'!$B$21+'Inputs'!$B$9+'Inputs'!$B$10))/SQRT((((409-43)*MAX('Inputs'!$B$33,'Inputs'!$B$29+'Inputs'!$B$31+'Inputs'!$B$32,'Inputs'!$B$30+'Inputs'!$B$31+'Inputs'!$B$32)/1000+'Inputs'!$B$21+'Inputs'!$B$9+'Inputs'!$B$10))^2+('Inputs'!$B$6/2)^2))))*'Results'!$B$8)+'Inputs'!$B$28*ABS((('Results'!C7*(1+'Inputs'!$B$24)*(0.5*((((409-43)*MAX('Inputs'!$B$33,'Inputs'!$B$29+'Inputs'!$B$31+'Inputs'!$B$32,'Inputs'!$B$30+'Inputs'!$B$31+'Inputs'!$B$32)/1000+'Inputs'!$B$21)+'Inputs'!$B$9)/SQRT((((409-43)*MAX('Inputs'!$B$33,'Inputs'!$B$29+'Inputs'!$B$31+'Inputs'!$B$32,'Inputs'!$B$30+'Inputs'!$B$31+'Inputs'!$B$32)/1000+'Inputs'!$B$21)+'Inputs'!$B$9)^2+('Inputs'!$B$8/2)^2)-(((409-43)*MAX('Inputs'!$B$33,'Inputs'!$B$29+'Inputs'!$B$31+'Inputs'!$B$32,'Inputs'!$B$30+'Inputs'!$B$31+'Inputs'!$B$32)/1000+'Inputs'!$B$21))/SQRT((((409-43)*MAX('Inputs'!$B$33,'Inputs'!$B$29+'Inputs'!$B$31+'Inputs'!$B$32,'Inputs'!$B$30+'Inputs'!$B$31+'Inputs'!$B$32)/1000+'Inputs'!$B$21))^2+('Inputs'!$B$8/2)^2)))-'Results'!B7*(1-'Inputs'!$B$24)*(0.5*((((409-43)*MAX('Inputs'!$B$33,'Inputs'!$B$29+'Inputs'!$B$31+'Inputs'!$B$32,'Inputs'!$B$30+'Inputs'!$B$31+'Inputs'!$B$32)/1000+'Inputs'!$B$21+'Inputs'!$B$9+'Inputs'!$B$10)+'Inputs'!$B$7)/SQRT((((409-43)*MAX('Inputs'!$B$33,'Inputs'!$B$29+'Inputs'!$B$31+'Inputs'!$B$32,'Inputs'!$B$30+'Inputs'!$B$31+'Inputs'!$B$32)/1000+'Inputs'!$B$21+'Inputs'!$B$9+'Inputs'!$B$10)+'Inputs'!$B$7)^2+('Inputs'!$B$6/2)^2)-(((409-43)*MAX('Inputs'!$B$33,'Inputs'!$B$29+'Inputs'!$B$31+'Inputs'!$B$32,'Inputs'!$B$30+'Inputs'!$B$31+'Inputs'!$B$32)/1000+'Inputs'!$B$21+'Inputs'!$B$9+'Inputs'!$B$10))/SQRT((((409-43)*MAX('Inputs'!$B$33,'Inputs'!$B$29+'Inputs'!$B$31+'Inputs'!$B$32,'Inputs'!$B$30+'Inputs'!$B$31+'Inputs'!$B$32)/1000+'Inputs'!$B$21+'Inputs'!$B$9+'Inputs'!$B$10))^2+('Inputs'!$B$6/2)^2))))*'Results'!$B$8))),"")</x:f>
        <x:v>12.40766243020107</x:v>
      </x:c>
      <x:c r="P409" t="n">
        <x:f>IF(AND(MAX(J409,J408)&gt;0,J409&gt;J408+0.00000001),1,0)</x:f>
        <x:v>0</x:v>
      </x:c>
      <x:c r="Q409" t="n">
        <x:f>IF(AND(MAX(K409,K408)&gt;0,K409&gt;K408+0.00000001),1,0)</x:f>
        <x:v>0</x:v>
      </x:c>
      <x:c r="R409" t="n">
        <x:f>IF(AND(MAX(L409,L408)&gt;0,L409&gt;L408+0.00000001),1,0)</x:f>
        <x:v>0</x:v>
      </x:c>
      <x:c r="S409" t="n">
        <x:f>IF(AND(MAX(M409,M408)&gt;0,M409&gt;M408+0.00000001),1,0)</x:f>
        <x:v>0</x:v>
      </x:c>
      <x:c r="T409" t="n">
        <x:f>IF(AND(MAX(N409,N408)&gt;0,N409&gt;N408+0.00000001),1,0)</x:f>
        <x:v>0</x:v>
      </x:c>
      <x:c r="U409" t="n">
        <x:f>IF(AND(MAX(O409,O408)&gt;0,O409&gt;O408+0.00000001),1,0)</x:f>
        <x:v>0</x:v>
      </x:c>
    </x:row>
    <x:row r="410">
      <x:c r="J410" t="n">
        <x:f>IF(AND(ISNUMBER('Results'!B7),ISNUMBER('Results'!C7),ISNUMBER('Results'!$B$8),ISNUMBER('Inputs'!$B$6),ISNUMBER('Inputs'!$B$7),ISNUMBER('Inputs'!$B$8),ISNUMBER('Inputs'!$B$9),ISNUMBER('Inputs'!$B$10),ISNUMBER('Inputs'!$B$21),ISNUMBER('Inputs'!$B$24),ISNUMBER('Inputs'!$B$28)),(('Results'!B7*(0.5*((((410-43)*MAX('Inputs'!$B$33,'Inputs'!$B$29+'Inputs'!$B$31+'Inputs'!$B$32,'Inputs'!$B$30+'Inputs'!$B$31+'Inputs'!$B$32)/1000+'Inputs'!$B$21)+'Inputs'!$B$7)/SQRT((((410-43)*MAX('Inputs'!$B$33,'Inputs'!$B$29+'Inputs'!$B$31+'Inputs'!$B$32,'Inputs'!$B$30+'Inputs'!$B$31+'Inputs'!$B$32)/1000+'Inputs'!$B$21)+'Inputs'!$B$7)^2+('Inputs'!$B$6/2)^2)-(((410-43)*MAX('Inputs'!$B$33,'Inputs'!$B$29+'Inputs'!$B$31+'Inputs'!$B$32,'Inputs'!$B$30+'Inputs'!$B$31+'Inputs'!$B$32)/1000+'Inputs'!$B$21))/SQRT((((410-43)*MAX('Inputs'!$B$33,'Inputs'!$B$29+'Inputs'!$B$31+'Inputs'!$B$32,'Inputs'!$B$30+'Inputs'!$B$31+'Inputs'!$B$32)/1000+'Inputs'!$B$21))^2+('Inputs'!$B$6/2)^2)))-'Results'!C7*(0.5*((((410-43)*MAX('Inputs'!$B$33,'Inputs'!$B$29+'Inputs'!$B$31+'Inputs'!$B$32,'Inputs'!$B$30+'Inputs'!$B$31+'Inputs'!$B$32)/1000+'Inputs'!$B$21+'Inputs'!$B$7+'Inputs'!$B$10)+'Inputs'!$B$9)/SQRT((((410-43)*MAX('Inputs'!$B$33,'Inputs'!$B$29+'Inputs'!$B$31+'Inputs'!$B$32,'Inputs'!$B$30+'Inputs'!$B$31+'Inputs'!$B$32)/1000+'Inputs'!$B$21+'Inputs'!$B$7+'Inputs'!$B$10)+'Inputs'!$B$9)^2+('Inputs'!$B$8/2)^2)-(((410-43)*MAX('Inputs'!$B$33,'Inputs'!$B$29+'Inputs'!$B$31+'Inputs'!$B$32,'Inputs'!$B$30+'Inputs'!$B$31+'Inputs'!$B$32)/1000+'Inputs'!$B$21+'Inputs'!$B$7+'Inputs'!$B$10))/SQRT((((410-43)*MAX('Inputs'!$B$33,'Inputs'!$B$29+'Inputs'!$B$31+'Inputs'!$B$32,'Inputs'!$B$30+'Inputs'!$B$31+'Inputs'!$B$32)/1000+'Inputs'!$B$21+'Inputs'!$B$7+'Inputs'!$B$10))^2+('Inputs'!$B$8/2)^2))))*'Results'!$B$8),"")</x:f>
        <x:v>11.721343621986382</x:v>
      </x:c>
      <x:c r="K410" t="n">
        <x:f>IF(AND(ISNUMBER('Results'!B7),ISNUMBER('Results'!C7),ISNUMBER('Results'!$B$8),ISNUMBER('Inputs'!$B$6),ISNUMBER('Inputs'!$B$7),ISNUMBER('Inputs'!$B$8),ISNUMBER('Inputs'!$B$9),ISNUMBER('Inputs'!$B$10),ISNUMBER('Inputs'!$B$21),ISNUMBER('Inputs'!$B$24),ISNUMBER('Inputs'!$B$28)),((('Results'!B7*(1-'Inputs'!$B$24)*(0.5*((((410-43)*MAX('Inputs'!$B$33,'Inputs'!$B$29+'Inputs'!$B$31+'Inputs'!$B$32,'Inputs'!$B$30+'Inputs'!$B$31+'Inputs'!$B$32)/1000+'Inputs'!$B$21)+'Inputs'!$B$7)/SQRT((((410-43)*MAX('Inputs'!$B$33,'Inputs'!$B$29+'Inputs'!$B$31+'Inputs'!$B$32,'Inputs'!$B$30+'Inputs'!$B$31+'Inputs'!$B$32)/1000+'Inputs'!$B$21)+'Inputs'!$B$7)^2+('Inputs'!$B$6/2)^2)-(((410-43)*MAX('Inputs'!$B$33,'Inputs'!$B$29+'Inputs'!$B$31+'Inputs'!$B$32,'Inputs'!$B$30+'Inputs'!$B$31+'Inputs'!$B$32)/1000+'Inputs'!$B$21))/SQRT((((410-43)*MAX('Inputs'!$B$33,'Inputs'!$B$29+'Inputs'!$B$31+'Inputs'!$B$32,'Inputs'!$B$30+'Inputs'!$B$31+'Inputs'!$B$32)/1000+'Inputs'!$B$21))^2+('Inputs'!$B$6/2)^2)))-'Results'!C7*(1+'Inputs'!$B$24)*(0.5*((((410-43)*MAX('Inputs'!$B$33,'Inputs'!$B$29+'Inputs'!$B$31+'Inputs'!$B$32,'Inputs'!$B$30+'Inputs'!$B$31+'Inputs'!$B$32)/1000+'Inputs'!$B$21+'Inputs'!$B$7+'Inputs'!$B$10)+'Inputs'!$B$9)/SQRT((((410-43)*MAX('Inputs'!$B$33,'Inputs'!$B$29+'Inputs'!$B$31+'Inputs'!$B$32,'Inputs'!$B$30+'Inputs'!$B$31+'Inputs'!$B$32)/1000+'Inputs'!$B$21+'Inputs'!$B$7+'Inputs'!$B$10)+'Inputs'!$B$9)^2+('Inputs'!$B$8/2)^2)-(((410-43)*MAX('Inputs'!$B$33,'Inputs'!$B$29+'Inputs'!$B$31+'Inputs'!$B$32,'Inputs'!$B$30+'Inputs'!$B$31+'Inputs'!$B$32)/1000+'Inputs'!$B$21+'Inputs'!$B$7+'Inputs'!$B$10))/SQRT((((410-43)*MAX('Inputs'!$B$33,'Inputs'!$B$29+'Inputs'!$B$31+'Inputs'!$B$32,'Inputs'!$B$30+'Inputs'!$B$31+'Inputs'!$B$32)/1000+'Inputs'!$B$21+'Inputs'!$B$7+'Inputs'!$B$10))^2+('Inputs'!$B$8/2)^2))))*'Results'!$B$8)-'Inputs'!$B$28*ABS((('Results'!B7*(1-'Inputs'!$B$24)*(0.5*((((410-43)*MAX('Inputs'!$B$33,'Inputs'!$B$29+'Inputs'!$B$31+'Inputs'!$B$32,'Inputs'!$B$30+'Inputs'!$B$31+'Inputs'!$B$32)/1000+'Inputs'!$B$21)+'Inputs'!$B$7)/SQRT((((410-43)*MAX('Inputs'!$B$33,'Inputs'!$B$29+'Inputs'!$B$31+'Inputs'!$B$32,'Inputs'!$B$30+'Inputs'!$B$31+'Inputs'!$B$32)/1000+'Inputs'!$B$21)+'Inputs'!$B$7)^2+('Inputs'!$B$6/2)^2)-(((410-43)*MAX('Inputs'!$B$33,'Inputs'!$B$29+'Inputs'!$B$31+'Inputs'!$B$32,'Inputs'!$B$30+'Inputs'!$B$31+'Inputs'!$B$32)/1000+'Inputs'!$B$21))/SQRT((((410-43)*MAX('Inputs'!$B$33,'Inputs'!$B$29+'Inputs'!$B$31+'Inputs'!$B$32,'Inputs'!$B$30+'Inputs'!$B$31+'Inputs'!$B$32)/1000+'Inputs'!$B$21))^2+('Inputs'!$B$6/2)^2)))-'Results'!C7*(1+'Inputs'!$B$24)*(0.5*((((410-43)*MAX('Inputs'!$B$33,'Inputs'!$B$29+'Inputs'!$B$31+'Inputs'!$B$32,'Inputs'!$B$30+'Inputs'!$B$31+'Inputs'!$B$32)/1000+'Inputs'!$B$21+'Inputs'!$B$7+'Inputs'!$B$10)+'Inputs'!$B$9)/SQRT((((410-43)*MAX('Inputs'!$B$33,'Inputs'!$B$29+'Inputs'!$B$31+'Inputs'!$B$32,'Inputs'!$B$30+'Inputs'!$B$31+'Inputs'!$B$32)/1000+'Inputs'!$B$21+'Inputs'!$B$7+'Inputs'!$B$10)+'Inputs'!$B$9)^2+('Inputs'!$B$8/2)^2)-(((410-43)*MAX('Inputs'!$B$33,'Inputs'!$B$29+'Inputs'!$B$31+'Inputs'!$B$32,'Inputs'!$B$30+'Inputs'!$B$31+'Inputs'!$B$32)/1000+'Inputs'!$B$21+'Inputs'!$B$7+'Inputs'!$B$10))/SQRT((((410-43)*MAX('Inputs'!$B$33,'Inputs'!$B$29+'Inputs'!$B$31+'Inputs'!$B$32,'Inputs'!$B$30+'Inputs'!$B$31+'Inputs'!$B$32)/1000+'Inputs'!$B$21+'Inputs'!$B$7+'Inputs'!$B$10))^2+('Inputs'!$B$8/2)^2))))*'Results'!$B$8))),"")</x:f>
        <x:v>10.532933054582223</x:v>
      </x:c>
      <x:c r="L410" t="n">
        <x:f>IF(AND(ISNUMBER('Results'!B7),ISNUMBER('Results'!C7),ISNUMBER('Results'!$B$8),ISNUMBER('Inputs'!$B$6),ISNUMBER('Inputs'!$B$7),ISNUMBER('Inputs'!$B$8),ISNUMBER('Inputs'!$B$9),ISNUMBER('Inputs'!$B$10),ISNUMBER('Inputs'!$B$21),ISNUMBER('Inputs'!$B$24),ISNUMBER('Inputs'!$B$28)),((('Results'!B7*(1+'Inputs'!$B$24)*(0.5*((((410-43)*MAX('Inputs'!$B$33,'Inputs'!$B$29+'Inputs'!$B$31+'Inputs'!$B$32,'Inputs'!$B$30+'Inputs'!$B$31+'Inputs'!$B$32)/1000+'Inputs'!$B$21)+'Inputs'!$B$7)/SQRT((((410-43)*MAX('Inputs'!$B$33,'Inputs'!$B$29+'Inputs'!$B$31+'Inputs'!$B$32,'Inputs'!$B$30+'Inputs'!$B$31+'Inputs'!$B$32)/1000+'Inputs'!$B$21)+'Inputs'!$B$7)^2+('Inputs'!$B$6/2)^2)-(((410-43)*MAX('Inputs'!$B$33,'Inputs'!$B$29+'Inputs'!$B$31+'Inputs'!$B$32,'Inputs'!$B$30+'Inputs'!$B$31+'Inputs'!$B$32)/1000+'Inputs'!$B$21))/SQRT((((410-43)*MAX('Inputs'!$B$33,'Inputs'!$B$29+'Inputs'!$B$31+'Inputs'!$B$32,'Inputs'!$B$30+'Inputs'!$B$31+'Inputs'!$B$32)/1000+'Inputs'!$B$21))^2+('Inputs'!$B$6/2)^2)))-'Results'!C7*(1-'Inputs'!$B$24)*(0.5*((((410-43)*MAX('Inputs'!$B$33,'Inputs'!$B$29+'Inputs'!$B$31+'Inputs'!$B$32,'Inputs'!$B$30+'Inputs'!$B$31+'Inputs'!$B$32)/1000+'Inputs'!$B$21+'Inputs'!$B$7+'Inputs'!$B$10)+'Inputs'!$B$9)/SQRT((((410-43)*MAX('Inputs'!$B$33,'Inputs'!$B$29+'Inputs'!$B$31+'Inputs'!$B$32,'Inputs'!$B$30+'Inputs'!$B$31+'Inputs'!$B$32)/1000+'Inputs'!$B$21+'Inputs'!$B$7+'Inputs'!$B$10)+'Inputs'!$B$9)^2+('Inputs'!$B$8/2)^2)-(((410-43)*MAX('Inputs'!$B$33,'Inputs'!$B$29+'Inputs'!$B$31+'Inputs'!$B$32,'Inputs'!$B$30+'Inputs'!$B$31+'Inputs'!$B$32)/1000+'Inputs'!$B$21+'Inputs'!$B$7+'Inputs'!$B$10))/SQRT((((410-43)*MAX('Inputs'!$B$33,'Inputs'!$B$29+'Inputs'!$B$31+'Inputs'!$B$32,'Inputs'!$B$30+'Inputs'!$B$31+'Inputs'!$B$32)/1000+'Inputs'!$B$21+'Inputs'!$B$7+'Inputs'!$B$10))^2+('Inputs'!$B$8/2)^2))))*'Results'!$B$8)+'Inputs'!$B$28*ABS((('Results'!B7*(1+'Inputs'!$B$24)*(0.5*((((410-43)*MAX('Inputs'!$B$33,'Inputs'!$B$29+'Inputs'!$B$31+'Inputs'!$B$32,'Inputs'!$B$30+'Inputs'!$B$31+'Inputs'!$B$32)/1000+'Inputs'!$B$21)+'Inputs'!$B$7)/SQRT((((410-43)*MAX('Inputs'!$B$33,'Inputs'!$B$29+'Inputs'!$B$31+'Inputs'!$B$32,'Inputs'!$B$30+'Inputs'!$B$31+'Inputs'!$B$32)/1000+'Inputs'!$B$21)+'Inputs'!$B$7)^2+('Inputs'!$B$6/2)^2)-(((410-43)*MAX('Inputs'!$B$33,'Inputs'!$B$29+'Inputs'!$B$31+'Inputs'!$B$32,'Inputs'!$B$30+'Inputs'!$B$31+'Inputs'!$B$32)/1000+'Inputs'!$B$21))/SQRT((((410-43)*MAX('Inputs'!$B$33,'Inputs'!$B$29+'Inputs'!$B$31+'Inputs'!$B$32,'Inputs'!$B$30+'Inputs'!$B$31+'Inputs'!$B$32)/1000+'Inputs'!$B$21))^2+('Inputs'!$B$6/2)^2)))-'Results'!C7*(1-'Inputs'!$B$24)*(0.5*((((410-43)*MAX('Inputs'!$B$33,'Inputs'!$B$29+'Inputs'!$B$31+'Inputs'!$B$32,'Inputs'!$B$30+'Inputs'!$B$31+'Inputs'!$B$32)/1000+'Inputs'!$B$21+'Inputs'!$B$7+'Inputs'!$B$10)+'Inputs'!$B$9)/SQRT((((410-43)*MAX('Inputs'!$B$33,'Inputs'!$B$29+'Inputs'!$B$31+'Inputs'!$B$32,'Inputs'!$B$30+'Inputs'!$B$31+'Inputs'!$B$32)/1000+'Inputs'!$B$21+'Inputs'!$B$7+'Inputs'!$B$10)+'Inputs'!$B$9)^2+('Inputs'!$B$8/2)^2)-(((410-43)*MAX('Inputs'!$B$33,'Inputs'!$B$29+'Inputs'!$B$31+'Inputs'!$B$32,'Inputs'!$B$30+'Inputs'!$B$31+'Inputs'!$B$32)/1000+'Inputs'!$B$21+'Inputs'!$B$7+'Inputs'!$B$10))/SQRT((((410-43)*MAX('Inputs'!$B$33,'Inputs'!$B$29+'Inputs'!$B$31+'Inputs'!$B$32,'Inputs'!$B$30+'Inputs'!$B$31+'Inputs'!$B$32)/1000+'Inputs'!$B$21+'Inputs'!$B$7+'Inputs'!$B$10))^2+('Inputs'!$B$8/2)^2))))*'Results'!$B$8))),"")</x:f>
        <x:v>12.973158756369997</x:v>
      </x:c>
      <x:c r="M410" t="n">
        <x:f>IF(AND(ISNUMBER('Results'!C7),ISNUMBER('Results'!B7),ISNUMBER('Results'!$B$8),ISNUMBER('Inputs'!$B$6),ISNUMBER('Inputs'!$B$7),ISNUMBER('Inputs'!$B$8),ISNUMBER('Inputs'!$B$9),ISNUMBER('Inputs'!$B$10),ISNUMBER('Inputs'!$B$21),ISNUMBER('Inputs'!$B$24),ISNUMBER('Inputs'!$B$28)),(('Results'!C7*(0.5*((((410-43)*MAX('Inputs'!$B$33,'Inputs'!$B$29+'Inputs'!$B$31+'Inputs'!$B$32,'Inputs'!$B$30+'Inputs'!$B$31+'Inputs'!$B$32)/1000+'Inputs'!$B$21)+'Inputs'!$B$9)/SQRT((((410-43)*MAX('Inputs'!$B$33,'Inputs'!$B$29+'Inputs'!$B$31+'Inputs'!$B$32,'Inputs'!$B$30+'Inputs'!$B$31+'Inputs'!$B$32)/1000+'Inputs'!$B$21)+'Inputs'!$B$9)^2+('Inputs'!$B$8/2)^2)-(((410-43)*MAX('Inputs'!$B$33,'Inputs'!$B$29+'Inputs'!$B$31+'Inputs'!$B$32,'Inputs'!$B$30+'Inputs'!$B$31+'Inputs'!$B$32)/1000+'Inputs'!$B$21))/SQRT((((410-43)*MAX('Inputs'!$B$33,'Inputs'!$B$29+'Inputs'!$B$31+'Inputs'!$B$32,'Inputs'!$B$30+'Inputs'!$B$31+'Inputs'!$B$32)/1000+'Inputs'!$B$21))^2+('Inputs'!$B$8/2)^2)))-'Results'!B7*(0.5*((((410-43)*MAX('Inputs'!$B$33,'Inputs'!$B$29+'Inputs'!$B$31+'Inputs'!$B$32,'Inputs'!$B$30+'Inputs'!$B$31+'Inputs'!$B$32)/1000+'Inputs'!$B$21+'Inputs'!$B$9+'Inputs'!$B$10)+'Inputs'!$B$7)/SQRT((((410-43)*MAX('Inputs'!$B$33,'Inputs'!$B$29+'Inputs'!$B$31+'Inputs'!$B$32,'Inputs'!$B$30+'Inputs'!$B$31+'Inputs'!$B$32)/1000+'Inputs'!$B$21+'Inputs'!$B$9+'Inputs'!$B$10)+'Inputs'!$B$7)^2+('Inputs'!$B$6/2)^2)-(((410-43)*MAX('Inputs'!$B$33,'Inputs'!$B$29+'Inputs'!$B$31+'Inputs'!$B$32,'Inputs'!$B$30+'Inputs'!$B$31+'Inputs'!$B$32)/1000+'Inputs'!$B$21+'Inputs'!$B$9+'Inputs'!$B$10))/SQRT((((410-43)*MAX('Inputs'!$B$33,'Inputs'!$B$29+'Inputs'!$B$31+'Inputs'!$B$32,'Inputs'!$B$30+'Inputs'!$B$31+'Inputs'!$B$32)/1000+'Inputs'!$B$21+'Inputs'!$B$9+'Inputs'!$B$10))^2+('Inputs'!$B$6/2)^2))))*'Results'!$B$8),"")</x:f>
        <x:v>11.083220209361663</x:v>
      </x:c>
      <x:c r="N410" t="n">
        <x:f>IF(AND(ISNUMBER('Results'!C7),ISNUMBER('Results'!B7),ISNUMBER('Results'!$B$8),ISNUMBER('Inputs'!$B$6),ISNUMBER('Inputs'!$B$7),ISNUMBER('Inputs'!$B$8),ISNUMBER('Inputs'!$B$9),ISNUMBER('Inputs'!$B$10),ISNUMBER('Inputs'!$B$21),ISNUMBER('Inputs'!$B$24),ISNUMBER('Inputs'!$B$28)),((('Results'!C7*(1-'Inputs'!$B$24)*(0.5*((((410-43)*MAX('Inputs'!$B$33,'Inputs'!$B$29+'Inputs'!$B$31+'Inputs'!$B$32,'Inputs'!$B$30+'Inputs'!$B$31+'Inputs'!$B$32)/1000+'Inputs'!$B$21)+'Inputs'!$B$9)/SQRT((((410-43)*MAX('Inputs'!$B$33,'Inputs'!$B$29+'Inputs'!$B$31+'Inputs'!$B$32,'Inputs'!$B$30+'Inputs'!$B$31+'Inputs'!$B$32)/1000+'Inputs'!$B$21)+'Inputs'!$B$9)^2+('Inputs'!$B$8/2)^2)-(((410-43)*MAX('Inputs'!$B$33,'Inputs'!$B$29+'Inputs'!$B$31+'Inputs'!$B$32,'Inputs'!$B$30+'Inputs'!$B$31+'Inputs'!$B$32)/1000+'Inputs'!$B$21))/SQRT((((410-43)*MAX('Inputs'!$B$33,'Inputs'!$B$29+'Inputs'!$B$31+'Inputs'!$B$32,'Inputs'!$B$30+'Inputs'!$B$31+'Inputs'!$B$32)/1000+'Inputs'!$B$21))^2+('Inputs'!$B$8/2)^2)))-'Results'!B7*(1+'Inputs'!$B$24)*(0.5*((((410-43)*MAX('Inputs'!$B$33,'Inputs'!$B$29+'Inputs'!$B$31+'Inputs'!$B$32,'Inputs'!$B$30+'Inputs'!$B$31+'Inputs'!$B$32)/1000+'Inputs'!$B$21+'Inputs'!$B$9+'Inputs'!$B$10)+'Inputs'!$B$7)/SQRT((((410-43)*MAX('Inputs'!$B$33,'Inputs'!$B$29+'Inputs'!$B$31+'Inputs'!$B$32,'Inputs'!$B$30+'Inputs'!$B$31+'Inputs'!$B$32)/1000+'Inputs'!$B$21+'Inputs'!$B$9+'Inputs'!$B$10)+'Inputs'!$B$7)^2+('Inputs'!$B$6/2)^2)-(((410-43)*MAX('Inputs'!$B$33,'Inputs'!$B$29+'Inputs'!$B$31+'Inputs'!$B$32,'Inputs'!$B$30+'Inputs'!$B$31+'Inputs'!$B$32)/1000+'Inputs'!$B$21+'Inputs'!$B$9+'Inputs'!$B$10))/SQRT((((410-43)*MAX('Inputs'!$B$33,'Inputs'!$B$29+'Inputs'!$B$31+'Inputs'!$B$32,'Inputs'!$B$30+'Inputs'!$B$31+'Inputs'!$B$32)/1000+'Inputs'!$B$21+'Inputs'!$B$9+'Inputs'!$B$10))^2+('Inputs'!$B$6/2)^2))))*'Results'!$B$8)-'Inputs'!$B$28*ABS((('Results'!C7*(1-'Inputs'!$B$24)*(0.5*((((410-43)*MAX('Inputs'!$B$33,'Inputs'!$B$29+'Inputs'!$B$31+'Inputs'!$B$32,'Inputs'!$B$30+'Inputs'!$B$31+'Inputs'!$B$32)/1000+'Inputs'!$B$21)+'Inputs'!$B$9)/SQRT((((410-43)*MAX('Inputs'!$B$33,'Inputs'!$B$29+'Inputs'!$B$31+'Inputs'!$B$32,'Inputs'!$B$30+'Inputs'!$B$31+'Inputs'!$B$32)/1000+'Inputs'!$B$21)+'Inputs'!$B$9)^2+('Inputs'!$B$8/2)^2)-(((410-43)*MAX('Inputs'!$B$33,'Inputs'!$B$29+'Inputs'!$B$31+'Inputs'!$B$32,'Inputs'!$B$30+'Inputs'!$B$31+'Inputs'!$B$32)/1000+'Inputs'!$B$21))/SQRT((((410-43)*MAX('Inputs'!$B$33,'Inputs'!$B$29+'Inputs'!$B$31+'Inputs'!$B$32,'Inputs'!$B$30+'Inputs'!$B$31+'Inputs'!$B$32)/1000+'Inputs'!$B$21))^2+('Inputs'!$B$8/2)^2)))-'Results'!B7*(1+'Inputs'!$B$24)*(0.5*((((410-43)*MAX('Inputs'!$B$33,'Inputs'!$B$29+'Inputs'!$B$31+'Inputs'!$B$32,'Inputs'!$B$30+'Inputs'!$B$31+'Inputs'!$B$32)/1000+'Inputs'!$B$21+'Inputs'!$B$9+'Inputs'!$B$10)+'Inputs'!$B$7)/SQRT((((410-43)*MAX('Inputs'!$B$33,'Inputs'!$B$29+'Inputs'!$B$31+'Inputs'!$B$32,'Inputs'!$B$30+'Inputs'!$B$31+'Inputs'!$B$32)/1000+'Inputs'!$B$21+'Inputs'!$B$9+'Inputs'!$B$10)+'Inputs'!$B$7)^2+('Inputs'!$B$6/2)^2)-(((410-43)*MAX('Inputs'!$B$33,'Inputs'!$B$29+'Inputs'!$B$31+'Inputs'!$B$32,'Inputs'!$B$30+'Inputs'!$B$31+'Inputs'!$B$32)/1000+'Inputs'!$B$21+'Inputs'!$B$9+'Inputs'!$B$10))/SQRT((((410-43)*MAX('Inputs'!$B$33,'Inputs'!$B$29+'Inputs'!$B$31+'Inputs'!$B$32,'Inputs'!$B$30+'Inputs'!$B$31+'Inputs'!$B$32)/1000+'Inputs'!$B$21+'Inputs'!$B$9+'Inputs'!$B$10))^2+('Inputs'!$B$6/2)^2))))*'Results'!$B$8))),"")</x:f>
        <x:v>9.931092446051322</x:v>
      </x:c>
      <x:c r="O410" t="n">
        <x:f>IF(AND(ISNUMBER('Results'!C7),ISNUMBER('Results'!B7),ISNUMBER('Results'!$B$8),ISNUMBER('Inputs'!$B$6),ISNUMBER('Inputs'!$B$7),ISNUMBER('Inputs'!$B$8),ISNUMBER('Inputs'!$B$9),ISNUMBER('Inputs'!$B$10),ISNUMBER('Inputs'!$B$21),ISNUMBER('Inputs'!$B$24),ISNUMBER('Inputs'!$B$28)),((('Results'!C7*(1+'Inputs'!$B$24)*(0.5*((((410-43)*MAX('Inputs'!$B$33,'Inputs'!$B$29+'Inputs'!$B$31+'Inputs'!$B$32,'Inputs'!$B$30+'Inputs'!$B$31+'Inputs'!$B$32)/1000+'Inputs'!$B$21)+'Inputs'!$B$9)/SQRT((((410-43)*MAX('Inputs'!$B$33,'Inputs'!$B$29+'Inputs'!$B$31+'Inputs'!$B$32,'Inputs'!$B$30+'Inputs'!$B$31+'Inputs'!$B$32)/1000+'Inputs'!$B$21)+'Inputs'!$B$9)^2+('Inputs'!$B$8/2)^2)-(((410-43)*MAX('Inputs'!$B$33,'Inputs'!$B$29+'Inputs'!$B$31+'Inputs'!$B$32,'Inputs'!$B$30+'Inputs'!$B$31+'Inputs'!$B$32)/1000+'Inputs'!$B$21))/SQRT((((410-43)*MAX('Inputs'!$B$33,'Inputs'!$B$29+'Inputs'!$B$31+'Inputs'!$B$32,'Inputs'!$B$30+'Inputs'!$B$31+'Inputs'!$B$32)/1000+'Inputs'!$B$21))^2+('Inputs'!$B$8/2)^2)))-'Results'!B7*(1-'Inputs'!$B$24)*(0.5*((((410-43)*MAX('Inputs'!$B$33,'Inputs'!$B$29+'Inputs'!$B$31+'Inputs'!$B$32,'Inputs'!$B$30+'Inputs'!$B$31+'Inputs'!$B$32)/1000+'Inputs'!$B$21+'Inputs'!$B$9+'Inputs'!$B$10)+'Inputs'!$B$7)/SQRT((((410-43)*MAX('Inputs'!$B$33,'Inputs'!$B$29+'Inputs'!$B$31+'Inputs'!$B$32,'Inputs'!$B$30+'Inputs'!$B$31+'Inputs'!$B$32)/1000+'Inputs'!$B$21+'Inputs'!$B$9+'Inputs'!$B$10)+'Inputs'!$B$7)^2+('Inputs'!$B$6/2)^2)-(((410-43)*MAX('Inputs'!$B$33,'Inputs'!$B$29+'Inputs'!$B$31+'Inputs'!$B$32,'Inputs'!$B$30+'Inputs'!$B$31+'Inputs'!$B$32)/1000+'Inputs'!$B$21+'Inputs'!$B$9+'Inputs'!$B$10))/SQRT((((410-43)*MAX('Inputs'!$B$33,'Inputs'!$B$29+'Inputs'!$B$31+'Inputs'!$B$32,'Inputs'!$B$30+'Inputs'!$B$31+'Inputs'!$B$32)/1000+'Inputs'!$B$21+'Inputs'!$B$9+'Inputs'!$B$10))^2+('Inputs'!$B$6/2)^2))))*'Results'!$B$8)+'Inputs'!$B$28*ABS((('Results'!C7*(1+'Inputs'!$B$24)*(0.5*((((410-43)*MAX('Inputs'!$B$33,'Inputs'!$B$29+'Inputs'!$B$31+'Inputs'!$B$32,'Inputs'!$B$30+'Inputs'!$B$31+'Inputs'!$B$32)/1000+'Inputs'!$B$21)+'Inputs'!$B$9)/SQRT((((410-43)*MAX('Inputs'!$B$33,'Inputs'!$B$29+'Inputs'!$B$31+'Inputs'!$B$32,'Inputs'!$B$30+'Inputs'!$B$31+'Inputs'!$B$32)/1000+'Inputs'!$B$21)+'Inputs'!$B$9)^2+('Inputs'!$B$8/2)^2)-(((410-43)*MAX('Inputs'!$B$33,'Inputs'!$B$29+'Inputs'!$B$31+'Inputs'!$B$32,'Inputs'!$B$30+'Inputs'!$B$31+'Inputs'!$B$32)/1000+'Inputs'!$B$21))/SQRT((((410-43)*MAX('Inputs'!$B$33,'Inputs'!$B$29+'Inputs'!$B$31+'Inputs'!$B$32,'Inputs'!$B$30+'Inputs'!$B$31+'Inputs'!$B$32)/1000+'Inputs'!$B$21))^2+('Inputs'!$B$8/2)^2)))-'Results'!B7*(1-'Inputs'!$B$24)*(0.5*((((410-43)*MAX('Inputs'!$B$33,'Inputs'!$B$29+'Inputs'!$B$31+'Inputs'!$B$32,'Inputs'!$B$30+'Inputs'!$B$31+'Inputs'!$B$32)/1000+'Inputs'!$B$21+'Inputs'!$B$9+'Inputs'!$B$10)+'Inputs'!$B$7)/SQRT((((410-43)*MAX('Inputs'!$B$33,'Inputs'!$B$29+'Inputs'!$B$31+'Inputs'!$B$32,'Inputs'!$B$30+'Inputs'!$B$31+'Inputs'!$B$32)/1000+'Inputs'!$B$21+'Inputs'!$B$9+'Inputs'!$B$10)+'Inputs'!$B$7)^2+('Inputs'!$B$6/2)^2)-(((410-43)*MAX('Inputs'!$B$33,'Inputs'!$B$29+'Inputs'!$B$31+'Inputs'!$B$32,'Inputs'!$B$30+'Inputs'!$B$31+'Inputs'!$B$32)/1000+'Inputs'!$B$21+'Inputs'!$B$9+'Inputs'!$B$10))/SQRT((((410-43)*MAX('Inputs'!$B$33,'Inputs'!$B$29+'Inputs'!$B$31+'Inputs'!$B$32,'Inputs'!$B$30+'Inputs'!$B$31+'Inputs'!$B$32)/1000+'Inputs'!$B$21+'Inputs'!$B$9+'Inputs'!$B$10))^2+('Inputs'!$B$6/2)^2))))*'Results'!$B$8))),"")</x:f>
        <x:v>12.298291841392244</x:v>
      </x:c>
      <x:c r="P410" t="n">
        <x:f>IF(AND(MAX(J410,J409)&gt;0,J410&gt;J409+0.00000001),1,0)</x:f>
        <x:v>0</x:v>
      </x:c>
      <x:c r="Q410" t="n">
        <x:f>IF(AND(MAX(K410,K409)&gt;0,K410&gt;K409+0.00000001),1,0)</x:f>
        <x:v>0</x:v>
      </x:c>
      <x:c r="R410" t="n">
        <x:f>IF(AND(MAX(L410,L409)&gt;0,L410&gt;L409+0.00000001),1,0)</x:f>
        <x:v>0</x:v>
      </x:c>
      <x:c r="S410" t="n">
        <x:f>IF(AND(MAX(M410,M409)&gt;0,M410&gt;M409+0.00000001),1,0)</x:f>
        <x:v>0</x:v>
      </x:c>
      <x:c r="T410" t="n">
        <x:f>IF(AND(MAX(N410,N409)&gt;0,N410&gt;N409+0.00000001),1,0)</x:f>
        <x:v>0</x:v>
      </x:c>
      <x:c r="U410" t="n">
        <x:f>IF(AND(MAX(O410,O409)&gt;0,O410&gt;O409+0.00000001),1,0)</x:f>
        <x:v>0</x:v>
      </x:c>
    </x:row>
    <x:row r="411">
      <x:c r="J411" t="n">
        <x:f>IF(AND(ISNUMBER('Results'!B7),ISNUMBER('Results'!C7),ISNUMBER('Results'!$B$8),ISNUMBER('Inputs'!$B$6),ISNUMBER('Inputs'!$B$7),ISNUMBER('Inputs'!$B$8),ISNUMBER('Inputs'!$B$9),ISNUMBER('Inputs'!$B$10),ISNUMBER('Inputs'!$B$21),ISNUMBER('Inputs'!$B$24),ISNUMBER('Inputs'!$B$28)),(('Results'!B7*(0.5*((((411-43)*MAX('Inputs'!$B$33,'Inputs'!$B$29+'Inputs'!$B$31+'Inputs'!$B$32,'Inputs'!$B$30+'Inputs'!$B$31+'Inputs'!$B$32)/1000+'Inputs'!$B$21)+'Inputs'!$B$7)/SQRT((((411-43)*MAX('Inputs'!$B$33,'Inputs'!$B$29+'Inputs'!$B$31+'Inputs'!$B$32,'Inputs'!$B$30+'Inputs'!$B$31+'Inputs'!$B$32)/1000+'Inputs'!$B$21)+'Inputs'!$B$7)^2+('Inputs'!$B$6/2)^2)-(((411-43)*MAX('Inputs'!$B$33,'Inputs'!$B$29+'Inputs'!$B$31+'Inputs'!$B$32,'Inputs'!$B$30+'Inputs'!$B$31+'Inputs'!$B$32)/1000+'Inputs'!$B$21))/SQRT((((411-43)*MAX('Inputs'!$B$33,'Inputs'!$B$29+'Inputs'!$B$31+'Inputs'!$B$32,'Inputs'!$B$30+'Inputs'!$B$31+'Inputs'!$B$32)/1000+'Inputs'!$B$21))^2+('Inputs'!$B$6/2)^2)))-'Results'!C7*(0.5*((((411-43)*MAX('Inputs'!$B$33,'Inputs'!$B$29+'Inputs'!$B$31+'Inputs'!$B$32,'Inputs'!$B$30+'Inputs'!$B$31+'Inputs'!$B$32)/1000+'Inputs'!$B$21+'Inputs'!$B$7+'Inputs'!$B$10)+'Inputs'!$B$9)/SQRT((((411-43)*MAX('Inputs'!$B$33,'Inputs'!$B$29+'Inputs'!$B$31+'Inputs'!$B$32,'Inputs'!$B$30+'Inputs'!$B$31+'Inputs'!$B$32)/1000+'Inputs'!$B$21+'Inputs'!$B$7+'Inputs'!$B$10)+'Inputs'!$B$9)^2+('Inputs'!$B$8/2)^2)-(((411-43)*MAX('Inputs'!$B$33,'Inputs'!$B$29+'Inputs'!$B$31+'Inputs'!$B$32,'Inputs'!$B$30+'Inputs'!$B$31+'Inputs'!$B$32)/1000+'Inputs'!$B$21+'Inputs'!$B$7+'Inputs'!$B$10))/SQRT((((411-43)*MAX('Inputs'!$B$33,'Inputs'!$B$29+'Inputs'!$B$31+'Inputs'!$B$32,'Inputs'!$B$30+'Inputs'!$B$31+'Inputs'!$B$32)/1000+'Inputs'!$B$21+'Inputs'!$B$7+'Inputs'!$B$10))^2+('Inputs'!$B$8/2)^2))))*'Results'!$B$8),"")</x:f>
        <x:v>11.618260286774213</x:v>
      </x:c>
      <x:c r="K411" t="n">
        <x:f>IF(AND(ISNUMBER('Results'!B7),ISNUMBER('Results'!C7),ISNUMBER('Results'!$B$8),ISNUMBER('Inputs'!$B$6),ISNUMBER('Inputs'!$B$7),ISNUMBER('Inputs'!$B$8),ISNUMBER('Inputs'!$B$9),ISNUMBER('Inputs'!$B$10),ISNUMBER('Inputs'!$B$21),ISNUMBER('Inputs'!$B$24),ISNUMBER('Inputs'!$B$28)),((('Results'!B7*(1-'Inputs'!$B$24)*(0.5*((((411-43)*MAX('Inputs'!$B$33,'Inputs'!$B$29+'Inputs'!$B$31+'Inputs'!$B$32,'Inputs'!$B$30+'Inputs'!$B$31+'Inputs'!$B$32)/1000+'Inputs'!$B$21)+'Inputs'!$B$7)/SQRT((((411-43)*MAX('Inputs'!$B$33,'Inputs'!$B$29+'Inputs'!$B$31+'Inputs'!$B$32,'Inputs'!$B$30+'Inputs'!$B$31+'Inputs'!$B$32)/1000+'Inputs'!$B$21)+'Inputs'!$B$7)^2+('Inputs'!$B$6/2)^2)-(((411-43)*MAX('Inputs'!$B$33,'Inputs'!$B$29+'Inputs'!$B$31+'Inputs'!$B$32,'Inputs'!$B$30+'Inputs'!$B$31+'Inputs'!$B$32)/1000+'Inputs'!$B$21))/SQRT((((411-43)*MAX('Inputs'!$B$33,'Inputs'!$B$29+'Inputs'!$B$31+'Inputs'!$B$32,'Inputs'!$B$30+'Inputs'!$B$31+'Inputs'!$B$32)/1000+'Inputs'!$B$21))^2+('Inputs'!$B$6/2)^2)))-'Results'!C7*(1+'Inputs'!$B$24)*(0.5*((((411-43)*MAX('Inputs'!$B$33,'Inputs'!$B$29+'Inputs'!$B$31+'Inputs'!$B$32,'Inputs'!$B$30+'Inputs'!$B$31+'Inputs'!$B$32)/1000+'Inputs'!$B$21+'Inputs'!$B$7+'Inputs'!$B$10)+'Inputs'!$B$9)/SQRT((((411-43)*MAX('Inputs'!$B$33,'Inputs'!$B$29+'Inputs'!$B$31+'Inputs'!$B$32,'Inputs'!$B$30+'Inputs'!$B$31+'Inputs'!$B$32)/1000+'Inputs'!$B$21+'Inputs'!$B$7+'Inputs'!$B$10)+'Inputs'!$B$9)^2+('Inputs'!$B$8/2)^2)-(((411-43)*MAX('Inputs'!$B$33,'Inputs'!$B$29+'Inputs'!$B$31+'Inputs'!$B$32,'Inputs'!$B$30+'Inputs'!$B$31+'Inputs'!$B$32)/1000+'Inputs'!$B$21+'Inputs'!$B$7+'Inputs'!$B$10))/SQRT((((411-43)*MAX('Inputs'!$B$33,'Inputs'!$B$29+'Inputs'!$B$31+'Inputs'!$B$32,'Inputs'!$B$30+'Inputs'!$B$31+'Inputs'!$B$32)/1000+'Inputs'!$B$21+'Inputs'!$B$7+'Inputs'!$B$10))^2+('Inputs'!$B$8/2)^2))))*'Results'!$B$8)-'Inputs'!$B$28*ABS((('Results'!B7*(1-'Inputs'!$B$24)*(0.5*((((411-43)*MAX('Inputs'!$B$33,'Inputs'!$B$29+'Inputs'!$B$31+'Inputs'!$B$32,'Inputs'!$B$30+'Inputs'!$B$31+'Inputs'!$B$32)/1000+'Inputs'!$B$21)+'Inputs'!$B$7)/SQRT((((411-43)*MAX('Inputs'!$B$33,'Inputs'!$B$29+'Inputs'!$B$31+'Inputs'!$B$32,'Inputs'!$B$30+'Inputs'!$B$31+'Inputs'!$B$32)/1000+'Inputs'!$B$21)+'Inputs'!$B$7)^2+('Inputs'!$B$6/2)^2)-(((411-43)*MAX('Inputs'!$B$33,'Inputs'!$B$29+'Inputs'!$B$31+'Inputs'!$B$32,'Inputs'!$B$30+'Inputs'!$B$31+'Inputs'!$B$32)/1000+'Inputs'!$B$21))/SQRT((((411-43)*MAX('Inputs'!$B$33,'Inputs'!$B$29+'Inputs'!$B$31+'Inputs'!$B$32,'Inputs'!$B$30+'Inputs'!$B$31+'Inputs'!$B$32)/1000+'Inputs'!$B$21))^2+('Inputs'!$B$6/2)^2)))-'Results'!C7*(1+'Inputs'!$B$24)*(0.5*((((411-43)*MAX('Inputs'!$B$33,'Inputs'!$B$29+'Inputs'!$B$31+'Inputs'!$B$32,'Inputs'!$B$30+'Inputs'!$B$31+'Inputs'!$B$32)/1000+'Inputs'!$B$21+'Inputs'!$B$7+'Inputs'!$B$10)+'Inputs'!$B$9)/SQRT((((411-43)*MAX('Inputs'!$B$33,'Inputs'!$B$29+'Inputs'!$B$31+'Inputs'!$B$32,'Inputs'!$B$30+'Inputs'!$B$31+'Inputs'!$B$32)/1000+'Inputs'!$B$21+'Inputs'!$B$7+'Inputs'!$B$10)+'Inputs'!$B$9)^2+('Inputs'!$B$8/2)^2)-(((411-43)*MAX('Inputs'!$B$33,'Inputs'!$B$29+'Inputs'!$B$31+'Inputs'!$B$32,'Inputs'!$B$30+'Inputs'!$B$31+'Inputs'!$B$32)/1000+'Inputs'!$B$21+'Inputs'!$B$7+'Inputs'!$B$10))/SQRT((((411-43)*MAX('Inputs'!$B$33,'Inputs'!$B$29+'Inputs'!$B$31+'Inputs'!$B$32,'Inputs'!$B$30+'Inputs'!$B$31+'Inputs'!$B$32)/1000+'Inputs'!$B$21+'Inputs'!$B$7+'Inputs'!$B$10))^2+('Inputs'!$B$8/2)^2))))*'Results'!$B$8))),"")</x:f>
        <x:v>10.439173518984822</x:v>
      </x:c>
      <x:c r="L411" t="n">
        <x:f>IF(AND(ISNUMBER('Results'!B7),ISNUMBER('Results'!C7),ISNUMBER('Results'!$B$8),ISNUMBER('Inputs'!$B$6),ISNUMBER('Inputs'!$B$7),ISNUMBER('Inputs'!$B$8),ISNUMBER('Inputs'!$B$9),ISNUMBER('Inputs'!$B$10),ISNUMBER('Inputs'!$B$21),ISNUMBER('Inputs'!$B$24),ISNUMBER('Inputs'!$B$28)),((('Results'!B7*(1+'Inputs'!$B$24)*(0.5*((((411-43)*MAX('Inputs'!$B$33,'Inputs'!$B$29+'Inputs'!$B$31+'Inputs'!$B$32,'Inputs'!$B$30+'Inputs'!$B$31+'Inputs'!$B$32)/1000+'Inputs'!$B$21)+'Inputs'!$B$7)/SQRT((((411-43)*MAX('Inputs'!$B$33,'Inputs'!$B$29+'Inputs'!$B$31+'Inputs'!$B$32,'Inputs'!$B$30+'Inputs'!$B$31+'Inputs'!$B$32)/1000+'Inputs'!$B$21)+'Inputs'!$B$7)^2+('Inputs'!$B$6/2)^2)-(((411-43)*MAX('Inputs'!$B$33,'Inputs'!$B$29+'Inputs'!$B$31+'Inputs'!$B$32,'Inputs'!$B$30+'Inputs'!$B$31+'Inputs'!$B$32)/1000+'Inputs'!$B$21))/SQRT((((411-43)*MAX('Inputs'!$B$33,'Inputs'!$B$29+'Inputs'!$B$31+'Inputs'!$B$32,'Inputs'!$B$30+'Inputs'!$B$31+'Inputs'!$B$32)/1000+'Inputs'!$B$21))^2+('Inputs'!$B$6/2)^2)))-'Results'!C7*(1-'Inputs'!$B$24)*(0.5*((((411-43)*MAX('Inputs'!$B$33,'Inputs'!$B$29+'Inputs'!$B$31+'Inputs'!$B$32,'Inputs'!$B$30+'Inputs'!$B$31+'Inputs'!$B$32)/1000+'Inputs'!$B$21+'Inputs'!$B$7+'Inputs'!$B$10)+'Inputs'!$B$9)/SQRT((((411-43)*MAX('Inputs'!$B$33,'Inputs'!$B$29+'Inputs'!$B$31+'Inputs'!$B$32,'Inputs'!$B$30+'Inputs'!$B$31+'Inputs'!$B$32)/1000+'Inputs'!$B$21+'Inputs'!$B$7+'Inputs'!$B$10)+'Inputs'!$B$9)^2+('Inputs'!$B$8/2)^2)-(((411-43)*MAX('Inputs'!$B$33,'Inputs'!$B$29+'Inputs'!$B$31+'Inputs'!$B$32,'Inputs'!$B$30+'Inputs'!$B$31+'Inputs'!$B$32)/1000+'Inputs'!$B$21+'Inputs'!$B$7+'Inputs'!$B$10))/SQRT((((411-43)*MAX('Inputs'!$B$33,'Inputs'!$B$29+'Inputs'!$B$31+'Inputs'!$B$32,'Inputs'!$B$30+'Inputs'!$B$31+'Inputs'!$B$32)/1000+'Inputs'!$B$21+'Inputs'!$B$7+'Inputs'!$B$10))^2+('Inputs'!$B$8/2)^2))))*'Results'!$B$8)+'Inputs'!$B$28*ABS((('Results'!B7*(1+'Inputs'!$B$24)*(0.5*((((411-43)*MAX('Inputs'!$B$33,'Inputs'!$B$29+'Inputs'!$B$31+'Inputs'!$B$32,'Inputs'!$B$30+'Inputs'!$B$31+'Inputs'!$B$32)/1000+'Inputs'!$B$21)+'Inputs'!$B$7)/SQRT((((411-43)*MAX('Inputs'!$B$33,'Inputs'!$B$29+'Inputs'!$B$31+'Inputs'!$B$32,'Inputs'!$B$30+'Inputs'!$B$31+'Inputs'!$B$32)/1000+'Inputs'!$B$21)+'Inputs'!$B$7)^2+('Inputs'!$B$6/2)^2)-(((411-43)*MAX('Inputs'!$B$33,'Inputs'!$B$29+'Inputs'!$B$31+'Inputs'!$B$32,'Inputs'!$B$30+'Inputs'!$B$31+'Inputs'!$B$32)/1000+'Inputs'!$B$21))/SQRT((((411-43)*MAX('Inputs'!$B$33,'Inputs'!$B$29+'Inputs'!$B$31+'Inputs'!$B$32,'Inputs'!$B$30+'Inputs'!$B$31+'Inputs'!$B$32)/1000+'Inputs'!$B$21))^2+('Inputs'!$B$6/2)^2)))-'Results'!C7*(1-'Inputs'!$B$24)*(0.5*((((411-43)*MAX('Inputs'!$B$33,'Inputs'!$B$29+'Inputs'!$B$31+'Inputs'!$B$32,'Inputs'!$B$30+'Inputs'!$B$31+'Inputs'!$B$32)/1000+'Inputs'!$B$21+'Inputs'!$B$7+'Inputs'!$B$10)+'Inputs'!$B$9)/SQRT((((411-43)*MAX('Inputs'!$B$33,'Inputs'!$B$29+'Inputs'!$B$31+'Inputs'!$B$32,'Inputs'!$B$30+'Inputs'!$B$31+'Inputs'!$B$32)/1000+'Inputs'!$B$21+'Inputs'!$B$7+'Inputs'!$B$10)+'Inputs'!$B$9)^2+('Inputs'!$B$8/2)^2)-(((411-43)*MAX('Inputs'!$B$33,'Inputs'!$B$29+'Inputs'!$B$31+'Inputs'!$B$32,'Inputs'!$B$30+'Inputs'!$B$31+'Inputs'!$B$32)/1000+'Inputs'!$B$21+'Inputs'!$B$7+'Inputs'!$B$10))/SQRT((((411-43)*MAX('Inputs'!$B$33,'Inputs'!$B$29+'Inputs'!$B$31+'Inputs'!$B$32,'Inputs'!$B$30+'Inputs'!$B$31+'Inputs'!$B$32)/1000+'Inputs'!$B$21+'Inputs'!$B$7+'Inputs'!$B$10))^2+('Inputs'!$B$8/2)^2))))*'Results'!$B$8))),"")</x:f>
        <x:v>12.86031271282157</x:v>
      </x:c>
      <x:c r="M411" t="n">
        <x:f>IF(AND(ISNUMBER('Results'!C7),ISNUMBER('Results'!B7),ISNUMBER('Results'!$B$8),ISNUMBER('Inputs'!$B$6),ISNUMBER('Inputs'!$B$7),ISNUMBER('Inputs'!$B$8),ISNUMBER('Inputs'!$B$9),ISNUMBER('Inputs'!$B$10),ISNUMBER('Inputs'!$B$21),ISNUMBER('Inputs'!$B$24),ISNUMBER('Inputs'!$B$28)),(('Results'!C7*(0.5*((((411-43)*MAX('Inputs'!$B$33,'Inputs'!$B$29+'Inputs'!$B$31+'Inputs'!$B$32,'Inputs'!$B$30+'Inputs'!$B$31+'Inputs'!$B$32)/1000+'Inputs'!$B$21)+'Inputs'!$B$9)/SQRT((((411-43)*MAX('Inputs'!$B$33,'Inputs'!$B$29+'Inputs'!$B$31+'Inputs'!$B$32,'Inputs'!$B$30+'Inputs'!$B$31+'Inputs'!$B$32)/1000+'Inputs'!$B$21)+'Inputs'!$B$9)^2+('Inputs'!$B$8/2)^2)-(((411-43)*MAX('Inputs'!$B$33,'Inputs'!$B$29+'Inputs'!$B$31+'Inputs'!$B$32,'Inputs'!$B$30+'Inputs'!$B$31+'Inputs'!$B$32)/1000+'Inputs'!$B$21))/SQRT((((411-43)*MAX('Inputs'!$B$33,'Inputs'!$B$29+'Inputs'!$B$31+'Inputs'!$B$32,'Inputs'!$B$30+'Inputs'!$B$31+'Inputs'!$B$32)/1000+'Inputs'!$B$21))^2+('Inputs'!$B$8/2)^2)))-'Results'!B7*(0.5*((((411-43)*MAX('Inputs'!$B$33,'Inputs'!$B$29+'Inputs'!$B$31+'Inputs'!$B$32,'Inputs'!$B$30+'Inputs'!$B$31+'Inputs'!$B$32)/1000+'Inputs'!$B$21+'Inputs'!$B$9+'Inputs'!$B$10)+'Inputs'!$B$7)/SQRT((((411-43)*MAX('Inputs'!$B$33,'Inputs'!$B$29+'Inputs'!$B$31+'Inputs'!$B$32,'Inputs'!$B$30+'Inputs'!$B$31+'Inputs'!$B$32)/1000+'Inputs'!$B$21+'Inputs'!$B$9+'Inputs'!$B$10)+'Inputs'!$B$7)^2+('Inputs'!$B$6/2)^2)-(((411-43)*MAX('Inputs'!$B$33,'Inputs'!$B$29+'Inputs'!$B$31+'Inputs'!$B$32,'Inputs'!$B$30+'Inputs'!$B$31+'Inputs'!$B$32)/1000+'Inputs'!$B$21+'Inputs'!$B$9+'Inputs'!$B$10))/SQRT((((411-43)*MAX('Inputs'!$B$33,'Inputs'!$B$29+'Inputs'!$B$31+'Inputs'!$B$32,'Inputs'!$B$30+'Inputs'!$B$31+'Inputs'!$B$32)/1000+'Inputs'!$B$21+'Inputs'!$B$9+'Inputs'!$B$10))^2+('Inputs'!$B$6/2)^2))))*'Results'!$B$8),"")</x:f>
        <x:v>10.984549710553283</x:v>
      </x:c>
      <x:c r="N411" t="n">
        <x:f>IF(AND(ISNUMBER('Results'!C7),ISNUMBER('Results'!B7),ISNUMBER('Results'!$B$8),ISNUMBER('Inputs'!$B$6),ISNUMBER('Inputs'!$B$7),ISNUMBER('Inputs'!$B$8),ISNUMBER('Inputs'!$B$9),ISNUMBER('Inputs'!$B$10),ISNUMBER('Inputs'!$B$21),ISNUMBER('Inputs'!$B$24),ISNUMBER('Inputs'!$B$28)),((('Results'!C7*(1-'Inputs'!$B$24)*(0.5*((((411-43)*MAX('Inputs'!$B$33,'Inputs'!$B$29+'Inputs'!$B$31+'Inputs'!$B$32,'Inputs'!$B$30+'Inputs'!$B$31+'Inputs'!$B$32)/1000+'Inputs'!$B$21)+'Inputs'!$B$9)/SQRT((((411-43)*MAX('Inputs'!$B$33,'Inputs'!$B$29+'Inputs'!$B$31+'Inputs'!$B$32,'Inputs'!$B$30+'Inputs'!$B$31+'Inputs'!$B$32)/1000+'Inputs'!$B$21)+'Inputs'!$B$9)^2+('Inputs'!$B$8/2)^2)-(((411-43)*MAX('Inputs'!$B$33,'Inputs'!$B$29+'Inputs'!$B$31+'Inputs'!$B$32,'Inputs'!$B$30+'Inputs'!$B$31+'Inputs'!$B$32)/1000+'Inputs'!$B$21))/SQRT((((411-43)*MAX('Inputs'!$B$33,'Inputs'!$B$29+'Inputs'!$B$31+'Inputs'!$B$32,'Inputs'!$B$30+'Inputs'!$B$31+'Inputs'!$B$32)/1000+'Inputs'!$B$21))^2+('Inputs'!$B$8/2)^2)))-'Results'!B7*(1+'Inputs'!$B$24)*(0.5*((((411-43)*MAX('Inputs'!$B$33,'Inputs'!$B$29+'Inputs'!$B$31+'Inputs'!$B$32,'Inputs'!$B$30+'Inputs'!$B$31+'Inputs'!$B$32)/1000+'Inputs'!$B$21+'Inputs'!$B$9+'Inputs'!$B$10)+'Inputs'!$B$7)/SQRT((((411-43)*MAX('Inputs'!$B$33,'Inputs'!$B$29+'Inputs'!$B$31+'Inputs'!$B$32,'Inputs'!$B$30+'Inputs'!$B$31+'Inputs'!$B$32)/1000+'Inputs'!$B$21+'Inputs'!$B$9+'Inputs'!$B$10)+'Inputs'!$B$7)^2+('Inputs'!$B$6/2)^2)-(((411-43)*MAX('Inputs'!$B$33,'Inputs'!$B$29+'Inputs'!$B$31+'Inputs'!$B$32,'Inputs'!$B$30+'Inputs'!$B$31+'Inputs'!$B$32)/1000+'Inputs'!$B$21+'Inputs'!$B$9+'Inputs'!$B$10))/SQRT((((411-43)*MAX('Inputs'!$B$33,'Inputs'!$B$29+'Inputs'!$B$31+'Inputs'!$B$32,'Inputs'!$B$30+'Inputs'!$B$31+'Inputs'!$B$32)/1000+'Inputs'!$B$21+'Inputs'!$B$9+'Inputs'!$B$10))^2+('Inputs'!$B$6/2)^2))))*'Results'!$B$8)-'Inputs'!$B$28*ABS((('Results'!C7*(1-'Inputs'!$B$24)*(0.5*((((411-43)*MAX('Inputs'!$B$33,'Inputs'!$B$29+'Inputs'!$B$31+'Inputs'!$B$32,'Inputs'!$B$30+'Inputs'!$B$31+'Inputs'!$B$32)/1000+'Inputs'!$B$21)+'Inputs'!$B$9)/SQRT((((411-43)*MAX('Inputs'!$B$33,'Inputs'!$B$29+'Inputs'!$B$31+'Inputs'!$B$32,'Inputs'!$B$30+'Inputs'!$B$31+'Inputs'!$B$32)/1000+'Inputs'!$B$21)+'Inputs'!$B$9)^2+('Inputs'!$B$8/2)^2)-(((411-43)*MAX('Inputs'!$B$33,'Inputs'!$B$29+'Inputs'!$B$31+'Inputs'!$B$32,'Inputs'!$B$30+'Inputs'!$B$31+'Inputs'!$B$32)/1000+'Inputs'!$B$21))/SQRT((((411-43)*MAX('Inputs'!$B$33,'Inputs'!$B$29+'Inputs'!$B$31+'Inputs'!$B$32,'Inputs'!$B$30+'Inputs'!$B$31+'Inputs'!$B$32)/1000+'Inputs'!$B$21))^2+('Inputs'!$B$8/2)^2)))-'Results'!B7*(1+'Inputs'!$B$24)*(0.5*((((411-43)*MAX('Inputs'!$B$33,'Inputs'!$B$29+'Inputs'!$B$31+'Inputs'!$B$32,'Inputs'!$B$30+'Inputs'!$B$31+'Inputs'!$B$32)/1000+'Inputs'!$B$21+'Inputs'!$B$9+'Inputs'!$B$10)+'Inputs'!$B$7)/SQRT((((411-43)*MAX('Inputs'!$B$33,'Inputs'!$B$29+'Inputs'!$B$31+'Inputs'!$B$32,'Inputs'!$B$30+'Inputs'!$B$31+'Inputs'!$B$32)/1000+'Inputs'!$B$21+'Inputs'!$B$9+'Inputs'!$B$10)+'Inputs'!$B$7)^2+('Inputs'!$B$6/2)^2)-(((411-43)*MAX('Inputs'!$B$33,'Inputs'!$B$29+'Inputs'!$B$31+'Inputs'!$B$32,'Inputs'!$B$30+'Inputs'!$B$31+'Inputs'!$B$32)/1000+'Inputs'!$B$21+'Inputs'!$B$9+'Inputs'!$B$10))/SQRT((((411-43)*MAX('Inputs'!$B$33,'Inputs'!$B$29+'Inputs'!$B$31+'Inputs'!$B$32,'Inputs'!$B$30+'Inputs'!$B$31+'Inputs'!$B$32)/1000+'Inputs'!$B$21+'Inputs'!$B$9+'Inputs'!$B$10))^2+('Inputs'!$B$6/2)^2))))*'Results'!$B$8))),"")</x:f>
        <x:v>9.841486384604726</x:v>
      </x:c>
      <x:c r="O411" t="n">
        <x:f>IF(AND(ISNUMBER('Results'!C7),ISNUMBER('Results'!B7),ISNUMBER('Results'!$B$8),ISNUMBER('Inputs'!$B$6),ISNUMBER('Inputs'!$B$7),ISNUMBER('Inputs'!$B$8),ISNUMBER('Inputs'!$B$9),ISNUMBER('Inputs'!$B$10),ISNUMBER('Inputs'!$B$21),ISNUMBER('Inputs'!$B$24),ISNUMBER('Inputs'!$B$28)),((('Results'!C7*(1+'Inputs'!$B$24)*(0.5*((((411-43)*MAX('Inputs'!$B$33,'Inputs'!$B$29+'Inputs'!$B$31+'Inputs'!$B$32,'Inputs'!$B$30+'Inputs'!$B$31+'Inputs'!$B$32)/1000+'Inputs'!$B$21)+'Inputs'!$B$9)/SQRT((((411-43)*MAX('Inputs'!$B$33,'Inputs'!$B$29+'Inputs'!$B$31+'Inputs'!$B$32,'Inputs'!$B$30+'Inputs'!$B$31+'Inputs'!$B$32)/1000+'Inputs'!$B$21)+'Inputs'!$B$9)^2+('Inputs'!$B$8/2)^2)-(((411-43)*MAX('Inputs'!$B$33,'Inputs'!$B$29+'Inputs'!$B$31+'Inputs'!$B$32,'Inputs'!$B$30+'Inputs'!$B$31+'Inputs'!$B$32)/1000+'Inputs'!$B$21))/SQRT((((411-43)*MAX('Inputs'!$B$33,'Inputs'!$B$29+'Inputs'!$B$31+'Inputs'!$B$32,'Inputs'!$B$30+'Inputs'!$B$31+'Inputs'!$B$32)/1000+'Inputs'!$B$21))^2+('Inputs'!$B$8/2)^2)))-'Results'!B7*(1-'Inputs'!$B$24)*(0.5*((((411-43)*MAX('Inputs'!$B$33,'Inputs'!$B$29+'Inputs'!$B$31+'Inputs'!$B$32,'Inputs'!$B$30+'Inputs'!$B$31+'Inputs'!$B$32)/1000+'Inputs'!$B$21+'Inputs'!$B$9+'Inputs'!$B$10)+'Inputs'!$B$7)/SQRT((((411-43)*MAX('Inputs'!$B$33,'Inputs'!$B$29+'Inputs'!$B$31+'Inputs'!$B$32,'Inputs'!$B$30+'Inputs'!$B$31+'Inputs'!$B$32)/1000+'Inputs'!$B$21+'Inputs'!$B$9+'Inputs'!$B$10)+'Inputs'!$B$7)^2+('Inputs'!$B$6/2)^2)-(((411-43)*MAX('Inputs'!$B$33,'Inputs'!$B$29+'Inputs'!$B$31+'Inputs'!$B$32,'Inputs'!$B$30+'Inputs'!$B$31+'Inputs'!$B$32)/1000+'Inputs'!$B$21+'Inputs'!$B$9+'Inputs'!$B$10))/SQRT((((411-43)*MAX('Inputs'!$B$33,'Inputs'!$B$29+'Inputs'!$B$31+'Inputs'!$B$32,'Inputs'!$B$30+'Inputs'!$B$31+'Inputs'!$B$32)/1000+'Inputs'!$B$21+'Inputs'!$B$9+'Inputs'!$B$10))^2+('Inputs'!$B$6/2)^2))))*'Results'!$B$8)+'Inputs'!$B$28*ABS((('Results'!C7*(1+'Inputs'!$B$24)*(0.5*((((411-43)*MAX('Inputs'!$B$33,'Inputs'!$B$29+'Inputs'!$B$31+'Inputs'!$B$32,'Inputs'!$B$30+'Inputs'!$B$31+'Inputs'!$B$32)/1000+'Inputs'!$B$21)+'Inputs'!$B$9)/SQRT((((411-43)*MAX('Inputs'!$B$33,'Inputs'!$B$29+'Inputs'!$B$31+'Inputs'!$B$32,'Inputs'!$B$30+'Inputs'!$B$31+'Inputs'!$B$32)/1000+'Inputs'!$B$21)+'Inputs'!$B$9)^2+('Inputs'!$B$8/2)^2)-(((411-43)*MAX('Inputs'!$B$33,'Inputs'!$B$29+'Inputs'!$B$31+'Inputs'!$B$32,'Inputs'!$B$30+'Inputs'!$B$31+'Inputs'!$B$32)/1000+'Inputs'!$B$21))/SQRT((((411-43)*MAX('Inputs'!$B$33,'Inputs'!$B$29+'Inputs'!$B$31+'Inputs'!$B$32,'Inputs'!$B$30+'Inputs'!$B$31+'Inputs'!$B$32)/1000+'Inputs'!$B$21))^2+('Inputs'!$B$8/2)^2)))-'Results'!B7*(1-'Inputs'!$B$24)*(0.5*((((411-43)*MAX('Inputs'!$B$33,'Inputs'!$B$29+'Inputs'!$B$31+'Inputs'!$B$32,'Inputs'!$B$30+'Inputs'!$B$31+'Inputs'!$B$32)/1000+'Inputs'!$B$21+'Inputs'!$B$9+'Inputs'!$B$10)+'Inputs'!$B$7)/SQRT((((411-43)*MAX('Inputs'!$B$33,'Inputs'!$B$29+'Inputs'!$B$31+'Inputs'!$B$32,'Inputs'!$B$30+'Inputs'!$B$31+'Inputs'!$B$32)/1000+'Inputs'!$B$21+'Inputs'!$B$9+'Inputs'!$B$10)+'Inputs'!$B$7)^2+('Inputs'!$B$6/2)^2)-(((411-43)*MAX('Inputs'!$B$33,'Inputs'!$B$29+'Inputs'!$B$31+'Inputs'!$B$32,'Inputs'!$B$30+'Inputs'!$B$31+'Inputs'!$B$32)/1000+'Inputs'!$B$21+'Inputs'!$B$9+'Inputs'!$B$10))/SQRT((((411-43)*MAX('Inputs'!$B$33,'Inputs'!$B$29+'Inputs'!$B$31+'Inputs'!$B$32,'Inputs'!$B$30+'Inputs'!$B$31+'Inputs'!$B$32)/1000+'Inputs'!$B$21+'Inputs'!$B$9+'Inputs'!$B$10))^2+('Inputs'!$B$6/2)^2))))*'Results'!$B$8))),"")</x:f>
        <x:v>12.190122072335615</x:v>
      </x:c>
      <x:c r="P411" t="n">
        <x:f>IF(AND(MAX(J411,J410)&gt;0,J411&gt;J410+0.00000001),1,0)</x:f>
        <x:v>0</x:v>
      </x:c>
      <x:c r="Q411" t="n">
        <x:f>IF(AND(MAX(K411,K410)&gt;0,K411&gt;K410+0.00000001),1,0)</x:f>
        <x:v>0</x:v>
      </x:c>
      <x:c r="R411" t="n">
        <x:f>IF(AND(MAX(L411,L410)&gt;0,L411&gt;L410+0.00000001),1,0)</x:f>
        <x:v>0</x:v>
      </x:c>
      <x:c r="S411" t="n">
        <x:f>IF(AND(MAX(M411,M410)&gt;0,M411&gt;M410+0.00000001),1,0)</x:f>
        <x:v>0</x:v>
      </x:c>
      <x:c r="T411" t="n">
        <x:f>IF(AND(MAX(N411,N410)&gt;0,N411&gt;N410+0.00000001),1,0)</x:f>
        <x:v>0</x:v>
      </x:c>
      <x:c r="U411" t="n">
        <x:f>IF(AND(MAX(O411,O410)&gt;0,O411&gt;O410+0.00000001),1,0)</x:f>
        <x:v>0</x:v>
      </x:c>
    </x:row>
    <x:row r="412">
      <x:c r="J412" t="n">
        <x:f>IF(AND(ISNUMBER('Results'!B7),ISNUMBER('Results'!C7),ISNUMBER('Results'!$B$8),ISNUMBER('Inputs'!$B$6),ISNUMBER('Inputs'!$B$7),ISNUMBER('Inputs'!$B$8),ISNUMBER('Inputs'!$B$9),ISNUMBER('Inputs'!$B$10),ISNUMBER('Inputs'!$B$21),ISNUMBER('Inputs'!$B$24),ISNUMBER('Inputs'!$B$28)),(('Results'!B7*(0.5*((((412-43)*MAX('Inputs'!$B$33,'Inputs'!$B$29+'Inputs'!$B$31+'Inputs'!$B$32,'Inputs'!$B$30+'Inputs'!$B$31+'Inputs'!$B$32)/1000+'Inputs'!$B$21)+'Inputs'!$B$7)/SQRT((((412-43)*MAX('Inputs'!$B$33,'Inputs'!$B$29+'Inputs'!$B$31+'Inputs'!$B$32,'Inputs'!$B$30+'Inputs'!$B$31+'Inputs'!$B$32)/1000+'Inputs'!$B$21)+'Inputs'!$B$7)^2+('Inputs'!$B$6/2)^2)-(((412-43)*MAX('Inputs'!$B$33,'Inputs'!$B$29+'Inputs'!$B$31+'Inputs'!$B$32,'Inputs'!$B$30+'Inputs'!$B$31+'Inputs'!$B$32)/1000+'Inputs'!$B$21))/SQRT((((412-43)*MAX('Inputs'!$B$33,'Inputs'!$B$29+'Inputs'!$B$31+'Inputs'!$B$32,'Inputs'!$B$30+'Inputs'!$B$31+'Inputs'!$B$32)/1000+'Inputs'!$B$21))^2+('Inputs'!$B$6/2)^2)))-'Results'!C7*(0.5*((((412-43)*MAX('Inputs'!$B$33,'Inputs'!$B$29+'Inputs'!$B$31+'Inputs'!$B$32,'Inputs'!$B$30+'Inputs'!$B$31+'Inputs'!$B$32)/1000+'Inputs'!$B$21+'Inputs'!$B$7+'Inputs'!$B$10)+'Inputs'!$B$9)/SQRT((((412-43)*MAX('Inputs'!$B$33,'Inputs'!$B$29+'Inputs'!$B$31+'Inputs'!$B$32,'Inputs'!$B$30+'Inputs'!$B$31+'Inputs'!$B$32)/1000+'Inputs'!$B$21+'Inputs'!$B$7+'Inputs'!$B$10)+'Inputs'!$B$9)^2+('Inputs'!$B$8/2)^2)-(((412-43)*MAX('Inputs'!$B$33,'Inputs'!$B$29+'Inputs'!$B$31+'Inputs'!$B$32,'Inputs'!$B$30+'Inputs'!$B$31+'Inputs'!$B$32)/1000+'Inputs'!$B$21+'Inputs'!$B$7+'Inputs'!$B$10))/SQRT((((412-43)*MAX('Inputs'!$B$33,'Inputs'!$B$29+'Inputs'!$B$31+'Inputs'!$B$32,'Inputs'!$B$30+'Inputs'!$B$31+'Inputs'!$B$32)/1000+'Inputs'!$B$21+'Inputs'!$B$7+'Inputs'!$B$10))^2+('Inputs'!$B$8/2)^2))))*'Results'!$B$8),"")</x:f>
        <x:v>11.516306235067558</x:v>
      </x:c>
      <x:c r="K412" t="n">
        <x:f>IF(AND(ISNUMBER('Results'!B7),ISNUMBER('Results'!C7),ISNUMBER('Results'!$B$8),ISNUMBER('Inputs'!$B$6),ISNUMBER('Inputs'!$B$7),ISNUMBER('Inputs'!$B$8),ISNUMBER('Inputs'!$B$9),ISNUMBER('Inputs'!$B$10),ISNUMBER('Inputs'!$B$21),ISNUMBER('Inputs'!$B$24),ISNUMBER('Inputs'!$B$28)),((('Results'!B7*(1-'Inputs'!$B$24)*(0.5*((((412-43)*MAX('Inputs'!$B$33,'Inputs'!$B$29+'Inputs'!$B$31+'Inputs'!$B$32,'Inputs'!$B$30+'Inputs'!$B$31+'Inputs'!$B$32)/1000+'Inputs'!$B$21)+'Inputs'!$B$7)/SQRT((((412-43)*MAX('Inputs'!$B$33,'Inputs'!$B$29+'Inputs'!$B$31+'Inputs'!$B$32,'Inputs'!$B$30+'Inputs'!$B$31+'Inputs'!$B$32)/1000+'Inputs'!$B$21)+'Inputs'!$B$7)^2+('Inputs'!$B$6/2)^2)-(((412-43)*MAX('Inputs'!$B$33,'Inputs'!$B$29+'Inputs'!$B$31+'Inputs'!$B$32,'Inputs'!$B$30+'Inputs'!$B$31+'Inputs'!$B$32)/1000+'Inputs'!$B$21))/SQRT((((412-43)*MAX('Inputs'!$B$33,'Inputs'!$B$29+'Inputs'!$B$31+'Inputs'!$B$32,'Inputs'!$B$30+'Inputs'!$B$31+'Inputs'!$B$32)/1000+'Inputs'!$B$21))^2+('Inputs'!$B$6/2)^2)))-'Results'!C7*(1+'Inputs'!$B$24)*(0.5*((((412-43)*MAX('Inputs'!$B$33,'Inputs'!$B$29+'Inputs'!$B$31+'Inputs'!$B$32,'Inputs'!$B$30+'Inputs'!$B$31+'Inputs'!$B$32)/1000+'Inputs'!$B$21+'Inputs'!$B$7+'Inputs'!$B$10)+'Inputs'!$B$9)/SQRT((((412-43)*MAX('Inputs'!$B$33,'Inputs'!$B$29+'Inputs'!$B$31+'Inputs'!$B$32,'Inputs'!$B$30+'Inputs'!$B$31+'Inputs'!$B$32)/1000+'Inputs'!$B$21+'Inputs'!$B$7+'Inputs'!$B$10)+'Inputs'!$B$9)^2+('Inputs'!$B$8/2)^2)-(((412-43)*MAX('Inputs'!$B$33,'Inputs'!$B$29+'Inputs'!$B$31+'Inputs'!$B$32,'Inputs'!$B$30+'Inputs'!$B$31+'Inputs'!$B$32)/1000+'Inputs'!$B$21+'Inputs'!$B$7+'Inputs'!$B$10))/SQRT((((412-43)*MAX('Inputs'!$B$33,'Inputs'!$B$29+'Inputs'!$B$31+'Inputs'!$B$32,'Inputs'!$B$30+'Inputs'!$B$31+'Inputs'!$B$32)/1000+'Inputs'!$B$21+'Inputs'!$B$7+'Inputs'!$B$10))^2+('Inputs'!$B$8/2)^2))))*'Results'!$B$8)-'Inputs'!$B$28*ABS((('Results'!B7*(1-'Inputs'!$B$24)*(0.5*((((412-43)*MAX('Inputs'!$B$33,'Inputs'!$B$29+'Inputs'!$B$31+'Inputs'!$B$32,'Inputs'!$B$30+'Inputs'!$B$31+'Inputs'!$B$32)/1000+'Inputs'!$B$21)+'Inputs'!$B$7)/SQRT((((412-43)*MAX('Inputs'!$B$33,'Inputs'!$B$29+'Inputs'!$B$31+'Inputs'!$B$32,'Inputs'!$B$30+'Inputs'!$B$31+'Inputs'!$B$32)/1000+'Inputs'!$B$21)+'Inputs'!$B$7)^2+('Inputs'!$B$6/2)^2)-(((412-43)*MAX('Inputs'!$B$33,'Inputs'!$B$29+'Inputs'!$B$31+'Inputs'!$B$32,'Inputs'!$B$30+'Inputs'!$B$31+'Inputs'!$B$32)/1000+'Inputs'!$B$21))/SQRT((((412-43)*MAX('Inputs'!$B$33,'Inputs'!$B$29+'Inputs'!$B$31+'Inputs'!$B$32,'Inputs'!$B$30+'Inputs'!$B$31+'Inputs'!$B$32)/1000+'Inputs'!$B$21))^2+('Inputs'!$B$6/2)^2)))-'Results'!C7*(1+'Inputs'!$B$24)*(0.5*((((412-43)*MAX('Inputs'!$B$33,'Inputs'!$B$29+'Inputs'!$B$31+'Inputs'!$B$32,'Inputs'!$B$30+'Inputs'!$B$31+'Inputs'!$B$32)/1000+'Inputs'!$B$21+'Inputs'!$B$7+'Inputs'!$B$10)+'Inputs'!$B$9)/SQRT((((412-43)*MAX('Inputs'!$B$33,'Inputs'!$B$29+'Inputs'!$B$31+'Inputs'!$B$32,'Inputs'!$B$30+'Inputs'!$B$31+'Inputs'!$B$32)/1000+'Inputs'!$B$21+'Inputs'!$B$7+'Inputs'!$B$10)+'Inputs'!$B$9)^2+('Inputs'!$B$8/2)^2)-(((412-43)*MAX('Inputs'!$B$33,'Inputs'!$B$29+'Inputs'!$B$31+'Inputs'!$B$32,'Inputs'!$B$30+'Inputs'!$B$31+'Inputs'!$B$32)/1000+'Inputs'!$B$21+'Inputs'!$B$7+'Inputs'!$B$10))/SQRT((((412-43)*MAX('Inputs'!$B$33,'Inputs'!$B$29+'Inputs'!$B$31+'Inputs'!$B$32,'Inputs'!$B$30+'Inputs'!$B$31+'Inputs'!$B$32)/1000+'Inputs'!$B$21+'Inputs'!$B$7+'Inputs'!$B$10))^2+('Inputs'!$B$8/2)^2))))*'Results'!$B$8))),"")</x:f>
        <x:v>10.346448308597559</x:v>
      </x:c>
      <x:c r="L412" t="n">
        <x:f>IF(AND(ISNUMBER('Results'!B7),ISNUMBER('Results'!C7),ISNUMBER('Results'!$B$8),ISNUMBER('Inputs'!$B$6),ISNUMBER('Inputs'!$B$7),ISNUMBER('Inputs'!$B$8),ISNUMBER('Inputs'!$B$9),ISNUMBER('Inputs'!$B$10),ISNUMBER('Inputs'!$B$21),ISNUMBER('Inputs'!$B$24),ISNUMBER('Inputs'!$B$28)),((('Results'!B7*(1+'Inputs'!$B$24)*(0.5*((((412-43)*MAX('Inputs'!$B$33,'Inputs'!$B$29+'Inputs'!$B$31+'Inputs'!$B$32,'Inputs'!$B$30+'Inputs'!$B$31+'Inputs'!$B$32)/1000+'Inputs'!$B$21)+'Inputs'!$B$7)/SQRT((((412-43)*MAX('Inputs'!$B$33,'Inputs'!$B$29+'Inputs'!$B$31+'Inputs'!$B$32,'Inputs'!$B$30+'Inputs'!$B$31+'Inputs'!$B$32)/1000+'Inputs'!$B$21)+'Inputs'!$B$7)^2+('Inputs'!$B$6/2)^2)-(((412-43)*MAX('Inputs'!$B$33,'Inputs'!$B$29+'Inputs'!$B$31+'Inputs'!$B$32,'Inputs'!$B$30+'Inputs'!$B$31+'Inputs'!$B$32)/1000+'Inputs'!$B$21))/SQRT((((412-43)*MAX('Inputs'!$B$33,'Inputs'!$B$29+'Inputs'!$B$31+'Inputs'!$B$32,'Inputs'!$B$30+'Inputs'!$B$31+'Inputs'!$B$32)/1000+'Inputs'!$B$21))^2+('Inputs'!$B$6/2)^2)))-'Results'!C7*(1-'Inputs'!$B$24)*(0.5*((((412-43)*MAX('Inputs'!$B$33,'Inputs'!$B$29+'Inputs'!$B$31+'Inputs'!$B$32,'Inputs'!$B$30+'Inputs'!$B$31+'Inputs'!$B$32)/1000+'Inputs'!$B$21+'Inputs'!$B$7+'Inputs'!$B$10)+'Inputs'!$B$9)/SQRT((((412-43)*MAX('Inputs'!$B$33,'Inputs'!$B$29+'Inputs'!$B$31+'Inputs'!$B$32,'Inputs'!$B$30+'Inputs'!$B$31+'Inputs'!$B$32)/1000+'Inputs'!$B$21+'Inputs'!$B$7+'Inputs'!$B$10)+'Inputs'!$B$9)^2+('Inputs'!$B$8/2)^2)-(((412-43)*MAX('Inputs'!$B$33,'Inputs'!$B$29+'Inputs'!$B$31+'Inputs'!$B$32,'Inputs'!$B$30+'Inputs'!$B$31+'Inputs'!$B$32)/1000+'Inputs'!$B$21+'Inputs'!$B$7+'Inputs'!$B$10))/SQRT((((412-43)*MAX('Inputs'!$B$33,'Inputs'!$B$29+'Inputs'!$B$31+'Inputs'!$B$32,'Inputs'!$B$30+'Inputs'!$B$31+'Inputs'!$B$32)/1000+'Inputs'!$B$21+'Inputs'!$B$7+'Inputs'!$B$10))^2+('Inputs'!$B$8/2)^2))))*'Results'!$B$8)+'Inputs'!$B$28*ABS((('Results'!B7*(1+'Inputs'!$B$24)*(0.5*((((412-43)*MAX('Inputs'!$B$33,'Inputs'!$B$29+'Inputs'!$B$31+'Inputs'!$B$32,'Inputs'!$B$30+'Inputs'!$B$31+'Inputs'!$B$32)/1000+'Inputs'!$B$21)+'Inputs'!$B$7)/SQRT((((412-43)*MAX('Inputs'!$B$33,'Inputs'!$B$29+'Inputs'!$B$31+'Inputs'!$B$32,'Inputs'!$B$30+'Inputs'!$B$31+'Inputs'!$B$32)/1000+'Inputs'!$B$21)+'Inputs'!$B$7)^2+('Inputs'!$B$6/2)^2)-(((412-43)*MAX('Inputs'!$B$33,'Inputs'!$B$29+'Inputs'!$B$31+'Inputs'!$B$32,'Inputs'!$B$30+'Inputs'!$B$31+'Inputs'!$B$32)/1000+'Inputs'!$B$21))/SQRT((((412-43)*MAX('Inputs'!$B$33,'Inputs'!$B$29+'Inputs'!$B$31+'Inputs'!$B$32,'Inputs'!$B$30+'Inputs'!$B$31+'Inputs'!$B$32)/1000+'Inputs'!$B$21))^2+('Inputs'!$B$6/2)^2)))-'Results'!C7*(1-'Inputs'!$B$24)*(0.5*((((412-43)*MAX('Inputs'!$B$33,'Inputs'!$B$29+'Inputs'!$B$31+'Inputs'!$B$32,'Inputs'!$B$30+'Inputs'!$B$31+'Inputs'!$B$32)/1000+'Inputs'!$B$21+'Inputs'!$B$7+'Inputs'!$B$10)+'Inputs'!$B$9)/SQRT((((412-43)*MAX('Inputs'!$B$33,'Inputs'!$B$29+'Inputs'!$B$31+'Inputs'!$B$32,'Inputs'!$B$30+'Inputs'!$B$31+'Inputs'!$B$32)/1000+'Inputs'!$B$21+'Inputs'!$B$7+'Inputs'!$B$10)+'Inputs'!$B$9)^2+('Inputs'!$B$8/2)^2)-(((412-43)*MAX('Inputs'!$B$33,'Inputs'!$B$29+'Inputs'!$B$31+'Inputs'!$B$32,'Inputs'!$B$30+'Inputs'!$B$31+'Inputs'!$B$32)/1000+'Inputs'!$B$21+'Inputs'!$B$7+'Inputs'!$B$10))/SQRT((((412-43)*MAX('Inputs'!$B$33,'Inputs'!$B$29+'Inputs'!$B$31+'Inputs'!$B$32,'Inputs'!$B$30+'Inputs'!$B$31+'Inputs'!$B$32)/1000+'Inputs'!$B$21+'Inputs'!$B$7+'Inputs'!$B$10))^2+('Inputs'!$B$8/2)^2))))*'Results'!$B$8))),"")</x:f>
        <x:v>12.74869496308668</x:v>
      </x:c>
      <x:c r="M412" t="n">
        <x:f>IF(AND(ISNUMBER('Results'!C7),ISNUMBER('Results'!B7),ISNUMBER('Results'!$B$8),ISNUMBER('Inputs'!$B$6),ISNUMBER('Inputs'!$B$7),ISNUMBER('Inputs'!$B$8),ISNUMBER('Inputs'!$B$9),ISNUMBER('Inputs'!$B$10),ISNUMBER('Inputs'!$B$21),ISNUMBER('Inputs'!$B$24),ISNUMBER('Inputs'!$B$28)),(('Results'!C7*(0.5*((((412-43)*MAX('Inputs'!$B$33,'Inputs'!$B$29+'Inputs'!$B$31+'Inputs'!$B$32,'Inputs'!$B$30+'Inputs'!$B$31+'Inputs'!$B$32)/1000+'Inputs'!$B$21)+'Inputs'!$B$9)/SQRT((((412-43)*MAX('Inputs'!$B$33,'Inputs'!$B$29+'Inputs'!$B$31+'Inputs'!$B$32,'Inputs'!$B$30+'Inputs'!$B$31+'Inputs'!$B$32)/1000+'Inputs'!$B$21)+'Inputs'!$B$9)^2+('Inputs'!$B$8/2)^2)-(((412-43)*MAX('Inputs'!$B$33,'Inputs'!$B$29+'Inputs'!$B$31+'Inputs'!$B$32,'Inputs'!$B$30+'Inputs'!$B$31+'Inputs'!$B$32)/1000+'Inputs'!$B$21))/SQRT((((412-43)*MAX('Inputs'!$B$33,'Inputs'!$B$29+'Inputs'!$B$31+'Inputs'!$B$32,'Inputs'!$B$30+'Inputs'!$B$31+'Inputs'!$B$32)/1000+'Inputs'!$B$21))^2+('Inputs'!$B$8/2)^2)))-'Results'!B7*(0.5*((((412-43)*MAX('Inputs'!$B$33,'Inputs'!$B$29+'Inputs'!$B$31+'Inputs'!$B$32,'Inputs'!$B$30+'Inputs'!$B$31+'Inputs'!$B$32)/1000+'Inputs'!$B$21+'Inputs'!$B$9+'Inputs'!$B$10)+'Inputs'!$B$7)/SQRT((((412-43)*MAX('Inputs'!$B$33,'Inputs'!$B$29+'Inputs'!$B$31+'Inputs'!$B$32,'Inputs'!$B$30+'Inputs'!$B$31+'Inputs'!$B$32)/1000+'Inputs'!$B$21+'Inputs'!$B$9+'Inputs'!$B$10)+'Inputs'!$B$7)^2+('Inputs'!$B$6/2)^2)-(((412-43)*MAX('Inputs'!$B$33,'Inputs'!$B$29+'Inputs'!$B$31+'Inputs'!$B$32,'Inputs'!$B$30+'Inputs'!$B$31+'Inputs'!$B$32)/1000+'Inputs'!$B$21+'Inputs'!$B$9+'Inputs'!$B$10))/SQRT((((412-43)*MAX('Inputs'!$B$33,'Inputs'!$B$29+'Inputs'!$B$31+'Inputs'!$B$32,'Inputs'!$B$30+'Inputs'!$B$31+'Inputs'!$B$32)/1000+'Inputs'!$B$21+'Inputs'!$B$9+'Inputs'!$B$10))^2+('Inputs'!$B$6/2)^2))))*'Results'!$B$8),"")</x:f>
        <x:v>10.88696779211934</x:v>
      </x:c>
      <x:c r="N412" t="n">
        <x:f>IF(AND(ISNUMBER('Results'!C7),ISNUMBER('Results'!B7),ISNUMBER('Results'!$B$8),ISNUMBER('Inputs'!$B$6),ISNUMBER('Inputs'!$B$7),ISNUMBER('Inputs'!$B$8),ISNUMBER('Inputs'!$B$9),ISNUMBER('Inputs'!$B$10),ISNUMBER('Inputs'!$B$21),ISNUMBER('Inputs'!$B$24),ISNUMBER('Inputs'!$B$28)),((('Results'!C7*(1-'Inputs'!$B$24)*(0.5*((((412-43)*MAX('Inputs'!$B$33,'Inputs'!$B$29+'Inputs'!$B$31+'Inputs'!$B$32,'Inputs'!$B$30+'Inputs'!$B$31+'Inputs'!$B$32)/1000+'Inputs'!$B$21)+'Inputs'!$B$9)/SQRT((((412-43)*MAX('Inputs'!$B$33,'Inputs'!$B$29+'Inputs'!$B$31+'Inputs'!$B$32,'Inputs'!$B$30+'Inputs'!$B$31+'Inputs'!$B$32)/1000+'Inputs'!$B$21)+'Inputs'!$B$9)^2+('Inputs'!$B$8/2)^2)-(((412-43)*MAX('Inputs'!$B$33,'Inputs'!$B$29+'Inputs'!$B$31+'Inputs'!$B$32,'Inputs'!$B$30+'Inputs'!$B$31+'Inputs'!$B$32)/1000+'Inputs'!$B$21))/SQRT((((412-43)*MAX('Inputs'!$B$33,'Inputs'!$B$29+'Inputs'!$B$31+'Inputs'!$B$32,'Inputs'!$B$30+'Inputs'!$B$31+'Inputs'!$B$32)/1000+'Inputs'!$B$21))^2+('Inputs'!$B$8/2)^2)))-'Results'!B7*(1+'Inputs'!$B$24)*(0.5*((((412-43)*MAX('Inputs'!$B$33,'Inputs'!$B$29+'Inputs'!$B$31+'Inputs'!$B$32,'Inputs'!$B$30+'Inputs'!$B$31+'Inputs'!$B$32)/1000+'Inputs'!$B$21+'Inputs'!$B$9+'Inputs'!$B$10)+'Inputs'!$B$7)/SQRT((((412-43)*MAX('Inputs'!$B$33,'Inputs'!$B$29+'Inputs'!$B$31+'Inputs'!$B$32,'Inputs'!$B$30+'Inputs'!$B$31+'Inputs'!$B$32)/1000+'Inputs'!$B$21+'Inputs'!$B$9+'Inputs'!$B$10)+'Inputs'!$B$7)^2+('Inputs'!$B$6/2)^2)-(((412-43)*MAX('Inputs'!$B$33,'Inputs'!$B$29+'Inputs'!$B$31+'Inputs'!$B$32,'Inputs'!$B$30+'Inputs'!$B$31+'Inputs'!$B$32)/1000+'Inputs'!$B$21+'Inputs'!$B$9+'Inputs'!$B$10))/SQRT((((412-43)*MAX('Inputs'!$B$33,'Inputs'!$B$29+'Inputs'!$B$31+'Inputs'!$B$32,'Inputs'!$B$30+'Inputs'!$B$31+'Inputs'!$B$32)/1000+'Inputs'!$B$21+'Inputs'!$B$9+'Inputs'!$B$10))^2+('Inputs'!$B$6/2)^2))))*'Results'!$B$8)-'Inputs'!$B$28*ABS((('Results'!C7*(1-'Inputs'!$B$24)*(0.5*((((412-43)*MAX('Inputs'!$B$33,'Inputs'!$B$29+'Inputs'!$B$31+'Inputs'!$B$32,'Inputs'!$B$30+'Inputs'!$B$31+'Inputs'!$B$32)/1000+'Inputs'!$B$21)+'Inputs'!$B$9)/SQRT((((412-43)*MAX('Inputs'!$B$33,'Inputs'!$B$29+'Inputs'!$B$31+'Inputs'!$B$32,'Inputs'!$B$30+'Inputs'!$B$31+'Inputs'!$B$32)/1000+'Inputs'!$B$21)+'Inputs'!$B$9)^2+('Inputs'!$B$8/2)^2)-(((412-43)*MAX('Inputs'!$B$33,'Inputs'!$B$29+'Inputs'!$B$31+'Inputs'!$B$32,'Inputs'!$B$30+'Inputs'!$B$31+'Inputs'!$B$32)/1000+'Inputs'!$B$21))/SQRT((((412-43)*MAX('Inputs'!$B$33,'Inputs'!$B$29+'Inputs'!$B$31+'Inputs'!$B$32,'Inputs'!$B$30+'Inputs'!$B$31+'Inputs'!$B$32)/1000+'Inputs'!$B$21))^2+('Inputs'!$B$8/2)^2)))-'Results'!B7*(1+'Inputs'!$B$24)*(0.5*((((412-43)*MAX('Inputs'!$B$33,'Inputs'!$B$29+'Inputs'!$B$31+'Inputs'!$B$32,'Inputs'!$B$30+'Inputs'!$B$31+'Inputs'!$B$32)/1000+'Inputs'!$B$21+'Inputs'!$B$9+'Inputs'!$B$10)+'Inputs'!$B$7)/SQRT((((412-43)*MAX('Inputs'!$B$33,'Inputs'!$B$29+'Inputs'!$B$31+'Inputs'!$B$32,'Inputs'!$B$30+'Inputs'!$B$31+'Inputs'!$B$32)/1000+'Inputs'!$B$21+'Inputs'!$B$9+'Inputs'!$B$10)+'Inputs'!$B$7)^2+('Inputs'!$B$6/2)^2)-(((412-43)*MAX('Inputs'!$B$33,'Inputs'!$B$29+'Inputs'!$B$31+'Inputs'!$B$32,'Inputs'!$B$30+'Inputs'!$B$31+'Inputs'!$B$32)/1000+'Inputs'!$B$21+'Inputs'!$B$9+'Inputs'!$B$10))/SQRT((((412-43)*MAX('Inputs'!$B$33,'Inputs'!$B$29+'Inputs'!$B$31+'Inputs'!$B$32,'Inputs'!$B$30+'Inputs'!$B$31+'Inputs'!$B$32)/1000+'Inputs'!$B$21+'Inputs'!$B$9+'Inputs'!$B$10))^2+('Inputs'!$B$6/2)^2))))*'Results'!$B$8))),"")</x:f>
        <x:v>9.752876406044388</x:v>
      </x:c>
      <x:c r="O412" t="n">
        <x:f>IF(AND(ISNUMBER('Results'!C7),ISNUMBER('Results'!B7),ISNUMBER('Results'!$B$8),ISNUMBER('Inputs'!$B$6),ISNUMBER('Inputs'!$B$7),ISNUMBER('Inputs'!$B$8),ISNUMBER('Inputs'!$B$9),ISNUMBER('Inputs'!$B$10),ISNUMBER('Inputs'!$B$21),ISNUMBER('Inputs'!$B$24),ISNUMBER('Inputs'!$B$28)),((('Results'!C7*(1+'Inputs'!$B$24)*(0.5*((((412-43)*MAX('Inputs'!$B$33,'Inputs'!$B$29+'Inputs'!$B$31+'Inputs'!$B$32,'Inputs'!$B$30+'Inputs'!$B$31+'Inputs'!$B$32)/1000+'Inputs'!$B$21)+'Inputs'!$B$9)/SQRT((((412-43)*MAX('Inputs'!$B$33,'Inputs'!$B$29+'Inputs'!$B$31+'Inputs'!$B$32,'Inputs'!$B$30+'Inputs'!$B$31+'Inputs'!$B$32)/1000+'Inputs'!$B$21)+'Inputs'!$B$9)^2+('Inputs'!$B$8/2)^2)-(((412-43)*MAX('Inputs'!$B$33,'Inputs'!$B$29+'Inputs'!$B$31+'Inputs'!$B$32,'Inputs'!$B$30+'Inputs'!$B$31+'Inputs'!$B$32)/1000+'Inputs'!$B$21))/SQRT((((412-43)*MAX('Inputs'!$B$33,'Inputs'!$B$29+'Inputs'!$B$31+'Inputs'!$B$32,'Inputs'!$B$30+'Inputs'!$B$31+'Inputs'!$B$32)/1000+'Inputs'!$B$21))^2+('Inputs'!$B$8/2)^2)))-'Results'!B7*(1-'Inputs'!$B$24)*(0.5*((((412-43)*MAX('Inputs'!$B$33,'Inputs'!$B$29+'Inputs'!$B$31+'Inputs'!$B$32,'Inputs'!$B$30+'Inputs'!$B$31+'Inputs'!$B$32)/1000+'Inputs'!$B$21+'Inputs'!$B$9+'Inputs'!$B$10)+'Inputs'!$B$7)/SQRT((((412-43)*MAX('Inputs'!$B$33,'Inputs'!$B$29+'Inputs'!$B$31+'Inputs'!$B$32,'Inputs'!$B$30+'Inputs'!$B$31+'Inputs'!$B$32)/1000+'Inputs'!$B$21+'Inputs'!$B$9+'Inputs'!$B$10)+'Inputs'!$B$7)^2+('Inputs'!$B$6/2)^2)-(((412-43)*MAX('Inputs'!$B$33,'Inputs'!$B$29+'Inputs'!$B$31+'Inputs'!$B$32,'Inputs'!$B$30+'Inputs'!$B$31+'Inputs'!$B$32)/1000+'Inputs'!$B$21+'Inputs'!$B$9+'Inputs'!$B$10))/SQRT((((412-43)*MAX('Inputs'!$B$33,'Inputs'!$B$29+'Inputs'!$B$31+'Inputs'!$B$32,'Inputs'!$B$30+'Inputs'!$B$31+'Inputs'!$B$32)/1000+'Inputs'!$B$21+'Inputs'!$B$9+'Inputs'!$B$10))^2+('Inputs'!$B$6/2)^2))))*'Results'!$B$8)+'Inputs'!$B$28*ABS((('Results'!C7*(1+'Inputs'!$B$24)*(0.5*((((412-43)*MAX('Inputs'!$B$33,'Inputs'!$B$29+'Inputs'!$B$31+'Inputs'!$B$32,'Inputs'!$B$30+'Inputs'!$B$31+'Inputs'!$B$32)/1000+'Inputs'!$B$21)+'Inputs'!$B$9)/SQRT((((412-43)*MAX('Inputs'!$B$33,'Inputs'!$B$29+'Inputs'!$B$31+'Inputs'!$B$32,'Inputs'!$B$30+'Inputs'!$B$31+'Inputs'!$B$32)/1000+'Inputs'!$B$21)+'Inputs'!$B$9)^2+('Inputs'!$B$8/2)^2)-(((412-43)*MAX('Inputs'!$B$33,'Inputs'!$B$29+'Inputs'!$B$31+'Inputs'!$B$32,'Inputs'!$B$30+'Inputs'!$B$31+'Inputs'!$B$32)/1000+'Inputs'!$B$21))/SQRT((((412-43)*MAX('Inputs'!$B$33,'Inputs'!$B$29+'Inputs'!$B$31+'Inputs'!$B$32,'Inputs'!$B$30+'Inputs'!$B$31+'Inputs'!$B$32)/1000+'Inputs'!$B$21))^2+('Inputs'!$B$8/2)^2)))-'Results'!B7*(1-'Inputs'!$B$24)*(0.5*((((412-43)*MAX('Inputs'!$B$33,'Inputs'!$B$29+'Inputs'!$B$31+'Inputs'!$B$32,'Inputs'!$B$30+'Inputs'!$B$31+'Inputs'!$B$32)/1000+'Inputs'!$B$21+'Inputs'!$B$9+'Inputs'!$B$10)+'Inputs'!$B$7)/SQRT((((412-43)*MAX('Inputs'!$B$33,'Inputs'!$B$29+'Inputs'!$B$31+'Inputs'!$B$32,'Inputs'!$B$30+'Inputs'!$B$31+'Inputs'!$B$32)/1000+'Inputs'!$B$21+'Inputs'!$B$9+'Inputs'!$B$10)+'Inputs'!$B$7)^2+('Inputs'!$B$6/2)^2)-(((412-43)*MAX('Inputs'!$B$33,'Inputs'!$B$29+'Inputs'!$B$31+'Inputs'!$B$32,'Inputs'!$B$30+'Inputs'!$B$31+'Inputs'!$B$32)/1000+'Inputs'!$B$21+'Inputs'!$B$9+'Inputs'!$B$10))/SQRT((((412-43)*MAX('Inputs'!$B$33,'Inputs'!$B$29+'Inputs'!$B$31+'Inputs'!$B$32,'Inputs'!$B$30+'Inputs'!$B$31+'Inputs'!$B$32)/1000+'Inputs'!$B$21+'Inputs'!$B$9+'Inputs'!$B$10))^2+('Inputs'!$B$6/2)^2))))*'Results'!$B$8))),"")</x:f>
        <x:v>12.08313738834892</x:v>
      </x:c>
      <x:c r="P412" t="n">
        <x:f>IF(AND(MAX(J412,J411)&gt;0,J412&gt;J411+0.00000001),1,0)</x:f>
        <x:v>0</x:v>
      </x:c>
      <x:c r="Q412" t="n">
        <x:f>IF(AND(MAX(K412,K411)&gt;0,K412&gt;K411+0.00000001),1,0)</x:f>
        <x:v>0</x:v>
      </x:c>
      <x:c r="R412" t="n">
        <x:f>IF(AND(MAX(L412,L411)&gt;0,L412&gt;L411+0.00000001),1,0)</x:f>
        <x:v>0</x:v>
      </x:c>
      <x:c r="S412" t="n">
        <x:f>IF(AND(MAX(M412,M411)&gt;0,M412&gt;M411+0.00000001),1,0)</x:f>
        <x:v>0</x:v>
      </x:c>
      <x:c r="T412" t="n">
        <x:f>IF(AND(MAX(N412,N411)&gt;0,N412&gt;N411+0.00000001),1,0)</x:f>
        <x:v>0</x:v>
      </x:c>
      <x:c r="U412" t="n">
        <x:f>IF(AND(MAX(O412,O411)&gt;0,O412&gt;O411+0.00000001),1,0)</x:f>
        <x:v>0</x:v>
      </x:c>
    </x:row>
    <x:row r="413">
      <x:c r="J413" t="n">
        <x:f>IF(AND(ISNUMBER('Results'!B7),ISNUMBER('Results'!C7),ISNUMBER('Results'!$B$8),ISNUMBER('Inputs'!$B$6),ISNUMBER('Inputs'!$B$7),ISNUMBER('Inputs'!$B$8),ISNUMBER('Inputs'!$B$9),ISNUMBER('Inputs'!$B$10),ISNUMBER('Inputs'!$B$21),ISNUMBER('Inputs'!$B$24),ISNUMBER('Inputs'!$B$28)),(('Results'!B7*(0.5*((((413-43)*MAX('Inputs'!$B$33,'Inputs'!$B$29+'Inputs'!$B$31+'Inputs'!$B$32,'Inputs'!$B$30+'Inputs'!$B$31+'Inputs'!$B$32)/1000+'Inputs'!$B$21)+'Inputs'!$B$7)/SQRT((((413-43)*MAX('Inputs'!$B$33,'Inputs'!$B$29+'Inputs'!$B$31+'Inputs'!$B$32,'Inputs'!$B$30+'Inputs'!$B$31+'Inputs'!$B$32)/1000+'Inputs'!$B$21)+'Inputs'!$B$7)^2+('Inputs'!$B$6/2)^2)-(((413-43)*MAX('Inputs'!$B$33,'Inputs'!$B$29+'Inputs'!$B$31+'Inputs'!$B$32,'Inputs'!$B$30+'Inputs'!$B$31+'Inputs'!$B$32)/1000+'Inputs'!$B$21))/SQRT((((413-43)*MAX('Inputs'!$B$33,'Inputs'!$B$29+'Inputs'!$B$31+'Inputs'!$B$32,'Inputs'!$B$30+'Inputs'!$B$31+'Inputs'!$B$32)/1000+'Inputs'!$B$21))^2+('Inputs'!$B$6/2)^2)))-'Results'!C7*(0.5*((((413-43)*MAX('Inputs'!$B$33,'Inputs'!$B$29+'Inputs'!$B$31+'Inputs'!$B$32,'Inputs'!$B$30+'Inputs'!$B$31+'Inputs'!$B$32)/1000+'Inputs'!$B$21+'Inputs'!$B$7+'Inputs'!$B$10)+'Inputs'!$B$9)/SQRT((((413-43)*MAX('Inputs'!$B$33,'Inputs'!$B$29+'Inputs'!$B$31+'Inputs'!$B$32,'Inputs'!$B$30+'Inputs'!$B$31+'Inputs'!$B$32)/1000+'Inputs'!$B$21+'Inputs'!$B$7+'Inputs'!$B$10)+'Inputs'!$B$9)^2+('Inputs'!$B$8/2)^2)-(((413-43)*MAX('Inputs'!$B$33,'Inputs'!$B$29+'Inputs'!$B$31+'Inputs'!$B$32,'Inputs'!$B$30+'Inputs'!$B$31+'Inputs'!$B$32)/1000+'Inputs'!$B$21+'Inputs'!$B$7+'Inputs'!$B$10))/SQRT((((413-43)*MAX('Inputs'!$B$33,'Inputs'!$B$29+'Inputs'!$B$31+'Inputs'!$B$32,'Inputs'!$B$30+'Inputs'!$B$31+'Inputs'!$B$32)/1000+'Inputs'!$B$21+'Inputs'!$B$7+'Inputs'!$B$10))^2+('Inputs'!$B$8/2)^2))))*'Results'!$B$8),"")</x:f>
        <x:v>11.41546670136044</x:v>
      </x:c>
      <x:c r="K413" t="n">
        <x:f>IF(AND(ISNUMBER('Results'!B7),ISNUMBER('Results'!C7),ISNUMBER('Results'!$B$8),ISNUMBER('Inputs'!$B$6),ISNUMBER('Inputs'!$B$7),ISNUMBER('Inputs'!$B$8),ISNUMBER('Inputs'!$B$9),ISNUMBER('Inputs'!$B$10),ISNUMBER('Inputs'!$B$21),ISNUMBER('Inputs'!$B$24),ISNUMBER('Inputs'!$B$28)),((('Results'!B7*(1-'Inputs'!$B$24)*(0.5*((((413-43)*MAX('Inputs'!$B$33,'Inputs'!$B$29+'Inputs'!$B$31+'Inputs'!$B$32,'Inputs'!$B$30+'Inputs'!$B$31+'Inputs'!$B$32)/1000+'Inputs'!$B$21)+'Inputs'!$B$7)/SQRT((((413-43)*MAX('Inputs'!$B$33,'Inputs'!$B$29+'Inputs'!$B$31+'Inputs'!$B$32,'Inputs'!$B$30+'Inputs'!$B$31+'Inputs'!$B$32)/1000+'Inputs'!$B$21)+'Inputs'!$B$7)^2+('Inputs'!$B$6/2)^2)-(((413-43)*MAX('Inputs'!$B$33,'Inputs'!$B$29+'Inputs'!$B$31+'Inputs'!$B$32,'Inputs'!$B$30+'Inputs'!$B$31+'Inputs'!$B$32)/1000+'Inputs'!$B$21))/SQRT((((413-43)*MAX('Inputs'!$B$33,'Inputs'!$B$29+'Inputs'!$B$31+'Inputs'!$B$32,'Inputs'!$B$30+'Inputs'!$B$31+'Inputs'!$B$32)/1000+'Inputs'!$B$21))^2+('Inputs'!$B$6/2)^2)))-'Results'!C7*(1+'Inputs'!$B$24)*(0.5*((((413-43)*MAX('Inputs'!$B$33,'Inputs'!$B$29+'Inputs'!$B$31+'Inputs'!$B$32,'Inputs'!$B$30+'Inputs'!$B$31+'Inputs'!$B$32)/1000+'Inputs'!$B$21+'Inputs'!$B$7+'Inputs'!$B$10)+'Inputs'!$B$9)/SQRT((((413-43)*MAX('Inputs'!$B$33,'Inputs'!$B$29+'Inputs'!$B$31+'Inputs'!$B$32,'Inputs'!$B$30+'Inputs'!$B$31+'Inputs'!$B$32)/1000+'Inputs'!$B$21+'Inputs'!$B$7+'Inputs'!$B$10)+'Inputs'!$B$9)^2+('Inputs'!$B$8/2)^2)-(((413-43)*MAX('Inputs'!$B$33,'Inputs'!$B$29+'Inputs'!$B$31+'Inputs'!$B$32,'Inputs'!$B$30+'Inputs'!$B$31+'Inputs'!$B$32)/1000+'Inputs'!$B$21+'Inputs'!$B$7+'Inputs'!$B$10))/SQRT((((413-43)*MAX('Inputs'!$B$33,'Inputs'!$B$29+'Inputs'!$B$31+'Inputs'!$B$32,'Inputs'!$B$30+'Inputs'!$B$31+'Inputs'!$B$32)/1000+'Inputs'!$B$21+'Inputs'!$B$7+'Inputs'!$B$10))^2+('Inputs'!$B$8/2)^2))))*'Results'!$B$8)-'Inputs'!$B$28*ABS((('Results'!B7*(1-'Inputs'!$B$24)*(0.5*((((413-43)*MAX('Inputs'!$B$33,'Inputs'!$B$29+'Inputs'!$B$31+'Inputs'!$B$32,'Inputs'!$B$30+'Inputs'!$B$31+'Inputs'!$B$32)/1000+'Inputs'!$B$21)+'Inputs'!$B$7)/SQRT((((413-43)*MAX('Inputs'!$B$33,'Inputs'!$B$29+'Inputs'!$B$31+'Inputs'!$B$32,'Inputs'!$B$30+'Inputs'!$B$31+'Inputs'!$B$32)/1000+'Inputs'!$B$21)+'Inputs'!$B$7)^2+('Inputs'!$B$6/2)^2)-(((413-43)*MAX('Inputs'!$B$33,'Inputs'!$B$29+'Inputs'!$B$31+'Inputs'!$B$32,'Inputs'!$B$30+'Inputs'!$B$31+'Inputs'!$B$32)/1000+'Inputs'!$B$21))/SQRT((((413-43)*MAX('Inputs'!$B$33,'Inputs'!$B$29+'Inputs'!$B$31+'Inputs'!$B$32,'Inputs'!$B$30+'Inputs'!$B$31+'Inputs'!$B$32)/1000+'Inputs'!$B$21))^2+('Inputs'!$B$6/2)^2)))-'Results'!C7*(1+'Inputs'!$B$24)*(0.5*((((413-43)*MAX('Inputs'!$B$33,'Inputs'!$B$29+'Inputs'!$B$31+'Inputs'!$B$32,'Inputs'!$B$30+'Inputs'!$B$31+'Inputs'!$B$32)/1000+'Inputs'!$B$21+'Inputs'!$B$7+'Inputs'!$B$10)+'Inputs'!$B$9)/SQRT((((413-43)*MAX('Inputs'!$B$33,'Inputs'!$B$29+'Inputs'!$B$31+'Inputs'!$B$32,'Inputs'!$B$30+'Inputs'!$B$31+'Inputs'!$B$32)/1000+'Inputs'!$B$21+'Inputs'!$B$7+'Inputs'!$B$10)+'Inputs'!$B$9)^2+('Inputs'!$B$8/2)^2)-(((413-43)*MAX('Inputs'!$B$33,'Inputs'!$B$29+'Inputs'!$B$31+'Inputs'!$B$32,'Inputs'!$B$30+'Inputs'!$B$31+'Inputs'!$B$32)/1000+'Inputs'!$B$21+'Inputs'!$B$7+'Inputs'!$B$10))/SQRT((((413-43)*MAX('Inputs'!$B$33,'Inputs'!$B$29+'Inputs'!$B$31+'Inputs'!$B$32,'Inputs'!$B$30+'Inputs'!$B$31+'Inputs'!$B$32)/1000+'Inputs'!$B$21+'Inputs'!$B$7+'Inputs'!$B$10))^2+('Inputs'!$B$8/2)^2))))*'Results'!$B$8))),"")</x:f>
        <x:v>10.254743839565373</x:v>
      </x:c>
      <x:c r="L413" t="n">
        <x:f>IF(AND(ISNUMBER('Results'!B7),ISNUMBER('Results'!C7),ISNUMBER('Results'!$B$8),ISNUMBER('Inputs'!$B$6),ISNUMBER('Inputs'!$B$7),ISNUMBER('Inputs'!$B$8),ISNUMBER('Inputs'!$B$9),ISNUMBER('Inputs'!$B$10),ISNUMBER('Inputs'!$B$21),ISNUMBER('Inputs'!$B$24),ISNUMBER('Inputs'!$B$28)),((('Results'!B7*(1+'Inputs'!$B$24)*(0.5*((((413-43)*MAX('Inputs'!$B$33,'Inputs'!$B$29+'Inputs'!$B$31+'Inputs'!$B$32,'Inputs'!$B$30+'Inputs'!$B$31+'Inputs'!$B$32)/1000+'Inputs'!$B$21)+'Inputs'!$B$7)/SQRT((((413-43)*MAX('Inputs'!$B$33,'Inputs'!$B$29+'Inputs'!$B$31+'Inputs'!$B$32,'Inputs'!$B$30+'Inputs'!$B$31+'Inputs'!$B$32)/1000+'Inputs'!$B$21)+'Inputs'!$B$7)^2+('Inputs'!$B$6/2)^2)-(((413-43)*MAX('Inputs'!$B$33,'Inputs'!$B$29+'Inputs'!$B$31+'Inputs'!$B$32,'Inputs'!$B$30+'Inputs'!$B$31+'Inputs'!$B$32)/1000+'Inputs'!$B$21))/SQRT((((413-43)*MAX('Inputs'!$B$33,'Inputs'!$B$29+'Inputs'!$B$31+'Inputs'!$B$32,'Inputs'!$B$30+'Inputs'!$B$31+'Inputs'!$B$32)/1000+'Inputs'!$B$21))^2+('Inputs'!$B$6/2)^2)))-'Results'!C7*(1-'Inputs'!$B$24)*(0.5*((((413-43)*MAX('Inputs'!$B$33,'Inputs'!$B$29+'Inputs'!$B$31+'Inputs'!$B$32,'Inputs'!$B$30+'Inputs'!$B$31+'Inputs'!$B$32)/1000+'Inputs'!$B$21+'Inputs'!$B$7+'Inputs'!$B$10)+'Inputs'!$B$9)/SQRT((((413-43)*MAX('Inputs'!$B$33,'Inputs'!$B$29+'Inputs'!$B$31+'Inputs'!$B$32,'Inputs'!$B$30+'Inputs'!$B$31+'Inputs'!$B$32)/1000+'Inputs'!$B$21+'Inputs'!$B$7+'Inputs'!$B$10)+'Inputs'!$B$9)^2+('Inputs'!$B$8/2)^2)-(((413-43)*MAX('Inputs'!$B$33,'Inputs'!$B$29+'Inputs'!$B$31+'Inputs'!$B$32,'Inputs'!$B$30+'Inputs'!$B$31+'Inputs'!$B$32)/1000+'Inputs'!$B$21+'Inputs'!$B$7+'Inputs'!$B$10))/SQRT((((413-43)*MAX('Inputs'!$B$33,'Inputs'!$B$29+'Inputs'!$B$31+'Inputs'!$B$32,'Inputs'!$B$30+'Inputs'!$B$31+'Inputs'!$B$32)/1000+'Inputs'!$B$21+'Inputs'!$B$7+'Inputs'!$B$10))^2+('Inputs'!$B$8/2)^2))))*'Results'!$B$8)+'Inputs'!$B$28*ABS((('Results'!B7*(1+'Inputs'!$B$24)*(0.5*((((413-43)*MAX('Inputs'!$B$33,'Inputs'!$B$29+'Inputs'!$B$31+'Inputs'!$B$32,'Inputs'!$B$30+'Inputs'!$B$31+'Inputs'!$B$32)/1000+'Inputs'!$B$21)+'Inputs'!$B$7)/SQRT((((413-43)*MAX('Inputs'!$B$33,'Inputs'!$B$29+'Inputs'!$B$31+'Inputs'!$B$32,'Inputs'!$B$30+'Inputs'!$B$31+'Inputs'!$B$32)/1000+'Inputs'!$B$21)+'Inputs'!$B$7)^2+('Inputs'!$B$6/2)^2)-(((413-43)*MAX('Inputs'!$B$33,'Inputs'!$B$29+'Inputs'!$B$31+'Inputs'!$B$32,'Inputs'!$B$30+'Inputs'!$B$31+'Inputs'!$B$32)/1000+'Inputs'!$B$21))/SQRT((((413-43)*MAX('Inputs'!$B$33,'Inputs'!$B$29+'Inputs'!$B$31+'Inputs'!$B$32,'Inputs'!$B$30+'Inputs'!$B$31+'Inputs'!$B$32)/1000+'Inputs'!$B$21))^2+('Inputs'!$B$6/2)^2)))-'Results'!C7*(1-'Inputs'!$B$24)*(0.5*((((413-43)*MAX('Inputs'!$B$33,'Inputs'!$B$29+'Inputs'!$B$31+'Inputs'!$B$32,'Inputs'!$B$30+'Inputs'!$B$31+'Inputs'!$B$32)/1000+'Inputs'!$B$21+'Inputs'!$B$7+'Inputs'!$B$10)+'Inputs'!$B$9)/SQRT((((413-43)*MAX('Inputs'!$B$33,'Inputs'!$B$29+'Inputs'!$B$31+'Inputs'!$B$32,'Inputs'!$B$30+'Inputs'!$B$31+'Inputs'!$B$32)/1000+'Inputs'!$B$21+'Inputs'!$B$7+'Inputs'!$B$10)+'Inputs'!$B$9)^2+('Inputs'!$B$8/2)^2)-(((413-43)*MAX('Inputs'!$B$33,'Inputs'!$B$29+'Inputs'!$B$31+'Inputs'!$B$32,'Inputs'!$B$30+'Inputs'!$B$31+'Inputs'!$B$32)/1000+'Inputs'!$B$21+'Inputs'!$B$7+'Inputs'!$B$10))/SQRT((((413-43)*MAX('Inputs'!$B$33,'Inputs'!$B$29+'Inputs'!$B$31+'Inputs'!$B$32,'Inputs'!$B$30+'Inputs'!$B$31+'Inputs'!$B$32)/1000+'Inputs'!$B$21+'Inputs'!$B$7+'Inputs'!$B$10))^2+('Inputs'!$B$8/2)^2))))*'Results'!$B$8))),"")</x:f>
        <x:v>12.638289513337304</x:v>
      </x:c>
      <x:c r="M413" t="n">
        <x:f>IF(AND(ISNUMBER('Results'!C7),ISNUMBER('Results'!B7),ISNUMBER('Results'!$B$8),ISNUMBER('Inputs'!$B$6),ISNUMBER('Inputs'!$B$7),ISNUMBER('Inputs'!$B$8),ISNUMBER('Inputs'!$B$9),ISNUMBER('Inputs'!$B$10),ISNUMBER('Inputs'!$B$21),ISNUMBER('Inputs'!$B$24),ISNUMBER('Inputs'!$B$28)),(('Results'!C7*(0.5*((((413-43)*MAX('Inputs'!$B$33,'Inputs'!$B$29+'Inputs'!$B$31+'Inputs'!$B$32,'Inputs'!$B$30+'Inputs'!$B$31+'Inputs'!$B$32)/1000+'Inputs'!$B$21)+'Inputs'!$B$9)/SQRT((((413-43)*MAX('Inputs'!$B$33,'Inputs'!$B$29+'Inputs'!$B$31+'Inputs'!$B$32,'Inputs'!$B$30+'Inputs'!$B$31+'Inputs'!$B$32)/1000+'Inputs'!$B$21)+'Inputs'!$B$9)^2+('Inputs'!$B$8/2)^2)-(((413-43)*MAX('Inputs'!$B$33,'Inputs'!$B$29+'Inputs'!$B$31+'Inputs'!$B$32,'Inputs'!$B$30+'Inputs'!$B$31+'Inputs'!$B$32)/1000+'Inputs'!$B$21))/SQRT((((413-43)*MAX('Inputs'!$B$33,'Inputs'!$B$29+'Inputs'!$B$31+'Inputs'!$B$32,'Inputs'!$B$30+'Inputs'!$B$31+'Inputs'!$B$32)/1000+'Inputs'!$B$21))^2+('Inputs'!$B$8/2)^2)))-'Results'!B7*(0.5*((((413-43)*MAX('Inputs'!$B$33,'Inputs'!$B$29+'Inputs'!$B$31+'Inputs'!$B$32,'Inputs'!$B$30+'Inputs'!$B$31+'Inputs'!$B$32)/1000+'Inputs'!$B$21+'Inputs'!$B$9+'Inputs'!$B$10)+'Inputs'!$B$7)/SQRT((((413-43)*MAX('Inputs'!$B$33,'Inputs'!$B$29+'Inputs'!$B$31+'Inputs'!$B$32,'Inputs'!$B$30+'Inputs'!$B$31+'Inputs'!$B$32)/1000+'Inputs'!$B$21+'Inputs'!$B$9+'Inputs'!$B$10)+'Inputs'!$B$7)^2+('Inputs'!$B$6/2)^2)-(((413-43)*MAX('Inputs'!$B$33,'Inputs'!$B$29+'Inputs'!$B$31+'Inputs'!$B$32,'Inputs'!$B$30+'Inputs'!$B$31+'Inputs'!$B$32)/1000+'Inputs'!$B$21+'Inputs'!$B$9+'Inputs'!$B$10))/SQRT((((413-43)*MAX('Inputs'!$B$33,'Inputs'!$B$29+'Inputs'!$B$31+'Inputs'!$B$32,'Inputs'!$B$30+'Inputs'!$B$31+'Inputs'!$B$32)/1000+'Inputs'!$B$21+'Inputs'!$B$9+'Inputs'!$B$10))^2+('Inputs'!$B$6/2)^2))))*'Results'!$B$8),"")</x:f>
        <x:v>10.79046015701402</x:v>
      </x:c>
      <x:c r="N413" t="n">
        <x:f>IF(AND(ISNUMBER('Results'!C7),ISNUMBER('Results'!B7),ISNUMBER('Results'!$B$8),ISNUMBER('Inputs'!$B$6),ISNUMBER('Inputs'!$B$7),ISNUMBER('Inputs'!$B$8),ISNUMBER('Inputs'!$B$9),ISNUMBER('Inputs'!$B$10),ISNUMBER('Inputs'!$B$21),ISNUMBER('Inputs'!$B$24),ISNUMBER('Inputs'!$B$28)),((('Results'!C7*(1-'Inputs'!$B$24)*(0.5*((((413-43)*MAX('Inputs'!$B$33,'Inputs'!$B$29+'Inputs'!$B$31+'Inputs'!$B$32,'Inputs'!$B$30+'Inputs'!$B$31+'Inputs'!$B$32)/1000+'Inputs'!$B$21)+'Inputs'!$B$9)/SQRT((((413-43)*MAX('Inputs'!$B$33,'Inputs'!$B$29+'Inputs'!$B$31+'Inputs'!$B$32,'Inputs'!$B$30+'Inputs'!$B$31+'Inputs'!$B$32)/1000+'Inputs'!$B$21)+'Inputs'!$B$9)^2+('Inputs'!$B$8/2)^2)-(((413-43)*MAX('Inputs'!$B$33,'Inputs'!$B$29+'Inputs'!$B$31+'Inputs'!$B$32,'Inputs'!$B$30+'Inputs'!$B$31+'Inputs'!$B$32)/1000+'Inputs'!$B$21))/SQRT((((413-43)*MAX('Inputs'!$B$33,'Inputs'!$B$29+'Inputs'!$B$31+'Inputs'!$B$32,'Inputs'!$B$30+'Inputs'!$B$31+'Inputs'!$B$32)/1000+'Inputs'!$B$21))^2+('Inputs'!$B$8/2)^2)))-'Results'!B7*(1+'Inputs'!$B$24)*(0.5*((((413-43)*MAX('Inputs'!$B$33,'Inputs'!$B$29+'Inputs'!$B$31+'Inputs'!$B$32,'Inputs'!$B$30+'Inputs'!$B$31+'Inputs'!$B$32)/1000+'Inputs'!$B$21+'Inputs'!$B$9+'Inputs'!$B$10)+'Inputs'!$B$7)/SQRT((((413-43)*MAX('Inputs'!$B$33,'Inputs'!$B$29+'Inputs'!$B$31+'Inputs'!$B$32,'Inputs'!$B$30+'Inputs'!$B$31+'Inputs'!$B$32)/1000+'Inputs'!$B$21+'Inputs'!$B$9+'Inputs'!$B$10)+'Inputs'!$B$7)^2+('Inputs'!$B$6/2)^2)-(((413-43)*MAX('Inputs'!$B$33,'Inputs'!$B$29+'Inputs'!$B$31+'Inputs'!$B$32,'Inputs'!$B$30+'Inputs'!$B$31+'Inputs'!$B$32)/1000+'Inputs'!$B$21+'Inputs'!$B$9+'Inputs'!$B$10))/SQRT((((413-43)*MAX('Inputs'!$B$33,'Inputs'!$B$29+'Inputs'!$B$31+'Inputs'!$B$32,'Inputs'!$B$30+'Inputs'!$B$31+'Inputs'!$B$32)/1000+'Inputs'!$B$21+'Inputs'!$B$9+'Inputs'!$B$10))^2+('Inputs'!$B$6/2)^2))))*'Results'!$B$8)-'Inputs'!$B$28*ABS((('Results'!C7*(1-'Inputs'!$B$24)*(0.5*((((413-43)*MAX('Inputs'!$B$33,'Inputs'!$B$29+'Inputs'!$B$31+'Inputs'!$B$32,'Inputs'!$B$30+'Inputs'!$B$31+'Inputs'!$B$32)/1000+'Inputs'!$B$21)+'Inputs'!$B$9)/SQRT((((413-43)*MAX('Inputs'!$B$33,'Inputs'!$B$29+'Inputs'!$B$31+'Inputs'!$B$32,'Inputs'!$B$30+'Inputs'!$B$31+'Inputs'!$B$32)/1000+'Inputs'!$B$21)+'Inputs'!$B$9)^2+('Inputs'!$B$8/2)^2)-(((413-43)*MAX('Inputs'!$B$33,'Inputs'!$B$29+'Inputs'!$B$31+'Inputs'!$B$32,'Inputs'!$B$30+'Inputs'!$B$31+'Inputs'!$B$32)/1000+'Inputs'!$B$21))/SQRT((((413-43)*MAX('Inputs'!$B$33,'Inputs'!$B$29+'Inputs'!$B$31+'Inputs'!$B$32,'Inputs'!$B$30+'Inputs'!$B$31+'Inputs'!$B$32)/1000+'Inputs'!$B$21))^2+('Inputs'!$B$8/2)^2)))-'Results'!B7*(1+'Inputs'!$B$24)*(0.5*((((413-43)*MAX('Inputs'!$B$33,'Inputs'!$B$29+'Inputs'!$B$31+'Inputs'!$B$32,'Inputs'!$B$30+'Inputs'!$B$31+'Inputs'!$B$32)/1000+'Inputs'!$B$21+'Inputs'!$B$9+'Inputs'!$B$10)+'Inputs'!$B$7)/SQRT((((413-43)*MAX('Inputs'!$B$33,'Inputs'!$B$29+'Inputs'!$B$31+'Inputs'!$B$32,'Inputs'!$B$30+'Inputs'!$B$31+'Inputs'!$B$32)/1000+'Inputs'!$B$21+'Inputs'!$B$9+'Inputs'!$B$10)+'Inputs'!$B$7)^2+('Inputs'!$B$6/2)^2)-(((413-43)*MAX('Inputs'!$B$33,'Inputs'!$B$29+'Inputs'!$B$31+'Inputs'!$B$32,'Inputs'!$B$30+'Inputs'!$B$31+'Inputs'!$B$32)/1000+'Inputs'!$B$21+'Inputs'!$B$9+'Inputs'!$B$10))/SQRT((((413-43)*MAX('Inputs'!$B$33,'Inputs'!$B$29+'Inputs'!$B$31+'Inputs'!$B$32,'Inputs'!$B$30+'Inputs'!$B$31+'Inputs'!$B$32)/1000+'Inputs'!$B$21+'Inputs'!$B$9+'Inputs'!$B$10))^2+('Inputs'!$B$6/2)^2))))*'Results'!$B$8))),"")</x:f>
        <x:v>9.665249365974752</x:v>
      </x:c>
      <x:c r="O413" t="n">
        <x:f>IF(AND(ISNUMBER('Results'!C7),ISNUMBER('Results'!B7),ISNUMBER('Results'!$B$8),ISNUMBER('Inputs'!$B$6),ISNUMBER('Inputs'!$B$7),ISNUMBER('Inputs'!$B$8),ISNUMBER('Inputs'!$B$9),ISNUMBER('Inputs'!$B$10),ISNUMBER('Inputs'!$B$21),ISNUMBER('Inputs'!$B$24),ISNUMBER('Inputs'!$B$28)),((('Results'!C7*(1+'Inputs'!$B$24)*(0.5*((((413-43)*MAX('Inputs'!$B$33,'Inputs'!$B$29+'Inputs'!$B$31+'Inputs'!$B$32,'Inputs'!$B$30+'Inputs'!$B$31+'Inputs'!$B$32)/1000+'Inputs'!$B$21)+'Inputs'!$B$9)/SQRT((((413-43)*MAX('Inputs'!$B$33,'Inputs'!$B$29+'Inputs'!$B$31+'Inputs'!$B$32,'Inputs'!$B$30+'Inputs'!$B$31+'Inputs'!$B$32)/1000+'Inputs'!$B$21)+'Inputs'!$B$9)^2+('Inputs'!$B$8/2)^2)-(((413-43)*MAX('Inputs'!$B$33,'Inputs'!$B$29+'Inputs'!$B$31+'Inputs'!$B$32,'Inputs'!$B$30+'Inputs'!$B$31+'Inputs'!$B$32)/1000+'Inputs'!$B$21))/SQRT((((413-43)*MAX('Inputs'!$B$33,'Inputs'!$B$29+'Inputs'!$B$31+'Inputs'!$B$32,'Inputs'!$B$30+'Inputs'!$B$31+'Inputs'!$B$32)/1000+'Inputs'!$B$21))^2+('Inputs'!$B$8/2)^2)))-'Results'!B7*(1-'Inputs'!$B$24)*(0.5*((((413-43)*MAX('Inputs'!$B$33,'Inputs'!$B$29+'Inputs'!$B$31+'Inputs'!$B$32,'Inputs'!$B$30+'Inputs'!$B$31+'Inputs'!$B$32)/1000+'Inputs'!$B$21+'Inputs'!$B$9+'Inputs'!$B$10)+'Inputs'!$B$7)/SQRT((((413-43)*MAX('Inputs'!$B$33,'Inputs'!$B$29+'Inputs'!$B$31+'Inputs'!$B$32,'Inputs'!$B$30+'Inputs'!$B$31+'Inputs'!$B$32)/1000+'Inputs'!$B$21+'Inputs'!$B$9+'Inputs'!$B$10)+'Inputs'!$B$7)^2+('Inputs'!$B$6/2)^2)-(((413-43)*MAX('Inputs'!$B$33,'Inputs'!$B$29+'Inputs'!$B$31+'Inputs'!$B$32,'Inputs'!$B$30+'Inputs'!$B$31+'Inputs'!$B$32)/1000+'Inputs'!$B$21+'Inputs'!$B$9+'Inputs'!$B$10))/SQRT((((413-43)*MAX('Inputs'!$B$33,'Inputs'!$B$29+'Inputs'!$B$31+'Inputs'!$B$32,'Inputs'!$B$30+'Inputs'!$B$31+'Inputs'!$B$32)/1000+'Inputs'!$B$21+'Inputs'!$B$9+'Inputs'!$B$10))^2+('Inputs'!$B$6/2)^2))))*'Results'!$B$8)+'Inputs'!$B$28*ABS((('Results'!C7*(1+'Inputs'!$B$24)*(0.5*((((413-43)*MAX('Inputs'!$B$33,'Inputs'!$B$29+'Inputs'!$B$31+'Inputs'!$B$32,'Inputs'!$B$30+'Inputs'!$B$31+'Inputs'!$B$32)/1000+'Inputs'!$B$21)+'Inputs'!$B$9)/SQRT((((413-43)*MAX('Inputs'!$B$33,'Inputs'!$B$29+'Inputs'!$B$31+'Inputs'!$B$32,'Inputs'!$B$30+'Inputs'!$B$31+'Inputs'!$B$32)/1000+'Inputs'!$B$21)+'Inputs'!$B$9)^2+('Inputs'!$B$8/2)^2)-(((413-43)*MAX('Inputs'!$B$33,'Inputs'!$B$29+'Inputs'!$B$31+'Inputs'!$B$32,'Inputs'!$B$30+'Inputs'!$B$31+'Inputs'!$B$32)/1000+'Inputs'!$B$21))/SQRT((((413-43)*MAX('Inputs'!$B$33,'Inputs'!$B$29+'Inputs'!$B$31+'Inputs'!$B$32,'Inputs'!$B$30+'Inputs'!$B$31+'Inputs'!$B$32)/1000+'Inputs'!$B$21))^2+('Inputs'!$B$8/2)^2)))-'Results'!B7*(1-'Inputs'!$B$24)*(0.5*((((413-43)*MAX('Inputs'!$B$33,'Inputs'!$B$29+'Inputs'!$B$31+'Inputs'!$B$32,'Inputs'!$B$30+'Inputs'!$B$31+'Inputs'!$B$32)/1000+'Inputs'!$B$21+'Inputs'!$B$9+'Inputs'!$B$10)+'Inputs'!$B$7)/SQRT((((413-43)*MAX('Inputs'!$B$33,'Inputs'!$B$29+'Inputs'!$B$31+'Inputs'!$B$32,'Inputs'!$B$30+'Inputs'!$B$31+'Inputs'!$B$32)/1000+'Inputs'!$B$21+'Inputs'!$B$9+'Inputs'!$B$10)+'Inputs'!$B$7)^2+('Inputs'!$B$6/2)^2)-(((413-43)*MAX('Inputs'!$B$33,'Inputs'!$B$29+'Inputs'!$B$31+'Inputs'!$B$32,'Inputs'!$B$30+'Inputs'!$B$31+'Inputs'!$B$32)/1000+'Inputs'!$B$21+'Inputs'!$B$9+'Inputs'!$B$10))/SQRT((((413-43)*MAX('Inputs'!$B$33,'Inputs'!$B$29+'Inputs'!$B$31+'Inputs'!$B$32,'Inputs'!$B$30+'Inputs'!$B$31+'Inputs'!$B$32)/1000+'Inputs'!$B$21+'Inputs'!$B$9+'Inputs'!$B$10))^2+('Inputs'!$B$6/2)^2))))*'Results'!$B$8))),"")</x:f>
        <x:v>11.97732229365209</x:v>
      </x:c>
      <x:c r="P413" t="n">
        <x:f>IF(AND(MAX(J413,J412)&gt;0,J413&gt;J412+0.00000001),1,0)</x:f>
        <x:v>0</x:v>
      </x:c>
      <x:c r="Q413" t="n">
        <x:f>IF(AND(MAX(K413,K412)&gt;0,K413&gt;K412+0.00000001),1,0)</x:f>
        <x:v>0</x:v>
      </x:c>
      <x:c r="R413" t="n">
        <x:f>IF(AND(MAX(L413,L412)&gt;0,L413&gt;L412+0.00000001),1,0)</x:f>
        <x:v>0</x:v>
      </x:c>
      <x:c r="S413" t="n">
        <x:f>IF(AND(MAX(M413,M412)&gt;0,M413&gt;M412+0.00000001),1,0)</x:f>
        <x:v>0</x:v>
      </x:c>
      <x:c r="T413" t="n">
        <x:f>IF(AND(MAX(N413,N412)&gt;0,N413&gt;N412+0.00000001),1,0)</x:f>
        <x:v>0</x:v>
      </x:c>
      <x:c r="U413" t="n">
        <x:f>IF(AND(MAX(O413,O412)&gt;0,O413&gt;O412+0.00000001),1,0)</x:f>
        <x:v>0</x:v>
      </x:c>
    </x:row>
    <x:row r="414">
      <x:c r="J414" t="n">
        <x:f>IF(AND(ISNUMBER('Results'!B7),ISNUMBER('Results'!C7),ISNUMBER('Results'!$B$8),ISNUMBER('Inputs'!$B$6),ISNUMBER('Inputs'!$B$7),ISNUMBER('Inputs'!$B$8),ISNUMBER('Inputs'!$B$9),ISNUMBER('Inputs'!$B$10),ISNUMBER('Inputs'!$B$21),ISNUMBER('Inputs'!$B$24),ISNUMBER('Inputs'!$B$28)),(('Results'!B7*(0.5*((((414-43)*MAX('Inputs'!$B$33,'Inputs'!$B$29+'Inputs'!$B$31+'Inputs'!$B$32,'Inputs'!$B$30+'Inputs'!$B$31+'Inputs'!$B$32)/1000+'Inputs'!$B$21)+'Inputs'!$B$7)/SQRT((((414-43)*MAX('Inputs'!$B$33,'Inputs'!$B$29+'Inputs'!$B$31+'Inputs'!$B$32,'Inputs'!$B$30+'Inputs'!$B$31+'Inputs'!$B$32)/1000+'Inputs'!$B$21)+'Inputs'!$B$7)^2+('Inputs'!$B$6/2)^2)-(((414-43)*MAX('Inputs'!$B$33,'Inputs'!$B$29+'Inputs'!$B$31+'Inputs'!$B$32,'Inputs'!$B$30+'Inputs'!$B$31+'Inputs'!$B$32)/1000+'Inputs'!$B$21))/SQRT((((414-43)*MAX('Inputs'!$B$33,'Inputs'!$B$29+'Inputs'!$B$31+'Inputs'!$B$32,'Inputs'!$B$30+'Inputs'!$B$31+'Inputs'!$B$32)/1000+'Inputs'!$B$21))^2+('Inputs'!$B$6/2)^2)))-'Results'!C7*(0.5*((((414-43)*MAX('Inputs'!$B$33,'Inputs'!$B$29+'Inputs'!$B$31+'Inputs'!$B$32,'Inputs'!$B$30+'Inputs'!$B$31+'Inputs'!$B$32)/1000+'Inputs'!$B$21+'Inputs'!$B$7+'Inputs'!$B$10)+'Inputs'!$B$9)/SQRT((((414-43)*MAX('Inputs'!$B$33,'Inputs'!$B$29+'Inputs'!$B$31+'Inputs'!$B$32,'Inputs'!$B$30+'Inputs'!$B$31+'Inputs'!$B$32)/1000+'Inputs'!$B$21+'Inputs'!$B$7+'Inputs'!$B$10)+'Inputs'!$B$9)^2+('Inputs'!$B$8/2)^2)-(((414-43)*MAX('Inputs'!$B$33,'Inputs'!$B$29+'Inputs'!$B$31+'Inputs'!$B$32,'Inputs'!$B$30+'Inputs'!$B$31+'Inputs'!$B$32)/1000+'Inputs'!$B$21+'Inputs'!$B$7+'Inputs'!$B$10))/SQRT((((414-43)*MAX('Inputs'!$B$33,'Inputs'!$B$29+'Inputs'!$B$31+'Inputs'!$B$32,'Inputs'!$B$30+'Inputs'!$B$31+'Inputs'!$B$32)/1000+'Inputs'!$B$21+'Inputs'!$B$7+'Inputs'!$B$10))^2+('Inputs'!$B$8/2)^2))))*'Results'!$B$8),"")</x:f>
        <x:v>11.315727143864247</x:v>
      </x:c>
      <x:c r="K414" t="n">
        <x:f>IF(AND(ISNUMBER('Results'!B7),ISNUMBER('Results'!C7),ISNUMBER('Results'!$B$8),ISNUMBER('Inputs'!$B$6),ISNUMBER('Inputs'!$B$7),ISNUMBER('Inputs'!$B$8),ISNUMBER('Inputs'!$B$9),ISNUMBER('Inputs'!$B$10),ISNUMBER('Inputs'!$B$21),ISNUMBER('Inputs'!$B$24),ISNUMBER('Inputs'!$B$28)),((('Results'!B7*(1-'Inputs'!$B$24)*(0.5*((((414-43)*MAX('Inputs'!$B$33,'Inputs'!$B$29+'Inputs'!$B$31+'Inputs'!$B$32,'Inputs'!$B$30+'Inputs'!$B$31+'Inputs'!$B$32)/1000+'Inputs'!$B$21)+'Inputs'!$B$7)/SQRT((((414-43)*MAX('Inputs'!$B$33,'Inputs'!$B$29+'Inputs'!$B$31+'Inputs'!$B$32,'Inputs'!$B$30+'Inputs'!$B$31+'Inputs'!$B$32)/1000+'Inputs'!$B$21)+'Inputs'!$B$7)^2+('Inputs'!$B$6/2)^2)-(((414-43)*MAX('Inputs'!$B$33,'Inputs'!$B$29+'Inputs'!$B$31+'Inputs'!$B$32,'Inputs'!$B$30+'Inputs'!$B$31+'Inputs'!$B$32)/1000+'Inputs'!$B$21))/SQRT((((414-43)*MAX('Inputs'!$B$33,'Inputs'!$B$29+'Inputs'!$B$31+'Inputs'!$B$32,'Inputs'!$B$30+'Inputs'!$B$31+'Inputs'!$B$32)/1000+'Inputs'!$B$21))^2+('Inputs'!$B$6/2)^2)))-'Results'!C7*(1+'Inputs'!$B$24)*(0.5*((((414-43)*MAX('Inputs'!$B$33,'Inputs'!$B$29+'Inputs'!$B$31+'Inputs'!$B$32,'Inputs'!$B$30+'Inputs'!$B$31+'Inputs'!$B$32)/1000+'Inputs'!$B$21+'Inputs'!$B$7+'Inputs'!$B$10)+'Inputs'!$B$9)/SQRT((((414-43)*MAX('Inputs'!$B$33,'Inputs'!$B$29+'Inputs'!$B$31+'Inputs'!$B$32,'Inputs'!$B$30+'Inputs'!$B$31+'Inputs'!$B$32)/1000+'Inputs'!$B$21+'Inputs'!$B$7+'Inputs'!$B$10)+'Inputs'!$B$9)^2+('Inputs'!$B$8/2)^2)-(((414-43)*MAX('Inputs'!$B$33,'Inputs'!$B$29+'Inputs'!$B$31+'Inputs'!$B$32,'Inputs'!$B$30+'Inputs'!$B$31+'Inputs'!$B$32)/1000+'Inputs'!$B$21+'Inputs'!$B$7+'Inputs'!$B$10))/SQRT((((414-43)*MAX('Inputs'!$B$33,'Inputs'!$B$29+'Inputs'!$B$31+'Inputs'!$B$32,'Inputs'!$B$30+'Inputs'!$B$31+'Inputs'!$B$32)/1000+'Inputs'!$B$21+'Inputs'!$B$7+'Inputs'!$B$10))^2+('Inputs'!$B$8/2)^2))))*'Results'!$B$8)-'Inputs'!$B$28*ABS((('Results'!B7*(1-'Inputs'!$B$24)*(0.5*((((414-43)*MAX('Inputs'!$B$33,'Inputs'!$B$29+'Inputs'!$B$31+'Inputs'!$B$32,'Inputs'!$B$30+'Inputs'!$B$31+'Inputs'!$B$32)/1000+'Inputs'!$B$21)+'Inputs'!$B$7)/SQRT((((414-43)*MAX('Inputs'!$B$33,'Inputs'!$B$29+'Inputs'!$B$31+'Inputs'!$B$32,'Inputs'!$B$30+'Inputs'!$B$31+'Inputs'!$B$32)/1000+'Inputs'!$B$21)+'Inputs'!$B$7)^2+('Inputs'!$B$6/2)^2)-(((414-43)*MAX('Inputs'!$B$33,'Inputs'!$B$29+'Inputs'!$B$31+'Inputs'!$B$32,'Inputs'!$B$30+'Inputs'!$B$31+'Inputs'!$B$32)/1000+'Inputs'!$B$21))/SQRT((((414-43)*MAX('Inputs'!$B$33,'Inputs'!$B$29+'Inputs'!$B$31+'Inputs'!$B$32,'Inputs'!$B$30+'Inputs'!$B$31+'Inputs'!$B$32)/1000+'Inputs'!$B$21))^2+('Inputs'!$B$6/2)^2)))-'Results'!C7*(1+'Inputs'!$B$24)*(0.5*((((414-43)*MAX('Inputs'!$B$33,'Inputs'!$B$29+'Inputs'!$B$31+'Inputs'!$B$32,'Inputs'!$B$30+'Inputs'!$B$31+'Inputs'!$B$32)/1000+'Inputs'!$B$21+'Inputs'!$B$7+'Inputs'!$B$10)+'Inputs'!$B$9)/SQRT((((414-43)*MAX('Inputs'!$B$33,'Inputs'!$B$29+'Inputs'!$B$31+'Inputs'!$B$32,'Inputs'!$B$30+'Inputs'!$B$31+'Inputs'!$B$32)/1000+'Inputs'!$B$21+'Inputs'!$B$7+'Inputs'!$B$10)+'Inputs'!$B$9)^2+('Inputs'!$B$8/2)^2)-(((414-43)*MAX('Inputs'!$B$33,'Inputs'!$B$29+'Inputs'!$B$31+'Inputs'!$B$32,'Inputs'!$B$30+'Inputs'!$B$31+'Inputs'!$B$32)/1000+'Inputs'!$B$21+'Inputs'!$B$7+'Inputs'!$B$10))/SQRT((((414-43)*MAX('Inputs'!$B$33,'Inputs'!$B$29+'Inputs'!$B$31+'Inputs'!$B$32,'Inputs'!$B$30+'Inputs'!$B$31+'Inputs'!$B$32)/1000+'Inputs'!$B$21+'Inputs'!$B$7+'Inputs'!$B$10))^2+('Inputs'!$B$8/2)^2))))*'Results'!$B$8))),"")</x:f>
        <x:v>10.164046734461541</x:v>
      </x:c>
      <x:c r="L414" t="n">
        <x:f>IF(AND(ISNUMBER('Results'!B7),ISNUMBER('Results'!C7),ISNUMBER('Results'!$B$8),ISNUMBER('Inputs'!$B$6),ISNUMBER('Inputs'!$B$7),ISNUMBER('Inputs'!$B$8),ISNUMBER('Inputs'!$B$9),ISNUMBER('Inputs'!$B$10),ISNUMBER('Inputs'!$B$21),ISNUMBER('Inputs'!$B$24),ISNUMBER('Inputs'!$B$28)),((('Results'!B7*(1+'Inputs'!$B$24)*(0.5*((((414-43)*MAX('Inputs'!$B$33,'Inputs'!$B$29+'Inputs'!$B$31+'Inputs'!$B$32,'Inputs'!$B$30+'Inputs'!$B$31+'Inputs'!$B$32)/1000+'Inputs'!$B$21)+'Inputs'!$B$7)/SQRT((((414-43)*MAX('Inputs'!$B$33,'Inputs'!$B$29+'Inputs'!$B$31+'Inputs'!$B$32,'Inputs'!$B$30+'Inputs'!$B$31+'Inputs'!$B$32)/1000+'Inputs'!$B$21)+'Inputs'!$B$7)^2+('Inputs'!$B$6/2)^2)-(((414-43)*MAX('Inputs'!$B$33,'Inputs'!$B$29+'Inputs'!$B$31+'Inputs'!$B$32,'Inputs'!$B$30+'Inputs'!$B$31+'Inputs'!$B$32)/1000+'Inputs'!$B$21))/SQRT((((414-43)*MAX('Inputs'!$B$33,'Inputs'!$B$29+'Inputs'!$B$31+'Inputs'!$B$32,'Inputs'!$B$30+'Inputs'!$B$31+'Inputs'!$B$32)/1000+'Inputs'!$B$21))^2+('Inputs'!$B$6/2)^2)))-'Results'!C7*(1-'Inputs'!$B$24)*(0.5*((((414-43)*MAX('Inputs'!$B$33,'Inputs'!$B$29+'Inputs'!$B$31+'Inputs'!$B$32,'Inputs'!$B$30+'Inputs'!$B$31+'Inputs'!$B$32)/1000+'Inputs'!$B$21+'Inputs'!$B$7+'Inputs'!$B$10)+'Inputs'!$B$9)/SQRT((((414-43)*MAX('Inputs'!$B$33,'Inputs'!$B$29+'Inputs'!$B$31+'Inputs'!$B$32,'Inputs'!$B$30+'Inputs'!$B$31+'Inputs'!$B$32)/1000+'Inputs'!$B$21+'Inputs'!$B$7+'Inputs'!$B$10)+'Inputs'!$B$9)^2+('Inputs'!$B$8/2)^2)-(((414-43)*MAX('Inputs'!$B$33,'Inputs'!$B$29+'Inputs'!$B$31+'Inputs'!$B$32,'Inputs'!$B$30+'Inputs'!$B$31+'Inputs'!$B$32)/1000+'Inputs'!$B$21+'Inputs'!$B$7+'Inputs'!$B$10))/SQRT((((414-43)*MAX('Inputs'!$B$33,'Inputs'!$B$29+'Inputs'!$B$31+'Inputs'!$B$32,'Inputs'!$B$30+'Inputs'!$B$31+'Inputs'!$B$32)/1000+'Inputs'!$B$21+'Inputs'!$B$7+'Inputs'!$B$10))^2+('Inputs'!$B$8/2)^2))))*'Results'!$B$8)+'Inputs'!$B$28*ABS((('Results'!B7*(1+'Inputs'!$B$24)*(0.5*((((414-43)*MAX('Inputs'!$B$33,'Inputs'!$B$29+'Inputs'!$B$31+'Inputs'!$B$32,'Inputs'!$B$30+'Inputs'!$B$31+'Inputs'!$B$32)/1000+'Inputs'!$B$21)+'Inputs'!$B$7)/SQRT((((414-43)*MAX('Inputs'!$B$33,'Inputs'!$B$29+'Inputs'!$B$31+'Inputs'!$B$32,'Inputs'!$B$30+'Inputs'!$B$31+'Inputs'!$B$32)/1000+'Inputs'!$B$21)+'Inputs'!$B$7)^2+('Inputs'!$B$6/2)^2)-(((414-43)*MAX('Inputs'!$B$33,'Inputs'!$B$29+'Inputs'!$B$31+'Inputs'!$B$32,'Inputs'!$B$30+'Inputs'!$B$31+'Inputs'!$B$32)/1000+'Inputs'!$B$21))/SQRT((((414-43)*MAX('Inputs'!$B$33,'Inputs'!$B$29+'Inputs'!$B$31+'Inputs'!$B$32,'Inputs'!$B$30+'Inputs'!$B$31+'Inputs'!$B$32)/1000+'Inputs'!$B$21))^2+('Inputs'!$B$6/2)^2)))-'Results'!C7*(1-'Inputs'!$B$24)*(0.5*((((414-43)*MAX('Inputs'!$B$33,'Inputs'!$B$29+'Inputs'!$B$31+'Inputs'!$B$32,'Inputs'!$B$30+'Inputs'!$B$31+'Inputs'!$B$32)/1000+'Inputs'!$B$21+'Inputs'!$B$7+'Inputs'!$B$10)+'Inputs'!$B$9)/SQRT((((414-43)*MAX('Inputs'!$B$33,'Inputs'!$B$29+'Inputs'!$B$31+'Inputs'!$B$32,'Inputs'!$B$30+'Inputs'!$B$31+'Inputs'!$B$32)/1000+'Inputs'!$B$21+'Inputs'!$B$7+'Inputs'!$B$10)+'Inputs'!$B$9)^2+('Inputs'!$B$8/2)^2)-(((414-43)*MAX('Inputs'!$B$33,'Inputs'!$B$29+'Inputs'!$B$31+'Inputs'!$B$32,'Inputs'!$B$30+'Inputs'!$B$31+'Inputs'!$B$32)/1000+'Inputs'!$B$21+'Inputs'!$B$7+'Inputs'!$B$10))/SQRT((((414-43)*MAX('Inputs'!$B$33,'Inputs'!$B$29+'Inputs'!$B$31+'Inputs'!$B$32,'Inputs'!$B$30+'Inputs'!$B$31+'Inputs'!$B$32)/1000+'Inputs'!$B$21+'Inputs'!$B$7+'Inputs'!$B$10))^2+('Inputs'!$B$8/2)^2))))*'Results'!$B$8))),"")</x:f>
        <x:v>12.529080611394269</x:v>
      </x:c>
      <x:c r="M414" t="n">
        <x:f>IF(AND(ISNUMBER('Results'!C7),ISNUMBER('Results'!B7),ISNUMBER('Results'!$B$8),ISNUMBER('Inputs'!$B$6),ISNUMBER('Inputs'!$B$7),ISNUMBER('Inputs'!$B$8),ISNUMBER('Inputs'!$B$9),ISNUMBER('Inputs'!$B$10),ISNUMBER('Inputs'!$B$21),ISNUMBER('Inputs'!$B$24),ISNUMBER('Inputs'!$B$28)),(('Results'!C7*(0.5*((((414-43)*MAX('Inputs'!$B$33,'Inputs'!$B$29+'Inputs'!$B$31+'Inputs'!$B$32,'Inputs'!$B$30+'Inputs'!$B$31+'Inputs'!$B$32)/1000+'Inputs'!$B$21)+'Inputs'!$B$9)/SQRT((((414-43)*MAX('Inputs'!$B$33,'Inputs'!$B$29+'Inputs'!$B$31+'Inputs'!$B$32,'Inputs'!$B$30+'Inputs'!$B$31+'Inputs'!$B$32)/1000+'Inputs'!$B$21)+'Inputs'!$B$9)^2+('Inputs'!$B$8/2)^2)-(((414-43)*MAX('Inputs'!$B$33,'Inputs'!$B$29+'Inputs'!$B$31+'Inputs'!$B$32,'Inputs'!$B$30+'Inputs'!$B$31+'Inputs'!$B$32)/1000+'Inputs'!$B$21))/SQRT((((414-43)*MAX('Inputs'!$B$33,'Inputs'!$B$29+'Inputs'!$B$31+'Inputs'!$B$32,'Inputs'!$B$30+'Inputs'!$B$31+'Inputs'!$B$32)/1000+'Inputs'!$B$21))^2+('Inputs'!$B$8/2)^2)))-'Results'!B7*(0.5*((((414-43)*MAX('Inputs'!$B$33,'Inputs'!$B$29+'Inputs'!$B$31+'Inputs'!$B$32,'Inputs'!$B$30+'Inputs'!$B$31+'Inputs'!$B$32)/1000+'Inputs'!$B$21+'Inputs'!$B$9+'Inputs'!$B$10)+'Inputs'!$B$7)/SQRT((((414-43)*MAX('Inputs'!$B$33,'Inputs'!$B$29+'Inputs'!$B$31+'Inputs'!$B$32,'Inputs'!$B$30+'Inputs'!$B$31+'Inputs'!$B$32)/1000+'Inputs'!$B$21+'Inputs'!$B$9+'Inputs'!$B$10)+'Inputs'!$B$7)^2+('Inputs'!$B$6/2)^2)-(((414-43)*MAX('Inputs'!$B$33,'Inputs'!$B$29+'Inputs'!$B$31+'Inputs'!$B$32,'Inputs'!$B$30+'Inputs'!$B$31+'Inputs'!$B$32)/1000+'Inputs'!$B$21+'Inputs'!$B$9+'Inputs'!$B$10))/SQRT((((414-43)*MAX('Inputs'!$B$33,'Inputs'!$B$29+'Inputs'!$B$31+'Inputs'!$B$32,'Inputs'!$B$30+'Inputs'!$B$31+'Inputs'!$B$32)/1000+'Inputs'!$B$21+'Inputs'!$B$9+'Inputs'!$B$10))^2+('Inputs'!$B$6/2)^2))))*'Results'!$B$8),"")</x:f>
        <x:v>10.69501272546461</x:v>
      </x:c>
      <x:c r="N414" t="n">
        <x:f>IF(AND(ISNUMBER('Results'!C7),ISNUMBER('Results'!B7),ISNUMBER('Results'!$B$8),ISNUMBER('Inputs'!$B$6),ISNUMBER('Inputs'!$B$7),ISNUMBER('Inputs'!$B$8),ISNUMBER('Inputs'!$B$9),ISNUMBER('Inputs'!$B$10),ISNUMBER('Inputs'!$B$21),ISNUMBER('Inputs'!$B$24),ISNUMBER('Inputs'!$B$28)),((('Results'!C7*(1-'Inputs'!$B$24)*(0.5*((((414-43)*MAX('Inputs'!$B$33,'Inputs'!$B$29+'Inputs'!$B$31+'Inputs'!$B$32,'Inputs'!$B$30+'Inputs'!$B$31+'Inputs'!$B$32)/1000+'Inputs'!$B$21)+'Inputs'!$B$9)/SQRT((((414-43)*MAX('Inputs'!$B$33,'Inputs'!$B$29+'Inputs'!$B$31+'Inputs'!$B$32,'Inputs'!$B$30+'Inputs'!$B$31+'Inputs'!$B$32)/1000+'Inputs'!$B$21)+'Inputs'!$B$9)^2+('Inputs'!$B$8/2)^2)-(((414-43)*MAX('Inputs'!$B$33,'Inputs'!$B$29+'Inputs'!$B$31+'Inputs'!$B$32,'Inputs'!$B$30+'Inputs'!$B$31+'Inputs'!$B$32)/1000+'Inputs'!$B$21))/SQRT((((414-43)*MAX('Inputs'!$B$33,'Inputs'!$B$29+'Inputs'!$B$31+'Inputs'!$B$32,'Inputs'!$B$30+'Inputs'!$B$31+'Inputs'!$B$32)/1000+'Inputs'!$B$21))^2+('Inputs'!$B$8/2)^2)))-'Results'!B7*(1+'Inputs'!$B$24)*(0.5*((((414-43)*MAX('Inputs'!$B$33,'Inputs'!$B$29+'Inputs'!$B$31+'Inputs'!$B$32,'Inputs'!$B$30+'Inputs'!$B$31+'Inputs'!$B$32)/1000+'Inputs'!$B$21+'Inputs'!$B$9+'Inputs'!$B$10)+'Inputs'!$B$7)/SQRT((((414-43)*MAX('Inputs'!$B$33,'Inputs'!$B$29+'Inputs'!$B$31+'Inputs'!$B$32,'Inputs'!$B$30+'Inputs'!$B$31+'Inputs'!$B$32)/1000+'Inputs'!$B$21+'Inputs'!$B$9+'Inputs'!$B$10)+'Inputs'!$B$7)^2+('Inputs'!$B$6/2)^2)-(((414-43)*MAX('Inputs'!$B$33,'Inputs'!$B$29+'Inputs'!$B$31+'Inputs'!$B$32,'Inputs'!$B$30+'Inputs'!$B$31+'Inputs'!$B$32)/1000+'Inputs'!$B$21+'Inputs'!$B$9+'Inputs'!$B$10))/SQRT((((414-43)*MAX('Inputs'!$B$33,'Inputs'!$B$29+'Inputs'!$B$31+'Inputs'!$B$32,'Inputs'!$B$30+'Inputs'!$B$31+'Inputs'!$B$32)/1000+'Inputs'!$B$21+'Inputs'!$B$9+'Inputs'!$B$10))^2+('Inputs'!$B$6/2)^2))))*'Results'!$B$8)-'Inputs'!$B$28*ABS((('Results'!C7*(1-'Inputs'!$B$24)*(0.5*((((414-43)*MAX('Inputs'!$B$33,'Inputs'!$B$29+'Inputs'!$B$31+'Inputs'!$B$32,'Inputs'!$B$30+'Inputs'!$B$31+'Inputs'!$B$32)/1000+'Inputs'!$B$21)+'Inputs'!$B$9)/SQRT((((414-43)*MAX('Inputs'!$B$33,'Inputs'!$B$29+'Inputs'!$B$31+'Inputs'!$B$32,'Inputs'!$B$30+'Inputs'!$B$31+'Inputs'!$B$32)/1000+'Inputs'!$B$21)+'Inputs'!$B$9)^2+('Inputs'!$B$8/2)^2)-(((414-43)*MAX('Inputs'!$B$33,'Inputs'!$B$29+'Inputs'!$B$31+'Inputs'!$B$32,'Inputs'!$B$30+'Inputs'!$B$31+'Inputs'!$B$32)/1000+'Inputs'!$B$21))/SQRT((((414-43)*MAX('Inputs'!$B$33,'Inputs'!$B$29+'Inputs'!$B$31+'Inputs'!$B$32,'Inputs'!$B$30+'Inputs'!$B$31+'Inputs'!$B$32)/1000+'Inputs'!$B$21))^2+('Inputs'!$B$8/2)^2)))-'Results'!B7*(1+'Inputs'!$B$24)*(0.5*((((414-43)*MAX('Inputs'!$B$33,'Inputs'!$B$29+'Inputs'!$B$31+'Inputs'!$B$32,'Inputs'!$B$30+'Inputs'!$B$31+'Inputs'!$B$32)/1000+'Inputs'!$B$21+'Inputs'!$B$9+'Inputs'!$B$10)+'Inputs'!$B$7)/SQRT((((414-43)*MAX('Inputs'!$B$33,'Inputs'!$B$29+'Inputs'!$B$31+'Inputs'!$B$32,'Inputs'!$B$30+'Inputs'!$B$31+'Inputs'!$B$32)/1000+'Inputs'!$B$21+'Inputs'!$B$9+'Inputs'!$B$10)+'Inputs'!$B$7)^2+('Inputs'!$B$6/2)^2)-(((414-43)*MAX('Inputs'!$B$33,'Inputs'!$B$29+'Inputs'!$B$31+'Inputs'!$B$32,'Inputs'!$B$30+'Inputs'!$B$31+'Inputs'!$B$32)/1000+'Inputs'!$B$21+'Inputs'!$B$9+'Inputs'!$B$10))/SQRT((((414-43)*MAX('Inputs'!$B$33,'Inputs'!$B$29+'Inputs'!$B$31+'Inputs'!$B$32,'Inputs'!$B$30+'Inputs'!$B$31+'Inputs'!$B$32)/1000+'Inputs'!$B$21+'Inputs'!$B$9+'Inputs'!$B$10))^2+('Inputs'!$B$6/2)^2))))*'Results'!$B$8))),"")</x:f>
        <x:v>9.578592320391147</x:v>
      </x:c>
      <x:c r="O414" t="n">
        <x:f>IF(AND(ISNUMBER('Results'!C7),ISNUMBER('Results'!B7),ISNUMBER('Results'!$B$8),ISNUMBER('Inputs'!$B$6),ISNUMBER('Inputs'!$B$7),ISNUMBER('Inputs'!$B$8),ISNUMBER('Inputs'!$B$9),ISNUMBER('Inputs'!$B$10),ISNUMBER('Inputs'!$B$21),ISNUMBER('Inputs'!$B$24),ISNUMBER('Inputs'!$B$28)),((('Results'!C7*(1+'Inputs'!$B$24)*(0.5*((((414-43)*MAX('Inputs'!$B$33,'Inputs'!$B$29+'Inputs'!$B$31+'Inputs'!$B$32,'Inputs'!$B$30+'Inputs'!$B$31+'Inputs'!$B$32)/1000+'Inputs'!$B$21)+'Inputs'!$B$9)/SQRT((((414-43)*MAX('Inputs'!$B$33,'Inputs'!$B$29+'Inputs'!$B$31+'Inputs'!$B$32,'Inputs'!$B$30+'Inputs'!$B$31+'Inputs'!$B$32)/1000+'Inputs'!$B$21)+'Inputs'!$B$9)^2+('Inputs'!$B$8/2)^2)-(((414-43)*MAX('Inputs'!$B$33,'Inputs'!$B$29+'Inputs'!$B$31+'Inputs'!$B$32,'Inputs'!$B$30+'Inputs'!$B$31+'Inputs'!$B$32)/1000+'Inputs'!$B$21))/SQRT((((414-43)*MAX('Inputs'!$B$33,'Inputs'!$B$29+'Inputs'!$B$31+'Inputs'!$B$32,'Inputs'!$B$30+'Inputs'!$B$31+'Inputs'!$B$32)/1000+'Inputs'!$B$21))^2+('Inputs'!$B$8/2)^2)))-'Results'!B7*(1-'Inputs'!$B$24)*(0.5*((((414-43)*MAX('Inputs'!$B$33,'Inputs'!$B$29+'Inputs'!$B$31+'Inputs'!$B$32,'Inputs'!$B$30+'Inputs'!$B$31+'Inputs'!$B$32)/1000+'Inputs'!$B$21+'Inputs'!$B$9+'Inputs'!$B$10)+'Inputs'!$B$7)/SQRT((((414-43)*MAX('Inputs'!$B$33,'Inputs'!$B$29+'Inputs'!$B$31+'Inputs'!$B$32,'Inputs'!$B$30+'Inputs'!$B$31+'Inputs'!$B$32)/1000+'Inputs'!$B$21+'Inputs'!$B$9+'Inputs'!$B$10)+'Inputs'!$B$7)^2+('Inputs'!$B$6/2)^2)-(((414-43)*MAX('Inputs'!$B$33,'Inputs'!$B$29+'Inputs'!$B$31+'Inputs'!$B$32,'Inputs'!$B$30+'Inputs'!$B$31+'Inputs'!$B$32)/1000+'Inputs'!$B$21+'Inputs'!$B$9+'Inputs'!$B$10))/SQRT((((414-43)*MAX('Inputs'!$B$33,'Inputs'!$B$29+'Inputs'!$B$31+'Inputs'!$B$32,'Inputs'!$B$30+'Inputs'!$B$31+'Inputs'!$B$32)/1000+'Inputs'!$B$21+'Inputs'!$B$9+'Inputs'!$B$10))^2+('Inputs'!$B$6/2)^2))))*'Results'!$B$8)+'Inputs'!$B$28*ABS((('Results'!C7*(1+'Inputs'!$B$24)*(0.5*((((414-43)*MAX('Inputs'!$B$33,'Inputs'!$B$29+'Inputs'!$B$31+'Inputs'!$B$32,'Inputs'!$B$30+'Inputs'!$B$31+'Inputs'!$B$32)/1000+'Inputs'!$B$21)+'Inputs'!$B$9)/SQRT((((414-43)*MAX('Inputs'!$B$33,'Inputs'!$B$29+'Inputs'!$B$31+'Inputs'!$B$32,'Inputs'!$B$30+'Inputs'!$B$31+'Inputs'!$B$32)/1000+'Inputs'!$B$21)+'Inputs'!$B$9)^2+('Inputs'!$B$8/2)^2)-(((414-43)*MAX('Inputs'!$B$33,'Inputs'!$B$29+'Inputs'!$B$31+'Inputs'!$B$32,'Inputs'!$B$30+'Inputs'!$B$31+'Inputs'!$B$32)/1000+'Inputs'!$B$21))/SQRT((((414-43)*MAX('Inputs'!$B$33,'Inputs'!$B$29+'Inputs'!$B$31+'Inputs'!$B$32,'Inputs'!$B$30+'Inputs'!$B$31+'Inputs'!$B$32)/1000+'Inputs'!$B$21))^2+('Inputs'!$B$8/2)^2)))-'Results'!B7*(1-'Inputs'!$B$24)*(0.5*((((414-43)*MAX('Inputs'!$B$33,'Inputs'!$B$29+'Inputs'!$B$31+'Inputs'!$B$32,'Inputs'!$B$30+'Inputs'!$B$31+'Inputs'!$B$32)/1000+'Inputs'!$B$21+'Inputs'!$B$9+'Inputs'!$B$10)+'Inputs'!$B$7)/SQRT((((414-43)*MAX('Inputs'!$B$33,'Inputs'!$B$29+'Inputs'!$B$31+'Inputs'!$B$32,'Inputs'!$B$30+'Inputs'!$B$31+'Inputs'!$B$32)/1000+'Inputs'!$B$21+'Inputs'!$B$9+'Inputs'!$B$10)+'Inputs'!$B$7)^2+('Inputs'!$B$6/2)^2)-(((414-43)*MAX('Inputs'!$B$33,'Inputs'!$B$29+'Inputs'!$B$31+'Inputs'!$B$32,'Inputs'!$B$30+'Inputs'!$B$31+'Inputs'!$B$32)/1000+'Inputs'!$B$21+'Inputs'!$B$9+'Inputs'!$B$10))/SQRT((((414-43)*MAX('Inputs'!$B$33,'Inputs'!$B$29+'Inputs'!$B$31+'Inputs'!$B$32,'Inputs'!$B$30+'Inputs'!$B$31+'Inputs'!$B$32)/1000+'Inputs'!$B$21+'Inputs'!$B$9+'Inputs'!$B$10))^2+('Inputs'!$B$6/2)^2))))*'Results'!$B$8))),"")</x:f>
        <x:v>11.872661527253882</x:v>
      </x:c>
      <x:c r="P414" t="n">
        <x:f>IF(AND(MAX(J414,J413)&gt;0,J414&gt;J413+0.00000001),1,0)</x:f>
        <x:v>0</x:v>
      </x:c>
      <x:c r="Q414" t="n">
        <x:f>IF(AND(MAX(K414,K413)&gt;0,K414&gt;K413+0.00000001),1,0)</x:f>
        <x:v>0</x:v>
      </x:c>
      <x:c r="R414" t="n">
        <x:f>IF(AND(MAX(L414,L413)&gt;0,L414&gt;L413+0.00000001),1,0)</x:f>
        <x:v>0</x:v>
      </x:c>
      <x:c r="S414" t="n">
        <x:f>IF(AND(MAX(M414,M413)&gt;0,M414&gt;M413+0.00000001),1,0)</x:f>
        <x:v>0</x:v>
      </x:c>
      <x:c r="T414" t="n">
        <x:f>IF(AND(MAX(N414,N413)&gt;0,N414&gt;N413+0.00000001),1,0)</x:f>
        <x:v>0</x:v>
      </x:c>
      <x:c r="U414" t="n">
        <x:f>IF(AND(MAX(O414,O413)&gt;0,O414&gt;O413+0.00000001),1,0)</x:f>
        <x:v>0</x:v>
      </x:c>
    </x:row>
    <x:row r="415">
      <x:c r="J415" t="n">
        <x:f>IF(AND(ISNUMBER('Results'!B7),ISNUMBER('Results'!C7),ISNUMBER('Results'!$B$8),ISNUMBER('Inputs'!$B$6),ISNUMBER('Inputs'!$B$7),ISNUMBER('Inputs'!$B$8),ISNUMBER('Inputs'!$B$9),ISNUMBER('Inputs'!$B$10),ISNUMBER('Inputs'!$B$21),ISNUMBER('Inputs'!$B$24),ISNUMBER('Inputs'!$B$28)),(('Results'!B7*(0.5*((((415-43)*MAX('Inputs'!$B$33,'Inputs'!$B$29+'Inputs'!$B$31+'Inputs'!$B$32,'Inputs'!$B$30+'Inputs'!$B$31+'Inputs'!$B$32)/1000+'Inputs'!$B$21)+'Inputs'!$B$7)/SQRT((((415-43)*MAX('Inputs'!$B$33,'Inputs'!$B$29+'Inputs'!$B$31+'Inputs'!$B$32,'Inputs'!$B$30+'Inputs'!$B$31+'Inputs'!$B$32)/1000+'Inputs'!$B$21)+'Inputs'!$B$7)^2+('Inputs'!$B$6/2)^2)-(((415-43)*MAX('Inputs'!$B$33,'Inputs'!$B$29+'Inputs'!$B$31+'Inputs'!$B$32,'Inputs'!$B$30+'Inputs'!$B$31+'Inputs'!$B$32)/1000+'Inputs'!$B$21))/SQRT((((415-43)*MAX('Inputs'!$B$33,'Inputs'!$B$29+'Inputs'!$B$31+'Inputs'!$B$32,'Inputs'!$B$30+'Inputs'!$B$31+'Inputs'!$B$32)/1000+'Inputs'!$B$21))^2+('Inputs'!$B$6/2)^2)))-'Results'!C7*(0.5*((((415-43)*MAX('Inputs'!$B$33,'Inputs'!$B$29+'Inputs'!$B$31+'Inputs'!$B$32,'Inputs'!$B$30+'Inputs'!$B$31+'Inputs'!$B$32)/1000+'Inputs'!$B$21+'Inputs'!$B$7+'Inputs'!$B$10)+'Inputs'!$B$9)/SQRT((((415-43)*MAX('Inputs'!$B$33,'Inputs'!$B$29+'Inputs'!$B$31+'Inputs'!$B$32,'Inputs'!$B$30+'Inputs'!$B$31+'Inputs'!$B$32)/1000+'Inputs'!$B$21+'Inputs'!$B$7+'Inputs'!$B$10)+'Inputs'!$B$9)^2+('Inputs'!$B$8/2)^2)-(((415-43)*MAX('Inputs'!$B$33,'Inputs'!$B$29+'Inputs'!$B$31+'Inputs'!$B$32,'Inputs'!$B$30+'Inputs'!$B$31+'Inputs'!$B$32)/1000+'Inputs'!$B$21+'Inputs'!$B$7+'Inputs'!$B$10))/SQRT((((415-43)*MAX('Inputs'!$B$33,'Inputs'!$B$29+'Inputs'!$B$31+'Inputs'!$B$32,'Inputs'!$B$30+'Inputs'!$B$31+'Inputs'!$B$32)/1000+'Inputs'!$B$21+'Inputs'!$B$7+'Inputs'!$B$10))^2+('Inputs'!$B$8/2)^2))))*'Results'!$B$8),"")</x:f>
        <x:v>11.21707324066489</x:v>
      </x:c>
      <x:c r="K415" t="n">
        <x:f>IF(AND(ISNUMBER('Results'!B7),ISNUMBER('Results'!C7),ISNUMBER('Results'!$B$8),ISNUMBER('Inputs'!$B$6),ISNUMBER('Inputs'!$B$7),ISNUMBER('Inputs'!$B$8),ISNUMBER('Inputs'!$B$9),ISNUMBER('Inputs'!$B$10),ISNUMBER('Inputs'!$B$21),ISNUMBER('Inputs'!$B$24),ISNUMBER('Inputs'!$B$28)),((('Results'!B7*(1-'Inputs'!$B$24)*(0.5*((((415-43)*MAX('Inputs'!$B$33,'Inputs'!$B$29+'Inputs'!$B$31+'Inputs'!$B$32,'Inputs'!$B$30+'Inputs'!$B$31+'Inputs'!$B$32)/1000+'Inputs'!$B$21)+'Inputs'!$B$7)/SQRT((((415-43)*MAX('Inputs'!$B$33,'Inputs'!$B$29+'Inputs'!$B$31+'Inputs'!$B$32,'Inputs'!$B$30+'Inputs'!$B$31+'Inputs'!$B$32)/1000+'Inputs'!$B$21)+'Inputs'!$B$7)^2+('Inputs'!$B$6/2)^2)-(((415-43)*MAX('Inputs'!$B$33,'Inputs'!$B$29+'Inputs'!$B$31+'Inputs'!$B$32,'Inputs'!$B$30+'Inputs'!$B$31+'Inputs'!$B$32)/1000+'Inputs'!$B$21))/SQRT((((415-43)*MAX('Inputs'!$B$33,'Inputs'!$B$29+'Inputs'!$B$31+'Inputs'!$B$32,'Inputs'!$B$30+'Inputs'!$B$31+'Inputs'!$B$32)/1000+'Inputs'!$B$21))^2+('Inputs'!$B$6/2)^2)))-'Results'!C7*(1+'Inputs'!$B$24)*(0.5*((((415-43)*MAX('Inputs'!$B$33,'Inputs'!$B$29+'Inputs'!$B$31+'Inputs'!$B$32,'Inputs'!$B$30+'Inputs'!$B$31+'Inputs'!$B$32)/1000+'Inputs'!$B$21+'Inputs'!$B$7+'Inputs'!$B$10)+'Inputs'!$B$9)/SQRT((((415-43)*MAX('Inputs'!$B$33,'Inputs'!$B$29+'Inputs'!$B$31+'Inputs'!$B$32,'Inputs'!$B$30+'Inputs'!$B$31+'Inputs'!$B$32)/1000+'Inputs'!$B$21+'Inputs'!$B$7+'Inputs'!$B$10)+'Inputs'!$B$9)^2+('Inputs'!$B$8/2)^2)-(((415-43)*MAX('Inputs'!$B$33,'Inputs'!$B$29+'Inputs'!$B$31+'Inputs'!$B$32,'Inputs'!$B$30+'Inputs'!$B$31+'Inputs'!$B$32)/1000+'Inputs'!$B$21+'Inputs'!$B$7+'Inputs'!$B$10))/SQRT((((415-43)*MAX('Inputs'!$B$33,'Inputs'!$B$29+'Inputs'!$B$31+'Inputs'!$B$32,'Inputs'!$B$30+'Inputs'!$B$31+'Inputs'!$B$32)/1000+'Inputs'!$B$21+'Inputs'!$B$7+'Inputs'!$B$10))^2+('Inputs'!$B$8/2)^2))))*'Results'!$B$8)-'Inputs'!$B$28*ABS((('Results'!B7*(1-'Inputs'!$B$24)*(0.5*((((415-43)*MAX('Inputs'!$B$33,'Inputs'!$B$29+'Inputs'!$B$31+'Inputs'!$B$32,'Inputs'!$B$30+'Inputs'!$B$31+'Inputs'!$B$32)/1000+'Inputs'!$B$21)+'Inputs'!$B$7)/SQRT((((415-43)*MAX('Inputs'!$B$33,'Inputs'!$B$29+'Inputs'!$B$31+'Inputs'!$B$32,'Inputs'!$B$30+'Inputs'!$B$31+'Inputs'!$B$32)/1000+'Inputs'!$B$21)+'Inputs'!$B$7)^2+('Inputs'!$B$6/2)^2)-(((415-43)*MAX('Inputs'!$B$33,'Inputs'!$B$29+'Inputs'!$B$31+'Inputs'!$B$32,'Inputs'!$B$30+'Inputs'!$B$31+'Inputs'!$B$32)/1000+'Inputs'!$B$21))/SQRT((((415-43)*MAX('Inputs'!$B$33,'Inputs'!$B$29+'Inputs'!$B$31+'Inputs'!$B$32,'Inputs'!$B$30+'Inputs'!$B$31+'Inputs'!$B$32)/1000+'Inputs'!$B$21))^2+('Inputs'!$B$6/2)^2)))-'Results'!C7*(1+'Inputs'!$B$24)*(0.5*((((415-43)*MAX('Inputs'!$B$33,'Inputs'!$B$29+'Inputs'!$B$31+'Inputs'!$B$32,'Inputs'!$B$30+'Inputs'!$B$31+'Inputs'!$B$32)/1000+'Inputs'!$B$21+'Inputs'!$B$7+'Inputs'!$B$10)+'Inputs'!$B$9)/SQRT((((415-43)*MAX('Inputs'!$B$33,'Inputs'!$B$29+'Inputs'!$B$31+'Inputs'!$B$32,'Inputs'!$B$30+'Inputs'!$B$31+'Inputs'!$B$32)/1000+'Inputs'!$B$21+'Inputs'!$B$7+'Inputs'!$B$10)+'Inputs'!$B$9)^2+('Inputs'!$B$8/2)^2)-(((415-43)*MAX('Inputs'!$B$33,'Inputs'!$B$29+'Inputs'!$B$31+'Inputs'!$B$32,'Inputs'!$B$30+'Inputs'!$B$31+'Inputs'!$B$32)/1000+'Inputs'!$B$21+'Inputs'!$B$7+'Inputs'!$B$10))/SQRT((((415-43)*MAX('Inputs'!$B$33,'Inputs'!$B$29+'Inputs'!$B$31+'Inputs'!$B$32,'Inputs'!$B$30+'Inputs'!$B$31+'Inputs'!$B$32)/1000+'Inputs'!$B$21+'Inputs'!$B$7+'Inputs'!$B$10))^2+('Inputs'!$B$8/2)^2))))*'Results'!$B$8))),"")</x:f>
        <x:v>10.07434381873419</x:v>
      </x:c>
      <x:c r="L415" t="n">
        <x:f>IF(AND(ISNUMBER('Results'!B7),ISNUMBER('Results'!C7),ISNUMBER('Results'!$B$8),ISNUMBER('Inputs'!$B$6),ISNUMBER('Inputs'!$B$7),ISNUMBER('Inputs'!$B$8),ISNUMBER('Inputs'!$B$9),ISNUMBER('Inputs'!$B$10),ISNUMBER('Inputs'!$B$21),ISNUMBER('Inputs'!$B$24),ISNUMBER('Inputs'!$B$28)),((('Results'!B7*(1+'Inputs'!$B$24)*(0.5*((((415-43)*MAX('Inputs'!$B$33,'Inputs'!$B$29+'Inputs'!$B$31+'Inputs'!$B$32,'Inputs'!$B$30+'Inputs'!$B$31+'Inputs'!$B$32)/1000+'Inputs'!$B$21)+'Inputs'!$B$7)/SQRT((((415-43)*MAX('Inputs'!$B$33,'Inputs'!$B$29+'Inputs'!$B$31+'Inputs'!$B$32,'Inputs'!$B$30+'Inputs'!$B$31+'Inputs'!$B$32)/1000+'Inputs'!$B$21)+'Inputs'!$B$7)^2+('Inputs'!$B$6/2)^2)-(((415-43)*MAX('Inputs'!$B$33,'Inputs'!$B$29+'Inputs'!$B$31+'Inputs'!$B$32,'Inputs'!$B$30+'Inputs'!$B$31+'Inputs'!$B$32)/1000+'Inputs'!$B$21))/SQRT((((415-43)*MAX('Inputs'!$B$33,'Inputs'!$B$29+'Inputs'!$B$31+'Inputs'!$B$32,'Inputs'!$B$30+'Inputs'!$B$31+'Inputs'!$B$32)/1000+'Inputs'!$B$21))^2+('Inputs'!$B$6/2)^2)))-'Results'!C7*(1-'Inputs'!$B$24)*(0.5*((((415-43)*MAX('Inputs'!$B$33,'Inputs'!$B$29+'Inputs'!$B$31+'Inputs'!$B$32,'Inputs'!$B$30+'Inputs'!$B$31+'Inputs'!$B$32)/1000+'Inputs'!$B$21+'Inputs'!$B$7+'Inputs'!$B$10)+'Inputs'!$B$9)/SQRT((((415-43)*MAX('Inputs'!$B$33,'Inputs'!$B$29+'Inputs'!$B$31+'Inputs'!$B$32,'Inputs'!$B$30+'Inputs'!$B$31+'Inputs'!$B$32)/1000+'Inputs'!$B$21+'Inputs'!$B$7+'Inputs'!$B$10)+'Inputs'!$B$9)^2+('Inputs'!$B$8/2)^2)-(((415-43)*MAX('Inputs'!$B$33,'Inputs'!$B$29+'Inputs'!$B$31+'Inputs'!$B$32,'Inputs'!$B$30+'Inputs'!$B$31+'Inputs'!$B$32)/1000+'Inputs'!$B$21+'Inputs'!$B$7+'Inputs'!$B$10))/SQRT((((415-43)*MAX('Inputs'!$B$33,'Inputs'!$B$29+'Inputs'!$B$31+'Inputs'!$B$32,'Inputs'!$B$30+'Inputs'!$B$31+'Inputs'!$B$32)/1000+'Inputs'!$B$21+'Inputs'!$B$7+'Inputs'!$B$10))^2+('Inputs'!$B$8/2)^2))))*'Results'!$B$8)+'Inputs'!$B$28*ABS((('Results'!B7*(1+'Inputs'!$B$24)*(0.5*((((415-43)*MAX('Inputs'!$B$33,'Inputs'!$B$29+'Inputs'!$B$31+'Inputs'!$B$32,'Inputs'!$B$30+'Inputs'!$B$31+'Inputs'!$B$32)/1000+'Inputs'!$B$21)+'Inputs'!$B$7)/SQRT((((415-43)*MAX('Inputs'!$B$33,'Inputs'!$B$29+'Inputs'!$B$31+'Inputs'!$B$32,'Inputs'!$B$30+'Inputs'!$B$31+'Inputs'!$B$32)/1000+'Inputs'!$B$21)+'Inputs'!$B$7)^2+('Inputs'!$B$6/2)^2)-(((415-43)*MAX('Inputs'!$B$33,'Inputs'!$B$29+'Inputs'!$B$31+'Inputs'!$B$32,'Inputs'!$B$30+'Inputs'!$B$31+'Inputs'!$B$32)/1000+'Inputs'!$B$21))/SQRT((((415-43)*MAX('Inputs'!$B$33,'Inputs'!$B$29+'Inputs'!$B$31+'Inputs'!$B$32,'Inputs'!$B$30+'Inputs'!$B$31+'Inputs'!$B$32)/1000+'Inputs'!$B$21))^2+('Inputs'!$B$6/2)^2)))-'Results'!C7*(1-'Inputs'!$B$24)*(0.5*((((415-43)*MAX('Inputs'!$B$33,'Inputs'!$B$29+'Inputs'!$B$31+'Inputs'!$B$32,'Inputs'!$B$30+'Inputs'!$B$31+'Inputs'!$B$32)/1000+'Inputs'!$B$21+'Inputs'!$B$7+'Inputs'!$B$10)+'Inputs'!$B$9)/SQRT((((415-43)*MAX('Inputs'!$B$33,'Inputs'!$B$29+'Inputs'!$B$31+'Inputs'!$B$32,'Inputs'!$B$30+'Inputs'!$B$31+'Inputs'!$B$32)/1000+'Inputs'!$B$21+'Inputs'!$B$7+'Inputs'!$B$10)+'Inputs'!$B$9)^2+('Inputs'!$B$8/2)^2)-(((415-43)*MAX('Inputs'!$B$33,'Inputs'!$B$29+'Inputs'!$B$31+'Inputs'!$B$32,'Inputs'!$B$30+'Inputs'!$B$31+'Inputs'!$B$32)/1000+'Inputs'!$B$21+'Inputs'!$B$7+'Inputs'!$B$10))/SQRT((((415-43)*MAX('Inputs'!$B$33,'Inputs'!$B$29+'Inputs'!$B$31+'Inputs'!$B$32,'Inputs'!$B$30+'Inputs'!$B$31+'Inputs'!$B$32)/1000+'Inputs'!$B$21+'Inputs'!$B$7+'Inputs'!$B$10))^2+('Inputs'!$B$8/2)^2))))*'Results'!$B$8))),"")</x:f>
        <x:v>12.421052742584799</x:v>
      </x:c>
      <x:c r="M415" t="n">
        <x:f>IF(AND(ISNUMBER('Results'!C7),ISNUMBER('Results'!B7),ISNUMBER('Results'!$B$8),ISNUMBER('Inputs'!$B$6),ISNUMBER('Inputs'!$B$7),ISNUMBER('Inputs'!$B$8),ISNUMBER('Inputs'!$B$9),ISNUMBER('Inputs'!$B$10),ISNUMBER('Inputs'!$B$21),ISNUMBER('Inputs'!$B$24),ISNUMBER('Inputs'!$B$28)),(('Results'!C7*(0.5*((((415-43)*MAX('Inputs'!$B$33,'Inputs'!$B$29+'Inputs'!$B$31+'Inputs'!$B$32,'Inputs'!$B$30+'Inputs'!$B$31+'Inputs'!$B$32)/1000+'Inputs'!$B$21)+'Inputs'!$B$9)/SQRT((((415-43)*MAX('Inputs'!$B$33,'Inputs'!$B$29+'Inputs'!$B$31+'Inputs'!$B$32,'Inputs'!$B$30+'Inputs'!$B$31+'Inputs'!$B$32)/1000+'Inputs'!$B$21)+'Inputs'!$B$9)^2+('Inputs'!$B$8/2)^2)-(((415-43)*MAX('Inputs'!$B$33,'Inputs'!$B$29+'Inputs'!$B$31+'Inputs'!$B$32,'Inputs'!$B$30+'Inputs'!$B$31+'Inputs'!$B$32)/1000+'Inputs'!$B$21))/SQRT((((415-43)*MAX('Inputs'!$B$33,'Inputs'!$B$29+'Inputs'!$B$31+'Inputs'!$B$32,'Inputs'!$B$30+'Inputs'!$B$31+'Inputs'!$B$32)/1000+'Inputs'!$B$21))^2+('Inputs'!$B$8/2)^2)))-'Results'!B7*(0.5*((((415-43)*MAX('Inputs'!$B$33,'Inputs'!$B$29+'Inputs'!$B$31+'Inputs'!$B$32,'Inputs'!$B$30+'Inputs'!$B$31+'Inputs'!$B$32)/1000+'Inputs'!$B$21+'Inputs'!$B$9+'Inputs'!$B$10)+'Inputs'!$B$7)/SQRT((((415-43)*MAX('Inputs'!$B$33,'Inputs'!$B$29+'Inputs'!$B$31+'Inputs'!$B$32,'Inputs'!$B$30+'Inputs'!$B$31+'Inputs'!$B$32)/1000+'Inputs'!$B$21+'Inputs'!$B$9+'Inputs'!$B$10)+'Inputs'!$B$7)^2+('Inputs'!$B$6/2)^2)-(((415-43)*MAX('Inputs'!$B$33,'Inputs'!$B$29+'Inputs'!$B$31+'Inputs'!$B$32,'Inputs'!$B$30+'Inputs'!$B$31+'Inputs'!$B$32)/1000+'Inputs'!$B$21+'Inputs'!$B$9+'Inputs'!$B$10))/SQRT((((415-43)*MAX('Inputs'!$B$33,'Inputs'!$B$29+'Inputs'!$B$31+'Inputs'!$B$32,'Inputs'!$B$30+'Inputs'!$B$31+'Inputs'!$B$32)/1000+'Inputs'!$B$21+'Inputs'!$B$9+'Inputs'!$B$10))^2+('Inputs'!$B$6/2)^2))))*'Results'!$B$8),"")</x:f>
        <x:v>10.600611631231212</x:v>
      </x:c>
      <x:c r="N415" t="n">
        <x:f>IF(AND(ISNUMBER('Results'!C7),ISNUMBER('Results'!B7),ISNUMBER('Results'!$B$8),ISNUMBER('Inputs'!$B$6),ISNUMBER('Inputs'!$B$7),ISNUMBER('Inputs'!$B$8),ISNUMBER('Inputs'!$B$9),ISNUMBER('Inputs'!$B$10),ISNUMBER('Inputs'!$B$21),ISNUMBER('Inputs'!$B$24),ISNUMBER('Inputs'!$B$28)),((('Results'!C7*(1-'Inputs'!$B$24)*(0.5*((((415-43)*MAX('Inputs'!$B$33,'Inputs'!$B$29+'Inputs'!$B$31+'Inputs'!$B$32,'Inputs'!$B$30+'Inputs'!$B$31+'Inputs'!$B$32)/1000+'Inputs'!$B$21)+'Inputs'!$B$9)/SQRT((((415-43)*MAX('Inputs'!$B$33,'Inputs'!$B$29+'Inputs'!$B$31+'Inputs'!$B$32,'Inputs'!$B$30+'Inputs'!$B$31+'Inputs'!$B$32)/1000+'Inputs'!$B$21)+'Inputs'!$B$9)^2+('Inputs'!$B$8/2)^2)-(((415-43)*MAX('Inputs'!$B$33,'Inputs'!$B$29+'Inputs'!$B$31+'Inputs'!$B$32,'Inputs'!$B$30+'Inputs'!$B$31+'Inputs'!$B$32)/1000+'Inputs'!$B$21))/SQRT((((415-43)*MAX('Inputs'!$B$33,'Inputs'!$B$29+'Inputs'!$B$31+'Inputs'!$B$32,'Inputs'!$B$30+'Inputs'!$B$31+'Inputs'!$B$32)/1000+'Inputs'!$B$21))^2+('Inputs'!$B$8/2)^2)))-'Results'!B7*(1+'Inputs'!$B$24)*(0.5*((((415-43)*MAX('Inputs'!$B$33,'Inputs'!$B$29+'Inputs'!$B$31+'Inputs'!$B$32,'Inputs'!$B$30+'Inputs'!$B$31+'Inputs'!$B$32)/1000+'Inputs'!$B$21+'Inputs'!$B$9+'Inputs'!$B$10)+'Inputs'!$B$7)/SQRT((((415-43)*MAX('Inputs'!$B$33,'Inputs'!$B$29+'Inputs'!$B$31+'Inputs'!$B$32,'Inputs'!$B$30+'Inputs'!$B$31+'Inputs'!$B$32)/1000+'Inputs'!$B$21+'Inputs'!$B$9+'Inputs'!$B$10)+'Inputs'!$B$7)^2+('Inputs'!$B$6/2)^2)-(((415-43)*MAX('Inputs'!$B$33,'Inputs'!$B$29+'Inputs'!$B$31+'Inputs'!$B$32,'Inputs'!$B$30+'Inputs'!$B$31+'Inputs'!$B$32)/1000+'Inputs'!$B$21+'Inputs'!$B$9+'Inputs'!$B$10))/SQRT((((415-43)*MAX('Inputs'!$B$33,'Inputs'!$B$29+'Inputs'!$B$31+'Inputs'!$B$32,'Inputs'!$B$30+'Inputs'!$B$31+'Inputs'!$B$32)/1000+'Inputs'!$B$21+'Inputs'!$B$9+'Inputs'!$B$10))^2+('Inputs'!$B$6/2)^2))))*'Results'!$B$8)-'Inputs'!$B$28*ABS((('Results'!C7*(1-'Inputs'!$B$24)*(0.5*((((415-43)*MAX('Inputs'!$B$33,'Inputs'!$B$29+'Inputs'!$B$31+'Inputs'!$B$32,'Inputs'!$B$30+'Inputs'!$B$31+'Inputs'!$B$32)/1000+'Inputs'!$B$21)+'Inputs'!$B$9)/SQRT((((415-43)*MAX('Inputs'!$B$33,'Inputs'!$B$29+'Inputs'!$B$31+'Inputs'!$B$32,'Inputs'!$B$30+'Inputs'!$B$31+'Inputs'!$B$32)/1000+'Inputs'!$B$21)+'Inputs'!$B$9)^2+('Inputs'!$B$8/2)^2)-(((415-43)*MAX('Inputs'!$B$33,'Inputs'!$B$29+'Inputs'!$B$31+'Inputs'!$B$32,'Inputs'!$B$30+'Inputs'!$B$31+'Inputs'!$B$32)/1000+'Inputs'!$B$21))/SQRT((((415-43)*MAX('Inputs'!$B$33,'Inputs'!$B$29+'Inputs'!$B$31+'Inputs'!$B$32,'Inputs'!$B$30+'Inputs'!$B$31+'Inputs'!$B$32)/1000+'Inputs'!$B$21))^2+('Inputs'!$B$8/2)^2)))-'Results'!B7*(1+'Inputs'!$B$24)*(0.5*((((415-43)*MAX('Inputs'!$B$33,'Inputs'!$B$29+'Inputs'!$B$31+'Inputs'!$B$32,'Inputs'!$B$30+'Inputs'!$B$31+'Inputs'!$B$32)/1000+'Inputs'!$B$21+'Inputs'!$B$9+'Inputs'!$B$10)+'Inputs'!$B$7)/SQRT((((415-43)*MAX('Inputs'!$B$33,'Inputs'!$B$29+'Inputs'!$B$31+'Inputs'!$B$32,'Inputs'!$B$30+'Inputs'!$B$31+'Inputs'!$B$32)/1000+'Inputs'!$B$21+'Inputs'!$B$9+'Inputs'!$B$10)+'Inputs'!$B$7)^2+('Inputs'!$B$6/2)^2)-(((415-43)*MAX('Inputs'!$B$33,'Inputs'!$B$29+'Inputs'!$B$31+'Inputs'!$B$32,'Inputs'!$B$30+'Inputs'!$B$31+'Inputs'!$B$32)/1000+'Inputs'!$B$21+'Inputs'!$B$9+'Inputs'!$B$10))/SQRT((((415-43)*MAX('Inputs'!$B$33,'Inputs'!$B$29+'Inputs'!$B$31+'Inputs'!$B$32,'Inputs'!$B$30+'Inputs'!$B$31+'Inputs'!$B$32)/1000+'Inputs'!$B$21+'Inputs'!$B$9+'Inputs'!$B$10))^2+('Inputs'!$B$6/2)^2))))*'Results'!$B$8))),"")</x:f>
        <x:v>9.492892522222359</x:v>
      </x:c>
      <x:c r="O415" t="n">
        <x:f>IF(AND(ISNUMBER('Results'!C7),ISNUMBER('Results'!B7),ISNUMBER('Results'!$B$8),ISNUMBER('Inputs'!$B$6),ISNUMBER('Inputs'!$B$7),ISNUMBER('Inputs'!$B$8),ISNUMBER('Inputs'!$B$9),ISNUMBER('Inputs'!$B$10),ISNUMBER('Inputs'!$B$21),ISNUMBER('Inputs'!$B$24),ISNUMBER('Inputs'!$B$28)),((('Results'!C7*(1+'Inputs'!$B$24)*(0.5*((((415-43)*MAX('Inputs'!$B$33,'Inputs'!$B$29+'Inputs'!$B$31+'Inputs'!$B$32,'Inputs'!$B$30+'Inputs'!$B$31+'Inputs'!$B$32)/1000+'Inputs'!$B$21)+'Inputs'!$B$9)/SQRT((((415-43)*MAX('Inputs'!$B$33,'Inputs'!$B$29+'Inputs'!$B$31+'Inputs'!$B$32,'Inputs'!$B$30+'Inputs'!$B$31+'Inputs'!$B$32)/1000+'Inputs'!$B$21)+'Inputs'!$B$9)^2+('Inputs'!$B$8/2)^2)-(((415-43)*MAX('Inputs'!$B$33,'Inputs'!$B$29+'Inputs'!$B$31+'Inputs'!$B$32,'Inputs'!$B$30+'Inputs'!$B$31+'Inputs'!$B$32)/1000+'Inputs'!$B$21))/SQRT((((415-43)*MAX('Inputs'!$B$33,'Inputs'!$B$29+'Inputs'!$B$31+'Inputs'!$B$32,'Inputs'!$B$30+'Inputs'!$B$31+'Inputs'!$B$32)/1000+'Inputs'!$B$21))^2+('Inputs'!$B$8/2)^2)))-'Results'!B7*(1-'Inputs'!$B$24)*(0.5*((((415-43)*MAX('Inputs'!$B$33,'Inputs'!$B$29+'Inputs'!$B$31+'Inputs'!$B$32,'Inputs'!$B$30+'Inputs'!$B$31+'Inputs'!$B$32)/1000+'Inputs'!$B$21+'Inputs'!$B$9+'Inputs'!$B$10)+'Inputs'!$B$7)/SQRT((((415-43)*MAX('Inputs'!$B$33,'Inputs'!$B$29+'Inputs'!$B$31+'Inputs'!$B$32,'Inputs'!$B$30+'Inputs'!$B$31+'Inputs'!$B$32)/1000+'Inputs'!$B$21+'Inputs'!$B$9+'Inputs'!$B$10)+'Inputs'!$B$7)^2+('Inputs'!$B$6/2)^2)-(((415-43)*MAX('Inputs'!$B$33,'Inputs'!$B$29+'Inputs'!$B$31+'Inputs'!$B$32,'Inputs'!$B$30+'Inputs'!$B$31+'Inputs'!$B$32)/1000+'Inputs'!$B$21+'Inputs'!$B$9+'Inputs'!$B$10))/SQRT((((415-43)*MAX('Inputs'!$B$33,'Inputs'!$B$29+'Inputs'!$B$31+'Inputs'!$B$32,'Inputs'!$B$30+'Inputs'!$B$31+'Inputs'!$B$32)/1000+'Inputs'!$B$21+'Inputs'!$B$9+'Inputs'!$B$10))^2+('Inputs'!$B$6/2)^2))))*'Results'!$B$8)+'Inputs'!$B$28*ABS((('Results'!C7*(1+'Inputs'!$B$24)*(0.5*((((415-43)*MAX('Inputs'!$B$33,'Inputs'!$B$29+'Inputs'!$B$31+'Inputs'!$B$32,'Inputs'!$B$30+'Inputs'!$B$31+'Inputs'!$B$32)/1000+'Inputs'!$B$21)+'Inputs'!$B$9)/SQRT((((415-43)*MAX('Inputs'!$B$33,'Inputs'!$B$29+'Inputs'!$B$31+'Inputs'!$B$32,'Inputs'!$B$30+'Inputs'!$B$31+'Inputs'!$B$32)/1000+'Inputs'!$B$21)+'Inputs'!$B$9)^2+('Inputs'!$B$8/2)^2)-(((415-43)*MAX('Inputs'!$B$33,'Inputs'!$B$29+'Inputs'!$B$31+'Inputs'!$B$32,'Inputs'!$B$30+'Inputs'!$B$31+'Inputs'!$B$32)/1000+'Inputs'!$B$21))/SQRT((((415-43)*MAX('Inputs'!$B$33,'Inputs'!$B$29+'Inputs'!$B$31+'Inputs'!$B$32,'Inputs'!$B$30+'Inputs'!$B$31+'Inputs'!$B$32)/1000+'Inputs'!$B$21))^2+('Inputs'!$B$8/2)^2)))-'Results'!B7*(1-'Inputs'!$B$24)*(0.5*((((415-43)*MAX('Inputs'!$B$33,'Inputs'!$B$29+'Inputs'!$B$31+'Inputs'!$B$32,'Inputs'!$B$30+'Inputs'!$B$31+'Inputs'!$B$32)/1000+'Inputs'!$B$21+'Inputs'!$B$9+'Inputs'!$B$10)+'Inputs'!$B$7)/SQRT((((415-43)*MAX('Inputs'!$B$33,'Inputs'!$B$29+'Inputs'!$B$31+'Inputs'!$B$32,'Inputs'!$B$30+'Inputs'!$B$31+'Inputs'!$B$32)/1000+'Inputs'!$B$21+'Inputs'!$B$9+'Inputs'!$B$10)+'Inputs'!$B$7)^2+('Inputs'!$B$6/2)^2)-(((415-43)*MAX('Inputs'!$B$33,'Inputs'!$B$29+'Inputs'!$B$31+'Inputs'!$B$32,'Inputs'!$B$30+'Inputs'!$B$31+'Inputs'!$B$32)/1000+'Inputs'!$B$21+'Inputs'!$B$9+'Inputs'!$B$10))/SQRT((((415-43)*MAX('Inputs'!$B$33,'Inputs'!$B$29+'Inputs'!$B$31+'Inputs'!$B$32,'Inputs'!$B$30+'Inputs'!$B$31+'Inputs'!$B$32)/1000+'Inputs'!$B$21+'Inputs'!$B$9+'Inputs'!$B$10))^2+('Inputs'!$B$6/2)^2))))*'Results'!$B$8))),"")</x:f>
        <x:v>11.769140058918733</x:v>
      </x:c>
      <x:c r="P415" t="n">
        <x:f>IF(AND(MAX(J415,J414)&gt;0,J415&gt;J414+0.00000001),1,0)</x:f>
        <x:v>0</x:v>
      </x:c>
      <x:c r="Q415" t="n">
        <x:f>IF(AND(MAX(K415,K414)&gt;0,K415&gt;K414+0.00000001),1,0)</x:f>
        <x:v>0</x:v>
      </x:c>
      <x:c r="R415" t="n">
        <x:f>IF(AND(MAX(L415,L414)&gt;0,L415&gt;L414+0.00000001),1,0)</x:f>
        <x:v>0</x:v>
      </x:c>
      <x:c r="S415" t="n">
        <x:f>IF(AND(MAX(M415,M414)&gt;0,M415&gt;M414+0.00000001),1,0)</x:f>
        <x:v>0</x:v>
      </x:c>
      <x:c r="T415" t="n">
        <x:f>IF(AND(MAX(N415,N414)&gt;0,N415&gt;N414+0.00000001),1,0)</x:f>
        <x:v>0</x:v>
      </x:c>
      <x:c r="U415" t="n">
        <x:f>IF(AND(MAX(O415,O414)&gt;0,O415&gt;O414+0.00000001),1,0)</x:f>
        <x:v>0</x:v>
      </x:c>
    </x:row>
    <x:row r="416">
      <x:c r="J416" t="n">
        <x:f>IF(AND(ISNUMBER('Results'!B7),ISNUMBER('Results'!C7),ISNUMBER('Results'!$B$8),ISNUMBER('Inputs'!$B$6),ISNUMBER('Inputs'!$B$7),ISNUMBER('Inputs'!$B$8),ISNUMBER('Inputs'!$B$9),ISNUMBER('Inputs'!$B$10),ISNUMBER('Inputs'!$B$21),ISNUMBER('Inputs'!$B$24),ISNUMBER('Inputs'!$B$28)),(('Results'!B7*(0.5*((((416-43)*MAX('Inputs'!$B$33,'Inputs'!$B$29+'Inputs'!$B$31+'Inputs'!$B$32,'Inputs'!$B$30+'Inputs'!$B$31+'Inputs'!$B$32)/1000+'Inputs'!$B$21)+'Inputs'!$B$7)/SQRT((((416-43)*MAX('Inputs'!$B$33,'Inputs'!$B$29+'Inputs'!$B$31+'Inputs'!$B$32,'Inputs'!$B$30+'Inputs'!$B$31+'Inputs'!$B$32)/1000+'Inputs'!$B$21)+'Inputs'!$B$7)^2+('Inputs'!$B$6/2)^2)-(((416-43)*MAX('Inputs'!$B$33,'Inputs'!$B$29+'Inputs'!$B$31+'Inputs'!$B$32,'Inputs'!$B$30+'Inputs'!$B$31+'Inputs'!$B$32)/1000+'Inputs'!$B$21))/SQRT((((416-43)*MAX('Inputs'!$B$33,'Inputs'!$B$29+'Inputs'!$B$31+'Inputs'!$B$32,'Inputs'!$B$30+'Inputs'!$B$31+'Inputs'!$B$32)/1000+'Inputs'!$B$21))^2+('Inputs'!$B$6/2)^2)))-'Results'!C7*(0.5*((((416-43)*MAX('Inputs'!$B$33,'Inputs'!$B$29+'Inputs'!$B$31+'Inputs'!$B$32,'Inputs'!$B$30+'Inputs'!$B$31+'Inputs'!$B$32)/1000+'Inputs'!$B$21+'Inputs'!$B$7+'Inputs'!$B$10)+'Inputs'!$B$9)/SQRT((((416-43)*MAX('Inputs'!$B$33,'Inputs'!$B$29+'Inputs'!$B$31+'Inputs'!$B$32,'Inputs'!$B$30+'Inputs'!$B$31+'Inputs'!$B$32)/1000+'Inputs'!$B$21+'Inputs'!$B$7+'Inputs'!$B$10)+'Inputs'!$B$9)^2+('Inputs'!$B$8/2)^2)-(((416-43)*MAX('Inputs'!$B$33,'Inputs'!$B$29+'Inputs'!$B$31+'Inputs'!$B$32,'Inputs'!$B$30+'Inputs'!$B$31+'Inputs'!$B$32)/1000+'Inputs'!$B$21+'Inputs'!$B$7+'Inputs'!$B$10))/SQRT((((416-43)*MAX('Inputs'!$B$33,'Inputs'!$B$29+'Inputs'!$B$31+'Inputs'!$B$32,'Inputs'!$B$30+'Inputs'!$B$31+'Inputs'!$B$32)/1000+'Inputs'!$B$21+'Inputs'!$B$7+'Inputs'!$B$10))^2+('Inputs'!$B$8/2)^2))))*'Results'!$B$8),"")</x:f>
        <x:v>11.119490885947336</x:v>
      </x:c>
      <x:c r="K416" t="n">
        <x:f>IF(AND(ISNUMBER('Results'!B7),ISNUMBER('Results'!C7),ISNUMBER('Results'!$B$8),ISNUMBER('Inputs'!$B$6),ISNUMBER('Inputs'!$B$7),ISNUMBER('Inputs'!$B$8),ISNUMBER('Inputs'!$B$9),ISNUMBER('Inputs'!$B$10),ISNUMBER('Inputs'!$B$21),ISNUMBER('Inputs'!$B$24),ISNUMBER('Inputs'!$B$28)),((('Results'!B7*(1-'Inputs'!$B$24)*(0.5*((((416-43)*MAX('Inputs'!$B$33,'Inputs'!$B$29+'Inputs'!$B$31+'Inputs'!$B$32,'Inputs'!$B$30+'Inputs'!$B$31+'Inputs'!$B$32)/1000+'Inputs'!$B$21)+'Inputs'!$B$7)/SQRT((((416-43)*MAX('Inputs'!$B$33,'Inputs'!$B$29+'Inputs'!$B$31+'Inputs'!$B$32,'Inputs'!$B$30+'Inputs'!$B$31+'Inputs'!$B$32)/1000+'Inputs'!$B$21)+'Inputs'!$B$7)^2+('Inputs'!$B$6/2)^2)-(((416-43)*MAX('Inputs'!$B$33,'Inputs'!$B$29+'Inputs'!$B$31+'Inputs'!$B$32,'Inputs'!$B$30+'Inputs'!$B$31+'Inputs'!$B$32)/1000+'Inputs'!$B$21))/SQRT((((416-43)*MAX('Inputs'!$B$33,'Inputs'!$B$29+'Inputs'!$B$31+'Inputs'!$B$32,'Inputs'!$B$30+'Inputs'!$B$31+'Inputs'!$B$32)/1000+'Inputs'!$B$21))^2+('Inputs'!$B$6/2)^2)))-'Results'!C7*(1+'Inputs'!$B$24)*(0.5*((((416-43)*MAX('Inputs'!$B$33,'Inputs'!$B$29+'Inputs'!$B$31+'Inputs'!$B$32,'Inputs'!$B$30+'Inputs'!$B$31+'Inputs'!$B$32)/1000+'Inputs'!$B$21+'Inputs'!$B$7+'Inputs'!$B$10)+'Inputs'!$B$9)/SQRT((((416-43)*MAX('Inputs'!$B$33,'Inputs'!$B$29+'Inputs'!$B$31+'Inputs'!$B$32,'Inputs'!$B$30+'Inputs'!$B$31+'Inputs'!$B$32)/1000+'Inputs'!$B$21+'Inputs'!$B$7+'Inputs'!$B$10)+'Inputs'!$B$9)^2+('Inputs'!$B$8/2)^2)-(((416-43)*MAX('Inputs'!$B$33,'Inputs'!$B$29+'Inputs'!$B$31+'Inputs'!$B$32,'Inputs'!$B$30+'Inputs'!$B$31+'Inputs'!$B$32)/1000+'Inputs'!$B$21+'Inputs'!$B$7+'Inputs'!$B$10))/SQRT((((416-43)*MAX('Inputs'!$B$33,'Inputs'!$B$29+'Inputs'!$B$31+'Inputs'!$B$32,'Inputs'!$B$30+'Inputs'!$B$31+'Inputs'!$B$32)/1000+'Inputs'!$B$21+'Inputs'!$B$7+'Inputs'!$B$10))^2+('Inputs'!$B$8/2)^2))))*'Results'!$B$8)-'Inputs'!$B$28*ABS((('Results'!B7*(1-'Inputs'!$B$24)*(0.5*((((416-43)*MAX('Inputs'!$B$33,'Inputs'!$B$29+'Inputs'!$B$31+'Inputs'!$B$32,'Inputs'!$B$30+'Inputs'!$B$31+'Inputs'!$B$32)/1000+'Inputs'!$B$21)+'Inputs'!$B$7)/SQRT((((416-43)*MAX('Inputs'!$B$33,'Inputs'!$B$29+'Inputs'!$B$31+'Inputs'!$B$32,'Inputs'!$B$30+'Inputs'!$B$31+'Inputs'!$B$32)/1000+'Inputs'!$B$21)+'Inputs'!$B$7)^2+('Inputs'!$B$6/2)^2)-(((416-43)*MAX('Inputs'!$B$33,'Inputs'!$B$29+'Inputs'!$B$31+'Inputs'!$B$32,'Inputs'!$B$30+'Inputs'!$B$31+'Inputs'!$B$32)/1000+'Inputs'!$B$21))/SQRT((((416-43)*MAX('Inputs'!$B$33,'Inputs'!$B$29+'Inputs'!$B$31+'Inputs'!$B$32,'Inputs'!$B$30+'Inputs'!$B$31+'Inputs'!$B$32)/1000+'Inputs'!$B$21))^2+('Inputs'!$B$6/2)^2)))-'Results'!C7*(1+'Inputs'!$B$24)*(0.5*((((416-43)*MAX('Inputs'!$B$33,'Inputs'!$B$29+'Inputs'!$B$31+'Inputs'!$B$32,'Inputs'!$B$30+'Inputs'!$B$31+'Inputs'!$B$32)/1000+'Inputs'!$B$21+'Inputs'!$B$7+'Inputs'!$B$10)+'Inputs'!$B$9)/SQRT((((416-43)*MAX('Inputs'!$B$33,'Inputs'!$B$29+'Inputs'!$B$31+'Inputs'!$B$32,'Inputs'!$B$30+'Inputs'!$B$31+'Inputs'!$B$32)/1000+'Inputs'!$B$21+'Inputs'!$B$7+'Inputs'!$B$10)+'Inputs'!$B$9)^2+('Inputs'!$B$8/2)^2)-(((416-43)*MAX('Inputs'!$B$33,'Inputs'!$B$29+'Inputs'!$B$31+'Inputs'!$B$32,'Inputs'!$B$30+'Inputs'!$B$31+'Inputs'!$B$32)/1000+'Inputs'!$B$21+'Inputs'!$B$7+'Inputs'!$B$10))/SQRT((((416-43)*MAX('Inputs'!$B$33,'Inputs'!$B$29+'Inputs'!$B$31+'Inputs'!$B$32,'Inputs'!$B$30+'Inputs'!$B$31+'Inputs'!$B$32)/1000+'Inputs'!$B$21+'Inputs'!$B$7+'Inputs'!$B$10))^2+('Inputs'!$B$8/2)^2))))*'Results'!$B$8))),"")</x:f>
        <x:v>9.985622117215517</x:v>
      </x:c>
      <x:c r="L416" t="n">
        <x:f>IF(AND(ISNUMBER('Results'!B7),ISNUMBER('Results'!C7),ISNUMBER('Results'!$B$8),ISNUMBER('Inputs'!$B$6),ISNUMBER('Inputs'!$B$7),ISNUMBER('Inputs'!$B$8),ISNUMBER('Inputs'!$B$9),ISNUMBER('Inputs'!$B$10),ISNUMBER('Inputs'!$B$21),ISNUMBER('Inputs'!$B$24),ISNUMBER('Inputs'!$B$28)),((('Results'!B7*(1+'Inputs'!$B$24)*(0.5*((((416-43)*MAX('Inputs'!$B$33,'Inputs'!$B$29+'Inputs'!$B$31+'Inputs'!$B$32,'Inputs'!$B$30+'Inputs'!$B$31+'Inputs'!$B$32)/1000+'Inputs'!$B$21)+'Inputs'!$B$7)/SQRT((((416-43)*MAX('Inputs'!$B$33,'Inputs'!$B$29+'Inputs'!$B$31+'Inputs'!$B$32,'Inputs'!$B$30+'Inputs'!$B$31+'Inputs'!$B$32)/1000+'Inputs'!$B$21)+'Inputs'!$B$7)^2+('Inputs'!$B$6/2)^2)-(((416-43)*MAX('Inputs'!$B$33,'Inputs'!$B$29+'Inputs'!$B$31+'Inputs'!$B$32,'Inputs'!$B$30+'Inputs'!$B$31+'Inputs'!$B$32)/1000+'Inputs'!$B$21))/SQRT((((416-43)*MAX('Inputs'!$B$33,'Inputs'!$B$29+'Inputs'!$B$31+'Inputs'!$B$32,'Inputs'!$B$30+'Inputs'!$B$31+'Inputs'!$B$32)/1000+'Inputs'!$B$21))^2+('Inputs'!$B$6/2)^2)))-'Results'!C7*(1-'Inputs'!$B$24)*(0.5*((((416-43)*MAX('Inputs'!$B$33,'Inputs'!$B$29+'Inputs'!$B$31+'Inputs'!$B$32,'Inputs'!$B$30+'Inputs'!$B$31+'Inputs'!$B$32)/1000+'Inputs'!$B$21+'Inputs'!$B$7+'Inputs'!$B$10)+'Inputs'!$B$9)/SQRT((((416-43)*MAX('Inputs'!$B$33,'Inputs'!$B$29+'Inputs'!$B$31+'Inputs'!$B$32,'Inputs'!$B$30+'Inputs'!$B$31+'Inputs'!$B$32)/1000+'Inputs'!$B$21+'Inputs'!$B$7+'Inputs'!$B$10)+'Inputs'!$B$9)^2+('Inputs'!$B$8/2)^2)-(((416-43)*MAX('Inputs'!$B$33,'Inputs'!$B$29+'Inputs'!$B$31+'Inputs'!$B$32,'Inputs'!$B$30+'Inputs'!$B$31+'Inputs'!$B$32)/1000+'Inputs'!$B$21+'Inputs'!$B$7+'Inputs'!$B$10))/SQRT((((416-43)*MAX('Inputs'!$B$33,'Inputs'!$B$29+'Inputs'!$B$31+'Inputs'!$B$32,'Inputs'!$B$30+'Inputs'!$B$31+'Inputs'!$B$32)/1000+'Inputs'!$B$21+'Inputs'!$B$7+'Inputs'!$B$10))^2+('Inputs'!$B$8/2)^2))))*'Results'!$B$8)+'Inputs'!$B$28*ABS((('Results'!B7*(1+'Inputs'!$B$24)*(0.5*((((416-43)*MAX('Inputs'!$B$33,'Inputs'!$B$29+'Inputs'!$B$31+'Inputs'!$B$32,'Inputs'!$B$30+'Inputs'!$B$31+'Inputs'!$B$32)/1000+'Inputs'!$B$21)+'Inputs'!$B$7)/SQRT((((416-43)*MAX('Inputs'!$B$33,'Inputs'!$B$29+'Inputs'!$B$31+'Inputs'!$B$32,'Inputs'!$B$30+'Inputs'!$B$31+'Inputs'!$B$32)/1000+'Inputs'!$B$21)+'Inputs'!$B$7)^2+('Inputs'!$B$6/2)^2)-(((416-43)*MAX('Inputs'!$B$33,'Inputs'!$B$29+'Inputs'!$B$31+'Inputs'!$B$32,'Inputs'!$B$30+'Inputs'!$B$31+'Inputs'!$B$32)/1000+'Inputs'!$B$21))/SQRT((((416-43)*MAX('Inputs'!$B$33,'Inputs'!$B$29+'Inputs'!$B$31+'Inputs'!$B$32,'Inputs'!$B$30+'Inputs'!$B$31+'Inputs'!$B$32)/1000+'Inputs'!$B$21))^2+('Inputs'!$B$6/2)^2)))-'Results'!C7*(1-'Inputs'!$B$24)*(0.5*((((416-43)*MAX('Inputs'!$B$33,'Inputs'!$B$29+'Inputs'!$B$31+'Inputs'!$B$32,'Inputs'!$B$30+'Inputs'!$B$31+'Inputs'!$B$32)/1000+'Inputs'!$B$21+'Inputs'!$B$7+'Inputs'!$B$10)+'Inputs'!$B$9)/SQRT((((416-43)*MAX('Inputs'!$B$33,'Inputs'!$B$29+'Inputs'!$B$31+'Inputs'!$B$32,'Inputs'!$B$30+'Inputs'!$B$31+'Inputs'!$B$32)/1000+'Inputs'!$B$21+'Inputs'!$B$7+'Inputs'!$B$10)+'Inputs'!$B$9)^2+('Inputs'!$B$8/2)^2)-(((416-43)*MAX('Inputs'!$B$33,'Inputs'!$B$29+'Inputs'!$B$31+'Inputs'!$B$32,'Inputs'!$B$30+'Inputs'!$B$31+'Inputs'!$B$32)/1000+'Inputs'!$B$21+'Inputs'!$B$7+'Inputs'!$B$10))/SQRT((((416-43)*MAX('Inputs'!$B$33,'Inputs'!$B$29+'Inputs'!$B$31+'Inputs'!$B$32,'Inputs'!$B$30+'Inputs'!$B$31+'Inputs'!$B$32)/1000+'Inputs'!$B$21+'Inputs'!$B$7+'Inputs'!$B$10))^2+('Inputs'!$B$8/2)^2))))*'Results'!$B$8))),"")</x:f>
        <x:v>12.314190625672254</x:v>
      </x:c>
      <x:c r="M416" t="n">
        <x:f>IF(AND(ISNUMBER('Results'!C7),ISNUMBER('Results'!B7),ISNUMBER('Results'!$B$8),ISNUMBER('Inputs'!$B$6),ISNUMBER('Inputs'!$B$7),ISNUMBER('Inputs'!$B$8),ISNUMBER('Inputs'!$B$9),ISNUMBER('Inputs'!$B$10),ISNUMBER('Inputs'!$B$21),ISNUMBER('Inputs'!$B$24),ISNUMBER('Inputs'!$B$28)),(('Results'!C7*(0.5*((((416-43)*MAX('Inputs'!$B$33,'Inputs'!$B$29+'Inputs'!$B$31+'Inputs'!$B$32,'Inputs'!$B$30+'Inputs'!$B$31+'Inputs'!$B$32)/1000+'Inputs'!$B$21)+'Inputs'!$B$9)/SQRT((((416-43)*MAX('Inputs'!$B$33,'Inputs'!$B$29+'Inputs'!$B$31+'Inputs'!$B$32,'Inputs'!$B$30+'Inputs'!$B$31+'Inputs'!$B$32)/1000+'Inputs'!$B$21)+'Inputs'!$B$9)^2+('Inputs'!$B$8/2)^2)-(((416-43)*MAX('Inputs'!$B$33,'Inputs'!$B$29+'Inputs'!$B$31+'Inputs'!$B$32,'Inputs'!$B$30+'Inputs'!$B$31+'Inputs'!$B$32)/1000+'Inputs'!$B$21))/SQRT((((416-43)*MAX('Inputs'!$B$33,'Inputs'!$B$29+'Inputs'!$B$31+'Inputs'!$B$32,'Inputs'!$B$30+'Inputs'!$B$31+'Inputs'!$B$32)/1000+'Inputs'!$B$21))^2+('Inputs'!$B$8/2)^2)))-'Results'!B7*(0.5*((((416-43)*MAX('Inputs'!$B$33,'Inputs'!$B$29+'Inputs'!$B$31+'Inputs'!$B$32,'Inputs'!$B$30+'Inputs'!$B$31+'Inputs'!$B$32)/1000+'Inputs'!$B$21+'Inputs'!$B$9+'Inputs'!$B$10)+'Inputs'!$B$7)/SQRT((((416-43)*MAX('Inputs'!$B$33,'Inputs'!$B$29+'Inputs'!$B$31+'Inputs'!$B$32,'Inputs'!$B$30+'Inputs'!$B$31+'Inputs'!$B$32)/1000+'Inputs'!$B$21+'Inputs'!$B$9+'Inputs'!$B$10)+'Inputs'!$B$7)^2+('Inputs'!$B$6/2)^2)-(((416-43)*MAX('Inputs'!$B$33,'Inputs'!$B$29+'Inputs'!$B$31+'Inputs'!$B$32,'Inputs'!$B$30+'Inputs'!$B$31+'Inputs'!$B$32)/1000+'Inputs'!$B$21+'Inputs'!$B$9+'Inputs'!$B$10))/SQRT((((416-43)*MAX('Inputs'!$B$33,'Inputs'!$B$29+'Inputs'!$B$31+'Inputs'!$B$32,'Inputs'!$B$30+'Inputs'!$B$31+'Inputs'!$B$32)/1000+'Inputs'!$B$21+'Inputs'!$B$9+'Inputs'!$B$10))^2+('Inputs'!$B$6/2)^2))))*'Results'!$B$8),"")</x:f>
        <x:v>10.507243217932539</x:v>
      </x:c>
      <x:c r="N416" t="n">
        <x:f>IF(AND(ISNUMBER('Results'!C7),ISNUMBER('Results'!B7),ISNUMBER('Results'!$B$8),ISNUMBER('Inputs'!$B$6),ISNUMBER('Inputs'!$B$7),ISNUMBER('Inputs'!$B$8),ISNUMBER('Inputs'!$B$9),ISNUMBER('Inputs'!$B$10),ISNUMBER('Inputs'!$B$21),ISNUMBER('Inputs'!$B$24),ISNUMBER('Inputs'!$B$28)),((('Results'!C7*(1-'Inputs'!$B$24)*(0.5*((((416-43)*MAX('Inputs'!$B$33,'Inputs'!$B$29+'Inputs'!$B$31+'Inputs'!$B$32,'Inputs'!$B$30+'Inputs'!$B$31+'Inputs'!$B$32)/1000+'Inputs'!$B$21)+'Inputs'!$B$9)/SQRT((((416-43)*MAX('Inputs'!$B$33,'Inputs'!$B$29+'Inputs'!$B$31+'Inputs'!$B$32,'Inputs'!$B$30+'Inputs'!$B$31+'Inputs'!$B$32)/1000+'Inputs'!$B$21)+'Inputs'!$B$9)^2+('Inputs'!$B$8/2)^2)-(((416-43)*MAX('Inputs'!$B$33,'Inputs'!$B$29+'Inputs'!$B$31+'Inputs'!$B$32,'Inputs'!$B$30+'Inputs'!$B$31+'Inputs'!$B$32)/1000+'Inputs'!$B$21))/SQRT((((416-43)*MAX('Inputs'!$B$33,'Inputs'!$B$29+'Inputs'!$B$31+'Inputs'!$B$32,'Inputs'!$B$30+'Inputs'!$B$31+'Inputs'!$B$32)/1000+'Inputs'!$B$21))^2+('Inputs'!$B$8/2)^2)))-'Results'!B7*(1+'Inputs'!$B$24)*(0.5*((((416-43)*MAX('Inputs'!$B$33,'Inputs'!$B$29+'Inputs'!$B$31+'Inputs'!$B$32,'Inputs'!$B$30+'Inputs'!$B$31+'Inputs'!$B$32)/1000+'Inputs'!$B$21+'Inputs'!$B$9+'Inputs'!$B$10)+'Inputs'!$B$7)/SQRT((((416-43)*MAX('Inputs'!$B$33,'Inputs'!$B$29+'Inputs'!$B$31+'Inputs'!$B$32,'Inputs'!$B$30+'Inputs'!$B$31+'Inputs'!$B$32)/1000+'Inputs'!$B$21+'Inputs'!$B$9+'Inputs'!$B$10)+'Inputs'!$B$7)^2+('Inputs'!$B$6/2)^2)-(((416-43)*MAX('Inputs'!$B$33,'Inputs'!$B$29+'Inputs'!$B$31+'Inputs'!$B$32,'Inputs'!$B$30+'Inputs'!$B$31+'Inputs'!$B$32)/1000+'Inputs'!$B$21+'Inputs'!$B$9+'Inputs'!$B$10))/SQRT((((416-43)*MAX('Inputs'!$B$33,'Inputs'!$B$29+'Inputs'!$B$31+'Inputs'!$B$32,'Inputs'!$B$30+'Inputs'!$B$31+'Inputs'!$B$32)/1000+'Inputs'!$B$21+'Inputs'!$B$9+'Inputs'!$B$10))^2+('Inputs'!$B$6/2)^2))))*'Results'!$B$8)-'Inputs'!$B$28*ABS((('Results'!C7*(1-'Inputs'!$B$24)*(0.5*((((416-43)*MAX('Inputs'!$B$33,'Inputs'!$B$29+'Inputs'!$B$31+'Inputs'!$B$32,'Inputs'!$B$30+'Inputs'!$B$31+'Inputs'!$B$32)/1000+'Inputs'!$B$21)+'Inputs'!$B$9)/SQRT((((416-43)*MAX('Inputs'!$B$33,'Inputs'!$B$29+'Inputs'!$B$31+'Inputs'!$B$32,'Inputs'!$B$30+'Inputs'!$B$31+'Inputs'!$B$32)/1000+'Inputs'!$B$21)+'Inputs'!$B$9)^2+('Inputs'!$B$8/2)^2)-(((416-43)*MAX('Inputs'!$B$33,'Inputs'!$B$29+'Inputs'!$B$31+'Inputs'!$B$32,'Inputs'!$B$30+'Inputs'!$B$31+'Inputs'!$B$32)/1000+'Inputs'!$B$21))/SQRT((((416-43)*MAX('Inputs'!$B$33,'Inputs'!$B$29+'Inputs'!$B$31+'Inputs'!$B$32,'Inputs'!$B$30+'Inputs'!$B$31+'Inputs'!$B$32)/1000+'Inputs'!$B$21))^2+('Inputs'!$B$8/2)^2)))-'Results'!B7*(1+'Inputs'!$B$24)*(0.5*((((416-43)*MAX('Inputs'!$B$33,'Inputs'!$B$29+'Inputs'!$B$31+'Inputs'!$B$32,'Inputs'!$B$30+'Inputs'!$B$31+'Inputs'!$B$32)/1000+'Inputs'!$B$21+'Inputs'!$B$9+'Inputs'!$B$10)+'Inputs'!$B$7)/SQRT((((416-43)*MAX('Inputs'!$B$33,'Inputs'!$B$29+'Inputs'!$B$31+'Inputs'!$B$32,'Inputs'!$B$30+'Inputs'!$B$31+'Inputs'!$B$32)/1000+'Inputs'!$B$21+'Inputs'!$B$9+'Inputs'!$B$10)+'Inputs'!$B$7)^2+('Inputs'!$B$6/2)^2)-(((416-43)*MAX('Inputs'!$B$33,'Inputs'!$B$29+'Inputs'!$B$31+'Inputs'!$B$32,'Inputs'!$B$30+'Inputs'!$B$31+'Inputs'!$B$32)/1000+'Inputs'!$B$21+'Inputs'!$B$9+'Inputs'!$B$10))/SQRT((((416-43)*MAX('Inputs'!$B$33,'Inputs'!$B$29+'Inputs'!$B$31+'Inputs'!$B$32,'Inputs'!$B$30+'Inputs'!$B$31+'Inputs'!$B$32)/1000+'Inputs'!$B$21+'Inputs'!$B$9+'Inputs'!$B$10))^2+('Inputs'!$B$6/2)^2))))*'Results'!$B$8))),"")</x:f>
        <x:v>9.408137417934528</x:v>
      </x:c>
      <x:c r="O416" t="n">
        <x:f>IF(AND(ISNUMBER('Results'!C7),ISNUMBER('Results'!B7),ISNUMBER('Results'!$B$8),ISNUMBER('Inputs'!$B$6),ISNUMBER('Inputs'!$B$7),ISNUMBER('Inputs'!$B$8),ISNUMBER('Inputs'!$B$9),ISNUMBER('Inputs'!$B$10),ISNUMBER('Inputs'!$B$21),ISNUMBER('Inputs'!$B$24),ISNUMBER('Inputs'!$B$28)),((('Results'!C7*(1+'Inputs'!$B$24)*(0.5*((((416-43)*MAX('Inputs'!$B$33,'Inputs'!$B$29+'Inputs'!$B$31+'Inputs'!$B$32,'Inputs'!$B$30+'Inputs'!$B$31+'Inputs'!$B$32)/1000+'Inputs'!$B$21)+'Inputs'!$B$9)/SQRT((((416-43)*MAX('Inputs'!$B$33,'Inputs'!$B$29+'Inputs'!$B$31+'Inputs'!$B$32,'Inputs'!$B$30+'Inputs'!$B$31+'Inputs'!$B$32)/1000+'Inputs'!$B$21)+'Inputs'!$B$9)^2+('Inputs'!$B$8/2)^2)-(((416-43)*MAX('Inputs'!$B$33,'Inputs'!$B$29+'Inputs'!$B$31+'Inputs'!$B$32,'Inputs'!$B$30+'Inputs'!$B$31+'Inputs'!$B$32)/1000+'Inputs'!$B$21))/SQRT((((416-43)*MAX('Inputs'!$B$33,'Inputs'!$B$29+'Inputs'!$B$31+'Inputs'!$B$32,'Inputs'!$B$30+'Inputs'!$B$31+'Inputs'!$B$32)/1000+'Inputs'!$B$21))^2+('Inputs'!$B$8/2)^2)))-'Results'!B7*(1-'Inputs'!$B$24)*(0.5*((((416-43)*MAX('Inputs'!$B$33,'Inputs'!$B$29+'Inputs'!$B$31+'Inputs'!$B$32,'Inputs'!$B$30+'Inputs'!$B$31+'Inputs'!$B$32)/1000+'Inputs'!$B$21+'Inputs'!$B$9+'Inputs'!$B$10)+'Inputs'!$B$7)/SQRT((((416-43)*MAX('Inputs'!$B$33,'Inputs'!$B$29+'Inputs'!$B$31+'Inputs'!$B$32,'Inputs'!$B$30+'Inputs'!$B$31+'Inputs'!$B$32)/1000+'Inputs'!$B$21+'Inputs'!$B$9+'Inputs'!$B$10)+'Inputs'!$B$7)^2+('Inputs'!$B$6/2)^2)-(((416-43)*MAX('Inputs'!$B$33,'Inputs'!$B$29+'Inputs'!$B$31+'Inputs'!$B$32,'Inputs'!$B$30+'Inputs'!$B$31+'Inputs'!$B$32)/1000+'Inputs'!$B$21+'Inputs'!$B$9+'Inputs'!$B$10))/SQRT((((416-43)*MAX('Inputs'!$B$33,'Inputs'!$B$29+'Inputs'!$B$31+'Inputs'!$B$32,'Inputs'!$B$30+'Inputs'!$B$31+'Inputs'!$B$32)/1000+'Inputs'!$B$21+'Inputs'!$B$9+'Inputs'!$B$10))^2+('Inputs'!$B$6/2)^2))))*'Results'!$B$8)+'Inputs'!$B$28*ABS((('Results'!C7*(1+'Inputs'!$B$24)*(0.5*((((416-43)*MAX('Inputs'!$B$33,'Inputs'!$B$29+'Inputs'!$B$31+'Inputs'!$B$32,'Inputs'!$B$30+'Inputs'!$B$31+'Inputs'!$B$32)/1000+'Inputs'!$B$21)+'Inputs'!$B$9)/SQRT((((416-43)*MAX('Inputs'!$B$33,'Inputs'!$B$29+'Inputs'!$B$31+'Inputs'!$B$32,'Inputs'!$B$30+'Inputs'!$B$31+'Inputs'!$B$32)/1000+'Inputs'!$B$21)+'Inputs'!$B$9)^2+('Inputs'!$B$8/2)^2)-(((416-43)*MAX('Inputs'!$B$33,'Inputs'!$B$29+'Inputs'!$B$31+'Inputs'!$B$32,'Inputs'!$B$30+'Inputs'!$B$31+'Inputs'!$B$32)/1000+'Inputs'!$B$21))/SQRT((((416-43)*MAX('Inputs'!$B$33,'Inputs'!$B$29+'Inputs'!$B$31+'Inputs'!$B$32,'Inputs'!$B$30+'Inputs'!$B$31+'Inputs'!$B$32)/1000+'Inputs'!$B$21))^2+('Inputs'!$B$8/2)^2)))-'Results'!B7*(1-'Inputs'!$B$24)*(0.5*((((416-43)*MAX('Inputs'!$B$33,'Inputs'!$B$29+'Inputs'!$B$31+'Inputs'!$B$32,'Inputs'!$B$30+'Inputs'!$B$31+'Inputs'!$B$32)/1000+'Inputs'!$B$21+'Inputs'!$B$9+'Inputs'!$B$10)+'Inputs'!$B$7)/SQRT((((416-43)*MAX('Inputs'!$B$33,'Inputs'!$B$29+'Inputs'!$B$31+'Inputs'!$B$32,'Inputs'!$B$30+'Inputs'!$B$31+'Inputs'!$B$32)/1000+'Inputs'!$B$21+'Inputs'!$B$9+'Inputs'!$B$10)+'Inputs'!$B$7)^2+('Inputs'!$B$6/2)^2)-(((416-43)*MAX('Inputs'!$B$33,'Inputs'!$B$29+'Inputs'!$B$31+'Inputs'!$B$32,'Inputs'!$B$30+'Inputs'!$B$31+'Inputs'!$B$32)/1000+'Inputs'!$B$21+'Inputs'!$B$9+'Inputs'!$B$10))/SQRT((((416-43)*MAX('Inputs'!$B$33,'Inputs'!$B$29+'Inputs'!$B$31+'Inputs'!$B$32,'Inputs'!$B$30+'Inputs'!$B$31+'Inputs'!$B$32)/1000+'Inputs'!$B$21+'Inputs'!$B$9+'Inputs'!$B$10))^2+('Inputs'!$B$6/2)^2))))*'Results'!$B$8))),"")</x:f>
        <x:v>11.666743085204383</x:v>
      </x:c>
      <x:c r="P416" t="n">
        <x:f>IF(AND(MAX(J416,J415)&gt;0,J416&gt;J415+0.00000001),1,0)</x:f>
        <x:v>0</x:v>
      </x:c>
      <x:c r="Q416" t="n">
        <x:f>IF(AND(MAX(K416,K415)&gt;0,K416&gt;K415+0.00000001),1,0)</x:f>
        <x:v>0</x:v>
      </x:c>
      <x:c r="R416" t="n">
        <x:f>IF(AND(MAX(L416,L415)&gt;0,L416&gt;L415+0.00000001),1,0)</x:f>
        <x:v>0</x:v>
      </x:c>
      <x:c r="S416" t="n">
        <x:f>IF(AND(MAX(M416,M415)&gt;0,M416&gt;M415+0.00000001),1,0)</x:f>
        <x:v>0</x:v>
      </x:c>
      <x:c r="T416" t="n">
        <x:f>IF(AND(MAX(N416,N415)&gt;0,N416&gt;N415+0.00000001),1,0)</x:f>
        <x:v>0</x:v>
      </x:c>
      <x:c r="U416" t="n">
        <x:f>IF(AND(MAX(O416,O415)&gt;0,O416&gt;O415+0.00000001),1,0)</x:f>
        <x:v>0</x:v>
      </x:c>
    </x:row>
    <x:row r="417">
      <x:c r="J417" t="n">
        <x:f>IF(AND(ISNUMBER('Results'!B7),ISNUMBER('Results'!C7),ISNUMBER('Results'!$B$8),ISNUMBER('Inputs'!$B$6),ISNUMBER('Inputs'!$B$7),ISNUMBER('Inputs'!$B$8),ISNUMBER('Inputs'!$B$9),ISNUMBER('Inputs'!$B$10),ISNUMBER('Inputs'!$B$21),ISNUMBER('Inputs'!$B$24),ISNUMBER('Inputs'!$B$28)),(('Results'!B7*(0.5*((((417-43)*MAX('Inputs'!$B$33,'Inputs'!$B$29+'Inputs'!$B$31+'Inputs'!$B$32,'Inputs'!$B$30+'Inputs'!$B$31+'Inputs'!$B$32)/1000+'Inputs'!$B$21)+'Inputs'!$B$7)/SQRT((((417-43)*MAX('Inputs'!$B$33,'Inputs'!$B$29+'Inputs'!$B$31+'Inputs'!$B$32,'Inputs'!$B$30+'Inputs'!$B$31+'Inputs'!$B$32)/1000+'Inputs'!$B$21)+'Inputs'!$B$7)^2+('Inputs'!$B$6/2)^2)-(((417-43)*MAX('Inputs'!$B$33,'Inputs'!$B$29+'Inputs'!$B$31+'Inputs'!$B$32,'Inputs'!$B$30+'Inputs'!$B$31+'Inputs'!$B$32)/1000+'Inputs'!$B$21))/SQRT((((417-43)*MAX('Inputs'!$B$33,'Inputs'!$B$29+'Inputs'!$B$31+'Inputs'!$B$32,'Inputs'!$B$30+'Inputs'!$B$31+'Inputs'!$B$32)/1000+'Inputs'!$B$21))^2+('Inputs'!$B$6/2)^2)))-'Results'!C7*(0.5*((((417-43)*MAX('Inputs'!$B$33,'Inputs'!$B$29+'Inputs'!$B$31+'Inputs'!$B$32,'Inputs'!$B$30+'Inputs'!$B$31+'Inputs'!$B$32)/1000+'Inputs'!$B$21+'Inputs'!$B$7+'Inputs'!$B$10)+'Inputs'!$B$9)/SQRT((((417-43)*MAX('Inputs'!$B$33,'Inputs'!$B$29+'Inputs'!$B$31+'Inputs'!$B$32,'Inputs'!$B$30+'Inputs'!$B$31+'Inputs'!$B$32)/1000+'Inputs'!$B$21+'Inputs'!$B$7+'Inputs'!$B$10)+'Inputs'!$B$9)^2+('Inputs'!$B$8/2)^2)-(((417-43)*MAX('Inputs'!$B$33,'Inputs'!$B$29+'Inputs'!$B$31+'Inputs'!$B$32,'Inputs'!$B$30+'Inputs'!$B$31+'Inputs'!$B$32)/1000+'Inputs'!$B$21+'Inputs'!$B$7+'Inputs'!$B$10))/SQRT((((417-43)*MAX('Inputs'!$B$33,'Inputs'!$B$29+'Inputs'!$B$31+'Inputs'!$B$32,'Inputs'!$B$30+'Inputs'!$B$31+'Inputs'!$B$32)/1000+'Inputs'!$B$21+'Inputs'!$B$7+'Inputs'!$B$10))^2+('Inputs'!$B$8/2)^2))))*'Results'!$B$8),"")</x:f>
        <x:v>11.022966186308457</x:v>
      </x:c>
      <x:c r="K417" t="n">
        <x:f>IF(AND(ISNUMBER('Results'!B7),ISNUMBER('Results'!C7),ISNUMBER('Results'!$B$8),ISNUMBER('Inputs'!$B$6),ISNUMBER('Inputs'!$B$7),ISNUMBER('Inputs'!$B$8),ISNUMBER('Inputs'!$B$9),ISNUMBER('Inputs'!$B$10),ISNUMBER('Inputs'!$B$21),ISNUMBER('Inputs'!$B$24),ISNUMBER('Inputs'!$B$28)),((('Results'!B7*(1-'Inputs'!$B$24)*(0.5*((((417-43)*MAX('Inputs'!$B$33,'Inputs'!$B$29+'Inputs'!$B$31+'Inputs'!$B$32,'Inputs'!$B$30+'Inputs'!$B$31+'Inputs'!$B$32)/1000+'Inputs'!$B$21)+'Inputs'!$B$7)/SQRT((((417-43)*MAX('Inputs'!$B$33,'Inputs'!$B$29+'Inputs'!$B$31+'Inputs'!$B$32,'Inputs'!$B$30+'Inputs'!$B$31+'Inputs'!$B$32)/1000+'Inputs'!$B$21)+'Inputs'!$B$7)^2+('Inputs'!$B$6/2)^2)-(((417-43)*MAX('Inputs'!$B$33,'Inputs'!$B$29+'Inputs'!$B$31+'Inputs'!$B$32,'Inputs'!$B$30+'Inputs'!$B$31+'Inputs'!$B$32)/1000+'Inputs'!$B$21))/SQRT((((417-43)*MAX('Inputs'!$B$33,'Inputs'!$B$29+'Inputs'!$B$31+'Inputs'!$B$32,'Inputs'!$B$30+'Inputs'!$B$31+'Inputs'!$B$32)/1000+'Inputs'!$B$21))^2+('Inputs'!$B$6/2)^2)))-'Results'!C7*(1+'Inputs'!$B$24)*(0.5*((((417-43)*MAX('Inputs'!$B$33,'Inputs'!$B$29+'Inputs'!$B$31+'Inputs'!$B$32,'Inputs'!$B$30+'Inputs'!$B$31+'Inputs'!$B$32)/1000+'Inputs'!$B$21+'Inputs'!$B$7+'Inputs'!$B$10)+'Inputs'!$B$9)/SQRT((((417-43)*MAX('Inputs'!$B$33,'Inputs'!$B$29+'Inputs'!$B$31+'Inputs'!$B$32,'Inputs'!$B$30+'Inputs'!$B$31+'Inputs'!$B$32)/1000+'Inputs'!$B$21+'Inputs'!$B$7+'Inputs'!$B$10)+'Inputs'!$B$9)^2+('Inputs'!$B$8/2)^2)-(((417-43)*MAX('Inputs'!$B$33,'Inputs'!$B$29+'Inputs'!$B$31+'Inputs'!$B$32,'Inputs'!$B$30+'Inputs'!$B$31+'Inputs'!$B$32)/1000+'Inputs'!$B$21+'Inputs'!$B$7+'Inputs'!$B$10))/SQRT((((417-43)*MAX('Inputs'!$B$33,'Inputs'!$B$29+'Inputs'!$B$31+'Inputs'!$B$32,'Inputs'!$B$30+'Inputs'!$B$31+'Inputs'!$B$32)/1000+'Inputs'!$B$21+'Inputs'!$B$7+'Inputs'!$B$10))^2+('Inputs'!$B$8/2)^2))))*'Results'!$B$8)-'Inputs'!$B$28*ABS((('Results'!B7*(1-'Inputs'!$B$24)*(0.5*((((417-43)*MAX('Inputs'!$B$33,'Inputs'!$B$29+'Inputs'!$B$31+'Inputs'!$B$32,'Inputs'!$B$30+'Inputs'!$B$31+'Inputs'!$B$32)/1000+'Inputs'!$B$21)+'Inputs'!$B$7)/SQRT((((417-43)*MAX('Inputs'!$B$33,'Inputs'!$B$29+'Inputs'!$B$31+'Inputs'!$B$32,'Inputs'!$B$30+'Inputs'!$B$31+'Inputs'!$B$32)/1000+'Inputs'!$B$21)+'Inputs'!$B$7)^2+('Inputs'!$B$6/2)^2)-(((417-43)*MAX('Inputs'!$B$33,'Inputs'!$B$29+'Inputs'!$B$31+'Inputs'!$B$32,'Inputs'!$B$30+'Inputs'!$B$31+'Inputs'!$B$32)/1000+'Inputs'!$B$21))/SQRT((((417-43)*MAX('Inputs'!$B$33,'Inputs'!$B$29+'Inputs'!$B$31+'Inputs'!$B$32,'Inputs'!$B$30+'Inputs'!$B$31+'Inputs'!$B$32)/1000+'Inputs'!$B$21))^2+('Inputs'!$B$6/2)^2)))-'Results'!C7*(1+'Inputs'!$B$24)*(0.5*((((417-43)*MAX('Inputs'!$B$33,'Inputs'!$B$29+'Inputs'!$B$31+'Inputs'!$B$32,'Inputs'!$B$30+'Inputs'!$B$31+'Inputs'!$B$32)/1000+'Inputs'!$B$21+'Inputs'!$B$7+'Inputs'!$B$10)+'Inputs'!$B$9)/SQRT((((417-43)*MAX('Inputs'!$B$33,'Inputs'!$B$29+'Inputs'!$B$31+'Inputs'!$B$32,'Inputs'!$B$30+'Inputs'!$B$31+'Inputs'!$B$32)/1000+'Inputs'!$B$21+'Inputs'!$B$7+'Inputs'!$B$10)+'Inputs'!$B$9)^2+('Inputs'!$B$8/2)^2)-(((417-43)*MAX('Inputs'!$B$33,'Inputs'!$B$29+'Inputs'!$B$31+'Inputs'!$B$32,'Inputs'!$B$30+'Inputs'!$B$31+'Inputs'!$B$32)/1000+'Inputs'!$B$21+'Inputs'!$B$7+'Inputs'!$B$10))/SQRT((((417-43)*MAX('Inputs'!$B$33,'Inputs'!$B$29+'Inputs'!$B$31+'Inputs'!$B$32,'Inputs'!$B$30+'Inputs'!$B$31+'Inputs'!$B$32)/1000+'Inputs'!$B$21+'Inputs'!$B$7+'Inputs'!$B$10))^2+('Inputs'!$B$8/2)^2))))*'Results'!$B$8))),"")</x:f>
        <x:v>9.897868850712676</x:v>
      </x:c>
      <x:c r="L417" t="n">
        <x:f>IF(AND(ISNUMBER('Results'!B7),ISNUMBER('Results'!C7),ISNUMBER('Results'!$B$8),ISNUMBER('Inputs'!$B$6),ISNUMBER('Inputs'!$B$7),ISNUMBER('Inputs'!$B$8),ISNUMBER('Inputs'!$B$9),ISNUMBER('Inputs'!$B$10),ISNUMBER('Inputs'!$B$21),ISNUMBER('Inputs'!$B$24),ISNUMBER('Inputs'!$B$28)),((('Results'!B7*(1+'Inputs'!$B$24)*(0.5*((((417-43)*MAX('Inputs'!$B$33,'Inputs'!$B$29+'Inputs'!$B$31+'Inputs'!$B$32,'Inputs'!$B$30+'Inputs'!$B$31+'Inputs'!$B$32)/1000+'Inputs'!$B$21)+'Inputs'!$B$7)/SQRT((((417-43)*MAX('Inputs'!$B$33,'Inputs'!$B$29+'Inputs'!$B$31+'Inputs'!$B$32,'Inputs'!$B$30+'Inputs'!$B$31+'Inputs'!$B$32)/1000+'Inputs'!$B$21)+'Inputs'!$B$7)^2+('Inputs'!$B$6/2)^2)-(((417-43)*MAX('Inputs'!$B$33,'Inputs'!$B$29+'Inputs'!$B$31+'Inputs'!$B$32,'Inputs'!$B$30+'Inputs'!$B$31+'Inputs'!$B$32)/1000+'Inputs'!$B$21))/SQRT((((417-43)*MAX('Inputs'!$B$33,'Inputs'!$B$29+'Inputs'!$B$31+'Inputs'!$B$32,'Inputs'!$B$30+'Inputs'!$B$31+'Inputs'!$B$32)/1000+'Inputs'!$B$21))^2+('Inputs'!$B$6/2)^2)))-'Results'!C7*(1-'Inputs'!$B$24)*(0.5*((((417-43)*MAX('Inputs'!$B$33,'Inputs'!$B$29+'Inputs'!$B$31+'Inputs'!$B$32,'Inputs'!$B$30+'Inputs'!$B$31+'Inputs'!$B$32)/1000+'Inputs'!$B$21+'Inputs'!$B$7+'Inputs'!$B$10)+'Inputs'!$B$9)/SQRT((((417-43)*MAX('Inputs'!$B$33,'Inputs'!$B$29+'Inputs'!$B$31+'Inputs'!$B$32,'Inputs'!$B$30+'Inputs'!$B$31+'Inputs'!$B$32)/1000+'Inputs'!$B$21+'Inputs'!$B$7+'Inputs'!$B$10)+'Inputs'!$B$9)^2+('Inputs'!$B$8/2)^2)-(((417-43)*MAX('Inputs'!$B$33,'Inputs'!$B$29+'Inputs'!$B$31+'Inputs'!$B$32,'Inputs'!$B$30+'Inputs'!$B$31+'Inputs'!$B$32)/1000+'Inputs'!$B$21+'Inputs'!$B$7+'Inputs'!$B$10))/SQRT((((417-43)*MAX('Inputs'!$B$33,'Inputs'!$B$29+'Inputs'!$B$31+'Inputs'!$B$32,'Inputs'!$B$30+'Inputs'!$B$31+'Inputs'!$B$32)/1000+'Inputs'!$B$21+'Inputs'!$B$7+'Inputs'!$B$10))^2+('Inputs'!$B$8/2)^2))))*'Results'!$B$8)+'Inputs'!$B$28*ABS((('Results'!B7*(1+'Inputs'!$B$24)*(0.5*((((417-43)*MAX('Inputs'!$B$33,'Inputs'!$B$29+'Inputs'!$B$31+'Inputs'!$B$32,'Inputs'!$B$30+'Inputs'!$B$31+'Inputs'!$B$32)/1000+'Inputs'!$B$21)+'Inputs'!$B$7)/SQRT((((417-43)*MAX('Inputs'!$B$33,'Inputs'!$B$29+'Inputs'!$B$31+'Inputs'!$B$32,'Inputs'!$B$30+'Inputs'!$B$31+'Inputs'!$B$32)/1000+'Inputs'!$B$21)+'Inputs'!$B$7)^2+('Inputs'!$B$6/2)^2)-(((417-43)*MAX('Inputs'!$B$33,'Inputs'!$B$29+'Inputs'!$B$31+'Inputs'!$B$32,'Inputs'!$B$30+'Inputs'!$B$31+'Inputs'!$B$32)/1000+'Inputs'!$B$21))/SQRT((((417-43)*MAX('Inputs'!$B$33,'Inputs'!$B$29+'Inputs'!$B$31+'Inputs'!$B$32,'Inputs'!$B$30+'Inputs'!$B$31+'Inputs'!$B$32)/1000+'Inputs'!$B$21))^2+('Inputs'!$B$6/2)^2)))-'Results'!C7*(1-'Inputs'!$B$24)*(0.5*((((417-43)*MAX('Inputs'!$B$33,'Inputs'!$B$29+'Inputs'!$B$31+'Inputs'!$B$32,'Inputs'!$B$30+'Inputs'!$B$31+'Inputs'!$B$32)/1000+'Inputs'!$B$21+'Inputs'!$B$7+'Inputs'!$B$10)+'Inputs'!$B$9)/SQRT((((417-43)*MAX('Inputs'!$B$33,'Inputs'!$B$29+'Inputs'!$B$31+'Inputs'!$B$32,'Inputs'!$B$30+'Inputs'!$B$31+'Inputs'!$B$32)/1000+'Inputs'!$B$21+'Inputs'!$B$7+'Inputs'!$B$10)+'Inputs'!$B$9)^2+('Inputs'!$B$8/2)^2)-(((417-43)*MAX('Inputs'!$B$33,'Inputs'!$B$29+'Inputs'!$B$31+'Inputs'!$B$32,'Inputs'!$B$30+'Inputs'!$B$31+'Inputs'!$B$32)/1000+'Inputs'!$B$21+'Inputs'!$B$7+'Inputs'!$B$10))/SQRT((((417-43)*MAX('Inputs'!$B$33,'Inputs'!$B$29+'Inputs'!$B$31+'Inputs'!$B$32,'Inputs'!$B$30+'Inputs'!$B$31+'Inputs'!$B$32)/1000+'Inputs'!$B$21+'Inputs'!$B$7+'Inputs'!$B$10))^2+('Inputs'!$B$8/2)^2))))*'Results'!$B$8))),"")</x:f>
        <x:v>12.208479208881114</x:v>
      </x:c>
      <x:c r="M417" t="n">
        <x:f>IF(AND(ISNUMBER('Results'!C7),ISNUMBER('Results'!B7),ISNUMBER('Results'!$B$8),ISNUMBER('Inputs'!$B$6),ISNUMBER('Inputs'!$B$7),ISNUMBER('Inputs'!$B$8),ISNUMBER('Inputs'!$B$9),ISNUMBER('Inputs'!$B$10),ISNUMBER('Inputs'!$B$21),ISNUMBER('Inputs'!$B$24),ISNUMBER('Inputs'!$B$28)),(('Results'!C7*(0.5*((((417-43)*MAX('Inputs'!$B$33,'Inputs'!$B$29+'Inputs'!$B$31+'Inputs'!$B$32,'Inputs'!$B$30+'Inputs'!$B$31+'Inputs'!$B$32)/1000+'Inputs'!$B$21)+'Inputs'!$B$9)/SQRT((((417-43)*MAX('Inputs'!$B$33,'Inputs'!$B$29+'Inputs'!$B$31+'Inputs'!$B$32,'Inputs'!$B$30+'Inputs'!$B$31+'Inputs'!$B$32)/1000+'Inputs'!$B$21)+'Inputs'!$B$9)^2+('Inputs'!$B$8/2)^2)-(((417-43)*MAX('Inputs'!$B$33,'Inputs'!$B$29+'Inputs'!$B$31+'Inputs'!$B$32,'Inputs'!$B$30+'Inputs'!$B$31+'Inputs'!$B$32)/1000+'Inputs'!$B$21))/SQRT((((417-43)*MAX('Inputs'!$B$33,'Inputs'!$B$29+'Inputs'!$B$31+'Inputs'!$B$32,'Inputs'!$B$30+'Inputs'!$B$31+'Inputs'!$B$32)/1000+'Inputs'!$B$21))^2+('Inputs'!$B$8/2)^2)))-'Results'!B7*(0.5*((((417-43)*MAX('Inputs'!$B$33,'Inputs'!$B$29+'Inputs'!$B$31+'Inputs'!$B$32,'Inputs'!$B$30+'Inputs'!$B$31+'Inputs'!$B$32)/1000+'Inputs'!$B$21+'Inputs'!$B$9+'Inputs'!$B$10)+'Inputs'!$B$7)/SQRT((((417-43)*MAX('Inputs'!$B$33,'Inputs'!$B$29+'Inputs'!$B$31+'Inputs'!$B$32,'Inputs'!$B$30+'Inputs'!$B$31+'Inputs'!$B$32)/1000+'Inputs'!$B$21+'Inputs'!$B$9+'Inputs'!$B$10)+'Inputs'!$B$7)^2+('Inputs'!$B$6/2)^2)-(((417-43)*MAX('Inputs'!$B$33,'Inputs'!$B$29+'Inputs'!$B$31+'Inputs'!$B$32,'Inputs'!$B$30+'Inputs'!$B$31+'Inputs'!$B$32)/1000+'Inputs'!$B$21+'Inputs'!$B$9+'Inputs'!$B$10))/SQRT((((417-43)*MAX('Inputs'!$B$33,'Inputs'!$B$29+'Inputs'!$B$31+'Inputs'!$B$32,'Inputs'!$B$30+'Inputs'!$B$31+'Inputs'!$B$32)/1000+'Inputs'!$B$21+'Inputs'!$B$9+'Inputs'!$B$10))^2+('Inputs'!$B$6/2)^2))))*'Results'!$B$8),"")</x:f>
        <x:v>10.414894035457593</x:v>
      </x:c>
      <x:c r="N417" t="n">
        <x:f>IF(AND(ISNUMBER('Results'!C7),ISNUMBER('Results'!B7),ISNUMBER('Results'!$B$8),ISNUMBER('Inputs'!$B$6),ISNUMBER('Inputs'!$B$7),ISNUMBER('Inputs'!$B$8),ISNUMBER('Inputs'!$B$9),ISNUMBER('Inputs'!$B$10),ISNUMBER('Inputs'!$B$21),ISNUMBER('Inputs'!$B$24),ISNUMBER('Inputs'!$B$28)),((('Results'!C7*(1-'Inputs'!$B$24)*(0.5*((((417-43)*MAX('Inputs'!$B$33,'Inputs'!$B$29+'Inputs'!$B$31+'Inputs'!$B$32,'Inputs'!$B$30+'Inputs'!$B$31+'Inputs'!$B$32)/1000+'Inputs'!$B$21)+'Inputs'!$B$9)/SQRT((((417-43)*MAX('Inputs'!$B$33,'Inputs'!$B$29+'Inputs'!$B$31+'Inputs'!$B$32,'Inputs'!$B$30+'Inputs'!$B$31+'Inputs'!$B$32)/1000+'Inputs'!$B$21)+'Inputs'!$B$9)^2+('Inputs'!$B$8/2)^2)-(((417-43)*MAX('Inputs'!$B$33,'Inputs'!$B$29+'Inputs'!$B$31+'Inputs'!$B$32,'Inputs'!$B$30+'Inputs'!$B$31+'Inputs'!$B$32)/1000+'Inputs'!$B$21))/SQRT((((417-43)*MAX('Inputs'!$B$33,'Inputs'!$B$29+'Inputs'!$B$31+'Inputs'!$B$32,'Inputs'!$B$30+'Inputs'!$B$31+'Inputs'!$B$32)/1000+'Inputs'!$B$21))^2+('Inputs'!$B$8/2)^2)))-'Results'!B7*(1+'Inputs'!$B$24)*(0.5*((((417-43)*MAX('Inputs'!$B$33,'Inputs'!$B$29+'Inputs'!$B$31+'Inputs'!$B$32,'Inputs'!$B$30+'Inputs'!$B$31+'Inputs'!$B$32)/1000+'Inputs'!$B$21+'Inputs'!$B$9+'Inputs'!$B$10)+'Inputs'!$B$7)/SQRT((((417-43)*MAX('Inputs'!$B$33,'Inputs'!$B$29+'Inputs'!$B$31+'Inputs'!$B$32,'Inputs'!$B$30+'Inputs'!$B$31+'Inputs'!$B$32)/1000+'Inputs'!$B$21+'Inputs'!$B$9+'Inputs'!$B$10)+'Inputs'!$B$7)^2+('Inputs'!$B$6/2)^2)-(((417-43)*MAX('Inputs'!$B$33,'Inputs'!$B$29+'Inputs'!$B$31+'Inputs'!$B$32,'Inputs'!$B$30+'Inputs'!$B$31+'Inputs'!$B$32)/1000+'Inputs'!$B$21+'Inputs'!$B$9+'Inputs'!$B$10))/SQRT((((417-43)*MAX('Inputs'!$B$33,'Inputs'!$B$29+'Inputs'!$B$31+'Inputs'!$B$32,'Inputs'!$B$30+'Inputs'!$B$31+'Inputs'!$B$32)/1000+'Inputs'!$B$21+'Inputs'!$B$9+'Inputs'!$B$10))^2+('Inputs'!$B$6/2)^2))))*'Results'!$B$8)-'Inputs'!$B$28*ABS((('Results'!C7*(1-'Inputs'!$B$24)*(0.5*((((417-43)*MAX('Inputs'!$B$33,'Inputs'!$B$29+'Inputs'!$B$31+'Inputs'!$B$32,'Inputs'!$B$30+'Inputs'!$B$31+'Inputs'!$B$32)/1000+'Inputs'!$B$21)+'Inputs'!$B$9)/SQRT((((417-43)*MAX('Inputs'!$B$33,'Inputs'!$B$29+'Inputs'!$B$31+'Inputs'!$B$32,'Inputs'!$B$30+'Inputs'!$B$31+'Inputs'!$B$32)/1000+'Inputs'!$B$21)+'Inputs'!$B$9)^2+('Inputs'!$B$8/2)^2)-(((417-43)*MAX('Inputs'!$B$33,'Inputs'!$B$29+'Inputs'!$B$31+'Inputs'!$B$32,'Inputs'!$B$30+'Inputs'!$B$31+'Inputs'!$B$32)/1000+'Inputs'!$B$21))/SQRT((((417-43)*MAX('Inputs'!$B$33,'Inputs'!$B$29+'Inputs'!$B$31+'Inputs'!$B$32,'Inputs'!$B$30+'Inputs'!$B$31+'Inputs'!$B$32)/1000+'Inputs'!$B$21))^2+('Inputs'!$B$8/2)^2)))-'Results'!B7*(1+'Inputs'!$B$24)*(0.5*((((417-43)*MAX('Inputs'!$B$33,'Inputs'!$B$29+'Inputs'!$B$31+'Inputs'!$B$32,'Inputs'!$B$30+'Inputs'!$B$31+'Inputs'!$B$32)/1000+'Inputs'!$B$21+'Inputs'!$B$9+'Inputs'!$B$10)+'Inputs'!$B$7)/SQRT((((417-43)*MAX('Inputs'!$B$33,'Inputs'!$B$29+'Inputs'!$B$31+'Inputs'!$B$32,'Inputs'!$B$30+'Inputs'!$B$31+'Inputs'!$B$32)/1000+'Inputs'!$B$21+'Inputs'!$B$9+'Inputs'!$B$10)+'Inputs'!$B$7)^2+('Inputs'!$B$6/2)^2)-(((417-43)*MAX('Inputs'!$B$33,'Inputs'!$B$29+'Inputs'!$B$31+'Inputs'!$B$32,'Inputs'!$B$30+'Inputs'!$B$31+'Inputs'!$B$32)/1000+'Inputs'!$B$21+'Inputs'!$B$9+'Inputs'!$B$10))/SQRT((((417-43)*MAX('Inputs'!$B$33,'Inputs'!$B$29+'Inputs'!$B$31+'Inputs'!$B$32,'Inputs'!$B$30+'Inputs'!$B$31+'Inputs'!$B$32)/1000+'Inputs'!$B$21+'Inputs'!$B$9+'Inputs'!$B$10))^2+('Inputs'!$B$6/2)^2))))*'Results'!$B$8))),"")</x:f>
        <x:v>9.324314644214597</x:v>
      </x:c>
      <x:c r="O417" t="n">
        <x:f>IF(AND(ISNUMBER('Results'!C7),ISNUMBER('Results'!B7),ISNUMBER('Results'!$B$8),ISNUMBER('Inputs'!$B$6),ISNUMBER('Inputs'!$B$7),ISNUMBER('Inputs'!$B$8),ISNUMBER('Inputs'!$B$9),ISNUMBER('Inputs'!$B$10),ISNUMBER('Inputs'!$B$21),ISNUMBER('Inputs'!$B$24),ISNUMBER('Inputs'!$B$28)),((('Results'!C7*(1+'Inputs'!$B$24)*(0.5*((((417-43)*MAX('Inputs'!$B$33,'Inputs'!$B$29+'Inputs'!$B$31+'Inputs'!$B$32,'Inputs'!$B$30+'Inputs'!$B$31+'Inputs'!$B$32)/1000+'Inputs'!$B$21)+'Inputs'!$B$9)/SQRT((((417-43)*MAX('Inputs'!$B$33,'Inputs'!$B$29+'Inputs'!$B$31+'Inputs'!$B$32,'Inputs'!$B$30+'Inputs'!$B$31+'Inputs'!$B$32)/1000+'Inputs'!$B$21)+'Inputs'!$B$9)^2+('Inputs'!$B$8/2)^2)-(((417-43)*MAX('Inputs'!$B$33,'Inputs'!$B$29+'Inputs'!$B$31+'Inputs'!$B$32,'Inputs'!$B$30+'Inputs'!$B$31+'Inputs'!$B$32)/1000+'Inputs'!$B$21))/SQRT((((417-43)*MAX('Inputs'!$B$33,'Inputs'!$B$29+'Inputs'!$B$31+'Inputs'!$B$32,'Inputs'!$B$30+'Inputs'!$B$31+'Inputs'!$B$32)/1000+'Inputs'!$B$21))^2+('Inputs'!$B$8/2)^2)))-'Results'!B7*(1-'Inputs'!$B$24)*(0.5*((((417-43)*MAX('Inputs'!$B$33,'Inputs'!$B$29+'Inputs'!$B$31+'Inputs'!$B$32,'Inputs'!$B$30+'Inputs'!$B$31+'Inputs'!$B$32)/1000+'Inputs'!$B$21+'Inputs'!$B$9+'Inputs'!$B$10)+'Inputs'!$B$7)/SQRT((((417-43)*MAX('Inputs'!$B$33,'Inputs'!$B$29+'Inputs'!$B$31+'Inputs'!$B$32,'Inputs'!$B$30+'Inputs'!$B$31+'Inputs'!$B$32)/1000+'Inputs'!$B$21+'Inputs'!$B$9+'Inputs'!$B$10)+'Inputs'!$B$7)^2+('Inputs'!$B$6/2)^2)-(((417-43)*MAX('Inputs'!$B$33,'Inputs'!$B$29+'Inputs'!$B$31+'Inputs'!$B$32,'Inputs'!$B$30+'Inputs'!$B$31+'Inputs'!$B$32)/1000+'Inputs'!$B$21+'Inputs'!$B$9+'Inputs'!$B$10))/SQRT((((417-43)*MAX('Inputs'!$B$33,'Inputs'!$B$29+'Inputs'!$B$31+'Inputs'!$B$32,'Inputs'!$B$30+'Inputs'!$B$31+'Inputs'!$B$32)/1000+'Inputs'!$B$21+'Inputs'!$B$9+'Inputs'!$B$10))^2+('Inputs'!$B$6/2)^2))))*'Results'!$B$8)+'Inputs'!$B$28*ABS((('Results'!C7*(1+'Inputs'!$B$24)*(0.5*((((417-43)*MAX('Inputs'!$B$33,'Inputs'!$B$29+'Inputs'!$B$31+'Inputs'!$B$32,'Inputs'!$B$30+'Inputs'!$B$31+'Inputs'!$B$32)/1000+'Inputs'!$B$21)+'Inputs'!$B$9)/SQRT((((417-43)*MAX('Inputs'!$B$33,'Inputs'!$B$29+'Inputs'!$B$31+'Inputs'!$B$32,'Inputs'!$B$30+'Inputs'!$B$31+'Inputs'!$B$32)/1000+'Inputs'!$B$21)+'Inputs'!$B$9)^2+('Inputs'!$B$8/2)^2)-(((417-43)*MAX('Inputs'!$B$33,'Inputs'!$B$29+'Inputs'!$B$31+'Inputs'!$B$32,'Inputs'!$B$30+'Inputs'!$B$31+'Inputs'!$B$32)/1000+'Inputs'!$B$21))/SQRT((((417-43)*MAX('Inputs'!$B$33,'Inputs'!$B$29+'Inputs'!$B$31+'Inputs'!$B$32,'Inputs'!$B$30+'Inputs'!$B$31+'Inputs'!$B$32)/1000+'Inputs'!$B$21))^2+('Inputs'!$B$8/2)^2)))-'Results'!B7*(1-'Inputs'!$B$24)*(0.5*((((417-43)*MAX('Inputs'!$B$33,'Inputs'!$B$29+'Inputs'!$B$31+'Inputs'!$B$32,'Inputs'!$B$30+'Inputs'!$B$31+'Inputs'!$B$32)/1000+'Inputs'!$B$21+'Inputs'!$B$9+'Inputs'!$B$10)+'Inputs'!$B$7)/SQRT((((417-43)*MAX('Inputs'!$B$33,'Inputs'!$B$29+'Inputs'!$B$31+'Inputs'!$B$32,'Inputs'!$B$30+'Inputs'!$B$31+'Inputs'!$B$32)/1000+'Inputs'!$B$21+'Inputs'!$B$9+'Inputs'!$B$10)+'Inputs'!$B$7)^2+('Inputs'!$B$6/2)^2)-(((417-43)*MAX('Inputs'!$B$33,'Inputs'!$B$29+'Inputs'!$B$31+'Inputs'!$B$32,'Inputs'!$B$30+'Inputs'!$B$31+'Inputs'!$B$32)/1000+'Inputs'!$B$21+'Inputs'!$B$9+'Inputs'!$B$10))/SQRT((((417-43)*MAX('Inputs'!$B$33,'Inputs'!$B$29+'Inputs'!$B$31+'Inputs'!$B$32,'Inputs'!$B$30+'Inputs'!$B$31+'Inputs'!$B$32)/1000+'Inputs'!$B$21+'Inputs'!$B$9+'Inputs'!$B$10))^2+('Inputs'!$B$6/2)^2))))*'Results'!$B$8))),"")</x:f>
        <x:v>11.565456025592182</x:v>
      </x:c>
      <x:c r="P417" t="n">
        <x:f>IF(AND(MAX(J417,J416)&gt;0,J417&gt;J416+0.00000001),1,0)</x:f>
        <x:v>0</x:v>
      </x:c>
      <x:c r="Q417" t="n">
        <x:f>IF(AND(MAX(K417,K416)&gt;0,K417&gt;K416+0.00000001),1,0)</x:f>
        <x:v>0</x:v>
      </x:c>
      <x:c r="R417" t="n">
        <x:f>IF(AND(MAX(L417,L416)&gt;0,L417&gt;L416+0.00000001),1,0)</x:f>
        <x:v>0</x:v>
      </x:c>
      <x:c r="S417" t="n">
        <x:f>IF(AND(MAX(M417,M416)&gt;0,M417&gt;M416+0.00000001),1,0)</x:f>
        <x:v>0</x:v>
      </x:c>
      <x:c r="T417" t="n">
        <x:f>IF(AND(MAX(N417,N416)&gt;0,N417&gt;N416+0.00000001),1,0)</x:f>
        <x:v>0</x:v>
      </x:c>
      <x:c r="U417" t="n">
        <x:f>IF(AND(MAX(O417,O416)&gt;0,O417&gt;O416+0.00000001),1,0)</x:f>
        <x:v>0</x:v>
      </x:c>
    </x:row>
    <x:row r="418">
      <x:c r="J418" t="n">
        <x:f>IF(AND(ISNUMBER('Results'!B7),ISNUMBER('Results'!C7),ISNUMBER('Results'!$B$8),ISNUMBER('Inputs'!$B$6),ISNUMBER('Inputs'!$B$7),ISNUMBER('Inputs'!$B$8),ISNUMBER('Inputs'!$B$9),ISNUMBER('Inputs'!$B$10),ISNUMBER('Inputs'!$B$21),ISNUMBER('Inputs'!$B$24),ISNUMBER('Inputs'!$B$28)),(('Results'!B7*(0.5*((((418-43)*MAX('Inputs'!$B$33,'Inputs'!$B$29+'Inputs'!$B$31+'Inputs'!$B$32,'Inputs'!$B$30+'Inputs'!$B$31+'Inputs'!$B$32)/1000+'Inputs'!$B$21)+'Inputs'!$B$7)/SQRT((((418-43)*MAX('Inputs'!$B$33,'Inputs'!$B$29+'Inputs'!$B$31+'Inputs'!$B$32,'Inputs'!$B$30+'Inputs'!$B$31+'Inputs'!$B$32)/1000+'Inputs'!$B$21)+'Inputs'!$B$7)^2+('Inputs'!$B$6/2)^2)-(((418-43)*MAX('Inputs'!$B$33,'Inputs'!$B$29+'Inputs'!$B$31+'Inputs'!$B$32,'Inputs'!$B$30+'Inputs'!$B$31+'Inputs'!$B$32)/1000+'Inputs'!$B$21))/SQRT((((418-43)*MAX('Inputs'!$B$33,'Inputs'!$B$29+'Inputs'!$B$31+'Inputs'!$B$32,'Inputs'!$B$30+'Inputs'!$B$31+'Inputs'!$B$32)/1000+'Inputs'!$B$21))^2+('Inputs'!$B$6/2)^2)))-'Results'!C7*(0.5*((((418-43)*MAX('Inputs'!$B$33,'Inputs'!$B$29+'Inputs'!$B$31+'Inputs'!$B$32,'Inputs'!$B$30+'Inputs'!$B$31+'Inputs'!$B$32)/1000+'Inputs'!$B$21+'Inputs'!$B$7+'Inputs'!$B$10)+'Inputs'!$B$9)/SQRT((((418-43)*MAX('Inputs'!$B$33,'Inputs'!$B$29+'Inputs'!$B$31+'Inputs'!$B$32,'Inputs'!$B$30+'Inputs'!$B$31+'Inputs'!$B$32)/1000+'Inputs'!$B$21+'Inputs'!$B$7+'Inputs'!$B$10)+'Inputs'!$B$9)^2+('Inputs'!$B$8/2)^2)-(((418-43)*MAX('Inputs'!$B$33,'Inputs'!$B$29+'Inputs'!$B$31+'Inputs'!$B$32,'Inputs'!$B$30+'Inputs'!$B$31+'Inputs'!$B$32)/1000+'Inputs'!$B$21+'Inputs'!$B$7+'Inputs'!$B$10))/SQRT((((418-43)*MAX('Inputs'!$B$33,'Inputs'!$B$29+'Inputs'!$B$31+'Inputs'!$B$32,'Inputs'!$B$30+'Inputs'!$B$31+'Inputs'!$B$32)/1000+'Inputs'!$B$21+'Inputs'!$B$7+'Inputs'!$B$10))^2+('Inputs'!$B$8/2)^2))))*'Results'!$B$8),"")</x:f>
        <x:v>10.927485457125558</x:v>
      </x:c>
      <x:c r="K418" t="n">
        <x:f>IF(AND(ISNUMBER('Results'!B7),ISNUMBER('Results'!C7),ISNUMBER('Results'!$B$8),ISNUMBER('Inputs'!$B$6),ISNUMBER('Inputs'!$B$7),ISNUMBER('Inputs'!$B$8),ISNUMBER('Inputs'!$B$9),ISNUMBER('Inputs'!$B$10),ISNUMBER('Inputs'!$B$21),ISNUMBER('Inputs'!$B$24),ISNUMBER('Inputs'!$B$28)),((('Results'!B7*(1-'Inputs'!$B$24)*(0.5*((((418-43)*MAX('Inputs'!$B$33,'Inputs'!$B$29+'Inputs'!$B$31+'Inputs'!$B$32,'Inputs'!$B$30+'Inputs'!$B$31+'Inputs'!$B$32)/1000+'Inputs'!$B$21)+'Inputs'!$B$7)/SQRT((((418-43)*MAX('Inputs'!$B$33,'Inputs'!$B$29+'Inputs'!$B$31+'Inputs'!$B$32,'Inputs'!$B$30+'Inputs'!$B$31+'Inputs'!$B$32)/1000+'Inputs'!$B$21)+'Inputs'!$B$7)^2+('Inputs'!$B$6/2)^2)-(((418-43)*MAX('Inputs'!$B$33,'Inputs'!$B$29+'Inputs'!$B$31+'Inputs'!$B$32,'Inputs'!$B$30+'Inputs'!$B$31+'Inputs'!$B$32)/1000+'Inputs'!$B$21))/SQRT((((418-43)*MAX('Inputs'!$B$33,'Inputs'!$B$29+'Inputs'!$B$31+'Inputs'!$B$32,'Inputs'!$B$30+'Inputs'!$B$31+'Inputs'!$B$32)/1000+'Inputs'!$B$21))^2+('Inputs'!$B$6/2)^2)))-'Results'!C7*(1+'Inputs'!$B$24)*(0.5*((((418-43)*MAX('Inputs'!$B$33,'Inputs'!$B$29+'Inputs'!$B$31+'Inputs'!$B$32,'Inputs'!$B$30+'Inputs'!$B$31+'Inputs'!$B$32)/1000+'Inputs'!$B$21+'Inputs'!$B$7+'Inputs'!$B$10)+'Inputs'!$B$9)/SQRT((((418-43)*MAX('Inputs'!$B$33,'Inputs'!$B$29+'Inputs'!$B$31+'Inputs'!$B$32,'Inputs'!$B$30+'Inputs'!$B$31+'Inputs'!$B$32)/1000+'Inputs'!$B$21+'Inputs'!$B$7+'Inputs'!$B$10)+'Inputs'!$B$9)^2+('Inputs'!$B$8/2)^2)-(((418-43)*MAX('Inputs'!$B$33,'Inputs'!$B$29+'Inputs'!$B$31+'Inputs'!$B$32,'Inputs'!$B$30+'Inputs'!$B$31+'Inputs'!$B$32)/1000+'Inputs'!$B$21+'Inputs'!$B$7+'Inputs'!$B$10))/SQRT((((418-43)*MAX('Inputs'!$B$33,'Inputs'!$B$29+'Inputs'!$B$31+'Inputs'!$B$32,'Inputs'!$B$30+'Inputs'!$B$31+'Inputs'!$B$32)/1000+'Inputs'!$B$21+'Inputs'!$B$7+'Inputs'!$B$10))^2+('Inputs'!$B$8/2)^2))))*'Results'!$B$8)-'Inputs'!$B$28*ABS((('Results'!B7*(1-'Inputs'!$B$24)*(0.5*((((418-43)*MAX('Inputs'!$B$33,'Inputs'!$B$29+'Inputs'!$B$31+'Inputs'!$B$32,'Inputs'!$B$30+'Inputs'!$B$31+'Inputs'!$B$32)/1000+'Inputs'!$B$21)+'Inputs'!$B$7)/SQRT((((418-43)*MAX('Inputs'!$B$33,'Inputs'!$B$29+'Inputs'!$B$31+'Inputs'!$B$32,'Inputs'!$B$30+'Inputs'!$B$31+'Inputs'!$B$32)/1000+'Inputs'!$B$21)+'Inputs'!$B$7)^2+('Inputs'!$B$6/2)^2)-(((418-43)*MAX('Inputs'!$B$33,'Inputs'!$B$29+'Inputs'!$B$31+'Inputs'!$B$32,'Inputs'!$B$30+'Inputs'!$B$31+'Inputs'!$B$32)/1000+'Inputs'!$B$21))/SQRT((((418-43)*MAX('Inputs'!$B$33,'Inputs'!$B$29+'Inputs'!$B$31+'Inputs'!$B$32,'Inputs'!$B$30+'Inputs'!$B$31+'Inputs'!$B$32)/1000+'Inputs'!$B$21))^2+('Inputs'!$B$6/2)^2)))-'Results'!C7*(1+'Inputs'!$B$24)*(0.5*((((418-43)*MAX('Inputs'!$B$33,'Inputs'!$B$29+'Inputs'!$B$31+'Inputs'!$B$32,'Inputs'!$B$30+'Inputs'!$B$31+'Inputs'!$B$32)/1000+'Inputs'!$B$21+'Inputs'!$B$7+'Inputs'!$B$10)+'Inputs'!$B$9)/SQRT((((418-43)*MAX('Inputs'!$B$33,'Inputs'!$B$29+'Inputs'!$B$31+'Inputs'!$B$32,'Inputs'!$B$30+'Inputs'!$B$31+'Inputs'!$B$32)/1000+'Inputs'!$B$21+'Inputs'!$B$7+'Inputs'!$B$10)+'Inputs'!$B$9)^2+('Inputs'!$B$8/2)^2)-(((418-43)*MAX('Inputs'!$B$33,'Inputs'!$B$29+'Inputs'!$B$31+'Inputs'!$B$32,'Inputs'!$B$30+'Inputs'!$B$31+'Inputs'!$B$32)/1000+'Inputs'!$B$21+'Inputs'!$B$7+'Inputs'!$B$10))/SQRT((((418-43)*MAX('Inputs'!$B$33,'Inputs'!$B$29+'Inputs'!$B$31+'Inputs'!$B$32,'Inputs'!$B$30+'Inputs'!$B$31+'Inputs'!$B$32)/1000+'Inputs'!$B$21+'Inputs'!$B$7+'Inputs'!$B$10))^2+('Inputs'!$B$8/2)^2))))*'Results'!$B$8))),"")</x:f>
        <x:v>9.811071432650271</x:v>
      </x:c>
      <x:c r="L418" t="n">
        <x:f>IF(AND(ISNUMBER('Results'!B7),ISNUMBER('Results'!C7),ISNUMBER('Results'!$B$8),ISNUMBER('Inputs'!$B$6),ISNUMBER('Inputs'!$B$7),ISNUMBER('Inputs'!$B$8),ISNUMBER('Inputs'!$B$9),ISNUMBER('Inputs'!$B$10),ISNUMBER('Inputs'!$B$21),ISNUMBER('Inputs'!$B$24),ISNUMBER('Inputs'!$B$28)),((('Results'!B7*(1+'Inputs'!$B$24)*(0.5*((((418-43)*MAX('Inputs'!$B$33,'Inputs'!$B$29+'Inputs'!$B$31+'Inputs'!$B$32,'Inputs'!$B$30+'Inputs'!$B$31+'Inputs'!$B$32)/1000+'Inputs'!$B$21)+'Inputs'!$B$7)/SQRT((((418-43)*MAX('Inputs'!$B$33,'Inputs'!$B$29+'Inputs'!$B$31+'Inputs'!$B$32,'Inputs'!$B$30+'Inputs'!$B$31+'Inputs'!$B$32)/1000+'Inputs'!$B$21)+'Inputs'!$B$7)^2+('Inputs'!$B$6/2)^2)-(((418-43)*MAX('Inputs'!$B$33,'Inputs'!$B$29+'Inputs'!$B$31+'Inputs'!$B$32,'Inputs'!$B$30+'Inputs'!$B$31+'Inputs'!$B$32)/1000+'Inputs'!$B$21))/SQRT((((418-43)*MAX('Inputs'!$B$33,'Inputs'!$B$29+'Inputs'!$B$31+'Inputs'!$B$32,'Inputs'!$B$30+'Inputs'!$B$31+'Inputs'!$B$32)/1000+'Inputs'!$B$21))^2+('Inputs'!$B$6/2)^2)))-'Results'!C7*(1-'Inputs'!$B$24)*(0.5*((((418-43)*MAX('Inputs'!$B$33,'Inputs'!$B$29+'Inputs'!$B$31+'Inputs'!$B$32,'Inputs'!$B$30+'Inputs'!$B$31+'Inputs'!$B$32)/1000+'Inputs'!$B$21+'Inputs'!$B$7+'Inputs'!$B$10)+'Inputs'!$B$9)/SQRT((((418-43)*MAX('Inputs'!$B$33,'Inputs'!$B$29+'Inputs'!$B$31+'Inputs'!$B$32,'Inputs'!$B$30+'Inputs'!$B$31+'Inputs'!$B$32)/1000+'Inputs'!$B$21+'Inputs'!$B$7+'Inputs'!$B$10)+'Inputs'!$B$9)^2+('Inputs'!$B$8/2)^2)-(((418-43)*MAX('Inputs'!$B$33,'Inputs'!$B$29+'Inputs'!$B$31+'Inputs'!$B$32,'Inputs'!$B$30+'Inputs'!$B$31+'Inputs'!$B$32)/1000+'Inputs'!$B$21+'Inputs'!$B$7+'Inputs'!$B$10))/SQRT((((418-43)*MAX('Inputs'!$B$33,'Inputs'!$B$29+'Inputs'!$B$31+'Inputs'!$B$32,'Inputs'!$B$30+'Inputs'!$B$31+'Inputs'!$B$32)/1000+'Inputs'!$B$21+'Inputs'!$B$7+'Inputs'!$B$10))^2+('Inputs'!$B$8/2)^2))))*'Results'!$B$8)+'Inputs'!$B$28*ABS((('Results'!B7*(1+'Inputs'!$B$24)*(0.5*((((418-43)*MAX('Inputs'!$B$33,'Inputs'!$B$29+'Inputs'!$B$31+'Inputs'!$B$32,'Inputs'!$B$30+'Inputs'!$B$31+'Inputs'!$B$32)/1000+'Inputs'!$B$21)+'Inputs'!$B$7)/SQRT((((418-43)*MAX('Inputs'!$B$33,'Inputs'!$B$29+'Inputs'!$B$31+'Inputs'!$B$32,'Inputs'!$B$30+'Inputs'!$B$31+'Inputs'!$B$32)/1000+'Inputs'!$B$21)+'Inputs'!$B$7)^2+('Inputs'!$B$6/2)^2)-(((418-43)*MAX('Inputs'!$B$33,'Inputs'!$B$29+'Inputs'!$B$31+'Inputs'!$B$32,'Inputs'!$B$30+'Inputs'!$B$31+'Inputs'!$B$32)/1000+'Inputs'!$B$21))/SQRT((((418-43)*MAX('Inputs'!$B$33,'Inputs'!$B$29+'Inputs'!$B$31+'Inputs'!$B$32,'Inputs'!$B$30+'Inputs'!$B$31+'Inputs'!$B$32)/1000+'Inputs'!$B$21))^2+('Inputs'!$B$6/2)^2)))-'Results'!C7*(1-'Inputs'!$B$24)*(0.5*((((418-43)*MAX('Inputs'!$B$33,'Inputs'!$B$29+'Inputs'!$B$31+'Inputs'!$B$32,'Inputs'!$B$30+'Inputs'!$B$31+'Inputs'!$B$32)/1000+'Inputs'!$B$21+'Inputs'!$B$7+'Inputs'!$B$10)+'Inputs'!$B$9)/SQRT((((418-43)*MAX('Inputs'!$B$33,'Inputs'!$B$29+'Inputs'!$B$31+'Inputs'!$B$32,'Inputs'!$B$30+'Inputs'!$B$31+'Inputs'!$B$32)/1000+'Inputs'!$B$21+'Inputs'!$B$7+'Inputs'!$B$10)+'Inputs'!$B$9)^2+('Inputs'!$B$8/2)^2)-(((418-43)*MAX('Inputs'!$B$33,'Inputs'!$B$29+'Inputs'!$B$31+'Inputs'!$B$32,'Inputs'!$B$30+'Inputs'!$B$31+'Inputs'!$B$32)/1000+'Inputs'!$B$21+'Inputs'!$B$7+'Inputs'!$B$10))/SQRT((((418-43)*MAX('Inputs'!$B$33,'Inputs'!$B$29+'Inputs'!$B$31+'Inputs'!$B$32,'Inputs'!$B$30+'Inputs'!$B$31+'Inputs'!$B$32)/1000+'Inputs'!$B$21+'Inputs'!$B$7+'Inputs'!$B$10))^2+('Inputs'!$B$8/2)^2))))*'Results'!$B$8))),"")</x:f>
        <x:v>12.103903665981795</x:v>
      </x:c>
      <x:c r="M418" t="n">
        <x:f>IF(AND(ISNUMBER('Results'!C7),ISNUMBER('Results'!B7),ISNUMBER('Results'!$B$8),ISNUMBER('Inputs'!$B$6),ISNUMBER('Inputs'!$B$7),ISNUMBER('Inputs'!$B$8),ISNUMBER('Inputs'!$B$9),ISNUMBER('Inputs'!$B$10),ISNUMBER('Inputs'!$B$21),ISNUMBER('Inputs'!$B$24),ISNUMBER('Inputs'!$B$28)),(('Results'!C7*(0.5*((((418-43)*MAX('Inputs'!$B$33,'Inputs'!$B$29+'Inputs'!$B$31+'Inputs'!$B$32,'Inputs'!$B$30+'Inputs'!$B$31+'Inputs'!$B$32)/1000+'Inputs'!$B$21)+'Inputs'!$B$9)/SQRT((((418-43)*MAX('Inputs'!$B$33,'Inputs'!$B$29+'Inputs'!$B$31+'Inputs'!$B$32,'Inputs'!$B$30+'Inputs'!$B$31+'Inputs'!$B$32)/1000+'Inputs'!$B$21)+'Inputs'!$B$9)^2+('Inputs'!$B$8/2)^2)-(((418-43)*MAX('Inputs'!$B$33,'Inputs'!$B$29+'Inputs'!$B$31+'Inputs'!$B$32,'Inputs'!$B$30+'Inputs'!$B$31+'Inputs'!$B$32)/1000+'Inputs'!$B$21))/SQRT((((418-43)*MAX('Inputs'!$B$33,'Inputs'!$B$29+'Inputs'!$B$31+'Inputs'!$B$32,'Inputs'!$B$30+'Inputs'!$B$31+'Inputs'!$B$32)/1000+'Inputs'!$B$21))^2+('Inputs'!$B$8/2)^2)))-'Results'!B7*(0.5*((((418-43)*MAX('Inputs'!$B$33,'Inputs'!$B$29+'Inputs'!$B$31+'Inputs'!$B$32,'Inputs'!$B$30+'Inputs'!$B$31+'Inputs'!$B$32)/1000+'Inputs'!$B$21+'Inputs'!$B$9+'Inputs'!$B$10)+'Inputs'!$B$7)/SQRT((((418-43)*MAX('Inputs'!$B$33,'Inputs'!$B$29+'Inputs'!$B$31+'Inputs'!$B$32,'Inputs'!$B$30+'Inputs'!$B$31+'Inputs'!$B$32)/1000+'Inputs'!$B$21+'Inputs'!$B$9+'Inputs'!$B$10)+'Inputs'!$B$7)^2+('Inputs'!$B$6/2)^2)-(((418-43)*MAX('Inputs'!$B$33,'Inputs'!$B$29+'Inputs'!$B$31+'Inputs'!$B$32,'Inputs'!$B$30+'Inputs'!$B$31+'Inputs'!$B$32)/1000+'Inputs'!$B$21+'Inputs'!$B$9+'Inputs'!$B$10))/SQRT((((418-43)*MAX('Inputs'!$B$33,'Inputs'!$B$29+'Inputs'!$B$31+'Inputs'!$B$32,'Inputs'!$B$30+'Inputs'!$B$31+'Inputs'!$B$32)/1000+'Inputs'!$B$21+'Inputs'!$B$9+'Inputs'!$B$10))^2+('Inputs'!$B$6/2)^2))))*'Results'!$B$8),"")</x:f>
        <x:v>10.32355083643172</x:v>
      </x:c>
      <x:c r="N418" t="n">
        <x:f>IF(AND(ISNUMBER('Results'!C7),ISNUMBER('Results'!B7),ISNUMBER('Results'!$B$8),ISNUMBER('Inputs'!$B$6),ISNUMBER('Inputs'!$B$7),ISNUMBER('Inputs'!$B$8),ISNUMBER('Inputs'!$B$9),ISNUMBER('Inputs'!$B$10),ISNUMBER('Inputs'!$B$21),ISNUMBER('Inputs'!$B$24),ISNUMBER('Inputs'!$B$28)),((('Results'!C7*(1-'Inputs'!$B$24)*(0.5*((((418-43)*MAX('Inputs'!$B$33,'Inputs'!$B$29+'Inputs'!$B$31+'Inputs'!$B$32,'Inputs'!$B$30+'Inputs'!$B$31+'Inputs'!$B$32)/1000+'Inputs'!$B$21)+'Inputs'!$B$9)/SQRT((((418-43)*MAX('Inputs'!$B$33,'Inputs'!$B$29+'Inputs'!$B$31+'Inputs'!$B$32,'Inputs'!$B$30+'Inputs'!$B$31+'Inputs'!$B$32)/1000+'Inputs'!$B$21)+'Inputs'!$B$9)^2+('Inputs'!$B$8/2)^2)-(((418-43)*MAX('Inputs'!$B$33,'Inputs'!$B$29+'Inputs'!$B$31+'Inputs'!$B$32,'Inputs'!$B$30+'Inputs'!$B$31+'Inputs'!$B$32)/1000+'Inputs'!$B$21))/SQRT((((418-43)*MAX('Inputs'!$B$33,'Inputs'!$B$29+'Inputs'!$B$31+'Inputs'!$B$32,'Inputs'!$B$30+'Inputs'!$B$31+'Inputs'!$B$32)/1000+'Inputs'!$B$21))^2+('Inputs'!$B$8/2)^2)))-'Results'!B7*(1+'Inputs'!$B$24)*(0.5*((((418-43)*MAX('Inputs'!$B$33,'Inputs'!$B$29+'Inputs'!$B$31+'Inputs'!$B$32,'Inputs'!$B$30+'Inputs'!$B$31+'Inputs'!$B$32)/1000+'Inputs'!$B$21+'Inputs'!$B$9+'Inputs'!$B$10)+'Inputs'!$B$7)/SQRT((((418-43)*MAX('Inputs'!$B$33,'Inputs'!$B$29+'Inputs'!$B$31+'Inputs'!$B$32,'Inputs'!$B$30+'Inputs'!$B$31+'Inputs'!$B$32)/1000+'Inputs'!$B$21+'Inputs'!$B$9+'Inputs'!$B$10)+'Inputs'!$B$7)^2+('Inputs'!$B$6/2)^2)-(((418-43)*MAX('Inputs'!$B$33,'Inputs'!$B$29+'Inputs'!$B$31+'Inputs'!$B$32,'Inputs'!$B$30+'Inputs'!$B$31+'Inputs'!$B$32)/1000+'Inputs'!$B$21+'Inputs'!$B$9+'Inputs'!$B$10))/SQRT((((418-43)*MAX('Inputs'!$B$33,'Inputs'!$B$29+'Inputs'!$B$31+'Inputs'!$B$32,'Inputs'!$B$30+'Inputs'!$B$31+'Inputs'!$B$32)/1000+'Inputs'!$B$21+'Inputs'!$B$9+'Inputs'!$B$10))^2+('Inputs'!$B$6/2)^2))))*'Results'!$B$8)-'Inputs'!$B$28*ABS((('Results'!C7*(1-'Inputs'!$B$24)*(0.5*((((418-43)*MAX('Inputs'!$B$33,'Inputs'!$B$29+'Inputs'!$B$31+'Inputs'!$B$32,'Inputs'!$B$30+'Inputs'!$B$31+'Inputs'!$B$32)/1000+'Inputs'!$B$21)+'Inputs'!$B$9)/SQRT((((418-43)*MAX('Inputs'!$B$33,'Inputs'!$B$29+'Inputs'!$B$31+'Inputs'!$B$32,'Inputs'!$B$30+'Inputs'!$B$31+'Inputs'!$B$32)/1000+'Inputs'!$B$21)+'Inputs'!$B$9)^2+('Inputs'!$B$8/2)^2)-(((418-43)*MAX('Inputs'!$B$33,'Inputs'!$B$29+'Inputs'!$B$31+'Inputs'!$B$32,'Inputs'!$B$30+'Inputs'!$B$31+'Inputs'!$B$32)/1000+'Inputs'!$B$21))/SQRT((((418-43)*MAX('Inputs'!$B$33,'Inputs'!$B$29+'Inputs'!$B$31+'Inputs'!$B$32,'Inputs'!$B$30+'Inputs'!$B$31+'Inputs'!$B$32)/1000+'Inputs'!$B$21))^2+('Inputs'!$B$8/2)^2)))-'Results'!B7*(1+'Inputs'!$B$24)*(0.5*((((418-43)*MAX('Inputs'!$B$33,'Inputs'!$B$29+'Inputs'!$B$31+'Inputs'!$B$32,'Inputs'!$B$30+'Inputs'!$B$31+'Inputs'!$B$32)/1000+'Inputs'!$B$21+'Inputs'!$B$9+'Inputs'!$B$10)+'Inputs'!$B$7)/SQRT((((418-43)*MAX('Inputs'!$B$33,'Inputs'!$B$29+'Inputs'!$B$31+'Inputs'!$B$32,'Inputs'!$B$30+'Inputs'!$B$31+'Inputs'!$B$32)/1000+'Inputs'!$B$21+'Inputs'!$B$9+'Inputs'!$B$10)+'Inputs'!$B$7)^2+('Inputs'!$B$6/2)^2)-(((418-43)*MAX('Inputs'!$B$33,'Inputs'!$B$29+'Inputs'!$B$31+'Inputs'!$B$32,'Inputs'!$B$30+'Inputs'!$B$31+'Inputs'!$B$32)/1000+'Inputs'!$B$21+'Inputs'!$B$9+'Inputs'!$B$10))/SQRT((((418-43)*MAX('Inputs'!$B$33,'Inputs'!$B$29+'Inputs'!$B$31+'Inputs'!$B$32,'Inputs'!$B$30+'Inputs'!$B$31+'Inputs'!$B$32)/1000+'Inputs'!$B$21+'Inputs'!$B$9+'Inputs'!$B$10))^2+('Inputs'!$B$6/2)^2))))*'Results'!$B$8))),"")</x:f>
        <x:v>9.241412024704028</x:v>
      </x:c>
      <x:c r="O418" t="n">
        <x:f>IF(AND(ISNUMBER('Results'!C7),ISNUMBER('Results'!B7),ISNUMBER('Results'!$B$8),ISNUMBER('Inputs'!$B$6),ISNUMBER('Inputs'!$B$7),ISNUMBER('Inputs'!$B$8),ISNUMBER('Inputs'!$B$9),ISNUMBER('Inputs'!$B$10),ISNUMBER('Inputs'!$B$21),ISNUMBER('Inputs'!$B$24),ISNUMBER('Inputs'!$B$28)),((('Results'!C7*(1+'Inputs'!$B$24)*(0.5*((((418-43)*MAX('Inputs'!$B$33,'Inputs'!$B$29+'Inputs'!$B$31+'Inputs'!$B$32,'Inputs'!$B$30+'Inputs'!$B$31+'Inputs'!$B$32)/1000+'Inputs'!$B$21)+'Inputs'!$B$9)/SQRT((((418-43)*MAX('Inputs'!$B$33,'Inputs'!$B$29+'Inputs'!$B$31+'Inputs'!$B$32,'Inputs'!$B$30+'Inputs'!$B$31+'Inputs'!$B$32)/1000+'Inputs'!$B$21)+'Inputs'!$B$9)^2+('Inputs'!$B$8/2)^2)-(((418-43)*MAX('Inputs'!$B$33,'Inputs'!$B$29+'Inputs'!$B$31+'Inputs'!$B$32,'Inputs'!$B$30+'Inputs'!$B$31+'Inputs'!$B$32)/1000+'Inputs'!$B$21))/SQRT((((418-43)*MAX('Inputs'!$B$33,'Inputs'!$B$29+'Inputs'!$B$31+'Inputs'!$B$32,'Inputs'!$B$30+'Inputs'!$B$31+'Inputs'!$B$32)/1000+'Inputs'!$B$21))^2+('Inputs'!$B$8/2)^2)))-'Results'!B7*(1-'Inputs'!$B$24)*(0.5*((((418-43)*MAX('Inputs'!$B$33,'Inputs'!$B$29+'Inputs'!$B$31+'Inputs'!$B$32,'Inputs'!$B$30+'Inputs'!$B$31+'Inputs'!$B$32)/1000+'Inputs'!$B$21+'Inputs'!$B$9+'Inputs'!$B$10)+'Inputs'!$B$7)/SQRT((((418-43)*MAX('Inputs'!$B$33,'Inputs'!$B$29+'Inputs'!$B$31+'Inputs'!$B$32,'Inputs'!$B$30+'Inputs'!$B$31+'Inputs'!$B$32)/1000+'Inputs'!$B$21+'Inputs'!$B$9+'Inputs'!$B$10)+'Inputs'!$B$7)^2+('Inputs'!$B$6/2)^2)-(((418-43)*MAX('Inputs'!$B$33,'Inputs'!$B$29+'Inputs'!$B$31+'Inputs'!$B$32,'Inputs'!$B$30+'Inputs'!$B$31+'Inputs'!$B$32)/1000+'Inputs'!$B$21+'Inputs'!$B$9+'Inputs'!$B$10))/SQRT((((418-43)*MAX('Inputs'!$B$33,'Inputs'!$B$29+'Inputs'!$B$31+'Inputs'!$B$32,'Inputs'!$B$30+'Inputs'!$B$31+'Inputs'!$B$32)/1000+'Inputs'!$B$21+'Inputs'!$B$9+'Inputs'!$B$10))^2+('Inputs'!$B$6/2)^2))))*'Results'!$B$8)+'Inputs'!$B$28*ABS((('Results'!C7*(1+'Inputs'!$B$24)*(0.5*((((418-43)*MAX('Inputs'!$B$33,'Inputs'!$B$29+'Inputs'!$B$31+'Inputs'!$B$32,'Inputs'!$B$30+'Inputs'!$B$31+'Inputs'!$B$32)/1000+'Inputs'!$B$21)+'Inputs'!$B$9)/SQRT((((418-43)*MAX('Inputs'!$B$33,'Inputs'!$B$29+'Inputs'!$B$31+'Inputs'!$B$32,'Inputs'!$B$30+'Inputs'!$B$31+'Inputs'!$B$32)/1000+'Inputs'!$B$21)+'Inputs'!$B$9)^2+('Inputs'!$B$8/2)^2)-(((418-43)*MAX('Inputs'!$B$33,'Inputs'!$B$29+'Inputs'!$B$31+'Inputs'!$B$32,'Inputs'!$B$30+'Inputs'!$B$31+'Inputs'!$B$32)/1000+'Inputs'!$B$21))/SQRT((((418-43)*MAX('Inputs'!$B$33,'Inputs'!$B$29+'Inputs'!$B$31+'Inputs'!$B$32,'Inputs'!$B$30+'Inputs'!$B$31+'Inputs'!$B$32)/1000+'Inputs'!$B$21))^2+('Inputs'!$B$8/2)^2)))-'Results'!B7*(1-'Inputs'!$B$24)*(0.5*((((418-43)*MAX('Inputs'!$B$33,'Inputs'!$B$29+'Inputs'!$B$31+'Inputs'!$B$32,'Inputs'!$B$30+'Inputs'!$B$31+'Inputs'!$B$32)/1000+'Inputs'!$B$21+'Inputs'!$B$9+'Inputs'!$B$10)+'Inputs'!$B$7)/SQRT((((418-43)*MAX('Inputs'!$B$33,'Inputs'!$B$29+'Inputs'!$B$31+'Inputs'!$B$32,'Inputs'!$B$30+'Inputs'!$B$31+'Inputs'!$B$32)/1000+'Inputs'!$B$21+'Inputs'!$B$9+'Inputs'!$B$10)+'Inputs'!$B$7)^2+('Inputs'!$B$6/2)^2)-(((418-43)*MAX('Inputs'!$B$33,'Inputs'!$B$29+'Inputs'!$B$31+'Inputs'!$B$32,'Inputs'!$B$30+'Inputs'!$B$31+'Inputs'!$B$32)/1000+'Inputs'!$B$21+'Inputs'!$B$9+'Inputs'!$B$10))/SQRT((((418-43)*MAX('Inputs'!$B$33,'Inputs'!$B$29+'Inputs'!$B$31+'Inputs'!$B$32,'Inputs'!$B$30+'Inputs'!$B$31+'Inputs'!$B$32)/1000+'Inputs'!$B$21+'Inputs'!$B$9+'Inputs'!$B$10))^2+('Inputs'!$B$6/2)^2))))*'Results'!$B$8))),"")</x:f>
        <x:v>11.465264518675843</x:v>
      </x:c>
      <x:c r="P418" t="n">
        <x:f>IF(AND(MAX(J418,J417)&gt;0,J418&gt;J417+0.00000001),1,0)</x:f>
        <x:v>0</x:v>
      </x:c>
      <x:c r="Q418" t="n">
        <x:f>IF(AND(MAX(K418,K417)&gt;0,K418&gt;K417+0.00000001),1,0)</x:f>
        <x:v>0</x:v>
      </x:c>
      <x:c r="R418" t="n">
        <x:f>IF(AND(MAX(L418,L417)&gt;0,L418&gt;L417+0.00000001),1,0)</x:f>
        <x:v>0</x:v>
      </x:c>
      <x:c r="S418" t="n">
        <x:f>IF(AND(MAX(M418,M417)&gt;0,M418&gt;M417+0.00000001),1,0)</x:f>
        <x:v>0</x:v>
      </x:c>
      <x:c r="T418" t="n">
        <x:f>IF(AND(MAX(N418,N417)&gt;0,N418&gt;N417+0.00000001),1,0)</x:f>
        <x:v>0</x:v>
      </x:c>
      <x:c r="U418" t="n">
        <x:f>IF(AND(MAX(O418,O417)&gt;0,O418&gt;O417+0.00000001),1,0)</x:f>
        <x:v>0</x:v>
      </x:c>
    </x:row>
    <x:row r="419">
      <x:c r="J419" t="n">
        <x:f>IF(AND(ISNUMBER('Results'!B7),ISNUMBER('Results'!C7),ISNUMBER('Results'!$B$8),ISNUMBER('Inputs'!$B$6),ISNUMBER('Inputs'!$B$7),ISNUMBER('Inputs'!$B$8),ISNUMBER('Inputs'!$B$9),ISNUMBER('Inputs'!$B$10),ISNUMBER('Inputs'!$B$21),ISNUMBER('Inputs'!$B$24),ISNUMBER('Inputs'!$B$28)),(('Results'!B7*(0.5*((((419-43)*MAX('Inputs'!$B$33,'Inputs'!$B$29+'Inputs'!$B$31+'Inputs'!$B$32,'Inputs'!$B$30+'Inputs'!$B$31+'Inputs'!$B$32)/1000+'Inputs'!$B$21)+'Inputs'!$B$7)/SQRT((((419-43)*MAX('Inputs'!$B$33,'Inputs'!$B$29+'Inputs'!$B$31+'Inputs'!$B$32,'Inputs'!$B$30+'Inputs'!$B$31+'Inputs'!$B$32)/1000+'Inputs'!$B$21)+'Inputs'!$B$7)^2+('Inputs'!$B$6/2)^2)-(((419-43)*MAX('Inputs'!$B$33,'Inputs'!$B$29+'Inputs'!$B$31+'Inputs'!$B$32,'Inputs'!$B$30+'Inputs'!$B$31+'Inputs'!$B$32)/1000+'Inputs'!$B$21))/SQRT((((419-43)*MAX('Inputs'!$B$33,'Inputs'!$B$29+'Inputs'!$B$31+'Inputs'!$B$32,'Inputs'!$B$30+'Inputs'!$B$31+'Inputs'!$B$32)/1000+'Inputs'!$B$21))^2+('Inputs'!$B$6/2)^2)))-'Results'!C7*(0.5*((((419-43)*MAX('Inputs'!$B$33,'Inputs'!$B$29+'Inputs'!$B$31+'Inputs'!$B$32,'Inputs'!$B$30+'Inputs'!$B$31+'Inputs'!$B$32)/1000+'Inputs'!$B$21+'Inputs'!$B$7+'Inputs'!$B$10)+'Inputs'!$B$9)/SQRT((((419-43)*MAX('Inputs'!$B$33,'Inputs'!$B$29+'Inputs'!$B$31+'Inputs'!$B$32,'Inputs'!$B$30+'Inputs'!$B$31+'Inputs'!$B$32)/1000+'Inputs'!$B$21+'Inputs'!$B$7+'Inputs'!$B$10)+'Inputs'!$B$9)^2+('Inputs'!$B$8/2)^2)-(((419-43)*MAX('Inputs'!$B$33,'Inputs'!$B$29+'Inputs'!$B$31+'Inputs'!$B$32,'Inputs'!$B$30+'Inputs'!$B$31+'Inputs'!$B$32)/1000+'Inputs'!$B$21+'Inputs'!$B$7+'Inputs'!$B$10))/SQRT((((419-43)*MAX('Inputs'!$B$33,'Inputs'!$B$29+'Inputs'!$B$31+'Inputs'!$B$32,'Inputs'!$B$30+'Inputs'!$B$31+'Inputs'!$B$32)/1000+'Inputs'!$B$21+'Inputs'!$B$7+'Inputs'!$B$10))^2+('Inputs'!$B$8/2)^2))))*'Results'!$B$8),"")</x:f>
        <x:v>10.833035218997281</x:v>
      </x:c>
      <x:c r="K419" t="n">
        <x:f>IF(AND(ISNUMBER('Results'!B7),ISNUMBER('Results'!C7),ISNUMBER('Results'!$B$8),ISNUMBER('Inputs'!$B$6),ISNUMBER('Inputs'!$B$7),ISNUMBER('Inputs'!$B$8),ISNUMBER('Inputs'!$B$9),ISNUMBER('Inputs'!$B$10),ISNUMBER('Inputs'!$B$21),ISNUMBER('Inputs'!$B$24),ISNUMBER('Inputs'!$B$28)),((('Results'!B7*(1-'Inputs'!$B$24)*(0.5*((((419-43)*MAX('Inputs'!$B$33,'Inputs'!$B$29+'Inputs'!$B$31+'Inputs'!$B$32,'Inputs'!$B$30+'Inputs'!$B$31+'Inputs'!$B$32)/1000+'Inputs'!$B$21)+'Inputs'!$B$7)/SQRT((((419-43)*MAX('Inputs'!$B$33,'Inputs'!$B$29+'Inputs'!$B$31+'Inputs'!$B$32,'Inputs'!$B$30+'Inputs'!$B$31+'Inputs'!$B$32)/1000+'Inputs'!$B$21)+'Inputs'!$B$7)^2+('Inputs'!$B$6/2)^2)-(((419-43)*MAX('Inputs'!$B$33,'Inputs'!$B$29+'Inputs'!$B$31+'Inputs'!$B$32,'Inputs'!$B$30+'Inputs'!$B$31+'Inputs'!$B$32)/1000+'Inputs'!$B$21))/SQRT((((419-43)*MAX('Inputs'!$B$33,'Inputs'!$B$29+'Inputs'!$B$31+'Inputs'!$B$32,'Inputs'!$B$30+'Inputs'!$B$31+'Inputs'!$B$32)/1000+'Inputs'!$B$21))^2+('Inputs'!$B$6/2)^2)))-'Results'!C7*(1+'Inputs'!$B$24)*(0.5*((((419-43)*MAX('Inputs'!$B$33,'Inputs'!$B$29+'Inputs'!$B$31+'Inputs'!$B$32,'Inputs'!$B$30+'Inputs'!$B$31+'Inputs'!$B$32)/1000+'Inputs'!$B$21+'Inputs'!$B$7+'Inputs'!$B$10)+'Inputs'!$B$9)/SQRT((((419-43)*MAX('Inputs'!$B$33,'Inputs'!$B$29+'Inputs'!$B$31+'Inputs'!$B$32,'Inputs'!$B$30+'Inputs'!$B$31+'Inputs'!$B$32)/1000+'Inputs'!$B$21+'Inputs'!$B$7+'Inputs'!$B$10)+'Inputs'!$B$9)^2+('Inputs'!$B$8/2)^2)-(((419-43)*MAX('Inputs'!$B$33,'Inputs'!$B$29+'Inputs'!$B$31+'Inputs'!$B$32,'Inputs'!$B$30+'Inputs'!$B$31+'Inputs'!$B$32)/1000+'Inputs'!$B$21+'Inputs'!$B$7+'Inputs'!$B$10))/SQRT((((419-43)*MAX('Inputs'!$B$33,'Inputs'!$B$29+'Inputs'!$B$31+'Inputs'!$B$32,'Inputs'!$B$30+'Inputs'!$B$31+'Inputs'!$B$32)/1000+'Inputs'!$B$21+'Inputs'!$B$7+'Inputs'!$B$10))^2+('Inputs'!$B$8/2)^2))))*'Results'!$B$8)-'Inputs'!$B$28*ABS((('Results'!B7*(1-'Inputs'!$B$24)*(0.5*((((419-43)*MAX('Inputs'!$B$33,'Inputs'!$B$29+'Inputs'!$B$31+'Inputs'!$B$32,'Inputs'!$B$30+'Inputs'!$B$31+'Inputs'!$B$32)/1000+'Inputs'!$B$21)+'Inputs'!$B$7)/SQRT((((419-43)*MAX('Inputs'!$B$33,'Inputs'!$B$29+'Inputs'!$B$31+'Inputs'!$B$32,'Inputs'!$B$30+'Inputs'!$B$31+'Inputs'!$B$32)/1000+'Inputs'!$B$21)+'Inputs'!$B$7)^2+('Inputs'!$B$6/2)^2)-(((419-43)*MAX('Inputs'!$B$33,'Inputs'!$B$29+'Inputs'!$B$31+'Inputs'!$B$32,'Inputs'!$B$30+'Inputs'!$B$31+'Inputs'!$B$32)/1000+'Inputs'!$B$21))/SQRT((((419-43)*MAX('Inputs'!$B$33,'Inputs'!$B$29+'Inputs'!$B$31+'Inputs'!$B$32,'Inputs'!$B$30+'Inputs'!$B$31+'Inputs'!$B$32)/1000+'Inputs'!$B$21))^2+('Inputs'!$B$6/2)^2)))-'Results'!C7*(1+'Inputs'!$B$24)*(0.5*((((419-43)*MAX('Inputs'!$B$33,'Inputs'!$B$29+'Inputs'!$B$31+'Inputs'!$B$32,'Inputs'!$B$30+'Inputs'!$B$31+'Inputs'!$B$32)/1000+'Inputs'!$B$21+'Inputs'!$B$7+'Inputs'!$B$10)+'Inputs'!$B$9)/SQRT((((419-43)*MAX('Inputs'!$B$33,'Inputs'!$B$29+'Inputs'!$B$31+'Inputs'!$B$32,'Inputs'!$B$30+'Inputs'!$B$31+'Inputs'!$B$32)/1000+'Inputs'!$B$21+'Inputs'!$B$7+'Inputs'!$B$10)+'Inputs'!$B$9)^2+('Inputs'!$B$8/2)^2)-(((419-43)*MAX('Inputs'!$B$33,'Inputs'!$B$29+'Inputs'!$B$31+'Inputs'!$B$32,'Inputs'!$B$30+'Inputs'!$B$31+'Inputs'!$B$32)/1000+'Inputs'!$B$21+'Inputs'!$B$7+'Inputs'!$B$10))/SQRT((((419-43)*MAX('Inputs'!$B$33,'Inputs'!$B$29+'Inputs'!$B$31+'Inputs'!$B$32,'Inputs'!$B$30+'Inputs'!$B$31+'Inputs'!$B$32)/1000+'Inputs'!$B$21+'Inputs'!$B$7+'Inputs'!$B$10))^2+('Inputs'!$B$8/2)^2))))*'Results'!$B$8))),"")</x:f>
        <x:v>9.725217465779682</x:v>
      </x:c>
      <x:c r="L419" t="n">
        <x:f>IF(AND(ISNUMBER('Results'!B7),ISNUMBER('Results'!C7),ISNUMBER('Results'!$B$8),ISNUMBER('Inputs'!$B$6),ISNUMBER('Inputs'!$B$7),ISNUMBER('Inputs'!$B$8),ISNUMBER('Inputs'!$B$9),ISNUMBER('Inputs'!$B$10),ISNUMBER('Inputs'!$B$21),ISNUMBER('Inputs'!$B$24),ISNUMBER('Inputs'!$B$28)),((('Results'!B7*(1+'Inputs'!$B$24)*(0.5*((((419-43)*MAX('Inputs'!$B$33,'Inputs'!$B$29+'Inputs'!$B$31+'Inputs'!$B$32,'Inputs'!$B$30+'Inputs'!$B$31+'Inputs'!$B$32)/1000+'Inputs'!$B$21)+'Inputs'!$B$7)/SQRT((((419-43)*MAX('Inputs'!$B$33,'Inputs'!$B$29+'Inputs'!$B$31+'Inputs'!$B$32,'Inputs'!$B$30+'Inputs'!$B$31+'Inputs'!$B$32)/1000+'Inputs'!$B$21)+'Inputs'!$B$7)^2+('Inputs'!$B$6/2)^2)-(((419-43)*MAX('Inputs'!$B$33,'Inputs'!$B$29+'Inputs'!$B$31+'Inputs'!$B$32,'Inputs'!$B$30+'Inputs'!$B$31+'Inputs'!$B$32)/1000+'Inputs'!$B$21))/SQRT((((419-43)*MAX('Inputs'!$B$33,'Inputs'!$B$29+'Inputs'!$B$31+'Inputs'!$B$32,'Inputs'!$B$30+'Inputs'!$B$31+'Inputs'!$B$32)/1000+'Inputs'!$B$21))^2+('Inputs'!$B$6/2)^2)))-'Results'!C7*(1-'Inputs'!$B$24)*(0.5*((((419-43)*MAX('Inputs'!$B$33,'Inputs'!$B$29+'Inputs'!$B$31+'Inputs'!$B$32,'Inputs'!$B$30+'Inputs'!$B$31+'Inputs'!$B$32)/1000+'Inputs'!$B$21+'Inputs'!$B$7+'Inputs'!$B$10)+'Inputs'!$B$9)/SQRT((((419-43)*MAX('Inputs'!$B$33,'Inputs'!$B$29+'Inputs'!$B$31+'Inputs'!$B$32,'Inputs'!$B$30+'Inputs'!$B$31+'Inputs'!$B$32)/1000+'Inputs'!$B$21+'Inputs'!$B$7+'Inputs'!$B$10)+'Inputs'!$B$9)^2+('Inputs'!$B$8/2)^2)-(((419-43)*MAX('Inputs'!$B$33,'Inputs'!$B$29+'Inputs'!$B$31+'Inputs'!$B$32,'Inputs'!$B$30+'Inputs'!$B$31+'Inputs'!$B$32)/1000+'Inputs'!$B$21+'Inputs'!$B$7+'Inputs'!$B$10))/SQRT((((419-43)*MAX('Inputs'!$B$33,'Inputs'!$B$29+'Inputs'!$B$31+'Inputs'!$B$32,'Inputs'!$B$30+'Inputs'!$B$31+'Inputs'!$B$32)/1000+'Inputs'!$B$21+'Inputs'!$B$7+'Inputs'!$B$10))^2+('Inputs'!$B$8/2)^2))))*'Results'!$B$8)+'Inputs'!$B$28*ABS((('Results'!B7*(1+'Inputs'!$B$24)*(0.5*((((419-43)*MAX('Inputs'!$B$33,'Inputs'!$B$29+'Inputs'!$B$31+'Inputs'!$B$32,'Inputs'!$B$30+'Inputs'!$B$31+'Inputs'!$B$32)/1000+'Inputs'!$B$21)+'Inputs'!$B$7)/SQRT((((419-43)*MAX('Inputs'!$B$33,'Inputs'!$B$29+'Inputs'!$B$31+'Inputs'!$B$32,'Inputs'!$B$30+'Inputs'!$B$31+'Inputs'!$B$32)/1000+'Inputs'!$B$21)+'Inputs'!$B$7)^2+('Inputs'!$B$6/2)^2)-(((419-43)*MAX('Inputs'!$B$33,'Inputs'!$B$29+'Inputs'!$B$31+'Inputs'!$B$32,'Inputs'!$B$30+'Inputs'!$B$31+'Inputs'!$B$32)/1000+'Inputs'!$B$21))/SQRT((((419-43)*MAX('Inputs'!$B$33,'Inputs'!$B$29+'Inputs'!$B$31+'Inputs'!$B$32,'Inputs'!$B$30+'Inputs'!$B$31+'Inputs'!$B$32)/1000+'Inputs'!$B$21))^2+('Inputs'!$B$6/2)^2)))-'Results'!C7*(1-'Inputs'!$B$24)*(0.5*((((419-43)*MAX('Inputs'!$B$33,'Inputs'!$B$29+'Inputs'!$B$31+'Inputs'!$B$32,'Inputs'!$B$30+'Inputs'!$B$31+'Inputs'!$B$32)/1000+'Inputs'!$B$21+'Inputs'!$B$7+'Inputs'!$B$10)+'Inputs'!$B$9)/SQRT((((419-43)*MAX('Inputs'!$B$33,'Inputs'!$B$29+'Inputs'!$B$31+'Inputs'!$B$32,'Inputs'!$B$30+'Inputs'!$B$31+'Inputs'!$B$32)/1000+'Inputs'!$B$21+'Inputs'!$B$7+'Inputs'!$B$10)+'Inputs'!$B$9)^2+('Inputs'!$B$8/2)^2)-(((419-43)*MAX('Inputs'!$B$33,'Inputs'!$B$29+'Inputs'!$B$31+'Inputs'!$B$32,'Inputs'!$B$30+'Inputs'!$B$31+'Inputs'!$B$32)/1000+'Inputs'!$B$21+'Inputs'!$B$7+'Inputs'!$B$10))/SQRT((((419-43)*MAX('Inputs'!$B$33,'Inputs'!$B$29+'Inputs'!$B$31+'Inputs'!$B$32,'Inputs'!$B$30+'Inputs'!$B$31+'Inputs'!$B$32)/1000+'Inputs'!$B$21+'Inputs'!$B$7+'Inputs'!$B$10))^2+('Inputs'!$B$8/2)^2))))*'Results'!$B$8))),"")</x:f>
        <x:v>12.00044939245359</x:v>
      </x:c>
      <x:c r="M419" t="n">
        <x:f>IF(AND(ISNUMBER('Results'!C7),ISNUMBER('Results'!B7),ISNUMBER('Results'!$B$8),ISNUMBER('Inputs'!$B$6),ISNUMBER('Inputs'!$B$7),ISNUMBER('Inputs'!$B$8),ISNUMBER('Inputs'!$B$9),ISNUMBER('Inputs'!$B$10),ISNUMBER('Inputs'!$B$21),ISNUMBER('Inputs'!$B$24),ISNUMBER('Inputs'!$B$28)),(('Results'!C7*(0.5*((((419-43)*MAX('Inputs'!$B$33,'Inputs'!$B$29+'Inputs'!$B$31+'Inputs'!$B$32,'Inputs'!$B$30+'Inputs'!$B$31+'Inputs'!$B$32)/1000+'Inputs'!$B$21)+'Inputs'!$B$9)/SQRT((((419-43)*MAX('Inputs'!$B$33,'Inputs'!$B$29+'Inputs'!$B$31+'Inputs'!$B$32,'Inputs'!$B$30+'Inputs'!$B$31+'Inputs'!$B$32)/1000+'Inputs'!$B$21)+'Inputs'!$B$9)^2+('Inputs'!$B$8/2)^2)-(((419-43)*MAX('Inputs'!$B$33,'Inputs'!$B$29+'Inputs'!$B$31+'Inputs'!$B$32,'Inputs'!$B$30+'Inputs'!$B$31+'Inputs'!$B$32)/1000+'Inputs'!$B$21))/SQRT((((419-43)*MAX('Inputs'!$B$33,'Inputs'!$B$29+'Inputs'!$B$31+'Inputs'!$B$32,'Inputs'!$B$30+'Inputs'!$B$31+'Inputs'!$B$32)/1000+'Inputs'!$B$21))^2+('Inputs'!$B$8/2)^2)))-'Results'!B7*(0.5*((((419-43)*MAX('Inputs'!$B$33,'Inputs'!$B$29+'Inputs'!$B$31+'Inputs'!$B$32,'Inputs'!$B$30+'Inputs'!$B$31+'Inputs'!$B$32)/1000+'Inputs'!$B$21+'Inputs'!$B$9+'Inputs'!$B$10)+'Inputs'!$B$7)/SQRT((((419-43)*MAX('Inputs'!$B$33,'Inputs'!$B$29+'Inputs'!$B$31+'Inputs'!$B$32,'Inputs'!$B$30+'Inputs'!$B$31+'Inputs'!$B$32)/1000+'Inputs'!$B$21+'Inputs'!$B$9+'Inputs'!$B$10)+'Inputs'!$B$7)^2+('Inputs'!$B$6/2)^2)-(((419-43)*MAX('Inputs'!$B$33,'Inputs'!$B$29+'Inputs'!$B$31+'Inputs'!$B$32,'Inputs'!$B$30+'Inputs'!$B$31+'Inputs'!$B$32)/1000+'Inputs'!$B$21+'Inputs'!$B$9+'Inputs'!$B$10))/SQRT((((419-43)*MAX('Inputs'!$B$33,'Inputs'!$B$29+'Inputs'!$B$31+'Inputs'!$B$32,'Inputs'!$B$30+'Inputs'!$B$31+'Inputs'!$B$32)/1000+'Inputs'!$B$21+'Inputs'!$B$9+'Inputs'!$B$10))^2+('Inputs'!$B$6/2)^2))))*'Results'!$B$8),"")</x:f>
        <x:v>10.233200572752976</x:v>
      </x:c>
      <x:c r="N419" t="n">
        <x:f>IF(AND(ISNUMBER('Results'!C7),ISNUMBER('Results'!B7),ISNUMBER('Results'!$B$8),ISNUMBER('Inputs'!$B$6),ISNUMBER('Inputs'!$B$7),ISNUMBER('Inputs'!$B$8),ISNUMBER('Inputs'!$B$9),ISNUMBER('Inputs'!$B$10),ISNUMBER('Inputs'!$B$21),ISNUMBER('Inputs'!$B$24),ISNUMBER('Inputs'!$B$28)),((('Results'!C7*(1-'Inputs'!$B$24)*(0.5*((((419-43)*MAX('Inputs'!$B$33,'Inputs'!$B$29+'Inputs'!$B$31+'Inputs'!$B$32,'Inputs'!$B$30+'Inputs'!$B$31+'Inputs'!$B$32)/1000+'Inputs'!$B$21)+'Inputs'!$B$9)/SQRT((((419-43)*MAX('Inputs'!$B$33,'Inputs'!$B$29+'Inputs'!$B$31+'Inputs'!$B$32,'Inputs'!$B$30+'Inputs'!$B$31+'Inputs'!$B$32)/1000+'Inputs'!$B$21)+'Inputs'!$B$9)^2+('Inputs'!$B$8/2)^2)-(((419-43)*MAX('Inputs'!$B$33,'Inputs'!$B$29+'Inputs'!$B$31+'Inputs'!$B$32,'Inputs'!$B$30+'Inputs'!$B$31+'Inputs'!$B$32)/1000+'Inputs'!$B$21))/SQRT((((419-43)*MAX('Inputs'!$B$33,'Inputs'!$B$29+'Inputs'!$B$31+'Inputs'!$B$32,'Inputs'!$B$30+'Inputs'!$B$31+'Inputs'!$B$32)/1000+'Inputs'!$B$21))^2+('Inputs'!$B$8/2)^2)))-'Results'!B7*(1+'Inputs'!$B$24)*(0.5*((((419-43)*MAX('Inputs'!$B$33,'Inputs'!$B$29+'Inputs'!$B$31+'Inputs'!$B$32,'Inputs'!$B$30+'Inputs'!$B$31+'Inputs'!$B$32)/1000+'Inputs'!$B$21+'Inputs'!$B$9+'Inputs'!$B$10)+'Inputs'!$B$7)/SQRT((((419-43)*MAX('Inputs'!$B$33,'Inputs'!$B$29+'Inputs'!$B$31+'Inputs'!$B$32,'Inputs'!$B$30+'Inputs'!$B$31+'Inputs'!$B$32)/1000+'Inputs'!$B$21+'Inputs'!$B$9+'Inputs'!$B$10)+'Inputs'!$B$7)^2+('Inputs'!$B$6/2)^2)-(((419-43)*MAX('Inputs'!$B$33,'Inputs'!$B$29+'Inputs'!$B$31+'Inputs'!$B$32,'Inputs'!$B$30+'Inputs'!$B$31+'Inputs'!$B$32)/1000+'Inputs'!$B$21+'Inputs'!$B$9+'Inputs'!$B$10))/SQRT((((419-43)*MAX('Inputs'!$B$33,'Inputs'!$B$29+'Inputs'!$B$31+'Inputs'!$B$32,'Inputs'!$B$30+'Inputs'!$B$31+'Inputs'!$B$32)/1000+'Inputs'!$B$21+'Inputs'!$B$9+'Inputs'!$B$10))^2+('Inputs'!$B$6/2)^2))))*'Results'!$B$8)-'Inputs'!$B$28*ABS((('Results'!C7*(1-'Inputs'!$B$24)*(0.5*((((419-43)*MAX('Inputs'!$B$33,'Inputs'!$B$29+'Inputs'!$B$31+'Inputs'!$B$32,'Inputs'!$B$30+'Inputs'!$B$31+'Inputs'!$B$32)/1000+'Inputs'!$B$21)+'Inputs'!$B$9)/SQRT((((419-43)*MAX('Inputs'!$B$33,'Inputs'!$B$29+'Inputs'!$B$31+'Inputs'!$B$32,'Inputs'!$B$30+'Inputs'!$B$31+'Inputs'!$B$32)/1000+'Inputs'!$B$21)+'Inputs'!$B$9)^2+('Inputs'!$B$8/2)^2)-(((419-43)*MAX('Inputs'!$B$33,'Inputs'!$B$29+'Inputs'!$B$31+'Inputs'!$B$32,'Inputs'!$B$30+'Inputs'!$B$31+'Inputs'!$B$32)/1000+'Inputs'!$B$21))/SQRT((((419-43)*MAX('Inputs'!$B$33,'Inputs'!$B$29+'Inputs'!$B$31+'Inputs'!$B$32,'Inputs'!$B$30+'Inputs'!$B$31+'Inputs'!$B$32)/1000+'Inputs'!$B$21))^2+('Inputs'!$B$8/2)^2)))-'Results'!B7*(1+'Inputs'!$B$24)*(0.5*((((419-43)*MAX('Inputs'!$B$33,'Inputs'!$B$29+'Inputs'!$B$31+'Inputs'!$B$32,'Inputs'!$B$30+'Inputs'!$B$31+'Inputs'!$B$32)/1000+'Inputs'!$B$21+'Inputs'!$B$9+'Inputs'!$B$10)+'Inputs'!$B$7)/SQRT((((419-43)*MAX('Inputs'!$B$33,'Inputs'!$B$29+'Inputs'!$B$31+'Inputs'!$B$32,'Inputs'!$B$30+'Inputs'!$B$31+'Inputs'!$B$32)/1000+'Inputs'!$B$21+'Inputs'!$B$9+'Inputs'!$B$10)+'Inputs'!$B$7)^2+('Inputs'!$B$6/2)^2)-(((419-43)*MAX('Inputs'!$B$33,'Inputs'!$B$29+'Inputs'!$B$31+'Inputs'!$B$32,'Inputs'!$B$30+'Inputs'!$B$31+'Inputs'!$B$32)/1000+'Inputs'!$B$21+'Inputs'!$B$9+'Inputs'!$B$10))/SQRT((((419-43)*MAX('Inputs'!$B$33,'Inputs'!$B$29+'Inputs'!$B$31+'Inputs'!$B$32,'Inputs'!$B$30+'Inputs'!$B$31+'Inputs'!$B$32)/1000+'Inputs'!$B$21+'Inputs'!$B$9+'Inputs'!$B$10))^2+('Inputs'!$B$6/2)^2))))*'Results'!$B$8))),"")</x:f>
        <x:v>9.159417566797522</x:v>
      </x:c>
      <x:c r="O419" t="n">
        <x:f>IF(AND(ISNUMBER('Results'!C7),ISNUMBER('Results'!B7),ISNUMBER('Results'!$B$8),ISNUMBER('Inputs'!$B$6),ISNUMBER('Inputs'!$B$7),ISNUMBER('Inputs'!$B$8),ISNUMBER('Inputs'!$B$9),ISNUMBER('Inputs'!$B$10),ISNUMBER('Inputs'!$B$21),ISNUMBER('Inputs'!$B$24),ISNUMBER('Inputs'!$B$28)),((('Results'!C7*(1+'Inputs'!$B$24)*(0.5*((((419-43)*MAX('Inputs'!$B$33,'Inputs'!$B$29+'Inputs'!$B$31+'Inputs'!$B$32,'Inputs'!$B$30+'Inputs'!$B$31+'Inputs'!$B$32)/1000+'Inputs'!$B$21)+'Inputs'!$B$9)/SQRT((((419-43)*MAX('Inputs'!$B$33,'Inputs'!$B$29+'Inputs'!$B$31+'Inputs'!$B$32,'Inputs'!$B$30+'Inputs'!$B$31+'Inputs'!$B$32)/1000+'Inputs'!$B$21)+'Inputs'!$B$9)^2+('Inputs'!$B$8/2)^2)-(((419-43)*MAX('Inputs'!$B$33,'Inputs'!$B$29+'Inputs'!$B$31+'Inputs'!$B$32,'Inputs'!$B$30+'Inputs'!$B$31+'Inputs'!$B$32)/1000+'Inputs'!$B$21))/SQRT((((419-43)*MAX('Inputs'!$B$33,'Inputs'!$B$29+'Inputs'!$B$31+'Inputs'!$B$32,'Inputs'!$B$30+'Inputs'!$B$31+'Inputs'!$B$32)/1000+'Inputs'!$B$21))^2+('Inputs'!$B$8/2)^2)))-'Results'!B7*(1-'Inputs'!$B$24)*(0.5*((((419-43)*MAX('Inputs'!$B$33,'Inputs'!$B$29+'Inputs'!$B$31+'Inputs'!$B$32,'Inputs'!$B$30+'Inputs'!$B$31+'Inputs'!$B$32)/1000+'Inputs'!$B$21+'Inputs'!$B$9+'Inputs'!$B$10)+'Inputs'!$B$7)/SQRT((((419-43)*MAX('Inputs'!$B$33,'Inputs'!$B$29+'Inputs'!$B$31+'Inputs'!$B$32,'Inputs'!$B$30+'Inputs'!$B$31+'Inputs'!$B$32)/1000+'Inputs'!$B$21+'Inputs'!$B$9+'Inputs'!$B$10)+'Inputs'!$B$7)^2+('Inputs'!$B$6/2)^2)-(((419-43)*MAX('Inputs'!$B$33,'Inputs'!$B$29+'Inputs'!$B$31+'Inputs'!$B$32,'Inputs'!$B$30+'Inputs'!$B$31+'Inputs'!$B$32)/1000+'Inputs'!$B$21+'Inputs'!$B$9+'Inputs'!$B$10))/SQRT((((419-43)*MAX('Inputs'!$B$33,'Inputs'!$B$29+'Inputs'!$B$31+'Inputs'!$B$32,'Inputs'!$B$30+'Inputs'!$B$31+'Inputs'!$B$32)/1000+'Inputs'!$B$21+'Inputs'!$B$9+'Inputs'!$B$10))^2+('Inputs'!$B$6/2)^2))))*'Results'!$B$8)+'Inputs'!$B$28*ABS((('Results'!C7*(1+'Inputs'!$B$24)*(0.5*((((419-43)*MAX('Inputs'!$B$33,'Inputs'!$B$29+'Inputs'!$B$31+'Inputs'!$B$32,'Inputs'!$B$30+'Inputs'!$B$31+'Inputs'!$B$32)/1000+'Inputs'!$B$21)+'Inputs'!$B$9)/SQRT((((419-43)*MAX('Inputs'!$B$33,'Inputs'!$B$29+'Inputs'!$B$31+'Inputs'!$B$32,'Inputs'!$B$30+'Inputs'!$B$31+'Inputs'!$B$32)/1000+'Inputs'!$B$21)+'Inputs'!$B$9)^2+('Inputs'!$B$8/2)^2)-(((419-43)*MAX('Inputs'!$B$33,'Inputs'!$B$29+'Inputs'!$B$31+'Inputs'!$B$32,'Inputs'!$B$30+'Inputs'!$B$31+'Inputs'!$B$32)/1000+'Inputs'!$B$21))/SQRT((((419-43)*MAX('Inputs'!$B$33,'Inputs'!$B$29+'Inputs'!$B$31+'Inputs'!$B$32,'Inputs'!$B$30+'Inputs'!$B$31+'Inputs'!$B$32)/1000+'Inputs'!$B$21))^2+('Inputs'!$B$8/2)^2)))-'Results'!B7*(1-'Inputs'!$B$24)*(0.5*((((419-43)*MAX('Inputs'!$B$33,'Inputs'!$B$29+'Inputs'!$B$31+'Inputs'!$B$32,'Inputs'!$B$30+'Inputs'!$B$31+'Inputs'!$B$32)/1000+'Inputs'!$B$21+'Inputs'!$B$9+'Inputs'!$B$10)+'Inputs'!$B$7)/SQRT((((419-43)*MAX('Inputs'!$B$33,'Inputs'!$B$29+'Inputs'!$B$31+'Inputs'!$B$32,'Inputs'!$B$30+'Inputs'!$B$31+'Inputs'!$B$32)/1000+'Inputs'!$B$21+'Inputs'!$B$9+'Inputs'!$B$10)+'Inputs'!$B$7)^2+('Inputs'!$B$6/2)^2)-(((419-43)*MAX('Inputs'!$B$33,'Inputs'!$B$29+'Inputs'!$B$31+'Inputs'!$B$32,'Inputs'!$B$30+'Inputs'!$B$31+'Inputs'!$B$32)/1000+'Inputs'!$B$21+'Inputs'!$B$9+'Inputs'!$B$10))/SQRT((((419-43)*MAX('Inputs'!$B$33,'Inputs'!$B$29+'Inputs'!$B$31+'Inputs'!$B$32,'Inputs'!$B$30+'Inputs'!$B$31+'Inputs'!$B$32)/1000+'Inputs'!$B$21+'Inputs'!$B$9+'Inputs'!$B$10))^2+('Inputs'!$B$6/2)^2))))*'Results'!$B$8))),"")</x:f>
        <x:v>11.366154418426092</x:v>
      </x:c>
      <x:c r="P419" t="n">
        <x:f>IF(AND(MAX(J419,J418)&gt;0,J419&gt;J418+0.00000001),1,0)</x:f>
        <x:v>0</x:v>
      </x:c>
      <x:c r="Q419" t="n">
        <x:f>IF(AND(MAX(K419,K418)&gt;0,K419&gt;K418+0.00000001),1,0)</x:f>
        <x:v>0</x:v>
      </x:c>
      <x:c r="R419" t="n">
        <x:f>IF(AND(MAX(L419,L418)&gt;0,L419&gt;L418+0.00000001),1,0)</x:f>
        <x:v>0</x:v>
      </x:c>
      <x:c r="S419" t="n">
        <x:f>IF(AND(MAX(M419,M418)&gt;0,M419&gt;M418+0.00000001),1,0)</x:f>
        <x:v>0</x:v>
      </x:c>
      <x:c r="T419" t="n">
        <x:f>IF(AND(MAX(N419,N418)&gt;0,N419&gt;N418+0.00000001),1,0)</x:f>
        <x:v>0</x:v>
      </x:c>
      <x:c r="U419" t="n">
        <x:f>IF(AND(MAX(O419,O418)&gt;0,O419&gt;O418+0.00000001),1,0)</x:f>
        <x:v>0</x:v>
      </x:c>
    </x:row>
    <x:row r="420">
      <x:c r="J420" t="n">
        <x:f>IF(AND(ISNUMBER('Results'!B7),ISNUMBER('Results'!C7),ISNUMBER('Results'!$B$8),ISNUMBER('Inputs'!$B$6),ISNUMBER('Inputs'!$B$7),ISNUMBER('Inputs'!$B$8),ISNUMBER('Inputs'!$B$9),ISNUMBER('Inputs'!$B$10),ISNUMBER('Inputs'!$B$21),ISNUMBER('Inputs'!$B$24),ISNUMBER('Inputs'!$B$28)),(('Results'!B7*(0.5*((((420-43)*MAX('Inputs'!$B$33,'Inputs'!$B$29+'Inputs'!$B$31+'Inputs'!$B$32,'Inputs'!$B$30+'Inputs'!$B$31+'Inputs'!$B$32)/1000+'Inputs'!$B$21)+'Inputs'!$B$7)/SQRT((((420-43)*MAX('Inputs'!$B$33,'Inputs'!$B$29+'Inputs'!$B$31+'Inputs'!$B$32,'Inputs'!$B$30+'Inputs'!$B$31+'Inputs'!$B$32)/1000+'Inputs'!$B$21)+'Inputs'!$B$7)^2+('Inputs'!$B$6/2)^2)-(((420-43)*MAX('Inputs'!$B$33,'Inputs'!$B$29+'Inputs'!$B$31+'Inputs'!$B$32,'Inputs'!$B$30+'Inputs'!$B$31+'Inputs'!$B$32)/1000+'Inputs'!$B$21))/SQRT((((420-43)*MAX('Inputs'!$B$33,'Inputs'!$B$29+'Inputs'!$B$31+'Inputs'!$B$32,'Inputs'!$B$30+'Inputs'!$B$31+'Inputs'!$B$32)/1000+'Inputs'!$B$21))^2+('Inputs'!$B$6/2)^2)))-'Results'!C7*(0.5*((((420-43)*MAX('Inputs'!$B$33,'Inputs'!$B$29+'Inputs'!$B$31+'Inputs'!$B$32,'Inputs'!$B$30+'Inputs'!$B$31+'Inputs'!$B$32)/1000+'Inputs'!$B$21+'Inputs'!$B$7+'Inputs'!$B$10)+'Inputs'!$B$9)/SQRT((((420-43)*MAX('Inputs'!$B$33,'Inputs'!$B$29+'Inputs'!$B$31+'Inputs'!$B$32,'Inputs'!$B$30+'Inputs'!$B$31+'Inputs'!$B$32)/1000+'Inputs'!$B$21+'Inputs'!$B$7+'Inputs'!$B$10)+'Inputs'!$B$9)^2+('Inputs'!$B$8/2)^2)-(((420-43)*MAX('Inputs'!$B$33,'Inputs'!$B$29+'Inputs'!$B$31+'Inputs'!$B$32,'Inputs'!$B$30+'Inputs'!$B$31+'Inputs'!$B$32)/1000+'Inputs'!$B$21+'Inputs'!$B$7+'Inputs'!$B$10))/SQRT((((420-43)*MAX('Inputs'!$B$33,'Inputs'!$B$29+'Inputs'!$B$31+'Inputs'!$B$32,'Inputs'!$B$30+'Inputs'!$B$31+'Inputs'!$B$32)/1000+'Inputs'!$B$21+'Inputs'!$B$7+'Inputs'!$B$10))^2+('Inputs'!$B$8/2)^2))))*'Results'!$B$8),"")</x:f>
        <x:v>10.739602194255454</x:v>
      </x:c>
      <x:c r="K420" t="n">
        <x:f>IF(AND(ISNUMBER('Results'!B7),ISNUMBER('Results'!C7),ISNUMBER('Results'!$B$8),ISNUMBER('Inputs'!$B$6),ISNUMBER('Inputs'!$B$7),ISNUMBER('Inputs'!$B$8),ISNUMBER('Inputs'!$B$9),ISNUMBER('Inputs'!$B$10),ISNUMBER('Inputs'!$B$21),ISNUMBER('Inputs'!$B$24),ISNUMBER('Inputs'!$B$28)),((('Results'!B7*(1-'Inputs'!$B$24)*(0.5*((((420-43)*MAX('Inputs'!$B$33,'Inputs'!$B$29+'Inputs'!$B$31+'Inputs'!$B$32,'Inputs'!$B$30+'Inputs'!$B$31+'Inputs'!$B$32)/1000+'Inputs'!$B$21)+'Inputs'!$B$7)/SQRT((((420-43)*MAX('Inputs'!$B$33,'Inputs'!$B$29+'Inputs'!$B$31+'Inputs'!$B$32,'Inputs'!$B$30+'Inputs'!$B$31+'Inputs'!$B$32)/1000+'Inputs'!$B$21)+'Inputs'!$B$7)^2+('Inputs'!$B$6/2)^2)-(((420-43)*MAX('Inputs'!$B$33,'Inputs'!$B$29+'Inputs'!$B$31+'Inputs'!$B$32,'Inputs'!$B$30+'Inputs'!$B$31+'Inputs'!$B$32)/1000+'Inputs'!$B$21))/SQRT((((420-43)*MAX('Inputs'!$B$33,'Inputs'!$B$29+'Inputs'!$B$31+'Inputs'!$B$32,'Inputs'!$B$30+'Inputs'!$B$31+'Inputs'!$B$32)/1000+'Inputs'!$B$21))^2+('Inputs'!$B$6/2)^2)))-'Results'!C7*(1+'Inputs'!$B$24)*(0.5*((((420-43)*MAX('Inputs'!$B$33,'Inputs'!$B$29+'Inputs'!$B$31+'Inputs'!$B$32,'Inputs'!$B$30+'Inputs'!$B$31+'Inputs'!$B$32)/1000+'Inputs'!$B$21+'Inputs'!$B$7+'Inputs'!$B$10)+'Inputs'!$B$9)/SQRT((((420-43)*MAX('Inputs'!$B$33,'Inputs'!$B$29+'Inputs'!$B$31+'Inputs'!$B$32,'Inputs'!$B$30+'Inputs'!$B$31+'Inputs'!$B$32)/1000+'Inputs'!$B$21+'Inputs'!$B$7+'Inputs'!$B$10)+'Inputs'!$B$9)^2+('Inputs'!$B$8/2)^2)-(((420-43)*MAX('Inputs'!$B$33,'Inputs'!$B$29+'Inputs'!$B$31+'Inputs'!$B$32,'Inputs'!$B$30+'Inputs'!$B$31+'Inputs'!$B$32)/1000+'Inputs'!$B$21+'Inputs'!$B$7+'Inputs'!$B$10))/SQRT((((420-43)*MAX('Inputs'!$B$33,'Inputs'!$B$29+'Inputs'!$B$31+'Inputs'!$B$32,'Inputs'!$B$30+'Inputs'!$B$31+'Inputs'!$B$32)/1000+'Inputs'!$B$21+'Inputs'!$B$7+'Inputs'!$B$10))^2+('Inputs'!$B$8/2)^2))))*'Results'!$B$8)-'Inputs'!$B$28*ABS((('Results'!B7*(1-'Inputs'!$B$24)*(0.5*((((420-43)*MAX('Inputs'!$B$33,'Inputs'!$B$29+'Inputs'!$B$31+'Inputs'!$B$32,'Inputs'!$B$30+'Inputs'!$B$31+'Inputs'!$B$32)/1000+'Inputs'!$B$21)+'Inputs'!$B$7)/SQRT((((420-43)*MAX('Inputs'!$B$33,'Inputs'!$B$29+'Inputs'!$B$31+'Inputs'!$B$32,'Inputs'!$B$30+'Inputs'!$B$31+'Inputs'!$B$32)/1000+'Inputs'!$B$21)+'Inputs'!$B$7)^2+('Inputs'!$B$6/2)^2)-(((420-43)*MAX('Inputs'!$B$33,'Inputs'!$B$29+'Inputs'!$B$31+'Inputs'!$B$32,'Inputs'!$B$30+'Inputs'!$B$31+'Inputs'!$B$32)/1000+'Inputs'!$B$21))/SQRT((((420-43)*MAX('Inputs'!$B$33,'Inputs'!$B$29+'Inputs'!$B$31+'Inputs'!$B$32,'Inputs'!$B$30+'Inputs'!$B$31+'Inputs'!$B$32)/1000+'Inputs'!$B$21))^2+('Inputs'!$B$6/2)^2)))-'Results'!C7*(1+'Inputs'!$B$24)*(0.5*((((420-43)*MAX('Inputs'!$B$33,'Inputs'!$B$29+'Inputs'!$B$31+'Inputs'!$B$32,'Inputs'!$B$30+'Inputs'!$B$31+'Inputs'!$B$32)/1000+'Inputs'!$B$21+'Inputs'!$B$7+'Inputs'!$B$10)+'Inputs'!$B$9)/SQRT((((420-43)*MAX('Inputs'!$B$33,'Inputs'!$B$29+'Inputs'!$B$31+'Inputs'!$B$32,'Inputs'!$B$30+'Inputs'!$B$31+'Inputs'!$B$32)/1000+'Inputs'!$B$21+'Inputs'!$B$7+'Inputs'!$B$10)+'Inputs'!$B$9)^2+('Inputs'!$B$8/2)^2)-(((420-43)*MAX('Inputs'!$B$33,'Inputs'!$B$29+'Inputs'!$B$31+'Inputs'!$B$32,'Inputs'!$B$30+'Inputs'!$B$31+'Inputs'!$B$32)/1000+'Inputs'!$B$21+'Inputs'!$B$7+'Inputs'!$B$10))/SQRT((((420-43)*MAX('Inputs'!$B$33,'Inputs'!$B$29+'Inputs'!$B$31+'Inputs'!$B$32,'Inputs'!$B$30+'Inputs'!$B$31+'Inputs'!$B$32)/1000+'Inputs'!$B$21+'Inputs'!$B$7+'Inputs'!$B$10))^2+('Inputs'!$B$8/2)^2))))*'Results'!$B$8))),"")</x:f>
        <x:v>9.640294738954324</x:v>
      </x:c>
      <x:c r="L420" t="n">
        <x:f>IF(AND(ISNUMBER('Results'!B7),ISNUMBER('Results'!C7),ISNUMBER('Results'!$B$8),ISNUMBER('Inputs'!$B$6),ISNUMBER('Inputs'!$B$7),ISNUMBER('Inputs'!$B$8),ISNUMBER('Inputs'!$B$9),ISNUMBER('Inputs'!$B$10),ISNUMBER('Inputs'!$B$21),ISNUMBER('Inputs'!$B$24),ISNUMBER('Inputs'!$B$28)),((('Results'!B7*(1+'Inputs'!$B$24)*(0.5*((((420-43)*MAX('Inputs'!$B$33,'Inputs'!$B$29+'Inputs'!$B$31+'Inputs'!$B$32,'Inputs'!$B$30+'Inputs'!$B$31+'Inputs'!$B$32)/1000+'Inputs'!$B$21)+'Inputs'!$B$7)/SQRT((((420-43)*MAX('Inputs'!$B$33,'Inputs'!$B$29+'Inputs'!$B$31+'Inputs'!$B$32,'Inputs'!$B$30+'Inputs'!$B$31+'Inputs'!$B$32)/1000+'Inputs'!$B$21)+'Inputs'!$B$7)^2+('Inputs'!$B$6/2)^2)-(((420-43)*MAX('Inputs'!$B$33,'Inputs'!$B$29+'Inputs'!$B$31+'Inputs'!$B$32,'Inputs'!$B$30+'Inputs'!$B$31+'Inputs'!$B$32)/1000+'Inputs'!$B$21))/SQRT((((420-43)*MAX('Inputs'!$B$33,'Inputs'!$B$29+'Inputs'!$B$31+'Inputs'!$B$32,'Inputs'!$B$30+'Inputs'!$B$31+'Inputs'!$B$32)/1000+'Inputs'!$B$21))^2+('Inputs'!$B$6/2)^2)))-'Results'!C7*(1-'Inputs'!$B$24)*(0.5*((((420-43)*MAX('Inputs'!$B$33,'Inputs'!$B$29+'Inputs'!$B$31+'Inputs'!$B$32,'Inputs'!$B$30+'Inputs'!$B$31+'Inputs'!$B$32)/1000+'Inputs'!$B$21+'Inputs'!$B$7+'Inputs'!$B$10)+'Inputs'!$B$9)/SQRT((((420-43)*MAX('Inputs'!$B$33,'Inputs'!$B$29+'Inputs'!$B$31+'Inputs'!$B$32,'Inputs'!$B$30+'Inputs'!$B$31+'Inputs'!$B$32)/1000+'Inputs'!$B$21+'Inputs'!$B$7+'Inputs'!$B$10)+'Inputs'!$B$9)^2+('Inputs'!$B$8/2)^2)-(((420-43)*MAX('Inputs'!$B$33,'Inputs'!$B$29+'Inputs'!$B$31+'Inputs'!$B$32,'Inputs'!$B$30+'Inputs'!$B$31+'Inputs'!$B$32)/1000+'Inputs'!$B$21+'Inputs'!$B$7+'Inputs'!$B$10))/SQRT((((420-43)*MAX('Inputs'!$B$33,'Inputs'!$B$29+'Inputs'!$B$31+'Inputs'!$B$32,'Inputs'!$B$30+'Inputs'!$B$31+'Inputs'!$B$32)/1000+'Inputs'!$B$21+'Inputs'!$B$7+'Inputs'!$B$10))^2+('Inputs'!$B$8/2)^2))))*'Results'!$B$8)+'Inputs'!$B$28*ABS((('Results'!B7*(1+'Inputs'!$B$24)*(0.5*((((420-43)*MAX('Inputs'!$B$33,'Inputs'!$B$29+'Inputs'!$B$31+'Inputs'!$B$32,'Inputs'!$B$30+'Inputs'!$B$31+'Inputs'!$B$32)/1000+'Inputs'!$B$21)+'Inputs'!$B$7)/SQRT((((420-43)*MAX('Inputs'!$B$33,'Inputs'!$B$29+'Inputs'!$B$31+'Inputs'!$B$32,'Inputs'!$B$30+'Inputs'!$B$31+'Inputs'!$B$32)/1000+'Inputs'!$B$21)+'Inputs'!$B$7)^2+('Inputs'!$B$6/2)^2)-(((420-43)*MAX('Inputs'!$B$33,'Inputs'!$B$29+'Inputs'!$B$31+'Inputs'!$B$32,'Inputs'!$B$30+'Inputs'!$B$31+'Inputs'!$B$32)/1000+'Inputs'!$B$21))/SQRT((((420-43)*MAX('Inputs'!$B$33,'Inputs'!$B$29+'Inputs'!$B$31+'Inputs'!$B$32,'Inputs'!$B$30+'Inputs'!$B$31+'Inputs'!$B$32)/1000+'Inputs'!$B$21))^2+('Inputs'!$B$6/2)^2)))-'Results'!C7*(1-'Inputs'!$B$24)*(0.5*((((420-43)*MAX('Inputs'!$B$33,'Inputs'!$B$29+'Inputs'!$B$31+'Inputs'!$B$32,'Inputs'!$B$30+'Inputs'!$B$31+'Inputs'!$B$32)/1000+'Inputs'!$B$21+'Inputs'!$B$7+'Inputs'!$B$10)+'Inputs'!$B$9)/SQRT((((420-43)*MAX('Inputs'!$B$33,'Inputs'!$B$29+'Inputs'!$B$31+'Inputs'!$B$32,'Inputs'!$B$30+'Inputs'!$B$31+'Inputs'!$B$32)/1000+'Inputs'!$B$21+'Inputs'!$B$7+'Inputs'!$B$10)+'Inputs'!$B$9)^2+('Inputs'!$B$8/2)^2)-(((420-43)*MAX('Inputs'!$B$33,'Inputs'!$B$29+'Inputs'!$B$31+'Inputs'!$B$32,'Inputs'!$B$30+'Inputs'!$B$31+'Inputs'!$B$32)/1000+'Inputs'!$B$21+'Inputs'!$B$7+'Inputs'!$B$10))/SQRT((((420-43)*MAX('Inputs'!$B$33,'Inputs'!$B$29+'Inputs'!$B$31+'Inputs'!$B$32,'Inputs'!$B$30+'Inputs'!$B$31+'Inputs'!$B$32)/1000+'Inputs'!$B$21+'Inputs'!$B$7+'Inputs'!$B$10))^2+('Inputs'!$B$8/2)^2))))*'Results'!$B$8))),"")</x:f>
        <x:v>11.898102001723782</x:v>
      </x:c>
      <x:c r="M420" t="n">
        <x:f>IF(AND(ISNUMBER('Results'!C7),ISNUMBER('Results'!B7),ISNUMBER('Results'!$B$8),ISNUMBER('Inputs'!$B$6),ISNUMBER('Inputs'!$B$7),ISNUMBER('Inputs'!$B$8),ISNUMBER('Inputs'!$B$9),ISNUMBER('Inputs'!$B$10),ISNUMBER('Inputs'!$B$21),ISNUMBER('Inputs'!$B$24),ISNUMBER('Inputs'!$B$28)),(('Results'!C7*(0.5*((((420-43)*MAX('Inputs'!$B$33,'Inputs'!$B$29+'Inputs'!$B$31+'Inputs'!$B$32,'Inputs'!$B$30+'Inputs'!$B$31+'Inputs'!$B$32)/1000+'Inputs'!$B$21)+'Inputs'!$B$9)/SQRT((((420-43)*MAX('Inputs'!$B$33,'Inputs'!$B$29+'Inputs'!$B$31+'Inputs'!$B$32,'Inputs'!$B$30+'Inputs'!$B$31+'Inputs'!$B$32)/1000+'Inputs'!$B$21)+'Inputs'!$B$9)^2+('Inputs'!$B$8/2)^2)-(((420-43)*MAX('Inputs'!$B$33,'Inputs'!$B$29+'Inputs'!$B$31+'Inputs'!$B$32,'Inputs'!$B$30+'Inputs'!$B$31+'Inputs'!$B$32)/1000+'Inputs'!$B$21))/SQRT((((420-43)*MAX('Inputs'!$B$33,'Inputs'!$B$29+'Inputs'!$B$31+'Inputs'!$B$32,'Inputs'!$B$30+'Inputs'!$B$31+'Inputs'!$B$32)/1000+'Inputs'!$B$21))^2+('Inputs'!$B$8/2)^2)))-'Results'!B7*(0.5*((((420-43)*MAX('Inputs'!$B$33,'Inputs'!$B$29+'Inputs'!$B$31+'Inputs'!$B$32,'Inputs'!$B$30+'Inputs'!$B$31+'Inputs'!$B$32)/1000+'Inputs'!$B$21+'Inputs'!$B$9+'Inputs'!$B$10)+'Inputs'!$B$7)/SQRT((((420-43)*MAX('Inputs'!$B$33,'Inputs'!$B$29+'Inputs'!$B$31+'Inputs'!$B$32,'Inputs'!$B$30+'Inputs'!$B$31+'Inputs'!$B$32)/1000+'Inputs'!$B$21+'Inputs'!$B$9+'Inputs'!$B$10)+'Inputs'!$B$7)^2+('Inputs'!$B$6/2)^2)-(((420-43)*MAX('Inputs'!$B$33,'Inputs'!$B$29+'Inputs'!$B$31+'Inputs'!$B$32,'Inputs'!$B$30+'Inputs'!$B$31+'Inputs'!$B$32)/1000+'Inputs'!$B$21+'Inputs'!$B$9+'Inputs'!$B$10))/SQRT((((420-43)*MAX('Inputs'!$B$33,'Inputs'!$B$29+'Inputs'!$B$31+'Inputs'!$B$32,'Inputs'!$B$30+'Inputs'!$B$31+'Inputs'!$B$32)/1000+'Inputs'!$B$21+'Inputs'!$B$9+'Inputs'!$B$10))^2+('Inputs'!$B$6/2)^2))))*'Results'!$B$8),"")</x:f>
        <x:v>10.143830392197918</x:v>
      </x:c>
      <x:c r="N420" t="n">
        <x:f>IF(AND(ISNUMBER('Results'!C7),ISNUMBER('Results'!B7),ISNUMBER('Results'!$B$8),ISNUMBER('Inputs'!$B$6),ISNUMBER('Inputs'!$B$7),ISNUMBER('Inputs'!$B$8),ISNUMBER('Inputs'!$B$9),ISNUMBER('Inputs'!$B$10),ISNUMBER('Inputs'!$B$21),ISNUMBER('Inputs'!$B$24),ISNUMBER('Inputs'!$B$28)),((('Results'!C7*(1-'Inputs'!$B$24)*(0.5*((((420-43)*MAX('Inputs'!$B$33,'Inputs'!$B$29+'Inputs'!$B$31+'Inputs'!$B$32,'Inputs'!$B$30+'Inputs'!$B$31+'Inputs'!$B$32)/1000+'Inputs'!$B$21)+'Inputs'!$B$9)/SQRT((((420-43)*MAX('Inputs'!$B$33,'Inputs'!$B$29+'Inputs'!$B$31+'Inputs'!$B$32,'Inputs'!$B$30+'Inputs'!$B$31+'Inputs'!$B$32)/1000+'Inputs'!$B$21)+'Inputs'!$B$9)^2+('Inputs'!$B$8/2)^2)-(((420-43)*MAX('Inputs'!$B$33,'Inputs'!$B$29+'Inputs'!$B$31+'Inputs'!$B$32,'Inputs'!$B$30+'Inputs'!$B$31+'Inputs'!$B$32)/1000+'Inputs'!$B$21))/SQRT((((420-43)*MAX('Inputs'!$B$33,'Inputs'!$B$29+'Inputs'!$B$31+'Inputs'!$B$32,'Inputs'!$B$30+'Inputs'!$B$31+'Inputs'!$B$32)/1000+'Inputs'!$B$21))^2+('Inputs'!$B$8/2)^2)))-'Results'!B7*(1+'Inputs'!$B$24)*(0.5*((((420-43)*MAX('Inputs'!$B$33,'Inputs'!$B$29+'Inputs'!$B$31+'Inputs'!$B$32,'Inputs'!$B$30+'Inputs'!$B$31+'Inputs'!$B$32)/1000+'Inputs'!$B$21+'Inputs'!$B$9+'Inputs'!$B$10)+'Inputs'!$B$7)/SQRT((((420-43)*MAX('Inputs'!$B$33,'Inputs'!$B$29+'Inputs'!$B$31+'Inputs'!$B$32,'Inputs'!$B$30+'Inputs'!$B$31+'Inputs'!$B$32)/1000+'Inputs'!$B$21+'Inputs'!$B$9+'Inputs'!$B$10)+'Inputs'!$B$7)^2+('Inputs'!$B$6/2)^2)-(((420-43)*MAX('Inputs'!$B$33,'Inputs'!$B$29+'Inputs'!$B$31+'Inputs'!$B$32,'Inputs'!$B$30+'Inputs'!$B$31+'Inputs'!$B$32)/1000+'Inputs'!$B$21+'Inputs'!$B$9+'Inputs'!$B$10))/SQRT((((420-43)*MAX('Inputs'!$B$33,'Inputs'!$B$29+'Inputs'!$B$31+'Inputs'!$B$32,'Inputs'!$B$30+'Inputs'!$B$31+'Inputs'!$B$32)/1000+'Inputs'!$B$21+'Inputs'!$B$9+'Inputs'!$B$10))^2+('Inputs'!$B$6/2)^2))))*'Results'!$B$8)-'Inputs'!$B$28*ABS((('Results'!C7*(1-'Inputs'!$B$24)*(0.5*((((420-43)*MAX('Inputs'!$B$33,'Inputs'!$B$29+'Inputs'!$B$31+'Inputs'!$B$32,'Inputs'!$B$30+'Inputs'!$B$31+'Inputs'!$B$32)/1000+'Inputs'!$B$21)+'Inputs'!$B$9)/SQRT((((420-43)*MAX('Inputs'!$B$33,'Inputs'!$B$29+'Inputs'!$B$31+'Inputs'!$B$32,'Inputs'!$B$30+'Inputs'!$B$31+'Inputs'!$B$32)/1000+'Inputs'!$B$21)+'Inputs'!$B$9)^2+('Inputs'!$B$8/2)^2)-(((420-43)*MAX('Inputs'!$B$33,'Inputs'!$B$29+'Inputs'!$B$31+'Inputs'!$B$32,'Inputs'!$B$30+'Inputs'!$B$31+'Inputs'!$B$32)/1000+'Inputs'!$B$21))/SQRT((((420-43)*MAX('Inputs'!$B$33,'Inputs'!$B$29+'Inputs'!$B$31+'Inputs'!$B$32,'Inputs'!$B$30+'Inputs'!$B$31+'Inputs'!$B$32)/1000+'Inputs'!$B$21))^2+('Inputs'!$B$8/2)^2)))-'Results'!B7*(1+'Inputs'!$B$24)*(0.5*((((420-43)*MAX('Inputs'!$B$33,'Inputs'!$B$29+'Inputs'!$B$31+'Inputs'!$B$32,'Inputs'!$B$30+'Inputs'!$B$31+'Inputs'!$B$32)/1000+'Inputs'!$B$21+'Inputs'!$B$9+'Inputs'!$B$10)+'Inputs'!$B$7)/SQRT((((420-43)*MAX('Inputs'!$B$33,'Inputs'!$B$29+'Inputs'!$B$31+'Inputs'!$B$32,'Inputs'!$B$30+'Inputs'!$B$31+'Inputs'!$B$32)/1000+'Inputs'!$B$21+'Inputs'!$B$9+'Inputs'!$B$10)+'Inputs'!$B$7)^2+('Inputs'!$B$6/2)^2)-(((420-43)*MAX('Inputs'!$B$33,'Inputs'!$B$29+'Inputs'!$B$31+'Inputs'!$B$32,'Inputs'!$B$30+'Inputs'!$B$31+'Inputs'!$B$32)/1000+'Inputs'!$B$21+'Inputs'!$B$9+'Inputs'!$B$10))/SQRT((((420-43)*MAX('Inputs'!$B$33,'Inputs'!$B$29+'Inputs'!$B$31+'Inputs'!$B$32,'Inputs'!$B$30+'Inputs'!$B$31+'Inputs'!$B$32)/1000+'Inputs'!$B$21+'Inputs'!$B$9+'Inputs'!$B$10))^2+('Inputs'!$B$6/2)^2))))*'Results'!$B$8))),"")</x:f>
        <x:v>9.078319458506153</x:v>
      </x:c>
      <x:c r="O420" t="n">
        <x:f>IF(AND(ISNUMBER('Results'!C7),ISNUMBER('Results'!B7),ISNUMBER('Results'!$B$8),ISNUMBER('Inputs'!$B$6),ISNUMBER('Inputs'!$B$7),ISNUMBER('Inputs'!$B$8),ISNUMBER('Inputs'!$B$9),ISNUMBER('Inputs'!$B$10),ISNUMBER('Inputs'!$B$21),ISNUMBER('Inputs'!$B$24),ISNUMBER('Inputs'!$B$28)),((('Results'!C7*(1+'Inputs'!$B$24)*(0.5*((((420-43)*MAX('Inputs'!$B$33,'Inputs'!$B$29+'Inputs'!$B$31+'Inputs'!$B$32,'Inputs'!$B$30+'Inputs'!$B$31+'Inputs'!$B$32)/1000+'Inputs'!$B$21)+'Inputs'!$B$9)/SQRT((((420-43)*MAX('Inputs'!$B$33,'Inputs'!$B$29+'Inputs'!$B$31+'Inputs'!$B$32,'Inputs'!$B$30+'Inputs'!$B$31+'Inputs'!$B$32)/1000+'Inputs'!$B$21)+'Inputs'!$B$9)^2+('Inputs'!$B$8/2)^2)-(((420-43)*MAX('Inputs'!$B$33,'Inputs'!$B$29+'Inputs'!$B$31+'Inputs'!$B$32,'Inputs'!$B$30+'Inputs'!$B$31+'Inputs'!$B$32)/1000+'Inputs'!$B$21))/SQRT((((420-43)*MAX('Inputs'!$B$33,'Inputs'!$B$29+'Inputs'!$B$31+'Inputs'!$B$32,'Inputs'!$B$30+'Inputs'!$B$31+'Inputs'!$B$32)/1000+'Inputs'!$B$21))^2+('Inputs'!$B$8/2)^2)))-'Results'!B7*(1-'Inputs'!$B$24)*(0.5*((((420-43)*MAX('Inputs'!$B$33,'Inputs'!$B$29+'Inputs'!$B$31+'Inputs'!$B$32,'Inputs'!$B$30+'Inputs'!$B$31+'Inputs'!$B$32)/1000+'Inputs'!$B$21+'Inputs'!$B$9+'Inputs'!$B$10)+'Inputs'!$B$7)/SQRT((((420-43)*MAX('Inputs'!$B$33,'Inputs'!$B$29+'Inputs'!$B$31+'Inputs'!$B$32,'Inputs'!$B$30+'Inputs'!$B$31+'Inputs'!$B$32)/1000+'Inputs'!$B$21+'Inputs'!$B$9+'Inputs'!$B$10)+'Inputs'!$B$7)^2+('Inputs'!$B$6/2)^2)-(((420-43)*MAX('Inputs'!$B$33,'Inputs'!$B$29+'Inputs'!$B$31+'Inputs'!$B$32,'Inputs'!$B$30+'Inputs'!$B$31+'Inputs'!$B$32)/1000+'Inputs'!$B$21+'Inputs'!$B$9+'Inputs'!$B$10))/SQRT((((420-43)*MAX('Inputs'!$B$33,'Inputs'!$B$29+'Inputs'!$B$31+'Inputs'!$B$32,'Inputs'!$B$30+'Inputs'!$B$31+'Inputs'!$B$32)/1000+'Inputs'!$B$21+'Inputs'!$B$9+'Inputs'!$B$10))^2+('Inputs'!$B$6/2)^2))))*'Results'!$B$8)+'Inputs'!$B$28*ABS((('Results'!C7*(1+'Inputs'!$B$24)*(0.5*((((420-43)*MAX('Inputs'!$B$33,'Inputs'!$B$29+'Inputs'!$B$31+'Inputs'!$B$32,'Inputs'!$B$30+'Inputs'!$B$31+'Inputs'!$B$32)/1000+'Inputs'!$B$21)+'Inputs'!$B$9)/SQRT((((420-43)*MAX('Inputs'!$B$33,'Inputs'!$B$29+'Inputs'!$B$31+'Inputs'!$B$32,'Inputs'!$B$30+'Inputs'!$B$31+'Inputs'!$B$32)/1000+'Inputs'!$B$21)+'Inputs'!$B$9)^2+('Inputs'!$B$8/2)^2)-(((420-43)*MAX('Inputs'!$B$33,'Inputs'!$B$29+'Inputs'!$B$31+'Inputs'!$B$32,'Inputs'!$B$30+'Inputs'!$B$31+'Inputs'!$B$32)/1000+'Inputs'!$B$21))/SQRT((((420-43)*MAX('Inputs'!$B$33,'Inputs'!$B$29+'Inputs'!$B$31+'Inputs'!$B$32,'Inputs'!$B$30+'Inputs'!$B$31+'Inputs'!$B$32)/1000+'Inputs'!$B$21))^2+('Inputs'!$B$8/2)^2)))-'Results'!B7*(1-'Inputs'!$B$24)*(0.5*((((420-43)*MAX('Inputs'!$B$33,'Inputs'!$B$29+'Inputs'!$B$31+'Inputs'!$B$32,'Inputs'!$B$30+'Inputs'!$B$31+'Inputs'!$B$32)/1000+'Inputs'!$B$21+'Inputs'!$B$9+'Inputs'!$B$10)+'Inputs'!$B$7)/SQRT((((420-43)*MAX('Inputs'!$B$33,'Inputs'!$B$29+'Inputs'!$B$31+'Inputs'!$B$32,'Inputs'!$B$30+'Inputs'!$B$31+'Inputs'!$B$32)/1000+'Inputs'!$B$21+'Inputs'!$B$9+'Inputs'!$B$10)+'Inputs'!$B$7)^2+('Inputs'!$B$6/2)^2)-(((420-43)*MAX('Inputs'!$B$33,'Inputs'!$B$29+'Inputs'!$B$31+'Inputs'!$B$32,'Inputs'!$B$30+'Inputs'!$B$31+'Inputs'!$B$32)/1000+'Inputs'!$B$21+'Inputs'!$B$9+'Inputs'!$B$10))/SQRT((((420-43)*MAX('Inputs'!$B$33,'Inputs'!$B$29+'Inputs'!$B$31+'Inputs'!$B$32,'Inputs'!$B$30+'Inputs'!$B$31+'Inputs'!$B$32)/1000+'Inputs'!$B$21+'Inputs'!$B$9+'Inputs'!$B$10))^2+('Inputs'!$B$6/2)^2))))*'Results'!$B$8))),"")</x:f>
        <x:v>11.268111790529877</x:v>
      </x:c>
      <x:c r="P420" t="n">
        <x:f>IF(AND(MAX(J420,J419)&gt;0,J420&gt;J419+0.00000001),1,0)</x:f>
        <x:v>0</x:v>
      </x:c>
      <x:c r="Q420" t="n">
        <x:f>IF(AND(MAX(K420,K419)&gt;0,K420&gt;K419+0.00000001),1,0)</x:f>
        <x:v>0</x:v>
      </x:c>
      <x:c r="R420" t="n">
        <x:f>IF(AND(MAX(L420,L419)&gt;0,L420&gt;L419+0.00000001),1,0)</x:f>
        <x:v>0</x:v>
      </x:c>
      <x:c r="S420" t="n">
        <x:f>IF(AND(MAX(M420,M419)&gt;0,M420&gt;M419+0.00000001),1,0)</x:f>
        <x:v>0</x:v>
      </x:c>
      <x:c r="T420" t="n">
        <x:f>IF(AND(MAX(N420,N419)&gt;0,N420&gt;N419+0.00000001),1,0)</x:f>
        <x:v>0</x:v>
      </x:c>
      <x:c r="U420" t="n">
        <x:f>IF(AND(MAX(O420,O419)&gt;0,O420&gt;O419+0.00000001),1,0)</x:f>
        <x:v>0</x:v>
      </x:c>
    </x:row>
    <x:row r="421">
      <x:c r="J421" t="n">
        <x:f>IF(AND(ISNUMBER('Results'!B7),ISNUMBER('Results'!C7),ISNUMBER('Results'!$B$8),ISNUMBER('Inputs'!$B$6),ISNUMBER('Inputs'!$B$7),ISNUMBER('Inputs'!$B$8),ISNUMBER('Inputs'!$B$9),ISNUMBER('Inputs'!$B$10),ISNUMBER('Inputs'!$B$21),ISNUMBER('Inputs'!$B$24),ISNUMBER('Inputs'!$B$28)),(('Results'!B7*(0.5*((((421-43)*MAX('Inputs'!$B$33,'Inputs'!$B$29+'Inputs'!$B$31+'Inputs'!$B$32,'Inputs'!$B$30+'Inputs'!$B$31+'Inputs'!$B$32)/1000+'Inputs'!$B$21)+'Inputs'!$B$7)/SQRT((((421-43)*MAX('Inputs'!$B$33,'Inputs'!$B$29+'Inputs'!$B$31+'Inputs'!$B$32,'Inputs'!$B$30+'Inputs'!$B$31+'Inputs'!$B$32)/1000+'Inputs'!$B$21)+'Inputs'!$B$7)^2+('Inputs'!$B$6/2)^2)-(((421-43)*MAX('Inputs'!$B$33,'Inputs'!$B$29+'Inputs'!$B$31+'Inputs'!$B$32,'Inputs'!$B$30+'Inputs'!$B$31+'Inputs'!$B$32)/1000+'Inputs'!$B$21))/SQRT((((421-43)*MAX('Inputs'!$B$33,'Inputs'!$B$29+'Inputs'!$B$31+'Inputs'!$B$32,'Inputs'!$B$30+'Inputs'!$B$31+'Inputs'!$B$32)/1000+'Inputs'!$B$21))^2+('Inputs'!$B$6/2)^2)))-'Results'!C7*(0.5*((((421-43)*MAX('Inputs'!$B$33,'Inputs'!$B$29+'Inputs'!$B$31+'Inputs'!$B$32,'Inputs'!$B$30+'Inputs'!$B$31+'Inputs'!$B$32)/1000+'Inputs'!$B$21+'Inputs'!$B$7+'Inputs'!$B$10)+'Inputs'!$B$9)/SQRT((((421-43)*MAX('Inputs'!$B$33,'Inputs'!$B$29+'Inputs'!$B$31+'Inputs'!$B$32,'Inputs'!$B$30+'Inputs'!$B$31+'Inputs'!$B$32)/1000+'Inputs'!$B$21+'Inputs'!$B$7+'Inputs'!$B$10)+'Inputs'!$B$9)^2+('Inputs'!$B$8/2)^2)-(((421-43)*MAX('Inputs'!$B$33,'Inputs'!$B$29+'Inputs'!$B$31+'Inputs'!$B$32,'Inputs'!$B$30+'Inputs'!$B$31+'Inputs'!$B$32)/1000+'Inputs'!$B$21+'Inputs'!$B$7+'Inputs'!$B$10))/SQRT((((421-43)*MAX('Inputs'!$B$33,'Inputs'!$B$29+'Inputs'!$B$31+'Inputs'!$B$32,'Inputs'!$B$30+'Inputs'!$B$31+'Inputs'!$B$32)/1000+'Inputs'!$B$21+'Inputs'!$B$7+'Inputs'!$B$10))^2+('Inputs'!$B$8/2)^2))))*'Results'!$B$8),"")</x:f>
        <x:v>10.647173303539876</x:v>
      </x:c>
      <x:c r="K421" t="n">
        <x:f>IF(AND(ISNUMBER('Results'!B7),ISNUMBER('Results'!C7),ISNUMBER('Results'!$B$8),ISNUMBER('Inputs'!$B$6),ISNUMBER('Inputs'!$B$7),ISNUMBER('Inputs'!$B$8),ISNUMBER('Inputs'!$B$9),ISNUMBER('Inputs'!$B$10),ISNUMBER('Inputs'!$B$21),ISNUMBER('Inputs'!$B$24),ISNUMBER('Inputs'!$B$28)),((('Results'!B7*(1-'Inputs'!$B$24)*(0.5*((((421-43)*MAX('Inputs'!$B$33,'Inputs'!$B$29+'Inputs'!$B$31+'Inputs'!$B$32,'Inputs'!$B$30+'Inputs'!$B$31+'Inputs'!$B$32)/1000+'Inputs'!$B$21)+'Inputs'!$B$7)/SQRT((((421-43)*MAX('Inputs'!$B$33,'Inputs'!$B$29+'Inputs'!$B$31+'Inputs'!$B$32,'Inputs'!$B$30+'Inputs'!$B$31+'Inputs'!$B$32)/1000+'Inputs'!$B$21)+'Inputs'!$B$7)^2+('Inputs'!$B$6/2)^2)-(((421-43)*MAX('Inputs'!$B$33,'Inputs'!$B$29+'Inputs'!$B$31+'Inputs'!$B$32,'Inputs'!$B$30+'Inputs'!$B$31+'Inputs'!$B$32)/1000+'Inputs'!$B$21))/SQRT((((421-43)*MAX('Inputs'!$B$33,'Inputs'!$B$29+'Inputs'!$B$31+'Inputs'!$B$32,'Inputs'!$B$30+'Inputs'!$B$31+'Inputs'!$B$32)/1000+'Inputs'!$B$21))^2+('Inputs'!$B$6/2)^2)))-'Results'!C7*(1+'Inputs'!$B$24)*(0.5*((((421-43)*MAX('Inputs'!$B$33,'Inputs'!$B$29+'Inputs'!$B$31+'Inputs'!$B$32,'Inputs'!$B$30+'Inputs'!$B$31+'Inputs'!$B$32)/1000+'Inputs'!$B$21+'Inputs'!$B$7+'Inputs'!$B$10)+'Inputs'!$B$9)/SQRT((((421-43)*MAX('Inputs'!$B$33,'Inputs'!$B$29+'Inputs'!$B$31+'Inputs'!$B$32,'Inputs'!$B$30+'Inputs'!$B$31+'Inputs'!$B$32)/1000+'Inputs'!$B$21+'Inputs'!$B$7+'Inputs'!$B$10)+'Inputs'!$B$9)^2+('Inputs'!$B$8/2)^2)-(((421-43)*MAX('Inputs'!$B$33,'Inputs'!$B$29+'Inputs'!$B$31+'Inputs'!$B$32,'Inputs'!$B$30+'Inputs'!$B$31+'Inputs'!$B$32)/1000+'Inputs'!$B$21+'Inputs'!$B$7+'Inputs'!$B$10))/SQRT((((421-43)*MAX('Inputs'!$B$33,'Inputs'!$B$29+'Inputs'!$B$31+'Inputs'!$B$32,'Inputs'!$B$30+'Inputs'!$B$31+'Inputs'!$B$32)/1000+'Inputs'!$B$21+'Inputs'!$B$7+'Inputs'!$B$10))^2+('Inputs'!$B$8/2)^2))))*'Results'!$B$8)-'Inputs'!$B$28*ABS((('Results'!B7*(1-'Inputs'!$B$24)*(0.5*((((421-43)*MAX('Inputs'!$B$33,'Inputs'!$B$29+'Inputs'!$B$31+'Inputs'!$B$32,'Inputs'!$B$30+'Inputs'!$B$31+'Inputs'!$B$32)/1000+'Inputs'!$B$21)+'Inputs'!$B$7)/SQRT((((421-43)*MAX('Inputs'!$B$33,'Inputs'!$B$29+'Inputs'!$B$31+'Inputs'!$B$32,'Inputs'!$B$30+'Inputs'!$B$31+'Inputs'!$B$32)/1000+'Inputs'!$B$21)+'Inputs'!$B$7)^2+('Inputs'!$B$6/2)^2)-(((421-43)*MAX('Inputs'!$B$33,'Inputs'!$B$29+'Inputs'!$B$31+'Inputs'!$B$32,'Inputs'!$B$30+'Inputs'!$B$31+'Inputs'!$B$32)/1000+'Inputs'!$B$21))/SQRT((((421-43)*MAX('Inputs'!$B$33,'Inputs'!$B$29+'Inputs'!$B$31+'Inputs'!$B$32,'Inputs'!$B$30+'Inputs'!$B$31+'Inputs'!$B$32)/1000+'Inputs'!$B$21))^2+('Inputs'!$B$6/2)^2)))-'Results'!C7*(1+'Inputs'!$B$24)*(0.5*((((421-43)*MAX('Inputs'!$B$33,'Inputs'!$B$29+'Inputs'!$B$31+'Inputs'!$B$32,'Inputs'!$B$30+'Inputs'!$B$31+'Inputs'!$B$32)/1000+'Inputs'!$B$21+'Inputs'!$B$7+'Inputs'!$B$10)+'Inputs'!$B$9)/SQRT((((421-43)*MAX('Inputs'!$B$33,'Inputs'!$B$29+'Inputs'!$B$31+'Inputs'!$B$32,'Inputs'!$B$30+'Inputs'!$B$31+'Inputs'!$B$32)/1000+'Inputs'!$B$21+'Inputs'!$B$7+'Inputs'!$B$10)+'Inputs'!$B$9)^2+('Inputs'!$B$8/2)^2)-(((421-43)*MAX('Inputs'!$B$33,'Inputs'!$B$29+'Inputs'!$B$31+'Inputs'!$B$32,'Inputs'!$B$30+'Inputs'!$B$31+'Inputs'!$B$32)/1000+'Inputs'!$B$21+'Inputs'!$B$7+'Inputs'!$B$10))/SQRT((((421-43)*MAX('Inputs'!$B$33,'Inputs'!$B$29+'Inputs'!$B$31+'Inputs'!$B$32,'Inputs'!$B$30+'Inputs'!$B$31+'Inputs'!$B$32)/1000+'Inputs'!$B$21+'Inputs'!$B$7+'Inputs'!$B$10))^2+('Inputs'!$B$8/2)^2))))*'Results'!$B$8))),"")</x:f>
        <x:v>9.556291223962987</x:v>
      </x:c>
      <x:c r="L421" t="n">
        <x:f>IF(AND(ISNUMBER('Results'!B7),ISNUMBER('Results'!C7),ISNUMBER('Results'!$B$8),ISNUMBER('Inputs'!$B$6),ISNUMBER('Inputs'!$B$7),ISNUMBER('Inputs'!$B$8),ISNUMBER('Inputs'!$B$9),ISNUMBER('Inputs'!$B$10),ISNUMBER('Inputs'!$B$21),ISNUMBER('Inputs'!$B$24),ISNUMBER('Inputs'!$B$28)),((('Results'!B7*(1+'Inputs'!$B$24)*(0.5*((((421-43)*MAX('Inputs'!$B$33,'Inputs'!$B$29+'Inputs'!$B$31+'Inputs'!$B$32,'Inputs'!$B$30+'Inputs'!$B$31+'Inputs'!$B$32)/1000+'Inputs'!$B$21)+'Inputs'!$B$7)/SQRT((((421-43)*MAX('Inputs'!$B$33,'Inputs'!$B$29+'Inputs'!$B$31+'Inputs'!$B$32,'Inputs'!$B$30+'Inputs'!$B$31+'Inputs'!$B$32)/1000+'Inputs'!$B$21)+'Inputs'!$B$7)^2+('Inputs'!$B$6/2)^2)-(((421-43)*MAX('Inputs'!$B$33,'Inputs'!$B$29+'Inputs'!$B$31+'Inputs'!$B$32,'Inputs'!$B$30+'Inputs'!$B$31+'Inputs'!$B$32)/1000+'Inputs'!$B$21))/SQRT((((421-43)*MAX('Inputs'!$B$33,'Inputs'!$B$29+'Inputs'!$B$31+'Inputs'!$B$32,'Inputs'!$B$30+'Inputs'!$B$31+'Inputs'!$B$32)/1000+'Inputs'!$B$21))^2+('Inputs'!$B$6/2)^2)))-'Results'!C7*(1-'Inputs'!$B$24)*(0.5*((((421-43)*MAX('Inputs'!$B$33,'Inputs'!$B$29+'Inputs'!$B$31+'Inputs'!$B$32,'Inputs'!$B$30+'Inputs'!$B$31+'Inputs'!$B$32)/1000+'Inputs'!$B$21+'Inputs'!$B$7+'Inputs'!$B$10)+'Inputs'!$B$9)/SQRT((((421-43)*MAX('Inputs'!$B$33,'Inputs'!$B$29+'Inputs'!$B$31+'Inputs'!$B$32,'Inputs'!$B$30+'Inputs'!$B$31+'Inputs'!$B$32)/1000+'Inputs'!$B$21+'Inputs'!$B$7+'Inputs'!$B$10)+'Inputs'!$B$9)^2+('Inputs'!$B$8/2)^2)-(((421-43)*MAX('Inputs'!$B$33,'Inputs'!$B$29+'Inputs'!$B$31+'Inputs'!$B$32,'Inputs'!$B$30+'Inputs'!$B$31+'Inputs'!$B$32)/1000+'Inputs'!$B$21+'Inputs'!$B$7+'Inputs'!$B$10))/SQRT((((421-43)*MAX('Inputs'!$B$33,'Inputs'!$B$29+'Inputs'!$B$31+'Inputs'!$B$32,'Inputs'!$B$30+'Inputs'!$B$31+'Inputs'!$B$32)/1000+'Inputs'!$B$21+'Inputs'!$B$7+'Inputs'!$B$10))^2+('Inputs'!$B$8/2)^2))))*'Results'!$B$8)+'Inputs'!$B$28*ABS((('Results'!B7*(1+'Inputs'!$B$24)*(0.5*((((421-43)*MAX('Inputs'!$B$33,'Inputs'!$B$29+'Inputs'!$B$31+'Inputs'!$B$32,'Inputs'!$B$30+'Inputs'!$B$31+'Inputs'!$B$32)/1000+'Inputs'!$B$21)+'Inputs'!$B$7)/SQRT((((421-43)*MAX('Inputs'!$B$33,'Inputs'!$B$29+'Inputs'!$B$31+'Inputs'!$B$32,'Inputs'!$B$30+'Inputs'!$B$31+'Inputs'!$B$32)/1000+'Inputs'!$B$21)+'Inputs'!$B$7)^2+('Inputs'!$B$6/2)^2)-(((421-43)*MAX('Inputs'!$B$33,'Inputs'!$B$29+'Inputs'!$B$31+'Inputs'!$B$32,'Inputs'!$B$30+'Inputs'!$B$31+'Inputs'!$B$32)/1000+'Inputs'!$B$21))/SQRT((((421-43)*MAX('Inputs'!$B$33,'Inputs'!$B$29+'Inputs'!$B$31+'Inputs'!$B$32,'Inputs'!$B$30+'Inputs'!$B$31+'Inputs'!$B$32)/1000+'Inputs'!$B$21))^2+('Inputs'!$B$6/2)^2)))-'Results'!C7*(1-'Inputs'!$B$24)*(0.5*((((421-43)*MAX('Inputs'!$B$33,'Inputs'!$B$29+'Inputs'!$B$31+'Inputs'!$B$32,'Inputs'!$B$30+'Inputs'!$B$31+'Inputs'!$B$32)/1000+'Inputs'!$B$21+'Inputs'!$B$7+'Inputs'!$B$10)+'Inputs'!$B$9)/SQRT((((421-43)*MAX('Inputs'!$B$33,'Inputs'!$B$29+'Inputs'!$B$31+'Inputs'!$B$32,'Inputs'!$B$30+'Inputs'!$B$31+'Inputs'!$B$32)/1000+'Inputs'!$B$21+'Inputs'!$B$7+'Inputs'!$B$10)+'Inputs'!$B$9)^2+('Inputs'!$B$8/2)^2)-(((421-43)*MAX('Inputs'!$B$33,'Inputs'!$B$29+'Inputs'!$B$31+'Inputs'!$B$32,'Inputs'!$B$30+'Inputs'!$B$31+'Inputs'!$B$32)/1000+'Inputs'!$B$21+'Inputs'!$B$7+'Inputs'!$B$10))/SQRT((((421-43)*MAX('Inputs'!$B$33,'Inputs'!$B$29+'Inputs'!$B$31+'Inputs'!$B$32,'Inputs'!$B$30+'Inputs'!$B$31+'Inputs'!$B$32)/1000+'Inputs'!$B$21+'Inputs'!$B$7+'Inputs'!$B$10))^2+('Inputs'!$B$8/2)^2))))*'Results'!$B$8))),"")</x:f>
        <x:v>11.796847321474653</x:v>
      </x:c>
      <x:c r="M421" t="n">
        <x:f>IF(AND(ISNUMBER('Results'!C7),ISNUMBER('Results'!B7),ISNUMBER('Results'!$B$8),ISNUMBER('Inputs'!$B$6),ISNUMBER('Inputs'!$B$7),ISNUMBER('Inputs'!$B$8),ISNUMBER('Inputs'!$B$9),ISNUMBER('Inputs'!$B$10),ISNUMBER('Inputs'!$B$21),ISNUMBER('Inputs'!$B$24),ISNUMBER('Inputs'!$B$28)),(('Results'!C7*(0.5*((((421-43)*MAX('Inputs'!$B$33,'Inputs'!$B$29+'Inputs'!$B$31+'Inputs'!$B$32,'Inputs'!$B$30+'Inputs'!$B$31+'Inputs'!$B$32)/1000+'Inputs'!$B$21)+'Inputs'!$B$9)/SQRT((((421-43)*MAX('Inputs'!$B$33,'Inputs'!$B$29+'Inputs'!$B$31+'Inputs'!$B$32,'Inputs'!$B$30+'Inputs'!$B$31+'Inputs'!$B$32)/1000+'Inputs'!$B$21)+'Inputs'!$B$9)^2+('Inputs'!$B$8/2)^2)-(((421-43)*MAX('Inputs'!$B$33,'Inputs'!$B$29+'Inputs'!$B$31+'Inputs'!$B$32,'Inputs'!$B$30+'Inputs'!$B$31+'Inputs'!$B$32)/1000+'Inputs'!$B$21))/SQRT((((421-43)*MAX('Inputs'!$B$33,'Inputs'!$B$29+'Inputs'!$B$31+'Inputs'!$B$32,'Inputs'!$B$30+'Inputs'!$B$31+'Inputs'!$B$32)/1000+'Inputs'!$B$21))^2+('Inputs'!$B$8/2)^2)))-'Results'!B7*(0.5*((((421-43)*MAX('Inputs'!$B$33,'Inputs'!$B$29+'Inputs'!$B$31+'Inputs'!$B$32,'Inputs'!$B$30+'Inputs'!$B$31+'Inputs'!$B$32)/1000+'Inputs'!$B$21+'Inputs'!$B$9+'Inputs'!$B$10)+'Inputs'!$B$7)/SQRT((((421-43)*MAX('Inputs'!$B$33,'Inputs'!$B$29+'Inputs'!$B$31+'Inputs'!$B$32,'Inputs'!$B$30+'Inputs'!$B$31+'Inputs'!$B$32)/1000+'Inputs'!$B$21+'Inputs'!$B$9+'Inputs'!$B$10)+'Inputs'!$B$7)^2+('Inputs'!$B$6/2)^2)-(((421-43)*MAX('Inputs'!$B$33,'Inputs'!$B$29+'Inputs'!$B$31+'Inputs'!$B$32,'Inputs'!$B$30+'Inputs'!$B$31+'Inputs'!$B$32)/1000+'Inputs'!$B$21+'Inputs'!$B$9+'Inputs'!$B$10))/SQRT((((421-43)*MAX('Inputs'!$B$33,'Inputs'!$B$29+'Inputs'!$B$31+'Inputs'!$B$32,'Inputs'!$B$30+'Inputs'!$B$31+'Inputs'!$B$32)/1000+'Inputs'!$B$21+'Inputs'!$B$9+'Inputs'!$B$10))^2+('Inputs'!$B$6/2)^2))))*'Results'!$B$8),"")</x:f>
        <x:v>10.05542763508851</x:v>
      </x:c>
      <x:c r="N421" t="n">
        <x:f>IF(AND(ISNUMBER('Results'!C7),ISNUMBER('Results'!B7),ISNUMBER('Results'!$B$8),ISNUMBER('Inputs'!$B$6),ISNUMBER('Inputs'!$B$7),ISNUMBER('Inputs'!$B$8),ISNUMBER('Inputs'!$B$9),ISNUMBER('Inputs'!$B$10),ISNUMBER('Inputs'!$B$21),ISNUMBER('Inputs'!$B$24),ISNUMBER('Inputs'!$B$28)),((('Results'!C7*(1-'Inputs'!$B$24)*(0.5*((((421-43)*MAX('Inputs'!$B$33,'Inputs'!$B$29+'Inputs'!$B$31+'Inputs'!$B$32,'Inputs'!$B$30+'Inputs'!$B$31+'Inputs'!$B$32)/1000+'Inputs'!$B$21)+'Inputs'!$B$9)/SQRT((((421-43)*MAX('Inputs'!$B$33,'Inputs'!$B$29+'Inputs'!$B$31+'Inputs'!$B$32,'Inputs'!$B$30+'Inputs'!$B$31+'Inputs'!$B$32)/1000+'Inputs'!$B$21)+'Inputs'!$B$9)^2+('Inputs'!$B$8/2)^2)-(((421-43)*MAX('Inputs'!$B$33,'Inputs'!$B$29+'Inputs'!$B$31+'Inputs'!$B$32,'Inputs'!$B$30+'Inputs'!$B$31+'Inputs'!$B$32)/1000+'Inputs'!$B$21))/SQRT((((421-43)*MAX('Inputs'!$B$33,'Inputs'!$B$29+'Inputs'!$B$31+'Inputs'!$B$32,'Inputs'!$B$30+'Inputs'!$B$31+'Inputs'!$B$32)/1000+'Inputs'!$B$21))^2+('Inputs'!$B$8/2)^2)))-'Results'!B7*(1+'Inputs'!$B$24)*(0.5*((((421-43)*MAX('Inputs'!$B$33,'Inputs'!$B$29+'Inputs'!$B$31+'Inputs'!$B$32,'Inputs'!$B$30+'Inputs'!$B$31+'Inputs'!$B$32)/1000+'Inputs'!$B$21+'Inputs'!$B$9+'Inputs'!$B$10)+'Inputs'!$B$7)/SQRT((((421-43)*MAX('Inputs'!$B$33,'Inputs'!$B$29+'Inputs'!$B$31+'Inputs'!$B$32,'Inputs'!$B$30+'Inputs'!$B$31+'Inputs'!$B$32)/1000+'Inputs'!$B$21+'Inputs'!$B$9+'Inputs'!$B$10)+'Inputs'!$B$7)^2+('Inputs'!$B$6/2)^2)-(((421-43)*MAX('Inputs'!$B$33,'Inputs'!$B$29+'Inputs'!$B$31+'Inputs'!$B$32,'Inputs'!$B$30+'Inputs'!$B$31+'Inputs'!$B$32)/1000+'Inputs'!$B$21+'Inputs'!$B$9+'Inputs'!$B$10))/SQRT((((421-43)*MAX('Inputs'!$B$33,'Inputs'!$B$29+'Inputs'!$B$31+'Inputs'!$B$32,'Inputs'!$B$30+'Inputs'!$B$31+'Inputs'!$B$32)/1000+'Inputs'!$B$21+'Inputs'!$B$9+'Inputs'!$B$10))^2+('Inputs'!$B$6/2)^2))))*'Results'!$B$8)-'Inputs'!$B$28*ABS((('Results'!C7*(1-'Inputs'!$B$24)*(0.5*((((421-43)*MAX('Inputs'!$B$33,'Inputs'!$B$29+'Inputs'!$B$31+'Inputs'!$B$32,'Inputs'!$B$30+'Inputs'!$B$31+'Inputs'!$B$32)/1000+'Inputs'!$B$21)+'Inputs'!$B$9)/SQRT((((421-43)*MAX('Inputs'!$B$33,'Inputs'!$B$29+'Inputs'!$B$31+'Inputs'!$B$32,'Inputs'!$B$30+'Inputs'!$B$31+'Inputs'!$B$32)/1000+'Inputs'!$B$21)+'Inputs'!$B$9)^2+('Inputs'!$B$8/2)^2)-(((421-43)*MAX('Inputs'!$B$33,'Inputs'!$B$29+'Inputs'!$B$31+'Inputs'!$B$32,'Inputs'!$B$30+'Inputs'!$B$31+'Inputs'!$B$32)/1000+'Inputs'!$B$21))/SQRT((((421-43)*MAX('Inputs'!$B$33,'Inputs'!$B$29+'Inputs'!$B$31+'Inputs'!$B$32,'Inputs'!$B$30+'Inputs'!$B$31+'Inputs'!$B$32)/1000+'Inputs'!$B$21))^2+('Inputs'!$B$8/2)^2)))-'Results'!B7*(1+'Inputs'!$B$24)*(0.5*((((421-43)*MAX('Inputs'!$B$33,'Inputs'!$B$29+'Inputs'!$B$31+'Inputs'!$B$32,'Inputs'!$B$30+'Inputs'!$B$31+'Inputs'!$B$32)/1000+'Inputs'!$B$21+'Inputs'!$B$9+'Inputs'!$B$10)+'Inputs'!$B$7)/SQRT((((421-43)*MAX('Inputs'!$B$33,'Inputs'!$B$29+'Inputs'!$B$31+'Inputs'!$B$32,'Inputs'!$B$30+'Inputs'!$B$31+'Inputs'!$B$32)/1000+'Inputs'!$B$21+'Inputs'!$B$9+'Inputs'!$B$10)+'Inputs'!$B$7)^2+('Inputs'!$B$6/2)^2)-(((421-43)*MAX('Inputs'!$B$33,'Inputs'!$B$29+'Inputs'!$B$31+'Inputs'!$B$32,'Inputs'!$B$30+'Inputs'!$B$31+'Inputs'!$B$32)/1000+'Inputs'!$B$21+'Inputs'!$B$9+'Inputs'!$B$10))/SQRT((((421-43)*MAX('Inputs'!$B$33,'Inputs'!$B$29+'Inputs'!$B$31+'Inputs'!$B$32,'Inputs'!$B$30+'Inputs'!$B$31+'Inputs'!$B$32)/1000+'Inputs'!$B$21+'Inputs'!$B$9+'Inputs'!$B$10))^2+('Inputs'!$B$6/2)^2))))*'Results'!$B$8))),"")</x:f>
        <x:v>8.998106065376952</x:v>
      </x:c>
      <x:c r="O421" t="n">
        <x:f>IF(AND(ISNUMBER('Results'!C7),ISNUMBER('Results'!B7),ISNUMBER('Results'!$B$8),ISNUMBER('Inputs'!$B$6),ISNUMBER('Inputs'!$B$7),ISNUMBER('Inputs'!$B$8),ISNUMBER('Inputs'!$B$9),ISNUMBER('Inputs'!$B$10),ISNUMBER('Inputs'!$B$21),ISNUMBER('Inputs'!$B$24),ISNUMBER('Inputs'!$B$28)),((('Results'!C7*(1+'Inputs'!$B$24)*(0.5*((((421-43)*MAX('Inputs'!$B$33,'Inputs'!$B$29+'Inputs'!$B$31+'Inputs'!$B$32,'Inputs'!$B$30+'Inputs'!$B$31+'Inputs'!$B$32)/1000+'Inputs'!$B$21)+'Inputs'!$B$9)/SQRT((((421-43)*MAX('Inputs'!$B$33,'Inputs'!$B$29+'Inputs'!$B$31+'Inputs'!$B$32,'Inputs'!$B$30+'Inputs'!$B$31+'Inputs'!$B$32)/1000+'Inputs'!$B$21)+'Inputs'!$B$9)^2+('Inputs'!$B$8/2)^2)-(((421-43)*MAX('Inputs'!$B$33,'Inputs'!$B$29+'Inputs'!$B$31+'Inputs'!$B$32,'Inputs'!$B$30+'Inputs'!$B$31+'Inputs'!$B$32)/1000+'Inputs'!$B$21))/SQRT((((421-43)*MAX('Inputs'!$B$33,'Inputs'!$B$29+'Inputs'!$B$31+'Inputs'!$B$32,'Inputs'!$B$30+'Inputs'!$B$31+'Inputs'!$B$32)/1000+'Inputs'!$B$21))^2+('Inputs'!$B$8/2)^2)))-'Results'!B7*(1-'Inputs'!$B$24)*(0.5*((((421-43)*MAX('Inputs'!$B$33,'Inputs'!$B$29+'Inputs'!$B$31+'Inputs'!$B$32,'Inputs'!$B$30+'Inputs'!$B$31+'Inputs'!$B$32)/1000+'Inputs'!$B$21+'Inputs'!$B$9+'Inputs'!$B$10)+'Inputs'!$B$7)/SQRT((((421-43)*MAX('Inputs'!$B$33,'Inputs'!$B$29+'Inputs'!$B$31+'Inputs'!$B$32,'Inputs'!$B$30+'Inputs'!$B$31+'Inputs'!$B$32)/1000+'Inputs'!$B$21+'Inputs'!$B$9+'Inputs'!$B$10)+'Inputs'!$B$7)^2+('Inputs'!$B$6/2)^2)-(((421-43)*MAX('Inputs'!$B$33,'Inputs'!$B$29+'Inputs'!$B$31+'Inputs'!$B$32,'Inputs'!$B$30+'Inputs'!$B$31+'Inputs'!$B$32)/1000+'Inputs'!$B$21+'Inputs'!$B$9+'Inputs'!$B$10))/SQRT((((421-43)*MAX('Inputs'!$B$33,'Inputs'!$B$29+'Inputs'!$B$31+'Inputs'!$B$32,'Inputs'!$B$30+'Inputs'!$B$31+'Inputs'!$B$32)/1000+'Inputs'!$B$21+'Inputs'!$B$9+'Inputs'!$B$10))^2+('Inputs'!$B$6/2)^2))))*'Results'!$B$8)+'Inputs'!$B$28*ABS((('Results'!C7*(1+'Inputs'!$B$24)*(0.5*((((421-43)*MAX('Inputs'!$B$33,'Inputs'!$B$29+'Inputs'!$B$31+'Inputs'!$B$32,'Inputs'!$B$30+'Inputs'!$B$31+'Inputs'!$B$32)/1000+'Inputs'!$B$21)+'Inputs'!$B$9)/SQRT((((421-43)*MAX('Inputs'!$B$33,'Inputs'!$B$29+'Inputs'!$B$31+'Inputs'!$B$32,'Inputs'!$B$30+'Inputs'!$B$31+'Inputs'!$B$32)/1000+'Inputs'!$B$21)+'Inputs'!$B$9)^2+('Inputs'!$B$8/2)^2)-(((421-43)*MAX('Inputs'!$B$33,'Inputs'!$B$29+'Inputs'!$B$31+'Inputs'!$B$32,'Inputs'!$B$30+'Inputs'!$B$31+'Inputs'!$B$32)/1000+'Inputs'!$B$21))/SQRT((((421-43)*MAX('Inputs'!$B$33,'Inputs'!$B$29+'Inputs'!$B$31+'Inputs'!$B$32,'Inputs'!$B$30+'Inputs'!$B$31+'Inputs'!$B$32)/1000+'Inputs'!$B$21))^2+('Inputs'!$B$8/2)^2)))-'Results'!B7*(1-'Inputs'!$B$24)*(0.5*((((421-43)*MAX('Inputs'!$B$33,'Inputs'!$B$29+'Inputs'!$B$31+'Inputs'!$B$32,'Inputs'!$B$30+'Inputs'!$B$31+'Inputs'!$B$32)/1000+'Inputs'!$B$21+'Inputs'!$B$9+'Inputs'!$B$10)+'Inputs'!$B$7)/SQRT((((421-43)*MAX('Inputs'!$B$33,'Inputs'!$B$29+'Inputs'!$B$31+'Inputs'!$B$32,'Inputs'!$B$30+'Inputs'!$B$31+'Inputs'!$B$32)/1000+'Inputs'!$B$21+'Inputs'!$B$9+'Inputs'!$B$10)+'Inputs'!$B$7)^2+('Inputs'!$B$6/2)^2)-(((421-43)*MAX('Inputs'!$B$33,'Inputs'!$B$29+'Inputs'!$B$31+'Inputs'!$B$32,'Inputs'!$B$30+'Inputs'!$B$31+'Inputs'!$B$32)/1000+'Inputs'!$B$21+'Inputs'!$B$9+'Inputs'!$B$10))/SQRT((((421-43)*MAX('Inputs'!$B$33,'Inputs'!$B$29+'Inputs'!$B$31+'Inputs'!$B$32,'Inputs'!$B$30+'Inputs'!$B$31+'Inputs'!$B$32)/1000+'Inputs'!$B$21+'Inputs'!$B$9+'Inputs'!$B$10))^2+('Inputs'!$B$6/2)^2))))*'Results'!$B$8))),"")</x:f>
        <x:v>11.171122908795551</x:v>
      </x:c>
      <x:c r="P421" t="n">
        <x:f>IF(AND(MAX(J421,J420)&gt;0,J421&gt;J420+0.00000001),1,0)</x:f>
        <x:v>0</x:v>
      </x:c>
      <x:c r="Q421" t="n">
        <x:f>IF(AND(MAX(K421,K420)&gt;0,K421&gt;K420+0.00000001),1,0)</x:f>
        <x:v>0</x:v>
      </x:c>
      <x:c r="R421" t="n">
        <x:f>IF(AND(MAX(L421,L420)&gt;0,L421&gt;L420+0.00000001),1,0)</x:f>
        <x:v>0</x:v>
      </x:c>
      <x:c r="S421" t="n">
        <x:f>IF(AND(MAX(M421,M420)&gt;0,M421&gt;M420+0.00000001),1,0)</x:f>
        <x:v>0</x:v>
      </x:c>
      <x:c r="T421" t="n">
        <x:f>IF(AND(MAX(N421,N420)&gt;0,N421&gt;N420+0.00000001),1,0)</x:f>
        <x:v>0</x:v>
      </x:c>
      <x:c r="U421" t="n">
        <x:f>IF(AND(MAX(O421,O420)&gt;0,O421&gt;O420+0.00000001),1,0)</x:f>
        <x:v>0</x:v>
      </x:c>
    </x:row>
    <x:row r="422">
      <x:c r="J422" t="n">
        <x:f>IF(AND(ISNUMBER('Results'!B7),ISNUMBER('Results'!C7),ISNUMBER('Results'!$B$8),ISNUMBER('Inputs'!$B$6),ISNUMBER('Inputs'!$B$7),ISNUMBER('Inputs'!$B$8),ISNUMBER('Inputs'!$B$9),ISNUMBER('Inputs'!$B$10),ISNUMBER('Inputs'!$B$21),ISNUMBER('Inputs'!$B$24),ISNUMBER('Inputs'!$B$28)),(('Results'!B7*(0.5*((((422-43)*MAX('Inputs'!$B$33,'Inputs'!$B$29+'Inputs'!$B$31+'Inputs'!$B$32,'Inputs'!$B$30+'Inputs'!$B$31+'Inputs'!$B$32)/1000+'Inputs'!$B$21)+'Inputs'!$B$7)/SQRT((((422-43)*MAX('Inputs'!$B$33,'Inputs'!$B$29+'Inputs'!$B$31+'Inputs'!$B$32,'Inputs'!$B$30+'Inputs'!$B$31+'Inputs'!$B$32)/1000+'Inputs'!$B$21)+'Inputs'!$B$7)^2+('Inputs'!$B$6/2)^2)-(((422-43)*MAX('Inputs'!$B$33,'Inputs'!$B$29+'Inputs'!$B$31+'Inputs'!$B$32,'Inputs'!$B$30+'Inputs'!$B$31+'Inputs'!$B$32)/1000+'Inputs'!$B$21))/SQRT((((422-43)*MAX('Inputs'!$B$33,'Inputs'!$B$29+'Inputs'!$B$31+'Inputs'!$B$32,'Inputs'!$B$30+'Inputs'!$B$31+'Inputs'!$B$32)/1000+'Inputs'!$B$21))^2+('Inputs'!$B$6/2)^2)))-'Results'!C7*(0.5*((((422-43)*MAX('Inputs'!$B$33,'Inputs'!$B$29+'Inputs'!$B$31+'Inputs'!$B$32,'Inputs'!$B$30+'Inputs'!$B$31+'Inputs'!$B$32)/1000+'Inputs'!$B$21+'Inputs'!$B$7+'Inputs'!$B$10)+'Inputs'!$B$9)/SQRT((((422-43)*MAX('Inputs'!$B$33,'Inputs'!$B$29+'Inputs'!$B$31+'Inputs'!$B$32,'Inputs'!$B$30+'Inputs'!$B$31+'Inputs'!$B$32)/1000+'Inputs'!$B$21+'Inputs'!$B$7+'Inputs'!$B$10)+'Inputs'!$B$9)^2+('Inputs'!$B$8/2)^2)-(((422-43)*MAX('Inputs'!$B$33,'Inputs'!$B$29+'Inputs'!$B$31+'Inputs'!$B$32,'Inputs'!$B$30+'Inputs'!$B$31+'Inputs'!$B$32)/1000+'Inputs'!$B$21+'Inputs'!$B$7+'Inputs'!$B$10))/SQRT((((422-43)*MAX('Inputs'!$B$33,'Inputs'!$B$29+'Inputs'!$B$31+'Inputs'!$B$32,'Inputs'!$B$30+'Inputs'!$B$31+'Inputs'!$B$32)/1000+'Inputs'!$B$21+'Inputs'!$B$7+'Inputs'!$B$10))^2+('Inputs'!$B$8/2)^2))))*'Results'!$B$8),"")</x:f>
        <x:v>10.555735662439925</x:v>
      </x:c>
      <x:c r="K422" t="n">
        <x:f>IF(AND(ISNUMBER('Results'!B7),ISNUMBER('Results'!C7),ISNUMBER('Results'!$B$8),ISNUMBER('Inputs'!$B$6),ISNUMBER('Inputs'!$B$7),ISNUMBER('Inputs'!$B$8),ISNUMBER('Inputs'!$B$9),ISNUMBER('Inputs'!$B$10),ISNUMBER('Inputs'!$B$21),ISNUMBER('Inputs'!$B$24),ISNUMBER('Inputs'!$B$28)),((('Results'!B7*(1-'Inputs'!$B$24)*(0.5*((((422-43)*MAX('Inputs'!$B$33,'Inputs'!$B$29+'Inputs'!$B$31+'Inputs'!$B$32,'Inputs'!$B$30+'Inputs'!$B$31+'Inputs'!$B$32)/1000+'Inputs'!$B$21)+'Inputs'!$B$7)/SQRT((((422-43)*MAX('Inputs'!$B$33,'Inputs'!$B$29+'Inputs'!$B$31+'Inputs'!$B$32,'Inputs'!$B$30+'Inputs'!$B$31+'Inputs'!$B$32)/1000+'Inputs'!$B$21)+'Inputs'!$B$7)^2+('Inputs'!$B$6/2)^2)-(((422-43)*MAX('Inputs'!$B$33,'Inputs'!$B$29+'Inputs'!$B$31+'Inputs'!$B$32,'Inputs'!$B$30+'Inputs'!$B$31+'Inputs'!$B$32)/1000+'Inputs'!$B$21))/SQRT((((422-43)*MAX('Inputs'!$B$33,'Inputs'!$B$29+'Inputs'!$B$31+'Inputs'!$B$32,'Inputs'!$B$30+'Inputs'!$B$31+'Inputs'!$B$32)/1000+'Inputs'!$B$21))^2+('Inputs'!$B$6/2)^2)))-'Results'!C7*(1+'Inputs'!$B$24)*(0.5*((((422-43)*MAX('Inputs'!$B$33,'Inputs'!$B$29+'Inputs'!$B$31+'Inputs'!$B$32,'Inputs'!$B$30+'Inputs'!$B$31+'Inputs'!$B$32)/1000+'Inputs'!$B$21+'Inputs'!$B$7+'Inputs'!$B$10)+'Inputs'!$B$9)/SQRT((((422-43)*MAX('Inputs'!$B$33,'Inputs'!$B$29+'Inputs'!$B$31+'Inputs'!$B$32,'Inputs'!$B$30+'Inputs'!$B$31+'Inputs'!$B$32)/1000+'Inputs'!$B$21+'Inputs'!$B$7+'Inputs'!$B$10)+'Inputs'!$B$9)^2+('Inputs'!$B$8/2)^2)-(((422-43)*MAX('Inputs'!$B$33,'Inputs'!$B$29+'Inputs'!$B$31+'Inputs'!$B$32,'Inputs'!$B$30+'Inputs'!$B$31+'Inputs'!$B$32)/1000+'Inputs'!$B$21+'Inputs'!$B$7+'Inputs'!$B$10))/SQRT((((422-43)*MAX('Inputs'!$B$33,'Inputs'!$B$29+'Inputs'!$B$31+'Inputs'!$B$32,'Inputs'!$B$30+'Inputs'!$B$31+'Inputs'!$B$32)/1000+'Inputs'!$B$21+'Inputs'!$B$7+'Inputs'!$B$10))^2+('Inputs'!$B$8/2)^2))))*'Results'!$B$8)-'Inputs'!$B$28*ABS((('Results'!B7*(1-'Inputs'!$B$24)*(0.5*((((422-43)*MAX('Inputs'!$B$33,'Inputs'!$B$29+'Inputs'!$B$31+'Inputs'!$B$32,'Inputs'!$B$30+'Inputs'!$B$31+'Inputs'!$B$32)/1000+'Inputs'!$B$21)+'Inputs'!$B$7)/SQRT((((422-43)*MAX('Inputs'!$B$33,'Inputs'!$B$29+'Inputs'!$B$31+'Inputs'!$B$32,'Inputs'!$B$30+'Inputs'!$B$31+'Inputs'!$B$32)/1000+'Inputs'!$B$21)+'Inputs'!$B$7)^2+('Inputs'!$B$6/2)^2)-(((422-43)*MAX('Inputs'!$B$33,'Inputs'!$B$29+'Inputs'!$B$31+'Inputs'!$B$32,'Inputs'!$B$30+'Inputs'!$B$31+'Inputs'!$B$32)/1000+'Inputs'!$B$21))/SQRT((((422-43)*MAX('Inputs'!$B$33,'Inputs'!$B$29+'Inputs'!$B$31+'Inputs'!$B$32,'Inputs'!$B$30+'Inputs'!$B$31+'Inputs'!$B$32)/1000+'Inputs'!$B$21))^2+('Inputs'!$B$6/2)^2)))-'Results'!C7*(1+'Inputs'!$B$24)*(0.5*((((422-43)*MAX('Inputs'!$B$33,'Inputs'!$B$29+'Inputs'!$B$31+'Inputs'!$B$32,'Inputs'!$B$30+'Inputs'!$B$31+'Inputs'!$B$32)/1000+'Inputs'!$B$21+'Inputs'!$B$7+'Inputs'!$B$10)+'Inputs'!$B$9)/SQRT((((422-43)*MAX('Inputs'!$B$33,'Inputs'!$B$29+'Inputs'!$B$31+'Inputs'!$B$32,'Inputs'!$B$30+'Inputs'!$B$31+'Inputs'!$B$32)/1000+'Inputs'!$B$21+'Inputs'!$B$7+'Inputs'!$B$10)+'Inputs'!$B$9)^2+('Inputs'!$B$8/2)^2)-(((422-43)*MAX('Inputs'!$B$33,'Inputs'!$B$29+'Inputs'!$B$31+'Inputs'!$B$32,'Inputs'!$B$30+'Inputs'!$B$31+'Inputs'!$B$32)/1000+'Inputs'!$B$21+'Inputs'!$B$7+'Inputs'!$B$10))/SQRT((((422-43)*MAX('Inputs'!$B$33,'Inputs'!$B$29+'Inputs'!$B$31+'Inputs'!$B$32,'Inputs'!$B$30+'Inputs'!$B$31+'Inputs'!$B$32)/1000+'Inputs'!$B$21+'Inputs'!$B$7+'Inputs'!$B$10))^2+('Inputs'!$B$8/2)^2))))*'Results'!$B$8))),"")</x:f>
        <x:v>9.473195072425238</x:v>
      </x:c>
      <x:c r="L422" t="n">
        <x:f>IF(AND(ISNUMBER('Results'!B7),ISNUMBER('Results'!C7),ISNUMBER('Results'!$B$8),ISNUMBER('Inputs'!$B$6),ISNUMBER('Inputs'!$B$7),ISNUMBER('Inputs'!$B$8),ISNUMBER('Inputs'!$B$9),ISNUMBER('Inputs'!$B$10),ISNUMBER('Inputs'!$B$21),ISNUMBER('Inputs'!$B$24),ISNUMBER('Inputs'!$B$28)),((('Results'!B7*(1+'Inputs'!$B$24)*(0.5*((((422-43)*MAX('Inputs'!$B$33,'Inputs'!$B$29+'Inputs'!$B$31+'Inputs'!$B$32,'Inputs'!$B$30+'Inputs'!$B$31+'Inputs'!$B$32)/1000+'Inputs'!$B$21)+'Inputs'!$B$7)/SQRT((((422-43)*MAX('Inputs'!$B$33,'Inputs'!$B$29+'Inputs'!$B$31+'Inputs'!$B$32,'Inputs'!$B$30+'Inputs'!$B$31+'Inputs'!$B$32)/1000+'Inputs'!$B$21)+'Inputs'!$B$7)^2+('Inputs'!$B$6/2)^2)-(((422-43)*MAX('Inputs'!$B$33,'Inputs'!$B$29+'Inputs'!$B$31+'Inputs'!$B$32,'Inputs'!$B$30+'Inputs'!$B$31+'Inputs'!$B$32)/1000+'Inputs'!$B$21))/SQRT((((422-43)*MAX('Inputs'!$B$33,'Inputs'!$B$29+'Inputs'!$B$31+'Inputs'!$B$32,'Inputs'!$B$30+'Inputs'!$B$31+'Inputs'!$B$32)/1000+'Inputs'!$B$21))^2+('Inputs'!$B$6/2)^2)))-'Results'!C7*(1-'Inputs'!$B$24)*(0.5*((((422-43)*MAX('Inputs'!$B$33,'Inputs'!$B$29+'Inputs'!$B$31+'Inputs'!$B$32,'Inputs'!$B$30+'Inputs'!$B$31+'Inputs'!$B$32)/1000+'Inputs'!$B$21+'Inputs'!$B$7+'Inputs'!$B$10)+'Inputs'!$B$9)/SQRT((((422-43)*MAX('Inputs'!$B$33,'Inputs'!$B$29+'Inputs'!$B$31+'Inputs'!$B$32,'Inputs'!$B$30+'Inputs'!$B$31+'Inputs'!$B$32)/1000+'Inputs'!$B$21+'Inputs'!$B$7+'Inputs'!$B$10)+'Inputs'!$B$9)^2+('Inputs'!$B$8/2)^2)-(((422-43)*MAX('Inputs'!$B$33,'Inputs'!$B$29+'Inputs'!$B$31+'Inputs'!$B$32,'Inputs'!$B$30+'Inputs'!$B$31+'Inputs'!$B$32)/1000+'Inputs'!$B$21+'Inputs'!$B$7+'Inputs'!$B$10))/SQRT((((422-43)*MAX('Inputs'!$B$33,'Inputs'!$B$29+'Inputs'!$B$31+'Inputs'!$B$32,'Inputs'!$B$30+'Inputs'!$B$31+'Inputs'!$B$32)/1000+'Inputs'!$B$21+'Inputs'!$B$7+'Inputs'!$B$10))^2+('Inputs'!$B$8/2)^2))))*'Results'!$B$8)+'Inputs'!$B$28*ABS((('Results'!B7*(1+'Inputs'!$B$24)*(0.5*((((422-43)*MAX('Inputs'!$B$33,'Inputs'!$B$29+'Inputs'!$B$31+'Inputs'!$B$32,'Inputs'!$B$30+'Inputs'!$B$31+'Inputs'!$B$32)/1000+'Inputs'!$B$21)+'Inputs'!$B$7)/SQRT((((422-43)*MAX('Inputs'!$B$33,'Inputs'!$B$29+'Inputs'!$B$31+'Inputs'!$B$32,'Inputs'!$B$30+'Inputs'!$B$31+'Inputs'!$B$32)/1000+'Inputs'!$B$21)+'Inputs'!$B$7)^2+('Inputs'!$B$6/2)^2)-(((422-43)*MAX('Inputs'!$B$33,'Inputs'!$B$29+'Inputs'!$B$31+'Inputs'!$B$32,'Inputs'!$B$30+'Inputs'!$B$31+'Inputs'!$B$32)/1000+'Inputs'!$B$21))/SQRT((((422-43)*MAX('Inputs'!$B$33,'Inputs'!$B$29+'Inputs'!$B$31+'Inputs'!$B$32,'Inputs'!$B$30+'Inputs'!$B$31+'Inputs'!$B$32)/1000+'Inputs'!$B$21))^2+('Inputs'!$B$6/2)^2)))-'Results'!C7*(1-'Inputs'!$B$24)*(0.5*((((422-43)*MAX('Inputs'!$B$33,'Inputs'!$B$29+'Inputs'!$B$31+'Inputs'!$B$32,'Inputs'!$B$30+'Inputs'!$B$31+'Inputs'!$B$32)/1000+'Inputs'!$B$21+'Inputs'!$B$7+'Inputs'!$B$10)+'Inputs'!$B$9)/SQRT((((422-43)*MAX('Inputs'!$B$33,'Inputs'!$B$29+'Inputs'!$B$31+'Inputs'!$B$32,'Inputs'!$B$30+'Inputs'!$B$31+'Inputs'!$B$32)/1000+'Inputs'!$B$21+'Inputs'!$B$7+'Inputs'!$B$10)+'Inputs'!$B$9)^2+('Inputs'!$B$8/2)^2)-(((422-43)*MAX('Inputs'!$B$33,'Inputs'!$B$29+'Inputs'!$B$31+'Inputs'!$B$32,'Inputs'!$B$30+'Inputs'!$B$31+'Inputs'!$B$32)/1000+'Inputs'!$B$21+'Inputs'!$B$7+'Inputs'!$B$10))/SQRT((((422-43)*MAX('Inputs'!$B$33,'Inputs'!$B$29+'Inputs'!$B$31+'Inputs'!$B$32,'Inputs'!$B$30+'Inputs'!$B$31+'Inputs'!$B$32)/1000+'Inputs'!$B$21+'Inputs'!$B$7+'Inputs'!$B$10))^2+('Inputs'!$B$8/2)^2))))*'Results'!$B$8))),"")</x:f>
        <x:v>11.696671390022264</x:v>
      </x:c>
      <x:c r="M422" t="n">
        <x:f>IF(AND(ISNUMBER('Results'!C7),ISNUMBER('Results'!B7),ISNUMBER('Results'!$B$8),ISNUMBER('Inputs'!$B$6),ISNUMBER('Inputs'!$B$7),ISNUMBER('Inputs'!$B$8),ISNUMBER('Inputs'!$B$9),ISNUMBER('Inputs'!$B$10),ISNUMBER('Inputs'!$B$21),ISNUMBER('Inputs'!$B$24),ISNUMBER('Inputs'!$B$28)),(('Results'!C7*(0.5*((((422-43)*MAX('Inputs'!$B$33,'Inputs'!$B$29+'Inputs'!$B$31+'Inputs'!$B$32,'Inputs'!$B$30+'Inputs'!$B$31+'Inputs'!$B$32)/1000+'Inputs'!$B$21)+'Inputs'!$B$9)/SQRT((((422-43)*MAX('Inputs'!$B$33,'Inputs'!$B$29+'Inputs'!$B$31+'Inputs'!$B$32,'Inputs'!$B$30+'Inputs'!$B$31+'Inputs'!$B$32)/1000+'Inputs'!$B$21)+'Inputs'!$B$9)^2+('Inputs'!$B$8/2)^2)-(((422-43)*MAX('Inputs'!$B$33,'Inputs'!$B$29+'Inputs'!$B$31+'Inputs'!$B$32,'Inputs'!$B$30+'Inputs'!$B$31+'Inputs'!$B$32)/1000+'Inputs'!$B$21))/SQRT((((422-43)*MAX('Inputs'!$B$33,'Inputs'!$B$29+'Inputs'!$B$31+'Inputs'!$B$32,'Inputs'!$B$30+'Inputs'!$B$31+'Inputs'!$B$32)/1000+'Inputs'!$B$21))^2+('Inputs'!$B$8/2)^2)))-'Results'!B7*(0.5*((((422-43)*MAX('Inputs'!$B$33,'Inputs'!$B$29+'Inputs'!$B$31+'Inputs'!$B$32,'Inputs'!$B$30+'Inputs'!$B$31+'Inputs'!$B$32)/1000+'Inputs'!$B$21+'Inputs'!$B$9+'Inputs'!$B$10)+'Inputs'!$B$7)/SQRT((((422-43)*MAX('Inputs'!$B$33,'Inputs'!$B$29+'Inputs'!$B$31+'Inputs'!$B$32,'Inputs'!$B$30+'Inputs'!$B$31+'Inputs'!$B$32)/1000+'Inputs'!$B$21+'Inputs'!$B$9+'Inputs'!$B$10)+'Inputs'!$B$7)^2+('Inputs'!$B$6/2)^2)-(((422-43)*MAX('Inputs'!$B$33,'Inputs'!$B$29+'Inputs'!$B$31+'Inputs'!$B$32,'Inputs'!$B$30+'Inputs'!$B$31+'Inputs'!$B$32)/1000+'Inputs'!$B$21+'Inputs'!$B$9+'Inputs'!$B$10))/SQRT((((422-43)*MAX('Inputs'!$B$33,'Inputs'!$B$29+'Inputs'!$B$31+'Inputs'!$B$32,'Inputs'!$B$30+'Inputs'!$B$31+'Inputs'!$B$32)/1000+'Inputs'!$B$21+'Inputs'!$B$9+'Inputs'!$B$10))^2+('Inputs'!$B$6/2)^2))))*'Results'!$B$8),"")</x:f>
        <x:v>9.967979831024351</x:v>
      </x:c>
      <x:c r="N422" t="n">
        <x:f>IF(AND(ISNUMBER('Results'!C7),ISNUMBER('Results'!B7),ISNUMBER('Results'!$B$8),ISNUMBER('Inputs'!$B$6),ISNUMBER('Inputs'!$B$7),ISNUMBER('Inputs'!$B$8),ISNUMBER('Inputs'!$B$9),ISNUMBER('Inputs'!$B$10),ISNUMBER('Inputs'!$B$21),ISNUMBER('Inputs'!$B$24),ISNUMBER('Inputs'!$B$28)),((('Results'!C7*(1-'Inputs'!$B$24)*(0.5*((((422-43)*MAX('Inputs'!$B$33,'Inputs'!$B$29+'Inputs'!$B$31+'Inputs'!$B$32,'Inputs'!$B$30+'Inputs'!$B$31+'Inputs'!$B$32)/1000+'Inputs'!$B$21)+'Inputs'!$B$9)/SQRT((((422-43)*MAX('Inputs'!$B$33,'Inputs'!$B$29+'Inputs'!$B$31+'Inputs'!$B$32,'Inputs'!$B$30+'Inputs'!$B$31+'Inputs'!$B$32)/1000+'Inputs'!$B$21)+'Inputs'!$B$9)^2+('Inputs'!$B$8/2)^2)-(((422-43)*MAX('Inputs'!$B$33,'Inputs'!$B$29+'Inputs'!$B$31+'Inputs'!$B$32,'Inputs'!$B$30+'Inputs'!$B$31+'Inputs'!$B$32)/1000+'Inputs'!$B$21))/SQRT((((422-43)*MAX('Inputs'!$B$33,'Inputs'!$B$29+'Inputs'!$B$31+'Inputs'!$B$32,'Inputs'!$B$30+'Inputs'!$B$31+'Inputs'!$B$32)/1000+'Inputs'!$B$21))^2+('Inputs'!$B$8/2)^2)))-'Results'!B7*(1+'Inputs'!$B$24)*(0.5*((((422-43)*MAX('Inputs'!$B$33,'Inputs'!$B$29+'Inputs'!$B$31+'Inputs'!$B$32,'Inputs'!$B$30+'Inputs'!$B$31+'Inputs'!$B$32)/1000+'Inputs'!$B$21+'Inputs'!$B$9+'Inputs'!$B$10)+'Inputs'!$B$7)/SQRT((((422-43)*MAX('Inputs'!$B$33,'Inputs'!$B$29+'Inputs'!$B$31+'Inputs'!$B$32,'Inputs'!$B$30+'Inputs'!$B$31+'Inputs'!$B$32)/1000+'Inputs'!$B$21+'Inputs'!$B$9+'Inputs'!$B$10)+'Inputs'!$B$7)^2+('Inputs'!$B$6/2)^2)-(((422-43)*MAX('Inputs'!$B$33,'Inputs'!$B$29+'Inputs'!$B$31+'Inputs'!$B$32,'Inputs'!$B$30+'Inputs'!$B$31+'Inputs'!$B$32)/1000+'Inputs'!$B$21+'Inputs'!$B$9+'Inputs'!$B$10))/SQRT((((422-43)*MAX('Inputs'!$B$33,'Inputs'!$B$29+'Inputs'!$B$31+'Inputs'!$B$32,'Inputs'!$B$30+'Inputs'!$B$31+'Inputs'!$B$32)/1000+'Inputs'!$B$21+'Inputs'!$B$9+'Inputs'!$B$10))^2+('Inputs'!$B$6/2)^2))))*'Results'!$B$8)-'Inputs'!$B$28*ABS((('Results'!C7*(1-'Inputs'!$B$24)*(0.5*((((422-43)*MAX('Inputs'!$B$33,'Inputs'!$B$29+'Inputs'!$B$31+'Inputs'!$B$32,'Inputs'!$B$30+'Inputs'!$B$31+'Inputs'!$B$32)/1000+'Inputs'!$B$21)+'Inputs'!$B$9)/SQRT((((422-43)*MAX('Inputs'!$B$33,'Inputs'!$B$29+'Inputs'!$B$31+'Inputs'!$B$32,'Inputs'!$B$30+'Inputs'!$B$31+'Inputs'!$B$32)/1000+'Inputs'!$B$21)+'Inputs'!$B$9)^2+('Inputs'!$B$8/2)^2)-(((422-43)*MAX('Inputs'!$B$33,'Inputs'!$B$29+'Inputs'!$B$31+'Inputs'!$B$32,'Inputs'!$B$30+'Inputs'!$B$31+'Inputs'!$B$32)/1000+'Inputs'!$B$21))/SQRT((((422-43)*MAX('Inputs'!$B$33,'Inputs'!$B$29+'Inputs'!$B$31+'Inputs'!$B$32,'Inputs'!$B$30+'Inputs'!$B$31+'Inputs'!$B$32)/1000+'Inputs'!$B$21))^2+('Inputs'!$B$8/2)^2)))-'Results'!B7*(1+'Inputs'!$B$24)*(0.5*((((422-43)*MAX('Inputs'!$B$33,'Inputs'!$B$29+'Inputs'!$B$31+'Inputs'!$B$32,'Inputs'!$B$30+'Inputs'!$B$31+'Inputs'!$B$32)/1000+'Inputs'!$B$21+'Inputs'!$B$9+'Inputs'!$B$10)+'Inputs'!$B$7)/SQRT((((422-43)*MAX('Inputs'!$B$33,'Inputs'!$B$29+'Inputs'!$B$31+'Inputs'!$B$32,'Inputs'!$B$30+'Inputs'!$B$31+'Inputs'!$B$32)/1000+'Inputs'!$B$21+'Inputs'!$B$9+'Inputs'!$B$10)+'Inputs'!$B$7)^2+('Inputs'!$B$6/2)^2)-(((422-43)*MAX('Inputs'!$B$33,'Inputs'!$B$29+'Inputs'!$B$31+'Inputs'!$B$32,'Inputs'!$B$30+'Inputs'!$B$31+'Inputs'!$B$32)/1000+'Inputs'!$B$21+'Inputs'!$B$9+'Inputs'!$B$10))/SQRT((((422-43)*MAX('Inputs'!$B$33,'Inputs'!$B$29+'Inputs'!$B$31+'Inputs'!$B$32,'Inputs'!$B$30+'Inputs'!$B$31+'Inputs'!$B$32)/1000+'Inputs'!$B$21+'Inputs'!$B$9+'Inputs'!$B$10))^2+('Inputs'!$B$6/2)^2))))*'Results'!$B$8))),"")</x:f>
        <x:v>8.918765927473126</x:v>
      </x:c>
      <x:c r="O422" t="n">
        <x:f>IF(AND(ISNUMBER('Results'!C7),ISNUMBER('Results'!B7),ISNUMBER('Results'!$B$8),ISNUMBER('Inputs'!$B$6),ISNUMBER('Inputs'!$B$7),ISNUMBER('Inputs'!$B$8),ISNUMBER('Inputs'!$B$9),ISNUMBER('Inputs'!$B$10),ISNUMBER('Inputs'!$B$21),ISNUMBER('Inputs'!$B$24),ISNUMBER('Inputs'!$B$28)),((('Results'!C7*(1+'Inputs'!$B$24)*(0.5*((((422-43)*MAX('Inputs'!$B$33,'Inputs'!$B$29+'Inputs'!$B$31+'Inputs'!$B$32,'Inputs'!$B$30+'Inputs'!$B$31+'Inputs'!$B$32)/1000+'Inputs'!$B$21)+'Inputs'!$B$9)/SQRT((((422-43)*MAX('Inputs'!$B$33,'Inputs'!$B$29+'Inputs'!$B$31+'Inputs'!$B$32,'Inputs'!$B$30+'Inputs'!$B$31+'Inputs'!$B$32)/1000+'Inputs'!$B$21)+'Inputs'!$B$9)^2+('Inputs'!$B$8/2)^2)-(((422-43)*MAX('Inputs'!$B$33,'Inputs'!$B$29+'Inputs'!$B$31+'Inputs'!$B$32,'Inputs'!$B$30+'Inputs'!$B$31+'Inputs'!$B$32)/1000+'Inputs'!$B$21))/SQRT((((422-43)*MAX('Inputs'!$B$33,'Inputs'!$B$29+'Inputs'!$B$31+'Inputs'!$B$32,'Inputs'!$B$30+'Inputs'!$B$31+'Inputs'!$B$32)/1000+'Inputs'!$B$21))^2+('Inputs'!$B$8/2)^2)))-'Results'!B7*(1-'Inputs'!$B$24)*(0.5*((((422-43)*MAX('Inputs'!$B$33,'Inputs'!$B$29+'Inputs'!$B$31+'Inputs'!$B$32,'Inputs'!$B$30+'Inputs'!$B$31+'Inputs'!$B$32)/1000+'Inputs'!$B$21+'Inputs'!$B$9+'Inputs'!$B$10)+'Inputs'!$B$7)/SQRT((((422-43)*MAX('Inputs'!$B$33,'Inputs'!$B$29+'Inputs'!$B$31+'Inputs'!$B$32,'Inputs'!$B$30+'Inputs'!$B$31+'Inputs'!$B$32)/1000+'Inputs'!$B$21+'Inputs'!$B$9+'Inputs'!$B$10)+'Inputs'!$B$7)^2+('Inputs'!$B$6/2)^2)-(((422-43)*MAX('Inputs'!$B$33,'Inputs'!$B$29+'Inputs'!$B$31+'Inputs'!$B$32,'Inputs'!$B$30+'Inputs'!$B$31+'Inputs'!$B$32)/1000+'Inputs'!$B$21+'Inputs'!$B$9+'Inputs'!$B$10))/SQRT((((422-43)*MAX('Inputs'!$B$33,'Inputs'!$B$29+'Inputs'!$B$31+'Inputs'!$B$32,'Inputs'!$B$30+'Inputs'!$B$31+'Inputs'!$B$32)/1000+'Inputs'!$B$21+'Inputs'!$B$9+'Inputs'!$B$10))^2+('Inputs'!$B$6/2)^2))))*'Results'!$B$8)+'Inputs'!$B$28*ABS((('Results'!C7*(1+'Inputs'!$B$24)*(0.5*((((422-43)*MAX('Inputs'!$B$33,'Inputs'!$B$29+'Inputs'!$B$31+'Inputs'!$B$32,'Inputs'!$B$30+'Inputs'!$B$31+'Inputs'!$B$32)/1000+'Inputs'!$B$21)+'Inputs'!$B$9)/SQRT((((422-43)*MAX('Inputs'!$B$33,'Inputs'!$B$29+'Inputs'!$B$31+'Inputs'!$B$32,'Inputs'!$B$30+'Inputs'!$B$31+'Inputs'!$B$32)/1000+'Inputs'!$B$21)+'Inputs'!$B$9)^2+('Inputs'!$B$8/2)^2)-(((422-43)*MAX('Inputs'!$B$33,'Inputs'!$B$29+'Inputs'!$B$31+'Inputs'!$B$32,'Inputs'!$B$30+'Inputs'!$B$31+'Inputs'!$B$32)/1000+'Inputs'!$B$21))/SQRT((((422-43)*MAX('Inputs'!$B$33,'Inputs'!$B$29+'Inputs'!$B$31+'Inputs'!$B$32,'Inputs'!$B$30+'Inputs'!$B$31+'Inputs'!$B$32)/1000+'Inputs'!$B$21))^2+('Inputs'!$B$8/2)^2)))-'Results'!B7*(1-'Inputs'!$B$24)*(0.5*((((422-43)*MAX('Inputs'!$B$33,'Inputs'!$B$29+'Inputs'!$B$31+'Inputs'!$B$32,'Inputs'!$B$30+'Inputs'!$B$31+'Inputs'!$B$32)/1000+'Inputs'!$B$21+'Inputs'!$B$9+'Inputs'!$B$10)+'Inputs'!$B$7)/SQRT((((422-43)*MAX('Inputs'!$B$33,'Inputs'!$B$29+'Inputs'!$B$31+'Inputs'!$B$32,'Inputs'!$B$30+'Inputs'!$B$31+'Inputs'!$B$32)/1000+'Inputs'!$B$21+'Inputs'!$B$9+'Inputs'!$B$10)+'Inputs'!$B$7)^2+('Inputs'!$B$6/2)^2)-(((422-43)*MAX('Inputs'!$B$33,'Inputs'!$B$29+'Inputs'!$B$31+'Inputs'!$B$32,'Inputs'!$B$30+'Inputs'!$B$31+'Inputs'!$B$32)/1000+'Inputs'!$B$21+'Inputs'!$B$9+'Inputs'!$B$10))/SQRT((((422-43)*MAX('Inputs'!$B$33,'Inputs'!$B$29+'Inputs'!$B$31+'Inputs'!$B$32,'Inputs'!$B$30+'Inputs'!$B$31+'Inputs'!$B$32)/1000+'Inputs'!$B$21+'Inputs'!$B$9+'Inputs'!$B$10))^2+('Inputs'!$B$6/2)^2))))*'Results'!$B$8))),"")</x:f>
        <x:v>11.075174251628207</x:v>
      </x:c>
      <x:c r="P422" t="n">
        <x:f>IF(AND(MAX(J422,J421)&gt;0,J422&gt;J421+0.00000001),1,0)</x:f>
        <x:v>0</x:v>
      </x:c>
      <x:c r="Q422" t="n">
        <x:f>IF(AND(MAX(K422,K421)&gt;0,K422&gt;K421+0.00000001),1,0)</x:f>
        <x:v>0</x:v>
      </x:c>
      <x:c r="R422" t="n">
        <x:f>IF(AND(MAX(L422,L421)&gt;0,L422&gt;L421+0.00000001),1,0)</x:f>
        <x:v>0</x:v>
      </x:c>
      <x:c r="S422" t="n">
        <x:f>IF(AND(MAX(M422,M421)&gt;0,M422&gt;M421+0.00000001),1,0)</x:f>
        <x:v>0</x:v>
      </x:c>
      <x:c r="T422" t="n">
        <x:f>IF(AND(MAX(N422,N421)&gt;0,N422&gt;N421+0.00000001),1,0)</x:f>
        <x:v>0</x:v>
      </x:c>
      <x:c r="U422" t="n">
        <x:f>IF(AND(MAX(O422,O421)&gt;0,O422&gt;O421+0.00000001),1,0)</x:f>
        <x:v>0</x:v>
      </x:c>
    </x:row>
    <x:row r="423">
      <x:c r="J423" t="n">
        <x:f>IF(AND(ISNUMBER('Results'!B7),ISNUMBER('Results'!C7),ISNUMBER('Results'!$B$8),ISNUMBER('Inputs'!$B$6),ISNUMBER('Inputs'!$B$7),ISNUMBER('Inputs'!$B$8),ISNUMBER('Inputs'!$B$9),ISNUMBER('Inputs'!$B$10),ISNUMBER('Inputs'!$B$21),ISNUMBER('Inputs'!$B$24),ISNUMBER('Inputs'!$B$28)),(('Results'!B7*(0.5*((((423-43)*MAX('Inputs'!$B$33,'Inputs'!$B$29+'Inputs'!$B$31+'Inputs'!$B$32,'Inputs'!$B$30+'Inputs'!$B$31+'Inputs'!$B$32)/1000+'Inputs'!$B$21)+'Inputs'!$B$7)/SQRT((((423-43)*MAX('Inputs'!$B$33,'Inputs'!$B$29+'Inputs'!$B$31+'Inputs'!$B$32,'Inputs'!$B$30+'Inputs'!$B$31+'Inputs'!$B$32)/1000+'Inputs'!$B$21)+'Inputs'!$B$7)^2+('Inputs'!$B$6/2)^2)-(((423-43)*MAX('Inputs'!$B$33,'Inputs'!$B$29+'Inputs'!$B$31+'Inputs'!$B$32,'Inputs'!$B$30+'Inputs'!$B$31+'Inputs'!$B$32)/1000+'Inputs'!$B$21))/SQRT((((423-43)*MAX('Inputs'!$B$33,'Inputs'!$B$29+'Inputs'!$B$31+'Inputs'!$B$32,'Inputs'!$B$30+'Inputs'!$B$31+'Inputs'!$B$32)/1000+'Inputs'!$B$21))^2+('Inputs'!$B$6/2)^2)))-'Results'!C7*(0.5*((((423-43)*MAX('Inputs'!$B$33,'Inputs'!$B$29+'Inputs'!$B$31+'Inputs'!$B$32,'Inputs'!$B$30+'Inputs'!$B$31+'Inputs'!$B$32)/1000+'Inputs'!$B$21+'Inputs'!$B$7+'Inputs'!$B$10)+'Inputs'!$B$9)/SQRT((((423-43)*MAX('Inputs'!$B$33,'Inputs'!$B$29+'Inputs'!$B$31+'Inputs'!$B$32,'Inputs'!$B$30+'Inputs'!$B$31+'Inputs'!$B$32)/1000+'Inputs'!$B$21+'Inputs'!$B$7+'Inputs'!$B$10)+'Inputs'!$B$9)^2+('Inputs'!$B$8/2)^2)-(((423-43)*MAX('Inputs'!$B$33,'Inputs'!$B$29+'Inputs'!$B$31+'Inputs'!$B$32,'Inputs'!$B$30+'Inputs'!$B$31+'Inputs'!$B$32)/1000+'Inputs'!$B$21+'Inputs'!$B$7+'Inputs'!$B$10))/SQRT((((423-43)*MAX('Inputs'!$B$33,'Inputs'!$B$29+'Inputs'!$B$31+'Inputs'!$B$32,'Inputs'!$B$30+'Inputs'!$B$31+'Inputs'!$B$32)/1000+'Inputs'!$B$21+'Inputs'!$B$7+'Inputs'!$B$10))^2+('Inputs'!$B$8/2)^2))))*'Results'!$B$8),"")</x:f>
        <x:v>10.465276578200244</x:v>
      </x:c>
      <x:c r="K423" t="n">
        <x:f>IF(AND(ISNUMBER('Results'!B7),ISNUMBER('Results'!C7),ISNUMBER('Results'!$B$8),ISNUMBER('Inputs'!$B$6),ISNUMBER('Inputs'!$B$7),ISNUMBER('Inputs'!$B$8),ISNUMBER('Inputs'!$B$9),ISNUMBER('Inputs'!$B$10),ISNUMBER('Inputs'!$B$21),ISNUMBER('Inputs'!$B$24),ISNUMBER('Inputs'!$B$28)),((('Results'!B7*(1-'Inputs'!$B$24)*(0.5*((((423-43)*MAX('Inputs'!$B$33,'Inputs'!$B$29+'Inputs'!$B$31+'Inputs'!$B$32,'Inputs'!$B$30+'Inputs'!$B$31+'Inputs'!$B$32)/1000+'Inputs'!$B$21)+'Inputs'!$B$7)/SQRT((((423-43)*MAX('Inputs'!$B$33,'Inputs'!$B$29+'Inputs'!$B$31+'Inputs'!$B$32,'Inputs'!$B$30+'Inputs'!$B$31+'Inputs'!$B$32)/1000+'Inputs'!$B$21)+'Inputs'!$B$7)^2+('Inputs'!$B$6/2)^2)-(((423-43)*MAX('Inputs'!$B$33,'Inputs'!$B$29+'Inputs'!$B$31+'Inputs'!$B$32,'Inputs'!$B$30+'Inputs'!$B$31+'Inputs'!$B$32)/1000+'Inputs'!$B$21))/SQRT((((423-43)*MAX('Inputs'!$B$33,'Inputs'!$B$29+'Inputs'!$B$31+'Inputs'!$B$32,'Inputs'!$B$30+'Inputs'!$B$31+'Inputs'!$B$32)/1000+'Inputs'!$B$21))^2+('Inputs'!$B$6/2)^2)))-'Results'!C7*(1+'Inputs'!$B$24)*(0.5*((((423-43)*MAX('Inputs'!$B$33,'Inputs'!$B$29+'Inputs'!$B$31+'Inputs'!$B$32,'Inputs'!$B$30+'Inputs'!$B$31+'Inputs'!$B$32)/1000+'Inputs'!$B$21+'Inputs'!$B$7+'Inputs'!$B$10)+'Inputs'!$B$9)/SQRT((((423-43)*MAX('Inputs'!$B$33,'Inputs'!$B$29+'Inputs'!$B$31+'Inputs'!$B$32,'Inputs'!$B$30+'Inputs'!$B$31+'Inputs'!$B$32)/1000+'Inputs'!$B$21+'Inputs'!$B$7+'Inputs'!$B$10)+'Inputs'!$B$9)^2+('Inputs'!$B$8/2)^2)-(((423-43)*MAX('Inputs'!$B$33,'Inputs'!$B$29+'Inputs'!$B$31+'Inputs'!$B$32,'Inputs'!$B$30+'Inputs'!$B$31+'Inputs'!$B$32)/1000+'Inputs'!$B$21+'Inputs'!$B$7+'Inputs'!$B$10))/SQRT((((423-43)*MAX('Inputs'!$B$33,'Inputs'!$B$29+'Inputs'!$B$31+'Inputs'!$B$32,'Inputs'!$B$30+'Inputs'!$B$31+'Inputs'!$B$32)/1000+'Inputs'!$B$21+'Inputs'!$B$7+'Inputs'!$B$10))^2+('Inputs'!$B$8/2)^2))))*'Results'!$B$8)-'Inputs'!$B$28*ABS((('Results'!B7*(1-'Inputs'!$B$24)*(0.5*((((423-43)*MAX('Inputs'!$B$33,'Inputs'!$B$29+'Inputs'!$B$31+'Inputs'!$B$32,'Inputs'!$B$30+'Inputs'!$B$31+'Inputs'!$B$32)/1000+'Inputs'!$B$21)+'Inputs'!$B$7)/SQRT((((423-43)*MAX('Inputs'!$B$33,'Inputs'!$B$29+'Inputs'!$B$31+'Inputs'!$B$32,'Inputs'!$B$30+'Inputs'!$B$31+'Inputs'!$B$32)/1000+'Inputs'!$B$21)+'Inputs'!$B$7)^2+('Inputs'!$B$6/2)^2)-(((423-43)*MAX('Inputs'!$B$33,'Inputs'!$B$29+'Inputs'!$B$31+'Inputs'!$B$32,'Inputs'!$B$30+'Inputs'!$B$31+'Inputs'!$B$32)/1000+'Inputs'!$B$21))/SQRT((((423-43)*MAX('Inputs'!$B$33,'Inputs'!$B$29+'Inputs'!$B$31+'Inputs'!$B$32,'Inputs'!$B$30+'Inputs'!$B$31+'Inputs'!$B$32)/1000+'Inputs'!$B$21))^2+('Inputs'!$B$6/2)^2)))-'Results'!C7*(1+'Inputs'!$B$24)*(0.5*((((423-43)*MAX('Inputs'!$B$33,'Inputs'!$B$29+'Inputs'!$B$31+'Inputs'!$B$32,'Inputs'!$B$30+'Inputs'!$B$31+'Inputs'!$B$32)/1000+'Inputs'!$B$21+'Inputs'!$B$7+'Inputs'!$B$10)+'Inputs'!$B$9)/SQRT((((423-43)*MAX('Inputs'!$B$33,'Inputs'!$B$29+'Inputs'!$B$31+'Inputs'!$B$32,'Inputs'!$B$30+'Inputs'!$B$31+'Inputs'!$B$32)/1000+'Inputs'!$B$21+'Inputs'!$B$7+'Inputs'!$B$10)+'Inputs'!$B$9)^2+('Inputs'!$B$8/2)^2)-(((423-43)*MAX('Inputs'!$B$33,'Inputs'!$B$29+'Inputs'!$B$31+'Inputs'!$B$32,'Inputs'!$B$30+'Inputs'!$B$31+'Inputs'!$B$32)/1000+'Inputs'!$B$21+'Inputs'!$B$7+'Inputs'!$B$10))/SQRT((((423-43)*MAX('Inputs'!$B$33,'Inputs'!$B$29+'Inputs'!$B$31+'Inputs'!$B$32,'Inputs'!$B$30+'Inputs'!$B$31+'Inputs'!$B$32)/1000+'Inputs'!$B$21+'Inputs'!$B$7+'Inputs'!$B$10))^2+('Inputs'!$B$8/2)^2))))*'Results'!$B$8))),"")</x:f>
        <x:v>9.39099461274599</x:v>
      </x:c>
      <x:c r="L423" t="n">
        <x:f>IF(AND(ISNUMBER('Results'!B7),ISNUMBER('Results'!C7),ISNUMBER('Results'!$B$8),ISNUMBER('Inputs'!$B$6),ISNUMBER('Inputs'!$B$7),ISNUMBER('Inputs'!$B$8),ISNUMBER('Inputs'!$B$9),ISNUMBER('Inputs'!$B$10),ISNUMBER('Inputs'!$B$21),ISNUMBER('Inputs'!$B$24),ISNUMBER('Inputs'!$B$28)),((('Results'!B7*(1+'Inputs'!$B$24)*(0.5*((((423-43)*MAX('Inputs'!$B$33,'Inputs'!$B$29+'Inputs'!$B$31+'Inputs'!$B$32,'Inputs'!$B$30+'Inputs'!$B$31+'Inputs'!$B$32)/1000+'Inputs'!$B$21)+'Inputs'!$B$7)/SQRT((((423-43)*MAX('Inputs'!$B$33,'Inputs'!$B$29+'Inputs'!$B$31+'Inputs'!$B$32,'Inputs'!$B$30+'Inputs'!$B$31+'Inputs'!$B$32)/1000+'Inputs'!$B$21)+'Inputs'!$B$7)^2+('Inputs'!$B$6/2)^2)-(((423-43)*MAX('Inputs'!$B$33,'Inputs'!$B$29+'Inputs'!$B$31+'Inputs'!$B$32,'Inputs'!$B$30+'Inputs'!$B$31+'Inputs'!$B$32)/1000+'Inputs'!$B$21))/SQRT((((423-43)*MAX('Inputs'!$B$33,'Inputs'!$B$29+'Inputs'!$B$31+'Inputs'!$B$32,'Inputs'!$B$30+'Inputs'!$B$31+'Inputs'!$B$32)/1000+'Inputs'!$B$21))^2+('Inputs'!$B$6/2)^2)))-'Results'!C7*(1-'Inputs'!$B$24)*(0.5*((((423-43)*MAX('Inputs'!$B$33,'Inputs'!$B$29+'Inputs'!$B$31+'Inputs'!$B$32,'Inputs'!$B$30+'Inputs'!$B$31+'Inputs'!$B$32)/1000+'Inputs'!$B$21+'Inputs'!$B$7+'Inputs'!$B$10)+'Inputs'!$B$9)/SQRT((((423-43)*MAX('Inputs'!$B$33,'Inputs'!$B$29+'Inputs'!$B$31+'Inputs'!$B$32,'Inputs'!$B$30+'Inputs'!$B$31+'Inputs'!$B$32)/1000+'Inputs'!$B$21+'Inputs'!$B$7+'Inputs'!$B$10)+'Inputs'!$B$9)^2+('Inputs'!$B$8/2)^2)-(((423-43)*MAX('Inputs'!$B$33,'Inputs'!$B$29+'Inputs'!$B$31+'Inputs'!$B$32,'Inputs'!$B$30+'Inputs'!$B$31+'Inputs'!$B$32)/1000+'Inputs'!$B$21+'Inputs'!$B$7+'Inputs'!$B$10))/SQRT((((423-43)*MAX('Inputs'!$B$33,'Inputs'!$B$29+'Inputs'!$B$31+'Inputs'!$B$32,'Inputs'!$B$30+'Inputs'!$B$31+'Inputs'!$B$32)/1000+'Inputs'!$B$21+'Inputs'!$B$7+'Inputs'!$B$10))^2+('Inputs'!$B$8/2)^2))))*'Results'!$B$8)+'Inputs'!$B$28*ABS((('Results'!B7*(1+'Inputs'!$B$24)*(0.5*((((423-43)*MAX('Inputs'!$B$33,'Inputs'!$B$29+'Inputs'!$B$31+'Inputs'!$B$32,'Inputs'!$B$30+'Inputs'!$B$31+'Inputs'!$B$32)/1000+'Inputs'!$B$21)+'Inputs'!$B$7)/SQRT((((423-43)*MAX('Inputs'!$B$33,'Inputs'!$B$29+'Inputs'!$B$31+'Inputs'!$B$32,'Inputs'!$B$30+'Inputs'!$B$31+'Inputs'!$B$32)/1000+'Inputs'!$B$21)+'Inputs'!$B$7)^2+('Inputs'!$B$6/2)^2)-(((423-43)*MAX('Inputs'!$B$33,'Inputs'!$B$29+'Inputs'!$B$31+'Inputs'!$B$32,'Inputs'!$B$30+'Inputs'!$B$31+'Inputs'!$B$32)/1000+'Inputs'!$B$21))/SQRT((((423-43)*MAX('Inputs'!$B$33,'Inputs'!$B$29+'Inputs'!$B$31+'Inputs'!$B$32,'Inputs'!$B$30+'Inputs'!$B$31+'Inputs'!$B$32)/1000+'Inputs'!$B$21))^2+('Inputs'!$B$6/2)^2)))-'Results'!C7*(1-'Inputs'!$B$24)*(0.5*((((423-43)*MAX('Inputs'!$B$33,'Inputs'!$B$29+'Inputs'!$B$31+'Inputs'!$B$32,'Inputs'!$B$30+'Inputs'!$B$31+'Inputs'!$B$32)/1000+'Inputs'!$B$21+'Inputs'!$B$7+'Inputs'!$B$10)+'Inputs'!$B$9)/SQRT((((423-43)*MAX('Inputs'!$B$33,'Inputs'!$B$29+'Inputs'!$B$31+'Inputs'!$B$32,'Inputs'!$B$30+'Inputs'!$B$31+'Inputs'!$B$32)/1000+'Inputs'!$B$21+'Inputs'!$B$7+'Inputs'!$B$10)+'Inputs'!$B$9)^2+('Inputs'!$B$8/2)^2)-(((423-43)*MAX('Inputs'!$B$33,'Inputs'!$B$29+'Inputs'!$B$31+'Inputs'!$B$32,'Inputs'!$B$30+'Inputs'!$B$31+'Inputs'!$B$32)/1000+'Inputs'!$B$21+'Inputs'!$B$7+'Inputs'!$B$10))/SQRT((((423-43)*MAX('Inputs'!$B$33,'Inputs'!$B$29+'Inputs'!$B$31+'Inputs'!$B$32,'Inputs'!$B$30+'Inputs'!$B$31+'Inputs'!$B$32)/1000+'Inputs'!$B$21+'Inputs'!$B$7+'Inputs'!$B$10))^2+('Inputs'!$B$8/2)^2))))*'Results'!$B$8))),"")</x:f>
        <x:v>11.597560452764416</x:v>
      </x:c>
      <x:c r="M423" t="n">
        <x:f>IF(AND(ISNUMBER('Results'!C7),ISNUMBER('Results'!B7),ISNUMBER('Results'!$B$8),ISNUMBER('Inputs'!$B$6),ISNUMBER('Inputs'!$B$7),ISNUMBER('Inputs'!$B$8),ISNUMBER('Inputs'!$B$9),ISNUMBER('Inputs'!$B$10),ISNUMBER('Inputs'!$B$21),ISNUMBER('Inputs'!$B$24),ISNUMBER('Inputs'!$B$28)),(('Results'!C7*(0.5*((((423-43)*MAX('Inputs'!$B$33,'Inputs'!$B$29+'Inputs'!$B$31+'Inputs'!$B$32,'Inputs'!$B$30+'Inputs'!$B$31+'Inputs'!$B$32)/1000+'Inputs'!$B$21)+'Inputs'!$B$9)/SQRT((((423-43)*MAX('Inputs'!$B$33,'Inputs'!$B$29+'Inputs'!$B$31+'Inputs'!$B$32,'Inputs'!$B$30+'Inputs'!$B$31+'Inputs'!$B$32)/1000+'Inputs'!$B$21)+'Inputs'!$B$9)^2+('Inputs'!$B$8/2)^2)-(((423-43)*MAX('Inputs'!$B$33,'Inputs'!$B$29+'Inputs'!$B$31+'Inputs'!$B$32,'Inputs'!$B$30+'Inputs'!$B$31+'Inputs'!$B$32)/1000+'Inputs'!$B$21))/SQRT((((423-43)*MAX('Inputs'!$B$33,'Inputs'!$B$29+'Inputs'!$B$31+'Inputs'!$B$32,'Inputs'!$B$30+'Inputs'!$B$31+'Inputs'!$B$32)/1000+'Inputs'!$B$21))^2+('Inputs'!$B$8/2)^2)))-'Results'!B7*(0.5*((((423-43)*MAX('Inputs'!$B$33,'Inputs'!$B$29+'Inputs'!$B$31+'Inputs'!$B$32,'Inputs'!$B$30+'Inputs'!$B$31+'Inputs'!$B$32)/1000+'Inputs'!$B$21+'Inputs'!$B$9+'Inputs'!$B$10)+'Inputs'!$B$7)/SQRT((((423-43)*MAX('Inputs'!$B$33,'Inputs'!$B$29+'Inputs'!$B$31+'Inputs'!$B$32,'Inputs'!$B$30+'Inputs'!$B$31+'Inputs'!$B$32)/1000+'Inputs'!$B$21+'Inputs'!$B$9+'Inputs'!$B$10)+'Inputs'!$B$7)^2+('Inputs'!$B$6/2)^2)-(((423-43)*MAX('Inputs'!$B$33,'Inputs'!$B$29+'Inputs'!$B$31+'Inputs'!$B$32,'Inputs'!$B$30+'Inputs'!$B$31+'Inputs'!$B$32)/1000+'Inputs'!$B$21+'Inputs'!$B$9+'Inputs'!$B$10))/SQRT((((423-43)*MAX('Inputs'!$B$33,'Inputs'!$B$29+'Inputs'!$B$31+'Inputs'!$B$32,'Inputs'!$B$30+'Inputs'!$B$31+'Inputs'!$B$32)/1000+'Inputs'!$B$21+'Inputs'!$B$9+'Inputs'!$B$10))^2+('Inputs'!$B$6/2)^2))))*'Results'!$B$8),"")</x:f>
        <x:v>9.881474695677213</x:v>
      </x:c>
      <x:c r="N423" t="n">
        <x:f>IF(AND(ISNUMBER('Results'!C7),ISNUMBER('Results'!B7),ISNUMBER('Results'!$B$8),ISNUMBER('Inputs'!$B$6),ISNUMBER('Inputs'!$B$7),ISNUMBER('Inputs'!$B$8),ISNUMBER('Inputs'!$B$9),ISNUMBER('Inputs'!$B$10),ISNUMBER('Inputs'!$B$21),ISNUMBER('Inputs'!$B$24),ISNUMBER('Inputs'!$B$28)),((('Results'!C7*(1-'Inputs'!$B$24)*(0.5*((((423-43)*MAX('Inputs'!$B$33,'Inputs'!$B$29+'Inputs'!$B$31+'Inputs'!$B$32,'Inputs'!$B$30+'Inputs'!$B$31+'Inputs'!$B$32)/1000+'Inputs'!$B$21)+'Inputs'!$B$9)/SQRT((((423-43)*MAX('Inputs'!$B$33,'Inputs'!$B$29+'Inputs'!$B$31+'Inputs'!$B$32,'Inputs'!$B$30+'Inputs'!$B$31+'Inputs'!$B$32)/1000+'Inputs'!$B$21)+'Inputs'!$B$9)^2+('Inputs'!$B$8/2)^2)-(((423-43)*MAX('Inputs'!$B$33,'Inputs'!$B$29+'Inputs'!$B$31+'Inputs'!$B$32,'Inputs'!$B$30+'Inputs'!$B$31+'Inputs'!$B$32)/1000+'Inputs'!$B$21))/SQRT((((423-43)*MAX('Inputs'!$B$33,'Inputs'!$B$29+'Inputs'!$B$31+'Inputs'!$B$32,'Inputs'!$B$30+'Inputs'!$B$31+'Inputs'!$B$32)/1000+'Inputs'!$B$21))^2+('Inputs'!$B$8/2)^2)))-'Results'!B7*(1+'Inputs'!$B$24)*(0.5*((((423-43)*MAX('Inputs'!$B$33,'Inputs'!$B$29+'Inputs'!$B$31+'Inputs'!$B$32,'Inputs'!$B$30+'Inputs'!$B$31+'Inputs'!$B$32)/1000+'Inputs'!$B$21+'Inputs'!$B$9+'Inputs'!$B$10)+'Inputs'!$B$7)/SQRT((((423-43)*MAX('Inputs'!$B$33,'Inputs'!$B$29+'Inputs'!$B$31+'Inputs'!$B$32,'Inputs'!$B$30+'Inputs'!$B$31+'Inputs'!$B$32)/1000+'Inputs'!$B$21+'Inputs'!$B$9+'Inputs'!$B$10)+'Inputs'!$B$7)^2+('Inputs'!$B$6/2)^2)-(((423-43)*MAX('Inputs'!$B$33,'Inputs'!$B$29+'Inputs'!$B$31+'Inputs'!$B$32,'Inputs'!$B$30+'Inputs'!$B$31+'Inputs'!$B$32)/1000+'Inputs'!$B$21+'Inputs'!$B$9+'Inputs'!$B$10))/SQRT((((423-43)*MAX('Inputs'!$B$33,'Inputs'!$B$29+'Inputs'!$B$31+'Inputs'!$B$32,'Inputs'!$B$30+'Inputs'!$B$31+'Inputs'!$B$32)/1000+'Inputs'!$B$21+'Inputs'!$B$9+'Inputs'!$B$10))^2+('Inputs'!$B$6/2)^2))))*'Results'!$B$8)-'Inputs'!$B$28*ABS((('Results'!C7*(1-'Inputs'!$B$24)*(0.5*((((423-43)*MAX('Inputs'!$B$33,'Inputs'!$B$29+'Inputs'!$B$31+'Inputs'!$B$32,'Inputs'!$B$30+'Inputs'!$B$31+'Inputs'!$B$32)/1000+'Inputs'!$B$21)+'Inputs'!$B$9)/SQRT((((423-43)*MAX('Inputs'!$B$33,'Inputs'!$B$29+'Inputs'!$B$31+'Inputs'!$B$32,'Inputs'!$B$30+'Inputs'!$B$31+'Inputs'!$B$32)/1000+'Inputs'!$B$21)+'Inputs'!$B$9)^2+('Inputs'!$B$8/2)^2)-(((423-43)*MAX('Inputs'!$B$33,'Inputs'!$B$29+'Inputs'!$B$31+'Inputs'!$B$32,'Inputs'!$B$30+'Inputs'!$B$31+'Inputs'!$B$32)/1000+'Inputs'!$B$21))/SQRT((((423-43)*MAX('Inputs'!$B$33,'Inputs'!$B$29+'Inputs'!$B$31+'Inputs'!$B$32,'Inputs'!$B$30+'Inputs'!$B$31+'Inputs'!$B$32)/1000+'Inputs'!$B$21))^2+('Inputs'!$B$8/2)^2)))-'Results'!B7*(1+'Inputs'!$B$24)*(0.5*((((423-43)*MAX('Inputs'!$B$33,'Inputs'!$B$29+'Inputs'!$B$31+'Inputs'!$B$32,'Inputs'!$B$30+'Inputs'!$B$31+'Inputs'!$B$32)/1000+'Inputs'!$B$21+'Inputs'!$B$9+'Inputs'!$B$10)+'Inputs'!$B$7)/SQRT((((423-43)*MAX('Inputs'!$B$33,'Inputs'!$B$29+'Inputs'!$B$31+'Inputs'!$B$32,'Inputs'!$B$30+'Inputs'!$B$31+'Inputs'!$B$32)/1000+'Inputs'!$B$21+'Inputs'!$B$9+'Inputs'!$B$10)+'Inputs'!$B$7)^2+('Inputs'!$B$6/2)^2)-(((423-43)*MAX('Inputs'!$B$33,'Inputs'!$B$29+'Inputs'!$B$31+'Inputs'!$B$32,'Inputs'!$B$30+'Inputs'!$B$31+'Inputs'!$B$32)/1000+'Inputs'!$B$21+'Inputs'!$B$9+'Inputs'!$B$10))/SQRT((((423-43)*MAX('Inputs'!$B$33,'Inputs'!$B$29+'Inputs'!$B$31+'Inputs'!$B$32,'Inputs'!$B$30+'Inputs'!$B$31+'Inputs'!$B$32)/1000+'Inputs'!$B$21+'Inputs'!$B$9+'Inputs'!$B$10))^2+('Inputs'!$B$6/2)^2))))*'Results'!$B$8))),"")</x:f>
        <x:v>8.840287756411772</x:v>
      </x:c>
      <x:c r="O423" t="n">
        <x:f>IF(AND(ISNUMBER('Results'!C7),ISNUMBER('Results'!B7),ISNUMBER('Results'!$B$8),ISNUMBER('Inputs'!$B$6),ISNUMBER('Inputs'!$B$7),ISNUMBER('Inputs'!$B$8),ISNUMBER('Inputs'!$B$9),ISNUMBER('Inputs'!$B$10),ISNUMBER('Inputs'!$B$21),ISNUMBER('Inputs'!$B$24),ISNUMBER('Inputs'!$B$28)),((('Results'!C7*(1+'Inputs'!$B$24)*(0.5*((((423-43)*MAX('Inputs'!$B$33,'Inputs'!$B$29+'Inputs'!$B$31+'Inputs'!$B$32,'Inputs'!$B$30+'Inputs'!$B$31+'Inputs'!$B$32)/1000+'Inputs'!$B$21)+'Inputs'!$B$9)/SQRT((((423-43)*MAX('Inputs'!$B$33,'Inputs'!$B$29+'Inputs'!$B$31+'Inputs'!$B$32,'Inputs'!$B$30+'Inputs'!$B$31+'Inputs'!$B$32)/1000+'Inputs'!$B$21)+'Inputs'!$B$9)^2+('Inputs'!$B$8/2)^2)-(((423-43)*MAX('Inputs'!$B$33,'Inputs'!$B$29+'Inputs'!$B$31+'Inputs'!$B$32,'Inputs'!$B$30+'Inputs'!$B$31+'Inputs'!$B$32)/1000+'Inputs'!$B$21))/SQRT((((423-43)*MAX('Inputs'!$B$33,'Inputs'!$B$29+'Inputs'!$B$31+'Inputs'!$B$32,'Inputs'!$B$30+'Inputs'!$B$31+'Inputs'!$B$32)/1000+'Inputs'!$B$21))^2+('Inputs'!$B$8/2)^2)))-'Results'!B7*(1-'Inputs'!$B$24)*(0.5*((((423-43)*MAX('Inputs'!$B$33,'Inputs'!$B$29+'Inputs'!$B$31+'Inputs'!$B$32,'Inputs'!$B$30+'Inputs'!$B$31+'Inputs'!$B$32)/1000+'Inputs'!$B$21+'Inputs'!$B$9+'Inputs'!$B$10)+'Inputs'!$B$7)/SQRT((((423-43)*MAX('Inputs'!$B$33,'Inputs'!$B$29+'Inputs'!$B$31+'Inputs'!$B$32,'Inputs'!$B$30+'Inputs'!$B$31+'Inputs'!$B$32)/1000+'Inputs'!$B$21+'Inputs'!$B$9+'Inputs'!$B$10)+'Inputs'!$B$7)^2+('Inputs'!$B$6/2)^2)-(((423-43)*MAX('Inputs'!$B$33,'Inputs'!$B$29+'Inputs'!$B$31+'Inputs'!$B$32,'Inputs'!$B$30+'Inputs'!$B$31+'Inputs'!$B$32)/1000+'Inputs'!$B$21+'Inputs'!$B$9+'Inputs'!$B$10))/SQRT((((423-43)*MAX('Inputs'!$B$33,'Inputs'!$B$29+'Inputs'!$B$31+'Inputs'!$B$32,'Inputs'!$B$30+'Inputs'!$B$31+'Inputs'!$B$32)/1000+'Inputs'!$B$21+'Inputs'!$B$9+'Inputs'!$B$10))^2+('Inputs'!$B$6/2)^2))))*'Results'!$B$8)+'Inputs'!$B$28*ABS((('Results'!C7*(1+'Inputs'!$B$24)*(0.5*((((423-43)*MAX('Inputs'!$B$33,'Inputs'!$B$29+'Inputs'!$B$31+'Inputs'!$B$32,'Inputs'!$B$30+'Inputs'!$B$31+'Inputs'!$B$32)/1000+'Inputs'!$B$21)+'Inputs'!$B$9)/SQRT((((423-43)*MAX('Inputs'!$B$33,'Inputs'!$B$29+'Inputs'!$B$31+'Inputs'!$B$32,'Inputs'!$B$30+'Inputs'!$B$31+'Inputs'!$B$32)/1000+'Inputs'!$B$21)+'Inputs'!$B$9)^2+('Inputs'!$B$8/2)^2)-(((423-43)*MAX('Inputs'!$B$33,'Inputs'!$B$29+'Inputs'!$B$31+'Inputs'!$B$32,'Inputs'!$B$30+'Inputs'!$B$31+'Inputs'!$B$32)/1000+'Inputs'!$B$21))/SQRT((((423-43)*MAX('Inputs'!$B$33,'Inputs'!$B$29+'Inputs'!$B$31+'Inputs'!$B$32,'Inputs'!$B$30+'Inputs'!$B$31+'Inputs'!$B$32)/1000+'Inputs'!$B$21))^2+('Inputs'!$B$8/2)^2)))-'Results'!B7*(1-'Inputs'!$B$24)*(0.5*((((423-43)*MAX('Inputs'!$B$33,'Inputs'!$B$29+'Inputs'!$B$31+'Inputs'!$B$32,'Inputs'!$B$30+'Inputs'!$B$31+'Inputs'!$B$32)/1000+'Inputs'!$B$21+'Inputs'!$B$9+'Inputs'!$B$10)+'Inputs'!$B$7)/SQRT((((423-43)*MAX('Inputs'!$B$33,'Inputs'!$B$29+'Inputs'!$B$31+'Inputs'!$B$32,'Inputs'!$B$30+'Inputs'!$B$31+'Inputs'!$B$32)/1000+'Inputs'!$B$21+'Inputs'!$B$9+'Inputs'!$B$10)+'Inputs'!$B$7)^2+('Inputs'!$B$6/2)^2)-(((423-43)*MAX('Inputs'!$B$33,'Inputs'!$B$29+'Inputs'!$B$31+'Inputs'!$B$32,'Inputs'!$B$30+'Inputs'!$B$31+'Inputs'!$B$32)/1000+'Inputs'!$B$21+'Inputs'!$B$9+'Inputs'!$B$10))/SQRT((((423-43)*MAX('Inputs'!$B$33,'Inputs'!$B$29+'Inputs'!$B$31+'Inputs'!$B$32,'Inputs'!$B$30+'Inputs'!$B$31+'Inputs'!$B$32)/1000+'Inputs'!$B$21+'Inputs'!$B$9+'Inputs'!$B$10))^2+('Inputs'!$B$6/2)^2))))*'Results'!$B$8))),"")</x:f>
        <x:v>10.980252498572291</x:v>
      </x:c>
      <x:c r="P423" t="n">
        <x:f>IF(AND(MAX(J423,J422)&gt;0,J423&gt;J422+0.00000001),1,0)</x:f>
        <x:v>0</x:v>
      </x:c>
      <x:c r="Q423" t="n">
        <x:f>IF(AND(MAX(K423,K422)&gt;0,K423&gt;K422+0.00000001),1,0)</x:f>
        <x:v>0</x:v>
      </x:c>
      <x:c r="R423" t="n">
        <x:f>IF(AND(MAX(L423,L422)&gt;0,L423&gt;L422+0.00000001),1,0)</x:f>
        <x:v>0</x:v>
      </x:c>
      <x:c r="S423" t="n">
        <x:f>IF(AND(MAX(M423,M422)&gt;0,M423&gt;M422+0.00000001),1,0)</x:f>
        <x:v>0</x:v>
      </x:c>
      <x:c r="T423" t="n">
        <x:f>IF(AND(MAX(N423,N422)&gt;0,N423&gt;N422+0.00000001),1,0)</x:f>
        <x:v>0</x:v>
      </x:c>
      <x:c r="U423" t="n">
        <x:f>IF(AND(MAX(O423,O422)&gt;0,O423&gt;O422+0.00000001),1,0)</x:f>
        <x:v>0</x:v>
      </x:c>
    </x:row>
    <x:row r="424">
      <x:c r="J424" t="n">
        <x:f>IF(AND(ISNUMBER('Results'!B7),ISNUMBER('Results'!C7),ISNUMBER('Results'!$B$8),ISNUMBER('Inputs'!$B$6),ISNUMBER('Inputs'!$B$7),ISNUMBER('Inputs'!$B$8),ISNUMBER('Inputs'!$B$9),ISNUMBER('Inputs'!$B$10),ISNUMBER('Inputs'!$B$21),ISNUMBER('Inputs'!$B$24),ISNUMBER('Inputs'!$B$28)),(('Results'!B7*(0.5*((((424-43)*MAX('Inputs'!$B$33,'Inputs'!$B$29+'Inputs'!$B$31+'Inputs'!$B$32,'Inputs'!$B$30+'Inputs'!$B$31+'Inputs'!$B$32)/1000+'Inputs'!$B$21)+'Inputs'!$B$7)/SQRT((((424-43)*MAX('Inputs'!$B$33,'Inputs'!$B$29+'Inputs'!$B$31+'Inputs'!$B$32,'Inputs'!$B$30+'Inputs'!$B$31+'Inputs'!$B$32)/1000+'Inputs'!$B$21)+'Inputs'!$B$7)^2+('Inputs'!$B$6/2)^2)-(((424-43)*MAX('Inputs'!$B$33,'Inputs'!$B$29+'Inputs'!$B$31+'Inputs'!$B$32,'Inputs'!$B$30+'Inputs'!$B$31+'Inputs'!$B$32)/1000+'Inputs'!$B$21))/SQRT((((424-43)*MAX('Inputs'!$B$33,'Inputs'!$B$29+'Inputs'!$B$31+'Inputs'!$B$32,'Inputs'!$B$30+'Inputs'!$B$31+'Inputs'!$B$32)/1000+'Inputs'!$B$21))^2+('Inputs'!$B$6/2)^2)))-'Results'!C7*(0.5*((((424-43)*MAX('Inputs'!$B$33,'Inputs'!$B$29+'Inputs'!$B$31+'Inputs'!$B$32,'Inputs'!$B$30+'Inputs'!$B$31+'Inputs'!$B$32)/1000+'Inputs'!$B$21+'Inputs'!$B$7+'Inputs'!$B$10)+'Inputs'!$B$9)/SQRT((((424-43)*MAX('Inputs'!$B$33,'Inputs'!$B$29+'Inputs'!$B$31+'Inputs'!$B$32,'Inputs'!$B$30+'Inputs'!$B$31+'Inputs'!$B$32)/1000+'Inputs'!$B$21+'Inputs'!$B$7+'Inputs'!$B$10)+'Inputs'!$B$9)^2+('Inputs'!$B$8/2)^2)-(((424-43)*MAX('Inputs'!$B$33,'Inputs'!$B$29+'Inputs'!$B$31+'Inputs'!$B$32,'Inputs'!$B$30+'Inputs'!$B$31+'Inputs'!$B$32)/1000+'Inputs'!$B$21+'Inputs'!$B$7+'Inputs'!$B$10))/SQRT((((424-43)*MAX('Inputs'!$B$33,'Inputs'!$B$29+'Inputs'!$B$31+'Inputs'!$B$32,'Inputs'!$B$30+'Inputs'!$B$31+'Inputs'!$B$32)/1000+'Inputs'!$B$21+'Inputs'!$B$7+'Inputs'!$B$10))^2+('Inputs'!$B$8/2)^2))))*'Results'!$B$8),"")</x:f>
        <x:v>10.375783546483285</x:v>
      </x:c>
      <x:c r="K424" t="n">
        <x:f>IF(AND(ISNUMBER('Results'!B7),ISNUMBER('Results'!C7),ISNUMBER('Results'!$B$8),ISNUMBER('Inputs'!$B$6),ISNUMBER('Inputs'!$B$7),ISNUMBER('Inputs'!$B$8),ISNUMBER('Inputs'!$B$9),ISNUMBER('Inputs'!$B$10),ISNUMBER('Inputs'!$B$21),ISNUMBER('Inputs'!$B$24),ISNUMBER('Inputs'!$B$28)),((('Results'!B7*(1-'Inputs'!$B$24)*(0.5*((((424-43)*MAX('Inputs'!$B$33,'Inputs'!$B$29+'Inputs'!$B$31+'Inputs'!$B$32,'Inputs'!$B$30+'Inputs'!$B$31+'Inputs'!$B$32)/1000+'Inputs'!$B$21)+'Inputs'!$B$7)/SQRT((((424-43)*MAX('Inputs'!$B$33,'Inputs'!$B$29+'Inputs'!$B$31+'Inputs'!$B$32,'Inputs'!$B$30+'Inputs'!$B$31+'Inputs'!$B$32)/1000+'Inputs'!$B$21)+'Inputs'!$B$7)^2+('Inputs'!$B$6/2)^2)-(((424-43)*MAX('Inputs'!$B$33,'Inputs'!$B$29+'Inputs'!$B$31+'Inputs'!$B$32,'Inputs'!$B$30+'Inputs'!$B$31+'Inputs'!$B$32)/1000+'Inputs'!$B$21))/SQRT((((424-43)*MAX('Inputs'!$B$33,'Inputs'!$B$29+'Inputs'!$B$31+'Inputs'!$B$32,'Inputs'!$B$30+'Inputs'!$B$31+'Inputs'!$B$32)/1000+'Inputs'!$B$21))^2+('Inputs'!$B$6/2)^2)))-'Results'!C7*(1+'Inputs'!$B$24)*(0.5*((((424-43)*MAX('Inputs'!$B$33,'Inputs'!$B$29+'Inputs'!$B$31+'Inputs'!$B$32,'Inputs'!$B$30+'Inputs'!$B$31+'Inputs'!$B$32)/1000+'Inputs'!$B$21+'Inputs'!$B$7+'Inputs'!$B$10)+'Inputs'!$B$9)/SQRT((((424-43)*MAX('Inputs'!$B$33,'Inputs'!$B$29+'Inputs'!$B$31+'Inputs'!$B$32,'Inputs'!$B$30+'Inputs'!$B$31+'Inputs'!$B$32)/1000+'Inputs'!$B$21+'Inputs'!$B$7+'Inputs'!$B$10)+'Inputs'!$B$9)^2+('Inputs'!$B$8/2)^2)-(((424-43)*MAX('Inputs'!$B$33,'Inputs'!$B$29+'Inputs'!$B$31+'Inputs'!$B$32,'Inputs'!$B$30+'Inputs'!$B$31+'Inputs'!$B$32)/1000+'Inputs'!$B$21+'Inputs'!$B$7+'Inputs'!$B$10))/SQRT((((424-43)*MAX('Inputs'!$B$33,'Inputs'!$B$29+'Inputs'!$B$31+'Inputs'!$B$32,'Inputs'!$B$30+'Inputs'!$B$31+'Inputs'!$B$32)/1000+'Inputs'!$B$21+'Inputs'!$B$7+'Inputs'!$B$10))^2+('Inputs'!$B$8/2)^2))))*'Results'!$B$8)-'Inputs'!$B$28*ABS((('Results'!B7*(1-'Inputs'!$B$24)*(0.5*((((424-43)*MAX('Inputs'!$B$33,'Inputs'!$B$29+'Inputs'!$B$31+'Inputs'!$B$32,'Inputs'!$B$30+'Inputs'!$B$31+'Inputs'!$B$32)/1000+'Inputs'!$B$21)+'Inputs'!$B$7)/SQRT((((424-43)*MAX('Inputs'!$B$33,'Inputs'!$B$29+'Inputs'!$B$31+'Inputs'!$B$32,'Inputs'!$B$30+'Inputs'!$B$31+'Inputs'!$B$32)/1000+'Inputs'!$B$21)+'Inputs'!$B$7)^2+('Inputs'!$B$6/2)^2)-(((424-43)*MAX('Inputs'!$B$33,'Inputs'!$B$29+'Inputs'!$B$31+'Inputs'!$B$32,'Inputs'!$B$30+'Inputs'!$B$31+'Inputs'!$B$32)/1000+'Inputs'!$B$21))/SQRT((((424-43)*MAX('Inputs'!$B$33,'Inputs'!$B$29+'Inputs'!$B$31+'Inputs'!$B$32,'Inputs'!$B$30+'Inputs'!$B$31+'Inputs'!$B$32)/1000+'Inputs'!$B$21))^2+('Inputs'!$B$6/2)^2)))-'Results'!C7*(1+'Inputs'!$B$24)*(0.5*((((424-43)*MAX('Inputs'!$B$33,'Inputs'!$B$29+'Inputs'!$B$31+'Inputs'!$B$32,'Inputs'!$B$30+'Inputs'!$B$31+'Inputs'!$B$32)/1000+'Inputs'!$B$21+'Inputs'!$B$7+'Inputs'!$B$10)+'Inputs'!$B$9)/SQRT((((424-43)*MAX('Inputs'!$B$33,'Inputs'!$B$29+'Inputs'!$B$31+'Inputs'!$B$32,'Inputs'!$B$30+'Inputs'!$B$31+'Inputs'!$B$32)/1000+'Inputs'!$B$21+'Inputs'!$B$7+'Inputs'!$B$10)+'Inputs'!$B$9)^2+('Inputs'!$B$8/2)^2)-(((424-43)*MAX('Inputs'!$B$33,'Inputs'!$B$29+'Inputs'!$B$31+'Inputs'!$B$32,'Inputs'!$B$30+'Inputs'!$B$31+'Inputs'!$B$32)/1000+'Inputs'!$B$21+'Inputs'!$B$7+'Inputs'!$B$10))/SQRT((((424-43)*MAX('Inputs'!$B$33,'Inputs'!$B$29+'Inputs'!$B$31+'Inputs'!$B$32,'Inputs'!$B$30+'Inputs'!$B$31+'Inputs'!$B$32)/1000+'Inputs'!$B$21+'Inputs'!$B$7+'Inputs'!$B$10))^2+('Inputs'!$B$8/2)^2))))*'Results'!$B$8))),"")</x:f>
        <x:v>9.309678347122754</x:v>
      </x:c>
      <x:c r="L424" t="n">
        <x:f>IF(AND(ISNUMBER('Results'!B7),ISNUMBER('Results'!C7),ISNUMBER('Results'!$B$8),ISNUMBER('Inputs'!$B$6),ISNUMBER('Inputs'!$B$7),ISNUMBER('Inputs'!$B$8),ISNUMBER('Inputs'!$B$9),ISNUMBER('Inputs'!$B$10),ISNUMBER('Inputs'!$B$21),ISNUMBER('Inputs'!$B$24),ISNUMBER('Inputs'!$B$28)),((('Results'!B7*(1+'Inputs'!$B$24)*(0.5*((((424-43)*MAX('Inputs'!$B$33,'Inputs'!$B$29+'Inputs'!$B$31+'Inputs'!$B$32,'Inputs'!$B$30+'Inputs'!$B$31+'Inputs'!$B$32)/1000+'Inputs'!$B$21)+'Inputs'!$B$7)/SQRT((((424-43)*MAX('Inputs'!$B$33,'Inputs'!$B$29+'Inputs'!$B$31+'Inputs'!$B$32,'Inputs'!$B$30+'Inputs'!$B$31+'Inputs'!$B$32)/1000+'Inputs'!$B$21)+'Inputs'!$B$7)^2+('Inputs'!$B$6/2)^2)-(((424-43)*MAX('Inputs'!$B$33,'Inputs'!$B$29+'Inputs'!$B$31+'Inputs'!$B$32,'Inputs'!$B$30+'Inputs'!$B$31+'Inputs'!$B$32)/1000+'Inputs'!$B$21))/SQRT((((424-43)*MAX('Inputs'!$B$33,'Inputs'!$B$29+'Inputs'!$B$31+'Inputs'!$B$32,'Inputs'!$B$30+'Inputs'!$B$31+'Inputs'!$B$32)/1000+'Inputs'!$B$21))^2+('Inputs'!$B$6/2)^2)))-'Results'!C7*(1-'Inputs'!$B$24)*(0.5*((((424-43)*MAX('Inputs'!$B$33,'Inputs'!$B$29+'Inputs'!$B$31+'Inputs'!$B$32,'Inputs'!$B$30+'Inputs'!$B$31+'Inputs'!$B$32)/1000+'Inputs'!$B$21+'Inputs'!$B$7+'Inputs'!$B$10)+'Inputs'!$B$9)/SQRT((((424-43)*MAX('Inputs'!$B$33,'Inputs'!$B$29+'Inputs'!$B$31+'Inputs'!$B$32,'Inputs'!$B$30+'Inputs'!$B$31+'Inputs'!$B$32)/1000+'Inputs'!$B$21+'Inputs'!$B$7+'Inputs'!$B$10)+'Inputs'!$B$9)^2+('Inputs'!$B$8/2)^2)-(((424-43)*MAX('Inputs'!$B$33,'Inputs'!$B$29+'Inputs'!$B$31+'Inputs'!$B$32,'Inputs'!$B$30+'Inputs'!$B$31+'Inputs'!$B$32)/1000+'Inputs'!$B$21+'Inputs'!$B$7+'Inputs'!$B$10))/SQRT((((424-43)*MAX('Inputs'!$B$33,'Inputs'!$B$29+'Inputs'!$B$31+'Inputs'!$B$32,'Inputs'!$B$30+'Inputs'!$B$31+'Inputs'!$B$32)/1000+'Inputs'!$B$21+'Inputs'!$B$7+'Inputs'!$B$10))^2+('Inputs'!$B$8/2)^2))))*'Results'!$B$8)+'Inputs'!$B$28*ABS((('Results'!B7*(1+'Inputs'!$B$24)*(0.5*((((424-43)*MAX('Inputs'!$B$33,'Inputs'!$B$29+'Inputs'!$B$31+'Inputs'!$B$32,'Inputs'!$B$30+'Inputs'!$B$31+'Inputs'!$B$32)/1000+'Inputs'!$B$21)+'Inputs'!$B$7)/SQRT((((424-43)*MAX('Inputs'!$B$33,'Inputs'!$B$29+'Inputs'!$B$31+'Inputs'!$B$32,'Inputs'!$B$30+'Inputs'!$B$31+'Inputs'!$B$32)/1000+'Inputs'!$B$21)+'Inputs'!$B$7)^2+('Inputs'!$B$6/2)^2)-(((424-43)*MAX('Inputs'!$B$33,'Inputs'!$B$29+'Inputs'!$B$31+'Inputs'!$B$32,'Inputs'!$B$30+'Inputs'!$B$31+'Inputs'!$B$32)/1000+'Inputs'!$B$21))/SQRT((((424-43)*MAX('Inputs'!$B$33,'Inputs'!$B$29+'Inputs'!$B$31+'Inputs'!$B$32,'Inputs'!$B$30+'Inputs'!$B$31+'Inputs'!$B$32)/1000+'Inputs'!$B$21))^2+('Inputs'!$B$6/2)^2)))-'Results'!C7*(1-'Inputs'!$B$24)*(0.5*((((424-43)*MAX('Inputs'!$B$33,'Inputs'!$B$29+'Inputs'!$B$31+'Inputs'!$B$32,'Inputs'!$B$30+'Inputs'!$B$31+'Inputs'!$B$32)/1000+'Inputs'!$B$21+'Inputs'!$B$7+'Inputs'!$B$10)+'Inputs'!$B$9)/SQRT((((424-43)*MAX('Inputs'!$B$33,'Inputs'!$B$29+'Inputs'!$B$31+'Inputs'!$B$32,'Inputs'!$B$30+'Inputs'!$B$31+'Inputs'!$B$32)/1000+'Inputs'!$B$21+'Inputs'!$B$7+'Inputs'!$B$10)+'Inputs'!$B$9)^2+('Inputs'!$B$8/2)^2)-(((424-43)*MAX('Inputs'!$B$33,'Inputs'!$B$29+'Inputs'!$B$31+'Inputs'!$B$32,'Inputs'!$B$30+'Inputs'!$B$31+'Inputs'!$B$32)/1000+'Inputs'!$B$21+'Inputs'!$B$7+'Inputs'!$B$10))/SQRT((((424-43)*MAX('Inputs'!$B$33,'Inputs'!$B$29+'Inputs'!$B$31+'Inputs'!$B$32,'Inputs'!$B$30+'Inputs'!$B$31+'Inputs'!$B$32)/1000+'Inputs'!$B$21+'Inputs'!$B$7+'Inputs'!$B$10))^2+('Inputs'!$B$8/2)^2))))*'Results'!$B$8))),"")</x:f>
        <x:v>11.499500958689747</x:v>
      </x:c>
      <x:c r="M424" t="n">
        <x:f>IF(AND(ISNUMBER('Results'!C7),ISNUMBER('Results'!B7),ISNUMBER('Results'!$B$8),ISNUMBER('Inputs'!$B$6),ISNUMBER('Inputs'!$B$7),ISNUMBER('Inputs'!$B$8),ISNUMBER('Inputs'!$B$9),ISNUMBER('Inputs'!$B$10),ISNUMBER('Inputs'!$B$21),ISNUMBER('Inputs'!$B$24),ISNUMBER('Inputs'!$B$28)),(('Results'!C7*(0.5*((((424-43)*MAX('Inputs'!$B$33,'Inputs'!$B$29+'Inputs'!$B$31+'Inputs'!$B$32,'Inputs'!$B$30+'Inputs'!$B$31+'Inputs'!$B$32)/1000+'Inputs'!$B$21)+'Inputs'!$B$9)/SQRT((((424-43)*MAX('Inputs'!$B$33,'Inputs'!$B$29+'Inputs'!$B$31+'Inputs'!$B$32,'Inputs'!$B$30+'Inputs'!$B$31+'Inputs'!$B$32)/1000+'Inputs'!$B$21)+'Inputs'!$B$9)^2+('Inputs'!$B$8/2)^2)-(((424-43)*MAX('Inputs'!$B$33,'Inputs'!$B$29+'Inputs'!$B$31+'Inputs'!$B$32,'Inputs'!$B$30+'Inputs'!$B$31+'Inputs'!$B$32)/1000+'Inputs'!$B$21))/SQRT((((424-43)*MAX('Inputs'!$B$33,'Inputs'!$B$29+'Inputs'!$B$31+'Inputs'!$B$32,'Inputs'!$B$30+'Inputs'!$B$31+'Inputs'!$B$32)/1000+'Inputs'!$B$21))^2+('Inputs'!$B$8/2)^2)))-'Results'!B7*(0.5*((((424-43)*MAX('Inputs'!$B$33,'Inputs'!$B$29+'Inputs'!$B$31+'Inputs'!$B$32,'Inputs'!$B$30+'Inputs'!$B$31+'Inputs'!$B$32)/1000+'Inputs'!$B$21+'Inputs'!$B$9+'Inputs'!$B$10)+'Inputs'!$B$7)/SQRT((((424-43)*MAX('Inputs'!$B$33,'Inputs'!$B$29+'Inputs'!$B$31+'Inputs'!$B$32,'Inputs'!$B$30+'Inputs'!$B$31+'Inputs'!$B$32)/1000+'Inputs'!$B$21+'Inputs'!$B$9+'Inputs'!$B$10)+'Inputs'!$B$7)^2+('Inputs'!$B$6/2)^2)-(((424-43)*MAX('Inputs'!$B$33,'Inputs'!$B$29+'Inputs'!$B$31+'Inputs'!$B$32,'Inputs'!$B$30+'Inputs'!$B$31+'Inputs'!$B$32)/1000+'Inputs'!$B$21+'Inputs'!$B$9+'Inputs'!$B$10))/SQRT((((424-43)*MAX('Inputs'!$B$33,'Inputs'!$B$29+'Inputs'!$B$31+'Inputs'!$B$32,'Inputs'!$B$30+'Inputs'!$B$31+'Inputs'!$B$32)/1000+'Inputs'!$B$21+'Inputs'!$B$9+'Inputs'!$B$10))^2+('Inputs'!$B$6/2)^2))))*'Results'!$B$8),"")</x:f>
        <x:v>9.795900127640998</x:v>
      </x:c>
      <x:c r="N424" t="n">
        <x:f>IF(AND(ISNUMBER('Results'!C7),ISNUMBER('Results'!B7),ISNUMBER('Results'!$B$8),ISNUMBER('Inputs'!$B$6),ISNUMBER('Inputs'!$B$7),ISNUMBER('Inputs'!$B$8),ISNUMBER('Inputs'!$B$9),ISNUMBER('Inputs'!$B$10),ISNUMBER('Inputs'!$B$21),ISNUMBER('Inputs'!$B$24),ISNUMBER('Inputs'!$B$28)),((('Results'!C7*(1-'Inputs'!$B$24)*(0.5*((((424-43)*MAX('Inputs'!$B$33,'Inputs'!$B$29+'Inputs'!$B$31+'Inputs'!$B$32,'Inputs'!$B$30+'Inputs'!$B$31+'Inputs'!$B$32)/1000+'Inputs'!$B$21)+'Inputs'!$B$9)/SQRT((((424-43)*MAX('Inputs'!$B$33,'Inputs'!$B$29+'Inputs'!$B$31+'Inputs'!$B$32,'Inputs'!$B$30+'Inputs'!$B$31+'Inputs'!$B$32)/1000+'Inputs'!$B$21)+'Inputs'!$B$9)^2+('Inputs'!$B$8/2)^2)-(((424-43)*MAX('Inputs'!$B$33,'Inputs'!$B$29+'Inputs'!$B$31+'Inputs'!$B$32,'Inputs'!$B$30+'Inputs'!$B$31+'Inputs'!$B$32)/1000+'Inputs'!$B$21))/SQRT((((424-43)*MAX('Inputs'!$B$33,'Inputs'!$B$29+'Inputs'!$B$31+'Inputs'!$B$32,'Inputs'!$B$30+'Inputs'!$B$31+'Inputs'!$B$32)/1000+'Inputs'!$B$21))^2+('Inputs'!$B$8/2)^2)))-'Results'!B7*(1+'Inputs'!$B$24)*(0.5*((((424-43)*MAX('Inputs'!$B$33,'Inputs'!$B$29+'Inputs'!$B$31+'Inputs'!$B$32,'Inputs'!$B$30+'Inputs'!$B$31+'Inputs'!$B$32)/1000+'Inputs'!$B$21+'Inputs'!$B$9+'Inputs'!$B$10)+'Inputs'!$B$7)/SQRT((((424-43)*MAX('Inputs'!$B$33,'Inputs'!$B$29+'Inputs'!$B$31+'Inputs'!$B$32,'Inputs'!$B$30+'Inputs'!$B$31+'Inputs'!$B$32)/1000+'Inputs'!$B$21+'Inputs'!$B$9+'Inputs'!$B$10)+'Inputs'!$B$7)^2+('Inputs'!$B$6/2)^2)-(((424-43)*MAX('Inputs'!$B$33,'Inputs'!$B$29+'Inputs'!$B$31+'Inputs'!$B$32,'Inputs'!$B$30+'Inputs'!$B$31+'Inputs'!$B$32)/1000+'Inputs'!$B$21+'Inputs'!$B$9+'Inputs'!$B$10))/SQRT((((424-43)*MAX('Inputs'!$B$33,'Inputs'!$B$29+'Inputs'!$B$31+'Inputs'!$B$32,'Inputs'!$B$30+'Inputs'!$B$31+'Inputs'!$B$32)/1000+'Inputs'!$B$21+'Inputs'!$B$9+'Inputs'!$B$10))^2+('Inputs'!$B$6/2)^2))))*'Results'!$B$8)-'Inputs'!$B$28*ABS((('Results'!C7*(1-'Inputs'!$B$24)*(0.5*((((424-43)*MAX('Inputs'!$B$33,'Inputs'!$B$29+'Inputs'!$B$31+'Inputs'!$B$32,'Inputs'!$B$30+'Inputs'!$B$31+'Inputs'!$B$32)/1000+'Inputs'!$B$21)+'Inputs'!$B$9)/SQRT((((424-43)*MAX('Inputs'!$B$33,'Inputs'!$B$29+'Inputs'!$B$31+'Inputs'!$B$32,'Inputs'!$B$30+'Inputs'!$B$31+'Inputs'!$B$32)/1000+'Inputs'!$B$21)+'Inputs'!$B$9)^2+('Inputs'!$B$8/2)^2)-(((424-43)*MAX('Inputs'!$B$33,'Inputs'!$B$29+'Inputs'!$B$31+'Inputs'!$B$32,'Inputs'!$B$30+'Inputs'!$B$31+'Inputs'!$B$32)/1000+'Inputs'!$B$21))/SQRT((((424-43)*MAX('Inputs'!$B$33,'Inputs'!$B$29+'Inputs'!$B$31+'Inputs'!$B$32,'Inputs'!$B$30+'Inputs'!$B$31+'Inputs'!$B$32)/1000+'Inputs'!$B$21))^2+('Inputs'!$B$8/2)^2)))-'Results'!B7*(1+'Inputs'!$B$24)*(0.5*((((424-43)*MAX('Inputs'!$B$33,'Inputs'!$B$29+'Inputs'!$B$31+'Inputs'!$B$32,'Inputs'!$B$30+'Inputs'!$B$31+'Inputs'!$B$32)/1000+'Inputs'!$B$21+'Inputs'!$B$9+'Inputs'!$B$10)+'Inputs'!$B$7)/SQRT((((424-43)*MAX('Inputs'!$B$33,'Inputs'!$B$29+'Inputs'!$B$31+'Inputs'!$B$32,'Inputs'!$B$30+'Inputs'!$B$31+'Inputs'!$B$32)/1000+'Inputs'!$B$21+'Inputs'!$B$9+'Inputs'!$B$10)+'Inputs'!$B$7)^2+('Inputs'!$B$6/2)^2)-(((424-43)*MAX('Inputs'!$B$33,'Inputs'!$B$29+'Inputs'!$B$31+'Inputs'!$B$32,'Inputs'!$B$30+'Inputs'!$B$31+'Inputs'!$B$32)/1000+'Inputs'!$B$21+'Inputs'!$B$9+'Inputs'!$B$10))/SQRT((((424-43)*MAX('Inputs'!$B$33,'Inputs'!$B$29+'Inputs'!$B$31+'Inputs'!$B$32,'Inputs'!$B$30+'Inputs'!$B$31+'Inputs'!$B$32)/1000+'Inputs'!$B$21+'Inputs'!$B$9+'Inputs'!$B$10))^2+('Inputs'!$B$6/2)^2))))*'Results'!$B$8))),"")</x:f>
        <x:v>8.76266043245297</x:v>
      </x:c>
      <x:c r="O424" t="n">
        <x:f>IF(AND(ISNUMBER('Results'!C7),ISNUMBER('Results'!B7),ISNUMBER('Results'!$B$8),ISNUMBER('Inputs'!$B$6),ISNUMBER('Inputs'!$B$7),ISNUMBER('Inputs'!$B$8),ISNUMBER('Inputs'!$B$9),ISNUMBER('Inputs'!$B$10),ISNUMBER('Inputs'!$B$21),ISNUMBER('Inputs'!$B$24),ISNUMBER('Inputs'!$B$28)),((('Results'!C7*(1+'Inputs'!$B$24)*(0.5*((((424-43)*MAX('Inputs'!$B$33,'Inputs'!$B$29+'Inputs'!$B$31+'Inputs'!$B$32,'Inputs'!$B$30+'Inputs'!$B$31+'Inputs'!$B$32)/1000+'Inputs'!$B$21)+'Inputs'!$B$9)/SQRT((((424-43)*MAX('Inputs'!$B$33,'Inputs'!$B$29+'Inputs'!$B$31+'Inputs'!$B$32,'Inputs'!$B$30+'Inputs'!$B$31+'Inputs'!$B$32)/1000+'Inputs'!$B$21)+'Inputs'!$B$9)^2+('Inputs'!$B$8/2)^2)-(((424-43)*MAX('Inputs'!$B$33,'Inputs'!$B$29+'Inputs'!$B$31+'Inputs'!$B$32,'Inputs'!$B$30+'Inputs'!$B$31+'Inputs'!$B$32)/1000+'Inputs'!$B$21))/SQRT((((424-43)*MAX('Inputs'!$B$33,'Inputs'!$B$29+'Inputs'!$B$31+'Inputs'!$B$32,'Inputs'!$B$30+'Inputs'!$B$31+'Inputs'!$B$32)/1000+'Inputs'!$B$21))^2+('Inputs'!$B$8/2)^2)))-'Results'!B7*(1-'Inputs'!$B$24)*(0.5*((((424-43)*MAX('Inputs'!$B$33,'Inputs'!$B$29+'Inputs'!$B$31+'Inputs'!$B$32,'Inputs'!$B$30+'Inputs'!$B$31+'Inputs'!$B$32)/1000+'Inputs'!$B$21+'Inputs'!$B$9+'Inputs'!$B$10)+'Inputs'!$B$7)/SQRT((((424-43)*MAX('Inputs'!$B$33,'Inputs'!$B$29+'Inputs'!$B$31+'Inputs'!$B$32,'Inputs'!$B$30+'Inputs'!$B$31+'Inputs'!$B$32)/1000+'Inputs'!$B$21+'Inputs'!$B$9+'Inputs'!$B$10)+'Inputs'!$B$7)^2+('Inputs'!$B$6/2)^2)-(((424-43)*MAX('Inputs'!$B$33,'Inputs'!$B$29+'Inputs'!$B$31+'Inputs'!$B$32,'Inputs'!$B$30+'Inputs'!$B$31+'Inputs'!$B$32)/1000+'Inputs'!$B$21+'Inputs'!$B$9+'Inputs'!$B$10))/SQRT((((424-43)*MAX('Inputs'!$B$33,'Inputs'!$B$29+'Inputs'!$B$31+'Inputs'!$B$32,'Inputs'!$B$30+'Inputs'!$B$31+'Inputs'!$B$32)/1000+'Inputs'!$B$21+'Inputs'!$B$9+'Inputs'!$B$10))^2+('Inputs'!$B$6/2)^2))))*'Results'!$B$8)+'Inputs'!$B$28*ABS((('Results'!C7*(1+'Inputs'!$B$24)*(0.5*((((424-43)*MAX('Inputs'!$B$33,'Inputs'!$B$29+'Inputs'!$B$31+'Inputs'!$B$32,'Inputs'!$B$30+'Inputs'!$B$31+'Inputs'!$B$32)/1000+'Inputs'!$B$21)+'Inputs'!$B$9)/SQRT((((424-43)*MAX('Inputs'!$B$33,'Inputs'!$B$29+'Inputs'!$B$31+'Inputs'!$B$32,'Inputs'!$B$30+'Inputs'!$B$31+'Inputs'!$B$32)/1000+'Inputs'!$B$21)+'Inputs'!$B$9)^2+('Inputs'!$B$8/2)^2)-(((424-43)*MAX('Inputs'!$B$33,'Inputs'!$B$29+'Inputs'!$B$31+'Inputs'!$B$32,'Inputs'!$B$30+'Inputs'!$B$31+'Inputs'!$B$32)/1000+'Inputs'!$B$21))/SQRT((((424-43)*MAX('Inputs'!$B$33,'Inputs'!$B$29+'Inputs'!$B$31+'Inputs'!$B$32,'Inputs'!$B$30+'Inputs'!$B$31+'Inputs'!$B$32)/1000+'Inputs'!$B$21))^2+('Inputs'!$B$8/2)^2)))-'Results'!B7*(1-'Inputs'!$B$24)*(0.5*((((424-43)*MAX('Inputs'!$B$33,'Inputs'!$B$29+'Inputs'!$B$31+'Inputs'!$B$32,'Inputs'!$B$30+'Inputs'!$B$31+'Inputs'!$B$32)/1000+'Inputs'!$B$21+'Inputs'!$B$9+'Inputs'!$B$10)+'Inputs'!$B$7)/SQRT((((424-43)*MAX('Inputs'!$B$33,'Inputs'!$B$29+'Inputs'!$B$31+'Inputs'!$B$32,'Inputs'!$B$30+'Inputs'!$B$31+'Inputs'!$B$32)/1000+'Inputs'!$B$21+'Inputs'!$B$9+'Inputs'!$B$10)+'Inputs'!$B$7)^2+('Inputs'!$B$6/2)^2)-(((424-43)*MAX('Inputs'!$B$33,'Inputs'!$B$29+'Inputs'!$B$31+'Inputs'!$B$32,'Inputs'!$B$30+'Inputs'!$B$31+'Inputs'!$B$32)/1000+'Inputs'!$B$21+'Inputs'!$B$9+'Inputs'!$B$10))/SQRT((((424-43)*MAX('Inputs'!$B$33,'Inputs'!$B$29+'Inputs'!$B$31+'Inputs'!$B$32,'Inputs'!$B$30+'Inputs'!$B$31+'Inputs'!$B$32)/1000+'Inputs'!$B$21+'Inputs'!$B$9+'Inputs'!$B$10))^2+('Inputs'!$B$6/2)^2))))*'Results'!$B$8))),"")</x:f>
        <x:v>10.886344526913865</x:v>
      </x:c>
      <x:c r="P424" t="n">
        <x:f>IF(AND(MAX(J424,J423)&gt;0,J424&gt;J423+0.00000001),1,0)</x:f>
        <x:v>0</x:v>
      </x:c>
      <x:c r="Q424" t="n">
        <x:f>IF(AND(MAX(K424,K423)&gt;0,K424&gt;K423+0.00000001),1,0)</x:f>
        <x:v>0</x:v>
      </x:c>
      <x:c r="R424" t="n">
        <x:f>IF(AND(MAX(L424,L423)&gt;0,L424&gt;L423+0.00000001),1,0)</x:f>
        <x:v>0</x:v>
      </x:c>
      <x:c r="S424" t="n">
        <x:f>IF(AND(MAX(M424,M423)&gt;0,M424&gt;M423+0.00000001),1,0)</x:f>
        <x:v>0</x:v>
      </x:c>
      <x:c r="T424" t="n">
        <x:f>IF(AND(MAX(N424,N423)&gt;0,N424&gt;N423+0.00000001),1,0)</x:f>
        <x:v>0</x:v>
      </x:c>
      <x:c r="U424" t="n">
        <x:f>IF(AND(MAX(O424,O423)&gt;0,O424&gt;O423+0.00000001),1,0)</x:f>
        <x:v>0</x:v>
      </x:c>
    </x:row>
    <x:row r="425">
      <x:c r="J425" t="n">
        <x:f>IF(AND(ISNUMBER('Results'!B7),ISNUMBER('Results'!C7),ISNUMBER('Results'!$B$8),ISNUMBER('Inputs'!$B$6),ISNUMBER('Inputs'!$B$7),ISNUMBER('Inputs'!$B$8),ISNUMBER('Inputs'!$B$9),ISNUMBER('Inputs'!$B$10),ISNUMBER('Inputs'!$B$21),ISNUMBER('Inputs'!$B$24),ISNUMBER('Inputs'!$B$28)),(('Results'!B7*(0.5*((((425-43)*MAX('Inputs'!$B$33,'Inputs'!$B$29+'Inputs'!$B$31+'Inputs'!$B$32,'Inputs'!$B$30+'Inputs'!$B$31+'Inputs'!$B$32)/1000+'Inputs'!$B$21)+'Inputs'!$B$7)/SQRT((((425-43)*MAX('Inputs'!$B$33,'Inputs'!$B$29+'Inputs'!$B$31+'Inputs'!$B$32,'Inputs'!$B$30+'Inputs'!$B$31+'Inputs'!$B$32)/1000+'Inputs'!$B$21)+'Inputs'!$B$7)^2+('Inputs'!$B$6/2)^2)-(((425-43)*MAX('Inputs'!$B$33,'Inputs'!$B$29+'Inputs'!$B$31+'Inputs'!$B$32,'Inputs'!$B$30+'Inputs'!$B$31+'Inputs'!$B$32)/1000+'Inputs'!$B$21))/SQRT((((425-43)*MAX('Inputs'!$B$33,'Inputs'!$B$29+'Inputs'!$B$31+'Inputs'!$B$32,'Inputs'!$B$30+'Inputs'!$B$31+'Inputs'!$B$32)/1000+'Inputs'!$B$21))^2+('Inputs'!$B$6/2)^2)))-'Results'!C7*(0.5*((((425-43)*MAX('Inputs'!$B$33,'Inputs'!$B$29+'Inputs'!$B$31+'Inputs'!$B$32,'Inputs'!$B$30+'Inputs'!$B$31+'Inputs'!$B$32)/1000+'Inputs'!$B$21+'Inputs'!$B$7+'Inputs'!$B$10)+'Inputs'!$B$9)/SQRT((((425-43)*MAX('Inputs'!$B$33,'Inputs'!$B$29+'Inputs'!$B$31+'Inputs'!$B$32,'Inputs'!$B$30+'Inputs'!$B$31+'Inputs'!$B$32)/1000+'Inputs'!$B$21+'Inputs'!$B$7+'Inputs'!$B$10)+'Inputs'!$B$9)^2+('Inputs'!$B$8/2)^2)-(((425-43)*MAX('Inputs'!$B$33,'Inputs'!$B$29+'Inputs'!$B$31+'Inputs'!$B$32,'Inputs'!$B$30+'Inputs'!$B$31+'Inputs'!$B$32)/1000+'Inputs'!$B$21+'Inputs'!$B$7+'Inputs'!$B$10))/SQRT((((425-43)*MAX('Inputs'!$B$33,'Inputs'!$B$29+'Inputs'!$B$31+'Inputs'!$B$32,'Inputs'!$B$30+'Inputs'!$B$31+'Inputs'!$B$32)/1000+'Inputs'!$B$21+'Inputs'!$B$7+'Inputs'!$B$10))^2+('Inputs'!$B$8/2)^2))))*'Results'!$B$8),"")</x:f>
        <x:v>10.287244248201146</x:v>
      </x:c>
      <x:c r="K425" t="n">
        <x:f>IF(AND(ISNUMBER('Results'!B7),ISNUMBER('Results'!C7),ISNUMBER('Results'!$B$8),ISNUMBER('Inputs'!$B$6),ISNUMBER('Inputs'!$B$7),ISNUMBER('Inputs'!$B$8),ISNUMBER('Inputs'!$B$9),ISNUMBER('Inputs'!$B$10),ISNUMBER('Inputs'!$B$21),ISNUMBER('Inputs'!$B$24),ISNUMBER('Inputs'!$B$28)),((('Results'!B7*(1-'Inputs'!$B$24)*(0.5*((((425-43)*MAX('Inputs'!$B$33,'Inputs'!$B$29+'Inputs'!$B$31+'Inputs'!$B$32,'Inputs'!$B$30+'Inputs'!$B$31+'Inputs'!$B$32)/1000+'Inputs'!$B$21)+'Inputs'!$B$7)/SQRT((((425-43)*MAX('Inputs'!$B$33,'Inputs'!$B$29+'Inputs'!$B$31+'Inputs'!$B$32,'Inputs'!$B$30+'Inputs'!$B$31+'Inputs'!$B$32)/1000+'Inputs'!$B$21)+'Inputs'!$B$7)^2+('Inputs'!$B$6/2)^2)-(((425-43)*MAX('Inputs'!$B$33,'Inputs'!$B$29+'Inputs'!$B$31+'Inputs'!$B$32,'Inputs'!$B$30+'Inputs'!$B$31+'Inputs'!$B$32)/1000+'Inputs'!$B$21))/SQRT((((425-43)*MAX('Inputs'!$B$33,'Inputs'!$B$29+'Inputs'!$B$31+'Inputs'!$B$32,'Inputs'!$B$30+'Inputs'!$B$31+'Inputs'!$B$32)/1000+'Inputs'!$B$21))^2+('Inputs'!$B$6/2)^2)))-'Results'!C7*(1+'Inputs'!$B$24)*(0.5*((((425-43)*MAX('Inputs'!$B$33,'Inputs'!$B$29+'Inputs'!$B$31+'Inputs'!$B$32,'Inputs'!$B$30+'Inputs'!$B$31+'Inputs'!$B$32)/1000+'Inputs'!$B$21+'Inputs'!$B$7+'Inputs'!$B$10)+'Inputs'!$B$9)/SQRT((((425-43)*MAX('Inputs'!$B$33,'Inputs'!$B$29+'Inputs'!$B$31+'Inputs'!$B$32,'Inputs'!$B$30+'Inputs'!$B$31+'Inputs'!$B$32)/1000+'Inputs'!$B$21+'Inputs'!$B$7+'Inputs'!$B$10)+'Inputs'!$B$9)^2+('Inputs'!$B$8/2)^2)-(((425-43)*MAX('Inputs'!$B$33,'Inputs'!$B$29+'Inputs'!$B$31+'Inputs'!$B$32,'Inputs'!$B$30+'Inputs'!$B$31+'Inputs'!$B$32)/1000+'Inputs'!$B$21+'Inputs'!$B$7+'Inputs'!$B$10))/SQRT((((425-43)*MAX('Inputs'!$B$33,'Inputs'!$B$29+'Inputs'!$B$31+'Inputs'!$B$32,'Inputs'!$B$30+'Inputs'!$B$31+'Inputs'!$B$32)/1000+'Inputs'!$B$21+'Inputs'!$B$7+'Inputs'!$B$10))^2+('Inputs'!$B$8/2)^2))))*'Results'!$B$8)-'Inputs'!$B$28*ABS((('Results'!B7*(1-'Inputs'!$B$24)*(0.5*((((425-43)*MAX('Inputs'!$B$33,'Inputs'!$B$29+'Inputs'!$B$31+'Inputs'!$B$32,'Inputs'!$B$30+'Inputs'!$B$31+'Inputs'!$B$32)/1000+'Inputs'!$B$21)+'Inputs'!$B$7)/SQRT((((425-43)*MAX('Inputs'!$B$33,'Inputs'!$B$29+'Inputs'!$B$31+'Inputs'!$B$32,'Inputs'!$B$30+'Inputs'!$B$31+'Inputs'!$B$32)/1000+'Inputs'!$B$21)+'Inputs'!$B$7)^2+('Inputs'!$B$6/2)^2)-(((425-43)*MAX('Inputs'!$B$33,'Inputs'!$B$29+'Inputs'!$B$31+'Inputs'!$B$32,'Inputs'!$B$30+'Inputs'!$B$31+'Inputs'!$B$32)/1000+'Inputs'!$B$21))/SQRT((((425-43)*MAX('Inputs'!$B$33,'Inputs'!$B$29+'Inputs'!$B$31+'Inputs'!$B$32,'Inputs'!$B$30+'Inputs'!$B$31+'Inputs'!$B$32)/1000+'Inputs'!$B$21))^2+('Inputs'!$B$6/2)^2)))-'Results'!C7*(1+'Inputs'!$B$24)*(0.5*((((425-43)*MAX('Inputs'!$B$33,'Inputs'!$B$29+'Inputs'!$B$31+'Inputs'!$B$32,'Inputs'!$B$30+'Inputs'!$B$31+'Inputs'!$B$32)/1000+'Inputs'!$B$21+'Inputs'!$B$7+'Inputs'!$B$10)+'Inputs'!$B$9)/SQRT((((425-43)*MAX('Inputs'!$B$33,'Inputs'!$B$29+'Inputs'!$B$31+'Inputs'!$B$32,'Inputs'!$B$30+'Inputs'!$B$31+'Inputs'!$B$32)/1000+'Inputs'!$B$21+'Inputs'!$B$7+'Inputs'!$B$10)+'Inputs'!$B$9)^2+('Inputs'!$B$8/2)^2)-(((425-43)*MAX('Inputs'!$B$33,'Inputs'!$B$29+'Inputs'!$B$31+'Inputs'!$B$32,'Inputs'!$B$30+'Inputs'!$B$31+'Inputs'!$B$32)/1000+'Inputs'!$B$21+'Inputs'!$B$7+'Inputs'!$B$10))/SQRT((((425-43)*MAX('Inputs'!$B$33,'Inputs'!$B$29+'Inputs'!$B$31+'Inputs'!$B$32,'Inputs'!$B$30+'Inputs'!$B$31+'Inputs'!$B$32)/1000+'Inputs'!$B$21+'Inputs'!$B$7+'Inputs'!$B$10))^2+('Inputs'!$B$8/2)^2))))*'Results'!$B$8))),"")</x:f>
        <x:v>9.229234948617114</x:v>
      </x:c>
      <x:c r="L425" t="n">
        <x:f>IF(AND(ISNUMBER('Results'!B7),ISNUMBER('Results'!C7),ISNUMBER('Results'!$B$8),ISNUMBER('Inputs'!$B$6),ISNUMBER('Inputs'!$B$7),ISNUMBER('Inputs'!$B$8),ISNUMBER('Inputs'!$B$9),ISNUMBER('Inputs'!$B$10),ISNUMBER('Inputs'!$B$21),ISNUMBER('Inputs'!$B$24),ISNUMBER('Inputs'!$B$28)),((('Results'!B7*(1+'Inputs'!$B$24)*(0.5*((((425-43)*MAX('Inputs'!$B$33,'Inputs'!$B$29+'Inputs'!$B$31+'Inputs'!$B$32,'Inputs'!$B$30+'Inputs'!$B$31+'Inputs'!$B$32)/1000+'Inputs'!$B$21)+'Inputs'!$B$7)/SQRT((((425-43)*MAX('Inputs'!$B$33,'Inputs'!$B$29+'Inputs'!$B$31+'Inputs'!$B$32,'Inputs'!$B$30+'Inputs'!$B$31+'Inputs'!$B$32)/1000+'Inputs'!$B$21)+'Inputs'!$B$7)^2+('Inputs'!$B$6/2)^2)-(((425-43)*MAX('Inputs'!$B$33,'Inputs'!$B$29+'Inputs'!$B$31+'Inputs'!$B$32,'Inputs'!$B$30+'Inputs'!$B$31+'Inputs'!$B$32)/1000+'Inputs'!$B$21))/SQRT((((425-43)*MAX('Inputs'!$B$33,'Inputs'!$B$29+'Inputs'!$B$31+'Inputs'!$B$32,'Inputs'!$B$30+'Inputs'!$B$31+'Inputs'!$B$32)/1000+'Inputs'!$B$21))^2+('Inputs'!$B$6/2)^2)))-'Results'!C7*(1-'Inputs'!$B$24)*(0.5*((((425-43)*MAX('Inputs'!$B$33,'Inputs'!$B$29+'Inputs'!$B$31+'Inputs'!$B$32,'Inputs'!$B$30+'Inputs'!$B$31+'Inputs'!$B$32)/1000+'Inputs'!$B$21+'Inputs'!$B$7+'Inputs'!$B$10)+'Inputs'!$B$9)/SQRT((((425-43)*MAX('Inputs'!$B$33,'Inputs'!$B$29+'Inputs'!$B$31+'Inputs'!$B$32,'Inputs'!$B$30+'Inputs'!$B$31+'Inputs'!$B$32)/1000+'Inputs'!$B$21+'Inputs'!$B$7+'Inputs'!$B$10)+'Inputs'!$B$9)^2+('Inputs'!$B$8/2)^2)-(((425-43)*MAX('Inputs'!$B$33,'Inputs'!$B$29+'Inputs'!$B$31+'Inputs'!$B$32,'Inputs'!$B$30+'Inputs'!$B$31+'Inputs'!$B$32)/1000+'Inputs'!$B$21+'Inputs'!$B$7+'Inputs'!$B$10))/SQRT((((425-43)*MAX('Inputs'!$B$33,'Inputs'!$B$29+'Inputs'!$B$31+'Inputs'!$B$32,'Inputs'!$B$30+'Inputs'!$B$31+'Inputs'!$B$32)/1000+'Inputs'!$B$21+'Inputs'!$B$7+'Inputs'!$B$10))^2+('Inputs'!$B$8/2)^2))))*'Results'!$B$8)+'Inputs'!$B$28*ABS((('Results'!B7*(1+'Inputs'!$B$24)*(0.5*((((425-43)*MAX('Inputs'!$B$33,'Inputs'!$B$29+'Inputs'!$B$31+'Inputs'!$B$32,'Inputs'!$B$30+'Inputs'!$B$31+'Inputs'!$B$32)/1000+'Inputs'!$B$21)+'Inputs'!$B$7)/SQRT((((425-43)*MAX('Inputs'!$B$33,'Inputs'!$B$29+'Inputs'!$B$31+'Inputs'!$B$32,'Inputs'!$B$30+'Inputs'!$B$31+'Inputs'!$B$32)/1000+'Inputs'!$B$21)+'Inputs'!$B$7)^2+('Inputs'!$B$6/2)^2)-(((425-43)*MAX('Inputs'!$B$33,'Inputs'!$B$29+'Inputs'!$B$31+'Inputs'!$B$32,'Inputs'!$B$30+'Inputs'!$B$31+'Inputs'!$B$32)/1000+'Inputs'!$B$21))/SQRT((((425-43)*MAX('Inputs'!$B$33,'Inputs'!$B$29+'Inputs'!$B$31+'Inputs'!$B$32,'Inputs'!$B$30+'Inputs'!$B$31+'Inputs'!$B$32)/1000+'Inputs'!$B$21))^2+('Inputs'!$B$6/2)^2)))-'Results'!C7*(1-'Inputs'!$B$24)*(0.5*((((425-43)*MAX('Inputs'!$B$33,'Inputs'!$B$29+'Inputs'!$B$31+'Inputs'!$B$32,'Inputs'!$B$30+'Inputs'!$B$31+'Inputs'!$B$32)/1000+'Inputs'!$B$21+'Inputs'!$B$7+'Inputs'!$B$10)+'Inputs'!$B$9)/SQRT((((425-43)*MAX('Inputs'!$B$33,'Inputs'!$B$29+'Inputs'!$B$31+'Inputs'!$B$32,'Inputs'!$B$30+'Inputs'!$B$31+'Inputs'!$B$32)/1000+'Inputs'!$B$21+'Inputs'!$B$7+'Inputs'!$B$10)+'Inputs'!$B$9)^2+('Inputs'!$B$8/2)^2)-(((425-43)*MAX('Inputs'!$B$33,'Inputs'!$B$29+'Inputs'!$B$31+'Inputs'!$B$32,'Inputs'!$B$30+'Inputs'!$B$31+'Inputs'!$B$32)/1000+'Inputs'!$B$21+'Inputs'!$B$7+'Inputs'!$B$10))/SQRT((((425-43)*MAX('Inputs'!$B$33,'Inputs'!$B$29+'Inputs'!$B$31+'Inputs'!$B$32,'Inputs'!$B$30+'Inputs'!$B$31+'Inputs'!$B$32)/1000+'Inputs'!$B$21+'Inputs'!$B$7+'Inputs'!$B$10))^2+('Inputs'!$B$8/2)^2))))*'Results'!$B$8))),"")</x:f>
        <x:v>11.402479556961389</x:v>
      </x:c>
      <x:c r="M425" t="n">
        <x:f>IF(AND(ISNUMBER('Results'!C7),ISNUMBER('Results'!B7),ISNUMBER('Results'!$B$8),ISNUMBER('Inputs'!$B$6),ISNUMBER('Inputs'!$B$7),ISNUMBER('Inputs'!$B$8),ISNUMBER('Inputs'!$B$9),ISNUMBER('Inputs'!$B$10),ISNUMBER('Inputs'!$B$21),ISNUMBER('Inputs'!$B$24),ISNUMBER('Inputs'!$B$28)),(('Results'!C7*(0.5*((((425-43)*MAX('Inputs'!$B$33,'Inputs'!$B$29+'Inputs'!$B$31+'Inputs'!$B$32,'Inputs'!$B$30+'Inputs'!$B$31+'Inputs'!$B$32)/1000+'Inputs'!$B$21)+'Inputs'!$B$9)/SQRT((((425-43)*MAX('Inputs'!$B$33,'Inputs'!$B$29+'Inputs'!$B$31+'Inputs'!$B$32,'Inputs'!$B$30+'Inputs'!$B$31+'Inputs'!$B$32)/1000+'Inputs'!$B$21)+'Inputs'!$B$9)^2+('Inputs'!$B$8/2)^2)-(((425-43)*MAX('Inputs'!$B$33,'Inputs'!$B$29+'Inputs'!$B$31+'Inputs'!$B$32,'Inputs'!$B$30+'Inputs'!$B$31+'Inputs'!$B$32)/1000+'Inputs'!$B$21))/SQRT((((425-43)*MAX('Inputs'!$B$33,'Inputs'!$B$29+'Inputs'!$B$31+'Inputs'!$B$32,'Inputs'!$B$30+'Inputs'!$B$31+'Inputs'!$B$32)/1000+'Inputs'!$B$21))^2+('Inputs'!$B$8/2)^2)))-'Results'!B7*(0.5*((((425-43)*MAX('Inputs'!$B$33,'Inputs'!$B$29+'Inputs'!$B$31+'Inputs'!$B$32,'Inputs'!$B$30+'Inputs'!$B$31+'Inputs'!$B$32)/1000+'Inputs'!$B$21+'Inputs'!$B$9+'Inputs'!$B$10)+'Inputs'!$B$7)/SQRT((((425-43)*MAX('Inputs'!$B$33,'Inputs'!$B$29+'Inputs'!$B$31+'Inputs'!$B$32,'Inputs'!$B$30+'Inputs'!$B$31+'Inputs'!$B$32)/1000+'Inputs'!$B$21+'Inputs'!$B$9+'Inputs'!$B$10)+'Inputs'!$B$7)^2+('Inputs'!$B$6/2)^2)-(((425-43)*MAX('Inputs'!$B$33,'Inputs'!$B$29+'Inputs'!$B$31+'Inputs'!$B$32,'Inputs'!$B$30+'Inputs'!$B$31+'Inputs'!$B$32)/1000+'Inputs'!$B$21+'Inputs'!$B$9+'Inputs'!$B$10))/SQRT((((425-43)*MAX('Inputs'!$B$33,'Inputs'!$B$29+'Inputs'!$B$31+'Inputs'!$B$32,'Inputs'!$B$30+'Inputs'!$B$31+'Inputs'!$B$32)/1000+'Inputs'!$B$21+'Inputs'!$B$9+'Inputs'!$B$10))^2+('Inputs'!$B$6/2)^2))))*'Results'!$B$8),"")</x:f>
        <x:v>9.711244205349292</x:v>
      </x:c>
      <x:c r="N425" t="n">
        <x:f>IF(AND(ISNUMBER('Results'!C7),ISNUMBER('Results'!B7),ISNUMBER('Results'!$B$8),ISNUMBER('Inputs'!$B$6),ISNUMBER('Inputs'!$B$7),ISNUMBER('Inputs'!$B$8),ISNUMBER('Inputs'!$B$9),ISNUMBER('Inputs'!$B$10),ISNUMBER('Inputs'!$B$21),ISNUMBER('Inputs'!$B$24),ISNUMBER('Inputs'!$B$28)),((('Results'!C7*(1-'Inputs'!$B$24)*(0.5*((((425-43)*MAX('Inputs'!$B$33,'Inputs'!$B$29+'Inputs'!$B$31+'Inputs'!$B$32,'Inputs'!$B$30+'Inputs'!$B$31+'Inputs'!$B$32)/1000+'Inputs'!$B$21)+'Inputs'!$B$9)/SQRT((((425-43)*MAX('Inputs'!$B$33,'Inputs'!$B$29+'Inputs'!$B$31+'Inputs'!$B$32,'Inputs'!$B$30+'Inputs'!$B$31+'Inputs'!$B$32)/1000+'Inputs'!$B$21)+'Inputs'!$B$9)^2+('Inputs'!$B$8/2)^2)-(((425-43)*MAX('Inputs'!$B$33,'Inputs'!$B$29+'Inputs'!$B$31+'Inputs'!$B$32,'Inputs'!$B$30+'Inputs'!$B$31+'Inputs'!$B$32)/1000+'Inputs'!$B$21))/SQRT((((425-43)*MAX('Inputs'!$B$33,'Inputs'!$B$29+'Inputs'!$B$31+'Inputs'!$B$32,'Inputs'!$B$30+'Inputs'!$B$31+'Inputs'!$B$32)/1000+'Inputs'!$B$21))^2+('Inputs'!$B$8/2)^2)))-'Results'!B7*(1+'Inputs'!$B$24)*(0.5*((((425-43)*MAX('Inputs'!$B$33,'Inputs'!$B$29+'Inputs'!$B$31+'Inputs'!$B$32,'Inputs'!$B$30+'Inputs'!$B$31+'Inputs'!$B$32)/1000+'Inputs'!$B$21+'Inputs'!$B$9+'Inputs'!$B$10)+'Inputs'!$B$7)/SQRT((((425-43)*MAX('Inputs'!$B$33,'Inputs'!$B$29+'Inputs'!$B$31+'Inputs'!$B$32,'Inputs'!$B$30+'Inputs'!$B$31+'Inputs'!$B$32)/1000+'Inputs'!$B$21+'Inputs'!$B$9+'Inputs'!$B$10)+'Inputs'!$B$7)^2+('Inputs'!$B$6/2)^2)-(((425-43)*MAX('Inputs'!$B$33,'Inputs'!$B$29+'Inputs'!$B$31+'Inputs'!$B$32,'Inputs'!$B$30+'Inputs'!$B$31+'Inputs'!$B$32)/1000+'Inputs'!$B$21+'Inputs'!$B$9+'Inputs'!$B$10))/SQRT((((425-43)*MAX('Inputs'!$B$33,'Inputs'!$B$29+'Inputs'!$B$31+'Inputs'!$B$32,'Inputs'!$B$30+'Inputs'!$B$31+'Inputs'!$B$32)/1000+'Inputs'!$B$21+'Inputs'!$B$9+'Inputs'!$B$10))^2+('Inputs'!$B$6/2)^2))))*'Results'!$B$8)-'Inputs'!$B$28*ABS((('Results'!C7*(1-'Inputs'!$B$24)*(0.5*((((425-43)*MAX('Inputs'!$B$33,'Inputs'!$B$29+'Inputs'!$B$31+'Inputs'!$B$32,'Inputs'!$B$30+'Inputs'!$B$31+'Inputs'!$B$32)/1000+'Inputs'!$B$21)+'Inputs'!$B$9)/SQRT((((425-43)*MAX('Inputs'!$B$33,'Inputs'!$B$29+'Inputs'!$B$31+'Inputs'!$B$32,'Inputs'!$B$30+'Inputs'!$B$31+'Inputs'!$B$32)/1000+'Inputs'!$B$21)+'Inputs'!$B$9)^2+('Inputs'!$B$8/2)^2)-(((425-43)*MAX('Inputs'!$B$33,'Inputs'!$B$29+'Inputs'!$B$31+'Inputs'!$B$32,'Inputs'!$B$30+'Inputs'!$B$31+'Inputs'!$B$32)/1000+'Inputs'!$B$21))/SQRT((((425-43)*MAX('Inputs'!$B$33,'Inputs'!$B$29+'Inputs'!$B$31+'Inputs'!$B$32,'Inputs'!$B$30+'Inputs'!$B$31+'Inputs'!$B$32)/1000+'Inputs'!$B$21))^2+('Inputs'!$B$8/2)^2)))-'Results'!B7*(1+'Inputs'!$B$24)*(0.5*((((425-43)*MAX('Inputs'!$B$33,'Inputs'!$B$29+'Inputs'!$B$31+'Inputs'!$B$32,'Inputs'!$B$30+'Inputs'!$B$31+'Inputs'!$B$32)/1000+'Inputs'!$B$21+'Inputs'!$B$9+'Inputs'!$B$10)+'Inputs'!$B$7)/SQRT((((425-43)*MAX('Inputs'!$B$33,'Inputs'!$B$29+'Inputs'!$B$31+'Inputs'!$B$32,'Inputs'!$B$30+'Inputs'!$B$31+'Inputs'!$B$32)/1000+'Inputs'!$B$21+'Inputs'!$B$9+'Inputs'!$B$10)+'Inputs'!$B$7)^2+('Inputs'!$B$6/2)^2)-(((425-43)*MAX('Inputs'!$B$33,'Inputs'!$B$29+'Inputs'!$B$31+'Inputs'!$B$32,'Inputs'!$B$30+'Inputs'!$B$31+'Inputs'!$B$32)/1000+'Inputs'!$B$21+'Inputs'!$B$9+'Inputs'!$B$10))/SQRT((((425-43)*MAX('Inputs'!$B$33,'Inputs'!$B$29+'Inputs'!$B$31+'Inputs'!$B$32,'Inputs'!$B$30+'Inputs'!$B$31+'Inputs'!$B$32)/1000+'Inputs'!$B$21+'Inputs'!$B$9+'Inputs'!$B$10))^2+('Inputs'!$B$6/2)^2))))*'Results'!$B$8))),"")</x:f>
        <x:v>8.68587300165146</x:v>
      </x:c>
      <x:c r="O425" t="n">
        <x:f>IF(AND(ISNUMBER('Results'!C7),ISNUMBER('Results'!B7),ISNUMBER('Results'!$B$8),ISNUMBER('Inputs'!$B$6),ISNUMBER('Inputs'!$B$7),ISNUMBER('Inputs'!$B$8),ISNUMBER('Inputs'!$B$9),ISNUMBER('Inputs'!$B$10),ISNUMBER('Inputs'!$B$21),ISNUMBER('Inputs'!$B$24),ISNUMBER('Inputs'!$B$28)),((('Results'!C7*(1+'Inputs'!$B$24)*(0.5*((((425-43)*MAX('Inputs'!$B$33,'Inputs'!$B$29+'Inputs'!$B$31+'Inputs'!$B$32,'Inputs'!$B$30+'Inputs'!$B$31+'Inputs'!$B$32)/1000+'Inputs'!$B$21)+'Inputs'!$B$9)/SQRT((((425-43)*MAX('Inputs'!$B$33,'Inputs'!$B$29+'Inputs'!$B$31+'Inputs'!$B$32,'Inputs'!$B$30+'Inputs'!$B$31+'Inputs'!$B$32)/1000+'Inputs'!$B$21)+'Inputs'!$B$9)^2+('Inputs'!$B$8/2)^2)-(((425-43)*MAX('Inputs'!$B$33,'Inputs'!$B$29+'Inputs'!$B$31+'Inputs'!$B$32,'Inputs'!$B$30+'Inputs'!$B$31+'Inputs'!$B$32)/1000+'Inputs'!$B$21))/SQRT((((425-43)*MAX('Inputs'!$B$33,'Inputs'!$B$29+'Inputs'!$B$31+'Inputs'!$B$32,'Inputs'!$B$30+'Inputs'!$B$31+'Inputs'!$B$32)/1000+'Inputs'!$B$21))^2+('Inputs'!$B$8/2)^2)))-'Results'!B7*(1-'Inputs'!$B$24)*(0.5*((((425-43)*MAX('Inputs'!$B$33,'Inputs'!$B$29+'Inputs'!$B$31+'Inputs'!$B$32,'Inputs'!$B$30+'Inputs'!$B$31+'Inputs'!$B$32)/1000+'Inputs'!$B$21+'Inputs'!$B$9+'Inputs'!$B$10)+'Inputs'!$B$7)/SQRT((((425-43)*MAX('Inputs'!$B$33,'Inputs'!$B$29+'Inputs'!$B$31+'Inputs'!$B$32,'Inputs'!$B$30+'Inputs'!$B$31+'Inputs'!$B$32)/1000+'Inputs'!$B$21+'Inputs'!$B$9+'Inputs'!$B$10)+'Inputs'!$B$7)^2+('Inputs'!$B$6/2)^2)-(((425-43)*MAX('Inputs'!$B$33,'Inputs'!$B$29+'Inputs'!$B$31+'Inputs'!$B$32,'Inputs'!$B$30+'Inputs'!$B$31+'Inputs'!$B$32)/1000+'Inputs'!$B$21+'Inputs'!$B$9+'Inputs'!$B$10))/SQRT((((425-43)*MAX('Inputs'!$B$33,'Inputs'!$B$29+'Inputs'!$B$31+'Inputs'!$B$32,'Inputs'!$B$30+'Inputs'!$B$31+'Inputs'!$B$32)/1000+'Inputs'!$B$21+'Inputs'!$B$9+'Inputs'!$B$10))^2+('Inputs'!$B$6/2)^2))))*'Results'!$B$8)+'Inputs'!$B$28*ABS((('Results'!C7*(1+'Inputs'!$B$24)*(0.5*((((425-43)*MAX('Inputs'!$B$33,'Inputs'!$B$29+'Inputs'!$B$31+'Inputs'!$B$32,'Inputs'!$B$30+'Inputs'!$B$31+'Inputs'!$B$32)/1000+'Inputs'!$B$21)+'Inputs'!$B$9)/SQRT((((425-43)*MAX('Inputs'!$B$33,'Inputs'!$B$29+'Inputs'!$B$31+'Inputs'!$B$32,'Inputs'!$B$30+'Inputs'!$B$31+'Inputs'!$B$32)/1000+'Inputs'!$B$21)+'Inputs'!$B$9)^2+('Inputs'!$B$8/2)^2)-(((425-43)*MAX('Inputs'!$B$33,'Inputs'!$B$29+'Inputs'!$B$31+'Inputs'!$B$32,'Inputs'!$B$30+'Inputs'!$B$31+'Inputs'!$B$32)/1000+'Inputs'!$B$21))/SQRT((((425-43)*MAX('Inputs'!$B$33,'Inputs'!$B$29+'Inputs'!$B$31+'Inputs'!$B$32,'Inputs'!$B$30+'Inputs'!$B$31+'Inputs'!$B$32)/1000+'Inputs'!$B$21))^2+('Inputs'!$B$8/2)^2)))-'Results'!B7*(1-'Inputs'!$B$24)*(0.5*((((425-43)*MAX('Inputs'!$B$33,'Inputs'!$B$29+'Inputs'!$B$31+'Inputs'!$B$32,'Inputs'!$B$30+'Inputs'!$B$31+'Inputs'!$B$32)/1000+'Inputs'!$B$21+'Inputs'!$B$9+'Inputs'!$B$10)+'Inputs'!$B$7)/SQRT((((425-43)*MAX('Inputs'!$B$33,'Inputs'!$B$29+'Inputs'!$B$31+'Inputs'!$B$32,'Inputs'!$B$30+'Inputs'!$B$31+'Inputs'!$B$32)/1000+'Inputs'!$B$21+'Inputs'!$B$9+'Inputs'!$B$10)+'Inputs'!$B$7)^2+('Inputs'!$B$6/2)^2)-(((425-43)*MAX('Inputs'!$B$33,'Inputs'!$B$29+'Inputs'!$B$31+'Inputs'!$B$32,'Inputs'!$B$30+'Inputs'!$B$31+'Inputs'!$B$32)/1000+'Inputs'!$B$21+'Inputs'!$B$9+'Inputs'!$B$10))/SQRT((((425-43)*MAX('Inputs'!$B$33,'Inputs'!$B$29+'Inputs'!$B$31+'Inputs'!$B$32,'Inputs'!$B$30+'Inputs'!$B$31+'Inputs'!$B$32)/1000+'Inputs'!$B$21+'Inputs'!$B$9+'Inputs'!$B$10))^2+('Inputs'!$B$6/2)^2))))*'Results'!$B$8))),"")</x:f>
        <x:v>10.793437408355583</x:v>
      </x:c>
      <x:c r="P425" t="n">
        <x:f>IF(AND(MAX(J425,J424)&gt;0,J425&gt;J424+0.00000001),1,0)</x:f>
        <x:v>0</x:v>
      </x:c>
      <x:c r="Q425" t="n">
        <x:f>IF(AND(MAX(K425,K424)&gt;0,K425&gt;K424+0.00000001),1,0)</x:f>
        <x:v>0</x:v>
      </x:c>
      <x:c r="R425" t="n">
        <x:f>IF(AND(MAX(L425,L424)&gt;0,L425&gt;L424+0.00000001),1,0)</x:f>
        <x:v>0</x:v>
      </x:c>
      <x:c r="S425" t="n">
        <x:f>IF(AND(MAX(M425,M424)&gt;0,M425&gt;M424+0.00000001),1,0)</x:f>
        <x:v>0</x:v>
      </x:c>
      <x:c r="T425" t="n">
        <x:f>IF(AND(MAX(N425,N424)&gt;0,N425&gt;N424+0.00000001),1,0)</x:f>
        <x:v>0</x:v>
      </x:c>
      <x:c r="U425" t="n">
        <x:f>IF(AND(MAX(O425,O424)&gt;0,O425&gt;O424+0.00000001),1,0)</x:f>
        <x:v>0</x:v>
      </x:c>
    </x:row>
    <x:row r="426">
      <x:c r="J426" t="n">
        <x:f>IF(AND(ISNUMBER('Results'!B7),ISNUMBER('Results'!C7),ISNUMBER('Results'!$B$8),ISNUMBER('Inputs'!$B$6),ISNUMBER('Inputs'!$B$7),ISNUMBER('Inputs'!$B$8),ISNUMBER('Inputs'!$B$9),ISNUMBER('Inputs'!$B$10),ISNUMBER('Inputs'!$B$21),ISNUMBER('Inputs'!$B$24),ISNUMBER('Inputs'!$B$28)),(('Results'!B7*(0.5*((((426-43)*MAX('Inputs'!$B$33,'Inputs'!$B$29+'Inputs'!$B$31+'Inputs'!$B$32,'Inputs'!$B$30+'Inputs'!$B$31+'Inputs'!$B$32)/1000+'Inputs'!$B$21)+'Inputs'!$B$7)/SQRT((((426-43)*MAX('Inputs'!$B$33,'Inputs'!$B$29+'Inputs'!$B$31+'Inputs'!$B$32,'Inputs'!$B$30+'Inputs'!$B$31+'Inputs'!$B$32)/1000+'Inputs'!$B$21)+'Inputs'!$B$7)^2+('Inputs'!$B$6/2)^2)-(((426-43)*MAX('Inputs'!$B$33,'Inputs'!$B$29+'Inputs'!$B$31+'Inputs'!$B$32,'Inputs'!$B$30+'Inputs'!$B$31+'Inputs'!$B$32)/1000+'Inputs'!$B$21))/SQRT((((426-43)*MAX('Inputs'!$B$33,'Inputs'!$B$29+'Inputs'!$B$31+'Inputs'!$B$32,'Inputs'!$B$30+'Inputs'!$B$31+'Inputs'!$B$32)/1000+'Inputs'!$B$21))^2+('Inputs'!$B$6/2)^2)))-'Results'!C7*(0.5*((((426-43)*MAX('Inputs'!$B$33,'Inputs'!$B$29+'Inputs'!$B$31+'Inputs'!$B$32,'Inputs'!$B$30+'Inputs'!$B$31+'Inputs'!$B$32)/1000+'Inputs'!$B$21+'Inputs'!$B$7+'Inputs'!$B$10)+'Inputs'!$B$9)/SQRT((((426-43)*MAX('Inputs'!$B$33,'Inputs'!$B$29+'Inputs'!$B$31+'Inputs'!$B$32,'Inputs'!$B$30+'Inputs'!$B$31+'Inputs'!$B$32)/1000+'Inputs'!$B$21+'Inputs'!$B$7+'Inputs'!$B$10)+'Inputs'!$B$9)^2+('Inputs'!$B$8/2)^2)-(((426-43)*MAX('Inputs'!$B$33,'Inputs'!$B$29+'Inputs'!$B$31+'Inputs'!$B$32,'Inputs'!$B$30+'Inputs'!$B$31+'Inputs'!$B$32)/1000+'Inputs'!$B$21+'Inputs'!$B$7+'Inputs'!$B$10))/SQRT((((426-43)*MAX('Inputs'!$B$33,'Inputs'!$B$29+'Inputs'!$B$31+'Inputs'!$B$32,'Inputs'!$B$30+'Inputs'!$B$31+'Inputs'!$B$32)/1000+'Inputs'!$B$21+'Inputs'!$B$7+'Inputs'!$B$10))^2+('Inputs'!$B$8/2)^2))))*'Results'!$B$8),"")</x:f>
        <x:v>10.19964654639663</x:v>
      </x:c>
      <x:c r="K426" t="n">
        <x:f>IF(AND(ISNUMBER('Results'!B7),ISNUMBER('Results'!C7),ISNUMBER('Results'!$B$8),ISNUMBER('Inputs'!$B$6),ISNUMBER('Inputs'!$B$7),ISNUMBER('Inputs'!$B$8),ISNUMBER('Inputs'!$B$9),ISNUMBER('Inputs'!$B$10),ISNUMBER('Inputs'!$B$21),ISNUMBER('Inputs'!$B$24),ISNUMBER('Inputs'!$B$28)),((('Results'!B7*(1-'Inputs'!$B$24)*(0.5*((((426-43)*MAX('Inputs'!$B$33,'Inputs'!$B$29+'Inputs'!$B$31+'Inputs'!$B$32,'Inputs'!$B$30+'Inputs'!$B$31+'Inputs'!$B$32)/1000+'Inputs'!$B$21)+'Inputs'!$B$7)/SQRT((((426-43)*MAX('Inputs'!$B$33,'Inputs'!$B$29+'Inputs'!$B$31+'Inputs'!$B$32,'Inputs'!$B$30+'Inputs'!$B$31+'Inputs'!$B$32)/1000+'Inputs'!$B$21)+'Inputs'!$B$7)^2+('Inputs'!$B$6/2)^2)-(((426-43)*MAX('Inputs'!$B$33,'Inputs'!$B$29+'Inputs'!$B$31+'Inputs'!$B$32,'Inputs'!$B$30+'Inputs'!$B$31+'Inputs'!$B$32)/1000+'Inputs'!$B$21))/SQRT((((426-43)*MAX('Inputs'!$B$33,'Inputs'!$B$29+'Inputs'!$B$31+'Inputs'!$B$32,'Inputs'!$B$30+'Inputs'!$B$31+'Inputs'!$B$32)/1000+'Inputs'!$B$21))^2+('Inputs'!$B$6/2)^2)))-'Results'!C7*(1+'Inputs'!$B$24)*(0.5*((((426-43)*MAX('Inputs'!$B$33,'Inputs'!$B$29+'Inputs'!$B$31+'Inputs'!$B$32,'Inputs'!$B$30+'Inputs'!$B$31+'Inputs'!$B$32)/1000+'Inputs'!$B$21+'Inputs'!$B$7+'Inputs'!$B$10)+'Inputs'!$B$9)/SQRT((((426-43)*MAX('Inputs'!$B$33,'Inputs'!$B$29+'Inputs'!$B$31+'Inputs'!$B$32,'Inputs'!$B$30+'Inputs'!$B$31+'Inputs'!$B$32)/1000+'Inputs'!$B$21+'Inputs'!$B$7+'Inputs'!$B$10)+'Inputs'!$B$9)^2+('Inputs'!$B$8/2)^2)-(((426-43)*MAX('Inputs'!$B$33,'Inputs'!$B$29+'Inputs'!$B$31+'Inputs'!$B$32,'Inputs'!$B$30+'Inputs'!$B$31+'Inputs'!$B$32)/1000+'Inputs'!$B$21+'Inputs'!$B$7+'Inputs'!$B$10))/SQRT((((426-43)*MAX('Inputs'!$B$33,'Inputs'!$B$29+'Inputs'!$B$31+'Inputs'!$B$32,'Inputs'!$B$30+'Inputs'!$B$31+'Inputs'!$B$32)/1000+'Inputs'!$B$21+'Inputs'!$B$7+'Inputs'!$B$10))^2+('Inputs'!$B$8/2)^2))))*'Results'!$B$8)-'Inputs'!$B$28*ABS((('Results'!B7*(1-'Inputs'!$B$24)*(0.5*((((426-43)*MAX('Inputs'!$B$33,'Inputs'!$B$29+'Inputs'!$B$31+'Inputs'!$B$32,'Inputs'!$B$30+'Inputs'!$B$31+'Inputs'!$B$32)/1000+'Inputs'!$B$21)+'Inputs'!$B$7)/SQRT((((426-43)*MAX('Inputs'!$B$33,'Inputs'!$B$29+'Inputs'!$B$31+'Inputs'!$B$32,'Inputs'!$B$30+'Inputs'!$B$31+'Inputs'!$B$32)/1000+'Inputs'!$B$21)+'Inputs'!$B$7)^2+('Inputs'!$B$6/2)^2)-(((426-43)*MAX('Inputs'!$B$33,'Inputs'!$B$29+'Inputs'!$B$31+'Inputs'!$B$32,'Inputs'!$B$30+'Inputs'!$B$31+'Inputs'!$B$32)/1000+'Inputs'!$B$21))/SQRT((((426-43)*MAX('Inputs'!$B$33,'Inputs'!$B$29+'Inputs'!$B$31+'Inputs'!$B$32,'Inputs'!$B$30+'Inputs'!$B$31+'Inputs'!$B$32)/1000+'Inputs'!$B$21))^2+('Inputs'!$B$6/2)^2)))-'Results'!C7*(1+'Inputs'!$B$24)*(0.5*((((426-43)*MAX('Inputs'!$B$33,'Inputs'!$B$29+'Inputs'!$B$31+'Inputs'!$B$32,'Inputs'!$B$30+'Inputs'!$B$31+'Inputs'!$B$32)/1000+'Inputs'!$B$21+'Inputs'!$B$7+'Inputs'!$B$10)+'Inputs'!$B$9)/SQRT((((426-43)*MAX('Inputs'!$B$33,'Inputs'!$B$29+'Inputs'!$B$31+'Inputs'!$B$32,'Inputs'!$B$30+'Inputs'!$B$31+'Inputs'!$B$32)/1000+'Inputs'!$B$21+'Inputs'!$B$7+'Inputs'!$B$10)+'Inputs'!$B$9)^2+('Inputs'!$B$8/2)^2)-(((426-43)*MAX('Inputs'!$B$33,'Inputs'!$B$29+'Inputs'!$B$31+'Inputs'!$B$32,'Inputs'!$B$30+'Inputs'!$B$31+'Inputs'!$B$32)/1000+'Inputs'!$B$21+'Inputs'!$B$7+'Inputs'!$B$10))/SQRT((((426-43)*MAX('Inputs'!$B$33,'Inputs'!$B$29+'Inputs'!$B$31+'Inputs'!$B$32,'Inputs'!$B$30+'Inputs'!$B$31+'Inputs'!$B$32)/1000+'Inputs'!$B$21+'Inputs'!$B$7+'Inputs'!$B$10))^2+('Inputs'!$B$8/2)^2))))*'Results'!$B$8))),"")</x:f>
        <x:v>9.149653258271652</x:v>
      </x:c>
      <x:c r="L426" t="n">
        <x:f>IF(AND(ISNUMBER('Results'!B7),ISNUMBER('Results'!C7),ISNUMBER('Results'!$B$8),ISNUMBER('Inputs'!$B$6),ISNUMBER('Inputs'!$B$7),ISNUMBER('Inputs'!$B$8),ISNUMBER('Inputs'!$B$9),ISNUMBER('Inputs'!$B$10),ISNUMBER('Inputs'!$B$21),ISNUMBER('Inputs'!$B$24),ISNUMBER('Inputs'!$B$28)),((('Results'!B7*(1+'Inputs'!$B$24)*(0.5*((((426-43)*MAX('Inputs'!$B$33,'Inputs'!$B$29+'Inputs'!$B$31+'Inputs'!$B$32,'Inputs'!$B$30+'Inputs'!$B$31+'Inputs'!$B$32)/1000+'Inputs'!$B$21)+'Inputs'!$B$7)/SQRT((((426-43)*MAX('Inputs'!$B$33,'Inputs'!$B$29+'Inputs'!$B$31+'Inputs'!$B$32,'Inputs'!$B$30+'Inputs'!$B$31+'Inputs'!$B$32)/1000+'Inputs'!$B$21)+'Inputs'!$B$7)^2+('Inputs'!$B$6/2)^2)-(((426-43)*MAX('Inputs'!$B$33,'Inputs'!$B$29+'Inputs'!$B$31+'Inputs'!$B$32,'Inputs'!$B$30+'Inputs'!$B$31+'Inputs'!$B$32)/1000+'Inputs'!$B$21))/SQRT((((426-43)*MAX('Inputs'!$B$33,'Inputs'!$B$29+'Inputs'!$B$31+'Inputs'!$B$32,'Inputs'!$B$30+'Inputs'!$B$31+'Inputs'!$B$32)/1000+'Inputs'!$B$21))^2+('Inputs'!$B$6/2)^2)))-'Results'!C7*(1-'Inputs'!$B$24)*(0.5*((((426-43)*MAX('Inputs'!$B$33,'Inputs'!$B$29+'Inputs'!$B$31+'Inputs'!$B$32,'Inputs'!$B$30+'Inputs'!$B$31+'Inputs'!$B$32)/1000+'Inputs'!$B$21+'Inputs'!$B$7+'Inputs'!$B$10)+'Inputs'!$B$9)/SQRT((((426-43)*MAX('Inputs'!$B$33,'Inputs'!$B$29+'Inputs'!$B$31+'Inputs'!$B$32,'Inputs'!$B$30+'Inputs'!$B$31+'Inputs'!$B$32)/1000+'Inputs'!$B$21+'Inputs'!$B$7+'Inputs'!$B$10)+'Inputs'!$B$9)^2+('Inputs'!$B$8/2)^2)-(((426-43)*MAX('Inputs'!$B$33,'Inputs'!$B$29+'Inputs'!$B$31+'Inputs'!$B$32,'Inputs'!$B$30+'Inputs'!$B$31+'Inputs'!$B$32)/1000+'Inputs'!$B$21+'Inputs'!$B$7+'Inputs'!$B$10))/SQRT((((426-43)*MAX('Inputs'!$B$33,'Inputs'!$B$29+'Inputs'!$B$31+'Inputs'!$B$32,'Inputs'!$B$30+'Inputs'!$B$31+'Inputs'!$B$32)/1000+'Inputs'!$B$21+'Inputs'!$B$7+'Inputs'!$B$10))^2+('Inputs'!$B$8/2)^2))))*'Results'!$B$8)+'Inputs'!$B$28*ABS((('Results'!B7*(1+'Inputs'!$B$24)*(0.5*((((426-43)*MAX('Inputs'!$B$33,'Inputs'!$B$29+'Inputs'!$B$31+'Inputs'!$B$32,'Inputs'!$B$30+'Inputs'!$B$31+'Inputs'!$B$32)/1000+'Inputs'!$B$21)+'Inputs'!$B$7)/SQRT((((426-43)*MAX('Inputs'!$B$33,'Inputs'!$B$29+'Inputs'!$B$31+'Inputs'!$B$32,'Inputs'!$B$30+'Inputs'!$B$31+'Inputs'!$B$32)/1000+'Inputs'!$B$21)+'Inputs'!$B$7)^2+('Inputs'!$B$6/2)^2)-(((426-43)*MAX('Inputs'!$B$33,'Inputs'!$B$29+'Inputs'!$B$31+'Inputs'!$B$32,'Inputs'!$B$30+'Inputs'!$B$31+'Inputs'!$B$32)/1000+'Inputs'!$B$21))/SQRT((((426-43)*MAX('Inputs'!$B$33,'Inputs'!$B$29+'Inputs'!$B$31+'Inputs'!$B$32,'Inputs'!$B$30+'Inputs'!$B$31+'Inputs'!$B$32)/1000+'Inputs'!$B$21))^2+('Inputs'!$B$6/2)^2)))-'Results'!C7*(1-'Inputs'!$B$24)*(0.5*((((426-43)*MAX('Inputs'!$B$33,'Inputs'!$B$29+'Inputs'!$B$31+'Inputs'!$B$32,'Inputs'!$B$30+'Inputs'!$B$31+'Inputs'!$B$32)/1000+'Inputs'!$B$21+'Inputs'!$B$7+'Inputs'!$B$10)+'Inputs'!$B$9)/SQRT((((426-43)*MAX('Inputs'!$B$33,'Inputs'!$B$29+'Inputs'!$B$31+'Inputs'!$B$32,'Inputs'!$B$30+'Inputs'!$B$31+'Inputs'!$B$32)/1000+'Inputs'!$B$21+'Inputs'!$B$7+'Inputs'!$B$10)+'Inputs'!$B$9)^2+('Inputs'!$B$8/2)^2)-(((426-43)*MAX('Inputs'!$B$33,'Inputs'!$B$29+'Inputs'!$B$31+'Inputs'!$B$32,'Inputs'!$B$30+'Inputs'!$B$31+'Inputs'!$B$32)/1000+'Inputs'!$B$21+'Inputs'!$B$7+'Inputs'!$B$10))/SQRT((((426-43)*MAX('Inputs'!$B$33,'Inputs'!$B$29+'Inputs'!$B$31+'Inputs'!$B$32,'Inputs'!$B$30+'Inputs'!$B$31+'Inputs'!$B$32)/1000+'Inputs'!$B$21+'Inputs'!$B$7+'Inputs'!$B$10))^2+('Inputs'!$B$8/2)^2))))*'Results'!$B$8))),"")</x:f>
        <x:v>11.306483093553728</x:v>
      </x:c>
      <x:c r="M426" t="n">
        <x:f>IF(AND(ISNUMBER('Results'!C7),ISNUMBER('Results'!B7),ISNUMBER('Results'!$B$8),ISNUMBER('Inputs'!$B$6),ISNUMBER('Inputs'!$B$7),ISNUMBER('Inputs'!$B$8),ISNUMBER('Inputs'!$B$9),ISNUMBER('Inputs'!$B$10),ISNUMBER('Inputs'!$B$21),ISNUMBER('Inputs'!$B$24),ISNUMBER('Inputs'!$B$28)),(('Results'!C7*(0.5*((((426-43)*MAX('Inputs'!$B$33,'Inputs'!$B$29+'Inputs'!$B$31+'Inputs'!$B$32,'Inputs'!$B$30+'Inputs'!$B$31+'Inputs'!$B$32)/1000+'Inputs'!$B$21)+'Inputs'!$B$9)/SQRT((((426-43)*MAX('Inputs'!$B$33,'Inputs'!$B$29+'Inputs'!$B$31+'Inputs'!$B$32,'Inputs'!$B$30+'Inputs'!$B$31+'Inputs'!$B$32)/1000+'Inputs'!$B$21)+'Inputs'!$B$9)^2+('Inputs'!$B$8/2)^2)-(((426-43)*MAX('Inputs'!$B$33,'Inputs'!$B$29+'Inputs'!$B$31+'Inputs'!$B$32,'Inputs'!$B$30+'Inputs'!$B$31+'Inputs'!$B$32)/1000+'Inputs'!$B$21))/SQRT((((426-43)*MAX('Inputs'!$B$33,'Inputs'!$B$29+'Inputs'!$B$31+'Inputs'!$B$32,'Inputs'!$B$30+'Inputs'!$B$31+'Inputs'!$B$32)/1000+'Inputs'!$B$21))^2+('Inputs'!$B$8/2)^2)))-'Results'!B7*(0.5*((((426-43)*MAX('Inputs'!$B$33,'Inputs'!$B$29+'Inputs'!$B$31+'Inputs'!$B$32,'Inputs'!$B$30+'Inputs'!$B$31+'Inputs'!$B$32)/1000+'Inputs'!$B$21+'Inputs'!$B$9+'Inputs'!$B$10)+'Inputs'!$B$7)/SQRT((((426-43)*MAX('Inputs'!$B$33,'Inputs'!$B$29+'Inputs'!$B$31+'Inputs'!$B$32,'Inputs'!$B$30+'Inputs'!$B$31+'Inputs'!$B$32)/1000+'Inputs'!$B$21+'Inputs'!$B$9+'Inputs'!$B$10)+'Inputs'!$B$7)^2+('Inputs'!$B$6/2)^2)-(((426-43)*MAX('Inputs'!$B$33,'Inputs'!$B$29+'Inputs'!$B$31+'Inputs'!$B$32,'Inputs'!$B$30+'Inputs'!$B$31+'Inputs'!$B$32)/1000+'Inputs'!$B$21+'Inputs'!$B$9+'Inputs'!$B$10))/SQRT((((426-43)*MAX('Inputs'!$B$33,'Inputs'!$B$29+'Inputs'!$B$31+'Inputs'!$B$32,'Inputs'!$B$30+'Inputs'!$B$31+'Inputs'!$B$32)/1000+'Inputs'!$B$21+'Inputs'!$B$9+'Inputs'!$B$10))^2+('Inputs'!$B$6/2)^2))))*'Results'!$B$8),"")</x:f>
        <x:v>9.6274951840408</x:v>
      </x:c>
      <x:c r="N426" t="n">
        <x:f>IF(AND(ISNUMBER('Results'!C7),ISNUMBER('Results'!B7),ISNUMBER('Results'!$B$8),ISNUMBER('Inputs'!$B$6),ISNUMBER('Inputs'!$B$7),ISNUMBER('Inputs'!$B$8),ISNUMBER('Inputs'!$B$9),ISNUMBER('Inputs'!$B$10),ISNUMBER('Inputs'!$B$21),ISNUMBER('Inputs'!$B$24),ISNUMBER('Inputs'!$B$28)),((('Results'!C7*(1-'Inputs'!$B$24)*(0.5*((((426-43)*MAX('Inputs'!$B$33,'Inputs'!$B$29+'Inputs'!$B$31+'Inputs'!$B$32,'Inputs'!$B$30+'Inputs'!$B$31+'Inputs'!$B$32)/1000+'Inputs'!$B$21)+'Inputs'!$B$9)/SQRT((((426-43)*MAX('Inputs'!$B$33,'Inputs'!$B$29+'Inputs'!$B$31+'Inputs'!$B$32,'Inputs'!$B$30+'Inputs'!$B$31+'Inputs'!$B$32)/1000+'Inputs'!$B$21)+'Inputs'!$B$9)^2+('Inputs'!$B$8/2)^2)-(((426-43)*MAX('Inputs'!$B$33,'Inputs'!$B$29+'Inputs'!$B$31+'Inputs'!$B$32,'Inputs'!$B$30+'Inputs'!$B$31+'Inputs'!$B$32)/1000+'Inputs'!$B$21))/SQRT((((426-43)*MAX('Inputs'!$B$33,'Inputs'!$B$29+'Inputs'!$B$31+'Inputs'!$B$32,'Inputs'!$B$30+'Inputs'!$B$31+'Inputs'!$B$32)/1000+'Inputs'!$B$21))^2+('Inputs'!$B$8/2)^2)))-'Results'!B7*(1+'Inputs'!$B$24)*(0.5*((((426-43)*MAX('Inputs'!$B$33,'Inputs'!$B$29+'Inputs'!$B$31+'Inputs'!$B$32,'Inputs'!$B$30+'Inputs'!$B$31+'Inputs'!$B$32)/1000+'Inputs'!$B$21+'Inputs'!$B$9+'Inputs'!$B$10)+'Inputs'!$B$7)/SQRT((((426-43)*MAX('Inputs'!$B$33,'Inputs'!$B$29+'Inputs'!$B$31+'Inputs'!$B$32,'Inputs'!$B$30+'Inputs'!$B$31+'Inputs'!$B$32)/1000+'Inputs'!$B$21+'Inputs'!$B$9+'Inputs'!$B$10)+'Inputs'!$B$7)^2+('Inputs'!$B$6/2)^2)-(((426-43)*MAX('Inputs'!$B$33,'Inputs'!$B$29+'Inputs'!$B$31+'Inputs'!$B$32,'Inputs'!$B$30+'Inputs'!$B$31+'Inputs'!$B$32)/1000+'Inputs'!$B$21+'Inputs'!$B$9+'Inputs'!$B$10))/SQRT((((426-43)*MAX('Inputs'!$B$33,'Inputs'!$B$29+'Inputs'!$B$31+'Inputs'!$B$32,'Inputs'!$B$30+'Inputs'!$B$31+'Inputs'!$B$32)/1000+'Inputs'!$B$21+'Inputs'!$B$9+'Inputs'!$B$10))^2+('Inputs'!$B$6/2)^2))))*'Results'!$B$8)-'Inputs'!$B$28*ABS((('Results'!C7*(1-'Inputs'!$B$24)*(0.5*((((426-43)*MAX('Inputs'!$B$33,'Inputs'!$B$29+'Inputs'!$B$31+'Inputs'!$B$32,'Inputs'!$B$30+'Inputs'!$B$31+'Inputs'!$B$32)/1000+'Inputs'!$B$21)+'Inputs'!$B$9)/SQRT((((426-43)*MAX('Inputs'!$B$33,'Inputs'!$B$29+'Inputs'!$B$31+'Inputs'!$B$32,'Inputs'!$B$30+'Inputs'!$B$31+'Inputs'!$B$32)/1000+'Inputs'!$B$21)+'Inputs'!$B$9)^2+('Inputs'!$B$8/2)^2)-(((426-43)*MAX('Inputs'!$B$33,'Inputs'!$B$29+'Inputs'!$B$31+'Inputs'!$B$32,'Inputs'!$B$30+'Inputs'!$B$31+'Inputs'!$B$32)/1000+'Inputs'!$B$21))/SQRT((((426-43)*MAX('Inputs'!$B$33,'Inputs'!$B$29+'Inputs'!$B$31+'Inputs'!$B$32,'Inputs'!$B$30+'Inputs'!$B$31+'Inputs'!$B$32)/1000+'Inputs'!$B$21))^2+('Inputs'!$B$8/2)^2)))-'Results'!B7*(1+'Inputs'!$B$24)*(0.5*((((426-43)*MAX('Inputs'!$B$33,'Inputs'!$B$29+'Inputs'!$B$31+'Inputs'!$B$32,'Inputs'!$B$30+'Inputs'!$B$31+'Inputs'!$B$32)/1000+'Inputs'!$B$21+'Inputs'!$B$9+'Inputs'!$B$10)+'Inputs'!$B$7)/SQRT((((426-43)*MAX('Inputs'!$B$33,'Inputs'!$B$29+'Inputs'!$B$31+'Inputs'!$B$32,'Inputs'!$B$30+'Inputs'!$B$31+'Inputs'!$B$32)/1000+'Inputs'!$B$21+'Inputs'!$B$9+'Inputs'!$B$10)+'Inputs'!$B$7)^2+('Inputs'!$B$6/2)^2)-(((426-43)*MAX('Inputs'!$B$33,'Inputs'!$B$29+'Inputs'!$B$31+'Inputs'!$B$32,'Inputs'!$B$30+'Inputs'!$B$31+'Inputs'!$B$32)/1000+'Inputs'!$B$21+'Inputs'!$B$9+'Inputs'!$B$10))/SQRT((((426-43)*MAX('Inputs'!$B$33,'Inputs'!$B$29+'Inputs'!$B$31+'Inputs'!$B$32,'Inputs'!$B$30+'Inputs'!$B$31+'Inputs'!$B$32)/1000+'Inputs'!$B$21+'Inputs'!$B$9+'Inputs'!$B$10))^2+('Inputs'!$B$6/2)^2))))*'Results'!$B$8))),"")</x:f>
        <x:v>8.609914673052584</x:v>
      </x:c>
      <x:c r="O426" t="n">
        <x:f>IF(AND(ISNUMBER('Results'!C7),ISNUMBER('Results'!B7),ISNUMBER('Results'!$B$8),ISNUMBER('Inputs'!$B$6),ISNUMBER('Inputs'!$B$7),ISNUMBER('Inputs'!$B$8),ISNUMBER('Inputs'!$B$9),ISNUMBER('Inputs'!$B$10),ISNUMBER('Inputs'!$B$21),ISNUMBER('Inputs'!$B$24),ISNUMBER('Inputs'!$B$28)),((('Results'!C7*(1+'Inputs'!$B$24)*(0.5*((((426-43)*MAX('Inputs'!$B$33,'Inputs'!$B$29+'Inputs'!$B$31+'Inputs'!$B$32,'Inputs'!$B$30+'Inputs'!$B$31+'Inputs'!$B$32)/1000+'Inputs'!$B$21)+'Inputs'!$B$9)/SQRT((((426-43)*MAX('Inputs'!$B$33,'Inputs'!$B$29+'Inputs'!$B$31+'Inputs'!$B$32,'Inputs'!$B$30+'Inputs'!$B$31+'Inputs'!$B$32)/1000+'Inputs'!$B$21)+'Inputs'!$B$9)^2+('Inputs'!$B$8/2)^2)-(((426-43)*MAX('Inputs'!$B$33,'Inputs'!$B$29+'Inputs'!$B$31+'Inputs'!$B$32,'Inputs'!$B$30+'Inputs'!$B$31+'Inputs'!$B$32)/1000+'Inputs'!$B$21))/SQRT((((426-43)*MAX('Inputs'!$B$33,'Inputs'!$B$29+'Inputs'!$B$31+'Inputs'!$B$32,'Inputs'!$B$30+'Inputs'!$B$31+'Inputs'!$B$32)/1000+'Inputs'!$B$21))^2+('Inputs'!$B$8/2)^2)))-'Results'!B7*(1-'Inputs'!$B$24)*(0.5*((((426-43)*MAX('Inputs'!$B$33,'Inputs'!$B$29+'Inputs'!$B$31+'Inputs'!$B$32,'Inputs'!$B$30+'Inputs'!$B$31+'Inputs'!$B$32)/1000+'Inputs'!$B$21+'Inputs'!$B$9+'Inputs'!$B$10)+'Inputs'!$B$7)/SQRT((((426-43)*MAX('Inputs'!$B$33,'Inputs'!$B$29+'Inputs'!$B$31+'Inputs'!$B$32,'Inputs'!$B$30+'Inputs'!$B$31+'Inputs'!$B$32)/1000+'Inputs'!$B$21+'Inputs'!$B$9+'Inputs'!$B$10)+'Inputs'!$B$7)^2+('Inputs'!$B$6/2)^2)-(((426-43)*MAX('Inputs'!$B$33,'Inputs'!$B$29+'Inputs'!$B$31+'Inputs'!$B$32,'Inputs'!$B$30+'Inputs'!$B$31+'Inputs'!$B$32)/1000+'Inputs'!$B$21+'Inputs'!$B$9+'Inputs'!$B$10))/SQRT((((426-43)*MAX('Inputs'!$B$33,'Inputs'!$B$29+'Inputs'!$B$31+'Inputs'!$B$32,'Inputs'!$B$30+'Inputs'!$B$31+'Inputs'!$B$32)/1000+'Inputs'!$B$21+'Inputs'!$B$9+'Inputs'!$B$10))^2+('Inputs'!$B$6/2)^2))))*'Results'!$B$8)+'Inputs'!$B$28*ABS((('Results'!C7*(1+'Inputs'!$B$24)*(0.5*((((426-43)*MAX('Inputs'!$B$33,'Inputs'!$B$29+'Inputs'!$B$31+'Inputs'!$B$32,'Inputs'!$B$30+'Inputs'!$B$31+'Inputs'!$B$32)/1000+'Inputs'!$B$21)+'Inputs'!$B$9)/SQRT((((426-43)*MAX('Inputs'!$B$33,'Inputs'!$B$29+'Inputs'!$B$31+'Inputs'!$B$32,'Inputs'!$B$30+'Inputs'!$B$31+'Inputs'!$B$32)/1000+'Inputs'!$B$21)+'Inputs'!$B$9)^2+('Inputs'!$B$8/2)^2)-(((426-43)*MAX('Inputs'!$B$33,'Inputs'!$B$29+'Inputs'!$B$31+'Inputs'!$B$32,'Inputs'!$B$30+'Inputs'!$B$31+'Inputs'!$B$32)/1000+'Inputs'!$B$21))/SQRT((((426-43)*MAX('Inputs'!$B$33,'Inputs'!$B$29+'Inputs'!$B$31+'Inputs'!$B$32,'Inputs'!$B$30+'Inputs'!$B$31+'Inputs'!$B$32)/1000+'Inputs'!$B$21))^2+('Inputs'!$B$8/2)^2)))-'Results'!B7*(1-'Inputs'!$B$24)*(0.5*((((426-43)*MAX('Inputs'!$B$33,'Inputs'!$B$29+'Inputs'!$B$31+'Inputs'!$B$32,'Inputs'!$B$30+'Inputs'!$B$31+'Inputs'!$B$32)/1000+'Inputs'!$B$21+'Inputs'!$B$9+'Inputs'!$B$10)+'Inputs'!$B$7)/SQRT((((426-43)*MAX('Inputs'!$B$33,'Inputs'!$B$29+'Inputs'!$B$31+'Inputs'!$B$32,'Inputs'!$B$30+'Inputs'!$B$31+'Inputs'!$B$32)/1000+'Inputs'!$B$21+'Inputs'!$B$9+'Inputs'!$B$10)+'Inputs'!$B$7)^2+('Inputs'!$B$6/2)^2)-(((426-43)*MAX('Inputs'!$B$33,'Inputs'!$B$29+'Inputs'!$B$31+'Inputs'!$B$32,'Inputs'!$B$30+'Inputs'!$B$31+'Inputs'!$B$32)/1000+'Inputs'!$B$21+'Inputs'!$B$9+'Inputs'!$B$10))/SQRT((((426-43)*MAX('Inputs'!$B$33,'Inputs'!$B$29+'Inputs'!$B$31+'Inputs'!$B$32,'Inputs'!$B$30+'Inputs'!$B$31+'Inputs'!$B$32)/1000+'Inputs'!$B$21+'Inputs'!$B$9+'Inputs'!$B$10))^2+('Inputs'!$B$6/2)^2))))*'Results'!$B$8))),"")</x:f>
        <x:v>10.701518405743347</x:v>
      </x:c>
      <x:c r="P426" t="n">
        <x:f>IF(AND(MAX(J426,J425)&gt;0,J426&gt;J425+0.00000001),1,0)</x:f>
        <x:v>0</x:v>
      </x:c>
      <x:c r="Q426" t="n">
        <x:f>IF(AND(MAX(K426,K425)&gt;0,K426&gt;K425+0.00000001),1,0)</x:f>
        <x:v>0</x:v>
      </x:c>
      <x:c r="R426" t="n">
        <x:f>IF(AND(MAX(L426,L425)&gt;0,L426&gt;L425+0.00000001),1,0)</x:f>
        <x:v>0</x:v>
      </x:c>
      <x:c r="S426" t="n">
        <x:f>IF(AND(MAX(M426,M425)&gt;0,M426&gt;M425+0.00000001),1,0)</x:f>
        <x:v>0</x:v>
      </x:c>
      <x:c r="T426" t="n">
        <x:f>IF(AND(MAX(N426,N425)&gt;0,N426&gt;N425+0.00000001),1,0)</x:f>
        <x:v>0</x:v>
      </x:c>
      <x:c r="U426" t="n">
        <x:f>IF(AND(MAX(O426,O425)&gt;0,O426&gt;O425+0.00000001),1,0)</x:f>
        <x:v>0</x:v>
      </x:c>
    </x:row>
    <x:row r="427">
      <x:c r="J427" t="n">
        <x:f>IF(AND(ISNUMBER('Results'!B7),ISNUMBER('Results'!C7),ISNUMBER('Results'!$B$8),ISNUMBER('Inputs'!$B$6),ISNUMBER('Inputs'!$B$7),ISNUMBER('Inputs'!$B$8),ISNUMBER('Inputs'!$B$9),ISNUMBER('Inputs'!$B$10),ISNUMBER('Inputs'!$B$21),ISNUMBER('Inputs'!$B$24),ISNUMBER('Inputs'!$B$28)),(('Results'!B7*(0.5*((((427-43)*MAX('Inputs'!$B$33,'Inputs'!$B$29+'Inputs'!$B$31+'Inputs'!$B$32,'Inputs'!$B$30+'Inputs'!$B$31+'Inputs'!$B$32)/1000+'Inputs'!$B$21)+'Inputs'!$B$7)/SQRT((((427-43)*MAX('Inputs'!$B$33,'Inputs'!$B$29+'Inputs'!$B$31+'Inputs'!$B$32,'Inputs'!$B$30+'Inputs'!$B$31+'Inputs'!$B$32)/1000+'Inputs'!$B$21)+'Inputs'!$B$7)^2+('Inputs'!$B$6/2)^2)-(((427-43)*MAX('Inputs'!$B$33,'Inputs'!$B$29+'Inputs'!$B$31+'Inputs'!$B$32,'Inputs'!$B$30+'Inputs'!$B$31+'Inputs'!$B$32)/1000+'Inputs'!$B$21))/SQRT((((427-43)*MAX('Inputs'!$B$33,'Inputs'!$B$29+'Inputs'!$B$31+'Inputs'!$B$32,'Inputs'!$B$30+'Inputs'!$B$31+'Inputs'!$B$32)/1000+'Inputs'!$B$21))^2+('Inputs'!$B$6/2)^2)))-'Results'!C7*(0.5*((((427-43)*MAX('Inputs'!$B$33,'Inputs'!$B$29+'Inputs'!$B$31+'Inputs'!$B$32,'Inputs'!$B$30+'Inputs'!$B$31+'Inputs'!$B$32)/1000+'Inputs'!$B$21+'Inputs'!$B$7+'Inputs'!$B$10)+'Inputs'!$B$9)/SQRT((((427-43)*MAX('Inputs'!$B$33,'Inputs'!$B$29+'Inputs'!$B$31+'Inputs'!$B$32,'Inputs'!$B$30+'Inputs'!$B$31+'Inputs'!$B$32)/1000+'Inputs'!$B$21+'Inputs'!$B$7+'Inputs'!$B$10)+'Inputs'!$B$9)^2+('Inputs'!$B$8/2)^2)-(((427-43)*MAX('Inputs'!$B$33,'Inputs'!$B$29+'Inputs'!$B$31+'Inputs'!$B$32,'Inputs'!$B$30+'Inputs'!$B$31+'Inputs'!$B$32)/1000+'Inputs'!$B$21+'Inputs'!$B$7+'Inputs'!$B$10))/SQRT((((427-43)*MAX('Inputs'!$B$33,'Inputs'!$B$29+'Inputs'!$B$31+'Inputs'!$B$32,'Inputs'!$B$30+'Inputs'!$B$31+'Inputs'!$B$32)/1000+'Inputs'!$B$21+'Inputs'!$B$7+'Inputs'!$B$10))^2+('Inputs'!$B$8/2)^2))))*'Results'!$B$8),"")</x:f>
        <x:v>10.112978483196486</x:v>
      </x:c>
      <x:c r="K427" t="n">
        <x:f>IF(AND(ISNUMBER('Results'!B7),ISNUMBER('Results'!C7),ISNUMBER('Results'!$B$8),ISNUMBER('Inputs'!$B$6),ISNUMBER('Inputs'!$B$7),ISNUMBER('Inputs'!$B$8),ISNUMBER('Inputs'!$B$9),ISNUMBER('Inputs'!$B$10),ISNUMBER('Inputs'!$B$21),ISNUMBER('Inputs'!$B$24),ISNUMBER('Inputs'!$B$28)),((('Results'!B7*(1-'Inputs'!$B$24)*(0.5*((((427-43)*MAX('Inputs'!$B$33,'Inputs'!$B$29+'Inputs'!$B$31+'Inputs'!$B$32,'Inputs'!$B$30+'Inputs'!$B$31+'Inputs'!$B$32)/1000+'Inputs'!$B$21)+'Inputs'!$B$7)/SQRT((((427-43)*MAX('Inputs'!$B$33,'Inputs'!$B$29+'Inputs'!$B$31+'Inputs'!$B$32,'Inputs'!$B$30+'Inputs'!$B$31+'Inputs'!$B$32)/1000+'Inputs'!$B$21)+'Inputs'!$B$7)^2+('Inputs'!$B$6/2)^2)-(((427-43)*MAX('Inputs'!$B$33,'Inputs'!$B$29+'Inputs'!$B$31+'Inputs'!$B$32,'Inputs'!$B$30+'Inputs'!$B$31+'Inputs'!$B$32)/1000+'Inputs'!$B$21))/SQRT((((427-43)*MAX('Inputs'!$B$33,'Inputs'!$B$29+'Inputs'!$B$31+'Inputs'!$B$32,'Inputs'!$B$30+'Inputs'!$B$31+'Inputs'!$B$32)/1000+'Inputs'!$B$21))^2+('Inputs'!$B$6/2)^2)))-'Results'!C7*(1+'Inputs'!$B$24)*(0.5*((((427-43)*MAX('Inputs'!$B$33,'Inputs'!$B$29+'Inputs'!$B$31+'Inputs'!$B$32,'Inputs'!$B$30+'Inputs'!$B$31+'Inputs'!$B$32)/1000+'Inputs'!$B$21+'Inputs'!$B$7+'Inputs'!$B$10)+'Inputs'!$B$9)/SQRT((((427-43)*MAX('Inputs'!$B$33,'Inputs'!$B$29+'Inputs'!$B$31+'Inputs'!$B$32,'Inputs'!$B$30+'Inputs'!$B$31+'Inputs'!$B$32)/1000+'Inputs'!$B$21+'Inputs'!$B$7+'Inputs'!$B$10)+'Inputs'!$B$9)^2+('Inputs'!$B$8/2)^2)-(((427-43)*MAX('Inputs'!$B$33,'Inputs'!$B$29+'Inputs'!$B$31+'Inputs'!$B$32,'Inputs'!$B$30+'Inputs'!$B$31+'Inputs'!$B$32)/1000+'Inputs'!$B$21+'Inputs'!$B$7+'Inputs'!$B$10))/SQRT((((427-43)*MAX('Inputs'!$B$33,'Inputs'!$B$29+'Inputs'!$B$31+'Inputs'!$B$32,'Inputs'!$B$30+'Inputs'!$B$31+'Inputs'!$B$32)/1000+'Inputs'!$B$21+'Inputs'!$B$7+'Inputs'!$B$10))^2+('Inputs'!$B$8/2)^2))))*'Results'!$B$8)-'Inputs'!$B$28*ABS((('Results'!B7*(1-'Inputs'!$B$24)*(0.5*((((427-43)*MAX('Inputs'!$B$33,'Inputs'!$B$29+'Inputs'!$B$31+'Inputs'!$B$32,'Inputs'!$B$30+'Inputs'!$B$31+'Inputs'!$B$32)/1000+'Inputs'!$B$21)+'Inputs'!$B$7)/SQRT((((427-43)*MAX('Inputs'!$B$33,'Inputs'!$B$29+'Inputs'!$B$31+'Inputs'!$B$32,'Inputs'!$B$30+'Inputs'!$B$31+'Inputs'!$B$32)/1000+'Inputs'!$B$21)+'Inputs'!$B$7)^2+('Inputs'!$B$6/2)^2)-(((427-43)*MAX('Inputs'!$B$33,'Inputs'!$B$29+'Inputs'!$B$31+'Inputs'!$B$32,'Inputs'!$B$30+'Inputs'!$B$31+'Inputs'!$B$32)/1000+'Inputs'!$B$21))/SQRT((((427-43)*MAX('Inputs'!$B$33,'Inputs'!$B$29+'Inputs'!$B$31+'Inputs'!$B$32,'Inputs'!$B$30+'Inputs'!$B$31+'Inputs'!$B$32)/1000+'Inputs'!$B$21))^2+('Inputs'!$B$6/2)^2)))-'Results'!C7*(1+'Inputs'!$B$24)*(0.5*((((427-43)*MAX('Inputs'!$B$33,'Inputs'!$B$29+'Inputs'!$B$31+'Inputs'!$B$32,'Inputs'!$B$30+'Inputs'!$B$31+'Inputs'!$B$32)/1000+'Inputs'!$B$21+'Inputs'!$B$7+'Inputs'!$B$10)+'Inputs'!$B$9)/SQRT((((427-43)*MAX('Inputs'!$B$33,'Inputs'!$B$29+'Inputs'!$B$31+'Inputs'!$B$32,'Inputs'!$B$30+'Inputs'!$B$31+'Inputs'!$B$32)/1000+'Inputs'!$B$21+'Inputs'!$B$7+'Inputs'!$B$10)+'Inputs'!$B$9)^2+('Inputs'!$B$8/2)^2)-(((427-43)*MAX('Inputs'!$B$33,'Inputs'!$B$29+'Inputs'!$B$31+'Inputs'!$B$32,'Inputs'!$B$30+'Inputs'!$B$31+'Inputs'!$B$32)/1000+'Inputs'!$B$21+'Inputs'!$B$7+'Inputs'!$B$10))/SQRT((((427-43)*MAX('Inputs'!$B$33,'Inputs'!$B$29+'Inputs'!$B$31+'Inputs'!$B$32,'Inputs'!$B$30+'Inputs'!$B$31+'Inputs'!$B$32)/1000+'Inputs'!$B$21+'Inputs'!$B$7+'Inputs'!$B$10))^2+('Inputs'!$B$8/2)^2))))*'Results'!$B$8))),"")</x:f>
        <x:v>9.070922282293923</x:v>
      </x:c>
      <x:c r="L427" t="n">
        <x:f>IF(AND(ISNUMBER('Results'!B7),ISNUMBER('Results'!C7),ISNUMBER('Results'!$B$8),ISNUMBER('Inputs'!$B$6),ISNUMBER('Inputs'!$B$7),ISNUMBER('Inputs'!$B$8),ISNUMBER('Inputs'!$B$9),ISNUMBER('Inputs'!$B$10),ISNUMBER('Inputs'!$B$21),ISNUMBER('Inputs'!$B$24),ISNUMBER('Inputs'!$B$28)),((('Results'!B7*(1+'Inputs'!$B$24)*(0.5*((((427-43)*MAX('Inputs'!$B$33,'Inputs'!$B$29+'Inputs'!$B$31+'Inputs'!$B$32,'Inputs'!$B$30+'Inputs'!$B$31+'Inputs'!$B$32)/1000+'Inputs'!$B$21)+'Inputs'!$B$7)/SQRT((((427-43)*MAX('Inputs'!$B$33,'Inputs'!$B$29+'Inputs'!$B$31+'Inputs'!$B$32,'Inputs'!$B$30+'Inputs'!$B$31+'Inputs'!$B$32)/1000+'Inputs'!$B$21)+'Inputs'!$B$7)^2+('Inputs'!$B$6/2)^2)-(((427-43)*MAX('Inputs'!$B$33,'Inputs'!$B$29+'Inputs'!$B$31+'Inputs'!$B$32,'Inputs'!$B$30+'Inputs'!$B$31+'Inputs'!$B$32)/1000+'Inputs'!$B$21))/SQRT((((427-43)*MAX('Inputs'!$B$33,'Inputs'!$B$29+'Inputs'!$B$31+'Inputs'!$B$32,'Inputs'!$B$30+'Inputs'!$B$31+'Inputs'!$B$32)/1000+'Inputs'!$B$21))^2+('Inputs'!$B$6/2)^2)))-'Results'!C7*(1-'Inputs'!$B$24)*(0.5*((((427-43)*MAX('Inputs'!$B$33,'Inputs'!$B$29+'Inputs'!$B$31+'Inputs'!$B$32,'Inputs'!$B$30+'Inputs'!$B$31+'Inputs'!$B$32)/1000+'Inputs'!$B$21+'Inputs'!$B$7+'Inputs'!$B$10)+'Inputs'!$B$9)/SQRT((((427-43)*MAX('Inputs'!$B$33,'Inputs'!$B$29+'Inputs'!$B$31+'Inputs'!$B$32,'Inputs'!$B$30+'Inputs'!$B$31+'Inputs'!$B$32)/1000+'Inputs'!$B$21+'Inputs'!$B$7+'Inputs'!$B$10)+'Inputs'!$B$9)^2+('Inputs'!$B$8/2)^2)-(((427-43)*MAX('Inputs'!$B$33,'Inputs'!$B$29+'Inputs'!$B$31+'Inputs'!$B$32,'Inputs'!$B$30+'Inputs'!$B$31+'Inputs'!$B$32)/1000+'Inputs'!$B$21+'Inputs'!$B$7+'Inputs'!$B$10))/SQRT((((427-43)*MAX('Inputs'!$B$33,'Inputs'!$B$29+'Inputs'!$B$31+'Inputs'!$B$32,'Inputs'!$B$30+'Inputs'!$B$31+'Inputs'!$B$32)/1000+'Inputs'!$B$21+'Inputs'!$B$7+'Inputs'!$B$10))^2+('Inputs'!$B$8/2)^2))))*'Results'!$B$8)+'Inputs'!$B$28*ABS((('Results'!B7*(1+'Inputs'!$B$24)*(0.5*((((427-43)*MAX('Inputs'!$B$33,'Inputs'!$B$29+'Inputs'!$B$31+'Inputs'!$B$32,'Inputs'!$B$30+'Inputs'!$B$31+'Inputs'!$B$32)/1000+'Inputs'!$B$21)+'Inputs'!$B$7)/SQRT((((427-43)*MAX('Inputs'!$B$33,'Inputs'!$B$29+'Inputs'!$B$31+'Inputs'!$B$32,'Inputs'!$B$30+'Inputs'!$B$31+'Inputs'!$B$32)/1000+'Inputs'!$B$21)+'Inputs'!$B$7)^2+('Inputs'!$B$6/2)^2)-(((427-43)*MAX('Inputs'!$B$33,'Inputs'!$B$29+'Inputs'!$B$31+'Inputs'!$B$32,'Inputs'!$B$30+'Inputs'!$B$31+'Inputs'!$B$32)/1000+'Inputs'!$B$21))/SQRT((((427-43)*MAX('Inputs'!$B$33,'Inputs'!$B$29+'Inputs'!$B$31+'Inputs'!$B$32,'Inputs'!$B$30+'Inputs'!$B$31+'Inputs'!$B$32)/1000+'Inputs'!$B$21))^2+('Inputs'!$B$6/2)^2)))-'Results'!C7*(1-'Inputs'!$B$24)*(0.5*((((427-43)*MAX('Inputs'!$B$33,'Inputs'!$B$29+'Inputs'!$B$31+'Inputs'!$B$32,'Inputs'!$B$30+'Inputs'!$B$31+'Inputs'!$B$32)/1000+'Inputs'!$B$21+'Inputs'!$B$7+'Inputs'!$B$10)+'Inputs'!$B$9)/SQRT((((427-43)*MAX('Inputs'!$B$33,'Inputs'!$B$29+'Inputs'!$B$31+'Inputs'!$B$32,'Inputs'!$B$30+'Inputs'!$B$31+'Inputs'!$B$32)/1000+'Inputs'!$B$21+'Inputs'!$B$7+'Inputs'!$B$10)+'Inputs'!$B$9)^2+('Inputs'!$B$8/2)^2)-(((427-43)*MAX('Inputs'!$B$33,'Inputs'!$B$29+'Inputs'!$B$31+'Inputs'!$B$32,'Inputs'!$B$30+'Inputs'!$B$31+'Inputs'!$B$32)/1000+'Inputs'!$B$21+'Inputs'!$B$7+'Inputs'!$B$10))/SQRT((((427-43)*MAX('Inputs'!$B$33,'Inputs'!$B$29+'Inputs'!$B$31+'Inputs'!$B$32,'Inputs'!$B$30+'Inputs'!$B$31+'Inputs'!$B$32)/1000+'Inputs'!$B$21+'Inputs'!$B$7+'Inputs'!$B$10))^2+('Inputs'!$B$8/2)^2))))*'Results'!$B$8))),"")</x:f>
        <x:v>11.211498607966703</x:v>
      </x:c>
      <x:c r="M427" t="n">
        <x:f>IF(AND(ISNUMBER('Results'!C7),ISNUMBER('Results'!B7),ISNUMBER('Results'!$B$8),ISNUMBER('Inputs'!$B$6),ISNUMBER('Inputs'!$B$7),ISNUMBER('Inputs'!$B$8),ISNUMBER('Inputs'!$B$9),ISNUMBER('Inputs'!$B$10),ISNUMBER('Inputs'!$B$21),ISNUMBER('Inputs'!$B$24),ISNUMBER('Inputs'!$B$28)),(('Results'!C7*(0.5*((((427-43)*MAX('Inputs'!$B$33,'Inputs'!$B$29+'Inputs'!$B$31+'Inputs'!$B$32,'Inputs'!$B$30+'Inputs'!$B$31+'Inputs'!$B$32)/1000+'Inputs'!$B$21)+'Inputs'!$B$9)/SQRT((((427-43)*MAX('Inputs'!$B$33,'Inputs'!$B$29+'Inputs'!$B$31+'Inputs'!$B$32,'Inputs'!$B$30+'Inputs'!$B$31+'Inputs'!$B$32)/1000+'Inputs'!$B$21)+'Inputs'!$B$9)^2+('Inputs'!$B$8/2)^2)-(((427-43)*MAX('Inputs'!$B$33,'Inputs'!$B$29+'Inputs'!$B$31+'Inputs'!$B$32,'Inputs'!$B$30+'Inputs'!$B$31+'Inputs'!$B$32)/1000+'Inputs'!$B$21))/SQRT((((427-43)*MAX('Inputs'!$B$33,'Inputs'!$B$29+'Inputs'!$B$31+'Inputs'!$B$32,'Inputs'!$B$30+'Inputs'!$B$31+'Inputs'!$B$32)/1000+'Inputs'!$B$21))^2+('Inputs'!$B$8/2)^2)))-'Results'!B7*(0.5*((((427-43)*MAX('Inputs'!$B$33,'Inputs'!$B$29+'Inputs'!$B$31+'Inputs'!$B$32,'Inputs'!$B$30+'Inputs'!$B$31+'Inputs'!$B$32)/1000+'Inputs'!$B$21+'Inputs'!$B$9+'Inputs'!$B$10)+'Inputs'!$B$7)/SQRT((((427-43)*MAX('Inputs'!$B$33,'Inputs'!$B$29+'Inputs'!$B$31+'Inputs'!$B$32,'Inputs'!$B$30+'Inputs'!$B$31+'Inputs'!$B$32)/1000+'Inputs'!$B$21+'Inputs'!$B$9+'Inputs'!$B$10)+'Inputs'!$B$7)^2+('Inputs'!$B$6/2)^2)-(((427-43)*MAX('Inputs'!$B$33,'Inputs'!$B$29+'Inputs'!$B$31+'Inputs'!$B$32,'Inputs'!$B$30+'Inputs'!$B$31+'Inputs'!$B$32)/1000+'Inputs'!$B$21+'Inputs'!$B$9+'Inputs'!$B$10))/SQRT((((427-43)*MAX('Inputs'!$B$33,'Inputs'!$B$29+'Inputs'!$B$31+'Inputs'!$B$32,'Inputs'!$B$30+'Inputs'!$B$31+'Inputs'!$B$32)/1000+'Inputs'!$B$21+'Inputs'!$B$9+'Inputs'!$B$10))^2+('Inputs'!$B$6/2)^2))))*'Results'!$B$8),"")</x:f>
        <x:v>9.5446414927953</x:v>
      </x:c>
      <x:c r="N427" t="n">
        <x:f>IF(AND(ISNUMBER('Results'!C7),ISNUMBER('Results'!B7),ISNUMBER('Results'!$B$8),ISNUMBER('Inputs'!$B$6),ISNUMBER('Inputs'!$B$7),ISNUMBER('Inputs'!$B$8),ISNUMBER('Inputs'!$B$9),ISNUMBER('Inputs'!$B$10),ISNUMBER('Inputs'!$B$21),ISNUMBER('Inputs'!$B$24),ISNUMBER('Inputs'!$B$28)),((('Results'!C7*(1-'Inputs'!$B$24)*(0.5*((((427-43)*MAX('Inputs'!$B$33,'Inputs'!$B$29+'Inputs'!$B$31+'Inputs'!$B$32,'Inputs'!$B$30+'Inputs'!$B$31+'Inputs'!$B$32)/1000+'Inputs'!$B$21)+'Inputs'!$B$9)/SQRT((((427-43)*MAX('Inputs'!$B$33,'Inputs'!$B$29+'Inputs'!$B$31+'Inputs'!$B$32,'Inputs'!$B$30+'Inputs'!$B$31+'Inputs'!$B$32)/1000+'Inputs'!$B$21)+'Inputs'!$B$9)^2+('Inputs'!$B$8/2)^2)-(((427-43)*MAX('Inputs'!$B$33,'Inputs'!$B$29+'Inputs'!$B$31+'Inputs'!$B$32,'Inputs'!$B$30+'Inputs'!$B$31+'Inputs'!$B$32)/1000+'Inputs'!$B$21))/SQRT((((427-43)*MAX('Inputs'!$B$33,'Inputs'!$B$29+'Inputs'!$B$31+'Inputs'!$B$32,'Inputs'!$B$30+'Inputs'!$B$31+'Inputs'!$B$32)/1000+'Inputs'!$B$21))^2+('Inputs'!$B$8/2)^2)))-'Results'!B7*(1+'Inputs'!$B$24)*(0.5*((((427-43)*MAX('Inputs'!$B$33,'Inputs'!$B$29+'Inputs'!$B$31+'Inputs'!$B$32,'Inputs'!$B$30+'Inputs'!$B$31+'Inputs'!$B$32)/1000+'Inputs'!$B$21+'Inputs'!$B$9+'Inputs'!$B$10)+'Inputs'!$B$7)/SQRT((((427-43)*MAX('Inputs'!$B$33,'Inputs'!$B$29+'Inputs'!$B$31+'Inputs'!$B$32,'Inputs'!$B$30+'Inputs'!$B$31+'Inputs'!$B$32)/1000+'Inputs'!$B$21+'Inputs'!$B$9+'Inputs'!$B$10)+'Inputs'!$B$7)^2+('Inputs'!$B$6/2)^2)-(((427-43)*MAX('Inputs'!$B$33,'Inputs'!$B$29+'Inputs'!$B$31+'Inputs'!$B$32,'Inputs'!$B$30+'Inputs'!$B$31+'Inputs'!$B$32)/1000+'Inputs'!$B$21+'Inputs'!$B$9+'Inputs'!$B$10))/SQRT((((427-43)*MAX('Inputs'!$B$33,'Inputs'!$B$29+'Inputs'!$B$31+'Inputs'!$B$32,'Inputs'!$B$30+'Inputs'!$B$31+'Inputs'!$B$32)/1000+'Inputs'!$B$21+'Inputs'!$B$9+'Inputs'!$B$10))^2+('Inputs'!$B$6/2)^2))))*'Results'!$B$8)-'Inputs'!$B$28*ABS((('Results'!C7*(1-'Inputs'!$B$24)*(0.5*((((427-43)*MAX('Inputs'!$B$33,'Inputs'!$B$29+'Inputs'!$B$31+'Inputs'!$B$32,'Inputs'!$B$30+'Inputs'!$B$31+'Inputs'!$B$32)/1000+'Inputs'!$B$21)+'Inputs'!$B$9)/SQRT((((427-43)*MAX('Inputs'!$B$33,'Inputs'!$B$29+'Inputs'!$B$31+'Inputs'!$B$32,'Inputs'!$B$30+'Inputs'!$B$31+'Inputs'!$B$32)/1000+'Inputs'!$B$21)+'Inputs'!$B$9)^2+('Inputs'!$B$8/2)^2)-(((427-43)*MAX('Inputs'!$B$33,'Inputs'!$B$29+'Inputs'!$B$31+'Inputs'!$B$32,'Inputs'!$B$30+'Inputs'!$B$31+'Inputs'!$B$32)/1000+'Inputs'!$B$21))/SQRT((((427-43)*MAX('Inputs'!$B$33,'Inputs'!$B$29+'Inputs'!$B$31+'Inputs'!$B$32,'Inputs'!$B$30+'Inputs'!$B$31+'Inputs'!$B$32)/1000+'Inputs'!$B$21))^2+('Inputs'!$B$8/2)^2)))-'Results'!B7*(1+'Inputs'!$B$24)*(0.5*((((427-43)*MAX('Inputs'!$B$33,'Inputs'!$B$29+'Inputs'!$B$31+'Inputs'!$B$32,'Inputs'!$B$30+'Inputs'!$B$31+'Inputs'!$B$32)/1000+'Inputs'!$B$21+'Inputs'!$B$9+'Inputs'!$B$10)+'Inputs'!$B$7)/SQRT((((427-43)*MAX('Inputs'!$B$33,'Inputs'!$B$29+'Inputs'!$B$31+'Inputs'!$B$32,'Inputs'!$B$30+'Inputs'!$B$31+'Inputs'!$B$32)/1000+'Inputs'!$B$21+'Inputs'!$B$9+'Inputs'!$B$10)+'Inputs'!$B$7)^2+('Inputs'!$B$6/2)^2)-(((427-43)*MAX('Inputs'!$B$33,'Inputs'!$B$29+'Inputs'!$B$31+'Inputs'!$B$32,'Inputs'!$B$30+'Inputs'!$B$31+'Inputs'!$B$32)/1000+'Inputs'!$B$21+'Inputs'!$B$9+'Inputs'!$B$10))/SQRT((((427-43)*MAX('Inputs'!$B$33,'Inputs'!$B$29+'Inputs'!$B$31+'Inputs'!$B$32,'Inputs'!$B$30+'Inputs'!$B$31+'Inputs'!$B$32)/1000+'Inputs'!$B$21+'Inputs'!$B$9+'Inputs'!$B$10))^2+('Inputs'!$B$6/2)^2))))*'Results'!$B$8))),"")</x:f>
        <x:v>8.534774815953643</x:v>
      </x:c>
      <x:c r="O427" t="n">
        <x:f>IF(AND(ISNUMBER('Results'!C7),ISNUMBER('Results'!B7),ISNUMBER('Results'!$B$8),ISNUMBER('Inputs'!$B$6),ISNUMBER('Inputs'!$B$7),ISNUMBER('Inputs'!$B$8),ISNUMBER('Inputs'!$B$9),ISNUMBER('Inputs'!$B$10),ISNUMBER('Inputs'!$B$21),ISNUMBER('Inputs'!$B$24),ISNUMBER('Inputs'!$B$28)),((('Results'!C7*(1+'Inputs'!$B$24)*(0.5*((((427-43)*MAX('Inputs'!$B$33,'Inputs'!$B$29+'Inputs'!$B$31+'Inputs'!$B$32,'Inputs'!$B$30+'Inputs'!$B$31+'Inputs'!$B$32)/1000+'Inputs'!$B$21)+'Inputs'!$B$9)/SQRT((((427-43)*MAX('Inputs'!$B$33,'Inputs'!$B$29+'Inputs'!$B$31+'Inputs'!$B$32,'Inputs'!$B$30+'Inputs'!$B$31+'Inputs'!$B$32)/1000+'Inputs'!$B$21)+'Inputs'!$B$9)^2+('Inputs'!$B$8/2)^2)-(((427-43)*MAX('Inputs'!$B$33,'Inputs'!$B$29+'Inputs'!$B$31+'Inputs'!$B$32,'Inputs'!$B$30+'Inputs'!$B$31+'Inputs'!$B$32)/1000+'Inputs'!$B$21))/SQRT((((427-43)*MAX('Inputs'!$B$33,'Inputs'!$B$29+'Inputs'!$B$31+'Inputs'!$B$32,'Inputs'!$B$30+'Inputs'!$B$31+'Inputs'!$B$32)/1000+'Inputs'!$B$21))^2+('Inputs'!$B$8/2)^2)))-'Results'!B7*(1-'Inputs'!$B$24)*(0.5*((((427-43)*MAX('Inputs'!$B$33,'Inputs'!$B$29+'Inputs'!$B$31+'Inputs'!$B$32,'Inputs'!$B$30+'Inputs'!$B$31+'Inputs'!$B$32)/1000+'Inputs'!$B$21+'Inputs'!$B$9+'Inputs'!$B$10)+'Inputs'!$B$7)/SQRT((((427-43)*MAX('Inputs'!$B$33,'Inputs'!$B$29+'Inputs'!$B$31+'Inputs'!$B$32,'Inputs'!$B$30+'Inputs'!$B$31+'Inputs'!$B$32)/1000+'Inputs'!$B$21+'Inputs'!$B$9+'Inputs'!$B$10)+'Inputs'!$B$7)^2+('Inputs'!$B$6/2)^2)-(((427-43)*MAX('Inputs'!$B$33,'Inputs'!$B$29+'Inputs'!$B$31+'Inputs'!$B$32,'Inputs'!$B$30+'Inputs'!$B$31+'Inputs'!$B$32)/1000+'Inputs'!$B$21+'Inputs'!$B$9+'Inputs'!$B$10))/SQRT((((427-43)*MAX('Inputs'!$B$33,'Inputs'!$B$29+'Inputs'!$B$31+'Inputs'!$B$32,'Inputs'!$B$30+'Inputs'!$B$31+'Inputs'!$B$32)/1000+'Inputs'!$B$21+'Inputs'!$B$9+'Inputs'!$B$10))^2+('Inputs'!$B$6/2)^2))))*'Results'!$B$8)+'Inputs'!$B$28*ABS((('Results'!C7*(1+'Inputs'!$B$24)*(0.5*((((427-43)*MAX('Inputs'!$B$33,'Inputs'!$B$29+'Inputs'!$B$31+'Inputs'!$B$32,'Inputs'!$B$30+'Inputs'!$B$31+'Inputs'!$B$32)/1000+'Inputs'!$B$21)+'Inputs'!$B$9)/SQRT((((427-43)*MAX('Inputs'!$B$33,'Inputs'!$B$29+'Inputs'!$B$31+'Inputs'!$B$32,'Inputs'!$B$30+'Inputs'!$B$31+'Inputs'!$B$32)/1000+'Inputs'!$B$21)+'Inputs'!$B$9)^2+('Inputs'!$B$8/2)^2)-(((427-43)*MAX('Inputs'!$B$33,'Inputs'!$B$29+'Inputs'!$B$31+'Inputs'!$B$32,'Inputs'!$B$30+'Inputs'!$B$31+'Inputs'!$B$32)/1000+'Inputs'!$B$21))/SQRT((((427-43)*MAX('Inputs'!$B$33,'Inputs'!$B$29+'Inputs'!$B$31+'Inputs'!$B$32,'Inputs'!$B$30+'Inputs'!$B$31+'Inputs'!$B$32)/1000+'Inputs'!$B$21))^2+('Inputs'!$B$8/2)^2)))-'Results'!B7*(1-'Inputs'!$B$24)*(0.5*((((427-43)*MAX('Inputs'!$B$33,'Inputs'!$B$29+'Inputs'!$B$31+'Inputs'!$B$32,'Inputs'!$B$30+'Inputs'!$B$31+'Inputs'!$B$32)/1000+'Inputs'!$B$21+'Inputs'!$B$9+'Inputs'!$B$10)+'Inputs'!$B$7)/SQRT((((427-43)*MAX('Inputs'!$B$33,'Inputs'!$B$29+'Inputs'!$B$31+'Inputs'!$B$32,'Inputs'!$B$30+'Inputs'!$B$31+'Inputs'!$B$32)/1000+'Inputs'!$B$21+'Inputs'!$B$9+'Inputs'!$B$10)+'Inputs'!$B$7)^2+('Inputs'!$B$6/2)^2)-(((427-43)*MAX('Inputs'!$B$33,'Inputs'!$B$29+'Inputs'!$B$31+'Inputs'!$B$32,'Inputs'!$B$30+'Inputs'!$B$31+'Inputs'!$B$32)/1000+'Inputs'!$B$21+'Inputs'!$B$9+'Inputs'!$B$10))/SQRT((((427-43)*MAX('Inputs'!$B$33,'Inputs'!$B$29+'Inputs'!$B$31+'Inputs'!$B$32,'Inputs'!$B$30+'Inputs'!$B$31+'Inputs'!$B$32)/1000+'Inputs'!$B$21+'Inputs'!$B$9+'Inputs'!$B$10))^2+('Inputs'!$B$6/2)^2))))*'Results'!$B$8))),"")</x:f>
        <x:v>10.610574969868738</x:v>
      </x:c>
      <x:c r="P427" t="n">
        <x:f>IF(AND(MAX(J427,J426)&gt;0,J427&gt;J426+0.00000001),1,0)</x:f>
        <x:v>0</x:v>
      </x:c>
      <x:c r="Q427" t="n">
        <x:f>IF(AND(MAX(K427,K426)&gt;0,K427&gt;K426+0.00000001),1,0)</x:f>
        <x:v>0</x:v>
      </x:c>
      <x:c r="R427" t="n">
        <x:f>IF(AND(MAX(L427,L426)&gt;0,L427&gt;L426+0.00000001),1,0)</x:f>
        <x:v>0</x:v>
      </x:c>
      <x:c r="S427" t="n">
        <x:f>IF(AND(MAX(M427,M426)&gt;0,M427&gt;M426+0.00000001),1,0)</x:f>
        <x:v>0</x:v>
      </x:c>
      <x:c r="T427" t="n">
        <x:f>IF(AND(MAX(N427,N426)&gt;0,N427&gt;N426+0.00000001),1,0)</x:f>
        <x:v>0</x:v>
      </x:c>
      <x:c r="U427" t="n">
        <x:f>IF(AND(MAX(O427,O426)&gt;0,O427&gt;O426+0.00000001),1,0)</x:f>
        <x:v>0</x:v>
      </x:c>
    </x:row>
    <x:row r="428">
      <x:c r="J428" t="n">
        <x:f>IF(AND(ISNUMBER('Results'!B7),ISNUMBER('Results'!C7),ISNUMBER('Results'!$B$8),ISNUMBER('Inputs'!$B$6),ISNUMBER('Inputs'!$B$7),ISNUMBER('Inputs'!$B$8),ISNUMBER('Inputs'!$B$9),ISNUMBER('Inputs'!$B$10),ISNUMBER('Inputs'!$B$21),ISNUMBER('Inputs'!$B$24),ISNUMBER('Inputs'!$B$28)),(('Results'!B7*(0.5*((((428-43)*MAX('Inputs'!$B$33,'Inputs'!$B$29+'Inputs'!$B$31+'Inputs'!$B$32,'Inputs'!$B$30+'Inputs'!$B$31+'Inputs'!$B$32)/1000+'Inputs'!$B$21)+'Inputs'!$B$7)/SQRT((((428-43)*MAX('Inputs'!$B$33,'Inputs'!$B$29+'Inputs'!$B$31+'Inputs'!$B$32,'Inputs'!$B$30+'Inputs'!$B$31+'Inputs'!$B$32)/1000+'Inputs'!$B$21)+'Inputs'!$B$7)^2+('Inputs'!$B$6/2)^2)-(((428-43)*MAX('Inputs'!$B$33,'Inputs'!$B$29+'Inputs'!$B$31+'Inputs'!$B$32,'Inputs'!$B$30+'Inputs'!$B$31+'Inputs'!$B$32)/1000+'Inputs'!$B$21))/SQRT((((428-43)*MAX('Inputs'!$B$33,'Inputs'!$B$29+'Inputs'!$B$31+'Inputs'!$B$32,'Inputs'!$B$30+'Inputs'!$B$31+'Inputs'!$B$32)/1000+'Inputs'!$B$21))^2+('Inputs'!$B$6/2)^2)))-'Results'!C7*(0.5*((((428-43)*MAX('Inputs'!$B$33,'Inputs'!$B$29+'Inputs'!$B$31+'Inputs'!$B$32,'Inputs'!$B$30+'Inputs'!$B$31+'Inputs'!$B$32)/1000+'Inputs'!$B$21+'Inputs'!$B$7+'Inputs'!$B$10)+'Inputs'!$B$9)/SQRT((((428-43)*MAX('Inputs'!$B$33,'Inputs'!$B$29+'Inputs'!$B$31+'Inputs'!$B$32,'Inputs'!$B$30+'Inputs'!$B$31+'Inputs'!$B$32)/1000+'Inputs'!$B$21+'Inputs'!$B$7+'Inputs'!$B$10)+'Inputs'!$B$9)^2+('Inputs'!$B$8/2)^2)-(((428-43)*MAX('Inputs'!$B$33,'Inputs'!$B$29+'Inputs'!$B$31+'Inputs'!$B$32,'Inputs'!$B$30+'Inputs'!$B$31+'Inputs'!$B$32)/1000+'Inputs'!$B$21+'Inputs'!$B$7+'Inputs'!$B$10))/SQRT((((428-43)*MAX('Inputs'!$B$33,'Inputs'!$B$29+'Inputs'!$B$31+'Inputs'!$B$32,'Inputs'!$B$30+'Inputs'!$B$31+'Inputs'!$B$32)/1000+'Inputs'!$B$21+'Inputs'!$B$7+'Inputs'!$B$10))^2+('Inputs'!$B$8/2)^2))))*'Results'!$B$8),"")</x:f>
        <x:v>10.027228276808039</x:v>
      </x:c>
      <x:c r="K428" t="n">
        <x:f>IF(AND(ISNUMBER('Results'!B7),ISNUMBER('Results'!C7),ISNUMBER('Results'!$B$8),ISNUMBER('Inputs'!$B$6),ISNUMBER('Inputs'!$B$7),ISNUMBER('Inputs'!$B$8),ISNUMBER('Inputs'!$B$9),ISNUMBER('Inputs'!$B$10),ISNUMBER('Inputs'!$B$21),ISNUMBER('Inputs'!$B$24),ISNUMBER('Inputs'!$B$28)),((('Results'!B7*(1-'Inputs'!$B$24)*(0.5*((((428-43)*MAX('Inputs'!$B$33,'Inputs'!$B$29+'Inputs'!$B$31+'Inputs'!$B$32,'Inputs'!$B$30+'Inputs'!$B$31+'Inputs'!$B$32)/1000+'Inputs'!$B$21)+'Inputs'!$B$7)/SQRT((((428-43)*MAX('Inputs'!$B$33,'Inputs'!$B$29+'Inputs'!$B$31+'Inputs'!$B$32,'Inputs'!$B$30+'Inputs'!$B$31+'Inputs'!$B$32)/1000+'Inputs'!$B$21)+'Inputs'!$B$7)^2+('Inputs'!$B$6/2)^2)-(((428-43)*MAX('Inputs'!$B$33,'Inputs'!$B$29+'Inputs'!$B$31+'Inputs'!$B$32,'Inputs'!$B$30+'Inputs'!$B$31+'Inputs'!$B$32)/1000+'Inputs'!$B$21))/SQRT((((428-43)*MAX('Inputs'!$B$33,'Inputs'!$B$29+'Inputs'!$B$31+'Inputs'!$B$32,'Inputs'!$B$30+'Inputs'!$B$31+'Inputs'!$B$32)/1000+'Inputs'!$B$21))^2+('Inputs'!$B$6/2)^2)))-'Results'!C7*(1+'Inputs'!$B$24)*(0.5*((((428-43)*MAX('Inputs'!$B$33,'Inputs'!$B$29+'Inputs'!$B$31+'Inputs'!$B$32,'Inputs'!$B$30+'Inputs'!$B$31+'Inputs'!$B$32)/1000+'Inputs'!$B$21+'Inputs'!$B$7+'Inputs'!$B$10)+'Inputs'!$B$9)/SQRT((((428-43)*MAX('Inputs'!$B$33,'Inputs'!$B$29+'Inputs'!$B$31+'Inputs'!$B$32,'Inputs'!$B$30+'Inputs'!$B$31+'Inputs'!$B$32)/1000+'Inputs'!$B$21+'Inputs'!$B$7+'Inputs'!$B$10)+'Inputs'!$B$9)^2+('Inputs'!$B$8/2)^2)-(((428-43)*MAX('Inputs'!$B$33,'Inputs'!$B$29+'Inputs'!$B$31+'Inputs'!$B$32,'Inputs'!$B$30+'Inputs'!$B$31+'Inputs'!$B$32)/1000+'Inputs'!$B$21+'Inputs'!$B$7+'Inputs'!$B$10))/SQRT((((428-43)*MAX('Inputs'!$B$33,'Inputs'!$B$29+'Inputs'!$B$31+'Inputs'!$B$32,'Inputs'!$B$30+'Inputs'!$B$31+'Inputs'!$B$32)/1000+'Inputs'!$B$21+'Inputs'!$B$7+'Inputs'!$B$10))^2+('Inputs'!$B$8/2)^2))))*'Results'!$B$8)-'Inputs'!$B$28*ABS((('Results'!B7*(1-'Inputs'!$B$24)*(0.5*((((428-43)*MAX('Inputs'!$B$33,'Inputs'!$B$29+'Inputs'!$B$31+'Inputs'!$B$32,'Inputs'!$B$30+'Inputs'!$B$31+'Inputs'!$B$32)/1000+'Inputs'!$B$21)+'Inputs'!$B$7)/SQRT((((428-43)*MAX('Inputs'!$B$33,'Inputs'!$B$29+'Inputs'!$B$31+'Inputs'!$B$32,'Inputs'!$B$30+'Inputs'!$B$31+'Inputs'!$B$32)/1000+'Inputs'!$B$21)+'Inputs'!$B$7)^2+('Inputs'!$B$6/2)^2)-(((428-43)*MAX('Inputs'!$B$33,'Inputs'!$B$29+'Inputs'!$B$31+'Inputs'!$B$32,'Inputs'!$B$30+'Inputs'!$B$31+'Inputs'!$B$32)/1000+'Inputs'!$B$21))/SQRT((((428-43)*MAX('Inputs'!$B$33,'Inputs'!$B$29+'Inputs'!$B$31+'Inputs'!$B$32,'Inputs'!$B$30+'Inputs'!$B$31+'Inputs'!$B$32)/1000+'Inputs'!$B$21))^2+('Inputs'!$B$6/2)^2)))-'Results'!C7*(1+'Inputs'!$B$24)*(0.5*((((428-43)*MAX('Inputs'!$B$33,'Inputs'!$B$29+'Inputs'!$B$31+'Inputs'!$B$32,'Inputs'!$B$30+'Inputs'!$B$31+'Inputs'!$B$32)/1000+'Inputs'!$B$21+'Inputs'!$B$7+'Inputs'!$B$10)+'Inputs'!$B$9)/SQRT((((428-43)*MAX('Inputs'!$B$33,'Inputs'!$B$29+'Inputs'!$B$31+'Inputs'!$B$32,'Inputs'!$B$30+'Inputs'!$B$31+'Inputs'!$B$32)/1000+'Inputs'!$B$21+'Inputs'!$B$7+'Inputs'!$B$10)+'Inputs'!$B$9)^2+('Inputs'!$B$8/2)^2)-(((428-43)*MAX('Inputs'!$B$33,'Inputs'!$B$29+'Inputs'!$B$31+'Inputs'!$B$32,'Inputs'!$B$30+'Inputs'!$B$31+'Inputs'!$B$32)/1000+'Inputs'!$B$21+'Inputs'!$B$7+'Inputs'!$B$10))/SQRT((((428-43)*MAX('Inputs'!$B$33,'Inputs'!$B$29+'Inputs'!$B$31+'Inputs'!$B$32,'Inputs'!$B$30+'Inputs'!$B$31+'Inputs'!$B$32)/1000+'Inputs'!$B$21+'Inputs'!$B$7+'Inputs'!$B$10))^2+('Inputs'!$B$8/2)^2))))*'Results'!$B$8))),"")</x:f>
        <x:v>8.993031189280325</x:v>
      </x:c>
      <x:c r="L428" t="n">
        <x:f>IF(AND(ISNUMBER('Results'!B7),ISNUMBER('Results'!C7),ISNUMBER('Results'!$B$8),ISNUMBER('Inputs'!$B$6),ISNUMBER('Inputs'!$B$7),ISNUMBER('Inputs'!$B$8),ISNUMBER('Inputs'!$B$9),ISNUMBER('Inputs'!$B$10),ISNUMBER('Inputs'!$B$21),ISNUMBER('Inputs'!$B$24),ISNUMBER('Inputs'!$B$28)),((('Results'!B7*(1+'Inputs'!$B$24)*(0.5*((((428-43)*MAX('Inputs'!$B$33,'Inputs'!$B$29+'Inputs'!$B$31+'Inputs'!$B$32,'Inputs'!$B$30+'Inputs'!$B$31+'Inputs'!$B$32)/1000+'Inputs'!$B$21)+'Inputs'!$B$7)/SQRT((((428-43)*MAX('Inputs'!$B$33,'Inputs'!$B$29+'Inputs'!$B$31+'Inputs'!$B$32,'Inputs'!$B$30+'Inputs'!$B$31+'Inputs'!$B$32)/1000+'Inputs'!$B$21)+'Inputs'!$B$7)^2+('Inputs'!$B$6/2)^2)-(((428-43)*MAX('Inputs'!$B$33,'Inputs'!$B$29+'Inputs'!$B$31+'Inputs'!$B$32,'Inputs'!$B$30+'Inputs'!$B$31+'Inputs'!$B$32)/1000+'Inputs'!$B$21))/SQRT((((428-43)*MAX('Inputs'!$B$33,'Inputs'!$B$29+'Inputs'!$B$31+'Inputs'!$B$32,'Inputs'!$B$30+'Inputs'!$B$31+'Inputs'!$B$32)/1000+'Inputs'!$B$21))^2+('Inputs'!$B$6/2)^2)))-'Results'!C7*(1-'Inputs'!$B$24)*(0.5*((((428-43)*MAX('Inputs'!$B$33,'Inputs'!$B$29+'Inputs'!$B$31+'Inputs'!$B$32,'Inputs'!$B$30+'Inputs'!$B$31+'Inputs'!$B$32)/1000+'Inputs'!$B$21+'Inputs'!$B$7+'Inputs'!$B$10)+'Inputs'!$B$9)/SQRT((((428-43)*MAX('Inputs'!$B$33,'Inputs'!$B$29+'Inputs'!$B$31+'Inputs'!$B$32,'Inputs'!$B$30+'Inputs'!$B$31+'Inputs'!$B$32)/1000+'Inputs'!$B$21+'Inputs'!$B$7+'Inputs'!$B$10)+'Inputs'!$B$9)^2+('Inputs'!$B$8/2)^2)-(((428-43)*MAX('Inputs'!$B$33,'Inputs'!$B$29+'Inputs'!$B$31+'Inputs'!$B$32,'Inputs'!$B$30+'Inputs'!$B$31+'Inputs'!$B$32)/1000+'Inputs'!$B$21+'Inputs'!$B$7+'Inputs'!$B$10))/SQRT((((428-43)*MAX('Inputs'!$B$33,'Inputs'!$B$29+'Inputs'!$B$31+'Inputs'!$B$32,'Inputs'!$B$30+'Inputs'!$B$31+'Inputs'!$B$32)/1000+'Inputs'!$B$21+'Inputs'!$B$7+'Inputs'!$B$10))^2+('Inputs'!$B$8/2)^2))))*'Results'!$B$8)+'Inputs'!$B$28*ABS((('Results'!B7*(1+'Inputs'!$B$24)*(0.5*((((428-43)*MAX('Inputs'!$B$33,'Inputs'!$B$29+'Inputs'!$B$31+'Inputs'!$B$32,'Inputs'!$B$30+'Inputs'!$B$31+'Inputs'!$B$32)/1000+'Inputs'!$B$21)+'Inputs'!$B$7)/SQRT((((428-43)*MAX('Inputs'!$B$33,'Inputs'!$B$29+'Inputs'!$B$31+'Inputs'!$B$32,'Inputs'!$B$30+'Inputs'!$B$31+'Inputs'!$B$32)/1000+'Inputs'!$B$21)+'Inputs'!$B$7)^2+('Inputs'!$B$6/2)^2)-(((428-43)*MAX('Inputs'!$B$33,'Inputs'!$B$29+'Inputs'!$B$31+'Inputs'!$B$32,'Inputs'!$B$30+'Inputs'!$B$31+'Inputs'!$B$32)/1000+'Inputs'!$B$21))/SQRT((((428-43)*MAX('Inputs'!$B$33,'Inputs'!$B$29+'Inputs'!$B$31+'Inputs'!$B$32,'Inputs'!$B$30+'Inputs'!$B$31+'Inputs'!$B$32)/1000+'Inputs'!$B$21))^2+('Inputs'!$B$6/2)^2)))-'Results'!C7*(1-'Inputs'!$B$24)*(0.5*((((428-43)*MAX('Inputs'!$B$33,'Inputs'!$B$29+'Inputs'!$B$31+'Inputs'!$B$32,'Inputs'!$B$30+'Inputs'!$B$31+'Inputs'!$B$32)/1000+'Inputs'!$B$21+'Inputs'!$B$7+'Inputs'!$B$10)+'Inputs'!$B$9)/SQRT((((428-43)*MAX('Inputs'!$B$33,'Inputs'!$B$29+'Inputs'!$B$31+'Inputs'!$B$32,'Inputs'!$B$30+'Inputs'!$B$31+'Inputs'!$B$32)/1000+'Inputs'!$B$21+'Inputs'!$B$7+'Inputs'!$B$10)+'Inputs'!$B$9)^2+('Inputs'!$B$8/2)^2)-(((428-43)*MAX('Inputs'!$B$33,'Inputs'!$B$29+'Inputs'!$B$31+'Inputs'!$B$32,'Inputs'!$B$30+'Inputs'!$B$31+'Inputs'!$B$32)/1000+'Inputs'!$B$21+'Inputs'!$B$7+'Inputs'!$B$10))/SQRT((((428-43)*MAX('Inputs'!$B$33,'Inputs'!$B$29+'Inputs'!$B$31+'Inputs'!$B$32,'Inputs'!$B$30+'Inputs'!$B$31+'Inputs'!$B$32)/1000+'Inputs'!$B$21+'Inputs'!$B$7+'Inputs'!$B$10))^2+('Inputs'!$B$8/2)^2))))*'Results'!$B$8))),"")</x:f>
        <x:v>11.117513329987048</x:v>
      </x:c>
      <x:c r="M428" t="n">
        <x:f>IF(AND(ISNUMBER('Results'!C7),ISNUMBER('Results'!B7),ISNUMBER('Results'!$B$8),ISNUMBER('Inputs'!$B$6),ISNUMBER('Inputs'!$B$7),ISNUMBER('Inputs'!$B$8),ISNUMBER('Inputs'!$B$9),ISNUMBER('Inputs'!$B$10),ISNUMBER('Inputs'!$B$21),ISNUMBER('Inputs'!$B$24),ISNUMBER('Inputs'!$B$28)),(('Results'!C7*(0.5*((((428-43)*MAX('Inputs'!$B$33,'Inputs'!$B$29+'Inputs'!$B$31+'Inputs'!$B$32,'Inputs'!$B$30+'Inputs'!$B$31+'Inputs'!$B$32)/1000+'Inputs'!$B$21)+'Inputs'!$B$9)/SQRT((((428-43)*MAX('Inputs'!$B$33,'Inputs'!$B$29+'Inputs'!$B$31+'Inputs'!$B$32,'Inputs'!$B$30+'Inputs'!$B$31+'Inputs'!$B$32)/1000+'Inputs'!$B$21)+'Inputs'!$B$9)^2+('Inputs'!$B$8/2)^2)-(((428-43)*MAX('Inputs'!$B$33,'Inputs'!$B$29+'Inputs'!$B$31+'Inputs'!$B$32,'Inputs'!$B$30+'Inputs'!$B$31+'Inputs'!$B$32)/1000+'Inputs'!$B$21))/SQRT((((428-43)*MAX('Inputs'!$B$33,'Inputs'!$B$29+'Inputs'!$B$31+'Inputs'!$B$32,'Inputs'!$B$30+'Inputs'!$B$31+'Inputs'!$B$32)/1000+'Inputs'!$B$21))^2+('Inputs'!$B$8/2)^2)))-'Results'!B7*(0.5*((((428-43)*MAX('Inputs'!$B$33,'Inputs'!$B$29+'Inputs'!$B$31+'Inputs'!$B$32,'Inputs'!$B$30+'Inputs'!$B$31+'Inputs'!$B$32)/1000+'Inputs'!$B$21+'Inputs'!$B$9+'Inputs'!$B$10)+'Inputs'!$B$7)/SQRT((((428-43)*MAX('Inputs'!$B$33,'Inputs'!$B$29+'Inputs'!$B$31+'Inputs'!$B$32,'Inputs'!$B$30+'Inputs'!$B$31+'Inputs'!$B$32)/1000+'Inputs'!$B$21+'Inputs'!$B$9+'Inputs'!$B$10)+'Inputs'!$B$7)^2+('Inputs'!$B$6/2)^2)-(((428-43)*MAX('Inputs'!$B$33,'Inputs'!$B$29+'Inputs'!$B$31+'Inputs'!$B$32,'Inputs'!$B$30+'Inputs'!$B$31+'Inputs'!$B$32)/1000+'Inputs'!$B$21+'Inputs'!$B$9+'Inputs'!$B$10))/SQRT((((428-43)*MAX('Inputs'!$B$33,'Inputs'!$B$29+'Inputs'!$B$31+'Inputs'!$B$32,'Inputs'!$B$30+'Inputs'!$B$31+'Inputs'!$B$32)/1000+'Inputs'!$B$21+'Inputs'!$B$9+'Inputs'!$B$10))^2+('Inputs'!$B$6/2)^2))))*'Results'!$B$8),"")</x:f>
        <x:v>9.462671731611643</x:v>
      </x:c>
      <x:c r="N428" t="n">
        <x:f>IF(AND(ISNUMBER('Results'!C7),ISNUMBER('Results'!B7),ISNUMBER('Results'!$B$8),ISNUMBER('Inputs'!$B$6),ISNUMBER('Inputs'!$B$7),ISNUMBER('Inputs'!$B$8),ISNUMBER('Inputs'!$B$9),ISNUMBER('Inputs'!$B$10),ISNUMBER('Inputs'!$B$21),ISNUMBER('Inputs'!$B$24),ISNUMBER('Inputs'!$B$28)),((('Results'!C7*(1-'Inputs'!$B$24)*(0.5*((((428-43)*MAX('Inputs'!$B$33,'Inputs'!$B$29+'Inputs'!$B$31+'Inputs'!$B$32,'Inputs'!$B$30+'Inputs'!$B$31+'Inputs'!$B$32)/1000+'Inputs'!$B$21)+'Inputs'!$B$9)/SQRT((((428-43)*MAX('Inputs'!$B$33,'Inputs'!$B$29+'Inputs'!$B$31+'Inputs'!$B$32,'Inputs'!$B$30+'Inputs'!$B$31+'Inputs'!$B$32)/1000+'Inputs'!$B$21)+'Inputs'!$B$9)^2+('Inputs'!$B$8/2)^2)-(((428-43)*MAX('Inputs'!$B$33,'Inputs'!$B$29+'Inputs'!$B$31+'Inputs'!$B$32,'Inputs'!$B$30+'Inputs'!$B$31+'Inputs'!$B$32)/1000+'Inputs'!$B$21))/SQRT((((428-43)*MAX('Inputs'!$B$33,'Inputs'!$B$29+'Inputs'!$B$31+'Inputs'!$B$32,'Inputs'!$B$30+'Inputs'!$B$31+'Inputs'!$B$32)/1000+'Inputs'!$B$21))^2+('Inputs'!$B$8/2)^2)))-'Results'!B7*(1+'Inputs'!$B$24)*(0.5*((((428-43)*MAX('Inputs'!$B$33,'Inputs'!$B$29+'Inputs'!$B$31+'Inputs'!$B$32,'Inputs'!$B$30+'Inputs'!$B$31+'Inputs'!$B$32)/1000+'Inputs'!$B$21+'Inputs'!$B$9+'Inputs'!$B$10)+'Inputs'!$B$7)/SQRT((((428-43)*MAX('Inputs'!$B$33,'Inputs'!$B$29+'Inputs'!$B$31+'Inputs'!$B$32,'Inputs'!$B$30+'Inputs'!$B$31+'Inputs'!$B$32)/1000+'Inputs'!$B$21+'Inputs'!$B$9+'Inputs'!$B$10)+'Inputs'!$B$7)^2+('Inputs'!$B$6/2)^2)-(((428-43)*MAX('Inputs'!$B$33,'Inputs'!$B$29+'Inputs'!$B$31+'Inputs'!$B$32,'Inputs'!$B$30+'Inputs'!$B$31+'Inputs'!$B$32)/1000+'Inputs'!$B$21+'Inputs'!$B$9+'Inputs'!$B$10))/SQRT((((428-43)*MAX('Inputs'!$B$33,'Inputs'!$B$29+'Inputs'!$B$31+'Inputs'!$B$32,'Inputs'!$B$30+'Inputs'!$B$31+'Inputs'!$B$32)/1000+'Inputs'!$B$21+'Inputs'!$B$9+'Inputs'!$B$10))^2+('Inputs'!$B$6/2)^2))))*'Results'!$B$8)-'Inputs'!$B$28*ABS((('Results'!C7*(1-'Inputs'!$B$24)*(0.5*((((428-43)*MAX('Inputs'!$B$33,'Inputs'!$B$29+'Inputs'!$B$31+'Inputs'!$B$32,'Inputs'!$B$30+'Inputs'!$B$31+'Inputs'!$B$32)/1000+'Inputs'!$B$21)+'Inputs'!$B$9)/SQRT((((428-43)*MAX('Inputs'!$B$33,'Inputs'!$B$29+'Inputs'!$B$31+'Inputs'!$B$32,'Inputs'!$B$30+'Inputs'!$B$31+'Inputs'!$B$32)/1000+'Inputs'!$B$21)+'Inputs'!$B$9)^2+('Inputs'!$B$8/2)^2)-(((428-43)*MAX('Inputs'!$B$33,'Inputs'!$B$29+'Inputs'!$B$31+'Inputs'!$B$32,'Inputs'!$B$30+'Inputs'!$B$31+'Inputs'!$B$32)/1000+'Inputs'!$B$21))/SQRT((((428-43)*MAX('Inputs'!$B$33,'Inputs'!$B$29+'Inputs'!$B$31+'Inputs'!$B$32,'Inputs'!$B$30+'Inputs'!$B$31+'Inputs'!$B$32)/1000+'Inputs'!$B$21))^2+('Inputs'!$B$8/2)^2)))-'Results'!B7*(1+'Inputs'!$B$24)*(0.5*((((428-43)*MAX('Inputs'!$B$33,'Inputs'!$B$29+'Inputs'!$B$31+'Inputs'!$B$32,'Inputs'!$B$30+'Inputs'!$B$31+'Inputs'!$B$32)/1000+'Inputs'!$B$21+'Inputs'!$B$9+'Inputs'!$B$10)+'Inputs'!$B$7)/SQRT((((428-43)*MAX('Inputs'!$B$33,'Inputs'!$B$29+'Inputs'!$B$31+'Inputs'!$B$32,'Inputs'!$B$30+'Inputs'!$B$31+'Inputs'!$B$32)/1000+'Inputs'!$B$21+'Inputs'!$B$9+'Inputs'!$B$10)+'Inputs'!$B$7)^2+('Inputs'!$B$6/2)^2)-(((428-43)*MAX('Inputs'!$B$33,'Inputs'!$B$29+'Inputs'!$B$31+'Inputs'!$B$32,'Inputs'!$B$30+'Inputs'!$B$31+'Inputs'!$B$32)/1000+'Inputs'!$B$21+'Inputs'!$B$9+'Inputs'!$B$10))/SQRT((((428-43)*MAX('Inputs'!$B$33,'Inputs'!$B$29+'Inputs'!$B$31+'Inputs'!$B$32,'Inputs'!$B$30+'Inputs'!$B$31+'Inputs'!$B$32)/1000+'Inputs'!$B$21+'Inputs'!$B$9+'Inputs'!$B$10))^2+('Inputs'!$B$6/2)^2))))*'Results'!$B$8))),"")</x:f>
        <x:v>8.460442957203954</x:v>
      </x:c>
      <x:c r="O428" t="n">
        <x:f>IF(AND(ISNUMBER('Results'!C7),ISNUMBER('Results'!B7),ISNUMBER('Results'!$B$8),ISNUMBER('Inputs'!$B$6),ISNUMBER('Inputs'!$B$7),ISNUMBER('Inputs'!$B$8),ISNUMBER('Inputs'!$B$9),ISNUMBER('Inputs'!$B$10),ISNUMBER('Inputs'!$B$21),ISNUMBER('Inputs'!$B$24),ISNUMBER('Inputs'!$B$28)),((('Results'!C7*(1+'Inputs'!$B$24)*(0.5*((((428-43)*MAX('Inputs'!$B$33,'Inputs'!$B$29+'Inputs'!$B$31+'Inputs'!$B$32,'Inputs'!$B$30+'Inputs'!$B$31+'Inputs'!$B$32)/1000+'Inputs'!$B$21)+'Inputs'!$B$9)/SQRT((((428-43)*MAX('Inputs'!$B$33,'Inputs'!$B$29+'Inputs'!$B$31+'Inputs'!$B$32,'Inputs'!$B$30+'Inputs'!$B$31+'Inputs'!$B$32)/1000+'Inputs'!$B$21)+'Inputs'!$B$9)^2+('Inputs'!$B$8/2)^2)-(((428-43)*MAX('Inputs'!$B$33,'Inputs'!$B$29+'Inputs'!$B$31+'Inputs'!$B$32,'Inputs'!$B$30+'Inputs'!$B$31+'Inputs'!$B$32)/1000+'Inputs'!$B$21))/SQRT((((428-43)*MAX('Inputs'!$B$33,'Inputs'!$B$29+'Inputs'!$B$31+'Inputs'!$B$32,'Inputs'!$B$30+'Inputs'!$B$31+'Inputs'!$B$32)/1000+'Inputs'!$B$21))^2+('Inputs'!$B$8/2)^2)))-'Results'!B7*(1-'Inputs'!$B$24)*(0.5*((((428-43)*MAX('Inputs'!$B$33,'Inputs'!$B$29+'Inputs'!$B$31+'Inputs'!$B$32,'Inputs'!$B$30+'Inputs'!$B$31+'Inputs'!$B$32)/1000+'Inputs'!$B$21+'Inputs'!$B$9+'Inputs'!$B$10)+'Inputs'!$B$7)/SQRT((((428-43)*MAX('Inputs'!$B$33,'Inputs'!$B$29+'Inputs'!$B$31+'Inputs'!$B$32,'Inputs'!$B$30+'Inputs'!$B$31+'Inputs'!$B$32)/1000+'Inputs'!$B$21+'Inputs'!$B$9+'Inputs'!$B$10)+'Inputs'!$B$7)^2+('Inputs'!$B$6/2)^2)-(((428-43)*MAX('Inputs'!$B$33,'Inputs'!$B$29+'Inputs'!$B$31+'Inputs'!$B$32,'Inputs'!$B$30+'Inputs'!$B$31+'Inputs'!$B$32)/1000+'Inputs'!$B$21+'Inputs'!$B$9+'Inputs'!$B$10))/SQRT((((428-43)*MAX('Inputs'!$B$33,'Inputs'!$B$29+'Inputs'!$B$31+'Inputs'!$B$32,'Inputs'!$B$30+'Inputs'!$B$31+'Inputs'!$B$32)/1000+'Inputs'!$B$21+'Inputs'!$B$9+'Inputs'!$B$10))^2+('Inputs'!$B$6/2)^2))))*'Results'!$B$8)+'Inputs'!$B$28*ABS((('Results'!C7*(1+'Inputs'!$B$24)*(0.5*((((428-43)*MAX('Inputs'!$B$33,'Inputs'!$B$29+'Inputs'!$B$31+'Inputs'!$B$32,'Inputs'!$B$30+'Inputs'!$B$31+'Inputs'!$B$32)/1000+'Inputs'!$B$21)+'Inputs'!$B$9)/SQRT((((428-43)*MAX('Inputs'!$B$33,'Inputs'!$B$29+'Inputs'!$B$31+'Inputs'!$B$32,'Inputs'!$B$30+'Inputs'!$B$31+'Inputs'!$B$32)/1000+'Inputs'!$B$21)+'Inputs'!$B$9)^2+('Inputs'!$B$8/2)^2)-(((428-43)*MAX('Inputs'!$B$33,'Inputs'!$B$29+'Inputs'!$B$31+'Inputs'!$B$32,'Inputs'!$B$30+'Inputs'!$B$31+'Inputs'!$B$32)/1000+'Inputs'!$B$21))/SQRT((((428-43)*MAX('Inputs'!$B$33,'Inputs'!$B$29+'Inputs'!$B$31+'Inputs'!$B$32,'Inputs'!$B$30+'Inputs'!$B$31+'Inputs'!$B$32)/1000+'Inputs'!$B$21))^2+('Inputs'!$B$8/2)^2)))-'Results'!B7*(1-'Inputs'!$B$24)*(0.5*((((428-43)*MAX('Inputs'!$B$33,'Inputs'!$B$29+'Inputs'!$B$31+'Inputs'!$B$32,'Inputs'!$B$30+'Inputs'!$B$31+'Inputs'!$B$32)/1000+'Inputs'!$B$21+'Inputs'!$B$9+'Inputs'!$B$10)+'Inputs'!$B$7)/SQRT((((428-43)*MAX('Inputs'!$B$33,'Inputs'!$B$29+'Inputs'!$B$31+'Inputs'!$B$32,'Inputs'!$B$30+'Inputs'!$B$31+'Inputs'!$B$32)/1000+'Inputs'!$B$21+'Inputs'!$B$9+'Inputs'!$B$10)+'Inputs'!$B$7)^2+('Inputs'!$B$6/2)^2)-(((428-43)*MAX('Inputs'!$B$33,'Inputs'!$B$29+'Inputs'!$B$31+'Inputs'!$B$32,'Inputs'!$B$30+'Inputs'!$B$31+'Inputs'!$B$32)/1000+'Inputs'!$B$21+'Inputs'!$B$9+'Inputs'!$B$10))/SQRT((((428-43)*MAX('Inputs'!$B$33,'Inputs'!$B$29+'Inputs'!$B$31+'Inputs'!$B$32,'Inputs'!$B$30+'Inputs'!$B$31+'Inputs'!$B$32)/1000+'Inputs'!$B$21+'Inputs'!$B$9+'Inputs'!$B$10))^2+('Inputs'!$B$6/2)^2))))*'Results'!$B$8))),"")</x:f>
        <x:v>10.520594736316927</x:v>
      </x:c>
      <x:c r="P428" t="n">
        <x:f>IF(AND(MAX(J428,J427)&gt;0,J428&gt;J427+0.00000001),1,0)</x:f>
        <x:v>0</x:v>
      </x:c>
      <x:c r="Q428" t="n">
        <x:f>IF(AND(MAX(K428,K427)&gt;0,K428&gt;K427+0.00000001),1,0)</x:f>
        <x:v>0</x:v>
      </x:c>
      <x:c r="R428" t="n">
        <x:f>IF(AND(MAX(L428,L427)&gt;0,L428&gt;L427+0.00000001),1,0)</x:f>
        <x:v>0</x:v>
      </x:c>
      <x:c r="S428" t="n">
        <x:f>IF(AND(MAX(M428,M427)&gt;0,M428&gt;M427+0.00000001),1,0)</x:f>
        <x:v>0</x:v>
      </x:c>
      <x:c r="T428" t="n">
        <x:f>IF(AND(MAX(N428,N427)&gt;0,N428&gt;N427+0.00000001),1,0)</x:f>
        <x:v>0</x:v>
      </x:c>
      <x:c r="U428" t="n">
        <x:f>IF(AND(MAX(O428,O427)&gt;0,O428&gt;O427+0.00000001),1,0)</x:f>
        <x:v>0</x:v>
      </x:c>
    </x:row>
    <x:row r="429">
      <x:c r="J429" t="n">
        <x:f>IF(AND(ISNUMBER('Results'!B7),ISNUMBER('Results'!C7),ISNUMBER('Results'!$B$8),ISNUMBER('Inputs'!$B$6),ISNUMBER('Inputs'!$B$7),ISNUMBER('Inputs'!$B$8),ISNUMBER('Inputs'!$B$9),ISNUMBER('Inputs'!$B$10),ISNUMBER('Inputs'!$B$21),ISNUMBER('Inputs'!$B$24),ISNUMBER('Inputs'!$B$28)),(('Results'!B7*(0.5*((((429-43)*MAX('Inputs'!$B$33,'Inputs'!$B$29+'Inputs'!$B$31+'Inputs'!$B$32,'Inputs'!$B$30+'Inputs'!$B$31+'Inputs'!$B$32)/1000+'Inputs'!$B$21)+'Inputs'!$B$7)/SQRT((((429-43)*MAX('Inputs'!$B$33,'Inputs'!$B$29+'Inputs'!$B$31+'Inputs'!$B$32,'Inputs'!$B$30+'Inputs'!$B$31+'Inputs'!$B$32)/1000+'Inputs'!$B$21)+'Inputs'!$B$7)^2+('Inputs'!$B$6/2)^2)-(((429-43)*MAX('Inputs'!$B$33,'Inputs'!$B$29+'Inputs'!$B$31+'Inputs'!$B$32,'Inputs'!$B$30+'Inputs'!$B$31+'Inputs'!$B$32)/1000+'Inputs'!$B$21))/SQRT((((429-43)*MAX('Inputs'!$B$33,'Inputs'!$B$29+'Inputs'!$B$31+'Inputs'!$B$32,'Inputs'!$B$30+'Inputs'!$B$31+'Inputs'!$B$32)/1000+'Inputs'!$B$21))^2+('Inputs'!$B$6/2)^2)))-'Results'!C7*(0.5*((((429-43)*MAX('Inputs'!$B$33,'Inputs'!$B$29+'Inputs'!$B$31+'Inputs'!$B$32,'Inputs'!$B$30+'Inputs'!$B$31+'Inputs'!$B$32)/1000+'Inputs'!$B$21+'Inputs'!$B$7+'Inputs'!$B$10)+'Inputs'!$B$9)/SQRT((((429-43)*MAX('Inputs'!$B$33,'Inputs'!$B$29+'Inputs'!$B$31+'Inputs'!$B$32,'Inputs'!$B$30+'Inputs'!$B$31+'Inputs'!$B$32)/1000+'Inputs'!$B$21+'Inputs'!$B$7+'Inputs'!$B$10)+'Inputs'!$B$9)^2+('Inputs'!$B$8/2)^2)-(((429-43)*MAX('Inputs'!$B$33,'Inputs'!$B$29+'Inputs'!$B$31+'Inputs'!$B$32,'Inputs'!$B$30+'Inputs'!$B$31+'Inputs'!$B$32)/1000+'Inputs'!$B$21+'Inputs'!$B$7+'Inputs'!$B$10))/SQRT((((429-43)*MAX('Inputs'!$B$33,'Inputs'!$B$29+'Inputs'!$B$31+'Inputs'!$B$32,'Inputs'!$B$30+'Inputs'!$B$31+'Inputs'!$B$32)/1000+'Inputs'!$B$21+'Inputs'!$B$7+'Inputs'!$B$10))^2+('Inputs'!$B$8/2)^2))))*'Results'!$B$8),"")</x:f>
        <x:v>9.942384318572103</x:v>
      </x:c>
      <x:c r="K429" t="n">
        <x:f>IF(AND(ISNUMBER('Results'!B7),ISNUMBER('Results'!C7),ISNUMBER('Results'!$B$8),ISNUMBER('Inputs'!$B$6),ISNUMBER('Inputs'!$B$7),ISNUMBER('Inputs'!$B$8),ISNUMBER('Inputs'!$B$9),ISNUMBER('Inputs'!$B$10),ISNUMBER('Inputs'!$B$21),ISNUMBER('Inputs'!$B$24),ISNUMBER('Inputs'!$B$28)),((('Results'!B7*(1-'Inputs'!$B$24)*(0.5*((((429-43)*MAX('Inputs'!$B$33,'Inputs'!$B$29+'Inputs'!$B$31+'Inputs'!$B$32,'Inputs'!$B$30+'Inputs'!$B$31+'Inputs'!$B$32)/1000+'Inputs'!$B$21)+'Inputs'!$B$7)/SQRT((((429-43)*MAX('Inputs'!$B$33,'Inputs'!$B$29+'Inputs'!$B$31+'Inputs'!$B$32,'Inputs'!$B$30+'Inputs'!$B$31+'Inputs'!$B$32)/1000+'Inputs'!$B$21)+'Inputs'!$B$7)^2+('Inputs'!$B$6/2)^2)-(((429-43)*MAX('Inputs'!$B$33,'Inputs'!$B$29+'Inputs'!$B$31+'Inputs'!$B$32,'Inputs'!$B$30+'Inputs'!$B$31+'Inputs'!$B$32)/1000+'Inputs'!$B$21))/SQRT((((429-43)*MAX('Inputs'!$B$33,'Inputs'!$B$29+'Inputs'!$B$31+'Inputs'!$B$32,'Inputs'!$B$30+'Inputs'!$B$31+'Inputs'!$B$32)/1000+'Inputs'!$B$21))^2+('Inputs'!$B$6/2)^2)))-'Results'!C7*(1+'Inputs'!$B$24)*(0.5*((((429-43)*MAX('Inputs'!$B$33,'Inputs'!$B$29+'Inputs'!$B$31+'Inputs'!$B$32,'Inputs'!$B$30+'Inputs'!$B$31+'Inputs'!$B$32)/1000+'Inputs'!$B$21+'Inputs'!$B$7+'Inputs'!$B$10)+'Inputs'!$B$9)/SQRT((((429-43)*MAX('Inputs'!$B$33,'Inputs'!$B$29+'Inputs'!$B$31+'Inputs'!$B$32,'Inputs'!$B$30+'Inputs'!$B$31+'Inputs'!$B$32)/1000+'Inputs'!$B$21+'Inputs'!$B$7+'Inputs'!$B$10)+'Inputs'!$B$9)^2+('Inputs'!$B$8/2)^2)-(((429-43)*MAX('Inputs'!$B$33,'Inputs'!$B$29+'Inputs'!$B$31+'Inputs'!$B$32,'Inputs'!$B$30+'Inputs'!$B$31+'Inputs'!$B$32)/1000+'Inputs'!$B$21+'Inputs'!$B$7+'Inputs'!$B$10))/SQRT((((429-43)*MAX('Inputs'!$B$33,'Inputs'!$B$29+'Inputs'!$B$31+'Inputs'!$B$32,'Inputs'!$B$30+'Inputs'!$B$31+'Inputs'!$B$32)/1000+'Inputs'!$B$21+'Inputs'!$B$7+'Inputs'!$B$10))^2+('Inputs'!$B$8/2)^2))))*'Results'!$B$8)-'Inputs'!$B$28*ABS((('Results'!B7*(1-'Inputs'!$B$24)*(0.5*((((429-43)*MAX('Inputs'!$B$33,'Inputs'!$B$29+'Inputs'!$B$31+'Inputs'!$B$32,'Inputs'!$B$30+'Inputs'!$B$31+'Inputs'!$B$32)/1000+'Inputs'!$B$21)+'Inputs'!$B$7)/SQRT((((429-43)*MAX('Inputs'!$B$33,'Inputs'!$B$29+'Inputs'!$B$31+'Inputs'!$B$32,'Inputs'!$B$30+'Inputs'!$B$31+'Inputs'!$B$32)/1000+'Inputs'!$B$21)+'Inputs'!$B$7)^2+('Inputs'!$B$6/2)^2)-(((429-43)*MAX('Inputs'!$B$33,'Inputs'!$B$29+'Inputs'!$B$31+'Inputs'!$B$32,'Inputs'!$B$30+'Inputs'!$B$31+'Inputs'!$B$32)/1000+'Inputs'!$B$21))/SQRT((((429-43)*MAX('Inputs'!$B$33,'Inputs'!$B$29+'Inputs'!$B$31+'Inputs'!$B$32,'Inputs'!$B$30+'Inputs'!$B$31+'Inputs'!$B$32)/1000+'Inputs'!$B$21))^2+('Inputs'!$B$6/2)^2)))-'Results'!C7*(1+'Inputs'!$B$24)*(0.5*((((429-43)*MAX('Inputs'!$B$33,'Inputs'!$B$29+'Inputs'!$B$31+'Inputs'!$B$32,'Inputs'!$B$30+'Inputs'!$B$31+'Inputs'!$B$32)/1000+'Inputs'!$B$21+'Inputs'!$B$7+'Inputs'!$B$10)+'Inputs'!$B$9)/SQRT((((429-43)*MAX('Inputs'!$B$33,'Inputs'!$B$29+'Inputs'!$B$31+'Inputs'!$B$32,'Inputs'!$B$30+'Inputs'!$B$31+'Inputs'!$B$32)/1000+'Inputs'!$B$21+'Inputs'!$B$7+'Inputs'!$B$10)+'Inputs'!$B$9)^2+('Inputs'!$B$8/2)^2)-(((429-43)*MAX('Inputs'!$B$33,'Inputs'!$B$29+'Inputs'!$B$31+'Inputs'!$B$32,'Inputs'!$B$30+'Inputs'!$B$31+'Inputs'!$B$32)/1000+'Inputs'!$B$21+'Inputs'!$B$7+'Inputs'!$B$10))/SQRT((((429-43)*MAX('Inputs'!$B$33,'Inputs'!$B$29+'Inputs'!$B$31+'Inputs'!$B$32,'Inputs'!$B$30+'Inputs'!$B$31+'Inputs'!$B$32)/1000+'Inputs'!$B$21+'Inputs'!$B$7+'Inputs'!$B$10))^2+('Inputs'!$B$8/2)^2))))*'Results'!$B$8))),"")</x:f>
        <x:v>8.915969307492107</x:v>
      </x:c>
      <x:c r="L429" t="n">
        <x:f>IF(AND(ISNUMBER('Results'!B7),ISNUMBER('Results'!C7),ISNUMBER('Results'!$B$8),ISNUMBER('Inputs'!$B$6),ISNUMBER('Inputs'!$B$7),ISNUMBER('Inputs'!$B$8),ISNUMBER('Inputs'!$B$9),ISNUMBER('Inputs'!$B$10),ISNUMBER('Inputs'!$B$21),ISNUMBER('Inputs'!$B$24),ISNUMBER('Inputs'!$B$28)),((('Results'!B7*(1+'Inputs'!$B$24)*(0.5*((((429-43)*MAX('Inputs'!$B$33,'Inputs'!$B$29+'Inputs'!$B$31+'Inputs'!$B$32,'Inputs'!$B$30+'Inputs'!$B$31+'Inputs'!$B$32)/1000+'Inputs'!$B$21)+'Inputs'!$B$7)/SQRT((((429-43)*MAX('Inputs'!$B$33,'Inputs'!$B$29+'Inputs'!$B$31+'Inputs'!$B$32,'Inputs'!$B$30+'Inputs'!$B$31+'Inputs'!$B$32)/1000+'Inputs'!$B$21)+'Inputs'!$B$7)^2+('Inputs'!$B$6/2)^2)-(((429-43)*MAX('Inputs'!$B$33,'Inputs'!$B$29+'Inputs'!$B$31+'Inputs'!$B$32,'Inputs'!$B$30+'Inputs'!$B$31+'Inputs'!$B$32)/1000+'Inputs'!$B$21))/SQRT((((429-43)*MAX('Inputs'!$B$33,'Inputs'!$B$29+'Inputs'!$B$31+'Inputs'!$B$32,'Inputs'!$B$30+'Inputs'!$B$31+'Inputs'!$B$32)/1000+'Inputs'!$B$21))^2+('Inputs'!$B$6/2)^2)))-'Results'!C7*(1-'Inputs'!$B$24)*(0.5*((((429-43)*MAX('Inputs'!$B$33,'Inputs'!$B$29+'Inputs'!$B$31+'Inputs'!$B$32,'Inputs'!$B$30+'Inputs'!$B$31+'Inputs'!$B$32)/1000+'Inputs'!$B$21+'Inputs'!$B$7+'Inputs'!$B$10)+'Inputs'!$B$9)/SQRT((((429-43)*MAX('Inputs'!$B$33,'Inputs'!$B$29+'Inputs'!$B$31+'Inputs'!$B$32,'Inputs'!$B$30+'Inputs'!$B$31+'Inputs'!$B$32)/1000+'Inputs'!$B$21+'Inputs'!$B$7+'Inputs'!$B$10)+'Inputs'!$B$9)^2+('Inputs'!$B$8/2)^2)-(((429-43)*MAX('Inputs'!$B$33,'Inputs'!$B$29+'Inputs'!$B$31+'Inputs'!$B$32,'Inputs'!$B$30+'Inputs'!$B$31+'Inputs'!$B$32)/1000+'Inputs'!$B$21+'Inputs'!$B$7+'Inputs'!$B$10))/SQRT((((429-43)*MAX('Inputs'!$B$33,'Inputs'!$B$29+'Inputs'!$B$31+'Inputs'!$B$32,'Inputs'!$B$30+'Inputs'!$B$31+'Inputs'!$B$32)/1000+'Inputs'!$B$21+'Inputs'!$B$7+'Inputs'!$B$10))^2+('Inputs'!$B$8/2)^2))))*'Results'!$B$8)+'Inputs'!$B$28*ABS((('Results'!B7*(1+'Inputs'!$B$24)*(0.5*((((429-43)*MAX('Inputs'!$B$33,'Inputs'!$B$29+'Inputs'!$B$31+'Inputs'!$B$32,'Inputs'!$B$30+'Inputs'!$B$31+'Inputs'!$B$32)/1000+'Inputs'!$B$21)+'Inputs'!$B$7)/SQRT((((429-43)*MAX('Inputs'!$B$33,'Inputs'!$B$29+'Inputs'!$B$31+'Inputs'!$B$32,'Inputs'!$B$30+'Inputs'!$B$31+'Inputs'!$B$32)/1000+'Inputs'!$B$21)+'Inputs'!$B$7)^2+('Inputs'!$B$6/2)^2)-(((429-43)*MAX('Inputs'!$B$33,'Inputs'!$B$29+'Inputs'!$B$31+'Inputs'!$B$32,'Inputs'!$B$30+'Inputs'!$B$31+'Inputs'!$B$32)/1000+'Inputs'!$B$21))/SQRT((((429-43)*MAX('Inputs'!$B$33,'Inputs'!$B$29+'Inputs'!$B$31+'Inputs'!$B$32,'Inputs'!$B$30+'Inputs'!$B$31+'Inputs'!$B$32)/1000+'Inputs'!$B$21))^2+('Inputs'!$B$6/2)^2)))-'Results'!C7*(1-'Inputs'!$B$24)*(0.5*((((429-43)*MAX('Inputs'!$B$33,'Inputs'!$B$29+'Inputs'!$B$31+'Inputs'!$B$32,'Inputs'!$B$30+'Inputs'!$B$31+'Inputs'!$B$32)/1000+'Inputs'!$B$21+'Inputs'!$B$7+'Inputs'!$B$10)+'Inputs'!$B$9)/SQRT((((429-43)*MAX('Inputs'!$B$33,'Inputs'!$B$29+'Inputs'!$B$31+'Inputs'!$B$32,'Inputs'!$B$30+'Inputs'!$B$31+'Inputs'!$B$32)/1000+'Inputs'!$B$21+'Inputs'!$B$7+'Inputs'!$B$10)+'Inputs'!$B$9)^2+('Inputs'!$B$8/2)^2)-(((429-43)*MAX('Inputs'!$B$33,'Inputs'!$B$29+'Inputs'!$B$31+'Inputs'!$B$32,'Inputs'!$B$30+'Inputs'!$B$31+'Inputs'!$B$32)/1000+'Inputs'!$B$21+'Inputs'!$B$7+'Inputs'!$B$10))/SQRT((((429-43)*MAX('Inputs'!$B$33,'Inputs'!$B$29+'Inputs'!$B$31+'Inputs'!$B$32,'Inputs'!$B$30+'Inputs'!$B$31+'Inputs'!$B$32)/1000+'Inputs'!$B$21+'Inputs'!$B$7+'Inputs'!$B$10))^2+('Inputs'!$B$8/2)^2))))*'Results'!$B$8))),"")</x:f>
        <x:v>11.02451467651014</x:v>
      </x:c>
      <x:c r="M429" t="n">
        <x:f>IF(AND(ISNUMBER('Results'!C7),ISNUMBER('Results'!B7),ISNUMBER('Results'!$B$8),ISNUMBER('Inputs'!$B$6),ISNUMBER('Inputs'!$B$7),ISNUMBER('Inputs'!$B$8),ISNUMBER('Inputs'!$B$9),ISNUMBER('Inputs'!$B$10),ISNUMBER('Inputs'!$B$21),ISNUMBER('Inputs'!$B$24),ISNUMBER('Inputs'!$B$28)),(('Results'!C7*(0.5*((((429-43)*MAX('Inputs'!$B$33,'Inputs'!$B$29+'Inputs'!$B$31+'Inputs'!$B$32,'Inputs'!$B$30+'Inputs'!$B$31+'Inputs'!$B$32)/1000+'Inputs'!$B$21)+'Inputs'!$B$9)/SQRT((((429-43)*MAX('Inputs'!$B$33,'Inputs'!$B$29+'Inputs'!$B$31+'Inputs'!$B$32,'Inputs'!$B$30+'Inputs'!$B$31+'Inputs'!$B$32)/1000+'Inputs'!$B$21)+'Inputs'!$B$9)^2+('Inputs'!$B$8/2)^2)-(((429-43)*MAX('Inputs'!$B$33,'Inputs'!$B$29+'Inputs'!$B$31+'Inputs'!$B$32,'Inputs'!$B$30+'Inputs'!$B$31+'Inputs'!$B$32)/1000+'Inputs'!$B$21))/SQRT((((429-43)*MAX('Inputs'!$B$33,'Inputs'!$B$29+'Inputs'!$B$31+'Inputs'!$B$32,'Inputs'!$B$30+'Inputs'!$B$31+'Inputs'!$B$32)/1000+'Inputs'!$B$21))^2+('Inputs'!$B$8/2)^2)))-'Results'!B7*(0.5*((((429-43)*MAX('Inputs'!$B$33,'Inputs'!$B$29+'Inputs'!$B$31+'Inputs'!$B$32,'Inputs'!$B$30+'Inputs'!$B$31+'Inputs'!$B$32)/1000+'Inputs'!$B$21+'Inputs'!$B$9+'Inputs'!$B$10)+'Inputs'!$B$7)/SQRT((((429-43)*MAX('Inputs'!$B$33,'Inputs'!$B$29+'Inputs'!$B$31+'Inputs'!$B$32,'Inputs'!$B$30+'Inputs'!$B$31+'Inputs'!$B$32)/1000+'Inputs'!$B$21+'Inputs'!$B$9+'Inputs'!$B$10)+'Inputs'!$B$7)^2+('Inputs'!$B$6/2)^2)-(((429-43)*MAX('Inputs'!$B$33,'Inputs'!$B$29+'Inputs'!$B$31+'Inputs'!$B$32,'Inputs'!$B$30+'Inputs'!$B$31+'Inputs'!$B$32)/1000+'Inputs'!$B$21+'Inputs'!$B$9+'Inputs'!$B$10))/SQRT((((429-43)*MAX('Inputs'!$B$33,'Inputs'!$B$29+'Inputs'!$B$31+'Inputs'!$B$32,'Inputs'!$B$30+'Inputs'!$B$31+'Inputs'!$B$32)/1000+'Inputs'!$B$21+'Inputs'!$B$9+'Inputs'!$B$10))^2+('Inputs'!$B$6/2)^2))))*'Results'!$B$8),"")</x:f>
        <x:v>9.38157466854058</x:v>
      </x:c>
      <x:c r="N429" t="n">
        <x:f>IF(AND(ISNUMBER('Results'!C7),ISNUMBER('Results'!B7),ISNUMBER('Results'!$B$8),ISNUMBER('Inputs'!$B$6),ISNUMBER('Inputs'!$B$7),ISNUMBER('Inputs'!$B$8),ISNUMBER('Inputs'!$B$9),ISNUMBER('Inputs'!$B$10),ISNUMBER('Inputs'!$B$21),ISNUMBER('Inputs'!$B$24),ISNUMBER('Inputs'!$B$28)),((('Results'!C7*(1-'Inputs'!$B$24)*(0.5*((((429-43)*MAX('Inputs'!$B$33,'Inputs'!$B$29+'Inputs'!$B$31+'Inputs'!$B$32,'Inputs'!$B$30+'Inputs'!$B$31+'Inputs'!$B$32)/1000+'Inputs'!$B$21)+'Inputs'!$B$9)/SQRT((((429-43)*MAX('Inputs'!$B$33,'Inputs'!$B$29+'Inputs'!$B$31+'Inputs'!$B$32,'Inputs'!$B$30+'Inputs'!$B$31+'Inputs'!$B$32)/1000+'Inputs'!$B$21)+'Inputs'!$B$9)^2+('Inputs'!$B$8/2)^2)-(((429-43)*MAX('Inputs'!$B$33,'Inputs'!$B$29+'Inputs'!$B$31+'Inputs'!$B$32,'Inputs'!$B$30+'Inputs'!$B$31+'Inputs'!$B$32)/1000+'Inputs'!$B$21))/SQRT((((429-43)*MAX('Inputs'!$B$33,'Inputs'!$B$29+'Inputs'!$B$31+'Inputs'!$B$32,'Inputs'!$B$30+'Inputs'!$B$31+'Inputs'!$B$32)/1000+'Inputs'!$B$21))^2+('Inputs'!$B$8/2)^2)))-'Results'!B7*(1+'Inputs'!$B$24)*(0.5*((((429-43)*MAX('Inputs'!$B$33,'Inputs'!$B$29+'Inputs'!$B$31+'Inputs'!$B$32,'Inputs'!$B$30+'Inputs'!$B$31+'Inputs'!$B$32)/1000+'Inputs'!$B$21+'Inputs'!$B$9+'Inputs'!$B$10)+'Inputs'!$B$7)/SQRT((((429-43)*MAX('Inputs'!$B$33,'Inputs'!$B$29+'Inputs'!$B$31+'Inputs'!$B$32,'Inputs'!$B$30+'Inputs'!$B$31+'Inputs'!$B$32)/1000+'Inputs'!$B$21+'Inputs'!$B$9+'Inputs'!$B$10)+'Inputs'!$B$7)^2+('Inputs'!$B$6/2)^2)-(((429-43)*MAX('Inputs'!$B$33,'Inputs'!$B$29+'Inputs'!$B$31+'Inputs'!$B$32,'Inputs'!$B$30+'Inputs'!$B$31+'Inputs'!$B$32)/1000+'Inputs'!$B$21+'Inputs'!$B$9+'Inputs'!$B$10))/SQRT((((429-43)*MAX('Inputs'!$B$33,'Inputs'!$B$29+'Inputs'!$B$31+'Inputs'!$B$32,'Inputs'!$B$30+'Inputs'!$B$31+'Inputs'!$B$32)/1000+'Inputs'!$B$21+'Inputs'!$B$9+'Inputs'!$B$10))^2+('Inputs'!$B$6/2)^2))))*'Results'!$B$8)-'Inputs'!$B$28*ABS((('Results'!C7*(1-'Inputs'!$B$24)*(0.5*((((429-43)*MAX('Inputs'!$B$33,'Inputs'!$B$29+'Inputs'!$B$31+'Inputs'!$B$32,'Inputs'!$B$30+'Inputs'!$B$31+'Inputs'!$B$32)/1000+'Inputs'!$B$21)+'Inputs'!$B$9)/SQRT((((429-43)*MAX('Inputs'!$B$33,'Inputs'!$B$29+'Inputs'!$B$31+'Inputs'!$B$32,'Inputs'!$B$30+'Inputs'!$B$31+'Inputs'!$B$32)/1000+'Inputs'!$B$21)+'Inputs'!$B$9)^2+('Inputs'!$B$8/2)^2)-(((429-43)*MAX('Inputs'!$B$33,'Inputs'!$B$29+'Inputs'!$B$31+'Inputs'!$B$32,'Inputs'!$B$30+'Inputs'!$B$31+'Inputs'!$B$32)/1000+'Inputs'!$B$21))/SQRT((((429-43)*MAX('Inputs'!$B$33,'Inputs'!$B$29+'Inputs'!$B$31+'Inputs'!$B$32,'Inputs'!$B$30+'Inputs'!$B$31+'Inputs'!$B$32)/1000+'Inputs'!$B$21))^2+('Inputs'!$B$8/2)^2)))-'Results'!B7*(1+'Inputs'!$B$24)*(0.5*((((429-43)*MAX('Inputs'!$B$33,'Inputs'!$B$29+'Inputs'!$B$31+'Inputs'!$B$32,'Inputs'!$B$30+'Inputs'!$B$31+'Inputs'!$B$32)/1000+'Inputs'!$B$21+'Inputs'!$B$9+'Inputs'!$B$10)+'Inputs'!$B$7)/SQRT((((429-43)*MAX('Inputs'!$B$33,'Inputs'!$B$29+'Inputs'!$B$31+'Inputs'!$B$32,'Inputs'!$B$30+'Inputs'!$B$31+'Inputs'!$B$32)/1000+'Inputs'!$B$21+'Inputs'!$B$9+'Inputs'!$B$10)+'Inputs'!$B$7)^2+('Inputs'!$B$6/2)^2)-(((429-43)*MAX('Inputs'!$B$33,'Inputs'!$B$29+'Inputs'!$B$31+'Inputs'!$B$32,'Inputs'!$B$30+'Inputs'!$B$31+'Inputs'!$B$32)/1000+'Inputs'!$B$21+'Inputs'!$B$9+'Inputs'!$B$10))/SQRT((((429-43)*MAX('Inputs'!$B$33,'Inputs'!$B$29+'Inputs'!$B$31+'Inputs'!$B$32,'Inputs'!$B$30+'Inputs'!$B$31+'Inputs'!$B$32)/1000+'Inputs'!$B$21+'Inputs'!$B$9+'Inputs'!$B$10))^2+('Inputs'!$B$6/2)^2))))*'Results'!$B$8))),"")</x:f>
        <x:v>8.38690877855565</x:v>
      </x:c>
      <x:c r="O429" t="n">
        <x:f>IF(AND(ISNUMBER('Results'!C7),ISNUMBER('Results'!B7),ISNUMBER('Results'!$B$8),ISNUMBER('Inputs'!$B$6),ISNUMBER('Inputs'!$B$7),ISNUMBER('Inputs'!$B$8),ISNUMBER('Inputs'!$B$9),ISNUMBER('Inputs'!$B$10),ISNUMBER('Inputs'!$B$21),ISNUMBER('Inputs'!$B$24),ISNUMBER('Inputs'!$B$28)),((('Results'!C7*(1+'Inputs'!$B$24)*(0.5*((((429-43)*MAX('Inputs'!$B$33,'Inputs'!$B$29+'Inputs'!$B$31+'Inputs'!$B$32,'Inputs'!$B$30+'Inputs'!$B$31+'Inputs'!$B$32)/1000+'Inputs'!$B$21)+'Inputs'!$B$9)/SQRT((((429-43)*MAX('Inputs'!$B$33,'Inputs'!$B$29+'Inputs'!$B$31+'Inputs'!$B$32,'Inputs'!$B$30+'Inputs'!$B$31+'Inputs'!$B$32)/1000+'Inputs'!$B$21)+'Inputs'!$B$9)^2+('Inputs'!$B$8/2)^2)-(((429-43)*MAX('Inputs'!$B$33,'Inputs'!$B$29+'Inputs'!$B$31+'Inputs'!$B$32,'Inputs'!$B$30+'Inputs'!$B$31+'Inputs'!$B$32)/1000+'Inputs'!$B$21))/SQRT((((429-43)*MAX('Inputs'!$B$33,'Inputs'!$B$29+'Inputs'!$B$31+'Inputs'!$B$32,'Inputs'!$B$30+'Inputs'!$B$31+'Inputs'!$B$32)/1000+'Inputs'!$B$21))^2+('Inputs'!$B$8/2)^2)))-'Results'!B7*(1-'Inputs'!$B$24)*(0.5*((((429-43)*MAX('Inputs'!$B$33,'Inputs'!$B$29+'Inputs'!$B$31+'Inputs'!$B$32,'Inputs'!$B$30+'Inputs'!$B$31+'Inputs'!$B$32)/1000+'Inputs'!$B$21+'Inputs'!$B$9+'Inputs'!$B$10)+'Inputs'!$B$7)/SQRT((((429-43)*MAX('Inputs'!$B$33,'Inputs'!$B$29+'Inputs'!$B$31+'Inputs'!$B$32,'Inputs'!$B$30+'Inputs'!$B$31+'Inputs'!$B$32)/1000+'Inputs'!$B$21+'Inputs'!$B$9+'Inputs'!$B$10)+'Inputs'!$B$7)^2+('Inputs'!$B$6/2)^2)-(((429-43)*MAX('Inputs'!$B$33,'Inputs'!$B$29+'Inputs'!$B$31+'Inputs'!$B$32,'Inputs'!$B$30+'Inputs'!$B$31+'Inputs'!$B$32)/1000+'Inputs'!$B$21+'Inputs'!$B$9+'Inputs'!$B$10))/SQRT((((429-43)*MAX('Inputs'!$B$33,'Inputs'!$B$29+'Inputs'!$B$31+'Inputs'!$B$32,'Inputs'!$B$30+'Inputs'!$B$31+'Inputs'!$B$32)/1000+'Inputs'!$B$21+'Inputs'!$B$9+'Inputs'!$B$10))^2+('Inputs'!$B$6/2)^2))))*'Results'!$B$8)+'Inputs'!$B$28*ABS((('Results'!C7*(1+'Inputs'!$B$24)*(0.5*((((429-43)*MAX('Inputs'!$B$33,'Inputs'!$B$29+'Inputs'!$B$31+'Inputs'!$B$32,'Inputs'!$B$30+'Inputs'!$B$31+'Inputs'!$B$32)/1000+'Inputs'!$B$21)+'Inputs'!$B$9)/SQRT((((429-43)*MAX('Inputs'!$B$33,'Inputs'!$B$29+'Inputs'!$B$31+'Inputs'!$B$32,'Inputs'!$B$30+'Inputs'!$B$31+'Inputs'!$B$32)/1000+'Inputs'!$B$21)+'Inputs'!$B$9)^2+('Inputs'!$B$8/2)^2)-(((429-43)*MAX('Inputs'!$B$33,'Inputs'!$B$29+'Inputs'!$B$31+'Inputs'!$B$32,'Inputs'!$B$30+'Inputs'!$B$31+'Inputs'!$B$32)/1000+'Inputs'!$B$21))/SQRT((((429-43)*MAX('Inputs'!$B$33,'Inputs'!$B$29+'Inputs'!$B$31+'Inputs'!$B$32,'Inputs'!$B$30+'Inputs'!$B$31+'Inputs'!$B$32)/1000+'Inputs'!$B$21))^2+('Inputs'!$B$8/2)^2)))-'Results'!B7*(1-'Inputs'!$B$24)*(0.5*((((429-43)*MAX('Inputs'!$B$33,'Inputs'!$B$29+'Inputs'!$B$31+'Inputs'!$B$32,'Inputs'!$B$30+'Inputs'!$B$31+'Inputs'!$B$32)/1000+'Inputs'!$B$21+'Inputs'!$B$9+'Inputs'!$B$10)+'Inputs'!$B$7)/SQRT((((429-43)*MAX('Inputs'!$B$33,'Inputs'!$B$29+'Inputs'!$B$31+'Inputs'!$B$32,'Inputs'!$B$30+'Inputs'!$B$31+'Inputs'!$B$32)/1000+'Inputs'!$B$21+'Inputs'!$B$9+'Inputs'!$B$10)+'Inputs'!$B$7)^2+('Inputs'!$B$6/2)^2)-(((429-43)*MAX('Inputs'!$B$33,'Inputs'!$B$29+'Inputs'!$B$31+'Inputs'!$B$32,'Inputs'!$B$30+'Inputs'!$B$31+'Inputs'!$B$32)/1000+'Inputs'!$B$21+'Inputs'!$B$9+'Inputs'!$B$10))/SQRT((((429-43)*MAX('Inputs'!$B$33,'Inputs'!$B$29+'Inputs'!$B$31+'Inputs'!$B$32,'Inputs'!$B$30+'Inputs'!$B$31+'Inputs'!$B$32)/1000+'Inputs'!$B$21+'Inputs'!$B$9+'Inputs'!$B$10))^2+('Inputs'!$B$6/2)^2))))*'Results'!$B$8))),"")</x:f>
        <x:v>10.431565522373715</x:v>
      </x:c>
      <x:c r="P429" t="n">
        <x:f>IF(AND(MAX(J429,J428)&gt;0,J429&gt;J428+0.00000001),1,0)</x:f>
        <x:v>0</x:v>
      </x:c>
      <x:c r="Q429" t="n">
        <x:f>IF(AND(MAX(K429,K428)&gt;0,K429&gt;K428+0.00000001),1,0)</x:f>
        <x:v>0</x:v>
      </x:c>
      <x:c r="R429" t="n">
        <x:f>IF(AND(MAX(L429,L428)&gt;0,L429&gt;L428+0.00000001),1,0)</x:f>
        <x:v>0</x:v>
      </x:c>
      <x:c r="S429" t="n">
        <x:f>IF(AND(MAX(M429,M428)&gt;0,M429&gt;M428+0.00000001),1,0)</x:f>
        <x:v>0</x:v>
      </x:c>
      <x:c r="T429" t="n">
        <x:f>IF(AND(MAX(N429,N428)&gt;0,N429&gt;N428+0.00000001),1,0)</x:f>
        <x:v>0</x:v>
      </x:c>
      <x:c r="U429" t="n">
        <x:f>IF(AND(MAX(O429,O428)&gt;0,O429&gt;O428+0.00000001),1,0)</x:f>
        <x:v>0</x:v>
      </x:c>
    </x:row>
    <x:row r="430">
      <x:c r="J430" t="n">
        <x:f>IF(AND(ISNUMBER('Results'!B7),ISNUMBER('Results'!C7),ISNUMBER('Results'!$B$8),ISNUMBER('Inputs'!$B$6),ISNUMBER('Inputs'!$B$7),ISNUMBER('Inputs'!$B$8),ISNUMBER('Inputs'!$B$9),ISNUMBER('Inputs'!$B$10),ISNUMBER('Inputs'!$B$21),ISNUMBER('Inputs'!$B$24),ISNUMBER('Inputs'!$B$28)),(('Results'!B7*(0.5*((((430-43)*MAX('Inputs'!$B$33,'Inputs'!$B$29+'Inputs'!$B$31+'Inputs'!$B$32,'Inputs'!$B$30+'Inputs'!$B$31+'Inputs'!$B$32)/1000+'Inputs'!$B$21)+'Inputs'!$B$7)/SQRT((((430-43)*MAX('Inputs'!$B$33,'Inputs'!$B$29+'Inputs'!$B$31+'Inputs'!$B$32,'Inputs'!$B$30+'Inputs'!$B$31+'Inputs'!$B$32)/1000+'Inputs'!$B$21)+'Inputs'!$B$7)^2+('Inputs'!$B$6/2)^2)-(((430-43)*MAX('Inputs'!$B$33,'Inputs'!$B$29+'Inputs'!$B$31+'Inputs'!$B$32,'Inputs'!$B$30+'Inputs'!$B$31+'Inputs'!$B$32)/1000+'Inputs'!$B$21))/SQRT((((430-43)*MAX('Inputs'!$B$33,'Inputs'!$B$29+'Inputs'!$B$31+'Inputs'!$B$32,'Inputs'!$B$30+'Inputs'!$B$31+'Inputs'!$B$32)/1000+'Inputs'!$B$21))^2+('Inputs'!$B$6/2)^2)))-'Results'!C7*(0.5*((((430-43)*MAX('Inputs'!$B$33,'Inputs'!$B$29+'Inputs'!$B$31+'Inputs'!$B$32,'Inputs'!$B$30+'Inputs'!$B$31+'Inputs'!$B$32)/1000+'Inputs'!$B$21+'Inputs'!$B$7+'Inputs'!$B$10)+'Inputs'!$B$9)/SQRT((((430-43)*MAX('Inputs'!$B$33,'Inputs'!$B$29+'Inputs'!$B$31+'Inputs'!$B$32,'Inputs'!$B$30+'Inputs'!$B$31+'Inputs'!$B$32)/1000+'Inputs'!$B$21+'Inputs'!$B$7+'Inputs'!$B$10)+'Inputs'!$B$9)^2+('Inputs'!$B$8/2)^2)-(((430-43)*MAX('Inputs'!$B$33,'Inputs'!$B$29+'Inputs'!$B$31+'Inputs'!$B$32,'Inputs'!$B$30+'Inputs'!$B$31+'Inputs'!$B$32)/1000+'Inputs'!$B$21+'Inputs'!$B$7+'Inputs'!$B$10))/SQRT((((430-43)*MAX('Inputs'!$B$33,'Inputs'!$B$29+'Inputs'!$B$31+'Inputs'!$B$32,'Inputs'!$B$30+'Inputs'!$B$31+'Inputs'!$B$32)/1000+'Inputs'!$B$21+'Inputs'!$B$7+'Inputs'!$B$10))^2+('Inputs'!$B$8/2)^2))))*'Results'!$B$8),"")</x:f>
        <x:v>9.858435170095602</x:v>
      </x:c>
      <x:c r="K430" t="n">
        <x:f>IF(AND(ISNUMBER('Results'!B7),ISNUMBER('Results'!C7),ISNUMBER('Results'!$B$8),ISNUMBER('Inputs'!$B$6),ISNUMBER('Inputs'!$B$7),ISNUMBER('Inputs'!$B$8),ISNUMBER('Inputs'!$B$9),ISNUMBER('Inputs'!$B$10),ISNUMBER('Inputs'!$B$21),ISNUMBER('Inputs'!$B$24),ISNUMBER('Inputs'!$B$28)),((('Results'!B7*(1-'Inputs'!$B$24)*(0.5*((((430-43)*MAX('Inputs'!$B$33,'Inputs'!$B$29+'Inputs'!$B$31+'Inputs'!$B$32,'Inputs'!$B$30+'Inputs'!$B$31+'Inputs'!$B$32)/1000+'Inputs'!$B$21)+'Inputs'!$B$7)/SQRT((((430-43)*MAX('Inputs'!$B$33,'Inputs'!$B$29+'Inputs'!$B$31+'Inputs'!$B$32,'Inputs'!$B$30+'Inputs'!$B$31+'Inputs'!$B$32)/1000+'Inputs'!$B$21)+'Inputs'!$B$7)^2+('Inputs'!$B$6/2)^2)-(((430-43)*MAX('Inputs'!$B$33,'Inputs'!$B$29+'Inputs'!$B$31+'Inputs'!$B$32,'Inputs'!$B$30+'Inputs'!$B$31+'Inputs'!$B$32)/1000+'Inputs'!$B$21))/SQRT((((430-43)*MAX('Inputs'!$B$33,'Inputs'!$B$29+'Inputs'!$B$31+'Inputs'!$B$32,'Inputs'!$B$30+'Inputs'!$B$31+'Inputs'!$B$32)/1000+'Inputs'!$B$21))^2+('Inputs'!$B$6/2)^2)))-'Results'!C7*(1+'Inputs'!$B$24)*(0.5*((((430-43)*MAX('Inputs'!$B$33,'Inputs'!$B$29+'Inputs'!$B$31+'Inputs'!$B$32,'Inputs'!$B$30+'Inputs'!$B$31+'Inputs'!$B$32)/1000+'Inputs'!$B$21+'Inputs'!$B$7+'Inputs'!$B$10)+'Inputs'!$B$9)/SQRT((((430-43)*MAX('Inputs'!$B$33,'Inputs'!$B$29+'Inputs'!$B$31+'Inputs'!$B$32,'Inputs'!$B$30+'Inputs'!$B$31+'Inputs'!$B$32)/1000+'Inputs'!$B$21+'Inputs'!$B$7+'Inputs'!$B$10)+'Inputs'!$B$9)^2+('Inputs'!$B$8/2)^2)-(((430-43)*MAX('Inputs'!$B$33,'Inputs'!$B$29+'Inputs'!$B$31+'Inputs'!$B$32,'Inputs'!$B$30+'Inputs'!$B$31+'Inputs'!$B$32)/1000+'Inputs'!$B$21+'Inputs'!$B$7+'Inputs'!$B$10))/SQRT((((430-43)*MAX('Inputs'!$B$33,'Inputs'!$B$29+'Inputs'!$B$31+'Inputs'!$B$32,'Inputs'!$B$30+'Inputs'!$B$31+'Inputs'!$B$32)/1000+'Inputs'!$B$21+'Inputs'!$B$7+'Inputs'!$B$10))^2+('Inputs'!$B$8/2)^2))))*'Results'!$B$8)-'Inputs'!$B$28*ABS((('Results'!B7*(1-'Inputs'!$B$24)*(0.5*((((430-43)*MAX('Inputs'!$B$33,'Inputs'!$B$29+'Inputs'!$B$31+'Inputs'!$B$32,'Inputs'!$B$30+'Inputs'!$B$31+'Inputs'!$B$32)/1000+'Inputs'!$B$21)+'Inputs'!$B$7)/SQRT((((430-43)*MAX('Inputs'!$B$33,'Inputs'!$B$29+'Inputs'!$B$31+'Inputs'!$B$32,'Inputs'!$B$30+'Inputs'!$B$31+'Inputs'!$B$32)/1000+'Inputs'!$B$21)+'Inputs'!$B$7)^2+('Inputs'!$B$6/2)^2)-(((430-43)*MAX('Inputs'!$B$33,'Inputs'!$B$29+'Inputs'!$B$31+'Inputs'!$B$32,'Inputs'!$B$30+'Inputs'!$B$31+'Inputs'!$B$32)/1000+'Inputs'!$B$21))/SQRT((((430-43)*MAX('Inputs'!$B$33,'Inputs'!$B$29+'Inputs'!$B$31+'Inputs'!$B$32,'Inputs'!$B$30+'Inputs'!$B$31+'Inputs'!$B$32)/1000+'Inputs'!$B$21))^2+('Inputs'!$B$6/2)^2)))-'Results'!C7*(1+'Inputs'!$B$24)*(0.5*((((430-43)*MAX('Inputs'!$B$33,'Inputs'!$B$29+'Inputs'!$B$31+'Inputs'!$B$32,'Inputs'!$B$30+'Inputs'!$B$31+'Inputs'!$B$32)/1000+'Inputs'!$B$21+'Inputs'!$B$7+'Inputs'!$B$10)+'Inputs'!$B$9)/SQRT((((430-43)*MAX('Inputs'!$B$33,'Inputs'!$B$29+'Inputs'!$B$31+'Inputs'!$B$32,'Inputs'!$B$30+'Inputs'!$B$31+'Inputs'!$B$32)/1000+'Inputs'!$B$21+'Inputs'!$B$7+'Inputs'!$B$10)+'Inputs'!$B$9)^2+('Inputs'!$B$8/2)^2)-(((430-43)*MAX('Inputs'!$B$33,'Inputs'!$B$29+'Inputs'!$B$31+'Inputs'!$B$32,'Inputs'!$B$30+'Inputs'!$B$31+'Inputs'!$B$32)/1000+'Inputs'!$B$21+'Inputs'!$B$7+'Inputs'!$B$10))/SQRT((((430-43)*MAX('Inputs'!$B$33,'Inputs'!$B$29+'Inputs'!$B$31+'Inputs'!$B$32,'Inputs'!$B$30+'Inputs'!$B$31+'Inputs'!$B$32)/1000+'Inputs'!$B$21+'Inputs'!$B$7+'Inputs'!$B$10))^2+('Inputs'!$B$8/2)^2))))*'Results'!$B$8))),"")</x:f>
        <x:v>8.839726122205654</x:v>
      </x:c>
      <x:c r="L430" t="n">
        <x:f>IF(AND(ISNUMBER('Results'!B7),ISNUMBER('Results'!C7),ISNUMBER('Results'!$B$8),ISNUMBER('Inputs'!$B$6),ISNUMBER('Inputs'!$B$7),ISNUMBER('Inputs'!$B$8),ISNUMBER('Inputs'!$B$9),ISNUMBER('Inputs'!$B$10),ISNUMBER('Inputs'!$B$21),ISNUMBER('Inputs'!$B$24),ISNUMBER('Inputs'!$B$28)),((('Results'!B7*(1+'Inputs'!$B$24)*(0.5*((((430-43)*MAX('Inputs'!$B$33,'Inputs'!$B$29+'Inputs'!$B$31+'Inputs'!$B$32,'Inputs'!$B$30+'Inputs'!$B$31+'Inputs'!$B$32)/1000+'Inputs'!$B$21)+'Inputs'!$B$7)/SQRT((((430-43)*MAX('Inputs'!$B$33,'Inputs'!$B$29+'Inputs'!$B$31+'Inputs'!$B$32,'Inputs'!$B$30+'Inputs'!$B$31+'Inputs'!$B$32)/1000+'Inputs'!$B$21)+'Inputs'!$B$7)^2+('Inputs'!$B$6/2)^2)-(((430-43)*MAX('Inputs'!$B$33,'Inputs'!$B$29+'Inputs'!$B$31+'Inputs'!$B$32,'Inputs'!$B$30+'Inputs'!$B$31+'Inputs'!$B$32)/1000+'Inputs'!$B$21))/SQRT((((430-43)*MAX('Inputs'!$B$33,'Inputs'!$B$29+'Inputs'!$B$31+'Inputs'!$B$32,'Inputs'!$B$30+'Inputs'!$B$31+'Inputs'!$B$32)/1000+'Inputs'!$B$21))^2+('Inputs'!$B$6/2)^2)))-'Results'!C7*(1-'Inputs'!$B$24)*(0.5*((((430-43)*MAX('Inputs'!$B$33,'Inputs'!$B$29+'Inputs'!$B$31+'Inputs'!$B$32,'Inputs'!$B$30+'Inputs'!$B$31+'Inputs'!$B$32)/1000+'Inputs'!$B$21+'Inputs'!$B$7+'Inputs'!$B$10)+'Inputs'!$B$9)/SQRT((((430-43)*MAX('Inputs'!$B$33,'Inputs'!$B$29+'Inputs'!$B$31+'Inputs'!$B$32,'Inputs'!$B$30+'Inputs'!$B$31+'Inputs'!$B$32)/1000+'Inputs'!$B$21+'Inputs'!$B$7+'Inputs'!$B$10)+'Inputs'!$B$9)^2+('Inputs'!$B$8/2)^2)-(((430-43)*MAX('Inputs'!$B$33,'Inputs'!$B$29+'Inputs'!$B$31+'Inputs'!$B$32,'Inputs'!$B$30+'Inputs'!$B$31+'Inputs'!$B$32)/1000+'Inputs'!$B$21+'Inputs'!$B$7+'Inputs'!$B$10))/SQRT((((430-43)*MAX('Inputs'!$B$33,'Inputs'!$B$29+'Inputs'!$B$31+'Inputs'!$B$32,'Inputs'!$B$30+'Inputs'!$B$31+'Inputs'!$B$32)/1000+'Inputs'!$B$21+'Inputs'!$B$7+'Inputs'!$B$10))^2+('Inputs'!$B$8/2)^2))))*'Results'!$B$8)+'Inputs'!$B$28*ABS((('Results'!B7*(1+'Inputs'!$B$24)*(0.5*((((430-43)*MAX('Inputs'!$B$33,'Inputs'!$B$29+'Inputs'!$B$31+'Inputs'!$B$32,'Inputs'!$B$30+'Inputs'!$B$31+'Inputs'!$B$32)/1000+'Inputs'!$B$21)+'Inputs'!$B$7)/SQRT((((430-43)*MAX('Inputs'!$B$33,'Inputs'!$B$29+'Inputs'!$B$31+'Inputs'!$B$32,'Inputs'!$B$30+'Inputs'!$B$31+'Inputs'!$B$32)/1000+'Inputs'!$B$21)+'Inputs'!$B$7)^2+('Inputs'!$B$6/2)^2)-(((430-43)*MAX('Inputs'!$B$33,'Inputs'!$B$29+'Inputs'!$B$31+'Inputs'!$B$32,'Inputs'!$B$30+'Inputs'!$B$31+'Inputs'!$B$32)/1000+'Inputs'!$B$21))/SQRT((((430-43)*MAX('Inputs'!$B$33,'Inputs'!$B$29+'Inputs'!$B$31+'Inputs'!$B$32,'Inputs'!$B$30+'Inputs'!$B$31+'Inputs'!$B$32)/1000+'Inputs'!$B$21))^2+('Inputs'!$B$6/2)^2)))-'Results'!C7*(1-'Inputs'!$B$24)*(0.5*((((430-43)*MAX('Inputs'!$B$33,'Inputs'!$B$29+'Inputs'!$B$31+'Inputs'!$B$32,'Inputs'!$B$30+'Inputs'!$B$31+'Inputs'!$B$32)/1000+'Inputs'!$B$21+'Inputs'!$B$7+'Inputs'!$B$10)+'Inputs'!$B$9)/SQRT((((430-43)*MAX('Inputs'!$B$33,'Inputs'!$B$29+'Inputs'!$B$31+'Inputs'!$B$32,'Inputs'!$B$30+'Inputs'!$B$31+'Inputs'!$B$32)/1000+'Inputs'!$B$21+'Inputs'!$B$7+'Inputs'!$B$10)+'Inputs'!$B$9)^2+('Inputs'!$B$8/2)^2)-(((430-43)*MAX('Inputs'!$B$33,'Inputs'!$B$29+'Inputs'!$B$31+'Inputs'!$B$32,'Inputs'!$B$30+'Inputs'!$B$31+'Inputs'!$B$32)/1000+'Inputs'!$B$21+'Inputs'!$B$7+'Inputs'!$B$10))/SQRT((((430-43)*MAX('Inputs'!$B$33,'Inputs'!$B$29+'Inputs'!$B$31+'Inputs'!$B$32,'Inputs'!$B$30+'Inputs'!$B$31+'Inputs'!$B$32)/1000+'Inputs'!$B$21+'Inputs'!$B$7+'Inputs'!$B$10))^2+('Inputs'!$B$8/2)^2))))*'Results'!$B$8))),"")</x:f>
        <x:v>10.93249024844714</x:v>
      </x:c>
      <x:c r="M430" t="n">
        <x:f>IF(AND(ISNUMBER('Results'!C7),ISNUMBER('Results'!B7),ISNUMBER('Results'!$B$8),ISNUMBER('Inputs'!$B$6),ISNUMBER('Inputs'!$B$7),ISNUMBER('Inputs'!$B$8),ISNUMBER('Inputs'!$B$9),ISNUMBER('Inputs'!$B$10),ISNUMBER('Inputs'!$B$21),ISNUMBER('Inputs'!$B$24),ISNUMBER('Inputs'!$B$28)),(('Results'!C7*(0.5*((((430-43)*MAX('Inputs'!$B$33,'Inputs'!$B$29+'Inputs'!$B$31+'Inputs'!$B$32,'Inputs'!$B$30+'Inputs'!$B$31+'Inputs'!$B$32)/1000+'Inputs'!$B$21)+'Inputs'!$B$9)/SQRT((((430-43)*MAX('Inputs'!$B$33,'Inputs'!$B$29+'Inputs'!$B$31+'Inputs'!$B$32,'Inputs'!$B$30+'Inputs'!$B$31+'Inputs'!$B$32)/1000+'Inputs'!$B$21)+'Inputs'!$B$9)^2+('Inputs'!$B$8/2)^2)-(((430-43)*MAX('Inputs'!$B$33,'Inputs'!$B$29+'Inputs'!$B$31+'Inputs'!$B$32,'Inputs'!$B$30+'Inputs'!$B$31+'Inputs'!$B$32)/1000+'Inputs'!$B$21))/SQRT((((430-43)*MAX('Inputs'!$B$33,'Inputs'!$B$29+'Inputs'!$B$31+'Inputs'!$B$32,'Inputs'!$B$30+'Inputs'!$B$31+'Inputs'!$B$32)/1000+'Inputs'!$B$21))^2+('Inputs'!$B$8/2)^2)))-'Results'!B7*(0.5*((((430-43)*MAX('Inputs'!$B$33,'Inputs'!$B$29+'Inputs'!$B$31+'Inputs'!$B$32,'Inputs'!$B$30+'Inputs'!$B$31+'Inputs'!$B$32)/1000+'Inputs'!$B$21+'Inputs'!$B$9+'Inputs'!$B$10)+'Inputs'!$B$7)/SQRT((((430-43)*MAX('Inputs'!$B$33,'Inputs'!$B$29+'Inputs'!$B$31+'Inputs'!$B$32,'Inputs'!$B$30+'Inputs'!$B$31+'Inputs'!$B$32)/1000+'Inputs'!$B$21+'Inputs'!$B$9+'Inputs'!$B$10)+'Inputs'!$B$7)^2+('Inputs'!$B$6/2)^2)-(((430-43)*MAX('Inputs'!$B$33,'Inputs'!$B$29+'Inputs'!$B$31+'Inputs'!$B$32,'Inputs'!$B$30+'Inputs'!$B$31+'Inputs'!$B$32)/1000+'Inputs'!$B$21+'Inputs'!$B$9+'Inputs'!$B$10))/SQRT((((430-43)*MAX('Inputs'!$B$33,'Inputs'!$B$29+'Inputs'!$B$31+'Inputs'!$B$32,'Inputs'!$B$30+'Inputs'!$B$31+'Inputs'!$B$32)/1000+'Inputs'!$B$21+'Inputs'!$B$9+'Inputs'!$B$10))^2+('Inputs'!$B$6/2)^2))))*'Results'!$B$8),"")</x:f>
        <x:v>9.30133923689582</x:v>
      </x:c>
      <x:c r="N430" t="n">
        <x:f>IF(AND(ISNUMBER('Results'!C7),ISNUMBER('Results'!B7),ISNUMBER('Results'!$B$8),ISNUMBER('Inputs'!$B$6),ISNUMBER('Inputs'!$B$7),ISNUMBER('Inputs'!$B$8),ISNUMBER('Inputs'!$B$9),ISNUMBER('Inputs'!$B$10),ISNUMBER('Inputs'!$B$21),ISNUMBER('Inputs'!$B$24),ISNUMBER('Inputs'!$B$28)),((('Results'!C7*(1-'Inputs'!$B$24)*(0.5*((((430-43)*MAX('Inputs'!$B$33,'Inputs'!$B$29+'Inputs'!$B$31+'Inputs'!$B$32,'Inputs'!$B$30+'Inputs'!$B$31+'Inputs'!$B$32)/1000+'Inputs'!$B$21)+'Inputs'!$B$9)/SQRT((((430-43)*MAX('Inputs'!$B$33,'Inputs'!$B$29+'Inputs'!$B$31+'Inputs'!$B$32,'Inputs'!$B$30+'Inputs'!$B$31+'Inputs'!$B$32)/1000+'Inputs'!$B$21)+'Inputs'!$B$9)^2+('Inputs'!$B$8/2)^2)-(((430-43)*MAX('Inputs'!$B$33,'Inputs'!$B$29+'Inputs'!$B$31+'Inputs'!$B$32,'Inputs'!$B$30+'Inputs'!$B$31+'Inputs'!$B$32)/1000+'Inputs'!$B$21))/SQRT((((430-43)*MAX('Inputs'!$B$33,'Inputs'!$B$29+'Inputs'!$B$31+'Inputs'!$B$32,'Inputs'!$B$30+'Inputs'!$B$31+'Inputs'!$B$32)/1000+'Inputs'!$B$21))^2+('Inputs'!$B$8/2)^2)))-'Results'!B7*(1+'Inputs'!$B$24)*(0.5*((((430-43)*MAX('Inputs'!$B$33,'Inputs'!$B$29+'Inputs'!$B$31+'Inputs'!$B$32,'Inputs'!$B$30+'Inputs'!$B$31+'Inputs'!$B$32)/1000+'Inputs'!$B$21+'Inputs'!$B$9+'Inputs'!$B$10)+'Inputs'!$B$7)/SQRT((((430-43)*MAX('Inputs'!$B$33,'Inputs'!$B$29+'Inputs'!$B$31+'Inputs'!$B$32,'Inputs'!$B$30+'Inputs'!$B$31+'Inputs'!$B$32)/1000+'Inputs'!$B$21+'Inputs'!$B$9+'Inputs'!$B$10)+'Inputs'!$B$7)^2+('Inputs'!$B$6/2)^2)-(((430-43)*MAX('Inputs'!$B$33,'Inputs'!$B$29+'Inputs'!$B$31+'Inputs'!$B$32,'Inputs'!$B$30+'Inputs'!$B$31+'Inputs'!$B$32)/1000+'Inputs'!$B$21+'Inputs'!$B$9+'Inputs'!$B$10))/SQRT((((430-43)*MAX('Inputs'!$B$33,'Inputs'!$B$29+'Inputs'!$B$31+'Inputs'!$B$32,'Inputs'!$B$30+'Inputs'!$B$31+'Inputs'!$B$32)/1000+'Inputs'!$B$21+'Inputs'!$B$9+'Inputs'!$B$10))^2+('Inputs'!$B$6/2)^2))))*'Results'!$B$8)-'Inputs'!$B$28*ABS((('Results'!C7*(1-'Inputs'!$B$24)*(0.5*((((430-43)*MAX('Inputs'!$B$33,'Inputs'!$B$29+'Inputs'!$B$31+'Inputs'!$B$32,'Inputs'!$B$30+'Inputs'!$B$31+'Inputs'!$B$32)/1000+'Inputs'!$B$21)+'Inputs'!$B$9)/SQRT((((430-43)*MAX('Inputs'!$B$33,'Inputs'!$B$29+'Inputs'!$B$31+'Inputs'!$B$32,'Inputs'!$B$30+'Inputs'!$B$31+'Inputs'!$B$32)/1000+'Inputs'!$B$21)+'Inputs'!$B$9)^2+('Inputs'!$B$8/2)^2)-(((430-43)*MAX('Inputs'!$B$33,'Inputs'!$B$29+'Inputs'!$B$31+'Inputs'!$B$32,'Inputs'!$B$30+'Inputs'!$B$31+'Inputs'!$B$32)/1000+'Inputs'!$B$21))/SQRT((((430-43)*MAX('Inputs'!$B$33,'Inputs'!$B$29+'Inputs'!$B$31+'Inputs'!$B$32,'Inputs'!$B$30+'Inputs'!$B$31+'Inputs'!$B$32)/1000+'Inputs'!$B$21))^2+('Inputs'!$B$8/2)^2)))-'Results'!B7*(1+'Inputs'!$B$24)*(0.5*((((430-43)*MAX('Inputs'!$B$33,'Inputs'!$B$29+'Inputs'!$B$31+'Inputs'!$B$32,'Inputs'!$B$30+'Inputs'!$B$31+'Inputs'!$B$32)/1000+'Inputs'!$B$21+'Inputs'!$B$9+'Inputs'!$B$10)+'Inputs'!$B$7)/SQRT((((430-43)*MAX('Inputs'!$B$33,'Inputs'!$B$29+'Inputs'!$B$31+'Inputs'!$B$32,'Inputs'!$B$30+'Inputs'!$B$31+'Inputs'!$B$32)/1000+'Inputs'!$B$21+'Inputs'!$B$9+'Inputs'!$B$10)+'Inputs'!$B$7)^2+('Inputs'!$B$6/2)^2)-(((430-43)*MAX('Inputs'!$B$33,'Inputs'!$B$29+'Inputs'!$B$31+'Inputs'!$B$32,'Inputs'!$B$30+'Inputs'!$B$31+'Inputs'!$B$32)/1000+'Inputs'!$B$21+'Inputs'!$B$9+'Inputs'!$B$10))/SQRT((((430-43)*MAX('Inputs'!$B$33,'Inputs'!$B$29+'Inputs'!$B$31+'Inputs'!$B$32,'Inputs'!$B$30+'Inputs'!$B$31+'Inputs'!$B$32)/1000+'Inputs'!$B$21+'Inputs'!$B$9+'Inputs'!$B$10))^2+('Inputs'!$B$6/2)^2))))*'Results'!$B$8))),"")</x:f>
        <x:v>8.31416211408741</x:v>
      </x:c>
      <x:c r="O430" t="n">
        <x:f>IF(AND(ISNUMBER('Results'!C7),ISNUMBER('Results'!B7),ISNUMBER('Results'!$B$8),ISNUMBER('Inputs'!$B$6),ISNUMBER('Inputs'!$B$7),ISNUMBER('Inputs'!$B$8),ISNUMBER('Inputs'!$B$9),ISNUMBER('Inputs'!$B$10),ISNUMBER('Inputs'!$B$21),ISNUMBER('Inputs'!$B$24),ISNUMBER('Inputs'!$B$28)),((('Results'!C7*(1+'Inputs'!$B$24)*(0.5*((((430-43)*MAX('Inputs'!$B$33,'Inputs'!$B$29+'Inputs'!$B$31+'Inputs'!$B$32,'Inputs'!$B$30+'Inputs'!$B$31+'Inputs'!$B$32)/1000+'Inputs'!$B$21)+'Inputs'!$B$9)/SQRT((((430-43)*MAX('Inputs'!$B$33,'Inputs'!$B$29+'Inputs'!$B$31+'Inputs'!$B$32,'Inputs'!$B$30+'Inputs'!$B$31+'Inputs'!$B$32)/1000+'Inputs'!$B$21)+'Inputs'!$B$9)^2+('Inputs'!$B$8/2)^2)-(((430-43)*MAX('Inputs'!$B$33,'Inputs'!$B$29+'Inputs'!$B$31+'Inputs'!$B$32,'Inputs'!$B$30+'Inputs'!$B$31+'Inputs'!$B$32)/1000+'Inputs'!$B$21))/SQRT((((430-43)*MAX('Inputs'!$B$33,'Inputs'!$B$29+'Inputs'!$B$31+'Inputs'!$B$32,'Inputs'!$B$30+'Inputs'!$B$31+'Inputs'!$B$32)/1000+'Inputs'!$B$21))^2+('Inputs'!$B$8/2)^2)))-'Results'!B7*(1-'Inputs'!$B$24)*(0.5*((((430-43)*MAX('Inputs'!$B$33,'Inputs'!$B$29+'Inputs'!$B$31+'Inputs'!$B$32,'Inputs'!$B$30+'Inputs'!$B$31+'Inputs'!$B$32)/1000+'Inputs'!$B$21+'Inputs'!$B$9+'Inputs'!$B$10)+'Inputs'!$B$7)/SQRT((((430-43)*MAX('Inputs'!$B$33,'Inputs'!$B$29+'Inputs'!$B$31+'Inputs'!$B$32,'Inputs'!$B$30+'Inputs'!$B$31+'Inputs'!$B$32)/1000+'Inputs'!$B$21+'Inputs'!$B$9+'Inputs'!$B$10)+'Inputs'!$B$7)^2+('Inputs'!$B$6/2)^2)-(((430-43)*MAX('Inputs'!$B$33,'Inputs'!$B$29+'Inputs'!$B$31+'Inputs'!$B$32,'Inputs'!$B$30+'Inputs'!$B$31+'Inputs'!$B$32)/1000+'Inputs'!$B$21+'Inputs'!$B$9+'Inputs'!$B$10))/SQRT((((430-43)*MAX('Inputs'!$B$33,'Inputs'!$B$29+'Inputs'!$B$31+'Inputs'!$B$32,'Inputs'!$B$30+'Inputs'!$B$31+'Inputs'!$B$32)/1000+'Inputs'!$B$21+'Inputs'!$B$9+'Inputs'!$B$10))^2+('Inputs'!$B$6/2)^2))))*'Results'!$B$8)+'Inputs'!$B$28*ABS((('Results'!C7*(1+'Inputs'!$B$24)*(0.5*((((430-43)*MAX('Inputs'!$B$33,'Inputs'!$B$29+'Inputs'!$B$31+'Inputs'!$B$32,'Inputs'!$B$30+'Inputs'!$B$31+'Inputs'!$B$32)/1000+'Inputs'!$B$21)+'Inputs'!$B$9)/SQRT((((430-43)*MAX('Inputs'!$B$33,'Inputs'!$B$29+'Inputs'!$B$31+'Inputs'!$B$32,'Inputs'!$B$30+'Inputs'!$B$31+'Inputs'!$B$32)/1000+'Inputs'!$B$21)+'Inputs'!$B$9)^2+('Inputs'!$B$8/2)^2)-(((430-43)*MAX('Inputs'!$B$33,'Inputs'!$B$29+'Inputs'!$B$31+'Inputs'!$B$32,'Inputs'!$B$30+'Inputs'!$B$31+'Inputs'!$B$32)/1000+'Inputs'!$B$21))/SQRT((((430-43)*MAX('Inputs'!$B$33,'Inputs'!$B$29+'Inputs'!$B$31+'Inputs'!$B$32,'Inputs'!$B$30+'Inputs'!$B$31+'Inputs'!$B$32)/1000+'Inputs'!$B$21))^2+('Inputs'!$B$8/2)^2)))-'Results'!B7*(1-'Inputs'!$B$24)*(0.5*((((430-43)*MAX('Inputs'!$B$33,'Inputs'!$B$29+'Inputs'!$B$31+'Inputs'!$B$32,'Inputs'!$B$30+'Inputs'!$B$31+'Inputs'!$B$32)/1000+'Inputs'!$B$21+'Inputs'!$B$9+'Inputs'!$B$10)+'Inputs'!$B$7)/SQRT((((430-43)*MAX('Inputs'!$B$33,'Inputs'!$B$29+'Inputs'!$B$31+'Inputs'!$B$32,'Inputs'!$B$30+'Inputs'!$B$31+'Inputs'!$B$32)/1000+'Inputs'!$B$21+'Inputs'!$B$9+'Inputs'!$B$10)+'Inputs'!$B$7)^2+('Inputs'!$B$6/2)^2)-(((430-43)*MAX('Inputs'!$B$33,'Inputs'!$B$29+'Inputs'!$B$31+'Inputs'!$B$32,'Inputs'!$B$30+'Inputs'!$B$31+'Inputs'!$B$32)/1000+'Inputs'!$B$21+'Inputs'!$B$9+'Inputs'!$B$10))/SQRT((((430-43)*MAX('Inputs'!$B$33,'Inputs'!$B$29+'Inputs'!$B$31+'Inputs'!$B$32,'Inputs'!$B$30+'Inputs'!$B$31+'Inputs'!$B$32)/1000+'Inputs'!$B$21+'Inputs'!$B$9+'Inputs'!$B$10))^2+('Inputs'!$B$6/2)^2))))*'Results'!$B$8))),"")</x:f>
        <x:v>10.343475324016197</x:v>
      </x:c>
      <x:c r="P430" t="n">
        <x:f>IF(AND(MAX(J430,J429)&gt;0,J430&gt;J429+0.00000001),1,0)</x:f>
        <x:v>0</x:v>
      </x:c>
      <x:c r="Q430" t="n">
        <x:f>IF(AND(MAX(K430,K429)&gt;0,K430&gt;K429+0.00000001),1,0)</x:f>
        <x:v>0</x:v>
      </x:c>
      <x:c r="R430" t="n">
        <x:f>IF(AND(MAX(L430,L429)&gt;0,L430&gt;L429+0.00000001),1,0)</x:f>
        <x:v>0</x:v>
      </x:c>
      <x:c r="S430" t="n">
        <x:f>IF(AND(MAX(M430,M429)&gt;0,M430&gt;M429+0.00000001),1,0)</x:f>
        <x:v>0</x:v>
      </x:c>
      <x:c r="T430" t="n">
        <x:f>IF(AND(MAX(N430,N429)&gt;0,N430&gt;N429+0.00000001),1,0)</x:f>
        <x:v>0</x:v>
      </x:c>
      <x:c r="U430" t="n">
        <x:f>IF(AND(MAX(O430,O429)&gt;0,O430&gt;O429+0.00000001),1,0)</x:f>
        <x:v>0</x:v>
      </x:c>
    </x:row>
    <x:row r="431">
      <x:c r="J431" t="n">
        <x:f>IF(AND(ISNUMBER('Results'!B7),ISNUMBER('Results'!C7),ISNUMBER('Results'!$B$8),ISNUMBER('Inputs'!$B$6),ISNUMBER('Inputs'!$B$7),ISNUMBER('Inputs'!$B$8),ISNUMBER('Inputs'!$B$9),ISNUMBER('Inputs'!$B$10),ISNUMBER('Inputs'!$B$21),ISNUMBER('Inputs'!$B$24),ISNUMBER('Inputs'!$B$28)),(('Results'!B7*(0.5*((((431-43)*MAX('Inputs'!$B$33,'Inputs'!$B$29+'Inputs'!$B$31+'Inputs'!$B$32,'Inputs'!$B$30+'Inputs'!$B$31+'Inputs'!$B$32)/1000+'Inputs'!$B$21)+'Inputs'!$B$7)/SQRT((((431-43)*MAX('Inputs'!$B$33,'Inputs'!$B$29+'Inputs'!$B$31+'Inputs'!$B$32,'Inputs'!$B$30+'Inputs'!$B$31+'Inputs'!$B$32)/1000+'Inputs'!$B$21)+'Inputs'!$B$7)^2+('Inputs'!$B$6/2)^2)-(((431-43)*MAX('Inputs'!$B$33,'Inputs'!$B$29+'Inputs'!$B$31+'Inputs'!$B$32,'Inputs'!$B$30+'Inputs'!$B$31+'Inputs'!$B$32)/1000+'Inputs'!$B$21))/SQRT((((431-43)*MAX('Inputs'!$B$33,'Inputs'!$B$29+'Inputs'!$B$31+'Inputs'!$B$32,'Inputs'!$B$30+'Inputs'!$B$31+'Inputs'!$B$32)/1000+'Inputs'!$B$21))^2+('Inputs'!$B$6/2)^2)))-'Results'!C7*(0.5*((((431-43)*MAX('Inputs'!$B$33,'Inputs'!$B$29+'Inputs'!$B$31+'Inputs'!$B$32,'Inputs'!$B$30+'Inputs'!$B$31+'Inputs'!$B$32)/1000+'Inputs'!$B$21+'Inputs'!$B$7+'Inputs'!$B$10)+'Inputs'!$B$9)/SQRT((((431-43)*MAX('Inputs'!$B$33,'Inputs'!$B$29+'Inputs'!$B$31+'Inputs'!$B$32,'Inputs'!$B$30+'Inputs'!$B$31+'Inputs'!$B$32)/1000+'Inputs'!$B$21+'Inputs'!$B$7+'Inputs'!$B$10)+'Inputs'!$B$9)^2+('Inputs'!$B$8/2)^2)-(((431-43)*MAX('Inputs'!$B$33,'Inputs'!$B$29+'Inputs'!$B$31+'Inputs'!$B$32,'Inputs'!$B$30+'Inputs'!$B$31+'Inputs'!$B$32)/1000+'Inputs'!$B$21+'Inputs'!$B$7+'Inputs'!$B$10))/SQRT((((431-43)*MAX('Inputs'!$B$33,'Inputs'!$B$29+'Inputs'!$B$31+'Inputs'!$B$32,'Inputs'!$B$30+'Inputs'!$B$31+'Inputs'!$B$32)/1000+'Inputs'!$B$21+'Inputs'!$B$7+'Inputs'!$B$10))^2+('Inputs'!$B$8/2)^2))))*'Results'!$B$8),"")</x:f>
        <x:v>9.775369560392445</x:v>
      </x:c>
      <x:c r="K431" t="n">
        <x:f>IF(AND(ISNUMBER('Results'!B7),ISNUMBER('Results'!C7),ISNUMBER('Results'!$B$8),ISNUMBER('Inputs'!$B$6),ISNUMBER('Inputs'!$B$7),ISNUMBER('Inputs'!$B$8),ISNUMBER('Inputs'!$B$9),ISNUMBER('Inputs'!$B$10),ISNUMBER('Inputs'!$B$21),ISNUMBER('Inputs'!$B$24),ISNUMBER('Inputs'!$B$28)),((('Results'!B7*(1-'Inputs'!$B$24)*(0.5*((((431-43)*MAX('Inputs'!$B$33,'Inputs'!$B$29+'Inputs'!$B$31+'Inputs'!$B$32,'Inputs'!$B$30+'Inputs'!$B$31+'Inputs'!$B$32)/1000+'Inputs'!$B$21)+'Inputs'!$B$7)/SQRT((((431-43)*MAX('Inputs'!$B$33,'Inputs'!$B$29+'Inputs'!$B$31+'Inputs'!$B$32,'Inputs'!$B$30+'Inputs'!$B$31+'Inputs'!$B$32)/1000+'Inputs'!$B$21)+'Inputs'!$B$7)^2+('Inputs'!$B$6/2)^2)-(((431-43)*MAX('Inputs'!$B$33,'Inputs'!$B$29+'Inputs'!$B$31+'Inputs'!$B$32,'Inputs'!$B$30+'Inputs'!$B$31+'Inputs'!$B$32)/1000+'Inputs'!$B$21))/SQRT((((431-43)*MAX('Inputs'!$B$33,'Inputs'!$B$29+'Inputs'!$B$31+'Inputs'!$B$32,'Inputs'!$B$30+'Inputs'!$B$31+'Inputs'!$B$32)/1000+'Inputs'!$B$21))^2+('Inputs'!$B$6/2)^2)))-'Results'!C7*(1+'Inputs'!$B$24)*(0.5*((((431-43)*MAX('Inputs'!$B$33,'Inputs'!$B$29+'Inputs'!$B$31+'Inputs'!$B$32,'Inputs'!$B$30+'Inputs'!$B$31+'Inputs'!$B$32)/1000+'Inputs'!$B$21+'Inputs'!$B$7+'Inputs'!$B$10)+'Inputs'!$B$9)/SQRT((((431-43)*MAX('Inputs'!$B$33,'Inputs'!$B$29+'Inputs'!$B$31+'Inputs'!$B$32,'Inputs'!$B$30+'Inputs'!$B$31+'Inputs'!$B$32)/1000+'Inputs'!$B$21+'Inputs'!$B$7+'Inputs'!$B$10)+'Inputs'!$B$9)^2+('Inputs'!$B$8/2)^2)-(((431-43)*MAX('Inputs'!$B$33,'Inputs'!$B$29+'Inputs'!$B$31+'Inputs'!$B$32,'Inputs'!$B$30+'Inputs'!$B$31+'Inputs'!$B$32)/1000+'Inputs'!$B$21+'Inputs'!$B$7+'Inputs'!$B$10))/SQRT((((431-43)*MAX('Inputs'!$B$33,'Inputs'!$B$29+'Inputs'!$B$31+'Inputs'!$B$32,'Inputs'!$B$30+'Inputs'!$B$31+'Inputs'!$B$32)/1000+'Inputs'!$B$21+'Inputs'!$B$7+'Inputs'!$B$10))^2+('Inputs'!$B$8/2)^2))))*'Results'!$B$8)-'Inputs'!$B$28*ABS((('Results'!B7*(1-'Inputs'!$B$24)*(0.5*((((431-43)*MAX('Inputs'!$B$33,'Inputs'!$B$29+'Inputs'!$B$31+'Inputs'!$B$32,'Inputs'!$B$30+'Inputs'!$B$31+'Inputs'!$B$32)/1000+'Inputs'!$B$21)+'Inputs'!$B$7)/SQRT((((431-43)*MAX('Inputs'!$B$33,'Inputs'!$B$29+'Inputs'!$B$31+'Inputs'!$B$32,'Inputs'!$B$30+'Inputs'!$B$31+'Inputs'!$B$32)/1000+'Inputs'!$B$21)+'Inputs'!$B$7)^2+('Inputs'!$B$6/2)^2)-(((431-43)*MAX('Inputs'!$B$33,'Inputs'!$B$29+'Inputs'!$B$31+'Inputs'!$B$32,'Inputs'!$B$30+'Inputs'!$B$31+'Inputs'!$B$32)/1000+'Inputs'!$B$21))/SQRT((((431-43)*MAX('Inputs'!$B$33,'Inputs'!$B$29+'Inputs'!$B$31+'Inputs'!$B$32,'Inputs'!$B$30+'Inputs'!$B$31+'Inputs'!$B$32)/1000+'Inputs'!$B$21))^2+('Inputs'!$B$6/2)^2)))-'Results'!C7*(1+'Inputs'!$B$24)*(0.5*((((431-43)*MAX('Inputs'!$B$33,'Inputs'!$B$29+'Inputs'!$B$31+'Inputs'!$B$32,'Inputs'!$B$30+'Inputs'!$B$31+'Inputs'!$B$32)/1000+'Inputs'!$B$21+'Inputs'!$B$7+'Inputs'!$B$10)+'Inputs'!$B$9)/SQRT((((431-43)*MAX('Inputs'!$B$33,'Inputs'!$B$29+'Inputs'!$B$31+'Inputs'!$B$32,'Inputs'!$B$30+'Inputs'!$B$31+'Inputs'!$B$32)/1000+'Inputs'!$B$21+'Inputs'!$B$7+'Inputs'!$B$10)+'Inputs'!$B$9)^2+('Inputs'!$B$8/2)^2)-(((431-43)*MAX('Inputs'!$B$33,'Inputs'!$B$29+'Inputs'!$B$31+'Inputs'!$B$32,'Inputs'!$B$30+'Inputs'!$B$31+'Inputs'!$B$32)/1000+'Inputs'!$B$21+'Inputs'!$B$7+'Inputs'!$B$10))/SQRT((((431-43)*MAX('Inputs'!$B$33,'Inputs'!$B$29+'Inputs'!$B$31+'Inputs'!$B$32,'Inputs'!$B$30+'Inputs'!$B$31+'Inputs'!$B$32)/1000+'Inputs'!$B$21+'Inputs'!$B$7+'Inputs'!$B$10))^2+('Inputs'!$B$8/2)^2))))*'Results'!$B$8))),"")</x:f>
        <x:v>8.764291273069425</x:v>
      </x:c>
      <x:c r="L431" t="n">
        <x:f>IF(AND(ISNUMBER('Results'!B7),ISNUMBER('Results'!C7),ISNUMBER('Results'!$B$8),ISNUMBER('Inputs'!$B$6),ISNUMBER('Inputs'!$B$7),ISNUMBER('Inputs'!$B$8),ISNUMBER('Inputs'!$B$9),ISNUMBER('Inputs'!$B$10),ISNUMBER('Inputs'!$B$21),ISNUMBER('Inputs'!$B$24),ISNUMBER('Inputs'!$B$28)),((('Results'!B7*(1+'Inputs'!$B$24)*(0.5*((((431-43)*MAX('Inputs'!$B$33,'Inputs'!$B$29+'Inputs'!$B$31+'Inputs'!$B$32,'Inputs'!$B$30+'Inputs'!$B$31+'Inputs'!$B$32)/1000+'Inputs'!$B$21)+'Inputs'!$B$7)/SQRT((((431-43)*MAX('Inputs'!$B$33,'Inputs'!$B$29+'Inputs'!$B$31+'Inputs'!$B$32,'Inputs'!$B$30+'Inputs'!$B$31+'Inputs'!$B$32)/1000+'Inputs'!$B$21)+'Inputs'!$B$7)^2+('Inputs'!$B$6/2)^2)-(((431-43)*MAX('Inputs'!$B$33,'Inputs'!$B$29+'Inputs'!$B$31+'Inputs'!$B$32,'Inputs'!$B$30+'Inputs'!$B$31+'Inputs'!$B$32)/1000+'Inputs'!$B$21))/SQRT((((431-43)*MAX('Inputs'!$B$33,'Inputs'!$B$29+'Inputs'!$B$31+'Inputs'!$B$32,'Inputs'!$B$30+'Inputs'!$B$31+'Inputs'!$B$32)/1000+'Inputs'!$B$21))^2+('Inputs'!$B$6/2)^2)))-'Results'!C7*(1-'Inputs'!$B$24)*(0.5*((((431-43)*MAX('Inputs'!$B$33,'Inputs'!$B$29+'Inputs'!$B$31+'Inputs'!$B$32,'Inputs'!$B$30+'Inputs'!$B$31+'Inputs'!$B$32)/1000+'Inputs'!$B$21+'Inputs'!$B$7+'Inputs'!$B$10)+'Inputs'!$B$9)/SQRT((((431-43)*MAX('Inputs'!$B$33,'Inputs'!$B$29+'Inputs'!$B$31+'Inputs'!$B$32,'Inputs'!$B$30+'Inputs'!$B$31+'Inputs'!$B$32)/1000+'Inputs'!$B$21+'Inputs'!$B$7+'Inputs'!$B$10)+'Inputs'!$B$9)^2+('Inputs'!$B$8/2)^2)-(((431-43)*MAX('Inputs'!$B$33,'Inputs'!$B$29+'Inputs'!$B$31+'Inputs'!$B$32,'Inputs'!$B$30+'Inputs'!$B$31+'Inputs'!$B$32)/1000+'Inputs'!$B$21+'Inputs'!$B$7+'Inputs'!$B$10))/SQRT((((431-43)*MAX('Inputs'!$B$33,'Inputs'!$B$29+'Inputs'!$B$31+'Inputs'!$B$32,'Inputs'!$B$30+'Inputs'!$B$31+'Inputs'!$B$32)/1000+'Inputs'!$B$21+'Inputs'!$B$7+'Inputs'!$B$10))^2+('Inputs'!$B$8/2)^2))))*'Results'!$B$8)+'Inputs'!$B$28*ABS((('Results'!B7*(1+'Inputs'!$B$24)*(0.5*((((431-43)*MAX('Inputs'!$B$33,'Inputs'!$B$29+'Inputs'!$B$31+'Inputs'!$B$32,'Inputs'!$B$30+'Inputs'!$B$31+'Inputs'!$B$32)/1000+'Inputs'!$B$21)+'Inputs'!$B$7)/SQRT((((431-43)*MAX('Inputs'!$B$33,'Inputs'!$B$29+'Inputs'!$B$31+'Inputs'!$B$32,'Inputs'!$B$30+'Inputs'!$B$31+'Inputs'!$B$32)/1000+'Inputs'!$B$21)+'Inputs'!$B$7)^2+('Inputs'!$B$6/2)^2)-(((431-43)*MAX('Inputs'!$B$33,'Inputs'!$B$29+'Inputs'!$B$31+'Inputs'!$B$32,'Inputs'!$B$30+'Inputs'!$B$31+'Inputs'!$B$32)/1000+'Inputs'!$B$21))/SQRT((((431-43)*MAX('Inputs'!$B$33,'Inputs'!$B$29+'Inputs'!$B$31+'Inputs'!$B$32,'Inputs'!$B$30+'Inputs'!$B$31+'Inputs'!$B$32)/1000+'Inputs'!$B$21))^2+('Inputs'!$B$6/2)^2)))-'Results'!C7*(1-'Inputs'!$B$24)*(0.5*((((431-43)*MAX('Inputs'!$B$33,'Inputs'!$B$29+'Inputs'!$B$31+'Inputs'!$B$32,'Inputs'!$B$30+'Inputs'!$B$31+'Inputs'!$B$32)/1000+'Inputs'!$B$21+'Inputs'!$B$7+'Inputs'!$B$10)+'Inputs'!$B$9)/SQRT((((431-43)*MAX('Inputs'!$B$33,'Inputs'!$B$29+'Inputs'!$B$31+'Inputs'!$B$32,'Inputs'!$B$30+'Inputs'!$B$31+'Inputs'!$B$32)/1000+'Inputs'!$B$21+'Inputs'!$B$7+'Inputs'!$B$10)+'Inputs'!$B$9)^2+('Inputs'!$B$8/2)^2)-(((431-43)*MAX('Inputs'!$B$33,'Inputs'!$B$29+'Inputs'!$B$31+'Inputs'!$B$32,'Inputs'!$B$30+'Inputs'!$B$31+'Inputs'!$B$32)/1000+'Inputs'!$B$21+'Inputs'!$B$7+'Inputs'!$B$10))/SQRT((((431-43)*MAX('Inputs'!$B$33,'Inputs'!$B$29+'Inputs'!$B$31+'Inputs'!$B$32,'Inputs'!$B$30+'Inputs'!$B$31+'Inputs'!$B$32)/1000+'Inputs'!$B$21+'Inputs'!$B$7+'Inputs'!$B$10))^2+('Inputs'!$B$8/2)^2))))*'Results'!$B$8))),"")</x:f>
        <x:v>10.841427827642136</x:v>
      </x:c>
      <x:c r="M431" t="n">
        <x:f>IF(AND(ISNUMBER('Results'!C7),ISNUMBER('Results'!B7),ISNUMBER('Results'!$B$8),ISNUMBER('Inputs'!$B$6),ISNUMBER('Inputs'!$B$7),ISNUMBER('Inputs'!$B$8),ISNUMBER('Inputs'!$B$9),ISNUMBER('Inputs'!$B$10),ISNUMBER('Inputs'!$B$21),ISNUMBER('Inputs'!$B$24),ISNUMBER('Inputs'!$B$28)),(('Results'!C7*(0.5*((((431-43)*MAX('Inputs'!$B$33,'Inputs'!$B$29+'Inputs'!$B$31+'Inputs'!$B$32,'Inputs'!$B$30+'Inputs'!$B$31+'Inputs'!$B$32)/1000+'Inputs'!$B$21)+'Inputs'!$B$9)/SQRT((((431-43)*MAX('Inputs'!$B$33,'Inputs'!$B$29+'Inputs'!$B$31+'Inputs'!$B$32,'Inputs'!$B$30+'Inputs'!$B$31+'Inputs'!$B$32)/1000+'Inputs'!$B$21)+'Inputs'!$B$9)^2+('Inputs'!$B$8/2)^2)-(((431-43)*MAX('Inputs'!$B$33,'Inputs'!$B$29+'Inputs'!$B$31+'Inputs'!$B$32,'Inputs'!$B$30+'Inputs'!$B$31+'Inputs'!$B$32)/1000+'Inputs'!$B$21))/SQRT((((431-43)*MAX('Inputs'!$B$33,'Inputs'!$B$29+'Inputs'!$B$31+'Inputs'!$B$32,'Inputs'!$B$30+'Inputs'!$B$31+'Inputs'!$B$32)/1000+'Inputs'!$B$21))^2+('Inputs'!$B$8/2)^2)))-'Results'!B7*(0.5*((((431-43)*MAX('Inputs'!$B$33,'Inputs'!$B$29+'Inputs'!$B$31+'Inputs'!$B$32,'Inputs'!$B$30+'Inputs'!$B$31+'Inputs'!$B$32)/1000+'Inputs'!$B$21+'Inputs'!$B$9+'Inputs'!$B$10)+'Inputs'!$B$7)/SQRT((((431-43)*MAX('Inputs'!$B$33,'Inputs'!$B$29+'Inputs'!$B$31+'Inputs'!$B$32,'Inputs'!$B$30+'Inputs'!$B$31+'Inputs'!$B$32)/1000+'Inputs'!$B$21+'Inputs'!$B$9+'Inputs'!$B$10)+'Inputs'!$B$7)^2+('Inputs'!$B$6/2)^2)-(((431-43)*MAX('Inputs'!$B$33,'Inputs'!$B$29+'Inputs'!$B$31+'Inputs'!$B$32,'Inputs'!$B$30+'Inputs'!$B$31+'Inputs'!$B$32)/1000+'Inputs'!$B$21+'Inputs'!$B$9+'Inputs'!$B$10))/SQRT((((431-43)*MAX('Inputs'!$B$33,'Inputs'!$B$29+'Inputs'!$B$31+'Inputs'!$B$32,'Inputs'!$B$30+'Inputs'!$B$31+'Inputs'!$B$32)/1000+'Inputs'!$B$21+'Inputs'!$B$9+'Inputs'!$B$10))^2+('Inputs'!$B$6/2)^2))))*'Results'!$B$8),"")</x:f>
        <x:v>9.221954532472047</x:v>
      </x:c>
      <x:c r="N431" t="n">
        <x:f>IF(AND(ISNUMBER('Results'!C7),ISNUMBER('Results'!B7),ISNUMBER('Results'!$B$8),ISNUMBER('Inputs'!$B$6),ISNUMBER('Inputs'!$B$7),ISNUMBER('Inputs'!$B$8),ISNUMBER('Inputs'!$B$9),ISNUMBER('Inputs'!$B$10),ISNUMBER('Inputs'!$B$21),ISNUMBER('Inputs'!$B$24),ISNUMBER('Inputs'!$B$28)),((('Results'!C7*(1-'Inputs'!$B$24)*(0.5*((((431-43)*MAX('Inputs'!$B$33,'Inputs'!$B$29+'Inputs'!$B$31+'Inputs'!$B$32,'Inputs'!$B$30+'Inputs'!$B$31+'Inputs'!$B$32)/1000+'Inputs'!$B$21)+'Inputs'!$B$9)/SQRT((((431-43)*MAX('Inputs'!$B$33,'Inputs'!$B$29+'Inputs'!$B$31+'Inputs'!$B$32,'Inputs'!$B$30+'Inputs'!$B$31+'Inputs'!$B$32)/1000+'Inputs'!$B$21)+'Inputs'!$B$9)^2+('Inputs'!$B$8/2)^2)-(((431-43)*MAX('Inputs'!$B$33,'Inputs'!$B$29+'Inputs'!$B$31+'Inputs'!$B$32,'Inputs'!$B$30+'Inputs'!$B$31+'Inputs'!$B$32)/1000+'Inputs'!$B$21))/SQRT((((431-43)*MAX('Inputs'!$B$33,'Inputs'!$B$29+'Inputs'!$B$31+'Inputs'!$B$32,'Inputs'!$B$30+'Inputs'!$B$31+'Inputs'!$B$32)/1000+'Inputs'!$B$21))^2+('Inputs'!$B$8/2)^2)))-'Results'!B7*(1+'Inputs'!$B$24)*(0.5*((((431-43)*MAX('Inputs'!$B$33,'Inputs'!$B$29+'Inputs'!$B$31+'Inputs'!$B$32,'Inputs'!$B$30+'Inputs'!$B$31+'Inputs'!$B$32)/1000+'Inputs'!$B$21+'Inputs'!$B$9+'Inputs'!$B$10)+'Inputs'!$B$7)/SQRT((((431-43)*MAX('Inputs'!$B$33,'Inputs'!$B$29+'Inputs'!$B$31+'Inputs'!$B$32,'Inputs'!$B$30+'Inputs'!$B$31+'Inputs'!$B$32)/1000+'Inputs'!$B$21+'Inputs'!$B$9+'Inputs'!$B$10)+'Inputs'!$B$7)^2+('Inputs'!$B$6/2)^2)-(((431-43)*MAX('Inputs'!$B$33,'Inputs'!$B$29+'Inputs'!$B$31+'Inputs'!$B$32,'Inputs'!$B$30+'Inputs'!$B$31+'Inputs'!$B$32)/1000+'Inputs'!$B$21+'Inputs'!$B$9+'Inputs'!$B$10))/SQRT((((431-43)*MAX('Inputs'!$B$33,'Inputs'!$B$29+'Inputs'!$B$31+'Inputs'!$B$32,'Inputs'!$B$30+'Inputs'!$B$31+'Inputs'!$B$32)/1000+'Inputs'!$B$21+'Inputs'!$B$9+'Inputs'!$B$10))^2+('Inputs'!$B$6/2)^2))))*'Results'!$B$8)-'Inputs'!$B$28*ABS((('Results'!C7*(1-'Inputs'!$B$24)*(0.5*((((431-43)*MAX('Inputs'!$B$33,'Inputs'!$B$29+'Inputs'!$B$31+'Inputs'!$B$32,'Inputs'!$B$30+'Inputs'!$B$31+'Inputs'!$B$32)/1000+'Inputs'!$B$21)+'Inputs'!$B$9)/SQRT((((431-43)*MAX('Inputs'!$B$33,'Inputs'!$B$29+'Inputs'!$B$31+'Inputs'!$B$32,'Inputs'!$B$30+'Inputs'!$B$31+'Inputs'!$B$32)/1000+'Inputs'!$B$21)+'Inputs'!$B$9)^2+('Inputs'!$B$8/2)^2)-(((431-43)*MAX('Inputs'!$B$33,'Inputs'!$B$29+'Inputs'!$B$31+'Inputs'!$B$32,'Inputs'!$B$30+'Inputs'!$B$31+'Inputs'!$B$32)/1000+'Inputs'!$B$21))/SQRT((((431-43)*MAX('Inputs'!$B$33,'Inputs'!$B$29+'Inputs'!$B$31+'Inputs'!$B$32,'Inputs'!$B$30+'Inputs'!$B$31+'Inputs'!$B$32)/1000+'Inputs'!$B$21))^2+('Inputs'!$B$8/2)^2)))-'Results'!B7*(1+'Inputs'!$B$24)*(0.5*((((431-43)*MAX('Inputs'!$B$33,'Inputs'!$B$29+'Inputs'!$B$31+'Inputs'!$B$32,'Inputs'!$B$30+'Inputs'!$B$31+'Inputs'!$B$32)/1000+'Inputs'!$B$21+'Inputs'!$B$9+'Inputs'!$B$10)+'Inputs'!$B$7)/SQRT((((431-43)*MAX('Inputs'!$B$33,'Inputs'!$B$29+'Inputs'!$B$31+'Inputs'!$B$32,'Inputs'!$B$30+'Inputs'!$B$31+'Inputs'!$B$32)/1000+'Inputs'!$B$21+'Inputs'!$B$9+'Inputs'!$B$10)+'Inputs'!$B$7)^2+('Inputs'!$B$6/2)^2)-(((431-43)*MAX('Inputs'!$B$33,'Inputs'!$B$29+'Inputs'!$B$31+'Inputs'!$B$32,'Inputs'!$B$30+'Inputs'!$B$31+'Inputs'!$B$32)/1000+'Inputs'!$B$21+'Inputs'!$B$9+'Inputs'!$B$10))/SQRT((((431-43)*MAX('Inputs'!$B$33,'Inputs'!$B$29+'Inputs'!$B$31+'Inputs'!$B$32,'Inputs'!$B$30+'Inputs'!$B$31+'Inputs'!$B$32)/1000+'Inputs'!$B$21+'Inputs'!$B$9+'Inputs'!$B$10))^2+('Inputs'!$B$6/2)^2))))*'Results'!$B$8))),"")</x:f>
        <x:v>8.24219294763358</x:v>
      </x:c>
      <x:c r="O431" t="n">
        <x:f>IF(AND(ISNUMBER('Results'!C7),ISNUMBER('Results'!B7),ISNUMBER('Results'!$B$8),ISNUMBER('Inputs'!$B$6),ISNUMBER('Inputs'!$B$7),ISNUMBER('Inputs'!$B$8),ISNUMBER('Inputs'!$B$9),ISNUMBER('Inputs'!$B$10),ISNUMBER('Inputs'!$B$21),ISNUMBER('Inputs'!$B$24),ISNUMBER('Inputs'!$B$28)),((('Results'!C7*(1+'Inputs'!$B$24)*(0.5*((((431-43)*MAX('Inputs'!$B$33,'Inputs'!$B$29+'Inputs'!$B$31+'Inputs'!$B$32,'Inputs'!$B$30+'Inputs'!$B$31+'Inputs'!$B$32)/1000+'Inputs'!$B$21)+'Inputs'!$B$9)/SQRT((((431-43)*MAX('Inputs'!$B$33,'Inputs'!$B$29+'Inputs'!$B$31+'Inputs'!$B$32,'Inputs'!$B$30+'Inputs'!$B$31+'Inputs'!$B$32)/1000+'Inputs'!$B$21)+'Inputs'!$B$9)^2+('Inputs'!$B$8/2)^2)-(((431-43)*MAX('Inputs'!$B$33,'Inputs'!$B$29+'Inputs'!$B$31+'Inputs'!$B$32,'Inputs'!$B$30+'Inputs'!$B$31+'Inputs'!$B$32)/1000+'Inputs'!$B$21))/SQRT((((431-43)*MAX('Inputs'!$B$33,'Inputs'!$B$29+'Inputs'!$B$31+'Inputs'!$B$32,'Inputs'!$B$30+'Inputs'!$B$31+'Inputs'!$B$32)/1000+'Inputs'!$B$21))^2+('Inputs'!$B$8/2)^2)))-'Results'!B7*(1-'Inputs'!$B$24)*(0.5*((((431-43)*MAX('Inputs'!$B$33,'Inputs'!$B$29+'Inputs'!$B$31+'Inputs'!$B$32,'Inputs'!$B$30+'Inputs'!$B$31+'Inputs'!$B$32)/1000+'Inputs'!$B$21+'Inputs'!$B$9+'Inputs'!$B$10)+'Inputs'!$B$7)/SQRT((((431-43)*MAX('Inputs'!$B$33,'Inputs'!$B$29+'Inputs'!$B$31+'Inputs'!$B$32,'Inputs'!$B$30+'Inputs'!$B$31+'Inputs'!$B$32)/1000+'Inputs'!$B$21+'Inputs'!$B$9+'Inputs'!$B$10)+'Inputs'!$B$7)^2+('Inputs'!$B$6/2)^2)-(((431-43)*MAX('Inputs'!$B$33,'Inputs'!$B$29+'Inputs'!$B$31+'Inputs'!$B$32,'Inputs'!$B$30+'Inputs'!$B$31+'Inputs'!$B$32)/1000+'Inputs'!$B$21+'Inputs'!$B$9+'Inputs'!$B$10))/SQRT((((431-43)*MAX('Inputs'!$B$33,'Inputs'!$B$29+'Inputs'!$B$31+'Inputs'!$B$32,'Inputs'!$B$30+'Inputs'!$B$31+'Inputs'!$B$32)/1000+'Inputs'!$B$21+'Inputs'!$B$9+'Inputs'!$B$10))^2+('Inputs'!$B$6/2)^2))))*'Results'!$B$8)+'Inputs'!$B$28*ABS((('Results'!C7*(1+'Inputs'!$B$24)*(0.5*((((431-43)*MAX('Inputs'!$B$33,'Inputs'!$B$29+'Inputs'!$B$31+'Inputs'!$B$32,'Inputs'!$B$30+'Inputs'!$B$31+'Inputs'!$B$32)/1000+'Inputs'!$B$21)+'Inputs'!$B$9)/SQRT((((431-43)*MAX('Inputs'!$B$33,'Inputs'!$B$29+'Inputs'!$B$31+'Inputs'!$B$32,'Inputs'!$B$30+'Inputs'!$B$31+'Inputs'!$B$32)/1000+'Inputs'!$B$21)+'Inputs'!$B$9)^2+('Inputs'!$B$8/2)^2)-(((431-43)*MAX('Inputs'!$B$33,'Inputs'!$B$29+'Inputs'!$B$31+'Inputs'!$B$32,'Inputs'!$B$30+'Inputs'!$B$31+'Inputs'!$B$32)/1000+'Inputs'!$B$21))/SQRT((((431-43)*MAX('Inputs'!$B$33,'Inputs'!$B$29+'Inputs'!$B$31+'Inputs'!$B$32,'Inputs'!$B$30+'Inputs'!$B$31+'Inputs'!$B$32)/1000+'Inputs'!$B$21))^2+('Inputs'!$B$8/2)^2)))-'Results'!B7*(1-'Inputs'!$B$24)*(0.5*((((431-43)*MAX('Inputs'!$B$33,'Inputs'!$B$29+'Inputs'!$B$31+'Inputs'!$B$32,'Inputs'!$B$30+'Inputs'!$B$31+'Inputs'!$B$32)/1000+'Inputs'!$B$21+'Inputs'!$B$9+'Inputs'!$B$10)+'Inputs'!$B$7)/SQRT((((431-43)*MAX('Inputs'!$B$33,'Inputs'!$B$29+'Inputs'!$B$31+'Inputs'!$B$32,'Inputs'!$B$30+'Inputs'!$B$31+'Inputs'!$B$32)/1000+'Inputs'!$B$21+'Inputs'!$B$9+'Inputs'!$B$10)+'Inputs'!$B$7)^2+('Inputs'!$B$6/2)^2)-(((431-43)*MAX('Inputs'!$B$33,'Inputs'!$B$29+'Inputs'!$B$31+'Inputs'!$B$32,'Inputs'!$B$30+'Inputs'!$B$31+'Inputs'!$B$32)/1000+'Inputs'!$B$21+'Inputs'!$B$9+'Inputs'!$B$10))/SQRT((((431-43)*MAX('Inputs'!$B$33,'Inputs'!$B$29+'Inputs'!$B$31+'Inputs'!$B$32,'Inputs'!$B$30+'Inputs'!$B$31+'Inputs'!$B$32)/1000+'Inputs'!$B$21+'Inputs'!$B$9+'Inputs'!$B$10))^2+('Inputs'!$B$6/2)^2))))*'Results'!$B$8))),"")</x:f>
        <x:v>10.256312312912085</x:v>
      </x:c>
      <x:c r="P431" t="n">
        <x:f>IF(AND(MAX(J431,J430)&gt;0,J431&gt;J430+0.00000001),1,0)</x:f>
        <x:v>0</x:v>
      </x:c>
      <x:c r="Q431" t="n">
        <x:f>IF(AND(MAX(K431,K430)&gt;0,K431&gt;K430+0.00000001),1,0)</x:f>
        <x:v>0</x:v>
      </x:c>
      <x:c r="R431" t="n">
        <x:f>IF(AND(MAX(L431,L430)&gt;0,L431&gt;L430+0.00000001),1,0)</x:f>
        <x:v>0</x:v>
      </x:c>
      <x:c r="S431" t="n">
        <x:f>IF(AND(MAX(M431,M430)&gt;0,M431&gt;M430+0.00000001),1,0)</x:f>
        <x:v>0</x:v>
      </x:c>
      <x:c r="T431" t="n">
        <x:f>IF(AND(MAX(N431,N430)&gt;0,N431&gt;N430+0.00000001),1,0)</x:f>
        <x:v>0</x:v>
      </x:c>
      <x:c r="U431" t="n">
        <x:f>IF(AND(MAX(O431,O430)&gt;0,O431&gt;O430+0.00000001),1,0)</x:f>
        <x:v>0</x:v>
      </x:c>
    </x:row>
    <x:row r="432">
      <x:c r="J432" t="n">
        <x:f>IF(AND(ISNUMBER('Results'!B7),ISNUMBER('Results'!C7),ISNUMBER('Results'!$B$8),ISNUMBER('Inputs'!$B$6),ISNUMBER('Inputs'!$B$7),ISNUMBER('Inputs'!$B$8),ISNUMBER('Inputs'!$B$9),ISNUMBER('Inputs'!$B$10),ISNUMBER('Inputs'!$B$21),ISNUMBER('Inputs'!$B$24),ISNUMBER('Inputs'!$B$28)),(('Results'!B7*(0.5*((((432-43)*MAX('Inputs'!$B$33,'Inputs'!$B$29+'Inputs'!$B$31+'Inputs'!$B$32,'Inputs'!$B$30+'Inputs'!$B$31+'Inputs'!$B$32)/1000+'Inputs'!$B$21)+'Inputs'!$B$7)/SQRT((((432-43)*MAX('Inputs'!$B$33,'Inputs'!$B$29+'Inputs'!$B$31+'Inputs'!$B$32,'Inputs'!$B$30+'Inputs'!$B$31+'Inputs'!$B$32)/1000+'Inputs'!$B$21)+'Inputs'!$B$7)^2+('Inputs'!$B$6/2)^2)-(((432-43)*MAX('Inputs'!$B$33,'Inputs'!$B$29+'Inputs'!$B$31+'Inputs'!$B$32,'Inputs'!$B$30+'Inputs'!$B$31+'Inputs'!$B$32)/1000+'Inputs'!$B$21))/SQRT((((432-43)*MAX('Inputs'!$B$33,'Inputs'!$B$29+'Inputs'!$B$31+'Inputs'!$B$32,'Inputs'!$B$30+'Inputs'!$B$31+'Inputs'!$B$32)/1000+'Inputs'!$B$21))^2+('Inputs'!$B$6/2)^2)))-'Results'!C7*(0.5*((((432-43)*MAX('Inputs'!$B$33,'Inputs'!$B$29+'Inputs'!$B$31+'Inputs'!$B$32,'Inputs'!$B$30+'Inputs'!$B$31+'Inputs'!$B$32)/1000+'Inputs'!$B$21+'Inputs'!$B$7+'Inputs'!$B$10)+'Inputs'!$B$9)/SQRT((((432-43)*MAX('Inputs'!$B$33,'Inputs'!$B$29+'Inputs'!$B$31+'Inputs'!$B$32,'Inputs'!$B$30+'Inputs'!$B$31+'Inputs'!$B$32)/1000+'Inputs'!$B$21+'Inputs'!$B$7+'Inputs'!$B$10)+'Inputs'!$B$9)^2+('Inputs'!$B$8/2)^2)-(((432-43)*MAX('Inputs'!$B$33,'Inputs'!$B$29+'Inputs'!$B$31+'Inputs'!$B$32,'Inputs'!$B$30+'Inputs'!$B$31+'Inputs'!$B$32)/1000+'Inputs'!$B$21+'Inputs'!$B$7+'Inputs'!$B$10))/SQRT((((432-43)*MAX('Inputs'!$B$33,'Inputs'!$B$29+'Inputs'!$B$31+'Inputs'!$B$32,'Inputs'!$B$30+'Inputs'!$B$31+'Inputs'!$B$32)/1000+'Inputs'!$B$21+'Inputs'!$B$7+'Inputs'!$B$10))^2+('Inputs'!$B$8/2)^2))))*'Results'!$B$8),"")</x:f>
        <x:v>9.693176383126268</x:v>
      </x:c>
      <x:c r="K432" t="n">
        <x:f>IF(AND(ISNUMBER('Results'!B7),ISNUMBER('Results'!C7),ISNUMBER('Results'!$B$8),ISNUMBER('Inputs'!$B$6),ISNUMBER('Inputs'!$B$7),ISNUMBER('Inputs'!$B$8),ISNUMBER('Inputs'!$B$9),ISNUMBER('Inputs'!$B$10),ISNUMBER('Inputs'!$B$21),ISNUMBER('Inputs'!$B$24),ISNUMBER('Inputs'!$B$28)),((('Results'!B7*(1-'Inputs'!$B$24)*(0.5*((((432-43)*MAX('Inputs'!$B$33,'Inputs'!$B$29+'Inputs'!$B$31+'Inputs'!$B$32,'Inputs'!$B$30+'Inputs'!$B$31+'Inputs'!$B$32)/1000+'Inputs'!$B$21)+'Inputs'!$B$7)/SQRT((((432-43)*MAX('Inputs'!$B$33,'Inputs'!$B$29+'Inputs'!$B$31+'Inputs'!$B$32,'Inputs'!$B$30+'Inputs'!$B$31+'Inputs'!$B$32)/1000+'Inputs'!$B$21)+'Inputs'!$B$7)^2+('Inputs'!$B$6/2)^2)-(((432-43)*MAX('Inputs'!$B$33,'Inputs'!$B$29+'Inputs'!$B$31+'Inputs'!$B$32,'Inputs'!$B$30+'Inputs'!$B$31+'Inputs'!$B$32)/1000+'Inputs'!$B$21))/SQRT((((432-43)*MAX('Inputs'!$B$33,'Inputs'!$B$29+'Inputs'!$B$31+'Inputs'!$B$32,'Inputs'!$B$30+'Inputs'!$B$31+'Inputs'!$B$32)/1000+'Inputs'!$B$21))^2+('Inputs'!$B$6/2)^2)))-'Results'!C7*(1+'Inputs'!$B$24)*(0.5*((((432-43)*MAX('Inputs'!$B$33,'Inputs'!$B$29+'Inputs'!$B$31+'Inputs'!$B$32,'Inputs'!$B$30+'Inputs'!$B$31+'Inputs'!$B$32)/1000+'Inputs'!$B$21+'Inputs'!$B$7+'Inputs'!$B$10)+'Inputs'!$B$9)/SQRT((((432-43)*MAX('Inputs'!$B$33,'Inputs'!$B$29+'Inputs'!$B$31+'Inputs'!$B$32,'Inputs'!$B$30+'Inputs'!$B$31+'Inputs'!$B$32)/1000+'Inputs'!$B$21+'Inputs'!$B$7+'Inputs'!$B$10)+'Inputs'!$B$9)^2+('Inputs'!$B$8/2)^2)-(((432-43)*MAX('Inputs'!$B$33,'Inputs'!$B$29+'Inputs'!$B$31+'Inputs'!$B$32,'Inputs'!$B$30+'Inputs'!$B$31+'Inputs'!$B$32)/1000+'Inputs'!$B$21+'Inputs'!$B$7+'Inputs'!$B$10))/SQRT((((432-43)*MAX('Inputs'!$B$33,'Inputs'!$B$29+'Inputs'!$B$31+'Inputs'!$B$32,'Inputs'!$B$30+'Inputs'!$B$31+'Inputs'!$B$32)/1000+'Inputs'!$B$21+'Inputs'!$B$7+'Inputs'!$B$10))^2+('Inputs'!$B$8/2)^2))))*'Results'!$B$8)-'Inputs'!$B$28*ABS((('Results'!B7*(1-'Inputs'!$B$24)*(0.5*((((432-43)*MAX('Inputs'!$B$33,'Inputs'!$B$29+'Inputs'!$B$31+'Inputs'!$B$32,'Inputs'!$B$30+'Inputs'!$B$31+'Inputs'!$B$32)/1000+'Inputs'!$B$21)+'Inputs'!$B$7)/SQRT((((432-43)*MAX('Inputs'!$B$33,'Inputs'!$B$29+'Inputs'!$B$31+'Inputs'!$B$32,'Inputs'!$B$30+'Inputs'!$B$31+'Inputs'!$B$32)/1000+'Inputs'!$B$21)+'Inputs'!$B$7)^2+('Inputs'!$B$6/2)^2)-(((432-43)*MAX('Inputs'!$B$33,'Inputs'!$B$29+'Inputs'!$B$31+'Inputs'!$B$32,'Inputs'!$B$30+'Inputs'!$B$31+'Inputs'!$B$32)/1000+'Inputs'!$B$21))/SQRT((((432-43)*MAX('Inputs'!$B$33,'Inputs'!$B$29+'Inputs'!$B$31+'Inputs'!$B$32,'Inputs'!$B$30+'Inputs'!$B$31+'Inputs'!$B$32)/1000+'Inputs'!$B$21))^2+('Inputs'!$B$6/2)^2)))-'Results'!C7*(1+'Inputs'!$B$24)*(0.5*((((432-43)*MAX('Inputs'!$B$33,'Inputs'!$B$29+'Inputs'!$B$31+'Inputs'!$B$32,'Inputs'!$B$30+'Inputs'!$B$31+'Inputs'!$B$32)/1000+'Inputs'!$B$21+'Inputs'!$B$7+'Inputs'!$B$10)+'Inputs'!$B$9)/SQRT((((432-43)*MAX('Inputs'!$B$33,'Inputs'!$B$29+'Inputs'!$B$31+'Inputs'!$B$32,'Inputs'!$B$30+'Inputs'!$B$31+'Inputs'!$B$32)/1000+'Inputs'!$B$21+'Inputs'!$B$7+'Inputs'!$B$10)+'Inputs'!$B$9)^2+('Inputs'!$B$8/2)^2)-(((432-43)*MAX('Inputs'!$B$33,'Inputs'!$B$29+'Inputs'!$B$31+'Inputs'!$B$32,'Inputs'!$B$30+'Inputs'!$B$31+'Inputs'!$B$32)/1000+'Inputs'!$B$21+'Inputs'!$B$7+'Inputs'!$B$10))/SQRT((((432-43)*MAX('Inputs'!$B$33,'Inputs'!$B$29+'Inputs'!$B$31+'Inputs'!$B$32,'Inputs'!$B$30+'Inputs'!$B$31+'Inputs'!$B$32)/1000+'Inputs'!$B$21+'Inputs'!$B$7+'Inputs'!$B$10))^2+('Inputs'!$B$8/2)^2))))*'Results'!$B$8))),"")</x:f>
        <x:v>8.689654551556352</x:v>
      </x:c>
      <x:c r="L432" t="n">
        <x:f>IF(AND(ISNUMBER('Results'!B7),ISNUMBER('Results'!C7),ISNUMBER('Results'!$B$8),ISNUMBER('Inputs'!$B$6),ISNUMBER('Inputs'!$B$7),ISNUMBER('Inputs'!$B$8),ISNUMBER('Inputs'!$B$9),ISNUMBER('Inputs'!$B$10),ISNUMBER('Inputs'!$B$21),ISNUMBER('Inputs'!$B$24),ISNUMBER('Inputs'!$B$28)),((('Results'!B7*(1+'Inputs'!$B$24)*(0.5*((((432-43)*MAX('Inputs'!$B$33,'Inputs'!$B$29+'Inputs'!$B$31+'Inputs'!$B$32,'Inputs'!$B$30+'Inputs'!$B$31+'Inputs'!$B$32)/1000+'Inputs'!$B$21)+'Inputs'!$B$7)/SQRT((((432-43)*MAX('Inputs'!$B$33,'Inputs'!$B$29+'Inputs'!$B$31+'Inputs'!$B$32,'Inputs'!$B$30+'Inputs'!$B$31+'Inputs'!$B$32)/1000+'Inputs'!$B$21)+'Inputs'!$B$7)^2+('Inputs'!$B$6/2)^2)-(((432-43)*MAX('Inputs'!$B$33,'Inputs'!$B$29+'Inputs'!$B$31+'Inputs'!$B$32,'Inputs'!$B$30+'Inputs'!$B$31+'Inputs'!$B$32)/1000+'Inputs'!$B$21))/SQRT((((432-43)*MAX('Inputs'!$B$33,'Inputs'!$B$29+'Inputs'!$B$31+'Inputs'!$B$32,'Inputs'!$B$30+'Inputs'!$B$31+'Inputs'!$B$32)/1000+'Inputs'!$B$21))^2+('Inputs'!$B$6/2)^2)))-'Results'!C7*(1-'Inputs'!$B$24)*(0.5*((((432-43)*MAX('Inputs'!$B$33,'Inputs'!$B$29+'Inputs'!$B$31+'Inputs'!$B$32,'Inputs'!$B$30+'Inputs'!$B$31+'Inputs'!$B$32)/1000+'Inputs'!$B$21+'Inputs'!$B$7+'Inputs'!$B$10)+'Inputs'!$B$9)/SQRT((((432-43)*MAX('Inputs'!$B$33,'Inputs'!$B$29+'Inputs'!$B$31+'Inputs'!$B$32,'Inputs'!$B$30+'Inputs'!$B$31+'Inputs'!$B$32)/1000+'Inputs'!$B$21+'Inputs'!$B$7+'Inputs'!$B$10)+'Inputs'!$B$9)^2+('Inputs'!$B$8/2)^2)-(((432-43)*MAX('Inputs'!$B$33,'Inputs'!$B$29+'Inputs'!$B$31+'Inputs'!$B$32,'Inputs'!$B$30+'Inputs'!$B$31+'Inputs'!$B$32)/1000+'Inputs'!$B$21+'Inputs'!$B$7+'Inputs'!$B$10))/SQRT((((432-43)*MAX('Inputs'!$B$33,'Inputs'!$B$29+'Inputs'!$B$31+'Inputs'!$B$32,'Inputs'!$B$30+'Inputs'!$B$31+'Inputs'!$B$32)/1000+'Inputs'!$B$21+'Inputs'!$B$7+'Inputs'!$B$10))^2+('Inputs'!$B$8/2)^2))))*'Results'!$B$8)+'Inputs'!$B$28*ABS((('Results'!B7*(1+'Inputs'!$B$24)*(0.5*((((432-43)*MAX('Inputs'!$B$33,'Inputs'!$B$29+'Inputs'!$B$31+'Inputs'!$B$32,'Inputs'!$B$30+'Inputs'!$B$31+'Inputs'!$B$32)/1000+'Inputs'!$B$21)+'Inputs'!$B$7)/SQRT((((432-43)*MAX('Inputs'!$B$33,'Inputs'!$B$29+'Inputs'!$B$31+'Inputs'!$B$32,'Inputs'!$B$30+'Inputs'!$B$31+'Inputs'!$B$32)/1000+'Inputs'!$B$21)+'Inputs'!$B$7)^2+('Inputs'!$B$6/2)^2)-(((432-43)*MAX('Inputs'!$B$33,'Inputs'!$B$29+'Inputs'!$B$31+'Inputs'!$B$32,'Inputs'!$B$30+'Inputs'!$B$31+'Inputs'!$B$32)/1000+'Inputs'!$B$21))/SQRT((((432-43)*MAX('Inputs'!$B$33,'Inputs'!$B$29+'Inputs'!$B$31+'Inputs'!$B$32,'Inputs'!$B$30+'Inputs'!$B$31+'Inputs'!$B$32)/1000+'Inputs'!$B$21))^2+('Inputs'!$B$6/2)^2)))-'Results'!C7*(1-'Inputs'!$B$24)*(0.5*((((432-43)*MAX('Inputs'!$B$33,'Inputs'!$B$29+'Inputs'!$B$31+'Inputs'!$B$32,'Inputs'!$B$30+'Inputs'!$B$31+'Inputs'!$B$32)/1000+'Inputs'!$B$21+'Inputs'!$B$7+'Inputs'!$B$10)+'Inputs'!$B$9)/SQRT((((432-43)*MAX('Inputs'!$B$33,'Inputs'!$B$29+'Inputs'!$B$31+'Inputs'!$B$32,'Inputs'!$B$30+'Inputs'!$B$31+'Inputs'!$B$32)/1000+'Inputs'!$B$21+'Inputs'!$B$7+'Inputs'!$B$10)+'Inputs'!$B$9)^2+('Inputs'!$B$8/2)^2)-(((432-43)*MAX('Inputs'!$B$33,'Inputs'!$B$29+'Inputs'!$B$31+'Inputs'!$B$32,'Inputs'!$B$30+'Inputs'!$B$31+'Inputs'!$B$32)/1000+'Inputs'!$B$21+'Inputs'!$B$7+'Inputs'!$B$10))/SQRT((((432-43)*MAX('Inputs'!$B$33,'Inputs'!$B$29+'Inputs'!$B$31+'Inputs'!$B$32,'Inputs'!$B$30+'Inputs'!$B$31+'Inputs'!$B$32)/1000+'Inputs'!$B$21+'Inputs'!$B$7+'Inputs'!$B$10))^2+('Inputs'!$B$8/2)^2))))*'Results'!$B$8))),"")</x:f>
        <x:v>10.751315373897611</x:v>
      </x:c>
      <x:c r="M432" t="n">
        <x:f>IF(AND(ISNUMBER('Results'!C7),ISNUMBER('Results'!B7),ISNUMBER('Results'!$B$8),ISNUMBER('Inputs'!$B$6),ISNUMBER('Inputs'!$B$7),ISNUMBER('Inputs'!$B$8),ISNUMBER('Inputs'!$B$9),ISNUMBER('Inputs'!$B$10),ISNUMBER('Inputs'!$B$21),ISNUMBER('Inputs'!$B$24),ISNUMBER('Inputs'!$B$28)),(('Results'!C7*(0.5*((((432-43)*MAX('Inputs'!$B$33,'Inputs'!$B$29+'Inputs'!$B$31+'Inputs'!$B$32,'Inputs'!$B$30+'Inputs'!$B$31+'Inputs'!$B$32)/1000+'Inputs'!$B$21)+'Inputs'!$B$9)/SQRT((((432-43)*MAX('Inputs'!$B$33,'Inputs'!$B$29+'Inputs'!$B$31+'Inputs'!$B$32,'Inputs'!$B$30+'Inputs'!$B$31+'Inputs'!$B$32)/1000+'Inputs'!$B$21)+'Inputs'!$B$9)^2+('Inputs'!$B$8/2)^2)-(((432-43)*MAX('Inputs'!$B$33,'Inputs'!$B$29+'Inputs'!$B$31+'Inputs'!$B$32,'Inputs'!$B$30+'Inputs'!$B$31+'Inputs'!$B$32)/1000+'Inputs'!$B$21))/SQRT((((432-43)*MAX('Inputs'!$B$33,'Inputs'!$B$29+'Inputs'!$B$31+'Inputs'!$B$32,'Inputs'!$B$30+'Inputs'!$B$31+'Inputs'!$B$32)/1000+'Inputs'!$B$21))^2+('Inputs'!$B$8/2)^2)))-'Results'!B7*(0.5*((((432-43)*MAX('Inputs'!$B$33,'Inputs'!$B$29+'Inputs'!$B$31+'Inputs'!$B$32,'Inputs'!$B$30+'Inputs'!$B$31+'Inputs'!$B$32)/1000+'Inputs'!$B$21+'Inputs'!$B$9+'Inputs'!$B$10)+'Inputs'!$B$7)/SQRT((((432-43)*MAX('Inputs'!$B$33,'Inputs'!$B$29+'Inputs'!$B$31+'Inputs'!$B$32,'Inputs'!$B$30+'Inputs'!$B$31+'Inputs'!$B$32)/1000+'Inputs'!$B$21+'Inputs'!$B$9+'Inputs'!$B$10)+'Inputs'!$B$7)^2+('Inputs'!$B$6/2)^2)-(((432-43)*MAX('Inputs'!$B$33,'Inputs'!$B$29+'Inputs'!$B$31+'Inputs'!$B$32,'Inputs'!$B$30+'Inputs'!$B$31+'Inputs'!$B$32)/1000+'Inputs'!$B$21+'Inputs'!$B$9+'Inputs'!$B$10))/SQRT((((432-43)*MAX('Inputs'!$B$33,'Inputs'!$B$29+'Inputs'!$B$31+'Inputs'!$B$32,'Inputs'!$B$30+'Inputs'!$B$31+'Inputs'!$B$32)/1000+'Inputs'!$B$21+'Inputs'!$B$9+'Inputs'!$B$10))^2+('Inputs'!$B$6/2)^2))))*'Results'!$B$8),"")</x:f>
        <x:v>9.143409810863462</x:v>
      </x:c>
      <x:c r="N432" t="n">
        <x:f>IF(AND(ISNUMBER('Results'!C7),ISNUMBER('Results'!B7),ISNUMBER('Results'!$B$8),ISNUMBER('Inputs'!$B$6),ISNUMBER('Inputs'!$B$7),ISNUMBER('Inputs'!$B$8),ISNUMBER('Inputs'!$B$9),ISNUMBER('Inputs'!$B$10),ISNUMBER('Inputs'!$B$21),ISNUMBER('Inputs'!$B$24),ISNUMBER('Inputs'!$B$28)),((('Results'!C7*(1-'Inputs'!$B$24)*(0.5*((((432-43)*MAX('Inputs'!$B$33,'Inputs'!$B$29+'Inputs'!$B$31+'Inputs'!$B$32,'Inputs'!$B$30+'Inputs'!$B$31+'Inputs'!$B$32)/1000+'Inputs'!$B$21)+'Inputs'!$B$9)/SQRT((((432-43)*MAX('Inputs'!$B$33,'Inputs'!$B$29+'Inputs'!$B$31+'Inputs'!$B$32,'Inputs'!$B$30+'Inputs'!$B$31+'Inputs'!$B$32)/1000+'Inputs'!$B$21)+'Inputs'!$B$9)^2+('Inputs'!$B$8/2)^2)-(((432-43)*MAX('Inputs'!$B$33,'Inputs'!$B$29+'Inputs'!$B$31+'Inputs'!$B$32,'Inputs'!$B$30+'Inputs'!$B$31+'Inputs'!$B$32)/1000+'Inputs'!$B$21))/SQRT((((432-43)*MAX('Inputs'!$B$33,'Inputs'!$B$29+'Inputs'!$B$31+'Inputs'!$B$32,'Inputs'!$B$30+'Inputs'!$B$31+'Inputs'!$B$32)/1000+'Inputs'!$B$21))^2+('Inputs'!$B$8/2)^2)))-'Results'!B7*(1+'Inputs'!$B$24)*(0.5*((((432-43)*MAX('Inputs'!$B$33,'Inputs'!$B$29+'Inputs'!$B$31+'Inputs'!$B$32,'Inputs'!$B$30+'Inputs'!$B$31+'Inputs'!$B$32)/1000+'Inputs'!$B$21+'Inputs'!$B$9+'Inputs'!$B$10)+'Inputs'!$B$7)/SQRT((((432-43)*MAX('Inputs'!$B$33,'Inputs'!$B$29+'Inputs'!$B$31+'Inputs'!$B$32,'Inputs'!$B$30+'Inputs'!$B$31+'Inputs'!$B$32)/1000+'Inputs'!$B$21+'Inputs'!$B$9+'Inputs'!$B$10)+'Inputs'!$B$7)^2+('Inputs'!$B$6/2)^2)-(((432-43)*MAX('Inputs'!$B$33,'Inputs'!$B$29+'Inputs'!$B$31+'Inputs'!$B$32,'Inputs'!$B$30+'Inputs'!$B$31+'Inputs'!$B$32)/1000+'Inputs'!$B$21+'Inputs'!$B$9+'Inputs'!$B$10))/SQRT((((432-43)*MAX('Inputs'!$B$33,'Inputs'!$B$29+'Inputs'!$B$31+'Inputs'!$B$32,'Inputs'!$B$30+'Inputs'!$B$31+'Inputs'!$B$32)/1000+'Inputs'!$B$21+'Inputs'!$B$9+'Inputs'!$B$10))^2+('Inputs'!$B$6/2)^2))))*'Results'!$B$8)-'Inputs'!$B$28*ABS((('Results'!C7*(1-'Inputs'!$B$24)*(0.5*((((432-43)*MAX('Inputs'!$B$33,'Inputs'!$B$29+'Inputs'!$B$31+'Inputs'!$B$32,'Inputs'!$B$30+'Inputs'!$B$31+'Inputs'!$B$32)/1000+'Inputs'!$B$21)+'Inputs'!$B$9)/SQRT((((432-43)*MAX('Inputs'!$B$33,'Inputs'!$B$29+'Inputs'!$B$31+'Inputs'!$B$32,'Inputs'!$B$30+'Inputs'!$B$31+'Inputs'!$B$32)/1000+'Inputs'!$B$21)+'Inputs'!$B$9)^2+('Inputs'!$B$8/2)^2)-(((432-43)*MAX('Inputs'!$B$33,'Inputs'!$B$29+'Inputs'!$B$31+'Inputs'!$B$32,'Inputs'!$B$30+'Inputs'!$B$31+'Inputs'!$B$32)/1000+'Inputs'!$B$21))/SQRT((((432-43)*MAX('Inputs'!$B$33,'Inputs'!$B$29+'Inputs'!$B$31+'Inputs'!$B$32,'Inputs'!$B$30+'Inputs'!$B$31+'Inputs'!$B$32)/1000+'Inputs'!$B$21))^2+('Inputs'!$B$8/2)^2)))-'Results'!B7*(1+'Inputs'!$B$24)*(0.5*((((432-43)*MAX('Inputs'!$B$33,'Inputs'!$B$29+'Inputs'!$B$31+'Inputs'!$B$32,'Inputs'!$B$30+'Inputs'!$B$31+'Inputs'!$B$32)/1000+'Inputs'!$B$21+'Inputs'!$B$9+'Inputs'!$B$10)+'Inputs'!$B$7)/SQRT((((432-43)*MAX('Inputs'!$B$33,'Inputs'!$B$29+'Inputs'!$B$31+'Inputs'!$B$32,'Inputs'!$B$30+'Inputs'!$B$31+'Inputs'!$B$32)/1000+'Inputs'!$B$21+'Inputs'!$B$9+'Inputs'!$B$10)+'Inputs'!$B$7)^2+('Inputs'!$B$6/2)^2)-(((432-43)*MAX('Inputs'!$B$33,'Inputs'!$B$29+'Inputs'!$B$31+'Inputs'!$B$32,'Inputs'!$B$30+'Inputs'!$B$31+'Inputs'!$B$32)/1000+'Inputs'!$B$21+'Inputs'!$B$9+'Inputs'!$B$10))/SQRT((((432-43)*MAX('Inputs'!$B$33,'Inputs'!$B$29+'Inputs'!$B$31+'Inputs'!$B$32,'Inputs'!$B$30+'Inputs'!$B$31+'Inputs'!$B$32)/1000+'Inputs'!$B$21+'Inputs'!$B$9+'Inputs'!$B$10))^2+('Inputs'!$B$6/2)^2))))*'Results'!$B$8))),"")</x:f>
        <x:v>8.170991410307556</x:v>
      </x:c>
      <x:c r="O432" t="n">
        <x:f>IF(AND(ISNUMBER('Results'!C7),ISNUMBER('Results'!B7),ISNUMBER('Results'!$B$8),ISNUMBER('Inputs'!$B$6),ISNUMBER('Inputs'!$B$7),ISNUMBER('Inputs'!$B$8),ISNUMBER('Inputs'!$B$9),ISNUMBER('Inputs'!$B$10),ISNUMBER('Inputs'!$B$21),ISNUMBER('Inputs'!$B$24),ISNUMBER('Inputs'!$B$28)),((('Results'!C7*(1+'Inputs'!$B$24)*(0.5*((((432-43)*MAX('Inputs'!$B$33,'Inputs'!$B$29+'Inputs'!$B$31+'Inputs'!$B$32,'Inputs'!$B$30+'Inputs'!$B$31+'Inputs'!$B$32)/1000+'Inputs'!$B$21)+'Inputs'!$B$9)/SQRT((((432-43)*MAX('Inputs'!$B$33,'Inputs'!$B$29+'Inputs'!$B$31+'Inputs'!$B$32,'Inputs'!$B$30+'Inputs'!$B$31+'Inputs'!$B$32)/1000+'Inputs'!$B$21)+'Inputs'!$B$9)^2+('Inputs'!$B$8/2)^2)-(((432-43)*MAX('Inputs'!$B$33,'Inputs'!$B$29+'Inputs'!$B$31+'Inputs'!$B$32,'Inputs'!$B$30+'Inputs'!$B$31+'Inputs'!$B$32)/1000+'Inputs'!$B$21))/SQRT((((432-43)*MAX('Inputs'!$B$33,'Inputs'!$B$29+'Inputs'!$B$31+'Inputs'!$B$32,'Inputs'!$B$30+'Inputs'!$B$31+'Inputs'!$B$32)/1000+'Inputs'!$B$21))^2+('Inputs'!$B$8/2)^2)))-'Results'!B7*(1-'Inputs'!$B$24)*(0.5*((((432-43)*MAX('Inputs'!$B$33,'Inputs'!$B$29+'Inputs'!$B$31+'Inputs'!$B$32,'Inputs'!$B$30+'Inputs'!$B$31+'Inputs'!$B$32)/1000+'Inputs'!$B$21+'Inputs'!$B$9+'Inputs'!$B$10)+'Inputs'!$B$7)/SQRT((((432-43)*MAX('Inputs'!$B$33,'Inputs'!$B$29+'Inputs'!$B$31+'Inputs'!$B$32,'Inputs'!$B$30+'Inputs'!$B$31+'Inputs'!$B$32)/1000+'Inputs'!$B$21+'Inputs'!$B$9+'Inputs'!$B$10)+'Inputs'!$B$7)^2+('Inputs'!$B$6/2)^2)-(((432-43)*MAX('Inputs'!$B$33,'Inputs'!$B$29+'Inputs'!$B$31+'Inputs'!$B$32,'Inputs'!$B$30+'Inputs'!$B$31+'Inputs'!$B$32)/1000+'Inputs'!$B$21+'Inputs'!$B$9+'Inputs'!$B$10))/SQRT((((432-43)*MAX('Inputs'!$B$33,'Inputs'!$B$29+'Inputs'!$B$31+'Inputs'!$B$32,'Inputs'!$B$30+'Inputs'!$B$31+'Inputs'!$B$32)/1000+'Inputs'!$B$21+'Inputs'!$B$9+'Inputs'!$B$10))^2+('Inputs'!$B$6/2)^2))))*'Results'!$B$8)+'Inputs'!$B$28*ABS((('Results'!C7*(1+'Inputs'!$B$24)*(0.5*((((432-43)*MAX('Inputs'!$B$33,'Inputs'!$B$29+'Inputs'!$B$31+'Inputs'!$B$32,'Inputs'!$B$30+'Inputs'!$B$31+'Inputs'!$B$32)/1000+'Inputs'!$B$21)+'Inputs'!$B$9)/SQRT((((432-43)*MAX('Inputs'!$B$33,'Inputs'!$B$29+'Inputs'!$B$31+'Inputs'!$B$32,'Inputs'!$B$30+'Inputs'!$B$31+'Inputs'!$B$32)/1000+'Inputs'!$B$21)+'Inputs'!$B$9)^2+('Inputs'!$B$8/2)^2)-(((432-43)*MAX('Inputs'!$B$33,'Inputs'!$B$29+'Inputs'!$B$31+'Inputs'!$B$32,'Inputs'!$B$30+'Inputs'!$B$31+'Inputs'!$B$32)/1000+'Inputs'!$B$21))/SQRT((((432-43)*MAX('Inputs'!$B$33,'Inputs'!$B$29+'Inputs'!$B$31+'Inputs'!$B$32,'Inputs'!$B$30+'Inputs'!$B$31+'Inputs'!$B$32)/1000+'Inputs'!$B$21))^2+('Inputs'!$B$8/2)^2)))-'Results'!B7*(1-'Inputs'!$B$24)*(0.5*((((432-43)*MAX('Inputs'!$B$33,'Inputs'!$B$29+'Inputs'!$B$31+'Inputs'!$B$32,'Inputs'!$B$30+'Inputs'!$B$31+'Inputs'!$B$32)/1000+'Inputs'!$B$21+'Inputs'!$B$9+'Inputs'!$B$10)+'Inputs'!$B$7)/SQRT((((432-43)*MAX('Inputs'!$B$33,'Inputs'!$B$29+'Inputs'!$B$31+'Inputs'!$B$32,'Inputs'!$B$30+'Inputs'!$B$31+'Inputs'!$B$32)/1000+'Inputs'!$B$21+'Inputs'!$B$9+'Inputs'!$B$10)+'Inputs'!$B$7)^2+('Inputs'!$B$6/2)^2)-(((432-43)*MAX('Inputs'!$B$33,'Inputs'!$B$29+'Inputs'!$B$31+'Inputs'!$B$32,'Inputs'!$B$30+'Inputs'!$B$31+'Inputs'!$B$32)/1000+'Inputs'!$B$21+'Inputs'!$B$9+'Inputs'!$B$10))/SQRT((((432-43)*MAX('Inputs'!$B$33,'Inputs'!$B$29+'Inputs'!$B$31+'Inputs'!$B$32,'Inputs'!$B$30+'Inputs'!$B$31+'Inputs'!$B$32)/1000+'Inputs'!$B$21+'Inputs'!$B$9+'Inputs'!$B$10))^2+('Inputs'!$B$6/2)^2))))*'Results'!$B$8))),"")</x:f>
        <x:v>10.170064833525975</x:v>
      </x:c>
      <x:c r="P432" t="n">
        <x:f>IF(AND(MAX(J432,J431)&gt;0,J432&gt;J431+0.00000001),1,0)</x:f>
        <x:v>0</x:v>
      </x:c>
      <x:c r="Q432" t="n">
        <x:f>IF(AND(MAX(K432,K431)&gt;0,K432&gt;K431+0.00000001),1,0)</x:f>
        <x:v>0</x:v>
      </x:c>
      <x:c r="R432" t="n">
        <x:f>IF(AND(MAX(L432,L431)&gt;0,L432&gt;L431+0.00000001),1,0)</x:f>
        <x:v>0</x:v>
      </x:c>
      <x:c r="S432" t="n">
        <x:f>IF(AND(MAX(M432,M431)&gt;0,M432&gt;M431+0.00000001),1,0)</x:f>
        <x:v>0</x:v>
      </x:c>
      <x:c r="T432" t="n">
        <x:f>IF(AND(MAX(N432,N431)&gt;0,N432&gt;N431+0.00000001),1,0)</x:f>
        <x:v>0</x:v>
      </x:c>
      <x:c r="U432" t="n">
        <x:f>IF(AND(MAX(O432,O431)&gt;0,O432&gt;O431+0.00000001),1,0)</x:f>
        <x:v>0</x:v>
      </x:c>
    </x:row>
    <x:row r="433">
      <x:c r="J433" t="n">
        <x:f>IF(AND(ISNUMBER('Results'!B7),ISNUMBER('Results'!C7),ISNUMBER('Results'!$B$8),ISNUMBER('Inputs'!$B$6),ISNUMBER('Inputs'!$B$7),ISNUMBER('Inputs'!$B$8),ISNUMBER('Inputs'!$B$9),ISNUMBER('Inputs'!$B$10),ISNUMBER('Inputs'!$B$21),ISNUMBER('Inputs'!$B$24),ISNUMBER('Inputs'!$B$28)),(('Results'!B7*(0.5*((((433-43)*MAX('Inputs'!$B$33,'Inputs'!$B$29+'Inputs'!$B$31+'Inputs'!$B$32,'Inputs'!$B$30+'Inputs'!$B$31+'Inputs'!$B$32)/1000+'Inputs'!$B$21)+'Inputs'!$B$7)/SQRT((((433-43)*MAX('Inputs'!$B$33,'Inputs'!$B$29+'Inputs'!$B$31+'Inputs'!$B$32,'Inputs'!$B$30+'Inputs'!$B$31+'Inputs'!$B$32)/1000+'Inputs'!$B$21)+'Inputs'!$B$7)^2+('Inputs'!$B$6/2)^2)-(((433-43)*MAX('Inputs'!$B$33,'Inputs'!$B$29+'Inputs'!$B$31+'Inputs'!$B$32,'Inputs'!$B$30+'Inputs'!$B$31+'Inputs'!$B$32)/1000+'Inputs'!$B$21))/SQRT((((433-43)*MAX('Inputs'!$B$33,'Inputs'!$B$29+'Inputs'!$B$31+'Inputs'!$B$32,'Inputs'!$B$30+'Inputs'!$B$31+'Inputs'!$B$32)/1000+'Inputs'!$B$21))^2+('Inputs'!$B$6/2)^2)))-'Results'!C7*(0.5*((((433-43)*MAX('Inputs'!$B$33,'Inputs'!$B$29+'Inputs'!$B$31+'Inputs'!$B$32,'Inputs'!$B$30+'Inputs'!$B$31+'Inputs'!$B$32)/1000+'Inputs'!$B$21+'Inputs'!$B$7+'Inputs'!$B$10)+'Inputs'!$B$9)/SQRT((((433-43)*MAX('Inputs'!$B$33,'Inputs'!$B$29+'Inputs'!$B$31+'Inputs'!$B$32,'Inputs'!$B$30+'Inputs'!$B$31+'Inputs'!$B$32)/1000+'Inputs'!$B$21+'Inputs'!$B$7+'Inputs'!$B$10)+'Inputs'!$B$9)^2+('Inputs'!$B$8/2)^2)-(((433-43)*MAX('Inputs'!$B$33,'Inputs'!$B$29+'Inputs'!$B$31+'Inputs'!$B$32,'Inputs'!$B$30+'Inputs'!$B$31+'Inputs'!$B$32)/1000+'Inputs'!$B$21+'Inputs'!$B$7+'Inputs'!$B$10))/SQRT((((433-43)*MAX('Inputs'!$B$33,'Inputs'!$B$29+'Inputs'!$B$31+'Inputs'!$B$32,'Inputs'!$B$30+'Inputs'!$B$31+'Inputs'!$B$32)/1000+'Inputs'!$B$21+'Inputs'!$B$7+'Inputs'!$B$10))^2+('Inputs'!$B$8/2)^2))))*'Results'!$B$8),"")</x:f>
        <x:v>9.611844693862057</x:v>
      </x:c>
      <x:c r="K433" t="n">
        <x:f>IF(AND(ISNUMBER('Results'!B7),ISNUMBER('Results'!C7),ISNUMBER('Results'!$B$8),ISNUMBER('Inputs'!$B$6),ISNUMBER('Inputs'!$B$7),ISNUMBER('Inputs'!$B$8),ISNUMBER('Inputs'!$B$9),ISNUMBER('Inputs'!$B$10),ISNUMBER('Inputs'!$B$21),ISNUMBER('Inputs'!$B$24),ISNUMBER('Inputs'!$B$28)),((('Results'!B7*(1-'Inputs'!$B$24)*(0.5*((((433-43)*MAX('Inputs'!$B$33,'Inputs'!$B$29+'Inputs'!$B$31+'Inputs'!$B$32,'Inputs'!$B$30+'Inputs'!$B$31+'Inputs'!$B$32)/1000+'Inputs'!$B$21)+'Inputs'!$B$7)/SQRT((((433-43)*MAX('Inputs'!$B$33,'Inputs'!$B$29+'Inputs'!$B$31+'Inputs'!$B$32,'Inputs'!$B$30+'Inputs'!$B$31+'Inputs'!$B$32)/1000+'Inputs'!$B$21)+'Inputs'!$B$7)^2+('Inputs'!$B$6/2)^2)-(((433-43)*MAX('Inputs'!$B$33,'Inputs'!$B$29+'Inputs'!$B$31+'Inputs'!$B$32,'Inputs'!$B$30+'Inputs'!$B$31+'Inputs'!$B$32)/1000+'Inputs'!$B$21))/SQRT((((433-43)*MAX('Inputs'!$B$33,'Inputs'!$B$29+'Inputs'!$B$31+'Inputs'!$B$32,'Inputs'!$B$30+'Inputs'!$B$31+'Inputs'!$B$32)/1000+'Inputs'!$B$21))^2+('Inputs'!$B$6/2)^2)))-'Results'!C7*(1+'Inputs'!$B$24)*(0.5*((((433-43)*MAX('Inputs'!$B$33,'Inputs'!$B$29+'Inputs'!$B$31+'Inputs'!$B$32,'Inputs'!$B$30+'Inputs'!$B$31+'Inputs'!$B$32)/1000+'Inputs'!$B$21+'Inputs'!$B$7+'Inputs'!$B$10)+'Inputs'!$B$9)/SQRT((((433-43)*MAX('Inputs'!$B$33,'Inputs'!$B$29+'Inputs'!$B$31+'Inputs'!$B$32,'Inputs'!$B$30+'Inputs'!$B$31+'Inputs'!$B$32)/1000+'Inputs'!$B$21+'Inputs'!$B$7+'Inputs'!$B$10)+'Inputs'!$B$9)^2+('Inputs'!$B$8/2)^2)-(((433-43)*MAX('Inputs'!$B$33,'Inputs'!$B$29+'Inputs'!$B$31+'Inputs'!$B$32,'Inputs'!$B$30+'Inputs'!$B$31+'Inputs'!$B$32)/1000+'Inputs'!$B$21+'Inputs'!$B$7+'Inputs'!$B$10))/SQRT((((433-43)*MAX('Inputs'!$B$33,'Inputs'!$B$29+'Inputs'!$B$31+'Inputs'!$B$32,'Inputs'!$B$30+'Inputs'!$B$31+'Inputs'!$B$32)/1000+'Inputs'!$B$21+'Inputs'!$B$7+'Inputs'!$B$10))^2+('Inputs'!$B$8/2)^2))))*'Results'!$B$8)-'Inputs'!$B$28*ABS((('Results'!B7*(1-'Inputs'!$B$24)*(0.5*((((433-43)*MAX('Inputs'!$B$33,'Inputs'!$B$29+'Inputs'!$B$31+'Inputs'!$B$32,'Inputs'!$B$30+'Inputs'!$B$31+'Inputs'!$B$32)/1000+'Inputs'!$B$21)+'Inputs'!$B$7)/SQRT((((433-43)*MAX('Inputs'!$B$33,'Inputs'!$B$29+'Inputs'!$B$31+'Inputs'!$B$32,'Inputs'!$B$30+'Inputs'!$B$31+'Inputs'!$B$32)/1000+'Inputs'!$B$21)+'Inputs'!$B$7)^2+('Inputs'!$B$6/2)^2)-(((433-43)*MAX('Inputs'!$B$33,'Inputs'!$B$29+'Inputs'!$B$31+'Inputs'!$B$32,'Inputs'!$B$30+'Inputs'!$B$31+'Inputs'!$B$32)/1000+'Inputs'!$B$21))/SQRT((((433-43)*MAX('Inputs'!$B$33,'Inputs'!$B$29+'Inputs'!$B$31+'Inputs'!$B$32,'Inputs'!$B$30+'Inputs'!$B$31+'Inputs'!$B$32)/1000+'Inputs'!$B$21))^2+('Inputs'!$B$6/2)^2)))-'Results'!C7*(1+'Inputs'!$B$24)*(0.5*((((433-43)*MAX('Inputs'!$B$33,'Inputs'!$B$29+'Inputs'!$B$31+'Inputs'!$B$32,'Inputs'!$B$30+'Inputs'!$B$31+'Inputs'!$B$32)/1000+'Inputs'!$B$21+'Inputs'!$B$7+'Inputs'!$B$10)+'Inputs'!$B$9)/SQRT((((433-43)*MAX('Inputs'!$B$33,'Inputs'!$B$29+'Inputs'!$B$31+'Inputs'!$B$32,'Inputs'!$B$30+'Inputs'!$B$31+'Inputs'!$B$32)/1000+'Inputs'!$B$21+'Inputs'!$B$7+'Inputs'!$B$10)+'Inputs'!$B$9)^2+('Inputs'!$B$8/2)^2)-(((433-43)*MAX('Inputs'!$B$33,'Inputs'!$B$29+'Inputs'!$B$31+'Inputs'!$B$32,'Inputs'!$B$30+'Inputs'!$B$31+'Inputs'!$B$32)/1000+'Inputs'!$B$21+'Inputs'!$B$7+'Inputs'!$B$10))/SQRT((((433-43)*MAX('Inputs'!$B$33,'Inputs'!$B$29+'Inputs'!$B$31+'Inputs'!$B$32,'Inputs'!$B$30+'Inputs'!$B$31+'Inputs'!$B$32)/1000+'Inputs'!$B$21+'Inputs'!$B$7+'Inputs'!$B$10))^2+('Inputs'!$B$8/2)^2))))*'Results'!$B$8))),"")</x:f>
        <x:v>8.61580589842339</x:v>
      </x:c>
      <x:c r="L433" t="n">
        <x:f>IF(AND(ISNUMBER('Results'!B7),ISNUMBER('Results'!C7),ISNUMBER('Results'!$B$8),ISNUMBER('Inputs'!$B$6),ISNUMBER('Inputs'!$B$7),ISNUMBER('Inputs'!$B$8),ISNUMBER('Inputs'!$B$9),ISNUMBER('Inputs'!$B$10),ISNUMBER('Inputs'!$B$21),ISNUMBER('Inputs'!$B$24),ISNUMBER('Inputs'!$B$28)),((('Results'!B7*(1+'Inputs'!$B$24)*(0.5*((((433-43)*MAX('Inputs'!$B$33,'Inputs'!$B$29+'Inputs'!$B$31+'Inputs'!$B$32,'Inputs'!$B$30+'Inputs'!$B$31+'Inputs'!$B$32)/1000+'Inputs'!$B$21)+'Inputs'!$B$7)/SQRT((((433-43)*MAX('Inputs'!$B$33,'Inputs'!$B$29+'Inputs'!$B$31+'Inputs'!$B$32,'Inputs'!$B$30+'Inputs'!$B$31+'Inputs'!$B$32)/1000+'Inputs'!$B$21)+'Inputs'!$B$7)^2+('Inputs'!$B$6/2)^2)-(((433-43)*MAX('Inputs'!$B$33,'Inputs'!$B$29+'Inputs'!$B$31+'Inputs'!$B$32,'Inputs'!$B$30+'Inputs'!$B$31+'Inputs'!$B$32)/1000+'Inputs'!$B$21))/SQRT((((433-43)*MAX('Inputs'!$B$33,'Inputs'!$B$29+'Inputs'!$B$31+'Inputs'!$B$32,'Inputs'!$B$30+'Inputs'!$B$31+'Inputs'!$B$32)/1000+'Inputs'!$B$21))^2+('Inputs'!$B$6/2)^2)))-'Results'!C7*(1-'Inputs'!$B$24)*(0.5*((((433-43)*MAX('Inputs'!$B$33,'Inputs'!$B$29+'Inputs'!$B$31+'Inputs'!$B$32,'Inputs'!$B$30+'Inputs'!$B$31+'Inputs'!$B$32)/1000+'Inputs'!$B$21+'Inputs'!$B$7+'Inputs'!$B$10)+'Inputs'!$B$9)/SQRT((((433-43)*MAX('Inputs'!$B$33,'Inputs'!$B$29+'Inputs'!$B$31+'Inputs'!$B$32,'Inputs'!$B$30+'Inputs'!$B$31+'Inputs'!$B$32)/1000+'Inputs'!$B$21+'Inputs'!$B$7+'Inputs'!$B$10)+'Inputs'!$B$9)^2+('Inputs'!$B$8/2)^2)-(((433-43)*MAX('Inputs'!$B$33,'Inputs'!$B$29+'Inputs'!$B$31+'Inputs'!$B$32,'Inputs'!$B$30+'Inputs'!$B$31+'Inputs'!$B$32)/1000+'Inputs'!$B$21+'Inputs'!$B$7+'Inputs'!$B$10))/SQRT((((433-43)*MAX('Inputs'!$B$33,'Inputs'!$B$29+'Inputs'!$B$31+'Inputs'!$B$32,'Inputs'!$B$30+'Inputs'!$B$31+'Inputs'!$B$32)/1000+'Inputs'!$B$21+'Inputs'!$B$7+'Inputs'!$B$10))^2+('Inputs'!$B$8/2)^2))))*'Results'!$B$8)+'Inputs'!$B$28*ABS((('Results'!B7*(1+'Inputs'!$B$24)*(0.5*((((433-43)*MAX('Inputs'!$B$33,'Inputs'!$B$29+'Inputs'!$B$31+'Inputs'!$B$32,'Inputs'!$B$30+'Inputs'!$B$31+'Inputs'!$B$32)/1000+'Inputs'!$B$21)+'Inputs'!$B$7)/SQRT((((433-43)*MAX('Inputs'!$B$33,'Inputs'!$B$29+'Inputs'!$B$31+'Inputs'!$B$32,'Inputs'!$B$30+'Inputs'!$B$31+'Inputs'!$B$32)/1000+'Inputs'!$B$21)+'Inputs'!$B$7)^2+('Inputs'!$B$6/2)^2)-(((433-43)*MAX('Inputs'!$B$33,'Inputs'!$B$29+'Inputs'!$B$31+'Inputs'!$B$32,'Inputs'!$B$30+'Inputs'!$B$31+'Inputs'!$B$32)/1000+'Inputs'!$B$21))/SQRT((((433-43)*MAX('Inputs'!$B$33,'Inputs'!$B$29+'Inputs'!$B$31+'Inputs'!$B$32,'Inputs'!$B$30+'Inputs'!$B$31+'Inputs'!$B$32)/1000+'Inputs'!$B$21))^2+('Inputs'!$B$6/2)^2)))-'Results'!C7*(1-'Inputs'!$B$24)*(0.5*((((433-43)*MAX('Inputs'!$B$33,'Inputs'!$B$29+'Inputs'!$B$31+'Inputs'!$B$32,'Inputs'!$B$30+'Inputs'!$B$31+'Inputs'!$B$32)/1000+'Inputs'!$B$21+'Inputs'!$B$7+'Inputs'!$B$10)+'Inputs'!$B$9)/SQRT((((433-43)*MAX('Inputs'!$B$33,'Inputs'!$B$29+'Inputs'!$B$31+'Inputs'!$B$32,'Inputs'!$B$30+'Inputs'!$B$31+'Inputs'!$B$32)/1000+'Inputs'!$B$21+'Inputs'!$B$7+'Inputs'!$B$10)+'Inputs'!$B$9)^2+('Inputs'!$B$8/2)^2)-(((433-43)*MAX('Inputs'!$B$33,'Inputs'!$B$29+'Inputs'!$B$31+'Inputs'!$B$32,'Inputs'!$B$30+'Inputs'!$B$31+'Inputs'!$B$32)/1000+'Inputs'!$B$21+'Inputs'!$B$7+'Inputs'!$B$10))/SQRT((((433-43)*MAX('Inputs'!$B$33,'Inputs'!$B$29+'Inputs'!$B$31+'Inputs'!$B$32,'Inputs'!$B$30+'Inputs'!$B$31+'Inputs'!$B$32)/1000+'Inputs'!$B$21+'Inputs'!$B$7+'Inputs'!$B$10))^2+('Inputs'!$B$8/2)^2))))*'Results'!$B$8))),"")</x:f>
        <x:v>10.662141022010783</x:v>
      </x:c>
      <x:c r="M433" t="n">
        <x:f>IF(AND(ISNUMBER('Results'!C7),ISNUMBER('Results'!B7),ISNUMBER('Results'!$B$8),ISNUMBER('Inputs'!$B$6),ISNUMBER('Inputs'!$B$7),ISNUMBER('Inputs'!$B$8),ISNUMBER('Inputs'!$B$9),ISNUMBER('Inputs'!$B$10),ISNUMBER('Inputs'!$B$21),ISNUMBER('Inputs'!$B$24),ISNUMBER('Inputs'!$B$28)),(('Results'!C7*(0.5*((((433-43)*MAX('Inputs'!$B$33,'Inputs'!$B$29+'Inputs'!$B$31+'Inputs'!$B$32,'Inputs'!$B$30+'Inputs'!$B$31+'Inputs'!$B$32)/1000+'Inputs'!$B$21)+'Inputs'!$B$9)/SQRT((((433-43)*MAX('Inputs'!$B$33,'Inputs'!$B$29+'Inputs'!$B$31+'Inputs'!$B$32,'Inputs'!$B$30+'Inputs'!$B$31+'Inputs'!$B$32)/1000+'Inputs'!$B$21)+'Inputs'!$B$9)^2+('Inputs'!$B$8/2)^2)-(((433-43)*MAX('Inputs'!$B$33,'Inputs'!$B$29+'Inputs'!$B$31+'Inputs'!$B$32,'Inputs'!$B$30+'Inputs'!$B$31+'Inputs'!$B$32)/1000+'Inputs'!$B$21))/SQRT((((433-43)*MAX('Inputs'!$B$33,'Inputs'!$B$29+'Inputs'!$B$31+'Inputs'!$B$32,'Inputs'!$B$30+'Inputs'!$B$31+'Inputs'!$B$32)/1000+'Inputs'!$B$21))^2+('Inputs'!$B$8/2)^2)))-'Results'!B7*(0.5*((((433-43)*MAX('Inputs'!$B$33,'Inputs'!$B$29+'Inputs'!$B$31+'Inputs'!$B$32,'Inputs'!$B$30+'Inputs'!$B$31+'Inputs'!$B$32)/1000+'Inputs'!$B$21+'Inputs'!$B$9+'Inputs'!$B$10)+'Inputs'!$B$7)/SQRT((((433-43)*MAX('Inputs'!$B$33,'Inputs'!$B$29+'Inputs'!$B$31+'Inputs'!$B$32,'Inputs'!$B$30+'Inputs'!$B$31+'Inputs'!$B$32)/1000+'Inputs'!$B$21+'Inputs'!$B$9+'Inputs'!$B$10)+'Inputs'!$B$7)^2+('Inputs'!$B$6/2)^2)-(((433-43)*MAX('Inputs'!$B$33,'Inputs'!$B$29+'Inputs'!$B$31+'Inputs'!$B$32,'Inputs'!$B$30+'Inputs'!$B$31+'Inputs'!$B$32)/1000+'Inputs'!$B$21+'Inputs'!$B$9+'Inputs'!$B$10))/SQRT((((433-43)*MAX('Inputs'!$B$33,'Inputs'!$B$29+'Inputs'!$B$31+'Inputs'!$B$32,'Inputs'!$B$30+'Inputs'!$B$31+'Inputs'!$B$32)/1000+'Inputs'!$B$21+'Inputs'!$B$9+'Inputs'!$B$10))^2+('Inputs'!$B$6/2)^2))))*'Results'!$B$8),"")</x:f>
        <x:v>9.065694484789798</x:v>
      </x:c>
      <x:c r="N433" t="n">
        <x:f>IF(AND(ISNUMBER('Results'!C7),ISNUMBER('Results'!B7),ISNUMBER('Results'!$B$8),ISNUMBER('Inputs'!$B$6),ISNUMBER('Inputs'!$B$7),ISNUMBER('Inputs'!$B$8),ISNUMBER('Inputs'!$B$9),ISNUMBER('Inputs'!$B$10),ISNUMBER('Inputs'!$B$21),ISNUMBER('Inputs'!$B$24),ISNUMBER('Inputs'!$B$28)),((('Results'!C7*(1-'Inputs'!$B$24)*(0.5*((((433-43)*MAX('Inputs'!$B$33,'Inputs'!$B$29+'Inputs'!$B$31+'Inputs'!$B$32,'Inputs'!$B$30+'Inputs'!$B$31+'Inputs'!$B$32)/1000+'Inputs'!$B$21)+'Inputs'!$B$9)/SQRT((((433-43)*MAX('Inputs'!$B$33,'Inputs'!$B$29+'Inputs'!$B$31+'Inputs'!$B$32,'Inputs'!$B$30+'Inputs'!$B$31+'Inputs'!$B$32)/1000+'Inputs'!$B$21)+'Inputs'!$B$9)^2+('Inputs'!$B$8/2)^2)-(((433-43)*MAX('Inputs'!$B$33,'Inputs'!$B$29+'Inputs'!$B$31+'Inputs'!$B$32,'Inputs'!$B$30+'Inputs'!$B$31+'Inputs'!$B$32)/1000+'Inputs'!$B$21))/SQRT((((433-43)*MAX('Inputs'!$B$33,'Inputs'!$B$29+'Inputs'!$B$31+'Inputs'!$B$32,'Inputs'!$B$30+'Inputs'!$B$31+'Inputs'!$B$32)/1000+'Inputs'!$B$21))^2+('Inputs'!$B$8/2)^2)))-'Results'!B7*(1+'Inputs'!$B$24)*(0.5*((((433-43)*MAX('Inputs'!$B$33,'Inputs'!$B$29+'Inputs'!$B$31+'Inputs'!$B$32,'Inputs'!$B$30+'Inputs'!$B$31+'Inputs'!$B$32)/1000+'Inputs'!$B$21+'Inputs'!$B$9+'Inputs'!$B$10)+'Inputs'!$B$7)/SQRT((((433-43)*MAX('Inputs'!$B$33,'Inputs'!$B$29+'Inputs'!$B$31+'Inputs'!$B$32,'Inputs'!$B$30+'Inputs'!$B$31+'Inputs'!$B$32)/1000+'Inputs'!$B$21+'Inputs'!$B$9+'Inputs'!$B$10)+'Inputs'!$B$7)^2+('Inputs'!$B$6/2)^2)-(((433-43)*MAX('Inputs'!$B$33,'Inputs'!$B$29+'Inputs'!$B$31+'Inputs'!$B$32,'Inputs'!$B$30+'Inputs'!$B$31+'Inputs'!$B$32)/1000+'Inputs'!$B$21+'Inputs'!$B$9+'Inputs'!$B$10))/SQRT((((433-43)*MAX('Inputs'!$B$33,'Inputs'!$B$29+'Inputs'!$B$31+'Inputs'!$B$32,'Inputs'!$B$30+'Inputs'!$B$31+'Inputs'!$B$32)/1000+'Inputs'!$B$21+'Inputs'!$B$9+'Inputs'!$B$10))^2+('Inputs'!$B$6/2)^2))))*'Results'!$B$8)-'Inputs'!$B$28*ABS((('Results'!C7*(1-'Inputs'!$B$24)*(0.5*((((433-43)*MAX('Inputs'!$B$33,'Inputs'!$B$29+'Inputs'!$B$31+'Inputs'!$B$32,'Inputs'!$B$30+'Inputs'!$B$31+'Inputs'!$B$32)/1000+'Inputs'!$B$21)+'Inputs'!$B$9)/SQRT((((433-43)*MAX('Inputs'!$B$33,'Inputs'!$B$29+'Inputs'!$B$31+'Inputs'!$B$32,'Inputs'!$B$30+'Inputs'!$B$31+'Inputs'!$B$32)/1000+'Inputs'!$B$21)+'Inputs'!$B$9)^2+('Inputs'!$B$8/2)^2)-(((433-43)*MAX('Inputs'!$B$33,'Inputs'!$B$29+'Inputs'!$B$31+'Inputs'!$B$32,'Inputs'!$B$30+'Inputs'!$B$31+'Inputs'!$B$32)/1000+'Inputs'!$B$21))/SQRT((((433-43)*MAX('Inputs'!$B$33,'Inputs'!$B$29+'Inputs'!$B$31+'Inputs'!$B$32,'Inputs'!$B$30+'Inputs'!$B$31+'Inputs'!$B$32)/1000+'Inputs'!$B$21))^2+('Inputs'!$B$8/2)^2)))-'Results'!B7*(1+'Inputs'!$B$24)*(0.5*((((433-43)*MAX('Inputs'!$B$33,'Inputs'!$B$29+'Inputs'!$B$31+'Inputs'!$B$32,'Inputs'!$B$30+'Inputs'!$B$31+'Inputs'!$B$32)/1000+'Inputs'!$B$21+'Inputs'!$B$9+'Inputs'!$B$10)+'Inputs'!$B$7)/SQRT((((433-43)*MAX('Inputs'!$B$33,'Inputs'!$B$29+'Inputs'!$B$31+'Inputs'!$B$32,'Inputs'!$B$30+'Inputs'!$B$31+'Inputs'!$B$32)/1000+'Inputs'!$B$21+'Inputs'!$B$9+'Inputs'!$B$10)+'Inputs'!$B$7)^2+('Inputs'!$B$6/2)^2)-(((433-43)*MAX('Inputs'!$B$33,'Inputs'!$B$29+'Inputs'!$B$31+'Inputs'!$B$32,'Inputs'!$B$30+'Inputs'!$B$31+'Inputs'!$B$32)/1000+'Inputs'!$B$21+'Inputs'!$B$9+'Inputs'!$B$10))/SQRT((((433-43)*MAX('Inputs'!$B$33,'Inputs'!$B$29+'Inputs'!$B$31+'Inputs'!$B$32,'Inputs'!$B$30+'Inputs'!$B$31+'Inputs'!$B$32)/1000+'Inputs'!$B$21+'Inputs'!$B$9+'Inputs'!$B$10))^2+('Inputs'!$B$6/2)^2))))*'Results'!$B$8))),"")</x:f>
        <x:v>8.100547778030949</x:v>
      </x:c>
      <x:c r="O433" t="n">
        <x:f>IF(AND(ISNUMBER('Results'!C7),ISNUMBER('Results'!B7),ISNUMBER('Results'!$B$8),ISNUMBER('Inputs'!$B$6),ISNUMBER('Inputs'!$B$7),ISNUMBER('Inputs'!$B$8),ISNUMBER('Inputs'!$B$9),ISNUMBER('Inputs'!$B$10),ISNUMBER('Inputs'!$B$21),ISNUMBER('Inputs'!$B$24),ISNUMBER('Inputs'!$B$28)),((('Results'!C7*(1+'Inputs'!$B$24)*(0.5*((((433-43)*MAX('Inputs'!$B$33,'Inputs'!$B$29+'Inputs'!$B$31+'Inputs'!$B$32,'Inputs'!$B$30+'Inputs'!$B$31+'Inputs'!$B$32)/1000+'Inputs'!$B$21)+'Inputs'!$B$9)/SQRT((((433-43)*MAX('Inputs'!$B$33,'Inputs'!$B$29+'Inputs'!$B$31+'Inputs'!$B$32,'Inputs'!$B$30+'Inputs'!$B$31+'Inputs'!$B$32)/1000+'Inputs'!$B$21)+'Inputs'!$B$9)^2+('Inputs'!$B$8/2)^2)-(((433-43)*MAX('Inputs'!$B$33,'Inputs'!$B$29+'Inputs'!$B$31+'Inputs'!$B$32,'Inputs'!$B$30+'Inputs'!$B$31+'Inputs'!$B$32)/1000+'Inputs'!$B$21))/SQRT((((433-43)*MAX('Inputs'!$B$33,'Inputs'!$B$29+'Inputs'!$B$31+'Inputs'!$B$32,'Inputs'!$B$30+'Inputs'!$B$31+'Inputs'!$B$32)/1000+'Inputs'!$B$21))^2+('Inputs'!$B$8/2)^2)))-'Results'!B7*(1-'Inputs'!$B$24)*(0.5*((((433-43)*MAX('Inputs'!$B$33,'Inputs'!$B$29+'Inputs'!$B$31+'Inputs'!$B$32,'Inputs'!$B$30+'Inputs'!$B$31+'Inputs'!$B$32)/1000+'Inputs'!$B$21+'Inputs'!$B$9+'Inputs'!$B$10)+'Inputs'!$B$7)/SQRT((((433-43)*MAX('Inputs'!$B$33,'Inputs'!$B$29+'Inputs'!$B$31+'Inputs'!$B$32,'Inputs'!$B$30+'Inputs'!$B$31+'Inputs'!$B$32)/1000+'Inputs'!$B$21+'Inputs'!$B$9+'Inputs'!$B$10)+'Inputs'!$B$7)^2+('Inputs'!$B$6/2)^2)-(((433-43)*MAX('Inputs'!$B$33,'Inputs'!$B$29+'Inputs'!$B$31+'Inputs'!$B$32,'Inputs'!$B$30+'Inputs'!$B$31+'Inputs'!$B$32)/1000+'Inputs'!$B$21+'Inputs'!$B$9+'Inputs'!$B$10))/SQRT((((433-43)*MAX('Inputs'!$B$33,'Inputs'!$B$29+'Inputs'!$B$31+'Inputs'!$B$32,'Inputs'!$B$30+'Inputs'!$B$31+'Inputs'!$B$32)/1000+'Inputs'!$B$21+'Inputs'!$B$9+'Inputs'!$B$10))^2+('Inputs'!$B$6/2)^2))))*'Results'!$B$8)+'Inputs'!$B$28*ABS((('Results'!C7*(1+'Inputs'!$B$24)*(0.5*((((433-43)*MAX('Inputs'!$B$33,'Inputs'!$B$29+'Inputs'!$B$31+'Inputs'!$B$32,'Inputs'!$B$30+'Inputs'!$B$31+'Inputs'!$B$32)/1000+'Inputs'!$B$21)+'Inputs'!$B$9)/SQRT((((433-43)*MAX('Inputs'!$B$33,'Inputs'!$B$29+'Inputs'!$B$31+'Inputs'!$B$32,'Inputs'!$B$30+'Inputs'!$B$31+'Inputs'!$B$32)/1000+'Inputs'!$B$21)+'Inputs'!$B$9)^2+('Inputs'!$B$8/2)^2)-(((433-43)*MAX('Inputs'!$B$33,'Inputs'!$B$29+'Inputs'!$B$31+'Inputs'!$B$32,'Inputs'!$B$30+'Inputs'!$B$31+'Inputs'!$B$32)/1000+'Inputs'!$B$21))/SQRT((((433-43)*MAX('Inputs'!$B$33,'Inputs'!$B$29+'Inputs'!$B$31+'Inputs'!$B$32,'Inputs'!$B$30+'Inputs'!$B$31+'Inputs'!$B$32)/1000+'Inputs'!$B$21))^2+('Inputs'!$B$8/2)^2)))-'Results'!B7*(1-'Inputs'!$B$24)*(0.5*((((433-43)*MAX('Inputs'!$B$33,'Inputs'!$B$29+'Inputs'!$B$31+'Inputs'!$B$32,'Inputs'!$B$30+'Inputs'!$B$31+'Inputs'!$B$32)/1000+'Inputs'!$B$21+'Inputs'!$B$9+'Inputs'!$B$10)+'Inputs'!$B$7)/SQRT((((433-43)*MAX('Inputs'!$B$33,'Inputs'!$B$29+'Inputs'!$B$31+'Inputs'!$B$32,'Inputs'!$B$30+'Inputs'!$B$31+'Inputs'!$B$32)/1000+'Inputs'!$B$21+'Inputs'!$B$9+'Inputs'!$B$10)+'Inputs'!$B$7)^2+('Inputs'!$B$6/2)^2)-(((433-43)*MAX('Inputs'!$B$33,'Inputs'!$B$29+'Inputs'!$B$31+'Inputs'!$B$32,'Inputs'!$B$30+'Inputs'!$B$31+'Inputs'!$B$32)/1000+'Inputs'!$B$21+'Inputs'!$B$9+'Inputs'!$B$10))/SQRT((((433-43)*MAX('Inputs'!$B$33,'Inputs'!$B$29+'Inputs'!$B$31+'Inputs'!$B$32,'Inputs'!$B$30+'Inputs'!$B$31+'Inputs'!$B$32)/1000+'Inputs'!$B$21+'Inputs'!$B$9+'Inputs'!$B$10))^2+('Inputs'!$B$6/2)^2))))*'Results'!$B$8))),"")</x:f>
        <x:v>10.084721400234894</x:v>
      </x:c>
      <x:c r="P433" t="n">
        <x:f>IF(AND(MAX(J433,J432)&gt;0,J433&gt;J432+0.00000001),1,0)</x:f>
        <x:v>0</x:v>
      </x:c>
      <x:c r="Q433" t="n">
        <x:f>IF(AND(MAX(K433,K432)&gt;0,K433&gt;K432+0.00000001),1,0)</x:f>
        <x:v>0</x:v>
      </x:c>
      <x:c r="R433" t="n">
        <x:f>IF(AND(MAX(L433,L432)&gt;0,L433&gt;L432+0.00000001),1,0)</x:f>
        <x:v>0</x:v>
      </x:c>
      <x:c r="S433" t="n">
        <x:f>IF(AND(MAX(M433,M432)&gt;0,M433&gt;M432+0.00000001),1,0)</x:f>
        <x:v>0</x:v>
      </x:c>
      <x:c r="T433" t="n">
        <x:f>IF(AND(MAX(N433,N432)&gt;0,N433&gt;N432+0.00000001),1,0)</x:f>
        <x:v>0</x:v>
      </x:c>
      <x:c r="U433" t="n">
        <x:f>IF(AND(MAX(O433,O432)&gt;0,O433&gt;O432+0.00000001),1,0)</x:f>
        <x:v>0</x:v>
      </x:c>
    </x:row>
    <x:row r="434">
      <x:c r="J434" t="n">
        <x:f>IF(AND(ISNUMBER('Results'!B7),ISNUMBER('Results'!C7),ISNUMBER('Results'!$B$8),ISNUMBER('Inputs'!$B$6),ISNUMBER('Inputs'!$B$7),ISNUMBER('Inputs'!$B$8),ISNUMBER('Inputs'!$B$9),ISNUMBER('Inputs'!$B$10),ISNUMBER('Inputs'!$B$21),ISNUMBER('Inputs'!$B$24),ISNUMBER('Inputs'!$B$28)),(('Results'!B7*(0.5*((((434-43)*MAX('Inputs'!$B$33,'Inputs'!$B$29+'Inputs'!$B$31+'Inputs'!$B$32,'Inputs'!$B$30+'Inputs'!$B$31+'Inputs'!$B$32)/1000+'Inputs'!$B$21)+'Inputs'!$B$7)/SQRT((((434-43)*MAX('Inputs'!$B$33,'Inputs'!$B$29+'Inputs'!$B$31+'Inputs'!$B$32,'Inputs'!$B$30+'Inputs'!$B$31+'Inputs'!$B$32)/1000+'Inputs'!$B$21)+'Inputs'!$B$7)^2+('Inputs'!$B$6/2)^2)-(((434-43)*MAX('Inputs'!$B$33,'Inputs'!$B$29+'Inputs'!$B$31+'Inputs'!$B$32,'Inputs'!$B$30+'Inputs'!$B$31+'Inputs'!$B$32)/1000+'Inputs'!$B$21))/SQRT((((434-43)*MAX('Inputs'!$B$33,'Inputs'!$B$29+'Inputs'!$B$31+'Inputs'!$B$32,'Inputs'!$B$30+'Inputs'!$B$31+'Inputs'!$B$32)/1000+'Inputs'!$B$21))^2+('Inputs'!$B$6/2)^2)))-'Results'!C7*(0.5*((((434-43)*MAX('Inputs'!$B$33,'Inputs'!$B$29+'Inputs'!$B$31+'Inputs'!$B$32,'Inputs'!$B$30+'Inputs'!$B$31+'Inputs'!$B$32)/1000+'Inputs'!$B$21+'Inputs'!$B$7+'Inputs'!$B$10)+'Inputs'!$B$9)/SQRT((((434-43)*MAX('Inputs'!$B$33,'Inputs'!$B$29+'Inputs'!$B$31+'Inputs'!$B$32,'Inputs'!$B$30+'Inputs'!$B$31+'Inputs'!$B$32)/1000+'Inputs'!$B$21+'Inputs'!$B$7+'Inputs'!$B$10)+'Inputs'!$B$9)^2+('Inputs'!$B$8/2)^2)-(((434-43)*MAX('Inputs'!$B$33,'Inputs'!$B$29+'Inputs'!$B$31+'Inputs'!$B$32,'Inputs'!$B$30+'Inputs'!$B$31+'Inputs'!$B$32)/1000+'Inputs'!$B$21+'Inputs'!$B$7+'Inputs'!$B$10))/SQRT((((434-43)*MAX('Inputs'!$B$33,'Inputs'!$B$29+'Inputs'!$B$31+'Inputs'!$B$32,'Inputs'!$B$30+'Inputs'!$B$31+'Inputs'!$B$32)/1000+'Inputs'!$B$21+'Inputs'!$B$7+'Inputs'!$B$10))^2+('Inputs'!$B$8/2)^2))))*'Results'!$B$8),"")</x:f>
        <x:v>9.531363707403766</x:v>
      </x:c>
      <x:c r="K434" t="n">
        <x:f>IF(AND(ISNUMBER('Results'!B7),ISNUMBER('Results'!C7),ISNUMBER('Results'!$B$8),ISNUMBER('Inputs'!$B$6),ISNUMBER('Inputs'!$B$7),ISNUMBER('Inputs'!$B$8),ISNUMBER('Inputs'!$B$9),ISNUMBER('Inputs'!$B$10),ISNUMBER('Inputs'!$B$21),ISNUMBER('Inputs'!$B$24),ISNUMBER('Inputs'!$B$28)),((('Results'!B7*(1-'Inputs'!$B$24)*(0.5*((((434-43)*MAX('Inputs'!$B$33,'Inputs'!$B$29+'Inputs'!$B$31+'Inputs'!$B$32,'Inputs'!$B$30+'Inputs'!$B$31+'Inputs'!$B$32)/1000+'Inputs'!$B$21)+'Inputs'!$B$7)/SQRT((((434-43)*MAX('Inputs'!$B$33,'Inputs'!$B$29+'Inputs'!$B$31+'Inputs'!$B$32,'Inputs'!$B$30+'Inputs'!$B$31+'Inputs'!$B$32)/1000+'Inputs'!$B$21)+'Inputs'!$B$7)^2+('Inputs'!$B$6/2)^2)-(((434-43)*MAX('Inputs'!$B$33,'Inputs'!$B$29+'Inputs'!$B$31+'Inputs'!$B$32,'Inputs'!$B$30+'Inputs'!$B$31+'Inputs'!$B$32)/1000+'Inputs'!$B$21))/SQRT((((434-43)*MAX('Inputs'!$B$33,'Inputs'!$B$29+'Inputs'!$B$31+'Inputs'!$B$32,'Inputs'!$B$30+'Inputs'!$B$31+'Inputs'!$B$32)/1000+'Inputs'!$B$21))^2+('Inputs'!$B$6/2)^2)))-'Results'!C7*(1+'Inputs'!$B$24)*(0.5*((((434-43)*MAX('Inputs'!$B$33,'Inputs'!$B$29+'Inputs'!$B$31+'Inputs'!$B$32,'Inputs'!$B$30+'Inputs'!$B$31+'Inputs'!$B$32)/1000+'Inputs'!$B$21+'Inputs'!$B$7+'Inputs'!$B$10)+'Inputs'!$B$9)/SQRT((((434-43)*MAX('Inputs'!$B$33,'Inputs'!$B$29+'Inputs'!$B$31+'Inputs'!$B$32,'Inputs'!$B$30+'Inputs'!$B$31+'Inputs'!$B$32)/1000+'Inputs'!$B$21+'Inputs'!$B$7+'Inputs'!$B$10)+'Inputs'!$B$9)^2+('Inputs'!$B$8/2)^2)-(((434-43)*MAX('Inputs'!$B$33,'Inputs'!$B$29+'Inputs'!$B$31+'Inputs'!$B$32,'Inputs'!$B$30+'Inputs'!$B$31+'Inputs'!$B$32)/1000+'Inputs'!$B$21+'Inputs'!$B$7+'Inputs'!$B$10))/SQRT((((434-43)*MAX('Inputs'!$B$33,'Inputs'!$B$29+'Inputs'!$B$31+'Inputs'!$B$32,'Inputs'!$B$30+'Inputs'!$B$31+'Inputs'!$B$32)/1000+'Inputs'!$B$21+'Inputs'!$B$7+'Inputs'!$B$10))^2+('Inputs'!$B$8/2)^2))))*'Results'!$B$8)-'Inputs'!$B$28*ABS((('Results'!B7*(1-'Inputs'!$B$24)*(0.5*((((434-43)*MAX('Inputs'!$B$33,'Inputs'!$B$29+'Inputs'!$B$31+'Inputs'!$B$32,'Inputs'!$B$30+'Inputs'!$B$31+'Inputs'!$B$32)/1000+'Inputs'!$B$21)+'Inputs'!$B$7)/SQRT((((434-43)*MAX('Inputs'!$B$33,'Inputs'!$B$29+'Inputs'!$B$31+'Inputs'!$B$32,'Inputs'!$B$30+'Inputs'!$B$31+'Inputs'!$B$32)/1000+'Inputs'!$B$21)+'Inputs'!$B$7)^2+('Inputs'!$B$6/2)^2)-(((434-43)*MAX('Inputs'!$B$33,'Inputs'!$B$29+'Inputs'!$B$31+'Inputs'!$B$32,'Inputs'!$B$30+'Inputs'!$B$31+'Inputs'!$B$32)/1000+'Inputs'!$B$21))/SQRT((((434-43)*MAX('Inputs'!$B$33,'Inputs'!$B$29+'Inputs'!$B$31+'Inputs'!$B$32,'Inputs'!$B$30+'Inputs'!$B$31+'Inputs'!$B$32)/1000+'Inputs'!$B$21))^2+('Inputs'!$B$6/2)^2)))-'Results'!C7*(1+'Inputs'!$B$24)*(0.5*((((434-43)*MAX('Inputs'!$B$33,'Inputs'!$B$29+'Inputs'!$B$31+'Inputs'!$B$32,'Inputs'!$B$30+'Inputs'!$B$31+'Inputs'!$B$32)/1000+'Inputs'!$B$21+'Inputs'!$B$7+'Inputs'!$B$10)+'Inputs'!$B$9)/SQRT((((434-43)*MAX('Inputs'!$B$33,'Inputs'!$B$29+'Inputs'!$B$31+'Inputs'!$B$32,'Inputs'!$B$30+'Inputs'!$B$31+'Inputs'!$B$32)/1000+'Inputs'!$B$21+'Inputs'!$B$7+'Inputs'!$B$10)+'Inputs'!$B$9)^2+('Inputs'!$B$8/2)^2)-(((434-43)*MAX('Inputs'!$B$33,'Inputs'!$B$29+'Inputs'!$B$31+'Inputs'!$B$32,'Inputs'!$B$30+'Inputs'!$B$31+'Inputs'!$B$32)/1000+'Inputs'!$B$21+'Inputs'!$B$7+'Inputs'!$B$10))/SQRT((((434-43)*MAX('Inputs'!$B$33,'Inputs'!$B$29+'Inputs'!$B$31+'Inputs'!$B$32,'Inputs'!$B$30+'Inputs'!$B$31+'Inputs'!$B$32)/1000+'Inputs'!$B$21+'Inputs'!$B$7+'Inputs'!$B$10))^2+('Inputs'!$B$8/2)^2))))*'Results'!$B$8))),"")</x:f>
        <x:v>8.54273540125163</x:v>
      </x:c>
      <x:c r="L434" t="n">
        <x:f>IF(AND(ISNUMBER('Results'!B7),ISNUMBER('Results'!C7),ISNUMBER('Results'!$B$8),ISNUMBER('Inputs'!$B$6),ISNUMBER('Inputs'!$B$7),ISNUMBER('Inputs'!$B$8),ISNUMBER('Inputs'!$B$9),ISNUMBER('Inputs'!$B$10),ISNUMBER('Inputs'!$B$21),ISNUMBER('Inputs'!$B$24),ISNUMBER('Inputs'!$B$28)),((('Results'!B7*(1+'Inputs'!$B$24)*(0.5*((((434-43)*MAX('Inputs'!$B$33,'Inputs'!$B$29+'Inputs'!$B$31+'Inputs'!$B$32,'Inputs'!$B$30+'Inputs'!$B$31+'Inputs'!$B$32)/1000+'Inputs'!$B$21)+'Inputs'!$B$7)/SQRT((((434-43)*MAX('Inputs'!$B$33,'Inputs'!$B$29+'Inputs'!$B$31+'Inputs'!$B$32,'Inputs'!$B$30+'Inputs'!$B$31+'Inputs'!$B$32)/1000+'Inputs'!$B$21)+'Inputs'!$B$7)^2+('Inputs'!$B$6/2)^2)-(((434-43)*MAX('Inputs'!$B$33,'Inputs'!$B$29+'Inputs'!$B$31+'Inputs'!$B$32,'Inputs'!$B$30+'Inputs'!$B$31+'Inputs'!$B$32)/1000+'Inputs'!$B$21))/SQRT((((434-43)*MAX('Inputs'!$B$33,'Inputs'!$B$29+'Inputs'!$B$31+'Inputs'!$B$32,'Inputs'!$B$30+'Inputs'!$B$31+'Inputs'!$B$32)/1000+'Inputs'!$B$21))^2+('Inputs'!$B$6/2)^2)))-'Results'!C7*(1-'Inputs'!$B$24)*(0.5*((((434-43)*MAX('Inputs'!$B$33,'Inputs'!$B$29+'Inputs'!$B$31+'Inputs'!$B$32,'Inputs'!$B$30+'Inputs'!$B$31+'Inputs'!$B$32)/1000+'Inputs'!$B$21+'Inputs'!$B$7+'Inputs'!$B$10)+'Inputs'!$B$9)/SQRT((((434-43)*MAX('Inputs'!$B$33,'Inputs'!$B$29+'Inputs'!$B$31+'Inputs'!$B$32,'Inputs'!$B$30+'Inputs'!$B$31+'Inputs'!$B$32)/1000+'Inputs'!$B$21+'Inputs'!$B$7+'Inputs'!$B$10)+'Inputs'!$B$9)^2+('Inputs'!$B$8/2)^2)-(((434-43)*MAX('Inputs'!$B$33,'Inputs'!$B$29+'Inputs'!$B$31+'Inputs'!$B$32,'Inputs'!$B$30+'Inputs'!$B$31+'Inputs'!$B$32)/1000+'Inputs'!$B$21+'Inputs'!$B$7+'Inputs'!$B$10))/SQRT((((434-43)*MAX('Inputs'!$B$33,'Inputs'!$B$29+'Inputs'!$B$31+'Inputs'!$B$32,'Inputs'!$B$30+'Inputs'!$B$31+'Inputs'!$B$32)/1000+'Inputs'!$B$21+'Inputs'!$B$7+'Inputs'!$B$10))^2+('Inputs'!$B$8/2)^2))))*'Results'!$B$8)+'Inputs'!$B$28*ABS((('Results'!B7*(1+'Inputs'!$B$24)*(0.5*((((434-43)*MAX('Inputs'!$B$33,'Inputs'!$B$29+'Inputs'!$B$31+'Inputs'!$B$32,'Inputs'!$B$30+'Inputs'!$B$31+'Inputs'!$B$32)/1000+'Inputs'!$B$21)+'Inputs'!$B$7)/SQRT((((434-43)*MAX('Inputs'!$B$33,'Inputs'!$B$29+'Inputs'!$B$31+'Inputs'!$B$32,'Inputs'!$B$30+'Inputs'!$B$31+'Inputs'!$B$32)/1000+'Inputs'!$B$21)+'Inputs'!$B$7)^2+('Inputs'!$B$6/2)^2)-(((434-43)*MAX('Inputs'!$B$33,'Inputs'!$B$29+'Inputs'!$B$31+'Inputs'!$B$32,'Inputs'!$B$30+'Inputs'!$B$31+'Inputs'!$B$32)/1000+'Inputs'!$B$21))/SQRT((((434-43)*MAX('Inputs'!$B$33,'Inputs'!$B$29+'Inputs'!$B$31+'Inputs'!$B$32,'Inputs'!$B$30+'Inputs'!$B$31+'Inputs'!$B$32)/1000+'Inputs'!$B$21))^2+('Inputs'!$B$6/2)^2)))-'Results'!C7*(1-'Inputs'!$B$24)*(0.5*((((434-43)*MAX('Inputs'!$B$33,'Inputs'!$B$29+'Inputs'!$B$31+'Inputs'!$B$32,'Inputs'!$B$30+'Inputs'!$B$31+'Inputs'!$B$32)/1000+'Inputs'!$B$21+'Inputs'!$B$7+'Inputs'!$B$10)+'Inputs'!$B$9)/SQRT((((434-43)*MAX('Inputs'!$B$33,'Inputs'!$B$29+'Inputs'!$B$31+'Inputs'!$B$32,'Inputs'!$B$30+'Inputs'!$B$31+'Inputs'!$B$32)/1000+'Inputs'!$B$21+'Inputs'!$B$7+'Inputs'!$B$10)+'Inputs'!$B$9)^2+('Inputs'!$B$8/2)^2)-(((434-43)*MAX('Inputs'!$B$33,'Inputs'!$B$29+'Inputs'!$B$31+'Inputs'!$B$32,'Inputs'!$B$30+'Inputs'!$B$31+'Inputs'!$B$32)/1000+'Inputs'!$B$21+'Inputs'!$B$7+'Inputs'!$B$10))/SQRT((((434-43)*MAX('Inputs'!$B$33,'Inputs'!$B$29+'Inputs'!$B$31+'Inputs'!$B$32,'Inputs'!$B$30+'Inputs'!$B$31+'Inputs'!$B$32)/1000+'Inputs'!$B$21+'Inputs'!$B$7+'Inputs'!$B$10))^2+('Inputs'!$B$8/2)^2))))*'Results'!$B$8))),"")</x:f>
        <x:v>10.573893078901373</x:v>
      </x:c>
      <x:c r="M434" t="n">
        <x:f>IF(AND(ISNUMBER('Results'!C7),ISNUMBER('Results'!B7),ISNUMBER('Results'!$B$8),ISNUMBER('Inputs'!$B$6),ISNUMBER('Inputs'!$B$7),ISNUMBER('Inputs'!$B$8),ISNUMBER('Inputs'!$B$9),ISNUMBER('Inputs'!$B$10),ISNUMBER('Inputs'!$B$21),ISNUMBER('Inputs'!$B$24),ISNUMBER('Inputs'!$B$28)),(('Results'!C7*(0.5*((((434-43)*MAX('Inputs'!$B$33,'Inputs'!$B$29+'Inputs'!$B$31+'Inputs'!$B$32,'Inputs'!$B$30+'Inputs'!$B$31+'Inputs'!$B$32)/1000+'Inputs'!$B$21)+'Inputs'!$B$9)/SQRT((((434-43)*MAX('Inputs'!$B$33,'Inputs'!$B$29+'Inputs'!$B$31+'Inputs'!$B$32,'Inputs'!$B$30+'Inputs'!$B$31+'Inputs'!$B$32)/1000+'Inputs'!$B$21)+'Inputs'!$B$9)^2+('Inputs'!$B$8/2)^2)-(((434-43)*MAX('Inputs'!$B$33,'Inputs'!$B$29+'Inputs'!$B$31+'Inputs'!$B$32,'Inputs'!$B$30+'Inputs'!$B$31+'Inputs'!$B$32)/1000+'Inputs'!$B$21))/SQRT((((434-43)*MAX('Inputs'!$B$33,'Inputs'!$B$29+'Inputs'!$B$31+'Inputs'!$B$32,'Inputs'!$B$30+'Inputs'!$B$31+'Inputs'!$B$32)/1000+'Inputs'!$B$21))^2+('Inputs'!$B$8/2)^2)))-'Results'!B7*(0.5*((((434-43)*MAX('Inputs'!$B$33,'Inputs'!$B$29+'Inputs'!$B$31+'Inputs'!$B$32,'Inputs'!$B$30+'Inputs'!$B$31+'Inputs'!$B$32)/1000+'Inputs'!$B$21+'Inputs'!$B$9+'Inputs'!$B$10)+'Inputs'!$B$7)/SQRT((((434-43)*MAX('Inputs'!$B$33,'Inputs'!$B$29+'Inputs'!$B$31+'Inputs'!$B$32,'Inputs'!$B$30+'Inputs'!$B$31+'Inputs'!$B$32)/1000+'Inputs'!$B$21+'Inputs'!$B$9+'Inputs'!$B$10)+'Inputs'!$B$7)^2+('Inputs'!$B$6/2)^2)-(((434-43)*MAX('Inputs'!$B$33,'Inputs'!$B$29+'Inputs'!$B$31+'Inputs'!$B$32,'Inputs'!$B$30+'Inputs'!$B$31+'Inputs'!$B$32)/1000+'Inputs'!$B$21+'Inputs'!$B$9+'Inputs'!$B$10))/SQRT((((434-43)*MAX('Inputs'!$B$33,'Inputs'!$B$29+'Inputs'!$B$31+'Inputs'!$B$32,'Inputs'!$B$30+'Inputs'!$B$31+'Inputs'!$B$32)/1000+'Inputs'!$B$21+'Inputs'!$B$9+'Inputs'!$B$10))^2+('Inputs'!$B$6/2)^2))))*'Results'!$B$8),"")</x:f>
        <x:v>8.988798121507182</x:v>
      </x:c>
      <x:c r="N434" t="n">
        <x:f>IF(AND(ISNUMBER('Results'!C7),ISNUMBER('Results'!B7),ISNUMBER('Results'!$B$8),ISNUMBER('Inputs'!$B$6),ISNUMBER('Inputs'!$B$7),ISNUMBER('Inputs'!$B$8),ISNUMBER('Inputs'!$B$9),ISNUMBER('Inputs'!$B$10),ISNUMBER('Inputs'!$B$21),ISNUMBER('Inputs'!$B$24),ISNUMBER('Inputs'!$B$28)),((('Results'!C7*(1-'Inputs'!$B$24)*(0.5*((((434-43)*MAX('Inputs'!$B$33,'Inputs'!$B$29+'Inputs'!$B$31+'Inputs'!$B$32,'Inputs'!$B$30+'Inputs'!$B$31+'Inputs'!$B$32)/1000+'Inputs'!$B$21)+'Inputs'!$B$9)/SQRT((((434-43)*MAX('Inputs'!$B$33,'Inputs'!$B$29+'Inputs'!$B$31+'Inputs'!$B$32,'Inputs'!$B$30+'Inputs'!$B$31+'Inputs'!$B$32)/1000+'Inputs'!$B$21)+'Inputs'!$B$9)^2+('Inputs'!$B$8/2)^2)-(((434-43)*MAX('Inputs'!$B$33,'Inputs'!$B$29+'Inputs'!$B$31+'Inputs'!$B$32,'Inputs'!$B$30+'Inputs'!$B$31+'Inputs'!$B$32)/1000+'Inputs'!$B$21))/SQRT((((434-43)*MAX('Inputs'!$B$33,'Inputs'!$B$29+'Inputs'!$B$31+'Inputs'!$B$32,'Inputs'!$B$30+'Inputs'!$B$31+'Inputs'!$B$32)/1000+'Inputs'!$B$21))^2+('Inputs'!$B$8/2)^2)))-'Results'!B7*(1+'Inputs'!$B$24)*(0.5*((((434-43)*MAX('Inputs'!$B$33,'Inputs'!$B$29+'Inputs'!$B$31+'Inputs'!$B$32,'Inputs'!$B$30+'Inputs'!$B$31+'Inputs'!$B$32)/1000+'Inputs'!$B$21+'Inputs'!$B$9+'Inputs'!$B$10)+'Inputs'!$B$7)/SQRT((((434-43)*MAX('Inputs'!$B$33,'Inputs'!$B$29+'Inputs'!$B$31+'Inputs'!$B$32,'Inputs'!$B$30+'Inputs'!$B$31+'Inputs'!$B$32)/1000+'Inputs'!$B$21+'Inputs'!$B$9+'Inputs'!$B$10)+'Inputs'!$B$7)^2+('Inputs'!$B$6/2)^2)-(((434-43)*MAX('Inputs'!$B$33,'Inputs'!$B$29+'Inputs'!$B$31+'Inputs'!$B$32,'Inputs'!$B$30+'Inputs'!$B$31+'Inputs'!$B$32)/1000+'Inputs'!$B$21+'Inputs'!$B$9+'Inputs'!$B$10))/SQRT((((434-43)*MAX('Inputs'!$B$33,'Inputs'!$B$29+'Inputs'!$B$31+'Inputs'!$B$32,'Inputs'!$B$30+'Inputs'!$B$31+'Inputs'!$B$32)/1000+'Inputs'!$B$21+'Inputs'!$B$9+'Inputs'!$B$10))^2+('Inputs'!$B$6/2)^2))))*'Results'!$B$8)-'Inputs'!$B$28*ABS((('Results'!C7*(1-'Inputs'!$B$24)*(0.5*((((434-43)*MAX('Inputs'!$B$33,'Inputs'!$B$29+'Inputs'!$B$31+'Inputs'!$B$32,'Inputs'!$B$30+'Inputs'!$B$31+'Inputs'!$B$32)/1000+'Inputs'!$B$21)+'Inputs'!$B$9)/SQRT((((434-43)*MAX('Inputs'!$B$33,'Inputs'!$B$29+'Inputs'!$B$31+'Inputs'!$B$32,'Inputs'!$B$30+'Inputs'!$B$31+'Inputs'!$B$32)/1000+'Inputs'!$B$21)+'Inputs'!$B$9)^2+('Inputs'!$B$8/2)^2)-(((434-43)*MAX('Inputs'!$B$33,'Inputs'!$B$29+'Inputs'!$B$31+'Inputs'!$B$32,'Inputs'!$B$30+'Inputs'!$B$31+'Inputs'!$B$32)/1000+'Inputs'!$B$21))/SQRT((((434-43)*MAX('Inputs'!$B$33,'Inputs'!$B$29+'Inputs'!$B$31+'Inputs'!$B$32,'Inputs'!$B$30+'Inputs'!$B$31+'Inputs'!$B$32)/1000+'Inputs'!$B$21))^2+('Inputs'!$B$8/2)^2)))-'Results'!B7*(1+'Inputs'!$B$24)*(0.5*((((434-43)*MAX('Inputs'!$B$33,'Inputs'!$B$29+'Inputs'!$B$31+'Inputs'!$B$32,'Inputs'!$B$30+'Inputs'!$B$31+'Inputs'!$B$32)/1000+'Inputs'!$B$21+'Inputs'!$B$9+'Inputs'!$B$10)+'Inputs'!$B$7)/SQRT((((434-43)*MAX('Inputs'!$B$33,'Inputs'!$B$29+'Inputs'!$B$31+'Inputs'!$B$32,'Inputs'!$B$30+'Inputs'!$B$31+'Inputs'!$B$32)/1000+'Inputs'!$B$21+'Inputs'!$B$9+'Inputs'!$B$10)+'Inputs'!$B$7)^2+('Inputs'!$B$6/2)^2)-(((434-43)*MAX('Inputs'!$B$33,'Inputs'!$B$29+'Inputs'!$B$31+'Inputs'!$B$32,'Inputs'!$B$30+'Inputs'!$B$31+'Inputs'!$B$32)/1000+'Inputs'!$B$21+'Inputs'!$B$9+'Inputs'!$B$10))/SQRT((((434-43)*MAX('Inputs'!$B$33,'Inputs'!$B$29+'Inputs'!$B$31+'Inputs'!$B$32,'Inputs'!$B$30+'Inputs'!$B$31+'Inputs'!$B$32)/1000+'Inputs'!$B$21+'Inputs'!$B$9+'Inputs'!$B$10))^2+('Inputs'!$B$6/2)^2))))*'Results'!$B$8))),"")</x:f>
        <x:v>8.030852469142292</x:v>
      </x:c>
      <x:c r="O434" t="n">
        <x:f>IF(AND(ISNUMBER('Results'!C7),ISNUMBER('Results'!B7),ISNUMBER('Results'!$B$8),ISNUMBER('Inputs'!$B$6),ISNUMBER('Inputs'!$B$7),ISNUMBER('Inputs'!$B$8),ISNUMBER('Inputs'!$B$9),ISNUMBER('Inputs'!$B$10),ISNUMBER('Inputs'!$B$21),ISNUMBER('Inputs'!$B$24),ISNUMBER('Inputs'!$B$28)),((('Results'!C7*(1+'Inputs'!$B$24)*(0.5*((((434-43)*MAX('Inputs'!$B$33,'Inputs'!$B$29+'Inputs'!$B$31+'Inputs'!$B$32,'Inputs'!$B$30+'Inputs'!$B$31+'Inputs'!$B$32)/1000+'Inputs'!$B$21)+'Inputs'!$B$9)/SQRT((((434-43)*MAX('Inputs'!$B$33,'Inputs'!$B$29+'Inputs'!$B$31+'Inputs'!$B$32,'Inputs'!$B$30+'Inputs'!$B$31+'Inputs'!$B$32)/1000+'Inputs'!$B$21)+'Inputs'!$B$9)^2+('Inputs'!$B$8/2)^2)-(((434-43)*MAX('Inputs'!$B$33,'Inputs'!$B$29+'Inputs'!$B$31+'Inputs'!$B$32,'Inputs'!$B$30+'Inputs'!$B$31+'Inputs'!$B$32)/1000+'Inputs'!$B$21))/SQRT((((434-43)*MAX('Inputs'!$B$33,'Inputs'!$B$29+'Inputs'!$B$31+'Inputs'!$B$32,'Inputs'!$B$30+'Inputs'!$B$31+'Inputs'!$B$32)/1000+'Inputs'!$B$21))^2+('Inputs'!$B$8/2)^2)))-'Results'!B7*(1-'Inputs'!$B$24)*(0.5*((((434-43)*MAX('Inputs'!$B$33,'Inputs'!$B$29+'Inputs'!$B$31+'Inputs'!$B$32,'Inputs'!$B$30+'Inputs'!$B$31+'Inputs'!$B$32)/1000+'Inputs'!$B$21+'Inputs'!$B$9+'Inputs'!$B$10)+'Inputs'!$B$7)/SQRT((((434-43)*MAX('Inputs'!$B$33,'Inputs'!$B$29+'Inputs'!$B$31+'Inputs'!$B$32,'Inputs'!$B$30+'Inputs'!$B$31+'Inputs'!$B$32)/1000+'Inputs'!$B$21+'Inputs'!$B$9+'Inputs'!$B$10)+'Inputs'!$B$7)^2+('Inputs'!$B$6/2)^2)-(((434-43)*MAX('Inputs'!$B$33,'Inputs'!$B$29+'Inputs'!$B$31+'Inputs'!$B$32,'Inputs'!$B$30+'Inputs'!$B$31+'Inputs'!$B$32)/1000+'Inputs'!$B$21+'Inputs'!$B$9+'Inputs'!$B$10))/SQRT((((434-43)*MAX('Inputs'!$B$33,'Inputs'!$B$29+'Inputs'!$B$31+'Inputs'!$B$32,'Inputs'!$B$30+'Inputs'!$B$31+'Inputs'!$B$32)/1000+'Inputs'!$B$21+'Inputs'!$B$9+'Inputs'!$B$10))^2+('Inputs'!$B$6/2)^2))))*'Results'!$B$8)+'Inputs'!$B$28*ABS((('Results'!C7*(1+'Inputs'!$B$24)*(0.5*((((434-43)*MAX('Inputs'!$B$33,'Inputs'!$B$29+'Inputs'!$B$31+'Inputs'!$B$32,'Inputs'!$B$30+'Inputs'!$B$31+'Inputs'!$B$32)/1000+'Inputs'!$B$21)+'Inputs'!$B$9)/SQRT((((434-43)*MAX('Inputs'!$B$33,'Inputs'!$B$29+'Inputs'!$B$31+'Inputs'!$B$32,'Inputs'!$B$30+'Inputs'!$B$31+'Inputs'!$B$32)/1000+'Inputs'!$B$21)+'Inputs'!$B$9)^2+('Inputs'!$B$8/2)^2)-(((434-43)*MAX('Inputs'!$B$33,'Inputs'!$B$29+'Inputs'!$B$31+'Inputs'!$B$32,'Inputs'!$B$30+'Inputs'!$B$31+'Inputs'!$B$32)/1000+'Inputs'!$B$21))/SQRT((((434-43)*MAX('Inputs'!$B$33,'Inputs'!$B$29+'Inputs'!$B$31+'Inputs'!$B$32,'Inputs'!$B$30+'Inputs'!$B$31+'Inputs'!$B$32)/1000+'Inputs'!$B$21))^2+('Inputs'!$B$8/2)^2)))-'Results'!B7*(1-'Inputs'!$B$24)*(0.5*((((434-43)*MAX('Inputs'!$B$33,'Inputs'!$B$29+'Inputs'!$B$31+'Inputs'!$B$32,'Inputs'!$B$30+'Inputs'!$B$31+'Inputs'!$B$32)/1000+'Inputs'!$B$21+'Inputs'!$B$9+'Inputs'!$B$10)+'Inputs'!$B$7)/SQRT((((434-43)*MAX('Inputs'!$B$33,'Inputs'!$B$29+'Inputs'!$B$31+'Inputs'!$B$32,'Inputs'!$B$30+'Inputs'!$B$31+'Inputs'!$B$32)/1000+'Inputs'!$B$21+'Inputs'!$B$9+'Inputs'!$B$10)+'Inputs'!$B$7)^2+('Inputs'!$B$6/2)^2)-(((434-43)*MAX('Inputs'!$B$33,'Inputs'!$B$29+'Inputs'!$B$31+'Inputs'!$B$32,'Inputs'!$B$30+'Inputs'!$B$31+'Inputs'!$B$32)/1000+'Inputs'!$B$21+'Inputs'!$B$9+'Inputs'!$B$10))/SQRT((((434-43)*MAX('Inputs'!$B$33,'Inputs'!$B$29+'Inputs'!$B$31+'Inputs'!$B$32,'Inputs'!$B$30+'Inputs'!$B$31+'Inputs'!$B$32)/1000+'Inputs'!$B$21+'Inputs'!$B$9+'Inputs'!$B$10))^2+('Inputs'!$B$6/2)^2))))*'Results'!$B$8))),"")</x:f>
        <x:v>10.000270694534128</x:v>
      </x:c>
      <x:c r="P434" t="n">
        <x:f>IF(AND(MAX(J434,J433)&gt;0,J434&gt;J433+0.00000001),1,0)</x:f>
        <x:v>0</x:v>
      </x:c>
      <x:c r="Q434" t="n">
        <x:f>IF(AND(MAX(K434,K433)&gt;0,K434&gt;K433+0.00000001),1,0)</x:f>
        <x:v>0</x:v>
      </x:c>
      <x:c r="R434" t="n">
        <x:f>IF(AND(MAX(L434,L433)&gt;0,L434&gt;L433+0.00000001),1,0)</x:f>
        <x:v>0</x:v>
      </x:c>
      <x:c r="S434" t="n">
        <x:f>IF(AND(MAX(M434,M433)&gt;0,M434&gt;M433+0.00000001),1,0)</x:f>
        <x:v>0</x:v>
      </x:c>
      <x:c r="T434" t="n">
        <x:f>IF(AND(MAX(N434,N433)&gt;0,N434&gt;N433+0.00000001),1,0)</x:f>
        <x:v>0</x:v>
      </x:c>
      <x:c r="U434" t="n">
        <x:f>IF(AND(MAX(O434,O433)&gt;0,O434&gt;O433+0.00000001),1,0)</x:f>
        <x:v>0</x:v>
      </x:c>
    </x:row>
    <x:row r="435">
      <x:c r="J435" t="n">
        <x:f>IF(AND(ISNUMBER('Results'!B7),ISNUMBER('Results'!C7),ISNUMBER('Results'!$B$8),ISNUMBER('Inputs'!$B$6),ISNUMBER('Inputs'!$B$7),ISNUMBER('Inputs'!$B$8),ISNUMBER('Inputs'!$B$9),ISNUMBER('Inputs'!$B$10),ISNUMBER('Inputs'!$B$21),ISNUMBER('Inputs'!$B$24),ISNUMBER('Inputs'!$B$28)),(('Results'!B7*(0.5*((((435-43)*MAX('Inputs'!$B$33,'Inputs'!$B$29+'Inputs'!$B$31+'Inputs'!$B$32,'Inputs'!$B$30+'Inputs'!$B$31+'Inputs'!$B$32)/1000+'Inputs'!$B$21)+'Inputs'!$B$7)/SQRT((((435-43)*MAX('Inputs'!$B$33,'Inputs'!$B$29+'Inputs'!$B$31+'Inputs'!$B$32,'Inputs'!$B$30+'Inputs'!$B$31+'Inputs'!$B$32)/1000+'Inputs'!$B$21)+'Inputs'!$B$7)^2+('Inputs'!$B$6/2)^2)-(((435-43)*MAX('Inputs'!$B$33,'Inputs'!$B$29+'Inputs'!$B$31+'Inputs'!$B$32,'Inputs'!$B$30+'Inputs'!$B$31+'Inputs'!$B$32)/1000+'Inputs'!$B$21))/SQRT((((435-43)*MAX('Inputs'!$B$33,'Inputs'!$B$29+'Inputs'!$B$31+'Inputs'!$B$32,'Inputs'!$B$30+'Inputs'!$B$31+'Inputs'!$B$32)/1000+'Inputs'!$B$21))^2+('Inputs'!$B$6/2)^2)))-'Results'!C7*(0.5*((((435-43)*MAX('Inputs'!$B$33,'Inputs'!$B$29+'Inputs'!$B$31+'Inputs'!$B$32,'Inputs'!$B$30+'Inputs'!$B$31+'Inputs'!$B$32)/1000+'Inputs'!$B$21+'Inputs'!$B$7+'Inputs'!$B$10)+'Inputs'!$B$9)/SQRT((((435-43)*MAX('Inputs'!$B$33,'Inputs'!$B$29+'Inputs'!$B$31+'Inputs'!$B$32,'Inputs'!$B$30+'Inputs'!$B$31+'Inputs'!$B$32)/1000+'Inputs'!$B$21+'Inputs'!$B$7+'Inputs'!$B$10)+'Inputs'!$B$9)^2+('Inputs'!$B$8/2)^2)-(((435-43)*MAX('Inputs'!$B$33,'Inputs'!$B$29+'Inputs'!$B$31+'Inputs'!$B$32,'Inputs'!$B$30+'Inputs'!$B$31+'Inputs'!$B$32)/1000+'Inputs'!$B$21+'Inputs'!$B$7+'Inputs'!$B$10))/SQRT((((435-43)*MAX('Inputs'!$B$33,'Inputs'!$B$29+'Inputs'!$B$31+'Inputs'!$B$32,'Inputs'!$B$30+'Inputs'!$B$31+'Inputs'!$B$32)/1000+'Inputs'!$B$21+'Inputs'!$B$7+'Inputs'!$B$10))^2+('Inputs'!$B$8/2)^2))))*'Results'!$B$8),"")</x:f>
        <x:v>9.451722795153142</x:v>
      </x:c>
      <x:c r="K435" t="n">
        <x:f>IF(AND(ISNUMBER('Results'!B7),ISNUMBER('Results'!C7),ISNUMBER('Results'!$B$8),ISNUMBER('Inputs'!$B$6),ISNUMBER('Inputs'!$B$7),ISNUMBER('Inputs'!$B$8),ISNUMBER('Inputs'!$B$9),ISNUMBER('Inputs'!$B$10),ISNUMBER('Inputs'!$B$21),ISNUMBER('Inputs'!$B$24),ISNUMBER('Inputs'!$B$28)),((('Results'!B7*(1-'Inputs'!$B$24)*(0.5*((((435-43)*MAX('Inputs'!$B$33,'Inputs'!$B$29+'Inputs'!$B$31+'Inputs'!$B$32,'Inputs'!$B$30+'Inputs'!$B$31+'Inputs'!$B$32)/1000+'Inputs'!$B$21)+'Inputs'!$B$7)/SQRT((((435-43)*MAX('Inputs'!$B$33,'Inputs'!$B$29+'Inputs'!$B$31+'Inputs'!$B$32,'Inputs'!$B$30+'Inputs'!$B$31+'Inputs'!$B$32)/1000+'Inputs'!$B$21)+'Inputs'!$B$7)^2+('Inputs'!$B$6/2)^2)-(((435-43)*MAX('Inputs'!$B$33,'Inputs'!$B$29+'Inputs'!$B$31+'Inputs'!$B$32,'Inputs'!$B$30+'Inputs'!$B$31+'Inputs'!$B$32)/1000+'Inputs'!$B$21))/SQRT((((435-43)*MAX('Inputs'!$B$33,'Inputs'!$B$29+'Inputs'!$B$31+'Inputs'!$B$32,'Inputs'!$B$30+'Inputs'!$B$31+'Inputs'!$B$32)/1000+'Inputs'!$B$21))^2+('Inputs'!$B$6/2)^2)))-'Results'!C7*(1+'Inputs'!$B$24)*(0.5*((((435-43)*MAX('Inputs'!$B$33,'Inputs'!$B$29+'Inputs'!$B$31+'Inputs'!$B$32,'Inputs'!$B$30+'Inputs'!$B$31+'Inputs'!$B$32)/1000+'Inputs'!$B$21+'Inputs'!$B$7+'Inputs'!$B$10)+'Inputs'!$B$9)/SQRT((((435-43)*MAX('Inputs'!$B$33,'Inputs'!$B$29+'Inputs'!$B$31+'Inputs'!$B$32,'Inputs'!$B$30+'Inputs'!$B$31+'Inputs'!$B$32)/1000+'Inputs'!$B$21+'Inputs'!$B$7+'Inputs'!$B$10)+'Inputs'!$B$9)^2+('Inputs'!$B$8/2)^2)-(((435-43)*MAX('Inputs'!$B$33,'Inputs'!$B$29+'Inputs'!$B$31+'Inputs'!$B$32,'Inputs'!$B$30+'Inputs'!$B$31+'Inputs'!$B$32)/1000+'Inputs'!$B$21+'Inputs'!$B$7+'Inputs'!$B$10))/SQRT((((435-43)*MAX('Inputs'!$B$33,'Inputs'!$B$29+'Inputs'!$B$31+'Inputs'!$B$32,'Inputs'!$B$30+'Inputs'!$B$31+'Inputs'!$B$32)/1000+'Inputs'!$B$21+'Inputs'!$B$7+'Inputs'!$B$10))^2+('Inputs'!$B$8/2)^2))))*'Results'!$B$8)-'Inputs'!$B$28*ABS((('Results'!B7*(1-'Inputs'!$B$24)*(0.5*((((435-43)*MAX('Inputs'!$B$33,'Inputs'!$B$29+'Inputs'!$B$31+'Inputs'!$B$32,'Inputs'!$B$30+'Inputs'!$B$31+'Inputs'!$B$32)/1000+'Inputs'!$B$21)+'Inputs'!$B$7)/SQRT((((435-43)*MAX('Inputs'!$B$33,'Inputs'!$B$29+'Inputs'!$B$31+'Inputs'!$B$32,'Inputs'!$B$30+'Inputs'!$B$31+'Inputs'!$B$32)/1000+'Inputs'!$B$21)+'Inputs'!$B$7)^2+('Inputs'!$B$6/2)^2)-(((435-43)*MAX('Inputs'!$B$33,'Inputs'!$B$29+'Inputs'!$B$31+'Inputs'!$B$32,'Inputs'!$B$30+'Inputs'!$B$31+'Inputs'!$B$32)/1000+'Inputs'!$B$21))/SQRT((((435-43)*MAX('Inputs'!$B$33,'Inputs'!$B$29+'Inputs'!$B$31+'Inputs'!$B$32,'Inputs'!$B$30+'Inputs'!$B$31+'Inputs'!$B$32)/1000+'Inputs'!$B$21))^2+('Inputs'!$B$6/2)^2)))-'Results'!C7*(1+'Inputs'!$B$24)*(0.5*((((435-43)*MAX('Inputs'!$B$33,'Inputs'!$B$29+'Inputs'!$B$31+'Inputs'!$B$32,'Inputs'!$B$30+'Inputs'!$B$31+'Inputs'!$B$32)/1000+'Inputs'!$B$21+'Inputs'!$B$7+'Inputs'!$B$10)+'Inputs'!$B$9)/SQRT((((435-43)*MAX('Inputs'!$B$33,'Inputs'!$B$29+'Inputs'!$B$31+'Inputs'!$B$32,'Inputs'!$B$30+'Inputs'!$B$31+'Inputs'!$B$32)/1000+'Inputs'!$B$21+'Inputs'!$B$7+'Inputs'!$B$10)+'Inputs'!$B$9)^2+('Inputs'!$B$8/2)^2)-(((435-43)*MAX('Inputs'!$B$33,'Inputs'!$B$29+'Inputs'!$B$31+'Inputs'!$B$32,'Inputs'!$B$30+'Inputs'!$B$31+'Inputs'!$B$32)/1000+'Inputs'!$B$21+'Inputs'!$B$7+'Inputs'!$B$10))/SQRT((((435-43)*MAX('Inputs'!$B$33,'Inputs'!$B$29+'Inputs'!$B$31+'Inputs'!$B$32,'Inputs'!$B$30+'Inputs'!$B$31+'Inputs'!$B$32)/1000+'Inputs'!$B$21+'Inputs'!$B$7+'Inputs'!$B$10))^2+('Inputs'!$B$8/2)^2))))*'Results'!$B$8))),"")</x:f>
        <x:v>8.470433292005156</x:v>
      </x:c>
      <x:c r="L435" t="n">
        <x:f>IF(AND(ISNUMBER('Results'!B7),ISNUMBER('Results'!C7),ISNUMBER('Results'!$B$8),ISNUMBER('Inputs'!$B$6),ISNUMBER('Inputs'!$B$7),ISNUMBER('Inputs'!$B$8),ISNUMBER('Inputs'!$B$9),ISNUMBER('Inputs'!$B$10),ISNUMBER('Inputs'!$B$21),ISNUMBER('Inputs'!$B$24),ISNUMBER('Inputs'!$B$28)),((('Results'!B7*(1+'Inputs'!$B$24)*(0.5*((((435-43)*MAX('Inputs'!$B$33,'Inputs'!$B$29+'Inputs'!$B$31+'Inputs'!$B$32,'Inputs'!$B$30+'Inputs'!$B$31+'Inputs'!$B$32)/1000+'Inputs'!$B$21)+'Inputs'!$B$7)/SQRT((((435-43)*MAX('Inputs'!$B$33,'Inputs'!$B$29+'Inputs'!$B$31+'Inputs'!$B$32,'Inputs'!$B$30+'Inputs'!$B$31+'Inputs'!$B$32)/1000+'Inputs'!$B$21)+'Inputs'!$B$7)^2+('Inputs'!$B$6/2)^2)-(((435-43)*MAX('Inputs'!$B$33,'Inputs'!$B$29+'Inputs'!$B$31+'Inputs'!$B$32,'Inputs'!$B$30+'Inputs'!$B$31+'Inputs'!$B$32)/1000+'Inputs'!$B$21))/SQRT((((435-43)*MAX('Inputs'!$B$33,'Inputs'!$B$29+'Inputs'!$B$31+'Inputs'!$B$32,'Inputs'!$B$30+'Inputs'!$B$31+'Inputs'!$B$32)/1000+'Inputs'!$B$21))^2+('Inputs'!$B$6/2)^2)))-'Results'!C7*(1-'Inputs'!$B$24)*(0.5*((((435-43)*MAX('Inputs'!$B$33,'Inputs'!$B$29+'Inputs'!$B$31+'Inputs'!$B$32,'Inputs'!$B$30+'Inputs'!$B$31+'Inputs'!$B$32)/1000+'Inputs'!$B$21+'Inputs'!$B$7+'Inputs'!$B$10)+'Inputs'!$B$9)/SQRT((((435-43)*MAX('Inputs'!$B$33,'Inputs'!$B$29+'Inputs'!$B$31+'Inputs'!$B$32,'Inputs'!$B$30+'Inputs'!$B$31+'Inputs'!$B$32)/1000+'Inputs'!$B$21+'Inputs'!$B$7+'Inputs'!$B$10)+'Inputs'!$B$9)^2+('Inputs'!$B$8/2)^2)-(((435-43)*MAX('Inputs'!$B$33,'Inputs'!$B$29+'Inputs'!$B$31+'Inputs'!$B$32,'Inputs'!$B$30+'Inputs'!$B$31+'Inputs'!$B$32)/1000+'Inputs'!$B$21+'Inputs'!$B$7+'Inputs'!$B$10))/SQRT((((435-43)*MAX('Inputs'!$B$33,'Inputs'!$B$29+'Inputs'!$B$31+'Inputs'!$B$32,'Inputs'!$B$30+'Inputs'!$B$31+'Inputs'!$B$32)/1000+'Inputs'!$B$21+'Inputs'!$B$7+'Inputs'!$B$10))^2+('Inputs'!$B$8/2)^2))))*'Results'!$B$8)+'Inputs'!$B$28*ABS((('Results'!B7*(1+'Inputs'!$B$24)*(0.5*((((435-43)*MAX('Inputs'!$B$33,'Inputs'!$B$29+'Inputs'!$B$31+'Inputs'!$B$32,'Inputs'!$B$30+'Inputs'!$B$31+'Inputs'!$B$32)/1000+'Inputs'!$B$21)+'Inputs'!$B$7)/SQRT((((435-43)*MAX('Inputs'!$B$33,'Inputs'!$B$29+'Inputs'!$B$31+'Inputs'!$B$32,'Inputs'!$B$30+'Inputs'!$B$31+'Inputs'!$B$32)/1000+'Inputs'!$B$21)+'Inputs'!$B$7)^2+('Inputs'!$B$6/2)^2)-(((435-43)*MAX('Inputs'!$B$33,'Inputs'!$B$29+'Inputs'!$B$31+'Inputs'!$B$32,'Inputs'!$B$30+'Inputs'!$B$31+'Inputs'!$B$32)/1000+'Inputs'!$B$21))/SQRT((((435-43)*MAX('Inputs'!$B$33,'Inputs'!$B$29+'Inputs'!$B$31+'Inputs'!$B$32,'Inputs'!$B$30+'Inputs'!$B$31+'Inputs'!$B$32)/1000+'Inputs'!$B$21))^2+('Inputs'!$B$6/2)^2)))-'Results'!C7*(1-'Inputs'!$B$24)*(0.5*((((435-43)*MAX('Inputs'!$B$33,'Inputs'!$B$29+'Inputs'!$B$31+'Inputs'!$B$32,'Inputs'!$B$30+'Inputs'!$B$31+'Inputs'!$B$32)/1000+'Inputs'!$B$21+'Inputs'!$B$7+'Inputs'!$B$10)+'Inputs'!$B$9)/SQRT((((435-43)*MAX('Inputs'!$B$33,'Inputs'!$B$29+'Inputs'!$B$31+'Inputs'!$B$32,'Inputs'!$B$30+'Inputs'!$B$31+'Inputs'!$B$32)/1000+'Inputs'!$B$21+'Inputs'!$B$7+'Inputs'!$B$10)+'Inputs'!$B$9)^2+('Inputs'!$B$8/2)^2)-(((435-43)*MAX('Inputs'!$B$33,'Inputs'!$B$29+'Inputs'!$B$31+'Inputs'!$B$32,'Inputs'!$B$30+'Inputs'!$B$31+'Inputs'!$B$32)/1000+'Inputs'!$B$21+'Inputs'!$B$7+'Inputs'!$B$10))/SQRT((((435-43)*MAX('Inputs'!$B$33,'Inputs'!$B$29+'Inputs'!$B$31+'Inputs'!$B$32,'Inputs'!$B$30+'Inputs'!$B$31+'Inputs'!$B$32)/1000+'Inputs'!$B$21+'Inputs'!$B$7+'Inputs'!$B$10))^2+('Inputs'!$B$8/2)^2))))*'Results'!$B$8))),"")</x:f>
        <x:v>10.48656002076327</x:v>
      </x:c>
      <x:c r="M435" t="n">
        <x:f>IF(AND(ISNUMBER('Results'!C7),ISNUMBER('Results'!B7),ISNUMBER('Results'!$B$8),ISNUMBER('Inputs'!$B$6),ISNUMBER('Inputs'!$B$7),ISNUMBER('Inputs'!$B$8),ISNUMBER('Inputs'!$B$9),ISNUMBER('Inputs'!$B$10),ISNUMBER('Inputs'!$B$21),ISNUMBER('Inputs'!$B$24),ISNUMBER('Inputs'!$B$28)),(('Results'!C7*(0.5*((((435-43)*MAX('Inputs'!$B$33,'Inputs'!$B$29+'Inputs'!$B$31+'Inputs'!$B$32,'Inputs'!$B$30+'Inputs'!$B$31+'Inputs'!$B$32)/1000+'Inputs'!$B$21)+'Inputs'!$B$9)/SQRT((((435-43)*MAX('Inputs'!$B$33,'Inputs'!$B$29+'Inputs'!$B$31+'Inputs'!$B$32,'Inputs'!$B$30+'Inputs'!$B$31+'Inputs'!$B$32)/1000+'Inputs'!$B$21)+'Inputs'!$B$9)^2+('Inputs'!$B$8/2)^2)-(((435-43)*MAX('Inputs'!$B$33,'Inputs'!$B$29+'Inputs'!$B$31+'Inputs'!$B$32,'Inputs'!$B$30+'Inputs'!$B$31+'Inputs'!$B$32)/1000+'Inputs'!$B$21))/SQRT((((435-43)*MAX('Inputs'!$B$33,'Inputs'!$B$29+'Inputs'!$B$31+'Inputs'!$B$32,'Inputs'!$B$30+'Inputs'!$B$31+'Inputs'!$B$32)/1000+'Inputs'!$B$21))^2+('Inputs'!$B$8/2)^2)))-'Results'!B7*(0.5*((((435-43)*MAX('Inputs'!$B$33,'Inputs'!$B$29+'Inputs'!$B$31+'Inputs'!$B$32,'Inputs'!$B$30+'Inputs'!$B$31+'Inputs'!$B$32)/1000+'Inputs'!$B$21+'Inputs'!$B$9+'Inputs'!$B$10)+'Inputs'!$B$7)/SQRT((((435-43)*MAX('Inputs'!$B$33,'Inputs'!$B$29+'Inputs'!$B$31+'Inputs'!$B$32,'Inputs'!$B$30+'Inputs'!$B$31+'Inputs'!$B$32)/1000+'Inputs'!$B$21+'Inputs'!$B$9+'Inputs'!$B$10)+'Inputs'!$B$7)^2+('Inputs'!$B$6/2)^2)-(((435-43)*MAX('Inputs'!$B$33,'Inputs'!$B$29+'Inputs'!$B$31+'Inputs'!$B$32,'Inputs'!$B$30+'Inputs'!$B$31+'Inputs'!$B$32)/1000+'Inputs'!$B$21+'Inputs'!$B$9+'Inputs'!$B$10))/SQRT((((435-43)*MAX('Inputs'!$B$33,'Inputs'!$B$29+'Inputs'!$B$31+'Inputs'!$B$32,'Inputs'!$B$30+'Inputs'!$B$31+'Inputs'!$B$32)/1000+'Inputs'!$B$21+'Inputs'!$B$9+'Inputs'!$B$10))^2+('Inputs'!$B$6/2)^2))))*'Results'!$B$8),"")</x:f>
        <x:v>8.9127104402387</x:v>
      </x:c>
      <x:c r="N435" t="n">
        <x:f>IF(AND(ISNUMBER('Results'!C7),ISNUMBER('Results'!B7),ISNUMBER('Results'!$B$8),ISNUMBER('Inputs'!$B$6),ISNUMBER('Inputs'!$B$7),ISNUMBER('Inputs'!$B$8),ISNUMBER('Inputs'!$B$9),ISNUMBER('Inputs'!$B$10),ISNUMBER('Inputs'!$B$21),ISNUMBER('Inputs'!$B$24),ISNUMBER('Inputs'!$B$28)),((('Results'!C7*(1-'Inputs'!$B$24)*(0.5*((((435-43)*MAX('Inputs'!$B$33,'Inputs'!$B$29+'Inputs'!$B$31+'Inputs'!$B$32,'Inputs'!$B$30+'Inputs'!$B$31+'Inputs'!$B$32)/1000+'Inputs'!$B$21)+'Inputs'!$B$9)/SQRT((((435-43)*MAX('Inputs'!$B$33,'Inputs'!$B$29+'Inputs'!$B$31+'Inputs'!$B$32,'Inputs'!$B$30+'Inputs'!$B$31+'Inputs'!$B$32)/1000+'Inputs'!$B$21)+'Inputs'!$B$9)^2+('Inputs'!$B$8/2)^2)-(((435-43)*MAX('Inputs'!$B$33,'Inputs'!$B$29+'Inputs'!$B$31+'Inputs'!$B$32,'Inputs'!$B$30+'Inputs'!$B$31+'Inputs'!$B$32)/1000+'Inputs'!$B$21))/SQRT((((435-43)*MAX('Inputs'!$B$33,'Inputs'!$B$29+'Inputs'!$B$31+'Inputs'!$B$32,'Inputs'!$B$30+'Inputs'!$B$31+'Inputs'!$B$32)/1000+'Inputs'!$B$21))^2+('Inputs'!$B$8/2)^2)))-'Results'!B7*(1+'Inputs'!$B$24)*(0.5*((((435-43)*MAX('Inputs'!$B$33,'Inputs'!$B$29+'Inputs'!$B$31+'Inputs'!$B$32,'Inputs'!$B$30+'Inputs'!$B$31+'Inputs'!$B$32)/1000+'Inputs'!$B$21+'Inputs'!$B$9+'Inputs'!$B$10)+'Inputs'!$B$7)/SQRT((((435-43)*MAX('Inputs'!$B$33,'Inputs'!$B$29+'Inputs'!$B$31+'Inputs'!$B$32,'Inputs'!$B$30+'Inputs'!$B$31+'Inputs'!$B$32)/1000+'Inputs'!$B$21+'Inputs'!$B$9+'Inputs'!$B$10)+'Inputs'!$B$7)^2+('Inputs'!$B$6/2)^2)-(((435-43)*MAX('Inputs'!$B$33,'Inputs'!$B$29+'Inputs'!$B$31+'Inputs'!$B$32,'Inputs'!$B$30+'Inputs'!$B$31+'Inputs'!$B$32)/1000+'Inputs'!$B$21+'Inputs'!$B$9+'Inputs'!$B$10))/SQRT((((435-43)*MAX('Inputs'!$B$33,'Inputs'!$B$29+'Inputs'!$B$31+'Inputs'!$B$32,'Inputs'!$B$30+'Inputs'!$B$31+'Inputs'!$B$32)/1000+'Inputs'!$B$21+'Inputs'!$B$9+'Inputs'!$B$10))^2+('Inputs'!$B$6/2)^2))))*'Results'!$B$8)-'Inputs'!$B$28*ABS((('Results'!C7*(1-'Inputs'!$B$24)*(0.5*((((435-43)*MAX('Inputs'!$B$33,'Inputs'!$B$29+'Inputs'!$B$31+'Inputs'!$B$32,'Inputs'!$B$30+'Inputs'!$B$31+'Inputs'!$B$32)/1000+'Inputs'!$B$21)+'Inputs'!$B$9)/SQRT((((435-43)*MAX('Inputs'!$B$33,'Inputs'!$B$29+'Inputs'!$B$31+'Inputs'!$B$32,'Inputs'!$B$30+'Inputs'!$B$31+'Inputs'!$B$32)/1000+'Inputs'!$B$21)+'Inputs'!$B$9)^2+('Inputs'!$B$8/2)^2)-(((435-43)*MAX('Inputs'!$B$33,'Inputs'!$B$29+'Inputs'!$B$31+'Inputs'!$B$32,'Inputs'!$B$30+'Inputs'!$B$31+'Inputs'!$B$32)/1000+'Inputs'!$B$21))/SQRT((((435-43)*MAX('Inputs'!$B$33,'Inputs'!$B$29+'Inputs'!$B$31+'Inputs'!$B$32,'Inputs'!$B$30+'Inputs'!$B$31+'Inputs'!$B$32)/1000+'Inputs'!$B$21))^2+('Inputs'!$B$8/2)^2)))-'Results'!B7*(1+'Inputs'!$B$24)*(0.5*((((435-43)*MAX('Inputs'!$B$33,'Inputs'!$B$29+'Inputs'!$B$31+'Inputs'!$B$32,'Inputs'!$B$30+'Inputs'!$B$31+'Inputs'!$B$32)/1000+'Inputs'!$B$21+'Inputs'!$B$9+'Inputs'!$B$10)+'Inputs'!$B$7)/SQRT((((435-43)*MAX('Inputs'!$B$33,'Inputs'!$B$29+'Inputs'!$B$31+'Inputs'!$B$32,'Inputs'!$B$30+'Inputs'!$B$31+'Inputs'!$B$32)/1000+'Inputs'!$B$21+'Inputs'!$B$9+'Inputs'!$B$10)+'Inputs'!$B$7)^2+('Inputs'!$B$6/2)^2)-(((435-43)*MAX('Inputs'!$B$33,'Inputs'!$B$29+'Inputs'!$B$31+'Inputs'!$B$32,'Inputs'!$B$30+'Inputs'!$B$31+'Inputs'!$B$32)/1000+'Inputs'!$B$21+'Inputs'!$B$9+'Inputs'!$B$10))/SQRT((((435-43)*MAX('Inputs'!$B$33,'Inputs'!$B$29+'Inputs'!$B$31+'Inputs'!$B$32,'Inputs'!$B$30+'Inputs'!$B$31+'Inputs'!$B$32)/1000+'Inputs'!$B$21+'Inputs'!$B$9+'Inputs'!$B$10))^2+('Inputs'!$B$6/2)^2))))*'Results'!$B$8))),"")</x:f>
        <x:v>7.9618960420230245</x:v>
      </x:c>
      <x:c r="O435" t="n">
        <x:f>IF(AND(ISNUMBER('Results'!C7),ISNUMBER('Results'!B7),ISNUMBER('Results'!$B$8),ISNUMBER('Inputs'!$B$6),ISNUMBER('Inputs'!$B$7),ISNUMBER('Inputs'!$B$8),ISNUMBER('Inputs'!$B$9),ISNUMBER('Inputs'!$B$10),ISNUMBER('Inputs'!$B$21),ISNUMBER('Inputs'!$B$24),ISNUMBER('Inputs'!$B$28)),((('Results'!C7*(1+'Inputs'!$B$24)*(0.5*((((435-43)*MAX('Inputs'!$B$33,'Inputs'!$B$29+'Inputs'!$B$31+'Inputs'!$B$32,'Inputs'!$B$30+'Inputs'!$B$31+'Inputs'!$B$32)/1000+'Inputs'!$B$21)+'Inputs'!$B$9)/SQRT((((435-43)*MAX('Inputs'!$B$33,'Inputs'!$B$29+'Inputs'!$B$31+'Inputs'!$B$32,'Inputs'!$B$30+'Inputs'!$B$31+'Inputs'!$B$32)/1000+'Inputs'!$B$21)+'Inputs'!$B$9)^2+('Inputs'!$B$8/2)^2)-(((435-43)*MAX('Inputs'!$B$33,'Inputs'!$B$29+'Inputs'!$B$31+'Inputs'!$B$32,'Inputs'!$B$30+'Inputs'!$B$31+'Inputs'!$B$32)/1000+'Inputs'!$B$21))/SQRT((((435-43)*MAX('Inputs'!$B$33,'Inputs'!$B$29+'Inputs'!$B$31+'Inputs'!$B$32,'Inputs'!$B$30+'Inputs'!$B$31+'Inputs'!$B$32)/1000+'Inputs'!$B$21))^2+('Inputs'!$B$8/2)^2)))-'Results'!B7*(1-'Inputs'!$B$24)*(0.5*((((435-43)*MAX('Inputs'!$B$33,'Inputs'!$B$29+'Inputs'!$B$31+'Inputs'!$B$32,'Inputs'!$B$30+'Inputs'!$B$31+'Inputs'!$B$32)/1000+'Inputs'!$B$21+'Inputs'!$B$9+'Inputs'!$B$10)+'Inputs'!$B$7)/SQRT((((435-43)*MAX('Inputs'!$B$33,'Inputs'!$B$29+'Inputs'!$B$31+'Inputs'!$B$32,'Inputs'!$B$30+'Inputs'!$B$31+'Inputs'!$B$32)/1000+'Inputs'!$B$21+'Inputs'!$B$9+'Inputs'!$B$10)+'Inputs'!$B$7)^2+('Inputs'!$B$6/2)^2)-(((435-43)*MAX('Inputs'!$B$33,'Inputs'!$B$29+'Inputs'!$B$31+'Inputs'!$B$32,'Inputs'!$B$30+'Inputs'!$B$31+'Inputs'!$B$32)/1000+'Inputs'!$B$21+'Inputs'!$B$9+'Inputs'!$B$10))/SQRT((((435-43)*MAX('Inputs'!$B$33,'Inputs'!$B$29+'Inputs'!$B$31+'Inputs'!$B$32,'Inputs'!$B$30+'Inputs'!$B$31+'Inputs'!$B$32)/1000+'Inputs'!$B$21+'Inputs'!$B$9+'Inputs'!$B$10))^2+('Inputs'!$B$6/2)^2))))*'Results'!$B$8)+'Inputs'!$B$28*ABS((('Results'!C7*(1+'Inputs'!$B$24)*(0.5*((((435-43)*MAX('Inputs'!$B$33,'Inputs'!$B$29+'Inputs'!$B$31+'Inputs'!$B$32,'Inputs'!$B$30+'Inputs'!$B$31+'Inputs'!$B$32)/1000+'Inputs'!$B$21)+'Inputs'!$B$9)/SQRT((((435-43)*MAX('Inputs'!$B$33,'Inputs'!$B$29+'Inputs'!$B$31+'Inputs'!$B$32,'Inputs'!$B$30+'Inputs'!$B$31+'Inputs'!$B$32)/1000+'Inputs'!$B$21)+'Inputs'!$B$9)^2+('Inputs'!$B$8/2)^2)-(((435-43)*MAX('Inputs'!$B$33,'Inputs'!$B$29+'Inputs'!$B$31+'Inputs'!$B$32,'Inputs'!$B$30+'Inputs'!$B$31+'Inputs'!$B$32)/1000+'Inputs'!$B$21))/SQRT((((435-43)*MAX('Inputs'!$B$33,'Inputs'!$B$29+'Inputs'!$B$31+'Inputs'!$B$32,'Inputs'!$B$30+'Inputs'!$B$31+'Inputs'!$B$32)/1000+'Inputs'!$B$21))^2+('Inputs'!$B$8/2)^2)))-'Results'!B7*(1-'Inputs'!$B$24)*(0.5*((((435-43)*MAX('Inputs'!$B$33,'Inputs'!$B$29+'Inputs'!$B$31+'Inputs'!$B$32,'Inputs'!$B$30+'Inputs'!$B$31+'Inputs'!$B$32)/1000+'Inputs'!$B$21+'Inputs'!$B$9+'Inputs'!$B$10)+'Inputs'!$B$7)/SQRT((((435-43)*MAX('Inputs'!$B$33,'Inputs'!$B$29+'Inputs'!$B$31+'Inputs'!$B$32,'Inputs'!$B$30+'Inputs'!$B$31+'Inputs'!$B$32)/1000+'Inputs'!$B$21+'Inputs'!$B$9+'Inputs'!$B$10)+'Inputs'!$B$7)^2+('Inputs'!$B$6/2)^2)-(((435-43)*MAX('Inputs'!$B$33,'Inputs'!$B$29+'Inputs'!$B$31+'Inputs'!$B$32,'Inputs'!$B$30+'Inputs'!$B$31+'Inputs'!$B$32)/1000+'Inputs'!$B$21+'Inputs'!$B$9+'Inputs'!$B$10))/SQRT((((435-43)*MAX('Inputs'!$B$33,'Inputs'!$B$29+'Inputs'!$B$31+'Inputs'!$B$32,'Inputs'!$B$30+'Inputs'!$B$31+'Inputs'!$B$32)/1000+'Inputs'!$B$21+'Inputs'!$B$9+'Inputs'!$B$10))^2+('Inputs'!$B$6/2)^2))))*'Results'!$B$8))),"")</x:f>
        <x:v>9.916701562265297</x:v>
      </x:c>
      <x:c r="P435" t="n">
        <x:f>IF(AND(MAX(J435,J434)&gt;0,J435&gt;J434+0.00000001),1,0)</x:f>
        <x:v>0</x:v>
      </x:c>
      <x:c r="Q435" t="n">
        <x:f>IF(AND(MAX(K435,K434)&gt;0,K435&gt;K434+0.00000001),1,0)</x:f>
        <x:v>0</x:v>
      </x:c>
      <x:c r="R435" t="n">
        <x:f>IF(AND(MAX(L435,L434)&gt;0,L435&gt;L434+0.00000001),1,0)</x:f>
        <x:v>0</x:v>
      </x:c>
      <x:c r="S435" t="n">
        <x:f>IF(AND(MAX(M435,M434)&gt;0,M435&gt;M434+0.00000001),1,0)</x:f>
        <x:v>0</x:v>
      </x:c>
      <x:c r="T435" t="n">
        <x:f>IF(AND(MAX(N435,N434)&gt;0,N435&gt;N434+0.00000001),1,0)</x:f>
        <x:v>0</x:v>
      </x:c>
      <x:c r="U435" t="n">
        <x:f>IF(AND(MAX(O435,O434)&gt;0,O435&gt;O434+0.00000001),1,0)</x:f>
        <x:v>0</x:v>
      </x:c>
    </x:row>
    <x:row r="436">
      <x:c r="J436" t="n">
        <x:f>IF(AND(ISNUMBER('Results'!B7),ISNUMBER('Results'!C7),ISNUMBER('Results'!$B$8),ISNUMBER('Inputs'!$B$6),ISNUMBER('Inputs'!$B$7),ISNUMBER('Inputs'!$B$8),ISNUMBER('Inputs'!$B$9),ISNUMBER('Inputs'!$B$10),ISNUMBER('Inputs'!$B$21),ISNUMBER('Inputs'!$B$24),ISNUMBER('Inputs'!$B$28)),(('Results'!B7*(0.5*((((436-43)*MAX('Inputs'!$B$33,'Inputs'!$B$29+'Inputs'!$B$31+'Inputs'!$B$32,'Inputs'!$B$30+'Inputs'!$B$31+'Inputs'!$B$32)/1000+'Inputs'!$B$21)+'Inputs'!$B$7)/SQRT((((436-43)*MAX('Inputs'!$B$33,'Inputs'!$B$29+'Inputs'!$B$31+'Inputs'!$B$32,'Inputs'!$B$30+'Inputs'!$B$31+'Inputs'!$B$32)/1000+'Inputs'!$B$21)+'Inputs'!$B$7)^2+('Inputs'!$B$6/2)^2)-(((436-43)*MAX('Inputs'!$B$33,'Inputs'!$B$29+'Inputs'!$B$31+'Inputs'!$B$32,'Inputs'!$B$30+'Inputs'!$B$31+'Inputs'!$B$32)/1000+'Inputs'!$B$21))/SQRT((((436-43)*MAX('Inputs'!$B$33,'Inputs'!$B$29+'Inputs'!$B$31+'Inputs'!$B$32,'Inputs'!$B$30+'Inputs'!$B$31+'Inputs'!$B$32)/1000+'Inputs'!$B$21))^2+('Inputs'!$B$6/2)^2)))-'Results'!C7*(0.5*((((436-43)*MAX('Inputs'!$B$33,'Inputs'!$B$29+'Inputs'!$B$31+'Inputs'!$B$32,'Inputs'!$B$30+'Inputs'!$B$31+'Inputs'!$B$32)/1000+'Inputs'!$B$21+'Inputs'!$B$7+'Inputs'!$B$10)+'Inputs'!$B$9)/SQRT((((436-43)*MAX('Inputs'!$B$33,'Inputs'!$B$29+'Inputs'!$B$31+'Inputs'!$B$32,'Inputs'!$B$30+'Inputs'!$B$31+'Inputs'!$B$32)/1000+'Inputs'!$B$21+'Inputs'!$B$7+'Inputs'!$B$10)+'Inputs'!$B$9)^2+('Inputs'!$B$8/2)^2)-(((436-43)*MAX('Inputs'!$B$33,'Inputs'!$B$29+'Inputs'!$B$31+'Inputs'!$B$32,'Inputs'!$B$30+'Inputs'!$B$31+'Inputs'!$B$32)/1000+'Inputs'!$B$21+'Inputs'!$B$7+'Inputs'!$B$10))/SQRT((((436-43)*MAX('Inputs'!$B$33,'Inputs'!$B$29+'Inputs'!$B$31+'Inputs'!$B$32,'Inputs'!$B$30+'Inputs'!$B$31+'Inputs'!$B$32)/1000+'Inputs'!$B$21+'Inputs'!$B$7+'Inputs'!$B$10))^2+('Inputs'!$B$8/2)^2))))*'Results'!$B$8),"")</x:f>
        <x:v>9.372911482536885</x:v>
      </x:c>
      <x:c r="K436" t="n">
        <x:f>IF(AND(ISNUMBER('Results'!B7),ISNUMBER('Results'!C7),ISNUMBER('Results'!$B$8),ISNUMBER('Inputs'!$B$6),ISNUMBER('Inputs'!$B$7),ISNUMBER('Inputs'!$B$8),ISNUMBER('Inputs'!$B$9),ISNUMBER('Inputs'!$B$10),ISNUMBER('Inputs'!$B$21),ISNUMBER('Inputs'!$B$24),ISNUMBER('Inputs'!$B$28)),((('Results'!B7*(1-'Inputs'!$B$24)*(0.5*((((436-43)*MAX('Inputs'!$B$33,'Inputs'!$B$29+'Inputs'!$B$31+'Inputs'!$B$32,'Inputs'!$B$30+'Inputs'!$B$31+'Inputs'!$B$32)/1000+'Inputs'!$B$21)+'Inputs'!$B$7)/SQRT((((436-43)*MAX('Inputs'!$B$33,'Inputs'!$B$29+'Inputs'!$B$31+'Inputs'!$B$32,'Inputs'!$B$30+'Inputs'!$B$31+'Inputs'!$B$32)/1000+'Inputs'!$B$21)+'Inputs'!$B$7)^2+('Inputs'!$B$6/2)^2)-(((436-43)*MAX('Inputs'!$B$33,'Inputs'!$B$29+'Inputs'!$B$31+'Inputs'!$B$32,'Inputs'!$B$30+'Inputs'!$B$31+'Inputs'!$B$32)/1000+'Inputs'!$B$21))/SQRT((((436-43)*MAX('Inputs'!$B$33,'Inputs'!$B$29+'Inputs'!$B$31+'Inputs'!$B$32,'Inputs'!$B$30+'Inputs'!$B$31+'Inputs'!$B$32)/1000+'Inputs'!$B$21))^2+('Inputs'!$B$6/2)^2)))-'Results'!C7*(1+'Inputs'!$B$24)*(0.5*((((436-43)*MAX('Inputs'!$B$33,'Inputs'!$B$29+'Inputs'!$B$31+'Inputs'!$B$32,'Inputs'!$B$30+'Inputs'!$B$31+'Inputs'!$B$32)/1000+'Inputs'!$B$21+'Inputs'!$B$7+'Inputs'!$B$10)+'Inputs'!$B$9)/SQRT((((436-43)*MAX('Inputs'!$B$33,'Inputs'!$B$29+'Inputs'!$B$31+'Inputs'!$B$32,'Inputs'!$B$30+'Inputs'!$B$31+'Inputs'!$B$32)/1000+'Inputs'!$B$21+'Inputs'!$B$7+'Inputs'!$B$10)+'Inputs'!$B$9)^2+('Inputs'!$B$8/2)^2)-(((436-43)*MAX('Inputs'!$B$33,'Inputs'!$B$29+'Inputs'!$B$31+'Inputs'!$B$32,'Inputs'!$B$30+'Inputs'!$B$31+'Inputs'!$B$32)/1000+'Inputs'!$B$21+'Inputs'!$B$7+'Inputs'!$B$10))/SQRT((((436-43)*MAX('Inputs'!$B$33,'Inputs'!$B$29+'Inputs'!$B$31+'Inputs'!$B$32,'Inputs'!$B$30+'Inputs'!$B$31+'Inputs'!$B$32)/1000+'Inputs'!$B$21+'Inputs'!$B$7+'Inputs'!$B$10))^2+('Inputs'!$B$8/2)^2))))*'Results'!$B$8)-'Inputs'!$B$28*ABS((('Results'!B7*(1-'Inputs'!$B$24)*(0.5*((((436-43)*MAX('Inputs'!$B$33,'Inputs'!$B$29+'Inputs'!$B$31+'Inputs'!$B$32,'Inputs'!$B$30+'Inputs'!$B$31+'Inputs'!$B$32)/1000+'Inputs'!$B$21)+'Inputs'!$B$7)/SQRT((((436-43)*MAX('Inputs'!$B$33,'Inputs'!$B$29+'Inputs'!$B$31+'Inputs'!$B$32,'Inputs'!$B$30+'Inputs'!$B$31+'Inputs'!$B$32)/1000+'Inputs'!$B$21)+'Inputs'!$B$7)^2+('Inputs'!$B$6/2)^2)-(((436-43)*MAX('Inputs'!$B$33,'Inputs'!$B$29+'Inputs'!$B$31+'Inputs'!$B$32,'Inputs'!$B$30+'Inputs'!$B$31+'Inputs'!$B$32)/1000+'Inputs'!$B$21))/SQRT((((436-43)*MAX('Inputs'!$B$33,'Inputs'!$B$29+'Inputs'!$B$31+'Inputs'!$B$32,'Inputs'!$B$30+'Inputs'!$B$31+'Inputs'!$B$32)/1000+'Inputs'!$B$21))^2+('Inputs'!$B$6/2)^2)))-'Results'!C7*(1+'Inputs'!$B$24)*(0.5*((((436-43)*MAX('Inputs'!$B$33,'Inputs'!$B$29+'Inputs'!$B$31+'Inputs'!$B$32,'Inputs'!$B$30+'Inputs'!$B$31+'Inputs'!$B$32)/1000+'Inputs'!$B$21+'Inputs'!$B$7+'Inputs'!$B$10)+'Inputs'!$B$9)/SQRT((((436-43)*MAX('Inputs'!$B$33,'Inputs'!$B$29+'Inputs'!$B$31+'Inputs'!$B$32,'Inputs'!$B$30+'Inputs'!$B$31+'Inputs'!$B$32)/1000+'Inputs'!$B$21+'Inputs'!$B$7+'Inputs'!$B$10)+'Inputs'!$B$9)^2+('Inputs'!$B$8/2)^2)-(((436-43)*MAX('Inputs'!$B$33,'Inputs'!$B$29+'Inputs'!$B$31+'Inputs'!$B$32,'Inputs'!$B$30+'Inputs'!$B$31+'Inputs'!$B$32)/1000+'Inputs'!$B$21+'Inputs'!$B$7+'Inputs'!$B$10))/SQRT((((436-43)*MAX('Inputs'!$B$33,'Inputs'!$B$29+'Inputs'!$B$31+'Inputs'!$B$32,'Inputs'!$B$30+'Inputs'!$B$31+'Inputs'!$B$32)/1000+'Inputs'!$B$21+'Inputs'!$B$7+'Inputs'!$B$10))^2+('Inputs'!$B$8/2)^2))))*'Results'!$B$8))),"")</x:f>
        <x:v>8.398889944653897</x:v>
      </x:c>
      <x:c r="L436" t="n">
        <x:f>IF(AND(ISNUMBER('Results'!B7),ISNUMBER('Results'!C7),ISNUMBER('Results'!$B$8),ISNUMBER('Inputs'!$B$6),ISNUMBER('Inputs'!$B$7),ISNUMBER('Inputs'!$B$8),ISNUMBER('Inputs'!$B$9),ISNUMBER('Inputs'!$B$10),ISNUMBER('Inputs'!$B$21),ISNUMBER('Inputs'!$B$24),ISNUMBER('Inputs'!$B$28)),((('Results'!B7*(1+'Inputs'!$B$24)*(0.5*((((436-43)*MAX('Inputs'!$B$33,'Inputs'!$B$29+'Inputs'!$B$31+'Inputs'!$B$32,'Inputs'!$B$30+'Inputs'!$B$31+'Inputs'!$B$32)/1000+'Inputs'!$B$21)+'Inputs'!$B$7)/SQRT((((436-43)*MAX('Inputs'!$B$33,'Inputs'!$B$29+'Inputs'!$B$31+'Inputs'!$B$32,'Inputs'!$B$30+'Inputs'!$B$31+'Inputs'!$B$32)/1000+'Inputs'!$B$21)+'Inputs'!$B$7)^2+('Inputs'!$B$6/2)^2)-(((436-43)*MAX('Inputs'!$B$33,'Inputs'!$B$29+'Inputs'!$B$31+'Inputs'!$B$32,'Inputs'!$B$30+'Inputs'!$B$31+'Inputs'!$B$32)/1000+'Inputs'!$B$21))/SQRT((((436-43)*MAX('Inputs'!$B$33,'Inputs'!$B$29+'Inputs'!$B$31+'Inputs'!$B$32,'Inputs'!$B$30+'Inputs'!$B$31+'Inputs'!$B$32)/1000+'Inputs'!$B$21))^2+('Inputs'!$B$6/2)^2)))-'Results'!C7*(1-'Inputs'!$B$24)*(0.5*((((436-43)*MAX('Inputs'!$B$33,'Inputs'!$B$29+'Inputs'!$B$31+'Inputs'!$B$32,'Inputs'!$B$30+'Inputs'!$B$31+'Inputs'!$B$32)/1000+'Inputs'!$B$21+'Inputs'!$B$7+'Inputs'!$B$10)+'Inputs'!$B$9)/SQRT((((436-43)*MAX('Inputs'!$B$33,'Inputs'!$B$29+'Inputs'!$B$31+'Inputs'!$B$32,'Inputs'!$B$30+'Inputs'!$B$31+'Inputs'!$B$32)/1000+'Inputs'!$B$21+'Inputs'!$B$7+'Inputs'!$B$10)+'Inputs'!$B$9)^2+('Inputs'!$B$8/2)^2)-(((436-43)*MAX('Inputs'!$B$33,'Inputs'!$B$29+'Inputs'!$B$31+'Inputs'!$B$32,'Inputs'!$B$30+'Inputs'!$B$31+'Inputs'!$B$32)/1000+'Inputs'!$B$21+'Inputs'!$B$7+'Inputs'!$B$10))/SQRT((((436-43)*MAX('Inputs'!$B$33,'Inputs'!$B$29+'Inputs'!$B$31+'Inputs'!$B$32,'Inputs'!$B$30+'Inputs'!$B$31+'Inputs'!$B$32)/1000+'Inputs'!$B$21+'Inputs'!$B$7+'Inputs'!$B$10))^2+('Inputs'!$B$8/2)^2))))*'Results'!$B$8)+'Inputs'!$B$28*ABS((('Results'!B7*(1+'Inputs'!$B$24)*(0.5*((((436-43)*MAX('Inputs'!$B$33,'Inputs'!$B$29+'Inputs'!$B$31+'Inputs'!$B$32,'Inputs'!$B$30+'Inputs'!$B$31+'Inputs'!$B$32)/1000+'Inputs'!$B$21)+'Inputs'!$B$7)/SQRT((((436-43)*MAX('Inputs'!$B$33,'Inputs'!$B$29+'Inputs'!$B$31+'Inputs'!$B$32,'Inputs'!$B$30+'Inputs'!$B$31+'Inputs'!$B$32)/1000+'Inputs'!$B$21)+'Inputs'!$B$7)^2+('Inputs'!$B$6/2)^2)-(((436-43)*MAX('Inputs'!$B$33,'Inputs'!$B$29+'Inputs'!$B$31+'Inputs'!$B$32,'Inputs'!$B$30+'Inputs'!$B$31+'Inputs'!$B$32)/1000+'Inputs'!$B$21))/SQRT((((436-43)*MAX('Inputs'!$B$33,'Inputs'!$B$29+'Inputs'!$B$31+'Inputs'!$B$32,'Inputs'!$B$30+'Inputs'!$B$31+'Inputs'!$B$32)/1000+'Inputs'!$B$21))^2+('Inputs'!$B$6/2)^2)))-'Results'!C7*(1-'Inputs'!$B$24)*(0.5*((((436-43)*MAX('Inputs'!$B$33,'Inputs'!$B$29+'Inputs'!$B$31+'Inputs'!$B$32,'Inputs'!$B$30+'Inputs'!$B$31+'Inputs'!$B$32)/1000+'Inputs'!$B$21+'Inputs'!$B$7+'Inputs'!$B$10)+'Inputs'!$B$9)/SQRT((((436-43)*MAX('Inputs'!$B$33,'Inputs'!$B$29+'Inputs'!$B$31+'Inputs'!$B$32,'Inputs'!$B$30+'Inputs'!$B$31+'Inputs'!$B$32)/1000+'Inputs'!$B$21+'Inputs'!$B$7+'Inputs'!$B$10)+'Inputs'!$B$9)^2+('Inputs'!$B$8/2)^2)-(((436-43)*MAX('Inputs'!$B$33,'Inputs'!$B$29+'Inputs'!$B$31+'Inputs'!$B$32,'Inputs'!$B$30+'Inputs'!$B$31+'Inputs'!$B$32)/1000+'Inputs'!$B$21+'Inputs'!$B$7+'Inputs'!$B$10))/SQRT((((436-43)*MAX('Inputs'!$B$33,'Inputs'!$B$29+'Inputs'!$B$31+'Inputs'!$B$32,'Inputs'!$B$30+'Inputs'!$B$31+'Inputs'!$B$32)/1000+'Inputs'!$B$21+'Inputs'!$B$7+'Inputs'!$B$10))^2+('Inputs'!$B$8/2)^2))))*'Results'!$B$8))),"")</x:f>
        <x:v>10.400130490288939</x:v>
      </x:c>
      <x:c r="M436" t="n">
        <x:f>IF(AND(ISNUMBER('Results'!C7),ISNUMBER('Results'!B7),ISNUMBER('Results'!$B$8),ISNUMBER('Inputs'!$B$6),ISNUMBER('Inputs'!$B$7),ISNUMBER('Inputs'!$B$8),ISNUMBER('Inputs'!$B$9),ISNUMBER('Inputs'!$B$10),ISNUMBER('Inputs'!$B$21),ISNUMBER('Inputs'!$B$24),ISNUMBER('Inputs'!$B$28)),(('Results'!C7*(0.5*((((436-43)*MAX('Inputs'!$B$33,'Inputs'!$B$29+'Inputs'!$B$31+'Inputs'!$B$32,'Inputs'!$B$30+'Inputs'!$B$31+'Inputs'!$B$32)/1000+'Inputs'!$B$21)+'Inputs'!$B$9)/SQRT((((436-43)*MAX('Inputs'!$B$33,'Inputs'!$B$29+'Inputs'!$B$31+'Inputs'!$B$32,'Inputs'!$B$30+'Inputs'!$B$31+'Inputs'!$B$32)/1000+'Inputs'!$B$21)+'Inputs'!$B$9)^2+('Inputs'!$B$8/2)^2)-(((436-43)*MAX('Inputs'!$B$33,'Inputs'!$B$29+'Inputs'!$B$31+'Inputs'!$B$32,'Inputs'!$B$30+'Inputs'!$B$31+'Inputs'!$B$32)/1000+'Inputs'!$B$21))/SQRT((((436-43)*MAX('Inputs'!$B$33,'Inputs'!$B$29+'Inputs'!$B$31+'Inputs'!$B$32,'Inputs'!$B$30+'Inputs'!$B$31+'Inputs'!$B$32)/1000+'Inputs'!$B$21))^2+('Inputs'!$B$8/2)^2)))-'Results'!B7*(0.5*((((436-43)*MAX('Inputs'!$B$33,'Inputs'!$B$29+'Inputs'!$B$31+'Inputs'!$B$32,'Inputs'!$B$30+'Inputs'!$B$31+'Inputs'!$B$32)/1000+'Inputs'!$B$21+'Inputs'!$B$9+'Inputs'!$B$10)+'Inputs'!$B$7)/SQRT((((436-43)*MAX('Inputs'!$B$33,'Inputs'!$B$29+'Inputs'!$B$31+'Inputs'!$B$32,'Inputs'!$B$30+'Inputs'!$B$31+'Inputs'!$B$32)/1000+'Inputs'!$B$21+'Inputs'!$B$9+'Inputs'!$B$10)+'Inputs'!$B$7)^2+('Inputs'!$B$6/2)^2)-(((436-43)*MAX('Inputs'!$B$33,'Inputs'!$B$29+'Inputs'!$B$31+'Inputs'!$B$32,'Inputs'!$B$30+'Inputs'!$B$31+'Inputs'!$B$32)/1000+'Inputs'!$B$21+'Inputs'!$B$9+'Inputs'!$B$10))/SQRT((((436-43)*MAX('Inputs'!$B$33,'Inputs'!$B$29+'Inputs'!$B$31+'Inputs'!$B$32,'Inputs'!$B$30+'Inputs'!$B$31+'Inputs'!$B$32)/1000+'Inputs'!$B$21+'Inputs'!$B$9+'Inputs'!$B$10))^2+('Inputs'!$B$6/2)^2))))*'Results'!$B$8),"")</x:f>
        <x:v>8.837421309672331</x:v>
      </x:c>
      <x:c r="N436" t="n">
        <x:f>IF(AND(ISNUMBER('Results'!C7),ISNUMBER('Results'!B7),ISNUMBER('Results'!$B$8),ISNUMBER('Inputs'!$B$6),ISNUMBER('Inputs'!$B$7),ISNUMBER('Inputs'!$B$8),ISNUMBER('Inputs'!$B$9),ISNUMBER('Inputs'!$B$10),ISNUMBER('Inputs'!$B$21),ISNUMBER('Inputs'!$B$24),ISNUMBER('Inputs'!$B$28)),((('Results'!C7*(1-'Inputs'!$B$24)*(0.5*((((436-43)*MAX('Inputs'!$B$33,'Inputs'!$B$29+'Inputs'!$B$31+'Inputs'!$B$32,'Inputs'!$B$30+'Inputs'!$B$31+'Inputs'!$B$32)/1000+'Inputs'!$B$21)+'Inputs'!$B$9)/SQRT((((436-43)*MAX('Inputs'!$B$33,'Inputs'!$B$29+'Inputs'!$B$31+'Inputs'!$B$32,'Inputs'!$B$30+'Inputs'!$B$31+'Inputs'!$B$32)/1000+'Inputs'!$B$21)+'Inputs'!$B$9)^2+('Inputs'!$B$8/2)^2)-(((436-43)*MAX('Inputs'!$B$33,'Inputs'!$B$29+'Inputs'!$B$31+'Inputs'!$B$32,'Inputs'!$B$30+'Inputs'!$B$31+'Inputs'!$B$32)/1000+'Inputs'!$B$21))/SQRT((((436-43)*MAX('Inputs'!$B$33,'Inputs'!$B$29+'Inputs'!$B$31+'Inputs'!$B$32,'Inputs'!$B$30+'Inputs'!$B$31+'Inputs'!$B$32)/1000+'Inputs'!$B$21))^2+('Inputs'!$B$8/2)^2)))-'Results'!B7*(1+'Inputs'!$B$24)*(0.5*((((436-43)*MAX('Inputs'!$B$33,'Inputs'!$B$29+'Inputs'!$B$31+'Inputs'!$B$32,'Inputs'!$B$30+'Inputs'!$B$31+'Inputs'!$B$32)/1000+'Inputs'!$B$21+'Inputs'!$B$9+'Inputs'!$B$10)+'Inputs'!$B$7)/SQRT((((436-43)*MAX('Inputs'!$B$33,'Inputs'!$B$29+'Inputs'!$B$31+'Inputs'!$B$32,'Inputs'!$B$30+'Inputs'!$B$31+'Inputs'!$B$32)/1000+'Inputs'!$B$21+'Inputs'!$B$9+'Inputs'!$B$10)+'Inputs'!$B$7)^2+('Inputs'!$B$6/2)^2)-(((436-43)*MAX('Inputs'!$B$33,'Inputs'!$B$29+'Inputs'!$B$31+'Inputs'!$B$32,'Inputs'!$B$30+'Inputs'!$B$31+'Inputs'!$B$32)/1000+'Inputs'!$B$21+'Inputs'!$B$9+'Inputs'!$B$10))/SQRT((((436-43)*MAX('Inputs'!$B$33,'Inputs'!$B$29+'Inputs'!$B$31+'Inputs'!$B$32,'Inputs'!$B$30+'Inputs'!$B$31+'Inputs'!$B$32)/1000+'Inputs'!$B$21+'Inputs'!$B$9+'Inputs'!$B$10))^2+('Inputs'!$B$6/2)^2))))*'Results'!$B$8)-'Inputs'!$B$28*ABS((('Results'!C7*(1-'Inputs'!$B$24)*(0.5*((((436-43)*MAX('Inputs'!$B$33,'Inputs'!$B$29+'Inputs'!$B$31+'Inputs'!$B$32,'Inputs'!$B$30+'Inputs'!$B$31+'Inputs'!$B$32)/1000+'Inputs'!$B$21)+'Inputs'!$B$9)/SQRT((((436-43)*MAX('Inputs'!$B$33,'Inputs'!$B$29+'Inputs'!$B$31+'Inputs'!$B$32,'Inputs'!$B$30+'Inputs'!$B$31+'Inputs'!$B$32)/1000+'Inputs'!$B$21)+'Inputs'!$B$9)^2+('Inputs'!$B$8/2)^2)-(((436-43)*MAX('Inputs'!$B$33,'Inputs'!$B$29+'Inputs'!$B$31+'Inputs'!$B$32,'Inputs'!$B$30+'Inputs'!$B$31+'Inputs'!$B$32)/1000+'Inputs'!$B$21))/SQRT((((436-43)*MAX('Inputs'!$B$33,'Inputs'!$B$29+'Inputs'!$B$31+'Inputs'!$B$32,'Inputs'!$B$30+'Inputs'!$B$31+'Inputs'!$B$32)/1000+'Inputs'!$B$21))^2+('Inputs'!$B$8/2)^2)))-'Results'!B7*(1+'Inputs'!$B$24)*(0.5*((((436-43)*MAX('Inputs'!$B$33,'Inputs'!$B$29+'Inputs'!$B$31+'Inputs'!$B$32,'Inputs'!$B$30+'Inputs'!$B$31+'Inputs'!$B$32)/1000+'Inputs'!$B$21+'Inputs'!$B$9+'Inputs'!$B$10)+'Inputs'!$B$7)/SQRT((((436-43)*MAX('Inputs'!$B$33,'Inputs'!$B$29+'Inputs'!$B$31+'Inputs'!$B$32,'Inputs'!$B$30+'Inputs'!$B$31+'Inputs'!$B$32)/1000+'Inputs'!$B$21+'Inputs'!$B$9+'Inputs'!$B$10)+'Inputs'!$B$7)^2+('Inputs'!$B$6/2)^2)-(((436-43)*MAX('Inputs'!$B$33,'Inputs'!$B$29+'Inputs'!$B$31+'Inputs'!$B$32,'Inputs'!$B$30+'Inputs'!$B$31+'Inputs'!$B$32)/1000+'Inputs'!$B$21+'Inputs'!$B$9+'Inputs'!$B$10))/SQRT((((436-43)*MAX('Inputs'!$B$33,'Inputs'!$B$29+'Inputs'!$B$31+'Inputs'!$B$32,'Inputs'!$B$30+'Inputs'!$B$31+'Inputs'!$B$32)/1000+'Inputs'!$B$21+'Inputs'!$B$9+'Inputs'!$B$10))^2+('Inputs'!$B$6/2)^2))))*'Results'!$B$8))),"")</x:f>
        <x:v>7.893669192786631</x:v>
      </x:c>
      <x:c r="O436" t="n">
        <x:f>IF(AND(ISNUMBER('Results'!C7),ISNUMBER('Results'!B7),ISNUMBER('Results'!$B$8),ISNUMBER('Inputs'!$B$6),ISNUMBER('Inputs'!$B$7),ISNUMBER('Inputs'!$B$8),ISNUMBER('Inputs'!$B$9),ISNUMBER('Inputs'!$B$10),ISNUMBER('Inputs'!$B$21),ISNUMBER('Inputs'!$B$24),ISNUMBER('Inputs'!$B$28)),((('Results'!C7*(1+'Inputs'!$B$24)*(0.5*((((436-43)*MAX('Inputs'!$B$33,'Inputs'!$B$29+'Inputs'!$B$31+'Inputs'!$B$32,'Inputs'!$B$30+'Inputs'!$B$31+'Inputs'!$B$32)/1000+'Inputs'!$B$21)+'Inputs'!$B$9)/SQRT((((436-43)*MAX('Inputs'!$B$33,'Inputs'!$B$29+'Inputs'!$B$31+'Inputs'!$B$32,'Inputs'!$B$30+'Inputs'!$B$31+'Inputs'!$B$32)/1000+'Inputs'!$B$21)+'Inputs'!$B$9)^2+('Inputs'!$B$8/2)^2)-(((436-43)*MAX('Inputs'!$B$33,'Inputs'!$B$29+'Inputs'!$B$31+'Inputs'!$B$32,'Inputs'!$B$30+'Inputs'!$B$31+'Inputs'!$B$32)/1000+'Inputs'!$B$21))/SQRT((((436-43)*MAX('Inputs'!$B$33,'Inputs'!$B$29+'Inputs'!$B$31+'Inputs'!$B$32,'Inputs'!$B$30+'Inputs'!$B$31+'Inputs'!$B$32)/1000+'Inputs'!$B$21))^2+('Inputs'!$B$8/2)^2)))-'Results'!B7*(1-'Inputs'!$B$24)*(0.5*((((436-43)*MAX('Inputs'!$B$33,'Inputs'!$B$29+'Inputs'!$B$31+'Inputs'!$B$32,'Inputs'!$B$30+'Inputs'!$B$31+'Inputs'!$B$32)/1000+'Inputs'!$B$21+'Inputs'!$B$9+'Inputs'!$B$10)+'Inputs'!$B$7)/SQRT((((436-43)*MAX('Inputs'!$B$33,'Inputs'!$B$29+'Inputs'!$B$31+'Inputs'!$B$32,'Inputs'!$B$30+'Inputs'!$B$31+'Inputs'!$B$32)/1000+'Inputs'!$B$21+'Inputs'!$B$9+'Inputs'!$B$10)+'Inputs'!$B$7)^2+('Inputs'!$B$6/2)^2)-(((436-43)*MAX('Inputs'!$B$33,'Inputs'!$B$29+'Inputs'!$B$31+'Inputs'!$B$32,'Inputs'!$B$30+'Inputs'!$B$31+'Inputs'!$B$32)/1000+'Inputs'!$B$21+'Inputs'!$B$9+'Inputs'!$B$10))/SQRT((((436-43)*MAX('Inputs'!$B$33,'Inputs'!$B$29+'Inputs'!$B$31+'Inputs'!$B$32,'Inputs'!$B$30+'Inputs'!$B$31+'Inputs'!$B$32)/1000+'Inputs'!$B$21+'Inputs'!$B$9+'Inputs'!$B$10))^2+('Inputs'!$B$6/2)^2))))*'Results'!$B$8)+'Inputs'!$B$28*ABS((('Results'!C7*(1+'Inputs'!$B$24)*(0.5*((((436-43)*MAX('Inputs'!$B$33,'Inputs'!$B$29+'Inputs'!$B$31+'Inputs'!$B$32,'Inputs'!$B$30+'Inputs'!$B$31+'Inputs'!$B$32)/1000+'Inputs'!$B$21)+'Inputs'!$B$9)/SQRT((((436-43)*MAX('Inputs'!$B$33,'Inputs'!$B$29+'Inputs'!$B$31+'Inputs'!$B$32,'Inputs'!$B$30+'Inputs'!$B$31+'Inputs'!$B$32)/1000+'Inputs'!$B$21)+'Inputs'!$B$9)^2+('Inputs'!$B$8/2)^2)-(((436-43)*MAX('Inputs'!$B$33,'Inputs'!$B$29+'Inputs'!$B$31+'Inputs'!$B$32,'Inputs'!$B$30+'Inputs'!$B$31+'Inputs'!$B$32)/1000+'Inputs'!$B$21))/SQRT((((436-43)*MAX('Inputs'!$B$33,'Inputs'!$B$29+'Inputs'!$B$31+'Inputs'!$B$32,'Inputs'!$B$30+'Inputs'!$B$31+'Inputs'!$B$32)/1000+'Inputs'!$B$21))^2+('Inputs'!$B$8/2)^2)))-'Results'!B7*(1-'Inputs'!$B$24)*(0.5*((((436-43)*MAX('Inputs'!$B$33,'Inputs'!$B$29+'Inputs'!$B$31+'Inputs'!$B$32,'Inputs'!$B$30+'Inputs'!$B$31+'Inputs'!$B$32)/1000+'Inputs'!$B$21+'Inputs'!$B$9+'Inputs'!$B$10)+'Inputs'!$B$7)/SQRT((((436-43)*MAX('Inputs'!$B$33,'Inputs'!$B$29+'Inputs'!$B$31+'Inputs'!$B$32,'Inputs'!$B$30+'Inputs'!$B$31+'Inputs'!$B$32)/1000+'Inputs'!$B$21+'Inputs'!$B$9+'Inputs'!$B$10)+'Inputs'!$B$7)^2+('Inputs'!$B$6/2)^2)-(((436-43)*MAX('Inputs'!$B$33,'Inputs'!$B$29+'Inputs'!$B$31+'Inputs'!$B$32,'Inputs'!$B$30+'Inputs'!$B$31+'Inputs'!$B$32)/1000+'Inputs'!$B$21+'Inputs'!$B$9+'Inputs'!$B$10))/SQRT((((436-43)*MAX('Inputs'!$B$33,'Inputs'!$B$29+'Inputs'!$B$31+'Inputs'!$B$32,'Inputs'!$B$30+'Inputs'!$B$31+'Inputs'!$B$32)/1000+'Inputs'!$B$21+'Inputs'!$B$9+'Inputs'!$B$10))^2+('Inputs'!$B$6/2)^2))))*'Results'!$B$8))),"")</x:f>
        <x:v>9.834003010916144</x:v>
      </x:c>
      <x:c r="P436" t="n">
        <x:f>IF(AND(MAX(J436,J435)&gt;0,J436&gt;J435+0.00000001),1,0)</x:f>
        <x:v>0</x:v>
      </x:c>
      <x:c r="Q436" t="n">
        <x:f>IF(AND(MAX(K436,K435)&gt;0,K436&gt;K435+0.00000001),1,0)</x:f>
        <x:v>0</x:v>
      </x:c>
      <x:c r="R436" t="n">
        <x:f>IF(AND(MAX(L436,L435)&gt;0,L436&gt;L435+0.00000001),1,0)</x:f>
        <x:v>0</x:v>
      </x:c>
      <x:c r="S436" t="n">
        <x:f>IF(AND(MAX(M436,M435)&gt;0,M436&gt;M435+0.00000001),1,0)</x:f>
        <x:v>0</x:v>
      </x:c>
      <x:c r="T436" t="n">
        <x:f>IF(AND(MAX(N436,N435)&gt;0,N436&gt;N435+0.00000001),1,0)</x:f>
        <x:v>0</x:v>
      </x:c>
      <x:c r="U436" t="n">
        <x:f>IF(AND(MAX(O436,O435)&gt;0,O436&gt;O435+0.00000001),1,0)</x:f>
        <x:v>0</x:v>
      </x:c>
    </x:row>
    <x:row r="437">
      <x:c r="J437" t="n">
        <x:f>IF(AND(ISNUMBER('Results'!B7),ISNUMBER('Results'!C7),ISNUMBER('Results'!$B$8),ISNUMBER('Inputs'!$B$6),ISNUMBER('Inputs'!$B$7),ISNUMBER('Inputs'!$B$8),ISNUMBER('Inputs'!$B$9),ISNUMBER('Inputs'!$B$10),ISNUMBER('Inputs'!$B$21),ISNUMBER('Inputs'!$B$24),ISNUMBER('Inputs'!$B$28)),(('Results'!B7*(0.5*((((437-43)*MAX('Inputs'!$B$33,'Inputs'!$B$29+'Inputs'!$B$31+'Inputs'!$B$32,'Inputs'!$B$30+'Inputs'!$B$31+'Inputs'!$B$32)/1000+'Inputs'!$B$21)+'Inputs'!$B$7)/SQRT((((437-43)*MAX('Inputs'!$B$33,'Inputs'!$B$29+'Inputs'!$B$31+'Inputs'!$B$32,'Inputs'!$B$30+'Inputs'!$B$31+'Inputs'!$B$32)/1000+'Inputs'!$B$21)+'Inputs'!$B$7)^2+('Inputs'!$B$6/2)^2)-(((437-43)*MAX('Inputs'!$B$33,'Inputs'!$B$29+'Inputs'!$B$31+'Inputs'!$B$32,'Inputs'!$B$30+'Inputs'!$B$31+'Inputs'!$B$32)/1000+'Inputs'!$B$21))/SQRT((((437-43)*MAX('Inputs'!$B$33,'Inputs'!$B$29+'Inputs'!$B$31+'Inputs'!$B$32,'Inputs'!$B$30+'Inputs'!$B$31+'Inputs'!$B$32)/1000+'Inputs'!$B$21))^2+('Inputs'!$B$6/2)^2)))-'Results'!C7*(0.5*((((437-43)*MAX('Inputs'!$B$33,'Inputs'!$B$29+'Inputs'!$B$31+'Inputs'!$B$32,'Inputs'!$B$30+'Inputs'!$B$31+'Inputs'!$B$32)/1000+'Inputs'!$B$21+'Inputs'!$B$7+'Inputs'!$B$10)+'Inputs'!$B$9)/SQRT((((437-43)*MAX('Inputs'!$B$33,'Inputs'!$B$29+'Inputs'!$B$31+'Inputs'!$B$32,'Inputs'!$B$30+'Inputs'!$B$31+'Inputs'!$B$32)/1000+'Inputs'!$B$21+'Inputs'!$B$7+'Inputs'!$B$10)+'Inputs'!$B$9)^2+('Inputs'!$B$8/2)^2)-(((437-43)*MAX('Inputs'!$B$33,'Inputs'!$B$29+'Inputs'!$B$31+'Inputs'!$B$32,'Inputs'!$B$30+'Inputs'!$B$31+'Inputs'!$B$32)/1000+'Inputs'!$B$21+'Inputs'!$B$7+'Inputs'!$B$10))/SQRT((((437-43)*MAX('Inputs'!$B$33,'Inputs'!$B$29+'Inputs'!$B$31+'Inputs'!$B$32,'Inputs'!$B$30+'Inputs'!$B$31+'Inputs'!$B$32)/1000+'Inputs'!$B$21+'Inputs'!$B$7+'Inputs'!$B$10))^2+('Inputs'!$B$8/2)^2))))*'Results'!$B$8),"")</x:f>
        <x:v>9.29491944646964</x:v>
      </x:c>
      <x:c r="K437" t="n">
        <x:f>IF(AND(ISNUMBER('Results'!B7),ISNUMBER('Results'!C7),ISNUMBER('Results'!$B$8),ISNUMBER('Inputs'!$B$6),ISNUMBER('Inputs'!$B$7),ISNUMBER('Inputs'!$B$8),ISNUMBER('Inputs'!$B$9),ISNUMBER('Inputs'!$B$10),ISNUMBER('Inputs'!$B$21),ISNUMBER('Inputs'!$B$24),ISNUMBER('Inputs'!$B$28)),((('Results'!B7*(1-'Inputs'!$B$24)*(0.5*((((437-43)*MAX('Inputs'!$B$33,'Inputs'!$B$29+'Inputs'!$B$31+'Inputs'!$B$32,'Inputs'!$B$30+'Inputs'!$B$31+'Inputs'!$B$32)/1000+'Inputs'!$B$21)+'Inputs'!$B$7)/SQRT((((437-43)*MAX('Inputs'!$B$33,'Inputs'!$B$29+'Inputs'!$B$31+'Inputs'!$B$32,'Inputs'!$B$30+'Inputs'!$B$31+'Inputs'!$B$32)/1000+'Inputs'!$B$21)+'Inputs'!$B$7)^2+('Inputs'!$B$6/2)^2)-(((437-43)*MAX('Inputs'!$B$33,'Inputs'!$B$29+'Inputs'!$B$31+'Inputs'!$B$32,'Inputs'!$B$30+'Inputs'!$B$31+'Inputs'!$B$32)/1000+'Inputs'!$B$21))/SQRT((((437-43)*MAX('Inputs'!$B$33,'Inputs'!$B$29+'Inputs'!$B$31+'Inputs'!$B$32,'Inputs'!$B$30+'Inputs'!$B$31+'Inputs'!$B$32)/1000+'Inputs'!$B$21))^2+('Inputs'!$B$6/2)^2)))-'Results'!C7*(1+'Inputs'!$B$24)*(0.5*((((437-43)*MAX('Inputs'!$B$33,'Inputs'!$B$29+'Inputs'!$B$31+'Inputs'!$B$32,'Inputs'!$B$30+'Inputs'!$B$31+'Inputs'!$B$32)/1000+'Inputs'!$B$21+'Inputs'!$B$7+'Inputs'!$B$10)+'Inputs'!$B$9)/SQRT((((437-43)*MAX('Inputs'!$B$33,'Inputs'!$B$29+'Inputs'!$B$31+'Inputs'!$B$32,'Inputs'!$B$30+'Inputs'!$B$31+'Inputs'!$B$32)/1000+'Inputs'!$B$21+'Inputs'!$B$7+'Inputs'!$B$10)+'Inputs'!$B$9)^2+('Inputs'!$B$8/2)^2)-(((437-43)*MAX('Inputs'!$B$33,'Inputs'!$B$29+'Inputs'!$B$31+'Inputs'!$B$32,'Inputs'!$B$30+'Inputs'!$B$31+'Inputs'!$B$32)/1000+'Inputs'!$B$21+'Inputs'!$B$7+'Inputs'!$B$10))/SQRT((((437-43)*MAX('Inputs'!$B$33,'Inputs'!$B$29+'Inputs'!$B$31+'Inputs'!$B$32,'Inputs'!$B$30+'Inputs'!$B$31+'Inputs'!$B$32)/1000+'Inputs'!$B$21+'Inputs'!$B$7+'Inputs'!$B$10))^2+('Inputs'!$B$8/2)^2))))*'Results'!$B$8)-'Inputs'!$B$28*ABS((('Results'!B7*(1-'Inputs'!$B$24)*(0.5*((((437-43)*MAX('Inputs'!$B$33,'Inputs'!$B$29+'Inputs'!$B$31+'Inputs'!$B$32,'Inputs'!$B$30+'Inputs'!$B$31+'Inputs'!$B$32)/1000+'Inputs'!$B$21)+'Inputs'!$B$7)/SQRT((((437-43)*MAX('Inputs'!$B$33,'Inputs'!$B$29+'Inputs'!$B$31+'Inputs'!$B$32,'Inputs'!$B$30+'Inputs'!$B$31+'Inputs'!$B$32)/1000+'Inputs'!$B$21)+'Inputs'!$B$7)^2+('Inputs'!$B$6/2)^2)-(((437-43)*MAX('Inputs'!$B$33,'Inputs'!$B$29+'Inputs'!$B$31+'Inputs'!$B$32,'Inputs'!$B$30+'Inputs'!$B$31+'Inputs'!$B$32)/1000+'Inputs'!$B$21))/SQRT((((437-43)*MAX('Inputs'!$B$33,'Inputs'!$B$29+'Inputs'!$B$31+'Inputs'!$B$32,'Inputs'!$B$30+'Inputs'!$B$31+'Inputs'!$B$32)/1000+'Inputs'!$B$21))^2+('Inputs'!$B$6/2)^2)))-'Results'!C7*(1+'Inputs'!$B$24)*(0.5*((((437-43)*MAX('Inputs'!$B$33,'Inputs'!$B$29+'Inputs'!$B$31+'Inputs'!$B$32,'Inputs'!$B$30+'Inputs'!$B$31+'Inputs'!$B$32)/1000+'Inputs'!$B$21+'Inputs'!$B$7+'Inputs'!$B$10)+'Inputs'!$B$9)/SQRT((((437-43)*MAX('Inputs'!$B$33,'Inputs'!$B$29+'Inputs'!$B$31+'Inputs'!$B$32,'Inputs'!$B$30+'Inputs'!$B$31+'Inputs'!$B$32)/1000+'Inputs'!$B$21+'Inputs'!$B$7+'Inputs'!$B$10)+'Inputs'!$B$9)^2+('Inputs'!$B$8/2)^2)-(((437-43)*MAX('Inputs'!$B$33,'Inputs'!$B$29+'Inputs'!$B$31+'Inputs'!$B$32,'Inputs'!$B$30+'Inputs'!$B$31+'Inputs'!$B$32)/1000+'Inputs'!$B$21+'Inputs'!$B$7+'Inputs'!$B$10))/SQRT((((437-43)*MAX('Inputs'!$B$33,'Inputs'!$B$29+'Inputs'!$B$31+'Inputs'!$B$32,'Inputs'!$B$30+'Inputs'!$B$31+'Inputs'!$B$32)/1000+'Inputs'!$B$21+'Inputs'!$B$7+'Inputs'!$B$10))^2+('Inputs'!$B$8/2)^2))))*'Results'!$B$8))),"")</x:f>
        <x:v>8.328095872829158</x:v>
      </x:c>
      <x:c r="L437" t="n">
        <x:f>IF(AND(ISNUMBER('Results'!B7),ISNUMBER('Results'!C7),ISNUMBER('Results'!$B$8),ISNUMBER('Inputs'!$B$6),ISNUMBER('Inputs'!$B$7),ISNUMBER('Inputs'!$B$8),ISNUMBER('Inputs'!$B$9),ISNUMBER('Inputs'!$B$10),ISNUMBER('Inputs'!$B$21),ISNUMBER('Inputs'!$B$24),ISNUMBER('Inputs'!$B$28)),((('Results'!B7*(1+'Inputs'!$B$24)*(0.5*((((437-43)*MAX('Inputs'!$B$33,'Inputs'!$B$29+'Inputs'!$B$31+'Inputs'!$B$32,'Inputs'!$B$30+'Inputs'!$B$31+'Inputs'!$B$32)/1000+'Inputs'!$B$21)+'Inputs'!$B$7)/SQRT((((437-43)*MAX('Inputs'!$B$33,'Inputs'!$B$29+'Inputs'!$B$31+'Inputs'!$B$32,'Inputs'!$B$30+'Inputs'!$B$31+'Inputs'!$B$32)/1000+'Inputs'!$B$21)+'Inputs'!$B$7)^2+('Inputs'!$B$6/2)^2)-(((437-43)*MAX('Inputs'!$B$33,'Inputs'!$B$29+'Inputs'!$B$31+'Inputs'!$B$32,'Inputs'!$B$30+'Inputs'!$B$31+'Inputs'!$B$32)/1000+'Inputs'!$B$21))/SQRT((((437-43)*MAX('Inputs'!$B$33,'Inputs'!$B$29+'Inputs'!$B$31+'Inputs'!$B$32,'Inputs'!$B$30+'Inputs'!$B$31+'Inputs'!$B$32)/1000+'Inputs'!$B$21))^2+('Inputs'!$B$6/2)^2)))-'Results'!C7*(1-'Inputs'!$B$24)*(0.5*((((437-43)*MAX('Inputs'!$B$33,'Inputs'!$B$29+'Inputs'!$B$31+'Inputs'!$B$32,'Inputs'!$B$30+'Inputs'!$B$31+'Inputs'!$B$32)/1000+'Inputs'!$B$21+'Inputs'!$B$7+'Inputs'!$B$10)+'Inputs'!$B$9)/SQRT((((437-43)*MAX('Inputs'!$B$33,'Inputs'!$B$29+'Inputs'!$B$31+'Inputs'!$B$32,'Inputs'!$B$30+'Inputs'!$B$31+'Inputs'!$B$32)/1000+'Inputs'!$B$21+'Inputs'!$B$7+'Inputs'!$B$10)+'Inputs'!$B$9)^2+('Inputs'!$B$8/2)^2)-(((437-43)*MAX('Inputs'!$B$33,'Inputs'!$B$29+'Inputs'!$B$31+'Inputs'!$B$32,'Inputs'!$B$30+'Inputs'!$B$31+'Inputs'!$B$32)/1000+'Inputs'!$B$21+'Inputs'!$B$7+'Inputs'!$B$10))/SQRT((((437-43)*MAX('Inputs'!$B$33,'Inputs'!$B$29+'Inputs'!$B$31+'Inputs'!$B$32,'Inputs'!$B$30+'Inputs'!$B$31+'Inputs'!$B$32)/1000+'Inputs'!$B$21+'Inputs'!$B$7+'Inputs'!$B$10))^2+('Inputs'!$B$8/2)^2))))*'Results'!$B$8)+'Inputs'!$B$28*ABS((('Results'!B7*(1+'Inputs'!$B$24)*(0.5*((((437-43)*MAX('Inputs'!$B$33,'Inputs'!$B$29+'Inputs'!$B$31+'Inputs'!$B$32,'Inputs'!$B$30+'Inputs'!$B$31+'Inputs'!$B$32)/1000+'Inputs'!$B$21)+'Inputs'!$B$7)/SQRT((((437-43)*MAX('Inputs'!$B$33,'Inputs'!$B$29+'Inputs'!$B$31+'Inputs'!$B$32,'Inputs'!$B$30+'Inputs'!$B$31+'Inputs'!$B$32)/1000+'Inputs'!$B$21)+'Inputs'!$B$7)^2+('Inputs'!$B$6/2)^2)-(((437-43)*MAX('Inputs'!$B$33,'Inputs'!$B$29+'Inputs'!$B$31+'Inputs'!$B$32,'Inputs'!$B$30+'Inputs'!$B$31+'Inputs'!$B$32)/1000+'Inputs'!$B$21))/SQRT((((437-43)*MAX('Inputs'!$B$33,'Inputs'!$B$29+'Inputs'!$B$31+'Inputs'!$B$32,'Inputs'!$B$30+'Inputs'!$B$31+'Inputs'!$B$32)/1000+'Inputs'!$B$21))^2+('Inputs'!$B$6/2)^2)))-'Results'!C7*(1-'Inputs'!$B$24)*(0.5*((((437-43)*MAX('Inputs'!$B$33,'Inputs'!$B$29+'Inputs'!$B$31+'Inputs'!$B$32,'Inputs'!$B$30+'Inputs'!$B$31+'Inputs'!$B$32)/1000+'Inputs'!$B$21+'Inputs'!$B$7+'Inputs'!$B$10)+'Inputs'!$B$9)/SQRT((((437-43)*MAX('Inputs'!$B$33,'Inputs'!$B$29+'Inputs'!$B$31+'Inputs'!$B$32,'Inputs'!$B$30+'Inputs'!$B$31+'Inputs'!$B$32)/1000+'Inputs'!$B$21+'Inputs'!$B$7+'Inputs'!$B$10)+'Inputs'!$B$9)^2+('Inputs'!$B$8/2)^2)-(((437-43)*MAX('Inputs'!$B$33,'Inputs'!$B$29+'Inputs'!$B$31+'Inputs'!$B$32,'Inputs'!$B$30+'Inputs'!$B$31+'Inputs'!$B$32)/1000+'Inputs'!$B$21+'Inputs'!$B$7+'Inputs'!$B$10))/SQRT((((437-43)*MAX('Inputs'!$B$33,'Inputs'!$B$29+'Inputs'!$B$31+'Inputs'!$B$32,'Inputs'!$B$30+'Inputs'!$B$31+'Inputs'!$B$32)/1000+'Inputs'!$B$21+'Inputs'!$B$7+'Inputs'!$B$10))^2+('Inputs'!$B$8/2)^2))))*'Results'!$B$8))),"")</x:f>
        <x:v>10.314593293932965</x:v>
      </x:c>
      <x:c r="M437" t="n">
        <x:f>IF(AND(ISNUMBER('Results'!C7),ISNUMBER('Results'!B7),ISNUMBER('Results'!$B$8),ISNUMBER('Inputs'!$B$6),ISNUMBER('Inputs'!$B$7),ISNUMBER('Inputs'!$B$8),ISNUMBER('Inputs'!$B$9),ISNUMBER('Inputs'!$B$10),ISNUMBER('Inputs'!$B$21),ISNUMBER('Inputs'!$B$24),ISNUMBER('Inputs'!$B$28)),(('Results'!C7*(0.5*((((437-43)*MAX('Inputs'!$B$33,'Inputs'!$B$29+'Inputs'!$B$31+'Inputs'!$B$32,'Inputs'!$B$30+'Inputs'!$B$31+'Inputs'!$B$32)/1000+'Inputs'!$B$21)+'Inputs'!$B$9)/SQRT((((437-43)*MAX('Inputs'!$B$33,'Inputs'!$B$29+'Inputs'!$B$31+'Inputs'!$B$32,'Inputs'!$B$30+'Inputs'!$B$31+'Inputs'!$B$32)/1000+'Inputs'!$B$21)+'Inputs'!$B$9)^2+('Inputs'!$B$8/2)^2)-(((437-43)*MAX('Inputs'!$B$33,'Inputs'!$B$29+'Inputs'!$B$31+'Inputs'!$B$32,'Inputs'!$B$30+'Inputs'!$B$31+'Inputs'!$B$32)/1000+'Inputs'!$B$21))/SQRT((((437-43)*MAX('Inputs'!$B$33,'Inputs'!$B$29+'Inputs'!$B$31+'Inputs'!$B$32,'Inputs'!$B$30+'Inputs'!$B$31+'Inputs'!$B$32)/1000+'Inputs'!$B$21))^2+('Inputs'!$B$8/2)^2)))-'Results'!B7*(0.5*((((437-43)*MAX('Inputs'!$B$33,'Inputs'!$B$29+'Inputs'!$B$31+'Inputs'!$B$32,'Inputs'!$B$30+'Inputs'!$B$31+'Inputs'!$B$32)/1000+'Inputs'!$B$21+'Inputs'!$B$9+'Inputs'!$B$10)+'Inputs'!$B$7)/SQRT((((437-43)*MAX('Inputs'!$B$33,'Inputs'!$B$29+'Inputs'!$B$31+'Inputs'!$B$32,'Inputs'!$B$30+'Inputs'!$B$31+'Inputs'!$B$32)/1000+'Inputs'!$B$21+'Inputs'!$B$9+'Inputs'!$B$10)+'Inputs'!$B$7)^2+('Inputs'!$B$6/2)^2)-(((437-43)*MAX('Inputs'!$B$33,'Inputs'!$B$29+'Inputs'!$B$31+'Inputs'!$B$32,'Inputs'!$B$30+'Inputs'!$B$31+'Inputs'!$B$32)/1000+'Inputs'!$B$21+'Inputs'!$B$9+'Inputs'!$B$10))/SQRT((((437-43)*MAX('Inputs'!$B$33,'Inputs'!$B$29+'Inputs'!$B$31+'Inputs'!$B$32,'Inputs'!$B$30+'Inputs'!$B$31+'Inputs'!$B$32)/1000+'Inputs'!$B$21+'Inputs'!$B$9+'Inputs'!$B$10))^2+('Inputs'!$B$6/2)^2))))*'Results'!$B$8),"")</x:f>
        <x:v>8.76292074549327</x:v>
      </x:c>
      <x:c r="N437" t="n">
        <x:f>IF(AND(ISNUMBER('Results'!C7),ISNUMBER('Results'!B7),ISNUMBER('Results'!$B$8),ISNUMBER('Inputs'!$B$6),ISNUMBER('Inputs'!$B$7),ISNUMBER('Inputs'!$B$8),ISNUMBER('Inputs'!$B$9),ISNUMBER('Inputs'!$B$10),ISNUMBER('Inputs'!$B$21),ISNUMBER('Inputs'!$B$24),ISNUMBER('Inputs'!$B$28)),((('Results'!C7*(1-'Inputs'!$B$24)*(0.5*((((437-43)*MAX('Inputs'!$B$33,'Inputs'!$B$29+'Inputs'!$B$31+'Inputs'!$B$32,'Inputs'!$B$30+'Inputs'!$B$31+'Inputs'!$B$32)/1000+'Inputs'!$B$21)+'Inputs'!$B$9)/SQRT((((437-43)*MAX('Inputs'!$B$33,'Inputs'!$B$29+'Inputs'!$B$31+'Inputs'!$B$32,'Inputs'!$B$30+'Inputs'!$B$31+'Inputs'!$B$32)/1000+'Inputs'!$B$21)+'Inputs'!$B$9)^2+('Inputs'!$B$8/2)^2)-(((437-43)*MAX('Inputs'!$B$33,'Inputs'!$B$29+'Inputs'!$B$31+'Inputs'!$B$32,'Inputs'!$B$30+'Inputs'!$B$31+'Inputs'!$B$32)/1000+'Inputs'!$B$21))/SQRT((((437-43)*MAX('Inputs'!$B$33,'Inputs'!$B$29+'Inputs'!$B$31+'Inputs'!$B$32,'Inputs'!$B$30+'Inputs'!$B$31+'Inputs'!$B$32)/1000+'Inputs'!$B$21))^2+('Inputs'!$B$8/2)^2)))-'Results'!B7*(1+'Inputs'!$B$24)*(0.5*((((437-43)*MAX('Inputs'!$B$33,'Inputs'!$B$29+'Inputs'!$B$31+'Inputs'!$B$32,'Inputs'!$B$30+'Inputs'!$B$31+'Inputs'!$B$32)/1000+'Inputs'!$B$21+'Inputs'!$B$9+'Inputs'!$B$10)+'Inputs'!$B$7)/SQRT((((437-43)*MAX('Inputs'!$B$33,'Inputs'!$B$29+'Inputs'!$B$31+'Inputs'!$B$32,'Inputs'!$B$30+'Inputs'!$B$31+'Inputs'!$B$32)/1000+'Inputs'!$B$21+'Inputs'!$B$9+'Inputs'!$B$10)+'Inputs'!$B$7)^2+('Inputs'!$B$6/2)^2)-(((437-43)*MAX('Inputs'!$B$33,'Inputs'!$B$29+'Inputs'!$B$31+'Inputs'!$B$32,'Inputs'!$B$30+'Inputs'!$B$31+'Inputs'!$B$32)/1000+'Inputs'!$B$21+'Inputs'!$B$9+'Inputs'!$B$10))/SQRT((((437-43)*MAX('Inputs'!$B$33,'Inputs'!$B$29+'Inputs'!$B$31+'Inputs'!$B$32,'Inputs'!$B$30+'Inputs'!$B$31+'Inputs'!$B$32)/1000+'Inputs'!$B$21+'Inputs'!$B$9+'Inputs'!$B$10))^2+('Inputs'!$B$6/2)^2))))*'Results'!$B$8)-'Inputs'!$B$28*ABS((('Results'!C7*(1-'Inputs'!$B$24)*(0.5*((((437-43)*MAX('Inputs'!$B$33,'Inputs'!$B$29+'Inputs'!$B$31+'Inputs'!$B$32,'Inputs'!$B$30+'Inputs'!$B$31+'Inputs'!$B$32)/1000+'Inputs'!$B$21)+'Inputs'!$B$9)/SQRT((((437-43)*MAX('Inputs'!$B$33,'Inputs'!$B$29+'Inputs'!$B$31+'Inputs'!$B$32,'Inputs'!$B$30+'Inputs'!$B$31+'Inputs'!$B$32)/1000+'Inputs'!$B$21)+'Inputs'!$B$9)^2+('Inputs'!$B$8/2)^2)-(((437-43)*MAX('Inputs'!$B$33,'Inputs'!$B$29+'Inputs'!$B$31+'Inputs'!$B$32,'Inputs'!$B$30+'Inputs'!$B$31+'Inputs'!$B$32)/1000+'Inputs'!$B$21))/SQRT((((437-43)*MAX('Inputs'!$B$33,'Inputs'!$B$29+'Inputs'!$B$31+'Inputs'!$B$32,'Inputs'!$B$30+'Inputs'!$B$31+'Inputs'!$B$32)/1000+'Inputs'!$B$21))^2+('Inputs'!$B$8/2)^2)))-'Results'!B7*(1+'Inputs'!$B$24)*(0.5*((((437-43)*MAX('Inputs'!$B$33,'Inputs'!$B$29+'Inputs'!$B$31+'Inputs'!$B$32,'Inputs'!$B$30+'Inputs'!$B$31+'Inputs'!$B$32)/1000+'Inputs'!$B$21+'Inputs'!$B$9+'Inputs'!$B$10)+'Inputs'!$B$7)/SQRT((((437-43)*MAX('Inputs'!$B$33,'Inputs'!$B$29+'Inputs'!$B$31+'Inputs'!$B$32,'Inputs'!$B$30+'Inputs'!$B$31+'Inputs'!$B$32)/1000+'Inputs'!$B$21+'Inputs'!$B$9+'Inputs'!$B$10)+'Inputs'!$B$7)^2+('Inputs'!$B$6/2)^2)-(((437-43)*MAX('Inputs'!$B$33,'Inputs'!$B$29+'Inputs'!$B$31+'Inputs'!$B$32,'Inputs'!$B$30+'Inputs'!$B$31+'Inputs'!$B$32)/1000+'Inputs'!$B$21+'Inputs'!$B$9+'Inputs'!$B$10))/SQRT((((437-43)*MAX('Inputs'!$B$33,'Inputs'!$B$29+'Inputs'!$B$31+'Inputs'!$B$32,'Inputs'!$B$30+'Inputs'!$B$31+'Inputs'!$B$32)/1000+'Inputs'!$B$21+'Inputs'!$B$9+'Inputs'!$B$10))^2+('Inputs'!$B$6/2)^2))))*'Results'!$B$8))),"")</x:f>
        <x:v>7.826162752999053</x:v>
      </x:c>
      <x:c r="O437" t="n">
        <x:f>IF(AND(ISNUMBER('Results'!C7),ISNUMBER('Results'!B7),ISNUMBER('Results'!$B$8),ISNUMBER('Inputs'!$B$6),ISNUMBER('Inputs'!$B$7),ISNUMBER('Inputs'!$B$8),ISNUMBER('Inputs'!$B$9),ISNUMBER('Inputs'!$B$10),ISNUMBER('Inputs'!$B$21),ISNUMBER('Inputs'!$B$24),ISNUMBER('Inputs'!$B$28)),((('Results'!C7*(1+'Inputs'!$B$24)*(0.5*((((437-43)*MAX('Inputs'!$B$33,'Inputs'!$B$29+'Inputs'!$B$31+'Inputs'!$B$32,'Inputs'!$B$30+'Inputs'!$B$31+'Inputs'!$B$32)/1000+'Inputs'!$B$21)+'Inputs'!$B$9)/SQRT((((437-43)*MAX('Inputs'!$B$33,'Inputs'!$B$29+'Inputs'!$B$31+'Inputs'!$B$32,'Inputs'!$B$30+'Inputs'!$B$31+'Inputs'!$B$32)/1000+'Inputs'!$B$21)+'Inputs'!$B$9)^2+('Inputs'!$B$8/2)^2)-(((437-43)*MAX('Inputs'!$B$33,'Inputs'!$B$29+'Inputs'!$B$31+'Inputs'!$B$32,'Inputs'!$B$30+'Inputs'!$B$31+'Inputs'!$B$32)/1000+'Inputs'!$B$21))/SQRT((((437-43)*MAX('Inputs'!$B$33,'Inputs'!$B$29+'Inputs'!$B$31+'Inputs'!$B$32,'Inputs'!$B$30+'Inputs'!$B$31+'Inputs'!$B$32)/1000+'Inputs'!$B$21))^2+('Inputs'!$B$8/2)^2)))-'Results'!B7*(1-'Inputs'!$B$24)*(0.5*((((437-43)*MAX('Inputs'!$B$33,'Inputs'!$B$29+'Inputs'!$B$31+'Inputs'!$B$32,'Inputs'!$B$30+'Inputs'!$B$31+'Inputs'!$B$32)/1000+'Inputs'!$B$21+'Inputs'!$B$9+'Inputs'!$B$10)+'Inputs'!$B$7)/SQRT((((437-43)*MAX('Inputs'!$B$33,'Inputs'!$B$29+'Inputs'!$B$31+'Inputs'!$B$32,'Inputs'!$B$30+'Inputs'!$B$31+'Inputs'!$B$32)/1000+'Inputs'!$B$21+'Inputs'!$B$9+'Inputs'!$B$10)+'Inputs'!$B$7)^2+('Inputs'!$B$6/2)^2)-(((437-43)*MAX('Inputs'!$B$33,'Inputs'!$B$29+'Inputs'!$B$31+'Inputs'!$B$32,'Inputs'!$B$30+'Inputs'!$B$31+'Inputs'!$B$32)/1000+'Inputs'!$B$21+'Inputs'!$B$9+'Inputs'!$B$10))/SQRT((((437-43)*MAX('Inputs'!$B$33,'Inputs'!$B$29+'Inputs'!$B$31+'Inputs'!$B$32,'Inputs'!$B$30+'Inputs'!$B$31+'Inputs'!$B$32)/1000+'Inputs'!$B$21+'Inputs'!$B$9+'Inputs'!$B$10))^2+('Inputs'!$B$6/2)^2))))*'Results'!$B$8)+'Inputs'!$B$28*ABS((('Results'!C7*(1+'Inputs'!$B$24)*(0.5*((((437-43)*MAX('Inputs'!$B$33,'Inputs'!$B$29+'Inputs'!$B$31+'Inputs'!$B$32,'Inputs'!$B$30+'Inputs'!$B$31+'Inputs'!$B$32)/1000+'Inputs'!$B$21)+'Inputs'!$B$9)/SQRT((((437-43)*MAX('Inputs'!$B$33,'Inputs'!$B$29+'Inputs'!$B$31+'Inputs'!$B$32,'Inputs'!$B$30+'Inputs'!$B$31+'Inputs'!$B$32)/1000+'Inputs'!$B$21)+'Inputs'!$B$9)^2+('Inputs'!$B$8/2)^2)-(((437-43)*MAX('Inputs'!$B$33,'Inputs'!$B$29+'Inputs'!$B$31+'Inputs'!$B$32,'Inputs'!$B$30+'Inputs'!$B$31+'Inputs'!$B$32)/1000+'Inputs'!$B$21))/SQRT((((437-43)*MAX('Inputs'!$B$33,'Inputs'!$B$29+'Inputs'!$B$31+'Inputs'!$B$32,'Inputs'!$B$30+'Inputs'!$B$31+'Inputs'!$B$32)/1000+'Inputs'!$B$21))^2+('Inputs'!$B$8/2)^2)))-'Results'!B7*(1-'Inputs'!$B$24)*(0.5*((((437-43)*MAX('Inputs'!$B$33,'Inputs'!$B$29+'Inputs'!$B$31+'Inputs'!$B$32,'Inputs'!$B$30+'Inputs'!$B$31+'Inputs'!$B$32)/1000+'Inputs'!$B$21+'Inputs'!$B$9+'Inputs'!$B$10)+'Inputs'!$B$7)/SQRT((((437-43)*MAX('Inputs'!$B$33,'Inputs'!$B$29+'Inputs'!$B$31+'Inputs'!$B$32,'Inputs'!$B$30+'Inputs'!$B$31+'Inputs'!$B$32)/1000+'Inputs'!$B$21+'Inputs'!$B$9+'Inputs'!$B$10)+'Inputs'!$B$7)^2+('Inputs'!$B$6/2)^2)-(((437-43)*MAX('Inputs'!$B$33,'Inputs'!$B$29+'Inputs'!$B$31+'Inputs'!$B$32,'Inputs'!$B$30+'Inputs'!$B$31+'Inputs'!$B$32)/1000+'Inputs'!$B$21+'Inputs'!$B$9+'Inputs'!$B$10))/SQRT((((437-43)*MAX('Inputs'!$B$33,'Inputs'!$B$29+'Inputs'!$B$31+'Inputs'!$B$32,'Inputs'!$B$30+'Inputs'!$B$31+'Inputs'!$B$32)/1000+'Inputs'!$B$21+'Inputs'!$B$9+'Inputs'!$B$10))^2+('Inputs'!$B$6/2)^2))))*'Results'!$B$8))),"")</x:f>
        <x:v>9.752164206957968</x:v>
      </x:c>
      <x:c r="P437" t="n">
        <x:f>IF(AND(MAX(J437,J436)&gt;0,J437&gt;J436+0.00000001),1,0)</x:f>
        <x:v>0</x:v>
      </x:c>
      <x:c r="Q437" t="n">
        <x:f>IF(AND(MAX(K437,K436)&gt;0,K437&gt;K436+0.00000001),1,0)</x:f>
        <x:v>0</x:v>
      </x:c>
      <x:c r="R437" t="n">
        <x:f>IF(AND(MAX(L437,L436)&gt;0,L437&gt;L436+0.00000001),1,0)</x:f>
        <x:v>0</x:v>
      </x:c>
      <x:c r="S437" t="n">
        <x:f>IF(AND(MAX(M437,M436)&gt;0,M437&gt;M436+0.00000001),1,0)</x:f>
        <x:v>0</x:v>
      </x:c>
      <x:c r="T437" t="n">
        <x:f>IF(AND(MAX(N437,N436)&gt;0,N437&gt;N436+0.00000001),1,0)</x:f>
        <x:v>0</x:v>
      </x:c>
      <x:c r="U437" t="n">
        <x:f>IF(AND(MAX(O437,O436)&gt;0,O437&gt;O436+0.00000001),1,0)</x:f>
        <x:v>0</x:v>
      </x:c>
    </x:row>
    <x:row r="438">
      <x:c r="J438" t="n">
        <x:f>IF(AND(ISNUMBER('Results'!B7),ISNUMBER('Results'!C7),ISNUMBER('Results'!$B$8),ISNUMBER('Inputs'!$B$6),ISNUMBER('Inputs'!$B$7),ISNUMBER('Inputs'!$B$8),ISNUMBER('Inputs'!$B$9),ISNUMBER('Inputs'!$B$10),ISNUMBER('Inputs'!$B$21),ISNUMBER('Inputs'!$B$24),ISNUMBER('Inputs'!$B$28)),(('Results'!B7*(0.5*((((438-43)*MAX('Inputs'!$B$33,'Inputs'!$B$29+'Inputs'!$B$31+'Inputs'!$B$32,'Inputs'!$B$30+'Inputs'!$B$31+'Inputs'!$B$32)/1000+'Inputs'!$B$21)+'Inputs'!$B$7)/SQRT((((438-43)*MAX('Inputs'!$B$33,'Inputs'!$B$29+'Inputs'!$B$31+'Inputs'!$B$32,'Inputs'!$B$30+'Inputs'!$B$31+'Inputs'!$B$32)/1000+'Inputs'!$B$21)+'Inputs'!$B$7)^2+('Inputs'!$B$6/2)^2)-(((438-43)*MAX('Inputs'!$B$33,'Inputs'!$B$29+'Inputs'!$B$31+'Inputs'!$B$32,'Inputs'!$B$30+'Inputs'!$B$31+'Inputs'!$B$32)/1000+'Inputs'!$B$21))/SQRT((((438-43)*MAX('Inputs'!$B$33,'Inputs'!$B$29+'Inputs'!$B$31+'Inputs'!$B$32,'Inputs'!$B$30+'Inputs'!$B$31+'Inputs'!$B$32)/1000+'Inputs'!$B$21))^2+('Inputs'!$B$6/2)^2)))-'Results'!C7*(0.5*((((438-43)*MAX('Inputs'!$B$33,'Inputs'!$B$29+'Inputs'!$B$31+'Inputs'!$B$32,'Inputs'!$B$30+'Inputs'!$B$31+'Inputs'!$B$32)/1000+'Inputs'!$B$21+'Inputs'!$B$7+'Inputs'!$B$10)+'Inputs'!$B$9)/SQRT((((438-43)*MAX('Inputs'!$B$33,'Inputs'!$B$29+'Inputs'!$B$31+'Inputs'!$B$32,'Inputs'!$B$30+'Inputs'!$B$31+'Inputs'!$B$32)/1000+'Inputs'!$B$21+'Inputs'!$B$7+'Inputs'!$B$10)+'Inputs'!$B$9)^2+('Inputs'!$B$8/2)^2)-(((438-43)*MAX('Inputs'!$B$33,'Inputs'!$B$29+'Inputs'!$B$31+'Inputs'!$B$32,'Inputs'!$B$30+'Inputs'!$B$31+'Inputs'!$B$32)/1000+'Inputs'!$B$21+'Inputs'!$B$7+'Inputs'!$B$10))/SQRT((((438-43)*MAX('Inputs'!$B$33,'Inputs'!$B$29+'Inputs'!$B$31+'Inputs'!$B$32,'Inputs'!$B$30+'Inputs'!$B$31+'Inputs'!$B$32)/1000+'Inputs'!$B$21+'Inputs'!$B$7+'Inputs'!$B$10))^2+('Inputs'!$B$8/2)^2))))*'Results'!$B$8),"")</x:f>
        <x:v>9.217736512868418</x:v>
      </x:c>
      <x:c r="K438" t="n">
        <x:f>IF(AND(ISNUMBER('Results'!B7),ISNUMBER('Results'!C7),ISNUMBER('Results'!$B$8),ISNUMBER('Inputs'!$B$6),ISNUMBER('Inputs'!$B$7),ISNUMBER('Inputs'!$B$8),ISNUMBER('Inputs'!$B$9),ISNUMBER('Inputs'!$B$10),ISNUMBER('Inputs'!$B$21),ISNUMBER('Inputs'!$B$24),ISNUMBER('Inputs'!$B$28)),((('Results'!B7*(1-'Inputs'!$B$24)*(0.5*((((438-43)*MAX('Inputs'!$B$33,'Inputs'!$B$29+'Inputs'!$B$31+'Inputs'!$B$32,'Inputs'!$B$30+'Inputs'!$B$31+'Inputs'!$B$32)/1000+'Inputs'!$B$21)+'Inputs'!$B$7)/SQRT((((438-43)*MAX('Inputs'!$B$33,'Inputs'!$B$29+'Inputs'!$B$31+'Inputs'!$B$32,'Inputs'!$B$30+'Inputs'!$B$31+'Inputs'!$B$32)/1000+'Inputs'!$B$21)+'Inputs'!$B$7)^2+('Inputs'!$B$6/2)^2)-(((438-43)*MAX('Inputs'!$B$33,'Inputs'!$B$29+'Inputs'!$B$31+'Inputs'!$B$32,'Inputs'!$B$30+'Inputs'!$B$31+'Inputs'!$B$32)/1000+'Inputs'!$B$21))/SQRT((((438-43)*MAX('Inputs'!$B$33,'Inputs'!$B$29+'Inputs'!$B$31+'Inputs'!$B$32,'Inputs'!$B$30+'Inputs'!$B$31+'Inputs'!$B$32)/1000+'Inputs'!$B$21))^2+('Inputs'!$B$6/2)^2)))-'Results'!C7*(1+'Inputs'!$B$24)*(0.5*((((438-43)*MAX('Inputs'!$B$33,'Inputs'!$B$29+'Inputs'!$B$31+'Inputs'!$B$32,'Inputs'!$B$30+'Inputs'!$B$31+'Inputs'!$B$32)/1000+'Inputs'!$B$21+'Inputs'!$B$7+'Inputs'!$B$10)+'Inputs'!$B$9)/SQRT((((438-43)*MAX('Inputs'!$B$33,'Inputs'!$B$29+'Inputs'!$B$31+'Inputs'!$B$32,'Inputs'!$B$30+'Inputs'!$B$31+'Inputs'!$B$32)/1000+'Inputs'!$B$21+'Inputs'!$B$7+'Inputs'!$B$10)+'Inputs'!$B$9)^2+('Inputs'!$B$8/2)^2)-(((438-43)*MAX('Inputs'!$B$33,'Inputs'!$B$29+'Inputs'!$B$31+'Inputs'!$B$32,'Inputs'!$B$30+'Inputs'!$B$31+'Inputs'!$B$32)/1000+'Inputs'!$B$21+'Inputs'!$B$7+'Inputs'!$B$10))/SQRT((((438-43)*MAX('Inputs'!$B$33,'Inputs'!$B$29+'Inputs'!$B$31+'Inputs'!$B$32,'Inputs'!$B$30+'Inputs'!$B$31+'Inputs'!$B$32)/1000+'Inputs'!$B$21+'Inputs'!$B$7+'Inputs'!$B$10))^2+('Inputs'!$B$8/2)^2))))*'Results'!$B$8)-'Inputs'!$B$28*ABS((('Results'!B7*(1-'Inputs'!$B$24)*(0.5*((((438-43)*MAX('Inputs'!$B$33,'Inputs'!$B$29+'Inputs'!$B$31+'Inputs'!$B$32,'Inputs'!$B$30+'Inputs'!$B$31+'Inputs'!$B$32)/1000+'Inputs'!$B$21)+'Inputs'!$B$7)/SQRT((((438-43)*MAX('Inputs'!$B$33,'Inputs'!$B$29+'Inputs'!$B$31+'Inputs'!$B$32,'Inputs'!$B$30+'Inputs'!$B$31+'Inputs'!$B$32)/1000+'Inputs'!$B$21)+'Inputs'!$B$7)^2+('Inputs'!$B$6/2)^2)-(((438-43)*MAX('Inputs'!$B$33,'Inputs'!$B$29+'Inputs'!$B$31+'Inputs'!$B$32,'Inputs'!$B$30+'Inputs'!$B$31+'Inputs'!$B$32)/1000+'Inputs'!$B$21))/SQRT((((438-43)*MAX('Inputs'!$B$33,'Inputs'!$B$29+'Inputs'!$B$31+'Inputs'!$B$32,'Inputs'!$B$30+'Inputs'!$B$31+'Inputs'!$B$32)/1000+'Inputs'!$B$21))^2+('Inputs'!$B$6/2)^2)))-'Results'!C7*(1+'Inputs'!$B$24)*(0.5*((((438-43)*MAX('Inputs'!$B$33,'Inputs'!$B$29+'Inputs'!$B$31+'Inputs'!$B$32,'Inputs'!$B$30+'Inputs'!$B$31+'Inputs'!$B$32)/1000+'Inputs'!$B$21+'Inputs'!$B$7+'Inputs'!$B$10)+'Inputs'!$B$9)/SQRT((((438-43)*MAX('Inputs'!$B$33,'Inputs'!$B$29+'Inputs'!$B$31+'Inputs'!$B$32,'Inputs'!$B$30+'Inputs'!$B$31+'Inputs'!$B$32)/1000+'Inputs'!$B$21+'Inputs'!$B$7+'Inputs'!$B$10)+'Inputs'!$B$9)^2+('Inputs'!$B$8/2)^2)-(((438-43)*MAX('Inputs'!$B$33,'Inputs'!$B$29+'Inputs'!$B$31+'Inputs'!$B$32,'Inputs'!$B$30+'Inputs'!$B$31+'Inputs'!$B$32)/1000+'Inputs'!$B$21+'Inputs'!$B$7+'Inputs'!$B$10))/SQRT((((438-43)*MAX('Inputs'!$B$33,'Inputs'!$B$29+'Inputs'!$B$31+'Inputs'!$B$32,'Inputs'!$B$30+'Inputs'!$B$31+'Inputs'!$B$32)/1000+'Inputs'!$B$21+'Inputs'!$B$7+'Inputs'!$B$10))^2+('Inputs'!$B$8/2)^2))))*'Results'!$B$8))),"")</x:f>
        <x:v>8.25804172752697</x:v>
      </x:c>
      <x:c r="L438" t="n">
        <x:f>IF(AND(ISNUMBER('Results'!B7),ISNUMBER('Results'!C7),ISNUMBER('Results'!$B$8),ISNUMBER('Inputs'!$B$6),ISNUMBER('Inputs'!$B$7),ISNUMBER('Inputs'!$B$8),ISNUMBER('Inputs'!$B$9),ISNUMBER('Inputs'!$B$10),ISNUMBER('Inputs'!$B$21),ISNUMBER('Inputs'!$B$24),ISNUMBER('Inputs'!$B$28)),((('Results'!B7*(1+'Inputs'!$B$24)*(0.5*((((438-43)*MAX('Inputs'!$B$33,'Inputs'!$B$29+'Inputs'!$B$31+'Inputs'!$B$32,'Inputs'!$B$30+'Inputs'!$B$31+'Inputs'!$B$32)/1000+'Inputs'!$B$21)+'Inputs'!$B$7)/SQRT((((438-43)*MAX('Inputs'!$B$33,'Inputs'!$B$29+'Inputs'!$B$31+'Inputs'!$B$32,'Inputs'!$B$30+'Inputs'!$B$31+'Inputs'!$B$32)/1000+'Inputs'!$B$21)+'Inputs'!$B$7)^2+('Inputs'!$B$6/2)^2)-(((438-43)*MAX('Inputs'!$B$33,'Inputs'!$B$29+'Inputs'!$B$31+'Inputs'!$B$32,'Inputs'!$B$30+'Inputs'!$B$31+'Inputs'!$B$32)/1000+'Inputs'!$B$21))/SQRT((((438-43)*MAX('Inputs'!$B$33,'Inputs'!$B$29+'Inputs'!$B$31+'Inputs'!$B$32,'Inputs'!$B$30+'Inputs'!$B$31+'Inputs'!$B$32)/1000+'Inputs'!$B$21))^2+('Inputs'!$B$6/2)^2)))-'Results'!C7*(1-'Inputs'!$B$24)*(0.5*((((438-43)*MAX('Inputs'!$B$33,'Inputs'!$B$29+'Inputs'!$B$31+'Inputs'!$B$32,'Inputs'!$B$30+'Inputs'!$B$31+'Inputs'!$B$32)/1000+'Inputs'!$B$21+'Inputs'!$B$7+'Inputs'!$B$10)+'Inputs'!$B$9)/SQRT((((438-43)*MAX('Inputs'!$B$33,'Inputs'!$B$29+'Inputs'!$B$31+'Inputs'!$B$32,'Inputs'!$B$30+'Inputs'!$B$31+'Inputs'!$B$32)/1000+'Inputs'!$B$21+'Inputs'!$B$7+'Inputs'!$B$10)+'Inputs'!$B$9)^2+('Inputs'!$B$8/2)^2)-(((438-43)*MAX('Inputs'!$B$33,'Inputs'!$B$29+'Inputs'!$B$31+'Inputs'!$B$32,'Inputs'!$B$30+'Inputs'!$B$31+'Inputs'!$B$32)/1000+'Inputs'!$B$21+'Inputs'!$B$7+'Inputs'!$B$10))/SQRT((((438-43)*MAX('Inputs'!$B$33,'Inputs'!$B$29+'Inputs'!$B$31+'Inputs'!$B$32,'Inputs'!$B$30+'Inputs'!$B$31+'Inputs'!$B$32)/1000+'Inputs'!$B$21+'Inputs'!$B$7+'Inputs'!$B$10))^2+('Inputs'!$B$8/2)^2))))*'Results'!$B$8)+'Inputs'!$B$28*ABS((('Results'!B7*(1+'Inputs'!$B$24)*(0.5*((((438-43)*MAX('Inputs'!$B$33,'Inputs'!$B$29+'Inputs'!$B$31+'Inputs'!$B$32,'Inputs'!$B$30+'Inputs'!$B$31+'Inputs'!$B$32)/1000+'Inputs'!$B$21)+'Inputs'!$B$7)/SQRT((((438-43)*MAX('Inputs'!$B$33,'Inputs'!$B$29+'Inputs'!$B$31+'Inputs'!$B$32,'Inputs'!$B$30+'Inputs'!$B$31+'Inputs'!$B$32)/1000+'Inputs'!$B$21)+'Inputs'!$B$7)^2+('Inputs'!$B$6/2)^2)-(((438-43)*MAX('Inputs'!$B$33,'Inputs'!$B$29+'Inputs'!$B$31+'Inputs'!$B$32,'Inputs'!$B$30+'Inputs'!$B$31+'Inputs'!$B$32)/1000+'Inputs'!$B$21))/SQRT((((438-43)*MAX('Inputs'!$B$33,'Inputs'!$B$29+'Inputs'!$B$31+'Inputs'!$B$32,'Inputs'!$B$30+'Inputs'!$B$31+'Inputs'!$B$32)/1000+'Inputs'!$B$21))^2+('Inputs'!$B$6/2)^2)))-'Results'!C7*(1-'Inputs'!$B$24)*(0.5*((((438-43)*MAX('Inputs'!$B$33,'Inputs'!$B$29+'Inputs'!$B$31+'Inputs'!$B$32,'Inputs'!$B$30+'Inputs'!$B$31+'Inputs'!$B$32)/1000+'Inputs'!$B$21+'Inputs'!$B$7+'Inputs'!$B$10)+'Inputs'!$B$9)/SQRT((((438-43)*MAX('Inputs'!$B$33,'Inputs'!$B$29+'Inputs'!$B$31+'Inputs'!$B$32,'Inputs'!$B$30+'Inputs'!$B$31+'Inputs'!$B$32)/1000+'Inputs'!$B$21+'Inputs'!$B$7+'Inputs'!$B$10)+'Inputs'!$B$9)^2+('Inputs'!$B$8/2)^2)-(((438-43)*MAX('Inputs'!$B$33,'Inputs'!$B$29+'Inputs'!$B$31+'Inputs'!$B$32,'Inputs'!$B$30+'Inputs'!$B$31+'Inputs'!$B$32)/1000+'Inputs'!$B$21+'Inputs'!$B$7+'Inputs'!$B$10))/SQRT((((438-43)*MAX('Inputs'!$B$33,'Inputs'!$B$29+'Inputs'!$B$31+'Inputs'!$B$32,'Inputs'!$B$30+'Inputs'!$B$31+'Inputs'!$B$32)/1000+'Inputs'!$B$21+'Inputs'!$B$7+'Inputs'!$B$10))^2+('Inputs'!$B$8/2)^2))))*'Results'!$B$8))),"")</x:f>
        <x:v>10.229937399230707</x:v>
      </x:c>
      <x:c r="M438" t="n">
        <x:f>IF(AND(ISNUMBER('Results'!C7),ISNUMBER('Results'!B7),ISNUMBER('Results'!$B$8),ISNUMBER('Inputs'!$B$6),ISNUMBER('Inputs'!$B$7),ISNUMBER('Inputs'!$B$8),ISNUMBER('Inputs'!$B$9),ISNUMBER('Inputs'!$B$10),ISNUMBER('Inputs'!$B$21),ISNUMBER('Inputs'!$B$24),ISNUMBER('Inputs'!$B$28)),(('Results'!C7*(0.5*((((438-43)*MAX('Inputs'!$B$33,'Inputs'!$B$29+'Inputs'!$B$31+'Inputs'!$B$32,'Inputs'!$B$30+'Inputs'!$B$31+'Inputs'!$B$32)/1000+'Inputs'!$B$21)+'Inputs'!$B$9)/SQRT((((438-43)*MAX('Inputs'!$B$33,'Inputs'!$B$29+'Inputs'!$B$31+'Inputs'!$B$32,'Inputs'!$B$30+'Inputs'!$B$31+'Inputs'!$B$32)/1000+'Inputs'!$B$21)+'Inputs'!$B$9)^2+('Inputs'!$B$8/2)^2)-(((438-43)*MAX('Inputs'!$B$33,'Inputs'!$B$29+'Inputs'!$B$31+'Inputs'!$B$32,'Inputs'!$B$30+'Inputs'!$B$31+'Inputs'!$B$32)/1000+'Inputs'!$B$21))/SQRT((((438-43)*MAX('Inputs'!$B$33,'Inputs'!$B$29+'Inputs'!$B$31+'Inputs'!$B$32,'Inputs'!$B$30+'Inputs'!$B$31+'Inputs'!$B$32)/1000+'Inputs'!$B$21))^2+('Inputs'!$B$8/2)^2)))-'Results'!B7*(0.5*((((438-43)*MAX('Inputs'!$B$33,'Inputs'!$B$29+'Inputs'!$B$31+'Inputs'!$B$32,'Inputs'!$B$30+'Inputs'!$B$31+'Inputs'!$B$32)/1000+'Inputs'!$B$21+'Inputs'!$B$9+'Inputs'!$B$10)+'Inputs'!$B$7)/SQRT((((438-43)*MAX('Inputs'!$B$33,'Inputs'!$B$29+'Inputs'!$B$31+'Inputs'!$B$32,'Inputs'!$B$30+'Inputs'!$B$31+'Inputs'!$B$32)/1000+'Inputs'!$B$21+'Inputs'!$B$9+'Inputs'!$B$10)+'Inputs'!$B$7)^2+('Inputs'!$B$6/2)^2)-(((438-43)*MAX('Inputs'!$B$33,'Inputs'!$B$29+'Inputs'!$B$31+'Inputs'!$B$32,'Inputs'!$B$30+'Inputs'!$B$31+'Inputs'!$B$32)/1000+'Inputs'!$B$21+'Inputs'!$B$9+'Inputs'!$B$10))/SQRT((((438-43)*MAX('Inputs'!$B$33,'Inputs'!$B$29+'Inputs'!$B$31+'Inputs'!$B$32,'Inputs'!$B$30+'Inputs'!$B$31+'Inputs'!$B$32)/1000+'Inputs'!$B$21+'Inputs'!$B$9+'Inputs'!$B$10))^2+('Inputs'!$B$6/2)^2))))*'Results'!$B$8),"")</x:f>
        <x:v>8.689198907966592</x:v>
      </x:c>
      <x:c r="N438" t="n">
        <x:f>IF(AND(ISNUMBER('Results'!C7),ISNUMBER('Results'!B7),ISNUMBER('Results'!$B$8),ISNUMBER('Inputs'!$B$6),ISNUMBER('Inputs'!$B$7),ISNUMBER('Inputs'!$B$8),ISNUMBER('Inputs'!$B$9),ISNUMBER('Inputs'!$B$10),ISNUMBER('Inputs'!$B$21),ISNUMBER('Inputs'!$B$24),ISNUMBER('Inputs'!$B$28)),((('Results'!C7*(1-'Inputs'!$B$24)*(0.5*((((438-43)*MAX('Inputs'!$B$33,'Inputs'!$B$29+'Inputs'!$B$31+'Inputs'!$B$32,'Inputs'!$B$30+'Inputs'!$B$31+'Inputs'!$B$32)/1000+'Inputs'!$B$21)+'Inputs'!$B$9)/SQRT((((438-43)*MAX('Inputs'!$B$33,'Inputs'!$B$29+'Inputs'!$B$31+'Inputs'!$B$32,'Inputs'!$B$30+'Inputs'!$B$31+'Inputs'!$B$32)/1000+'Inputs'!$B$21)+'Inputs'!$B$9)^2+('Inputs'!$B$8/2)^2)-(((438-43)*MAX('Inputs'!$B$33,'Inputs'!$B$29+'Inputs'!$B$31+'Inputs'!$B$32,'Inputs'!$B$30+'Inputs'!$B$31+'Inputs'!$B$32)/1000+'Inputs'!$B$21))/SQRT((((438-43)*MAX('Inputs'!$B$33,'Inputs'!$B$29+'Inputs'!$B$31+'Inputs'!$B$32,'Inputs'!$B$30+'Inputs'!$B$31+'Inputs'!$B$32)/1000+'Inputs'!$B$21))^2+('Inputs'!$B$8/2)^2)))-'Results'!B7*(1+'Inputs'!$B$24)*(0.5*((((438-43)*MAX('Inputs'!$B$33,'Inputs'!$B$29+'Inputs'!$B$31+'Inputs'!$B$32,'Inputs'!$B$30+'Inputs'!$B$31+'Inputs'!$B$32)/1000+'Inputs'!$B$21+'Inputs'!$B$9+'Inputs'!$B$10)+'Inputs'!$B$7)/SQRT((((438-43)*MAX('Inputs'!$B$33,'Inputs'!$B$29+'Inputs'!$B$31+'Inputs'!$B$32,'Inputs'!$B$30+'Inputs'!$B$31+'Inputs'!$B$32)/1000+'Inputs'!$B$21+'Inputs'!$B$9+'Inputs'!$B$10)+'Inputs'!$B$7)^2+('Inputs'!$B$6/2)^2)-(((438-43)*MAX('Inputs'!$B$33,'Inputs'!$B$29+'Inputs'!$B$31+'Inputs'!$B$32,'Inputs'!$B$30+'Inputs'!$B$31+'Inputs'!$B$32)/1000+'Inputs'!$B$21+'Inputs'!$B$9+'Inputs'!$B$10))/SQRT((((438-43)*MAX('Inputs'!$B$33,'Inputs'!$B$29+'Inputs'!$B$31+'Inputs'!$B$32,'Inputs'!$B$30+'Inputs'!$B$31+'Inputs'!$B$32)/1000+'Inputs'!$B$21+'Inputs'!$B$9+'Inputs'!$B$10))^2+('Inputs'!$B$6/2)^2))))*'Results'!$B$8)-'Inputs'!$B$28*ABS((('Results'!C7*(1-'Inputs'!$B$24)*(0.5*((((438-43)*MAX('Inputs'!$B$33,'Inputs'!$B$29+'Inputs'!$B$31+'Inputs'!$B$32,'Inputs'!$B$30+'Inputs'!$B$31+'Inputs'!$B$32)/1000+'Inputs'!$B$21)+'Inputs'!$B$9)/SQRT((((438-43)*MAX('Inputs'!$B$33,'Inputs'!$B$29+'Inputs'!$B$31+'Inputs'!$B$32,'Inputs'!$B$30+'Inputs'!$B$31+'Inputs'!$B$32)/1000+'Inputs'!$B$21)+'Inputs'!$B$9)^2+('Inputs'!$B$8/2)^2)-(((438-43)*MAX('Inputs'!$B$33,'Inputs'!$B$29+'Inputs'!$B$31+'Inputs'!$B$32,'Inputs'!$B$30+'Inputs'!$B$31+'Inputs'!$B$32)/1000+'Inputs'!$B$21))/SQRT((((438-43)*MAX('Inputs'!$B$33,'Inputs'!$B$29+'Inputs'!$B$31+'Inputs'!$B$32,'Inputs'!$B$30+'Inputs'!$B$31+'Inputs'!$B$32)/1000+'Inputs'!$B$21))^2+('Inputs'!$B$8/2)^2)))-'Results'!B7*(1+'Inputs'!$B$24)*(0.5*((((438-43)*MAX('Inputs'!$B$33,'Inputs'!$B$29+'Inputs'!$B$31+'Inputs'!$B$32,'Inputs'!$B$30+'Inputs'!$B$31+'Inputs'!$B$32)/1000+'Inputs'!$B$21+'Inputs'!$B$9+'Inputs'!$B$10)+'Inputs'!$B$7)/SQRT((((438-43)*MAX('Inputs'!$B$33,'Inputs'!$B$29+'Inputs'!$B$31+'Inputs'!$B$32,'Inputs'!$B$30+'Inputs'!$B$31+'Inputs'!$B$32)/1000+'Inputs'!$B$21+'Inputs'!$B$9+'Inputs'!$B$10)+'Inputs'!$B$7)^2+('Inputs'!$B$6/2)^2)-(((438-43)*MAX('Inputs'!$B$33,'Inputs'!$B$29+'Inputs'!$B$31+'Inputs'!$B$32,'Inputs'!$B$30+'Inputs'!$B$31+'Inputs'!$B$32)/1000+'Inputs'!$B$21+'Inputs'!$B$9+'Inputs'!$B$10))/SQRT((((438-43)*MAX('Inputs'!$B$33,'Inputs'!$B$29+'Inputs'!$B$31+'Inputs'!$B$32,'Inputs'!$B$30+'Inputs'!$B$31+'Inputs'!$B$32)/1000+'Inputs'!$B$21+'Inputs'!$B$9+'Inputs'!$B$10))^2+('Inputs'!$B$6/2)^2))))*'Results'!$B$8))),"")</x:f>
        <x:v>7.759367687445951</x:v>
      </x:c>
      <x:c r="O438" t="n">
        <x:f>IF(AND(ISNUMBER('Results'!C7),ISNUMBER('Results'!B7),ISNUMBER('Results'!$B$8),ISNUMBER('Inputs'!$B$6),ISNUMBER('Inputs'!$B$7),ISNUMBER('Inputs'!$B$8),ISNUMBER('Inputs'!$B$9),ISNUMBER('Inputs'!$B$10),ISNUMBER('Inputs'!$B$21),ISNUMBER('Inputs'!$B$24),ISNUMBER('Inputs'!$B$28)),((('Results'!C7*(1+'Inputs'!$B$24)*(0.5*((((438-43)*MAX('Inputs'!$B$33,'Inputs'!$B$29+'Inputs'!$B$31+'Inputs'!$B$32,'Inputs'!$B$30+'Inputs'!$B$31+'Inputs'!$B$32)/1000+'Inputs'!$B$21)+'Inputs'!$B$9)/SQRT((((438-43)*MAX('Inputs'!$B$33,'Inputs'!$B$29+'Inputs'!$B$31+'Inputs'!$B$32,'Inputs'!$B$30+'Inputs'!$B$31+'Inputs'!$B$32)/1000+'Inputs'!$B$21)+'Inputs'!$B$9)^2+('Inputs'!$B$8/2)^2)-(((438-43)*MAX('Inputs'!$B$33,'Inputs'!$B$29+'Inputs'!$B$31+'Inputs'!$B$32,'Inputs'!$B$30+'Inputs'!$B$31+'Inputs'!$B$32)/1000+'Inputs'!$B$21))/SQRT((((438-43)*MAX('Inputs'!$B$33,'Inputs'!$B$29+'Inputs'!$B$31+'Inputs'!$B$32,'Inputs'!$B$30+'Inputs'!$B$31+'Inputs'!$B$32)/1000+'Inputs'!$B$21))^2+('Inputs'!$B$8/2)^2)))-'Results'!B7*(1-'Inputs'!$B$24)*(0.5*((((438-43)*MAX('Inputs'!$B$33,'Inputs'!$B$29+'Inputs'!$B$31+'Inputs'!$B$32,'Inputs'!$B$30+'Inputs'!$B$31+'Inputs'!$B$32)/1000+'Inputs'!$B$21+'Inputs'!$B$9+'Inputs'!$B$10)+'Inputs'!$B$7)/SQRT((((438-43)*MAX('Inputs'!$B$33,'Inputs'!$B$29+'Inputs'!$B$31+'Inputs'!$B$32,'Inputs'!$B$30+'Inputs'!$B$31+'Inputs'!$B$32)/1000+'Inputs'!$B$21+'Inputs'!$B$9+'Inputs'!$B$10)+'Inputs'!$B$7)^2+('Inputs'!$B$6/2)^2)-(((438-43)*MAX('Inputs'!$B$33,'Inputs'!$B$29+'Inputs'!$B$31+'Inputs'!$B$32,'Inputs'!$B$30+'Inputs'!$B$31+'Inputs'!$B$32)/1000+'Inputs'!$B$21+'Inputs'!$B$9+'Inputs'!$B$10))/SQRT((((438-43)*MAX('Inputs'!$B$33,'Inputs'!$B$29+'Inputs'!$B$31+'Inputs'!$B$32,'Inputs'!$B$30+'Inputs'!$B$31+'Inputs'!$B$32)/1000+'Inputs'!$B$21+'Inputs'!$B$9+'Inputs'!$B$10))^2+('Inputs'!$B$6/2)^2))))*'Results'!$B$8)+'Inputs'!$B$28*ABS((('Results'!C7*(1+'Inputs'!$B$24)*(0.5*((((438-43)*MAX('Inputs'!$B$33,'Inputs'!$B$29+'Inputs'!$B$31+'Inputs'!$B$32,'Inputs'!$B$30+'Inputs'!$B$31+'Inputs'!$B$32)/1000+'Inputs'!$B$21)+'Inputs'!$B$9)/SQRT((((438-43)*MAX('Inputs'!$B$33,'Inputs'!$B$29+'Inputs'!$B$31+'Inputs'!$B$32,'Inputs'!$B$30+'Inputs'!$B$31+'Inputs'!$B$32)/1000+'Inputs'!$B$21)+'Inputs'!$B$9)^2+('Inputs'!$B$8/2)^2)-(((438-43)*MAX('Inputs'!$B$33,'Inputs'!$B$29+'Inputs'!$B$31+'Inputs'!$B$32,'Inputs'!$B$30+'Inputs'!$B$31+'Inputs'!$B$32)/1000+'Inputs'!$B$21))/SQRT((((438-43)*MAX('Inputs'!$B$33,'Inputs'!$B$29+'Inputs'!$B$31+'Inputs'!$B$32,'Inputs'!$B$30+'Inputs'!$B$31+'Inputs'!$B$32)/1000+'Inputs'!$B$21))^2+('Inputs'!$B$8/2)^2)))-'Results'!B7*(1-'Inputs'!$B$24)*(0.5*((((438-43)*MAX('Inputs'!$B$33,'Inputs'!$B$29+'Inputs'!$B$31+'Inputs'!$B$32,'Inputs'!$B$30+'Inputs'!$B$31+'Inputs'!$B$32)/1000+'Inputs'!$B$21+'Inputs'!$B$9+'Inputs'!$B$10)+'Inputs'!$B$7)/SQRT((((438-43)*MAX('Inputs'!$B$33,'Inputs'!$B$29+'Inputs'!$B$31+'Inputs'!$B$32,'Inputs'!$B$30+'Inputs'!$B$31+'Inputs'!$B$32)/1000+'Inputs'!$B$21+'Inputs'!$B$9+'Inputs'!$B$10)+'Inputs'!$B$7)^2+('Inputs'!$B$6/2)^2)-(((438-43)*MAX('Inputs'!$B$33,'Inputs'!$B$29+'Inputs'!$B$31+'Inputs'!$B$32,'Inputs'!$B$30+'Inputs'!$B$31+'Inputs'!$B$32)/1000+'Inputs'!$B$21+'Inputs'!$B$9+'Inputs'!$B$10))/SQRT((((438-43)*MAX('Inputs'!$B$33,'Inputs'!$B$29+'Inputs'!$B$31+'Inputs'!$B$32,'Inputs'!$B$30+'Inputs'!$B$31+'Inputs'!$B$32)/1000+'Inputs'!$B$21+'Inputs'!$B$9+'Inputs'!$B$10))^2+('Inputs'!$B$6/2)^2))))*'Results'!$B$8))),"")</x:f>
        <x:v>9.671174473236947</x:v>
      </x:c>
      <x:c r="P438" t="n">
        <x:f>IF(AND(MAX(J438,J437)&gt;0,J438&gt;J437+0.00000001),1,0)</x:f>
        <x:v>0</x:v>
      </x:c>
      <x:c r="Q438" t="n">
        <x:f>IF(AND(MAX(K438,K437)&gt;0,K438&gt;K437+0.00000001),1,0)</x:f>
        <x:v>0</x:v>
      </x:c>
      <x:c r="R438" t="n">
        <x:f>IF(AND(MAX(L438,L437)&gt;0,L438&gt;L437+0.00000001),1,0)</x:f>
        <x:v>0</x:v>
      </x:c>
      <x:c r="S438" t="n">
        <x:f>IF(AND(MAX(M438,M437)&gt;0,M438&gt;M437+0.00000001),1,0)</x:f>
        <x:v>0</x:v>
      </x:c>
      <x:c r="T438" t="n">
        <x:f>IF(AND(MAX(N438,N437)&gt;0,N438&gt;N437+0.00000001),1,0)</x:f>
        <x:v>0</x:v>
      </x:c>
      <x:c r="U438" t="n">
        <x:f>IF(AND(MAX(O438,O437)&gt;0,O438&gt;O437+0.00000001),1,0)</x:f>
        <x:v>0</x:v>
      </x:c>
    </x:row>
    <x:row r="439">
      <x:c r="J439" t="n">
        <x:f>IF(AND(ISNUMBER('Results'!B7),ISNUMBER('Results'!C7),ISNUMBER('Results'!$B$8),ISNUMBER('Inputs'!$B$6),ISNUMBER('Inputs'!$B$7),ISNUMBER('Inputs'!$B$8),ISNUMBER('Inputs'!$B$9),ISNUMBER('Inputs'!$B$10),ISNUMBER('Inputs'!$B$21),ISNUMBER('Inputs'!$B$24),ISNUMBER('Inputs'!$B$28)),(('Results'!B7*(0.5*((((439-43)*MAX('Inputs'!$B$33,'Inputs'!$B$29+'Inputs'!$B$31+'Inputs'!$B$32,'Inputs'!$B$30+'Inputs'!$B$31+'Inputs'!$B$32)/1000+'Inputs'!$B$21)+'Inputs'!$B$7)/SQRT((((439-43)*MAX('Inputs'!$B$33,'Inputs'!$B$29+'Inputs'!$B$31+'Inputs'!$B$32,'Inputs'!$B$30+'Inputs'!$B$31+'Inputs'!$B$32)/1000+'Inputs'!$B$21)+'Inputs'!$B$7)^2+('Inputs'!$B$6/2)^2)-(((439-43)*MAX('Inputs'!$B$33,'Inputs'!$B$29+'Inputs'!$B$31+'Inputs'!$B$32,'Inputs'!$B$30+'Inputs'!$B$31+'Inputs'!$B$32)/1000+'Inputs'!$B$21))/SQRT((((439-43)*MAX('Inputs'!$B$33,'Inputs'!$B$29+'Inputs'!$B$31+'Inputs'!$B$32,'Inputs'!$B$30+'Inputs'!$B$31+'Inputs'!$B$32)/1000+'Inputs'!$B$21))^2+('Inputs'!$B$6/2)^2)))-'Results'!C7*(0.5*((((439-43)*MAX('Inputs'!$B$33,'Inputs'!$B$29+'Inputs'!$B$31+'Inputs'!$B$32,'Inputs'!$B$30+'Inputs'!$B$31+'Inputs'!$B$32)/1000+'Inputs'!$B$21+'Inputs'!$B$7+'Inputs'!$B$10)+'Inputs'!$B$9)/SQRT((((439-43)*MAX('Inputs'!$B$33,'Inputs'!$B$29+'Inputs'!$B$31+'Inputs'!$B$32,'Inputs'!$B$30+'Inputs'!$B$31+'Inputs'!$B$32)/1000+'Inputs'!$B$21+'Inputs'!$B$7+'Inputs'!$B$10)+'Inputs'!$B$9)^2+('Inputs'!$B$8/2)^2)-(((439-43)*MAX('Inputs'!$B$33,'Inputs'!$B$29+'Inputs'!$B$31+'Inputs'!$B$32,'Inputs'!$B$30+'Inputs'!$B$31+'Inputs'!$B$32)/1000+'Inputs'!$B$21+'Inputs'!$B$7+'Inputs'!$B$10))/SQRT((((439-43)*MAX('Inputs'!$B$33,'Inputs'!$B$29+'Inputs'!$B$31+'Inputs'!$B$32,'Inputs'!$B$30+'Inputs'!$B$31+'Inputs'!$B$32)/1000+'Inputs'!$B$21+'Inputs'!$B$7+'Inputs'!$B$10))^2+('Inputs'!$B$8/2)^2))))*'Results'!$B$8),"")</x:f>
        <x:v>9.14135265420975</x:v>
      </x:c>
      <x:c r="K439" t="n">
        <x:f>IF(AND(ISNUMBER('Results'!B7),ISNUMBER('Results'!C7),ISNUMBER('Results'!$B$8),ISNUMBER('Inputs'!$B$6),ISNUMBER('Inputs'!$B$7),ISNUMBER('Inputs'!$B$8),ISNUMBER('Inputs'!$B$9),ISNUMBER('Inputs'!$B$10),ISNUMBER('Inputs'!$B$21),ISNUMBER('Inputs'!$B$24),ISNUMBER('Inputs'!$B$28)),((('Results'!B7*(1-'Inputs'!$B$24)*(0.5*((((439-43)*MAX('Inputs'!$B$33,'Inputs'!$B$29+'Inputs'!$B$31+'Inputs'!$B$32,'Inputs'!$B$30+'Inputs'!$B$31+'Inputs'!$B$32)/1000+'Inputs'!$B$21)+'Inputs'!$B$7)/SQRT((((439-43)*MAX('Inputs'!$B$33,'Inputs'!$B$29+'Inputs'!$B$31+'Inputs'!$B$32,'Inputs'!$B$30+'Inputs'!$B$31+'Inputs'!$B$32)/1000+'Inputs'!$B$21)+'Inputs'!$B$7)^2+('Inputs'!$B$6/2)^2)-(((439-43)*MAX('Inputs'!$B$33,'Inputs'!$B$29+'Inputs'!$B$31+'Inputs'!$B$32,'Inputs'!$B$30+'Inputs'!$B$31+'Inputs'!$B$32)/1000+'Inputs'!$B$21))/SQRT((((439-43)*MAX('Inputs'!$B$33,'Inputs'!$B$29+'Inputs'!$B$31+'Inputs'!$B$32,'Inputs'!$B$30+'Inputs'!$B$31+'Inputs'!$B$32)/1000+'Inputs'!$B$21))^2+('Inputs'!$B$6/2)^2)))-'Results'!C7*(1+'Inputs'!$B$24)*(0.5*((((439-43)*MAX('Inputs'!$B$33,'Inputs'!$B$29+'Inputs'!$B$31+'Inputs'!$B$32,'Inputs'!$B$30+'Inputs'!$B$31+'Inputs'!$B$32)/1000+'Inputs'!$B$21+'Inputs'!$B$7+'Inputs'!$B$10)+'Inputs'!$B$9)/SQRT((((439-43)*MAX('Inputs'!$B$33,'Inputs'!$B$29+'Inputs'!$B$31+'Inputs'!$B$32,'Inputs'!$B$30+'Inputs'!$B$31+'Inputs'!$B$32)/1000+'Inputs'!$B$21+'Inputs'!$B$7+'Inputs'!$B$10)+'Inputs'!$B$9)^2+('Inputs'!$B$8/2)^2)-(((439-43)*MAX('Inputs'!$B$33,'Inputs'!$B$29+'Inputs'!$B$31+'Inputs'!$B$32,'Inputs'!$B$30+'Inputs'!$B$31+'Inputs'!$B$32)/1000+'Inputs'!$B$21+'Inputs'!$B$7+'Inputs'!$B$10))/SQRT((((439-43)*MAX('Inputs'!$B$33,'Inputs'!$B$29+'Inputs'!$B$31+'Inputs'!$B$32,'Inputs'!$B$30+'Inputs'!$B$31+'Inputs'!$B$32)/1000+'Inputs'!$B$21+'Inputs'!$B$7+'Inputs'!$B$10))^2+('Inputs'!$B$8/2)^2))))*'Results'!$B$8)-'Inputs'!$B$28*ABS((('Results'!B7*(1-'Inputs'!$B$24)*(0.5*((((439-43)*MAX('Inputs'!$B$33,'Inputs'!$B$29+'Inputs'!$B$31+'Inputs'!$B$32,'Inputs'!$B$30+'Inputs'!$B$31+'Inputs'!$B$32)/1000+'Inputs'!$B$21)+'Inputs'!$B$7)/SQRT((((439-43)*MAX('Inputs'!$B$33,'Inputs'!$B$29+'Inputs'!$B$31+'Inputs'!$B$32,'Inputs'!$B$30+'Inputs'!$B$31+'Inputs'!$B$32)/1000+'Inputs'!$B$21)+'Inputs'!$B$7)^2+('Inputs'!$B$6/2)^2)-(((439-43)*MAX('Inputs'!$B$33,'Inputs'!$B$29+'Inputs'!$B$31+'Inputs'!$B$32,'Inputs'!$B$30+'Inputs'!$B$31+'Inputs'!$B$32)/1000+'Inputs'!$B$21))/SQRT((((439-43)*MAX('Inputs'!$B$33,'Inputs'!$B$29+'Inputs'!$B$31+'Inputs'!$B$32,'Inputs'!$B$30+'Inputs'!$B$31+'Inputs'!$B$32)/1000+'Inputs'!$B$21))^2+('Inputs'!$B$6/2)^2)))-'Results'!C7*(1+'Inputs'!$B$24)*(0.5*((((439-43)*MAX('Inputs'!$B$33,'Inputs'!$B$29+'Inputs'!$B$31+'Inputs'!$B$32,'Inputs'!$B$30+'Inputs'!$B$31+'Inputs'!$B$32)/1000+'Inputs'!$B$21+'Inputs'!$B$7+'Inputs'!$B$10)+'Inputs'!$B$9)/SQRT((((439-43)*MAX('Inputs'!$B$33,'Inputs'!$B$29+'Inputs'!$B$31+'Inputs'!$B$32,'Inputs'!$B$30+'Inputs'!$B$31+'Inputs'!$B$32)/1000+'Inputs'!$B$21+'Inputs'!$B$7+'Inputs'!$B$10)+'Inputs'!$B$9)^2+('Inputs'!$B$8/2)^2)-(((439-43)*MAX('Inputs'!$B$33,'Inputs'!$B$29+'Inputs'!$B$31+'Inputs'!$B$32,'Inputs'!$B$30+'Inputs'!$B$31+'Inputs'!$B$32)/1000+'Inputs'!$B$21+'Inputs'!$B$7+'Inputs'!$B$10))/SQRT((((439-43)*MAX('Inputs'!$B$33,'Inputs'!$B$29+'Inputs'!$B$31+'Inputs'!$B$32,'Inputs'!$B$30+'Inputs'!$B$31+'Inputs'!$B$32)/1000+'Inputs'!$B$21+'Inputs'!$B$7+'Inputs'!$B$10))^2+('Inputs'!$B$8/2)^2))))*'Results'!$B$8))),"")</x:f>
        <x:v>8.18871829485084</x:v>
      </x:c>
      <x:c r="L439" t="n">
        <x:f>IF(AND(ISNUMBER('Results'!B7),ISNUMBER('Results'!C7),ISNUMBER('Results'!$B$8),ISNUMBER('Inputs'!$B$6),ISNUMBER('Inputs'!$B$7),ISNUMBER('Inputs'!$B$8),ISNUMBER('Inputs'!$B$9),ISNUMBER('Inputs'!$B$10),ISNUMBER('Inputs'!$B$21),ISNUMBER('Inputs'!$B$24),ISNUMBER('Inputs'!$B$28)),((('Results'!B7*(1+'Inputs'!$B$24)*(0.5*((((439-43)*MAX('Inputs'!$B$33,'Inputs'!$B$29+'Inputs'!$B$31+'Inputs'!$B$32,'Inputs'!$B$30+'Inputs'!$B$31+'Inputs'!$B$32)/1000+'Inputs'!$B$21)+'Inputs'!$B$7)/SQRT((((439-43)*MAX('Inputs'!$B$33,'Inputs'!$B$29+'Inputs'!$B$31+'Inputs'!$B$32,'Inputs'!$B$30+'Inputs'!$B$31+'Inputs'!$B$32)/1000+'Inputs'!$B$21)+'Inputs'!$B$7)^2+('Inputs'!$B$6/2)^2)-(((439-43)*MAX('Inputs'!$B$33,'Inputs'!$B$29+'Inputs'!$B$31+'Inputs'!$B$32,'Inputs'!$B$30+'Inputs'!$B$31+'Inputs'!$B$32)/1000+'Inputs'!$B$21))/SQRT((((439-43)*MAX('Inputs'!$B$33,'Inputs'!$B$29+'Inputs'!$B$31+'Inputs'!$B$32,'Inputs'!$B$30+'Inputs'!$B$31+'Inputs'!$B$32)/1000+'Inputs'!$B$21))^2+('Inputs'!$B$6/2)^2)))-'Results'!C7*(1-'Inputs'!$B$24)*(0.5*((((439-43)*MAX('Inputs'!$B$33,'Inputs'!$B$29+'Inputs'!$B$31+'Inputs'!$B$32,'Inputs'!$B$30+'Inputs'!$B$31+'Inputs'!$B$32)/1000+'Inputs'!$B$21+'Inputs'!$B$7+'Inputs'!$B$10)+'Inputs'!$B$9)/SQRT((((439-43)*MAX('Inputs'!$B$33,'Inputs'!$B$29+'Inputs'!$B$31+'Inputs'!$B$32,'Inputs'!$B$30+'Inputs'!$B$31+'Inputs'!$B$32)/1000+'Inputs'!$B$21+'Inputs'!$B$7+'Inputs'!$B$10)+'Inputs'!$B$9)^2+('Inputs'!$B$8/2)^2)-(((439-43)*MAX('Inputs'!$B$33,'Inputs'!$B$29+'Inputs'!$B$31+'Inputs'!$B$32,'Inputs'!$B$30+'Inputs'!$B$31+'Inputs'!$B$32)/1000+'Inputs'!$B$21+'Inputs'!$B$7+'Inputs'!$B$10))/SQRT((((439-43)*MAX('Inputs'!$B$33,'Inputs'!$B$29+'Inputs'!$B$31+'Inputs'!$B$32,'Inputs'!$B$30+'Inputs'!$B$31+'Inputs'!$B$32)/1000+'Inputs'!$B$21+'Inputs'!$B$7+'Inputs'!$B$10))^2+('Inputs'!$B$8/2)^2))))*'Results'!$B$8)+'Inputs'!$B$28*ABS((('Results'!B7*(1+'Inputs'!$B$24)*(0.5*((((439-43)*MAX('Inputs'!$B$33,'Inputs'!$B$29+'Inputs'!$B$31+'Inputs'!$B$32,'Inputs'!$B$30+'Inputs'!$B$31+'Inputs'!$B$32)/1000+'Inputs'!$B$21)+'Inputs'!$B$7)/SQRT((((439-43)*MAX('Inputs'!$B$33,'Inputs'!$B$29+'Inputs'!$B$31+'Inputs'!$B$32,'Inputs'!$B$30+'Inputs'!$B$31+'Inputs'!$B$32)/1000+'Inputs'!$B$21)+'Inputs'!$B$7)^2+('Inputs'!$B$6/2)^2)-(((439-43)*MAX('Inputs'!$B$33,'Inputs'!$B$29+'Inputs'!$B$31+'Inputs'!$B$32,'Inputs'!$B$30+'Inputs'!$B$31+'Inputs'!$B$32)/1000+'Inputs'!$B$21))/SQRT((((439-43)*MAX('Inputs'!$B$33,'Inputs'!$B$29+'Inputs'!$B$31+'Inputs'!$B$32,'Inputs'!$B$30+'Inputs'!$B$31+'Inputs'!$B$32)/1000+'Inputs'!$B$21))^2+('Inputs'!$B$6/2)^2)))-'Results'!C7*(1-'Inputs'!$B$24)*(0.5*((((439-43)*MAX('Inputs'!$B$33,'Inputs'!$B$29+'Inputs'!$B$31+'Inputs'!$B$32,'Inputs'!$B$30+'Inputs'!$B$31+'Inputs'!$B$32)/1000+'Inputs'!$B$21+'Inputs'!$B$7+'Inputs'!$B$10)+'Inputs'!$B$9)/SQRT((((439-43)*MAX('Inputs'!$B$33,'Inputs'!$B$29+'Inputs'!$B$31+'Inputs'!$B$32,'Inputs'!$B$30+'Inputs'!$B$31+'Inputs'!$B$32)/1000+'Inputs'!$B$21+'Inputs'!$B$7+'Inputs'!$B$10)+'Inputs'!$B$9)^2+('Inputs'!$B$8/2)^2)-(((439-43)*MAX('Inputs'!$B$33,'Inputs'!$B$29+'Inputs'!$B$31+'Inputs'!$B$32,'Inputs'!$B$30+'Inputs'!$B$31+'Inputs'!$B$32)/1000+'Inputs'!$B$21+'Inputs'!$B$7+'Inputs'!$B$10))/SQRT((((439-43)*MAX('Inputs'!$B$33,'Inputs'!$B$29+'Inputs'!$B$31+'Inputs'!$B$32,'Inputs'!$B$30+'Inputs'!$B$31+'Inputs'!$B$32)/1000+'Inputs'!$B$21+'Inputs'!$B$7+'Inputs'!$B$10))^2+('Inputs'!$B$8/2)^2))))*'Results'!$B$8))),"")</x:f>
        <x:v>10.146151932163233</x:v>
      </x:c>
      <x:c r="M439" t="n">
        <x:f>IF(AND(ISNUMBER('Results'!C7),ISNUMBER('Results'!B7),ISNUMBER('Results'!$B$8),ISNUMBER('Inputs'!$B$6),ISNUMBER('Inputs'!$B$7),ISNUMBER('Inputs'!$B$8),ISNUMBER('Inputs'!$B$9),ISNUMBER('Inputs'!$B$10),ISNUMBER('Inputs'!$B$21),ISNUMBER('Inputs'!$B$24),ISNUMBER('Inputs'!$B$28)),(('Results'!C7*(0.5*((((439-43)*MAX('Inputs'!$B$33,'Inputs'!$B$29+'Inputs'!$B$31+'Inputs'!$B$32,'Inputs'!$B$30+'Inputs'!$B$31+'Inputs'!$B$32)/1000+'Inputs'!$B$21)+'Inputs'!$B$9)/SQRT((((439-43)*MAX('Inputs'!$B$33,'Inputs'!$B$29+'Inputs'!$B$31+'Inputs'!$B$32,'Inputs'!$B$30+'Inputs'!$B$31+'Inputs'!$B$32)/1000+'Inputs'!$B$21)+'Inputs'!$B$9)^2+('Inputs'!$B$8/2)^2)-(((439-43)*MAX('Inputs'!$B$33,'Inputs'!$B$29+'Inputs'!$B$31+'Inputs'!$B$32,'Inputs'!$B$30+'Inputs'!$B$31+'Inputs'!$B$32)/1000+'Inputs'!$B$21))/SQRT((((439-43)*MAX('Inputs'!$B$33,'Inputs'!$B$29+'Inputs'!$B$31+'Inputs'!$B$32,'Inputs'!$B$30+'Inputs'!$B$31+'Inputs'!$B$32)/1000+'Inputs'!$B$21))^2+('Inputs'!$B$8/2)^2)))-'Results'!B7*(0.5*((((439-43)*MAX('Inputs'!$B$33,'Inputs'!$B$29+'Inputs'!$B$31+'Inputs'!$B$32,'Inputs'!$B$30+'Inputs'!$B$31+'Inputs'!$B$32)/1000+'Inputs'!$B$21+'Inputs'!$B$9+'Inputs'!$B$10)+'Inputs'!$B$7)/SQRT((((439-43)*MAX('Inputs'!$B$33,'Inputs'!$B$29+'Inputs'!$B$31+'Inputs'!$B$32,'Inputs'!$B$30+'Inputs'!$B$31+'Inputs'!$B$32)/1000+'Inputs'!$B$21+'Inputs'!$B$9+'Inputs'!$B$10)+'Inputs'!$B$7)^2+('Inputs'!$B$6/2)^2)-(((439-43)*MAX('Inputs'!$B$33,'Inputs'!$B$29+'Inputs'!$B$31+'Inputs'!$B$32,'Inputs'!$B$30+'Inputs'!$B$31+'Inputs'!$B$32)/1000+'Inputs'!$B$21+'Inputs'!$B$9+'Inputs'!$B$10))/SQRT((((439-43)*MAX('Inputs'!$B$33,'Inputs'!$B$29+'Inputs'!$B$31+'Inputs'!$B$32,'Inputs'!$B$30+'Inputs'!$B$31+'Inputs'!$B$32)/1000+'Inputs'!$B$21+'Inputs'!$B$9+'Inputs'!$B$10))^2+('Inputs'!$B$6/2)^2))))*'Results'!$B$8),"")</x:f>
        <x:v>8.616246099561375</x:v>
      </x:c>
      <x:c r="N439" t="n">
        <x:f>IF(AND(ISNUMBER('Results'!C7),ISNUMBER('Results'!B7),ISNUMBER('Results'!$B$8),ISNUMBER('Inputs'!$B$6),ISNUMBER('Inputs'!$B$7),ISNUMBER('Inputs'!$B$8),ISNUMBER('Inputs'!$B$9),ISNUMBER('Inputs'!$B$10),ISNUMBER('Inputs'!$B$21),ISNUMBER('Inputs'!$B$24),ISNUMBER('Inputs'!$B$28)),((('Results'!C7*(1-'Inputs'!$B$24)*(0.5*((((439-43)*MAX('Inputs'!$B$33,'Inputs'!$B$29+'Inputs'!$B$31+'Inputs'!$B$32,'Inputs'!$B$30+'Inputs'!$B$31+'Inputs'!$B$32)/1000+'Inputs'!$B$21)+'Inputs'!$B$9)/SQRT((((439-43)*MAX('Inputs'!$B$33,'Inputs'!$B$29+'Inputs'!$B$31+'Inputs'!$B$32,'Inputs'!$B$30+'Inputs'!$B$31+'Inputs'!$B$32)/1000+'Inputs'!$B$21)+'Inputs'!$B$9)^2+('Inputs'!$B$8/2)^2)-(((439-43)*MAX('Inputs'!$B$33,'Inputs'!$B$29+'Inputs'!$B$31+'Inputs'!$B$32,'Inputs'!$B$30+'Inputs'!$B$31+'Inputs'!$B$32)/1000+'Inputs'!$B$21))/SQRT((((439-43)*MAX('Inputs'!$B$33,'Inputs'!$B$29+'Inputs'!$B$31+'Inputs'!$B$32,'Inputs'!$B$30+'Inputs'!$B$31+'Inputs'!$B$32)/1000+'Inputs'!$B$21))^2+('Inputs'!$B$8/2)^2)))-'Results'!B7*(1+'Inputs'!$B$24)*(0.5*((((439-43)*MAX('Inputs'!$B$33,'Inputs'!$B$29+'Inputs'!$B$31+'Inputs'!$B$32,'Inputs'!$B$30+'Inputs'!$B$31+'Inputs'!$B$32)/1000+'Inputs'!$B$21+'Inputs'!$B$9+'Inputs'!$B$10)+'Inputs'!$B$7)/SQRT((((439-43)*MAX('Inputs'!$B$33,'Inputs'!$B$29+'Inputs'!$B$31+'Inputs'!$B$32,'Inputs'!$B$30+'Inputs'!$B$31+'Inputs'!$B$32)/1000+'Inputs'!$B$21+'Inputs'!$B$9+'Inputs'!$B$10)+'Inputs'!$B$7)^2+('Inputs'!$B$6/2)^2)-(((439-43)*MAX('Inputs'!$B$33,'Inputs'!$B$29+'Inputs'!$B$31+'Inputs'!$B$32,'Inputs'!$B$30+'Inputs'!$B$31+'Inputs'!$B$32)/1000+'Inputs'!$B$21+'Inputs'!$B$9+'Inputs'!$B$10))/SQRT((((439-43)*MAX('Inputs'!$B$33,'Inputs'!$B$29+'Inputs'!$B$31+'Inputs'!$B$32,'Inputs'!$B$30+'Inputs'!$B$31+'Inputs'!$B$32)/1000+'Inputs'!$B$21+'Inputs'!$B$9+'Inputs'!$B$10))^2+('Inputs'!$B$6/2)^2))))*'Results'!$B$8)-'Inputs'!$B$28*ABS((('Results'!C7*(1-'Inputs'!$B$24)*(0.5*((((439-43)*MAX('Inputs'!$B$33,'Inputs'!$B$29+'Inputs'!$B$31+'Inputs'!$B$32,'Inputs'!$B$30+'Inputs'!$B$31+'Inputs'!$B$32)/1000+'Inputs'!$B$21)+'Inputs'!$B$9)/SQRT((((439-43)*MAX('Inputs'!$B$33,'Inputs'!$B$29+'Inputs'!$B$31+'Inputs'!$B$32,'Inputs'!$B$30+'Inputs'!$B$31+'Inputs'!$B$32)/1000+'Inputs'!$B$21)+'Inputs'!$B$9)^2+('Inputs'!$B$8/2)^2)-(((439-43)*MAX('Inputs'!$B$33,'Inputs'!$B$29+'Inputs'!$B$31+'Inputs'!$B$32,'Inputs'!$B$30+'Inputs'!$B$31+'Inputs'!$B$32)/1000+'Inputs'!$B$21))/SQRT((((439-43)*MAX('Inputs'!$B$33,'Inputs'!$B$29+'Inputs'!$B$31+'Inputs'!$B$32,'Inputs'!$B$30+'Inputs'!$B$31+'Inputs'!$B$32)/1000+'Inputs'!$B$21))^2+('Inputs'!$B$8/2)^2)))-'Results'!B7*(1+'Inputs'!$B$24)*(0.5*((((439-43)*MAX('Inputs'!$B$33,'Inputs'!$B$29+'Inputs'!$B$31+'Inputs'!$B$32,'Inputs'!$B$30+'Inputs'!$B$31+'Inputs'!$B$32)/1000+'Inputs'!$B$21+'Inputs'!$B$9+'Inputs'!$B$10)+'Inputs'!$B$7)/SQRT((((439-43)*MAX('Inputs'!$B$33,'Inputs'!$B$29+'Inputs'!$B$31+'Inputs'!$B$32,'Inputs'!$B$30+'Inputs'!$B$31+'Inputs'!$B$32)/1000+'Inputs'!$B$21+'Inputs'!$B$9+'Inputs'!$B$10)+'Inputs'!$B$7)^2+('Inputs'!$B$6/2)^2)-(((439-43)*MAX('Inputs'!$B$33,'Inputs'!$B$29+'Inputs'!$B$31+'Inputs'!$B$32,'Inputs'!$B$30+'Inputs'!$B$31+'Inputs'!$B$32)/1000+'Inputs'!$B$21+'Inputs'!$B$9+'Inputs'!$B$10))/SQRT((((439-43)*MAX('Inputs'!$B$33,'Inputs'!$B$29+'Inputs'!$B$31+'Inputs'!$B$32,'Inputs'!$B$30+'Inputs'!$B$31+'Inputs'!$B$32)/1000+'Inputs'!$B$21+'Inputs'!$B$9+'Inputs'!$B$10))^2+('Inputs'!$B$6/2)^2))))*'Results'!$B$8))),"")</x:f>
        <x:v>7.693275091938131</x:v>
      </x:c>
      <x:c r="O439" t="n">
        <x:f>IF(AND(ISNUMBER('Results'!C7),ISNUMBER('Results'!B7),ISNUMBER('Results'!$B$8),ISNUMBER('Inputs'!$B$6),ISNUMBER('Inputs'!$B$7),ISNUMBER('Inputs'!$B$8),ISNUMBER('Inputs'!$B$9),ISNUMBER('Inputs'!$B$10),ISNUMBER('Inputs'!$B$21),ISNUMBER('Inputs'!$B$24),ISNUMBER('Inputs'!$B$28)),((('Results'!C7*(1+'Inputs'!$B$24)*(0.5*((((439-43)*MAX('Inputs'!$B$33,'Inputs'!$B$29+'Inputs'!$B$31+'Inputs'!$B$32,'Inputs'!$B$30+'Inputs'!$B$31+'Inputs'!$B$32)/1000+'Inputs'!$B$21)+'Inputs'!$B$9)/SQRT((((439-43)*MAX('Inputs'!$B$33,'Inputs'!$B$29+'Inputs'!$B$31+'Inputs'!$B$32,'Inputs'!$B$30+'Inputs'!$B$31+'Inputs'!$B$32)/1000+'Inputs'!$B$21)+'Inputs'!$B$9)^2+('Inputs'!$B$8/2)^2)-(((439-43)*MAX('Inputs'!$B$33,'Inputs'!$B$29+'Inputs'!$B$31+'Inputs'!$B$32,'Inputs'!$B$30+'Inputs'!$B$31+'Inputs'!$B$32)/1000+'Inputs'!$B$21))/SQRT((((439-43)*MAX('Inputs'!$B$33,'Inputs'!$B$29+'Inputs'!$B$31+'Inputs'!$B$32,'Inputs'!$B$30+'Inputs'!$B$31+'Inputs'!$B$32)/1000+'Inputs'!$B$21))^2+('Inputs'!$B$8/2)^2)))-'Results'!B7*(1-'Inputs'!$B$24)*(0.5*((((439-43)*MAX('Inputs'!$B$33,'Inputs'!$B$29+'Inputs'!$B$31+'Inputs'!$B$32,'Inputs'!$B$30+'Inputs'!$B$31+'Inputs'!$B$32)/1000+'Inputs'!$B$21+'Inputs'!$B$9+'Inputs'!$B$10)+'Inputs'!$B$7)/SQRT((((439-43)*MAX('Inputs'!$B$33,'Inputs'!$B$29+'Inputs'!$B$31+'Inputs'!$B$32,'Inputs'!$B$30+'Inputs'!$B$31+'Inputs'!$B$32)/1000+'Inputs'!$B$21+'Inputs'!$B$9+'Inputs'!$B$10)+'Inputs'!$B$7)^2+('Inputs'!$B$6/2)^2)-(((439-43)*MAX('Inputs'!$B$33,'Inputs'!$B$29+'Inputs'!$B$31+'Inputs'!$B$32,'Inputs'!$B$30+'Inputs'!$B$31+'Inputs'!$B$32)/1000+'Inputs'!$B$21+'Inputs'!$B$9+'Inputs'!$B$10))/SQRT((((439-43)*MAX('Inputs'!$B$33,'Inputs'!$B$29+'Inputs'!$B$31+'Inputs'!$B$32,'Inputs'!$B$30+'Inputs'!$B$31+'Inputs'!$B$32)/1000+'Inputs'!$B$21+'Inputs'!$B$9+'Inputs'!$B$10))^2+('Inputs'!$B$6/2)^2))))*'Results'!$B$8)+'Inputs'!$B$28*ABS((('Results'!C7*(1+'Inputs'!$B$24)*(0.5*((((439-43)*MAX('Inputs'!$B$33,'Inputs'!$B$29+'Inputs'!$B$31+'Inputs'!$B$32,'Inputs'!$B$30+'Inputs'!$B$31+'Inputs'!$B$32)/1000+'Inputs'!$B$21)+'Inputs'!$B$9)/SQRT((((439-43)*MAX('Inputs'!$B$33,'Inputs'!$B$29+'Inputs'!$B$31+'Inputs'!$B$32,'Inputs'!$B$30+'Inputs'!$B$31+'Inputs'!$B$32)/1000+'Inputs'!$B$21)+'Inputs'!$B$9)^2+('Inputs'!$B$8/2)^2)-(((439-43)*MAX('Inputs'!$B$33,'Inputs'!$B$29+'Inputs'!$B$31+'Inputs'!$B$32,'Inputs'!$B$30+'Inputs'!$B$31+'Inputs'!$B$32)/1000+'Inputs'!$B$21))/SQRT((((439-43)*MAX('Inputs'!$B$33,'Inputs'!$B$29+'Inputs'!$B$31+'Inputs'!$B$32,'Inputs'!$B$30+'Inputs'!$B$31+'Inputs'!$B$32)/1000+'Inputs'!$B$21))^2+('Inputs'!$B$8/2)^2)))-'Results'!B7*(1-'Inputs'!$B$24)*(0.5*((((439-43)*MAX('Inputs'!$B$33,'Inputs'!$B$29+'Inputs'!$B$31+'Inputs'!$B$32,'Inputs'!$B$30+'Inputs'!$B$31+'Inputs'!$B$32)/1000+'Inputs'!$B$21+'Inputs'!$B$9+'Inputs'!$B$10)+'Inputs'!$B$7)/SQRT((((439-43)*MAX('Inputs'!$B$33,'Inputs'!$B$29+'Inputs'!$B$31+'Inputs'!$B$32,'Inputs'!$B$30+'Inputs'!$B$31+'Inputs'!$B$32)/1000+'Inputs'!$B$21+'Inputs'!$B$9+'Inputs'!$B$10)+'Inputs'!$B$7)^2+('Inputs'!$B$6/2)^2)-(((439-43)*MAX('Inputs'!$B$33,'Inputs'!$B$29+'Inputs'!$B$31+'Inputs'!$B$32,'Inputs'!$B$30+'Inputs'!$B$31+'Inputs'!$B$32)/1000+'Inputs'!$B$21+'Inputs'!$B$9+'Inputs'!$B$10))/SQRT((((439-43)*MAX('Inputs'!$B$33,'Inputs'!$B$29+'Inputs'!$B$31+'Inputs'!$B$32,'Inputs'!$B$30+'Inputs'!$B$31+'Inputs'!$B$32)/1000+'Inputs'!$B$21+'Inputs'!$B$9+'Inputs'!$B$10))^2+('Inputs'!$B$6/2)^2))))*'Results'!$B$8))),"")</x:f>
        <x:v>9.591023286410426</x:v>
      </x:c>
      <x:c r="P439" t="n">
        <x:f>IF(AND(MAX(J439,J438)&gt;0,J439&gt;J438+0.00000001),1,0)</x:f>
        <x:v>0</x:v>
      </x:c>
      <x:c r="Q439" t="n">
        <x:f>IF(AND(MAX(K439,K438)&gt;0,K439&gt;K438+0.00000001),1,0)</x:f>
        <x:v>0</x:v>
      </x:c>
      <x:c r="R439" t="n">
        <x:f>IF(AND(MAX(L439,L438)&gt;0,L439&gt;L438+0.00000001),1,0)</x:f>
        <x:v>0</x:v>
      </x:c>
      <x:c r="S439" t="n">
        <x:f>IF(AND(MAX(M439,M438)&gt;0,M439&gt;M438+0.00000001),1,0)</x:f>
        <x:v>0</x:v>
      </x:c>
      <x:c r="T439" t="n">
        <x:f>IF(AND(MAX(N439,N438)&gt;0,N439&gt;N438+0.00000001),1,0)</x:f>
        <x:v>0</x:v>
      </x:c>
      <x:c r="U439" t="n">
        <x:f>IF(AND(MAX(O439,O438)&gt;0,O439&gt;O438+0.00000001),1,0)</x:f>
        <x:v>0</x:v>
      </x:c>
    </x:row>
    <x:row r="440">
      <x:c r="J440" t="n">
        <x:f>IF(AND(ISNUMBER('Results'!B7),ISNUMBER('Results'!C7),ISNUMBER('Results'!$B$8),ISNUMBER('Inputs'!$B$6),ISNUMBER('Inputs'!$B$7),ISNUMBER('Inputs'!$B$8),ISNUMBER('Inputs'!$B$9),ISNUMBER('Inputs'!$B$10),ISNUMBER('Inputs'!$B$21),ISNUMBER('Inputs'!$B$24),ISNUMBER('Inputs'!$B$28)),(('Results'!B7*(0.5*((((440-43)*MAX('Inputs'!$B$33,'Inputs'!$B$29+'Inputs'!$B$31+'Inputs'!$B$32,'Inputs'!$B$30+'Inputs'!$B$31+'Inputs'!$B$32)/1000+'Inputs'!$B$21)+'Inputs'!$B$7)/SQRT((((440-43)*MAX('Inputs'!$B$33,'Inputs'!$B$29+'Inputs'!$B$31+'Inputs'!$B$32,'Inputs'!$B$30+'Inputs'!$B$31+'Inputs'!$B$32)/1000+'Inputs'!$B$21)+'Inputs'!$B$7)^2+('Inputs'!$B$6/2)^2)-(((440-43)*MAX('Inputs'!$B$33,'Inputs'!$B$29+'Inputs'!$B$31+'Inputs'!$B$32,'Inputs'!$B$30+'Inputs'!$B$31+'Inputs'!$B$32)/1000+'Inputs'!$B$21))/SQRT((((440-43)*MAX('Inputs'!$B$33,'Inputs'!$B$29+'Inputs'!$B$31+'Inputs'!$B$32,'Inputs'!$B$30+'Inputs'!$B$31+'Inputs'!$B$32)/1000+'Inputs'!$B$21))^2+('Inputs'!$B$6/2)^2)))-'Results'!C7*(0.5*((((440-43)*MAX('Inputs'!$B$33,'Inputs'!$B$29+'Inputs'!$B$31+'Inputs'!$B$32,'Inputs'!$B$30+'Inputs'!$B$31+'Inputs'!$B$32)/1000+'Inputs'!$B$21+'Inputs'!$B$7+'Inputs'!$B$10)+'Inputs'!$B$9)/SQRT((((440-43)*MAX('Inputs'!$B$33,'Inputs'!$B$29+'Inputs'!$B$31+'Inputs'!$B$32,'Inputs'!$B$30+'Inputs'!$B$31+'Inputs'!$B$32)/1000+'Inputs'!$B$21+'Inputs'!$B$7+'Inputs'!$B$10)+'Inputs'!$B$9)^2+('Inputs'!$B$8/2)^2)-(((440-43)*MAX('Inputs'!$B$33,'Inputs'!$B$29+'Inputs'!$B$31+'Inputs'!$B$32,'Inputs'!$B$30+'Inputs'!$B$31+'Inputs'!$B$32)/1000+'Inputs'!$B$21+'Inputs'!$B$7+'Inputs'!$B$10))/SQRT((((440-43)*MAX('Inputs'!$B$33,'Inputs'!$B$29+'Inputs'!$B$31+'Inputs'!$B$32,'Inputs'!$B$30+'Inputs'!$B$31+'Inputs'!$B$32)/1000+'Inputs'!$B$21+'Inputs'!$B$7+'Inputs'!$B$10))^2+('Inputs'!$B$8/2)^2))))*'Results'!$B$8),"")</x:f>
        <x:v>9.06575798713359</x:v>
      </x:c>
      <x:c r="K440" t="n">
        <x:f>IF(AND(ISNUMBER('Results'!B7),ISNUMBER('Results'!C7),ISNUMBER('Results'!$B$8),ISNUMBER('Inputs'!$B$6),ISNUMBER('Inputs'!$B$7),ISNUMBER('Inputs'!$B$8),ISNUMBER('Inputs'!$B$9),ISNUMBER('Inputs'!$B$10),ISNUMBER('Inputs'!$B$21),ISNUMBER('Inputs'!$B$24),ISNUMBER('Inputs'!$B$28)),((('Results'!B7*(1-'Inputs'!$B$24)*(0.5*((((440-43)*MAX('Inputs'!$B$33,'Inputs'!$B$29+'Inputs'!$B$31+'Inputs'!$B$32,'Inputs'!$B$30+'Inputs'!$B$31+'Inputs'!$B$32)/1000+'Inputs'!$B$21)+'Inputs'!$B$7)/SQRT((((440-43)*MAX('Inputs'!$B$33,'Inputs'!$B$29+'Inputs'!$B$31+'Inputs'!$B$32,'Inputs'!$B$30+'Inputs'!$B$31+'Inputs'!$B$32)/1000+'Inputs'!$B$21)+'Inputs'!$B$7)^2+('Inputs'!$B$6/2)^2)-(((440-43)*MAX('Inputs'!$B$33,'Inputs'!$B$29+'Inputs'!$B$31+'Inputs'!$B$32,'Inputs'!$B$30+'Inputs'!$B$31+'Inputs'!$B$32)/1000+'Inputs'!$B$21))/SQRT((((440-43)*MAX('Inputs'!$B$33,'Inputs'!$B$29+'Inputs'!$B$31+'Inputs'!$B$32,'Inputs'!$B$30+'Inputs'!$B$31+'Inputs'!$B$32)/1000+'Inputs'!$B$21))^2+('Inputs'!$B$6/2)^2)))-'Results'!C7*(1+'Inputs'!$B$24)*(0.5*((((440-43)*MAX('Inputs'!$B$33,'Inputs'!$B$29+'Inputs'!$B$31+'Inputs'!$B$32,'Inputs'!$B$30+'Inputs'!$B$31+'Inputs'!$B$32)/1000+'Inputs'!$B$21+'Inputs'!$B$7+'Inputs'!$B$10)+'Inputs'!$B$9)/SQRT((((440-43)*MAX('Inputs'!$B$33,'Inputs'!$B$29+'Inputs'!$B$31+'Inputs'!$B$32,'Inputs'!$B$30+'Inputs'!$B$31+'Inputs'!$B$32)/1000+'Inputs'!$B$21+'Inputs'!$B$7+'Inputs'!$B$10)+'Inputs'!$B$9)^2+('Inputs'!$B$8/2)^2)-(((440-43)*MAX('Inputs'!$B$33,'Inputs'!$B$29+'Inputs'!$B$31+'Inputs'!$B$32,'Inputs'!$B$30+'Inputs'!$B$31+'Inputs'!$B$32)/1000+'Inputs'!$B$21+'Inputs'!$B$7+'Inputs'!$B$10))/SQRT((((440-43)*MAX('Inputs'!$B$33,'Inputs'!$B$29+'Inputs'!$B$31+'Inputs'!$B$32,'Inputs'!$B$30+'Inputs'!$B$31+'Inputs'!$B$32)/1000+'Inputs'!$B$21+'Inputs'!$B$7+'Inputs'!$B$10))^2+('Inputs'!$B$8/2)^2))))*'Results'!$B$8)-'Inputs'!$B$28*ABS((('Results'!B7*(1-'Inputs'!$B$24)*(0.5*((((440-43)*MAX('Inputs'!$B$33,'Inputs'!$B$29+'Inputs'!$B$31+'Inputs'!$B$32,'Inputs'!$B$30+'Inputs'!$B$31+'Inputs'!$B$32)/1000+'Inputs'!$B$21)+'Inputs'!$B$7)/SQRT((((440-43)*MAX('Inputs'!$B$33,'Inputs'!$B$29+'Inputs'!$B$31+'Inputs'!$B$32,'Inputs'!$B$30+'Inputs'!$B$31+'Inputs'!$B$32)/1000+'Inputs'!$B$21)+'Inputs'!$B$7)^2+('Inputs'!$B$6/2)^2)-(((440-43)*MAX('Inputs'!$B$33,'Inputs'!$B$29+'Inputs'!$B$31+'Inputs'!$B$32,'Inputs'!$B$30+'Inputs'!$B$31+'Inputs'!$B$32)/1000+'Inputs'!$B$21))/SQRT((((440-43)*MAX('Inputs'!$B$33,'Inputs'!$B$29+'Inputs'!$B$31+'Inputs'!$B$32,'Inputs'!$B$30+'Inputs'!$B$31+'Inputs'!$B$32)/1000+'Inputs'!$B$21))^2+('Inputs'!$B$6/2)^2)))-'Results'!C7*(1+'Inputs'!$B$24)*(0.5*((((440-43)*MAX('Inputs'!$B$33,'Inputs'!$B$29+'Inputs'!$B$31+'Inputs'!$B$32,'Inputs'!$B$30+'Inputs'!$B$31+'Inputs'!$B$32)/1000+'Inputs'!$B$21+'Inputs'!$B$7+'Inputs'!$B$10)+'Inputs'!$B$9)/SQRT((((440-43)*MAX('Inputs'!$B$33,'Inputs'!$B$29+'Inputs'!$B$31+'Inputs'!$B$32,'Inputs'!$B$30+'Inputs'!$B$31+'Inputs'!$B$32)/1000+'Inputs'!$B$21+'Inputs'!$B$7+'Inputs'!$B$10)+'Inputs'!$B$9)^2+('Inputs'!$B$8/2)^2)-(((440-43)*MAX('Inputs'!$B$33,'Inputs'!$B$29+'Inputs'!$B$31+'Inputs'!$B$32,'Inputs'!$B$30+'Inputs'!$B$31+'Inputs'!$B$32)/1000+'Inputs'!$B$21+'Inputs'!$B$7+'Inputs'!$B$10))/SQRT((((440-43)*MAX('Inputs'!$B$33,'Inputs'!$B$29+'Inputs'!$B$31+'Inputs'!$B$32,'Inputs'!$B$30+'Inputs'!$B$31+'Inputs'!$B$32)/1000+'Inputs'!$B$21+'Inputs'!$B$7+'Inputs'!$B$10))^2+('Inputs'!$B$8/2)^2))))*'Results'!$B$8))),"")</x:f>
        <x:v>8.120116493797934</x:v>
      </x:c>
      <x:c r="L440" t="n">
        <x:f>IF(AND(ISNUMBER('Results'!B7),ISNUMBER('Results'!C7),ISNUMBER('Results'!$B$8),ISNUMBER('Inputs'!$B$6),ISNUMBER('Inputs'!$B$7),ISNUMBER('Inputs'!$B$8),ISNUMBER('Inputs'!$B$9),ISNUMBER('Inputs'!$B$10),ISNUMBER('Inputs'!$B$21),ISNUMBER('Inputs'!$B$24),ISNUMBER('Inputs'!$B$28)),((('Results'!B7*(1+'Inputs'!$B$24)*(0.5*((((440-43)*MAX('Inputs'!$B$33,'Inputs'!$B$29+'Inputs'!$B$31+'Inputs'!$B$32,'Inputs'!$B$30+'Inputs'!$B$31+'Inputs'!$B$32)/1000+'Inputs'!$B$21)+'Inputs'!$B$7)/SQRT((((440-43)*MAX('Inputs'!$B$33,'Inputs'!$B$29+'Inputs'!$B$31+'Inputs'!$B$32,'Inputs'!$B$30+'Inputs'!$B$31+'Inputs'!$B$32)/1000+'Inputs'!$B$21)+'Inputs'!$B$7)^2+('Inputs'!$B$6/2)^2)-(((440-43)*MAX('Inputs'!$B$33,'Inputs'!$B$29+'Inputs'!$B$31+'Inputs'!$B$32,'Inputs'!$B$30+'Inputs'!$B$31+'Inputs'!$B$32)/1000+'Inputs'!$B$21))/SQRT((((440-43)*MAX('Inputs'!$B$33,'Inputs'!$B$29+'Inputs'!$B$31+'Inputs'!$B$32,'Inputs'!$B$30+'Inputs'!$B$31+'Inputs'!$B$32)/1000+'Inputs'!$B$21))^2+('Inputs'!$B$6/2)^2)))-'Results'!C7*(1-'Inputs'!$B$24)*(0.5*((((440-43)*MAX('Inputs'!$B$33,'Inputs'!$B$29+'Inputs'!$B$31+'Inputs'!$B$32,'Inputs'!$B$30+'Inputs'!$B$31+'Inputs'!$B$32)/1000+'Inputs'!$B$21+'Inputs'!$B$7+'Inputs'!$B$10)+'Inputs'!$B$9)/SQRT((((440-43)*MAX('Inputs'!$B$33,'Inputs'!$B$29+'Inputs'!$B$31+'Inputs'!$B$32,'Inputs'!$B$30+'Inputs'!$B$31+'Inputs'!$B$32)/1000+'Inputs'!$B$21+'Inputs'!$B$7+'Inputs'!$B$10)+'Inputs'!$B$9)^2+('Inputs'!$B$8/2)^2)-(((440-43)*MAX('Inputs'!$B$33,'Inputs'!$B$29+'Inputs'!$B$31+'Inputs'!$B$32,'Inputs'!$B$30+'Inputs'!$B$31+'Inputs'!$B$32)/1000+'Inputs'!$B$21+'Inputs'!$B$7+'Inputs'!$B$10))/SQRT((((440-43)*MAX('Inputs'!$B$33,'Inputs'!$B$29+'Inputs'!$B$31+'Inputs'!$B$32,'Inputs'!$B$30+'Inputs'!$B$31+'Inputs'!$B$32)/1000+'Inputs'!$B$21+'Inputs'!$B$7+'Inputs'!$B$10))^2+('Inputs'!$B$8/2)^2))))*'Results'!$B$8)+'Inputs'!$B$28*ABS((('Results'!B7*(1+'Inputs'!$B$24)*(0.5*((((440-43)*MAX('Inputs'!$B$33,'Inputs'!$B$29+'Inputs'!$B$31+'Inputs'!$B$32,'Inputs'!$B$30+'Inputs'!$B$31+'Inputs'!$B$32)/1000+'Inputs'!$B$21)+'Inputs'!$B$7)/SQRT((((440-43)*MAX('Inputs'!$B$33,'Inputs'!$B$29+'Inputs'!$B$31+'Inputs'!$B$32,'Inputs'!$B$30+'Inputs'!$B$31+'Inputs'!$B$32)/1000+'Inputs'!$B$21)+'Inputs'!$B$7)^2+('Inputs'!$B$6/2)^2)-(((440-43)*MAX('Inputs'!$B$33,'Inputs'!$B$29+'Inputs'!$B$31+'Inputs'!$B$32,'Inputs'!$B$30+'Inputs'!$B$31+'Inputs'!$B$32)/1000+'Inputs'!$B$21))/SQRT((((440-43)*MAX('Inputs'!$B$33,'Inputs'!$B$29+'Inputs'!$B$31+'Inputs'!$B$32,'Inputs'!$B$30+'Inputs'!$B$31+'Inputs'!$B$32)/1000+'Inputs'!$B$21))^2+('Inputs'!$B$6/2)^2)))-'Results'!C7*(1-'Inputs'!$B$24)*(0.5*((((440-43)*MAX('Inputs'!$B$33,'Inputs'!$B$29+'Inputs'!$B$31+'Inputs'!$B$32,'Inputs'!$B$30+'Inputs'!$B$31+'Inputs'!$B$32)/1000+'Inputs'!$B$21+'Inputs'!$B$7+'Inputs'!$B$10)+'Inputs'!$B$9)/SQRT((((440-43)*MAX('Inputs'!$B$33,'Inputs'!$B$29+'Inputs'!$B$31+'Inputs'!$B$32,'Inputs'!$B$30+'Inputs'!$B$31+'Inputs'!$B$32)/1000+'Inputs'!$B$21+'Inputs'!$B$7+'Inputs'!$B$10)+'Inputs'!$B$9)^2+('Inputs'!$B$8/2)^2)-(((440-43)*MAX('Inputs'!$B$33,'Inputs'!$B$29+'Inputs'!$B$31+'Inputs'!$B$32,'Inputs'!$B$30+'Inputs'!$B$31+'Inputs'!$B$32)/1000+'Inputs'!$B$21+'Inputs'!$B$7+'Inputs'!$B$10))/SQRT((((440-43)*MAX('Inputs'!$B$33,'Inputs'!$B$29+'Inputs'!$B$31+'Inputs'!$B$32,'Inputs'!$B$30+'Inputs'!$B$31+'Inputs'!$B$32)/1000+'Inputs'!$B$21+'Inputs'!$B$7+'Inputs'!$B$10))^2+('Inputs'!$B$8/2)^2))))*'Results'!$B$8))),"")</x:f>
        <x:v>10.063226174572302</x:v>
      </x:c>
      <x:c r="M440" t="n">
        <x:f>IF(AND(ISNUMBER('Results'!C7),ISNUMBER('Results'!B7),ISNUMBER('Results'!$B$8),ISNUMBER('Inputs'!$B$6),ISNUMBER('Inputs'!$B$7),ISNUMBER('Inputs'!$B$8),ISNUMBER('Inputs'!$B$9),ISNUMBER('Inputs'!$B$10),ISNUMBER('Inputs'!$B$21),ISNUMBER('Inputs'!$B$24),ISNUMBER('Inputs'!$B$28)),(('Results'!C7*(0.5*((((440-43)*MAX('Inputs'!$B$33,'Inputs'!$B$29+'Inputs'!$B$31+'Inputs'!$B$32,'Inputs'!$B$30+'Inputs'!$B$31+'Inputs'!$B$32)/1000+'Inputs'!$B$21)+'Inputs'!$B$9)/SQRT((((440-43)*MAX('Inputs'!$B$33,'Inputs'!$B$29+'Inputs'!$B$31+'Inputs'!$B$32,'Inputs'!$B$30+'Inputs'!$B$31+'Inputs'!$B$32)/1000+'Inputs'!$B$21)+'Inputs'!$B$9)^2+('Inputs'!$B$8/2)^2)-(((440-43)*MAX('Inputs'!$B$33,'Inputs'!$B$29+'Inputs'!$B$31+'Inputs'!$B$32,'Inputs'!$B$30+'Inputs'!$B$31+'Inputs'!$B$32)/1000+'Inputs'!$B$21))/SQRT((((440-43)*MAX('Inputs'!$B$33,'Inputs'!$B$29+'Inputs'!$B$31+'Inputs'!$B$32,'Inputs'!$B$30+'Inputs'!$B$31+'Inputs'!$B$32)/1000+'Inputs'!$B$21))^2+('Inputs'!$B$8/2)^2)))-'Results'!B7*(0.5*((((440-43)*MAX('Inputs'!$B$33,'Inputs'!$B$29+'Inputs'!$B$31+'Inputs'!$B$32,'Inputs'!$B$30+'Inputs'!$B$31+'Inputs'!$B$32)/1000+'Inputs'!$B$21+'Inputs'!$B$9+'Inputs'!$B$10)+'Inputs'!$B$7)/SQRT((((440-43)*MAX('Inputs'!$B$33,'Inputs'!$B$29+'Inputs'!$B$31+'Inputs'!$B$32,'Inputs'!$B$30+'Inputs'!$B$31+'Inputs'!$B$32)/1000+'Inputs'!$B$21+'Inputs'!$B$9+'Inputs'!$B$10)+'Inputs'!$B$7)^2+('Inputs'!$B$6/2)^2)-(((440-43)*MAX('Inputs'!$B$33,'Inputs'!$B$29+'Inputs'!$B$31+'Inputs'!$B$32,'Inputs'!$B$30+'Inputs'!$B$31+'Inputs'!$B$32)/1000+'Inputs'!$B$21+'Inputs'!$B$9+'Inputs'!$B$10))/SQRT((((440-43)*MAX('Inputs'!$B$33,'Inputs'!$B$29+'Inputs'!$B$31+'Inputs'!$B$32,'Inputs'!$B$30+'Inputs'!$B$31+'Inputs'!$B$32)/1000+'Inputs'!$B$21+'Inputs'!$B$9+'Inputs'!$B$10))^2+('Inputs'!$B$6/2)^2))))*'Results'!$B$8),"")</x:f>
        <x:v>8.544052762620561</x:v>
      </x:c>
      <x:c r="N440" t="n">
        <x:f>IF(AND(ISNUMBER('Results'!C7),ISNUMBER('Results'!B7),ISNUMBER('Results'!$B$8),ISNUMBER('Inputs'!$B$6),ISNUMBER('Inputs'!$B$7),ISNUMBER('Inputs'!$B$8),ISNUMBER('Inputs'!$B$9),ISNUMBER('Inputs'!$B$10),ISNUMBER('Inputs'!$B$21),ISNUMBER('Inputs'!$B$24),ISNUMBER('Inputs'!$B$28)),((('Results'!C7*(1-'Inputs'!$B$24)*(0.5*((((440-43)*MAX('Inputs'!$B$33,'Inputs'!$B$29+'Inputs'!$B$31+'Inputs'!$B$32,'Inputs'!$B$30+'Inputs'!$B$31+'Inputs'!$B$32)/1000+'Inputs'!$B$21)+'Inputs'!$B$9)/SQRT((((440-43)*MAX('Inputs'!$B$33,'Inputs'!$B$29+'Inputs'!$B$31+'Inputs'!$B$32,'Inputs'!$B$30+'Inputs'!$B$31+'Inputs'!$B$32)/1000+'Inputs'!$B$21)+'Inputs'!$B$9)^2+('Inputs'!$B$8/2)^2)-(((440-43)*MAX('Inputs'!$B$33,'Inputs'!$B$29+'Inputs'!$B$31+'Inputs'!$B$32,'Inputs'!$B$30+'Inputs'!$B$31+'Inputs'!$B$32)/1000+'Inputs'!$B$21))/SQRT((((440-43)*MAX('Inputs'!$B$33,'Inputs'!$B$29+'Inputs'!$B$31+'Inputs'!$B$32,'Inputs'!$B$30+'Inputs'!$B$31+'Inputs'!$B$32)/1000+'Inputs'!$B$21))^2+('Inputs'!$B$8/2)^2)))-'Results'!B7*(1+'Inputs'!$B$24)*(0.5*((((440-43)*MAX('Inputs'!$B$33,'Inputs'!$B$29+'Inputs'!$B$31+'Inputs'!$B$32,'Inputs'!$B$30+'Inputs'!$B$31+'Inputs'!$B$32)/1000+'Inputs'!$B$21+'Inputs'!$B$9+'Inputs'!$B$10)+'Inputs'!$B$7)/SQRT((((440-43)*MAX('Inputs'!$B$33,'Inputs'!$B$29+'Inputs'!$B$31+'Inputs'!$B$32,'Inputs'!$B$30+'Inputs'!$B$31+'Inputs'!$B$32)/1000+'Inputs'!$B$21+'Inputs'!$B$9+'Inputs'!$B$10)+'Inputs'!$B$7)^2+('Inputs'!$B$6/2)^2)-(((440-43)*MAX('Inputs'!$B$33,'Inputs'!$B$29+'Inputs'!$B$31+'Inputs'!$B$32,'Inputs'!$B$30+'Inputs'!$B$31+'Inputs'!$B$32)/1000+'Inputs'!$B$21+'Inputs'!$B$9+'Inputs'!$B$10))/SQRT((((440-43)*MAX('Inputs'!$B$33,'Inputs'!$B$29+'Inputs'!$B$31+'Inputs'!$B$32,'Inputs'!$B$30+'Inputs'!$B$31+'Inputs'!$B$32)/1000+'Inputs'!$B$21+'Inputs'!$B$9+'Inputs'!$B$10))^2+('Inputs'!$B$6/2)^2))))*'Results'!$B$8)-'Inputs'!$B$28*ABS((('Results'!C7*(1-'Inputs'!$B$24)*(0.5*((((440-43)*MAX('Inputs'!$B$33,'Inputs'!$B$29+'Inputs'!$B$31+'Inputs'!$B$32,'Inputs'!$B$30+'Inputs'!$B$31+'Inputs'!$B$32)/1000+'Inputs'!$B$21)+'Inputs'!$B$9)/SQRT((((440-43)*MAX('Inputs'!$B$33,'Inputs'!$B$29+'Inputs'!$B$31+'Inputs'!$B$32,'Inputs'!$B$30+'Inputs'!$B$31+'Inputs'!$B$32)/1000+'Inputs'!$B$21)+'Inputs'!$B$9)^2+('Inputs'!$B$8/2)^2)-(((440-43)*MAX('Inputs'!$B$33,'Inputs'!$B$29+'Inputs'!$B$31+'Inputs'!$B$32,'Inputs'!$B$30+'Inputs'!$B$31+'Inputs'!$B$32)/1000+'Inputs'!$B$21))/SQRT((((440-43)*MAX('Inputs'!$B$33,'Inputs'!$B$29+'Inputs'!$B$31+'Inputs'!$B$32,'Inputs'!$B$30+'Inputs'!$B$31+'Inputs'!$B$32)/1000+'Inputs'!$B$21))^2+('Inputs'!$B$8/2)^2)))-'Results'!B7*(1+'Inputs'!$B$24)*(0.5*((((440-43)*MAX('Inputs'!$B$33,'Inputs'!$B$29+'Inputs'!$B$31+'Inputs'!$B$32,'Inputs'!$B$30+'Inputs'!$B$31+'Inputs'!$B$32)/1000+'Inputs'!$B$21+'Inputs'!$B$9+'Inputs'!$B$10)+'Inputs'!$B$7)/SQRT((((440-43)*MAX('Inputs'!$B$33,'Inputs'!$B$29+'Inputs'!$B$31+'Inputs'!$B$32,'Inputs'!$B$30+'Inputs'!$B$31+'Inputs'!$B$32)/1000+'Inputs'!$B$21+'Inputs'!$B$9+'Inputs'!$B$10)+'Inputs'!$B$7)^2+('Inputs'!$B$6/2)^2)-(((440-43)*MAX('Inputs'!$B$33,'Inputs'!$B$29+'Inputs'!$B$31+'Inputs'!$B$32,'Inputs'!$B$30+'Inputs'!$B$31+'Inputs'!$B$32)/1000+'Inputs'!$B$21+'Inputs'!$B$9+'Inputs'!$B$10))/SQRT((((440-43)*MAX('Inputs'!$B$33,'Inputs'!$B$29+'Inputs'!$B$31+'Inputs'!$B$32,'Inputs'!$B$30+'Inputs'!$B$31+'Inputs'!$B$32)/1000+'Inputs'!$B$21+'Inputs'!$B$9+'Inputs'!$B$10))^2+('Inputs'!$B$6/2)^2))))*'Results'!$B$8))),"")</x:f>
        <x:v>7.627876191159494</x:v>
      </x:c>
      <x:c r="O440" t="n">
        <x:f>IF(AND(ISNUMBER('Results'!C7),ISNUMBER('Results'!B7),ISNUMBER('Results'!$B$8),ISNUMBER('Inputs'!$B$6),ISNUMBER('Inputs'!$B$7),ISNUMBER('Inputs'!$B$8),ISNUMBER('Inputs'!$B$9),ISNUMBER('Inputs'!$B$10),ISNUMBER('Inputs'!$B$21),ISNUMBER('Inputs'!$B$24),ISNUMBER('Inputs'!$B$28)),((('Results'!C7*(1+'Inputs'!$B$24)*(0.5*((((440-43)*MAX('Inputs'!$B$33,'Inputs'!$B$29+'Inputs'!$B$31+'Inputs'!$B$32,'Inputs'!$B$30+'Inputs'!$B$31+'Inputs'!$B$32)/1000+'Inputs'!$B$21)+'Inputs'!$B$9)/SQRT((((440-43)*MAX('Inputs'!$B$33,'Inputs'!$B$29+'Inputs'!$B$31+'Inputs'!$B$32,'Inputs'!$B$30+'Inputs'!$B$31+'Inputs'!$B$32)/1000+'Inputs'!$B$21)+'Inputs'!$B$9)^2+('Inputs'!$B$8/2)^2)-(((440-43)*MAX('Inputs'!$B$33,'Inputs'!$B$29+'Inputs'!$B$31+'Inputs'!$B$32,'Inputs'!$B$30+'Inputs'!$B$31+'Inputs'!$B$32)/1000+'Inputs'!$B$21))/SQRT((((440-43)*MAX('Inputs'!$B$33,'Inputs'!$B$29+'Inputs'!$B$31+'Inputs'!$B$32,'Inputs'!$B$30+'Inputs'!$B$31+'Inputs'!$B$32)/1000+'Inputs'!$B$21))^2+('Inputs'!$B$8/2)^2)))-'Results'!B7*(1-'Inputs'!$B$24)*(0.5*((((440-43)*MAX('Inputs'!$B$33,'Inputs'!$B$29+'Inputs'!$B$31+'Inputs'!$B$32,'Inputs'!$B$30+'Inputs'!$B$31+'Inputs'!$B$32)/1000+'Inputs'!$B$21+'Inputs'!$B$9+'Inputs'!$B$10)+'Inputs'!$B$7)/SQRT((((440-43)*MAX('Inputs'!$B$33,'Inputs'!$B$29+'Inputs'!$B$31+'Inputs'!$B$32,'Inputs'!$B$30+'Inputs'!$B$31+'Inputs'!$B$32)/1000+'Inputs'!$B$21+'Inputs'!$B$9+'Inputs'!$B$10)+'Inputs'!$B$7)^2+('Inputs'!$B$6/2)^2)-(((440-43)*MAX('Inputs'!$B$33,'Inputs'!$B$29+'Inputs'!$B$31+'Inputs'!$B$32,'Inputs'!$B$30+'Inputs'!$B$31+'Inputs'!$B$32)/1000+'Inputs'!$B$21+'Inputs'!$B$9+'Inputs'!$B$10))/SQRT((((440-43)*MAX('Inputs'!$B$33,'Inputs'!$B$29+'Inputs'!$B$31+'Inputs'!$B$32,'Inputs'!$B$30+'Inputs'!$B$31+'Inputs'!$B$32)/1000+'Inputs'!$B$21+'Inputs'!$B$9+'Inputs'!$B$10))^2+('Inputs'!$B$6/2)^2))))*'Results'!$B$8)+'Inputs'!$B$28*ABS((('Results'!C7*(1+'Inputs'!$B$24)*(0.5*((((440-43)*MAX('Inputs'!$B$33,'Inputs'!$B$29+'Inputs'!$B$31+'Inputs'!$B$32,'Inputs'!$B$30+'Inputs'!$B$31+'Inputs'!$B$32)/1000+'Inputs'!$B$21)+'Inputs'!$B$9)/SQRT((((440-43)*MAX('Inputs'!$B$33,'Inputs'!$B$29+'Inputs'!$B$31+'Inputs'!$B$32,'Inputs'!$B$30+'Inputs'!$B$31+'Inputs'!$B$32)/1000+'Inputs'!$B$21)+'Inputs'!$B$9)^2+('Inputs'!$B$8/2)^2)-(((440-43)*MAX('Inputs'!$B$33,'Inputs'!$B$29+'Inputs'!$B$31+'Inputs'!$B$32,'Inputs'!$B$30+'Inputs'!$B$31+'Inputs'!$B$32)/1000+'Inputs'!$B$21))/SQRT((((440-43)*MAX('Inputs'!$B$33,'Inputs'!$B$29+'Inputs'!$B$31+'Inputs'!$B$32,'Inputs'!$B$30+'Inputs'!$B$31+'Inputs'!$B$32)/1000+'Inputs'!$B$21))^2+('Inputs'!$B$8/2)^2)))-'Results'!B7*(1-'Inputs'!$B$24)*(0.5*((((440-43)*MAX('Inputs'!$B$33,'Inputs'!$B$29+'Inputs'!$B$31+'Inputs'!$B$32,'Inputs'!$B$30+'Inputs'!$B$31+'Inputs'!$B$32)/1000+'Inputs'!$B$21+'Inputs'!$B$9+'Inputs'!$B$10)+'Inputs'!$B$7)/SQRT((((440-43)*MAX('Inputs'!$B$33,'Inputs'!$B$29+'Inputs'!$B$31+'Inputs'!$B$32,'Inputs'!$B$30+'Inputs'!$B$31+'Inputs'!$B$32)/1000+'Inputs'!$B$21+'Inputs'!$B$9+'Inputs'!$B$10)+'Inputs'!$B$7)^2+('Inputs'!$B$6/2)^2)-(((440-43)*MAX('Inputs'!$B$33,'Inputs'!$B$29+'Inputs'!$B$31+'Inputs'!$B$32,'Inputs'!$B$30+'Inputs'!$B$31+'Inputs'!$B$32)/1000+'Inputs'!$B$21+'Inputs'!$B$9+'Inputs'!$B$10))/SQRT((((440-43)*MAX('Inputs'!$B$33,'Inputs'!$B$29+'Inputs'!$B$31+'Inputs'!$B$32,'Inputs'!$B$30+'Inputs'!$B$31+'Inputs'!$B$32)/1000+'Inputs'!$B$21+'Inputs'!$B$9+'Inputs'!$B$10))^2+('Inputs'!$B$6/2)^2))))*'Results'!$B$8))),"")</x:f>
        <x:v>9.511700274432153</x:v>
      </x:c>
      <x:c r="P440" t="n">
        <x:f>IF(AND(MAX(J440,J439)&gt;0,J440&gt;J439+0.00000001),1,0)</x:f>
        <x:v>0</x:v>
      </x:c>
      <x:c r="Q440" t="n">
        <x:f>IF(AND(MAX(K440,K439)&gt;0,K440&gt;K439+0.00000001),1,0)</x:f>
        <x:v>0</x:v>
      </x:c>
      <x:c r="R440" t="n">
        <x:f>IF(AND(MAX(L440,L439)&gt;0,L440&gt;L439+0.00000001),1,0)</x:f>
        <x:v>0</x:v>
      </x:c>
      <x:c r="S440" t="n">
        <x:f>IF(AND(MAX(M440,M439)&gt;0,M440&gt;M439+0.00000001),1,0)</x:f>
        <x:v>0</x:v>
      </x:c>
      <x:c r="T440" t="n">
        <x:f>IF(AND(MAX(N440,N439)&gt;0,N440&gt;N439+0.00000001),1,0)</x:f>
        <x:v>0</x:v>
      </x:c>
      <x:c r="U440" t="n">
        <x:f>IF(AND(MAX(O440,O439)&gt;0,O440&gt;O439+0.00000001),1,0)</x:f>
        <x:v>0</x:v>
      </x:c>
    </x:row>
    <x:row r="441">
      <x:c r="J441" t="n">
        <x:f>IF(AND(ISNUMBER('Results'!B7),ISNUMBER('Results'!C7),ISNUMBER('Results'!$B$8),ISNUMBER('Inputs'!$B$6),ISNUMBER('Inputs'!$B$7),ISNUMBER('Inputs'!$B$8),ISNUMBER('Inputs'!$B$9),ISNUMBER('Inputs'!$B$10),ISNUMBER('Inputs'!$B$21),ISNUMBER('Inputs'!$B$24),ISNUMBER('Inputs'!$B$28)),(('Results'!B7*(0.5*((((441-43)*MAX('Inputs'!$B$33,'Inputs'!$B$29+'Inputs'!$B$31+'Inputs'!$B$32,'Inputs'!$B$30+'Inputs'!$B$31+'Inputs'!$B$32)/1000+'Inputs'!$B$21)+'Inputs'!$B$7)/SQRT((((441-43)*MAX('Inputs'!$B$33,'Inputs'!$B$29+'Inputs'!$B$31+'Inputs'!$B$32,'Inputs'!$B$30+'Inputs'!$B$31+'Inputs'!$B$32)/1000+'Inputs'!$B$21)+'Inputs'!$B$7)^2+('Inputs'!$B$6/2)^2)-(((441-43)*MAX('Inputs'!$B$33,'Inputs'!$B$29+'Inputs'!$B$31+'Inputs'!$B$32,'Inputs'!$B$30+'Inputs'!$B$31+'Inputs'!$B$32)/1000+'Inputs'!$B$21))/SQRT((((441-43)*MAX('Inputs'!$B$33,'Inputs'!$B$29+'Inputs'!$B$31+'Inputs'!$B$32,'Inputs'!$B$30+'Inputs'!$B$31+'Inputs'!$B$32)/1000+'Inputs'!$B$21))^2+('Inputs'!$B$6/2)^2)))-'Results'!C7*(0.5*((((441-43)*MAX('Inputs'!$B$33,'Inputs'!$B$29+'Inputs'!$B$31+'Inputs'!$B$32,'Inputs'!$B$30+'Inputs'!$B$31+'Inputs'!$B$32)/1000+'Inputs'!$B$21+'Inputs'!$B$7+'Inputs'!$B$10)+'Inputs'!$B$9)/SQRT((((441-43)*MAX('Inputs'!$B$33,'Inputs'!$B$29+'Inputs'!$B$31+'Inputs'!$B$32,'Inputs'!$B$30+'Inputs'!$B$31+'Inputs'!$B$32)/1000+'Inputs'!$B$21+'Inputs'!$B$7+'Inputs'!$B$10)+'Inputs'!$B$9)^2+('Inputs'!$B$8/2)^2)-(((441-43)*MAX('Inputs'!$B$33,'Inputs'!$B$29+'Inputs'!$B$31+'Inputs'!$B$32,'Inputs'!$B$30+'Inputs'!$B$31+'Inputs'!$B$32)/1000+'Inputs'!$B$21+'Inputs'!$B$7+'Inputs'!$B$10))/SQRT((((441-43)*MAX('Inputs'!$B$33,'Inputs'!$B$29+'Inputs'!$B$31+'Inputs'!$B$32,'Inputs'!$B$30+'Inputs'!$B$31+'Inputs'!$B$32)/1000+'Inputs'!$B$21+'Inputs'!$B$7+'Inputs'!$B$10))^2+('Inputs'!$B$8/2)^2))))*'Results'!$B$8),"")</x:f>
        <x:v>8.990942770094001</x:v>
      </x:c>
      <x:c r="K441" t="n">
        <x:f>IF(AND(ISNUMBER('Results'!B7),ISNUMBER('Results'!C7),ISNUMBER('Results'!$B$8),ISNUMBER('Inputs'!$B$6),ISNUMBER('Inputs'!$B$7),ISNUMBER('Inputs'!$B$8),ISNUMBER('Inputs'!$B$9),ISNUMBER('Inputs'!$B$10),ISNUMBER('Inputs'!$B$21),ISNUMBER('Inputs'!$B$24),ISNUMBER('Inputs'!$B$28)),((('Results'!B7*(1-'Inputs'!$B$24)*(0.5*((((441-43)*MAX('Inputs'!$B$33,'Inputs'!$B$29+'Inputs'!$B$31+'Inputs'!$B$32,'Inputs'!$B$30+'Inputs'!$B$31+'Inputs'!$B$32)/1000+'Inputs'!$B$21)+'Inputs'!$B$7)/SQRT((((441-43)*MAX('Inputs'!$B$33,'Inputs'!$B$29+'Inputs'!$B$31+'Inputs'!$B$32,'Inputs'!$B$30+'Inputs'!$B$31+'Inputs'!$B$32)/1000+'Inputs'!$B$21)+'Inputs'!$B$7)^2+('Inputs'!$B$6/2)^2)-(((441-43)*MAX('Inputs'!$B$33,'Inputs'!$B$29+'Inputs'!$B$31+'Inputs'!$B$32,'Inputs'!$B$30+'Inputs'!$B$31+'Inputs'!$B$32)/1000+'Inputs'!$B$21))/SQRT((((441-43)*MAX('Inputs'!$B$33,'Inputs'!$B$29+'Inputs'!$B$31+'Inputs'!$B$32,'Inputs'!$B$30+'Inputs'!$B$31+'Inputs'!$B$32)/1000+'Inputs'!$B$21))^2+('Inputs'!$B$6/2)^2)))-'Results'!C7*(1+'Inputs'!$B$24)*(0.5*((((441-43)*MAX('Inputs'!$B$33,'Inputs'!$B$29+'Inputs'!$B$31+'Inputs'!$B$32,'Inputs'!$B$30+'Inputs'!$B$31+'Inputs'!$B$32)/1000+'Inputs'!$B$21+'Inputs'!$B$7+'Inputs'!$B$10)+'Inputs'!$B$9)/SQRT((((441-43)*MAX('Inputs'!$B$33,'Inputs'!$B$29+'Inputs'!$B$31+'Inputs'!$B$32,'Inputs'!$B$30+'Inputs'!$B$31+'Inputs'!$B$32)/1000+'Inputs'!$B$21+'Inputs'!$B$7+'Inputs'!$B$10)+'Inputs'!$B$9)^2+('Inputs'!$B$8/2)^2)-(((441-43)*MAX('Inputs'!$B$33,'Inputs'!$B$29+'Inputs'!$B$31+'Inputs'!$B$32,'Inputs'!$B$30+'Inputs'!$B$31+'Inputs'!$B$32)/1000+'Inputs'!$B$21+'Inputs'!$B$7+'Inputs'!$B$10))/SQRT((((441-43)*MAX('Inputs'!$B$33,'Inputs'!$B$29+'Inputs'!$B$31+'Inputs'!$B$32,'Inputs'!$B$30+'Inputs'!$B$31+'Inputs'!$B$32)/1000+'Inputs'!$B$21+'Inputs'!$B$7+'Inputs'!$B$10))^2+('Inputs'!$B$8/2)^2))))*'Results'!$B$8)-'Inputs'!$B$28*ABS((('Results'!B7*(1-'Inputs'!$B$24)*(0.5*((((441-43)*MAX('Inputs'!$B$33,'Inputs'!$B$29+'Inputs'!$B$31+'Inputs'!$B$32,'Inputs'!$B$30+'Inputs'!$B$31+'Inputs'!$B$32)/1000+'Inputs'!$B$21)+'Inputs'!$B$7)/SQRT((((441-43)*MAX('Inputs'!$B$33,'Inputs'!$B$29+'Inputs'!$B$31+'Inputs'!$B$32,'Inputs'!$B$30+'Inputs'!$B$31+'Inputs'!$B$32)/1000+'Inputs'!$B$21)+'Inputs'!$B$7)^2+('Inputs'!$B$6/2)^2)-(((441-43)*MAX('Inputs'!$B$33,'Inputs'!$B$29+'Inputs'!$B$31+'Inputs'!$B$32,'Inputs'!$B$30+'Inputs'!$B$31+'Inputs'!$B$32)/1000+'Inputs'!$B$21))/SQRT((((441-43)*MAX('Inputs'!$B$33,'Inputs'!$B$29+'Inputs'!$B$31+'Inputs'!$B$32,'Inputs'!$B$30+'Inputs'!$B$31+'Inputs'!$B$32)/1000+'Inputs'!$B$21))^2+('Inputs'!$B$6/2)^2)))-'Results'!C7*(1+'Inputs'!$B$24)*(0.5*((((441-43)*MAX('Inputs'!$B$33,'Inputs'!$B$29+'Inputs'!$B$31+'Inputs'!$B$32,'Inputs'!$B$30+'Inputs'!$B$31+'Inputs'!$B$32)/1000+'Inputs'!$B$21+'Inputs'!$B$7+'Inputs'!$B$10)+'Inputs'!$B$9)/SQRT((((441-43)*MAX('Inputs'!$B$33,'Inputs'!$B$29+'Inputs'!$B$31+'Inputs'!$B$32,'Inputs'!$B$30+'Inputs'!$B$31+'Inputs'!$B$32)/1000+'Inputs'!$B$21+'Inputs'!$B$7+'Inputs'!$B$10)+'Inputs'!$B$9)^2+('Inputs'!$B$8/2)^2)-(((441-43)*MAX('Inputs'!$B$33,'Inputs'!$B$29+'Inputs'!$B$31+'Inputs'!$B$32,'Inputs'!$B$30+'Inputs'!$B$31+'Inputs'!$B$32)/1000+'Inputs'!$B$21+'Inputs'!$B$7+'Inputs'!$B$10))/SQRT((((441-43)*MAX('Inputs'!$B$33,'Inputs'!$B$29+'Inputs'!$B$31+'Inputs'!$B$32,'Inputs'!$B$30+'Inputs'!$B$31+'Inputs'!$B$32)/1000+'Inputs'!$B$21+'Inputs'!$B$7+'Inputs'!$B$10))^2+('Inputs'!$B$8/2)^2))))*'Results'!$B$8))),"")</x:f>
        <x:v>8.052227374088575</x:v>
      </x:c>
      <x:c r="L441" t="n">
        <x:f>IF(AND(ISNUMBER('Results'!B7),ISNUMBER('Results'!C7),ISNUMBER('Results'!$B$8),ISNUMBER('Inputs'!$B$6),ISNUMBER('Inputs'!$B$7),ISNUMBER('Inputs'!$B$8),ISNUMBER('Inputs'!$B$9),ISNUMBER('Inputs'!$B$10),ISNUMBER('Inputs'!$B$21),ISNUMBER('Inputs'!$B$24),ISNUMBER('Inputs'!$B$28)),((('Results'!B7*(1+'Inputs'!$B$24)*(0.5*((((441-43)*MAX('Inputs'!$B$33,'Inputs'!$B$29+'Inputs'!$B$31+'Inputs'!$B$32,'Inputs'!$B$30+'Inputs'!$B$31+'Inputs'!$B$32)/1000+'Inputs'!$B$21)+'Inputs'!$B$7)/SQRT((((441-43)*MAX('Inputs'!$B$33,'Inputs'!$B$29+'Inputs'!$B$31+'Inputs'!$B$32,'Inputs'!$B$30+'Inputs'!$B$31+'Inputs'!$B$32)/1000+'Inputs'!$B$21)+'Inputs'!$B$7)^2+('Inputs'!$B$6/2)^2)-(((441-43)*MAX('Inputs'!$B$33,'Inputs'!$B$29+'Inputs'!$B$31+'Inputs'!$B$32,'Inputs'!$B$30+'Inputs'!$B$31+'Inputs'!$B$32)/1000+'Inputs'!$B$21))/SQRT((((441-43)*MAX('Inputs'!$B$33,'Inputs'!$B$29+'Inputs'!$B$31+'Inputs'!$B$32,'Inputs'!$B$30+'Inputs'!$B$31+'Inputs'!$B$32)/1000+'Inputs'!$B$21))^2+('Inputs'!$B$6/2)^2)))-'Results'!C7*(1-'Inputs'!$B$24)*(0.5*((((441-43)*MAX('Inputs'!$B$33,'Inputs'!$B$29+'Inputs'!$B$31+'Inputs'!$B$32,'Inputs'!$B$30+'Inputs'!$B$31+'Inputs'!$B$32)/1000+'Inputs'!$B$21+'Inputs'!$B$7+'Inputs'!$B$10)+'Inputs'!$B$9)/SQRT((((441-43)*MAX('Inputs'!$B$33,'Inputs'!$B$29+'Inputs'!$B$31+'Inputs'!$B$32,'Inputs'!$B$30+'Inputs'!$B$31+'Inputs'!$B$32)/1000+'Inputs'!$B$21+'Inputs'!$B$7+'Inputs'!$B$10)+'Inputs'!$B$9)^2+('Inputs'!$B$8/2)^2)-(((441-43)*MAX('Inputs'!$B$33,'Inputs'!$B$29+'Inputs'!$B$31+'Inputs'!$B$32,'Inputs'!$B$30+'Inputs'!$B$31+'Inputs'!$B$32)/1000+'Inputs'!$B$21+'Inputs'!$B$7+'Inputs'!$B$10))/SQRT((((441-43)*MAX('Inputs'!$B$33,'Inputs'!$B$29+'Inputs'!$B$31+'Inputs'!$B$32,'Inputs'!$B$30+'Inputs'!$B$31+'Inputs'!$B$32)/1000+'Inputs'!$B$21+'Inputs'!$B$7+'Inputs'!$B$10))^2+('Inputs'!$B$8/2)^2))))*'Results'!$B$8)+'Inputs'!$B$28*ABS((('Results'!B7*(1+'Inputs'!$B$24)*(0.5*((((441-43)*MAX('Inputs'!$B$33,'Inputs'!$B$29+'Inputs'!$B$31+'Inputs'!$B$32,'Inputs'!$B$30+'Inputs'!$B$31+'Inputs'!$B$32)/1000+'Inputs'!$B$21)+'Inputs'!$B$7)/SQRT((((441-43)*MAX('Inputs'!$B$33,'Inputs'!$B$29+'Inputs'!$B$31+'Inputs'!$B$32,'Inputs'!$B$30+'Inputs'!$B$31+'Inputs'!$B$32)/1000+'Inputs'!$B$21)+'Inputs'!$B$7)^2+('Inputs'!$B$6/2)^2)-(((441-43)*MAX('Inputs'!$B$33,'Inputs'!$B$29+'Inputs'!$B$31+'Inputs'!$B$32,'Inputs'!$B$30+'Inputs'!$B$31+'Inputs'!$B$32)/1000+'Inputs'!$B$21))/SQRT((((441-43)*MAX('Inputs'!$B$33,'Inputs'!$B$29+'Inputs'!$B$31+'Inputs'!$B$32,'Inputs'!$B$30+'Inputs'!$B$31+'Inputs'!$B$32)/1000+'Inputs'!$B$21))^2+('Inputs'!$B$6/2)^2)))-'Results'!C7*(1-'Inputs'!$B$24)*(0.5*((((441-43)*MAX('Inputs'!$B$33,'Inputs'!$B$29+'Inputs'!$B$31+'Inputs'!$B$32,'Inputs'!$B$30+'Inputs'!$B$31+'Inputs'!$B$32)/1000+'Inputs'!$B$21+'Inputs'!$B$7+'Inputs'!$B$10)+'Inputs'!$B$9)/SQRT((((441-43)*MAX('Inputs'!$B$33,'Inputs'!$B$29+'Inputs'!$B$31+'Inputs'!$B$32,'Inputs'!$B$30+'Inputs'!$B$31+'Inputs'!$B$32)/1000+'Inputs'!$B$21+'Inputs'!$B$7+'Inputs'!$B$10)+'Inputs'!$B$9)^2+('Inputs'!$B$8/2)^2)-(((441-43)*MAX('Inputs'!$B$33,'Inputs'!$B$29+'Inputs'!$B$31+'Inputs'!$B$32,'Inputs'!$B$30+'Inputs'!$B$31+'Inputs'!$B$32)/1000+'Inputs'!$B$21+'Inputs'!$B$7+'Inputs'!$B$10))/SQRT((((441-43)*MAX('Inputs'!$B$33,'Inputs'!$B$29+'Inputs'!$B$31+'Inputs'!$B$32,'Inputs'!$B$30+'Inputs'!$B$31+'Inputs'!$B$32)/1000+'Inputs'!$B$21+'Inputs'!$B$7+'Inputs'!$B$10))^2+('Inputs'!$B$8/2)^2))))*'Results'!$B$8))),"")</x:f>
        <x:v>9.981149561625825</x:v>
      </x:c>
      <x:c r="M441" t="n">
        <x:f>IF(AND(ISNUMBER('Results'!C7),ISNUMBER('Results'!B7),ISNUMBER('Results'!$B$8),ISNUMBER('Inputs'!$B$6),ISNUMBER('Inputs'!$B$7),ISNUMBER('Inputs'!$B$8),ISNUMBER('Inputs'!$B$9),ISNUMBER('Inputs'!$B$10),ISNUMBER('Inputs'!$B$21),ISNUMBER('Inputs'!$B$24),ISNUMBER('Inputs'!$B$28)),(('Results'!C7*(0.5*((((441-43)*MAX('Inputs'!$B$33,'Inputs'!$B$29+'Inputs'!$B$31+'Inputs'!$B$32,'Inputs'!$B$30+'Inputs'!$B$31+'Inputs'!$B$32)/1000+'Inputs'!$B$21)+'Inputs'!$B$9)/SQRT((((441-43)*MAX('Inputs'!$B$33,'Inputs'!$B$29+'Inputs'!$B$31+'Inputs'!$B$32,'Inputs'!$B$30+'Inputs'!$B$31+'Inputs'!$B$32)/1000+'Inputs'!$B$21)+'Inputs'!$B$9)^2+('Inputs'!$B$8/2)^2)-(((441-43)*MAX('Inputs'!$B$33,'Inputs'!$B$29+'Inputs'!$B$31+'Inputs'!$B$32,'Inputs'!$B$30+'Inputs'!$B$31+'Inputs'!$B$32)/1000+'Inputs'!$B$21))/SQRT((((441-43)*MAX('Inputs'!$B$33,'Inputs'!$B$29+'Inputs'!$B$31+'Inputs'!$B$32,'Inputs'!$B$30+'Inputs'!$B$31+'Inputs'!$B$32)/1000+'Inputs'!$B$21))^2+('Inputs'!$B$8/2)^2)))-'Results'!B7*(0.5*((((441-43)*MAX('Inputs'!$B$33,'Inputs'!$B$29+'Inputs'!$B$31+'Inputs'!$B$32,'Inputs'!$B$30+'Inputs'!$B$31+'Inputs'!$B$32)/1000+'Inputs'!$B$21+'Inputs'!$B$9+'Inputs'!$B$10)+'Inputs'!$B$7)/SQRT((((441-43)*MAX('Inputs'!$B$33,'Inputs'!$B$29+'Inputs'!$B$31+'Inputs'!$B$32,'Inputs'!$B$30+'Inputs'!$B$31+'Inputs'!$B$32)/1000+'Inputs'!$B$21+'Inputs'!$B$9+'Inputs'!$B$10)+'Inputs'!$B$7)^2+('Inputs'!$B$6/2)^2)-(((441-43)*MAX('Inputs'!$B$33,'Inputs'!$B$29+'Inputs'!$B$31+'Inputs'!$B$32,'Inputs'!$B$30+'Inputs'!$B$31+'Inputs'!$B$32)/1000+'Inputs'!$B$21+'Inputs'!$B$9+'Inputs'!$B$10))/SQRT((((441-43)*MAX('Inputs'!$B$33,'Inputs'!$B$29+'Inputs'!$B$31+'Inputs'!$B$32,'Inputs'!$B$30+'Inputs'!$B$31+'Inputs'!$B$32)/1000+'Inputs'!$B$21+'Inputs'!$B$9+'Inputs'!$B$10))^2+('Inputs'!$B$6/2)^2))))*'Results'!$B$8),"")</x:f>
        <x:v>8.472609477076386</x:v>
      </x:c>
      <x:c r="N441" t="n">
        <x:f>IF(AND(ISNUMBER('Results'!C7),ISNUMBER('Results'!B7),ISNUMBER('Results'!$B$8),ISNUMBER('Inputs'!$B$6),ISNUMBER('Inputs'!$B$7),ISNUMBER('Inputs'!$B$8),ISNUMBER('Inputs'!$B$9),ISNUMBER('Inputs'!$B$10),ISNUMBER('Inputs'!$B$21),ISNUMBER('Inputs'!$B$24),ISNUMBER('Inputs'!$B$28)),((('Results'!C7*(1-'Inputs'!$B$24)*(0.5*((((441-43)*MAX('Inputs'!$B$33,'Inputs'!$B$29+'Inputs'!$B$31+'Inputs'!$B$32,'Inputs'!$B$30+'Inputs'!$B$31+'Inputs'!$B$32)/1000+'Inputs'!$B$21)+'Inputs'!$B$9)/SQRT((((441-43)*MAX('Inputs'!$B$33,'Inputs'!$B$29+'Inputs'!$B$31+'Inputs'!$B$32,'Inputs'!$B$30+'Inputs'!$B$31+'Inputs'!$B$32)/1000+'Inputs'!$B$21)+'Inputs'!$B$9)^2+('Inputs'!$B$8/2)^2)-(((441-43)*MAX('Inputs'!$B$33,'Inputs'!$B$29+'Inputs'!$B$31+'Inputs'!$B$32,'Inputs'!$B$30+'Inputs'!$B$31+'Inputs'!$B$32)/1000+'Inputs'!$B$21))/SQRT((((441-43)*MAX('Inputs'!$B$33,'Inputs'!$B$29+'Inputs'!$B$31+'Inputs'!$B$32,'Inputs'!$B$30+'Inputs'!$B$31+'Inputs'!$B$32)/1000+'Inputs'!$B$21))^2+('Inputs'!$B$8/2)^2)))-'Results'!B7*(1+'Inputs'!$B$24)*(0.5*((((441-43)*MAX('Inputs'!$B$33,'Inputs'!$B$29+'Inputs'!$B$31+'Inputs'!$B$32,'Inputs'!$B$30+'Inputs'!$B$31+'Inputs'!$B$32)/1000+'Inputs'!$B$21+'Inputs'!$B$9+'Inputs'!$B$10)+'Inputs'!$B$7)/SQRT((((441-43)*MAX('Inputs'!$B$33,'Inputs'!$B$29+'Inputs'!$B$31+'Inputs'!$B$32,'Inputs'!$B$30+'Inputs'!$B$31+'Inputs'!$B$32)/1000+'Inputs'!$B$21+'Inputs'!$B$9+'Inputs'!$B$10)+'Inputs'!$B$7)^2+('Inputs'!$B$6/2)^2)-(((441-43)*MAX('Inputs'!$B$33,'Inputs'!$B$29+'Inputs'!$B$31+'Inputs'!$B$32,'Inputs'!$B$30+'Inputs'!$B$31+'Inputs'!$B$32)/1000+'Inputs'!$B$21+'Inputs'!$B$9+'Inputs'!$B$10))/SQRT((((441-43)*MAX('Inputs'!$B$33,'Inputs'!$B$29+'Inputs'!$B$31+'Inputs'!$B$32,'Inputs'!$B$30+'Inputs'!$B$31+'Inputs'!$B$32)/1000+'Inputs'!$B$21+'Inputs'!$B$9+'Inputs'!$B$10))^2+('Inputs'!$B$6/2)^2))))*'Results'!$B$8)-'Inputs'!$B$28*ABS((('Results'!C7*(1-'Inputs'!$B$24)*(0.5*((((441-43)*MAX('Inputs'!$B$33,'Inputs'!$B$29+'Inputs'!$B$31+'Inputs'!$B$32,'Inputs'!$B$30+'Inputs'!$B$31+'Inputs'!$B$32)/1000+'Inputs'!$B$21)+'Inputs'!$B$9)/SQRT((((441-43)*MAX('Inputs'!$B$33,'Inputs'!$B$29+'Inputs'!$B$31+'Inputs'!$B$32,'Inputs'!$B$30+'Inputs'!$B$31+'Inputs'!$B$32)/1000+'Inputs'!$B$21)+'Inputs'!$B$9)^2+('Inputs'!$B$8/2)^2)-(((441-43)*MAX('Inputs'!$B$33,'Inputs'!$B$29+'Inputs'!$B$31+'Inputs'!$B$32,'Inputs'!$B$30+'Inputs'!$B$31+'Inputs'!$B$32)/1000+'Inputs'!$B$21))/SQRT((((441-43)*MAX('Inputs'!$B$33,'Inputs'!$B$29+'Inputs'!$B$31+'Inputs'!$B$32,'Inputs'!$B$30+'Inputs'!$B$31+'Inputs'!$B$32)/1000+'Inputs'!$B$21))^2+('Inputs'!$B$8/2)^2)))-'Results'!B7*(1+'Inputs'!$B$24)*(0.5*((((441-43)*MAX('Inputs'!$B$33,'Inputs'!$B$29+'Inputs'!$B$31+'Inputs'!$B$32,'Inputs'!$B$30+'Inputs'!$B$31+'Inputs'!$B$32)/1000+'Inputs'!$B$21+'Inputs'!$B$9+'Inputs'!$B$10)+'Inputs'!$B$7)/SQRT((((441-43)*MAX('Inputs'!$B$33,'Inputs'!$B$29+'Inputs'!$B$31+'Inputs'!$B$32,'Inputs'!$B$30+'Inputs'!$B$31+'Inputs'!$B$32)/1000+'Inputs'!$B$21+'Inputs'!$B$9+'Inputs'!$B$10)+'Inputs'!$B$7)^2+('Inputs'!$B$6/2)^2)-(((441-43)*MAX('Inputs'!$B$33,'Inputs'!$B$29+'Inputs'!$B$31+'Inputs'!$B$32,'Inputs'!$B$30+'Inputs'!$B$31+'Inputs'!$B$32)/1000+'Inputs'!$B$21+'Inputs'!$B$9+'Inputs'!$B$10))/SQRT((((441-43)*MAX('Inputs'!$B$33,'Inputs'!$B$29+'Inputs'!$B$31+'Inputs'!$B$32,'Inputs'!$B$30+'Inputs'!$B$31+'Inputs'!$B$32)/1000+'Inputs'!$B$21+'Inputs'!$B$9+'Inputs'!$B$10))^2+('Inputs'!$B$6/2)^2))))*'Results'!$B$8))),"")</x:f>
        <x:v>7.563162336557156</x:v>
      </x:c>
      <x:c r="O441" t="n">
        <x:f>IF(AND(ISNUMBER('Results'!C7),ISNUMBER('Results'!B7),ISNUMBER('Results'!$B$8),ISNUMBER('Inputs'!$B$6),ISNUMBER('Inputs'!$B$7),ISNUMBER('Inputs'!$B$8),ISNUMBER('Inputs'!$B$9),ISNUMBER('Inputs'!$B$10),ISNUMBER('Inputs'!$B$21),ISNUMBER('Inputs'!$B$24),ISNUMBER('Inputs'!$B$28)),((('Results'!C7*(1+'Inputs'!$B$24)*(0.5*((((441-43)*MAX('Inputs'!$B$33,'Inputs'!$B$29+'Inputs'!$B$31+'Inputs'!$B$32,'Inputs'!$B$30+'Inputs'!$B$31+'Inputs'!$B$32)/1000+'Inputs'!$B$21)+'Inputs'!$B$9)/SQRT((((441-43)*MAX('Inputs'!$B$33,'Inputs'!$B$29+'Inputs'!$B$31+'Inputs'!$B$32,'Inputs'!$B$30+'Inputs'!$B$31+'Inputs'!$B$32)/1000+'Inputs'!$B$21)+'Inputs'!$B$9)^2+('Inputs'!$B$8/2)^2)-(((441-43)*MAX('Inputs'!$B$33,'Inputs'!$B$29+'Inputs'!$B$31+'Inputs'!$B$32,'Inputs'!$B$30+'Inputs'!$B$31+'Inputs'!$B$32)/1000+'Inputs'!$B$21))/SQRT((((441-43)*MAX('Inputs'!$B$33,'Inputs'!$B$29+'Inputs'!$B$31+'Inputs'!$B$32,'Inputs'!$B$30+'Inputs'!$B$31+'Inputs'!$B$32)/1000+'Inputs'!$B$21))^2+('Inputs'!$B$8/2)^2)))-'Results'!B7*(1-'Inputs'!$B$24)*(0.5*((((441-43)*MAX('Inputs'!$B$33,'Inputs'!$B$29+'Inputs'!$B$31+'Inputs'!$B$32,'Inputs'!$B$30+'Inputs'!$B$31+'Inputs'!$B$32)/1000+'Inputs'!$B$21+'Inputs'!$B$9+'Inputs'!$B$10)+'Inputs'!$B$7)/SQRT((((441-43)*MAX('Inputs'!$B$33,'Inputs'!$B$29+'Inputs'!$B$31+'Inputs'!$B$32,'Inputs'!$B$30+'Inputs'!$B$31+'Inputs'!$B$32)/1000+'Inputs'!$B$21+'Inputs'!$B$9+'Inputs'!$B$10)+'Inputs'!$B$7)^2+('Inputs'!$B$6/2)^2)-(((441-43)*MAX('Inputs'!$B$33,'Inputs'!$B$29+'Inputs'!$B$31+'Inputs'!$B$32,'Inputs'!$B$30+'Inputs'!$B$31+'Inputs'!$B$32)/1000+'Inputs'!$B$21+'Inputs'!$B$9+'Inputs'!$B$10))/SQRT((((441-43)*MAX('Inputs'!$B$33,'Inputs'!$B$29+'Inputs'!$B$31+'Inputs'!$B$32,'Inputs'!$B$30+'Inputs'!$B$31+'Inputs'!$B$32)/1000+'Inputs'!$B$21+'Inputs'!$B$9+'Inputs'!$B$10))^2+('Inputs'!$B$6/2)^2))))*'Results'!$B$8)+'Inputs'!$B$28*ABS((('Results'!C7*(1+'Inputs'!$B$24)*(0.5*((((441-43)*MAX('Inputs'!$B$33,'Inputs'!$B$29+'Inputs'!$B$31+'Inputs'!$B$32,'Inputs'!$B$30+'Inputs'!$B$31+'Inputs'!$B$32)/1000+'Inputs'!$B$21)+'Inputs'!$B$9)/SQRT((((441-43)*MAX('Inputs'!$B$33,'Inputs'!$B$29+'Inputs'!$B$31+'Inputs'!$B$32,'Inputs'!$B$30+'Inputs'!$B$31+'Inputs'!$B$32)/1000+'Inputs'!$B$21)+'Inputs'!$B$9)^2+('Inputs'!$B$8/2)^2)-(((441-43)*MAX('Inputs'!$B$33,'Inputs'!$B$29+'Inputs'!$B$31+'Inputs'!$B$32,'Inputs'!$B$30+'Inputs'!$B$31+'Inputs'!$B$32)/1000+'Inputs'!$B$21))/SQRT((((441-43)*MAX('Inputs'!$B$33,'Inputs'!$B$29+'Inputs'!$B$31+'Inputs'!$B$32,'Inputs'!$B$30+'Inputs'!$B$31+'Inputs'!$B$32)/1000+'Inputs'!$B$21))^2+('Inputs'!$B$8/2)^2)))-'Results'!B7*(1-'Inputs'!$B$24)*(0.5*((((441-43)*MAX('Inputs'!$B$33,'Inputs'!$B$29+'Inputs'!$B$31+'Inputs'!$B$32,'Inputs'!$B$30+'Inputs'!$B$31+'Inputs'!$B$32)/1000+'Inputs'!$B$21+'Inputs'!$B$9+'Inputs'!$B$10)+'Inputs'!$B$7)/SQRT((((441-43)*MAX('Inputs'!$B$33,'Inputs'!$B$29+'Inputs'!$B$31+'Inputs'!$B$32,'Inputs'!$B$30+'Inputs'!$B$31+'Inputs'!$B$32)/1000+'Inputs'!$B$21+'Inputs'!$B$9+'Inputs'!$B$10)+'Inputs'!$B$7)^2+('Inputs'!$B$6/2)^2)-(((441-43)*MAX('Inputs'!$B$33,'Inputs'!$B$29+'Inputs'!$B$31+'Inputs'!$B$32,'Inputs'!$B$30+'Inputs'!$B$31+'Inputs'!$B$32)/1000+'Inputs'!$B$21+'Inputs'!$B$9+'Inputs'!$B$10))/SQRT((((441-43)*MAX('Inputs'!$B$33,'Inputs'!$B$29+'Inputs'!$B$31+'Inputs'!$B$32,'Inputs'!$B$30+'Inputs'!$B$31+'Inputs'!$B$32)/1000+'Inputs'!$B$21+'Inputs'!$B$9+'Inputs'!$B$10))^2+('Inputs'!$B$6/2)^2))))*'Results'!$B$8))),"")</x:f>
        <x:v>9.433195214086714</x:v>
      </x:c>
      <x:c r="P441" t="n">
        <x:f>IF(AND(MAX(J441,J440)&gt;0,J441&gt;J440+0.00000001),1,0)</x:f>
        <x:v>0</x:v>
      </x:c>
      <x:c r="Q441" t="n">
        <x:f>IF(AND(MAX(K441,K440)&gt;0,K441&gt;K440+0.00000001),1,0)</x:f>
        <x:v>0</x:v>
      </x:c>
      <x:c r="R441" t="n">
        <x:f>IF(AND(MAX(L441,L440)&gt;0,L441&gt;L440+0.00000001),1,0)</x:f>
        <x:v>0</x:v>
      </x:c>
      <x:c r="S441" t="n">
        <x:f>IF(AND(MAX(M441,M440)&gt;0,M441&gt;M440+0.00000001),1,0)</x:f>
        <x:v>0</x:v>
      </x:c>
      <x:c r="T441" t="n">
        <x:f>IF(AND(MAX(N441,N440)&gt;0,N441&gt;N440+0.00000001),1,0)</x:f>
        <x:v>0</x:v>
      </x:c>
      <x:c r="U441" t="n">
        <x:f>IF(AND(MAX(O441,O440)&gt;0,O441&gt;O440+0.00000001),1,0)</x:f>
        <x:v>0</x:v>
      </x:c>
    </x:row>
    <x:row r="442">
      <x:c r="J442" t="n">
        <x:f>IF(AND(ISNUMBER('Results'!B7),ISNUMBER('Results'!C7),ISNUMBER('Results'!$B$8),ISNUMBER('Inputs'!$B$6),ISNUMBER('Inputs'!$B$7),ISNUMBER('Inputs'!$B$8),ISNUMBER('Inputs'!$B$9),ISNUMBER('Inputs'!$B$10),ISNUMBER('Inputs'!$B$21),ISNUMBER('Inputs'!$B$24),ISNUMBER('Inputs'!$B$28)),(('Results'!B7*(0.5*((((442-43)*MAX('Inputs'!$B$33,'Inputs'!$B$29+'Inputs'!$B$31+'Inputs'!$B$32,'Inputs'!$B$30+'Inputs'!$B$31+'Inputs'!$B$32)/1000+'Inputs'!$B$21)+'Inputs'!$B$7)/SQRT((((442-43)*MAX('Inputs'!$B$33,'Inputs'!$B$29+'Inputs'!$B$31+'Inputs'!$B$32,'Inputs'!$B$30+'Inputs'!$B$31+'Inputs'!$B$32)/1000+'Inputs'!$B$21)+'Inputs'!$B$7)^2+('Inputs'!$B$6/2)^2)-(((442-43)*MAX('Inputs'!$B$33,'Inputs'!$B$29+'Inputs'!$B$31+'Inputs'!$B$32,'Inputs'!$B$30+'Inputs'!$B$31+'Inputs'!$B$32)/1000+'Inputs'!$B$21))/SQRT((((442-43)*MAX('Inputs'!$B$33,'Inputs'!$B$29+'Inputs'!$B$31+'Inputs'!$B$32,'Inputs'!$B$30+'Inputs'!$B$31+'Inputs'!$B$32)/1000+'Inputs'!$B$21))^2+('Inputs'!$B$6/2)^2)))-'Results'!C7*(0.5*((((442-43)*MAX('Inputs'!$B$33,'Inputs'!$B$29+'Inputs'!$B$31+'Inputs'!$B$32,'Inputs'!$B$30+'Inputs'!$B$31+'Inputs'!$B$32)/1000+'Inputs'!$B$21+'Inputs'!$B$7+'Inputs'!$B$10)+'Inputs'!$B$9)/SQRT((((442-43)*MAX('Inputs'!$B$33,'Inputs'!$B$29+'Inputs'!$B$31+'Inputs'!$B$32,'Inputs'!$B$30+'Inputs'!$B$31+'Inputs'!$B$32)/1000+'Inputs'!$B$21+'Inputs'!$B$7+'Inputs'!$B$10)+'Inputs'!$B$9)^2+('Inputs'!$B$8/2)^2)-(((442-43)*MAX('Inputs'!$B$33,'Inputs'!$B$29+'Inputs'!$B$31+'Inputs'!$B$32,'Inputs'!$B$30+'Inputs'!$B$31+'Inputs'!$B$32)/1000+'Inputs'!$B$21+'Inputs'!$B$7+'Inputs'!$B$10))/SQRT((((442-43)*MAX('Inputs'!$B$33,'Inputs'!$B$29+'Inputs'!$B$31+'Inputs'!$B$32,'Inputs'!$B$30+'Inputs'!$B$31+'Inputs'!$B$32)/1000+'Inputs'!$B$21+'Inputs'!$B$7+'Inputs'!$B$10))^2+('Inputs'!$B$8/2)^2))))*'Results'!$B$8),"")</x:f>
        <x:v>8.91689740104554</x:v>
      </x:c>
      <x:c r="K442" t="n">
        <x:f>IF(AND(ISNUMBER('Results'!B7),ISNUMBER('Results'!C7),ISNUMBER('Results'!$B$8),ISNUMBER('Inputs'!$B$6),ISNUMBER('Inputs'!$B$7),ISNUMBER('Inputs'!$B$8),ISNUMBER('Inputs'!$B$9),ISNUMBER('Inputs'!$B$10),ISNUMBER('Inputs'!$B$21),ISNUMBER('Inputs'!$B$24),ISNUMBER('Inputs'!$B$28)),((('Results'!B7*(1-'Inputs'!$B$24)*(0.5*((((442-43)*MAX('Inputs'!$B$33,'Inputs'!$B$29+'Inputs'!$B$31+'Inputs'!$B$32,'Inputs'!$B$30+'Inputs'!$B$31+'Inputs'!$B$32)/1000+'Inputs'!$B$21)+'Inputs'!$B$7)/SQRT((((442-43)*MAX('Inputs'!$B$33,'Inputs'!$B$29+'Inputs'!$B$31+'Inputs'!$B$32,'Inputs'!$B$30+'Inputs'!$B$31+'Inputs'!$B$32)/1000+'Inputs'!$B$21)+'Inputs'!$B$7)^2+('Inputs'!$B$6/2)^2)-(((442-43)*MAX('Inputs'!$B$33,'Inputs'!$B$29+'Inputs'!$B$31+'Inputs'!$B$32,'Inputs'!$B$30+'Inputs'!$B$31+'Inputs'!$B$32)/1000+'Inputs'!$B$21))/SQRT((((442-43)*MAX('Inputs'!$B$33,'Inputs'!$B$29+'Inputs'!$B$31+'Inputs'!$B$32,'Inputs'!$B$30+'Inputs'!$B$31+'Inputs'!$B$32)/1000+'Inputs'!$B$21))^2+('Inputs'!$B$6/2)^2)))-'Results'!C7*(1+'Inputs'!$B$24)*(0.5*((((442-43)*MAX('Inputs'!$B$33,'Inputs'!$B$29+'Inputs'!$B$31+'Inputs'!$B$32,'Inputs'!$B$30+'Inputs'!$B$31+'Inputs'!$B$32)/1000+'Inputs'!$B$21+'Inputs'!$B$7+'Inputs'!$B$10)+'Inputs'!$B$9)/SQRT((((442-43)*MAX('Inputs'!$B$33,'Inputs'!$B$29+'Inputs'!$B$31+'Inputs'!$B$32,'Inputs'!$B$30+'Inputs'!$B$31+'Inputs'!$B$32)/1000+'Inputs'!$B$21+'Inputs'!$B$7+'Inputs'!$B$10)+'Inputs'!$B$9)^2+('Inputs'!$B$8/2)^2)-(((442-43)*MAX('Inputs'!$B$33,'Inputs'!$B$29+'Inputs'!$B$31+'Inputs'!$B$32,'Inputs'!$B$30+'Inputs'!$B$31+'Inputs'!$B$32)/1000+'Inputs'!$B$21+'Inputs'!$B$7+'Inputs'!$B$10))/SQRT((((442-43)*MAX('Inputs'!$B$33,'Inputs'!$B$29+'Inputs'!$B$31+'Inputs'!$B$32,'Inputs'!$B$30+'Inputs'!$B$31+'Inputs'!$B$32)/1000+'Inputs'!$B$21+'Inputs'!$B$7+'Inputs'!$B$10))^2+('Inputs'!$B$8/2)^2))))*'Results'!$B$8)-'Inputs'!$B$28*ABS((('Results'!B7*(1-'Inputs'!$B$24)*(0.5*((((442-43)*MAX('Inputs'!$B$33,'Inputs'!$B$29+'Inputs'!$B$31+'Inputs'!$B$32,'Inputs'!$B$30+'Inputs'!$B$31+'Inputs'!$B$32)/1000+'Inputs'!$B$21)+'Inputs'!$B$7)/SQRT((((442-43)*MAX('Inputs'!$B$33,'Inputs'!$B$29+'Inputs'!$B$31+'Inputs'!$B$32,'Inputs'!$B$30+'Inputs'!$B$31+'Inputs'!$B$32)/1000+'Inputs'!$B$21)+'Inputs'!$B$7)^2+('Inputs'!$B$6/2)^2)-(((442-43)*MAX('Inputs'!$B$33,'Inputs'!$B$29+'Inputs'!$B$31+'Inputs'!$B$32,'Inputs'!$B$30+'Inputs'!$B$31+'Inputs'!$B$32)/1000+'Inputs'!$B$21))/SQRT((((442-43)*MAX('Inputs'!$B$33,'Inputs'!$B$29+'Inputs'!$B$31+'Inputs'!$B$32,'Inputs'!$B$30+'Inputs'!$B$31+'Inputs'!$B$32)/1000+'Inputs'!$B$21))^2+('Inputs'!$B$6/2)^2)))-'Results'!C7*(1+'Inputs'!$B$24)*(0.5*((((442-43)*MAX('Inputs'!$B$33,'Inputs'!$B$29+'Inputs'!$B$31+'Inputs'!$B$32,'Inputs'!$B$30+'Inputs'!$B$31+'Inputs'!$B$32)/1000+'Inputs'!$B$21+'Inputs'!$B$7+'Inputs'!$B$10)+'Inputs'!$B$9)/SQRT((((442-43)*MAX('Inputs'!$B$33,'Inputs'!$B$29+'Inputs'!$B$31+'Inputs'!$B$32,'Inputs'!$B$30+'Inputs'!$B$31+'Inputs'!$B$32)/1000+'Inputs'!$B$21+'Inputs'!$B$7+'Inputs'!$B$10)+'Inputs'!$B$9)^2+('Inputs'!$B$8/2)^2)-(((442-43)*MAX('Inputs'!$B$33,'Inputs'!$B$29+'Inputs'!$B$31+'Inputs'!$B$32,'Inputs'!$B$30+'Inputs'!$B$31+'Inputs'!$B$32)/1000+'Inputs'!$B$21+'Inputs'!$B$7+'Inputs'!$B$10))/SQRT((((442-43)*MAX('Inputs'!$B$33,'Inputs'!$B$29+'Inputs'!$B$31+'Inputs'!$B$32,'Inputs'!$B$30+'Inputs'!$B$31+'Inputs'!$B$32)/1000+'Inputs'!$B$21+'Inputs'!$B$7+'Inputs'!$B$10))^2+('Inputs'!$B$8/2)^2))))*'Results'!$B$8))),"")</x:f>
        <x:v>7.985042114028559</x:v>
      </x:c>
      <x:c r="L442" t="n">
        <x:f>IF(AND(ISNUMBER('Results'!B7),ISNUMBER('Results'!C7),ISNUMBER('Results'!$B$8),ISNUMBER('Inputs'!$B$6),ISNUMBER('Inputs'!$B$7),ISNUMBER('Inputs'!$B$8),ISNUMBER('Inputs'!$B$9),ISNUMBER('Inputs'!$B$10),ISNUMBER('Inputs'!$B$21),ISNUMBER('Inputs'!$B$24),ISNUMBER('Inputs'!$B$28)),((('Results'!B7*(1+'Inputs'!$B$24)*(0.5*((((442-43)*MAX('Inputs'!$B$33,'Inputs'!$B$29+'Inputs'!$B$31+'Inputs'!$B$32,'Inputs'!$B$30+'Inputs'!$B$31+'Inputs'!$B$32)/1000+'Inputs'!$B$21)+'Inputs'!$B$7)/SQRT((((442-43)*MAX('Inputs'!$B$33,'Inputs'!$B$29+'Inputs'!$B$31+'Inputs'!$B$32,'Inputs'!$B$30+'Inputs'!$B$31+'Inputs'!$B$32)/1000+'Inputs'!$B$21)+'Inputs'!$B$7)^2+('Inputs'!$B$6/2)^2)-(((442-43)*MAX('Inputs'!$B$33,'Inputs'!$B$29+'Inputs'!$B$31+'Inputs'!$B$32,'Inputs'!$B$30+'Inputs'!$B$31+'Inputs'!$B$32)/1000+'Inputs'!$B$21))/SQRT((((442-43)*MAX('Inputs'!$B$33,'Inputs'!$B$29+'Inputs'!$B$31+'Inputs'!$B$32,'Inputs'!$B$30+'Inputs'!$B$31+'Inputs'!$B$32)/1000+'Inputs'!$B$21))^2+('Inputs'!$B$6/2)^2)))-'Results'!C7*(1-'Inputs'!$B$24)*(0.5*((((442-43)*MAX('Inputs'!$B$33,'Inputs'!$B$29+'Inputs'!$B$31+'Inputs'!$B$32,'Inputs'!$B$30+'Inputs'!$B$31+'Inputs'!$B$32)/1000+'Inputs'!$B$21+'Inputs'!$B$7+'Inputs'!$B$10)+'Inputs'!$B$9)/SQRT((((442-43)*MAX('Inputs'!$B$33,'Inputs'!$B$29+'Inputs'!$B$31+'Inputs'!$B$32,'Inputs'!$B$30+'Inputs'!$B$31+'Inputs'!$B$32)/1000+'Inputs'!$B$21+'Inputs'!$B$7+'Inputs'!$B$10)+'Inputs'!$B$9)^2+('Inputs'!$B$8/2)^2)-(((442-43)*MAX('Inputs'!$B$33,'Inputs'!$B$29+'Inputs'!$B$31+'Inputs'!$B$32,'Inputs'!$B$30+'Inputs'!$B$31+'Inputs'!$B$32)/1000+'Inputs'!$B$21+'Inputs'!$B$7+'Inputs'!$B$10))/SQRT((((442-43)*MAX('Inputs'!$B$33,'Inputs'!$B$29+'Inputs'!$B$31+'Inputs'!$B$32,'Inputs'!$B$30+'Inputs'!$B$31+'Inputs'!$B$32)/1000+'Inputs'!$B$21+'Inputs'!$B$7+'Inputs'!$B$10))^2+('Inputs'!$B$8/2)^2))))*'Results'!$B$8)+'Inputs'!$B$28*ABS((('Results'!B7*(1+'Inputs'!$B$24)*(0.5*((((442-43)*MAX('Inputs'!$B$33,'Inputs'!$B$29+'Inputs'!$B$31+'Inputs'!$B$32,'Inputs'!$B$30+'Inputs'!$B$31+'Inputs'!$B$32)/1000+'Inputs'!$B$21)+'Inputs'!$B$7)/SQRT((((442-43)*MAX('Inputs'!$B$33,'Inputs'!$B$29+'Inputs'!$B$31+'Inputs'!$B$32,'Inputs'!$B$30+'Inputs'!$B$31+'Inputs'!$B$32)/1000+'Inputs'!$B$21)+'Inputs'!$B$7)^2+('Inputs'!$B$6/2)^2)-(((442-43)*MAX('Inputs'!$B$33,'Inputs'!$B$29+'Inputs'!$B$31+'Inputs'!$B$32,'Inputs'!$B$30+'Inputs'!$B$31+'Inputs'!$B$32)/1000+'Inputs'!$B$21))/SQRT((((442-43)*MAX('Inputs'!$B$33,'Inputs'!$B$29+'Inputs'!$B$31+'Inputs'!$B$32,'Inputs'!$B$30+'Inputs'!$B$31+'Inputs'!$B$32)/1000+'Inputs'!$B$21))^2+('Inputs'!$B$6/2)^2)))-'Results'!C7*(1-'Inputs'!$B$24)*(0.5*((((442-43)*MAX('Inputs'!$B$33,'Inputs'!$B$29+'Inputs'!$B$31+'Inputs'!$B$32,'Inputs'!$B$30+'Inputs'!$B$31+'Inputs'!$B$32)/1000+'Inputs'!$B$21+'Inputs'!$B$7+'Inputs'!$B$10)+'Inputs'!$B$9)/SQRT((((442-43)*MAX('Inputs'!$B$33,'Inputs'!$B$29+'Inputs'!$B$31+'Inputs'!$B$32,'Inputs'!$B$30+'Inputs'!$B$31+'Inputs'!$B$32)/1000+'Inputs'!$B$21+'Inputs'!$B$7+'Inputs'!$B$10)+'Inputs'!$B$9)^2+('Inputs'!$B$8/2)^2)-(((442-43)*MAX('Inputs'!$B$33,'Inputs'!$B$29+'Inputs'!$B$31+'Inputs'!$B$32,'Inputs'!$B$30+'Inputs'!$B$31+'Inputs'!$B$32)/1000+'Inputs'!$B$21+'Inputs'!$B$7+'Inputs'!$B$10))/SQRT((((442-43)*MAX('Inputs'!$B$33,'Inputs'!$B$29+'Inputs'!$B$31+'Inputs'!$B$32,'Inputs'!$B$30+'Inputs'!$B$31+'Inputs'!$B$32)/1000+'Inputs'!$B$21+'Inputs'!$B$7+'Inputs'!$B$10))^2+('Inputs'!$B$8/2)^2))))*'Results'!$B$8))),"")</x:f>
        <x:v>9.899911679321963</x:v>
      </x:c>
      <x:c r="M442" t="n">
        <x:f>IF(AND(ISNUMBER('Results'!C7),ISNUMBER('Results'!B7),ISNUMBER('Results'!$B$8),ISNUMBER('Inputs'!$B$6),ISNUMBER('Inputs'!$B$7),ISNUMBER('Inputs'!$B$8),ISNUMBER('Inputs'!$B$9),ISNUMBER('Inputs'!$B$10),ISNUMBER('Inputs'!$B$21),ISNUMBER('Inputs'!$B$24),ISNUMBER('Inputs'!$B$28)),(('Results'!C7*(0.5*((((442-43)*MAX('Inputs'!$B$33,'Inputs'!$B$29+'Inputs'!$B$31+'Inputs'!$B$32,'Inputs'!$B$30+'Inputs'!$B$31+'Inputs'!$B$32)/1000+'Inputs'!$B$21)+'Inputs'!$B$9)/SQRT((((442-43)*MAX('Inputs'!$B$33,'Inputs'!$B$29+'Inputs'!$B$31+'Inputs'!$B$32,'Inputs'!$B$30+'Inputs'!$B$31+'Inputs'!$B$32)/1000+'Inputs'!$B$21)+'Inputs'!$B$9)^2+('Inputs'!$B$8/2)^2)-(((442-43)*MAX('Inputs'!$B$33,'Inputs'!$B$29+'Inputs'!$B$31+'Inputs'!$B$32,'Inputs'!$B$30+'Inputs'!$B$31+'Inputs'!$B$32)/1000+'Inputs'!$B$21))/SQRT((((442-43)*MAX('Inputs'!$B$33,'Inputs'!$B$29+'Inputs'!$B$31+'Inputs'!$B$32,'Inputs'!$B$30+'Inputs'!$B$31+'Inputs'!$B$32)/1000+'Inputs'!$B$21))^2+('Inputs'!$B$8/2)^2)))-'Results'!B7*(0.5*((((442-43)*MAX('Inputs'!$B$33,'Inputs'!$B$29+'Inputs'!$B$31+'Inputs'!$B$32,'Inputs'!$B$30+'Inputs'!$B$31+'Inputs'!$B$32)/1000+'Inputs'!$B$21+'Inputs'!$B$9+'Inputs'!$B$10)+'Inputs'!$B$7)/SQRT((((442-43)*MAX('Inputs'!$B$33,'Inputs'!$B$29+'Inputs'!$B$31+'Inputs'!$B$32,'Inputs'!$B$30+'Inputs'!$B$31+'Inputs'!$B$32)/1000+'Inputs'!$B$21+'Inputs'!$B$9+'Inputs'!$B$10)+'Inputs'!$B$7)^2+('Inputs'!$B$6/2)^2)-(((442-43)*MAX('Inputs'!$B$33,'Inputs'!$B$29+'Inputs'!$B$31+'Inputs'!$B$32,'Inputs'!$B$30+'Inputs'!$B$31+'Inputs'!$B$32)/1000+'Inputs'!$B$21+'Inputs'!$B$9+'Inputs'!$B$10))/SQRT((((442-43)*MAX('Inputs'!$B$33,'Inputs'!$B$29+'Inputs'!$B$31+'Inputs'!$B$32,'Inputs'!$B$30+'Inputs'!$B$31+'Inputs'!$B$32)/1000+'Inputs'!$B$21+'Inputs'!$B$9+'Inputs'!$B$10))^2+('Inputs'!$B$6/2)^2))))*'Results'!$B$8),"")</x:f>
        <x:v>8.401906958200366</x:v>
      </x:c>
      <x:c r="N442" t="n">
        <x:f>IF(AND(ISNUMBER('Results'!C7),ISNUMBER('Results'!B7),ISNUMBER('Results'!$B$8),ISNUMBER('Inputs'!$B$6),ISNUMBER('Inputs'!$B$7),ISNUMBER('Inputs'!$B$8),ISNUMBER('Inputs'!$B$9),ISNUMBER('Inputs'!$B$10),ISNUMBER('Inputs'!$B$21),ISNUMBER('Inputs'!$B$24),ISNUMBER('Inputs'!$B$28)),((('Results'!C7*(1-'Inputs'!$B$24)*(0.5*((((442-43)*MAX('Inputs'!$B$33,'Inputs'!$B$29+'Inputs'!$B$31+'Inputs'!$B$32,'Inputs'!$B$30+'Inputs'!$B$31+'Inputs'!$B$32)/1000+'Inputs'!$B$21)+'Inputs'!$B$9)/SQRT((((442-43)*MAX('Inputs'!$B$33,'Inputs'!$B$29+'Inputs'!$B$31+'Inputs'!$B$32,'Inputs'!$B$30+'Inputs'!$B$31+'Inputs'!$B$32)/1000+'Inputs'!$B$21)+'Inputs'!$B$9)^2+('Inputs'!$B$8/2)^2)-(((442-43)*MAX('Inputs'!$B$33,'Inputs'!$B$29+'Inputs'!$B$31+'Inputs'!$B$32,'Inputs'!$B$30+'Inputs'!$B$31+'Inputs'!$B$32)/1000+'Inputs'!$B$21))/SQRT((((442-43)*MAX('Inputs'!$B$33,'Inputs'!$B$29+'Inputs'!$B$31+'Inputs'!$B$32,'Inputs'!$B$30+'Inputs'!$B$31+'Inputs'!$B$32)/1000+'Inputs'!$B$21))^2+('Inputs'!$B$8/2)^2)))-'Results'!B7*(1+'Inputs'!$B$24)*(0.5*((((442-43)*MAX('Inputs'!$B$33,'Inputs'!$B$29+'Inputs'!$B$31+'Inputs'!$B$32,'Inputs'!$B$30+'Inputs'!$B$31+'Inputs'!$B$32)/1000+'Inputs'!$B$21+'Inputs'!$B$9+'Inputs'!$B$10)+'Inputs'!$B$7)/SQRT((((442-43)*MAX('Inputs'!$B$33,'Inputs'!$B$29+'Inputs'!$B$31+'Inputs'!$B$32,'Inputs'!$B$30+'Inputs'!$B$31+'Inputs'!$B$32)/1000+'Inputs'!$B$21+'Inputs'!$B$9+'Inputs'!$B$10)+'Inputs'!$B$7)^2+('Inputs'!$B$6/2)^2)-(((442-43)*MAX('Inputs'!$B$33,'Inputs'!$B$29+'Inputs'!$B$31+'Inputs'!$B$32,'Inputs'!$B$30+'Inputs'!$B$31+'Inputs'!$B$32)/1000+'Inputs'!$B$21+'Inputs'!$B$9+'Inputs'!$B$10))/SQRT((((442-43)*MAX('Inputs'!$B$33,'Inputs'!$B$29+'Inputs'!$B$31+'Inputs'!$B$32,'Inputs'!$B$30+'Inputs'!$B$31+'Inputs'!$B$32)/1000+'Inputs'!$B$21+'Inputs'!$B$9+'Inputs'!$B$10))^2+('Inputs'!$B$6/2)^2))))*'Results'!$B$8)-'Inputs'!$B$28*ABS((('Results'!C7*(1-'Inputs'!$B$24)*(0.5*((((442-43)*MAX('Inputs'!$B$33,'Inputs'!$B$29+'Inputs'!$B$31+'Inputs'!$B$32,'Inputs'!$B$30+'Inputs'!$B$31+'Inputs'!$B$32)/1000+'Inputs'!$B$21)+'Inputs'!$B$9)/SQRT((((442-43)*MAX('Inputs'!$B$33,'Inputs'!$B$29+'Inputs'!$B$31+'Inputs'!$B$32,'Inputs'!$B$30+'Inputs'!$B$31+'Inputs'!$B$32)/1000+'Inputs'!$B$21)+'Inputs'!$B$9)^2+('Inputs'!$B$8/2)^2)-(((442-43)*MAX('Inputs'!$B$33,'Inputs'!$B$29+'Inputs'!$B$31+'Inputs'!$B$32,'Inputs'!$B$30+'Inputs'!$B$31+'Inputs'!$B$32)/1000+'Inputs'!$B$21))/SQRT((((442-43)*MAX('Inputs'!$B$33,'Inputs'!$B$29+'Inputs'!$B$31+'Inputs'!$B$32,'Inputs'!$B$30+'Inputs'!$B$31+'Inputs'!$B$32)/1000+'Inputs'!$B$21))^2+('Inputs'!$B$8/2)^2)))-'Results'!B7*(1+'Inputs'!$B$24)*(0.5*((((442-43)*MAX('Inputs'!$B$33,'Inputs'!$B$29+'Inputs'!$B$31+'Inputs'!$B$32,'Inputs'!$B$30+'Inputs'!$B$31+'Inputs'!$B$32)/1000+'Inputs'!$B$21+'Inputs'!$B$9+'Inputs'!$B$10)+'Inputs'!$B$7)/SQRT((((442-43)*MAX('Inputs'!$B$33,'Inputs'!$B$29+'Inputs'!$B$31+'Inputs'!$B$32,'Inputs'!$B$30+'Inputs'!$B$31+'Inputs'!$B$32)/1000+'Inputs'!$B$21+'Inputs'!$B$9+'Inputs'!$B$10)+'Inputs'!$B$7)^2+('Inputs'!$B$6/2)^2)-(((442-43)*MAX('Inputs'!$B$33,'Inputs'!$B$29+'Inputs'!$B$31+'Inputs'!$B$32,'Inputs'!$B$30+'Inputs'!$B$31+'Inputs'!$B$32)/1000+'Inputs'!$B$21+'Inputs'!$B$9+'Inputs'!$B$10))/SQRT((((442-43)*MAX('Inputs'!$B$33,'Inputs'!$B$29+'Inputs'!$B$31+'Inputs'!$B$32,'Inputs'!$B$30+'Inputs'!$B$31+'Inputs'!$B$32)/1000+'Inputs'!$B$21+'Inputs'!$B$9+'Inputs'!$B$10))^2+('Inputs'!$B$6/2)^2))))*'Results'!$B$8))),"")</x:f>
        <x:v>7.499125004263274</x:v>
      </x:c>
      <x:c r="O442" t="n">
        <x:f>IF(AND(ISNUMBER('Results'!C7),ISNUMBER('Results'!B7),ISNUMBER('Results'!$B$8),ISNUMBER('Inputs'!$B$6),ISNUMBER('Inputs'!$B$7),ISNUMBER('Inputs'!$B$8),ISNUMBER('Inputs'!$B$9),ISNUMBER('Inputs'!$B$10),ISNUMBER('Inputs'!$B$21),ISNUMBER('Inputs'!$B$24),ISNUMBER('Inputs'!$B$28)),((('Results'!C7*(1+'Inputs'!$B$24)*(0.5*((((442-43)*MAX('Inputs'!$B$33,'Inputs'!$B$29+'Inputs'!$B$31+'Inputs'!$B$32,'Inputs'!$B$30+'Inputs'!$B$31+'Inputs'!$B$32)/1000+'Inputs'!$B$21)+'Inputs'!$B$9)/SQRT((((442-43)*MAX('Inputs'!$B$33,'Inputs'!$B$29+'Inputs'!$B$31+'Inputs'!$B$32,'Inputs'!$B$30+'Inputs'!$B$31+'Inputs'!$B$32)/1000+'Inputs'!$B$21)+'Inputs'!$B$9)^2+('Inputs'!$B$8/2)^2)-(((442-43)*MAX('Inputs'!$B$33,'Inputs'!$B$29+'Inputs'!$B$31+'Inputs'!$B$32,'Inputs'!$B$30+'Inputs'!$B$31+'Inputs'!$B$32)/1000+'Inputs'!$B$21))/SQRT((((442-43)*MAX('Inputs'!$B$33,'Inputs'!$B$29+'Inputs'!$B$31+'Inputs'!$B$32,'Inputs'!$B$30+'Inputs'!$B$31+'Inputs'!$B$32)/1000+'Inputs'!$B$21))^2+('Inputs'!$B$8/2)^2)))-'Results'!B7*(1-'Inputs'!$B$24)*(0.5*((((442-43)*MAX('Inputs'!$B$33,'Inputs'!$B$29+'Inputs'!$B$31+'Inputs'!$B$32,'Inputs'!$B$30+'Inputs'!$B$31+'Inputs'!$B$32)/1000+'Inputs'!$B$21+'Inputs'!$B$9+'Inputs'!$B$10)+'Inputs'!$B$7)/SQRT((((442-43)*MAX('Inputs'!$B$33,'Inputs'!$B$29+'Inputs'!$B$31+'Inputs'!$B$32,'Inputs'!$B$30+'Inputs'!$B$31+'Inputs'!$B$32)/1000+'Inputs'!$B$21+'Inputs'!$B$9+'Inputs'!$B$10)+'Inputs'!$B$7)^2+('Inputs'!$B$6/2)^2)-(((442-43)*MAX('Inputs'!$B$33,'Inputs'!$B$29+'Inputs'!$B$31+'Inputs'!$B$32,'Inputs'!$B$30+'Inputs'!$B$31+'Inputs'!$B$32)/1000+'Inputs'!$B$21+'Inputs'!$B$9+'Inputs'!$B$10))/SQRT((((442-43)*MAX('Inputs'!$B$33,'Inputs'!$B$29+'Inputs'!$B$31+'Inputs'!$B$32,'Inputs'!$B$30+'Inputs'!$B$31+'Inputs'!$B$32)/1000+'Inputs'!$B$21+'Inputs'!$B$9+'Inputs'!$B$10))^2+('Inputs'!$B$6/2)^2))))*'Results'!$B$8)+'Inputs'!$B$28*ABS((('Results'!C7*(1+'Inputs'!$B$24)*(0.5*((((442-43)*MAX('Inputs'!$B$33,'Inputs'!$B$29+'Inputs'!$B$31+'Inputs'!$B$32,'Inputs'!$B$30+'Inputs'!$B$31+'Inputs'!$B$32)/1000+'Inputs'!$B$21)+'Inputs'!$B$9)/SQRT((((442-43)*MAX('Inputs'!$B$33,'Inputs'!$B$29+'Inputs'!$B$31+'Inputs'!$B$32,'Inputs'!$B$30+'Inputs'!$B$31+'Inputs'!$B$32)/1000+'Inputs'!$B$21)+'Inputs'!$B$9)^2+('Inputs'!$B$8/2)^2)-(((442-43)*MAX('Inputs'!$B$33,'Inputs'!$B$29+'Inputs'!$B$31+'Inputs'!$B$32,'Inputs'!$B$30+'Inputs'!$B$31+'Inputs'!$B$32)/1000+'Inputs'!$B$21))/SQRT((((442-43)*MAX('Inputs'!$B$33,'Inputs'!$B$29+'Inputs'!$B$31+'Inputs'!$B$32,'Inputs'!$B$30+'Inputs'!$B$31+'Inputs'!$B$32)/1000+'Inputs'!$B$21))^2+('Inputs'!$B$8/2)^2)))-'Results'!B7*(1-'Inputs'!$B$24)*(0.5*((((442-43)*MAX('Inputs'!$B$33,'Inputs'!$B$29+'Inputs'!$B$31+'Inputs'!$B$32,'Inputs'!$B$30+'Inputs'!$B$31+'Inputs'!$B$32)/1000+'Inputs'!$B$21+'Inputs'!$B$9+'Inputs'!$B$10)+'Inputs'!$B$7)/SQRT((((442-43)*MAX('Inputs'!$B$33,'Inputs'!$B$29+'Inputs'!$B$31+'Inputs'!$B$32,'Inputs'!$B$30+'Inputs'!$B$31+'Inputs'!$B$32)/1000+'Inputs'!$B$21+'Inputs'!$B$9+'Inputs'!$B$10)+'Inputs'!$B$7)^2+('Inputs'!$B$6/2)^2)-(((442-43)*MAX('Inputs'!$B$33,'Inputs'!$B$29+'Inputs'!$B$31+'Inputs'!$B$32,'Inputs'!$B$30+'Inputs'!$B$31+'Inputs'!$B$32)/1000+'Inputs'!$B$21+'Inputs'!$B$9+'Inputs'!$B$10))/SQRT((((442-43)*MAX('Inputs'!$B$33,'Inputs'!$B$29+'Inputs'!$B$31+'Inputs'!$B$32,'Inputs'!$B$30+'Inputs'!$B$31+'Inputs'!$B$32)/1000+'Inputs'!$B$21+'Inputs'!$B$9+'Inputs'!$B$10))^2+('Inputs'!$B$6/2)^2))))*'Results'!$B$8))),"")</x:f>
        <x:v>9.35549802856136</x:v>
      </x:c>
      <x:c r="P442" t="n">
        <x:f>IF(AND(MAX(J442,J441)&gt;0,J442&gt;J441+0.00000001),1,0)</x:f>
        <x:v>0</x:v>
      </x:c>
      <x:c r="Q442" t="n">
        <x:f>IF(AND(MAX(K442,K441)&gt;0,K442&gt;K441+0.00000001),1,0)</x:f>
        <x:v>0</x:v>
      </x:c>
      <x:c r="R442" t="n">
        <x:f>IF(AND(MAX(L442,L441)&gt;0,L442&gt;L441+0.00000001),1,0)</x:f>
        <x:v>0</x:v>
      </x:c>
      <x:c r="S442" t="n">
        <x:f>IF(AND(MAX(M442,M441)&gt;0,M442&gt;M441+0.00000001),1,0)</x:f>
        <x:v>0</x:v>
      </x:c>
      <x:c r="T442" t="n">
        <x:f>IF(AND(MAX(N442,N441)&gt;0,N442&gt;N441+0.00000001),1,0)</x:f>
        <x:v>0</x:v>
      </x:c>
      <x:c r="U442" t="n">
        <x:f>IF(AND(MAX(O442,O441)&gt;0,O442&gt;O441+0.00000001),1,0)</x:f>
        <x:v>0</x:v>
      </x:c>
    </x:row>
    <x:row r="443">
      <x:c r="J443" t="n">
        <x:f>IF(AND(ISNUMBER('Results'!B7),ISNUMBER('Results'!C7),ISNUMBER('Results'!$B$8),ISNUMBER('Inputs'!$B$6),ISNUMBER('Inputs'!$B$7),ISNUMBER('Inputs'!$B$8),ISNUMBER('Inputs'!$B$9),ISNUMBER('Inputs'!$B$10),ISNUMBER('Inputs'!$B$21),ISNUMBER('Inputs'!$B$24),ISNUMBER('Inputs'!$B$28)),(('Results'!B7*(0.5*((((443-43)*MAX('Inputs'!$B$33,'Inputs'!$B$29+'Inputs'!$B$31+'Inputs'!$B$32,'Inputs'!$B$30+'Inputs'!$B$31+'Inputs'!$B$32)/1000+'Inputs'!$B$21)+'Inputs'!$B$7)/SQRT((((443-43)*MAX('Inputs'!$B$33,'Inputs'!$B$29+'Inputs'!$B$31+'Inputs'!$B$32,'Inputs'!$B$30+'Inputs'!$B$31+'Inputs'!$B$32)/1000+'Inputs'!$B$21)+'Inputs'!$B$7)^2+('Inputs'!$B$6/2)^2)-(((443-43)*MAX('Inputs'!$B$33,'Inputs'!$B$29+'Inputs'!$B$31+'Inputs'!$B$32,'Inputs'!$B$30+'Inputs'!$B$31+'Inputs'!$B$32)/1000+'Inputs'!$B$21))/SQRT((((443-43)*MAX('Inputs'!$B$33,'Inputs'!$B$29+'Inputs'!$B$31+'Inputs'!$B$32,'Inputs'!$B$30+'Inputs'!$B$31+'Inputs'!$B$32)/1000+'Inputs'!$B$21))^2+('Inputs'!$B$6/2)^2)))-'Results'!C7*(0.5*((((443-43)*MAX('Inputs'!$B$33,'Inputs'!$B$29+'Inputs'!$B$31+'Inputs'!$B$32,'Inputs'!$B$30+'Inputs'!$B$31+'Inputs'!$B$32)/1000+'Inputs'!$B$21+'Inputs'!$B$7+'Inputs'!$B$10)+'Inputs'!$B$9)/SQRT((((443-43)*MAX('Inputs'!$B$33,'Inputs'!$B$29+'Inputs'!$B$31+'Inputs'!$B$32,'Inputs'!$B$30+'Inputs'!$B$31+'Inputs'!$B$32)/1000+'Inputs'!$B$21+'Inputs'!$B$7+'Inputs'!$B$10)+'Inputs'!$B$9)^2+('Inputs'!$B$8/2)^2)-(((443-43)*MAX('Inputs'!$B$33,'Inputs'!$B$29+'Inputs'!$B$31+'Inputs'!$B$32,'Inputs'!$B$30+'Inputs'!$B$31+'Inputs'!$B$32)/1000+'Inputs'!$B$21+'Inputs'!$B$7+'Inputs'!$B$10))/SQRT((((443-43)*MAX('Inputs'!$B$33,'Inputs'!$B$29+'Inputs'!$B$31+'Inputs'!$B$32,'Inputs'!$B$30+'Inputs'!$B$31+'Inputs'!$B$32)/1000+'Inputs'!$B$21+'Inputs'!$B$7+'Inputs'!$B$10))^2+('Inputs'!$B$8/2)^2))))*'Results'!$B$8),"")</x:f>
        <x:v>8.84361241517694</x:v>
      </x:c>
      <x:c r="K443" t="n">
        <x:f>IF(AND(ISNUMBER('Results'!B7),ISNUMBER('Results'!C7),ISNUMBER('Results'!$B$8),ISNUMBER('Inputs'!$B$6),ISNUMBER('Inputs'!$B$7),ISNUMBER('Inputs'!$B$8),ISNUMBER('Inputs'!$B$9),ISNUMBER('Inputs'!$B$10),ISNUMBER('Inputs'!$B$21),ISNUMBER('Inputs'!$B$24),ISNUMBER('Inputs'!$B$28)),((('Results'!B7*(1-'Inputs'!$B$24)*(0.5*((((443-43)*MAX('Inputs'!$B$33,'Inputs'!$B$29+'Inputs'!$B$31+'Inputs'!$B$32,'Inputs'!$B$30+'Inputs'!$B$31+'Inputs'!$B$32)/1000+'Inputs'!$B$21)+'Inputs'!$B$7)/SQRT((((443-43)*MAX('Inputs'!$B$33,'Inputs'!$B$29+'Inputs'!$B$31+'Inputs'!$B$32,'Inputs'!$B$30+'Inputs'!$B$31+'Inputs'!$B$32)/1000+'Inputs'!$B$21)+'Inputs'!$B$7)^2+('Inputs'!$B$6/2)^2)-(((443-43)*MAX('Inputs'!$B$33,'Inputs'!$B$29+'Inputs'!$B$31+'Inputs'!$B$32,'Inputs'!$B$30+'Inputs'!$B$31+'Inputs'!$B$32)/1000+'Inputs'!$B$21))/SQRT((((443-43)*MAX('Inputs'!$B$33,'Inputs'!$B$29+'Inputs'!$B$31+'Inputs'!$B$32,'Inputs'!$B$30+'Inputs'!$B$31+'Inputs'!$B$32)/1000+'Inputs'!$B$21))^2+('Inputs'!$B$6/2)^2)))-'Results'!C7*(1+'Inputs'!$B$24)*(0.5*((((443-43)*MAX('Inputs'!$B$33,'Inputs'!$B$29+'Inputs'!$B$31+'Inputs'!$B$32,'Inputs'!$B$30+'Inputs'!$B$31+'Inputs'!$B$32)/1000+'Inputs'!$B$21+'Inputs'!$B$7+'Inputs'!$B$10)+'Inputs'!$B$9)/SQRT((((443-43)*MAX('Inputs'!$B$33,'Inputs'!$B$29+'Inputs'!$B$31+'Inputs'!$B$32,'Inputs'!$B$30+'Inputs'!$B$31+'Inputs'!$B$32)/1000+'Inputs'!$B$21+'Inputs'!$B$7+'Inputs'!$B$10)+'Inputs'!$B$9)^2+('Inputs'!$B$8/2)^2)-(((443-43)*MAX('Inputs'!$B$33,'Inputs'!$B$29+'Inputs'!$B$31+'Inputs'!$B$32,'Inputs'!$B$30+'Inputs'!$B$31+'Inputs'!$B$32)/1000+'Inputs'!$B$21+'Inputs'!$B$7+'Inputs'!$B$10))/SQRT((((443-43)*MAX('Inputs'!$B$33,'Inputs'!$B$29+'Inputs'!$B$31+'Inputs'!$B$32,'Inputs'!$B$30+'Inputs'!$B$31+'Inputs'!$B$32)/1000+'Inputs'!$B$21+'Inputs'!$B$7+'Inputs'!$B$10))^2+('Inputs'!$B$8/2)^2))))*'Results'!$B$8)-'Inputs'!$B$28*ABS((('Results'!B7*(1-'Inputs'!$B$24)*(0.5*((((443-43)*MAX('Inputs'!$B$33,'Inputs'!$B$29+'Inputs'!$B$31+'Inputs'!$B$32,'Inputs'!$B$30+'Inputs'!$B$31+'Inputs'!$B$32)/1000+'Inputs'!$B$21)+'Inputs'!$B$7)/SQRT((((443-43)*MAX('Inputs'!$B$33,'Inputs'!$B$29+'Inputs'!$B$31+'Inputs'!$B$32,'Inputs'!$B$30+'Inputs'!$B$31+'Inputs'!$B$32)/1000+'Inputs'!$B$21)+'Inputs'!$B$7)^2+('Inputs'!$B$6/2)^2)-(((443-43)*MAX('Inputs'!$B$33,'Inputs'!$B$29+'Inputs'!$B$31+'Inputs'!$B$32,'Inputs'!$B$30+'Inputs'!$B$31+'Inputs'!$B$32)/1000+'Inputs'!$B$21))/SQRT((((443-43)*MAX('Inputs'!$B$33,'Inputs'!$B$29+'Inputs'!$B$31+'Inputs'!$B$32,'Inputs'!$B$30+'Inputs'!$B$31+'Inputs'!$B$32)/1000+'Inputs'!$B$21))^2+('Inputs'!$B$6/2)^2)))-'Results'!C7*(1+'Inputs'!$B$24)*(0.5*((((443-43)*MAX('Inputs'!$B$33,'Inputs'!$B$29+'Inputs'!$B$31+'Inputs'!$B$32,'Inputs'!$B$30+'Inputs'!$B$31+'Inputs'!$B$32)/1000+'Inputs'!$B$21+'Inputs'!$B$7+'Inputs'!$B$10)+'Inputs'!$B$9)/SQRT((((443-43)*MAX('Inputs'!$B$33,'Inputs'!$B$29+'Inputs'!$B$31+'Inputs'!$B$32,'Inputs'!$B$30+'Inputs'!$B$31+'Inputs'!$B$32)/1000+'Inputs'!$B$21+'Inputs'!$B$7+'Inputs'!$B$10)+'Inputs'!$B$9)^2+('Inputs'!$B$8/2)^2)-(((443-43)*MAX('Inputs'!$B$33,'Inputs'!$B$29+'Inputs'!$B$31+'Inputs'!$B$32,'Inputs'!$B$30+'Inputs'!$B$31+'Inputs'!$B$32)/1000+'Inputs'!$B$21+'Inputs'!$B$7+'Inputs'!$B$10))/SQRT((((443-43)*MAX('Inputs'!$B$33,'Inputs'!$B$29+'Inputs'!$B$31+'Inputs'!$B$32,'Inputs'!$B$30+'Inputs'!$B$31+'Inputs'!$B$32)/1000+'Inputs'!$B$21+'Inputs'!$B$7+'Inputs'!$B$10))^2+('Inputs'!$B$8/2)^2))))*'Results'!$B$8))),"")</x:f>
        <x:v>7.91855201841539</x:v>
      </x:c>
      <x:c r="L443" t="n">
        <x:f>IF(AND(ISNUMBER('Results'!B7),ISNUMBER('Results'!C7),ISNUMBER('Results'!$B$8),ISNUMBER('Inputs'!$B$6),ISNUMBER('Inputs'!$B$7),ISNUMBER('Inputs'!$B$8),ISNUMBER('Inputs'!$B$9),ISNUMBER('Inputs'!$B$10),ISNUMBER('Inputs'!$B$21),ISNUMBER('Inputs'!$B$24),ISNUMBER('Inputs'!$B$28)),((('Results'!B7*(1+'Inputs'!$B$24)*(0.5*((((443-43)*MAX('Inputs'!$B$33,'Inputs'!$B$29+'Inputs'!$B$31+'Inputs'!$B$32,'Inputs'!$B$30+'Inputs'!$B$31+'Inputs'!$B$32)/1000+'Inputs'!$B$21)+'Inputs'!$B$7)/SQRT((((443-43)*MAX('Inputs'!$B$33,'Inputs'!$B$29+'Inputs'!$B$31+'Inputs'!$B$32,'Inputs'!$B$30+'Inputs'!$B$31+'Inputs'!$B$32)/1000+'Inputs'!$B$21)+'Inputs'!$B$7)^2+('Inputs'!$B$6/2)^2)-(((443-43)*MAX('Inputs'!$B$33,'Inputs'!$B$29+'Inputs'!$B$31+'Inputs'!$B$32,'Inputs'!$B$30+'Inputs'!$B$31+'Inputs'!$B$32)/1000+'Inputs'!$B$21))/SQRT((((443-43)*MAX('Inputs'!$B$33,'Inputs'!$B$29+'Inputs'!$B$31+'Inputs'!$B$32,'Inputs'!$B$30+'Inputs'!$B$31+'Inputs'!$B$32)/1000+'Inputs'!$B$21))^2+('Inputs'!$B$6/2)^2)))-'Results'!C7*(1-'Inputs'!$B$24)*(0.5*((((443-43)*MAX('Inputs'!$B$33,'Inputs'!$B$29+'Inputs'!$B$31+'Inputs'!$B$32,'Inputs'!$B$30+'Inputs'!$B$31+'Inputs'!$B$32)/1000+'Inputs'!$B$21+'Inputs'!$B$7+'Inputs'!$B$10)+'Inputs'!$B$9)/SQRT((((443-43)*MAX('Inputs'!$B$33,'Inputs'!$B$29+'Inputs'!$B$31+'Inputs'!$B$32,'Inputs'!$B$30+'Inputs'!$B$31+'Inputs'!$B$32)/1000+'Inputs'!$B$21+'Inputs'!$B$7+'Inputs'!$B$10)+'Inputs'!$B$9)^2+('Inputs'!$B$8/2)^2)-(((443-43)*MAX('Inputs'!$B$33,'Inputs'!$B$29+'Inputs'!$B$31+'Inputs'!$B$32,'Inputs'!$B$30+'Inputs'!$B$31+'Inputs'!$B$32)/1000+'Inputs'!$B$21+'Inputs'!$B$7+'Inputs'!$B$10))/SQRT((((443-43)*MAX('Inputs'!$B$33,'Inputs'!$B$29+'Inputs'!$B$31+'Inputs'!$B$32,'Inputs'!$B$30+'Inputs'!$B$31+'Inputs'!$B$32)/1000+'Inputs'!$B$21+'Inputs'!$B$7+'Inputs'!$B$10))^2+('Inputs'!$B$8/2)^2))))*'Results'!$B$8)+'Inputs'!$B$28*ABS((('Results'!B7*(1+'Inputs'!$B$24)*(0.5*((((443-43)*MAX('Inputs'!$B$33,'Inputs'!$B$29+'Inputs'!$B$31+'Inputs'!$B$32,'Inputs'!$B$30+'Inputs'!$B$31+'Inputs'!$B$32)/1000+'Inputs'!$B$21)+'Inputs'!$B$7)/SQRT((((443-43)*MAX('Inputs'!$B$33,'Inputs'!$B$29+'Inputs'!$B$31+'Inputs'!$B$32,'Inputs'!$B$30+'Inputs'!$B$31+'Inputs'!$B$32)/1000+'Inputs'!$B$21)+'Inputs'!$B$7)^2+('Inputs'!$B$6/2)^2)-(((443-43)*MAX('Inputs'!$B$33,'Inputs'!$B$29+'Inputs'!$B$31+'Inputs'!$B$32,'Inputs'!$B$30+'Inputs'!$B$31+'Inputs'!$B$32)/1000+'Inputs'!$B$21))/SQRT((((443-43)*MAX('Inputs'!$B$33,'Inputs'!$B$29+'Inputs'!$B$31+'Inputs'!$B$32,'Inputs'!$B$30+'Inputs'!$B$31+'Inputs'!$B$32)/1000+'Inputs'!$B$21))^2+('Inputs'!$B$6/2)^2)))-'Results'!C7*(1-'Inputs'!$B$24)*(0.5*((((443-43)*MAX('Inputs'!$B$33,'Inputs'!$B$29+'Inputs'!$B$31+'Inputs'!$B$32,'Inputs'!$B$30+'Inputs'!$B$31+'Inputs'!$B$32)/1000+'Inputs'!$B$21+'Inputs'!$B$7+'Inputs'!$B$10)+'Inputs'!$B$9)/SQRT((((443-43)*MAX('Inputs'!$B$33,'Inputs'!$B$29+'Inputs'!$B$31+'Inputs'!$B$32,'Inputs'!$B$30+'Inputs'!$B$31+'Inputs'!$B$32)/1000+'Inputs'!$B$21+'Inputs'!$B$7+'Inputs'!$B$10)+'Inputs'!$B$9)^2+('Inputs'!$B$8/2)^2)-(((443-43)*MAX('Inputs'!$B$33,'Inputs'!$B$29+'Inputs'!$B$31+'Inputs'!$B$32,'Inputs'!$B$30+'Inputs'!$B$31+'Inputs'!$B$32)/1000+'Inputs'!$B$21+'Inputs'!$B$7+'Inputs'!$B$10))/SQRT((((443-43)*MAX('Inputs'!$B$33,'Inputs'!$B$29+'Inputs'!$B$31+'Inputs'!$B$32,'Inputs'!$B$30+'Inputs'!$B$31+'Inputs'!$B$32)/1000+'Inputs'!$B$21+'Inputs'!$B$7+'Inputs'!$B$10))^2+('Inputs'!$B$8/2)^2))))*'Results'!$B$8))),"")</x:f>
        <x:v>9.819502262044042</x:v>
      </x:c>
      <x:c r="M443" t="n">
        <x:f>IF(AND(ISNUMBER('Results'!C7),ISNUMBER('Results'!B7),ISNUMBER('Results'!$B$8),ISNUMBER('Inputs'!$B$6),ISNUMBER('Inputs'!$B$7),ISNUMBER('Inputs'!$B$8),ISNUMBER('Inputs'!$B$9),ISNUMBER('Inputs'!$B$10),ISNUMBER('Inputs'!$B$21),ISNUMBER('Inputs'!$B$24),ISNUMBER('Inputs'!$B$28)),(('Results'!C7*(0.5*((((443-43)*MAX('Inputs'!$B$33,'Inputs'!$B$29+'Inputs'!$B$31+'Inputs'!$B$32,'Inputs'!$B$30+'Inputs'!$B$31+'Inputs'!$B$32)/1000+'Inputs'!$B$21)+'Inputs'!$B$9)/SQRT((((443-43)*MAX('Inputs'!$B$33,'Inputs'!$B$29+'Inputs'!$B$31+'Inputs'!$B$32,'Inputs'!$B$30+'Inputs'!$B$31+'Inputs'!$B$32)/1000+'Inputs'!$B$21)+'Inputs'!$B$9)^2+('Inputs'!$B$8/2)^2)-(((443-43)*MAX('Inputs'!$B$33,'Inputs'!$B$29+'Inputs'!$B$31+'Inputs'!$B$32,'Inputs'!$B$30+'Inputs'!$B$31+'Inputs'!$B$32)/1000+'Inputs'!$B$21))/SQRT((((443-43)*MAX('Inputs'!$B$33,'Inputs'!$B$29+'Inputs'!$B$31+'Inputs'!$B$32,'Inputs'!$B$30+'Inputs'!$B$31+'Inputs'!$B$32)/1000+'Inputs'!$B$21))^2+('Inputs'!$B$8/2)^2)))-'Results'!B7*(0.5*((((443-43)*MAX('Inputs'!$B$33,'Inputs'!$B$29+'Inputs'!$B$31+'Inputs'!$B$32,'Inputs'!$B$30+'Inputs'!$B$31+'Inputs'!$B$32)/1000+'Inputs'!$B$21+'Inputs'!$B$9+'Inputs'!$B$10)+'Inputs'!$B$7)/SQRT((((443-43)*MAX('Inputs'!$B$33,'Inputs'!$B$29+'Inputs'!$B$31+'Inputs'!$B$32,'Inputs'!$B$30+'Inputs'!$B$31+'Inputs'!$B$32)/1000+'Inputs'!$B$21+'Inputs'!$B$9+'Inputs'!$B$10)+'Inputs'!$B$7)^2+('Inputs'!$B$6/2)^2)-(((443-43)*MAX('Inputs'!$B$33,'Inputs'!$B$29+'Inputs'!$B$31+'Inputs'!$B$32,'Inputs'!$B$30+'Inputs'!$B$31+'Inputs'!$B$32)/1000+'Inputs'!$B$21+'Inputs'!$B$9+'Inputs'!$B$10))/SQRT((((443-43)*MAX('Inputs'!$B$33,'Inputs'!$B$29+'Inputs'!$B$31+'Inputs'!$B$32,'Inputs'!$B$30+'Inputs'!$B$31+'Inputs'!$B$32)/1000+'Inputs'!$B$21+'Inputs'!$B$9+'Inputs'!$B$10))^2+('Inputs'!$B$6/2)^2))))*'Results'!$B$8),"")</x:f>
        <x:v>8.331936054399506</x:v>
      </x:c>
      <x:c r="N443" t="n">
        <x:f>IF(AND(ISNUMBER('Results'!C7),ISNUMBER('Results'!B7),ISNUMBER('Results'!$B$8),ISNUMBER('Inputs'!$B$6),ISNUMBER('Inputs'!$B$7),ISNUMBER('Inputs'!$B$8),ISNUMBER('Inputs'!$B$9),ISNUMBER('Inputs'!$B$10),ISNUMBER('Inputs'!$B$21),ISNUMBER('Inputs'!$B$24),ISNUMBER('Inputs'!$B$28)),((('Results'!C7*(1-'Inputs'!$B$24)*(0.5*((((443-43)*MAX('Inputs'!$B$33,'Inputs'!$B$29+'Inputs'!$B$31+'Inputs'!$B$32,'Inputs'!$B$30+'Inputs'!$B$31+'Inputs'!$B$32)/1000+'Inputs'!$B$21)+'Inputs'!$B$9)/SQRT((((443-43)*MAX('Inputs'!$B$33,'Inputs'!$B$29+'Inputs'!$B$31+'Inputs'!$B$32,'Inputs'!$B$30+'Inputs'!$B$31+'Inputs'!$B$32)/1000+'Inputs'!$B$21)+'Inputs'!$B$9)^2+('Inputs'!$B$8/2)^2)-(((443-43)*MAX('Inputs'!$B$33,'Inputs'!$B$29+'Inputs'!$B$31+'Inputs'!$B$32,'Inputs'!$B$30+'Inputs'!$B$31+'Inputs'!$B$32)/1000+'Inputs'!$B$21))/SQRT((((443-43)*MAX('Inputs'!$B$33,'Inputs'!$B$29+'Inputs'!$B$31+'Inputs'!$B$32,'Inputs'!$B$30+'Inputs'!$B$31+'Inputs'!$B$32)/1000+'Inputs'!$B$21))^2+('Inputs'!$B$8/2)^2)))-'Results'!B7*(1+'Inputs'!$B$24)*(0.5*((((443-43)*MAX('Inputs'!$B$33,'Inputs'!$B$29+'Inputs'!$B$31+'Inputs'!$B$32,'Inputs'!$B$30+'Inputs'!$B$31+'Inputs'!$B$32)/1000+'Inputs'!$B$21+'Inputs'!$B$9+'Inputs'!$B$10)+'Inputs'!$B$7)/SQRT((((443-43)*MAX('Inputs'!$B$33,'Inputs'!$B$29+'Inputs'!$B$31+'Inputs'!$B$32,'Inputs'!$B$30+'Inputs'!$B$31+'Inputs'!$B$32)/1000+'Inputs'!$B$21+'Inputs'!$B$9+'Inputs'!$B$10)+'Inputs'!$B$7)^2+('Inputs'!$B$6/2)^2)-(((443-43)*MAX('Inputs'!$B$33,'Inputs'!$B$29+'Inputs'!$B$31+'Inputs'!$B$32,'Inputs'!$B$30+'Inputs'!$B$31+'Inputs'!$B$32)/1000+'Inputs'!$B$21+'Inputs'!$B$9+'Inputs'!$B$10))/SQRT((((443-43)*MAX('Inputs'!$B$33,'Inputs'!$B$29+'Inputs'!$B$31+'Inputs'!$B$32,'Inputs'!$B$30+'Inputs'!$B$31+'Inputs'!$B$32)/1000+'Inputs'!$B$21+'Inputs'!$B$9+'Inputs'!$B$10))^2+('Inputs'!$B$6/2)^2))))*'Results'!$B$8)-'Inputs'!$B$28*ABS((('Results'!C7*(1-'Inputs'!$B$24)*(0.5*((((443-43)*MAX('Inputs'!$B$33,'Inputs'!$B$29+'Inputs'!$B$31+'Inputs'!$B$32,'Inputs'!$B$30+'Inputs'!$B$31+'Inputs'!$B$32)/1000+'Inputs'!$B$21)+'Inputs'!$B$9)/SQRT((((443-43)*MAX('Inputs'!$B$33,'Inputs'!$B$29+'Inputs'!$B$31+'Inputs'!$B$32,'Inputs'!$B$30+'Inputs'!$B$31+'Inputs'!$B$32)/1000+'Inputs'!$B$21)+'Inputs'!$B$9)^2+('Inputs'!$B$8/2)^2)-(((443-43)*MAX('Inputs'!$B$33,'Inputs'!$B$29+'Inputs'!$B$31+'Inputs'!$B$32,'Inputs'!$B$30+'Inputs'!$B$31+'Inputs'!$B$32)/1000+'Inputs'!$B$21))/SQRT((((443-43)*MAX('Inputs'!$B$33,'Inputs'!$B$29+'Inputs'!$B$31+'Inputs'!$B$32,'Inputs'!$B$30+'Inputs'!$B$31+'Inputs'!$B$32)/1000+'Inputs'!$B$21))^2+('Inputs'!$B$8/2)^2)))-'Results'!B7*(1+'Inputs'!$B$24)*(0.5*((((443-43)*MAX('Inputs'!$B$33,'Inputs'!$B$29+'Inputs'!$B$31+'Inputs'!$B$32,'Inputs'!$B$30+'Inputs'!$B$31+'Inputs'!$B$32)/1000+'Inputs'!$B$21+'Inputs'!$B$9+'Inputs'!$B$10)+'Inputs'!$B$7)/SQRT((((443-43)*MAX('Inputs'!$B$33,'Inputs'!$B$29+'Inputs'!$B$31+'Inputs'!$B$32,'Inputs'!$B$30+'Inputs'!$B$31+'Inputs'!$B$32)/1000+'Inputs'!$B$21+'Inputs'!$B$9+'Inputs'!$B$10)+'Inputs'!$B$7)^2+('Inputs'!$B$6/2)^2)-(((443-43)*MAX('Inputs'!$B$33,'Inputs'!$B$29+'Inputs'!$B$31+'Inputs'!$B$32,'Inputs'!$B$30+'Inputs'!$B$31+'Inputs'!$B$32)/1000+'Inputs'!$B$21+'Inputs'!$B$9+'Inputs'!$B$10))/SQRT((((443-43)*MAX('Inputs'!$B$33,'Inputs'!$B$29+'Inputs'!$B$31+'Inputs'!$B$32,'Inputs'!$B$30+'Inputs'!$B$31+'Inputs'!$B$32)/1000+'Inputs'!$B$21+'Inputs'!$B$9+'Inputs'!$B$10))^2+('Inputs'!$B$6/2)^2))))*'Results'!$B$8))),"")</x:f>
        <x:v>7.4357557930598706</x:v>
      </x:c>
      <x:c r="O443" t="n">
        <x:f>IF(AND(ISNUMBER('Results'!C7),ISNUMBER('Results'!B7),ISNUMBER('Results'!$B$8),ISNUMBER('Inputs'!$B$6),ISNUMBER('Inputs'!$B$7),ISNUMBER('Inputs'!$B$8),ISNUMBER('Inputs'!$B$9),ISNUMBER('Inputs'!$B$10),ISNUMBER('Inputs'!$B$21),ISNUMBER('Inputs'!$B$24),ISNUMBER('Inputs'!$B$28)),((('Results'!C7*(1+'Inputs'!$B$24)*(0.5*((((443-43)*MAX('Inputs'!$B$33,'Inputs'!$B$29+'Inputs'!$B$31+'Inputs'!$B$32,'Inputs'!$B$30+'Inputs'!$B$31+'Inputs'!$B$32)/1000+'Inputs'!$B$21)+'Inputs'!$B$9)/SQRT((((443-43)*MAX('Inputs'!$B$33,'Inputs'!$B$29+'Inputs'!$B$31+'Inputs'!$B$32,'Inputs'!$B$30+'Inputs'!$B$31+'Inputs'!$B$32)/1000+'Inputs'!$B$21)+'Inputs'!$B$9)^2+('Inputs'!$B$8/2)^2)-(((443-43)*MAX('Inputs'!$B$33,'Inputs'!$B$29+'Inputs'!$B$31+'Inputs'!$B$32,'Inputs'!$B$30+'Inputs'!$B$31+'Inputs'!$B$32)/1000+'Inputs'!$B$21))/SQRT((((443-43)*MAX('Inputs'!$B$33,'Inputs'!$B$29+'Inputs'!$B$31+'Inputs'!$B$32,'Inputs'!$B$30+'Inputs'!$B$31+'Inputs'!$B$32)/1000+'Inputs'!$B$21))^2+('Inputs'!$B$8/2)^2)))-'Results'!B7*(1-'Inputs'!$B$24)*(0.5*((((443-43)*MAX('Inputs'!$B$33,'Inputs'!$B$29+'Inputs'!$B$31+'Inputs'!$B$32,'Inputs'!$B$30+'Inputs'!$B$31+'Inputs'!$B$32)/1000+'Inputs'!$B$21+'Inputs'!$B$9+'Inputs'!$B$10)+'Inputs'!$B$7)/SQRT((((443-43)*MAX('Inputs'!$B$33,'Inputs'!$B$29+'Inputs'!$B$31+'Inputs'!$B$32,'Inputs'!$B$30+'Inputs'!$B$31+'Inputs'!$B$32)/1000+'Inputs'!$B$21+'Inputs'!$B$9+'Inputs'!$B$10)+'Inputs'!$B$7)^2+('Inputs'!$B$6/2)^2)-(((443-43)*MAX('Inputs'!$B$33,'Inputs'!$B$29+'Inputs'!$B$31+'Inputs'!$B$32,'Inputs'!$B$30+'Inputs'!$B$31+'Inputs'!$B$32)/1000+'Inputs'!$B$21+'Inputs'!$B$9+'Inputs'!$B$10))/SQRT((((443-43)*MAX('Inputs'!$B$33,'Inputs'!$B$29+'Inputs'!$B$31+'Inputs'!$B$32,'Inputs'!$B$30+'Inputs'!$B$31+'Inputs'!$B$32)/1000+'Inputs'!$B$21+'Inputs'!$B$9+'Inputs'!$B$10))^2+('Inputs'!$B$6/2)^2))))*'Results'!$B$8)+'Inputs'!$B$28*ABS((('Results'!C7*(1+'Inputs'!$B$24)*(0.5*((((443-43)*MAX('Inputs'!$B$33,'Inputs'!$B$29+'Inputs'!$B$31+'Inputs'!$B$32,'Inputs'!$B$30+'Inputs'!$B$31+'Inputs'!$B$32)/1000+'Inputs'!$B$21)+'Inputs'!$B$9)/SQRT((((443-43)*MAX('Inputs'!$B$33,'Inputs'!$B$29+'Inputs'!$B$31+'Inputs'!$B$32,'Inputs'!$B$30+'Inputs'!$B$31+'Inputs'!$B$32)/1000+'Inputs'!$B$21)+'Inputs'!$B$9)^2+('Inputs'!$B$8/2)^2)-(((443-43)*MAX('Inputs'!$B$33,'Inputs'!$B$29+'Inputs'!$B$31+'Inputs'!$B$32,'Inputs'!$B$30+'Inputs'!$B$31+'Inputs'!$B$32)/1000+'Inputs'!$B$21))/SQRT((((443-43)*MAX('Inputs'!$B$33,'Inputs'!$B$29+'Inputs'!$B$31+'Inputs'!$B$32,'Inputs'!$B$30+'Inputs'!$B$31+'Inputs'!$B$32)/1000+'Inputs'!$B$21))^2+('Inputs'!$B$8/2)^2)))-'Results'!B7*(1-'Inputs'!$B$24)*(0.5*((((443-43)*MAX('Inputs'!$B$33,'Inputs'!$B$29+'Inputs'!$B$31+'Inputs'!$B$32,'Inputs'!$B$30+'Inputs'!$B$31+'Inputs'!$B$32)/1000+'Inputs'!$B$21+'Inputs'!$B$9+'Inputs'!$B$10)+'Inputs'!$B$7)/SQRT((((443-43)*MAX('Inputs'!$B$33,'Inputs'!$B$29+'Inputs'!$B$31+'Inputs'!$B$32,'Inputs'!$B$30+'Inputs'!$B$31+'Inputs'!$B$32)/1000+'Inputs'!$B$21+'Inputs'!$B$9+'Inputs'!$B$10)+'Inputs'!$B$7)^2+('Inputs'!$B$6/2)^2)-(((443-43)*MAX('Inputs'!$B$33,'Inputs'!$B$29+'Inputs'!$B$31+'Inputs'!$B$32,'Inputs'!$B$30+'Inputs'!$B$31+'Inputs'!$B$32)/1000+'Inputs'!$B$21+'Inputs'!$B$9+'Inputs'!$B$10))/SQRT((((443-43)*MAX('Inputs'!$B$33,'Inputs'!$B$29+'Inputs'!$B$31+'Inputs'!$B$32,'Inputs'!$B$30+'Inputs'!$B$31+'Inputs'!$B$32)/1000+'Inputs'!$B$21+'Inputs'!$B$9+'Inputs'!$B$10))^2+('Inputs'!$B$6/2)^2))))*'Results'!$B$8))),"")</x:f>
        <x:v>9.278598785067521</x:v>
      </x:c>
      <x:c r="P443" t="n">
        <x:f>IF(AND(MAX(J443,J442)&gt;0,J443&gt;J442+0.00000001),1,0)</x:f>
        <x:v>0</x:v>
      </x:c>
      <x:c r="Q443" t="n">
        <x:f>IF(AND(MAX(K443,K442)&gt;0,K443&gt;K442+0.00000001),1,0)</x:f>
        <x:v>0</x:v>
      </x:c>
      <x:c r="R443" t="n">
        <x:f>IF(AND(MAX(L443,L442)&gt;0,L443&gt;L442+0.00000001),1,0)</x:f>
        <x:v>0</x:v>
      </x:c>
      <x:c r="S443" t="n">
        <x:f>IF(AND(MAX(M443,M442)&gt;0,M443&gt;M442+0.00000001),1,0)</x:f>
        <x:v>0</x:v>
      </x:c>
      <x:c r="T443" t="n">
        <x:f>IF(AND(MAX(N443,N442)&gt;0,N443&gt;N442+0.00000001),1,0)</x:f>
        <x:v>0</x:v>
      </x:c>
      <x:c r="U443" t="n">
        <x:f>IF(AND(MAX(O443,O442)&gt;0,O443&gt;O442+0.00000001),1,0)</x:f>
        <x:v>0</x:v>
      </x:c>
    </x:row>
    <x:row r="444">
      <x:c r="J444" t="n">
        <x:f>IF(AND(ISNUMBER('Results'!B7),ISNUMBER('Results'!C7),ISNUMBER('Results'!$B$8),ISNUMBER('Inputs'!$B$6),ISNUMBER('Inputs'!$B$7),ISNUMBER('Inputs'!$B$8),ISNUMBER('Inputs'!$B$9),ISNUMBER('Inputs'!$B$10),ISNUMBER('Inputs'!$B$21),ISNUMBER('Inputs'!$B$24),ISNUMBER('Inputs'!$B$28)),(('Results'!B7*(0.5*((((444-43)*MAX('Inputs'!$B$33,'Inputs'!$B$29+'Inputs'!$B$31+'Inputs'!$B$32,'Inputs'!$B$30+'Inputs'!$B$31+'Inputs'!$B$32)/1000+'Inputs'!$B$21)+'Inputs'!$B$7)/SQRT((((444-43)*MAX('Inputs'!$B$33,'Inputs'!$B$29+'Inputs'!$B$31+'Inputs'!$B$32,'Inputs'!$B$30+'Inputs'!$B$31+'Inputs'!$B$32)/1000+'Inputs'!$B$21)+'Inputs'!$B$7)^2+('Inputs'!$B$6/2)^2)-(((444-43)*MAX('Inputs'!$B$33,'Inputs'!$B$29+'Inputs'!$B$31+'Inputs'!$B$32,'Inputs'!$B$30+'Inputs'!$B$31+'Inputs'!$B$32)/1000+'Inputs'!$B$21))/SQRT((((444-43)*MAX('Inputs'!$B$33,'Inputs'!$B$29+'Inputs'!$B$31+'Inputs'!$B$32,'Inputs'!$B$30+'Inputs'!$B$31+'Inputs'!$B$32)/1000+'Inputs'!$B$21))^2+('Inputs'!$B$6/2)^2)))-'Results'!C7*(0.5*((((444-43)*MAX('Inputs'!$B$33,'Inputs'!$B$29+'Inputs'!$B$31+'Inputs'!$B$32,'Inputs'!$B$30+'Inputs'!$B$31+'Inputs'!$B$32)/1000+'Inputs'!$B$21+'Inputs'!$B$7+'Inputs'!$B$10)+'Inputs'!$B$9)/SQRT((((444-43)*MAX('Inputs'!$B$33,'Inputs'!$B$29+'Inputs'!$B$31+'Inputs'!$B$32,'Inputs'!$B$30+'Inputs'!$B$31+'Inputs'!$B$32)/1000+'Inputs'!$B$21+'Inputs'!$B$7+'Inputs'!$B$10)+'Inputs'!$B$9)^2+('Inputs'!$B$8/2)^2)-(((444-43)*MAX('Inputs'!$B$33,'Inputs'!$B$29+'Inputs'!$B$31+'Inputs'!$B$32,'Inputs'!$B$30+'Inputs'!$B$31+'Inputs'!$B$32)/1000+'Inputs'!$B$21+'Inputs'!$B$7+'Inputs'!$B$10))/SQRT((((444-43)*MAX('Inputs'!$B$33,'Inputs'!$B$29+'Inputs'!$B$31+'Inputs'!$B$32,'Inputs'!$B$30+'Inputs'!$B$31+'Inputs'!$B$32)/1000+'Inputs'!$B$21+'Inputs'!$B$7+'Inputs'!$B$10))^2+('Inputs'!$B$8/2)^2))))*'Results'!$B$8),"")</x:f>
        <x:v>8.77107848268277</x:v>
      </x:c>
      <x:c r="K444" t="n">
        <x:f>IF(AND(ISNUMBER('Results'!B7),ISNUMBER('Results'!C7),ISNUMBER('Results'!$B$8),ISNUMBER('Inputs'!$B$6),ISNUMBER('Inputs'!$B$7),ISNUMBER('Inputs'!$B$8),ISNUMBER('Inputs'!$B$9),ISNUMBER('Inputs'!$B$10),ISNUMBER('Inputs'!$B$21),ISNUMBER('Inputs'!$B$24),ISNUMBER('Inputs'!$B$28)),((('Results'!B7*(1-'Inputs'!$B$24)*(0.5*((((444-43)*MAX('Inputs'!$B$33,'Inputs'!$B$29+'Inputs'!$B$31+'Inputs'!$B$32,'Inputs'!$B$30+'Inputs'!$B$31+'Inputs'!$B$32)/1000+'Inputs'!$B$21)+'Inputs'!$B$7)/SQRT((((444-43)*MAX('Inputs'!$B$33,'Inputs'!$B$29+'Inputs'!$B$31+'Inputs'!$B$32,'Inputs'!$B$30+'Inputs'!$B$31+'Inputs'!$B$32)/1000+'Inputs'!$B$21)+'Inputs'!$B$7)^2+('Inputs'!$B$6/2)^2)-(((444-43)*MAX('Inputs'!$B$33,'Inputs'!$B$29+'Inputs'!$B$31+'Inputs'!$B$32,'Inputs'!$B$30+'Inputs'!$B$31+'Inputs'!$B$32)/1000+'Inputs'!$B$21))/SQRT((((444-43)*MAX('Inputs'!$B$33,'Inputs'!$B$29+'Inputs'!$B$31+'Inputs'!$B$32,'Inputs'!$B$30+'Inputs'!$B$31+'Inputs'!$B$32)/1000+'Inputs'!$B$21))^2+('Inputs'!$B$6/2)^2)))-'Results'!C7*(1+'Inputs'!$B$24)*(0.5*((((444-43)*MAX('Inputs'!$B$33,'Inputs'!$B$29+'Inputs'!$B$31+'Inputs'!$B$32,'Inputs'!$B$30+'Inputs'!$B$31+'Inputs'!$B$32)/1000+'Inputs'!$B$21+'Inputs'!$B$7+'Inputs'!$B$10)+'Inputs'!$B$9)/SQRT((((444-43)*MAX('Inputs'!$B$33,'Inputs'!$B$29+'Inputs'!$B$31+'Inputs'!$B$32,'Inputs'!$B$30+'Inputs'!$B$31+'Inputs'!$B$32)/1000+'Inputs'!$B$21+'Inputs'!$B$7+'Inputs'!$B$10)+'Inputs'!$B$9)^2+('Inputs'!$B$8/2)^2)-(((444-43)*MAX('Inputs'!$B$33,'Inputs'!$B$29+'Inputs'!$B$31+'Inputs'!$B$32,'Inputs'!$B$30+'Inputs'!$B$31+'Inputs'!$B$32)/1000+'Inputs'!$B$21+'Inputs'!$B$7+'Inputs'!$B$10))/SQRT((((444-43)*MAX('Inputs'!$B$33,'Inputs'!$B$29+'Inputs'!$B$31+'Inputs'!$B$32,'Inputs'!$B$30+'Inputs'!$B$31+'Inputs'!$B$32)/1000+'Inputs'!$B$21+'Inputs'!$B$7+'Inputs'!$B$10))^2+('Inputs'!$B$8/2)^2))))*'Results'!$B$8)-'Inputs'!$B$28*ABS((('Results'!B7*(1-'Inputs'!$B$24)*(0.5*((((444-43)*MAX('Inputs'!$B$33,'Inputs'!$B$29+'Inputs'!$B$31+'Inputs'!$B$32,'Inputs'!$B$30+'Inputs'!$B$31+'Inputs'!$B$32)/1000+'Inputs'!$B$21)+'Inputs'!$B$7)/SQRT((((444-43)*MAX('Inputs'!$B$33,'Inputs'!$B$29+'Inputs'!$B$31+'Inputs'!$B$32,'Inputs'!$B$30+'Inputs'!$B$31+'Inputs'!$B$32)/1000+'Inputs'!$B$21)+'Inputs'!$B$7)^2+('Inputs'!$B$6/2)^2)-(((444-43)*MAX('Inputs'!$B$33,'Inputs'!$B$29+'Inputs'!$B$31+'Inputs'!$B$32,'Inputs'!$B$30+'Inputs'!$B$31+'Inputs'!$B$32)/1000+'Inputs'!$B$21))/SQRT((((444-43)*MAX('Inputs'!$B$33,'Inputs'!$B$29+'Inputs'!$B$31+'Inputs'!$B$32,'Inputs'!$B$30+'Inputs'!$B$31+'Inputs'!$B$32)/1000+'Inputs'!$B$21))^2+('Inputs'!$B$6/2)^2)))-'Results'!C7*(1+'Inputs'!$B$24)*(0.5*((((444-43)*MAX('Inputs'!$B$33,'Inputs'!$B$29+'Inputs'!$B$31+'Inputs'!$B$32,'Inputs'!$B$30+'Inputs'!$B$31+'Inputs'!$B$32)/1000+'Inputs'!$B$21+'Inputs'!$B$7+'Inputs'!$B$10)+'Inputs'!$B$9)/SQRT((((444-43)*MAX('Inputs'!$B$33,'Inputs'!$B$29+'Inputs'!$B$31+'Inputs'!$B$32,'Inputs'!$B$30+'Inputs'!$B$31+'Inputs'!$B$32)/1000+'Inputs'!$B$21+'Inputs'!$B$7+'Inputs'!$B$10)+'Inputs'!$B$9)^2+('Inputs'!$B$8/2)^2)-(((444-43)*MAX('Inputs'!$B$33,'Inputs'!$B$29+'Inputs'!$B$31+'Inputs'!$B$32,'Inputs'!$B$30+'Inputs'!$B$31+'Inputs'!$B$32)/1000+'Inputs'!$B$21+'Inputs'!$B$7+'Inputs'!$B$10))/SQRT((((444-43)*MAX('Inputs'!$B$33,'Inputs'!$B$29+'Inputs'!$B$31+'Inputs'!$B$32,'Inputs'!$B$30+'Inputs'!$B$31+'Inputs'!$B$32)/1000+'Inputs'!$B$21+'Inputs'!$B$7+'Inputs'!$B$10))^2+('Inputs'!$B$8/2)^2))))*'Results'!$B$8))),"")</x:f>
        <x:v>7.852748516479631</x:v>
      </x:c>
      <x:c r="L444" t="n">
        <x:f>IF(AND(ISNUMBER('Results'!B7),ISNUMBER('Results'!C7),ISNUMBER('Results'!$B$8),ISNUMBER('Inputs'!$B$6),ISNUMBER('Inputs'!$B$7),ISNUMBER('Inputs'!$B$8),ISNUMBER('Inputs'!$B$9),ISNUMBER('Inputs'!$B$10),ISNUMBER('Inputs'!$B$21),ISNUMBER('Inputs'!$B$24),ISNUMBER('Inputs'!$B$28)),((('Results'!B7*(1+'Inputs'!$B$24)*(0.5*((((444-43)*MAX('Inputs'!$B$33,'Inputs'!$B$29+'Inputs'!$B$31+'Inputs'!$B$32,'Inputs'!$B$30+'Inputs'!$B$31+'Inputs'!$B$32)/1000+'Inputs'!$B$21)+'Inputs'!$B$7)/SQRT((((444-43)*MAX('Inputs'!$B$33,'Inputs'!$B$29+'Inputs'!$B$31+'Inputs'!$B$32,'Inputs'!$B$30+'Inputs'!$B$31+'Inputs'!$B$32)/1000+'Inputs'!$B$21)+'Inputs'!$B$7)^2+('Inputs'!$B$6/2)^2)-(((444-43)*MAX('Inputs'!$B$33,'Inputs'!$B$29+'Inputs'!$B$31+'Inputs'!$B$32,'Inputs'!$B$30+'Inputs'!$B$31+'Inputs'!$B$32)/1000+'Inputs'!$B$21))/SQRT((((444-43)*MAX('Inputs'!$B$33,'Inputs'!$B$29+'Inputs'!$B$31+'Inputs'!$B$32,'Inputs'!$B$30+'Inputs'!$B$31+'Inputs'!$B$32)/1000+'Inputs'!$B$21))^2+('Inputs'!$B$6/2)^2)))-'Results'!C7*(1-'Inputs'!$B$24)*(0.5*((((444-43)*MAX('Inputs'!$B$33,'Inputs'!$B$29+'Inputs'!$B$31+'Inputs'!$B$32,'Inputs'!$B$30+'Inputs'!$B$31+'Inputs'!$B$32)/1000+'Inputs'!$B$21+'Inputs'!$B$7+'Inputs'!$B$10)+'Inputs'!$B$9)/SQRT((((444-43)*MAX('Inputs'!$B$33,'Inputs'!$B$29+'Inputs'!$B$31+'Inputs'!$B$32,'Inputs'!$B$30+'Inputs'!$B$31+'Inputs'!$B$32)/1000+'Inputs'!$B$21+'Inputs'!$B$7+'Inputs'!$B$10)+'Inputs'!$B$9)^2+('Inputs'!$B$8/2)^2)-(((444-43)*MAX('Inputs'!$B$33,'Inputs'!$B$29+'Inputs'!$B$31+'Inputs'!$B$32,'Inputs'!$B$30+'Inputs'!$B$31+'Inputs'!$B$32)/1000+'Inputs'!$B$21+'Inputs'!$B$7+'Inputs'!$B$10))/SQRT((((444-43)*MAX('Inputs'!$B$33,'Inputs'!$B$29+'Inputs'!$B$31+'Inputs'!$B$32,'Inputs'!$B$30+'Inputs'!$B$31+'Inputs'!$B$32)/1000+'Inputs'!$B$21+'Inputs'!$B$7+'Inputs'!$B$10))^2+('Inputs'!$B$8/2)^2))))*'Results'!$B$8)+'Inputs'!$B$28*ABS((('Results'!B7*(1+'Inputs'!$B$24)*(0.5*((((444-43)*MAX('Inputs'!$B$33,'Inputs'!$B$29+'Inputs'!$B$31+'Inputs'!$B$32,'Inputs'!$B$30+'Inputs'!$B$31+'Inputs'!$B$32)/1000+'Inputs'!$B$21)+'Inputs'!$B$7)/SQRT((((444-43)*MAX('Inputs'!$B$33,'Inputs'!$B$29+'Inputs'!$B$31+'Inputs'!$B$32,'Inputs'!$B$30+'Inputs'!$B$31+'Inputs'!$B$32)/1000+'Inputs'!$B$21)+'Inputs'!$B$7)^2+('Inputs'!$B$6/2)^2)-(((444-43)*MAX('Inputs'!$B$33,'Inputs'!$B$29+'Inputs'!$B$31+'Inputs'!$B$32,'Inputs'!$B$30+'Inputs'!$B$31+'Inputs'!$B$32)/1000+'Inputs'!$B$21))/SQRT((((444-43)*MAX('Inputs'!$B$33,'Inputs'!$B$29+'Inputs'!$B$31+'Inputs'!$B$32,'Inputs'!$B$30+'Inputs'!$B$31+'Inputs'!$B$32)/1000+'Inputs'!$B$21))^2+('Inputs'!$B$6/2)^2)))-'Results'!C7*(1-'Inputs'!$B$24)*(0.5*((((444-43)*MAX('Inputs'!$B$33,'Inputs'!$B$29+'Inputs'!$B$31+'Inputs'!$B$32,'Inputs'!$B$30+'Inputs'!$B$31+'Inputs'!$B$32)/1000+'Inputs'!$B$21+'Inputs'!$B$7+'Inputs'!$B$10)+'Inputs'!$B$9)/SQRT((((444-43)*MAX('Inputs'!$B$33,'Inputs'!$B$29+'Inputs'!$B$31+'Inputs'!$B$32,'Inputs'!$B$30+'Inputs'!$B$31+'Inputs'!$B$32)/1000+'Inputs'!$B$21+'Inputs'!$B$7+'Inputs'!$B$10)+'Inputs'!$B$9)^2+('Inputs'!$B$8/2)^2)-(((444-43)*MAX('Inputs'!$B$33,'Inputs'!$B$29+'Inputs'!$B$31+'Inputs'!$B$32,'Inputs'!$B$30+'Inputs'!$B$31+'Inputs'!$B$32)/1000+'Inputs'!$B$21+'Inputs'!$B$7+'Inputs'!$B$10))/SQRT((((444-43)*MAX('Inputs'!$B$33,'Inputs'!$B$29+'Inputs'!$B$31+'Inputs'!$B$32,'Inputs'!$B$30+'Inputs'!$B$31+'Inputs'!$B$32)/1000+'Inputs'!$B$21+'Inputs'!$B$7+'Inputs'!$B$10))^2+('Inputs'!$B$8/2)^2))))*'Results'!$B$8))),"")</x:f>
        <x:v>9.739911190156331</x:v>
      </x:c>
      <x:c r="M444" t="n">
        <x:f>IF(AND(ISNUMBER('Results'!C7),ISNUMBER('Results'!B7),ISNUMBER('Results'!$B$8),ISNUMBER('Inputs'!$B$6),ISNUMBER('Inputs'!$B$7),ISNUMBER('Inputs'!$B$8),ISNUMBER('Inputs'!$B$9),ISNUMBER('Inputs'!$B$10),ISNUMBER('Inputs'!$B$21),ISNUMBER('Inputs'!$B$24),ISNUMBER('Inputs'!$B$28)),(('Results'!C7*(0.5*((((444-43)*MAX('Inputs'!$B$33,'Inputs'!$B$29+'Inputs'!$B$31+'Inputs'!$B$32,'Inputs'!$B$30+'Inputs'!$B$31+'Inputs'!$B$32)/1000+'Inputs'!$B$21)+'Inputs'!$B$9)/SQRT((((444-43)*MAX('Inputs'!$B$33,'Inputs'!$B$29+'Inputs'!$B$31+'Inputs'!$B$32,'Inputs'!$B$30+'Inputs'!$B$31+'Inputs'!$B$32)/1000+'Inputs'!$B$21)+'Inputs'!$B$9)^2+('Inputs'!$B$8/2)^2)-(((444-43)*MAX('Inputs'!$B$33,'Inputs'!$B$29+'Inputs'!$B$31+'Inputs'!$B$32,'Inputs'!$B$30+'Inputs'!$B$31+'Inputs'!$B$32)/1000+'Inputs'!$B$21))/SQRT((((444-43)*MAX('Inputs'!$B$33,'Inputs'!$B$29+'Inputs'!$B$31+'Inputs'!$B$32,'Inputs'!$B$30+'Inputs'!$B$31+'Inputs'!$B$32)/1000+'Inputs'!$B$21))^2+('Inputs'!$B$8/2)^2)))-'Results'!B7*(0.5*((((444-43)*MAX('Inputs'!$B$33,'Inputs'!$B$29+'Inputs'!$B$31+'Inputs'!$B$32,'Inputs'!$B$30+'Inputs'!$B$31+'Inputs'!$B$32)/1000+'Inputs'!$B$21+'Inputs'!$B$9+'Inputs'!$B$10)+'Inputs'!$B$7)/SQRT((((444-43)*MAX('Inputs'!$B$33,'Inputs'!$B$29+'Inputs'!$B$31+'Inputs'!$B$32,'Inputs'!$B$30+'Inputs'!$B$31+'Inputs'!$B$32)/1000+'Inputs'!$B$21+'Inputs'!$B$9+'Inputs'!$B$10)+'Inputs'!$B$7)^2+('Inputs'!$B$6/2)^2)-(((444-43)*MAX('Inputs'!$B$33,'Inputs'!$B$29+'Inputs'!$B$31+'Inputs'!$B$32,'Inputs'!$B$30+'Inputs'!$B$31+'Inputs'!$B$32)/1000+'Inputs'!$B$21+'Inputs'!$B$9+'Inputs'!$B$10))/SQRT((((444-43)*MAX('Inputs'!$B$33,'Inputs'!$B$29+'Inputs'!$B$31+'Inputs'!$B$32,'Inputs'!$B$30+'Inputs'!$B$31+'Inputs'!$B$32)/1000+'Inputs'!$B$21+'Inputs'!$B$9+'Inputs'!$B$10))^2+('Inputs'!$B$6/2)^2))))*'Results'!$B$8),"")</x:f>
        <x:v>8.262687745049472</x:v>
      </x:c>
      <x:c r="N444" t="n">
        <x:f>IF(AND(ISNUMBER('Results'!C7),ISNUMBER('Results'!B7),ISNUMBER('Results'!$B$8),ISNUMBER('Inputs'!$B$6),ISNUMBER('Inputs'!$B$7),ISNUMBER('Inputs'!$B$8),ISNUMBER('Inputs'!$B$9),ISNUMBER('Inputs'!$B$10),ISNUMBER('Inputs'!$B$21),ISNUMBER('Inputs'!$B$24),ISNUMBER('Inputs'!$B$28)),((('Results'!C7*(1-'Inputs'!$B$24)*(0.5*((((444-43)*MAX('Inputs'!$B$33,'Inputs'!$B$29+'Inputs'!$B$31+'Inputs'!$B$32,'Inputs'!$B$30+'Inputs'!$B$31+'Inputs'!$B$32)/1000+'Inputs'!$B$21)+'Inputs'!$B$9)/SQRT((((444-43)*MAX('Inputs'!$B$33,'Inputs'!$B$29+'Inputs'!$B$31+'Inputs'!$B$32,'Inputs'!$B$30+'Inputs'!$B$31+'Inputs'!$B$32)/1000+'Inputs'!$B$21)+'Inputs'!$B$9)^2+('Inputs'!$B$8/2)^2)-(((444-43)*MAX('Inputs'!$B$33,'Inputs'!$B$29+'Inputs'!$B$31+'Inputs'!$B$32,'Inputs'!$B$30+'Inputs'!$B$31+'Inputs'!$B$32)/1000+'Inputs'!$B$21))/SQRT((((444-43)*MAX('Inputs'!$B$33,'Inputs'!$B$29+'Inputs'!$B$31+'Inputs'!$B$32,'Inputs'!$B$30+'Inputs'!$B$31+'Inputs'!$B$32)/1000+'Inputs'!$B$21))^2+('Inputs'!$B$8/2)^2)))-'Results'!B7*(1+'Inputs'!$B$24)*(0.5*((((444-43)*MAX('Inputs'!$B$33,'Inputs'!$B$29+'Inputs'!$B$31+'Inputs'!$B$32,'Inputs'!$B$30+'Inputs'!$B$31+'Inputs'!$B$32)/1000+'Inputs'!$B$21+'Inputs'!$B$9+'Inputs'!$B$10)+'Inputs'!$B$7)/SQRT((((444-43)*MAX('Inputs'!$B$33,'Inputs'!$B$29+'Inputs'!$B$31+'Inputs'!$B$32,'Inputs'!$B$30+'Inputs'!$B$31+'Inputs'!$B$32)/1000+'Inputs'!$B$21+'Inputs'!$B$9+'Inputs'!$B$10)+'Inputs'!$B$7)^2+('Inputs'!$B$6/2)^2)-(((444-43)*MAX('Inputs'!$B$33,'Inputs'!$B$29+'Inputs'!$B$31+'Inputs'!$B$32,'Inputs'!$B$30+'Inputs'!$B$31+'Inputs'!$B$32)/1000+'Inputs'!$B$21+'Inputs'!$B$9+'Inputs'!$B$10))/SQRT((((444-43)*MAX('Inputs'!$B$33,'Inputs'!$B$29+'Inputs'!$B$31+'Inputs'!$B$32,'Inputs'!$B$30+'Inputs'!$B$31+'Inputs'!$B$32)/1000+'Inputs'!$B$21+'Inputs'!$B$9+'Inputs'!$B$10))^2+('Inputs'!$B$6/2)^2))))*'Results'!$B$8)-'Inputs'!$B$28*ABS((('Results'!C7*(1-'Inputs'!$B$24)*(0.5*((((444-43)*MAX('Inputs'!$B$33,'Inputs'!$B$29+'Inputs'!$B$31+'Inputs'!$B$32,'Inputs'!$B$30+'Inputs'!$B$31+'Inputs'!$B$32)/1000+'Inputs'!$B$21)+'Inputs'!$B$9)/SQRT((((444-43)*MAX('Inputs'!$B$33,'Inputs'!$B$29+'Inputs'!$B$31+'Inputs'!$B$32,'Inputs'!$B$30+'Inputs'!$B$31+'Inputs'!$B$32)/1000+'Inputs'!$B$21)+'Inputs'!$B$9)^2+('Inputs'!$B$8/2)^2)-(((444-43)*MAX('Inputs'!$B$33,'Inputs'!$B$29+'Inputs'!$B$31+'Inputs'!$B$32,'Inputs'!$B$30+'Inputs'!$B$31+'Inputs'!$B$32)/1000+'Inputs'!$B$21))/SQRT((((444-43)*MAX('Inputs'!$B$33,'Inputs'!$B$29+'Inputs'!$B$31+'Inputs'!$B$32,'Inputs'!$B$30+'Inputs'!$B$31+'Inputs'!$B$32)/1000+'Inputs'!$B$21))^2+('Inputs'!$B$8/2)^2)))-'Results'!B7*(1+'Inputs'!$B$24)*(0.5*((((444-43)*MAX('Inputs'!$B$33,'Inputs'!$B$29+'Inputs'!$B$31+'Inputs'!$B$32,'Inputs'!$B$30+'Inputs'!$B$31+'Inputs'!$B$32)/1000+'Inputs'!$B$21+'Inputs'!$B$9+'Inputs'!$B$10)+'Inputs'!$B$7)/SQRT((((444-43)*MAX('Inputs'!$B$33,'Inputs'!$B$29+'Inputs'!$B$31+'Inputs'!$B$32,'Inputs'!$B$30+'Inputs'!$B$31+'Inputs'!$B$32)/1000+'Inputs'!$B$21+'Inputs'!$B$9+'Inputs'!$B$10)+'Inputs'!$B$7)^2+('Inputs'!$B$6/2)^2)-(((444-43)*MAX('Inputs'!$B$33,'Inputs'!$B$29+'Inputs'!$B$31+'Inputs'!$B$32,'Inputs'!$B$30+'Inputs'!$B$31+'Inputs'!$B$32)/1000+'Inputs'!$B$21+'Inputs'!$B$9+'Inputs'!$B$10))/SQRT((((444-43)*MAX('Inputs'!$B$33,'Inputs'!$B$29+'Inputs'!$B$31+'Inputs'!$B$32,'Inputs'!$B$30+'Inputs'!$B$31+'Inputs'!$B$32)/1000+'Inputs'!$B$21+'Inputs'!$B$9+'Inputs'!$B$10))^2+('Inputs'!$B$6/2)^2))))*'Results'!$B$8))),"")</x:f>
        <x:v>7.373046422377762</x:v>
      </x:c>
      <x:c r="O444" t="n">
        <x:f>IF(AND(ISNUMBER('Results'!C7),ISNUMBER('Results'!B7),ISNUMBER('Results'!$B$8),ISNUMBER('Inputs'!$B$6),ISNUMBER('Inputs'!$B$7),ISNUMBER('Inputs'!$B$8),ISNUMBER('Inputs'!$B$9),ISNUMBER('Inputs'!$B$10),ISNUMBER('Inputs'!$B$21),ISNUMBER('Inputs'!$B$24),ISNUMBER('Inputs'!$B$28)),((('Results'!C7*(1+'Inputs'!$B$24)*(0.5*((((444-43)*MAX('Inputs'!$B$33,'Inputs'!$B$29+'Inputs'!$B$31+'Inputs'!$B$32,'Inputs'!$B$30+'Inputs'!$B$31+'Inputs'!$B$32)/1000+'Inputs'!$B$21)+'Inputs'!$B$9)/SQRT((((444-43)*MAX('Inputs'!$B$33,'Inputs'!$B$29+'Inputs'!$B$31+'Inputs'!$B$32,'Inputs'!$B$30+'Inputs'!$B$31+'Inputs'!$B$32)/1000+'Inputs'!$B$21)+'Inputs'!$B$9)^2+('Inputs'!$B$8/2)^2)-(((444-43)*MAX('Inputs'!$B$33,'Inputs'!$B$29+'Inputs'!$B$31+'Inputs'!$B$32,'Inputs'!$B$30+'Inputs'!$B$31+'Inputs'!$B$32)/1000+'Inputs'!$B$21))/SQRT((((444-43)*MAX('Inputs'!$B$33,'Inputs'!$B$29+'Inputs'!$B$31+'Inputs'!$B$32,'Inputs'!$B$30+'Inputs'!$B$31+'Inputs'!$B$32)/1000+'Inputs'!$B$21))^2+('Inputs'!$B$8/2)^2)))-'Results'!B7*(1-'Inputs'!$B$24)*(0.5*((((444-43)*MAX('Inputs'!$B$33,'Inputs'!$B$29+'Inputs'!$B$31+'Inputs'!$B$32,'Inputs'!$B$30+'Inputs'!$B$31+'Inputs'!$B$32)/1000+'Inputs'!$B$21+'Inputs'!$B$9+'Inputs'!$B$10)+'Inputs'!$B$7)/SQRT((((444-43)*MAX('Inputs'!$B$33,'Inputs'!$B$29+'Inputs'!$B$31+'Inputs'!$B$32,'Inputs'!$B$30+'Inputs'!$B$31+'Inputs'!$B$32)/1000+'Inputs'!$B$21+'Inputs'!$B$9+'Inputs'!$B$10)+'Inputs'!$B$7)^2+('Inputs'!$B$6/2)^2)-(((444-43)*MAX('Inputs'!$B$33,'Inputs'!$B$29+'Inputs'!$B$31+'Inputs'!$B$32,'Inputs'!$B$30+'Inputs'!$B$31+'Inputs'!$B$32)/1000+'Inputs'!$B$21+'Inputs'!$B$9+'Inputs'!$B$10))/SQRT((((444-43)*MAX('Inputs'!$B$33,'Inputs'!$B$29+'Inputs'!$B$31+'Inputs'!$B$32,'Inputs'!$B$30+'Inputs'!$B$31+'Inputs'!$B$32)/1000+'Inputs'!$B$21+'Inputs'!$B$9+'Inputs'!$B$10))^2+('Inputs'!$B$6/2)^2))))*'Results'!$B$8)+'Inputs'!$B$28*ABS((('Results'!C7*(1+'Inputs'!$B$24)*(0.5*((((444-43)*MAX('Inputs'!$B$33,'Inputs'!$B$29+'Inputs'!$B$31+'Inputs'!$B$32,'Inputs'!$B$30+'Inputs'!$B$31+'Inputs'!$B$32)/1000+'Inputs'!$B$21)+'Inputs'!$B$9)/SQRT((((444-43)*MAX('Inputs'!$B$33,'Inputs'!$B$29+'Inputs'!$B$31+'Inputs'!$B$32,'Inputs'!$B$30+'Inputs'!$B$31+'Inputs'!$B$32)/1000+'Inputs'!$B$21)+'Inputs'!$B$9)^2+('Inputs'!$B$8/2)^2)-(((444-43)*MAX('Inputs'!$B$33,'Inputs'!$B$29+'Inputs'!$B$31+'Inputs'!$B$32,'Inputs'!$B$30+'Inputs'!$B$31+'Inputs'!$B$32)/1000+'Inputs'!$B$21))/SQRT((((444-43)*MAX('Inputs'!$B$33,'Inputs'!$B$29+'Inputs'!$B$31+'Inputs'!$B$32,'Inputs'!$B$30+'Inputs'!$B$31+'Inputs'!$B$32)/1000+'Inputs'!$B$21))^2+('Inputs'!$B$8/2)^2)))-'Results'!B7*(1-'Inputs'!$B$24)*(0.5*((((444-43)*MAX('Inputs'!$B$33,'Inputs'!$B$29+'Inputs'!$B$31+'Inputs'!$B$32,'Inputs'!$B$30+'Inputs'!$B$31+'Inputs'!$B$32)/1000+'Inputs'!$B$21+'Inputs'!$B$9+'Inputs'!$B$10)+'Inputs'!$B$7)/SQRT((((444-43)*MAX('Inputs'!$B$33,'Inputs'!$B$29+'Inputs'!$B$31+'Inputs'!$B$32,'Inputs'!$B$30+'Inputs'!$B$31+'Inputs'!$B$32)/1000+'Inputs'!$B$21+'Inputs'!$B$9+'Inputs'!$B$10)+'Inputs'!$B$7)^2+('Inputs'!$B$6/2)^2)-(((444-43)*MAX('Inputs'!$B$33,'Inputs'!$B$29+'Inputs'!$B$31+'Inputs'!$B$32,'Inputs'!$B$30+'Inputs'!$B$31+'Inputs'!$B$32)/1000+'Inputs'!$B$21+'Inputs'!$B$9+'Inputs'!$B$10))/SQRT((((444-43)*MAX('Inputs'!$B$33,'Inputs'!$B$29+'Inputs'!$B$31+'Inputs'!$B$32,'Inputs'!$B$30+'Inputs'!$B$31+'Inputs'!$B$32)/1000+'Inputs'!$B$21+'Inputs'!$B$9+'Inputs'!$B$10))^2+('Inputs'!$B$6/2)^2))))*'Results'!$B$8))),"")</x:f>
        <x:v>9.202487692502153</x:v>
      </x:c>
      <x:c r="P444" t="n">
        <x:f>IF(AND(MAX(J444,J443)&gt;0,J444&gt;J443+0.00000001),1,0)</x:f>
        <x:v>0</x:v>
      </x:c>
      <x:c r="Q444" t="n">
        <x:f>IF(AND(MAX(K444,K443)&gt;0,K444&gt;K443+0.00000001),1,0)</x:f>
        <x:v>0</x:v>
      </x:c>
      <x:c r="R444" t="n">
        <x:f>IF(AND(MAX(L444,L443)&gt;0,L444&gt;L443+0.00000001),1,0)</x:f>
        <x:v>0</x:v>
      </x:c>
      <x:c r="S444" t="n">
        <x:f>IF(AND(MAX(M444,M443)&gt;0,M444&gt;M443+0.00000001),1,0)</x:f>
        <x:v>0</x:v>
      </x:c>
      <x:c r="T444" t="n">
        <x:f>IF(AND(MAX(N444,N443)&gt;0,N444&gt;N443+0.00000001),1,0)</x:f>
        <x:v>0</x:v>
      </x:c>
      <x:c r="U444" t="n">
        <x:f>IF(AND(MAX(O444,O443)&gt;0,O444&gt;O443+0.00000001),1,0)</x:f>
        <x:v>0</x:v>
      </x:c>
    </x:row>
    <x:row r="445">
      <x:c r="J445" t="n">
        <x:f>IF(AND(ISNUMBER('Results'!B7),ISNUMBER('Results'!C7),ISNUMBER('Results'!$B$8),ISNUMBER('Inputs'!$B$6),ISNUMBER('Inputs'!$B$7),ISNUMBER('Inputs'!$B$8),ISNUMBER('Inputs'!$B$9),ISNUMBER('Inputs'!$B$10),ISNUMBER('Inputs'!$B$21),ISNUMBER('Inputs'!$B$24),ISNUMBER('Inputs'!$B$28)),(('Results'!B7*(0.5*((((445-43)*MAX('Inputs'!$B$33,'Inputs'!$B$29+'Inputs'!$B$31+'Inputs'!$B$32,'Inputs'!$B$30+'Inputs'!$B$31+'Inputs'!$B$32)/1000+'Inputs'!$B$21)+'Inputs'!$B$7)/SQRT((((445-43)*MAX('Inputs'!$B$33,'Inputs'!$B$29+'Inputs'!$B$31+'Inputs'!$B$32,'Inputs'!$B$30+'Inputs'!$B$31+'Inputs'!$B$32)/1000+'Inputs'!$B$21)+'Inputs'!$B$7)^2+('Inputs'!$B$6/2)^2)-(((445-43)*MAX('Inputs'!$B$33,'Inputs'!$B$29+'Inputs'!$B$31+'Inputs'!$B$32,'Inputs'!$B$30+'Inputs'!$B$31+'Inputs'!$B$32)/1000+'Inputs'!$B$21))/SQRT((((445-43)*MAX('Inputs'!$B$33,'Inputs'!$B$29+'Inputs'!$B$31+'Inputs'!$B$32,'Inputs'!$B$30+'Inputs'!$B$31+'Inputs'!$B$32)/1000+'Inputs'!$B$21))^2+('Inputs'!$B$6/2)^2)))-'Results'!C7*(0.5*((((445-43)*MAX('Inputs'!$B$33,'Inputs'!$B$29+'Inputs'!$B$31+'Inputs'!$B$32,'Inputs'!$B$30+'Inputs'!$B$31+'Inputs'!$B$32)/1000+'Inputs'!$B$21+'Inputs'!$B$7+'Inputs'!$B$10)+'Inputs'!$B$9)/SQRT((((445-43)*MAX('Inputs'!$B$33,'Inputs'!$B$29+'Inputs'!$B$31+'Inputs'!$B$32,'Inputs'!$B$30+'Inputs'!$B$31+'Inputs'!$B$32)/1000+'Inputs'!$B$21+'Inputs'!$B$7+'Inputs'!$B$10)+'Inputs'!$B$9)^2+('Inputs'!$B$8/2)^2)-(((445-43)*MAX('Inputs'!$B$33,'Inputs'!$B$29+'Inputs'!$B$31+'Inputs'!$B$32,'Inputs'!$B$30+'Inputs'!$B$31+'Inputs'!$B$32)/1000+'Inputs'!$B$21+'Inputs'!$B$7+'Inputs'!$B$10))/SQRT((((445-43)*MAX('Inputs'!$B$33,'Inputs'!$B$29+'Inputs'!$B$31+'Inputs'!$B$32,'Inputs'!$B$30+'Inputs'!$B$31+'Inputs'!$B$32)/1000+'Inputs'!$B$21+'Inputs'!$B$7+'Inputs'!$B$10))^2+('Inputs'!$B$8/2)^2))))*'Results'!$B$8),"")</x:f>
        <x:v>8.699286406578274</x:v>
      </x:c>
      <x:c r="K445" t="n">
        <x:f>IF(AND(ISNUMBER('Results'!B7),ISNUMBER('Results'!C7),ISNUMBER('Results'!$B$8),ISNUMBER('Inputs'!$B$6),ISNUMBER('Inputs'!$B$7),ISNUMBER('Inputs'!$B$8),ISNUMBER('Inputs'!$B$9),ISNUMBER('Inputs'!$B$10),ISNUMBER('Inputs'!$B$21),ISNUMBER('Inputs'!$B$24),ISNUMBER('Inputs'!$B$28)),((('Results'!B7*(1-'Inputs'!$B$24)*(0.5*((((445-43)*MAX('Inputs'!$B$33,'Inputs'!$B$29+'Inputs'!$B$31+'Inputs'!$B$32,'Inputs'!$B$30+'Inputs'!$B$31+'Inputs'!$B$32)/1000+'Inputs'!$B$21)+'Inputs'!$B$7)/SQRT((((445-43)*MAX('Inputs'!$B$33,'Inputs'!$B$29+'Inputs'!$B$31+'Inputs'!$B$32,'Inputs'!$B$30+'Inputs'!$B$31+'Inputs'!$B$32)/1000+'Inputs'!$B$21)+'Inputs'!$B$7)^2+('Inputs'!$B$6/2)^2)-(((445-43)*MAX('Inputs'!$B$33,'Inputs'!$B$29+'Inputs'!$B$31+'Inputs'!$B$32,'Inputs'!$B$30+'Inputs'!$B$31+'Inputs'!$B$32)/1000+'Inputs'!$B$21))/SQRT((((445-43)*MAX('Inputs'!$B$33,'Inputs'!$B$29+'Inputs'!$B$31+'Inputs'!$B$32,'Inputs'!$B$30+'Inputs'!$B$31+'Inputs'!$B$32)/1000+'Inputs'!$B$21))^2+('Inputs'!$B$6/2)^2)))-'Results'!C7*(1+'Inputs'!$B$24)*(0.5*((((445-43)*MAX('Inputs'!$B$33,'Inputs'!$B$29+'Inputs'!$B$31+'Inputs'!$B$32,'Inputs'!$B$30+'Inputs'!$B$31+'Inputs'!$B$32)/1000+'Inputs'!$B$21+'Inputs'!$B$7+'Inputs'!$B$10)+'Inputs'!$B$9)/SQRT((((445-43)*MAX('Inputs'!$B$33,'Inputs'!$B$29+'Inputs'!$B$31+'Inputs'!$B$32,'Inputs'!$B$30+'Inputs'!$B$31+'Inputs'!$B$32)/1000+'Inputs'!$B$21+'Inputs'!$B$7+'Inputs'!$B$10)+'Inputs'!$B$9)^2+('Inputs'!$B$8/2)^2)-(((445-43)*MAX('Inputs'!$B$33,'Inputs'!$B$29+'Inputs'!$B$31+'Inputs'!$B$32,'Inputs'!$B$30+'Inputs'!$B$31+'Inputs'!$B$32)/1000+'Inputs'!$B$21+'Inputs'!$B$7+'Inputs'!$B$10))/SQRT((((445-43)*MAX('Inputs'!$B$33,'Inputs'!$B$29+'Inputs'!$B$31+'Inputs'!$B$32,'Inputs'!$B$30+'Inputs'!$B$31+'Inputs'!$B$32)/1000+'Inputs'!$B$21+'Inputs'!$B$7+'Inputs'!$B$10))^2+('Inputs'!$B$8/2)^2))))*'Results'!$B$8)-'Inputs'!$B$28*ABS((('Results'!B7*(1-'Inputs'!$B$24)*(0.5*((((445-43)*MAX('Inputs'!$B$33,'Inputs'!$B$29+'Inputs'!$B$31+'Inputs'!$B$32,'Inputs'!$B$30+'Inputs'!$B$31+'Inputs'!$B$32)/1000+'Inputs'!$B$21)+'Inputs'!$B$7)/SQRT((((445-43)*MAX('Inputs'!$B$33,'Inputs'!$B$29+'Inputs'!$B$31+'Inputs'!$B$32,'Inputs'!$B$30+'Inputs'!$B$31+'Inputs'!$B$32)/1000+'Inputs'!$B$21)+'Inputs'!$B$7)^2+('Inputs'!$B$6/2)^2)-(((445-43)*MAX('Inputs'!$B$33,'Inputs'!$B$29+'Inputs'!$B$31+'Inputs'!$B$32,'Inputs'!$B$30+'Inputs'!$B$31+'Inputs'!$B$32)/1000+'Inputs'!$B$21))/SQRT((((445-43)*MAX('Inputs'!$B$33,'Inputs'!$B$29+'Inputs'!$B$31+'Inputs'!$B$32,'Inputs'!$B$30+'Inputs'!$B$31+'Inputs'!$B$32)/1000+'Inputs'!$B$21))^2+('Inputs'!$B$6/2)^2)))-'Results'!C7*(1+'Inputs'!$B$24)*(0.5*((((445-43)*MAX('Inputs'!$B$33,'Inputs'!$B$29+'Inputs'!$B$31+'Inputs'!$B$32,'Inputs'!$B$30+'Inputs'!$B$31+'Inputs'!$B$32)/1000+'Inputs'!$B$21+'Inputs'!$B$7+'Inputs'!$B$10)+'Inputs'!$B$9)/SQRT((((445-43)*MAX('Inputs'!$B$33,'Inputs'!$B$29+'Inputs'!$B$31+'Inputs'!$B$32,'Inputs'!$B$30+'Inputs'!$B$31+'Inputs'!$B$32)/1000+'Inputs'!$B$21+'Inputs'!$B$7+'Inputs'!$B$10)+'Inputs'!$B$9)^2+('Inputs'!$B$8/2)^2)-(((445-43)*MAX('Inputs'!$B$33,'Inputs'!$B$29+'Inputs'!$B$31+'Inputs'!$B$32,'Inputs'!$B$30+'Inputs'!$B$31+'Inputs'!$B$32)/1000+'Inputs'!$B$21+'Inputs'!$B$7+'Inputs'!$B$10))/SQRT((((445-43)*MAX('Inputs'!$B$33,'Inputs'!$B$29+'Inputs'!$B$31+'Inputs'!$B$32,'Inputs'!$B$30+'Inputs'!$B$31+'Inputs'!$B$32)/1000+'Inputs'!$B$21+'Inputs'!$B$7+'Inputs'!$B$10))^2+('Inputs'!$B$8/2)^2))))*'Results'!$B$8))),"")</x:f>
        <x:v>7.787623159866323</x:v>
      </x:c>
      <x:c r="L445" t="n">
        <x:f>IF(AND(ISNUMBER('Results'!B7),ISNUMBER('Results'!C7),ISNUMBER('Results'!$B$8),ISNUMBER('Inputs'!$B$6),ISNUMBER('Inputs'!$B$7),ISNUMBER('Inputs'!$B$8),ISNUMBER('Inputs'!$B$9),ISNUMBER('Inputs'!$B$10),ISNUMBER('Inputs'!$B$21),ISNUMBER('Inputs'!$B$24),ISNUMBER('Inputs'!$B$28)),((('Results'!B7*(1+'Inputs'!$B$24)*(0.5*((((445-43)*MAX('Inputs'!$B$33,'Inputs'!$B$29+'Inputs'!$B$31+'Inputs'!$B$32,'Inputs'!$B$30+'Inputs'!$B$31+'Inputs'!$B$32)/1000+'Inputs'!$B$21)+'Inputs'!$B$7)/SQRT((((445-43)*MAX('Inputs'!$B$33,'Inputs'!$B$29+'Inputs'!$B$31+'Inputs'!$B$32,'Inputs'!$B$30+'Inputs'!$B$31+'Inputs'!$B$32)/1000+'Inputs'!$B$21)+'Inputs'!$B$7)^2+('Inputs'!$B$6/2)^2)-(((445-43)*MAX('Inputs'!$B$33,'Inputs'!$B$29+'Inputs'!$B$31+'Inputs'!$B$32,'Inputs'!$B$30+'Inputs'!$B$31+'Inputs'!$B$32)/1000+'Inputs'!$B$21))/SQRT((((445-43)*MAX('Inputs'!$B$33,'Inputs'!$B$29+'Inputs'!$B$31+'Inputs'!$B$32,'Inputs'!$B$30+'Inputs'!$B$31+'Inputs'!$B$32)/1000+'Inputs'!$B$21))^2+('Inputs'!$B$6/2)^2)))-'Results'!C7*(1-'Inputs'!$B$24)*(0.5*((((445-43)*MAX('Inputs'!$B$33,'Inputs'!$B$29+'Inputs'!$B$31+'Inputs'!$B$32,'Inputs'!$B$30+'Inputs'!$B$31+'Inputs'!$B$32)/1000+'Inputs'!$B$21+'Inputs'!$B$7+'Inputs'!$B$10)+'Inputs'!$B$9)/SQRT((((445-43)*MAX('Inputs'!$B$33,'Inputs'!$B$29+'Inputs'!$B$31+'Inputs'!$B$32,'Inputs'!$B$30+'Inputs'!$B$31+'Inputs'!$B$32)/1000+'Inputs'!$B$21+'Inputs'!$B$7+'Inputs'!$B$10)+'Inputs'!$B$9)^2+('Inputs'!$B$8/2)^2)-(((445-43)*MAX('Inputs'!$B$33,'Inputs'!$B$29+'Inputs'!$B$31+'Inputs'!$B$32,'Inputs'!$B$30+'Inputs'!$B$31+'Inputs'!$B$32)/1000+'Inputs'!$B$21+'Inputs'!$B$7+'Inputs'!$B$10))/SQRT((((445-43)*MAX('Inputs'!$B$33,'Inputs'!$B$29+'Inputs'!$B$31+'Inputs'!$B$32,'Inputs'!$B$30+'Inputs'!$B$31+'Inputs'!$B$32)/1000+'Inputs'!$B$21+'Inputs'!$B$7+'Inputs'!$B$10))^2+('Inputs'!$B$8/2)^2))))*'Results'!$B$8)+'Inputs'!$B$28*ABS((('Results'!B7*(1+'Inputs'!$B$24)*(0.5*((((445-43)*MAX('Inputs'!$B$33,'Inputs'!$B$29+'Inputs'!$B$31+'Inputs'!$B$32,'Inputs'!$B$30+'Inputs'!$B$31+'Inputs'!$B$32)/1000+'Inputs'!$B$21)+'Inputs'!$B$7)/SQRT((((445-43)*MAX('Inputs'!$B$33,'Inputs'!$B$29+'Inputs'!$B$31+'Inputs'!$B$32,'Inputs'!$B$30+'Inputs'!$B$31+'Inputs'!$B$32)/1000+'Inputs'!$B$21)+'Inputs'!$B$7)^2+('Inputs'!$B$6/2)^2)-(((445-43)*MAX('Inputs'!$B$33,'Inputs'!$B$29+'Inputs'!$B$31+'Inputs'!$B$32,'Inputs'!$B$30+'Inputs'!$B$31+'Inputs'!$B$32)/1000+'Inputs'!$B$21))/SQRT((((445-43)*MAX('Inputs'!$B$33,'Inputs'!$B$29+'Inputs'!$B$31+'Inputs'!$B$32,'Inputs'!$B$30+'Inputs'!$B$31+'Inputs'!$B$32)/1000+'Inputs'!$B$21))^2+('Inputs'!$B$6/2)^2)))-'Results'!C7*(1-'Inputs'!$B$24)*(0.5*((((445-43)*MAX('Inputs'!$B$33,'Inputs'!$B$29+'Inputs'!$B$31+'Inputs'!$B$32,'Inputs'!$B$30+'Inputs'!$B$31+'Inputs'!$B$32)/1000+'Inputs'!$B$21+'Inputs'!$B$7+'Inputs'!$B$10)+'Inputs'!$B$9)/SQRT((((445-43)*MAX('Inputs'!$B$33,'Inputs'!$B$29+'Inputs'!$B$31+'Inputs'!$B$32,'Inputs'!$B$30+'Inputs'!$B$31+'Inputs'!$B$32)/1000+'Inputs'!$B$21+'Inputs'!$B$7+'Inputs'!$B$10)+'Inputs'!$B$9)^2+('Inputs'!$B$8/2)^2)-(((445-43)*MAX('Inputs'!$B$33,'Inputs'!$B$29+'Inputs'!$B$31+'Inputs'!$B$32,'Inputs'!$B$30+'Inputs'!$B$31+'Inputs'!$B$32)/1000+'Inputs'!$B$21+'Inputs'!$B$7+'Inputs'!$B$10))/SQRT((((445-43)*MAX('Inputs'!$B$33,'Inputs'!$B$29+'Inputs'!$B$31+'Inputs'!$B$32,'Inputs'!$B$30+'Inputs'!$B$31+'Inputs'!$B$32)/1000+'Inputs'!$B$21+'Inputs'!$B$7+'Inputs'!$B$10))^2+('Inputs'!$B$8/2)^2))))*'Results'!$B$8))),"")</x:f>
        <x:v>9.66112848764633</x:v>
      </x:c>
      <x:c r="M445" t="n">
        <x:f>IF(AND(ISNUMBER('Results'!C7),ISNUMBER('Results'!B7),ISNUMBER('Results'!$B$8),ISNUMBER('Inputs'!$B$6),ISNUMBER('Inputs'!$B$7),ISNUMBER('Inputs'!$B$8),ISNUMBER('Inputs'!$B$9),ISNUMBER('Inputs'!$B$10),ISNUMBER('Inputs'!$B$21),ISNUMBER('Inputs'!$B$24),ISNUMBER('Inputs'!$B$28)),(('Results'!C7*(0.5*((((445-43)*MAX('Inputs'!$B$33,'Inputs'!$B$29+'Inputs'!$B$31+'Inputs'!$B$32,'Inputs'!$B$30+'Inputs'!$B$31+'Inputs'!$B$32)/1000+'Inputs'!$B$21)+'Inputs'!$B$9)/SQRT((((445-43)*MAX('Inputs'!$B$33,'Inputs'!$B$29+'Inputs'!$B$31+'Inputs'!$B$32,'Inputs'!$B$30+'Inputs'!$B$31+'Inputs'!$B$32)/1000+'Inputs'!$B$21)+'Inputs'!$B$9)^2+('Inputs'!$B$8/2)^2)-(((445-43)*MAX('Inputs'!$B$33,'Inputs'!$B$29+'Inputs'!$B$31+'Inputs'!$B$32,'Inputs'!$B$30+'Inputs'!$B$31+'Inputs'!$B$32)/1000+'Inputs'!$B$21))/SQRT((((445-43)*MAX('Inputs'!$B$33,'Inputs'!$B$29+'Inputs'!$B$31+'Inputs'!$B$32,'Inputs'!$B$30+'Inputs'!$B$31+'Inputs'!$B$32)/1000+'Inputs'!$B$21))^2+('Inputs'!$B$8/2)^2)))-'Results'!B7*(0.5*((((445-43)*MAX('Inputs'!$B$33,'Inputs'!$B$29+'Inputs'!$B$31+'Inputs'!$B$32,'Inputs'!$B$30+'Inputs'!$B$31+'Inputs'!$B$32)/1000+'Inputs'!$B$21+'Inputs'!$B$9+'Inputs'!$B$10)+'Inputs'!$B$7)/SQRT((((445-43)*MAX('Inputs'!$B$33,'Inputs'!$B$29+'Inputs'!$B$31+'Inputs'!$B$32,'Inputs'!$B$30+'Inputs'!$B$31+'Inputs'!$B$32)/1000+'Inputs'!$B$21+'Inputs'!$B$9+'Inputs'!$B$10)+'Inputs'!$B$7)^2+('Inputs'!$B$6/2)^2)-(((445-43)*MAX('Inputs'!$B$33,'Inputs'!$B$29+'Inputs'!$B$31+'Inputs'!$B$32,'Inputs'!$B$30+'Inputs'!$B$31+'Inputs'!$B$32)/1000+'Inputs'!$B$21+'Inputs'!$B$9+'Inputs'!$B$10))/SQRT((((445-43)*MAX('Inputs'!$B$33,'Inputs'!$B$29+'Inputs'!$B$31+'Inputs'!$B$32,'Inputs'!$B$30+'Inputs'!$B$31+'Inputs'!$B$32)/1000+'Inputs'!$B$21+'Inputs'!$B$9+'Inputs'!$B$10))^2+('Inputs'!$B$6/2)^2))))*'Results'!$B$8),"")</x:f>
        <x:v>8.194153138369943</x:v>
      </x:c>
      <x:c r="N445" t="n">
        <x:f>IF(AND(ISNUMBER('Results'!C7),ISNUMBER('Results'!B7),ISNUMBER('Results'!$B$8),ISNUMBER('Inputs'!$B$6),ISNUMBER('Inputs'!$B$7),ISNUMBER('Inputs'!$B$8),ISNUMBER('Inputs'!$B$9),ISNUMBER('Inputs'!$B$10),ISNUMBER('Inputs'!$B$21),ISNUMBER('Inputs'!$B$24),ISNUMBER('Inputs'!$B$28)),((('Results'!C7*(1-'Inputs'!$B$24)*(0.5*((((445-43)*MAX('Inputs'!$B$33,'Inputs'!$B$29+'Inputs'!$B$31+'Inputs'!$B$32,'Inputs'!$B$30+'Inputs'!$B$31+'Inputs'!$B$32)/1000+'Inputs'!$B$21)+'Inputs'!$B$9)/SQRT((((445-43)*MAX('Inputs'!$B$33,'Inputs'!$B$29+'Inputs'!$B$31+'Inputs'!$B$32,'Inputs'!$B$30+'Inputs'!$B$31+'Inputs'!$B$32)/1000+'Inputs'!$B$21)+'Inputs'!$B$9)^2+('Inputs'!$B$8/2)^2)-(((445-43)*MAX('Inputs'!$B$33,'Inputs'!$B$29+'Inputs'!$B$31+'Inputs'!$B$32,'Inputs'!$B$30+'Inputs'!$B$31+'Inputs'!$B$32)/1000+'Inputs'!$B$21))/SQRT((((445-43)*MAX('Inputs'!$B$33,'Inputs'!$B$29+'Inputs'!$B$31+'Inputs'!$B$32,'Inputs'!$B$30+'Inputs'!$B$31+'Inputs'!$B$32)/1000+'Inputs'!$B$21))^2+('Inputs'!$B$8/2)^2)))-'Results'!B7*(1+'Inputs'!$B$24)*(0.5*((((445-43)*MAX('Inputs'!$B$33,'Inputs'!$B$29+'Inputs'!$B$31+'Inputs'!$B$32,'Inputs'!$B$30+'Inputs'!$B$31+'Inputs'!$B$32)/1000+'Inputs'!$B$21+'Inputs'!$B$9+'Inputs'!$B$10)+'Inputs'!$B$7)/SQRT((((445-43)*MAX('Inputs'!$B$33,'Inputs'!$B$29+'Inputs'!$B$31+'Inputs'!$B$32,'Inputs'!$B$30+'Inputs'!$B$31+'Inputs'!$B$32)/1000+'Inputs'!$B$21+'Inputs'!$B$9+'Inputs'!$B$10)+'Inputs'!$B$7)^2+('Inputs'!$B$6/2)^2)-(((445-43)*MAX('Inputs'!$B$33,'Inputs'!$B$29+'Inputs'!$B$31+'Inputs'!$B$32,'Inputs'!$B$30+'Inputs'!$B$31+'Inputs'!$B$32)/1000+'Inputs'!$B$21+'Inputs'!$B$9+'Inputs'!$B$10))/SQRT((((445-43)*MAX('Inputs'!$B$33,'Inputs'!$B$29+'Inputs'!$B$31+'Inputs'!$B$32,'Inputs'!$B$30+'Inputs'!$B$31+'Inputs'!$B$32)/1000+'Inputs'!$B$21+'Inputs'!$B$9+'Inputs'!$B$10))^2+('Inputs'!$B$6/2)^2))))*'Results'!$B$8)-'Inputs'!$B$28*ABS((('Results'!C7*(1-'Inputs'!$B$24)*(0.5*((((445-43)*MAX('Inputs'!$B$33,'Inputs'!$B$29+'Inputs'!$B$31+'Inputs'!$B$32,'Inputs'!$B$30+'Inputs'!$B$31+'Inputs'!$B$32)/1000+'Inputs'!$B$21)+'Inputs'!$B$9)/SQRT((((445-43)*MAX('Inputs'!$B$33,'Inputs'!$B$29+'Inputs'!$B$31+'Inputs'!$B$32,'Inputs'!$B$30+'Inputs'!$B$31+'Inputs'!$B$32)/1000+'Inputs'!$B$21)+'Inputs'!$B$9)^2+('Inputs'!$B$8/2)^2)-(((445-43)*MAX('Inputs'!$B$33,'Inputs'!$B$29+'Inputs'!$B$31+'Inputs'!$B$32,'Inputs'!$B$30+'Inputs'!$B$31+'Inputs'!$B$32)/1000+'Inputs'!$B$21))/SQRT((((445-43)*MAX('Inputs'!$B$33,'Inputs'!$B$29+'Inputs'!$B$31+'Inputs'!$B$32,'Inputs'!$B$30+'Inputs'!$B$31+'Inputs'!$B$32)/1000+'Inputs'!$B$21))^2+('Inputs'!$B$8/2)^2)))-'Results'!B7*(1+'Inputs'!$B$24)*(0.5*((((445-43)*MAX('Inputs'!$B$33,'Inputs'!$B$29+'Inputs'!$B$31+'Inputs'!$B$32,'Inputs'!$B$30+'Inputs'!$B$31+'Inputs'!$B$32)/1000+'Inputs'!$B$21+'Inputs'!$B$9+'Inputs'!$B$10)+'Inputs'!$B$7)/SQRT((((445-43)*MAX('Inputs'!$B$33,'Inputs'!$B$29+'Inputs'!$B$31+'Inputs'!$B$32,'Inputs'!$B$30+'Inputs'!$B$31+'Inputs'!$B$32)/1000+'Inputs'!$B$21+'Inputs'!$B$9+'Inputs'!$B$10)+'Inputs'!$B$7)^2+('Inputs'!$B$6/2)^2)-(((445-43)*MAX('Inputs'!$B$33,'Inputs'!$B$29+'Inputs'!$B$31+'Inputs'!$B$32,'Inputs'!$B$30+'Inputs'!$B$31+'Inputs'!$B$32)/1000+'Inputs'!$B$21+'Inputs'!$B$9+'Inputs'!$B$10))/SQRT((((445-43)*MAX('Inputs'!$B$33,'Inputs'!$B$29+'Inputs'!$B$31+'Inputs'!$B$32,'Inputs'!$B$30+'Inputs'!$B$31+'Inputs'!$B$32)/1000+'Inputs'!$B$21+'Inputs'!$B$9+'Inputs'!$B$10))^2+('Inputs'!$B$6/2)^2))))*'Results'!$B$8))),"")</x:f>
        <x:v>7.310988730334611</x:v>
      </x:c>
      <x:c r="O445" t="n">
        <x:f>IF(AND(ISNUMBER('Results'!C7),ISNUMBER('Results'!B7),ISNUMBER('Results'!$B$8),ISNUMBER('Inputs'!$B$6),ISNUMBER('Inputs'!$B$7),ISNUMBER('Inputs'!$B$8),ISNUMBER('Inputs'!$B$9),ISNUMBER('Inputs'!$B$10),ISNUMBER('Inputs'!$B$21),ISNUMBER('Inputs'!$B$24),ISNUMBER('Inputs'!$B$28)),((('Results'!C7*(1+'Inputs'!$B$24)*(0.5*((((445-43)*MAX('Inputs'!$B$33,'Inputs'!$B$29+'Inputs'!$B$31+'Inputs'!$B$32,'Inputs'!$B$30+'Inputs'!$B$31+'Inputs'!$B$32)/1000+'Inputs'!$B$21)+'Inputs'!$B$9)/SQRT((((445-43)*MAX('Inputs'!$B$33,'Inputs'!$B$29+'Inputs'!$B$31+'Inputs'!$B$32,'Inputs'!$B$30+'Inputs'!$B$31+'Inputs'!$B$32)/1000+'Inputs'!$B$21)+'Inputs'!$B$9)^2+('Inputs'!$B$8/2)^2)-(((445-43)*MAX('Inputs'!$B$33,'Inputs'!$B$29+'Inputs'!$B$31+'Inputs'!$B$32,'Inputs'!$B$30+'Inputs'!$B$31+'Inputs'!$B$32)/1000+'Inputs'!$B$21))/SQRT((((445-43)*MAX('Inputs'!$B$33,'Inputs'!$B$29+'Inputs'!$B$31+'Inputs'!$B$32,'Inputs'!$B$30+'Inputs'!$B$31+'Inputs'!$B$32)/1000+'Inputs'!$B$21))^2+('Inputs'!$B$8/2)^2)))-'Results'!B7*(1-'Inputs'!$B$24)*(0.5*((((445-43)*MAX('Inputs'!$B$33,'Inputs'!$B$29+'Inputs'!$B$31+'Inputs'!$B$32,'Inputs'!$B$30+'Inputs'!$B$31+'Inputs'!$B$32)/1000+'Inputs'!$B$21+'Inputs'!$B$9+'Inputs'!$B$10)+'Inputs'!$B$7)/SQRT((((445-43)*MAX('Inputs'!$B$33,'Inputs'!$B$29+'Inputs'!$B$31+'Inputs'!$B$32,'Inputs'!$B$30+'Inputs'!$B$31+'Inputs'!$B$32)/1000+'Inputs'!$B$21+'Inputs'!$B$9+'Inputs'!$B$10)+'Inputs'!$B$7)^2+('Inputs'!$B$6/2)^2)-(((445-43)*MAX('Inputs'!$B$33,'Inputs'!$B$29+'Inputs'!$B$31+'Inputs'!$B$32,'Inputs'!$B$30+'Inputs'!$B$31+'Inputs'!$B$32)/1000+'Inputs'!$B$21+'Inputs'!$B$9+'Inputs'!$B$10))/SQRT((((445-43)*MAX('Inputs'!$B$33,'Inputs'!$B$29+'Inputs'!$B$31+'Inputs'!$B$32,'Inputs'!$B$30+'Inputs'!$B$31+'Inputs'!$B$32)/1000+'Inputs'!$B$21+'Inputs'!$B$9+'Inputs'!$B$10))^2+('Inputs'!$B$6/2)^2))))*'Results'!$B$8)+'Inputs'!$B$28*ABS((('Results'!C7*(1+'Inputs'!$B$24)*(0.5*((((445-43)*MAX('Inputs'!$B$33,'Inputs'!$B$29+'Inputs'!$B$31+'Inputs'!$B$32,'Inputs'!$B$30+'Inputs'!$B$31+'Inputs'!$B$32)/1000+'Inputs'!$B$21)+'Inputs'!$B$9)/SQRT((((445-43)*MAX('Inputs'!$B$33,'Inputs'!$B$29+'Inputs'!$B$31+'Inputs'!$B$32,'Inputs'!$B$30+'Inputs'!$B$31+'Inputs'!$B$32)/1000+'Inputs'!$B$21)+'Inputs'!$B$9)^2+('Inputs'!$B$8/2)^2)-(((445-43)*MAX('Inputs'!$B$33,'Inputs'!$B$29+'Inputs'!$B$31+'Inputs'!$B$32,'Inputs'!$B$30+'Inputs'!$B$31+'Inputs'!$B$32)/1000+'Inputs'!$B$21))/SQRT((((445-43)*MAX('Inputs'!$B$33,'Inputs'!$B$29+'Inputs'!$B$31+'Inputs'!$B$32,'Inputs'!$B$30+'Inputs'!$B$31+'Inputs'!$B$32)/1000+'Inputs'!$B$21))^2+('Inputs'!$B$8/2)^2)))-'Results'!B7*(1-'Inputs'!$B$24)*(0.5*((((445-43)*MAX('Inputs'!$B$33,'Inputs'!$B$29+'Inputs'!$B$31+'Inputs'!$B$32,'Inputs'!$B$30+'Inputs'!$B$31+'Inputs'!$B$32)/1000+'Inputs'!$B$21+'Inputs'!$B$9+'Inputs'!$B$10)+'Inputs'!$B$7)/SQRT((((445-43)*MAX('Inputs'!$B$33,'Inputs'!$B$29+'Inputs'!$B$31+'Inputs'!$B$32,'Inputs'!$B$30+'Inputs'!$B$31+'Inputs'!$B$32)/1000+'Inputs'!$B$21+'Inputs'!$B$9+'Inputs'!$B$10)+'Inputs'!$B$7)^2+('Inputs'!$B$6/2)^2)-(((445-43)*MAX('Inputs'!$B$33,'Inputs'!$B$29+'Inputs'!$B$31+'Inputs'!$B$32,'Inputs'!$B$30+'Inputs'!$B$31+'Inputs'!$B$32)/1000+'Inputs'!$B$21+'Inputs'!$B$9+'Inputs'!$B$10))/SQRT((((445-43)*MAX('Inputs'!$B$33,'Inputs'!$B$29+'Inputs'!$B$31+'Inputs'!$B$32,'Inputs'!$B$30+'Inputs'!$B$31+'Inputs'!$B$32)/1000+'Inputs'!$B$21+'Inputs'!$B$9+'Inputs'!$B$10))^2+('Inputs'!$B$6/2)^2))))*'Results'!$B$8))),"")</x:f>
        <x:v>9.127155099154415</x:v>
      </x:c>
      <x:c r="P445" t="n">
        <x:f>IF(AND(MAX(J445,J444)&gt;0,J445&gt;J444+0.00000001),1,0)</x:f>
        <x:v>0</x:v>
      </x:c>
      <x:c r="Q445" t="n">
        <x:f>IF(AND(MAX(K445,K444)&gt;0,K445&gt;K444+0.00000001),1,0)</x:f>
        <x:v>0</x:v>
      </x:c>
      <x:c r="R445" t="n">
        <x:f>IF(AND(MAX(L445,L444)&gt;0,L445&gt;L444+0.00000001),1,0)</x:f>
        <x:v>0</x:v>
      </x:c>
      <x:c r="S445" t="n">
        <x:f>IF(AND(MAX(M445,M444)&gt;0,M445&gt;M444+0.00000001),1,0)</x:f>
        <x:v>0</x:v>
      </x:c>
      <x:c r="T445" t="n">
        <x:f>IF(AND(MAX(N445,N444)&gt;0,N445&gt;N444+0.00000001),1,0)</x:f>
        <x:v>0</x:v>
      </x:c>
      <x:c r="U445" t="n">
        <x:f>IF(AND(MAX(O445,O444)&gt;0,O445&gt;O444+0.00000001),1,0)</x:f>
        <x:v>0</x:v>
      </x:c>
    </x:row>
    <x:row r="446">
      <x:c r="J446" t="n">
        <x:f>IF(AND(ISNUMBER('Results'!B7),ISNUMBER('Results'!C7),ISNUMBER('Results'!$B$8),ISNUMBER('Inputs'!$B$6),ISNUMBER('Inputs'!$B$7),ISNUMBER('Inputs'!$B$8),ISNUMBER('Inputs'!$B$9),ISNUMBER('Inputs'!$B$10),ISNUMBER('Inputs'!$B$21),ISNUMBER('Inputs'!$B$24),ISNUMBER('Inputs'!$B$28)),(('Results'!B7*(0.5*((((446-43)*MAX('Inputs'!$B$33,'Inputs'!$B$29+'Inputs'!$B$31+'Inputs'!$B$32,'Inputs'!$B$30+'Inputs'!$B$31+'Inputs'!$B$32)/1000+'Inputs'!$B$21)+'Inputs'!$B$7)/SQRT((((446-43)*MAX('Inputs'!$B$33,'Inputs'!$B$29+'Inputs'!$B$31+'Inputs'!$B$32,'Inputs'!$B$30+'Inputs'!$B$31+'Inputs'!$B$32)/1000+'Inputs'!$B$21)+'Inputs'!$B$7)^2+('Inputs'!$B$6/2)^2)-(((446-43)*MAX('Inputs'!$B$33,'Inputs'!$B$29+'Inputs'!$B$31+'Inputs'!$B$32,'Inputs'!$B$30+'Inputs'!$B$31+'Inputs'!$B$32)/1000+'Inputs'!$B$21))/SQRT((((446-43)*MAX('Inputs'!$B$33,'Inputs'!$B$29+'Inputs'!$B$31+'Inputs'!$B$32,'Inputs'!$B$30+'Inputs'!$B$31+'Inputs'!$B$32)/1000+'Inputs'!$B$21))^2+('Inputs'!$B$6/2)^2)))-'Results'!C7*(0.5*((((446-43)*MAX('Inputs'!$B$33,'Inputs'!$B$29+'Inputs'!$B$31+'Inputs'!$B$32,'Inputs'!$B$30+'Inputs'!$B$31+'Inputs'!$B$32)/1000+'Inputs'!$B$21+'Inputs'!$B$7+'Inputs'!$B$10)+'Inputs'!$B$9)/SQRT((((446-43)*MAX('Inputs'!$B$33,'Inputs'!$B$29+'Inputs'!$B$31+'Inputs'!$B$32,'Inputs'!$B$30+'Inputs'!$B$31+'Inputs'!$B$32)/1000+'Inputs'!$B$21+'Inputs'!$B$7+'Inputs'!$B$10)+'Inputs'!$B$9)^2+('Inputs'!$B$8/2)^2)-(((446-43)*MAX('Inputs'!$B$33,'Inputs'!$B$29+'Inputs'!$B$31+'Inputs'!$B$32,'Inputs'!$B$30+'Inputs'!$B$31+'Inputs'!$B$32)/1000+'Inputs'!$B$21+'Inputs'!$B$7+'Inputs'!$B$10))/SQRT((((446-43)*MAX('Inputs'!$B$33,'Inputs'!$B$29+'Inputs'!$B$31+'Inputs'!$B$32,'Inputs'!$B$30+'Inputs'!$B$31+'Inputs'!$B$32)/1000+'Inputs'!$B$21+'Inputs'!$B$7+'Inputs'!$B$10))^2+('Inputs'!$B$8/2)^2))))*'Results'!$B$8),"")</x:f>
        <x:v>8.628227120550488</x:v>
      </x:c>
      <x:c r="K446" t="n">
        <x:f>IF(AND(ISNUMBER('Results'!B7),ISNUMBER('Results'!C7),ISNUMBER('Results'!$B$8),ISNUMBER('Inputs'!$B$6),ISNUMBER('Inputs'!$B$7),ISNUMBER('Inputs'!$B$8),ISNUMBER('Inputs'!$B$9),ISNUMBER('Inputs'!$B$10),ISNUMBER('Inputs'!$B$21),ISNUMBER('Inputs'!$B$24),ISNUMBER('Inputs'!$B$28)),((('Results'!B7*(1-'Inputs'!$B$24)*(0.5*((((446-43)*MAX('Inputs'!$B$33,'Inputs'!$B$29+'Inputs'!$B$31+'Inputs'!$B$32,'Inputs'!$B$30+'Inputs'!$B$31+'Inputs'!$B$32)/1000+'Inputs'!$B$21)+'Inputs'!$B$7)/SQRT((((446-43)*MAX('Inputs'!$B$33,'Inputs'!$B$29+'Inputs'!$B$31+'Inputs'!$B$32,'Inputs'!$B$30+'Inputs'!$B$31+'Inputs'!$B$32)/1000+'Inputs'!$B$21)+'Inputs'!$B$7)^2+('Inputs'!$B$6/2)^2)-(((446-43)*MAX('Inputs'!$B$33,'Inputs'!$B$29+'Inputs'!$B$31+'Inputs'!$B$32,'Inputs'!$B$30+'Inputs'!$B$31+'Inputs'!$B$32)/1000+'Inputs'!$B$21))/SQRT((((446-43)*MAX('Inputs'!$B$33,'Inputs'!$B$29+'Inputs'!$B$31+'Inputs'!$B$32,'Inputs'!$B$30+'Inputs'!$B$31+'Inputs'!$B$32)/1000+'Inputs'!$B$21))^2+('Inputs'!$B$6/2)^2)))-'Results'!C7*(1+'Inputs'!$B$24)*(0.5*((((446-43)*MAX('Inputs'!$B$33,'Inputs'!$B$29+'Inputs'!$B$31+'Inputs'!$B$32,'Inputs'!$B$30+'Inputs'!$B$31+'Inputs'!$B$32)/1000+'Inputs'!$B$21+'Inputs'!$B$7+'Inputs'!$B$10)+'Inputs'!$B$9)/SQRT((((446-43)*MAX('Inputs'!$B$33,'Inputs'!$B$29+'Inputs'!$B$31+'Inputs'!$B$32,'Inputs'!$B$30+'Inputs'!$B$31+'Inputs'!$B$32)/1000+'Inputs'!$B$21+'Inputs'!$B$7+'Inputs'!$B$10)+'Inputs'!$B$9)^2+('Inputs'!$B$8/2)^2)-(((446-43)*MAX('Inputs'!$B$33,'Inputs'!$B$29+'Inputs'!$B$31+'Inputs'!$B$32,'Inputs'!$B$30+'Inputs'!$B$31+'Inputs'!$B$32)/1000+'Inputs'!$B$21+'Inputs'!$B$7+'Inputs'!$B$10))/SQRT((((446-43)*MAX('Inputs'!$B$33,'Inputs'!$B$29+'Inputs'!$B$31+'Inputs'!$B$32,'Inputs'!$B$30+'Inputs'!$B$31+'Inputs'!$B$32)/1000+'Inputs'!$B$21+'Inputs'!$B$7+'Inputs'!$B$10))^2+('Inputs'!$B$8/2)^2))))*'Results'!$B$8)-'Inputs'!$B$28*ABS((('Results'!B7*(1-'Inputs'!$B$24)*(0.5*((((446-43)*MAX('Inputs'!$B$33,'Inputs'!$B$29+'Inputs'!$B$31+'Inputs'!$B$32,'Inputs'!$B$30+'Inputs'!$B$31+'Inputs'!$B$32)/1000+'Inputs'!$B$21)+'Inputs'!$B$7)/SQRT((((446-43)*MAX('Inputs'!$B$33,'Inputs'!$B$29+'Inputs'!$B$31+'Inputs'!$B$32,'Inputs'!$B$30+'Inputs'!$B$31+'Inputs'!$B$32)/1000+'Inputs'!$B$21)+'Inputs'!$B$7)^2+('Inputs'!$B$6/2)^2)-(((446-43)*MAX('Inputs'!$B$33,'Inputs'!$B$29+'Inputs'!$B$31+'Inputs'!$B$32,'Inputs'!$B$30+'Inputs'!$B$31+'Inputs'!$B$32)/1000+'Inputs'!$B$21))/SQRT((((446-43)*MAX('Inputs'!$B$33,'Inputs'!$B$29+'Inputs'!$B$31+'Inputs'!$B$32,'Inputs'!$B$30+'Inputs'!$B$31+'Inputs'!$B$32)/1000+'Inputs'!$B$21))^2+('Inputs'!$B$6/2)^2)))-'Results'!C7*(1+'Inputs'!$B$24)*(0.5*((((446-43)*MAX('Inputs'!$B$33,'Inputs'!$B$29+'Inputs'!$B$31+'Inputs'!$B$32,'Inputs'!$B$30+'Inputs'!$B$31+'Inputs'!$B$32)/1000+'Inputs'!$B$21+'Inputs'!$B$7+'Inputs'!$B$10)+'Inputs'!$B$9)/SQRT((((446-43)*MAX('Inputs'!$B$33,'Inputs'!$B$29+'Inputs'!$B$31+'Inputs'!$B$32,'Inputs'!$B$30+'Inputs'!$B$31+'Inputs'!$B$32)/1000+'Inputs'!$B$21+'Inputs'!$B$7+'Inputs'!$B$10)+'Inputs'!$B$9)^2+('Inputs'!$B$8/2)^2)-(((446-43)*MAX('Inputs'!$B$33,'Inputs'!$B$29+'Inputs'!$B$31+'Inputs'!$B$32,'Inputs'!$B$30+'Inputs'!$B$31+'Inputs'!$B$32)/1000+'Inputs'!$B$21+'Inputs'!$B$7+'Inputs'!$B$10))/SQRT((((446-43)*MAX('Inputs'!$B$33,'Inputs'!$B$29+'Inputs'!$B$31+'Inputs'!$B$32,'Inputs'!$B$30+'Inputs'!$B$31+'Inputs'!$B$32)/1000+'Inputs'!$B$21+'Inputs'!$B$7+'Inputs'!$B$10))^2+('Inputs'!$B$8/2)^2))))*'Results'!$B$8))),"")</x:f>
        <x:v>7.723167620649758</x:v>
      </x:c>
      <x:c r="L446" t="n">
        <x:f>IF(AND(ISNUMBER('Results'!B7),ISNUMBER('Results'!C7),ISNUMBER('Results'!$B$8),ISNUMBER('Inputs'!$B$6),ISNUMBER('Inputs'!$B$7),ISNUMBER('Inputs'!$B$8),ISNUMBER('Inputs'!$B$9),ISNUMBER('Inputs'!$B$10),ISNUMBER('Inputs'!$B$21),ISNUMBER('Inputs'!$B$24),ISNUMBER('Inputs'!$B$28)),((('Results'!B7*(1+'Inputs'!$B$24)*(0.5*((((446-43)*MAX('Inputs'!$B$33,'Inputs'!$B$29+'Inputs'!$B$31+'Inputs'!$B$32,'Inputs'!$B$30+'Inputs'!$B$31+'Inputs'!$B$32)/1000+'Inputs'!$B$21)+'Inputs'!$B$7)/SQRT((((446-43)*MAX('Inputs'!$B$33,'Inputs'!$B$29+'Inputs'!$B$31+'Inputs'!$B$32,'Inputs'!$B$30+'Inputs'!$B$31+'Inputs'!$B$32)/1000+'Inputs'!$B$21)+'Inputs'!$B$7)^2+('Inputs'!$B$6/2)^2)-(((446-43)*MAX('Inputs'!$B$33,'Inputs'!$B$29+'Inputs'!$B$31+'Inputs'!$B$32,'Inputs'!$B$30+'Inputs'!$B$31+'Inputs'!$B$32)/1000+'Inputs'!$B$21))/SQRT((((446-43)*MAX('Inputs'!$B$33,'Inputs'!$B$29+'Inputs'!$B$31+'Inputs'!$B$32,'Inputs'!$B$30+'Inputs'!$B$31+'Inputs'!$B$32)/1000+'Inputs'!$B$21))^2+('Inputs'!$B$6/2)^2)))-'Results'!C7*(1-'Inputs'!$B$24)*(0.5*((((446-43)*MAX('Inputs'!$B$33,'Inputs'!$B$29+'Inputs'!$B$31+'Inputs'!$B$32,'Inputs'!$B$30+'Inputs'!$B$31+'Inputs'!$B$32)/1000+'Inputs'!$B$21+'Inputs'!$B$7+'Inputs'!$B$10)+'Inputs'!$B$9)/SQRT((((446-43)*MAX('Inputs'!$B$33,'Inputs'!$B$29+'Inputs'!$B$31+'Inputs'!$B$32,'Inputs'!$B$30+'Inputs'!$B$31+'Inputs'!$B$32)/1000+'Inputs'!$B$21+'Inputs'!$B$7+'Inputs'!$B$10)+'Inputs'!$B$9)^2+('Inputs'!$B$8/2)^2)-(((446-43)*MAX('Inputs'!$B$33,'Inputs'!$B$29+'Inputs'!$B$31+'Inputs'!$B$32,'Inputs'!$B$30+'Inputs'!$B$31+'Inputs'!$B$32)/1000+'Inputs'!$B$21+'Inputs'!$B$7+'Inputs'!$B$10))/SQRT((((446-43)*MAX('Inputs'!$B$33,'Inputs'!$B$29+'Inputs'!$B$31+'Inputs'!$B$32,'Inputs'!$B$30+'Inputs'!$B$31+'Inputs'!$B$32)/1000+'Inputs'!$B$21+'Inputs'!$B$7+'Inputs'!$B$10))^2+('Inputs'!$B$8/2)^2))))*'Results'!$B$8)+'Inputs'!$B$28*ABS((('Results'!B7*(1+'Inputs'!$B$24)*(0.5*((((446-43)*MAX('Inputs'!$B$33,'Inputs'!$B$29+'Inputs'!$B$31+'Inputs'!$B$32,'Inputs'!$B$30+'Inputs'!$B$31+'Inputs'!$B$32)/1000+'Inputs'!$B$21)+'Inputs'!$B$7)/SQRT((((446-43)*MAX('Inputs'!$B$33,'Inputs'!$B$29+'Inputs'!$B$31+'Inputs'!$B$32,'Inputs'!$B$30+'Inputs'!$B$31+'Inputs'!$B$32)/1000+'Inputs'!$B$21)+'Inputs'!$B$7)^2+('Inputs'!$B$6/2)^2)-(((446-43)*MAX('Inputs'!$B$33,'Inputs'!$B$29+'Inputs'!$B$31+'Inputs'!$B$32,'Inputs'!$B$30+'Inputs'!$B$31+'Inputs'!$B$32)/1000+'Inputs'!$B$21))/SQRT((((446-43)*MAX('Inputs'!$B$33,'Inputs'!$B$29+'Inputs'!$B$31+'Inputs'!$B$32,'Inputs'!$B$30+'Inputs'!$B$31+'Inputs'!$B$32)/1000+'Inputs'!$B$21))^2+('Inputs'!$B$6/2)^2)))-'Results'!C7*(1-'Inputs'!$B$24)*(0.5*((((446-43)*MAX('Inputs'!$B$33,'Inputs'!$B$29+'Inputs'!$B$31+'Inputs'!$B$32,'Inputs'!$B$30+'Inputs'!$B$31+'Inputs'!$B$32)/1000+'Inputs'!$B$21+'Inputs'!$B$7+'Inputs'!$B$10)+'Inputs'!$B$9)/SQRT((((446-43)*MAX('Inputs'!$B$33,'Inputs'!$B$29+'Inputs'!$B$31+'Inputs'!$B$32,'Inputs'!$B$30+'Inputs'!$B$31+'Inputs'!$B$32)/1000+'Inputs'!$B$21+'Inputs'!$B$7+'Inputs'!$B$10)+'Inputs'!$B$9)^2+('Inputs'!$B$8/2)^2)-(((446-43)*MAX('Inputs'!$B$33,'Inputs'!$B$29+'Inputs'!$B$31+'Inputs'!$B$32,'Inputs'!$B$30+'Inputs'!$B$31+'Inputs'!$B$32)/1000+'Inputs'!$B$21+'Inputs'!$B$7+'Inputs'!$B$10))/SQRT((((446-43)*MAX('Inputs'!$B$33,'Inputs'!$B$29+'Inputs'!$B$31+'Inputs'!$B$32,'Inputs'!$B$30+'Inputs'!$B$31+'Inputs'!$B$32)/1000+'Inputs'!$B$21+'Inputs'!$B$7+'Inputs'!$B$10))^2+('Inputs'!$B$8/2)^2))))*'Results'!$B$8))),"")</x:f>
        <x:v>9.583144319806292</x:v>
      </x:c>
      <x:c r="M446" t="n">
        <x:f>IF(AND(ISNUMBER('Results'!C7),ISNUMBER('Results'!B7),ISNUMBER('Results'!$B$8),ISNUMBER('Inputs'!$B$6),ISNUMBER('Inputs'!$B$7),ISNUMBER('Inputs'!$B$8),ISNUMBER('Inputs'!$B$9),ISNUMBER('Inputs'!$B$10),ISNUMBER('Inputs'!$B$21),ISNUMBER('Inputs'!$B$24),ISNUMBER('Inputs'!$B$28)),(('Results'!C7*(0.5*((((446-43)*MAX('Inputs'!$B$33,'Inputs'!$B$29+'Inputs'!$B$31+'Inputs'!$B$32,'Inputs'!$B$30+'Inputs'!$B$31+'Inputs'!$B$32)/1000+'Inputs'!$B$21)+'Inputs'!$B$9)/SQRT((((446-43)*MAX('Inputs'!$B$33,'Inputs'!$B$29+'Inputs'!$B$31+'Inputs'!$B$32,'Inputs'!$B$30+'Inputs'!$B$31+'Inputs'!$B$32)/1000+'Inputs'!$B$21)+'Inputs'!$B$9)^2+('Inputs'!$B$8/2)^2)-(((446-43)*MAX('Inputs'!$B$33,'Inputs'!$B$29+'Inputs'!$B$31+'Inputs'!$B$32,'Inputs'!$B$30+'Inputs'!$B$31+'Inputs'!$B$32)/1000+'Inputs'!$B$21))/SQRT((((446-43)*MAX('Inputs'!$B$33,'Inputs'!$B$29+'Inputs'!$B$31+'Inputs'!$B$32,'Inputs'!$B$30+'Inputs'!$B$31+'Inputs'!$B$32)/1000+'Inputs'!$B$21))^2+('Inputs'!$B$8/2)^2)))-'Results'!B7*(0.5*((((446-43)*MAX('Inputs'!$B$33,'Inputs'!$B$29+'Inputs'!$B$31+'Inputs'!$B$32,'Inputs'!$B$30+'Inputs'!$B$31+'Inputs'!$B$32)/1000+'Inputs'!$B$21+'Inputs'!$B$9+'Inputs'!$B$10)+'Inputs'!$B$7)/SQRT((((446-43)*MAX('Inputs'!$B$33,'Inputs'!$B$29+'Inputs'!$B$31+'Inputs'!$B$32,'Inputs'!$B$30+'Inputs'!$B$31+'Inputs'!$B$32)/1000+'Inputs'!$B$21+'Inputs'!$B$9+'Inputs'!$B$10)+'Inputs'!$B$7)^2+('Inputs'!$B$6/2)^2)-(((446-43)*MAX('Inputs'!$B$33,'Inputs'!$B$29+'Inputs'!$B$31+'Inputs'!$B$32,'Inputs'!$B$30+'Inputs'!$B$31+'Inputs'!$B$32)/1000+'Inputs'!$B$21+'Inputs'!$B$9+'Inputs'!$B$10))/SQRT((((446-43)*MAX('Inputs'!$B$33,'Inputs'!$B$29+'Inputs'!$B$31+'Inputs'!$B$32,'Inputs'!$B$30+'Inputs'!$B$31+'Inputs'!$B$32)/1000+'Inputs'!$B$21+'Inputs'!$B$9+'Inputs'!$B$10))^2+('Inputs'!$B$6/2)^2))))*'Results'!$B$8),"")</x:f>
        <x:v>8.126323469335054</x:v>
      </x:c>
      <x:c r="N446" t="n">
        <x:f>IF(AND(ISNUMBER('Results'!C7),ISNUMBER('Results'!B7),ISNUMBER('Results'!$B$8),ISNUMBER('Inputs'!$B$6),ISNUMBER('Inputs'!$B$7),ISNUMBER('Inputs'!$B$8),ISNUMBER('Inputs'!$B$9),ISNUMBER('Inputs'!$B$10),ISNUMBER('Inputs'!$B$21),ISNUMBER('Inputs'!$B$24),ISNUMBER('Inputs'!$B$28)),((('Results'!C7*(1-'Inputs'!$B$24)*(0.5*((((446-43)*MAX('Inputs'!$B$33,'Inputs'!$B$29+'Inputs'!$B$31+'Inputs'!$B$32,'Inputs'!$B$30+'Inputs'!$B$31+'Inputs'!$B$32)/1000+'Inputs'!$B$21)+'Inputs'!$B$9)/SQRT((((446-43)*MAX('Inputs'!$B$33,'Inputs'!$B$29+'Inputs'!$B$31+'Inputs'!$B$32,'Inputs'!$B$30+'Inputs'!$B$31+'Inputs'!$B$32)/1000+'Inputs'!$B$21)+'Inputs'!$B$9)^2+('Inputs'!$B$8/2)^2)-(((446-43)*MAX('Inputs'!$B$33,'Inputs'!$B$29+'Inputs'!$B$31+'Inputs'!$B$32,'Inputs'!$B$30+'Inputs'!$B$31+'Inputs'!$B$32)/1000+'Inputs'!$B$21))/SQRT((((446-43)*MAX('Inputs'!$B$33,'Inputs'!$B$29+'Inputs'!$B$31+'Inputs'!$B$32,'Inputs'!$B$30+'Inputs'!$B$31+'Inputs'!$B$32)/1000+'Inputs'!$B$21))^2+('Inputs'!$B$8/2)^2)))-'Results'!B7*(1+'Inputs'!$B$24)*(0.5*((((446-43)*MAX('Inputs'!$B$33,'Inputs'!$B$29+'Inputs'!$B$31+'Inputs'!$B$32,'Inputs'!$B$30+'Inputs'!$B$31+'Inputs'!$B$32)/1000+'Inputs'!$B$21+'Inputs'!$B$9+'Inputs'!$B$10)+'Inputs'!$B$7)/SQRT((((446-43)*MAX('Inputs'!$B$33,'Inputs'!$B$29+'Inputs'!$B$31+'Inputs'!$B$32,'Inputs'!$B$30+'Inputs'!$B$31+'Inputs'!$B$32)/1000+'Inputs'!$B$21+'Inputs'!$B$9+'Inputs'!$B$10)+'Inputs'!$B$7)^2+('Inputs'!$B$6/2)^2)-(((446-43)*MAX('Inputs'!$B$33,'Inputs'!$B$29+'Inputs'!$B$31+'Inputs'!$B$32,'Inputs'!$B$30+'Inputs'!$B$31+'Inputs'!$B$32)/1000+'Inputs'!$B$21+'Inputs'!$B$9+'Inputs'!$B$10))/SQRT((((446-43)*MAX('Inputs'!$B$33,'Inputs'!$B$29+'Inputs'!$B$31+'Inputs'!$B$32,'Inputs'!$B$30+'Inputs'!$B$31+'Inputs'!$B$32)/1000+'Inputs'!$B$21+'Inputs'!$B$9+'Inputs'!$B$10))^2+('Inputs'!$B$6/2)^2))))*'Results'!$B$8)-'Inputs'!$B$28*ABS((('Results'!C7*(1-'Inputs'!$B$24)*(0.5*((((446-43)*MAX('Inputs'!$B$33,'Inputs'!$B$29+'Inputs'!$B$31+'Inputs'!$B$32,'Inputs'!$B$30+'Inputs'!$B$31+'Inputs'!$B$32)/1000+'Inputs'!$B$21)+'Inputs'!$B$9)/SQRT((((446-43)*MAX('Inputs'!$B$33,'Inputs'!$B$29+'Inputs'!$B$31+'Inputs'!$B$32,'Inputs'!$B$30+'Inputs'!$B$31+'Inputs'!$B$32)/1000+'Inputs'!$B$21)+'Inputs'!$B$9)^2+('Inputs'!$B$8/2)^2)-(((446-43)*MAX('Inputs'!$B$33,'Inputs'!$B$29+'Inputs'!$B$31+'Inputs'!$B$32,'Inputs'!$B$30+'Inputs'!$B$31+'Inputs'!$B$32)/1000+'Inputs'!$B$21))/SQRT((((446-43)*MAX('Inputs'!$B$33,'Inputs'!$B$29+'Inputs'!$B$31+'Inputs'!$B$32,'Inputs'!$B$30+'Inputs'!$B$31+'Inputs'!$B$32)/1000+'Inputs'!$B$21))^2+('Inputs'!$B$8/2)^2)))-'Results'!B7*(1+'Inputs'!$B$24)*(0.5*((((446-43)*MAX('Inputs'!$B$33,'Inputs'!$B$29+'Inputs'!$B$31+'Inputs'!$B$32,'Inputs'!$B$30+'Inputs'!$B$31+'Inputs'!$B$32)/1000+'Inputs'!$B$21+'Inputs'!$B$9+'Inputs'!$B$10)+'Inputs'!$B$7)/SQRT((((446-43)*MAX('Inputs'!$B$33,'Inputs'!$B$29+'Inputs'!$B$31+'Inputs'!$B$32,'Inputs'!$B$30+'Inputs'!$B$31+'Inputs'!$B$32)/1000+'Inputs'!$B$21+'Inputs'!$B$9+'Inputs'!$B$10)+'Inputs'!$B$7)^2+('Inputs'!$B$6/2)^2)-(((446-43)*MAX('Inputs'!$B$33,'Inputs'!$B$29+'Inputs'!$B$31+'Inputs'!$B$32,'Inputs'!$B$30+'Inputs'!$B$31+'Inputs'!$B$32)/1000+'Inputs'!$B$21+'Inputs'!$B$9+'Inputs'!$B$10))/SQRT((((446-43)*MAX('Inputs'!$B$33,'Inputs'!$B$29+'Inputs'!$B$31+'Inputs'!$B$32,'Inputs'!$B$30+'Inputs'!$B$31+'Inputs'!$B$32)/1000+'Inputs'!$B$21+'Inputs'!$B$9+'Inputs'!$B$10))^2+('Inputs'!$B$6/2)^2))))*'Results'!$B$8))),"")</x:f>
        <x:v>7.249574671805272</x:v>
      </x:c>
      <x:c r="O446" t="n">
        <x:f>IF(AND(ISNUMBER('Results'!C7),ISNUMBER('Results'!B7),ISNUMBER('Results'!$B$8),ISNUMBER('Inputs'!$B$6),ISNUMBER('Inputs'!$B$7),ISNUMBER('Inputs'!$B$8),ISNUMBER('Inputs'!$B$9),ISNUMBER('Inputs'!$B$10),ISNUMBER('Inputs'!$B$21),ISNUMBER('Inputs'!$B$24),ISNUMBER('Inputs'!$B$28)),((('Results'!C7*(1+'Inputs'!$B$24)*(0.5*((((446-43)*MAX('Inputs'!$B$33,'Inputs'!$B$29+'Inputs'!$B$31+'Inputs'!$B$32,'Inputs'!$B$30+'Inputs'!$B$31+'Inputs'!$B$32)/1000+'Inputs'!$B$21)+'Inputs'!$B$9)/SQRT((((446-43)*MAX('Inputs'!$B$33,'Inputs'!$B$29+'Inputs'!$B$31+'Inputs'!$B$32,'Inputs'!$B$30+'Inputs'!$B$31+'Inputs'!$B$32)/1000+'Inputs'!$B$21)+'Inputs'!$B$9)^2+('Inputs'!$B$8/2)^2)-(((446-43)*MAX('Inputs'!$B$33,'Inputs'!$B$29+'Inputs'!$B$31+'Inputs'!$B$32,'Inputs'!$B$30+'Inputs'!$B$31+'Inputs'!$B$32)/1000+'Inputs'!$B$21))/SQRT((((446-43)*MAX('Inputs'!$B$33,'Inputs'!$B$29+'Inputs'!$B$31+'Inputs'!$B$32,'Inputs'!$B$30+'Inputs'!$B$31+'Inputs'!$B$32)/1000+'Inputs'!$B$21))^2+('Inputs'!$B$8/2)^2)))-'Results'!B7*(1-'Inputs'!$B$24)*(0.5*((((446-43)*MAX('Inputs'!$B$33,'Inputs'!$B$29+'Inputs'!$B$31+'Inputs'!$B$32,'Inputs'!$B$30+'Inputs'!$B$31+'Inputs'!$B$32)/1000+'Inputs'!$B$21+'Inputs'!$B$9+'Inputs'!$B$10)+'Inputs'!$B$7)/SQRT((((446-43)*MAX('Inputs'!$B$33,'Inputs'!$B$29+'Inputs'!$B$31+'Inputs'!$B$32,'Inputs'!$B$30+'Inputs'!$B$31+'Inputs'!$B$32)/1000+'Inputs'!$B$21+'Inputs'!$B$9+'Inputs'!$B$10)+'Inputs'!$B$7)^2+('Inputs'!$B$6/2)^2)-(((446-43)*MAX('Inputs'!$B$33,'Inputs'!$B$29+'Inputs'!$B$31+'Inputs'!$B$32,'Inputs'!$B$30+'Inputs'!$B$31+'Inputs'!$B$32)/1000+'Inputs'!$B$21+'Inputs'!$B$9+'Inputs'!$B$10))/SQRT((((446-43)*MAX('Inputs'!$B$33,'Inputs'!$B$29+'Inputs'!$B$31+'Inputs'!$B$32,'Inputs'!$B$30+'Inputs'!$B$31+'Inputs'!$B$32)/1000+'Inputs'!$B$21+'Inputs'!$B$9+'Inputs'!$B$10))^2+('Inputs'!$B$6/2)^2))))*'Results'!$B$8)+'Inputs'!$B$28*ABS((('Results'!C7*(1+'Inputs'!$B$24)*(0.5*((((446-43)*MAX('Inputs'!$B$33,'Inputs'!$B$29+'Inputs'!$B$31+'Inputs'!$B$32,'Inputs'!$B$30+'Inputs'!$B$31+'Inputs'!$B$32)/1000+'Inputs'!$B$21)+'Inputs'!$B$9)/SQRT((((446-43)*MAX('Inputs'!$B$33,'Inputs'!$B$29+'Inputs'!$B$31+'Inputs'!$B$32,'Inputs'!$B$30+'Inputs'!$B$31+'Inputs'!$B$32)/1000+'Inputs'!$B$21)+'Inputs'!$B$9)^2+('Inputs'!$B$8/2)^2)-(((446-43)*MAX('Inputs'!$B$33,'Inputs'!$B$29+'Inputs'!$B$31+'Inputs'!$B$32,'Inputs'!$B$30+'Inputs'!$B$31+'Inputs'!$B$32)/1000+'Inputs'!$B$21))/SQRT((((446-43)*MAX('Inputs'!$B$33,'Inputs'!$B$29+'Inputs'!$B$31+'Inputs'!$B$32,'Inputs'!$B$30+'Inputs'!$B$31+'Inputs'!$B$32)/1000+'Inputs'!$B$21))^2+('Inputs'!$B$8/2)^2)))-'Results'!B7*(1-'Inputs'!$B$24)*(0.5*((((446-43)*MAX('Inputs'!$B$33,'Inputs'!$B$29+'Inputs'!$B$31+'Inputs'!$B$32,'Inputs'!$B$30+'Inputs'!$B$31+'Inputs'!$B$32)/1000+'Inputs'!$B$21+'Inputs'!$B$9+'Inputs'!$B$10)+'Inputs'!$B$7)/SQRT((((446-43)*MAX('Inputs'!$B$33,'Inputs'!$B$29+'Inputs'!$B$31+'Inputs'!$B$32,'Inputs'!$B$30+'Inputs'!$B$31+'Inputs'!$B$32)/1000+'Inputs'!$B$21+'Inputs'!$B$9+'Inputs'!$B$10)+'Inputs'!$B$7)^2+('Inputs'!$B$6/2)^2)-(((446-43)*MAX('Inputs'!$B$33,'Inputs'!$B$29+'Inputs'!$B$31+'Inputs'!$B$32,'Inputs'!$B$30+'Inputs'!$B$31+'Inputs'!$B$32)/1000+'Inputs'!$B$21+'Inputs'!$B$9+'Inputs'!$B$10))/SQRT((((446-43)*MAX('Inputs'!$B$33,'Inputs'!$B$29+'Inputs'!$B$31+'Inputs'!$B$32,'Inputs'!$B$30+'Inputs'!$B$31+'Inputs'!$B$32)/1000+'Inputs'!$B$21+'Inputs'!$B$9+'Inputs'!$B$10))^2+('Inputs'!$B$6/2)^2))))*'Results'!$B$8))),"")</x:f>
        <x:v>9.052591490450416</x:v>
      </x:c>
      <x:c r="P446" t="n">
        <x:f>IF(AND(MAX(J446,J445)&gt;0,J446&gt;J445+0.00000001),1,0)</x:f>
        <x:v>0</x:v>
      </x:c>
      <x:c r="Q446" t="n">
        <x:f>IF(AND(MAX(K446,K445)&gt;0,K446&gt;K445+0.00000001),1,0)</x:f>
        <x:v>0</x:v>
      </x:c>
      <x:c r="R446" t="n">
        <x:f>IF(AND(MAX(L446,L445)&gt;0,L446&gt;L445+0.00000001),1,0)</x:f>
        <x:v>0</x:v>
      </x:c>
      <x:c r="S446" t="n">
        <x:f>IF(AND(MAX(M446,M445)&gt;0,M446&gt;M445+0.00000001),1,0)</x:f>
        <x:v>0</x:v>
      </x:c>
      <x:c r="T446" t="n">
        <x:f>IF(AND(MAX(N446,N445)&gt;0,N446&gt;N445+0.00000001),1,0)</x:f>
        <x:v>0</x:v>
      </x:c>
      <x:c r="U446" t="n">
        <x:f>IF(AND(MAX(O446,O445)&gt;0,O446&gt;O445+0.00000001),1,0)</x:f>
        <x:v>0</x:v>
      </x:c>
    </x:row>
    <x:row r="447">
      <x:c r="J447" t="n">
        <x:f>IF(AND(ISNUMBER('Results'!B7),ISNUMBER('Results'!C7),ISNUMBER('Results'!$B$8),ISNUMBER('Inputs'!$B$6),ISNUMBER('Inputs'!$B$7),ISNUMBER('Inputs'!$B$8),ISNUMBER('Inputs'!$B$9),ISNUMBER('Inputs'!$B$10),ISNUMBER('Inputs'!$B$21),ISNUMBER('Inputs'!$B$24),ISNUMBER('Inputs'!$B$28)),(('Results'!B7*(0.5*((((447-43)*MAX('Inputs'!$B$33,'Inputs'!$B$29+'Inputs'!$B$31+'Inputs'!$B$32,'Inputs'!$B$30+'Inputs'!$B$31+'Inputs'!$B$32)/1000+'Inputs'!$B$21)+'Inputs'!$B$7)/SQRT((((447-43)*MAX('Inputs'!$B$33,'Inputs'!$B$29+'Inputs'!$B$31+'Inputs'!$B$32,'Inputs'!$B$30+'Inputs'!$B$31+'Inputs'!$B$32)/1000+'Inputs'!$B$21)+'Inputs'!$B$7)^2+('Inputs'!$B$6/2)^2)-(((447-43)*MAX('Inputs'!$B$33,'Inputs'!$B$29+'Inputs'!$B$31+'Inputs'!$B$32,'Inputs'!$B$30+'Inputs'!$B$31+'Inputs'!$B$32)/1000+'Inputs'!$B$21))/SQRT((((447-43)*MAX('Inputs'!$B$33,'Inputs'!$B$29+'Inputs'!$B$31+'Inputs'!$B$32,'Inputs'!$B$30+'Inputs'!$B$31+'Inputs'!$B$32)/1000+'Inputs'!$B$21))^2+('Inputs'!$B$6/2)^2)))-'Results'!C7*(0.5*((((447-43)*MAX('Inputs'!$B$33,'Inputs'!$B$29+'Inputs'!$B$31+'Inputs'!$B$32,'Inputs'!$B$30+'Inputs'!$B$31+'Inputs'!$B$32)/1000+'Inputs'!$B$21+'Inputs'!$B$7+'Inputs'!$B$10)+'Inputs'!$B$9)/SQRT((((447-43)*MAX('Inputs'!$B$33,'Inputs'!$B$29+'Inputs'!$B$31+'Inputs'!$B$32,'Inputs'!$B$30+'Inputs'!$B$31+'Inputs'!$B$32)/1000+'Inputs'!$B$21+'Inputs'!$B$7+'Inputs'!$B$10)+'Inputs'!$B$9)^2+('Inputs'!$B$8/2)^2)-(((447-43)*MAX('Inputs'!$B$33,'Inputs'!$B$29+'Inputs'!$B$31+'Inputs'!$B$32,'Inputs'!$B$30+'Inputs'!$B$31+'Inputs'!$B$32)/1000+'Inputs'!$B$21+'Inputs'!$B$7+'Inputs'!$B$10))/SQRT((((447-43)*MAX('Inputs'!$B$33,'Inputs'!$B$29+'Inputs'!$B$31+'Inputs'!$B$32,'Inputs'!$B$30+'Inputs'!$B$31+'Inputs'!$B$32)/1000+'Inputs'!$B$21+'Inputs'!$B$7+'Inputs'!$B$10))^2+('Inputs'!$B$8/2)^2))))*'Results'!$B$8),"")</x:f>
        <x:v>8.55789168685485</x:v>
      </x:c>
      <x:c r="K447" t="n">
        <x:f>IF(AND(ISNUMBER('Results'!B7),ISNUMBER('Results'!C7),ISNUMBER('Results'!$B$8),ISNUMBER('Inputs'!$B$6),ISNUMBER('Inputs'!$B$7),ISNUMBER('Inputs'!$B$8),ISNUMBER('Inputs'!$B$9),ISNUMBER('Inputs'!$B$10),ISNUMBER('Inputs'!$B$21),ISNUMBER('Inputs'!$B$24),ISNUMBER('Inputs'!$B$28)),((('Results'!B7*(1-'Inputs'!$B$24)*(0.5*((((447-43)*MAX('Inputs'!$B$33,'Inputs'!$B$29+'Inputs'!$B$31+'Inputs'!$B$32,'Inputs'!$B$30+'Inputs'!$B$31+'Inputs'!$B$32)/1000+'Inputs'!$B$21)+'Inputs'!$B$7)/SQRT((((447-43)*MAX('Inputs'!$B$33,'Inputs'!$B$29+'Inputs'!$B$31+'Inputs'!$B$32,'Inputs'!$B$30+'Inputs'!$B$31+'Inputs'!$B$32)/1000+'Inputs'!$B$21)+'Inputs'!$B$7)^2+('Inputs'!$B$6/2)^2)-(((447-43)*MAX('Inputs'!$B$33,'Inputs'!$B$29+'Inputs'!$B$31+'Inputs'!$B$32,'Inputs'!$B$30+'Inputs'!$B$31+'Inputs'!$B$32)/1000+'Inputs'!$B$21))/SQRT((((447-43)*MAX('Inputs'!$B$33,'Inputs'!$B$29+'Inputs'!$B$31+'Inputs'!$B$32,'Inputs'!$B$30+'Inputs'!$B$31+'Inputs'!$B$32)/1000+'Inputs'!$B$21))^2+('Inputs'!$B$6/2)^2)))-'Results'!C7*(1+'Inputs'!$B$24)*(0.5*((((447-43)*MAX('Inputs'!$B$33,'Inputs'!$B$29+'Inputs'!$B$31+'Inputs'!$B$32,'Inputs'!$B$30+'Inputs'!$B$31+'Inputs'!$B$32)/1000+'Inputs'!$B$21+'Inputs'!$B$7+'Inputs'!$B$10)+'Inputs'!$B$9)/SQRT((((447-43)*MAX('Inputs'!$B$33,'Inputs'!$B$29+'Inputs'!$B$31+'Inputs'!$B$32,'Inputs'!$B$30+'Inputs'!$B$31+'Inputs'!$B$32)/1000+'Inputs'!$B$21+'Inputs'!$B$7+'Inputs'!$B$10)+'Inputs'!$B$9)^2+('Inputs'!$B$8/2)^2)-(((447-43)*MAX('Inputs'!$B$33,'Inputs'!$B$29+'Inputs'!$B$31+'Inputs'!$B$32,'Inputs'!$B$30+'Inputs'!$B$31+'Inputs'!$B$32)/1000+'Inputs'!$B$21+'Inputs'!$B$7+'Inputs'!$B$10))/SQRT((((447-43)*MAX('Inputs'!$B$33,'Inputs'!$B$29+'Inputs'!$B$31+'Inputs'!$B$32,'Inputs'!$B$30+'Inputs'!$B$31+'Inputs'!$B$32)/1000+'Inputs'!$B$21+'Inputs'!$B$7+'Inputs'!$B$10))^2+('Inputs'!$B$8/2)^2))))*'Results'!$B$8)-'Inputs'!$B$28*ABS((('Results'!B7*(1-'Inputs'!$B$24)*(0.5*((((447-43)*MAX('Inputs'!$B$33,'Inputs'!$B$29+'Inputs'!$B$31+'Inputs'!$B$32,'Inputs'!$B$30+'Inputs'!$B$31+'Inputs'!$B$32)/1000+'Inputs'!$B$21)+'Inputs'!$B$7)/SQRT((((447-43)*MAX('Inputs'!$B$33,'Inputs'!$B$29+'Inputs'!$B$31+'Inputs'!$B$32,'Inputs'!$B$30+'Inputs'!$B$31+'Inputs'!$B$32)/1000+'Inputs'!$B$21)+'Inputs'!$B$7)^2+('Inputs'!$B$6/2)^2)-(((447-43)*MAX('Inputs'!$B$33,'Inputs'!$B$29+'Inputs'!$B$31+'Inputs'!$B$32,'Inputs'!$B$30+'Inputs'!$B$31+'Inputs'!$B$32)/1000+'Inputs'!$B$21))/SQRT((((447-43)*MAX('Inputs'!$B$33,'Inputs'!$B$29+'Inputs'!$B$31+'Inputs'!$B$32,'Inputs'!$B$30+'Inputs'!$B$31+'Inputs'!$B$32)/1000+'Inputs'!$B$21))^2+('Inputs'!$B$6/2)^2)))-'Results'!C7*(1+'Inputs'!$B$24)*(0.5*((((447-43)*MAX('Inputs'!$B$33,'Inputs'!$B$29+'Inputs'!$B$31+'Inputs'!$B$32,'Inputs'!$B$30+'Inputs'!$B$31+'Inputs'!$B$32)/1000+'Inputs'!$B$21+'Inputs'!$B$7+'Inputs'!$B$10)+'Inputs'!$B$9)/SQRT((((447-43)*MAX('Inputs'!$B$33,'Inputs'!$B$29+'Inputs'!$B$31+'Inputs'!$B$32,'Inputs'!$B$30+'Inputs'!$B$31+'Inputs'!$B$32)/1000+'Inputs'!$B$21+'Inputs'!$B$7+'Inputs'!$B$10)+'Inputs'!$B$9)^2+('Inputs'!$B$8/2)^2)-(((447-43)*MAX('Inputs'!$B$33,'Inputs'!$B$29+'Inputs'!$B$31+'Inputs'!$B$32,'Inputs'!$B$30+'Inputs'!$B$31+'Inputs'!$B$32)/1000+'Inputs'!$B$21+'Inputs'!$B$7+'Inputs'!$B$10))/SQRT((((447-43)*MAX('Inputs'!$B$33,'Inputs'!$B$29+'Inputs'!$B$31+'Inputs'!$B$32,'Inputs'!$B$30+'Inputs'!$B$31+'Inputs'!$B$32)/1000+'Inputs'!$B$21+'Inputs'!$B$7+'Inputs'!$B$10))^2+('Inputs'!$B$8/2)^2))))*'Results'!$B$8))),"")</x:f>
        <x:v>7.659373689390596</x:v>
      </x:c>
      <x:c r="L447" t="n">
        <x:f>IF(AND(ISNUMBER('Results'!B7),ISNUMBER('Results'!C7),ISNUMBER('Results'!$B$8),ISNUMBER('Inputs'!$B$6),ISNUMBER('Inputs'!$B$7),ISNUMBER('Inputs'!$B$8),ISNUMBER('Inputs'!$B$9),ISNUMBER('Inputs'!$B$10),ISNUMBER('Inputs'!$B$21),ISNUMBER('Inputs'!$B$24),ISNUMBER('Inputs'!$B$28)),((('Results'!B7*(1+'Inputs'!$B$24)*(0.5*((((447-43)*MAX('Inputs'!$B$33,'Inputs'!$B$29+'Inputs'!$B$31+'Inputs'!$B$32,'Inputs'!$B$30+'Inputs'!$B$31+'Inputs'!$B$32)/1000+'Inputs'!$B$21)+'Inputs'!$B$7)/SQRT((((447-43)*MAX('Inputs'!$B$33,'Inputs'!$B$29+'Inputs'!$B$31+'Inputs'!$B$32,'Inputs'!$B$30+'Inputs'!$B$31+'Inputs'!$B$32)/1000+'Inputs'!$B$21)+'Inputs'!$B$7)^2+('Inputs'!$B$6/2)^2)-(((447-43)*MAX('Inputs'!$B$33,'Inputs'!$B$29+'Inputs'!$B$31+'Inputs'!$B$32,'Inputs'!$B$30+'Inputs'!$B$31+'Inputs'!$B$32)/1000+'Inputs'!$B$21))/SQRT((((447-43)*MAX('Inputs'!$B$33,'Inputs'!$B$29+'Inputs'!$B$31+'Inputs'!$B$32,'Inputs'!$B$30+'Inputs'!$B$31+'Inputs'!$B$32)/1000+'Inputs'!$B$21))^2+('Inputs'!$B$6/2)^2)))-'Results'!C7*(1-'Inputs'!$B$24)*(0.5*((((447-43)*MAX('Inputs'!$B$33,'Inputs'!$B$29+'Inputs'!$B$31+'Inputs'!$B$32,'Inputs'!$B$30+'Inputs'!$B$31+'Inputs'!$B$32)/1000+'Inputs'!$B$21+'Inputs'!$B$7+'Inputs'!$B$10)+'Inputs'!$B$9)/SQRT((((447-43)*MAX('Inputs'!$B$33,'Inputs'!$B$29+'Inputs'!$B$31+'Inputs'!$B$32,'Inputs'!$B$30+'Inputs'!$B$31+'Inputs'!$B$32)/1000+'Inputs'!$B$21+'Inputs'!$B$7+'Inputs'!$B$10)+'Inputs'!$B$9)^2+('Inputs'!$B$8/2)^2)-(((447-43)*MAX('Inputs'!$B$33,'Inputs'!$B$29+'Inputs'!$B$31+'Inputs'!$B$32,'Inputs'!$B$30+'Inputs'!$B$31+'Inputs'!$B$32)/1000+'Inputs'!$B$21+'Inputs'!$B$7+'Inputs'!$B$10))/SQRT((((447-43)*MAX('Inputs'!$B$33,'Inputs'!$B$29+'Inputs'!$B$31+'Inputs'!$B$32,'Inputs'!$B$30+'Inputs'!$B$31+'Inputs'!$B$32)/1000+'Inputs'!$B$21+'Inputs'!$B$7+'Inputs'!$B$10))^2+('Inputs'!$B$8/2)^2))))*'Results'!$B$8)+'Inputs'!$B$28*ABS((('Results'!B7*(1+'Inputs'!$B$24)*(0.5*((((447-43)*MAX('Inputs'!$B$33,'Inputs'!$B$29+'Inputs'!$B$31+'Inputs'!$B$32,'Inputs'!$B$30+'Inputs'!$B$31+'Inputs'!$B$32)/1000+'Inputs'!$B$21)+'Inputs'!$B$7)/SQRT((((447-43)*MAX('Inputs'!$B$33,'Inputs'!$B$29+'Inputs'!$B$31+'Inputs'!$B$32,'Inputs'!$B$30+'Inputs'!$B$31+'Inputs'!$B$32)/1000+'Inputs'!$B$21)+'Inputs'!$B$7)^2+('Inputs'!$B$6/2)^2)-(((447-43)*MAX('Inputs'!$B$33,'Inputs'!$B$29+'Inputs'!$B$31+'Inputs'!$B$32,'Inputs'!$B$30+'Inputs'!$B$31+'Inputs'!$B$32)/1000+'Inputs'!$B$21))/SQRT((((447-43)*MAX('Inputs'!$B$33,'Inputs'!$B$29+'Inputs'!$B$31+'Inputs'!$B$32,'Inputs'!$B$30+'Inputs'!$B$31+'Inputs'!$B$32)/1000+'Inputs'!$B$21))^2+('Inputs'!$B$6/2)^2)))-'Results'!C7*(1-'Inputs'!$B$24)*(0.5*((((447-43)*MAX('Inputs'!$B$33,'Inputs'!$B$29+'Inputs'!$B$31+'Inputs'!$B$32,'Inputs'!$B$30+'Inputs'!$B$31+'Inputs'!$B$32)/1000+'Inputs'!$B$21+'Inputs'!$B$7+'Inputs'!$B$10)+'Inputs'!$B$9)/SQRT((((447-43)*MAX('Inputs'!$B$33,'Inputs'!$B$29+'Inputs'!$B$31+'Inputs'!$B$32,'Inputs'!$B$30+'Inputs'!$B$31+'Inputs'!$B$32)/1000+'Inputs'!$B$21+'Inputs'!$B$7+'Inputs'!$B$10)+'Inputs'!$B$9)^2+('Inputs'!$B$8/2)^2)-(((447-43)*MAX('Inputs'!$B$33,'Inputs'!$B$29+'Inputs'!$B$31+'Inputs'!$B$32,'Inputs'!$B$30+'Inputs'!$B$31+'Inputs'!$B$32)/1000+'Inputs'!$B$21+'Inputs'!$B$7+'Inputs'!$B$10))/SQRT((((447-43)*MAX('Inputs'!$B$33,'Inputs'!$B$29+'Inputs'!$B$31+'Inputs'!$B$32,'Inputs'!$B$30+'Inputs'!$B$31+'Inputs'!$B$32)/1000+'Inputs'!$B$21+'Inputs'!$B$7+'Inputs'!$B$10))^2+('Inputs'!$B$8/2)^2))))*'Results'!$B$8))),"")</x:f>
        <x:v>9.50594899096347</x:v>
      </x:c>
      <x:c r="M447" t="n">
        <x:f>IF(AND(ISNUMBER('Results'!C7),ISNUMBER('Results'!B7),ISNUMBER('Results'!$B$8),ISNUMBER('Inputs'!$B$6),ISNUMBER('Inputs'!$B$7),ISNUMBER('Inputs'!$B$8),ISNUMBER('Inputs'!$B$9),ISNUMBER('Inputs'!$B$10),ISNUMBER('Inputs'!$B$21),ISNUMBER('Inputs'!$B$24),ISNUMBER('Inputs'!$B$28)),(('Results'!C7*(0.5*((((447-43)*MAX('Inputs'!$B$33,'Inputs'!$B$29+'Inputs'!$B$31+'Inputs'!$B$32,'Inputs'!$B$30+'Inputs'!$B$31+'Inputs'!$B$32)/1000+'Inputs'!$B$21)+'Inputs'!$B$9)/SQRT((((447-43)*MAX('Inputs'!$B$33,'Inputs'!$B$29+'Inputs'!$B$31+'Inputs'!$B$32,'Inputs'!$B$30+'Inputs'!$B$31+'Inputs'!$B$32)/1000+'Inputs'!$B$21)+'Inputs'!$B$9)^2+('Inputs'!$B$8/2)^2)-(((447-43)*MAX('Inputs'!$B$33,'Inputs'!$B$29+'Inputs'!$B$31+'Inputs'!$B$32,'Inputs'!$B$30+'Inputs'!$B$31+'Inputs'!$B$32)/1000+'Inputs'!$B$21))/SQRT((((447-43)*MAX('Inputs'!$B$33,'Inputs'!$B$29+'Inputs'!$B$31+'Inputs'!$B$32,'Inputs'!$B$30+'Inputs'!$B$31+'Inputs'!$B$32)/1000+'Inputs'!$B$21))^2+('Inputs'!$B$8/2)^2)))-'Results'!B7*(0.5*((((447-43)*MAX('Inputs'!$B$33,'Inputs'!$B$29+'Inputs'!$B$31+'Inputs'!$B$32,'Inputs'!$B$30+'Inputs'!$B$31+'Inputs'!$B$32)/1000+'Inputs'!$B$21+'Inputs'!$B$9+'Inputs'!$B$10)+'Inputs'!$B$7)/SQRT((((447-43)*MAX('Inputs'!$B$33,'Inputs'!$B$29+'Inputs'!$B$31+'Inputs'!$B$32,'Inputs'!$B$30+'Inputs'!$B$31+'Inputs'!$B$32)/1000+'Inputs'!$B$21+'Inputs'!$B$9+'Inputs'!$B$10)+'Inputs'!$B$7)^2+('Inputs'!$B$6/2)^2)-(((447-43)*MAX('Inputs'!$B$33,'Inputs'!$B$29+'Inputs'!$B$31+'Inputs'!$B$32,'Inputs'!$B$30+'Inputs'!$B$31+'Inputs'!$B$32)/1000+'Inputs'!$B$21+'Inputs'!$B$9+'Inputs'!$B$10))/SQRT((((447-43)*MAX('Inputs'!$B$33,'Inputs'!$B$29+'Inputs'!$B$31+'Inputs'!$B$32,'Inputs'!$B$30+'Inputs'!$B$31+'Inputs'!$B$32)/1000+'Inputs'!$B$21+'Inputs'!$B$9+'Inputs'!$B$10))^2+('Inputs'!$B$6/2)^2))))*'Results'!$B$8),"")</x:f>
        <x:v>8.059190097628434</x:v>
      </x:c>
      <x:c r="N447" t="n">
        <x:f>IF(AND(ISNUMBER('Results'!C7),ISNUMBER('Results'!B7),ISNUMBER('Results'!$B$8),ISNUMBER('Inputs'!$B$6),ISNUMBER('Inputs'!$B$7),ISNUMBER('Inputs'!$B$8),ISNUMBER('Inputs'!$B$9),ISNUMBER('Inputs'!$B$10),ISNUMBER('Inputs'!$B$21),ISNUMBER('Inputs'!$B$24),ISNUMBER('Inputs'!$B$28)),((('Results'!C7*(1-'Inputs'!$B$24)*(0.5*((((447-43)*MAX('Inputs'!$B$33,'Inputs'!$B$29+'Inputs'!$B$31+'Inputs'!$B$32,'Inputs'!$B$30+'Inputs'!$B$31+'Inputs'!$B$32)/1000+'Inputs'!$B$21)+'Inputs'!$B$9)/SQRT((((447-43)*MAX('Inputs'!$B$33,'Inputs'!$B$29+'Inputs'!$B$31+'Inputs'!$B$32,'Inputs'!$B$30+'Inputs'!$B$31+'Inputs'!$B$32)/1000+'Inputs'!$B$21)+'Inputs'!$B$9)^2+('Inputs'!$B$8/2)^2)-(((447-43)*MAX('Inputs'!$B$33,'Inputs'!$B$29+'Inputs'!$B$31+'Inputs'!$B$32,'Inputs'!$B$30+'Inputs'!$B$31+'Inputs'!$B$32)/1000+'Inputs'!$B$21))/SQRT((((447-43)*MAX('Inputs'!$B$33,'Inputs'!$B$29+'Inputs'!$B$31+'Inputs'!$B$32,'Inputs'!$B$30+'Inputs'!$B$31+'Inputs'!$B$32)/1000+'Inputs'!$B$21))^2+('Inputs'!$B$8/2)^2)))-'Results'!B7*(1+'Inputs'!$B$24)*(0.5*((((447-43)*MAX('Inputs'!$B$33,'Inputs'!$B$29+'Inputs'!$B$31+'Inputs'!$B$32,'Inputs'!$B$30+'Inputs'!$B$31+'Inputs'!$B$32)/1000+'Inputs'!$B$21+'Inputs'!$B$9+'Inputs'!$B$10)+'Inputs'!$B$7)/SQRT((((447-43)*MAX('Inputs'!$B$33,'Inputs'!$B$29+'Inputs'!$B$31+'Inputs'!$B$32,'Inputs'!$B$30+'Inputs'!$B$31+'Inputs'!$B$32)/1000+'Inputs'!$B$21+'Inputs'!$B$9+'Inputs'!$B$10)+'Inputs'!$B$7)^2+('Inputs'!$B$6/2)^2)-(((447-43)*MAX('Inputs'!$B$33,'Inputs'!$B$29+'Inputs'!$B$31+'Inputs'!$B$32,'Inputs'!$B$30+'Inputs'!$B$31+'Inputs'!$B$32)/1000+'Inputs'!$B$21+'Inputs'!$B$9+'Inputs'!$B$10))/SQRT((((447-43)*MAX('Inputs'!$B$33,'Inputs'!$B$29+'Inputs'!$B$31+'Inputs'!$B$32,'Inputs'!$B$30+'Inputs'!$B$31+'Inputs'!$B$32)/1000+'Inputs'!$B$21+'Inputs'!$B$9+'Inputs'!$B$10))^2+('Inputs'!$B$6/2)^2))))*'Results'!$B$8)-'Inputs'!$B$28*ABS((('Results'!C7*(1-'Inputs'!$B$24)*(0.5*((((447-43)*MAX('Inputs'!$B$33,'Inputs'!$B$29+'Inputs'!$B$31+'Inputs'!$B$32,'Inputs'!$B$30+'Inputs'!$B$31+'Inputs'!$B$32)/1000+'Inputs'!$B$21)+'Inputs'!$B$9)/SQRT((((447-43)*MAX('Inputs'!$B$33,'Inputs'!$B$29+'Inputs'!$B$31+'Inputs'!$B$32,'Inputs'!$B$30+'Inputs'!$B$31+'Inputs'!$B$32)/1000+'Inputs'!$B$21)+'Inputs'!$B$9)^2+('Inputs'!$B$8/2)^2)-(((447-43)*MAX('Inputs'!$B$33,'Inputs'!$B$29+'Inputs'!$B$31+'Inputs'!$B$32,'Inputs'!$B$30+'Inputs'!$B$31+'Inputs'!$B$32)/1000+'Inputs'!$B$21))/SQRT((((447-43)*MAX('Inputs'!$B$33,'Inputs'!$B$29+'Inputs'!$B$31+'Inputs'!$B$32,'Inputs'!$B$30+'Inputs'!$B$31+'Inputs'!$B$32)/1000+'Inputs'!$B$21))^2+('Inputs'!$B$8/2)^2)))-'Results'!B7*(1+'Inputs'!$B$24)*(0.5*((((447-43)*MAX('Inputs'!$B$33,'Inputs'!$B$29+'Inputs'!$B$31+'Inputs'!$B$32,'Inputs'!$B$30+'Inputs'!$B$31+'Inputs'!$B$32)/1000+'Inputs'!$B$21+'Inputs'!$B$9+'Inputs'!$B$10)+'Inputs'!$B$7)/SQRT((((447-43)*MAX('Inputs'!$B$33,'Inputs'!$B$29+'Inputs'!$B$31+'Inputs'!$B$32,'Inputs'!$B$30+'Inputs'!$B$31+'Inputs'!$B$32)/1000+'Inputs'!$B$21+'Inputs'!$B$9+'Inputs'!$B$10)+'Inputs'!$B$7)^2+('Inputs'!$B$6/2)^2)-(((447-43)*MAX('Inputs'!$B$33,'Inputs'!$B$29+'Inputs'!$B$31+'Inputs'!$B$32,'Inputs'!$B$30+'Inputs'!$B$31+'Inputs'!$B$32)/1000+'Inputs'!$B$21+'Inputs'!$B$9+'Inputs'!$B$10))/SQRT((((447-43)*MAX('Inputs'!$B$33,'Inputs'!$B$29+'Inputs'!$B$31+'Inputs'!$B$32,'Inputs'!$B$30+'Inputs'!$B$31+'Inputs'!$B$32)/1000+'Inputs'!$B$21+'Inputs'!$B$9+'Inputs'!$B$10))^2+('Inputs'!$B$6/2)^2))))*'Results'!$B$8))),"")</x:f>
        <x:v>7.188796316533632</x:v>
      </x:c>
      <x:c r="O447" t="n">
        <x:f>IF(AND(ISNUMBER('Results'!C7),ISNUMBER('Results'!B7),ISNUMBER('Results'!$B$8),ISNUMBER('Inputs'!$B$6),ISNUMBER('Inputs'!$B$7),ISNUMBER('Inputs'!$B$8),ISNUMBER('Inputs'!$B$9),ISNUMBER('Inputs'!$B$10),ISNUMBER('Inputs'!$B$21),ISNUMBER('Inputs'!$B$24),ISNUMBER('Inputs'!$B$28)),((('Results'!C7*(1+'Inputs'!$B$24)*(0.5*((((447-43)*MAX('Inputs'!$B$33,'Inputs'!$B$29+'Inputs'!$B$31+'Inputs'!$B$32,'Inputs'!$B$30+'Inputs'!$B$31+'Inputs'!$B$32)/1000+'Inputs'!$B$21)+'Inputs'!$B$9)/SQRT((((447-43)*MAX('Inputs'!$B$33,'Inputs'!$B$29+'Inputs'!$B$31+'Inputs'!$B$32,'Inputs'!$B$30+'Inputs'!$B$31+'Inputs'!$B$32)/1000+'Inputs'!$B$21)+'Inputs'!$B$9)^2+('Inputs'!$B$8/2)^2)-(((447-43)*MAX('Inputs'!$B$33,'Inputs'!$B$29+'Inputs'!$B$31+'Inputs'!$B$32,'Inputs'!$B$30+'Inputs'!$B$31+'Inputs'!$B$32)/1000+'Inputs'!$B$21))/SQRT((((447-43)*MAX('Inputs'!$B$33,'Inputs'!$B$29+'Inputs'!$B$31+'Inputs'!$B$32,'Inputs'!$B$30+'Inputs'!$B$31+'Inputs'!$B$32)/1000+'Inputs'!$B$21))^2+('Inputs'!$B$8/2)^2)))-'Results'!B7*(1-'Inputs'!$B$24)*(0.5*((((447-43)*MAX('Inputs'!$B$33,'Inputs'!$B$29+'Inputs'!$B$31+'Inputs'!$B$32,'Inputs'!$B$30+'Inputs'!$B$31+'Inputs'!$B$32)/1000+'Inputs'!$B$21+'Inputs'!$B$9+'Inputs'!$B$10)+'Inputs'!$B$7)/SQRT((((447-43)*MAX('Inputs'!$B$33,'Inputs'!$B$29+'Inputs'!$B$31+'Inputs'!$B$32,'Inputs'!$B$30+'Inputs'!$B$31+'Inputs'!$B$32)/1000+'Inputs'!$B$21+'Inputs'!$B$9+'Inputs'!$B$10)+'Inputs'!$B$7)^2+('Inputs'!$B$6/2)^2)-(((447-43)*MAX('Inputs'!$B$33,'Inputs'!$B$29+'Inputs'!$B$31+'Inputs'!$B$32,'Inputs'!$B$30+'Inputs'!$B$31+'Inputs'!$B$32)/1000+'Inputs'!$B$21+'Inputs'!$B$9+'Inputs'!$B$10))/SQRT((((447-43)*MAX('Inputs'!$B$33,'Inputs'!$B$29+'Inputs'!$B$31+'Inputs'!$B$32,'Inputs'!$B$30+'Inputs'!$B$31+'Inputs'!$B$32)/1000+'Inputs'!$B$21+'Inputs'!$B$9+'Inputs'!$B$10))^2+('Inputs'!$B$6/2)^2))))*'Results'!$B$8)+'Inputs'!$B$28*ABS((('Results'!C7*(1+'Inputs'!$B$24)*(0.5*((((447-43)*MAX('Inputs'!$B$33,'Inputs'!$B$29+'Inputs'!$B$31+'Inputs'!$B$32,'Inputs'!$B$30+'Inputs'!$B$31+'Inputs'!$B$32)/1000+'Inputs'!$B$21)+'Inputs'!$B$9)/SQRT((((447-43)*MAX('Inputs'!$B$33,'Inputs'!$B$29+'Inputs'!$B$31+'Inputs'!$B$32,'Inputs'!$B$30+'Inputs'!$B$31+'Inputs'!$B$32)/1000+'Inputs'!$B$21)+'Inputs'!$B$9)^2+('Inputs'!$B$8/2)^2)-(((447-43)*MAX('Inputs'!$B$33,'Inputs'!$B$29+'Inputs'!$B$31+'Inputs'!$B$32,'Inputs'!$B$30+'Inputs'!$B$31+'Inputs'!$B$32)/1000+'Inputs'!$B$21))/SQRT((((447-43)*MAX('Inputs'!$B$33,'Inputs'!$B$29+'Inputs'!$B$31+'Inputs'!$B$32,'Inputs'!$B$30+'Inputs'!$B$31+'Inputs'!$B$32)/1000+'Inputs'!$B$21))^2+('Inputs'!$B$8/2)^2)))-'Results'!B7*(1-'Inputs'!$B$24)*(0.5*((((447-43)*MAX('Inputs'!$B$33,'Inputs'!$B$29+'Inputs'!$B$31+'Inputs'!$B$32,'Inputs'!$B$30+'Inputs'!$B$31+'Inputs'!$B$32)/1000+'Inputs'!$B$21+'Inputs'!$B$9+'Inputs'!$B$10)+'Inputs'!$B$7)/SQRT((((447-43)*MAX('Inputs'!$B$33,'Inputs'!$B$29+'Inputs'!$B$31+'Inputs'!$B$32,'Inputs'!$B$30+'Inputs'!$B$31+'Inputs'!$B$32)/1000+'Inputs'!$B$21+'Inputs'!$B$9+'Inputs'!$B$10)+'Inputs'!$B$7)^2+('Inputs'!$B$6/2)^2)-(((447-43)*MAX('Inputs'!$B$33,'Inputs'!$B$29+'Inputs'!$B$31+'Inputs'!$B$32,'Inputs'!$B$30+'Inputs'!$B$31+'Inputs'!$B$32)/1000+'Inputs'!$B$21+'Inputs'!$B$9+'Inputs'!$B$10))/SQRT((((447-43)*MAX('Inputs'!$B$33,'Inputs'!$B$29+'Inputs'!$B$31+'Inputs'!$B$32,'Inputs'!$B$30+'Inputs'!$B$31+'Inputs'!$B$32)/1000+'Inputs'!$B$21+'Inputs'!$B$9+'Inputs'!$B$10))^2+('Inputs'!$B$6/2)^2))))*'Results'!$B$8))),"")</x:f>
        <x:v>8.978787486745697</x:v>
      </x:c>
      <x:c r="P447" t="n">
        <x:f>IF(AND(MAX(J447,J446)&gt;0,J447&gt;J446+0.00000001),1,0)</x:f>
        <x:v>0</x:v>
      </x:c>
      <x:c r="Q447" t="n">
        <x:f>IF(AND(MAX(K447,K446)&gt;0,K447&gt;K446+0.00000001),1,0)</x:f>
        <x:v>0</x:v>
      </x:c>
      <x:c r="R447" t="n">
        <x:f>IF(AND(MAX(L447,L446)&gt;0,L447&gt;L446+0.00000001),1,0)</x:f>
        <x:v>0</x:v>
      </x:c>
      <x:c r="S447" t="n">
        <x:f>IF(AND(MAX(M447,M446)&gt;0,M447&gt;M446+0.00000001),1,0)</x:f>
        <x:v>0</x:v>
      </x:c>
      <x:c r="T447" t="n">
        <x:f>IF(AND(MAX(N447,N446)&gt;0,N447&gt;N446+0.00000001),1,0)</x:f>
        <x:v>0</x:v>
      </x:c>
      <x:c r="U447" t="n">
        <x:f>IF(AND(MAX(O447,O446)&gt;0,O447&gt;O446+0.00000001),1,0)</x:f>
        <x:v>0</x:v>
      </x:c>
    </x:row>
    <x:row r="448">
      <x:c r="J448" t="n">
        <x:f>IF(AND(ISNUMBER('Results'!B7),ISNUMBER('Results'!C7),ISNUMBER('Results'!$B$8),ISNUMBER('Inputs'!$B$6),ISNUMBER('Inputs'!$B$7),ISNUMBER('Inputs'!$B$8),ISNUMBER('Inputs'!$B$9),ISNUMBER('Inputs'!$B$10),ISNUMBER('Inputs'!$B$21),ISNUMBER('Inputs'!$B$24),ISNUMBER('Inputs'!$B$28)),(('Results'!B7*(0.5*((((448-43)*MAX('Inputs'!$B$33,'Inputs'!$B$29+'Inputs'!$B$31+'Inputs'!$B$32,'Inputs'!$B$30+'Inputs'!$B$31+'Inputs'!$B$32)/1000+'Inputs'!$B$21)+'Inputs'!$B$7)/SQRT((((448-43)*MAX('Inputs'!$B$33,'Inputs'!$B$29+'Inputs'!$B$31+'Inputs'!$B$32,'Inputs'!$B$30+'Inputs'!$B$31+'Inputs'!$B$32)/1000+'Inputs'!$B$21)+'Inputs'!$B$7)^2+('Inputs'!$B$6/2)^2)-(((448-43)*MAX('Inputs'!$B$33,'Inputs'!$B$29+'Inputs'!$B$31+'Inputs'!$B$32,'Inputs'!$B$30+'Inputs'!$B$31+'Inputs'!$B$32)/1000+'Inputs'!$B$21))/SQRT((((448-43)*MAX('Inputs'!$B$33,'Inputs'!$B$29+'Inputs'!$B$31+'Inputs'!$B$32,'Inputs'!$B$30+'Inputs'!$B$31+'Inputs'!$B$32)/1000+'Inputs'!$B$21))^2+('Inputs'!$B$6/2)^2)))-'Results'!C7*(0.5*((((448-43)*MAX('Inputs'!$B$33,'Inputs'!$B$29+'Inputs'!$B$31+'Inputs'!$B$32,'Inputs'!$B$30+'Inputs'!$B$31+'Inputs'!$B$32)/1000+'Inputs'!$B$21+'Inputs'!$B$7+'Inputs'!$B$10)+'Inputs'!$B$9)/SQRT((((448-43)*MAX('Inputs'!$B$33,'Inputs'!$B$29+'Inputs'!$B$31+'Inputs'!$B$32,'Inputs'!$B$30+'Inputs'!$B$31+'Inputs'!$B$32)/1000+'Inputs'!$B$21+'Inputs'!$B$7+'Inputs'!$B$10)+'Inputs'!$B$9)^2+('Inputs'!$B$8/2)^2)-(((448-43)*MAX('Inputs'!$B$33,'Inputs'!$B$29+'Inputs'!$B$31+'Inputs'!$B$32,'Inputs'!$B$30+'Inputs'!$B$31+'Inputs'!$B$32)/1000+'Inputs'!$B$21+'Inputs'!$B$7+'Inputs'!$B$10))/SQRT((((448-43)*MAX('Inputs'!$B$33,'Inputs'!$B$29+'Inputs'!$B$31+'Inputs'!$B$32,'Inputs'!$B$30+'Inputs'!$B$31+'Inputs'!$B$32)/1000+'Inputs'!$B$21+'Inputs'!$B$7+'Inputs'!$B$10))^2+('Inputs'!$B$8/2)^2))))*'Results'!$B$8),"")</x:f>
        <x:v>8.488271294242784</x:v>
      </x:c>
      <x:c r="K448" t="n">
        <x:f>IF(AND(ISNUMBER('Results'!B7),ISNUMBER('Results'!C7),ISNUMBER('Results'!$B$8),ISNUMBER('Inputs'!$B$6),ISNUMBER('Inputs'!$B$7),ISNUMBER('Inputs'!$B$8),ISNUMBER('Inputs'!$B$9),ISNUMBER('Inputs'!$B$10),ISNUMBER('Inputs'!$B$21),ISNUMBER('Inputs'!$B$24),ISNUMBER('Inputs'!$B$28)),((('Results'!B7*(1-'Inputs'!$B$24)*(0.5*((((448-43)*MAX('Inputs'!$B$33,'Inputs'!$B$29+'Inputs'!$B$31+'Inputs'!$B$32,'Inputs'!$B$30+'Inputs'!$B$31+'Inputs'!$B$32)/1000+'Inputs'!$B$21)+'Inputs'!$B$7)/SQRT((((448-43)*MAX('Inputs'!$B$33,'Inputs'!$B$29+'Inputs'!$B$31+'Inputs'!$B$32,'Inputs'!$B$30+'Inputs'!$B$31+'Inputs'!$B$32)/1000+'Inputs'!$B$21)+'Inputs'!$B$7)^2+('Inputs'!$B$6/2)^2)-(((448-43)*MAX('Inputs'!$B$33,'Inputs'!$B$29+'Inputs'!$B$31+'Inputs'!$B$32,'Inputs'!$B$30+'Inputs'!$B$31+'Inputs'!$B$32)/1000+'Inputs'!$B$21))/SQRT((((448-43)*MAX('Inputs'!$B$33,'Inputs'!$B$29+'Inputs'!$B$31+'Inputs'!$B$32,'Inputs'!$B$30+'Inputs'!$B$31+'Inputs'!$B$32)/1000+'Inputs'!$B$21))^2+('Inputs'!$B$6/2)^2)))-'Results'!C7*(1+'Inputs'!$B$24)*(0.5*((((448-43)*MAX('Inputs'!$B$33,'Inputs'!$B$29+'Inputs'!$B$31+'Inputs'!$B$32,'Inputs'!$B$30+'Inputs'!$B$31+'Inputs'!$B$32)/1000+'Inputs'!$B$21+'Inputs'!$B$7+'Inputs'!$B$10)+'Inputs'!$B$9)/SQRT((((448-43)*MAX('Inputs'!$B$33,'Inputs'!$B$29+'Inputs'!$B$31+'Inputs'!$B$32,'Inputs'!$B$30+'Inputs'!$B$31+'Inputs'!$B$32)/1000+'Inputs'!$B$21+'Inputs'!$B$7+'Inputs'!$B$10)+'Inputs'!$B$9)^2+('Inputs'!$B$8/2)^2)-(((448-43)*MAX('Inputs'!$B$33,'Inputs'!$B$29+'Inputs'!$B$31+'Inputs'!$B$32,'Inputs'!$B$30+'Inputs'!$B$31+'Inputs'!$B$32)/1000+'Inputs'!$B$21+'Inputs'!$B$7+'Inputs'!$B$10))/SQRT((((448-43)*MAX('Inputs'!$B$33,'Inputs'!$B$29+'Inputs'!$B$31+'Inputs'!$B$32,'Inputs'!$B$30+'Inputs'!$B$31+'Inputs'!$B$32)/1000+'Inputs'!$B$21+'Inputs'!$B$7+'Inputs'!$B$10))^2+('Inputs'!$B$8/2)^2))))*'Results'!$B$8)-'Inputs'!$B$28*ABS((('Results'!B7*(1-'Inputs'!$B$24)*(0.5*((((448-43)*MAX('Inputs'!$B$33,'Inputs'!$B$29+'Inputs'!$B$31+'Inputs'!$B$32,'Inputs'!$B$30+'Inputs'!$B$31+'Inputs'!$B$32)/1000+'Inputs'!$B$21)+'Inputs'!$B$7)/SQRT((((448-43)*MAX('Inputs'!$B$33,'Inputs'!$B$29+'Inputs'!$B$31+'Inputs'!$B$32,'Inputs'!$B$30+'Inputs'!$B$31+'Inputs'!$B$32)/1000+'Inputs'!$B$21)+'Inputs'!$B$7)^2+('Inputs'!$B$6/2)^2)-(((448-43)*MAX('Inputs'!$B$33,'Inputs'!$B$29+'Inputs'!$B$31+'Inputs'!$B$32,'Inputs'!$B$30+'Inputs'!$B$31+'Inputs'!$B$32)/1000+'Inputs'!$B$21))/SQRT((((448-43)*MAX('Inputs'!$B$33,'Inputs'!$B$29+'Inputs'!$B$31+'Inputs'!$B$32,'Inputs'!$B$30+'Inputs'!$B$31+'Inputs'!$B$32)/1000+'Inputs'!$B$21))^2+('Inputs'!$B$6/2)^2)))-'Results'!C7*(1+'Inputs'!$B$24)*(0.5*((((448-43)*MAX('Inputs'!$B$33,'Inputs'!$B$29+'Inputs'!$B$31+'Inputs'!$B$32,'Inputs'!$B$30+'Inputs'!$B$31+'Inputs'!$B$32)/1000+'Inputs'!$B$21+'Inputs'!$B$7+'Inputs'!$B$10)+'Inputs'!$B$9)/SQRT((((448-43)*MAX('Inputs'!$B$33,'Inputs'!$B$29+'Inputs'!$B$31+'Inputs'!$B$32,'Inputs'!$B$30+'Inputs'!$B$31+'Inputs'!$B$32)/1000+'Inputs'!$B$21+'Inputs'!$B$7+'Inputs'!$B$10)+'Inputs'!$B$9)^2+('Inputs'!$B$8/2)^2)-(((448-43)*MAX('Inputs'!$B$33,'Inputs'!$B$29+'Inputs'!$B$31+'Inputs'!$B$32,'Inputs'!$B$30+'Inputs'!$B$31+'Inputs'!$B$32)/1000+'Inputs'!$B$21+'Inputs'!$B$7+'Inputs'!$B$10))/SQRT((((448-43)*MAX('Inputs'!$B$33,'Inputs'!$B$29+'Inputs'!$B$31+'Inputs'!$B$32,'Inputs'!$B$30+'Inputs'!$B$31+'Inputs'!$B$32)/1000+'Inputs'!$B$21+'Inputs'!$B$7+'Inputs'!$B$10))^2+('Inputs'!$B$8/2)^2))))*'Results'!$B$8))),"")</x:f>
        <x:v>7.596233273221372</x:v>
      </x:c>
      <x:c r="L448" t="n">
        <x:f>IF(AND(ISNUMBER('Results'!B7),ISNUMBER('Results'!C7),ISNUMBER('Results'!$B$8),ISNUMBER('Inputs'!$B$6),ISNUMBER('Inputs'!$B$7),ISNUMBER('Inputs'!$B$8),ISNUMBER('Inputs'!$B$9),ISNUMBER('Inputs'!$B$10),ISNUMBER('Inputs'!$B$21),ISNUMBER('Inputs'!$B$24),ISNUMBER('Inputs'!$B$28)),((('Results'!B7*(1+'Inputs'!$B$24)*(0.5*((((448-43)*MAX('Inputs'!$B$33,'Inputs'!$B$29+'Inputs'!$B$31+'Inputs'!$B$32,'Inputs'!$B$30+'Inputs'!$B$31+'Inputs'!$B$32)/1000+'Inputs'!$B$21)+'Inputs'!$B$7)/SQRT((((448-43)*MAX('Inputs'!$B$33,'Inputs'!$B$29+'Inputs'!$B$31+'Inputs'!$B$32,'Inputs'!$B$30+'Inputs'!$B$31+'Inputs'!$B$32)/1000+'Inputs'!$B$21)+'Inputs'!$B$7)^2+('Inputs'!$B$6/2)^2)-(((448-43)*MAX('Inputs'!$B$33,'Inputs'!$B$29+'Inputs'!$B$31+'Inputs'!$B$32,'Inputs'!$B$30+'Inputs'!$B$31+'Inputs'!$B$32)/1000+'Inputs'!$B$21))/SQRT((((448-43)*MAX('Inputs'!$B$33,'Inputs'!$B$29+'Inputs'!$B$31+'Inputs'!$B$32,'Inputs'!$B$30+'Inputs'!$B$31+'Inputs'!$B$32)/1000+'Inputs'!$B$21))^2+('Inputs'!$B$6/2)^2)))-'Results'!C7*(1-'Inputs'!$B$24)*(0.5*((((448-43)*MAX('Inputs'!$B$33,'Inputs'!$B$29+'Inputs'!$B$31+'Inputs'!$B$32,'Inputs'!$B$30+'Inputs'!$B$31+'Inputs'!$B$32)/1000+'Inputs'!$B$21+'Inputs'!$B$7+'Inputs'!$B$10)+'Inputs'!$B$9)/SQRT((((448-43)*MAX('Inputs'!$B$33,'Inputs'!$B$29+'Inputs'!$B$31+'Inputs'!$B$32,'Inputs'!$B$30+'Inputs'!$B$31+'Inputs'!$B$32)/1000+'Inputs'!$B$21+'Inputs'!$B$7+'Inputs'!$B$10)+'Inputs'!$B$9)^2+('Inputs'!$B$8/2)^2)-(((448-43)*MAX('Inputs'!$B$33,'Inputs'!$B$29+'Inputs'!$B$31+'Inputs'!$B$32,'Inputs'!$B$30+'Inputs'!$B$31+'Inputs'!$B$32)/1000+'Inputs'!$B$21+'Inputs'!$B$7+'Inputs'!$B$10))/SQRT((((448-43)*MAX('Inputs'!$B$33,'Inputs'!$B$29+'Inputs'!$B$31+'Inputs'!$B$32,'Inputs'!$B$30+'Inputs'!$B$31+'Inputs'!$B$32)/1000+'Inputs'!$B$21+'Inputs'!$B$7+'Inputs'!$B$10))^2+('Inputs'!$B$8/2)^2))))*'Results'!$B$8)+'Inputs'!$B$28*ABS((('Results'!B7*(1+'Inputs'!$B$24)*(0.5*((((448-43)*MAX('Inputs'!$B$33,'Inputs'!$B$29+'Inputs'!$B$31+'Inputs'!$B$32,'Inputs'!$B$30+'Inputs'!$B$31+'Inputs'!$B$32)/1000+'Inputs'!$B$21)+'Inputs'!$B$7)/SQRT((((448-43)*MAX('Inputs'!$B$33,'Inputs'!$B$29+'Inputs'!$B$31+'Inputs'!$B$32,'Inputs'!$B$30+'Inputs'!$B$31+'Inputs'!$B$32)/1000+'Inputs'!$B$21)+'Inputs'!$B$7)^2+('Inputs'!$B$6/2)^2)-(((448-43)*MAX('Inputs'!$B$33,'Inputs'!$B$29+'Inputs'!$B$31+'Inputs'!$B$32,'Inputs'!$B$30+'Inputs'!$B$31+'Inputs'!$B$32)/1000+'Inputs'!$B$21))/SQRT((((448-43)*MAX('Inputs'!$B$33,'Inputs'!$B$29+'Inputs'!$B$31+'Inputs'!$B$32,'Inputs'!$B$30+'Inputs'!$B$31+'Inputs'!$B$32)/1000+'Inputs'!$B$21))^2+('Inputs'!$B$6/2)^2)))-'Results'!C7*(1-'Inputs'!$B$24)*(0.5*((((448-43)*MAX('Inputs'!$B$33,'Inputs'!$B$29+'Inputs'!$B$31+'Inputs'!$B$32,'Inputs'!$B$30+'Inputs'!$B$31+'Inputs'!$B$32)/1000+'Inputs'!$B$21+'Inputs'!$B$7+'Inputs'!$B$10)+'Inputs'!$B$9)/SQRT((((448-43)*MAX('Inputs'!$B$33,'Inputs'!$B$29+'Inputs'!$B$31+'Inputs'!$B$32,'Inputs'!$B$30+'Inputs'!$B$31+'Inputs'!$B$32)/1000+'Inputs'!$B$21+'Inputs'!$B$7+'Inputs'!$B$10)+'Inputs'!$B$9)^2+('Inputs'!$B$8/2)^2)-(((448-43)*MAX('Inputs'!$B$33,'Inputs'!$B$29+'Inputs'!$B$31+'Inputs'!$B$32,'Inputs'!$B$30+'Inputs'!$B$31+'Inputs'!$B$32)/1000+'Inputs'!$B$21+'Inputs'!$B$7+'Inputs'!$B$10))/SQRT((((448-43)*MAX('Inputs'!$B$33,'Inputs'!$B$29+'Inputs'!$B$31+'Inputs'!$B$32,'Inputs'!$B$30+'Inputs'!$B$31+'Inputs'!$B$32)/1000+'Inputs'!$B$21+'Inputs'!$B$7+'Inputs'!$B$10))^2+('Inputs'!$B$8/2)^2))))*'Results'!$B$8))),"")</x:f>
        <x:v>9.42953294224412</x:v>
      </x:c>
      <x:c r="M448" t="n">
        <x:f>IF(AND(ISNUMBER('Results'!C7),ISNUMBER('Results'!B7),ISNUMBER('Results'!$B$8),ISNUMBER('Inputs'!$B$6),ISNUMBER('Inputs'!$B$7),ISNUMBER('Inputs'!$B$8),ISNUMBER('Inputs'!$B$9),ISNUMBER('Inputs'!$B$10),ISNUMBER('Inputs'!$B$21),ISNUMBER('Inputs'!$B$24),ISNUMBER('Inputs'!$B$28)),(('Results'!C7*(0.5*((((448-43)*MAX('Inputs'!$B$33,'Inputs'!$B$29+'Inputs'!$B$31+'Inputs'!$B$32,'Inputs'!$B$30+'Inputs'!$B$31+'Inputs'!$B$32)/1000+'Inputs'!$B$21)+'Inputs'!$B$9)/SQRT((((448-43)*MAX('Inputs'!$B$33,'Inputs'!$B$29+'Inputs'!$B$31+'Inputs'!$B$32,'Inputs'!$B$30+'Inputs'!$B$31+'Inputs'!$B$32)/1000+'Inputs'!$B$21)+'Inputs'!$B$9)^2+('Inputs'!$B$8/2)^2)-(((448-43)*MAX('Inputs'!$B$33,'Inputs'!$B$29+'Inputs'!$B$31+'Inputs'!$B$32,'Inputs'!$B$30+'Inputs'!$B$31+'Inputs'!$B$32)/1000+'Inputs'!$B$21))/SQRT((((448-43)*MAX('Inputs'!$B$33,'Inputs'!$B$29+'Inputs'!$B$31+'Inputs'!$B$32,'Inputs'!$B$30+'Inputs'!$B$31+'Inputs'!$B$32)/1000+'Inputs'!$B$21))^2+('Inputs'!$B$8/2)^2)))-'Results'!B7*(0.5*((((448-43)*MAX('Inputs'!$B$33,'Inputs'!$B$29+'Inputs'!$B$31+'Inputs'!$B$32,'Inputs'!$B$30+'Inputs'!$B$31+'Inputs'!$B$32)/1000+'Inputs'!$B$21+'Inputs'!$B$9+'Inputs'!$B$10)+'Inputs'!$B$7)/SQRT((((448-43)*MAX('Inputs'!$B$33,'Inputs'!$B$29+'Inputs'!$B$31+'Inputs'!$B$32,'Inputs'!$B$30+'Inputs'!$B$31+'Inputs'!$B$32)/1000+'Inputs'!$B$21+'Inputs'!$B$9+'Inputs'!$B$10)+'Inputs'!$B$7)^2+('Inputs'!$B$6/2)^2)-(((448-43)*MAX('Inputs'!$B$33,'Inputs'!$B$29+'Inputs'!$B$31+'Inputs'!$B$32,'Inputs'!$B$30+'Inputs'!$B$31+'Inputs'!$B$32)/1000+'Inputs'!$B$21+'Inputs'!$B$9+'Inputs'!$B$10))/SQRT((((448-43)*MAX('Inputs'!$B$33,'Inputs'!$B$29+'Inputs'!$B$31+'Inputs'!$B$32,'Inputs'!$B$30+'Inputs'!$B$31+'Inputs'!$B$32)/1000+'Inputs'!$B$21+'Inputs'!$B$9+'Inputs'!$B$10))^2+('Inputs'!$B$6/2)^2))))*'Results'!$B$8),"")</x:f>
        <x:v>7.992744505628097</x:v>
      </x:c>
      <x:c r="N448" t="n">
        <x:f>IF(AND(ISNUMBER('Results'!C7),ISNUMBER('Results'!B7),ISNUMBER('Results'!$B$8),ISNUMBER('Inputs'!$B$6),ISNUMBER('Inputs'!$B$7),ISNUMBER('Inputs'!$B$8),ISNUMBER('Inputs'!$B$9),ISNUMBER('Inputs'!$B$10),ISNUMBER('Inputs'!$B$21),ISNUMBER('Inputs'!$B$24),ISNUMBER('Inputs'!$B$28)),((('Results'!C7*(1-'Inputs'!$B$24)*(0.5*((((448-43)*MAX('Inputs'!$B$33,'Inputs'!$B$29+'Inputs'!$B$31+'Inputs'!$B$32,'Inputs'!$B$30+'Inputs'!$B$31+'Inputs'!$B$32)/1000+'Inputs'!$B$21)+'Inputs'!$B$9)/SQRT((((448-43)*MAX('Inputs'!$B$33,'Inputs'!$B$29+'Inputs'!$B$31+'Inputs'!$B$32,'Inputs'!$B$30+'Inputs'!$B$31+'Inputs'!$B$32)/1000+'Inputs'!$B$21)+'Inputs'!$B$9)^2+('Inputs'!$B$8/2)^2)-(((448-43)*MAX('Inputs'!$B$33,'Inputs'!$B$29+'Inputs'!$B$31+'Inputs'!$B$32,'Inputs'!$B$30+'Inputs'!$B$31+'Inputs'!$B$32)/1000+'Inputs'!$B$21))/SQRT((((448-43)*MAX('Inputs'!$B$33,'Inputs'!$B$29+'Inputs'!$B$31+'Inputs'!$B$32,'Inputs'!$B$30+'Inputs'!$B$31+'Inputs'!$B$32)/1000+'Inputs'!$B$21))^2+('Inputs'!$B$8/2)^2)))-'Results'!B7*(1+'Inputs'!$B$24)*(0.5*((((448-43)*MAX('Inputs'!$B$33,'Inputs'!$B$29+'Inputs'!$B$31+'Inputs'!$B$32,'Inputs'!$B$30+'Inputs'!$B$31+'Inputs'!$B$32)/1000+'Inputs'!$B$21+'Inputs'!$B$9+'Inputs'!$B$10)+'Inputs'!$B$7)/SQRT((((448-43)*MAX('Inputs'!$B$33,'Inputs'!$B$29+'Inputs'!$B$31+'Inputs'!$B$32,'Inputs'!$B$30+'Inputs'!$B$31+'Inputs'!$B$32)/1000+'Inputs'!$B$21+'Inputs'!$B$9+'Inputs'!$B$10)+'Inputs'!$B$7)^2+('Inputs'!$B$6/2)^2)-(((448-43)*MAX('Inputs'!$B$33,'Inputs'!$B$29+'Inputs'!$B$31+'Inputs'!$B$32,'Inputs'!$B$30+'Inputs'!$B$31+'Inputs'!$B$32)/1000+'Inputs'!$B$21+'Inputs'!$B$9+'Inputs'!$B$10))/SQRT((((448-43)*MAX('Inputs'!$B$33,'Inputs'!$B$29+'Inputs'!$B$31+'Inputs'!$B$32,'Inputs'!$B$30+'Inputs'!$B$31+'Inputs'!$B$32)/1000+'Inputs'!$B$21+'Inputs'!$B$9+'Inputs'!$B$10))^2+('Inputs'!$B$6/2)^2))))*'Results'!$B$8)-'Inputs'!$B$28*ABS((('Results'!C7*(1-'Inputs'!$B$24)*(0.5*((((448-43)*MAX('Inputs'!$B$33,'Inputs'!$B$29+'Inputs'!$B$31+'Inputs'!$B$32,'Inputs'!$B$30+'Inputs'!$B$31+'Inputs'!$B$32)/1000+'Inputs'!$B$21)+'Inputs'!$B$9)/SQRT((((448-43)*MAX('Inputs'!$B$33,'Inputs'!$B$29+'Inputs'!$B$31+'Inputs'!$B$32,'Inputs'!$B$30+'Inputs'!$B$31+'Inputs'!$B$32)/1000+'Inputs'!$B$21)+'Inputs'!$B$9)^2+('Inputs'!$B$8/2)^2)-(((448-43)*MAX('Inputs'!$B$33,'Inputs'!$B$29+'Inputs'!$B$31+'Inputs'!$B$32,'Inputs'!$B$30+'Inputs'!$B$31+'Inputs'!$B$32)/1000+'Inputs'!$B$21))/SQRT((((448-43)*MAX('Inputs'!$B$33,'Inputs'!$B$29+'Inputs'!$B$31+'Inputs'!$B$32,'Inputs'!$B$30+'Inputs'!$B$31+'Inputs'!$B$32)/1000+'Inputs'!$B$21))^2+('Inputs'!$B$8/2)^2)))-'Results'!B7*(1+'Inputs'!$B$24)*(0.5*((((448-43)*MAX('Inputs'!$B$33,'Inputs'!$B$29+'Inputs'!$B$31+'Inputs'!$B$32,'Inputs'!$B$30+'Inputs'!$B$31+'Inputs'!$B$32)/1000+'Inputs'!$B$21+'Inputs'!$B$9+'Inputs'!$B$10)+'Inputs'!$B$7)/SQRT((((448-43)*MAX('Inputs'!$B$33,'Inputs'!$B$29+'Inputs'!$B$31+'Inputs'!$B$32,'Inputs'!$B$30+'Inputs'!$B$31+'Inputs'!$B$32)/1000+'Inputs'!$B$21+'Inputs'!$B$9+'Inputs'!$B$10)+'Inputs'!$B$7)^2+('Inputs'!$B$6/2)^2)-(((448-43)*MAX('Inputs'!$B$33,'Inputs'!$B$29+'Inputs'!$B$31+'Inputs'!$B$32,'Inputs'!$B$30+'Inputs'!$B$31+'Inputs'!$B$32)/1000+'Inputs'!$B$21+'Inputs'!$B$9+'Inputs'!$B$10))/SQRT((((448-43)*MAX('Inputs'!$B$33,'Inputs'!$B$29+'Inputs'!$B$31+'Inputs'!$B$32,'Inputs'!$B$30+'Inputs'!$B$31+'Inputs'!$B$32)/1000+'Inputs'!$B$21+'Inputs'!$B$9+'Inputs'!$B$10))^2+('Inputs'!$B$6/2)^2))))*'Results'!$B$8))),"")</x:f>
        <x:v>7.128645847271738</x:v>
      </x:c>
      <x:c r="O448" t="n">
        <x:f>IF(AND(ISNUMBER('Results'!C7),ISNUMBER('Results'!B7),ISNUMBER('Results'!$B$8),ISNUMBER('Inputs'!$B$6),ISNUMBER('Inputs'!$B$7),ISNUMBER('Inputs'!$B$8),ISNUMBER('Inputs'!$B$9),ISNUMBER('Inputs'!$B$10),ISNUMBER('Inputs'!$B$21),ISNUMBER('Inputs'!$B$24),ISNUMBER('Inputs'!$B$28)),((('Results'!C7*(1+'Inputs'!$B$24)*(0.5*((((448-43)*MAX('Inputs'!$B$33,'Inputs'!$B$29+'Inputs'!$B$31+'Inputs'!$B$32,'Inputs'!$B$30+'Inputs'!$B$31+'Inputs'!$B$32)/1000+'Inputs'!$B$21)+'Inputs'!$B$9)/SQRT((((448-43)*MAX('Inputs'!$B$33,'Inputs'!$B$29+'Inputs'!$B$31+'Inputs'!$B$32,'Inputs'!$B$30+'Inputs'!$B$31+'Inputs'!$B$32)/1000+'Inputs'!$B$21)+'Inputs'!$B$9)^2+('Inputs'!$B$8/2)^2)-(((448-43)*MAX('Inputs'!$B$33,'Inputs'!$B$29+'Inputs'!$B$31+'Inputs'!$B$32,'Inputs'!$B$30+'Inputs'!$B$31+'Inputs'!$B$32)/1000+'Inputs'!$B$21))/SQRT((((448-43)*MAX('Inputs'!$B$33,'Inputs'!$B$29+'Inputs'!$B$31+'Inputs'!$B$32,'Inputs'!$B$30+'Inputs'!$B$31+'Inputs'!$B$32)/1000+'Inputs'!$B$21))^2+('Inputs'!$B$8/2)^2)))-'Results'!B7*(1-'Inputs'!$B$24)*(0.5*((((448-43)*MAX('Inputs'!$B$33,'Inputs'!$B$29+'Inputs'!$B$31+'Inputs'!$B$32,'Inputs'!$B$30+'Inputs'!$B$31+'Inputs'!$B$32)/1000+'Inputs'!$B$21+'Inputs'!$B$9+'Inputs'!$B$10)+'Inputs'!$B$7)/SQRT((((448-43)*MAX('Inputs'!$B$33,'Inputs'!$B$29+'Inputs'!$B$31+'Inputs'!$B$32,'Inputs'!$B$30+'Inputs'!$B$31+'Inputs'!$B$32)/1000+'Inputs'!$B$21+'Inputs'!$B$9+'Inputs'!$B$10)+'Inputs'!$B$7)^2+('Inputs'!$B$6/2)^2)-(((448-43)*MAX('Inputs'!$B$33,'Inputs'!$B$29+'Inputs'!$B$31+'Inputs'!$B$32,'Inputs'!$B$30+'Inputs'!$B$31+'Inputs'!$B$32)/1000+'Inputs'!$B$21+'Inputs'!$B$9+'Inputs'!$B$10))/SQRT((((448-43)*MAX('Inputs'!$B$33,'Inputs'!$B$29+'Inputs'!$B$31+'Inputs'!$B$32,'Inputs'!$B$30+'Inputs'!$B$31+'Inputs'!$B$32)/1000+'Inputs'!$B$21+'Inputs'!$B$9+'Inputs'!$B$10))^2+('Inputs'!$B$6/2)^2))))*'Results'!$B$8)+'Inputs'!$B$28*ABS((('Results'!C7*(1+'Inputs'!$B$24)*(0.5*((((448-43)*MAX('Inputs'!$B$33,'Inputs'!$B$29+'Inputs'!$B$31+'Inputs'!$B$32,'Inputs'!$B$30+'Inputs'!$B$31+'Inputs'!$B$32)/1000+'Inputs'!$B$21)+'Inputs'!$B$9)/SQRT((((448-43)*MAX('Inputs'!$B$33,'Inputs'!$B$29+'Inputs'!$B$31+'Inputs'!$B$32,'Inputs'!$B$30+'Inputs'!$B$31+'Inputs'!$B$32)/1000+'Inputs'!$B$21)+'Inputs'!$B$9)^2+('Inputs'!$B$8/2)^2)-(((448-43)*MAX('Inputs'!$B$33,'Inputs'!$B$29+'Inputs'!$B$31+'Inputs'!$B$32,'Inputs'!$B$30+'Inputs'!$B$31+'Inputs'!$B$32)/1000+'Inputs'!$B$21))/SQRT((((448-43)*MAX('Inputs'!$B$33,'Inputs'!$B$29+'Inputs'!$B$31+'Inputs'!$B$32,'Inputs'!$B$30+'Inputs'!$B$31+'Inputs'!$B$32)/1000+'Inputs'!$B$21))^2+('Inputs'!$B$8/2)^2)))-'Results'!B7*(1-'Inputs'!$B$24)*(0.5*((((448-43)*MAX('Inputs'!$B$33,'Inputs'!$B$29+'Inputs'!$B$31+'Inputs'!$B$32,'Inputs'!$B$30+'Inputs'!$B$31+'Inputs'!$B$32)/1000+'Inputs'!$B$21+'Inputs'!$B$9+'Inputs'!$B$10)+'Inputs'!$B$7)/SQRT((((448-43)*MAX('Inputs'!$B$33,'Inputs'!$B$29+'Inputs'!$B$31+'Inputs'!$B$32,'Inputs'!$B$30+'Inputs'!$B$31+'Inputs'!$B$32)/1000+'Inputs'!$B$21+'Inputs'!$B$9+'Inputs'!$B$10)+'Inputs'!$B$7)^2+('Inputs'!$B$6/2)^2)-(((448-43)*MAX('Inputs'!$B$33,'Inputs'!$B$29+'Inputs'!$B$31+'Inputs'!$B$32,'Inputs'!$B$30+'Inputs'!$B$31+'Inputs'!$B$32)/1000+'Inputs'!$B$21+'Inputs'!$B$9+'Inputs'!$B$10))/SQRT((((448-43)*MAX('Inputs'!$B$33,'Inputs'!$B$29+'Inputs'!$B$31+'Inputs'!$B$32,'Inputs'!$B$30+'Inputs'!$B$31+'Inputs'!$B$32)/1000+'Inputs'!$B$21+'Inputs'!$B$9+'Inputs'!$B$10))^2+('Inputs'!$B$6/2)^2))))*'Results'!$B$8))),"")</x:f>
        <x:v>8.905733841150239</x:v>
      </x:c>
      <x:c r="P448" t="n">
        <x:f>IF(AND(MAX(J448,J447)&gt;0,J448&gt;J447+0.00000001),1,0)</x:f>
        <x:v>0</x:v>
      </x:c>
      <x:c r="Q448" t="n">
        <x:f>IF(AND(MAX(K448,K447)&gt;0,K448&gt;K447+0.00000001),1,0)</x:f>
        <x:v>0</x:v>
      </x:c>
      <x:c r="R448" t="n">
        <x:f>IF(AND(MAX(L448,L447)&gt;0,L448&gt;L447+0.00000001),1,0)</x:f>
        <x:v>0</x:v>
      </x:c>
      <x:c r="S448" t="n">
        <x:f>IF(AND(MAX(M448,M447)&gt;0,M448&gt;M447+0.00000001),1,0)</x:f>
        <x:v>0</x:v>
      </x:c>
      <x:c r="T448" t="n">
        <x:f>IF(AND(MAX(N448,N447)&gt;0,N448&gt;N447+0.00000001),1,0)</x:f>
        <x:v>0</x:v>
      </x:c>
      <x:c r="U448" t="n">
        <x:f>IF(AND(MAX(O448,O447)&gt;0,O448&gt;O447+0.00000001),1,0)</x:f>
        <x:v>0</x:v>
      </x:c>
    </x:row>
    <x:row r="449">
      <x:c r="J449" t="n">
        <x:f>IF(AND(ISNUMBER('Results'!B7),ISNUMBER('Results'!C7),ISNUMBER('Results'!$B$8),ISNUMBER('Inputs'!$B$6),ISNUMBER('Inputs'!$B$7),ISNUMBER('Inputs'!$B$8),ISNUMBER('Inputs'!$B$9),ISNUMBER('Inputs'!$B$10),ISNUMBER('Inputs'!$B$21),ISNUMBER('Inputs'!$B$24),ISNUMBER('Inputs'!$B$28)),(('Results'!B7*(0.5*((((449-43)*MAX('Inputs'!$B$33,'Inputs'!$B$29+'Inputs'!$B$31+'Inputs'!$B$32,'Inputs'!$B$30+'Inputs'!$B$31+'Inputs'!$B$32)/1000+'Inputs'!$B$21)+'Inputs'!$B$7)/SQRT((((449-43)*MAX('Inputs'!$B$33,'Inputs'!$B$29+'Inputs'!$B$31+'Inputs'!$B$32,'Inputs'!$B$30+'Inputs'!$B$31+'Inputs'!$B$32)/1000+'Inputs'!$B$21)+'Inputs'!$B$7)^2+('Inputs'!$B$6/2)^2)-(((449-43)*MAX('Inputs'!$B$33,'Inputs'!$B$29+'Inputs'!$B$31+'Inputs'!$B$32,'Inputs'!$B$30+'Inputs'!$B$31+'Inputs'!$B$32)/1000+'Inputs'!$B$21))/SQRT((((449-43)*MAX('Inputs'!$B$33,'Inputs'!$B$29+'Inputs'!$B$31+'Inputs'!$B$32,'Inputs'!$B$30+'Inputs'!$B$31+'Inputs'!$B$32)/1000+'Inputs'!$B$21))^2+('Inputs'!$B$6/2)^2)))-'Results'!C7*(0.5*((((449-43)*MAX('Inputs'!$B$33,'Inputs'!$B$29+'Inputs'!$B$31+'Inputs'!$B$32,'Inputs'!$B$30+'Inputs'!$B$31+'Inputs'!$B$32)/1000+'Inputs'!$B$21+'Inputs'!$B$7+'Inputs'!$B$10)+'Inputs'!$B$9)/SQRT((((449-43)*MAX('Inputs'!$B$33,'Inputs'!$B$29+'Inputs'!$B$31+'Inputs'!$B$32,'Inputs'!$B$30+'Inputs'!$B$31+'Inputs'!$B$32)/1000+'Inputs'!$B$21+'Inputs'!$B$7+'Inputs'!$B$10)+'Inputs'!$B$9)^2+('Inputs'!$B$8/2)^2)-(((449-43)*MAX('Inputs'!$B$33,'Inputs'!$B$29+'Inputs'!$B$31+'Inputs'!$B$32,'Inputs'!$B$30+'Inputs'!$B$31+'Inputs'!$B$32)/1000+'Inputs'!$B$21+'Inputs'!$B$7+'Inputs'!$B$10))/SQRT((((449-43)*MAX('Inputs'!$B$33,'Inputs'!$B$29+'Inputs'!$B$31+'Inputs'!$B$32,'Inputs'!$B$30+'Inputs'!$B$31+'Inputs'!$B$32)/1000+'Inputs'!$B$21+'Inputs'!$B$7+'Inputs'!$B$10))^2+('Inputs'!$B$8/2)^2))))*'Results'!$B$8),"")</x:f>
        <x:v>8.419357255921785</x:v>
      </x:c>
      <x:c r="K449" t="n">
        <x:f>IF(AND(ISNUMBER('Results'!B7),ISNUMBER('Results'!C7),ISNUMBER('Results'!$B$8),ISNUMBER('Inputs'!$B$6),ISNUMBER('Inputs'!$B$7),ISNUMBER('Inputs'!$B$8),ISNUMBER('Inputs'!$B$9),ISNUMBER('Inputs'!$B$10),ISNUMBER('Inputs'!$B$21),ISNUMBER('Inputs'!$B$24),ISNUMBER('Inputs'!$B$28)),((('Results'!B7*(1-'Inputs'!$B$24)*(0.5*((((449-43)*MAX('Inputs'!$B$33,'Inputs'!$B$29+'Inputs'!$B$31+'Inputs'!$B$32,'Inputs'!$B$30+'Inputs'!$B$31+'Inputs'!$B$32)/1000+'Inputs'!$B$21)+'Inputs'!$B$7)/SQRT((((449-43)*MAX('Inputs'!$B$33,'Inputs'!$B$29+'Inputs'!$B$31+'Inputs'!$B$32,'Inputs'!$B$30+'Inputs'!$B$31+'Inputs'!$B$32)/1000+'Inputs'!$B$21)+'Inputs'!$B$7)^2+('Inputs'!$B$6/2)^2)-(((449-43)*MAX('Inputs'!$B$33,'Inputs'!$B$29+'Inputs'!$B$31+'Inputs'!$B$32,'Inputs'!$B$30+'Inputs'!$B$31+'Inputs'!$B$32)/1000+'Inputs'!$B$21))/SQRT((((449-43)*MAX('Inputs'!$B$33,'Inputs'!$B$29+'Inputs'!$B$31+'Inputs'!$B$32,'Inputs'!$B$30+'Inputs'!$B$31+'Inputs'!$B$32)/1000+'Inputs'!$B$21))^2+('Inputs'!$B$6/2)^2)))-'Results'!C7*(1+'Inputs'!$B$24)*(0.5*((((449-43)*MAX('Inputs'!$B$33,'Inputs'!$B$29+'Inputs'!$B$31+'Inputs'!$B$32,'Inputs'!$B$30+'Inputs'!$B$31+'Inputs'!$B$32)/1000+'Inputs'!$B$21+'Inputs'!$B$7+'Inputs'!$B$10)+'Inputs'!$B$9)/SQRT((((449-43)*MAX('Inputs'!$B$33,'Inputs'!$B$29+'Inputs'!$B$31+'Inputs'!$B$32,'Inputs'!$B$30+'Inputs'!$B$31+'Inputs'!$B$32)/1000+'Inputs'!$B$21+'Inputs'!$B$7+'Inputs'!$B$10)+'Inputs'!$B$9)^2+('Inputs'!$B$8/2)^2)-(((449-43)*MAX('Inputs'!$B$33,'Inputs'!$B$29+'Inputs'!$B$31+'Inputs'!$B$32,'Inputs'!$B$30+'Inputs'!$B$31+'Inputs'!$B$32)/1000+'Inputs'!$B$21+'Inputs'!$B$7+'Inputs'!$B$10))/SQRT((((449-43)*MAX('Inputs'!$B$33,'Inputs'!$B$29+'Inputs'!$B$31+'Inputs'!$B$32,'Inputs'!$B$30+'Inputs'!$B$31+'Inputs'!$B$32)/1000+'Inputs'!$B$21+'Inputs'!$B$7+'Inputs'!$B$10))^2+('Inputs'!$B$8/2)^2))))*'Results'!$B$8)-'Inputs'!$B$28*ABS((('Results'!B7*(1-'Inputs'!$B$24)*(0.5*((((449-43)*MAX('Inputs'!$B$33,'Inputs'!$B$29+'Inputs'!$B$31+'Inputs'!$B$32,'Inputs'!$B$30+'Inputs'!$B$31+'Inputs'!$B$32)/1000+'Inputs'!$B$21)+'Inputs'!$B$7)/SQRT((((449-43)*MAX('Inputs'!$B$33,'Inputs'!$B$29+'Inputs'!$B$31+'Inputs'!$B$32,'Inputs'!$B$30+'Inputs'!$B$31+'Inputs'!$B$32)/1000+'Inputs'!$B$21)+'Inputs'!$B$7)^2+('Inputs'!$B$6/2)^2)-(((449-43)*MAX('Inputs'!$B$33,'Inputs'!$B$29+'Inputs'!$B$31+'Inputs'!$B$32,'Inputs'!$B$30+'Inputs'!$B$31+'Inputs'!$B$32)/1000+'Inputs'!$B$21))/SQRT((((449-43)*MAX('Inputs'!$B$33,'Inputs'!$B$29+'Inputs'!$B$31+'Inputs'!$B$32,'Inputs'!$B$30+'Inputs'!$B$31+'Inputs'!$B$32)/1000+'Inputs'!$B$21))^2+('Inputs'!$B$6/2)^2)))-'Results'!C7*(1+'Inputs'!$B$24)*(0.5*((((449-43)*MAX('Inputs'!$B$33,'Inputs'!$B$29+'Inputs'!$B$31+'Inputs'!$B$32,'Inputs'!$B$30+'Inputs'!$B$31+'Inputs'!$B$32)/1000+'Inputs'!$B$21+'Inputs'!$B$7+'Inputs'!$B$10)+'Inputs'!$B$9)/SQRT((((449-43)*MAX('Inputs'!$B$33,'Inputs'!$B$29+'Inputs'!$B$31+'Inputs'!$B$32,'Inputs'!$B$30+'Inputs'!$B$31+'Inputs'!$B$32)/1000+'Inputs'!$B$21+'Inputs'!$B$7+'Inputs'!$B$10)+'Inputs'!$B$9)^2+('Inputs'!$B$8/2)^2)-(((449-43)*MAX('Inputs'!$B$33,'Inputs'!$B$29+'Inputs'!$B$31+'Inputs'!$B$32,'Inputs'!$B$30+'Inputs'!$B$31+'Inputs'!$B$32)/1000+'Inputs'!$B$21+'Inputs'!$B$7+'Inputs'!$B$10))/SQRT((((449-43)*MAX('Inputs'!$B$33,'Inputs'!$B$29+'Inputs'!$B$31+'Inputs'!$B$32,'Inputs'!$B$30+'Inputs'!$B$31+'Inputs'!$B$32)/1000+'Inputs'!$B$21+'Inputs'!$B$7+'Inputs'!$B$10))^2+('Inputs'!$B$8/2)^2))))*'Results'!$B$8))),"")</x:f>
        <x:v>7.53373839396222</x:v>
      </x:c>
      <x:c r="L449" t="n">
        <x:f>IF(AND(ISNUMBER('Results'!B7),ISNUMBER('Results'!C7),ISNUMBER('Results'!$B$8),ISNUMBER('Inputs'!$B$6),ISNUMBER('Inputs'!$B$7),ISNUMBER('Inputs'!$B$8),ISNUMBER('Inputs'!$B$9),ISNUMBER('Inputs'!$B$10),ISNUMBER('Inputs'!$B$21),ISNUMBER('Inputs'!$B$24),ISNUMBER('Inputs'!$B$28)),((('Results'!B7*(1+'Inputs'!$B$24)*(0.5*((((449-43)*MAX('Inputs'!$B$33,'Inputs'!$B$29+'Inputs'!$B$31+'Inputs'!$B$32,'Inputs'!$B$30+'Inputs'!$B$31+'Inputs'!$B$32)/1000+'Inputs'!$B$21)+'Inputs'!$B$7)/SQRT((((449-43)*MAX('Inputs'!$B$33,'Inputs'!$B$29+'Inputs'!$B$31+'Inputs'!$B$32,'Inputs'!$B$30+'Inputs'!$B$31+'Inputs'!$B$32)/1000+'Inputs'!$B$21)+'Inputs'!$B$7)^2+('Inputs'!$B$6/2)^2)-(((449-43)*MAX('Inputs'!$B$33,'Inputs'!$B$29+'Inputs'!$B$31+'Inputs'!$B$32,'Inputs'!$B$30+'Inputs'!$B$31+'Inputs'!$B$32)/1000+'Inputs'!$B$21))/SQRT((((449-43)*MAX('Inputs'!$B$33,'Inputs'!$B$29+'Inputs'!$B$31+'Inputs'!$B$32,'Inputs'!$B$30+'Inputs'!$B$31+'Inputs'!$B$32)/1000+'Inputs'!$B$21))^2+('Inputs'!$B$6/2)^2)))-'Results'!C7*(1-'Inputs'!$B$24)*(0.5*((((449-43)*MAX('Inputs'!$B$33,'Inputs'!$B$29+'Inputs'!$B$31+'Inputs'!$B$32,'Inputs'!$B$30+'Inputs'!$B$31+'Inputs'!$B$32)/1000+'Inputs'!$B$21+'Inputs'!$B$7+'Inputs'!$B$10)+'Inputs'!$B$9)/SQRT((((449-43)*MAX('Inputs'!$B$33,'Inputs'!$B$29+'Inputs'!$B$31+'Inputs'!$B$32,'Inputs'!$B$30+'Inputs'!$B$31+'Inputs'!$B$32)/1000+'Inputs'!$B$21+'Inputs'!$B$7+'Inputs'!$B$10)+'Inputs'!$B$9)^2+('Inputs'!$B$8/2)^2)-(((449-43)*MAX('Inputs'!$B$33,'Inputs'!$B$29+'Inputs'!$B$31+'Inputs'!$B$32,'Inputs'!$B$30+'Inputs'!$B$31+'Inputs'!$B$32)/1000+'Inputs'!$B$21+'Inputs'!$B$7+'Inputs'!$B$10))/SQRT((((449-43)*MAX('Inputs'!$B$33,'Inputs'!$B$29+'Inputs'!$B$31+'Inputs'!$B$32,'Inputs'!$B$30+'Inputs'!$B$31+'Inputs'!$B$32)/1000+'Inputs'!$B$21+'Inputs'!$B$7+'Inputs'!$B$10))^2+('Inputs'!$B$8/2)^2))))*'Results'!$B$8)+'Inputs'!$B$28*ABS((('Results'!B7*(1+'Inputs'!$B$24)*(0.5*((((449-43)*MAX('Inputs'!$B$33,'Inputs'!$B$29+'Inputs'!$B$31+'Inputs'!$B$32,'Inputs'!$B$30+'Inputs'!$B$31+'Inputs'!$B$32)/1000+'Inputs'!$B$21)+'Inputs'!$B$7)/SQRT((((449-43)*MAX('Inputs'!$B$33,'Inputs'!$B$29+'Inputs'!$B$31+'Inputs'!$B$32,'Inputs'!$B$30+'Inputs'!$B$31+'Inputs'!$B$32)/1000+'Inputs'!$B$21)+'Inputs'!$B$7)^2+('Inputs'!$B$6/2)^2)-(((449-43)*MAX('Inputs'!$B$33,'Inputs'!$B$29+'Inputs'!$B$31+'Inputs'!$B$32,'Inputs'!$B$30+'Inputs'!$B$31+'Inputs'!$B$32)/1000+'Inputs'!$B$21))/SQRT((((449-43)*MAX('Inputs'!$B$33,'Inputs'!$B$29+'Inputs'!$B$31+'Inputs'!$B$32,'Inputs'!$B$30+'Inputs'!$B$31+'Inputs'!$B$32)/1000+'Inputs'!$B$21))^2+('Inputs'!$B$6/2)^2)))-'Results'!C7*(1-'Inputs'!$B$24)*(0.5*((((449-43)*MAX('Inputs'!$B$33,'Inputs'!$B$29+'Inputs'!$B$31+'Inputs'!$B$32,'Inputs'!$B$30+'Inputs'!$B$31+'Inputs'!$B$32)/1000+'Inputs'!$B$21+'Inputs'!$B$7+'Inputs'!$B$10)+'Inputs'!$B$9)/SQRT((((449-43)*MAX('Inputs'!$B$33,'Inputs'!$B$29+'Inputs'!$B$31+'Inputs'!$B$32,'Inputs'!$B$30+'Inputs'!$B$31+'Inputs'!$B$32)/1000+'Inputs'!$B$21+'Inputs'!$B$7+'Inputs'!$B$10)+'Inputs'!$B$9)^2+('Inputs'!$B$8/2)^2)-(((449-43)*MAX('Inputs'!$B$33,'Inputs'!$B$29+'Inputs'!$B$31+'Inputs'!$B$32,'Inputs'!$B$30+'Inputs'!$B$31+'Inputs'!$B$32)/1000+'Inputs'!$B$21+'Inputs'!$B$7+'Inputs'!$B$10))/SQRT((((449-43)*MAX('Inputs'!$B$33,'Inputs'!$B$29+'Inputs'!$B$31+'Inputs'!$B$32,'Inputs'!$B$30+'Inputs'!$B$31+'Inputs'!$B$32)/1000+'Inputs'!$B$21+'Inputs'!$B$7+'Inputs'!$B$10))^2+('Inputs'!$B$8/2)^2))))*'Results'!$B$8))),"")</x:f>
        <x:v>9.353886749372242</x:v>
      </x:c>
      <x:c r="M449" t="n">
        <x:f>IF(AND(ISNUMBER('Results'!C7),ISNUMBER('Results'!B7),ISNUMBER('Results'!$B$8),ISNUMBER('Inputs'!$B$6),ISNUMBER('Inputs'!$B$7),ISNUMBER('Inputs'!$B$8),ISNUMBER('Inputs'!$B$9),ISNUMBER('Inputs'!$B$10),ISNUMBER('Inputs'!$B$21),ISNUMBER('Inputs'!$B$24),ISNUMBER('Inputs'!$B$28)),(('Results'!C7*(0.5*((((449-43)*MAX('Inputs'!$B$33,'Inputs'!$B$29+'Inputs'!$B$31+'Inputs'!$B$32,'Inputs'!$B$30+'Inputs'!$B$31+'Inputs'!$B$32)/1000+'Inputs'!$B$21)+'Inputs'!$B$9)/SQRT((((449-43)*MAX('Inputs'!$B$33,'Inputs'!$B$29+'Inputs'!$B$31+'Inputs'!$B$32,'Inputs'!$B$30+'Inputs'!$B$31+'Inputs'!$B$32)/1000+'Inputs'!$B$21)+'Inputs'!$B$9)^2+('Inputs'!$B$8/2)^2)-(((449-43)*MAX('Inputs'!$B$33,'Inputs'!$B$29+'Inputs'!$B$31+'Inputs'!$B$32,'Inputs'!$B$30+'Inputs'!$B$31+'Inputs'!$B$32)/1000+'Inputs'!$B$21))/SQRT((((449-43)*MAX('Inputs'!$B$33,'Inputs'!$B$29+'Inputs'!$B$31+'Inputs'!$B$32,'Inputs'!$B$30+'Inputs'!$B$31+'Inputs'!$B$32)/1000+'Inputs'!$B$21))^2+('Inputs'!$B$8/2)^2)))-'Results'!B7*(0.5*((((449-43)*MAX('Inputs'!$B$33,'Inputs'!$B$29+'Inputs'!$B$31+'Inputs'!$B$32,'Inputs'!$B$30+'Inputs'!$B$31+'Inputs'!$B$32)/1000+'Inputs'!$B$21+'Inputs'!$B$9+'Inputs'!$B$10)+'Inputs'!$B$7)/SQRT((((449-43)*MAX('Inputs'!$B$33,'Inputs'!$B$29+'Inputs'!$B$31+'Inputs'!$B$32,'Inputs'!$B$30+'Inputs'!$B$31+'Inputs'!$B$32)/1000+'Inputs'!$B$21+'Inputs'!$B$9+'Inputs'!$B$10)+'Inputs'!$B$7)^2+('Inputs'!$B$6/2)^2)-(((449-43)*MAX('Inputs'!$B$33,'Inputs'!$B$29+'Inputs'!$B$31+'Inputs'!$B$32,'Inputs'!$B$30+'Inputs'!$B$31+'Inputs'!$B$32)/1000+'Inputs'!$B$21+'Inputs'!$B$9+'Inputs'!$B$10))/SQRT((((449-43)*MAX('Inputs'!$B$33,'Inputs'!$B$29+'Inputs'!$B$31+'Inputs'!$B$32,'Inputs'!$B$30+'Inputs'!$B$31+'Inputs'!$B$32)/1000+'Inputs'!$B$21+'Inputs'!$B$9+'Inputs'!$B$10))^2+('Inputs'!$B$6/2)^2))))*'Results'!$B$8),"")</x:f>
        <x:v>7.926978296423165</x:v>
      </x:c>
      <x:c r="N449" t="n">
        <x:f>IF(AND(ISNUMBER('Results'!C7),ISNUMBER('Results'!B7),ISNUMBER('Results'!$B$8),ISNUMBER('Inputs'!$B$6),ISNUMBER('Inputs'!$B$7),ISNUMBER('Inputs'!$B$8),ISNUMBER('Inputs'!$B$9),ISNUMBER('Inputs'!$B$10),ISNUMBER('Inputs'!$B$21),ISNUMBER('Inputs'!$B$24),ISNUMBER('Inputs'!$B$28)),((('Results'!C7*(1-'Inputs'!$B$24)*(0.5*((((449-43)*MAX('Inputs'!$B$33,'Inputs'!$B$29+'Inputs'!$B$31+'Inputs'!$B$32,'Inputs'!$B$30+'Inputs'!$B$31+'Inputs'!$B$32)/1000+'Inputs'!$B$21)+'Inputs'!$B$9)/SQRT((((449-43)*MAX('Inputs'!$B$33,'Inputs'!$B$29+'Inputs'!$B$31+'Inputs'!$B$32,'Inputs'!$B$30+'Inputs'!$B$31+'Inputs'!$B$32)/1000+'Inputs'!$B$21)+'Inputs'!$B$9)^2+('Inputs'!$B$8/2)^2)-(((449-43)*MAX('Inputs'!$B$33,'Inputs'!$B$29+'Inputs'!$B$31+'Inputs'!$B$32,'Inputs'!$B$30+'Inputs'!$B$31+'Inputs'!$B$32)/1000+'Inputs'!$B$21))/SQRT((((449-43)*MAX('Inputs'!$B$33,'Inputs'!$B$29+'Inputs'!$B$31+'Inputs'!$B$32,'Inputs'!$B$30+'Inputs'!$B$31+'Inputs'!$B$32)/1000+'Inputs'!$B$21))^2+('Inputs'!$B$8/2)^2)))-'Results'!B7*(1+'Inputs'!$B$24)*(0.5*((((449-43)*MAX('Inputs'!$B$33,'Inputs'!$B$29+'Inputs'!$B$31+'Inputs'!$B$32,'Inputs'!$B$30+'Inputs'!$B$31+'Inputs'!$B$32)/1000+'Inputs'!$B$21+'Inputs'!$B$9+'Inputs'!$B$10)+'Inputs'!$B$7)/SQRT((((449-43)*MAX('Inputs'!$B$33,'Inputs'!$B$29+'Inputs'!$B$31+'Inputs'!$B$32,'Inputs'!$B$30+'Inputs'!$B$31+'Inputs'!$B$32)/1000+'Inputs'!$B$21+'Inputs'!$B$9+'Inputs'!$B$10)+'Inputs'!$B$7)^2+('Inputs'!$B$6/2)^2)-(((449-43)*MAX('Inputs'!$B$33,'Inputs'!$B$29+'Inputs'!$B$31+'Inputs'!$B$32,'Inputs'!$B$30+'Inputs'!$B$31+'Inputs'!$B$32)/1000+'Inputs'!$B$21+'Inputs'!$B$9+'Inputs'!$B$10))/SQRT((((449-43)*MAX('Inputs'!$B$33,'Inputs'!$B$29+'Inputs'!$B$31+'Inputs'!$B$32,'Inputs'!$B$30+'Inputs'!$B$31+'Inputs'!$B$32)/1000+'Inputs'!$B$21+'Inputs'!$B$9+'Inputs'!$B$10))^2+('Inputs'!$B$6/2)^2))))*'Results'!$B$8)-'Inputs'!$B$28*ABS((('Results'!C7*(1-'Inputs'!$B$24)*(0.5*((((449-43)*MAX('Inputs'!$B$33,'Inputs'!$B$29+'Inputs'!$B$31+'Inputs'!$B$32,'Inputs'!$B$30+'Inputs'!$B$31+'Inputs'!$B$32)/1000+'Inputs'!$B$21)+'Inputs'!$B$9)/SQRT((((449-43)*MAX('Inputs'!$B$33,'Inputs'!$B$29+'Inputs'!$B$31+'Inputs'!$B$32,'Inputs'!$B$30+'Inputs'!$B$31+'Inputs'!$B$32)/1000+'Inputs'!$B$21)+'Inputs'!$B$9)^2+('Inputs'!$B$8/2)^2)-(((449-43)*MAX('Inputs'!$B$33,'Inputs'!$B$29+'Inputs'!$B$31+'Inputs'!$B$32,'Inputs'!$B$30+'Inputs'!$B$31+'Inputs'!$B$32)/1000+'Inputs'!$B$21))/SQRT((((449-43)*MAX('Inputs'!$B$33,'Inputs'!$B$29+'Inputs'!$B$31+'Inputs'!$B$32,'Inputs'!$B$30+'Inputs'!$B$31+'Inputs'!$B$32)/1000+'Inputs'!$B$21))^2+('Inputs'!$B$8/2)^2)))-'Results'!B7*(1+'Inputs'!$B$24)*(0.5*((((449-43)*MAX('Inputs'!$B$33,'Inputs'!$B$29+'Inputs'!$B$31+'Inputs'!$B$32,'Inputs'!$B$30+'Inputs'!$B$31+'Inputs'!$B$32)/1000+'Inputs'!$B$21+'Inputs'!$B$9+'Inputs'!$B$10)+'Inputs'!$B$7)/SQRT((((449-43)*MAX('Inputs'!$B$33,'Inputs'!$B$29+'Inputs'!$B$31+'Inputs'!$B$32,'Inputs'!$B$30+'Inputs'!$B$31+'Inputs'!$B$32)/1000+'Inputs'!$B$21+'Inputs'!$B$9+'Inputs'!$B$10)+'Inputs'!$B$7)^2+('Inputs'!$B$6/2)^2)-(((449-43)*MAX('Inputs'!$B$33,'Inputs'!$B$29+'Inputs'!$B$31+'Inputs'!$B$32,'Inputs'!$B$30+'Inputs'!$B$31+'Inputs'!$B$32)/1000+'Inputs'!$B$21+'Inputs'!$B$9+'Inputs'!$B$10))/SQRT((((449-43)*MAX('Inputs'!$B$33,'Inputs'!$B$29+'Inputs'!$B$31+'Inputs'!$B$32,'Inputs'!$B$30+'Inputs'!$B$31+'Inputs'!$B$32)/1000+'Inputs'!$B$21+'Inputs'!$B$9+'Inputs'!$B$10))^2+('Inputs'!$B$6/2)^2))))*'Results'!$B$8))),"")</x:f>
        <x:v>7.069115557948579</x:v>
      </x:c>
      <x:c r="O449" t="n">
        <x:f>IF(AND(ISNUMBER('Results'!C7),ISNUMBER('Results'!B7),ISNUMBER('Results'!$B$8),ISNUMBER('Inputs'!$B$6),ISNUMBER('Inputs'!$B$7),ISNUMBER('Inputs'!$B$8),ISNUMBER('Inputs'!$B$9),ISNUMBER('Inputs'!$B$10),ISNUMBER('Inputs'!$B$21),ISNUMBER('Inputs'!$B$24),ISNUMBER('Inputs'!$B$28)),((('Results'!C7*(1+'Inputs'!$B$24)*(0.5*((((449-43)*MAX('Inputs'!$B$33,'Inputs'!$B$29+'Inputs'!$B$31+'Inputs'!$B$32,'Inputs'!$B$30+'Inputs'!$B$31+'Inputs'!$B$32)/1000+'Inputs'!$B$21)+'Inputs'!$B$9)/SQRT((((449-43)*MAX('Inputs'!$B$33,'Inputs'!$B$29+'Inputs'!$B$31+'Inputs'!$B$32,'Inputs'!$B$30+'Inputs'!$B$31+'Inputs'!$B$32)/1000+'Inputs'!$B$21)+'Inputs'!$B$9)^2+('Inputs'!$B$8/2)^2)-(((449-43)*MAX('Inputs'!$B$33,'Inputs'!$B$29+'Inputs'!$B$31+'Inputs'!$B$32,'Inputs'!$B$30+'Inputs'!$B$31+'Inputs'!$B$32)/1000+'Inputs'!$B$21))/SQRT((((449-43)*MAX('Inputs'!$B$33,'Inputs'!$B$29+'Inputs'!$B$31+'Inputs'!$B$32,'Inputs'!$B$30+'Inputs'!$B$31+'Inputs'!$B$32)/1000+'Inputs'!$B$21))^2+('Inputs'!$B$8/2)^2)))-'Results'!B7*(1-'Inputs'!$B$24)*(0.5*((((449-43)*MAX('Inputs'!$B$33,'Inputs'!$B$29+'Inputs'!$B$31+'Inputs'!$B$32,'Inputs'!$B$30+'Inputs'!$B$31+'Inputs'!$B$32)/1000+'Inputs'!$B$21+'Inputs'!$B$9+'Inputs'!$B$10)+'Inputs'!$B$7)/SQRT((((449-43)*MAX('Inputs'!$B$33,'Inputs'!$B$29+'Inputs'!$B$31+'Inputs'!$B$32,'Inputs'!$B$30+'Inputs'!$B$31+'Inputs'!$B$32)/1000+'Inputs'!$B$21+'Inputs'!$B$9+'Inputs'!$B$10)+'Inputs'!$B$7)^2+('Inputs'!$B$6/2)^2)-(((449-43)*MAX('Inputs'!$B$33,'Inputs'!$B$29+'Inputs'!$B$31+'Inputs'!$B$32,'Inputs'!$B$30+'Inputs'!$B$31+'Inputs'!$B$32)/1000+'Inputs'!$B$21+'Inputs'!$B$9+'Inputs'!$B$10))/SQRT((((449-43)*MAX('Inputs'!$B$33,'Inputs'!$B$29+'Inputs'!$B$31+'Inputs'!$B$32,'Inputs'!$B$30+'Inputs'!$B$31+'Inputs'!$B$32)/1000+'Inputs'!$B$21+'Inputs'!$B$9+'Inputs'!$B$10))^2+('Inputs'!$B$6/2)^2))))*'Results'!$B$8)+'Inputs'!$B$28*ABS((('Results'!C7*(1+'Inputs'!$B$24)*(0.5*((((449-43)*MAX('Inputs'!$B$33,'Inputs'!$B$29+'Inputs'!$B$31+'Inputs'!$B$32,'Inputs'!$B$30+'Inputs'!$B$31+'Inputs'!$B$32)/1000+'Inputs'!$B$21)+'Inputs'!$B$9)/SQRT((((449-43)*MAX('Inputs'!$B$33,'Inputs'!$B$29+'Inputs'!$B$31+'Inputs'!$B$32,'Inputs'!$B$30+'Inputs'!$B$31+'Inputs'!$B$32)/1000+'Inputs'!$B$21)+'Inputs'!$B$9)^2+('Inputs'!$B$8/2)^2)-(((449-43)*MAX('Inputs'!$B$33,'Inputs'!$B$29+'Inputs'!$B$31+'Inputs'!$B$32,'Inputs'!$B$30+'Inputs'!$B$31+'Inputs'!$B$32)/1000+'Inputs'!$B$21))/SQRT((((449-43)*MAX('Inputs'!$B$33,'Inputs'!$B$29+'Inputs'!$B$31+'Inputs'!$B$32,'Inputs'!$B$30+'Inputs'!$B$31+'Inputs'!$B$32)/1000+'Inputs'!$B$21))^2+('Inputs'!$B$8/2)^2)))-'Results'!B7*(1-'Inputs'!$B$24)*(0.5*((((449-43)*MAX('Inputs'!$B$33,'Inputs'!$B$29+'Inputs'!$B$31+'Inputs'!$B$32,'Inputs'!$B$30+'Inputs'!$B$31+'Inputs'!$B$32)/1000+'Inputs'!$B$21+'Inputs'!$B$9+'Inputs'!$B$10)+'Inputs'!$B$7)/SQRT((((449-43)*MAX('Inputs'!$B$33,'Inputs'!$B$29+'Inputs'!$B$31+'Inputs'!$B$32,'Inputs'!$B$30+'Inputs'!$B$31+'Inputs'!$B$32)/1000+'Inputs'!$B$21+'Inputs'!$B$9+'Inputs'!$B$10)+'Inputs'!$B$7)^2+('Inputs'!$B$6/2)^2)-(((449-43)*MAX('Inputs'!$B$33,'Inputs'!$B$29+'Inputs'!$B$31+'Inputs'!$B$32,'Inputs'!$B$30+'Inputs'!$B$31+'Inputs'!$B$32)/1000+'Inputs'!$B$21+'Inputs'!$B$9+'Inputs'!$B$10))/SQRT((((449-43)*MAX('Inputs'!$B$33,'Inputs'!$B$29+'Inputs'!$B$31+'Inputs'!$B$32,'Inputs'!$B$30+'Inputs'!$B$31+'Inputs'!$B$32)/1000+'Inputs'!$B$21+'Inputs'!$B$9+'Inputs'!$B$10))^2+('Inputs'!$B$6/2)^2))))*'Results'!$B$8))),"")</x:f>
        <x:v>8.833421437387589</x:v>
      </x:c>
      <x:c r="P449" t="n">
        <x:f>IF(AND(MAX(J449,J448)&gt;0,J449&gt;J448+0.00000001),1,0)</x:f>
        <x:v>0</x:v>
      </x:c>
      <x:c r="Q449" t="n">
        <x:f>IF(AND(MAX(K449,K448)&gt;0,K449&gt;K448+0.00000001),1,0)</x:f>
        <x:v>0</x:v>
      </x:c>
      <x:c r="R449" t="n">
        <x:f>IF(AND(MAX(L449,L448)&gt;0,L449&gt;L448+0.00000001),1,0)</x:f>
        <x:v>0</x:v>
      </x:c>
      <x:c r="S449" t="n">
        <x:f>IF(AND(MAX(M449,M448)&gt;0,M449&gt;M448+0.00000001),1,0)</x:f>
        <x:v>0</x:v>
      </x:c>
      <x:c r="T449" t="n">
        <x:f>IF(AND(MAX(N449,N448)&gt;0,N449&gt;N448+0.00000001),1,0)</x:f>
        <x:v>0</x:v>
      </x:c>
      <x:c r="U449" t="n">
        <x:f>IF(AND(MAX(O449,O448)&gt;0,O449&gt;O448+0.00000001),1,0)</x:f>
        <x:v>0</x:v>
      </x:c>
    </x:row>
    <x:row r="450">
      <x:c r="J450" t="n">
        <x:f>IF(AND(ISNUMBER('Results'!B7),ISNUMBER('Results'!C7),ISNUMBER('Results'!$B$8),ISNUMBER('Inputs'!$B$6),ISNUMBER('Inputs'!$B$7),ISNUMBER('Inputs'!$B$8),ISNUMBER('Inputs'!$B$9),ISNUMBER('Inputs'!$B$10),ISNUMBER('Inputs'!$B$21),ISNUMBER('Inputs'!$B$24),ISNUMBER('Inputs'!$B$28)),(('Results'!B7*(0.5*((((450-43)*MAX('Inputs'!$B$33,'Inputs'!$B$29+'Inputs'!$B$31+'Inputs'!$B$32,'Inputs'!$B$30+'Inputs'!$B$31+'Inputs'!$B$32)/1000+'Inputs'!$B$21)+'Inputs'!$B$7)/SQRT((((450-43)*MAX('Inputs'!$B$33,'Inputs'!$B$29+'Inputs'!$B$31+'Inputs'!$B$32,'Inputs'!$B$30+'Inputs'!$B$31+'Inputs'!$B$32)/1000+'Inputs'!$B$21)+'Inputs'!$B$7)^2+('Inputs'!$B$6/2)^2)-(((450-43)*MAX('Inputs'!$B$33,'Inputs'!$B$29+'Inputs'!$B$31+'Inputs'!$B$32,'Inputs'!$B$30+'Inputs'!$B$31+'Inputs'!$B$32)/1000+'Inputs'!$B$21))/SQRT((((450-43)*MAX('Inputs'!$B$33,'Inputs'!$B$29+'Inputs'!$B$31+'Inputs'!$B$32,'Inputs'!$B$30+'Inputs'!$B$31+'Inputs'!$B$32)/1000+'Inputs'!$B$21))^2+('Inputs'!$B$6/2)^2)))-'Results'!C7*(0.5*((((450-43)*MAX('Inputs'!$B$33,'Inputs'!$B$29+'Inputs'!$B$31+'Inputs'!$B$32,'Inputs'!$B$30+'Inputs'!$B$31+'Inputs'!$B$32)/1000+'Inputs'!$B$21+'Inputs'!$B$7+'Inputs'!$B$10)+'Inputs'!$B$9)/SQRT((((450-43)*MAX('Inputs'!$B$33,'Inputs'!$B$29+'Inputs'!$B$31+'Inputs'!$B$32,'Inputs'!$B$30+'Inputs'!$B$31+'Inputs'!$B$32)/1000+'Inputs'!$B$21+'Inputs'!$B$7+'Inputs'!$B$10)+'Inputs'!$B$9)^2+('Inputs'!$B$8/2)^2)-(((450-43)*MAX('Inputs'!$B$33,'Inputs'!$B$29+'Inputs'!$B$31+'Inputs'!$B$32,'Inputs'!$B$30+'Inputs'!$B$31+'Inputs'!$B$32)/1000+'Inputs'!$B$21+'Inputs'!$B$7+'Inputs'!$B$10))/SQRT((((450-43)*MAX('Inputs'!$B$33,'Inputs'!$B$29+'Inputs'!$B$31+'Inputs'!$B$32,'Inputs'!$B$30+'Inputs'!$B$31+'Inputs'!$B$32)/1000+'Inputs'!$B$21+'Inputs'!$B$7+'Inputs'!$B$10))^2+('Inputs'!$B$8/2)^2))))*'Results'!$B$8),"")</x:f>
        <x:v>8.351141007572936</x:v>
      </x:c>
      <x:c r="K450" t="n">
        <x:f>IF(AND(ISNUMBER('Results'!B7),ISNUMBER('Results'!C7),ISNUMBER('Results'!$B$8),ISNUMBER('Inputs'!$B$6),ISNUMBER('Inputs'!$B$7),ISNUMBER('Inputs'!$B$8),ISNUMBER('Inputs'!$B$9),ISNUMBER('Inputs'!$B$10),ISNUMBER('Inputs'!$B$21),ISNUMBER('Inputs'!$B$24),ISNUMBER('Inputs'!$B$28)),((('Results'!B7*(1-'Inputs'!$B$24)*(0.5*((((450-43)*MAX('Inputs'!$B$33,'Inputs'!$B$29+'Inputs'!$B$31+'Inputs'!$B$32,'Inputs'!$B$30+'Inputs'!$B$31+'Inputs'!$B$32)/1000+'Inputs'!$B$21)+'Inputs'!$B$7)/SQRT((((450-43)*MAX('Inputs'!$B$33,'Inputs'!$B$29+'Inputs'!$B$31+'Inputs'!$B$32,'Inputs'!$B$30+'Inputs'!$B$31+'Inputs'!$B$32)/1000+'Inputs'!$B$21)+'Inputs'!$B$7)^2+('Inputs'!$B$6/2)^2)-(((450-43)*MAX('Inputs'!$B$33,'Inputs'!$B$29+'Inputs'!$B$31+'Inputs'!$B$32,'Inputs'!$B$30+'Inputs'!$B$31+'Inputs'!$B$32)/1000+'Inputs'!$B$21))/SQRT((((450-43)*MAX('Inputs'!$B$33,'Inputs'!$B$29+'Inputs'!$B$31+'Inputs'!$B$32,'Inputs'!$B$30+'Inputs'!$B$31+'Inputs'!$B$32)/1000+'Inputs'!$B$21))^2+('Inputs'!$B$6/2)^2)))-'Results'!C7*(1+'Inputs'!$B$24)*(0.5*((((450-43)*MAX('Inputs'!$B$33,'Inputs'!$B$29+'Inputs'!$B$31+'Inputs'!$B$32,'Inputs'!$B$30+'Inputs'!$B$31+'Inputs'!$B$32)/1000+'Inputs'!$B$21+'Inputs'!$B$7+'Inputs'!$B$10)+'Inputs'!$B$9)/SQRT((((450-43)*MAX('Inputs'!$B$33,'Inputs'!$B$29+'Inputs'!$B$31+'Inputs'!$B$32,'Inputs'!$B$30+'Inputs'!$B$31+'Inputs'!$B$32)/1000+'Inputs'!$B$21+'Inputs'!$B$7+'Inputs'!$B$10)+'Inputs'!$B$9)^2+('Inputs'!$B$8/2)^2)-(((450-43)*MAX('Inputs'!$B$33,'Inputs'!$B$29+'Inputs'!$B$31+'Inputs'!$B$32,'Inputs'!$B$30+'Inputs'!$B$31+'Inputs'!$B$32)/1000+'Inputs'!$B$21+'Inputs'!$B$7+'Inputs'!$B$10))/SQRT((((450-43)*MAX('Inputs'!$B$33,'Inputs'!$B$29+'Inputs'!$B$31+'Inputs'!$B$32,'Inputs'!$B$30+'Inputs'!$B$31+'Inputs'!$B$32)/1000+'Inputs'!$B$21+'Inputs'!$B$7+'Inputs'!$B$10))^2+('Inputs'!$B$8/2)^2))))*'Results'!$B$8)-'Inputs'!$B$28*ABS((('Results'!B7*(1-'Inputs'!$B$24)*(0.5*((((450-43)*MAX('Inputs'!$B$33,'Inputs'!$B$29+'Inputs'!$B$31+'Inputs'!$B$32,'Inputs'!$B$30+'Inputs'!$B$31+'Inputs'!$B$32)/1000+'Inputs'!$B$21)+'Inputs'!$B$7)/SQRT((((450-43)*MAX('Inputs'!$B$33,'Inputs'!$B$29+'Inputs'!$B$31+'Inputs'!$B$32,'Inputs'!$B$30+'Inputs'!$B$31+'Inputs'!$B$32)/1000+'Inputs'!$B$21)+'Inputs'!$B$7)^2+('Inputs'!$B$6/2)^2)-(((450-43)*MAX('Inputs'!$B$33,'Inputs'!$B$29+'Inputs'!$B$31+'Inputs'!$B$32,'Inputs'!$B$30+'Inputs'!$B$31+'Inputs'!$B$32)/1000+'Inputs'!$B$21))/SQRT((((450-43)*MAX('Inputs'!$B$33,'Inputs'!$B$29+'Inputs'!$B$31+'Inputs'!$B$32,'Inputs'!$B$30+'Inputs'!$B$31+'Inputs'!$B$32)/1000+'Inputs'!$B$21))^2+('Inputs'!$B$6/2)^2)))-'Results'!C7*(1+'Inputs'!$B$24)*(0.5*((((450-43)*MAX('Inputs'!$B$33,'Inputs'!$B$29+'Inputs'!$B$31+'Inputs'!$B$32,'Inputs'!$B$30+'Inputs'!$B$31+'Inputs'!$B$32)/1000+'Inputs'!$B$21+'Inputs'!$B$7+'Inputs'!$B$10)+'Inputs'!$B$9)/SQRT((((450-43)*MAX('Inputs'!$B$33,'Inputs'!$B$29+'Inputs'!$B$31+'Inputs'!$B$32,'Inputs'!$B$30+'Inputs'!$B$31+'Inputs'!$B$32)/1000+'Inputs'!$B$21+'Inputs'!$B$7+'Inputs'!$B$10)+'Inputs'!$B$9)^2+('Inputs'!$B$8/2)^2)-(((450-43)*MAX('Inputs'!$B$33,'Inputs'!$B$29+'Inputs'!$B$31+'Inputs'!$B$32,'Inputs'!$B$30+'Inputs'!$B$31+'Inputs'!$B$32)/1000+'Inputs'!$B$21+'Inputs'!$B$7+'Inputs'!$B$10))/SQRT((((450-43)*MAX('Inputs'!$B$33,'Inputs'!$B$29+'Inputs'!$B$31+'Inputs'!$B$32,'Inputs'!$B$30+'Inputs'!$B$31+'Inputs'!$B$32)/1000+'Inputs'!$B$21+'Inputs'!$B$7+'Inputs'!$B$10))^2+('Inputs'!$B$8/2)^2))))*'Results'!$B$8))),"")</x:f>
        <x:v>7.471881186289901</x:v>
      </x:c>
      <x:c r="L450" t="n">
        <x:f>IF(AND(ISNUMBER('Results'!B7),ISNUMBER('Results'!C7),ISNUMBER('Results'!$B$8),ISNUMBER('Inputs'!$B$6),ISNUMBER('Inputs'!$B$7),ISNUMBER('Inputs'!$B$8),ISNUMBER('Inputs'!$B$9),ISNUMBER('Inputs'!$B$10),ISNUMBER('Inputs'!$B$21),ISNUMBER('Inputs'!$B$24),ISNUMBER('Inputs'!$B$28)),((('Results'!B7*(1+'Inputs'!$B$24)*(0.5*((((450-43)*MAX('Inputs'!$B$33,'Inputs'!$B$29+'Inputs'!$B$31+'Inputs'!$B$32,'Inputs'!$B$30+'Inputs'!$B$31+'Inputs'!$B$32)/1000+'Inputs'!$B$21)+'Inputs'!$B$7)/SQRT((((450-43)*MAX('Inputs'!$B$33,'Inputs'!$B$29+'Inputs'!$B$31+'Inputs'!$B$32,'Inputs'!$B$30+'Inputs'!$B$31+'Inputs'!$B$32)/1000+'Inputs'!$B$21)+'Inputs'!$B$7)^2+('Inputs'!$B$6/2)^2)-(((450-43)*MAX('Inputs'!$B$33,'Inputs'!$B$29+'Inputs'!$B$31+'Inputs'!$B$32,'Inputs'!$B$30+'Inputs'!$B$31+'Inputs'!$B$32)/1000+'Inputs'!$B$21))/SQRT((((450-43)*MAX('Inputs'!$B$33,'Inputs'!$B$29+'Inputs'!$B$31+'Inputs'!$B$32,'Inputs'!$B$30+'Inputs'!$B$31+'Inputs'!$B$32)/1000+'Inputs'!$B$21))^2+('Inputs'!$B$6/2)^2)))-'Results'!C7*(1-'Inputs'!$B$24)*(0.5*((((450-43)*MAX('Inputs'!$B$33,'Inputs'!$B$29+'Inputs'!$B$31+'Inputs'!$B$32,'Inputs'!$B$30+'Inputs'!$B$31+'Inputs'!$B$32)/1000+'Inputs'!$B$21+'Inputs'!$B$7+'Inputs'!$B$10)+'Inputs'!$B$9)/SQRT((((450-43)*MAX('Inputs'!$B$33,'Inputs'!$B$29+'Inputs'!$B$31+'Inputs'!$B$32,'Inputs'!$B$30+'Inputs'!$B$31+'Inputs'!$B$32)/1000+'Inputs'!$B$21+'Inputs'!$B$7+'Inputs'!$B$10)+'Inputs'!$B$9)^2+('Inputs'!$B$8/2)^2)-(((450-43)*MAX('Inputs'!$B$33,'Inputs'!$B$29+'Inputs'!$B$31+'Inputs'!$B$32,'Inputs'!$B$30+'Inputs'!$B$31+'Inputs'!$B$32)/1000+'Inputs'!$B$21+'Inputs'!$B$7+'Inputs'!$B$10))/SQRT((((450-43)*MAX('Inputs'!$B$33,'Inputs'!$B$29+'Inputs'!$B$31+'Inputs'!$B$32,'Inputs'!$B$30+'Inputs'!$B$31+'Inputs'!$B$32)/1000+'Inputs'!$B$21+'Inputs'!$B$7+'Inputs'!$B$10))^2+('Inputs'!$B$8/2)^2))))*'Results'!$B$8)+'Inputs'!$B$28*ABS((('Results'!B7*(1+'Inputs'!$B$24)*(0.5*((((450-43)*MAX('Inputs'!$B$33,'Inputs'!$B$29+'Inputs'!$B$31+'Inputs'!$B$32,'Inputs'!$B$30+'Inputs'!$B$31+'Inputs'!$B$32)/1000+'Inputs'!$B$21)+'Inputs'!$B$7)/SQRT((((450-43)*MAX('Inputs'!$B$33,'Inputs'!$B$29+'Inputs'!$B$31+'Inputs'!$B$32,'Inputs'!$B$30+'Inputs'!$B$31+'Inputs'!$B$32)/1000+'Inputs'!$B$21)+'Inputs'!$B$7)^2+('Inputs'!$B$6/2)^2)-(((450-43)*MAX('Inputs'!$B$33,'Inputs'!$B$29+'Inputs'!$B$31+'Inputs'!$B$32,'Inputs'!$B$30+'Inputs'!$B$31+'Inputs'!$B$32)/1000+'Inputs'!$B$21))/SQRT((((450-43)*MAX('Inputs'!$B$33,'Inputs'!$B$29+'Inputs'!$B$31+'Inputs'!$B$32,'Inputs'!$B$30+'Inputs'!$B$31+'Inputs'!$B$32)/1000+'Inputs'!$B$21))^2+('Inputs'!$B$6/2)^2)))-'Results'!C7*(1-'Inputs'!$B$24)*(0.5*((((450-43)*MAX('Inputs'!$B$33,'Inputs'!$B$29+'Inputs'!$B$31+'Inputs'!$B$32,'Inputs'!$B$30+'Inputs'!$B$31+'Inputs'!$B$32)/1000+'Inputs'!$B$21+'Inputs'!$B$7+'Inputs'!$B$10)+'Inputs'!$B$9)/SQRT((((450-43)*MAX('Inputs'!$B$33,'Inputs'!$B$29+'Inputs'!$B$31+'Inputs'!$B$32,'Inputs'!$B$30+'Inputs'!$B$31+'Inputs'!$B$32)/1000+'Inputs'!$B$21+'Inputs'!$B$7+'Inputs'!$B$10)+'Inputs'!$B$9)^2+('Inputs'!$B$8/2)^2)-(((450-43)*MAX('Inputs'!$B$33,'Inputs'!$B$29+'Inputs'!$B$31+'Inputs'!$B$32,'Inputs'!$B$30+'Inputs'!$B$31+'Inputs'!$B$32)/1000+'Inputs'!$B$21+'Inputs'!$B$7+'Inputs'!$B$10))/SQRT((((450-43)*MAX('Inputs'!$B$33,'Inputs'!$B$29+'Inputs'!$B$31+'Inputs'!$B$32,'Inputs'!$B$30+'Inputs'!$B$31+'Inputs'!$B$32)/1000+'Inputs'!$B$21+'Inputs'!$B$7+'Inputs'!$B$10))^2+('Inputs'!$B$8/2)^2))))*'Results'!$B$8))),"")</x:f>
        <x:v>9.279001120530115</x:v>
      </x:c>
      <x:c r="M450" t="n">
        <x:f>IF(AND(ISNUMBER('Results'!C7),ISNUMBER('Results'!B7),ISNUMBER('Results'!$B$8),ISNUMBER('Inputs'!$B$6),ISNUMBER('Inputs'!$B$7),ISNUMBER('Inputs'!$B$8),ISNUMBER('Inputs'!$B$9),ISNUMBER('Inputs'!$B$10),ISNUMBER('Inputs'!$B$21),ISNUMBER('Inputs'!$B$24),ISNUMBER('Inputs'!$B$28)),(('Results'!C7*(0.5*((((450-43)*MAX('Inputs'!$B$33,'Inputs'!$B$29+'Inputs'!$B$31+'Inputs'!$B$32,'Inputs'!$B$30+'Inputs'!$B$31+'Inputs'!$B$32)/1000+'Inputs'!$B$21)+'Inputs'!$B$9)/SQRT((((450-43)*MAX('Inputs'!$B$33,'Inputs'!$B$29+'Inputs'!$B$31+'Inputs'!$B$32,'Inputs'!$B$30+'Inputs'!$B$31+'Inputs'!$B$32)/1000+'Inputs'!$B$21)+'Inputs'!$B$9)^2+('Inputs'!$B$8/2)^2)-(((450-43)*MAX('Inputs'!$B$33,'Inputs'!$B$29+'Inputs'!$B$31+'Inputs'!$B$32,'Inputs'!$B$30+'Inputs'!$B$31+'Inputs'!$B$32)/1000+'Inputs'!$B$21))/SQRT((((450-43)*MAX('Inputs'!$B$33,'Inputs'!$B$29+'Inputs'!$B$31+'Inputs'!$B$32,'Inputs'!$B$30+'Inputs'!$B$31+'Inputs'!$B$32)/1000+'Inputs'!$B$21))^2+('Inputs'!$B$8/2)^2)))-'Results'!B7*(0.5*((((450-43)*MAX('Inputs'!$B$33,'Inputs'!$B$29+'Inputs'!$B$31+'Inputs'!$B$32,'Inputs'!$B$30+'Inputs'!$B$31+'Inputs'!$B$32)/1000+'Inputs'!$B$21+'Inputs'!$B$9+'Inputs'!$B$10)+'Inputs'!$B$7)/SQRT((((450-43)*MAX('Inputs'!$B$33,'Inputs'!$B$29+'Inputs'!$B$31+'Inputs'!$B$32,'Inputs'!$B$30+'Inputs'!$B$31+'Inputs'!$B$32)/1000+'Inputs'!$B$21+'Inputs'!$B$9+'Inputs'!$B$10)+'Inputs'!$B$7)^2+('Inputs'!$B$6/2)^2)-(((450-43)*MAX('Inputs'!$B$33,'Inputs'!$B$29+'Inputs'!$B$31+'Inputs'!$B$32,'Inputs'!$B$30+'Inputs'!$B$31+'Inputs'!$B$32)/1000+'Inputs'!$B$21+'Inputs'!$B$9+'Inputs'!$B$10))/SQRT((((450-43)*MAX('Inputs'!$B$33,'Inputs'!$B$29+'Inputs'!$B$31+'Inputs'!$B$32,'Inputs'!$B$30+'Inputs'!$B$31+'Inputs'!$B$32)/1000+'Inputs'!$B$21+'Inputs'!$B$9+'Inputs'!$B$10))^2+('Inputs'!$B$6/2)^2))))*'Results'!$B$8),"")</x:f>
        <x:v>7.861883191886678</x:v>
      </x:c>
      <x:c r="N450" t="n">
        <x:f>IF(AND(ISNUMBER('Results'!C7),ISNUMBER('Results'!B7),ISNUMBER('Results'!$B$8),ISNUMBER('Inputs'!$B$6),ISNUMBER('Inputs'!$B$7),ISNUMBER('Inputs'!$B$8),ISNUMBER('Inputs'!$B$9),ISNUMBER('Inputs'!$B$10),ISNUMBER('Inputs'!$B$21),ISNUMBER('Inputs'!$B$24),ISNUMBER('Inputs'!$B$28)),((('Results'!C7*(1-'Inputs'!$B$24)*(0.5*((((450-43)*MAX('Inputs'!$B$33,'Inputs'!$B$29+'Inputs'!$B$31+'Inputs'!$B$32,'Inputs'!$B$30+'Inputs'!$B$31+'Inputs'!$B$32)/1000+'Inputs'!$B$21)+'Inputs'!$B$9)/SQRT((((450-43)*MAX('Inputs'!$B$33,'Inputs'!$B$29+'Inputs'!$B$31+'Inputs'!$B$32,'Inputs'!$B$30+'Inputs'!$B$31+'Inputs'!$B$32)/1000+'Inputs'!$B$21)+'Inputs'!$B$9)^2+('Inputs'!$B$8/2)^2)-(((450-43)*MAX('Inputs'!$B$33,'Inputs'!$B$29+'Inputs'!$B$31+'Inputs'!$B$32,'Inputs'!$B$30+'Inputs'!$B$31+'Inputs'!$B$32)/1000+'Inputs'!$B$21))/SQRT((((450-43)*MAX('Inputs'!$B$33,'Inputs'!$B$29+'Inputs'!$B$31+'Inputs'!$B$32,'Inputs'!$B$30+'Inputs'!$B$31+'Inputs'!$B$32)/1000+'Inputs'!$B$21))^2+('Inputs'!$B$8/2)^2)))-'Results'!B7*(1+'Inputs'!$B$24)*(0.5*((((450-43)*MAX('Inputs'!$B$33,'Inputs'!$B$29+'Inputs'!$B$31+'Inputs'!$B$32,'Inputs'!$B$30+'Inputs'!$B$31+'Inputs'!$B$32)/1000+'Inputs'!$B$21+'Inputs'!$B$9+'Inputs'!$B$10)+'Inputs'!$B$7)/SQRT((((450-43)*MAX('Inputs'!$B$33,'Inputs'!$B$29+'Inputs'!$B$31+'Inputs'!$B$32,'Inputs'!$B$30+'Inputs'!$B$31+'Inputs'!$B$32)/1000+'Inputs'!$B$21+'Inputs'!$B$9+'Inputs'!$B$10)+'Inputs'!$B$7)^2+('Inputs'!$B$6/2)^2)-(((450-43)*MAX('Inputs'!$B$33,'Inputs'!$B$29+'Inputs'!$B$31+'Inputs'!$B$32,'Inputs'!$B$30+'Inputs'!$B$31+'Inputs'!$B$32)/1000+'Inputs'!$B$21+'Inputs'!$B$9+'Inputs'!$B$10))/SQRT((((450-43)*MAX('Inputs'!$B$33,'Inputs'!$B$29+'Inputs'!$B$31+'Inputs'!$B$32,'Inputs'!$B$30+'Inputs'!$B$31+'Inputs'!$B$32)/1000+'Inputs'!$B$21+'Inputs'!$B$9+'Inputs'!$B$10))^2+('Inputs'!$B$6/2)^2))))*'Results'!$B$8)-'Inputs'!$B$28*ABS((('Results'!C7*(1-'Inputs'!$B$24)*(0.5*((((450-43)*MAX('Inputs'!$B$33,'Inputs'!$B$29+'Inputs'!$B$31+'Inputs'!$B$32,'Inputs'!$B$30+'Inputs'!$B$31+'Inputs'!$B$32)/1000+'Inputs'!$B$21)+'Inputs'!$B$9)/SQRT((((450-43)*MAX('Inputs'!$B$33,'Inputs'!$B$29+'Inputs'!$B$31+'Inputs'!$B$32,'Inputs'!$B$30+'Inputs'!$B$31+'Inputs'!$B$32)/1000+'Inputs'!$B$21)+'Inputs'!$B$9)^2+('Inputs'!$B$8/2)^2)-(((450-43)*MAX('Inputs'!$B$33,'Inputs'!$B$29+'Inputs'!$B$31+'Inputs'!$B$32,'Inputs'!$B$30+'Inputs'!$B$31+'Inputs'!$B$32)/1000+'Inputs'!$B$21))/SQRT((((450-43)*MAX('Inputs'!$B$33,'Inputs'!$B$29+'Inputs'!$B$31+'Inputs'!$B$32,'Inputs'!$B$30+'Inputs'!$B$31+'Inputs'!$B$32)/1000+'Inputs'!$B$21))^2+('Inputs'!$B$8/2)^2)))-'Results'!B7*(1+'Inputs'!$B$24)*(0.5*((((450-43)*MAX('Inputs'!$B$33,'Inputs'!$B$29+'Inputs'!$B$31+'Inputs'!$B$32,'Inputs'!$B$30+'Inputs'!$B$31+'Inputs'!$B$32)/1000+'Inputs'!$B$21+'Inputs'!$B$9+'Inputs'!$B$10)+'Inputs'!$B$7)/SQRT((((450-43)*MAX('Inputs'!$B$33,'Inputs'!$B$29+'Inputs'!$B$31+'Inputs'!$B$32,'Inputs'!$B$30+'Inputs'!$B$31+'Inputs'!$B$32)/1000+'Inputs'!$B$21+'Inputs'!$B$9+'Inputs'!$B$10)+'Inputs'!$B$7)^2+('Inputs'!$B$6/2)^2)-(((450-43)*MAX('Inputs'!$B$33,'Inputs'!$B$29+'Inputs'!$B$31+'Inputs'!$B$32,'Inputs'!$B$30+'Inputs'!$B$31+'Inputs'!$B$32)/1000+'Inputs'!$B$21+'Inputs'!$B$9+'Inputs'!$B$10))/SQRT((((450-43)*MAX('Inputs'!$B$33,'Inputs'!$B$29+'Inputs'!$B$31+'Inputs'!$B$32,'Inputs'!$B$30+'Inputs'!$B$31+'Inputs'!$B$32)/1000+'Inputs'!$B$21+'Inputs'!$B$9+'Inputs'!$B$10))^2+('Inputs'!$B$6/2)^2))))*'Results'!$B$8))),"")</x:f>
        <x:v>7.010197851890882</x:v>
      </x:c>
      <x:c r="O450" t="n">
        <x:f>IF(AND(ISNUMBER('Results'!C7),ISNUMBER('Results'!B7),ISNUMBER('Results'!$B$8),ISNUMBER('Inputs'!$B$6),ISNUMBER('Inputs'!$B$7),ISNUMBER('Inputs'!$B$8),ISNUMBER('Inputs'!$B$9),ISNUMBER('Inputs'!$B$10),ISNUMBER('Inputs'!$B$21),ISNUMBER('Inputs'!$B$24),ISNUMBER('Inputs'!$B$28)),((('Results'!C7*(1+'Inputs'!$B$24)*(0.5*((((450-43)*MAX('Inputs'!$B$33,'Inputs'!$B$29+'Inputs'!$B$31+'Inputs'!$B$32,'Inputs'!$B$30+'Inputs'!$B$31+'Inputs'!$B$32)/1000+'Inputs'!$B$21)+'Inputs'!$B$9)/SQRT((((450-43)*MAX('Inputs'!$B$33,'Inputs'!$B$29+'Inputs'!$B$31+'Inputs'!$B$32,'Inputs'!$B$30+'Inputs'!$B$31+'Inputs'!$B$32)/1000+'Inputs'!$B$21)+'Inputs'!$B$9)^2+('Inputs'!$B$8/2)^2)-(((450-43)*MAX('Inputs'!$B$33,'Inputs'!$B$29+'Inputs'!$B$31+'Inputs'!$B$32,'Inputs'!$B$30+'Inputs'!$B$31+'Inputs'!$B$32)/1000+'Inputs'!$B$21))/SQRT((((450-43)*MAX('Inputs'!$B$33,'Inputs'!$B$29+'Inputs'!$B$31+'Inputs'!$B$32,'Inputs'!$B$30+'Inputs'!$B$31+'Inputs'!$B$32)/1000+'Inputs'!$B$21))^2+('Inputs'!$B$8/2)^2)))-'Results'!B7*(1-'Inputs'!$B$24)*(0.5*((((450-43)*MAX('Inputs'!$B$33,'Inputs'!$B$29+'Inputs'!$B$31+'Inputs'!$B$32,'Inputs'!$B$30+'Inputs'!$B$31+'Inputs'!$B$32)/1000+'Inputs'!$B$21+'Inputs'!$B$9+'Inputs'!$B$10)+'Inputs'!$B$7)/SQRT((((450-43)*MAX('Inputs'!$B$33,'Inputs'!$B$29+'Inputs'!$B$31+'Inputs'!$B$32,'Inputs'!$B$30+'Inputs'!$B$31+'Inputs'!$B$32)/1000+'Inputs'!$B$21+'Inputs'!$B$9+'Inputs'!$B$10)+'Inputs'!$B$7)^2+('Inputs'!$B$6/2)^2)-(((450-43)*MAX('Inputs'!$B$33,'Inputs'!$B$29+'Inputs'!$B$31+'Inputs'!$B$32,'Inputs'!$B$30+'Inputs'!$B$31+'Inputs'!$B$32)/1000+'Inputs'!$B$21+'Inputs'!$B$9+'Inputs'!$B$10))/SQRT((((450-43)*MAX('Inputs'!$B$33,'Inputs'!$B$29+'Inputs'!$B$31+'Inputs'!$B$32,'Inputs'!$B$30+'Inputs'!$B$31+'Inputs'!$B$32)/1000+'Inputs'!$B$21+'Inputs'!$B$9+'Inputs'!$B$10))^2+('Inputs'!$B$6/2)^2))))*'Results'!$B$8)+'Inputs'!$B$28*ABS((('Results'!C7*(1+'Inputs'!$B$24)*(0.5*((((450-43)*MAX('Inputs'!$B$33,'Inputs'!$B$29+'Inputs'!$B$31+'Inputs'!$B$32,'Inputs'!$B$30+'Inputs'!$B$31+'Inputs'!$B$32)/1000+'Inputs'!$B$21)+'Inputs'!$B$9)/SQRT((((450-43)*MAX('Inputs'!$B$33,'Inputs'!$B$29+'Inputs'!$B$31+'Inputs'!$B$32,'Inputs'!$B$30+'Inputs'!$B$31+'Inputs'!$B$32)/1000+'Inputs'!$B$21)+'Inputs'!$B$9)^2+('Inputs'!$B$8/2)^2)-(((450-43)*MAX('Inputs'!$B$33,'Inputs'!$B$29+'Inputs'!$B$31+'Inputs'!$B$32,'Inputs'!$B$30+'Inputs'!$B$31+'Inputs'!$B$32)/1000+'Inputs'!$B$21))/SQRT((((450-43)*MAX('Inputs'!$B$33,'Inputs'!$B$29+'Inputs'!$B$31+'Inputs'!$B$32,'Inputs'!$B$30+'Inputs'!$B$31+'Inputs'!$B$32)/1000+'Inputs'!$B$21))^2+('Inputs'!$B$8/2)^2)))-'Results'!B7*(1-'Inputs'!$B$24)*(0.5*((((450-43)*MAX('Inputs'!$B$33,'Inputs'!$B$29+'Inputs'!$B$31+'Inputs'!$B$32,'Inputs'!$B$30+'Inputs'!$B$31+'Inputs'!$B$32)/1000+'Inputs'!$B$21+'Inputs'!$B$9+'Inputs'!$B$10)+'Inputs'!$B$7)/SQRT((((450-43)*MAX('Inputs'!$B$33,'Inputs'!$B$29+'Inputs'!$B$31+'Inputs'!$B$32,'Inputs'!$B$30+'Inputs'!$B$31+'Inputs'!$B$32)/1000+'Inputs'!$B$21+'Inputs'!$B$9+'Inputs'!$B$10)+'Inputs'!$B$7)^2+('Inputs'!$B$6/2)^2)-(((450-43)*MAX('Inputs'!$B$33,'Inputs'!$B$29+'Inputs'!$B$31+'Inputs'!$B$32,'Inputs'!$B$30+'Inputs'!$B$31+'Inputs'!$B$32)/1000+'Inputs'!$B$21+'Inputs'!$B$9+'Inputs'!$B$10))/SQRT((((450-43)*MAX('Inputs'!$B$33,'Inputs'!$B$29+'Inputs'!$B$31+'Inputs'!$B$32,'Inputs'!$B$30+'Inputs'!$B$31+'Inputs'!$B$32)/1000+'Inputs'!$B$21+'Inputs'!$B$9+'Inputs'!$B$10))^2+('Inputs'!$B$6/2)^2))))*'Results'!$B$8))),"")</x:f>
        <x:v>8.761841287714207</x:v>
      </x:c>
      <x:c r="P450" t="n">
        <x:f>IF(AND(MAX(J450,J449)&gt;0,J450&gt;J449+0.00000001),1,0)</x:f>
        <x:v>0</x:v>
      </x:c>
      <x:c r="Q450" t="n">
        <x:f>IF(AND(MAX(K450,K449)&gt;0,K450&gt;K449+0.00000001),1,0)</x:f>
        <x:v>0</x:v>
      </x:c>
      <x:c r="R450" t="n">
        <x:f>IF(AND(MAX(L450,L449)&gt;0,L450&gt;L449+0.00000001),1,0)</x:f>
        <x:v>0</x:v>
      </x:c>
      <x:c r="S450" t="n">
        <x:f>IF(AND(MAX(M450,M449)&gt;0,M450&gt;M449+0.00000001),1,0)</x:f>
        <x:v>0</x:v>
      </x:c>
      <x:c r="T450" t="n">
        <x:f>IF(AND(MAX(N450,N449)&gt;0,N450&gt;N449+0.00000001),1,0)</x:f>
        <x:v>0</x:v>
      </x:c>
      <x:c r="U450" t="n">
        <x:f>IF(AND(MAX(O450,O449)&gt;0,O450&gt;O449+0.00000001),1,0)</x:f>
        <x:v>0</x:v>
      </x:c>
    </x:row>
    <x:row r="451">
      <x:c r="J451" t="n">
        <x:f>IF(AND(ISNUMBER('Results'!B7),ISNUMBER('Results'!C7),ISNUMBER('Results'!$B$8),ISNUMBER('Inputs'!$B$6),ISNUMBER('Inputs'!$B$7),ISNUMBER('Inputs'!$B$8),ISNUMBER('Inputs'!$B$9),ISNUMBER('Inputs'!$B$10),ISNUMBER('Inputs'!$B$21),ISNUMBER('Inputs'!$B$24),ISNUMBER('Inputs'!$B$28)),(('Results'!B7*(0.5*((((451-43)*MAX('Inputs'!$B$33,'Inputs'!$B$29+'Inputs'!$B$31+'Inputs'!$B$32,'Inputs'!$B$30+'Inputs'!$B$31+'Inputs'!$B$32)/1000+'Inputs'!$B$21)+'Inputs'!$B$7)/SQRT((((451-43)*MAX('Inputs'!$B$33,'Inputs'!$B$29+'Inputs'!$B$31+'Inputs'!$B$32,'Inputs'!$B$30+'Inputs'!$B$31+'Inputs'!$B$32)/1000+'Inputs'!$B$21)+'Inputs'!$B$7)^2+('Inputs'!$B$6/2)^2)-(((451-43)*MAX('Inputs'!$B$33,'Inputs'!$B$29+'Inputs'!$B$31+'Inputs'!$B$32,'Inputs'!$B$30+'Inputs'!$B$31+'Inputs'!$B$32)/1000+'Inputs'!$B$21))/SQRT((((451-43)*MAX('Inputs'!$B$33,'Inputs'!$B$29+'Inputs'!$B$31+'Inputs'!$B$32,'Inputs'!$B$30+'Inputs'!$B$31+'Inputs'!$B$32)/1000+'Inputs'!$B$21))^2+('Inputs'!$B$6/2)^2)))-'Results'!C7*(0.5*((((451-43)*MAX('Inputs'!$B$33,'Inputs'!$B$29+'Inputs'!$B$31+'Inputs'!$B$32,'Inputs'!$B$30+'Inputs'!$B$31+'Inputs'!$B$32)/1000+'Inputs'!$B$21+'Inputs'!$B$7+'Inputs'!$B$10)+'Inputs'!$B$9)/SQRT((((451-43)*MAX('Inputs'!$B$33,'Inputs'!$B$29+'Inputs'!$B$31+'Inputs'!$B$32,'Inputs'!$B$30+'Inputs'!$B$31+'Inputs'!$B$32)/1000+'Inputs'!$B$21+'Inputs'!$B$7+'Inputs'!$B$10)+'Inputs'!$B$9)^2+('Inputs'!$B$8/2)^2)-(((451-43)*MAX('Inputs'!$B$33,'Inputs'!$B$29+'Inputs'!$B$31+'Inputs'!$B$32,'Inputs'!$B$30+'Inputs'!$B$31+'Inputs'!$B$32)/1000+'Inputs'!$B$21+'Inputs'!$B$7+'Inputs'!$B$10))/SQRT((((451-43)*MAX('Inputs'!$B$33,'Inputs'!$B$29+'Inputs'!$B$31+'Inputs'!$B$32,'Inputs'!$B$30+'Inputs'!$B$31+'Inputs'!$B$32)/1000+'Inputs'!$B$21+'Inputs'!$B$7+'Inputs'!$B$10))^2+('Inputs'!$B$8/2)^2))))*'Results'!$B$8),"")</x:f>
        <x:v>8.283614105373953</x:v>
      </x:c>
      <x:c r="K451" t="n">
        <x:f>IF(AND(ISNUMBER('Results'!B7),ISNUMBER('Results'!C7),ISNUMBER('Results'!$B$8),ISNUMBER('Inputs'!$B$6),ISNUMBER('Inputs'!$B$7),ISNUMBER('Inputs'!$B$8),ISNUMBER('Inputs'!$B$9),ISNUMBER('Inputs'!$B$10),ISNUMBER('Inputs'!$B$21),ISNUMBER('Inputs'!$B$24),ISNUMBER('Inputs'!$B$28)),((('Results'!B7*(1-'Inputs'!$B$24)*(0.5*((((451-43)*MAX('Inputs'!$B$33,'Inputs'!$B$29+'Inputs'!$B$31+'Inputs'!$B$32,'Inputs'!$B$30+'Inputs'!$B$31+'Inputs'!$B$32)/1000+'Inputs'!$B$21)+'Inputs'!$B$7)/SQRT((((451-43)*MAX('Inputs'!$B$33,'Inputs'!$B$29+'Inputs'!$B$31+'Inputs'!$B$32,'Inputs'!$B$30+'Inputs'!$B$31+'Inputs'!$B$32)/1000+'Inputs'!$B$21)+'Inputs'!$B$7)^2+('Inputs'!$B$6/2)^2)-(((451-43)*MAX('Inputs'!$B$33,'Inputs'!$B$29+'Inputs'!$B$31+'Inputs'!$B$32,'Inputs'!$B$30+'Inputs'!$B$31+'Inputs'!$B$32)/1000+'Inputs'!$B$21))/SQRT((((451-43)*MAX('Inputs'!$B$33,'Inputs'!$B$29+'Inputs'!$B$31+'Inputs'!$B$32,'Inputs'!$B$30+'Inputs'!$B$31+'Inputs'!$B$32)/1000+'Inputs'!$B$21))^2+('Inputs'!$B$6/2)^2)))-'Results'!C7*(1+'Inputs'!$B$24)*(0.5*((((451-43)*MAX('Inputs'!$B$33,'Inputs'!$B$29+'Inputs'!$B$31+'Inputs'!$B$32,'Inputs'!$B$30+'Inputs'!$B$31+'Inputs'!$B$32)/1000+'Inputs'!$B$21+'Inputs'!$B$7+'Inputs'!$B$10)+'Inputs'!$B$9)/SQRT((((451-43)*MAX('Inputs'!$B$33,'Inputs'!$B$29+'Inputs'!$B$31+'Inputs'!$B$32,'Inputs'!$B$30+'Inputs'!$B$31+'Inputs'!$B$32)/1000+'Inputs'!$B$21+'Inputs'!$B$7+'Inputs'!$B$10)+'Inputs'!$B$9)^2+('Inputs'!$B$8/2)^2)-(((451-43)*MAX('Inputs'!$B$33,'Inputs'!$B$29+'Inputs'!$B$31+'Inputs'!$B$32,'Inputs'!$B$30+'Inputs'!$B$31+'Inputs'!$B$32)/1000+'Inputs'!$B$21+'Inputs'!$B$7+'Inputs'!$B$10))/SQRT((((451-43)*MAX('Inputs'!$B$33,'Inputs'!$B$29+'Inputs'!$B$31+'Inputs'!$B$32,'Inputs'!$B$30+'Inputs'!$B$31+'Inputs'!$B$32)/1000+'Inputs'!$B$21+'Inputs'!$B$7+'Inputs'!$B$10))^2+('Inputs'!$B$8/2)^2))))*'Results'!$B$8)-'Inputs'!$B$28*ABS((('Results'!B7*(1-'Inputs'!$B$24)*(0.5*((((451-43)*MAX('Inputs'!$B$33,'Inputs'!$B$29+'Inputs'!$B$31+'Inputs'!$B$32,'Inputs'!$B$30+'Inputs'!$B$31+'Inputs'!$B$32)/1000+'Inputs'!$B$21)+'Inputs'!$B$7)/SQRT((((451-43)*MAX('Inputs'!$B$33,'Inputs'!$B$29+'Inputs'!$B$31+'Inputs'!$B$32,'Inputs'!$B$30+'Inputs'!$B$31+'Inputs'!$B$32)/1000+'Inputs'!$B$21)+'Inputs'!$B$7)^2+('Inputs'!$B$6/2)^2)-(((451-43)*MAX('Inputs'!$B$33,'Inputs'!$B$29+'Inputs'!$B$31+'Inputs'!$B$32,'Inputs'!$B$30+'Inputs'!$B$31+'Inputs'!$B$32)/1000+'Inputs'!$B$21))/SQRT((((451-43)*MAX('Inputs'!$B$33,'Inputs'!$B$29+'Inputs'!$B$31+'Inputs'!$B$32,'Inputs'!$B$30+'Inputs'!$B$31+'Inputs'!$B$32)/1000+'Inputs'!$B$21))^2+('Inputs'!$B$6/2)^2)))-'Results'!C7*(1+'Inputs'!$B$24)*(0.5*((((451-43)*MAX('Inputs'!$B$33,'Inputs'!$B$29+'Inputs'!$B$31+'Inputs'!$B$32,'Inputs'!$B$30+'Inputs'!$B$31+'Inputs'!$B$32)/1000+'Inputs'!$B$21+'Inputs'!$B$7+'Inputs'!$B$10)+'Inputs'!$B$9)/SQRT((((451-43)*MAX('Inputs'!$B$33,'Inputs'!$B$29+'Inputs'!$B$31+'Inputs'!$B$32,'Inputs'!$B$30+'Inputs'!$B$31+'Inputs'!$B$32)/1000+'Inputs'!$B$21+'Inputs'!$B$7+'Inputs'!$B$10)+'Inputs'!$B$9)^2+('Inputs'!$B$8/2)^2)-(((451-43)*MAX('Inputs'!$B$33,'Inputs'!$B$29+'Inputs'!$B$31+'Inputs'!$B$32,'Inputs'!$B$30+'Inputs'!$B$31+'Inputs'!$B$32)/1000+'Inputs'!$B$21+'Inputs'!$B$7+'Inputs'!$B$10))/SQRT((((451-43)*MAX('Inputs'!$B$33,'Inputs'!$B$29+'Inputs'!$B$31+'Inputs'!$B$32,'Inputs'!$B$30+'Inputs'!$B$31+'Inputs'!$B$32)/1000+'Inputs'!$B$21+'Inputs'!$B$7+'Inputs'!$B$10))^2+('Inputs'!$B$8/2)^2))))*'Results'!$B$8))),"")</x:f>
        <x:v>7.410653895911499</x:v>
      </x:c>
      <x:c r="L451" t="n">
        <x:f>IF(AND(ISNUMBER('Results'!B7),ISNUMBER('Results'!C7),ISNUMBER('Results'!$B$8),ISNUMBER('Inputs'!$B$6),ISNUMBER('Inputs'!$B$7),ISNUMBER('Inputs'!$B$8),ISNUMBER('Inputs'!$B$9),ISNUMBER('Inputs'!$B$10),ISNUMBER('Inputs'!$B$21),ISNUMBER('Inputs'!$B$24),ISNUMBER('Inputs'!$B$28)),((('Results'!B7*(1+'Inputs'!$B$24)*(0.5*((((451-43)*MAX('Inputs'!$B$33,'Inputs'!$B$29+'Inputs'!$B$31+'Inputs'!$B$32,'Inputs'!$B$30+'Inputs'!$B$31+'Inputs'!$B$32)/1000+'Inputs'!$B$21)+'Inputs'!$B$7)/SQRT((((451-43)*MAX('Inputs'!$B$33,'Inputs'!$B$29+'Inputs'!$B$31+'Inputs'!$B$32,'Inputs'!$B$30+'Inputs'!$B$31+'Inputs'!$B$32)/1000+'Inputs'!$B$21)+'Inputs'!$B$7)^2+('Inputs'!$B$6/2)^2)-(((451-43)*MAX('Inputs'!$B$33,'Inputs'!$B$29+'Inputs'!$B$31+'Inputs'!$B$32,'Inputs'!$B$30+'Inputs'!$B$31+'Inputs'!$B$32)/1000+'Inputs'!$B$21))/SQRT((((451-43)*MAX('Inputs'!$B$33,'Inputs'!$B$29+'Inputs'!$B$31+'Inputs'!$B$32,'Inputs'!$B$30+'Inputs'!$B$31+'Inputs'!$B$32)/1000+'Inputs'!$B$21))^2+('Inputs'!$B$6/2)^2)))-'Results'!C7*(1-'Inputs'!$B$24)*(0.5*((((451-43)*MAX('Inputs'!$B$33,'Inputs'!$B$29+'Inputs'!$B$31+'Inputs'!$B$32,'Inputs'!$B$30+'Inputs'!$B$31+'Inputs'!$B$32)/1000+'Inputs'!$B$21+'Inputs'!$B$7+'Inputs'!$B$10)+'Inputs'!$B$9)/SQRT((((451-43)*MAX('Inputs'!$B$33,'Inputs'!$B$29+'Inputs'!$B$31+'Inputs'!$B$32,'Inputs'!$B$30+'Inputs'!$B$31+'Inputs'!$B$32)/1000+'Inputs'!$B$21+'Inputs'!$B$7+'Inputs'!$B$10)+'Inputs'!$B$9)^2+('Inputs'!$B$8/2)^2)-(((451-43)*MAX('Inputs'!$B$33,'Inputs'!$B$29+'Inputs'!$B$31+'Inputs'!$B$32,'Inputs'!$B$30+'Inputs'!$B$31+'Inputs'!$B$32)/1000+'Inputs'!$B$21+'Inputs'!$B$7+'Inputs'!$B$10))/SQRT((((451-43)*MAX('Inputs'!$B$33,'Inputs'!$B$29+'Inputs'!$B$31+'Inputs'!$B$32,'Inputs'!$B$30+'Inputs'!$B$31+'Inputs'!$B$32)/1000+'Inputs'!$B$21+'Inputs'!$B$7+'Inputs'!$B$10))^2+('Inputs'!$B$8/2)^2))))*'Results'!$B$8)+'Inputs'!$B$28*ABS((('Results'!B7*(1+'Inputs'!$B$24)*(0.5*((((451-43)*MAX('Inputs'!$B$33,'Inputs'!$B$29+'Inputs'!$B$31+'Inputs'!$B$32,'Inputs'!$B$30+'Inputs'!$B$31+'Inputs'!$B$32)/1000+'Inputs'!$B$21)+'Inputs'!$B$7)/SQRT((((451-43)*MAX('Inputs'!$B$33,'Inputs'!$B$29+'Inputs'!$B$31+'Inputs'!$B$32,'Inputs'!$B$30+'Inputs'!$B$31+'Inputs'!$B$32)/1000+'Inputs'!$B$21)+'Inputs'!$B$7)^2+('Inputs'!$B$6/2)^2)-(((451-43)*MAX('Inputs'!$B$33,'Inputs'!$B$29+'Inputs'!$B$31+'Inputs'!$B$32,'Inputs'!$B$30+'Inputs'!$B$31+'Inputs'!$B$32)/1000+'Inputs'!$B$21))/SQRT((((451-43)*MAX('Inputs'!$B$33,'Inputs'!$B$29+'Inputs'!$B$31+'Inputs'!$B$32,'Inputs'!$B$30+'Inputs'!$B$31+'Inputs'!$B$32)/1000+'Inputs'!$B$21))^2+('Inputs'!$B$6/2)^2)))-'Results'!C7*(1-'Inputs'!$B$24)*(0.5*((((451-43)*MAX('Inputs'!$B$33,'Inputs'!$B$29+'Inputs'!$B$31+'Inputs'!$B$32,'Inputs'!$B$30+'Inputs'!$B$31+'Inputs'!$B$32)/1000+'Inputs'!$B$21+'Inputs'!$B$7+'Inputs'!$B$10)+'Inputs'!$B$9)/SQRT((((451-43)*MAX('Inputs'!$B$33,'Inputs'!$B$29+'Inputs'!$B$31+'Inputs'!$B$32,'Inputs'!$B$30+'Inputs'!$B$31+'Inputs'!$B$32)/1000+'Inputs'!$B$21+'Inputs'!$B$7+'Inputs'!$B$10)+'Inputs'!$B$9)^2+('Inputs'!$B$8/2)^2)-(((451-43)*MAX('Inputs'!$B$33,'Inputs'!$B$29+'Inputs'!$B$31+'Inputs'!$B$32,'Inputs'!$B$30+'Inputs'!$B$31+'Inputs'!$B$32)/1000+'Inputs'!$B$21+'Inputs'!$B$7+'Inputs'!$B$10))/SQRT((((451-43)*MAX('Inputs'!$B$33,'Inputs'!$B$29+'Inputs'!$B$31+'Inputs'!$B$32,'Inputs'!$B$30+'Inputs'!$B$31+'Inputs'!$B$32)/1000+'Inputs'!$B$21+'Inputs'!$B$7+'Inputs'!$B$10))^2+('Inputs'!$B$8/2)^2))))*'Results'!$B$8))),"")</x:f>
        <x:v>9.204866894225221</x:v>
      </x:c>
      <x:c r="M451" t="n">
        <x:f>IF(AND(ISNUMBER('Results'!C7),ISNUMBER('Results'!B7),ISNUMBER('Results'!$B$8),ISNUMBER('Inputs'!$B$6),ISNUMBER('Inputs'!$B$7),ISNUMBER('Inputs'!$B$8),ISNUMBER('Inputs'!$B$9),ISNUMBER('Inputs'!$B$10),ISNUMBER('Inputs'!$B$21),ISNUMBER('Inputs'!$B$24),ISNUMBER('Inputs'!$B$28)),(('Results'!C7*(0.5*((((451-43)*MAX('Inputs'!$B$33,'Inputs'!$B$29+'Inputs'!$B$31+'Inputs'!$B$32,'Inputs'!$B$30+'Inputs'!$B$31+'Inputs'!$B$32)/1000+'Inputs'!$B$21)+'Inputs'!$B$9)/SQRT((((451-43)*MAX('Inputs'!$B$33,'Inputs'!$B$29+'Inputs'!$B$31+'Inputs'!$B$32,'Inputs'!$B$30+'Inputs'!$B$31+'Inputs'!$B$32)/1000+'Inputs'!$B$21)+'Inputs'!$B$9)^2+('Inputs'!$B$8/2)^2)-(((451-43)*MAX('Inputs'!$B$33,'Inputs'!$B$29+'Inputs'!$B$31+'Inputs'!$B$32,'Inputs'!$B$30+'Inputs'!$B$31+'Inputs'!$B$32)/1000+'Inputs'!$B$21))/SQRT((((451-43)*MAX('Inputs'!$B$33,'Inputs'!$B$29+'Inputs'!$B$31+'Inputs'!$B$32,'Inputs'!$B$30+'Inputs'!$B$31+'Inputs'!$B$32)/1000+'Inputs'!$B$21))^2+('Inputs'!$B$8/2)^2)))-'Results'!B7*(0.5*((((451-43)*MAX('Inputs'!$B$33,'Inputs'!$B$29+'Inputs'!$B$31+'Inputs'!$B$32,'Inputs'!$B$30+'Inputs'!$B$31+'Inputs'!$B$32)/1000+'Inputs'!$B$21+'Inputs'!$B$9+'Inputs'!$B$10)+'Inputs'!$B$7)/SQRT((((451-43)*MAX('Inputs'!$B$33,'Inputs'!$B$29+'Inputs'!$B$31+'Inputs'!$B$32,'Inputs'!$B$30+'Inputs'!$B$31+'Inputs'!$B$32)/1000+'Inputs'!$B$21+'Inputs'!$B$9+'Inputs'!$B$10)+'Inputs'!$B$7)^2+('Inputs'!$B$6/2)^2)-(((451-43)*MAX('Inputs'!$B$33,'Inputs'!$B$29+'Inputs'!$B$31+'Inputs'!$B$32,'Inputs'!$B$30+'Inputs'!$B$31+'Inputs'!$B$32)/1000+'Inputs'!$B$21+'Inputs'!$B$9+'Inputs'!$B$10))/SQRT((((451-43)*MAX('Inputs'!$B$33,'Inputs'!$B$29+'Inputs'!$B$31+'Inputs'!$B$32,'Inputs'!$B$30+'Inputs'!$B$31+'Inputs'!$B$32)/1000+'Inputs'!$B$21+'Inputs'!$B$9+'Inputs'!$B$10))^2+('Inputs'!$B$6/2)^2))))*'Results'!$B$8),"")</x:f>
        <x:v>7.797451030753334</x:v>
      </x:c>
      <x:c r="N451" t="n">
        <x:f>IF(AND(ISNUMBER('Results'!C7),ISNUMBER('Results'!B7),ISNUMBER('Results'!$B$8),ISNUMBER('Inputs'!$B$6),ISNUMBER('Inputs'!$B$7),ISNUMBER('Inputs'!$B$8),ISNUMBER('Inputs'!$B$9),ISNUMBER('Inputs'!$B$10),ISNUMBER('Inputs'!$B$21),ISNUMBER('Inputs'!$B$24),ISNUMBER('Inputs'!$B$28)),((('Results'!C7*(1-'Inputs'!$B$24)*(0.5*((((451-43)*MAX('Inputs'!$B$33,'Inputs'!$B$29+'Inputs'!$B$31+'Inputs'!$B$32,'Inputs'!$B$30+'Inputs'!$B$31+'Inputs'!$B$32)/1000+'Inputs'!$B$21)+'Inputs'!$B$9)/SQRT((((451-43)*MAX('Inputs'!$B$33,'Inputs'!$B$29+'Inputs'!$B$31+'Inputs'!$B$32,'Inputs'!$B$30+'Inputs'!$B$31+'Inputs'!$B$32)/1000+'Inputs'!$B$21)+'Inputs'!$B$9)^2+('Inputs'!$B$8/2)^2)-(((451-43)*MAX('Inputs'!$B$33,'Inputs'!$B$29+'Inputs'!$B$31+'Inputs'!$B$32,'Inputs'!$B$30+'Inputs'!$B$31+'Inputs'!$B$32)/1000+'Inputs'!$B$21))/SQRT((((451-43)*MAX('Inputs'!$B$33,'Inputs'!$B$29+'Inputs'!$B$31+'Inputs'!$B$32,'Inputs'!$B$30+'Inputs'!$B$31+'Inputs'!$B$32)/1000+'Inputs'!$B$21))^2+('Inputs'!$B$8/2)^2)))-'Results'!B7*(1+'Inputs'!$B$24)*(0.5*((((451-43)*MAX('Inputs'!$B$33,'Inputs'!$B$29+'Inputs'!$B$31+'Inputs'!$B$32,'Inputs'!$B$30+'Inputs'!$B$31+'Inputs'!$B$32)/1000+'Inputs'!$B$21+'Inputs'!$B$9+'Inputs'!$B$10)+'Inputs'!$B$7)/SQRT((((451-43)*MAX('Inputs'!$B$33,'Inputs'!$B$29+'Inputs'!$B$31+'Inputs'!$B$32,'Inputs'!$B$30+'Inputs'!$B$31+'Inputs'!$B$32)/1000+'Inputs'!$B$21+'Inputs'!$B$9+'Inputs'!$B$10)+'Inputs'!$B$7)^2+('Inputs'!$B$6/2)^2)-(((451-43)*MAX('Inputs'!$B$33,'Inputs'!$B$29+'Inputs'!$B$31+'Inputs'!$B$32,'Inputs'!$B$30+'Inputs'!$B$31+'Inputs'!$B$32)/1000+'Inputs'!$B$21+'Inputs'!$B$9+'Inputs'!$B$10))/SQRT((((451-43)*MAX('Inputs'!$B$33,'Inputs'!$B$29+'Inputs'!$B$31+'Inputs'!$B$32,'Inputs'!$B$30+'Inputs'!$B$31+'Inputs'!$B$32)/1000+'Inputs'!$B$21+'Inputs'!$B$9+'Inputs'!$B$10))^2+('Inputs'!$B$6/2)^2))))*'Results'!$B$8)-'Inputs'!$B$28*ABS((('Results'!C7*(1-'Inputs'!$B$24)*(0.5*((((451-43)*MAX('Inputs'!$B$33,'Inputs'!$B$29+'Inputs'!$B$31+'Inputs'!$B$32,'Inputs'!$B$30+'Inputs'!$B$31+'Inputs'!$B$32)/1000+'Inputs'!$B$21)+'Inputs'!$B$9)/SQRT((((451-43)*MAX('Inputs'!$B$33,'Inputs'!$B$29+'Inputs'!$B$31+'Inputs'!$B$32,'Inputs'!$B$30+'Inputs'!$B$31+'Inputs'!$B$32)/1000+'Inputs'!$B$21)+'Inputs'!$B$9)^2+('Inputs'!$B$8/2)^2)-(((451-43)*MAX('Inputs'!$B$33,'Inputs'!$B$29+'Inputs'!$B$31+'Inputs'!$B$32,'Inputs'!$B$30+'Inputs'!$B$31+'Inputs'!$B$32)/1000+'Inputs'!$B$21))/SQRT((((451-43)*MAX('Inputs'!$B$33,'Inputs'!$B$29+'Inputs'!$B$31+'Inputs'!$B$32,'Inputs'!$B$30+'Inputs'!$B$31+'Inputs'!$B$32)/1000+'Inputs'!$B$21))^2+('Inputs'!$B$8/2)^2)))-'Results'!B7*(1+'Inputs'!$B$24)*(0.5*((((451-43)*MAX('Inputs'!$B$33,'Inputs'!$B$29+'Inputs'!$B$31+'Inputs'!$B$32,'Inputs'!$B$30+'Inputs'!$B$31+'Inputs'!$B$32)/1000+'Inputs'!$B$21+'Inputs'!$B$9+'Inputs'!$B$10)+'Inputs'!$B$7)/SQRT((((451-43)*MAX('Inputs'!$B$33,'Inputs'!$B$29+'Inputs'!$B$31+'Inputs'!$B$32,'Inputs'!$B$30+'Inputs'!$B$31+'Inputs'!$B$32)/1000+'Inputs'!$B$21+'Inputs'!$B$9+'Inputs'!$B$10)+'Inputs'!$B$7)^2+('Inputs'!$B$6/2)^2)-(((451-43)*MAX('Inputs'!$B$33,'Inputs'!$B$29+'Inputs'!$B$31+'Inputs'!$B$32,'Inputs'!$B$30+'Inputs'!$B$31+'Inputs'!$B$32)/1000+'Inputs'!$B$21+'Inputs'!$B$9+'Inputs'!$B$10))/SQRT((((451-43)*MAX('Inputs'!$B$33,'Inputs'!$B$29+'Inputs'!$B$31+'Inputs'!$B$32,'Inputs'!$B$30+'Inputs'!$B$31+'Inputs'!$B$32)/1000+'Inputs'!$B$21+'Inputs'!$B$9+'Inputs'!$B$10))^2+('Inputs'!$B$6/2)^2))))*'Results'!$B$8))),"")</x:f>
        <x:v>6.95188524004804</x:v>
      </x:c>
      <x:c r="O451" t="n">
        <x:f>IF(AND(ISNUMBER('Results'!C7),ISNUMBER('Results'!B7),ISNUMBER('Results'!$B$8),ISNUMBER('Inputs'!$B$6),ISNUMBER('Inputs'!$B$7),ISNUMBER('Inputs'!$B$8),ISNUMBER('Inputs'!$B$9),ISNUMBER('Inputs'!$B$10),ISNUMBER('Inputs'!$B$21),ISNUMBER('Inputs'!$B$24),ISNUMBER('Inputs'!$B$28)),((('Results'!C7*(1+'Inputs'!$B$24)*(0.5*((((451-43)*MAX('Inputs'!$B$33,'Inputs'!$B$29+'Inputs'!$B$31+'Inputs'!$B$32,'Inputs'!$B$30+'Inputs'!$B$31+'Inputs'!$B$32)/1000+'Inputs'!$B$21)+'Inputs'!$B$9)/SQRT((((451-43)*MAX('Inputs'!$B$33,'Inputs'!$B$29+'Inputs'!$B$31+'Inputs'!$B$32,'Inputs'!$B$30+'Inputs'!$B$31+'Inputs'!$B$32)/1000+'Inputs'!$B$21)+'Inputs'!$B$9)^2+('Inputs'!$B$8/2)^2)-(((451-43)*MAX('Inputs'!$B$33,'Inputs'!$B$29+'Inputs'!$B$31+'Inputs'!$B$32,'Inputs'!$B$30+'Inputs'!$B$31+'Inputs'!$B$32)/1000+'Inputs'!$B$21))/SQRT((((451-43)*MAX('Inputs'!$B$33,'Inputs'!$B$29+'Inputs'!$B$31+'Inputs'!$B$32,'Inputs'!$B$30+'Inputs'!$B$31+'Inputs'!$B$32)/1000+'Inputs'!$B$21))^2+('Inputs'!$B$8/2)^2)))-'Results'!B7*(1-'Inputs'!$B$24)*(0.5*((((451-43)*MAX('Inputs'!$B$33,'Inputs'!$B$29+'Inputs'!$B$31+'Inputs'!$B$32,'Inputs'!$B$30+'Inputs'!$B$31+'Inputs'!$B$32)/1000+'Inputs'!$B$21+'Inputs'!$B$9+'Inputs'!$B$10)+'Inputs'!$B$7)/SQRT((((451-43)*MAX('Inputs'!$B$33,'Inputs'!$B$29+'Inputs'!$B$31+'Inputs'!$B$32,'Inputs'!$B$30+'Inputs'!$B$31+'Inputs'!$B$32)/1000+'Inputs'!$B$21+'Inputs'!$B$9+'Inputs'!$B$10)+'Inputs'!$B$7)^2+('Inputs'!$B$6/2)^2)-(((451-43)*MAX('Inputs'!$B$33,'Inputs'!$B$29+'Inputs'!$B$31+'Inputs'!$B$32,'Inputs'!$B$30+'Inputs'!$B$31+'Inputs'!$B$32)/1000+'Inputs'!$B$21+'Inputs'!$B$9+'Inputs'!$B$10))/SQRT((((451-43)*MAX('Inputs'!$B$33,'Inputs'!$B$29+'Inputs'!$B$31+'Inputs'!$B$32,'Inputs'!$B$30+'Inputs'!$B$31+'Inputs'!$B$32)/1000+'Inputs'!$B$21+'Inputs'!$B$9+'Inputs'!$B$10))^2+('Inputs'!$B$6/2)^2))))*'Results'!$B$8)+'Inputs'!$B$28*ABS((('Results'!C7*(1+'Inputs'!$B$24)*(0.5*((((451-43)*MAX('Inputs'!$B$33,'Inputs'!$B$29+'Inputs'!$B$31+'Inputs'!$B$32,'Inputs'!$B$30+'Inputs'!$B$31+'Inputs'!$B$32)/1000+'Inputs'!$B$21)+'Inputs'!$B$9)/SQRT((((451-43)*MAX('Inputs'!$B$33,'Inputs'!$B$29+'Inputs'!$B$31+'Inputs'!$B$32,'Inputs'!$B$30+'Inputs'!$B$31+'Inputs'!$B$32)/1000+'Inputs'!$B$21)+'Inputs'!$B$9)^2+('Inputs'!$B$8/2)^2)-(((451-43)*MAX('Inputs'!$B$33,'Inputs'!$B$29+'Inputs'!$B$31+'Inputs'!$B$32,'Inputs'!$B$30+'Inputs'!$B$31+'Inputs'!$B$32)/1000+'Inputs'!$B$21))/SQRT((((451-43)*MAX('Inputs'!$B$33,'Inputs'!$B$29+'Inputs'!$B$31+'Inputs'!$B$32,'Inputs'!$B$30+'Inputs'!$B$31+'Inputs'!$B$32)/1000+'Inputs'!$B$21))^2+('Inputs'!$B$8/2)^2)))-'Results'!B7*(1-'Inputs'!$B$24)*(0.5*((((451-43)*MAX('Inputs'!$B$33,'Inputs'!$B$29+'Inputs'!$B$31+'Inputs'!$B$32,'Inputs'!$B$30+'Inputs'!$B$31+'Inputs'!$B$32)/1000+'Inputs'!$B$21+'Inputs'!$B$9+'Inputs'!$B$10)+'Inputs'!$B$7)/SQRT((((451-43)*MAX('Inputs'!$B$33,'Inputs'!$B$29+'Inputs'!$B$31+'Inputs'!$B$32,'Inputs'!$B$30+'Inputs'!$B$31+'Inputs'!$B$32)/1000+'Inputs'!$B$21+'Inputs'!$B$9+'Inputs'!$B$10)+'Inputs'!$B$7)^2+('Inputs'!$B$6/2)^2)-(((451-43)*MAX('Inputs'!$B$33,'Inputs'!$B$29+'Inputs'!$B$31+'Inputs'!$B$32,'Inputs'!$B$30+'Inputs'!$B$31+'Inputs'!$B$32)/1000+'Inputs'!$B$21+'Inputs'!$B$9+'Inputs'!$B$10))/SQRT((((451-43)*MAX('Inputs'!$B$33,'Inputs'!$B$29+'Inputs'!$B$31+'Inputs'!$B$32,'Inputs'!$B$30+'Inputs'!$B$31+'Inputs'!$B$32)/1000+'Inputs'!$B$21+'Inputs'!$B$9+'Inputs'!$B$10))^2+('Inputs'!$B$6/2)^2))))*'Results'!$B$8))),"")</x:f>
        <x:v>8.690984530844698</x:v>
      </x:c>
      <x:c r="P451" t="n">
        <x:f>IF(AND(MAX(J451,J450)&gt;0,J451&gt;J450+0.00000001),1,0)</x:f>
        <x:v>0</x:v>
      </x:c>
      <x:c r="Q451" t="n">
        <x:f>IF(AND(MAX(K451,K450)&gt;0,K451&gt;K450+0.00000001),1,0)</x:f>
        <x:v>0</x:v>
      </x:c>
      <x:c r="R451" t="n">
        <x:f>IF(AND(MAX(L451,L450)&gt;0,L451&gt;L450+0.00000001),1,0)</x:f>
        <x:v>0</x:v>
      </x:c>
      <x:c r="S451" t="n">
        <x:f>IF(AND(MAX(M451,M450)&gt;0,M451&gt;M450+0.00000001),1,0)</x:f>
        <x:v>0</x:v>
      </x:c>
      <x:c r="T451" t="n">
        <x:f>IF(AND(MAX(N451,N450)&gt;0,N451&gt;N450+0.00000001),1,0)</x:f>
        <x:v>0</x:v>
      </x:c>
      <x:c r="U451" t="n">
        <x:f>IF(AND(MAX(O451,O450)&gt;0,O451&gt;O450+0.00000001),1,0)</x:f>
        <x:v>0</x:v>
      </x:c>
    </x:row>
    <x:row r="452">
      <x:c r="J452" t="n">
        <x:f>IF(AND(ISNUMBER('Results'!B7),ISNUMBER('Results'!C7),ISNUMBER('Results'!$B$8),ISNUMBER('Inputs'!$B$6),ISNUMBER('Inputs'!$B$7),ISNUMBER('Inputs'!$B$8),ISNUMBER('Inputs'!$B$9),ISNUMBER('Inputs'!$B$10),ISNUMBER('Inputs'!$B$21),ISNUMBER('Inputs'!$B$24),ISNUMBER('Inputs'!$B$28)),(('Results'!B7*(0.5*((((452-43)*MAX('Inputs'!$B$33,'Inputs'!$B$29+'Inputs'!$B$31+'Inputs'!$B$32,'Inputs'!$B$30+'Inputs'!$B$31+'Inputs'!$B$32)/1000+'Inputs'!$B$21)+'Inputs'!$B$7)/SQRT((((452-43)*MAX('Inputs'!$B$33,'Inputs'!$B$29+'Inputs'!$B$31+'Inputs'!$B$32,'Inputs'!$B$30+'Inputs'!$B$31+'Inputs'!$B$32)/1000+'Inputs'!$B$21)+'Inputs'!$B$7)^2+('Inputs'!$B$6/2)^2)-(((452-43)*MAX('Inputs'!$B$33,'Inputs'!$B$29+'Inputs'!$B$31+'Inputs'!$B$32,'Inputs'!$B$30+'Inputs'!$B$31+'Inputs'!$B$32)/1000+'Inputs'!$B$21))/SQRT((((452-43)*MAX('Inputs'!$B$33,'Inputs'!$B$29+'Inputs'!$B$31+'Inputs'!$B$32,'Inputs'!$B$30+'Inputs'!$B$31+'Inputs'!$B$32)/1000+'Inputs'!$B$21))^2+('Inputs'!$B$6/2)^2)))-'Results'!C7*(0.5*((((452-43)*MAX('Inputs'!$B$33,'Inputs'!$B$29+'Inputs'!$B$31+'Inputs'!$B$32,'Inputs'!$B$30+'Inputs'!$B$31+'Inputs'!$B$32)/1000+'Inputs'!$B$21+'Inputs'!$B$7+'Inputs'!$B$10)+'Inputs'!$B$9)/SQRT((((452-43)*MAX('Inputs'!$B$33,'Inputs'!$B$29+'Inputs'!$B$31+'Inputs'!$B$32,'Inputs'!$B$30+'Inputs'!$B$31+'Inputs'!$B$32)/1000+'Inputs'!$B$21+'Inputs'!$B$7+'Inputs'!$B$10)+'Inputs'!$B$9)^2+('Inputs'!$B$8/2)^2)-(((452-43)*MAX('Inputs'!$B$33,'Inputs'!$B$29+'Inputs'!$B$31+'Inputs'!$B$32,'Inputs'!$B$30+'Inputs'!$B$31+'Inputs'!$B$32)/1000+'Inputs'!$B$21+'Inputs'!$B$7+'Inputs'!$B$10))/SQRT((((452-43)*MAX('Inputs'!$B$33,'Inputs'!$B$29+'Inputs'!$B$31+'Inputs'!$B$32,'Inputs'!$B$30+'Inputs'!$B$31+'Inputs'!$B$32)/1000+'Inputs'!$B$21+'Inputs'!$B$7+'Inputs'!$B$10))^2+('Inputs'!$B$8/2)^2))))*'Results'!$B$8),"")</x:f>
        <x:v>8.216768224092393</x:v>
      </x:c>
      <x:c r="K452" t="n">
        <x:f>IF(AND(ISNUMBER('Results'!B7),ISNUMBER('Results'!C7),ISNUMBER('Results'!$B$8),ISNUMBER('Inputs'!$B$6),ISNUMBER('Inputs'!$B$7),ISNUMBER('Inputs'!$B$8),ISNUMBER('Inputs'!$B$9),ISNUMBER('Inputs'!$B$10),ISNUMBER('Inputs'!$B$21),ISNUMBER('Inputs'!$B$24),ISNUMBER('Inputs'!$B$28)),((('Results'!B7*(1-'Inputs'!$B$24)*(0.5*((((452-43)*MAX('Inputs'!$B$33,'Inputs'!$B$29+'Inputs'!$B$31+'Inputs'!$B$32,'Inputs'!$B$30+'Inputs'!$B$31+'Inputs'!$B$32)/1000+'Inputs'!$B$21)+'Inputs'!$B$7)/SQRT((((452-43)*MAX('Inputs'!$B$33,'Inputs'!$B$29+'Inputs'!$B$31+'Inputs'!$B$32,'Inputs'!$B$30+'Inputs'!$B$31+'Inputs'!$B$32)/1000+'Inputs'!$B$21)+'Inputs'!$B$7)^2+('Inputs'!$B$6/2)^2)-(((452-43)*MAX('Inputs'!$B$33,'Inputs'!$B$29+'Inputs'!$B$31+'Inputs'!$B$32,'Inputs'!$B$30+'Inputs'!$B$31+'Inputs'!$B$32)/1000+'Inputs'!$B$21))/SQRT((((452-43)*MAX('Inputs'!$B$33,'Inputs'!$B$29+'Inputs'!$B$31+'Inputs'!$B$32,'Inputs'!$B$30+'Inputs'!$B$31+'Inputs'!$B$32)/1000+'Inputs'!$B$21))^2+('Inputs'!$B$6/2)^2)))-'Results'!C7*(1+'Inputs'!$B$24)*(0.5*((((452-43)*MAX('Inputs'!$B$33,'Inputs'!$B$29+'Inputs'!$B$31+'Inputs'!$B$32,'Inputs'!$B$30+'Inputs'!$B$31+'Inputs'!$B$32)/1000+'Inputs'!$B$21+'Inputs'!$B$7+'Inputs'!$B$10)+'Inputs'!$B$9)/SQRT((((452-43)*MAX('Inputs'!$B$33,'Inputs'!$B$29+'Inputs'!$B$31+'Inputs'!$B$32,'Inputs'!$B$30+'Inputs'!$B$31+'Inputs'!$B$32)/1000+'Inputs'!$B$21+'Inputs'!$B$7+'Inputs'!$B$10)+'Inputs'!$B$9)^2+('Inputs'!$B$8/2)^2)-(((452-43)*MAX('Inputs'!$B$33,'Inputs'!$B$29+'Inputs'!$B$31+'Inputs'!$B$32,'Inputs'!$B$30+'Inputs'!$B$31+'Inputs'!$B$32)/1000+'Inputs'!$B$21+'Inputs'!$B$7+'Inputs'!$B$10))/SQRT((((452-43)*MAX('Inputs'!$B$33,'Inputs'!$B$29+'Inputs'!$B$31+'Inputs'!$B$32,'Inputs'!$B$30+'Inputs'!$B$31+'Inputs'!$B$32)/1000+'Inputs'!$B$21+'Inputs'!$B$7+'Inputs'!$B$10))^2+('Inputs'!$B$8/2)^2))))*'Results'!$B$8)-'Inputs'!$B$28*ABS((('Results'!B7*(1-'Inputs'!$B$24)*(0.5*((((452-43)*MAX('Inputs'!$B$33,'Inputs'!$B$29+'Inputs'!$B$31+'Inputs'!$B$32,'Inputs'!$B$30+'Inputs'!$B$31+'Inputs'!$B$32)/1000+'Inputs'!$B$21)+'Inputs'!$B$7)/SQRT((((452-43)*MAX('Inputs'!$B$33,'Inputs'!$B$29+'Inputs'!$B$31+'Inputs'!$B$32,'Inputs'!$B$30+'Inputs'!$B$31+'Inputs'!$B$32)/1000+'Inputs'!$B$21)+'Inputs'!$B$7)^2+('Inputs'!$B$6/2)^2)-(((452-43)*MAX('Inputs'!$B$33,'Inputs'!$B$29+'Inputs'!$B$31+'Inputs'!$B$32,'Inputs'!$B$30+'Inputs'!$B$31+'Inputs'!$B$32)/1000+'Inputs'!$B$21))/SQRT((((452-43)*MAX('Inputs'!$B$33,'Inputs'!$B$29+'Inputs'!$B$31+'Inputs'!$B$32,'Inputs'!$B$30+'Inputs'!$B$31+'Inputs'!$B$32)/1000+'Inputs'!$B$21))^2+('Inputs'!$B$6/2)^2)))-'Results'!C7*(1+'Inputs'!$B$24)*(0.5*((((452-43)*MAX('Inputs'!$B$33,'Inputs'!$B$29+'Inputs'!$B$31+'Inputs'!$B$32,'Inputs'!$B$30+'Inputs'!$B$31+'Inputs'!$B$32)/1000+'Inputs'!$B$21+'Inputs'!$B$7+'Inputs'!$B$10)+'Inputs'!$B$9)/SQRT((((452-43)*MAX('Inputs'!$B$33,'Inputs'!$B$29+'Inputs'!$B$31+'Inputs'!$B$32,'Inputs'!$B$30+'Inputs'!$B$31+'Inputs'!$B$32)/1000+'Inputs'!$B$21+'Inputs'!$B$7+'Inputs'!$B$10)+'Inputs'!$B$9)^2+('Inputs'!$B$8/2)^2)-(((452-43)*MAX('Inputs'!$B$33,'Inputs'!$B$29+'Inputs'!$B$31+'Inputs'!$B$32,'Inputs'!$B$30+'Inputs'!$B$31+'Inputs'!$B$32)/1000+'Inputs'!$B$21+'Inputs'!$B$7+'Inputs'!$B$10))/SQRT((((452-43)*MAX('Inputs'!$B$33,'Inputs'!$B$29+'Inputs'!$B$31+'Inputs'!$B$32,'Inputs'!$B$30+'Inputs'!$B$31+'Inputs'!$B$32)/1000+'Inputs'!$B$21+'Inputs'!$B$7+'Inputs'!$B$10))^2+('Inputs'!$B$8/2)^2))))*'Results'!$B$8))),"")</x:f>
        <x:v>7.350048877803812</x:v>
      </x:c>
      <x:c r="L452" t="n">
        <x:f>IF(AND(ISNUMBER('Results'!B7),ISNUMBER('Results'!C7),ISNUMBER('Results'!$B$8),ISNUMBER('Inputs'!$B$6),ISNUMBER('Inputs'!$B$7),ISNUMBER('Inputs'!$B$8),ISNUMBER('Inputs'!$B$9),ISNUMBER('Inputs'!$B$10),ISNUMBER('Inputs'!$B$21),ISNUMBER('Inputs'!$B$24),ISNUMBER('Inputs'!$B$28)),((('Results'!B7*(1+'Inputs'!$B$24)*(0.5*((((452-43)*MAX('Inputs'!$B$33,'Inputs'!$B$29+'Inputs'!$B$31+'Inputs'!$B$32,'Inputs'!$B$30+'Inputs'!$B$31+'Inputs'!$B$32)/1000+'Inputs'!$B$21)+'Inputs'!$B$7)/SQRT((((452-43)*MAX('Inputs'!$B$33,'Inputs'!$B$29+'Inputs'!$B$31+'Inputs'!$B$32,'Inputs'!$B$30+'Inputs'!$B$31+'Inputs'!$B$32)/1000+'Inputs'!$B$21)+'Inputs'!$B$7)^2+('Inputs'!$B$6/2)^2)-(((452-43)*MAX('Inputs'!$B$33,'Inputs'!$B$29+'Inputs'!$B$31+'Inputs'!$B$32,'Inputs'!$B$30+'Inputs'!$B$31+'Inputs'!$B$32)/1000+'Inputs'!$B$21))/SQRT((((452-43)*MAX('Inputs'!$B$33,'Inputs'!$B$29+'Inputs'!$B$31+'Inputs'!$B$32,'Inputs'!$B$30+'Inputs'!$B$31+'Inputs'!$B$32)/1000+'Inputs'!$B$21))^2+('Inputs'!$B$6/2)^2)))-'Results'!C7*(1-'Inputs'!$B$24)*(0.5*((((452-43)*MAX('Inputs'!$B$33,'Inputs'!$B$29+'Inputs'!$B$31+'Inputs'!$B$32,'Inputs'!$B$30+'Inputs'!$B$31+'Inputs'!$B$32)/1000+'Inputs'!$B$21+'Inputs'!$B$7+'Inputs'!$B$10)+'Inputs'!$B$9)/SQRT((((452-43)*MAX('Inputs'!$B$33,'Inputs'!$B$29+'Inputs'!$B$31+'Inputs'!$B$32,'Inputs'!$B$30+'Inputs'!$B$31+'Inputs'!$B$32)/1000+'Inputs'!$B$21+'Inputs'!$B$7+'Inputs'!$B$10)+'Inputs'!$B$9)^2+('Inputs'!$B$8/2)^2)-(((452-43)*MAX('Inputs'!$B$33,'Inputs'!$B$29+'Inputs'!$B$31+'Inputs'!$B$32,'Inputs'!$B$30+'Inputs'!$B$31+'Inputs'!$B$32)/1000+'Inputs'!$B$21+'Inputs'!$B$7+'Inputs'!$B$10))/SQRT((((452-43)*MAX('Inputs'!$B$33,'Inputs'!$B$29+'Inputs'!$B$31+'Inputs'!$B$32,'Inputs'!$B$30+'Inputs'!$B$31+'Inputs'!$B$32)/1000+'Inputs'!$B$21+'Inputs'!$B$7+'Inputs'!$B$10))^2+('Inputs'!$B$8/2)^2))))*'Results'!$B$8)+'Inputs'!$B$28*ABS((('Results'!B7*(1+'Inputs'!$B$24)*(0.5*((((452-43)*MAX('Inputs'!$B$33,'Inputs'!$B$29+'Inputs'!$B$31+'Inputs'!$B$32,'Inputs'!$B$30+'Inputs'!$B$31+'Inputs'!$B$32)/1000+'Inputs'!$B$21)+'Inputs'!$B$7)/SQRT((((452-43)*MAX('Inputs'!$B$33,'Inputs'!$B$29+'Inputs'!$B$31+'Inputs'!$B$32,'Inputs'!$B$30+'Inputs'!$B$31+'Inputs'!$B$32)/1000+'Inputs'!$B$21)+'Inputs'!$B$7)^2+('Inputs'!$B$6/2)^2)-(((452-43)*MAX('Inputs'!$B$33,'Inputs'!$B$29+'Inputs'!$B$31+'Inputs'!$B$32,'Inputs'!$B$30+'Inputs'!$B$31+'Inputs'!$B$32)/1000+'Inputs'!$B$21))/SQRT((((452-43)*MAX('Inputs'!$B$33,'Inputs'!$B$29+'Inputs'!$B$31+'Inputs'!$B$32,'Inputs'!$B$30+'Inputs'!$B$31+'Inputs'!$B$32)/1000+'Inputs'!$B$21))^2+('Inputs'!$B$6/2)^2)))-'Results'!C7*(1-'Inputs'!$B$24)*(0.5*((((452-43)*MAX('Inputs'!$B$33,'Inputs'!$B$29+'Inputs'!$B$31+'Inputs'!$B$32,'Inputs'!$B$30+'Inputs'!$B$31+'Inputs'!$B$32)/1000+'Inputs'!$B$21+'Inputs'!$B$7+'Inputs'!$B$10)+'Inputs'!$B$9)/SQRT((((452-43)*MAX('Inputs'!$B$33,'Inputs'!$B$29+'Inputs'!$B$31+'Inputs'!$B$32,'Inputs'!$B$30+'Inputs'!$B$31+'Inputs'!$B$32)/1000+'Inputs'!$B$21+'Inputs'!$B$7+'Inputs'!$B$10)+'Inputs'!$B$9)^2+('Inputs'!$B$8/2)^2)-(((452-43)*MAX('Inputs'!$B$33,'Inputs'!$B$29+'Inputs'!$B$31+'Inputs'!$B$32,'Inputs'!$B$30+'Inputs'!$B$31+'Inputs'!$B$32)/1000+'Inputs'!$B$21+'Inputs'!$B$7+'Inputs'!$B$10))/SQRT((((452-43)*MAX('Inputs'!$B$33,'Inputs'!$B$29+'Inputs'!$B$31+'Inputs'!$B$32,'Inputs'!$B$30+'Inputs'!$B$31+'Inputs'!$B$32)/1000+'Inputs'!$B$21+'Inputs'!$B$7+'Inputs'!$B$10))^2+('Inputs'!$B$8/2)^2))))*'Results'!$B$8))),"")</x:f>
        <x:v>9.131475037231917</x:v>
      </x:c>
      <x:c r="M452" t="n">
        <x:f>IF(AND(ISNUMBER('Results'!C7),ISNUMBER('Results'!B7),ISNUMBER('Results'!$B$8),ISNUMBER('Inputs'!$B$6),ISNUMBER('Inputs'!$B$7),ISNUMBER('Inputs'!$B$8),ISNUMBER('Inputs'!$B$9),ISNUMBER('Inputs'!$B$10),ISNUMBER('Inputs'!$B$21),ISNUMBER('Inputs'!$B$24),ISNUMBER('Inputs'!$B$28)),(('Results'!C7*(0.5*((((452-43)*MAX('Inputs'!$B$33,'Inputs'!$B$29+'Inputs'!$B$31+'Inputs'!$B$32,'Inputs'!$B$30+'Inputs'!$B$31+'Inputs'!$B$32)/1000+'Inputs'!$B$21)+'Inputs'!$B$9)/SQRT((((452-43)*MAX('Inputs'!$B$33,'Inputs'!$B$29+'Inputs'!$B$31+'Inputs'!$B$32,'Inputs'!$B$30+'Inputs'!$B$31+'Inputs'!$B$32)/1000+'Inputs'!$B$21)+'Inputs'!$B$9)^2+('Inputs'!$B$8/2)^2)-(((452-43)*MAX('Inputs'!$B$33,'Inputs'!$B$29+'Inputs'!$B$31+'Inputs'!$B$32,'Inputs'!$B$30+'Inputs'!$B$31+'Inputs'!$B$32)/1000+'Inputs'!$B$21))/SQRT((((452-43)*MAX('Inputs'!$B$33,'Inputs'!$B$29+'Inputs'!$B$31+'Inputs'!$B$32,'Inputs'!$B$30+'Inputs'!$B$31+'Inputs'!$B$32)/1000+'Inputs'!$B$21))^2+('Inputs'!$B$8/2)^2)))-'Results'!B7*(0.5*((((452-43)*MAX('Inputs'!$B$33,'Inputs'!$B$29+'Inputs'!$B$31+'Inputs'!$B$32,'Inputs'!$B$30+'Inputs'!$B$31+'Inputs'!$B$32)/1000+'Inputs'!$B$21+'Inputs'!$B$9+'Inputs'!$B$10)+'Inputs'!$B$7)/SQRT((((452-43)*MAX('Inputs'!$B$33,'Inputs'!$B$29+'Inputs'!$B$31+'Inputs'!$B$32,'Inputs'!$B$30+'Inputs'!$B$31+'Inputs'!$B$32)/1000+'Inputs'!$B$21+'Inputs'!$B$9+'Inputs'!$B$10)+'Inputs'!$B$7)^2+('Inputs'!$B$6/2)^2)-(((452-43)*MAX('Inputs'!$B$33,'Inputs'!$B$29+'Inputs'!$B$31+'Inputs'!$B$32,'Inputs'!$B$30+'Inputs'!$B$31+'Inputs'!$B$32)/1000+'Inputs'!$B$21+'Inputs'!$B$9+'Inputs'!$B$10))/SQRT((((452-43)*MAX('Inputs'!$B$33,'Inputs'!$B$29+'Inputs'!$B$31+'Inputs'!$B$32,'Inputs'!$B$30+'Inputs'!$B$31+'Inputs'!$B$32)/1000+'Inputs'!$B$21+'Inputs'!$B$9+'Inputs'!$B$10))^2+('Inputs'!$B$6/2)^2))))*'Results'!$B$8),"")</x:f>
        <x:v>7.733673766766352</x:v>
      </x:c>
      <x:c r="N452" t="n">
        <x:f>IF(AND(ISNUMBER('Results'!C7),ISNUMBER('Results'!B7),ISNUMBER('Results'!$B$8),ISNUMBER('Inputs'!$B$6),ISNUMBER('Inputs'!$B$7),ISNUMBER('Inputs'!$B$8),ISNUMBER('Inputs'!$B$9),ISNUMBER('Inputs'!$B$10),ISNUMBER('Inputs'!$B$21),ISNUMBER('Inputs'!$B$24),ISNUMBER('Inputs'!$B$28)),((('Results'!C7*(1-'Inputs'!$B$24)*(0.5*((((452-43)*MAX('Inputs'!$B$33,'Inputs'!$B$29+'Inputs'!$B$31+'Inputs'!$B$32,'Inputs'!$B$30+'Inputs'!$B$31+'Inputs'!$B$32)/1000+'Inputs'!$B$21)+'Inputs'!$B$9)/SQRT((((452-43)*MAX('Inputs'!$B$33,'Inputs'!$B$29+'Inputs'!$B$31+'Inputs'!$B$32,'Inputs'!$B$30+'Inputs'!$B$31+'Inputs'!$B$32)/1000+'Inputs'!$B$21)+'Inputs'!$B$9)^2+('Inputs'!$B$8/2)^2)-(((452-43)*MAX('Inputs'!$B$33,'Inputs'!$B$29+'Inputs'!$B$31+'Inputs'!$B$32,'Inputs'!$B$30+'Inputs'!$B$31+'Inputs'!$B$32)/1000+'Inputs'!$B$21))/SQRT((((452-43)*MAX('Inputs'!$B$33,'Inputs'!$B$29+'Inputs'!$B$31+'Inputs'!$B$32,'Inputs'!$B$30+'Inputs'!$B$31+'Inputs'!$B$32)/1000+'Inputs'!$B$21))^2+('Inputs'!$B$8/2)^2)))-'Results'!B7*(1+'Inputs'!$B$24)*(0.5*((((452-43)*MAX('Inputs'!$B$33,'Inputs'!$B$29+'Inputs'!$B$31+'Inputs'!$B$32,'Inputs'!$B$30+'Inputs'!$B$31+'Inputs'!$B$32)/1000+'Inputs'!$B$21+'Inputs'!$B$9+'Inputs'!$B$10)+'Inputs'!$B$7)/SQRT((((452-43)*MAX('Inputs'!$B$33,'Inputs'!$B$29+'Inputs'!$B$31+'Inputs'!$B$32,'Inputs'!$B$30+'Inputs'!$B$31+'Inputs'!$B$32)/1000+'Inputs'!$B$21+'Inputs'!$B$9+'Inputs'!$B$10)+'Inputs'!$B$7)^2+('Inputs'!$B$6/2)^2)-(((452-43)*MAX('Inputs'!$B$33,'Inputs'!$B$29+'Inputs'!$B$31+'Inputs'!$B$32,'Inputs'!$B$30+'Inputs'!$B$31+'Inputs'!$B$32)/1000+'Inputs'!$B$21+'Inputs'!$B$9+'Inputs'!$B$10))/SQRT((((452-43)*MAX('Inputs'!$B$33,'Inputs'!$B$29+'Inputs'!$B$31+'Inputs'!$B$32,'Inputs'!$B$30+'Inputs'!$B$31+'Inputs'!$B$32)/1000+'Inputs'!$B$21+'Inputs'!$B$9+'Inputs'!$B$10))^2+('Inputs'!$B$6/2)^2))))*'Results'!$B$8)-'Inputs'!$B$28*ABS((('Results'!C7*(1-'Inputs'!$B$24)*(0.5*((((452-43)*MAX('Inputs'!$B$33,'Inputs'!$B$29+'Inputs'!$B$31+'Inputs'!$B$32,'Inputs'!$B$30+'Inputs'!$B$31+'Inputs'!$B$32)/1000+'Inputs'!$B$21)+'Inputs'!$B$9)/SQRT((((452-43)*MAX('Inputs'!$B$33,'Inputs'!$B$29+'Inputs'!$B$31+'Inputs'!$B$32,'Inputs'!$B$30+'Inputs'!$B$31+'Inputs'!$B$32)/1000+'Inputs'!$B$21)+'Inputs'!$B$9)^2+('Inputs'!$B$8/2)^2)-(((452-43)*MAX('Inputs'!$B$33,'Inputs'!$B$29+'Inputs'!$B$31+'Inputs'!$B$32,'Inputs'!$B$30+'Inputs'!$B$31+'Inputs'!$B$32)/1000+'Inputs'!$B$21))/SQRT((((452-43)*MAX('Inputs'!$B$33,'Inputs'!$B$29+'Inputs'!$B$31+'Inputs'!$B$32,'Inputs'!$B$30+'Inputs'!$B$31+'Inputs'!$B$32)/1000+'Inputs'!$B$21))^2+('Inputs'!$B$8/2)^2)))-'Results'!B7*(1+'Inputs'!$B$24)*(0.5*((((452-43)*MAX('Inputs'!$B$33,'Inputs'!$B$29+'Inputs'!$B$31+'Inputs'!$B$32,'Inputs'!$B$30+'Inputs'!$B$31+'Inputs'!$B$32)/1000+'Inputs'!$B$21+'Inputs'!$B$9+'Inputs'!$B$10)+'Inputs'!$B$7)/SQRT((((452-43)*MAX('Inputs'!$B$33,'Inputs'!$B$29+'Inputs'!$B$31+'Inputs'!$B$32,'Inputs'!$B$30+'Inputs'!$B$31+'Inputs'!$B$32)/1000+'Inputs'!$B$21+'Inputs'!$B$9+'Inputs'!$B$10)+'Inputs'!$B$7)^2+('Inputs'!$B$6/2)^2)-(((452-43)*MAX('Inputs'!$B$33,'Inputs'!$B$29+'Inputs'!$B$31+'Inputs'!$B$32,'Inputs'!$B$30+'Inputs'!$B$31+'Inputs'!$B$32)/1000+'Inputs'!$B$21+'Inputs'!$B$9+'Inputs'!$B$10))/SQRT((((452-43)*MAX('Inputs'!$B$33,'Inputs'!$B$29+'Inputs'!$B$31+'Inputs'!$B$32,'Inputs'!$B$30+'Inputs'!$B$31+'Inputs'!$B$32)/1000+'Inputs'!$B$21+'Inputs'!$B$9+'Inputs'!$B$10))^2+('Inputs'!$B$6/2)^2))))*'Results'!$B$8))),"")</x:f>
        <x:v>6.89417033928171</x:v>
      </x:c>
      <x:c r="O452" t="n">
        <x:f>IF(AND(ISNUMBER('Results'!C7),ISNUMBER('Results'!B7),ISNUMBER('Results'!$B$8),ISNUMBER('Inputs'!$B$6),ISNUMBER('Inputs'!$B$7),ISNUMBER('Inputs'!$B$8),ISNUMBER('Inputs'!$B$9),ISNUMBER('Inputs'!$B$10),ISNUMBER('Inputs'!$B$21),ISNUMBER('Inputs'!$B$24),ISNUMBER('Inputs'!$B$28)),((('Results'!C7*(1+'Inputs'!$B$24)*(0.5*((((452-43)*MAX('Inputs'!$B$33,'Inputs'!$B$29+'Inputs'!$B$31+'Inputs'!$B$32,'Inputs'!$B$30+'Inputs'!$B$31+'Inputs'!$B$32)/1000+'Inputs'!$B$21)+'Inputs'!$B$9)/SQRT((((452-43)*MAX('Inputs'!$B$33,'Inputs'!$B$29+'Inputs'!$B$31+'Inputs'!$B$32,'Inputs'!$B$30+'Inputs'!$B$31+'Inputs'!$B$32)/1000+'Inputs'!$B$21)+'Inputs'!$B$9)^2+('Inputs'!$B$8/2)^2)-(((452-43)*MAX('Inputs'!$B$33,'Inputs'!$B$29+'Inputs'!$B$31+'Inputs'!$B$32,'Inputs'!$B$30+'Inputs'!$B$31+'Inputs'!$B$32)/1000+'Inputs'!$B$21))/SQRT((((452-43)*MAX('Inputs'!$B$33,'Inputs'!$B$29+'Inputs'!$B$31+'Inputs'!$B$32,'Inputs'!$B$30+'Inputs'!$B$31+'Inputs'!$B$32)/1000+'Inputs'!$B$21))^2+('Inputs'!$B$8/2)^2)))-'Results'!B7*(1-'Inputs'!$B$24)*(0.5*((((452-43)*MAX('Inputs'!$B$33,'Inputs'!$B$29+'Inputs'!$B$31+'Inputs'!$B$32,'Inputs'!$B$30+'Inputs'!$B$31+'Inputs'!$B$32)/1000+'Inputs'!$B$21+'Inputs'!$B$9+'Inputs'!$B$10)+'Inputs'!$B$7)/SQRT((((452-43)*MAX('Inputs'!$B$33,'Inputs'!$B$29+'Inputs'!$B$31+'Inputs'!$B$32,'Inputs'!$B$30+'Inputs'!$B$31+'Inputs'!$B$32)/1000+'Inputs'!$B$21+'Inputs'!$B$9+'Inputs'!$B$10)+'Inputs'!$B$7)^2+('Inputs'!$B$6/2)^2)-(((452-43)*MAX('Inputs'!$B$33,'Inputs'!$B$29+'Inputs'!$B$31+'Inputs'!$B$32,'Inputs'!$B$30+'Inputs'!$B$31+'Inputs'!$B$32)/1000+'Inputs'!$B$21+'Inputs'!$B$9+'Inputs'!$B$10))/SQRT((((452-43)*MAX('Inputs'!$B$33,'Inputs'!$B$29+'Inputs'!$B$31+'Inputs'!$B$32,'Inputs'!$B$30+'Inputs'!$B$31+'Inputs'!$B$32)/1000+'Inputs'!$B$21+'Inputs'!$B$9+'Inputs'!$B$10))^2+('Inputs'!$B$6/2)^2))))*'Results'!$B$8)+'Inputs'!$B$28*ABS((('Results'!C7*(1+'Inputs'!$B$24)*(0.5*((((452-43)*MAX('Inputs'!$B$33,'Inputs'!$B$29+'Inputs'!$B$31+'Inputs'!$B$32,'Inputs'!$B$30+'Inputs'!$B$31+'Inputs'!$B$32)/1000+'Inputs'!$B$21)+'Inputs'!$B$9)/SQRT((((452-43)*MAX('Inputs'!$B$33,'Inputs'!$B$29+'Inputs'!$B$31+'Inputs'!$B$32,'Inputs'!$B$30+'Inputs'!$B$31+'Inputs'!$B$32)/1000+'Inputs'!$B$21)+'Inputs'!$B$9)^2+('Inputs'!$B$8/2)^2)-(((452-43)*MAX('Inputs'!$B$33,'Inputs'!$B$29+'Inputs'!$B$31+'Inputs'!$B$32,'Inputs'!$B$30+'Inputs'!$B$31+'Inputs'!$B$32)/1000+'Inputs'!$B$21))/SQRT((((452-43)*MAX('Inputs'!$B$33,'Inputs'!$B$29+'Inputs'!$B$31+'Inputs'!$B$32,'Inputs'!$B$30+'Inputs'!$B$31+'Inputs'!$B$32)/1000+'Inputs'!$B$21))^2+('Inputs'!$B$8/2)^2)))-'Results'!B7*(1-'Inputs'!$B$24)*(0.5*((((452-43)*MAX('Inputs'!$B$33,'Inputs'!$B$29+'Inputs'!$B$31+'Inputs'!$B$32,'Inputs'!$B$30+'Inputs'!$B$31+'Inputs'!$B$32)/1000+'Inputs'!$B$21+'Inputs'!$B$9+'Inputs'!$B$10)+'Inputs'!$B$7)/SQRT((((452-43)*MAX('Inputs'!$B$33,'Inputs'!$B$29+'Inputs'!$B$31+'Inputs'!$B$32,'Inputs'!$B$30+'Inputs'!$B$31+'Inputs'!$B$32)/1000+'Inputs'!$B$21+'Inputs'!$B$9+'Inputs'!$B$10)+'Inputs'!$B$7)^2+('Inputs'!$B$6/2)^2)-(((452-43)*MAX('Inputs'!$B$33,'Inputs'!$B$29+'Inputs'!$B$31+'Inputs'!$B$32,'Inputs'!$B$30+'Inputs'!$B$31+'Inputs'!$B$32)/1000+'Inputs'!$B$21+'Inputs'!$B$9+'Inputs'!$B$10))/SQRT((((452-43)*MAX('Inputs'!$B$33,'Inputs'!$B$29+'Inputs'!$B$31+'Inputs'!$B$32,'Inputs'!$B$30+'Inputs'!$B$31+'Inputs'!$B$32)/1000+'Inputs'!$B$21+'Inputs'!$B$9+'Inputs'!$B$10))^2+('Inputs'!$B$6/2)^2))))*'Results'!$B$8))),"")</x:f>
        <x:v>8.620842429950603</x:v>
      </x:c>
      <x:c r="P452" t="n">
        <x:f>IF(AND(MAX(J452,J451)&gt;0,J452&gt;J451+0.00000001),1,0)</x:f>
        <x:v>0</x:v>
      </x:c>
      <x:c r="Q452" t="n">
        <x:f>IF(AND(MAX(K452,K451)&gt;0,K452&gt;K451+0.00000001),1,0)</x:f>
        <x:v>0</x:v>
      </x:c>
      <x:c r="R452" t="n">
        <x:f>IF(AND(MAX(L452,L451)&gt;0,L452&gt;L451+0.00000001),1,0)</x:f>
        <x:v>0</x:v>
      </x:c>
      <x:c r="S452" t="n">
        <x:f>IF(AND(MAX(M452,M451)&gt;0,M452&gt;M451+0.00000001),1,0)</x:f>
        <x:v>0</x:v>
      </x:c>
      <x:c r="T452" t="n">
        <x:f>IF(AND(MAX(N452,N451)&gt;0,N452&gt;N451+0.00000001),1,0)</x:f>
        <x:v>0</x:v>
      </x:c>
      <x:c r="U452" t="n">
        <x:f>IF(AND(MAX(O452,O451)&gt;0,O452&gt;O451+0.00000001),1,0)</x:f>
        <x:v>0</x:v>
      </x:c>
    </x:row>
    <x:row r="453">
      <x:c r="J453" t="n">
        <x:f>IF(AND(ISNUMBER('Results'!B7),ISNUMBER('Results'!C7),ISNUMBER('Results'!$B$8),ISNUMBER('Inputs'!$B$6),ISNUMBER('Inputs'!$B$7),ISNUMBER('Inputs'!$B$8),ISNUMBER('Inputs'!$B$9),ISNUMBER('Inputs'!$B$10),ISNUMBER('Inputs'!$B$21),ISNUMBER('Inputs'!$B$24),ISNUMBER('Inputs'!$B$28)),(('Results'!B7*(0.5*((((453-43)*MAX('Inputs'!$B$33,'Inputs'!$B$29+'Inputs'!$B$31+'Inputs'!$B$32,'Inputs'!$B$30+'Inputs'!$B$31+'Inputs'!$B$32)/1000+'Inputs'!$B$21)+'Inputs'!$B$7)/SQRT((((453-43)*MAX('Inputs'!$B$33,'Inputs'!$B$29+'Inputs'!$B$31+'Inputs'!$B$32,'Inputs'!$B$30+'Inputs'!$B$31+'Inputs'!$B$32)/1000+'Inputs'!$B$21)+'Inputs'!$B$7)^2+('Inputs'!$B$6/2)^2)-(((453-43)*MAX('Inputs'!$B$33,'Inputs'!$B$29+'Inputs'!$B$31+'Inputs'!$B$32,'Inputs'!$B$30+'Inputs'!$B$31+'Inputs'!$B$32)/1000+'Inputs'!$B$21))/SQRT((((453-43)*MAX('Inputs'!$B$33,'Inputs'!$B$29+'Inputs'!$B$31+'Inputs'!$B$32,'Inputs'!$B$30+'Inputs'!$B$31+'Inputs'!$B$32)/1000+'Inputs'!$B$21))^2+('Inputs'!$B$6/2)^2)))-'Results'!C7*(0.5*((((453-43)*MAX('Inputs'!$B$33,'Inputs'!$B$29+'Inputs'!$B$31+'Inputs'!$B$32,'Inputs'!$B$30+'Inputs'!$B$31+'Inputs'!$B$32)/1000+'Inputs'!$B$21+'Inputs'!$B$7+'Inputs'!$B$10)+'Inputs'!$B$9)/SQRT((((453-43)*MAX('Inputs'!$B$33,'Inputs'!$B$29+'Inputs'!$B$31+'Inputs'!$B$32,'Inputs'!$B$30+'Inputs'!$B$31+'Inputs'!$B$32)/1000+'Inputs'!$B$21+'Inputs'!$B$7+'Inputs'!$B$10)+'Inputs'!$B$9)^2+('Inputs'!$B$8/2)^2)-(((453-43)*MAX('Inputs'!$B$33,'Inputs'!$B$29+'Inputs'!$B$31+'Inputs'!$B$32,'Inputs'!$B$30+'Inputs'!$B$31+'Inputs'!$B$32)/1000+'Inputs'!$B$21+'Inputs'!$B$7+'Inputs'!$B$10))/SQRT((((453-43)*MAX('Inputs'!$B$33,'Inputs'!$B$29+'Inputs'!$B$31+'Inputs'!$B$32,'Inputs'!$B$30+'Inputs'!$B$31+'Inputs'!$B$32)/1000+'Inputs'!$B$21+'Inputs'!$B$7+'Inputs'!$B$10))^2+('Inputs'!$B$8/2)^2))))*'Results'!$B$8),"")</x:f>
        <x:v>8.150595155171214</x:v>
      </x:c>
      <x:c r="K453" t="n">
        <x:f>IF(AND(ISNUMBER('Results'!B7),ISNUMBER('Results'!C7),ISNUMBER('Results'!$B$8),ISNUMBER('Inputs'!$B$6),ISNUMBER('Inputs'!$B$7),ISNUMBER('Inputs'!$B$8),ISNUMBER('Inputs'!$B$9),ISNUMBER('Inputs'!$B$10),ISNUMBER('Inputs'!$B$21),ISNUMBER('Inputs'!$B$24),ISNUMBER('Inputs'!$B$28)),((('Results'!B7*(1-'Inputs'!$B$24)*(0.5*((((453-43)*MAX('Inputs'!$B$33,'Inputs'!$B$29+'Inputs'!$B$31+'Inputs'!$B$32,'Inputs'!$B$30+'Inputs'!$B$31+'Inputs'!$B$32)/1000+'Inputs'!$B$21)+'Inputs'!$B$7)/SQRT((((453-43)*MAX('Inputs'!$B$33,'Inputs'!$B$29+'Inputs'!$B$31+'Inputs'!$B$32,'Inputs'!$B$30+'Inputs'!$B$31+'Inputs'!$B$32)/1000+'Inputs'!$B$21)+'Inputs'!$B$7)^2+('Inputs'!$B$6/2)^2)-(((453-43)*MAX('Inputs'!$B$33,'Inputs'!$B$29+'Inputs'!$B$31+'Inputs'!$B$32,'Inputs'!$B$30+'Inputs'!$B$31+'Inputs'!$B$32)/1000+'Inputs'!$B$21))/SQRT((((453-43)*MAX('Inputs'!$B$33,'Inputs'!$B$29+'Inputs'!$B$31+'Inputs'!$B$32,'Inputs'!$B$30+'Inputs'!$B$31+'Inputs'!$B$32)/1000+'Inputs'!$B$21))^2+('Inputs'!$B$6/2)^2)))-'Results'!C7*(1+'Inputs'!$B$24)*(0.5*((((453-43)*MAX('Inputs'!$B$33,'Inputs'!$B$29+'Inputs'!$B$31+'Inputs'!$B$32,'Inputs'!$B$30+'Inputs'!$B$31+'Inputs'!$B$32)/1000+'Inputs'!$B$21+'Inputs'!$B$7+'Inputs'!$B$10)+'Inputs'!$B$9)/SQRT((((453-43)*MAX('Inputs'!$B$33,'Inputs'!$B$29+'Inputs'!$B$31+'Inputs'!$B$32,'Inputs'!$B$30+'Inputs'!$B$31+'Inputs'!$B$32)/1000+'Inputs'!$B$21+'Inputs'!$B$7+'Inputs'!$B$10)+'Inputs'!$B$9)^2+('Inputs'!$B$8/2)^2)-(((453-43)*MAX('Inputs'!$B$33,'Inputs'!$B$29+'Inputs'!$B$31+'Inputs'!$B$32,'Inputs'!$B$30+'Inputs'!$B$31+'Inputs'!$B$32)/1000+'Inputs'!$B$21+'Inputs'!$B$7+'Inputs'!$B$10))/SQRT((((453-43)*MAX('Inputs'!$B$33,'Inputs'!$B$29+'Inputs'!$B$31+'Inputs'!$B$32,'Inputs'!$B$30+'Inputs'!$B$31+'Inputs'!$B$32)/1000+'Inputs'!$B$21+'Inputs'!$B$7+'Inputs'!$B$10))^2+('Inputs'!$B$8/2)^2))))*'Results'!$B$8)-'Inputs'!$B$28*ABS((('Results'!B7*(1-'Inputs'!$B$24)*(0.5*((((453-43)*MAX('Inputs'!$B$33,'Inputs'!$B$29+'Inputs'!$B$31+'Inputs'!$B$32,'Inputs'!$B$30+'Inputs'!$B$31+'Inputs'!$B$32)/1000+'Inputs'!$B$21)+'Inputs'!$B$7)/SQRT((((453-43)*MAX('Inputs'!$B$33,'Inputs'!$B$29+'Inputs'!$B$31+'Inputs'!$B$32,'Inputs'!$B$30+'Inputs'!$B$31+'Inputs'!$B$32)/1000+'Inputs'!$B$21)+'Inputs'!$B$7)^2+('Inputs'!$B$6/2)^2)-(((453-43)*MAX('Inputs'!$B$33,'Inputs'!$B$29+'Inputs'!$B$31+'Inputs'!$B$32,'Inputs'!$B$30+'Inputs'!$B$31+'Inputs'!$B$32)/1000+'Inputs'!$B$21))/SQRT((((453-43)*MAX('Inputs'!$B$33,'Inputs'!$B$29+'Inputs'!$B$31+'Inputs'!$B$32,'Inputs'!$B$30+'Inputs'!$B$31+'Inputs'!$B$32)/1000+'Inputs'!$B$21))^2+('Inputs'!$B$6/2)^2)))-'Results'!C7*(1+'Inputs'!$B$24)*(0.5*((((453-43)*MAX('Inputs'!$B$33,'Inputs'!$B$29+'Inputs'!$B$31+'Inputs'!$B$32,'Inputs'!$B$30+'Inputs'!$B$31+'Inputs'!$B$32)/1000+'Inputs'!$B$21+'Inputs'!$B$7+'Inputs'!$B$10)+'Inputs'!$B$9)/SQRT((((453-43)*MAX('Inputs'!$B$33,'Inputs'!$B$29+'Inputs'!$B$31+'Inputs'!$B$32,'Inputs'!$B$30+'Inputs'!$B$31+'Inputs'!$B$32)/1000+'Inputs'!$B$21+'Inputs'!$B$7+'Inputs'!$B$10)+'Inputs'!$B$9)^2+('Inputs'!$B$8/2)^2)-(((453-43)*MAX('Inputs'!$B$33,'Inputs'!$B$29+'Inputs'!$B$31+'Inputs'!$B$32,'Inputs'!$B$30+'Inputs'!$B$31+'Inputs'!$B$32)/1000+'Inputs'!$B$21+'Inputs'!$B$7+'Inputs'!$B$10))/SQRT((((453-43)*MAX('Inputs'!$B$33,'Inputs'!$B$29+'Inputs'!$B$31+'Inputs'!$B$32,'Inputs'!$B$30+'Inputs'!$B$31+'Inputs'!$B$32)/1000+'Inputs'!$B$21+'Inputs'!$B$7+'Inputs'!$B$10))^2+('Inputs'!$B$8/2)^2))))*'Results'!$B$8))),"")</x:f>
        <x:v>7.2900585944443685</x:v>
      </x:c>
      <x:c r="L453" t="n">
        <x:f>IF(AND(ISNUMBER('Results'!B7),ISNUMBER('Results'!C7),ISNUMBER('Results'!$B$8),ISNUMBER('Inputs'!$B$6),ISNUMBER('Inputs'!$B$7),ISNUMBER('Inputs'!$B$8),ISNUMBER('Inputs'!$B$9),ISNUMBER('Inputs'!$B$10),ISNUMBER('Inputs'!$B$21),ISNUMBER('Inputs'!$B$24),ISNUMBER('Inputs'!$B$28)),((('Results'!B7*(1+'Inputs'!$B$24)*(0.5*((((453-43)*MAX('Inputs'!$B$33,'Inputs'!$B$29+'Inputs'!$B$31+'Inputs'!$B$32,'Inputs'!$B$30+'Inputs'!$B$31+'Inputs'!$B$32)/1000+'Inputs'!$B$21)+'Inputs'!$B$7)/SQRT((((453-43)*MAX('Inputs'!$B$33,'Inputs'!$B$29+'Inputs'!$B$31+'Inputs'!$B$32,'Inputs'!$B$30+'Inputs'!$B$31+'Inputs'!$B$32)/1000+'Inputs'!$B$21)+'Inputs'!$B$7)^2+('Inputs'!$B$6/2)^2)-(((453-43)*MAX('Inputs'!$B$33,'Inputs'!$B$29+'Inputs'!$B$31+'Inputs'!$B$32,'Inputs'!$B$30+'Inputs'!$B$31+'Inputs'!$B$32)/1000+'Inputs'!$B$21))/SQRT((((453-43)*MAX('Inputs'!$B$33,'Inputs'!$B$29+'Inputs'!$B$31+'Inputs'!$B$32,'Inputs'!$B$30+'Inputs'!$B$31+'Inputs'!$B$32)/1000+'Inputs'!$B$21))^2+('Inputs'!$B$6/2)^2)))-'Results'!C7*(1-'Inputs'!$B$24)*(0.5*((((453-43)*MAX('Inputs'!$B$33,'Inputs'!$B$29+'Inputs'!$B$31+'Inputs'!$B$32,'Inputs'!$B$30+'Inputs'!$B$31+'Inputs'!$B$32)/1000+'Inputs'!$B$21+'Inputs'!$B$7+'Inputs'!$B$10)+'Inputs'!$B$9)/SQRT((((453-43)*MAX('Inputs'!$B$33,'Inputs'!$B$29+'Inputs'!$B$31+'Inputs'!$B$32,'Inputs'!$B$30+'Inputs'!$B$31+'Inputs'!$B$32)/1000+'Inputs'!$B$21+'Inputs'!$B$7+'Inputs'!$B$10)+'Inputs'!$B$9)^2+('Inputs'!$B$8/2)^2)-(((453-43)*MAX('Inputs'!$B$33,'Inputs'!$B$29+'Inputs'!$B$31+'Inputs'!$B$32,'Inputs'!$B$30+'Inputs'!$B$31+'Inputs'!$B$32)/1000+'Inputs'!$B$21+'Inputs'!$B$7+'Inputs'!$B$10))/SQRT((((453-43)*MAX('Inputs'!$B$33,'Inputs'!$B$29+'Inputs'!$B$31+'Inputs'!$B$32,'Inputs'!$B$30+'Inputs'!$B$31+'Inputs'!$B$32)/1000+'Inputs'!$B$21+'Inputs'!$B$7+'Inputs'!$B$10))^2+('Inputs'!$B$8/2)^2))))*'Results'!$B$8)+'Inputs'!$B$28*ABS((('Results'!B7*(1+'Inputs'!$B$24)*(0.5*((((453-43)*MAX('Inputs'!$B$33,'Inputs'!$B$29+'Inputs'!$B$31+'Inputs'!$B$32,'Inputs'!$B$30+'Inputs'!$B$31+'Inputs'!$B$32)/1000+'Inputs'!$B$21)+'Inputs'!$B$7)/SQRT((((453-43)*MAX('Inputs'!$B$33,'Inputs'!$B$29+'Inputs'!$B$31+'Inputs'!$B$32,'Inputs'!$B$30+'Inputs'!$B$31+'Inputs'!$B$32)/1000+'Inputs'!$B$21)+'Inputs'!$B$7)^2+('Inputs'!$B$6/2)^2)-(((453-43)*MAX('Inputs'!$B$33,'Inputs'!$B$29+'Inputs'!$B$31+'Inputs'!$B$32,'Inputs'!$B$30+'Inputs'!$B$31+'Inputs'!$B$32)/1000+'Inputs'!$B$21))/SQRT((((453-43)*MAX('Inputs'!$B$33,'Inputs'!$B$29+'Inputs'!$B$31+'Inputs'!$B$32,'Inputs'!$B$30+'Inputs'!$B$31+'Inputs'!$B$32)/1000+'Inputs'!$B$21))^2+('Inputs'!$B$6/2)^2)))-'Results'!C7*(1-'Inputs'!$B$24)*(0.5*((((453-43)*MAX('Inputs'!$B$33,'Inputs'!$B$29+'Inputs'!$B$31+'Inputs'!$B$32,'Inputs'!$B$30+'Inputs'!$B$31+'Inputs'!$B$32)/1000+'Inputs'!$B$21+'Inputs'!$B$7+'Inputs'!$B$10)+'Inputs'!$B$9)/SQRT((((453-43)*MAX('Inputs'!$B$33,'Inputs'!$B$29+'Inputs'!$B$31+'Inputs'!$B$32,'Inputs'!$B$30+'Inputs'!$B$31+'Inputs'!$B$32)/1000+'Inputs'!$B$21+'Inputs'!$B$7+'Inputs'!$B$10)+'Inputs'!$B$9)^2+('Inputs'!$B$8/2)^2)-(((453-43)*MAX('Inputs'!$B$33,'Inputs'!$B$29+'Inputs'!$B$31+'Inputs'!$B$32,'Inputs'!$B$30+'Inputs'!$B$31+'Inputs'!$B$32)/1000+'Inputs'!$B$21+'Inputs'!$B$7+'Inputs'!$B$10))/SQRT((((453-43)*MAX('Inputs'!$B$33,'Inputs'!$B$29+'Inputs'!$B$31+'Inputs'!$B$32,'Inputs'!$B$30+'Inputs'!$B$31+'Inputs'!$B$32)/1000+'Inputs'!$B$21+'Inputs'!$B$7+'Inputs'!$B$10))^2+('Inputs'!$B$8/2)^2))))*'Results'!$B$8))),"")</x:f>
        <x:v>9.058816642526295</x:v>
      </x:c>
      <x:c r="M453" t="n">
        <x:f>IF(AND(ISNUMBER('Results'!C7),ISNUMBER('Results'!B7),ISNUMBER('Results'!$B$8),ISNUMBER('Inputs'!$B$6),ISNUMBER('Inputs'!$B$7),ISNUMBER('Inputs'!$B$8),ISNUMBER('Inputs'!$B$9),ISNUMBER('Inputs'!$B$10),ISNUMBER('Inputs'!$B$21),ISNUMBER('Inputs'!$B$24),ISNUMBER('Inputs'!$B$28)),(('Results'!C7*(0.5*((((453-43)*MAX('Inputs'!$B$33,'Inputs'!$B$29+'Inputs'!$B$31+'Inputs'!$B$32,'Inputs'!$B$30+'Inputs'!$B$31+'Inputs'!$B$32)/1000+'Inputs'!$B$21)+'Inputs'!$B$9)/SQRT((((453-43)*MAX('Inputs'!$B$33,'Inputs'!$B$29+'Inputs'!$B$31+'Inputs'!$B$32,'Inputs'!$B$30+'Inputs'!$B$31+'Inputs'!$B$32)/1000+'Inputs'!$B$21)+'Inputs'!$B$9)^2+('Inputs'!$B$8/2)^2)-(((453-43)*MAX('Inputs'!$B$33,'Inputs'!$B$29+'Inputs'!$B$31+'Inputs'!$B$32,'Inputs'!$B$30+'Inputs'!$B$31+'Inputs'!$B$32)/1000+'Inputs'!$B$21))/SQRT((((453-43)*MAX('Inputs'!$B$33,'Inputs'!$B$29+'Inputs'!$B$31+'Inputs'!$B$32,'Inputs'!$B$30+'Inputs'!$B$31+'Inputs'!$B$32)/1000+'Inputs'!$B$21))^2+('Inputs'!$B$8/2)^2)))-'Results'!B7*(0.5*((((453-43)*MAX('Inputs'!$B$33,'Inputs'!$B$29+'Inputs'!$B$31+'Inputs'!$B$32,'Inputs'!$B$30+'Inputs'!$B$31+'Inputs'!$B$32)/1000+'Inputs'!$B$21+'Inputs'!$B$9+'Inputs'!$B$10)+'Inputs'!$B$7)/SQRT((((453-43)*MAX('Inputs'!$B$33,'Inputs'!$B$29+'Inputs'!$B$31+'Inputs'!$B$32,'Inputs'!$B$30+'Inputs'!$B$31+'Inputs'!$B$32)/1000+'Inputs'!$B$21+'Inputs'!$B$9+'Inputs'!$B$10)+'Inputs'!$B$7)^2+('Inputs'!$B$6/2)^2)-(((453-43)*MAX('Inputs'!$B$33,'Inputs'!$B$29+'Inputs'!$B$31+'Inputs'!$B$32,'Inputs'!$B$30+'Inputs'!$B$31+'Inputs'!$B$32)/1000+'Inputs'!$B$21+'Inputs'!$B$9+'Inputs'!$B$10))/SQRT((((453-43)*MAX('Inputs'!$B$33,'Inputs'!$B$29+'Inputs'!$B$31+'Inputs'!$B$32,'Inputs'!$B$30+'Inputs'!$B$31+'Inputs'!$B$32)/1000+'Inputs'!$B$21+'Inputs'!$B$9+'Inputs'!$B$10))^2+('Inputs'!$B$6/2)^2))))*'Results'!$B$8),"")</x:f>
        <x:v>7.670543466815554</x:v>
      </x:c>
      <x:c r="N453" t="n">
        <x:f>IF(AND(ISNUMBER('Results'!C7),ISNUMBER('Results'!B7),ISNUMBER('Results'!$B$8),ISNUMBER('Inputs'!$B$6),ISNUMBER('Inputs'!$B$7),ISNUMBER('Inputs'!$B$8),ISNUMBER('Inputs'!$B$9),ISNUMBER('Inputs'!$B$10),ISNUMBER('Inputs'!$B$21),ISNUMBER('Inputs'!$B$24),ISNUMBER('Inputs'!$B$28)),((('Results'!C7*(1-'Inputs'!$B$24)*(0.5*((((453-43)*MAX('Inputs'!$B$33,'Inputs'!$B$29+'Inputs'!$B$31+'Inputs'!$B$32,'Inputs'!$B$30+'Inputs'!$B$31+'Inputs'!$B$32)/1000+'Inputs'!$B$21)+'Inputs'!$B$9)/SQRT((((453-43)*MAX('Inputs'!$B$33,'Inputs'!$B$29+'Inputs'!$B$31+'Inputs'!$B$32,'Inputs'!$B$30+'Inputs'!$B$31+'Inputs'!$B$32)/1000+'Inputs'!$B$21)+'Inputs'!$B$9)^2+('Inputs'!$B$8/2)^2)-(((453-43)*MAX('Inputs'!$B$33,'Inputs'!$B$29+'Inputs'!$B$31+'Inputs'!$B$32,'Inputs'!$B$30+'Inputs'!$B$31+'Inputs'!$B$32)/1000+'Inputs'!$B$21))/SQRT((((453-43)*MAX('Inputs'!$B$33,'Inputs'!$B$29+'Inputs'!$B$31+'Inputs'!$B$32,'Inputs'!$B$30+'Inputs'!$B$31+'Inputs'!$B$32)/1000+'Inputs'!$B$21))^2+('Inputs'!$B$8/2)^2)))-'Results'!B7*(1+'Inputs'!$B$24)*(0.5*((((453-43)*MAX('Inputs'!$B$33,'Inputs'!$B$29+'Inputs'!$B$31+'Inputs'!$B$32,'Inputs'!$B$30+'Inputs'!$B$31+'Inputs'!$B$32)/1000+'Inputs'!$B$21+'Inputs'!$B$9+'Inputs'!$B$10)+'Inputs'!$B$7)/SQRT((((453-43)*MAX('Inputs'!$B$33,'Inputs'!$B$29+'Inputs'!$B$31+'Inputs'!$B$32,'Inputs'!$B$30+'Inputs'!$B$31+'Inputs'!$B$32)/1000+'Inputs'!$B$21+'Inputs'!$B$9+'Inputs'!$B$10)+'Inputs'!$B$7)^2+('Inputs'!$B$6/2)^2)-(((453-43)*MAX('Inputs'!$B$33,'Inputs'!$B$29+'Inputs'!$B$31+'Inputs'!$B$32,'Inputs'!$B$30+'Inputs'!$B$31+'Inputs'!$B$32)/1000+'Inputs'!$B$21+'Inputs'!$B$9+'Inputs'!$B$10))/SQRT((((453-43)*MAX('Inputs'!$B$33,'Inputs'!$B$29+'Inputs'!$B$31+'Inputs'!$B$32,'Inputs'!$B$30+'Inputs'!$B$31+'Inputs'!$B$32)/1000+'Inputs'!$B$21+'Inputs'!$B$9+'Inputs'!$B$10))^2+('Inputs'!$B$6/2)^2))))*'Results'!$B$8)-'Inputs'!$B$28*ABS((('Results'!C7*(1-'Inputs'!$B$24)*(0.5*((((453-43)*MAX('Inputs'!$B$33,'Inputs'!$B$29+'Inputs'!$B$31+'Inputs'!$B$32,'Inputs'!$B$30+'Inputs'!$B$31+'Inputs'!$B$32)/1000+'Inputs'!$B$21)+'Inputs'!$B$9)/SQRT((((453-43)*MAX('Inputs'!$B$33,'Inputs'!$B$29+'Inputs'!$B$31+'Inputs'!$B$32,'Inputs'!$B$30+'Inputs'!$B$31+'Inputs'!$B$32)/1000+'Inputs'!$B$21)+'Inputs'!$B$9)^2+('Inputs'!$B$8/2)^2)-(((453-43)*MAX('Inputs'!$B$33,'Inputs'!$B$29+'Inputs'!$B$31+'Inputs'!$B$32,'Inputs'!$B$30+'Inputs'!$B$31+'Inputs'!$B$32)/1000+'Inputs'!$B$21))/SQRT((((453-43)*MAX('Inputs'!$B$33,'Inputs'!$B$29+'Inputs'!$B$31+'Inputs'!$B$32,'Inputs'!$B$30+'Inputs'!$B$31+'Inputs'!$B$32)/1000+'Inputs'!$B$21))^2+('Inputs'!$B$8/2)^2)))-'Results'!B7*(1+'Inputs'!$B$24)*(0.5*((((453-43)*MAX('Inputs'!$B$33,'Inputs'!$B$29+'Inputs'!$B$31+'Inputs'!$B$32,'Inputs'!$B$30+'Inputs'!$B$31+'Inputs'!$B$32)/1000+'Inputs'!$B$21+'Inputs'!$B$9+'Inputs'!$B$10)+'Inputs'!$B$7)/SQRT((((453-43)*MAX('Inputs'!$B$33,'Inputs'!$B$29+'Inputs'!$B$31+'Inputs'!$B$32,'Inputs'!$B$30+'Inputs'!$B$31+'Inputs'!$B$32)/1000+'Inputs'!$B$21+'Inputs'!$B$9+'Inputs'!$B$10)+'Inputs'!$B$7)^2+('Inputs'!$B$6/2)^2)-(((453-43)*MAX('Inputs'!$B$33,'Inputs'!$B$29+'Inputs'!$B$31+'Inputs'!$B$32,'Inputs'!$B$30+'Inputs'!$B$31+'Inputs'!$B$32)/1000+'Inputs'!$B$21+'Inputs'!$B$9+'Inputs'!$B$10))/SQRT((((453-43)*MAX('Inputs'!$B$33,'Inputs'!$B$29+'Inputs'!$B$31+'Inputs'!$B$32,'Inputs'!$B$30+'Inputs'!$B$31+'Inputs'!$B$32)/1000+'Inputs'!$B$21+'Inputs'!$B$9+'Inputs'!$B$10))^2+('Inputs'!$B$6/2)^2))))*'Results'!$B$8))),"")</x:f>
        <x:v>6.837045870646067</x:v>
      </x:c>
      <x:c r="O453" t="n">
        <x:f>IF(AND(ISNUMBER('Results'!C7),ISNUMBER('Results'!B7),ISNUMBER('Results'!$B$8),ISNUMBER('Inputs'!$B$6),ISNUMBER('Inputs'!$B$7),ISNUMBER('Inputs'!$B$8),ISNUMBER('Inputs'!$B$9),ISNUMBER('Inputs'!$B$10),ISNUMBER('Inputs'!$B$21),ISNUMBER('Inputs'!$B$24),ISNUMBER('Inputs'!$B$28)),((('Results'!C7*(1+'Inputs'!$B$24)*(0.5*((((453-43)*MAX('Inputs'!$B$33,'Inputs'!$B$29+'Inputs'!$B$31+'Inputs'!$B$32,'Inputs'!$B$30+'Inputs'!$B$31+'Inputs'!$B$32)/1000+'Inputs'!$B$21)+'Inputs'!$B$9)/SQRT((((453-43)*MAX('Inputs'!$B$33,'Inputs'!$B$29+'Inputs'!$B$31+'Inputs'!$B$32,'Inputs'!$B$30+'Inputs'!$B$31+'Inputs'!$B$32)/1000+'Inputs'!$B$21)+'Inputs'!$B$9)^2+('Inputs'!$B$8/2)^2)-(((453-43)*MAX('Inputs'!$B$33,'Inputs'!$B$29+'Inputs'!$B$31+'Inputs'!$B$32,'Inputs'!$B$30+'Inputs'!$B$31+'Inputs'!$B$32)/1000+'Inputs'!$B$21))/SQRT((((453-43)*MAX('Inputs'!$B$33,'Inputs'!$B$29+'Inputs'!$B$31+'Inputs'!$B$32,'Inputs'!$B$30+'Inputs'!$B$31+'Inputs'!$B$32)/1000+'Inputs'!$B$21))^2+('Inputs'!$B$8/2)^2)))-'Results'!B7*(1-'Inputs'!$B$24)*(0.5*((((453-43)*MAX('Inputs'!$B$33,'Inputs'!$B$29+'Inputs'!$B$31+'Inputs'!$B$32,'Inputs'!$B$30+'Inputs'!$B$31+'Inputs'!$B$32)/1000+'Inputs'!$B$21+'Inputs'!$B$9+'Inputs'!$B$10)+'Inputs'!$B$7)/SQRT((((453-43)*MAX('Inputs'!$B$33,'Inputs'!$B$29+'Inputs'!$B$31+'Inputs'!$B$32,'Inputs'!$B$30+'Inputs'!$B$31+'Inputs'!$B$32)/1000+'Inputs'!$B$21+'Inputs'!$B$9+'Inputs'!$B$10)+'Inputs'!$B$7)^2+('Inputs'!$B$6/2)^2)-(((453-43)*MAX('Inputs'!$B$33,'Inputs'!$B$29+'Inputs'!$B$31+'Inputs'!$B$32,'Inputs'!$B$30+'Inputs'!$B$31+'Inputs'!$B$32)/1000+'Inputs'!$B$21+'Inputs'!$B$9+'Inputs'!$B$10))/SQRT((((453-43)*MAX('Inputs'!$B$33,'Inputs'!$B$29+'Inputs'!$B$31+'Inputs'!$B$32,'Inputs'!$B$30+'Inputs'!$B$31+'Inputs'!$B$32)/1000+'Inputs'!$B$21+'Inputs'!$B$9+'Inputs'!$B$10))^2+('Inputs'!$B$6/2)^2))))*'Results'!$B$8)+'Inputs'!$B$28*ABS((('Results'!C7*(1+'Inputs'!$B$24)*(0.5*((((453-43)*MAX('Inputs'!$B$33,'Inputs'!$B$29+'Inputs'!$B$31+'Inputs'!$B$32,'Inputs'!$B$30+'Inputs'!$B$31+'Inputs'!$B$32)/1000+'Inputs'!$B$21)+'Inputs'!$B$9)/SQRT((((453-43)*MAX('Inputs'!$B$33,'Inputs'!$B$29+'Inputs'!$B$31+'Inputs'!$B$32,'Inputs'!$B$30+'Inputs'!$B$31+'Inputs'!$B$32)/1000+'Inputs'!$B$21)+'Inputs'!$B$9)^2+('Inputs'!$B$8/2)^2)-(((453-43)*MAX('Inputs'!$B$33,'Inputs'!$B$29+'Inputs'!$B$31+'Inputs'!$B$32,'Inputs'!$B$30+'Inputs'!$B$31+'Inputs'!$B$32)/1000+'Inputs'!$B$21))/SQRT((((453-43)*MAX('Inputs'!$B$33,'Inputs'!$B$29+'Inputs'!$B$31+'Inputs'!$B$32,'Inputs'!$B$30+'Inputs'!$B$31+'Inputs'!$B$32)/1000+'Inputs'!$B$21))^2+('Inputs'!$B$8/2)^2)))-'Results'!B7*(1-'Inputs'!$B$24)*(0.5*((((453-43)*MAX('Inputs'!$B$33,'Inputs'!$B$29+'Inputs'!$B$31+'Inputs'!$B$32,'Inputs'!$B$30+'Inputs'!$B$31+'Inputs'!$B$32)/1000+'Inputs'!$B$21+'Inputs'!$B$9+'Inputs'!$B$10)+'Inputs'!$B$7)/SQRT((((453-43)*MAX('Inputs'!$B$33,'Inputs'!$B$29+'Inputs'!$B$31+'Inputs'!$B$32,'Inputs'!$B$30+'Inputs'!$B$31+'Inputs'!$B$32)/1000+'Inputs'!$B$21+'Inputs'!$B$9+'Inputs'!$B$10)+'Inputs'!$B$7)^2+('Inputs'!$B$6/2)^2)-(((453-43)*MAX('Inputs'!$B$33,'Inputs'!$B$29+'Inputs'!$B$31+'Inputs'!$B$32,'Inputs'!$B$30+'Inputs'!$B$31+'Inputs'!$B$32)/1000+'Inputs'!$B$21+'Inputs'!$B$9+'Inputs'!$B$10))/SQRT((((453-43)*MAX('Inputs'!$B$33,'Inputs'!$B$29+'Inputs'!$B$31+'Inputs'!$B$32,'Inputs'!$B$30+'Inputs'!$B$31+'Inputs'!$B$32)/1000+'Inputs'!$B$21+'Inputs'!$B$9+'Inputs'!$B$10))^2+('Inputs'!$B$6/2)^2))))*'Results'!$B$8))),"")</x:f>
        <x:v>8.551406370651224</x:v>
      </x:c>
      <x:c r="P453" t="n">
        <x:f>IF(AND(MAX(J453,J452)&gt;0,J453&gt;J452+0.00000001),1,0)</x:f>
        <x:v>0</x:v>
      </x:c>
      <x:c r="Q453" t="n">
        <x:f>IF(AND(MAX(K453,K452)&gt;0,K453&gt;K452+0.00000001),1,0)</x:f>
        <x:v>0</x:v>
      </x:c>
      <x:c r="R453" t="n">
        <x:f>IF(AND(MAX(L453,L452)&gt;0,L453&gt;L452+0.00000001),1,0)</x:f>
        <x:v>0</x:v>
      </x:c>
      <x:c r="S453" t="n">
        <x:f>IF(AND(MAX(M453,M452)&gt;0,M453&gt;M452+0.00000001),1,0)</x:f>
        <x:v>0</x:v>
      </x:c>
      <x:c r="T453" t="n">
        <x:f>IF(AND(MAX(N453,N452)&gt;0,N453&gt;N452+0.00000001),1,0)</x:f>
        <x:v>0</x:v>
      </x:c>
      <x:c r="U453" t="n">
        <x:f>IF(AND(MAX(O453,O452)&gt;0,O453&gt;O452+0.00000001),1,0)</x:f>
        <x:v>0</x:v>
      </x:c>
    </x:row>
    <x:row r="454">
      <x:c r="J454" t="n">
        <x:f>IF(AND(ISNUMBER('Results'!B7),ISNUMBER('Results'!C7),ISNUMBER('Results'!$B$8),ISNUMBER('Inputs'!$B$6),ISNUMBER('Inputs'!$B$7),ISNUMBER('Inputs'!$B$8),ISNUMBER('Inputs'!$B$9),ISNUMBER('Inputs'!$B$10),ISNUMBER('Inputs'!$B$21),ISNUMBER('Inputs'!$B$24),ISNUMBER('Inputs'!$B$28)),(('Results'!B7*(0.5*((((454-43)*MAX('Inputs'!$B$33,'Inputs'!$B$29+'Inputs'!$B$31+'Inputs'!$B$32,'Inputs'!$B$30+'Inputs'!$B$31+'Inputs'!$B$32)/1000+'Inputs'!$B$21)+'Inputs'!$B$7)/SQRT((((454-43)*MAX('Inputs'!$B$33,'Inputs'!$B$29+'Inputs'!$B$31+'Inputs'!$B$32,'Inputs'!$B$30+'Inputs'!$B$31+'Inputs'!$B$32)/1000+'Inputs'!$B$21)+'Inputs'!$B$7)^2+('Inputs'!$B$6/2)^2)-(((454-43)*MAX('Inputs'!$B$33,'Inputs'!$B$29+'Inputs'!$B$31+'Inputs'!$B$32,'Inputs'!$B$30+'Inputs'!$B$31+'Inputs'!$B$32)/1000+'Inputs'!$B$21))/SQRT((((454-43)*MAX('Inputs'!$B$33,'Inputs'!$B$29+'Inputs'!$B$31+'Inputs'!$B$32,'Inputs'!$B$30+'Inputs'!$B$31+'Inputs'!$B$32)/1000+'Inputs'!$B$21))^2+('Inputs'!$B$6/2)^2)))-'Results'!C7*(0.5*((((454-43)*MAX('Inputs'!$B$33,'Inputs'!$B$29+'Inputs'!$B$31+'Inputs'!$B$32,'Inputs'!$B$30+'Inputs'!$B$31+'Inputs'!$B$32)/1000+'Inputs'!$B$21+'Inputs'!$B$7+'Inputs'!$B$10)+'Inputs'!$B$9)/SQRT((((454-43)*MAX('Inputs'!$B$33,'Inputs'!$B$29+'Inputs'!$B$31+'Inputs'!$B$32,'Inputs'!$B$30+'Inputs'!$B$31+'Inputs'!$B$32)/1000+'Inputs'!$B$21+'Inputs'!$B$7+'Inputs'!$B$10)+'Inputs'!$B$9)^2+('Inputs'!$B$8/2)^2)-(((454-43)*MAX('Inputs'!$B$33,'Inputs'!$B$29+'Inputs'!$B$31+'Inputs'!$B$32,'Inputs'!$B$30+'Inputs'!$B$31+'Inputs'!$B$32)/1000+'Inputs'!$B$21+'Inputs'!$B$7+'Inputs'!$B$10))/SQRT((((454-43)*MAX('Inputs'!$B$33,'Inputs'!$B$29+'Inputs'!$B$31+'Inputs'!$B$32,'Inputs'!$B$30+'Inputs'!$B$31+'Inputs'!$B$32)/1000+'Inputs'!$B$21+'Inputs'!$B$7+'Inputs'!$B$10))^2+('Inputs'!$B$8/2)^2))))*'Results'!$B$8),"")</x:f>
        <x:v>8.085086804895834</x:v>
      </x:c>
      <x:c r="K454" t="n">
        <x:f>IF(AND(ISNUMBER('Results'!B7),ISNUMBER('Results'!C7),ISNUMBER('Results'!$B$8),ISNUMBER('Inputs'!$B$6),ISNUMBER('Inputs'!$B$7),ISNUMBER('Inputs'!$B$8),ISNUMBER('Inputs'!$B$9),ISNUMBER('Inputs'!$B$10),ISNUMBER('Inputs'!$B$21),ISNUMBER('Inputs'!$B$24),ISNUMBER('Inputs'!$B$28)),((('Results'!B7*(1-'Inputs'!$B$24)*(0.5*((((454-43)*MAX('Inputs'!$B$33,'Inputs'!$B$29+'Inputs'!$B$31+'Inputs'!$B$32,'Inputs'!$B$30+'Inputs'!$B$31+'Inputs'!$B$32)/1000+'Inputs'!$B$21)+'Inputs'!$B$7)/SQRT((((454-43)*MAX('Inputs'!$B$33,'Inputs'!$B$29+'Inputs'!$B$31+'Inputs'!$B$32,'Inputs'!$B$30+'Inputs'!$B$31+'Inputs'!$B$32)/1000+'Inputs'!$B$21)+'Inputs'!$B$7)^2+('Inputs'!$B$6/2)^2)-(((454-43)*MAX('Inputs'!$B$33,'Inputs'!$B$29+'Inputs'!$B$31+'Inputs'!$B$32,'Inputs'!$B$30+'Inputs'!$B$31+'Inputs'!$B$32)/1000+'Inputs'!$B$21))/SQRT((((454-43)*MAX('Inputs'!$B$33,'Inputs'!$B$29+'Inputs'!$B$31+'Inputs'!$B$32,'Inputs'!$B$30+'Inputs'!$B$31+'Inputs'!$B$32)/1000+'Inputs'!$B$21))^2+('Inputs'!$B$6/2)^2)))-'Results'!C7*(1+'Inputs'!$B$24)*(0.5*((((454-43)*MAX('Inputs'!$B$33,'Inputs'!$B$29+'Inputs'!$B$31+'Inputs'!$B$32,'Inputs'!$B$30+'Inputs'!$B$31+'Inputs'!$B$32)/1000+'Inputs'!$B$21+'Inputs'!$B$7+'Inputs'!$B$10)+'Inputs'!$B$9)/SQRT((((454-43)*MAX('Inputs'!$B$33,'Inputs'!$B$29+'Inputs'!$B$31+'Inputs'!$B$32,'Inputs'!$B$30+'Inputs'!$B$31+'Inputs'!$B$32)/1000+'Inputs'!$B$21+'Inputs'!$B$7+'Inputs'!$B$10)+'Inputs'!$B$9)^2+('Inputs'!$B$8/2)^2)-(((454-43)*MAX('Inputs'!$B$33,'Inputs'!$B$29+'Inputs'!$B$31+'Inputs'!$B$32,'Inputs'!$B$30+'Inputs'!$B$31+'Inputs'!$B$32)/1000+'Inputs'!$B$21+'Inputs'!$B$7+'Inputs'!$B$10))/SQRT((((454-43)*MAX('Inputs'!$B$33,'Inputs'!$B$29+'Inputs'!$B$31+'Inputs'!$B$32,'Inputs'!$B$30+'Inputs'!$B$31+'Inputs'!$B$32)/1000+'Inputs'!$B$21+'Inputs'!$B$7+'Inputs'!$B$10))^2+('Inputs'!$B$8/2)^2))))*'Results'!$B$8)-'Inputs'!$B$28*ABS((('Results'!B7*(1-'Inputs'!$B$24)*(0.5*((((454-43)*MAX('Inputs'!$B$33,'Inputs'!$B$29+'Inputs'!$B$31+'Inputs'!$B$32,'Inputs'!$B$30+'Inputs'!$B$31+'Inputs'!$B$32)/1000+'Inputs'!$B$21)+'Inputs'!$B$7)/SQRT((((454-43)*MAX('Inputs'!$B$33,'Inputs'!$B$29+'Inputs'!$B$31+'Inputs'!$B$32,'Inputs'!$B$30+'Inputs'!$B$31+'Inputs'!$B$32)/1000+'Inputs'!$B$21)+'Inputs'!$B$7)^2+('Inputs'!$B$6/2)^2)-(((454-43)*MAX('Inputs'!$B$33,'Inputs'!$B$29+'Inputs'!$B$31+'Inputs'!$B$32,'Inputs'!$B$30+'Inputs'!$B$31+'Inputs'!$B$32)/1000+'Inputs'!$B$21))/SQRT((((454-43)*MAX('Inputs'!$B$33,'Inputs'!$B$29+'Inputs'!$B$31+'Inputs'!$B$32,'Inputs'!$B$30+'Inputs'!$B$31+'Inputs'!$B$32)/1000+'Inputs'!$B$21))^2+('Inputs'!$B$6/2)^2)))-'Results'!C7*(1+'Inputs'!$B$24)*(0.5*((((454-43)*MAX('Inputs'!$B$33,'Inputs'!$B$29+'Inputs'!$B$31+'Inputs'!$B$32,'Inputs'!$B$30+'Inputs'!$B$31+'Inputs'!$B$32)/1000+'Inputs'!$B$21+'Inputs'!$B$7+'Inputs'!$B$10)+'Inputs'!$B$9)/SQRT((((454-43)*MAX('Inputs'!$B$33,'Inputs'!$B$29+'Inputs'!$B$31+'Inputs'!$B$32,'Inputs'!$B$30+'Inputs'!$B$31+'Inputs'!$B$32)/1000+'Inputs'!$B$21+'Inputs'!$B$7+'Inputs'!$B$10)+'Inputs'!$B$9)^2+('Inputs'!$B$8/2)^2)-(((454-43)*MAX('Inputs'!$B$33,'Inputs'!$B$29+'Inputs'!$B$31+'Inputs'!$B$32,'Inputs'!$B$30+'Inputs'!$B$31+'Inputs'!$B$32)/1000+'Inputs'!$B$21+'Inputs'!$B$7+'Inputs'!$B$10))/SQRT((((454-43)*MAX('Inputs'!$B$33,'Inputs'!$B$29+'Inputs'!$B$31+'Inputs'!$B$32,'Inputs'!$B$30+'Inputs'!$B$31+'Inputs'!$B$32)/1000+'Inputs'!$B$21+'Inputs'!$B$7+'Inputs'!$B$10))^2+('Inputs'!$B$8/2)^2))))*'Results'!$B$8))),"")</x:f>
        <x:v>7.23067561411957</x:v>
      </x:c>
      <x:c r="L454" t="n">
        <x:f>IF(AND(ISNUMBER('Results'!B7),ISNUMBER('Results'!C7),ISNUMBER('Results'!$B$8),ISNUMBER('Inputs'!$B$6),ISNUMBER('Inputs'!$B$7),ISNUMBER('Inputs'!$B$8),ISNUMBER('Inputs'!$B$9),ISNUMBER('Inputs'!$B$10),ISNUMBER('Inputs'!$B$21),ISNUMBER('Inputs'!$B$24),ISNUMBER('Inputs'!$B$28)),((('Results'!B7*(1+'Inputs'!$B$24)*(0.5*((((454-43)*MAX('Inputs'!$B$33,'Inputs'!$B$29+'Inputs'!$B$31+'Inputs'!$B$32,'Inputs'!$B$30+'Inputs'!$B$31+'Inputs'!$B$32)/1000+'Inputs'!$B$21)+'Inputs'!$B$7)/SQRT((((454-43)*MAX('Inputs'!$B$33,'Inputs'!$B$29+'Inputs'!$B$31+'Inputs'!$B$32,'Inputs'!$B$30+'Inputs'!$B$31+'Inputs'!$B$32)/1000+'Inputs'!$B$21)+'Inputs'!$B$7)^2+('Inputs'!$B$6/2)^2)-(((454-43)*MAX('Inputs'!$B$33,'Inputs'!$B$29+'Inputs'!$B$31+'Inputs'!$B$32,'Inputs'!$B$30+'Inputs'!$B$31+'Inputs'!$B$32)/1000+'Inputs'!$B$21))/SQRT((((454-43)*MAX('Inputs'!$B$33,'Inputs'!$B$29+'Inputs'!$B$31+'Inputs'!$B$32,'Inputs'!$B$30+'Inputs'!$B$31+'Inputs'!$B$32)/1000+'Inputs'!$B$21))^2+('Inputs'!$B$6/2)^2)))-'Results'!C7*(1-'Inputs'!$B$24)*(0.5*((((454-43)*MAX('Inputs'!$B$33,'Inputs'!$B$29+'Inputs'!$B$31+'Inputs'!$B$32,'Inputs'!$B$30+'Inputs'!$B$31+'Inputs'!$B$32)/1000+'Inputs'!$B$21+'Inputs'!$B$7+'Inputs'!$B$10)+'Inputs'!$B$9)/SQRT((((454-43)*MAX('Inputs'!$B$33,'Inputs'!$B$29+'Inputs'!$B$31+'Inputs'!$B$32,'Inputs'!$B$30+'Inputs'!$B$31+'Inputs'!$B$32)/1000+'Inputs'!$B$21+'Inputs'!$B$7+'Inputs'!$B$10)+'Inputs'!$B$9)^2+('Inputs'!$B$8/2)^2)-(((454-43)*MAX('Inputs'!$B$33,'Inputs'!$B$29+'Inputs'!$B$31+'Inputs'!$B$32,'Inputs'!$B$30+'Inputs'!$B$31+'Inputs'!$B$32)/1000+'Inputs'!$B$21+'Inputs'!$B$7+'Inputs'!$B$10))/SQRT((((454-43)*MAX('Inputs'!$B$33,'Inputs'!$B$29+'Inputs'!$B$31+'Inputs'!$B$32,'Inputs'!$B$30+'Inputs'!$B$31+'Inputs'!$B$32)/1000+'Inputs'!$B$21+'Inputs'!$B$7+'Inputs'!$B$10))^2+('Inputs'!$B$8/2)^2))))*'Results'!$B$8)+'Inputs'!$B$28*ABS((('Results'!B7*(1+'Inputs'!$B$24)*(0.5*((((454-43)*MAX('Inputs'!$B$33,'Inputs'!$B$29+'Inputs'!$B$31+'Inputs'!$B$32,'Inputs'!$B$30+'Inputs'!$B$31+'Inputs'!$B$32)/1000+'Inputs'!$B$21)+'Inputs'!$B$7)/SQRT((((454-43)*MAX('Inputs'!$B$33,'Inputs'!$B$29+'Inputs'!$B$31+'Inputs'!$B$32,'Inputs'!$B$30+'Inputs'!$B$31+'Inputs'!$B$32)/1000+'Inputs'!$B$21)+'Inputs'!$B$7)^2+('Inputs'!$B$6/2)^2)-(((454-43)*MAX('Inputs'!$B$33,'Inputs'!$B$29+'Inputs'!$B$31+'Inputs'!$B$32,'Inputs'!$B$30+'Inputs'!$B$31+'Inputs'!$B$32)/1000+'Inputs'!$B$21))/SQRT((((454-43)*MAX('Inputs'!$B$33,'Inputs'!$B$29+'Inputs'!$B$31+'Inputs'!$B$32,'Inputs'!$B$30+'Inputs'!$B$31+'Inputs'!$B$32)/1000+'Inputs'!$B$21))^2+('Inputs'!$B$6/2)^2)))-'Results'!C7*(1-'Inputs'!$B$24)*(0.5*((((454-43)*MAX('Inputs'!$B$33,'Inputs'!$B$29+'Inputs'!$B$31+'Inputs'!$B$32,'Inputs'!$B$30+'Inputs'!$B$31+'Inputs'!$B$32)/1000+'Inputs'!$B$21+'Inputs'!$B$7+'Inputs'!$B$10)+'Inputs'!$B$9)/SQRT((((454-43)*MAX('Inputs'!$B$33,'Inputs'!$B$29+'Inputs'!$B$31+'Inputs'!$B$32,'Inputs'!$B$30+'Inputs'!$B$31+'Inputs'!$B$32)/1000+'Inputs'!$B$21+'Inputs'!$B$7+'Inputs'!$B$10)+'Inputs'!$B$9)^2+('Inputs'!$B$8/2)^2)-(((454-43)*MAX('Inputs'!$B$33,'Inputs'!$B$29+'Inputs'!$B$31+'Inputs'!$B$32,'Inputs'!$B$30+'Inputs'!$B$31+'Inputs'!$B$32)/1000+'Inputs'!$B$21+'Inputs'!$B$7+'Inputs'!$B$10))/SQRT((((454-43)*MAX('Inputs'!$B$33,'Inputs'!$B$29+'Inputs'!$B$31+'Inputs'!$B$32,'Inputs'!$B$30+'Inputs'!$B$31+'Inputs'!$B$32)/1000+'Inputs'!$B$21+'Inputs'!$B$7+'Inputs'!$B$10))^2+('Inputs'!$B$8/2)^2))))*'Results'!$B$8))),"")</x:f>
        <x:v>8.986882927306986</x:v>
      </x:c>
      <x:c r="M454" t="n">
        <x:f>IF(AND(ISNUMBER('Results'!C7),ISNUMBER('Results'!B7),ISNUMBER('Results'!$B$8),ISNUMBER('Inputs'!$B$6),ISNUMBER('Inputs'!$B$7),ISNUMBER('Inputs'!$B$8),ISNUMBER('Inputs'!$B$9),ISNUMBER('Inputs'!$B$10),ISNUMBER('Inputs'!$B$21),ISNUMBER('Inputs'!$B$24),ISNUMBER('Inputs'!$B$28)),(('Results'!C7*(0.5*((((454-43)*MAX('Inputs'!$B$33,'Inputs'!$B$29+'Inputs'!$B$31+'Inputs'!$B$32,'Inputs'!$B$30+'Inputs'!$B$31+'Inputs'!$B$32)/1000+'Inputs'!$B$21)+'Inputs'!$B$9)/SQRT((((454-43)*MAX('Inputs'!$B$33,'Inputs'!$B$29+'Inputs'!$B$31+'Inputs'!$B$32,'Inputs'!$B$30+'Inputs'!$B$31+'Inputs'!$B$32)/1000+'Inputs'!$B$21)+'Inputs'!$B$9)^2+('Inputs'!$B$8/2)^2)-(((454-43)*MAX('Inputs'!$B$33,'Inputs'!$B$29+'Inputs'!$B$31+'Inputs'!$B$32,'Inputs'!$B$30+'Inputs'!$B$31+'Inputs'!$B$32)/1000+'Inputs'!$B$21))/SQRT((((454-43)*MAX('Inputs'!$B$33,'Inputs'!$B$29+'Inputs'!$B$31+'Inputs'!$B$32,'Inputs'!$B$30+'Inputs'!$B$31+'Inputs'!$B$32)/1000+'Inputs'!$B$21))^2+('Inputs'!$B$8/2)^2)))-'Results'!B7*(0.5*((((454-43)*MAX('Inputs'!$B$33,'Inputs'!$B$29+'Inputs'!$B$31+'Inputs'!$B$32,'Inputs'!$B$30+'Inputs'!$B$31+'Inputs'!$B$32)/1000+'Inputs'!$B$21+'Inputs'!$B$9+'Inputs'!$B$10)+'Inputs'!$B$7)/SQRT((((454-43)*MAX('Inputs'!$B$33,'Inputs'!$B$29+'Inputs'!$B$31+'Inputs'!$B$32,'Inputs'!$B$30+'Inputs'!$B$31+'Inputs'!$B$32)/1000+'Inputs'!$B$21+'Inputs'!$B$9+'Inputs'!$B$10)+'Inputs'!$B$7)^2+('Inputs'!$B$6/2)^2)-(((454-43)*MAX('Inputs'!$B$33,'Inputs'!$B$29+'Inputs'!$B$31+'Inputs'!$B$32,'Inputs'!$B$30+'Inputs'!$B$31+'Inputs'!$B$32)/1000+'Inputs'!$B$21+'Inputs'!$B$9+'Inputs'!$B$10))/SQRT((((454-43)*MAX('Inputs'!$B$33,'Inputs'!$B$29+'Inputs'!$B$31+'Inputs'!$B$32,'Inputs'!$B$30+'Inputs'!$B$31+'Inputs'!$B$32)/1000+'Inputs'!$B$21+'Inputs'!$B$9+'Inputs'!$B$10))^2+('Inputs'!$B$6/2)^2))))*'Results'!$B$8),"")</x:f>
        <x:v>7.6080523091566</x:v>
      </x:c>
      <x:c r="N454" t="n">
        <x:f>IF(AND(ISNUMBER('Results'!C7),ISNUMBER('Results'!B7),ISNUMBER('Results'!$B$8),ISNUMBER('Inputs'!$B$6),ISNUMBER('Inputs'!$B$7),ISNUMBER('Inputs'!$B$8),ISNUMBER('Inputs'!$B$9),ISNUMBER('Inputs'!$B$10),ISNUMBER('Inputs'!$B$21),ISNUMBER('Inputs'!$B$24),ISNUMBER('Inputs'!$B$28)),((('Results'!C7*(1-'Inputs'!$B$24)*(0.5*((((454-43)*MAX('Inputs'!$B$33,'Inputs'!$B$29+'Inputs'!$B$31+'Inputs'!$B$32,'Inputs'!$B$30+'Inputs'!$B$31+'Inputs'!$B$32)/1000+'Inputs'!$B$21)+'Inputs'!$B$9)/SQRT((((454-43)*MAX('Inputs'!$B$33,'Inputs'!$B$29+'Inputs'!$B$31+'Inputs'!$B$32,'Inputs'!$B$30+'Inputs'!$B$31+'Inputs'!$B$32)/1000+'Inputs'!$B$21)+'Inputs'!$B$9)^2+('Inputs'!$B$8/2)^2)-(((454-43)*MAX('Inputs'!$B$33,'Inputs'!$B$29+'Inputs'!$B$31+'Inputs'!$B$32,'Inputs'!$B$30+'Inputs'!$B$31+'Inputs'!$B$32)/1000+'Inputs'!$B$21))/SQRT((((454-43)*MAX('Inputs'!$B$33,'Inputs'!$B$29+'Inputs'!$B$31+'Inputs'!$B$32,'Inputs'!$B$30+'Inputs'!$B$31+'Inputs'!$B$32)/1000+'Inputs'!$B$21))^2+('Inputs'!$B$8/2)^2)))-'Results'!B7*(1+'Inputs'!$B$24)*(0.5*((((454-43)*MAX('Inputs'!$B$33,'Inputs'!$B$29+'Inputs'!$B$31+'Inputs'!$B$32,'Inputs'!$B$30+'Inputs'!$B$31+'Inputs'!$B$32)/1000+'Inputs'!$B$21+'Inputs'!$B$9+'Inputs'!$B$10)+'Inputs'!$B$7)/SQRT((((454-43)*MAX('Inputs'!$B$33,'Inputs'!$B$29+'Inputs'!$B$31+'Inputs'!$B$32,'Inputs'!$B$30+'Inputs'!$B$31+'Inputs'!$B$32)/1000+'Inputs'!$B$21+'Inputs'!$B$9+'Inputs'!$B$10)+'Inputs'!$B$7)^2+('Inputs'!$B$6/2)^2)-(((454-43)*MAX('Inputs'!$B$33,'Inputs'!$B$29+'Inputs'!$B$31+'Inputs'!$B$32,'Inputs'!$B$30+'Inputs'!$B$31+'Inputs'!$B$32)/1000+'Inputs'!$B$21+'Inputs'!$B$9+'Inputs'!$B$10))/SQRT((((454-43)*MAX('Inputs'!$B$33,'Inputs'!$B$29+'Inputs'!$B$31+'Inputs'!$B$32,'Inputs'!$B$30+'Inputs'!$B$31+'Inputs'!$B$32)/1000+'Inputs'!$B$21+'Inputs'!$B$9+'Inputs'!$B$10))^2+('Inputs'!$B$6/2)^2))))*'Results'!$B$8)-'Inputs'!$B$28*ABS((('Results'!C7*(1-'Inputs'!$B$24)*(0.5*((((454-43)*MAX('Inputs'!$B$33,'Inputs'!$B$29+'Inputs'!$B$31+'Inputs'!$B$32,'Inputs'!$B$30+'Inputs'!$B$31+'Inputs'!$B$32)/1000+'Inputs'!$B$21)+'Inputs'!$B$9)/SQRT((((454-43)*MAX('Inputs'!$B$33,'Inputs'!$B$29+'Inputs'!$B$31+'Inputs'!$B$32,'Inputs'!$B$30+'Inputs'!$B$31+'Inputs'!$B$32)/1000+'Inputs'!$B$21)+'Inputs'!$B$9)^2+('Inputs'!$B$8/2)^2)-(((454-43)*MAX('Inputs'!$B$33,'Inputs'!$B$29+'Inputs'!$B$31+'Inputs'!$B$32,'Inputs'!$B$30+'Inputs'!$B$31+'Inputs'!$B$32)/1000+'Inputs'!$B$21))/SQRT((((454-43)*MAX('Inputs'!$B$33,'Inputs'!$B$29+'Inputs'!$B$31+'Inputs'!$B$32,'Inputs'!$B$30+'Inputs'!$B$31+'Inputs'!$B$32)/1000+'Inputs'!$B$21))^2+('Inputs'!$B$8/2)^2)))-'Results'!B7*(1+'Inputs'!$B$24)*(0.5*((((454-43)*MAX('Inputs'!$B$33,'Inputs'!$B$29+'Inputs'!$B$31+'Inputs'!$B$32,'Inputs'!$B$30+'Inputs'!$B$31+'Inputs'!$B$32)/1000+'Inputs'!$B$21+'Inputs'!$B$9+'Inputs'!$B$10)+'Inputs'!$B$7)/SQRT((((454-43)*MAX('Inputs'!$B$33,'Inputs'!$B$29+'Inputs'!$B$31+'Inputs'!$B$32,'Inputs'!$B$30+'Inputs'!$B$31+'Inputs'!$B$32)/1000+'Inputs'!$B$21+'Inputs'!$B$9+'Inputs'!$B$10)+'Inputs'!$B$7)^2+('Inputs'!$B$6/2)^2)-(((454-43)*MAX('Inputs'!$B$33,'Inputs'!$B$29+'Inputs'!$B$31+'Inputs'!$B$32,'Inputs'!$B$30+'Inputs'!$B$31+'Inputs'!$B$32)/1000+'Inputs'!$B$21+'Inputs'!$B$9+'Inputs'!$B$10))/SQRT((((454-43)*MAX('Inputs'!$B$33,'Inputs'!$B$29+'Inputs'!$B$31+'Inputs'!$B$32,'Inputs'!$B$30+'Inputs'!$B$31+'Inputs'!$B$32)/1000+'Inputs'!$B$21+'Inputs'!$B$9+'Inputs'!$B$10))^2+('Inputs'!$B$6/2)^2))))*'Results'!$B$8))),"")</x:f>
        <x:v>6.780504657744745</x:v>
      </x:c>
      <x:c r="O454" t="n">
        <x:f>IF(AND(ISNUMBER('Results'!C7),ISNUMBER('Results'!B7),ISNUMBER('Results'!$B$8),ISNUMBER('Inputs'!$B$6),ISNUMBER('Inputs'!$B$7),ISNUMBER('Inputs'!$B$8),ISNUMBER('Inputs'!$B$9),ISNUMBER('Inputs'!$B$10),ISNUMBER('Inputs'!$B$21),ISNUMBER('Inputs'!$B$24),ISNUMBER('Inputs'!$B$28)),((('Results'!C7*(1+'Inputs'!$B$24)*(0.5*((((454-43)*MAX('Inputs'!$B$33,'Inputs'!$B$29+'Inputs'!$B$31+'Inputs'!$B$32,'Inputs'!$B$30+'Inputs'!$B$31+'Inputs'!$B$32)/1000+'Inputs'!$B$21)+'Inputs'!$B$9)/SQRT((((454-43)*MAX('Inputs'!$B$33,'Inputs'!$B$29+'Inputs'!$B$31+'Inputs'!$B$32,'Inputs'!$B$30+'Inputs'!$B$31+'Inputs'!$B$32)/1000+'Inputs'!$B$21)+'Inputs'!$B$9)^2+('Inputs'!$B$8/2)^2)-(((454-43)*MAX('Inputs'!$B$33,'Inputs'!$B$29+'Inputs'!$B$31+'Inputs'!$B$32,'Inputs'!$B$30+'Inputs'!$B$31+'Inputs'!$B$32)/1000+'Inputs'!$B$21))/SQRT((((454-43)*MAX('Inputs'!$B$33,'Inputs'!$B$29+'Inputs'!$B$31+'Inputs'!$B$32,'Inputs'!$B$30+'Inputs'!$B$31+'Inputs'!$B$32)/1000+'Inputs'!$B$21))^2+('Inputs'!$B$8/2)^2)))-'Results'!B7*(1-'Inputs'!$B$24)*(0.5*((((454-43)*MAX('Inputs'!$B$33,'Inputs'!$B$29+'Inputs'!$B$31+'Inputs'!$B$32,'Inputs'!$B$30+'Inputs'!$B$31+'Inputs'!$B$32)/1000+'Inputs'!$B$21+'Inputs'!$B$9+'Inputs'!$B$10)+'Inputs'!$B$7)/SQRT((((454-43)*MAX('Inputs'!$B$33,'Inputs'!$B$29+'Inputs'!$B$31+'Inputs'!$B$32,'Inputs'!$B$30+'Inputs'!$B$31+'Inputs'!$B$32)/1000+'Inputs'!$B$21+'Inputs'!$B$9+'Inputs'!$B$10)+'Inputs'!$B$7)^2+('Inputs'!$B$6/2)^2)-(((454-43)*MAX('Inputs'!$B$33,'Inputs'!$B$29+'Inputs'!$B$31+'Inputs'!$B$32,'Inputs'!$B$30+'Inputs'!$B$31+'Inputs'!$B$32)/1000+'Inputs'!$B$21+'Inputs'!$B$9+'Inputs'!$B$10))/SQRT((((454-43)*MAX('Inputs'!$B$33,'Inputs'!$B$29+'Inputs'!$B$31+'Inputs'!$B$32,'Inputs'!$B$30+'Inputs'!$B$31+'Inputs'!$B$32)/1000+'Inputs'!$B$21+'Inputs'!$B$9+'Inputs'!$B$10))^2+('Inputs'!$B$6/2)^2))))*'Results'!$B$8)+'Inputs'!$B$28*ABS((('Results'!C7*(1+'Inputs'!$B$24)*(0.5*((((454-43)*MAX('Inputs'!$B$33,'Inputs'!$B$29+'Inputs'!$B$31+'Inputs'!$B$32,'Inputs'!$B$30+'Inputs'!$B$31+'Inputs'!$B$32)/1000+'Inputs'!$B$21)+'Inputs'!$B$9)/SQRT((((454-43)*MAX('Inputs'!$B$33,'Inputs'!$B$29+'Inputs'!$B$31+'Inputs'!$B$32,'Inputs'!$B$30+'Inputs'!$B$31+'Inputs'!$B$32)/1000+'Inputs'!$B$21)+'Inputs'!$B$9)^2+('Inputs'!$B$8/2)^2)-(((454-43)*MAX('Inputs'!$B$33,'Inputs'!$B$29+'Inputs'!$B$31+'Inputs'!$B$32,'Inputs'!$B$30+'Inputs'!$B$31+'Inputs'!$B$32)/1000+'Inputs'!$B$21))/SQRT((((454-43)*MAX('Inputs'!$B$33,'Inputs'!$B$29+'Inputs'!$B$31+'Inputs'!$B$32,'Inputs'!$B$30+'Inputs'!$B$31+'Inputs'!$B$32)/1000+'Inputs'!$B$21))^2+('Inputs'!$B$8/2)^2)))-'Results'!B7*(1-'Inputs'!$B$24)*(0.5*((((454-43)*MAX('Inputs'!$B$33,'Inputs'!$B$29+'Inputs'!$B$31+'Inputs'!$B$32,'Inputs'!$B$30+'Inputs'!$B$31+'Inputs'!$B$32)/1000+'Inputs'!$B$21+'Inputs'!$B$9+'Inputs'!$B$10)+'Inputs'!$B$7)/SQRT((((454-43)*MAX('Inputs'!$B$33,'Inputs'!$B$29+'Inputs'!$B$31+'Inputs'!$B$32,'Inputs'!$B$30+'Inputs'!$B$31+'Inputs'!$B$32)/1000+'Inputs'!$B$21+'Inputs'!$B$9+'Inputs'!$B$10)+'Inputs'!$B$7)^2+('Inputs'!$B$6/2)^2)-(((454-43)*MAX('Inputs'!$B$33,'Inputs'!$B$29+'Inputs'!$B$31+'Inputs'!$B$32,'Inputs'!$B$30+'Inputs'!$B$31+'Inputs'!$B$32)/1000+'Inputs'!$B$21+'Inputs'!$B$9+'Inputs'!$B$10))/SQRT((((454-43)*MAX('Inputs'!$B$33,'Inputs'!$B$29+'Inputs'!$B$31+'Inputs'!$B$32,'Inputs'!$B$30+'Inputs'!$B$31+'Inputs'!$B$32)/1000+'Inputs'!$B$21+'Inputs'!$B$9+'Inputs'!$B$10))^2+('Inputs'!$B$6/2)^2))))*'Results'!$B$8))),"")</x:f>
        <x:v>8.482667859089933</x:v>
      </x:c>
      <x:c r="P454" t="n">
        <x:f>IF(AND(MAX(J454,J453)&gt;0,J454&gt;J453+0.00000001),1,0)</x:f>
        <x:v>0</x:v>
      </x:c>
      <x:c r="Q454" t="n">
        <x:f>IF(AND(MAX(K454,K453)&gt;0,K454&gt;K453+0.00000001),1,0)</x:f>
        <x:v>0</x:v>
      </x:c>
      <x:c r="R454" t="n">
        <x:f>IF(AND(MAX(L454,L453)&gt;0,L454&gt;L453+0.00000001),1,0)</x:f>
        <x:v>0</x:v>
      </x:c>
      <x:c r="S454" t="n">
        <x:f>IF(AND(MAX(M454,M453)&gt;0,M454&gt;M453+0.00000001),1,0)</x:f>
        <x:v>0</x:v>
      </x:c>
      <x:c r="T454" t="n">
        <x:f>IF(AND(MAX(N454,N453)&gt;0,N454&gt;N453+0.00000001),1,0)</x:f>
        <x:v>0</x:v>
      </x:c>
      <x:c r="U454" t="n">
        <x:f>IF(AND(MAX(O454,O453)&gt;0,O454&gt;O453+0.00000001),1,0)</x:f>
        <x:v>0</x:v>
      </x:c>
    </x:row>
    <x:row r="455">
      <x:c r="J455" t="n">
        <x:f>IF(AND(ISNUMBER('Results'!B7),ISNUMBER('Results'!C7),ISNUMBER('Results'!$B$8),ISNUMBER('Inputs'!$B$6),ISNUMBER('Inputs'!$B$7),ISNUMBER('Inputs'!$B$8),ISNUMBER('Inputs'!$B$9),ISNUMBER('Inputs'!$B$10),ISNUMBER('Inputs'!$B$21),ISNUMBER('Inputs'!$B$24),ISNUMBER('Inputs'!$B$28)),(('Results'!B7*(0.5*((((455-43)*MAX('Inputs'!$B$33,'Inputs'!$B$29+'Inputs'!$B$31+'Inputs'!$B$32,'Inputs'!$B$30+'Inputs'!$B$31+'Inputs'!$B$32)/1000+'Inputs'!$B$21)+'Inputs'!$B$7)/SQRT((((455-43)*MAX('Inputs'!$B$33,'Inputs'!$B$29+'Inputs'!$B$31+'Inputs'!$B$32,'Inputs'!$B$30+'Inputs'!$B$31+'Inputs'!$B$32)/1000+'Inputs'!$B$21)+'Inputs'!$B$7)^2+('Inputs'!$B$6/2)^2)-(((455-43)*MAX('Inputs'!$B$33,'Inputs'!$B$29+'Inputs'!$B$31+'Inputs'!$B$32,'Inputs'!$B$30+'Inputs'!$B$31+'Inputs'!$B$32)/1000+'Inputs'!$B$21))/SQRT((((455-43)*MAX('Inputs'!$B$33,'Inputs'!$B$29+'Inputs'!$B$31+'Inputs'!$B$32,'Inputs'!$B$30+'Inputs'!$B$31+'Inputs'!$B$32)/1000+'Inputs'!$B$21))^2+('Inputs'!$B$6/2)^2)))-'Results'!C7*(0.5*((((455-43)*MAX('Inputs'!$B$33,'Inputs'!$B$29+'Inputs'!$B$31+'Inputs'!$B$32,'Inputs'!$B$30+'Inputs'!$B$31+'Inputs'!$B$32)/1000+'Inputs'!$B$21+'Inputs'!$B$7+'Inputs'!$B$10)+'Inputs'!$B$9)/SQRT((((455-43)*MAX('Inputs'!$B$33,'Inputs'!$B$29+'Inputs'!$B$31+'Inputs'!$B$32,'Inputs'!$B$30+'Inputs'!$B$31+'Inputs'!$B$32)/1000+'Inputs'!$B$21+'Inputs'!$B$7+'Inputs'!$B$10)+'Inputs'!$B$9)^2+('Inputs'!$B$8/2)^2)-(((455-43)*MAX('Inputs'!$B$33,'Inputs'!$B$29+'Inputs'!$B$31+'Inputs'!$B$32,'Inputs'!$B$30+'Inputs'!$B$31+'Inputs'!$B$32)/1000+'Inputs'!$B$21+'Inputs'!$B$7+'Inputs'!$B$10))/SQRT((((455-43)*MAX('Inputs'!$B$33,'Inputs'!$B$29+'Inputs'!$B$31+'Inputs'!$B$32,'Inputs'!$B$30+'Inputs'!$B$31+'Inputs'!$B$32)/1000+'Inputs'!$B$21+'Inputs'!$B$7+'Inputs'!$B$10))^2+('Inputs'!$B$8/2)^2))))*'Results'!$B$8),"")</x:f>
        <x:v>8.020235192550784</x:v>
      </x:c>
      <x:c r="K455" t="n">
        <x:f>IF(AND(ISNUMBER('Results'!B7),ISNUMBER('Results'!C7),ISNUMBER('Results'!$B$8),ISNUMBER('Inputs'!$B$6),ISNUMBER('Inputs'!$B$7),ISNUMBER('Inputs'!$B$8),ISNUMBER('Inputs'!$B$9),ISNUMBER('Inputs'!$B$10),ISNUMBER('Inputs'!$B$21),ISNUMBER('Inputs'!$B$24),ISNUMBER('Inputs'!$B$28)),((('Results'!B7*(1-'Inputs'!$B$24)*(0.5*((((455-43)*MAX('Inputs'!$B$33,'Inputs'!$B$29+'Inputs'!$B$31+'Inputs'!$B$32,'Inputs'!$B$30+'Inputs'!$B$31+'Inputs'!$B$32)/1000+'Inputs'!$B$21)+'Inputs'!$B$7)/SQRT((((455-43)*MAX('Inputs'!$B$33,'Inputs'!$B$29+'Inputs'!$B$31+'Inputs'!$B$32,'Inputs'!$B$30+'Inputs'!$B$31+'Inputs'!$B$32)/1000+'Inputs'!$B$21)+'Inputs'!$B$7)^2+('Inputs'!$B$6/2)^2)-(((455-43)*MAX('Inputs'!$B$33,'Inputs'!$B$29+'Inputs'!$B$31+'Inputs'!$B$32,'Inputs'!$B$30+'Inputs'!$B$31+'Inputs'!$B$32)/1000+'Inputs'!$B$21))/SQRT((((455-43)*MAX('Inputs'!$B$33,'Inputs'!$B$29+'Inputs'!$B$31+'Inputs'!$B$32,'Inputs'!$B$30+'Inputs'!$B$31+'Inputs'!$B$32)/1000+'Inputs'!$B$21))^2+('Inputs'!$B$6/2)^2)))-'Results'!C7*(1+'Inputs'!$B$24)*(0.5*((((455-43)*MAX('Inputs'!$B$33,'Inputs'!$B$29+'Inputs'!$B$31+'Inputs'!$B$32,'Inputs'!$B$30+'Inputs'!$B$31+'Inputs'!$B$32)/1000+'Inputs'!$B$21+'Inputs'!$B$7+'Inputs'!$B$10)+'Inputs'!$B$9)/SQRT((((455-43)*MAX('Inputs'!$B$33,'Inputs'!$B$29+'Inputs'!$B$31+'Inputs'!$B$32,'Inputs'!$B$30+'Inputs'!$B$31+'Inputs'!$B$32)/1000+'Inputs'!$B$21+'Inputs'!$B$7+'Inputs'!$B$10)+'Inputs'!$B$9)^2+('Inputs'!$B$8/2)^2)-(((455-43)*MAX('Inputs'!$B$33,'Inputs'!$B$29+'Inputs'!$B$31+'Inputs'!$B$32,'Inputs'!$B$30+'Inputs'!$B$31+'Inputs'!$B$32)/1000+'Inputs'!$B$21+'Inputs'!$B$7+'Inputs'!$B$10))/SQRT((((455-43)*MAX('Inputs'!$B$33,'Inputs'!$B$29+'Inputs'!$B$31+'Inputs'!$B$32,'Inputs'!$B$30+'Inputs'!$B$31+'Inputs'!$B$32)/1000+'Inputs'!$B$21+'Inputs'!$B$7+'Inputs'!$B$10))^2+('Inputs'!$B$8/2)^2))))*'Results'!$B$8)-'Inputs'!$B$28*ABS((('Results'!B7*(1-'Inputs'!$B$24)*(0.5*((((455-43)*MAX('Inputs'!$B$33,'Inputs'!$B$29+'Inputs'!$B$31+'Inputs'!$B$32,'Inputs'!$B$30+'Inputs'!$B$31+'Inputs'!$B$32)/1000+'Inputs'!$B$21)+'Inputs'!$B$7)/SQRT((((455-43)*MAX('Inputs'!$B$33,'Inputs'!$B$29+'Inputs'!$B$31+'Inputs'!$B$32,'Inputs'!$B$30+'Inputs'!$B$31+'Inputs'!$B$32)/1000+'Inputs'!$B$21)+'Inputs'!$B$7)^2+('Inputs'!$B$6/2)^2)-(((455-43)*MAX('Inputs'!$B$33,'Inputs'!$B$29+'Inputs'!$B$31+'Inputs'!$B$32,'Inputs'!$B$30+'Inputs'!$B$31+'Inputs'!$B$32)/1000+'Inputs'!$B$21))/SQRT((((455-43)*MAX('Inputs'!$B$33,'Inputs'!$B$29+'Inputs'!$B$31+'Inputs'!$B$32,'Inputs'!$B$30+'Inputs'!$B$31+'Inputs'!$B$32)/1000+'Inputs'!$B$21))^2+('Inputs'!$B$6/2)^2)))-'Results'!C7*(1+'Inputs'!$B$24)*(0.5*((((455-43)*MAX('Inputs'!$B$33,'Inputs'!$B$29+'Inputs'!$B$31+'Inputs'!$B$32,'Inputs'!$B$30+'Inputs'!$B$31+'Inputs'!$B$32)/1000+'Inputs'!$B$21+'Inputs'!$B$7+'Inputs'!$B$10)+'Inputs'!$B$9)/SQRT((((455-43)*MAX('Inputs'!$B$33,'Inputs'!$B$29+'Inputs'!$B$31+'Inputs'!$B$32,'Inputs'!$B$30+'Inputs'!$B$31+'Inputs'!$B$32)/1000+'Inputs'!$B$21+'Inputs'!$B$7+'Inputs'!$B$10)+'Inputs'!$B$9)^2+('Inputs'!$B$8/2)^2)-(((455-43)*MAX('Inputs'!$B$33,'Inputs'!$B$29+'Inputs'!$B$31+'Inputs'!$B$32,'Inputs'!$B$30+'Inputs'!$B$31+'Inputs'!$B$32)/1000+'Inputs'!$B$21+'Inputs'!$B$7+'Inputs'!$B$10))/SQRT((((455-43)*MAX('Inputs'!$B$33,'Inputs'!$B$29+'Inputs'!$B$31+'Inputs'!$B$32,'Inputs'!$B$30+'Inputs'!$B$31+'Inputs'!$B$32)/1000+'Inputs'!$B$21+'Inputs'!$B$7+'Inputs'!$B$10))^2+('Inputs'!$B$8/2)^2))))*'Results'!$B$8))),"")</x:f>
        <x:v>7.17189260922155</x:v>
      </x:c>
      <x:c r="L455" t="n">
        <x:f>IF(AND(ISNUMBER('Results'!B7),ISNUMBER('Results'!C7),ISNUMBER('Results'!$B$8),ISNUMBER('Inputs'!$B$6),ISNUMBER('Inputs'!$B$7),ISNUMBER('Inputs'!$B$8),ISNUMBER('Inputs'!$B$9),ISNUMBER('Inputs'!$B$10),ISNUMBER('Inputs'!$B$21),ISNUMBER('Inputs'!$B$24),ISNUMBER('Inputs'!$B$28)),((('Results'!B7*(1+'Inputs'!$B$24)*(0.5*((((455-43)*MAX('Inputs'!$B$33,'Inputs'!$B$29+'Inputs'!$B$31+'Inputs'!$B$32,'Inputs'!$B$30+'Inputs'!$B$31+'Inputs'!$B$32)/1000+'Inputs'!$B$21)+'Inputs'!$B$7)/SQRT((((455-43)*MAX('Inputs'!$B$33,'Inputs'!$B$29+'Inputs'!$B$31+'Inputs'!$B$32,'Inputs'!$B$30+'Inputs'!$B$31+'Inputs'!$B$32)/1000+'Inputs'!$B$21)+'Inputs'!$B$7)^2+('Inputs'!$B$6/2)^2)-(((455-43)*MAX('Inputs'!$B$33,'Inputs'!$B$29+'Inputs'!$B$31+'Inputs'!$B$32,'Inputs'!$B$30+'Inputs'!$B$31+'Inputs'!$B$32)/1000+'Inputs'!$B$21))/SQRT((((455-43)*MAX('Inputs'!$B$33,'Inputs'!$B$29+'Inputs'!$B$31+'Inputs'!$B$32,'Inputs'!$B$30+'Inputs'!$B$31+'Inputs'!$B$32)/1000+'Inputs'!$B$21))^2+('Inputs'!$B$6/2)^2)))-'Results'!C7*(1-'Inputs'!$B$24)*(0.5*((((455-43)*MAX('Inputs'!$B$33,'Inputs'!$B$29+'Inputs'!$B$31+'Inputs'!$B$32,'Inputs'!$B$30+'Inputs'!$B$31+'Inputs'!$B$32)/1000+'Inputs'!$B$21+'Inputs'!$B$7+'Inputs'!$B$10)+'Inputs'!$B$9)/SQRT((((455-43)*MAX('Inputs'!$B$33,'Inputs'!$B$29+'Inputs'!$B$31+'Inputs'!$B$32,'Inputs'!$B$30+'Inputs'!$B$31+'Inputs'!$B$32)/1000+'Inputs'!$B$21+'Inputs'!$B$7+'Inputs'!$B$10)+'Inputs'!$B$9)^2+('Inputs'!$B$8/2)^2)-(((455-43)*MAX('Inputs'!$B$33,'Inputs'!$B$29+'Inputs'!$B$31+'Inputs'!$B$32,'Inputs'!$B$30+'Inputs'!$B$31+'Inputs'!$B$32)/1000+'Inputs'!$B$21+'Inputs'!$B$7+'Inputs'!$B$10))/SQRT((((455-43)*MAX('Inputs'!$B$33,'Inputs'!$B$29+'Inputs'!$B$31+'Inputs'!$B$32,'Inputs'!$B$30+'Inputs'!$B$31+'Inputs'!$B$32)/1000+'Inputs'!$B$21+'Inputs'!$B$7+'Inputs'!$B$10))^2+('Inputs'!$B$8/2)^2))))*'Results'!$B$8)+'Inputs'!$B$28*ABS((('Results'!B7*(1+'Inputs'!$B$24)*(0.5*((((455-43)*MAX('Inputs'!$B$33,'Inputs'!$B$29+'Inputs'!$B$31+'Inputs'!$B$32,'Inputs'!$B$30+'Inputs'!$B$31+'Inputs'!$B$32)/1000+'Inputs'!$B$21)+'Inputs'!$B$7)/SQRT((((455-43)*MAX('Inputs'!$B$33,'Inputs'!$B$29+'Inputs'!$B$31+'Inputs'!$B$32,'Inputs'!$B$30+'Inputs'!$B$31+'Inputs'!$B$32)/1000+'Inputs'!$B$21)+'Inputs'!$B$7)^2+('Inputs'!$B$6/2)^2)-(((455-43)*MAX('Inputs'!$B$33,'Inputs'!$B$29+'Inputs'!$B$31+'Inputs'!$B$32,'Inputs'!$B$30+'Inputs'!$B$31+'Inputs'!$B$32)/1000+'Inputs'!$B$21))/SQRT((((455-43)*MAX('Inputs'!$B$33,'Inputs'!$B$29+'Inputs'!$B$31+'Inputs'!$B$32,'Inputs'!$B$30+'Inputs'!$B$31+'Inputs'!$B$32)/1000+'Inputs'!$B$21))^2+('Inputs'!$B$6/2)^2)))-'Results'!C7*(1-'Inputs'!$B$24)*(0.5*((((455-43)*MAX('Inputs'!$B$33,'Inputs'!$B$29+'Inputs'!$B$31+'Inputs'!$B$32,'Inputs'!$B$30+'Inputs'!$B$31+'Inputs'!$B$32)/1000+'Inputs'!$B$21+'Inputs'!$B$7+'Inputs'!$B$10)+'Inputs'!$B$9)/SQRT((((455-43)*MAX('Inputs'!$B$33,'Inputs'!$B$29+'Inputs'!$B$31+'Inputs'!$B$32,'Inputs'!$B$30+'Inputs'!$B$31+'Inputs'!$B$32)/1000+'Inputs'!$B$21+'Inputs'!$B$7+'Inputs'!$B$10)+'Inputs'!$B$9)^2+('Inputs'!$B$8/2)^2)-(((455-43)*MAX('Inputs'!$B$33,'Inputs'!$B$29+'Inputs'!$B$31+'Inputs'!$B$32,'Inputs'!$B$30+'Inputs'!$B$31+'Inputs'!$B$32)/1000+'Inputs'!$B$21+'Inputs'!$B$7+'Inputs'!$B$10))/SQRT((((455-43)*MAX('Inputs'!$B$33,'Inputs'!$B$29+'Inputs'!$B$31+'Inputs'!$B$32,'Inputs'!$B$30+'Inputs'!$B$31+'Inputs'!$B$32)/1000+'Inputs'!$B$21+'Inputs'!$B$7+'Inputs'!$B$10))^2+('Inputs'!$B$8/2)^2))))*'Results'!$B$8))),"")</x:f>
        <x:v>8.915665231006516</x:v>
      </x:c>
      <x:c r="M455" t="n">
        <x:f>IF(AND(ISNUMBER('Results'!C7),ISNUMBER('Results'!B7),ISNUMBER('Results'!$B$8),ISNUMBER('Inputs'!$B$6),ISNUMBER('Inputs'!$B$7),ISNUMBER('Inputs'!$B$8),ISNUMBER('Inputs'!$B$9),ISNUMBER('Inputs'!$B$10),ISNUMBER('Inputs'!$B$21),ISNUMBER('Inputs'!$B$24),ISNUMBER('Inputs'!$B$28)),(('Results'!C7*(0.5*((((455-43)*MAX('Inputs'!$B$33,'Inputs'!$B$29+'Inputs'!$B$31+'Inputs'!$B$32,'Inputs'!$B$30+'Inputs'!$B$31+'Inputs'!$B$32)/1000+'Inputs'!$B$21)+'Inputs'!$B$9)/SQRT((((455-43)*MAX('Inputs'!$B$33,'Inputs'!$B$29+'Inputs'!$B$31+'Inputs'!$B$32,'Inputs'!$B$30+'Inputs'!$B$31+'Inputs'!$B$32)/1000+'Inputs'!$B$21)+'Inputs'!$B$9)^2+('Inputs'!$B$8/2)^2)-(((455-43)*MAX('Inputs'!$B$33,'Inputs'!$B$29+'Inputs'!$B$31+'Inputs'!$B$32,'Inputs'!$B$30+'Inputs'!$B$31+'Inputs'!$B$32)/1000+'Inputs'!$B$21))/SQRT((((455-43)*MAX('Inputs'!$B$33,'Inputs'!$B$29+'Inputs'!$B$31+'Inputs'!$B$32,'Inputs'!$B$30+'Inputs'!$B$31+'Inputs'!$B$32)/1000+'Inputs'!$B$21))^2+('Inputs'!$B$8/2)^2)))-'Results'!B7*(0.5*((((455-43)*MAX('Inputs'!$B$33,'Inputs'!$B$29+'Inputs'!$B$31+'Inputs'!$B$32,'Inputs'!$B$30+'Inputs'!$B$31+'Inputs'!$B$32)/1000+'Inputs'!$B$21+'Inputs'!$B$9+'Inputs'!$B$10)+'Inputs'!$B$7)/SQRT((((455-43)*MAX('Inputs'!$B$33,'Inputs'!$B$29+'Inputs'!$B$31+'Inputs'!$B$32,'Inputs'!$B$30+'Inputs'!$B$31+'Inputs'!$B$32)/1000+'Inputs'!$B$21+'Inputs'!$B$9+'Inputs'!$B$10)+'Inputs'!$B$7)^2+('Inputs'!$B$6/2)^2)-(((455-43)*MAX('Inputs'!$B$33,'Inputs'!$B$29+'Inputs'!$B$31+'Inputs'!$B$32,'Inputs'!$B$30+'Inputs'!$B$31+'Inputs'!$B$32)/1000+'Inputs'!$B$21+'Inputs'!$B$9+'Inputs'!$B$10))/SQRT((((455-43)*MAX('Inputs'!$B$33,'Inputs'!$B$29+'Inputs'!$B$31+'Inputs'!$B$32,'Inputs'!$B$30+'Inputs'!$B$31+'Inputs'!$B$32)/1000+'Inputs'!$B$21+'Inputs'!$B$9+'Inputs'!$B$10))^2+('Inputs'!$B$6/2)^2))))*'Results'!$B$8),"")</x:f>
        <x:v>7.546192581618354</x:v>
      </x:c>
      <x:c r="N455" t="n">
        <x:f>IF(AND(ISNUMBER('Results'!C7),ISNUMBER('Results'!B7),ISNUMBER('Results'!$B$8),ISNUMBER('Inputs'!$B$6),ISNUMBER('Inputs'!$B$7),ISNUMBER('Inputs'!$B$8),ISNUMBER('Inputs'!$B$9),ISNUMBER('Inputs'!$B$10),ISNUMBER('Inputs'!$B$21),ISNUMBER('Inputs'!$B$24),ISNUMBER('Inputs'!$B$28)),((('Results'!C7*(1-'Inputs'!$B$24)*(0.5*((((455-43)*MAX('Inputs'!$B$33,'Inputs'!$B$29+'Inputs'!$B$31+'Inputs'!$B$32,'Inputs'!$B$30+'Inputs'!$B$31+'Inputs'!$B$32)/1000+'Inputs'!$B$21)+'Inputs'!$B$9)/SQRT((((455-43)*MAX('Inputs'!$B$33,'Inputs'!$B$29+'Inputs'!$B$31+'Inputs'!$B$32,'Inputs'!$B$30+'Inputs'!$B$31+'Inputs'!$B$32)/1000+'Inputs'!$B$21)+'Inputs'!$B$9)^2+('Inputs'!$B$8/2)^2)-(((455-43)*MAX('Inputs'!$B$33,'Inputs'!$B$29+'Inputs'!$B$31+'Inputs'!$B$32,'Inputs'!$B$30+'Inputs'!$B$31+'Inputs'!$B$32)/1000+'Inputs'!$B$21))/SQRT((((455-43)*MAX('Inputs'!$B$33,'Inputs'!$B$29+'Inputs'!$B$31+'Inputs'!$B$32,'Inputs'!$B$30+'Inputs'!$B$31+'Inputs'!$B$32)/1000+'Inputs'!$B$21))^2+('Inputs'!$B$8/2)^2)))-'Results'!B7*(1+'Inputs'!$B$24)*(0.5*((((455-43)*MAX('Inputs'!$B$33,'Inputs'!$B$29+'Inputs'!$B$31+'Inputs'!$B$32,'Inputs'!$B$30+'Inputs'!$B$31+'Inputs'!$B$32)/1000+'Inputs'!$B$21+'Inputs'!$B$9+'Inputs'!$B$10)+'Inputs'!$B$7)/SQRT((((455-43)*MAX('Inputs'!$B$33,'Inputs'!$B$29+'Inputs'!$B$31+'Inputs'!$B$32,'Inputs'!$B$30+'Inputs'!$B$31+'Inputs'!$B$32)/1000+'Inputs'!$B$21+'Inputs'!$B$9+'Inputs'!$B$10)+'Inputs'!$B$7)^2+('Inputs'!$B$6/2)^2)-(((455-43)*MAX('Inputs'!$B$33,'Inputs'!$B$29+'Inputs'!$B$31+'Inputs'!$B$32,'Inputs'!$B$30+'Inputs'!$B$31+'Inputs'!$B$32)/1000+'Inputs'!$B$21+'Inputs'!$B$9+'Inputs'!$B$10))/SQRT((((455-43)*MAX('Inputs'!$B$33,'Inputs'!$B$29+'Inputs'!$B$31+'Inputs'!$B$32,'Inputs'!$B$30+'Inputs'!$B$31+'Inputs'!$B$32)/1000+'Inputs'!$B$21+'Inputs'!$B$9+'Inputs'!$B$10))^2+('Inputs'!$B$6/2)^2))))*'Results'!$B$8)-'Inputs'!$B$28*ABS((('Results'!C7*(1-'Inputs'!$B$24)*(0.5*((((455-43)*MAX('Inputs'!$B$33,'Inputs'!$B$29+'Inputs'!$B$31+'Inputs'!$B$32,'Inputs'!$B$30+'Inputs'!$B$31+'Inputs'!$B$32)/1000+'Inputs'!$B$21)+'Inputs'!$B$9)/SQRT((((455-43)*MAX('Inputs'!$B$33,'Inputs'!$B$29+'Inputs'!$B$31+'Inputs'!$B$32,'Inputs'!$B$30+'Inputs'!$B$31+'Inputs'!$B$32)/1000+'Inputs'!$B$21)+'Inputs'!$B$9)^2+('Inputs'!$B$8/2)^2)-(((455-43)*MAX('Inputs'!$B$33,'Inputs'!$B$29+'Inputs'!$B$31+'Inputs'!$B$32,'Inputs'!$B$30+'Inputs'!$B$31+'Inputs'!$B$32)/1000+'Inputs'!$B$21))/SQRT((((455-43)*MAX('Inputs'!$B$33,'Inputs'!$B$29+'Inputs'!$B$31+'Inputs'!$B$32,'Inputs'!$B$30+'Inputs'!$B$31+'Inputs'!$B$32)/1000+'Inputs'!$B$21))^2+('Inputs'!$B$8/2)^2)))-'Results'!B7*(1+'Inputs'!$B$24)*(0.5*((((455-43)*MAX('Inputs'!$B$33,'Inputs'!$B$29+'Inputs'!$B$31+'Inputs'!$B$32,'Inputs'!$B$30+'Inputs'!$B$31+'Inputs'!$B$32)/1000+'Inputs'!$B$21+'Inputs'!$B$9+'Inputs'!$B$10)+'Inputs'!$B$7)/SQRT((((455-43)*MAX('Inputs'!$B$33,'Inputs'!$B$29+'Inputs'!$B$31+'Inputs'!$B$32,'Inputs'!$B$30+'Inputs'!$B$31+'Inputs'!$B$32)/1000+'Inputs'!$B$21+'Inputs'!$B$9+'Inputs'!$B$10)+'Inputs'!$B$7)^2+('Inputs'!$B$6/2)^2)-(((455-43)*MAX('Inputs'!$B$33,'Inputs'!$B$29+'Inputs'!$B$31+'Inputs'!$B$32,'Inputs'!$B$30+'Inputs'!$B$31+'Inputs'!$B$32)/1000+'Inputs'!$B$21+'Inputs'!$B$9+'Inputs'!$B$10))/SQRT((((455-43)*MAX('Inputs'!$B$33,'Inputs'!$B$29+'Inputs'!$B$31+'Inputs'!$B$32,'Inputs'!$B$30+'Inputs'!$B$31+'Inputs'!$B$32)/1000+'Inputs'!$B$21+'Inputs'!$B$9+'Inputs'!$B$10))^2+('Inputs'!$B$6/2)^2))))*'Results'!$B$8))),"")</x:f>
        <x:v>6.724539625075226</x:v>
      </x:c>
      <x:c r="O455" t="n">
        <x:f>IF(AND(ISNUMBER('Results'!C7),ISNUMBER('Results'!B7),ISNUMBER('Results'!$B$8),ISNUMBER('Inputs'!$B$6),ISNUMBER('Inputs'!$B$7),ISNUMBER('Inputs'!$B$8),ISNUMBER('Inputs'!$B$9),ISNUMBER('Inputs'!$B$10),ISNUMBER('Inputs'!$B$21),ISNUMBER('Inputs'!$B$24),ISNUMBER('Inputs'!$B$28)),((('Results'!C7*(1+'Inputs'!$B$24)*(0.5*((((455-43)*MAX('Inputs'!$B$33,'Inputs'!$B$29+'Inputs'!$B$31+'Inputs'!$B$32,'Inputs'!$B$30+'Inputs'!$B$31+'Inputs'!$B$32)/1000+'Inputs'!$B$21)+'Inputs'!$B$9)/SQRT((((455-43)*MAX('Inputs'!$B$33,'Inputs'!$B$29+'Inputs'!$B$31+'Inputs'!$B$32,'Inputs'!$B$30+'Inputs'!$B$31+'Inputs'!$B$32)/1000+'Inputs'!$B$21)+'Inputs'!$B$9)^2+('Inputs'!$B$8/2)^2)-(((455-43)*MAX('Inputs'!$B$33,'Inputs'!$B$29+'Inputs'!$B$31+'Inputs'!$B$32,'Inputs'!$B$30+'Inputs'!$B$31+'Inputs'!$B$32)/1000+'Inputs'!$B$21))/SQRT((((455-43)*MAX('Inputs'!$B$33,'Inputs'!$B$29+'Inputs'!$B$31+'Inputs'!$B$32,'Inputs'!$B$30+'Inputs'!$B$31+'Inputs'!$B$32)/1000+'Inputs'!$B$21))^2+('Inputs'!$B$8/2)^2)))-'Results'!B7*(1-'Inputs'!$B$24)*(0.5*((((455-43)*MAX('Inputs'!$B$33,'Inputs'!$B$29+'Inputs'!$B$31+'Inputs'!$B$32,'Inputs'!$B$30+'Inputs'!$B$31+'Inputs'!$B$32)/1000+'Inputs'!$B$21+'Inputs'!$B$9+'Inputs'!$B$10)+'Inputs'!$B$7)/SQRT((((455-43)*MAX('Inputs'!$B$33,'Inputs'!$B$29+'Inputs'!$B$31+'Inputs'!$B$32,'Inputs'!$B$30+'Inputs'!$B$31+'Inputs'!$B$32)/1000+'Inputs'!$B$21+'Inputs'!$B$9+'Inputs'!$B$10)+'Inputs'!$B$7)^2+('Inputs'!$B$6/2)^2)-(((455-43)*MAX('Inputs'!$B$33,'Inputs'!$B$29+'Inputs'!$B$31+'Inputs'!$B$32,'Inputs'!$B$30+'Inputs'!$B$31+'Inputs'!$B$32)/1000+'Inputs'!$B$21+'Inputs'!$B$9+'Inputs'!$B$10))/SQRT((((455-43)*MAX('Inputs'!$B$33,'Inputs'!$B$29+'Inputs'!$B$31+'Inputs'!$B$32,'Inputs'!$B$30+'Inputs'!$B$31+'Inputs'!$B$32)/1000+'Inputs'!$B$21+'Inputs'!$B$9+'Inputs'!$B$10))^2+('Inputs'!$B$6/2)^2))))*'Results'!$B$8)+'Inputs'!$B$28*ABS((('Results'!C7*(1+'Inputs'!$B$24)*(0.5*((((455-43)*MAX('Inputs'!$B$33,'Inputs'!$B$29+'Inputs'!$B$31+'Inputs'!$B$32,'Inputs'!$B$30+'Inputs'!$B$31+'Inputs'!$B$32)/1000+'Inputs'!$B$21)+'Inputs'!$B$9)/SQRT((((455-43)*MAX('Inputs'!$B$33,'Inputs'!$B$29+'Inputs'!$B$31+'Inputs'!$B$32,'Inputs'!$B$30+'Inputs'!$B$31+'Inputs'!$B$32)/1000+'Inputs'!$B$21)+'Inputs'!$B$9)^2+('Inputs'!$B$8/2)^2)-(((455-43)*MAX('Inputs'!$B$33,'Inputs'!$B$29+'Inputs'!$B$31+'Inputs'!$B$32,'Inputs'!$B$30+'Inputs'!$B$31+'Inputs'!$B$32)/1000+'Inputs'!$B$21))/SQRT((((455-43)*MAX('Inputs'!$B$33,'Inputs'!$B$29+'Inputs'!$B$31+'Inputs'!$B$32,'Inputs'!$B$30+'Inputs'!$B$31+'Inputs'!$B$32)/1000+'Inputs'!$B$21))^2+('Inputs'!$B$8/2)^2)))-'Results'!B7*(1-'Inputs'!$B$24)*(0.5*((((455-43)*MAX('Inputs'!$B$33,'Inputs'!$B$29+'Inputs'!$B$31+'Inputs'!$B$32,'Inputs'!$B$30+'Inputs'!$B$31+'Inputs'!$B$32)/1000+'Inputs'!$B$21+'Inputs'!$B$9+'Inputs'!$B$10)+'Inputs'!$B$7)/SQRT((((455-43)*MAX('Inputs'!$B$33,'Inputs'!$B$29+'Inputs'!$B$31+'Inputs'!$B$32,'Inputs'!$B$30+'Inputs'!$B$31+'Inputs'!$B$32)/1000+'Inputs'!$B$21+'Inputs'!$B$9+'Inputs'!$B$10)+'Inputs'!$B$7)^2+('Inputs'!$B$6/2)^2)-(((455-43)*MAX('Inputs'!$B$33,'Inputs'!$B$29+'Inputs'!$B$31+'Inputs'!$B$32,'Inputs'!$B$30+'Inputs'!$B$31+'Inputs'!$B$32)/1000+'Inputs'!$B$21+'Inputs'!$B$9+'Inputs'!$B$10))/SQRT((((455-43)*MAX('Inputs'!$B$33,'Inputs'!$B$29+'Inputs'!$B$31+'Inputs'!$B$32,'Inputs'!$B$30+'Inputs'!$B$31+'Inputs'!$B$32)/1000+'Inputs'!$B$21+'Inputs'!$B$9+'Inputs'!$B$10))^2+('Inputs'!$B$6/2)^2))))*'Results'!$B$8))),"")</x:f>
        <x:v>8.414618519999609</x:v>
      </x:c>
      <x:c r="P455" t="n">
        <x:f>IF(AND(MAX(J455,J454)&gt;0,J455&gt;J454+0.00000001),1,0)</x:f>
        <x:v>0</x:v>
      </x:c>
      <x:c r="Q455" t="n">
        <x:f>IF(AND(MAX(K455,K454)&gt;0,K455&gt;K454+0.00000001),1,0)</x:f>
        <x:v>0</x:v>
      </x:c>
      <x:c r="R455" t="n">
        <x:f>IF(AND(MAX(L455,L454)&gt;0,L455&gt;L454+0.00000001),1,0)</x:f>
        <x:v>0</x:v>
      </x:c>
      <x:c r="S455" t="n">
        <x:f>IF(AND(MAX(M455,M454)&gt;0,M455&gt;M454+0.00000001),1,0)</x:f>
        <x:v>0</x:v>
      </x:c>
      <x:c r="T455" t="n">
        <x:f>IF(AND(MAX(N455,N454)&gt;0,N455&gt;N454+0.00000001),1,0)</x:f>
        <x:v>0</x:v>
      </x:c>
      <x:c r="U455" t="n">
        <x:f>IF(AND(MAX(O455,O454)&gt;0,O455&gt;O454+0.00000001),1,0)</x:f>
        <x:v>0</x:v>
      </x:c>
    </x:row>
    <x:row r="456">
      <x:c r="J456" t="n">
        <x:f>IF(AND(ISNUMBER('Results'!B7),ISNUMBER('Results'!C7),ISNUMBER('Results'!$B$8),ISNUMBER('Inputs'!$B$6),ISNUMBER('Inputs'!$B$7),ISNUMBER('Inputs'!$B$8),ISNUMBER('Inputs'!$B$9),ISNUMBER('Inputs'!$B$10),ISNUMBER('Inputs'!$B$21),ISNUMBER('Inputs'!$B$24),ISNUMBER('Inputs'!$B$28)),(('Results'!B7*(0.5*((((456-43)*MAX('Inputs'!$B$33,'Inputs'!$B$29+'Inputs'!$B$31+'Inputs'!$B$32,'Inputs'!$B$30+'Inputs'!$B$31+'Inputs'!$B$32)/1000+'Inputs'!$B$21)+'Inputs'!$B$7)/SQRT((((456-43)*MAX('Inputs'!$B$33,'Inputs'!$B$29+'Inputs'!$B$31+'Inputs'!$B$32,'Inputs'!$B$30+'Inputs'!$B$31+'Inputs'!$B$32)/1000+'Inputs'!$B$21)+'Inputs'!$B$7)^2+('Inputs'!$B$6/2)^2)-(((456-43)*MAX('Inputs'!$B$33,'Inputs'!$B$29+'Inputs'!$B$31+'Inputs'!$B$32,'Inputs'!$B$30+'Inputs'!$B$31+'Inputs'!$B$32)/1000+'Inputs'!$B$21))/SQRT((((456-43)*MAX('Inputs'!$B$33,'Inputs'!$B$29+'Inputs'!$B$31+'Inputs'!$B$32,'Inputs'!$B$30+'Inputs'!$B$31+'Inputs'!$B$32)/1000+'Inputs'!$B$21))^2+('Inputs'!$B$6/2)^2)))-'Results'!C7*(0.5*((((456-43)*MAX('Inputs'!$B$33,'Inputs'!$B$29+'Inputs'!$B$31+'Inputs'!$B$32,'Inputs'!$B$30+'Inputs'!$B$31+'Inputs'!$B$32)/1000+'Inputs'!$B$21+'Inputs'!$B$7+'Inputs'!$B$10)+'Inputs'!$B$9)/SQRT((((456-43)*MAX('Inputs'!$B$33,'Inputs'!$B$29+'Inputs'!$B$31+'Inputs'!$B$32,'Inputs'!$B$30+'Inputs'!$B$31+'Inputs'!$B$32)/1000+'Inputs'!$B$21+'Inputs'!$B$7+'Inputs'!$B$10)+'Inputs'!$B$9)^2+('Inputs'!$B$8/2)^2)-(((456-43)*MAX('Inputs'!$B$33,'Inputs'!$B$29+'Inputs'!$B$31+'Inputs'!$B$32,'Inputs'!$B$30+'Inputs'!$B$31+'Inputs'!$B$32)/1000+'Inputs'!$B$21+'Inputs'!$B$7+'Inputs'!$B$10))/SQRT((((456-43)*MAX('Inputs'!$B$33,'Inputs'!$B$29+'Inputs'!$B$31+'Inputs'!$B$32,'Inputs'!$B$30+'Inputs'!$B$31+'Inputs'!$B$32)/1000+'Inputs'!$B$21+'Inputs'!$B$7+'Inputs'!$B$10))^2+('Inputs'!$B$8/2)^2))))*'Results'!$B$8),"")</x:f>
        <x:v>7.956032448633378</x:v>
      </x:c>
      <x:c r="K456" t="n">
        <x:f>IF(AND(ISNUMBER('Results'!B7),ISNUMBER('Results'!C7),ISNUMBER('Results'!$B$8),ISNUMBER('Inputs'!$B$6),ISNUMBER('Inputs'!$B$7),ISNUMBER('Inputs'!$B$8),ISNUMBER('Inputs'!$B$9),ISNUMBER('Inputs'!$B$10),ISNUMBER('Inputs'!$B$21),ISNUMBER('Inputs'!$B$24),ISNUMBER('Inputs'!$B$28)),((('Results'!B7*(1-'Inputs'!$B$24)*(0.5*((((456-43)*MAX('Inputs'!$B$33,'Inputs'!$B$29+'Inputs'!$B$31+'Inputs'!$B$32,'Inputs'!$B$30+'Inputs'!$B$31+'Inputs'!$B$32)/1000+'Inputs'!$B$21)+'Inputs'!$B$7)/SQRT((((456-43)*MAX('Inputs'!$B$33,'Inputs'!$B$29+'Inputs'!$B$31+'Inputs'!$B$32,'Inputs'!$B$30+'Inputs'!$B$31+'Inputs'!$B$32)/1000+'Inputs'!$B$21)+'Inputs'!$B$7)^2+('Inputs'!$B$6/2)^2)-(((456-43)*MAX('Inputs'!$B$33,'Inputs'!$B$29+'Inputs'!$B$31+'Inputs'!$B$32,'Inputs'!$B$30+'Inputs'!$B$31+'Inputs'!$B$32)/1000+'Inputs'!$B$21))/SQRT((((456-43)*MAX('Inputs'!$B$33,'Inputs'!$B$29+'Inputs'!$B$31+'Inputs'!$B$32,'Inputs'!$B$30+'Inputs'!$B$31+'Inputs'!$B$32)/1000+'Inputs'!$B$21))^2+('Inputs'!$B$6/2)^2)))-'Results'!C7*(1+'Inputs'!$B$24)*(0.5*((((456-43)*MAX('Inputs'!$B$33,'Inputs'!$B$29+'Inputs'!$B$31+'Inputs'!$B$32,'Inputs'!$B$30+'Inputs'!$B$31+'Inputs'!$B$32)/1000+'Inputs'!$B$21+'Inputs'!$B$7+'Inputs'!$B$10)+'Inputs'!$B$9)/SQRT((((456-43)*MAX('Inputs'!$B$33,'Inputs'!$B$29+'Inputs'!$B$31+'Inputs'!$B$32,'Inputs'!$B$30+'Inputs'!$B$31+'Inputs'!$B$32)/1000+'Inputs'!$B$21+'Inputs'!$B$7+'Inputs'!$B$10)+'Inputs'!$B$9)^2+('Inputs'!$B$8/2)^2)-(((456-43)*MAX('Inputs'!$B$33,'Inputs'!$B$29+'Inputs'!$B$31+'Inputs'!$B$32,'Inputs'!$B$30+'Inputs'!$B$31+'Inputs'!$B$32)/1000+'Inputs'!$B$21+'Inputs'!$B$7+'Inputs'!$B$10))/SQRT((((456-43)*MAX('Inputs'!$B$33,'Inputs'!$B$29+'Inputs'!$B$31+'Inputs'!$B$32,'Inputs'!$B$30+'Inputs'!$B$31+'Inputs'!$B$32)/1000+'Inputs'!$B$21+'Inputs'!$B$7+'Inputs'!$B$10))^2+('Inputs'!$B$8/2)^2))))*'Results'!$B$8)-'Inputs'!$B$28*ABS((('Results'!B7*(1-'Inputs'!$B$24)*(0.5*((((456-43)*MAX('Inputs'!$B$33,'Inputs'!$B$29+'Inputs'!$B$31+'Inputs'!$B$32,'Inputs'!$B$30+'Inputs'!$B$31+'Inputs'!$B$32)/1000+'Inputs'!$B$21)+'Inputs'!$B$7)/SQRT((((456-43)*MAX('Inputs'!$B$33,'Inputs'!$B$29+'Inputs'!$B$31+'Inputs'!$B$32,'Inputs'!$B$30+'Inputs'!$B$31+'Inputs'!$B$32)/1000+'Inputs'!$B$21)+'Inputs'!$B$7)^2+('Inputs'!$B$6/2)^2)-(((456-43)*MAX('Inputs'!$B$33,'Inputs'!$B$29+'Inputs'!$B$31+'Inputs'!$B$32,'Inputs'!$B$30+'Inputs'!$B$31+'Inputs'!$B$32)/1000+'Inputs'!$B$21))/SQRT((((456-43)*MAX('Inputs'!$B$33,'Inputs'!$B$29+'Inputs'!$B$31+'Inputs'!$B$32,'Inputs'!$B$30+'Inputs'!$B$31+'Inputs'!$B$32)/1000+'Inputs'!$B$21))^2+('Inputs'!$B$6/2)^2)))-'Results'!C7*(1+'Inputs'!$B$24)*(0.5*((((456-43)*MAX('Inputs'!$B$33,'Inputs'!$B$29+'Inputs'!$B$31+'Inputs'!$B$32,'Inputs'!$B$30+'Inputs'!$B$31+'Inputs'!$B$32)/1000+'Inputs'!$B$21+'Inputs'!$B$7+'Inputs'!$B$10)+'Inputs'!$B$9)/SQRT((((456-43)*MAX('Inputs'!$B$33,'Inputs'!$B$29+'Inputs'!$B$31+'Inputs'!$B$32,'Inputs'!$B$30+'Inputs'!$B$31+'Inputs'!$B$32)/1000+'Inputs'!$B$21+'Inputs'!$B$7+'Inputs'!$B$10)+'Inputs'!$B$9)^2+('Inputs'!$B$8/2)^2)-(((456-43)*MAX('Inputs'!$B$33,'Inputs'!$B$29+'Inputs'!$B$31+'Inputs'!$B$32,'Inputs'!$B$30+'Inputs'!$B$31+'Inputs'!$B$32)/1000+'Inputs'!$B$21+'Inputs'!$B$7+'Inputs'!$B$10))/SQRT((((456-43)*MAX('Inputs'!$B$33,'Inputs'!$B$29+'Inputs'!$B$31+'Inputs'!$B$32,'Inputs'!$B$30+'Inputs'!$B$31+'Inputs'!$B$32)/1000+'Inputs'!$B$21+'Inputs'!$B$7+'Inputs'!$B$10))^2+('Inputs'!$B$8/2)^2))))*'Results'!$B$8))),"")</x:f>
        <x:v>7.113702354598725</x:v>
      </x:c>
      <x:c r="L456" t="n">
        <x:f>IF(AND(ISNUMBER('Results'!B7),ISNUMBER('Results'!C7),ISNUMBER('Results'!$B$8),ISNUMBER('Inputs'!$B$6),ISNUMBER('Inputs'!$B$7),ISNUMBER('Inputs'!$B$8),ISNUMBER('Inputs'!$B$9),ISNUMBER('Inputs'!$B$10),ISNUMBER('Inputs'!$B$21),ISNUMBER('Inputs'!$B$24),ISNUMBER('Inputs'!$B$28)),((('Results'!B7*(1+'Inputs'!$B$24)*(0.5*((((456-43)*MAX('Inputs'!$B$33,'Inputs'!$B$29+'Inputs'!$B$31+'Inputs'!$B$32,'Inputs'!$B$30+'Inputs'!$B$31+'Inputs'!$B$32)/1000+'Inputs'!$B$21)+'Inputs'!$B$7)/SQRT((((456-43)*MAX('Inputs'!$B$33,'Inputs'!$B$29+'Inputs'!$B$31+'Inputs'!$B$32,'Inputs'!$B$30+'Inputs'!$B$31+'Inputs'!$B$32)/1000+'Inputs'!$B$21)+'Inputs'!$B$7)^2+('Inputs'!$B$6/2)^2)-(((456-43)*MAX('Inputs'!$B$33,'Inputs'!$B$29+'Inputs'!$B$31+'Inputs'!$B$32,'Inputs'!$B$30+'Inputs'!$B$31+'Inputs'!$B$32)/1000+'Inputs'!$B$21))/SQRT((((456-43)*MAX('Inputs'!$B$33,'Inputs'!$B$29+'Inputs'!$B$31+'Inputs'!$B$32,'Inputs'!$B$30+'Inputs'!$B$31+'Inputs'!$B$32)/1000+'Inputs'!$B$21))^2+('Inputs'!$B$6/2)^2)))-'Results'!C7*(1-'Inputs'!$B$24)*(0.5*((((456-43)*MAX('Inputs'!$B$33,'Inputs'!$B$29+'Inputs'!$B$31+'Inputs'!$B$32,'Inputs'!$B$30+'Inputs'!$B$31+'Inputs'!$B$32)/1000+'Inputs'!$B$21+'Inputs'!$B$7+'Inputs'!$B$10)+'Inputs'!$B$9)/SQRT((((456-43)*MAX('Inputs'!$B$33,'Inputs'!$B$29+'Inputs'!$B$31+'Inputs'!$B$32,'Inputs'!$B$30+'Inputs'!$B$31+'Inputs'!$B$32)/1000+'Inputs'!$B$21+'Inputs'!$B$7+'Inputs'!$B$10)+'Inputs'!$B$9)^2+('Inputs'!$B$8/2)^2)-(((456-43)*MAX('Inputs'!$B$33,'Inputs'!$B$29+'Inputs'!$B$31+'Inputs'!$B$32,'Inputs'!$B$30+'Inputs'!$B$31+'Inputs'!$B$32)/1000+'Inputs'!$B$21+'Inputs'!$B$7+'Inputs'!$B$10))/SQRT((((456-43)*MAX('Inputs'!$B$33,'Inputs'!$B$29+'Inputs'!$B$31+'Inputs'!$B$32,'Inputs'!$B$30+'Inputs'!$B$31+'Inputs'!$B$32)/1000+'Inputs'!$B$21+'Inputs'!$B$7+'Inputs'!$B$10))^2+('Inputs'!$B$8/2)^2))))*'Results'!$B$8)+'Inputs'!$B$28*ABS((('Results'!B7*(1+'Inputs'!$B$24)*(0.5*((((456-43)*MAX('Inputs'!$B$33,'Inputs'!$B$29+'Inputs'!$B$31+'Inputs'!$B$32,'Inputs'!$B$30+'Inputs'!$B$31+'Inputs'!$B$32)/1000+'Inputs'!$B$21)+'Inputs'!$B$7)/SQRT((((456-43)*MAX('Inputs'!$B$33,'Inputs'!$B$29+'Inputs'!$B$31+'Inputs'!$B$32,'Inputs'!$B$30+'Inputs'!$B$31+'Inputs'!$B$32)/1000+'Inputs'!$B$21)+'Inputs'!$B$7)^2+('Inputs'!$B$6/2)^2)-(((456-43)*MAX('Inputs'!$B$33,'Inputs'!$B$29+'Inputs'!$B$31+'Inputs'!$B$32,'Inputs'!$B$30+'Inputs'!$B$31+'Inputs'!$B$32)/1000+'Inputs'!$B$21))/SQRT((((456-43)*MAX('Inputs'!$B$33,'Inputs'!$B$29+'Inputs'!$B$31+'Inputs'!$B$32,'Inputs'!$B$30+'Inputs'!$B$31+'Inputs'!$B$32)/1000+'Inputs'!$B$21))^2+('Inputs'!$B$6/2)^2)))-'Results'!C7*(1-'Inputs'!$B$24)*(0.5*((((456-43)*MAX('Inputs'!$B$33,'Inputs'!$B$29+'Inputs'!$B$31+'Inputs'!$B$32,'Inputs'!$B$30+'Inputs'!$B$31+'Inputs'!$B$32)/1000+'Inputs'!$B$21+'Inputs'!$B$7+'Inputs'!$B$10)+'Inputs'!$B$9)/SQRT((((456-43)*MAX('Inputs'!$B$33,'Inputs'!$B$29+'Inputs'!$B$31+'Inputs'!$B$32,'Inputs'!$B$30+'Inputs'!$B$31+'Inputs'!$B$32)/1000+'Inputs'!$B$21+'Inputs'!$B$7+'Inputs'!$B$10)+'Inputs'!$B$9)^2+('Inputs'!$B$8/2)^2)-(((456-43)*MAX('Inputs'!$B$33,'Inputs'!$B$29+'Inputs'!$B$31+'Inputs'!$B$32,'Inputs'!$B$30+'Inputs'!$B$31+'Inputs'!$B$32)/1000+'Inputs'!$B$21+'Inputs'!$B$7+'Inputs'!$B$10))/SQRT((((456-43)*MAX('Inputs'!$B$33,'Inputs'!$B$29+'Inputs'!$B$31+'Inputs'!$B$32,'Inputs'!$B$30+'Inputs'!$B$31+'Inputs'!$B$32)/1000+'Inputs'!$B$21+'Inputs'!$B$7+'Inputs'!$B$10))^2+('Inputs'!$B$8/2)^2))))*'Results'!$B$8))),"")</x:f>
        <x:v>8.845155013363081</x:v>
      </x:c>
      <x:c r="M456" t="n">
        <x:f>IF(AND(ISNUMBER('Results'!C7),ISNUMBER('Results'!B7),ISNUMBER('Results'!$B$8),ISNUMBER('Inputs'!$B$6),ISNUMBER('Inputs'!$B$7),ISNUMBER('Inputs'!$B$8),ISNUMBER('Inputs'!$B$9),ISNUMBER('Inputs'!$B$10),ISNUMBER('Inputs'!$B$21),ISNUMBER('Inputs'!$B$24),ISNUMBER('Inputs'!$B$28)),(('Results'!C7*(0.5*((((456-43)*MAX('Inputs'!$B$33,'Inputs'!$B$29+'Inputs'!$B$31+'Inputs'!$B$32,'Inputs'!$B$30+'Inputs'!$B$31+'Inputs'!$B$32)/1000+'Inputs'!$B$21)+'Inputs'!$B$9)/SQRT((((456-43)*MAX('Inputs'!$B$33,'Inputs'!$B$29+'Inputs'!$B$31+'Inputs'!$B$32,'Inputs'!$B$30+'Inputs'!$B$31+'Inputs'!$B$32)/1000+'Inputs'!$B$21)+'Inputs'!$B$9)^2+('Inputs'!$B$8/2)^2)-(((456-43)*MAX('Inputs'!$B$33,'Inputs'!$B$29+'Inputs'!$B$31+'Inputs'!$B$32,'Inputs'!$B$30+'Inputs'!$B$31+'Inputs'!$B$32)/1000+'Inputs'!$B$21))/SQRT((((456-43)*MAX('Inputs'!$B$33,'Inputs'!$B$29+'Inputs'!$B$31+'Inputs'!$B$32,'Inputs'!$B$30+'Inputs'!$B$31+'Inputs'!$B$32)/1000+'Inputs'!$B$21))^2+('Inputs'!$B$8/2)^2)))-'Results'!B7*(0.5*((((456-43)*MAX('Inputs'!$B$33,'Inputs'!$B$29+'Inputs'!$B$31+'Inputs'!$B$32,'Inputs'!$B$30+'Inputs'!$B$31+'Inputs'!$B$32)/1000+'Inputs'!$B$21+'Inputs'!$B$9+'Inputs'!$B$10)+'Inputs'!$B$7)/SQRT((((456-43)*MAX('Inputs'!$B$33,'Inputs'!$B$29+'Inputs'!$B$31+'Inputs'!$B$32,'Inputs'!$B$30+'Inputs'!$B$31+'Inputs'!$B$32)/1000+'Inputs'!$B$21+'Inputs'!$B$9+'Inputs'!$B$10)+'Inputs'!$B$7)^2+('Inputs'!$B$6/2)^2)-(((456-43)*MAX('Inputs'!$B$33,'Inputs'!$B$29+'Inputs'!$B$31+'Inputs'!$B$32,'Inputs'!$B$30+'Inputs'!$B$31+'Inputs'!$B$32)/1000+'Inputs'!$B$21+'Inputs'!$B$9+'Inputs'!$B$10))/SQRT((((456-43)*MAX('Inputs'!$B$33,'Inputs'!$B$29+'Inputs'!$B$31+'Inputs'!$B$32,'Inputs'!$B$30+'Inputs'!$B$31+'Inputs'!$B$32)/1000+'Inputs'!$B$21+'Inputs'!$B$9+'Inputs'!$B$10))^2+('Inputs'!$B$6/2)^2))))*'Results'!$B$8),"")</x:f>
        <x:v>7.484956679866768</x:v>
      </x:c>
      <x:c r="N456" t="n">
        <x:f>IF(AND(ISNUMBER('Results'!C7),ISNUMBER('Results'!B7),ISNUMBER('Results'!$B$8),ISNUMBER('Inputs'!$B$6),ISNUMBER('Inputs'!$B$7),ISNUMBER('Inputs'!$B$8),ISNUMBER('Inputs'!$B$9),ISNUMBER('Inputs'!$B$10),ISNUMBER('Inputs'!$B$21),ISNUMBER('Inputs'!$B$24),ISNUMBER('Inputs'!$B$28)),((('Results'!C7*(1-'Inputs'!$B$24)*(0.5*((((456-43)*MAX('Inputs'!$B$33,'Inputs'!$B$29+'Inputs'!$B$31+'Inputs'!$B$32,'Inputs'!$B$30+'Inputs'!$B$31+'Inputs'!$B$32)/1000+'Inputs'!$B$21)+'Inputs'!$B$9)/SQRT((((456-43)*MAX('Inputs'!$B$33,'Inputs'!$B$29+'Inputs'!$B$31+'Inputs'!$B$32,'Inputs'!$B$30+'Inputs'!$B$31+'Inputs'!$B$32)/1000+'Inputs'!$B$21)+'Inputs'!$B$9)^2+('Inputs'!$B$8/2)^2)-(((456-43)*MAX('Inputs'!$B$33,'Inputs'!$B$29+'Inputs'!$B$31+'Inputs'!$B$32,'Inputs'!$B$30+'Inputs'!$B$31+'Inputs'!$B$32)/1000+'Inputs'!$B$21))/SQRT((((456-43)*MAX('Inputs'!$B$33,'Inputs'!$B$29+'Inputs'!$B$31+'Inputs'!$B$32,'Inputs'!$B$30+'Inputs'!$B$31+'Inputs'!$B$32)/1000+'Inputs'!$B$21))^2+('Inputs'!$B$8/2)^2)))-'Results'!B7*(1+'Inputs'!$B$24)*(0.5*((((456-43)*MAX('Inputs'!$B$33,'Inputs'!$B$29+'Inputs'!$B$31+'Inputs'!$B$32,'Inputs'!$B$30+'Inputs'!$B$31+'Inputs'!$B$32)/1000+'Inputs'!$B$21+'Inputs'!$B$9+'Inputs'!$B$10)+'Inputs'!$B$7)/SQRT((((456-43)*MAX('Inputs'!$B$33,'Inputs'!$B$29+'Inputs'!$B$31+'Inputs'!$B$32,'Inputs'!$B$30+'Inputs'!$B$31+'Inputs'!$B$32)/1000+'Inputs'!$B$21+'Inputs'!$B$9+'Inputs'!$B$10)+'Inputs'!$B$7)^2+('Inputs'!$B$6/2)^2)-(((456-43)*MAX('Inputs'!$B$33,'Inputs'!$B$29+'Inputs'!$B$31+'Inputs'!$B$32,'Inputs'!$B$30+'Inputs'!$B$31+'Inputs'!$B$32)/1000+'Inputs'!$B$21+'Inputs'!$B$9+'Inputs'!$B$10))/SQRT((((456-43)*MAX('Inputs'!$B$33,'Inputs'!$B$29+'Inputs'!$B$31+'Inputs'!$B$32,'Inputs'!$B$30+'Inputs'!$B$31+'Inputs'!$B$32)/1000+'Inputs'!$B$21+'Inputs'!$B$9+'Inputs'!$B$10))^2+('Inputs'!$B$6/2)^2))))*'Results'!$B$8)-'Inputs'!$B$28*ABS((('Results'!C7*(1-'Inputs'!$B$24)*(0.5*((((456-43)*MAX('Inputs'!$B$33,'Inputs'!$B$29+'Inputs'!$B$31+'Inputs'!$B$32,'Inputs'!$B$30+'Inputs'!$B$31+'Inputs'!$B$32)/1000+'Inputs'!$B$21)+'Inputs'!$B$9)/SQRT((((456-43)*MAX('Inputs'!$B$33,'Inputs'!$B$29+'Inputs'!$B$31+'Inputs'!$B$32,'Inputs'!$B$30+'Inputs'!$B$31+'Inputs'!$B$32)/1000+'Inputs'!$B$21)+'Inputs'!$B$9)^2+('Inputs'!$B$8/2)^2)-(((456-43)*MAX('Inputs'!$B$33,'Inputs'!$B$29+'Inputs'!$B$31+'Inputs'!$B$32,'Inputs'!$B$30+'Inputs'!$B$31+'Inputs'!$B$32)/1000+'Inputs'!$B$21))/SQRT((((456-43)*MAX('Inputs'!$B$33,'Inputs'!$B$29+'Inputs'!$B$31+'Inputs'!$B$32,'Inputs'!$B$30+'Inputs'!$B$31+'Inputs'!$B$32)/1000+'Inputs'!$B$21))^2+('Inputs'!$B$8/2)^2)))-'Results'!B7*(1+'Inputs'!$B$24)*(0.5*((((456-43)*MAX('Inputs'!$B$33,'Inputs'!$B$29+'Inputs'!$B$31+'Inputs'!$B$32,'Inputs'!$B$30+'Inputs'!$B$31+'Inputs'!$B$32)/1000+'Inputs'!$B$21+'Inputs'!$B$9+'Inputs'!$B$10)+'Inputs'!$B$7)/SQRT((((456-43)*MAX('Inputs'!$B$33,'Inputs'!$B$29+'Inputs'!$B$31+'Inputs'!$B$32,'Inputs'!$B$30+'Inputs'!$B$31+'Inputs'!$B$32)/1000+'Inputs'!$B$21+'Inputs'!$B$9+'Inputs'!$B$10)+'Inputs'!$B$7)^2+('Inputs'!$B$6/2)^2)-(((456-43)*MAX('Inputs'!$B$33,'Inputs'!$B$29+'Inputs'!$B$31+'Inputs'!$B$32,'Inputs'!$B$30+'Inputs'!$B$31+'Inputs'!$B$32)/1000+'Inputs'!$B$21+'Inputs'!$B$9+'Inputs'!$B$10))/SQRT((((456-43)*MAX('Inputs'!$B$33,'Inputs'!$B$29+'Inputs'!$B$31+'Inputs'!$B$32,'Inputs'!$B$30+'Inputs'!$B$31+'Inputs'!$B$32)/1000+'Inputs'!$B$21+'Inputs'!$B$9+'Inputs'!$B$10))^2+('Inputs'!$B$6/2)^2))))*'Results'!$B$8))),"")</x:f>
        <x:v>6.66914379642642</x:v>
      </x:c>
      <x:c r="O456" t="n">
        <x:f>IF(AND(ISNUMBER('Results'!C7),ISNUMBER('Results'!B7),ISNUMBER('Results'!$B$8),ISNUMBER('Inputs'!$B$6),ISNUMBER('Inputs'!$B$7),ISNUMBER('Inputs'!$B$8),ISNUMBER('Inputs'!$B$9),ISNUMBER('Inputs'!$B$10),ISNUMBER('Inputs'!$B$21),ISNUMBER('Inputs'!$B$24),ISNUMBER('Inputs'!$B$28)),((('Results'!C7*(1+'Inputs'!$B$24)*(0.5*((((456-43)*MAX('Inputs'!$B$33,'Inputs'!$B$29+'Inputs'!$B$31+'Inputs'!$B$32,'Inputs'!$B$30+'Inputs'!$B$31+'Inputs'!$B$32)/1000+'Inputs'!$B$21)+'Inputs'!$B$9)/SQRT((((456-43)*MAX('Inputs'!$B$33,'Inputs'!$B$29+'Inputs'!$B$31+'Inputs'!$B$32,'Inputs'!$B$30+'Inputs'!$B$31+'Inputs'!$B$32)/1000+'Inputs'!$B$21)+'Inputs'!$B$9)^2+('Inputs'!$B$8/2)^2)-(((456-43)*MAX('Inputs'!$B$33,'Inputs'!$B$29+'Inputs'!$B$31+'Inputs'!$B$32,'Inputs'!$B$30+'Inputs'!$B$31+'Inputs'!$B$32)/1000+'Inputs'!$B$21))/SQRT((((456-43)*MAX('Inputs'!$B$33,'Inputs'!$B$29+'Inputs'!$B$31+'Inputs'!$B$32,'Inputs'!$B$30+'Inputs'!$B$31+'Inputs'!$B$32)/1000+'Inputs'!$B$21))^2+('Inputs'!$B$8/2)^2)))-'Results'!B7*(1-'Inputs'!$B$24)*(0.5*((((456-43)*MAX('Inputs'!$B$33,'Inputs'!$B$29+'Inputs'!$B$31+'Inputs'!$B$32,'Inputs'!$B$30+'Inputs'!$B$31+'Inputs'!$B$32)/1000+'Inputs'!$B$21+'Inputs'!$B$9+'Inputs'!$B$10)+'Inputs'!$B$7)/SQRT((((456-43)*MAX('Inputs'!$B$33,'Inputs'!$B$29+'Inputs'!$B$31+'Inputs'!$B$32,'Inputs'!$B$30+'Inputs'!$B$31+'Inputs'!$B$32)/1000+'Inputs'!$B$21+'Inputs'!$B$9+'Inputs'!$B$10)+'Inputs'!$B$7)^2+('Inputs'!$B$6/2)^2)-(((456-43)*MAX('Inputs'!$B$33,'Inputs'!$B$29+'Inputs'!$B$31+'Inputs'!$B$32,'Inputs'!$B$30+'Inputs'!$B$31+'Inputs'!$B$32)/1000+'Inputs'!$B$21+'Inputs'!$B$9+'Inputs'!$B$10))/SQRT((((456-43)*MAX('Inputs'!$B$33,'Inputs'!$B$29+'Inputs'!$B$31+'Inputs'!$B$32,'Inputs'!$B$30+'Inputs'!$B$31+'Inputs'!$B$32)/1000+'Inputs'!$B$21+'Inputs'!$B$9+'Inputs'!$B$10))^2+('Inputs'!$B$6/2)^2))))*'Results'!$B$8)+'Inputs'!$B$28*ABS((('Results'!C7*(1+'Inputs'!$B$24)*(0.5*((((456-43)*MAX('Inputs'!$B$33,'Inputs'!$B$29+'Inputs'!$B$31+'Inputs'!$B$32,'Inputs'!$B$30+'Inputs'!$B$31+'Inputs'!$B$32)/1000+'Inputs'!$B$21)+'Inputs'!$B$9)/SQRT((((456-43)*MAX('Inputs'!$B$33,'Inputs'!$B$29+'Inputs'!$B$31+'Inputs'!$B$32,'Inputs'!$B$30+'Inputs'!$B$31+'Inputs'!$B$32)/1000+'Inputs'!$B$21)+'Inputs'!$B$9)^2+('Inputs'!$B$8/2)^2)-(((456-43)*MAX('Inputs'!$B$33,'Inputs'!$B$29+'Inputs'!$B$31+'Inputs'!$B$32,'Inputs'!$B$30+'Inputs'!$B$31+'Inputs'!$B$32)/1000+'Inputs'!$B$21))/SQRT((((456-43)*MAX('Inputs'!$B$33,'Inputs'!$B$29+'Inputs'!$B$31+'Inputs'!$B$32,'Inputs'!$B$30+'Inputs'!$B$31+'Inputs'!$B$32)/1000+'Inputs'!$B$21))^2+('Inputs'!$B$8/2)^2)))-'Results'!B7*(1-'Inputs'!$B$24)*(0.5*((((456-43)*MAX('Inputs'!$B$33,'Inputs'!$B$29+'Inputs'!$B$31+'Inputs'!$B$32,'Inputs'!$B$30+'Inputs'!$B$31+'Inputs'!$B$32)/1000+'Inputs'!$B$21+'Inputs'!$B$9+'Inputs'!$B$10)+'Inputs'!$B$7)/SQRT((((456-43)*MAX('Inputs'!$B$33,'Inputs'!$B$29+'Inputs'!$B$31+'Inputs'!$B$32,'Inputs'!$B$30+'Inputs'!$B$31+'Inputs'!$B$32)/1000+'Inputs'!$B$21+'Inputs'!$B$9+'Inputs'!$B$10)+'Inputs'!$B$7)^2+('Inputs'!$B$6/2)^2)-(((456-43)*MAX('Inputs'!$B$33,'Inputs'!$B$29+'Inputs'!$B$31+'Inputs'!$B$32,'Inputs'!$B$30+'Inputs'!$B$31+'Inputs'!$B$32)/1000+'Inputs'!$B$21+'Inputs'!$B$9+'Inputs'!$B$10))/SQRT((((456-43)*MAX('Inputs'!$B$33,'Inputs'!$B$29+'Inputs'!$B$31+'Inputs'!$B$32,'Inputs'!$B$30+'Inputs'!$B$31+'Inputs'!$B$32)/1000+'Inputs'!$B$21+'Inputs'!$B$9+'Inputs'!$B$10))^2+('Inputs'!$B$6/2)^2))))*'Results'!$B$8))),"")</x:f>
        <x:v>8.347250094827855</x:v>
      </x:c>
      <x:c r="P456" t="n">
        <x:f>IF(AND(MAX(J456,J455)&gt;0,J456&gt;J455+0.00000001),1,0)</x:f>
        <x:v>0</x:v>
      </x:c>
      <x:c r="Q456" t="n">
        <x:f>IF(AND(MAX(K456,K455)&gt;0,K456&gt;K455+0.00000001),1,0)</x:f>
        <x:v>0</x:v>
      </x:c>
      <x:c r="R456" t="n">
        <x:f>IF(AND(MAX(L456,L455)&gt;0,L456&gt;L455+0.00000001),1,0)</x:f>
        <x:v>0</x:v>
      </x:c>
      <x:c r="S456" t="n">
        <x:f>IF(AND(MAX(M456,M455)&gt;0,M456&gt;M455+0.00000001),1,0)</x:f>
        <x:v>0</x:v>
      </x:c>
      <x:c r="T456" t="n">
        <x:f>IF(AND(MAX(N456,N455)&gt;0,N456&gt;N455+0.00000001),1,0)</x:f>
        <x:v>0</x:v>
      </x:c>
      <x:c r="U456" t="n">
        <x:f>IF(AND(MAX(O456,O455)&gt;0,O456&gt;O455+0.00000001),1,0)</x:f>
        <x:v>0</x:v>
      </x:c>
    </x:row>
    <x:row r="457">
      <x:c r="J457" t="n">
        <x:f>IF(AND(ISNUMBER('Results'!B7),ISNUMBER('Results'!C7),ISNUMBER('Results'!$B$8),ISNUMBER('Inputs'!$B$6),ISNUMBER('Inputs'!$B$7),ISNUMBER('Inputs'!$B$8),ISNUMBER('Inputs'!$B$9),ISNUMBER('Inputs'!$B$10),ISNUMBER('Inputs'!$B$21),ISNUMBER('Inputs'!$B$24),ISNUMBER('Inputs'!$B$28)),(('Results'!B7*(0.5*((((457-43)*MAX('Inputs'!$B$33,'Inputs'!$B$29+'Inputs'!$B$31+'Inputs'!$B$32,'Inputs'!$B$30+'Inputs'!$B$31+'Inputs'!$B$32)/1000+'Inputs'!$B$21)+'Inputs'!$B$7)/SQRT((((457-43)*MAX('Inputs'!$B$33,'Inputs'!$B$29+'Inputs'!$B$31+'Inputs'!$B$32,'Inputs'!$B$30+'Inputs'!$B$31+'Inputs'!$B$32)/1000+'Inputs'!$B$21)+'Inputs'!$B$7)^2+('Inputs'!$B$6/2)^2)-(((457-43)*MAX('Inputs'!$B$33,'Inputs'!$B$29+'Inputs'!$B$31+'Inputs'!$B$32,'Inputs'!$B$30+'Inputs'!$B$31+'Inputs'!$B$32)/1000+'Inputs'!$B$21))/SQRT((((457-43)*MAX('Inputs'!$B$33,'Inputs'!$B$29+'Inputs'!$B$31+'Inputs'!$B$32,'Inputs'!$B$30+'Inputs'!$B$31+'Inputs'!$B$32)/1000+'Inputs'!$B$21))^2+('Inputs'!$B$6/2)^2)))-'Results'!C7*(0.5*((((457-43)*MAX('Inputs'!$B$33,'Inputs'!$B$29+'Inputs'!$B$31+'Inputs'!$B$32,'Inputs'!$B$30+'Inputs'!$B$31+'Inputs'!$B$32)/1000+'Inputs'!$B$21+'Inputs'!$B$7+'Inputs'!$B$10)+'Inputs'!$B$9)/SQRT((((457-43)*MAX('Inputs'!$B$33,'Inputs'!$B$29+'Inputs'!$B$31+'Inputs'!$B$32,'Inputs'!$B$30+'Inputs'!$B$31+'Inputs'!$B$32)/1000+'Inputs'!$B$21+'Inputs'!$B$7+'Inputs'!$B$10)+'Inputs'!$B$9)^2+('Inputs'!$B$8/2)^2)-(((457-43)*MAX('Inputs'!$B$33,'Inputs'!$B$29+'Inputs'!$B$31+'Inputs'!$B$32,'Inputs'!$B$30+'Inputs'!$B$31+'Inputs'!$B$32)/1000+'Inputs'!$B$21+'Inputs'!$B$7+'Inputs'!$B$10))/SQRT((((457-43)*MAX('Inputs'!$B$33,'Inputs'!$B$29+'Inputs'!$B$31+'Inputs'!$B$32,'Inputs'!$B$30+'Inputs'!$B$31+'Inputs'!$B$32)/1000+'Inputs'!$B$21+'Inputs'!$B$7+'Inputs'!$B$10))^2+('Inputs'!$B$8/2)^2))))*'Results'!$B$8),"")</x:f>
        <x:v>7.892470813102227</x:v>
      </x:c>
      <x:c r="K457" t="n">
        <x:f>IF(AND(ISNUMBER('Results'!B7),ISNUMBER('Results'!C7),ISNUMBER('Results'!$B$8),ISNUMBER('Inputs'!$B$6),ISNUMBER('Inputs'!$B$7),ISNUMBER('Inputs'!$B$8),ISNUMBER('Inputs'!$B$9),ISNUMBER('Inputs'!$B$10),ISNUMBER('Inputs'!$B$21),ISNUMBER('Inputs'!$B$24),ISNUMBER('Inputs'!$B$28)),((('Results'!B7*(1-'Inputs'!$B$24)*(0.5*((((457-43)*MAX('Inputs'!$B$33,'Inputs'!$B$29+'Inputs'!$B$31+'Inputs'!$B$32,'Inputs'!$B$30+'Inputs'!$B$31+'Inputs'!$B$32)/1000+'Inputs'!$B$21)+'Inputs'!$B$7)/SQRT((((457-43)*MAX('Inputs'!$B$33,'Inputs'!$B$29+'Inputs'!$B$31+'Inputs'!$B$32,'Inputs'!$B$30+'Inputs'!$B$31+'Inputs'!$B$32)/1000+'Inputs'!$B$21)+'Inputs'!$B$7)^2+('Inputs'!$B$6/2)^2)-(((457-43)*MAX('Inputs'!$B$33,'Inputs'!$B$29+'Inputs'!$B$31+'Inputs'!$B$32,'Inputs'!$B$30+'Inputs'!$B$31+'Inputs'!$B$32)/1000+'Inputs'!$B$21))/SQRT((((457-43)*MAX('Inputs'!$B$33,'Inputs'!$B$29+'Inputs'!$B$31+'Inputs'!$B$32,'Inputs'!$B$30+'Inputs'!$B$31+'Inputs'!$B$32)/1000+'Inputs'!$B$21))^2+('Inputs'!$B$6/2)^2)))-'Results'!C7*(1+'Inputs'!$B$24)*(0.5*((((457-43)*MAX('Inputs'!$B$33,'Inputs'!$B$29+'Inputs'!$B$31+'Inputs'!$B$32,'Inputs'!$B$30+'Inputs'!$B$31+'Inputs'!$B$32)/1000+'Inputs'!$B$21+'Inputs'!$B$7+'Inputs'!$B$10)+'Inputs'!$B$9)/SQRT((((457-43)*MAX('Inputs'!$B$33,'Inputs'!$B$29+'Inputs'!$B$31+'Inputs'!$B$32,'Inputs'!$B$30+'Inputs'!$B$31+'Inputs'!$B$32)/1000+'Inputs'!$B$21+'Inputs'!$B$7+'Inputs'!$B$10)+'Inputs'!$B$9)^2+('Inputs'!$B$8/2)^2)-(((457-43)*MAX('Inputs'!$B$33,'Inputs'!$B$29+'Inputs'!$B$31+'Inputs'!$B$32,'Inputs'!$B$30+'Inputs'!$B$31+'Inputs'!$B$32)/1000+'Inputs'!$B$21+'Inputs'!$B$7+'Inputs'!$B$10))/SQRT((((457-43)*MAX('Inputs'!$B$33,'Inputs'!$B$29+'Inputs'!$B$31+'Inputs'!$B$32,'Inputs'!$B$30+'Inputs'!$B$31+'Inputs'!$B$32)/1000+'Inputs'!$B$21+'Inputs'!$B$7+'Inputs'!$B$10))^2+('Inputs'!$B$8/2)^2))))*'Results'!$B$8)-'Inputs'!$B$28*ABS((('Results'!B7*(1-'Inputs'!$B$24)*(0.5*((((457-43)*MAX('Inputs'!$B$33,'Inputs'!$B$29+'Inputs'!$B$31+'Inputs'!$B$32,'Inputs'!$B$30+'Inputs'!$B$31+'Inputs'!$B$32)/1000+'Inputs'!$B$21)+'Inputs'!$B$7)/SQRT((((457-43)*MAX('Inputs'!$B$33,'Inputs'!$B$29+'Inputs'!$B$31+'Inputs'!$B$32,'Inputs'!$B$30+'Inputs'!$B$31+'Inputs'!$B$32)/1000+'Inputs'!$B$21)+'Inputs'!$B$7)^2+('Inputs'!$B$6/2)^2)-(((457-43)*MAX('Inputs'!$B$33,'Inputs'!$B$29+'Inputs'!$B$31+'Inputs'!$B$32,'Inputs'!$B$30+'Inputs'!$B$31+'Inputs'!$B$32)/1000+'Inputs'!$B$21))/SQRT((((457-43)*MAX('Inputs'!$B$33,'Inputs'!$B$29+'Inputs'!$B$31+'Inputs'!$B$32,'Inputs'!$B$30+'Inputs'!$B$31+'Inputs'!$B$32)/1000+'Inputs'!$B$21))^2+('Inputs'!$B$6/2)^2)))-'Results'!C7*(1+'Inputs'!$B$24)*(0.5*((((457-43)*MAX('Inputs'!$B$33,'Inputs'!$B$29+'Inputs'!$B$31+'Inputs'!$B$32,'Inputs'!$B$30+'Inputs'!$B$31+'Inputs'!$B$32)/1000+'Inputs'!$B$21+'Inputs'!$B$7+'Inputs'!$B$10)+'Inputs'!$B$9)/SQRT((((457-43)*MAX('Inputs'!$B$33,'Inputs'!$B$29+'Inputs'!$B$31+'Inputs'!$B$32,'Inputs'!$B$30+'Inputs'!$B$31+'Inputs'!$B$32)/1000+'Inputs'!$B$21+'Inputs'!$B$7+'Inputs'!$B$10)+'Inputs'!$B$9)^2+('Inputs'!$B$8/2)^2)-(((457-43)*MAX('Inputs'!$B$33,'Inputs'!$B$29+'Inputs'!$B$31+'Inputs'!$B$32,'Inputs'!$B$30+'Inputs'!$B$31+'Inputs'!$B$32)/1000+'Inputs'!$B$21+'Inputs'!$B$7+'Inputs'!$B$10))/SQRT((((457-43)*MAX('Inputs'!$B$33,'Inputs'!$B$29+'Inputs'!$B$31+'Inputs'!$B$32,'Inputs'!$B$30+'Inputs'!$B$31+'Inputs'!$B$32)/1000+'Inputs'!$B$21+'Inputs'!$B$7+'Inputs'!$B$10))^2+('Inputs'!$B$8/2)^2))))*'Results'!$B$8))),"")</x:f>
        <x:v>7.056097725938756</x:v>
      </x:c>
      <x:c r="L457" t="n">
        <x:f>IF(AND(ISNUMBER('Results'!B7),ISNUMBER('Results'!C7),ISNUMBER('Results'!$B$8),ISNUMBER('Inputs'!$B$6),ISNUMBER('Inputs'!$B$7),ISNUMBER('Inputs'!$B$8),ISNUMBER('Inputs'!$B$9),ISNUMBER('Inputs'!$B$10),ISNUMBER('Inputs'!$B$21),ISNUMBER('Inputs'!$B$24),ISNUMBER('Inputs'!$B$28)),((('Results'!B7*(1+'Inputs'!$B$24)*(0.5*((((457-43)*MAX('Inputs'!$B$33,'Inputs'!$B$29+'Inputs'!$B$31+'Inputs'!$B$32,'Inputs'!$B$30+'Inputs'!$B$31+'Inputs'!$B$32)/1000+'Inputs'!$B$21)+'Inputs'!$B$7)/SQRT((((457-43)*MAX('Inputs'!$B$33,'Inputs'!$B$29+'Inputs'!$B$31+'Inputs'!$B$32,'Inputs'!$B$30+'Inputs'!$B$31+'Inputs'!$B$32)/1000+'Inputs'!$B$21)+'Inputs'!$B$7)^2+('Inputs'!$B$6/2)^2)-(((457-43)*MAX('Inputs'!$B$33,'Inputs'!$B$29+'Inputs'!$B$31+'Inputs'!$B$32,'Inputs'!$B$30+'Inputs'!$B$31+'Inputs'!$B$32)/1000+'Inputs'!$B$21))/SQRT((((457-43)*MAX('Inputs'!$B$33,'Inputs'!$B$29+'Inputs'!$B$31+'Inputs'!$B$32,'Inputs'!$B$30+'Inputs'!$B$31+'Inputs'!$B$32)/1000+'Inputs'!$B$21))^2+('Inputs'!$B$6/2)^2)))-'Results'!C7*(1-'Inputs'!$B$24)*(0.5*((((457-43)*MAX('Inputs'!$B$33,'Inputs'!$B$29+'Inputs'!$B$31+'Inputs'!$B$32,'Inputs'!$B$30+'Inputs'!$B$31+'Inputs'!$B$32)/1000+'Inputs'!$B$21+'Inputs'!$B$7+'Inputs'!$B$10)+'Inputs'!$B$9)/SQRT((((457-43)*MAX('Inputs'!$B$33,'Inputs'!$B$29+'Inputs'!$B$31+'Inputs'!$B$32,'Inputs'!$B$30+'Inputs'!$B$31+'Inputs'!$B$32)/1000+'Inputs'!$B$21+'Inputs'!$B$7+'Inputs'!$B$10)+'Inputs'!$B$9)^2+('Inputs'!$B$8/2)^2)-(((457-43)*MAX('Inputs'!$B$33,'Inputs'!$B$29+'Inputs'!$B$31+'Inputs'!$B$32,'Inputs'!$B$30+'Inputs'!$B$31+'Inputs'!$B$32)/1000+'Inputs'!$B$21+'Inputs'!$B$7+'Inputs'!$B$10))/SQRT((((457-43)*MAX('Inputs'!$B$33,'Inputs'!$B$29+'Inputs'!$B$31+'Inputs'!$B$32,'Inputs'!$B$30+'Inputs'!$B$31+'Inputs'!$B$32)/1000+'Inputs'!$B$21+'Inputs'!$B$7+'Inputs'!$B$10))^2+('Inputs'!$B$8/2)^2))))*'Results'!$B$8)+'Inputs'!$B$28*ABS((('Results'!B7*(1+'Inputs'!$B$24)*(0.5*((((457-43)*MAX('Inputs'!$B$33,'Inputs'!$B$29+'Inputs'!$B$31+'Inputs'!$B$32,'Inputs'!$B$30+'Inputs'!$B$31+'Inputs'!$B$32)/1000+'Inputs'!$B$21)+'Inputs'!$B$7)/SQRT((((457-43)*MAX('Inputs'!$B$33,'Inputs'!$B$29+'Inputs'!$B$31+'Inputs'!$B$32,'Inputs'!$B$30+'Inputs'!$B$31+'Inputs'!$B$32)/1000+'Inputs'!$B$21)+'Inputs'!$B$7)^2+('Inputs'!$B$6/2)^2)-(((457-43)*MAX('Inputs'!$B$33,'Inputs'!$B$29+'Inputs'!$B$31+'Inputs'!$B$32,'Inputs'!$B$30+'Inputs'!$B$31+'Inputs'!$B$32)/1000+'Inputs'!$B$21))/SQRT((((457-43)*MAX('Inputs'!$B$33,'Inputs'!$B$29+'Inputs'!$B$31+'Inputs'!$B$32,'Inputs'!$B$30+'Inputs'!$B$31+'Inputs'!$B$32)/1000+'Inputs'!$B$21))^2+('Inputs'!$B$6/2)^2)))-'Results'!C7*(1-'Inputs'!$B$24)*(0.5*((((457-43)*MAX('Inputs'!$B$33,'Inputs'!$B$29+'Inputs'!$B$31+'Inputs'!$B$32,'Inputs'!$B$30+'Inputs'!$B$31+'Inputs'!$B$32)/1000+'Inputs'!$B$21+'Inputs'!$B$7+'Inputs'!$B$10)+'Inputs'!$B$9)/SQRT((((457-43)*MAX('Inputs'!$B$33,'Inputs'!$B$29+'Inputs'!$B$31+'Inputs'!$B$32,'Inputs'!$B$30+'Inputs'!$B$31+'Inputs'!$B$32)/1000+'Inputs'!$B$21+'Inputs'!$B$7+'Inputs'!$B$10)+'Inputs'!$B$9)^2+('Inputs'!$B$8/2)^2)-(((457-43)*MAX('Inputs'!$B$33,'Inputs'!$B$29+'Inputs'!$B$31+'Inputs'!$B$32,'Inputs'!$B$30+'Inputs'!$B$31+'Inputs'!$B$32)/1000+'Inputs'!$B$21+'Inputs'!$B$7+'Inputs'!$B$10))/SQRT((((457-43)*MAX('Inputs'!$B$33,'Inputs'!$B$29+'Inputs'!$B$31+'Inputs'!$B$32,'Inputs'!$B$30+'Inputs'!$B$31+'Inputs'!$B$32)/1000+'Inputs'!$B$21+'Inputs'!$B$7+'Inputs'!$B$10))^2+('Inputs'!$B$8/2)^2))))*'Results'!$B$8))),"")</x:f>
        <x:v>8.775343852529733</x:v>
      </x:c>
      <x:c r="M457" t="n">
        <x:f>IF(AND(ISNUMBER('Results'!C7),ISNUMBER('Results'!B7),ISNUMBER('Results'!$B$8),ISNUMBER('Inputs'!$B$6),ISNUMBER('Inputs'!$B$7),ISNUMBER('Inputs'!$B$8),ISNUMBER('Inputs'!$B$9),ISNUMBER('Inputs'!$B$10),ISNUMBER('Inputs'!$B$21),ISNUMBER('Inputs'!$B$24),ISNUMBER('Inputs'!$B$28)),(('Results'!C7*(0.5*((((457-43)*MAX('Inputs'!$B$33,'Inputs'!$B$29+'Inputs'!$B$31+'Inputs'!$B$32,'Inputs'!$B$30+'Inputs'!$B$31+'Inputs'!$B$32)/1000+'Inputs'!$B$21)+'Inputs'!$B$9)/SQRT((((457-43)*MAX('Inputs'!$B$33,'Inputs'!$B$29+'Inputs'!$B$31+'Inputs'!$B$32,'Inputs'!$B$30+'Inputs'!$B$31+'Inputs'!$B$32)/1000+'Inputs'!$B$21)+'Inputs'!$B$9)^2+('Inputs'!$B$8/2)^2)-(((457-43)*MAX('Inputs'!$B$33,'Inputs'!$B$29+'Inputs'!$B$31+'Inputs'!$B$32,'Inputs'!$B$30+'Inputs'!$B$31+'Inputs'!$B$32)/1000+'Inputs'!$B$21))/SQRT((((457-43)*MAX('Inputs'!$B$33,'Inputs'!$B$29+'Inputs'!$B$31+'Inputs'!$B$32,'Inputs'!$B$30+'Inputs'!$B$31+'Inputs'!$B$32)/1000+'Inputs'!$B$21))^2+('Inputs'!$B$8/2)^2)))-'Results'!B7*(0.5*((((457-43)*MAX('Inputs'!$B$33,'Inputs'!$B$29+'Inputs'!$B$31+'Inputs'!$B$32,'Inputs'!$B$30+'Inputs'!$B$31+'Inputs'!$B$32)/1000+'Inputs'!$B$21+'Inputs'!$B$9+'Inputs'!$B$10)+'Inputs'!$B$7)/SQRT((((457-43)*MAX('Inputs'!$B$33,'Inputs'!$B$29+'Inputs'!$B$31+'Inputs'!$B$32,'Inputs'!$B$30+'Inputs'!$B$31+'Inputs'!$B$32)/1000+'Inputs'!$B$21+'Inputs'!$B$9+'Inputs'!$B$10)+'Inputs'!$B$7)^2+('Inputs'!$B$6/2)^2)-(((457-43)*MAX('Inputs'!$B$33,'Inputs'!$B$29+'Inputs'!$B$31+'Inputs'!$B$32,'Inputs'!$B$30+'Inputs'!$B$31+'Inputs'!$B$32)/1000+'Inputs'!$B$21+'Inputs'!$B$9+'Inputs'!$B$10))/SQRT((((457-43)*MAX('Inputs'!$B$33,'Inputs'!$B$29+'Inputs'!$B$31+'Inputs'!$B$32,'Inputs'!$B$30+'Inputs'!$B$31+'Inputs'!$B$32)/1000+'Inputs'!$B$21+'Inputs'!$B$9+'Inputs'!$B$10))^2+('Inputs'!$B$6/2)^2))))*'Results'!$B$8),"")</x:f>
        <x:v>7.424337105702886</x:v>
      </x:c>
      <x:c r="N457" t="n">
        <x:f>IF(AND(ISNUMBER('Results'!C7),ISNUMBER('Results'!B7),ISNUMBER('Results'!$B$8),ISNUMBER('Inputs'!$B$6),ISNUMBER('Inputs'!$B$7),ISNUMBER('Inputs'!$B$8),ISNUMBER('Inputs'!$B$9),ISNUMBER('Inputs'!$B$10),ISNUMBER('Inputs'!$B$21),ISNUMBER('Inputs'!$B$24),ISNUMBER('Inputs'!$B$28)),((('Results'!C7*(1-'Inputs'!$B$24)*(0.5*((((457-43)*MAX('Inputs'!$B$33,'Inputs'!$B$29+'Inputs'!$B$31+'Inputs'!$B$32,'Inputs'!$B$30+'Inputs'!$B$31+'Inputs'!$B$32)/1000+'Inputs'!$B$21)+'Inputs'!$B$9)/SQRT((((457-43)*MAX('Inputs'!$B$33,'Inputs'!$B$29+'Inputs'!$B$31+'Inputs'!$B$32,'Inputs'!$B$30+'Inputs'!$B$31+'Inputs'!$B$32)/1000+'Inputs'!$B$21)+'Inputs'!$B$9)^2+('Inputs'!$B$8/2)^2)-(((457-43)*MAX('Inputs'!$B$33,'Inputs'!$B$29+'Inputs'!$B$31+'Inputs'!$B$32,'Inputs'!$B$30+'Inputs'!$B$31+'Inputs'!$B$32)/1000+'Inputs'!$B$21))/SQRT((((457-43)*MAX('Inputs'!$B$33,'Inputs'!$B$29+'Inputs'!$B$31+'Inputs'!$B$32,'Inputs'!$B$30+'Inputs'!$B$31+'Inputs'!$B$32)/1000+'Inputs'!$B$21))^2+('Inputs'!$B$8/2)^2)))-'Results'!B7*(1+'Inputs'!$B$24)*(0.5*((((457-43)*MAX('Inputs'!$B$33,'Inputs'!$B$29+'Inputs'!$B$31+'Inputs'!$B$32,'Inputs'!$B$30+'Inputs'!$B$31+'Inputs'!$B$32)/1000+'Inputs'!$B$21+'Inputs'!$B$9+'Inputs'!$B$10)+'Inputs'!$B$7)/SQRT((((457-43)*MAX('Inputs'!$B$33,'Inputs'!$B$29+'Inputs'!$B$31+'Inputs'!$B$32,'Inputs'!$B$30+'Inputs'!$B$31+'Inputs'!$B$32)/1000+'Inputs'!$B$21+'Inputs'!$B$9+'Inputs'!$B$10)+'Inputs'!$B$7)^2+('Inputs'!$B$6/2)^2)-(((457-43)*MAX('Inputs'!$B$33,'Inputs'!$B$29+'Inputs'!$B$31+'Inputs'!$B$32,'Inputs'!$B$30+'Inputs'!$B$31+'Inputs'!$B$32)/1000+'Inputs'!$B$21+'Inputs'!$B$9+'Inputs'!$B$10))/SQRT((((457-43)*MAX('Inputs'!$B$33,'Inputs'!$B$29+'Inputs'!$B$31+'Inputs'!$B$32,'Inputs'!$B$30+'Inputs'!$B$31+'Inputs'!$B$32)/1000+'Inputs'!$B$21+'Inputs'!$B$9+'Inputs'!$B$10))^2+('Inputs'!$B$6/2)^2))))*'Results'!$B$8)-'Inputs'!$B$28*ABS((('Results'!C7*(1-'Inputs'!$B$24)*(0.5*((((457-43)*MAX('Inputs'!$B$33,'Inputs'!$B$29+'Inputs'!$B$31+'Inputs'!$B$32,'Inputs'!$B$30+'Inputs'!$B$31+'Inputs'!$B$32)/1000+'Inputs'!$B$21)+'Inputs'!$B$9)/SQRT((((457-43)*MAX('Inputs'!$B$33,'Inputs'!$B$29+'Inputs'!$B$31+'Inputs'!$B$32,'Inputs'!$B$30+'Inputs'!$B$31+'Inputs'!$B$32)/1000+'Inputs'!$B$21)+'Inputs'!$B$9)^2+('Inputs'!$B$8/2)^2)-(((457-43)*MAX('Inputs'!$B$33,'Inputs'!$B$29+'Inputs'!$B$31+'Inputs'!$B$32,'Inputs'!$B$30+'Inputs'!$B$31+'Inputs'!$B$32)/1000+'Inputs'!$B$21))/SQRT((((457-43)*MAX('Inputs'!$B$33,'Inputs'!$B$29+'Inputs'!$B$31+'Inputs'!$B$32,'Inputs'!$B$30+'Inputs'!$B$31+'Inputs'!$B$32)/1000+'Inputs'!$B$21))^2+('Inputs'!$B$8/2)^2)))-'Results'!B7*(1+'Inputs'!$B$24)*(0.5*((((457-43)*MAX('Inputs'!$B$33,'Inputs'!$B$29+'Inputs'!$B$31+'Inputs'!$B$32,'Inputs'!$B$30+'Inputs'!$B$31+'Inputs'!$B$32)/1000+'Inputs'!$B$21+'Inputs'!$B$9+'Inputs'!$B$10)+'Inputs'!$B$7)/SQRT((((457-43)*MAX('Inputs'!$B$33,'Inputs'!$B$29+'Inputs'!$B$31+'Inputs'!$B$32,'Inputs'!$B$30+'Inputs'!$B$31+'Inputs'!$B$32)/1000+'Inputs'!$B$21+'Inputs'!$B$9+'Inputs'!$B$10)+'Inputs'!$B$7)^2+('Inputs'!$B$6/2)^2)-(((457-43)*MAX('Inputs'!$B$33,'Inputs'!$B$29+'Inputs'!$B$31+'Inputs'!$B$32,'Inputs'!$B$30+'Inputs'!$B$31+'Inputs'!$B$32)/1000+'Inputs'!$B$21+'Inputs'!$B$9+'Inputs'!$B$10))/SQRT((((457-43)*MAX('Inputs'!$B$33,'Inputs'!$B$29+'Inputs'!$B$31+'Inputs'!$B$32,'Inputs'!$B$30+'Inputs'!$B$31+'Inputs'!$B$32)/1000+'Inputs'!$B$21+'Inputs'!$B$9+'Inputs'!$B$10))^2+('Inputs'!$B$6/2)^2))))*'Results'!$B$8))),"")</x:f>
        <x:v>6.6143102933079385</x:v>
      </x:c>
      <x:c r="O457" t="n">
        <x:f>IF(AND(ISNUMBER('Results'!C7),ISNUMBER('Results'!B7),ISNUMBER('Results'!$B$8),ISNUMBER('Inputs'!$B$6),ISNUMBER('Inputs'!$B$7),ISNUMBER('Inputs'!$B$8),ISNUMBER('Inputs'!$B$9),ISNUMBER('Inputs'!$B$10),ISNUMBER('Inputs'!$B$21),ISNUMBER('Inputs'!$B$24),ISNUMBER('Inputs'!$B$28)),((('Results'!C7*(1+'Inputs'!$B$24)*(0.5*((((457-43)*MAX('Inputs'!$B$33,'Inputs'!$B$29+'Inputs'!$B$31+'Inputs'!$B$32,'Inputs'!$B$30+'Inputs'!$B$31+'Inputs'!$B$32)/1000+'Inputs'!$B$21)+'Inputs'!$B$9)/SQRT((((457-43)*MAX('Inputs'!$B$33,'Inputs'!$B$29+'Inputs'!$B$31+'Inputs'!$B$32,'Inputs'!$B$30+'Inputs'!$B$31+'Inputs'!$B$32)/1000+'Inputs'!$B$21)+'Inputs'!$B$9)^2+('Inputs'!$B$8/2)^2)-(((457-43)*MAX('Inputs'!$B$33,'Inputs'!$B$29+'Inputs'!$B$31+'Inputs'!$B$32,'Inputs'!$B$30+'Inputs'!$B$31+'Inputs'!$B$32)/1000+'Inputs'!$B$21))/SQRT((((457-43)*MAX('Inputs'!$B$33,'Inputs'!$B$29+'Inputs'!$B$31+'Inputs'!$B$32,'Inputs'!$B$30+'Inputs'!$B$31+'Inputs'!$B$32)/1000+'Inputs'!$B$21))^2+('Inputs'!$B$8/2)^2)))-'Results'!B7*(1-'Inputs'!$B$24)*(0.5*((((457-43)*MAX('Inputs'!$B$33,'Inputs'!$B$29+'Inputs'!$B$31+'Inputs'!$B$32,'Inputs'!$B$30+'Inputs'!$B$31+'Inputs'!$B$32)/1000+'Inputs'!$B$21+'Inputs'!$B$9+'Inputs'!$B$10)+'Inputs'!$B$7)/SQRT((((457-43)*MAX('Inputs'!$B$33,'Inputs'!$B$29+'Inputs'!$B$31+'Inputs'!$B$32,'Inputs'!$B$30+'Inputs'!$B$31+'Inputs'!$B$32)/1000+'Inputs'!$B$21+'Inputs'!$B$9+'Inputs'!$B$10)+'Inputs'!$B$7)^2+('Inputs'!$B$6/2)^2)-(((457-43)*MAX('Inputs'!$B$33,'Inputs'!$B$29+'Inputs'!$B$31+'Inputs'!$B$32,'Inputs'!$B$30+'Inputs'!$B$31+'Inputs'!$B$32)/1000+'Inputs'!$B$21+'Inputs'!$B$9+'Inputs'!$B$10))/SQRT((((457-43)*MAX('Inputs'!$B$33,'Inputs'!$B$29+'Inputs'!$B$31+'Inputs'!$B$32,'Inputs'!$B$30+'Inputs'!$B$31+'Inputs'!$B$32)/1000+'Inputs'!$B$21+'Inputs'!$B$9+'Inputs'!$B$10))^2+('Inputs'!$B$6/2)^2))))*'Results'!$B$8)+'Inputs'!$B$28*ABS((('Results'!C7*(1+'Inputs'!$B$24)*(0.5*((((457-43)*MAX('Inputs'!$B$33,'Inputs'!$B$29+'Inputs'!$B$31+'Inputs'!$B$32,'Inputs'!$B$30+'Inputs'!$B$31+'Inputs'!$B$32)/1000+'Inputs'!$B$21)+'Inputs'!$B$9)/SQRT((((457-43)*MAX('Inputs'!$B$33,'Inputs'!$B$29+'Inputs'!$B$31+'Inputs'!$B$32,'Inputs'!$B$30+'Inputs'!$B$31+'Inputs'!$B$32)/1000+'Inputs'!$B$21)+'Inputs'!$B$9)^2+('Inputs'!$B$8/2)^2)-(((457-43)*MAX('Inputs'!$B$33,'Inputs'!$B$29+'Inputs'!$B$31+'Inputs'!$B$32,'Inputs'!$B$30+'Inputs'!$B$31+'Inputs'!$B$32)/1000+'Inputs'!$B$21))/SQRT((((457-43)*MAX('Inputs'!$B$33,'Inputs'!$B$29+'Inputs'!$B$31+'Inputs'!$B$32,'Inputs'!$B$30+'Inputs'!$B$31+'Inputs'!$B$32)/1000+'Inputs'!$B$21))^2+('Inputs'!$B$8/2)^2)))-'Results'!B7*(1-'Inputs'!$B$24)*(0.5*((((457-43)*MAX('Inputs'!$B$33,'Inputs'!$B$29+'Inputs'!$B$31+'Inputs'!$B$32,'Inputs'!$B$30+'Inputs'!$B$31+'Inputs'!$B$32)/1000+'Inputs'!$B$21+'Inputs'!$B$9+'Inputs'!$B$10)+'Inputs'!$B$7)/SQRT((((457-43)*MAX('Inputs'!$B$33,'Inputs'!$B$29+'Inputs'!$B$31+'Inputs'!$B$32,'Inputs'!$B$30+'Inputs'!$B$31+'Inputs'!$B$32)/1000+'Inputs'!$B$21+'Inputs'!$B$9+'Inputs'!$B$10)+'Inputs'!$B$7)^2+('Inputs'!$B$6/2)^2)-(((457-43)*MAX('Inputs'!$B$33,'Inputs'!$B$29+'Inputs'!$B$31+'Inputs'!$B$32,'Inputs'!$B$30+'Inputs'!$B$31+'Inputs'!$B$32)/1000+'Inputs'!$B$21+'Inputs'!$B$9+'Inputs'!$B$10))/SQRT((((457-43)*MAX('Inputs'!$B$33,'Inputs'!$B$29+'Inputs'!$B$31+'Inputs'!$B$32,'Inputs'!$B$30+'Inputs'!$B$31+'Inputs'!$B$32)/1000+'Inputs'!$B$21+'Inputs'!$B$9+'Inputs'!$B$10))^2+('Inputs'!$B$6/2)^2))))*'Results'!$B$8))),"")</x:f>
        <x:v>8.280554439898863</x:v>
      </x:c>
      <x:c r="P457" t="n">
        <x:f>IF(AND(MAX(J457,J456)&gt;0,J457&gt;J456+0.00000001),1,0)</x:f>
        <x:v>0</x:v>
      </x:c>
      <x:c r="Q457" t="n">
        <x:f>IF(AND(MAX(K457,K456)&gt;0,K457&gt;K456+0.00000001),1,0)</x:f>
        <x:v>0</x:v>
      </x:c>
      <x:c r="R457" t="n">
        <x:f>IF(AND(MAX(L457,L456)&gt;0,L457&gt;L456+0.00000001),1,0)</x:f>
        <x:v>0</x:v>
      </x:c>
      <x:c r="S457" t="n">
        <x:f>IF(AND(MAX(M457,M456)&gt;0,M457&gt;M456+0.00000001),1,0)</x:f>
        <x:v>0</x:v>
      </x:c>
      <x:c r="T457" t="n">
        <x:f>IF(AND(MAX(N457,N456)&gt;0,N457&gt;N456+0.00000001),1,0)</x:f>
        <x:v>0</x:v>
      </x:c>
      <x:c r="U457" t="n">
        <x:f>IF(AND(MAX(O457,O456)&gt;0,O457&gt;O456+0.00000001),1,0)</x:f>
        <x:v>0</x:v>
      </x:c>
    </x:row>
    <x:row r="458">
      <x:c r="J458" t="n">
        <x:f>IF(AND(ISNUMBER('Results'!B7),ISNUMBER('Results'!C7),ISNUMBER('Results'!$B$8),ISNUMBER('Inputs'!$B$6),ISNUMBER('Inputs'!$B$7),ISNUMBER('Inputs'!$B$8),ISNUMBER('Inputs'!$B$9),ISNUMBER('Inputs'!$B$10),ISNUMBER('Inputs'!$B$21),ISNUMBER('Inputs'!$B$24),ISNUMBER('Inputs'!$B$28)),(('Results'!B7*(0.5*((((458-43)*MAX('Inputs'!$B$33,'Inputs'!$B$29+'Inputs'!$B$31+'Inputs'!$B$32,'Inputs'!$B$30+'Inputs'!$B$31+'Inputs'!$B$32)/1000+'Inputs'!$B$21)+'Inputs'!$B$7)/SQRT((((458-43)*MAX('Inputs'!$B$33,'Inputs'!$B$29+'Inputs'!$B$31+'Inputs'!$B$32,'Inputs'!$B$30+'Inputs'!$B$31+'Inputs'!$B$32)/1000+'Inputs'!$B$21)+'Inputs'!$B$7)^2+('Inputs'!$B$6/2)^2)-(((458-43)*MAX('Inputs'!$B$33,'Inputs'!$B$29+'Inputs'!$B$31+'Inputs'!$B$32,'Inputs'!$B$30+'Inputs'!$B$31+'Inputs'!$B$32)/1000+'Inputs'!$B$21))/SQRT((((458-43)*MAX('Inputs'!$B$33,'Inputs'!$B$29+'Inputs'!$B$31+'Inputs'!$B$32,'Inputs'!$B$30+'Inputs'!$B$31+'Inputs'!$B$32)/1000+'Inputs'!$B$21))^2+('Inputs'!$B$6/2)^2)))-'Results'!C7*(0.5*((((458-43)*MAX('Inputs'!$B$33,'Inputs'!$B$29+'Inputs'!$B$31+'Inputs'!$B$32,'Inputs'!$B$30+'Inputs'!$B$31+'Inputs'!$B$32)/1000+'Inputs'!$B$21+'Inputs'!$B$7+'Inputs'!$B$10)+'Inputs'!$B$9)/SQRT((((458-43)*MAX('Inputs'!$B$33,'Inputs'!$B$29+'Inputs'!$B$31+'Inputs'!$B$32,'Inputs'!$B$30+'Inputs'!$B$31+'Inputs'!$B$32)/1000+'Inputs'!$B$21+'Inputs'!$B$7+'Inputs'!$B$10)+'Inputs'!$B$9)^2+('Inputs'!$B$8/2)^2)-(((458-43)*MAX('Inputs'!$B$33,'Inputs'!$B$29+'Inputs'!$B$31+'Inputs'!$B$32,'Inputs'!$B$30+'Inputs'!$B$31+'Inputs'!$B$32)/1000+'Inputs'!$B$21+'Inputs'!$B$7+'Inputs'!$B$10))/SQRT((((458-43)*MAX('Inputs'!$B$33,'Inputs'!$B$29+'Inputs'!$B$31+'Inputs'!$B$32,'Inputs'!$B$30+'Inputs'!$B$31+'Inputs'!$B$32)/1000+'Inputs'!$B$21+'Inputs'!$B$7+'Inputs'!$B$10))^2+('Inputs'!$B$8/2)^2))))*'Results'!$B$8),"")</x:f>
        <x:v>7.829542633631636</x:v>
      </x:c>
      <x:c r="K458" t="n">
        <x:f>IF(AND(ISNUMBER('Results'!B7),ISNUMBER('Results'!C7),ISNUMBER('Results'!$B$8),ISNUMBER('Inputs'!$B$6),ISNUMBER('Inputs'!$B$7),ISNUMBER('Inputs'!$B$8),ISNUMBER('Inputs'!$B$9),ISNUMBER('Inputs'!$B$10),ISNUMBER('Inputs'!$B$21),ISNUMBER('Inputs'!$B$24),ISNUMBER('Inputs'!$B$28)),((('Results'!B7*(1-'Inputs'!$B$24)*(0.5*((((458-43)*MAX('Inputs'!$B$33,'Inputs'!$B$29+'Inputs'!$B$31+'Inputs'!$B$32,'Inputs'!$B$30+'Inputs'!$B$31+'Inputs'!$B$32)/1000+'Inputs'!$B$21)+'Inputs'!$B$7)/SQRT((((458-43)*MAX('Inputs'!$B$33,'Inputs'!$B$29+'Inputs'!$B$31+'Inputs'!$B$32,'Inputs'!$B$30+'Inputs'!$B$31+'Inputs'!$B$32)/1000+'Inputs'!$B$21)+'Inputs'!$B$7)^2+('Inputs'!$B$6/2)^2)-(((458-43)*MAX('Inputs'!$B$33,'Inputs'!$B$29+'Inputs'!$B$31+'Inputs'!$B$32,'Inputs'!$B$30+'Inputs'!$B$31+'Inputs'!$B$32)/1000+'Inputs'!$B$21))/SQRT((((458-43)*MAX('Inputs'!$B$33,'Inputs'!$B$29+'Inputs'!$B$31+'Inputs'!$B$32,'Inputs'!$B$30+'Inputs'!$B$31+'Inputs'!$B$32)/1000+'Inputs'!$B$21))^2+('Inputs'!$B$6/2)^2)))-'Results'!C7*(1+'Inputs'!$B$24)*(0.5*((((458-43)*MAX('Inputs'!$B$33,'Inputs'!$B$29+'Inputs'!$B$31+'Inputs'!$B$32,'Inputs'!$B$30+'Inputs'!$B$31+'Inputs'!$B$32)/1000+'Inputs'!$B$21+'Inputs'!$B$7+'Inputs'!$B$10)+'Inputs'!$B$9)/SQRT((((458-43)*MAX('Inputs'!$B$33,'Inputs'!$B$29+'Inputs'!$B$31+'Inputs'!$B$32,'Inputs'!$B$30+'Inputs'!$B$31+'Inputs'!$B$32)/1000+'Inputs'!$B$21+'Inputs'!$B$7+'Inputs'!$B$10)+'Inputs'!$B$9)^2+('Inputs'!$B$8/2)^2)-(((458-43)*MAX('Inputs'!$B$33,'Inputs'!$B$29+'Inputs'!$B$31+'Inputs'!$B$32,'Inputs'!$B$30+'Inputs'!$B$31+'Inputs'!$B$32)/1000+'Inputs'!$B$21+'Inputs'!$B$7+'Inputs'!$B$10))/SQRT((((458-43)*MAX('Inputs'!$B$33,'Inputs'!$B$29+'Inputs'!$B$31+'Inputs'!$B$32,'Inputs'!$B$30+'Inputs'!$B$31+'Inputs'!$B$32)/1000+'Inputs'!$B$21+'Inputs'!$B$7+'Inputs'!$B$10))^2+('Inputs'!$B$8/2)^2))))*'Results'!$B$8)-'Inputs'!$B$28*ABS((('Results'!B7*(1-'Inputs'!$B$24)*(0.5*((((458-43)*MAX('Inputs'!$B$33,'Inputs'!$B$29+'Inputs'!$B$31+'Inputs'!$B$32,'Inputs'!$B$30+'Inputs'!$B$31+'Inputs'!$B$32)/1000+'Inputs'!$B$21)+'Inputs'!$B$7)/SQRT((((458-43)*MAX('Inputs'!$B$33,'Inputs'!$B$29+'Inputs'!$B$31+'Inputs'!$B$32,'Inputs'!$B$30+'Inputs'!$B$31+'Inputs'!$B$32)/1000+'Inputs'!$B$21)+'Inputs'!$B$7)^2+('Inputs'!$B$6/2)^2)-(((458-43)*MAX('Inputs'!$B$33,'Inputs'!$B$29+'Inputs'!$B$31+'Inputs'!$B$32,'Inputs'!$B$30+'Inputs'!$B$31+'Inputs'!$B$32)/1000+'Inputs'!$B$21))/SQRT((((458-43)*MAX('Inputs'!$B$33,'Inputs'!$B$29+'Inputs'!$B$31+'Inputs'!$B$32,'Inputs'!$B$30+'Inputs'!$B$31+'Inputs'!$B$32)/1000+'Inputs'!$B$21))^2+('Inputs'!$B$6/2)^2)))-'Results'!C7*(1+'Inputs'!$B$24)*(0.5*((((458-43)*MAX('Inputs'!$B$33,'Inputs'!$B$29+'Inputs'!$B$31+'Inputs'!$B$32,'Inputs'!$B$30+'Inputs'!$B$31+'Inputs'!$B$32)/1000+'Inputs'!$B$21+'Inputs'!$B$7+'Inputs'!$B$10)+'Inputs'!$B$9)/SQRT((((458-43)*MAX('Inputs'!$B$33,'Inputs'!$B$29+'Inputs'!$B$31+'Inputs'!$B$32,'Inputs'!$B$30+'Inputs'!$B$31+'Inputs'!$B$32)/1000+'Inputs'!$B$21+'Inputs'!$B$7+'Inputs'!$B$10)+'Inputs'!$B$9)^2+('Inputs'!$B$8/2)^2)-(((458-43)*MAX('Inputs'!$B$33,'Inputs'!$B$29+'Inputs'!$B$31+'Inputs'!$B$32,'Inputs'!$B$30+'Inputs'!$B$31+'Inputs'!$B$32)/1000+'Inputs'!$B$21+'Inputs'!$B$7+'Inputs'!$B$10))/SQRT((((458-43)*MAX('Inputs'!$B$33,'Inputs'!$B$29+'Inputs'!$B$31+'Inputs'!$B$32,'Inputs'!$B$30+'Inputs'!$B$31+'Inputs'!$B$32)/1000+'Inputs'!$B$21+'Inputs'!$B$7+'Inputs'!$B$10))^2+('Inputs'!$B$8/2)^2))))*'Results'!$B$8))),"")</x:f>
        <x:v>6.99907169815598</x:v>
      </x:c>
      <x:c r="L458" t="n">
        <x:f>IF(AND(ISNUMBER('Results'!B7),ISNUMBER('Results'!C7),ISNUMBER('Results'!$B$8),ISNUMBER('Inputs'!$B$6),ISNUMBER('Inputs'!$B$7),ISNUMBER('Inputs'!$B$8),ISNUMBER('Inputs'!$B$9),ISNUMBER('Inputs'!$B$10),ISNUMBER('Inputs'!$B$21),ISNUMBER('Inputs'!$B$24),ISNUMBER('Inputs'!$B$28)),((('Results'!B7*(1+'Inputs'!$B$24)*(0.5*((((458-43)*MAX('Inputs'!$B$33,'Inputs'!$B$29+'Inputs'!$B$31+'Inputs'!$B$32,'Inputs'!$B$30+'Inputs'!$B$31+'Inputs'!$B$32)/1000+'Inputs'!$B$21)+'Inputs'!$B$7)/SQRT((((458-43)*MAX('Inputs'!$B$33,'Inputs'!$B$29+'Inputs'!$B$31+'Inputs'!$B$32,'Inputs'!$B$30+'Inputs'!$B$31+'Inputs'!$B$32)/1000+'Inputs'!$B$21)+'Inputs'!$B$7)^2+('Inputs'!$B$6/2)^2)-(((458-43)*MAX('Inputs'!$B$33,'Inputs'!$B$29+'Inputs'!$B$31+'Inputs'!$B$32,'Inputs'!$B$30+'Inputs'!$B$31+'Inputs'!$B$32)/1000+'Inputs'!$B$21))/SQRT((((458-43)*MAX('Inputs'!$B$33,'Inputs'!$B$29+'Inputs'!$B$31+'Inputs'!$B$32,'Inputs'!$B$30+'Inputs'!$B$31+'Inputs'!$B$32)/1000+'Inputs'!$B$21))^2+('Inputs'!$B$6/2)^2)))-'Results'!C7*(1-'Inputs'!$B$24)*(0.5*((((458-43)*MAX('Inputs'!$B$33,'Inputs'!$B$29+'Inputs'!$B$31+'Inputs'!$B$32,'Inputs'!$B$30+'Inputs'!$B$31+'Inputs'!$B$32)/1000+'Inputs'!$B$21+'Inputs'!$B$7+'Inputs'!$B$10)+'Inputs'!$B$9)/SQRT((((458-43)*MAX('Inputs'!$B$33,'Inputs'!$B$29+'Inputs'!$B$31+'Inputs'!$B$32,'Inputs'!$B$30+'Inputs'!$B$31+'Inputs'!$B$32)/1000+'Inputs'!$B$21+'Inputs'!$B$7+'Inputs'!$B$10)+'Inputs'!$B$9)^2+('Inputs'!$B$8/2)^2)-(((458-43)*MAX('Inputs'!$B$33,'Inputs'!$B$29+'Inputs'!$B$31+'Inputs'!$B$32,'Inputs'!$B$30+'Inputs'!$B$31+'Inputs'!$B$32)/1000+'Inputs'!$B$21+'Inputs'!$B$7+'Inputs'!$B$10))/SQRT((((458-43)*MAX('Inputs'!$B$33,'Inputs'!$B$29+'Inputs'!$B$31+'Inputs'!$B$32,'Inputs'!$B$30+'Inputs'!$B$31+'Inputs'!$B$32)/1000+'Inputs'!$B$21+'Inputs'!$B$7+'Inputs'!$B$10))^2+('Inputs'!$B$8/2)^2))))*'Results'!$B$8)+'Inputs'!$B$28*ABS((('Results'!B7*(1+'Inputs'!$B$24)*(0.5*((((458-43)*MAX('Inputs'!$B$33,'Inputs'!$B$29+'Inputs'!$B$31+'Inputs'!$B$32,'Inputs'!$B$30+'Inputs'!$B$31+'Inputs'!$B$32)/1000+'Inputs'!$B$21)+'Inputs'!$B$7)/SQRT((((458-43)*MAX('Inputs'!$B$33,'Inputs'!$B$29+'Inputs'!$B$31+'Inputs'!$B$32,'Inputs'!$B$30+'Inputs'!$B$31+'Inputs'!$B$32)/1000+'Inputs'!$B$21)+'Inputs'!$B$7)^2+('Inputs'!$B$6/2)^2)-(((458-43)*MAX('Inputs'!$B$33,'Inputs'!$B$29+'Inputs'!$B$31+'Inputs'!$B$32,'Inputs'!$B$30+'Inputs'!$B$31+'Inputs'!$B$32)/1000+'Inputs'!$B$21))/SQRT((((458-43)*MAX('Inputs'!$B$33,'Inputs'!$B$29+'Inputs'!$B$31+'Inputs'!$B$32,'Inputs'!$B$30+'Inputs'!$B$31+'Inputs'!$B$32)/1000+'Inputs'!$B$21))^2+('Inputs'!$B$6/2)^2)))-'Results'!C7*(1-'Inputs'!$B$24)*(0.5*((((458-43)*MAX('Inputs'!$B$33,'Inputs'!$B$29+'Inputs'!$B$31+'Inputs'!$B$32,'Inputs'!$B$30+'Inputs'!$B$31+'Inputs'!$B$32)/1000+'Inputs'!$B$21+'Inputs'!$B$7+'Inputs'!$B$10)+'Inputs'!$B$9)/SQRT((((458-43)*MAX('Inputs'!$B$33,'Inputs'!$B$29+'Inputs'!$B$31+'Inputs'!$B$32,'Inputs'!$B$30+'Inputs'!$B$31+'Inputs'!$B$32)/1000+'Inputs'!$B$21+'Inputs'!$B$7+'Inputs'!$B$10)+'Inputs'!$B$9)^2+('Inputs'!$B$8/2)^2)-(((458-43)*MAX('Inputs'!$B$33,'Inputs'!$B$29+'Inputs'!$B$31+'Inputs'!$B$32,'Inputs'!$B$30+'Inputs'!$B$31+'Inputs'!$B$32)/1000+'Inputs'!$B$21+'Inputs'!$B$7+'Inputs'!$B$10))/SQRT((((458-43)*MAX('Inputs'!$B$33,'Inputs'!$B$29+'Inputs'!$B$31+'Inputs'!$B$32,'Inputs'!$B$30+'Inputs'!$B$31+'Inputs'!$B$32)/1000+'Inputs'!$B$21+'Inputs'!$B$7+'Inputs'!$B$10))^2+('Inputs'!$B$8/2)^2))))*'Results'!$B$8))),"")</x:f>
        <x:v>8.706223443190874</x:v>
      </x:c>
      <x:c r="M458" t="n">
        <x:f>IF(AND(ISNUMBER('Results'!C7),ISNUMBER('Results'!B7),ISNUMBER('Results'!$B$8),ISNUMBER('Inputs'!$B$6),ISNUMBER('Inputs'!$B$7),ISNUMBER('Inputs'!$B$8),ISNUMBER('Inputs'!$B$9),ISNUMBER('Inputs'!$B$10),ISNUMBER('Inputs'!$B$21),ISNUMBER('Inputs'!$B$24),ISNUMBER('Inputs'!$B$28)),(('Results'!C7*(0.5*((((458-43)*MAX('Inputs'!$B$33,'Inputs'!$B$29+'Inputs'!$B$31+'Inputs'!$B$32,'Inputs'!$B$30+'Inputs'!$B$31+'Inputs'!$B$32)/1000+'Inputs'!$B$21)+'Inputs'!$B$9)/SQRT((((458-43)*MAX('Inputs'!$B$33,'Inputs'!$B$29+'Inputs'!$B$31+'Inputs'!$B$32,'Inputs'!$B$30+'Inputs'!$B$31+'Inputs'!$B$32)/1000+'Inputs'!$B$21)+'Inputs'!$B$9)^2+('Inputs'!$B$8/2)^2)-(((458-43)*MAX('Inputs'!$B$33,'Inputs'!$B$29+'Inputs'!$B$31+'Inputs'!$B$32,'Inputs'!$B$30+'Inputs'!$B$31+'Inputs'!$B$32)/1000+'Inputs'!$B$21))/SQRT((((458-43)*MAX('Inputs'!$B$33,'Inputs'!$B$29+'Inputs'!$B$31+'Inputs'!$B$32,'Inputs'!$B$30+'Inputs'!$B$31+'Inputs'!$B$32)/1000+'Inputs'!$B$21))^2+('Inputs'!$B$8/2)^2)))-'Results'!B7*(0.5*((((458-43)*MAX('Inputs'!$B$33,'Inputs'!$B$29+'Inputs'!$B$31+'Inputs'!$B$32,'Inputs'!$B$30+'Inputs'!$B$31+'Inputs'!$B$32)/1000+'Inputs'!$B$21+'Inputs'!$B$9+'Inputs'!$B$10)+'Inputs'!$B$7)/SQRT((((458-43)*MAX('Inputs'!$B$33,'Inputs'!$B$29+'Inputs'!$B$31+'Inputs'!$B$32,'Inputs'!$B$30+'Inputs'!$B$31+'Inputs'!$B$32)/1000+'Inputs'!$B$21+'Inputs'!$B$9+'Inputs'!$B$10)+'Inputs'!$B$7)^2+('Inputs'!$B$6/2)^2)-(((458-43)*MAX('Inputs'!$B$33,'Inputs'!$B$29+'Inputs'!$B$31+'Inputs'!$B$32,'Inputs'!$B$30+'Inputs'!$B$31+'Inputs'!$B$32)/1000+'Inputs'!$B$21+'Inputs'!$B$9+'Inputs'!$B$10))/SQRT((((458-43)*MAX('Inputs'!$B$33,'Inputs'!$B$29+'Inputs'!$B$31+'Inputs'!$B$32,'Inputs'!$B$30+'Inputs'!$B$31+'Inputs'!$B$32)/1000+'Inputs'!$B$21+'Inputs'!$B$9+'Inputs'!$B$10))^2+('Inputs'!$B$6/2)^2))))*'Results'!$B$8),"")</x:f>
        <x:v>7.364326465365532</x:v>
      </x:c>
      <x:c r="N458" t="n">
        <x:f>IF(AND(ISNUMBER('Results'!C7),ISNUMBER('Results'!B7),ISNUMBER('Results'!$B$8),ISNUMBER('Inputs'!$B$6),ISNUMBER('Inputs'!$B$7),ISNUMBER('Inputs'!$B$8),ISNUMBER('Inputs'!$B$9),ISNUMBER('Inputs'!$B$10),ISNUMBER('Inputs'!$B$21),ISNUMBER('Inputs'!$B$24),ISNUMBER('Inputs'!$B$28)),((('Results'!C7*(1-'Inputs'!$B$24)*(0.5*((((458-43)*MAX('Inputs'!$B$33,'Inputs'!$B$29+'Inputs'!$B$31+'Inputs'!$B$32,'Inputs'!$B$30+'Inputs'!$B$31+'Inputs'!$B$32)/1000+'Inputs'!$B$21)+'Inputs'!$B$9)/SQRT((((458-43)*MAX('Inputs'!$B$33,'Inputs'!$B$29+'Inputs'!$B$31+'Inputs'!$B$32,'Inputs'!$B$30+'Inputs'!$B$31+'Inputs'!$B$32)/1000+'Inputs'!$B$21)+'Inputs'!$B$9)^2+('Inputs'!$B$8/2)^2)-(((458-43)*MAX('Inputs'!$B$33,'Inputs'!$B$29+'Inputs'!$B$31+'Inputs'!$B$32,'Inputs'!$B$30+'Inputs'!$B$31+'Inputs'!$B$32)/1000+'Inputs'!$B$21))/SQRT((((458-43)*MAX('Inputs'!$B$33,'Inputs'!$B$29+'Inputs'!$B$31+'Inputs'!$B$32,'Inputs'!$B$30+'Inputs'!$B$31+'Inputs'!$B$32)/1000+'Inputs'!$B$21))^2+('Inputs'!$B$8/2)^2)))-'Results'!B7*(1+'Inputs'!$B$24)*(0.5*((((458-43)*MAX('Inputs'!$B$33,'Inputs'!$B$29+'Inputs'!$B$31+'Inputs'!$B$32,'Inputs'!$B$30+'Inputs'!$B$31+'Inputs'!$B$32)/1000+'Inputs'!$B$21+'Inputs'!$B$9+'Inputs'!$B$10)+'Inputs'!$B$7)/SQRT((((458-43)*MAX('Inputs'!$B$33,'Inputs'!$B$29+'Inputs'!$B$31+'Inputs'!$B$32,'Inputs'!$B$30+'Inputs'!$B$31+'Inputs'!$B$32)/1000+'Inputs'!$B$21+'Inputs'!$B$9+'Inputs'!$B$10)+'Inputs'!$B$7)^2+('Inputs'!$B$6/2)^2)-(((458-43)*MAX('Inputs'!$B$33,'Inputs'!$B$29+'Inputs'!$B$31+'Inputs'!$B$32,'Inputs'!$B$30+'Inputs'!$B$31+'Inputs'!$B$32)/1000+'Inputs'!$B$21+'Inputs'!$B$9+'Inputs'!$B$10))/SQRT((((458-43)*MAX('Inputs'!$B$33,'Inputs'!$B$29+'Inputs'!$B$31+'Inputs'!$B$32,'Inputs'!$B$30+'Inputs'!$B$31+'Inputs'!$B$32)/1000+'Inputs'!$B$21+'Inputs'!$B$9+'Inputs'!$B$10))^2+('Inputs'!$B$6/2)^2))))*'Results'!$B$8)-'Inputs'!$B$28*ABS((('Results'!C7*(1-'Inputs'!$B$24)*(0.5*((((458-43)*MAX('Inputs'!$B$33,'Inputs'!$B$29+'Inputs'!$B$31+'Inputs'!$B$32,'Inputs'!$B$30+'Inputs'!$B$31+'Inputs'!$B$32)/1000+'Inputs'!$B$21)+'Inputs'!$B$9)/SQRT((((458-43)*MAX('Inputs'!$B$33,'Inputs'!$B$29+'Inputs'!$B$31+'Inputs'!$B$32,'Inputs'!$B$30+'Inputs'!$B$31+'Inputs'!$B$32)/1000+'Inputs'!$B$21)+'Inputs'!$B$9)^2+('Inputs'!$B$8/2)^2)-(((458-43)*MAX('Inputs'!$B$33,'Inputs'!$B$29+'Inputs'!$B$31+'Inputs'!$B$32,'Inputs'!$B$30+'Inputs'!$B$31+'Inputs'!$B$32)/1000+'Inputs'!$B$21))/SQRT((((458-43)*MAX('Inputs'!$B$33,'Inputs'!$B$29+'Inputs'!$B$31+'Inputs'!$B$32,'Inputs'!$B$30+'Inputs'!$B$31+'Inputs'!$B$32)/1000+'Inputs'!$B$21))^2+('Inputs'!$B$8/2)^2)))-'Results'!B7*(1+'Inputs'!$B$24)*(0.5*((((458-43)*MAX('Inputs'!$B$33,'Inputs'!$B$29+'Inputs'!$B$31+'Inputs'!$B$32,'Inputs'!$B$30+'Inputs'!$B$31+'Inputs'!$B$32)/1000+'Inputs'!$B$21+'Inputs'!$B$9+'Inputs'!$B$10)+'Inputs'!$B$7)/SQRT((((458-43)*MAX('Inputs'!$B$33,'Inputs'!$B$29+'Inputs'!$B$31+'Inputs'!$B$32,'Inputs'!$B$30+'Inputs'!$B$31+'Inputs'!$B$32)/1000+'Inputs'!$B$21+'Inputs'!$B$9+'Inputs'!$B$10)+'Inputs'!$B$7)^2+('Inputs'!$B$6/2)^2)-(((458-43)*MAX('Inputs'!$B$33,'Inputs'!$B$29+'Inputs'!$B$31+'Inputs'!$B$32,'Inputs'!$B$30+'Inputs'!$B$31+'Inputs'!$B$32)/1000+'Inputs'!$B$21+'Inputs'!$B$9+'Inputs'!$B$10))/SQRT((((458-43)*MAX('Inputs'!$B$33,'Inputs'!$B$29+'Inputs'!$B$31+'Inputs'!$B$32,'Inputs'!$B$30+'Inputs'!$B$31+'Inputs'!$B$32)/1000+'Inputs'!$B$21+'Inputs'!$B$9+'Inputs'!$B$10))^2+('Inputs'!$B$6/2)^2))))*'Results'!$B$8))),"")</x:f>
        <x:v>6.560032333382788</x:v>
      </x:c>
      <x:c r="O458" t="n">
        <x:f>IF(AND(ISNUMBER('Results'!C7),ISNUMBER('Results'!B7),ISNUMBER('Results'!$B$8),ISNUMBER('Inputs'!$B$6),ISNUMBER('Inputs'!$B$7),ISNUMBER('Inputs'!$B$8),ISNUMBER('Inputs'!$B$9),ISNUMBER('Inputs'!$B$10),ISNUMBER('Inputs'!$B$21),ISNUMBER('Inputs'!$B$24),ISNUMBER('Inputs'!$B$28)),((('Results'!C7*(1+'Inputs'!$B$24)*(0.5*((((458-43)*MAX('Inputs'!$B$33,'Inputs'!$B$29+'Inputs'!$B$31+'Inputs'!$B$32,'Inputs'!$B$30+'Inputs'!$B$31+'Inputs'!$B$32)/1000+'Inputs'!$B$21)+'Inputs'!$B$9)/SQRT((((458-43)*MAX('Inputs'!$B$33,'Inputs'!$B$29+'Inputs'!$B$31+'Inputs'!$B$32,'Inputs'!$B$30+'Inputs'!$B$31+'Inputs'!$B$32)/1000+'Inputs'!$B$21)+'Inputs'!$B$9)^2+('Inputs'!$B$8/2)^2)-(((458-43)*MAX('Inputs'!$B$33,'Inputs'!$B$29+'Inputs'!$B$31+'Inputs'!$B$32,'Inputs'!$B$30+'Inputs'!$B$31+'Inputs'!$B$32)/1000+'Inputs'!$B$21))/SQRT((((458-43)*MAX('Inputs'!$B$33,'Inputs'!$B$29+'Inputs'!$B$31+'Inputs'!$B$32,'Inputs'!$B$30+'Inputs'!$B$31+'Inputs'!$B$32)/1000+'Inputs'!$B$21))^2+('Inputs'!$B$8/2)^2)))-'Results'!B7*(1-'Inputs'!$B$24)*(0.5*((((458-43)*MAX('Inputs'!$B$33,'Inputs'!$B$29+'Inputs'!$B$31+'Inputs'!$B$32,'Inputs'!$B$30+'Inputs'!$B$31+'Inputs'!$B$32)/1000+'Inputs'!$B$21+'Inputs'!$B$9+'Inputs'!$B$10)+'Inputs'!$B$7)/SQRT((((458-43)*MAX('Inputs'!$B$33,'Inputs'!$B$29+'Inputs'!$B$31+'Inputs'!$B$32,'Inputs'!$B$30+'Inputs'!$B$31+'Inputs'!$B$32)/1000+'Inputs'!$B$21+'Inputs'!$B$9+'Inputs'!$B$10)+'Inputs'!$B$7)^2+('Inputs'!$B$6/2)^2)-(((458-43)*MAX('Inputs'!$B$33,'Inputs'!$B$29+'Inputs'!$B$31+'Inputs'!$B$32,'Inputs'!$B$30+'Inputs'!$B$31+'Inputs'!$B$32)/1000+'Inputs'!$B$21+'Inputs'!$B$9+'Inputs'!$B$10))/SQRT((((458-43)*MAX('Inputs'!$B$33,'Inputs'!$B$29+'Inputs'!$B$31+'Inputs'!$B$32,'Inputs'!$B$30+'Inputs'!$B$31+'Inputs'!$B$32)/1000+'Inputs'!$B$21+'Inputs'!$B$9+'Inputs'!$B$10))^2+('Inputs'!$B$6/2)^2))))*'Results'!$B$8)+'Inputs'!$B$28*ABS((('Results'!C7*(1+'Inputs'!$B$24)*(0.5*((((458-43)*MAX('Inputs'!$B$33,'Inputs'!$B$29+'Inputs'!$B$31+'Inputs'!$B$32,'Inputs'!$B$30+'Inputs'!$B$31+'Inputs'!$B$32)/1000+'Inputs'!$B$21)+'Inputs'!$B$9)/SQRT((((458-43)*MAX('Inputs'!$B$33,'Inputs'!$B$29+'Inputs'!$B$31+'Inputs'!$B$32,'Inputs'!$B$30+'Inputs'!$B$31+'Inputs'!$B$32)/1000+'Inputs'!$B$21)+'Inputs'!$B$9)^2+('Inputs'!$B$8/2)^2)-(((458-43)*MAX('Inputs'!$B$33,'Inputs'!$B$29+'Inputs'!$B$31+'Inputs'!$B$32,'Inputs'!$B$30+'Inputs'!$B$31+'Inputs'!$B$32)/1000+'Inputs'!$B$21))/SQRT((((458-43)*MAX('Inputs'!$B$33,'Inputs'!$B$29+'Inputs'!$B$31+'Inputs'!$B$32,'Inputs'!$B$30+'Inputs'!$B$31+'Inputs'!$B$32)/1000+'Inputs'!$B$21))^2+('Inputs'!$B$8/2)^2)))-'Results'!B7*(1-'Inputs'!$B$24)*(0.5*((((458-43)*MAX('Inputs'!$B$33,'Inputs'!$B$29+'Inputs'!$B$31+'Inputs'!$B$32,'Inputs'!$B$30+'Inputs'!$B$31+'Inputs'!$B$32)/1000+'Inputs'!$B$21+'Inputs'!$B$9+'Inputs'!$B$10)+'Inputs'!$B$7)/SQRT((((458-43)*MAX('Inputs'!$B$33,'Inputs'!$B$29+'Inputs'!$B$31+'Inputs'!$B$32,'Inputs'!$B$30+'Inputs'!$B$31+'Inputs'!$B$32)/1000+'Inputs'!$B$21+'Inputs'!$B$9+'Inputs'!$B$10)+'Inputs'!$B$7)^2+('Inputs'!$B$6/2)^2)-(((458-43)*MAX('Inputs'!$B$33,'Inputs'!$B$29+'Inputs'!$B$31+'Inputs'!$B$32,'Inputs'!$B$30+'Inputs'!$B$31+'Inputs'!$B$32)/1000+'Inputs'!$B$21+'Inputs'!$B$9+'Inputs'!$B$10))/SQRT((((458-43)*MAX('Inputs'!$B$33,'Inputs'!$B$29+'Inputs'!$B$31+'Inputs'!$B$32,'Inputs'!$B$30+'Inputs'!$B$31+'Inputs'!$B$32)/1000+'Inputs'!$B$21+'Inputs'!$B$9+'Inputs'!$B$10))^2+('Inputs'!$B$6/2)^2))))*'Results'!$B$8))),"")</x:f>
        <x:v>8.21452352458138</x:v>
      </x:c>
      <x:c r="P458" t="n">
        <x:f>IF(AND(MAX(J458,J457)&gt;0,J458&gt;J457+0.00000001),1,0)</x:f>
        <x:v>0</x:v>
      </x:c>
      <x:c r="Q458" t="n">
        <x:f>IF(AND(MAX(K458,K457)&gt;0,K458&gt;K457+0.00000001),1,0)</x:f>
        <x:v>0</x:v>
      </x:c>
      <x:c r="R458" t="n">
        <x:f>IF(AND(MAX(L458,L457)&gt;0,L458&gt;L457+0.00000001),1,0)</x:f>
        <x:v>0</x:v>
      </x:c>
      <x:c r="S458" t="n">
        <x:f>IF(AND(MAX(M458,M457)&gt;0,M458&gt;M457+0.00000001),1,0)</x:f>
        <x:v>0</x:v>
      </x:c>
      <x:c r="T458" t="n">
        <x:f>IF(AND(MAX(N458,N457)&gt;0,N458&gt;N457+0.00000001),1,0)</x:f>
        <x:v>0</x:v>
      </x:c>
      <x:c r="U458" t="n">
        <x:f>IF(AND(MAX(O458,O457)&gt;0,O458&gt;O457+0.00000001),1,0)</x:f>
        <x:v>0</x:v>
      </x:c>
    </x:row>
    <x:row r="459">
      <x:c r="J459" t="n">
        <x:f>IF(AND(ISNUMBER('Results'!B7),ISNUMBER('Results'!C7),ISNUMBER('Results'!$B$8),ISNUMBER('Inputs'!$B$6),ISNUMBER('Inputs'!$B$7),ISNUMBER('Inputs'!$B$8),ISNUMBER('Inputs'!$B$9),ISNUMBER('Inputs'!$B$10),ISNUMBER('Inputs'!$B$21),ISNUMBER('Inputs'!$B$24),ISNUMBER('Inputs'!$B$28)),(('Results'!B7*(0.5*((((459-43)*MAX('Inputs'!$B$33,'Inputs'!$B$29+'Inputs'!$B$31+'Inputs'!$B$32,'Inputs'!$B$30+'Inputs'!$B$31+'Inputs'!$B$32)/1000+'Inputs'!$B$21)+'Inputs'!$B$7)/SQRT((((459-43)*MAX('Inputs'!$B$33,'Inputs'!$B$29+'Inputs'!$B$31+'Inputs'!$B$32,'Inputs'!$B$30+'Inputs'!$B$31+'Inputs'!$B$32)/1000+'Inputs'!$B$21)+'Inputs'!$B$7)^2+('Inputs'!$B$6/2)^2)-(((459-43)*MAX('Inputs'!$B$33,'Inputs'!$B$29+'Inputs'!$B$31+'Inputs'!$B$32,'Inputs'!$B$30+'Inputs'!$B$31+'Inputs'!$B$32)/1000+'Inputs'!$B$21))/SQRT((((459-43)*MAX('Inputs'!$B$33,'Inputs'!$B$29+'Inputs'!$B$31+'Inputs'!$B$32,'Inputs'!$B$30+'Inputs'!$B$31+'Inputs'!$B$32)/1000+'Inputs'!$B$21))^2+('Inputs'!$B$6/2)^2)))-'Results'!C7*(0.5*((((459-43)*MAX('Inputs'!$B$33,'Inputs'!$B$29+'Inputs'!$B$31+'Inputs'!$B$32,'Inputs'!$B$30+'Inputs'!$B$31+'Inputs'!$B$32)/1000+'Inputs'!$B$21+'Inputs'!$B$7+'Inputs'!$B$10)+'Inputs'!$B$9)/SQRT((((459-43)*MAX('Inputs'!$B$33,'Inputs'!$B$29+'Inputs'!$B$31+'Inputs'!$B$32,'Inputs'!$B$30+'Inputs'!$B$31+'Inputs'!$B$32)/1000+'Inputs'!$B$21+'Inputs'!$B$7+'Inputs'!$B$10)+'Inputs'!$B$9)^2+('Inputs'!$B$8/2)^2)-(((459-43)*MAX('Inputs'!$B$33,'Inputs'!$B$29+'Inputs'!$B$31+'Inputs'!$B$32,'Inputs'!$B$30+'Inputs'!$B$31+'Inputs'!$B$32)/1000+'Inputs'!$B$21+'Inputs'!$B$7+'Inputs'!$B$10))/SQRT((((459-43)*MAX('Inputs'!$B$33,'Inputs'!$B$29+'Inputs'!$B$31+'Inputs'!$B$32,'Inputs'!$B$30+'Inputs'!$B$31+'Inputs'!$B$32)/1000+'Inputs'!$B$21+'Inputs'!$B$7+'Inputs'!$B$10))^2+('Inputs'!$B$8/2)^2))))*'Results'!$B$8),"")</x:f>
        <x:v>7.767240363923028</x:v>
      </x:c>
      <x:c r="K459" t="n">
        <x:f>IF(AND(ISNUMBER('Results'!B7),ISNUMBER('Results'!C7),ISNUMBER('Results'!$B$8),ISNUMBER('Inputs'!$B$6),ISNUMBER('Inputs'!$B$7),ISNUMBER('Inputs'!$B$8),ISNUMBER('Inputs'!$B$9),ISNUMBER('Inputs'!$B$10),ISNUMBER('Inputs'!$B$21),ISNUMBER('Inputs'!$B$24),ISNUMBER('Inputs'!$B$28)),((('Results'!B7*(1-'Inputs'!$B$24)*(0.5*((((459-43)*MAX('Inputs'!$B$33,'Inputs'!$B$29+'Inputs'!$B$31+'Inputs'!$B$32,'Inputs'!$B$30+'Inputs'!$B$31+'Inputs'!$B$32)/1000+'Inputs'!$B$21)+'Inputs'!$B$7)/SQRT((((459-43)*MAX('Inputs'!$B$33,'Inputs'!$B$29+'Inputs'!$B$31+'Inputs'!$B$32,'Inputs'!$B$30+'Inputs'!$B$31+'Inputs'!$B$32)/1000+'Inputs'!$B$21)+'Inputs'!$B$7)^2+('Inputs'!$B$6/2)^2)-(((459-43)*MAX('Inputs'!$B$33,'Inputs'!$B$29+'Inputs'!$B$31+'Inputs'!$B$32,'Inputs'!$B$30+'Inputs'!$B$31+'Inputs'!$B$32)/1000+'Inputs'!$B$21))/SQRT((((459-43)*MAX('Inputs'!$B$33,'Inputs'!$B$29+'Inputs'!$B$31+'Inputs'!$B$32,'Inputs'!$B$30+'Inputs'!$B$31+'Inputs'!$B$32)/1000+'Inputs'!$B$21))^2+('Inputs'!$B$6/2)^2)))-'Results'!C7*(1+'Inputs'!$B$24)*(0.5*((((459-43)*MAX('Inputs'!$B$33,'Inputs'!$B$29+'Inputs'!$B$31+'Inputs'!$B$32,'Inputs'!$B$30+'Inputs'!$B$31+'Inputs'!$B$32)/1000+'Inputs'!$B$21+'Inputs'!$B$7+'Inputs'!$B$10)+'Inputs'!$B$9)/SQRT((((459-43)*MAX('Inputs'!$B$33,'Inputs'!$B$29+'Inputs'!$B$31+'Inputs'!$B$32,'Inputs'!$B$30+'Inputs'!$B$31+'Inputs'!$B$32)/1000+'Inputs'!$B$21+'Inputs'!$B$7+'Inputs'!$B$10)+'Inputs'!$B$9)^2+('Inputs'!$B$8/2)^2)-(((459-43)*MAX('Inputs'!$B$33,'Inputs'!$B$29+'Inputs'!$B$31+'Inputs'!$B$32,'Inputs'!$B$30+'Inputs'!$B$31+'Inputs'!$B$32)/1000+'Inputs'!$B$21+'Inputs'!$B$7+'Inputs'!$B$10))/SQRT((((459-43)*MAX('Inputs'!$B$33,'Inputs'!$B$29+'Inputs'!$B$31+'Inputs'!$B$32,'Inputs'!$B$30+'Inputs'!$B$31+'Inputs'!$B$32)/1000+'Inputs'!$B$21+'Inputs'!$B$7+'Inputs'!$B$10))^2+('Inputs'!$B$8/2)^2))))*'Results'!$B$8)-'Inputs'!$B$28*ABS((('Results'!B7*(1-'Inputs'!$B$24)*(0.5*((((459-43)*MAX('Inputs'!$B$33,'Inputs'!$B$29+'Inputs'!$B$31+'Inputs'!$B$32,'Inputs'!$B$30+'Inputs'!$B$31+'Inputs'!$B$32)/1000+'Inputs'!$B$21)+'Inputs'!$B$7)/SQRT((((459-43)*MAX('Inputs'!$B$33,'Inputs'!$B$29+'Inputs'!$B$31+'Inputs'!$B$32,'Inputs'!$B$30+'Inputs'!$B$31+'Inputs'!$B$32)/1000+'Inputs'!$B$21)+'Inputs'!$B$7)^2+('Inputs'!$B$6/2)^2)-(((459-43)*MAX('Inputs'!$B$33,'Inputs'!$B$29+'Inputs'!$B$31+'Inputs'!$B$32,'Inputs'!$B$30+'Inputs'!$B$31+'Inputs'!$B$32)/1000+'Inputs'!$B$21))/SQRT((((459-43)*MAX('Inputs'!$B$33,'Inputs'!$B$29+'Inputs'!$B$31+'Inputs'!$B$32,'Inputs'!$B$30+'Inputs'!$B$31+'Inputs'!$B$32)/1000+'Inputs'!$B$21))^2+('Inputs'!$B$6/2)^2)))-'Results'!C7*(1+'Inputs'!$B$24)*(0.5*((((459-43)*MAX('Inputs'!$B$33,'Inputs'!$B$29+'Inputs'!$B$31+'Inputs'!$B$32,'Inputs'!$B$30+'Inputs'!$B$31+'Inputs'!$B$32)/1000+'Inputs'!$B$21+'Inputs'!$B$7+'Inputs'!$B$10)+'Inputs'!$B$9)/SQRT((((459-43)*MAX('Inputs'!$B$33,'Inputs'!$B$29+'Inputs'!$B$31+'Inputs'!$B$32,'Inputs'!$B$30+'Inputs'!$B$31+'Inputs'!$B$32)/1000+'Inputs'!$B$21+'Inputs'!$B$7+'Inputs'!$B$10)+'Inputs'!$B$9)^2+('Inputs'!$B$8/2)^2)-(((459-43)*MAX('Inputs'!$B$33,'Inputs'!$B$29+'Inputs'!$B$31+'Inputs'!$B$32,'Inputs'!$B$30+'Inputs'!$B$31+'Inputs'!$B$32)/1000+'Inputs'!$B$21+'Inputs'!$B$7+'Inputs'!$B$10))/SQRT((((459-43)*MAX('Inputs'!$B$33,'Inputs'!$B$29+'Inputs'!$B$31+'Inputs'!$B$32,'Inputs'!$B$30+'Inputs'!$B$31+'Inputs'!$B$32)/1000+'Inputs'!$B$21+'Inputs'!$B$7+'Inputs'!$B$10))^2+('Inputs'!$B$8/2)^2))))*'Results'!$B$8))),"")</x:f>
        <x:v>6.942617343832452</x:v>
      </x:c>
      <x:c r="L459" t="n">
        <x:f>IF(AND(ISNUMBER('Results'!B7),ISNUMBER('Results'!C7),ISNUMBER('Results'!$B$8),ISNUMBER('Inputs'!$B$6),ISNUMBER('Inputs'!$B$7),ISNUMBER('Inputs'!$B$8),ISNUMBER('Inputs'!$B$9),ISNUMBER('Inputs'!$B$10),ISNUMBER('Inputs'!$B$21),ISNUMBER('Inputs'!$B$24),ISNUMBER('Inputs'!$B$28)),((('Results'!B7*(1+'Inputs'!$B$24)*(0.5*((((459-43)*MAX('Inputs'!$B$33,'Inputs'!$B$29+'Inputs'!$B$31+'Inputs'!$B$32,'Inputs'!$B$30+'Inputs'!$B$31+'Inputs'!$B$32)/1000+'Inputs'!$B$21)+'Inputs'!$B$7)/SQRT((((459-43)*MAX('Inputs'!$B$33,'Inputs'!$B$29+'Inputs'!$B$31+'Inputs'!$B$32,'Inputs'!$B$30+'Inputs'!$B$31+'Inputs'!$B$32)/1000+'Inputs'!$B$21)+'Inputs'!$B$7)^2+('Inputs'!$B$6/2)^2)-(((459-43)*MAX('Inputs'!$B$33,'Inputs'!$B$29+'Inputs'!$B$31+'Inputs'!$B$32,'Inputs'!$B$30+'Inputs'!$B$31+'Inputs'!$B$32)/1000+'Inputs'!$B$21))/SQRT((((459-43)*MAX('Inputs'!$B$33,'Inputs'!$B$29+'Inputs'!$B$31+'Inputs'!$B$32,'Inputs'!$B$30+'Inputs'!$B$31+'Inputs'!$B$32)/1000+'Inputs'!$B$21))^2+('Inputs'!$B$6/2)^2)))-'Results'!C7*(1-'Inputs'!$B$24)*(0.5*((((459-43)*MAX('Inputs'!$B$33,'Inputs'!$B$29+'Inputs'!$B$31+'Inputs'!$B$32,'Inputs'!$B$30+'Inputs'!$B$31+'Inputs'!$B$32)/1000+'Inputs'!$B$21+'Inputs'!$B$7+'Inputs'!$B$10)+'Inputs'!$B$9)/SQRT((((459-43)*MAX('Inputs'!$B$33,'Inputs'!$B$29+'Inputs'!$B$31+'Inputs'!$B$32,'Inputs'!$B$30+'Inputs'!$B$31+'Inputs'!$B$32)/1000+'Inputs'!$B$21+'Inputs'!$B$7+'Inputs'!$B$10)+'Inputs'!$B$9)^2+('Inputs'!$B$8/2)^2)-(((459-43)*MAX('Inputs'!$B$33,'Inputs'!$B$29+'Inputs'!$B$31+'Inputs'!$B$32,'Inputs'!$B$30+'Inputs'!$B$31+'Inputs'!$B$32)/1000+'Inputs'!$B$21+'Inputs'!$B$7+'Inputs'!$B$10))/SQRT((((459-43)*MAX('Inputs'!$B$33,'Inputs'!$B$29+'Inputs'!$B$31+'Inputs'!$B$32,'Inputs'!$B$30+'Inputs'!$B$31+'Inputs'!$B$32)/1000+'Inputs'!$B$21+'Inputs'!$B$7+'Inputs'!$B$10))^2+('Inputs'!$B$8/2)^2))))*'Results'!$B$8)+'Inputs'!$B$28*ABS((('Results'!B7*(1+'Inputs'!$B$24)*(0.5*((((459-43)*MAX('Inputs'!$B$33,'Inputs'!$B$29+'Inputs'!$B$31+'Inputs'!$B$32,'Inputs'!$B$30+'Inputs'!$B$31+'Inputs'!$B$32)/1000+'Inputs'!$B$21)+'Inputs'!$B$7)/SQRT((((459-43)*MAX('Inputs'!$B$33,'Inputs'!$B$29+'Inputs'!$B$31+'Inputs'!$B$32,'Inputs'!$B$30+'Inputs'!$B$31+'Inputs'!$B$32)/1000+'Inputs'!$B$21)+'Inputs'!$B$7)^2+('Inputs'!$B$6/2)^2)-(((459-43)*MAX('Inputs'!$B$33,'Inputs'!$B$29+'Inputs'!$B$31+'Inputs'!$B$32,'Inputs'!$B$30+'Inputs'!$B$31+'Inputs'!$B$32)/1000+'Inputs'!$B$21))/SQRT((((459-43)*MAX('Inputs'!$B$33,'Inputs'!$B$29+'Inputs'!$B$31+'Inputs'!$B$32,'Inputs'!$B$30+'Inputs'!$B$31+'Inputs'!$B$32)/1000+'Inputs'!$B$21))^2+('Inputs'!$B$6/2)^2)))-'Results'!C7*(1-'Inputs'!$B$24)*(0.5*((((459-43)*MAX('Inputs'!$B$33,'Inputs'!$B$29+'Inputs'!$B$31+'Inputs'!$B$32,'Inputs'!$B$30+'Inputs'!$B$31+'Inputs'!$B$32)/1000+'Inputs'!$B$21+'Inputs'!$B$7+'Inputs'!$B$10)+'Inputs'!$B$9)/SQRT((((459-43)*MAX('Inputs'!$B$33,'Inputs'!$B$29+'Inputs'!$B$31+'Inputs'!$B$32,'Inputs'!$B$30+'Inputs'!$B$31+'Inputs'!$B$32)/1000+'Inputs'!$B$21+'Inputs'!$B$7+'Inputs'!$B$10)+'Inputs'!$B$9)^2+('Inputs'!$B$8/2)^2)-(((459-43)*MAX('Inputs'!$B$33,'Inputs'!$B$29+'Inputs'!$B$31+'Inputs'!$B$32,'Inputs'!$B$30+'Inputs'!$B$31+'Inputs'!$B$32)/1000+'Inputs'!$B$21+'Inputs'!$B$7+'Inputs'!$B$10))/SQRT((((459-43)*MAX('Inputs'!$B$33,'Inputs'!$B$29+'Inputs'!$B$31+'Inputs'!$B$32,'Inputs'!$B$30+'Inputs'!$B$31+'Inputs'!$B$32)/1000+'Inputs'!$B$21+'Inputs'!$B$7+'Inputs'!$B$10))^2+('Inputs'!$B$8/2)^2))))*'Results'!$B$8))),"")</x:f>
        <x:v>8.637785594739334</x:v>
      </x:c>
      <x:c r="M459" t="n">
        <x:f>IF(AND(ISNUMBER('Results'!C7),ISNUMBER('Results'!B7),ISNUMBER('Results'!$B$8),ISNUMBER('Inputs'!$B$6),ISNUMBER('Inputs'!$B$7),ISNUMBER('Inputs'!$B$8),ISNUMBER('Inputs'!$B$9),ISNUMBER('Inputs'!$B$10),ISNUMBER('Inputs'!$B$21),ISNUMBER('Inputs'!$B$24),ISNUMBER('Inputs'!$B$28)),(('Results'!C7*(0.5*((((459-43)*MAX('Inputs'!$B$33,'Inputs'!$B$29+'Inputs'!$B$31+'Inputs'!$B$32,'Inputs'!$B$30+'Inputs'!$B$31+'Inputs'!$B$32)/1000+'Inputs'!$B$21)+'Inputs'!$B$9)/SQRT((((459-43)*MAX('Inputs'!$B$33,'Inputs'!$B$29+'Inputs'!$B$31+'Inputs'!$B$32,'Inputs'!$B$30+'Inputs'!$B$31+'Inputs'!$B$32)/1000+'Inputs'!$B$21)+'Inputs'!$B$9)^2+('Inputs'!$B$8/2)^2)-(((459-43)*MAX('Inputs'!$B$33,'Inputs'!$B$29+'Inputs'!$B$31+'Inputs'!$B$32,'Inputs'!$B$30+'Inputs'!$B$31+'Inputs'!$B$32)/1000+'Inputs'!$B$21))/SQRT((((459-43)*MAX('Inputs'!$B$33,'Inputs'!$B$29+'Inputs'!$B$31+'Inputs'!$B$32,'Inputs'!$B$30+'Inputs'!$B$31+'Inputs'!$B$32)/1000+'Inputs'!$B$21))^2+('Inputs'!$B$8/2)^2)))-'Results'!B7*(0.5*((((459-43)*MAX('Inputs'!$B$33,'Inputs'!$B$29+'Inputs'!$B$31+'Inputs'!$B$32,'Inputs'!$B$30+'Inputs'!$B$31+'Inputs'!$B$32)/1000+'Inputs'!$B$21+'Inputs'!$B$9+'Inputs'!$B$10)+'Inputs'!$B$7)/SQRT((((459-43)*MAX('Inputs'!$B$33,'Inputs'!$B$29+'Inputs'!$B$31+'Inputs'!$B$32,'Inputs'!$B$30+'Inputs'!$B$31+'Inputs'!$B$32)/1000+'Inputs'!$B$21+'Inputs'!$B$9+'Inputs'!$B$10)+'Inputs'!$B$7)^2+('Inputs'!$B$6/2)^2)-(((459-43)*MAX('Inputs'!$B$33,'Inputs'!$B$29+'Inputs'!$B$31+'Inputs'!$B$32,'Inputs'!$B$30+'Inputs'!$B$31+'Inputs'!$B$32)/1000+'Inputs'!$B$21+'Inputs'!$B$9+'Inputs'!$B$10))/SQRT((((459-43)*MAX('Inputs'!$B$33,'Inputs'!$B$29+'Inputs'!$B$31+'Inputs'!$B$32,'Inputs'!$B$30+'Inputs'!$B$31+'Inputs'!$B$32)/1000+'Inputs'!$B$21+'Inputs'!$B$9+'Inputs'!$B$10))^2+('Inputs'!$B$6/2)^2))))*'Results'!$B$8),"")</x:f>
        <x:v>7.304917467890445</x:v>
      </x:c>
      <x:c r="N459" t="n">
        <x:f>IF(AND(ISNUMBER('Results'!C7),ISNUMBER('Results'!B7),ISNUMBER('Results'!$B$8),ISNUMBER('Inputs'!$B$6),ISNUMBER('Inputs'!$B$7),ISNUMBER('Inputs'!$B$8),ISNUMBER('Inputs'!$B$9),ISNUMBER('Inputs'!$B$10),ISNUMBER('Inputs'!$B$21),ISNUMBER('Inputs'!$B$24),ISNUMBER('Inputs'!$B$28)),((('Results'!C7*(1-'Inputs'!$B$24)*(0.5*((((459-43)*MAX('Inputs'!$B$33,'Inputs'!$B$29+'Inputs'!$B$31+'Inputs'!$B$32,'Inputs'!$B$30+'Inputs'!$B$31+'Inputs'!$B$32)/1000+'Inputs'!$B$21)+'Inputs'!$B$9)/SQRT((((459-43)*MAX('Inputs'!$B$33,'Inputs'!$B$29+'Inputs'!$B$31+'Inputs'!$B$32,'Inputs'!$B$30+'Inputs'!$B$31+'Inputs'!$B$32)/1000+'Inputs'!$B$21)+'Inputs'!$B$9)^2+('Inputs'!$B$8/2)^2)-(((459-43)*MAX('Inputs'!$B$33,'Inputs'!$B$29+'Inputs'!$B$31+'Inputs'!$B$32,'Inputs'!$B$30+'Inputs'!$B$31+'Inputs'!$B$32)/1000+'Inputs'!$B$21))/SQRT((((459-43)*MAX('Inputs'!$B$33,'Inputs'!$B$29+'Inputs'!$B$31+'Inputs'!$B$32,'Inputs'!$B$30+'Inputs'!$B$31+'Inputs'!$B$32)/1000+'Inputs'!$B$21))^2+('Inputs'!$B$8/2)^2)))-'Results'!B7*(1+'Inputs'!$B$24)*(0.5*((((459-43)*MAX('Inputs'!$B$33,'Inputs'!$B$29+'Inputs'!$B$31+'Inputs'!$B$32,'Inputs'!$B$30+'Inputs'!$B$31+'Inputs'!$B$32)/1000+'Inputs'!$B$21+'Inputs'!$B$9+'Inputs'!$B$10)+'Inputs'!$B$7)/SQRT((((459-43)*MAX('Inputs'!$B$33,'Inputs'!$B$29+'Inputs'!$B$31+'Inputs'!$B$32,'Inputs'!$B$30+'Inputs'!$B$31+'Inputs'!$B$32)/1000+'Inputs'!$B$21+'Inputs'!$B$9+'Inputs'!$B$10)+'Inputs'!$B$7)^2+('Inputs'!$B$6/2)^2)-(((459-43)*MAX('Inputs'!$B$33,'Inputs'!$B$29+'Inputs'!$B$31+'Inputs'!$B$32,'Inputs'!$B$30+'Inputs'!$B$31+'Inputs'!$B$32)/1000+'Inputs'!$B$21+'Inputs'!$B$9+'Inputs'!$B$10))/SQRT((((459-43)*MAX('Inputs'!$B$33,'Inputs'!$B$29+'Inputs'!$B$31+'Inputs'!$B$32,'Inputs'!$B$30+'Inputs'!$B$31+'Inputs'!$B$32)/1000+'Inputs'!$B$21+'Inputs'!$B$9+'Inputs'!$B$10))^2+('Inputs'!$B$6/2)^2))))*'Results'!$B$8)-'Inputs'!$B$28*ABS((('Results'!C7*(1-'Inputs'!$B$24)*(0.5*((((459-43)*MAX('Inputs'!$B$33,'Inputs'!$B$29+'Inputs'!$B$31+'Inputs'!$B$32,'Inputs'!$B$30+'Inputs'!$B$31+'Inputs'!$B$32)/1000+'Inputs'!$B$21)+'Inputs'!$B$9)/SQRT((((459-43)*MAX('Inputs'!$B$33,'Inputs'!$B$29+'Inputs'!$B$31+'Inputs'!$B$32,'Inputs'!$B$30+'Inputs'!$B$31+'Inputs'!$B$32)/1000+'Inputs'!$B$21)+'Inputs'!$B$9)^2+('Inputs'!$B$8/2)^2)-(((459-43)*MAX('Inputs'!$B$33,'Inputs'!$B$29+'Inputs'!$B$31+'Inputs'!$B$32,'Inputs'!$B$30+'Inputs'!$B$31+'Inputs'!$B$32)/1000+'Inputs'!$B$21))/SQRT((((459-43)*MAX('Inputs'!$B$33,'Inputs'!$B$29+'Inputs'!$B$31+'Inputs'!$B$32,'Inputs'!$B$30+'Inputs'!$B$31+'Inputs'!$B$32)/1000+'Inputs'!$B$21))^2+('Inputs'!$B$8/2)^2)))-'Results'!B7*(1+'Inputs'!$B$24)*(0.5*((((459-43)*MAX('Inputs'!$B$33,'Inputs'!$B$29+'Inputs'!$B$31+'Inputs'!$B$32,'Inputs'!$B$30+'Inputs'!$B$31+'Inputs'!$B$32)/1000+'Inputs'!$B$21+'Inputs'!$B$9+'Inputs'!$B$10)+'Inputs'!$B$7)/SQRT((((459-43)*MAX('Inputs'!$B$33,'Inputs'!$B$29+'Inputs'!$B$31+'Inputs'!$B$32,'Inputs'!$B$30+'Inputs'!$B$31+'Inputs'!$B$32)/1000+'Inputs'!$B$21+'Inputs'!$B$9+'Inputs'!$B$10)+'Inputs'!$B$7)^2+('Inputs'!$B$6/2)^2)-(((459-43)*MAX('Inputs'!$B$33,'Inputs'!$B$29+'Inputs'!$B$31+'Inputs'!$B$32,'Inputs'!$B$30+'Inputs'!$B$31+'Inputs'!$B$32)/1000+'Inputs'!$B$21+'Inputs'!$B$9+'Inputs'!$B$10))/SQRT((((459-43)*MAX('Inputs'!$B$33,'Inputs'!$B$29+'Inputs'!$B$31+'Inputs'!$B$32,'Inputs'!$B$30+'Inputs'!$B$31+'Inputs'!$B$32)/1000+'Inputs'!$B$21+'Inputs'!$B$9+'Inputs'!$B$10))^2+('Inputs'!$B$6/2)^2))))*'Results'!$B$8))),"")</x:f>
        <x:v>6.506303228953057</x:v>
      </x:c>
      <x:c r="O459" t="n">
        <x:f>IF(AND(ISNUMBER('Results'!C7),ISNUMBER('Results'!B7),ISNUMBER('Results'!$B$8),ISNUMBER('Inputs'!$B$6),ISNUMBER('Inputs'!$B$7),ISNUMBER('Inputs'!$B$8),ISNUMBER('Inputs'!$B$9),ISNUMBER('Inputs'!$B$10),ISNUMBER('Inputs'!$B$21),ISNUMBER('Inputs'!$B$24),ISNUMBER('Inputs'!$B$28)),((('Results'!C7*(1+'Inputs'!$B$24)*(0.5*((((459-43)*MAX('Inputs'!$B$33,'Inputs'!$B$29+'Inputs'!$B$31+'Inputs'!$B$32,'Inputs'!$B$30+'Inputs'!$B$31+'Inputs'!$B$32)/1000+'Inputs'!$B$21)+'Inputs'!$B$9)/SQRT((((459-43)*MAX('Inputs'!$B$33,'Inputs'!$B$29+'Inputs'!$B$31+'Inputs'!$B$32,'Inputs'!$B$30+'Inputs'!$B$31+'Inputs'!$B$32)/1000+'Inputs'!$B$21)+'Inputs'!$B$9)^2+('Inputs'!$B$8/2)^2)-(((459-43)*MAX('Inputs'!$B$33,'Inputs'!$B$29+'Inputs'!$B$31+'Inputs'!$B$32,'Inputs'!$B$30+'Inputs'!$B$31+'Inputs'!$B$32)/1000+'Inputs'!$B$21))/SQRT((((459-43)*MAX('Inputs'!$B$33,'Inputs'!$B$29+'Inputs'!$B$31+'Inputs'!$B$32,'Inputs'!$B$30+'Inputs'!$B$31+'Inputs'!$B$32)/1000+'Inputs'!$B$21))^2+('Inputs'!$B$8/2)^2)))-'Results'!B7*(1-'Inputs'!$B$24)*(0.5*((((459-43)*MAX('Inputs'!$B$33,'Inputs'!$B$29+'Inputs'!$B$31+'Inputs'!$B$32,'Inputs'!$B$30+'Inputs'!$B$31+'Inputs'!$B$32)/1000+'Inputs'!$B$21+'Inputs'!$B$9+'Inputs'!$B$10)+'Inputs'!$B$7)/SQRT((((459-43)*MAX('Inputs'!$B$33,'Inputs'!$B$29+'Inputs'!$B$31+'Inputs'!$B$32,'Inputs'!$B$30+'Inputs'!$B$31+'Inputs'!$B$32)/1000+'Inputs'!$B$21+'Inputs'!$B$9+'Inputs'!$B$10)+'Inputs'!$B$7)^2+('Inputs'!$B$6/2)^2)-(((459-43)*MAX('Inputs'!$B$33,'Inputs'!$B$29+'Inputs'!$B$31+'Inputs'!$B$32,'Inputs'!$B$30+'Inputs'!$B$31+'Inputs'!$B$32)/1000+'Inputs'!$B$21+'Inputs'!$B$9+'Inputs'!$B$10))/SQRT((((459-43)*MAX('Inputs'!$B$33,'Inputs'!$B$29+'Inputs'!$B$31+'Inputs'!$B$32,'Inputs'!$B$30+'Inputs'!$B$31+'Inputs'!$B$32)/1000+'Inputs'!$B$21+'Inputs'!$B$9+'Inputs'!$B$10))^2+('Inputs'!$B$6/2)^2))))*'Results'!$B$8)+'Inputs'!$B$28*ABS((('Results'!C7*(1+'Inputs'!$B$24)*(0.5*((((459-43)*MAX('Inputs'!$B$33,'Inputs'!$B$29+'Inputs'!$B$31+'Inputs'!$B$32,'Inputs'!$B$30+'Inputs'!$B$31+'Inputs'!$B$32)/1000+'Inputs'!$B$21)+'Inputs'!$B$9)/SQRT((((459-43)*MAX('Inputs'!$B$33,'Inputs'!$B$29+'Inputs'!$B$31+'Inputs'!$B$32,'Inputs'!$B$30+'Inputs'!$B$31+'Inputs'!$B$32)/1000+'Inputs'!$B$21)+'Inputs'!$B$9)^2+('Inputs'!$B$8/2)^2)-(((459-43)*MAX('Inputs'!$B$33,'Inputs'!$B$29+'Inputs'!$B$31+'Inputs'!$B$32,'Inputs'!$B$30+'Inputs'!$B$31+'Inputs'!$B$32)/1000+'Inputs'!$B$21))/SQRT((((459-43)*MAX('Inputs'!$B$33,'Inputs'!$B$29+'Inputs'!$B$31+'Inputs'!$B$32,'Inputs'!$B$30+'Inputs'!$B$31+'Inputs'!$B$32)/1000+'Inputs'!$B$21))^2+('Inputs'!$B$8/2)^2)))-'Results'!B7*(1-'Inputs'!$B$24)*(0.5*((((459-43)*MAX('Inputs'!$B$33,'Inputs'!$B$29+'Inputs'!$B$31+'Inputs'!$B$32,'Inputs'!$B$30+'Inputs'!$B$31+'Inputs'!$B$32)/1000+'Inputs'!$B$21+'Inputs'!$B$9+'Inputs'!$B$10)+'Inputs'!$B$7)/SQRT((((459-43)*MAX('Inputs'!$B$33,'Inputs'!$B$29+'Inputs'!$B$31+'Inputs'!$B$32,'Inputs'!$B$30+'Inputs'!$B$31+'Inputs'!$B$32)/1000+'Inputs'!$B$21+'Inputs'!$B$9+'Inputs'!$B$10)+'Inputs'!$B$7)^2+('Inputs'!$B$6/2)^2)-(((459-43)*MAX('Inputs'!$B$33,'Inputs'!$B$29+'Inputs'!$B$31+'Inputs'!$B$32,'Inputs'!$B$30+'Inputs'!$B$31+'Inputs'!$B$32)/1000+'Inputs'!$B$21+'Inputs'!$B$9+'Inputs'!$B$10))/SQRT((((459-43)*MAX('Inputs'!$B$33,'Inputs'!$B$29+'Inputs'!$B$31+'Inputs'!$B$32,'Inputs'!$B$30+'Inputs'!$B$31+'Inputs'!$B$32)/1000+'Inputs'!$B$21+'Inputs'!$B$9+'Inputs'!$B$10))^2+('Inputs'!$B$6/2)^2))))*'Results'!$B$8))),"")</x:f>
        <x:v>8.149149429516557</x:v>
      </x:c>
      <x:c r="P459" t="n">
        <x:f>IF(AND(MAX(J459,J458)&gt;0,J459&gt;J458+0.00000001),1,0)</x:f>
        <x:v>0</x:v>
      </x:c>
      <x:c r="Q459" t="n">
        <x:f>IF(AND(MAX(K459,K458)&gt;0,K459&gt;K458+0.00000001),1,0)</x:f>
        <x:v>0</x:v>
      </x:c>
      <x:c r="R459" t="n">
        <x:f>IF(AND(MAX(L459,L458)&gt;0,L459&gt;L458+0.00000001),1,0)</x:f>
        <x:v>0</x:v>
      </x:c>
      <x:c r="S459" t="n">
        <x:f>IF(AND(MAX(M459,M458)&gt;0,M459&gt;M458+0.00000001),1,0)</x:f>
        <x:v>0</x:v>
      </x:c>
      <x:c r="T459" t="n">
        <x:f>IF(AND(MAX(N459,N458)&gt;0,N459&gt;N458+0.00000001),1,0)</x:f>
        <x:v>0</x:v>
      </x:c>
      <x:c r="U459" t="n">
        <x:f>IF(AND(MAX(O459,O458)&gt;0,O459&gt;O458+0.00000001),1,0)</x:f>
        <x:v>0</x:v>
      </x:c>
    </x:row>
    <x:row r="460">
      <x:c r="J460" t="n">
        <x:f>IF(AND(ISNUMBER('Results'!B7),ISNUMBER('Results'!C7),ISNUMBER('Results'!$B$8),ISNUMBER('Inputs'!$B$6),ISNUMBER('Inputs'!$B$7),ISNUMBER('Inputs'!$B$8),ISNUMBER('Inputs'!$B$9),ISNUMBER('Inputs'!$B$10),ISNUMBER('Inputs'!$B$21),ISNUMBER('Inputs'!$B$24),ISNUMBER('Inputs'!$B$28)),(('Results'!B7*(0.5*((((460-43)*MAX('Inputs'!$B$33,'Inputs'!$B$29+'Inputs'!$B$31+'Inputs'!$B$32,'Inputs'!$B$30+'Inputs'!$B$31+'Inputs'!$B$32)/1000+'Inputs'!$B$21)+'Inputs'!$B$7)/SQRT((((460-43)*MAX('Inputs'!$B$33,'Inputs'!$B$29+'Inputs'!$B$31+'Inputs'!$B$32,'Inputs'!$B$30+'Inputs'!$B$31+'Inputs'!$B$32)/1000+'Inputs'!$B$21)+'Inputs'!$B$7)^2+('Inputs'!$B$6/2)^2)-(((460-43)*MAX('Inputs'!$B$33,'Inputs'!$B$29+'Inputs'!$B$31+'Inputs'!$B$32,'Inputs'!$B$30+'Inputs'!$B$31+'Inputs'!$B$32)/1000+'Inputs'!$B$21))/SQRT((((460-43)*MAX('Inputs'!$B$33,'Inputs'!$B$29+'Inputs'!$B$31+'Inputs'!$B$32,'Inputs'!$B$30+'Inputs'!$B$31+'Inputs'!$B$32)/1000+'Inputs'!$B$21))^2+('Inputs'!$B$6/2)^2)))-'Results'!C7*(0.5*((((460-43)*MAX('Inputs'!$B$33,'Inputs'!$B$29+'Inputs'!$B$31+'Inputs'!$B$32,'Inputs'!$B$30+'Inputs'!$B$31+'Inputs'!$B$32)/1000+'Inputs'!$B$21+'Inputs'!$B$7+'Inputs'!$B$10)+'Inputs'!$B$9)/SQRT((((460-43)*MAX('Inputs'!$B$33,'Inputs'!$B$29+'Inputs'!$B$31+'Inputs'!$B$32,'Inputs'!$B$30+'Inputs'!$B$31+'Inputs'!$B$32)/1000+'Inputs'!$B$21+'Inputs'!$B$7+'Inputs'!$B$10)+'Inputs'!$B$9)^2+('Inputs'!$B$8/2)^2)-(((460-43)*MAX('Inputs'!$B$33,'Inputs'!$B$29+'Inputs'!$B$31+'Inputs'!$B$32,'Inputs'!$B$30+'Inputs'!$B$31+'Inputs'!$B$32)/1000+'Inputs'!$B$21+'Inputs'!$B$7+'Inputs'!$B$10))/SQRT((((460-43)*MAX('Inputs'!$B$33,'Inputs'!$B$29+'Inputs'!$B$31+'Inputs'!$B$32,'Inputs'!$B$30+'Inputs'!$B$31+'Inputs'!$B$32)/1000+'Inputs'!$B$21+'Inputs'!$B$7+'Inputs'!$B$10))^2+('Inputs'!$B$8/2)^2))))*'Results'!$B$8),"")</x:f>
        <x:v>7.705556562036683</x:v>
      </x:c>
      <x:c r="K460" t="n">
        <x:f>IF(AND(ISNUMBER('Results'!B7),ISNUMBER('Results'!C7),ISNUMBER('Results'!$B$8),ISNUMBER('Inputs'!$B$6),ISNUMBER('Inputs'!$B$7),ISNUMBER('Inputs'!$B$8),ISNUMBER('Inputs'!$B$9),ISNUMBER('Inputs'!$B$10),ISNUMBER('Inputs'!$B$21),ISNUMBER('Inputs'!$B$24),ISNUMBER('Inputs'!$B$28)),((('Results'!B7*(1-'Inputs'!$B$24)*(0.5*((((460-43)*MAX('Inputs'!$B$33,'Inputs'!$B$29+'Inputs'!$B$31+'Inputs'!$B$32,'Inputs'!$B$30+'Inputs'!$B$31+'Inputs'!$B$32)/1000+'Inputs'!$B$21)+'Inputs'!$B$7)/SQRT((((460-43)*MAX('Inputs'!$B$33,'Inputs'!$B$29+'Inputs'!$B$31+'Inputs'!$B$32,'Inputs'!$B$30+'Inputs'!$B$31+'Inputs'!$B$32)/1000+'Inputs'!$B$21)+'Inputs'!$B$7)^2+('Inputs'!$B$6/2)^2)-(((460-43)*MAX('Inputs'!$B$33,'Inputs'!$B$29+'Inputs'!$B$31+'Inputs'!$B$32,'Inputs'!$B$30+'Inputs'!$B$31+'Inputs'!$B$32)/1000+'Inputs'!$B$21))/SQRT((((460-43)*MAX('Inputs'!$B$33,'Inputs'!$B$29+'Inputs'!$B$31+'Inputs'!$B$32,'Inputs'!$B$30+'Inputs'!$B$31+'Inputs'!$B$32)/1000+'Inputs'!$B$21))^2+('Inputs'!$B$6/2)^2)))-'Results'!C7*(1+'Inputs'!$B$24)*(0.5*((((460-43)*MAX('Inputs'!$B$33,'Inputs'!$B$29+'Inputs'!$B$31+'Inputs'!$B$32,'Inputs'!$B$30+'Inputs'!$B$31+'Inputs'!$B$32)/1000+'Inputs'!$B$21+'Inputs'!$B$7+'Inputs'!$B$10)+'Inputs'!$B$9)/SQRT((((460-43)*MAX('Inputs'!$B$33,'Inputs'!$B$29+'Inputs'!$B$31+'Inputs'!$B$32,'Inputs'!$B$30+'Inputs'!$B$31+'Inputs'!$B$32)/1000+'Inputs'!$B$21+'Inputs'!$B$7+'Inputs'!$B$10)+'Inputs'!$B$9)^2+('Inputs'!$B$8/2)^2)-(((460-43)*MAX('Inputs'!$B$33,'Inputs'!$B$29+'Inputs'!$B$31+'Inputs'!$B$32,'Inputs'!$B$30+'Inputs'!$B$31+'Inputs'!$B$32)/1000+'Inputs'!$B$21+'Inputs'!$B$7+'Inputs'!$B$10))/SQRT((((460-43)*MAX('Inputs'!$B$33,'Inputs'!$B$29+'Inputs'!$B$31+'Inputs'!$B$32,'Inputs'!$B$30+'Inputs'!$B$31+'Inputs'!$B$32)/1000+'Inputs'!$B$21+'Inputs'!$B$7+'Inputs'!$B$10))^2+('Inputs'!$B$8/2)^2))))*'Results'!$B$8)-'Inputs'!$B$28*ABS((('Results'!B7*(1-'Inputs'!$B$24)*(0.5*((((460-43)*MAX('Inputs'!$B$33,'Inputs'!$B$29+'Inputs'!$B$31+'Inputs'!$B$32,'Inputs'!$B$30+'Inputs'!$B$31+'Inputs'!$B$32)/1000+'Inputs'!$B$21)+'Inputs'!$B$7)/SQRT((((460-43)*MAX('Inputs'!$B$33,'Inputs'!$B$29+'Inputs'!$B$31+'Inputs'!$B$32,'Inputs'!$B$30+'Inputs'!$B$31+'Inputs'!$B$32)/1000+'Inputs'!$B$21)+'Inputs'!$B$7)^2+('Inputs'!$B$6/2)^2)-(((460-43)*MAX('Inputs'!$B$33,'Inputs'!$B$29+'Inputs'!$B$31+'Inputs'!$B$32,'Inputs'!$B$30+'Inputs'!$B$31+'Inputs'!$B$32)/1000+'Inputs'!$B$21))/SQRT((((460-43)*MAX('Inputs'!$B$33,'Inputs'!$B$29+'Inputs'!$B$31+'Inputs'!$B$32,'Inputs'!$B$30+'Inputs'!$B$31+'Inputs'!$B$32)/1000+'Inputs'!$B$21))^2+('Inputs'!$B$6/2)^2)))-'Results'!C7*(1+'Inputs'!$B$24)*(0.5*((((460-43)*MAX('Inputs'!$B$33,'Inputs'!$B$29+'Inputs'!$B$31+'Inputs'!$B$32,'Inputs'!$B$30+'Inputs'!$B$31+'Inputs'!$B$32)/1000+'Inputs'!$B$21+'Inputs'!$B$7+'Inputs'!$B$10)+'Inputs'!$B$9)/SQRT((((460-43)*MAX('Inputs'!$B$33,'Inputs'!$B$29+'Inputs'!$B$31+'Inputs'!$B$32,'Inputs'!$B$30+'Inputs'!$B$31+'Inputs'!$B$32)/1000+'Inputs'!$B$21+'Inputs'!$B$7+'Inputs'!$B$10)+'Inputs'!$B$9)^2+('Inputs'!$B$8/2)^2)-(((460-43)*MAX('Inputs'!$B$33,'Inputs'!$B$29+'Inputs'!$B$31+'Inputs'!$B$32,'Inputs'!$B$30+'Inputs'!$B$31+'Inputs'!$B$32)/1000+'Inputs'!$B$21+'Inputs'!$B$7+'Inputs'!$B$10))/SQRT((((460-43)*MAX('Inputs'!$B$33,'Inputs'!$B$29+'Inputs'!$B$31+'Inputs'!$B$32,'Inputs'!$B$30+'Inputs'!$B$31+'Inputs'!$B$32)/1000+'Inputs'!$B$21+'Inputs'!$B$7+'Inputs'!$B$10))^2+('Inputs'!$B$8/2)^2))))*'Results'!$B$8))),"")</x:f>
        <x:v>6.886727831677468</x:v>
      </x:c>
      <x:c r="L460" t="n">
        <x:f>IF(AND(ISNUMBER('Results'!B7),ISNUMBER('Results'!C7),ISNUMBER('Results'!$B$8),ISNUMBER('Inputs'!$B$6),ISNUMBER('Inputs'!$B$7),ISNUMBER('Inputs'!$B$8),ISNUMBER('Inputs'!$B$9),ISNUMBER('Inputs'!$B$10),ISNUMBER('Inputs'!$B$21),ISNUMBER('Inputs'!$B$24),ISNUMBER('Inputs'!$B$28)),((('Results'!B7*(1+'Inputs'!$B$24)*(0.5*((((460-43)*MAX('Inputs'!$B$33,'Inputs'!$B$29+'Inputs'!$B$31+'Inputs'!$B$32,'Inputs'!$B$30+'Inputs'!$B$31+'Inputs'!$B$32)/1000+'Inputs'!$B$21)+'Inputs'!$B$7)/SQRT((((460-43)*MAX('Inputs'!$B$33,'Inputs'!$B$29+'Inputs'!$B$31+'Inputs'!$B$32,'Inputs'!$B$30+'Inputs'!$B$31+'Inputs'!$B$32)/1000+'Inputs'!$B$21)+'Inputs'!$B$7)^2+('Inputs'!$B$6/2)^2)-(((460-43)*MAX('Inputs'!$B$33,'Inputs'!$B$29+'Inputs'!$B$31+'Inputs'!$B$32,'Inputs'!$B$30+'Inputs'!$B$31+'Inputs'!$B$32)/1000+'Inputs'!$B$21))/SQRT((((460-43)*MAX('Inputs'!$B$33,'Inputs'!$B$29+'Inputs'!$B$31+'Inputs'!$B$32,'Inputs'!$B$30+'Inputs'!$B$31+'Inputs'!$B$32)/1000+'Inputs'!$B$21))^2+('Inputs'!$B$6/2)^2)))-'Results'!C7*(1-'Inputs'!$B$24)*(0.5*((((460-43)*MAX('Inputs'!$B$33,'Inputs'!$B$29+'Inputs'!$B$31+'Inputs'!$B$32,'Inputs'!$B$30+'Inputs'!$B$31+'Inputs'!$B$32)/1000+'Inputs'!$B$21+'Inputs'!$B$7+'Inputs'!$B$10)+'Inputs'!$B$9)/SQRT((((460-43)*MAX('Inputs'!$B$33,'Inputs'!$B$29+'Inputs'!$B$31+'Inputs'!$B$32,'Inputs'!$B$30+'Inputs'!$B$31+'Inputs'!$B$32)/1000+'Inputs'!$B$21+'Inputs'!$B$7+'Inputs'!$B$10)+'Inputs'!$B$9)^2+('Inputs'!$B$8/2)^2)-(((460-43)*MAX('Inputs'!$B$33,'Inputs'!$B$29+'Inputs'!$B$31+'Inputs'!$B$32,'Inputs'!$B$30+'Inputs'!$B$31+'Inputs'!$B$32)/1000+'Inputs'!$B$21+'Inputs'!$B$7+'Inputs'!$B$10))/SQRT((((460-43)*MAX('Inputs'!$B$33,'Inputs'!$B$29+'Inputs'!$B$31+'Inputs'!$B$32,'Inputs'!$B$30+'Inputs'!$B$31+'Inputs'!$B$32)/1000+'Inputs'!$B$21+'Inputs'!$B$7+'Inputs'!$B$10))^2+('Inputs'!$B$8/2)^2))))*'Results'!$B$8)+'Inputs'!$B$28*ABS((('Results'!B7*(1+'Inputs'!$B$24)*(0.5*((((460-43)*MAX('Inputs'!$B$33,'Inputs'!$B$29+'Inputs'!$B$31+'Inputs'!$B$32,'Inputs'!$B$30+'Inputs'!$B$31+'Inputs'!$B$32)/1000+'Inputs'!$B$21)+'Inputs'!$B$7)/SQRT((((460-43)*MAX('Inputs'!$B$33,'Inputs'!$B$29+'Inputs'!$B$31+'Inputs'!$B$32,'Inputs'!$B$30+'Inputs'!$B$31+'Inputs'!$B$32)/1000+'Inputs'!$B$21)+'Inputs'!$B$7)^2+('Inputs'!$B$6/2)^2)-(((460-43)*MAX('Inputs'!$B$33,'Inputs'!$B$29+'Inputs'!$B$31+'Inputs'!$B$32,'Inputs'!$B$30+'Inputs'!$B$31+'Inputs'!$B$32)/1000+'Inputs'!$B$21))/SQRT((((460-43)*MAX('Inputs'!$B$33,'Inputs'!$B$29+'Inputs'!$B$31+'Inputs'!$B$32,'Inputs'!$B$30+'Inputs'!$B$31+'Inputs'!$B$32)/1000+'Inputs'!$B$21))^2+('Inputs'!$B$6/2)^2)))-'Results'!C7*(1-'Inputs'!$B$24)*(0.5*((((460-43)*MAX('Inputs'!$B$33,'Inputs'!$B$29+'Inputs'!$B$31+'Inputs'!$B$32,'Inputs'!$B$30+'Inputs'!$B$31+'Inputs'!$B$32)/1000+'Inputs'!$B$21+'Inputs'!$B$7+'Inputs'!$B$10)+'Inputs'!$B$9)/SQRT((((460-43)*MAX('Inputs'!$B$33,'Inputs'!$B$29+'Inputs'!$B$31+'Inputs'!$B$32,'Inputs'!$B$30+'Inputs'!$B$31+'Inputs'!$B$32)/1000+'Inputs'!$B$21+'Inputs'!$B$7+'Inputs'!$B$10)+'Inputs'!$B$9)^2+('Inputs'!$B$8/2)^2)-(((460-43)*MAX('Inputs'!$B$33,'Inputs'!$B$29+'Inputs'!$B$31+'Inputs'!$B$32,'Inputs'!$B$30+'Inputs'!$B$31+'Inputs'!$B$32)/1000+'Inputs'!$B$21+'Inputs'!$B$7+'Inputs'!$B$10))/SQRT((((460-43)*MAX('Inputs'!$B$33,'Inputs'!$B$29+'Inputs'!$B$31+'Inputs'!$B$32,'Inputs'!$B$30+'Inputs'!$B$31+'Inputs'!$B$32)/1000+'Inputs'!$B$21+'Inputs'!$B$7+'Inputs'!$B$10))^2+('Inputs'!$B$8/2)^2))))*'Results'!$B$8))),"")</x:f>
        <x:v>8.57002222947562</x:v>
      </x:c>
      <x:c r="M460" t="n">
        <x:f>IF(AND(ISNUMBER('Results'!C7),ISNUMBER('Results'!B7),ISNUMBER('Results'!$B$8),ISNUMBER('Inputs'!$B$6),ISNUMBER('Inputs'!$B$7),ISNUMBER('Inputs'!$B$8),ISNUMBER('Inputs'!$B$9),ISNUMBER('Inputs'!$B$10),ISNUMBER('Inputs'!$B$21),ISNUMBER('Inputs'!$B$24),ISNUMBER('Inputs'!$B$28)),(('Results'!C7*(0.5*((((460-43)*MAX('Inputs'!$B$33,'Inputs'!$B$29+'Inputs'!$B$31+'Inputs'!$B$32,'Inputs'!$B$30+'Inputs'!$B$31+'Inputs'!$B$32)/1000+'Inputs'!$B$21)+'Inputs'!$B$9)/SQRT((((460-43)*MAX('Inputs'!$B$33,'Inputs'!$B$29+'Inputs'!$B$31+'Inputs'!$B$32,'Inputs'!$B$30+'Inputs'!$B$31+'Inputs'!$B$32)/1000+'Inputs'!$B$21)+'Inputs'!$B$9)^2+('Inputs'!$B$8/2)^2)-(((460-43)*MAX('Inputs'!$B$33,'Inputs'!$B$29+'Inputs'!$B$31+'Inputs'!$B$32,'Inputs'!$B$30+'Inputs'!$B$31+'Inputs'!$B$32)/1000+'Inputs'!$B$21))/SQRT((((460-43)*MAX('Inputs'!$B$33,'Inputs'!$B$29+'Inputs'!$B$31+'Inputs'!$B$32,'Inputs'!$B$30+'Inputs'!$B$31+'Inputs'!$B$32)/1000+'Inputs'!$B$21))^2+('Inputs'!$B$8/2)^2)))-'Results'!B7*(0.5*((((460-43)*MAX('Inputs'!$B$33,'Inputs'!$B$29+'Inputs'!$B$31+'Inputs'!$B$32,'Inputs'!$B$30+'Inputs'!$B$31+'Inputs'!$B$32)/1000+'Inputs'!$B$21+'Inputs'!$B$9+'Inputs'!$B$10)+'Inputs'!$B$7)/SQRT((((460-43)*MAX('Inputs'!$B$33,'Inputs'!$B$29+'Inputs'!$B$31+'Inputs'!$B$32,'Inputs'!$B$30+'Inputs'!$B$31+'Inputs'!$B$32)/1000+'Inputs'!$B$21+'Inputs'!$B$9+'Inputs'!$B$10)+'Inputs'!$B$7)^2+('Inputs'!$B$6/2)^2)-(((460-43)*MAX('Inputs'!$B$33,'Inputs'!$B$29+'Inputs'!$B$31+'Inputs'!$B$32,'Inputs'!$B$30+'Inputs'!$B$31+'Inputs'!$B$32)/1000+'Inputs'!$B$21+'Inputs'!$B$9+'Inputs'!$B$10))/SQRT((((460-43)*MAX('Inputs'!$B$33,'Inputs'!$B$29+'Inputs'!$B$31+'Inputs'!$B$32,'Inputs'!$B$30+'Inputs'!$B$31+'Inputs'!$B$32)/1000+'Inputs'!$B$21+'Inputs'!$B$9+'Inputs'!$B$10))^2+('Inputs'!$B$6/2)^2))))*'Results'!$B$8),"")</x:f>
        <x:v>7.2461029234888645</x:v>
      </x:c>
      <x:c r="N460" t="n">
        <x:f>IF(AND(ISNUMBER('Results'!C7),ISNUMBER('Results'!B7),ISNUMBER('Results'!$B$8),ISNUMBER('Inputs'!$B$6),ISNUMBER('Inputs'!$B$7),ISNUMBER('Inputs'!$B$8),ISNUMBER('Inputs'!$B$9),ISNUMBER('Inputs'!$B$10),ISNUMBER('Inputs'!$B$21),ISNUMBER('Inputs'!$B$24),ISNUMBER('Inputs'!$B$28)),((('Results'!C7*(1-'Inputs'!$B$24)*(0.5*((((460-43)*MAX('Inputs'!$B$33,'Inputs'!$B$29+'Inputs'!$B$31+'Inputs'!$B$32,'Inputs'!$B$30+'Inputs'!$B$31+'Inputs'!$B$32)/1000+'Inputs'!$B$21)+'Inputs'!$B$9)/SQRT((((460-43)*MAX('Inputs'!$B$33,'Inputs'!$B$29+'Inputs'!$B$31+'Inputs'!$B$32,'Inputs'!$B$30+'Inputs'!$B$31+'Inputs'!$B$32)/1000+'Inputs'!$B$21)+'Inputs'!$B$9)^2+('Inputs'!$B$8/2)^2)-(((460-43)*MAX('Inputs'!$B$33,'Inputs'!$B$29+'Inputs'!$B$31+'Inputs'!$B$32,'Inputs'!$B$30+'Inputs'!$B$31+'Inputs'!$B$32)/1000+'Inputs'!$B$21))/SQRT((((460-43)*MAX('Inputs'!$B$33,'Inputs'!$B$29+'Inputs'!$B$31+'Inputs'!$B$32,'Inputs'!$B$30+'Inputs'!$B$31+'Inputs'!$B$32)/1000+'Inputs'!$B$21))^2+('Inputs'!$B$8/2)^2)))-'Results'!B7*(1+'Inputs'!$B$24)*(0.5*((((460-43)*MAX('Inputs'!$B$33,'Inputs'!$B$29+'Inputs'!$B$31+'Inputs'!$B$32,'Inputs'!$B$30+'Inputs'!$B$31+'Inputs'!$B$32)/1000+'Inputs'!$B$21+'Inputs'!$B$9+'Inputs'!$B$10)+'Inputs'!$B$7)/SQRT((((460-43)*MAX('Inputs'!$B$33,'Inputs'!$B$29+'Inputs'!$B$31+'Inputs'!$B$32,'Inputs'!$B$30+'Inputs'!$B$31+'Inputs'!$B$32)/1000+'Inputs'!$B$21+'Inputs'!$B$9+'Inputs'!$B$10)+'Inputs'!$B$7)^2+('Inputs'!$B$6/2)^2)-(((460-43)*MAX('Inputs'!$B$33,'Inputs'!$B$29+'Inputs'!$B$31+'Inputs'!$B$32,'Inputs'!$B$30+'Inputs'!$B$31+'Inputs'!$B$32)/1000+'Inputs'!$B$21+'Inputs'!$B$9+'Inputs'!$B$10))/SQRT((((460-43)*MAX('Inputs'!$B$33,'Inputs'!$B$29+'Inputs'!$B$31+'Inputs'!$B$32,'Inputs'!$B$30+'Inputs'!$B$31+'Inputs'!$B$32)/1000+'Inputs'!$B$21+'Inputs'!$B$9+'Inputs'!$B$10))^2+('Inputs'!$B$6/2)^2))))*'Results'!$B$8)-'Inputs'!$B$28*ABS((('Results'!C7*(1-'Inputs'!$B$24)*(0.5*((((460-43)*MAX('Inputs'!$B$33,'Inputs'!$B$29+'Inputs'!$B$31+'Inputs'!$B$32,'Inputs'!$B$30+'Inputs'!$B$31+'Inputs'!$B$32)/1000+'Inputs'!$B$21)+'Inputs'!$B$9)/SQRT((((460-43)*MAX('Inputs'!$B$33,'Inputs'!$B$29+'Inputs'!$B$31+'Inputs'!$B$32,'Inputs'!$B$30+'Inputs'!$B$31+'Inputs'!$B$32)/1000+'Inputs'!$B$21)+'Inputs'!$B$9)^2+('Inputs'!$B$8/2)^2)-(((460-43)*MAX('Inputs'!$B$33,'Inputs'!$B$29+'Inputs'!$B$31+'Inputs'!$B$32,'Inputs'!$B$30+'Inputs'!$B$31+'Inputs'!$B$32)/1000+'Inputs'!$B$21))/SQRT((((460-43)*MAX('Inputs'!$B$33,'Inputs'!$B$29+'Inputs'!$B$31+'Inputs'!$B$32,'Inputs'!$B$30+'Inputs'!$B$31+'Inputs'!$B$32)/1000+'Inputs'!$B$21))^2+('Inputs'!$B$8/2)^2)))-'Results'!B7*(1+'Inputs'!$B$24)*(0.5*((((460-43)*MAX('Inputs'!$B$33,'Inputs'!$B$29+'Inputs'!$B$31+'Inputs'!$B$32,'Inputs'!$B$30+'Inputs'!$B$31+'Inputs'!$B$32)/1000+'Inputs'!$B$21+'Inputs'!$B$9+'Inputs'!$B$10)+'Inputs'!$B$7)/SQRT((((460-43)*MAX('Inputs'!$B$33,'Inputs'!$B$29+'Inputs'!$B$31+'Inputs'!$B$32,'Inputs'!$B$30+'Inputs'!$B$31+'Inputs'!$B$32)/1000+'Inputs'!$B$21+'Inputs'!$B$9+'Inputs'!$B$10)+'Inputs'!$B$7)^2+('Inputs'!$B$6/2)^2)-(((460-43)*MAX('Inputs'!$B$33,'Inputs'!$B$29+'Inputs'!$B$31+'Inputs'!$B$32,'Inputs'!$B$30+'Inputs'!$B$31+'Inputs'!$B$32)/1000+'Inputs'!$B$21+'Inputs'!$B$9+'Inputs'!$B$10))/SQRT((((460-43)*MAX('Inputs'!$B$33,'Inputs'!$B$29+'Inputs'!$B$31+'Inputs'!$B$32,'Inputs'!$B$30+'Inputs'!$B$31+'Inputs'!$B$32)/1000+'Inputs'!$B$21+'Inputs'!$B$9+'Inputs'!$B$10))^2+('Inputs'!$B$6/2)^2))))*'Results'!$B$8))),"")</x:f>
        <x:v>6.453116385463354</x:v>
      </x:c>
      <x:c r="O460" t="n">
        <x:f>IF(AND(ISNUMBER('Results'!C7),ISNUMBER('Results'!B7),ISNUMBER('Results'!$B$8),ISNUMBER('Inputs'!$B$6),ISNUMBER('Inputs'!$B$7),ISNUMBER('Inputs'!$B$8),ISNUMBER('Inputs'!$B$9),ISNUMBER('Inputs'!$B$10),ISNUMBER('Inputs'!$B$21),ISNUMBER('Inputs'!$B$24),ISNUMBER('Inputs'!$B$28)),((('Results'!C7*(1+'Inputs'!$B$24)*(0.5*((((460-43)*MAX('Inputs'!$B$33,'Inputs'!$B$29+'Inputs'!$B$31+'Inputs'!$B$32,'Inputs'!$B$30+'Inputs'!$B$31+'Inputs'!$B$32)/1000+'Inputs'!$B$21)+'Inputs'!$B$9)/SQRT((((460-43)*MAX('Inputs'!$B$33,'Inputs'!$B$29+'Inputs'!$B$31+'Inputs'!$B$32,'Inputs'!$B$30+'Inputs'!$B$31+'Inputs'!$B$32)/1000+'Inputs'!$B$21)+'Inputs'!$B$9)^2+('Inputs'!$B$8/2)^2)-(((460-43)*MAX('Inputs'!$B$33,'Inputs'!$B$29+'Inputs'!$B$31+'Inputs'!$B$32,'Inputs'!$B$30+'Inputs'!$B$31+'Inputs'!$B$32)/1000+'Inputs'!$B$21))/SQRT((((460-43)*MAX('Inputs'!$B$33,'Inputs'!$B$29+'Inputs'!$B$31+'Inputs'!$B$32,'Inputs'!$B$30+'Inputs'!$B$31+'Inputs'!$B$32)/1000+'Inputs'!$B$21))^2+('Inputs'!$B$8/2)^2)))-'Results'!B7*(1-'Inputs'!$B$24)*(0.5*((((460-43)*MAX('Inputs'!$B$33,'Inputs'!$B$29+'Inputs'!$B$31+'Inputs'!$B$32,'Inputs'!$B$30+'Inputs'!$B$31+'Inputs'!$B$32)/1000+'Inputs'!$B$21+'Inputs'!$B$9+'Inputs'!$B$10)+'Inputs'!$B$7)/SQRT((((460-43)*MAX('Inputs'!$B$33,'Inputs'!$B$29+'Inputs'!$B$31+'Inputs'!$B$32,'Inputs'!$B$30+'Inputs'!$B$31+'Inputs'!$B$32)/1000+'Inputs'!$B$21+'Inputs'!$B$9+'Inputs'!$B$10)+'Inputs'!$B$7)^2+('Inputs'!$B$6/2)^2)-(((460-43)*MAX('Inputs'!$B$33,'Inputs'!$B$29+'Inputs'!$B$31+'Inputs'!$B$32,'Inputs'!$B$30+'Inputs'!$B$31+'Inputs'!$B$32)/1000+'Inputs'!$B$21+'Inputs'!$B$9+'Inputs'!$B$10))/SQRT((((460-43)*MAX('Inputs'!$B$33,'Inputs'!$B$29+'Inputs'!$B$31+'Inputs'!$B$32,'Inputs'!$B$30+'Inputs'!$B$31+'Inputs'!$B$32)/1000+'Inputs'!$B$21+'Inputs'!$B$9+'Inputs'!$B$10))^2+('Inputs'!$B$6/2)^2))))*'Results'!$B$8)+'Inputs'!$B$28*ABS((('Results'!C7*(1+'Inputs'!$B$24)*(0.5*((((460-43)*MAX('Inputs'!$B$33,'Inputs'!$B$29+'Inputs'!$B$31+'Inputs'!$B$32,'Inputs'!$B$30+'Inputs'!$B$31+'Inputs'!$B$32)/1000+'Inputs'!$B$21)+'Inputs'!$B$9)/SQRT((((460-43)*MAX('Inputs'!$B$33,'Inputs'!$B$29+'Inputs'!$B$31+'Inputs'!$B$32,'Inputs'!$B$30+'Inputs'!$B$31+'Inputs'!$B$32)/1000+'Inputs'!$B$21)+'Inputs'!$B$9)^2+('Inputs'!$B$8/2)^2)-(((460-43)*MAX('Inputs'!$B$33,'Inputs'!$B$29+'Inputs'!$B$31+'Inputs'!$B$32,'Inputs'!$B$30+'Inputs'!$B$31+'Inputs'!$B$32)/1000+'Inputs'!$B$21))/SQRT((((460-43)*MAX('Inputs'!$B$33,'Inputs'!$B$29+'Inputs'!$B$31+'Inputs'!$B$32,'Inputs'!$B$30+'Inputs'!$B$31+'Inputs'!$B$32)/1000+'Inputs'!$B$21))^2+('Inputs'!$B$8/2)^2)))-'Results'!B7*(1-'Inputs'!$B$24)*(0.5*((((460-43)*MAX('Inputs'!$B$33,'Inputs'!$B$29+'Inputs'!$B$31+'Inputs'!$B$32,'Inputs'!$B$30+'Inputs'!$B$31+'Inputs'!$B$32)/1000+'Inputs'!$B$21+'Inputs'!$B$9+'Inputs'!$B$10)+'Inputs'!$B$7)/SQRT((((460-43)*MAX('Inputs'!$B$33,'Inputs'!$B$29+'Inputs'!$B$31+'Inputs'!$B$32,'Inputs'!$B$30+'Inputs'!$B$31+'Inputs'!$B$32)/1000+'Inputs'!$B$21+'Inputs'!$B$9+'Inputs'!$B$10)+'Inputs'!$B$7)^2+('Inputs'!$B$6/2)^2)-(((460-43)*MAX('Inputs'!$B$33,'Inputs'!$B$29+'Inputs'!$B$31+'Inputs'!$B$32,'Inputs'!$B$30+'Inputs'!$B$31+'Inputs'!$B$32)/1000+'Inputs'!$B$21+'Inputs'!$B$9+'Inputs'!$B$10))/SQRT((((460-43)*MAX('Inputs'!$B$33,'Inputs'!$B$29+'Inputs'!$B$31+'Inputs'!$B$32,'Inputs'!$B$30+'Inputs'!$B$31+'Inputs'!$B$32)/1000+'Inputs'!$B$21+'Inputs'!$B$9+'Inputs'!$B$10))^2+('Inputs'!$B$6/2)^2))))*'Results'!$B$8))),"")</x:f>
        <x:v>8.084424344867116</x:v>
      </x:c>
      <x:c r="P460" t="n">
        <x:f>IF(AND(MAX(J460,J459)&gt;0,J460&gt;J459+0.00000001),1,0)</x:f>
        <x:v>0</x:v>
      </x:c>
      <x:c r="Q460" t="n">
        <x:f>IF(AND(MAX(K460,K459)&gt;0,K460&gt;K459+0.00000001),1,0)</x:f>
        <x:v>0</x:v>
      </x:c>
      <x:c r="R460" t="n">
        <x:f>IF(AND(MAX(L460,L459)&gt;0,L460&gt;L459+0.00000001),1,0)</x:f>
        <x:v>0</x:v>
      </x:c>
      <x:c r="S460" t="n">
        <x:f>IF(AND(MAX(M460,M459)&gt;0,M460&gt;M459+0.00000001),1,0)</x:f>
        <x:v>0</x:v>
      </x:c>
      <x:c r="T460" t="n">
        <x:f>IF(AND(MAX(N460,N459)&gt;0,N460&gt;N459+0.00000001),1,0)</x:f>
        <x:v>0</x:v>
      </x:c>
      <x:c r="U460" t="n">
        <x:f>IF(AND(MAX(O460,O459)&gt;0,O460&gt;O459+0.00000001),1,0)</x:f>
        <x:v>0</x:v>
      </x:c>
    </x:row>
    <x:row r="461">
      <x:c r="J461" t="n">
        <x:f>IF(AND(ISNUMBER('Results'!B7),ISNUMBER('Results'!C7),ISNUMBER('Results'!$B$8),ISNUMBER('Inputs'!$B$6),ISNUMBER('Inputs'!$B$7),ISNUMBER('Inputs'!$B$8),ISNUMBER('Inputs'!$B$9),ISNUMBER('Inputs'!$B$10),ISNUMBER('Inputs'!$B$21),ISNUMBER('Inputs'!$B$24),ISNUMBER('Inputs'!$B$28)),(('Results'!B7*(0.5*((((461-43)*MAX('Inputs'!$B$33,'Inputs'!$B$29+'Inputs'!$B$31+'Inputs'!$B$32,'Inputs'!$B$30+'Inputs'!$B$31+'Inputs'!$B$32)/1000+'Inputs'!$B$21)+'Inputs'!$B$7)/SQRT((((461-43)*MAX('Inputs'!$B$33,'Inputs'!$B$29+'Inputs'!$B$31+'Inputs'!$B$32,'Inputs'!$B$30+'Inputs'!$B$31+'Inputs'!$B$32)/1000+'Inputs'!$B$21)+'Inputs'!$B$7)^2+('Inputs'!$B$6/2)^2)-(((461-43)*MAX('Inputs'!$B$33,'Inputs'!$B$29+'Inputs'!$B$31+'Inputs'!$B$32,'Inputs'!$B$30+'Inputs'!$B$31+'Inputs'!$B$32)/1000+'Inputs'!$B$21))/SQRT((((461-43)*MAX('Inputs'!$B$33,'Inputs'!$B$29+'Inputs'!$B$31+'Inputs'!$B$32,'Inputs'!$B$30+'Inputs'!$B$31+'Inputs'!$B$32)/1000+'Inputs'!$B$21))^2+('Inputs'!$B$6/2)^2)))-'Results'!C7*(0.5*((((461-43)*MAX('Inputs'!$B$33,'Inputs'!$B$29+'Inputs'!$B$31+'Inputs'!$B$32,'Inputs'!$B$30+'Inputs'!$B$31+'Inputs'!$B$32)/1000+'Inputs'!$B$21+'Inputs'!$B$7+'Inputs'!$B$10)+'Inputs'!$B$9)/SQRT((((461-43)*MAX('Inputs'!$B$33,'Inputs'!$B$29+'Inputs'!$B$31+'Inputs'!$B$32,'Inputs'!$B$30+'Inputs'!$B$31+'Inputs'!$B$32)/1000+'Inputs'!$B$21+'Inputs'!$B$7+'Inputs'!$B$10)+'Inputs'!$B$9)^2+('Inputs'!$B$8/2)^2)-(((461-43)*MAX('Inputs'!$B$33,'Inputs'!$B$29+'Inputs'!$B$31+'Inputs'!$B$32,'Inputs'!$B$30+'Inputs'!$B$31+'Inputs'!$B$32)/1000+'Inputs'!$B$21+'Inputs'!$B$7+'Inputs'!$B$10))/SQRT((((461-43)*MAX('Inputs'!$B$33,'Inputs'!$B$29+'Inputs'!$B$31+'Inputs'!$B$32,'Inputs'!$B$30+'Inputs'!$B$31+'Inputs'!$B$32)/1000+'Inputs'!$B$21+'Inputs'!$B$7+'Inputs'!$B$10))^2+('Inputs'!$B$8/2)^2))))*'Results'!$B$8),"")</x:f>
        <x:v>7.64448388874883</x:v>
      </x:c>
      <x:c r="K461" t="n">
        <x:f>IF(AND(ISNUMBER('Results'!B7),ISNUMBER('Results'!C7),ISNUMBER('Results'!$B$8),ISNUMBER('Inputs'!$B$6),ISNUMBER('Inputs'!$B$7),ISNUMBER('Inputs'!$B$8),ISNUMBER('Inputs'!$B$9),ISNUMBER('Inputs'!$B$10),ISNUMBER('Inputs'!$B$21),ISNUMBER('Inputs'!$B$24),ISNUMBER('Inputs'!$B$28)),((('Results'!B7*(1-'Inputs'!$B$24)*(0.5*((((461-43)*MAX('Inputs'!$B$33,'Inputs'!$B$29+'Inputs'!$B$31+'Inputs'!$B$32,'Inputs'!$B$30+'Inputs'!$B$31+'Inputs'!$B$32)/1000+'Inputs'!$B$21)+'Inputs'!$B$7)/SQRT((((461-43)*MAX('Inputs'!$B$33,'Inputs'!$B$29+'Inputs'!$B$31+'Inputs'!$B$32,'Inputs'!$B$30+'Inputs'!$B$31+'Inputs'!$B$32)/1000+'Inputs'!$B$21)+'Inputs'!$B$7)^2+('Inputs'!$B$6/2)^2)-(((461-43)*MAX('Inputs'!$B$33,'Inputs'!$B$29+'Inputs'!$B$31+'Inputs'!$B$32,'Inputs'!$B$30+'Inputs'!$B$31+'Inputs'!$B$32)/1000+'Inputs'!$B$21))/SQRT((((461-43)*MAX('Inputs'!$B$33,'Inputs'!$B$29+'Inputs'!$B$31+'Inputs'!$B$32,'Inputs'!$B$30+'Inputs'!$B$31+'Inputs'!$B$32)/1000+'Inputs'!$B$21))^2+('Inputs'!$B$6/2)^2)))-'Results'!C7*(1+'Inputs'!$B$24)*(0.5*((((461-43)*MAX('Inputs'!$B$33,'Inputs'!$B$29+'Inputs'!$B$31+'Inputs'!$B$32,'Inputs'!$B$30+'Inputs'!$B$31+'Inputs'!$B$32)/1000+'Inputs'!$B$21+'Inputs'!$B$7+'Inputs'!$B$10)+'Inputs'!$B$9)/SQRT((((461-43)*MAX('Inputs'!$B$33,'Inputs'!$B$29+'Inputs'!$B$31+'Inputs'!$B$32,'Inputs'!$B$30+'Inputs'!$B$31+'Inputs'!$B$32)/1000+'Inputs'!$B$21+'Inputs'!$B$7+'Inputs'!$B$10)+'Inputs'!$B$9)^2+('Inputs'!$B$8/2)^2)-(((461-43)*MAX('Inputs'!$B$33,'Inputs'!$B$29+'Inputs'!$B$31+'Inputs'!$B$32,'Inputs'!$B$30+'Inputs'!$B$31+'Inputs'!$B$32)/1000+'Inputs'!$B$21+'Inputs'!$B$7+'Inputs'!$B$10))/SQRT((((461-43)*MAX('Inputs'!$B$33,'Inputs'!$B$29+'Inputs'!$B$31+'Inputs'!$B$32,'Inputs'!$B$30+'Inputs'!$B$31+'Inputs'!$B$32)/1000+'Inputs'!$B$21+'Inputs'!$B$7+'Inputs'!$B$10))^2+('Inputs'!$B$8/2)^2))))*'Results'!$B$8)-'Inputs'!$B$28*ABS((('Results'!B7*(1-'Inputs'!$B$24)*(0.5*((((461-43)*MAX('Inputs'!$B$33,'Inputs'!$B$29+'Inputs'!$B$31+'Inputs'!$B$32,'Inputs'!$B$30+'Inputs'!$B$31+'Inputs'!$B$32)/1000+'Inputs'!$B$21)+'Inputs'!$B$7)/SQRT((((461-43)*MAX('Inputs'!$B$33,'Inputs'!$B$29+'Inputs'!$B$31+'Inputs'!$B$32,'Inputs'!$B$30+'Inputs'!$B$31+'Inputs'!$B$32)/1000+'Inputs'!$B$21)+'Inputs'!$B$7)^2+('Inputs'!$B$6/2)^2)-(((461-43)*MAX('Inputs'!$B$33,'Inputs'!$B$29+'Inputs'!$B$31+'Inputs'!$B$32,'Inputs'!$B$30+'Inputs'!$B$31+'Inputs'!$B$32)/1000+'Inputs'!$B$21))/SQRT((((461-43)*MAX('Inputs'!$B$33,'Inputs'!$B$29+'Inputs'!$B$31+'Inputs'!$B$32,'Inputs'!$B$30+'Inputs'!$B$31+'Inputs'!$B$32)/1000+'Inputs'!$B$21))^2+('Inputs'!$B$6/2)^2)))-'Results'!C7*(1+'Inputs'!$B$24)*(0.5*((((461-43)*MAX('Inputs'!$B$33,'Inputs'!$B$29+'Inputs'!$B$31+'Inputs'!$B$32,'Inputs'!$B$30+'Inputs'!$B$31+'Inputs'!$B$32)/1000+'Inputs'!$B$21+'Inputs'!$B$7+'Inputs'!$B$10)+'Inputs'!$B$9)/SQRT((((461-43)*MAX('Inputs'!$B$33,'Inputs'!$B$29+'Inputs'!$B$31+'Inputs'!$B$32,'Inputs'!$B$30+'Inputs'!$B$31+'Inputs'!$B$32)/1000+'Inputs'!$B$21+'Inputs'!$B$7+'Inputs'!$B$10)+'Inputs'!$B$9)^2+('Inputs'!$B$8/2)^2)-(((461-43)*MAX('Inputs'!$B$33,'Inputs'!$B$29+'Inputs'!$B$31+'Inputs'!$B$32,'Inputs'!$B$30+'Inputs'!$B$31+'Inputs'!$B$32)/1000+'Inputs'!$B$21+'Inputs'!$B$7+'Inputs'!$B$10))/SQRT((((461-43)*MAX('Inputs'!$B$33,'Inputs'!$B$29+'Inputs'!$B$31+'Inputs'!$B$32,'Inputs'!$B$30+'Inputs'!$B$31+'Inputs'!$B$32)/1000+'Inputs'!$B$21+'Inputs'!$B$7+'Inputs'!$B$10))^2+('Inputs'!$B$8/2)^2))))*'Results'!$B$8))),"")</x:f>
        <x:v>6.83139642501079</x:v>
      </x:c>
      <x:c r="L461" t="n">
        <x:f>IF(AND(ISNUMBER('Results'!B7),ISNUMBER('Results'!C7),ISNUMBER('Results'!$B$8),ISNUMBER('Inputs'!$B$6),ISNUMBER('Inputs'!$B$7),ISNUMBER('Inputs'!$B$8),ISNUMBER('Inputs'!$B$9),ISNUMBER('Inputs'!$B$10),ISNUMBER('Inputs'!$B$21),ISNUMBER('Inputs'!$B$24),ISNUMBER('Inputs'!$B$28)),((('Results'!B7*(1+'Inputs'!$B$24)*(0.5*((((461-43)*MAX('Inputs'!$B$33,'Inputs'!$B$29+'Inputs'!$B$31+'Inputs'!$B$32,'Inputs'!$B$30+'Inputs'!$B$31+'Inputs'!$B$32)/1000+'Inputs'!$B$21)+'Inputs'!$B$7)/SQRT((((461-43)*MAX('Inputs'!$B$33,'Inputs'!$B$29+'Inputs'!$B$31+'Inputs'!$B$32,'Inputs'!$B$30+'Inputs'!$B$31+'Inputs'!$B$32)/1000+'Inputs'!$B$21)+'Inputs'!$B$7)^2+('Inputs'!$B$6/2)^2)-(((461-43)*MAX('Inputs'!$B$33,'Inputs'!$B$29+'Inputs'!$B$31+'Inputs'!$B$32,'Inputs'!$B$30+'Inputs'!$B$31+'Inputs'!$B$32)/1000+'Inputs'!$B$21))/SQRT((((461-43)*MAX('Inputs'!$B$33,'Inputs'!$B$29+'Inputs'!$B$31+'Inputs'!$B$32,'Inputs'!$B$30+'Inputs'!$B$31+'Inputs'!$B$32)/1000+'Inputs'!$B$21))^2+('Inputs'!$B$6/2)^2)))-'Results'!C7*(1-'Inputs'!$B$24)*(0.5*((((461-43)*MAX('Inputs'!$B$33,'Inputs'!$B$29+'Inputs'!$B$31+'Inputs'!$B$32,'Inputs'!$B$30+'Inputs'!$B$31+'Inputs'!$B$32)/1000+'Inputs'!$B$21+'Inputs'!$B$7+'Inputs'!$B$10)+'Inputs'!$B$9)/SQRT((((461-43)*MAX('Inputs'!$B$33,'Inputs'!$B$29+'Inputs'!$B$31+'Inputs'!$B$32,'Inputs'!$B$30+'Inputs'!$B$31+'Inputs'!$B$32)/1000+'Inputs'!$B$21+'Inputs'!$B$7+'Inputs'!$B$10)+'Inputs'!$B$9)^2+('Inputs'!$B$8/2)^2)-(((461-43)*MAX('Inputs'!$B$33,'Inputs'!$B$29+'Inputs'!$B$31+'Inputs'!$B$32,'Inputs'!$B$30+'Inputs'!$B$31+'Inputs'!$B$32)/1000+'Inputs'!$B$21+'Inputs'!$B$7+'Inputs'!$B$10))/SQRT((((461-43)*MAX('Inputs'!$B$33,'Inputs'!$B$29+'Inputs'!$B$31+'Inputs'!$B$32,'Inputs'!$B$30+'Inputs'!$B$31+'Inputs'!$B$32)/1000+'Inputs'!$B$21+'Inputs'!$B$7+'Inputs'!$B$10))^2+('Inputs'!$B$8/2)^2))))*'Results'!$B$8)+'Inputs'!$B$28*ABS((('Results'!B7*(1+'Inputs'!$B$24)*(0.5*((((461-43)*MAX('Inputs'!$B$33,'Inputs'!$B$29+'Inputs'!$B$31+'Inputs'!$B$32,'Inputs'!$B$30+'Inputs'!$B$31+'Inputs'!$B$32)/1000+'Inputs'!$B$21)+'Inputs'!$B$7)/SQRT((((461-43)*MAX('Inputs'!$B$33,'Inputs'!$B$29+'Inputs'!$B$31+'Inputs'!$B$32,'Inputs'!$B$30+'Inputs'!$B$31+'Inputs'!$B$32)/1000+'Inputs'!$B$21)+'Inputs'!$B$7)^2+('Inputs'!$B$6/2)^2)-(((461-43)*MAX('Inputs'!$B$33,'Inputs'!$B$29+'Inputs'!$B$31+'Inputs'!$B$32,'Inputs'!$B$30+'Inputs'!$B$31+'Inputs'!$B$32)/1000+'Inputs'!$B$21))/SQRT((((461-43)*MAX('Inputs'!$B$33,'Inputs'!$B$29+'Inputs'!$B$31+'Inputs'!$B$32,'Inputs'!$B$30+'Inputs'!$B$31+'Inputs'!$B$32)/1000+'Inputs'!$B$21))^2+('Inputs'!$B$6/2)^2)))-'Results'!C7*(1-'Inputs'!$B$24)*(0.5*((((461-43)*MAX('Inputs'!$B$33,'Inputs'!$B$29+'Inputs'!$B$31+'Inputs'!$B$32,'Inputs'!$B$30+'Inputs'!$B$31+'Inputs'!$B$32)/1000+'Inputs'!$B$21+'Inputs'!$B$7+'Inputs'!$B$10)+'Inputs'!$B$9)/SQRT((((461-43)*MAX('Inputs'!$B$33,'Inputs'!$B$29+'Inputs'!$B$31+'Inputs'!$B$32,'Inputs'!$B$30+'Inputs'!$B$31+'Inputs'!$B$32)/1000+'Inputs'!$B$21+'Inputs'!$B$7+'Inputs'!$B$10)+'Inputs'!$B$9)^2+('Inputs'!$B$8/2)^2)-(((461-43)*MAX('Inputs'!$B$33,'Inputs'!$B$29+'Inputs'!$B$31+'Inputs'!$B$32,'Inputs'!$B$30+'Inputs'!$B$31+'Inputs'!$B$32)/1000+'Inputs'!$B$21+'Inputs'!$B$7+'Inputs'!$B$10))/SQRT((((461-43)*MAX('Inputs'!$B$33,'Inputs'!$B$29+'Inputs'!$B$31+'Inputs'!$B$32,'Inputs'!$B$30+'Inputs'!$B$31+'Inputs'!$B$32)/1000+'Inputs'!$B$21+'Inputs'!$B$7+'Inputs'!$B$10))^2+('Inputs'!$B$8/2)^2))))*'Results'!$B$8))),"")</x:f>
        <x:v>8.5029253808343</x:v>
      </x:c>
      <x:c r="M461" t="n">
        <x:f>IF(AND(ISNUMBER('Results'!C7),ISNUMBER('Results'!B7),ISNUMBER('Results'!$B$8),ISNUMBER('Inputs'!$B$6),ISNUMBER('Inputs'!$B$7),ISNUMBER('Inputs'!$B$8),ISNUMBER('Inputs'!$B$9),ISNUMBER('Inputs'!$B$10),ISNUMBER('Inputs'!$B$21),ISNUMBER('Inputs'!$B$24),ISNUMBER('Inputs'!$B$28)),(('Results'!C7*(0.5*((((461-43)*MAX('Inputs'!$B$33,'Inputs'!$B$29+'Inputs'!$B$31+'Inputs'!$B$32,'Inputs'!$B$30+'Inputs'!$B$31+'Inputs'!$B$32)/1000+'Inputs'!$B$21)+'Inputs'!$B$9)/SQRT((((461-43)*MAX('Inputs'!$B$33,'Inputs'!$B$29+'Inputs'!$B$31+'Inputs'!$B$32,'Inputs'!$B$30+'Inputs'!$B$31+'Inputs'!$B$32)/1000+'Inputs'!$B$21)+'Inputs'!$B$9)^2+('Inputs'!$B$8/2)^2)-(((461-43)*MAX('Inputs'!$B$33,'Inputs'!$B$29+'Inputs'!$B$31+'Inputs'!$B$32,'Inputs'!$B$30+'Inputs'!$B$31+'Inputs'!$B$32)/1000+'Inputs'!$B$21))/SQRT((((461-43)*MAX('Inputs'!$B$33,'Inputs'!$B$29+'Inputs'!$B$31+'Inputs'!$B$32,'Inputs'!$B$30+'Inputs'!$B$31+'Inputs'!$B$32)/1000+'Inputs'!$B$21))^2+('Inputs'!$B$8/2)^2)))-'Results'!B7*(0.5*((((461-43)*MAX('Inputs'!$B$33,'Inputs'!$B$29+'Inputs'!$B$31+'Inputs'!$B$32,'Inputs'!$B$30+'Inputs'!$B$31+'Inputs'!$B$32)/1000+'Inputs'!$B$21+'Inputs'!$B$9+'Inputs'!$B$10)+'Inputs'!$B$7)/SQRT((((461-43)*MAX('Inputs'!$B$33,'Inputs'!$B$29+'Inputs'!$B$31+'Inputs'!$B$32,'Inputs'!$B$30+'Inputs'!$B$31+'Inputs'!$B$32)/1000+'Inputs'!$B$21+'Inputs'!$B$9+'Inputs'!$B$10)+'Inputs'!$B$7)^2+('Inputs'!$B$6/2)^2)-(((461-43)*MAX('Inputs'!$B$33,'Inputs'!$B$29+'Inputs'!$B$31+'Inputs'!$B$32,'Inputs'!$B$30+'Inputs'!$B$31+'Inputs'!$B$32)/1000+'Inputs'!$B$21+'Inputs'!$B$9+'Inputs'!$B$10))/SQRT((((461-43)*MAX('Inputs'!$B$33,'Inputs'!$B$29+'Inputs'!$B$31+'Inputs'!$B$32,'Inputs'!$B$30+'Inputs'!$B$31+'Inputs'!$B$32)/1000+'Inputs'!$B$21+'Inputs'!$B$9+'Inputs'!$B$10))^2+('Inputs'!$B$6/2)^2))))*'Results'!$B$8),"")</x:f>
        <x:v>7.187875741951053</x:v>
      </x:c>
      <x:c r="N461" t="n">
        <x:f>IF(AND(ISNUMBER('Results'!C7),ISNUMBER('Results'!B7),ISNUMBER('Results'!$B$8),ISNUMBER('Inputs'!$B$6),ISNUMBER('Inputs'!$B$7),ISNUMBER('Inputs'!$B$8),ISNUMBER('Inputs'!$B$9),ISNUMBER('Inputs'!$B$10),ISNUMBER('Inputs'!$B$21),ISNUMBER('Inputs'!$B$24),ISNUMBER('Inputs'!$B$28)),((('Results'!C7*(1-'Inputs'!$B$24)*(0.5*((((461-43)*MAX('Inputs'!$B$33,'Inputs'!$B$29+'Inputs'!$B$31+'Inputs'!$B$32,'Inputs'!$B$30+'Inputs'!$B$31+'Inputs'!$B$32)/1000+'Inputs'!$B$21)+'Inputs'!$B$9)/SQRT((((461-43)*MAX('Inputs'!$B$33,'Inputs'!$B$29+'Inputs'!$B$31+'Inputs'!$B$32,'Inputs'!$B$30+'Inputs'!$B$31+'Inputs'!$B$32)/1000+'Inputs'!$B$21)+'Inputs'!$B$9)^2+('Inputs'!$B$8/2)^2)-(((461-43)*MAX('Inputs'!$B$33,'Inputs'!$B$29+'Inputs'!$B$31+'Inputs'!$B$32,'Inputs'!$B$30+'Inputs'!$B$31+'Inputs'!$B$32)/1000+'Inputs'!$B$21))/SQRT((((461-43)*MAX('Inputs'!$B$33,'Inputs'!$B$29+'Inputs'!$B$31+'Inputs'!$B$32,'Inputs'!$B$30+'Inputs'!$B$31+'Inputs'!$B$32)/1000+'Inputs'!$B$21))^2+('Inputs'!$B$8/2)^2)))-'Results'!B7*(1+'Inputs'!$B$24)*(0.5*((((461-43)*MAX('Inputs'!$B$33,'Inputs'!$B$29+'Inputs'!$B$31+'Inputs'!$B$32,'Inputs'!$B$30+'Inputs'!$B$31+'Inputs'!$B$32)/1000+'Inputs'!$B$21+'Inputs'!$B$9+'Inputs'!$B$10)+'Inputs'!$B$7)/SQRT((((461-43)*MAX('Inputs'!$B$33,'Inputs'!$B$29+'Inputs'!$B$31+'Inputs'!$B$32,'Inputs'!$B$30+'Inputs'!$B$31+'Inputs'!$B$32)/1000+'Inputs'!$B$21+'Inputs'!$B$9+'Inputs'!$B$10)+'Inputs'!$B$7)^2+('Inputs'!$B$6/2)^2)-(((461-43)*MAX('Inputs'!$B$33,'Inputs'!$B$29+'Inputs'!$B$31+'Inputs'!$B$32,'Inputs'!$B$30+'Inputs'!$B$31+'Inputs'!$B$32)/1000+'Inputs'!$B$21+'Inputs'!$B$9+'Inputs'!$B$10))/SQRT((((461-43)*MAX('Inputs'!$B$33,'Inputs'!$B$29+'Inputs'!$B$31+'Inputs'!$B$32,'Inputs'!$B$30+'Inputs'!$B$31+'Inputs'!$B$32)/1000+'Inputs'!$B$21+'Inputs'!$B$9+'Inputs'!$B$10))^2+('Inputs'!$B$6/2)^2))))*'Results'!$B$8)-'Inputs'!$B$28*ABS((('Results'!C7*(1-'Inputs'!$B$24)*(0.5*((((461-43)*MAX('Inputs'!$B$33,'Inputs'!$B$29+'Inputs'!$B$31+'Inputs'!$B$32,'Inputs'!$B$30+'Inputs'!$B$31+'Inputs'!$B$32)/1000+'Inputs'!$B$21)+'Inputs'!$B$9)/SQRT((((461-43)*MAX('Inputs'!$B$33,'Inputs'!$B$29+'Inputs'!$B$31+'Inputs'!$B$32,'Inputs'!$B$30+'Inputs'!$B$31+'Inputs'!$B$32)/1000+'Inputs'!$B$21)+'Inputs'!$B$9)^2+('Inputs'!$B$8/2)^2)-(((461-43)*MAX('Inputs'!$B$33,'Inputs'!$B$29+'Inputs'!$B$31+'Inputs'!$B$32,'Inputs'!$B$30+'Inputs'!$B$31+'Inputs'!$B$32)/1000+'Inputs'!$B$21))/SQRT((((461-43)*MAX('Inputs'!$B$33,'Inputs'!$B$29+'Inputs'!$B$31+'Inputs'!$B$32,'Inputs'!$B$30+'Inputs'!$B$31+'Inputs'!$B$32)/1000+'Inputs'!$B$21))^2+('Inputs'!$B$8/2)^2)))-'Results'!B7*(1+'Inputs'!$B$24)*(0.5*((((461-43)*MAX('Inputs'!$B$33,'Inputs'!$B$29+'Inputs'!$B$31+'Inputs'!$B$32,'Inputs'!$B$30+'Inputs'!$B$31+'Inputs'!$B$32)/1000+'Inputs'!$B$21+'Inputs'!$B$9+'Inputs'!$B$10)+'Inputs'!$B$7)/SQRT((((461-43)*MAX('Inputs'!$B$33,'Inputs'!$B$29+'Inputs'!$B$31+'Inputs'!$B$32,'Inputs'!$B$30+'Inputs'!$B$31+'Inputs'!$B$32)/1000+'Inputs'!$B$21+'Inputs'!$B$9+'Inputs'!$B$10)+'Inputs'!$B$7)^2+('Inputs'!$B$6/2)^2)-(((461-43)*MAX('Inputs'!$B$33,'Inputs'!$B$29+'Inputs'!$B$31+'Inputs'!$B$32,'Inputs'!$B$30+'Inputs'!$B$31+'Inputs'!$B$32)/1000+'Inputs'!$B$21+'Inputs'!$B$9+'Inputs'!$B$10))/SQRT((((461-43)*MAX('Inputs'!$B$33,'Inputs'!$B$29+'Inputs'!$B$31+'Inputs'!$B$32,'Inputs'!$B$30+'Inputs'!$B$31+'Inputs'!$B$32)/1000+'Inputs'!$B$21+'Inputs'!$B$9+'Inputs'!$B$10))^2+('Inputs'!$B$6/2)^2))))*'Results'!$B$8))),"")</x:f>
        <x:v>6.400465300027478</x:v>
      </x:c>
      <x:c r="O461" t="n">
        <x:f>IF(AND(ISNUMBER('Results'!C7),ISNUMBER('Results'!B7),ISNUMBER('Results'!$B$8),ISNUMBER('Inputs'!$B$6),ISNUMBER('Inputs'!$B$7),ISNUMBER('Inputs'!$B$8),ISNUMBER('Inputs'!$B$9),ISNUMBER('Inputs'!$B$10),ISNUMBER('Inputs'!$B$21),ISNUMBER('Inputs'!$B$24),ISNUMBER('Inputs'!$B$28)),((('Results'!C7*(1+'Inputs'!$B$24)*(0.5*((((461-43)*MAX('Inputs'!$B$33,'Inputs'!$B$29+'Inputs'!$B$31+'Inputs'!$B$32,'Inputs'!$B$30+'Inputs'!$B$31+'Inputs'!$B$32)/1000+'Inputs'!$B$21)+'Inputs'!$B$9)/SQRT((((461-43)*MAX('Inputs'!$B$33,'Inputs'!$B$29+'Inputs'!$B$31+'Inputs'!$B$32,'Inputs'!$B$30+'Inputs'!$B$31+'Inputs'!$B$32)/1000+'Inputs'!$B$21)+'Inputs'!$B$9)^2+('Inputs'!$B$8/2)^2)-(((461-43)*MAX('Inputs'!$B$33,'Inputs'!$B$29+'Inputs'!$B$31+'Inputs'!$B$32,'Inputs'!$B$30+'Inputs'!$B$31+'Inputs'!$B$32)/1000+'Inputs'!$B$21))/SQRT((((461-43)*MAX('Inputs'!$B$33,'Inputs'!$B$29+'Inputs'!$B$31+'Inputs'!$B$32,'Inputs'!$B$30+'Inputs'!$B$31+'Inputs'!$B$32)/1000+'Inputs'!$B$21))^2+('Inputs'!$B$8/2)^2)))-'Results'!B7*(1-'Inputs'!$B$24)*(0.5*((((461-43)*MAX('Inputs'!$B$33,'Inputs'!$B$29+'Inputs'!$B$31+'Inputs'!$B$32,'Inputs'!$B$30+'Inputs'!$B$31+'Inputs'!$B$32)/1000+'Inputs'!$B$21+'Inputs'!$B$9+'Inputs'!$B$10)+'Inputs'!$B$7)/SQRT((((461-43)*MAX('Inputs'!$B$33,'Inputs'!$B$29+'Inputs'!$B$31+'Inputs'!$B$32,'Inputs'!$B$30+'Inputs'!$B$31+'Inputs'!$B$32)/1000+'Inputs'!$B$21+'Inputs'!$B$9+'Inputs'!$B$10)+'Inputs'!$B$7)^2+('Inputs'!$B$6/2)^2)-(((461-43)*MAX('Inputs'!$B$33,'Inputs'!$B$29+'Inputs'!$B$31+'Inputs'!$B$32,'Inputs'!$B$30+'Inputs'!$B$31+'Inputs'!$B$32)/1000+'Inputs'!$B$21+'Inputs'!$B$9+'Inputs'!$B$10))/SQRT((((461-43)*MAX('Inputs'!$B$33,'Inputs'!$B$29+'Inputs'!$B$31+'Inputs'!$B$32,'Inputs'!$B$30+'Inputs'!$B$31+'Inputs'!$B$32)/1000+'Inputs'!$B$21+'Inputs'!$B$9+'Inputs'!$B$10))^2+('Inputs'!$B$6/2)^2))))*'Results'!$B$8)+'Inputs'!$B$28*ABS((('Results'!C7*(1+'Inputs'!$B$24)*(0.5*((((461-43)*MAX('Inputs'!$B$33,'Inputs'!$B$29+'Inputs'!$B$31+'Inputs'!$B$32,'Inputs'!$B$30+'Inputs'!$B$31+'Inputs'!$B$32)/1000+'Inputs'!$B$21)+'Inputs'!$B$9)/SQRT((((461-43)*MAX('Inputs'!$B$33,'Inputs'!$B$29+'Inputs'!$B$31+'Inputs'!$B$32,'Inputs'!$B$30+'Inputs'!$B$31+'Inputs'!$B$32)/1000+'Inputs'!$B$21)+'Inputs'!$B$9)^2+('Inputs'!$B$8/2)^2)-(((461-43)*MAX('Inputs'!$B$33,'Inputs'!$B$29+'Inputs'!$B$31+'Inputs'!$B$32,'Inputs'!$B$30+'Inputs'!$B$31+'Inputs'!$B$32)/1000+'Inputs'!$B$21))/SQRT((((461-43)*MAX('Inputs'!$B$33,'Inputs'!$B$29+'Inputs'!$B$31+'Inputs'!$B$32,'Inputs'!$B$30+'Inputs'!$B$31+'Inputs'!$B$32)/1000+'Inputs'!$B$21))^2+('Inputs'!$B$8/2)^2)))-'Results'!B7*(1-'Inputs'!$B$24)*(0.5*((((461-43)*MAX('Inputs'!$B$33,'Inputs'!$B$29+'Inputs'!$B$31+'Inputs'!$B$32,'Inputs'!$B$30+'Inputs'!$B$31+'Inputs'!$B$32)/1000+'Inputs'!$B$21+'Inputs'!$B$9+'Inputs'!$B$10)+'Inputs'!$B$7)/SQRT((((461-43)*MAX('Inputs'!$B$33,'Inputs'!$B$29+'Inputs'!$B$31+'Inputs'!$B$32,'Inputs'!$B$30+'Inputs'!$B$31+'Inputs'!$B$32)/1000+'Inputs'!$B$21+'Inputs'!$B$9+'Inputs'!$B$10)+'Inputs'!$B$7)^2+('Inputs'!$B$6/2)^2)-(((461-43)*MAX('Inputs'!$B$33,'Inputs'!$B$29+'Inputs'!$B$31+'Inputs'!$B$32,'Inputs'!$B$30+'Inputs'!$B$31+'Inputs'!$B$32)/1000+'Inputs'!$B$21+'Inputs'!$B$9+'Inputs'!$B$10))/SQRT((((461-43)*MAX('Inputs'!$B$33,'Inputs'!$B$29+'Inputs'!$B$31+'Inputs'!$B$32,'Inputs'!$B$30+'Inputs'!$B$31+'Inputs'!$B$32)/1000+'Inputs'!$B$21+'Inputs'!$B$9+'Inputs'!$B$10))^2+('Inputs'!$B$6/2)^2))))*'Results'!$B$8))),"")</x:f>
        <x:v>8.020340568593156</x:v>
      </x:c>
      <x:c r="P461" t="n">
        <x:f>IF(AND(MAX(J461,J460)&gt;0,J461&gt;J460+0.00000001),1,0)</x:f>
        <x:v>0</x:v>
      </x:c>
      <x:c r="Q461" t="n">
        <x:f>IF(AND(MAX(K461,K460)&gt;0,K461&gt;K460+0.00000001),1,0)</x:f>
        <x:v>0</x:v>
      </x:c>
      <x:c r="R461" t="n">
        <x:f>IF(AND(MAX(L461,L460)&gt;0,L461&gt;L460+0.00000001),1,0)</x:f>
        <x:v>0</x:v>
      </x:c>
      <x:c r="S461" t="n">
        <x:f>IF(AND(MAX(M461,M460)&gt;0,M461&gt;M460+0.00000001),1,0)</x:f>
        <x:v>0</x:v>
      </x:c>
      <x:c r="T461" t="n">
        <x:f>IF(AND(MAX(N461,N460)&gt;0,N461&gt;N460+0.00000001),1,0)</x:f>
        <x:v>0</x:v>
      </x:c>
      <x:c r="U461" t="n">
        <x:f>IF(AND(MAX(O461,O460)&gt;0,O461&gt;O460+0.00000001),1,0)</x:f>
        <x:v>0</x:v>
      </x:c>
    </x:row>
    <x:row r="462">
      <x:c r="J462" t="n">
        <x:f>IF(AND(ISNUMBER('Results'!B7),ISNUMBER('Results'!C7),ISNUMBER('Results'!$B$8),ISNUMBER('Inputs'!$B$6),ISNUMBER('Inputs'!$B$7),ISNUMBER('Inputs'!$B$8),ISNUMBER('Inputs'!$B$9),ISNUMBER('Inputs'!$B$10),ISNUMBER('Inputs'!$B$21),ISNUMBER('Inputs'!$B$24),ISNUMBER('Inputs'!$B$28)),(('Results'!B7*(0.5*((((462-43)*MAX('Inputs'!$B$33,'Inputs'!$B$29+'Inputs'!$B$31+'Inputs'!$B$32,'Inputs'!$B$30+'Inputs'!$B$31+'Inputs'!$B$32)/1000+'Inputs'!$B$21)+'Inputs'!$B$7)/SQRT((((462-43)*MAX('Inputs'!$B$33,'Inputs'!$B$29+'Inputs'!$B$31+'Inputs'!$B$32,'Inputs'!$B$30+'Inputs'!$B$31+'Inputs'!$B$32)/1000+'Inputs'!$B$21)+'Inputs'!$B$7)^2+('Inputs'!$B$6/2)^2)-(((462-43)*MAX('Inputs'!$B$33,'Inputs'!$B$29+'Inputs'!$B$31+'Inputs'!$B$32,'Inputs'!$B$30+'Inputs'!$B$31+'Inputs'!$B$32)/1000+'Inputs'!$B$21))/SQRT((((462-43)*MAX('Inputs'!$B$33,'Inputs'!$B$29+'Inputs'!$B$31+'Inputs'!$B$32,'Inputs'!$B$30+'Inputs'!$B$31+'Inputs'!$B$32)/1000+'Inputs'!$B$21))^2+('Inputs'!$B$6/2)^2)))-'Results'!C7*(0.5*((((462-43)*MAX('Inputs'!$B$33,'Inputs'!$B$29+'Inputs'!$B$31+'Inputs'!$B$32,'Inputs'!$B$30+'Inputs'!$B$31+'Inputs'!$B$32)/1000+'Inputs'!$B$21+'Inputs'!$B$7+'Inputs'!$B$10)+'Inputs'!$B$9)/SQRT((((462-43)*MAX('Inputs'!$B$33,'Inputs'!$B$29+'Inputs'!$B$31+'Inputs'!$B$32,'Inputs'!$B$30+'Inputs'!$B$31+'Inputs'!$B$32)/1000+'Inputs'!$B$21+'Inputs'!$B$7+'Inputs'!$B$10)+'Inputs'!$B$9)^2+('Inputs'!$B$8/2)^2)-(((462-43)*MAX('Inputs'!$B$33,'Inputs'!$B$29+'Inputs'!$B$31+'Inputs'!$B$32,'Inputs'!$B$30+'Inputs'!$B$31+'Inputs'!$B$32)/1000+'Inputs'!$B$21+'Inputs'!$B$7+'Inputs'!$B$10))/SQRT((((462-43)*MAX('Inputs'!$B$33,'Inputs'!$B$29+'Inputs'!$B$31+'Inputs'!$B$32,'Inputs'!$B$30+'Inputs'!$B$31+'Inputs'!$B$32)/1000+'Inputs'!$B$21+'Inputs'!$B$7+'Inputs'!$B$10))^2+('Inputs'!$B$8/2)^2))))*'Results'!$B$8),"")</x:f>
        <x:v>7.5840151059399465</x:v>
      </x:c>
      <x:c r="K462" t="n">
        <x:f>IF(AND(ISNUMBER('Results'!B7),ISNUMBER('Results'!C7),ISNUMBER('Results'!$B$8),ISNUMBER('Inputs'!$B$6),ISNUMBER('Inputs'!$B$7),ISNUMBER('Inputs'!$B$8),ISNUMBER('Inputs'!$B$9),ISNUMBER('Inputs'!$B$10),ISNUMBER('Inputs'!$B$21),ISNUMBER('Inputs'!$B$24),ISNUMBER('Inputs'!$B$28)),((('Results'!B7*(1-'Inputs'!$B$24)*(0.5*((((462-43)*MAX('Inputs'!$B$33,'Inputs'!$B$29+'Inputs'!$B$31+'Inputs'!$B$32,'Inputs'!$B$30+'Inputs'!$B$31+'Inputs'!$B$32)/1000+'Inputs'!$B$21)+'Inputs'!$B$7)/SQRT((((462-43)*MAX('Inputs'!$B$33,'Inputs'!$B$29+'Inputs'!$B$31+'Inputs'!$B$32,'Inputs'!$B$30+'Inputs'!$B$31+'Inputs'!$B$32)/1000+'Inputs'!$B$21)+'Inputs'!$B$7)^2+('Inputs'!$B$6/2)^2)-(((462-43)*MAX('Inputs'!$B$33,'Inputs'!$B$29+'Inputs'!$B$31+'Inputs'!$B$32,'Inputs'!$B$30+'Inputs'!$B$31+'Inputs'!$B$32)/1000+'Inputs'!$B$21))/SQRT((((462-43)*MAX('Inputs'!$B$33,'Inputs'!$B$29+'Inputs'!$B$31+'Inputs'!$B$32,'Inputs'!$B$30+'Inputs'!$B$31+'Inputs'!$B$32)/1000+'Inputs'!$B$21))^2+('Inputs'!$B$6/2)^2)))-'Results'!C7*(1+'Inputs'!$B$24)*(0.5*((((462-43)*MAX('Inputs'!$B$33,'Inputs'!$B$29+'Inputs'!$B$31+'Inputs'!$B$32,'Inputs'!$B$30+'Inputs'!$B$31+'Inputs'!$B$32)/1000+'Inputs'!$B$21+'Inputs'!$B$7+'Inputs'!$B$10)+'Inputs'!$B$9)/SQRT((((462-43)*MAX('Inputs'!$B$33,'Inputs'!$B$29+'Inputs'!$B$31+'Inputs'!$B$32,'Inputs'!$B$30+'Inputs'!$B$31+'Inputs'!$B$32)/1000+'Inputs'!$B$21+'Inputs'!$B$7+'Inputs'!$B$10)+'Inputs'!$B$9)^2+('Inputs'!$B$8/2)^2)-(((462-43)*MAX('Inputs'!$B$33,'Inputs'!$B$29+'Inputs'!$B$31+'Inputs'!$B$32,'Inputs'!$B$30+'Inputs'!$B$31+'Inputs'!$B$32)/1000+'Inputs'!$B$21+'Inputs'!$B$7+'Inputs'!$B$10))/SQRT((((462-43)*MAX('Inputs'!$B$33,'Inputs'!$B$29+'Inputs'!$B$31+'Inputs'!$B$32,'Inputs'!$B$30+'Inputs'!$B$31+'Inputs'!$B$32)/1000+'Inputs'!$B$21+'Inputs'!$B$7+'Inputs'!$B$10))^2+('Inputs'!$B$8/2)^2))))*'Results'!$B$8)-'Inputs'!$B$28*ABS((('Results'!B7*(1-'Inputs'!$B$24)*(0.5*((((462-43)*MAX('Inputs'!$B$33,'Inputs'!$B$29+'Inputs'!$B$31+'Inputs'!$B$32,'Inputs'!$B$30+'Inputs'!$B$31+'Inputs'!$B$32)/1000+'Inputs'!$B$21)+'Inputs'!$B$7)/SQRT((((462-43)*MAX('Inputs'!$B$33,'Inputs'!$B$29+'Inputs'!$B$31+'Inputs'!$B$32,'Inputs'!$B$30+'Inputs'!$B$31+'Inputs'!$B$32)/1000+'Inputs'!$B$21)+'Inputs'!$B$7)^2+('Inputs'!$B$6/2)^2)-(((462-43)*MAX('Inputs'!$B$33,'Inputs'!$B$29+'Inputs'!$B$31+'Inputs'!$B$32,'Inputs'!$B$30+'Inputs'!$B$31+'Inputs'!$B$32)/1000+'Inputs'!$B$21))/SQRT((((462-43)*MAX('Inputs'!$B$33,'Inputs'!$B$29+'Inputs'!$B$31+'Inputs'!$B$32,'Inputs'!$B$30+'Inputs'!$B$31+'Inputs'!$B$32)/1000+'Inputs'!$B$21))^2+('Inputs'!$B$6/2)^2)))-'Results'!C7*(1+'Inputs'!$B$24)*(0.5*((((462-43)*MAX('Inputs'!$B$33,'Inputs'!$B$29+'Inputs'!$B$31+'Inputs'!$B$32,'Inputs'!$B$30+'Inputs'!$B$31+'Inputs'!$B$32)/1000+'Inputs'!$B$21+'Inputs'!$B$7+'Inputs'!$B$10)+'Inputs'!$B$9)/SQRT((((462-43)*MAX('Inputs'!$B$33,'Inputs'!$B$29+'Inputs'!$B$31+'Inputs'!$B$32,'Inputs'!$B$30+'Inputs'!$B$31+'Inputs'!$B$32)/1000+'Inputs'!$B$21+'Inputs'!$B$7+'Inputs'!$B$10)+'Inputs'!$B$9)^2+('Inputs'!$B$8/2)^2)-(((462-43)*MAX('Inputs'!$B$33,'Inputs'!$B$29+'Inputs'!$B$31+'Inputs'!$B$32,'Inputs'!$B$30+'Inputs'!$B$31+'Inputs'!$B$32)/1000+'Inputs'!$B$21+'Inputs'!$B$7+'Inputs'!$B$10))/SQRT((((462-43)*MAX('Inputs'!$B$33,'Inputs'!$B$29+'Inputs'!$B$31+'Inputs'!$B$32,'Inputs'!$B$30+'Inputs'!$B$31+'Inputs'!$B$32)/1000+'Inputs'!$B$21+'Inputs'!$B$7+'Inputs'!$B$10))^2+('Inputs'!$B$8/2)^2))))*'Results'!$B$8))),"")</x:f>
        <x:v>6.776616480274043</x:v>
      </x:c>
      <x:c r="L462" t="n">
        <x:f>IF(AND(ISNUMBER('Results'!B7),ISNUMBER('Results'!C7),ISNUMBER('Results'!$B$8),ISNUMBER('Inputs'!$B$6),ISNUMBER('Inputs'!$B$7),ISNUMBER('Inputs'!$B$8),ISNUMBER('Inputs'!$B$9),ISNUMBER('Inputs'!$B$10),ISNUMBER('Inputs'!$B$21),ISNUMBER('Inputs'!$B$24),ISNUMBER('Inputs'!$B$28)),((('Results'!B7*(1+'Inputs'!$B$24)*(0.5*((((462-43)*MAX('Inputs'!$B$33,'Inputs'!$B$29+'Inputs'!$B$31+'Inputs'!$B$32,'Inputs'!$B$30+'Inputs'!$B$31+'Inputs'!$B$32)/1000+'Inputs'!$B$21)+'Inputs'!$B$7)/SQRT((((462-43)*MAX('Inputs'!$B$33,'Inputs'!$B$29+'Inputs'!$B$31+'Inputs'!$B$32,'Inputs'!$B$30+'Inputs'!$B$31+'Inputs'!$B$32)/1000+'Inputs'!$B$21)+'Inputs'!$B$7)^2+('Inputs'!$B$6/2)^2)-(((462-43)*MAX('Inputs'!$B$33,'Inputs'!$B$29+'Inputs'!$B$31+'Inputs'!$B$32,'Inputs'!$B$30+'Inputs'!$B$31+'Inputs'!$B$32)/1000+'Inputs'!$B$21))/SQRT((((462-43)*MAX('Inputs'!$B$33,'Inputs'!$B$29+'Inputs'!$B$31+'Inputs'!$B$32,'Inputs'!$B$30+'Inputs'!$B$31+'Inputs'!$B$32)/1000+'Inputs'!$B$21))^2+('Inputs'!$B$6/2)^2)))-'Results'!C7*(1-'Inputs'!$B$24)*(0.5*((((462-43)*MAX('Inputs'!$B$33,'Inputs'!$B$29+'Inputs'!$B$31+'Inputs'!$B$32,'Inputs'!$B$30+'Inputs'!$B$31+'Inputs'!$B$32)/1000+'Inputs'!$B$21+'Inputs'!$B$7+'Inputs'!$B$10)+'Inputs'!$B$9)/SQRT((((462-43)*MAX('Inputs'!$B$33,'Inputs'!$B$29+'Inputs'!$B$31+'Inputs'!$B$32,'Inputs'!$B$30+'Inputs'!$B$31+'Inputs'!$B$32)/1000+'Inputs'!$B$21+'Inputs'!$B$7+'Inputs'!$B$10)+'Inputs'!$B$9)^2+('Inputs'!$B$8/2)^2)-(((462-43)*MAX('Inputs'!$B$33,'Inputs'!$B$29+'Inputs'!$B$31+'Inputs'!$B$32,'Inputs'!$B$30+'Inputs'!$B$31+'Inputs'!$B$32)/1000+'Inputs'!$B$21+'Inputs'!$B$7+'Inputs'!$B$10))/SQRT((((462-43)*MAX('Inputs'!$B$33,'Inputs'!$B$29+'Inputs'!$B$31+'Inputs'!$B$32,'Inputs'!$B$30+'Inputs'!$B$31+'Inputs'!$B$32)/1000+'Inputs'!$B$21+'Inputs'!$B$7+'Inputs'!$B$10))^2+('Inputs'!$B$8/2)^2))))*'Results'!$B$8)+'Inputs'!$B$28*ABS((('Results'!B7*(1+'Inputs'!$B$24)*(0.5*((((462-43)*MAX('Inputs'!$B$33,'Inputs'!$B$29+'Inputs'!$B$31+'Inputs'!$B$32,'Inputs'!$B$30+'Inputs'!$B$31+'Inputs'!$B$32)/1000+'Inputs'!$B$21)+'Inputs'!$B$7)/SQRT((((462-43)*MAX('Inputs'!$B$33,'Inputs'!$B$29+'Inputs'!$B$31+'Inputs'!$B$32,'Inputs'!$B$30+'Inputs'!$B$31+'Inputs'!$B$32)/1000+'Inputs'!$B$21)+'Inputs'!$B$7)^2+('Inputs'!$B$6/2)^2)-(((462-43)*MAX('Inputs'!$B$33,'Inputs'!$B$29+'Inputs'!$B$31+'Inputs'!$B$32,'Inputs'!$B$30+'Inputs'!$B$31+'Inputs'!$B$32)/1000+'Inputs'!$B$21))/SQRT((((462-43)*MAX('Inputs'!$B$33,'Inputs'!$B$29+'Inputs'!$B$31+'Inputs'!$B$32,'Inputs'!$B$30+'Inputs'!$B$31+'Inputs'!$B$32)/1000+'Inputs'!$B$21))^2+('Inputs'!$B$6/2)^2)))-'Results'!C7*(1-'Inputs'!$B$24)*(0.5*((((462-43)*MAX('Inputs'!$B$33,'Inputs'!$B$29+'Inputs'!$B$31+'Inputs'!$B$32,'Inputs'!$B$30+'Inputs'!$B$31+'Inputs'!$B$32)/1000+'Inputs'!$B$21+'Inputs'!$B$7+'Inputs'!$B$10)+'Inputs'!$B$9)/SQRT((((462-43)*MAX('Inputs'!$B$33,'Inputs'!$B$29+'Inputs'!$B$31+'Inputs'!$B$32,'Inputs'!$B$30+'Inputs'!$B$31+'Inputs'!$B$32)/1000+'Inputs'!$B$21+'Inputs'!$B$7+'Inputs'!$B$10)+'Inputs'!$B$9)^2+('Inputs'!$B$8/2)^2)-(((462-43)*MAX('Inputs'!$B$33,'Inputs'!$B$29+'Inputs'!$B$31+'Inputs'!$B$32,'Inputs'!$B$30+'Inputs'!$B$31+'Inputs'!$B$32)/1000+'Inputs'!$B$21+'Inputs'!$B$7+'Inputs'!$B$10))/SQRT((((462-43)*MAX('Inputs'!$B$33,'Inputs'!$B$29+'Inputs'!$B$31+'Inputs'!$B$32,'Inputs'!$B$30+'Inputs'!$B$31+'Inputs'!$B$32)/1000+'Inputs'!$B$21+'Inputs'!$B$7+'Inputs'!$B$10))^2+('Inputs'!$B$8/2)^2))))*'Results'!$B$8))),"")</x:f>
        <x:v>8.43648719164468</x:v>
      </x:c>
      <x:c r="M462" t="n">
        <x:f>IF(AND(ISNUMBER('Results'!C7),ISNUMBER('Results'!B7),ISNUMBER('Results'!$B$8),ISNUMBER('Inputs'!$B$6),ISNUMBER('Inputs'!$B$7),ISNUMBER('Inputs'!$B$8),ISNUMBER('Inputs'!$B$9),ISNUMBER('Inputs'!$B$10),ISNUMBER('Inputs'!$B$21),ISNUMBER('Inputs'!$B$24),ISNUMBER('Inputs'!$B$28)),(('Results'!C7*(0.5*((((462-43)*MAX('Inputs'!$B$33,'Inputs'!$B$29+'Inputs'!$B$31+'Inputs'!$B$32,'Inputs'!$B$30+'Inputs'!$B$31+'Inputs'!$B$32)/1000+'Inputs'!$B$21)+'Inputs'!$B$9)/SQRT((((462-43)*MAX('Inputs'!$B$33,'Inputs'!$B$29+'Inputs'!$B$31+'Inputs'!$B$32,'Inputs'!$B$30+'Inputs'!$B$31+'Inputs'!$B$32)/1000+'Inputs'!$B$21)+'Inputs'!$B$9)^2+('Inputs'!$B$8/2)^2)-(((462-43)*MAX('Inputs'!$B$33,'Inputs'!$B$29+'Inputs'!$B$31+'Inputs'!$B$32,'Inputs'!$B$30+'Inputs'!$B$31+'Inputs'!$B$32)/1000+'Inputs'!$B$21))/SQRT((((462-43)*MAX('Inputs'!$B$33,'Inputs'!$B$29+'Inputs'!$B$31+'Inputs'!$B$32,'Inputs'!$B$30+'Inputs'!$B$31+'Inputs'!$B$32)/1000+'Inputs'!$B$21))^2+('Inputs'!$B$8/2)^2)))-'Results'!B7*(0.5*((((462-43)*MAX('Inputs'!$B$33,'Inputs'!$B$29+'Inputs'!$B$31+'Inputs'!$B$32,'Inputs'!$B$30+'Inputs'!$B$31+'Inputs'!$B$32)/1000+'Inputs'!$B$21+'Inputs'!$B$9+'Inputs'!$B$10)+'Inputs'!$B$7)/SQRT((((462-43)*MAX('Inputs'!$B$33,'Inputs'!$B$29+'Inputs'!$B$31+'Inputs'!$B$32,'Inputs'!$B$30+'Inputs'!$B$31+'Inputs'!$B$32)/1000+'Inputs'!$B$21+'Inputs'!$B$9+'Inputs'!$B$10)+'Inputs'!$B$7)^2+('Inputs'!$B$6/2)^2)-(((462-43)*MAX('Inputs'!$B$33,'Inputs'!$B$29+'Inputs'!$B$31+'Inputs'!$B$32,'Inputs'!$B$30+'Inputs'!$B$31+'Inputs'!$B$32)/1000+'Inputs'!$B$21+'Inputs'!$B$9+'Inputs'!$B$10))/SQRT((((462-43)*MAX('Inputs'!$B$33,'Inputs'!$B$29+'Inputs'!$B$31+'Inputs'!$B$32,'Inputs'!$B$30+'Inputs'!$B$31+'Inputs'!$B$32)/1000+'Inputs'!$B$21+'Inputs'!$B$9+'Inputs'!$B$10))^2+('Inputs'!$B$6/2)^2))))*'Results'!$B$8),"")</x:f>
        <x:v>7.130228931079486</x:v>
      </x:c>
      <x:c r="N462" t="n">
        <x:f>IF(AND(ISNUMBER('Results'!C7),ISNUMBER('Results'!B7),ISNUMBER('Results'!$B$8),ISNUMBER('Inputs'!$B$6),ISNUMBER('Inputs'!$B$7),ISNUMBER('Inputs'!$B$8),ISNUMBER('Inputs'!$B$9),ISNUMBER('Inputs'!$B$10),ISNUMBER('Inputs'!$B$21),ISNUMBER('Inputs'!$B$24),ISNUMBER('Inputs'!$B$28)),((('Results'!C7*(1-'Inputs'!$B$24)*(0.5*((((462-43)*MAX('Inputs'!$B$33,'Inputs'!$B$29+'Inputs'!$B$31+'Inputs'!$B$32,'Inputs'!$B$30+'Inputs'!$B$31+'Inputs'!$B$32)/1000+'Inputs'!$B$21)+'Inputs'!$B$9)/SQRT((((462-43)*MAX('Inputs'!$B$33,'Inputs'!$B$29+'Inputs'!$B$31+'Inputs'!$B$32,'Inputs'!$B$30+'Inputs'!$B$31+'Inputs'!$B$32)/1000+'Inputs'!$B$21)+'Inputs'!$B$9)^2+('Inputs'!$B$8/2)^2)-(((462-43)*MAX('Inputs'!$B$33,'Inputs'!$B$29+'Inputs'!$B$31+'Inputs'!$B$32,'Inputs'!$B$30+'Inputs'!$B$31+'Inputs'!$B$32)/1000+'Inputs'!$B$21))/SQRT((((462-43)*MAX('Inputs'!$B$33,'Inputs'!$B$29+'Inputs'!$B$31+'Inputs'!$B$32,'Inputs'!$B$30+'Inputs'!$B$31+'Inputs'!$B$32)/1000+'Inputs'!$B$21))^2+('Inputs'!$B$8/2)^2)))-'Results'!B7*(1+'Inputs'!$B$24)*(0.5*((((462-43)*MAX('Inputs'!$B$33,'Inputs'!$B$29+'Inputs'!$B$31+'Inputs'!$B$32,'Inputs'!$B$30+'Inputs'!$B$31+'Inputs'!$B$32)/1000+'Inputs'!$B$21+'Inputs'!$B$9+'Inputs'!$B$10)+'Inputs'!$B$7)/SQRT((((462-43)*MAX('Inputs'!$B$33,'Inputs'!$B$29+'Inputs'!$B$31+'Inputs'!$B$32,'Inputs'!$B$30+'Inputs'!$B$31+'Inputs'!$B$32)/1000+'Inputs'!$B$21+'Inputs'!$B$9+'Inputs'!$B$10)+'Inputs'!$B$7)^2+('Inputs'!$B$6/2)^2)-(((462-43)*MAX('Inputs'!$B$33,'Inputs'!$B$29+'Inputs'!$B$31+'Inputs'!$B$32,'Inputs'!$B$30+'Inputs'!$B$31+'Inputs'!$B$32)/1000+'Inputs'!$B$21+'Inputs'!$B$9+'Inputs'!$B$10))/SQRT((((462-43)*MAX('Inputs'!$B$33,'Inputs'!$B$29+'Inputs'!$B$31+'Inputs'!$B$32,'Inputs'!$B$30+'Inputs'!$B$31+'Inputs'!$B$32)/1000+'Inputs'!$B$21+'Inputs'!$B$9+'Inputs'!$B$10))^2+('Inputs'!$B$6/2)^2))))*'Results'!$B$8)-'Inputs'!$B$28*ABS((('Results'!C7*(1-'Inputs'!$B$24)*(0.5*((((462-43)*MAX('Inputs'!$B$33,'Inputs'!$B$29+'Inputs'!$B$31+'Inputs'!$B$32,'Inputs'!$B$30+'Inputs'!$B$31+'Inputs'!$B$32)/1000+'Inputs'!$B$21)+'Inputs'!$B$9)/SQRT((((462-43)*MAX('Inputs'!$B$33,'Inputs'!$B$29+'Inputs'!$B$31+'Inputs'!$B$32,'Inputs'!$B$30+'Inputs'!$B$31+'Inputs'!$B$32)/1000+'Inputs'!$B$21)+'Inputs'!$B$9)^2+('Inputs'!$B$8/2)^2)-(((462-43)*MAX('Inputs'!$B$33,'Inputs'!$B$29+'Inputs'!$B$31+'Inputs'!$B$32,'Inputs'!$B$30+'Inputs'!$B$31+'Inputs'!$B$32)/1000+'Inputs'!$B$21))/SQRT((((462-43)*MAX('Inputs'!$B$33,'Inputs'!$B$29+'Inputs'!$B$31+'Inputs'!$B$32,'Inputs'!$B$30+'Inputs'!$B$31+'Inputs'!$B$32)/1000+'Inputs'!$B$21))^2+('Inputs'!$B$8/2)^2)))-'Results'!B7*(1+'Inputs'!$B$24)*(0.5*((((462-43)*MAX('Inputs'!$B$33,'Inputs'!$B$29+'Inputs'!$B$31+'Inputs'!$B$32,'Inputs'!$B$30+'Inputs'!$B$31+'Inputs'!$B$32)/1000+'Inputs'!$B$21+'Inputs'!$B$9+'Inputs'!$B$10)+'Inputs'!$B$7)/SQRT((((462-43)*MAX('Inputs'!$B$33,'Inputs'!$B$29+'Inputs'!$B$31+'Inputs'!$B$32,'Inputs'!$B$30+'Inputs'!$B$31+'Inputs'!$B$32)/1000+'Inputs'!$B$21+'Inputs'!$B$9+'Inputs'!$B$10)+'Inputs'!$B$7)^2+('Inputs'!$B$6/2)^2)-(((462-43)*MAX('Inputs'!$B$33,'Inputs'!$B$29+'Inputs'!$B$31+'Inputs'!$B$32,'Inputs'!$B$30+'Inputs'!$B$31+'Inputs'!$B$32)/1000+'Inputs'!$B$21+'Inputs'!$B$9+'Inputs'!$B$10))/SQRT((((462-43)*MAX('Inputs'!$B$33,'Inputs'!$B$29+'Inputs'!$B$31+'Inputs'!$B$32,'Inputs'!$B$30+'Inputs'!$B$31+'Inputs'!$B$32)/1000+'Inputs'!$B$21+'Inputs'!$B$9+'Inputs'!$B$10))^2+('Inputs'!$B$6/2)^2))))*'Results'!$B$8))),"")</x:f>
        <x:v>6.348343559981894</x:v>
      </x:c>
      <x:c r="O462" t="n">
        <x:f>IF(AND(ISNUMBER('Results'!C7),ISNUMBER('Results'!B7),ISNUMBER('Results'!$B$8),ISNUMBER('Inputs'!$B$6),ISNUMBER('Inputs'!$B$7),ISNUMBER('Inputs'!$B$8),ISNUMBER('Inputs'!$B$9),ISNUMBER('Inputs'!$B$10),ISNUMBER('Inputs'!$B$21),ISNUMBER('Inputs'!$B$24),ISNUMBER('Inputs'!$B$28)),((('Results'!C7*(1+'Inputs'!$B$24)*(0.5*((((462-43)*MAX('Inputs'!$B$33,'Inputs'!$B$29+'Inputs'!$B$31+'Inputs'!$B$32,'Inputs'!$B$30+'Inputs'!$B$31+'Inputs'!$B$32)/1000+'Inputs'!$B$21)+'Inputs'!$B$9)/SQRT((((462-43)*MAX('Inputs'!$B$33,'Inputs'!$B$29+'Inputs'!$B$31+'Inputs'!$B$32,'Inputs'!$B$30+'Inputs'!$B$31+'Inputs'!$B$32)/1000+'Inputs'!$B$21)+'Inputs'!$B$9)^2+('Inputs'!$B$8/2)^2)-(((462-43)*MAX('Inputs'!$B$33,'Inputs'!$B$29+'Inputs'!$B$31+'Inputs'!$B$32,'Inputs'!$B$30+'Inputs'!$B$31+'Inputs'!$B$32)/1000+'Inputs'!$B$21))/SQRT((((462-43)*MAX('Inputs'!$B$33,'Inputs'!$B$29+'Inputs'!$B$31+'Inputs'!$B$32,'Inputs'!$B$30+'Inputs'!$B$31+'Inputs'!$B$32)/1000+'Inputs'!$B$21))^2+('Inputs'!$B$8/2)^2)))-'Results'!B7*(1-'Inputs'!$B$24)*(0.5*((((462-43)*MAX('Inputs'!$B$33,'Inputs'!$B$29+'Inputs'!$B$31+'Inputs'!$B$32,'Inputs'!$B$30+'Inputs'!$B$31+'Inputs'!$B$32)/1000+'Inputs'!$B$21+'Inputs'!$B$9+'Inputs'!$B$10)+'Inputs'!$B$7)/SQRT((((462-43)*MAX('Inputs'!$B$33,'Inputs'!$B$29+'Inputs'!$B$31+'Inputs'!$B$32,'Inputs'!$B$30+'Inputs'!$B$31+'Inputs'!$B$32)/1000+'Inputs'!$B$21+'Inputs'!$B$9+'Inputs'!$B$10)+'Inputs'!$B$7)^2+('Inputs'!$B$6/2)^2)-(((462-43)*MAX('Inputs'!$B$33,'Inputs'!$B$29+'Inputs'!$B$31+'Inputs'!$B$32,'Inputs'!$B$30+'Inputs'!$B$31+'Inputs'!$B$32)/1000+'Inputs'!$B$21+'Inputs'!$B$9+'Inputs'!$B$10))/SQRT((((462-43)*MAX('Inputs'!$B$33,'Inputs'!$B$29+'Inputs'!$B$31+'Inputs'!$B$32,'Inputs'!$B$30+'Inputs'!$B$31+'Inputs'!$B$32)/1000+'Inputs'!$B$21+'Inputs'!$B$9+'Inputs'!$B$10))^2+('Inputs'!$B$6/2)^2))))*'Results'!$B$8)+'Inputs'!$B$28*ABS((('Results'!C7*(1+'Inputs'!$B$24)*(0.5*((((462-43)*MAX('Inputs'!$B$33,'Inputs'!$B$29+'Inputs'!$B$31+'Inputs'!$B$32,'Inputs'!$B$30+'Inputs'!$B$31+'Inputs'!$B$32)/1000+'Inputs'!$B$21)+'Inputs'!$B$9)/SQRT((((462-43)*MAX('Inputs'!$B$33,'Inputs'!$B$29+'Inputs'!$B$31+'Inputs'!$B$32,'Inputs'!$B$30+'Inputs'!$B$31+'Inputs'!$B$32)/1000+'Inputs'!$B$21)+'Inputs'!$B$9)^2+('Inputs'!$B$8/2)^2)-(((462-43)*MAX('Inputs'!$B$33,'Inputs'!$B$29+'Inputs'!$B$31+'Inputs'!$B$32,'Inputs'!$B$30+'Inputs'!$B$31+'Inputs'!$B$32)/1000+'Inputs'!$B$21))/SQRT((((462-43)*MAX('Inputs'!$B$33,'Inputs'!$B$29+'Inputs'!$B$31+'Inputs'!$B$32,'Inputs'!$B$30+'Inputs'!$B$31+'Inputs'!$B$32)/1000+'Inputs'!$B$21))^2+('Inputs'!$B$8/2)^2)))-'Results'!B7*(1-'Inputs'!$B$24)*(0.5*((((462-43)*MAX('Inputs'!$B$33,'Inputs'!$B$29+'Inputs'!$B$31+'Inputs'!$B$32,'Inputs'!$B$30+'Inputs'!$B$31+'Inputs'!$B$32)/1000+'Inputs'!$B$21+'Inputs'!$B$9+'Inputs'!$B$10)+'Inputs'!$B$7)/SQRT((((462-43)*MAX('Inputs'!$B$33,'Inputs'!$B$29+'Inputs'!$B$31+'Inputs'!$B$32,'Inputs'!$B$30+'Inputs'!$B$31+'Inputs'!$B$32)/1000+'Inputs'!$B$21+'Inputs'!$B$9+'Inputs'!$B$10)+'Inputs'!$B$7)^2+('Inputs'!$B$6/2)^2)-(((462-43)*MAX('Inputs'!$B$33,'Inputs'!$B$29+'Inputs'!$B$31+'Inputs'!$B$32,'Inputs'!$B$30+'Inputs'!$B$31+'Inputs'!$B$32)/1000+'Inputs'!$B$21+'Inputs'!$B$9+'Inputs'!$B$10))/SQRT((((462-43)*MAX('Inputs'!$B$33,'Inputs'!$B$29+'Inputs'!$B$31+'Inputs'!$B$32,'Inputs'!$B$30+'Inputs'!$B$31+'Inputs'!$B$32)/1000+'Inputs'!$B$21+'Inputs'!$B$9+'Inputs'!$B$10))^2+('Inputs'!$B$6/2)^2))))*'Results'!$B$8))),"")</x:f>
        <x:v>7.95689050476062</x:v>
      </x:c>
      <x:c r="P462" t="n">
        <x:f>IF(AND(MAX(J462,J461)&gt;0,J462&gt;J461+0.00000001),1,0)</x:f>
        <x:v>0</x:v>
      </x:c>
      <x:c r="Q462" t="n">
        <x:f>IF(AND(MAX(K462,K461)&gt;0,K462&gt;K461+0.00000001),1,0)</x:f>
        <x:v>0</x:v>
      </x:c>
      <x:c r="R462" t="n">
        <x:f>IF(AND(MAX(L462,L461)&gt;0,L462&gt;L461+0.00000001),1,0)</x:f>
        <x:v>0</x:v>
      </x:c>
      <x:c r="S462" t="n">
        <x:f>IF(AND(MAX(M462,M461)&gt;0,M462&gt;M461+0.00000001),1,0)</x:f>
        <x:v>0</x:v>
      </x:c>
      <x:c r="T462" t="n">
        <x:f>IF(AND(MAX(N462,N461)&gt;0,N462&gt;N461+0.00000001),1,0)</x:f>
        <x:v>0</x:v>
      </x:c>
      <x:c r="U462" t="n">
        <x:f>IF(AND(MAX(O462,O461)&gt;0,O462&gt;O461+0.00000001),1,0)</x:f>
        <x:v>0</x:v>
      </x:c>
    </x:row>
    <x:row r="463">
      <x:c r="J463" t="n">
        <x:f>IF(AND(ISNUMBER('Results'!B7),ISNUMBER('Results'!C7),ISNUMBER('Results'!$B$8),ISNUMBER('Inputs'!$B$6),ISNUMBER('Inputs'!$B$7),ISNUMBER('Inputs'!$B$8),ISNUMBER('Inputs'!$B$9),ISNUMBER('Inputs'!$B$10),ISNUMBER('Inputs'!$B$21),ISNUMBER('Inputs'!$B$24),ISNUMBER('Inputs'!$B$28)),(('Results'!B7*(0.5*((((463-43)*MAX('Inputs'!$B$33,'Inputs'!$B$29+'Inputs'!$B$31+'Inputs'!$B$32,'Inputs'!$B$30+'Inputs'!$B$31+'Inputs'!$B$32)/1000+'Inputs'!$B$21)+'Inputs'!$B$7)/SQRT((((463-43)*MAX('Inputs'!$B$33,'Inputs'!$B$29+'Inputs'!$B$31+'Inputs'!$B$32,'Inputs'!$B$30+'Inputs'!$B$31+'Inputs'!$B$32)/1000+'Inputs'!$B$21)+'Inputs'!$B$7)^2+('Inputs'!$B$6/2)^2)-(((463-43)*MAX('Inputs'!$B$33,'Inputs'!$B$29+'Inputs'!$B$31+'Inputs'!$B$32,'Inputs'!$B$30+'Inputs'!$B$31+'Inputs'!$B$32)/1000+'Inputs'!$B$21))/SQRT((((463-43)*MAX('Inputs'!$B$33,'Inputs'!$B$29+'Inputs'!$B$31+'Inputs'!$B$32,'Inputs'!$B$30+'Inputs'!$B$31+'Inputs'!$B$32)/1000+'Inputs'!$B$21))^2+('Inputs'!$B$6/2)^2)))-'Results'!C7*(0.5*((((463-43)*MAX('Inputs'!$B$33,'Inputs'!$B$29+'Inputs'!$B$31+'Inputs'!$B$32,'Inputs'!$B$30+'Inputs'!$B$31+'Inputs'!$B$32)/1000+'Inputs'!$B$21+'Inputs'!$B$7+'Inputs'!$B$10)+'Inputs'!$B$9)/SQRT((((463-43)*MAX('Inputs'!$B$33,'Inputs'!$B$29+'Inputs'!$B$31+'Inputs'!$B$32,'Inputs'!$B$30+'Inputs'!$B$31+'Inputs'!$B$32)/1000+'Inputs'!$B$21+'Inputs'!$B$7+'Inputs'!$B$10)+'Inputs'!$B$9)^2+('Inputs'!$B$8/2)^2)-(((463-43)*MAX('Inputs'!$B$33,'Inputs'!$B$29+'Inputs'!$B$31+'Inputs'!$B$32,'Inputs'!$B$30+'Inputs'!$B$31+'Inputs'!$B$32)/1000+'Inputs'!$B$21+'Inputs'!$B$7+'Inputs'!$B$10))/SQRT((((463-43)*MAX('Inputs'!$B$33,'Inputs'!$B$29+'Inputs'!$B$31+'Inputs'!$B$32,'Inputs'!$B$30+'Inputs'!$B$31+'Inputs'!$B$32)/1000+'Inputs'!$B$21+'Inputs'!$B$7+'Inputs'!$B$10))^2+('Inputs'!$B$8/2)^2))))*'Results'!$B$8),"")</x:f>
        <x:v>7.524143075018029</x:v>
      </x:c>
      <x:c r="K463" t="n">
        <x:f>IF(AND(ISNUMBER('Results'!B7),ISNUMBER('Results'!C7),ISNUMBER('Results'!$B$8),ISNUMBER('Inputs'!$B$6),ISNUMBER('Inputs'!$B$7),ISNUMBER('Inputs'!$B$8),ISNUMBER('Inputs'!$B$9),ISNUMBER('Inputs'!$B$10),ISNUMBER('Inputs'!$B$21),ISNUMBER('Inputs'!$B$24),ISNUMBER('Inputs'!$B$28)),((('Results'!B7*(1-'Inputs'!$B$24)*(0.5*((((463-43)*MAX('Inputs'!$B$33,'Inputs'!$B$29+'Inputs'!$B$31+'Inputs'!$B$32,'Inputs'!$B$30+'Inputs'!$B$31+'Inputs'!$B$32)/1000+'Inputs'!$B$21)+'Inputs'!$B$7)/SQRT((((463-43)*MAX('Inputs'!$B$33,'Inputs'!$B$29+'Inputs'!$B$31+'Inputs'!$B$32,'Inputs'!$B$30+'Inputs'!$B$31+'Inputs'!$B$32)/1000+'Inputs'!$B$21)+'Inputs'!$B$7)^2+('Inputs'!$B$6/2)^2)-(((463-43)*MAX('Inputs'!$B$33,'Inputs'!$B$29+'Inputs'!$B$31+'Inputs'!$B$32,'Inputs'!$B$30+'Inputs'!$B$31+'Inputs'!$B$32)/1000+'Inputs'!$B$21))/SQRT((((463-43)*MAX('Inputs'!$B$33,'Inputs'!$B$29+'Inputs'!$B$31+'Inputs'!$B$32,'Inputs'!$B$30+'Inputs'!$B$31+'Inputs'!$B$32)/1000+'Inputs'!$B$21))^2+('Inputs'!$B$6/2)^2)))-'Results'!C7*(1+'Inputs'!$B$24)*(0.5*((((463-43)*MAX('Inputs'!$B$33,'Inputs'!$B$29+'Inputs'!$B$31+'Inputs'!$B$32,'Inputs'!$B$30+'Inputs'!$B$31+'Inputs'!$B$32)/1000+'Inputs'!$B$21+'Inputs'!$B$7+'Inputs'!$B$10)+'Inputs'!$B$9)/SQRT((((463-43)*MAX('Inputs'!$B$33,'Inputs'!$B$29+'Inputs'!$B$31+'Inputs'!$B$32,'Inputs'!$B$30+'Inputs'!$B$31+'Inputs'!$B$32)/1000+'Inputs'!$B$21+'Inputs'!$B$7+'Inputs'!$B$10)+'Inputs'!$B$9)^2+('Inputs'!$B$8/2)^2)-(((463-43)*MAX('Inputs'!$B$33,'Inputs'!$B$29+'Inputs'!$B$31+'Inputs'!$B$32,'Inputs'!$B$30+'Inputs'!$B$31+'Inputs'!$B$32)/1000+'Inputs'!$B$21+'Inputs'!$B$7+'Inputs'!$B$10))/SQRT((((463-43)*MAX('Inputs'!$B$33,'Inputs'!$B$29+'Inputs'!$B$31+'Inputs'!$B$32,'Inputs'!$B$30+'Inputs'!$B$31+'Inputs'!$B$32)/1000+'Inputs'!$B$21+'Inputs'!$B$7+'Inputs'!$B$10))^2+('Inputs'!$B$8/2)^2))))*'Results'!$B$8)-'Inputs'!$B$28*ABS((('Results'!B7*(1-'Inputs'!$B$24)*(0.5*((((463-43)*MAX('Inputs'!$B$33,'Inputs'!$B$29+'Inputs'!$B$31+'Inputs'!$B$32,'Inputs'!$B$30+'Inputs'!$B$31+'Inputs'!$B$32)/1000+'Inputs'!$B$21)+'Inputs'!$B$7)/SQRT((((463-43)*MAX('Inputs'!$B$33,'Inputs'!$B$29+'Inputs'!$B$31+'Inputs'!$B$32,'Inputs'!$B$30+'Inputs'!$B$31+'Inputs'!$B$32)/1000+'Inputs'!$B$21)+'Inputs'!$B$7)^2+('Inputs'!$B$6/2)^2)-(((463-43)*MAX('Inputs'!$B$33,'Inputs'!$B$29+'Inputs'!$B$31+'Inputs'!$B$32,'Inputs'!$B$30+'Inputs'!$B$31+'Inputs'!$B$32)/1000+'Inputs'!$B$21))/SQRT((((463-43)*MAX('Inputs'!$B$33,'Inputs'!$B$29+'Inputs'!$B$31+'Inputs'!$B$32,'Inputs'!$B$30+'Inputs'!$B$31+'Inputs'!$B$32)/1000+'Inputs'!$B$21))^2+('Inputs'!$B$6/2)^2)))-'Results'!C7*(1+'Inputs'!$B$24)*(0.5*((((463-43)*MAX('Inputs'!$B$33,'Inputs'!$B$29+'Inputs'!$B$31+'Inputs'!$B$32,'Inputs'!$B$30+'Inputs'!$B$31+'Inputs'!$B$32)/1000+'Inputs'!$B$21+'Inputs'!$B$7+'Inputs'!$B$10)+'Inputs'!$B$9)/SQRT((((463-43)*MAX('Inputs'!$B$33,'Inputs'!$B$29+'Inputs'!$B$31+'Inputs'!$B$32,'Inputs'!$B$30+'Inputs'!$B$31+'Inputs'!$B$32)/1000+'Inputs'!$B$21+'Inputs'!$B$7+'Inputs'!$B$10)+'Inputs'!$B$9)^2+('Inputs'!$B$8/2)^2)-(((463-43)*MAX('Inputs'!$B$33,'Inputs'!$B$29+'Inputs'!$B$31+'Inputs'!$B$32,'Inputs'!$B$30+'Inputs'!$B$31+'Inputs'!$B$32)/1000+'Inputs'!$B$21+'Inputs'!$B$7+'Inputs'!$B$10))/SQRT((((463-43)*MAX('Inputs'!$B$33,'Inputs'!$B$29+'Inputs'!$B$31+'Inputs'!$B$32,'Inputs'!$B$30+'Inputs'!$B$31+'Inputs'!$B$32)/1000+'Inputs'!$B$21+'Inputs'!$B$7+'Inputs'!$B$10))^2+('Inputs'!$B$8/2)^2))))*'Results'!$B$8))),"")</x:f>
        <x:v>6.722381445575549</x:v>
      </x:c>
      <x:c r="L463" t="n">
        <x:f>IF(AND(ISNUMBER('Results'!B7),ISNUMBER('Results'!C7),ISNUMBER('Results'!$B$8),ISNUMBER('Inputs'!$B$6),ISNUMBER('Inputs'!$B$7),ISNUMBER('Inputs'!$B$8),ISNUMBER('Inputs'!$B$9),ISNUMBER('Inputs'!$B$10),ISNUMBER('Inputs'!$B$21),ISNUMBER('Inputs'!$B$24),ISNUMBER('Inputs'!$B$28)),((('Results'!B7*(1+'Inputs'!$B$24)*(0.5*((((463-43)*MAX('Inputs'!$B$33,'Inputs'!$B$29+'Inputs'!$B$31+'Inputs'!$B$32,'Inputs'!$B$30+'Inputs'!$B$31+'Inputs'!$B$32)/1000+'Inputs'!$B$21)+'Inputs'!$B$7)/SQRT((((463-43)*MAX('Inputs'!$B$33,'Inputs'!$B$29+'Inputs'!$B$31+'Inputs'!$B$32,'Inputs'!$B$30+'Inputs'!$B$31+'Inputs'!$B$32)/1000+'Inputs'!$B$21)+'Inputs'!$B$7)^2+('Inputs'!$B$6/2)^2)-(((463-43)*MAX('Inputs'!$B$33,'Inputs'!$B$29+'Inputs'!$B$31+'Inputs'!$B$32,'Inputs'!$B$30+'Inputs'!$B$31+'Inputs'!$B$32)/1000+'Inputs'!$B$21))/SQRT((((463-43)*MAX('Inputs'!$B$33,'Inputs'!$B$29+'Inputs'!$B$31+'Inputs'!$B$32,'Inputs'!$B$30+'Inputs'!$B$31+'Inputs'!$B$32)/1000+'Inputs'!$B$21))^2+('Inputs'!$B$6/2)^2)))-'Results'!C7*(1-'Inputs'!$B$24)*(0.5*((((463-43)*MAX('Inputs'!$B$33,'Inputs'!$B$29+'Inputs'!$B$31+'Inputs'!$B$32,'Inputs'!$B$30+'Inputs'!$B$31+'Inputs'!$B$32)/1000+'Inputs'!$B$21+'Inputs'!$B$7+'Inputs'!$B$10)+'Inputs'!$B$9)/SQRT((((463-43)*MAX('Inputs'!$B$33,'Inputs'!$B$29+'Inputs'!$B$31+'Inputs'!$B$32,'Inputs'!$B$30+'Inputs'!$B$31+'Inputs'!$B$32)/1000+'Inputs'!$B$21+'Inputs'!$B$7+'Inputs'!$B$10)+'Inputs'!$B$9)^2+('Inputs'!$B$8/2)^2)-(((463-43)*MAX('Inputs'!$B$33,'Inputs'!$B$29+'Inputs'!$B$31+'Inputs'!$B$32,'Inputs'!$B$30+'Inputs'!$B$31+'Inputs'!$B$32)/1000+'Inputs'!$B$21+'Inputs'!$B$7+'Inputs'!$B$10))/SQRT((((463-43)*MAX('Inputs'!$B$33,'Inputs'!$B$29+'Inputs'!$B$31+'Inputs'!$B$32,'Inputs'!$B$30+'Inputs'!$B$31+'Inputs'!$B$32)/1000+'Inputs'!$B$21+'Inputs'!$B$7+'Inputs'!$B$10))^2+('Inputs'!$B$8/2)^2))))*'Results'!$B$8)+'Inputs'!$B$28*ABS((('Results'!B7*(1+'Inputs'!$B$24)*(0.5*((((463-43)*MAX('Inputs'!$B$33,'Inputs'!$B$29+'Inputs'!$B$31+'Inputs'!$B$32,'Inputs'!$B$30+'Inputs'!$B$31+'Inputs'!$B$32)/1000+'Inputs'!$B$21)+'Inputs'!$B$7)/SQRT((((463-43)*MAX('Inputs'!$B$33,'Inputs'!$B$29+'Inputs'!$B$31+'Inputs'!$B$32,'Inputs'!$B$30+'Inputs'!$B$31+'Inputs'!$B$32)/1000+'Inputs'!$B$21)+'Inputs'!$B$7)^2+('Inputs'!$B$6/2)^2)-(((463-43)*MAX('Inputs'!$B$33,'Inputs'!$B$29+'Inputs'!$B$31+'Inputs'!$B$32,'Inputs'!$B$30+'Inputs'!$B$31+'Inputs'!$B$32)/1000+'Inputs'!$B$21))/SQRT((((463-43)*MAX('Inputs'!$B$33,'Inputs'!$B$29+'Inputs'!$B$31+'Inputs'!$B$32,'Inputs'!$B$30+'Inputs'!$B$31+'Inputs'!$B$32)/1000+'Inputs'!$B$21))^2+('Inputs'!$B$6/2)^2)))-'Results'!C7*(1-'Inputs'!$B$24)*(0.5*((((463-43)*MAX('Inputs'!$B$33,'Inputs'!$B$29+'Inputs'!$B$31+'Inputs'!$B$32,'Inputs'!$B$30+'Inputs'!$B$31+'Inputs'!$B$32)/1000+'Inputs'!$B$21+'Inputs'!$B$7+'Inputs'!$B$10)+'Inputs'!$B$9)/SQRT((((463-43)*MAX('Inputs'!$B$33,'Inputs'!$B$29+'Inputs'!$B$31+'Inputs'!$B$32,'Inputs'!$B$30+'Inputs'!$B$31+'Inputs'!$B$32)/1000+'Inputs'!$B$21+'Inputs'!$B$7+'Inputs'!$B$10)+'Inputs'!$B$9)^2+('Inputs'!$B$8/2)^2)-(((463-43)*MAX('Inputs'!$B$33,'Inputs'!$B$29+'Inputs'!$B$31+'Inputs'!$B$32,'Inputs'!$B$30+'Inputs'!$B$31+'Inputs'!$B$32)/1000+'Inputs'!$B$21+'Inputs'!$B$7+'Inputs'!$B$10))/SQRT((((463-43)*MAX('Inputs'!$B$33,'Inputs'!$B$29+'Inputs'!$B$31+'Inputs'!$B$32,'Inputs'!$B$30+'Inputs'!$B$31+'Inputs'!$B$32)/1000+'Inputs'!$B$21+'Inputs'!$B$7+'Inputs'!$B$10))^2+('Inputs'!$B$8/2)^2))))*'Results'!$B$8))),"")</x:f>
        <x:v>8.370699912428044</x:v>
      </x:c>
      <x:c r="M463" t="n">
        <x:f>IF(AND(ISNUMBER('Results'!C7),ISNUMBER('Results'!B7),ISNUMBER('Results'!$B$8),ISNUMBER('Inputs'!$B$6),ISNUMBER('Inputs'!$B$7),ISNUMBER('Inputs'!$B$8),ISNUMBER('Inputs'!$B$9),ISNUMBER('Inputs'!$B$10),ISNUMBER('Inputs'!$B$21),ISNUMBER('Inputs'!$B$24),ISNUMBER('Inputs'!$B$28)),(('Results'!C7*(0.5*((((463-43)*MAX('Inputs'!$B$33,'Inputs'!$B$29+'Inputs'!$B$31+'Inputs'!$B$32,'Inputs'!$B$30+'Inputs'!$B$31+'Inputs'!$B$32)/1000+'Inputs'!$B$21)+'Inputs'!$B$9)/SQRT((((463-43)*MAX('Inputs'!$B$33,'Inputs'!$B$29+'Inputs'!$B$31+'Inputs'!$B$32,'Inputs'!$B$30+'Inputs'!$B$31+'Inputs'!$B$32)/1000+'Inputs'!$B$21)+'Inputs'!$B$9)^2+('Inputs'!$B$8/2)^2)-(((463-43)*MAX('Inputs'!$B$33,'Inputs'!$B$29+'Inputs'!$B$31+'Inputs'!$B$32,'Inputs'!$B$30+'Inputs'!$B$31+'Inputs'!$B$32)/1000+'Inputs'!$B$21))/SQRT((((463-43)*MAX('Inputs'!$B$33,'Inputs'!$B$29+'Inputs'!$B$31+'Inputs'!$B$32,'Inputs'!$B$30+'Inputs'!$B$31+'Inputs'!$B$32)/1000+'Inputs'!$B$21))^2+('Inputs'!$B$8/2)^2)))-'Results'!B7*(0.5*((((463-43)*MAX('Inputs'!$B$33,'Inputs'!$B$29+'Inputs'!$B$31+'Inputs'!$B$32,'Inputs'!$B$30+'Inputs'!$B$31+'Inputs'!$B$32)/1000+'Inputs'!$B$21+'Inputs'!$B$9+'Inputs'!$B$10)+'Inputs'!$B$7)/SQRT((((463-43)*MAX('Inputs'!$B$33,'Inputs'!$B$29+'Inputs'!$B$31+'Inputs'!$B$32,'Inputs'!$B$30+'Inputs'!$B$31+'Inputs'!$B$32)/1000+'Inputs'!$B$21+'Inputs'!$B$9+'Inputs'!$B$10)+'Inputs'!$B$7)^2+('Inputs'!$B$6/2)^2)-(((463-43)*MAX('Inputs'!$B$33,'Inputs'!$B$29+'Inputs'!$B$31+'Inputs'!$B$32,'Inputs'!$B$30+'Inputs'!$B$31+'Inputs'!$B$32)/1000+'Inputs'!$B$21+'Inputs'!$B$9+'Inputs'!$B$10))/SQRT((((463-43)*MAX('Inputs'!$B$33,'Inputs'!$B$29+'Inputs'!$B$31+'Inputs'!$B$32,'Inputs'!$B$30+'Inputs'!$B$31+'Inputs'!$B$32)/1000+'Inputs'!$B$21+'Inputs'!$B$9+'Inputs'!$B$10))^2+('Inputs'!$B$6/2)^2))))*'Results'!$B$8),"")</x:f>
        <x:v>7.073155595157225</x:v>
      </x:c>
      <x:c r="N463" t="n">
        <x:f>IF(AND(ISNUMBER('Results'!C7),ISNUMBER('Results'!B7),ISNUMBER('Results'!$B$8),ISNUMBER('Inputs'!$B$6),ISNUMBER('Inputs'!$B$7),ISNUMBER('Inputs'!$B$8),ISNUMBER('Inputs'!$B$9),ISNUMBER('Inputs'!$B$10),ISNUMBER('Inputs'!$B$21),ISNUMBER('Inputs'!$B$24),ISNUMBER('Inputs'!$B$28)),((('Results'!C7*(1-'Inputs'!$B$24)*(0.5*((((463-43)*MAX('Inputs'!$B$33,'Inputs'!$B$29+'Inputs'!$B$31+'Inputs'!$B$32,'Inputs'!$B$30+'Inputs'!$B$31+'Inputs'!$B$32)/1000+'Inputs'!$B$21)+'Inputs'!$B$9)/SQRT((((463-43)*MAX('Inputs'!$B$33,'Inputs'!$B$29+'Inputs'!$B$31+'Inputs'!$B$32,'Inputs'!$B$30+'Inputs'!$B$31+'Inputs'!$B$32)/1000+'Inputs'!$B$21)+'Inputs'!$B$9)^2+('Inputs'!$B$8/2)^2)-(((463-43)*MAX('Inputs'!$B$33,'Inputs'!$B$29+'Inputs'!$B$31+'Inputs'!$B$32,'Inputs'!$B$30+'Inputs'!$B$31+'Inputs'!$B$32)/1000+'Inputs'!$B$21))/SQRT((((463-43)*MAX('Inputs'!$B$33,'Inputs'!$B$29+'Inputs'!$B$31+'Inputs'!$B$32,'Inputs'!$B$30+'Inputs'!$B$31+'Inputs'!$B$32)/1000+'Inputs'!$B$21))^2+('Inputs'!$B$8/2)^2)))-'Results'!B7*(1+'Inputs'!$B$24)*(0.5*((((463-43)*MAX('Inputs'!$B$33,'Inputs'!$B$29+'Inputs'!$B$31+'Inputs'!$B$32,'Inputs'!$B$30+'Inputs'!$B$31+'Inputs'!$B$32)/1000+'Inputs'!$B$21+'Inputs'!$B$9+'Inputs'!$B$10)+'Inputs'!$B$7)/SQRT((((463-43)*MAX('Inputs'!$B$33,'Inputs'!$B$29+'Inputs'!$B$31+'Inputs'!$B$32,'Inputs'!$B$30+'Inputs'!$B$31+'Inputs'!$B$32)/1000+'Inputs'!$B$21+'Inputs'!$B$9+'Inputs'!$B$10)+'Inputs'!$B$7)^2+('Inputs'!$B$6/2)^2)-(((463-43)*MAX('Inputs'!$B$33,'Inputs'!$B$29+'Inputs'!$B$31+'Inputs'!$B$32,'Inputs'!$B$30+'Inputs'!$B$31+'Inputs'!$B$32)/1000+'Inputs'!$B$21+'Inputs'!$B$9+'Inputs'!$B$10))/SQRT((((463-43)*MAX('Inputs'!$B$33,'Inputs'!$B$29+'Inputs'!$B$31+'Inputs'!$B$32,'Inputs'!$B$30+'Inputs'!$B$31+'Inputs'!$B$32)/1000+'Inputs'!$B$21+'Inputs'!$B$9+'Inputs'!$B$10))^2+('Inputs'!$B$6/2)^2))))*'Results'!$B$8)-'Inputs'!$B$28*ABS((('Results'!C7*(1-'Inputs'!$B$24)*(0.5*((((463-43)*MAX('Inputs'!$B$33,'Inputs'!$B$29+'Inputs'!$B$31+'Inputs'!$B$32,'Inputs'!$B$30+'Inputs'!$B$31+'Inputs'!$B$32)/1000+'Inputs'!$B$21)+'Inputs'!$B$9)/SQRT((((463-43)*MAX('Inputs'!$B$33,'Inputs'!$B$29+'Inputs'!$B$31+'Inputs'!$B$32,'Inputs'!$B$30+'Inputs'!$B$31+'Inputs'!$B$32)/1000+'Inputs'!$B$21)+'Inputs'!$B$9)^2+('Inputs'!$B$8/2)^2)-(((463-43)*MAX('Inputs'!$B$33,'Inputs'!$B$29+'Inputs'!$B$31+'Inputs'!$B$32,'Inputs'!$B$30+'Inputs'!$B$31+'Inputs'!$B$32)/1000+'Inputs'!$B$21))/SQRT((((463-43)*MAX('Inputs'!$B$33,'Inputs'!$B$29+'Inputs'!$B$31+'Inputs'!$B$32,'Inputs'!$B$30+'Inputs'!$B$31+'Inputs'!$B$32)/1000+'Inputs'!$B$21))^2+('Inputs'!$B$8/2)^2)))-'Results'!B7*(1+'Inputs'!$B$24)*(0.5*((((463-43)*MAX('Inputs'!$B$33,'Inputs'!$B$29+'Inputs'!$B$31+'Inputs'!$B$32,'Inputs'!$B$30+'Inputs'!$B$31+'Inputs'!$B$32)/1000+'Inputs'!$B$21+'Inputs'!$B$9+'Inputs'!$B$10)+'Inputs'!$B$7)/SQRT((((463-43)*MAX('Inputs'!$B$33,'Inputs'!$B$29+'Inputs'!$B$31+'Inputs'!$B$32,'Inputs'!$B$30+'Inputs'!$B$31+'Inputs'!$B$32)/1000+'Inputs'!$B$21+'Inputs'!$B$9+'Inputs'!$B$10)+'Inputs'!$B$7)^2+('Inputs'!$B$6/2)^2)-(((463-43)*MAX('Inputs'!$B$33,'Inputs'!$B$29+'Inputs'!$B$31+'Inputs'!$B$32,'Inputs'!$B$30+'Inputs'!$B$31+'Inputs'!$B$32)/1000+'Inputs'!$B$21+'Inputs'!$B$9+'Inputs'!$B$10))/SQRT((((463-43)*MAX('Inputs'!$B$33,'Inputs'!$B$29+'Inputs'!$B$31+'Inputs'!$B$32,'Inputs'!$B$30+'Inputs'!$B$31+'Inputs'!$B$32)/1000+'Inputs'!$B$21+'Inputs'!$B$9+'Inputs'!$B$10))^2+('Inputs'!$B$6/2)^2))))*'Results'!$B$8))),"")</x:f>
        <x:v>6.296744841472767</x:v>
      </x:c>
      <x:c r="O463" t="n">
        <x:f>IF(AND(ISNUMBER('Results'!C7),ISNUMBER('Results'!B7),ISNUMBER('Results'!$B$8),ISNUMBER('Inputs'!$B$6),ISNUMBER('Inputs'!$B$7),ISNUMBER('Inputs'!$B$8),ISNUMBER('Inputs'!$B$9),ISNUMBER('Inputs'!$B$10),ISNUMBER('Inputs'!$B$21),ISNUMBER('Inputs'!$B$24),ISNUMBER('Inputs'!$B$28)),((('Results'!C7*(1+'Inputs'!$B$24)*(0.5*((((463-43)*MAX('Inputs'!$B$33,'Inputs'!$B$29+'Inputs'!$B$31+'Inputs'!$B$32,'Inputs'!$B$30+'Inputs'!$B$31+'Inputs'!$B$32)/1000+'Inputs'!$B$21)+'Inputs'!$B$9)/SQRT((((463-43)*MAX('Inputs'!$B$33,'Inputs'!$B$29+'Inputs'!$B$31+'Inputs'!$B$32,'Inputs'!$B$30+'Inputs'!$B$31+'Inputs'!$B$32)/1000+'Inputs'!$B$21)+'Inputs'!$B$9)^2+('Inputs'!$B$8/2)^2)-(((463-43)*MAX('Inputs'!$B$33,'Inputs'!$B$29+'Inputs'!$B$31+'Inputs'!$B$32,'Inputs'!$B$30+'Inputs'!$B$31+'Inputs'!$B$32)/1000+'Inputs'!$B$21))/SQRT((((463-43)*MAX('Inputs'!$B$33,'Inputs'!$B$29+'Inputs'!$B$31+'Inputs'!$B$32,'Inputs'!$B$30+'Inputs'!$B$31+'Inputs'!$B$32)/1000+'Inputs'!$B$21))^2+('Inputs'!$B$8/2)^2)))-'Results'!B7*(1-'Inputs'!$B$24)*(0.5*((((463-43)*MAX('Inputs'!$B$33,'Inputs'!$B$29+'Inputs'!$B$31+'Inputs'!$B$32,'Inputs'!$B$30+'Inputs'!$B$31+'Inputs'!$B$32)/1000+'Inputs'!$B$21+'Inputs'!$B$9+'Inputs'!$B$10)+'Inputs'!$B$7)/SQRT((((463-43)*MAX('Inputs'!$B$33,'Inputs'!$B$29+'Inputs'!$B$31+'Inputs'!$B$32,'Inputs'!$B$30+'Inputs'!$B$31+'Inputs'!$B$32)/1000+'Inputs'!$B$21+'Inputs'!$B$9+'Inputs'!$B$10)+'Inputs'!$B$7)^2+('Inputs'!$B$6/2)^2)-(((463-43)*MAX('Inputs'!$B$33,'Inputs'!$B$29+'Inputs'!$B$31+'Inputs'!$B$32,'Inputs'!$B$30+'Inputs'!$B$31+'Inputs'!$B$32)/1000+'Inputs'!$B$21+'Inputs'!$B$9+'Inputs'!$B$10))/SQRT((((463-43)*MAX('Inputs'!$B$33,'Inputs'!$B$29+'Inputs'!$B$31+'Inputs'!$B$32,'Inputs'!$B$30+'Inputs'!$B$31+'Inputs'!$B$32)/1000+'Inputs'!$B$21+'Inputs'!$B$9+'Inputs'!$B$10))^2+('Inputs'!$B$6/2)^2))))*'Results'!$B$8)+'Inputs'!$B$28*ABS((('Results'!C7*(1+'Inputs'!$B$24)*(0.5*((((463-43)*MAX('Inputs'!$B$33,'Inputs'!$B$29+'Inputs'!$B$31+'Inputs'!$B$32,'Inputs'!$B$30+'Inputs'!$B$31+'Inputs'!$B$32)/1000+'Inputs'!$B$21)+'Inputs'!$B$9)/SQRT((((463-43)*MAX('Inputs'!$B$33,'Inputs'!$B$29+'Inputs'!$B$31+'Inputs'!$B$32,'Inputs'!$B$30+'Inputs'!$B$31+'Inputs'!$B$32)/1000+'Inputs'!$B$21)+'Inputs'!$B$9)^2+('Inputs'!$B$8/2)^2)-(((463-43)*MAX('Inputs'!$B$33,'Inputs'!$B$29+'Inputs'!$B$31+'Inputs'!$B$32,'Inputs'!$B$30+'Inputs'!$B$31+'Inputs'!$B$32)/1000+'Inputs'!$B$21))/SQRT((((463-43)*MAX('Inputs'!$B$33,'Inputs'!$B$29+'Inputs'!$B$31+'Inputs'!$B$32,'Inputs'!$B$30+'Inputs'!$B$31+'Inputs'!$B$32)/1000+'Inputs'!$B$21))^2+('Inputs'!$B$8/2)^2)))-'Results'!B7*(1-'Inputs'!$B$24)*(0.5*((((463-43)*MAX('Inputs'!$B$33,'Inputs'!$B$29+'Inputs'!$B$31+'Inputs'!$B$32,'Inputs'!$B$30+'Inputs'!$B$31+'Inputs'!$B$32)/1000+'Inputs'!$B$21+'Inputs'!$B$9+'Inputs'!$B$10)+'Inputs'!$B$7)/SQRT((((463-43)*MAX('Inputs'!$B$33,'Inputs'!$B$29+'Inputs'!$B$31+'Inputs'!$B$32,'Inputs'!$B$30+'Inputs'!$B$31+'Inputs'!$B$32)/1000+'Inputs'!$B$21+'Inputs'!$B$9+'Inputs'!$B$10)+'Inputs'!$B$7)^2+('Inputs'!$B$6/2)^2)-(((463-43)*MAX('Inputs'!$B$33,'Inputs'!$B$29+'Inputs'!$B$31+'Inputs'!$B$32,'Inputs'!$B$30+'Inputs'!$B$31+'Inputs'!$B$32)/1000+'Inputs'!$B$21+'Inputs'!$B$9+'Inputs'!$B$10))/SQRT((((463-43)*MAX('Inputs'!$B$33,'Inputs'!$B$29+'Inputs'!$B$31+'Inputs'!$B$32,'Inputs'!$B$30+'Inputs'!$B$31+'Inputs'!$B$32)/1000+'Inputs'!$B$21+'Inputs'!$B$9+'Inputs'!$B$10))^2+('Inputs'!$B$6/2)^2))))*'Results'!$B$8))),"")</x:f>
        <x:v>7.894066661886587</x:v>
      </x:c>
      <x:c r="P463" t="n">
        <x:f>IF(AND(MAX(J463,J462)&gt;0,J463&gt;J462+0.00000001),1,0)</x:f>
        <x:v>0</x:v>
      </x:c>
      <x:c r="Q463" t="n">
        <x:f>IF(AND(MAX(K463,K462)&gt;0,K463&gt;K462+0.00000001),1,0)</x:f>
        <x:v>0</x:v>
      </x:c>
      <x:c r="R463" t="n">
        <x:f>IF(AND(MAX(L463,L462)&gt;0,L463&gt;L462+0.00000001),1,0)</x:f>
        <x:v>0</x:v>
      </x:c>
      <x:c r="S463" t="n">
        <x:f>IF(AND(MAX(M463,M462)&gt;0,M463&gt;M462+0.00000001),1,0)</x:f>
        <x:v>0</x:v>
      </x:c>
      <x:c r="T463" t="n">
        <x:f>IF(AND(MAX(N463,N462)&gt;0,N463&gt;N462+0.00000001),1,0)</x:f>
        <x:v>0</x:v>
      </x:c>
      <x:c r="U463" t="n">
        <x:f>IF(AND(MAX(O463,O462)&gt;0,O463&gt;O462+0.00000001),1,0)</x:f>
        <x:v>0</x:v>
      </x:c>
    </x:row>
    <x:row r="464">
      <x:c r="J464" t="n">
        <x:f>IF(AND(ISNUMBER('Results'!B7),ISNUMBER('Results'!C7),ISNUMBER('Results'!$B$8),ISNUMBER('Inputs'!$B$6),ISNUMBER('Inputs'!$B$7),ISNUMBER('Inputs'!$B$8),ISNUMBER('Inputs'!$B$9),ISNUMBER('Inputs'!$B$10),ISNUMBER('Inputs'!$B$21),ISNUMBER('Inputs'!$B$24),ISNUMBER('Inputs'!$B$28)),(('Results'!B7*(0.5*((((464-43)*MAX('Inputs'!$B$33,'Inputs'!$B$29+'Inputs'!$B$31+'Inputs'!$B$32,'Inputs'!$B$30+'Inputs'!$B$31+'Inputs'!$B$32)/1000+'Inputs'!$B$21)+'Inputs'!$B$7)/SQRT((((464-43)*MAX('Inputs'!$B$33,'Inputs'!$B$29+'Inputs'!$B$31+'Inputs'!$B$32,'Inputs'!$B$30+'Inputs'!$B$31+'Inputs'!$B$32)/1000+'Inputs'!$B$21)+'Inputs'!$B$7)^2+('Inputs'!$B$6/2)^2)-(((464-43)*MAX('Inputs'!$B$33,'Inputs'!$B$29+'Inputs'!$B$31+'Inputs'!$B$32,'Inputs'!$B$30+'Inputs'!$B$31+'Inputs'!$B$32)/1000+'Inputs'!$B$21))/SQRT((((464-43)*MAX('Inputs'!$B$33,'Inputs'!$B$29+'Inputs'!$B$31+'Inputs'!$B$32,'Inputs'!$B$30+'Inputs'!$B$31+'Inputs'!$B$32)/1000+'Inputs'!$B$21))^2+('Inputs'!$B$6/2)^2)))-'Results'!C7*(0.5*((((464-43)*MAX('Inputs'!$B$33,'Inputs'!$B$29+'Inputs'!$B$31+'Inputs'!$B$32,'Inputs'!$B$30+'Inputs'!$B$31+'Inputs'!$B$32)/1000+'Inputs'!$B$21+'Inputs'!$B$7+'Inputs'!$B$10)+'Inputs'!$B$9)/SQRT((((464-43)*MAX('Inputs'!$B$33,'Inputs'!$B$29+'Inputs'!$B$31+'Inputs'!$B$32,'Inputs'!$B$30+'Inputs'!$B$31+'Inputs'!$B$32)/1000+'Inputs'!$B$21+'Inputs'!$B$7+'Inputs'!$B$10)+'Inputs'!$B$9)^2+('Inputs'!$B$8/2)^2)-(((464-43)*MAX('Inputs'!$B$33,'Inputs'!$B$29+'Inputs'!$B$31+'Inputs'!$B$32,'Inputs'!$B$30+'Inputs'!$B$31+'Inputs'!$B$32)/1000+'Inputs'!$B$21+'Inputs'!$B$7+'Inputs'!$B$10))/SQRT((((464-43)*MAX('Inputs'!$B$33,'Inputs'!$B$29+'Inputs'!$B$31+'Inputs'!$B$32,'Inputs'!$B$30+'Inputs'!$B$31+'Inputs'!$B$32)/1000+'Inputs'!$B$21+'Inputs'!$B$7+'Inputs'!$B$10))^2+('Inputs'!$B$8/2)^2))))*'Results'!$B$8),"")</x:f>
        <x:v>7.464860755356755</x:v>
      </x:c>
      <x:c r="K464" t="n">
        <x:f>IF(AND(ISNUMBER('Results'!B7),ISNUMBER('Results'!C7),ISNUMBER('Results'!$B$8),ISNUMBER('Inputs'!$B$6),ISNUMBER('Inputs'!$B$7),ISNUMBER('Inputs'!$B$8),ISNUMBER('Inputs'!$B$9),ISNUMBER('Inputs'!$B$10),ISNUMBER('Inputs'!$B$21),ISNUMBER('Inputs'!$B$24),ISNUMBER('Inputs'!$B$28)),((('Results'!B7*(1-'Inputs'!$B$24)*(0.5*((((464-43)*MAX('Inputs'!$B$33,'Inputs'!$B$29+'Inputs'!$B$31+'Inputs'!$B$32,'Inputs'!$B$30+'Inputs'!$B$31+'Inputs'!$B$32)/1000+'Inputs'!$B$21)+'Inputs'!$B$7)/SQRT((((464-43)*MAX('Inputs'!$B$33,'Inputs'!$B$29+'Inputs'!$B$31+'Inputs'!$B$32,'Inputs'!$B$30+'Inputs'!$B$31+'Inputs'!$B$32)/1000+'Inputs'!$B$21)+'Inputs'!$B$7)^2+('Inputs'!$B$6/2)^2)-(((464-43)*MAX('Inputs'!$B$33,'Inputs'!$B$29+'Inputs'!$B$31+'Inputs'!$B$32,'Inputs'!$B$30+'Inputs'!$B$31+'Inputs'!$B$32)/1000+'Inputs'!$B$21))/SQRT((((464-43)*MAX('Inputs'!$B$33,'Inputs'!$B$29+'Inputs'!$B$31+'Inputs'!$B$32,'Inputs'!$B$30+'Inputs'!$B$31+'Inputs'!$B$32)/1000+'Inputs'!$B$21))^2+('Inputs'!$B$6/2)^2)))-'Results'!C7*(1+'Inputs'!$B$24)*(0.5*((((464-43)*MAX('Inputs'!$B$33,'Inputs'!$B$29+'Inputs'!$B$31+'Inputs'!$B$32,'Inputs'!$B$30+'Inputs'!$B$31+'Inputs'!$B$32)/1000+'Inputs'!$B$21+'Inputs'!$B$7+'Inputs'!$B$10)+'Inputs'!$B$9)/SQRT((((464-43)*MAX('Inputs'!$B$33,'Inputs'!$B$29+'Inputs'!$B$31+'Inputs'!$B$32,'Inputs'!$B$30+'Inputs'!$B$31+'Inputs'!$B$32)/1000+'Inputs'!$B$21+'Inputs'!$B$7+'Inputs'!$B$10)+'Inputs'!$B$9)^2+('Inputs'!$B$8/2)^2)-(((464-43)*MAX('Inputs'!$B$33,'Inputs'!$B$29+'Inputs'!$B$31+'Inputs'!$B$32,'Inputs'!$B$30+'Inputs'!$B$31+'Inputs'!$B$32)/1000+'Inputs'!$B$21+'Inputs'!$B$7+'Inputs'!$B$10))/SQRT((((464-43)*MAX('Inputs'!$B$33,'Inputs'!$B$29+'Inputs'!$B$31+'Inputs'!$B$32,'Inputs'!$B$30+'Inputs'!$B$31+'Inputs'!$B$32)/1000+'Inputs'!$B$21+'Inputs'!$B$7+'Inputs'!$B$10))^2+('Inputs'!$B$8/2)^2))))*'Results'!$B$8)-'Inputs'!$B$28*ABS((('Results'!B7*(1-'Inputs'!$B$24)*(0.5*((((464-43)*MAX('Inputs'!$B$33,'Inputs'!$B$29+'Inputs'!$B$31+'Inputs'!$B$32,'Inputs'!$B$30+'Inputs'!$B$31+'Inputs'!$B$32)/1000+'Inputs'!$B$21)+'Inputs'!$B$7)/SQRT((((464-43)*MAX('Inputs'!$B$33,'Inputs'!$B$29+'Inputs'!$B$31+'Inputs'!$B$32,'Inputs'!$B$30+'Inputs'!$B$31+'Inputs'!$B$32)/1000+'Inputs'!$B$21)+'Inputs'!$B$7)^2+('Inputs'!$B$6/2)^2)-(((464-43)*MAX('Inputs'!$B$33,'Inputs'!$B$29+'Inputs'!$B$31+'Inputs'!$B$32,'Inputs'!$B$30+'Inputs'!$B$31+'Inputs'!$B$32)/1000+'Inputs'!$B$21))/SQRT((((464-43)*MAX('Inputs'!$B$33,'Inputs'!$B$29+'Inputs'!$B$31+'Inputs'!$B$32,'Inputs'!$B$30+'Inputs'!$B$31+'Inputs'!$B$32)/1000+'Inputs'!$B$21))^2+('Inputs'!$B$6/2)^2)))-'Results'!C7*(1+'Inputs'!$B$24)*(0.5*((((464-43)*MAX('Inputs'!$B$33,'Inputs'!$B$29+'Inputs'!$B$31+'Inputs'!$B$32,'Inputs'!$B$30+'Inputs'!$B$31+'Inputs'!$B$32)/1000+'Inputs'!$B$21+'Inputs'!$B$7+'Inputs'!$B$10)+'Inputs'!$B$9)/SQRT((((464-43)*MAX('Inputs'!$B$33,'Inputs'!$B$29+'Inputs'!$B$31+'Inputs'!$B$32,'Inputs'!$B$30+'Inputs'!$B$31+'Inputs'!$B$32)/1000+'Inputs'!$B$21+'Inputs'!$B$7+'Inputs'!$B$10)+'Inputs'!$B$9)^2+('Inputs'!$B$8/2)^2)-(((464-43)*MAX('Inputs'!$B$33,'Inputs'!$B$29+'Inputs'!$B$31+'Inputs'!$B$32,'Inputs'!$B$30+'Inputs'!$B$31+'Inputs'!$B$32)/1000+'Inputs'!$B$21+'Inputs'!$B$7+'Inputs'!$B$10))/SQRT((((464-43)*MAX('Inputs'!$B$33,'Inputs'!$B$29+'Inputs'!$B$31+'Inputs'!$B$32,'Inputs'!$B$30+'Inputs'!$B$31+'Inputs'!$B$32)/1000+'Inputs'!$B$21+'Inputs'!$B$7+'Inputs'!$B$10))^2+('Inputs'!$B$8/2)^2))))*'Results'!$B$8))),"")</x:f>
        <x:v>6.668684859247702</x:v>
      </x:c>
      <x:c r="L464" t="n">
        <x:f>IF(AND(ISNUMBER('Results'!B7),ISNUMBER('Results'!C7),ISNUMBER('Results'!$B$8),ISNUMBER('Inputs'!$B$6),ISNUMBER('Inputs'!$B$7),ISNUMBER('Inputs'!$B$8),ISNUMBER('Inputs'!$B$9),ISNUMBER('Inputs'!$B$10),ISNUMBER('Inputs'!$B$21),ISNUMBER('Inputs'!$B$24),ISNUMBER('Inputs'!$B$28)),((('Results'!B7*(1+'Inputs'!$B$24)*(0.5*((((464-43)*MAX('Inputs'!$B$33,'Inputs'!$B$29+'Inputs'!$B$31+'Inputs'!$B$32,'Inputs'!$B$30+'Inputs'!$B$31+'Inputs'!$B$32)/1000+'Inputs'!$B$21)+'Inputs'!$B$7)/SQRT((((464-43)*MAX('Inputs'!$B$33,'Inputs'!$B$29+'Inputs'!$B$31+'Inputs'!$B$32,'Inputs'!$B$30+'Inputs'!$B$31+'Inputs'!$B$32)/1000+'Inputs'!$B$21)+'Inputs'!$B$7)^2+('Inputs'!$B$6/2)^2)-(((464-43)*MAX('Inputs'!$B$33,'Inputs'!$B$29+'Inputs'!$B$31+'Inputs'!$B$32,'Inputs'!$B$30+'Inputs'!$B$31+'Inputs'!$B$32)/1000+'Inputs'!$B$21))/SQRT((((464-43)*MAX('Inputs'!$B$33,'Inputs'!$B$29+'Inputs'!$B$31+'Inputs'!$B$32,'Inputs'!$B$30+'Inputs'!$B$31+'Inputs'!$B$32)/1000+'Inputs'!$B$21))^2+('Inputs'!$B$6/2)^2)))-'Results'!C7*(1-'Inputs'!$B$24)*(0.5*((((464-43)*MAX('Inputs'!$B$33,'Inputs'!$B$29+'Inputs'!$B$31+'Inputs'!$B$32,'Inputs'!$B$30+'Inputs'!$B$31+'Inputs'!$B$32)/1000+'Inputs'!$B$21+'Inputs'!$B$7+'Inputs'!$B$10)+'Inputs'!$B$9)/SQRT((((464-43)*MAX('Inputs'!$B$33,'Inputs'!$B$29+'Inputs'!$B$31+'Inputs'!$B$32,'Inputs'!$B$30+'Inputs'!$B$31+'Inputs'!$B$32)/1000+'Inputs'!$B$21+'Inputs'!$B$7+'Inputs'!$B$10)+'Inputs'!$B$9)^2+('Inputs'!$B$8/2)^2)-(((464-43)*MAX('Inputs'!$B$33,'Inputs'!$B$29+'Inputs'!$B$31+'Inputs'!$B$32,'Inputs'!$B$30+'Inputs'!$B$31+'Inputs'!$B$32)/1000+'Inputs'!$B$21+'Inputs'!$B$7+'Inputs'!$B$10))/SQRT((((464-43)*MAX('Inputs'!$B$33,'Inputs'!$B$29+'Inputs'!$B$31+'Inputs'!$B$32,'Inputs'!$B$30+'Inputs'!$B$31+'Inputs'!$B$32)/1000+'Inputs'!$B$21+'Inputs'!$B$7+'Inputs'!$B$10))^2+('Inputs'!$B$8/2)^2))))*'Results'!$B$8)+'Inputs'!$B$28*ABS((('Results'!B7*(1+'Inputs'!$B$24)*(0.5*((((464-43)*MAX('Inputs'!$B$33,'Inputs'!$B$29+'Inputs'!$B$31+'Inputs'!$B$32,'Inputs'!$B$30+'Inputs'!$B$31+'Inputs'!$B$32)/1000+'Inputs'!$B$21)+'Inputs'!$B$7)/SQRT((((464-43)*MAX('Inputs'!$B$33,'Inputs'!$B$29+'Inputs'!$B$31+'Inputs'!$B$32,'Inputs'!$B$30+'Inputs'!$B$31+'Inputs'!$B$32)/1000+'Inputs'!$B$21)+'Inputs'!$B$7)^2+('Inputs'!$B$6/2)^2)-(((464-43)*MAX('Inputs'!$B$33,'Inputs'!$B$29+'Inputs'!$B$31+'Inputs'!$B$32,'Inputs'!$B$30+'Inputs'!$B$31+'Inputs'!$B$32)/1000+'Inputs'!$B$21))/SQRT((((464-43)*MAX('Inputs'!$B$33,'Inputs'!$B$29+'Inputs'!$B$31+'Inputs'!$B$32,'Inputs'!$B$30+'Inputs'!$B$31+'Inputs'!$B$32)/1000+'Inputs'!$B$21))^2+('Inputs'!$B$6/2)^2)))-'Results'!C7*(1-'Inputs'!$B$24)*(0.5*((((464-43)*MAX('Inputs'!$B$33,'Inputs'!$B$29+'Inputs'!$B$31+'Inputs'!$B$32,'Inputs'!$B$30+'Inputs'!$B$31+'Inputs'!$B$32)/1000+'Inputs'!$B$21+'Inputs'!$B$7+'Inputs'!$B$10)+'Inputs'!$B$9)/SQRT((((464-43)*MAX('Inputs'!$B$33,'Inputs'!$B$29+'Inputs'!$B$31+'Inputs'!$B$32,'Inputs'!$B$30+'Inputs'!$B$31+'Inputs'!$B$32)/1000+'Inputs'!$B$21+'Inputs'!$B$7+'Inputs'!$B$10)+'Inputs'!$B$9)^2+('Inputs'!$B$8/2)^2)-(((464-43)*MAX('Inputs'!$B$33,'Inputs'!$B$29+'Inputs'!$B$31+'Inputs'!$B$32,'Inputs'!$B$30+'Inputs'!$B$31+'Inputs'!$B$32)/1000+'Inputs'!$B$21+'Inputs'!$B$7+'Inputs'!$B$10))/SQRT((((464-43)*MAX('Inputs'!$B$33,'Inputs'!$B$29+'Inputs'!$B$31+'Inputs'!$B$32,'Inputs'!$B$30+'Inputs'!$B$31+'Inputs'!$B$32)/1000+'Inputs'!$B$21+'Inputs'!$B$7+'Inputs'!$B$10))^2+('Inputs'!$B$8/2)^2))))*'Results'!$B$8))),"")</x:f>
        <x:v>8.305555899712251</x:v>
      </x:c>
      <x:c r="M464" t="n">
        <x:f>IF(AND(ISNUMBER('Results'!C7),ISNUMBER('Results'!B7),ISNUMBER('Results'!$B$8),ISNUMBER('Inputs'!$B$6),ISNUMBER('Inputs'!$B$7),ISNUMBER('Inputs'!$B$8),ISNUMBER('Inputs'!$B$9),ISNUMBER('Inputs'!$B$10),ISNUMBER('Inputs'!$B$21),ISNUMBER('Inputs'!$B$24),ISNUMBER('Inputs'!$B$28)),(('Results'!C7*(0.5*((((464-43)*MAX('Inputs'!$B$33,'Inputs'!$B$29+'Inputs'!$B$31+'Inputs'!$B$32,'Inputs'!$B$30+'Inputs'!$B$31+'Inputs'!$B$32)/1000+'Inputs'!$B$21)+'Inputs'!$B$9)/SQRT((((464-43)*MAX('Inputs'!$B$33,'Inputs'!$B$29+'Inputs'!$B$31+'Inputs'!$B$32,'Inputs'!$B$30+'Inputs'!$B$31+'Inputs'!$B$32)/1000+'Inputs'!$B$21)+'Inputs'!$B$9)^2+('Inputs'!$B$8/2)^2)-(((464-43)*MAX('Inputs'!$B$33,'Inputs'!$B$29+'Inputs'!$B$31+'Inputs'!$B$32,'Inputs'!$B$30+'Inputs'!$B$31+'Inputs'!$B$32)/1000+'Inputs'!$B$21))/SQRT((((464-43)*MAX('Inputs'!$B$33,'Inputs'!$B$29+'Inputs'!$B$31+'Inputs'!$B$32,'Inputs'!$B$30+'Inputs'!$B$31+'Inputs'!$B$32)/1000+'Inputs'!$B$21))^2+('Inputs'!$B$8/2)^2)))-'Results'!B7*(0.5*((((464-43)*MAX('Inputs'!$B$33,'Inputs'!$B$29+'Inputs'!$B$31+'Inputs'!$B$32,'Inputs'!$B$30+'Inputs'!$B$31+'Inputs'!$B$32)/1000+'Inputs'!$B$21+'Inputs'!$B$9+'Inputs'!$B$10)+'Inputs'!$B$7)/SQRT((((464-43)*MAX('Inputs'!$B$33,'Inputs'!$B$29+'Inputs'!$B$31+'Inputs'!$B$32,'Inputs'!$B$30+'Inputs'!$B$31+'Inputs'!$B$32)/1000+'Inputs'!$B$21+'Inputs'!$B$9+'Inputs'!$B$10)+'Inputs'!$B$7)^2+('Inputs'!$B$6/2)^2)-(((464-43)*MAX('Inputs'!$B$33,'Inputs'!$B$29+'Inputs'!$B$31+'Inputs'!$B$32,'Inputs'!$B$30+'Inputs'!$B$31+'Inputs'!$B$32)/1000+'Inputs'!$B$21+'Inputs'!$B$9+'Inputs'!$B$10))/SQRT((((464-43)*MAX('Inputs'!$B$33,'Inputs'!$B$29+'Inputs'!$B$31+'Inputs'!$B$32,'Inputs'!$B$30+'Inputs'!$B$31+'Inputs'!$B$32)/1000+'Inputs'!$B$21+'Inputs'!$B$9+'Inputs'!$B$10))^2+('Inputs'!$B$6/2)^2))))*'Results'!$B$8),"")</x:f>
        <x:v>7.016648933429489</x:v>
      </x:c>
      <x:c r="N464" t="n">
        <x:f>IF(AND(ISNUMBER('Results'!C7),ISNUMBER('Results'!B7),ISNUMBER('Results'!$B$8),ISNUMBER('Inputs'!$B$6),ISNUMBER('Inputs'!$B$7),ISNUMBER('Inputs'!$B$8),ISNUMBER('Inputs'!$B$9),ISNUMBER('Inputs'!$B$10),ISNUMBER('Inputs'!$B$21),ISNUMBER('Inputs'!$B$24),ISNUMBER('Inputs'!$B$28)),((('Results'!C7*(1-'Inputs'!$B$24)*(0.5*((((464-43)*MAX('Inputs'!$B$33,'Inputs'!$B$29+'Inputs'!$B$31+'Inputs'!$B$32,'Inputs'!$B$30+'Inputs'!$B$31+'Inputs'!$B$32)/1000+'Inputs'!$B$21)+'Inputs'!$B$9)/SQRT((((464-43)*MAX('Inputs'!$B$33,'Inputs'!$B$29+'Inputs'!$B$31+'Inputs'!$B$32,'Inputs'!$B$30+'Inputs'!$B$31+'Inputs'!$B$32)/1000+'Inputs'!$B$21)+'Inputs'!$B$9)^2+('Inputs'!$B$8/2)^2)-(((464-43)*MAX('Inputs'!$B$33,'Inputs'!$B$29+'Inputs'!$B$31+'Inputs'!$B$32,'Inputs'!$B$30+'Inputs'!$B$31+'Inputs'!$B$32)/1000+'Inputs'!$B$21))/SQRT((((464-43)*MAX('Inputs'!$B$33,'Inputs'!$B$29+'Inputs'!$B$31+'Inputs'!$B$32,'Inputs'!$B$30+'Inputs'!$B$31+'Inputs'!$B$32)/1000+'Inputs'!$B$21))^2+('Inputs'!$B$8/2)^2)))-'Results'!B7*(1+'Inputs'!$B$24)*(0.5*((((464-43)*MAX('Inputs'!$B$33,'Inputs'!$B$29+'Inputs'!$B$31+'Inputs'!$B$32,'Inputs'!$B$30+'Inputs'!$B$31+'Inputs'!$B$32)/1000+'Inputs'!$B$21+'Inputs'!$B$9+'Inputs'!$B$10)+'Inputs'!$B$7)/SQRT((((464-43)*MAX('Inputs'!$B$33,'Inputs'!$B$29+'Inputs'!$B$31+'Inputs'!$B$32,'Inputs'!$B$30+'Inputs'!$B$31+'Inputs'!$B$32)/1000+'Inputs'!$B$21+'Inputs'!$B$9+'Inputs'!$B$10)+'Inputs'!$B$7)^2+('Inputs'!$B$6/2)^2)-(((464-43)*MAX('Inputs'!$B$33,'Inputs'!$B$29+'Inputs'!$B$31+'Inputs'!$B$32,'Inputs'!$B$30+'Inputs'!$B$31+'Inputs'!$B$32)/1000+'Inputs'!$B$21+'Inputs'!$B$9+'Inputs'!$B$10))/SQRT((((464-43)*MAX('Inputs'!$B$33,'Inputs'!$B$29+'Inputs'!$B$31+'Inputs'!$B$32,'Inputs'!$B$30+'Inputs'!$B$31+'Inputs'!$B$32)/1000+'Inputs'!$B$21+'Inputs'!$B$9+'Inputs'!$B$10))^2+('Inputs'!$B$6/2)^2))))*'Results'!$B$8)-'Inputs'!$B$28*ABS((('Results'!C7*(1-'Inputs'!$B$24)*(0.5*((((464-43)*MAX('Inputs'!$B$33,'Inputs'!$B$29+'Inputs'!$B$31+'Inputs'!$B$32,'Inputs'!$B$30+'Inputs'!$B$31+'Inputs'!$B$32)/1000+'Inputs'!$B$21)+'Inputs'!$B$9)/SQRT((((464-43)*MAX('Inputs'!$B$33,'Inputs'!$B$29+'Inputs'!$B$31+'Inputs'!$B$32,'Inputs'!$B$30+'Inputs'!$B$31+'Inputs'!$B$32)/1000+'Inputs'!$B$21)+'Inputs'!$B$9)^2+('Inputs'!$B$8/2)^2)-(((464-43)*MAX('Inputs'!$B$33,'Inputs'!$B$29+'Inputs'!$B$31+'Inputs'!$B$32,'Inputs'!$B$30+'Inputs'!$B$31+'Inputs'!$B$32)/1000+'Inputs'!$B$21))/SQRT((((464-43)*MAX('Inputs'!$B$33,'Inputs'!$B$29+'Inputs'!$B$31+'Inputs'!$B$32,'Inputs'!$B$30+'Inputs'!$B$31+'Inputs'!$B$32)/1000+'Inputs'!$B$21))^2+('Inputs'!$B$8/2)^2)))-'Results'!B7*(1+'Inputs'!$B$24)*(0.5*((((464-43)*MAX('Inputs'!$B$33,'Inputs'!$B$29+'Inputs'!$B$31+'Inputs'!$B$32,'Inputs'!$B$30+'Inputs'!$B$31+'Inputs'!$B$32)/1000+'Inputs'!$B$21+'Inputs'!$B$9+'Inputs'!$B$10)+'Inputs'!$B$7)/SQRT((((464-43)*MAX('Inputs'!$B$33,'Inputs'!$B$29+'Inputs'!$B$31+'Inputs'!$B$32,'Inputs'!$B$30+'Inputs'!$B$31+'Inputs'!$B$32)/1000+'Inputs'!$B$21+'Inputs'!$B$9+'Inputs'!$B$10)+'Inputs'!$B$7)^2+('Inputs'!$B$6/2)^2)-(((464-43)*MAX('Inputs'!$B$33,'Inputs'!$B$29+'Inputs'!$B$31+'Inputs'!$B$32,'Inputs'!$B$30+'Inputs'!$B$31+'Inputs'!$B$32)/1000+'Inputs'!$B$21+'Inputs'!$B$9+'Inputs'!$B$10))/SQRT((((464-43)*MAX('Inputs'!$B$33,'Inputs'!$B$29+'Inputs'!$B$31+'Inputs'!$B$32,'Inputs'!$B$30+'Inputs'!$B$31+'Inputs'!$B$32)/1000+'Inputs'!$B$21+'Inputs'!$B$9+'Inputs'!$B$10))^2+('Inputs'!$B$6/2)^2))))*'Results'!$B$8))),"")</x:f>
        <x:v>6.245662908054042</x:v>
      </x:c>
      <x:c r="O464" t="n">
        <x:f>IF(AND(ISNUMBER('Results'!C7),ISNUMBER('Results'!B7),ISNUMBER('Results'!$B$8),ISNUMBER('Inputs'!$B$6),ISNUMBER('Inputs'!$B$7),ISNUMBER('Inputs'!$B$8),ISNUMBER('Inputs'!$B$9),ISNUMBER('Inputs'!$B$10),ISNUMBER('Inputs'!$B$21),ISNUMBER('Inputs'!$B$24),ISNUMBER('Inputs'!$B$28)),((('Results'!C7*(1+'Inputs'!$B$24)*(0.5*((((464-43)*MAX('Inputs'!$B$33,'Inputs'!$B$29+'Inputs'!$B$31+'Inputs'!$B$32,'Inputs'!$B$30+'Inputs'!$B$31+'Inputs'!$B$32)/1000+'Inputs'!$B$21)+'Inputs'!$B$9)/SQRT((((464-43)*MAX('Inputs'!$B$33,'Inputs'!$B$29+'Inputs'!$B$31+'Inputs'!$B$32,'Inputs'!$B$30+'Inputs'!$B$31+'Inputs'!$B$32)/1000+'Inputs'!$B$21)+'Inputs'!$B$9)^2+('Inputs'!$B$8/2)^2)-(((464-43)*MAX('Inputs'!$B$33,'Inputs'!$B$29+'Inputs'!$B$31+'Inputs'!$B$32,'Inputs'!$B$30+'Inputs'!$B$31+'Inputs'!$B$32)/1000+'Inputs'!$B$21))/SQRT((((464-43)*MAX('Inputs'!$B$33,'Inputs'!$B$29+'Inputs'!$B$31+'Inputs'!$B$32,'Inputs'!$B$30+'Inputs'!$B$31+'Inputs'!$B$32)/1000+'Inputs'!$B$21))^2+('Inputs'!$B$8/2)^2)))-'Results'!B7*(1-'Inputs'!$B$24)*(0.5*((((464-43)*MAX('Inputs'!$B$33,'Inputs'!$B$29+'Inputs'!$B$31+'Inputs'!$B$32,'Inputs'!$B$30+'Inputs'!$B$31+'Inputs'!$B$32)/1000+'Inputs'!$B$21+'Inputs'!$B$9+'Inputs'!$B$10)+'Inputs'!$B$7)/SQRT((((464-43)*MAX('Inputs'!$B$33,'Inputs'!$B$29+'Inputs'!$B$31+'Inputs'!$B$32,'Inputs'!$B$30+'Inputs'!$B$31+'Inputs'!$B$32)/1000+'Inputs'!$B$21+'Inputs'!$B$9+'Inputs'!$B$10)+'Inputs'!$B$7)^2+('Inputs'!$B$6/2)^2)-(((464-43)*MAX('Inputs'!$B$33,'Inputs'!$B$29+'Inputs'!$B$31+'Inputs'!$B$32,'Inputs'!$B$30+'Inputs'!$B$31+'Inputs'!$B$32)/1000+'Inputs'!$B$21+'Inputs'!$B$9+'Inputs'!$B$10))/SQRT((((464-43)*MAX('Inputs'!$B$33,'Inputs'!$B$29+'Inputs'!$B$31+'Inputs'!$B$32,'Inputs'!$B$30+'Inputs'!$B$31+'Inputs'!$B$32)/1000+'Inputs'!$B$21+'Inputs'!$B$9+'Inputs'!$B$10))^2+('Inputs'!$B$6/2)^2))))*'Results'!$B$8)+'Inputs'!$B$28*ABS((('Results'!C7*(1+'Inputs'!$B$24)*(0.5*((((464-43)*MAX('Inputs'!$B$33,'Inputs'!$B$29+'Inputs'!$B$31+'Inputs'!$B$32,'Inputs'!$B$30+'Inputs'!$B$31+'Inputs'!$B$32)/1000+'Inputs'!$B$21)+'Inputs'!$B$9)/SQRT((((464-43)*MAX('Inputs'!$B$33,'Inputs'!$B$29+'Inputs'!$B$31+'Inputs'!$B$32,'Inputs'!$B$30+'Inputs'!$B$31+'Inputs'!$B$32)/1000+'Inputs'!$B$21)+'Inputs'!$B$9)^2+('Inputs'!$B$8/2)^2)-(((464-43)*MAX('Inputs'!$B$33,'Inputs'!$B$29+'Inputs'!$B$31+'Inputs'!$B$32,'Inputs'!$B$30+'Inputs'!$B$31+'Inputs'!$B$32)/1000+'Inputs'!$B$21))/SQRT((((464-43)*MAX('Inputs'!$B$33,'Inputs'!$B$29+'Inputs'!$B$31+'Inputs'!$B$32,'Inputs'!$B$30+'Inputs'!$B$31+'Inputs'!$B$32)/1000+'Inputs'!$B$21))^2+('Inputs'!$B$8/2)^2)))-'Results'!B7*(1-'Inputs'!$B$24)*(0.5*((((464-43)*MAX('Inputs'!$B$33,'Inputs'!$B$29+'Inputs'!$B$31+'Inputs'!$B$32,'Inputs'!$B$30+'Inputs'!$B$31+'Inputs'!$B$32)/1000+'Inputs'!$B$21+'Inputs'!$B$9+'Inputs'!$B$10)+'Inputs'!$B$7)/SQRT((((464-43)*MAX('Inputs'!$B$33,'Inputs'!$B$29+'Inputs'!$B$31+'Inputs'!$B$32,'Inputs'!$B$30+'Inputs'!$B$31+'Inputs'!$B$32)/1000+'Inputs'!$B$21+'Inputs'!$B$9+'Inputs'!$B$10)+'Inputs'!$B$7)^2+('Inputs'!$B$6/2)^2)-(((464-43)*MAX('Inputs'!$B$33,'Inputs'!$B$29+'Inputs'!$B$31+'Inputs'!$B$32,'Inputs'!$B$30+'Inputs'!$B$31+'Inputs'!$B$32)/1000+'Inputs'!$B$21+'Inputs'!$B$9+'Inputs'!$B$10))/SQRT((((464-43)*MAX('Inputs'!$B$33,'Inputs'!$B$29+'Inputs'!$B$31+'Inputs'!$B$32,'Inputs'!$B$30+'Inputs'!$B$31+'Inputs'!$B$32)/1000+'Inputs'!$B$21+'Inputs'!$B$9+'Inputs'!$B$10))^2+('Inputs'!$B$6/2)^2))))*'Results'!$B$8))),"")</x:f>
        <x:v>7.831861651300093</x:v>
      </x:c>
      <x:c r="P464" t="n">
        <x:f>IF(AND(MAX(J464,J463)&gt;0,J464&gt;J463+0.00000001),1,0)</x:f>
        <x:v>0</x:v>
      </x:c>
      <x:c r="Q464" t="n">
        <x:f>IF(AND(MAX(K464,K463)&gt;0,K464&gt;K463+0.00000001),1,0)</x:f>
        <x:v>0</x:v>
      </x:c>
      <x:c r="R464" t="n">
        <x:f>IF(AND(MAX(L464,L463)&gt;0,L464&gt;L463+0.00000001),1,0)</x:f>
        <x:v>0</x:v>
      </x:c>
      <x:c r="S464" t="n">
        <x:f>IF(AND(MAX(M464,M463)&gt;0,M464&gt;M463+0.00000001),1,0)</x:f>
        <x:v>0</x:v>
      </x:c>
      <x:c r="T464" t="n">
        <x:f>IF(AND(MAX(N464,N463)&gt;0,N464&gt;N463+0.00000001),1,0)</x:f>
        <x:v>0</x:v>
      </x:c>
      <x:c r="U464" t="n">
        <x:f>IF(AND(MAX(O464,O463)&gt;0,O464&gt;O463+0.00000001),1,0)</x:f>
        <x:v>0</x:v>
      </x:c>
    </x:row>
    <x:row r="465">
      <x:c r="J465" t="n">
        <x:f>IF(AND(ISNUMBER('Results'!B7),ISNUMBER('Results'!C7),ISNUMBER('Results'!$B$8),ISNUMBER('Inputs'!$B$6),ISNUMBER('Inputs'!$B$7),ISNUMBER('Inputs'!$B$8),ISNUMBER('Inputs'!$B$9),ISNUMBER('Inputs'!$B$10),ISNUMBER('Inputs'!$B$21),ISNUMBER('Inputs'!$B$24),ISNUMBER('Inputs'!$B$28)),(('Results'!B7*(0.5*((((465-43)*MAX('Inputs'!$B$33,'Inputs'!$B$29+'Inputs'!$B$31+'Inputs'!$B$32,'Inputs'!$B$30+'Inputs'!$B$31+'Inputs'!$B$32)/1000+'Inputs'!$B$21)+'Inputs'!$B$7)/SQRT((((465-43)*MAX('Inputs'!$B$33,'Inputs'!$B$29+'Inputs'!$B$31+'Inputs'!$B$32,'Inputs'!$B$30+'Inputs'!$B$31+'Inputs'!$B$32)/1000+'Inputs'!$B$21)+'Inputs'!$B$7)^2+('Inputs'!$B$6/2)^2)-(((465-43)*MAX('Inputs'!$B$33,'Inputs'!$B$29+'Inputs'!$B$31+'Inputs'!$B$32,'Inputs'!$B$30+'Inputs'!$B$31+'Inputs'!$B$32)/1000+'Inputs'!$B$21))/SQRT((((465-43)*MAX('Inputs'!$B$33,'Inputs'!$B$29+'Inputs'!$B$31+'Inputs'!$B$32,'Inputs'!$B$30+'Inputs'!$B$31+'Inputs'!$B$32)/1000+'Inputs'!$B$21))^2+('Inputs'!$B$6/2)^2)))-'Results'!C7*(0.5*((((465-43)*MAX('Inputs'!$B$33,'Inputs'!$B$29+'Inputs'!$B$31+'Inputs'!$B$32,'Inputs'!$B$30+'Inputs'!$B$31+'Inputs'!$B$32)/1000+'Inputs'!$B$21+'Inputs'!$B$7+'Inputs'!$B$10)+'Inputs'!$B$9)/SQRT((((465-43)*MAX('Inputs'!$B$33,'Inputs'!$B$29+'Inputs'!$B$31+'Inputs'!$B$32,'Inputs'!$B$30+'Inputs'!$B$31+'Inputs'!$B$32)/1000+'Inputs'!$B$21+'Inputs'!$B$7+'Inputs'!$B$10)+'Inputs'!$B$9)^2+('Inputs'!$B$8/2)^2)-(((465-43)*MAX('Inputs'!$B$33,'Inputs'!$B$29+'Inputs'!$B$31+'Inputs'!$B$32,'Inputs'!$B$30+'Inputs'!$B$31+'Inputs'!$B$32)/1000+'Inputs'!$B$21+'Inputs'!$B$7+'Inputs'!$B$10))/SQRT((((465-43)*MAX('Inputs'!$B$33,'Inputs'!$B$29+'Inputs'!$B$31+'Inputs'!$B$32,'Inputs'!$B$30+'Inputs'!$B$31+'Inputs'!$B$32)/1000+'Inputs'!$B$21+'Inputs'!$B$7+'Inputs'!$B$10))^2+('Inputs'!$B$8/2)^2))))*'Results'!$B$8),"")</x:f>
        <x:v>7.406161202773928</x:v>
      </x:c>
      <x:c r="K465" t="n">
        <x:f>IF(AND(ISNUMBER('Results'!B7),ISNUMBER('Results'!C7),ISNUMBER('Results'!$B$8),ISNUMBER('Inputs'!$B$6),ISNUMBER('Inputs'!$B$7),ISNUMBER('Inputs'!$B$8),ISNUMBER('Inputs'!$B$9),ISNUMBER('Inputs'!$B$10),ISNUMBER('Inputs'!$B$21),ISNUMBER('Inputs'!$B$24),ISNUMBER('Inputs'!$B$28)),((('Results'!B7*(1-'Inputs'!$B$24)*(0.5*((((465-43)*MAX('Inputs'!$B$33,'Inputs'!$B$29+'Inputs'!$B$31+'Inputs'!$B$32,'Inputs'!$B$30+'Inputs'!$B$31+'Inputs'!$B$32)/1000+'Inputs'!$B$21)+'Inputs'!$B$7)/SQRT((((465-43)*MAX('Inputs'!$B$33,'Inputs'!$B$29+'Inputs'!$B$31+'Inputs'!$B$32,'Inputs'!$B$30+'Inputs'!$B$31+'Inputs'!$B$32)/1000+'Inputs'!$B$21)+'Inputs'!$B$7)^2+('Inputs'!$B$6/2)^2)-(((465-43)*MAX('Inputs'!$B$33,'Inputs'!$B$29+'Inputs'!$B$31+'Inputs'!$B$32,'Inputs'!$B$30+'Inputs'!$B$31+'Inputs'!$B$32)/1000+'Inputs'!$B$21))/SQRT((((465-43)*MAX('Inputs'!$B$33,'Inputs'!$B$29+'Inputs'!$B$31+'Inputs'!$B$32,'Inputs'!$B$30+'Inputs'!$B$31+'Inputs'!$B$32)/1000+'Inputs'!$B$21))^2+('Inputs'!$B$6/2)^2)))-'Results'!C7*(1+'Inputs'!$B$24)*(0.5*((((465-43)*MAX('Inputs'!$B$33,'Inputs'!$B$29+'Inputs'!$B$31+'Inputs'!$B$32,'Inputs'!$B$30+'Inputs'!$B$31+'Inputs'!$B$32)/1000+'Inputs'!$B$21+'Inputs'!$B$7+'Inputs'!$B$10)+'Inputs'!$B$9)/SQRT((((465-43)*MAX('Inputs'!$B$33,'Inputs'!$B$29+'Inputs'!$B$31+'Inputs'!$B$32,'Inputs'!$B$30+'Inputs'!$B$31+'Inputs'!$B$32)/1000+'Inputs'!$B$21+'Inputs'!$B$7+'Inputs'!$B$10)+'Inputs'!$B$9)^2+('Inputs'!$B$8/2)^2)-(((465-43)*MAX('Inputs'!$B$33,'Inputs'!$B$29+'Inputs'!$B$31+'Inputs'!$B$32,'Inputs'!$B$30+'Inputs'!$B$31+'Inputs'!$B$32)/1000+'Inputs'!$B$21+'Inputs'!$B$7+'Inputs'!$B$10))/SQRT((((465-43)*MAX('Inputs'!$B$33,'Inputs'!$B$29+'Inputs'!$B$31+'Inputs'!$B$32,'Inputs'!$B$30+'Inputs'!$B$31+'Inputs'!$B$32)/1000+'Inputs'!$B$21+'Inputs'!$B$7+'Inputs'!$B$10))^2+('Inputs'!$B$8/2)^2))))*'Results'!$B$8)-'Inputs'!$B$28*ABS((('Results'!B7*(1-'Inputs'!$B$24)*(0.5*((((465-43)*MAX('Inputs'!$B$33,'Inputs'!$B$29+'Inputs'!$B$31+'Inputs'!$B$32,'Inputs'!$B$30+'Inputs'!$B$31+'Inputs'!$B$32)/1000+'Inputs'!$B$21)+'Inputs'!$B$7)/SQRT((((465-43)*MAX('Inputs'!$B$33,'Inputs'!$B$29+'Inputs'!$B$31+'Inputs'!$B$32,'Inputs'!$B$30+'Inputs'!$B$31+'Inputs'!$B$32)/1000+'Inputs'!$B$21)+'Inputs'!$B$7)^2+('Inputs'!$B$6/2)^2)-(((465-43)*MAX('Inputs'!$B$33,'Inputs'!$B$29+'Inputs'!$B$31+'Inputs'!$B$32,'Inputs'!$B$30+'Inputs'!$B$31+'Inputs'!$B$32)/1000+'Inputs'!$B$21))/SQRT((((465-43)*MAX('Inputs'!$B$33,'Inputs'!$B$29+'Inputs'!$B$31+'Inputs'!$B$32,'Inputs'!$B$30+'Inputs'!$B$31+'Inputs'!$B$32)/1000+'Inputs'!$B$21))^2+('Inputs'!$B$6/2)^2)))-'Results'!C7*(1+'Inputs'!$B$24)*(0.5*((((465-43)*MAX('Inputs'!$B$33,'Inputs'!$B$29+'Inputs'!$B$31+'Inputs'!$B$32,'Inputs'!$B$30+'Inputs'!$B$31+'Inputs'!$B$32)/1000+'Inputs'!$B$21+'Inputs'!$B$7+'Inputs'!$B$10)+'Inputs'!$B$9)/SQRT((((465-43)*MAX('Inputs'!$B$33,'Inputs'!$B$29+'Inputs'!$B$31+'Inputs'!$B$32,'Inputs'!$B$30+'Inputs'!$B$31+'Inputs'!$B$32)/1000+'Inputs'!$B$21+'Inputs'!$B$7+'Inputs'!$B$10)+'Inputs'!$B$9)^2+('Inputs'!$B$8/2)^2)-(((465-43)*MAX('Inputs'!$B$33,'Inputs'!$B$29+'Inputs'!$B$31+'Inputs'!$B$32,'Inputs'!$B$30+'Inputs'!$B$31+'Inputs'!$B$32)/1000+'Inputs'!$B$21+'Inputs'!$B$7+'Inputs'!$B$10))/SQRT((((465-43)*MAX('Inputs'!$B$33,'Inputs'!$B$29+'Inputs'!$B$31+'Inputs'!$B$32,'Inputs'!$B$30+'Inputs'!$B$31+'Inputs'!$B$32)/1000+'Inputs'!$B$21+'Inputs'!$B$7+'Inputs'!$B$10))^2+('Inputs'!$B$8/2)^2))))*'Results'!$B$8))),"")</x:f>
        <x:v>6.615520348442752</x:v>
      </x:c>
      <x:c r="L465" t="n">
        <x:f>IF(AND(ISNUMBER('Results'!B7),ISNUMBER('Results'!C7),ISNUMBER('Results'!$B$8),ISNUMBER('Inputs'!$B$6),ISNUMBER('Inputs'!$B$7),ISNUMBER('Inputs'!$B$8),ISNUMBER('Inputs'!$B$9),ISNUMBER('Inputs'!$B$10),ISNUMBER('Inputs'!$B$21),ISNUMBER('Inputs'!$B$24),ISNUMBER('Inputs'!$B$28)),((('Results'!B7*(1+'Inputs'!$B$24)*(0.5*((((465-43)*MAX('Inputs'!$B$33,'Inputs'!$B$29+'Inputs'!$B$31+'Inputs'!$B$32,'Inputs'!$B$30+'Inputs'!$B$31+'Inputs'!$B$32)/1000+'Inputs'!$B$21)+'Inputs'!$B$7)/SQRT((((465-43)*MAX('Inputs'!$B$33,'Inputs'!$B$29+'Inputs'!$B$31+'Inputs'!$B$32,'Inputs'!$B$30+'Inputs'!$B$31+'Inputs'!$B$32)/1000+'Inputs'!$B$21)+'Inputs'!$B$7)^2+('Inputs'!$B$6/2)^2)-(((465-43)*MAX('Inputs'!$B$33,'Inputs'!$B$29+'Inputs'!$B$31+'Inputs'!$B$32,'Inputs'!$B$30+'Inputs'!$B$31+'Inputs'!$B$32)/1000+'Inputs'!$B$21))/SQRT((((465-43)*MAX('Inputs'!$B$33,'Inputs'!$B$29+'Inputs'!$B$31+'Inputs'!$B$32,'Inputs'!$B$30+'Inputs'!$B$31+'Inputs'!$B$32)/1000+'Inputs'!$B$21))^2+('Inputs'!$B$6/2)^2)))-'Results'!C7*(1-'Inputs'!$B$24)*(0.5*((((465-43)*MAX('Inputs'!$B$33,'Inputs'!$B$29+'Inputs'!$B$31+'Inputs'!$B$32,'Inputs'!$B$30+'Inputs'!$B$31+'Inputs'!$B$32)/1000+'Inputs'!$B$21+'Inputs'!$B$7+'Inputs'!$B$10)+'Inputs'!$B$9)/SQRT((((465-43)*MAX('Inputs'!$B$33,'Inputs'!$B$29+'Inputs'!$B$31+'Inputs'!$B$32,'Inputs'!$B$30+'Inputs'!$B$31+'Inputs'!$B$32)/1000+'Inputs'!$B$21+'Inputs'!$B$7+'Inputs'!$B$10)+'Inputs'!$B$9)^2+('Inputs'!$B$8/2)^2)-(((465-43)*MAX('Inputs'!$B$33,'Inputs'!$B$29+'Inputs'!$B$31+'Inputs'!$B$32,'Inputs'!$B$30+'Inputs'!$B$31+'Inputs'!$B$32)/1000+'Inputs'!$B$21+'Inputs'!$B$7+'Inputs'!$B$10))/SQRT((((465-43)*MAX('Inputs'!$B$33,'Inputs'!$B$29+'Inputs'!$B$31+'Inputs'!$B$32,'Inputs'!$B$30+'Inputs'!$B$31+'Inputs'!$B$32)/1000+'Inputs'!$B$21+'Inputs'!$B$7+'Inputs'!$B$10))^2+('Inputs'!$B$8/2)^2))))*'Results'!$B$8)+'Inputs'!$B$28*ABS((('Results'!B7*(1+'Inputs'!$B$24)*(0.5*((((465-43)*MAX('Inputs'!$B$33,'Inputs'!$B$29+'Inputs'!$B$31+'Inputs'!$B$32,'Inputs'!$B$30+'Inputs'!$B$31+'Inputs'!$B$32)/1000+'Inputs'!$B$21)+'Inputs'!$B$7)/SQRT((((465-43)*MAX('Inputs'!$B$33,'Inputs'!$B$29+'Inputs'!$B$31+'Inputs'!$B$32,'Inputs'!$B$30+'Inputs'!$B$31+'Inputs'!$B$32)/1000+'Inputs'!$B$21)+'Inputs'!$B$7)^2+('Inputs'!$B$6/2)^2)-(((465-43)*MAX('Inputs'!$B$33,'Inputs'!$B$29+'Inputs'!$B$31+'Inputs'!$B$32,'Inputs'!$B$30+'Inputs'!$B$31+'Inputs'!$B$32)/1000+'Inputs'!$B$21))/SQRT((((465-43)*MAX('Inputs'!$B$33,'Inputs'!$B$29+'Inputs'!$B$31+'Inputs'!$B$32,'Inputs'!$B$30+'Inputs'!$B$31+'Inputs'!$B$32)/1000+'Inputs'!$B$21))^2+('Inputs'!$B$6/2)^2)))-'Results'!C7*(1-'Inputs'!$B$24)*(0.5*((((465-43)*MAX('Inputs'!$B$33,'Inputs'!$B$29+'Inputs'!$B$31+'Inputs'!$B$32,'Inputs'!$B$30+'Inputs'!$B$31+'Inputs'!$B$32)/1000+'Inputs'!$B$21+'Inputs'!$B$7+'Inputs'!$B$10)+'Inputs'!$B$9)/SQRT((((465-43)*MAX('Inputs'!$B$33,'Inputs'!$B$29+'Inputs'!$B$31+'Inputs'!$B$32,'Inputs'!$B$30+'Inputs'!$B$31+'Inputs'!$B$32)/1000+'Inputs'!$B$21+'Inputs'!$B$7+'Inputs'!$B$10)+'Inputs'!$B$9)^2+('Inputs'!$B$8/2)^2)-(((465-43)*MAX('Inputs'!$B$33,'Inputs'!$B$29+'Inputs'!$B$31+'Inputs'!$B$32,'Inputs'!$B$30+'Inputs'!$B$31+'Inputs'!$B$32)/1000+'Inputs'!$B$21+'Inputs'!$B$7+'Inputs'!$B$10))/SQRT((((465-43)*MAX('Inputs'!$B$33,'Inputs'!$B$29+'Inputs'!$B$31+'Inputs'!$B$32,'Inputs'!$B$30+'Inputs'!$B$31+'Inputs'!$B$32)/1000+'Inputs'!$B$21+'Inputs'!$B$7+'Inputs'!$B$10))^2+('Inputs'!$B$8/2)^2))))*'Results'!$B$8))),"")</x:f>
        <x:v>8.241047614388522</x:v>
      </x:c>
      <x:c r="M465" t="n">
        <x:f>IF(AND(ISNUMBER('Results'!C7),ISNUMBER('Results'!B7),ISNUMBER('Results'!$B$8),ISNUMBER('Inputs'!$B$6),ISNUMBER('Inputs'!$B$7),ISNUMBER('Inputs'!$B$8),ISNUMBER('Inputs'!$B$9),ISNUMBER('Inputs'!$B$10),ISNUMBER('Inputs'!$B$21),ISNUMBER('Inputs'!$B$24),ISNUMBER('Inputs'!$B$28)),(('Results'!C7*(0.5*((((465-43)*MAX('Inputs'!$B$33,'Inputs'!$B$29+'Inputs'!$B$31+'Inputs'!$B$32,'Inputs'!$B$30+'Inputs'!$B$31+'Inputs'!$B$32)/1000+'Inputs'!$B$21)+'Inputs'!$B$9)/SQRT((((465-43)*MAX('Inputs'!$B$33,'Inputs'!$B$29+'Inputs'!$B$31+'Inputs'!$B$32,'Inputs'!$B$30+'Inputs'!$B$31+'Inputs'!$B$32)/1000+'Inputs'!$B$21)+'Inputs'!$B$9)^2+('Inputs'!$B$8/2)^2)-(((465-43)*MAX('Inputs'!$B$33,'Inputs'!$B$29+'Inputs'!$B$31+'Inputs'!$B$32,'Inputs'!$B$30+'Inputs'!$B$31+'Inputs'!$B$32)/1000+'Inputs'!$B$21))/SQRT((((465-43)*MAX('Inputs'!$B$33,'Inputs'!$B$29+'Inputs'!$B$31+'Inputs'!$B$32,'Inputs'!$B$30+'Inputs'!$B$31+'Inputs'!$B$32)/1000+'Inputs'!$B$21))^2+('Inputs'!$B$8/2)^2)))-'Results'!B7*(0.5*((((465-43)*MAX('Inputs'!$B$33,'Inputs'!$B$29+'Inputs'!$B$31+'Inputs'!$B$32,'Inputs'!$B$30+'Inputs'!$B$31+'Inputs'!$B$32)/1000+'Inputs'!$B$21+'Inputs'!$B$9+'Inputs'!$B$10)+'Inputs'!$B$7)/SQRT((((465-43)*MAX('Inputs'!$B$33,'Inputs'!$B$29+'Inputs'!$B$31+'Inputs'!$B$32,'Inputs'!$B$30+'Inputs'!$B$31+'Inputs'!$B$32)/1000+'Inputs'!$B$21+'Inputs'!$B$9+'Inputs'!$B$10)+'Inputs'!$B$7)^2+('Inputs'!$B$6/2)^2)-(((465-43)*MAX('Inputs'!$B$33,'Inputs'!$B$29+'Inputs'!$B$31+'Inputs'!$B$32,'Inputs'!$B$30+'Inputs'!$B$31+'Inputs'!$B$32)/1000+'Inputs'!$B$21+'Inputs'!$B$9+'Inputs'!$B$10))/SQRT((((465-43)*MAX('Inputs'!$B$33,'Inputs'!$B$29+'Inputs'!$B$31+'Inputs'!$B$32,'Inputs'!$B$30+'Inputs'!$B$31+'Inputs'!$B$32)/1000+'Inputs'!$B$21+'Inputs'!$B$9+'Inputs'!$B$10))^2+('Inputs'!$B$6/2)^2))))*'Results'!$B$8),"")</x:f>
        <x:v>6.960702238625671</x:v>
      </x:c>
      <x:c r="N465" t="n">
        <x:f>IF(AND(ISNUMBER('Results'!C7),ISNUMBER('Results'!B7),ISNUMBER('Results'!$B$8),ISNUMBER('Inputs'!$B$6),ISNUMBER('Inputs'!$B$7),ISNUMBER('Inputs'!$B$8),ISNUMBER('Inputs'!$B$9),ISNUMBER('Inputs'!$B$10),ISNUMBER('Inputs'!$B$21),ISNUMBER('Inputs'!$B$24),ISNUMBER('Inputs'!$B$28)),((('Results'!C7*(1-'Inputs'!$B$24)*(0.5*((((465-43)*MAX('Inputs'!$B$33,'Inputs'!$B$29+'Inputs'!$B$31+'Inputs'!$B$32,'Inputs'!$B$30+'Inputs'!$B$31+'Inputs'!$B$32)/1000+'Inputs'!$B$21)+'Inputs'!$B$9)/SQRT((((465-43)*MAX('Inputs'!$B$33,'Inputs'!$B$29+'Inputs'!$B$31+'Inputs'!$B$32,'Inputs'!$B$30+'Inputs'!$B$31+'Inputs'!$B$32)/1000+'Inputs'!$B$21)+'Inputs'!$B$9)^2+('Inputs'!$B$8/2)^2)-(((465-43)*MAX('Inputs'!$B$33,'Inputs'!$B$29+'Inputs'!$B$31+'Inputs'!$B$32,'Inputs'!$B$30+'Inputs'!$B$31+'Inputs'!$B$32)/1000+'Inputs'!$B$21))/SQRT((((465-43)*MAX('Inputs'!$B$33,'Inputs'!$B$29+'Inputs'!$B$31+'Inputs'!$B$32,'Inputs'!$B$30+'Inputs'!$B$31+'Inputs'!$B$32)/1000+'Inputs'!$B$21))^2+('Inputs'!$B$8/2)^2)))-'Results'!B7*(1+'Inputs'!$B$24)*(0.5*((((465-43)*MAX('Inputs'!$B$33,'Inputs'!$B$29+'Inputs'!$B$31+'Inputs'!$B$32,'Inputs'!$B$30+'Inputs'!$B$31+'Inputs'!$B$32)/1000+'Inputs'!$B$21+'Inputs'!$B$9+'Inputs'!$B$10)+'Inputs'!$B$7)/SQRT((((465-43)*MAX('Inputs'!$B$33,'Inputs'!$B$29+'Inputs'!$B$31+'Inputs'!$B$32,'Inputs'!$B$30+'Inputs'!$B$31+'Inputs'!$B$32)/1000+'Inputs'!$B$21+'Inputs'!$B$9+'Inputs'!$B$10)+'Inputs'!$B$7)^2+('Inputs'!$B$6/2)^2)-(((465-43)*MAX('Inputs'!$B$33,'Inputs'!$B$29+'Inputs'!$B$31+'Inputs'!$B$32,'Inputs'!$B$30+'Inputs'!$B$31+'Inputs'!$B$32)/1000+'Inputs'!$B$21+'Inputs'!$B$9+'Inputs'!$B$10))/SQRT((((465-43)*MAX('Inputs'!$B$33,'Inputs'!$B$29+'Inputs'!$B$31+'Inputs'!$B$32,'Inputs'!$B$30+'Inputs'!$B$31+'Inputs'!$B$32)/1000+'Inputs'!$B$21+'Inputs'!$B$9+'Inputs'!$B$10))^2+('Inputs'!$B$6/2)^2))))*'Results'!$B$8)-'Inputs'!$B$28*ABS((('Results'!C7*(1-'Inputs'!$B$24)*(0.5*((((465-43)*MAX('Inputs'!$B$33,'Inputs'!$B$29+'Inputs'!$B$31+'Inputs'!$B$32,'Inputs'!$B$30+'Inputs'!$B$31+'Inputs'!$B$32)/1000+'Inputs'!$B$21)+'Inputs'!$B$9)/SQRT((((465-43)*MAX('Inputs'!$B$33,'Inputs'!$B$29+'Inputs'!$B$31+'Inputs'!$B$32,'Inputs'!$B$30+'Inputs'!$B$31+'Inputs'!$B$32)/1000+'Inputs'!$B$21)+'Inputs'!$B$9)^2+('Inputs'!$B$8/2)^2)-(((465-43)*MAX('Inputs'!$B$33,'Inputs'!$B$29+'Inputs'!$B$31+'Inputs'!$B$32,'Inputs'!$B$30+'Inputs'!$B$31+'Inputs'!$B$32)/1000+'Inputs'!$B$21))/SQRT((((465-43)*MAX('Inputs'!$B$33,'Inputs'!$B$29+'Inputs'!$B$31+'Inputs'!$B$32,'Inputs'!$B$30+'Inputs'!$B$31+'Inputs'!$B$32)/1000+'Inputs'!$B$21))^2+('Inputs'!$B$8/2)^2)))-'Results'!B7*(1+'Inputs'!$B$24)*(0.5*((((465-43)*MAX('Inputs'!$B$33,'Inputs'!$B$29+'Inputs'!$B$31+'Inputs'!$B$32,'Inputs'!$B$30+'Inputs'!$B$31+'Inputs'!$B$32)/1000+'Inputs'!$B$21+'Inputs'!$B$9+'Inputs'!$B$10)+'Inputs'!$B$7)/SQRT((((465-43)*MAX('Inputs'!$B$33,'Inputs'!$B$29+'Inputs'!$B$31+'Inputs'!$B$32,'Inputs'!$B$30+'Inputs'!$B$31+'Inputs'!$B$32)/1000+'Inputs'!$B$21+'Inputs'!$B$9+'Inputs'!$B$10)+'Inputs'!$B$7)^2+('Inputs'!$B$6/2)^2)-(((465-43)*MAX('Inputs'!$B$33,'Inputs'!$B$29+'Inputs'!$B$31+'Inputs'!$B$32,'Inputs'!$B$30+'Inputs'!$B$31+'Inputs'!$B$32)/1000+'Inputs'!$B$21+'Inputs'!$B$9+'Inputs'!$B$10))/SQRT((((465-43)*MAX('Inputs'!$B$33,'Inputs'!$B$29+'Inputs'!$B$31+'Inputs'!$B$32,'Inputs'!$B$30+'Inputs'!$B$31+'Inputs'!$B$32)/1000+'Inputs'!$B$21+'Inputs'!$B$9+'Inputs'!$B$10))^2+('Inputs'!$B$6/2)^2))))*'Results'!$B$8))),"")</x:f>
        <x:v>6.195091609323994</x:v>
      </x:c>
      <x:c r="O465" t="n">
        <x:f>IF(AND(ISNUMBER('Results'!C7),ISNUMBER('Results'!B7),ISNUMBER('Results'!$B$8),ISNUMBER('Inputs'!$B$6),ISNUMBER('Inputs'!$B$7),ISNUMBER('Inputs'!$B$8),ISNUMBER('Inputs'!$B$9),ISNUMBER('Inputs'!$B$10),ISNUMBER('Inputs'!$B$21),ISNUMBER('Inputs'!$B$24),ISNUMBER('Inputs'!$B$28)),((('Results'!C7*(1+'Inputs'!$B$24)*(0.5*((((465-43)*MAX('Inputs'!$B$33,'Inputs'!$B$29+'Inputs'!$B$31+'Inputs'!$B$32,'Inputs'!$B$30+'Inputs'!$B$31+'Inputs'!$B$32)/1000+'Inputs'!$B$21)+'Inputs'!$B$9)/SQRT((((465-43)*MAX('Inputs'!$B$33,'Inputs'!$B$29+'Inputs'!$B$31+'Inputs'!$B$32,'Inputs'!$B$30+'Inputs'!$B$31+'Inputs'!$B$32)/1000+'Inputs'!$B$21)+'Inputs'!$B$9)^2+('Inputs'!$B$8/2)^2)-(((465-43)*MAX('Inputs'!$B$33,'Inputs'!$B$29+'Inputs'!$B$31+'Inputs'!$B$32,'Inputs'!$B$30+'Inputs'!$B$31+'Inputs'!$B$32)/1000+'Inputs'!$B$21))/SQRT((((465-43)*MAX('Inputs'!$B$33,'Inputs'!$B$29+'Inputs'!$B$31+'Inputs'!$B$32,'Inputs'!$B$30+'Inputs'!$B$31+'Inputs'!$B$32)/1000+'Inputs'!$B$21))^2+('Inputs'!$B$8/2)^2)))-'Results'!B7*(1-'Inputs'!$B$24)*(0.5*((((465-43)*MAX('Inputs'!$B$33,'Inputs'!$B$29+'Inputs'!$B$31+'Inputs'!$B$32,'Inputs'!$B$30+'Inputs'!$B$31+'Inputs'!$B$32)/1000+'Inputs'!$B$21+'Inputs'!$B$9+'Inputs'!$B$10)+'Inputs'!$B$7)/SQRT((((465-43)*MAX('Inputs'!$B$33,'Inputs'!$B$29+'Inputs'!$B$31+'Inputs'!$B$32,'Inputs'!$B$30+'Inputs'!$B$31+'Inputs'!$B$32)/1000+'Inputs'!$B$21+'Inputs'!$B$9+'Inputs'!$B$10)+'Inputs'!$B$7)^2+('Inputs'!$B$6/2)^2)-(((465-43)*MAX('Inputs'!$B$33,'Inputs'!$B$29+'Inputs'!$B$31+'Inputs'!$B$32,'Inputs'!$B$30+'Inputs'!$B$31+'Inputs'!$B$32)/1000+'Inputs'!$B$21+'Inputs'!$B$9+'Inputs'!$B$10))/SQRT((((465-43)*MAX('Inputs'!$B$33,'Inputs'!$B$29+'Inputs'!$B$31+'Inputs'!$B$32,'Inputs'!$B$30+'Inputs'!$B$31+'Inputs'!$B$32)/1000+'Inputs'!$B$21+'Inputs'!$B$9+'Inputs'!$B$10))^2+('Inputs'!$B$6/2)^2))))*'Results'!$B$8)+'Inputs'!$B$28*ABS((('Results'!C7*(1+'Inputs'!$B$24)*(0.5*((((465-43)*MAX('Inputs'!$B$33,'Inputs'!$B$29+'Inputs'!$B$31+'Inputs'!$B$32,'Inputs'!$B$30+'Inputs'!$B$31+'Inputs'!$B$32)/1000+'Inputs'!$B$21)+'Inputs'!$B$9)/SQRT((((465-43)*MAX('Inputs'!$B$33,'Inputs'!$B$29+'Inputs'!$B$31+'Inputs'!$B$32,'Inputs'!$B$30+'Inputs'!$B$31+'Inputs'!$B$32)/1000+'Inputs'!$B$21)+'Inputs'!$B$9)^2+('Inputs'!$B$8/2)^2)-(((465-43)*MAX('Inputs'!$B$33,'Inputs'!$B$29+'Inputs'!$B$31+'Inputs'!$B$32,'Inputs'!$B$30+'Inputs'!$B$31+'Inputs'!$B$32)/1000+'Inputs'!$B$21))/SQRT((((465-43)*MAX('Inputs'!$B$33,'Inputs'!$B$29+'Inputs'!$B$31+'Inputs'!$B$32,'Inputs'!$B$30+'Inputs'!$B$31+'Inputs'!$B$32)/1000+'Inputs'!$B$21))^2+('Inputs'!$B$8/2)^2)))-'Results'!B7*(1-'Inputs'!$B$24)*(0.5*((((465-43)*MAX('Inputs'!$B$33,'Inputs'!$B$29+'Inputs'!$B$31+'Inputs'!$B$32,'Inputs'!$B$30+'Inputs'!$B$31+'Inputs'!$B$32)/1000+'Inputs'!$B$21+'Inputs'!$B$9+'Inputs'!$B$10)+'Inputs'!$B$7)/SQRT((((465-43)*MAX('Inputs'!$B$33,'Inputs'!$B$29+'Inputs'!$B$31+'Inputs'!$B$32,'Inputs'!$B$30+'Inputs'!$B$31+'Inputs'!$B$32)/1000+'Inputs'!$B$21+'Inputs'!$B$9+'Inputs'!$B$10)+'Inputs'!$B$7)^2+('Inputs'!$B$6/2)^2)-(((465-43)*MAX('Inputs'!$B$33,'Inputs'!$B$29+'Inputs'!$B$31+'Inputs'!$B$32,'Inputs'!$B$30+'Inputs'!$B$31+'Inputs'!$B$32)/1000+'Inputs'!$B$21+'Inputs'!$B$9+'Inputs'!$B$10))/SQRT((((465-43)*MAX('Inputs'!$B$33,'Inputs'!$B$29+'Inputs'!$B$31+'Inputs'!$B$32,'Inputs'!$B$30+'Inputs'!$B$31+'Inputs'!$B$32)/1000+'Inputs'!$B$21+'Inputs'!$B$9+'Inputs'!$B$10))^2+('Inputs'!$B$6/2)^2))))*'Results'!$B$8))),"")</x:f>
        <x:v>7.7702681855452855</x:v>
      </x:c>
      <x:c r="P465" t="n">
        <x:f>IF(AND(MAX(J465,J464)&gt;0,J465&gt;J464+0.00000001),1,0)</x:f>
        <x:v>0</x:v>
      </x:c>
      <x:c r="Q465" t="n">
        <x:f>IF(AND(MAX(K465,K464)&gt;0,K465&gt;K464+0.00000001),1,0)</x:f>
        <x:v>0</x:v>
      </x:c>
      <x:c r="R465" t="n">
        <x:f>IF(AND(MAX(L465,L464)&gt;0,L465&gt;L464+0.00000001),1,0)</x:f>
        <x:v>0</x:v>
      </x:c>
      <x:c r="S465" t="n">
        <x:f>IF(AND(MAX(M465,M464)&gt;0,M465&gt;M464+0.00000001),1,0)</x:f>
        <x:v>0</x:v>
      </x:c>
      <x:c r="T465" t="n">
        <x:f>IF(AND(MAX(N465,N464)&gt;0,N465&gt;N464+0.00000001),1,0)</x:f>
        <x:v>0</x:v>
      </x:c>
      <x:c r="U465" t="n">
        <x:f>IF(AND(MAX(O465,O464)&gt;0,O465&gt;O464+0.00000001),1,0)</x:f>
        <x:v>0</x:v>
      </x:c>
    </x:row>
    <x:row r="466">
      <x:c r="J466" t="n">
        <x:f>IF(AND(ISNUMBER('Results'!B7),ISNUMBER('Results'!C7),ISNUMBER('Results'!$B$8),ISNUMBER('Inputs'!$B$6),ISNUMBER('Inputs'!$B$7),ISNUMBER('Inputs'!$B$8),ISNUMBER('Inputs'!$B$9),ISNUMBER('Inputs'!$B$10),ISNUMBER('Inputs'!$B$21),ISNUMBER('Inputs'!$B$24),ISNUMBER('Inputs'!$B$28)),(('Results'!B7*(0.5*((((466-43)*MAX('Inputs'!$B$33,'Inputs'!$B$29+'Inputs'!$B$31+'Inputs'!$B$32,'Inputs'!$B$30+'Inputs'!$B$31+'Inputs'!$B$32)/1000+'Inputs'!$B$21)+'Inputs'!$B$7)/SQRT((((466-43)*MAX('Inputs'!$B$33,'Inputs'!$B$29+'Inputs'!$B$31+'Inputs'!$B$32,'Inputs'!$B$30+'Inputs'!$B$31+'Inputs'!$B$32)/1000+'Inputs'!$B$21)+'Inputs'!$B$7)^2+('Inputs'!$B$6/2)^2)-(((466-43)*MAX('Inputs'!$B$33,'Inputs'!$B$29+'Inputs'!$B$31+'Inputs'!$B$32,'Inputs'!$B$30+'Inputs'!$B$31+'Inputs'!$B$32)/1000+'Inputs'!$B$21))/SQRT((((466-43)*MAX('Inputs'!$B$33,'Inputs'!$B$29+'Inputs'!$B$31+'Inputs'!$B$32,'Inputs'!$B$30+'Inputs'!$B$31+'Inputs'!$B$32)/1000+'Inputs'!$B$21))^2+('Inputs'!$B$6/2)^2)))-'Results'!C7*(0.5*((((466-43)*MAX('Inputs'!$B$33,'Inputs'!$B$29+'Inputs'!$B$31+'Inputs'!$B$32,'Inputs'!$B$30+'Inputs'!$B$31+'Inputs'!$B$32)/1000+'Inputs'!$B$21+'Inputs'!$B$7+'Inputs'!$B$10)+'Inputs'!$B$9)/SQRT((((466-43)*MAX('Inputs'!$B$33,'Inputs'!$B$29+'Inputs'!$B$31+'Inputs'!$B$32,'Inputs'!$B$30+'Inputs'!$B$31+'Inputs'!$B$32)/1000+'Inputs'!$B$21+'Inputs'!$B$7+'Inputs'!$B$10)+'Inputs'!$B$9)^2+('Inputs'!$B$8/2)^2)-(((466-43)*MAX('Inputs'!$B$33,'Inputs'!$B$29+'Inputs'!$B$31+'Inputs'!$B$32,'Inputs'!$B$30+'Inputs'!$B$31+'Inputs'!$B$32)/1000+'Inputs'!$B$21+'Inputs'!$B$7+'Inputs'!$B$10))/SQRT((((466-43)*MAX('Inputs'!$B$33,'Inputs'!$B$29+'Inputs'!$B$31+'Inputs'!$B$32,'Inputs'!$B$30+'Inputs'!$B$31+'Inputs'!$B$32)/1000+'Inputs'!$B$21+'Inputs'!$B$7+'Inputs'!$B$10))^2+('Inputs'!$B$8/2)^2))))*'Results'!$B$8),"")</x:f>
        <x:v>7.3480375680210965</x:v>
      </x:c>
      <x:c r="K466" t="n">
        <x:f>IF(AND(ISNUMBER('Results'!B7),ISNUMBER('Results'!C7),ISNUMBER('Results'!$B$8),ISNUMBER('Inputs'!$B$6),ISNUMBER('Inputs'!$B$7),ISNUMBER('Inputs'!$B$8),ISNUMBER('Inputs'!$B$9),ISNUMBER('Inputs'!$B$10),ISNUMBER('Inputs'!$B$21),ISNUMBER('Inputs'!$B$24),ISNUMBER('Inputs'!$B$28)),((('Results'!B7*(1-'Inputs'!$B$24)*(0.5*((((466-43)*MAX('Inputs'!$B$33,'Inputs'!$B$29+'Inputs'!$B$31+'Inputs'!$B$32,'Inputs'!$B$30+'Inputs'!$B$31+'Inputs'!$B$32)/1000+'Inputs'!$B$21)+'Inputs'!$B$7)/SQRT((((466-43)*MAX('Inputs'!$B$33,'Inputs'!$B$29+'Inputs'!$B$31+'Inputs'!$B$32,'Inputs'!$B$30+'Inputs'!$B$31+'Inputs'!$B$32)/1000+'Inputs'!$B$21)+'Inputs'!$B$7)^2+('Inputs'!$B$6/2)^2)-(((466-43)*MAX('Inputs'!$B$33,'Inputs'!$B$29+'Inputs'!$B$31+'Inputs'!$B$32,'Inputs'!$B$30+'Inputs'!$B$31+'Inputs'!$B$32)/1000+'Inputs'!$B$21))/SQRT((((466-43)*MAX('Inputs'!$B$33,'Inputs'!$B$29+'Inputs'!$B$31+'Inputs'!$B$32,'Inputs'!$B$30+'Inputs'!$B$31+'Inputs'!$B$32)/1000+'Inputs'!$B$21))^2+('Inputs'!$B$6/2)^2)))-'Results'!C7*(1+'Inputs'!$B$24)*(0.5*((((466-43)*MAX('Inputs'!$B$33,'Inputs'!$B$29+'Inputs'!$B$31+'Inputs'!$B$32,'Inputs'!$B$30+'Inputs'!$B$31+'Inputs'!$B$32)/1000+'Inputs'!$B$21+'Inputs'!$B$7+'Inputs'!$B$10)+'Inputs'!$B$9)/SQRT((((466-43)*MAX('Inputs'!$B$33,'Inputs'!$B$29+'Inputs'!$B$31+'Inputs'!$B$32,'Inputs'!$B$30+'Inputs'!$B$31+'Inputs'!$B$32)/1000+'Inputs'!$B$21+'Inputs'!$B$7+'Inputs'!$B$10)+'Inputs'!$B$9)^2+('Inputs'!$B$8/2)^2)-(((466-43)*MAX('Inputs'!$B$33,'Inputs'!$B$29+'Inputs'!$B$31+'Inputs'!$B$32,'Inputs'!$B$30+'Inputs'!$B$31+'Inputs'!$B$32)/1000+'Inputs'!$B$21+'Inputs'!$B$7+'Inputs'!$B$10))/SQRT((((466-43)*MAX('Inputs'!$B$33,'Inputs'!$B$29+'Inputs'!$B$31+'Inputs'!$B$32,'Inputs'!$B$30+'Inputs'!$B$31+'Inputs'!$B$32)/1000+'Inputs'!$B$21+'Inputs'!$B$7+'Inputs'!$B$10))^2+('Inputs'!$B$8/2)^2))))*'Results'!$B$8)-'Inputs'!$B$28*ABS((('Results'!B7*(1-'Inputs'!$B$24)*(0.5*((((466-43)*MAX('Inputs'!$B$33,'Inputs'!$B$29+'Inputs'!$B$31+'Inputs'!$B$32,'Inputs'!$B$30+'Inputs'!$B$31+'Inputs'!$B$32)/1000+'Inputs'!$B$21)+'Inputs'!$B$7)/SQRT((((466-43)*MAX('Inputs'!$B$33,'Inputs'!$B$29+'Inputs'!$B$31+'Inputs'!$B$32,'Inputs'!$B$30+'Inputs'!$B$31+'Inputs'!$B$32)/1000+'Inputs'!$B$21)+'Inputs'!$B$7)^2+('Inputs'!$B$6/2)^2)-(((466-43)*MAX('Inputs'!$B$33,'Inputs'!$B$29+'Inputs'!$B$31+'Inputs'!$B$32,'Inputs'!$B$30+'Inputs'!$B$31+'Inputs'!$B$32)/1000+'Inputs'!$B$21))/SQRT((((466-43)*MAX('Inputs'!$B$33,'Inputs'!$B$29+'Inputs'!$B$31+'Inputs'!$B$32,'Inputs'!$B$30+'Inputs'!$B$31+'Inputs'!$B$32)/1000+'Inputs'!$B$21))^2+('Inputs'!$B$6/2)^2)))-'Results'!C7*(1+'Inputs'!$B$24)*(0.5*((((466-43)*MAX('Inputs'!$B$33,'Inputs'!$B$29+'Inputs'!$B$31+'Inputs'!$B$32,'Inputs'!$B$30+'Inputs'!$B$31+'Inputs'!$B$32)/1000+'Inputs'!$B$21+'Inputs'!$B$7+'Inputs'!$B$10)+'Inputs'!$B$9)/SQRT((((466-43)*MAX('Inputs'!$B$33,'Inputs'!$B$29+'Inputs'!$B$31+'Inputs'!$B$32,'Inputs'!$B$30+'Inputs'!$B$31+'Inputs'!$B$32)/1000+'Inputs'!$B$21+'Inputs'!$B$7+'Inputs'!$B$10)+'Inputs'!$B$9)^2+('Inputs'!$B$8/2)^2)-(((466-43)*MAX('Inputs'!$B$33,'Inputs'!$B$29+'Inputs'!$B$31+'Inputs'!$B$32,'Inputs'!$B$30+'Inputs'!$B$31+'Inputs'!$B$32)/1000+'Inputs'!$B$21+'Inputs'!$B$7+'Inputs'!$B$10))/SQRT((((466-43)*MAX('Inputs'!$B$33,'Inputs'!$B$29+'Inputs'!$B$31+'Inputs'!$B$32,'Inputs'!$B$30+'Inputs'!$B$31+'Inputs'!$B$32)/1000+'Inputs'!$B$21+'Inputs'!$B$7+'Inputs'!$B$10))^2+('Inputs'!$B$8/2)^2))))*'Results'!$B$8))),"")</x:f>
        <x:v>6.562881627737986</x:v>
      </x:c>
      <x:c r="L466" t="n">
        <x:f>IF(AND(ISNUMBER('Results'!B7),ISNUMBER('Results'!C7),ISNUMBER('Results'!$B$8),ISNUMBER('Inputs'!$B$6),ISNUMBER('Inputs'!$B$7),ISNUMBER('Inputs'!$B$8),ISNUMBER('Inputs'!$B$9),ISNUMBER('Inputs'!$B$10),ISNUMBER('Inputs'!$B$21),ISNUMBER('Inputs'!$B$24),ISNUMBER('Inputs'!$B$28)),((('Results'!B7*(1+'Inputs'!$B$24)*(0.5*((((466-43)*MAX('Inputs'!$B$33,'Inputs'!$B$29+'Inputs'!$B$31+'Inputs'!$B$32,'Inputs'!$B$30+'Inputs'!$B$31+'Inputs'!$B$32)/1000+'Inputs'!$B$21)+'Inputs'!$B$7)/SQRT((((466-43)*MAX('Inputs'!$B$33,'Inputs'!$B$29+'Inputs'!$B$31+'Inputs'!$B$32,'Inputs'!$B$30+'Inputs'!$B$31+'Inputs'!$B$32)/1000+'Inputs'!$B$21)+'Inputs'!$B$7)^2+('Inputs'!$B$6/2)^2)-(((466-43)*MAX('Inputs'!$B$33,'Inputs'!$B$29+'Inputs'!$B$31+'Inputs'!$B$32,'Inputs'!$B$30+'Inputs'!$B$31+'Inputs'!$B$32)/1000+'Inputs'!$B$21))/SQRT((((466-43)*MAX('Inputs'!$B$33,'Inputs'!$B$29+'Inputs'!$B$31+'Inputs'!$B$32,'Inputs'!$B$30+'Inputs'!$B$31+'Inputs'!$B$32)/1000+'Inputs'!$B$21))^2+('Inputs'!$B$6/2)^2)))-'Results'!C7*(1-'Inputs'!$B$24)*(0.5*((((466-43)*MAX('Inputs'!$B$33,'Inputs'!$B$29+'Inputs'!$B$31+'Inputs'!$B$32,'Inputs'!$B$30+'Inputs'!$B$31+'Inputs'!$B$32)/1000+'Inputs'!$B$21+'Inputs'!$B$7+'Inputs'!$B$10)+'Inputs'!$B$9)/SQRT((((466-43)*MAX('Inputs'!$B$33,'Inputs'!$B$29+'Inputs'!$B$31+'Inputs'!$B$32,'Inputs'!$B$30+'Inputs'!$B$31+'Inputs'!$B$32)/1000+'Inputs'!$B$21+'Inputs'!$B$7+'Inputs'!$B$10)+'Inputs'!$B$9)^2+('Inputs'!$B$8/2)^2)-(((466-43)*MAX('Inputs'!$B$33,'Inputs'!$B$29+'Inputs'!$B$31+'Inputs'!$B$32,'Inputs'!$B$30+'Inputs'!$B$31+'Inputs'!$B$32)/1000+'Inputs'!$B$21+'Inputs'!$B$7+'Inputs'!$B$10))/SQRT((((466-43)*MAX('Inputs'!$B$33,'Inputs'!$B$29+'Inputs'!$B$31+'Inputs'!$B$32,'Inputs'!$B$30+'Inputs'!$B$31+'Inputs'!$B$32)/1000+'Inputs'!$B$21+'Inputs'!$B$7+'Inputs'!$B$10))^2+('Inputs'!$B$8/2)^2))))*'Results'!$B$8)+'Inputs'!$B$28*ABS((('Results'!B7*(1+'Inputs'!$B$24)*(0.5*((((466-43)*MAX('Inputs'!$B$33,'Inputs'!$B$29+'Inputs'!$B$31+'Inputs'!$B$32,'Inputs'!$B$30+'Inputs'!$B$31+'Inputs'!$B$32)/1000+'Inputs'!$B$21)+'Inputs'!$B$7)/SQRT((((466-43)*MAX('Inputs'!$B$33,'Inputs'!$B$29+'Inputs'!$B$31+'Inputs'!$B$32,'Inputs'!$B$30+'Inputs'!$B$31+'Inputs'!$B$32)/1000+'Inputs'!$B$21)+'Inputs'!$B$7)^2+('Inputs'!$B$6/2)^2)-(((466-43)*MAX('Inputs'!$B$33,'Inputs'!$B$29+'Inputs'!$B$31+'Inputs'!$B$32,'Inputs'!$B$30+'Inputs'!$B$31+'Inputs'!$B$32)/1000+'Inputs'!$B$21))/SQRT((((466-43)*MAX('Inputs'!$B$33,'Inputs'!$B$29+'Inputs'!$B$31+'Inputs'!$B$32,'Inputs'!$B$30+'Inputs'!$B$31+'Inputs'!$B$32)/1000+'Inputs'!$B$21))^2+('Inputs'!$B$6/2)^2)))-'Results'!C7*(1-'Inputs'!$B$24)*(0.5*((((466-43)*MAX('Inputs'!$B$33,'Inputs'!$B$29+'Inputs'!$B$31+'Inputs'!$B$32,'Inputs'!$B$30+'Inputs'!$B$31+'Inputs'!$B$32)/1000+'Inputs'!$B$21+'Inputs'!$B$7+'Inputs'!$B$10)+'Inputs'!$B$9)/SQRT((((466-43)*MAX('Inputs'!$B$33,'Inputs'!$B$29+'Inputs'!$B$31+'Inputs'!$B$32,'Inputs'!$B$30+'Inputs'!$B$31+'Inputs'!$B$32)/1000+'Inputs'!$B$21+'Inputs'!$B$7+'Inputs'!$B$10)+'Inputs'!$B$9)^2+('Inputs'!$B$8/2)^2)-(((466-43)*MAX('Inputs'!$B$33,'Inputs'!$B$29+'Inputs'!$B$31+'Inputs'!$B$32,'Inputs'!$B$30+'Inputs'!$B$31+'Inputs'!$B$32)/1000+'Inputs'!$B$21+'Inputs'!$B$7+'Inputs'!$B$10))/SQRT((((466-43)*MAX('Inputs'!$B$33,'Inputs'!$B$29+'Inputs'!$B$31+'Inputs'!$B$32,'Inputs'!$B$30+'Inputs'!$B$31+'Inputs'!$B$32)/1000+'Inputs'!$B$21+'Inputs'!$B$7+'Inputs'!$B$10))^2+('Inputs'!$B$8/2)^2))))*'Results'!$B$8))),"")</x:f>
        <x:v>8.177167620081265</x:v>
      </x:c>
      <x:c r="M466" t="n">
        <x:f>IF(AND(ISNUMBER('Results'!C7),ISNUMBER('Results'!B7),ISNUMBER('Results'!$B$8),ISNUMBER('Inputs'!$B$6),ISNUMBER('Inputs'!$B$7),ISNUMBER('Inputs'!$B$8),ISNUMBER('Inputs'!$B$9),ISNUMBER('Inputs'!$B$10),ISNUMBER('Inputs'!$B$21),ISNUMBER('Inputs'!$B$24),ISNUMBER('Inputs'!$B$28)),(('Results'!C7*(0.5*((((466-43)*MAX('Inputs'!$B$33,'Inputs'!$B$29+'Inputs'!$B$31+'Inputs'!$B$32,'Inputs'!$B$30+'Inputs'!$B$31+'Inputs'!$B$32)/1000+'Inputs'!$B$21)+'Inputs'!$B$9)/SQRT((((466-43)*MAX('Inputs'!$B$33,'Inputs'!$B$29+'Inputs'!$B$31+'Inputs'!$B$32,'Inputs'!$B$30+'Inputs'!$B$31+'Inputs'!$B$32)/1000+'Inputs'!$B$21)+'Inputs'!$B$9)^2+('Inputs'!$B$8/2)^2)-(((466-43)*MAX('Inputs'!$B$33,'Inputs'!$B$29+'Inputs'!$B$31+'Inputs'!$B$32,'Inputs'!$B$30+'Inputs'!$B$31+'Inputs'!$B$32)/1000+'Inputs'!$B$21))/SQRT((((466-43)*MAX('Inputs'!$B$33,'Inputs'!$B$29+'Inputs'!$B$31+'Inputs'!$B$32,'Inputs'!$B$30+'Inputs'!$B$31+'Inputs'!$B$32)/1000+'Inputs'!$B$21))^2+('Inputs'!$B$8/2)^2)))-'Results'!B7*(0.5*((((466-43)*MAX('Inputs'!$B$33,'Inputs'!$B$29+'Inputs'!$B$31+'Inputs'!$B$32,'Inputs'!$B$30+'Inputs'!$B$31+'Inputs'!$B$32)/1000+'Inputs'!$B$21+'Inputs'!$B$9+'Inputs'!$B$10)+'Inputs'!$B$7)/SQRT((((466-43)*MAX('Inputs'!$B$33,'Inputs'!$B$29+'Inputs'!$B$31+'Inputs'!$B$32,'Inputs'!$B$30+'Inputs'!$B$31+'Inputs'!$B$32)/1000+'Inputs'!$B$21+'Inputs'!$B$9+'Inputs'!$B$10)+'Inputs'!$B$7)^2+('Inputs'!$B$6/2)^2)-(((466-43)*MAX('Inputs'!$B$33,'Inputs'!$B$29+'Inputs'!$B$31+'Inputs'!$B$32,'Inputs'!$B$30+'Inputs'!$B$31+'Inputs'!$B$32)/1000+'Inputs'!$B$21+'Inputs'!$B$9+'Inputs'!$B$10))/SQRT((((466-43)*MAX('Inputs'!$B$33,'Inputs'!$B$29+'Inputs'!$B$31+'Inputs'!$B$32,'Inputs'!$B$30+'Inputs'!$B$31+'Inputs'!$B$32)/1000+'Inputs'!$B$21+'Inputs'!$B$9+'Inputs'!$B$10))^2+('Inputs'!$B$6/2)^2))))*'Results'!$B$8),"")</x:f>
        <x:v>6.905308895491225</x:v>
      </x:c>
      <x:c r="N466" t="n">
        <x:f>IF(AND(ISNUMBER('Results'!C7),ISNUMBER('Results'!B7),ISNUMBER('Results'!$B$8),ISNUMBER('Inputs'!$B$6),ISNUMBER('Inputs'!$B$7),ISNUMBER('Inputs'!$B$8),ISNUMBER('Inputs'!$B$9),ISNUMBER('Inputs'!$B$10),ISNUMBER('Inputs'!$B$21),ISNUMBER('Inputs'!$B$24),ISNUMBER('Inputs'!$B$28)),((('Results'!C7*(1-'Inputs'!$B$24)*(0.5*((((466-43)*MAX('Inputs'!$B$33,'Inputs'!$B$29+'Inputs'!$B$31+'Inputs'!$B$32,'Inputs'!$B$30+'Inputs'!$B$31+'Inputs'!$B$32)/1000+'Inputs'!$B$21)+'Inputs'!$B$9)/SQRT((((466-43)*MAX('Inputs'!$B$33,'Inputs'!$B$29+'Inputs'!$B$31+'Inputs'!$B$32,'Inputs'!$B$30+'Inputs'!$B$31+'Inputs'!$B$32)/1000+'Inputs'!$B$21)+'Inputs'!$B$9)^2+('Inputs'!$B$8/2)^2)-(((466-43)*MAX('Inputs'!$B$33,'Inputs'!$B$29+'Inputs'!$B$31+'Inputs'!$B$32,'Inputs'!$B$30+'Inputs'!$B$31+'Inputs'!$B$32)/1000+'Inputs'!$B$21))/SQRT((((466-43)*MAX('Inputs'!$B$33,'Inputs'!$B$29+'Inputs'!$B$31+'Inputs'!$B$32,'Inputs'!$B$30+'Inputs'!$B$31+'Inputs'!$B$32)/1000+'Inputs'!$B$21))^2+('Inputs'!$B$8/2)^2)))-'Results'!B7*(1+'Inputs'!$B$24)*(0.5*((((466-43)*MAX('Inputs'!$B$33,'Inputs'!$B$29+'Inputs'!$B$31+'Inputs'!$B$32,'Inputs'!$B$30+'Inputs'!$B$31+'Inputs'!$B$32)/1000+'Inputs'!$B$21+'Inputs'!$B$9+'Inputs'!$B$10)+'Inputs'!$B$7)/SQRT((((466-43)*MAX('Inputs'!$B$33,'Inputs'!$B$29+'Inputs'!$B$31+'Inputs'!$B$32,'Inputs'!$B$30+'Inputs'!$B$31+'Inputs'!$B$32)/1000+'Inputs'!$B$21+'Inputs'!$B$9+'Inputs'!$B$10)+'Inputs'!$B$7)^2+('Inputs'!$B$6/2)^2)-(((466-43)*MAX('Inputs'!$B$33,'Inputs'!$B$29+'Inputs'!$B$31+'Inputs'!$B$32,'Inputs'!$B$30+'Inputs'!$B$31+'Inputs'!$B$32)/1000+'Inputs'!$B$21+'Inputs'!$B$9+'Inputs'!$B$10))/SQRT((((466-43)*MAX('Inputs'!$B$33,'Inputs'!$B$29+'Inputs'!$B$31+'Inputs'!$B$32,'Inputs'!$B$30+'Inputs'!$B$31+'Inputs'!$B$32)/1000+'Inputs'!$B$21+'Inputs'!$B$9+'Inputs'!$B$10))^2+('Inputs'!$B$6/2)^2))))*'Results'!$B$8)-'Inputs'!$B$28*ABS((('Results'!C7*(1-'Inputs'!$B$24)*(0.5*((((466-43)*MAX('Inputs'!$B$33,'Inputs'!$B$29+'Inputs'!$B$31+'Inputs'!$B$32,'Inputs'!$B$30+'Inputs'!$B$31+'Inputs'!$B$32)/1000+'Inputs'!$B$21)+'Inputs'!$B$9)/SQRT((((466-43)*MAX('Inputs'!$B$33,'Inputs'!$B$29+'Inputs'!$B$31+'Inputs'!$B$32,'Inputs'!$B$30+'Inputs'!$B$31+'Inputs'!$B$32)/1000+'Inputs'!$B$21)+'Inputs'!$B$9)^2+('Inputs'!$B$8/2)^2)-(((466-43)*MAX('Inputs'!$B$33,'Inputs'!$B$29+'Inputs'!$B$31+'Inputs'!$B$32,'Inputs'!$B$30+'Inputs'!$B$31+'Inputs'!$B$32)/1000+'Inputs'!$B$21))/SQRT((((466-43)*MAX('Inputs'!$B$33,'Inputs'!$B$29+'Inputs'!$B$31+'Inputs'!$B$32,'Inputs'!$B$30+'Inputs'!$B$31+'Inputs'!$B$32)/1000+'Inputs'!$B$21))^2+('Inputs'!$B$8/2)^2)))-'Results'!B7*(1+'Inputs'!$B$24)*(0.5*((((466-43)*MAX('Inputs'!$B$33,'Inputs'!$B$29+'Inputs'!$B$31+'Inputs'!$B$32,'Inputs'!$B$30+'Inputs'!$B$31+'Inputs'!$B$32)/1000+'Inputs'!$B$21+'Inputs'!$B$9+'Inputs'!$B$10)+'Inputs'!$B$7)/SQRT((((466-43)*MAX('Inputs'!$B$33,'Inputs'!$B$29+'Inputs'!$B$31+'Inputs'!$B$32,'Inputs'!$B$30+'Inputs'!$B$31+'Inputs'!$B$32)/1000+'Inputs'!$B$21+'Inputs'!$B$9+'Inputs'!$B$10)+'Inputs'!$B$7)^2+('Inputs'!$B$6/2)^2)-(((466-43)*MAX('Inputs'!$B$33,'Inputs'!$B$29+'Inputs'!$B$31+'Inputs'!$B$32,'Inputs'!$B$30+'Inputs'!$B$31+'Inputs'!$B$32)/1000+'Inputs'!$B$21+'Inputs'!$B$9+'Inputs'!$B$10))/SQRT((((466-43)*MAX('Inputs'!$B$33,'Inputs'!$B$29+'Inputs'!$B$31+'Inputs'!$B$32,'Inputs'!$B$30+'Inputs'!$B$31+'Inputs'!$B$32)/1000+'Inputs'!$B$21+'Inputs'!$B$9+'Inputs'!$B$10))^2+('Inputs'!$B$6/2)^2))))*'Results'!$B$8))),"")</x:f>
        <x:v>6.145024879570027</x:v>
      </x:c>
      <x:c r="O466" t="n">
        <x:f>IF(AND(ISNUMBER('Results'!C7),ISNUMBER('Results'!B7),ISNUMBER('Results'!$B$8),ISNUMBER('Inputs'!$B$6),ISNUMBER('Inputs'!$B$7),ISNUMBER('Inputs'!$B$8),ISNUMBER('Inputs'!$B$9),ISNUMBER('Inputs'!$B$10),ISNUMBER('Inputs'!$B$21),ISNUMBER('Inputs'!$B$24),ISNUMBER('Inputs'!$B$28)),((('Results'!C7*(1+'Inputs'!$B$24)*(0.5*((((466-43)*MAX('Inputs'!$B$33,'Inputs'!$B$29+'Inputs'!$B$31+'Inputs'!$B$32,'Inputs'!$B$30+'Inputs'!$B$31+'Inputs'!$B$32)/1000+'Inputs'!$B$21)+'Inputs'!$B$9)/SQRT((((466-43)*MAX('Inputs'!$B$33,'Inputs'!$B$29+'Inputs'!$B$31+'Inputs'!$B$32,'Inputs'!$B$30+'Inputs'!$B$31+'Inputs'!$B$32)/1000+'Inputs'!$B$21)+'Inputs'!$B$9)^2+('Inputs'!$B$8/2)^2)-(((466-43)*MAX('Inputs'!$B$33,'Inputs'!$B$29+'Inputs'!$B$31+'Inputs'!$B$32,'Inputs'!$B$30+'Inputs'!$B$31+'Inputs'!$B$32)/1000+'Inputs'!$B$21))/SQRT((((466-43)*MAX('Inputs'!$B$33,'Inputs'!$B$29+'Inputs'!$B$31+'Inputs'!$B$32,'Inputs'!$B$30+'Inputs'!$B$31+'Inputs'!$B$32)/1000+'Inputs'!$B$21))^2+('Inputs'!$B$8/2)^2)))-'Results'!B7*(1-'Inputs'!$B$24)*(0.5*((((466-43)*MAX('Inputs'!$B$33,'Inputs'!$B$29+'Inputs'!$B$31+'Inputs'!$B$32,'Inputs'!$B$30+'Inputs'!$B$31+'Inputs'!$B$32)/1000+'Inputs'!$B$21+'Inputs'!$B$9+'Inputs'!$B$10)+'Inputs'!$B$7)/SQRT((((466-43)*MAX('Inputs'!$B$33,'Inputs'!$B$29+'Inputs'!$B$31+'Inputs'!$B$32,'Inputs'!$B$30+'Inputs'!$B$31+'Inputs'!$B$32)/1000+'Inputs'!$B$21+'Inputs'!$B$9+'Inputs'!$B$10)+'Inputs'!$B$7)^2+('Inputs'!$B$6/2)^2)-(((466-43)*MAX('Inputs'!$B$33,'Inputs'!$B$29+'Inputs'!$B$31+'Inputs'!$B$32,'Inputs'!$B$30+'Inputs'!$B$31+'Inputs'!$B$32)/1000+'Inputs'!$B$21+'Inputs'!$B$9+'Inputs'!$B$10))/SQRT((((466-43)*MAX('Inputs'!$B$33,'Inputs'!$B$29+'Inputs'!$B$31+'Inputs'!$B$32,'Inputs'!$B$30+'Inputs'!$B$31+'Inputs'!$B$32)/1000+'Inputs'!$B$21+'Inputs'!$B$9+'Inputs'!$B$10))^2+('Inputs'!$B$6/2)^2))))*'Results'!$B$8)+'Inputs'!$B$28*ABS((('Results'!C7*(1+'Inputs'!$B$24)*(0.5*((((466-43)*MAX('Inputs'!$B$33,'Inputs'!$B$29+'Inputs'!$B$31+'Inputs'!$B$32,'Inputs'!$B$30+'Inputs'!$B$31+'Inputs'!$B$32)/1000+'Inputs'!$B$21)+'Inputs'!$B$9)/SQRT((((466-43)*MAX('Inputs'!$B$33,'Inputs'!$B$29+'Inputs'!$B$31+'Inputs'!$B$32,'Inputs'!$B$30+'Inputs'!$B$31+'Inputs'!$B$32)/1000+'Inputs'!$B$21)+'Inputs'!$B$9)^2+('Inputs'!$B$8/2)^2)-(((466-43)*MAX('Inputs'!$B$33,'Inputs'!$B$29+'Inputs'!$B$31+'Inputs'!$B$32,'Inputs'!$B$30+'Inputs'!$B$31+'Inputs'!$B$32)/1000+'Inputs'!$B$21))/SQRT((((466-43)*MAX('Inputs'!$B$33,'Inputs'!$B$29+'Inputs'!$B$31+'Inputs'!$B$32,'Inputs'!$B$30+'Inputs'!$B$31+'Inputs'!$B$32)/1000+'Inputs'!$B$21))^2+('Inputs'!$B$8/2)^2)))-'Results'!B7*(1-'Inputs'!$B$24)*(0.5*((((466-43)*MAX('Inputs'!$B$33,'Inputs'!$B$29+'Inputs'!$B$31+'Inputs'!$B$32,'Inputs'!$B$30+'Inputs'!$B$31+'Inputs'!$B$32)/1000+'Inputs'!$B$21+'Inputs'!$B$9+'Inputs'!$B$10)+'Inputs'!$B$7)/SQRT((((466-43)*MAX('Inputs'!$B$33,'Inputs'!$B$29+'Inputs'!$B$31+'Inputs'!$B$32,'Inputs'!$B$30+'Inputs'!$B$31+'Inputs'!$B$32)/1000+'Inputs'!$B$21+'Inputs'!$B$9+'Inputs'!$B$10)+'Inputs'!$B$7)^2+('Inputs'!$B$6/2)^2)-(((466-43)*MAX('Inputs'!$B$33,'Inputs'!$B$29+'Inputs'!$B$31+'Inputs'!$B$32,'Inputs'!$B$30+'Inputs'!$B$31+'Inputs'!$B$32)/1000+'Inputs'!$B$21+'Inputs'!$B$9+'Inputs'!$B$10))/SQRT((((466-43)*MAX('Inputs'!$B$33,'Inputs'!$B$29+'Inputs'!$B$31+'Inputs'!$B$32,'Inputs'!$B$30+'Inputs'!$B$31+'Inputs'!$B$32)/1000+'Inputs'!$B$21+'Inputs'!$B$9+'Inputs'!$B$10))^2+('Inputs'!$B$6/2)^2))))*'Results'!$B$8))),"")</x:f>
        <x:v>7.709279076796277</x:v>
      </x:c>
      <x:c r="P466" t="n">
        <x:f>IF(AND(MAX(J466,J465)&gt;0,J466&gt;J465+0.00000001),1,0)</x:f>
        <x:v>0</x:v>
      </x:c>
      <x:c r="Q466" t="n">
        <x:f>IF(AND(MAX(K466,K465)&gt;0,K466&gt;K465+0.00000001),1,0)</x:f>
        <x:v>0</x:v>
      </x:c>
      <x:c r="R466" t="n">
        <x:f>IF(AND(MAX(L466,L465)&gt;0,L466&gt;L465+0.00000001),1,0)</x:f>
        <x:v>0</x:v>
      </x:c>
      <x:c r="S466" t="n">
        <x:f>IF(AND(MAX(M466,M465)&gt;0,M466&gt;M465+0.00000001),1,0)</x:f>
        <x:v>0</x:v>
      </x:c>
      <x:c r="T466" t="n">
        <x:f>IF(AND(MAX(N466,N465)&gt;0,N466&gt;N465+0.00000001),1,0)</x:f>
        <x:v>0</x:v>
      </x:c>
      <x:c r="U466" t="n">
        <x:f>IF(AND(MAX(O466,O465)&gt;0,O466&gt;O465+0.00000001),1,0)</x:f>
        <x:v>0</x:v>
      </x:c>
    </x:row>
    <x:row r="467">
      <x:c r="J467" t="n">
        <x:f>IF(AND(ISNUMBER('Results'!B7),ISNUMBER('Results'!C7),ISNUMBER('Results'!$B$8),ISNUMBER('Inputs'!$B$6),ISNUMBER('Inputs'!$B$7),ISNUMBER('Inputs'!$B$8),ISNUMBER('Inputs'!$B$9),ISNUMBER('Inputs'!$B$10),ISNUMBER('Inputs'!$B$21),ISNUMBER('Inputs'!$B$24),ISNUMBER('Inputs'!$B$28)),(('Results'!B7*(0.5*((((467-43)*MAX('Inputs'!$B$33,'Inputs'!$B$29+'Inputs'!$B$31+'Inputs'!$B$32,'Inputs'!$B$30+'Inputs'!$B$31+'Inputs'!$B$32)/1000+'Inputs'!$B$21)+'Inputs'!$B$7)/SQRT((((467-43)*MAX('Inputs'!$B$33,'Inputs'!$B$29+'Inputs'!$B$31+'Inputs'!$B$32,'Inputs'!$B$30+'Inputs'!$B$31+'Inputs'!$B$32)/1000+'Inputs'!$B$21)+'Inputs'!$B$7)^2+('Inputs'!$B$6/2)^2)-(((467-43)*MAX('Inputs'!$B$33,'Inputs'!$B$29+'Inputs'!$B$31+'Inputs'!$B$32,'Inputs'!$B$30+'Inputs'!$B$31+'Inputs'!$B$32)/1000+'Inputs'!$B$21))/SQRT((((467-43)*MAX('Inputs'!$B$33,'Inputs'!$B$29+'Inputs'!$B$31+'Inputs'!$B$32,'Inputs'!$B$30+'Inputs'!$B$31+'Inputs'!$B$32)/1000+'Inputs'!$B$21))^2+('Inputs'!$B$6/2)^2)))-'Results'!C7*(0.5*((((467-43)*MAX('Inputs'!$B$33,'Inputs'!$B$29+'Inputs'!$B$31+'Inputs'!$B$32,'Inputs'!$B$30+'Inputs'!$B$31+'Inputs'!$B$32)/1000+'Inputs'!$B$21+'Inputs'!$B$7+'Inputs'!$B$10)+'Inputs'!$B$9)/SQRT((((467-43)*MAX('Inputs'!$B$33,'Inputs'!$B$29+'Inputs'!$B$31+'Inputs'!$B$32,'Inputs'!$B$30+'Inputs'!$B$31+'Inputs'!$B$32)/1000+'Inputs'!$B$21+'Inputs'!$B$7+'Inputs'!$B$10)+'Inputs'!$B$9)^2+('Inputs'!$B$8/2)^2)-(((467-43)*MAX('Inputs'!$B$33,'Inputs'!$B$29+'Inputs'!$B$31+'Inputs'!$B$32,'Inputs'!$B$30+'Inputs'!$B$31+'Inputs'!$B$32)/1000+'Inputs'!$B$21+'Inputs'!$B$7+'Inputs'!$B$10))/SQRT((((467-43)*MAX('Inputs'!$B$33,'Inputs'!$B$29+'Inputs'!$B$31+'Inputs'!$B$32,'Inputs'!$B$30+'Inputs'!$B$31+'Inputs'!$B$32)/1000+'Inputs'!$B$21+'Inputs'!$B$7+'Inputs'!$B$10))^2+('Inputs'!$B$8/2)^2))))*'Results'!$B$8),"")</x:f>
        <x:v>7.290483095323778</x:v>
      </x:c>
      <x:c r="K467" t="n">
        <x:f>IF(AND(ISNUMBER('Results'!B7),ISNUMBER('Results'!C7),ISNUMBER('Results'!$B$8),ISNUMBER('Inputs'!$B$6),ISNUMBER('Inputs'!$B$7),ISNUMBER('Inputs'!$B$8),ISNUMBER('Inputs'!$B$9),ISNUMBER('Inputs'!$B$10),ISNUMBER('Inputs'!$B$21),ISNUMBER('Inputs'!$B$24),ISNUMBER('Inputs'!$B$28)),((('Results'!B7*(1-'Inputs'!$B$24)*(0.5*((((467-43)*MAX('Inputs'!$B$33,'Inputs'!$B$29+'Inputs'!$B$31+'Inputs'!$B$32,'Inputs'!$B$30+'Inputs'!$B$31+'Inputs'!$B$32)/1000+'Inputs'!$B$21)+'Inputs'!$B$7)/SQRT((((467-43)*MAX('Inputs'!$B$33,'Inputs'!$B$29+'Inputs'!$B$31+'Inputs'!$B$32,'Inputs'!$B$30+'Inputs'!$B$31+'Inputs'!$B$32)/1000+'Inputs'!$B$21)+'Inputs'!$B$7)^2+('Inputs'!$B$6/2)^2)-(((467-43)*MAX('Inputs'!$B$33,'Inputs'!$B$29+'Inputs'!$B$31+'Inputs'!$B$32,'Inputs'!$B$30+'Inputs'!$B$31+'Inputs'!$B$32)/1000+'Inputs'!$B$21))/SQRT((((467-43)*MAX('Inputs'!$B$33,'Inputs'!$B$29+'Inputs'!$B$31+'Inputs'!$B$32,'Inputs'!$B$30+'Inputs'!$B$31+'Inputs'!$B$32)/1000+'Inputs'!$B$21))^2+('Inputs'!$B$6/2)^2)))-'Results'!C7*(1+'Inputs'!$B$24)*(0.5*((((467-43)*MAX('Inputs'!$B$33,'Inputs'!$B$29+'Inputs'!$B$31+'Inputs'!$B$32,'Inputs'!$B$30+'Inputs'!$B$31+'Inputs'!$B$32)/1000+'Inputs'!$B$21+'Inputs'!$B$7+'Inputs'!$B$10)+'Inputs'!$B$9)/SQRT((((467-43)*MAX('Inputs'!$B$33,'Inputs'!$B$29+'Inputs'!$B$31+'Inputs'!$B$32,'Inputs'!$B$30+'Inputs'!$B$31+'Inputs'!$B$32)/1000+'Inputs'!$B$21+'Inputs'!$B$7+'Inputs'!$B$10)+'Inputs'!$B$9)^2+('Inputs'!$B$8/2)^2)-(((467-43)*MAX('Inputs'!$B$33,'Inputs'!$B$29+'Inputs'!$B$31+'Inputs'!$B$32,'Inputs'!$B$30+'Inputs'!$B$31+'Inputs'!$B$32)/1000+'Inputs'!$B$21+'Inputs'!$B$7+'Inputs'!$B$10))/SQRT((((467-43)*MAX('Inputs'!$B$33,'Inputs'!$B$29+'Inputs'!$B$31+'Inputs'!$B$32,'Inputs'!$B$30+'Inputs'!$B$31+'Inputs'!$B$32)/1000+'Inputs'!$B$21+'Inputs'!$B$7+'Inputs'!$B$10))^2+('Inputs'!$B$8/2)^2))))*'Results'!$B$8)-'Inputs'!$B$28*ABS((('Results'!B7*(1-'Inputs'!$B$24)*(0.5*((((467-43)*MAX('Inputs'!$B$33,'Inputs'!$B$29+'Inputs'!$B$31+'Inputs'!$B$32,'Inputs'!$B$30+'Inputs'!$B$31+'Inputs'!$B$32)/1000+'Inputs'!$B$21)+'Inputs'!$B$7)/SQRT((((467-43)*MAX('Inputs'!$B$33,'Inputs'!$B$29+'Inputs'!$B$31+'Inputs'!$B$32,'Inputs'!$B$30+'Inputs'!$B$31+'Inputs'!$B$32)/1000+'Inputs'!$B$21)+'Inputs'!$B$7)^2+('Inputs'!$B$6/2)^2)-(((467-43)*MAX('Inputs'!$B$33,'Inputs'!$B$29+'Inputs'!$B$31+'Inputs'!$B$32,'Inputs'!$B$30+'Inputs'!$B$31+'Inputs'!$B$32)/1000+'Inputs'!$B$21))/SQRT((((467-43)*MAX('Inputs'!$B$33,'Inputs'!$B$29+'Inputs'!$B$31+'Inputs'!$B$32,'Inputs'!$B$30+'Inputs'!$B$31+'Inputs'!$B$32)/1000+'Inputs'!$B$21))^2+('Inputs'!$B$6/2)^2)))-'Results'!C7*(1+'Inputs'!$B$24)*(0.5*((((467-43)*MAX('Inputs'!$B$33,'Inputs'!$B$29+'Inputs'!$B$31+'Inputs'!$B$32,'Inputs'!$B$30+'Inputs'!$B$31+'Inputs'!$B$32)/1000+'Inputs'!$B$21+'Inputs'!$B$7+'Inputs'!$B$10)+'Inputs'!$B$9)/SQRT((((467-43)*MAX('Inputs'!$B$33,'Inputs'!$B$29+'Inputs'!$B$31+'Inputs'!$B$32,'Inputs'!$B$30+'Inputs'!$B$31+'Inputs'!$B$32)/1000+'Inputs'!$B$21+'Inputs'!$B$7+'Inputs'!$B$10)+'Inputs'!$B$9)^2+('Inputs'!$B$8/2)^2)-(((467-43)*MAX('Inputs'!$B$33,'Inputs'!$B$29+'Inputs'!$B$31+'Inputs'!$B$32,'Inputs'!$B$30+'Inputs'!$B$31+'Inputs'!$B$32)/1000+'Inputs'!$B$21+'Inputs'!$B$7+'Inputs'!$B$10))/SQRT((((467-43)*MAX('Inputs'!$B$33,'Inputs'!$B$29+'Inputs'!$B$31+'Inputs'!$B$32,'Inputs'!$B$30+'Inputs'!$B$31+'Inputs'!$B$32)/1000+'Inputs'!$B$21+'Inputs'!$B$7+'Inputs'!$B$10))^2+('Inputs'!$B$8/2)^2))))*'Results'!$B$8))),"")</x:f>
        <x:v>6.510762497788414</x:v>
      </x:c>
      <x:c r="L467" t="n">
        <x:f>IF(AND(ISNUMBER('Results'!B7),ISNUMBER('Results'!C7),ISNUMBER('Results'!$B$8),ISNUMBER('Inputs'!$B$6),ISNUMBER('Inputs'!$B$7),ISNUMBER('Inputs'!$B$8),ISNUMBER('Inputs'!$B$9),ISNUMBER('Inputs'!$B$10),ISNUMBER('Inputs'!$B$21),ISNUMBER('Inputs'!$B$24),ISNUMBER('Inputs'!$B$28)),((('Results'!B7*(1+'Inputs'!$B$24)*(0.5*((((467-43)*MAX('Inputs'!$B$33,'Inputs'!$B$29+'Inputs'!$B$31+'Inputs'!$B$32,'Inputs'!$B$30+'Inputs'!$B$31+'Inputs'!$B$32)/1000+'Inputs'!$B$21)+'Inputs'!$B$7)/SQRT((((467-43)*MAX('Inputs'!$B$33,'Inputs'!$B$29+'Inputs'!$B$31+'Inputs'!$B$32,'Inputs'!$B$30+'Inputs'!$B$31+'Inputs'!$B$32)/1000+'Inputs'!$B$21)+'Inputs'!$B$7)^2+('Inputs'!$B$6/2)^2)-(((467-43)*MAX('Inputs'!$B$33,'Inputs'!$B$29+'Inputs'!$B$31+'Inputs'!$B$32,'Inputs'!$B$30+'Inputs'!$B$31+'Inputs'!$B$32)/1000+'Inputs'!$B$21))/SQRT((((467-43)*MAX('Inputs'!$B$33,'Inputs'!$B$29+'Inputs'!$B$31+'Inputs'!$B$32,'Inputs'!$B$30+'Inputs'!$B$31+'Inputs'!$B$32)/1000+'Inputs'!$B$21))^2+('Inputs'!$B$6/2)^2)))-'Results'!C7*(1-'Inputs'!$B$24)*(0.5*((((467-43)*MAX('Inputs'!$B$33,'Inputs'!$B$29+'Inputs'!$B$31+'Inputs'!$B$32,'Inputs'!$B$30+'Inputs'!$B$31+'Inputs'!$B$32)/1000+'Inputs'!$B$21+'Inputs'!$B$7+'Inputs'!$B$10)+'Inputs'!$B$9)/SQRT((((467-43)*MAX('Inputs'!$B$33,'Inputs'!$B$29+'Inputs'!$B$31+'Inputs'!$B$32,'Inputs'!$B$30+'Inputs'!$B$31+'Inputs'!$B$32)/1000+'Inputs'!$B$21+'Inputs'!$B$7+'Inputs'!$B$10)+'Inputs'!$B$9)^2+('Inputs'!$B$8/2)^2)-(((467-43)*MAX('Inputs'!$B$33,'Inputs'!$B$29+'Inputs'!$B$31+'Inputs'!$B$32,'Inputs'!$B$30+'Inputs'!$B$31+'Inputs'!$B$32)/1000+'Inputs'!$B$21+'Inputs'!$B$7+'Inputs'!$B$10))/SQRT((((467-43)*MAX('Inputs'!$B$33,'Inputs'!$B$29+'Inputs'!$B$31+'Inputs'!$B$32,'Inputs'!$B$30+'Inputs'!$B$31+'Inputs'!$B$32)/1000+'Inputs'!$B$21+'Inputs'!$B$7+'Inputs'!$B$10))^2+('Inputs'!$B$8/2)^2))))*'Results'!$B$8)+'Inputs'!$B$28*ABS((('Results'!B7*(1+'Inputs'!$B$24)*(0.5*((((467-43)*MAX('Inputs'!$B$33,'Inputs'!$B$29+'Inputs'!$B$31+'Inputs'!$B$32,'Inputs'!$B$30+'Inputs'!$B$31+'Inputs'!$B$32)/1000+'Inputs'!$B$21)+'Inputs'!$B$7)/SQRT((((467-43)*MAX('Inputs'!$B$33,'Inputs'!$B$29+'Inputs'!$B$31+'Inputs'!$B$32,'Inputs'!$B$30+'Inputs'!$B$31+'Inputs'!$B$32)/1000+'Inputs'!$B$21)+'Inputs'!$B$7)^2+('Inputs'!$B$6/2)^2)-(((467-43)*MAX('Inputs'!$B$33,'Inputs'!$B$29+'Inputs'!$B$31+'Inputs'!$B$32,'Inputs'!$B$30+'Inputs'!$B$31+'Inputs'!$B$32)/1000+'Inputs'!$B$21))/SQRT((((467-43)*MAX('Inputs'!$B$33,'Inputs'!$B$29+'Inputs'!$B$31+'Inputs'!$B$32,'Inputs'!$B$30+'Inputs'!$B$31+'Inputs'!$B$32)/1000+'Inputs'!$B$21))^2+('Inputs'!$B$6/2)^2)))-'Results'!C7*(1-'Inputs'!$B$24)*(0.5*((((467-43)*MAX('Inputs'!$B$33,'Inputs'!$B$29+'Inputs'!$B$31+'Inputs'!$B$32,'Inputs'!$B$30+'Inputs'!$B$31+'Inputs'!$B$32)/1000+'Inputs'!$B$21+'Inputs'!$B$7+'Inputs'!$B$10)+'Inputs'!$B$9)/SQRT((((467-43)*MAX('Inputs'!$B$33,'Inputs'!$B$29+'Inputs'!$B$31+'Inputs'!$B$32,'Inputs'!$B$30+'Inputs'!$B$31+'Inputs'!$B$32)/1000+'Inputs'!$B$21+'Inputs'!$B$7+'Inputs'!$B$10)+'Inputs'!$B$9)^2+('Inputs'!$B$8/2)^2)-(((467-43)*MAX('Inputs'!$B$33,'Inputs'!$B$29+'Inputs'!$B$31+'Inputs'!$B$32,'Inputs'!$B$30+'Inputs'!$B$31+'Inputs'!$B$32)/1000+'Inputs'!$B$21+'Inputs'!$B$7+'Inputs'!$B$10))/SQRT((((467-43)*MAX('Inputs'!$B$33,'Inputs'!$B$29+'Inputs'!$B$31+'Inputs'!$B$32,'Inputs'!$B$30+'Inputs'!$B$31+'Inputs'!$B$32)/1000+'Inputs'!$B$21+'Inputs'!$B$7+'Inputs'!$B$10))^2+('Inputs'!$B$8/2)^2))))*'Results'!$B$8))),"")</x:f>
        <x:v>8.113908581571685</x:v>
      </x:c>
      <x:c r="M467" t="n">
        <x:f>IF(AND(ISNUMBER('Results'!C7),ISNUMBER('Results'!B7),ISNUMBER('Results'!$B$8),ISNUMBER('Inputs'!$B$6),ISNUMBER('Inputs'!$B$7),ISNUMBER('Inputs'!$B$8),ISNUMBER('Inputs'!$B$9),ISNUMBER('Inputs'!$B$10),ISNUMBER('Inputs'!$B$21),ISNUMBER('Inputs'!$B$24),ISNUMBER('Inputs'!$B$28)),(('Results'!C7*(0.5*((((467-43)*MAX('Inputs'!$B$33,'Inputs'!$B$29+'Inputs'!$B$31+'Inputs'!$B$32,'Inputs'!$B$30+'Inputs'!$B$31+'Inputs'!$B$32)/1000+'Inputs'!$B$21)+'Inputs'!$B$9)/SQRT((((467-43)*MAX('Inputs'!$B$33,'Inputs'!$B$29+'Inputs'!$B$31+'Inputs'!$B$32,'Inputs'!$B$30+'Inputs'!$B$31+'Inputs'!$B$32)/1000+'Inputs'!$B$21)+'Inputs'!$B$9)^2+('Inputs'!$B$8/2)^2)-(((467-43)*MAX('Inputs'!$B$33,'Inputs'!$B$29+'Inputs'!$B$31+'Inputs'!$B$32,'Inputs'!$B$30+'Inputs'!$B$31+'Inputs'!$B$32)/1000+'Inputs'!$B$21))/SQRT((((467-43)*MAX('Inputs'!$B$33,'Inputs'!$B$29+'Inputs'!$B$31+'Inputs'!$B$32,'Inputs'!$B$30+'Inputs'!$B$31+'Inputs'!$B$32)/1000+'Inputs'!$B$21))^2+('Inputs'!$B$8/2)^2)))-'Results'!B7*(0.5*((((467-43)*MAX('Inputs'!$B$33,'Inputs'!$B$29+'Inputs'!$B$31+'Inputs'!$B$32,'Inputs'!$B$30+'Inputs'!$B$31+'Inputs'!$B$32)/1000+'Inputs'!$B$21+'Inputs'!$B$9+'Inputs'!$B$10)+'Inputs'!$B$7)/SQRT((((467-43)*MAX('Inputs'!$B$33,'Inputs'!$B$29+'Inputs'!$B$31+'Inputs'!$B$32,'Inputs'!$B$30+'Inputs'!$B$31+'Inputs'!$B$32)/1000+'Inputs'!$B$21+'Inputs'!$B$9+'Inputs'!$B$10)+'Inputs'!$B$7)^2+('Inputs'!$B$6/2)^2)-(((467-43)*MAX('Inputs'!$B$33,'Inputs'!$B$29+'Inputs'!$B$31+'Inputs'!$B$32,'Inputs'!$B$30+'Inputs'!$B$31+'Inputs'!$B$32)/1000+'Inputs'!$B$21+'Inputs'!$B$9+'Inputs'!$B$10))/SQRT((((467-43)*MAX('Inputs'!$B$33,'Inputs'!$B$29+'Inputs'!$B$31+'Inputs'!$B$32,'Inputs'!$B$30+'Inputs'!$B$31+'Inputs'!$B$32)/1000+'Inputs'!$B$21+'Inputs'!$B$9+'Inputs'!$B$10))^2+('Inputs'!$B$6/2)^2))))*'Results'!$B$8),"")</x:f>
        <x:v>6.850462379369566</x:v>
      </x:c>
      <x:c r="N467" t="n">
        <x:f>IF(AND(ISNUMBER('Results'!C7),ISNUMBER('Results'!B7),ISNUMBER('Results'!$B$8),ISNUMBER('Inputs'!$B$6),ISNUMBER('Inputs'!$B$7),ISNUMBER('Inputs'!$B$8),ISNUMBER('Inputs'!$B$9),ISNUMBER('Inputs'!$B$10),ISNUMBER('Inputs'!$B$21),ISNUMBER('Inputs'!$B$24),ISNUMBER('Inputs'!$B$28)),((('Results'!C7*(1-'Inputs'!$B$24)*(0.5*((((467-43)*MAX('Inputs'!$B$33,'Inputs'!$B$29+'Inputs'!$B$31+'Inputs'!$B$32,'Inputs'!$B$30+'Inputs'!$B$31+'Inputs'!$B$32)/1000+'Inputs'!$B$21)+'Inputs'!$B$9)/SQRT((((467-43)*MAX('Inputs'!$B$33,'Inputs'!$B$29+'Inputs'!$B$31+'Inputs'!$B$32,'Inputs'!$B$30+'Inputs'!$B$31+'Inputs'!$B$32)/1000+'Inputs'!$B$21)+'Inputs'!$B$9)^2+('Inputs'!$B$8/2)^2)-(((467-43)*MAX('Inputs'!$B$33,'Inputs'!$B$29+'Inputs'!$B$31+'Inputs'!$B$32,'Inputs'!$B$30+'Inputs'!$B$31+'Inputs'!$B$32)/1000+'Inputs'!$B$21))/SQRT((((467-43)*MAX('Inputs'!$B$33,'Inputs'!$B$29+'Inputs'!$B$31+'Inputs'!$B$32,'Inputs'!$B$30+'Inputs'!$B$31+'Inputs'!$B$32)/1000+'Inputs'!$B$21))^2+('Inputs'!$B$8/2)^2)))-'Results'!B7*(1+'Inputs'!$B$24)*(0.5*((((467-43)*MAX('Inputs'!$B$33,'Inputs'!$B$29+'Inputs'!$B$31+'Inputs'!$B$32,'Inputs'!$B$30+'Inputs'!$B$31+'Inputs'!$B$32)/1000+'Inputs'!$B$21+'Inputs'!$B$9+'Inputs'!$B$10)+'Inputs'!$B$7)/SQRT((((467-43)*MAX('Inputs'!$B$33,'Inputs'!$B$29+'Inputs'!$B$31+'Inputs'!$B$32,'Inputs'!$B$30+'Inputs'!$B$31+'Inputs'!$B$32)/1000+'Inputs'!$B$21+'Inputs'!$B$9+'Inputs'!$B$10)+'Inputs'!$B$7)^2+('Inputs'!$B$6/2)^2)-(((467-43)*MAX('Inputs'!$B$33,'Inputs'!$B$29+'Inputs'!$B$31+'Inputs'!$B$32,'Inputs'!$B$30+'Inputs'!$B$31+'Inputs'!$B$32)/1000+'Inputs'!$B$21+'Inputs'!$B$9+'Inputs'!$B$10))/SQRT((((467-43)*MAX('Inputs'!$B$33,'Inputs'!$B$29+'Inputs'!$B$31+'Inputs'!$B$32,'Inputs'!$B$30+'Inputs'!$B$31+'Inputs'!$B$32)/1000+'Inputs'!$B$21+'Inputs'!$B$9+'Inputs'!$B$10))^2+('Inputs'!$B$6/2)^2))))*'Results'!$B$8)-'Inputs'!$B$28*ABS((('Results'!C7*(1-'Inputs'!$B$24)*(0.5*((((467-43)*MAX('Inputs'!$B$33,'Inputs'!$B$29+'Inputs'!$B$31+'Inputs'!$B$32,'Inputs'!$B$30+'Inputs'!$B$31+'Inputs'!$B$32)/1000+'Inputs'!$B$21)+'Inputs'!$B$9)/SQRT((((467-43)*MAX('Inputs'!$B$33,'Inputs'!$B$29+'Inputs'!$B$31+'Inputs'!$B$32,'Inputs'!$B$30+'Inputs'!$B$31+'Inputs'!$B$32)/1000+'Inputs'!$B$21)+'Inputs'!$B$9)^2+('Inputs'!$B$8/2)^2)-(((467-43)*MAX('Inputs'!$B$33,'Inputs'!$B$29+'Inputs'!$B$31+'Inputs'!$B$32,'Inputs'!$B$30+'Inputs'!$B$31+'Inputs'!$B$32)/1000+'Inputs'!$B$21))/SQRT((((467-43)*MAX('Inputs'!$B$33,'Inputs'!$B$29+'Inputs'!$B$31+'Inputs'!$B$32,'Inputs'!$B$30+'Inputs'!$B$31+'Inputs'!$B$32)/1000+'Inputs'!$B$21))^2+('Inputs'!$B$8/2)^2)))-'Results'!B7*(1+'Inputs'!$B$24)*(0.5*((((467-43)*MAX('Inputs'!$B$33,'Inputs'!$B$29+'Inputs'!$B$31+'Inputs'!$B$32,'Inputs'!$B$30+'Inputs'!$B$31+'Inputs'!$B$32)/1000+'Inputs'!$B$21+'Inputs'!$B$9+'Inputs'!$B$10)+'Inputs'!$B$7)/SQRT((((467-43)*MAX('Inputs'!$B$33,'Inputs'!$B$29+'Inputs'!$B$31+'Inputs'!$B$32,'Inputs'!$B$30+'Inputs'!$B$31+'Inputs'!$B$32)/1000+'Inputs'!$B$21+'Inputs'!$B$9+'Inputs'!$B$10)+'Inputs'!$B$7)^2+('Inputs'!$B$6/2)^2)-(((467-43)*MAX('Inputs'!$B$33,'Inputs'!$B$29+'Inputs'!$B$31+'Inputs'!$B$32,'Inputs'!$B$30+'Inputs'!$B$31+'Inputs'!$B$32)/1000+'Inputs'!$B$21+'Inputs'!$B$9+'Inputs'!$B$10))/SQRT((((467-43)*MAX('Inputs'!$B$33,'Inputs'!$B$29+'Inputs'!$B$31+'Inputs'!$B$32,'Inputs'!$B$30+'Inputs'!$B$31+'Inputs'!$B$32)/1000+'Inputs'!$B$21+'Inputs'!$B$9+'Inputs'!$B$10))^2+('Inputs'!$B$6/2)^2))))*'Results'!$B$8))),"")</x:f>
        <x:v>6.095456736460388</x:v>
      </x:c>
      <x:c r="O467" t="n">
        <x:f>IF(AND(ISNUMBER('Results'!C7),ISNUMBER('Results'!B7),ISNUMBER('Results'!$B$8),ISNUMBER('Inputs'!$B$6),ISNUMBER('Inputs'!$B$7),ISNUMBER('Inputs'!$B$8),ISNUMBER('Inputs'!$B$9),ISNUMBER('Inputs'!$B$10),ISNUMBER('Inputs'!$B$21),ISNUMBER('Inputs'!$B$24),ISNUMBER('Inputs'!$B$28)),((('Results'!C7*(1+'Inputs'!$B$24)*(0.5*((((467-43)*MAX('Inputs'!$B$33,'Inputs'!$B$29+'Inputs'!$B$31+'Inputs'!$B$32,'Inputs'!$B$30+'Inputs'!$B$31+'Inputs'!$B$32)/1000+'Inputs'!$B$21)+'Inputs'!$B$9)/SQRT((((467-43)*MAX('Inputs'!$B$33,'Inputs'!$B$29+'Inputs'!$B$31+'Inputs'!$B$32,'Inputs'!$B$30+'Inputs'!$B$31+'Inputs'!$B$32)/1000+'Inputs'!$B$21)+'Inputs'!$B$9)^2+('Inputs'!$B$8/2)^2)-(((467-43)*MAX('Inputs'!$B$33,'Inputs'!$B$29+'Inputs'!$B$31+'Inputs'!$B$32,'Inputs'!$B$30+'Inputs'!$B$31+'Inputs'!$B$32)/1000+'Inputs'!$B$21))/SQRT((((467-43)*MAX('Inputs'!$B$33,'Inputs'!$B$29+'Inputs'!$B$31+'Inputs'!$B$32,'Inputs'!$B$30+'Inputs'!$B$31+'Inputs'!$B$32)/1000+'Inputs'!$B$21))^2+('Inputs'!$B$8/2)^2)))-'Results'!B7*(1-'Inputs'!$B$24)*(0.5*((((467-43)*MAX('Inputs'!$B$33,'Inputs'!$B$29+'Inputs'!$B$31+'Inputs'!$B$32,'Inputs'!$B$30+'Inputs'!$B$31+'Inputs'!$B$32)/1000+'Inputs'!$B$21+'Inputs'!$B$9+'Inputs'!$B$10)+'Inputs'!$B$7)/SQRT((((467-43)*MAX('Inputs'!$B$33,'Inputs'!$B$29+'Inputs'!$B$31+'Inputs'!$B$32,'Inputs'!$B$30+'Inputs'!$B$31+'Inputs'!$B$32)/1000+'Inputs'!$B$21+'Inputs'!$B$9+'Inputs'!$B$10)+'Inputs'!$B$7)^2+('Inputs'!$B$6/2)^2)-(((467-43)*MAX('Inputs'!$B$33,'Inputs'!$B$29+'Inputs'!$B$31+'Inputs'!$B$32,'Inputs'!$B$30+'Inputs'!$B$31+'Inputs'!$B$32)/1000+'Inputs'!$B$21+'Inputs'!$B$9+'Inputs'!$B$10))/SQRT((((467-43)*MAX('Inputs'!$B$33,'Inputs'!$B$29+'Inputs'!$B$31+'Inputs'!$B$32,'Inputs'!$B$30+'Inputs'!$B$31+'Inputs'!$B$32)/1000+'Inputs'!$B$21+'Inputs'!$B$9+'Inputs'!$B$10))^2+('Inputs'!$B$6/2)^2))))*'Results'!$B$8)+'Inputs'!$B$28*ABS((('Results'!C7*(1+'Inputs'!$B$24)*(0.5*((((467-43)*MAX('Inputs'!$B$33,'Inputs'!$B$29+'Inputs'!$B$31+'Inputs'!$B$32,'Inputs'!$B$30+'Inputs'!$B$31+'Inputs'!$B$32)/1000+'Inputs'!$B$21)+'Inputs'!$B$9)/SQRT((((467-43)*MAX('Inputs'!$B$33,'Inputs'!$B$29+'Inputs'!$B$31+'Inputs'!$B$32,'Inputs'!$B$30+'Inputs'!$B$31+'Inputs'!$B$32)/1000+'Inputs'!$B$21)+'Inputs'!$B$9)^2+('Inputs'!$B$8/2)^2)-(((467-43)*MAX('Inputs'!$B$33,'Inputs'!$B$29+'Inputs'!$B$31+'Inputs'!$B$32,'Inputs'!$B$30+'Inputs'!$B$31+'Inputs'!$B$32)/1000+'Inputs'!$B$21))/SQRT((((467-43)*MAX('Inputs'!$B$33,'Inputs'!$B$29+'Inputs'!$B$31+'Inputs'!$B$32,'Inputs'!$B$30+'Inputs'!$B$31+'Inputs'!$B$32)/1000+'Inputs'!$B$21))^2+('Inputs'!$B$8/2)^2)))-'Results'!B7*(1-'Inputs'!$B$24)*(0.5*((((467-43)*MAX('Inputs'!$B$33,'Inputs'!$B$29+'Inputs'!$B$31+'Inputs'!$B$32,'Inputs'!$B$30+'Inputs'!$B$31+'Inputs'!$B$32)/1000+'Inputs'!$B$21+'Inputs'!$B$9+'Inputs'!$B$10)+'Inputs'!$B$7)/SQRT((((467-43)*MAX('Inputs'!$B$33,'Inputs'!$B$29+'Inputs'!$B$31+'Inputs'!$B$32,'Inputs'!$B$30+'Inputs'!$B$31+'Inputs'!$B$32)/1000+'Inputs'!$B$21+'Inputs'!$B$9+'Inputs'!$B$10)+'Inputs'!$B$7)^2+('Inputs'!$B$6/2)^2)-(((467-43)*MAX('Inputs'!$B$33,'Inputs'!$B$29+'Inputs'!$B$31+'Inputs'!$B$32,'Inputs'!$B$30+'Inputs'!$B$31+'Inputs'!$B$32)/1000+'Inputs'!$B$21+'Inputs'!$B$9+'Inputs'!$B$10))/SQRT((((467-43)*MAX('Inputs'!$B$33,'Inputs'!$B$29+'Inputs'!$B$31+'Inputs'!$B$32,'Inputs'!$B$30+'Inputs'!$B$31+'Inputs'!$B$32)/1000+'Inputs'!$B$21+'Inputs'!$B$9+'Inputs'!$B$10))^2+('Inputs'!$B$6/2)^2))))*'Results'!$B$8))),"")</x:f>
        <x:v>7.648887235325132</x:v>
      </x:c>
      <x:c r="P467" t="n">
        <x:f>IF(AND(MAX(J467,J466)&gt;0,J467&gt;J466+0.00000001),1,0)</x:f>
        <x:v>0</x:v>
      </x:c>
      <x:c r="Q467" t="n">
        <x:f>IF(AND(MAX(K467,K466)&gt;0,K467&gt;K466+0.00000001),1,0)</x:f>
        <x:v>0</x:v>
      </x:c>
      <x:c r="R467" t="n">
        <x:f>IF(AND(MAX(L467,L466)&gt;0,L467&gt;L466+0.00000001),1,0)</x:f>
        <x:v>0</x:v>
      </x:c>
      <x:c r="S467" t="n">
        <x:f>IF(AND(MAX(M467,M466)&gt;0,M467&gt;M466+0.00000001),1,0)</x:f>
        <x:v>0</x:v>
      </x:c>
      <x:c r="T467" t="n">
        <x:f>IF(AND(MAX(N467,N466)&gt;0,N467&gt;N466+0.00000001),1,0)</x:f>
        <x:v>0</x:v>
      </x:c>
      <x:c r="U467" t="n">
        <x:f>IF(AND(MAX(O467,O466)&gt;0,O467&gt;O466+0.00000001),1,0)</x:f>
        <x:v>0</x:v>
      </x:c>
    </x:row>
    <x:row r="468">
      <x:c r="J468" t="n">
        <x:f>IF(AND(ISNUMBER('Results'!B7),ISNUMBER('Results'!C7),ISNUMBER('Results'!$B$8),ISNUMBER('Inputs'!$B$6),ISNUMBER('Inputs'!$B$7),ISNUMBER('Inputs'!$B$8),ISNUMBER('Inputs'!$B$9),ISNUMBER('Inputs'!$B$10),ISNUMBER('Inputs'!$B$21),ISNUMBER('Inputs'!$B$24),ISNUMBER('Inputs'!$B$28)),(('Results'!B7*(0.5*((((468-43)*MAX('Inputs'!$B$33,'Inputs'!$B$29+'Inputs'!$B$31+'Inputs'!$B$32,'Inputs'!$B$30+'Inputs'!$B$31+'Inputs'!$B$32)/1000+'Inputs'!$B$21)+'Inputs'!$B$7)/SQRT((((468-43)*MAX('Inputs'!$B$33,'Inputs'!$B$29+'Inputs'!$B$31+'Inputs'!$B$32,'Inputs'!$B$30+'Inputs'!$B$31+'Inputs'!$B$32)/1000+'Inputs'!$B$21)+'Inputs'!$B$7)^2+('Inputs'!$B$6/2)^2)-(((468-43)*MAX('Inputs'!$B$33,'Inputs'!$B$29+'Inputs'!$B$31+'Inputs'!$B$32,'Inputs'!$B$30+'Inputs'!$B$31+'Inputs'!$B$32)/1000+'Inputs'!$B$21))/SQRT((((468-43)*MAX('Inputs'!$B$33,'Inputs'!$B$29+'Inputs'!$B$31+'Inputs'!$B$32,'Inputs'!$B$30+'Inputs'!$B$31+'Inputs'!$B$32)/1000+'Inputs'!$B$21))^2+('Inputs'!$B$6/2)^2)))-'Results'!C7*(0.5*((((468-43)*MAX('Inputs'!$B$33,'Inputs'!$B$29+'Inputs'!$B$31+'Inputs'!$B$32,'Inputs'!$B$30+'Inputs'!$B$31+'Inputs'!$B$32)/1000+'Inputs'!$B$21+'Inputs'!$B$7+'Inputs'!$B$10)+'Inputs'!$B$9)/SQRT((((468-43)*MAX('Inputs'!$B$33,'Inputs'!$B$29+'Inputs'!$B$31+'Inputs'!$B$32,'Inputs'!$B$30+'Inputs'!$B$31+'Inputs'!$B$32)/1000+'Inputs'!$B$21+'Inputs'!$B$7+'Inputs'!$B$10)+'Inputs'!$B$9)^2+('Inputs'!$B$8/2)^2)-(((468-43)*MAX('Inputs'!$B$33,'Inputs'!$B$29+'Inputs'!$B$31+'Inputs'!$B$32,'Inputs'!$B$30+'Inputs'!$B$31+'Inputs'!$B$32)/1000+'Inputs'!$B$21+'Inputs'!$B$7+'Inputs'!$B$10))/SQRT((((468-43)*MAX('Inputs'!$B$33,'Inputs'!$B$29+'Inputs'!$B$31+'Inputs'!$B$32,'Inputs'!$B$30+'Inputs'!$B$31+'Inputs'!$B$32)/1000+'Inputs'!$B$21+'Inputs'!$B$7+'Inputs'!$B$10))^2+('Inputs'!$B$8/2)^2))))*'Results'!$B$8),"")</x:f>
        <x:v>7.233491120917114</x:v>
      </x:c>
      <x:c r="K468" t="n">
        <x:f>IF(AND(ISNUMBER('Results'!B7),ISNUMBER('Results'!C7),ISNUMBER('Results'!$B$8),ISNUMBER('Inputs'!$B$6),ISNUMBER('Inputs'!$B$7),ISNUMBER('Inputs'!$B$8),ISNUMBER('Inputs'!$B$9),ISNUMBER('Inputs'!$B$10),ISNUMBER('Inputs'!$B$21),ISNUMBER('Inputs'!$B$24),ISNUMBER('Inputs'!$B$28)),((('Results'!B7*(1-'Inputs'!$B$24)*(0.5*((((468-43)*MAX('Inputs'!$B$33,'Inputs'!$B$29+'Inputs'!$B$31+'Inputs'!$B$32,'Inputs'!$B$30+'Inputs'!$B$31+'Inputs'!$B$32)/1000+'Inputs'!$B$21)+'Inputs'!$B$7)/SQRT((((468-43)*MAX('Inputs'!$B$33,'Inputs'!$B$29+'Inputs'!$B$31+'Inputs'!$B$32,'Inputs'!$B$30+'Inputs'!$B$31+'Inputs'!$B$32)/1000+'Inputs'!$B$21)+'Inputs'!$B$7)^2+('Inputs'!$B$6/2)^2)-(((468-43)*MAX('Inputs'!$B$33,'Inputs'!$B$29+'Inputs'!$B$31+'Inputs'!$B$32,'Inputs'!$B$30+'Inputs'!$B$31+'Inputs'!$B$32)/1000+'Inputs'!$B$21))/SQRT((((468-43)*MAX('Inputs'!$B$33,'Inputs'!$B$29+'Inputs'!$B$31+'Inputs'!$B$32,'Inputs'!$B$30+'Inputs'!$B$31+'Inputs'!$B$32)/1000+'Inputs'!$B$21))^2+('Inputs'!$B$6/2)^2)))-'Results'!C7*(1+'Inputs'!$B$24)*(0.5*((((468-43)*MAX('Inputs'!$B$33,'Inputs'!$B$29+'Inputs'!$B$31+'Inputs'!$B$32,'Inputs'!$B$30+'Inputs'!$B$31+'Inputs'!$B$32)/1000+'Inputs'!$B$21+'Inputs'!$B$7+'Inputs'!$B$10)+'Inputs'!$B$9)/SQRT((((468-43)*MAX('Inputs'!$B$33,'Inputs'!$B$29+'Inputs'!$B$31+'Inputs'!$B$32,'Inputs'!$B$30+'Inputs'!$B$31+'Inputs'!$B$32)/1000+'Inputs'!$B$21+'Inputs'!$B$7+'Inputs'!$B$10)+'Inputs'!$B$9)^2+('Inputs'!$B$8/2)^2)-(((468-43)*MAX('Inputs'!$B$33,'Inputs'!$B$29+'Inputs'!$B$31+'Inputs'!$B$32,'Inputs'!$B$30+'Inputs'!$B$31+'Inputs'!$B$32)/1000+'Inputs'!$B$21+'Inputs'!$B$7+'Inputs'!$B$10))/SQRT((((468-43)*MAX('Inputs'!$B$33,'Inputs'!$B$29+'Inputs'!$B$31+'Inputs'!$B$32,'Inputs'!$B$30+'Inputs'!$B$31+'Inputs'!$B$32)/1000+'Inputs'!$B$21+'Inputs'!$B$7+'Inputs'!$B$10))^2+('Inputs'!$B$8/2)^2))))*'Results'!$B$8)-'Inputs'!$B$28*ABS((('Results'!B7*(1-'Inputs'!$B$24)*(0.5*((((468-43)*MAX('Inputs'!$B$33,'Inputs'!$B$29+'Inputs'!$B$31+'Inputs'!$B$32,'Inputs'!$B$30+'Inputs'!$B$31+'Inputs'!$B$32)/1000+'Inputs'!$B$21)+'Inputs'!$B$7)/SQRT((((468-43)*MAX('Inputs'!$B$33,'Inputs'!$B$29+'Inputs'!$B$31+'Inputs'!$B$32,'Inputs'!$B$30+'Inputs'!$B$31+'Inputs'!$B$32)/1000+'Inputs'!$B$21)+'Inputs'!$B$7)^2+('Inputs'!$B$6/2)^2)-(((468-43)*MAX('Inputs'!$B$33,'Inputs'!$B$29+'Inputs'!$B$31+'Inputs'!$B$32,'Inputs'!$B$30+'Inputs'!$B$31+'Inputs'!$B$32)/1000+'Inputs'!$B$21))/SQRT((((468-43)*MAX('Inputs'!$B$33,'Inputs'!$B$29+'Inputs'!$B$31+'Inputs'!$B$32,'Inputs'!$B$30+'Inputs'!$B$31+'Inputs'!$B$32)/1000+'Inputs'!$B$21))^2+('Inputs'!$B$6/2)^2)))-'Results'!C7*(1+'Inputs'!$B$24)*(0.5*((((468-43)*MAX('Inputs'!$B$33,'Inputs'!$B$29+'Inputs'!$B$31+'Inputs'!$B$32,'Inputs'!$B$30+'Inputs'!$B$31+'Inputs'!$B$32)/1000+'Inputs'!$B$21+'Inputs'!$B$7+'Inputs'!$B$10)+'Inputs'!$B$9)/SQRT((((468-43)*MAX('Inputs'!$B$33,'Inputs'!$B$29+'Inputs'!$B$31+'Inputs'!$B$32,'Inputs'!$B$30+'Inputs'!$B$31+'Inputs'!$B$32)/1000+'Inputs'!$B$21+'Inputs'!$B$7+'Inputs'!$B$10)+'Inputs'!$B$9)^2+('Inputs'!$B$8/2)^2)-(((468-43)*MAX('Inputs'!$B$33,'Inputs'!$B$29+'Inputs'!$B$31+'Inputs'!$B$32,'Inputs'!$B$30+'Inputs'!$B$31+'Inputs'!$B$32)/1000+'Inputs'!$B$21+'Inputs'!$B$7+'Inputs'!$B$10))/SQRT((((468-43)*MAX('Inputs'!$B$33,'Inputs'!$B$29+'Inputs'!$B$31+'Inputs'!$B$32,'Inputs'!$B$30+'Inputs'!$B$31+'Inputs'!$B$32)/1000+'Inputs'!$B$21+'Inputs'!$B$7+'Inputs'!$B$10))^2+('Inputs'!$B$8/2)^2))))*'Results'!$B$8))),"")</x:f>
        <x:v>6.4591568439749</x:v>
      </x:c>
      <x:c r="L468" t="n">
        <x:f>IF(AND(ISNUMBER('Results'!B7),ISNUMBER('Results'!C7),ISNUMBER('Results'!$B$8),ISNUMBER('Inputs'!$B$6),ISNUMBER('Inputs'!$B$7),ISNUMBER('Inputs'!$B$8),ISNUMBER('Inputs'!$B$9),ISNUMBER('Inputs'!$B$10),ISNUMBER('Inputs'!$B$21),ISNUMBER('Inputs'!$B$24),ISNUMBER('Inputs'!$B$28)),((('Results'!B7*(1+'Inputs'!$B$24)*(0.5*((((468-43)*MAX('Inputs'!$B$33,'Inputs'!$B$29+'Inputs'!$B$31+'Inputs'!$B$32,'Inputs'!$B$30+'Inputs'!$B$31+'Inputs'!$B$32)/1000+'Inputs'!$B$21)+'Inputs'!$B$7)/SQRT((((468-43)*MAX('Inputs'!$B$33,'Inputs'!$B$29+'Inputs'!$B$31+'Inputs'!$B$32,'Inputs'!$B$30+'Inputs'!$B$31+'Inputs'!$B$32)/1000+'Inputs'!$B$21)+'Inputs'!$B$7)^2+('Inputs'!$B$6/2)^2)-(((468-43)*MAX('Inputs'!$B$33,'Inputs'!$B$29+'Inputs'!$B$31+'Inputs'!$B$32,'Inputs'!$B$30+'Inputs'!$B$31+'Inputs'!$B$32)/1000+'Inputs'!$B$21))/SQRT((((468-43)*MAX('Inputs'!$B$33,'Inputs'!$B$29+'Inputs'!$B$31+'Inputs'!$B$32,'Inputs'!$B$30+'Inputs'!$B$31+'Inputs'!$B$32)/1000+'Inputs'!$B$21))^2+('Inputs'!$B$6/2)^2)))-'Results'!C7*(1-'Inputs'!$B$24)*(0.5*((((468-43)*MAX('Inputs'!$B$33,'Inputs'!$B$29+'Inputs'!$B$31+'Inputs'!$B$32,'Inputs'!$B$30+'Inputs'!$B$31+'Inputs'!$B$32)/1000+'Inputs'!$B$21+'Inputs'!$B$7+'Inputs'!$B$10)+'Inputs'!$B$9)/SQRT((((468-43)*MAX('Inputs'!$B$33,'Inputs'!$B$29+'Inputs'!$B$31+'Inputs'!$B$32,'Inputs'!$B$30+'Inputs'!$B$31+'Inputs'!$B$32)/1000+'Inputs'!$B$21+'Inputs'!$B$7+'Inputs'!$B$10)+'Inputs'!$B$9)^2+('Inputs'!$B$8/2)^2)-(((468-43)*MAX('Inputs'!$B$33,'Inputs'!$B$29+'Inputs'!$B$31+'Inputs'!$B$32,'Inputs'!$B$30+'Inputs'!$B$31+'Inputs'!$B$32)/1000+'Inputs'!$B$21+'Inputs'!$B$7+'Inputs'!$B$10))/SQRT((((468-43)*MAX('Inputs'!$B$33,'Inputs'!$B$29+'Inputs'!$B$31+'Inputs'!$B$32,'Inputs'!$B$30+'Inputs'!$B$31+'Inputs'!$B$32)/1000+'Inputs'!$B$21+'Inputs'!$B$7+'Inputs'!$B$10))^2+('Inputs'!$B$8/2)^2))))*'Results'!$B$8)+'Inputs'!$B$28*ABS((('Results'!B7*(1+'Inputs'!$B$24)*(0.5*((((468-43)*MAX('Inputs'!$B$33,'Inputs'!$B$29+'Inputs'!$B$31+'Inputs'!$B$32,'Inputs'!$B$30+'Inputs'!$B$31+'Inputs'!$B$32)/1000+'Inputs'!$B$21)+'Inputs'!$B$7)/SQRT((((468-43)*MAX('Inputs'!$B$33,'Inputs'!$B$29+'Inputs'!$B$31+'Inputs'!$B$32,'Inputs'!$B$30+'Inputs'!$B$31+'Inputs'!$B$32)/1000+'Inputs'!$B$21)+'Inputs'!$B$7)^2+('Inputs'!$B$6/2)^2)-(((468-43)*MAX('Inputs'!$B$33,'Inputs'!$B$29+'Inputs'!$B$31+'Inputs'!$B$32,'Inputs'!$B$30+'Inputs'!$B$31+'Inputs'!$B$32)/1000+'Inputs'!$B$21))/SQRT((((468-43)*MAX('Inputs'!$B$33,'Inputs'!$B$29+'Inputs'!$B$31+'Inputs'!$B$32,'Inputs'!$B$30+'Inputs'!$B$31+'Inputs'!$B$32)/1000+'Inputs'!$B$21))^2+('Inputs'!$B$6/2)^2)))-'Results'!C7*(1-'Inputs'!$B$24)*(0.5*((((468-43)*MAX('Inputs'!$B$33,'Inputs'!$B$29+'Inputs'!$B$31+'Inputs'!$B$32,'Inputs'!$B$30+'Inputs'!$B$31+'Inputs'!$B$32)/1000+'Inputs'!$B$21+'Inputs'!$B$7+'Inputs'!$B$10)+'Inputs'!$B$9)/SQRT((((468-43)*MAX('Inputs'!$B$33,'Inputs'!$B$29+'Inputs'!$B$31+'Inputs'!$B$32,'Inputs'!$B$30+'Inputs'!$B$31+'Inputs'!$B$32)/1000+'Inputs'!$B$21+'Inputs'!$B$7+'Inputs'!$B$10)+'Inputs'!$B$9)^2+('Inputs'!$B$8/2)^2)-(((468-43)*MAX('Inputs'!$B$33,'Inputs'!$B$29+'Inputs'!$B$31+'Inputs'!$B$32,'Inputs'!$B$30+'Inputs'!$B$31+'Inputs'!$B$32)/1000+'Inputs'!$B$21+'Inputs'!$B$7+'Inputs'!$B$10))/SQRT((((468-43)*MAX('Inputs'!$B$33,'Inputs'!$B$29+'Inputs'!$B$31+'Inputs'!$B$32,'Inputs'!$B$30+'Inputs'!$B$31+'Inputs'!$B$32)/1000+'Inputs'!$B$21+'Inputs'!$B$7+'Inputs'!$B$10))^2+('Inputs'!$B$8/2)^2))))*'Results'!$B$8))),"")</x:f>
        <x:v>8.051263263216839</x:v>
      </x:c>
      <x:c r="M468" t="n">
        <x:f>IF(AND(ISNUMBER('Results'!C7),ISNUMBER('Results'!B7),ISNUMBER('Results'!$B$8),ISNUMBER('Inputs'!$B$6),ISNUMBER('Inputs'!$B$7),ISNUMBER('Inputs'!$B$8),ISNUMBER('Inputs'!$B$9),ISNUMBER('Inputs'!$B$10),ISNUMBER('Inputs'!$B$21),ISNUMBER('Inputs'!$B$24),ISNUMBER('Inputs'!$B$28)),(('Results'!C7*(0.5*((((468-43)*MAX('Inputs'!$B$33,'Inputs'!$B$29+'Inputs'!$B$31+'Inputs'!$B$32,'Inputs'!$B$30+'Inputs'!$B$31+'Inputs'!$B$32)/1000+'Inputs'!$B$21)+'Inputs'!$B$9)/SQRT((((468-43)*MAX('Inputs'!$B$33,'Inputs'!$B$29+'Inputs'!$B$31+'Inputs'!$B$32,'Inputs'!$B$30+'Inputs'!$B$31+'Inputs'!$B$32)/1000+'Inputs'!$B$21)+'Inputs'!$B$9)^2+('Inputs'!$B$8/2)^2)-(((468-43)*MAX('Inputs'!$B$33,'Inputs'!$B$29+'Inputs'!$B$31+'Inputs'!$B$32,'Inputs'!$B$30+'Inputs'!$B$31+'Inputs'!$B$32)/1000+'Inputs'!$B$21))/SQRT((((468-43)*MAX('Inputs'!$B$33,'Inputs'!$B$29+'Inputs'!$B$31+'Inputs'!$B$32,'Inputs'!$B$30+'Inputs'!$B$31+'Inputs'!$B$32)/1000+'Inputs'!$B$21))^2+('Inputs'!$B$8/2)^2)))-'Results'!B7*(0.5*((((468-43)*MAX('Inputs'!$B$33,'Inputs'!$B$29+'Inputs'!$B$31+'Inputs'!$B$32,'Inputs'!$B$30+'Inputs'!$B$31+'Inputs'!$B$32)/1000+'Inputs'!$B$21+'Inputs'!$B$9+'Inputs'!$B$10)+'Inputs'!$B$7)/SQRT((((468-43)*MAX('Inputs'!$B$33,'Inputs'!$B$29+'Inputs'!$B$31+'Inputs'!$B$32,'Inputs'!$B$30+'Inputs'!$B$31+'Inputs'!$B$32)/1000+'Inputs'!$B$21+'Inputs'!$B$9+'Inputs'!$B$10)+'Inputs'!$B$7)^2+('Inputs'!$B$6/2)^2)-(((468-43)*MAX('Inputs'!$B$33,'Inputs'!$B$29+'Inputs'!$B$31+'Inputs'!$B$32,'Inputs'!$B$30+'Inputs'!$B$31+'Inputs'!$B$32)/1000+'Inputs'!$B$21+'Inputs'!$B$9+'Inputs'!$B$10))/SQRT((((468-43)*MAX('Inputs'!$B$33,'Inputs'!$B$29+'Inputs'!$B$31+'Inputs'!$B$32,'Inputs'!$B$30+'Inputs'!$B$31+'Inputs'!$B$32)/1000+'Inputs'!$B$21+'Inputs'!$B$9+'Inputs'!$B$10))^2+('Inputs'!$B$6/2)^2))))*'Results'!$B$8),"")</x:f>
        <x:v>6.796156254779176</x:v>
      </x:c>
      <x:c r="N468" t="n">
        <x:f>IF(AND(ISNUMBER('Results'!C7),ISNUMBER('Results'!B7),ISNUMBER('Results'!$B$8),ISNUMBER('Inputs'!$B$6),ISNUMBER('Inputs'!$B$7),ISNUMBER('Inputs'!$B$8),ISNUMBER('Inputs'!$B$9),ISNUMBER('Inputs'!$B$10),ISNUMBER('Inputs'!$B$21),ISNUMBER('Inputs'!$B$24),ISNUMBER('Inputs'!$B$28)),((('Results'!C7*(1-'Inputs'!$B$24)*(0.5*((((468-43)*MAX('Inputs'!$B$33,'Inputs'!$B$29+'Inputs'!$B$31+'Inputs'!$B$32,'Inputs'!$B$30+'Inputs'!$B$31+'Inputs'!$B$32)/1000+'Inputs'!$B$21)+'Inputs'!$B$9)/SQRT((((468-43)*MAX('Inputs'!$B$33,'Inputs'!$B$29+'Inputs'!$B$31+'Inputs'!$B$32,'Inputs'!$B$30+'Inputs'!$B$31+'Inputs'!$B$32)/1000+'Inputs'!$B$21)+'Inputs'!$B$9)^2+('Inputs'!$B$8/2)^2)-(((468-43)*MAX('Inputs'!$B$33,'Inputs'!$B$29+'Inputs'!$B$31+'Inputs'!$B$32,'Inputs'!$B$30+'Inputs'!$B$31+'Inputs'!$B$32)/1000+'Inputs'!$B$21))/SQRT((((468-43)*MAX('Inputs'!$B$33,'Inputs'!$B$29+'Inputs'!$B$31+'Inputs'!$B$32,'Inputs'!$B$30+'Inputs'!$B$31+'Inputs'!$B$32)/1000+'Inputs'!$B$21))^2+('Inputs'!$B$8/2)^2)))-'Results'!B7*(1+'Inputs'!$B$24)*(0.5*((((468-43)*MAX('Inputs'!$B$33,'Inputs'!$B$29+'Inputs'!$B$31+'Inputs'!$B$32,'Inputs'!$B$30+'Inputs'!$B$31+'Inputs'!$B$32)/1000+'Inputs'!$B$21+'Inputs'!$B$9+'Inputs'!$B$10)+'Inputs'!$B$7)/SQRT((((468-43)*MAX('Inputs'!$B$33,'Inputs'!$B$29+'Inputs'!$B$31+'Inputs'!$B$32,'Inputs'!$B$30+'Inputs'!$B$31+'Inputs'!$B$32)/1000+'Inputs'!$B$21+'Inputs'!$B$9+'Inputs'!$B$10)+'Inputs'!$B$7)^2+('Inputs'!$B$6/2)^2)-(((468-43)*MAX('Inputs'!$B$33,'Inputs'!$B$29+'Inputs'!$B$31+'Inputs'!$B$32,'Inputs'!$B$30+'Inputs'!$B$31+'Inputs'!$B$32)/1000+'Inputs'!$B$21+'Inputs'!$B$9+'Inputs'!$B$10))/SQRT((((468-43)*MAX('Inputs'!$B$33,'Inputs'!$B$29+'Inputs'!$B$31+'Inputs'!$B$32,'Inputs'!$B$30+'Inputs'!$B$31+'Inputs'!$B$32)/1000+'Inputs'!$B$21+'Inputs'!$B$9+'Inputs'!$B$10))^2+('Inputs'!$B$6/2)^2))))*'Results'!$B$8)-'Inputs'!$B$28*ABS((('Results'!C7*(1-'Inputs'!$B$24)*(0.5*((((468-43)*MAX('Inputs'!$B$33,'Inputs'!$B$29+'Inputs'!$B$31+'Inputs'!$B$32,'Inputs'!$B$30+'Inputs'!$B$31+'Inputs'!$B$32)/1000+'Inputs'!$B$21)+'Inputs'!$B$9)/SQRT((((468-43)*MAX('Inputs'!$B$33,'Inputs'!$B$29+'Inputs'!$B$31+'Inputs'!$B$32,'Inputs'!$B$30+'Inputs'!$B$31+'Inputs'!$B$32)/1000+'Inputs'!$B$21)+'Inputs'!$B$9)^2+('Inputs'!$B$8/2)^2)-(((468-43)*MAX('Inputs'!$B$33,'Inputs'!$B$29+'Inputs'!$B$31+'Inputs'!$B$32,'Inputs'!$B$30+'Inputs'!$B$31+'Inputs'!$B$32)/1000+'Inputs'!$B$21))/SQRT((((468-43)*MAX('Inputs'!$B$33,'Inputs'!$B$29+'Inputs'!$B$31+'Inputs'!$B$32,'Inputs'!$B$30+'Inputs'!$B$31+'Inputs'!$B$32)/1000+'Inputs'!$B$21))^2+('Inputs'!$B$8/2)^2)))-'Results'!B7*(1+'Inputs'!$B$24)*(0.5*((((468-43)*MAX('Inputs'!$B$33,'Inputs'!$B$29+'Inputs'!$B$31+'Inputs'!$B$32,'Inputs'!$B$30+'Inputs'!$B$31+'Inputs'!$B$32)/1000+'Inputs'!$B$21+'Inputs'!$B$9+'Inputs'!$B$10)+'Inputs'!$B$7)/SQRT((((468-43)*MAX('Inputs'!$B$33,'Inputs'!$B$29+'Inputs'!$B$31+'Inputs'!$B$32,'Inputs'!$B$30+'Inputs'!$B$31+'Inputs'!$B$32)/1000+'Inputs'!$B$21+'Inputs'!$B$9+'Inputs'!$B$10)+'Inputs'!$B$7)^2+('Inputs'!$B$6/2)^2)-(((468-43)*MAX('Inputs'!$B$33,'Inputs'!$B$29+'Inputs'!$B$31+'Inputs'!$B$32,'Inputs'!$B$30+'Inputs'!$B$31+'Inputs'!$B$32)/1000+'Inputs'!$B$21+'Inputs'!$B$9+'Inputs'!$B$10))/SQRT((((468-43)*MAX('Inputs'!$B$33,'Inputs'!$B$29+'Inputs'!$B$31+'Inputs'!$B$32,'Inputs'!$B$30+'Inputs'!$B$31+'Inputs'!$B$32)/1000+'Inputs'!$B$21+'Inputs'!$B$9+'Inputs'!$B$10))^2+('Inputs'!$B$6/2)^2))))*'Results'!$B$8))),"")</x:f>
        <x:v>6.046381279731114</x:v>
      </x:c>
      <x:c r="O468" t="n">
        <x:f>IF(AND(ISNUMBER('Results'!C7),ISNUMBER('Results'!B7),ISNUMBER('Results'!$B$8),ISNUMBER('Inputs'!$B$6),ISNUMBER('Inputs'!$B$7),ISNUMBER('Inputs'!$B$8),ISNUMBER('Inputs'!$B$9),ISNUMBER('Inputs'!$B$10),ISNUMBER('Inputs'!$B$21),ISNUMBER('Inputs'!$B$24),ISNUMBER('Inputs'!$B$28)),((('Results'!C7*(1+'Inputs'!$B$24)*(0.5*((((468-43)*MAX('Inputs'!$B$33,'Inputs'!$B$29+'Inputs'!$B$31+'Inputs'!$B$32,'Inputs'!$B$30+'Inputs'!$B$31+'Inputs'!$B$32)/1000+'Inputs'!$B$21)+'Inputs'!$B$9)/SQRT((((468-43)*MAX('Inputs'!$B$33,'Inputs'!$B$29+'Inputs'!$B$31+'Inputs'!$B$32,'Inputs'!$B$30+'Inputs'!$B$31+'Inputs'!$B$32)/1000+'Inputs'!$B$21)+'Inputs'!$B$9)^2+('Inputs'!$B$8/2)^2)-(((468-43)*MAX('Inputs'!$B$33,'Inputs'!$B$29+'Inputs'!$B$31+'Inputs'!$B$32,'Inputs'!$B$30+'Inputs'!$B$31+'Inputs'!$B$32)/1000+'Inputs'!$B$21))/SQRT((((468-43)*MAX('Inputs'!$B$33,'Inputs'!$B$29+'Inputs'!$B$31+'Inputs'!$B$32,'Inputs'!$B$30+'Inputs'!$B$31+'Inputs'!$B$32)/1000+'Inputs'!$B$21))^2+('Inputs'!$B$8/2)^2)))-'Results'!B7*(1-'Inputs'!$B$24)*(0.5*((((468-43)*MAX('Inputs'!$B$33,'Inputs'!$B$29+'Inputs'!$B$31+'Inputs'!$B$32,'Inputs'!$B$30+'Inputs'!$B$31+'Inputs'!$B$32)/1000+'Inputs'!$B$21+'Inputs'!$B$9+'Inputs'!$B$10)+'Inputs'!$B$7)/SQRT((((468-43)*MAX('Inputs'!$B$33,'Inputs'!$B$29+'Inputs'!$B$31+'Inputs'!$B$32,'Inputs'!$B$30+'Inputs'!$B$31+'Inputs'!$B$32)/1000+'Inputs'!$B$21+'Inputs'!$B$9+'Inputs'!$B$10)+'Inputs'!$B$7)^2+('Inputs'!$B$6/2)^2)-(((468-43)*MAX('Inputs'!$B$33,'Inputs'!$B$29+'Inputs'!$B$31+'Inputs'!$B$32,'Inputs'!$B$30+'Inputs'!$B$31+'Inputs'!$B$32)/1000+'Inputs'!$B$21+'Inputs'!$B$9+'Inputs'!$B$10))/SQRT((((468-43)*MAX('Inputs'!$B$33,'Inputs'!$B$29+'Inputs'!$B$31+'Inputs'!$B$32,'Inputs'!$B$30+'Inputs'!$B$31+'Inputs'!$B$32)/1000+'Inputs'!$B$21+'Inputs'!$B$9+'Inputs'!$B$10))^2+('Inputs'!$B$6/2)^2))))*'Results'!$B$8)+'Inputs'!$B$28*ABS((('Results'!C7*(1+'Inputs'!$B$24)*(0.5*((((468-43)*MAX('Inputs'!$B$33,'Inputs'!$B$29+'Inputs'!$B$31+'Inputs'!$B$32,'Inputs'!$B$30+'Inputs'!$B$31+'Inputs'!$B$32)/1000+'Inputs'!$B$21)+'Inputs'!$B$9)/SQRT((((468-43)*MAX('Inputs'!$B$33,'Inputs'!$B$29+'Inputs'!$B$31+'Inputs'!$B$32,'Inputs'!$B$30+'Inputs'!$B$31+'Inputs'!$B$32)/1000+'Inputs'!$B$21)+'Inputs'!$B$9)^2+('Inputs'!$B$8/2)^2)-(((468-43)*MAX('Inputs'!$B$33,'Inputs'!$B$29+'Inputs'!$B$31+'Inputs'!$B$32,'Inputs'!$B$30+'Inputs'!$B$31+'Inputs'!$B$32)/1000+'Inputs'!$B$21))/SQRT((((468-43)*MAX('Inputs'!$B$33,'Inputs'!$B$29+'Inputs'!$B$31+'Inputs'!$B$32,'Inputs'!$B$30+'Inputs'!$B$31+'Inputs'!$B$32)/1000+'Inputs'!$B$21))^2+('Inputs'!$B$8/2)^2)))-'Results'!B7*(1-'Inputs'!$B$24)*(0.5*((((468-43)*MAX('Inputs'!$B$33,'Inputs'!$B$29+'Inputs'!$B$31+'Inputs'!$B$32,'Inputs'!$B$30+'Inputs'!$B$31+'Inputs'!$B$32)/1000+'Inputs'!$B$21+'Inputs'!$B$9+'Inputs'!$B$10)+'Inputs'!$B$7)/SQRT((((468-43)*MAX('Inputs'!$B$33,'Inputs'!$B$29+'Inputs'!$B$31+'Inputs'!$B$32,'Inputs'!$B$30+'Inputs'!$B$31+'Inputs'!$B$32)/1000+'Inputs'!$B$21+'Inputs'!$B$9+'Inputs'!$B$10)+'Inputs'!$B$7)^2+('Inputs'!$B$6/2)^2)-(((468-43)*MAX('Inputs'!$B$33,'Inputs'!$B$29+'Inputs'!$B$31+'Inputs'!$B$32,'Inputs'!$B$30+'Inputs'!$B$31+'Inputs'!$B$32)/1000+'Inputs'!$B$21+'Inputs'!$B$9+'Inputs'!$B$10))/SQRT((((468-43)*MAX('Inputs'!$B$33,'Inputs'!$B$29+'Inputs'!$B$31+'Inputs'!$B$32,'Inputs'!$B$30+'Inputs'!$B$31+'Inputs'!$B$32)/1000+'Inputs'!$B$21+'Inputs'!$B$9+'Inputs'!$B$10))^2+('Inputs'!$B$6/2)^2))))*'Results'!$B$8))),"")</x:f>
        <x:v>7.5890856679650405</x:v>
      </x:c>
      <x:c r="P468" t="n">
        <x:f>IF(AND(MAX(J468,J467)&gt;0,J468&gt;J467+0.00000001),1,0)</x:f>
        <x:v>0</x:v>
      </x:c>
      <x:c r="Q468" t="n">
        <x:f>IF(AND(MAX(K468,K467)&gt;0,K468&gt;K467+0.00000001),1,0)</x:f>
        <x:v>0</x:v>
      </x:c>
      <x:c r="R468" t="n">
        <x:f>IF(AND(MAX(L468,L467)&gt;0,L468&gt;L467+0.00000001),1,0)</x:f>
        <x:v>0</x:v>
      </x:c>
      <x:c r="S468" t="n">
        <x:f>IF(AND(MAX(M468,M467)&gt;0,M468&gt;M467+0.00000001),1,0)</x:f>
        <x:v>0</x:v>
      </x:c>
      <x:c r="T468" t="n">
        <x:f>IF(AND(MAX(N468,N467)&gt;0,N468&gt;N467+0.00000001),1,0)</x:f>
        <x:v>0</x:v>
      </x:c>
      <x:c r="U468" t="n">
        <x:f>IF(AND(MAX(O468,O467)&gt;0,O468&gt;O467+0.00000001),1,0)</x:f>
        <x:v>0</x:v>
      </x:c>
    </x:row>
    <x:row r="469">
      <x:c r="J469" t="n">
        <x:f>IF(AND(ISNUMBER('Results'!B7),ISNUMBER('Results'!C7),ISNUMBER('Results'!$B$8),ISNUMBER('Inputs'!$B$6),ISNUMBER('Inputs'!$B$7),ISNUMBER('Inputs'!$B$8),ISNUMBER('Inputs'!$B$9),ISNUMBER('Inputs'!$B$10),ISNUMBER('Inputs'!$B$21),ISNUMBER('Inputs'!$B$24),ISNUMBER('Inputs'!$B$28)),(('Results'!B7*(0.5*((((469-43)*MAX('Inputs'!$B$33,'Inputs'!$B$29+'Inputs'!$B$31+'Inputs'!$B$32,'Inputs'!$B$30+'Inputs'!$B$31+'Inputs'!$B$32)/1000+'Inputs'!$B$21)+'Inputs'!$B$7)/SQRT((((469-43)*MAX('Inputs'!$B$33,'Inputs'!$B$29+'Inputs'!$B$31+'Inputs'!$B$32,'Inputs'!$B$30+'Inputs'!$B$31+'Inputs'!$B$32)/1000+'Inputs'!$B$21)+'Inputs'!$B$7)^2+('Inputs'!$B$6/2)^2)-(((469-43)*MAX('Inputs'!$B$33,'Inputs'!$B$29+'Inputs'!$B$31+'Inputs'!$B$32,'Inputs'!$B$30+'Inputs'!$B$31+'Inputs'!$B$32)/1000+'Inputs'!$B$21))/SQRT((((469-43)*MAX('Inputs'!$B$33,'Inputs'!$B$29+'Inputs'!$B$31+'Inputs'!$B$32,'Inputs'!$B$30+'Inputs'!$B$31+'Inputs'!$B$32)/1000+'Inputs'!$B$21))^2+('Inputs'!$B$6/2)^2)))-'Results'!C7*(0.5*((((469-43)*MAX('Inputs'!$B$33,'Inputs'!$B$29+'Inputs'!$B$31+'Inputs'!$B$32,'Inputs'!$B$30+'Inputs'!$B$31+'Inputs'!$B$32)/1000+'Inputs'!$B$21+'Inputs'!$B$7+'Inputs'!$B$10)+'Inputs'!$B$9)/SQRT((((469-43)*MAX('Inputs'!$B$33,'Inputs'!$B$29+'Inputs'!$B$31+'Inputs'!$B$32,'Inputs'!$B$30+'Inputs'!$B$31+'Inputs'!$B$32)/1000+'Inputs'!$B$21+'Inputs'!$B$7+'Inputs'!$B$10)+'Inputs'!$B$9)^2+('Inputs'!$B$8/2)^2)-(((469-43)*MAX('Inputs'!$B$33,'Inputs'!$B$29+'Inputs'!$B$31+'Inputs'!$B$32,'Inputs'!$B$30+'Inputs'!$B$31+'Inputs'!$B$32)/1000+'Inputs'!$B$21+'Inputs'!$B$7+'Inputs'!$B$10))/SQRT((((469-43)*MAX('Inputs'!$B$33,'Inputs'!$B$29+'Inputs'!$B$31+'Inputs'!$B$32,'Inputs'!$B$30+'Inputs'!$B$31+'Inputs'!$B$32)/1000+'Inputs'!$B$21+'Inputs'!$B$7+'Inputs'!$B$10))^2+('Inputs'!$B$8/2)^2))))*'Results'!$B$8),"")</x:f>
        <x:v>7.1770550716302415</x:v>
      </x:c>
      <x:c r="K469" t="n">
        <x:f>IF(AND(ISNUMBER('Results'!B7),ISNUMBER('Results'!C7),ISNUMBER('Results'!$B$8),ISNUMBER('Inputs'!$B$6),ISNUMBER('Inputs'!$B$7),ISNUMBER('Inputs'!$B$8),ISNUMBER('Inputs'!$B$9),ISNUMBER('Inputs'!$B$10),ISNUMBER('Inputs'!$B$21),ISNUMBER('Inputs'!$B$24),ISNUMBER('Inputs'!$B$28)),((('Results'!B7*(1-'Inputs'!$B$24)*(0.5*((((469-43)*MAX('Inputs'!$B$33,'Inputs'!$B$29+'Inputs'!$B$31+'Inputs'!$B$32,'Inputs'!$B$30+'Inputs'!$B$31+'Inputs'!$B$32)/1000+'Inputs'!$B$21)+'Inputs'!$B$7)/SQRT((((469-43)*MAX('Inputs'!$B$33,'Inputs'!$B$29+'Inputs'!$B$31+'Inputs'!$B$32,'Inputs'!$B$30+'Inputs'!$B$31+'Inputs'!$B$32)/1000+'Inputs'!$B$21)+'Inputs'!$B$7)^2+('Inputs'!$B$6/2)^2)-(((469-43)*MAX('Inputs'!$B$33,'Inputs'!$B$29+'Inputs'!$B$31+'Inputs'!$B$32,'Inputs'!$B$30+'Inputs'!$B$31+'Inputs'!$B$32)/1000+'Inputs'!$B$21))/SQRT((((469-43)*MAX('Inputs'!$B$33,'Inputs'!$B$29+'Inputs'!$B$31+'Inputs'!$B$32,'Inputs'!$B$30+'Inputs'!$B$31+'Inputs'!$B$32)/1000+'Inputs'!$B$21))^2+('Inputs'!$B$6/2)^2)))-'Results'!C7*(1+'Inputs'!$B$24)*(0.5*((((469-43)*MAX('Inputs'!$B$33,'Inputs'!$B$29+'Inputs'!$B$31+'Inputs'!$B$32,'Inputs'!$B$30+'Inputs'!$B$31+'Inputs'!$B$32)/1000+'Inputs'!$B$21+'Inputs'!$B$7+'Inputs'!$B$10)+'Inputs'!$B$9)/SQRT((((469-43)*MAX('Inputs'!$B$33,'Inputs'!$B$29+'Inputs'!$B$31+'Inputs'!$B$32,'Inputs'!$B$30+'Inputs'!$B$31+'Inputs'!$B$32)/1000+'Inputs'!$B$21+'Inputs'!$B$7+'Inputs'!$B$10)+'Inputs'!$B$9)^2+('Inputs'!$B$8/2)^2)-(((469-43)*MAX('Inputs'!$B$33,'Inputs'!$B$29+'Inputs'!$B$31+'Inputs'!$B$32,'Inputs'!$B$30+'Inputs'!$B$31+'Inputs'!$B$32)/1000+'Inputs'!$B$21+'Inputs'!$B$7+'Inputs'!$B$10))/SQRT((((469-43)*MAX('Inputs'!$B$33,'Inputs'!$B$29+'Inputs'!$B$31+'Inputs'!$B$32,'Inputs'!$B$30+'Inputs'!$B$31+'Inputs'!$B$32)/1000+'Inputs'!$B$21+'Inputs'!$B$7+'Inputs'!$B$10))^2+('Inputs'!$B$8/2)^2))))*'Results'!$B$8)-'Inputs'!$B$28*ABS((('Results'!B7*(1-'Inputs'!$B$24)*(0.5*((((469-43)*MAX('Inputs'!$B$33,'Inputs'!$B$29+'Inputs'!$B$31+'Inputs'!$B$32,'Inputs'!$B$30+'Inputs'!$B$31+'Inputs'!$B$32)/1000+'Inputs'!$B$21)+'Inputs'!$B$7)/SQRT((((469-43)*MAX('Inputs'!$B$33,'Inputs'!$B$29+'Inputs'!$B$31+'Inputs'!$B$32,'Inputs'!$B$30+'Inputs'!$B$31+'Inputs'!$B$32)/1000+'Inputs'!$B$21)+'Inputs'!$B$7)^2+('Inputs'!$B$6/2)^2)-(((469-43)*MAX('Inputs'!$B$33,'Inputs'!$B$29+'Inputs'!$B$31+'Inputs'!$B$32,'Inputs'!$B$30+'Inputs'!$B$31+'Inputs'!$B$32)/1000+'Inputs'!$B$21))/SQRT((((469-43)*MAX('Inputs'!$B$33,'Inputs'!$B$29+'Inputs'!$B$31+'Inputs'!$B$32,'Inputs'!$B$30+'Inputs'!$B$31+'Inputs'!$B$32)/1000+'Inputs'!$B$21))^2+('Inputs'!$B$6/2)^2)))-'Results'!C7*(1+'Inputs'!$B$24)*(0.5*((((469-43)*MAX('Inputs'!$B$33,'Inputs'!$B$29+'Inputs'!$B$31+'Inputs'!$B$32,'Inputs'!$B$30+'Inputs'!$B$31+'Inputs'!$B$32)/1000+'Inputs'!$B$21+'Inputs'!$B$7+'Inputs'!$B$10)+'Inputs'!$B$9)/SQRT((((469-43)*MAX('Inputs'!$B$33,'Inputs'!$B$29+'Inputs'!$B$31+'Inputs'!$B$32,'Inputs'!$B$30+'Inputs'!$B$31+'Inputs'!$B$32)/1000+'Inputs'!$B$21+'Inputs'!$B$7+'Inputs'!$B$10)+'Inputs'!$B$9)^2+('Inputs'!$B$8/2)^2)-(((469-43)*MAX('Inputs'!$B$33,'Inputs'!$B$29+'Inputs'!$B$31+'Inputs'!$B$32,'Inputs'!$B$30+'Inputs'!$B$31+'Inputs'!$B$32)/1000+'Inputs'!$B$21+'Inputs'!$B$7+'Inputs'!$B$10))/SQRT((((469-43)*MAX('Inputs'!$B$33,'Inputs'!$B$29+'Inputs'!$B$31+'Inputs'!$B$32,'Inputs'!$B$30+'Inputs'!$B$31+'Inputs'!$B$32)/1000+'Inputs'!$B$21+'Inputs'!$B$7+'Inputs'!$B$10))^2+('Inputs'!$B$8/2)^2))))*'Results'!$B$8))),"")</x:f>
        <x:v>6.4080586350971664</x:v>
      </x:c>
      <x:c r="L469" t="n">
        <x:f>IF(AND(ISNUMBER('Results'!B7),ISNUMBER('Results'!C7),ISNUMBER('Results'!$B$8),ISNUMBER('Inputs'!$B$6),ISNUMBER('Inputs'!$B$7),ISNUMBER('Inputs'!$B$8),ISNUMBER('Inputs'!$B$9),ISNUMBER('Inputs'!$B$10),ISNUMBER('Inputs'!$B$21),ISNUMBER('Inputs'!$B$24),ISNUMBER('Inputs'!$B$28)),((('Results'!B7*(1+'Inputs'!$B$24)*(0.5*((((469-43)*MAX('Inputs'!$B$33,'Inputs'!$B$29+'Inputs'!$B$31+'Inputs'!$B$32,'Inputs'!$B$30+'Inputs'!$B$31+'Inputs'!$B$32)/1000+'Inputs'!$B$21)+'Inputs'!$B$7)/SQRT((((469-43)*MAX('Inputs'!$B$33,'Inputs'!$B$29+'Inputs'!$B$31+'Inputs'!$B$32,'Inputs'!$B$30+'Inputs'!$B$31+'Inputs'!$B$32)/1000+'Inputs'!$B$21)+'Inputs'!$B$7)^2+('Inputs'!$B$6/2)^2)-(((469-43)*MAX('Inputs'!$B$33,'Inputs'!$B$29+'Inputs'!$B$31+'Inputs'!$B$32,'Inputs'!$B$30+'Inputs'!$B$31+'Inputs'!$B$32)/1000+'Inputs'!$B$21))/SQRT((((469-43)*MAX('Inputs'!$B$33,'Inputs'!$B$29+'Inputs'!$B$31+'Inputs'!$B$32,'Inputs'!$B$30+'Inputs'!$B$31+'Inputs'!$B$32)/1000+'Inputs'!$B$21))^2+('Inputs'!$B$6/2)^2)))-'Results'!C7*(1-'Inputs'!$B$24)*(0.5*((((469-43)*MAX('Inputs'!$B$33,'Inputs'!$B$29+'Inputs'!$B$31+'Inputs'!$B$32,'Inputs'!$B$30+'Inputs'!$B$31+'Inputs'!$B$32)/1000+'Inputs'!$B$21+'Inputs'!$B$7+'Inputs'!$B$10)+'Inputs'!$B$9)/SQRT((((469-43)*MAX('Inputs'!$B$33,'Inputs'!$B$29+'Inputs'!$B$31+'Inputs'!$B$32,'Inputs'!$B$30+'Inputs'!$B$31+'Inputs'!$B$32)/1000+'Inputs'!$B$21+'Inputs'!$B$7+'Inputs'!$B$10)+'Inputs'!$B$9)^2+('Inputs'!$B$8/2)^2)-(((469-43)*MAX('Inputs'!$B$33,'Inputs'!$B$29+'Inputs'!$B$31+'Inputs'!$B$32,'Inputs'!$B$30+'Inputs'!$B$31+'Inputs'!$B$32)/1000+'Inputs'!$B$21+'Inputs'!$B$7+'Inputs'!$B$10))/SQRT((((469-43)*MAX('Inputs'!$B$33,'Inputs'!$B$29+'Inputs'!$B$31+'Inputs'!$B$32,'Inputs'!$B$30+'Inputs'!$B$31+'Inputs'!$B$32)/1000+'Inputs'!$B$21+'Inputs'!$B$7+'Inputs'!$B$10))^2+('Inputs'!$B$8/2)^2))))*'Results'!$B$8)+'Inputs'!$B$28*ABS((('Results'!B7*(1+'Inputs'!$B$24)*(0.5*((((469-43)*MAX('Inputs'!$B$33,'Inputs'!$B$29+'Inputs'!$B$31+'Inputs'!$B$32,'Inputs'!$B$30+'Inputs'!$B$31+'Inputs'!$B$32)/1000+'Inputs'!$B$21)+'Inputs'!$B$7)/SQRT((((469-43)*MAX('Inputs'!$B$33,'Inputs'!$B$29+'Inputs'!$B$31+'Inputs'!$B$32,'Inputs'!$B$30+'Inputs'!$B$31+'Inputs'!$B$32)/1000+'Inputs'!$B$21)+'Inputs'!$B$7)^2+('Inputs'!$B$6/2)^2)-(((469-43)*MAX('Inputs'!$B$33,'Inputs'!$B$29+'Inputs'!$B$31+'Inputs'!$B$32,'Inputs'!$B$30+'Inputs'!$B$31+'Inputs'!$B$32)/1000+'Inputs'!$B$21))/SQRT((((469-43)*MAX('Inputs'!$B$33,'Inputs'!$B$29+'Inputs'!$B$31+'Inputs'!$B$32,'Inputs'!$B$30+'Inputs'!$B$31+'Inputs'!$B$32)/1000+'Inputs'!$B$21))^2+('Inputs'!$B$6/2)^2)))-'Results'!C7*(1-'Inputs'!$B$24)*(0.5*((((469-43)*MAX('Inputs'!$B$33,'Inputs'!$B$29+'Inputs'!$B$31+'Inputs'!$B$32,'Inputs'!$B$30+'Inputs'!$B$31+'Inputs'!$B$32)/1000+'Inputs'!$B$21+'Inputs'!$B$7+'Inputs'!$B$10)+'Inputs'!$B$9)/SQRT((((469-43)*MAX('Inputs'!$B$33,'Inputs'!$B$29+'Inputs'!$B$31+'Inputs'!$B$32,'Inputs'!$B$30+'Inputs'!$B$31+'Inputs'!$B$32)/1000+'Inputs'!$B$21+'Inputs'!$B$7+'Inputs'!$B$10)+'Inputs'!$B$9)^2+('Inputs'!$B$8/2)^2)-(((469-43)*MAX('Inputs'!$B$33,'Inputs'!$B$29+'Inputs'!$B$31+'Inputs'!$B$32,'Inputs'!$B$30+'Inputs'!$B$31+'Inputs'!$B$32)/1000+'Inputs'!$B$21+'Inputs'!$B$7+'Inputs'!$B$10))/SQRT((((469-43)*MAX('Inputs'!$B$33,'Inputs'!$B$29+'Inputs'!$B$31+'Inputs'!$B$32,'Inputs'!$B$30+'Inputs'!$B$31+'Inputs'!$B$32)/1000+'Inputs'!$B$21+'Inputs'!$B$7+'Inputs'!$B$10))^2+('Inputs'!$B$8/2)^2))))*'Results'!$B$8))),"")</x:f>
        <x:v>7.989224527421375</x:v>
      </x:c>
      <x:c r="M469" t="n">
        <x:f>IF(AND(ISNUMBER('Results'!C7),ISNUMBER('Results'!B7),ISNUMBER('Results'!$B$8),ISNUMBER('Inputs'!$B$6),ISNUMBER('Inputs'!$B$7),ISNUMBER('Inputs'!$B$8),ISNUMBER('Inputs'!$B$9),ISNUMBER('Inputs'!$B$10),ISNUMBER('Inputs'!$B$21),ISNUMBER('Inputs'!$B$24),ISNUMBER('Inputs'!$B$28)),(('Results'!C7*(0.5*((((469-43)*MAX('Inputs'!$B$33,'Inputs'!$B$29+'Inputs'!$B$31+'Inputs'!$B$32,'Inputs'!$B$30+'Inputs'!$B$31+'Inputs'!$B$32)/1000+'Inputs'!$B$21)+'Inputs'!$B$9)/SQRT((((469-43)*MAX('Inputs'!$B$33,'Inputs'!$B$29+'Inputs'!$B$31+'Inputs'!$B$32,'Inputs'!$B$30+'Inputs'!$B$31+'Inputs'!$B$32)/1000+'Inputs'!$B$21)+'Inputs'!$B$9)^2+('Inputs'!$B$8/2)^2)-(((469-43)*MAX('Inputs'!$B$33,'Inputs'!$B$29+'Inputs'!$B$31+'Inputs'!$B$32,'Inputs'!$B$30+'Inputs'!$B$31+'Inputs'!$B$32)/1000+'Inputs'!$B$21))/SQRT((((469-43)*MAX('Inputs'!$B$33,'Inputs'!$B$29+'Inputs'!$B$31+'Inputs'!$B$32,'Inputs'!$B$30+'Inputs'!$B$31+'Inputs'!$B$32)/1000+'Inputs'!$B$21))^2+('Inputs'!$B$8/2)^2)))-'Results'!B7*(0.5*((((469-43)*MAX('Inputs'!$B$33,'Inputs'!$B$29+'Inputs'!$B$31+'Inputs'!$B$32,'Inputs'!$B$30+'Inputs'!$B$31+'Inputs'!$B$32)/1000+'Inputs'!$B$21+'Inputs'!$B$9+'Inputs'!$B$10)+'Inputs'!$B$7)/SQRT((((469-43)*MAX('Inputs'!$B$33,'Inputs'!$B$29+'Inputs'!$B$31+'Inputs'!$B$32,'Inputs'!$B$30+'Inputs'!$B$31+'Inputs'!$B$32)/1000+'Inputs'!$B$21+'Inputs'!$B$9+'Inputs'!$B$10)+'Inputs'!$B$7)^2+('Inputs'!$B$6/2)^2)-(((469-43)*MAX('Inputs'!$B$33,'Inputs'!$B$29+'Inputs'!$B$31+'Inputs'!$B$32,'Inputs'!$B$30+'Inputs'!$B$31+'Inputs'!$B$32)/1000+'Inputs'!$B$21+'Inputs'!$B$9+'Inputs'!$B$10))/SQRT((((469-43)*MAX('Inputs'!$B$33,'Inputs'!$B$29+'Inputs'!$B$31+'Inputs'!$B$32,'Inputs'!$B$30+'Inputs'!$B$31+'Inputs'!$B$32)/1000+'Inputs'!$B$21+'Inputs'!$B$9+'Inputs'!$B$10))^2+('Inputs'!$B$6/2)^2))))*'Results'!$B$8),"")</x:f>
        <x:v>6.7423841740379356</x:v>
      </x:c>
      <x:c r="N469" t="n">
        <x:f>IF(AND(ISNUMBER('Results'!C7),ISNUMBER('Results'!B7),ISNUMBER('Results'!$B$8),ISNUMBER('Inputs'!$B$6),ISNUMBER('Inputs'!$B$7),ISNUMBER('Inputs'!$B$8),ISNUMBER('Inputs'!$B$9),ISNUMBER('Inputs'!$B$10),ISNUMBER('Inputs'!$B$21),ISNUMBER('Inputs'!$B$24),ISNUMBER('Inputs'!$B$28)),((('Results'!C7*(1-'Inputs'!$B$24)*(0.5*((((469-43)*MAX('Inputs'!$B$33,'Inputs'!$B$29+'Inputs'!$B$31+'Inputs'!$B$32,'Inputs'!$B$30+'Inputs'!$B$31+'Inputs'!$B$32)/1000+'Inputs'!$B$21)+'Inputs'!$B$9)/SQRT((((469-43)*MAX('Inputs'!$B$33,'Inputs'!$B$29+'Inputs'!$B$31+'Inputs'!$B$32,'Inputs'!$B$30+'Inputs'!$B$31+'Inputs'!$B$32)/1000+'Inputs'!$B$21)+'Inputs'!$B$9)^2+('Inputs'!$B$8/2)^2)-(((469-43)*MAX('Inputs'!$B$33,'Inputs'!$B$29+'Inputs'!$B$31+'Inputs'!$B$32,'Inputs'!$B$30+'Inputs'!$B$31+'Inputs'!$B$32)/1000+'Inputs'!$B$21))/SQRT((((469-43)*MAX('Inputs'!$B$33,'Inputs'!$B$29+'Inputs'!$B$31+'Inputs'!$B$32,'Inputs'!$B$30+'Inputs'!$B$31+'Inputs'!$B$32)/1000+'Inputs'!$B$21))^2+('Inputs'!$B$8/2)^2)))-'Results'!B7*(1+'Inputs'!$B$24)*(0.5*((((469-43)*MAX('Inputs'!$B$33,'Inputs'!$B$29+'Inputs'!$B$31+'Inputs'!$B$32,'Inputs'!$B$30+'Inputs'!$B$31+'Inputs'!$B$32)/1000+'Inputs'!$B$21+'Inputs'!$B$9+'Inputs'!$B$10)+'Inputs'!$B$7)/SQRT((((469-43)*MAX('Inputs'!$B$33,'Inputs'!$B$29+'Inputs'!$B$31+'Inputs'!$B$32,'Inputs'!$B$30+'Inputs'!$B$31+'Inputs'!$B$32)/1000+'Inputs'!$B$21+'Inputs'!$B$9+'Inputs'!$B$10)+'Inputs'!$B$7)^2+('Inputs'!$B$6/2)^2)-(((469-43)*MAX('Inputs'!$B$33,'Inputs'!$B$29+'Inputs'!$B$31+'Inputs'!$B$32,'Inputs'!$B$30+'Inputs'!$B$31+'Inputs'!$B$32)/1000+'Inputs'!$B$21+'Inputs'!$B$9+'Inputs'!$B$10))/SQRT((((469-43)*MAX('Inputs'!$B$33,'Inputs'!$B$29+'Inputs'!$B$31+'Inputs'!$B$32,'Inputs'!$B$30+'Inputs'!$B$31+'Inputs'!$B$32)/1000+'Inputs'!$B$21+'Inputs'!$B$9+'Inputs'!$B$10))^2+('Inputs'!$B$6/2)^2))))*'Results'!$B$8)-'Inputs'!$B$28*ABS((('Results'!C7*(1-'Inputs'!$B$24)*(0.5*((((469-43)*MAX('Inputs'!$B$33,'Inputs'!$B$29+'Inputs'!$B$31+'Inputs'!$B$32,'Inputs'!$B$30+'Inputs'!$B$31+'Inputs'!$B$32)/1000+'Inputs'!$B$21)+'Inputs'!$B$9)/SQRT((((469-43)*MAX('Inputs'!$B$33,'Inputs'!$B$29+'Inputs'!$B$31+'Inputs'!$B$32,'Inputs'!$B$30+'Inputs'!$B$31+'Inputs'!$B$32)/1000+'Inputs'!$B$21)+'Inputs'!$B$9)^2+('Inputs'!$B$8/2)^2)-(((469-43)*MAX('Inputs'!$B$33,'Inputs'!$B$29+'Inputs'!$B$31+'Inputs'!$B$32,'Inputs'!$B$30+'Inputs'!$B$31+'Inputs'!$B$32)/1000+'Inputs'!$B$21))/SQRT((((469-43)*MAX('Inputs'!$B$33,'Inputs'!$B$29+'Inputs'!$B$31+'Inputs'!$B$32,'Inputs'!$B$30+'Inputs'!$B$31+'Inputs'!$B$32)/1000+'Inputs'!$B$21))^2+('Inputs'!$B$8/2)^2)))-'Results'!B7*(1+'Inputs'!$B$24)*(0.5*((((469-43)*MAX('Inputs'!$B$33,'Inputs'!$B$29+'Inputs'!$B$31+'Inputs'!$B$32,'Inputs'!$B$30+'Inputs'!$B$31+'Inputs'!$B$32)/1000+'Inputs'!$B$21+'Inputs'!$B$9+'Inputs'!$B$10)+'Inputs'!$B$7)/SQRT((((469-43)*MAX('Inputs'!$B$33,'Inputs'!$B$29+'Inputs'!$B$31+'Inputs'!$B$32,'Inputs'!$B$30+'Inputs'!$B$31+'Inputs'!$B$32)/1000+'Inputs'!$B$21+'Inputs'!$B$9+'Inputs'!$B$10)+'Inputs'!$B$7)^2+('Inputs'!$B$6/2)^2)-(((469-43)*MAX('Inputs'!$B$33,'Inputs'!$B$29+'Inputs'!$B$31+'Inputs'!$B$32,'Inputs'!$B$30+'Inputs'!$B$31+'Inputs'!$B$32)/1000+'Inputs'!$B$21+'Inputs'!$B$9+'Inputs'!$B$10))/SQRT((((469-43)*MAX('Inputs'!$B$33,'Inputs'!$B$29+'Inputs'!$B$31+'Inputs'!$B$32,'Inputs'!$B$30+'Inputs'!$B$31+'Inputs'!$B$32)/1000+'Inputs'!$B$21+'Inputs'!$B$9+'Inputs'!$B$10))^2+('Inputs'!$B$6/2)^2))))*'Results'!$B$8))),"")</x:f>
        <x:v>5.997792689916473</x:v>
      </x:c>
      <x:c r="O469" t="n">
        <x:f>IF(AND(ISNUMBER('Results'!C7),ISNUMBER('Results'!B7),ISNUMBER('Results'!$B$8),ISNUMBER('Inputs'!$B$6),ISNUMBER('Inputs'!$B$7),ISNUMBER('Inputs'!$B$8),ISNUMBER('Inputs'!$B$9),ISNUMBER('Inputs'!$B$10),ISNUMBER('Inputs'!$B$21),ISNUMBER('Inputs'!$B$24),ISNUMBER('Inputs'!$B$28)),((('Results'!C7*(1+'Inputs'!$B$24)*(0.5*((((469-43)*MAX('Inputs'!$B$33,'Inputs'!$B$29+'Inputs'!$B$31+'Inputs'!$B$32,'Inputs'!$B$30+'Inputs'!$B$31+'Inputs'!$B$32)/1000+'Inputs'!$B$21)+'Inputs'!$B$9)/SQRT((((469-43)*MAX('Inputs'!$B$33,'Inputs'!$B$29+'Inputs'!$B$31+'Inputs'!$B$32,'Inputs'!$B$30+'Inputs'!$B$31+'Inputs'!$B$32)/1000+'Inputs'!$B$21)+'Inputs'!$B$9)^2+('Inputs'!$B$8/2)^2)-(((469-43)*MAX('Inputs'!$B$33,'Inputs'!$B$29+'Inputs'!$B$31+'Inputs'!$B$32,'Inputs'!$B$30+'Inputs'!$B$31+'Inputs'!$B$32)/1000+'Inputs'!$B$21))/SQRT((((469-43)*MAX('Inputs'!$B$33,'Inputs'!$B$29+'Inputs'!$B$31+'Inputs'!$B$32,'Inputs'!$B$30+'Inputs'!$B$31+'Inputs'!$B$32)/1000+'Inputs'!$B$21))^2+('Inputs'!$B$8/2)^2)))-'Results'!B7*(1-'Inputs'!$B$24)*(0.5*((((469-43)*MAX('Inputs'!$B$33,'Inputs'!$B$29+'Inputs'!$B$31+'Inputs'!$B$32,'Inputs'!$B$30+'Inputs'!$B$31+'Inputs'!$B$32)/1000+'Inputs'!$B$21+'Inputs'!$B$9+'Inputs'!$B$10)+'Inputs'!$B$7)/SQRT((((469-43)*MAX('Inputs'!$B$33,'Inputs'!$B$29+'Inputs'!$B$31+'Inputs'!$B$32,'Inputs'!$B$30+'Inputs'!$B$31+'Inputs'!$B$32)/1000+'Inputs'!$B$21+'Inputs'!$B$9+'Inputs'!$B$10)+'Inputs'!$B$7)^2+('Inputs'!$B$6/2)^2)-(((469-43)*MAX('Inputs'!$B$33,'Inputs'!$B$29+'Inputs'!$B$31+'Inputs'!$B$32,'Inputs'!$B$30+'Inputs'!$B$31+'Inputs'!$B$32)/1000+'Inputs'!$B$21+'Inputs'!$B$9+'Inputs'!$B$10))/SQRT((((469-43)*MAX('Inputs'!$B$33,'Inputs'!$B$29+'Inputs'!$B$31+'Inputs'!$B$32,'Inputs'!$B$30+'Inputs'!$B$31+'Inputs'!$B$32)/1000+'Inputs'!$B$21+'Inputs'!$B$9+'Inputs'!$B$10))^2+('Inputs'!$B$6/2)^2))))*'Results'!$B$8)+'Inputs'!$B$28*ABS((('Results'!C7*(1+'Inputs'!$B$24)*(0.5*((((469-43)*MAX('Inputs'!$B$33,'Inputs'!$B$29+'Inputs'!$B$31+'Inputs'!$B$32,'Inputs'!$B$30+'Inputs'!$B$31+'Inputs'!$B$32)/1000+'Inputs'!$B$21)+'Inputs'!$B$9)/SQRT((((469-43)*MAX('Inputs'!$B$33,'Inputs'!$B$29+'Inputs'!$B$31+'Inputs'!$B$32,'Inputs'!$B$30+'Inputs'!$B$31+'Inputs'!$B$32)/1000+'Inputs'!$B$21)+'Inputs'!$B$9)^2+('Inputs'!$B$8/2)^2)-(((469-43)*MAX('Inputs'!$B$33,'Inputs'!$B$29+'Inputs'!$B$31+'Inputs'!$B$32,'Inputs'!$B$30+'Inputs'!$B$31+'Inputs'!$B$32)/1000+'Inputs'!$B$21))/SQRT((((469-43)*MAX('Inputs'!$B$33,'Inputs'!$B$29+'Inputs'!$B$31+'Inputs'!$B$32,'Inputs'!$B$30+'Inputs'!$B$31+'Inputs'!$B$32)/1000+'Inputs'!$B$21))^2+('Inputs'!$B$8/2)^2)))-'Results'!B7*(1-'Inputs'!$B$24)*(0.5*((((469-43)*MAX('Inputs'!$B$33,'Inputs'!$B$29+'Inputs'!$B$31+'Inputs'!$B$32,'Inputs'!$B$30+'Inputs'!$B$31+'Inputs'!$B$32)/1000+'Inputs'!$B$21+'Inputs'!$B$9+'Inputs'!$B$10)+'Inputs'!$B$7)/SQRT((((469-43)*MAX('Inputs'!$B$33,'Inputs'!$B$29+'Inputs'!$B$31+'Inputs'!$B$32,'Inputs'!$B$30+'Inputs'!$B$31+'Inputs'!$B$32)/1000+'Inputs'!$B$21+'Inputs'!$B$9+'Inputs'!$B$10)+'Inputs'!$B$7)^2+('Inputs'!$B$6/2)^2)-(((469-43)*MAX('Inputs'!$B$33,'Inputs'!$B$29+'Inputs'!$B$31+'Inputs'!$B$32,'Inputs'!$B$30+'Inputs'!$B$31+'Inputs'!$B$32)/1000+'Inputs'!$B$21+'Inputs'!$B$9+'Inputs'!$B$10))/SQRT((((469-43)*MAX('Inputs'!$B$33,'Inputs'!$B$29+'Inputs'!$B$31+'Inputs'!$B$32,'Inputs'!$B$30+'Inputs'!$B$31+'Inputs'!$B$32)/1000+'Inputs'!$B$21+'Inputs'!$B$9+'Inputs'!$B$10))^2+('Inputs'!$B$6/2)^2))))*'Results'!$B$8))),"")</x:f>
        <x:v>7.529867476624616</x:v>
      </x:c>
      <x:c r="P469" t="n">
        <x:f>IF(AND(MAX(J469,J468)&gt;0,J469&gt;J468+0.00000001),1,0)</x:f>
        <x:v>0</x:v>
      </x:c>
      <x:c r="Q469" t="n">
        <x:f>IF(AND(MAX(K469,K468)&gt;0,K469&gt;K468+0.00000001),1,0)</x:f>
        <x:v>0</x:v>
      </x:c>
      <x:c r="R469" t="n">
        <x:f>IF(AND(MAX(L469,L468)&gt;0,L469&gt;L468+0.00000001),1,0)</x:f>
        <x:v>0</x:v>
      </x:c>
      <x:c r="S469" t="n">
        <x:f>IF(AND(MAX(M469,M468)&gt;0,M469&gt;M468+0.00000001),1,0)</x:f>
        <x:v>0</x:v>
      </x:c>
      <x:c r="T469" t="n">
        <x:f>IF(AND(MAX(N469,N468)&gt;0,N469&gt;N468+0.00000001),1,0)</x:f>
        <x:v>0</x:v>
      </x:c>
      <x:c r="U469" t="n">
        <x:f>IF(AND(MAX(O469,O468)&gt;0,O469&gt;O468+0.00000001),1,0)</x:f>
        <x:v>0</x:v>
      </x:c>
    </x:row>
    <x:row r="470">
      <x:c r="J470" t="n">
        <x:f>IF(AND(ISNUMBER('Results'!B7),ISNUMBER('Results'!C7),ISNUMBER('Results'!$B$8),ISNUMBER('Inputs'!$B$6),ISNUMBER('Inputs'!$B$7),ISNUMBER('Inputs'!$B$8),ISNUMBER('Inputs'!$B$9),ISNUMBER('Inputs'!$B$10),ISNUMBER('Inputs'!$B$21),ISNUMBER('Inputs'!$B$24),ISNUMBER('Inputs'!$B$28)),(('Results'!B7*(0.5*((((470-43)*MAX('Inputs'!$B$33,'Inputs'!$B$29+'Inputs'!$B$31+'Inputs'!$B$32,'Inputs'!$B$30+'Inputs'!$B$31+'Inputs'!$B$32)/1000+'Inputs'!$B$21)+'Inputs'!$B$7)/SQRT((((470-43)*MAX('Inputs'!$B$33,'Inputs'!$B$29+'Inputs'!$B$31+'Inputs'!$B$32,'Inputs'!$B$30+'Inputs'!$B$31+'Inputs'!$B$32)/1000+'Inputs'!$B$21)+'Inputs'!$B$7)^2+('Inputs'!$B$6/2)^2)-(((470-43)*MAX('Inputs'!$B$33,'Inputs'!$B$29+'Inputs'!$B$31+'Inputs'!$B$32,'Inputs'!$B$30+'Inputs'!$B$31+'Inputs'!$B$32)/1000+'Inputs'!$B$21))/SQRT((((470-43)*MAX('Inputs'!$B$33,'Inputs'!$B$29+'Inputs'!$B$31+'Inputs'!$B$32,'Inputs'!$B$30+'Inputs'!$B$31+'Inputs'!$B$32)/1000+'Inputs'!$B$21))^2+('Inputs'!$B$6/2)^2)))-'Results'!C7*(0.5*((((470-43)*MAX('Inputs'!$B$33,'Inputs'!$B$29+'Inputs'!$B$31+'Inputs'!$B$32,'Inputs'!$B$30+'Inputs'!$B$31+'Inputs'!$B$32)/1000+'Inputs'!$B$21+'Inputs'!$B$7+'Inputs'!$B$10)+'Inputs'!$B$9)/SQRT((((470-43)*MAX('Inputs'!$B$33,'Inputs'!$B$29+'Inputs'!$B$31+'Inputs'!$B$32,'Inputs'!$B$30+'Inputs'!$B$31+'Inputs'!$B$32)/1000+'Inputs'!$B$21+'Inputs'!$B$7+'Inputs'!$B$10)+'Inputs'!$B$9)^2+('Inputs'!$B$8/2)^2)-(((470-43)*MAX('Inputs'!$B$33,'Inputs'!$B$29+'Inputs'!$B$31+'Inputs'!$B$32,'Inputs'!$B$30+'Inputs'!$B$31+'Inputs'!$B$32)/1000+'Inputs'!$B$21+'Inputs'!$B$7+'Inputs'!$B$10))/SQRT((((470-43)*MAX('Inputs'!$B$33,'Inputs'!$B$29+'Inputs'!$B$31+'Inputs'!$B$32,'Inputs'!$B$30+'Inputs'!$B$31+'Inputs'!$B$32)/1000+'Inputs'!$B$21+'Inputs'!$B$7+'Inputs'!$B$10))^2+('Inputs'!$B$8/2)^2))))*'Results'!$B$8),"")</x:f>
        <x:v>7.121168463485199</x:v>
      </x:c>
      <x:c r="K470" t="n">
        <x:f>IF(AND(ISNUMBER('Results'!B7),ISNUMBER('Results'!C7),ISNUMBER('Results'!$B$8),ISNUMBER('Inputs'!$B$6),ISNUMBER('Inputs'!$B$7),ISNUMBER('Inputs'!$B$8),ISNUMBER('Inputs'!$B$9),ISNUMBER('Inputs'!$B$10),ISNUMBER('Inputs'!$B$21),ISNUMBER('Inputs'!$B$24),ISNUMBER('Inputs'!$B$28)),((('Results'!B7*(1-'Inputs'!$B$24)*(0.5*((((470-43)*MAX('Inputs'!$B$33,'Inputs'!$B$29+'Inputs'!$B$31+'Inputs'!$B$32,'Inputs'!$B$30+'Inputs'!$B$31+'Inputs'!$B$32)/1000+'Inputs'!$B$21)+'Inputs'!$B$7)/SQRT((((470-43)*MAX('Inputs'!$B$33,'Inputs'!$B$29+'Inputs'!$B$31+'Inputs'!$B$32,'Inputs'!$B$30+'Inputs'!$B$31+'Inputs'!$B$32)/1000+'Inputs'!$B$21)+'Inputs'!$B$7)^2+('Inputs'!$B$6/2)^2)-(((470-43)*MAX('Inputs'!$B$33,'Inputs'!$B$29+'Inputs'!$B$31+'Inputs'!$B$32,'Inputs'!$B$30+'Inputs'!$B$31+'Inputs'!$B$32)/1000+'Inputs'!$B$21))/SQRT((((470-43)*MAX('Inputs'!$B$33,'Inputs'!$B$29+'Inputs'!$B$31+'Inputs'!$B$32,'Inputs'!$B$30+'Inputs'!$B$31+'Inputs'!$B$32)/1000+'Inputs'!$B$21))^2+('Inputs'!$B$6/2)^2)))-'Results'!C7*(1+'Inputs'!$B$24)*(0.5*((((470-43)*MAX('Inputs'!$B$33,'Inputs'!$B$29+'Inputs'!$B$31+'Inputs'!$B$32,'Inputs'!$B$30+'Inputs'!$B$31+'Inputs'!$B$32)/1000+'Inputs'!$B$21+'Inputs'!$B$7+'Inputs'!$B$10)+'Inputs'!$B$9)/SQRT((((470-43)*MAX('Inputs'!$B$33,'Inputs'!$B$29+'Inputs'!$B$31+'Inputs'!$B$32,'Inputs'!$B$30+'Inputs'!$B$31+'Inputs'!$B$32)/1000+'Inputs'!$B$21+'Inputs'!$B$7+'Inputs'!$B$10)+'Inputs'!$B$9)^2+('Inputs'!$B$8/2)^2)-(((470-43)*MAX('Inputs'!$B$33,'Inputs'!$B$29+'Inputs'!$B$31+'Inputs'!$B$32,'Inputs'!$B$30+'Inputs'!$B$31+'Inputs'!$B$32)/1000+'Inputs'!$B$21+'Inputs'!$B$7+'Inputs'!$B$10))/SQRT((((470-43)*MAX('Inputs'!$B$33,'Inputs'!$B$29+'Inputs'!$B$31+'Inputs'!$B$32,'Inputs'!$B$30+'Inputs'!$B$31+'Inputs'!$B$32)/1000+'Inputs'!$B$21+'Inputs'!$B$7+'Inputs'!$B$10))^2+('Inputs'!$B$8/2)^2))))*'Results'!$B$8)-'Inputs'!$B$28*ABS((('Results'!B7*(1-'Inputs'!$B$24)*(0.5*((((470-43)*MAX('Inputs'!$B$33,'Inputs'!$B$29+'Inputs'!$B$31+'Inputs'!$B$32,'Inputs'!$B$30+'Inputs'!$B$31+'Inputs'!$B$32)/1000+'Inputs'!$B$21)+'Inputs'!$B$7)/SQRT((((470-43)*MAX('Inputs'!$B$33,'Inputs'!$B$29+'Inputs'!$B$31+'Inputs'!$B$32,'Inputs'!$B$30+'Inputs'!$B$31+'Inputs'!$B$32)/1000+'Inputs'!$B$21)+'Inputs'!$B$7)^2+('Inputs'!$B$6/2)^2)-(((470-43)*MAX('Inputs'!$B$33,'Inputs'!$B$29+'Inputs'!$B$31+'Inputs'!$B$32,'Inputs'!$B$30+'Inputs'!$B$31+'Inputs'!$B$32)/1000+'Inputs'!$B$21))/SQRT((((470-43)*MAX('Inputs'!$B$33,'Inputs'!$B$29+'Inputs'!$B$31+'Inputs'!$B$32,'Inputs'!$B$30+'Inputs'!$B$31+'Inputs'!$B$32)/1000+'Inputs'!$B$21))^2+('Inputs'!$B$6/2)^2)))-'Results'!C7*(1+'Inputs'!$B$24)*(0.5*((((470-43)*MAX('Inputs'!$B$33,'Inputs'!$B$29+'Inputs'!$B$31+'Inputs'!$B$32,'Inputs'!$B$30+'Inputs'!$B$31+'Inputs'!$B$32)/1000+'Inputs'!$B$21+'Inputs'!$B$7+'Inputs'!$B$10)+'Inputs'!$B$9)/SQRT((((470-43)*MAX('Inputs'!$B$33,'Inputs'!$B$29+'Inputs'!$B$31+'Inputs'!$B$32,'Inputs'!$B$30+'Inputs'!$B$31+'Inputs'!$B$32)/1000+'Inputs'!$B$21+'Inputs'!$B$7+'Inputs'!$B$10)+'Inputs'!$B$9)^2+('Inputs'!$B$8/2)^2)-(((470-43)*MAX('Inputs'!$B$33,'Inputs'!$B$29+'Inputs'!$B$31+'Inputs'!$B$32,'Inputs'!$B$30+'Inputs'!$B$31+'Inputs'!$B$32)/1000+'Inputs'!$B$21+'Inputs'!$B$7+'Inputs'!$B$10))/SQRT((((470-43)*MAX('Inputs'!$B$33,'Inputs'!$B$29+'Inputs'!$B$31+'Inputs'!$B$32,'Inputs'!$B$30+'Inputs'!$B$31+'Inputs'!$B$32)/1000+'Inputs'!$B$21+'Inputs'!$B$7+'Inputs'!$B$10))^2+('Inputs'!$B$8/2)^2))))*'Results'!$B$8))),"")</x:f>
        <x:v>6.357461922080737</x:v>
      </x:c>
      <x:c r="L470" t="n">
        <x:f>IF(AND(ISNUMBER('Results'!B7),ISNUMBER('Results'!C7),ISNUMBER('Results'!$B$8),ISNUMBER('Inputs'!$B$6),ISNUMBER('Inputs'!$B$7),ISNUMBER('Inputs'!$B$8),ISNUMBER('Inputs'!$B$9),ISNUMBER('Inputs'!$B$10),ISNUMBER('Inputs'!$B$21),ISNUMBER('Inputs'!$B$24),ISNUMBER('Inputs'!$B$28)),((('Results'!B7*(1+'Inputs'!$B$24)*(0.5*((((470-43)*MAX('Inputs'!$B$33,'Inputs'!$B$29+'Inputs'!$B$31+'Inputs'!$B$32,'Inputs'!$B$30+'Inputs'!$B$31+'Inputs'!$B$32)/1000+'Inputs'!$B$21)+'Inputs'!$B$7)/SQRT((((470-43)*MAX('Inputs'!$B$33,'Inputs'!$B$29+'Inputs'!$B$31+'Inputs'!$B$32,'Inputs'!$B$30+'Inputs'!$B$31+'Inputs'!$B$32)/1000+'Inputs'!$B$21)+'Inputs'!$B$7)^2+('Inputs'!$B$6/2)^2)-(((470-43)*MAX('Inputs'!$B$33,'Inputs'!$B$29+'Inputs'!$B$31+'Inputs'!$B$32,'Inputs'!$B$30+'Inputs'!$B$31+'Inputs'!$B$32)/1000+'Inputs'!$B$21))/SQRT((((470-43)*MAX('Inputs'!$B$33,'Inputs'!$B$29+'Inputs'!$B$31+'Inputs'!$B$32,'Inputs'!$B$30+'Inputs'!$B$31+'Inputs'!$B$32)/1000+'Inputs'!$B$21))^2+('Inputs'!$B$6/2)^2)))-'Results'!C7*(1-'Inputs'!$B$24)*(0.5*((((470-43)*MAX('Inputs'!$B$33,'Inputs'!$B$29+'Inputs'!$B$31+'Inputs'!$B$32,'Inputs'!$B$30+'Inputs'!$B$31+'Inputs'!$B$32)/1000+'Inputs'!$B$21+'Inputs'!$B$7+'Inputs'!$B$10)+'Inputs'!$B$9)/SQRT((((470-43)*MAX('Inputs'!$B$33,'Inputs'!$B$29+'Inputs'!$B$31+'Inputs'!$B$32,'Inputs'!$B$30+'Inputs'!$B$31+'Inputs'!$B$32)/1000+'Inputs'!$B$21+'Inputs'!$B$7+'Inputs'!$B$10)+'Inputs'!$B$9)^2+('Inputs'!$B$8/2)^2)-(((470-43)*MAX('Inputs'!$B$33,'Inputs'!$B$29+'Inputs'!$B$31+'Inputs'!$B$32,'Inputs'!$B$30+'Inputs'!$B$31+'Inputs'!$B$32)/1000+'Inputs'!$B$21+'Inputs'!$B$7+'Inputs'!$B$10))/SQRT((((470-43)*MAX('Inputs'!$B$33,'Inputs'!$B$29+'Inputs'!$B$31+'Inputs'!$B$32,'Inputs'!$B$30+'Inputs'!$B$31+'Inputs'!$B$32)/1000+'Inputs'!$B$21+'Inputs'!$B$7+'Inputs'!$B$10))^2+('Inputs'!$B$8/2)^2))))*'Results'!$B$8)+'Inputs'!$B$28*ABS((('Results'!B7*(1+'Inputs'!$B$24)*(0.5*((((470-43)*MAX('Inputs'!$B$33,'Inputs'!$B$29+'Inputs'!$B$31+'Inputs'!$B$32,'Inputs'!$B$30+'Inputs'!$B$31+'Inputs'!$B$32)/1000+'Inputs'!$B$21)+'Inputs'!$B$7)/SQRT((((470-43)*MAX('Inputs'!$B$33,'Inputs'!$B$29+'Inputs'!$B$31+'Inputs'!$B$32,'Inputs'!$B$30+'Inputs'!$B$31+'Inputs'!$B$32)/1000+'Inputs'!$B$21)+'Inputs'!$B$7)^2+('Inputs'!$B$6/2)^2)-(((470-43)*MAX('Inputs'!$B$33,'Inputs'!$B$29+'Inputs'!$B$31+'Inputs'!$B$32,'Inputs'!$B$30+'Inputs'!$B$31+'Inputs'!$B$32)/1000+'Inputs'!$B$21))/SQRT((((470-43)*MAX('Inputs'!$B$33,'Inputs'!$B$29+'Inputs'!$B$31+'Inputs'!$B$32,'Inputs'!$B$30+'Inputs'!$B$31+'Inputs'!$B$32)/1000+'Inputs'!$B$21))^2+('Inputs'!$B$6/2)^2)))-'Results'!C7*(1-'Inputs'!$B$24)*(0.5*((((470-43)*MAX('Inputs'!$B$33,'Inputs'!$B$29+'Inputs'!$B$31+'Inputs'!$B$32,'Inputs'!$B$30+'Inputs'!$B$31+'Inputs'!$B$32)/1000+'Inputs'!$B$21+'Inputs'!$B$7+'Inputs'!$B$10)+'Inputs'!$B$9)/SQRT((((470-43)*MAX('Inputs'!$B$33,'Inputs'!$B$29+'Inputs'!$B$31+'Inputs'!$B$32,'Inputs'!$B$30+'Inputs'!$B$31+'Inputs'!$B$32)/1000+'Inputs'!$B$21+'Inputs'!$B$7+'Inputs'!$B$10)+'Inputs'!$B$9)^2+('Inputs'!$B$8/2)^2)-(((470-43)*MAX('Inputs'!$B$33,'Inputs'!$B$29+'Inputs'!$B$31+'Inputs'!$B$32,'Inputs'!$B$30+'Inputs'!$B$31+'Inputs'!$B$32)/1000+'Inputs'!$B$21+'Inputs'!$B$7+'Inputs'!$B$10))/SQRT((((470-43)*MAX('Inputs'!$B$33,'Inputs'!$B$29+'Inputs'!$B$31+'Inputs'!$B$32,'Inputs'!$B$30+'Inputs'!$B$31+'Inputs'!$B$32)/1000+'Inputs'!$B$21+'Inputs'!$B$7+'Inputs'!$B$10))^2+('Inputs'!$B$8/2)^2))))*'Results'!$B$8))),"")</x:f>
        <x:v>7.927785333124419</x:v>
      </x:c>
      <x:c r="M470" t="n">
        <x:f>IF(AND(ISNUMBER('Results'!C7),ISNUMBER('Results'!B7),ISNUMBER('Results'!$B$8),ISNUMBER('Inputs'!$B$6),ISNUMBER('Inputs'!$B$7),ISNUMBER('Inputs'!$B$8),ISNUMBER('Inputs'!$B$9),ISNUMBER('Inputs'!$B$10),ISNUMBER('Inputs'!$B$21),ISNUMBER('Inputs'!$B$24),ISNUMBER('Inputs'!$B$28)),(('Results'!C7*(0.5*((((470-43)*MAX('Inputs'!$B$33,'Inputs'!$B$29+'Inputs'!$B$31+'Inputs'!$B$32,'Inputs'!$B$30+'Inputs'!$B$31+'Inputs'!$B$32)/1000+'Inputs'!$B$21)+'Inputs'!$B$9)/SQRT((((470-43)*MAX('Inputs'!$B$33,'Inputs'!$B$29+'Inputs'!$B$31+'Inputs'!$B$32,'Inputs'!$B$30+'Inputs'!$B$31+'Inputs'!$B$32)/1000+'Inputs'!$B$21)+'Inputs'!$B$9)^2+('Inputs'!$B$8/2)^2)-(((470-43)*MAX('Inputs'!$B$33,'Inputs'!$B$29+'Inputs'!$B$31+'Inputs'!$B$32,'Inputs'!$B$30+'Inputs'!$B$31+'Inputs'!$B$32)/1000+'Inputs'!$B$21))/SQRT((((470-43)*MAX('Inputs'!$B$33,'Inputs'!$B$29+'Inputs'!$B$31+'Inputs'!$B$32,'Inputs'!$B$30+'Inputs'!$B$31+'Inputs'!$B$32)/1000+'Inputs'!$B$21))^2+('Inputs'!$B$8/2)^2)))-'Results'!B7*(0.5*((((470-43)*MAX('Inputs'!$B$33,'Inputs'!$B$29+'Inputs'!$B$31+'Inputs'!$B$32,'Inputs'!$B$30+'Inputs'!$B$31+'Inputs'!$B$32)/1000+'Inputs'!$B$21+'Inputs'!$B$9+'Inputs'!$B$10)+'Inputs'!$B$7)/SQRT((((470-43)*MAX('Inputs'!$B$33,'Inputs'!$B$29+'Inputs'!$B$31+'Inputs'!$B$32,'Inputs'!$B$30+'Inputs'!$B$31+'Inputs'!$B$32)/1000+'Inputs'!$B$21+'Inputs'!$B$9+'Inputs'!$B$10)+'Inputs'!$B$7)^2+('Inputs'!$B$6/2)^2)-(((470-43)*MAX('Inputs'!$B$33,'Inputs'!$B$29+'Inputs'!$B$31+'Inputs'!$B$32,'Inputs'!$B$30+'Inputs'!$B$31+'Inputs'!$B$32)/1000+'Inputs'!$B$21+'Inputs'!$B$9+'Inputs'!$B$10))/SQRT((((470-43)*MAX('Inputs'!$B$33,'Inputs'!$B$29+'Inputs'!$B$31+'Inputs'!$B$32,'Inputs'!$B$30+'Inputs'!$B$31+'Inputs'!$B$32)/1000+'Inputs'!$B$21+'Inputs'!$B$9+'Inputs'!$B$10))^2+('Inputs'!$B$6/2)^2))))*'Results'!$B$8),"")</x:f>
        <x:v>6.68913987590213</x:v>
      </x:c>
      <x:c r="N470" t="n">
        <x:f>IF(AND(ISNUMBER('Results'!C7),ISNUMBER('Results'!B7),ISNUMBER('Results'!$B$8),ISNUMBER('Inputs'!$B$6),ISNUMBER('Inputs'!$B$7),ISNUMBER('Inputs'!$B$8),ISNUMBER('Inputs'!$B$9),ISNUMBER('Inputs'!$B$10),ISNUMBER('Inputs'!$B$21),ISNUMBER('Inputs'!$B$24),ISNUMBER('Inputs'!$B$28)),((('Results'!C7*(1-'Inputs'!$B$24)*(0.5*((((470-43)*MAX('Inputs'!$B$33,'Inputs'!$B$29+'Inputs'!$B$31+'Inputs'!$B$32,'Inputs'!$B$30+'Inputs'!$B$31+'Inputs'!$B$32)/1000+'Inputs'!$B$21)+'Inputs'!$B$9)/SQRT((((470-43)*MAX('Inputs'!$B$33,'Inputs'!$B$29+'Inputs'!$B$31+'Inputs'!$B$32,'Inputs'!$B$30+'Inputs'!$B$31+'Inputs'!$B$32)/1000+'Inputs'!$B$21)+'Inputs'!$B$9)^2+('Inputs'!$B$8/2)^2)-(((470-43)*MAX('Inputs'!$B$33,'Inputs'!$B$29+'Inputs'!$B$31+'Inputs'!$B$32,'Inputs'!$B$30+'Inputs'!$B$31+'Inputs'!$B$32)/1000+'Inputs'!$B$21))/SQRT((((470-43)*MAX('Inputs'!$B$33,'Inputs'!$B$29+'Inputs'!$B$31+'Inputs'!$B$32,'Inputs'!$B$30+'Inputs'!$B$31+'Inputs'!$B$32)/1000+'Inputs'!$B$21))^2+('Inputs'!$B$8/2)^2)))-'Results'!B7*(1+'Inputs'!$B$24)*(0.5*((((470-43)*MAX('Inputs'!$B$33,'Inputs'!$B$29+'Inputs'!$B$31+'Inputs'!$B$32,'Inputs'!$B$30+'Inputs'!$B$31+'Inputs'!$B$32)/1000+'Inputs'!$B$21+'Inputs'!$B$9+'Inputs'!$B$10)+'Inputs'!$B$7)/SQRT((((470-43)*MAX('Inputs'!$B$33,'Inputs'!$B$29+'Inputs'!$B$31+'Inputs'!$B$32,'Inputs'!$B$30+'Inputs'!$B$31+'Inputs'!$B$32)/1000+'Inputs'!$B$21+'Inputs'!$B$9+'Inputs'!$B$10)+'Inputs'!$B$7)^2+('Inputs'!$B$6/2)^2)-(((470-43)*MAX('Inputs'!$B$33,'Inputs'!$B$29+'Inputs'!$B$31+'Inputs'!$B$32,'Inputs'!$B$30+'Inputs'!$B$31+'Inputs'!$B$32)/1000+'Inputs'!$B$21+'Inputs'!$B$9+'Inputs'!$B$10))/SQRT((((470-43)*MAX('Inputs'!$B$33,'Inputs'!$B$29+'Inputs'!$B$31+'Inputs'!$B$32,'Inputs'!$B$30+'Inputs'!$B$31+'Inputs'!$B$32)/1000+'Inputs'!$B$21+'Inputs'!$B$9+'Inputs'!$B$10))^2+('Inputs'!$B$6/2)^2))))*'Results'!$B$8)-'Inputs'!$B$28*ABS((('Results'!C7*(1-'Inputs'!$B$24)*(0.5*((((470-43)*MAX('Inputs'!$B$33,'Inputs'!$B$29+'Inputs'!$B$31+'Inputs'!$B$32,'Inputs'!$B$30+'Inputs'!$B$31+'Inputs'!$B$32)/1000+'Inputs'!$B$21)+'Inputs'!$B$9)/SQRT((((470-43)*MAX('Inputs'!$B$33,'Inputs'!$B$29+'Inputs'!$B$31+'Inputs'!$B$32,'Inputs'!$B$30+'Inputs'!$B$31+'Inputs'!$B$32)/1000+'Inputs'!$B$21)+'Inputs'!$B$9)^2+('Inputs'!$B$8/2)^2)-(((470-43)*MAX('Inputs'!$B$33,'Inputs'!$B$29+'Inputs'!$B$31+'Inputs'!$B$32,'Inputs'!$B$30+'Inputs'!$B$31+'Inputs'!$B$32)/1000+'Inputs'!$B$21))/SQRT((((470-43)*MAX('Inputs'!$B$33,'Inputs'!$B$29+'Inputs'!$B$31+'Inputs'!$B$32,'Inputs'!$B$30+'Inputs'!$B$31+'Inputs'!$B$32)/1000+'Inputs'!$B$21))^2+('Inputs'!$B$8/2)^2)))-'Results'!B7*(1+'Inputs'!$B$24)*(0.5*((((470-43)*MAX('Inputs'!$B$33,'Inputs'!$B$29+'Inputs'!$B$31+'Inputs'!$B$32,'Inputs'!$B$30+'Inputs'!$B$31+'Inputs'!$B$32)/1000+'Inputs'!$B$21+'Inputs'!$B$9+'Inputs'!$B$10)+'Inputs'!$B$7)/SQRT((((470-43)*MAX('Inputs'!$B$33,'Inputs'!$B$29+'Inputs'!$B$31+'Inputs'!$B$32,'Inputs'!$B$30+'Inputs'!$B$31+'Inputs'!$B$32)/1000+'Inputs'!$B$21+'Inputs'!$B$9+'Inputs'!$B$10)+'Inputs'!$B$7)^2+('Inputs'!$B$6/2)^2)-(((470-43)*MAX('Inputs'!$B$33,'Inputs'!$B$29+'Inputs'!$B$31+'Inputs'!$B$32,'Inputs'!$B$30+'Inputs'!$B$31+'Inputs'!$B$32)/1000+'Inputs'!$B$21+'Inputs'!$B$9+'Inputs'!$B$10))/SQRT((((470-43)*MAX('Inputs'!$B$33,'Inputs'!$B$29+'Inputs'!$B$31+'Inputs'!$B$32,'Inputs'!$B$30+'Inputs'!$B$31+'Inputs'!$B$32)/1000+'Inputs'!$B$21+'Inputs'!$B$9+'Inputs'!$B$10))^2+('Inputs'!$B$6/2)^2))))*'Results'!$B$8))),"")</x:f>
        <x:v>5.949685227093471</x:v>
      </x:c>
      <x:c r="O470" t="n">
        <x:f>IF(AND(ISNUMBER('Results'!C7),ISNUMBER('Results'!B7),ISNUMBER('Results'!$B$8),ISNUMBER('Inputs'!$B$6),ISNUMBER('Inputs'!$B$7),ISNUMBER('Inputs'!$B$8),ISNUMBER('Inputs'!$B$9),ISNUMBER('Inputs'!$B$10),ISNUMBER('Inputs'!$B$21),ISNUMBER('Inputs'!$B$24),ISNUMBER('Inputs'!$B$28)),((('Results'!C7*(1+'Inputs'!$B$24)*(0.5*((((470-43)*MAX('Inputs'!$B$33,'Inputs'!$B$29+'Inputs'!$B$31+'Inputs'!$B$32,'Inputs'!$B$30+'Inputs'!$B$31+'Inputs'!$B$32)/1000+'Inputs'!$B$21)+'Inputs'!$B$9)/SQRT((((470-43)*MAX('Inputs'!$B$33,'Inputs'!$B$29+'Inputs'!$B$31+'Inputs'!$B$32,'Inputs'!$B$30+'Inputs'!$B$31+'Inputs'!$B$32)/1000+'Inputs'!$B$21)+'Inputs'!$B$9)^2+('Inputs'!$B$8/2)^2)-(((470-43)*MAX('Inputs'!$B$33,'Inputs'!$B$29+'Inputs'!$B$31+'Inputs'!$B$32,'Inputs'!$B$30+'Inputs'!$B$31+'Inputs'!$B$32)/1000+'Inputs'!$B$21))/SQRT((((470-43)*MAX('Inputs'!$B$33,'Inputs'!$B$29+'Inputs'!$B$31+'Inputs'!$B$32,'Inputs'!$B$30+'Inputs'!$B$31+'Inputs'!$B$32)/1000+'Inputs'!$B$21))^2+('Inputs'!$B$8/2)^2)))-'Results'!B7*(1-'Inputs'!$B$24)*(0.5*((((470-43)*MAX('Inputs'!$B$33,'Inputs'!$B$29+'Inputs'!$B$31+'Inputs'!$B$32,'Inputs'!$B$30+'Inputs'!$B$31+'Inputs'!$B$32)/1000+'Inputs'!$B$21+'Inputs'!$B$9+'Inputs'!$B$10)+'Inputs'!$B$7)/SQRT((((470-43)*MAX('Inputs'!$B$33,'Inputs'!$B$29+'Inputs'!$B$31+'Inputs'!$B$32,'Inputs'!$B$30+'Inputs'!$B$31+'Inputs'!$B$32)/1000+'Inputs'!$B$21+'Inputs'!$B$9+'Inputs'!$B$10)+'Inputs'!$B$7)^2+('Inputs'!$B$6/2)^2)-(((470-43)*MAX('Inputs'!$B$33,'Inputs'!$B$29+'Inputs'!$B$31+'Inputs'!$B$32,'Inputs'!$B$30+'Inputs'!$B$31+'Inputs'!$B$32)/1000+'Inputs'!$B$21+'Inputs'!$B$9+'Inputs'!$B$10))/SQRT((((470-43)*MAX('Inputs'!$B$33,'Inputs'!$B$29+'Inputs'!$B$31+'Inputs'!$B$32,'Inputs'!$B$30+'Inputs'!$B$31+'Inputs'!$B$32)/1000+'Inputs'!$B$21+'Inputs'!$B$9+'Inputs'!$B$10))^2+('Inputs'!$B$6/2)^2))))*'Results'!$B$8)+'Inputs'!$B$28*ABS((('Results'!C7*(1+'Inputs'!$B$24)*(0.5*((((470-43)*MAX('Inputs'!$B$33,'Inputs'!$B$29+'Inputs'!$B$31+'Inputs'!$B$32,'Inputs'!$B$30+'Inputs'!$B$31+'Inputs'!$B$32)/1000+'Inputs'!$B$21)+'Inputs'!$B$9)/SQRT((((470-43)*MAX('Inputs'!$B$33,'Inputs'!$B$29+'Inputs'!$B$31+'Inputs'!$B$32,'Inputs'!$B$30+'Inputs'!$B$31+'Inputs'!$B$32)/1000+'Inputs'!$B$21)+'Inputs'!$B$9)^2+('Inputs'!$B$8/2)^2)-(((470-43)*MAX('Inputs'!$B$33,'Inputs'!$B$29+'Inputs'!$B$31+'Inputs'!$B$32,'Inputs'!$B$30+'Inputs'!$B$31+'Inputs'!$B$32)/1000+'Inputs'!$B$21))/SQRT((((470-43)*MAX('Inputs'!$B$33,'Inputs'!$B$29+'Inputs'!$B$31+'Inputs'!$B$32,'Inputs'!$B$30+'Inputs'!$B$31+'Inputs'!$B$32)/1000+'Inputs'!$B$21))^2+('Inputs'!$B$8/2)^2)))-'Results'!B7*(1-'Inputs'!$B$24)*(0.5*((((470-43)*MAX('Inputs'!$B$33,'Inputs'!$B$29+'Inputs'!$B$31+'Inputs'!$B$32,'Inputs'!$B$30+'Inputs'!$B$31+'Inputs'!$B$32)/1000+'Inputs'!$B$21+'Inputs'!$B$9+'Inputs'!$B$10)+'Inputs'!$B$7)/SQRT((((470-43)*MAX('Inputs'!$B$33,'Inputs'!$B$29+'Inputs'!$B$31+'Inputs'!$B$32,'Inputs'!$B$30+'Inputs'!$B$31+'Inputs'!$B$32)/1000+'Inputs'!$B$21+'Inputs'!$B$9+'Inputs'!$B$10)+'Inputs'!$B$7)^2+('Inputs'!$B$6/2)^2)-(((470-43)*MAX('Inputs'!$B$33,'Inputs'!$B$29+'Inputs'!$B$31+'Inputs'!$B$32,'Inputs'!$B$30+'Inputs'!$B$31+'Inputs'!$B$32)/1000+'Inputs'!$B$21+'Inputs'!$B$9+'Inputs'!$B$10))/SQRT((((470-43)*MAX('Inputs'!$B$33,'Inputs'!$B$29+'Inputs'!$B$31+'Inputs'!$B$32,'Inputs'!$B$30+'Inputs'!$B$31+'Inputs'!$B$32)/1000+'Inputs'!$B$21+'Inputs'!$B$9+'Inputs'!$B$10))^2+('Inputs'!$B$6/2)^2))))*'Results'!$B$8))),"")</x:f>
        <x:v>7.471225856817478</x:v>
      </x:c>
      <x:c r="P470" t="n">
        <x:f>IF(AND(MAX(J470,J469)&gt;0,J470&gt;J469+0.00000001),1,0)</x:f>
        <x:v>0</x:v>
      </x:c>
      <x:c r="Q470" t="n">
        <x:f>IF(AND(MAX(K470,K469)&gt;0,K470&gt;K469+0.00000001),1,0)</x:f>
        <x:v>0</x:v>
      </x:c>
      <x:c r="R470" t="n">
        <x:f>IF(AND(MAX(L470,L469)&gt;0,L470&gt;L469+0.00000001),1,0)</x:f>
        <x:v>0</x:v>
      </x:c>
      <x:c r="S470" t="n">
        <x:f>IF(AND(MAX(M470,M469)&gt;0,M470&gt;M469+0.00000001),1,0)</x:f>
        <x:v>0</x:v>
      </x:c>
      <x:c r="T470" t="n">
        <x:f>IF(AND(MAX(N470,N469)&gt;0,N470&gt;N469+0.00000001),1,0)</x:f>
        <x:v>0</x:v>
      </x:c>
      <x:c r="U470" t="n">
        <x:f>IF(AND(MAX(O470,O469)&gt;0,O470&gt;O469+0.00000001),1,0)</x:f>
        <x:v>0</x:v>
      </x:c>
    </x:row>
    <x:row r="471">
      <x:c r="J471" t="n">
        <x:f>IF(AND(ISNUMBER('Results'!B7),ISNUMBER('Results'!C7),ISNUMBER('Results'!$B$8),ISNUMBER('Inputs'!$B$6),ISNUMBER('Inputs'!$B$7),ISNUMBER('Inputs'!$B$8),ISNUMBER('Inputs'!$B$9),ISNUMBER('Inputs'!$B$10),ISNUMBER('Inputs'!$B$21),ISNUMBER('Inputs'!$B$24),ISNUMBER('Inputs'!$B$28)),(('Results'!B7*(0.5*((((471-43)*MAX('Inputs'!$B$33,'Inputs'!$B$29+'Inputs'!$B$31+'Inputs'!$B$32,'Inputs'!$B$30+'Inputs'!$B$31+'Inputs'!$B$32)/1000+'Inputs'!$B$21)+'Inputs'!$B$7)/SQRT((((471-43)*MAX('Inputs'!$B$33,'Inputs'!$B$29+'Inputs'!$B$31+'Inputs'!$B$32,'Inputs'!$B$30+'Inputs'!$B$31+'Inputs'!$B$32)/1000+'Inputs'!$B$21)+'Inputs'!$B$7)^2+('Inputs'!$B$6/2)^2)-(((471-43)*MAX('Inputs'!$B$33,'Inputs'!$B$29+'Inputs'!$B$31+'Inputs'!$B$32,'Inputs'!$B$30+'Inputs'!$B$31+'Inputs'!$B$32)/1000+'Inputs'!$B$21))/SQRT((((471-43)*MAX('Inputs'!$B$33,'Inputs'!$B$29+'Inputs'!$B$31+'Inputs'!$B$32,'Inputs'!$B$30+'Inputs'!$B$31+'Inputs'!$B$32)/1000+'Inputs'!$B$21))^2+('Inputs'!$B$6/2)^2)))-'Results'!C7*(0.5*((((471-43)*MAX('Inputs'!$B$33,'Inputs'!$B$29+'Inputs'!$B$31+'Inputs'!$B$32,'Inputs'!$B$30+'Inputs'!$B$31+'Inputs'!$B$32)/1000+'Inputs'!$B$21+'Inputs'!$B$7+'Inputs'!$B$10)+'Inputs'!$B$9)/SQRT((((471-43)*MAX('Inputs'!$B$33,'Inputs'!$B$29+'Inputs'!$B$31+'Inputs'!$B$32,'Inputs'!$B$30+'Inputs'!$B$31+'Inputs'!$B$32)/1000+'Inputs'!$B$21+'Inputs'!$B$7+'Inputs'!$B$10)+'Inputs'!$B$9)^2+('Inputs'!$B$8/2)^2)-(((471-43)*MAX('Inputs'!$B$33,'Inputs'!$B$29+'Inputs'!$B$31+'Inputs'!$B$32,'Inputs'!$B$30+'Inputs'!$B$31+'Inputs'!$B$32)/1000+'Inputs'!$B$21+'Inputs'!$B$7+'Inputs'!$B$10))/SQRT((((471-43)*MAX('Inputs'!$B$33,'Inputs'!$B$29+'Inputs'!$B$31+'Inputs'!$B$32,'Inputs'!$B$30+'Inputs'!$B$31+'Inputs'!$B$32)/1000+'Inputs'!$B$21+'Inputs'!$B$7+'Inputs'!$B$10))^2+('Inputs'!$B$8/2)^2))))*'Results'!$B$8),"")</x:f>
        <x:v>7.065824900315124</x:v>
      </x:c>
      <x:c r="K471" t="n">
        <x:f>IF(AND(ISNUMBER('Results'!B7),ISNUMBER('Results'!C7),ISNUMBER('Results'!$B$8),ISNUMBER('Inputs'!$B$6),ISNUMBER('Inputs'!$B$7),ISNUMBER('Inputs'!$B$8),ISNUMBER('Inputs'!$B$9),ISNUMBER('Inputs'!$B$10),ISNUMBER('Inputs'!$B$21),ISNUMBER('Inputs'!$B$24),ISNUMBER('Inputs'!$B$28)),((('Results'!B7*(1-'Inputs'!$B$24)*(0.5*((((471-43)*MAX('Inputs'!$B$33,'Inputs'!$B$29+'Inputs'!$B$31+'Inputs'!$B$32,'Inputs'!$B$30+'Inputs'!$B$31+'Inputs'!$B$32)/1000+'Inputs'!$B$21)+'Inputs'!$B$7)/SQRT((((471-43)*MAX('Inputs'!$B$33,'Inputs'!$B$29+'Inputs'!$B$31+'Inputs'!$B$32,'Inputs'!$B$30+'Inputs'!$B$31+'Inputs'!$B$32)/1000+'Inputs'!$B$21)+'Inputs'!$B$7)^2+('Inputs'!$B$6/2)^2)-(((471-43)*MAX('Inputs'!$B$33,'Inputs'!$B$29+'Inputs'!$B$31+'Inputs'!$B$32,'Inputs'!$B$30+'Inputs'!$B$31+'Inputs'!$B$32)/1000+'Inputs'!$B$21))/SQRT((((471-43)*MAX('Inputs'!$B$33,'Inputs'!$B$29+'Inputs'!$B$31+'Inputs'!$B$32,'Inputs'!$B$30+'Inputs'!$B$31+'Inputs'!$B$32)/1000+'Inputs'!$B$21))^2+('Inputs'!$B$6/2)^2)))-'Results'!C7*(1+'Inputs'!$B$24)*(0.5*((((471-43)*MAX('Inputs'!$B$33,'Inputs'!$B$29+'Inputs'!$B$31+'Inputs'!$B$32,'Inputs'!$B$30+'Inputs'!$B$31+'Inputs'!$B$32)/1000+'Inputs'!$B$21+'Inputs'!$B$7+'Inputs'!$B$10)+'Inputs'!$B$9)/SQRT((((471-43)*MAX('Inputs'!$B$33,'Inputs'!$B$29+'Inputs'!$B$31+'Inputs'!$B$32,'Inputs'!$B$30+'Inputs'!$B$31+'Inputs'!$B$32)/1000+'Inputs'!$B$21+'Inputs'!$B$7+'Inputs'!$B$10)+'Inputs'!$B$9)^2+('Inputs'!$B$8/2)^2)-(((471-43)*MAX('Inputs'!$B$33,'Inputs'!$B$29+'Inputs'!$B$31+'Inputs'!$B$32,'Inputs'!$B$30+'Inputs'!$B$31+'Inputs'!$B$32)/1000+'Inputs'!$B$21+'Inputs'!$B$7+'Inputs'!$B$10))/SQRT((((471-43)*MAX('Inputs'!$B$33,'Inputs'!$B$29+'Inputs'!$B$31+'Inputs'!$B$32,'Inputs'!$B$30+'Inputs'!$B$31+'Inputs'!$B$32)/1000+'Inputs'!$B$21+'Inputs'!$B$7+'Inputs'!$B$10))^2+('Inputs'!$B$8/2)^2))))*'Results'!$B$8)-'Inputs'!$B$28*ABS((('Results'!B7*(1-'Inputs'!$B$24)*(0.5*((((471-43)*MAX('Inputs'!$B$33,'Inputs'!$B$29+'Inputs'!$B$31+'Inputs'!$B$32,'Inputs'!$B$30+'Inputs'!$B$31+'Inputs'!$B$32)/1000+'Inputs'!$B$21)+'Inputs'!$B$7)/SQRT((((471-43)*MAX('Inputs'!$B$33,'Inputs'!$B$29+'Inputs'!$B$31+'Inputs'!$B$32,'Inputs'!$B$30+'Inputs'!$B$31+'Inputs'!$B$32)/1000+'Inputs'!$B$21)+'Inputs'!$B$7)^2+('Inputs'!$B$6/2)^2)-(((471-43)*MAX('Inputs'!$B$33,'Inputs'!$B$29+'Inputs'!$B$31+'Inputs'!$B$32,'Inputs'!$B$30+'Inputs'!$B$31+'Inputs'!$B$32)/1000+'Inputs'!$B$21))/SQRT((((471-43)*MAX('Inputs'!$B$33,'Inputs'!$B$29+'Inputs'!$B$31+'Inputs'!$B$32,'Inputs'!$B$30+'Inputs'!$B$31+'Inputs'!$B$32)/1000+'Inputs'!$B$21))^2+('Inputs'!$B$6/2)^2)))-'Results'!C7*(1+'Inputs'!$B$24)*(0.5*((((471-43)*MAX('Inputs'!$B$33,'Inputs'!$B$29+'Inputs'!$B$31+'Inputs'!$B$32,'Inputs'!$B$30+'Inputs'!$B$31+'Inputs'!$B$32)/1000+'Inputs'!$B$21+'Inputs'!$B$7+'Inputs'!$B$10)+'Inputs'!$B$9)/SQRT((((471-43)*MAX('Inputs'!$B$33,'Inputs'!$B$29+'Inputs'!$B$31+'Inputs'!$B$32,'Inputs'!$B$30+'Inputs'!$B$31+'Inputs'!$B$32)/1000+'Inputs'!$B$21+'Inputs'!$B$7+'Inputs'!$B$10)+'Inputs'!$B$9)^2+('Inputs'!$B$8/2)^2)-(((471-43)*MAX('Inputs'!$B$33,'Inputs'!$B$29+'Inputs'!$B$31+'Inputs'!$B$32,'Inputs'!$B$30+'Inputs'!$B$31+'Inputs'!$B$32)/1000+'Inputs'!$B$21+'Inputs'!$B$7+'Inputs'!$B$10))/SQRT((((471-43)*MAX('Inputs'!$B$33,'Inputs'!$B$29+'Inputs'!$B$31+'Inputs'!$B$32,'Inputs'!$B$30+'Inputs'!$B$31+'Inputs'!$B$32)/1000+'Inputs'!$B$21+'Inputs'!$B$7+'Inputs'!$B$10))^2+('Inputs'!$B$8/2)^2))))*'Results'!$B$8))),"")</x:f>
        <x:v>6.307360836701166</x:v>
      </x:c>
      <x:c r="L471" t="n">
        <x:f>IF(AND(ISNUMBER('Results'!B7),ISNUMBER('Results'!C7),ISNUMBER('Results'!$B$8),ISNUMBER('Inputs'!$B$6),ISNUMBER('Inputs'!$B$7),ISNUMBER('Inputs'!$B$8),ISNUMBER('Inputs'!$B$9),ISNUMBER('Inputs'!$B$10),ISNUMBER('Inputs'!$B$21),ISNUMBER('Inputs'!$B$24),ISNUMBER('Inputs'!$B$28)),((('Results'!B7*(1+'Inputs'!$B$24)*(0.5*((((471-43)*MAX('Inputs'!$B$33,'Inputs'!$B$29+'Inputs'!$B$31+'Inputs'!$B$32,'Inputs'!$B$30+'Inputs'!$B$31+'Inputs'!$B$32)/1000+'Inputs'!$B$21)+'Inputs'!$B$7)/SQRT((((471-43)*MAX('Inputs'!$B$33,'Inputs'!$B$29+'Inputs'!$B$31+'Inputs'!$B$32,'Inputs'!$B$30+'Inputs'!$B$31+'Inputs'!$B$32)/1000+'Inputs'!$B$21)+'Inputs'!$B$7)^2+('Inputs'!$B$6/2)^2)-(((471-43)*MAX('Inputs'!$B$33,'Inputs'!$B$29+'Inputs'!$B$31+'Inputs'!$B$32,'Inputs'!$B$30+'Inputs'!$B$31+'Inputs'!$B$32)/1000+'Inputs'!$B$21))/SQRT((((471-43)*MAX('Inputs'!$B$33,'Inputs'!$B$29+'Inputs'!$B$31+'Inputs'!$B$32,'Inputs'!$B$30+'Inputs'!$B$31+'Inputs'!$B$32)/1000+'Inputs'!$B$21))^2+('Inputs'!$B$6/2)^2)))-'Results'!C7*(1-'Inputs'!$B$24)*(0.5*((((471-43)*MAX('Inputs'!$B$33,'Inputs'!$B$29+'Inputs'!$B$31+'Inputs'!$B$32,'Inputs'!$B$30+'Inputs'!$B$31+'Inputs'!$B$32)/1000+'Inputs'!$B$21+'Inputs'!$B$7+'Inputs'!$B$10)+'Inputs'!$B$9)/SQRT((((471-43)*MAX('Inputs'!$B$33,'Inputs'!$B$29+'Inputs'!$B$31+'Inputs'!$B$32,'Inputs'!$B$30+'Inputs'!$B$31+'Inputs'!$B$32)/1000+'Inputs'!$B$21+'Inputs'!$B$7+'Inputs'!$B$10)+'Inputs'!$B$9)^2+('Inputs'!$B$8/2)^2)-(((471-43)*MAX('Inputs'!$B$33,'Inputs'!$B$29+'Inputs'!$B$31+'Inputs'!$B$32,'Inputs'!$B$30+'Inputs'!$B$31+'Inputs'!$B$32)/1000+'Inputs'!$B$21+'Inputs'!$B$7+'Inputs'!$B$10))/SQRT((((471-43)*MAX('Inputs'!$B$33,'Inputs'!$B$29+'Inputs'!$B$31+'Inputs'!$B$32,'Inputs'!$B$30+'Inputs'!$B$31+'Inputs'!$B$32)/1000+'Inputs'!$B$21+'Inputs'!$B$7+'Inputs'!$B$10))^2+('Inputs'!$B$8/2)^2))))*'Results'!$B$8)+'Inputs'!$B$28*ABS((('Results'!B7*(1+'Inputs'!$B$24)*(0.5*((((471-43)*MAX('Inputs'!$B$33,'Inputs'!$B$29+'Inputs'!$B$31+'Inputs'!$B$32,'Inputs'!$B$30+'Inputs'!$B$31+'Inputs'!$B$32)/1000+'Inputs'!$B$21)+'Inputs'!$B$7)/SQRT((((471-43)*MAX('Inputs'!$B$33,'Inputs'!$B$29+'Inputs'!$B$31+'Inputs'!$B$32,'Inputs'!$B$30+'Inputs'!$B$31+'Inputs'!$B$32)/1000+'Inputs'!$B$21)+'Inputs'!$B$7)^2+('Inputs'!$B$6/2)^2)-(((471-43)*MAX('Inputs'!$B$33,'Inputs'!$B$29+'Inputs'!$B$31+'Inputs'!$B$32,'Inputs'!$B$30+'Inputs'!$B$31+'Inputs'!$B$32)/1000+'Inputs'!$B$21))/SQRT((((471-43)*MAX('Inputs'!$B$33,'Inputs'!$B$29+'Inputs'!$B$31+'Inputs'!$B$32,'Inputs'!$B$30+'Inputs'!$B$31+'Inputs'!$B$32)/1000+'Inputs'!$B$21))^2+('Inputs'!$B$6/2)^2)))-'Results'!C7*(1-'Inputs'!$B$24)*(0.5*((((471-43)*MAX('Inputs'!$B$33,'Inputs'!$B$29+'Inputs'!$B$31+'Inputs'!$B$32,'Inputs'!$B$30+'Inputs'!$B$31+'Inputs'!$B$32)/1000+'Inputs'!$B$21+'Inputs'!$B$7+'Inputs'!$B$10)+'Inputs'!$B$9)/SQRT((((471-43)*MAX('Inputs'!$B$33,'Inputs'!$B$29+'Inputs'!$B$31+'Inputs'!$B$32,'Inputs'!$B$30+'Inputs'!$B$31+'Inputs'!$B$32)/1000+'Inputs'!$B$21+'Inputs'!$B$7+'Inputs'!$B$10)+'Inputs'!$B$9)^2+('Inputs'!$B$8/2)^2)-(((471-43)*MAX('Inputs'!$B$33,'Inputs'!$B$29+'Inputs'!$B$31+'Inputs'!$B$32,'Inputs'!$B$30+'Inputs'!$B$31+'Inputs'!$B$32)/1000+'Inputs'!$B$21+'Inputs'!$B$7+'Inputs'!$B$10))/SQRT((((471-43)*MAX('Inputs'!$B$33,'Inputs'!$B$29+'Inputs'!$B$31+'Inputs'!$B$32,'Inputs'!$B$30+'Inputs'!$B$31+'Inputs'!$B$32)/1000+'Inputs'!$B$21+'Inputs'!$B$7+'Inputs'!$B$10))^2+('Inputs'!$B$8/2)^2))))*'Results'!$B$8))),"")</x:f>
        <x:v>7.86693873430784</x:v>
      </x:c>
      <x:c r="M471" t="n">
        <x:f>IF(AND(ISNUMBER('Results'!C7),ISNUMBER('Results'!B7),ISNUMBER('Results'!$B$8),ISNUMBER('Inputs'!$B$6),ISNUMBER('Inputs'!$B$7),ISNUMBER('Inputs'!$B$8),ISNUMBER('Inputs'!$B$9),ISNUMBER('Inputs'!$B$10),ISNUMBER('Inputs'!$B$21),ISNUMBER('Inputs'!$B$24),ISNUMBER('Inputs'!$B$28)),(('Results'!C7*(0.5*((((471-43)*MAX('Inputs'!$B$33,'Inputs'!$B$29+'Inputs'!$B$31+'Inputs'!$B$32,'Inputs'!$B$30+'Inputs'!$B$31+'Inputs'!$B$32)/1000+'Inputs'!$B$21)+'Inputs'!$B$9)/SQRT((((471-43)*MAX('Inputs'!$B$33,'Inputs'!$B$29+'Inputs'!$B$31+'Inputs'!$B$32,'Inputs'!$B$30+'Inputs'!$B$31+'Inputs'!$B$32)/1000+'Inputs'!$B$21)+'Inputs'!$B$9)^2+('Inputs'!$B$8/2)^2)-(((471-43)*MAX('Inputs'!$B$33,'Inputs'!$B$29+'Inputs'!$B$31+'Inputs'!$B$32,'Inputs'!$B$30+'Inputs'!$B$31+'Inputs'!$B$32)/1000+'Inputs'!$B$21))/SQRT((((471-43)*MAX('Inputs'!$B$33,'Inputs'!$B$29+'Inputs'!$B$31+'Inputs'!$B$32,'Inputs'!$B$30+'Inputs'!$B$31+'Inputs'!$B$32)/1000+'Inputs'!$B$21))^2+('Inputs'!$B$8/2)^2)))-'Results'!B7*(0.5*((((471-43)*MAX('Inputs'!$B$33,'Inputs'!$B$29+'Inputs'!$B$31+'Inputs'!$B$32,'Inputs'!$B$30+'Inputs'!$B$31+'Inputs'!$B$32)/1000+'Inputs'!$B$21+'Inputs'!$B$9+'Inputs'!$B$10)+'Inputs'!$B$7)/SQRT((((471-43)*MAX('Inputs'!$B$33,'Inputs'!$B$29+'Inputs'!$B$31+'Inputs'!$B$32,'Inputs'!$B$30+'Inputs'!$B$31+'Inputs'!$B$32)/1000+'Inputs'!$B$21+'Inputs'!$B$9+'Inputs'!$B$10)+'Inputs'!$B$7)^2+('Inputs'!$B$6/2)^2)-(((471-43)*MAX('Inputs'!$B$33,'Inputs'!$B$29+'Inputs'!$B$31+'Inputs'!$B$32,'Inputs'!$B$30+'Inputs'!$B$31+'Inputs'!$B$32)/1000+'Inputs'!$B$21+'Inputs'!$B$9+'Inputs'!$B$10))/SQRT((((471-43)*MAX('Inputs'!$B$33,'Inputs'!$B$29+'Inputs'!$B$31+'Inputs'!$B$32,'Inputs'!$B$30+'Inputs'!$B$31+'Inputs'!$B$32)/1000+'Inputs'!$B$21+'Inputs'!$B$9+'Inputs'!$B$10))^2+('Inputs'!$B$6/2)^2))))*'Results'!$B$8),"")</x:f>
        <x:v>6.636417184223653</x:v>
      </x:c>
      <x:c r="N471" t="n">
        <x:f>IF(AND(ISNUMBER('Results'!C7),ISNUMBER('Results'!B7),ISNUMBER('Results'!$B$8),ISNUMBER('Inputs'!$B$6),ISNUMBER('Inputs'!$B$7),ISNUMBER('Inputs'!$B$8),ISNUMBER('Inputs'!$B$9),ISNUMBER('Inputs'!$B$10),ISNUMBER('Inputs'!$B$21),ISNUMBER('Inputs'!$B$24),ISNUMBER('Inputs'!$B$28)),((('Results'!C7*(1-'Inputs'!$B$24)*(0.5*((((471-43)*MAX('Inputs'!$B$33,'Inputs'!$B$29+'Inputs'!$B$31+'Inputs'!$B$32,'Inputs'!$B$30+'Inputs'!$B$31+'Inputs'!$B$32)/1000+'Inputs'!$B$21)+'Inputs'!$B$9)/SQRT((((471-43)*MAX('Inputs'!$B$33,'Inputs'!$B$29+'Inputs'!$B$31+'Inputs'!$B$32,'Inputs'!$B$30+'Inputs'!$B$31+'Inputs'!$B$32)/1000+'Inputs'!$B$21)+'Inputs'!$B$9)^2+('Inputs'!$B$8/2)^2)-(((471-43)*MAX('Inputs'!$B$33,'Inputs'!$B$29+'Inputs'!$B$31+'Inputs'!$B$32,'Inputs'!$B$30+'Inputs'!$B$31+'Inputs'!$B$32)/1000+'Inputs'!$B$21))/SQRT((((471-43)*MAX('Inputs'!$B$33,'Inputs'!$B$29+'Inputs'!$B$31+'Inputs'!$B$32,'Inputs'!$B$30+'Inputs'!$B$31+'Inputs'!$B$32)/1000+'Inputs'!$B$21))^2+('Inputs'!$B$8/2)^2)))-'Results'!B7*(1+'Inputs'!$B$24)*(0.5*((((471-43)*MAX('Inputs'!$B$33,'Inputs'!$B$29+'Inputs'!$B$31+'Inputs'!$B$32,'Inputs'!$B$30+'Inputs'!$B$31+'Inputs'!$B$32)/1000+'Inputs'!$B$21+'Inputs'!$B$9+'Inputs'!$B$10)+'Inputs'!$B$7)/SQRT((((471-43)*MAX('Inputs'!$B$33,'Inputs'!$B$29+'Inputs'!$B$31+'Inputs'!$B$32,'Inputs'!$B$30+'Inputs'!$B$31+'Inputs'!$B$32)/1000+'Inputs'!$B$21+'Inputs'!$B$9+'Inputs'!$B$10)+'Inputs'!$B$7)^2+('Inputs'!$B$6/2)^2)-(((471-43)*MAX('Inputs'!$B$33,'Inputs'!$B$29+'Inputs'!$B$31+'Inputs'!$B$32,'Inputs'!$B$30+'Inputs'!$B$31+'Inputs'!$B$32)/1000+'Inputs'!$B$21+'Inputs'!$B$9+'Inputs'!$B$10))/SQRT((((471-43)*MAX('Inputs'!$B$33,'Inputs'!$B$29+'Inputs'!$B$31+'Inputs'!$B$32,'Inputs'!$B$30+'Inputs'!$B$31+'Inputs'!$B$32)/1000+'Inputs'!$B$21+'Inputs'!$B$9+'Inputs'!$B$10))^2+('Inputs'!$B$6/2)^2))))*'Results'!$B$8)-'Inputs'!$B$28*ABS((('Results'!C7*(1-'Inputs'!$B$24)*(0.5*((((471-43)*MAX('Inputs'!$B$33,'Inputs'!$B$29+'Inputs'!$B$31+'Inputs'!$B$32,'Inputs'!$B$30+'Inputs'!$B$31+'Inputs'!$B$32)/1000+'Inputs'!$B$21)+'Inputs'!$B$9)/SQRT((((471-43)*MAX('Inputs'!$B$33,'Inputs'!$B$29+'Inputs'!$B$31+'Inputs'!$B$32,'Inputs'!$B$30+'Inputs'!$B$31+'Inputs'!$B$32)/1000+'Inputs'!$B$21)+'Inputs'!$B$9)^2+('Inputs'!$B$8/2)^2)-(((471-43)*MAX('Inputs'!$B$33,'Inputs'!$B$29+'Inputs'!$B$31+'Inputs'!$B$32,'Inputs'!$B$30+'Inputs'!$B$31+'Inputs'!$B$32)/1000+'Inputs'!$B$21))/SQRT((((471-43)*MAX('Inputs'!$B$33,'Inputs'!$B$29+'Inputs'!$B$31+'Inputs'!$B$32,'Inputs'!$B$30+'Inputs'!$B$31+'Inputs'!$B$32)/1000+'Inputs'!$B$21))^2+('Inputs'!$B$8/2)^2)))-'Results'!B7*(1+'Inputs'!$B$24)*(0.5*((((471-43)*MAX('Inputs'!$B$33,'Inputs'!$B$29+'Inputs'!$B$31+'Inputs'!$B$32,'Inputs'!$B$30+'Inputs'!$B$31+'Inputs'!$B$32)/1000+'Inputs'!$B$21+'Inputs'!$B$9+'Inputs'!$B$10)+'Inputs'!$B$7)/SQRT((((471-43)*MAX('Inputs'!$B$33,'Inputs'!$B$29+'Inputs'!$B$31+'Inputs'!$B$32,'Inputs'!$B$30+'Inputs'!$B$31+'Inputs'!$B$32)/1000+'Inputs'!$B$21+'Inputs'!$B$9+'Inputs'!$B$10)+'Inputs'!$B$7)^2+('Inputs'!$B$6/2)^2)-(((471-43)*MAX('Inputs'!$B$33,'Inputs'!$B$29+'Inputs'!$B$31+'Inputs'!$B$32,'Inputs'!$B$30+'Inputs'!$B$31+'Inputs'!$B$32)/1000+'Inputs'!$B$21+'Inputs'!$B$9+'Inputs'!$B$10))/SQRT((((471-43)*MAX('Inputs'!$B$33,'Inputs'!$B$29+'Inputs'!$B$31+'Inputs'!$B$32,'Inputs'!$B$30+'Inputs'!$B$31+'Inputs'!$B$32)/1000+'Inputs'!$B$21+'Inputs'!$B$9+'Inputs'!$B$10))^2+('Inputs'!$B$6/2)^2))))*'Results'!$B$8))),"")</x:f>
        <x:v>5.902053229642614</x:v>
      </x:c>
      <x:c r="O471" t="n">
        <x:f>IF(AND(ISNUMBER('Results'!C7),ISNUMBER('Results'!B7),ISNUMBER('Results'!$B$8),ISNUMBER('Inputs'!$B$6),ISNUMBER('Inputs'!$B$7),ISNUMBER('Inputs'!$B$8),ISNUMBER('Inputs'!$B$9),ISNUMBER('Inputs'!$B$10),ISNUMBER('Inputs'!$B$21),ISNUMBER('Inputs'!$B$24),ISNUMBER('Inputs'!$B$28)),((('Results'!C7*(1+'Inputs'!$B$24)*(0.5*((((471-43)*MAX('Inputs'!$B$33,'Inputs'!$B$29+'Inputs'!$B$31+'Inputs'!$B$32,'Inputs'!$B$30+'Inputs'!$B$31+'Inputs'!$B$32)/1000+'Inputs'!$B$21)+'Inputs'!$B$9)/SQRT((((471-43)*MAX('Inputs'!$B$33,'Inputs'!$B$29+'Inputs'!$B$31+'Inputs'!$B$32,'Inputs'!$B$30+'Inputs'!$B$31+'Inputs'!$B$32)/1000+'Inputs'!$B$21)+'Inputs'!$B$9)^2+('Inputs'!$B$8/2)^2)-(((471-43)*MAX('Inputs'!$B$33,'Inputs'!$B$29+'Inputs'!$B$31+'Inputs'!$B$32,'Inputs'!$B$30+'Inputs'!$B$31+'Inputs'!$B$32)/1000+'Inputs'!$B$21))/SQRT((((471-43)*MAX('Inputs'!$B$33,'Inputs'!$B$29+'Inputs'!$B$31+'Inputs'!$B$32,'Inputs'!$B$30+'Inputs'!$B$31+'Inputs'!$B$32)/1000+'Inputs'!$B$21))^2+('Inputs'!$B$8/2)^2)))-'Results'!B7*(1-'Inputs'!$B$24)*(0.5*((((471-43)*MAX('Inputs'!$B$33,'Inputs'!$B$29+'Inputs'!$B$31+'Inputs'!$B$32,'Inputs'!$B$30+'Inputs'!$B$31+'Inputs'!$B$32)/1000+'Inputs'!$B$21+'Inputs'!$B$9+'Inputs'!$B$10)+'Inputs'!$B$7)/SQRT((((471-43)*MAX('Inputs'!$B$33,'Inputs'!$B$29+'Inputs'!$B$31+'Inputs'!$B$32,'Inputs'!$B$30+'Inputs'!$B$31+'Inputs'!$B$32)/1000+'Inputs'!$B$21+'Inputs'!$B$9+'Inputs'!$B$10)+'Inputs'!$B$7)^2+('Inputs'!$B$6/2)^2)-(((471-43)*MAX('Inputs'!$B$33,'Inputs'!$B$29+'Inputs'!$B$31+'Inputs'!$B$32,'Inputs'!$B$30+'Inputs'!$B$31+'Inputs'!$B$32)/1000+'Inputs'!$B$21+'Inputs'!$B$9+'Inputs'!$B$10))/SQRT((((471-43)*MAX('Inputs'!$B$33,'Inputs'!$B$29+'Inputs'!$B$31+'Inputs'!$B$32,'Inputs'!$B$30+'Inputs'!$B$31+'Inputs'!$B$32)/1000+'Inputs'!$B$21+'Inputs'!$B$9+'Inputs'!$B$10))^2+('Inputs'!$B$6/2)^2))))*'Results'!$B$8)+'Inputs'!$B$28*ABS((('Results'!C7*(1+'Inputs'!$B$24)*(0.5*((((471-43)*MAX('Inputs'!$B$33,'Inputs'!$B$29+'Inputs'!$B$31+'Inputs'!$B$32,'Inputs'!$B$30+'Inputs'!$B$31+'Inputs'!$B$32)/1000+'Inputs'!$B$21)+'Inputs'!$B$9)/SQRT((((471-43)*MAX('Inputs'!$B$33,'Inputs'!$B$29+'Inputs'!$B$31+'Inputs'!$B$32,'Inputs'!$B$30+'Inputs'!$B$31+'Inputs'!$B$32)/1000+'Inputs'!$B$21)+'Inputs'!$B$9)^2+('Inputs'!$B$8/2)^2)-(((471-43)*MAX('Inputs'!$B$33,'Inputs'!$B$29+'Inputs'!$B$31+'Inputs'!$B$32,'Inputs'!$B$30+'Inputs'!$B$31+'Inputs'!$B$32)/1000+'Inputs'!$B$21))/SQRT((((471-43)*MAX('Inputs'!$B$33,'Inputs'!$B$29+'Inputs'!$B$31+'Inputs'!$B$32,'Inputs'!$B$30+'Inputs'!$B$31+'Inputs'!$B$32)/1000+'Inputs'!$B$21))^2+('Inputs'!$B$8/2)^2)))-'Results'!B7*(1-'Inputs'!$B$24)*(0.5*((((471-43)*MAX('Inputs'!$B$33,'Inputs'!$B$29+'Inputs'!$B$31+'Inputs'!$B$32,'Inputs'!$B$30+'Inputs'!$B$31+'Inputs'!$B$32)/1000+'Inputs'!$B$21+'Inputs'!$B$9+'Inputs'!$B$10)+'Inputs'!$B$7)/SQRT((((471-43)*MAX('Inputs'!$B$33,'Inputs'!$B$29+'Inputs'!$B$31+'Inputs'!$B$32,'Inputs'!$B$30+'Inputs'!$B$31+'Inputs'!$B$32)/1000+'Inputs'!$B$21+'Inputs'!$B$9+'Inputs'!$B$10)+'Inputs'!$B$7)^2+('Inputs'!$B$6/2)^2)-(((471-43)*MAX('Inputs'!$B$33,'Inputs'!$B$29+'Inputs'!$B$31+'Inputs'!$B$32,'Inputs'!$B$30+'Inputs'!$B$31+'Inputs'!$B$32)/1000+'Inputs'!$B$21+'Inputs'!$B$9+'Inputs'!$B$10))/SQRT((((471-43)*MAX('Inputs'!$B$33,'Inputs'!$B$29+'Inputs'!$B$31+'Inputs'!$B$32,'Inputs'!$B$30+'Inputs'!$B$31+'Inputs'!$B$32)/1000+'Inputs'!$B$21+'Inputs'!$B$9+'Inputs'!$B$10))^2+('Inputs'!$B$6/2)^2))))*'Results'!$B$8))),"")</x:f>
        <x:v>7.413154096212045</x:v>
      </x:c>
      <x:c r="P471" t="n">
        <x:f>IF(AND(MAX(J471,J470)&gt;0,J471&gt;J470+0.00000001),1,0)</x:f>
        <x:v>0</x:v>
      </x:c>
      <x:c r="Q471" t="n">
        <x:f>IF(AND(MAX(K471,K470)&gt;0,K471&gt;K470+0.00000001),1,0)</x:f>
        <x:v>0</x:v>
      </x:c>
      <x:c r="R471" t="n">
        <x:f>IF(AND(MAX(L471,L470)&gt;0,L471&gt;L470+0.00000001),1,0)</x:f>
        <x:v>0</x:v>
      </x:c>
      <x:c r="S471" t="n">
        <x:f>IF(AND(MAX(M471,M470)&gt;0,M471&gt;M470+0.00000001),1,0)</x:f>
        <x:v>0</x:v>
      </x:c>
      <x:c r="T471" t="n">
        <x:f>IF(AND(MAX(N471,N470)&gt;0,N471&gt;N470+0.00000001),1,0)</x:f>
        <x:v>0</x:v>
      </x:c>
      <x:c r="U471" t="n">
        <x:f>IF(AND(MAX(O471,O470)&gt;0,O471&gt;O470+0.00000001),1,0)</x:f>
        <x:v>0</x:v>
      </x:c>
    </x:row>
    <x:row r="472">
      <x:c r="J472" t="n">
        <x:f>IF(AND(ISNUMBER('Results'!B7),ISNUMBER('Results'!C7),ISNUMBER('Results'!$B$8),ISNUMBER('Inputs'!$B$6),ISNUMBER('Inputs'!$B$7),ISNUMBER('Inputs'!$B$8),ISNUMBER('Inputs'!$B$9),ISNUMBER('Inputs'!$B$10),ISNUMBER('Inputs'!$B$21),ISNUMBER('Inputs'!$B$24),ISNUMBER('Inputs'!$B$28)),(('Results'!B7*(0.5*((((472-43)*MAX('Inputs'!$B$33,'Inputs'!$B$29+'Inputs'!$B$31+'Inputs'!$B$32,'Inputs'!$B$30+'Inputs'!$B$31+'Inputs'!$B$32)/1000+'Inputs'!$B$21)+'Inputs'!$B$7)/SQRT((((472-43)*MAX('Inputs'!$B$33,'Inputs'!$B$29+'Inputs'!$B$31+'Inputs'!$B$32,'Inputs'!$B$30+'Inputs'!$B$31+'Inputs'!$B$32)/1000+'Inputs'!$B$21)+'Inputs'!$B$7)^2+('Inputs'!$B$6/2)^2)-(((472-43)*MAX('Inputs'!$B$33,'Inputs'!$B$29+'Inputs'!$B$31+'Inputs'!$B$32,'Inputs'!$B$30+'Inputs'!$B$31+'Inputs'!$B$32)/1000+'Inputs'!$B$21))/SQRT((((472-43)*MAX('Inputs'!$B$33,'Inputs'!$B$29+'Inputs'!$B$31+'Inputs'!$B$32,'Inputs'!$B$30+'Inputs'!$B$31+'Inputs'!$B$32)/1000+'Inputs'!$B$21))^2+('Inputs'!$B$6/2)^2)))-'Results'!C7*(0.5*((((472-43)*MAX('Inputs'!$B$33,'Inputs'!$B$29+'Inputs'!$B$31+'Inputs'!$B$32,'Inputs'!$B$30+'Inputs'!$B$31+'Inputs'!$B$32)/1000+'Inputs'!$B$21+'Inputs'!$B$7+'Inputs'!$B$10)+'Inputs'!$B$9)/SQRT((((472-43)*MAX('Inputs'!$B$33,'Inputs'!$B$29+'Inputs'!$B$31+'Inputs'!$B$32,'Inputs'!$B$30+'Inputs'!$B$31+'Inputs'!$B$32)/1000+'Inputs'!$B$21+'Inputs'!$B$7+'Inputs'!$B$10)+'Inputs'!$B$9)^2+('Inputs'!$B$8/2)^2)-(((472-43)*MAX('Inputs'!$B$33,'Inputs'!$B$29+'Inputs'!$B$31+'Inputs'!$B$32,'Inputs'!$B$30+'Inputs'!$B$31+'Inputs'!$B$32)/1000+'Inputs'!$B$21+'Inputs'!$B$7+'Inputs'!$B$10))/SQRT((((472-43)*MAX('Inputs'!$B$33,'Inputs'!$B$29+'Inputs'!$B$31+'Inputs'!$B$32,'Inputs'!$B$30+'Inputs'!$B$31+'Inputs'!$B$32)/1000+'Inputs'!$B$21+'Inputs'!$B$7+'Inputs'!$B$10))^2+('Inputs'!$B$8/2)^2))))*'Results'!$B$8),"")</x:f>
        <x:v>7.011018072426567</x:v>
      </x:c>
      <x:c r="K472" t="n">
        <x:f>IF(AND(ISNUMBER('Results'!B7),ISNUMBER('Results'!C7),ISNUMBER('Results'!$B$8),ISNUMBER('Inputs'!$B$6),ISNUMBER('Inputs'!$B$7),ISNUMBER('Inputs'!$B$8),ISNUMBER('Inputs'!$B$9),ISNUMBER('Inputs'!$B$10),ISNUMBER('Inputs'!$B$21),ISNUMBER('Inputs'!$B$24),ISNUMBER('Inputs'!$B$28)),((('Results'!B7*(1-'Inputs'!$B$24)*(0.5*((((472-43)*MAX('Inputs'!$B$33,'Inputs'!$B$29+'Inputs'!$B$31+'Inputs'!$B$32,'Inputs'!$B$30+'Inputs'!$B$31+'Inputs'!$B$32)/1000+'Inputs'!$B$21)+'Inputs'!$B$7)/SQRT((((472-43)*MAX('Inputs'!$B$33,'Inputs'!$B$29+'Inputs'!$B$31+'Inputs'!$B$32,'Inputs'!$B$30+'Inputs'!$B$31+'Inputs'!$B$32)/1000+'Inputs'!$B$21)+'Inputs'!$B$7)^2+('Inputs'!$B$6/2)^2)-(((472-43)*MAX('Inputs'!$B$33,'Inputs'!$B$29+'Inputs'!$B$31+'Inputs'!$B$32,'Inputs'!$B$30+'Inputs'!$B$31+'Inputs'!$B$32)/1000+'Inputs'!$B$21))/SQRT((((472-43)*MAX('Inputs'!$B$33,'Inputs'!$B$29+'Inputs'!$B$31+'Inputs'!$B$32,'Inputs'!$B$30+'Inputs'!$B$31+'Inputs'!$B$32)/1000+'Inputs'!$B$21))^2+('Inputs'!$B$6/2)^2)))-'Results'!C7*(1+'Inputs'!$B$24)*(0.5*((((472-43)*MAX('Inputs'!$B$33,'Inputs'!$B$29+'Inputs'!$B$31+'Inputs'!$B$32,'Inputs'!$B$30+'Inputs'!$B$31+'Inputs'!$B$32)/1000+'Inputs'!$B$21+'Inputs'!$B$7+'Inputs'!$B$10)+'Inputs'!$B$9)/SQRT((((472-43)*MAX('Inputs'!$B$33,'Inputs'!$B$29+'Inputs'!$B$31+'Inputs'!$B$32,'Inputs'!$B$30+'Inputs'!$B$31+'Inputs'!$B$32)/1000+'Inputs'!$B$21+'Inputs'!$B$7+'Inputs'!$B$10)+'Inputs'!$B$9)^2+('Inputs'!$B$8/2)^2)-(((472-43)*MAX('Inputs'!$B$33,'Inputs'!$B$29+'Inputs'!$B$31+'Inputs'!$B$32,'Inputs'!$B$30+'Inputs'!$B$31+'Inputs'!$B$32)/1000+'Inputs'!$B$21+'Inputs'!$B$7+'Inputs'!$B$10))/SQRT((((472-43)*MAX('Inputs'!$B$33,'Inputs'!$B$29+'Inputs'!$B$31+'Inputs'!$B$32,'Inputs'!$B$30+'Inputs'!$B$31+'Inputs'!$B$32)/1000+'Inputs'!$B$21+'Inputs'!$B$7+'Inputs'!$B$10))^2+('Inputs'!$B$8/2)^2))))*'Results'!$B$8)-'Inputs'!$B$28*ABS((('Results'!B7*(1-'Inputs'!$B$24)*(0.5*((((472-43)*MAX('Inputs'!$B$33,'Inputs'!$B$29+'Inputs'!$B$31+'Inputs'!$B$32,'Inputs'!$B$30+'Inputs'!$B$31+'Inputs'!$B$32)/1000+'Inputs'!$B$21)+'Inputs'!$B$7)/SQRT((((472-43)*MAX('Inputs'!$B$33,'Inputs'!$B$29+'Inputs'!$B$31+'Inputs'!$B$32,'Inputs'!$B$30+'Inputs'!$B$31+'Inputs'!$B$32)/1000+'Inputs'!$B$21)+'Inputs'!$B$7)^2+('Inputs'!$B$6/2)^2)-(((472-43)*MAX('Inputs'!$B$33,'Inputs'!$B$29+'Inputs'!$B$31+'Inputs'!$B$32,'Inputs'!$B$30+'Inputs'!$B$31+'Inputs'!$B$32)/1000+'Inputs'!$B$21))/SQRT((((472-43)*MAX('Inputs'!$B$33,'Inputs'!$B$29+'Inputs'!$B$31+'Inputs'!$B$32,'Inputs'!$B$30+'Inputs'!$B$31+'Inputs'!$B$32)/1000+'Inputs'!$B$21))^2+('Inputs'!$B$6/2)^2)))-'Results'!C7*(1+'Inputs'!$B$24)*(0.5*((((472-43)*MAX('Inputs'!$B$33,'Inputs'!$B$29+'Inputs'!$B$31+'Inputs'!$B$32,'Inputs'!$B$30+'Inputs'!$B$31+'Inputs'!$B$32)/1000+'Inputs'!$B$21+'Inputs'!$B$7+'Inputs'!$B$10)+'Inputs'!$B$9)/SQRT((((472-43)*MAX('Inputs'!$B$33,'Inputs'!$B$29+'Inputs'!$B$31+'Inputs'!$B$32,'Inputs'!$B$30+'Inputs'!$B$31+'Inputs'!$B$32)/1000+'Inputs'!$B$21+'Inputs'!$B$7+'Inputs'!$B$10)+'Inputs'!$B$9)^2+('Inputs'!$B$8/2)^2)-(((472-43)*MAX('Inputs'!$B$33,'Inputs'!$B$29+'Inputs'!$B$31+'Inputs'!$B$32,'Inputs'!$B$30+'Inputs'!$B$31+'Inputs'!$B$32)/1000+'Inputs'!$B$21+'Inputs'!$B$7+'Inputs'!$B$10))/SQRT((((472-43)*MAX('Inputs'!$B$33,'Inputs'!$B$29+'Inputs'!$B$31+'Inputs'!$B$32,'Inputs'!$B$30+'Inputs'!$B$31+'Inputs'!$B$32)/1000+'Inputs'!$B$21+'Inputs'!$B$7+'Inputs'!$B$10))^2+('Inputs'!$B$8/2)^2))))*'Results'!$B$8))),"")</x:f>
        <x:v>6.257749590349675</x:v>
      </x:c>
      <x:c r="L472" t="n">
        <x:f>IF(AND(ISNUMBER('Results'!B7),ISNUMBER('Results'!C7),ISNUMBER('Results'!$B$8),ISNUMBER('Inputs'!$B$6),ISNUMBER('Inputs'!$B$7),ISNUMBER('Inputs'!$B$8),ISNUMBER('Inputs'!$B$9),ISNUMBER('Inputs'!$B$10),ISNUMBER('Inputs'!$B$21),ISNUMBER('Inputs'!$B$24),ISNUMBER('Inputs'!$B$28)),((('Results'!B7*(1+'Inputs'!$B$24)*(0.5*((((472-43)*MAX('Inputs'!$B$33,'Inputs'!$B$29+'Inputs'!$B$31+'Inputs'!$B$32,'Inputs'!$B$30+'Inputs'!$B$31+'Inputs'!$B$32)/1000+'Inputs'!$B$21)+'Inputs'!$B$7)/SQRT((((472-43)*MAX('Inputs'!$B$33,'Inputs'!$B$29+'Inputs'!$B$31+'Inputs'!$B$32,'Inputs'!$B$30+'Inputs'!$B$31+'Inputs'!$B$32)/1000+'Inputs'!$B$21)+'Inputs'!$B$7)^2+('Inputs'!$B$6/2)^2)-(((472-43)*MAX('Inputs'!$B$33,'Inputs'!$B$29+'Inputs'!$B$31+'Inputs'!$B$32,'Inputs'!$B$30+'Inputs'!$B$31+'Inputs'!$B$32)/1000+'Inputs'!$B$21))/SQRT((((472-43)*MAX('Inputs'!$B$33,'Inputs'!$B$29+'Inputs'!$B$31+'Inputs'!$B$32,'Inputs'!$B$30+'Inputs'!$B$31+'Inputs'!$B$32)/1000+'Inputs'!$B$21))^2+('Inputs'!$B$6/2)^2)))-'Results'!C7*(1-'Inputs'!$B$24)*(0.5*((((472-43)*MAX('Inputs'!$B$33,'Inputs'!$B$29+'Inputs'!$B$31+'Inputs'!$B$32,'Inputs'!$B$30+'Inputs'!$B$31+'Inputs'!$B$32)/1000+'Inputs'!$B$21+'Inputs'!$B$7+'Inputs'!$B$10)+'Inputs'!$B$9)/SQRT((((472-43)*MAX('Inputs'!$B$33,'Inputs'!$B$29+'Inputs'!$B$31+'Inputs'!$B$32,'Inputs'!$B$30+'Inputs'!$B$31+'Inputs'!$B$32)/1000+'Inputs'!$B$21+'Inputs'!$B$7+'Inputs'!$B$10)+'Inputs'!$B$9)^2+('Inputs'!$B$8/2)^2)-(((472-43)*MAX('Inputs'!$B$33,'Inputs'!$B$29+'Inputs'!$B$31+'Inputs'!$B$32,'Inputs'!$B$30+'Inputs'!$B$31+'Inputs'!$B$32)/1000+'Inputs'!$B$21+'Inputs'!$B$7+'Inputs'!$B$10))/SQRT((((472-43)*MAX('Inputs'!$B$33,'Inputs'!$B$29+'Inputs'!$B$31+'Inputs'!$B$32,'Inputs'!$B$30+'Inputs'!$B$31+'Inputs'!$B$32)/1000+'Inputs'!$B$21+'Inputs'!$B$7+'Inputs'!$B$10))^2+('Inputs'!$B$8/2)^2))))*'Results'!$B$8)+'Inputs'!$B$28*ABS((('Results'!B7*(1+'Inputs'!$B$24)*(0.5*((((472-43)*MAX('Inputs'!$B$33,'Inputs'!$B$29+'Inputs'!$B$31+'Inputs'!$B$32,'Inputs'!$B$30+'Inputs'!$B$31+'Inputs'!$B$32)/1000+'Inputs'!$B$21)+'Inputs'!$B$7)/SQRT((((472-43)*MAX('Inputs'!$B$33,'Inputs'!$B$29+'Inputs'!$B$31+'Inputs'!$B$32,'Inputs'!$B$30+'Inputs'!$B$31+'Inputs'!$B$32)/1000+'Inputs'!$B$21)+'Inputs'!$B$7)^2+('Inputs'!$B$6/2)^2)-(((472-43)*MAX('Inputs'!$B$33,'Inputs'!$B$29+'Inputs'!$B$31+'Inputs'!$B$32,'Inputs'!$B$30+'Inputs'!$B$31+'Inputs'!$B$32)/1000+'Inputs'!$B$21))/SQRT((((472-43)*MAX('Inputs'!$B$33,'Inputs'!$B$29+'Inputs'!$B$31+'Inputs'!$B$32,'Inputs'!$B$30+'Inputs'!$B$31+'Inputs'!$B$32)/1000+'Inputs'!$B$21))^2+('Inputs'!$B$6/2)^2)))-'Results'!C7*(1-'Inputs'!$B$24)*(0.5*((((472-43)*MAX('Inputs'!$B$33,'Inputs'!$B$29+'Inputs'!$B$31+'Inputs'!$B$32,'Inputs'!$B$30+'Inputs'!$B$31+'Inputs'!$B$32)/1000+'Inputs'!$B$21+'Inputs'!$B$7+'Inputs'!$B$10)+'Inputs'!$B$9)/SQRT((((472-43)*MAX('Inputs'!$B$33,'Inputs'!$B$29+'Inputs'!$B$31+'Inputs'!$B$32,'Inputs'!$B$30+'Inputs'!$B$31+'Inputs'!$B$32)/1000+'Inputs'!$B$21+'Inputs'!$B$7+'Inputs'!$B$10)+'Inputs'!$B$9)^2+('Inputs'!$B$8/2)^2)-(((472-43)*MAX('Inputs'!$B$33,'Inputs'!$B$29+'Inputs'!$B$31+'Inputs'!$B$32,'Inputs'!$B$30+'Inputs'!$B$31+'Inputs'!$B$32)/1000+'Inputs'!$B$21+'Inputs'!$B$7+'Inputs'!$B$10))/SQRT((((472-43)*MAX('Inputs'!$B$33,'Inputs'!$B$29+'Inputs'!$B$31+'Inputs'!$B$32,'Inputs'!$B$30+'Inputs'!$B$31+'Inputs'!$B$32)/1000+'Inputs'!$B$21+'Inputs'!$B$7+'Inputs'!$B$10))^2+('Inputs'!$B$8/2)^2))))*'Results'!$B$8))),"")</x:f>
        <x:v>7.806677878551413</x:v>
      </x:c>
      <x:c r="M472" t="n">
        <x:f>IF(AND(ISNUMBER('Results'!C7),ISNUMBER('Results'!B7),ISNUMBER('Results'!$B$8),ISNUMBER('Inputs'!$B$6),ISNUMBER('Inputs'!$B$7),ISNUMBER('Inputs'!$B$8),ISNUMBER('Inputs'!$B$9),ISNUMBER('Inputs'!$B$10),ISNUMBER('Inputs'!$B$21),ISNUMBER('Inputs'!$B$24),ISNUMBER('Inputs'!$B$28)),(('Results'!C7*(0.5*((((472-43)*MAX('Inputs'!$B$33,'Inputs'!$B$29+'Inputs'!$B$31+'Inputs'!$B$32,'Inputs'!$B$30+'Inputs'!$B$31+'Inputs'!$B$32)/1000+'Inputs'!$B$21)+'Inputs'!$B$9)/SQRT((((472-43)*MAX('Inputs'!$B$33,'Inputs'!$B$29+'Inputs'!$B$31+'Inputs'!$B$32,'Inputs'!$B$30+'Inputs'!$B$31+'Inputs'!$B$32)/1000+'Inputs'!$B$21)+'Inputs'!$B$9)^2+('Inputs'!$B$8/2)^2)-(((472-43)*MAX('Inputs'!$B$33,'Inputs'!$B$29+'Inputs'!$B$31+'Inputs'!$B$32,'Inputs'!$B$30+'Inputs'!$B$31+'Inputs'!$B$32)/1000+'Inputs'!$B$21))/SQRT((((472-43)*MAX('Inputs'!$B$33,'Inputs'!$B$29+'Inputs'!$B$31+'Inputs'!$B$32,'Inputs'!$B$30+'Inputs'!$B$31+'Inputs'!$B$32)/1000+'Inputs'!$B$21))^2+('Inputs'!$B$8/2)^2)))-'Results'!B7*(0.5*((((472-43)*MAX('Inputs'!$B$33,'Inputs'!$B$29+'Inputs'!$B$31+'Inputs'!$B$32,'Inputs'!$B$30+'Inputs'!$B$31+'Inputs'!$B$32)/1000+'Inputs'!$B$21+'Inputs'!$B$9+'Inputs'!$B$10)+'Inputs'!$B$7)/SQRT((((472-43)*MAX('Inputs'!$B$33,'Inputs'!$B$29+'Inputs'!$B$31+'Inputs'!$B$32,'Inputs'!$B$30+'Inputs'!$B$31+'Inputs'!$B$32)/1000+'Inputs'!$B$21+'Inputs'!$B$9+'Inputs'!$B$10)+'Inputs'!$B$7)^2+('Inputs'!$B$6/2)^2)-(((472-43)*MAX('Inputs'!$B$33,'Inputs'!$B$29+'Inputs'!$B$31+'Inputs'!$B$32,'Inputs'!$B$30+'Inputs'!$B$31+'Inputs'!$B$32)/1000+'Inputs'!$B$21+'Inputs'!$B$9+'Inputs'!$B$10))/SQRT((((472-43)*MAX('Inputs'!$B$33,'Inputs'!$B$29+'Inputs'!$B$31+'Inputs'!$B$32,'Inputs'!$B$30+'Inputs'!$B$31+'Inputs'!$B$32)/1000+'Inputs'!$B$21+'Inputs'!$B$9+'Inputs'!$B$10))^2+('Inputs'!$B$6/2)^2))))*'Results'!$B$8),"")</x:f>
        <x:v>6.584210006650793</x:v>
      </x:c>
      <x:c r="N472" t="n">
        <x:f>IF(AND(ISNUMBER('Results'!C7),ISNUMBER('Results'!B7),ISNUMBER('Results'!$B$8),ISNUMBER('Inputs'!$B$6),ISNUMBER('Inputs'!$B$7),ISNUMBER('Inputs'!$B$8),ISNUMBER('Inputs'!$B$9),ISNUMBER('Inputs'!$B$10),ISNUMBER('Inputs'!$B$21),ISNUMBER('Inputs'!$B$24),ISNUMBER('Inputs'!$B$28)),((('Results'!C7*(1-'Inputs'!$B$24)*(0.5*((((472-43)*MAX('Inputs'!$B$33,'Inputs'!$B$29+'Inputs'!$B$31+'Inputs'!$B$32,'Inputs'!$B$30+'Inputs'!$B$31+'Inputs'!$B$32)/1000+'Inputs'!$B$21)+'Inputs'!$B$9)/SQRT((((472-43)*MAX('Inputs'!$B$33,'Inputs'!$B$29+'Inputs'!$B$31+'Inputs'!$B$32,'Inputs'!$B$30+'Inputs'!$B$31+'Inputs'!$B$32)/1000+'Inputs'!$B$21)+'Inputs'!$B$9)^2+('Inputs'!$B$8/2)^2)-(((472-43)*MAX('Inputs'!$B$33,'Inputs'!$B$29+'Inputs'!$B$31+'Inputs'!$B$32,'Inputs'!$B$30+'Inputs'!$B$31+'Inputs'!$B$32)/1000+'Inputs'!$B$21))/SQRT((((472-43)*MAX('Inputs'!$B$33,'Inputs'!$B$29+'Inputs'!$B$31+'Inputs'!$B$32,'Inputs'!$B$30+'Inputs'!$B$31+'Inputs'!$B$32)/1000+'Inputs'!$B$21))^2+('Inputs'!$B$8/2)^2)))-'Results'!B7*(1+'Inputs'!$B$24)*(0.5*((((472-43)*MAX('Inputs'!$B$33,'Inputs'!$B$29+'Inputs'!$B$31+'Inputs'!$B$32,'Inputs'!$B$30+'Inputs'!$B$31+'Inputs'!$B$32)/1000+'Inputs'!$B$21+'Inputs'!$B$9+'Inputs'!$B$10)+'Inputs'!$B$7)/SQRT((((472-43)*MAX('Inputs'!$B$33,'Inputs'!$B$29+'Inputs'!$B$31+'Inputs'!$B$32,'Inputs'!$B$30+'Inputs'!$B$31+'Inputs'!$B$32)/1000+'Inputs'!$B$21+'Inputs'!$B$9+'Inputs'!$B$10)+'Inputs'!$B$7)^2+('Inputs'!$B$6/2)^2)-(((472-43)*MAX('Inputs'!$B$33,'Inputs'!$B$29+'Inputs'!$B$31+'Inputs'!$B$32,'Inputs'!$B$30+'Inputs'!$B$31+'Inputs'!$B$32)/1000+'Inputs'!$B$21+'Inputs'!$B$9+'Inputs'!$B$10))/SQRT((((472-43)*MAX('Inputs'!$B$33,'Inputs'!$B$29+'Inputs'!$B$31+'Inputs'!$B$32,'Inputs'!$B$30+'Inputs'!$B$31+'Inputs'!$B$32)/1000+'Inputs'!$B$21+'Inputs'!$B$9+'Inputs'!$B$10))^2+('Inputs'!$B$6/2)^2))))*'Results'!$B$8)-'Inputs'!$B$28*ABS((('Results'!C7*(1-'Inputs'!$B$24)*(0.5*((((472-43)*MAX('Inputs'!$B$33,'Inputs'!$B$29+'Inputs'!$B$31+'Inputs'!$B$32,'Inputs'!$B$30+'Inputs'!$B$31+'Inputs'!$B$32)/1000+'Inputs'!$B$21)+'Inputs'!$B$9)/SQRT((((472-43)*MAX('Inputs'!$B$33,'Inputs'!$B$29+'Inputs'!$B$31+'Inputs'!$B$32,'Inputs'!$B$30+'Inputs'!$B$31+'Inputs'!$B$32)/1000+'Inputs'!$B$21)+'Inputs'!$B$9)^2+('Inputs'!$B$8/2)^2)-(((472-43)*MAX('Inputs'!$B$33,'Inputs'!$B$29+'Inputs'!$B$31+'Inputs'!$B$32,'Inputs'!$B$30+'Inputs'!$B$31+'Inputs'!$B$32)/1000+'Inputs'!$B$21))/SQRT((((472-43)*MAX('Inputs'!$B$33,'Inputs'!$B$29+'Inputs'!$B$31+'Inputs'!$B$32,'Inputs'!$B$30+'Inputs'!$B$31+'Inputs'!$B$32)/1000+'Inputs'!$B$21))^2+('Inputs'!$B$8/2)^2)))-'Results'!B7*(1+'Inputs'!$B$24)*(0.5*((((472-43)*MAX('Inputs'!$B$33,'Inputs'!$B$29+'Inputs'!$B$31+'Inputs'!$B$32,'Inputs'!$B$30+'Inputs'!$B$31+'Inputs'!$B$32)/1000+'Inputs'!$B$21+'Inputs'!$B$9+'Inputs'!$B$10)+'Inputs'!$B$7)/SQRT((((472-43)*MAX('Inputs'!$B$33,'Inputs'!$B$29+'Inputs'!$B$31+'Inputs'!$B$32,'Inputs'!$B$30+'Inputs'!$B$31+'Inputs'!$B$32)/1000+'Inputs'!$B$21+'Inputs'!$B$9+'Inputs'!$B$10)+'Inputs'!$B$7)^2+('Inputs'!$B$6/2)^2)-(((472-43)*MAX('Inputs'!$B$33,'Inputs'!$B$29+'Inputs'!$B$31+'Inputs'!$B$32,'Inputs'!$B$30+'Inputs'!$B$31+'Inputs'!$B$32)/1000+'Inputs'!$B$21+'Inputs'!$B$9+'Inputs'!$B$10))/SQRT((((472-43)*MAX('Inputs'!$B$33,'Inputs'!$B$29+'Inputs'!$B$31+'Inputs'!$B$32,'Inputs'!$B$30+'Inputs'!$B$31+'Inputs'!$B$32)/1000+'Inputs'!$B$21+'Inputs'!$B$9+'Inputs'!$B$10))^2+('Inputs'!$B$6/2)^2))))*'Results'!$B$8))),"")</x:f>
        <x:v>5.8548911130495815</x:v>
      </x:c>
      <x:c r="O472" t="n">
        <x:f>IF(AND(ISNUMBER('Results'!C7),ISNUMBER('Results'!B7),ISNUMBER('Results'!$B$8),ISNUMBER('Inputs'!$B$6),ISNUMBER('Inputs'!$B$7),ISNUMBER('Inputs'!$B$8),ISNUMBER('Inputs'!$B$9),ISNUMBER('Inputs'!$B$10),ISNUMBER('Inputs'!$B$21),ISNUMBER('Inputs'!$B$24),ISNUMBER('Inputs'!$B$28)),((('Results'!C7*(1+'Inputs'!$B$24)*(0.5*((((472-43)*MAX('Inputs'!$B$33,'Inputs'!$B$29+'Inputs'!$B$31+'Inputs'!$B$32,'Inputs'!$B$30+'Inputs'!$B$31+'Inputs'!$B$32)/1000+'Inputs'!$B$21)+'Inputs'!$B$9)/SQRT((((472-43)*MAX('Inputs'!$B$33,'Inputs'!$B$29+'Inputs'!$B$31+'Inputs'!$B$32,'Inputs'!$B$30+'Inputs'!$B$31+'Inputs'!$B$32)/1000+'Inputs'!$B$21)+'Inputs'!$B$9)^2+('Inputs'!$B$8/2)^2)-(((472-43)*MAX('Inputs'!$B$33,'Inputs'!$B$29+'Inputs'!$B$31+'Inputs'!$B$32,'Inputs'!$B$30+'Inputs'!$B$31+'Inputs'!$B$32)/1000+'Inputs'!$B$21))/SQRT((((472-43)*MAX('Inputs'!$B$33,'Inputs'!$B$29+'Inputs'!$B$31+'Inputs'!$B$32,'Inputs'!$B$30+'Inputs'!$B$31+'Inputs'!$B$32)/1000+'Inputs'!$B$21))^2+('Inputs'!$B$8/2)^2)))-'Results'!B7*(1-'Inputs'!$B$24)*(0.5*((((472-43)*MAX('Inputs'!$B$33,'Inputs'!$B$29+'Inputs'!$B$31+'Inputs'!$B$32,'Inputs'!$B$30+'Inputs'!$B$31+'Inputs'!$B$32)/1000+'Inputs'!$B$21+'Inputs'!$B$9+'Inputs'!$B$10)+'Inputs'!$B$7)/SQRT((((472-43)*MAX('Inputs'!$B$33,'Inputs'!$B$29+'Inputs'!$B$31+'Inputs'!$B$32,'Inputs'!$B$30+'Inputs'!$B$31+'Inputs'!$B$32)/1000+'Inputs'!$B$21+'Inputs'!$B$9+'Inputs'!$B$10)+'Inputs'!$B$7)^2+('Inputs'!$B$6/2)^2)-(((472-43)*MAX('Inputs'!$B$33,'Inputs'!$B$29+'Inputs'!$B$31+'Inputs'!$B$32,'Inputs'!$B$30+'Inputs'!$B$31+'Inputs'!$B$32)/1000+'Inputs'!$B$21+'Inputs'!$B$9+'Inputs'!$B$10))/SQRT((((472-43)*MAX('Inputs'!$B$33,'Inputs'!$B$29+'Inputs'!$B$31+'Inputs'!$B$32,'Inputs'!$B$30+'Inputs'!$B$31+'Inputs'!$B$32)/1000+'Inputs'!$B$21+'Inputs'!$B$9+'Inputs'!$B$10))^2+('Inputs'!$B$6/2)^2))))*'Results'!$B$8)+'Inputs'!$B$28*ABS((('Results'!C7*(1+'Inputs'!$B$24)*(0.5*((((472-43)*MAX('Inputs'!$B$33,'Inputs'!$B$29+'Inputs'!$B$31+'Inputs'!$B$32,'Inputs'!$B$30+'Inputs'!$B$31+'Inputs'!$B$32)/1000+'Inputs'!$B$21)+'Inputs'!$B$9)/SQRT((((472-43)*MAX('Inputs'!$B$33,'Inputs'!$B$29+'Inputs'!$B$31+'Inputs'!$B$32,'Inputs'!$B$30+'Inputs'!$B$31+'Inputs'!$B$32)/1000+'Inputs'!$B$21)+'Inputs'!$B$9)^2+('Inputs'!$B$8/2)^2)-(((472-43)*MAX('Inputs'!$B$33,'Inputs'!$B$29+'Inputs'!$B$31+'Inputs'!$B$32,'Inputs'!$B$30+'Inputs'!$B$31+'Inputs'!$B$32)/1000+'Inputs'!$B$21))/SQRT((((472-43)*MAX('Inputs'!$B$33,'Inputs'!$B$29+'Inputs'!$B$31+'Inputs'!$B$32,'Inputs'!$B$30+'Inputs'!$B$31+'Inputs'!$B$32)/1000+'Inputs'!$B$21))^2+('Inputs'!$B$8/2)^2)))-'Results'!B7*(1-'Inputs'!$B$24)*(0.5*((((472-43)*MAX('Inputs'!$B$33,'Inputs'!$B$29+'Inputs'!$B$31+'Inputs'!$B$32,'Inputs'!$B$30+'Inputs'!$B$31+'Inputs'!$B$32)/1000+'Inputs'!$B$21+'Inputs'!$B$9+'Inputs'!$B$10)+'Inputs'!$B$7)/SQRT((((472-43)*MAX('Inputs'!$B$33,'Inputs'!$B$29+'Inputs'!$B$31+'Inputs'!$B$32,'Inputs'!$B$30+'Inputs'!$B$31+'Inputs'!$B$32)/1000+'Inputs'!$B$21+'Inputs'!$B$9+'Inputs'!$B$10)+'Inputs'!$B$7)^2+('Inputs'!$B$6/2)^2)-(((472-43)*MAX('Inputs'!$B$33,'Inputs'!$B$29+'Inputs'!$B$31+'Inputs'!$B$32,'Inputs'!$B$30+'Inputs'!$B$31+'Inputs'!$B$32)/1000+'Inputs'!$B$21+'Inputs'!$B$9+'Inputs'!$B$10))/SQRT((((472-43)*MAX('Inputs'!$B$33,'Inputs'!$B$29+'Inputs'!$B$31+'Inputs'!$B$32,'Inputs'!$B$30+'Inputs'!$B$31+'Inputs'!$B$32)/1000+'Inputs'!$B$21+'Inputs'!$B$9+'Inputs'!$B$10))^2+('Inputs'!$B$6/2)^2))))*'Results'!$B$8))),"")</x:f>
        <x:v>7.355645573227651</x:v>
      </x:c>
      <x:c r="P472" t="n">
        <x:f>IF(AND(MAX(J472,J471)&gt;0,J472&gt;J471+0.00000001),1,0)</x:f>
        <x:v>0</x:v>
      </x:c>
      <x:c r="Q472" t="n">
        <x:f>IF(AND(MAX(K472,K471)&gt;0,K472&gt;K471+0.00000001),1,0)</x:f>
        <x:v>0</x:v>
      </x:c>
      <x:c r="R472" t="n">
        <x:f>IF(AND(MAX(L472,L471)&gt;0,L472&gt;L471+0.00000001),1,0)</x:f>
        <x:v>0</x:v>
      </x:c>
      <x:c r="S472" t="n">
        <x:f>IF(AND(MAX(M472,M471)&gt;0,M472&gt;M471+0.00000001),1,0)</x:f>
        <x:v>0</x:v>
      </x:c>
      <x:c r="T472" t="n">
        <x:f>IF(AND(MAX(N472,N471)&gt;0,N472&gt;N471+0.00000001),1,0)</x:f>
        <x:v>0</x:v>
      </x:c>
      <x:c r="U472" t="n">
        <x:f>IF(AND(MAX(O472,O471)&gt;0,O472&gt;O471+0.00000001),1,0)</x:f>
        <x:v>0</x:v>
      </x:c>
    </x:row>
    <x:row r="473">
      <x:c r="J473" t="n">
        <x:f>IF(AND(ISNUMBER('Results'!B7),ISNUMBER('Results'!C7),ISNUMBER('Results'!$B$8),ISNUMBER('Inputs'!$B$6),ISNUMBER('Inputs'!$B$7),ISNUMBER('Inputs'!$B$8),ISNUMBER('Inputs'!$B$9),ISNUMBER('Inputs'!$B$10),ISNUMBER('Inputs'!$B$21),ISNUMBER('Inputs'!$B$24),ISNUMBER('Inputs'!$B$28)),(('Results'!B7*(0.5*((((473-43)*MAX('Inputs'!$B$33,'Inputs'!$B$29+'Inputs'!$B$31+'Inputs'!$B$32,'Inputs'!$B$30+'Inputs'!$B$31+'Inputs'!$B$32)/1000+'Inputs'!$B$21)+'Inputs'!$B$7)/SQRT((((473-43)*MAX('Inputs'!$B$33,'Inputs'!$B$29+'Inputs'!$B$31+'Inputs'!$B$32,'Inputs'!$B$30+'Inputs'!$B$31+'Inputs'!$B$32)/1000+'Inputs'!$B$21)+'Inputs'!$B$7)^2+('Inputs'!$B$6/2)^2)-(((473-43)*MAX('Inputs'!$B$33,'Inputs'!$B$29+'Inputs'!$B$31+'Inputs'!$B$32,'Inputs'!$B$30+'Inputs'!$B$31+'Inputs'!$B$32)/1000+'Inputs'!$B$21))/SQRT((((473-43)*MAX('Inputs'!$B$33,'Inputs'!$B$29+'Inputs'!$B$31+'Inputs'!$B$32,'Inputs'!$B$30+'Inputs'!$B$31+'Inputs'!$B$32)/1000+'Inputs'!$B$21))^2+('Inputs'!$B$6/2)^2)))-'Results'!C7*(0.5*((((473-43)*MAX('Inputs'!$B$33,'Inputs'!$B$29+'Inputs'!$B$31+'Inputs'!$B$32,'Inputs'!$B$30+'Inputs'!$B$31+'Inputs'!$B$32)/1000+'Inputs'!$B$21+'Inputs'!$B$7+'Inputs'!$B$10)+'Inputs'!$B$9)/SQRT((((473-43)*MAX('Inputs'!$B$33,'Inputs'!$B$29+'Inputs'!$B$31+'Inputs'!$B$32,'Inputs'!$B$30+'Inputs'!$B$31+'Inputs'!$B$32)/1000+'Inputs'!$B$21+'Inputs'!$B$7+'Inputs'!$B$10)+'Inputs'!$B$9)^2+('Inputs'!$B$8/2)^2)-(((473-43)*MAX('Inputs'!$B$33,'Inputs'!$B$29+'Inputs'!$B$31+'Inputs'!$B$32,'Inputs'!$B$30+'Inputs'!$B$31+'Inputs'!$B$32)/1000+'Inputs'!$B$21+'Inputs'!$B$7+'Inputs'!$B$10))/SQRT((((473-43)*MAX('Inputs'!$B$33,'Inputs'!$B$29+'Inputs'!$B$31+'Inputs'!$B$32,'Inputs'!$B$30+'Inputs'!$B$31+'Inputs'!$B$32)/1000+'Inputs'!$B$21+'Inputs'!$B$7+'Inputs'!$B$10))^2+('Inputs'!$B$8/2)^2))))*'Results'!$B$8),"")</x:f>
        <x:v>6.956741755257378</x:v>
      </x:c>
      <x:c r="K473" t="n">
        <x:f>IF(AND(ISNUMBER('Results'!B7),ISNUMBER('Results'!C7),ISNUMBER('Results'!$B$8),ISNUMBER('Inputs'!$B$6),ISNUMBER('Inputs'!$B$7),ISNUMBER('Inputs'!$B$8),ISNUMBER('Inputs'!$B$9),ISNUMBER('Inputs'!$B$10),ISNUMBER('Inputs'!$B$21),ISNUMBER('Inputs'!$B$24),ISNUMBER('Inputs'!$B$28)),((('Results'!B7*(1-'Inputs'!$B$24)*(0.5*((((473-43)*MAX('Inputs'!$B$33,'Inputs'!$B$29+'Inputs'!$B$31+'Inputs'!$B$32,'Inputs'!$B$30+'Inputs'!$B$31+'Inputs'!$B$32)/1000+'Inputs'!$B$21)+'Inputs'!$B$7)/SQRT((((473-43)*MAX('Inputs'!$B$33,'Inputs'!$B$29+'Inputs'!$B$31+'Inputs'!$B$32,'Inputs'!$B$30+'Inputs'!$B$31+'Inputs'!$B$32)/1000+'Inputs'!$B$21)+'Inputs'!$B$7)^2+('Inputs'!$B$6/2)^2)-(((473-43)*MAX('Inputs'!$B$33,'Inputs'!$B$29+'Inputs'!$B$31+'Inputs'!$B$32,'Inputs'!$B$30+'Inputs'!$B$31+'Inputs'!$B$32)/1000+'Inputs'!$B$21))/SQRT((((473-43)*MAX('Inputs'!$B$33,'Inputs'!$B$29+'Inputs'!$B$31+'Inputs'!$B$32,'Inputs'!$B$30+'Inputs'!$B$31+'Inputs'!$B$32)/1000+'Inputs'!$B$21))^2+('Inputs'!$B$6/2)^2)))-'Results'!C7*(1+'Inputs'!$B$24)*(0.5*((((473-43)*MAX('Inputs'!$B$33,'Inputs'!$B$29+'Inputs'!$B$31+'Inputs'!$B$32,'Inputs'!$B$30+'Inputs'!$B$31+'Inputs'!$B$32)/1000+'Inputs'!$B$21+'Inputs'!$B$7+'Inputs'!$B$10)+'Inputs'!$B$9)/SQRT((((473-43)*MAX('Inputs'!$B$33,'Inputs'!$B$29+'Inputs'!$B$31+'Inputs'!$B$32,'Inputs'!$B$30+'Inputs'!$B$31+'Inputs'!$B$32)/1000+'Inputs'!$B$21+'Inputs'!$B$7+'Inputs'!$B$10)+'Inputs'!$B$9)^2+('Inputs'!$B$8/2)^2)-(((473-43)*MAX('Inputs'!$B$33,'Inputs'!$B$29+'Inputs'!$B$31+'Inputs'!$B$32,'Inputs'!$B$30+'Inputs'!$B$31+'Inputs'!$B$32)/1000+'Inputs'!$B$21+'Inputs'!$B$7+'Inputs'!$B$10))/SQRT((((473-43)*MAX('Inputs'!$B$33,'Inputs'!$B$29+'Inputs'!$B$31+'Inputs'!$B$32,'Inputs'!$B$30+'Inputs'!$B$31+'Inputs'!$B$32)/1000+'Inputs'!$B$21+'Inputs'!$B$7+'Inputs'!$B$10))^2+('Inputs'!$B$8/2)^2))))*'Results'!$B$8)-'Inputs'!$B$28*ABS((('Results'!B7*(1-'Inputs'!$B$24)*(0.5*((((473-43)*MAX('Inputs'!$B$33,'Inputs'!$B$29+'Inputs'!$B$31+'Inputs'!$B$32,'Inputs'!$B$30+'Inputs'!$B$31+'Inputs'!$B$32)/1000+'Inputs'!$B$21)+'Inputs'!$B$7)/SQRT((((473-43)*MAX('Inputs'!$B$33,'Inputs'!$B$29+'Inputs'!$B$31+'Inputs'!$B$32,'Inputs'!$B$30+'Inputs'!$B$31+'Inputs'!$B$32)/1000+'Inputs'!$B$21)+'Inputs'!$B$7)^2+('Inputs'!$B$6/2)^2)-(((473-43)*MAX('Inputs'!$B$33,'Inputs'!$B$29+'Inputs'!$B$31+'Inputs'!$B$32,'Inputs'!$B$30+'Inputs'!$B$31+'Inputs'!$B$32)/1000+'Inputs'!$B$21))/SQRT((((473-43)*MAX('Inputs'!$B$33,'Inputs'!$B$29+'Inputs'!$B$31+'Inputs'!$B$32,'Inputs'!$B$30+'Inputs'!$B$31+'Inputs'!$B$32)/1000+'Inputs'!$B$21))^2+('Inputs'!$B$6/2)^2)))-'Results'!C7*(1+'Inputs'!$B$24)*(0.5*((((473-43)*MAX('Inputs'!$B$33,'Inputs'!$B$29+'Inputs'!$B$31+'Inputs'!$B$32,'Inputs'!$B$30+'Inputs'!$B$31+'Inputs'!$B$32)/1000+'Inputs'!$B$21+'Inputs'!$B$7+'Inputs'!$B$10)+'Inputs'!$B$9)/SQRT((((473-43)*MAX('Inputs'!$B$33,'Inputs'!$B$29+'Inputs'!$B$31+'Inputs'!$B$32,'Inputs'!$B$30+'Inputs'!$B$31+'Inputs'!$B$32)/1000+'Inputs'!$B$21+'Inputs'!$B$7+'Inputs'!$B$10)+'Inputs'!$B$9)^2+('Inputs'!$B$8/2)^2)-(((473-43)*MAX('Inputs'!$B$33,'Inputs'!$B$29+'Inputs'!$B$31+'Inputs'!$B$32,'Inputs'!$B$30+'Inputs'!$B$31+'Inputs'!$B$32)/1000+'Inputs'!$B$21+'Inputs'!$B$7+'Inputs'!$B$10))/SQRT((((473-43)*MAX('Inputs'!$B$33,'Inputs'!$B$29+'Inputs'!$B$31+'Inputs'!$B$32,'Inputs'!$B$30+'Inputs'!$B$31+'Inputs'!$B$32)/1000+'Inputs'!$B$21+'Inputs'!$B$7+'Inputs'!$B$10))^2+('Inputs'!$B$8/2)^2))))*'Results'!$B$8))),"")</x:f>
        <x:v>6.208622472794127</x:v>
      </x:c>
      <x:c r="L473" t="n">
        <x:f>IF(AND(ISNUMBER('Results'!B7),ISNUMBER('Results'!C7),ISNUMBER('Results'!$B$8),ISNUMBER('Inputs'!$B$6),ISNUMBER('Inputs'!$B$7),ISNUMBER('Inputs'!$B$8),ISNUMBER('Inputs'!$B$9),ISNUMBER('Inputs'!$B$10),ISNUMBER('Inputs'!$B$21),ISNUMBER('Inputs'!$B$24),ISNUMBER('Inputs'!$B$28)),((('Results'!B7*(1+'Inputs'!$B$24)*(0.5*((((473-43)*MAX('Inputs'!$B$33,'Inputs'!$B$29+'Inputs'!$B$31+'Inputs'!$B$32,'Inputs'!$B$30+'Inputs'!$B$31+'Inputs'!$B$32)/1000+'Inputs'!$B$21)+'Inputs'!$B$7)/SQRT((((473-43)*MAX('Inputs'!$B$33,'Inputs'!$B$29+'Inputs'!$B$31+'Inputs'!$B$32,'Inputs'!$B$30+'Inputs'!$B$31+'Inputs'!$B$32)/1000+'Inputs'!$B$21)+'Inputs'!$B$7)^2+('Inputs'!$B$6/2)^2)-(((473-43)*MAX('Inputs'!$B$33,'Inputs'!$B$29+'Inputs'!$B$31+'Inputs'!$B$32,'Inputs'!$B$30+'Inputs'!$B$31+'Inputs'!$B$32)/1000+'Inputs'!$B$21))/SQRT((((473-43)*MAX('Inputs'!$B$33,'Inputs'!$B$29+'Inputs'!$B$31+'Inputs'!$B$32,'Inputs'!$B$30+'Inputs'!$B$31+'Inputs'!$B$32)/1000+'Inputs'!$B$21))^2+('Inputs'!$B$6/2)^2)))-'Results'!C7*(1-'Inputs'!$B$24)*(0.5*((((473-43)*MAX('Inputs'!$B$33,'Inputs'!$B$29+'Inputs'!$B$31+'Inputs'!$B$32,'Inputs'!$B$30+'Inputs'!$B$31+'Inputs'!$B$32)/1000+'Inputs'!$B$21+'Inputs'!$B$7+'Inputs'!$B$10)+'Inputs'!$B$9)/SQRT((((473-43)*MAX('Inputs'!$B$33,'Inputs'!$B$29+'Inputs'!$B$31+'Inputs'!$B$32,'Inputs'!$B$30+'Inputs'!$B$31+'Inputs'!$B$32)/1000+'Inputs'!$B$21+'Inputs'!$B$7+'Inputs'!$B$10)+'Inputs'!$B$9)^2+('Inputs'!$B$8/2)^2)-(((473-43)*MAX('Inputs'!$B$33,'Inputs'!$B$29+'Inputs'!$B$31+'Inputs'!$B$32,'Inputs'!$B$30+'Inputs'!$B$31+'Inputs'!$B$32)/1000+'Inputs'!$B$21+'Inputs'!$B$7+'Inputs'!$B$10))/SQRT((((473-43)*MAX('Inputs'!$B$33,'Inputs'!$B$29+'Inputs'!$B$31+'Inputs'!$B$32,'Inputs'!$B$30+'Inputs'!$B$31+'Inputs'!$B$32)/1000+'Inputs'!$B$21+'Inputs'!$B$7+'Inputs'!$B$10))^2+('Inputs'!$B$8/2)^2))))*'Results'!$B$8)+'Inputs'!$B$28*ABS((('Results'!B7*(1+'Inputs'!$B$24)*(0.5*((((473-43)*MAX('Inputs'!$B$33,'Inputs'!$B$29+'Inputs'!$B$31+'Inputs'!$B$32,'Inputs'!$B$30+'Inputs'!$B$31+'Inputs'!$B$32)/1000+'Inputs'!$B$21)+'Inputs'!$B$7)/SQRT((((473-43)*MAX('Inputs'!$B$33,'Inputs'!$B$29+'Inputs'!$B$31+'Inputs'!$B$32,'Inputs'!$B$30+'Inputs'!$B$31+'Inputs'!$B$32)/1000+'Inputs'!$B$21)+'Inputs'!$B$7)^2+('Inputs'!$B$6/2)^2)-(((473-43)*MAX('Inputs'!$B$33,'Inputs'!$B$29+'Inputs'!$B$31+'Inputs'!$B$32,'Inputs'!$B$30+'Inputs'!$B$31+'Inputs'!$B$32)/1000+'Inputs'!$B$21))/SQRT((((473-43)*MAX('Inputs'!$B$33,'Inputs'!$B$29+'Inputs'!$B$31+'Inputs'!$B$32,'Inputs'!$B$30+'Inputs'!$B$31+'Inputs'!$B$32)/1000+'Inputs'!$B$21))^2+('Inputs'!$B$6/2)^2)))-'Results'!C7*(1-'Inputs'!$B$24)*(0.5*((((473-43)*MAX('Inputs'!$B$33,'Inputs'!$B$29+'Inputs'!$B$31+'Inputs'!$B$32,'Inputs'!$B$30+'Inputs'!$B$31+'Inputs'!$B$32)/1000+'Inputs'!$B$21+'Inputs'!$B$7+'Inputs'!$B$10)+'Inputs'!$B$9)/SQRT((((473-43)*MAX('Inputs'!$B$33,'Inputs'!$B$29+'Inputs'!$B$31+'Inputs'!$B$32,'Inputs'!$B$30+'Inputs'!$B$31+'Inputs'!$B$32)/1000+'Inputs'!$B$21+'Inputs'!$B$7+'Inputs'!$B$10)+'Inputs'!$B$9)^2+('Inputs'!$B$8/2)^2)-(((473-43)*MAX('Inputs'!$B$33,'Inputs'!$B$29+'Inputs'!$B$31+'Inputs'!$B$32,'Inputs'!$B$30+'Inputs'!$B$31+'Inputs'!$B$32)/1000+'Inputs'!$B$21+'Inputs'!$B$7+'Inputs'!$B$10))/SQRT((((473-43)*MAX('Inputs'!$B$33,'Inputs'!$B$29+'Inputs'!$B$31+'Inputs'!$B$32,'Inputs'!$B$30+'Inputs'!$B$31+'Inputs'!$B$32)/1000+'Inputs'!$B$21+'Inputs'!$B$7+'Inputs'!$B$10))^2+('Inputs'!$B$8/2)^2))))*'Results'!$B$8))),"")</x:f>
        <x:v>7.74699600558383</x:v>
      </x:c>
      <x:c r="M473" t="n">
        <x:f>IF(AND(ISNUMBER('Results'!C7),ISNUMBER('Results'!B7),ISNUMBER('Results'!$B$8),ISNUMBER('Inputs'!$B$6),ISNUMBER('Inputs'!$B$7),ISNUMBER('Inputs'!$B$8),ISNUMBER('Inputs'!$B$9),ISNUMBER('Inputs'!$B$10),ISNUMBER('Inputs'!$B$21),ISNUMBER('Inputs'!$B$24),ISNUMBER('Inputs'!$B$28)),(('Results'!C7*(0.5*((((473-43)*MAX('Inputs'!$B$33,'Inputs'!$B$29+'Inputs'!$B$31+'Inputs'!$B$32,'Inputs'!$B$30+'Inputs'!$B$31+'Inputs'!$B$32)/1000+'Inputs'!$B$21)+'Inputs'!$B$9)/SQRT((((473-43)*MAX('Inputs'!$B$33,'Inputs'!$B$29+'Inputs'!$B$31+'Inputs'!$B$32,'Inputs'!$B$30+'Inputs'!$B$31+'Inputs'!$B$32)/1000+'Inputs'!$B$21)+'Inputs'!$B$9)^2+('Inputs'!$B$8/2)^2)-(((473-43)*MAX('Inputs'!$B$33,'Inputs'!$B$29+'Inputs'!$B$31+'Inputs'!$B$32,'Inputs'!$B$30+'Inputs'!$B$31+'Inputs'!$B$32)/1000+'Inputs'!$B$21))/SQRT((((473-43)*MAX('Inputs'!$B$33,'Inputs'!$B$29+'Inputs'!$B$31+'Inputs'!$B$32,'Inputs'!$B$30+'Inputs'!$B$31+'Inputs'!$B$32)/1000+'Inputs'!$B$21))^2+('Inputs'!$B$8/2)^2)))-'Results'!B7*(0.5*((((473-43)*MAX('Inputs'!$B$33,'Inputs'!$B$29+'Inputs'!$B$31+'Inputs'!$B$32,'Inputs'!$B$30+'Inputs'!$B$31+'Inputs'!$B$32)/1000+'Inputs'!$B$21+'Inputs'!$B$9+'Inputs'!$B$10)+'Inputs'!$B$7)/SQRT((((473-43)*MAX('Inputs'!$B$33,'Inputs'!$B$29+'Inputs'!$B$31+'Inputs'!$B$32,'Inputs'!$B$30+'Inputs'!$B$31+'Inputs'!$B$32)/1000+'Inputs'!$B$21+'Inputs'!$B$9+'Inputs'!$B$10)+'Inputs'!$B$7)^2+('Inputs'!$B$6/2)^2)-(((473-43)*MAX('Inputs'!$B$33,'Inputs'!$B$29+'Inputs'!$B$31+'Inputs'!$B$32,'Inputs'!$B$30+'Inputs'!$B$31+'Inputs'!$B$32)/1000+'Inputs'!$B$21+'Inputs'!$B$9+'Inputs'!$B$10))/SQRT((((473-43)*MAX('Inputs'!$B$33,'Inputs'!$B$29+'Inputs'!$B$31+'Inputs'!$B$32,'Inputs'!$B$30+'Inputs'!$B$31+'Inputs'!$B$32)/1000+'Inputs'!$B$21+'Inputs'!$B$9+'Inputs'!$B$10))^2+('Inputs'!$B$6/2)^2))))*'Results'!$B$8),"")</x:f>
        <x:v>6.532512333324103</x:v>
      </x:c>
      <x:c r="N473" t="n">
        <x:f>IF(AND(ISNUMBER('Results'!C7),ISNUMBER('Results'!B7),ISNUMBER('Results'!$B$8),ISNUMBER('Inputs'!$B$6),ISNUMBER('Inputs'!$B$7),ISNUMBER('Inputs'!$B$8),ISNUMBER('Inputs'!$B$9),ISNUMBER('Inputs'!$B$10),ISNUMBER('Inputs'!$B$21),ISNUMBER('Inputs'!$B$24),ISNUMBER('Inputs'!$B$28)),((('Results'!C7*(1-'Inputs'!$B$24)*(0.5*((((473-43)*MAX('Inputs'!$B$33,'Inputs'!$B$29+'Inputs'!$B$31+'Inputs'!$B$32,'Inputs'!$B$30+'Inputs'!$B$31+'Inputs'!$B$32)/1000+'Inputs'!$B$21)+'Inputs'!$B$9)/SQRT((((473-43)*MAX('Inputs'!$B$33,'Inputs'!$B$29+'Inputs'!$B$31+'Inputs'!$B$32,'Inputs'!$B$30+'Inputs'!$B$31+'Inputs'!$B$32)/1000+'Inputs'!$B$21)+'Inputs'!$B$9)^2+('Inputs'!$B$8/2)^2)-(((473-43)*MAX('Inputs'!$B$33,'Inputs'!$B$29+'Inputs'!$B$31+'Inputs'!$B$32,'Inputs'!$B$30+'Inputs'!$B$31+'Inputs'!$B$32)/1000+'Inputs'!$B$21))/SQRT((((473-43)*MAX('Inputs'!$B$33,'Inputs'!$B$29+'Inputs'!$B$31+'Inputs'!$B$32,'Inputs'!$B$30+'Inputs'!$B$31+'Inputs'!$B$32)/1000+'Inputs'!$B$21))^2+('Inputs'!$B$8/2)^2)))-'Results'!B7*(1+'Inputs'!$B$24)*(0.5*((((473-43)*MAX('Inputs'!$B$33,'Inputs'!$B$29+'Inputs'!$B$31+'Inputs'!$B$32,'Inputs'!$B$30+'Inputs'!$B$31+'Inputs'!$B$32)/1000+'Inputs'!$B$21+'Inputs'!$B$9+'Inputs'!$B$10)+'Inputs'!$B$7)/SQRT((((473-43)*MAX('Inputs'!$B$33,'Inputs'!$B$29+'Inputs'!$B$31+'Inputs'!$B$32,'Inputs'!$B$30+'Inputs'!$B$31+'Inputs'!$B$32)/1000+'Inputs'!$B$21+'Inputs'!$B$9+'Inputs'!$B$10)+'Inputs'!$B$7)^2+('Inputs'!$B$6/2)^2)-(((473-43)*MAX('Inputs'!$B$33,'Inputs'!$B$29+'Inputs'!$B$31+'Inputs'!$B$32,'Inputs'!$B$30+'Inputs'!$B$31+'Inputs'!$B$32)/1000+'Inputs'!$B$21+'Inputs'!$B$9+'Inputs'!$B$10))/SQRT((((473-43)*MAX('Inputs'!$B$33,'Inputs'!$B$29+'Inputs'!$B$31+'Inputs'!$B$32,'Inputs'!$B$30+'Inputs'!$B$31+'Inputs'!$B$32)/1000+'Inputs'!$B$21+'Inputs'!$B$9+'Inputs'!$B$10))^2+('Inputs'!$B$6/2)^2))))*'Results'!$B$8)-'Inputs'!$B$28*ABS((('Results'!C7*(1-'Inputs'!$B$24)*(0.5*((((473-43)*MAX('Inputs'!$B$33,'Inputs'!$B$29+'Inputs'!$B$31+'Inputs'!$B$32,'Inputs'!$B$30+'Inputs'!$B$31+'Inputs'!$B$32)/1000+'Inputs'!$B$21)+'Inputs'!$B$9)/SQRT((((473-43)*MAX('Inputs'!$B$33,'Inputs'!$B$29+'Inputs'!$B$31+'Inputs'!$B$32,'Inputs'!$B$30+'Inputs'!$B$31+'Inputs'!$B$32)/1000+'Inputs'!$B$21)+'Inputs'!$B$9)^2+('Inputs'!$B$8/2)^2)-(((473-43)*MAX('Inputs'!$B$33,'Inputs'!$B$29+'Inputs'!$B$31+'Inputs'!$B$32,'Inputs'!$B$30+'Inputs'!$B$31+'Inputs'!$B$32)/1000+'Inputs'!$B$21))/SQRT((((473-43)*MAX('Inputs'!$B$33,'Inputs'!$B$29+'Inputs'!$B$31+'Inputs'!$B$32,'Inputs'!$B$30+'Inputs'!$B$31+'Inputs'!$B$32)/1000+'Inputs'!$B$21))^2+('Inputs'!$B$8/2)^2)))-'Results'!B7*(1+'Inputs'!$B$24)*(0.5*((((473-43)*MAX('Inputs'!$B$33,'Inputs'!$B$29+'Inputs'!$B$31+'Inputs'!$B$32,'Inputs'!$B$30+'Inputs'!$B$31+'Inputs'!$B$32)/1000+'Inputs'!$B$21+'Inputs'!$B$9+'Inputs'!$B$10)+'Inputs'!$B$7)/SQRT((((473-43)*MAX('Inputs'!$B$33,'Inputs'!$B$29+'Inputs'!$B$31+'Inputs'!$B$32,'Inputs'!$B$30+'Inputs'!$B$31+'Inputs'!$B$32)/1000+'Inputs'!$B$21+'Inputs'!$B$9+'Inputs'!$B$10)+'Inputs'!$B$7)^2+('Inputs'!$B$6/2)^2)-(((473-43)*MAX('Inputs'!$B$33,'Inputs'!$B$29+'Inputs'!$B$31+'Inputs'!$B$32,'Inputs'!$B$30+'Inputs'!$B$31+'Inputs'!$B$32)/1000+'Inputs'!$B$21+'Inputs'!$B$9+'Inputs'!$B$10))/SQRT((((473-43)*MAX('Inputs'!$B$33,'Inputs'!$B$29+'Inputs'!$B$31+'Inputs'!$B$32,'Inputs'!$B$30+'Inputs'!$B$31+'Inputs'!$B$32)/1000+'Inputs'!$B$21+'Inputs'!$B$9+'Inputs'!$B$10))^2+('Inputs'!$B$6/2)^2))))*'Results'!$B$8))),"")</x:f>
        <x:v>5.8081933687017875</x:v>
      </x:c>
      <x:c r="O473" t="n">
        <x:f>IF(AND(ISNUMBER('Results'!C7),ISNUMBER('Results'!B7),ISNUMBER('Results'!$B$8),ISNUMBER('Inputs'!$B$6),ISNUMBER('Inputs'!$B$7),ISNUMBER('Inputs'!$B$8),ISNUMBER('Inputs'!$B$9),ISNUMBER('Inputs'!$B$10),ISNUMBER('Inputs'!$B$21),ISNUMBER('Inputs'!$B$24),ISNUMBER('Inputs'!$B$28)),((('Results'!C7*(1+'Inputs'!$B$24)*(0.5*((((473-43)*MAX('Inputs'!$B$33,'Inputs'!$B$29+'Inputs'!$B$31+'Inputs'!$B$32,'Inputs'!$B$30+'Inputs'!$B$31+'Inputs'!$B$32)/1000+'Inputs'!$B$21)+'Inputs'!$B$9)/SQRT((((473-43)*MAX('Inputs'!$B$33,'Inputs'!$B$29+'Inputs'!$B$31+'Inputs'!$B$32,'Inputs'!$B$30+'Inputs'!$B$31+'Inputs'!$B$32)/1000+'Inputs'!$B$21)+'Inputs'!$B$9)^2+('Inputs'!$B$8/2)^2)-(((473-43)*MAX('Inputs'!$B$33,'Inputs'!$B$29+'Inputs'!$B$31+'Inputs'!$B$32,'Inputs'!$B$30+'Inputs'!$B$31+'Inputs'!$B$32)/1000+'Inputs'!$B$21))/SQRT((((473-43)*MAX('Inputs'!$B$33,'Inputs'!$B$29+'Inputs'!$B$31+'Inputs'!$B$32,'Inputs'!$B$30+'Inputs'!$B$31+'Inputs'!$B$32)/1000+'Inputs'!$B$21))^2+('Inputs'!$B$8/2)^2)))-'Results'!B7*(1-'Inputs'!$B$24)*(0.5*((((473-43)*MAX('Inputs'!$B$33,'Inputs'!$B$29+'Inputs'!$B$31+'Inputs'!$B$32,'Inputs'!$B$30+'Inputs'!$B$31+'Inputs'!$B$32)/1000+'Inputs'!$B$21+'Inputs'!$B$9+'Inputs'!$B$10)+'Inputs'!$B$7)/SQRT((((473-43)*MAX('Inputs'!$B$33,'Inputs'!$B$29+'Inputs'!$B$31+'Inputs'!$B$32,'Inputs'!$B$30+'Inputs'!$B$31+'Inputs'!$B$32)/1000+'Inputs'!$B$21+'Inputs'!$B$9+'Inputs'!$B$10)+'Inputs'!$B$7)^2+('Inputs'!$B$6/2)^2)-(((473-43)*MAX('Inputs'!$B$33,'Inputs'!$B$29+'Inputs'!$B$31+'Inputs'!$B$32,'Inputs'!$B$30+'Inputs'!$B$31+'Inputs'!$B$32)/1000+'Inputs'!$B$21+'Inputs'!$B$9+'Inputs'!$B$10))/SQRT((((473-43)*MAX('Inputs'!$B$33,'Inputs'!$B$29+'Inputs'!$B$31+'Inputs'!$B$32,'Inputs'!$B$30+'Inputs'!$B$31+'Inputs'!$B$32)/1000+'Inputs'!$B$21+'Inputs'!$B$9+'Inputs'!$B$10))^2+('Inputs'!$B$6/2)^2))))*'Results'!$B$8)+'Inputs'!$B$28*ABS((('Results'!C7*(1+'Inputs'!$B$24)*(0.5*((((473-43)*MAX('Inputs'!$B$33,'Inputs'!$B$29+'Inputs'!$B$31+'Inputs'!$B$32,'Inputs'!$B$30+'Inputs'!$B$31+'Inputs'!$B$32)/1000+'Inputs'!$B$21)+'Inputs'!$B$9)/SQRT((((473-43)*MAX('Inputs'!$B$33,'Inputs'!$B$29+'Inputs'!$B$31+'Inputs'!$B$32,'Inputs'!$B$30+'Inputs'!$B$31+'Inputs'!$B$32)/1000+'Inputs'!$B$21)+'Inputs'!$B$9)^2+('Inputs'!$B$8/2)^2)-(((473-43)*MAX('Inputs'!$B$33,'Inputs'!$B$29+'Inputs'!$B$31+'Inputs'!$B$32,'Inputs'!$B$30+'Inputs'!$B$31+'Inputs'!$B$32)/1000+'Inputs'!$B$21))/SQRT((((473-43)*MAX('Inputs'!$B$33,'Inputs'!$B$29+'Inputs'!$B$31+'Inputs'!$B$32,'Inputs'!$B$30+'Inputs'!$B$31+'Inputs'!$B$32)/1000+'Inputs'!$B$21))^2+('Inputs'!$B$8/2)^2)))-'Results'!B7*(1-'Inputs'!$B$24)*(0.5*((((473-43)*MAX('Inputs'!$B$33,'Inputs'!$B$29+'Inputs'!$B$31+'Inputs'!$B$32,'Inputs'!$B$30+'Inputs'!$B$31+'Inputs'!$B$32)/1000+'Inputs'!$B$21+'Inputs'!$B$9+'Inputs'!$B$10)+'Inputs'!$B$7)/SQRT((((473-43)*MAX('Inputs'!$B$33,'Inputs'!$B$29+'Inputs'!$B$31+'Inputs'!$B$32,'Inputs'!$B$30+'Inputs'!$B$31+'Inputs'!$B$32)/1000+'Inputs'!$B$21+'Inputs'!$B$9+'Inputs'!$B$10)+'Inputs'!$B$7)^2+('Inputs'!$B$6/2)^2)-(((473-43)*MAX('Inputs'!$B$33,'Inputs'!$B$29+'Inputs'!$B$31+'Inputs'!$B$32,'Inputs'!$B$30+'Inputs'!$B$31+'Inputs'!$B$32)/1000+'Inputs'!$B$21+'Inputs'!$B$9+'Inputs'!$B$10))/SQRT((((473-43)*MAX('Inputs'!$B$33,'Inputs'!$B$29+'Inputs'!$B$31+'Inputs'!$B$32,'Inputs'!$B$30+'Inputs'!$B$31+'Inputs'!$B$32)/1000+'Inputs'!$B$21+'Inputs'!$B$9+'Inputs'!$B$10))^2+('Inputs'!$B$6/2)^2))))*'Results'!$B$8))),"")</x:f>
        <x:v>7.298693755626009</x:v>
      </x:c>
      <x:c r="P473" t="n">
        <x:f>IF(AND(MAX(J473,J472)&gt;0,J473&gt;J472+0.00000001),1,0)</x:f>
        <x:v>0</x:v>
      </x:c>
      <x:c r="Q473" t="n">
        <x:f>IF(AND(MAX(K473,K472)&gt;0,K473&gt;K472+0.00000001),1,0)</x:f>
        <x:v>0</x:v>
      </x:c>
      <x:c r="R473" t="n">
        <x:f>IF(AND(MAX(L473,L472)&gt;0,L473&gt;L472+0.00000001),1,0)</x:f>
        <x:v>0</x:v>
      </x:c>
      <x:c r="S473" t="n">
        <x:f>IF(AND(MAX(M473,M472)&gt;0,M473&gt;M472+0.00000001),1,0)</x:f>
        <x:v>0</x:v>
      </x:c>
      <x:c r="T473" t="n">
        <x:f>IF(AND(MAX(N473,N472)&gt;0,N473&gt;N472+0.00000001),1,0)</x:f>
        <x:v>0</x:v>
      </x:c>
      <x:c r="U473" t="n">
        <x:f>IF(AND(MAX(O473,O472)&gt;0,O473&gt;O472+0.00000001),1,0)</x:f>
        <x:v>0</x:v>
      </x:c>
    </x:row>
    <x:row r="474">
      <x:c r="J474" t="n">
        <x:f>IF(AND(ISNUMBER('Results'!B7),ISNUMBER('Results'!C7),ISNUMBER('Results'!$B$8),ISNUMBER('Inputs'!$B$6),ISNUMBER('Inputs'!$B$7),ISNUMBER('Inputs'!$B$8),ISNUMBER('Inputs'!$B$9),ISNUMBER('Inputs'!$B$10),ISNUMBER('Inputs'!$B$21),ISNUMBER('Inputs'!$B$24),ISNUMBER('Inputs'!$B$28)),(('Results'!B7*(0.5*((((474-43)*MAX('Inputs'!$B$33,'Inputs'!$B$29+'Inputs'!$B$31+'Inputs'!$B$32,'Inputs'!$B$30+'Inputs'!$B$31+'Inputs'!$B$32)/1000+'Inputs'!$B$21)+'Inputs'!$B$7)/SQRT((((474-43)*MAX('Inputs'!$B$33,'Inputs'!$B$29+'Inputs'!$B$31+'Inputs'!$B$32,'Inputs'!$B$30+'Inputs'!$B$31+'Inputs'!$B$32)/1000+'Inputs'!$B$21)+'Inputs'!$B$7)^2+('Inputs'!$B$6/2)^2)-(((474-43)*MAX('Inputs'!$B$33,'Inputs'!$B$29+'Inputs'!$B$31+'Inputs'!$B$32,'Inputs'!$B$30+'Inputs'!$B$31+'Inputs'!$B$32)/1000+'Inputs'!$B$21))/SQRT((((474-43)*MAX('Inputs'!$B$33,'Inputs'!$B$29+'Inputs'!$B$31+'Inputs'!$B$32,'Inputs'!$B$30+'Inputs'!$B$31+'Inputs'!$B$32)/1000+'Inputs'!$B$21))^2+('Inputs'!$B$6/2)^2)))-'Results'!C7*(0.5*((((474-43)*MAX('Inputs'!$B$33,'Inputs'!$B$29+'Inputs'!$B$31+'Inputs'!$B$32,'Inputs'!$B$30+'Inputs'!$B$31+'Inputs'!$B$32)/1000+'Inputs'!$B$21+'Inputs'!$B$7+'Inputs'!$B$10)+'Inputs'!$B$9)/SQRT((((474-43)*MAX('Inputs'!$B$33,'Inputs'!$B$29+'Inputs'!$B$31+'Inputs'!$B$32,'Inputs'!$B$30+'Inputs'!$B$31+'Inputs'!$B$32)/1000+'Inputs'!$B$21+'Inputs'!$B$7+'Inputs'!$B$10)+'Inputs'!$B$9)^2+('Inputs'!$B$8/2)^2)-(((474-43)*MAX('Inputs'!$B$33,'Inputs'!$B$29+'Inputs'!$B$31+'Inputs'!$B$32,'Inputs'!$B$30+'Inputs'!$B$31+'Inputs'!$B$32)/1000+'Inputs'!$B$21+'Inputs'!$B$7+'Inputs'!$B$10))/SQRT((((474-43)*MAX('Inputs'!$B$33,'Inputs'!$B$29+'Inputs'!$B$31+'Inputs'!$B$32,'Inputs'!$B$30+'Inputs'!$B$31+'Inputs'!$B$32)/1000+'Inputs'!$B$21+'Inputs'!$B$7+'Inputs'!$B$10))^2+('Inputs'!$B$8/2)^2))))*'Results'!$B$8),"")</x:f>
        <x:v>6.902989808078394</x:v>
      </x:c>
      <x:c r="K474" t="n">
        <x:f>IF(AND(ISNUMBER('Results'!B7),ISNUMBER('Results'!C7),ISNUMBER('Results'!$B$8),ISNUMBER('Inputs'!$B$6),ISNUMBER('Inputs'!$B$7),ISNUMBER('Inputs'!$B$8),ISNUMBER('Inputs'!$B$9),ISNUMBER('Inputs'!$B$10),ISNUMBER('Inputs'!$B$21),ISNUMBER('Inputs'!$B$24),ISNUMBER('Inputs'!$B$28)),((('Results'!B7*(1-'Inputs'!$B$24)*(0.5*((((474-43)*MAX('Inputs'!$B$33,'Inputs'!$B$29+'Inputs'!$B$31+'Inputs'!$B$32,'Inputs'!$B$30+'Inputs'!$B$31+'Inputs'!$B$32)/1000+'Inputs'!$B$21)+'Inputs'!$B$7)/SQRT((((474-43)*MAX('Inputs'!$B$33,'Inputs'!$B$29+'Inputs'!$B$31+'Inputs'!$B$32,'Inputs'!$B$30+'Inputs'!$B$31+'Inputs'!$B$32)/1000+'Inputs'!$B$21)+'Inputs'!$B$7)^2+('Inputs'!$B$6/2)^2)-(((474-43)*MAX('Inputs'!$B$33,'Inputs'!$B$29+'Inputs'!$B$31+'Inputs'!$B$32,'Inputs'!$B$30+'Inputs'!$B$31+'Inputs'!$B$32)/1000+'Inputs'!$B$21))/SQRT((((474-43)*MAX('Inputs'!$B$33,'Inputs'!$B$29+'Inputs'!$B$31+'Inputs'!$B$32,'Inputs'!$B$30+'Inputs'!$B$31+'Inputs'!$B$32)/1000+'Inputs'!$B$21))^2+('Inputs'!$B$6/2)^2)))-'Results'!C7*(1+'Inputs'!$B$24)*(0.5*((((474-43)*MAX('Inputs'!$B$33,'Inputs'!$B$29+'Inputs'!$B$31+'Inputs'!$B$32,'Inputs'!$B$30+'Inputs'!$B$31+'Inputs'!$B$32)/1000+'Inputs'!$B$21+'Inputs'!$B$7+'Inputs'!$B$10)+'Inputs'!$B$9)/SQRT((((474-43)*MAX('Inputs'!$B$33,'Inputs'!$B$29+'Inputs'!$B$31+'Inputs'!$B$32,'Inputs'!$B$30+'Inputs'!$B$31+'Inputs'!$B$32)/1000+'Inputs'!$B$21+'Inputs'!$B$7+'Inputs'!$B$10)+'Inputs'!$B$9)^2+('Inputs'!$B$8/2)^2)-(((474-43)*MAX('Inputs'!$B$33,'Inputs'!$B$29+'Inputs'!$B$31+'Inputs'!$B$32,'Inputs'!$B$30+'Inputs'!$B$31+'Inputs'!$B$32)/1000+'Inputs'!$B$21+'Inputs'!$B$7+'Inputs'!$B$10))/SQRT((((474-43)*MAX('Inputs'!$B$33,'Inputs'!$B$29+'Inputs'!$B$31+'Inputs'!$B$32,'Inputs'!$B$30+'Inputs'!$B$31+'Inputs'!$B$32)/1000+'Inputs'!$B$21+'Inputs'!$B$7+'Inputs'!$B$10))^2+('Inputs'!$B$8/2)^2))))*'Results'!$B$8)-'Inputs'!$B$28*ABS((('Results'!B7*(1-'Inputs'!$B$24)*(0.5*((((474-43)*MAX('Inputs'!$B$33,'Inputs'!$B$29+'Inputs'!$B$31+'Inputs'!$B$32,'Inputs'!$B$30+'Inputs'!$B$31+'Inputs'!$B$32)/1000+'Inputs'!$B$21)+'Inputs'!$B$7)/SQRT((((474-43)*MAX('Inputs'!$B$33,'Inputs'!$B$29+'Inputs'!$B$31+'Inputs'!$B$32,'Inputs'!$B$30+'Inputs'!$B$31+'Inputs'!$B$32)/1000+'Inputs'!$B$21)+'Inputs'!$B$7)^2+('Inputs'!$B$6/2)^2)-(((474-43)*MAX('Inputs'!$B$33,'Inputs'!$B$29+'Inputs'!$B$31+'Inputs'!$B$32,'Inputs'!$B$30+'Inputs'!$B$31+'Inputs'!$B$32)/1000+'Inputs'!$B$21))/SQRT((((474-43)*MAX('Inputs'!$B$33,'Inputs'!$B$29+'Inputs'!$B$31+'Inputs'!$B$32,'Inputs'!$B$30+'Inputs'!$B$31+'Inputs'!$B$32)/1000+'Inputs'!$B$21))^2+('Inputs'!$B$6/2)^2)))-'Results'!C7*(1+'Inputs'!$B$24)*(0.5*((((474-43)*MAX('Inputs'!$B$33,'Inputs'!$B$29+'Inputs'!$B$31+'Inputs'!$B$32,'Inputs'!$B$30+'Inputs'!$B$31+'Inputs'!$B$32)/1000+'Inputs'!$B$21+'Inputs'!$B$7+'Inputs'!$B$10)+'Inputs'!$B$9)/SQRT((((474-43)*MAX('Inputs'!$B$33,'Inputs'!$B$29+'Inputs'!$B$31+'Inputs'!$B$32,'Inputs'!$B$30+'Inputs'!$B$31+'Inputs'!$B$32)/1000+'Inputs'!$B$21+'Inputs'!$B$7+'Inputs'!$B$10)+'Inputs'!$B$9)^2+('Inputs'!$B$8/2)^2)-(((474-43)*MAX('Inputs'!$B$33,'Inputs'!$B$29+'Inputs'!$B$31+'Inputs'!$B$32,'Inputs'!$B$30+'Inputs'!$B$31+'Inputs'!$B$32)/1000+'Inputs'!$B$21+'Inputs'!$B$7+'Inputs'!$B$10))/SQRT((((474-43)*MAX('Inputs'!$B$33,'Inputs'!$B$29+'Inputs'!$B$31+'Inputs'!$B$32,'Inputs'!$B$30+'Inputs'!$B$31+'Inputs'!$B$32)/1000+'Inputs'!$B$21+'Inputs'!$B$7+'Inputs'!$B$10))^2+('Inputs'!$B$8/2)^2))))*'Results'!$B$8))),"")</x:f>
        <x:v>6.159973850980627</x:v>
      </x:c>
      <x:c r="L474" t="n">
        <x:f>IF(AND(ISNUMBER('Results'!B7),ISNUMBER('Results'!C7),ISNUMBER('Results'!$B$8),ISNUMBER('Inputs'!$B$6),ISNUMBER('Inputs'!$B$7),ISNUMBER('Inputs'!$B$8),ISNUMBER('Inputs'!$B$9),ISNUMBER('Inputs'!$B$10),ISNUMBER('Inputs'!$B$21),ISNUMBER('Inputs'!$B$24),ISNUMBER('Inputs'!$B$28)),((('Results'!B7*(1+'Inputs'!$B$24)*(0.5*((((474-43)*MAX('Inputs'!$B$33,'Inputs'!$B$29+'Inputs'!$B$31+'Inputs'!$B$32,'Inputs'!$B$30+'Inputs'!$B$31+'Inputs'!$B$32)/1000+'Inputs'!$B$21)+'Inputs'!$B$7)/SQRT((((474-43)*MAX('Inputs'!$B$33,'Inputs'!$B$29+'Inputs'!$B$31+'Inputs'!$B$32,'Inputs'!$B$30+'Inputs'!$B$31+'Inputs'!$B$32)/1000+'Inputs'!$B$21)+'Inputs'!$B$7)^2+('Inputs'!$B$6/2)^2)-(((474-43)*MAX('Inputs'!$B$33,'Inputs'!$B$29+'Inputs'!$B$31+'Inputs'!$B$32,'Inputs'!$B$30+'Inputs'!$B$31+'Inputs'!$B$32)/1000+'Inputs'!$B$21))/SQRT((((474-43)*MAX('Inputs'!$B$33,'Inputs'!$B$29+'Inputs'!$B$31+'Inputs'!$B$32,'Inputs'!$B$30+'Inputs'!$B$31+'Inputs'!$B$32)/1000+'Inputs'!$B$21))^2+('Inputs'!$B$6/2)^2)))-'Results'!C7*(1-'Inputs'!$B$24)*(0.5*((((474-43)*MAX('Inputs'!$B$33,'Inputs'!$B$29+'Inputs'!$B$31+'Inputs'!$B$32,'Inputs'!$B$30+'Inputs'!$B$31+'Inputs'!$B$32)/1000+'Inputs'!$B$21+'Inputs'!$B$7+'Inputs'!$B$10)+'Inputs'!$B$9)/SQRT((((474-43)*MAX('Inputs'!$B$33,'Inputs'!$B$29+'Inputs'!$B$31+'Inputs'!$B$32,'Inputs'!$B$30+'Inputs'!$B$31+'Inputs'!$B$32)/1000+'Inputs'!$B$21+'Inputs'!$B$7+'Inputs'!$B$10)+'Inputs'!$B$9)^2+('Inputs'!$B$8/2)^2)-(((474-43)*MAX('Inputs'!$B$33,'Inputs'!$B$29+'Inputs'!$B$31+'Inputs'!$B$32,'Inputs'!$B$30+'Inputs'!$B$31+'Inputs'!$B$32)/1000+'Inputs'!$B$21+'Inputs'!$B$7+'Inputs'!$B$10))/SQRT((((474-43)*MAX('Inputs'!$B$33,'Inputs'!$B$29+'Inputs'!$B$31+'Inputs'!$B$32,'Inputs'!$B$30+'Inputs'!$B$31+'Inputs'!$B$32)/1000+'Inputs'!$B$21+'Inputs'!$B$7+'Inputs'!$B$10))^2+('Inputs'!$B$8/2)^2))))*'Results'!$B$8)+'Inputs'!$B$28*ABS((('Results'!B7*(1+'Inputs'!$B$24)*(0.5*((((474-43)*MAX('Inputs'!$B$33,'Inputs'!$B$29+'Inputs'!$B$31+'Inputs'!$B$32,'Inputs'!$B$30+'Inputs'!$B$31+'Inputs'!$B$32)/1000+'Inputs'!$B$21)+'Inputs'!$B$7)/SQRT((((474-43)*MAX('Inputs'!$B$33,'Inputs'!$B$29+'Inputs'!$B$31+'Inputs'!$B$32,'Inputs'!$B$30+'Inputs'!$B$31+'Inputs'!$B$32)/1000+'Inputs'!$B$21)+'Inputs'!$B$7)^2+('Inputs'!$B$6/2)^2)-(((474-43)*MAX('Inputs'!$B$33,'Inputs'!$B$29+'Inputs'!$B$31+'Inputs'!$B$32,'Inputs'!$B$30+'Inputs'!$B$31+'Inputs'!$B$32)/1000+'Inputs'!$B$21))/SQRT((((474-43)*MAX('Inputs'!$B$33,'Inputs'!$B$29+'Inputs'!$B$31+'Inputs'!$B$32,'Inputs'!$B$30+'Inputs'!$B$31+'Inputs'!$B$32)/1000+'Inputs'!$B$21))^2+('Inputs'!$B$6/2)^2)))-'Results'!C7*(1-'Inputs'!$B$24)*(0.5*((((474-43)*MAX('Inputs'!$B$33,'Inputs'!$B$29+'Inputs'!$B$31+'Inputs'!$B$32,'Inputs'!$B$30+'Inputs'!$B$31+'Inputs'!$B$32)/1000+'Inputs'!$B$21+'Inputs'!$B$7+'Inputs'!$B$10)+'Inputs'!$B$9)/SQRT((((474-43)*MAX('Inputs'!$B$33,'Inputs'!$B$29+'Inputs'!$B$31+'Inputs'!$B$32,'Inputs'!$B$30+'Inputs'!$B$31+'Inputs'!$B$32)/1000+'Inputs'!$B$21+'Inputs'!$B$7+'Inputs'!$B$10)+'Inputs'!$B$9)^2+('Inputs'!$B$8/2)^2)-(((474-43)*MAX('Inputs'!$B$33,'Inputs'!$B$29+'Inputs'!$B$31+'Inputs'!$B$32,'Inputs'!$B$30+'Inputs'!$B$31+'Inputs'!$B$32)/1000+'Inputs'!$B$21+'Inputs'!$B$7+'Inputs'!$B$10))/SQRT((((474-43)*MAX('Inputs'!$B$33,'Inputs'!$B$29+'Inputs'!$B$31+'Inputs'!$B$32,'Inputs'!$B$30+'Inputs'!$B$31+'Inputs'!$B$32)/1000+'Inputs'!$B$21+'Inputs'!$B$7+'Inputs'!$B$10))^2+('Inputs'!$B$8/2)^2))))*'Results'!$B$8))),"")</x:f>
        <x:v>7.6878864458807765</x:v>
      </x:c>
      <x:c r="M474" t="n">
        <x:f>IF(AND(ISNUMBER('Results'!C7),ISNUMBER('Results'!B7),ISNUMBER('Results'!$B$8),ISNUMBER('Inputs'!$B$6),ISNUMBER('Inputs'!$B$7),ISNUMBER('Inputs'!$B$8),ISNUMBER('Inputs'!$B$9),ISNUMBER('Inputs'!$B$10),ISNUMBER('Inputs'!$B$21),ISNUMBER('Inputs'!$B$24),ISNUMBER('Inputs'!$B$28)),(('Results'!C7*(0.5*((((474-43)*MAX('Inputs'!$B$33,'Inputs'!$B$29+'Inputs'!$B$31+'Inputs'!$B$32,'Inputs'!$B$30+'Inputs'!$B$31+'Inputs'!$B$32)/1000+'Inputs'!$B$21)+'Inputs'!$B$9)/SQRT((((474-43)*MAX('Inputs'!$B$33,'Inputs'!$B$29+'Inputs'!$B$31+'Inputs'!$B$32,'Inputs'!$B$30+'Inputs'!$B$31+'Inputs'!$B$32)/1000+'Inputs'!$B$21)+'Inputs'!$B$9)^2+('Inputs'!$B$8/2)^2)-(((474-43)*MAX('Inputs'!$B$33,'Inputs'!$B$29+'Inputs'!$B$31+'Inputs'!$B$32,'Inputs'!$B$30+'Inputs'!$B$31+'Inputs'!$B$32)/1000+'Inputs'!$B$21))/SQRT((((474-43)*MAX('Inputs'!$B$33,'Inputs'!$B$29+'Inputs'!$B$31+'Inputs'!$B$32,'Inputs'!$B$30+'Inputs'!$B$31+'Inputs'!$B$32)/1000+'Inputs'!$B$21))^2+('Inputs'!$B$8/2)^2)))-'Results'!B7*(0.5*((((474-43)*MAX('Inputs'!$B$33,'Inputs'!$B$29+'Inputs'!$B$31+'Inputs'!$B$32,'Inputs'!$B$30+'Inputs'!$B$31+'Inputs'!$B$32)/1000+'Inputs'!$B$21+'Inputs'!$B$9+'Inputs'!$B$10)+'Inputs'!$B$7)/SQRT((((474-43)*MAX('Inputs'!$B$33,'Inputs'!$B$29+'Inputs'!$B$31+'Inputs'!$B$32,'Inputs'!$B$30+'Inputs'!$B$31+'Inputs'!$B$32)/1000+'Inputs'!$B$21+'Inputs'!$B$9+'Inputs'!$B$10)+'Inputs'!$B$7)^2+('Inputs'!$B$6/2)^2)-(((474-43)*MAX('Inputs'!$B$33,'Inputs'!$B$29+'Inputs'!$B$31+'Inputs'!$B$32,'Inputs'!$B$30+'Inputs'!$B$31+'Inputs'!$B$32)/1000+'Inputs'!$B$21+'Inputs'!$B$9+'Inputs'!$B$10))/SQRT((((474-43)*MAX('Inputs'!$B$33,'Inputs'!$B$29+'Inputs'!$B$31+'Inputs'!$B$32,'Inputs'!$B$30+'Inputs'!$B$31+'Inputs'!$B$32)/1000+'Inputs'!$B$21+'Inputs'!$B$9+'Inputs'!$B$10))^2+('Inputs'!$B$6/2)^2))))*'Results'!$B$8),"")</x:f>
        <x:v>6.481318235615051</x:v>
      </x:c>
      <x:c r="N474" t="n">
        <x:f>IF(AND(ISNUMBER('Results'!C7),ISNUMBER('Results'!B7),ISNUMBER('Results'!$B$8),ISNUMBER('Inputs'!$B$6),ISNUMBER('Inputs'!$B$7),ISNUMBER('Inputs'!$B$8),ISNUMBER('Inputs'!$B$9),ISNUMBER('Inputs'!$B$10),ISNUMBER('Inputs'!$B$21),ISNUMBER('Inputs'!$B$24),ISNUMBER('Inputs'!$B$28)),((('Results'!C7*(1-'Inputs'!$B$24)*(0.5*((((474-43)*MAX('Inputs'!$B$33,'Inputs'!$B$29+'Inputs'!$B$31+'Inputs'!$B$32,'Inputs'!$B$30+'Inputs'!$B$31+'Inputs'!$B$32)/1000+'Inputs'!$B$21)+'Inputs'!$B$9)/SQRT((((474-43)*MAX('Inputs'!$B$33,'Inputs'!$B$29+'Inputs'!$B$31+'Inputs'!$B$32,'Inputs'!$B$30+'Inputs'!$B$31+'Inputs'!$B$32)/1000+'Inputs'!$B$21)+'Inputs'!$B$9)^2+('Inputs'!$B$8/2)^2)-(((474-43)*MAX('Inputs'!$B$33,'Inputs'!$B$29+'Inputs'!$B$31+'Inputs'!$B$32,'Inputs'!$B$30+'Inputs'!$B$31+'Inputs'!$B$32)/1000+'Inputs'!$B$21))/SQRT((((474-43)*MAX('Inputs'!$B$33,'Inputs'!$B$29+'Inputs'!$B$31+'Inputs'!$B$32,'Inputs'!$B$30+'Inputs'!$B$31+'Inputs'!$B$32)/1000+'Inputs'!$B$21))^2+('Inputs'!$B$8/2)^2)))-'Results'!B7*(1+'Inputs'!$B$24)*(0.5*((((474-43)*MAX('Inputs'!$B$33,'Inputs'!$B$29+'Inputs'!$B$31+'Inputs'!$B$32,'Inputs'!$B$30+'Inputs'!$B$31+'Inputs'!$B$32)/1000+'Inputs'!$B$21+'Inputs'!$B$9+'Inputs'!$B$10)+'Inputs'!$B$7)/SQRT((((474-43)*MAX('Inputs'!$B$33,'Inputs'!$B$29+'Inputs'!$B$31+'Inputs'!$B$32,'Inputs'!$B$30+'Inputs'!$B$31+'Inputs'!$B$32)/1000+'Inputs'!$B$21+'Inputs'!$B$9+'Inputs'!$B$10)+'Inputs'!$B$7)^2+('Inputs'!$B$6/2)^2)-(((474-43)*MAX('Inputs'!$B$33,'Inputs'!$B$29+'Inputs'!$B$31+'Inputs'!$B$32,'Inputs'!$B$30+'Inputs'!$B$31+'Inputs'!$B$32)/1000+'Inputs'!$B$21+'Inputs'!$B$9+'Inputs'!$B$10))/SQRT((((474-43)*MAX('Inputs'!$B$33,'Inputs'!$B$29+'Inputs'!$B$31+'Inputs'!$B$32,'Inputs'!$B$30+'Inputs'!$B$31+'Inputs'!$B$32)/1000+'Inputs'!$B$21+'Inputs'!$B$9+'Inputs'!$B$10))^2+('Inputs'!$B$6/2)^2))))*'Results'!$B$8)-'Inputs'!$B$28*ABS((('Results'!C7*(1-'Inputs'!$B$24)*(0.5*((((474-43)*MAX('Inputs'!$B$33,'Inputs'!$B$29+'Inputs'!$B$31+'Inputs'!$B$32,'Inputs'!$B$30+'Inputs'!$B$31+'Inputs'!$B$32)/1000+'Inputs'!$B$21)+'Inputs'!$B$9)/SQRT((((474-43)*MAX('Inputs'!$B$33,'Inputs'!$B$29+'Inputs'!$B$31+'Inputs'!$B$32,'Inputs'!$B$30+'Inputs'!$B$31+'Inputs'!$B$32)/1000+'Inputs'!$B$21)+'Inputs'!$B$9)^2+('Inputs'!$B$8/2)^2)-(((474-43)*MAX('Inputs'!$B$33,'Inputs'!$B$29+'Inputs'!$B$31+'Inputs'!$B$32,'Inputs'!$B$30+'Inputs'!$B$31+'Inputs'!$B$32)/1000+'Inputs'!$B$21))/SQRT((((474-43)*MAX('Inputs'!$B$33,'Inputs'!$B$29+'Inputs'!$B$31+'Inputs'!$B$32,'Inputs'!$B$30+'Inputs'!$B$31+'Inputs'!$B$32)/1000+'Inputs'!$B$21))^2+('Inputs'!$B$8/2)^2)))-'Results'!B7*(1+'Inputs'!$B$24)*(0.5*((((474-43)*MAX('Inputs'!$B$33,'Inputs'!$B$29+'Inputs'!$B$31+'Inputs'!$B$32,'Inputs'!$B$30+'Inputs'!$B$31+'Inputs'!$B$32)/1000+'Inputs'!$B$21+'Inputs'!$B$9+'Inputs'!$B$10)+'Inputs'!$B$7)/SQRT((((474-43)*MAX('Inputs'!$B$33,'Inputs'!$B$29+'Inputs'!$B$31+'Inputs'!$B$32,'Inputs'!$B$30+'Inputs'!$B$31+'Inputs'!$B$32)/1000+'Inputs'!$B$21+'Inputs'!$B$9+'Inputs'!$B$10)+'Inputs'!$B$7)^2+('Inputs'!$B$6/2)^2)-(((474-43)*MAX('Inputs'!$B$33,'Inputs'!$B$29+'Inputs'!$B$31+'Inputs'!$B$32,'Inputs'!$B$30+'Inputs'!$B$31+'Inputs'!$B$32)/1000+'Inputs'!$B$21+'Inputs'!$B$9+'Inputs'!$B$10))/SQRT((((474-43)*MAX('Inputs'!$B$33,'Inputs'!$B$29+'Inputs'!$B$31+'Inputs'!$B$32,'Inputs'!$B$30+'Inputs'!$B$31+'Inputs'!$B$32)/1000+'Inputs'!$B$21+'Inputs'!$B$9+'Inputs'!$B$10))^2+('Inputs'!$B$6/2)^2))))*'Results'!$B$8))),"")</x:f>
        <x:v>5.7619545627245925</x:v>
      </x:c>
      <x:c r="O474" t="n">
        <x:f>IF(AND(ISNUMBER('Results'!C7),ISNUMBER('Results'!B7),ISNUMBER('Results'!$B$8),ISNUMBER('Inputs'!$B$6),ISNUMBER('Inputs'!$B$7),ISNUMBER('Inputs'!$B$8),ISNUMBER('Inputs'!$B$9),ISNUMBER('Inputs'!$B$10),ISNUMBER('Inputs'!$B$21),ISNUMBER('Inputs'!$B$24),ISNUMBER('Inputs'!$B$28)),((('Results'!C7*(1+'Inputs'!$B$24)*(0.5*((((474-43)*MAX('Inputs'!$B$33,'Inputs'!$B$29+'Inputs'!$B$31+'Inputs'!$B$32,'Inputs'!$B$30+'Inputs'!$B$31+'Inputs'!$B$32)/1000+'Inputs'!$B$21)+'Inputs'!$B$9)/SQRT((((474-43)*MAX('Inputs'!$B$33,'Inputs'!$B$29+'Inputs'!$B$31+'Inputs'!$B$32,'Inputs'!$B$30+'Inputs'!$B$31+'Inputs'!$B$32)/1000+'Inputs'!$B$21)+'Inputs'!$B$9)^2+('Inputs'!$B$8/2)^2)-(((474-43)*MAX('Inputs'!$B$33,'Inputs'!$B$29+'Inputs'!$B$31+'Inputs'!$B$32,'Inputs'!$B$30+'Inputs'!$B$31+'Inputs'!$B$32)/1000+'Inputs'!$B$21))/SQRT((((474-43)*MAX('Inputs'!$B$33,'Inputs'!$B$29+'Inputs'!$B$31+'Inputs'!$B$32,'Inputs'!$B$30+'Inputs'!$B$31+'Inputs'!$B$32)/1000+'Inputs'!$B$21))^2+('Inputs'!$B$8/2)^2)))-'Results'!B7*(1-'Inputs'!$B$24)*(0.5*((((474-43)*MAX('Inputs'!$B$33,'Inputs'!$B$29+'Inputs'!$B$31+'Inputs'!$B$32,'Inputs'!$B$30+'Inputs'!$B$31+'Inputs'!$B$32)/1000+'Inputs'!$B$21+'Inputs'!$B$9+'Inputs'!$B$10)+'Inputs'!$B$7)/SQRT((((474-43)*MAX('Inputs'!$B$33,'Inputs'!$B$29+'Inputs'!$B$31+'Inputs'!$B$32,'Inputs'!$B$30+'Inputs'!$B$31+'Inputs'!$B$32)/1000+'Inputs'!$B$21+'Inputs'!$B$9+'Inputs'!$B$10)+'Inputs'!$B$7)^2+('Inputs'!$B$6/2)^2)-(((474-43)*MAX('Inputs'!$B$33,'Inputs'!$B$29+'Inputs'!$B$31+'Inputs'!$B$32,'Inputs'!$B$30+'Inputs'!$B$31+'Inputs'!$B$32)/1000+'Inputs'!$B$21+'Inputs'!$B$9+'Inputs'!$B$10))/SQRT((((474-43)*MAX('Inputs'!$B$33,'Inputs'!$B$29+'Inputs'!$B$31+'Inputs'!$B$32,'Inputs'!$B$30+'Inputs'!$B$31+'Inputs'!$B$32)/1000+'Inputs'!$B$21+'Inputs'!$B$9+'Inputs'!$B$10))^2+('Inputs'!$B$6/2)^2))))*'Results'!$B$8)+'Inputs'!$B$28*ABS((('Results'!C7*(1+'Inputs'!$B$24)*(0.5*((((474-43)*MAX('Inputs'!$B$33,'Inputs'!$B$29+'Inputs'!$B$31+'Inputs'!$B$32,'Inputs'!$B$30+'Inputs'!$B$31+'Inputs'!$B$32)/1000+'Inputs'!$B$21)+'Inputs'!$B$9)/SQRT((((474-43)*MAX('Inputs'!$B$33,'Inputs'!$B$29+'Inputs'!$B$31+'Inputs'!$B$32,'Inputs'!$B$30+'Inputs'!$B$31+'Inputs'!$B$32)/1000+'Inputs'!$B$21)+'Inputs'!$B$9)^2+('Inputs'!$B$8/2)^2)-(((474-43)*MAX('Inputs'!$B$33,'Inputs'!$B$29+'Inputs'!$B$31+'Inputs'!$B$32,'Inputs'!$B$30+'Inputs'!$B$31+'Inputs'!$B$32)/1000+'Inputs'!$B$21))/SQRT((((474-43)*MAX('Inputs'!$B$33,'Inputs'!$B$29+'Inputs'!$B$31+'Inputs'!$B$32,'Inputs'!$B$30+'Inputs'!$B$31+'Inputs'!$B$32)/1000+'Inputs'!$B$21))^2+('Inputs'!$B$8/2)^2)))-'Results'!B7*(1-'Inputs'!$B$24)*(0.5*((((474-43)*MAX('Inputs'!$B$33,'Inputs'!$B$29+'Inputs'!$B$31+'Inputs'!$B$32,'Inputs'!$B$30+'Inputs'!$B$31+'Inputs'!$B$32)/1000+'Inputs'!$B$21+'Inputs'!$B$9+'Inputs'!$B$10)+'Inputs'!$B$7)/SQRT((((474-43)*MAX('Inputs'!$B$33,'Inputs'!$B$29+'Inputs'!$B$31+'Inputs'!$B$32,'Inputs'!$B$30+'Inputs'!$B$31+'Inputs'!$B$32)/1000+'Inputs'!$B$21+'Inputs'!$B$9+'Inputs'!$B$10)+'Inputs'!$B$7)^2+('Inputs'!$B$6/2)^2)-(((474-43)*MAX('Inputs'!$B$33,'Inputs'!$B$29+'Inputs'!$B$31+'Inputs'!$B$32,'Inputs'!$B$30+'Inputs'!$B$31+'Inputs'!$B$32)/1000+'Inputs'!$B$21+'Inputs'!$B$9+'Inputs'!$B$10))/SQRT((((474-43)*MAX('Inputs'!$B$33,'Inputs'!$B$29+'Inputs'!$B$31+'Inputs'!$B$32,'Inputs'!$B$30+'Inputs'!$B$31+'Inputs'!$B$32)/1000+'Inputs'!$B$21+'Inputs'!$B$9+'Inputs'!$B$10))^2+('Inputs'!$B$6/2)^2))))*'Results'!$B$8))),"")</x:f>
        <x:v>7.2422921991486335</x:v>
      </x:c>
      <x:c r="P474" t="n">
        <x:f>IF(AND(MAX(J474,J473)&gt;0,J474&gt;J473+0.00000001),1,0)</x:f>
        <x:v>0</x:v>
      </x:c>
      <x:c r="Q474" t="n">
        <x:f>IF(AND(MAX(K474,K473)&gt;0,K474&gt;K473+0.00000001),1,0)</x:f>
        <x:v>0</x:v>
      </x:c>
      <x:c r="R474" t="n">
        <x:f>IF(AND(MAX(L474,L473)&gt;0,L474&gt;L473+0.00000001),1,0)</x:f>
        <x:v>0</x:v>
      </x:c>
      <x:c r="S474" t="n">
        <x:f>IF(AND(MAX(M474,M473)&gt;0,M474&gt;M473+0.00000001),1,0)</x:f>
        <x:v>0</x:v>
      </x:c>
      <x:c r="T474" t="n">
        <x:f>IF(AND(MAX(N474,N473)&gt;0,N474&gt;N473+0.00000001),1,0)</x:f>
        <x:v>0</x:v>
      </x:c>
      <x:c r="U474" t="n">
        <x:f>IF(AND(MAX(O474,O473)&gt;0,O474&gt;O473+0.00000001),1,0)</x:f>
        <x:v>0</x:v>
      </x:c>
    </x:row>
    <x:row r="475">
      <x:c r="J475" t="n">
        <x:f>IF(AND(ISNUMBER('Results'!B7),ISNUMBER('Results'!C7),ISNUMBER('Results'!$B$8),ISNUMBER('Inputs'!$B$6),ISNUMBER('Inputs'!$B$7),ISNUMBER('Inputs'!$B$8),ISNUMBER('Inputs'!$B$9),ISNUMBER('Inputs'!$B$10),ISNUMBER('Inputs'!$B$21),ISNUMBER('Inputs'!$B$24),ISNUMBER('Inputs'!$B$28)),(('Results'!B7*(0.5*((((475-43)*MAX('Inputs'!$B$33,'Inputs'!$B$29+'Inputs'!$B$31+'Inputs'!$B$32,'Inputs'!$B$30+'Inputs'!$B$31+'Inputs'!$B$32)/1000+'Inputs'!$B$21)+'Inputs'!$B$7)/SQRT((((475-43)*MAX('Inputs'!$B$33,'Inputs'!$B$29+'Inputs'!$B$31+'Inputs'!$B$32,'Inputs'!$B$30+'Inputs'!$B$31+'Inputs'!$B$32)/1000+'Inputs'!$B$21)+'Inputs'!$B$7)^2+('Inputs'!$B$6/2)^2)-(((475-43)*MAX('Inputs'!$B$33,'Inputs'!$B$29+'Inputs'!$B$31+'Inputs'!$B$32,'Inputs'!$B$30+'Inputs'!$B$31+'Inputs'!$B$32)/1000+'Inputs'!$B$21))/SQRT((((475-43)*MAX('Inputs'!$B$33,'Inputs'!$B$29+'Inputs'!$B$31+'Inputs'!$B$32,'Inputs'!$B$30+'Inputs'!$B$31+'Inputs'!$B$32)/1000+'Inputs'!$B$21))^2+('Inputs'!$B$6/2)^2)))-'Results'!C7*(0.5*((((475-43)*MAX('Inputs'!$B$33,'Inputs'!$B$29+'Inputs'!$B$31+'Inputs'!$B$32,'Inputs'!$B$30+'Inputs'!$B$31+'Inputs'!$B$32)/1000+'Inputs'!$B$21+'Inputs'!$B$7+'Inputs'!$B$10)+'Inputs'!$B$9)/SQRT((((475-43)*MAX('Inputs'!$B$33,'Inputs'!$B$29+'Inputs'!$B$31+'Inputs'!$B$32,'Inputs'!$B$30+'Inputs'!$B$31+'Inputs'!$B$32)/1000+'Inputs'!$B$21+'Inputs'!$B$7+'Inputs'!$B$10)+'Inputs'!$B$9)^2+('Inputs'!$B$8/2)^2)-(((475-43)*MAX('Inputs'!$B$33,'Inputs'!$B$29+'Inputs'!$B$31+'Inputs'!$B$32,'Inputs'!$B$30+'Inputs'!$B$31+'Inputs'!$B$32)/1000+'Inputs'!$B$21+'Inputs'!$B$7+'Inputs'!$B$10))/SQRT((((475-43)*MAX('Inputs'!$B$33,'Inputs'!$B$29+'Inputs'!$B$31+'Inputs'!$B$32,'Inputs'!$B$30+'Inputs'!$B$31+'Inputs'!$B$32)/1000+'Inputs'!$B$21+'Inputs'!$B$7+'Inputs'!$B$10))^2+('Inputs'!$B$8/2)^2))))*'Results'!$B$8),"")</x:f>
        <x:v>6.849756172703217</x:v>
      </x:c>
      <x:c r="K475" t="n">
        <x:f>IF(AND(ISNUMBER('Results'!B7),ISNUMBER('Results'!C7),ISNUMBER('Results'!$B$8),ISNUMBER('Inputs'!$B$6),ISNUMBER('Inputs'!$B$7),ISNUMBER('Inputs'!$B$8),ISNUMBER('Inputs'!$B$9),ISNUMBER('Inputs'!$B$10),ISNUMBER('Inputs'!$B$21),ISNUMBER('Inputs'!$B$24),ISNUMBER('Inputs'!$B$28)),((('Results'!B7*(1-'Inputs'!$B$24)*(0.5*((((475-43)*MAX('Inputs'!$B$33,'Inputs'!$B$29+'Inputs'!$B$31+'Inputs'!$B$32,'Inputs'!$B$30+'Inputs'!$B$31+'Inputs'!$B$32)/1000+'Inputs'!$B$21)+'Inputs'!$B$7)/SQRT((((475-43)*MAX('Inputs'!$B$33,'Inputs'!$B$29+'Inputs'!$B$31+'Inputs'!$B$32,'Inputs'!$B$30+'Inputs'!$B$31+'Inputs'!$B$32)/1000+'Inputs'!$B$21)+'Inputs'!$B$7)^2+('Inputs'!$B$6/2)^2)-(((475-43)*MAX('Inputs'!$B$33,'Inputs'!$B$29+'Inputs'!$B$31+'Inputs'!$B$32,'Inputs'!$B$30+'Inputs'!$B$31+'Inputs'!$B$32)/1000+'Inputs'!$B$21))/SQRT((((475-43)*MAX('Inputs'!$B$33,'Inputs'!$B$29+'Inputs'!$B$31+'Inputs'!$B$32,'Inputs'!$B$30+'Inputs'!$B$31+'Inputs'!$B$32)/1000+'Inputs'!$B$21))^2+('Inputs'!$B$6/2)^2)))-'Results'!C7*(1+'Inputs'!$B$24)*(0.5*((((475-43)*MAX('Inputs'!$B$33,'Inputs'!$B$29+'Inputs'!$B$31+'Inputs'!$B$32,'Inputs'!$B$30+'Inputs'!$B$31+'Inputs'!$B$32)/1000+'Inputs'!$B$21+'Inputs'!$B$7+'Inputs'!$B$10)+'Inputs'!$B$9)/SQRT((((475-43)*MAX('Inputs'!$B$33,'Inputs'!$B$29+'Inputs'!$B$31+'Inputs'!$B$32,'Inputs'!$B$30+'Inputs'!$B$31+'Inputs'!$B$32)/1000+'Inputs'!$B$21+'Inputs'!$B$7+'Inputs'!$B$10)+'Inputs'!$B$9)^2+('Inputs'!$B$8/2)^2)-(((475-43)*MAX('Inputs'!$B$33,'Inputs'!$B$29+'Inputs'!$B$31+'Inputs'!$B$32,'Inputs'!$B$30+'Inputs'!$B$31+'Inputs'!$B$32)/1000+'Inputs'!$B$21+'Inputs'!$B$7+'Inputs'!$B$10))/SQRT((((475-43)*MAX('Inputs'!$B$33,'Inputs'!$B$29+'Inputs'!$B$31+'Inputs'!$B$32,'Inputs'!$B$30+'Inputs'!$B$31+'Inputs'!$B$32)/1000+'Inputs'!$B$21+'Inputs'!$B$7+'Inputs'!$B$10))^2+('Inputs'!$B$8/2)^2))))*'Results'!$B$8)-'Inputs'!$B$28*ABS((('Results'!B7*(1-'Inputs'!$B$24)*(0.5*((((475-43)*MAX('Inputs'!$B$33,'Inputs'!$B$29+'Inputs'!$B$31+'Inputs'!$B$32,'Inputs'!$B$30+'Inputs'!$B$31+'Inputs'!$B$32)/1000+'Inputs'!$B$21)+'Inputs'!$B$7)/SQRT((((475-43)*MAX('Inputs'!$B$33,'Inputs'!$B$29+'Inputs'!$B$31+'Inputs'!$B$32,'Inputs'!$B$30+'Inputs'!$B$31+'Inputs'!$B$32)/1000+'Inputs'!$B$21)+'Inputs'!$B$7)^2+('Inputs'!$B$6/2)^2)-(((475-43)*MAX('Inputs'!$B$33,'Inputs'!$B$29+'Inputs'!$B$31+'Inputs'!$B$32,'Inputs'!$B$30+'Inputs'!$B$31+'Inputs'!$B$32)/1000+'Inputs'!$B$21))/SQRT((((475-43)*MAX('Inputs'!$B$33,'Inputs'!$B$29+'Inputs'!$B$31+'Inputs'!$B$32,'Inputs'!$B$30+'Inputs'!$B$31+'Inputs'!$B$32)/1000+'Inputs'!$B$21))^2+('Inputs'!$B$6/2)^2)))-'Results'!C7*(1+'Inputs'!$B$24)*(0.5*((((475-43)*MAX('Inputs'!$B$33,'Inputs'!$B$29+'Inputs'!$B$31+'Inputs'!$B$32,'Inputs'!$B$30+'Inputs'!$B$31+'Inputs'!$B$32)/1000+'Inputs'!$B$21+'Inputs'!$B$7+'Inputs'!$B$10)+'Inputs'!$B$9)/SQRT((((475-43)*MAX('Inputs'!$B$33,'Inputs'!$B$29+'Inputs'!$B$31+'Inputs'!$B$32,'Inputs'!$B$30+'Inputs'!$B$31+'Inputs'!$B$32)/1000+'Inputs'!$B$21+'Inputs'!$B$7+'Inputs'!$B$10)+'Inputs'!$B$9)^2+('Inputs'!$B$8/2)^2)-(((475-43)*MAX('Inputs'!$B$33,'Inputs'!$B$29+'Inputs'!$B$31+'Inputs'!$B$32,'Inputs'!$B$30+'Inputs'!$B$31+'Inputs'!$B$32)/1000+'Inputs'!$B$21+'Inputs'!$B$7+'Inputs'!$B$10))/SQRT((((475-43)*MAX('Inputs'!$B$33,'Inputs'!$B$29+'Inputs'!$B$31+'Inputs'!$B$32,'Inputs'!$B$30+'Inputs'!$B$31+'Inputs'!$B$32)/1000+'Inputs'!$B$21+'Inputs'!$B$7+'Inputs'!$B$10))^2+('Inputs'!$B$8/2)^2))))*'Results'!$B$8))),"")</x:f>
        <x:v>6.111798167842985</x:v>
      </x:c>
      <x:c r="L475" t="n">
        <x:f>IF(AND(ISNUMBER('Results'!B7),ISNUMBER('Results'!C7),ISNUMBER('Results'!$B$8),ISNUMBER('Inputs'!$B$6),ISNUMBER('Inputs'!$B$7),ISNUMBER('Inputs'!$B$8),ISNUMBER('Inputs'!$B$9),ISNUMBER('Inputs'!$B$10),ISNUMBER('Inputs'!$B$21),ISNUMBER('Inputs'!$B$24),ISNUMBER('Inputs'!$B$28)),((('Results'!B7*(1+'Inputs'!$B$24)*(0.5*((((475-43)*MAX('Inputs'!$B$33,'Inputs'!$B$29+'Inputs'!$B$31+'Inputs'!$B$32,'Inputs'!$B$30+'Inputs'!$B$31+'Inputs'!$B$32)/1000+'Inputs'!$B$21)+'Inputs'!$B$7)/SQRT((((475-43)*MAX('Inputs'!$B$33,'Inputs'!$B$29+'Inputs'!$B$31+'Inputs'!$B$32,'Inputs'!$B$30+'Inputs'!$B$31+'Inputs'!$B$32)/1000+'Inputs'!$B$21)+'Inputs'!$B$7)^2+('Inputs'!$B$6/2)^2)-(((475-43)*MAX('Inputs'!$B$33,'Inputs'!$B$29+'Inputs'!$B$31+'Inputs'!$B$32,'Inputs'!$B$30+'Inputs'!$B$31+'Inputs'!$B$32)/1000+'Inputs'!$B$21))/SQRT((((475-43)*MAX('Inputs'!$B$33,'Inputs'!$B$29+'Inputs'!$B$31+'Inputs'!$B$32,'Inputs'!$B$30+'Inputs'!$B$31+'Inputs'!$B$32)/1000+'Inputs'!$B$21))^2+('Inputs'!$B$6/2)^2)))-'Results'!C7*(1-'Inputs'!$B$24)*(0.5*((((475-43)*MAX('Inputs'!$B$33,'Inputs'!$B$29+'Inputs'!$B$31+'Inputs'!$B$32,'Inputs'!$B$30+'Inputs'!$B$31+'Inputs'!$B$32)/1000+'Inputs'!$B$21+'Inputs'!$B$7+'Inputs'!$B$10)+'Inputs'!$B$9)/SQRT((((475-43)*MAX('Inputs'!$B$33,'Inputs'!$B$29+'Inputs'!$B$31+'Inputs'!$B$32,'Inputs'!$B$30+'Inputs'!$B$31+'Inputs'!$B$32)/1000+'Inputs'!$B$21+'Inputs'!$B$7+'Inputs'!$B$10)+'Inputs'!$B$9)^2+('Inputs'!$B$8/2)^2)-(((475-43)*MAX('Inputs'!$B$33,'Inputs'!$B$29+'Inputs'!$B$31+'Inputs'!$B$32,'Inputs'!$B$30+'Inputs'!$B$31+'Inputs'!$B$32)/1000+'Inputs'!$B$21+'Inputs'!$B$7+'Inputs'!$B$10))/SQRT((((475-43)*MAX('Inputs'!$B$33,'Inputs'!$B$29+'Inputs'!$B$31+'Inputs'!$B$32,'Inputs'!$B$30+'Inputs'!$B$31+'Inputs'!$B$32)/1000+'Inputs'!$B$21+'Inputs'!$B$7+'Inputs'!$B$10))^2+('Inputs'!$B$8/2)^2))))*'Results'!$B$8)+'Inputs'!$B$28*ABS((('Results'!B7*(1+'Inputs'!$B$24)*(0.5*((((475-43)*MAX('Inputs'!$B$33,'Inputs'!$B$29+'Inputs'!$B$31+'Inputs'!$B$32,'Inputs'!$B$30+'Inputs'!$B$31+'Inputs'!$B$32)/1000+'Inputs'!$B$21)+'Inputs'!$B$7)/SQRT((((475-43)*MAX('Inputs'!$B$33,'Inputs'!$B$29+'Inputs'!$B$31+'Inputs'!$B$32,'Inputs'!$B$30+'Inputs'!$B$31+'Inputs'!$B$32)/1000+'Inputs'!$B$21)+'Inputs'!$B$7)^2+('Inputs'!$B$6/2)^2)-(((475-43)*MAX('Inputs'!$B$33,'Inputs'!$B$29+'Inputs'!$B$31+'Inputs'!$B$32,'Inputs'!$B$30+'Inputs'!$B$31+'Inputs'!$B$32)/1000+'Inputs'!$B$21))/SQRT((((475-43)*MAX('Inputs'!$B$33,'Inputs'!$B$29+'Inputs'!$B$31+'Inputs'!$B$32,'Inputs'!$B$30+'Inputs'!$B$31+'Inputs'!$B$32)/1000+'Inputs'!$B$21))^2+('Inputs'!$B$6/2)^2)))-'Results'!C7*(1-'Inputs'!$B$24)*(0.5*((((475-43)*MAX('Inputs'!$B$33,'Inputs'!$B$29+'Inputs'!$B$31+'Inputs'!$B$32,'Inputs'!$B$30+'Inputs'!$B$31+'Inputs'!$B$32)/1000+'Inputs'!$B$21+'Inputs'!$B$7+'Inputs'!$B$10)+'Inputs'!$B$9)/SQRT((((475-43)*MAX('Inputs'!$B$33,'Inputs'!$B$29+'Inputs'!$B$31+'Inputs'!$B$32,'Inputs'!$B$30+'Inputs'!$B$31+'Inputs'!$B$32)/1000+'Inputs'!$B$21+'Inputs'!$B$7+'Inputs'!$B$10)+'Inputs'!$B$9)^2+('Inputs'!$B$8/2)^2)-(((475-43)*MAX('Inputs'!$B$33,'Inputs'!$B$29+'Inputs'!$B$31+'Inputs'!$B$32,'Inputs'!$B$30+'Inputs'!$B$31+'Inputs'!$B$32)/1000+'Inputs'!$B$21+'Inputs'!$B$7+'Inputs'!$B$10))/SQRT((((475-43)*MAX('Inputs'!$B$33,'Inputs'!$B$29+'Inputs'!$B$31+'Inputs'!$B$32,'Inputs'!$B$30+'Inputs'!$B$31+'Inputs'!$B$32)/1000+'Inputs'!$B$21+'Inputs'!$B$7+'Inputs'!$B$10))^2+('Inputs'!$B$8/2)^2))))*'Results'!$B$8))),"")</x:f>
        <x:v>7.629342619271347</x:v>
      </x:c>
      <x:c r="M475" t="n">
        <x:f>IF(AND(ISNUMBER('Results'!C7),ISNUMBER('Results'!B7),ISNUMBER('Results'!$B$8),ISNUMBER('Inputs'!$B$6),ISNUMBER('Inputs'!$B$7),ISNUMBER('Inputs'!$B$8),ISNUMBER('Inputs'!$B$9),ISNUMBER('Inputs'!$B$10),ISNUMBER('Inputs'!$B$21),ISNUMBER('Inputs'!$B$24),ISNUMBER('Inputs'!$B$28)),(('Results'!C7*(0.5*((((475-43)*MAX('Inputs'!$B$33,'Inputs'!$B$29+'Inputs'!$B$31+'Inputs'!$B$32,'Inputs'!$B$30+'Inputs'!$B$31+'Inputs'!$B$32)/1000+'Inputs'!$B$21)+'Inputs'!$B$9)/SQRT((((475-43)*MAX('Inputs'!$B$33,'Inputs'!$B$29+'Inputs'!$B$31+'Inputs'!$B$32,'Inputs'!$B$30+'Inputs'!$B$31+'Inputs'!$B$32)/1000+'Inputs'!$B$21)+'Inputs'!$B$9)^2+('Inputs'!$B$8/2)^2)-(((475-43)*MAX('Inputs'!$B$33,'Inputs'!$B$29+'Inputs'!$B$31+'Inputs'!$B$32,'Inputs'!$B$30+'Inputs'!$B$31+'Inputs'!$B$32)/1000+'Inputs'!$B$21))/SQRT((((475-43)*MAX('Inputs'!$B$33,'Inputs'!$B$29+'Inputs'!$B$31+'Inputs'!$B$32,'Inputs'!$B$30+'Inputs'!$B$31+'Inputs'!$B$32)/1000+'Inputs'!$B$21))^2+('Inputs'!$B$8/2)^2)))-'Results'!B7*(0.5*((((475-43)*MAX('Inputs'!$B$33,'Inputs'!$B$29+'Inputs'!$B$31+'Inputs'!$B$32,'Inputs'!$B$30+'Inputs'!$B$31+'Inputs'!$B$32)/1000+'Inputs'!$B$21+'Inputs'!$B$9+'Inputs'!$B$10)+'Inputs'!$B$7)/SQRT((((475-43)*MAX('Inputs'!$B$33,'Inputs'!$B$29+'Inputs'!$B$31+'Inputs'!$B$32,'Inputs'!$B$30+'Inputs'!$B$31+'Inputs'!$B$32)/1000+'Inputs'!$B$21+'Inputs'!$B$9+'Inputs'!$B$10)+'Inputs'!$B$7)^2+('Inputs'!$B$6/2)^2)-(((475-43)*MAX('Inputs'!$B$33,'Inputs'!$B$29+'Inputs'!$B$31+'Inputs'!$B$32,'Inputs'!$B$30+'Inputs'!$B$31+'Inputs'!$B$32)/1000+'Inputs'!$B$21+'Inputs'!$B$9+'Inputs'!$B$10))/SQRT((((475-43)*MAX('Inputs'!$B$33,'Inputs'!$B$29+'Inputs'!$B$31+'Inputs'!$B$32,'Inputs'!$B$30+'Inputs'!$B$31+'Inputs'!$B$32)/1000+'Inputs'!$B$21+'Inputs'!$B$9+'Inputs'!$B$10))^2+('Inputs'!$B$6/2)^2))))*'Results'!$B$8),"")</x:f>
        <x:v>6.430621864872921</x:v>
      </x:c>
      <x:c r="N475" t="n">
        <x:f>IF(AND(ISNUMBER('Results'!C7),ISNUMBER('Results'!B7),ISNUMBER('Results'!$B$8),ISNUMBER('Inputs'!$B$6),ISNUMBER('Inputs'!$B$7),ISNUMBER('Inputs'!$B$8),ISNUMBER('Inputs'!$B$9),ISNUMBER('Inputs'!$B$10),ISNUMBER('Inputs'!$B$21),ISNUMBER('Inputs'!$B$24),ISNUMBER('Inputs'!$B$28)),((('Results'!C7*(1-'Inputs'!$B$24)*(0.5*((((475-43)*MAX('Inputs'!$B$33,'Inputs'!$B$29+'Inputs'!$B$31+'Inputs'!$B$32,'Inputs'!$B$30+'Inputs'!$B$31+'Inputs'!$B$32)/1000+'Inputs'!$B$21)+'Inputs'!$B$9)/SQRT((((475-43)*MAX('Inputs'!$B$33,'Inputs'!$B$29+'Inputs'!$B$31+'Inputs'!$B$32,'Inputs'!$B$30+'Inputs'!$B$31+'Inputs'!$B$32)/1000+'Inputs'!$B$21)+'Inputs'!$B$9)^2+('Inputs'!$B$8/2)^2)-(((475-43)*MAX('Inputs'!$B$33,'Inputs'!$B$29+'Inputs'!$B$31+'Inputs'!$B$32,'Inputs'!$B$30+'Inputs'!$B$31+'Inputs'!$B$32)/1000+'Inputs'!$B$21))/SQRT((((475-43)*MAX('Inputs'!$B$33,'Inputs'!$B$29+'Inputs'!$B$31+'Inputs'!$B$32,'Inputs'!$B$30+'Inputs'!$B$31+'Inputs'!$B$32)/1000+'Inputs'!$B$21))^2+('Inputs'!$B$8/2)^2)))-'Results'!B7*(1+'Inputs'!$B$24)*(0.5*((((475-43)*MAX('Inputs'!$B$33,'Inputs'!$B$29+'Inputs'!$B$31+'Inputs'!$B$32,'Inputs'!$B$30+'Inputs'!$B$31+'Inputs'!$B$32)/1000+'Inputs'!$B$21+'Inputs'!$B$9+'Inputs'!$B$10)+'Inputs'!$B$7)/SQRT((((475-43)*MAX('Inputs'!$B$33,'Inputs'!$B$29+'Inputs'!$B$31+'Inputs'!$B$32,'Inputs'!$B$30+'Inputs'!$B$31+'Inputs'!$B$32)/1000+'Inputs'!$B$21+'Inputs'!$B$9+'Inputs'!$B$10)+'Inputs'!$B$7)^2+('Inputs'!$B$6/2)^2)-(((475-43)*MAX('Inputs'!$B$33,'Inputs'!$B$29+'Inputs'!$B$31+'Inputs'!$B$32,'Inputs'!$B$30+'Inputs'!$B$31+'Inputs'!$B$32)/1000+'Inputs'!$B$21+'Inputs'!$B$9+'Inputs'!$B$10))/SQRT((((475-43)*MAX('Inputs'!$B$33,'Inputs'!$B$29+'Inputs'!$B$31+'Inputs'!$B$32,'Inputs'!$B$30+'Inputs'!$B$31+'Inputs'!$B$32)/1000+'Inputs'!$B$21+'Inputs'!$B$9+'Inputs'!$B$10))^2+('Inputs'!$B$6/2)^2))))*'Results'!$B$8)-'Inputs'!$B$28*ABS((('Results'!C7*(1-'Inputs'!$B$24)*(0.5*((((475-43)*MAX('Inputs'!$B$33,'Inputs'!$B$29+'Inputs'!$B$31+'Inputs'!$B$32,'Inputs'!$B$30+'Inputs'!$B$31+'Inputs'!$B$32)/1000+'Inputs'!$B$21)+'Inputs'!$B$9)/SQRT((((475-43)*MAX('Inputs'!$B$33,'Inputs'!$B$29+'Inputs'!$B$31+'Inputs'!$B$32,'Inputs'!$B$30+'Inputs'!$B$31+'Inputs'!$B$32)/1000+'Inputs'!$B$21)+'Inputs'!$B$9)^2+('Inputs'!$B$8/2)^2)-(((475-43)*MAX('Inputs'!$B$33,'Inputs'!$B$29+'Inputs'!$B$31+'Inputs'!$B$32,'Inputs'!$B$30+'Inputs'!$B$31+'Inputs'!$B$32)/1000+'Inputs'!$B$21))/SQRT((((475-43)*MAX('Inputs'!$B$33,'Inputs'!$B$29+'Inputs'!$B$31+'Inputs'!$B$32,'Inputs'!$B$30+'Inputs'!$B$31+'Inputs'!$B$32)/1000+'Inputs'!$B$21))^2+('Inputs'!$B$8/2)^2)))-'Results'!B7*(1+'Inputs'!$B$24)*(0.5*((((475-43)*MAX('Inputs'!$B$33,'Inputs'!$B$29+'Inputs'!$B$31+'Inputs'!$B$32,'Inputs'!$B$30+'Inputs'!$B$31+'Inputs'!$B$32)/1000+'Inputs'!$B$21+'Inputs'!$B$9+'Inputs'!$B$10)+'Inputs'!$B$7)/SQRT((((475-43)*MAX('Inputs'!$B$33,'Inputs'!$B$29+'Inputs'!$B$31+'Inputs'!$B$32,'Inputs'!$B$30+'Inputs'!$B$31+'Inputs'!$B$32)/1000+'Inputs'!$B$21+'Inputs'!$B$9+'Inputs'!$B$10)+'Inputs'!$B$7)^2+('Inputs'!$B$6/2)^2)-(((475-43)*MAX('Inputs'!$B$33,'Inputs'!$B$29+'Inputs'!$B$31+'Inputs'!$B$32,'Inputs'!$B$30+'Inputs'!$B$31+'Inputs'!$B$32)/1000+'Inputs'!$B$21+'Inputs'!$B$9+'Inputs'!$B$10))/SQRT((((475-43)*MAX('Inputs'!$B$33,'Inputs'!$B$29+'Inputs'!$B$31+'Inputs'!$B$32,'Inputs'!$B$30+'Inputs'!$B$31+'Inputs'!$B$32)/1000+'Inputs'!$B$21+'Inputs'!$B$9+'Inputs'!$B$10))^2+('Inputs'!$B$6/2)^2))))*'Results'!$B$8))),"")</x:f>
        <x:v>5.716169334825558</x:v>
      </x:c>
      <x:c r="O475" t="n">
        <x:f>IF(AND(ISNUMBER('Results'!C7),ISNUMBER('Results'!B7),ISNUMBER('Results'!$B$8),ISNUMBER('Inputs'!$B$6),ISNUMBER('Inputs'!$B$7),ISNUMBER('Inputs'!$B$8),ISNUMBER('Inputs'!$B$9),ISNUMBER('Inputs'!$B$10),ISNUMBER('Inputs'!$B$21),ISNUMBER('Inputs'!$B$24),ISNUMBER('Inputs'!$B$28)),((('Results'!C7*(1+'Inputs'!$B$24)*(0.5*((((475-43)*MAX('Inputs'!$B$33,'Inputs'!$B$29+'Inputs'!$B$31+'Inputs'!$B$32,'Inputs'!$B$30+'Inputs'!$B$31+'Inputs'!$B$32)/1000+'Inputs'!$B$21)+'Inputs'!$B$9)/SQRT((((475-43)*MAX('Inputs'!$B$33,'Inputs'!$B$29+'Inputs'!$B$31+'Inputs'!$B$32,'Inputs'!$B$30+'Inputs'!$B$31+'Inputs'!$B$32)/1000+'Inputs'!$B$21)+'Inputs'!$B$9)^2+('Inputs'!$B$8/2)^2)-(((475-43)*MAX('Inputs'!$B$33,'Inputs'!$B$29+'Inputs'!$B$31+'Inputs'!$B$32,'Inputs'!$B$30+'Inputs'!$B$31+'Inputs'!$B$32)/1000+'Inputs'!$B$21))/SQRT((((475-43)*MAX('Inputs'!$B$33,'Inputs'!$B$29+'Inputs'!$B$31+'Inputs'!$B$32,'Inputs'!$B$30+'Inputs'!$B$31+'Inputs'!$B$32)/1000+'Inputs'!$B$21))^2+('Inputs'!$B$8/2)^2)))-'Results'!B7*(1-'Inputs'!$B$24)*(0.5*((((475-43)*MAX('Inputs'!$B$33,'Inputs'!$B$29+'Inputs'!$B$31+'Inputs'!$B$32,'Inputs'!$B$30+'Inputs'!$B$31+'Inputs'!$B$32)/1000+'Inputs'!$B$21+'Inputs'!$B$9+'Inputs'!$B$10)+'Inputs'!$B$7)/SQRT((((475-43)*MAX('Inputs'!$B$33,'Inputs'!$B$29+'Inputs'!$B$31+'Inputs'!$B$32,'Inputs'!$B$30+'Inputs'!$B$31+'Inputs'!$B$32)/1000+'Inputs'!$B$21+'Inputs'!$B$9+'Inputs'!$B$10)+'Inputs'!$B$7)^2+('Inputs'!$B$6/2)^2)-(((475-43)*MAX('Inputs'!$B$33,'Inputs'!$B$29+'Inputs'!$B$31+'Inputs'!$B$32,'Inputs'!$B$30+'Inputs'!$B$31+'Inputs'!$B$32)/1000+'Inputs'!$B$21+'Inputs'!$B$9+'Inputs'!$B$10))/SQRT((((475-43)*MAX('Inputs'!$B$33,'Inputs'!$B$29+'Inputs'!$B$31+'Inputs'!$B$32,'Inputs'!$B$30+'Inputs'!$B$31+'Inputs'!$B$32)/1000+'Inputs'!$B$21+'Inputs'!$B$9+'Inputs'!$B$10))^2+('Inputs'!$B$6/2)^2))))*'Results'!$B$8)+'Inputs'!$B$28*ABS((('Results'!C7*(1+'Inputs'!$B$24)*(0.5*((((475-43)*MAX('Inputs'!$B$33,'Inputs'!$B$29+'Inputs'!$B$31+'Inputs'!$B$32,'Inputs'!$B$30+'Inputs'!$B$31+'Inputs'!$B$32)/1000+'Inputs'!$B$21)+'Inputs'!$B$9)/SQRT((((475-43)*MAX('Inputs'!$B$33,'Inputs'!$B$29+'Inputs'!$B$31+'Inputs'!$B$32,'Inputs'!$B$30+'Inputs'!$B$31+'Inputs'!$B$32)/1000+'Inputs'!$B$21)+'Inputs'!$B$9)^2+('Inputs'!$B$8/2)^2)-(((475-43)*MAX('Inputs'!$B$33,'Inputs'!$B$29+'Inputs'!$B$31+'Inputs'!$B$32,'Inputs'!$B$30+'Inputs'!$B$31+'Inputs'!$B$32)/1000+'Inputs'!$B$21))/SQRT((((475-43)*MAX('Inputs'!$B$33,'Inputs'!$B$29+'Inputs'!$B$31+'Inputs'!$B$32,'Inputs'!$B$30+'Inputs'!$B$31+'Inputs'!$B$32)/1000+'Inputs'!$B$21))^2+('Inputs'!$B$8/2)^2)))-'Results'!B7*(1-'Inputs'!$B$24)*(0.5*((((475-43)*MAX('Inputs'!$B$33,'Inputs'!$B$29+'Inputs'!$B$31+'Inputs'!$B$32,'Inputs'!$B$30+'Inputs'!$B$31+'Inputs'!$B$32)/1000+'Inputs'!$B$21+'Inputs'!$B$9+'Inputs'!$B$10)+'Inputs'!$B$7)/SQRT((((475-43)*MAX('Inputs'!$B$33,'Inputs'!$B$29+'Inputs'!$B$31+'Inputs'!$B$32,'Inputs'!$B$30+'Inputs'!$B$31+'Inputs'!$B$32)/1000+'Inputs'!$B$21+'Inputs'!$B$9+'Inputs'!$B$10)+'Inputs'!$B$7)^2+('Inputs'!$B$6/2)^2)-(((475-43)*MAX('Inputs'!$B$33,'Inputs'!$B$29+'Inputs'!$B$31+'Inputs'!$B$32,'Inputs'!$B$30+'Inputs'!$B$31+'Inputs'!$B$32)/1000+'Inputs'!$B$21+'Inputs'!$B$9+'Inputs'!$B$10))/SQRT((((475-43)*MAX('Inputs'!$B$33,'Inputs'!$B$29+'Inputs'!$B$31+'Inputs'!$B$32,'Inputs'!$B$30+'Inputs'!$B$31+'Inputs'!$B$32)/1000+'Inputs'!$B$21+'Inputs'!$B$9+'Inputs'!$B$10))^2+('Inputs'!$B$6/2)^2))))*'Results'!$B$8))),"")</x:f>
        <x:v>7.18643454616278</x:v>
      </x:c>
      <x:c r="P475" t="n">
        <x:f>IF(AND(MAX(J475,J474)&gt;0,J475&gt;J474+0.00000001),1,0)</x:f>
        <x:v>0</x:v>
      </x:c>
      <x:c r="Q475" t="n">
        <x:f>IF(AND(MAX(K475,K474)&gt;0,K475&gt;K474+0.00000001),1,0)</x:f>
        <x:v>0</x:v>
      </x:c>
      <x:c r="R475" t="n">
        <x:f>IF(AND(MAX(L475,L474)&gt;0,L475&gt;L474+0.00000001),1,0)</x:f>
        <x:v>0</x:v>
      </x:c>
      <x:c r="S475" t="n">
        <x:f>IF(AND(MAX(M475,M474)&gt;0,M475&gt;M474+0.00000001),1,0)</x:f>
        <x:v>0</x:v>
      </x:c>
      <x:c r="T475" t="n">
        <x:f>IF(AND(MAX(N475,N474)&gt;0,N475&gt;N474+0.00000001),1,0)</x:f>
        <x:v>0</x:v>
      </x:c>
      <x:c r="U475" t="n">
        <x:f>IF(AND(MAX(O475,O474)&gt;0,O475&gt;O474+0.00000001),1,0)</x:f>
        <x:v>0</x:v>
      </x:c>
    </x:row>
    <x:row r="476">
      <x:c r="J476" t="n">
        <x:f>IF(AND(ISNUMBER('Results'!B7),ISNUMBER('Results'!C7),ISNUMBER('Results'!$B$8),ISNUMBER('Inputs'!$B$6),ISNUMBER('Inputs'!$B$7),ISNUMBER('Inputs'!$B$8),ISNUMBER('Inputs'!$B$9),ISNUMBER('Inputs'!$B$10),ISNUMBER('Inputs'!$B$21),ISNUMBER('Inputs'!$B$24),ISNUMBER('Inputs'!$B$28)),(('Results'!B7*(0.5*((((476-43)*MAX('Inputs'!$B$33,'Inputs'!$B$29+'Inputs'!$B$31+'Inputs'!$B$32,'Inputs'!$B$30+'Inputs'!$B$31+'Inputs'!$B$32)/1000+'Inputs'!$B$21)+'Inputs'!$B$7)/SQRT((((476-43)*MAX('Inputs'!$B$33,'Inputs'!$B$29+'Inputs'!$B$31+'Inputs'!$B$32,'Inputs'!$B$30+'Inputs'!$B$31+'Inputs'!$B$32)/1000+'Inputs'!$B$21)+'Inputs'!$B$7)^2+('Inputs'!$B$6/2)^2)-(((476-43)*MAX('Inputs'!$B$33,'Inputs'!$B$29+'Inputs'!$B$31+'Inputs'!$B$32,'Inputs'!$B$30+'Inputs'!$B$31+'Inputs'!$B$32)/1000+'Inputs'!$B$21))/SQRT((((476-43)*MAX('Inputs'!$B$33,'Inputs'!$B$29+'Inputs'!$B$31+'Inputs'!$B$32,'Inputs'!$B$30+'Inputs'!$B$31+'Inputs'!$B$32)/1000+'Inputs'!$B$21))^2+('Inputs'!$B$6/2)^2)))-'Results'!C7*(0.5*((((476-43)*MAX('Inputs'!$B$33,'Inputs'!$B$29+'Inputs'!$B$31+'Inputs'!$B$32,'Inputs'!$B$30+'Inputs'!$B$31+'Inputs'!$B$32)/1000+'Inputs'!$B$21+'Inputs'!$B$7+'Inputs'!$B$10)+'Inputs'!$B$9)/SQRT((((476-43)*MAX('Inputs'!$B$33,'Inputs'!$B$29+'Inputs'!$B$31+'Inputs'!$B$32,'Inputs'!$B$30+'Inputs'!$B$31+'Inputs'!$B$32)/1000+'Inputs'!$B$21+'Inputs'!$B$7+'Inputs'!$B$10)+'Inputs'!$B$9)^2+('Inputs'!$B$8/2)^2)-(((476-43)*MAX('Inputs'!$B$33,'Inputs'!$B$29+'Inputs'!$B$31+'Inputs'!$B$32,'Inputs'!$B$30+'Inputs'!$B$31+'Inputs'!$B$32)/1000+'Inputs'!$B$21+'Inputs'!$B$7+'Inputs'!$B$10))/SQRT((((476-43)*MAX('Inputs'!$B$33,'Inputs'!$B$29+'Inputs'!$B$31+'Inputs'!$B$32,'Inputs'!$B$30+'Inputs'!$B$31+'Inputs'!$B$32)/1000+'Inputs'!$B$21+'Inputs'!$B$7+'Inputs'!$B$10))^2+('Inputs'!$B$8/2)^2))))*'Results'!$B$8),"")</x:f>
        <x:v>6.797034872237311</x:v>
      </x:c>
      <x:c r="K476" t="n">
        <x:f>IF(AND(ISNUMBER('Results'!B7),ISNUMBER('Results'!C7),ISNUMBER('Results'!$B$8),ISNUMBER('Inputs'!$B$6),ISNUMBER('Inputs'!$B$7),ISNUMBER('Inputs'!$B$8),ISNUMBER('Inputs'!$B$9),ISNUMBER('Inputs'!$B$10),ISNUMBER('Inputs'!$B$21),ISNUMBER('Inputs'!$B$24),ISNUMBER('Inputs'!$B$28)),((('Results'!B7*(1-'Inputs'!$B$24)*(0.5*((((476-43)*MAX('Inputs'!$B$33,'Inputs'!$B$29+'Inputs'!$B$31+'Inputs'!$B$32,'Inputs'!$B$30+'Inputs'!$B$31+'Inputs'!$B$32)/1000+'Inputs'!$B$21)+'Inputs'!$B$7)/SQRT((((476-43)*MAX('Inputs'!$B$33,'Inputs'!$B$29+'Inputs'!$B$31+'Inputs'!$B$32,'Inputs'!$B$30+'Inputs'!$B$31+'Inputs'!$B$32)/1000+'Inputs'!$B$21)+'Inputs'!$B$7)^2+('Inputs'!$B$6/2)^2)-(((476-43)*MAX('Inputs'!$B$33,'Inputs'!$B$29+'Inputs'!$B$31+'Inputs'!$B$32,'Inputs'!$B$30+'Inputs'!$B$31+'Inputs'!$B$32)/1000+'Inputs'!$B$21))/SQRT((((476-43)*MAX('Inputs'!$B$33,'Inputs'!$B$29+'Inputs'!$B$31+'Inputs'!$B$32,'Inputs'!$B$30+'Inputs'!$B$31+'Inputs'!$B$32)/1000+'Inputs'!$B$21))^2+('Inputs'!$B$6/2)^2)))-'Results'!C7*(1+'Inputs'!$B$24)*(0.5*((((476-43)*MAX('Inputs'!$B$33,'Inputs'!$B$29+'Inputs'!$B$31+'Inputs'!$B$32,'Inputs'!$B$30+'Inputs'!$B$31+'Inputs'!$B$32)/1000+'Inputs'!$B$21+'Inputs'!$B$7+'Inputs'!$B$10)+'Inputs'!$B$9)/SQRT((((476-43)*MAX('Inputs'!$B$33,'Inputs'!$B$29+'Inputs'!$B$31+'Inputs'!$B$32,'Inputs'!$B$30+'Inputs'!$B$31+'Inputs'!$B$32)/1000+'Inputs'!$B$21+'Inputs'!$B$7+'Inputs'!$B$10)+'Inputs'!$B$9)^2+('Inputs'!$B$8/2)^2)-(((476-43)*MAX('Inputs'!$B$33,'Inputs'!$B$29+'Inputs'!$B$31+'Inputs'!$B$32,'Inputs'!$B$30+'Inputs'!$B$31+'Inputs'!$B$32)/1000+'Inputs'!$B$21+'Inputs'!$B$7+'Inputs'!$B$10))/SQRT((((476-43)*MAX('Inputs'!$B$33,'Inputs'!$B$29+'Inputs'!$B$31+'Inputs'!$B$32,'Inputs'!$B$30+'Inputs'!$B$31+'Inputs'!$B$32)/1000+'Inputs'!$B$21+'Inputs'!$B$7+'Inputs'!$B$10))^2+('Inputs'!$B$8/2)^2))))*'Results'!$B$8)-'Inputs'!$B$28*ABS((('Results'!B7*(1-'Inputs'!$B$24)*(0.5*((((476-43)*MAX('Inputs'!$B$33,'Inputs'!$B$29+'Inputs'!$B$31+'Inputs'!$B$32,'Inputs'!$B$30+'Inputs'!$B$31+'Inputs'!$B$32)/1000+'Inputs'!$B$21)+'Inputs'!$B$7)/SQRT((((476-43)*MAX('Inputs'!$B$33,'Inputs'!$B$29+'Inputs'!$B$31+'Inputs'!$B$32,'Inputs'!$B$30+'Inputs'!$B$31+'Inputs'!$B$32)/1000+'Inputs'!$B$21)+'Inputs'!$B$7)^2+('Inputs'!$B$6/2)^2)-(((476-43)*MAX('Inputs'!$B$33,'Inputs'!$B$29+'Inputs'!$B$31+'Inputs'!$B$32,'Inputs'!$B$30+'Inputs'!$B$31+'Inputs'!$B$32)/1000+'Inputs'!$B$21))/SQRT((((476-43)*MAX('Inputs'!$B$33,'Inputs'!$B$29+'Inputs'!$B$31+'Inputs'!$B$32,'Inputs'!$B$30+'Inputs'!$B$31+'Inputs'!$B$32)/1000+'Inputs'!$B$21))^2+('Inputs'!$B$6/2)^2)))-'Results'!C7*(1+'Inputs'!$B$24)*(0.5*((((476-43)*MAX('Inputs'!$B$33,'Inputs'!$B$29+'Inputs'!$B$31+'Inputs'!$B$32,'Inputs'!$B$30+'Inputs'!$B$31+'Inputs'!$B$32)/1000+'Inputs'!$B$21+'Inputs'!$B$7+'Inputs'!$B$10)+'Inputs'!$B$9)/SQRT((((476-43)*MAX('Inputs'!$B$33,'Inputs'!$B$29+'Inputs'!$B$31+'Inputs'!$B$32,'Inputs'!$B$30+'Inputs'!$B$31+'Inputs'!$B$32)/1000+'Inputs'!$B$21+'Inputs'!$B$7+'Inputs'!$B$10)+'Inputs'!$B$9)^2+('Inputs'!$B$8/2)^2)-(((476-43)*MAX('Inputs'!$B$33,'Inputs'!$B$29+'Inputs'!$B$31+'Inputs'!$B$32,'Inputs'!$B$30+'Inputs'!$B$31+'Inputs'!$B$32)/1000+'Inputs'!$B$21+'Inputs'!$B$7+'Inputs'!$B$10))/SQRT((((476-43)*MAX('Inputs'!$B$33,'Inputs'!$B$29+'Inputs'!$B$31+'Inputs'!$B$32,'Inputs'!$B$30+'Inputs'!$B$31+'Inputs'!$B$32)/1000+'Inputs'!$B$21+'Inputs'!$B$7+'Inputs'!$B$10))^2+('Inputs'!$B$8/2)^2))))*'Results'!$B$8))),"")</x:f>
        <x:v>6.0640899411482</x:v>
      </x:c>
      <x:c r="L476" t="n">
        <x:f>IF(AND(ISNUMBER('Results'!B7),ISNUMBER('Results'!C7),ISNUMBER('Results'!$B$8),ISNUMBER('Inputs'!$B$6),ISNUMBER('Inputs'!$B$7),ISNUMBER('Inputs'!$B$8),ISNUMBER('Inputs'!$B$9),ISNUMBER('Inputs'!$B$10),ISNUMBER('Inputs'!$B$21),ISNUMBER('Inputs'!$B$24),ISNUMBER('Inputs'!$B$28)),((('Results'!B7*(1+'Inputs'!$B$24)*(0.5*((((476-43)*MAX('Inputs'!$B$33,'Inputs'!$B$29+'Inputs'!$B$31+'Inputs'!$B$32,'Inputs'!$B$30+'Inputs'!$B$31+'Inputs'!$B$32)/1000+'Inputs'!$B$21)+'Inputs'!$B$7)/SQRT((((476-43)*MAX('Inputs'!$B$33,'Inputs'!$B$29+'Inputs'!$B$31+'Inputs'!$B$32,'Inputs'!$B$30+'Inputs'!$B$31+'Inputs'!$B$32)/1000+'Inputs'!$B$21)+'Inputs'!$B$7)^2+('Inputs'!$B$6/2)^2)-(((476-43)*MAX('Inputs'!$B$33,'Inputs'!$B$29+'Inputs'!$B$31+'Inputs'!$B$32,'Inputs'!$B$30+'Inputs'!$B$31+'Inputs'!$B$32)/1000+'Inputs'!$B$21))/SQRT((((476-43)*MAX('Inputs'!$B$33,'Inputs'!$B$29+'Inputs'!$B$31+'Inputs'!$B$32,'Inputs'!$B$30+'Inputs'!$B$31+'Inputs'!$B$32)/1000+'Inputs'!$B$21))^2+('Inputs'!$B$6/2)^2)))-'Results'!C7*(1-'Inputs'!$B$24)*(0.5*((((476-43)*MAX('Inputs'!$B$33,'Inputs'!$B$29+'Inputs'!$B$31+'Inputs'!$B$32,'Inputs'!$B$30+'Inputs'!$B$31+'Inputs'!$B$32)/1000+'Inputs'!$B$21+'Inputs'!$B$7+'Inputs'!$B$10)+'Inputs'!$B$9)/SQRT((((476-43)*MAX('Inputs'!$B$33,'Inputs'!$B$29+'Inputs'!$B$31+'Inputs'!$B$32,'Inputs'!$B$30+'Inputs'!$B$31+'Inputs'!$B$32)/1000+'Inputs'!$B$21+'Inputs'!$B$7+'Inputs'!$B$10)+'Inputs'!$B$9)^2+('Inputs'!$B$8/2)^2)-(((476-43)*MAX('Inputs'!$B$33,'Inputs'!$B$29+'Inputs'!$B$31+'Inputs'!$B$32,'Inputs'!$B$30+'Inputs'!$B$31+'Inputs'!$B$32)/1000+'Inputs'!$B$21+'Inputs'!$B$7+'Inputs'!$B$10))/SQRT((((476-43)*MAX('Inputs'!$B$33,'Inputs'!$B$29+'Inputs'!$B$31+'Inputs'!$B$32,'Inputs'!$B$30+'Inputs'!$B$31+'Inputs'!$B$32)/1000+'Inputs'!$B$21+'Inputs'!$B$7+'Inputs'!$B$10))^2+('Inputs'!$B$8/2)^2))))*'Results'!$B$8)+'Inputs'!$B$28*ABS((('Results'!B7*(1+'Inputs'!$B$24)*(0.5*((((476-43)*MAX('Inputs'!$B$33,'Inputs'!$B$29+'Inputs'!$B$31+'Inputs'!$B$32,'Inputs'!$B$30+'Inputs'!$B$31+'Inputs'!$B$32)/1000+'Inputs'!$B$21)+'Inputs'!$B$7)/SQRT((((476-43)*MAX('Inputs'!$B$33,'Inputs'!$B$29+'Inputs'!$B$31+'Inputs'!$B$32,'Inputs'!$B$30+'Inputs'!$B$31+'Inputs'!$B$32)/1000+'Inputs'!$B$21)+'Inputs'!$B$7)^2+('Inputs'!$B$6/2)^2)-(((476-43)*MAX('Inputs'!$B$33,'Inputs'!$B$29+'Inputs'!$B$31+'Inputs'!$B$32,'Inputs'!$B$30+'Inputs'!$B$31+'Inputs'!$B$32)/1000+'Inputs'!$B$21))/SQRT((((476-43)*MAX('Inputs'!$B$33,'Inputs'!$B$29+'Inputs'!$B$31+'Inputs'!$B$32,'Inputs'!$B$30+'Inputs'!$B$31+'Inputs'!$B$32)/1000+'Inputs'!$B$21))^2+('Inputs'!$B$6/2)^2)))-'Results'!C7*(1-'Inputs'!$B$24)*(0.5*((((476-43)*MAX('Inputs'!$B$33,'Inputs'!$B$29+'Inputs'!$B$31+'Inputs'!$B$32,'Inputs'!$B$30+'Inputs'!$B$31+'Inputs'!$B$32)/1000+'Inputs'!$B$21+'Inputs'!$B$7+'Inputs'!$B$10)+'Inputs'!$B$9)/SQRT((((476-43)*MAX('Inputs'!$B$33,'Inputs'!$B$29+'Inputs'!$B$31+'Inputs'!$B$32,'Inputs'!$B$30+'Inputs'!$B$31+'Inputs'!$B$32)/1000+'Inputs'!$B$21+'Inputs'!$B$7+'Inputs'!$B$10)+'Inputs'!$B$9)^2+('Inputs'!$B$8/2)^2)-(((476-43)*MAX('Inputs'!$B$33,'Inputs'!$B$29+'Inputs'!$B$31+'Inputs'!$B$32,'Inputs'!$B$30+'Inputs'!$B$31+'Inputs'!$B$32)/1000+'Inputs'!$B$21+'Inputs'!$B$7+'Inputs'!$B$10))/SQRT((((476-43)*MAX('Inputs'!$B$33,'Inputs'!$B$29+'Inputs'!$B$31+'Inputs'!$B$32,'Inputs'!$B$30+'Inputs'!$B$31+'Inputs'!$B$32)/1000+'Inputs'!$B$21+'Inputs'!$B$7+'Inputs'!$B$10))^2+('Inputs'!$B$8/2)^2))))*'Results'!$B$8))),"")</x:f>
        <x:v>7.57135803358718</x:v>
      </x:c>
      <x:c r="M476" t="n">
        <x:f>IF(AND(ISNUMBER('Results'!C7),ISNUMBER('Results'!B7),ISNUMBER('Results'!$B$8),ISNUMBER('Inputs'!$B$6),ISNUMBER('Inputs'!$B$7),ISNUMBER('Inputs'!$B$8),ISNUMBER('Inputs'!$B$9),ISNUMBER('Inputs'!$B$10),ISNUMBER('Inputs'!$B$21),ISNUMBER('Inputs'!$B$24),ISNUMBER('Inputs'!$B$28)),(('Results'!C7*(0.5*((((476-43)*MAX('Inputs'!$B$33,'Inputs'!$B$29+'Inputs'!$B$31+'Inputs'!$B$32,'Inputs'!$B$30+'Inputs'!$B$31+'Inputs'!$B$32)/1000+'Inputs'!$B$21)+'Inputs'!$B$9)/SQRT((((476-43)*MAX('Inputs'!$B$33,'Inputs'!$B$29+'Inputs'!$B$31+'Inputs'!$B$32,'Inputs'!$B$30+'Inputs'!$B$31+'Inputs'!$B$32)/1000+'Inputs'!$B$21)+'Inputs'!$B$9)^2+('Inputs'!$B$8/2)^2)-(((476-43)*MAX('Inputs'!$B$33,'Inputs'!$B$29+'Inputs'!$B$31+'Inputs'!$B$32,'Inputs'!$B$30+'Inputs'!$B$31+'Inputs'!$B$32)/1000+'Inputs'!$B$21))/SQRT((((476-43)*MAX('Inputs'!$B$33,'Inputs'!$B$29+'Inputs'!$B$31+'Inputs'!$B$32,'Inputs'!$B$30+'Inputs'!$B$31+'Inputs'!$B$32)/1000+'Inputs'!$B$21))^2+('Inputs'!$B$8/2)^2)))-'Results'!B7*(0.5*((((476-43)*MAX('Inputs'!$B$33,'Inputs'!$B$29+'Inputs'!$B$31+'Inputs'!$B$32,'Inputs'!$B$30+'Inputs'!$B$31+'Inputs'!$B$32)/1000+'Inputs'!$B$21+'Inputs'!$B$9+'Inputs'!$B$10)+'Inputs'!$B$7)/SQRT((((476-43)*MAX('Inputs'!$B$33,'Inputs'!$B$29+'Inputs'!$B$31+'Inputs'!$B$32,'Inputs'!$B$30+'Inputs'!$B$31+'Inputs'!$B$32)/1000+'Inputs'!$B$21+'Inputs'!$B$9+'Inputs'!$B$10)+'Inputs'!$B$7)^2+('Inputs'!$B$6/2)^2)-(((476-43)*MAX('Inputs'!$B$33,'Inputs'!$B$29+'Inputs'!$B$31+'Inputs'!$B$32,'Inputs'!$B$30+'Inputs'!$B$31+'Inputs'!$B$32)/1000+'Inputs'!$B$21+'Inputs'!$B$9+'Inputs'!$B$10))/SQRT((((476-43)*MAX('Inputs'!$B$33,'Inputs'!$B$29+'Inputs'!$B$31+'Inputs'!$B$32,'Inputs'!$B$30+'Inputs'!$B$31+'Inputs'!$B$32)/1000+'Inputs'!$B$21+'Inputs'!$B$9+'Inputs'!$B$10))^2+('Inputs'!$B$6/2)^2))))*'Results'!$B$8),"")</x:f>
        <x:v>6.380417451209656</x:v>
      </x:c>
      <x:c r="N476" t="n">
        <x:f>IF(AND(ISNUMBER('Results'!C7),ISNUMBER('Results'!B7),ISNUMBER('Results'!$B$8),ISNUMBER('Inputs'!$B$6),ISNUMBER('Inputs'!$B$7),ISNUMBER('Inputs'!$B$8),ISNUMBER('Inputs'!$B$9),ISNUMBER('Inputs'!$B$10),ISNUMBER('Inputs'!$B$21),ISNUMBER('Inputs'!$B$24),ISNUMBER('Inputs'!$B$28)),((('Results'!C7*(1-'Inputs'!$B$24)*(0.5*((((476-43)*MAX('Inputs'!$B$33,'Inputs'!$B$29+'Inputs'!$B$31+'Inputs'!$B$32,'Inputs'!$B$30+'Inputs'!$B$31+'Inputs'!$B$32)/1000+'Inputs'!$B$21)+'Inputs'!$B$9)/SQRT((((476-43)*MAX('Inputs'!$B$33,'Inputs'!$B$29+'Inputs'!$B$31+'Inputs'!$B$32,'Inputs'!$B$30+'Inputs'!$B$31+'Inputs'!$B$32)/1000+'Inputs'!$B$21)+'Inputs'!$B$9)^2+('Inputs'!$B$8/2)^2)-(((476-43)*MAX('Inputs'!$B$33,'Inputs'!$B$29+'Inputs'!$B$31+'Inputs'!$B$32,'Inputs'!$B$30+'Inputs'!$B$31+'Inputs'!$B$32)/1000+'Inputs'!$B$21))/SQRT((((476-43)*MAX('Inputs'!$B$33,'Inputs'!$B$29+'Inputs'!$B$31+'Inputs'!$B$32,'Inputs'!$B$30+'Inputs'!$B$31+'Inputs'!$B$32)/1000+'Inputs'!$B$21))^2+('Inputs'!$B$8/2)^2)))-'Results'!B7*(1+'Inputs'!$B$24)*(0.5*((((476-43)*MAX('Inputs'!$B$33,'Inputs'!$B$29+'Inputs'!$B$31+'Inputs'!$B$32,'Inputs'!$B$30+'Inputs'!$B$31+'Inputs'!$B$32)/1000+'Inputs'!$B$21+'Inputs'!$B$9+'Inputs'!$B$10)+'Inputs'!$B$7)/SQRT((((476-43)*MAX('Inputs'!$B$33,'Inputs'!$B$29+'Inputs'!$B$31+'Inputs'!$B$32,'Inputs'!$B$30+'Inputs'!$B$31+'Inputs'!$B$32)/1000+'Inputs'!$B$21+'Inputs'!$B$9+'Inputs'!$B$10)+'Inputs'!$B$7)^2+('Inputs'!$B$6/2)^2)-(((476-43)*MAX('Inputs'!$B$33,'Inputs'!$B$29+'Inputs'!$B$31+'Inputs'!$B$32,'Inputs'!$B$30+'Inputs'!$B$31+'Inputs'!$B$32)/1000+'Inputs'!$B$21+'Inputs'!$B$9+'Inputs'!$B$10))/SQRT((((476-43)*MAX('Inputs'!$B$33,'Inputs'!$B$29+'Inputs'!$B$31+'Inputs'!$B$32,'Inputs'!$B$30+'Inputs'!$B$31+'Inputs'!$B$32)/1000+'Inputs'!$B$21+'Inputs'!$B$9+'Inputs'!$B$10))^2+('Inputs'!$B$6/2)^2))))*'Results'!$B$8)-'Inputs'!$B$28*ABS((('Results'!C7*(1-'Inputs'!$B$24)*(0.5*((((476-43)*MAX('Inputs'!$B$33,'Inputs'!$B$29+'Inputs'!$B$31+'Inputs'!$B$32,'Inputs'!$B$30+'Inputs'!$B$31+'Inputs'!$B$32)/1000+'Inputs'!$B$21)+'Inputs'!$B$9)/SQRT((((476-43)*MAX('Inputs'!$B$33,'Inputs'!$B$29+'Inputs'!$B$31+'Inputs'!$B$32,'Inputs'!$B$30+'Inputs'!$B$31+'Inputs'!$B$32)/1000+'Inputs'!$B$21)+'Inputs'!$B$9)^2+('Inputs'!$B$8/2)^2)-(((476-43)*MAX('Inputs'!$B$33,'Inputs'!$B$29+'Inputs'!$B$31+'Inputs'!$B$32,'Inputs'!$B$30+'Inputs'!$B$31+'Inputs'!$B$32)/1000+'Inputs'!$B$21))/SQRT((((476-43)*MAX('Inputs'!$B$33,'Inputs'!$B$29+'Inputs'!$B$31+'Inputs'!$B$32,'Inputs'!$B$30+'Inputs'!$B$31+'Inputs'!$B$32)/1000+'Inputs'!$B$21))^2+('Inputs'!$B$8/2)^2)))-'Results'!B7*(1+'Inputs'!$B$24)*(0.5*((((476-43)*MAX('Inputs'!$B$33,'Inputs'!$B$29+'Inputs'!$B$31+'Inputs'!$B$32,'Inputs'!$B$30+'Inputs'!$B$31+'Inputs'!$B$32)/1000+'Inputs'!$B$21+'Inputs'!$B$9+'Inputs'!$B$10)+'Inputs'!$B$7)/SQRT((((476-43)*MAX('Inputs'!$B$33,'Inputs'!$B$29+'Inputs'!$B$31+'Inputs'!$B$32,'Inputs'!$B$30+'Inputs'!$B$31+'Inputs'!$B$32)/1000+'Inputs'!$B$21+'Inputs'!$B$9+'Inputs'!$B$10)+'Inputs'!$B$7)^2+('Inputs'!$B$6/2)^2)-(((476-43)*MAX('Inputs'!$B$33,'Inputs'!$B$29+'Inputs'!$B$31+'Inputs'!$B$32,'Inputs'!$B$30+'Inputs'!$B$31+'Inputs'!$B$32)/1000+'Inputs'!$B$21+'Inputs'!$B$9+'Inputs'!$B$10))/SQRT((((476-43)*MAX('Inputs'!$B$33,'Inputs'!$B$29+'Inputs'!$B$31+'Inputs'!$B$32,'Inputs'!$B$30+'Inputs'!$B$31+'Inputs'!$B$32)/1000+'Inputs'!$B$21+'Inputs'!$B$9+'Inputs'!$B$10))^2+('Inputs'!$B$6/2)^2))))*'Results'!$B$8))),"")</x:f>
        <x:v>5.6708323971734</x:v>
      </x:c>
      <x:c r="O476" t="n">
        <x:f>IF(AND(ISNUMBER('Results'!C7),ISNUMBER('Results'!B7),ISNUMBER('Results'!$B$8),ISNUMBER('Inputs'!$B$6),ISNUMBER('Inputs'!$B$7),ISNUMBER('Inputs'!$B$8),ISNUMBER('Inputs'!$B$9),ISNUMBER('Inputs'!$B$10),ISNUMBER('Inputs'!$B$21),ISNUMBER('Inputs'!$B$24),ISNUMBER('Inputs'!$B$28)),((('Results'!C7*(1+'Inputs'!$B$24)*(0.5*((((476-43)*MAX('Inputs'!$B$33,'Inputs'!$B$29+'Inputs'!$B$31+'Inputs'!$B$32,'Inputs'!$B$30+'Inputs'!$B$31+'Inputs'!$B$32)/1000+'Inputs'!$B$21)+'Inputs'!$B$9)/SQRT((((476-43)*MAX('Inputs'!$B$33,'Inputs'!$B$29+'Inputs'!$B$31+'Inputs'!$B$32,'Inputs'!$B$30+'Inputs'!$B$31+'Inputs'!$B$32)/1000+'Inputs'!$B$21)+'Inputs'!$B$9)^2+('Inputs'!$B$8/2)^2)-(((476-43)*MAX('Inputs'!$B$33,'Inputs'!$B$29+'Inputs'!$B$31+'Inputs'!$B$32,'Inputs'!$B$30+'Inputs'!$B$31+'Inputs'!$B$32)/1000+'Inputs'!$B$21))/SQRT((((476-43)*MAX('Inputs'!$B$33,'Inputs'!$B$29+'Inputs'!$B$31+'Inputs'!$B$32,'Inputs'!$B$30+'Inputs'!$B$31+'Inputs'!$B$32)/1000+'Inputs'!$B$21))^2+('Inputs'!$B$8/2)^2)))-'Results'!B7*(1-'Inputs'!$B$24)*(0.5*((((476-43)*MAX('Inputs'!$B$33,'Inputs'!$B$29+'Inputs'!$B$31+'Inputs'!$B$32,'Inputs'!$B$30+'Inputs'!$B$31+'Inputs'!$B$32)/1000+'Inputs'!$B$21+'Inputs'!$B$9+'Inputs'!$B$10)+'Inputs'!$B$7)/SQRT((((476-43)*MAX('Inputs'!$B$33,'Inputs'!$B$29+'Inputs'!$B$31+'Inputs'!$B$32,'Inputs'!$B$30+'Inputs'!$B$31+'Inputs'!$B$32)/1000+'Inputs'!$B$21+'Inputs'!$B$9+'Inputs'!$B$10)+'Inputs'!$B$7)^2+('Inputs'!$B$6/2)^2)-(((476-43)*MAX('Inputs'!$B$33,'Inputs'!$B$29+'Inputs'!$B$31+'Inputs'!$B$32,'Inputs'!$B$30+'Inputs'!$B$31+'Inputs'!$B$32)/1000+'Inputs'!$B$21+'Inputs'!$B$9+'Inputs'!$B$10))/SQRT((((476-43)*MAX('Inputs'!$B$33,'Inputs'!$B$29+'Inputs'!$B$31+'Inputs'!$B$32,'Inputs'!$B$30+'Inputs'!$B$31+'Inputs'!$B$32)/1000+'Inputs'!$B$21+'Inputs'!$B$9+'Inputs'!$B$10))^2+('Inputs'!$B$6/2)^2))))*'Results'!$B$8)+'Inputs'!$B$28*ABS((('Results'!C7*(1+'Inputs'!$B$24)*(0.5*((((476-43)*MAX('Inputs'!$B$33,'Inputs'!$B$29+'Inputs'!$B$31+'Inputs'!$B$32,'Inputs'!$B$30+'Inputs'!$B$31+'Inputs'!$B$32)/1000+'Inputs'!$B$21)+'Inputs'!$B$9)/SQRT((((476-43)*MAX('Inputs'!$B$33,'Inputs'!$B$29+'Inputs'!$B$31+'Inputs'!$B$32,'Inputs'!$B$30+'Inputs'!$B$31+'Inputs'!$B$32)/1000+'Inputs'!$B$21)+'Inputs'!$B$9)^2+('Inputs'!$B$8/2)^2)-(((476-43)*MAX('Inputs'!$B$33,'Inputs'!$B$29+'Inputs'!$B$31+'Inputs'!$B$32,'Inputs'!$B$30+'Inputs'!$B$31+'Inputs'!$B$32)/1000+'Inputs'!$B$21))/SQRT((((476-43)*MAX('Inputs'!$B$33,'Inputs'!$B$29+'Inputs'!$B$31+'Inputs'!$B$32,'Inputs'!$B$30+'Inputs'!$B$31+'Inputs'!$B$32)/1000+'Inputs'!$B$21))^2+('Inputs'!$B$8/2)^2)))-'Results'!B7*(1-'Inputs'!$B$24)*(0.5*((((476-43)*MAX('Inputs'!$B$33,'Inputs'!$B$29+'Inputs'!$B$31+'Inputs'!$B$32,'Inputs'!$B$30+'Inputs'!$B$31+'Inputs'!$B$32)/1000+'Inputs'!$B$21+'Inputs'!$B$9+'Inputs'!$B$10)+'Inputs'!$B$7)/SQRT((((476-43)*MAX('Inputs'!$B$33,'Inputs'!$B$29+'Inputs'!$B$31+'Inputs'!$B$32,'Inputs'!$B$30+'Inputs'!$B$31+'Inputs'!$B$32)/1000+'Inputs'!$B$21+'Inputs'!$B$9+'Inputs'!$B$10)+'Inputs'!$B$7)^2+('Inputs'!$B$6/2)^2)-(((476-43)*MAX('Inputs'!$B$33,'Inputs'!$B$29+'Inputs'!$B$31+'Inputs'!$B$32,'Inputs'!$B$30+'Inputs'!$B$31+'Inputs'!$B$32)/1000+'Inputs'!$B$21+'Inputs'!$B$9+'Inputs'!$B$10))/SQRT((((476-43)*MAX('Inputs'!$B$33,'Inputs'!$B$29+'Inputs'!$B$31+'Inputs'!$B$32,'Inputs'!$B$30+'Inputs'!$B$31+'Inputs'!$B$32)/1000+'Inputs'!$B$21+'Inputs'!$B$9+'Inputs'!$B$10))^2+('Inputs'!$B$6/2)^2))))*'Results'!$B$8))),"")</x:f>
        <x:v>7.131114524348628</x:v>
      </x:c>
      <x:c r="P476" t="n">
        <x:f>IF(AND(MAX(J476,J475)&gt;0,J476&gt;J475+0.00000001),1,0)</x:f>
        <x:v>0</x:v>
      </x:c>
      <x:c r="Q476" t="n">
        <x:f>IF(AND(MAX(K476,K475)&gt;0,K476&gt;K475+0.00000001),1,0)</x:f>
        <x:v>0</x:v>
      </x:c>
      <x:c r="R476" t="n">
        <x:f>IF(AND(MAX(L476,L475)&gt;0,L476&gt;L475+0.00000001),1,0)</x:f>
        <x:v>0</x:v>
      </x:c>
      <x:c r="S476" t="n">
        <x:f>IF(AND(MAX(M476,M475)&gt;0,M476&gt;M475+0.00000001),1,0)</x:f>
        <x:v>0</x:v>
      </x:c>
      <x:c r="T476" t="n">
        <x:f>IF(AND(MAX(N476,N475)&gt;0,N476&gt;N475+0.00000001),1,0)</x:f>
        <x:v>0</x:v>
      </x:c>
      <x:c r="U476" t="n">
        <x:f>IF(AND(MAX(O476,O475)&gt;0,O476&gt;O475+0.00000001),1,0)</x:f>
        <x:v>0</x:v>
      </x:c>
    </x:row>
    <x:row r="477">
      <x:c r="J477" t="n">
        <x:f>IF(AND(ISNUMBER('Results'!B7),ISNUMBER('Results'!C7),ISNUMBER('Results'!$B$8),ISNUMBER('Inputs'!$B$6),ISNUMBER('Inputs'!$B$7),ISNUMBER('Inputs'!$B$8),ISNUMBER('Inputs'!$B$9),ISNUMBER('Inputs'!$B$10),ISNUMBER('Inputs'!$B$21),ISNUMBER('Inputs'!$B$24),ISNUMBER('Inputs'!$B$28)),(('Results'!B7*(0.5*((((477-43)*MAX('Inputs'!$B$33,'Inputs'!$B$29+'Inputs'!$B$31+'Inputs'!$B$32,'Inputs'!$B$30+'Inputs'!$B$31+'Inputs'!$B$32)/1000+'Inputs'!$B$21)+'Inputs'!$B$7)/SQRT((((477-43)*MAX('Inputs'!$B$33,'Inputs'!$B$29+'Inputs'!$B$31+'Inputs'!$B$32,'Inputs'!$B$30+'Inputs'!$B$31+'Inputs'!$B$32)/1000+'Inputs'!$B$21)+'Inputs'!$B$7)^2+('Inputs'!$B$6/2)^2)-(((477-43)*MAX('Inputs'!$B$33,'Inputs'!$B$29+'Inputs'!$B$31+'Inputs'!$B$32,'Inputs'!$B$30+'Inputs'!$B$31+'Inputs'!$B$32)/1000+'Inputs'!$B$21))/SQRT((((477-43)*MAX('Inputs'!$B$33,'Inputs'!$B$29+'Inputs'!$B$31+'Inputs'!$B$32,'Inputs'!$B$30+'Inputs'!$B$31+'Inputs'!$B$32)/1000+'Inputs'!$B$21))^2+('Inputs'!$B$6/2)^2)))-'Results'!C7*(0.5*((((477-43)*MAX('Inputs'!$B$33,'Inputs'!$B$29+'Inputs'!$B$31+'Inputs'!$B$32,'Inputs'!$B$30+'Inputs'!$B$31+'Inputs'!$B$32)/1000+'Inputs'!$B$21+'Inputs'!$B$7+'Inputs'!$B$10)+'Inputs'!$B$9)/SQRT((((477-43)*MAX('Inputs'!$B$33,'Inputs'!$B$29+'Inputs'!$B$31+'Inputs'!$B$32,'Inputs'!$B$30+'Inputs'!$B$31+'Inputs'!$B$32)/1000+'Inputs'!$B$21+'Inputs'!$B$7+'Inputs'!$B$10)+'Inputs'!$B$9)^2+('Inputs'!$B$8/2)^2)-(((477-43)*MAX('Inputs'!$B$33,'Inputs'!$B$29+'Inputs'!$B$31+'Inputs'!$B$32,'Inputs'!$B$30+'Inputs'!$B$31+'Inputs'!$B$32)/1000+'Inputs'!$B$21+'Inputs'!$B$7+'Inputs'!$B$10))/SQRT((((477-43)*MAX('Inputs'!$B$33,'Inputs'!$B$29+'Inputs'!$B$31+'Inputs'!$B$32,'Inputs'!$B$30+'Inputs'!$B$31+'Inputs'!$B$32)/1000+'Inputs'!$B$21+'Inputs'!$B$7+'Inputs'!$B$10))^2+('Inputs'!$B$8/2)^2))))*'Results'!$B$8),"")</x:f>
        <x:v>6.744820009830117</x:v>
      </x:c>
      <x:c r="K477" t="n">
        <x:f>IF(AND(ISNUMBER('Results'!B7),ISNUMBER('Results'!C7),ISNUMBER('Results'!$B$8),ISNUMBER('Inputs'!$B$6),ISNUMBER('Inputs'!$B$7),ISNUMBER('Inputs'!$B$8),ISNUMBER('Inputs'!$B$9),ISNUMBER('Inputs'!$B$10),ISNUMBER('Inputs'!$B$21),ISNUMBER('Inputs'!$B$24),ISNUMBER('Inputs'!$B$28)),((('Results'!B7*(1-'Inputs'!$B$24)*(0.5*((((477-43)*MAX('Inputs'!$B$33,'Inputs'!$B$29+'Inputs'!$B$31+'Inputs'!$B$32,'Inputs'!$B$30+'Inputs'!$B$31+'Inputs'!$B$32)/1000+'Inputs'!$B$21)+'Inputs'!$B$7)/SQRT((((477-43)*MAX('Inputs'!$B$33,'Inputs'!$B$29+'Inputs'!$B$31+'Inputs'!$B$32,'Inputs'!$B$30+'Inputs'!$B$31+'Inputs'!$B$32)/1000+'Inputs'!$B$21)+'Inputs'!$B$7)^2+('Inputs'!$B$6/2)^2)-(((477-43)*MAX('Inputs'!$B$33,'Inputs'!$B$29+'Inputs'!$B$31+'Inputs'!$B$32,'Inputs'!$B$30+'Inputs'!$B$31+'Inputs'!$B$32)/1000+'Inputs'!$B$21))/SQRT((((477-43)*MAX('Inputs'!$B$33,'Inputs'!$B$29+'Inputs'!$B$31+'Inputs'!$B$32,'Inputs'!$B$30+'Inputs'!$B$31+'Inputs'!$B$32)/1000+'Inputs'!$B$21))^2+('Inputs'!$B$6/2)^2)))-'Results'!C7*(1+'Inputs'!$B$24)*(0.5*((((477-43)*MAX('Inputs'!$B$33,'Inputs'!$B$29+'Inputs'!$B$31+'Inputs'!$B$32,'Inputs'!$B$30+'Inputs'!$B$31+'Inputs'!$B$32)/1000+'Inputs'!$B$21+'Inputs'!$B$7+'Inputs'!$B$10)+'Inputs'!$B$9)/SQRT((((477-43)*MAX('Inputs'!$B$33,'Inputs'!$B$29+'Inputs'!$B$31+'Inputs'!$B$32,'Inputs'!$B$30+'Inputs'!$B$31+'Inputs'!$B$32)/1000+'Inputs'!$B$21+'Inputs'!$B$7+'Inputs'!$B$10)+'Inputs'!$B$9)^2+('Inputs'!$B$8/2)^2)-(((477-43)*MAX('Inputs'!$B$33,'Inputs'!$B$29+'Inputs'!$B$31+'Inputs'!$B$32,'Inputs'!$B$30+'Inputs'!$B$31+'Inputs'!$B$32)/1000+'Inputs'!$B$21+'Inputs'!$B$7+'Inputs'!$B$10))/SQRT((((477-43)*MAX('Inputs'!$B$33,'Inputs'!$B$29+'Inputs'!$B$31+'Inputs'!$B$32,'Inputs'!$B$30+'Inputs'!$B$31+'Inputs'!$B$32)/1000+'Inputs'!$B$21+'Inputs'!$B$7+'Inputs'!$B$10))^2+('Inputs'!$B$8/2)^2))))*'Results'!$B$8)-'Inputs'!$B$28*ABS((('Results'!B7*(1-'Inputs'!$B$24)*(0.5*((((477-43)*MAX('Inputs'!$B$33,'Inputs'!$B$29+'Inputs'!$B$31+'Inputs'!$B$32,'Inputs'!$B$30+'Inputs'!$B$31+'Inputs'!$B$32)/1000+'Inputs'!$B$21)+'Inputs'!$B$7)/SQRT((((477-43)*MAX('Inputs'!$B$33,'Inputs'!$B$29+'Inputs'!$B$31+'Inputs'!$B$32,'Inputs'!$B$30+'Inputs'!$B$31+'Inputs'!$B$32)/1000+'Inputs'!$B$21)+'Inputs'!$B$7)^2+('Inputs'!$B$6/2)^2)-(((477-43)*MAX('Inputs'!$B$33,'Inputs'!$B$29+'Inputs'!$B$31+'Inputs'!$B$32,'Inputs'!$B$30+'Inputs'!$B$31+'Inputs'!$B$32)/1000+'Inputs'!$B$21))/SQRT((((477-43)*MAX('Inputs'!$B$33,'Inputs'!$B$29+'Inputs'!$B$31+'Inputs'!$B$32,'Inputs'!$B$30+'Inputs'!$B$31+'Inputs'!$B$32)/1000+'Inputs'!$B$21))^2+('Inputs'!$B$6/2)^2)))-'Results'!C7*(1+'Inputs'!$B$24)*(0.5*((((477-43)*MAX('Inputs'!$B$33,'Inputs'!$B$29+'Inputs'!$B$31+'Inputs'!$B$32,'Inputs'!$B$30+'Inputs'!$B$31+'Inputs'!$B$32)/1000+'Inputs'!$B$21+'Inputs'!$B$7+'Inputs'!$B$10)+'Inputs'!$B$9)/SQRT((((477-43)*MAX('Inputs'!$B$33,'Inputs'!$B$29+'Inputs'!$B$31+'Inputs'!$B$32,'Inputs'!$B$30+'Inputs'!$B$31+'Inputs'!$B$32)/1000+'Inputs'!$B$21+'Inputs'!$B$7+'Inputs'!$B$10)+'Inputs'!$B$9)^2+('Inputs'!$B$8/2)^2)-(((477-43)*MAX('Inputs'!$B$33,'Inputs'!$B$29+'Inputs'!$B$31+'Inputs'!$B$32,'Inputs'!$B$30+'Inputs'!$B$31+'Inputs'!$B$32)/1000+'Inputs'!$B$21+'Inputs'!$B$7+'Inputs'!$B$10))/SQRT((((477-43)*MAX('Inputs'!$B$33,'Inputs'!$B$29+'Inputs'!$B$31+'Inputs'!$B$32,'Inputs'!$B$30+'Inputs'!$B$31+'Inputs'!$B$32)/1000+'Inputs'!$B$21+'Inputs'!$B$7+'Inputs'!$B$10))^2+('Inputs'!$B$8/2)^2))))*'Results'!$B$8))),"")</x:f>
        <x:v>6.016843762344623</x:v>
      </x:c>
      <x:c r="L477" t="n">
        <x:f>IF(AND(ISNUMBER('Results'!B7),ISNUMBER('Results'!C7),ISNUMBER('Results'!$B$8),ISNUMBER('Inputs'!$B$6),ISNUMBER('Inputs'!$B$7),ISNUMBER('Inputs'!$B$8),ISNUMBER('Inputs'!$B$9),ISNUMBER('Inputs'!$B$10),ISNUMBER('Inputs'!$B$21),ISNUMBER('Inputs'!$B$24),ISNUMBER('Inputs'!$B$28)),((('Results'!B7*(1+'Inputs'!$B$24)*(0.5*((((477-43)*MAX('Inputs'!$B$33,'Inputs'!$B$29+'Inputs'!$B$31+'Inputs'!$B$32,'Inputs'!$B$30+'Inputs'!$B$31+'Inputs'!$B$32)/1000+'Inputs'!$B$21)+'Inputs'!$B$7)/SQRT((((477-43)*MAX('Inputs'!$B$33,'Inputs'!$B$29+'Inputs'!$B$31+'Inputs'!$B$32,'Inputs'!$B$30+'Inputs'!$B$31+'Inputs'!$B$32)/1000+'Inputs'!$B$21)+'Inputs'!$B$7)^2+('Inputs'!$B$6/2)^2)-(((477-43)*MAX('Inputs'!$B$33,'Inputs'!$B$29+'Inputs'!$B$31+'Inputs'!$B$32,'Inputs'!$B$30+'Inputs'!$B$31+'Inputs'!$B$32)/1000+'Inputs'!$B$21))/SQRT((((477-43)*MAX('Inputs'!$B$33,'Inputs'!$B$29+'Inputs'!$B$31+'Inputs'!$B$32,'Inputs'!$B$30+'Inputs'!$B$31+'Inputs'!$B$32)/1000+'Inputs'!$B$21))^2+('Inputs'!$B$6/2)^2)))-'Results'!C7*(1-'Inputs'!$B$24)*(0.5*((((477-43)*MAX('Inputs'!$B$33,'Inputs'!$B$29+'Inputs'!$B$31+'Inputs'!$B$32,'Inputs'!$B$30+'Inputs'!$B$31+'Inputs'!$B$32)/1000+'Inputs'!$B$21+'Inputs'!$B$7+'Inputs'!$B$10)+'Inputs'!$B$9)/SQRT((((477-43)*MAX('Inputs'!$B$33,'Inputs'!$B$29+'Inputs'!$B$31+'Inputs'!$B$32,'Inputs'!$B$30+'Inputs'!$B$31+'Inputs'!$B$32)/1000+'Inputs'!$B$21+'Inputs'!$B$7+'Inputs'!$B$10)+'Inputs'!$B$9)^2+('Inputs'!$B$8/2)^2)-(((477-43)*MAX('Inputs'!$B$33,'Inputs'!$B$29+'Inputs'!$B$31+'Inputs'!$B$32,'Inputs'!$B$30+'Inputs'!$B$31+'Inputs'!$B$32)/1000+'Inputs'!$B$21+'Inputs'!$B$7+'Inputs'!$B$10))/SQRT((((477-43)*MAX('Inputs'!$B$33,'Inputs'!$B$29+'Inputs'!$B$31+'Inputs'!$B$32,'Inputs'!$B$30+'Inputs'!$B$31+'Inputs'!$B$32)/1000+'Inputs'!$B$21+'Inputs'!$B$7+'Inputs'!$B$10))^2+('Inputs'!$B$8/2)^2))))*'Results'!$B$8)+'Inputs'!$B$28*ABS((('Results'!B7*(1+'Inputs'!$B$24)*(0.5*((((477-43)*MAX('Inputs'!$B$33,'Inputs'!$B$29+'Inputs'!$B$31+'Inputs'!$B$32,'Inputs'!$B$30+'Inputs'!$B$31+'Inputs'!$B$32)/1000+'Inputs'!$B$21)+'Inputs'!$B$7)/SQRT((((477-43)*MAX('Inputs'!$B$33,'Inputs'!$B$29+'Inputs'!$B$31+'Inputs'!$B$32,'Inputs'!$B$30+'Inputs'!$B$31+'Inputs'!$B$32)/1000+'Inputs'!$B$21)+'Inputs'!$B$7)^2+('Inputs'!$B$6/2)^2)-(((477-43)*MAX('Inputs'!$B$33,'Inputs'!$B$29+'Inputs'!$B$31+'Inputs'!$B$32,'Inputs'!$B$30+'Inputs'!$B$31+'Inputs'!$B$32)/1000+'Inputs'!$B$21))/SQRT((((477-43)*MAX('Inputs'!$B$33,'Inputs'!$B$29+'Inputs'!$B$31+'Inputs'!$B$32,'Inputs'!$B$30+'Inputs'!$B$31+'Inputs'!$B$32)/1000+'Inputs'!$B$21))^2+('Inputs'!$B$6/2)^2)))-'Results'!C7*(1-'Inputs'!$B$24)*(0.5*((((477-43)*MAX('Inputs'!$B$33,'Inputs'!$B$29+'Inputs'!$B$31+'Inputs'!$B$32,'Inputs'!$B$30+'Inputs'!$B$31+'Inputs'!$B$32)/1000+'Inputs'!$B$21+'Inputs'!$B$7+'Inputs'!$B$10)+'Inputs'!$B$9)/SQRT((((477-43)*MAX('Inputs'!$B$33,'Inputs'!$B$29+'Inputs'!$B$31+'Inputs'!$B$32,'Inputs'!$B$30+'Inputs'!$B$31+'Inputs'!$B$32)/1000+'Inputs'!$B$21+'Inputs'!$B$7+'Inputs'!$B$10)+'Inputs'!$B$9)^2+('Inputs'!$B$8/2)^2)-(((477-43)*MAX('Inputs'!$B$33,'Inputs'!$B$29+'Inputs'!$B$31+'Inputs'!$B$32,'Inputs'!$B$30+'Inputs'!$B$31+'Inputs'!$B$32)/1000+'Inputs'!$B$21+'Inputs'!$B$7+'Inputs'!$B$10))/SQRT((((477-43)*MAX('Inputs'!$B$33,'Inputs'!$B$29+'Inputs'!$B$31+'Inputs'!$B$32,'Inputs'!$B$30+'Inputs'!$B$31+'Inputs'!$B$32)/1000+'Inputs'!$B$21+'Inputs'!$B$7+'Inputs'!$B$10))^2+('Inputs'!$B$8/2)^2))))*'Results'!$B$8))),"")</x:f>
        <x:v>7.513926283314978</x:v>
      </x:c>
      <x:c r="M477" t="n">
        <x:f>IF(AND(ISNUMBER('Results'!C7),ISNUMBER('Results'!B7),ISNUMBER('Results'!$B$8),ISNUMBER('Inputs'!$B$6),ISNUMBER('Inputs'!$B$7),ISNUMBER('Inputs'!$B$8),ISNUMBER('Inputs'!$B$9),ISNUMBER('Inputs'!$B$10),ISNUMBER('Inputs'!$B$21),ISNUMBER('Inputs'!$B$24),ISNUMBER('Inputs'!$B$28)),(('Results'!C7*(0.5*((((477-43)*MAX('Inputs'!$B$33,'Inputs'!$B$29+'Inputs'!$B$31+'Inputs'!$B$32,'Inputs'!$B$30+'Inputs'!$B$31+'Inputs'!$B$32)/1000+'Inputs'!$B$21)+'Inputs'!$B$9)/SQRT((((477-43)*MAX('Inputs'!$B$33,'Inputs'!$B$29+'Inputs'!$B$31+'Inputs'!$B$32,'Inputs'!$B$30+'Inputs'!$B$31+'Inputs'!$B$32)/1000+'Inputs'!$B$21)+'Inputs'!$B$9)^2+('Inputs'!$B$8/2)^2)-(((477-43)*MAX('Inputs'!$B$33,'Inputs'!$B$29+'Inputs'!$B$31+'Inputs'!$B$32,'Inputs'!$B$30+'Inputs'!$B$31+'Inputs'!$B$32)/1000+'Inputs'!$B$21))/SQRT((((477-43)*MAX('Inputs'!$B$33,'Inputs'!$B$29+'Inputs'!$B$31+'Inputs'!$B$32,'Inputs'!$B$30+'Inputs'!$B$31+'Inputs'!$B$32)/1000+'Inputs'!$B$21))^2+('Inputs'!$B$8/2)^2)))-'Results'!B7*(0.5*((((477-43)*MAX('Inputs'!$B$33,'Inputs'!$B$29+'Inputs'!$B$31+'Inputs'!$B$32,'Inputs'!$B$30+'Inputs'!$B$31+'Inputs'!$B$32)/1000+'Inputs'!$B$21+'Inputs'!$B$9+'Inputs'!$B$10)+'Inputs'!$B$7)/SQRT((((477-43)*MAX('Inputs'!$B$33,'Inputs'!$B$29+'Inputs'!$B$31+'Inputs'!$B$32,'Inputs'!$B$30+'Inputs'!$B$31+'Inputs'!$B$32)/1000+'Inputs'!$B$21+'Inputs'!$B$9+'Inputs'!$B$10)+'Inputs'!$B$7)^2+('Inputs'!$B$6/2)^2)-(((477-43)*MAX('Inputs'!$B$33,'Inputs'!$B$29+'Inputs'!$B$31+'Inputs'!$B$32,'Inputs'!$B$30+'Inputs'!$B$31+'Inputs'!$B$32)/1000+'Inputs'!$B$21+'Inputs'!$B$9+'Inputs'!$B$10))/SQRT((((477-43)*MAX('Inputs'!$B$33,'Inputs'!$B$29+'Inputs'!$B$31+'Inputs'!$B$32,'Inputs'!$B$30+'Inputs'!$B$31+'Inputs'!$B$32)/1000+'Inputs'!$B$21+'Inputs'!$B$9+'Inputs'!$B$10))^2+('Inputs'!$B$6/2)^2))))*'Results'!$B$8),"")</x:f>
        <x:v>6.3306993022874956</x:v>
      </x:c>
      <x:c r="N477" t="n">
        <x:f>IF(AND(ISNUMBER('Results'!C7),ISNUMBER('Results'!B7),ISNUMBER('Results'!$B$8),ISNUMBER('Inputs'!$B$6),ISNUMBER('Inputs'!$B$7),ISNUMBER('Inputs'!$B$8),ISNUMBER('Inputs'!$B$9),ISNUMBER('Inputs'!$B$10),ISNUMBER('Inputs'!$B$21),ISNUMBER('Inputs'!$B$24),ISNUMBER('Inputs'!$B$28)),((('Results'!C7*(1-'Inputs'!$B$24)*(0.5*((((477-43)*MAX('Inputs'!$B$33,'Inputs'!$B$29+'Inputs'!$B$31+'Inputs'!$B$32,'Inputs'!$B$30+'Inputs'!$B$31+'Inputs'!$B$32)/1000+'Inputs'!$B$21)+'Inputs'!$B$9)/SQRT((((477-43)*MAX('Inputs'!$B$33,'Inputs'!$B$29+'Inputs'!$B$31+'Inputs'!$B$32,'Inputs'!$B$30+'Inputs'!$B$31+'Inputs'!$B$32)/1000+'Inputs'!$B$21)+'Inputs'!$B$9)^2+('Inputs'!$B$8/2)^2)-(((477-43)*MAX('Inputs'!$B$33,'Inputs'!$B$29+'Inputs'!$B$31+'Inputs'!$B$32,'Inputs'!$B$30+'Inputs'!$B$31+'Inputs'!$B$32)/1000+'Inputs'!$B$21))/SQRT((((477-43)*MAX('Inputs'!$B$33,'Inputs'!$B$29+'Inputs'!$B$31+'Inputs'!$B$32,'Inputs'!$B$30+'Inputs'!$B$31+'Inputs'!$B$32)/1000+'Inputs'!$B$21))^2+('Inputs'!$B$8/2)^2)))-'Results'!B7*(1+'Inputs'!$B$24)*(0.5*((((477-43)*MAX('Inputs'!$B$33,'Inputs'!$B$29+'Inputs'!$B$31+'Inputs'!$B$32,'Inputs'!$B$30+'Inputs'!$B$31+'Inputs'!$B$32)/1000+'Inputs'!$B$21+'Inputs'!$B$9+'Inputs'!$B$10)+'Inputs'!$B$7)/SQRT((((477-43)*MAX('Inputs'!$B$33,'Inputs'!$B$29+'Inputs'!$B$31+'Inputs'!$B$32,'Inputs'!$B$30+'Inputs'!$B$31+'Inputs'!$B$32)/1000+'Inputs'!$B$21+'Inputs'!$B$9+'Inputs'!$B$10)+'Inputs'!$B$7)^2+('Inputs'!$B$6/2)^2)-(((477-43)*MAX('Inputs'!$B$33,'Inputs'!$B$29+'Inputs'!$B$31+'Inputs'!$B$32,'Inputs'!$B$30+'Inputs'!$B$31+'Inputs'!$B$32)/1000+'Inputs'!$B$21+'Inputs'!$B$9+'Inputs'!$B$10))/SQRT((((477-43)*MAX('Inputs'!$B$33,'Inputs'!$B$29+'Inputs'!$B$31+'Inputs'!$B$32,'Inputs'!$B$30+'Inputs'!$B$31+'Inputs'!$B$32)/1000+'Inputs'!$B$21+'Inputs'!$B$9+'Inputs'!$B$10))^2+('Inputs'!$B$6/2)^2))))*'Results'!$B$8)-'Inputs'!$B$28*ABS((('Results'!C7*(1-'Inputs'!$B$24)*(0.5*((((477-43)*MAX('Inputs'!$B$33,'Inputs'!$B$29+'Inputs'!$B$31+'Inputs'!$B$32,'Inputs'!$B$30+'Inputs'!$B$31+'Inputs'!$B$32)/1000+'Inputs'!$B$21)+'Inputs'!$B$9)/SQRT((((477-43)*MAX('Inputs'!$B$33,'Inputs'!$B$29+'Inputs'!$B$31+'Inputs'!$B$32,'Inputs'!$B$30+'Inputs'!$B$31+'Inputs'!$B$32)/1000+'Inputs'!$B$21)+'Inputs'!$B$9)^2+('Inputs'!$B$8/2)^2)-(((477-43)*MAX('Inputs'!$B$33,'Inputs'!$B$29+'Inputs'!$B$31+'Inputs'!$B$32,'Inputs'!$B$30+'Inputs'!$B$31+'Inputs'!$B$32)/1000+'Inputs'!$B$21))/SQRT((((477-43)*MAX('Inputs'!$B$33,'Inputs'!$B$29+'Inputs'!$B$31+'Inputs'!$B$32,'Inputs'!$B$30+'Inputs'!$B$31+'Inputs'!$B$32)/1000+'Inputs'!$B$21))^2+('Inputs'!$B$8/2)^2)))-'Results'!B7*(1+'Inputs'!$B$24)*(0.5*((((477-43)*MAX('Inputs'!$B$33,'Inputs'!$B$29+'Inputs'!$B$31+'Inputs'!$B$32,'Inputs'!$B$30+'Inputs'!$B$31+'Inputs'!$B$32)/1000+'Inputs'!$B$21+'Inputs'!$B$9+'Inputs'!$B$10)+'Inputs'!$B$7)/SQRT((((477-43)*MAX('Inputs'!$B$33,'Inputs'!$B$29+'Inputs'!$B$31+'Inputs'!$B$32,'Inputs'!$B$30+'Inputs'!$B$31+'Inputs'!$B$32)/1000+'Inputs'!$B$21+'Inputs'!$B$9+'Inputs'!$B$10)+'Inputs'!$B$7)^2+('Inputs'!$B$6/2)^2)-(((477-43)*MAX('Inputs'!$B$33,'Inputs'!$B$29+'Inputs'!$B$31+'Inputs'!$B$32,'Inputs'!$B$30+'Inputs'!$B$31+'Inputs'!$B$32)/1000+'Inputs'!$B$21+'Inputs'!$B$9+'Inputs'!$B$10))/SQRT((((477-43)*MAX('Inputs'!$B$33,'Inputs'!$B$29+'Inputs'!$B$31+'Inputs'!$B$32,'Inputs'!$B$30+'Inputs'!$B$31+'Inputs'!$B$32)/1000+'Inputs'!$B$21+'Inputs'!$B$9+'Inputs'!$B$10))^2+('Inputs'!$B$6/2)^2))))*'Results'!$B$8))),"")</x:f>
        <x:v>5.62593853327944</x:v>
      </x:c>
      <x:c r="O477" t="n">
        <x:f>IF(AND(ISNUMBER('Results'!C7),ISNUMBER('Results'!B7),ISNUMBER('Results'!$B$8),ISNUMBER('Inputs'!$B$6),ISNUMBER('Inputs'!$B$7),ISNUMBER('Inputs'!$B$8),ISNUMBER('Inputs'!$B$9),ISNUMBER('Inputs'!$B$10),ISNUMBER('Inputs'!$B$21),ISNUMBER('Inputs'!$B$24),ISNUMBER('Inputs'!$B$28)),((('Results'!C7*(1+'Inputs'!$B$24)*(0.5*((((477-43)*MAX('Inputs'!$B$33,'Inputs'!$B$29+'Inputs'!$B$31+'Inputs'!$B$32,'Inputs'!$B$30+'Inputs'!$B$31+'Inputs'!$B$32)/1000+'Inputs'!$B$21)+'Inputs'!$B$9)/SQRT((((477-43)*MAX('Inputs'!$B$33,'Inputs'!$B$29+'Inputs'!$B$31+'Inputs'!$B$32,'Inputs'!$B$30+'Inputs'!$B$31+'Inputs'!$B$32)/1000+'Inputs'!$B$21)+'Inputs'!$B$9)^2+('Inputs'!$B$8/2)^2)-(((477-43)*MAX('Inputs'!$B$33,'Inputs'!$B$29+'Inputs'!$B$31+'Inputs'!$B$32,'Inputs'!$B$30+'Inputs'!$B$31+'Inputs'!$B$32)/1000+'Inputs'!$B$21))/SQRT((((477-43)*MAX('Inputs'!$B$33,'Inputs'!$B$29+'Inputs'!$B$31+'Inputs'!$B$32,'Inputs'!$B$30+'Inputs'!$B$31+'Inputs'!$B$32)/1000+'Inputs'!$B$21))^2+('Inputs'!$B$8/2)^2)))-'Results'!B7*(1-'Inputs'!$B$24)*(0.5*((((477-43)*MAX('Inputs'!$B$33,'Inputs'!$B$29+'Inputs'!$B$31+'Inputs'!$B$32,'Inputs'!$B$30+'Inputs'!$B$31+'Inputs'!$B$32)/1000+'Inputs'!$B$21+'Inputs'!$B$9+'Inputs'!$B$10)+'Inputs'!$B$7)/SQRT((((477-43)*MAX('Inputs'!$B$33,'Inputs'!$B$29+'Inputs'!$B$31+'Inputs'!$B$32,'Inputs'!$B$30+'Inputs'!$B$31+'Inputs'!$B$32)/1000+'Inputs'!$B$21+'Inputs'!$B$9+'Inputs'!$B$10)+'Inputs'!$B$7)^2+('Inputs'!$B$6/2)^2)-(((477-43)*MAX('Inputs'!$B$33,'Inputs'!$B$29+'Inputs'!$B$31+'Inputs'!$B$32,'Inputs'!$B$30+'Inputs'!$B$31+'Inputs'!$B$32)/1000+'Inputs'!$B$21+'Inputs'!$B$9+'Inputs'!$B$10))/SQRT((((477-43)*MAX('Inputs'!$B$33,'Inputs'!$B$29+'Inputs'!$B$31+'Inputs'!$B$32,'Inputs'!$B$30+'Inputs'!$B$31+'Inputs'!$B$32)/1000+'Inputs'!$B$21+'Inputs'!$B$9+'Inputs'!$B$10))^2+('Inputs'!$B$6/2)^2))))*'Results'!$B$8)+'Inputs'!$B$28*ABS((('Results'!C7*(1+'Inputs'!$B$24)*(0.5*((((477-43)*MAX('Inputs'!$B$33,'Inputs'!$B$29+'Inputs'!$B$31+'Inputs'!$B$32,'Inputs'!$B$30+'Inputs'!$B$31+'Inputs'!$B$32)/1000+'Inputs'!$B$21)+'Inputs'!$B$9)/SQRT((((477-43)*MAX('Inputs'!$B$33,'Inputs'!$B$29+'Inputs'!$B$31+'Inputs'!$B$32,'Inputs'!$B$30+'Inputs'!$B$31+'Inputs'!$B$32)/1000+'Inputs'!$B$21)+'Inputs'!$B$9)^2+('Inputs'!$B$8/2)^2)-(((477-43)*MAX('Inputs'!$B$33,'Inputs'!$B$29+'Inputs'!$B$31+'Inputs'!$B$32,'Inputs'!$B$30+'Inputs'!$B$31+'Inputs'!$B$32)/1000+'Inputs'!$B$21))/SQRT((((477-43)*MAX('Inputs'!$B$33,'Inputs'!$B$29+'Inputs'!$B$31+'Inputs'!$B$32,'Inputs'!$B$30+'Inputs'!$B$31+'Inputs'!$B$32)/1000+'Inputs'!$B$21))^2+('Inputs'!$B$8/2)^2)))-'Results'!B7*(1-'Inputs'!$B$24)*(0.5*((((477-43)*MAX('Inputs'!$B$33,'Inputs'!$B$29+'Inputs'!$B$31+'Inputs'!$B$32,'Inputs'!$B$30+'Inputs'!$B$31+'Inputs'!$B$32)/1000+'Inputs'!$B$21+'Inputs'!$B$9+'Inputs'!$B$10)+'Inputs'!$B$7)/SQRT((((477-43)*MAX('Inputs'!$B$33,'Inputs'!$B$29+'Inputs'!$B$31+'Inputs'!$B$32,'Inputs'!$B$30+'Inputs'!$B$31+'Inputs'!$B$32)/1000+'Inputs'!$B$21+'Inputs'!$B$9+'Inputs'!$B$10)+'Inputs'!$B$7)^2+('Inputs'!$B$6/2)^2)-(((477-43)*MAX('Inputs'!$B$33,'Inputs'!$B$29+'Inputs'!$B$31+'Inputs'!$B$32,'Inputs'!$B$30+'Inputs'!$B$31+'Inputs'!$B$32)/1000+'Inputs'!$B$21+'Inputs'!$B$9+'Inputs'!$B$10))/SQRT((((477-43)*MAX('Inputs'!$B$33,'Inputs'!$B$29+'Inputs'!$B$31+'Inputs'!$B$32,'Inputs'!$B$30+'Inputs'!$B$31+'Inputs'!$B$32)/1000+'Inputs'!$B$21+'Inputs'!$B$9+'Inputs'!$B$10))^2+('Inputs'!$B$6/2)^2))))*'Results'!$B$8))),"")</x:f>
        <x:v>7.076325945389626</x:v>
      </x:c>
      <x:c r="P477" t="n">
        <x:f>IF(AND(MAX(J477,J476)&gt;0,J477&gt;J476+0.00000001),1,0)</x:f>
        <x:v>0</x:v>
      </x:c>
      <x:c r="Q477" t="n">
        <x:f>IF(AND(MAX(K477,K476)&gt;0,K477&gt;K476+0.00000001),1,0)</x:f>
        <x:v>0</x:v>
      </x:c>
      <x:c r="R477" t="n">
        <x:f>IF(AND(MAX(L477,L476)&gt;0,L477&gt;L476+0.00000001),1,0)</x:f>
        <x:v>0</x:v>
      </x:c>
      <x:c r="S477" t="n">
        <x:f>IF(AND(MAX(M477,M476)&gt;0,M477&gt;M476+0.00000001),1,0)</x:f>
        <x:v>0</x:v>
      </x:c>
      <x:c r="T477" t="n">
        <x:f>IF(AND(MAX(N477,N476)&gt;0,N477&gt;N476+0.00000001),1,0)</x:f>
        <x:v>0</x:v>
      </x:c>
      <x:c r="U477" t="n">
        <x:f>IF(AND(MAX(O477,O476)&gt;0,O477&gt;O476+0.00000001),1,0)</x:f>
        <x:v>0</x:v>
      </x:c>
    </x:row>
    <x:row r="478">
      <x:c r="J478" t="n">
        <x:f>IF(AND(ISNUMBER('Results'!B7),ISNUMBER('Results'!C7),ISNUMBER('Results'!$B$8),ISNUMBER('Inputs'!$B$6),ISNUMBER('Inputs'!$B$7),ISNUMBER('Inputs'!$B$8),ISNUMBER('Inputs'!$B$9),ISNUMBER('Inputs'!$B$10),ISNUMBER('Inputs'!$B$21),ISNUMBER('Inputs'!$B$24),ISNUMBER('Inputs'!$B$28)),(('Results'!B7*(0.5*((((478-43)*MAX('Inputs'!$B$33,'Inputs'!$B$29+'Inputs'!$B$31+'Inputs'!$B$32,'Inputs'!$B$30+'Inputs'!$B$31+'Inputs'!$B$32)/1000+'Inputs'!$B$21)+'Inputs'!$B$7)/SQRT((((478-43)*MAX('Inputs'!$B$33,'Inputs'!$B$29+'Inputs'!$B$31+'Inputs'!$B$32,'Inputs'!$B$30+'Inputs'!$B$31+'Inputs'!$B$32)/1000+'Inputs'!$B$21)+'Inputs'!$B$7)^2+('Inputs'!$B$6/2)^2)-(((478-43)*MAX('Inputs'!$B$33,'Inputs'!$B$29+'Inputs'!$B$31+'Inputs'!$B$32,'Inputs'!$B$30+'Inputs'!$B$31+'Inputs'!$B$32)/1000+'Inputs'!$B$21))/SQRT((((478-43)*MAX('Inputs'!$B$33,'Inputs'!$B$29+'Inputs'!$B$31+'Inputs'!$B$32,'Inputs'!$B$30+'Inputs'!$B$31+'Inputs'!$B$32)/1000+'Inputs'!$B$21))^2+('Inputs'!$B$6/2)^2)))-'Results'!C7*(0.5*((((478-43)*MAX('Inputs'!$B$33,'Inputs'!$B$29+'Inputs'!$B$31+'Inputs'!$B$32,'Inputs'!$B$30+'Inputs'!$B$31+'Inputs'!$B$32)/1000+'Inputs'!$B$21+'Inputs'!$B$7+'Inputs'!$B$10)+'Inputs'!$B$9)/SQRT((((478-43)*MAX('Inputs'!$B$33,'Inputs'!$B$29+'Inputs'!$B$31+'Inputs'!$B$32,'Inputs'!$B$30+'Inputs'!$B$31+'Inputs'!$B$32)/1000+'Inputs'!$B$21+'Inputs'!$B$7+'Inputs'!$B$10)+'Inputs'!$B$9)^2+('Inputs'!$B$8/2)^2)-(((478-43)*MAX('Inputs'!$B$33,'Inputs'!$B$29+'Inputs'!$B$31+'Inputs'!$B$32,'Inputs'!$B$30+'Inputs'!$B$31+'Inputs'!$B$32)/1000+'Inputs'!$B$21+'Inputs'!$B$7+'Inputs'!$B$10))/SQRT((((478-43)*MAX('Inputs'!$B$33,'Inputs'!$B$29+'Inputs'!$B$31+'Inputs'!$B$32,'Inputs'!$B$30+'Inputs'!$B$31+'Inputs'!$B$32)/1000+'Inputs'!$B$21+'Inputs'!$B$7+'Inputs'!$B$10))^2+('Inputs'!$B$8/2)^2))))*'Results'!$B$8),"")</x:f>
        <x:v>6.693105767461949</x:v>
      </x:c>
      <x:c r="K478" t="n">
        <x:f>IF(AND(ISNUMBER('Results'!B7),ISNUMBER('Results'!C7),ISNUMBER('Results'!$B$8),ISNUMBER('Inputs'!$B$6),ISNUMBER('Inputs'!$B$7),ISNUMBER('Inputs'!$B$8),ISNUMBER('Inputs'!$B$9),ISNUMBER('Inputs'!$B$10),ISNUMBER('Inputs'!$B$21),ISNUMBER('Inputs'!$B$24),ISNUMBER('Inputs'!$B$28)),((('Results'!B7*(1-'Inputs'!$B$24)*(0.5*((((478-43)*MAX('Inputs'!$B$33,'Inputs'!$B$29+'Inputs'!$B$31+'Inputs'!$B$32,'Inputs'!$B$30+'Inputs'!$B$31+'Inputs'!$B$32)/1000+'Inputs'!$B$21)+'Inputs'!$B$7)/SQRT((((478-43)*MAX('Inputs'!$B$33,'Inputs'!$B$29+'Inputs'!$B$31+'Inputs'!$B$32,'Inputs'!$B$30+'Inputs'!$B$31+'Inputs'!$B$32)/1000+'Inputs'!$B$21)+'Inputs'!$B$7)^2+('Inputs'!$B$6/2)^2)-(((478-43)*MAX('Inputs'!$B$33,'Inputs'!$B$29+'Inputs'!$B$31+'Inputs'!$B$32,'Inputs'!$B$30+'Inputs'!$B$31+'Inputs'!$B$32)/1000+'Inputs'!$B$21))/SQRT((((478-43)*MAX('Inputs'!$B$33,'Inputs'!$B$29+'Inputs'!$B$31+'Inputs'!$B$32,'Inputs'!$B$30+'Inputs'!$B$31+'Inputs'!$B$32)/1000+'Inputs'!$B$21))^2+('Inputs'!$B$6/2)^2)))-'Results'!C7*(1+'Inputs'!$B$24)*(0.5*((((478-43)*MAX('Inputs'!$B$33,'Inputs'!$B$29+'Inputs'!$B$31+'Inputs'!$B$32,'Inputs'!$B$30+'Inputs'!$B$31+'Inputs'!$B$32)/1000+'Inputs'!$B$21+'Inputs'!$B$7+'Inputs'!$B$10)+'Inputs'!$B$9)/SQRT((((478-43)*MAX('Inputs'!$B$33,'Inputs'!$B$29+'Inputs'!$B$31+'Inputs'!$B$32,'Inputs'!$B$30+'Inputs'!$B$31+'Inputs'!$B$32)/1000+'Inputs'!$B$21+'Inputs'!$B$7+'Inputs'!$B$10)+'Inputs'!$B$9)^2+('Inputs'!$B$8/2)^2)-(((478-43)*MAX('Inputs'!$B$33,'Inputs'!$B$29+'Inputs'!$B$31+'Inputs'!$B$32,'Inputs'!$B$30+'Inputs'!$B$31+'Inputs'!$B$32)/1000+'Inputs'!$B$21+'Inputs'!$B$7+'Inputs'!$B$10))/SQRT((((478-43)*MAX('Inputs'!$B$33,'Inputs'!$B$29+'Inputs'!$B$31+'Inputs'!$B$32,'Inputs'!$B$30+'Inputs'!$B$31+'Inputs'!$B$32)/1000+'Inputs'!$B$21+'Inputs'!$B$7+'Inputs'!$B$10))^2+('Inputs'!$B$8/2)^2))))*'Results'!$B$8)-'Inputs'!$B$28*ABS((('Results'!B7*(1-'Inputs'!$B$24)*(0.5*((((478-43)*MAX('Inputs'!$B$33,'Inputs'!$B$29+'Inputs'!$B$31+'Inputs'!$B$32,'Inputs'!$B$30+'Inputs'!$B$31+'Inputs'!$B$32)/1000+'Inputs'!$B$21)+'Inputs'!$B$7)/SQRT((((478-43)*MAX('Inputs'!$B$33,'Inputs'!$B$29+'Inputs'!$B$31+'Inputs'!$B$32,'Inputs'!$B$30+'Inputs'!$B$31+'Inputs'!$B$32)/1000+'Inputs'!$B$21)+'Inputs'!$B$7)^2+('Inputs'!$B$6/2)^2)-(((478-43)*MAX('Inputs'!$B$33,'Inputs'!$B$29+'Inputs'!$B$31+'Inputs'!$B$32,'Inputs'!$B$30+'Inputs'!$B$31+'Inputs'!$B$32)/1000+'Inputs'!$B$21))/SQRT((((478-43)*MAX('Inputs'!$B$33,'Inputs'!$B$29+'Inputs'!$B$31+'Inputs'!$B$32,'Inputs'!$B$30+'Inputs'!$B$31+'Inputs'!$B$32)/1000+'Inputs'!$B$21))^2+('Inputs'!$B$6/2)^2)))-'Results'!C7*(1+'Inputs'!$B$24)*(0.5*((((478-43)*MAX('Inputs'!$B$33,'Inputs'!$B$29+'Inputs'!$B$31+'Inputs'!$B$32,'Inputs'!$B$30+'Inputs'!$B$31+'Inputs'!$B$32)/1000+'Inputs'!$B$21+'Inputs'!$B$7+'Inputs'!$B$10)+'Inputs'!$B$9)/SQRT((((478-43)*MAX('Inputs'!$B$33,'Inputs'!$B$29+'Inputs'!$B$31+'Inputs'!$B$32,'Inputs'!$B$30+'Inputs'!$B$31+'Inputs'!$B$32)/1000+'Inputs'!$B$21+'Inputs'!$B$7+'Inputs'!$B$10)+'Inputs'!$B$9)^2+('Inputs'!$B$8/2)^2)-(((478-43)*MAX('Inputs'!$B$33,'Inputs'!$B$29+'Inputs'!$B$31+'Inputs'!$B$32,'Inputs'!$B$30+'Inputs'!$B$31+'Inputs'!$B$32)/1000+'Inputs'!$B$21+'Inputs'!$B$7+'Inputs'!$B$10))/SQRT((((478-43)*MAX('Inputs'!$B$33,'Inputs'!$B$29+'Inputs'!$B$31+'Inputs'!$B$32,'Inputs'!$B$30+'Inputs'!$B$31+'Inputs'!$B$32)/1000+'Inputs'!$B$21+'Inputs'!$B$7+'Inputs'!$B$10))^2+('Inputs'!$B$8/2)^2))))*'Results'!$B$8))),"")</x:f>
        <x:v>5.970054295442651</x:v>
      </x:c>
      <x:c r="L478" t="n">
        <x:f>IF(AND(ISNUMBER('Results'!B7),ISNUMBER('Results'!C7),ISNUMBER('Results'!$B$8),ISNUMBER('Inputs'!$B$6),ISNUMBER('Inputs'!$B$7),ISNUMBER('Inputs'!$B$8),ISNUMBER('Inputs'!$B$9),ISNUMBER('Inputs'!$B$10),ISNUMBER('Inputs'!$B$21),ISNUMBER('Inputs'!$B$24),ISNUMBER('Inputs'!$B$28)),((('Results'!B7*(1+'Inputs'!$B$24)*(0.5*((((478-43)*MAX('Inputs'!$B$33,'Inputs'!$B$29+'Inputs'!$B$31+'Inputs'!$B$32,'Inputs'!$B$30+'Inputs'!$B$31+'Inputs'!$B$32)/1000+'Inputs'!$B$21)+'Inputs'!$B$7)/SQRT((((478-43)*MAX('Inputs'!$B$33,'Inputs'!$B$29+'Inputs'!$B$31+'Inputs'!$B$32,'Inputs'!$B$30+'Inputs'!$B$31+'Inputs'!$B$32)/1000+'Inputs'!$B$21)+'Inputs'!$B$7)^2+('Inputs'!$B$6/2)^2)-(((478-43)*MAX('Inputs'!$B$33,'Inputs'!$B$29+'Inputs'!$B$31+'Inputs'!$B$32,'Inputs'!$B$30+'Inputs'!$B$31+'Inputs'!$B$32)/1000+'Inputs'!$B$21))/SQRT((((478-43)*MAX('Inputs'!$B$33,'Inputs'!$B$29+'Inputs'!$B$31+'Inputs'!$B$32,'Inputs'!$B$30+'Inputs'!$B$31+'Inputs'!$B$32)/1000+'Inputs'!$B$21))^2+('Inputs'!$B$6/2)^2)))-'Results'!C7*(1-'Inputs'!$B$24)*(0.5*((((478-43)*MAX('Inputs'!$B$33,'Inputs'!$B$29+'Inputs'!$B$31+'Inputs'!$B$32,'Inputs'!$B$30+'Inputs'!$B$31+'Inputs'!$B$32)/1000+'Inputs'!$B$21+'Inputs'!$B$7+'Inputs'!$B$10)+'Inputs'!$B$9)/SQRT((((478-43)*MAX('Inputs'!$B$33,'Inputs'!$B$29+'Inputs'!$B$31+'Inputs'!$B$32,'Inputs'!$B$30+'Inputs'!$B$31+'Inputs'!$B$32)/1000+'Inputs'!$B$21+'Inputs'!$B$7+'Inputs'!$B$10)+'Inputs'!$B$9)^2+('Inputs'!$B$8/2)^2)-(((478-43)*MAX('Inputs'!$B$33,'Inputs'!$B$29+'Inputs'!$B$31+'Inputs'!$B$32,'Inputs'!$B$30+'Inputs'!$B$31+'Inputs'!$B$32)/1000+'Inputs'!$B$21+'Inputs'!$B$7+'Inputs'!$B$10))/SQRT((((478-43)*MAX('Inputs'!$B$33,'Inputs'!$B$29+'Inputs'!$B$31+'Inputs'!$B$32,'Inputs'!$B$30+'Inputs'!$B$31+'Inputs'!$B$32)/1000+'Inputs'!$B$21+'Inputs'!$B$7+'Inputs'!$B$10))^2+('Inputs'!$B$8/2)^2))))*'Results'!$B$8)+'Inputs'!$B$28*ABS((('Results'!B7*(1+'Inputs'!$B$24)*(0.5*((((478-43)*MAX('Inputs'!$B$33,'Inputs'!$B$29+'Inputs'!$B$31+'Inputs'!$B$32,'Inputs'!$B$30+'Inputs'!$B$31+'Inputs'!$B$32)/1000+'Inputs'!$B$21)+'Inputs'!$B$7)/SQRT((((478-43)*MAX('Inputs'!$B$33,'Inputs'!$B$29+'Inputs'!$B$31+'Inputs'!$B$32,'Inputs'!$B$30+'Inputs'!$B$31+'Inputs'!$B$32)/1000+'Inputs'!$B$21)+'Inputs'!$B$7)^2+('Inputs'!$B$6/2)^2)-(((478-43)*MAX('Inputs'!$B$33,'Inputs'!$B$29+'Inputs'!$B$31+'Inputs'!$B$32,'Inputs'!$B$30+'Inputs'!$B$31+'Inputs'!$B$32)/1000+'Inputs'!$B$21))/SQRT((((478-43)*MAX('Inputs'!$B$33,'Inputs'!$B$29+'Inputs'!$B$31+'Inputs'!$B$32,'Inputs'!$B$30+'Inputs'!$B$31+'Inputs'!$B$32)/1000+'Inputs'!$B$21))^2+('Inputs'!$B$6/2)^2)))-'Results'!C7*(1-'Inputs'!$B$24)*(0.5*((((478-43)*MAX('Inputs'!$B$33,'Inputs'!$B$29+'Inputs'!$B$31+'Inputs'!$B$32,'Inputs'!$B$30+'Inputs'!$B$31+'Inputs'!$B$32)/1000+'Inputs'!$B$21+'Inputs'!$B$7+'Inputs'!$B$10)+'Inputs'!$B$9)/SQRT((((478-43)*MAX('Inputs'!$B$33,'Inputs'!$B$29+'Inputs'!$B$31+'Inputs'!$B$32,'Inputs'!$B$30+'Inputs'!$B$31+'Inputs'!$B$32)/1000+'Inputs'!$B$21+'Inputs'!$B$7+'Inputs'!$B$10)+'Inputs'!$B$9)^2+('Inputs'!$B$8/2)^2)-(((478-43)*MAX('Inputs'!$B$33,'Inputs'!$B$29+'Inputs'!$B$31+'Inputs'!$B$32,'Inputs'!$B$30+'Inputs'!$B$31+'Inputs'!$B$32)/1000+'Inputs'!$B$21+'Inputs'!$B$7+'Inputs'!$B$10))/SQRT((((478-43)*MAX('Inputs'!$B$33,'Inputs'!$B$29+'Inputs'!$B$31+'Inputs'!$B$32,'Inputs'!$B$30+'Inputs'!$B$31+'Inputs'!$B$32)/1000+'Inputs'!$B$21+'Inputs'!$B$7+'Inputs'!$B$10))^2+('Inputs'!$B$8/2)^2))))*'Results'!$B$8))),"")</x:f>
        <x:v>7.45704104828611</x:v>
      </x:c>
      <x:c r="M478" t="n">
        <x:f>IF(AND(ISNUMBER('Results'!C7),ISNUMBER('Results'!B7),ISNUMBER('Results'!$B$8),ISNUMBER('Inputs'!$B$6),ISNUMBER('Inputs'!$B$7),ISNUMBER('Inputs'!$B$8),ISNUMBER('Inputs'!$B$9),ISNUMBER('Inputs'!$B$10),ISNUMBER('Inputs'!$B$21),ISNUMBER('Inputs'!$B$24),ISNUMBER('Inputs'!$B$28)),(('Results'!C7*(0.5*((((478-43)*MAX('Inputs'!$B$33,'Inputs'!$B$29+'Inputs'!$B$31+'Inputs'!$B$32,'Inputs'!$B$30+'Inputs'!$B$31+'Inputs'!$B$32)/1000+'Inputs'!$B$21)+'Inputs'!$B$9)/SQRT((((478-43)*MAX('Inputs'!$B$33,'Inputs'!$B$29+'Inputs'!$B$31+'Inputs'!$B$32,'Inputs'!$B$30+'Inputs'!$B$31+'Inputs'!$B$32)/1000+'Inputs'!$B$21)+'Inputs'!$B$9)^2+('Inputs'!$B$8/2)^2)-(((478-43)*MAX('Inputs'!$B$33,'Inputs'!$B$29+'Inputs'!$B$31+'Inputs'!$B$32,'Inputs'!$B$30+'Inputs'!$B$31+'Inputs'!$B$32)/1000+'Inputs'!$B$21))/SQRT((((478-43)*MAX('Inputs'!$B$33,'Inputs'!$B$29+'Inputs'!$B$31+'Inputs'!$B$32,'Inputs'!$B$30+'Inputs'!$B$31+'Inputs'!$B$32)/1000+'Inputs'!$B$21))^2+('Inputs'!$B$8/2)^2)))-'Results'!B7*(0.5*((((478-43)*MAX('Inputs'!$B$33,'Inputs'!$B$29+'Inputs'!$B$31+'Inputs'!$B$32,'Inputs'!$B$30+'Inputs'!$B$31+'Inputs'!$B$32)/1000+'Inputs'!$B$21+'Inputs'!$B$9+'Inputs'!$B$10)+'Inputs'!$B$7)/SQRT((((478-43)*MAX('Inputs'!$B$33,'Inputs'!$B$29+'Inputs'!$B$31+'Inputs'!$B$32,'Inputs'!$B$30+'Inputs'!$B$31+'Inputs'!$B$32)/1000+'Inputs'!$B$21+'Inputs'!$B$9+'Inputs'!$B$10)+'Inputs'!$B$7)^2+('Inputs'!$B$6/2)^2)-(((478-43)*MAX('Inputs'!$B$33,'Inputs'!$B$29+'Inputs'!$B$31+'Inputs'!$B$32,'Inputs'!$B$30+'Inputs'!$B$31+'Inputs'!$B$32)/1000+'Inputs'!$B$21+'Inputs'!$B$9+'Inputs'!$B$10))/SQRT((((478-43)*MAX('Inputs'!$B$33,'Inputs'!$B$29+'Inputs'!$B$31+'Inputs'!$B$32,'Inputs'!$B$30+'Inputs'!$B$31+'Inputs'!$B$32)/1000+'Inputs'!$B$21+'Inputs'!$B$9+'Inputs'!$B$10))^2+('Inputs'!$B$6/2)^2))))*'Results'!$B$8),"")</x:f>
        <x:v>6.281461802140875</x:v>
      </x:c>
      <x:c r="N478" t="n">
        <x:f>IF(AND(ISNUMBER('Results'!C7),ISNUMBER('Results'!B7),ISNUMBER('Results'!$B$8),ISNUMBER('Inputs'!$B$6),ISNUMBER('Inputs'!$B$7),ISNUMBER('Inputs'!$B$8),ISNUMBER('Inputs'!$B$9),ISNUMBER('Inputs'!$B$10),ISNUMBER('Inputs'!$B$21),ISNUMBER('Inputs'!$B$24),ISNUMBER('Inputs'!$B$28)),((('Results'!C7*(1-'Inputs'!$B$24)*(0.5*((((478-43)*MAX('Inputs'!$B$33,'Inputs'!$B$29+'Inputs'!$B$31+'Inputs'!$B$32,'Inputs'!$B$30+'Inputs'!$B$31+'Inputs'!$B$32)/1000+'Inputs'!$B$21)+'Inputs'!$B$9)/SQRT((((478-43)*MAX('Inputs'!$B$33,'Inputs'!$B$29+'Inputs'!$B$31+'Inputs'!$B$32,'Inputs'!$B$30+'Inputs'!$B$31+'Inputs'!$B$32)/1000+'Inputs'!$B$21)+'Inputs'!$B$9)^2+('Inputs'!$B$8/2)^2)-(((478-43)*MAX('Inputs'!$B$33,'Inputs'!$B$29+'Inputs'!$B$31+'Inputs'!$B$32,'Inputs'!$B$30+'Inputs'!$B$31+'Inputs'!$B$32)/1000+'Inputs'!$B$21))/SQRT((((478-43)*MAX('Inputs'!$B$33,'Inputs'!$B$29+'Inputs'!$B$31+'Inputs'!$B$32,'Inputs'!$B$30+'Inputs'!$B$31+'Inputs'!$B$32)/1000+'Inputs'!$B$21))^2+('Inputs'!$B$8/2)^2)))-'Results'!B7*(1+'Inputs'!$B$24)*(0.5*((((478-43)*MAX('Inputs'!$B$33,'Inputs'!$B$29+'Inputs'!$B$31+'Inputs'!$B$32,'Inputs'!$B$30+'Inputs'!$B$31+'Inputs'!$B$32)/1000+'Inputs'!$B$21+'Inputs'!$B$9+'Inputs'!$B$10)+'Inputs'!$B$7)/SQRT((((478-43)*MAX('Inputs'!$B$33,'Inputs'!$B$29+'Inputs'!$B$31+'Inputs'!$B$32,'Inputs'!$B$30+'Inputs'!$B$31+'Inputs'!$B$32)/1000+'Inputs'!$B$21+'Inputs'!$B$9+'Inputs'!$B$10)+'Inputs'!$B$7)^2+('Inputs'!$B$6/2)^2)-(((478-43)*MAX('Inputs'!$B$33,'Inputs'!$B$29+'Inputs'!$B$31+'Inputs'!$B$32,'Inputs'!$B$30+'Inputs'!$B$31+'Inputs'!$B$32)/1000+'Inputs'!$B$21+'Inputs'!$B$9+'Inputs'!$B$10))/SQRT((((478-43)*MAX('Inputs'!$B$33,'Inputs'!$B$29+'Inputs'!$B$31+'Inputs'!$B$32,'Inputs'!$B$30+'Inputs'!$B$31+'Inputs'!$B$32)/1000+'Inputs'!$B$21+'Inputs'!$B$9+'Inputs'!$B$10))^2+('Inputs'!$B$6/2)^2))))*'Results'!$B$8)-'Inputs'!$B$28*ABS((('Results'!C7*(1-'Inputs'!$B$24)*(0.5*((((478-43)*MAX('Inputs'!$B$33,'Inputs'!$B$29+'Inputs'!$B$31+'Inputs'!$B$32,'Inputs'!$B$30+'Inputs'!$B$31+'Inputs'!$B$32)/1000+'Inputs'!$B$21)+'Inputs'!$B$9)/SQRT((((478-43)*MAX('Inputs'!$B$33,'Inputs'!$B$29+'Inputs'!$B$31+'Inputs'!$B$32,'Inputs'!$B$30+'Inputs'!$B$31+'Inputs'!$B$32)/1000+'Inputs'!$B$21)+'Inputs'!$B$9)^2+('Inputs'!$B$8/2)^2)-(((478-43)*MAX('Inputs'!$B$33,'Inputs'!$B$29+'Inputs'!$B$31+'Inputs'!$B$32,'Inputs'!$B$30+'Inputs'!$B$31+'Inputs'!$B$32)/1000+'Inputs'!$B$21))/SQRT((((478-43)*MAX('Inputs'!$B$33,'Inputs'!$B$29+'Inputs'!$B$31+'Inputs'!$B$32,'Inputs'!$B$30+'Inputs'!$B$31+'Inputs'!$B$32)/1000+'Inputs'!$B$21))^2+('Inputs'!$B$8/2)^2)))-'Results'!B7*(1+'Inputs'!$B$24)*(0.5*((((478-43)*MAX('Inputs'!$B$33,'Inputs'!$B$29+'Inputs'!$B$31+'Inputs'!$B$32,'Inputs'!$B$30+'Inputs'!$B$31+'Inputs'!$B$32)/1000+'Inputs'!$B$21+'Inputs'!$B$9+'Inputs'!$B$10)+'Inputs'!$B$7)/SQRT((((478-43)*MAX('Inputs'!$B$33,'Inputs'!$B$29+'Inputs'!$B$31+'Inputs'!$B$32,'Inputs'!$B$30+'Inputs'!$B$31+'Inputs'!$B$32)/1000+'Inputs'!$B$21+'Inputs'!$B$9+'Inputs'!$B$10)+'Inputs'!$B$7)^2+('Inputs'!$B$6/2)^2)-(((478-43)*MAX('Inputs'!$B$33,'Inputs'!$B$29+'Inputs'!$B$31+'Inputs'!$B$32,'Inputs'!$B$30+'Inputs'!$B$31+'Inputs'!$B$32)/1000+'Inputs'!$B$21+'Inputs'!$B$9+'Inputs'!$B$10))/SQRT((((478-43)*MAX('Inputs'!$B$33,'Inputs'!$B$29+'Inputs'!$B$31+'Inputs'!$B$32,'Inputs'!$B$30+'Inputs'!$B$31+'Inputs'!$B$32)/1000+'Inputs'!$B$21+'Inputs'!$B$9+'Inputs'!$B$10))^2+('Inputs'!$B$6/2)^2))))*'Results'!$B$8))),"")</x:f>
        <x:v>5.581482596911088</x:v>
      </x:c>
      <x:c r="O478" t="n">
        <x:f>IF(AND(ISNUMBER('Results'!C7),ISNUMBER('Results'!B7),ISNUMBER('Results'!$B$8),ISNUMBER('Inputs'!$B$6),ISNUMBER('Inputs'!$B$7),ISNUMBER('Inputs'!$B$8),ISNUMBER('Inputs'!$B$9),ISNUMBER('Inputs'!$B$10),ISNUMBER('Inputs'!$B$21),ISNUMBER('Inputs'!$B$24),ISNUMBER('Inputs'!$B$28)),((('Results'!C7*(1+'Inputs'!$B$24)*(0.5*((((478-43)*MAX('Inputs'!$B$33,'Inputs'!$B$29+'Inputs'!$B$31+'Inputs'!$B$32,'Inputs'!$B$30+'Inputs'!$B$31+'Inputs'!$B$32)/1000+'Inputs'!$B$21)+'Inputs'!$B$9)/SQRT((((478-43)*MAX('Inputs'!$B$33,'Inputs'!$B$29+'Inputs'!$B$31+'Inputs'!$B$32,'Inputs'!$B$30+'Inputs'!$B$31+'Inputs'!$B$32)/1000+'Inputs'!$B$21)+'Inputs'!$B$9)^2+('Inputs'!$B$8/2)^2)-(((478-43)*MAX('Inputs'!$B$33,'Inputs'!$B$29+'Inputs'!$B$31+'Inputs'!$B$32,'Inputs'!$B$30+'Inputs'!$B$31+'Inputs'!$B$32)/1000+'Inputs'!$B$21))/SQRT((((478-43)*MAX('Inputs'!$B$33,'Inputs'!$B$29+'Inputs'!$B$31+'Inputs'!$B$32,'Inputs'!$B$30+'Inputs'!$B$31+'Inputs'!$B$32)/1000+'Inputs'!$B$21))^2+('Inputs'!$B$8/2)^2)))-'Results'!B7*(1-'Inputs'!$B$24)*(0.5*((((478-43)*MAX('Inputs'!$B$33,'Inputs'!$B$29+'Inputs'!$B$31+'Inputs'!$B$32,'Inputs'!$B$30+'Inputs'!$B$31+'Inputs'!$B$32)/1000+'Inputs'!$B$21+'Inputs'!$B$9+'Inputs'!$B$10)+'Inputs'!$B$7)/SQRT((((478-43)*MAX('Inputs'!$B$33,'Inputs'!$B$29+'Inputs'!$B$31+'Inputs'!$B$32,'Inputs'!$B$30+'Inputs'!$B$31+'Inputs'!$B$32)/1000+'Inputs'!$B$21+'Inputs'!$B$9+'Inputs'!$B$10)+'Inputs'!$B$7)^2+('Inputs'!$B$6/2)^2)-(((478-43)*MAX('Inputs'!$B$33,'Inputs'!$B$29+'Inputs'!$B$31+'Inputs'!$B$32,'Inputs'!$B$30+'Inputs'!$B$31+'Inputs'!$B$32)/1000+'Inputs'!$B$21+'Inputs'!$B$9+'Inputs'!$B$10))/SQRT((((478-43)*MAX('Inputs'!$B$33,'Inputs'!$B$29+'Inputs'!$B$31+'Inputs'!$B$32,'Inputs'!$B$30+'Inputs'!$B$31+'Inputs'!$B$32)/1000+'Inputs'!$B$21+'Inputs'!$B$9+'Inputs'!$B$10))^2+('Inputs'!$B$6/2)^2))))*'Results'!$B$8)+'Inputs'!$B$28*ABS((('Results'!C7*(1+'Inputs'!$B$24)*(0.5*((((478-43)*MAX('Inputs'!$B$33,'Inputs'!$B$29+'Inputs'!$B$31+'Inputs'!$B$32,'Inputs'!$B$30+'Inputs'!$B$31+'Inputs'!$B$32)/1000+'Inputs'!$B$21)+'Inputs'!$B$9)/SQRT((((478-43)*MAX('Inputs'!$B$33,'Inputs'!$B$29+'Inputs'!$B$31+'Inputs'!$B$32,'Inputs'!$B$30+'Inputs'!$B$31+'Inputs'!$B$32)/1000+'Inputs'!$B$21)+'Inputs'!$B$9)^2+('Inputs'!$B$8/2)^2)-(((478-43)*MAX('Inputs'!$B$33,'Inputs'!$B$29+'Inputs'!$B$31+'Inputs'!$B$32,'Inputs'!$B$30+'Inputs'!$B$31+'Inputs'!$B$32)/1000+'Inputs'!$B$21))/SQRT((((478-43)*MAX('Inputs'!$B$33,'Inputs'!$B$29+'Inputs'!$B$31+'Inputs'!$B$32,'Inputs'!$B$30+'Inputs'!$B$31+'Inputs'!$B$32)/1000+'Inputs'!$B$21))^2+('Inputs'!$B$8/2)^2)))-'Results'!B7*(1-'Inputs'!$B$24)*(0.5*((((478-43)*MAX('Inputs'!$B$33,'Inputs'!$B$29+'Inputs'!$B$31+'Inputs'!$B$32,'Inputs'!$B$30+'Inputs'!$B$31+'Inputs'!$B$32)/1000+'Inputs'!$B$21+'Inputs'!$B$9+'Inputs'!$B$10)+'Inputs'!$B$7)/SQRT((((478-43)*MAX('Inputs'!$B$33,'Inputs'!$B$29+'Inputs'!$B$31+'Inputs'!$B$32,'Inputs'!$B$30+'Inputs'!$B$31+'Inputs'!$B$32)/1000+'Inputs'!$B$21+'Inputs'!$B$9+'Inputs'!$B$10)+'Inputs'!$B$7)^2+('Inputs'!$B$6/2)^2)-(((478-43)*MAX('Inputs'!$B$33,'Inputs'!$B$29+'Inputs'!$B$31+'Inputs'!$B$32,'Inputs'!$B$30+'Inputs'!$B$31+'Inputs'!$B$32)/1000+'Inputs'!$B$21+'Inputs'!$B$9+'Inputs'!$B$10))/SQRT((((478-43)*MAX('Inputs'!$B$33,'Inputs'!$B$29+'Inputs'!$B$31+'Inputs'!$B$32,'Inputs'!$B$30+'Inputs'!$B$31+'Inputs'!$B$32)/1000+'Inputs'!$B$21+'Inputs'!$B$9+'Inputs'!$B$10))^2+('Inputs'!$B$6/2)^2))))*'Results'!$B$8))),"")</x:f>
        <x:v>7.02206270369937</x:v>
      </x:c>
      <x:c r="P478" t="n">
        <x:f>IF(AND(MAX(J478,J477)&gt;0,J478&gt;J477+0.00000001),1,0)</x:f>
        <x:v>0</x:v>
      </x:c>
      <x:c r="Q478" t="n">
        <x:f>IF(AND(MAX(K478,K477)&gt;0,K478&gt;K477+0.00000001),1,0)</x:f>
        <x:v>0</x:v>
      </x:c>
      <x:c r="R478" t="n">
        <x:f>IF(AND(MAX(L478,L477)&gt;0,L478&gt;L477+0.00000001),1,0)</x:f>
        <x:v>0</x:v>
      </x:c>
      <x:c r="S478" t="n">
        <x:f>IF(AND(MAX(M478,M477)&gt;0,M478&gt;M477+0.00000001),1,0)</x:f>
        <x:v>0</x:v>
      </x:c>
      <x:c r="T478" t="n">
        <x:f>IF(AND(MAX(N478,N477)&gt;0,N478&gt;N477+0.00000001),1,0)</x:f>
        <x:v>0</x:v>
      </x:c>
      <x:c r="U478" t="n">
        <x:f>IF(AND(MAX(O478,O477)&gt;0,O478&gt;O477+0.00000001),1,0)</x:f>
        <x:v>0</x:v>
      </x:c>
    </x:row>
    <x:row r="479">
      <x:c r="J479" t="n">
        <x:f>IF(AND(ISNUMBER('Results'!B7),ISNUMBER('Results'!C7),ISNUMBER('Results'!$B$8),ISNUMBER('Inputs'!$B$6),ISNUMBER('Inputs'!$B$7),ISNUMBER('Inputs'!$B$8),ISNUMBER('Inputs'!$B$9),ISNUMBER('Inputs'!$B$10),ISNUMBER('Inputs'!$B$21),ISNUMBER('Inputs'!$B$24),ISNUMBER('Inputs'!$B$28)),(('Results'!B7*(0.5*((((479-43)*MAX('Inputs'!$B$33,'Inputs'!$B$29+'Inputs'!$B$31+'Inputs'!$B$32,'Inputs'!$B$30+'Inputs'!$B$31+'Inputs'!$B$32)/1000+'Inputs'!$B$21)+'Inputs'!$B$7)/SQRT((((479-43)*MAX('Inputs'!$B$33,'Inputs'!$B$29+'Inputs'!$B$31+'Inputs'!$B$32,'Inputs'!$B$30+'Inputs'!$B$31+'Inputs'!$B$32)/1000+'Inputs'!$B$21)+'Inputs'!$B$7)^2+('Inputs'!$B$6/2)^2)-(((479-43)*MAX('Inputs'!$B$33,'Inputs'!$B$29+'Inputs'!$B$31+'Inputs'!$B$32,'Inputs'!$B$30+'Inputs'!$B$31+'Inputs'!$B$32)/1000+'Inputs'!$B$21))/SQRT((((479-43)*MAX('Inputs'!$B$33,'Inputs'!$B$29+'Inputs'!$B$31+'Inputs'!$B$32,'Inputs'!$B$30+'Inputs'!$B$31+'Inputs'!$B$32)/1000+'Inputs'!$B$21))^2+('Inputs'!$B$6/2)^2)))-'Results'!C7*(0.5*((((479-43)*MAX('Inputs'!$B$33,'Inputs'!$B$29+'Inputs'!$B$31+'Inputs'!$B$32,'Inputs'!$B$30+'Inputs'!$B$31+'Inputs'!$B$32)/1000+'Inputs'!$B$21+'Inputs'!$B$7+'Inputs'!$B$10)+'Inputs'!$B$9)/SQRT((((479-43)*MAX('Inputs'!$B$33,'Inputs'!$B$29+'Inputs'!$B$31+'Inputs'!$B$32,'Inputs'!$B$30+'Inputs'!$B$31+'Inputs'!$B$32)/1000+'Inputs'!$B$21+'Inputs'!$B$7+'Inputs'!$B$10)+'Inputs'!$B$9)^2+('Inputs'!$B$8/2)^2)-(((479-43)*MAX('Inputs'!$B$33,'Inputs'!$B$29+'Inputs'!$B$31+'Inputs'!$B$32,'Inputs'!$B$30+'Inputs'!$B$31+'Inputs'!$B$32)/1000+'Inputs'!$B$21+'Inputs'!$B$7+'Inputs'!$B$10))/SQRT((((479-43)*MAX('Inputs'!$B$33,'Inputs'!$B$29+'Inputs'!$B$31+'Inputs'!$B$32,'Inputs'!$B$30+'Inputs'!$B$31+'Inputs'!$B$32)/1000+'Inputs'!$B$21+'Inputs'!$B$7+'Inputs'!$B$10))^2+('Inputs'!$B$8/2)^2))))*'Results'!$B$8),"")</x:f>
        <x:v>6.641886404737601</x:v>
      </x:c>
      <x:c r="K479" t="n">
        <x:f>IF(AND(ISNUMBER('Results'!B7),ISNUMBER('Results'!C7),ISNUMBER('Results'!$B$8),ISNUMBER('Inputs'!$B$6),ISNUMBER('Inputs'!$B$7),ISNUMBER('Inputs'!$B$8),ISNUMBER('Inputs'!$B$9),ISNUMBER('Inputs'!$B$10),ISNUMBER('Inputs'!$B$21),ISNUMBER('Inputs'!$B$24),ISNUMBER('Inputs'!$B$28)),((('Results'!B7*(1-'Inputs'!$B$24)*(0.5*((((479-43)*MAX('Inputs'!$B$33,'Inputs'!$B$29+'Inputs'!$B$31+'Inputs'!$B$32,'Inputs'!$B$30+'Inputs'!$B$31+'Inputs'!$B$32)/1000+'Inputs'!$B$21)+'Inputs'!$B$7)/SQRT((((479-43)*MAX('Inputs'!$B$33,'Inputs'!$B$29+'Inputs'!$B$31+'Inputs'!$B$32,'Inputs'!$B$30+'Inputs'!$B$31+'Inputs'!$B$32)/1000+'Inputs'!$B$21)+'Inputs'!$B$7)^2+('Inputs'!$B$6/2)^2)-(((479-43)*MAX('Inputs'!$B$33,'Inputs'!$B$29+'Inputs'!$B$31+'Inputs'!$B$32,'Inputs'!$B$30+'Inputs'!$B$31+'Inputs'!$B$32)/1000+'Inputs'!$B$21))/SQRT((((479-43)*MAX('Inputs'!$B$33,'Inputs'!$B$29+'Inputs'!$B$31+'Inputs'!$B$32,'Inputs'!$B$30+'Inputs'!$B$31+'Inputs'!$B$32)/1000+'Inputs'!$B$21))^2+('Inputs'!$B$6/2)^2)))-'Results'!C7*(1+'Inputs'!$B$24)*(0.5*((((479-43)*MAX('Inputs'!$B$33,'Inputs'!$B$29+'Inputs'!$B$31+'Inputs'!$B$32,'Inputs'!$B$30+'Inputs'!$B$31+'Inputs'!$B$32)/1000+'Inputs'!$B$21+'Inputs'!$B$7+'Inputs'!$B$10)+'Inputs'!$B$9)/SQRT((((479-43)*MAX('Inputs'!$B$33,'Inputs'!$B$29+'Inputs'!$B$31+'Inputs'!$B$32,'Inputs'!$B$30+'Inputs'!$B$31+'Inputs'!$B$32)/1000+'Inputs'!$B$21+'Inputs'!$B$7+'Inputs'!$B$10)+'Inputs'!$B$9)^2+('Inputs'!$B$8/2)^2)-(((479-43)*MAX('Inputs'!$B$33,'Inputs'!$B$29+'Inputs'!$B$31+'Inputs'!$B$32,'Inputs'!$B$30+'Inputs'!$B$31+'Inputs'!$B$32)/1000+'Inputs'!$B$21+'Inputs'!$B$7+'Inputs'!$B$10))/SQRT((((479-43)*MAX('Inputs'!$B$33,'Inputs'!$B$29+'Inputs'!$B$31+'Inputs'!$B$32,'Inputs'!$B$30+'Inputs'!$B$31+'Inputs'!$B$32)/1000+'Inputs'!$B$21+'Inputs'!$B$7+'Inputs'!$B$10))^2+('Inputs'!$B$8/2)^2))))*'Results'!$B$8)-'Inputs'!$B$28*ABS((('Results'!B7*(1-'Inputs'!$B$24)*(0.5*((((479-43)*MAX('Inputs'!$B$33,'Inputs'!$B$29+'Inputs'!$B$31+'Inputs'!$B$32,'Inputs'!$B$30+'Inputs'!$B$31+'Inputs'!$B$32)/1000+'Inputs'!$B$21)+'Inputs'!$B$7)/SQRT((((479-43)*MAX('Inputs'!$B$33,'Inputs'!$B$29+'Inputs'!$B$31+'Inputs'!$B$32,'Inputs'!$B$30+'Inputs'!$B$31+'Inputs'!$B$32)/1000+'Inputs'!$B$21)+'Inputs'!$B$7)^2+('Inputs'!$B$6/2)^2)-(((479-43)*MAX('Inputs'!$B$33,'Inputs'!$B$29+'Inputs'!$B$31+'Inputs'!$B$32,'Inputs'!$B$30+'Inputs'!$B$31+'Inputs'!$B$32)/1000+'Inputs'!$B$21))/SQRT((((479-43)*MAX('Inputs'!$B$33,'Inputs'!$B$29+'Inputs'!$B$31+'Inputs'!$B$32,'Inputs'!$B$30+'Inputs'!$B$31+'Inputs'!$B$32)/1000+'Inputs'!$B$21))^2+('Inputs'!$B$6/2)^2)))-'Results'!C7*(1+'Inputs'!$B$24)*(0.5*((((479-43)*MAX('Inputs'!$B$33,'Inputs'!$B$29+'Inputs'!$B$31+'Inputs'!$B$32,'Inputs'!$B$30+'Inputs'!$B$31+'Inputs'!$B$32)/1000+'Inputs'!$B$21+'Inputs'!$B$7+'Inputs'!$B$10)+'Inputs'!$B$9)/SQRT((((479-43)*MAX('Inputs'!$B$33,'Inputs'!$B$29+'Inputs'!$B$31+'Inputs'!$B$32,'Inputs'!$B$30+'Inputs'!$B$31+'Inputs'!$B$32)/1000+'Inputs'!$B$21+'Inputs'!$B$7+'Inputs'!$B$10)+'Inputs'!$B$9)^2+('Inputs'!$B$8/2)^2)-(((479-43)*MAX('Inputs'!$B$33,'Inputs'!$B$29+'Inputs'!$B$31+'Inputs'!$B$32,'Inputs'!$B$30+'Inputs'!$B$31+'Inputs'!$B$32)/1000+'Inputs'!$B$21+'Inputs'!$B$7+'Inputs'!$B$10))/SQRT((((479-43)*MAX('Inputs'!$B$33,'Inputs'!$B$29+'Inputs'!$B$31+'Inputs'!$B$32,'Inputs'!$B$30+'Inputs'!$B$31+'Inputs'!$B$32)/1000+'Inputs'!$B$21+'Inputs'!$B$7+'Inputs'!$B$10))^2+('Inputs'!$B$8/2)^2))))*'Results'!$B$8))),"")</x:f>
        <x:v>5.923716275901266</x:v>
      </x:c>
      <x:c r="L479" t="n">
        <x:f>IF(AND(ISNUMBER('Results'!B7),ISNUMBER('Results'!C7),ISNUMBER('Results'!$B$8),ISNUMBER('Inputs'!$B$6),ISNUMBER('Inputs'!$B$7),ISNUMBER('Inputs'!$B$8),ISNUMBER('Inputs'!$B$9),ISNUMBER('Inputs'!$B$10),ISNUMBER('Inputs'!$B$21),ISNUMBER('Inputs'!$B$24),ISNUMBER('Inputs'!$B$28)),((('Results'!B7*(1+'Inputs'!$B$24)*(0.5*((((479-43)*MAX('Inputs'!$B$33,'Inputs'!$B$29+'Inputs'!$B$31+'Inputs'!$B$32,'Inputs'!$B$30+'Inputs'!$B$31+'Inputs'!$B$32)/1000+'Inputs'!$B$21)+'Inputs'!$B$7)/SQRT((((479-43)*MAX('Inputs'!$B$33,'Inputs'!$B$29+'Inputs'!$B$31+'Inputs'!$B$32,'Inputs'!$B$30+'Inputs'!$B$31+'Inputs'!$B$32)/1000+'Inputs'!$B$21)+'Inputs'!$B$7)^2+('Inputs'!$B$6/2)^2)-(((479-43)*MAX('Inputs'!$B$33,'Inputs'!$B$29+'Inputs'!$B$31+'Inputs'!$B$32,'Inputs'!$B$30+'Inputs'!$B$31+'Inputs'!$B$32)/1000+'Inputs'!$B$21))/SQRT((((479-43)*MAX('Inputs'!$B$33,'Inputs'!$B$29+'Inputs'!$B$31+'Inputs'!$B$32,'Inputs'!$B$30+'Inputs'!$B$31+'Inputs'!$B$32)/1000+'Inputs'!$B$21))^2+('Inputs'!$B$6/2)^2)))-'Results'!C7*(1-'Inputs'!$B$24)*(0.5*((((479-43)*MAX('Inputs'!$B$33,'Inputs'!$B$29+'Inputs'!$B$31+'Inputs'!$B$32,'Inputs'!$B$30+'Inputs'!$B$31+'Inputs'!$B$32)/1000+'Inputs'!$B$21+'Inputs'!$B$7+'Inputs'!$B$10)+'Inputs'!$B$9)/SQRT((((479-43)*MAX('Inputs'!$B$33,'Inputs'!$B$29+'Inputs'!$B$31+'Inputs'!$B$32,'Inputs'!$B$30+'Inputs'!$B$31+'Inputs'!$B$32)/1000+'Inputs'!$B$21+'Inputs'!$B$7+'Inputs'!$B$10)+'Inputs'!$B$9)^2+('Inputs'!$B$8/2)^2)-(((479-43)*MAX('Inputs'!$B$33,'Inputs'!$B$29+'Inputs'!$B$31+'Inputs'!$B$32,'Inputs'!$B$30+'Inputs'!$B$31+'Inputs'!$B$32)/1000+'Inputs'!$B$21+'Inputs'!$B$7+'Inputs'!$B$10))/SQRT((((479-43)*MAX('Inputs'!$B$33,'Inputs'!$B$29+'Inputs'!$B$31+'Inputs'!$B$32,'Inputs'!$B$30+'Inputs'!$B$31+'Inputs'!$B$32)/1000+'Inputs'!$B$21+'Inputs'!$B$7+'Inputs'!$B$10))^2+('Inputs'!$B$8/2)^2))))*'Results'!$B$8)+'Inputs'!$B$28*ABS((('Results'!B7*(1+'Inputs'!$B$24)*(0.5*((((479-43)*MAX('Inputs'!$B$33,'Inputs'!$B$29+'Inputs'!$B$31+'Inputs'!$B$32,'Inputs'!$B$30+'Inputs'!$B$31+'Inputs'!$B$32)/1000+'Inputs'!$B$21)+'Inputs'!$B$7)/SQRT((((479-43)*MAX('Inputs'!$B$33,'Inputs'!$B$29+'Inputs'!$B$31+'Inputs'!$B$32,'Inputs'!$B$30+'Inputs'!$B$31+'Inputs'!$B$32)/1000+'Inputs'!$B$21)+'Inputs'!$B$7)^2+('Inputs'!$B$6/2)^2)-(((479-43)*MAX('Inputs'!$B$33,'Inputs'!$B$29+'Inputs'!$B$31+'Inputs'!$B$32,'Inputs'!$B$30+'Inputs'!$B$31+'Inputs'!$B$32)/1000+'Inputs'!$B$21))/SQRT((((479-43)*MAX('Inputs'!$B$33,'Inputs'!$B$29+'Inputs'!$B$31+'Inputs'!$B$32,'Inputs'!$B$30+'Inputs'!$B$31+'Inputs'!$B$32)/1000+'Inputs'!$B$21))^2+('Inputs'!$B$6/2)^2)))-'Results'!C7*(1-'Inputs'!$B$24)*(0.5*((((479-43)*MAX('Inputs'!$B$33,'Inputs'!$B$29+'Inputs'!$B$31+'Inputs'!$B$32,'Inputs'!$B$30+'Inputs'!$B$31+'Inputs'!$B$32)/1000+'Inputs'!$B$21+'Inputs'!$B$7+'Inputs'!$B$10)+'Inputs'!$B$9)/SQRT((((479-43)*MAX('Inputs'!$B$33,'Inputs'!$B$29+'Inputs'!$B$31+'Inputs'!$B$32,'Inputs'!$B$30+'Inputs'!$B$31+'Inputs'!$B$32)/1000+'Inputs'!$B$21+'Inputs'!$B$7+'Inputs'!$B$10)+'Inputs'!$B$9)^2+('Inputs'!$B$8/2)^2)-(((479-43)*MAX('Inputs'!$B$33,'Inputs'!$B$29+'Inputs'!$B$31+'Inputs'!$B$32,'Inputs'!$B$30+'Inputs'!$B$31+'Inputs'!$B$32)/1000+'Inputs'!$B$21+'Inputs'!$B$7+'Inputs'!$B$10))/SQRT((((479-43)*MAX('Inputs'!$B$33,'Inputs'!$B$29+'Inputs'!$B$31+'Inputs'!$B$32,'Inputs'!$B$30+'Inputs'!$B$31+'Inputs'!$B$32)/1000+'Inputs'!$B$21+'Inputs'!$B$7+'Inputs'!$B$10))^2+('Inputs'!$B$8/2)^2))))*'Results'!$B$8))),"")</x:f>
        <x:v>7.400696092373879</x:v>
      </x:c>
      <x:c r="M479" t="n">
        <x:f>IF(AND(ISNUMBER('Results'!C7),ISNUMBER('Results'!B7),ISNUMBER('Results'!$B$8),ISNUMBER('Inputs'!$B$6),ISNUMBER('Inputs'!$B$7),ISNUMBER('Inputs'!$B$8),ISNUMBER('Inputs'!$B$9),ISNUMBER('Inputs'!$B$10),ISNUMBER('Inputs'!$B$21),ISNUMBER('Inputs'!$B$24),ISNUMBER('Inputs'!$B$28)),(('Results'!C7*(0.5*((((479-43)*MAX('Inputs'!$B$33,'Inputs'!$B$29+'Inputs'!$B$31+'Inputs'!$B$32,'Inputs'!$B$30+'Inputs'!$B$31+'Inputs'!$B$32)/1000+'Inputs'!$B$21)+'Inputs'!$B$9)/SQRT((((479-43)*MAX('Inputs'!$B$33,'Inputs'!$B$29+'Inputs'!$B$31+'Inputs'!$B$32,'Inputs'!$B$30+'Inputs'!$B$31+'Inputs'!$B$32)/1000+'Inputs'!$B$21)+'Inputs'!$B$9)^2+('Inputs'!$B$8/2)^2)-(((479-43)*MAX('Inputs'!$B$33,'Inputs'!$B$29+'Inputs'!$B$31+'Inputs'!$B$32,'Inputs'!$B$30+'Inputs'!$B$31+'Inputs'!$B$32)/1000+'Inputs'!$B$21))/SQRT((((479-43)*MAX('Inputs'!$B$33,'Inputs'!$B$29+'Inputs'!$B$31+'Inputs'!$B$32,'Inputs'!$B$30+'Inputs'!$B$31+'Inputs'!$B$32)/1000+'Inputs'!$B$21))^2+('Inputs'!$B$8/2)^2)))-'Results'!B7*(0.5*((((479-43)*MAX('Inputs'!$B$33,'Inputs'!$B$29+'Inputs'!$B$31+'Inputs'!$B$32,'Inputs'!$B$30+'Inputs'!$B$31+'Inputs'!$B$32)/1000+'Inputs'!$B$21+'Inputs'!$B$9+'Inputs'!$B$10)+'Inputs'!$B$7)/SQRT((((479-43)*MAX('Inputs'!$B$33,'Inputs'!$B$29+'Inputs'!$B$31+'Inputs'!$B$32,'Inputs'!$B$30+'Inputs'!$B$31+'Inputs'!$B$32)/1000+'Inputs'!$B$21+'Inputs'!$B$9+'Inputs'!$B$10)+'Inputs'!$B$7)^2+('Inputs'!$B$6/2)^2)-(((479-43)*MAX('Inputs'!$B$33,'Inputs'!$B$29+'Inputs'!$B$31+'Inputs'!$B$32,'Inputs'!$B$30+'Inputs'!$B$31+'Inputs'!$B$32)/1000+'Inputs'!$B$21+'Inputs'!$B$9+'Inputs'!$B$10))/SQRT((((479-43)*MAX('Inputs'!$B$33,'Inputs'!$B$29+'Inputs'!$B$31+'Inputs'!$B$32,'Inputs'!$B$30+'Inputs'!$B$31+'Inputs'!$B$32)/1000+'Inputs'!$B$21+'Inputs'!$B$9+'Inputs'!$B$10))^2+('Inputs'!$B$6/2)^2))))*'Results'!$B$8),"")</x:f>
        <x:v>6.232699410004454</x:v>
      </x:c>
      <x:c r="N479" t="n">
        <x:f>IF(AND(ISNUMBER('Results'!C7),ISNUMBER('Results'!B7),ISNUMBER('Results'!$B$8),ISNUMBER('Inputs'!$B$6),ISNUMBER('Inputs'!$B$7),ISNUMBER('Inputs'!$B$8),ISNUMBER('Inputs'!$B$9),ISNUMBER('Inputs'!$B$10),ISNUMBER('Inputs'!$B$21),ISNUMBER('Inputs'!$B$24),ISNUMBER('Inputs'!$B$28)),((('Results'!C7*(1-'Inputs'!$B$24)*(0.5*((((479-43)*MAX('Inputs'!$B$33,'Inputs'!$B$29+'Inputs'!$B$31+'Inputs'!$B$32,'Inputs'!$B$30+'Inputs'!$B$31+'Inputs'!$B$32)/1000+'Inputs'!$B$21)+'Inputs'!$B$9)/SQRT((((479-43)*MAX('Inputs'!$B$33,'Inputs'!$B$29+'Inputs'!$B$31+'Inputs'!$B$32,'Inputs'!$B$30+'Inputs'!$B$31+'Inputs'!$B$32)/1000+'Inputs'!$B$21)+'Inputs'!$B$9)^2+('Inputs'!$B$8/2)^2)-(((479-43)*MAX('Inputs'!$B$33,'Inputs'!$B$29+'Inputs'!$B$31+'Inputs'!$B$32,'Inputs'!$B$30+'Inputs'!$B$31+'Inputs'!$B$32)/1000+'Inputs'!$B$21))/SQRT((((479-43)*MAX('Inputs'!$B$33,'Inputs'!$B$29+'Inputs'!$B$31+'Inputs'!$B$32,'Inputs'!$B$30+'Inputs'!$B$31+'Inputs'!$B$32)/1000+'Inputs'!$B$21))^2+('Inputs'!$B$8/2)^2)))-'Results'!B7*(1+'Inputs'!$B$24)*(0.5*((((479-43)*MAX('Inputs'!$B$33,'Inputs'!$B$29+'Inputs'!$B$31+'Inputs'!$B$32,'Inputs'!$B$30+'Inputs'!$B$31+'Inputs'!$B$32)/1000+'Inputs'!$B$21+'Inputs'!$B$9+'Inputs'!$B$10)+'Inputs'!$B$7)/SQRT((((479-43)*MAX('Inputs'!$B$33,'Inputs'!$B$29+'Inputs'!$B$31+'Inputs'!$B$32,'Inputs'!$B$30+'Inputs'!$B$31+'Inputs'!$B$32)/1000+'Inputs'!$B$21+'Inputs'!$B$9+'Inputs'!$B$10)+'Inputs'!$B$7)^2+('Inputs'!$B$6/2)^2)-(((479-43)*MAX('Inputs'!$B$33,'Inputs'!$B$29+'Inputs'!$B$31+'Inputs'!$B$32,'Inputs'!$B$30+'Inputs'!$B$31+'Inputs'!$B$32)/1000+'Inputs'!$B$21+'Inputs'!$B$9+'Inputs'!$B$10))/SQRT((((479-43)*MAX('Inputs'!$B$33,'Inputs'!$B$29+'Inputs'!$B$31+'Inputs'!$B$32,'Inputs'!$B$30+'Inputs'!$B$31+'Inputs'!$B$32)/1000+'Inputs'!$B$21+'Inputs'!$B$9+'Inputs'!$B$10))^2+('Inputs'!$B$6/2)^2))))*'Results'!$B$8)-'Inputs'!$B$28*ABS((('Results'!C7*(1-'Inputs'!$B$24)*(0.5*((((479-43)*MAX('Inputs'!$B$33,'Inputs'!$B$29+'Inputs'!$B$31+'Inputs'!$B$32,'Inputs'!$B$30+'Inputs'!$B$31+'Inputs'!$B$32)/1000+'Inputs'!$B$21)+'Inputs'!$B$9)/SQRT((((479-43)*MAX('Inputs'!$B$33,'Inputs'!$B$29+'Inputs'!$B$31+'Inputs'!$B$32,'Inputs'!$B$30+'Inputs'!$B$31+'Inputs'!$B$32)/1000+'Inputs'!$B$21)+'Inputs'!$B$9)^2+('Inputs'!$B$8/2)^2)-(((479-43)*MAX('Inputs'!$B$33,'Inputs'!$B$29+'Inputs'!$B$31+'Inputs'!$B$32,'Inputs'!$B$30+'Inputs'!$B$31+'Inputs'!$B$32)/1000+'Inputs'!$B$21))/SQRT((((479-43)*MAX('Inputs'!$B$33,'Inputs'!$B$29+'Inputs'!$B$31+'Inputs'!$B$32,'Inputs'!$B$30+'Inputs'!$B$31+'Inputs'!$B$32)/1000+'Inputs'!$B$21))^2+('Inputs'!$B$8/2)^2)))-'Results'!B7*(1+'Inputs'!$B$24)*(0.5*((((479-43)*MAX('Inputs'!$B$33,'Inputs'!$B$29+'Inputs'!$B$31+'Inputs'!$B$32,'Inputs'!$B$30+'Inputs'!$B$31+'Inputs'!$B$32)/1000+'Inputs'!$B$21+'Inputs'!$B$9+'Inputs'!$B$10)+'Inputs'!$B$7)/SQRT((((479-43)*MAX('Inputs'!$B$33,'Inputs'!$B$29+'Inputs'!$B$31+'Inputs'!$B$32,'Inputs'!$B$30+'Inputs'!$B$31+'Inputs'!$B$32)/1000+'Inputs'!$B$21+'Inputs'!$B$9+'Inputs'!$B$10)+'Inputs'!$B$7)^2+('Inputs'!$B$6/2)^2)-(((479-43)*MAX('Inputs'!$B$33,'Inputs'!$B$29+'Inputs'!$B$31+'Inputs'!$B$32,'Inputs'!$B$30+'Inputs'!$B$31+'Inputs'!$B$32)/1000+'Inputs'!$B$21+'Inputs'!$B$9+'Inputs'!$B$10))/SQRT((((479-43)*MAX('Inputs'!$B$33,'Inputs'!$B$29+'Inputs'!$B$31+'Inputs'!$B$32,'Inputs'!$B$30+'Inputs'!$B$31+'Inputs'!$B$32)/1000+'Inputs'!$B$21+'Inputs'!$B$9+'Inputs'!$B$10))^2+('Inputs'!$B$6/2)^2))))*'Results'!$B$8))),"")</x:f>
        <x:v>5.537459511010635</x:v>
      </x:c>
      <x:c r="O479" t="n">
        <x:f>IF(AND(ISNUMBER('Results'!C7),ISNUMBER('Results'!B7),ISNUMBER('Results'!$B$8),ISNUMBER('Inputs'!$B$6),ISNUMBER('Inputs'!$B$7),ISNUMBER('Inputs'!$B$8),ISNUMBER('Inputs'!$B$9),ISNUMBER('Inputs'!$B$10),ISNUMBER('Inputs'!$B$21),ISNUMBER('Inputs'!$B$24),ISNUMBER('Inputs'!$B$28)),((('Results'!C7*(1+'Inputs'!$B$24)*(0.5*((((479-43)*MAX('Inputs'!$B$33,'Inputs'!$B$29+'Inputs'!$B$31+'Inputs'!$B$32,'Inputs'!$B$30+'Inputs'!$B$31+'Inputs'!$B$32)/1000+'Inputs'!$B$21)+'Inputs'!$B$9)/SQRT((((479-43)*MAX('Inputs'!$B$33,'Inputs'!$B$29+'Inputs'!$B$31+'Inputs'!$B$32,'Inputs'!$B$30+'Inputs'!$B$31+'Inputs'!$B$32)/1000+'Inputs'!$B$21)+'Inputs'!$B$9)^2+('Inputs'!$B$8/2)^2)-(((479-43)*MAX('Inputs'!$B$33,'Inputs'!$B$29+'Inputs'!$B$31+'Inputs'!$B$32,'Inputs'!$B$30+'Inputs'!$B$31+'Inputs'!$B$32)/1000+'Inputs'!$B$21))/SQRT((((479-43)*MAX('Inputs'!$B$33,'Inputs'!$B$29+'Inputs'!$B$31+'Inputs'!$B$32,'Inputs'!$B$30+'Inputs'!$B$31+'Inputs'!$B$32)/1000+'Inputs'!$B$21))^2+('Inputs'!$B$8/2)^2)))-'Results'!B7*(1-'Inputs'!$B$24)*(0.5*((((479-43)*MAX('Inputs'!$B$33,'Inputs'!$B$29+'Inputs'!$B$31+'Inputs'!$B$32,'Inputs'!$B$30+'Inputs'!$B$31+'Inputs'!$B$32)/1000+'Inputs'!$B$21+'Inputs'!$B$9+'Inputs'!$B$10)+'Inputs'!$B$7)/SQRT((((479-43)*MAX('Inputs'!$B$33,'Inputs'!$B$29+'Inputs'!$B$31+'Inputs'!$B$32,'Inputs'!$B$30+'Inputs'!$B$31+'Inputs'!$B$32)/1000+'Inputs'!$B$21+'Inputs'!$B$9+'Inputs'!$B$10)+'Inputs'!$B$7)^2+('Inputs'!$B$6/2)^2)-(((479-43)*MAX('Inputs'!$B$33,'Inputs'!$B$29+'Inputs'!$B$31+'Inputs'!$B$32,'Inputs'!$B$30+'Inputs'!$B$31+'Inputs'!$B$32)/1000+'Inputs'!$B$21+'Inputs'!$B$9+'Inputs'!$B$10))/SQRT((((479-43)*MAX('Inputs'!$B$33,'Inputs'!$B$29+'Inputs'!$B$31+'Inputs'!$B$32,'Inputs'!$B$30+'Inputs'!$B$31+'Inputs'!$B$32)/1000+'Inputs'!$B$21+'Inputs'!$B$9+'Inputs'!$B$10))^2+('Inputs'!$B$6/2)^2))))*'Results'!$B$8)+'Inputs'!$B$28*ABS((('Results'!C7*(1+'Inputs'!$B$24)*(0.5*((((479-43)*MAX('Inputs'!$B$33,'Inputs'!$B$29+'Inputs'!$B$31+'Inputs'!$B$32,'Inputs'!$B$30+'Inputs'!$B$31+'Inputs'!$B$32)/1000+'Inputs'!$B$21)+'Inputs'!$B$9)/SQRT((((479-43)*MAX('Inputs'!$B$33,'Inputs'!$B$29+'Inputs'!$B$31+'Inputs'!$B$32,'Inputs'!$B$30+'Inputs'!$B$31+'Inputs'!$B$32)/1000+'Inputs'!$B$21)+'Inputs'!$B$9)^2+('Inputs'!$B$8/2)^2)-(((479-43)*MAX('Inputs'!$B$33,'Inputs'!$B$29+'Inputs'!$B$31+'Inputs'!$B$32,'Inputs'!$B$30+'Inputs'!$B$31+'Inputs'!$B$32)/1000+'Inputs'!$B$21))/SQRT((((479-43)*MAX('Inputs'!$B$33,'Inputs'!$B$29+'Inputs'!$B$31+'Inputs'!$B$32,'Inputs'!$B$30+'Inputs'!$B$31+'Inputs'!$B$32)/1000+'Inputs'!$B$21))^2+('Inputs'!$B$8/2)^2)))-'Results'!B7*(1-'Inputs'!$B$24)*(0.5*((((479-43)*MAX('Inputs'!$B$33,'Inputs'!$B$29+'Inputs'!$B$31+'Inputs'!$B$32,'Inputs'!$B$30+'Inputs'!$B$31+'Inputs'!$B$32)/1000+'Inputs'!$B$21+'Inputs'!$B$9+'Inputs'!$B$10)+'Inputs'!$B$7)/SQRT((((479-43)*MAX('Inputs'!$B$33,'Inputs'!$B$29+'Inputs'!$B$31+'Inputs'!$B$32,'Inputs'!$B$30+'Inputs'!$B$31+'Inputs'!$B$32)/1000+'Inputs'!$B$21+'Inputs'!$B$9+'Inputs'!$B$10)+'Inputs'!$B$7)^2+('Inputs'!$B$6/2)^2)-(((479-43)*MAX('Inputs'!$B$33,'Inputs'!$B$29+'Inputs'!$B$31+'Inputs'!$B$32,'Inputs'!$B$30+'Inputs'!$B$31+'Inputs'!$B$32)/1000+'Inputs'!$B$21+'Inputs'!$B$9+'Inputs'!$B$10))/SQRT((((479-43)*MAX('Inputs'!$B$33,'Inputs'!$B$29+'Inputs'!$B$31+'Inputs'!$B$32,'Inputs'!$B$30+'Inputs'!$B$31+'Inputs'!$B$32)/1000+'Inputs'!$B$21+'Inputs'!$B$9+'Inputs'!$B$10))^2+('Inputs'!$B$6/2)^2))))*'Results'!$B$8))),"")</x:f>
        <x:v>6.968318775155494</x:v>
      </x:c>
      <x:c r="P479" t="n">
        <x:f>IF(AND(MAX(J479,J478)&gt;0,J479&gt;J478+0.00000001),1,0)</x:f>
        <x:v>0</x:v>
      </x:c>
      <x:c r="Q479" t="n">
        <x:f>IF(AND(MAX(K479,K478)&gt;0,K479&gt;K478+0.00000001),1,0)</x:f>
        <x:v>0</x:v>
      </x:c>
      <x:c r="R479" t="n">
        <x:f>IF(AND(MAX(L479,L478)&gt;0,L479&gt;L478+0.00000001),1,0)</x:f>
        <x:v>0</x:v>
      </x:c>
      <x:c r="S479" t="n">
        <x:f>IF(AND(MAX(M479,M478)&gt;0,M479&gt;M478+0.00000001),1,0)</x:f>
        <x:v>0</x:v>
      </x:c>
      <x:c r="T479" t="n">
        <x:f>IF(AND(MAX(N479,N478)&gt;0,N479&gt;N478+0.00000001),1,0)</x:f>
        <x:v>0</x:v>
      </x:c>
      <x:c r="U479" t="n">
        <x:f>IF(AND(MAX(O479,O478)&gt;0,O479&gt;O478+0.00000001),1,0)</x:f>
        <x:v>0</x:v>
      </x:c>
    </x:row>
    <x:row r="480">
      <x:c r="J480" t="n">
        <x:f>IF(AND(ISNUMBER('Results'!B7),ISNUMBER('Results'!C7),ISNUMBER('Results'!$B$8),ISNUMBER('Inputs'!$B$6),ISNUMBER('Inputs'!$B$7),ISNUMBER('Inputs'!$B$8),ISNUMBER('Inputs'!$B$9),ISNUMBER('Inputs'!$B$10),ISNUMBER('Inputs'!$B$21),ISNUMBER('Inputs'!$B$24),ISNUMBER('Inputs'!$B$28)),(('Results'!B7*(0.5*((((480-43)*MAX('Inputs'!$B$33,'Inputs'!$B$29+'Inputs'!$B$31+'Inputs'!$B$32,'Inputs'!$B$30+'Inputs'!$B$31+'Inputs'!$B$32)/1000+'Inputs'!$B$21)+'Inputs'!$B$7)/SQRT((((480-43)*MAX('Inputs'!$B$33,'Inputs'!$B$29+'Inputs'!$B$31+'Inputs'!$B$32,'Inputs'!$B$30+'Inputs'!$B$31+'Inputs'!$B$32)/1000+'Inputs'!$B$21)+'Inputs'!$B$7)^2+('Inputs'!$B$6/2)^2)-(((480-43)*MAX('Inputs'!$B$33,'Inputs'!$B$29+'Inputs'!$B$31+'Inputs'!$B$32,'Inputs'!$B$30+'Inputs'!$B$31+'Inputs'!$B$32)/1000+'Inputs'!$B$21))/SQRT((((480-43)*MAX('Inputs'!$B$33,'Inputs'!$B$29+'Inputs'!$B$31+'Inputs'!$B$32,'Inputs'!$B$30+'Inputs'!$B$31+'Inputs'!$B$32)/1000+'Inputs'!$B$21))^2+('Inputs'!$B$6/2)^2)))-'Results'!C7*(0.5*((((480-43)*MAX('Inputs'!$B$33,'Inputs'!$B$29+'Inputs'!$B$31+'Inputs'!$B$32,'Inputs'!$B$30+'Inputs'!$B$31+'Inputs'!$B$32)/1000+'Inputs'!$B$21+'Inputs'!$B$7+'Inputs'!$B$10)+'Inputs'!$B$9)/SQRT((((480-43)*MAX('Inputs'!$B$33,'Inputs'!$B$29+'Inputs'!$B$31+'Inputs'!$B$32,'Inputs'!$B$30+'Inputs'!$B$31+'Inputs'!$B$32)/1000+'Inputs'!$B$21+'Inputs'!$B$7+'Inputs'!$B$10)+'Inputs'!$B$9)^2+('Inputs'!$B$8/2)^2)-(((480-43)*MAX('Inputs'!$B$33,'Inputs'!$B$29+'Inputs'!$B$31+'Inputs'!$B$32,'Inputs'!$B$30+'Inputs'!$B$31+'Inputs'!$B$32)/1000+'Inputs'!$B$21+'Inputs'!$B$7+'Inputs'!$B$10))/SQRT((((480-43)*MAX('Inputs'!$B$33,'Inputs'!$B$29+'Inputs'!$B$31+'Inputs'!$B$32,'Inputs'!$B$30+'Inputs'!$B$31+'Inputs'!$B$32)/1000+'Inputs'!$B$21+'Inputs'!$B$7+'Inputs'!$B$10))^2+('Inputs'!$B$8/2)^2))))*'Results'!$B$8),"")</x:f>
        <x:v>6.5911562577206695</x:v>
      </x:c>
      <x:c r="K480" t="n">
        <x:f>IF(AND(ISNUMBER('Results'!B7),ISNUMBER('Results'!C7),ISNUMBER('Results'!$B$8),ISNUMBER('Inputs'!$B$6),ISNUMBER('Inputs'!$B$7),ISNUMBER('Inputs'!$B$8),ISNUMBER('Inputs'!$B$9),ISNUMBER('Inputs'!$B$10),ISNUMBER('Inputs'!$B$21),ISNUMBER('Inputs'!$B$24),ISNUMBER('Inputs'!$B$28)),((('Results'!B7*(1-'Inputs'!$B$24)*(0.5*((((480-43)*MAX('Inputs'!$B$33,'Inputs'!$B$29+'Inputs'!$B$31+'Inputs'!$B$32,'Inputs'!$B$30+'Inputs'!$B$31+'Inputs'!$B$32)/1000+'Inputs'!$B$21)+'Inputs'!$B$7)/SQRT((((480-43)*MAX('Inputs'!$B$33,'Inputs'!$B$29+'Inputs'!$B$31+'Inputs'!$B$32,'Inputs'!$B$30+'Inputs'!$B$31+'Inputs'!$B$32)/1000+'Inputs'!$B$21)+'Inputs'!$B$7)^2+('Inputs'!$B$6/2)^2)-(((480-43)*MAX('Inputs'!$B$33,'Inputs'!$B$29+'Inputs'!$B$31+'Inputs'!$B$32,'Inputs'!$B$30+'Inputs'!$B$31+'Inputs'!$B$32)/1000+'Inputs'!$B$21))/SQRT((((480-43)*MAX('Inputs'!$B$33,'Inputs'!$B$29+'Inputs'!$B$31+'Inputs'!$B$32,'Inputs'!$B$30+'Inputs'!$B$31+'Inputs'!$B$32)/1000+'Inputs'!$B$21))^2+('Inputs'!$B$6/2)^2)))-'Results'!C7*(1+'Inputs'!$B$24)*(0.5*((((480-43)*MAX('Inputs'!$B$33,'Inputs'!$B$29+'Inputs'!$B$31+'Inputs'!$B$32,'Inputs'!$B$30+'Inputs'!$B$31+'Inputs'!$B$32)/1000+'Inputs'!$B$21+'Inputs'!$B$7+'Inputs'!$B$10)+'Inputs'!$B$9)/SQRT((((480-43)*MAX('Inputs'!$B$33,'Inputs'!$B$29+'Inputs'!$B$31+'Inputs'!$B$32,'Inputs'!$B$30+'Inputs'!$B$31+'Inputs'!$B$32)/1000+'Inputs'!$B$21+'Inputs'!$B$7+'Inputs'!$B$10)+'Inputs'!$B$9)^2+('Inputs'!$B$8/2)^2)-(((480-43)*MAX('Inputs'!$B$33,'Inputs'!$B$29+'Inputs'!$B$31+'Inputs'!$B$32,'Inputs'!$B$30+'Inputs'!$B$31+'Inputs'!$B$32)/1000+'Inputs'!$B$21+'Inputs'!$B$7+'Inputs'!$B$10))/SQRT((((480-43)*MAX('Inputs'!$B$33,'Inputs'!$B$29+'Inputs'!$B$31+'Inputs'!$B$32,'Inputs'!$B$30+'Inputs'!$B$31+'Inputs'!$B$32)/1000+'Inputs'!$B$21+'Inputs'!$B$7+'Inputs'!$B$10))^2+('Inputs'!$B$8/2)^2))))*'Results'!$B$8)-'Inputs'!$B$28*ABS((('Results'!B7*(1-'Inputs'!$B$24)*(0.5*((((480-43)*MAX('Inputs'!$B$33,'Inputs'!$B$29+'Inputs'!$B$31+'Inputs'!$B$32,'Inputs'!$B$30+'Inputs'!$B$31+'Inputs'!$B$32)/1000+'Inputs'!$B$21)+'Inputs'!$B$7)/SQRT((((480-43)*MAX('Inputs'!$B$33,'Inputs'!$B$29+'Inputs'!$B$31+'Inputs'!$B$32,'Inputs'!$B$30+'Inputs'!$B$31+'Inputs'!$B$32)/1000+'Inputs'!$B$21)+'Inputs'!$B$7)^2+('Inputs'!$B$6/2)^2)-(((480-43)*MAX('Inputs'!$B$33,'Inputs'!$B$29+'Inputs'!$B$31+'Inputs'!$B$32,'Inputs'!$B$30+'Inputs'!$B$31+'Inputs'!$B$32)/1000+'Inputs'!$B$21))/SQRT((((480-43)*MAX('Inputs'!$B$33,'Inputs'!$B$29+'Inputs'!$B$31+'Inputs'!$B$32,'Inputs'!$B$30+'Inputs'!$B$31+'Inputs'!$B$32)/1000+'Inputs'!$B$21))^2+('Inputs'!$B$6/2)^2)))-'Results'!C7*(1+'Inputs'!$B$24)*(0.5*((((480-43)*MAX('Inputs'!$B$33,'Inputs'!$B$29+'Inputs'!$B$31+'Inputs'!$B$32,'Inputs'!$B$30+'Inputs'!$B$31+'Inputs'!$B$32)/1000+'Inputs'!$B$21+'Inputs'!$B$7+'Inputs'!$B$10)+'Inputs'!$B$9)/SQRT((((480-43)*MAX('Inputs'!$B$33,'Inputs'!$B$29+'Inputs'!$B$31+'Inputs'!$B$32,'Inputs'!$B$30+'Inputs'!$B$31+'Inputs'!$B$32)/1000+'Inputs'!$B$21+'Inputs'!$B$7+'Inputs'!$B$10)+'Inputs'!$B$9)^2+('Inputs'!$B$8/2)^2)-(((480-43)*MAX('Inputs'!$B$33,'Inputs'!$B$29+'Inputs'!$B$31+'Inputs'!$B$32,'Inputs'!$B$30+'Inputs'!$B$31+'Inputs'!$B$32)/1000+'Inputs'!$B$21+'Inputs'!$B$7+'Inputs'!$B$10))/SQRT((((480-43)*MAX('Inputs'!$B$33,'Inputs'!$B$29+'Inputs'!$B$31+'Inputs'!$B$32,'Inputs'!$B$30+'Inputs'!$B$31+'Inputs'!$B$32)/1000+'Inputs'!$B$21+'Inputs'!$B$7+'Inputs'!$B$10))^2+('Inputs'!$B$8/2)^2))))*'Results'!$B$8))),"")</x:f>
        <x:v>5.877824509552601</x:v>
      </x:c>
      <x:c r="L480" t="n">
        <x:f>IF(AND(ISNUMBER('Results'!B7),ISNUMBER('Results'!C7),ISNUMBER('Results'!$B$8),ISNUMBER('Inputs'!$B$6),ISNUMBER('Inputs'!$B$7),ISNUMBER('Inputs'!$B$8),ISNUMBER('Inputs'!$B$9),ISNUMBER('Inputs'!$B$10),ISNUMBER('Inputs'!$B$21),ISNUMBER('Inputs'!$B$24),ISNUMBER('Inputs'!$B$28)),((('Results'!B7*(1+'Inputs'!$B$24)*(0.5*((((480-43)*MAX('Inputs'!$B$33,'Inputs'!$B$29+'Inputs'!$B$31+'Inputs'!$B$32,'Inputs'!$B$30+'Inputs'!$B$31+'Inputs'!$B$32)/1000+'Inputs'!$B$21)+'Inputs'!$B$7)/SQRT((((480-43)*MAX('Inputs'!$B$33,'Inputs'!$B$29+'Inputs'!$B$31+'Inputs'!$B$32,'Inputs'!$B$30+'Inputs'!$B$31+'Inputs'!$B$32)/1000+'Inputs'!$B$21)+'Inputs'!$B$7)^2+('Inputs'!$B$6/2)^2)-(((480-43)*MAX('Inputs'!$B$33,'Inputs'!$B$29+'Inputs'!$B$31+'Inputs'!$B$32,'Inputs'!$B$30+'Inputs'!$B$31+'Inputs'!$B$32)/1000+'Inputs'!$B$21))/SQRT((((480-43)*MAX('Inputs'!$B$33,'Inputs'!$B$29+'Inputs'!$B$31+'Inputs'!$B$32,'Inputs'!$B$30+'Inputs'!$B$31+'Inputs'!$B$32)/1000+'Inputs'!$B$21))^2+('Inputs'!$B$6/2)^2)))-'Results'!C7*(1-'Inputs'!$B$24)*(0.5*((((480-43)*MAX('Inputs'!$B$33,'Inputs'!$B$29+'Inputs'!$B$31+'Inputs'!$B$32,'Inputs'!$B$30+'Inputs'!$B$31+'Inputs'!$B$32)/1000+'Inputs'!$B$21+'Inputs'!$B$7+'Inputs'!$B$10)+'Inputs'!$B$9)/SQRT((((480-43)*MAX('Inputs'!$B$33,'Inputs'!$B$29+'Inputs'!$B$31+'Inputs'!$B$32,'Inputs'!$B$30+'Inputs'!$B$31+'Inputs'!$B$32)/1000+'Inputs'!$B$21+'Inputs'!$B$7+'Inputs'!$B$10)+'Inputs'!$B$9)^2+('Inputs'!$B$8/2)^2)-(((480-43)*MAX('Inputs'!$B$33,'Inputs'!$B$29+'Inputs'!$B$31+'Inputs'!$B$32,'Inputs'!$B$30+'Inputs'!$B$31+'Inputs'!$B$32)/1000+'Inputs'!$B$21+'Inputs'!$B$7+'Inputs'!$B$10))/SQRT((((480-43)*MAX('Inputs'!$B$33,'Inputs'!$B$29+'Inputs'!$B$31+'Inputs'!$B$32,'Inputs'!$B$30+'Inputs'!$B$31+'Inputs'!$B$32)/1000+'Inputs'!$B$21+'Inputs'!$B$7+'Inputs'!$B$10))^2+('Inputs'!$B$8/2)^2))))*'Results'!$B$8)+'Inputs'!$B$28*ABS((('Results'!B7*(1+'Inputs'!$B$24)*(0.5*((((480-43)*MAX('Inputs'!$B$33,'Inputs'!$B$29+'Inputs'!$B$31+'Inputs'!$B$32,'Inputs'!$B$30+'Inputs'!$B$31+'Inputs'!$B$32)/1000+'Inputs'!$B$21)+'Inputs'!$B$7)/SQRT((((480-43)*MAX('Inputs'!$B$33,'Inputs'!$B$29+'Inputs'!$B$31+'Inputs'!$B$32,'Inputs'!$B$30+'Inputs'!$B$31+'Inputs'!$B$32)/1000+'Inputs'!$B$21)+'Inputs'!$B$7)^2+('Inputs'!$B$6/2)^2)-(((480-43)*MAX('Inputs'!$B$33,'Inputs'!$B$29+'Inputs'!$B$31+'Inputs'!$B$32,'Inputs'!$B$30+'Inputs'!$B$31+'Inputs'!$B$32)/1000+'Inputs'!$B$21))/SQRT((((480-43)*MAX('Inputs'!$B$33,'Inputs'!$B$29+'Inputs'!$B$31+'Inputs'!$B$32,'Inputs'!$B$30+'Inputs'!$B$31+'Inputs'!$B$32)/1000+'Inputs'!$B$21))^2+('Inputs'!$B$6/2)^2)))-'Results'!C7*(1-'Inputs'!$B$24)*(0.5*((((480-43)*MAX('Inputs'!$B$33,'Inputs'!$B$29+'Inputs'!$B$31+'Inputs'!$B$32,'Inputs'!$B$30+'Inputs'!$B$31+'Inputs'!$B$32)/1000+'Inputs'!$B$21+'Inputs'!$B$7+'Inputs'!$B$10)+'Inputs'!$B$9)/SQRT((((480-43)*MAX('Inputs'!$B$33,'Inputs'!$B$29+'Inputs'!$B$31+'Inputs'!$B$32,'Inputs'!$B$30+'Inputs'!$B$31+'Inputs'!$B$32)/1000+'Inputs'!$B$21+'Inputs'!$B$7+'Inputs'!$B$10)+'Inputs'!$B$9)^2+('Inputs'!$B$8/2)^2)-(((480-43)*MAX('Inputs'!$B$33,'Inputs'!$B$29+'Inputs'!$B$31+'Inputs'!$B$32,'Inputs'!$B$30+'Inputs'!$B$31+'Inputs'!$B$32)/1000+'Inputs'!$B$21+'Inputs'!$B$7+'Inputs'!$B$10))/SQRT((((480-43)*MAX('Inputs'!$B$33,'Inputs'!$B$29+'Inputs'!$B$31+'Inputs'!$B$32,'Inputs'!$B$30+'Inputs'!$B$31+'Inputs'!$B$32)/1000+'Inputs'!$B$21+'Inputs'!$B$7+'Inputs'!$B$10))^2+('Inputs'!$B$8/2)^2))))*'Results'!$B$8))),"")</x:f>
        <x:v>7.3448852622342145</x:v>
      </x:c>
      <x:c r="M480" t="n">
        <x:f>IF(AND(ISNUMBER('Results'!C7),ISNUMBER('Results'!B7),ISNUMBER('Results'!$B$8),ISNUMBER('Inputs'!$B$6),ISNUMBER('Inputs'!$B$7),ISNUMBER('Inputs'!$B$8),ISNUMBER('Inputs'!$B$9),ISNUMBER('Inputs'!$B$10),ISNUMBER('Inputs'!$B$21),ISNUMBER('Inputs'!$B$24),ISNUMBER('Inputs'!$B$28)),(('Results'!C7*(0.5*((((480-43)*MAX('Inputs'!$B$33,'Inputs'!$B$29+'Inputs'!$B$31+'Inputs'!$B$32,'Inputs'!$B$30+'Inputs'!$B$31+'Inputs'!$B$32)/1000+'Inputs'!$B$21)+'Inputs'!$B$9)/SQRT((((480-43)*MAX('Inputs'!$B$33,'Inputs'!$B$29+'Inputs'!$B$31+'Inputs'!$B$32,'Inputs'!$B$30+'Inputs'!$B$31+'Inputs'!$B$32)/1000+'Inputs'!$B$21)+'Inputs'!$B$9)^2+('Inputs'!$B$8/2)^2)-(((480-43)*MAX('Inputs'!$B$33,'Inputs'!$B$29+'Inputs'!$B$31+'Inputs'!$B$32,'Inputs'!$B$30+'Inputs'!$B$31+'Inputs'!$B$32)/1000+'Inputs'!$B$21))/SQRT((((480-43)*MAX('Inputs'!$B$33,'Inputs'!$B$29+'Inputs'!$B$31+'Inputs'!$B$32,'Inputs'!$B$30+'Inputs'!$B$31+'Inputs'!$B$32)/1000+'Inputs'!$B$21))^2+('Inputs'!$B$8/2)^2)))-'Results'!B7*(0.5*((((480-43)*MAX('Inputs'!$B$33,'Inputs'!$B$29+'Inputs'!$B$31+'Inputs'!$B$32,'Inputs'!$B$30+'Inputs'!$B$31+'Inputs'!$B$32)/1000+'Inputs'!$B$21+'Inputs'!$B$9+'Inputs'!$B$10)+'Inputs'!$B$7)/SQRT((((480-43)*MAX('Inputs'!$B$33,'Inputs'!$B$29+'Inputs'!$B$31+'Inputs'!$B$32,'Inputs'!$B$30+'Inputs'!$B$31+'Inputs'!$B$32)/1000+'Inputs'!$B$21+'Inputs'!$B$9+'Inputs'!$B$10)+'Inputs'!$B$7)^2+('Inputs'!$B$6/2)^2)-(((480-43)*MAX('Inputs'!$B$33,'Inputs'!$B$29+'Inputs'!$B$31+'Inputs'!$B$32,'Inputs'!$B$30+'Inputs'!$B$31+'Inputs'!$B$32)/1000+'Inputs'!$B$21+'Inputs'!$B$9+'Inputs'!$B$10))/SQRT((((480-43)*MAX('Inputs'!$B$33,'Inputs'!$B$29+'Inputs'!$B$31+'Inputs'!$B$32,'Inputs'!$B$30+'Inputs'!$B$31+'Inputs'!$B$32)/1000+'Inputs'!$B$21+'Inputs'!$B$9+'Inputs'!$B$10))^2+('Inputs'!$B$6/2)^2))))*'Results'!$B$8),"")</x:f>
        <x:v>6.1844066591811995</x:v>
      </x:c>
      <x:c r="N480" t="n">
        <x:f>IF(AND(ISNUMBER('Results'!C7),ISNUMBER('Results'!B7),ISNUMBER('Results'!$B$8),ISNUMBER('Inputs'!$B$6),ISNUMBER('Inputs'!$B$7),ISNUMBER('Inputs'!$B$8),ISNUMBER('Inputs'!$B$9),ISNUMBER('Inputs'!$B$10),ISNUMBER('Inputs'!$B$21),ISNUMBER('Inputs'!$B$24),ISNUMBER('Inputs'!$B$28)),((('Results'!C7*(1-'Inputs'!$B$24)*(0.5*((((480-43)*MAX('Inputs'!$B$33,'Inputs'!$B$29+'Inputs'!$B$31+'Inputs'!$B$32,'Inputs'!$B$30+'Inputs'!$B$31+'Inputs'!$B$32)/1000+'Inputs'!$B$21)+'Inputs'!$B$9)/SQRT((((480-43)*MAX('Inputs'!$B$33,'Inputs'!$B$29+'Inputs'!$B$31+'Inputs'!$B$32,'Inputs'!$B$30+'Inputs'!$B$31+'Inputs'!$B$32)/1000+'Inputs'!$B$21)+'Inputs'!$B$9)^2+('Inputs'!$B$8/2)^2)-(((480-43)*MAX('Inputs'!$B$33,'Inputs'!$B$29+'Inputs'!$B$31+'Inputs'!$B$32,'Inputs'!$B$30+'Inputs'!$B$31+'Inputs'!$B$32)/1000+'Inputs'!$B$21))/SQRT((((480-43)*MAX('Inputs'!$B$33,'Inputs'!$B$29+'Inputs'!$B$31+'Inputs'!$B$32,'Inputs'!$B$30+'Inputs'!$B$31+'Inputs'!$B$32)/1000+'Inputs'!$B$21))^2+('Inputs'!$B$8/2)^2)))-'Results'!B7*(1+'Inputs'!$B$24)*(0.5*((((480-43)*MAX('Inputs'!$B$33,'Inputs'!$B$29+'Inputs'!$B$31+'Inputs'!$B$32,'Inputs'!$B$30+'Inputs'!$B$31+'Inputs'!$B$32)/1000+'Inputs'!$B$21+'Inputs'!$B$9+'Inputs'!$B$10)+'Inputs'!$B$7)/SQRT((((480-43)*MAX('Inputs'!$B$33,'Inputs'!$B$29+'Inputs'!$B$31+'Inputs'!$B$32,'Inputs'!$B$30+'Inputs'!$B$31+'Inputs'!$B$32)/1000+'Inputs'!$B$21+'Inputs'!$B$9+'Inputs'!$B$10)+'Inputs'!$B$7)^2+('Inputs'!$B$6/2)^2)-(((480-43)*MAX('Inputs'!$B$33,'Inputs'!$B$29+'Inputs'!$B$31+'Inputs'!$B$32,'Inputs'!$B$30+'Inputs'!$B$31+'Inputs'!$B$32)/1000+'Inputs'!$B$21+'Inputs'!$B$9+'Inputs'!$B$10))/SQRT((((480-43)*MAX('Inputs'!$B$33,'Inputs'!$B$29+'Inputs'!$B$31+'Inputs'!$B$32,'Inputs'!$B$30+'Inputs'!$B$31+'Inputs'!$B$32)/1000+'Inputs'!$B$21+'Inputs'!$B$9+'Inputs'!$B$10))^2+('Inputs'!$B$6/2)^2))))*'Results'!$B$8)-'Inputs'!$B$28*ABS((('Results'!C7*(1-'Inputs'!$B$24)*(0.5*((((480-43)*MAX('Inputs'!$B$33,'Inputs'!$B$29+'Inputs'!$B$31+'Inputs'!$B$32,'Inputs'!$B$30+'Inputs'!$B$31+'Inputs'!$B$32)/1000+'Inputs'!$B$21)+'Inputs'!$B$9)/SQRT((((480-43)*MAX('Inputs'!$B$33,'Inputs'!$B$29+'Inputs'!$B$31+'Inputs'!$B$32,'Inputs'!$B$30+'Inputs'!$B$31+'Inputs'!$B$32)/1000+'Inputs'!$B$21)+'Inputs'!$B$9)^2+('Inputs'!$B$8/2)^2)-(((480-43)*MAX('Inputs'!$B$33,'Inputs'!$B$29+'Inputs'!$B$31+'Inputs'!$B$32,'Inputs'!$B$30+'Inputs'!$B$31+'Inputs'!$B$32)/1000+'Inputs'!$B$21))/SQRT((((480-43)*MAX('Inputs'!$B$33,'Inputs'!$B$29+'Inputs'!$B$31+'Inputs'!$B$32,'Inputs'!$B$30+'Inputs'!$B$31+'Inputs'!$B$32)/1000+'Inputs'!$B$21))^2+('Inputs'!$B$8/2)^2)))-'Results'!B7*(1+'Inputs'!$B$24)*(0.5*((((480-43)*MAX('Inputs'!$B$33,'Inputs'!$B$29+'Inputs'!$B$31+'Inputs'!$B$32,'Inputs'!$B$30+'Inputs'!$B$31+'Inputs'!$B$32)/1000+'Inputs'!$B$21+'Inputs'!$B$9+'Inputs'!$B$10)+'Inputs'!$B$7)/SQRT((((480-43)*MAX('Inputs'!$B$33,'Inputs'!$B$29+'Inputs'!$B$31+'Inputs'!$B$32,'Inputs'!$B$30+'Inputs'!$B$31+'Inputs'!$B$32)/1000+'Inputs'!$B$21+'Inputs'!$B$9+'Inputs'!$B$10)+'Inputs'!$B$7)^2+('Inputs'!$B$6/2)^2)-(((480-43)*MAX('Inputs'!$B$33,'Inputs'!$B$29+'Inputs'!$B$31+'Inputs'!$B$32,'Inputs'!$B$30+'Inputs'!$B$31+'Inputs'!$B$32)/1000+'Inputs'!$B$21+'Inputs'!$B$9+'Inputs'!$B$10))/SQRT((((480-43)*MAX('Inputs'!$B$33,'Inputs'!$B$29+'Inputs'!$B$31+'Inputs'!$B$32,'Inputs'!$B$30+'Inputs'!$B$31+'Inputs'!$B$32)/1000+'Inputs'!$B$21+'Inputs'!$B$9+'Inputs'!$B$10))^2+('Inputs'!$B$6/2)^2))))*'Results'!$B$8))),"")</x:f>
        <x:v>5.493864266651429</x:v>
      </x:c>
      <x:c r="O480" t="n">
        <x:f>IF(AND(ISNUMBER('Results'!C7),ISNUMBER('Results'!B7),ISNUMBER('Results'!$B$8),ISNUMBER('Inputs'!$B$6),ISNUMBER('Inputs'!$B$7),ISNUMBER('Inputs'!$B$8),ISNUMBER('Inputs'!$B$9),ISNUMBER('Inputs'!$B$10),ISNUMBER('Inputs'!$B$21),ISNUMBER('Inputs'!$B$24),ISNUMBER('Inputs'!$B$28)),((('Results'!C7*(1+'Inputs'!$B$24)*(0.5*((((480-43)*MAX('Inputs'!$B$33,'Inputs'!$B$29+'Inputs'!$B$31+'Inputs'!$B$32,'Inputs'!$B$30+'Inputs'!$B$31+'Inputs'!$B$32)/1000+'Inputs'!$B$21)+'Inputs'!$B$9)/SQRT((((480-43)*MAX('Inputs'!$B$33,'Inputs'!$B$29+'Inputs'!$B$31+'Inputs'!$B$32,'Inputs'!$B$30+'Inputs'!$B$31+'Inputs'!$B$32)/1000+'Inputs'!$B$21)+'Inputs'!$B$9)^2+('Inputs'!$B$8/2)^2)-(((480-43)*MAX('Inputs'!$B$33,'Inputs'!$B$29+'Inputs'!$B$31+'Inputs'!$B$32,'Inputs'!$B$30+'Inputs'!$B$31+'Inputs'!$B$32)/1000+'Inputs'!$B$21))/SQRT((((480-43)*MAX('Inputs'!$B$33,'Inputs'!$B$29+'Inputs'!$B$31+'Inputs'!$B$32,'Inputs'!$B$30+'Inputs'!$B$31+'Inputs'!$B$32)/1000+'Inputs'!$B$21))^2+('Inputs'!$B$8/2)^2)))-'Results'!B7*(1-'Inputs'!$B$24)*(0.5*((((480-43)*MAX('Inputs'!$B$33,'Inputs'!$B$29+'Inputs'!$B$31+'Inputs'!$B$32,'Inputs'!$B$30+'Inputs'!$B$31+'Inputs'!$B$32)/1000+'Inputs'!$B$21+'Inputs'!$B$9+'Inputs'!$B$10)+'Inputs'!$B$7)/SQRT((((480-43)*MAX('Inputs'!$B$33,'Inputs'!$B$29+'Inputs'!$B$31+'Inputs'!$B$32,'Inputs'!$B$30+'Inputs'!$B$31+'Inputs'!$B$32)/1000+'Inputs'!$B$21+'Inputs'!$B$9+'Inputs'!$B$10)+'Inputs'!$B$7)^2+('Inputs'!$B$6/2)^2)-(((480-43)*MAX('Inputs'!$B$33,'Inputs'!$B$29+'Inputs'!$B$31+'Inputs'!$B$32,'Inputs'!$B$30+'Inputs'!$B$31+'Inputs'!$B$32)/1000+'Inputs'!$B$21+'Inputs'!$B$9+'Inputs'!$B$10))/SQRT((((480-43)*MAX('Inputs'!$B$33,'Inputs'!$B$29+'Inputs'!$B$31+'Inputs'!$B$32,'Inputs'!$B$30+'Inputs'!$B$31+'Inputs'!$B$32)/1000+'Inputs'!$B$21+'Inputs'!$B$9+'Inputs'!$B$10))^2+('Inputs'!$B$6/2)^2))))*'Results'!$B$8)+'Inputs'!$B$28*ABS((('Results'!C7*(1+'Inputs'!$B$24)*(0.5*((((480-43)*MAX('Inputs'!$B$33,'Inputs'!$B$29+'Inputs'!$B$31+'Inputs'!$B$32,'Inputs'!$B$30+'Inputs'!$B$31+'Inputs'!$B$32)/1000+'Inputs'!$B$21)+'Inputs'!$B$9)/SQRT((((480-43)*MAX('Inputs'!$B$33,'Inputs'!$B$29+'Inputs'!$B$31+'Inputs'!$B$32,'Inputs'!$B$30+'Inputs'!$B$31+'Inputs'!$B$32)/1000+'Inputs'!$B$21)+'Inputs'!$B$9)^2+('Inputs'!$B$8/2)^2)-(((480-43)*MAX('Inputs'!$B$33,'Inputs'!$B$29+'Inputs'!$B$31+'Inputs'!$B$32,'Inputs'!$B$30+'Inputs'!$B$31+'Inputs'!$B$32)/1000+'Inputs'!$B$21))/SQRT((((480-43)*MAX('Inputs'!$B$33,'Inputs'!$B$29+'Inputs'!$B$31+'Inputs'!$B$32,'Inputs'!$B$30+'Inputs'!$B$31+'Inputs'!$B$32)/1000+'Inputs'!$B$21))^2+('Inputs'!$B$8/2)^2)))-'Results'!B7*(1-'Inputs'!$B$24)*(0.5*((((480-43)*MAX('Inputs'!$B$33,'Inputs'!$B$29+'Inputs'!$B$31+'Inputs'!$B$32,'Inputs'!$B$30+'Inputs'!$B$31+'Inputs'!$B$32)/1000+'Inputs'!$B$21+'Inputs'!$B$9+'Inputs'!$B$10)+'Inputs'!$B$7)/SQRT((((480-43)*MAX('Inputs'!$B$33,'Inputs'!$B$29+'Inputs'!$B$31+'Inputs'!$B$32,'Inputs'!$B$30+'Inputs'!$B$31+'Inputs'!$B$32)/1000+'Inputs'!$B$21+'Inputs'!$B$9+'Inputs'!$B$10)+'Inputs'!$B$7)^2+('Inputs'!$B$6/2)^2)-(((480-43)*MAX('Inputs'!$B$33,'Inputs'!$B$29+'Inputs'!$B$31+'Inputs'!$B$32,'Inputs'!$B$30+'Inputs'!$B$31+'Inputs'!$B$32)/1000+'Inputs'!$B$21+'Inputs'!$B$9+'Inputs'!$B$10))/SQRT((((480-43)*MAX('Inputs'!$B$33,'Inputs'!$B$29+'Inputs'!$B$31+'Inputs'!$B$32,'Inputs'!$B$30+'Inputs'!$B$31+'Inputs'!$B$32)/1000+'Inputs'!$B$21+'Inputs'!$B$9+'Inputs'!$B$10))^2+('Inputs'!$B$6/2)^2))))*'Results'!$B$8))),"")</x:f>
        <x:v>6.915088215876308</x:v>
      </x:c>
      <x:c r="P480" t="n">
        <x:f>IF(AND(MAX(J480,J479)&gt;0,J480&gt;J479+0.00000001),1,0)</x:f>
        <x:v>0</x:v>
      </x:c>
      <x:c r="Q480" t="n">
        <x:f>IF(AND(MAX(K480,K479)&gt;0,K480&gt;K479+0.00000001),1,0)</x:f>
        <x:v>0</x:v>
      </x:c>
      <x:c r="R480" t="n">
        <x:f>IF(AND(MAX(L480,L479)&gt;0,L480&gt;L479+0.00000001),1,0)</x:f>
        <x:v>0</x:v>
      </x:c>
      <x:c r="S480" t="n">
        <x:f>IF(AND(MAX(M480,M479)&gt;0,M480&gt;M479+0.00000001),1,0)</x:f>
        <x:v>0</x:v>
      </x:c>
      <x:c r="T480" t="n">
        <x:f>IF(AND(MAX(N480,N479)&gt;0,N480&gt;N479+0.00000001),1,0)</x:f>
        <x:v>0</x:v>
      </x:c>
      <x:c r="U480" t="n">
        <x:f>IF(AND(MAX(O480,O479)&gt;0,O480&gt;O479+0.00000001),1,0)</x:f>
        <x:v>0</x:v>
      </x:c>
    </x:row>
    <x:row r="481">
      <x:c r="J481" t="n">
        <x:f>IF(AND(ISNUMBER('Results'!B7),ISNUMBER('Results'!C7),ISNUMBER('Results'!$B$8),ISNUMBER('Inputs'!$B$6),ISNUMBER('Inputs'!$B$7),ISNUMBER('Inputs'!$B$8),ISNUMBER('Inputs'!$B$9),ISNUMBER('Inputs'!$B$10),ISNUMBER('Inputs'!$B$21),ISNUMBER('Inputs'!$B$24),ISNUMBER('Inputs'!$B$28)),(('Results'!B7*(0.5*((((481-43)*MAX('Inputs'!$B$33,'Inputs'!$B$29+'Inputs'!$B$31+'Inputs'!$B$32,'Inputs'!$B$30+'Inputs'!$B$31+'Inputs'!$B$32)/1000+'Inputs'!$B$21)+'Inputs'!$B$7)/SQRT((((481-43)*MAX('Inputs'!$B$33,'Inputs'!$B$29+'Inputs'!$B$31+'Inputs'!$B$32,'Inputs'!$B$30+'Inputs'!$B$31+'Inputs'!$B$32)/1000+'Inputs'!$B$21)+'Inputs'!$B$7)^2+('Inputs'!$B$6/2)^2)-(((481-43)*MAX('Inputs'!$B$33,'Inputs'!$B$29+'Inputs'!$B$31+'Inputs'!$B$32,'Inputs'!$B$30+'Inputs'!$B$31+'Inputs'!$B$32)/1000+'Inputs'!$B$21))/SQRT((((481-43)*MAX('Inputs'!$B$33,'Inputs'!$B$29+'Inputs'!$B$31+'Inputs'!$B$32,'Inputs'!$B$30+'Inputs'!$B$31+'Inputs'!$B$32)/1000+'Inputs'!$B$21))^2+('Inputs'!$B$6/2)^2)))-'Results'!C7*(0.5*((((481-43)*MAX('Inputs'!$B$33,'Inputs'!$B$29+'Inputs'!$B$31+'Inputs'!$B$32,'Inputs'!$B$30+'Inputs'!$B$31+'Inputs'!$B$32)/1000+'Inputs'!$B$21+'Inputs'!$B$7+'Inputs'!$B$10)+'Inputs'!$B$9)/SQRT((((481-43)*MAX('Inputs'!$B$33,'Inputs'!$B$29+'Inputs'!$B$31+'Inputs'!$B$32,'Inputs'!$B$30+'Inputs'!$B$31+'Inputs'!$B$32)/1000+'Inputs'!$B$21+'Inputs'!$B$7+'Inputs'!$B$10)+'Inputs'!$B$9)^2+('Inputs'!$B$8/2)^2)-(((481-43)*MAX('Inputs'!$B$33,'Inputs'!$B$29+'Inputs'!$B$31+'Inputs'!$B$32,'Inputs'!$B$30+'Inputs'!$B$31+'Inputs'!$B$32)/1000+'Inputs'!$B$21+'Inputs'!$B$7+'Inputs'!$B$10))/SQRT((((481-43)*MAX('Inputs'!$B$33,'Inputs'!$B$29+'Inputs'!$B$31+'Inputs'!$B$32,'Inputs'!$B$30+'Inputs'!$B$31+'Inputs'!$B$32)/1000+'Inputs'!$B$21+'Inputs'!$B$7+'Inputs'!$B$10))^2+('Inputs'!$B$8/2)^2))))*'Results'!$B$8),"")</x:f>
        <x:v>6.5409097377628305</x:v>
      </x:c>
      <x:c r="K481" t="n">
        <x:f>IF(AND(ISNUMBER('Results'!B7),ISNUMBER('Results'!C7),ISNUMBER('Results'!$B$8),ISNUMBER('Inputs'!$B$6),ISNUMBER('Inputs'!$B$7),ISNUMBER('Inputs'!$B$8),ISNUMBER('Inputs'!$B$9),ISNUMBER('Inputs'!$B$10),ISNUMBER('Inputs'!$B$21),ISNUMBER('Inputs'!$B$24),ISNUMBER('Inputs'!$B$28)),((('Results'!B7*(1-'Inputs'!$B$24)*(0.5*((((481-43)*MAX('Inputs'!$B$33,'Inputs'!$B$29+'Inputs'!$B$31+'Inputs'!$B$32,'Inputs'!$B$30+'Inputs'!$B$31+'Inputs'!$B$32)/1000+'Inputs'!$B$21)+'Inputs'!$B$7)/SQRT((((481-43)*MAX('Inputs'!$B$33,'Inputs'!$B$29+'Inputs'!$B$31+'Inputs'!$B$32,'Inputs'!$B$30+'Inputs'!$B$31+'Inputs'!$B$32)/1000+'Inputs'!$B$21)+'Inputs'!$B$7)^2+('Inputs'!$B$6/2)^2)-(((481-43)*MAX('Inputs'!$B$33,'Inputs'!$B$29+'Inputs'!$B$31+'Inputs'!$B$32,'Inputs'!$B$30+'Inputs'!$B$31+'Inputs'!$B$32)/1000+'Inputs'!$B$21))/SQRT((((481-43)*MAX('Inputs'!$B$33,'Inputs'!$B$29+'Inputs'!$B$31+'Inputs'!$B$32,'Inputs'!$B$30+'Inputs'!$B$31+'Inputs'!$B$32)/1000+'Inputs'!$B$21))^2+('Inputs'!$B$6/2)^2)))-'Results'!C7*(1+'Inputs'!$B$24)*(0.5*((((481-43)*MAX('Inputs'!$B$33,'Inputs'!$B$29+'Inputs'!$B$31+'Inputs'!$B$32,'Inputs'!$B$30+'Inputs'!$B$31+'Inputs'!$B$32)/1000+'Inputs'!$B$21+'Inputs'!$B$7+'Inputs'!$B$10)+'Inputs'!$B$9)/SQRT((((481-43)*MAX('Inputs'!$B$33,'Inputs'!$B$29+'Inputs'!$B$31+'Inputs'!$B$32,'Inputs'!$B$30+'Inputs'!$B$31+'Inputs'!$B$32)/1000+'Inputs'!$B$21+'Inputs'!$B$7+'Inputs'!$B$10)+'Inputs'!$B$9)^2+('Inputs'!$B$8/2)^2)-(((481-43)*MAX('Inputs'!$B$33,'Inputs'!$B$29+'Inputs'!$B$31+'Inputs'!$B$32,'Inputs'!$B$30+'Inputs'!$B$31+'Inputs'!$B$32)/1000+'Inputs'!$B$21+'Inputs'!$B$7+'Inputs'!$B$10))/SQRT((((481-43)*MAX('Inputs'!$B$33,'Inputs'!$B$29+'Inputs'!$B$31+'Inputs'!$B$32,'Inputs'!$B$30+'Inputs'!$B$31+'Inputs'!$B$32)/1000+'Inputs'!$B$21+'Inputs'!$B$7+'Inputs'!$B$10))^2+('Inputs'!$B$8/2)^2))))*'Results'!$B$8)-'Inputs'!$B$28*ABS((('Results'!B7*(1-'Inputs'!$B$24)*(0.5*((((481-43)*MAX('Inputs'!$B$33,'Inputs'!$B$29+'Inputs'!$B$31+'Inputs'!$B$32,'Inputs'!$B$30+'Inputs'!$B$31+'Inputs'!$B$32)/1000+'Inputs'!$B$21)+'Inputs'!$B$7)/SQRT((((481-43)*MAX('Inputs'!$B$33,'Inputs'!$B$29+'Inputs'!$B$31+'Inputs'!$B$32,'Inputs'!$B$30+'Inputs'!$B$31+'Inputs'!$B$32)/1000+'Inputs'!$B$21)+'Inputs'!$B$7)^2+('Inputs'!$B$6/2)^2)-(((481-43)*MAX('Inputs'!$B$33,'Inputs'!$B$29+'Inputs'!$B$31+'Inputs'!$B$32,'Inputs'!$B$30+'Inputs'!$B$31+'Inputs'!$B$32)/1000+'Inputs'!$B$21))/SQRT((((481-43)*MAX('Inputs'!$B$33,'Inputs'!$B$29+'Inputs'!$B$31+'Inputs'!$B$32,'Inputs'!$B$30+'Inputs'!$B$31+'Inputs'!$B$32)/1000+'Inputs'!$B$21))^2+('Inputs'!$B$6/2)^2)))-'Results'!C7*(1+'Inputs'!$B$24)*(0.5*((((481-43)*MAX('Inputs'!$B$33,'Inputs'!$B$29+'Inputs'!$B$31+'Inputs'!$B$32,'Inputs'!$B$30+'Inputs'!$B$31+'Inputs'!$B$32)/1000+'Inputs'!$B$21+'Inputs'!$B$7+'Inputs'!$B$10)+'Inputs'!$B$9)/SQRT((((481-43)*MAX('Inputs'!$B$33,'Inputs'!$B$29+'Inputs'!$B$31+'Inputs'!$B$32,'Inputs'!$B$30+'Inputs'!$B$31+'Inputs'!$B$32)/1000+'Inputs'!$B$21+'Inputs'!$B$7+'Inputs'!$B$10)+'Inputs'!$B$9)^2+('Inputs'!$B$8/2)^2)-(((481-43)*MAX('Inputs'!$B$33,'Inputs'!$B$29+'Inputs'!$B$31+'Inputs'!$B$32,'Inputs'!$B$30+'Inputs'!$B$31+'Inputs'!$B$32)/1000+'Inputs'!$B$21+'Inputs'!$B$7+'Inputs'!$B$10))/SQRT((((481-43)*MAX('Inputs'!$B$33,'Inputs'!$B$29+'Inputs'!$B$31+'Inputs'!$B$32,'Inputs'!$B$30+'Inputs'!$B$31+'Inputs'!$B$32)/1000+'Inputs'!$B$21+'Inputs'!$B$7+'Inputs'!$B$10))^2+('Inputs'!$B$8/2)^2))))*'Results'!$B$8))),"")</x:f>
        <x:v>5.832373871521277</x:v>
      </x:c>
      <x:c r="L481" t="n">
        <x:f>IF(AND(ISNUMBER('Results'!B7),ISNUMBER('Results'!C7),ISNUMBER('Results'!$B$8),ISNUMBER('Inputs'!$B$6),ISNUMBER('Inputs'!$B$7),ISNUMBER('Inputs'!$B$8),ISNUMBER('Inputs'!$B$9),ISNUMBER('Inputs'!$B$10),ISNUMBER('Inputs'!$B$21),ISNUMBER('Inputs'!$B$24),ISNUMBER('Inputs'!$B$28)),((('Results'!B7*(1+'Inputs'!$B$24)*(0.5*((((481-43)*MAX('Inputs'!$B$33,'Inputs'!$B$29+'Inputs'!$B$31+'Inputs'!$B$32,'Inputs'!$B$30+'Inputs'!$B$31+'Inputs'!$B$32)/1000+'Inputs'!$B$21)+'Inputs'!$B$7)/SQRT((((481-43)*MAX('Inputs'!$B$33,'Inputs'!$B$29+'Inputs'!$B$31+'Inputs'!$B$32,'Inputs'!$B$30+'Inputs'!$B$31+'Inputs'!$B$32)/1000+'Inputs'!$B$21)+'Inputs'!$B$7)^2+('Inputs'!$B$6/2)^2)-(((481-43)*MAX('Inputs'!$B$33,'Inputs'!$B$29+'Inputs'!$B$31+'Inputs'!$B$32,'Inputs'!$B$30+'Inputs'!$B$31+'Inputs'!$B$32)/1000+'Inputs'!$B$21))/SQRT((((481-43)*MAX('Inputs'!$B$33,'Inputs'!$B$29+'Inputs'!$B$31+'Inputs'!$B$32,'Inputs'!$B$30+'Inputs'!$B$31+'Inputs'!$B$32)/1000+'Inputs'!$B$21))^2+('Inputs'!$B$6/2)^2)))-'Results'!C7*(1-'Inputs'!$B$24)*(0.5*((((481-43)*MAX('Inputs'!$B$33,'Inputs'!$B$29+'Inputs'!$B$31+'Inputs'!$B$32,'Inputs'!$B$30+'Inputs'!$B$31+'Inputs'!$B$32)/1000+'Inputs'!$B$21+'Inputs'!$B$7+'Inputs'!$B$10)+'Inputs'!$B$9)/SQRT((((481-43)*MAX('Inputs'!$B$33,'Inputs'!$B$29+'Inputs'!$B$31+'Inputs'!$B$32,'Inputs'!$B$30+'Inputs'!$B$31+'Inputs'!$B$32)/1000+'Inputs'!$B$21+'Inputs'!$B$7+'Inputs'!$B$10)+'Inputs'!$B$9)^2+('Inputs'!$B$8/2)^2)-(((481-43)*MAX('Inputs'!$B$33,'Inputs'!$B$29+'Inputs'!$B$31+'Inputs'!$B$32,'Inputs'!$B$30+'Inputs'!$B$31+'Inputs'!$B$32)/1000+'Inputs'!$B$21+'Inputs'!$B$7+'Inputs'!$B$10))/SQRT((((481-43)*MAX('Inputs'!$B$33,'Inputs'!$B$29+'Inputs'!$B$31+'Inputs'!$B$32,'Inputs'!$B$30+'Inputs'!$B$31+'Inputs'!$B$32)/1000+'Inputs'!$B$21+'Inputs'!$B$7+'Inputs'!$B$10))^2+('Inputs'!$B$8/2)^2))))*'Results'!$B$8)+'Inputs'!$B$28*ABS((('Results'!B7*(1+'Inputs'!$B$24)*(0.5*((((481-43)*MAX('Inputs'!$B$33,'Inputs'!$B$29+'Inputs'!$B$31+'Inputs'!$B$32,'Inputs'!$B$30+'Inputs'!$B$31+'Inputs'!$B$32)/1000+'Inputs'!$B$21)+'Inputs'!$B$7)/SQRT((((481-43)*MAX('Inputs'!$B$33,'Inputs'!$B$29+'Inputs'!$B$31+'Inputs'!$B$32,'Inputs'!$B$30+'Inputs'!$B$31+'Inputs'!$B$32)/1000+'Inputs'!$B$21)+'Inputs'!$B$7)^2+('Inputs'!$B$6/2)^2)-(((481-43)*MAX('Inputs'!$B$33,'Inputs'!$B$29+'Inputs'!$B$31+'Inputs'!$B$32,'Inputs'!$B$30+'Inputs'!$B$31+'Inputs'!$B$32)/1000+'Inputs'!$B$21))/SQRT((((481-43)*MAX('Inputs'!$B$33,'Inputs'!$B$29+'Inputs'!$B$31+'Inputs'!$B$32,'Inputs'!$B$30+'Inputs'!$B$31+'Inputs'!$B$32)/1000+'Inputs'!$B$21))^2+('Inputs'!$B$6/2)^2)))-'Results'!C7*(1-'Inputs'!$B$24)*(0.5*((((481-43)*MAX('Inputs'!$B$33,'Inputs'!$B$29+'Inputs'!$B$31+'Inputs'!$B$32,'Inputs'!$B$30+'Inputs'!$B$31+'Inputs'!$B$32)/1000+'Inputs'!$B$21+'Inputs'!$B$7+'Inputs'!$B$10)+'Inputs'!$B$9)/SQRT((((481-43)*MAX('Inputs'!$B$33,'Inputs'!$B$29+'Inputs'!$B$31+'Inputs'!$B$32,'Inputs'!$B$30+'Inputs'!$B$31+'Inputs'!$B$32)/1000+'Inputs'!$B$21+'Inputs'!$B$7+'Inputs'!$B$10)+'Inputs'!$B$9)^2+('Inputs'!$B$8/2)^2)-(((481-43)*MAX('Inputs'!$B$33,'Inputs'!$B$29+'Inputs'!$B$31+'Inputs'!$B$32,'Inputs'!$B$30+'Inputs'!$B$31+'Inputs'!$B$32)/1000+'Inputs'!$B$21+'Inputs'!$B$7+'Inputs'!$B$10))/SQRT((((481-43)*MAX('Inputs'!$B$33,'Inputs'!$B$29+'Inputs'!$B$31+'Inputs'!$B$32,'Inputs'!$B$30+'Inputs'!$B$31+'Inputs'!$B$32)/1000+'Inputs'!$B$21+'Inputs'!$B$7+'Inputs'!$B$10))^2+('Inputs'!$B$8/2)^2))))*'Results'!$B$8))),"")</x:f>
        <x:v>7.289602486041583</x:v>
      </x:c>
      <x:c r="M481" t="n">
        <x:f>IF(AND(ISNUMBER('Results'!C7),ISNUMBER('Results'!B7),ISNUMBER('Results'!$B$8),ISNUMBER('Inputs'!$B$6),ISNUMBER('Inputs'!$B$7),ISNUMBER('Inputs'!$B$8),ISNUMBER('Inputs'!$B$9),ISNUMBER('Inputs'!$B$10),ISNUMBER('Inputs'!$B$21),ISNUMBER('Inputs'!$B$24),ISNUMBER('Inputs'!$B$28)),(('Results'!C7*(0.5*((((481-43)*MAX('Inputs'!$B$33,'Inputs'!$B$29+'Inputs'!$B$31+'Inputs'!$B$32,'Inputs'!$B$30+'Inputs'!$B$31+'Inputs'!$B$32)/1000+'Inputs'!$B$21)+'Inputs'!$B$9)/SQRT((((481-43)*MAX('Inputs'!$B$33,'Inputs'!$B$29+'Inputs'!$B$31+'Inputs'!$B$32,'Inputs'!$B$30+'Inputs'!$B$31+'Inputs'!$B$32)/1000+'Inputs'!$B$21)+'Inputs'!$B$9)^2+('Inputs'!$B$8/2)^2)-(((481-43)*MAX('Inputs'!$B$33,'Inputs'!$B$29+'Inputs'!$B$31+'Inputs'!$B$32,'Inputs'!$B$30+'Inputs'!$B$31+'Inputs'!$B$32)/1000+'Inputs'!$B$21))/SQRT((((481-43)*MAX('Inputs'!$B$33,'Inputs'!$B$29+'Inputs'!$B$31+'Inputs'!$B$32,'Inputs'!$B$30+'Inputs'!$B$31+'Inputs'!$B$32)/1000+'Inputs'!$B$21))^2+('Inputs'!$B$8/2)^2)))-'Results'!B7*(0.5*((((481-43)*MAX('Inputs'!$B$33,'Inputs'!$B$29+'Inputs'!$B$31+'Inputs'!$B$32,'Inputs'!$B$30+'Inputs'!$B$31+'Inputs'!$B$32)/1000+'Inputs'!$B$21+'Inputs'!$B$9+'Inputs'!$B$10)+'Inputs'!$B$7)/SQRT((((481-43)*MAX('Inputs'!$B$33,'Inputs'!$B$29+'Inputs'!$B$31+'Inputs'!$B$32,'Inputs'!$B$30+'Inputs'!$B$31+'Inputs'!$B$32)/1000+'Inputs'!$B$21+'Inputs'!$B$9+'Inputs'!$B$10)+'Inputs'!$B$7)^2+('Inputs'!$B$6/2)^2)-(((481-43)*MAX('Inputs'!$B$33,'Inputs'!$B$29+'Inputs'!$B$31+'Inputs'!$B$32,'Inputs'!$B$30+'Inputs'!$B$31+'Inputs'!$B$32)/1000+'Inputs'!$B$21+'Inputs'!$B$9+'Inputs'!$B$10))/SQRT((((481-43)*MAX('Inputs'!$B$33,'Inputs'!$B$29+'Inputs'!$B$31+'Inputs'!$B$32,'Inputs'!$B$30+'Inputs'!$B$31+'Inputs'!$B$32)/1000+'Inputs'!$B$21+'Inputs'!$B$9+'Inputs'!$B$10))^2+('Inputs'!$B$6/2)^2))))*'Results'!$B$8),"")</x:f>
        <x:v>6.136578155904933</x:v>
      </x:c>
      <x:c r="N481" t="n">
        <x:f>IF(AND(ISNUMBER('Results'!C7),ISNUMBER('Results'!B7),ISNUMBER('Results'!$B$8),ISNUMBER('Inputs'!$B$6),ISNUMBER('Inputs'!$B$7),ISNUMBER('Inputs'!$B$8),ISNUMBER('Inputs'!$B$9),ISNUMBER('Inputs'!$B$10),ISNUMBER('Inputs'!$B$21),ISNUMBER('Inputs'!$B$24),ISNUMBER('Inputs'!$B$28)),((('Results'!C7*(1-'Inputs'!$B$24)*(0.5*((((481-43)*MAX('Inputs'!$B$33,'Inputs'!$B$29+'Inputs'!$B$31+'Inputs'!$B$32,'Inputs'!$B$30+'Inputs'!$B$31+'Inputs'!$B$32)/1000+'Inputs'!$B$21)+'Inputs'!$B$9)/SQRT((((481-43)*MAX('Inputs'!$B$33,'Inputs'!$B$29+'Inputs'!$B$31+'Inputs'!$B$32,'Inputs'!$B$30+'Inputs'!$B$31+'Inputs'!$B$32)/1000+'Inputs'!$B$21)+'Inputs'!$B$9)^2+('Inputs'!$B$8/2)^2)-(((481-43)*MAX('Inputs'!$B$33,'Inputs'!$B$29+'Inputs'!$B$31+'Inputs'!$B$32,'Inputs'!$B$30+'Inputs'!$B$31+'Inputs'!$B$32)/1000+'Inputs'!$B$21))/SQRT((((481-43)*MAX('Inputs'!$B$33,'Inputs'!$B$29+'Inputs'!$B$31+'Inputs'!$B$32,'Inputs'!$B$30+'Inputs'!$B$31+'Inputs'!$B$32)/1000+'Inputs'!$B$21))^2+('Inputs'!$B$8/2)^2)))-'Results'!B7*(1+'Inputs'!$B$24)*(0.5*((((481-43)*MAX('Inputs'!$B$33,'Inputs'!$B$29+'Inputs'!$B$31+'Inputs'!$B$32,'Inputs'!$B$30+'Inputs'!$B$31+'Inputs'!$B$32)/1000+'Inputs'!$B$21+'Inputs'!$B$9+'Inputs'!$B$10)+'Inputs'!$B$7)/SQRT((((481-43)*MAX('Inputs'!$B$33,'Inputs'!$B$29+'Inputs'!$B$31+'Inputs'!$B$32,'Inputs'!$B$30+'Inputs'!$B$31+'Inputs'!$B$32)/1000+'Inputs'!$B$21+'Inputs'!$B$9+'Inputs'!$B$10)+'Inputs'!$B$7)^2+('Inputs'!$B$6/2)^2)-(((481-43)*MAX('Inputs'!$B$33,'Inputs'!$B$29+'Inputs'!$B$31+'Inputs'!$B$32,'Inputs'!$B$30+'Inputs'!$B$31+'Inputs'!$B$32)/1000+'Inputs'!$B$21+'Inputs'!$B$9+'Inputs'!$B$10))/SQRT((((481-43)*MAX('Inputs'!$B$33,'Inputs'!$B$29+'Inputs'!$B$31+'Inputs'!$B$32,'Inputs'!$B$30+'Inputs'!$B$31+'Inputs'!$B$32)/1000+'Inputs'!$B$21+'Inputs'!$B$9+'Inputs'!$B$10))^2+('Inputs'!$B$6/2)^2))))*'Results'!$B$8)-'Inputs'!$B$28*ABS((('Results'!C7*(1-'Inputs'!$B$24)*(0.5*((((481-43)*MAX('Inputs'!$B$33,'Inputs'!$B$29+'Inputs'!$B$31+'Inputs'!$B$32,'Inputs'!$B$30+'Inputs'!$B$31+'Inputs'!$B$32)/1000+'Inputs'!$B$21)+'Inputs'!$B$9)/SQRT((((481-43)*MAX('Inputs'!$B$33,'Inputs'!$B$29+'Inputs'!$B$31+'Inputs'!$B$32,'Inputs'!$B$30+'Inputs'!$B$31+'Inputs'!$B$32)/1000+'Inputs'!$B$21)+'Inputs'!$B$9)^2+('Inputs'!$B$8/2)^2)-(((481-43)*MAX('Inputs'!$B$33,'Inputs'!$B$29+'Inputs'!$B$31+'Inputs'!$B$32,'Inputs'!$B$30+'Inputs'!$B$31+'Inputs'!$B$32)/1000+'Inputs'!$B$21))/SQRT((((481-43)*MAX('Inputs'!$B$33,'Inputs'!$B$29+'Inputs'!$B$31+'Inputs'!$B$32,'Inputs'!$B$30+'Inputs'!$B$31+'Inputs'!$B$32)/1000+'Inputs'!$B$21))^2+('Inputs'!$B$8/2)^2)))-'Results'!B7*(1+'Inputs'!$B$24)*(0.5*((((481-43)*MAX('Inputs'!$B$33,'Inputs'!$B$29+'Inputs'!$B$31+'Inputs'!$B$32,'Inputs'!$B$30+'Inputs'!$B$31+'Inputs'!$B$32)/1000+'Inputs'!$B$21+'Inputs'!$B$9+'Inputs'!$B$10)+'Inputs'!$B$7)/SQRT((((481-43)*MAX('Inputs'!$B$33,'Inputs'!$B$29+'Inputs'!$B$31+'Inputs'!$B$32,'Inputs'!$B$30+'Inputs'!$B$31+'Inputs'!$B$32)/1000+'Inputs'!$B$21+'Inputs'!$B$9+'Inputs'!$B$10)+'Inputs'!$B$7)^2+('Inputs'!$B$6/2)^2)-(((481-43)*MAX('Inputs'!$B$33,'Inputs'!$B$29+'Inputs'!$B$31+'Inputs'!$B$32,'Inputs'!$B$30+'Inputs'!$B$31+'Inputs'!$B$32)/1000+'Inputs'!$B$21+'Inputs'!$B$9+'Inputs'!$B$10))/SQRT((((481-43)*MAX('Inputs'!$B$33,'Inputs'!$B$29+'Inputs'!$B$31+'Inputs'!$B$32,'Inputs'!$B$30+'Inputs'!$B$31+'Inputs'!$B$32)/1000+'Inputs'!$B$21+'Inputs'!$B$9+'Inputs'!$B$10))^2+('Inputs'!$B$6/2)^2))))*'Results'!$B$8))),"")</x:f>
        <x:v>5.450691921988394</x:v>
      </x:c>
      <x:c r="O481" t="n">
        <x:f>IF(AND(ISNUMBER('Results'!C7),ISNUMBER('Results'!B7),ISNUMBER('Results'!$B$8),ISNUMBER('Inputs'!$B$6),ISNUMBER('Inputs'!$B$7),ISNUMBER('Inputs'!$B$8),ISNUMBER('Inputs'!$B$9),ISNUMBER('Inputs'!$B$10),ISNUMBER('Inputs'!$B$21),ISNUMBER('Inputs'!$B$24),ISNUMBER('Inputs'!$B$28)),((('Results'!C7*(1+'Inputs'!$B$24)*(0.5*((((481-43)*MAX('Inputs'!$B$33,'Inputs'!$B$29+'Inputs'!$B$31+'Inputs'!$B$32,'Inputs'!$B$30+'Inputs'!$B$31+'Inputs'!$B$32)/1000+'Inputs'!$B$21)+'Inputs'!$B$9)/SQRT((((481-43)*MAX('Inputs'!$B$33,'Inputs'!$B$29+'Inputs'!$B$31+'Inputs'!$B$32,'Inputs'!$B$30+'Inputs'!$B$31+'Inputs'!$B$32)/1000+'Inputs'!$B$21)+'Inputs'!$B$9)^2+('Inputs'!$B$8/2)^2)-(((481-43)*MAX('Inputs'!$B$33,'Inputs'!$B$29+'Inputs'!$B$31+'Inputs'!$B$32,'Inputs'!$B$30+'Inputs'!$B$31+'Inputs'!$B$32)/1000+'Inputs'!$B$21))/SQRT((((481-43)*MAX('Inputs'!$B$33,'Inputs'!$B$29+'Inputs'!$B$31+'Inputs'!$B$32,'Inputs'!$B$30+'Inputs'!$B$31+'Inputs'!$B$32)/1000+'Inputs'!$B$21))^2+('Inputs'!$B$8/2)^2)))-'Results'!B7*(1-'Inputs'!$B$24)*(0.5*((((481-43)*MAX('Inputs'!$B$33,'Inputs'!$B$29+'Inputs'!$B$31+'Inputs'!$B$32,'Inputs'!$B$30+'Inputs'!$B$31+'Inputs'!$B$32)/1000+'Inputs'!$B$21+'Inputs'!$B$9+'Inputs'!$B$10)+'Inputs'!$B$7)/SQRT((((481-43)*MAX('Inputs'!$B$33,'Inputs'!$B$29+'Inputs'!$B$31+'Inputs'!$B$32,'Inputs'!$B$30+'Inputs'!$B$31+'Inputs'!$B$32)/1000+'Inputs'!$B$21+'Inputs'!$B$9+'Inputs'!$B$10)+'Inputs'!$B$7)^2+('Inputs'!$B$6/2)^2)-(((481-43)*MAX('Inputs'!$B$33,'Inputs'!$B$29+'Inputs'!$B$31+'Inputs'!$B$32,'Inputs'!$B$30+'Inputs'!$B$31+'Inputs'!$B$32)/1000+'Inputs'!$B$21+'Inputs'!$B$9+'Inputs'!$B$10))/SQRT((((481-43)*MAX('Inputs'!$B$33,'Inputs'!$B$29+'Inputs'!$B$31+'Inputs'!$B$32,'Inputs'!$B$30+'Inputs'!$B$31+'Inputs'!$B$32)/1000+'Inputs'!$B$21+'Inputs'!$B$9+'Inputs'!$B$10))^2+('Inputs'!$B$6/2)^2))))*'Results'!$B$8)+'Inputs'!$B$28*ABS((('Results'!C7*(1+'Inputs'!$B$24)*(0.5*((((481-43)*MAX('Inputs'!$B$33,'Inputs'!$B$29+'Inputs'!$B$31+'Inputs'!$B$32,'Inputs'!$B$30+'Inputs'!$B$31+'Inputs'!$B$32)/1000+'Inputs'!$B$21)+'Inputs'!$B$9)/SQRT((((481-43)*MAX('Inputs'!$B$33,'Inputs'!$B$29+'Inputs'!$B$31+'Inputs'!$B$32,'Inputs'!$B$30+'Inputs'!$B$31+'Inputs'!$B$32)/1000+'Inputs'!$B$21)+'Inputs'!$B$9)^2+('Inputs'!$B$8/2)^2)-(((481-43)*MAX('Inputs'!$B$33,'Inputs'!$B$29+'Inputs'!$B$31+'Inputs'!$B$32,'Inputs'!$B$30+'Inputs'!$B$31+'Inputs'!$B$32)/1000+'Inputs'!$B$21))/SQRT((((481-43)*MAX('Inputs'!$B$33,'Inputs'!$B$29+'Inputs'!$B$31+'Inputs'!$B$32,'Inputs'!$B$30+'Inputs'!$B$31+'Inputs'!$B$32)/1000+'Inputs'!$B$21))^2+('Inputs'!$B$8/2)^2)))-'Results'!B7*(1-'Inputs'!$B$24)*(0.5*((((481-43)*MAX('Inputs'!$B$33,'Inputs'!$B$29+'Inputs'!$B$31+'Inputs'!$B$32,'Inputs'!$B$30+'Inputs'!$B$31+'Inputs'!$B$32)/1000+'Inputs'!$B$21+'Inputs'!$B$9+'Inputs'!$B$10)+'Inputs'!$B$7)/SQRT((((481-43)*MAX('Inputs'!$B$33,'Inputs'!$B$29+'Inputs'!$B$31+'Inputs'!$B$32,'Inputs'!$B$30+'Inputs'!$B$31+'Inputs'!$B$32)/1000+'Inputs'!$B$21+'Inputs'!$B$9+'Inputs'!$B$10)+'Inputs'!$B$7)^2+('Inputs'!$B$6/2)^2)-(((481-43)*MAX('Inputs'!$B$33,'Inputs'!$B$29+'Inputs'!$B$31+'Inputs'!$B$32,'Inputs'!$B$30+'Inputs'!$B$31+'Inputs'!$B$32)/1000+'Inputs'!$B$21+'Inputs'!$B$9+'Inputs'!$B$10))/SQRT((((481-43)*MAX('Inputs'!$B$33,'Inputs'!$B$29+'Inputs'!$B$31+'Inputs'!$B$32,'Inputs'!$B$30+'Inputs'!$B$31+'Inputs'!$B$32)/1000+'Inputs'!$B$21+'Inputs'!$B$9+'Inputs'!$B$10))^2+('Inputs'!$B$6/2)^2))))*'Results'!$B$8))),"")</x:f>
        <x:v>6.862365160992136</x:v>
      </x:c>
      <x:c r="P481" t="n">
        <x:f>IF(AND(MAX(J481,J480)&gt;0,J481&gt;J480+0.00000001),1,0)</x:f>
        <x:v>0</x:v>
      </x:c>
      <x:c r="Q481" t="n">
        <x:f>IF(AND(MAX(K481,K480)&gt;0,K481&gt;K480+0.00000001),1,0)</x:f>
        <x:v>0</x:v>
      </x:c>
      <x:c r="R481" t="n">
        <x:f>IF(AND(MAX(L481,L480)&gt;0,L481&gt;L480+0.00000001),1,0)</x:f>
        <x:v>0</x:v>
      </x:c>
      <x:c r="S481" t="n">
        <x:f>IF(AND(MAX(M481,M480)&gt;0,M481&gt;M480+0.00000001),1,0)</x:f>
        <x:v>0</x:v>
      </x:c>
      <x:c r="T481" t="n">
        <x:f>IF(AND(MAX(N481,N480)&gt;0,N481&gt;N480+0.00000001),1,0)</x:f>
        <x:v>0</x:v>
      </x:c>
      <x:c r="U481" t="n">
        <x:f>IF(AND(MAX(O481,O480)&gt;0,O481&gt;O480+0.00000001),1,0)</x:f>
        <x:v>0</x:v>
      </x:c>
    </x:row>
    <x:row r="482">
      <x:c r="J482" t="n">
        <x:f>IF(AND(ISNUMBER('Results'!B7),ISNUMBER('Results'!C7),ISNUMBER('Results'!$B$8),ISNUMBER('Inputs'!$B$6),ISNUMBER('Inputs'!$B$7),ISNUMBER('Inputs'!$B$8),ISNUMBER('Inputs'!$B$9),ISNUMBER('Inputs'!$B$10),ISNUMBER('Inputs'!$B$21),ISNUMBER('Inputs'!$B$24),ISNUMBER('Inputs'!$B$28)),(('Results'!B7*(0.5*((((482-43)*MAX('Inputs'!$B$33,'Inputs'!$B$29+'Inputs'!$B$31+'Inputs'!$B$32,'Inputs'!$B$30+'Inputs'!$B$31+'Inputs'!$B$32)/1000+'Inputs'!$B$21)+'Inputs'!$B$7)/SQRT((((482-43)*MAX('Inputs'!$B$33,'Inputs'!$B$29+'Inputs'!$B$31+'Inputs'!$B$32,'Inputs'!$B$30+'Inputs'!$B$31+'Inputs'!$B$32)/1000+'Inputs'!$B$21)+'Inputs'!$B$7)^2+('Inputs'!$B$6/2)^2)-(((482-43)*MAX('Inputs'!$B$33,'Inputs'!$B$29+'Inputs'!$B$31+'Inputs'!$B$32,'Inputs'!$B$30+'Inputs'!$B$31+'Inputs'!$B$32)/1000+'Inputs'!$B$21))/SQRT((((482-43)*MAX('Inputs'!$B$33,'Inputs'!$B$29+'Inputs'!$B$31+'Inputs'!$B$32,'Inputs'!$B$30+'Inputs'!$B$31+'Inputs'!$B$32)/1000+'Inputs'!$B$21))^2+('Inputs'!$B$6/2)^2)))-'Results'!C7*(0.5*((((482-43)*MAX('Inputs'!$B$33,'Inputs'!$B$29+'Inputs'!$B$31+'Inputs'!$B$32,'Inputs'!$B$30+'Inputs'!$B$31+'Inputs'!$B$32)/1000+'Inputs'!$B$21+'Inputs'!$B$7+'Inputs'!$B$10)+'Inputs'!$B$9)/SQRT((((482-43)*MAX('Inputs'!$B$33,'Inputs'!$B$29+'Inputs'!$B$31+'Inputs'!$B$32,'Inputs'!$B$30+'Inputs'!$B$31+'Inputs'!$B$32)/1000+'Inputs'!$B$21+'Inputs'!$B$7+'Inputs'!$B$10)+'Inputs'!$B$9)^2+('Inputs'!$B$8/2)^2)-(((482-43)*MAX('Inputs'!$B$33,'Inputs'!$B$29+'Inputs'!$B$31+'Inputs'!$B$32,'Inputs'!$B$30+'Inputs'!$B$31+'Inputs'!$B$32)/1000+'Inputs'!$B$21+'Inputs'!$B$7+'Inputs'!$B$10))/SQRT((((482-43)*MAX('Inputs'!$B$33,'Inputs'!$B$29+'Inputs'!$B$31+'Inputs'!$B$32,'Inputs'!$B$30+'Inputs'!$B$31+'Inputs'!$B$32)/1000+'Inputs'!$B$21+'Inputs'!$B$7+'Inputs'!$B$10))^2+('Inputs'!$B$8/2)^2))))*'Results'!$B$8),"")</x:f>
        <x:v>6.49114133038016</x:v>
      </x:c>
      <x:c r="K482" t="n">
        <x:f>IF(AND(ISNUMBER('Results'!B7),ISNUMBER('Results'!C7),ISNUMBER('Results'!$B$8),ISNUMBER('Inputs'!$B$6),ISNUMBER('Inputs'!$B$7),ISNUMBER('Inputs'!$B$8),ISNUMBER('Inputs'!$B$9),ISNUMBER('Inputs'!$B$10),ISNUMBER('Inputs'!$B$21),ISNUMBER('Inputs'!$B$24),ISNUMBER('Inputs'!$B$28)),((('Results'!B7*(1-'Inputs'!$B$24)*(0.5*((((482-43)*MAX('Inputs'!$B$33,'Inputs'!$B$29+'Inputs'!$B$31+'Inputs'!$B$32,'Inputs'!$B$30+'Inputs'!$B$31+'Inputs'!$B$32)/1000+'Inputs'!$B$21)+'Inputs'!$B$7)/SQRT((((482-43)*MAX('Inputs'!$B$33,'Inputs'!$B$29+'Inputs'!$B$31+'Inputs'!$B$32,'Inputs'!$B$30+'Inputs'!$B$31+'Inputs'!$B$32)/1000+'Inputs'!$B$21)+'Inputs'!$B$7)^2+('Inputs'!$B$6/2)^2)-(((482-43)*MAX('Inputs'!$B$33,'Inputs'!$B$29+'Inputs'!$B$31+'Inputs'!$B$32,'Inputs'!$B$30+'Inputs'!$B$31+'Inputs'!$B$32)/1000+'Inputs'!$B$21))/SQRT((((482-43)*MAX('Inputs'!$B$33,'Inputs'!$B$29+'Inputs'!$B$31+'Inputs'!$B$32,'Inputs'!$B$30+'Inputs'!$B$31+'Inputs'!$B$32)/1000+'Inputs'!$B$21))^2+('Inputs'!$B$6/2)^2)))-'Results'!C7*(1+'Inputs'!$B$24)*(0.5*((((482-43)*MAX('Inputs'!$B$33,'Inputs'!$B$29+'Inputs'!$B$31+'Inputs'!$B$32,'Inputs'!$B$30+'Inputs'!$B$31+'Inputs'!$B$32)/1000+'Inputs'!$B$21+'Inputs'!$B$7+'Inputs'!$B$10)+'Inputs'!$B$9)/SQRT((((482-43)*MAX('Inputs'!$B$33,'Inputs'!$B$29+'Inputs'!$B$31+'Inputs'!$B$32,'Inputs'!$B$30+'Inputs'!$B$31+'Inputs'!$B$32)/1000+'Inputs'!$B$21+'Inputs'!$B$7+'Inputs'!$B$10)+'Inputs'!$B$9)^2+('Inputs'!$B$8/2)^2)-(((482-43)*MAX('Inputs'!$B$33,'Inputs'!$B$29+'Inputs'!$B$31+'Inputs'!$B$32,'Inputs'!$B$30+'Inputs'!$B$31+'Inputs'!$B$32)/1000+'Inputs'!$B$21+'Inputs'!$B$7+'Inputs'!$B$10))/SQRT((((482-43)*MAX('Inputs'!$B$33,'Inputs'!$B$29+'Inputs'!$B$31+'Inputs'!$B$32,'Inputs'!$B$30+'Inputs'!$B$31+'Inputs'!$B$32)/1000+'Inputs'!$B$21+'Inputs'!$B$7+'Inputs'!$B$10))^2+('Inputs'!$B$8/2)^2))))*'Results'!$B$8)-'Inputs'!$B$28*ABS((('Results'!B7*(1-'Inputs'!$B$24)*(0.5*((((482-43)*MAX('Inputs'!$B$33,'Inputs'!$B$29+'Inputs'!$B$31+'Inputs'!$B$32,'Inputs'!$B$30+'Inputs'!$B$31+'Inputs'!$B$32)/1000+'Inputs'!$B$21)+'Inputs'!$B$7)/SQRT((((482-43)*MAX('Inputs'!$B$33,'Inputs'!$B$29+'Inputs'!$B$31+'Inputs'!$B$32,'Inputs'!$B$30+'Inputs'!$B$31+'Inputs'!$B$32)/1000+'Inputs'!$B$21)+'Inputs'!$B$7)^2+('Inputs'!$B$6/2)^2)-(((482-43)*MAX('Inputs'!$B$33,'Inputs'!$B$29+'Inputs'!$B$31+'Inputs'!$B$32,'Inputs'!$B$30+'Inputs'!$B$31+'Inputs'!$B$32)/1000+'Inputs'!$B$21))/SQRT((((482-43)*MAX('Inputs'!$B$33,'Inputs'!$B$29+'Inputs'!$B$31+'Inputs'!$B$32,'Inputs'!$B$30+'Inputs'!$B$31+'Inputs'!$B$32)/1000+'Inputs'!$B$21))^2+('Inputs'!$B$6/2)^2)))-'Results'!C7*(1+'Inputs'!$B$24)*(0.5*((((482-43)*MAX('Inputs'!$B$33,'Inputs'!$B$29+'Inputs'!$B$31+'Inputs'!$B$32,'Inputs'!$B$30+'Inputs'!$B$31+'Inputs'!$B$32)/1000+'Inputs'!$B$21+'Inputs'!$B$7+'Inputs'!$B$10)+'Inputs'!$B$9)/SQRT((((482-43)*MAX('Inputs'!$B$33,'Inputs'!$B$29+'Inputs'!$B$31+'Inputs'!$B$32,'Inputs'!$B$30+'Inputs'!$B$31+'Inputs'!$B$32)/1000+'Inputs'!$B$21+'Inputs'!$B$7+'Inputs'!$B$10)+'Inputs'!$B$9)^2+('Inputs'!$B$8/2)^2)-(((482-43)*MAX('Inputs'!$B$33,'Inputs'!$B$29+'Inputs'!$B$31+'Inputs'!$B$32,'Inputs'!$B$30+'Inputs'!$B$31+'Inputs'!$B$32)/1000+'Inputs'!$B$21+'Inputs'!$B$7+'Inputs'!$B$10))/SQRT((((482-43)*MAX('Inputs'!$B$33,'Inputs'!$B$29+'Inputs'!$B$31+'Inputs'!$B$32,'Inputs'!$B$30+'Inputs'!$B$31+'Inputs'!$B$32)/1000+'Inputs'!$B$21+'Inputs'!$B$7+'Inputs'!$B$10))^2+('Inputs'!$B$8/2)^2))))*'Results'!$B$8))),"")</x:f>
        <x:v>5.787359305187965</x:v>
      </x:c>
      <x:c r="L482" t="n">
        <x:f>IF(AND(ISNUMBER('Results'!B7),ISNUMBER('Results'!C7),ISNUMBER('Results'!$B$8),ISNUMBER('Inputs'!$B$6),ISNUMBER('Inputs'!$B$7),ISNUMBER('Inputs'!$B$8),ISNUMBER('Inputs'!$B$9),ISNUMBER('Inputs'!$B$10),ISNUMBER('Inputs'!$B$21),ISNUMBER('Inputs'!$B$24),ISNUMBER('Inputs'!$B$28)),((('Results'!B7*(1+'Inputs'!$B$24)*(0.5*((((482-43)*MAX('Inputs'!$B$33,'Inputs'!$B$29+'Inputs'!$B$31+'Inputs'!$B$32,'Inputs'!$B$30+'Inputs'!$B$31+'Inputs'!$B$32)/1000+'Inputs'!$B$21)+'Inputs'!$B$7)/SQRT((((482-43)*MAX('Inputs'!$B$33,'Inputs'!$B$29+'Inputs'!$B$31+'Inputs'!$B$32,'Inputs'!$B$30+'Inputs'!$B$31+'Inputs'!$B$32)/1000+'Inputs'!$B$21)+'Inputs'!$B$7)^2+('Inputs'!$B$6/2)^2)-(((482-43)*MAX('Inputs'!$B$33,'Inputs'!$B$29+'Inputs'!$B$31+'Inputs'!$B$32,'Inputs'!$B$30+'Inputs'!$B$31+'Inputs'!$B$32)/1000+'Inputs'!$B$21))/SQRT((((482-43)*MAX('Inputs'!$B$33,'Inputs'!$B$29+'Inputs'!$B$31+'Inputs'!$B$32,'Inputs'!$B$30+'Inputs'!$B$31+'Inputs'!$B$32)/1000+'Inputs'!$B$21))^2+('Inputs'!$B$6/2)^2)))-'Results'!C7*(1-'Inputs'!$B$24)*(0.5*((((482-43)*MAX('Inputs'!$B$33,'Inputs'!$B$29+'Inputs'!$B$31+'Inputs'!$B$32,'Inputs'!$B$30+'Inputs'!$B$31+'Inputs'!$B$32)/1000+'Inputs'!$B$21+'Inputs'!$B$7+'Inputs'!$B$10)+'Inputs'!$B$9)/SQRT((((482-43)*MAX('Inputs'!$B$33,'Inputs'!$B$29+'Inputs'!$B$31+'Inputs'!$B$32,'Inputs'!$B$30+'Inputs'!$B$31+'Inputs'!$B$32)/1000+'Inputs'!$B$21+'Inputs'!$B$7+'Inputs'!$B$10)+'Inputs'!$B$9)^2+('Inputs'!$B$8/2)^2)-(((482-43)*MAX('Inputs'!$B$33,'Inputs'!$B$29+'Inputs'!$B$31+'Inputs'!$B$32,'Inputs'!$B$30+'Inputs'!$B$31+'Inputs'!$B$32)/1000+'Inputs'!$B$21+'Inputs'!$B$7+'Inputs'!$B$10))/SQRT((((482-43)*MAX('Inputs'!$B$33,'Inputs'!$B$29+'Inputs'!$B$31+'Inputs'!$B$32,'Inputs'!$B$30+'Inputs'!$B$31+'Inputs'!$B$32)/1000+'Inputs'!$B$21+'Inputs'!$B$7+'Inputs'!$B$10))^2+('Inputs'!$B$8/2)^2))))*'Results'!$B$8)+'Inputs'!$B$28*ABS((('Results'!B7*(1+'Inputs'!$B$24)*(0.5*((((482-43)*MAX('Inputs'!$B$33,'Inputs'!$B$29+'Inputs'!$B$31+'Inputs'!$B$32,'Inputs'!$B$30+'Inputs'!$B$31+'Inputs'!$B$32)/1000+'Inputs'!$B$21)+'Inputs'!$B$7)/SQRT((((482-43)*MAX('Inputs'!$B$33,'Inputs'!$B$29+'Inputs'!$B$31+'Inputs'!$B$32,'Inputs'!$B$30+'Inputs'!$B$31+'Inputs'!$B$32)/1000+'Inputs'!$B$21)+'Inputs'!$B$7)^2+('Inputs'!$B$6/2)^2)-(((482-43)*MAX('Inputs'!$B$33,'Inputs'!$B$29+'Inputs'!$B$31+'Inputs'!$B$32,'Inputs'!$B$30+'Inputs'!$B$31+'Inputs'!$B$32)/1000+'Inputs'!$B$21))/SQRT((((482-43)*MAX('Inputs'!$B$33,'Inputs'!$B$29+'Inputs'!$B$31+'Inputs'!$B$32,'Inputs'!$B$30+'Inputs'!$B$31+'Inputs'!$B$32)/1000+'Inputs'!$B$21))^2+('Inputs'!$B$6/2)^2)))-'Results'!C7*(1-'Inputs'!$B$24)*(0.5*((((482-43)*MAX('Inputs'!$B$33,'Inputs'!$B$29+'Inputs'!$B$31+'Inputs'!$B$32,'Inputs'!$B$30+'Inputs'!$B$31+'Inputs'!$B$32)/1000+'Inputs'!$B$21+'Inputs'!$B$7+'Inputs'!$B$10)+'Inputs'!$B$9)/SQRT((((482-43)*MAX('Inputs'!$B$33,'Inputs'!$B$29+'Inputs'!$B$31+'Inputs'!$B$32,'Inputs'!$B$30+'Inputs'!$B$31+'Inputs'!$B$32)/1000+'Inputs'!$B$21+'Inputs'!$B$7+'Inputs'!$B$10)+'Inputs'!$B$9)^2+('Inputs'!$B$8/2)^2)-(((482-43)*MAX('Inputs'!$B$33,'Inputs'!$B$29+'Inputs'!$B$31+'Inputs'!$B$32,'Inputs'!$B$30+'Inputs'!$B$31+'Inputs'!$B$32)/1000+'Inputs'!$B$21+'Inputs'!$B$7+'Inputs'!$B$10))/SQRT((((482-43)*MAX('Inputs'!$B$33,'Inputs'!$B$29+'Inputs'!$B$31+'Inputs'!$B$32,'Inputs'!$B$30+'Inputs'!$B$31+'Inputs'!$B$32)/1000+'Inputs'!$B$21+'Inputs'!$B$7+'Inputs'!$B$10))^2+('Inputs'!$B$8/2)^2))))*'Results'!$B$8))),"")</x:f>
        <x:v>7.234841772274795</x:v>
      </x:c>
      <x:c r="M482" t="n">
        <x:f>IF(AND(ISNUMBER('Results'!C7),ISNUMBER('Results'!B7),ISNUMBER('Results'!$B$8),ISNUMBER('Inputs'!$B$6),ISNUMBER('Inputs'!$B$7),ISNUMBER('Inputs'!$B$8),ISNUMBER('Inputs'!$B$9),ISNUMBER('Inputs'!$B$10),ISNUMBER('Inputs'!$B$21),ISNUMBER('Inputs'!$B$24),ISNUMBER('Inputs'!$B$28)),(('Results'!C7*(0.5*((((482-43)*MAX('Inputs'!$B$33,'Inputs'!$B$29+'Inputs'!$B$31+'Inputs'!$B$32,'Inputs'!$B$30+'Inputs'!$B$31+'Inputs'!$B$32)/1000+'Inputs'!$B$21)+'Inputs'!$B$9)/SQRT((((482-43)*MAX('Inputs'!$B$33,'Inputs'!$B$29+'Inputs'!$B$31+'Inputs'!$B$32,'Inputs'!$B$30+'Inputs'!$B$31+'Inputs'!$B$32)/1000+'Inputs'!$B$21)+'Inputs'!$B$9)^2+('Inputs'!$B$8/2)^2)-(((482-43)*MAX('Inputs'!$B$33,'Inputs'!$B$29+'Inputs'!$B$31+'Inputs'!$B$32,'Inputs'!$B$30+'Inputs'!$B$31+'Inputs'!$B$32)/1000+'Inputs'!$B$21))/SQRT((((482-43)*MAX('Inputs'!$B$33,'Inputs'!$B$29+'Inputs'!$B$31+'Inputs'!$B$32,'Inputs'!$B$30+'Inputs'!$B$31+'Inputs'!$B$32)/1000+'Inputs'!$B$21))^2+('Inputs'!$B$8/2)^2)))-'Results'!B7*(0.5*((((482-43)*MAX('Inputs'!$B$33,'Inputs'!$B$29+'Inputs'!$B$31+'Inputs'!$B$32,'Inputs'!$B$30+'Inputs'!$B$31+'Inputs'!$B$32)/1000+'Inputs'!$B$21+'Inputs'!$B$9+'Inputs'!$B$10)+'Inputs'!$B$7)/SQRT((((482-43)*MAX('Inputs'!$B$33,'Inputs'!$B$29+'Inputs'!$B$31+'Inputs'!$B$32,'Inputs'!$B$30+'Inputs'!$B$31+'Inputs'!$B$32)/1000+'Inputs'!$B$21+'Inputs'!$B$9+'Inputs'!$B$10)+'Inputs'!$B$7)^2+('Inputs'!$B$6/2)^2)-(((482-43)*MAX('Inputs'!$B$33,'Inputs'!$B$29+'Inputs'!$B$31+'Inputs'!$B$32,'Inputs'!$B$30+'Inputs'!$B$31+'Inputs'!$B$32)/1000+'Inputs'!$B$21+'Inputs'!$B$9+'Inputs'!$B$10))/SQRT((((482-43)*MAX('Inputs'!$B$33,'Inputs'!$B$29+'Inputs'!$B$31+'Inputs'!$B$32,'Inputs'!$B$30+'Inputs'!$B$31+'Inputs'!$B$32)/1000+'Inputs'!$B$21+'Inputs'!$B$9+'Inputs'!$B$10))^2+('Inputs'!$B$6/2)^2))))*'Results'!$B$8),"")</x:f>
        <x:v>6.089208578249458</x:v>
      </x:c>
      <x:c r="N482" t="n">
        <x:f>IF(AND(ISNUMBER('Results'!C7),ISNUMBER('Results'!B7),ISNUMBER('Results'!$B$8),ISNUMBER('Inputs'!$B$6),ISNUMBER('Inputs'!$B$7),ISNUMBER('Inputs'!$B$8),ISNUMBER('Inputs'!$B$9),ISNUMBER('Inputs'!$B$10),ISNUMBER('Inputs'!$B$21),ISNUMBER('Inputs'!$B$24),ISNUMBER('Inputs'!$B$28)),((('Results'!C7*(1-'Inputs'!$B$24)*(0.5*((((482-43)*MAX('Inputs'!$B$33,'Inputs'!$B$29+'Inputs'!$B$31+'Inputs'!$B$32,'Inputs'!$B$30+'Inputs'!$B$31+'Inputs'!$B$32)/1000+'Inputs'!$B$21)+'Inputs'!$B$9)/SQRT((((482-43)*MAX('Inputs'!$B$33,'Inputs'!$B$29+'Inputs'!$B$31+'Inputs'!$B$32,'Inputs'!$B$30+'Inputs'!$B$31+'Inputs'!$B$32)/1000+'Inputs'!$B$21)+'Inputs'!$B$9)^2+('Inputs'!$B$8/2)^2)-(((482-43)*MAX('Inputs'!$B$33,'Inputs'!$B$29+'Inputs'!$B$31+'Inputs'!$B$32,'Inputs'!$B$30+'Inputs'!$B$31+'Inputs'!$B$32)/1000+'Inputs'!$B$21))/SQRT((((482-43)*MAX('Inputs'!$B$33,'Inputs'!$B$29+'Inputs'!$B$31+'Inputs'!$B$32,'Inputs'!$B$30+'Inputs'!$B$31+'Inputs'!$B$32)/1000+'Inputs'!$B$21))^2+('Inputs'!$B$8/2)^2)))-'Results'!B7*(1+'Inputs'!$B$24)*(0.5*((((482-43)*MAX('Inputs'!$B$33,'Inputs'!$B$29+'Inputs'!$B$31+'Inputs'!$B$32,'Inputs'!$B$30+'Inputs'!$B$31+'Inputs'!$B$32)/1000+'Inputs'!$B$21+'Inputs'!$B$9+'Inputs'!$B$10)+'Inputs'!$B$7)/SQRT((((482-43)*MAX('Inputs'!$B$33,'Inputs'!$B$29+'Inputs'!$B$31+'Inputs'!$B$32,'Inputs'!$B$30+'Inputs'!$B$31+'Inputs'!$B$32)/1000+'Inputs'!$B$21+'Inputs'!$B$9+'Inputs'!$B$10)+'Inputs'!$B$7)^2+('Inputs'!$B$6/2)^2)-(((482-43)*MAX('Inputs'!$B$33,'Inputs'!$B$29+'Inputs'!$B$31+'Inputs'!$B$32,'Inputs'!$B$30+'Inputs'!$B$31+'Inputs'!$B$32)/1000+'Inputs'!$B$21+'Inputs'!$B$9+'Inputs'!$B$10))/SQRT((((482-43)*MAX('Inputs'!$B$33,'Inputs'!$B$29+'Inputs'!$B$31+'Inputs'!$B$32,'Inputs'!$B$30+'Inputs'!$B$31+'Inputs'!$B$32)/1000+'Inputs'!$B$21+'Inputs'!$B$9+'Inputs'!$B$10))^2+('Inputs'!$B$6/2)^2))))*'Results'!$B$8)-'Inputs'!$B$28*ABS((('Results'!C7*(1-'Inputs'!$B$24)*(0.5*((((482-43)*MAX('Inputs'!$B$33,'Inputs'!$B$29+'Inputs'!$B$31+'Inputs'!$B$32,'Inputs'!$B$30+'Inputs'!$B$31+'Inputs'!$B$32)/1000+'Inputs'!$B$21)+'Inputs'!$B$9)/SQRT((((482-43)*MAX('Inputs'!$B$33,'Inputs'!$B$29+'Inputs'!$B$31+'Inputs'!$B$32,'Inputs'!$B$30+'Inputs'!$B$31+'Inputs'!$B$32)/1000+'Inputs'!$B$21)+'Inputs'!$B$9)^2+('Inputs'!$B$8/2)^2)-(((482-43)*MAX('Inputs'!$B$33,'Inputs'!$B$29+'Inputs'!$B$31+'Inputs'!$B$32,'Inputs'!$B$30+'Inputs'!$B$31+'Inputs'!$B$32)/1000+'Inputs'!$B$21))/SQRT((((482-43)*MAX('Inputs'!$B$33,'Inputs'!$B$29+'Inputs'!$B$31+'Inputs'!$B$32,'Inputs'!$B$30+'Inputs'!$B$31+'Inputs'!$B$32)/1000+'Inputs'!$B$21))^2+('Inputs'!$B$8/2)^2)))-'Results'!B7*(1+'Inputs'!$B$24)*(0.5*((((482-43)*MAX('Inputs'!$B$33,'Inputs'!$B$29+'Inputs'!$B$31+'Inputs'!$B$32,'Inputs'!$B$30+'Inputs'!$B$31+'Inputs'!$B$32)/1000+'Inputs'!$B$21+'Inputs'!$B$9+'Inputs'!$B$10)+'Inputs'!$B$7)/SQRT((((482-43)*MAX('Inputs'!$B$33,'Inputs'!$B$29+'Inputs'!$B$31+'Inputs'!$B$32,'Inputs'!$B$30+'Inputs'!$B$31+'Inputs'!$B$32)/1000+'Inputs'!$B$21+'Inputs'!$B$9+'Inputs'!$B$10)+'Inputs'!$B$7)^2+('Inputs'!$B$6/2)^2)-(((482-43)*MAX('Inputs'!$B$33,'Inputs'!$B$29+'Inputs'!$B$31+'Inputs'!$B$32,'Inputs'!$B$30+'Inputs'!$B$31+'Inputs'!$B$32)/1000+'Inputs'!$B$21+'Inputs'!$B$9+'Inputs'!$B$10))/SQRT((((482-43)*MAX('Inputs'!$B$33,'Inputs'!$B$29+'Inputs'!$B$31+'Inputs'!$B$32,'Inputs'!$B$30+'Inputs'!$B$31+'Inputs'!$B$32)/1000+'Inputs'!$B$21+'Inputs'!$B$9+'Inputs'!$B$10))^2+('Inputs'!$B$6/2)^2))))*'Results'!$B$8))),"")</x:f>
        <x:v>5.407937601252324</x:v>
      </x:c>
      <x:c r="O482" t="n">
        <x:f>IF(AND(ISNUMBER('Results'!C7),ISNUMBER('Results'!B7),ISNUMBER('Results'!$B$8),ISNUMBER('Inputs'!$B$6),ISNUMBER('Inputs'!$B$7),ISNUMBER('Inputs'!$B$8),ISNUMBER('Inputs'!$B$9),ISNUMBER('Inputs'!$B$10),ISNUMBER('Inputs'!$B$21),ISNUMBER('Inputs'!$B$24),ISNUMBER('Inputs'!$B$28)),((('Results'!C7*(1+'Inputs'!$B$24)*(0.5*((((482-43)*MAX('Inputs'!$B$33,'Inputs'!$B$29+'Inputs'!$B$31+'Inputs'!$B$32,'Inputs'!$B$30+'Inputs'!$B$31+'Inputs'!$B$32)/1000+'Inputs'!$B$21)+'Inputs'!$B$9)/SQRT((((482-43)*MAX('Inputs'!$B$33,'Inputs'!$B$29+'Inputs'!$B$31+'Inputs'!$B$32,'Inputs'!$B$30+'Inputs'!$B$31+'Inputs'!$B$32)/1000+'Inputs'!$B$21)+'Inputs'!$B$9)^2+('Inputs'!$B$8/2)^2)-(((482-43)*MAX('Inputs'!$B$33,'Inputs'!$B$29+'Inputs'!$B$31+'Inputs'!$B$32,'Inputs'!$B$30+'Inputs'!$B$31+'Inputs'!$B$32)/1000+'Inputs'!$B$21))/SQRT((((482-43)*MAX('Inputs'!$B$33,'Inputs'!$B$29+'Inputs'!$B$31+'Inputs'!$B$32,'Inputs'!$B$30+'Inputs'!$B$31+'Inputs'!$B$32)/1000+'Inputs'!$B$21))^2+('Inputs'!$B$8/2)^2)))-'Results'!B7*(1-'Inputs'!$B$24)*(0.5*((((482-43)*MAX('Inputs'!$B$33,'Inputs'!$B$29+'Inputs'!$B$31+'Inputs'!$B$32,'Inputs'!$B$30+'Inputs'!$B$31+'Inputs'!$B$32)/1000+'Inputs'!$B$21+'Inputs'!$B$9+'Inputs'!$B$10)+'Inputs'!$B$7)/SQRT((((482-43)*MAX('Inputs'!$B$33,'Inputs'!$B$29+'Inputs'!$B$31+'Inputs'!$B$32,'Inputs'!$B$30+'Inputs'!$B$31+'Inputs'!$B$32)/1000+'Inputs'!$B$21+'Inputs'!$B$9+'Inputs'!$B$10)+'Inputs'!$B$7)^2+('Inputs'!$B$6/2)^2)-(((482-43)*MAX('Inputs'!$B$33,'Inputs'!$B$29+'Inputs'!$B$31+'Inputs'!$B$32,'Inputs'!$B$30+'Inputs'!$B$31+'Inputs'!$B$32)/1000+'Inputs'!$B$21+'Inputs'!$B$9+'Inputs'!$B$10))/SQRT((((482-43)*MAX('Inputs'!$B$33,'Inputs'!$B$29+'Inputs'!$B$31+'Inputs'!$B$32,'Inputs'!$B$30+'Inputs'!$B$31+'Inputs'!$B$32)/1000+'Inputs'!$B$21+'Inputs'!$B$9+'Inputs'!$B$10))^2+('Inputs'!$B$6/2)^2))))*'Results'!$B$8)+'Inputs'!$B$28*ABS((('Results'!C7*(1+'Inputs'!$B$24)*(0.5*((((482-43)*MAX('Inputs'!$B$33,'Inputs'!$B$29+'Inputs'!$B$31+'Inputs'!$B$32,'Inputs'!$B$30+'Inputs'!$B$31+'Inputs'!$B$32)/1000+'Inputs'!$B$21)+'Inputs'!$B$9)/SQRT((((482-43)*MAX('Inputs'!$B$33,'Inputs'!$B$29+'Inputs'!$B$31+'Inputs'!$B$32,'Inputs'!$B$30+'Inputs'!$B$31+'Inputs'!$B$32)/1000+'Inputs'!$B$21)+'Inputs'!$B$9)^2+('Inputs'!$B$8/2)^2)-(((482-43)*MAX('Inputs'!$B$33,'Inputs'!$B$29+'Inputs'!$B$31+'Inputs'!$B$32,'Inputs'!$B$30+'Inputs'!$B$31+'Inputs'!$B$32)/1000+'Inputs'!$B$21))/SQRT((((482-43)*MAX('Inputs'!$B$33,'Inputs'!$B$29+'Inputs'!$B$31+'Inputs'!$B$32,'Inputs'!$B$30+'Inputs'!$B$31+'Inputs'!$B$32)/1000+'Inputs'!$B$21))^2+('Inputs'!$B$8/2)^2)))-'Results'!B7*(1-'Inputs'!$B$24)*(0.5*((((482-43)*MAX('Inputs'!$B$33,'Inputs'!$B$29+'Inputs'!$B$31+'Inputs'!$B$32,'Inputs'!$B$30+'Inputs'!$B$31+'Inputs'!$B$32)/1000+'Inputs'!$B$21+'Inputs'!$B$9+'Inputs'!$B$10)+'Inputs'!$B$7)/SQRT((((482-43)*MAX('Inputs'!$B$33,'Inputs'!$B$29+'Inputs'!$B$31+'Inputs'!$B$32,'Inputs'!$B$30+'Inputs'!$B$31+'Inputs'!$B$32)/1000+'Inputs'!$B$21+'Inputs'!$B$9+'Inputs'!$B$10)+'Inputs'!$B$7)^2+('Inputs'!$B$6/2)^2)-(((482-43)*MAX('Inputs'!$B$33,'Inputs'!$B$29+'Inputs'!$B$31+'Inputs'!$B$32,'Inputs'!$B$30+'Inputs'!$B$31+'Inputs'!$B$32)/1000+'Inputs'!$B$21+'Inputs'!$B$9+'Inputs'!$B$10))/SQRT((((482-43)*MAX('Inputs'!$B$33,'Inputs'!$B$29+'Inputs'!$B$31+'Inputs'!$B$32,'Inputs'!$B$30+'Inputs'!$B$31+'Inputs'!$B$32)/1000+'Inputs'!$B$21+'Inputs'!$B$9+'Inputs'!$B$10))^2+('Inputs'!$B$6/2)^2))))*'Results'!$B$8))),"")</x:f>
        <x:v>6.810143823466032</x:v>
      </x:c>
      <x:c r="P482" t="n">
        <x:f>IF(AND(MAX(J482,J481)&gt;0,J482&gt;J481+0.00000001),1,0)</x:f>
        <x:v>0</x:v>
      </x:c>
      <x:c r="Q482" t="n">
        <x:f>IF(AND(MAX(K482,K481)&gt;0,K482&gt;K481+0.00000001),1,0)</x:f>
        <x:v>0</x:v>
      </x:c>
      <x:c r="R482" t="n">
        <x:f>IF(AND(MAX(L482,L481)&gt;0,L482&gt;L481+0.00000001),1,0)</x:f>
        <x:v>0</x:v>
      </x:c>
      <x:c r="S482" t="n">
        <x:f>IF(AND(MAX(M482,M481)&gt;0,M482&gt;M481+0.00000001),1,0)</x:f>
        <x:v>0</x:v>
      </x:c>
      <x:c r="T482" t="n">
        <x:f>IF(AND(MAX(N482,N481)&gt;0,N482&gt;N481+0.00000001),1,0)</x:f>
        <x:v>0</x:v>
      </x:c>
      <x:c r="U482" t="n">
        <x:f>IF(AND(MAX(O482,O481)&gt;0,O482&gt;O481+0.00000001),1,0)</x:f>
        <x:v>0</x:v>
      </x:c>
    </x:row>
    <x:row r="483">
      <x:c r="J483" t="n">
        <x:f>IF(AND(ISNUMBER('Results'!B7),ISNUMBER('Results'!C7),ISNUMBER('Results'!$B$8),ISNUMBER('Inputs'!$B$6),ISNUMBER('Inputs'!$B$7),ISNUMBER('Inputs'!$B$8),ISNUMBER('Inputs'!$B$9),ISNUMBER('Inputs'!$B$10),ISNUMBER('Inputs'!$B$21),ISNUMBER('Inputs'!$B$24),ISNUMBER('Inputs'!$B$28)),(('Results'!B7*(0.5*((((483-43)*MAX('Inputs'!$B$33,'Inputs'!$B$29+'Inputs'!$B$31+'Inputs'!$B$32,'Inputs'!$B$30+'Inputs'!$B$31+'Inputs'!$B$32)/1000+'Inputs'!$B$21)+'Inputs'!$B$7)/SQRT((((483-43)*MAX('Inputs'!$B$33,'Inputs'!$B$29+'Inputs'!$B$31+'Inputs'!$B$32,'Inputs'!$B$30+'Inputs'!$B$31+'Inputs'!$B$32)/1000+'Inputs'!$B$21)+'Inputs'!$B$7)^2+('Inputs'!$B$6/2)^2)-(((483-43)*MAX('Inputs'!$B$33,'Inputs'!$B$29+'Inputs'!$B$31+'Inputs'!$B$32,'Inputs'!$B$30+'Inputs'!$B$31+'Inputs'!$B$32)/1000+'Inputs'!$B$21))/SQRT((((483-43)*MAX('Inputs'!$B$33,'Inputs'!$B$29+'Inputs'!$B$31+'Inputs'!$B$32,'Inputs'!$B$30+'Inputs'!$B$31+'Inputs'!$B$32)/1000+'Inputs'!$B$21))^2+('Inputs'!$B$6/2)^2)))-'Results'!C7*(0.5*((((483-43)*MAX('Inputs'!$B$33,'Inputs'!$B$29+'Inputs'!$B$31+'Inputs'!$B$32,'Inputs'!$B$30+'Inputs'!$B$31+'Inputs'!$B$32)/1000+'Inputs'!$B$21+'Inputs'!$B$7+'Inputs'!$B$10)+'Inputs'!$B$9)/SQRT((((483-43)*MAX('Inputs'!$B$33,'Inputs'!$B$29+'Inputs'!$B$31+'Inputs'!$B$32,'Inputs'!$B$30+'Inputs'!$B$31+'Inputs'!$B$32)/1000+'Inputs'!$B$21+'Inputs'!$B$7+'Inputs'!$B$10)+'Inputs'!$B$9)^2+('Inputs'!$B$8/2)^2)-(((483-43)*MAX('Inputs'!$B$33,'Inputs'!$B$29+'Inputs'!$B$31+'Inputs'!$B$32,'Inputs'!$B$30+'Inputs'!$B$31+'Inputs'!$B$32)/1000+'Inputs'!$B$21+'Inputs'!$B$7+'Inputs'!$B$10))/SQRT((((483-43)*MAX('Inputs'!$B$33,'Inputs'!$B$29+'Inputs'!$B$31+'Inputs'!$B$32,'Inputs'!$B$30+'Inputs'!$B$31+'Inputs'!$B$32)/1000+'Inputs'!$B$21+'Inputs'!$B$7+'Inputs'!$B$10))^2+('Inputs'!$B$8/2)^2))))*'Results'!$B$8),"")</x:f>
        <x:v>6.4418455941221096</x:v>
      </x:c>
      <x:c r="K483" t="n">
        <x:f>IF(AND(ISNUMBER('Results'!B7),ISNUMBER('Results'!C7),ISNUMBER('Results'!$B$8),ISNUMBER('Inputs'!$B$6),ISNUMBER('Inputs'!$B$7),ISNUMBER('Inputs'!$B$8),ISNUMBER('Inputs'!$B$9),ISNUMBER('Inputs'!$B$10),ISNUMBER('Inputs'!$B$21),ISNUMBER('Inputs'!$B$24),ISNUMBER('Inputs'!$B$28)),((('Results'!B7*(1-'Inputs'!$B$24)*(0.5*((((483-43)*MAX('Inputs'!$B$33,'Inputs'!$B$29+'Inputs'!$B$31+'Inputs'!$B$32,'Inputs'!$B$30+'Inputs'!$B$31+'Inputs'!$B$32)/1000+'Inputs'!$B$21)+'Inputs'!$B$7)/SQRT((((483-43)*MAX('Inputs'!$B$33,'Inputs'!$B$29+'Inputs'!$B$31+'Inputs'!$B$32,'Inputs'!$B$30+'Inputs'!$B$31+'Inputs'!$B$32)/1000+'Inputs'!$B$21)+'Inputs'!$B$7)^2+('Inputs'!$B$6/2)^2)-(((483-43)*MAX('Inputs'!$B$33,'Inputs'!$B$29+'Inputs'!$B$31+'Inputs'!$B$32,'Inputs'!$B$30+'Inputs'!$B$31+'Inputs'!$B$32)/1000+'Inputs'!$B$21))/SQRT((((483-43)*MAX('Inputs'!$B$33,'Inputs'!$B$29+'Inputs'!$B$31+'Inputs'!$B$32,'Inputs'!$B$30+'Inputs'!$B$31+'Inputs'!$B$32)/1000+'Inputs'!$B$21))^2+('Inputs'!$B$6/2)^2)))-'Results'!C7*(1+'Inputs'!$B$24)*(0.5*((((483-43)*MAX('Inputs'!$B$33,'Inputs'!$B$29+'Inputs'!$B$31+'Inputs'!$B$32,'Inputs'!$B$30+'Inputs'!$B$31+'Inputs'!$B$32)/1000+'Inputs'!$B$21+'Inputs'!$B$7+'Inputs'!$B$10)+'Inputs'!$B$9)/SQRT((((483-43)*MAX('Inputs'!$B$33,'Inputs'!$B$29+'Inputs'!$B$31+'Inputs'!$B$32,'Inputs'!$B$30+'Inputs'!$B$31+'Inputs'!$B$32)/1000+'Inputs'!$B$21+'Inputs'!$B$7+'Inputs'!$B$10)+'Inputs'!$B$9)^2+('Inputs'!$B$8/2)^2)-(((483-43)*MAX('Inputs'!$B$33,'Inputs'!$B$29+'Inputs'!$B$31+'Inputs'!$B$32,'Inputs'!$B$30+'Inputs'!$B$31+'Inputs'!$B$32)/1000+'Inputs'!$B$21+'Inputs'!$B$7+'Inputs'!$B$10))/SQRT((((483-43)*MAX('Inputs'!$B$33,'Inputs'!$B$29+'Inputs'!$B$31+'Inputs'!$B$32,'Inputs'!$B$30+'Inputs'!$B$31+'Inputs'!$B$32)/1000+'Inputs'!$B$21+'Inputs'!$B$7+'Inputs'!$B$10))^2+('Inputs'!$B$8/2)^2))))*'Results'!$B$8)-'Inputs'!$B$28*ABS((('Results'!B7*(1-'Inputs'!$B$24)*(0.5*((((483-43)*MAX('Inputs'!$B$33,'Inputs'!$B$29+'Inputs'!$B$31+'Inputs'!$B$32,'Inputs'!$B$30+'Inputs'!$B$31+'Inputs'!$B$32)/1000+'Inputs'!$B$21)+'Inputs'!$B$7)/SQRT((((483-43)*MAX('Inputs'!$B$33,'Inputs'!$B$29+'Inputs'!$B$31+'Inputs'!$B$32,'Inputs'!$B$30+'Inputs'!$B$31+'Inputs'!$B$32)/1000+'Inputs'!$B$21)+'Inputs'!$B$7)^2+('Inputs'!$B$6/2)^2)-(((483-43)*MAX('Inputs'!$B$33,'Inputs'!$B$29+'Inputs'!$B$31+'Inputs'!$B$32,'Inputs'!$B$30+'Inputs'!$B$31+'Inputs'!$B$32)/1000+'Inputs'!$B$21))/SQRT((((483-43)*MAX('Inputs'!$B$33,'Inputs'!$B$29+'Inputs'!$B$31+'Inputs'!$B$32,'Inputs'!$B$30+'Inputs'!$B$31+'Inputs'!$B$32)/1000+'Inputs'!$B$21))^2+('Inputs'!$B$6/2)^2)))-'Results'!C7*(1+'Inputs'!$B$24)*(0.5*((((483-43)*MAX('Inputs'!$B$33,'Inputs'!$B$29+'Inputs'!$B$31+'Inputs'!$B$32,'Inputs'!$B$30+'Inputs'!$B$31+'Inputs'!$B$32)/1000+'Inputs'!$B$21+'Inputs'!$B$7+'Inputs'!$B$10)+'Inputs'!$B$9)/SQRT((((483-43)*MAX('Inputs'!$B$33,'Inputs'!$B$29+'Inputs'!$B$31+'Inputs'!$B$32,'Inputs'!$B$30+'Inputs'!$B$31+'Inputs'!$B$32)/1000+'Inputs'!$B$21+'Inputs'!$B$7+'Inputs'!$B$10)+'Inputs'!$B$9)^2+('Inputs'!$B$8/2)^2)-(((483-43)*MAX('Inputs'!$B$33,'Inputs'!$B$29+'Inputs'!$B$31+'Inputs'!$B$32,'Inputs'!$B$30+'Inputs'!$B$31+'Inputs'!$B$32)/1000+'Inputs'!$B$21+'Inputs'!$B$7+'Inputs'!$B$10))/SQRT((((483-43)*MAX('Inputs'!$B$33,'Inputs'!$B$29+'Inputs'!$B$31+'Inputs'!$B$32,'Inputs'!$B$30+'Inputs'!$B$31+'Inputs'!$B$32)/1000+'Inputs'!$B$21+'Inputs'!$B$7+'Inputs'!$B$10))^2+('Inputs'!$B$8/2)^2))))*'Results'!$B$8))),"")</x:f>
        <x:v>5.7427758211454885</x:v>
      </x:c>
      <x:c r="L483" t="n">
        <x:f>IF(AND(ISNUMBER('Results'!B7),ISNUMBER('Results'!C7),ISNUMBER('Results'!$B$8),ISNUMBER('Inputs'!$B$6),ISNUMBER('Inputs'!$B$7),ISNUMBER('Inputs'!$B$8),ISNUMBER('Inputs'!$B$9),ISNUMBER('Inputs'!$B$10),ISNUMBER('Inputs'!$B$21),ISNUMBER('Inputs'!$B$24),ISNUMBER('Inputs'!$B$28)),((('Results'!B7*(1+'Inputs'!$B$24)*(0.5*((((483-43)*MAX('Inputs'!$B$33,'Inputs'!$B$29+'Inputs'!$B$31+'Inputs'!$B$32,'Inputs'!$B$30+'Inputs'!$B$31+'Inputs'!$B$32)/1000+'Inputs'!$B$21)+'Inputs'!$B$7)/SQRT((((483-43)*MAX('Inputs'!$B$33,'Inputs'!$B$29+'Inputs'!$B$31+'Inputs'!$B$32,'Inputs'!$B$30+'Inputs'!$B$31+'Inputs'!$B$32)/1000+'Inputs'!$B$21)+'Inputs'!$B$7)^2+('Inputs'!$B$6/2)^2)-(((483-43)*MAX('Inputs'!$B$33,'Inputs'!$B$29+'Inputs'!$B$31+'Inputs'!$B$32,'Inputs'!$B$30+'Inputs'!$B$31+'Inputs'!$B$32)/1000+'Inputs'!$B$21))/SQRT((((483-43)*MAX('Inputs'!$B$33,'Inputs'!$B$29+'Inputs'!$B$31+'Inputs'!$B$32,'Inputs'!$B$30+'Inputs'!$B$31+'Inputs'!$B$32)/1000+'Inputs'!$B$21))^2+('Inputs'!$B$6/2)^2)))-'Results'!C7*(1-'Inputs'!$B$24)*(0.5*((((483-43)*MAX('Inputs'!$B$33,'Inputs'!$B$29+'Inputs'!$B$31+'Inputs'!$B$32,'Inputs'!$B$30+'Inputs'!$B$31+'Inputs'!$B$32)/1000+'Inputs'!$B$21+'Inputs'!$B$7+'Inputs'!$B$10)+'Inputs'!$B$9)/SQRT((((483-43)*MAX('Inputs'!$B$33,'Inputs'!$B$29+'Inputs'!$B$31+'Inputs'!$B$32,'Inputs'!$B$30+'Inputs'!$B$31+'Inputs'!$B$32)/1000+'Inputs'!$B$21+'Inputs'!$B$7+'Inputs'!$B$10)+'Inputs'!$B$9)^2+('Inputs'!$B$8/2)^2)-(((483-43)*MAX('Inputs'!$B$33,'Inputs'!$B$29+'Inputs'!$B$31+'Inputs'!$B$32,'Inputs'!$B$30+'Inputs'!$B$31+'Inputs'!$B$32)/1000+'Inputs'!$B$21+'Inputs'!$B$7+'Inputs'!$B$10))/SQRT((((483-43)*MAX('Inputs'!$B$33,'Inputs'!$B$29+'Inputs'!$B$31+'Inputs'!$B$32,'Inputs'!$B$30+'Inputs'!$B$31+'Inputs'!$B$32)/1000+'Inputs'!$B$21+'Inputs'!$B$7+'Inputs'!$B$10))^2+('Inputs'!$B$8/2)^2))))*'Results'!$B$8)+'Inputs'!$B$28*ABS((('Results'!B7*(1+'Inputs'!$B$24)*(0.5*((((483-43)*MAX('Inputs'!$B$33,'Inputs'!$B$29+'Inputs'!$B$31+'Inputs'!$B$32,'Inputs'!$B$30+'Inputs'!$B$31+'Inputs'!$B$32)/1000+'Inputs'!$B$21)+'Inputs'!$B$7)/SQRT((((483-43)*MAX('Inputs'!$B$33,'Inputs'!$B$29+'Inputs'!$B$31+'Inputs'!$B$32,'Inputs'!$B$30+'Inputs'!$B$31+'Inputs'!$B$32)/1000+'Inputs'!$B$21)+'Inputs'!$B$7)^2+('Inputs'!$B$6/2)^2)-(((483-43)*MAX('Inputs'!$B$33,'Inputs'!$B$29+'Inputs'!$B$31+'Inputs'!$B$32,'Inputs'!$B$30+'Inputs'!$B$31+'Inputs'!$B$32)/1000+'Inputs'!$B$21))/SQRT((((483-43)*MAX('Inputs'!$B$33,'Inputs'!$B$29+'Inputs'!$B$31+'Inputs'!$B$32,'Inputs'!$B$30+'Inputs'!$B$31+'Inputs'!$B$32)/1000+'Inputs'!$B$21))^2+('Inputs'!$B$6/2)^2)))-'Results'!C7*(1-'Inputs'!$B$24)*(0.5*((((483-43)*MAX('Inputs'!$B$33,'Inputs'!$B$29+'Inputs'!$B$31+'Inputs'!$B$32,'Inputs'!$B$30+'Inputs'!$B$31+'Inputs'!$B$32)/1000+'Inputs'!$B$21+'Inputs'!$B$7+'Inputs'!$B$10)+'Inputs'!$B$9)/SQRT((((483-43)*MAX('Inputs'!$B$33,'Inputs'!$B$29+'Inputs'!$B$31+'Inputs'!$B$32,'Inputs'!$B$30+'Inputs'!$B$31+'Inputs'!$B$32)/1000+'Inputs'!$B$21+'Inputs'!$B$7+'Inputs'!$B$10)+'Inputs'!$B$9)^2+('Inputs'!$B$8/2)^2)-(((483-43)*MAX('Inputs'!$B$33,'Inputs'!$B$29+'Inputs'!$B$31+'Inputs'!$B$32,'Inputs'!$B$30+'Inputs'!$B$31+'Inputs'!$B$32)/1000+'Inputs'!$B$21+'Inputs'!$B$7+'Inputs'!$B$10))/SQRT((((483-43)*MAX('Inputs'!$B$33,'Inputs'!$B$29+'Inputs'!$B$31+'Inputs'!$B$32,'Inputs'!$B$30+'Inputs'!$B$31+'Inputs'!$B$32)/1000+'Inputs'!$B$21+'Inputs'!$B$7+'Inputs'!$B$10))^2+('Inputs'!$B$8/2)^2))))*'Results'!$B$8))),"")</x:f>
        <x:v>7.1805972084956275</x:v>
      </x:c>
      <x:c r="M483" t="n">
        <x:f>IF(AND(ISNUMBER('Results'!C7),ISNUMBER('Results'!B7),ISNUMBER('Results'!$B$8),ISNUMBER('Inputs'!$B$6),ISNUMBER('Inputs'!$B$7),ISNUMBER('Inputs'!$B$8),ISNUMBER('Inputs'!$B$9),ISNUMBER('Inputs'!$B$10),ISNUMBER('Inputs'!$B$21),ISNUMBER('Inputs'!$B$24),ISNUMBER('Inputs'!$B$28)),(('Results'!C7*(0.5*((((483-43)*MAX('Inputs'!$B$33,'Inputs'!$B$29+'Inputs'!$B$31+'Inputs'!$B$32,'Inputs'!$B$30+'Inputs'!$B$31+'Inputs'!$B$32)/1000+'Inputs'!$B$21)+'Inputs'!$B$9)/SQRT((((483-43)*MAX('Inputs'!$B$33,'Inputs'!$B$29+'Inputs'!$B$31+'Inputs'!$B$32,'Inputs'!$B$30+'Inputs'!$B$31+'Inputs'!$B$32)/1000+'Inputs'!$B$21)+'Inputs'!$B$9)^2+('Inputs'!$B$8/2)^2)-(((483-43)*MAX('Inputs'!$B$33,'Inputs'!$B$29+'Inputs'!$B$31+'Inputs'!$B$32,'Inputs'!$B$30+'Inputs'!$B$31+'Inputs'!$B$32)/1000+'Inputs'!$B$21))/SQRT((((483-43)*MAX('Inputs'!$B$33,'Inputs'!$B$29+'Inputs'!$B$31+'Inputs'!$B$32,'Inputs'!$B$30+'Inputs'!$B$31+'Inputs'!$B$32)/1000+'Inputs'!$B$21))^2+('Inputs'!$B$8/2)^2)))-'Results'!B7*(0.5*((((483-43)*MAX('Inputs'!$B$33,'Inputs'!$B$29+'Inputs'!$B$31+'Inputs'!$B$32,'Inputs'!$B$30+'Inputs'!$B$31+'Inputs'!$B$32)/1000+'Inputs'!$B$21+'Inputs'!$B$9+'Inputs'!$B$10)+'Inputs'!$B$7)/SQRT((((483-43)*MAX('Inputs'!$B$33,'Inputs'!$B$29+'Inputs'!$B$31+'Inputs'!$B$32,'Inputs'!$B$30+'Inputs'!$B$31+'Inputs'!$B$32)/1000+'Inputs'!$B$21+'Inputs'!$B$9+'Inputs'!$B$10)+'Inputs'!$B$7)^2+('Inputs'!$B$6/2)^2)-(((483-43)*MAX('Inputs'!$B$33,'Inputs'!$B$29+'Inputs'!$B$31+'Inputs'!$B$32,'Inputs'!$B$30+'Inputs'!$B$31+'Inputs'!$B$32)/1000+'Inputs'!$B$21+'Inputs'!$B$9+'Inputs'!$B$10))/SQRT((((483-43)*MAX('Inputs'!$B$33,'Inputs'!$B$29+'Inputs'!$B$31+'Inputs'!$B$32,'Inputs'!$B$30+'Inputs'!$B$31+'Inputs'!$B$32)/1000+'Inputs'!$B$21+'Inputs'!$B$9+'Inputs'!$B$10))^2+('Inputs'!$B$6/2)^2))))*'Results'!$B$8),"")</x:f>
        <x:v>6.042292675029814</x:v>
      </x:c>
      <x:c r="N483" t="n">
        <x:f>IF(AND(ISNUMBER('Results'!C7),ISNUMBER('Results'!B7),ISNUMBER('Results'!$B$8),ISNUMBER('Inputs'!$B$6),ISNUMBER('Inputs'!$B$7),ISNUMBER('Inputs'!$B$8),ISNUMBER('Inputs'!$B$9),ISNUMBER('Inputs'!$B$10),ISNUMBER('Inputs'!$B$21),ISNUMBER('Inputs'!$B$24),ISNUMBER('Inputs'!$B$28)),((('Results'!C7*(1-'Inputs'!$B$24)*(0.5*((((483-43)*MAX('Inputs'!$B$33,'Inputs'!$B$29+'Inputs'!$B$31+'Inputs'!$B$32,'Inputs'!$B$30+'Inputs'!$B$31+'Inputs'!$B$32)/1000+'Inputs'!$B$21)+'Inputs'!$B$9)/SQRT((((483-43)*MAX('Inputs'!$B$33,'Inputs'!$B$29+'Inputs'!$B$31+'Inputs'!$B$32,'Inputs'!$B$30+'Inputs'!$B$31+'Inputs'!$B$32)/1000+'Inputs'!$B$21)+'Inputs'!$B$9)^2+('Inputs'!$B$8/2)^2)-(((483-43)*MAX('Inputs'!$B$33,'Inputs'!$B$29+'Inputs'!$B$31+'Inputs'!$B$32,'Inputs'!$B$30+'Inputs'!$B$31+'Inputs'!$B$32)/1000+'Inputs'!$B$21))/SQRT((((483-43)*MAX('Inputs'!$B$33,'Inputs'!$B$29+'Inputs'!$B$31+'Inputs'!$B$32,'Inputs'!$B$30+'Inputs'!$B$31+'Inputs'!$B$32)/1000+'Inputs'!$B$21))^2+('Inputs'!$B$8/2)^2)))-'Results'!B7*(1+'Inputs'!$B$24)*(0.5*((((483-43)*MAX('Inputs'!$B$33,'Inputs'!$B$29+'Inputs'!$B$31+'Inputs'!$B$32,'Inputs'!$B$30+'Inputs'!$B$31+'Inputs'!$B$32)/1000+'Inputs'!$B$21+'Inputs'!$B$9+'Inputs'!$B$10)+'Inputs'!$B$7)/SQRT((((483-43)*MAX('Inputs'!$B$33,'Inputs'!$B$29+'Inputs'!$B$31+'Inputs'!$B$32,'Inputs'!$B$30+'Inputs'!$B$31+'Inputs'!$B$32)/1000+'Inputs'!$B$21+'Inputs'!$B$9+'Inputs'!$B$10)+'Inputs'!$B$7)^2+('Inputs'!$B$6/2)^2)-(((483-43)*MAX('Inputs'!$B$33,'Inputs'!$B$29+'Inputs'!$B$31+'Inputs'!$B$32,'Inputs'!$B$30+'Inputs'!$B$31+'Inputs'!$B$32)/1000+'Inputs'!$B$21+'Inputs'!$B$9+'Inputs'!$B$10))/SQRT((((483-43)*MAX('Inputs'!$B$33,'Inputs'!$B$29+'Inputs'!$B$31+'Inputs'!$B$32,'Inputs'!$B$30+'Inputs'!$B$31+'Inputs'!$B$32)/1000+'Inputs'!$B$21+'Inputs'!$B$9+'Inputs'!$B$10))^2+('Inputs'!$B$6/2)^2))))*'Results'!$B$8)-'Inputs'!$B$28*ABS((('Results'!C7*(1-'Inputs'!$B$24)*(0.5*((((483-43)*MAX('Inputs'!$B$33,'Inputs'!$B$29+'Inputs'!$B$31+'Inputs'!$B$32,'Inputs'!$B$30+'Inputs'!$B$31+'Inputs'!$B$32)/1000+'Inputs'!$B$21)+'Inputs'!$B$9)/SQRT((((483-43)*MAX('Inputs'!$B$33,'Inputs'!$B$29+'Inputs'!$B$31+'Inputs'!$B$32,'Inputs'!$B$30+'Inputs'!$B$31+'Inputs'!$B$32)/1000+'Inputs'!$B$21)+'Inputs'!$B$9)^2+('Inputs'!$B$8/2)^2)-(((483-43)*MAX('Inputs'!$B$33,'Inputs'!$B$29+'Inputs'!$B$31+'Inputs'!$B$32,'Inputs'!$B$30+'Inputs'!$B$31+'Inputs'!$B$32)/1000+'Inputs'!$B$21))/SQRT((((483-43)*MAX('Inputs'!$B$33,'Inputs'!$B$29+'Inputs'!$B$31+'Inputs'!$B$32,'Inputs'!$B$30+'Inputs'!$B$31+'Inputs'!$B$32)/1000+'Inputs'!$B$21))^2+('Inputs'!$B$8/2)^2)))-'Results'!B7*(1+'Inputs'!$B$24)*(0.5*((((483-43)*MAX('Inputs'!$B$33,'Inputs'!$B$29+'Inputs'!$B$31+'Inputs'!$B$32,'Inputs'!$B$30+'Inputs'!$B$31+'Inputs'!$B$32)/1000+'Inputs'!$B$21+'Inputs'!$B$9+'Inputs'!$B$10)+'Inputs'!$B$7)/SQRT((((483-43)*MAX('Inputs'!$B$33,'Inputs'!$B$29+'Inputs'!$B$31+'Inputs'!$B$32,'Inputs'!$B$30+'Inputs'!$B$31+'Inputs'!$B$32)/1000+'Inputs'!$B$21+'Inputs'!$B$9+'Inputs'!$B$10)+'Inputs'!$B$7)^2+('Inputs'!$B$6/2)^2)-(((483-43)*MAX('Inputs'!$B$33,'Inputs'!$B$29+'Inputs'!$B$31+'Inputs'!$B$32,'Inputs'!$B$30+'Inputs'!$B$31+'Inputs'!$B$32)/1000+'Inputs'!$B$21+'Inputs'!$B$9+'Inputs'!$B$10))/SQRT((((483-43)*MAX('Inputs'!$B$33,'Inputs'!$B$29+'Inputs'!$B$31+'Inputs'!$B$32,'Inputs'!$B$30+'Inputs'!$B$31+'Inputs'!$B$32)/1000+'Inputs'!$B$21+'Inputs'!$B$9+'Inputs'!$B$10))^2+('Inputs'!$B$6/2)^2))))*'Results'!$B$8))),"")</x:f>
        <x:v>5.36559649373623</x:v>
      </x:c>
      <x:c r="O483" t="n">
        <x:f>IF(AND(ISNUMBER('Results'!C7),ISNUMBER('Results'!B7),ISNUMBER('Results'!$B$8),ISNUMBER('Inputs'!$B$6),ISNUMBER('Inputs'!$B$7),ISNUMBER('Inputs'!$B$8),ISNUMBER('Inputs'!$B$9),ISNUMBER('Inputs'!$B$10),ISNUMBER('Inputs'!$B$21),ISNUMBER('Inputs'!$B$24),ISNUMBER('Inputs'!$B$28)),((('Results'!C7*(1+'Inputs'!$B$24)*(0.5*((((483-43)*MAX('Inputs'!$B$33,'Inputs'!$B$29+'Inputs'!$B$31+'Inputs'!$B$32,'Inputs'!$B$30+'Inputs'!$B$31+'Inputs'!$B$32)/1000+'Inputs'!$B$21)+'Inputs'!$B$9)/SQRT((((483-43)*MAX('Inputs'!$B$33,'Inputs'!$B$29+'Inputs'!$B$31+'Inputs'!$B$32,'Inputs'!$B$30+'Inputs'!$B$31+'Inputs'!$B$32)/1000+'Inputs'!$B$21)+'Inputs'!$B$9)^2+('Inputs'!$B$8/2)^2)-(((483-43)*MAX('Inputs'!$B$33,'Inputs'!$B$29+'Inputs'!$B$31+'Inputs'!$B$32,'Inputs'!$B$30+'Inputs'!$B$31+'Inputs'!$B$32)/1000+'Inputs'!$B$21))/SQRT((((483-43)*MAX('Inputs'!$B$33,'Inputs'!$B$29+'Inputs'!$B$31+'Inputs'!$B$32,'Inputs'!$B$30+'Inputs'!$B$31+'Inputs'!$B$32)/1000+'Inputs'!$B$21))^2+('Inputs'!$B$8/2)^2)))-'Results'!B7*(1-'Inputs'!$B$24)*(0.5*((((483-43)*MAX('Inputs'!$B$33,'Inputs'!$B$29+'Inputs'!$B$31+'Inputs'!$B$32,'Inputs'!$B$30+'Inputs'!$B$31+'Inputs'!$B$32)/1000+'Inputs'!$B$21+'Inputs'!$B$9+'Inputs'!$B$10)+'Inputs'!$B$7)/SQRT((((483-43)*MAX('Inputs'!$B$33,'Inputs'!$B$29+'Inputs'!$B$31+'Inputs'!$B$32,'Inputs'!$B$30+'Inputs'!$B$31+'Inputs'!$B$32)/1000+'Inputs'!$B$21+'Inputs'!$B$9+'Inputs'!$B$10)+'Inputs'!$B$7)^2+('Inputs'!$B$6/2)^2)-(((483-43)*MAX('Inputs'!$B$33,'Inputs'!$B$29+'Inputs'!$B$31+'Inputs'!$B$32,'Inputs'!$B$30+'Inputs'!$B$31+'Inputs'!$B$32)/1000+'Inputs'!$B$21+'Inputs'!$B$9+'Inputs'!$B$10))/SQRT((((483-43)*MAX('Inputs'!$B$33,'Inputs'!$B$29+'Inputs'!$B$31+'Inputs'!$B$32,'Inputs'!$B$30+'Inputs'!$B$31+'Inputs'!$B$32)/1000+'Inputs'!$B$21+'Inputs'!$B$9+'Inputs'!$B$10))^2+('Inputs'!$B$6/2)^2))))*'Results'!$B$8)+'Inputs'!$B$28*ABS((('Results'!C7*(1+'Inputs'!$B$24)*(0.5*((((483-43)*MAX('Inputs'!$B$33,'Inputs'!$B$29+'Inputs'!$B$31+'Inputs'!$B$32,'Inputs'!$B$30+'Inputs'!$B$31+'Inputs'!$B$32)/1000+'Inputs'!$B$21)+'Inputs'!$B$9)/SQRT((((483-43)*MAX('Inputs'!$B$33,'Inputs'!$B$29+'Inputs'!$B$31+'Inputs'!$B$32,'Inputs'!$B$30+'Inputs'!$B$31+'Inputs'!$B$32)/1000+'Inputs'!$B$21)+'Inputs'!$B$9)^2+('Inputs'!$B$8/2)^2)-(((483-43)*MAX('Inputs'!$B$33,'Inputs'!$B$29+'Inputs'!$B$31+'Inputs'!$B$32,'Inputs'!$B$30+'Inputs'!$B$31+'Inputs'!$B$32)/1000+'Inputs'!$B$21))/SQRT((((483-43)*MAX('Inputs'!$B$33,'Inputs'!$B$29+'Inputs'!$B$31+'Inputs'!$B$32,'Inputs'!$B$30+'Inputs'!$B$31+'Inputs'!$B$32)/1000+'Inputs'!$B$21))^2+('Inputs'!$B$8/2)^2)))-'Results'!B7*(1-'Inputs'!$B$24)*(0.5*((((483-43)*MAX('Inputs'!$B$33,'Inputs'!$B$29+'Inputs'!$B$31+'Inputs'!$B$32,'Inputs'!$B$30+'Inputs'!$B$31+'Inputs'!$B$32)/1000+'Inputs'!$B$21+'Inputs'!$B$9+'Inputs'!$B$10)+'Inputs'!$B$7)/SQRT((((483-43)*MAX('Inputs'!$B$33,'Inputs'!$B$29+'Inputs'!$B$31+'Inputs'!$B$32,'Inputs'!$B$30+'Inputs'!$B$31+'Inputs'!$B$32)/1000+'Inputs'!$B$21+'Inputs'!$B$9+'Inputs'!$B$10)+'Inputs'!$B$7)^2+('Inputs'!$B$6/2)^2)-(((483-43)*MAX('Inputs'!$B$33,'Inputs'!$B$29+'Inputs'!$B$31+'Inputs'!$B$32,'Inputs'!$B$30+'Inputs'!$B$31+'Inputs'!$B$32)/1000+'Inputs'!$B$21+'Inputs'!$B$9+'Inputs'!$B$10))/SQRT((((483-43)*MAX('Inputs'!$B$33,'Inputs'!$B$29+'Inputs'!$B$31+'Inputs'!$B$32,'Inputs'!$B$30+'Inputs'!$B$31+'Inputs'!$B$32)/1000+'Inputs'!$B$21+'Inputs'!$B$9+'Inputs'!$B$10))^2+('Inputs'!$B$6/2)^2))))*'Results'!$B$8))),"")</x:f>
        <x:v>6.7584184929067765</x:v>
      </x:c>
      <x:c r="P483" t="n">
        <x:f>IF(AND(MAX(J483,J482)&gt;0,J483&gt;J482+0.00000001),1,0)</x:f>
        <x:v>0</x:v>
      </x:c>
      <x:c r="Q483" t="n">
        <x:f>IF(AND(MAX(K483,K482)&gt;0,K483&gt;K482+0.00000001),1,0)</x:f>
        <x:v>0</x:v>
      </x:c>
      <x:c r="R483" t="n">
        <x:f>IF(AND(MAX(L483,L482)&gt;0,L483&gt;L482+0.00000001),1,0)</x:f>
        <x:v>0</x:v>
      </x:c>
      <x:c r="S483" t="n">
        <x:f>IF(AND(MAX(M483,M482)&gt;0,M483&gt;M482+0.00000001),1,0)</x:f>
        <x:v>0</x:v>
      </x:c>
      <x:c r="T483" t="n">
        <x:f>IF(AND(MAX(N483,N482)&gt;0,N483&gt;N482+0.00000001),1,0)</x:f>
        <x:v>0</x:v>
      </x:c>
      <x:c r="U483" t="n">
        <x:f>IF(AND(MAX(O483,O482)&gt;0,O483&gt;O482+0.00000001),1,0)</x:f>
        <x:v>0</x:v>
      </x:c>
    </x:row>
    <x:row r="484">
      <x:c r="J484" t="n">
        <x:f>IF(AND(ISNUMBER('Results'!B7),ISNUMBER('Results'!C7),ISNUMBER('Results'!$B$8),ISNUMBER('Inputs'!$B$6),ISNUMBER('Inputs'!$B$7),ISNUMBER('Inputs'!$B$8),ISNUMBER('Inputs'!$B$9),ISNUMBER('Inputs'!$B$10),ISNUMBER('Inputs'!$B$21),ISNUMBER('Inputs'!$B$24),ISNUMBER('Inputs'!$B$28)),(('Results'!B7*(0.5*((((484-43)*MAX('Inputs'!$B$33,'Inputs'!$B$29+'Inputs'!$B$31+'Inputs'!$B$32,'Inputs'!$B$30+'Inputs'!$B$31+'Inputs'!$B$32)/1000+'Inputs'!$B$21)+'Inputs'!$B$7)/SQRT((((484-43)*MAX('Inputs'!$B$33,'Inputs'!$B$29+'Inputs'!$B$31+'Inputs'!$B$32,'Inputs'!$B$30+'Inputs'!$B$31+'Inputs'!$B$32)/1000+'Inputs'!$B$21)+'Inputs'!$B$7)^2+('Inputs'!$B$6/2)^2)-(((484-43)*MAX('Inputs'!$B$33,'Inputs'!$B$29+'Inputs'!$B$31+'Inputs'!$B$32,'Inputs'!$B$30+'Inputs'!$B$31+'Inputs'!$B$32)/1000+'Inputs'!$B$21))/SQRT((((484-43)*MAX('Inputs'!$B$33,'Inputs'!$B$29+'Inputs'!$B$31+'Inputs'!$B$32,'Inputs'!$B$30+'Inputs'!$B$31+'Inputs'!$B$32)/1000+'Inputs'!$B$21))^2+('Inputs'!$B$6/2)^2)))-'Results'!C7*(0.5*((((484-43)*MAX('Inputs'!$B$33,'Inputs'!$B$29+'Inputs'!$B$31+'Inputs'!$B$32,'Inputs'!$B$30+'Inputs'!$B$31+'Inputs'!$B$32)/1000+'Inputs'!$B$21+'Inputs'!$B$7+'Inputs'!$B$10)+'Inputs'!$B$9)/SQRT((((484-43)*MAX('Inputs'!$B$33,'Inputs'!$B$29+'Inputs'!$B$31+'Inputs'!$B$32,'Inputs'!$B$30+'Inputs'!$B$31+'Inputs'!$B$32)/1000+'Inputs'!$B$21+'Inputs'!$B$7+'Inputs'!$B$10)+'Inputs'!$B$9)^2+('Inputs'!$B$8/2)^2)-(((484-43)*MAX('Inputs'!$B$33,'Inputs'!$B$29+'Inputs'!$B$31+'Inputs'!$B$32,'Inputs'!$B$30+'Inputs'!$B$31+'Inputs'!$B$32)/1000+'Inputs'!$B$21+'Inputs'!$B$7+'Inputs'!$B$10))/SQRT((((484-43)*MAX('Inputs'!$B$33,'Inputs'!$B$29+'Inputs'!$B$31+'Inputs'!$B$32,'Inputs'!$B$30+'Inputs'!$B$31+'Inputs'!$B$32)/1000+'Inputs'!$B$21+'Inputs'!$B$7+'Inputs'!$B$10))^2+('Inputs'!$B$8/2)^2))))*'Results'!$B$8),"")</x:f>
        <x:v>6.393017159478849</x:v>
      </x:c>
      <x:c r="K484" t="n">
        <x:f>IF(AND(ISNUMBER('Results'!B7),ISNUMBER('Results'!C7),ISNUMBER('Results'!$B$8),ISNUMBER('Inputs'!$B$6),ISNUMBER('Inputs'!$B$7),ISNUMBER('Inputs'!$B$8),ISNUMBER('Inputs'!$B$9),ISNUMBER('Inputs'!$B$10),ISNUMBER('Inputs'!$B$21),ISNUMBER('Inputs'!$B$24),ISNUMBER('Inputs'!$B$28)),((('Results'!B7*(1-'Inputs'!$B$24)*(0.5*((((484-43)*MAX('Inputs'!$B$33,'Inputs'!$B$29+'Inputs'!$B$31+'Inputs'!$B$32,'Inputs'!$B$30+'Inputs'!$B$31+'Inputs'!$B$32)/1000+'Inputs'!$B$21)+'Inputs'!$B$7)/SQRT((((484-43)*MAX('Inputs'!$B$33,'Inputs'!$B$29+'Inputs'!$B$31+'Inputs'!$B$32,'Inputs'!$B$30+'Inputs'!$B$31+'Inputs'!$B$32)/1000+'Inputs'!$B$21)+'Inputs'!$B$7)^2+('Inputs'!$B$6/2)^2)-(((484-43)*MAX('Inputs'!$B$33,'Inputs'!$B$29+'Inputs'!$B$31+'Inputs'!$B$32,'Inputs'!$B$30+'Inputs'!$B$31+'Inputs'!$B$32)/1000+'Inputs'!$B$21))/SQRT((((484-43)*MAX('Inputs'!$B$33,'Inputs'!$B$29+'Inputs'!$B$31+'Inputs'!$B$32,'Inputs'!$B$30+'Inputs'!$B$31+'Inputs'!$B$32)/1000+'Inputs'!$B$21))^2+('Inputs'!$B$6/2)^2)))-'Results'!C7*(1+'Inputs'!$B$24)*(0.5*((((484-43)*MAX('Inputs'!$B$33,'Inputs'!$B$29+'Inputs'!$B$31+'Inputs'!$B$32,'Inputs'!$B$30+'Inputs'!$B$31+'Inputs'!$B$32)/1000+'Inputs'!$B$21+'Inputs'!$B$7+'Inputs'!$B$10)+'Inputs'!$B$9)/SQRT((((484-43)*MAX('Inputs'!$B$33,'Inputs'!$B$29+'Inputs'!$B$31+'Inputs'!$B$32,'Inputs'!$B$30+'Inputs'!$B$31+'Inputs'!$B$32)/1000+'Inputs'!$B$21+'Inputs'!$B$7+'Inputs'!$B$10)+'Inputs'!$B$9)^2+('Inputs'!$B$8/2)^2)-(((484-43)*MAX('Inputs'!$B$33,'Inputs'!$B$29+'Inputs'!$B$31+'Inputs'!$B$32,'Inputs'!$B$30+'Inputs'!$B$31+'Inputs'!$B$32)/1000+'Inputs'!$B$21+'Inputs'!$B$7+'Inputs'!$B$10))/SQRT((((484-43)*MAX('Inputs'!$B$33,'Inputs'!$B$29+'Inputs'!$B$31+'Inputs'!$B$32,'Inputs'!$B$30+'Inputs'!$B$31+'Inputs'!$B$32)/1000+'Inputs'!$B$21+'Inputs'!$B$7+'Inputs'!$B$10))^2+('Inputs'!$B$8/2)^2))))*'Results'!$B$8)-'Inputs'!$B$28*ABS((('Results'!B7*(1-'Inputs'!$B$24)*(0.5*((((484-43)*MAX('Inputs'!$B$33,'Inputs'!$B$29+'Inputs'!$B$31+'Inputs'!$B$32,'Inputs'!$B$30+'Inputs'!$B$31+'Inputs'!$B$32)/1000+'Inputs'!$B$21)+'Inputs'!$B$7)/SQRT((((484-43)*MAX('Inputs'!$B$33,'Inputs'!$B$29+'Inputs'!$B$31+'Inputs'!$B$32,'Inputs'!$B$30+'Inputs'!$B$31+'Inputs'!$B$32)/1000+'Inputs'!$B$21)+'Inputs'!$B$7)^2+('Inputs'!$B$6/2)^2)-(((484-43)*MAX('Inputs'!$B$33,'Inputs'!$B$29+'Inputs'!$B$31+'Inputs'!$B$32,'Inputs'!$B$30+'Inputs'!$B$31+'Inputs'!$B$32)/1000+'Inputs'!$B$21))/SQRT((((484-43)*MAX('Inputs'!$B$33,'Inputs'!$B$29+'Inputs'!$B$31+'Inputs'!$B$32,'Inputs'!$B$30+'Inputs'!$B$31+'Inputs'!$B$32)/1000+'Inputs'!$B$21))^2+('Inputs'!$B$6/2)^2)))-'Results'!C7*(1+'Inputs'!$B$24)*(0.5*((((484-43)*MAX('Inputs'!$B$33,'Inputs'!$B$29+'Inputs'!$B$31+'Inputs'!$B$32,'Inputs'!$B$30+'Inputs'!$B$31+'Inputs'!$B$32)/1000+'Inputs'!$B$21+'Inputs'!$B$7+'Inputs'!$B$10)+'Inputs'!$B$9)/SQRT((((484-43)*MAX('Inputs'!$B$33,'Inputs'!$B$29+'Inputs'!$B$31+'Inputs'!$B$32,'Inputs'!$B$30+'Inputs'!$B$31+'Inputs'!$B$32)/1000+'Inputs'!$B$21+'Inputs'!$B$7+'Inputs'!$B$10)+'Inputs'!$B$9)^2+('Inputs'!$B$8/2)^2)-(((484-43)*MAX('Inputs'!$B$33,'Inputs'!$B$29+'Inputs'!$B$31+'Inputs'!$B$32,'Inputs'!$B$30+'Inputs'!$B$31+'Inputs'!$B$32)/1000+'Inputs'!$B$21+'Inputs'!$B$7+'Inputs'!$B$10))/SQRT((((484-43)*MAX('Inputs'!$B$33,'Inputs'!$B$29+'Inputs'!$B$31+'Inputs'!$B$32,'Inputs'!$B$30+'Inputs'!$B$31+'Inputs'!$B$32)/1000+'Inputs'!$B$21+'Inputs'!$B$7+'Inputs'!$B$10))^2+('Inputs'!$B$8/2)^2))))*'Results'!$B$8))),"")</x:f>
        <x:v>5.698618496190708</x:v>
      </x:c>
      <x:c r="L484" t="n">
        <x:f>IF(AND(ISNUMBER('Results'!B7),ISNUMBER('Results'!C7),ISNUMBER('Results'!$B$8),ISNUMBER('Inputs'!$B$6),ISNUMBER('Inputs'!$B$7),ISNUMBER('Inputs'!$B$8),ISNUMBER('Inputs'!$B$9),ISNUMBER('Inputs'!$B$10),ISNUMBER('Inputs'!$B$21),ISNUMBER('Inputs'!$B$24),ISNUMBER('Inputs'!$B$28)),((('Results'!B7*(1+'Inputs'!$B$24)*(0.5*((((484-43)*MAX('Inputs'!$B$33,'Inputs'!$B$29+'Inputs'!$B$31+'Inputs'!$B$32,'Inputs'!$B$30+'Inputs'!$B$31+'Inputs'!$B$32)/1000+'Inputs'!$B$21)+'Inputs'!$B$7)/SQRT((((484-43)*MAX('Inputs'!$B$33,'Inputs'!$B$29+'Inputs'!$B$31+'Inputs'!$B$32,'Inputs'!$B$30+'Inputs'!$B$31+'Inputs'!$B$32)/1000+'Inputs'!$B$21)+'Inputs'!$B$7)^2+('Inputs'!$B$6/2)^2)-(((484-43)*MAX('Inputs'!$B$33,'Inputs'!$B$29+'Inputs'!$B$31+'Inputs'!$B$32,'Inputs'!$B$30+'Inputs'!$B$31+'Inputs'!$B$32)/1000+'Inputs'!$B$21))/SQRT((((484-43)*MAX('Inputs'!$B$33,'Inputs'!$B$29+'Inputs'!$B$31+'Inputs'!$B$32,'Inputs'!$B$30+'Inputs'!$B$31+'Inputs'!$B$32)/1000+'Inputs'!$B$21))^2+('Inputs'!$B$6/2)^2)))-'Results'!C7*(1-'Inputs'!$B$24)*(0.5*((((484-43)*MAX('Inputs'!$B$33,'Inputs'!$B$29+'Inputs'!$B$31+'Inputs'!$B$32,'Inputs'!$B$30+'Inputs'!$B$31+'Inputs'!$B$32)/1000+'Inputs'!$B$21+'Inputs'!$B$7+'Inputs'!$B$10)+'Inputs'!$B$9)/SQRT((((484-43)*MAX('Inputs'!$B$33,'Inputs'!$B$29+'Inputs'!$B$31+'Inputs'!$B$32,'Inputs'!$B$30+'Inputs'!$B$31+'Inputs'!$B$32)/1000+'Inputs'!$B$21+'Inputs'!$B$7+'Inputs'!$B$10)+'Inputs'!$B$9)^2+('Inputs'!$B$8/2)^2)-(((484-43)*MAX('Inputs'!$B$33,'Inputs'!$B$29+'Inputs'!$B$31+'Inputs'!$B$32,'Inputs'!$B$30+'Inputs'!$B$31+'Inputs'!$B$32)/1000+'Inputs'!$B$21+'Inputs'!$B$7+'Inputs'!$B$10))/SQRT((((484-43)*MAX('Inputs'!$B$33,'Inputs'!$B$29+'Inputs'!$B$31+'Inputs'!$B$32,'Inputs'!$B$30+'Inputs'!$B$31+'Inputs'!$B$32)/1000+'Inputs'!$B$21+'Inputs'!$B$7+'Inputs'!$B$10))^2+('Inputs'!$B$8/2)^2))))*'Results'!$B$8)+'Inputs'!$B$28*ABS((('Results'!B7*(1+'Inputs'!$B$24)*(0.5*((((484-43)*MAX('Inputs'!$B$33,'Inputs'!$B$29+'Inputs'!$B$31+'Inputs'!$B$32,'Inputs'!$B$30+'Inputs'!$B$31+'Inputs'!$B$32)/1000+'Inputs'!$B$21)+'Inputs'!$B$7)/SQRT((((484-43)*MAX('Inputs'!$B$33,'Inputs'!$B$29+'Inputs'!$B$31+'Inputs'!$B$32,'Inputs'!$B$30+'Inputs'!$B$31+'Inputs'!$B$32)/1000+'Inputs'!$B$21)+'Inputs'!$B$7)^2+('Inputs'!$B$6/2)^2)-(((484-43)*MAX('Inputs'!$B$33,'Inputs'!$B$29+'Inputs'!$B$31+'Inputs'!$B$32,'Inputs'!$B$30+'Inputs'!$B$31+'Inputs'!$B$32)/1000+'Inputs'!$B$21))/SQRT((((484-43)*MAX('Inputs'!$B$33,'Inputs'!$B$29+'Inputs'!$B$31+'Inputs'!$B$32,'Inputs'!$B$30+'Inputs'!$B$31+'Inputs'!$B$32)/1000+'Inputs'!$B$21))^2+('Inputs'!$B$6/2)^2)))-'Results'!C7*(1-'Inputs'!$B$24)*(0.5*((((484-43)*MAX('Inputs'!$B$33,'Inputs'!$B$29+'Inputs'!$B$31+'Inputs'!$B$32,'Inputs'!$B$30+'Inputs'!$B$31+'Inputs'!$B$32)/1000+'Inputs'!$B$21+'Inputs'!$B$7+'Inputs'!$B$10)+'Inputs'!$B$9)/SQRT((((484-43)*MAX('Inputs'!$B$33,'Inputs'!$B$29+'Inputs'!$B$31+'Inputs'!$B$32,'Inputs'!$B$30+'Inputs'!$B$31+'Inputs'!$B$32)/1000+'Inputs'!$B$21+'Inputs'!$B$7+'Inputs'!$B$10)+'Inputs'!$B$9)^2+('Inputs'!$B$8/2)^2)-(((484-43)*MAX('Inputs'!$B$33,'Inputs'!$B$29+'Inputs'!$B$31+'Inputs'!$B$32,'Inputs'!$B$30+'Inputs'!$B$31+'Inputs'!$B$32)/1000+'Inputs'!$B$21+'Inputs'!$B$7+'Inputs'!$B$10))/SQRT((((484-43)*MAX('Inputs'!$B$33,'Inputs'!$B$29+'Inputs'!$B$31+'Inputs'!$B$32,'Inputs'!$B$30+'Inputs'!$B$31+'Inputs'!$B$32)/1000+'Inputs'!$B$21+'Inputs'!$B$7+'Inputs'!$B$10))^2+('Inputs'!$B$8/2)^2))))*'Results'!$B$8))),"")</x:f>
        <x:v>7.126862960168486</x:v>
      </x:c>
      <x:c r="M484" t="n">
        <x:f>IF(AND(ISNUMBER('Results'!C7),ISNUMBER('Results'!B7),ISNUMBER('Results'!$B$8),ISNUMBER('Inputs'!$B$6),ISNUMBER('Inputs'!$B$7),ISNUMBER('Inputs'!$B$8),ISNUMBER('Inputs'!$B$9),ISNUMBER('Inputs'!$B$10),ISNUMBER('Inputs'!$B$21),ISNUMBER('Inputs'!$B$24),ISNUMBER('Inputs'!$B$28)),(('Results'!C7*(0.5*((((484-43)*MAX('Inputs'!$B$33,'Inputs'!$B$29+'Inputs'!$B$31+'Inputs'!$B$32,'Inputs'!$B$30+'Inputs'!$B$31+'Inputs'!$B$32)/1000+'Inputs'!$B$21)+'Inputs'!$B$9)/SQRT((((484-43)*MAX('Inputs'!$B$33,'Inputs'!$B$29+'Inputs'!$B$31+'Inputs'!$B$32,'Inputs'!$B$30+'Inputs'!$B$31+'Inputs'!$B$32)/1000+'Inputs'!$B$21)+'Inputs'!$B$9)^2+('Inputs'!$B$8/2)^2)-(((484-43)*MAX('Inputs'!$B$33,'Inputs'!$B$29+'Inputs'!$B$31+'Inputs'!$B$32,'Inputs'!$B$30+'Inputs'!$B$31+'Inputs'!$B$32)/1000+'Inputs'!$B$21))/SQRT((((484-43)*MAX('Inputs'!$B$33,'Inputs'!$B$29+'Inputs'!$B$31+'Inputs'!$B$32,'Inputs'!$B$30+'Inputs'!$B$31+'Inputs'!$B$32)/1000+'Inputs'!$B$21))^2+('Inputs'!$B$8/2)^2)))-'Results'!B7*(0.5*((((484-43)*MAX('Inputs'!$B$33,'Inputs'!$B$29+'Inputs'!$B$31+'Inputs'!$B$32,'Inputs'!$B$30+'Inputs'!$B$31+'Inputs'!$B$32)/1000+'Inputs'!$B$21+'Inputs'!$B$9+'Inputs'!$B$10)+'Inputs'!$B$7)/SQRT((((484-43)*MAX('Inputs'!$B$33,'Inputs'!$B$29+'Inputs'!$B$31+'Inputs'!$B$32,'Inputs'!$B$30+'Inputs'!$B$31+'Inputs'!$B$32)/1000+'Inputs'!$B$21+'Inputs'!$B$9+'Inputs'!$B$10)+'Inputs'!$B$7)^2+('Inputs'!$B$6/2)^2)-(((484-43)*MAX('Inputs'!$B$33,'Inputs'!$B$29+'Inputs'!$B$31+'Inputs'!$B$32,'Inputs'!$B$30+'Inputs'!$B$31+'Inputs'!$B$32)/1000+'Inputs'!$B$21+'Inputs'!$B$9+'Inputs'!$B$10))/SQRT((((484-43)*MAX('Inputs'!$B$33,'Inputs'!$B$29+'Inputs'!$B$31+'Inputs'!$B$32,'Inputs'!$B$30+'Inputs'!$B$31+'Inputs'!$B$32)/1000+'Inputs'!$B$21+'Inputs'!$B$9+'Inputs'!$B$10))^2+('Inputs'!$B$6/2)^2))))*'Results'!$B$8),"")</x:f>
        <x:v>5.995825264741196</x:v>
      </x:c>
      <x:c r="N484" t="n">
        <x:f>IF(AND(ISNUMBER('Results'!C7),ISNUMBER('Results'!B7),ISNUMBER('Results'!$B$8),ISNUMBER('Inputs'!$B$6),ISNUMBER('Inputs'!$B$7),ISNUMBER('Inputs'!$B$8),ISNUMBER('Inputs'!$B$9),ISNUMBER('Inputs'!$B$10),ISNUMBER('Inputs'!$B$21),ISNUMBER('Inputs'!$B$24),ISNUMBER('Inputs'!$B$28)),((('Results'!C7*(1-'Inputs'!$B$24)*(0.5*((((484-43)*MAX('Inputs'!$B$33,'Inputs'!$B$29+'Inputs'!$B$31+'Inputs'!$B$32,'Inputs'!$B$30+'Inputs'!$B$31+'Inputs'!$B$32)/1000+'Inputs'!$B$21)+'Inputs'!$B$9)/SQRT((((484-43)*MAX('Inputs'!$B$33,'Inputs'!$B$29+'Inputs'!$B$31+'Inputs'!$B$32,'Inputs'!$B$30+'Inputs'!$B$31+'Inputs'!$B$32)/1000+'Inputs'!$B$21)+'Inputs'!$B$9)^2+('Inputs'!$B$8/2)^2)-(((484-43)*MAX('Inputs'!$B$33,'Inputs'!$B$29+'Inputs'!$B$31+'Inputs'!$B$32,'Inputs'!$B$30+'Inputs'!$B$31+'Inputs'!$B$32)/1000+'Inputs'!$B$21))/SQRT((((484-43)*MAX('Inputs'!$B$33,'Inputs'!$B$29+'Inputs'!$B$31+'Inputs'!$B$32,'Inputs'!$B$30+'Inputs'!$B$31+'Inputs'!$B$32)/1000+'Inputs'!$B$21))^2+('Inputs'!$B$8/2)^2)))-'Results'!B7*(1+'Inputs'!$B$24)*(0.5*((((484-43)*MAX('Inputs'!$B$33,'Inputs'!$B$29+'Inputs'!$B$31+'Inputs'!$B$32,'Inputs'!$B$30+'Inputs'!$B$31+'Inputs'!$B$32)/1000+'Inputs'!$B$21+'Inputs'!$B$9+'Inputs'!$B$10)+'Inputs'!$B$7)/SQRT((((484-43)*MAX('Inputs'!$B$33,'Inputs'!$B$29+'Inputs'!$B$31+'Inputs'!$B$32,'Inputs'!$B$30+'Inputs'!$B$31+'Inputs'!$B$32)/1000+'Inputs'!$B$21+'Inputs'!$B$9+'Inputs'!$B$10)+'Inputs'!$B$7)^2+('Inputs'!$B$6/2)^2)-(((484-43)*MAX('Inputs'!$B$33,'Inputs'!$B$29+'Inputs'!$B$31+'Inputs'!$B$32,'Inputs'!$B$30+'Inputs'!$B$31+'Inputs'!$B$32)/1000+'Inputs'!$B$21+'Inputs'!$B$9+'Inputs'!$B$10))/SQRT((((484-43)*MAX('Inputs'!$B$33,'Inputs'!$B$29+'Inputs'!$B$31+'Inputs'!$B$32,'Inputs'!$B$30+'Inputs'!$B$31+'Inputs'!$B$32)/1000+'Inputs'!$B$21+'Inputs'!$B$9+'Inputs'!$B$10))^2+('Inputs'!$B$6/2)^2))))*'Results'!$B$8)-'Inputs'!$B$28*ABS((('Results'!C7*(1-'Inputs'!$B$24)*(0.5*((((484-43)*MAX('Inputs'!$B$33,'Inputs'!$B$29+'Inputs'!$B$31+'Inputs'!$B$32,'Inputs'!$B$30+'Inputs'!$B$31+'Inputs'!$B$32)/1000+'Inputs'!$B$21)+'Inputs'!$B$9)/SQRT((((484-43)*MAX('Inputs'!$B$33,'Inputs'!$B$29+'Inputs'!$B$31+'Inputs'!$B$32,'Inputs'!$B$30+'Inputs'!$B$31+'Inputs'!$B$32)/1000+'Inputs'!$B$21)+'Inputs'!$B$9)^2+('Inputs'!$B$8/2)^2)-(((484-43)*MAX('Inputs'!$B$33,'Inputs'!$B$29+'Inputs'!$B$31+'Inputs'!$B$32,'Inputs'!$B$30+'Inputs'!$B$31+'Inputs'!$B$32)/1000+'Inputs'!$B$21))/SQRT((((484-43)*MAX('Inputs'!$B$33,'Inputs'!$B$29+'Inputs'!$B$31+'Inputs'!$B$32,'Inputs'!$B$30+'Inputs'!$B$31+'Inputs'!$B$32)/1000+'Inputs'!$B$21))^2+('Inputs'!$B$8/2)^2)))-'Results'!B7*(1+'Inputs'!$B$24)*(0.5*((((484-43)*MAX('Inputs'!$B$33,'Inputs'!$B$29+'Inputs'!$B$31+'Inputs'!$B$32,'Inputs'!$B$30+'Inputs'!$B$31+'Inputs'!$B$32)/1000+'Inputs'!$B$21+'Inputs'!$B$9+'Inputs'!$B$10)+'Inputs'!$B$7)/SQRT((((484-43)*MAX('Inputs'!$B$33,'Inputs'!$B$29+'Inputs'!$B$31+'Inputs'!$B$32,'Inputs'!$B$30+'Inputs'!$B$31+'Inputs'!$B$32)/1000+'Inputs'!$B$21+'Inputs'!$B$9+'Inputs'!$B$10)+'Inputs'!$B$7)^2+('Inputs'!$B$6/2)^2)-(((484-43)*MAX('Inputs'!$B$33,'Inputs'!$B$29+'Inputs'!$B$31+'Inputs'!$B$32,'Inputs'!$B$30+'Inputs'!$B$31+'Inputs'!$B$32)/1000+'Inputs'!$B$21+'Inputs'!$B$9+'Inputs'!$B$10))/SQRT((((484-43)*MAX('Inputs'!$B$33,'Inputs'!$B$29+'Inputs'!$B$31+'Inputs'!$B$32,'Inputs'!$B$30+'Inputs'!$B$31+'Inputs'!$B$32)/1000+'Inputs'!$B$21+'Inputs'!$B$9+'Inputs'!$B$10))^2+('Inputs'!$B$6/2)^2))))*'Results'!$B$8))),"")</x:f>
        <x:v>5.323663852816807</x:v>
      </x:c>
      <x:c r="O484" t="n">
        <x:f>IF(AND(ISNUMBER('Results'!C7),ISNUMBER('Results'!B7),ISNUMBER('Results'!$B$8),ISNUMBER('Inputs'!$B$6),ISNUMBER('Inputs'!$B$7),ISNUMBER('Inputs'!$B$8),ISNUMBER('Inputs'!$B$9),ISNUMBER('Inputs'!$B$10),ISNUMBER('Inputs'!$B$21),ISNUMBER('Inputs'!$B$24),ISNUMBER('Inputs'!$B$28)),((('Results'!C7*(1+'Inputs'!$B$24)*(0.5*((((484-43)*MAX('Inputs'!$B$33,'Inputs'!$B$29+'Inputs'!$B$31+'Inputs'!$B$32,'Inputs'!$B$30+'Inputs'!$B$31+'Inputs'!$B$32)/1000+'Inputs'!$B$21)+'Inputs'!$B$9)/SQRT((((484-43)*MAX('Inputs'!$B$33,'Inputs'!$B$29+'Inputs'!$B$31+'Inputs'!$B$32,'Inputs'!$B$30+'Inputs'!$B$31+'Inputs'!$B$32)/1000+'Inputs'!$B$21)+'Inputs'!$B$9)^2+('Inputs'!$B$8/2)^2)-(((484-43)*MAX('Inputs'!$B$33,'Inputs'!$B$29+'Inputs'!$B$31+'Inputs'!$B$32,'Inputs'!$B$30+'Inputs'!$B$31+'Inputs'!$B$32)/1000+'Inputs'!$B$21))/SQRT((((484-43)*MAX('Inputs'!$B$33,'Inputs'!$B$29+'Inputs'!$B$31+'Inputs'!$B$32,'Inputs'!$B$30+'Inputs'!$B$31+'Inputs'!$B$32)/1000+'Inputs'!$B$21))^2+('Inputs'!$B$8/2)^2)))-'Results'!B7*(1-'Inputs'!$B$24)*(0.5*((((484-43)*MAX('Inputs'!$B$33,'Inputs'!$B$29+'Inputs'!$B$31+'Inputs'!$B$32,'Inputs'!$B$30+'Inputs'!$B$31+'Inputs'!$B$32)/1000+'Inputs'!$B$21+'Inputs'!$B$9+'Inputs'!$B$10)+'Inputs'!$B$7)/SQRT((((484-43)*MAX('Inputs'!$B$33,'Inputs'!$B$29+'Inputs'!$B$31+'Inputs'!$B$32,'Inputs'!$B$30+'Inputs'!$B$31+'Inputs'!$B$32)/1000+'Inputs'!$B$21+'Inputs'!$B$9+'Inputs'!$B$10)+'Inputs'!$B$7)^2+('Inputs'!$B$6/2)^2)-(((484-43)*MAX('Inputs'!$B$33,'Inputs'!$B$29+'Inputs'!$B$31+'Inputs'!$B$32,'Inputs'!$B$30+'Inputs'!$B$31+'Inputs'!$B$32)/1000+'Inputs'!$B$21+'Inputs'!$B$9+'Inputs'!$B$10))/SQRT((((484-43)*MAX('Inputs'!$B$33,'Inputs'!$B$29+'Inputs'!$B$31+'Inputs'!$B$32,'Inputs'!$B$30+'Inputs'!$B$31+'Inputs'!$B$32)/1000+'Inputs'!$B$21+'Inputs'!$B$9+'Inputs'!$B$10))^2+('Inputs'!$B$6/2)^2))))*'Results'!$B$8)+'Inputs'!$B$28*ABS((('Results'!C7*(1+'Inputs'!$B$24)*(0.5*((((484-43)*MAX('Inputs'!$B$33,'Inputs'!$B$29+'Inputs'!$B$31+'Inputs'!$B$32,'Inputs'!$B$30+'Inputs'!$B$31+'Inputs'!$B$32)/1000+'Inputs'!$B$21)+'Inputs'!$B$9)/SQRT((((484-43)*MAX('Inputs'!$B$33,'Inputs'!$B$29+'Inputs'!$B$31+'Inputs'!$B$32,'Inputs'!$B$30+'Inputs'!$B$31+'Inputs'!$B$32)/1000+'Inputs'!$B$21)+'Inputs'!$B$9)^2+('Inputs'!$B$8/2)^2)-(((484-43)*MAX('Inputs'!$B$33,'Inputs'!$B$29+'Inputs'!$B$31+'Inputs'!$B$32,'Inputs'!$B$30+'Inputs'!$B$31+'Inputs'!$B$32)/1000+'Inputs'!$B$21))/SQRT((((484-43)*MAX('Inputs'!$B$33,'Inputs'!$B$29+'Inputs'!$B$31+'Inputs'!$B$32,'Inputs'!$B$30+'Inputs'!$B$31+'Inputs'!$B$32)/1000+'Inputs'!$B$21))^2+('Inputs'!$B$8/2)^2)))-'Results'!B7*(1-'Inputs'!$B$24)*(0.5*((((484-43)*MAX('Inputs'!$B$33,'Inputs'!$B$29+'Inputs'!$B$31+'Inputs'!$B$32,'Inputs'!$B$30+'Inputs'!$B$31+'Inputs'!$B$32)/1000+'Inputs'!$B$21+'Inputs'!$B$9+'Inputs'!$B$10)+'Inputs'!$B$7)/SQRT((((484-43)*MAX('Inputs'!$B$33,'Inputs'!$B$29+'Inputs'!$B$31+'Inputs'!$B$32,'Inputs'!$B$30+'Inputs'!$B$31+'Inputs'!$B$32)/1000+'Inputs'!$B$21+'Inputs'!$B$9+'Inputs'!$B$10)+'Inputs'!$B$7)^2+('Inputs'!$B$6/2)^2)-(((484-43)*MAX('Inputs'!$B$33,'Inputs'!$B$29+'Inputs'!$B$31+'Inputs'!$B$32,'Inputs'!$B$30+'Inputs'!$B$31+'Inputs'!$B$32)/1000+'Inputs'!$B$21+'Inputs'!$B$9+'Inputs'!$B$10))/SQRT((((484-43)*MAX('Inputs'!$B$33,'Inputs'!$B$29+'Inputs'!$B$31+'Inputs'!$B$32,'Inputs'!$B$30+'Inputs'!$B$31+'Inputs'!$B$32)/1000+'Inputs'!$B$21+'Inputs'!$B$9+'Inputs'!$B$10))^2+('Inputs'!$B$6/2)^2))))*'Results'!$B$8))),"")</x:f>
        <x:v>6.707183534422145</x:v>
      </x:c>
      <x:c r="P484" t="n">
        <x:f>IF(AND(MAX(J484,J483)&gt;0,J484&gt;J483+0.00000001),1,0)</x:f>
        <x:v>0</x:v>
      </x:c>
      <x:c r="Q484" t="n">
        <x:f>IF(AND(MAX(K484,K483)&gt;0,K484&gt;K483+0.00000001),1,0)</x:f>
        <x:v>0</x:v>
      </x:c>
      <x:c r="R484" t="n">
        <x:f>IF(AND(MAX(L484,L483)&gt;0,L484&gt;L483+0.00000001),1,0)</x:f>
        <x:v>0</x:v>
      </x:c>
      <x:c r="S484" t="n">
        <x:f>IF(AND(MAX(M484,M483)&gt;0,M484&gt;M483+0.00000001),1,0)</x:f>
        <x:v>0</x:v>
      </x:c>
      <x:c r="T484" t="n">
        <x:f>IF(AND(MAX(N484,N483)&gt;0,N484&gt;N483+0.00000001),1,0)</x:f>
        <x:v>0</x:v>
      </x:c>
      <x:c r="U484" t="n">
        <x:f>IF(AND(MAX(O484,O483)&gt;0,O484&gt;O483+0.00000001),1,0)</x:f>
        <x:v>0</x:v>
      </x:c>
    </x:row>
    <x:row r="485">
      <x:c r="J485" t="n">
        <x:f>IF(AND(ISNUMBER('Results'!B7),ISNUMBER('Results'!C7),ISNUMBER('Results'!$B$8),ISNUMBER('Inputs'!$B$6),ISNUMBER('Inputs'!$B$7),ISNUMBER('Inputs'!$B$8),ISNUMBER('Inputs'!$B$9),ISNUMBER('Inputs'!$B$10),ISNUMBER('Inputs'!$B$21),ISNUMBER('Inputs'!$B$24),ISNUMBER('Inputs'!$B$28)),(('Results'!B7*(0.5*((((485-43)*MAX('Inputs'!$B$33,'Inputs'!$B$29+'Inputs'!$B$31+'Inputs'!$B$32,'Inputs'!$B$30+'Inputs'!$B$31+'Inputs'!$B$32)/1000+'Inputs'!$B$21)+'Inputs'!$B$7)/SQRT((((485-43)*MAX('Inputs'!$B$33,'Inputs'!$B$29+'Inputs'!$B$31+'Inputs'!$B$32,'Inputs'!$B$30+'Inputs'!$B$31+'Inputs'!$B$32)/1000+'Inputs'!$B$21)+'Inputs'!$B$7)^2+('Inputs'!$B$6/2)^2)-(((485-43)*MAX('Inputs'!$B$33,'Inputs'!$B$29+'Inputs'!$B$31+'Inputs'!$B$32,'Inputs'!$B$30+'Inputs'!$B$31+'Inputs'!$B$32)/1000+'Inputs'!$B$21))/SQRT((((485-43)*MAX('Inputs'!$B$33,'Inputs'!$B$29+'Inputs'!$B$31+'Inputs'!$B$32,'Inputs'!$B$30+'Inputs'!$B$31+'Inputs'!$B$32)/1000+'Inputs'!$B$21))^2+('Inputs'!$B$6/2)^2)))-'Results'!C7*(0.5*((((485-43)*MAX('Inputs'!$B$33,'Inputs'!$B$29+'Inputs'!$B$31+'Inputs'!$B$32,'Inputs'!$B$30+'Inputs'!$B$31+'Inputs'!$B$32)/1000+'Inputs'!$B$21+'Inputs'!$B$7+'Inputs'!$B$10)+'Inputs'!$B$9)/SQRT((((485-43)*MAX('Inputs'!$B$33,'Inputs'!$B$29+'Inputs'!$B$31+'Inputs'!$B$32,'Inputs'!$B$30+'Inputs'!$B$31+'Inputs'!$B$32)/1000+'Inputs'!$B$21+'Inputs'!$B$7+'Inputs'!$B$10)+'Inputs'!$B$9)^2+('Inputs'!$B$8/2)^2)-(((485-43)*MAX('Inputs'!$B$33,'Inputs'!$B$29+'Inputs'!$B$31+'Inputs'!$B$32,'Inputs'!$B$30+'Inputs'!$B$31+'Inputs'!$B$32)/1000+'Inputs'!$B$21+'Inputs'!$B$7+'Inputs'!$B$10))/SQRT((((485-43)*MAX('Inputs'!$B$33,'Inputs'!$B$29+'Inputs'!$B$31+'Inputs'!$B$32,'Inputs'!$B$30+'Inputs'!$B$31+'Inputs'!$B$32)/1000+'Inputs'!$B$21+'Inputs'!$B$7+'Inputs'!$B$10))^2+('Inputs'!$B$8/2)^2))))*'Results'!$B$8),"")</x:f>
        <x:v>6.344650727796263</x:v>
      </x:c>
      <x:c r="K485" t="n">
        <x:f>IF(AND(ISNUMBER('Results'!B7),ISNUMBER('Results'!C7),ISNUMBER('Results'!$B$8),ISNUMBER('Inputs'!$B$6),ISNUMBER('Inputs'!$B$7),ISNUMBER('Inputs'!$B$8),ISNUMBER('Inputs'!$B$9),ISNUMBER('Inputs'!$B$10),ISNUMBER('Inputs'!$B$21),ISNUMBER('Inputs'!$B$24),ISNUMBER('Inputs'!$B$28)),((('Results'!B7*(1-'Inputs'!$B$24)*(0.5*((((485-43)*MAX('Inputs'!$B$33,'Inputs'!$B$29+'Inputs'!$B$31+'Inputs'!$B$32,'Inputs'!$B$30+'Inputs'!$B$31+'Inputs'!$B$32)/1000+'Inputs'!$B$21)+'Inputs'!$B$7)/SQRT((((485-43)*MAX('Inputs'!$B$33,'Inputs'!$B$29+'Inputs'!$B$31+'Inputs'!$B$32,'Inputs'!$B$30+'Inputs'!$B$31+'Inputs'!$B$32)/1000+'Inputs'!$B$21)+'Inputs'!$B$7)^2+('Inputs'!$B$6/2)^2)-(((485-43)*MAX('Inputs'!$B$33,'Inputs'!$B$29+'Inputs'!$B$31+'Inputs'!$B$32,'Inputs'!$B$30+'Inputs'!$B$31+'Inputs'!$B$32)/1000+'Inputs'!$B$21))/SQRT((((485-43)*MAX('Inputs'!$B$33,'Inputs'!$B$29+'Inputs'!$B$31+'Inputs'!$B$32,'Inputs'!$B$30+'Inputs'!$B$31+'Inputs'!$B$32)/1000+'Inputs'!$B$21))^2+('Inputs'!$B$6/2)^2)))-'Results'!C7*(1+'Inputs'!$B$24)*(0.5*((((485-43)*MAX('Inputs'!$B$33,'Inputs'!$B$29+'Inputs'!$B$31+'Inputs'!$B$32,'Inputs'!$B$30+'Inputs'!$B$31+'Inputs'!$B$32)/1000+'Inputs'!$B$21+'Inputs'!$B$7+'Inputs'!$B$10)+'Inputs'!$B$9)/SQRT((((485-43)*MAX('Inputs'!$B$33,'Inputs'!$B$29+'Inputs'!$B$31+'Inputs'!$B$32,'Inputs'!$B$30+'Inputs'!$B$31+'Inputs'!$B$32)/1000+'Inputs'!$B$21+'Inputs'!$B$7+'Inputs'!$B$10)+'Inputs'!$B$9)^2+('Inputs'!$B$8/2)^2)-(((485-43)*MAX('Inputs'!$B$33,'Inputs'!$B$29+'Inputs'!$B$31+'Inputs'!$B$32,'Inputs'!$B$30+'Inputs'!$B$31+'Inputs'!$B$32)/1000+'Inputs'!$B$21+'Inputs'!$B$7+'Inputs'!$B$10))/SQRT((((485-43)*MAX('Inputs'!$B$33,'Inputs'!$B$29+'Inputs'!$B$31+'Inputs'!$B$32,'Inputs'!$B$30+'Inputs'!$B$31+'Inputs'!$B$32)/1000+'Inputs'!$B$21+'Inputs'!$B$7+'Inputs'!$B$10))^2+('Inputs'!$B$8/2)^2))))*'Results'!$B$8)-'Inputs'!$B$28*ABS((('Results'!B7*(1-'Inputs'!$B$24)*(0.5*((((485-43)*MAX('Inputs'!$B$33,'Inputs'!$B$29+'Inputs'!$B$31+'Inputs'!$B$32,'Inputs'!$B$30+'Inputs'!$B$31+'Inputs'!$B$32)/1000+'Inputs'!$B$21)+'Inputs'!$B$7)/SQRT((((485-43)*MAX('Inputs'!$B$33,'Inputs'!$B$29+'Inputs'!$B$31+'Inputs'!$B$32,'Inputs'!$B$30+'Inputs'!$B$31+'Inputs'!$B$32)/1000+'Inputs'!$B$21)+'Inputs'!$B$7)^2+('Inputs'!$B$6/2)^2)-(((485-43)*MAX('Inputs'!$B$33,'Inputs'!$B$29+'Inputs'!$B$31+'Inputs'!$B$32,'Inputs'!$B$30+'Inputs'!$B$31+'Inputs'!$B$32)/1000+'Inputs'!$B$21))/SQRT((((485-43)*MAX('Inputs'!$B$33,'Inputs'!$B$29+'Inputs'!$B$31+'Inputs'!$B$32,'Inputs'!$B$30+'Inputs'!$B$31+'Inputs'!$B$32)/1000+'Inputs'!$B$21))^2+('Inputs'!$B$6/2)^2)))-'Results'!C7*(1+'Inputs'!$B$24)*(0.5*((((485-43)*MAX('Inputs'!$B$33,'Inputs'!$B$29+'Inputs'!$B$31+'Inputs'!$B$32,'Inputs'!$B$30+'Inputs'!$B$31+'Inputs'!$B$32)/1000+'Inputs'!$B$21+'Inputs'!$B$7+'Inputs'!$B$10)+'Inputs'!$B$9)/SQRT((((485-43)*MAX('Inputs'!$B$33,'Inputs'!$B$29+'Inputs'!$B$31+'Inputs'!$B$32,'Inputs'!$B$30+'Inputs'!$B$31+'Inputs'!$B$32)/1000+'Inputs'!$B$21+'Inputs'!$B$7+'Inputs'!$B$10)+'Inputs'!$B$9)^2+('Inputs'!$B$8/2)^2)-(((485-43)*MAX('Inputs'!$B$33,'Inputs'!$B$29+'Inputs'!$B$31+'Inputs'!$B$32,'Inputs'!$B$30+'Inputs'!$B$31+'Inputs'!$B$32)/1000+'Inputs'!$B$21+'Inputs'!$B$7+'Inputs'!$B$10))/SQRT((((485-43)*MAX('Inputs'!$B$33,'Inputs'!$B$29+'Inputs'!$B$31+'Inputs'!$B$32,'Inputs'!$B$30+'Inputs'!$B$31+'Inputs'!$B$32)/1000+'Inputs'!$B$21+'Inputs'!$B$7+'Inputs'!$B$10))^2+('Inputs'!$B$8/2)^2))))*'Results'!$B$8))),"")</x:f>
        <x:v>5.654882472323592</x:v>
      </x:c>
      <x:c r="L485" t="n">
        <x:f>IF(AND(ISNUMBER('Results'!B7),ISNUMBER('Results'!C7),ISNUMBER('Results'!$B$8),ISNUMBER('Inputs'!$B$6),ISNUMBER('Inputs'!$B$7),ISNUMBER('Inputs'!$B$8),ISNUMBER('Inputs'!$B$9),ISNUMBER('Inputs'!$B$10),ISNUMBER('Inputs'!$B$21),ISNUMBER('Inputs'!$B$24),ISNUMBER('Inputs'!$B$28)),((('Results'!B7*(1+'Inputs'!$B$24)*(0.5*((((485-43)*MAX('Inputs'!$B$33,'Inputs'!$B$29+'Inputs'!$B$31+'Inputs'!$B$32,'Inputs'!$B$30+'Inputs'!$B$31+'Inputs'!$B$32)/1000+'Inputs'!$B$21)+'Inputs'!$B$7)/SQRT((((485-43)*MAX('Inputs'!$B$33,'Inputs'!$B$29+'Inputs'!$B$31+'Inputs'!$B$32,'Inputs'!$B$30+'Inputs'!$B$31+'Inputs'!$B$32)/1000+'Inputs'!$B$21)+'Inputs'!$B$7)^2+('Inputs'!$B$6/2)^2)-(((485-43)*MAX('Inputs'!$B$33,'Inputs'!$B$29+'Inputs'!$B$31+'Inputs'!$B$32,'Inputs'!$B$30+'Inputs'!$B$31+'Inputs'!$B$32)/1000+'Inputs'!$B$21))/SQRT((((485-43)*MAX('Inputs'!$B$33,'Inputs'!$B$29+'Inputs'!$B$31+'Inputs'!$B$32,'Inputs'!$B$30+'Inputs'!$B$31+'Inputs'!$B$32)/1000+'Inputs'!$B$21))^2+('Inputs'!$B$6/2)^2)))-'Results'!C7*(1-'Inputs'!$B$24)*(0.5*((((485-43)*MAX('Inputs'!$B$33,'Inputs'!$B$29+'Inputs'!$B$31+'Inputs'!$B$32,'Inputs'!$B$30+'Inputs'!$B$31+'Inputs'!$B$32)/1000+'Inputs'!$B$21+'Inputs'!$B$7+'Inputs'!$B$10)+'Inputs'!$B$9)/SQRT((((485-43)*MAX('Inputs'!$B$33,'Inputs'!$B$29+'Inputs'!$B$31+'Inputs'!$B$32,'Inputs'!$B$30+'Inputs'!$B$31+'Inputs'!$B$32)/1000+'Inputs'!$B$21+'Inputs'!$B$7+'Inputs'!$B$10)+'Inputs'!$B$9)^2+('Inputs'!$B$8/2)^2)-(((485-43)*MAX('Inputs'!$B$33,'Inputs'!$B$29+'Inputs'!$B$31+'Inputs'!$B$32,'Inputs'!$B$30+'Inputs'!$B$31+'Inputs'!$B$32)/1000+'Inputs'!$B$21+'Inputs'!$B$7+'Inputs'!$B$10))/SQRT((((485-43)*MAX('Inputs'!$B$33,'Inputs'!$B$29+'Inputs'!$B$31+'Inputs'!$B$32,'Inputs'!$B$30+'Inputs'!$B$31+'Inputs'!$B$32)/1000+'Inputs'!$B$21+'Inputs'!$B$7+'Inputs'!$B$10))^2+('Inputs'!$B$8/2)^2))))*'Results'!$B$8)+'Inputs'!$B$28*ABS((('Results'!B7*(1+'Inputs'!$B$24)*(0.5*((((485-43)*MAX('Inputs'!$B$33,'Inputs'!$B$29+'Inputs'!$B$31+'Inputs'!$B$32,'Inputs'!$B$30+'Inputs'!$B$31+'Inputs'!$B$32)/1000+'Inputs'!$B$21)+'Inputs'!$B$7)/SQRT((((485-43)*MAX('Inputs'!$B$33,'Inputs'!$B$29+'Inputs'!$B$31+'Inputs'!$B$32,'Inputs'!$B$30+'Inputs'!$B$31+'Inputs'!$B$32)/1000+'Inputs'!$B$21)+'Inputs'!$B$7)^2+('Inputs'!$B$6/2)^2)-(((485-43)*MAX('Inputs'!$B$33,'Inputs'!$B$29+'Inputs'!$B$31+'Inputs'!$B$32,'Inputs'!$B$30+'Inputs'!$B$31+'Inputs'!$B$32)/1000+'Inputs'!$B$21))/SQRT((((485-43)*MAX('Inputs'!$B$33,'Inputs'!$B$29+'Inputs'!$B$31+'Inputs'!$B$32,'Inputs'!$B$30+'Inputs'!$B$31+'Inputs'!$B$32)/1000+'Inputs'!$B$21))^2+('Inputs'!$B$6/2)^2)))-'Results'!C7*(1-'Inputs'!$B$24)*(0.5*((((485-43)*MAX('Inputs'!$B$33,'Inputs'!$B$29+'Inputs'!$B$31+'Inputs'!$B$32,'Inputs'!$B$30+'Inputs'!$B$31+'Inputs'!$B$32)/1000+'Inputs'!$B$21+'Inputs'!$B$7+'Inputs'!$B$10)+'Inputs'!$B$9)/SQRT((((485-43)*MAX('Inputs'!$B$33,'Inputs'!$B$29+'Inputs'!$B$31+'Inputs'!$B$32,'Inputs'!$B$30+'Inputs'!$B$31+'Inputs'!$B$32)/1000+'Inputs'!$B$21+'Inputs'!$B$7+'Inputs'!$B$10)+'Inputs'!$B$9)^2+('Inputs'!$B$8/2)^2)-(((485-43)*MAX('Inputs'!$B$33,'Inputs'!$B$29+'Inputs'!$B$31+'Inputs'!$B$32,'Inputs'!$B$30+'Inputs'!$B$31+'Inputs'!$B$32)/1000+'Inputs'!$B$21+'Inputs'!$B$7+'Inputs'!$B$10))/SQRT((((485-43)*MAX('Inputs'!$B$33,'Inputs'!$B$29+'Inputs'!$B$31+'Inputs'!$B$32,'Inputs'!$B$30+'Inputs'!$B$31+'Inputs'!$B$32)/1000+'Inputs'!$B$21+'Inputs'!$B$7+'Inputs'!$B$10))^2+('Inputs'!$B$8/2)^2))))*'Results'!$B$8))),"")</x:f>
        <x:v>7.073633269488184</x:v>
      </x:c>
      <x:c r="M485" t="n">
        <x:f>IF(AND(ISNUMBER('Results'!C7),ISNUMBER('Results'!B7),ISNUMBER('Results'!$B$8),ISNUMBER('Inputs'!$B$6),ISNUMBER('Inputs'!$B$7),ISNUMBER('Inputs'!$B$8),ISNUMBER('Inputs'!$B$9),ISNUMBER('Inputs'!$B$10),ISNUMBER('Inputs'!$B$21),ISNUMBER('Inputs'!$B$24),ISNUMBER('Inputs'!$B$28)),(('Results'!C7*(0.5*((((485-43)*MAX('Inputs'!$B$33,'Inputs'!$B$29+'Inputs'!$B$31+'Inputs'!$B$32,'Inputs'!$B$30+'Inputs'!$B$31+'Inputs'!$B$32)/1000+'Inputs'!$B$21)+'Inputs'!$B$9)/SQRT((((485-43)*MAX('Inputs'!$B$33,'Inputs'!$B$29+'Inputs'!$B$31+'Inputs'!$B$32,'Inputs'!$B$30+'Inputs'!$B$31+'Inputs'!$B$32)/1000+'Inputs'!$B$21)+'Inputs'!$B$9)^2+('Inputs'!$B$8/2)^2)-(((485-43)*MAX('Inputs'!$B$33,'Inputs'!$B$29+'Inputs'!$B$31+'Inputs'!$B$32,'Inputs'!$B$30+'Inputs'!$B$31+'Inputs'!$B$32)/1000+'Inputs'!$B$21))/SQRT((((485-43)*MAX('Inputs'!$B$33,'Inputs'!$B$29+'Inputs'!$B$31+'Inputs'!$B$32,'Inputs'!$B$30+'Inputs'!$B$31+'Inputs'!$B$32)/1000+'Inputs'!$B$21))^2+('Inputs'!$B$8/2)^2)))-'Results'!B7*(0.5*((((485-43)*MAX('Inputs'!$B$33,'Inputs'!$B$29+'Inputs'!$B$31+'Inputs'!$B$32,'Inputs'!$B$30+'Inputs'!$B$31+'Inputs'!$B$32)/1000+'Inputs'!$B$21+'Inputs'!$B$9+'Inputs'!$B$10)+'Inputs'!$B$7)/SQRT((((485-43)*MAX('Inputs'!$B$33,'Inputs'!$B$29+'Inputs'!$B$31+'Inputs'!$B$32,'Inputs'!$B$30+'Inputs'!$B$31+'Inputs'!$B$32)/1000+'Inputs'!$B$21+'Inputs'!$B$9+'Inputs'!$B$10)+'Inputs'!$B$7)^2+('Inputs'!$B$6/2)^2)-(((485-43)*MAX('Inputs'!$B$33,'Inputs'!$B$29+'Inputs'!$B$31+'Inputs'!$B$32,'Inputs'!$B$30+'Inputs'!$B$31+'Inputs'!$B$32)/1000+'Inputs'!$B$21+'Inputs'!$B$9+'Inputs'!$B$10))/SQRT((((485-43)*MAX('Inputs'!$B$33,'Inputs'!$B$29+'Inputs'!$B$31+'Inputs'!$B$32,'Inputs'!$B$30+'Inputs'!$B$31+'Inputs'!$B$32)/1000+'Inputs'!$B$21+'Inputs'!$B$9+'Inputs'!$B$10))^2+('Inputs'!$B$6/2)^2))))*'Results'!$B$8),"")</x:f>
        <x:v>5.949801234505449</x:v>
      </x:c>
      <x:c r="N485" t="n">
        <x:f>IF(AND(ISNUMBER('Results'!C7),ISNUMBER('Results'!B7),ISNUMBER('Results'!$B$8),ISNUMBER('Inputs'!$B$6),ISNUMBER('Inputs'!$B$7),ISNUMBER('Inputs'!$B$8),ISNUMBER('Inputs'!$B$9),ISNUMBER('Inputs'!$B$10),ISNUMBER('Inputs'!$B$21),ISNUMBER('Inputs'!$B$24),ISNUMBER('Inputs'!$B$28)),((('Results'!C7*(1-'Inputs'!$B$24)*(0.5*((((485-43)*MAX('Inputs'!$B$33,'Inputs'!$B$29+'Inputs'!$B$31+'Inputs'!$B$32,'Inputs'!$B$30+'Inputs'!$B$31+'Inputs'!$B$32)/1000+'Inputs'!$B$21)+'Inputs'!$B$9)/SQRT((((485-43)*MAX('Inputs'!$B$33,'Inputs'!$B$29+'Inputs'!$B$31+'Inputs'!$B$32,'Inputs'!$B$30+'Inputs'!$B$31+'Inputs'!$B$32)/1000+'Inputs'!$B$21)+'Inputs'!$B$9)^2+('Inputs'!$B$8/2)^2)-(((485-43)*MAX('Inputs'!$B$33,'Inputs'!$B$29+'Inputs'!$B$31+'Inputs'!$B$32,'Inputs'!$B$30+'Inputs'!$B$31+'Inputs'!$B$32)/1000+'Inputs'!$B$21))/SQRT((((485-43)*MAX('Inputs'!$B$33,'Inputs'!$B$29+'Inputs'!$B$31+'Inputs'!$B$32,'Inputs'!$B$30+'Inputs'!$B$31+'Inputs'!$B$32)/1000+'Inputs'!$B$21))^2+('Inputs'!$B$8/2)^2)))-'Results'!B7*(1+'Inputs'!$B$24)*(0.5*((((485-43)*MAX('Inputs'!$B$33,'Inputs'!$B$29+'Inputs'!$B$31+'Inputs'!$B$32,'Inputs'!$B$30+'Inputs'!$B$31+'Inputs'!$B$32)/1000+'Inputs'!$B$21+'Inputs'!$B$9+'Inputs'!$B$10)+'Inputs'!$B$7)/SQRT((((485-43)*MAX('Inputs'!$B$33,'Inputs'!$B$29+'Inputs'!$B$31+'Inputs'!$B$32,'Inputs'!$B$30+'Inputs'!$B$31+'Inputs'!$B$32)/1000+'Inputs'!$B$21+'Inputs'!$B$9+'Inputs'!$B$10)+'Inputs'!$B$7)^2+('Inputs'!$B$6/2)^2)-(((485-43)*MAX('Inputs'!$B$33,'Inputs'!$B$29+'Inputs'!$B$31+'Inputs'!$B$32,'Inputs'!$B$30+'Inputs'!$B$31+'Inputs'!$B$32)/1000+'Inputs'!$B$21+'Inputs'!$B$9+'Inputs'!$B$10))/SQRT((((485-43)*MAX('Inputs'!$B$33,'Inputs'!$B$29+'Inputs'!$B$31+'Inputs'!$B$32,'Inputs'!$B$30+'Inputs'!$B$31+'Inputs'!$B$32)/1000+'Inputs'!$B$21+'Inputs'!$B$9+'Inputs'!$B$10))^2+('Inputs'!$B$6/2)^2))))*'Results'!$B$8)-'Inputs'!$B$28*ABS((('Results'!C7*(1-'Inputs'!$B$24)*(0.5*((((485-43)*MAX('Inputs'!$B$33,'Inputs'!$B$29+'Inputs'!$B$31+'Inputs'!$B$32,'Inputs'!$B$30+'Inputs'!$B$31+'Inputs'!$B$32)/1000+'Inputs'!$B$21)+'Inputs'!$B$9)/SQRT((((485-43)*MAX('Inputs'!$B$33,'Inputs'!$B$29+'Inputs'!$B$31+'Inputs'!$B$32,'Inputs'!$B$30+'Inputs'!$B$31+'Inputs'!$B$32)/1000+'Inputs'!$B$21)+'Inputs'!$B$9)^2+('Inputs'!$B$8/2)^2)-(((485-43)*MAX('Inputs'!$B$33,'Inputs'!$B$29+'Inputs'!$B$31+'Inputs'!$B$32,'Inputs'!$B$30+'Inputs'!$B$31+'Inputs'!$B$32)/1000+'Inputs'!$B$21))/SQRT((((485-43)*MAX('Inputs'!$B$33,'Inputs'!$B$29+'Inputs'!$B$31+'Inputs'!$B$32,'Inputs'!$B$30+'Inputs'!$B$31+'Inputs'!$B$32)/1000+'Inputs'!$B$21))^2+('Inputs'!$B$8/2)^2)))-'Results'!B7*(1+'Inputs'!$B$24)*(0.5*((((485-43)*MAX('Inputs'!$B$33,'Inputs'!$B$29+'Inputs'!$B$31+'Inputs'!$B$32,'Inputs'!$B$30+'Inputs'!$B$31+'Inputs'!$B$32)/1000+'Inputs'!$B$21+'Inputs'!$B$9+'Inputs'!$B$10)+'Inputs'!$B$7)/SQRT((((485-43)*MAX('Inputs'!$B$33,'Inputs'!$B$29+'Inputs'!$B$31+'Inputs'!$B$32,'Inputs'!$B$30+'Inputs'!$B$31+'Inputs'!$B$32)/1000+'Inputs'!$B$21+'Inputs'!$B$9+'Inputs'!$B$10)+'Inputs'!$B$7)^2+('Inputs'!$B$6/2)^2)-(((485-43)*MAX('Inputs'!$B$33,'Inputs'!$B$29+'Inputs'!$B$31+'Inputs'!$B$32,'Inputs'!$B$30+'Inputs'!$B$31+'Inputs'!$B$32)/1000+'Inputs'!$B$21+'Inputs'!$B$9+'Inputs'!$B$10))/SQRT((((485-43)*MAX('Inputs'!$B$33,'Inputs'!$B$29+'Inputs'!$B$31+'Inputs'!$B$32,'Inputs'!$B$30+'Inputs'!$B$31+'Inputs'!$B$32)/1000+'Inputs'!$B$21+'Inputs'!$B$9+'Inputs'!$B$10))^2+('Inputs'!$B$6/2)^2))))*'Results'!$B$8))),"")</x:f>
        <x:v>5.28213499498301</x:v>
      </x:c>
      <x:c r="O485" t="n">
        <x:f>IF(AND(ISNUMBER('Results'!C7),ISNUMBER('Results'!B7),ISNUMBER('Results'!$B$8),ISNUMBER('Inputs'!$B$6),ISNUMBER('Inputs'!$B$7),ISNUMBER('Inputs'!$B$8),ISNUMBER('Inputs'!$B$9),ISNUMBER('Inputs'!$B$10),ISNUMBER('Inputs'!$B$21),ISNUMBER('Inputs'!$B$24),ISNUMBER('Inputs'!$B$28)),((('Results'!C7*(1+'Inputs'!$B$24)*(0.5*((((485-43)*MAX('Inputs'!$B$33,'Inputs'!$B$29+'Inputs'!$B$31+'Inputs'!$B$32,'Inputs'!$B$30+'Inputs'!$B$31+'Inputs'!$B$32)/1000+'Inputs'!$B$21)+'Inputs'!$B$9)/SQRT((((485-43)*MAX('Inputs'!$B$33,'Inputs'!$B$29+'Inputs'!$B$31+'Inputs'!$B$32,'Inputs'!$B$30+'Inputs'!$B$31+'Inputs'!$B$32)/1000+'Inputs'!$B$21)+'Inputs'!$B$9)^2+('Inputs'!$B$8/2)^2)-(((485-43)*MAX('Inputs'!$B$33,'Inputs'!$B$29+'Inputs'!$B$31+'Inputs'!$B$32,'Inputs'!$B$30+'Inputs'!$B$31+'Inputs'!$B$32)/1000+'Inputs'!$B$21))/SQRT((((485-43)*MAX('Inputs'!$B$33,'Inputs'!$B$29+'Inputs'!$B$31+'Inputs'!$B$32,'Inputs'!$B$30+'Inputs'!$B$31+'Inputs'!$B$32)/1000+'Inputs'!$B$21))^2+('Inputs'!$B$8/2)^2)))-'Results'!B7*(1-'Inputs'!$B$24)*(0.5*((((485-43)*MAX('Inputs'!$B$33,'Inputs'!$B$29+'Inputs'!$B$31+'Inputs'!$B$32,'Inputs'!$B$30+'Inputs'!$B$31+'Inputs'!$B$32)/1000+'Inputs'!$B$21+'Inputs'!$B$9+'Inputs'!$B$10)+'Inputs'!$B$7)/SQRT((((485-43)*MAX('Inputs'!$B$33,'Inputs'!$B$29+'Inputs'!$B$31+'Inputs'!$B$32,'Inputs'!$B$30+'Inputs'!$B$31+'Inputs'!$B$32)/1000+'Inputs'!$B$21+'Inputs'!$B$9+'Inputs'!$B$10)+'Inputs'!$B$7)^2+('Inputs'!$B$6/2)^2)-(((485-43)*MAX('Inputs'!$B$33,'Inputs'!$B$29+'Inputs'!$B$31+'Inputs'!$B$32,'Inputs'!$B$30+'Inputs'!$B$31+'Inputs'!$B$32)/1000+'Inputs'!$B$21+'Inputs'!$B$9+'Inputs'!$B$10))/SQRT((((485-43)*MAX('Inputs'!$B$33,'Inputs'!$B$29+'Inputs'!$B$31+'Inputs'!$B$32,'Inputs'!$B$30+'Inputs'!$B$31+'Inputs'!$B$32)/1000+'Inputs'!$B$21+'Inputs'!$B$9+'Inputs'!$B$10))^2+('Inputs'!$B$6/2)^2))))*'Results'!$B$8)+'Inputs'!$B$28*ABS((('Results'!C7*(1+'Inputs'!$B$24)*(0.5*((((485-43)*MAX('Inputs'!$B$33,'Inputs'!$B$29+'Inputs'!$B$31+'Inputs'!$B$32,'Inputs'!$B$30+'Inputs'!$B$31+'Inputs'!$B$32)/1000+'Inputs'!$B$21)+'Inputs'!$B$9)/SQRT((((485-43)*MAX('Inputs'!$B$33,'Inputs'!$B$29+'Inputs'!$B$31+'Inputs'!$B$32,'Inputs'!$B$30+'Inputs'!$B$31+'Inputs'!$B$32)/1000+'Inputs'!$B$21)+'Inputs'!$B$9)^2+('Inputs'!$B$8/2)^2)-(((485-43)*MAX('Inputs'!$B$33,'Inputs'!$B$29+'Inputs'!$B$31+'Inputs'!$B$32,'Inputs'!$B$30+'Inputs'!$B$31+'Inputs'!$B$32)/1000+'Inputs'!$B$21))/SQRT((((485-43)*MAX('Inputs'!$B$33,'Inputs'!$B$29+'Inputs'!$B$31+'Inputs'!$B$32,'Inputs'!$B$30+'Inputs'!$B$31+'Inputs'!$B$32)/1000+'Inputs'!$B$21))^2+('Inputs'!$B$8/2)^2)))-'Results'!B7*(1-'Inputs'!$B$24)*(0.5*((((485-43)*MAX('Inputs'!$B$33,'Inputs'!$B$29+'Inputs'!$B$31+'Inputs'!$B$32,'Inputs'!$B$30+'Inputs'!$B$31+'Inputs'!$B$32)/1000+'Inputs'!$B$21+'Inputs'!$B$9+'Inputs'!$B$10)+'Inputs'!$B$7)/SQRT((((485-43)*MAX('Inputs'!$B$33,'Inputs'!$B$29+'Inputs'!$B$31+'Inputs'!$B$32,'Inputs'!$B$30+'Inputs'!$B$31+'Inputs'!$B$32)/1000+'Inputs'!$B$21+'Inputs'!$B$9+'Inputs'!$B$10)+'Inputs'!$B$7)^2+('Inputs'!$B$6/2)^2)-(((485-43)*MAX('Inputs'!$B$33,'Inputs'!$B$29+'Inputs'!$B$31+'Inputs'!$B$32,'Inputs'!$B$30+'Inputs'!$B$31+'Inputs'!$B$32)/1000+'Inputs'!$B$21+'Inputs'!$B$9+'Inputs'!$B$10))/SQRT((((485-43)*MAX('Inputs'!$B$33,'Inputs'!$B$29+'Inputs'!$B$31+'Inputs'!$B$32,'Inputs'!$B$30+'Inputs'!$B$31+'Inputs'!$B$32)/1000+'Inputs'!$B$21+'Inputs'!$B$9+'Inputs'!$B$10))^2+('Inputs'!$B$6/2)^2))))*'Results'!$B$8))),"")</x:f>
        <x:v>6.656433387480218</x:v>
      </x:c>
      <x:c r="P485" t="n">
        <x:f>IF(AND(MAX(J485,J484)&gt;0,J485&gt;J484+0.00000001),1,0)</x:f>
        <x:v>0</x:v>
      </x:c>
      <x:c r="Q485" t="n">
        <x:f>IF(AND(MAX(K485,K484)&gt;0,K485&gt;K484+0.00000001),1,0)</x:f>
        <x:v>0</x:v>
      </x:c>
      <x:c r="R485" t="n">
        <x:f>IF(AND(MAX(L485,L484)&gt;0,L485&gt;L484+0.00000001),1,0)</x:f>
        <x:v>0</x:v>
      </x:c>
      <x:c r="S485" t="n">
        <x:f>IF(AND(MAX(M485,M484)&gt;0,M485&gt;M484+0.00000001),1,0)</x:f>
        <x:v>0</x:v>
      </x:c>
      <x:c r="T485" t="n">
        <x:f>IF(AND(MAX(N485,N484)&gt;0,N485&gt;N484+0.00000001),1,0)</x:f>
        <x:v>0</x:v>
      </x:c>
      <x:c r="U485" t="n">
        <x:f>IF(AND(MAX(O485,O484)&gt;0,O485&gt;O484+0.00000001),1,0)</x:f>
        <x:v>0</x:v>
      </x:c>
    </x:row>
    <x:row r="486">
      <x:c r="J486" t="n">
        <x:f>IF(AND(ISNUMBER('Results'!B7),ISNUMBER('Results'!C7),ISNUMBER('Results'!$B$8),ISNUMBER('Inputs'!$B$6),ISNUMBER('Inputs'!$B$7),ISNUMBER('Inputs'!$B$8),ISNUMBER('Inputs'!$B$9),ISNUMBER('Inputs'!$B$10),ISNUMBER('Inputs'!$B$21),ISNUMBER('Inputs'!$B$24),ISNUMBER('Inputs'!$B$28)),(('Results'!B7*(0.5*((((486-43)*MAX('Inputs'!$B$33,'Inputs'!$B$29+'Inputs'!$B$31+'Inputs'!$B$32,'Inputs'!$B$30+'Inputs'!$B$31+'Inputs'!$B$32)/1000+'Inputs'!$B$21)+'Inputs'!$B$7)/SQRT((((486-43)*MAX('Inputs'!$B$33,'Inputs'!$B$29+'Inputs'!$B$31+'Inputs'!$B$32,'Inputs'!$B$30+'Inputs'!$B$31+'Inputs'!$B$32)/1000+'Inputs'!$B$21)+'Inputs'!$B$7)^2+('Inputs'!$B$6/2)^2)-(((486-43)*MAX('Inputs'!$B$33,'Inputs'!$B$29+'Inputs'!$B$31+'Inputs'!$B$32,'Inputs'!$B$30+'Inputs'!$B$31+'Inputs'!$B$32)/1000+'Inputs'!$B$21))/SQRT((((486-43)*MAX('Inputs'!$B$33,'Inputs'!$B$29+'Inputs'!$B$31+'Inputs'!$B$32,'Inputs'!$B$30+'Inputs'!$B$31+'Inputs'!$B$32)/1000+'Inputs'!$B$21))^2+('Inputs'!$B$6/2)^2)))-'Results'!C7*(0.5*((((486-43)*MAX('Inputs'!$B$33,'Inputs'!$B$29+'Inputs'!$B$31+'Inputs'!$B$32,'Inputs'!$B$30+'Inputs'!$B$31+'Inputs'!$B$32)/1000+'Inputs'!$B$21+'Inputs'!$B$7+'Inputs'!$B$10)+'Inputs'!$B$9)/SQRT((((486-43)*MAX('Inputs'!$B$33,'Inputs'!$B$29+'Inputs'!$B$31+'Inputs'!$B$32,'Inputs'!$B$30+'Inputs'!$B$31+'Inputs'!$B$32)/1000+'Inputs'!$B$21+'Inputs'!$B$7+'Inputs'!$B$10)+'Inputs'!$B$9)^2+('Inputs'!$B$8/2)^2)-(((486-43)*MAX('Inputs'!$B$33,'Inputs'!$B$29+'Inputs'!$B$31+'Inputs'!$B$32,'Inputs'!$B$30+'Inputs'!$B$31+'Inputs'!$B$32)/1000+'Inputs'!$B$21+'Inputs'!$B$7+'Inputs'!$B$10))/SQRT((((486-43)*MAX('Inputs'!$B$33,'Inputs'!$B$29+'Inputs'!$B$31+'Inputs'!$B$32,'Inputs'!$B$30+'Inputs'!$B$31+'Inputs'!$B$32)/1000+'Inputs'!$B$21+'Inputs'!$B$7+'Inputs'!$B$10))^2+('Inputs'!$B$8/2)^2))))*'Results'!$B$8),"")</x:f>
        <x:v>6.2967410702165925</x:v>
      </x:c>
      <x:c r="K486" t="n">
        <x:f>IF(AND(ISNUMBER('Results'!B7),ISNUMBER('Results'!C7),ISNUMBER('Results'!$B$8),ISNUMBER('Inputs'!$B$6),ISNUMBER('Inputs'!$B$7),ISNUMBER('Inputs'!$B$8),ISNUMBER('Inputs'!$B$9),ISNUMBER('Inputs'!$B$10),ISNUMBER('Inputs'!$B$21),ISNUMBER('Inputs'!$B$24),ISNUMBER('Inputs'!$B$28)),((('Results'!B7*(1-'Inputs'!$B$24)*(0.5*((((486-43)*MAX('Inputs'!$B$33,'Inputs'!$B$29+'Inputs'!$B$31+'Inputs'!$B$32,'Inputs'!$B$30+'Inputs'!$B$31+'Inputs'!$B$32)/1000+'Inputs'!$B$21)+'Inputs'!$B$7)/SQRT((((486-43)*MAX('Inputs'!$B$33,'Inputs'!$B$29+'Inputs'!$B$31+'Inputs'!$B$32,'Inputs'!$B$30+'Inputs'!$B$31+'Inputs'!$B$32)/1000+'Inputs'!$B$21)+'Inputs'!$B$7)^2+('Inputs'!$B$6/2)^2)-(((486-43)*MAX('Inputs'!$B$33,'Inputs'!$B$29+'Inputs'!$B$31+'Inputs'!$B$32,'Inputs'!$B$30+'Inputs'!$B$31+'Inputs'!$B$32)/1000+'Inputs'!$B$21))/SQRT((((486-43)*MAX('Inputs'!$B$33,'Inputs'!$B$29+'Inputs'!$B$31+'Inputs'!$B$32,'Inputs'!$B$30+'Inputs'!$B$31+'Inputs'!$B$32)/1000+'Inputs'!$B$21))^2+('Inputs'!$B$6/2)^2)))-'Results'!C7*(1+'Inputs'!$B$24)*(0.5*((((486-43)*MAX('Inputs'!$B$33,'Inputs'!$B$29+'Inputs'!$B$31+'Inputs'!$B$32,'Inputs'!$B$30+'Inputs'!$B$31+'Inputs'!$B$32)/1000+'Inputs'!$B$21+'Inputs'!$B$7+'Inputs'!$B$10)+'Inputs'!$B$9)/SQRT((((486-43)*MAX('Inputs'!$B$33,'Inputs'!$B$29+'Inputs'!$B$31+'Inputs'!$B$32,'Inputs'!$B$30+'Inputs'!$B$31+'Inputs'!$B$32)/1000+'Inputs'!$B$21+'Inputs'!$B$7+'Inputs'!$B$10)+'Inputs'!$B$9)^2+('Inputs'!$B$8/2)^2)-(((486-43)*MAX('Inputs'!$B$33,'Inputs'!$B$29+'Inputs'!$B$31+'Inputs'!$B$32,'Inputs'!$B$30+'Inputs'!$B$31+'Inputs'!$B$32)/1000+'Inputs'!$B$21+'Inputs'!$B$7+'Inputs'!$B$10))/SQRT((((486-43)*MAX('Inputs'!$B$33,'Inputs'!$B$29+'Inputs'!$B$31+'Inputs'!$B$32,'Inputs'!$B$30+'Inputs'!$B$31+'Inputs'!$B$32)/1000+'Inputs'!$B$21+'Inputs'!$B$7+'Inputs'!$B$10))^2+('Inputs'!$B$8/2)^2))))*'Results'!$B$8)-'Inputs'!$B$28*ABS((('Results'!B7*(1-'Inputs'!$B$24)*(0.5*((((486-43)*MAX('Inputs'!$B$33,'Inputs'!$B$29+'Inputs'!$B$31+'Inputs'!$B$32,'Inputs'!$B$30+'Inputs'!$B$31+'Inputs'!$B$32)/1000+'Inputs'!$B$21)+'Inputs'!$B$7)/SQRT((((486-43)*MAX('Inputs'!$B$33,'Inputs'!$B$29+'Inputs'!$B$31+'Inputs'!$B$32,'Inputs'!$B$30+'Inputs'!$B$31+'Inputs'!$B$32)/1000+'Inputs'!$B$21)+'Inputs'!$B$7)^2+('Inputs'!$B$6/2)^2)-(((486-43)*MAX('Inputs'!$B$33,'Inputs'!$B$29+'Inputs'!$B$31+'Inputs'!$B$32,'Inputs'!$B$30+'Inputs'!$B$31+'Inputs'!$B$32)/1000+'Inputs'!$B$21))/SQRT((((486-43)*MAX('Inputs'!$B$33,'Inputs'!$B$29+'Inputs'!$B$31+'Inputs'!$B$32,'Inputs'!$B$30+'Inputs'!$B$31+'Inputs'!$B$32)/1000+'Inputs'!$B$21))^2+('Inputs'!$B$6/2)^2)))-'Results'!C7*(1+'Inputs'!$B$24)*(0.5*((((486-43)*MAX('Inputs'!$B$33,'Inputs'!$B$29+'Inputs'!$B$31+'Inputs'!$B$32,'Inputs'!$B$30+'Inputs'!$B$31+'Inputs'!$B$32)/1000+'Inputs'!$B$21+'Inputs'!$B$7+'Inputs'!$B$10)+'Inputs'!$B$9)/SQRT((((486-43)*MAX('Inputs'!$B$33,'Inputs'!$B$29+'Inputs'!$B$31+'Inputs'!$B$32,'Inputs'!$B$30+'Inputs'!$B$31+'Inputs'!$B$32)/1000+'Inputs'!$B$21+'Inputs'!$B$7+'Inputs'!$B$10)+'Inputs'!$B$9)^2+('Inputs'!$B$8/2)^2)-(((486-43)*MAX('Inputs'!$B$33,'Inputs'!$B$29+'Inputs'!$B$31+'Inputs'!$B$32,'Inputs'!$B$30+'Inputs'!$B$31+'Inputs'!$B$32)/1000+'Inputs'!$B$21+'Inputs'!$B$7+'Inputs'!$B$10))/SQRT((((486-43)*MAX('Inputs'!$B$33,'Inputs'!$B$29+'Inputs'!$B$31+'Inputs'!$B$32,'Inputs'!$B$30+'Inputs'!$B$31+'Inputs'!$B$32)/1000+'Inputs'!$B$21+'Inputs'!$B$7+'Inputs'!$B$10))^2+('Inputs'!$B$8/2)^2))))*'Results'!$B$8))),"")</x:f>
        <x:v>5.611562955769696</x:v>
      </x:c>
      <x:c r="L486" t="n">
        <x:f>IF(AND(ISNUMBER('Results'!B7),ISNUMBER('Results'!C7),ISNUMBER('Results'!$B$8),ISNUMBER('Inputs'!$B$6),ISNUMBER('Inputs'!$B$7),ISNUMBER('Inputs'!$B$8),ISNUMBER('Inputs'!$B$9),ISNUMBER('Inputs'!$B$10),ISNUMBER('Inputs'!$B$21),ISNUMBER('Inputs'!$B$24),ISNUMBER('Inputs'!$B$28)),((('Results'!B7*(1+'Inputs'!$B$24)*(0.5*((((486-43)*MAX('Inputs'!$B$33,'Inputs'!$B$29+'Inputs'!$B$31+'Inputs'!$B$32,'Inputs'!$B$30+'Inputs'!$B$31+'Inputs'!$B$32)/1000+'Inputs'!$B$21)+'Inputs'!$B$7)/SQRT((((486-43)*MAX('Inputs'!$B$33,'Inputs'!$B$29+'Inputs'!$B$31+'Inputs'!$B$32,'Inputs'!$B$30+'Inputs'!$B$31+'Inputs'!$B$32)/1000+'Inputs'!$B$21)+'Inputs'!$B$7)^2+('Inputs'!$B$6/2)^2)-(((486-43)*MAX('Inputs'!$B$33,'Inputs'!$B$29+'Inputs'!$B$31+'Inputs'!$B$32,'Inputs'!$B$30+'Inputs'!$B$31+'Inputs'!$B$32)/1000+'Inputs'!$B$21))/SQRT((((486-43)*MAX('Inputs'!$B$33,'Inputs'!$B$29+'Inputs'!$B$31+'Inputs'!$B$32,'Inputs'!$B$30+'Inputs'!$B$31+'Inputs'!$B$32)/1000+'Inputs'!$B$21))^2+('Inputs'!$B$6/2)^2)))-'Results'!C7*(1-'Inputs'!$B$24)*(0.5*((((486-43)*MAX('Inputs'!$B$33,'Inputs'!$B$29+'Inputs'!$B$31+'Inputs'!$B$32,'Inputs'!$B$30+'Inputs'!$B$31+'Inputs'!$B$32)/1000+'Inputs'!$B$21+'Inputs'!$B$7+'Inputs'!$B$10)+'Inputs'!$B$9)/SQRT((((486-43)*MAX('Inputs'!$B$33,'Inputs'!$B$29+'Inputs'!$B$31+'Inputs'!$B$32,'Inputs'!$B$30+'Inputs'!$B$31+'Inputs'!$B$32)/1000+'Inputs'!$B$21+'Inputs'!$B$7+'Inputs'!$B$10)+'Inputs'!$B$9)^2+('Inputs'!$B$8/2)^2)-(((486-43)*MAX('Inputs'!$B$33,'Inputs'!$B$29+'Inputs'!$B$31+'Inputs'!$B$32,'Inputs'!$B$30+'Inputs'!$B$31+'Inputs'!$B$32)/1000+'Inputs'!$B$21+'Inputs'!$B$7+'Inputs'!$B$10))/SQRT((((486-43)*MAX('Inputs'!$B$33,'Inputs'!$B$29+'Inputs'!$B$31+'Inputs'!$B$32,'Inputs'!$B$30+'Inputs'!$B$31+'Inputs'!$B$32)/1000+'Inputs'!$B$21+'Inputs'!$B$7+'Inputs'!$B$10))^2+('Inputs'!$B$8/2)^2))))*'Results'!$B$8)+'Inputs'!$B$28*ABS((('Results'!B7*(1+'Inputs'!$B$24)*(0.5*((((486-43)*MAX('Inputs'!$B$33,'Inputs'!$B$29+'Inputs'!$B$31+'Inputs'!$B$32,'Inputs'!$B$30+'Inputs'!$B$31+'Inputs'!$B$32)/1000+'Inputs'!$B$21)+'Inputs'!$B$7)/SQRT((((486-43)*MAX('Inputs'!$B$33,'Inputs'!$B$29+'Inputs'!$B$31+'Inputs'!$B$32,'Inputs'!$B$30+'Inputs'!$B$31+'Inputs'!$B$32)/1000+'Inputs'!$B$21)+'Inputs'!$B$7)^2+('Inputs'!$B$6/2)^2)-(((486-43)*MAX('Inputs'!$B$33,'Inputs'!$B$29+'Inputs'!$B$31+'Inputs'!$B$32,'Inputs'!$B$30+'Inputs'!$B$31+'Inputs'!$B$32)/1000+'Inputs'!$B$21))/SQRT((((486-43)*MAX('Inputs'!$B$33,'Inputs'!$B$29+'Inputs'!$B$31+'Inputs'!$B$32,'Inputs'!$B$30+'Inputs'!$B$31+'Inputs'!$B$32)/1000+'Inputs'!$B$21))^2+('Inputs'!$B$6/2)^2)))-'Results'!C7*(1-'Inputs'!$B$24)*(0.5*((((486-43)*MAX('Inputs'!$B$33,'Inputs'!$B$29+'Inputs'!$B$31+'Inputs'!$B$32,'Inputs'!$B$30+'Inputs'!$B$31+'Inputs'!$B$32)/1000+'Inputs'!$B$21+'Inputs'!$B$7+'Inputs'!$B$10)+'Inputs'!$B$9)/SQRT((((486-43)*MAX('Inputs'!$B$33,'Inputs'!$B$29+'Inputs'!$B$31+'Inputs'!$B$32,'Inputs'!$B$30+'Inputs'!$B$31+'Inputs'!$B$32)/1000+'Inputs'!$B$21+'Inputs'!$B$7+'Inputs'!$B$10)+'Inputs'!$B$9)^2+('Inputs'!$B$8/2)^2)-(((486-43)*MAX('Inputs'!$B$33,'Inputs'!$B$29+'Inputs'!$B$31+'Inputs'!$B$32,'Inputs'!$B$30+'Inputs'!$B$31+'Inputs'!$B$32)/1000+'Inputs'!$B$21+'Inputs'!$B$7+'Inputs'!$B$10))/SQRT((((486-43)*MAX('Inputs'!$B$33,'Inputs'!$B$29+'Inputs'!$B$31+'Inputs'!$B$32,'Inputs'!$B$30+'Inputs'!$B$31+'Inputs'!$B$32)/1000+'Inputs'!$B$21+'Inputs'!$B$7+'Inputs'!$B$10))^2+('Inputs'!$B$8/2)^2))))*'Results'!$B$8))),"")</x:f>
        <x:v>7.020902454235707</x:v>
      </x:c>
      <x:c r="M486" t="n">
        <x:f>IF(AND(ISNUMBER('Results'!C7),ISNUMBER('Results'!B7),ISNUMBER('Results'!$B$8),ISNUMBER('Inputs'!$B$6),ISNUMBER('Inputs'!$B$7),ISNUMBER('Inputs'!$B$8),ISNUMBER('Inputs'!$B$9),ISNUMBER('Inputs'!$B$10),ISNUMBER('Inputs'!$B$21),ISNUMBER('Inputs'!$B$24),ISNUMBER('Inputs'!$B$28)),(('Results'!C7*(0.5*((((486-43)*MAX('Inputs'!$B$33,'Inputs'!$B$29+'Inputs'!$B$31+'Inputs'!$B$32,'Inputs'!$B$30+'Inputs'!$B$31+'Inputs'!$B$32)/1000+'Inputs'!$B$21)+'Inputs'!$B$9)/SQRT((((486-43)*MAX('Inputs'!$B$33,'Inputs'!$B$29+'Inputs'!$B$31+'Inputs'!$B$32,'Inputs'!$B$30+'Inputs'!$B$31+'Inputs'!$B$32)/1000+'Inputs'!$B$21)+'Inputs'!$B$9)^2+('Inputs'!$B$8/2)^2)-(((486-43)*MAX('Inputs'!$B$33,'Inputs'!$B$29+'Inputs'!$B$31+'Inputs'!$B$32,'Inputs'!$B$30+'Inputs'!$B$31+'Inputs'!$B$32)/1000+'Inputs'!$B$21))/SQRT((((486-43)*MAX('Inputs'!$B$33,'Inputs'!$B$29+'Inputs'!$B$31+'Inputs'!$B$32,'Inputs'!$B$30+'Inputs'!$B$31+'Inputs'!$B$32)/1000+'Inputs'!$B$21))^2+('Inputs'!$B$8/2)^2)))-'Results'!B7*(0.5*((((486-43)*MAX('Inputs'!$B$33,'Inputs'!$B$29+'Inputs'!$B$31+'Inputs'!$B$32,'Inputs'!$B$30+'Inputs'!$B$31+'Inputs'!$B$32)/1000+'Inputs'!$B$21+'Inputs'!$B$9+'Inputs'!$B$10)+'Inputs'!$B$7)/SQRT((((486-43)*MAX('Inputs'!$B$33,'Inputs'!$B$29+'Inputs'!$B$31+'Inputs'!$B$32,'Inputs'!$B$30+'Inputs'!$B$31+'Inputs'!$B$32)/1000+'Inputs'!$B$21+'Inputs'!$B$9+'Inputs'!$B$10)+'Inputs'!$B$7)^2+('Inputs'!$B$6/2)^2)-(((486-43)*MAX('Inputs'!$B$33,'Inputs'!$B$29+'Inputs'!$B$31+'Inputs'!$B$32,'Inputs'!$B$30+'Inputs'!$B$31+'Inputs'!$B$32)/1000+'Inputs'!$B$21+'Inputs'!$B$9+'Inputs'!$B$10))/SQRT((((486-43)*MAX('Inputs'!$B$33,'Inputs'!$B$29+'Inputs'!$B$31+'Inputs'!$B$32,'Inputs'!$B$30+'Inputs'!$B$31+'Inputs'!$B$32)/1000+'Inputs'!$B$21+'Inputs'!$B$9+'Inputs'!$B$10))^2+('Inputs'!$B$6/2)^2))))*'Results'!$B$8),"")</x:f>
        <x:v>5.904215539042195</x:v>
      </x:c>
      <x:c r="N486" t="n">
        <x:f>IF(AND(ISNUMBER('Results'!C7),ISNUMBER('Results'!B7),ISNUMBER('Results'!$B$8),ISNUMBER('Inputs'!$B$6),ISNUMBER('Inputs'!$B$7),ISNUMBER('Inputs'!$B$8),ISNUMBER('Inputs'!$B$9),ISNUMBER('Inputs'!$B$10),ISNUMBER('Inputs'!$B$21),ISNUMBER('Inputs'!$B$24),ISNUMBER('Inputs'!$B$28)),((('Results'!C7*(1-'Inputs'!$B$24)*(0.5*((((486-43)*MAX('Inputs'!$B$33,'Inputs'!$B$29+'Inputs'!$B$31+'Inputs'!$B$32,'Inputs'!$B$30+'Inputs'!$B$31+'Inputs'!$B$32)/1000+'Inputs'!$B$21)+'Inputs'!$B$9)/SQRT((((486-43)*MAX('Inputs'!$B$33,'Inputs'!$B$29+'Inputs'!$B$31+'Inputs'!$B$32,'Inputs'!$B$30+'Inputs'!$B$31+'Inputs'!$B$32)/1000+'Inputs'!$B$21)+'Inputs'!$B$9)^2+('Inputs'!$B$8/2)^2)-(((486-43)*MAX('Inputs'!$B$33,'Inputs'!$B$29+'Inputs'!$B$31+'Inputs'!$B$32,'Inputs'!$B$30+'Inputs'!$B$31+'Inputs'!$B$32)/1000+'Inputs'!$B$21))/SQRT((((486-43)*MAX('Inputs'!$B$33,'Inputs'!$B$29+'Inputs'!$B$31+'Inputs'!$B$32,'Inputs'!$B$30+'Inputs'!$B$31+'Inputs'!$B$32)/1000+'Inputs'!$B$21))^2+('Inputs'!$B$8/2)^2)))-'Results'!B7*(1+'Inputs'!$B$24)*(0.5*((((486-43)*MAX('Inputs'!$B$33,'Inputs'!$B$29+'Inputs'!$B$31+'Inputs'!$B$32,'Inputs'!$B$30+'Inputs'!$B$31+'Inputs'!$B$32)/1000+'Inputs'!$B$21+'Inputs'!$B$9+'Inputs'!$B$10)+'Inputs'!$B$7)/SQRT((((486-43)*MAX('Inputs'!$B$33,'Inputs'!$B$29+'Inputs'!$B$31+'Inputs'!$B$32,'Inputs'!$B$30+'Inputs'!$B$31+'Inputs'!$B$32)/1000+'Inputs'!$B$21+'Inputs'!$B$9+'Inputs'!$B$10)+'Inputs'!$B$7)^2+('Inputs'!$B$6/2)^2)-(((486-43)*MAX('Inputs'!$B$33,'Inputs'!$B$29+'Inputs'!$B$31+'Inputs'!$B$32,'Inputs'!$B$30+'Inputs'!$B$31+'Inputs'!$B$32)/1000+'Inputs'!$B$21+'Inputs'!$B$9+'Inputs'!$B$10))/SQRT((((486-43)*MAX('Inputs'!$B$33,'Inputs'!$B$29+'Inputs'!$B$31+'Inputs'!$B$32,'Inputs'!$B$30+'Inputs'!$B$31+'Inputs'!$B$32)/1000+'Inputs'!$B$21+'Inputs'!$B$9+'Inputs'!$B$10))^2+('Inputs'!$B$6/2)^2))))*'Results'!$B$8)-'Inputs'!$B$28*ABS((('Results'!C7*(1-'Inputs'!$B$24)*(0.5*((((486-43)*MAX('Inputs'!$B$33,'Inputs'!$B$29+'Inputs'!$B$31+'Inputs'!$B$32,'Inputs'!$B$30+'Inputs'!$B$31+'Inputs'!$B$32)/1000+'Inputs'!$B$21)+'Inputs'!$B$9)/SQRT((((486-43)*MAX('Inputs'!$B$33,'Inputs'!$B$29+'Inputs'!$B$31+'Inputs'!$B$32,'Inputs'!$B$30+'Inputs'!$B$31+'Inputs'!$B$32)/1000+'Inputs'!$B$21)+'Inputs'!$B$9)^2+('Inputs'!$B$8/2)^2)-(((486-43)*MAX('Inputs'!$B$33,'Inputs'!$B$29+'Inputs'!$B$31+'Inputs'!$B$32,'Inputs'!$B$30+'Inputs'!$B$31+'Inputs'!$B$32)/1000+'Inputs'!$B$21))/SQRT((((486-43)*MAX('Inputs'!$B$33,'Inputs'!$B$29+'Inputs'!$B$31+'Inputs'!$B$32,'Inputs'!$B$30+'Inputs'!$B$31+'Inputs'!$B$32)/1000+'Inputs'!$B$21))^2+('Inputs'!$B$8/2)^2)))-'Results'!B7*(1+'Inputs'!$B$24)*(0.5*((((486-43)*MAX('Inputs'!$B$33,'Inputs'!$B$29+'Inputs'!$B$31+'Inputs'!$B$32,'Inputs'!$B$30+'Inputs'!$B$31+'Inputs'!$B$32)/1000+'Inputs'!$B$21+'Inputs'!$B$9+'Inputs'!$B$10)+'Inputs'!$B$7)/SQRT((((486-43)*MAX('Inputs'!$B$33,'Inputs'!$B$29+'Inputs'!$B$31+'Inputs'!$B$32,'Inputs'!$B$30+'Inputs'!$B$31+'Inputs'!$B$32)/1000+'Inputs'!$B$21+'Inputs'!$B$9+'Inputs'!$B$10)+'Inputs'!$B$7)^2+('Inputs'!$B$6/2)^2)-(((486-43)*MAX('Inputs'!$B$33,'Inputs'!$B$29+'Inputs'!$B$31+'Inputs'!$B$32,'Inputs'!$B$30+'Inputs'!$B$31+'Inputs'!$B$32)/1000+'Inputs'!$B$21+'Inputs'!$B$9+'Inputs'!$B$10))/SQRT((((486-43)*MAX('Inputs'!$B$33,'Inputs'!$B$29+'Inputs'!$B$31+'Inputs'!$B$32,'Inputs'!$B$30+'Inputs'!$B$31+'Inputs'!$B$32)/1000+'Inputs'!$B$21+'Inputs'!$B$9+'Inputs'!$B$10))^2+('Inputs'!$B$6/2)^2))))*'Results'!$B$8))),"")</x:f>
        <x:v>5.2410052988871065</x:v>
      </x:c>
      <x:c r="O486" t="n">
        <x:f>IF(AND(ISNUMBER('Results'!C7),ISNUMBER('Results'!B7),ISNUMBER('Results'!$B$8),ISNUMBER('Inputs'!$B$6),ISNUMBER('Inputs'!$B$7),ISNUMBER('Inputs'!$B$8),ISNUMBER('Inputs'!$B$9),ISNUMBER('Inputs'!$B$10),ISNUMBER('Inputs'!$B$21),ISNUMBER('Inputs'!$B$24),ISNUMBER('Inputs'!$B$28)),((('Results'!C7*(1+'Inputs'!$B$24)*(0.5*((((486-43)*MAX('Inputs'!$B$33,'Inputs'!$B$29+'Inputs'!$B$31+'Inputs'!$B$32,'Inputs'!$B$30+'Inputs'!$B$31+'Inputs'!$B$32)/1000+'Inputs'!$B$21)+'Inputs'!$B$9)/SQRT((((486-43)*MAX('Inputs'!$B$33,'Inputs'!$B$29+'Inputs'!$B$31+'Inputs'!$B$32,'Inputs'!$B$30+'Inputs'!$B$31+'Inputs'!$B$32)/1000+'Inputs'!$B$21)+'Inputs'!$B$9)^2+('Inputs'!$B$8/2)^2)-(((486-43)*MAX('Inputs'!$B$33,'Inputs'!$B$29+'Inputs'!$B$31+'Inputs'!$B$32,'Inputs'!$B$30+'Inputs'!$B$31+'Inputs'!$B$32)/1000+'Inputs'!$B$21))/SQRT((((486-43)*MAX('Inputs'!$B$33,'Inputs'!$B$29+'Inputs'!$B$31+'Inputs'!$B$32,'Inputs'!$B$30+'Inputs'!$B$31+'Inputs'!$B$32)/1000+'Inputs'!$B$21))^2+('Inputs'!$B$8/2)^2)))-'Results'!B7*(1-'Inputs'!$B$24)*(0.5*((((486-43)*MAX('Inputs'!$B$33,'Inputs'!$B$29+'Inputs'!$B$31+'Inputs'!$B$32,'Inputs'!$B$30+'Inputs'!$B$31+'Inputs'!$B$32)/1000+'Inputs'!$B$21+'Inputs'!$B$9+'Inputs'!$B$10)+'Inputs'!$B$7)/SQRT((((486-43)*MAX('Inputs'!$B$33,'Inputs'!$B$29+'Inputs'!$B$31+'Inputs'!$B$32,'Inputs'!$B$30+'Inputs'!$B$31+'Inputs'!$B$32)/1000+'Inputs'!$B$21+'Inputs'!$B$9+'Inputs'!$B$10)+'Inputs'!$B$7)^2+('Inputs'!$B$6/2)^2)-(((486-43)*MAX('Inputs'!$B$33,'Inputs'!$B$29+'Inputs'!$B$31+'Inputs'!$B$32,'Inputs'!$B$30+'Inputs'!$B$31+'Inputs'!$B$32)/1000+'Inputs'!$B$21+'Inputs'!$B$9+'Inputs'!$B$10))/SQRT((((486-43)*MAX('Inputs'!$B$33,'Inputs'!$B$29+'Inputs'!$B$31+'Inputs'!$B$32,'Inputs'!$B$30+'Inputs'!$B$31+'Inputs'!$B$32)/1000+'Inputs'!$B$21+'Inputs'!$B$9+'Inputs'!$B$10))^2+('Inputs'!$B$6/2)^2))))*'Results'!$B$8)+'Inputs'!$B$28*ABS((('Results'!C7*(1+'Inputs'!$B$24)*(0.5*((((486-43)*MAX('Inputs'!$B$33,'Inputs'!$B$29+'Inputs'!$B$31+'Inputs'!$B$32,'Inputs'!$B$30+'Inputs'!$B$31+'Inputs'!$B$32)/1000+'Inputs'!$B$21)+'Inputs'!$B$9)/SQRT((((486-43)*MAX('Inputs'!$B$33,'Inputs'!$B$29+'Inputs'!$B$31+'Inputs'!$B$32,'Inputs'!$B$30+'Inputs'!$B$31+'Inputs'!$B$32)/1000+'Inputs'!$B$21)+'Inputs'!$B$9)^2+('Inputs'!$B$8/2)^2)-(((486-43)*MAX('Inputs'!$B$33,'Inputs'!$B$29+'Inputs'!$B$31+'Inputs'!$B$32,'Inputs'!$B$30+'Inputs'!$B$31+'Inputs'!$B$32)/1000+'Inputs'!$B$21))/SQRT((((486-43)*MAX('Inputs'!$B$33,'Inputs'!$B$29+'Inputs'!$B$31+'Inputs'!$B$32,'Inputs'!$B$30+'Inputs'!$B$31+'Inputs'!$B$32)/1000+'Inputs'!$B$21))^2+('Inputs'!$B$8/2)^2)))-'Results'!B7*(1-'Inputs'!$B$24)*(0.5*((((486-43)*MAX('Inputs'!$B$33,'Inputs'!$B$29+'Inputs'!$B$31+'Inputs'!$B$32,'Inputs'!$B$30+'Inputs'!$B$31+'Inputs'!$B$32)/1000+'Inputs'!$B$21+'Inputs'!$B$9+'Inputs'!$B$10)+'Inputs'!$B$7)/SQRT((((486-43)*MAX('Inputs'!$B$33,'Inputs'!$B$29+'Inputs'!$B$31+'Inputs'!$B$32,'Inputs'!$B$30+'Inputs'!$B$31+'Inputs'!$B$32)/1000+'Inputs'!$B$21+'Inputs'!$B$9+'Inputs'!$B$10)+'Inputs'!$B$7)^2+('Inputs'!$B$6/2)^2)-(((486-43)*MAX('Inputs'!$B$33,'Inputs'!$B$29+'Inputs'!$B$31+'Inputs'!$B$32,'Inputs'!$B$30+'Inputs'!$B$31+'Inputs'!$B$32)/1000+'Inputs'!$B$21+'Inputs'!$B$9+'Inputs'!$B$10))/SQRT((((486-43)*MAX('Inputs'!$B$33,'Inputs'!$B$29+'Inputs'!$B$31+'Inputs'!$B$32,'Inputs'!$B$30+'Inputs'!$B$31+'Inputs'!$B$32)/1000+'Inputs'!$B$21+'Inputs'!$B$9+'Inputs'!$B$10))^2+('Inputs'!$B$6/2)^2))))*'Results'!$B$8))),"")</x:f>
        <x:v>6.606162564797595</x:v>
      </x:c>
      <x:c r="P486" t="n">
        <x:f>IF(AND(MAX(J486,J485)&gt;0,J486&gt;J485+0.00000001),1,0)</x:f>
        <x:v>0</x:v>
      </x:c>
      <x:c r="Q486" t="n">
        <x:f>IF(AND(MAX(K486,K485)&gt;0,K486&gt;K485+0.00000001),1,0)</x:f>
        <x:v>0</x:v>
      </x:c>
      <x:c r="R486" t="n">
        <x:f>IF(AND(MAX(L486,L485)&gt;0,L486&gt;L485+0.00000001),1,0)</x:f>
        <x:v>0</x:v>
      </x:c>
      <x:c r="S486" t="n">
        <x:f>IF(AND(MAX(M486,M485)&gt;0,M486&gt;M485+0.00000001),1,0)</x:f>
        <x:v>0</x:v>
      </x:c>
      <x:c r="T486" t="n">
        <x:f>IF(AND(MAX(N486,N485)&gt;0,N486&gt;N485+0.00000001),1,0)</x:f>
        <x:v>0</x:v>
      </x:c>
      <x:c r="U486" t="n">
        <x:f>IF(AND(MAX(O486,O485)&gt;0,O486&gt;O485+0.00000001),1,0)</x:f>
        <x:v>0</x:v>
      </x:c>
    </x:row>
    <x:row r="487">
      <x:c r="J487" t="n">
        <x:f>IF(AND(ISNUMBER('Results'!B7),ISNUMBER('Results'!C7),ISNUMBER('Results'!$B$8),ISNUMBER('Inputs'!$B$6),ISNUMBER('Inputs'!$B$7),ISNUMBER('Inputs'!$B$8),ISNUMBER('Inputs'!$B$9),ISNUMBER('Inputs'!$B$10),ISNUMBER('Inputs'!$B$21),ISNUMBER('Inputs'!$B$24),ISNUMBER('Inputs'!$B$28)),(('Results'!B7*(0.5*((((487-43)*MAX('Inputs'!$B$33,'Inputs'!$B$29+'Inputs'!$B$31+'Inputs'!$B$32,'Inputs'!$B$30+'Inputs'!$B$31+'Inputs'!$B$32)/1000+'Inputs'!$B$21)+'Inputs'!$B$7)/SQRT((((487-43)*MAX('Inputs'!$B$33,'Inputs'!$B$29+'Inputs'!$B$31+'Inputs'!$B$32,'Inputs'!$B$30+'Inputs'!$B$31+'Inputs'!$B$32)/1000+'Inputs'!$B$21)+'Inputs'!$B$7)^2+('Inputs'!$B$6/2)^2)-(((487-43)*MAX('Inputs'!$B$33,'Inputs'!$B$29+'Inputs'!$B$31+'Inputs'!$B$32,'Inputs'!$B$30+'Inputs'!$B$31+'Inputs'!$B$32)/1000+'Inputs'!$B$21))/SQRT((((487-43)*MAX('Inputs'!$B$33,'Inputs'!$B$29+'Inputs'!$B$31+'Inputs'!$B$32,'Inputs'!$B$30+'Inputs'!$B$31+'Inputs'!$B$32)/1000+'Inputs'!$B$21))^2+('Inputs'!$B$6/2)^2)))-'Results'!C7*(0.5*((((487-43)*MAX('Inputs'!$B$33,'Inputs'!$B$29+'Inputs'!$B$31+'Inputs'!$B$32,'Inputs'!$B$30+'Inputs'!$B$31+'Inputs'!$B$32)/1000+'Inputs'!$B$21+'Inputs'!$B$7+'Inputs'!$B$10)+'Inputs'!$B$9)/SQRT((((487-43)*MAX('Inputs'!$B$33,'Inputs'!$B$29+'Inputs'!$B$31+'Inputs'!$B$32,'Inputs'!$B$30+'Inputs'!$B$31+'Inputs'!$B$32)/1000+'Inputs'!$B$21+'Inputs'!$B$7+'Inputs'!$B$10)+'Inputs'!$B$9)^2+('Inputs'!$B$8/2)^2)-(((487-43)*MAX('Inputs'!$B$33,'Inputs'!$B$29+'Inputs'!$B$31+'Inputs'!$B$32,'Inputs'!$B$30+'Inputs'!$B$31+'Inputs'!$B$32)/1000+'Inputs'!$B$21+'Inputs'!$B$7+'Inputs'!$B$10))/SQRT((((487-43)*MAX('Inputs'!$B$33,'Inputs'!$B$29+'Inputs'!$B$31+'Inputs'!$B$32,'Inputs'!$B$30+'Inputs'!$B$31+'Inputs'!$B$32)/1000+'Inputs'!$B$21+'Inputs'!$B$7+'Inputs'!$B$10))^2+('Inputs'!$B$8/2)^2))))*'Results'!$B$8),"")</x:f>
        <x:v>6.249283026627306</x:v>
      </x:c>
      <x:c r="K487" t="n">
        <x:f>IF(AND(ISNUMBER('Results'!B7),ISNUMBER('Results'!C7),ISNUMBER('Results'!$B$8),ISNUMBER('Inputs'!$B$6),ISNUMBER('Inputs'!$B$7),ISNUMBER('Inputs'!$B$8),ISNUMBER('Inputs'!$B$9),ISNUMBER('Inputs'!$B$10),ISNUMBER('Inputs'!$B$21),ISNUMBER('Inputs'!$B$24),ISNUMBER('Inputs'!$B$28)),((('Results'!B7*(1-'Inputs'!$B$24)*(0.5*((((487-43)*MAX('Inputs'!$B$33,'Inputs'!$B$29+'Inputs'!$B$31+'Inputs'!$B$32,'Inputs'!$B$30+'Inputs'!$B$31+'Inputs'!$B$32)/1000+'Inputs'!$B$21)+'Inputs'!$B$7)/SQRT((((487-43)*MAX('Inputs'!$B$33,'Inputs'!$B$29+'Inputs'!$B$31+'Inputs'!$B$32,'Inputs'!$B$30+'Inputs'!$B$31+'Inputs'!$B$32)/1000+'Inputs'!$B$21)+'Inputs'!$B$7)^2+('Inputs'!$B$6/2)^2)-(((487-43)*MAX('Inputs'!$B$33,'Inputs'!$B$29+'Inputs'!$B$31+'Inputs'!$B$32,'Inputs'!$B$30+'Inputs'!$B$31+'Inputs'!$B$32)/1000+'Inputs'!$B$21))/SQRT((((487-43)*MAX('Inputs'!$B$33,'Inputs'!$B$29+'Inputs'!$B$31+'Inputs'!$B$32,'Inputs'!$B$30+'Inputs'!$B$31+'Inputs'!$B$32)/1000+'Inputs'!$B$21))^2+('Inputs'!$B$6/2)^2)))-'Results'!C7*(1+'Inputs'!$B$24)*(0.5*((((487-43)*MAX('Inputs'!$B$33,'Inputs'!$B$29+'Inputs'!$B$31+'Inputs'!$B$32,'Inputs'!$B$30+'Inputs'!$B$31+'Inputs'!$B$32)/1000+'Inputs'!$B$21+'Inputs'!$B$7+'Inputs'!$B$10)+'Inputs'!$B$9)/SQRT((((487-43)*MAX('Inputs'!$B$33,'Inputs'!$B$29+'Inputs'!$B$31+'Inputs'!$B$32,'Inputs'!$B$30+'Inputs'!$B$31+'Inputs'!$B$32)/1000+'Inputs'!$B$21+'Inputs'!$B$7+'Inputs'!$B$10)+'Inputs'!$B$9)^2+('Inputs'!$B$8/2)^2)-(((487-43)*MAX('Inputs'!$B$33,'Inputs'!$B$29+'Inputs'!$B$31+'Inputs'!$B$32,'Inputs'!$B$30+'Inputs'!$B$31+'Inputs'!$B$32)/1000+'Inputs'!$B$21+'Inputs'!$B$7+'Inputs'!$B$10))/SQRT((((487-43)*MAX('Inputs'!$B$33,'Inputs'!$B$29+'Inputs'!$B$31+'Inputs'!$B$32,'Inputs'!$B$30+'Inputs'!$B$31+'Inputs'!$B$32)/1000+'Inputs'!$B$21+'Inputs'!$B$7+'Inputs'!$B$10))^2+('Inputs'!$B$8/2)^2))))*'Results'!$B$8)-'Inputs'!$B$28*ABS((('Results'!B7*(1-'Inputs'!$B$24)*(0.5*((((487-43)*MAX('Inputs'!$B$33,'Inputs'!$B$29+'Inputs'!$B$31+'Inputs'!$B$32,'Inputs'!$B$30+'Inputs'!$B$31+'Inputs'!$B$32)/1000+'Inputs'!$B$21)+'Inputs'!$B$7)/SQRT((((487-43)*MAX('Inputs'!$B$33,'Inputs'!$B$29+'Inputs'!$B$31+'Inputs'!$B$32,'Inputs'!$B$30+'Inputs'!$B$31+'Inputs'!$B$32)/1000+'Inputs'!$B$21)+'Inputs'!$B$7)^2+('Inputs'!$B$6/2)^2)-(((487-43)*MAX('Inputs'!$B$33,'Inputs'!$B$29+'Inputs'!$B$31+'Inputs'!$B$32,'Inputs'!$B$30+'Inputs'!$B$31+'Inputs'!$B$32)/1000+'Inputs'!$B$21))/SQRT((((487-43)*MAX('Inputs'!$B$33,'Inputs'!$B$29+'Inputs'!$B$31+'Inputs'!$B$32,'Inputs'!$B$30+'Inputs'!$B$31+'Inputs'!$B$32)/1000+'Inputs'!$B$21))^2+('Inputs'!$B$6/2)^2)))-'Results'!C7*(1+'Inputs'!$B$24)*(0.5*((((487-43)*MAX('Inputs'!$B$33,'Inputs'!$B$29+'Inputs'!$B$31+'Inputs'!$B$32,'Inputs'!$B$30+'Inputs'!$B$31+'Inputs'!$B$32)/1000+'Inputs'!$B$21+'Inputs'!$B$7+'Inputs'!$B$10)+'Inputs'!$B$9)/SQRT((((487-43)*MAX('Inputs'!$B$33,'Inputs'!$B$29+'Inputs'!$B$31+'Inputs'!$B$32,'Inputs'!$B$30+'Inputs'!$B$31+'Inputs'!$B$32)/1000+'Inputs'!$B$21+'Inputs'!$B$7+'Inputs'!$B$10)+'Inputs'!$B$9)^2+('Inputs'!$B$8/2)^2)-(((487-43)*MAX('Inputs'!$B$33,'Inputs'!$B$29+'Inputs'!$B$31+'Inputs'!$B$32,'Inputs'!$B$30+'Inputs'!$B$31+'Inputs'!$B$32)/1000+'Inputs'!$B$21+'Inputs'!$B$7+'Inputs'!$B$10))/SQRT((((487-43)*MAX('Inputs'!$B$33,'Inputs'!$B$29+'Inputs'!$B$31+'Inputs'!$B$32,'Inputs'!$B$30+'Inputs'!$B$31+'Inputs'!$B$32)/1000+'Inputs'!$B$21+'Inputs'!$B$7+'Inputs'!$B$10))^2+('Inputs'!$B$8/2)^2))))*'Results'!$B$8))),"")</x:f>
        <x:v>5.56865521601042</x:v>
      </x:c>
      <x:c r="L487" t="n">
        <x:f>IF(AND(ISNUMBER('Results'!B7),ISNUMBER('Results'!C7),ISNUMBER('Results'!$B$8),ISNUMBER('Inputs'!$B$6),ISNUMBER('Inputs'!$B$7),ISNUMBER('Inputs'!$B$8),ISNUMBER('Inputs'!$B$9),ISNUMBER('Inputs'!$B$10),ISNUMBER('Inputs'!$B$21),ISNUMBER('Inputs'!$B$24),ISNUMBER('Inputs'!$B$28)),((('Results'!B7*(1+'Inputs'!$B$24)*(0.5*((((487-43)*MAX('Inputs'!$B$33,'Inputs'!$B$29+'Inputs'!$B$31+'Inputs'!$B$32,'Inputs'!$B$30+'Inputs'!$B$31+'Inputs'!$B$32)/1000+'Inputs'!$B$21)+'Inputs'!$B$7)/SQRT((((487-43)*MAX('Inputs'!$B$33,'Inputs'!$B$29+'Inputs'!$B$31+'Inputs'!$B$32,'Inputs'!$B$30+'Inputs'!$B$31+'Inputs'!$B$32)/1000+'Inputs'!$B$21)+'Inputs'!$B$7)^2+('Inputs'!$B$6/2)^2)-(((487-43)*MAX('Inputs'!$B$33,'Inputs'!$B$29+'Inputs'!$B$31+'Inputs'!$B$32,'Inputs'!$B$30+'Inputs'!$B$31+'Inputs'!$B$32)/1000+'Inputs'!$B$21))/SQRT((((487-43)*MAX('Inputs'!$B$33,'Inputs'!$B$29+'Inputs'!$B$31+'Inputs'!$B$32,'Inputs'!$B$30+'Inputs'!$B$31+'Inputs'!$B$32)/1000+'Inputs'!$B$21))^2+('Inputs'!$B$6/2)^2)))-'Results'!C7*(1-'Inputs'!$B$24)*(0.5*((((487-43)*MAX('Inputs'!$B$33,'Inputs'!$B$29+'Inputs'!$B$31+'Inputs'!$B$32,'Inputs'!$B$30+'Inputs'!$B$31+'Inputs'!$B$32)/1000+'Inputs'!$B$21+'Inputs'!$B$7+'Inputs'!$B$10)+'Inputs'!$B$9)/SQRT((((487-43)*MAX('Inputs'!$B$33,'Inputs'!$B$29+'Inputs'!$B$31+'Inputs'!$B$32,'Inputs'!$B$30+'Inputs'!$B$31+'Inputs'!$B$32)/1000+'Inputs'!$B$21+'Inputs'!$B$7+'Inputs'!$B$10)+'Inputs'!$B$9)^2+('Inputs'!$B$8/2)^2)-(((487-43)*MAX('Inputs'!$B$33,'Inputs'!$B$29+'Inputs'!$B$31+'Inputs'!$B$32,'Inputs'!$B$30+'Inputs'!$B$31+'Inputs'!$B$32)/1000+'Inputs'!$B$21+'Inputs'!$B$7+'Inputs'!$B$10))/SQRT((((487-43)*MAX('Inputs'!$B$33,'Inputs'!$B$29+'Inputs'!$B$31+'Inputs'!$B$32,'Inputs'!$B$30+'Inputs'!$B$31+'Inputs'!$B$32)/1000+'Inputs'!$B$21+'Inputs'!$B$7+'Inputs'!$B$10))^2+('Inputs'!$B$8/2)^2))))*'Results'!$B$8)+'Inputs'!$B$28*ABS((('Results'!B7*(1+'Inputs'!$B$24)*(0.5*((((487-43)*MAX('Inputs'!$B$33,'Inputs'!$B$29+'Inputs'!$B$31+'Inputs'!$B$32,'Inputs'!$B$30+'Inputs'!$B$31+'Inputs'!$B$32)/1000+'Inputs'!$B$21)+'Inputs'!$B$7)/SQRT((((487-43)*MAX('Inputs'!$B$33,'Inputs'!$B$29+'Inputs'!$B$31+'Inputs'!$B$32,'Inputs'!$B$30+'Inputs'!$B$31+'Inputs'!$B$32)/1000+'Inputs'!$B$21)+'Inputs'!$B$7)^2+('Inputs'!$B$6/2)^2)-(((487-43)*MAX('Inputs'!$B$33,'Inputs'!$B$29+'Inputs'!$B$31+'Inputs'!$B$32,'Inputs'!$B$30+'Inputs'!$B$31+'Inputs'!$B$32)/1000+'Inputs'!$B$21))/SQRT((((487-43)*MAX('Inputs'!$B$33,'Inputs'!$B$29+'Inputs'!$B$31+'Inputs'!$B$32,'Inputs'!$B$30+'Inputs'!$B$31+'Inputs'!$B$32)/1000+'Inputs'!$B$21))^2+('Inputs'!$B$6/2)^2)))-'Results'!C7*(1-'Inputs'!$B$24)*(0.5*((((487-43)*MAX('Inputs'!$B$33,'Inputs'!$B$29+'Inputs'!$B$31+'Inputs'!$B$32,'Inputs'!$B$30+'Inputs'!$B$31+'Inputs'!$B$32)/1000+'Inputs'!$B$21+'Inputs'!$B$7+'Inputs'!$B$10)+'Inputs'!$B$9)/SQRT((((487-43)*MAX('Inputs'!$B$33,'Inputs'!$B$29+'Inputs'!$B$31+'Inputs'!$B$32,'Inputs'!$B$30+'Inputs'!$B$31+'Inputs'!$B$32)/1000+'Inputs'!$B$21+'Inputs'!$B$7+'Inputs'!$B$10)+'Inputs'!$B$9)^2+('Inputs'!$B$8/2)^2)-(((487-43)*MAX('Inputs'!$B$33,'Inputs'!$B$29+'Inputs'!$B$31+'Inputs'!$B$32,'Inputs'!$B$30+'Inputs'!$B$31+'Inputs'!$B$32)/1000+'Inputs'!$B$21+'Inputs'!$B$7+'Inputs'!$B$10))/SQRT((((487-43)*MAX('Inputs'!$B$33,'Inputs'!$B$29+'Inputs'!$B$31+'Inputs'!$B$32,'Inputs'!$B$30+'Inputs'!$B$31+'Inputs'!$B$32)/1000+'Inputs'!$B$21+'Inputs'!$B$7+'Inputs'!$B$10))^2+('Inputs'!$B$8/2)^2))))*'Results'!$B$8))),"")</x:f>
        <x:v>6.968664906642667</x:v>
      </x:c>
      <x:c r="M487" t="n">
        <x:f>IF(AND(ISNUMBER('Results'!C7),ISNUMBER('Results'!B7),ISNUMBER('Results'!$B$8),ISNUMBER('Inputs'!$B$6),ISNUMBER('Inputs'!$B$7),ISNUMBER('Inputs'!$B$8),ISNUMBER('Inputs'!$B$9),ISNUMBER('Inputs'!$B$10),ISNUMBER('Inputs'!$B$21),ISNUMBER('Inputs'!$B$24),ISNUMBER('Inputs'!$B$28)),(('Results'!C7*(0.5*((((487-43)*MAX('Inputs'!$B$33,'Inputs'!$B$29+'Inputs'!$B$31+'Inputs'!$B$32,'Inputs'!$B$30+'Inputs'!$B$31+'Inputs'!$B$32)/1000+'Inputs'!$B$21)+'Inputs'!$B$9)/SQRT((((487-43)*MAX('Inputs'!$B$33,'Inputs'!$B$29+'Inputs'!$B$31+'Inputs'!$B$32,'Inputs'!$B$30+'Inputs'!$B$31+'Inputs'!$B$32)/1000+'Inputs'!$B$21)+'Inputs'!$B$9)^2+('Inputs'!$B$8/2)^2)-(((487-43)*MAX('Inputs'!$B$33,'Inputs'!$B$29+'Inputs'!$B$31+'Inputs'!$B$32,'Inputs'!$B$30+'Inputs'!$B$31+'Inputs'!$B$32)/1000+'Inputs'!$B$21))/SQRT((((487-43)*MAX('Inputs'!$B$33,'Inputs'!$B$29+'Inputs'!$B$31+'Inputs'!$B$32,'Inputs'!$B$30+'Inputs'!$B$31+'Inputs'!$B$32)/1000+'Inputs'!$B$21))^2+('Inputs'!$B$8/2)^2)))-'Results'!B7*(0.5*((((487-43)*MAX('Inputs'!$B$33,'Inputs'!$B$29+'Inputs'!$B$31+'Inputs'!$B$32,'Inputs'!$B$30+'Inputs'!$B$31+'Inputs'!$B$32)/1000+'Inputs'!$B$21+'Inputs'!$B$9+'Inputs'!$B$10)+'Inputs'!$B$7)/SQRT((((487-43)*MAX('Inputs'!$B$33,'Inputs'!$B$29+'Inputs'!$B$31+'Inputs'!$B$32,'Inputs'!$B$30+'Inputs'!$B$31+'Inputs'!$B$32)/1000+'Inputs'!$B$21+'Inputs'!$B$9+'Inputs'!$B$10)+'Inputs'!$B$7)^2+('Inputs'!$B$6/2)^2)-(((487-43)*MAX('Inputs'!$B$33,'Inputs'!$B$29+'Inputs'!$B$31+'Inputs'!$B$32,'Inputs'!$B$30+'Inputs'!$B$31+'Inputs'!$B$32)/1000+'Inputs'!$B$21+'Inputs'!$B$9+'Inputs'!$B$10))/SQRT((((487-43)*MAX('Inputs'!$B$33,'Inputs'!$B$29+'Inputs'!$B$31+'Inputs'!$B$32,'Inputs'!$B$30+'Inputs'!$B$31+'Inputs'!$B$32)/1000+'Inputs'!$B$21+'Inputs'!$B$9+'Inputs'!$B$10))^2+('Inputs'!$B$6/2)^2))))*'Results'!$B$8),"")</x:f>
        <x:v>5.859063199648138</x:v>
      </x:c>
      <x:c r="N487" t="n">
        <x:f>IF(AND(ISNUMBER('Results'!C7),ISNUMBER('Results'!B7),ISNUMBER('Results'!$B$8),ISNUMBER('Inputs'!$B$6),ISNUMBER('Inputs'!$B$7),ISNUMBER('Inputs'!$B$8),ISNUMBER('Inputs'!$B$9),ISNUMBER('Inputs'!$B$10),ISNUMBER('Inputs'!$B$21),ISNUMBER('Inputs'!$B$24),ISNUMBER('Inputs'!$B$28)),((('Results'!C7*(1-'Inputs'!$B$24)*(0.5*((((487-43)*MAX('Inputs'!$B$33,'Inputs'!$B$29+'Inputs'!$B$31+'Inputs'!$B$32,'Inputs'!$B$30+'Inputs'!$B$31+'Inputs'!$B$32)/1000+'Inputs'!$B$21)+'Inputs'!$B$9)/SQRT((((487-43)*MAX('Inputs'!$B$33,'Inputs'!$B$29+'Inputs'!$B$31+'Inputs'!$B$32,'Inputs'!$B$30+'Inputs'!$B$31+'Inputs'!$B$32)/1000+'Inputs'!$B$21)+'Inputs'!$B$9)^2+('Inputs'!$B$8/2)^2)-(((487-43)*MAX('Inputs'!$B$33,'Inputs'!$B$29+'Inputs'!$B$31+'Inputs'!$B$32,'Inputs'!$B$30+'Inputs'!$B$31+'Inputs'!$B$32)/1000+'Inputs'!$B$21))/SQRT((((487-43)*MAX('Inputs'!$B$33,'Inputs'!$B$29+'Inputs'!$B$31+'Inputs'!$B$32,'Inputs'!$B$30+'Inputs'!$B$31+'Inputs'!$B$32)/1000+'Inputs'!$B$21))^2+('Inputs'!$B$8/2)^2)))-'Results'!B7*(1+'Inputs'!$B$24)*(0.5*((((487-43)*MAX('Inputs'!$B$33,'Inputs'!$B$29+'Inputs'!$B$31+'Inputs'!$B$32,'Inputs'!$B$30+'Inputs'!$B$31+'Inputs'!$B$32)/1000+'Inputs'!$B$21+'Inputs'!$B$9+'Inputs'!$B$10)+'Inputs'!$B$7)/SQRT((((487-43)*MAX('Inputs'!$B$33,'Inputs'!$B$29+'Inputs'!$B$31+'Inputs'!$B$32,'Inputs'!$B$30+'Inputs'!$B$31+'Inputs'!$B$32)/1000+'Inputs'!$B$21+'Inputs'!$B$9+'Inputs'!$B$10)+'Inputs'!$B$7)^2+('Inputs'!$B$6/2)^2)-(((487-43)*MAX('Inputs'!$B$33,'Inputs'!$B$29+'Inputs'!$B$31+'Inputs'!$B$32,'Inputs'!$B$30+'Inputs'!$B$31+'Inputs'!$B$32)/1000+'Inputs'!$B$21+'Inputs'!$B$9+'Inputs'!$B$10))/SQRT((((487-43)*MAX('Inputs'!$B$33,'Inputs'!$B$29+'Inputs'!$B$31+'Inputs'!$B$32,'Inputs'!$B$30+'Inputs'!$B$31+'Inputs'!$B$32)/1000+'Inputs'!$B$21+'Inputs'!$B$9+'Inputs'!$B$10))^2+('Inputs'!$B$6/2)^2))))*'Results'!$B$8)-'Inputs'!$B$28*ABS((('Results'!C7*(1-'Inputs'!$B$24)*(0.5*((((487-43)*MAX('Inputs'!$B$33,'Inputs'!$B$29+'Inputs'!$B$31+'Inputs'!$B$32,'Inputs'!$B$30+'Inputs'!$B$31+'Inputs'!$B$32)/1000+'Inputs'!$B$21)+'Inputs'!$B$9)/SQRT((((487-43)*MAX('Inputs'!$B$33,'Inputs'!$B$29+'Inputs'!$B$31+'Inputs'!$B$32,'Inputs'!$B$30+'Inputs'!$B$31+'Inputs'!$B$32)/1000+'Inputs'!$B$21)+'Inputs'!$B$9)^2+('Inputs'!$B$8/2)^2)-(((487-43)*MAX('Inputs'!$B$33,'Inputs'!$B$29+'Inputs'!$B$31+'Inputs'!$B$32,'Inputs'!$B$30+'Inputs'!$B$31+'Inputs'!$B$32)/1000+'Inputs'!$B$21))/SQRT((((487-43)*MAX('Inputs'!$B$33,'Inputs'!$B$29+'Inputs'!$B$31+'Inputs'!$B$32,'Inputs'!$B$30+'Inputs'!$B$31+'Inputs'!$B$32)/1000+'Inputs'!$B$21))^2+('Inputs'!$B$8/2)^2)))-'Results'!B7*(1+'Inputs'!$B$24)*(0.5*((((487-43)*MAX('Inputs'!$B$33,'Inputs'!$B$29+'Inputs'!$B$31+'Inputs'!$B$32,'Inputs'!$B$30+'Inputs'!$B$31+'Inputs'!$B$32)/1000+'Inputs'!$B$21+'Inputs'!$B$9+'Inputs'!$B$10)+'Inputs'!$B$7)/SQRT((((487-43)*MAX('Inputs'!$B$33,'Inputs'!$B$29+'Inputs'!$B$31+'Inputs'!$B$32,'Inputs'!$B$30+'Inputs'!$B$31+'Inputs'!$B$32)/1000+'Inputs'!$B$21+'Inputs'!$B$9+'Inputs'!$B$10)+'Inputs'!$B$7)^2+('Inputs'!$B$6/2)^2)-(((487-43)*MAX('Inputs'!$B$33,'Inputs'!$B$29+'Inputs'!$B$31+'Inputs'!$B$32,'Inputs'!$B$30+'Inputs'!$B$31+'Inputs'!$B$32)/1000+'Inputs'!$B$21+'Inputs'!$B$9+'Inputs'!$B$10))/SQRT((((487-43)*MAX('Inputs'!$B$33,'Inputs'!$B$29+'Inputs'!$B$31+'Inputs'!$B$32,'Inputs'!$B$30+'Inputs'!$B$31+'Inputs'!$B$32)/1000+'Inputs'!$B$21+'Inputs'!$B$9+'Inputs'!$B$10))^2+('Inputs'!$B$6/2)^2))))*'Results'!$B$8))),"")</x:f>
        <x:v>5.200270204403435</x:v>
      </x:c>
      <x:c r="O487" t="n">
        <x:f>IF(AND(ISNUMBER('Results'!C7),ISNUMBER('Results'!B7),ISNUMBER('Results'!$B$8),ISNUMBER('Inputs'!$B$6),ISNUMBER('Inputs'!$B$7),ISNUMBER('Inputs'!$B$8),ISNUMBER('Inputs'!$B$9),ISNUMBER('Inputs'!$B$10),ISNUMBER('Inputs'!$B$21),ISNUMBER('Inputs'!$B$24),ISNUMBER('Inputs'!$B$28)),((('Results'!C7*(1+'Inputs'!$B$24)*(0.5*((((487-43)*MAX('Inputs'!$B$33,'Inputs'!$B$29+'Inputs'!$B$31+'Inputs'!$B$32,'Inputs'!$B$30+'Inputs'!$B$31+'Inputs'!$B$32)/1000+'Inputs'!$B$21)+'Inputs'!$B$9)/SQRT((((487-43)*MAX('Inputs'!$B$33,'Inputs'!$B$29+'Inputs'!$B$31+'Inputs'!$B$32,'Inputs'!$B$30+'Inputs'!$B$31+'Inputs'!$B$32)/1000+'Inputs'!$B$21)+'Inputs'!$B$9)^2+('Inputs'!$B$8/2)^2)-(((487-43)*MAX('Inputs'!$B$33,'Inputs'!$B$29+'Inputs'!$B$31+'Inputs'!$B$32,'Inputs'!$B$30+'Inputs'!$B$31+'Inputs'!$B$32)/1000+'Inputs'!$B$21))/SQRT((((487-43)*MAX('Inputs'!$B$33,'Inputs'!$B$29+'Inputs'!$B$31+'Inputs'!$B$32,'Inputs'!$B$30+'Inputs'!$B$31+'Inputs'!$B$32)/1000+'Inputs'!$B$21))^2+('Inputs'!$B$8/2)^2)))-'Results'!B7*(1-'Inputs'!$B$24)*(0.5*((((487-43)*MAX('Inputs'!$B$33,'Inputs'!$B$29+'Inputs'!$B$31+'Inputs'!$B$32,'Inputs'!$B$30+'Inputs'!$B$31+'Inputs'!$B$32)/1000+'Inputs'!$B$21+'Inputs'!$B$9+'Inputs'!$B$10)+'Inputs'!$B$7)/SQRT((((487-43)*MAX('Inputs'!$B$33,'Inputs'!$B$29+'Inputs'!$B$31+'Inputs'!$B$32,'Inputs'!$B$30+'Inputs'!$B$31+'Inputs'!$B$32)/1000+'Inputs'!$B$21+'Inputs'!$B$9+'Inputs'!$B$10)+'Inputs'!$B$7)^2+('Inputs'!$B$6/2)^2)-(((487-43)*MAX('Inputs'!$B$33,'Inputs'!$B$29+'Inputs'!$B$31+'Inputs'!$B$32,'Inputs'!$B$30+'Inputs'!$B$31+'Inputs'!$B$32)/1000+'Inputs'!$B$21+'Inputs'!$B$9+'Inputs'!$B$10))/SQRT((((487-43)*MAX('Inputs'!$B$33,'Inputs'!$B$29+'Inputs'!$B$31+'Inputs'!$B$32,'Inputs'!$B$30+'Inputs'!$B$31+'Inputs'!$B$32)/1000+'Inputs'!$B$21+'Inputs'!$B$9+'Inputs'!$B$10))^2+('Inputs'!$B$6/2)^2))))*'Results'!$B$8)+'Inputs'!$B$28*ABS((('Results'!C7*(1+'Inputs'!$B$24)*(0.5*((((487-43)*MAX('Inputs'!$B$33,'Inputs'!$B$29+'Inputs'!$B$31+'Inputs'!$B$32,'Inputs'!$B$30+'Inputs'!$B$31+'Inputs'!$B$32)/1000+'Inputs'!$B$21)+'Inputs'!$B$9)/SQRT((((487-43)*MAX('Inputs'!$B$33,'Inputs'!$B$29+'Inputs'!$B$31+'Inputs'!$B$32,'Inputs'!$B$30+'Inputs'!$B$31+'Inputs'!$B$32)/1000+'Inputs'!$B$21)+'Inputs'!$B$9)^2+('Inputs'!$B$8/2)^2)-(((487-43)*MAX('Inputs'!$B$33,'Inputs'!$B$29+'Inputs'!$B$31+'Inputs'!$B$32,'Inputs'!$B$30+'Inputs'!$B$31+'Inputs'!$B$32)/1000+'Inputs'!$B$21))/SQRT((((487-43)*MAX('Inputs'!$B$33,'Inputs'!$B$29+'Inputs'!$B$31+'Inputs'!$B$32,'Inputs'!$B$30+'Inputs'!$B$31+'Inputs'!$B$32)/1000+'Inputs'!$B$21))^2+('Inputs'!$B$8/2)^2)))-'Results'!B7*(1-'Inputs'!$B$24)*(0.5*((((487-43)*MAX('Inputs'!$B$33,'Inputs'!$B$29+'Inputs'!$B$31+'Inputs'!$B$32,'Inputs'!$B$30+'Inputs'!$B$31+'Inputs'!$B$32)/1000+'Inputs'!$B$21+'Inputs'!$B$9+'Inputs'!$B$10)+'Inputs'!$B$7)/SQRT((((487-43)*MAX('Inputs'!$B$33,'Inputs'!$B$29+'Inputs'!$B$31+'Inputs'!$B$32,'Inputs'!$B$30+'Inputs'!$B$31+'Inputs'!$B$32)/1000+'Inputs'!$B$21+'Inputs'!$B$9+'Inputs'!$B$10)+'Inputs'!$B$7)^2+('Inputs'!$B$6/2)^2)-(((487-43)*MAX('Inputs'!$B$33,'Inputs'!$B$29+'Inputs'!$B$31+'Inputs'!$B$32,'Inputs'!$B$30+'Inputs'!$B$31+'Inputs'!$B$32)/1000+'Inputs'!$B$21+'Inputs'!$B$9+'Inputs'!$B$10))/SQRT((((487-43)*MAX('Inputs'!$B$33,'Inputs'!$B$29+'Inputs'!$B$31+'Inputs'!$B$32,'Inputs'!$B$30+'Inputs'!$B$31+'Inputs'!$B$32)/1000+'Inputs'!$B$21+'Inputs'!$B$9+'Inputs'!$B$10))^2+('Inputs'!$B$6/2)^2))))*'Results'!$B$8))),"")</x:f>
        <x:v>6.55636565123624</x:v>
      </x:c>
      <x:c r="P487" t="n">
        <x:f>IF(AND(MAX(J487,J486)&gt;0,J487&gt;J486+0.00000001),1,0)</x:f>
        <x:v>0</x:v>
      </x:c>
      <x:c r="Q487" t="n">
        <x:f>IF(AND(MAX(K487,K486)&gt;0,K487&gt;K486+0.00000001),1,0)</x:f>
        <x:v>0</x:v>
      </x:c>
      <x:c r="R487" t="n">
        <x:f>IF(AND(MAX(L487,L486)&gt;0,L487&gt;L486+0.00000001),1,0)</x:f>
        <x:v>0</x:v>
      </x:c>
      <x:c r="S487" t="n">
        <x:f>IF(AND(MAX(M487,M486)&gt;0,M487&gt;M486+0.00000001),1,0)</x:f>
        <x:v>0</x:v>
      </x:c>
      <x:c r="T487" t="n">
        <x:f>IF(AND(MAX(N487,N486)&gt;0,N487&gt;N486+0.00000001),1,0)</x:f>
        <x:v>0</x:v>
      </x:c>
      <x:c r="U487" t="n">
        <x:f>IF(AND(MAX(O487,O486)&gt;0,O487&gt;O486+0.00000001),1,0)</x:f>
        <x:v>0</x:v>
      </x:c>
    </x:row>
    <x:row r="488">
      <x:c r="J488" t="n">
        <x:f>IF(AND(ISNUMBER('Results'!B7),ISNUMBER('Results'!C7),ISNUMBER('Results'!$B$8),ISNUMBER('Inputs'!$B$6),ISNUMBER('Inputs'!$B$7),ISNUMBER('Inputs'!$B$8),ISNUMBER('Inputs'!$B$9),ISNUMBER('Inputs'!$B$10),ISNUMBER('Inputs'!$B$21),ISNUMBER('Inputs'!$B$24),ISNUMBER('Inputs'!$B$28)),(('Results'!B7*(0.5*((((488-43)*MAX('Inputs'!$B$33,'Inputs'!$B$29+'Inputs'!$B$31+'Inputs'!$B$32,'Inputs'!$B$30+'Inputs'!$B$31+'Inputs'!$B$32)/1000+'Inputs'!$B$21)+'Inputs'!$B$7)/SQRT((((488-43)*MAX('Inputs'!$B$33,'Inputs'!$B$29+'Inputs'!$B$31+'Inputs'!$B$32,'Inputs'!$B$30+'Inputs'!$B$31+'Inputs'!$B$32)/1000+'Inputs'!$B$21)+'Inputs'!$B$7)^2+('Inputs'!$B$6/2)^2)-(((488-43)*MAX('Inputs'!$B$33,'Inputs'!$B$29+'Inputs'!$B$31+'Inputs'!$B$32,'Inputs'!$B$30+'Inputs'!$B$31+'Inputs'!$B$32)/1000+'Inputs'!$B$21))/SQRT((((488-43)*MAX('Inputs'!$B$33,'Inputs'!$B$29+'Inputs'!$B$31+'Inputs'!$B$32,'Inputs'!$B$30+'Inputs'!$B$31+'Inputs'!$B$32)/1000+'Inputs'!$B$21))^2+('Inputs'!$B$6/2)^2)))-'Results'!C7*(0.5*((((488-43)*MAX('Inputs'!$B$33,'Inputs'!$B$29+'Inputs'!$B$31+'Inputs'!$B$32,'Inputs'!$B$30+'Inputs'!$B$31+'Inputs'!$B$32)/1000+'Inputs'!$B$21+'Inputs'!$B$7+'Inputs'!$B$10)+'Inputs'!$B$9)/SQRT((((488-43)*MAX('Inputs'!$B$33,'Inputs'!$B$29+'Inputs'!$B$31+'Inputs'!$B$32,'Inputs'!$B$30+'Inputs'!$B$31+'Inputs'!$B$32)/1000+'Inputs'!$B$21+'Inputs'!$B$7+'Inputs'!$B$10)+'Inputs'!$B$9)^2+('Inputs'!$B$8/2)^2)-(((488-43)*MAX('Inputs'!$B$33,'Inputs'!$B$29+'Inputs'!$B$31+'Inputs'!$B$32,'Inputs'!$B$30+'Inputs'!$B$31+'Inputs'!$B$32)/1000+'Inputs'!$B$21+'Inputs'!$B$7+'Inputs'!$B$10))/SQRT((((488-43)*MAX('Inputs'!$B$33,'Inputs'!$B$29+'Inputs'!$B$31+'Inputs'!$B$32,'Inputs'!$B$30+'Inputs'!$B$31+'Inputs'!$B$32)/1000+'Inputs'!$B$21+'Inputs'!$B$7+'Inputs'!$B$10))^2+('Inputs'!$B$8/2)^2))))*'Results'!$B$8),"")</x:f>
        <x:v>6.202271504638365</x:v>
      </x:c>
      <x:c r="K488" t="n">
        <x:f>IF(AND(ISNUMBER('Results'!B7),ISNUMBER('Results'!C7),ISNUMBER('Results'!$B$8),ISNUMBER('Inputs'!$B$6),ISNUMBER('Inputs'!$B$7),ISNUMBER('Inputs'!$B$8),ISNUMBER('Inputs'!$B$9),ISNUMBER('Inputs'!$B$10),ISNUMBER('Inputs'!$B$21),ISNUMBER('Inputs'!$B$24),ISNUMBER('Inputs'!$B$28)),((('Results'!B7*(1-'Inputs'!$B$24)*(0.5*((((488-43)*MAX('Inputs'!$B$33,'Inputs'!$B$29+'Inputs'!$B$31+'Inputs'!$B$32,'Inputs'!$B$30+'Inputs'!$B$31+'Inputs'!$B$32)/1000+'Inputs'!$B$21)+'Inputs'!$B$7)/SQRT((((488-43)*MAX('Inputs'!$B$33,'Inputs'!$B$29+'Inputs'!$B$31+'Inputs'!$B$32,'Inputs'!$B$30+'Inputs'!$B$31+'Inputs'!$B$32)/1000+'Inputs'!$B$21)+'Inputs'!$B$7)^2+('Inputs'!$B$6/2)^2)-(((488-43)*MAX('Inputs'!$B$33,'Inputs'!$B$29+'Inputs'!$B$31+'Inputs'!$B$32,'Inputs'!$B$30+'Inputs'!$B$31+'Inputs'!$B$32)/1000+'Inputs'!$B$21))/SQRT((((488-43)*MAX('Inputs'!$B$33,'Inputs'!$B$29+'Inputs'!$B$31+'Inputs'!$B$32,'Inputs'!$B$30+'Inputs'!$B$31+'Inputs'!$B$32)/1000+'Inputs'!$B$21))^2+('Inputs'!$B$6/2)^2)))-'Results'!C7*(1+'Inputs'!$B$24)*(0.5*((((488-43)*MAX('Inputs'!$B$33,'Inputs'!$B$29+'Inputs'!$B$31+'Inputs'!$B$32,'Inputs'!$B$30+'Inputs'!$B$31+'Inputs'!$B$32)/1000+'Inputs'!$B$21+'Inputs'!$B$7+'Inputs'!$B$10)+'Inputs'!$B$9)/SQRT((((488-43)*MAX('Inputs'!$B$33,'Inputs'!$B$29+'Inputs'!$B$31+'Inputs'!$B$32,'Inputs'!$B$30+'Inputs'!$B$31+'Inputs'!$B$32)/1000+'Inputs'!$B$21+'Inputs'!$B$7+'Inputs'!$B$10)+'Inputs'!$B$9)^2+('Inputs'!$B$8/2)^2)-(((488-43)*MAX('Inputs'!$B$33,'Inputs'!$B$29+'Inputs'!$B$31+'Inputs'!$B$32,'Inputs'!$B$30+'Inputs'!$B$31+'Inputs'!$B$32)/1000+'Inputs'!$B$21+'Inputs'!$B$7+'Inputs'!$B$10))/SQRT((((488-43)*MAX('Inputs'!$B$33,'Inputs'!$B$29+'Inputs'!$B$31+'Inputs'!$B$32,'Inputs'!$B$30+'Inputs'!$B$31+'Inputs'!$B$32)/1000+'Inputs'!$B$21+'Inputs'!$B$7+'Inputs'!$B$10))^2+('Inputs'!$B$8/2)^2))))*'Results'!$B$8)-'Inputs'!$B$28*ABS((('Results'!B7*(1-'Inputs'!$B$24)*(0.5*((((488-43)*MAX('Inputs'!$B$33,'Inputs'!$B$29+'Inputs'!$B$31+'Inputs'!$B$32,'Inputs'!$B$30+'Inputs'!$B$31+'Inputs'!$B$32)/1000+'Inputs'!$B$21)+'Inputs'!$B$7)/SQRT((((488-43)*MAX('Inputs'!$B$33,'Inputs'!$B$29+'Inputs'!$B$31+'Inputs'!$B$32,'Inputs'!$B$30+'Inputs'!$B$31+'Inputs'!$B$32)/1000+'Inputs'!$B$21)+'Inputs'!$B$7)^2+('Inputs'!$B$6/2)^2)-(((488-43)*MAX('Inputs'!$B$33,'Inputs'!$B$29+'Inputs'!$B$31+'Inputs'!$B$32,'Inputs'!$B$30+'Inputs'!$B$31+'Inputs'!$B$32)/1000+'Inputs'!$B$21))/SQRT((((488-43)*MAX('Inputs'!$B$33,'Inputs'!$B$29+'Inputs'!$B$31+'Inputs'!$B$32,'Inputs'!$B$30+'Inputs'!$B$31+'Inputs'!$B$32)/1000+'Inputs'!$B$21))^2+('Inputs'!$B$6/2)^2)))-'Results'!C7*(1+'Inputs'!$B$24)*(0.5*((((488-43)*MAX('Inputs'!$B$33,'Inputs'!$B$29+'Inputs'!$B$31+'Inputs'!$B$32,'Inputs'!$B$30+'Inputs'!$B$31+'Inputs'!$B$32)/1000+'Inputs'!$B$21+'Inputs'!$B$7+'Inputs'!$B$10)+'Inputs'!$B$9)/SQRT((((488-43)*MAX('Inputs'!$B$33,'Inputs'!$B$29+'Inputs'!$B$31+'Inputs'!$B$32,'Inputs'!$B$30+'Inputs'!$B$31+'Inputs'!$B$32)/1000+'Inputs'!$B$21+'Inputs'!$B$7+'Inputs'!$B$10)+'Inputs'!$B$9)^2+('Inputs'!$B$8/2)^2)-(((488-43)*MAX('Inputs'!$B$33,'Inputs'!$B$29+'Inputs'!$B$31+'Inputs'!$B$32,'Inputs'!$B$30+'Inputs'!$B$31+'Inputs'!$B$32)/1000+'Inputs'!$B$21+'Inputs'!$B$7+'Inputs'!$B$10))/SQRT((((488-43)*MAX('Inputs'!$B$33,'Inputs'!$B$29+'Inputs'!$B$31+'Inputs'!$B$32,'Inputs'!$B$30+'Inputs'!$B$31+'Inputs'!$B$32)/1000+'Inputs'!$B$21+'Inputs'!$B$7+'Inputs'!$B$10))^2+('Inputs'!$B$8/2)^2))))*'Results'!$B$8))),"")</x:f>
        <x:v>5.526154584839595</x:v>
      </x:c>
      <x:c r="L488" t="n">
        <x:f>IF(AND(ISNUMBER('Results'!B7),ISNUMBER('Results'!C7),ISNUMBER('Results'!$B$8),ISNUMBER('Inputs'!$B$6),ISNUMBER('Inputs'!$B$7),ISNUMBER('Inputs'!$B$8),ISNUMBER('Inputs'!$B$9),ISNUMBER('Inputs'!$B$10),ISNUMBER('Inputs'!$B$21),ISNUMBER('Inputs'!$B$24),ISNUMBER('Inputs'!$B$28)),((('Results'!B7*(1+'Inputs'!$B$24)*(0.5*((((488-43)*MAX('Inputs'!$B$33,'Inputs'!$B$29+'Inputs'!$B$31+'Inputs'!$B$32,'Inputs'!$B$30+'Inputs'!$B$31+'Inputs'!$B$32)/1000+'Inputs'!$B$21)+'Inputs'!$B$7)/SQRT((((488-43)*MAX('Inputs'!$B$33,'Inputs'!$B$29+'Inputs'!$B$31+'Inputs'!$B$32,'Inputs'!$B$30+'Inputs'!$B$31+'Inputs'!$B$32)/1000+'Inputs'!$B$21)+'Inputs'!$B$7)^2+('Inputs'!$B$6/2)^2)-(((488-43)*MAX('Inputs'!$B$33,'Inputs'!$B$29+'Inputs'!$B$31+'Inputs'!$B$32,'Inputs'!$B$30+'Inputs'!$B$31+'Inputs'!$B$32)/1000+'Inputs'!$B$21))/SQRT((((488-43)*MAX('Inputs'!$B$33,'Inputs'!$B$29+'Inputs'!$B$31+'Inputs'!$B$32,'Inputs'!$B$30+'Inputs'!$B$31+'Inputs'!$B$32)/1000+'Inputs'!$B$21))^2+('Inputs'!$B$6/2)^2)))-'Results'!C7*(1-'Inputs'!$B$24)*(0.5*((((488-43)*MAX('Inputs'!$B$33,'Inputs'!$B$29+'Inputs'!$B$31+'Inputs'!$B$32,'Inputs'!$B$30+'Inputs'!$B$31+'Inputs'!$B$32)/1000+'Inputs'!$B$21+'Inputs'!$B$7+'Inputs'!$B$10)+'Inputs'!$B$9)/SQRT((((488-43)*MAX('Inputs'!$B$33,'Inputs'!$B$29+'Inputs'!$B$31+'Inputs'!$B$32,'Inputs'!$B$30+'Inputs'!$B$31+'Inputs'!$B$32)/1000+'Inputs'!$B$21+'Inputs'!$B$7+'Inputs'!$B$10)+'Inputs'!$B$9)^2+('Inputs'!$B$8/2)^2)-(((488-43)*MAX('Inputs'!$B$33,'Inputs'!$B$29+'Inputs'!$B$31+'Inputs'!$B$32,'Inputs'!$B$30+'Inputs'!$B$31+'Inputs'!$B$32)/1000+'Inputs'!$B$21+'Inputs'!$B$7+'Inputs'!$B$10))/SQRT((((488-43)*MAX('Inputs'!$B$33,'Inputs'!$B$29+'Inputs'!$B$31+'Inputs'!$B$32,'Inputs'!$B$30+'Inputs'!$B$31+'Inputs'!$B$32)/1000+'Inputs'!$B$21+'Inputs'!$B$7+'Inputs'!$B$10))^2+('Inputs'!$B$8/2)^2))))*'Results'!$B$8)+'Inputs'!$B$28*ABS((('Results'!B7*(1+'Inputs'!$B$24)*(0.5*((((488-43)*MAX('Inputs'!$B$33,'Inputs'!$B$29+'Inputs'!$B$31+'Inputs'!$B$32,'Inputs'!$B$30+'Inputs'!$B$31+'Inputs'!$B$32)/1000+'Inputs'!$B$21)+'Inputs'!$B$7)/SQRT((((488-43)*MAX('Inputs'!$B$33,'Inputs'!$B$29+'Inputs'!$B$31+'Inputs'!$B$32,'Inputs'!$B$30+'Inputs'!$B$31+'Inputs'!$B$32)/1000+'Inputs'!$B$21)+'Inputs'!$B$7)^2+('Inputs'!$B$6/2)^2)-(((488-43)*MAX('Inputs'!$B$33,'Inputs'!$B$29+'Inputs'!$B$31+'Inputs'!$B$32,'Inputs'!$B$30+'Inputs'!$B$31+'Inputs'!$B$32)/1000+'Inputs'!$B$21))/SQRT((((488-43)*MAX('Inputs'!$B$33,'Inputs'!$B$29+'Inputs'!$B$31+'Inputs'!$B$32,'Inputs'!$B$30+'Inputs'!$B$31+'Inputs'!$B$32)/1000+'Inputs'!$B$21))^2+('Inputs'!$B$6/2)^2)))-'Results'!C7*(1-'Inputs'!$B$24)*(0.5*((((488-43)*MAX('Inputs'!$B$33,'Inputs'!$B$29+'Inputs'!$B$31+'Inputs'!$B$32,'Inputs'!$B$30+'Inputs'!$B$31+'Inputs'!$B$32)/1000+'Inputs'!$B$21+'Inputs'!$B$7+'Inputs'!$B$10)+'Inputs'!$B$9)/SQRT((((488-43)*MAX('Inputs'!$B$33,'Inputs'!$B$29+'Inputs'!$B$31+'Inputs'!$B$32,'Inputs'!$B$30+'Inputs'!$B$31+'Inputs'!$B$32)/1000+'Inputs'!$B$21+'Inputs'!$B$7+'Inputs'!$B$10)+'Inputs'!$B$9)^2+('Inputs'!$B$8/2)^2)-(((488-43)*MAX('Inputs'!$B$33,'Inputs'!$B$29+'Inputs'!$B$31+'Inputs'!$B$32,'Inputs'!$B$30+'Inputs'!$B$31+'Inputs'!$B$32)/1000+'Inputs'!$B$21+'Inputs'!$B$7+'Inputs'!$B$10))/SQRT((((488-43)*MAX('Inputs'!$B$33,'Inputs'!$B$29+'Inputs'!$B$31+'Inputs'!$B$32,'Inputs'!$B$30+'Inputs'!$B$31+'Inputs'!$B$32)/1000+'Inputs'!$B$21+'Inputs'!$B$7+'Inputs'!$B$10))^2+('Inputs'!$B$8/2)^2))))*'Results'!$B$8))),"")</x:f>
        <x:v>6.916915092286278</x:v>
      </x:c>
      <x:c r="M488" t="n">
        <x:f>IF(AND(ISNUMBER('Results'!C7),ISNUMBER('Results'!B7),ISNUMBER('Results'!$B$8),ISNUMBER('Inputs'!$B$6),ISNUMBER('Inputs'!$B$7),ISNUMBER('Inputs'!$B$8),ISNUMBER('Inputs'!$B$9),ISNUMBER('Inputs'!$B$10),ISNUMBER('Inputs'!$B$21),ISNUMBER('Inputs'!$B$24),ISNUMBER('Inputs'!$B$28)),(('Results'!C7*(0.5*((((488-43)*MAX('Inputs'!$B$33,'Inputs'!$B$29+'Inputs'!$B$31+'Inputs'!$B$32,'Inputs'!$B$30+'Inputs'!$B$31+'Inputs'!$B$32)/1000+'Inputs'!$B$21)+'Inputs'!$B$9)/SQRT((((488-43)*MAX('Inputs'!$B$33,'Inputs'!$B$29+'Inputs'!$B$31+'Inputs'!$B$32,'Inputs'!$B$30+'Inputs'!$B$31+'Inputs'!$B$32)/1000+'Inputs'!$B$21)+'Inputs'!$B$9)^2+('Inputs'!$B$8/2)^2)-(((488-43)*MAX('Inputs'!$B$33,'Inputs'!$B$29+'Inputs'!$B$31+'Inputs'!$B$32,'Inputs'!$B$30+'Inputs'!$B$31+'Inputs'!$B$32)/1000+'Inputs'!$B$21))/SQRT((((488-43)*MAX('Inputs'!$B$33,'Inputs'!$B$29+'Inputs'!$B$31+'Inputs'!$B$32,'Inputs'!$B$30+'Inputs'!$B$31+'Inputs'!$B$32)/1000+'Inputs'!$B$21))^2+('Inputs'!$B$8/2)^2)))-'Results'!B7*(0.5*((((488-43)*MAX('Inputs'!$B$33,'Inputs'!$B$29+'Inputs'!$B$31+'Inputs'!$B$32,'Inputs'!$B$30+'Inputs'!$B$31+'Inputs'!$B$32)/1000+'Inputs'!$B$21+'Inputs'!$B$9+'Inputs'!$B$10)+'Inputs'!$B$7)/SQRT((((488-43)*MAX('Inputs'!$B$33,'Inputs'!$B$29+'Inputs'!$B$31+'Inputs'!$B$32,'Inputs'!$B$30+'Inputs'!$B$31+'Inputs'!$B$32)/1000+'Inputs'!$B$21+'Inputs'!$B$9+'Inputs'!$B$10)+'Inputs'!$B$7)^2+('Inputs'!$B$6/2)^2)-(((488-43)*MAX('Inputs'!$B$33,'Inputs'!$B$29+'Inputs'!$B$31+'Inputs'!$B$32,'Inputs'!$B$30+'Inputs'!$B$31+'Inputs'!$B$32)/1000+'Inputs'!$B$21+'Inputs'!$B$9+'Inputs'!$B$10))/SQRT((((488-43)*MAX('Inputs'!$B$33,'Inputs'!$B$29+'Inputs'!$B$31+'Inputs'!$B$32,'Inputs'!$B$30+'Inputs'!$B$31+'Inputs'!$B$32)/1000+'Inputs'!$B$21+'Inputs'!$B$9+'Inputs'!$B$10))^2+('Inputs'!$B$6/2)^2))))*'Results'!$B$8),"")</x:f>
        <x:v>5.8143393032040995</x:v>
      </x:c>
      <x:c r="N488" t="n">
        <x:f>IF(AND(ISNUMBER('Results'!C7),ISNUMBER('Results'!B7),ISNUMBER('Results'!$B$8),ISNUMBER('Inputs'!$B$6),ISNUMBER('Inputs'!$B$7),ISNUMBER('Inputs'!$B$8),ISNUMBER('Inputs'!$B$9),ISNUMBER('Inputs'!$B$10),ISNUMBER('Inputs'!$B$21),ISNUMBER('Inputs'!$B$24),ISNUMBER('Inputs'!$B$28)),((('Results'!C7*(1-'Inputs'!$B$24)*(0.5*((((488-43)*MAX('Inputs'!$B$33,'Inputs'!$B$29+'Inputs'!$B$31+'Inputs'!$B$32,'Inputs'!$B$30+'Inputs'!$B$31+'Inputs'!$B$32)/1000+'Inputs'!$B$21)+'Inputs'!$B$9)/SQRT((((488-43)*MAX('Inputs'!$B$33,'Inputs'!$B$29+'Inputs'!$B$31+'Inputs'!$B$32,'Inputs'!$B$30+'Inputs'!$B$31+'Inputs'!$B$32)/1000+'Inputs'!$B$21)+'Inputs'!$B$9)^2+('Inputs'!$B$8/2)^2)-(((488-43)*MAX('Inputs'!$B$33,'Inputs'!$B$29+'Inputs'!$B$31+'Inputs'!$B$32,'Inputs'!$B$30+'Inputs'!$B$31+'Inputs'!$B$32)/1000+'Inputs'!$B$21))/SQRT((((488-43)*MAX('Inputs'!$B$33,'Inputs'!$B$29+'Inputs'!$B$31+'Inputs'!$B$32,'Inputs'!$B$30+'Inputs'!$B$31+'Inputs'!$B$32)/1000+'Inputs'!$B$21))^2+('Inputs'!$B$8/2)^2)))-'Results'!B7*(1+'Inputs'!$B$24)*(0.5*((((488-43)*MAX('Inputs'!$B$33,'Inputs'!$B$29+'Inputs'!$B$31+'Inputs'!$B$32,'Inputs'!$B$30+'Inputs'!$B$31+'Inputs'!$B$32)/1000+'Inputs'!$B$21+'Inputs'!$B$9+'Inputs'!$B$10)+'Inputs'!$B$7)/SQRT((((488-43)*MAX('Inputs'!$B$33,'Inputs'!$B$29+'Inputs'!$B$31+'Inputs'!$B$32,'Inputs'!$B$30+'Inputs'!$B$31+'Inputs'!$B$32)/1000+'Inputs'!$B$21+'Inputs'!$B$9+'Inputs'!$B$10)+'Inputs'!$B$7)^2+('Inputs'!$B$6/2)^2)-(((488-43)*MAX('Inputs'!$B$33,'Inputs'!$B$29+'Inputs'!$B$31+'Inputs'!$B$32,'Inputs'!$B$30+'Inputs'!$B$31+'Inputs'!$B$32)/1000+'Inputs'!$B$21+'Inputs'!$B$9+'Inputs'!$B$10))/SQRT((((488-43)*MAX('Inputs'!$B$33,'Inputs'!$B$29+'Inputs'!$B$31+'Inputs'!$B$32,'Inputs'!$B$30+'Inputs'!$B$31+'Inputs'!$B$32)/1000+'Inputs'!$B$21+'Inputs'!$B$9+'Inputs'!$B$10))^2+('Inputs'!$B$6/2)^2))))*'Results'!$B$8)-'Inputs'!$B$28*ABS((('Results'!C7*(1-'Inputs'!$B$24)*(0.5*((((488-43)*MAX('Inputs'!$B$33,'Inputs'!$B$29+'Inputs'!$B$31+'Inputs'!$B$32,'Inputs'!$B$30+'Inputs'!$B$31+'Inputs'!$B$32)/1000+'Inputs'!$B$21)+'Inputs'!$B$9)/SQRT((((488-43)*MAX('Inputs'!$B$33,'Inputs'!$B$29+'Inputs'!$B$31+'Inputs'!$B$32,'Inputs'!$B$30+'Inputs'!$B$31+'Inputs'!$B$32)/1000+'Inputs'!$B$21)+'Inputs'!$B$9)^2+('Inputs'!$B$8/2)^2)-(((488-43)*MAX('Inputs'!$B$33,'Inputs'!$B$29+'Inputs'!$B$31+'Inputs'!$B$32,'Inputs'!$B$30+'Inputs'!$B$31+'Inputs'!$B$32)/1000+'Inputs'!$B$21))/SQRT((((488-43)*MAX('Inputs'!$B$33,'Inputs'!$B$29+'Inputs'!$B$31+'Inputs'!$B$32,'Inputs'!$B$30+'Inputs'!$B$31+'Inputs'!$B$32)/1000+'Inputs'!$B$21))^2+('Inputs'!$B$8/2)^2)))-'Results'!B7*(1+'Inputs'!$B$24)*(0.5*((((488-43)*MAX('Inputs'!$B$33,'Inputs'!$B$29+'Inputs'!$B$31+'Inputs'!$B$32,'Inputs'!$B$30+'Inputs'!$B$31+'Inputs'!$B$32)/1000+'Inputs'!$B$21+'Inputs'!$B$9+'Inputs'!$B$10)+'Inputs'!$B$7)/SQRT((((488-43)*MAX('Inputs'!$B$33,'Inputs'!$B$29+'Inputs'!$B$31+'Inputs'!$B$32,'Inputs'!$B$30+'Inputs'!$B$31+'Inputs'!$B$32)/1000+'Inputs'!$B$21+'Inputs'!$B$9+'Inputs'!$B$10)+'Inputs'!$B$7)^2+('Inputs'!$B$6/2)^2)-(((488-43)*MAX('Inputs'!$B$33,'Inputs'!$B$29+'Inputs'!$B$31+'Inputs'!$B$32,'Inputs'!$B$30+'Inputs'!$B$31+'Inputs'!$B$32)/1000+'Inputs'!$B$21+'Inputs'!$B$9+'Inputs'!$B$10))/SQRT((((488-43)*MAX('Inputs'!$B$33,'Inputs'!$B$29+'Inputs'!$B$31+'Inputs'!$B$32,'Inputs'!$B$30+'Inputs'!$B$31+'Inputs'!$B$32)/1000+'Inputs'!$B$21+'Inputs'!$B$9+'Inputs'!$B$10))^2+('Inputs'!$B$6/2)^2))))*'Results'!$B$8))),"")</x:f>
        <x:v>5.159925211712891</x:v>
      </x:c>
      <x:c r="O488" t="n">
        <x:f>IF(AND(ISNUMBER('Results'!C7),ISNUMBER('Results'!B7),ISNUMBER('Results'!$B$8),ISNUMBER('Inputs'!$B$6),ISNUMBER('Inputs'!$B$7),ISNUMBER('Inputs'!$B$8),ISNUMBER('Inputs'!$B$9),ISNUMBER('Inputs'!$B$10),ISNUMBER('Inputs'!$B$21),ISNUMBER('Inputs'!$B$24),ISNUMBER('Inputs'!$B$28)),((('Results'!C7*(1+'Inputs'!$B$24)*(0.5*((((488-43)*MAX('Inputs'!$B$33,'Inputs'!$B$29+'Inputs'!$B$31+'Inputs'!$B$32,'Inputs'!$B$30+'Inputs'!$B$31+'Inputs'!$B$32)/1000+'Inputs'!$B$21)+'Inputs'!$B$9)/SQRT((((488-43)*MAX('Inputs'!$B$33,'Inputs'!$B$29+'Inputs'!$B$31+'Inputs'!$B$32,'Inputs'!$B$30+'Inputs'!$B$31+'Inputs'!$B$32)/1000+'Inputs'!$B$21)+'Inputs'!$B$9)^2+('Inputs'!$B$8/2)^2)-(((488-43)*MAX('Inputs'!$B$33,'Inputs'!$B$29+'Inputs'!$B$31+'Inputs'!$B$32,'Inputs'!$B$30+'Inputs'!$B$31+'Inputs'!$B$32)/1000+'Inputs'!$B$21))/SQRT((((488-43)*MAX('Inputs'!$B$33,'Inputs'!$B$29+'Inputs'!$B$31+'Inputs'!$B$32,'Inputs'!$B$30+'Inputs'!$B$31+'Inputs'!$B$32)/1000+'Inputs'!$B$21))^2+('Inputs'!$B$8/2)^2)))-'Results'!B7*(1-'Inputs'!$B$24)*(0.5*((((488-43)*MAX('Inputs'!$B$33,'Inputs'!$B$29+'Inputs'!$B$31+'Inputs'!$B$32,'Inputs'!$B$30+'Inputs'!$B$31+'Inputs'!$B$32)/1000+'Inputs'!$B$21+'Inputs'!$B$9+'Inputs'!$B$10)+'Inputs'!$B$7)/SQRT((((488-43)*MAX('Inputs'!$B$33,'Inputs'!$B$29+'Inputs'!$B$31+'Inputs'!$B$32,'Inputs'!$B$30+'Inputs'!$B$31+'Inputs'!$B$32)/1000+'Inputs'!$B$21+'Inputs'!$B$9+'Inputs'!$B$10)+'Inputs'!$B$7)^2+('Inputs'!$B$6/2)^2)-(((488-43)*MAX('Inputs'!$B$33,'Inputs'!$B$29+'Inputs'!$B$31+'Inputs'!$B$32,'Inputs'!$B$30+'Inputs'!$B$31+'Inputs'!$B$32)/1000+'Inputs'!$B$21+'Inputs'!$B$9+'Inputs'!$B$10))/SQRT((((488-43)*MAX('Inputs'!$B$33,'Inputs'!$B$29+'Inputs'!$B$31+'Inputs'!$B$32,'Inputs'!$B$30+'Inputs'!$B$31+'Inputs'!$B$32)/1000+'Inputs'!$B$21+'Inputs'!$B$9+'Inputs'!$B$10))^2+('Inputs'!$B$6/2)^2))))*'Results'!$B$8)+'Inputs'!$B$28*ABS((('Results'!C7*(1+'Inputs'!$B$24)*(0.5*((((488-43)*MAX('Inputs'!$B$33,'Inputs'!$B$29+'Inputs'!$B$31+'Inputs'!$B$32,'Inputs'!$B$30+'Inputs'!$B$31+'Inputs'!$B$32)/1000+'Inputs'!$B$21)+'Inputs'!$B$9)/SQRT((((488-43)*MAX('Inputs'!$B$33,'Inputs'!$B$29+'Inputs'!$B$31+'Inputs'!$B$32,'Inputs'!$B$30+'Inputs'!$B$31+'Inputs'!$B$32)/1000+'Inputs'!$B$21)+'Inputs'!$B$9)^2+('Inputs'!$B$8/2)^2)-(((488-43)*MAX('Inputs'!$B$33,'Inputs'!$B$29+'Inputs'!$B$31+'Inputs'!$B$32,'Inputs'!$B$30+'Inputs'!$B$31+'Inputs'!$B$32)/1000+'Inputs'!$B$21))/SQRT((((488-43)*MAX('Inputs'!$B$33,'Inputs'!$B$29+'Inputs'!$B$31+'Inputs'!$B$32,'Inputs'!$B$30+'Inputs'!$B$31+'Inputs'!$B$32)/1000+'Inputs'!$B$21))^2+('Inputs'!$B$8/2)^2)))-'Results'!B7*(1-'Inputs'!$B$24)*(0.5*((((488-43)*MAX('Inputs'!$B$33,'Inputs'!$B$29+'Inputs'!$B$31+'Inputs'!$B$32,'Inputs'!$B$30+'Inputs'!$B$31+'Inputs'!$B$32)/1000+'Inputs'!$B$21+'Inputs'!$B$9+'Inputs'!$B$10)+'Inputs'!$B$7)/SQRT((((488-43)*MAX('Inputs'!$B$33,'Inputs'!$B$29+'Inputs'!$B$31+'Inputs'!$B$32,'Inputs'!$B$30+'Inputs'!$B$31+'Inputs'!$B$32)/1000+'Inputs'!$B$21+'Inputs'!$B$9+'Inputs'!$B$10)+'Inputs'!$B$7)^2+('Inputs'!$B$6/2)^2)-(((488-43)*MAX('Inputs'!$B$33,'Inputs'!$B$29+'Inputs'!$B$31+'Inputs'!$B$32,'Inputs'!$B$30+'Inputs'!$B$31+'Inputs'!$B$32)/1000+'Inputs'!$B$21+'Inputs'!$B$9+'Inputs'!$B$10))/SQRT((((488-43)*MAX('Inputs'!$B$33,'Inputs'!$B$29+'Inputs'!$B$31+'Inputs'!$B$32,'Inputs'!$B$30+'Inputs'!$B$31+'Inputs'!$B$32)/1000+'Inputs'!$B$21+'Inputs'!$B$9+'Inputs'!$B$10))^2+('Inputs'!$B$6/2)^2))))*'Results'!$B$8))),"")</x:f>
        <x:v>6.5070373027301525</x:v>
      </x:c>
      <x:c r="P488" t="n">
        <x:f>IF(AND(MAX(J488,J487)&gt;0,J488&gt;J487+0.00000001),1,0)</x:f>
        <x:v>0</x:v>
      </x:c>
      <x:c r="Q488" t="n">
        <x:f>IF(AND(MAX(K488,K487)&gt;0,K488&gt;K487+0.00000001),1,0)</x:f>
        <x:v>0</x:v>
      </x:c>
      <x:c r="R488" t="n">
        <x:f>IF(AND(MAX(L488,L487)&gt;0,L488&gt;L487+0.00000001),1,0)</x:f>
        <x:v>0</x:v>
      </x:c>
      <x:c r="S488" t="n">
        <x:f>IF(AND(MAX(M488,M487)&gt;0,M488&gt;M487+0.00000001),1,0)</x:f>
        <x:v>0</x:v>
      </x:c>
      <x:c r="T488" t="n">
        <x:f>IF(AND(MAX(N488,N487)&gt;0,N488&gt;N487+0.00000001),1,0)</x:f>
        <x:v>0</x:v>
      </x:c>
      <x:c r="U488" t="n">
        <x:f>IF(AND(MAX(O488,O487)&gt;0,O488&gt;O487+0.00000001),1,0)</x:f>
        <x:v>0</x:v>
      </x:c>
    </x:row>
    <x:row r="489">
      <x:c r="J489" t="n">
        <x:f>IF(AND(ISNUMBER('Results'!B7),ISNUMBER('Results'!C7),ISNUMBER('Results'!$B$8),ISNUMBER('Inputs'!$B$6),ISNUMBER('Inputs'!$B$7),ISNUMBER('Inputs'!$B$8),ISNUMBER('Inputs'!$B$9),ISNUMBER('Inputs'!$B$10),ISNUMBER('Inputs'!$B$21),ISNUMBER('Inputs'!$B$24),ISNUMBER('Inputs'!$B$28)),(('Results'!B7*(0.5*((((489-43)*MAX('Inputs'!$B$33,'Inputs'!$B$29+'Inputs'!$B$31+'Inputs'!$B$32,'Inputs'!$B$30+'Inputs'!$B$31+'Inputs'!$B$32)/1000+'Inputs'!$B$21)+'Inputs'!$B$7)/SQRT((((489-43)*MAX('Inputs'!$B$33,'Inputs'!$B$29+'Inputs'!$B$31+'Inputs'!$B$32,'Inputs'!$B$30+'Inputs'!$B$31+'Inputs'!$B$32)/1000+'Inputs'!$B$21)+'Inputs'!$B$7)^2+('Inputs'!$B$6/2)^2)-(((489-43)*MAX('Inputs'!$B$33,'Inputs'!$B$29+'Inputs'!$B$31+'Inputs'!$B$32,'Inputs'!$B$30+'Inputs'!$B$31+'Inputs'!$B$32)/1000+'Inputs'!$B$21))/SQRT((((489-43)*MAX('Inputs'!$B$33,'Inputs'!$B$29+'Inputs'!$B$31+'Inputs'!$B$32,'Inputs'!$B$30+'Inputs'!$B$31+'Inputs'!$B$32)/1000+'Inputs'!$B$21))^2+('Inputs'!$B$6/2)^2)))-'Results'!C7*(0.5*((((489-43)*MAX('Inputs'!$B$33,'Inputs'!$B$29+'Inputs'!$B$31+'Inputs'!$B$32,'Inputs'!$B$30+'Inputs'!$B$31+'Inputs'!$B$32)/1000+'Inputs'!$B$21+'Inputs'!$B$7+'Inputs'!$B$10)+'Inputs'!$B$9)/SQRT((((489-43)*MAX('Inputs'!$B$33,'Inputs'!$B$29+'Inputs'!$B$31+'Inputs'!$B$32,'Inputs'!$B$30+'Inputs'!$B$31+'Inputs'!$B$32)/1000+'Inputs'!$B$21+'Inputs'!$B$7+'Inputs'!$B$10)+'Inputs'!$B$9)^2+('Inputs'!$B$8/2)^2)-(((489-43)*MAX('Inputs'!$B$33,'Inputs'!$B$29+'Inputs'!$B$31+'Inputs'!$B$32,'Inputs'!$B$30+'Inputs'!$B$31+'Inputs'!$B$32)/1000+'Inputs'!$B$21+'Inputs'!$B$7+'Inputs'!$B$10))/SQRT((((489-43)*MAX('Inputs'!$B$33,'Inputs'!$B$29+'Inputs'!$B$31+'Inputs'!$B$32,'Inputs'!$B$30+'Inputs'!$B$31+'Inputs'!$B$32)/1000+'Inputs'!$B$21+'Inputs'!$B$7+'Inputs'!$B$10))^2+('Inputs'!$B$8/2)^2))))*'Results'!$B$8),"")</x:f>
        <x:v>6.155701478573267</x:v>
      </x:c>
      <x:c r="K489" t="n">
        <x:f>IF(AND(ISNUMBER('Results'!B7),ISNUMBER('Results'!C7),ISNUMBER('Results'!$B$8),ISNUMBER('Inputs'!$B$6),ISNUMBER('Inputs'!$B$7),ISNUMBER('Inputs'!$B$8),ISNUMBER('Inputs'!$B$9),ISNUMBER('Inputs'!$B$10),ISNUMBER('Inputs'!$B$21),ISNUMBER('Inputs'!$B$24),ISNUMBER('Inputs'!$B$28)),((('Results'!B7*(1-'Inputs'!$B$24)*(0.5*((((489-43)*MAX('Inputs'!$B$33,'Inputs'!$B$29+'Inputs'!$B$31+'Inputs'!$B$32,'Inputs'!$B$30+'Inputs'!$B$31+'Inputs'!$B$32)/1000+'Inputs'!$B$21)+'Inputs'!$B$7)/SQRT((((489-43)*MAX('Inputs'!$B$33,'Inputs'!$B$29+'Inputs'!$B$31+'Inputs'!$B$32,'Inputs'!$B$30+'Inputs'!$B$31+'Inputs'!$B$32)/1000+'Inputs'!$B$21)+'Inputs'!$B$7)^2+('Inputs'!$B$6/2)^2)-(((489-43)*MAX('Inputs'!$B$33,'Inputs'!$B$29+'Inputs'!$B$31+'Inputs'!$B$32,'Inputs'!$B$30+'Inputs'!$B$31+'Inputs'!$B$32)/1000+'Inputs'!$B$21))/SQRT((((489-43)*MAX('Inputs'!$B$33,'Inputs'!$B$29+'Inputs'!$B$31+'Inputs'!$B$32,'Inputs'!$B$30+'Inputs'!$B$31+'Inputs'!$B$32)/1000+'Inputs'!$B$21))^2+('Inputs'!$B$6/2)^2)))-'Results'!C7*(1+'Inputs'!$B$24)*(0.5*((((489-43)*MAX('Inputs'!$B$33,'Inputs'!$B$29+'Inputs'!$B$31+'Inputs'!$B$32,'Inputs'!$B$30+'Inputs'!$B$31+'Inputs'!$B$32)/1000+'Inputs'!$B$21+'Inputs'!$B$7+'Inputs'!$B$10)+'Inputs'!$B$9)/SQRT((((489-43)*MAX('Inputs'!$B$33,'Inputs'!$B$29+'Inputs'!$B$31+'Inputs'!$B$32,'Inputs'!$B$30+'Inputs'!$B$31+'Inputs'!$B$32)/1000+'Inputs'!$B$21+'Inputs'!$B$7+'Inputs'!$B$10)+'Inputs'!$B$9)^2+('Inputs'!$B$8/2)^2)-(((489-43)*MAX('Inputs'!$B$33,'Inputs'!$B$29+'Inputs'!$B$31+'Inputs'!$B$32,'Inputs'!$B$30+'Inputs'!$B$31+'Inputs'!$B$32)/1000+'Inputs'!$B$21+'Inputs'!$B$7+'Inputs'!$B$10))/SQRT((((489-43)*MAX('Inputs'!$B$33,'Inputs'!$B$29+'Inputs'!$B$31+'Inputs'!$B$32,'Inputs'!$B$30+'Inputs'!$B$31+'Inputs'!$B$32)/1000+'Inputs'!$B$21+'Inputs'!$B$7+'Inputs'!$B$10))^2+('Inputs'!$B$8/2)^2))))*'Results'!$B$8)-'Inputs'!$B$28*ABS((('Results'!B7*(1-'Inputs'!$B$24)*(0.5*((((489-43)*MAX('Inputs'!$B$33,'Inputs'!$B$29+'Inputs'!$B$31+'Inputs'!$B$32,'Inputs'!$B$30+'Inputs'!$B$31+'Inputs'!$B$32)/1000+'Inputs'!$B$21)+'Inputs'!$B$7)/SQRT((((489-43)*MAX('Inputs'!$B$33,'Inputs'!$B$29+'Inputs'!$B$31+'Inputs'!$B$32,'Inputs'!$B$30+'Inputs'!$B$31+'Inputs'!$B$32)/1000+'Inputs'!$B$21)+'Inputs'!$B$7)^2+('Inputs'!$B$6/2)^2)-(((489-43)*MAX('Inputs'!$B$33,'Inputs'!$B$29+'Inputs'!$B$31+'Inputs'!$B$32,'Inputs'!$B$30+'Inputs'!$B$31+'Inputs'!$B$32)/1000+'Inputs'!$B$21))/SQRT((((489-43)*MAX('Inputs'!$B$33,'Inputs'!$B$29+'Inputs'!$B$31+'Inputs'!$B$32,'Inputs'!$B$30+'Inputs'!$B$31+'Inputs'!$B$32)/1000+'Inputs'!$B$21))^2+('Inputs'!$B$6/2)^2)))-'Results'!C7*(1+'Inputs'!$B$24)*(0.5*((((489-43)*MAX('Inputs'!$B$33,'Inputs'!$B$29+'Inputs'!$B$31+'Inputs'!$B$32,'Inputs'!$B$30+'Inputs'!$B$31+'Inputs'!$B$32)/1000+'Inputs'!$B$21+'Inputs'!$B$7+'Inputs'!$B$10)+'Inputs'!$B$9)/SQRT((((489-43)*MAX('Inputs'!$B$33,'Inputs'!$B$29+'Inputs'!$B$31+'Inputs'!$B$32,'Inputs'!$B$30+'Inputs'!$B$31+'Inputs'!$B$32)/1000+'Inputs'!$B$21+'Inputs'!$B$7+'Inputs'!$B$10)+'Inputs'!$B$9)^2+('Inputs'!$B$8/2)^2)-(((489-43)*MAX('Inputs'!$B$33,'Inputs'!$B$29+'Inputs'!$B$31+'Inputs'!$B$32,'Inputs'!$B$30+'Inputs'!$B$31+'Inputs'!$B$32)/1000+'Inputs'!$B$21+'Inputs'!$B$7+'Inputs'!$B$10))/SQRT((((489-43)*MAX('Inputs'!$B$33,'Inputs'!$B$29+'Inputs'!$B$31+'Inputs'!$B$32,'Inputs'!$B$30+'Inputs'!$B$31+'Inputs'!$B$32)/1000+'Inputs'!$B$21+'Inputs'!$B$7+'Inputs'!$B$10))^2+('Inputs'!$B$8/2)^2))))*'Results'!$B$8))),"")</x:f>
        <x:v>5.484056455432589</x:v>
      </x:c>
      <x:c r="L489" t="n">
        <x:f>IF(AND(ISNUMBER('Results'!B7),ISNUMBER('Results'!C7),ISNUMBER('Results'!$B$8),ISNUMBER('Inputs'!$B$6),ISNUMBER('Inputs'!$B$7),ISNUMBER('Inputs'!$B$8),ISNUMBER('Inputs'!$B$9),ISNUMBER('Inputs'!$B$10),ISNUMBER('Inputs'!$B$21),ISNUMBER('Inputs'!$B$24),ISNUMBER('Inputs'!$B$28)),((('Results'!B7*(1+'Inputs'!$B$24)*(0.5*((((489-43)*MAX('Inputs'!$B$33,'Inputs'!$B$29+'Inputs'!$B$31+'Inputs'!$B$32,'Inputs'!$B$30+'Inputs'!$B$31+'Inputs'!$B$32)/1000+'Inputs'!$B$21)+'Inputs'!$B$7)/SQRT((((489-43)*MAX('Inputs'!$B$33,'Inputs'!$B$29+'Inputs'!$B$31+'Inputs'!$B$32,'Inputs'!$B$30+'Inputs'!$B$31+'Inputs'!$B$32)/1000+'Inputs'!$B$21)+'Inputs'!$B$7)^2+('Inputs'!$B$6/2)^2)-(((489-43)*MAX('Inputs'!$B$33,'Inputs'!$B$29+'Inputs'!$B$31+'Inputs'!$B$32,'Inputs'!$B$30+'Inputs'!$B$31+'Inputs'!$B$32)/1000+'Inputs'!$B$21))/SQRT((((489-43)*MAX('Inputs'!$B$33,'Inputs'!$B$29+'Inputs'!$B$31+'Inputs'!$B$32,'Inputs'!$B$30+'Inputs'!$B$31+'Inputs'!$B$32)/1000+'Inputs'!$B$21))^2+('Inputs'!$B$6/2)^2)))-'Results'!C7*(1-'Inputs'!$B$24)*(0.5*((((489-43)*MAX('Inputs'!$B$33,'Inputs'!$B$29+'Inputs'!$B$31+'Inputs'!$B$32,'Inputs'!$B$30+'Inputs'!$B$31+'Inputs'!$B$32)/1000+'Inputs'!$B$21+'Inputs'!$B$7+'Inputs'!$B$10)+'Inputs'!$B$9)/SQRT((((489-43)*MAX('Inputs'!$B$33,'Inputs'!$B$29+'Inputs'!$B$31+'Inputs'!$B$32,'Inputs'!$B$30+'Inputs'!$B$31+'Inputs'!$B$32)/1000+'Inputs'!$B$21+'Inputs'!$B$7+'Inputs'!$B$10)+'Inputs'!$B$9)^2+('Inputs'!$B$8/2)^2)-(((489-43)*MAX('Inputs'!$B$33,'Inputs'!$B$29+'Inputs'!$B$31+'Inputs'!$B$32,'Inputs'!$B$30+'Inputs'!$B$31+'Inputs'!$B$32)/1000+'Inputs'!$B$21+'Inputs'!$B$7+'Inputs'!$B$10))/SQRT((((489-43)*MAX('Inputs'!$B$33,'Inputs'!$B$29+'Inputs'!$B$31+'Inputs'!$B$32,'Inputs'!$B$30+'Inputs'!$B$31+'Inputs'!$B$32)/1000+'Inputs'!$B$21+'Inputs'!$B$7+'Inputs'!$B$10))^2+('Inputs'!$B$8/2)^2))))*'Results'!$B$8)+'Inputs'!$B$28*ABS((('Results'!B7*(1+'Inputs'!$B$24)*(0.5*((((489-43)*MAX('Inputs'!$B$33,'Inputs'!$B$29+'Inputs'!$B$31+'Inputs'!$B$32,'Inputs'!$B$30+'Inputs'!$B$31+'Inputs'!$B$32)/1000+'Inputs'!$B$21)+'Inputs'!$B$7)/SQRT((((489-43)*MAX('Inputs'!$B$33,'Inputs'!$B$29+'Inputs'!$B$31+'Inputs'!$B$32,'Inputs'!$B$30+'Inputs'!$B$31+'Inputs'!$B$32)/1000+'Inputs'!$B$21)+'Inputs'!$B$7)^2+('Inputs'!$B$6/2)^2)-(((489-43)*MAX('Inputs'!$B$33,'Inputs'!$B$29+'Inputs'!$B$31+'Inputs'!$B$32,'Inputs'!$B$30+'Inputs'!$B$31+'Inputs'!$B$32)/1000+'Inputs'!$B$21))/SQRT((((489-43)*MAX('Inputs'!$B$33,'Inputs'!$B$29+'Inputs'!$B$31+'Inputs'!$B$32,'Inputs'!$B$30+'Inputs'!$B$31+'Inputs'!$B$32)/1000+'Inputs'!$B$21))^2+('Inputs'!$B$6/2)^2)))-'Results'!C7*(1-'Inputs'!$B$24)*(0.5*((((489-43)*MAX('Inputs'!$B$33,'Inputs'!$B$29+'Inputs'!$B$31+'Inputs'!$B$32,'Inputs'!$B$30+'Inputs'!$B$31+'Inputs'!$B$32)/1000+'Inputs'!$B$21+'Inputs'!$B$7+'Inputs'!$B$10)+'Inputs'!$B$9)/SQRT((((489-43)*MAX('Inputs'!$B$33,'Inputs'!$B$29+'Inputs'!$B$31+'Inputs'!$B$32,'Inputs'!$B$30+'Inputs'!$B$31+'Inputs'!$B$32)/1000+'Inputs'!$B$21+'Inputs'!$B$7+'Inputs'!$B$10)+'Inputs'!$B$9)^2+('Inputs'!$B$8/2)^2)-(((489-43)*MAX('Inputs'!$B$33,'Inputs'!$B$29+'Inputs'!$B$31+'Inputs'!$B$32,'Inputs'!$B$30+'Inputs'!$B$31+'Inputs'!$B$32)/1000+'Inputs'!$B$21+'Inputs'!$B$7+'Inputs'!$B$10))/SQRT((((489-43)*MAX('Inputs'!$B$33,'Inputs'!$B$29+'Inputs'!$B$31+'Inputs'!$B$32,'Inputs'!$B$30+'Inputs'!$B$31+'Inputs'!$B$32)/1000+'Inputs'!$B$21+'Inputs'!$B$7+'Inputs'!$B$10))^2+('Inputs'!$B$8/2)^2))))*'Results'!$B$8))),"")</x:f>
        <x:v>6.865647548999421</x:v>
      </x:c>
      <x:c r="M489" t="n">
        <x:f>IF(AND(ISNUMBER('Results'!C7),ISNUMBER('Results'!B7),ISNUMBER('Results'!$B$8),ISNUMBER('Inputs'!$B$6),ISNUMBER('Inputs'!$B$7),ISNUMBER('Inputs'!$B$8),ISNUMBER('Inputs'!$B$9),ISNUMBER('Inputs'!$B$10),ISNUMBER('Inputs'!$B$21),ISNUMBER('Inputs'!$B$24),ISNUMBER('Inputs'!$B$28)),(('Results'!C7*(0.5*((((489-43)*MAX('Inputs'!$B$33,'Inputs'!$B$29+'Inputs'!$B$31+'Inputs'!$B$32,'Inputs'!$B$30+'Inputs'!$B$31+'Inputs'!$B$32)/1000+'Inputs'!$B$21)+'Inputs'!$B$9)/SQRT((((489-43)*MAX('Inputs'!$B$33,'Inputs'!$B$29+'Inputs'!$B$31+'Inputs'!$B$32,'Inputs'!$B$30+'Inputs'!$B$31+'Inputs'!$B$32)/1000+'Inputs'!$B$21)+'Inputs'!$B$9)^2+('Inputs'!$B$8/2)^2)-(((489-43)*MAX('Inputs'!$B$33,'Inputs'!$B$29+'Inputs'!$B$31+'Inputs'!$B$32,'Inputs'!$B$30+'Inputs'!$B$31+'Inputs'!$B$32)/1000+'Inputs'!$B$21))/SQRT((((489-43)*MAX('Inputs'!$B$33,'Inputs'!$B$29+'Inputs'!$B$31+'Inputs'!$B$32,'Inputs'!$B$30+'Inputs'!$B$31+'Inputs'!$B$32)/1000+'Inputs'!$B$21))^2+('Inputs'!$B$8/2)^2)))-'Results'!B7*(0.5*((((489-43)*MAX('Inputs'!$B$33,'Inputs'!$B$29+'Inputs'!$B$31+'Inputs'!$B$32,'Inputs'!$B$30+'Inputs'!$B$31+'Inputs'!$B$32)/1000+'Inputs'!$B$21+'Inputs'!$B$9+'Inputs'!$B$10)+'Inputs'!$B$7)/SQRT((((489-43)*MAX('Inputs'!$B$33,'Inputs'!$B$29+'Inputs'!$B$31+'Inputs'!$B$32,'Inputs'!$B$30+'Inputs'!$B$31+'Inputs'!$B$32)/1000+'Inputs'!$B$21+'Inputs'!$B$9+'Inputs'!$B$10)+'Inputs'!$B$7)^2+('Inputs'!$B$6/2)^2)-(((489-43)*MAX('Inputs'!$B$33,'Inputs'!$B$29+'Inputs'!$B$31+'Inputs'!$B$32,'Inputs'!$B$30+'Inputs'!$B$31+'Inputs'!$B$32)/1000+'Inputs'!$B$21+'Inputs'!$B$9+'Inputs'!$B$10))/SQRT((((489-43)*MAX('Inputs'!$B$33,'Inputs'!$B$29+'Inputs'!$B$31+'Inputs'!$B$32,'Inputs'!$B$30+'Inputs'!$B$31+'Inputs'!$B$32)/1000+'Inputs'!$B$21+'Inputs'!$B$9+'Inputs'!$B$10))^2+('Inputs'!$B$6/2)^2))))*'Results'!$B$8),"")</x:f>
        <x:v>5.770039001195216</x:v>
      </x:c>
      <x:c r="N489" t="n">
        <x:f>IF(AND(ISNUMBER('Results'!C7),ISNUMBER('Results'!B7),ISNUMBER('Results'!$B$8),ISNUMBER('Inputs'!$B$6),ISNUMBER('Inputs'!$B$7),ISNUMBER('Inputs'!$B$8),ISNUMBER('Inputs'!$B$9),ISNUMBER('Inputs'!$B$10),ISNUMBER('Inputs'!$B$21),ISNUMBER('Inputs'!$B$24),ISNUMBER('Inputs'!$B$28)),((('Results'!C7*(1-'Inputs'!$B$24)*(0.5*((((489-43)*MAX('Inputs'!$B$33,'Inputs'!$B$29+'Inputs'!$B$31+'Inputs'!$B$32,'Inputs'!$B$30+'Inputs'!$B$31+'Inputs'!$B$32)/1000+'Inputs'!$B$21)+'Inputs'!$B$9)/SQRT((((489-43)*MAX('Inputs'!$B$33,'Inputs'!$B$29+'Inputs'!$B$31+'Inputs'!$B$32,'Inputs'!$B$30+'Inputs'!$B$31+'Inputs'!$B$32)/1000+'Inputs'!$B$21)+'Inputs'!$B$9)^2+('Inputs'!$B$8/2)^2)-(((489-43)*MAX('Inputs'!$B$33,'Inputs'!$B$29+'Inputs'!$B$31+'Inputs'!$B$32,'Inputs'!$B$30+'Inputs'!$B$31+'Inputs'!$B$32)/1000+'Inputs'!$B$21))/SQRT((((489-43)*MAX('Inputs'!$B$33,'Inputs'!$B$29+'Inputs'!$B$31+'Inputs'!$B$32,'Inputs'!$B$30+'Inputs'!$B$31+'Inputs'!$B$32)/1000+'Inputs'!$B$21))^2+('Inputs'!$B$8/2)^2)))-'Results'!B7*(1+'Inputs'!$B$24)*(0.5*((((489-43)*MAX('Inputs'!$B$33,'Inputs'!$B$29+'Inputs'!$B$31+'Inputs'!$B$32,'Inputs'!$B$30+'Inputs'!$B$31+'Inputs'!$B$32)/1000+'Inputs'!$B$21+'Inputs'!$B$9+'Inputs'!$B$10)+'Inputs'!$B$7)/SQRT((((489-43)*MAX('Inputs'!$B$33,'Inputs'!$B$29+'Inputs'!$B$31+'Inputs'!$B$32,'Inputs'!$B$30+'Inputs'!$B$31+'Inputs'!$B$32)/1000+'Inputs'!$B$21+'Inputs'!$B$9+'Inputs'!$B$10)+'Inputs'!$B$7)^2+('Inputs'!$B$6/2)^2)-(((489-43)*MAX('Inputs'!$B$33,'Inputs'!$B$29+'Inputs'!$B$31+'Inputs'!$B$32,'Inputs'!$B$30+'Inputs'!$B$31+'Inputs'!$B$32)/1000+'Inputs'!$B$21+'Inputs'!$B$9+'Inputs'!$B$10))/SQRT((((489-43)*MAX('Inputs'!$B$33,'Inputs'!$B$29+'Inputs'!$B$31+'Inputs'!$B$32,'Inputs'!$B$30+'Inputs'!$B$31+'Inputs'!$B$32)/1000+'Inputs'!$B$21+'Inputs'!$B$9+'Inputs'!$B$10))^2+('Inputs'!$B$6/2)^2))))*'Results'!$B$8)-'Inputs'!$B$28*ABS((('Results'!C7*(1-'Inputs'!$B$24)*(0.5*((((489-43)*MAX('Inputs'!$B$33,'Inputs'!$B$29+'Inputs'!$B$31+'Inputs'!$B$32,'Inputs'!$B$30+'Inputs'!$B$31+'Inputs'!$B$32)/1000+'Inputs'!$B$21)+'Inputs'!$B$9)/SQRT((((489-43)*MAX('Inputs'!$B$33,'Inputs'!$B$29+'Inputs'!$B$31+'Inputs'!$B$32,'Inputs'!$B$30+'Inputs'!$B$31+'Inputs'!$B$32)/1000+'Inputs'!$B$21)+'Inputs'!$B$9)^2+('Inputs'!$B$8/2)^2)-(((489-43)*MAX('Inputs'!$B$33,'Inputs'!$B$29+'Inputs'!$B$31+'Inputs'!$B$32,'Inputs'!$B$30+'Inputs'!$B$31+'Inputs'!$B$32)/1000+'Inputs'!$B$21))/SQRT((((489-43)*MAX('Inputs'!$B$33,'Inputs'!$B$29+'Inputs'!$B$31+'Inputs'!$B$32,'Inputs'!$B$30+'Inputs'!$B$31+'Inputs'!$B$32)/1000+'Inputs'!$B$21))^2+('Inputs'!$B$8/2)^2)))-'Results'!B7*(1+'Inputs'!$B$24)*(0.5*((((489-43)*MAX('Inputs'!$B$33,'Inputs'!$B$29+'Inputs'!$B$31+'Inputs'!$B$32,'Inputs'!$B$30+'Inputs'!$B$31+'Inputs'!$B$32)/1000+'Inputs'!$B$21+'Inputs'!$B$9+'Inputs'!$B$10)+'Inputs'!$B$7)/SQRT((((489-43)*MAX('Inputs'!$B$33,'Inputs'!$B$29+'Inputs'!$B$31+'Inputs'!$B$32,'Inputs'!$B$30+'Inputs'!$B$31+'Inputs'!$B$32)/1000+'Inputs'!$B$21+'Inputs'!$B$9+'Inputs'!$B$10)+'Inputs'!$B$7)^2+('Inputs'!$B$6/2)^2)-(((489-43)*MAX('Inputs'!$B$33,'Inputs'!$B$29+'Inputs'!$B$31+'Inputs'!$B$32,'Inputs'!$B$30+'Inputs'!$B$31+'Inputs'!$B$32)/1000+'Inputs'!$B$21+'Inputs'!$B$9+'Inputs'!$B$10))/SQRT((((489-43)*MAX('Inputs'!$B$33,'Inputs'!$B$29+'Inputs'!$B$31+'Inputs'!$B$32,'Inputs'!$B$30+'Inputs'!$B$31+'Inputs'!$B$32)/1000+'Inputs'!$B$21+'Inputs'!$B$9+'Inputs'!$B$10))^2+('Inputs'!$B$6/2)^2))))*'Results'!$B$8))),"")</x:f>
        <x:v>5.119965880399356</x:v>
      </x:c>
      <x:c r="O489" t="n">
        <x:f>IF(AND(ISNUMBER('Results'!C7),ISNUMBER('Results'!B7),ISNUMBER('Results'!$B$8),ISNUMBER('Inputs'!$B$6),ISNUMBER('Inputs'!$B$7),ISNUMBER('Inputs'!$B$8),ISNUMBER('Inputs'!$B$9),ISNUMBER('Inputs'!$B$10),ISNUMBER('Inputs'!$B$21),ISNUMBER('Inputs'!$B$24),ISNUMBER('Inputs'!$B$28)),((('Results'!C7*(1+'Inputs'!$B$24)*(0.5*((((489-43)*MAX('Inputs'!$B$33,'Inputs'!$B$29+'Inputs'!$B$31+'Inputs'!$B$32,'Inputs'!$B$30+'Inputs'!$B$31+'Inputs'!$B$32)/1000+'Inputs'!$B$21)+'Inputs'!$B$9)/SQRT((((489-43)*MAX('Inputs'!$B$33,'Inputs'!$B$29+'Inputs'!$B$31+'Inputs'!$B$32,'Inputs'!$B$30+'Inputs'!$B$31+'Inputs'!$B$32)/1000+'Inputs'!$B$21)+'Inputs'!$B$9)^2+('Inputs'!$B$8/2)^2)-(((489-43)*MAX('Inputs'!$B$33,'Inputs'!$B$29+'Inputs'!$B$31+'Inputs'!$B$32,'Inputs'!$B$30+'Inputs'!$B$31+'Inputs'!$B$32)/1000+'Inputs'!$B$21))/SQRT((((489-43)*MAX('Inputs'!$B$33,'Inputs'!$B$29+'Inputs'!$B$31+'Inputs'!$B$32,'Inputs'!$B$30+'Inputs'!$B$31+'Inputs'!$B$32)/1000+'Inputs'!$B$21))^2+('Inputs'!$B$8/2)^2)))-'Results'!B7*(1-'Inputs'!$B$24)*(0.5*((((489-43)*MAX('Inputs'!$B$33,'Inputs'!$B$29+'Inputs'!$B$31+'Inputs'!$B$32,'Inputs'!$B$30+'Inputs'!$B$31+'Inputs'!$B$32)/1000+'Inputs'!$B$21+'Inputs'!$B$9+'Inputs'!$B$10)+'Inputs'!$B$7)/SQRT((((489-43)*MAX('Inputs'!$B$33,'Inputs'!$B$29+'Inputs'!$B$31+'Inputs'!$B$32,'Inputs'!$B$30+'Inputs'!$B$31+'Inputs'!$B$32)/1000+'Inputs'!$B$21+'Inputs'!$B$9+'Inputs'!$B$10)+'Inputs'!$B$7)^2+('Inputs'!$B$6/2)^2)-(((489-43)*MAX('Inputs'!$B$33,'Inputs'!$B$29+'Inputs'!$B$31+'Inputs'!$B$32,'Inputs'!$B$30+'Inputs'!$B$31+'Inputs'!$B$32)/1000+'Inputs'!$B$21+'Inputs'!$B$9+'Inputs'!$B$10))/SQRT((((489-43)*MAX('Inputs'!$B$33,'Inputs'!$B$29+'Inputs'!$B$31+'Inputs'!$B$32,'Inputs'!$B$30+'Inputs'!$B$31+'Inputs'!$B$32)/1000+'Inputs'!$B$21+'Inputs'!$B$9+'Inputs'!$B$10))^2+('Inputs'!$B$6/2)^2))))*'Results'!$B$8)+'Inputs'!$B$28*ABS((('Results'!C7*(1+'Inputs'!$B$24)*(0.5*((((489-43)*MAX('Inputs'!$B$33,'Inputs'!$B$29+'Inputs'!$B$31+'Inputs'!$B$32,'Inputs'!$B$30+'Inputs'!$B$31+'Inputs'!$B$32)/1000+'Inputs'!$B$21)+'Inputs'!$B$9)/SQRT((((489-43)*MAX('Inputs'!$B$33,'Inputs'!$B$29+'Inputs'!$B$31+'Inputs'!$B$32,'Inputs'!$B$30+'Inputs'!$B$31+'Inputs'!$B$32)/1000+'Inputs'!$B$21)+'Inputs'!$B$9)^2+('Inputs'!$B$8/2)^2)-(((489-43)*MAX('Inputs'!$B$33,'Inputs'!$B$29+'Inputs'!$B$31+'Inputs'!$B$32,'Inputs'!$B$30+'Inputs'!$B$31+'Inputs'!$B$32)/1000+'Inputs'!$B$21))/SQRT((((489-43)*MAX('Inputs'!$B$33,'Inputs'!$B$29+'Inputs'!$B$31+'Inputs'!$B$32,'Inputs'!$B$30+'Inputs'!$B$31+'Inputs'!$B$32)/1000+'Inputs'!$B$21))^2+('Inputs'!$B$8/2)^2)))-'Results'!B7*(1-'Inputs'!$B$24)*(0.5*((((489-43)*MAX('Inputs'!$B$33,'Inputs'!$B$29+'Inputs'!$B$31+'Inputs'!$B$32,'Inputs'!$B$30+'Inputs'!$B$31+'Inputs'!$B$32)/1000+'Inputs'!$B$21+'Inputs'!$B$9+'Inputs'!$B$10)+'Inputs'!$B$7)/SQRT((((489-43)*MAX('Inputs'!$B$33,'Inputs'!$B$29+'Inputs'!$B$31+'Inputs'!$B$32,'Inputs'!$B$30+'Inputs'!$B$31+'Inputs'!$B$32)/1000+'Inputs'!$B$21+'Inputs'!$B$9+'Inputs'!$B$10)+'Inputs'!$B$7)^2+('Inputs'!$B$6/2)^2)-(((489-43)*MAX('Inputs'!$B$33,'Inputs'!$B$29+'Inputs'!$B$31+'Inputs'!$B$32,'Inputs'!$B$30+'Inputs'!$B$31+'Inputs'!$B$32)/1000+'Inputs'!$B$21+'Inputs'!$B$9+'Inputs'!$B$10))/SQRT((((489-43)*MAX('Inputs'!$B$33,'Inputs'!$B$29+'Inputs'!$B$31+'Inputs'!$B$32,'Inputs'!$B$30+'Inputs'!$B$31+'Inputs'!$B$32)/1000+'Inputs'!$B$21+'Inputs'!$B$9+'Inputs'!$B$10))^2+('Inputs'!$B$6/2)^2))))*'Results'!$B$8))),"")</x:f>
        <x:v>6.458172245226456</x:v>
      </x:c>
      <x:c r="P489" t="n">
        <x:f>IF(AND(MAX(J489,J488)&gt;0,J489&gt;J488+0.00000001),1,0)</x:f>
        <x:v>0</x:v>
      </x:c>
      <x:c r="Q489" t="n">
        <x:f>IF(AND(MAX(K489,K488)&gt;0,K489&gt;K488+0.00000001),1,0)</x:f>
        <x:v>0</x:v>
      </x:c>
      <x:c r="R489" t="n">
        <x:f>IF(AND(MAX(L489,L488)&gt;0,L489&gt;L488+0.00000001),1,0)</x:f>
        <x:v>0</x:v>
      </x:c>
      <x:c r="S489" t="n">
        <x:f>IF(AND(MAX(M489,M488)&gt;0,M489&gt;M488+0.00000001),1,0)</x:f>
        <x:v>0</x:v>
      </x:c>
      <x:c r="T489" t="n">
        <x:f>IF(AND(MAX(N489,N488)&gt;0,N489&gt;N488+0.00000001),1,0)</x:f>
        <x:v>0</x:v>
      </x:c>
      <x:c r="U489" t="n">
        <x:f>IF(AND(MAX(O489,O488)&gt;0,O489&gt;O488+0.00000001),1,0)</x:f>
        <x:v>0</x:v>
      </x:c>
    </x:row>
    <x:row r="490">
      <x:c r="J490" t="n">
        <x:f>IF(AND(ISNUMBER('Results'!B7),ISNUMBER('Results'!C7),ISNUMBER('Results'!$B$8),ISNUMBER('Inputs'!$B$6),ISNUMBER('Inputs'!$B$7),ISNUMBER('Inputs'!$B$8),ISNUMBER('Inputs'!$B$9),ISNUMBER('Inputs'!$B$10),ISNUMBER('Inputs'!$B$21),ISNUMBER('Inputs'!$B$24),ISNUMBER('Inputs'!$B$28)),(('Results'!B7*(0.5*((((490-43)*MAX('Inputs'!$B$33,'Inputs'!$B$29+'Inputs'!$B$31+'Inputs'!$B$32,'Inputs'!$B$30+'Inputs'!$B$31+'Inputs'!$B$32)/1000+'Inputs'!$B$21)+'Inputs'!$B$7)/SQRT((((490-43)*MAX('Inputs'!$B$33,'Inputs'!$B$29+'Inputs'!$B$31+'Inputs'!$B$32,'Inputs'!$B$30+'Inputs'!$B$31+'Inputs'!$B$32)/1000+'Inputs'!$B$21)+'Inputs'!$B$7)^2+('Inputs'!$B$6/2)^2)-(((490-43)*MAX('Inputs'!$B$33,'Inputs'!$B$29+'Inputs'!$B$31+'Inputs'!$B$32,'Inputs'!$B$30+'Inputs'!$B$31+'Inputs'!$B$32)/1000+'Inputs'!$B$21))/SQRT((((490-43)*MAX('Inputs'!$B$33,'Inputs'!$B$29+'Inputs'!$B$31+'Inputs'!$B$32,'Inputs'!$B$30+'Inputs'!$B$31+'Inputs'!$B$32)/1000+'Inputs'!$B$21))^2+('Inputs'!$B$6/2)^2)))-'Results'!C7*(0.5*((((490-43)*MAX('Inputs'!$B$33,'Inputs'!$B$29+'Inputs'!$B$31+'Inputs'!$B$32,'Inputs'!$B$30+'Inputs'!$B$31+'Inputs'!$B$32)/1000+'Inputs'!$B$21+'Inputs'!$B$7+'Inputs'!$B$10)+'Inputs'!$B$9)/SQRT((((490-43)*MAX('Inputs'!$B$33,'Inputs'!$B$29+'Inputs'!$B$31+'Inputs'!$B$32,'Inputs'!$B$30+'Inputs'!$B$31+'Inputs'!$B$32)/1000+'Inputs'!$B$21+'Inputs'!$B$7+'Inputs'!$B$10)+'Inputs'!$B$9)^2+('Inputs'!$B$8/2)^2)-(((490-43)*MAX('Inputs'!$B$33,'Inputs'!$B$29+'Inputs'!$B$31+'Inputs'!$B$32,'Inputs'!$B$30+'Inputs'!$B$31+'Inputs'!$B$32)/1000+'Inputs'!$B$21+'Inputs'!$B$7+'Inputs'!$B$10))/SQRT((((490-43)*MAX('Inputs'!$B$33,'Inputs'!$B$29+'Inputs'!$B$31+'Inputs'!$B$32,'Inputs'!$B$30+'Inputs'!$B$31+'Inputs'!$B$32)/1000+'Inputs'!$B$21+'Inputs'!$B$7+'Inputs'!$B$10))^2+('Inputs'!$B$8/2)^2))))*'Results'!$B$8),"")</x:f>
        <x:v>6.109567988468235</x:v>
      </x:c>
      <x:c r="K490" t="n">
        <x:f>IF(AND(ISNUMBER('Results'!B7),ISNUMBER('Results'!C7),ISNUMBER('Results'!$B$8),ISNUMBER('Inputs'!$B$6),ISNUMBER('Inputs'!$B$7),ISNUMBER('Inputs'!$B$8),ISNUMBER('Inputs'!$B$9),ISNUMBER('Inputs'!$B$10),ISNUMBER('Inputs'!$B$21),ISNUMBER('Inputs'!$B$24),ISNUMBER('Inputs'!$B$28)),((('Results'!B7*(1-'Inputs'!$B$24)*(0.5*((((490-43)*MAX('Inputs'!$B$33,'Inputs'!$B$29+'Inputs'!$B$31+'Inputs'!$B$32,'Inputs'!$B$30+'Inputs'!$B$31+'Inputs'!$B$32)/1000+'Inputs'!$B$21)+'Inputs'!$B$7)/SQRT((((490-43)*MAX('Inputs'!$B$33,'Inputs'!$B$29+'Inputs'!$B$31+'Inputs'!$B$32,'Inputs'!$B$30+'Inputs'!$B$31+'Inputs'!$B$32)/1000+'Inputs'!$B$21)+'Inputs'!$B$7)^2+('Inputs'!$B$6/2)^2)-(((490-43)*MAX('Inputs'!$B$33,'Inputs'!$B$29+'Inputs'!$B$31+'Inputs'!$B$32,'Inputs'!$B$30+'Inputs'!$B$31+'Inputs'!$B$32)/1000+'Inputs'!$B$21))/SQRT((((490-43)*MAX('Inputs'!$B$33,'Inputs'!$B$29+'Inputs'!$B$31+'Inputs'!$B$32,'Inputs'!$B$30+'Inputs'!$B$31+'Inputs'!$B$32)/1000+'Inputs'!$B$21))^2+('Inputs'!$B$6/2)^2)))-'Results'!C7*(1+'Inputs'!$B$24)*(0.5*((((490-43)*MAX('Inputs'!$B$33,'Inputs'!$B$29+'Inputs'!$B$31+'Inputs'!$B$32,'Inputs'!$B$30+'Inputs'!$B$31+'Inputs'!$B$32)/1000+'Inputs'!$B$21+'Inputs'!$B$7+'Inputs'!$B$10)+'Inputs'!$B$9)/SQRT((((490-43)*MAX('Inputs'!$B$33,'Inputs'!$B$29+'Inputs'!$B$31+'Inputs'!$B$32,'Inputs'!$B$30+'Inputs'!$B$31+'Inputs'!$B$32)/1000+'Inputs'!$B$21+'Inputs'!$B$7+'Inputs'!$B$10)+'Inputs'!$B$9)^2+('Inputs'!$B$8/2)^2)-(((490-43)*MAX('Inputs'!$B$33,'Inputs'!$B$29+'Inputs'!$B$31+'Inputs'!$B$32,'Inputs'!$B$30+'Inputs'!$B$31+'Inputs'!$B$32)/1000+'Inputs'!$B$21+'Inputs'!$B$7+'Inputs'!$B$10))/SQRT((((490-43)*MAX('Inputs'!$B$33,'Inputs'!$B$29+'Inputs'!$B$31+'Inputs'!$B$32,'Inputs'!$B$30+'Inputs'!$B$31+'Inputs'!$B$32)/1000+'Inputs'!$B$21+'Inputs'!$B$7+'Inputs'!$B$10))^2+('Inputs'!$B$8/2)^2))))*'Results'!$B$8)-'Inputs'!$B$28*ABS((('Results'!B7*(1-'Inputs'!$B$24)*(0.5*((((490-43)*MAX('Inputs'!$B$33,'Inputs'!$B$29+'Inputs'!$B$31+'Inputs'!$B$32,'Inputs'!$B$30+'Inputs'!$B$31+'Inputs'!$B$32)/1000+'Inputs'!$B$21)+'Inputs'!$B$7)/SQRT((((490-43)*MAX('Inputs'!$B$33,'Inputs'!$B$29+'Inputs'!$B$31+'Inputs'!$B$32,'Inputs'!$B$30+'Inputs'!$B$31+'Inputs'!$B$32)/1000+'Inputs'!$B$21)+'Inputs'!$B$7)^2+('Inputs'!$B$6/2)^2)-(((490-43)*MAX('Inputs'!$B$33,'Inputs'!$B$29+'Inputs'!$B$31+'Inputs'!$B$32,'Inputs'!$B$30+'Inputs'!$B$31+'Inputs'!$B$32)/1000+'Inputs'!$B$21))/SQRT((((490-43)*MAX('Inputs'!$B$33,'Inputs'!$B$29+'Inputs'!$B$31+'Inputs'!$B$32,'Inputs'!$B$30+'Inputs'!$B$31+'Inputs'!$B$32)/1000+'Inputs'!$B$21))^2+('Inputs'!$B$6/2)^2)))-'Results'!C7*(1+'Inputs'!$B$24)*(0.5*((((490-43)*MAX('Inputs'!$B$33,'Inputs'!$B$29+'Inputs'!$B$31+'Inputs'!$B$32,'Inputs'!$B$30+'Inputs'!$B$31+'Inputs'!$B$32)/1000+'Inputs'!$B$21+'Inputs'!$B$7+'Inputs'!$B$10)+'Inputs'!$B$9)/SQRT((((490-43)*MAX('Inputs'!$B$33,'Inputs'!$B$29+'Inputs'!$B$31+'Inputs'!$B$32,'Inputs'!$B$30+'Inputs'!$B$31+'Inputs'!$B$32)/1000+'Inputs'!$B$21+'Inputs'!$B$7+'Inputs'!$B$10)+'Inputs'!$B$9)^2+('Inputs'!$B$8/2)^2)-(((490-43)*MAX('Inputs'!$B$33,'Inputs'!$B$29+'Inputs'!$B$31+'Inputs'!$B$32,'Inputs'!$B$30+'Inputs'!$B$31+'Inputs'!$B$32)/1000+'Inputs'!$B$21+'Inputs'!$B$7+'Inputs'!$B$10))/SQRT((((490-43)*MAX('Inputs'!$B$33,'Inputs'!$B$29+'Inputs'!$B$31+'Inputs'!$B$32,'Inputs'!$B$30+'Inputs'!$B$31+'Inputs'!$B$32)/1000+'Inputs'!$B$21+'Inputs'!$B$7+'Inputs'!$B$10))^2+('Inputs'!$B$8/2)^2))))*'Results'!$B$8))),"")</x:f>
        <x:v>5.442356281423183</x:v>
      </x:c>
      <x:c r="L490" t="n">
        <x:f>IF(AND(ISNUMBER('Results'!B7),ISNUMBER('Results'!C7),ISNUMBER('Results'!$B$8),ISNUMBER('Inputs'!$B$6),ISNUMBER('Inputs'!$B$7),ISNUMBER('Inputs'!$B$8),ISNUMBER('Inputs'!$B$9),ISNUMBER('Inputs'!$B$10),ISNUMBER('Inputs'!$B$21),ISNUMBER('Inputs'!$B$24),ISNUMBER('Inputs'!$B$28)),((('Results'!B7*(1+'Inputs'!$B$24)*(0.5*((((490-43)*MAX('Inputs'!$B$33,'Inputs'!$B$29+'Inputs'!$B$31+'Inputs'!$B$32,'Inputs'!$B$30+'Inputs'!$B$31+'Inputs'!$B$32)/1000+'Inputs'!$B$21)+'Inputs'!$B$7)/SQRT((((490-43)*MAX('Inputs'!$B$33,'Inputs'!$B$29+'Inputs'!$B$31+'Inputs'!$B$32,'Inputs'!$B$30+'Inputs'!$B$31+'Inputs'!$B$32)/1000+'Inputs'!$B$21)+'Inputs'!$B$7)^2+('Inputs'!$B$6/2)^2)-(((490-43)*MAX('Inputs'!$B$33,'Inputs'!$B$29+'Inputs'!$B$31+'Inputs'!$B$32,'Inputs'!$B$30+'Inputs'!$B$31+'Inputs'!$B$32)/1000+'Inputs'!$B$21))/SQRT((((490-43)*MAX('Inputs'!$B$33,'Inputs'!$B$29+'Inputs'!$B$31+'Inputs'!$B$32,'Inputs'!$B$30+'Inputs'!$B$31+'Inputs'!$B$32)/1000+'Inputs'!$B$21))^2+('Inputs'!$B$6/2)^2)))-'Results'!C7*(1-'Inputs'!$B$24)*(0.5*((((490-43)*MAX('Inputs'!$B$33,'Inputs'!$B$29+'Inputs'!$B$31+'Inputs'!$B$32,'Inputs'!$B$30+'Inputs'!$B$31+'Inputs'!$B$32)/1000+'Inputs'!$B$21+'Inputs'!$B$7+'Inputs'!$B$10)+'Inputs'!$B$9)/SQRT((((490-43)*MAX('Inputs'!$B$33,'Inputs'!$B$29+'Inputs'!$B$31+'Inputs'!$B$32,'Inputs'!$B$30+'Inputs'!$B$31+'Inputs'!$B$32)/1000+'Inputs'!$B$21+'Inputs'!$B$7+'Inputs'!$B$10)+'Inputs'!$B$9)^2+('Inputs'!$B$8/2)^2)-(((490-43)*MAX('Inputs'!$B$33,'Inputs'!$B$29+'Inputs'!$B$31+'Inputs'!$B$32,'Inputs'!$B$30+'Inputs'!$B$31+'Inputs'!$B$32)/1000+'Inputs'!$B$21+'Inputs'!$B$7+'Inputs'!$B$10))/SQRT((((490-43)*MAX('Inputs'!$B$33,'Inputs'!$B$29+'Inputs'!$B$31+'Inputs'!$B$32,'Inputs'!$B$30+'Inputs'!$B$31+'Inputs'!$B$32)/1000+'Inputs'!$B$21+'Inputs'!$B$7+'Inputs'!$B$10))^2+('Inputs'!$B$8/2)^2))))*'Results'!$B$8)+'Inputs'!$B$28*ABS((('Results'!B7*(1+'Inputs'!$B$24)*(0.5*((((490-43)*MAX('Inputs'!$B$33,'Inputs'!$B$29+'Inputs'!$B$31+'Inputs'!$B$32,'Inputs'!$B$30+'Inputs'!$B$31+'Inputs'!$B$32)/1000+'Inputs'!$B$21)+'Inputs'!$B$7)/SQRT((((490-43)*MAX('Inputs'!$B$33,'Inputs'!$B$29+'Inputs'!$B$31+'Inputs'!$B$32,'Inputs'!$B$30+'Inputs'!$B$31+'Inputs'!$B$32)/1000+'Inputs'!$B$21)+'Inputs'!$B$7)^2+('Inputs'!$B$6/2)^2)-(((490-43)*MAX('Inputs'!$B$33,'Inputs'!$B$29+'Inputs'!$B$31+'Inputs'!$B$32,'Inputs'!$B$30+'Inputs'!$B$31+'Inputs'!$B$32)/1000+'Inputs'!$B$21))/SQRT((((490-43)*MAX('Inputs'!$B$33,'Inputs'!$B$29+'Inputs'!$B$31+'Inputs'!$B$32,'Inputs'!$B$30+'Inputs'!$B$31+'Inputs'!$B$32)/1000+'Inputs'!$B$21))^2+('Inputs'!$B$6/2)^2)))-'Results'!C7*(1-'Inputs'!$B$24)*(0.5*((((490-43)*MAX('Inputs'!$B$33,'Inputs'!$B$29+'Inputs'!$B$31+'Inputs'!$B$32,'Inputs'!$B$30+'Inputs'!$B$31+'Inputs'!$B$32)/1000+'Inputs'!$B$21+'Inputs'!$B$7+'Inputs'!$B$10)+'Inputs'!$B$9)/SQRT((((490-43)*MAX('Inputs'!$B$33,'Inputs'!$B$29+'Inputs'!$B$31+'Inputs'!$B$32,'Inputs'!$B$30+'Inputs'!$B$31+'Inputs'!$B$32)/1000+'Inputs'!$B$21+'Inputs'!$B$7+'Inputs'!$B$10)+'Inputs'!$B$9)^2+('Inputs'!$B$8/2)^2)-(((490-43)*MAX('Inputs'!$B$33,'Inputs'!$B$29+'Inputs'!$B$31+'Inputs'!$B$32,'Inputs'!$B$30+'Inputs'!$B$31+'Inputs'!$B$32)/1000+'Inputs'!$B$21+'Inputs'!$B$7+'Inputs'!$B$10))/SQRT((((490-43)*MAX('Inputs'!$B$33,'Inputs'!$B$29+'Inputs'!$B$31+'Inputs'!$B$32,'Inputs'!$B$30+'Inputs'!$B$31+'Inputs'!$B$32)/1000+'Inputs'!$B$21+'Inputs'!$B$7+'Inputs'!$B$10))^2+('Inputs'!$B$8/2)^2))))*'Results'!$B$8))),"")</x:f>
        <x:v>6.814856885789249</x:v>
      </x:c>
      <x:c r="M490" t="n">
        <x:f>IF(AND(ISNUMBER('Results'!C7),ISNUMBER('Results'!B7),ISNUMBER('Results'!$B$8),ISNUMBER('Inputs'!$B$6),ISNUMBER('Inputs'!$B$7),ISNUMBER('Inputs'!$B$8),ISNUMBER('Inputs'!$B$9),ISNUMBER('Inputs'!$B$10),ISNUMBER('Inputs'!$B$21),ISNUMBER('Inputs'!$B$24),ISNUMBER('Inputs'!$B$28)),(('Results'!C7*(0.5*((((490-43)*MAX('Inputs'!$B$33,'Inputs'!$B$29+'Inputs'!$B$31+'Inputs'!$B$32,'Inputs'!$B$30+'Inputs'!$B$31+'Inputs'!$B$32)/1000+'Inputs'!$B$21)+'Inputs'!$B$9)/SQRT((((490-43)*MAX('Inputs'!$B$33,'Inputs'!$B$29+'Inputs'!$B$31+'Inputs'!$B$32,'Inputs'!$B$30+'Inputs'!$B$31+'Inputs'!$B$32)/1000+'Inputs'!$B$21)+'Inputs'!$B$9)^2+('Inputs'!$B$8/2)^2)-(((490-43)*MAX('Inputs'!$B$33,'Inputs'!$B$29+'Inputs'!$B$31+'Inputs'!$B$32,'Inputs'!$B$30+'Inputs'!$B$31+'Inputs'!$B$32)/1000+'Inputs'!$B$21))/SQRT((((490-43)*MAX('Inputs'!$B$33,'Inputs'!$B$29+'Inputs'!$B$31+'Inputs'!$B$32,'Inputs'!$B$30+'Inputs'!$B$31+'Inputs'!$B$32)/1000+'Inputs'!$B$21))^2+('Inputs'!$B$8/2)^2)))-'Results'!B7*(0.5*((((490-43)*MAX('Inputs'!$B$33,'Inputs'!$B$29+'Inputs'!$B$31+'Inputs'!$B$32,'Inputs'!$B$30+'Inputs'!$B$31+'Inputs'!$B$32)/1000+'Inputs'!$B$21+'Inputs'!$B$9+'Inputs'!$B$10)+'Inputs'!$B$7)/SQRT((((490-43)*MAX('Inputs'!$B$33,'Inputs'!$B$29+'Inputs'!$B$31+'Inputs'!$B$32,'Inputs'!$B$30+'Inputs'!$B$31+'Inputs'!$B$32)/1000+'Inputs'!$B$21+'Inputs'!$B$9+'Inputs'!$B$10)+'Inputs'!$B$7)^2+('Inputs'!$B$6/2)^2)-(((490-43)*MAX('Inputs'!$B$33,'Inputs'!$B$29+'Inputs'!$B$31+'Inputs'!$B$32,'Inputs'!$B$30+'Inputs'!$B$31+'Inputs'!$B$32)/1000+'Inputs'!$B$21+'Inputs'!$B$9+'Inputs'!$B$10))/SQRT((((490-43)*MAX('Inputs'!$B$33,'Inputs'!$B$29+'Inputs'!$B$31+'Inputs'!$B$32,'Inputs'!$B$30+'Inputs'!$B$31+'Inputs'!$B$32)/1000+'Inputs'!$B$21+'Inputs'!$B$9+'Inputs'!$B$10))^2+('Inputs'!$B$6/2)^2))))*'Results'!$B$8),"")</x:f>
        <x:v>5.726157508739326</x:v>
      </x:c>
      <x:c r="N490" t="n">
        <x:f>IF(AND(ISNUMBER('Results'!C7),ISNUMBER('Results'!B7),ISNUMBER('Results'!$B$8),ISNUMBER('Inputs'!$B$6),ISNUMBER('Inputs'!$B$7),ISNUMBER('Inputs'!$B$8),ISNUMBER('Inputs'!$B$9),ISNUMBER('Inputs'!$B$10),ISNUMBER('Inputs'!$B$21),ISNUMBER('Inputs'!$B$24),ISNUMBER('Inputs'!$B$28)),((('Results'!C7*(1-'Inputs'!$B$24)*(0.5*((((490-43)*MAX('Inputs'!$B$33,'Inputs'!$B$29+'Inputs'!$B$31+'Inputs'!$B$32,'Inputs'!$B$30+'Inputs'!$B$31+'Inputs'!$B$32)/1000+'Inputs'!$B$21)+'Inputs'!$B$9)/SQRT((((490-43)*MAX('Inputs'!$B$33,'Inputs'!$B$29+'Inputs'!$B$31+'Inputs'!$B$32,'Inputs'!$B$30+'Inputs'!$B$31+'Inputs'!$B$32)/1000+'Inputs'!$B$21)+'Inputs'!$B$9)^2+('Inputs'!$B$8/2)^2)-(((490-43)*MAX('Inputs'!$B$33,'Inputs'!$B$29+'Inputs'!$B$31+'Inputs'!$B$32,'Inputs'!$B$30+'Inputs'!$B$31+'Inputs'!$B$32)/1000+'Inputs'!$B$21))/SQRT((((490-43)*MAX('Inputs'!$B$33,'Inputs'!$B$29+'Inputs'!$B$31+'Inputs'!$B$32,'Inputs'!$B$30+'Inputs'!$B$31+'Inputs'!$B$32)/1000+'Inputs'!$B$21))^2+('Inputs'!$B$8/2)^2)))-'Results'!B7*(1+'Inputs'!$B$24)*(0.5*((((490-43)*MAX('Inputs'!$B$33,'Inputs'!$B$29+'Inputs'!$B$31+'Inputs'!$B$32,'Inputs'!$B$30+'Inputs'!$B$31+'Inputs'!$B$32)/1000+'Inputs'!$B$21+'Inputs'!$B$9+'Inputs'!$B$10)+'Inputs'!$B$7)/SQRT((((490-43)*MAX('Inputs'!$B$33,'Inputs'!$B$29+'Inputs'!$B$31+'Inputs'!$B$32,'Inputs'!$B$30+'Inputs'!$B$31+'Inputs'!$B$32)/1000+'Inputs'!$B$21+'Inputs'!$B$9+'Inputs'!$B$10)+'Inputs'!$B$7)^2+('Inputs'!$B$6/2)^2)-(((490-43)*MAX('Inputs'!$B$33,'Inputs'!$B$29+'Inputs'!$B$31+'Inputs'!$B$32,'Inputs'!$B$30+'Inputs'!$B$31+'Inputs'!$B$32)/1000+'Inputs'!$B$21+'Inputs'!$B$9+'Inputs'!$B$10))/SQRT((((490-43)*MAX('Inputs'!$B$33,'Inputs'!$B$29+'Inputs'!$B$31+'Inputs'!$B$32,'Inputs'!$B$30+'Inputs'!$B$31+'Inputs'!$B$32)/1000+'Inputs'!$B$21+'Inputs'!$B$9+'Inputs'!$B$10))^2+('Inputs'!$B$6/2)^2))))*'Results'!$B$8)-'Inputs'!$B$28*ABS((('Results'!C7*(1-'Inputs'!$B$24)*(0.5*((((490-43)*MAX('Inputs'!$B$33,'Inputs'!$B$29+'Inputs'!$B$31+'Inputs'!$B$32,'Inputs'!$B$30+'Inputs'!$B$31+'Inputs'!$B$32)/1000+'Inputs'!$B$21)+'Inputs'!$B$9)/SQRT((((490-43)*MAX('Inputs'!$B$33,'Inputs'!$B$29+'Inputs'!$B$31+'Inputs'!$B$32,'Inputs'!$B$30+'Inputs'!$B$31+'Inputs'!$B$32)/1000+'Inputs'!$B$21)+'Inputs'!$B$9)^2+('Inputs'!$B$8/2)^2)-(((490-43)*MAX('Inputs'!$B$33,'Inputs'!$B$29+'Inputs'!$B$31+'Inputs'!$B$32,'Inputs'!$B$30+'Inputs'!$B$31+'Inputs'!$B$32)/1000+'Inputs'!$B$21))/SQRT((((490-43)*MAX('Inputs'!$B$33,'Inputs'!$B$29+'Inputs'!$B$31+'Inputs'!$B$32,'Inputs'!$B$30+'Inputs'!$B$31+'Inputs'!$B$32)/1000+'Inputs'!$B$21))^2+('Inputs'!$B$8/2)^2)))-'Results'!B7*(1+'Inputs'!$B$24)*(0.5*((((490-43)*MAX('Inputs'!$B$33,'Inputs'!$B$29+'Inputs'!$B$31+'Inputs'!$B$32,'Inputs'!$B$30+'Inputs'!$B$31+'Inputs'!$B$32)/1000+'Inputs'!$B$21+'Inputs'!$B$9+'Inputs'!$B$10)+'Inputs'!$B$7)/SQRT((((490-43)*MAX('Inputs'!$B$33,'Inputs'!$B$29+'Inputs'!$B$31+'Inputs'!$B$32,'Inputs'!$B$30+'Inputs'!$B$31+'Inputs'!$B$32)/1000+'Inputs'!$B$21+'Inputs'!$B$9+'Inputs'!$B$10)+'Inputs'!$B$7)^2+('Inputs'!$B$6/2)^2)-(((490-43)*MAX('Inputs'!$B$33,'Inputs'!$B$29+'Inputs'!$B$31+'Inputs'!$B$32,'Inputs'!$B$30+'Inputs'!$B$31+'Inputs'!$B$32)/1000+'Inputs'!$B$21+'Inputs'!$B$9+'Inputs'!$B$10))/SQRT((((490-43)*MAX('Inputs'!$B$33,'Inputs'!$B$29+'Inputs'!$B$31+'Inputs'!$B$32,'Inputs'!$B$30+'Inputs'!$B$31+'Inputs'!$B$32)/1000+'Inputs'!$B$21+'Inputs'!$B$9+'Inputs'!$B$10))^2+('Inputs'!$B$6/2)^2))))*'Results'!$B$8))),"")</x:f>
        <x:v>5.080387828553919</x:v>
      </x:c>
      <x:c r="O490" t="n">
        <x:f>IF(AND(ISNUMBER('Results'!C7),ISNUMBER('Results'!B7),ISNUMBER('Results'!$B$8),ISNUMBER('Inputs'!$B$6),ISNUMBER('Inputs'!$B$7),ISNUMBER('Inputs'!$B$8),ISNUMBER('Inputs'!$B$9),ISNUMBER('Inputs'!$B$10),ISNUMBER('Inputs'!$B$21),ISNUMBER('Inputs'!$B$24),ISNUMBER('Inputs'!$B$28)),((('Results'!C7*(1+'Inputs'!$B$24)*(0.5*((((490-43)*MAX('Inputs'!$B$33,'Inputs'!$B$29+'Inputs'!$B$31+'Inputs'!$B$32,'Inputs'!$B$30+'Inputs'!$B$31+'Inputs'!$B$32)/1000+'Inputs'!$B$21)+'Inputs'!$B$9)/SQRT((((490-43)*MAX('Inputs'!$B$33,'Inputs'!$B$29+'Inputs'!$B$31+'Inputs'!$B$32,'Inputs'!$B$30+'Inputs'!$B$31+'Inputs'!$B$32)/1000+'Inputs'!$B$21)+'Inputs'!$B$9)^2+('Inputs'!$B$8/2)^2)-(((490-43)*MAX('Inputs'!$B$33,'Inputs'!$B$29+'Inputs'!$B$31+'Inputs'!$B$32,'Inputs'!$B$30+'Inputs'!$B$31+'Inputs'!$B$32)/1000+'Inputs'!$B$21))/SQRT((((490-43)*MAX('Inputs'!$B$33,'Inputs'!$B$29+'Inputs'!$B$31+'Inputs'!$B$32,'Inputs'!$B$30+'Inputs'!$B$31+'Inputs'!$B$32)/1000+'Inputs'!$B$21))^2+('Inputs'!$B$8/2)^2)))-'Results'!B7*(1-'Inputs'!$B$24)*(0.5*((((490-43)*MAX('Inputs'!$B$33,'Inputs'!$B$29+'Inputs'!$B$31+'Inputs'!$B$32,'Inputs'!$B$30+'Inputs'!$B$31+'Inputs'!$B$32)/1000+'Inputs'!$B$21+'Inputs'!$B$9+'Inputs'!$B$10)+'Inputs'!$B$7)/SQRT((((490-43)*MAX('Inputs'!$B$33,'Inputs'!$B$29+'Inputs'!$B$31+'Inputs'!$B$32,'Inputs'!$B$30+'Inputs'!$B$31+'Inputs'!$B$32)/1000+'Inputs'!$B$21+'Inputs'!$B$9+'Inputs'!$B$10)+'Inputs'!$B$7)^2+('Inputs'!$B$6/2)^2)-(((490-43)*MAX('Inputs'!$B$33,'Inputs'!$B$29+'Inputs'!$B$31+'Inputs'!$B$32,'Inputs'!$B$30+'Inputs'!$B$31+'Inputs'!$B$32)/1000+'Inputs'!$B$21+'Inputs'!$B$9+'Inputs'!$B$10))/SQRT((((490-43)*MAX('Inputs'!$B$33,'Inputs'!$B$29+'Inputs'!$B$31+'Inputs'!$B$32,'Inputs'!$B$30+'Inputs'!$B$31+'Inputs'!$B$32)/1000+'Inputs'!$B$21+'Inputs'!$B$9+'Inputs'!$B$10))^2+('Inputs'!$B$6/2)^2))))*'Results'!$B$8)+'Inputs'!$B$28*ABS((('Results'!C7*(1+'Inputs'!$B$24)*(0.5*((((490-43)*MAX('Inputs'!$B$33,'Inputs'!$B$29+'Inputs'!$B$31+'Inputs'!$B$32,'Inputs'!$B$30+'Inputs'!$B$31+'Inputs'!$B$32)/1000+'Inputs'!$B$21)+'Inputs'!$B$9)/SQRT((((490-43)*MAX('Inputs'!$B$33,'Inputs'!$B$29+'Inputs'!$B$31+'Inputs'!$B$32,'Inputs'!$B$30+'Inputs'!$B$31+'Inputs'!$B$32)/1000+'Inputs'!$B$21)+'Inputs'!$B$9)^2+('Inputs'!$B$8/2)^2)-(((490-43)*MAX('Inputs'!$B$33,'Inputs'!$B$29+'Inputs'!$B$31+'Inputs'!$B$32,'Inputs'!$B$30+'Inputs'!$B$31+'Inputs'!$B$32)/1000+'Inputs'!$B$21))/SQRT((((490-43)*MAX('Inputs'!$B$33,'Inputs'!$B$29+'Inputs'!$B$31+'Inputs'!$B$32,'Inputs'!$B$30+'Inputs'!$B$31+'Inputs'!$B$32)/1000+'Inputs'!$B$21))^2+('Inputs'!$B$8/2)^2)))-'Results'!B7*(1-'Inputs'!$B$24)*(0.5*((((490-43)*MAX('Inputs'!$B$33,'Inputs'!$B$29+'Inputs'!$B$31+'Inputs'!$B$32,'Inputs'!$B$30+'Inputs'!$B$31+'Inputs'!$B$32)/1000+'Inputs'!$B$21+'Inputs'!$B$9+'Inputs'!$B$10)+'Inputs'!$B$7)/SQRT((((490-43)*MAX('Inputs'!$B$33,'Inputs'!$B$29+'Inputs'!$B$31+'Inputs'!$B$32,'Inputs'!$B$30+'Inputs'!$B$31+'Inputs'!$B$32)/1000+'Inputs'!$B$21+'Inputs'!$B$9+'Inputs'!$B$10)+'Inputs'!$B$7)^2+('Inputs'!$B$6/2)^2)-(((490-43)*MAX('Inputs'!$B$33,'Inputs'!$B$29+'Inputs'!$B$31+'Inputs'!$B$32,'Inputs'!$B$30+'Inputs'!$B$31+'Inputs'!$B$32)/1000+'Inputs'!$B$21+'Inputs'!$B$9+'Inputs'!$B$10))/SQRT((((490-43)*MAX('Inputs'!$B$33,'Inputs'!$B$29+'Inputs'!$B$31+'Inputs'!$B$32,'Inputs'!$B$30+'Inputs'!$B$31+'Inputs'!$B$32)/1000+'Inputs'!$B$21+'Inputs'!$B$9+'Inputs'!$B$10))^2+('Inputs'!$B$6/2)^2))))*'Results'!$B$8))),"")</x:f>
        <x:v>6.4097652736350925</x:v>
      </x:c>
      <x:c r="P490" t="n">
        <x:f>IF(AND(MAX(J490,J489)&gt;0,J490&gt;J489+0.00000001),1,0)</x:f>
        <x:v>0</x:v>
      </x:c>
      <x:c r="Q490" t="n">
        <x:f>IF(AND(MAX(K490,K489)&gt;0,K490&gt;K489+0.00000001),1,0)</x:f>
        <x:v>0</x:v>
      </x:c>
      <x:c r="R490" t="n">
        <x:f>IF(AND(MAX(L490,L489)&gt;0,L490&gt;L489+0.00000001),1,0)</x:f>
        <x:v>0</x:v>
      </x:c>
      <x:c r="S490" t="n">
        <x:f>IF(AND(MAX(M490,M489)&gt;0,M490&gt;M489+0.00000001),1,0)</x:f>
        <x:v>0</x:v>
      </x:c>
      <x:c r="T490" t="n">
        <x:f>IF(AND(MAX(N490,N489)&gt;0,N490&gt;N489+0.00000001),1,0)</x:f>
        <x:v>0</x:v>
      </x:c>
      <x:c r="U490" t="n">
        <x:f>IF(AND(MAX(O490,O489)&gt;0,O490&gt;O489+0.00000001),1,0)</x:f>
        <x:v>0</x:v>
      </x:c>
    </x:row>
    <x:row r="491">
      <x:c r="J491" t="n">
        <x:f>IF(AND(ISNUMBER('Results'!B7),ISNUMBER('Results'!C7),ISNUMBER('Results'!$B$8),ISNUMBER('Inputs'!$B$6),ISNUMBER('Inputs'!$B$7),ISNUMBER('Inputs'!$B$8),ISNUMBER('Inputs'!$B$9),ISNUMBER('Inputs'!$B$10),ISNUMBER('Inputs'!$B$21),ISNUMBER('Inputs'!$B$24),ISNUMBER('Inputs'!$B$28)),(('Results'!B7*(0.5*((((491-43)*MAX('Inputs'!$B$33,'Inputs'!$B$29+'Inputs'!$B$31+'Inputs'!$B$32,'Inputs'!$B$30+'Inputs'!$B$31+'Inputs'!$B$32)/1000+'Inputs'!$B$21)+'Inputs'!$B$7)/SQRT((((491-43)*MAX('Inputs'!$B$33,'Inputs'!$B$29+'Inputs'!$B$31+'Inputs'!$B$32,'Inputs'!$B$30+'Inputs'!$B$31+'Inputs'!$B$32)/1000+'Inputs'!$B$21)+'Inputs'!$B$7)^2+('Inputs'!$B$6/2)^2)-(((491-43)*MAX('Inputs'!$B$33,'Inputs'!$B$29+'Inputs'!$B$31+'Inputs'!$B$32,'Inputs'!$B$30+'Inputs'!$B$31+'Inputs'!$B$32)/1000+'Inputs'!$B$21))/SQRT((((491-43)*MAX('Inputs'!$B$33,'Inputs'!$B$29+'Inputs'!$B$31+'Inputs'!$B$32,'Inputs'!$B$30+'Inputs'!$B$31+'Inputs'!$B$32)/1000+'Inputs'!$B$21))^2+('Inputs'!$B$6/2)^2)))-'Results'!C7*(0.5*((((491-43)*MAX('Inputs'!$B$33,'Inputs'!$B$29+'Inputs'!$B$31+'Inputs'!$B$32,'Inputs'!$B$30+'Inputs'!$B$31+'Inputs'!$B$32)/1000+'Inputs'!$B$21+'Inputs'!$B$7+'Inputs'!$B$10)+'Inputs'!$B$9)/SQRT((((491-43)*MAX('Inputs'!$B$33,'Inputs'!$B$29+'Inputs'!$B$31+'Inputs'!$B$32,'Inputs'!$B$30+'Inputs'!$B$31+'Inputs'!$B$32)/1000+'Inputs'!$B$21+'Inputs'!$B$7+'Inputs'!$B$10)+'Inputs'!$B$9)^2+('Inputs'!$B$8/2)^2)-(((491-43)*MAX('Inputs'!$B$33,'Inputs'!$B$29+'Inputs'!$B$31+'Inputs'!$B$32,'Inputs'!$B$30+'Inputs'!$B$31+'Inputs'!$B$32)/1000+'Inputs'!$B$21+'Inputs'!$B$7+'Inputs'!$B$10))/SQRT((((491-43)*MAX('Inputs'!$B$33,'Inputs'!$B$29+'Inputs'!$B$31+'Inputs'!$B$32,'Inputs'!$B$30+'Inputs'!$B$31+'Inputs'!$B$32)/1000+'Inputs'!$B$21+'Inputs'!$B$7+'Inputs'!$B$10))^2+('Inputs'!$B$8/2)^2))))*'Results'!$B$8),"")</x:f>
        <x:v>6.063866139098933</x:v>
      </x:c>
      <x:c r="K491" t="n">
        <x:f>IF(AND(ISNUMBER('Results'!B7),ISNUMBER('Results'!C7),ISNUMBER('Results'!$B$8),ISNUMBER('Inputs'!$B$6),ISNUMBER('Inputs'!$B$7),ISNUMBER('Inputs'!$B$8),ISNUMBER('Inputs'!$B$9),ISNUMBER('Inputs'!$B$10),ISNUMBER('Inputs'!$B$21),ISNUMBER('Inputs'!$B$24),ISNUMBER('Inputs'!$B$28)),((('Results'!B7*(1-'Inputs'!$B$24)*(0.5*((((491-43)*MAX('Inputs'!$B$33,'Inputs'!$B$29+'Inputs'!$B$31+'Inputs'!$B$32,'Inputs'!$B$30+'Inputs'!$B$31+'Inputs'!$B$32)/1000+'Inputs'!$B$21)+'Inputs'!$B$7)/SQRT((((491-43)*MAX('Inputs'!$B$33,'Inputs'!$B$29+'Inputs'!$B$31+'Inputs'!$B$32,'Inputs'!$B$30+'Inputs'!$B$31+'Inputs'!$B$32)/1000+'Inputs'!$B$21)+'Inputs'!$B$7)^2+('Inputs'!$B$6/2)^2)-(((491-43)*MAX('Inputs'!$B$33,'Inputs'!$B$29+'Inputs'!$B$31+'Inputs'!$B$32,'Inputs'!$B$30+'Inputs'!$B$31+'Inputs'!$B$32)/1000+'Inputs'!$B$21))/SQRT((((491-43)*MAX('Inputs'!$B$33,'Inputs'!$B$29+'Inputs'!$B$31+'Inputs'!$B$32,'Inputs'!$B$30+'Inputs'!$B$31+'Inputs'!$B$32)/1000+'Inputs'!$B$21))^2+('Inputs'!$B$6/2)^2)))-'Results'!C7*(1+'Inputs'!$B$24)*(0.5*((((491-43)*MAX('Inputs'!$B$33,'Inputs'!$B$29+'Inputs'!$B$31+'Inputs'!$B$32,'Inputs'!$B$30+'Inputs'!$B$31+'Inputs'!$B$32)/1000+'Inputs'!$B$21+'Inputs'!$B$7+'Inputs'!$B$10)+'Inputs'!$B$9)/SQRT((((491-43)*MAX('Inputs'!$B$33,'Inputs'!$B$29+'Inputs'!$B$31+'Inputs'!$B$32,'Inputs'!$B$30+'Inputs'!$B$31+'Inputs'!$B$32)/1000+'Inputs'!$B$21+'Inputs'!$B$7+'Inputs'!$B$10)+'Inputs'!$B$9)^2+('Inputs'!$B$8/2)^2)-(((491-43)*MAX('Inputs'!$B$33,'Inputs'!$B$29+'Inputs'!$B$31+'Inputs'!$B$32,'Inputs'!$B$30+'Inputs'!$B$31+'Inputs'!$B$32)/1000+'Inputs'!$B$21+'Inputs'!$B$7+'Inputs'!$B$10))/SQRT((((491-43)*MAX('Inputs'!$B$33,'Inputs'!$B$29+'Inputs'!$B$31+'Inputs'!$B$32,'Inputs'!$B$30+'Inputs'!$B$31+'Inputs'!$B$32)/1000+'Inputs'!$B$21+'Inputs'!$B$7+'Inputs'!$B$10))^2+('Inputs'!$B$8/2)^2))))*'Results'!$B$8)-'Inputs'!$B$28*ABS((('Results'!B7*(1-'Inputs'!$B$24)*(0.5*((((491-43)*MAX('Inputs'!$B$33,'Inputs'!$B$29+'Inputs'!$B$31+'Inputs'!$B$32,'Inputs'!$B$30+'Inputs'!$B$31+'Inputs'!$B$32)/1000+'Inputs'!$B$21)+'Inputs'!$B$7)/SQRT((((491-43)*MAX('Inputs'!$B$33,'Inputs'!$B$29+'Inputs'!$B$31+'Inputs'!$B$32,'Inputs'!$B$30+'Inputs'!$B$31+'Inputs'!$B$32)/1000+'Inputs'!$B$21)+'Inputs'!$B$7)^2+('Inputs'!$B$6/2)^2)-(((491-43)*MAX('Inputs'!$B$33,'Inputs'!$B$29+'Inputs'!$B$31+'Inputs'!$B$32,'Inputs'!$B$30+'Inputs'!$B$31+'Inputs'!$B$32)/1000+'Inputs'!$B$21))/SQRT((((491-43)*MAX('Inputs'!$B$33,'Inputs'!$B$29+'Inputs'!$B$31+'Inputs'!$B$32,'Inputs'!$B$30+'Inputs'!$B$31+'Inputs'!$B$32)/1000+'Inputs'!$B$21))^2+('Inputs'!$B$6/2)^2)))-'Results'!C7*(1+'Inputs'!$B$24)*(0.5*((((491-43)*MAX('Inputs'!$B$33,'Inputs'!$B$29+'Inputs'!$B$31+'Inputs'!$B$32,'Inputs'!$B$30+'Inputs'!$B$31+'Inputs'!$B$32)/1000+'Inputs'!$B$21+'Inputs'!$B$7+'Inputs'!$B$10)+'Inputs'!$B$9)/SQRT((((491-43)*MAX('Inputs'!$B$33,'Inputs'!$B$29+'Inputs'!$B$31+'Inputs'!$B$32,'Inputs'!$B$30+'Inputs'!$B$31+'Inputs'!$B$32)/1000+'Inputs'!$B$21+'Inputs'!$B$7+'Inputs'!$B$10)+'Inputs'!$B$9)^2+('Inputs'!$B$8/2)^2)-(((491-43)*MAX('Inputs'!$B$33,'Inputs'!$B$29+'Inputs'!$B$31+'Inputs'!$B$32,'Inputs'!$B$30+'Inputs'!$B$31+'Inputs'!$B$32)/1000+'Inputs'!$B$21+'Inputs'!$B$7+'Inputs'!$B$10))/SQRT((((491-43)*MAX('Inputs'!$B$33,'Inputs'!$B$29+'Inputs'!$B$31+'Inputs'!$B$32,'Inputs'!$B$30+'Inputs'!$B$31+'Inputs'!$B$32)/1000+'Inputs'!$B$21+'Inputs'!$B$7+'Inputs'!$B$10))^2+('Inputs'!$B$8/2)^2))))*'Results'!$B$8))),"")</x:f>
        <x:v>5.401049576005473</x:v>
      </x:c>
      <x:c r="L491" t="n">
        <x:f>IF(AND(ISNUMBER('Results'!B7),ISNUMBER('Results'!C7),ISNUMBER('Results'!$B$8),ISNUMBER('Inputs'!$B$6),ISNUMBER('Inputs'!$B$7),ISNUMBER('Inputs'!$B$8),ISNUMBER('Inputs'!$B$9),ISNUMBER('Inputs'!$B$10),ISNUMBER('Inputs'!$B$21),ISNUMBER('Inputs'!$B$24),ISNUMBER('Inputs'!$B$28)),((('Results'!B7*(1+'Inputs'!$B$24)*(0.5*((((491-43)*MAX('Inputs'!$B$33,'Inputs'!$B$29+'Inputs'!$B$31+'Inputs'!$B$32,'Inputs'!$B$30+'Inputs'!$B$31+'Inputs'!$B$32)/1000+'Inputs'!$B$21)+'Inputs'!$B$7)/SQRT((((491-43)*MAX('Inputs'!$B$33,'Inputs'!$B$29+'Inputs'!$B$31+'Inputs'!$B$32,'Inputs'!$B$30+'Inputs'!$B$31+'Inputs'!$B$32)/1000+'Inputs'!$B$21)+'Inputs'!$B$7)^2+('Inputs'!$B$6/2)^2)-(((491-43)*MAX('Inputs'!$B$33,'Inputs'!$B$29+'Inputs'!$B$31+'Inputs'!$B$32,'Inputs'!$B$30+'Inputs'!$B$31+'Inputs'!$B$32)/1000+'Inputs'!$B$21))/SQRT((((491-43)*MAX('Inputs'!$B$33,'Inputs'!$B$29+'Inputs'!$B$31+'Inputs'!$B$32,'Inputs'!$B$30+'Inputs'!$B$31+'Inputs'!$B$32)/1000+'Inputs'!$B$21))^2+('Inputs'!$B$6/2)^2)))-'Results'!C7*(1-'Inputs'!$B$24)*(0.5*((((491-43)*MAX('Inputs'!$B$33,'Inputs'!$B$29+'Inputs'!$B$31+'Inputs'!$B$32,'Inputs'!$B$30+'Inputs'!$B$31+'Inputs'!$B$32)/1000+'Inputs'!$B$21+'Inputs'!$B$7+'Inputs'!$B$10)+'Inputs'!$B$9)/SQRT((((491-43)*MAX('Inputs'!$B$33,'Inputs'!$B$29+'Inputs'!$B$31+'Inputs'!$B$32,'Inputs'!$B$30+'Inputs'!$B$31+'Inputs'!$B$32)/1000+'Inputs'!$B$21+'Inputs'!$B$7+'Inputs'!$B$10)+'Inputs'!$B$9)^2+('Inputs'!$B$8/2)^2)-(((491-43)*MAX('Inputs'!$B$33,'Inputs'!$B$29+'Inputs'!$B$31+'Inputs'!$B$32,'Inputs'!$B$30+'Inputs'!$B$31+'Inputs'!$B$32)/1000+'Inputs'!$B$21+'Inputs'!$B$7+'Inputs'!$B$10))/SQRT((((491-43)*MAX('Inputs'!$B$33,'Inputs'!$B$29+'Inputs'!$B$31+'Inputs'!$B$32,'Inputs'!$B$30+'Inputs'!$B$31+'Inputs'!$B$32)/1000+'Inputs'!$B$21+'Inputs'!$B$7+'Inputs'!$B$10))^2+('Inputs'!$B$8/2)^2))))*'Results'!$B$8)+'Inputs'!$B$28*ABS((('Results'!B7*(1+'Inputs'!$B$24)*(0.5*((((491-43)*MAX('Inputs'!$B$33,'Inputs'!$B$29+'Inputs'!$B$31+'Inputs'!$B$32,'Inputs'!$B$30+'Inputs'!$B$31+'Inputs'!$B$32)/1000+'Inputs'!$B$21)+'Inputs'!$B$7)/SQRT((((491-43)*MAX('Inputs'!$B$33,'Inputs'!$B$29+'Inputs'!$B$31+'Inputs'!$B$32,'Inputs'!$B$30+'Inputs'!$B$31+'Inputs'!$B$32)/1000+'Inputs'!$B$21)+'Inputs'!$B$7)^2+('Inputs'!$B$6/2)^2)-(((491-43)*MAX('Inputs'!$B$33,'Inputs'!$B$29+'Inputs'!$B$31+'Inputs'!$B$32,'Inputs'!$B$30+'Inputs'!$B$31+'Inputs'!$B$32)/1000+'Inputs'!$B$21))/SQRT((((491-43)*MAX('Inputs'!$B$33,'Inputs'!$B$29+'Inputs'!$B$31+'Inputs'!$B$32,'Inputs'!$B$30+'Inputs'!$B$31+'Inputs'!$B$32)/1000+'Inputs'!$B$21))^2+('Inputs'!$B$6/2)^2)))-'Results'!C7*(1-'Inputs'!$B$24)*(0.5*((((491-43)*MAX('Inputs'!$B$33,'Inputs'!$B$29+'Inputs'!$B$31+'Inputs'!$B$32,'Inputs'!$B$30+'Inputs'!$B$31+'Inputs'!$B$32)/1000+'Inputs'!$B$21+'Inputs'!$B$7+'Inputs'!$B$10)+'Inputs'!$B$9)/SQRT((((491-43)*MAX('Inputs'!$B$33,'Inputs'!$B$29+'Inputs'!$B$31+'Inputs'!$B$32,'Inputs'!$B$30+'Inputs'!$B$31+'Inputs'!$B$32)/1000+'Inputs'!$B$21+'Inputs'!$B$7+'Inputs'!$B$10)+'Inputs'!$B$9)^2+('Inputs'!$B$8/2)^2)-(((491-43)*MAX('Inputs'!$B$33,'Inputs'!$B$29+'Inputs'!$B$31+'Inputs'!$B$32,'Inputs'!$B$30+'Inputs'!$B$31+'Inputs'!$B$32)/1000+'Inputs'!$B$21+'Inputs'!$B$7+'Inputs'!$B$10))/SQRT((((491-43)*MAX('Inputs'!$B$33,'Inputs'!$B$29+'Inputs'!$B$31+'Inputs'!$B$32,'Inputs'!$B$30+'Inputs'!$B$31+'Inputs'!$B$32)/1000+'Inputs'!$B$21+'Inputs'!$B$7+'Inputs'!$B$10))^2+('Inputs'!$B$8/2)^2))))*'Results'!$B$8))),"")</x:f>
        <x:v>6.764537781785921</x:v>
      </x:c>
      <x:c r="M491" t="n">
        <x:f>IF(AND(ISNUMBER('Results'!C7),ISNUMBER('Results'!B7),ISNUMBER('Results'!$B$8),ISNUMBER('Inputs'!$B$6),ISNUMBER('Inputs'!$B$7),ISNUMBER('Inputs'!$B$8),ISNUMBER('Inputs'!$B$9),ISNUMBER('Inputs'!$B$10),ISNUMBER('Inputs'!$B$21),ISNUMBER('Inputs'!$B$24),ISNUMBER('Inputs'!$B$28)),(('Results'!C7*(0.5*((((491-43)*MAX('Inputs'!$B$33,'Inputs'!$B$29+'Inputs'!$B$31+'Inputs'!$B$32,'Inputs'!$B$30+'Inputs'!$B$31+'Inputs'!$B$32)/1000+'Inputs'!$B$21)+'Inputs'!$B$9)/SQRT((((491-43)*MAX('Inputs'!$B$33,'Inputs'!$B$29+'Inputs'!$B$31+'Inputs'!$B$32,'Inputs'!$B$30+'Inputs'!$B$31+'Inputs'!$B$32)/1000+'Inputs'!$B$21)+'Inputs'!$B$9)^2+('Inputs'!$B$8/2)^2)-(((491-43)*MAX('Inputs'!$B$33,'Inputs'!$B$29+'Inputs'!$B$31+'Inputs'!$B$32,'Inputs'!$B$30+'Inputs'!$B$31+'Inputs'!$B$32)/1000+'Inputs'!$B$21))/SQRT((((491-43)*MAX('Inputs'!$B$33,'Inputs'!$B$29+'Inputs'!$B$31+'Inputs'!$B$32,'Inputs'!$B$30+'Inputs'!$B$31+'Inputs'!$B$32)/1000+'Inputs'!$B$21))^2+('Inputs'!$B$8/2)^2)))-'Results'!B7*(0.5*((((491-43)*MAX('Inputs'!$B$33,'Inputs'!$B$29+'Inputs'!$B$31+'Inputs'!$B$32,'Inputs'!$B$30+'Inputs'!$B$31+'Inputs'!$B$32)/1000+'Inputs'!$B$21+'Inputs'!$B$9+'Inputs'!$B$10)+'Inputs'!$B$7)/SQRT((((491-43)*MAX('Inputs'!$B$33,'Inputs'!$B$29+'Inputs'!$B$31+'Inputs'!$B$32,'Inputs'!$B$30+'Inputs'!$B$31+'Inputs'!$B$32)/1000+'Inputs'!$B$21+'Inputs'!$B$9+'Inputs'!$B$10)+'Inputs'!$B$7)^2+('Inputs'!$B$6/2)^2)-(((491-43)*MAX('Inputs'!$B$33,'Inputs'!$B$29+'Inputs'!$B$31+'Inputs'!$B$32,'Inputs'!$B$30+'Inputs'!$B$31+'Inputs'!$B$32)/1000+'Inputs'!$B$21+'Inputs'!$B$9+'Inputs'!$B$10))/SQRT((((491-43)*MAX('Inputs'!$B$33,'Inputs'!$B$29+'Inputs'!$B$31+'Inputs'!$B$32,'Inputs'!$B$30+'Inputs'!$B$31+'Inputs'!$B$32)/1000+'Inputs'!$B$21+'Inputs'!$B$9+'Inputs'!$B$10))^2+('Inputs'!$B$6/2)^2))))*'Results'!$B$8),"")</x:f>
        <x:v>5.682690103641684</x:v>
      </x:c>
      <x:c r="N491" t="n">
        <x:f>IF(AND(ISNUMBER('Results'!C7),ISNUMBER('Results'!B7),ISNUMBER('Results'!$B$8),ISNUMBER('Inputs'!$B$6),ISNUMBER('Inputs'!$B$7),ISNUMBER('Inputs'!$B$8),ISNUMBER('Inputs'!$B$9),ISNUMBER('Inputs'!$B$10),ISNUMBER('Inputs'!$B$21),ISNUMBER('Inputs'!$B$24),ISNUMBER('Inputs'!$B$28)),((('Results'!C7*(1-'Inputs'!$B$24)*(0.5*((((491-43)*MAX('Inputs'!$B$33,'Inputs'!$B$29+'Inputs'!$B$31+'Inputs'!$B$32,'Inputs'!$B$30+'Inputs'!$B$31+'Inputs'!$B$32)/1000+'Inputs'!$B$21)+'Inputs'!$B$9)/SQRT((((491-43)*MAX('Inputs'!$B$33,'Inputs'!$B$29+'Inputs'!$B$31+'Inputs'!$B$32,'Inputs'!$B$30+'Inputs'!$B$31+'Inputs'!$B$32)/1000+'Inputs'!$B$21)+'Inputs'!$B$9)^2+('Inputs'!$B$8/2)^2)-(((491-43)*MAX('Inputs'!$B$33,'Inputs'!$B$29+'Inputs'!$B$31+'Inputs'!$B$32,'Inputs'!$B$30+'Inputs'!$B$31+'Inputs'!$B$32)/1000+'Inputs'!$B$21))/SQRT((((491-43)*MAX('Inputs'!$B$33,'Inputs'!$B$29+'Inputs'!$B$31+'Inputs'!$B$32,'Inputs'!$B$30+'Inputs'!$B$31+'Inputs'!$B$32)/1000+'Inputs'!$B$21))^2+('Inputs'!$B$8/2)^2)))-'Results'!B7*(1+'Inputs'!$B$24)*(0.5*((((491-43)*MAX('Inputs'!$B$33,'Inputs'!$B$29+'Inputs'!$B$31+'Inputs'!$B$32,'Inputs'!$B$30+'Inputs'!$B$31+'Inputs'!$B$32)/1000+'Inputs'!$B$21+'Inputs'!$B$9+'Inputs'!$B$10)+'Inputs'!$B$7)/SQRT((((491-43)*MAX('Inputs'!$B$33,'Inputs'!$B$29+'Inputs'!$B$31+'Inputs'!$B$32,'Inputs'!$B$30+'Inputs'!$B$31+'Inputs'!$B$32)/1000+'Inputs'!$B$21+'Inputs'!$B$9+'Inputs'!$B$10)+'Inputs'!$B$7)^2+('Inputs'!$B$6/2)^2)-(((491-43)*MAX('Inputs'!$B$33,'Inputs'!$B$29+'Inputs'!$B$31+'Inputs'!$B$32,'Inputs'!$B$30+'Inputs'!$B$31+'Inputs'!$B$32)/1000+'Inputs'!$B$21+'Inputs'!$B$9+'Inputs'!$B$10))/SQRT((((491-43)*MAX('Inputs'!$B$33,'Inputs'!$B$29+'Inputs'!$B$31+'Inputs'!$B$32,'Inputs'!$B$30+'Inputs'!$B$31+'Inputs'!$B$32)/1000+'Inputs'!$B$21+'Inputs'!$B$9+'Inputs'!$B$10))^2+('Inputs'!$B$6/2)^2))))*'Results'!$B$8)-'Inputs'!$B$28*ABS((('Results'!C7*(1-'Inputs'!$B$24)*(0.5*((((491-43)*MAX('Inputs'!$B$33,'Inputs'!$B$29+'Inputs'!$B$31+'Inputs'!$B$32,'Inputs'!$B$30+'Inputs'!$B$31+'Inputs'!$B$32)/1000+'Inputs'!$B$21)+'Inputs'!$B$9)/SQRT((((491-43)*MAX('Inputs'!$B$33,'Inputs'!$B$29+'Inputs'!$B$31+'Inputs'!$B$32,'Inputs'!$B$30+'Inputs'!$B$31+'Inputs'!$B$32)/1000+'Inputs'!$B$21)+'Inputs'!$B$9)^2+('Inputs'!$B$8/2)^2)-(((491-43)*MAX('Inputs'!$B$33,'Inputs'!$B$29+'Inputs'!$B$31+'Inputs'!$B$32,'Inputs'!$B$30+'Inputs'!$B$31+'Inputs'!$B$32)/1000+'Inputs'!$B$21))/SQRT((((491-43)*MAX('Inputs'!$B$33,'Inputs'!$B$29+'Inputs'!$B$31+'Inputs'!$B$32,'Inputs'!$B$30+'Inputs'!$B$31+'Inputs'!$B$32)/1000+'Inputs'!$B$21))^2+('Inputs'!$B$8/2)^2)))-'Results'!B7*(1+'Inputs'!$B$24)*(0.5*((((491-43)*MAX('Inputs'!$B$33,'Inputs'!$B$29+'Inputs'!$B$31+'Inputs'!$B$32,'Inputs'!$B$30+'Inputs'!$B$31+'Inputs'!$B$32)/1000+'Inputs'!$B$21+'Inputs'!$B$9+'Inputs'!$B$10)+'Inputs'!$B$7)/SQRT((((491-43)*MAX('Inputs'!$B$33,'Inputs'!$B$29+'Inputs'!$B$31+'Inputs'!$B$32,'Inputs'!$B$30+'Inputs'!$B$31+'Inputs'!$B$32)/1000+'Inputs'!$B$21+'Inputs'!$B$9+'Inputs'!$B$10)+'Inputs'!$B$7)^2+('Inputs'!$B$6/2)^2)-(((491-43)*MAX('Inputs'!$B$33,'Inputs'!$B$29+'Inputs'!$B$31+'Inputs'!$B$32,'Inputs'!$B$30+'Inputs'!$B$31+'Inputs'!$B$32)/1000+'Inputs'!$B$21+'Inputs'!$B$9+'Inputs'!$B$10))/SQRT((((491-43)*MAX('Inputs'!$B$33,'Inputs'!$B$29+'Inputs'!$B$31+'Inputs'!$B$32,'Inputs'!$B$30+'Inputs'!$B$31+'Inputs'!$B$32)/1000+'Inputs'!$B$21+'Inputs'!$B$9+'Inputs'!$B$10))^2+('Inputs'!$B$6/2)^2))))*'Results'!$B$8))),"")</x:f>
        <x:v>5.041186731903025</x:v>
      </x:c>
      <x:c r="O491" t="n">
        <x:f>IF(AND(ISNUMBER('Results'!C7),ISNUMBER('Results'!B7),ISNUMBER('Results'!$B$8),ISNUMBER('Inputs'!$B$6),ISNUMBER('Inputs'!$B$7),ISNUMBER('Inputs'!$B$8),ISNUMBER('Inputs'!$B$9),ISNUMBER('Inputs'!$B$10),ISNUMBER('Inputs'!$B$21),ISNUMBER('Inputs'!$B$24),ISNUMBER('Inputs'!$B$28)),((('Results'!C7*(1+'Inputs'!$B$24)*(0.5*((((491-43)*MAX('Inputs'!$B$33,'Inputs'!$B$29+'Inputs'!$B$31+'Inputs'!$B$32,'Inputs'!$B$30+'Inputs'!$B$31+'Inputs'!$B$32)/1000+'Inputs'!$B$21)+'Inputs'!$B$9)/SQRT((((491-43)*MAX('Inputs'!$B$33,'Inputs'!$B$29+'Inputs'!$B$31+'Inputs'!$B$32,'Inputs'!$B$30+'Inputs'!$B$31+'Inputs'!$B$32)/1000+'Inputs'!$B$21)+'Inputs'!$B$9)^2+('Inputs'!$B$8/2)^2)-(((491-43)*MAX('Inputs'!$B$33,'Inputs'!$B$29+'Inputs'!$B$31+'Inputs'!$B$32,'Inputs'!$B$30+'Inputs'!$B$31+'Inputs'!$B$32)/1000+'Inputs'!$B$21))/SQRT((((491-43)*MAX('Inputs'!$B$33,'Inputs'!$B$29+'Inputs'!$B$31+'Inputs'!$B$32,'Inputs'!$B$30+'Inputs'!$B$31+'Inputs'!$B$32)/1000+'Inputs'!$B$21))^2+('Inputs'!$B$8/2)^2)))-'Results'!B7*(1-'Inputs'!$B$24)*(0.5*((((491-43)*MAX('Inputs'!$B$33,'Inputs'!$B$29+'Inputs'!$B$31+'Inputs'!$B$32,'Inputs'!$B$30+'Inputs'!$B$31+'Inputs'!$B$32)/1000+'Inputs'!$B$21+'Inputs'!$B$9+'Inputs'!$B$10)+'Inputs'!$B$7)/SQRT((((491-43)*MAX('Inputs'!$B$33,'Inputs'!$B$29+'Inputs'!$B$31+'Inputs'!$B$32,'Inputs'!$B$30+'Inputs'!$B$31+'Inputs'!$B$32)/1000+'Inputs'!$B$21+'Inputs'!$B$9+'Inputs'!$B$10)+'Inputs'!$B$7)^2+('Inputs'!$B$6/2)^2)-(((491-43)*MAX('Inputs'!$B$33,'Inputs'!$B$29+'Inputs'!$B$31+'Inputs'!$B$32,'Inputs'!$B$30+'Inputs'!$B$31+'Inputs'!$B$32)/1000+'Inputs'!$B$21+'Inputs'!$B$9+'Inputs'!$B$10))/SQRT((((491-43)*MAX('Inputs'!$B$33,'Inputs'!$B$29+'Inputs'!$B$31+'Inputs'!$B$32,'Inputs'!$B$30+'Inputs'!$B$31+'Inputs'!$B$32)/1000+'Inputs'!$B$21+'Inputs'!$B$9+'Inputs'!$B$10))^2+('Inputs'!$B$6/2)^2))))*'Results'!$B$8)+'Inputs'!$B$28*ABS((('Results'!C7*(1+'Inputs'!$B$24)*(0.5*((((491-43)*MAX('Inputs'!$B$33,'Inputs'!$B$29+'Inputs'!$B$31+'Inputs'!$B$32,'Inputs'!$B$30+'Inputs'!$B$31+'Inputs'!$B$32)/1000+'Inputs'!$B$21)+'Inputs'!$B$9)/SQRT((((491-43)*MAX('Inputs'!$B$33,'Inputs'!$B$29+'Inputs'!$B$31+'Inputs'!$B$32,'Inputs'!$B$30+'Inputs'!$B$31+'Inputs'!$B$32)/1000+'Inputs'!$B$21)+'Inputs'!$B$9)^2+('Inputs'!$B$8/2)^2)-(((491-43)*MAX('Inputs'!$B$33,'Inputs'!$B$29+'Inputs'!$B$31+'Inputs'!$B$32,'Inputs'!$B$30+'Inputs'!$B$31+'Inputs'!$B$32)/1000+'Inputs'!$B$21))/SQRT((((491-43)*MAX('Inputs'!$B$33,'Inputs'!$B$29+'Inputs'!$B$31+'Inputs'!$B$32,'Inputs'!$B$30+'Inputs'!$B$31+'Inputs'!$B$32)/1000+'Inputs'!$B$21))^2+('Inputs'!$B$8/2)^2)))-'Results'!B7*(1-'Inputs'!$B$24)*(0.5*((((491-43)*MAX('Inputs'!$B$33,'Inputs'!$B$29+'Inputs'!$B$31+'Inputs'!$B$32,'Inputs'!$B$30+'Inputs'!$B$31+'Inputs'!$B$32)/1000+'Inputs'!$B$21+'Inputs'!$B$9+'Inputs'!$B$10)+'Inputs'!$B$7)/SQRT((((491-43)*MAX('Inputs'!$B$33,'Inputs'!$B$29+'Inputs'!$B$31+'Inputs'!$B$32,'Inputs'!$B$30+'Inputs'!$B$31+'Inputs'!$B$32)/1000+'Inputs'!$B$21+'Inputs'!$B$9+'Inputs'!$B$10)+'Inputs'!$B$7)^2+('Inputs'!$B$6/2)^2)-(((491-43)*MAX('Inputs'!$B$33,'Inputs'!$B$29+'Inputs'!$B$31+'Inputs'!$B$32,'Inputs'!$B$30+'Inputs'!$B$31+'Inputs'!$B$32)/1000+'Inputs'!$B$21+'Inputs'!$B$9+'Inputs'!$B$10))/SQRT((((491-43)*MAX('Inputs'!$B$33,'Inputs'!$B$29+'Inputs'!$B$31+'Inputs'!$B$32,'Inputs'!$B$30+'Inputs'!$B$31+'Inputs'!$B$32)/1000+'Inputs'!$B$21+'Inputs'!$B$9+'Inputs'!$B$10))^2+('Inputs'!$B$6/2)^2))))*'Results'!$B$8))),"")</x:f>
        <x:v>6.361811250807349</x:v>
      </x:c>
      <x:c r="P491" t="n">
        <x:f>IF(AND(MAX(J491,J490)&gt;0,J491&gt;J490+0.00000001),1,0)</x:f>
        <x:v>0</x:v>
      </x:c>
      <x:c r="Q491" t="n">
        <x:f>IF(AND(MAX(K491,K490)&gt;0,K491&gt;K490+0.00000001),1,0)</x:f>
        <x:v>0</x:v>
      </x:c>
      <x:c r="R491" t="n">
        <x:f>IF(AND(MAX(L491,L490)&gt;0,L491&gt;L490+0.00000001),1,0)</x:f>
        <x:v>0</x:v>
      </x:c>
      <x:c r="S491" t="n">
        <x:f>IF(AND(MAX(M491,M490)&gt;0,M491&gt;M490+0.00000001),1,0)</x:f>
        <x:v>0</x:v>
      </x:c>
      <x:c r="T491" t="n">
        <x:f>IF(AND(MAX(N491,N490)&gt;0,N491&gt;N490+0.00000001),1,0)</x:f>
        <x:v>0</x:v>
      </x:c>
      <x:c r="U491" t="n">
        <x:f>IF(AND(MAX(O491,O490)&gt;0,O491&gt;O490+0.00000001),1,0)</x:f>
        <x:v>0</x:v>
      </x:c>
    </x:row>
    <x:row r="492">
      <x:c r="J492" t="n">
        <x:f>IF(AND(ISNUMBER('Results'!B7),ISNUMBER('Results'!C7),ISNUMBER('Results'!$B$8),ISNUMBER('Inputs'!$B$6),ISNUMBER('Inputs'!$B$7),ISNUMBER('Inputs'!$B$8),ISNUMBER('Inputs'!$B$9),ISNUMBER('Inputs'!$B$10),ISNUMBER('Inputs'!$B$21),ISNUMBER('Inputs'!$B$24),ISNUMBER('Inputs'!$B$28)),(('Results'!B7*(0.5*((((492-43)*MAX('Inputs'!$B$33,'Inputs'!$B$29+'Inputs'!$B$31+'Inputs'!$B$32,'Inputs'!$B$30+'Inputs'!$B$31+'Inputs'!$B$32)/1000+'Inputs'!$B$21)+'Inputs'!$B$7)/SQRT((((492-43)*MAX('Inputs'!$B$33,'Inputs'!$B$29+'Inputs'!$B$31+'Inputs'!$B$32,'Inputs'!$B$30+'Inputs'!$B$31+'Inputs'!$B$32)/1000+'Inputs'!$B$21)+'Inputs'!$B$7)^2+('Inputs'!$B$6/2)^2)-(((492-43)*MAX('Inputs'!$B$33,'Inputs'!$B$29+'Inputs'!$B$31+'Inputs'!$B$32,'Inputs'!$B$30+'Inputs'!$B$31+'Inputs'!$B$32)/1000+'Inputs'!$B$21))/SQRT((((492-43)*MAX('Inputs'!$B$33,'Inputs'!$B$29+'Inputs'!$B$31+'Inputs'!$B$32,'Inputs'!$B$30+'Inputs'!$B$31+'Inputs'!$B$32)/1000+'Inputs'!$B$21))^2+('Inputs'!$B$6/2)^2)))-'Results'!C7*(0.5*((((492-43)*MAX('Inputs'!$B$33,'Inputs'!$B$29+'Inputs'!$B$31+'Inputs'!$B$32,'Inputs'!$B$30+'Inputs'!$B$31+'Inputs'!$B$32)/1000+'Inputs'!$B$21+'Inputs'!$B$7+'Inputs'!$B$10)+'Inputs'!$B$9)/SQRT((((492-43)*MAX('Inputs'!$B$33,'Inputs'!$B$29+'Inputs'!$B$31+'Inputs'!$B$32,'Inputs'!$B$30+'Inputs'!$B$31+'Inputs'!$B$32)/1000+'Inputs'!$B$21+'Inputs'!$B$7+'Inputs'!$B$10)+'Inputs'!$B$9)^2+('Inputs'!$B$8/2)^2)-(((492-43)*MAX('Inputs'!$B$33,'Inputs'!$B$29+'Inputs'!$B$31+'Inputs'!$B$32,'Inputs'!$B$30+'Inputs'!$B$31+'Inputs'!$B$32)/1000+'Inputs'!$B$21+'Inputs'!$B$7+'Inputs'!$B$10))/SQRT((((492-43)*MAX('Inputs'!$B$33,'Inputs'!$B$29+'Inputs'!$B$31+'Inputs'!$B$32,'Inputs'!$B$30+'Inputs'!$B$31+'Inputs'!$B$32)/1000+'Inputs'!$B$21+'Inputs'!$B$7+'Inputs'!$B$10))^2+('Inputs'!$B$8/2)^2))))*'Results'!$B$8),"")</x:f>
        <x:v>6.018591099022176</x:v>
      </x:c>
      <x:c r="K492" t="n">
        <x:f>IF(AND(ISNUMBER('Results'!B7),ISNUMBER('Results'!C7),ISNUMBER('Results'!$B$8),ISNUMBER('Inputs'!$B$6),ISNUMBER('Inputs'!$B$7),ISNUMBER('Inputs'!$B$8),ISNUMBER('Inputs'!$B$9),ISNUMBER('Inputs'!$B$10),ISNUMBER('Inputs'!$B$21),ISNUMBER('Inputs'!$B$24),ISNUMBER('Inputs'!$B$28)),((('Results'!B7*(1-'Inputs'!$B$24)*(0.5*((((492-43)*MAX('Inputs'!$B$33,'Inputs'!$B$29+'Inputs'!$B$31+'Inputs'!$B$32,'Inputs'!$B$30+'Inputs'!$B$31+'Inputs'!$B$32)/1000+'Inputs'!$B$21)+'Inputs'!$B$7)/SQRT((((492-43)*MAX('Inputs'!$B$33,'Inputs'!$B$29+'Inputs'!$B$31+'Inputs'!$B$32,'Inputs'!$B$30+'Inputs'!$B$31+'Inputs'!$B$32)/1000+'Inputs'!$B$21)+'Inputs'!$B$7)^2+('Inputs'!$B$6/2)^2)-(((492-43)*MAX('Inputs'!$B$33,'Inputs'!$B$29+'Inputs'!$B$31+'Inputs'!$B$32,'Inputs'!$B$30+'Inputs'!$B$31+'Inputs'!$B$32)/1000+'Inputs'!$B$21))/SQRT((((492-43)*MAX('Inputs'!$B$33,'Inputs'!$B$29+'Inputs'!$B$31+'Inputs'!$B$32,'Inputs'!$B$30+'Inputs'!$B$31+'Inputs'!$B$32)/1000+'Inputs'!$B$21))^2+('Inputs'!$B$6/2)^2)))-'Results'!C7*(1+'Inputs'!$B$24)*(0.5*((((492-43)*MAX('Inputs'!$B$33,'Inputs'!$B$29+'Inputs'!$B$31+'Inputs'!$B$32,'Inputs'!$B$30+'Inputs'!$B$31+'Inputs'!$B$32)/1000+'Inputs'!$B$21+'Inputs'!$B$7+'Inputs'!$B$10)+'Inputs'!$B$9)/SQRT((((492-43)*MAX('Inputs'!$B$33,'Inputs'!$B$29+'Inputs'!$B$31+'Inputs'!$B$32,'Inputs'!$B$30+'Inputs'!$B$31+'Inputs'!$B$32)/1000+'Inputs'!$B$21+'Inputs'!$B$7+'Inputs'!$B$10)+'Inputs'!$B$9)^2+('Inputs'!$B$8/2)^2)-(((492-43)*MAX('Inputs'!$B$33,'Inputs'!$B$29+'Inputs'!$B$31+'Inputs'!$B$32,'Inputs'!$B$30+'Inputs'!$B$31+'Inputs'!$B$32)/1000+'Inputs'!$B$21+'Inputs'!$B$7+'Inputs'!$B$10))/SQRT((((492-43)*MAX('Inputs'!$B$33,'Inputs'!$B$29+'Inputs'!$B$31+'Inputs'!$B$32,'Inputs'!$B$30+'Inputs'!$B$31+'Inputs'!$B$32)/1000+'Inputs'!$B$21+'Inputs'!$B$7+'Inputs'!$B$10))^2+('Inputs'!$B$8/2)^2))))*'Results'!$B$8)-'Inputs'!$B$28*ABS((('Results'!B7*(1-'Inputs'!$B$24)*(0.5*((((492-43)*MAX('Inputs'!$B$33,'Inputs'!$B$29+'Inputs'!$B$31+'Inputs'!$B$32,'Inputs'!$B$30+'Inputs'!$B$31+'Inputs'!$B$32)/1000+'Inputs'!$B$21)+'Inputs'!$B$7)/SQRT((((492-43)*MAX('Inputs'!$B$33,'Inputs'!$B$29+'Inputs'!$B$31+'Inputs'!$B$32,'Inputs'!$B$30+'Inputs'!$B$31+'Inputs'!$B$32)/1000+'Inputs'!$B$21)+'Inputs'!$B$7)^2+('Inputs'!$B$6/2)^2)-(((492-43)*MAX('Inputs'!$B$33,'Inputs'!$B$29+'Inputs'!$B$31+'Inputs'!$B$32,'Inputs'!$B$30+'Inputs'!$B$31+'Inputs'!$B$32)/1000+'Inputs'!$B$21))/SQRT((((492-43)*MAX('Inputs'!$B$33,'Inputs'!$B$29+'Inputs'!$B$31+'Inputs'!$B$32,'Inputs'!$B$30+'Inputs'!$B$31+'Inputs'!$B$32)/1000+'Inputs'!$B$21))^2+('Inputs'!$B$6/2)^2)))-'Results'!C7*(1+'Inputs'!$B$24)*(0.5*((((492-43)*MAX('Inputs'!$B$33,'Inputs'!$B$29+'Inputs'!$B$31+'Inputs'!$B$32,'Inputs'!$B$30+'Inputs'!$B$31+'Inputs'!$B$32)/1000+'Inputs'!$B$21+'Inputs'!$B$7+'Inputs'!$B$10)+'Inputs'!$B$9)/SQRT((((492-43)*MAX('Inputs'!$B$33,'Inputs'!$B$29+'Inputs'!$B$31+'Inputs'!$B$32,'Inputs'!$B$30+'Inputs'!$B$31+'Inputs'!$B$32)/1000+'Inputs'!$B$21+'Inputs'!$B$7+'Inputs'!$B$10)+'Inputs'!$B$9)^2+('Inputs'!$B$8/2)^2)-(((492-43)*MAX('Inputs'!$B$33,'Inputs'!$B$29+'Inputs'!$B$31+'Inputs'!$B$32,'Inputs'!$B$30+'Inputs'!$B$31+'Inputs'!$B$32)/1000+'Inputs'!$B$21+'Inputs'!$B$7+'Inputs'!$B$10))/SQRT((((492-43)*MAX('Inputs'!$B$33,'Inputs'!$B$29+'Inputs'!$B$31+'Inputs'!$B$32,'Inputs'!$B$30+'Inputs'!$B$31+'Inputs'!$B$32)/1000+'Inputs'!$B$21+'Inputs'!$B$7+'Inputs'!$B$10))^2+('Inputs'!$B$8/2)^2))))*'Results'!$B$8))),"")</x:f>
        <x:v>5.360131911050391</x:v>
      </x:c>
      <x:c r="L492" t="n">
        <x:f>IF(AND(ISNUMBER('Results'!B7),ISNUMBER('Results'!C7),ISNUMBER('Results'!$B$8),ISNUMBER('Inputs'!$B$6),ISNUMBER('Inputs'!$B$7),ISNUMBER('Inputs'!$B$8),ISNUMBER('Inputs'!$B$9),ISNUMBER('Inputs'!$B$10),ISNUMBER('Inputs'!$B$21),ISNUMBER('Inputs'!$B$24),ISNUMBER('Inputs'!$B$28)),((('Results'!B7*(1+'Inputs'!$B$24)*(0.5*((((492-43)*MAX('Inputs'!$B$33,'Inputs'!$B$29+'Inputs'!$B$31+'Inputs'!$B$32,'Inputs'!$B$30+'Inputs'!$B$31+'Inputs'!$B$32)/1000+'Inputs'!$B$21)+'Inputs'!$B$7)/SQRT((((492-43)*MAX('Inputs'!$B$33,'Inputs'!$B$29+'Inputs'!$B$31+'Inputs'!$B$32,'Inputs'!$B$30+'Inputs'!$B$31+'Inputs'!$B$32)/1000+'Inputs'!$B$21)+'Inputs'!$B$7)^2+('Inputs'!$B$6/2)^2)-(((492-43)*MAX('Inputs'!$B$33,'Inputs'!$B$29+'Inputs'!$B$31+'Inputs'!$B$32,'Inputs'!$B$30+'Inputs'!$B$31+'Inputs'!$B$32)/1000+'Inputs'!$B$21))/SQRT((((492-43)*MAX('Inputs'!$B$33,'Inputs'!$B$29+'Inputs'!$B$31+'Inputs'!$B$32,'Inputs'!$B$30+'Inputs'!$B$31+'Inputs'!$B$32)/1000+'Inputs'!$B$21))^2+('Inputs'!$B$6/2)^2)))-'Results'!C7*(1-'Inputs'!$B$24)*(0.5*((((492-43)*MAX('Inputs'!$B$33,'Inputs'!$B$29+'Inputs'!$B$31+'Inputs'!$B$32,'Inputs'!$B$30+'Inputs'!$B$31+'Inputs'!$B$32)/1000+'Inputs'!$B$21+'Inputs'!$B$7+'Inputs'!$B$10)+'Inputs'!$B$9)/SQRT((((492-43)*MAX('Inputs'!$B$33,'Inputs'!$B$29+'Inputs'!$B$31+'Inputs'!$B$32,'Inputs'!$B$30+'Inputs'!$B$31+'Inputs'!$B$32)/1000+'Inputs'!$B$21+'Inputs'!$B$7+'Inputs'!$B$10)+'Inputs'!$B$9)^2+('Inputs'!$B$8/2)^2)-(((492-43)*MAX('Inputs'!$B$33,'Inputs'!$B$29+'Inputs'!$B$31+'Inputs'!$B$32,'Inputs'!$B$30+'Inputs'!$B$31+'Inputs'!$B$32)/1000+'Inputs'!$B$21+'Inputs'!$B$7+'Inputs'!$B$10))/SQRT((((492-43)*MAX('Inputs'!$B$33,'Inputs'!$B$29+'Inputs'!$B$31+'Inputs'!$B$32,'Inputs'!$B$30+'Inputs'!$B$31+'Inputs'!$B$32)/1000+'Inputs'!$B$21+'Inputs'!$B$7+'Inputs'!$B$10))^2+('Inputs'!$B$8/2)^2))))*'Results'!$B$8)+'Inputs'!$B$28*ABS((('Results'!B7*(1+'Inputs'!$B$24)*(0.5*((((492-43)*MAX('Inputs'!$B$33,'Inputs'!$B$29+'Inputs'!$B$31+'Inputs'!$B$32,'Inputs'!$B$30+'Inputs'!$B$31+'Inputs'!$B$32)/1000+'Inputs'!$B$21)+'Inputs'!$B$7)/SQRT((((492-43)*MAX('Inputs'!$B$33,'Inputs'!$B$29+'Inputs'!$B$31+'Inputs'!$B$32,'Inputs'!$B$30+'Inputs'!$B$31+'Inputs'!$B$32)/1000+'Inputs'!$B$21)+'Inputs'!$B$7)^2+('Inputs'!$B$6/2)^2)-(((492-43)*MAX('Inputs'!$B$33,'Inputs'!$B$29+'Inputs'!$B$31+'Inputs'!$B$32,'Inputs'!$B$30+'Inputs'!$B$31+'Inputs'!$B$32)/1000+'Inputs'!$B$21))/SQRT((((492-43)*MAX('Inputs'!$B$33,'Inputs'!$B$29+'Inputs'!$B$31+'Inputs'!$B$32,'Inputs'!$B$30+'Inputs'!$B$31+'Inputs'!$B$32)/1000+'Inputs'!$B$21))^2+('Inputs'!$B$6/2)^2)))-'Results'!C7*(1-'Inputs'!$B$24)*(0.5*((((492-43)*MAX('Inputs'!$B$33,'Inputs'!$B$29+'Inputs'!$B$31+'Inputs'!$B$32,'Inputs'!$B$30+'Inputs'!$B$31+'Inputs'!$B$32)/1000+'Inputs'!$B$21+'Inputs'!$B$7+'Inputs'!$B$10)+'Inputs'!$B$9)/SQRT((((492-43)*MAX('Inputs'!$B$33,'Inputs'!$B$29+'Inputs'!$B$31+'Inputs'!$B$32,'Inputs'!$B$30+'Inputs'!$B$31+'Inputs'!$B$32)/1000+'Inputs'!$B$21+'Inputs'!$B$7+'Inputs'!$B$10)+'Inputs'!$B$9)^2+('Inputs'!$B$8/2)^2)-(((492-43)*MAX('Inputs'!$B$33,'Inputs'!$B$29+'Inputs'!$B$31+'Inputs'!$B$32,'Inputs'!$B$30+'Inputs'!$B$31+'Inputs'!$B$32)/1000+'Inputs'!$B$21+'Inputs'!$B$7+'Inputs'!$B$10))/SQRT((((492-43)*MAX('Inputs'!$B$33,'Inputs'!$B$29+'Inputs'!$B$31+'Inputs'!$B$32,'Inputs'!$B$30+'Inputs'!$B$31+'Inputs'!$B$32)/1000+'Inputs'!$B$21+'Inputs'!$B$7+'Inputs'!$B$10))^2+('Inputs'!$B$8/2)^2))))*'Results'!$B$8))),"")</x:f>
        <x:v>6.714684985206664</x:v>
      </x:c>
      <x:c r="M492" t="n">
        <x:f>IF(AND(ISNUMBER('Results'!C7),ISNUMBER('Results'!B7),ISNUMBER('Results'!$B$8),ISNUMBER('Inputs'!$B$6),ISNUMBER('Inputs'!$B$7),ISNUMBER('Inputs'!$B$8),ISNUMBER('Inputs'!$B$9),ISNUMBER('Inputs'!$B$10),ISNUMBER('Inputs'!$B$21),ISNUMBER('Inputs'!$B$24),ISNUMBER('Inputs'!$B$28)),(('Results'!C7*(0.5*((((492-43)*MAX('Inputs'!$B$33,'Inputs'!$B$29+'Inputs'!$B$31+'Inputs'!$B$32,'Inputs'!$B$30+'Inputs'!$B$31+'Inputs'!$B$32)/1000+'Inputs'!$B$21)+'Inputs'!$B$9)/SQRT((((492-43)*MAX('Inputs'!$B$33,'Inputs'!$B$29+'Inputs'!$B$31+'Inputs'!$B$32,'Inputs'!$B$30+'Inputs'!$B$31+'Inputs'!$B$32)/1000+'Inputs'!$B$21)+'Inputs'!$B$9)^2+('Inputs'!$B$8/2)^2)-(((492-43)*MAX('Inputs'!$B$33,'Inputs'!$B$29+'Inputs'!$B$31+'Inputs'!$B$32,'Inputs'!$B$30+'Inputs'!$B$31+'Inputs'!$B$32)/1000+'Inputs'!$B$21))/SQRT((((492-43)*MAX('Inputs'!$B$33,'Inputs'!$B$29+'Inputs'!$B$31+'Inputs'!$B$32,'Inputs'!$B$30+'Inputs'!$B$31+'Inputs'!$B$32)/1000+'Inputs'!$B$21))^2+('Inputs'!$B$8/2)^2)))-'Results'!B7*(0.5*((((492-43)*MAX('Inputs'!$B$33,'Inputs'!$B$29+'Inputs'!$B$31+'Inputs'!$B$32,'Inputs'!$B$30+'Inputs'!$B$31+'Inputs'!$B$32)/1000+'Inputs'!$B$21+'Inputs'!$B$9+'Inputs'!$B$10)+'Inputs'!$B$7)/SQRT((((492-43)*MAX('Inputs'!$B$33,'Inputs'!$B$29+'Inputs'!$B$31+'Inputs'!$B$32,'Inputs'!$B$30+'Inputs'!$B$31+'Inputs'!$B$32)/1000+'Inputs'!$B$21+'Inputs'!$B$9+'Inputs'!$B$10)+'Inputs'!$B$7)^2+('Inputs'!$B$6/2)^2)-(((492-43)*MAX('Inputs'!$B$33,'Inputs'!$B$29+'Inputs'!$B$31+'Inputs'!$B$32,'Inputs'!$B$30+'Inputs'!$B$31+'Inputs'!$B$32)/1000+'Inputs'!$B$21+'Inputs'!$B$9+'Inputs'!$B$10))/SQRT((((492-43)*MAX('Inputs'!$B$33,'Inputs'!$B$29+'Inputs'!$B$31+'Inputs'!$B$32,'Inputs'!$B$30+'Inputs'!$B$31+'Inputs'!$B$32)/1000+'Inputs'!$B$21+'Inputs'!$B$9+'Inputs'!$B$10))^2+('Inputs'!$B$6/2)^2))))*'Results'!$B$8),"")</x:f>
        <x:v>5.6396321254650825</x:v>
      </x:c>
      <x:c r="N492" t="n">
        <x:f>IF(AND(ISNUMBER('Results'!C7),ISNUMBER('Results'!B7),ISNUMBER('Results'!$B$8),ISNUMBER('Inputs'!$B$6),ISNUMBER('Inputs'!$B$7),ISNUMBER('Inputs'!$B$8),ISNUMBER('Inputs'!$B$9),ISNUMBER('Inputs'!$B$10),ISNUMBER('Inputs'!$B$21),ISNUMBER('Inputs'!$B$24),ISNUMBER('Inputs'!$B$28)),((('Results'!C7*(1-'Inputs'!$B$24)*(0.5*((((492-43)*MAX('Inputs'!$B$33,'Inputs'!$B$29+'Inputs'!$B$31+'Inputs'!$B$32,'Inputs'!$B$30+'Inputs'!$B$31+'Inputs'!$B$32)/1000+'Inputs'!$B$21)+'Inputs'!$B$9)/SQRT((((492-43)*MAX('Inputs'!$B$33,'Inputs'!$B$29+'Inputs'!$B$31+'Inputs'!$B$32,'Inputs'!$B$30+'Inputs'!$B$31+'Inputs'!$B$32)/1000+'Inputs'!$B$21)+'Inputs'!$B$9)^2+('Inputs'!$B$8/2)^2)-(((492-43)*MAX('Inputs'!$B$33,'Inputs'!$B$29+'Inputs'!$B$31+'Inputs'!$B$32,'Inputs'!$B$30+'Inputs'!$B$31+'Inputs'!$B$32)/1000+'Inputs'!$B$21))/SQRT((((492-43)*MAX('Inputs'!$B$33,'Inputs'!$B$29+'Inputs'!$B$31+'Inputs'!$B$32,'Inputs'!$B$30+'Inputs'!$B$31+'Inputs'!$B$32)/1000+'Inputs'!$B$21))^2+('Inputs'!$B$8/2)^2)))-'Results'!B7*(1+'Inputs'!$B$24)*(0.5*((((492-43)*MAX('Inputs'!$B$33,'Inputs'!$B$29+'Inputs'!$B$31+'Inputs'!$B$32,'Inputs'!$B$30+'Inputs'!$B$31+'Inputs'!$B$32)/1000+'Inputs'!$B$21+'Inputs'!$B$9+'Inputs'!$B$10)+'Inputs'!$B$7)/SQRT((((492-43)*MAX('Inputs'!$B$33,'Inputs'!$B$29+'Inputs'!$B$31+'Inputs'!$B$32,'Inputs'!$B$30+'Inputs'!$B$31+'Inputs'!$B$32)/1000+'Inputs'!$B$21+'Inputs'!$B$9+'Inputs'!$B$10)+'Inputs'!$B$7)^2+('Inputs'!$B$6/2)^2)-(((492-43)*MAX('Inputs'!$B$33,'Inputs'!$B$29+'Inputs'!$B$31+'Inputs'!$B$32,'Inputs'!$B$30+'Inputs'!$B$31+'Inputs'!$B$32)/1000+'Inputs'!$B$21+'Inputs'!$B$9+'Inputs'!$B$10))/SQRT((((492-43)*MAX('Inputs'!$B$33,'Inputs'!$B$29+'Inputs'!$B$31+'Inputs'!$B$32,'Inputs'!$B$30+'Inputs'!$B$31+'Inputs'!$B$32)/1000+'Inputs'!$B$21+'Inputs'!$B$9+'Inputs'!$B$10))^2+('Inputs'!$B$6/2)^2))))*'Results'!$B$8)-'Inputs'!$B$28*ABS((('Results'!C7*(1-'Inputs'!$B$24)*(0.5*((((492-43)*MAX('Inputs'!$B$33,'Inputs'!$B$29+'Inputs'!$B$31+'Inputs'!$B$32,'Inputs'!$B$30+'Inputs'!$B$31+'Inputs'!$B$32)/1000+'Inputs'!$B$21)+'Inputs'!$B$9)/SQRT((((492-43)*MAX('Inputs'!$B$33,'Inputs'!$B$29+'Inputs'!$B$31+'Inputs'!$B$32,'Inputs'!$B$30+'Inputs'!$B$31+'Inputs'!$B$32)/1000+'Inputs'!$B$21)+'Inputs'!$B$9)^2+('Inputs'!$B$8/2)^2)-(((492-43)*MAX('Inputs'!$B$33,'Inputs'!$B$29+'Inputs'!$B$31+'Inputs'!$B$32,'Inputs'!$B$30+'Inputs'!$B$31+'Inputs'!$B$32)/1000+'Inputs'!$B$21))/SQRT((((492-43)*MAX('Inputs'!$B$33,'Inputs'!$B$29+'Inputs'!$B$31+'Inputs'!$B$32,'Inputs'!$B$30+'Inputs'!$B$31+'Inputs'!$B$32)/1000+'Inputs'!$B$21))^2+('Inputs'!$B$8/2)^2)))-'Results'!B7*(1+'Inputs'!$B$24)*(0.5*((((492-43)*MAX('Inputs'!$B$33,'Inputs'!$B$29+'Inputs'!$B$31+'Inputs'!$B$32,'Inputs'!$B$30+'Inputs'!$B$31+'Inputs'!$B$32)/1000+'Inputs'!$B$21+'Inputs'!$B$9+'Inputs'!$B$10)+'Inputs'!$B$7)/SQRT((((492-43)*MAX('Inputs'!$B$33,'Inputs'!$B$29+'Inputs'!$B$31+'Inputs'!$B$32,'Inputs'!$B$30+'Inputs'!$B$31+'Inputs'!$B$32)/1000+'Inputs'!$B$21+'Inputs'!$B$9+'Inputs'!$B$10)+'Inputs'!$B$7)^2+('Inputs'!$B$6/2)^2)-(((492-43)*MAX('Inputs'!$B$33,'Inputs'!$B$29+'Inputs'!$B$31+'Inputs'!$B$32,'Inputs'!$B$30+'Inputs'!$B$31+'Inputs'!$B$32)/1000+'Inputs'!$B$21+'Inputs'!$B$9+'Inputs'!$B$10))/SQRT((((492-43)*MAX('Inputs'!$B$33,'Inputs'!$B$29+'Inputs'!$B$31+'Inputs'!$B$32,'Inputs'!$B$30+'Inputs'!$B$31+'Inputs'!$B$32)/1000+'Inputs'!$B$21+'Inputs'!$B$9+'Inputs'!$B$10))^2+('Inputs'!$B$6/2)^2))))*'Results'!$B$8))),"")</x:f>
        <x:v>5.0023583229516095</x:v>
      </x:c>
      <x:c r="O492" t="n">
        <x:f>IF(AND(ISNUMBER('Results'!C7),ISNUMBER('Results'!B7),ISNUMBER('Results'!$B$8),ISNUMBER('Inputs'!$B$6),ISNUMBER('Inputs'!$B$7),ISNUMBER('Inputs'!$B$8),ISNUMBER('Inputs'!$B$9),ISNUMBER('Inputs'!$B$10),ISNUMBER('Inputs'!$B$21),ISNUMBER('Inputs'!$B$24),ISNUMBER('Inputs'!$B$28)),((('Results'!C7*(1+'Inputs'!$B$24)*(0.5*((((492-43)*MAX('Inputs'!$B$33,'Inputs'!$B$29+'Inputs'!$B$31+'Inputs'!$B$32,'Inputs'!$B$30+'Inputs'!$B$31+'Inputs'!$B$32)/1000+'Inputs'!$B$21)+'Inputs'!$B$9)/SQRT((((492-43)*MAX('Inputs'!$B$33,'Inputs'!$B$29+'Inputs'!$B$31+'Inputs'!$B$32,'Inputs'!$B$30+'Inputs'!$B$31+'Inputs'!$B$32)/1000+'Inputs'!$B$21)+'Inputs'!$B$9)^2+('Inputs'!$B$8/2)^2)-(((492-43)*MAX('Inputs'!$B$33,'Inputs'!$B$29+'Inputs'!$B$31+'Inputs'!$B$32,'Inputs'!$B$30+'Inputs'!$B$31+'Inputs'!$B$32)/1000+'Inputs'!$B$21))/SQRT((((492-43)*MAX('Inputs'!$B$33,'Inputs'!$B$29+'Inputs'!$B$31+'Inputs'!$B$32,'Inputs'!$B$30+'Inputs'!$B$31+'Inputs'!$B$32)/1000+'Inputs'!$B$21))^2+('Inputs'!$B$8/2)^2)))-'Results'!B7*(1-'Inputs'!$B$24)*(0.5*((((492-43)*MAX('Inputs'!$B$33,'Inputs'!$B$29+'Inputs'!$B$31+'Inputs'!$B$32,'Inputs'!$B$30+'Inputs'!$B$31+'Inputs'!$B$32)/1000+'Inputs'!$B$21+'Inputs'!$B$9+'Inputs'!$B$10)+'Inputs'!$B$7)/SQRT((((492-43)*MAX('Inputs'!$B$33,'Inputs'!$B$29+'Inputs'!$B$31+'Inputs'!$B$32,'Inputs'!$B$30+'Inputs'!$B$31+'Inputs'!$B$32)/1000+'Inputs'!$B$21+'Inputs'!$B$9+'Inputs'!$B$10)+'Inputs'!$B$7)^2+('Inputs'!$B$6/2)^2)-(((492-43)*MAX('Inputs'!$B$33,'Inputs'!$B$29+'Inputs'!$B$31+'Inputs'!$B$32,'Inputs'!$B$30+'Inputs'!$B$31+'Inputs'!$B$32)/1000+'Inputs'!$B$21+'Inputs'!$B$9+'Inputs'!$B$10))/SQRT((((492-43)*MAX('Inputs'!$B$33,'Inputs'!$B$29+'Inputs'!$B$31+'Inputs'!$B$32,'Inputs'!$B$30+'Inputs'!$B$31+'Inputs'!$B$32)/1000+'Inputs'!$B$21+'Inputs'!$B$9+'Inputs'!$B$10))^2+('Inputs'!$B$6/2)^2))))*'Results'!$B$8)+'Inputs'!$B$28*ABS((('Results'!C7*(1+'Inputs'!$B$24)*(0.5*((((492-43)*MAX('Inputs'!$B$33,'Inputs'!$B$29+'Inputs'!$B$31+'Inputs'!$B$32,'Inputs'!$B$30+'Inputs'!$B$31+'Inputs'!$B$32)/1000+'Inputs'!$B$21)+'Inputs'!$B$9)/SQRT((((492-43)*MAX('Inputs'!$B$33,'Inputs'!$B$29+'Inputs'!$B$31+'Inputs'!$B$32,'Inputs'!$B$30+'Inputs'!$B$31+'Inputs'!$B$32)/1000+'Inputs'!$B$21)+'Inputs'!$B$9)^2+('Inputs'!$B$8/2)^2)-(((492-43)*MAX('Inputs'!$B$33,'Inputs'!$B$29+'Inputs'!$B$31+'Inputs'!$B$32,'Inputs'!$B$30+'Inputs'!$B$31+'Inputs'!$B$32)/1000+'Inputs'!$B$21))/SQRT((((492-43)*MAX('Inputs'!$B$33,'Inputs'!$B$29+'Inputs'!$B$31+'Inputs'!$B$32,'Inputs'!$B$30+'Inputs'!$B$31+'Inputs'!$B$32)/1000+'Inputs'!$B$21))^2+('Inputs'!$B$8/2)^2)))-'Results'!B7*(1-'Inputs'!$B$24)*(0.5*((((492-43)*MAX('Inputs'!$B$33,'Inputs'!$B$29+'Inputs'!$B$31+'Inputs'!$B$32,'Inputs'!$B$30+'Inputs'!$B$31+'Inputs'!$B$32)/1000+'Inputs'!$B$21+'Inputs'!$B$9+'Inputs'!$B$10)+'Inputs'!$B$7)/SQRT((((492-43)*MAX('Inputs'!$B$33,'Inputs'!$B$29+'Inputs'!$B$31+'Inputs'!$B$32,'Inputs'!$B$30+'Inputs'!$B$31+'Inputs'!$B$32)/1000+'Inputs'!$B$21+'Inputs'!$B$9+'Inputs'!$B$10)+'Inputs'!$B$7)^2+('Inputs'!$B$6/2)^2)-(((492-43)*MAX('Inputs'!$B$33,'Inputs'!$B$29+'Inputs'!$B$31+'Inputs'!$B$32,'Inputs'!$B$30+'Inputs'!$B$31+'Inputs'!$B$32)/1000+'Inputs'!$B$21+'Inputs'!$B$9+'Inputs'!$B$10))/SQRT((((492-43)*MAX('Inputs'!$B$33,'Inputs'!$B$29+'Inputs'!$B$31+'Inputs'!$B$32,'Inputs'!$B$30+'Inputs'!$B$31+'Inputs'!$B$32)/1000+'Inputs'!$B$21+'Inputs'!$B$9+'Inputs'!$B$10))^2+('Inputs'!$B$6/2)^2))))*'Results'!$B$8))),"")</x:f>
        <x:v>6.314305106530158</x:v>
      </x:c>
      <x:c r="P492" t="n">
        <x:f>IF(AND(MAX(J492,J491)&gt;0,J492&gt;J491+0.00000001),1,0)</x:f>
        <x:v>0</x:v>
      </x:c>
      <x:c r="Q492" t="n">
        <x:f>IF(AND(MAX(K492,K491)&gt;0,K492&gt;K491+0.00000001),1,0)</x:f>
        <x:v>0</x:v>
      </x:c>
      <x:c r="R492" t="n">
        <x:f>IF(AND(MAX(L492,L491)&gt;0,L492&gt;L491+0.00000001),1,0)</x:f>
        <x:v>0</x:v>
      </x:c>
      <x:c r="S492" t="n">
        <x:f>IF(AND(MAX(M492,M491)&gt;0,M492&gt;M491+0.00000001),1,0)</x:f>
        <x:v>0</x:v>
      </x:c>
      <x:c r="T492" t="n">
        <x:f>IF(AND(MAX(N492,N491)&gt;0,N492&gt;N491+0.00000001),1,0)</x:f>
        <x:v>0</x:v>
      </x:c>
      <x:c r="U492" t="n">
        <x:f>IF(AND(MAX(O492,O491)&gt;0,O492&gt;O491+0.00000001),1,0)</x:f>
        <x:v>0</x:v>
      </x:c>
    </x:row>
    <x:row r="493">
      <x:c r="J493" t="n">
        <x:f>IF(AND(ISNUMBER('Results'!B7),ISNUMBER('Results'!C7),ISNUMBER('Results'!$B$8),ISNUMBER('Inputs'!$B$6),ISNUMBER('Inputs'!$B$7),ISNUMBER('Inputs'!$B$8),ISNUMBER('Inputs'!$B$9),ISNUMBER('Inputs'!$B$10),ISNUMBER('Inputs'!$B$21),ISNUMBER('Inputs'!$B$24),ISNUMBER('Inputs'!$B$28)),(('Results'!B7*(0.5*((((493-43)*MAX('Inputs'!$B$33,'Inputs'!$B$29+'Inputs'!$B$31+'Inputs'!$B$32,'Inputs'!$B$30+'Inputs'!$B$31+'Inputs'!$B$32)/1000+'Inputs'!$B$21)+'Inputs'!$B$7)/SQRT((((493-43)*MAX('Inputs'!$B$33,'Inputs'!$B$29+'Inputs'!$B$31+'Inputs'!$B$32,'Inputs'!$B$30+'Inputs'!$B$31+'Inputs'!$B$32)/1000+'Inputs'!$B$21)+'Inputs'!$B$7)^2+('Inputs'!$B$6/2)^2)-(((493-43)*MAX('Inputs'!$B$33,'Inputs'!$B$29+'Inputs'!$B$31+'Inputs'!$B$32,'Inputs'!$B$30+'Inputs'!$B$31+'Inputs'!$B$32)/1000+'Inputs'!$B$21))/SQRT((((493-43)*MAX('Inputs'!$B$33,'Inputs'!$B$29+'Inputs'!$B$31+'Inputs'!$B$32,'Inputs'!$B$30+'Inputs'!$B$31+'Inputs'!$B$32)/1000+'Inputs'!$B$21))^2+('Inputs'!$B$6/2)^2)))-'Results'!C7*(0.5*((((493-43)*MAX('Inputs'!$B$33,'Inputs'!$B$29+'Inputs'!$B$31+'Inputs'!$B$32,'Inputs'!$B$30+'Inputs'!$B$31+'Inputs'!$B$32)/1000+'Inputs'!$B$21+'Inputs'!$B$7+'Inputs'!$B$10)+'Inputs'!$B$9)/SQRT((((493-43)*MAX('Inputs'!$B$33,'Inputs'!$B$29+'Inputs'!$B$31+'Inputs'!$B$32,'Inputs'!$B$30+'Inputs'!$B$31+'Inputs'!$B$32)/1000+'Inputs'!$B$21+'Inputs'!$B$7+'Inputs'!$B$10)+'Inputs'!$B$9)^2+('Inputs'!$B$8/2)^2)-(((493-43)*MAX('Inputs'!$B$33,'Inputs'!$B$29+'Inputs'!$B$31+'Inputs'!$B$32,'Inputs'!$B$30+'Inputs'!$B$31+'Inputs'!$B$32)/1000+'Inputs'!$B$21+'Inputs'!$B$7+'Inputs'!$B$10))/SQRT((((493-43)*MAX('Inputs'!$B$33,'Inputs'!$B$29+'Inputs'!$B$31+'Inputs'!$B$32,'Inputs'!$B$30+'Inputs'!$B$31+'Inputs'!$B$32)/1000+'Inputs'!$B$21+'Inputs'!$B$7+'Inputs'!$B$10))^2+('Inputs'!$B$8/2)^2))))*'Results'!$B$8),"")</x:f>
        <x:v>5.973738099624114</x:v>
      </x:c>
      <x:c r="K493" t="n">
        <x:f>IF(AND(ISNUMBER('Results'!B7),ISNUMBER('Results'!C7),ISNUMBER('Results'!$B$8),ISNUMBER('Inputs'!$B$6),ISNUMBER('Inputs'!$B$7),ISNUMBER('Inputs'!$B$8),ISNUMBER('Inputs'!$B$9),ISNUMBER('Inputs'!$B$10),ISNUMBER('Inputs'!$B$21),ISNUMBER('Inputs'!$B$24),ISNUMBER('Inputs'!$B$28)),((('Results'!B7*(1-'Inputs'!$B$24)*(0.5*((((493-43)*MAX('Inputs'!$B$33,'Inputs'!$B$29+'Inputs'!$B$31+'Inputs'!$B$32,'Inputs'!$B$30+'Inputs'!$B$31+'Inputs'!$B$32)/1000+'Inputs'!$B$21)+'Inputs'!$B$7)/SQRT((((493-43)*MAX('Inputs'!$B$33,'Inputs'!$B$29+'Inputs'!$B$31+'Inputs'!$B$32,'Inputs'!$B$30+'Inputs'!$B$31+'Inputs'!$B$32)/1000+'Inputs'!$B$21)+'Inputs'!$B$7)^2+('Inputs'!$B$6/2)^2)-(((493-43)*MAX('Inputs'!$B$33,'Inputs'!$B$29+'Inputs'!$B$31+'Inputs'!$B$32,'Inputs'!$B$30+'Inputs'!$B$31+'Inputs'!$B$32)/1000+'Inputs'!$B$21))/SQRT((((493-43)*MAX('Inputs'!$B$33,'Inputs'!$B$29+'Inputs'!$B$31+'Inputs'!$B$32,'Inputs'!$B$30+'Inputs'!$B$31+'Inputs'!$B$32)/1000+'Inputs'!$B$21))^2+('Inputs'!$B$6/2)^2)))-'Results'!C7*(1+'Inputs'!$B$24)*(0.5*((((493-43)*MAX('Inputs'!$B$33,'Inputs'!$B$29+'Inputs'!$B$31+'Inputs'!$B$32,'Inputs'!$B$30+'Inputs'!$B$31+'Inputs'!$B$32)/1000+'Inputs'!$B$21+'Inputs'!$B$7+'Inputs'!$B$10)+'Inputs'!$B$9)/SQRT((((493-43)*MAX('Inputs'!$B$33,'Inputs'!$B$29+'Inputs'!$B$31+'Inputs'!$B$32,'Inputs'!$B$30+'Inputs'!$B$31+'Inputs'!$B$32)/1000+'Inputs'!$B$21+'Inputs'!$B$7+'Inputs'!$B$10)+'Inputs'!$B$9)^2+('Inputs'!$B$8/2)^2)-(((493-43)*MAX('Inputs'!$B$33,'Inputs'!$B$29+'Inputs'!$B$31+'Inputs'!$B$32,'Inputs'!$B$30+'Inputs'!$B$31+'Inputs'!$B$32)/1000+'Inputs'!$B$21+'Inputs'!$B$7+'Inputs'!$B$10))/SQRT((((493-43)*MAX('Inputs'!$B$33,'Inputs'!$B$29+'Inputs'!$B$31+'Inputs'!$B$32,'Inputs'!$B$30+'Inputs'!$B$31+'Inputs'!$B$32)/1000+'Inputs'!$B$21+'Inputs'!$B$7+'Inputs'!$B$10))^2+('Inputs'!$B$8/2)^2))))*'Results'!$B$8)-'Inputs'!$B$28*ABS((('Results'!B7*(1-'Inputs'!$B$24)*(0.5*((((493-43)*MAX('Inputs'!$B$33,'Inputs'!$B$29+'Inputs'!$B$31+'Inputs'!$B$32,'Inputs'!$B$30+'Inputs'!$B$31+'Inputs'!$B$32)/1000+'Inputs'!$B$21)+'Inputs'!$B$7)/SQRT((((493-43)*MAX('Inputs'!$B$33,'Inputs'!$B$29+'Inputs'!$B$31+'Inputs'!$B$32,'Inputs'!$B$30+'Inputs'!$B$31+'Inputs'!$B$32)/1000+'Inputs'!$B$21)+'Inputs'!$B$7)^2+('Inputs'!$B$6/2)^2)-(((493-43)*MAX('Inputs'!$B$33,'Inputs'!$B$29+'Inputs'!$B$31+'Inputs'!$B$32,'Inputs'!$B$30+'Inputs'!$B$31+'Inputs'!$B$32)/1000+'Inputs'!$B$21))/SQRT((((493-43)*MAX('Inputs'!$B$33,'Inputs'!$B$29+'Inputs'!$B$31+'Inputs'!$B$32,'Inputs'!$B$30+'Inputs'!$B$31+'Inputs'!$B$32)/1000+'Inputs'!$B$21))^2+('Inputs'!$B$6/2)^2)))-'Results'!C7*(1+'Inputs'!$B$24)*(0.5*((((493-43)*MAX('Inputs'!$B$33,'Inputs'!$B$29+'Inputs'!$B$31+'Inputs'!$B$32,'Inputs'!$B$30+'Inputs'!$B$31+'Inputs'!$B$32)/1000+'Inputs'!$B$21+'Inputs'!$B$7+'Inputs'!$B$10)+'Inputs'!$B$9)/SQRT((((493-43)*MAX('Inputs'!$B$33,'Inputs'!$B$29+'Inputs'!$B$31+'Inputs'!$B$32,'Inputs'!$B$30+'Inputs'!$B$31+'Inputs'!$B$32)/1000+'Inputs'!$B$21+'Inputs'!$B$7+'Inputs'!$B$10)+'Inputs'!$B$9)^2+('Inputs'!$B$8/2)^2)-(((493-43)*MAX('Inputs'!$B$33,'Inputs'!$B$29+'Inputs'!$B$31+'Inputs'!$B$32,'Inputs'!$B$30+'Inputs'!$B$31+'Inputs'!$B$32)/1000+'Inputs'!$B$21+'Inputs'!$B$7+'Inputs'!$B$10))/SQRT((((493-43)*MAX('Inputs'!$B$33,'Inputs'!$B$29+'Inputs'!$B$31+'Inputs'!$B$32,'Inputs'!$B$30+'Inputs'!$B$31+'Inputs'!$B$32)/1000+'Inputs'!$B$21+'Inputs'!$B$7+'Inputs'!$B$10))^2+('Inputs'!$B$8/2)^2))))*'Results'!$B$8))),"")</x:f>
        <x:v>5.319598916227204</x:v>
      </x:c>
      <x:c r="L493" t="n">
        <x:f>IF(AND(ISNUMBER('Results'!B7),ISNUMBER('Results'!C7),ISNUMBER('Results'!$B$8),ISNUMBER('Inputs'!$B$6),ISNUMBER('Inputs'!$B$7),ISNUMBER('Inputs'!$B$8),ISNUMBER('Inputs'!$B$9),ISNUMBER('Inputs'!$B$10),ISNUMBER('Inputs'!$B$21),ISNUMBER('Inputs'!$B$24),ISNUMBER('Inputs'!$B$28)),((('Results'!B7*(1+'Inputs'!$B$24)*(0.5*((((493-43)*MAX('Inputs'!$B$33,'Inputs'!$B$29+'Inputs'!$B$31+'Inputs'!$B$32,'Inputs'!$B$30+'Inputs'!$B$31+'Inputs'!$B$32)/1000+'Inputs'!$B$21)+'Inputs'!$B$7)/SQRT((((493-43)*MAX('Inputs'!$B$33,'Inputs'!$B$29+'Inputs'!$B$31+'Inputs'!$B$32,'Inputs'!$B$30+'Inputs'!$B$31+'Inputs'!$B$32)/1000+'Inputs'!$B$21)+'Inputs'!$B$7)^2+('Inputs'!$B$6/2)^2)-(((493-43)*MAX('Inputs'!$B$33,'Inputs'!$B$29+'Inputs'!$B$31+'Inputs'!$B$32,'Inputs'!$B$30+'Inputs'!$B$31+'Inputs'!$B$32)/1000+'Inputs'!$B$21))/SQRT((((493-43)*MAX('Inputs'!$B$33,'Inputs'!$B$29+'Inputs'!$B$31+'Inputs'!$B$32,'Inputs'!$B$30+'Inputs'!$B$31+'Inputs'!$B$32)/1000+'Inputs'!$B$21))^2+('Inputs'!$B$6/2)^2)))-'Results'!C7*(1-'Inputs'!$B$24)*(0.5*((((493-43)*MAX('Inputs'!$B$33,'Inputs'!$B$29+'Inputs'!$B$31+'Inputs'!$B$32,'Inputs'!$B$30+'Inputs'!$B$31+'Inputs'!$B$32)/1000+'Inputs'!$B$21+'Inputs'!$B$7+'Inputs'!$B$10)+'Inputs'!$B$9)/SQRT((((493-43)*MAX('Inputs'!$B$33,'Inputs'!$B$29+'Inputs'!$B$31+'Inputs'!$B$32,'Inputs'!$B$30+'Inputs'!$B$31+'Inputs'!$B$32)/1000+'Inputs'!$B$21+'Inputs'!$B$7+'Inputs'!$B$10)+'Inputs'!$B$9)^2+('Inputs'!$B$8/2)^2)-(((493-43)*MAX('Inputs'!$B$33,'Inputs'!$B$29+'Inputs'!$B$31+'Inputs'!$B$32,'Inputs'!$B$30+'Inputs'!$B$31+'Inputs'!$B$32)/1000+'Inputs'!$B$21+'Inputs'!$B$7+'Inputs'!$B$10))/SQRT((((493-43)*MAX('Inputs'!$B$33,'Inputs'!$B$29+'Inputs'!$B$31+'Inputs'!$B$32,'Inputs'!$B$30+'Inputs'!$B$31+'Inputs'!$B$32)/1000+'Inputs'!$B$21+'Inputs'!$B$7+'Inputs'!$B$10))^2+('Inputs'!$B$8/2)^2))))*'Results'!$B$8)+'Inputs'!$B$28*ABS((('Results'!B7*(1+'Inputs'!$B$24)*(0.5*((((493-43)*MAX('Inputs'!$B$33,'Inputs'!$B$29+'Inputs'!$B$31+'Inputs'!$B$32,'Inputs'!$B$30+'Inputs'!$B$31+'Inputs'!$B$32)/1000+'Inputs'!$B$21)+'Inputs'!$B$7)/SQRT((((493-43)*MAX('Inputs'!$B$33,'Inputs'!$B$29+'Inputs'!$B$31+'Inputs'!$B$32,'Inputs'!$B$30+'Inputs'!$B$31+'Inputs'!$B$32)/1000+'Inputs'!$B$21)+'Inputs'!$B$7)^2+('Inputs'!$B$6/2)^2)-(((493-43)*MAX('Inputs'!$B$33,'Inputs'!$B$29+'Inputs'!$B$31+'Inputs'!$B$32,'Inputs'!$B$30+'Inputs'!$B$31+'Inputs'!$B$32)/1000+'Inputs'!$B$21))/SQRT((((493-43)*MAX('Inputs'!$B$33,'Inputs'!$B$29+'Inputs'!$B$31+'Inputs'!$B$32,'Inputs'!$B$30+'Inputs'!$B$31+'Inputs'!$B$32)/1000+'Inputs'!$B$21))^2+('Inputs'!$B$6/2)^2)))-'Results'!C7*(1-'Inputs'!$B$24)*(0.5*((((493-43)*MAX('Inputs'!$B$33,'Inputs'!$B$29+'Inputs'!$B$31+'Inputs'!$B$32,'Inputs'!$B$30+'Inputs'!$B$31+'Inputs'!$B$32)/1000+'Inputs'!$B$21+'Inputs'!$B$7+'Inputs'!$B$10)+'Inputs'!$B$9)/SQRT((((493-43)*MAX('Inputs'!$B$33,'Inputs'!$B$29+'Inputs'!$B$31+'Inputs'!$B$32,'Inputs'!$B$30+'Inputs'!$B$31+'Inputs'!$B$32)/1000+'Inputs'!$B$21+'Inputs'!$B$7+'Inputs'!$B$10)+'Inputs'!$B$9)^2+('Inputs'!$B$8/2)^2)-(((493-43)*MAX('Inputs'!$B$33,'Inputs'!$B$29+'Inputs'!$B$31+'Inputs'!$B$32,'Inputs'!$B$30+'Inputs'!$B$31+'Inputs'!$B$32)/1000+'Inputs'!$B$21+'Inputs'!$B$7+'Inputs'!$B$10))/SQRT((((493-43)*MAX('Inputs'!$B$33,'Inputs'!$B$29+'Inputs'!$B$31+'Inputs'!$B$32,'Inputs'!$B$30+'Inputs'!$B$31+'Inputs'!$B$32)/1000+'Inputs'!$B$21+'Inputs'!$B$7+'Inputs'!$B$10))^2+('Inputs'!$B$8/2)^2))))*'Results'!$B$8))),"")</x:f>
        <x:v>6.66529331232794</x:v>
      </x:c>
      <x:c r="M493" t="n">
        <x:f>IF(AND(ISNUMBER('Results'!C7),ISNUMBER('Results'!B7),ISNUMBER('Results'!$B$8),ISNUMBER('Inputs'!$B$6),ISNUMBER('Inputs'!$B$7),ISNUMBER('Inputs'!$B$8),ISNUMBER('Inputs'!$B$9),ISNUMBER('Inputs'!$B$10),ISNUMBER('Inputs'!$B$21),ISNUMBER('Inputs'!$B$24),ISNUMBER('Inputs'!$B$28)),(('Results'!C7*(0.5*((((493-43)*MAX('Inputs'!$B$33,'Inputs'!$B$29+'Inputs'!$B$31+'Inputs'!$B$32,'Inputs'!$B$30+'Inputs'!$B$31+'Inputs'!$B$32)/1000+'Inputs'!$B$21)+'Inputs'!$B$9)/SQRT((((493-43)*MAX('Inputs'!$B$33,'Inputs'!$B$29+'Inputs'!$B$31+'Inputs'!$B$32,'Inputs'!$B$30+'Inputs'!$B$31+'Inputs'!$B$32)/1000+'Inputs'!$B$21)+'Inputs'!$B$9)^2+('Inputs'!$B$8/2)^2)-(((493-43)*MAX('Inputs'!$B$33,'Inputs'!$B$29+'Inputs'!$B$31+'Inputs'!$B$32,'Inputs'!$B$30+'Inputs'!$B$31+'Inputs'!$B$32)/1000+'Inputs'!$B$21))/SQRT((((493-43)*MAX('Inputs'!$B$33,'Inputs'!$B$29+'Inputs'!$B$31+'Inputs'!$B$32,'Inputs'!$B$30+'Inputs'!$B$31+'Inputs'!$B$32)/1000+'Inputs'!$B$21))^2+('Inputs'!$B$8/2)^2)))-'Results'!B7*(0.5*((((493-43)*MAX('Inputs'!$B$33,'Inputs'!$B$29+'Inputs'!$B$31+'Inputs'!$B$32,'Inputs'!$B$30+'Inputs'!$B$31+'Inputs'!$B$32)/1000+'Inputs'!$B$21+'Inputs'!$B$9+'Inputs'!$B$10)+'Inputs'!$B$7)/SQRT((((493-43)*MAX('Inputs'!$B$33,'Inputs'!$B$29+'Inputs'!$B$31+'Inputs'!$B$32,'Inputs'!$B$30+'Inputs'!$B$31+'Inputs'!$B$32)/1000+'Inputs'!$B$21+'Inputs'!$B$9+'Inputs'!$B$10)+'Inputs'!$B$7)^2+('Inputs'!$B$6/2)^2)-(((493-43)*MAX('Inputs'!$B$33,'Inputs'!$B$29+'Inputs'!$B$31+'Inputs'!$B$32,'Inputs'!$B$30+'Inputs'!$B$31+'Inputs'!$B$32)/1000+'Inputs'!$B$21+'Inputs'!$B$9+'Inputs'!$B$10))/SQRT((((493-43)*MAX('Inputs'!$B$33,'Inputs'!$B$29+'Inputs'!$B$31+'Inputs'!$B$32,'Inputs'!$B$30+'Inputs'!$B$31+'Inputs'!$B$32)/1000+'Inputs'!$B$21+'Inputs'!$B$9+'Inputs'!$B$10))^2+('Inputs'!$B$6/2)^2))))*'Results'!$B$8),"")</x:f>
        <x:v>5.59697897460519</x:v>
      </x:c>
      <x:c r="N493" t="n">
        <x:f>IF(AND(ISNUMBER('Results'!C7),ISNUMBER('Results'!B7),ISNUMBER('Results'!$B$8),ISNUMBER('Inputs'!$B$6),ISNUMBER('Inputs'!$B$7),ISNUMBER('Inputs'!$B$8),ISNUMBER('Inputs'!$B$9),ISNUMBER('Inputs'!$B$10),ISNUMBER('Inputs'!$B$21),ISNUMBER('Inputs'!$B$24),ISNUMBER('Inputs'!$B$28)),((('Results'!C7*(1-'Inputs'!$B$24)*(0.5*((((493-43)*MAX('Inputs'!$B$33,'Inputs'!$B$29+'Inputs'!$B$31+'Inputs'!$B$32,'Inputs'!$B$30+'Inputs'!$B$31+'Inputs'!$B$32)/1000+'Inputs'!$B$21)+'Inputs'!$B$9)/SQRT((((493-43)*MAX('Inputs'!$B$33,'Inputs'!$B$29+'Inputs'!$B$31+'Inputs'!$B$32,'Inputs'!$B$30+'Inputs'!$B$31+'Inputs'!$B$32)/1000+'Inputs'!$B$21)+'Inputs'!$B$9)^2+('Inputs'!$B$8/2)^2)-(((493-43)*MAX('Inputs'!$B$33,'Inputs'!$B$29+'Inputs'!$B$31+'Inputs'!$B$32,'Inputs'!$B$30+'Inputs'!$B$31+'Inputs'!$B$32)/1000+'Inputs'!$B$21))/SQRT((((493-43)*MAX('Inputs'!$B$33,'Inputs'!$B$29+'Inputs'!$B$31+'Inputs'!$B$32,'Inputs'!$B$30+'Inputs'!$B$31+'Inputs'!$B$32)/1000+'Inputs'!$B$21))^2+('Inputs'!$B$8/2)^2)))-'Results'!B7*(1+'Inputs'!$B$24)*(0.5*((((493-43)*MAX('Inputs'!$B$33,'Inputs'!$B$29+'Inputs'!$B$31+'Inputs'!$B$32,'Inputs'!$B$30+'Inputs'!$B$31+'Inputs'!$B$32)/1000+'Inputs'!$B$21+'Inputs'!$B$9+'Inputs'!$B$10)+'Inputs'!$B$7)/SQRT((((493-43)*MAX('Inputs'!$B$33,'Inputs'!$B$29+'Inputs'!$B$31+'Inputs'!$B$32,'Inputs'!$B$30+'Inputs'!$B$31+'Inputs'!$B$32)/1000+'Inputs'!$B$21+'Inputs'!$B$9+'Inputs'!$B$10)+'Inputs'!$B$7)^2+('Inputs'!$B$6/2)^2)-(((493-43)*MAX('Inputs'!$B$33,'Inputs'!$B$29+'Inputs'!$B$31+'Inputs'!$B$32,'Inputs'!$B$30+'Inputs'!$B$31+'Inputs'!$B$32)/1000+'Inputs'!$B$21+'Inputs'!$B$9+'Inputs'!$B$10))/SQRT((((493-43)*MAX('Inputs'!$B$33,'Inputs'!$B$29+'Inputs'!$B$31+'Inputs'!$B$32,'Inputs'!$B$30+'Inputs'!$B$31+'Inputs'!$B$32)/1000+'Inputs'!$B$21+'Inputs'!$B$9+'Inputs'!$B$10))^2+('Inputs'!$B$6/2)^2))))*'Results'!$B$8)-'Inputs'!$B$28*ABS((('Results'!C7*(1-'Inputs'!$B$24)*(0.5*((((493-43)*MAX('Inputs'!$B$33,'Inputs'!$B$29+'Inputs'!$B$31+'Inputs'!$B$32,'Inputs'!$B$30+'Inputs'!$B$31+'Inputs'!$B$32)/1000+'Inputs'!$B$21)+'Inputs'!$B$9)/SQRT((((493-43)*MAX('Inputs'!$B$33,'Inputs'!$B$29+'Inputs'!$B$31+'Inputs'!$B$32,'Inputs'!$B$30+'Inputs'!$B$31+'Inputs'!$B$32)/1000+'Inputs'!$B$21)+'Inputs'!$B$9)^2+('Inputs'!$B$8/2)^2)-(((493-43)*MAX('Inputs'!$B$33,'Inputs'!$B$29+'Inputs'!$B$31+'Inputs'!$B$32,'Inputs'!$B$30+'Inputs'!$B$31+'Inputs'!$B$32)/1000+'Inputs'!$B$21))/SQRT((((493-43)*MAX('Inputs'!$B$33,'Inputs'!$B$29+'Inputs'!$B$31+'Inputs'!$B$32,'Inputs'!$B$30+'Inputs'!$B$31+'Inputs'!$B$32)/1000+'Inputs'!$B$21))^2+('Inputs'!$B$8/2)^2)))-'Results'!B7*(1+'Inputs'!$B$24)*(0.5*((((493-43)*MAX('Inputs'!$B$33,'Inputs'!$B$29+'Inputs'!$B$31+'Inputs'!$B$32,'Inputs'!$B$30+'Inputs'!$B$31+'Inputs'!$B$32)/1000+'Inputs'!$B$21+'Inputs'!$B$9+'Inputs'!$B$10)+'Inputs'!$B$7)/SQRT((((493-43)*MAX('Inputs'!$B$33,'Inputs'!$B$29+'Inputs'!$B$31+'Inputs'!$B$32,'Inputs'!$B$30+'Inputs'!$B$31+'Inputs'!$B$32)/1000+'Inputs'!$B$21+'Inputs'!$B$9+'Inputs'!$B$10)+'Inputs'!$B$7)^2+('Inputs'!$B$6/2)^2)-(((493-43)*MAX('Inputs'!$B$33,'Inputs'!$B$29+'Inputs'!$B$31+'Inputs'!$B$32,'Inputs'!$B$30+'Inputs'!$B$31+'Inputs'!$B$32)/1000+'Inputs'!$B$21+'Inputs'!$B$9+'Inputs'!$B$10))/SQRT((((493-43)*MAX('Inputs'!$B$33,'Inputs'!$B$29+'Inputs'!$B$31+'Inputs'!$B$32,'Inputs'!$B$30+'Inputs'!$B$31+'Inputs'!$B$32)/1000+'Inputs'!$B$21+'Inputs'!$B$9+'Inputs'!$B$10))^2+('Inputs'!$B$6/2)^2))))*'Results'!$B$8))),"")</x:f>
        <x:v>4.963898390130038</x:v>
      </x:c>
      <x:c r="O493" t="n">
        <x:f>IF(AND(ISNUMBER('Results'!C7),ISNUMBER('Results'!B7),ISNUMBER('Results'!$B$8),ISNUMBER('Inputs'!$B$6),ISNUMBER('Inputs'!$B$7),ISNUMBER('Inputs'!$B$8),ISNUMBER('Inputs'!$B$9),ISNUMBER('Inputs'!$B$10),ISNUMBER('Inputs'!$B$21),ISNUMBER('Inputs'!$B$24),ISNUMBER('Inputs'!$B$28)),((('Results'!C7*(1+'Inputs'!$B$24)*(0.5*((((493-43)*MAX('Inputs'!$B$33,'Inputs'!$B$29+'Inputs'!$B$31+'Inputs'!$B$32,'Inputs'!$B$30+'Inputs'!$B$31+'Inputs'!$B$32)/1000+'Inputs'!$B$21)+'Inputs'!$B$9)/SQRT((((493-43)*MAX('Inputs'!$B$33,'Inputs'!$B$29+'Inputs'!$B$31+'Inputs'!$B$32,'Inputs'!$B$30+'Inputs'!$B$31+'Inputs'!$B$32)/1000+'Inputs'!$B$21)+'Inputs'!$B$9)^2+('Inputs'!$B$8/2)^2)-(((493-43)*MAX('Inputs'!$B$33,'Inputs'!$B$29+'Inputs'!$B$31+'Inputs'!$B$32,'Inputs'!$B$30+'Inputs'!$B$31+'Inputs'!$B$32)/1000+'Inputs'!$B$21))/SQRT((((493-43)*MAX('Inputs'!$B$33,'Inputs'!$B$29+'Inputs'!$B$31+'Inputs'!$B$32,'Inputs'!$B$30+'Inputs'!$B$31+'Inputs'!$B$32)/1000+'Inputs'!$B$21))^2+('Inputs'!$B$8/2)^2)))-'Results'!B7*(1-'Inputs'!$B$24)*(0.5*((((493-43)*MAX('Inputs'!$B$33,'Inputs'!$B$29+'Inputs'!$B$31+'Inputs'!$B$32,'Inputs'!$B$30+'Inputs'!$B$31+'Inputs'!$B$32)/1000+'Inputs'!$B$21+'Inputs'!$B$9+'Inputs'!$B$10)+'Inputs'!$B$7)/SQRT((((493-43)*MAX('Inputs'!$B$33,'Inputs'!$B$29+'Inputs'!$B$31+'Inputs'!$B$32,'Inputs'!$B$30+'Inputs'!$B$31+'Inputs'!$B$32)/1000+'Inputs'!$B$21+'Inputs'!$B$9+'Inputs'!$B$10)+'Inputs'!$B$7)^2+('Inputs'!$B$6/2)^2)-(((493-43)*MAX('Inputs'!$B$33,'Inputs'!$B$29+'Inputs'!$B$31+'Inputs'!$B$32,'Inputs'!$B$30+'Inputs'!$B$31+'Inputs'!$B$32)/1000+'Inputs'!$B$21+'Inputs'!$B$9+'Inputs'!$B$10))/SQRT((((493-43)*MAX('Inputs'!$B$33,'Inputs'!$B$29+'Inputs'!$B$31+'Inputs'!$B$32,'Inputs'!$B$30+'Inputs'!$B$31+'Inputs'!$B$32)/1000+'Inputs'!$B$21+'Inputs'!$B$9+'Inputs'!$B$10))^2+('Inputs'!$B$6/2)^2))))*'Results'!$B$8)+'Inputs'!$B$28*ABS((('Results'!C7*(1+'Inputs'!$B$24)*(0.5*((((493-43)*MAX('Inputs'!$B$33,'Inputs'!$B$29+'Inputs'!$B$31+'Inputs'!$B$32,'Inputs'!$B$30+'Inputs'!$B$31+'Inputs'!$B$32)/1000+'Inputs'!$B$21)+'Inputs'!$B$9)/SQRT((((493-43)*MAX('Inputs'!$B$33,'Inputs'!$B$29+'Inputs'!$B$31+'Inputs'!$B$32,'Inputs'!$B$30+'Inputs'!$B$31+'Inputs'!$B$32)/1000+'Inputs'!$B$21)+'Inputs'!$B$9)^2+('Inputs'!$B$8/2)^2)-(((493-43)*MAX('Inputs'!$B$33,'Inputs'!$B$29+'Inputs'!$B$31+'Inputs'!$B$32,'Inputs'!$B$30+'Inputs'!$B$31+'Inputs'!$B$32)/1000+'Inputs'!$B$21))/SQRT((((493-43)*MAX('Inputs'!$B$33,'Inputs'!$B$29+'Inputs'!$B$31+'Inputs'!$B$32,'Inputs'!$B$30+'Inputs'!$B$31+'Inputs'!$B$32)/1000+'Inputs'!$B$21))^2+('Inputs'!$B$8/2)^2)))-'Results'!B7*(1-'Inputs'!$B$24)*(0.5*((((493-43)*MAX('Inputs'!$B$33,'Inputs'!$B$29+'Inputs'!$B$31+'Inputs'!$B$32,'Inputs'!$B$30+'Inputs'!$B$31+'Inputs'!$B$32)/1000+'Inputs'!$B$21+'Inputs'!$B$9+'Inputs'!$B$10)+'Inputs'!$B$7)/SQRT((((493-43)*MAX('Inputs'!$B$33,'Inputs'!$B$29+'Inputs'!$B$31+'Inputs'!$B$32,'Inputs'!$B$30+'Inputs'!$B$31+'Inputs'!$B$32)/1000+'Inputs'!$B$21+'Inputs'!$B$9+'Inputs'!$B$10)+'Inputs'!$B$7)^2+('Inputs'!$B$6/2)^2)-(((493-43)*MAX('Inputs'!$B$33,'Inputs'!$B$29+'Inputs'!$B$31+'Inputs'!$B$32,'Inputs'!$B$30+'Inputs'!$B$31+'Inputs'!$B$32)/1000+'Inputs'!$B$21+'Inputs'!$B$9+'Inputs'!$B$10))/SQRT((((493-43)*MAX('Inputs'!$B$33,'Inputs'!$B$29+'Inputs'!$B$31+'Inputs'!$B$32,'Inputs'!$B$30+'Inputs'!$B$31+'Inputs'!$B$32)/1000+'Inputs'!$B$21+'Inputs'!$B$9+'Inputs'!$B$10))^2+('Inputs'!$B$6/2)^2))))*'Results'!$B$8))),"")</x:f>
        <x:v>6.267241836527173</x:v>
      </x:c>
      <x:c r="P493" t="n">
        <x:f>IF(AND(MAX(J493,J492)&gt;0,J493&gt;J492+0.00000001),1,0)</x:f>
        <x:v>0</x:v>
      </x:c>
      <x:c r="Q493" t="n">
        <x:f>IF(AND(MAX(K493,K492)&gt;0,K493&gt;K492+0.00000001),1,0)</x:f>
        <x:v>0</x:v>
      </x:c>
      <x:c r="R493" t="n">
        <x:f>IF(AND(MAX(L493,L492)&gt;0,L493&gt;L492+0.00000001),1,0)</x:f>
        <x:v>0</x:v>
      </x:c>
      <x:c r="S493" t="n">
        <x:f>IF(AND(MAX(M493,M492)&gt;0,M493&gt;M492+0.00000001),1,0)</x:f>
        <x:v>0</x:v>
      </x:c>
      <x:c r="T493" t="n">
        <x:f>IF(AND(MAX(N493,N492)&gt;0,N493&gt;N492+0.00000001),1,0)</x:f>
        <x:v>0</x:v>
      </x:c>
      <x:c r="U493" t="n">
        <x:f>IF(AND(MAX(O493,O492)&gt;0,O493&gt;O492+0.00000001),1,0)</x:f>
        <x:v>0</x:v>
      </x:c>
    </x:row>
    <x:row r="494">
      <x:c r="J494" t="n">
        <x:f>IF(AND(ISNUMBER('Results'!B7),ISNUMBER('Results'!C7),ISNUMBER('Results'!$B$8),ISNUMBER('Inputs'!$B$6),ISNUMBER('Inputs'!$B$7),ISNUMBER('Inputs'!$B$8),ISNUMBER('Inputs'!$B$9),ISNUMBER('Inputs'!$B$10),ISNUMBER('Inputs'!$B$21),ISNUMBER('Inputs'!$B$24),ISNUMBER('Inputs'!$B$28)),(('Results'!B7*(0.5*((((494-43)*MAX('Inputs'!$B$33,'Inputs'!$B$29+'Inputs'!$B$31+'Inputs'!$B$32,'Inputs'!$B$30+'Inputs'!$B$31+'Inputs'!$B$32)/1000+'Inputs'!$B$21)+'Inputs'!$B$7)/SQRT((((494-43)*MAX('Inputs'!$B$33,'Inputs'!$B$29+'Inputs'!$B$31+'Inputs'!$B$32,'Inputs'!$B$30+'Inputs'!$B$31+'Inputs'!$B$32)/1000+'Inputs'!$B$21)+'Inputs'!$B$7)^2+('Inputs'!$B$6/2)^2)-(((494-43)*MAX('Inputs'!$B$33,'Inputs'!$B$29+'Inputs'!$B$31+'Inputs'!$B$32,'Inputs'!$B$30+'Inputs'!$B$31+'Inputs'!$B$32)/1000+'Inputs'!$B$21))/SQRT((((494-43)*MAX('Inputs'!$B$33,'Inputs'!$B$29+'Inputs'!$B$31+'Inputs'!$B$32,'Inputs'!$B$30+'Inputs'!$B$31+'Inputs'!$B$32)/1000+'Inputs'!$B$21))^2+('Inputs'!$B$6/2)^2)))-'Results'!C7*(0.5*((((494-43)*MAX('Inputs'!$B$33,'Inputs'!$B$29+'Inputs'!$B$31+'Inputs'!$B$32,'Inputs'!$B$30+'Inputs'!$B$31+'Inputs'!$B$32)/1000+'Inputs'!$B$21+'Inputs'!$B$7+'Inputs'!$B$10)+'Inputs'!$B$9)/SQRT((((494-43)*MAX('Inputs'!$B$33,'Inputs'!$B$29+'Inputs'!$B$31+'Inputs'!$B$32,'Inputs'!$B$30+'Inputs'!$B$31+'Inputs'!$B$32)/1000+'Inputs'!$B$21+'Inputs'!$B$7+'Inputs'!$B$10)+'Inputs'!$B$9)^2+('Inputs'!$B$8/2)^2)-(((494-43)*MAX('Inputs'!$B$33,'Inputs'!$B$29+'Inputs'!$B$31+'Inputs'!$B$32,'Inputs'!$B$30+'Inputs'!$B$31+'Inputs'!$B$32)/1000+'Inputs'!$B$21+'Inputs'!$B$7+'Inputs'!$B$10))/SQRT((((494-43)*MAX('Inputs'!$B$33,'Inputs'!$B$29+'Inputs'!$B$31+'Inputs'!$B$32,'Inputs'!$B$30+'Inputs'!$B$31+'Inputs'!$B$32)/1000+'Inputs'!$B$21+'Inputs'!$B$7+'Inputs'!$B$10))^2+('Inputs'!$B$8/2)^2))))*'Results'!$B$8),"")</x:f>
        <x:v>5.929302434199323</x:v>
      </x:c>
      <x:c r="K494" t="n">
        <x:f>IF(AND(ISNUMBER('Results'!B7),ISNUMBER('Results'!C7),ISNUMBER('Results'!$B$8),ISNUMBER('Inputs'!$B$6),ISNUMBER('Inputs'!$B$7),ISNUMBER('Inputs'!$B$8),ISNUMBER('Inputs'!$B$9),ISNUMBER('Inputs'!$B$10),ISNUMBER('Inputs'!$B$21),ISNUMBER('Inputs'!$B$24),ISNUMBER('Inputs'!$B$28)),((('Results'!B7*(1-'Inputs'!$B$24)*(0.5*((((494-43)*MAX('Inputs'!$B$33,'Inputs'!$B$29+'Inputs'!$B$31+'Inputs'!$B$32,'Inputs'!$B$30+'Inputs'!$B$31+'Inputs'!$B$32)/1000+'Inputs'!$B$21)+'Inputs'!$B$7)/SQRT((((494-43)*MAX('Inputs'!$B$33,'Inputs'!$B$29+'Inputs'!$B$31+'Inputs'!$B$32,'Inputs'!$B$30+'Inputs'!$B$31+'Inputs'!$B$32)/1000+'Inputs'!$B$21)+'Inputs'!$B$7)^2+('Inputs'!$B$6/2)^2)-(((494-43)*MAX('Inputs'!$B$33,'Inputs'!$B$29+'Inputs'!$B$31+'Inputs'!$B$32,'Inputs'!$B$30+'Inputs'!$B$31+'Inputs'!$B$32)/1000+'Inputs'!$B$21))/SQRT((((494-43)*MAX('Inputs'!$B$33,'Inputs'!$B$29+'Inputs'!$B$31+'Inputs'!$B$32,'Inputs'!$B$30+'Inputs'!$B$31+'Inputs'!$B$32)/1000+'Inputs'!$B$21))^2+('Inputs'!$B$6/2)^2)))-'Results'!C7*(1+'Inputs'!$B$24)*(0.5*((((494-43)*MAX('Inputs'!$B$33,'Inputs'!$B$29+'Inputs'!$B$31+'Inputs'!$B$32,'Inputs'!$B$30+'Inputs'!$B$31+'Inputs'!$B$32)/1000+'Inputs'!$B$21+'Inputs'!$B$7+'Inputs'!$B$10)+'Inputs'!$B$9)/SQRT((((494-43)*MAX('Inputs'!$B$33,'Inputs'!$B$29+'Inputs'!$B$31+'Inputs'!$B$32,'Inputs'!$B$30+'Inputs'!$B$31+'Inputs'!$B$32)/1000+'Inputs'!$B$21+'Inputs'!$B$7+'Inputs'!$B$10)+'Inputs'!$B$9)^2+('Inputs'!$B$8/2)^2)-(((494-43)*MAX('Inputs'!$B$33,'Inputs'!$B$29+'Inputs'!$B$31+'Inputs'!$B$32,'Inputs'!$B$30+'Inputs'!$B$31+'Inputs'!$B$32)/1000+'Inputs'!$B$21+'Inputs'!$B$7+'Inputs'!$B$10))/SQRT((((494-43)*MAX('Inputs'!$B$33,'Inputs'!$B$29+'Inputs'!$B$31+'Inputs'!$B$32,'Inputs'!$B$30+'Inputs'!$B$31+'Inputs'!$B$32)/1000+'Inputs'!$B$21+'Inputs'!$B$7+'Inputs'!$B$10))^2+('Inputs'!$B$8/2)^2))))*'Results'!$B$8)-'Inputs'!$B$28*ABS((('Results'!B7*(1-'Inputs'!$B$24)*(0.5*((((494-43)*MAX('Inputs'!$B$33,'Inputs'!$B$29+'Inputs'!$B$31+'Inputs'!$B$32,'Inputs'!$B$30+'Inputs'!$B$31+'Inputs'!$B$32)/1000+'Inputs'!$B$21)+'Inputs'!$B$7)/SQRT((((494-43)*MAX('Inputs'!$B$33,'Inputs'!$B$29+'Inputs'!$B$31+'Inputs'!$B$32,'Inputs'!$B$30+'Inputs'!$B$31+'Inputs'!$B$32)/1000+'Inputs'!$B$21)+'Inputs'!$B$7)^2+('Inputs'!$B$6/2)^2)-(((494-43)*MAX('Inputs'!$B$33,'Inputs'!$B$29+'Inputs'!$B$31+'Inputs'!$B$32,'Inputs'!$B$30+'Inputs'!$B$31+'Inputs'!$B$32)/1000+'Inputs'!$B$21))/SQRT((((494-43)*MAX('Inputs'!$B$33,'Inputs'!$B$29+'Inputs'!$B$31+'Inputs'!$B$32,'Inputs'!$B$30+'Inputs'!$B$31+'Inputs'!$B$32)/1000+'Inputs'!$B$21))^2+('Inputs'!$B$6/2)^2)))-'Results'!C7*(1+'Inputs'!$B$24)*(0.5*((((494-43)*MAX('Inputs'!$B$33,'Inputs'!$B$29+'Inputs'!$B$31+'Inputs'!$B$32,'Inputs'!$B$30+'Inputs'!$B$31+'Inputs'!$B$32)/1000+'Inputs'!$B$21+'Inputs'!$B$7+'Inputs'!$B$10)+'Inputs'!$B$9)/SQRT((((494-43)*MAX('Inputs'!$B$33,'Inputs'!$B$29+'Inputs'!$B$31+'Inputs'!$B$32,'Inputs'!$B$30+'Inputs'!$B$31+'Inputs'!$B$32)/1000+'Inputs'!$B$21+'Inputs'!$B$7+'Inputs'!$B$10)+'Inputs'!$B$9)^2+('Inputs'!$B$8/2)^2)-(((494-43)*MAX('Inputs'!$B$33,'Inputs'!$B$29+'Inputs'!$B$31+'Inputs'!$B$32,'Inputs'!$B$30+'Inputs'!$B$31+'Inputs'!$B$32)/1000+'Inputs'!$B$21+'Inputs'!$B$7+'Inputs'!$B$10))/SQRT((((494-43)*MAX('Inputs'!$B$33,'Inputs'!$B$29+'Inputs'!$B$31+'Inputs'!$B$32,'Inputs'!$B$30+'Inputs'!$B$31+'Inputs'!$B$32)/1000+'Inputs'!$B$21+'Inputs'!$B$7+'Inputs'!$B$10))^2+('Inputs'!$B$8/2)^2))))*'Results'!$B$8))),"")</x:f>
        <x:v>5.2794462781545475</x:v>
      </x:c>
      <x:c r="L494" t="n">
        <x:f>IF(AND(ISNUMBER('Results'!B7),ISNUMBER('Results'!C7),ISNUMBER('Results'!$B$8),ISNUMBER('Inputs'!$B$6),ISNUMBER('Inputs'!$B$7),ISNUMBER('Inputs'!$B$8),ISNUMBER('Inputs'!$B$9),ISNUMBER('Inputs'!$B$10),ISNUMBER('Inputs'!$B$21),ISNUMBER('Inputs'!$B$24),ISNUMBER('Inputs'!$B$28)),((('Results'!B7*(1+'Inputs'!$B$24)*(0.5*((((494-43)*MAX('Inputs'!$B$33,'Inputs'!$B$29+'Inputs'!$B$31+'Inputs'!$B$32,'Inputs'!$B$30+'Inputs'!$B$31+'Inputs'!$B$32)/1000+'Inputs'!$B$21)+'Inputs'!$B$7)/SQRT((((494-43)*MAX('Inputs'!$B$33,'Inputs'!$B$29+'Inputs'!$B$31+'Inputs'!$B$32,'Inputs'!$B$30+'Inputs'!$B$31+'Inputs'!$B$32)/1000+'Inputs'!$B$21)+'Inputs'!$B$7)^2+('Inputs'!$B$6/2)^2)-(((494-43)*MAX('Inputs'!$B$33,'Inputs'!$B$29+'Inputs'!$B$31+'Inputs'!$B$32,'Inputs'!$B$30+'Inputs'!$B$31+'Inputs'!$B$32)/1000+'Inputs'!$B$21))/SQRT((((494-43)*MAX('Inputs'!$B$33,'Inputs'!$B$29+'Inputs'!$B$31+'Inputs'!$B$32,'Inputs'!$B$30+'Inputs'!$B$31+'Inputs'!$B$32)/1000+'Inputs'!$B$21))^2+('Inputs'!$B$6/2)^2)))-'Results'!C7*(1-'Inputs'!$B$24)*(0.5*((((494-43)*MAX('Inputs'!$B$33,'Inputs'!$B$29+'Inputs'!$B$31+'Inputs'!$B$32,'Inputs'!$B$30+'Inputs'!$B$31+'Inputs'!$B$32)/1000+'Inputs'!$B$21+'Inputs'!$B$7+'Inputs'!$B$10)+'Inputs'!$B$9)/SQRT((((494-43)*MAX('Inputs'!$B$33,'Inputs'!$B$29+'Inputs'!$B$31+'Inputs'!$B$32,'Inputs'!$B$30+'Inputs'!$B$31+'Inputs'!$B$32)/1000+'Inputs'!$B$21+'Inputs'!$B$7+'Inputs'!$B$10)+'Inputs'!$B$9)^2+('Inputs'!$B$8/2)^2)-(((494-43)*MAX('Inputs'!$B$33,'Inputs'!$B$29+'Inputs'!$B$31+'Inputs'!$B$32,'Inputs'!$B$30+'Inputs'!$B$31+'Inputs'!$B$32)/1000+'Inputs'!$B$21+'Inputs'!$B$7+'Inputs'!$B$10))/SQRT((((494-43)*MAX('Inputs'!$B$33,'Inputs'!$B$29+'Inputs'!$B$31+'Inputs'!$B$32,'Inputs'!$B$30+'Inputs'!$B$31+'Inputs'!$B$32)/1000+'Inputs'!$B$21+'Inputs'!$B$7+'Inputs'!$B$10))^2+('Inputs'!$B$8/2)^2))))*'Results'!$B$8)+'Inputs'!$B$28*ABS((('Results'!B7*(1+'Inputs'!$B$24)*(0.5*((((494-43)*MAX('Inputs'!$B$33,'Inputs'!$B$29+'Inputs'!$B$31+'Inputs'!$B$32,'Inputs'!$B$30+'Inputs'!$B$31+'Inputs'!$B$32)/1000+'Inputs'!$B$21)+'Inputs'!$B$7)/SQRT((((494-43)*MAX('Inputs'!$B$33,'Inputs'!$B$29+'Inputs'!$B$31+'Inputs'!$B$32,'Inputs'!$B$30+'Inputs'!$B$31+'Inputs'!$B$32)/1000+'Inputs'!$B$21)+'Inputs'!$B$7)^2+('Inputs'!$B$6/2)^2)-(((494-43)*MAX('Inputs'!$B$33,'Inputs'!$B$29+'Inputs'!$B$31+'Inputs'!$B$32,'Inputs'!$B$30+'Inputs'!$B$31+'Inputs'!$B$32)/1000+'Inputs'!$B$21))/SQRT((((494-43)*MAX('Inputs'!$B$33,'Inputs'!$B$29+'Inputs'!$B$31+'Inputs'!$B$32,'Inputs'!$B$30+'Inputs'!$B$31+'Inputs'!$B$32)/1000+'Inputs'!$B$21))^2+('Inputs'!$B$6/2)^2)))-'Results'!C7*(1-'Inputs'!$B$24)*(0.5*((((494-43)*MAX('Inputs'!$B$33,'Inputs'!$B$29+'Inputs'!$B$31+'Inputs'!$B$32,'Inputs'!$B$30+'Inputs'!$B$31+'Inputs'!$B$32)/1000+'Inputs'!$B$21+'Inputs'!$B$7+'Inputs'!$B$10)+'Inputs'!$B$9)/SQRT((((494-43)*MAX('Inputs'!$B$33,'Inputs'!$B$29+'Inputs'!$B$31+'Inputs'!$B$32,'Inputs'!$B$30+'Inputs'!$B$31+'Inputs'!$B$32)/1000+'Inputs'!$B$21+'Inputs'!$B$7+'Inputs'!$B$10)+'Inputs'!$B$9)^2+('Inputs'!$B$8/2)^2)-(((494-43)*MAX('Inputs'!$B$33,'Inputs'!$B$29+'Inputs'!$B$31+'Inputs'!$B$32,'Inputs'!$B$30+'Inputs'!$B$31+'Inputs'!$B$32)/1000+'Inputs'!$B$21+'Inputs'!$B$7+'Inputs'!$B$10))/SQRT((((494-43)*MAX('Inputs'!$B$33,'Inputs'!$B$29+'Inputs'!$B$31+'Inputs'!$B$32,'Inputs'!$B$30+'Inputs'!$B$31+'Inputs'!$B$32)/1000+'Inputs'!$B$21+'Inputs'!$B$7+'Inputs'!$B$10))^2+('Inputs'!$B$8/2)^2))))*'Results'!$B$8))),"")</x:f>
        <x:v>6.616357646489865</x:v>
      </x:c>
      <x:c r="M494" t="n">
        <x:f>IF(AND(ISNUMBER('Results'!C7),ISNUMBER('Results'!B7),ISNUMBER('Results'!$B$8),ISNUMBER('Inputs'!$B$6),ISNUMBER('Inputs'!$B$7),ISNUMBER('Inputs'!$B$8),ISNUMBER('Inputs'!$B$9),ISNUMBER('Inputs'!$B$10),ISNUMBER('Inputs'!$B$21),ISNUMBER('Inputs'!$B$24),ISNUMBER('Inputs'!$B$28)),(('Results'!C7*(0.5*((((494-43)*MAX('Inputs'!$B$33,'Inputs'!$B$29+'Inputs'!$B$31+'Inputs'!$B$32,'Inputs'!$B$30+'Inputs'!$B$31+'Inputs'!$B$32)/1000+'Inputs'!$B$21)+'Inputs'!$B$9)/SQRT((((494-43)*MAX('Inputs'!$B$33,'Inputs'!$B$29+'Inputs'!$B$31+'Inputs'!$B$32,'Inputs'!$B$30+'Inputs'!$B$31+'Inputs'!$B$32)/1000+'Inputs'!$B$21)+'Inputs'!$B$9)^2+('Inputs'!$B$8/2)^2)-(((494-43)*MAX('Inputs'!$B$33,'Inputs'!$B$29+'Inputs'!$B$31+'Inputs'!$B$32,'Inputs'!$B$30+'Inputs'!$B$31+'Inputs'!$B$32)/1000+'Inputs'!$B$21))/SQRT((((494-43)*MAX('Inputs'!$B$33,'Inputs'!$B$29+'Inputs'!$B$31+'Inputs'!$B$32,'Inputs'!$B$30+'Inputs'!$B$31+'Inputs'!$B$32)/1000+'Inputs'!$B$21))^2+('Inputs'!$B$8/2)^2)))-'Results'!B7*(0.5*((((494-43)*MAX('Inputs'!$B$33,'Inputs'!$B$29+'Inputs'!$B$31+'Inputs'!$B$32,'Inputs'!$B$30+'Inputs'!$B$31+'Inputs'!$B$32)/1000+'Inputs'!$B$21+'Inputs'!$B$9+'Inputs'!$B$10)+'Inputs'!$B$7)/SQRT((((494-43)*MAX('Inputs'!$B$33,'Inputs'!$B$29+'Inputs'!$B$31+'Inputs'!$B$32,'Inputs'!$B$30+'Inputs'!$B$31+'Inputs'!$B$32)/1000+'Inputs'!$B$21+'Inputs'!$B$9+'Inputs'!$B$10)+'Inputs'!$B$7)^2+('Inputs'!$B$6/2)^2)-(((494-43)*MAX('Inputs'!$B$33,'Inputs'!$B$29+'Inputs'!$B$31+'Inputs'!$B$32,'Inputs'!$B$30+'Inputs'!$B$31+'Inputs'!$B$32)/1000+'Inputs'!$B$21+'Inputs'!$B$9+'Inputs'!$B$10))/SQRT((((494-43)*MAX('Inputs'!$B$33,'Inputs'!$B$29+'Inputs'!$B$31+'Inputs'!$B$32,'Inputs'!$B$30+'Inputs'!$B$31+'Inputs'!$B$32)/1000+'Inputs'!$B$21+'Inputs'!$B$9+'Inputs'!$B$10))^2+('Inputs'!$B$6/2)^2))))*'Results'!$B$8),"")</x:f>
        <x:v>5.554726111397001</x:v>
      </x:c>
      <x:c r="N494" t="n">
        <x:f>IF(AND(ISNUMBER('Results'!C7),ISNUMBER('Results'!B7),ISNUMBER('Results'!$B$8),ISNUMBER('Inputs'!$B$6),ISNUMBER('Inputs'!$B$7),ISNUMBER('Inputs'!$B$8),ISNUMBER('Inputs'!$B$9),ISNUMBER('Inputs'!$B$10),ISNUMBER('Inputs'!$B$21),ISNUMBER('Inputs'!$B$24),ISNUMBER('Inputs'!$B$28)),((('Results'!C7*(1-'Inputs'!$B$24)*(0.5*((((494-43)*MAX('Inputs'!$B$33,'Inputs'!$B$29+'Inputs'!$B$31+'Inputs'!$B$32,'Inputs'!$B$30+'Inputs'!$B$31+'Inputs'!$B$32)/1000+'Inputs'!$B$21)+'Inputs'!$B$9)/SQRT((((494-43)*MAX('Inputs'!$B$33,'Inputs'!$B$29+'Inputs'!$B$31+'Inputs'!$B$32,'Inputs'!$B$30+'Inputs'!$B$31+'Inputs'!$B$32)/1000+'Inputs'!$B$21)+'Inputs'!$B$9)^2+('Inputs'!$B$8/2)^2)-(((494-43)*MAX('Inputs'!$B$33,'Inputs'!$B$29+'Inputs'!$B$31+'Inputs'!$B$32,'Inputs'!$B$30+'Inputs'!$B$31+'Inputs'!$B$32)/1000+'Inputs'!$B$21))/SQRT((((494-43)*MAX('Inputs'!$B$33,'Inputs'!$B$29+'Inputs'!$B$31+'Inputs'!$B$32,'Inputs'!$B$30+'Inputs'!$B$31+'Inputs'!$B$32)/1000+'Inputs'!$B$21))^2+('Inputs'!$B$8/2)^2)))-'Results'!B7*(1+'Inputs'!$B$24)*(0.5*((((494-43)*MAX('Inputs'!$B$33,'Inputs'!$B$29+'Inputs'!$B$31+'Inputs'!$B$32,'Inputs'!$B$30+'Inputs'!$B$31+'Inputs'!$B$32)/1000+'Inputs'!$B$21+'Inputs'!$B$9+'Inputs'!$B$10)+'Inputs'!$B$7)/SQRT((((494-43)*MAX('Inputs'!$B$33,'Inputs'!$B$29+'Inputs'!$B$31+'Inputs'!$B$32,'Inputs'!$B$30+'Inputs'!$B$31+'Inputs'!$B$32)/1000+'Inputs'!$B$21+'Inputs'!$B$9+'Inputs'!$B$10)+'Inputs'!$B$7)^2+('Inputs'!$B$6/2)^2)-(((494-43)*MAX('Inputs'!$B$33,'Inputs'!$B$29+'Inputs'!$B$31+'Inputs'!$B$32,'Inputs'!$B$30+'Inputs'!$B$31+'Inputs'!$B$32)/1000+'Inputs'!$B$21+'Inputs'!$B$9+'Inputs'!$B$10))/SQRT((((494-43)*MAX('Inputs'!$B$33,'Inputs'!$B$29+'Inputs'!$B$31+'Inputs'!$B$32,'Inputs'!$B$30+'Inputs'!$B$31+'Inputs'!$B$32)/1000+'Inputs'!$B$21+'Inputs'!$B$9+'Inputs'!$B$10))^2+('Inputs'!$B$6/2)^2))))*'Results'!$B$8)-'Inputs'!$B$28*ABS((('Results'!C7*(1-'Inputs'!$B$24)*(0.5*((((494-43)*MAX('Inputs'!$B$33,'Inputs'!$B$29+'Inputs'!$B$31+'Inputs'!$B$32,'Inputs'!$B$30+'Inputs'!$B$31+'Inputs'!$B$32)/1000+'Inputs'!$B$21)+'Inputs'!$B$9)/SQRT((((494-43)*MAX('Inputs'!$B$33,'Inputs'!$B$29+'Inputs'!$B$31+'Inputs'!$B$32,'Inputs'!$B$30+'Inputs'!$B$31+'Inputs'!$B$32)/1000+'Inputs'!$B$21)+'Inputs'!$B$9)^2+('Inputs'!$B$8/2)^2)-(((494-43)*MAX('Inputs'!$B$33,'Inputs'!$B$29+'Inputs'!$B$31+'Inputs'!$B$32,'Inputs'!$B$30+'Inputs'!$B$31+'Inputs'!$B$32)/1000+'Inputs'!$B$21))/SQRT((((494-43)*MAX('Inputs'!$B$33,'Inputs'!$B$29+'Inputs'!$B$31+'Inputs'!$B$32,'Inputs'!$B$30+'Inputs'!$B$31+'Inputs'!$B$32)/1000+'Inputs'!$B$21))^2+('Inputs'!$B$8/2)^2)))-'Results'!B7*(1+'Inputs'!$B$24)*(0.5*((((494-43)*MAX('Inputs'!$B$33,'Inputs'!$B$29+'Inputs'!$B$31+'Inputs'!$B$32,'Inputs'!$B$30+'Inputs'!$B$31+'Inputs'!$B$32)/1000+'Inputs'!$B$21+'Inputs'!$B$9+'Inputs'!$B$10)+'Inputs'!$B$7)/SQRT((((494-43)*MAX('Inputs'!$B$33,'Inputs'!$B$29+'Inputs'!$B$31+'Inputs'!$B$32,'Inputs'!$B$30+'Inputs'!$B$31+'Inputs'!$B$32)/1000+'Inputs'!$B$21+'Inputs'!$B$9+'Inputs'!$B$10)+'Inputs'!$B$7)^2+('Inputs'!$B$6/2)^2)-(((494-43)*MAX('Inputs'!$B$33,'Inputs'!$B$29+'Inputs'!$B$31+'Inputs'!$B$32,'Inputs'!$B$30+'Inputs'!$B$31+'Inputs'!$B$32)/1000+'Inputs'!$B$21+'Inputs'!$B$9+'Inputs'!$B$10))/SQRT((((494-43)*MAX('Inputs'!$B$33,'Inputs'!$B$29+'Inputs'!$B$31+'Inputs'!$B$32,'Inputs'!$B$30+'Inputs'!$B$31+'Inputs'!$B$32)/1000+'Inputs'!$B$21+'Inputs'!$B$9+'Inputs'!$B$10))^2+('Inputs'!$B$6/2)^2))))*'Results'!$B$8))),"")</x:f>
        <x:v>4.925802776970789</x:v>
      </x:c>
      <x:c r="O494" t="n">
        <x:f>IF(AND(ISNUMBER('Results'!C7),ISNUMBER('Results'!B7),ISNUMBER('Results'!$B$8),ISNUMBER('Inputs'!$B$6),ISNUMBER('Inputs'!$B$7),ISNUMBER('Inputs'!$B$8),ISNUMBER('Inputs'!$B$9),ISNUMBER('Inputs'!$B$10),ISNUMBER('Inputs'!$B$21),ISNUMBER('Inputs'!$B$24),ISNUMBER('Inputs'!$B$28)),((('Results'!C7*(1+'Inputs'!$B$24)*(0.5*((((494-43)*MAX('Inputs'!$B$33,'Inputs'!$B$29+'Inputs'!$B$31+'Inputs'!$B$32,'Inputs'!$B$30+'Inputs'!$B$31+'Inputs'!$B$32)/1000+'Inputs'!$B$21)+'Inputs'!$B$9)/SQRT((((494-43)*MAX('Inputs'!$B$33,'Inputs'!$B$29+'Inputs'!$B$31+'Inputs'!$B$32,'Inputs'!$B$30+'Inputs'!$B$31+'Inputs'!$B$32)/1000+'Inputs'!$B$21)+'Inputs'!$B$9)^2+('Inputs'!$B$8/2)^2)-(((494-43)*MAX('Inputs'!$B$33,'Inputs'!$B$29+'Inputs'!$B$31+'Inputs'!$B$32,'Inputs'!$B$30+'Inputs'!$B$31+'Inputs'!$B$32)/1000+'Inputs'!$B$21))/SQRT((((494-43)*MAX('Inputs'!$B$33,'Inputs'!$B$29+'Inputs'!$B$31+'Inputs'!$B$32,'Inputs'!$B$30+'Inputs'!$B$31+'Inputs'!$B$32)/1000+'Inputs'!$B$21))^2+('Inputs'!$B$8/2)^2)))-'Results'!B7*(1-'Inputs'!$B$24)*(0.5*((((494-43)*MAX('Inputs'!$B$33,'Inputs'!$B$29+'Inputs'!$B$31+'Inputs'!$B$32,'Inputs'!$B$30+'Inputs'!$B$31+'Inputs'!$B$32)/1000+'Inputs'!$B$21+'Inputs'!$B$9+'Inputs'!$B$10)+'Inputs'!$B$7)/SQRT((((494-43)*MAX('Inputs'!$B$33,'Inputs'!$B$29+'Inputs'!$B$31+'Inputs'!$B$32,'Inputs'!$B$30+'Inputs'!$B$31+'Inputs'!$B$32)/1000+'Inputs'!$B$21+'Inputs'!$B$9+'Inputs'!$B$10)+'Inputs'!$B$7)^2+('Inputs'!$B$6/2)^2)-(((494-43)*MAX('Inputs'!$B$33,'Inputs'!$B$29+'Inputs'!$B$31+'Inputs'!$B$32,'Inputs'!$B$30+'Inputs'!$B$31+'Inputs'!$B$32)/1000+'Inputs'!$B$21+'Inputs'!$B$9+'Inputs'!$B$10))/SQRT((((494-43)*MAX('Inputs'!$B$33,'Inputs'!$B$29+'Inputs'!$B$31+'Inputs'!$B$32,'Inputs'!$B$30+'Inputs'!$B$31+'Inputs'!$B$32)/1000+'Inputs'!$B$21+'Inputs'!$B$9+'Inputs'!$B$10))^2+('Inputs'!$B$6/2)^2))))*'Results'!$B$8)+'Inputs'!$B$28*ABS((('Results'!C7*(1+'Inputs'!$B$24)*(0.5*((((494-43)*MAX('Inputs'!$B$33,'Inputs'!$B$29+'Inputs'!$B$31+'Inputs'!$B$32,'Inputs'!$B$30+'Inputs'!$B$31+'Inputs'!$B$32)/1000+'Inputs'!$B$21)+'Inputs'!$B$9)/SQRT((((494-43)*MAX('Inputs'!$B$33,'Inputs'!$B$29+'Inputs'!$B$31+'Inputs'!$B$32,'Inputs'!$B$30+'Inputs'!$B$31+'Inputs'!$B$32)/1000+'Inputs'!$B$21)+'Inputs'!$B$9)^2+('Inputs'!$B$8/2)^2)-(((494-43)*MAX('Inputs'!$B$33,'Inputs'!$B$29+'Inputs'!$B$31+'Inputs'!$B$32,'Inputs'!$B$30+'Inputs'!$B$31+'Inputs'!$B$32)/1000+'Inputs'!$B$21))/SQRT((((494-43)*MAX('Inputs'!$B$33,'Inputs'!$B$29+'Inputs'!$B$31+'Inputs'!$B$32,'Inputs'!$B$30+'Inputs'!$B$31+'Inputs'!$B$32)/1000+'Inputs'!$B$21))^2+('Inputs'!$B$8/2)^2)))-'Results'!B7*(1-'Inputs'!$B$24)*(0.5*((((494-43)*MAX('Inputs'!$B$33,'Inputs'!$B$29+'Inputs'!$B$31+'Inputs'!$B$32,'Inputs'!$B$30+'Inputs'!$B$31+'Inputs'!$B$32)/1000+'Inputs'!$B$21+'Inputs'!$B$9+'Inputs'!$B$10)+'Inputs'!$B$7)/SQRT((((494-43)*MAX('Inputs'!$B$33,'Inputs'!$B$29+'Inputs'!$B$31+'Inputs'!$B$32,'Inputs'!$B$30+'Inputs'!$B$31+'Inputs'!$B$32)/1000+'Inputs'!$B$21+'Inputs'!$B$9+'Inputs'!$B$10)+'Inputs'!$B$7)^2+('Inputs'!$B$6/2)^2)-(((494-43)*MAX('Inputs'!$B$33,'Inputs'!$B$29+'Inputs'!$B$31+'Inputs'!$B$32,'Inputs'!$B$30+'Inputs'!$B$31+'Inputs'!$B$32)/1000+'Inputs'!$B$21+'Inputs'!$B$9+'Inputs'!$B$10))/SQRT((((494-43)*MAX('Inputs'!$B$33,'Inputs'!$B$29+'Inputs'!$B$31+'Inputs'!$B$32,'Inputs'!$B$30+'Inputs'!$B$31+'Inputs'!$B$32)/1000+'Inputs'!$B$21+'Inputs'!$B$9+'Inputs'!$B$10))^2+('Inputs'!$B$6/2)^2))))*'Results'!$B$8))),"")</x:f>
        <x:v>6.220616501492301</x:v>
      </x:c>
      <x:c r="P494" t="n">
        <x:f>IF(AND(MAX(J494,J493)&gt;0,J494&gt;J493+0.00000001),1,0)</x:f>
        <x:v>0</x:v>
      </x:c>
      <x:c r="Q494" t="n">
        <x:f>IF(AND(MAX(K494,K493)&gt;0,K494&gt;K493+0.00000001),1,0)</x:f>
        <x:v>0</x:v>
      </x:c>
      <x:c r="R494" t="n">
        <x:f>IF(AND(MAX(L494,L493)&gt;0,L494&gt;L493+0.00000001),1,0)</x:f>
        <x:v>0</x:v>
      </x:c>
      <x:c r="S494" t="n">
        <x:f>IF(AND(MAX(M494,M493)&gt;0,M494&gt;M493+0.00000001),1,0)</x:f>
        <x:v>0</x:v>
      </x:c>
      <x:c r="T494" t="n">
        <x:f>IF(AND(MAX(N494,N493)&gt;0,N494&gt;N493+0.00000001),1,0)</x:f>
        <x:v>0</x:v>
      </x:c>
      <x:c r="U494" t="n">
        <x:f>IF(AND(MAX(O494,O493)&gt;0,O494&gt;O493+0.00000001),1,0)</x:f>
        <x:v>0</x:v>
      </x:c>
    </x:row>
    <x:row r="495">
      <x:c r="J495" t="n">
        <x:f>IF(AND(ISNUMBER('Results'!B7),ISNUMBER('Results'!C7),ISNUMBER('Results'!$B$8),ISNUMBER('Inputs'!$B$6),ISNUMBER('Inputs'!$B$7),ISNUMBER('Inputs'!$B$8),ISNUMBER('Inputs'!$B$9),ISNUMBER('Inputs'!$B$10),ISNUMBER('Inputs'!$B$21),ISNUMBER('Inputs'!$B$24),ISNUMBER('Inputs'!$B$28)),(('Results'!B7*(0.5*((((495-43)*MAX('Inputs'!$B$33,'Inputs'!$B$29+'Inputs'!$B$31+'Inputs'!$B$32,'Inputs'!$B$30+'Inputs'!$B$31+'Inputs'!$B$32)/1000+'Inputs'!$B$21)+'Inputs'!$B$7)/SQRT((((495-43)*MAX('Inputs'!$B$33,'Inputs'!$B$29+'Inputs'!$B$31+'Inputs'!$B$32,'Inputs'!$B$30+'Inputs'!$B$31+'Inputs'!$B$32)/1000+'Inputs'!$B$21)+'Inputs'!$B$7)^2+('Inputs'!$B$6/2)^2)-(((495-43)*MAX('Inputs'!$B$33,'Inputs'!$B$29+'Inputs'!$B$31+'Inputs'!$B$32,'Inputs'!$B$30+'Inputs'!$B$31+'Inputs'!$B$32)/1000+'Inputs'!$B$21))/SQRT((((495-43)*MAX('Inputs'!$B$33,'Inputs'!$B$29+'Inputs'!$B$31+'Inputs'!$B$32,'Inputs'!$B$30+'Inputs'!$B$31+'Inputs'!$B$32)/1000+'Inputs'!$B$21))^2+('Inputs'!$B$6/2)^2)))-'Results'!C7*(0.5*((((495-43)*MAX('Inputs'!$B$33,'Inputs'!$B$29+'Inputs'!$B$31+'Inputs'!$B$32,'Inputs'!$B$30+'Inputs'!$B$31+'Inputs'!$B$32)/1000+'Inputs'!$B$21+'Inputs'!$B$7+'Inputs'!$B$10)+'Inputs'!$B$9)/SQRT((((495-43)*MAX('Inputs'!$B$33,'Inputs'!$B$29+'Inputs'!$B$31+'Inputs'!$B$32,'Inputs'!$B$30+'Inputs'!$B$31+'Inputs'!$B$32)/1000+'Inputs'!$B$21+'Inputs'!$B$7+'Inputs'!$B$10)+'Inputs'!$B$9)^2+('Inputs'!$B$8/2)^2)-(((495-43)*MAX('Inputs'!$B$33,'Inputs'!$B$29+'Inputs'!$B$31+'Inputs'!$B$32,'Inputs'!$B$30+'Inputs'!$B$31+'Inputs'!$B$32)/1000+'Inputs'!$B$21+'Inputs'!$B$7+'Inputs'!$B$10))/SQRT((((495-43)*MAX('Inputs'!$B$33,'Inputs'!$B$29+'Inputs'!$B$31+'Inputs'!$B$32,'Inputs'!$B$30+'Inputs'!$B$31+'Inputs'!$B$32)/1000+'Inputs'!$B$21+'Inputs'!$B$7+'Inputs'!$B$10))^2+('Inputs'!$B$8/2)^2))))*'Results'!$B$8),"")</x:f>
        <x:v>5.885279457029685</x:v>
      </x:c>
      <x:c r="K495" t="n">
        <x:f>IF(AND(ISNUMBER('Results'!B7),ISNUMBER('Results'!C7),ISNUMBER('Results'!$B$8),ISNUMBER('Inputs'!$B$6),ISNUMBER('Inputs'!$B$7),ISNUMBER('Inputs'!$B$8),ISNUMBER('Inputs'!$B$9),ISNUMBER('Inputs'!$B$10),ISNUMBER('Inputs'!$B$21),ISNUMBER('Inputs'!$B$24),ISNUMBER('Inputs'!$B$28)),((('Results'!B7*(1-'Inputs'!$B$24)*(0.5*((((495-43)*MAX('Inputs'!$B$33,'Inputs'!$B$29+'Inputs'!$B$31+'Inputs'!$B$32,'Inputs'!$B$30+'Inputs'!$B$31+'Inputs'!$B$32)/1000+'Inputs'!$B$21)+'Inputs'!$B$7)/SQRT((((495-43)*MAX('Inputs'!$B$33,'Inputs'!$B$29+'Inputs'!$B$31+'Inputs'!$B$32,'Inputs'!$B$30+'Inputs'!$B$31+'Inputs'!$B$32)/1000+'Inputs'!$B$21)+'Inputs'!$B$7)^2+('Inputs'!$B$6/2)^2)-(((495-43)*MAX('Inputs'!$B$33,'Inputs'!$B$29+'Inputs'!$B$31+'Inputs'!$B$32,'Inputs'!$B$30+'Inputs'!$B$31+'Inputs'!$B$32)/1000+'Inputs'!$B$21))/SQRT((((495-43)*MAX('Inputs'!$B$33,'Inputs'!$B$29+'Inputs'!$B$31+'Inputs'!$B$32,'Inputs'!$B$30+'Inputs'!$B$31+'Inputs'!$B$32)/1000+'Inputs'!$B$21))^2+('Inputs'!$B$6/2)^2)))-'Results'!C7*(1+'Inputs'!$B$24)*(0.5*((((495-43)*MAX('Inputs'!$B$33,'Inputs'!$B$29+'Inputs'!$B$31+'Inputs'!$B$32,'Inputs'!$B$30+'Inputs'!$B$31+'Inputs'!$B$32)/1000+'Inputs'!$B$21+'Inputs'!$B$7+'Inputs'!$B$10)+'Inputs'!$B$9)/SQRT((((495-43)*MAX('Inputs'!$B$33,'Inputs'!$B$29+'Inputs'!$B$31+'Inputs'!$B$32,'Inputs'!$B$30+'Inputs'!$B$31+'Inputs'!$B$32)/1000+'Inputs'!$B$21+'Inputs'!$B$7+'Inputs'!$B$10)+'Inputs'!$B$9)^2+('Inputs'!$B$8/2)^2)-(((495-43)*MAX('Inputs'!$B$33,'Inputs'!$B$29+'Inputs'!$B$31+'Inputs'!$B$32,'Inputs'!$B$30+'Inputs'!$B$31+'Inputs'!$B$32)/1000+'Inputs'!$B$21+'Inputs'!$B$7+'Inputs'!$B$10))/SQRT((((495-43)*MAX('Inputs'!$B$33,'Inputs'!$B$29+'Inputs'!$B$31+'Inputs'!$B$32,'Inputs'!$B$30+'Inputs'!$B$31+'Inputs'!$B$32)/1000+'Inputs'!$B$21+'Inputs'!$B$7+'Inputs'!$B$10))^2+('Inputs'!$B$8/2)^2))))*'Results'!$B$8)-'Inputs'!$B$28*ABS((('Results'!B7*(1-'Inputs'!$B$24)*(0.5*((((495-43)*MAX('Inputs'!$B$33,'Inputs'!$B$29+'Inputs'!$B$31+'Inputs'!$B$32,'Inputs'!$B$30+'Inputs'!$B$31+'Inputs'!$B$32)/1000+'Inputs'!$B$21)+'Inputs'!$B$7)/SQRT((((495-43)*MAX('Inputs'!$B$33,'Inputs'!$B$29+'Inputs'!$B$31+'Inputs'!$B$32,'Inputs'!$B$30+'Inputs'!$B$31+'Inputs'!$B$32)/1000+'Inputs'!$B$21)+'Inputs'!$B$7)^2+('Inputs'!$B$6/2)^2)-(((495-43)*MAX('Inputs'!$B$33,'Inputs'!$B$29+'Inputs'!$B$31+'Inputs'!$B$32,'Inputs'!$B$30+'Inputs'!$B$31+'Inputs'!$B$32)/1000+'Inputs'!$B$21))/SQRT((((495-43)*MAX('Inputs'!$B$33,'Inputs'!$B$29+'Inputs'!$B$31+'Inputs'!$B$32,'Inputs'!$B$30+'Inputs'!$B$31+'Inputs'!$B$32)/1000+'Inputs'!$B$21))^2+('Inputs'!$B$6/2)^2)))-'Results'!C7*(1+'Inputs'!$B$24)*(0.5*((((495-43)*MAX('Inputs'!$B$33,'Inputs'!$B$29+'Inputs'!$B$31+'Inputs'!$B$32,'Inputs'!$B$30+'Inputs'!$B$31+'Inputs'!$B$32)/1000+'Inputs'!$B$21+'Inputs'!$B$7+'Inputs'!$B$10)+'Inputs'!$B$9)/SQRT((((495-43)*MAX('Inputs'!$B$33,'Inputs'!$B$29+'Inputs'!$B$31+'Inputs'!$B$32,'Inputs'!$B$30+'Inputs'!$B$31+'Inputs'!$B$32)/1000+'Inputs'!$B$21+'Inputs'!$B$7+'Inputs'!$B$10)+'Inputs'!$B$9)^2+('Inputs'!$B$8/2)^2)-(((495-43)*MAX('Inputs'!$B$33,'Inputs'!$B$29+'Inputs'!$B$31+'Inputs'!$B$32,'Inputs'!$B$30+'Inputs'!$B$31+'Inputs'!$B$32)/1000+'Inputs'!$B$21+'Inputs'!$B$7+'Inputs'!$B$10))/SQRT((((495-43)*MAX('Inputs'!$B$33,'Inputs'!$B$29+'Inputs'!$B$31+'Inputs'!$B$32,'Inputs'!$B$30+'Inputs'!$B$31+'Inputs'!$B$32)/1000+'Inputs'!$B$21+'Inputs'!$B$7+'Inputs'!$B$10))^2+('Inputs'!$B$8/2)^2))))*'Results'!$B$8))),"")</x:f>
        <x:v>5.239669739550548</x:v>
      </x:c>
      <x:c r="L495" t="n">
        <x:f>IF(AND(ISNUMBER('Results'!B7),ISNUMBER('Results'!C7),ISNUMBER('Results'!$B$8),ISNUMBER('Inputs'!$B$6),ISNUMBER('Inputs'!$B$7),ISNUMBER('Inputs'!$B$8),ISNUMBER('Inputs'!$B$9),ISNUMBER('Inputs'!$B$10),ISNUMBER('Inputs'!$B$21),ISNUMBER('Inputs'!$B$24),ISNUMBER('Inputs'!$B$28)),((('Results'!B7*(1+'Inputs'!$B$24)*(0.5*((((495-43)*MAX('Inputs'!$B$33,'Inputs'!$B$29+'Inputs'!$B$31+'Inputs'!$B$32,'Inputs'!$B$30+'Inputs'!$B$31+'Inputs'!$B$32)/1000+'Inputs'!$B$21)+'Inputs'!$B$7)/SQRT((((495-43)*MAX('Inputs'!$B$33,'Inputs'!$B$29+'Inputs'!$B$31+'Inputs'!$B$32,'Inputs'!$B$30+'Inputs'!$B$31+'Inputs'!$B$32)/1000+'Inputs'!$B$21)+'Inputs'!$B$7)^2+('Inputs'!$B$6/2)^2)-(((495-43)*MAX('Inputs'!$B$33,'Inputs'!$B$29+'Inputs'!$B$31+'Inputs'!$B$32,'Inputs'!$B$30+'Inputs'!$B$31+'Inputs'!$B$32)/1000+'Inputs'!$B$21))/SQRT((((495-43)*MAX('Inputs'!$B$33,'Inputs'!$B$29+'Inputs'!$B$31+'Inputs'!$B$32,'Inputs'!$B$30+'Inputs'!$B$31+'Inputs'!$B$32)/1000+'Inputs'!$B$21))^2+('Inputs'!$B$6/2)^2)))-'Results'!C7*(1-'Inputs'!$B$24)*(0.5*((((495-43)*MAX('Inputs'!$B$33,'Inputs'!$B$29+'Inputs'!$B$31+'Inputs'!$B$32,'Inputs'!$B$30+'Inputs'!$B$31+'Inputs'!$B$32)/1000+'Inputs'!$B$21+'Inputs'!$B$7+'Inputs'!$B$10)+'Inputs'!$B$9)/SQRT((((495-43)*MAX('Inputs'!$B$33,'Inputs'!$B$29+'Inputs'!$B$31+'Inputs'!$B$32,'Inputs'!$B$30+'Inputs'!$B$31+'Inputs'!$B$32)/1000+'Inputs'!$B$21+'Inputs'!$B$7+'Inputs'!$B$10)+'Inputs'!$B$9)^2+('Inputs'!$B$8/2)^2)-(((495-43)*MAX('Inputs'!$B$33,'Inputs'!$B$29+'Inputs'!$B$31+'Inputs'!$B$32,'Inputs'!$B$30+'Inputs'!$B$31+'Inputs'!$B$32)/1000+'Inputs'!$B$21+'Inputs'!$B$7+'Inputs'!$B$10))/SQRT((((495-43)*MAX('Inputs'!$B$33,'Inputs'!$B$29+'Inputs'!$B$31+'Inputs'!$B$32,'Inputs'!$B$30+'Inputs'!$B$31+'Inputs'!$B$32)/1000+'Inputs'!$B$21+'Inputs'!$B$7+'Inputs'!$B$10))^2+('Inputs'!$B$8/2)^2))))*'Results'!$B$8)+'Inputs'!$B$28*ABS((('Results'!B7*(1+'Inputs'!$B$24)*(0.5*((((495-43)*MAX('Inputs'!$B$33,'Inputs'!$B$29+'Inputs'!$B$31+'Inputs'!$B$32,'Inputs'!$B$30+'Inputs'!$B$31+'Inputs'!$B$32)/1000+'Inputs'!$B$21)+'Inputs'!$B$7)/SQRT((((495-43)*MAX('Inputs'!$B$33,'Inputs'!$B$29+'Inputs'!$B$31+'Inputs'!$B$32,'Inputs'!$B$30+'Inputs'!$B$31+'Inputs'!$B$32)/1000+'Inputs'!$B$21)+'Inputs'!$B$7)^2+('Inputs'!$B$6/2)^2)-(((495-43)*MAX('Inputs'!$B$33,'Inputs'!$B$29+'Inputs'!$B$31+'Inputs'!$B$32,'Inputs'!$B$30+'Inputs'!$B$31+'Inputs'!$B$32)/1000+'Inputs'!$B$21))/SQRT((((495-43)*MAX('Inputs'!$B$33,'Inputs'!$B$29+'Inputs'!$B$31+'Inputs'!$B$32,'Inputs'!$B$30+'Inputs'!$B$31+'Inputs'!$B$32)/1000+'Inputs'!$B$21))^2+('Inputs'!$B$6/2)^2)))-'Results'!C7*(1-'Inputs'!$B$24)*(0.5*((((495-43)*MAX('Inputs'!$B$33,'Inputs'!$B$29+'Inputs'!$B$31+'Inputs'!$B$32,'Inputs'!$B$30+'Inputs'!$B$31+'Inputs'!$B$32)/1000+'Inputs'!$B$21+'Inputs'!$B$7+'Inputs'!$B$10)+'Inputs'!$B$9)/SQRT((((495-43)*MAX('Inputs'!$B$33,'Inputs'!$B$29+'Inputs'!$B$31+'Inputs'!$B$32,'Inputs'!$B$30+'Inputs'!$B$31+'Inputs'!$B$32)/1000+'Inputs'!$B$21+'Inputs'!$B$7+'Inputs'!$B$10)+'Inputs'!$B$9)^2+('Inputs'!$B$8/2)^2)-(((495-43)*MAX('Inputs'!$B$33,'Inputs'!$B$29+'Inputs'!$B$31+'Inputs'!$B$32,'Inputs'!$B$30+'Inputs'!$B$31+'Inputs'!$B$32)/1000+'Inputs'!$B$21+'Inputs'!$B$7+'Inputs'!$B$10))/SQRT((((495-43)*MAX('Inputs'!$B$33,'Inputs'!$B$29+'Inputs'!$B$31+'Inputs'!$B$32,'Inputs'!$B$30+'Inputs'!$B$31+'Inputs'!$B$32)/1000+'Inputs'!$B$21+'Inputs'!$B$7+'Inputs'!$B$10))^2+('Inputs'!$B$8/2)^2))))*'Results'!$B$8))),"")</x:f>
        <x:v>6.567872937101208</x:v>
      </x:c>
      <x:c r="M495" t="n">
        <x:f>IF(AND(ISNUMBER('Results'!C7),ISNUMBER('Results'!B7),ISNUMBER('Results'!$B$8),ISNUMBER('Inputs'!$B$6),ISNUMBER('Inputs'!$B$7),ISNUMBER('Inputs'!$B$8),ISNUMBER('Inputs'!$B$9),ISNUMBER('Inputs'!$B$10),ISNUMBER('Inputs'!$B$21),ISNUMBER('Inputs'!$B$24),ISNUMBER('Inputs'!$B$28)),(('Results'!C7*(0.5*((((495-43)*MAX('Inputs'!$B$33,'Inputs'!$B$29+'Inputs'!$B$31+'Inputs'!$B$32,'Inputs'!$B$30+'Inputs'!$B$31+'Inputs'!$B$32)/1000+'Inputs'!$B$21)+'Inputs'!$B$9)/SQRT((((495-43)*MAX('Inputs'!$B$33,'Inputs'!$B$29+'Inputs'!$B$31+'Inputs'!$B$32,'Inputs'!$B$30+'Inputs'!$B$31+'Inputs'!$B$32)/1000+'Inputs'!$B$21)+'Inputs'!$B$9)^2+('Inputs'!$B$8/2)^2)-(((495-43)*MAX('Inputs'!$B$33,'Inputs'!$B$29+'Inputs'!$B$31+'Inputs'!$B$32,'Inputs'!$B$30+'Inputs'!$B$31+'Inputs'!$B$32)/1000+'Inputs'!$B$21))/SQRT((((495-43)*MAX('Inputs'!$B$33,'Inputs'!$B$29+'Inputs'!$B$31+'Inputs'!$B$32,'Inputs'!$B$30+'Inputs'!$B$31+'Inputs'!$B$32)/1000+'Inputs'!$B$21))^2+('Inputs'!$B$8/2)^2)))-'Results'!B7*(0.5*((((495-43)*MAX('Inputs'!$B$33,'Inputs'!$B$29+'Inputs'!$B$31+'Inputs'!$B$32,'Inputs'!$B$30+'Inputs'!$B$31+'Inputs'!$B$32)/1000+'Inputs'!$B$21+'Inputs'!$B$9+'Inputs'!$B$10)+'Inputs'!$B$7)/SQRT((((495-43)*MAX('Inputs'!$B$33,'Inputs'!$B$29+'Inputs'!$B$31+'Inputs'!$B$32,'Inputs'!$B$30+'Inputs'!$B$31+'Inputs'!$B$32)/1000+'Inputs'!$B$21+'Inputs'!$B$9+'Inputs'!$B$10)+'Inputs'!$B$7)^2+('Inputs'!$B$6/2)^2)-(((495-43)*MAX('Inputs'!$B$33,'Inputs'!$B$29+'Inputs'!$B$31+'Inputs'!$B$32,'Inputs'!$B$30+'Inputs'!$B$31+'Inputs'!$B$32)/1000+'Inputs'!$B$21+'Inputs'!$B$9+'Inputs'!$B$10))/SQRT((((495-43)*MAX('Inputs'!$B$33,'Inputs'!$B$29+'Inputs'!$B$31+'Inputs'!$B$32,'Inputs'!$B$30+'Inputs'!$B$31+'Inputs'!$B$32)/1000+'Inputs'!$B$21+'Inputs'!$B$9+'Inputs'!$B$10))^2+('Inputs'!$B$6/2)^2))))*'Results'!$B$8),"")</x:f>
        <x:v>5.512869055220298</x:v>
      </x:c>
      <x:c r="N495" t="n">
        <x:f>IF(AND(ISNUMBER('Results'!C7),ISNUMBER('Results'!B7),ISNUMBER('Results'!$B$8),ISNUMBER('Inputs'!$B$6),ISNUMBER('Inputs'!$B$7),ISNUMBER('Inputs'!$B$8),ISNUMBER('Inputs'!$B$9),ISNUMBER('Inputs'!$B$10),ISNUMBER('Inputs'!$B$21),ISNUMBER('Inputs'!$B$24),ISNUMBER('Inputs'!$B$28)),((('Results'!C7*(1-'Inputs'!$B$24)*(0.5*((((495-43)*MAX('Inputs'!$B$33,'Inputs'!$B$29+'Inputs'!$B$31+'Inputs'!$B$32,'Inputs'!$B$30+'Inputs'!$B$31+'Inputs'!$B$32)/1000+'Inputs'!$B$21)+'Inputs'!$B$9)/SQRT((((495-43)*MAX('Inputs'!$B$33,'Inputs'!$B$29+'Inputs'!$B$31+'Inputs'!$B$32,'Inputs'!$B$30+'Inputs'!$B$31+'Inputs'!$B$32)/1000+'Inputs'!$B$21)+'Inputs'!$B$9)^2+('Inputs'!$B$8/2)^2)-(((495-43)*MAX('Inputs'!$B$33,'Inputs'!$B$29+'Inputs'!$B$31+'Inputs'!$B$32,'Inputs'!$B$30+'Inputs'!$B$31+'Inputs'!$B$32)/1000+'Inputs'!$B$21))/SQRT((((495-43)*MAX('Inputs'!$B$33,'Inputs'!$B$29+'Inputs'!$B$31+'Inputs'!$B$32,'Inputs'!$B$30+'Inputs'!$B$31+'Inputs'!$B$32)/1000+'Inputs'!$B$21))^2+('Inputs'!$B$8/2)^2)))-'Results'!B7*(1+'Inputs'!$B$24)*(0.5*((((495-43)*MAX('Inputs'!$B$33,'Inputs'!$B$29+'Inputs'!$B$31+'Inputs'!$B$32,'Inputs'!$B$30+'Inputs'!$B$31+'Inputs'!$B$32)/1000+'Inputs'!$B$21+'Inputs'!$B$9+'Inputs'!$B$10)+'Inputs'!$B$7)/SQRT((((495-43)*MAX('Inputs'!$B$33,'Inputs'!$B$29+'Inputs'!$B$31+'Inputs'!$B$32,'Inputs'!$B$30+'Inputs'!$B$31+'Inputs'!$B$32)/1000+'Inputs'!$B$21+'Inputs'!$B$9+'Inputs'!$B$10)+'Inputs'!$B$7)^2+('Inputs'!$B$6/2)^2)-(((495-43)*MAX('Inputs'!$B$33,'Inputs'!$B$29+'Inputs'!$B$31+'Inputs'!$B$32,'Inputs'!$B$30+'Inputs'!$B$31+'Inputs'!$B$32)/1000+'Inputs'!$B$21+'Inputs'!$B$9+'Inputs'!$B$10))/SQRT((((495-43)*MAX('Inputs'!$B$33,'Inputs'!$B$29+'Inputs'!$B$31+'Inputs'!$B$32,'Inputs'!$B$30+'Inputs'!$B$31+'Inputs'!$B$32)/1000+'Inputs'!$B$21+'Inputs'!$B$9+'Inputs'!$B$10))^2+('Inputs'!$B$6/2)^2))))*'Results'!$B$8)-'Inputs'!$B$28*ABS((('Results'!C7*(1-'Inputs'!$B$24)*(0.5*((((495-43)*MAX('Inputs'!$B$33,'Inputs'!$B$29+'Inputs'!$B$31+'Inputs'!$B$32,'Inputs'!$B$30+'Inputs'!$B$31+'Inputs'!$B$32)/1000+'Inputs'!$B$21)+'Inputs'!$B$9)/SQRT((((495-43)*MAX('Inputs'!$B$33,'Inputs'!$B$29+'Inputs'!$B$31+'Inputs'!$B$32,'Inputs'!$B$30+'Inputs'!$B$31+'Inputs'!$B$32)/1000+'Inputs'!$B$21)+'Inputs'!$B$9)^2+('Inputs'!$B$8/2)^2)-(((495-43)*MAX('Inputs'!$B$33,'Inputs'!$B$29+'Inputs'!$B$31+'Inputs'!$B$32,'Inputs'!$B$30+'Inputs'!$B$31+'Inputs'!$B$32)/1000+'Inputs'!$B$21))/SQRT((((495-43)*MAX('Inputs'!$B$33,'Inputs'!$B$29+'Inputs'!$B$31+'Inputs'!$B$32,'Inputs'!$B$30+'Inputs'!$B$31+'Inputs'!$B$32)/1000+'Inputs'!$B$21))^2+('Inputs'!$B$8/2)^2)))-'Results'!B7*(1+'Inputs'!$B$24)*(0.5*((((495-43)*MAX('Inputs'!$B$33,'Inputs'!$B$29+'Inputs'!$B$31+'Inputs'!$B$32,'Inputs'!$B$30+'Inputs'!$B$31+'Inputs'!$B$32)/1000+'Inputs'!$B$21+'Inputs'!$B$9+'Inputs'!$B$10)+'Inputs'!$B$7)/SQRT((((495-43)*MAX('Inputs'!$B$33,'Inputs'!$B$29+'Inputs'!$B$31+'Inputs'!$B$32,'Inputs'!$B$30+'Inputs'!$B$31+'Inputs'!$B$32)/1000+'Inputs'!$B$21+'Inputs'!$B$9+'Inputs'!$B$10)+'Inputs'!$B$7)^2+('Inputs'!$B$6/2)^2)-(((495-43)*MAX('Inputs'!$B$33,'Inputs'!$B$29+'Inputs'!$B$31+'Inputs'!$B$32,'Inputs'!$B$30+'Inputs'!$B$31+'Inputs'!$B$32)/1000+'Inputs'!$B$21+'Inputs'!$B$9+'Inputs'!$B$10))/SQRT((((495-43)*MAX('Inputs'!$B$33,'Inputs'!$B$29+'Inputs'!$B$31+'Inputs'!$B$32,'Inputs'!$B$30+'Inputs'!$B$31+'Inputs'!$B$32)/1000+'Inputs'!$B$21+'Inputs'!$B$9+'Inputs'!$B$10))^2+('Inputs'!$B$6/2)^2))))*'Results'!$B$8))),"")</x:f>
        <x:v>4.888067381283475</x:v>
      </x:c>
      <x:c r="O495" t="n">
        <x:f>IF(AND(ISNUMBER('Results'!C7),ISNUMBER('Results'!B7),ISNUMBER('Results'!$B$8),ISNUMBER('Inputs'!$B$6),ISNUMBER('Inputs'!$B$7),ISNUMBER('Inputs'!$B$8),ISNUMBER('Inputs'!$B$9),ISNUMBER('Inputs'!$B$10),ISNUMBER('Inputs'!$B$21),ISNUMBER('Inputs'!$B$24),ISNUMBER('Inputs'!$B$28)),((('Results'!C7*(1+'Inputs'!$B$24)*(0.5*((((495-43)*MAX('Inputs'!$B$33,'Inputs'!$B$29+'Inputs'!$B$31+'Inputs'!$B$32,'Inputs'!$B$30+'Inputs'!$B$31+'Inputs'!$B$32)/1000+'Inputs'!$B$21)+'Inputs'!$B$9)/SQRT((((495-43)*MAX('Inputs'!$B$33,'Inputs'!$B$29+'Inputs'!$B$31+'Inputs'!$B$32,'Inputs'!$B$30+'Inputs'!$B$31+'Inputs'!$B$32)/1000+'Inputs'!$B$21)+'Inputs'!$B$9)^2+('Inputs'!$B$8/2)^2)-(((495-43)*MAX('Inputs'!$B$33,'Inputs'!$B$29+'Inputs'!$B$31+'Inputs'!$B$32,'Inputs'!$B$30+'Inputs'!$B$31+'Inputs'!$B$32)/1000+'Inputs'!$B$21))/SQRT((((495-43)*MAX('Inputs'!$B$33,'Inputs'!$B$29+'Inputs'!$B$31+'Inputs'!$B$32,'Inputs'!$B$30+'Inputs'!$B$31+'Inputs'!$B$32)/1000+'Inputs'!$B$21))^2+('Inputs'!$B$8/2)^2)))-'Results'!B7*(1-'Inputs'!$B$24)*(0.5*((((495-43)*MAX('Inputs'!$B$33,'Inputs'!$B$29+'Inputs'!$B$31+'Inputs'!$B$32,'Inputs'!$B$30+'Inputs'!$B$31+'Inputs'!$B$32)/1000+'Inputs'!$B$21+'Inputs'!$B$9+'Inputs'!$B$10)+'Inputs'!$B$7)/SQRT((((495-43)*MAX('Inputs'!$B$33,'Inputs'!$B$29+'Inputs'!$B$31+'Inputs'!$B$32,'Inputs'!$B$30+'Inputs'!$B$31+'Inputs'!$B$32)/1000+'Inputs'!$B$21+'Inputs'!$B$9+'Inputs'!$B$10)+'Inputs'!$B$7)^2+('Inputs'!$B$6/2)^2)-(((495-43)*MAX('Inputs'!$B$33,'Inputs'!$B$29+'Inputs'!$B$31+'Inputs'!$B$32,'Inputs'!$B$30+'Inputs'!$B$31+'Inputs'!$B$32)/1000+'Inputs'!$B$21+'Inputs'!$B$9+'Inputs'!$B$10))/SQRT((((495-43)*MAX('Inputs'!$B$33,'Inputs'!$B$29+'Inputs'!$B$31+'Inputs'!$B$32,'Inputs'!$B$30+'Inputs'!$B$31+'Inputs'!$B$32)/1000+'Inputs'!$B$21+'Inputs'!$B$9+'Inputs'!$B$10))^2+('Inputs'!$B$6/2)^2))))*'Results'!$B$8)+'Inputs'!$B$28*ABS((('Results'!C7*(1+'Inputs'!$B$24)*(0.5*((((495-43)*MAX('Inputs'!$B$33,'Inputs'!$B$29+'Inputs'!$B$31+'Inputs'!$B$32,'Inputs'!$B$30+'Inputs'!$B$31+'Inputs'!$B$32)/1000+'Inputs'!$B$21)+'Inputs'!$B$9)/SQRT((((495-43)*MAX('Inputs'!$B$33,'Inputs'!$B$29+'Inputs'!$B$31+'Inputs'!$B$32,'Inputs'!$B$30+'Inputs'!$B$31+'Inputs'!$B$32)/1000+'Inputs'!$B$21)+'Inputs'!$B$9)^2+('Inputs'!$B$8/2)^2)-(((495-43)*MAX('Inputs'!$B$33,'Inputs'!$B$29+'Inputs'!$B$31+'Inputs'!$B$32,'Inputs'!$B$30+'Inputs'!$B$31+'Inputs'!$B$32)/1000+'Inputs'!$B$21))/SQRT((((495-43)*MAX('Inputs'!$B$33,'Inputs'!$B$29+'Inputs'!$B$31+'Inputs'!$B$32,'Inputs'!$B$30+'Inputs'!$B$31+'Inputs'!$B$32)/1000+'Inputs'!$B$21))^2+('Inputs'!$B$8/2)^2)))-'Results'!B7*(1-'Inputs'!$B$24)*(0.5*((((495-43)*MAX('Inputs'!$B$33,'Inputs'!$B$29+'Inputs'!$B$31+'Inputs'!$B$32,'Inputs'!$B$30+'Inputs'!$B$31+'Inputs'!$B$32)/1000+'Inputs'!$B$21+'Inputs'!$B$9+'Inputs'!$B$10)+'Inputs'!$B$7)/SQRT((((495-43)*MAX('Inputs'!$B$33,'Inputs'!$B$29+'Inputs'!$B$31+'Inputs'!$B$32,'Inputs'!$B$30+'Inputs'!$B$31+'Inputs'!$B$32)/1000+'Inputs'!$B$21+'Inputs'!$B$9+'Inputs'!$B$10)+'Inputs'!$B$7)^2+('Inputs'!$B$6/2)^2)-(((495-43)*MAX('Inputs'!$B$33,'Inputs'!$B$29+'Inputs'!$B$31+'Inputs'!$B$32,'Inputs'!$B$30+'Inputs'!$B$31+'Inputs'!$B$32)/1000+'Inputs'!$B$21+'Inputs'!$B$9+'Inputs'!$B$10))/SQRT((((495-43)*MAX('Inputs'!$B$33,'Inputs'!$B$29+'Inputs'!$B$31+'Inputs'!$B$32,'Inputs'!$B$30+'Inputs'!$B$31+'Inputs'!$B$32)/1000+'Inputs'!$B$21+'Inputs'!$B$9+'Inputs'!$B$10))^2+('Inputs'!$B$6/2)^2))))*'Results'!$B$8))),"")</x:f>
        <x:v>6.174424226122994</x:v>
      </x:c>
      <x:c r="P495" t="n">
        <x:f>IF(AND(MAX(J495,J494)&gt;0,J495&gt;J494+0.00000001),1,0)</x:f>
        <x:v>0</x:v>
      </x:c>
      <x:c r="Q495" t="n">
        <x:f>IF(AND(MAX(K495,K494)&gt;0,K495&gt;K494+0.00000001),1,0)</x:f>
        <x:v>0</x:v>
      </x:c>
      <x:c r="R495" t="n">
        <x:f>IF(AND(MAX(L495,L494)&gt;0,L495&gt;L494+0.00000001),1,0)</x:f>
        <x:v>0</x:v>
      </x:c>
      <x:c r="S495" t="n">
        <x:f>IF(AND(MAX(M495,M494)&gt;0,M495&gt;M494+0.00000001),1,0)</x:f>
        <x:v>0</x:v>
      </x:c>
      <x:c r="T495" t="n">
        <x:f>IF(AND(MAX(N495,N494)&gt;0,N495&gt;N494+0.00000001),1,0)</x:f>
        <x:v>0</x:v>
      </x:c>
      <x:c r="U495" t="n">
        <x:f>IF(AND(MAX(O495,O494)&gt;0,O495&gt;O494+0.00000001),1,0)</x:f>
        <x:v>0</x:v>
      </x:c>
    </x:row>
    <x:row r="496">
      <x:c r="J496" t="n">
        <x:f>IF(AND(ISNUMBER('Results'!B7),ISNUMBER('Results'!C7),ISNUMBER('Results'!$B$8),ISNUMBER('Inputs'!$B$6),ISNUMBER('Inputs'!$B$7),ISNUMBER('Inputs'!$B$8),ISNUMBER('Inputs'!$B$9),ISNUMBER('Inputs'!$B$10),ISNUMBER('Inputs'!$B$21),ISNUMBER('Inputs'!$B$24),ISNUMBER('Inputs'!$B$28)),(('Results'!B7*(0.5*((((496-43)*MAX('Inputs'!$B$33,'Inputs'!$B$29+'Inputs'!$B$31+'Inputs'!$B$32,'Inputs'!$B$30+'Inputs'!$B$31+'Inputs'!$B$32)/1000+'Inputs'!$B$21)+'Inputs'!$B$7)/SQRT((((496-43)*MAX('Inputs'!$B$33,'Inputs'!$B$29+'Inputs'!$B$31+'Inputs'!$B$32,'Inputs'!$B$30+'Inputs'!$B$31+'Inputs'!$B$32)/1000+'Inputs'!$B$21)+'Inputs'!$B$7)^2+('Inputs'!$B$6/2)^2)-(((496-43)*MAX('Inputs'!$B$33,'Inputs'!$B$29+'Inputs'!$B$31+'Inputs'!$B$32,'Inputs'!$B$30+'Inputs'!$B$31+'Inputs'!$B$32)/1000+'Inputs'!$B$21))/SQRT((((496-43)*MAX('Inputs'!$B$33,'Inputs'!$B$29+'Inputs'!$B$31+'Inputs'!$B$32,'Inputs'!$B$30+'Inputs'!$B$31+'Inputs'!$B$32)/1000+'Inputs'!$B$21))^2+('Inputs'!$B$6/2)^2)))-'Results'!C7*(0.5*((((496-43)*MAX('Inputs'!$B$33,'Inputs'!$B$29+'Inputs'!$B$31+'Inputs'!$B$32,'Inputs'!$B$30+'Inputs'!$B$31+'Inputs'!$B$32)/1000+'Inputs'!$B$21+'Inputs'!$B$7+'Inputs'!$B$10)+'Inputs'!$B$9)/SQRT((((496-43)*MAX('Inputs'!$B$33,'Inputs'!$B$29+'Inputs'!$B$31+'Inputs'!$B$32,'Inputs'!$B$30+'Inputs'!$B$31+'Inputs'!$B$32)/1000+'Inputs'!$B$21+'Inputs'!$B$7+'Inputs'!$B$10)+'Inputs'!$B$9)^2+('Inputs'!$B$8/2)^2)-(((496-43)*MAX('Inputs'!$B$33,'Inputs'!$B$29+'Inputs'!$B$31+'Inputs'!$B$32,'Inputs'!$B$30+'Inputs'!$B$31+'Inputs'!$B$32)/1000+'Inputs'!$B$21+'Inputs'!$B$7+'Inputs'!$B$10))/SQRT((((496-43)*MAX('Inputs'!$B$33,'Inputs'!$B$29+'Inputs'!$B$31+'Inputs'!$B$32,'Inputs'!$B$30+'Inputs'!$B$31+'Inputs'!$B$32)/1000+'Inputs'!$B$21+'Inputs'!$B$7+'Inputs'!$B$10))^2+('Inputs'!$B$8/2)^2))))*'Results'!$B$8),"")</x:f>
        <x:v>5.841664582490886</x:v>
      </x:c>
      <x:c r="K496" t="n">
        <x:f>IF(AND(ISNUMBER('Results'!B7),ISNUMBER('Results'!C7),ISNUMBER('Results'!$B$8),ISNUMBER('Inputs'!$B$6),ISNUMBER('Inputs'!$B$7),ISNUMBER('Inputs'!$B$8),ISNUMBER('Inputs'!$B$9),ISNUMBER('Inputs'!$B$10),ISNUMBER('Inputs'!$B$21),ISNUMBER('Inputs'!$B$24),ISNUMBER('Inputs'!$B$28)),((('Results'!B7*(1-'Inputs'!$B$24)*(0.5*((((496-43)*MAX('Inputs'!$B$33,'Inputs'!$B$29+'Inputs'!$B$31+'Inputs'!$B$32,'Inputs'!$B$30+'Inputs'!$B$31+'Inputs'!$B$32)/1000+'Inputs'!$B$21)+'Inputs'!$B$7)/SQRT((((496-43)*MAX('Inputs'!$B$33,'Inputs'!$B$29+'Inputs'!$B$31+'Inputs'!$B$32,'Inputs'!$B$30+'Inputs'!$B$31+'Inputs'!$B$32)/1000+'Inputs'!$B$21)+'Inputs'!$B$7)^2+('Inputs'!$B$6/2)^2)-(((496-43)*MAX('Inputs'!$B$33,'Inputs'!$B$29+'Inputs'!$B$31+'Inputs'!$B$32,'Inputs'!$B$30+'Inputs'!$B$31+'Inputs'!$B$32)/1000+'Inputs'!$B$21))/SQRT((((496-43)*MAX('Inputs'!$B$33,'Inputs'!$B$29+'Inputs'!$B$31+'Inputs'!$B$32,'Inputs'!$B$30+'Inputs'!$B$31+'Inputs'!$B$32)/1000+'Inputs'!$B$21))^2+('Inputs'!$B$6/2)^2)))-'Results'!C7*(1+'Inputs'!$B$24)*(0.5*((((496-43)*MAX('Inputs'!$B$33,'Inputs'!$B$29+'Inputs'!$B$31+'Inputs'!$B$32,'Inputs'!$B$30+'Inputs'!$B$31+'Inputs'!$B$32)/1000+'Inputs'!$B$21+'Inputs'!$B$7+'Inputs'!$B$10)+'Inputs'!$B$9)/SQRT((((496-43)*MAX('Inputs'!$B$33,'Inputs'!$B$29+'Inputs'!$B$31+'Inputs'!$B$32,'Inputs'!$B$30+'Inputs'!$B$31+'Inputs'!$B$32)/1000+'Inputs'!$B$21+'Inputs'!$B$7+'Inputs'!$B$10)+'Inputs'!$B$9)^2+('Inputs'!$B$8/2)^2)-(((496-43)*MAX('Inputs'!$B$33,'Inputs'!$B$29+'Inputs'!$B$31+'Inputs'!$B$32,'Inputs'!$B$30+'Inputs'!$B$31+'Inputs'!$B$32)/1000+'Inputs'!$B$21+'Inputs'!$B$7+'Inputs'!$B$10))/SQRT((((496-43)*MAX('Inputs'!$B$33,'Inputs'!$B$29+'Inputs'!$B$31+'Inputs'!$B$32,'Inputs'!$B$30+'Inputs'!$B$31+'Inputs'!$B$32)/1000+'Inputs'!$B$21+'Inputs'!$B$7+'Inputs'!$B$10))^2+('Inputs'!$B$8/2)^2))))*'Results'!$B$8)-'Inputs'!$B$28*ABS((('Results'!B7*(1-'Inputs'!$B$24)*(0.5*((((496-43)*MAX('Inputs'!$B$33,'Inputs'!$B$29+'Inputs'!$B$31+'Inputs'!$B$32,'Inputs'!$B$30+'Inputs'!$B$31+'Inputs'!$B$32)/1000+'Inputs'!$B$21)+'Inputs'!$B$7)/SQRT((((496-43)*MAX('Inputs'!$B$33,'Inputs'!$B$29+'Inputs'!$B$31+'Inputs'!$B$32,'Inputs'!$B$30+'Inputs'!$B$31+'Inputs'!$B$32)/1000+'Inputs'!$B$21)+'Inputs'!$B$7)^2+('Inputs'!$B$6/2)^2)-(((496-43)*MAX('Inputs'!$B$33,'Inputs'!$B$29+'Inputs'!$B$31+'Inputs'!$B$32,'Inputs'!$B$30+'Inputs'!$B$31+'Inputs'!$B$32)/1000+'Inputs'!$B$21))/SQRT((((496-43)*MAX('Inputs'!$B$33,'Inputs'!$B$29+'Inputs'!$B$31+'Inputs'!$B$32,'Inputs'!$B$30+'Inputs'!$B$31+'Inputs'!$B$32)/1000+'Inputs'!$B$21))^2+('Inputs'!$B$6/2)^2)))-'Results'!C7*(1+'Inputs'!$B$24)*(0.5*((((496-43)*MAX('Inputs'!$B$33,'Inputs'!$B$29+'Inputs'!$B$31+'Inputs'!$B$32,'Inputs'!$B$30+'Inputs'!$B$31+'Inputs'!$B$32)/1000+'Inputs'!$B$21+'Inputs'!$B$7+'Inputs'!$B$10)+'Inputs'!$B$9)/SQRT((((496-43)*MAX('Inputs'!$B$33,'Inputs'!$B$29+'Inputs'!$B$31+'Inputs'!$B$32,'Inputs'!$B$30+'Inputs'!$B$31+'Inputs'!$B$32)/1000+'Inputs'!$B$21+'Inputs'!$B$7+'Inputs'!$B$10)+'Inputs'!$B$9)^2+('Inputs'!$B$8/2)^2)-(((496-43)*MAX('Inputs'!$B$33,'Inputs'!$B$29+'Inputs'!$B$31+'Inputs'!$B$32,'Inputs'!$B$30+'Inputs'!$B$31+'Inputs'!$B$32)/1000+'Inputs'!$B$21+'Inputs'!$B$7+'Inputs'!$B$10))/SQRT((((496-43)*MAX('Inputs'!$B$33,'Inputs'!$B$29+'Inputs'!$B$31+'Inputs'!$B$32,'Inputs'!$B$30+'Inputs'!$B$31+'Inputs'!$B$32)/1000+'Inputs'!$B$21+'Inputs'!$B$7+'Inputs'!$B$10))^2+('Inputs'!$B$8/2)^2))))*'Results'!$B$8))),"")</x:f>
        <x:v>5.2002650984089716</x:v>
      </x:c>
      <x:c r="L496" t="n">
        <x:f>IF(AND(ISNUMBER('Results'!B7),ISNUMBER('Results'!C7),ISNUMBER('Results'!$B$8),ISNUMBER('Inputs'!$B$6),ISNUMBER('Inputs'!$B$7),ISNUMBER('Inputs'!$B$8),ISNUMBER('Inputs'!$B$9),ISNUMBER('Inputs'!$B$10),ISNUMBER('Inputs'!$B$21),ISNUMBER('Inputs'!$B$24),ISNUMBER('Inputs'!$B$28)),((('Results'!B7*(1+'Inputs'!$B$24)*(0.5*((((496-43)*MAX('Inputs'!$B$33,'Inputs'!$B$29+'Inputs'!$B$31+'Inputs'!$B$32,'Inputs'!$B$30+'Inputs'!$B$31+'Inputs'!$B$32)/1000+'Inputs'!$B$21)+'Inputs'!$B$7)/SQRT((((496-43)*MAX('Inputs'!$B$33,'Inputs'!$B$29+'Inputs'!$B$31+'Inputs'!$B$32,'Inputs'!$B$30+'Inputs'!$B$31+'Inputs'!$B$32)/1000+'Inputs'!$B$21)+'Inputs'!$B$7)^2+('Inputs'!$B$6/2)^2)-(((496-43)*MAX('Inputs'!$B$33,'Inputs'!$B$29+'Inputs'!$B$31+'Inputs'!$B$32,'Inputs'!$B$30+'Inputs'!$B$31+'Inputs'!$B$32)/1000+'Inputs'!$B$21))/SQRT((((496-43)*MAX('Inputs'!$B$33,'Inputs'!$B$29+'Inputs'!$B$31+'Inputs'!$B$32,'Inputs'!$B$30+'Inputs'!$B$31+'Inputs'!$B$32)/1000+'Inputs'!$B$21))^2+('Inputs'!$B$6/2)^2)))-'Results'!C7*(1-'Inputs'!$B$24)*(0.5*((((496-43)*MAX('Inputs'!$B$33,'Inputs'!$B$29+'Inputs'!$B$31+'Inputs'!$B$32,'Inputs'!$B$30+'Inputs'!$B$31+'Inputs'!$B$32)/1000+'Inputs'!$B$21+'Inputs'!$B$7+'Inputs'!$B$10)+'Inputs'!$B$9)/SQRT((((496-43)*MAX('Inputs'!$B$33,'Inputs'!$B$29+'Inputs'!$B$31+'Inputs'!$B$32,'Inputs'!$B$30+'Inputs'!$B$31+'Inputs'!$B$32)/1000+'Inputs'!$B$21+'Inputs'!$B$7+'Inputs'!$B$10)+'Inputs'!$B$9)^2+('Inputs'!$B$8/2)^2)-(((496-43)*MAX('Inputs'!$B$33,'Inputs'!$B$29+'Inputs'!$B$31+'Inputs'!$B$32,'Inputs'!$B$30+'Inputs'!$B$31+'Inputs'!$B$32)/1000+'Inputs'!$B$21+'Inputs'!$B$7+'Inputs'!$B$10))/SQRT((((496-43)*MAX('Inputs'!$B$33,'Inputs'!$B$29+'Inputs'!$B$31+'Inputs'!$B$32,'Inputs'!$B$30+'Inputs'!$B$31+'Inputs'!$B$32)/1000+'Inputs'!$B$21+'Inputs'!$B$7+'Inputs'!$B$10))^2+('Inputs'!$B$8/2)^2))))*'Results'!$B$8)+'Inputs'!$B$28*ABS((('Results'!B7*(1+'Inputs'!$B$24)*(0.5*((((496-43)*MAX('Inputs'!$B$33,'Inputs'!$B$29+'Inputs'!$B$31+'Inputs'!$B$32,'Inputs'!$B$30+'Inputs'!$B$31+'Inputs'!$B$32)/1000+'Inputs'!$B$21)+'Inputs'!$B$7)/SQRT((((496-43)*MAX('Inputs'!$B$33,'Inputs'!$B$29+'Inputs'!$B$31+'Inputs'!$B$32,'Inputs'!$B$30+'Inputs'!$B$31+'Inputs'!$B$32)/1000+'Inputs'!$B$21)+'Inputs'!$B$7)^2+('Inputs'!$B$6/2)^2)-(((496-43)*MAX('Inputs'!$B$33,'Inputs'!$B$29+'Inputs'!$B$31+'Inputs'!$B$32,'Inputs'!$B$30+'Inputs'!$B$31+'Inputs'!$B$32)/1000+'Inputs'!$B$21))/SQRT((((496-43)*MAX('Inputs'!$B$33,'Inputs'!$B$29+'Inputs'!$B$31+'Inputs'!$B$32,'Inputs'!$B$30+'Inputs'!$B$31+'Inputs'!$B$32)/1000+'Inputs'!$B$21))^2+('Inputs'!$B$6/2)^2)))-'Results'!C7*(1-'Inputs'!$B$24)*(0.5*((((496-43)*MAX('Inputs'!$B$33,'Inputs'!$B$29+'Inputs'!$B$31+'Inputs'!$B$32,'Inputs'!$B$30+'Inputs'!$B$31+'Inputs'!$B$32)/1000+'Inputs'!$B$21+'Inputs'!$B$7+'Inputs'!$B$10)+'Inputs'!$B$9)/SQRT((((496-43)*MAX('Inputs'!$B$33,'Inputs'!$B$29+'Inputs'!$B$31+'Inputs'!$B$32,'Inputs'!$B$30+'Inputs'!$B$31+'Inputs'!$B$32)/1000+'Inputs'!$B$21+'Inputs'!$B$7+'Inputs'!$B$10)+'Inputs'!$B$9)^2+('Inputs'!$B$8/2)^2)-(((496-43)*MAX('Inputs'!$B$33,'Inputs'!$B$29+'Inputs'!$B$31+'Inputs'!$B$32,'Inputs'!$B$30+'Inputs'!$B$31+'Inputs'!$B$32)/1000+'Inputs'!$B$21+'Inputs'!$B$7+'Inputs'!$B$10))/SQRT((((496-43)*MAX('Inputs'!$B$33,'Inputs'!$B$29+'Inputs'!$B$31+'Inputs'!$B$32,'Inputs'!$B$30+'Inputs'!$B$31+'Inputs'!$B$32)/1000+'Inputs'!$B$21+'Inputs'!$B$7+'Inputs'!$B$10))^2+('Inputs'!$B$8/2)^2))))*'Results'!$B$8))),"")</x:f>
        <x:v>6.519834198673578</x:v>
      </x:c>
      <x:c r="M496" t="n">
        <x:f>IF(AND(ISNUMBER('Results'!C7),ISNUMBER('Results'!B7),ISNUMBER('Results'!$B$8),ISNUMBER('Inputs'!$B$6),ISNUMBER('Inputs'!$B$7),ISNUMBER('Inputs'!$B$8),ISNUMBER('Inputs'!$B$9),ISNUMBER('Inputs'!$B$10),ISNUMBER('Inputs'!$B$21),ISNUMBER('Inputs'!$B$24),ISNUMBER('Inputs'!$B$28)),(('Results'!C7*(0.5*((((496-43)*MAX('Inputs'!$B$33,'Inputs'!$B$29+'Inputs'!$B$31+'Inputs'!$B$32,'Inputs'!$B$30+'Inputs'!$B$31+'Inputs'!$B$32)/1000+'Inputs'!$B$21)+'Inputs'!$B$9)/SQRT((((496-43)*MAX('Inputs'!$B$33,'Inputs'!$B$29+'Inputs'!$B$31+'Inputs'!$B$32,'Inputs'!$B$30+'Inputs'!$B$31+'Inputs'!$B$32)/1000+'Inputs'!$B$21)+'Inputs'!$B$9)^2+('Inputs'!$B$8/2)^2)-(((496-43)*MAX('Inputs'!$B$33,'Inputs'!$B$29+'Inputs'!$B$31+'Inputs'!$B$32,'Inputs'!$B$30+'Inputs'!$B$31+'Inputs'!$B$32)/1000+'Inputs'!$B$21))/SQRT((((496-43)*MAX('Inputs'!$B$33,'Inputs'!$B$29+'Inputs'!$B$31+'Inputs'!$B$32,'Inputs'!$B$30+'Inputs'!$B$31+'Inputs'!$B$32)/1000+'Inputs'!$B$21))^2+('Inputs'!$B$8/2)^2)))-'Results'!B7*(0.5*((((496-43)*MAX('Inputs'!$B$33,'Inputs'!$B$29+'Inputs'!$B$31+'Inputs'!$B$32,'Inputs'!$B$30+'Inputs'!$B$31+'Inputs'!$B$32)/1000+'Inputs'!$B$21+'Inputs'!$B$9+'Inputs'!$B$10)+'Inputs'!$B$7)/SQRT((((496-43)*MAX('Inputs'!$B$33,'Inputs'!$B$29+'Inputs'!$B$31+'Inputs'!$B$32,'Inputs'!$B$30+'Inputs'!$B$31+'Inputs'!$B$32)/1000+'Inputs'!$B$21+'Inputs'!$B$9+'Inputs'!$B$10)+'Inputs'!$B$7)^2+('Inputs'!$B$6/2)^2)-(((496-43)*MAX('Inputs'!$B$33,'Inputs'!$B$29+'Inputs'!$B$31+'Inputs'!$B$32,'Inputs'!$B$30+'Inputs'!$B$31+'Inputs'!$B$32)/1000+'Inputs'!$B$21+'Inputs'!$B$9+'Inputs'!$B$10))/SQRT((((496-43)*MAX('Inputs'!$B$33,'Inputs'!$B$29+'Inputs'!$B$31+'Inputs'!$B$32,'Inputs'!$B$30+'Inputs'!$B$31+'Inputs'!$B$32)/1000+'Inputs'!$B$21+'Inputs'!$B$9+'Inputs'!$B$10))^2+('Inputs'!$B$6/2)^2))))*'Results'!$B$8),"")</x:f>
        <x:v>5.471403383632537</x:v>
      </x:c>
      <x:c r="N496" t="n">
        <x:f>IF(AND(ISNUMBER('Results'!C7),ISNUMBER('Results'!B7),ISNUMBER('Results'!$B$8),ISNUMBER('Inputs'!$B$6),ISNUMBER('Inputs'!$B$7),ISNUMBER('Inputs'!$B$8),ISNUMBER('Inputs'!$B$9),ISNUMBER('Inputs'!$B$10),ISNUMBER('Inputs'!$B$21),ISNUMBER('Inputs'!$B$24),ISNUMBER('Inputs'!$B$28)),((('Results'!C7*(1-'Inputs'!$B$24)*(0.5*((((496-43)*MAX('Inputs'!$B$33,'Inputs'!$B$29+'Inputs'!$B$31+'Inputs'!$B$32,'Inputs'!$B$30+'Inputs'!$B$31+'Inputs'!$B$32)/1000+'Inputs'!$B$21)+'Inputs'!$B$9)/SQRT((((496-43)*MAX('Inputs'!$B$33,'Inputs'!$B$29+'Inputs'!$B$31+'Inputs'!$B$32,'Inputs'!$B$30+'Inputs'!$B$31+'Inputs'!$B$32)/1000+'Inputs'!$B$21)+'Inputs'!$B$9)^2+('Inputs'!$B$8/2)^2)-(((496-43)*MAX('Inputs'!$B$33,'Inputs'!$B$29+'Inputs'!$B$31+'Inputs'!$B$32,'Inputs'!$B$30+'Inputs'!$B$31+'Inputs'!$B$32)/1000+'Inputs'!$B$21))/SQRT((((496-43)*MAX('Inputs'!$B$33,'Inputs'!$B$29+'Inputs'!$B$31+'Inputs'!$B$32,'Inputs'!$B$30+'Inputs'!$B$31+'Inputs'!$B$32)/1000+'Inputs'!$B$21))^2+('Inputs'!$B$8/2)^2)))-'Results'!B7*(1+'Inputs'!$B$24)*(0.5*((((496-43)*MAX('Inputs'!$B$33,'Inputs'!$B$29+'Inputs'!$B$31+'Inputs'!$B$32,'Inputs'!$B$30+'Inputs'!$B$31+'Inputs'!$B$32)/1000+'Inputs'!$B$21+'Inputs'!$B$9+'Inputs'!$B$10)+'Inputs'!$B$7)/SQRT((((496-43)*MAX('Inputs'!$B$33,'Inputs'!$B$29+'Inputs'!$B$31+'Inputs'!$B$32,'Inputs'!$B$30+'Inputs'!$B$31+'Inputs'!$B$32)/1000+'Inputs'!$B$21+'Inputs'!$B$9+'Inputs'!$B$10)+'Inputs'!$B$7)^2+('Inputs'!$B$6/2)^2)-(((496-43)*MAX('Inputs'!$B$33,'Inputs'!$B$29+'Inputs'!$B$31+'Inputs'!$B$32,'Inputs'!$B$30+'Inputs'!$B$31+'Inputs'!$B$32)/1000+'Inputs'!$B$21+'Inputs'!$B$9+'Inputs'!$B$10))/SQRT((((496-43)*MAX('Inputs'!$B$33,'Inputs'!$B$29+'Inputs'!$B$31+'Inputs'!$B$32,'Inputs'!$B$30+'Inputs'!$B$31+'Inputs'!$B$32)/1000+'Inputs'!$B$21+'Inputs'!$B$9+'Inputs'!$B$10))^2+('Inputs'!$B$6/2)^2))))*'Results'!$B$8)-'Inputs'!$B$28*ABS((('Results'!C7*(1-'Inputs'!$B$24)*(0.5*((((496-43)*MAX('Inputs'!$B$33,'Inputs'!$B$29+'Inputs'!$B$31+'Inputs'!$B$32,'Inputs'!$B$30+'Inputs'!$B$31+'Inputs'!$B$32)/1000+'Inputs'!$B$21)+'Inputs'!$B$9)/SQRT((((496-43)*MAX('Inputs'!$B$33,'Inputs'!$B$29+'Inputs'!$B$31+'Inputs'!$B$32,'Inputs'!$B$30+'Inputs'!$B$31+'Inputs'!$B$32)/1000+'Inputs'!$B$21)+'Inputs'!$B$9)^2+('Inputs'!$B$8/2)^2)-(((496-43)*MAX('Inputs'!$B$33,'Inputs'!$B$29+'Inputs'!$B$31+'Inputs'!$B$32,'Inputs'!$B$30+'Inputs'!$B$31+'Inputs'!$B$32)/1000+'Inputs'!$B$21))/SQRT((((496-43)*MAX('Inputs'!$B$33,'Inputs'!$B$29+'Inputs'!$B$31+'Inputs'!$B$32,'Inputs'!$B$30+'Inputs'!$B$31+'Inputs'!$B$32)/1000+'Inputs'!$B$21))^2+('Inputs'!$B$8/2)^2)))-'Results'!B7*(1+'Inputs'!$B$24)*(0.5*((((496-43)*MAX('Inputs'!$B$33,'Inputs'!$B$29+'Inputs'!$B$31+'Inputs'!$B$32,'Inputs'!$B$30+'Inputs'!$B$31+'Inputs'!$B$32)/1000+'Inputs'!$B$21+'Inputs'!$B$9+'Inputs'!$B$10)+'Inputs'!$B$7)/SQRT((((496-43)*MAX('Inputs'!$B$33,'Inputs'!$B$29+'Inputs'!$B$31+'Inputs'!$B$32,'Inputs'!$B$30+'Inputs'!$B$31+'Inputs'!$B$32)/1000+'Inputs'!$B$21+'Inputs'!$B$9+'Inputs'!$B$10)+'Inputs'!$B$7)^2+('Inputs'!$B$6/2)^2)-(((496-43)*MAX('Inputs'!$B$33,'Inputs'!$B$29+'Inputs'!$B$31+'Inputs'!$B$32,'Inputs'!$B$30+'Inputs'!$B$31+'Inputs'!$B$32)/1000+'Inputs'!$B$21+'Inputs'!$B$9+'Inputs'!$B$10))/SQRT((((496-43)*MAX('Inputs'!$B$33,'Inputs'!$B$29+'Inputs'!$B$31+'Inputs'!$B$32,'Inputs'!$B$30+'Inputs'!$B$31+'Inputs'!$B$32)/1000+'Inputs'!$B$21+'Inputs'!$B$9+'Inputs'!$B$10))^2+('Inputs'!$B$6/2)^2))))*'Results'!$B$8))),"")</x:f>
        <x:v>4.850688154355724</x:v>
      </x:c>
      <x:c r="O496" t="n">
        <x:f>IF(AND(ISNUMBER('Results'!C7),ISNUMBER('Results'!B7),ISNUMBER('Results'!$B$8),ISNUMBER('Inputs'!$B$6),ISNUMBER('Inputs'!$B$7),ISNUMBER('Inputs'!$B$8),ISNUMBER('Inputs'!$B$9),ISNUMBER('Inputs'!$B$10),ISNUMBER('Inputs'!$B$21),ISNUMBER('Inputs'!$B$24),ISNUMBER('Inputs'!$B$28)),((('Results'!C7*(1+'Inputs'!$B$24)*(0.5*((((496-43)*MAX('Inputs'!$B$33,'Inputs'!$B$29+'Inputs'!$B$31+'Inputs'!$B$32,'Inputs'!$B$30+'Inputs'!$B$31+'Inputs'!$B$32)/1000+'Inputs'!$B$21)+'Inputs'!$B$9)/SQRT((((496-43)*MAX('Inputs'!$B$33,'Inputs'!$B$29+'Inputs'!$B$31+'Inputs'!$B$32,'Inputs'!$B$30+'Inputs'!$B$31+'Inputs'!$B$32)/1000+'Inputs'!$B$21)+'Inputs'!$B$9)^2+('Inputs'!$B$8/2)^2)-(((496-43)*MAX('Inputs'!$B$33,'Inputs'!$B$29+'Inputs'!$B$31+'Inputs'!$B$32,'Inputs'!$B$30+'Inputs'!$B$31+'Inputs'!$B$32)/1000+'Inputs'!$B$21))/SQRT((((496-43)*MAX('Inputs'!$B$33,'Inputs'!$B$29+'Inputs'!$B$31+'Inputs'!$B$32,'Inputs'!$B$30+'Inputs'!$B$31+'Inputs'!$B$32)/1000+'Inputs'!$B$21))^2+('Inputs'!$B$8/2)^2)))-'Results'!B7*(1-'Inputs'!$B$24)*(0.5*((((496-43)*MAX('Inputs'!$B$33,'Inputs'!$B$29+'Inputs'!$B$31+'Inputs'!$B$32,'Inputs'!$B$30+'Inputs'!$B$31+'Inputs'!$B$32)/1000+'Inputs'!$B$21+'Inputs'!$B$9+'Inputs'!$B$10)+'Inputs'!$B$7)/SQRT((((496-43)*MAX('Inputs'!$B$33,'Inputs'!$B$29+'Inputs'!$B$31+'Inputs'!$B$32,'Inputs'!$B$30+'Inputs'!$B$31+'Inputs'!$B$32)/1000+'Inputs'!$B$21+'Inputs'!$B$9+'Inputs'!$B$10)+'Inputs'!$B$7)^2+('Inputs'!$B$6/2)^2)-(((496-43)*MAX('Inputs'!$B$33,'Inputs'!$B$29+'Inputs'!$B$31+'Inputs'!$B$32,'Inputs'!$B$30+'Inputs'!$B$31+'Inputs'!$B$32)/1000+'Inputs'!$B$21+'Inputs'!$B$9+'Inputs'!$B$10))/SQRT((((496-43)*MAX('Inputs'!$B$33,'Inputs'!$B$29+'Inputs'!$B$31+'Inputs'!$B$32,'Inputs'!$B$30+'Inputs'!$B$31+'Inputs'!$B$32)/1000+'Inputs'!$B$21+'Inputs'!$B$9+'Inputs'!$B$10))^2+('Inputs'!$B$6/2)^2))))*'Results'!$B$8)+'Inputs'!$B$28*ABS((('Results'!C7*(1+'Inputs'!$B$24)*(0.5*((((496-43)*MAX('Inputs'!$B$33,'Inputs'!$B$29+'Inputs'!$B$31+'Inputs'!$B$32,'Inputs'!$B$30+'Inputs'!$B$31+'Inputs'!$B$32)/1000+'Inputs'!$B$21)+'Inputs'!$B$9)/SQRT((((496-43)*MAX('Inputs'!$B$33,'Inputs'!$B$29+'Inputs'!$B$31+'Inputs'!$B$32,'Inputs'!$B$30+'Inputs'!$B$31+'Inputs'!$B$32)/1000+'Inputs'!$B$21)+'Inputs'!$B$9)^2+('Inputs'!$B$8/2)^2)-(((496-43)*MAX('Inputs'!$B$33,'Inputs'!$B$29+'Inputs'!$B$31+'Inputs'!$B$32,'Inputs'!$B$30+'Inputs'!$B$31+'Inputs'!$B$32)/1000+'Inputs'!$B$21))/SQRT((((496-43)*MAX('Inputs'!$B$33,'Inputs'!$B$29+'Inputs'!$B$31+'Inputs'!$B$32,'Inputs'!$B$30+'Inputs'!$B$31+'Inputs'!$B$32)/1000+'Inputs'!$B$21))^2+('Inputs'!$B$8/2)^2)))-'Results'!B7*(1-'Inputs'!$B$24)*(0.5*((((496-43)*MAX('Inputs'!$B$33,'Inputs'!$B$29+'Inputs'!$B$31+'Inputs'!$B$32,'Inputs'!$B$30+'Inputs'!$B$31+'Inputs'!$B$32)/1000+'Inputs'!$B$21+'Inputs'!$B$9+'Inputs'!$B$10)+'Inputs'!$B$7)/SQRT((((496-43)*MAX('Inputs'!$B$33,'Inputs'!$B$29+'Inputs'!$B$31+'Inputs'!$B$32,'Inputs'!$B$30+'Inputs'!$B$31+'Inputs'!$B$32)/1000+'Inputs'!$B$21+'Inputs'!$B$9+'Inputs'!$B$10)+'Inputs'!$B$7)^2+('Inputs'!$B$6/2)^2)-(((496-43)*MAX('Inputs'!$B$33,'Inputs'!$B$29+'Inputs'!$B$31+'Inputs'!$B$32,'Inputs'!$B$30+'Inputs'!$B$31+'Inputs'!$B$32)/1000+'Inputs'!$B$21+'Inputs'!$B$9+'Inputs'!$B$10))/SQRT((((496-43)*MAX('Inputs'!$B$33,'Inputs'!$B$29+'Inputs'!$B$31+'Inputs'!$B$32,'Inputs'!$B$30+'Inputs'!$B$31+'Inputs'!$B$32)/1000+'Inputs'!$B$21+'Inputs'!$B$9+'Inputs'!$B$10))^2+('Inputs'!$B$6/2)^2))))*'Results'!$B$8))),"")</x:f>
        <x:v>6.128660198182526</x:v>
      </x:c>
      <x:c r="P496" t="n">
        <x:f>IF(AND(MAX(J496,J495)&gt;0,J496&gt;J495+0.00000001),1,0)</x:f>
        <x:v>0</x:v>
      </x:c>
      <x:c r="Q496" t="n">
        <x:f>IF(AND(MAX(K496,K495)&gt;0,K496&gt;K495+0.00000001),1,0)</x:f>
        <x:v>0</x:v>
      </x:c>
      <x:c r="R496" t="n">
        <x:f>IF(AND(MAX(L496,L495)&gt;0,L496&gt;L495+0.00000001),1,0)</x:f>
        <x:v>0</x:v>
      </x:c>
      <x:c r="S496" t="n">
        <x:f>IF(AND(MAX(M496,M495)&gt;0,M496&gt;M495+0.00000001),1,0)</x:f>
        <x:v>0</x:v>
      </x:c>
      <x:c r="T496" t="n">
        <x:f>IF(AND(MAX(N496,N495)&gt;0,N496&gt;N495+0.00000001),1,0)</x:f>
        <x:v>0</x:v>
      </x:c>
      <x:c r="U496" t="n">
        <x:f>IF(AND(MAX(O496,O495)&gt;0,O496&gt;O495+0.00000001),1,0)</x:f>
        <x:v>0</x:v>
      </x:c>
    </x:row>
    <x:row r="497">
      <x:c r="J497" t="n">
        <x:f>IF(AND(ISNUMBER('Results'!B7),ISNUMBER('Results'!C7),ISNUMBER('Results'!$B$8),ISNUMBER('Inputs'!$B$6),ISNUMBER('Inputs'!$B$7),ISNUMBER('Inputs'!$B$8),ISNUMBER('Inputs'!$B$9),ISNUMBER('Inputs'!$B$10),ISNUMBER('Inputs'!$B$21),ISNUMBER('Inputs'!$B$24),ISNUMBER('Inputs'!$B$28)),(('Results'!B7*(0.5*((((497-43)*MAX('Inputs'!$B$33,'Inputs'!$B$29+'Inputs'!$B$31+'Inputs'!$B$32,'Inputs'!$B$30+'Inputs'!$B$31+'Inputs'!$B$32)/1000+'Inputs'!$B$21)+'Inputs'!$B$7)/SQRT((((497-43)*MAX('Inputs'!$B$33,'Inputs'!$B$29+'Inputs'!$B$31+'Inputs'!$B$32,'Inputs'!$B$30+'Inputs'!$B$31+'Inputs'!$B$32)/1000+'Inputs'!$B$21)+'Inputs'!$B$7)^2+('Inputs'!$B$6/2)^2)-(((497-43)*MAX('Inputs'!$B$33,'Inputs'!$B$29+'Inputs'!$B$31+'Inputs'!$B$32,'Inputs'!$B$30+'Inputs'!$B$31+'Inputs'!$B$32)/1000+'Inputs'!$B$21))/SQRT((((497-43)*MAX('Inputs'!$B$33,'Inputs'!$B$29+'Inputs'!$B$31+'Inputs'!$B$32,'Inputs'!$B$30+'Inputs'!$B$31+'Inputs'!$B$32)/1000+'Inputs'!$B$21))^2+('Inputs'!$B$6/2)^2)))-'Results'!C7*(0.5*((((497-43)*MAX('Inputs'!$B$33,'Inputs'!$B$29+'Inputs'!$B$31+'Inputs'!$B$32,'Inputs'!$B$30+'Inputs'!$B$31+'Inputs'!$B$32)/1000+'Inputs'!$B$21+'Inputs'!$B$7+'Inputs'!$B$10)+'Inputs'!$B$9)/SQRT((((497-43)*MAX('Inputs'!$B$33,'Inputs'!$B$29+'Inputs'!$B$31+'Inputs'!$B$32,'Inputs'!$B$30+'Inputs'!$B$31+'Inputs'!$B$32)/1000+'Inputs'!$B$21+'Inputs'!$B$7+'Inputs'!$B$10)+'Inputs'!$B$9)^2+('Inputs'!$B$8/2)^2)-(((497-43)*MAX('Inputs'!$B$33,'Inputs'!$B$29+'Inputs'!$B$31+'Inputs'!$B$32,'Inputs'!$B$30+'Inputs'!$B$31+'Inputs'!$B$32)/1000+'Inputs'!$B$21+'Inputs'!$B$7+'Inputs'!$B$10))/SQRT((((497-43)*MAX('Inputs'!$B$33,'Inputs'!$B$29+'Inputs'!$B$31+'Inputs'!$B$32,'Inputs'!$B$30+'Inputs'!$B$31+'Inputs'!$B$32)/1000+'Inputs'!$B$21+'Inputs'!$B$7+'Inputs'!$B$10))^2+('Inputs'!$B$8/2)^2))))*'Results'!$B$8),"")</x:f>
        <x:v>5.798453284163883</x:v>
      </x:c>
      <x:c r="K497" t="n">
        <x:f>IF(AND(ISNUMBER('Results'!B7),ISNUMBER('Results'!C7),ISNUMBER('Results'!$B$8),ISNUMBER('Inputs'!$B$6),ISNUMBER('Inputs'!$B$7),ISNUMBER('Inputs'!$B$8),ISNUMBER('Inputs'!$B$9),ISNUMBER('Inputs'!$B$10),ISNUMBER('Inputs'!$B$21),ISNUMBER('Inputs'!$B$24),ISNUMBER('Inputs'!$B$28)),((('Results'!B7*(1-'Inputs'!$B$24)*(0.5*((((497-43)*MAX('Inputs'!$B$33,'Inputs'!$B$29+'Inputs'!$B$31+'Inputs'!$B$32,'Inputs'!$B$30+'Inputs'!$B$31+'Inputs'!$B$32)/1000+'Inputs'!$B$21)+'Inputs'!$B$7)/SQRT((((497-43)*MAX('Inputs'!$B$33,'Inputs'!$B$29+'Inputs'!$B$31+'Inputs'!$B$32,'Inputs'!$B$30+'Inputs'!$B$31+'Inputs'!$B$32)/1000+'Inputs'!$B$21)+'Inputs'!$B$7)^2+('Inputs'!$B$6/2)^2)-(((497-43)*MAX('Inputs'!$B$33,'Inputs'!$B$29+'Inputs'!$B$31+'Inputs'!$B$32,'Inputs'!$B$30+'Inputs'!$B$31+'Inputs'!$B$32)/1000+'Inputs'!$B$21))/SQRT((((497-43)*MAX('Inputs'!$B$33,'Inputs'!$B$29+'Inputs'!$B$31+'Inputs'!$B$32,'Inputs'!$B$30+'Inputs'!$B$31+'Inputs'!$B$32)/1000+'Inputs'!$B$21))^2+('Inputs'!$B$6/2)^2)))-'Results'!C7*(1+'Inputs'!$B$24)*(0.5*((((497-43)*MAX('Inputs'!$B$33,'Inputs'!$B$29+'Inputs'!$B$31+'Inputs'!$B$32,'Inputs'!$B$30+'Inputs'!$B$31+'Inputs'!$B$32)/1000+'Inputs'!$B$21+'Inputs'!$B$7+'Inputs'!$B$10)+'Inputs'!$B$9)/SQRT((((497-43)*MAX('Inputs'!$B$33,'Inputs'!$B$29+'Inputs'!$B$31+'Inputs'!$B$32,'Inputs'!$B$30+'Inputs'!$B$31+'Inputs'!$B$32)/1000+'Inputs'!$B$21+'Inputs'!$B$7+'Inputs'!$B$10)+'Inputs'!$B$9)^2+('Inputs'!$B$8/2)^2)-(((497-43)*MAX('Inputs'!$B$33,'Inputs'!$B$29+'Inputs'!$B$31+'Inputs'!$B$32,'Inputs'!$B$30+'Inputs'!$B$31+'Inputs'!$B$32)/1000+'Inputs'!$B$21+'Inputs'!$B$7+'Inputs'!$B$10))/SQRT((((497-43)*MAX('Inputs'!$B$33,'Inputs'!$B$29+'Inputs'!$B$31+'Inputs'!$B$32,'Inputs'!$B$30+'Inputs'!$B$31+'Inputs'!$B$32)/1000+'Inputs'!$B$21+'Inputs'!$B$7+'Inputs'!$B$10))^2+('Inputs'!$B$8/2)^2))))*'Results'!$B$8)-'Inputs'!$B$28*ABS((('Results'!B7*(1-'Inputs'!$B$24)*(0.5*((((497-43)*MAX('Inputs'!$B$33,'Inputs'!$B$29+'Inputs'!$B$31+'Inputs'!$B$32,'Inputs'!$B$30+'Inputs'!$B$31+'Inputs'!$B$32)/1000+'Inputs'!$B$21)+'Inputs'!$B$7)/SQRT((((497-43)*MAX('Inputs'!$B$33,'Inputs'!$B$29+'Inputs'!$B$31+'Inputs'!$B$32,'Inputs'!$B$30+'Inputs'!$B$31+'Inputs'!$B$32)/1000+'Inputs'!$B$21)+'Inputs'!$B$7)^2+('Inputs'!$B$6/2)^2)-(((497-43)*MAX('Inputs'!$B$33,'Inputs'!$B$29+'Inputs'!$B$31+'Inputs'!$B$32,'Inputs'!$B$30+'Inputs'!$B$31+'Inputs'!$B$32)/1000+'Inputs'!$B$21))/SQRT((((497-43)*MAX('Inputs'!$B$33,'Inputs'!$B$29+'Inputs'!$B$31+'Inputs'!$B$32,'Inputs'!$B$30+'Inputs'!$B$31+'Inputs'!$B$32)/1000+'Inputs'!$B$21))^2+('Inputs'!$B$6/2)^2)))-'Results'!C7*(1+'Inputs'!$B$24)*(0.5*((((497-43)*MAX('Inputs'!$B$33,'Inputs'!$B$29+'Inputs'!$B$31+'Inputs'!$B$32,'Inputs'!$B$30+'Inputs'!$B$31+'Inputs'!$B$32)/1000+'Inputs'!$B$21+'Inputs'!$B$7+'Inputs'!$B$10)+'Inputs'!$B$9)/SQRT((((497-43)*MAX('Inputs'!$B$33,'Inputs'!$B$29+'Inputs'!$B$31+'Inputs'!$B$32,'Inputs'!$B$30+'Inputs'!$B$31+'Inputs'!$B$32)/1000+'Inputs'!$B$21+'Inputs'!$B$7+'Inputs'!$B$10)+'Inputs'!$B$9)^2+('Inputs'!$B$8/2)^2)-(((497-43)*MAX('Inputs'!$B$33,'Inputs'!$B$29+'Inputs'!$B$31+'Inputs'!$B$32,'Inputs'!$B$30+'Inputs'!$B$31+'Inputs'!$B$32)/1000+'Inputs'!$B$21+'Inputs'!$B$7+'Inputs'!$B$10))/SQRT((((497-43)*MAX('Inputs'!$B$33,'Inputs'!$B$29+'Inputs'!$B$31+'Inputs'!$B$32,'Inputs'!$B$30+'Inputs'!$B$31+'Inputs'!$B$32)/1000+'Inputs'!$B$21+'Inputs'!$B$7+'Inputs'!$B$10))^2+('Inputs'!$B$8/2)^2))))*'Results'!$B$8))),"")</x:f>
        <x:v>5.161228207179491</x:v>
      </x:c>
      <x:c r="L497" t="n">
        <x:f>IF(AND(ISNUMBER('Results'!B7),ISNUMBER('Results'!C7),ISNUMBER('Results'!$B$8),ISNUMBER('Inputs'!$B$6),ISNUMBER('Inputs'!$B$7),ISNUMBER('Inputs'!$B$8),ISNUMBER('Inputs'!$B$9),ISNUMBER('Inputs'!$B$10),ISNUMBER('Inputs'!$B$21),ISNUMBER('Inputs'!$B$24),ISNUMBER('Inputs'!$B$28)),((('Results'!B7*(1+'Inputs'!$B$24)*(0.5*((((497-43)*MAX('Inputs'!$B$33,'Inputs'!$B$29+'Inputs'!$B$31+'Inputs'!$B$32,'Inputs'!$B$30+'Inputs'!$B$31+'Inputs'!$B$32)/1000+'Inputs'!$B$21)+'Inputs'!$B$7)/SQRT((((497-43)*MAX('Inputs'!$B$33,'Inputs'!$B$29+'Inputs'!$B$31+'Inputs'!$B$32,'Inputs'!$B$30+'Inputs'!$B$31+'Inputs'!$B$32)/1000+'Inputs'!$B$21)+'Inputs'!$B$7)^2+('Inputs'!$B$6/2)^2)-(((497-43)*MAX('Inputs'!$B$33,'Inputs'!$B$29+'Inputs'!$B$31+'Inputs'!$B$32,'Inputs'!$B$30+'Inputs'!$B$31+'Inputs'!$B$32)/1000+'Inputs'!$B$21))/SQRT((((497-43)*MAX('Inputs'!$B$33,'Inputs'!$B$29+'Inputs'!$B$31+'Inputs'!$B$32,'Inputs'!$B$30+'Inputs'!$B$31+'Inputs'!$B$32)/1000+'Inputs'!$B$21))^2+('Inputs'!$B$6/2)^2)))-'Results'!C7*(1-'Inputs'!$B$24)*(0.5*((((497-43)*MAX('Inputs'!$B$33,'Inputs'!$B$29+'Inputs'!$B$31+'Inputs'!$B$32,'Inputs'!$B$30+'Inputs'!$B$31+'Inputs'!$B$32)/1000+'Inputs'!$B$21+'Inputs'!$B$7+'Inputs'!$B$10)+'Inputs'!$B$9)/SQRT((((497-43)*MAX('Inputs'!$B$33,'Inputs'!$B$29+'Inputs'!$B$31+'Inputs'!$B$32,'Inputs'!$B$30+'Inputs'!$B$31+'Inputs'!$B$32)/1000+'Inputs'!$B$21+'Inputs'!$B$7+'Inputs'!$B$10)+'Inputs'!$B$9)^2+('Inputs'!$B$8/2)^2)-(((497-43)*MAX('Inputs'!$B$33,'Inputs'!$B$29+'Inputs'!$B$31+'Inputs'!$B$32,'Inputs'!$B$30+'Inputs'!$B$31+'Inputs'!$B$32)/1000+'Inputs'!$B$21+'Inputs'!$B$7+'Inputs'!$B$10))/SQRT((((497-43)*MAX('Inputs'!$B$33,'Inputs'!$B$29+'Inputs'!$B$31+'Inputs'!$B$32,'Inputs'!$B$30+'Inputs'!$B$31+'Inputs'!$B$32)/1000+'Inputs'!$B$21+'Inputs'!$B$7+'Inputs'!$B$10))^2+('Inputs'!$B$8/2)^2))))*'Results'!$B$8)+'Inputs'!$B$28*ABS((('Results'!B7*(1+'Inputs'!$B$24)*(0.5*((((497-43)*MAX('Inputs'!$B$33,'Inputs'!$B$29+'Inputs'!$B$31+'Inputs'!$B$32,'Inputs'!$B$30+'Inputs'!$B$31+'Inputs'!$B$32)/1000+'Inputs'!$B$21)+'Inputs'!$B$7)/SQRT((((497-43)*MAX('Inputs'!$B$33,'Inputs'!$B$29+'Inputs'!$B$31+'Inputs'!$B$32,'Inputs'!$B$30+'Inputs'!$B$31+'Inputs'!$B$32)/1000+'Inputs'!$B$21)+'Inputs'!$B$7)^2+('Inputs'!$B$6/2)^2)-(((497-43)*MAX('Inputs'!$B$33,'Inputs'!$B$29+'Inputs'!$B$31+'Inputs'!$B$32,'Inputs'!$B$30+'Inputs'!$B$31+'Inputs'!$B$32)/1000+'Inputs'!$B$21))/SQRT((((497-43)*MAX('Inputs'!$B$33,'Inputs'!$B$29+'Inputs'!$B$31+'Inputs'!$B$32,'Inputs'!$B$30+'Inputs'!$B$31+'Inputs'!$B$32)/1000+'Inputs'!$B$21))^2+('Inputs'!$B$6/2)^2)))-'Results'!C7*(1-'Inputs'!$B$24)*(0.5*((((497-43)*MAX('Inputs'!$B$33,'Inputs'!$B$29+'Inputs'!$B$31+'Inputs'!$B$32,'Inputs'!$B$30+'Inputs'!$B$31+'Inputs'!$B$32)/1000+'Inputs'!$B$21+'Inputs'!$B$7+'Inputs'!$B$10)+'Inputs'!$B$9)/SQRT((((497-43)*MAX('Inputs'!$B$33,'Inputs'!$B$29+'Inputs'!$B$31+'Inputs'!$B$32,'Inputs'!$B$30+'Inputs'!$B$31+'Inputs'!$B$32)/1000+'Inputs'!$B$21+'Inputs'!$B$7+'Inputs'!$B$10)+'Inputs'!$B$9)^2+('Inputs'!$B$8/2)^2)-(((497-43)*MAX('Inputs'!$B$33,'Inputs'!$B$29+'Inputs'!$B$31+'Inputs'!$B$32,'Inputs'!$B$30+'Inputs'!$B$31+'Inputs'!$B$32)/1000+'Inputs'!$B$21+'Inputs'!$B$7+'Inputs'!$B$10))/SQRT((((497-43)*MAX('Inputs'!$B$33,'Inputs'!$B$29+'Inputs'!$B$31+'Inputs'!$B$32,'Inputs'!$B$30+'Inputs'!$B$31+'Inputs'!$B$32)/1000+'Inputs'!$B$21+'Inputs'!$B$7+'Inputs'!$B$10))^2+('Inputs'!$B$8/2)^2))))*'Results'!$B$8))),"")</x:f>
        <x:v>6.472236509861559</x:v>
      </x:c>
      <x:c r="M497" t="n">
        <x:f>IF(AND(ISNUMBER('Results'!C7),ISNUMBER('Results'!B7),ISNUMBER('Results'!$B$8),ISNUMBER('Inputs'!$B$6),ISNUMBER('Inputs'!$B$7),ISNUMBER('Inputs'!$B$8),ISNUMBER('Inputs'!$B$9),ISNUMBER('Inputs'!$B$10),ISNUMBER('Inputs'!$B$21),ISNUMBER('Inputs'!$B$24),ISNUMBER('Inputs'!$B$28)),(('Results'!C7*(0.5*((((497-43)*MAX('Inputs'!$B$33,'Inputs'!$B$29+'Inputs'!$B$31+'Inputs'!$B$32,'Inputs'!$B$30+'Inputs'!$B$31+'Inputs'!$B$32)/1000+'Inputs'!$B$21)+'Inputs'!$B$9)/SQRT((((497-43)*MAX('Inputs'!$B$33,'Inputs'!$B$29+'Inputs'!$B$31+'Inputs'!$B$32,'Inputs'!$B$30+'Inputs'!$B$31+'Inputs'!$B$32)/1000+'Inputs'!$B$21)+'Inputs'!$B$9)^2+('Inputs'!$B$8/2)^2)-(((497-43)*MAX('Inputs'!$B$33,'Inputs'!$B$29+'Inputs'!$B$31+'Inputs'!$B$32,'Inputs'!$B$30+'Inputs'!$B$31+'Inputs'!$B$32)/1000+'Inputs'!$B$21))/SQRT((((497-43)*MAX('Inputs'!$B$33,'Inputs'!$B$29+'Inputs'!$B$31+'Inputs'!$B$32,'Inputs'!$B$30+'Inputs'!$B$31+'Inputs'!$B$32)/1000+'Inputs'!$B$21))^2+('Inputs'!$B$8/2)^2)))-'Results'!B7*(0.5*((((497-43)*MAX('Inputs'!$B$33,'Inputs'!$B$29+'Inputs'!$B$31+'Inputs'!$B$32,'Inputs'!$B$30+'Inputs'!$B$31+'Inputs'!$B$32)/1000+'Inputs'!$B$21+'Inputs'!$B$9+'Inputs'!$B$10)+'Inputs'!$B$7)/SQRT((((497-43)*MAX('Inputs'!$B$33,'Inputs'!$B$29+'Inputs'!$B$31+'Inputs'!$B$32,'Inputs'!$B$30+'Inputs'!$B$31+'Inputs'!$B$32)/1000+'Inputs'!$B$21+'Inputs'!$B$9+'Inputs'!$B$10)+'Inputs'!$B$7)^2+('Inputs'!$B$6/2)^2)-(((497-43)*MAX('Inputs'!$B$33,'Inputs'!$B$29+'Inputs'!$B$31+'Inputs'!$B$32,'Inputs'!$B$30+'Inputs'!$B$31+'Inputs'!$B$32)/1000+'Inputs'!$B$21+'Inputs'!$B$9+'Inputs'!$B$10))/SQRT((((497-43)*MAX('Inputs'!$B$33,'Inputs'!$B$29+'Inputs'!$B$31+'Inputs'!$B$32,'Inputs'!$B$30+'Inputs'!$B$31+'Inputs'!$B$32)/1000+'Inputs'!$B$21+'Inputs'!$B$9+'Inputs'!$B$10))^2+('Inputs'!$B$6/2)^2))))*'Results'!$B$8),"")</x:f>
        <x:v>5.430324731506047</x:v>
      </x:c>
      <x:c r="N497" t="n">
        <x:f>IF(AND(ISNUMBER('Results'!C7),ISNUMBER('Results'!B7),ISNUMBER('Results'!$B$8),ISNUMBER('Inputs'!$B$6),ISNUMBER('Inputs'!$B$7),ISNUMBER('Inputs'!$B$8),ISNUMBER('Inputs'!$B$9),ISNUMBER('Inputs'!$B$10),ISNUMBER('Inputs'!$B$21),ISNUMBER('Inputs'!$B$24),ISNUMBER('Inputs'!$B$28)),((('Results'!C7*(1-'Inputs'!$B$24)*(0.5*((((497-43)*MAX('Inputs'!$B$33,'Inputs'!$B$29+'Inputs'!$B$31+'Inputs'!$B$32,'Inputs'!$B$30+'Inputs'!$B$31+'Inputs'!$B$32)/1000+'Inputs'!$B$21)+'Inputs'!$B$9)/SQRT((((497-43)*MAX('Inputs'!$B$33,'Inputs'!$B$29+'Inputs'!$B$31+'Inputs'!$B$32,'Inputs'!$B$30+'Inputs'!$B$31+'Inputs'!$B$32)/1000+'Inputs'!$B$21)+'Inputs'!$B$9)^2+('Inputs'!$B$8/2)^2)-(((497-43)*MAX('Inputs'!$B$33,'Inputs'!$B$29+'Inputs'!$B$31+'Inputs'!$B$32,'Inputs'!$B$30+'Inputs'!$B$31+'Inputs'!$B$32)/1000+'Inputs'!$B$21))/SQRT((((497-43)*MAX('Inputs'!$B$33,'Inputs'!$B$29+'Inputs'!$B$31+'Inputs'!$B$32,'Inputs'!$B$30+'Inputs'!$B$31+'Inputs'!$B$32)/1000+'Inputs'!$B$21))^2+('Inputs'!$B$8/2)^2)))-'Results'!B7*(1+'Inputs'!$B$24)*(0.5*((((497-43)*MAX('Inputs'!$B$33,'Inputs'!$B$29+'Inputs'!$B$31+'Inputs'!$B$32,'Inputs'!$B$30+'Inputs'!$B$31+'Inputs'!$B$32)/1000+'Inputs'!$B$21+'Inputs'!$B$9+'Inputs'!$B$10)+'Inputs'!$B$7)/SQRT((((497-43)*MAX('Inputs'!$B$33,'Inputs'!$B$29+'Inputs'!$B$31+'Inputs'!$B$32,'Inputs'!$B$30+'Inputs'!$B$31+'Inputs'!$B$32)/1000+'Inputs'!$B$21+'Inputs'!$B$9+'Inputs'!$B$10)+'Inputs'!$B$7)^2+('Inputs'!$B$6/2)^2)-(((497-43)*MAX('Inputs'!$B$33,'Inputs'!$B$29+'Inputs'!$B$31+'Inputs'!$B$32,'Inputs'!$B$30+'Inputs'!$B$31+'Inputs'!$B$32)/1000+'Inputs'!$B$21+'Inputs'!$B$9+'Inputs'!$B$10))/SQRT((((497-43)*MAX('Inputs'!$B$33,'Inputs'!$B$29+'Inputs'!$B$31+'Inputs'!$B$32,'Inputs'!$B$30+'Inputs'!$B$31+'Inputs'!$B$32)/1000+'Inputs'!$B$21+'Inputs'!$B$9+'Inputs'!$B$10))^2+('Inputs'!$B$6/2)^2))))*'Results'!$B$8)-'Inputs'!$B$28*ABS((('Results'!C7*(1-'Inputs'!$B$24)*(0.5*((((497-43)*MAX('Inputs'!$B$33,'Inputs'!$B$29+'Inputs'!$B$31+'Inputs'!$B$32,'Inputs'!$B$30+'Inputs'!$B$31+'Inputs'!$B$32)/1000+'Inputs'!$B$21)+'Inputs'!$B$9)/SQRT((((497-43)*MAX('Inputs'!$B$33,'Inputs'!$B$29+'Inputs'!$B$31+'Inputs'!$B$32,'Inputs'!$B$30+'Inputs'!$B$31+'Inputs'!$B$32)/1000+'Inputs'!$B$21)+'Inputs'!$B$9)^2+('Inputs'!$B$8/2)^2)-(((497-43)*MAX('Inputs'!$B$33,'Inputs'!$B$29+'Inputs'!$B$31+'Inputs'!$B$32,'Inputs'!$B$30+'Inputs'!$B$31+'Inputs'!$B$32)/1000+'Inputs'!$B$21))/SQRT((((497-43)*MAX('Inputs'!$B$33,'Inputs'!$B$29+'Inputs'!$B$31+'Inputs'!$B$32,'Inputs'!$B$30+'Inputs'!$B$31+'Inputs'!$B$32)/1000+'Inputs'!$B$21))^2+('Inputs'!$B$8/2)^2)))-'Results'!B7*(1+'Inputs'!$B$24)*(0.5*((((497-43)*MAX('Inputs'!$B$33,'Inputs'!$B$29+'Inputs'!$B$31+'Inputs'!$B$32,'Inputs'!$B$30+'Inputs'!$B$31+'Inputs'!$B$32)/1000+'Inputs'!$B$21+'Inputs'!$B$9+'Inputs'!$B$10)+'Inputs'!$B$7)/SQRT((((497-43)*MAX('Inputs'!$B$33,'Inputs'!$B$29+'Inputs'!$B$31+'Inputs'!$B$32,'Inputs'!$B$30+'Inputs'!$B$31+'Inputs'!$B$32)/1000+'Inputs'!$B$21+'Inputs'!$B$9+'Inputs'!$B$10)+'Inputs'!$B$7)^2+('Inputs'!$B$6/2)^2)-(((497-43)*MAX('Inputs'!$B$33,'Inputs'!$B$29+'Inputs'!$B$31+'Inputs'!$B$32,'Inputs'!$B$30+'Inputs'!$B$31+'Inputs'!$B$32)/1000+'Inputs'!$B$21+'Inputs'!$B$9+'Inputs'!$B$10))/SQRT((((497-43)*MAX('Inputs'!$B$33,'Inputs'!$B$29+'Inputs'!$B$31+'Inputs'!$B$32,'Inputs'!$B$30+'Inputs'!$B$31+'Inputs'!$B$32)/1000+'Inputs'!$B$21+'Inputs'!$B$9+'Inputs'!$B$10))^2+('Inputs'!$B$6/2)^2))))*'Results'!$B$8))),"")</x:f>
        <x:v>4.813661100157555</x:v>
      </x:c>
      <x:c r="O497" t="n">
        <x:f>IF(AND(ISNUMBER('Results'!C7),ISNUMBER('Results'!B7),ISNUMBER('Results'!$B$8),ISNUMBER('Inputs'!$B$6),ISNUMBER('Inputs'!$B$7),ISNUMBER('Inputs'!$B$8),ISNUMBER('Inputs'!$B$9),ISNUMBER('Inputs'!$B$10),ISNUMBER('Inputs'!$B$21),ISNUMBER('Inputs'!$B$24),ISNUMBER('Inputs'!$B$28)),((('Results'!C7*(1+'Inputs'!$B$24)*(0.5*((((497-43)*MAX('Inputs'!$B$33,'Inputs'!$B$29+'Inputs'!$B$31+'Inputs'!$B$32,'Inputs'!$B$30+'Inputs'!$B$31+'Inputs'!$B$32)/1000+'Inputs'!$B$21)+'Inputs'!$B$9)/SQRT((((497-43)*MAX('Inputs'!$B$33,'Inputs'!$B$29+'Inputs'!$B$31+'Inputs'!$B$32,'Inputs'!$B$30+'Inputs'!$B$31+'Inputs'!$B$32)/1000+'Inputs'!$B$21)+'Inputs'!$B$9)^2+('Inputs'!$B$8/2)^2)-(((497-43)*MAX('Inputs'!$B$33,'Inputs'!$B$29+'Inputs'!$B$31+'Inputs'!$B$32,'Inputs'!$B$30+'Inputs'!$B$31+'Inputs'!$B$32)/1000+'Inputs'!$B$21))/SQRT((((497-43)*MAX('Inputs'!$B$33,'Inputs'!$B$29+'Inputs'!$B$31+'Inputs'!$B$32,'Inputs'!$B$30+'Inputs'!$B$31+'Inputs'!$B$32)/1000+'Inputs'!$B$21))^2+('Inputs'!$B$8/2)^2)))-'Results'!B7*(1-'Inputs'!$B$24)*(0.5*((((497-43)*MAX('Inputs'!$B$33,'Inputs'!$B$29+'Inputs'!$B$31+'Inputs'!$B$32,'Inputs'!$B$30+'Inputs'!$B$31+'Inputs'!$B$32)/1000+'Inputs'!$B$21+'Inputs'!$B$9+'Inputs'!$B$10)+'Inputs'!$B$7)/SQRT((((497-43)*MAX('Inputs'!$B$33,'Inputs'!$B$29+'Inputs'!$B$31+'Inputs'!$B$32,'Inputs'!$B$30+'Inputs'!$B$31+'Inputs'!$B$32)/1000+'Inputs'!$B$21+'Inputs'!$B$9+'Inputs'!$B$10)+'Inputs'!$B$7)^2+('Inputs'!$B$6/2)^2)-(((497-43)*MAX('Inputs'!$B$33,'Inputs'!$B$29+'Inputs'!$B$31+'Inputs'!$B$32,'Inputs'!$B$30+'Inputs'!$B$31+'Inputs'!$B$32)/1000+'Inputs'!$B$21+'Inputs'!$B$9+'Inputs'!$B$10))/SQRT((((497-43)*MAX('Inputs'!$B$33,'Inputs'!$B$29+'Inputs'!$B$31+'Inputs'!$B$32,'Inputs'!$B$30+'Inputs'!$B$31+'Inputs'!$B$32)/1000+'Inputs'!$B$21+'Inputs'!$B$9+'Inputs'!$B$10))^2+('Inputs'!$B$6/2)^2))))*'Results'!$B$8)+'Inputs'!$B$28*ABS((('Results'!C7*(1+'Inputs'!$B$24)*(0.5*((((497-43)*MAX('Inputs'!$B$33,'Inputs'!$B$29+'Inputs'!$B$31+'Inputs'!$B$32,'Inputs'!$B$30+'Inputs'!$B$31+'Inputs'!$B$32)/1000+'Inputs'!$B$21)+'Inputs'!$B$9)/SQRT((((497-43)*MAX('Inputs'!$B$33,'Inputs'!$B$29+'Inputs'!$B$31+'Inputs'!$B$32,'Inputs'!$B$30+'Inputs'!$B$31+'Inputs'!$B$32)/1000+'Inputs'!$B$21)+'Inputs'!$B$9)^2+('Inputs'!$B$8/2)^2)-(((497-43)*MAX('Inputs'!$B$33,'Inputs'!$B$29+'Inputs'!$B$31+'Inputs'!$B$32,'Inputs'!$B$30+'Inputs'!$B$31+'Inputs'!$B$32)/1000+'Inputs'!$B$21))/SQRT((((497-43)*MAX('Inputs'!$B$33,'Inputs'!$B$29+'Inputs'!$B$31+'Inputs'!$B$32,'Inputs'!$B$30+'Inputs'!$B$31+'Inputs'!$B$32)/1000+'Inputs'!$B$21))^2+('Inputs'!$B$8/2)^2)))-'Results'!B7*(1-'Inputs'!$B$24)*(0.5*((((497-43)*MAX('Inputs'!$B$33,'Inputs'!$B$29+'Inputs'!$B$31+'Inputs'!$B$32,'Inputs'!$B$30+'Inputs'!$B$31+'Inputs'!$B$32)/1000+'Inputs'!$B$21+'Inputs'!$B$9+'Inputs'!$B$10)+'Inputs'!$B$7)/SQRT((((497-43)*MAX('Inputs'!$B$33,'Inputs'!$B$29+'Inputs'!$B$31+'Inputs'!$B$32,'Inputs'!$B$30+'Inputs'!$B$31+'Inputs'!$B$32)/1000+'Inputs'!$B$21+'Inputs'!$B$9+'Inputs'!$B$10)+'Inputs'!$B$7)^2+('Inputs'!$B$6/2)^2)-(((497-43)*MAX('Inputs'!$B$33,'Inputs'!$B$29+'Inputs'!$B$31+'Inputs'!$B$32,'Inputs'!$B$30+'Inputs'!$B$31+'Inputs'!$B$32)/1000+'Inputs'!$B$21+'Inputs'!$B$9+'Inputs'!$B$10))/SQRT((((497-43)*MAX('Inputs'!$B$33,'Inputs'!$B$29+'Inputs'!$B$31+'Inputs'!$B$32,'Inputs'!$B$30+'Inputs'!$B$31+'Inputs'!$B$32)/1000+'Inputs'!$B$21+'Inputs'!$B$9+'Inputs'!$B$10))^2+('Inputs'!$B$6/2)^2))))*'Results'!$B$8))),"")</x:f>
        <x:v>6.08331966756751</x:v>
      </x:c>
      <x:c r="P497" t="n">
        <x:f>IF(AND(MAX(J497,J496)&gt;0,J497&gt;J496+0.00000001),1,0)</x:f>
        <x:v>0</x:v>
      </x:c>
      <x:c r="Q497" t="n">
        <x:f>IF(AND(MAX(K497,K496)&gt;0,K497&gt;K496+0.00000001),1,0)</x:f>
        <x:v>0</x:v>
      </x:c>
      <x:c r="R497" t="n">
        <x:f>IF(AND(MAX(L497,L496)&gt;0,L497&gt;L496+0.00000001),1,0)</x:f>
        <x:v>0</x:v>
      </x:c>
      <x:c r="S497" t="n">
        <x:f>IF(AND(MAX(M497,M496)&gt;0,M497&gt;M496+0.00000001),1,0)</x:f>
        <x:v>0</x:v>
      </x:c>
      <x:c r="T497" t="n">
        <x:f>IF(AND(MAX(N497,N496)&gt;0,N497&gt;N496+0.00000001),1,0)</x:f>
        <x:v>0</x:v>
      </x:c>
      <x:c r="U497" t="n">
        <x:f>IF(AND(MAX(O497,O496)&gt;0,O497&gt;O496+0.00000001),1,0)</x:f>
        <x:v>0</x:v>
      </x:c>
    </x:row>
    <x:row r="498">
      <x:c r="J498" t="n">
        <x:f>IF(AND(ISNUMBER('Results'!B7),ISNUMBER('Results'!C7),ISNUMBER('Results'!$B$8),ISNUMBER('Inputs'!$B$6),ISNUMBER('Inputs'!$B$7),ISNUMBER('Inputs'!$B$8),ISNUMBER('Inputs'!$B$9),ISNUMBER('Inputs'!$B$10),ISNUMBER('Inputs'!$B$21),ISNUMBER('Inputs'!$B$24),ISNUMBER('Inputs'!$B$28)),(('Results'!B7*(0.5*((((498-43)*MAX('Inputs'!$B$33,'Inputs'!$B$29+'Inputs'!$B$31+'Inputs'!$B$32,'Inputs'!$B$30+'Inputs'!$B$31+'Inputs'!$B$32)/1000+'Inputs'!$B$21)+'Inputs'!$B$7)/SQRT((((498-43)*MAX('Inputs'!$B$33,'Inputs'!$B$29+'Inputs'!$B$31+'Inputs'!$B$32,'Inputs'!$B$30+'Inputs'!$B$31+'Inputs'!$B$32)/1000+'Inputs'!$B$21)+'Inputs'!$B$7)^2+('Inputs'!$B$6/2)^2)-(((498-43)*MAX('Inputs'!$B$33,'Inputs'!$B$29+'Inputs'!$B$31+'Inputs'!$B$32,'Inputs'!$B$30+'Inputs'!$B$31+'Inputs'!$B$32)/1000+'Inputs'!$B$21))/SQRT((((498-43)*MAX('Inputs'!$B$33,'Inputs'!$B$29+'Inputs'!$B$31+'Inputs'!$B$32,'Inputs'!$B$30+'Inputs'!$B$31+'Inputs'!$B$32)/1000+'Inputs'!$B$21))^2+('Inputs'!$B$6/2)^2)))-'Results'!C7*(0.5*((((498-43)*MAX('Inputs'!$B$33,'Inputs'!$B$29+'Inputs'!$B$31+'Inputs'!$B$32,'Inputs'!$B$30+'Inputs'!$B$31+'Inputs'!$B$32)/1000+'Inputs'!$B$21+'Inputs'!$B$7+'Inputs'!$B$10)+'Inputs'!$B$9)/SQRT((((498-43)*MAX('Inputs'!$B$33,'Inputs'!$B$29+'Inputs'!$B$31+'Inputs'!$B$32,'Inputs'!$B$30+'Inputs'!$B$31+'Inputs'!$B$32)/1000+'Inputs'!$B$21+'Inputs'!$B$7+'Inputs'!$B$10)+'Inputs'!$B$9)^2+('Inputs'!$B$8/2)^2)-(((498-43)*MAX('Inputs'!$B$33,'Inputs'!$B$29+'Inputs'!$B$31+'Inputs'!$B$32,'Inputs'!$B$30+'Inputs'!$B$31+'Inputs'!$B$32)/1000+'Inputs'!$B$21+'Inputs'!$B$7+'Inputs'!$B$10))/SQRT((((498-43)*MAX('Inputs'!$B$33,'Inputs'!$B$29+'Inputs'!$B$31+'Inputs'!$B$32,'Inputs'!$B$30+'Inputs'!$B$31+'Inputs'!$B$32)/1000+'Inputs'!$B$21+'Inputs'!$B$7+'Inputs'!$B$10))^2+('Inputs'!$B$8/2)^2))))*'Results'!$B$8),"")</x:f>
        <x:v>5.755641093969301</x:v>
      </x:c>
      <x:c r="K498" t="n">
        <x:f>IF(AND(ISNUMBER('Results'!B7),ISNUMBER('Results'!C7),ISNUMBER('Results'!$B$8),ISNUMBER('Inputs'!$B$6),ISNUMBER('Inputs'!$B$7),ISNUMBER('Inputs'!$B$8),ISNUMBER('Inputs'!$B$9),ISNUMBER('Inputs'!$B$10),ISNUMBER('Inputs'!$B$21),ISNUMBER('Inputs'!$B$24),ISNUMBER('Inputs'!$B$28)),((('Results'!B7*(1-'Inputs'!$B$24)*(0.5*((((498-43)*MAX('Inputs'!$B$33,'Inputs'!$B$29+'Inputs'!$B$31+'Inputs'!$B$32,'Inputs'!$B$30+'Inputs'!$B$31+'Inputs'!$B$32)/1000+'Inputs'!$B$21)+'Inputs'!$B$7)/SQRT((((498-43)*MAX('Inputs'!$B$33,'Inputs'!$B$29+'Inputs'!$B$31+'Inputs'!$B$32,'Inputs'!$B$30+'Inputs'!$B$31+'Inputs'!$B$32)/1000+'Inputs'!$B$21)+'Inputs'!$B$7)^2+('Inputs'!$B$6/2)^2)-(((498-43)*MAX('Inputs'!$B$33,'Inputs'!$B$29+'Inputs'!$B$31+'Inputs'!$B$32,'Inputs'!$B$30+'Inputs'!$B$31+'Inputs'!$B$32)/1000+'Inputs'!$B$21))/SQRT((((498-43)*MAX('Inputs'!$B$33,'Inputs'!$B$29+'Inputs'!$B$31+'Inputs'!$B$32,'Inputs'!$B$30+'Inputs'!$B$31+'Inputs'!$B$32)/1000+'Inputs'!$B$21))^2+('Inputs'!$B$6/2)^2)))-'Results'!C7*(1+'Inputs'!$B$24)*(0.5*((((498-43)*MAX('Inputs'!$B$33,'Inputs'!$B$29+'Inputs'!$B$31+'Inputs'!$B$32,'Inputs'!$B$30+'Inputs'!$B$31+'Inputs'!$B$32)/1000+'Inputs'!$B$21+'Inputs'!$B$7+'Inputs'!$B$10)+'Inputs'!$B$9)/SQRT((((498-43)*MAX('Inputs'!$B$33,'Inputs'!$B$29+'Inputs'!$B$31+'Inputs'!$B$32,'Inputs'!$B$30+'Inputs'!$B$31+'Inputs'!$B$32)/1000+'Inputs'!$B$21+'Inputs'!$B$7+'Inputs'!$B$10)+'Inputs'!$B$9)^2+('Inputs'!$B$8/2)^2)-(((498-43)*MAX('Inputs'!$B$33,'Inputs'!$B$29+'Inputs'!$B$31+'Inputs'!$B$32,'Inputs'!$B$30+'Inputs'!$B$31+'Inputs'!$B$32)/1000+'Inputs'!$B$21+'Inputs'!$B$7+'Inputs'!$B$10))/SQRT((((498-43)*MAX('Inputs'!$B$33,'Inputs'!$B$29+'Inputs'!$B$31+'Inputs'!$B$32,'Inputs'!$B$30+'Inputs'!$B$31+'Inputs'!$B$32)/1000+'Inputs'!$B$21+'Inputs'!$B$7+'Inputs'!$B$10))^2+('Inputs'!$B$8/2)^2))))*'Results'!$B$8)-'Inputs'!$B$28*ABS((('Results'!B7*(1-'Inputs'!$B$24)*(0.5*((((498-43)*MAX('Inputs'!$B$33,'Inputs'!$B$29+'Inputs'!$B$31+'Inputs'!$B$32,'Inputs'!$B$30+'Inputs'!$B$31+'Inputs'!$B$32)/1000+'Inputs'!$B$21)+'Inputs'!$B$7)/SQRT((((498-43)*MAX('Inputs'!$B$33,'Inputs'!$B$29+'Inputs'!$B$31+'Inputs'!$B$32,'Inputs'!$B$30+'Inputs'!$B$31+'Inputs'!$B$32)/1000+'Inputs'!$B$21)+'Inputs'!$B$7)^2+('Inputs'!$B$6/2)^2)-(((498-43)*MAX('Inputs'!$B$33,'Inputs'!$B$29+'Inputs'!$B$31+'Inputs'!$B$32,'Inputs'!$B$30+'Inputs'!$B$31+'Inputs'!$B$32)/1000+'Inputs'!$B$21))/SQRT((((498-43)*MAX('Inputs'!$B$33,'Inputs'!$B$29+'Inputs'!$B$31+'Inputs'!$B$32,'Inputs'!$B$30+'Inputs'!$B$31+'Inputs'!$B$32)/1000+'Inputs'!$B$21))^2+('Inputs'!$B$6/2)^2)))-'Results'!C7*(1+'Inputs'!$B$24)*(0.5*((((498-43)*MAX('Inputs'!$B$33,'Inputs'!$B$29+'Inputs'!$B$31+'Inputs'!$B$32,'Inputs'!$B$30+'Inputs'!$B$31+'Inputs'!$B$32)/1000+'Inputs'!$B$21+'Inputs'!$B$7+'Inputs'!$B$10)+'Inputs'!$B$9)/SQRT((((498-43)*MAX('Inputs'!$B$33,'Inputs'!$B$29+'Inputs'!$B$31+'Inputs'!$B$32,'Inputs'!$B$30+'Inputs'!$B$31+'Inputs'!$B$32)/1000+'Inputs'!$B$21+'Inputs'!$B$7+'Inputs'!$B$10)+'Inputs'!$B$9)^2+('Inputs'!$B$8/2)^2)-(((498-43)*MAX('Inputs'!$B$33,'Inputs'!$B$29+'Inputs'!$B$31+'Inputs'!$B$32,'Inputs'!$B$30+'Inputs'!$B$31+'Inputs'!$B$32)/1000+'Inputs'!$B$21+'Inputs'!$B$7+'Inputs'!$B$10))/SQRT((((498-43)*MAX('Inputs'!$B$33,'Inputs'!$B$29+'Inputs'!$B$31+'Inputs'!$B$32,'Inputs'!$B$30+'Inputs'!$B$31+'Inputs'!$B$32)/1000+'Inputs'!$B$21+'Inputs'!$B$7+'Inputs'!$B$10))^2+('Inputs'!$B$8/2)^2))))*'Results'!$B$8))),"")</x:f>
        <x:v>5.1225549719695715</x:v>
      </x:c>
      <x:c r="L498" t="n">
        <x:f>IF(AND(ISNUMBER('Results'!B7),ISNUMBER('Results'!C7),ISNUMBER('Results'!$B$8),ISNUMBER('Inputs'!$B$6),ISNUMBER('Inputs'!$B$7),ISNUMBER('Inputs'!$B$8),ISNUMBER('Inputs'!$B$9),ISNUMBER('Inputs'!$B$10),ISNUMBER('Inputs'!$B$21),ISNUMBER('Inputs'!$B$24),ISNUMBER('Inputs'!$B$28)),((('Results'!B7*(1+'Inputs'!$B$24)*(0.5*((((498-43)*MAX('Inputs'!$B$33,'Inputs'!$B$29+'Inputs'!$B$31+'Inputs'!$B$32,'Inputs'!$B$30+'Inputs'!$B$31+'Inputs'!$B$32)/1000+'Inputs'!$B$21)+'Inputs'!$B$7)/SQRT((((498-43)*MAX('Inputs'!$B$33,'Inputs'!$B$29+'Inputs'!$B$31+'Inputs'!$B$32,'Inputs'!$B$30+'Inputs'!$B$31+'Inputs'!$B$32)/1000+'Inputs'!$B$21)+'Inputs'!$B$7)^2+('Inputs'!$B$6/2)^2)-(((498-43)*MAX('Inputs'!$B$33,'Inputs'!$B$29+'Inputs'!$B$31+'Inputs'!$B$32,'Inputs'!$B$30+'Inputs'!$B$31+'Inputs'!$B$32)/1000+'Inputs'!$B$21))/SQRT((((498-43)*MAX('Inputs'!$B$33,'Inputs'!$B$29+'Inputs'!$B$31+'Inputs'!$B$32,'Inputs'!$B$30+'Inputs'!$B$31+'Inputs'!$B$32)/1000+'Inputs'!$B$21))^2+('Inputs'!$B$6/2)^2)))-'Results'!C7*(1-'Inputs'!$B$24)*(0.5*((((498-43)*MAX('Inputs'!$B$33,'Inputs'!$B$29+'Inputs'!$B$31+'Inputs'!$B$32,'Inputs'!$B$30+'Inputs'!$B$31+'Inputs'!$B$32)/1000+'Inputs'!$B$21+'Inputs'!$B$7+'Inputs'!$B$10)+'Inputs'!$B$9)/SQRT((((498-43)*MAX('Inputs'!$B$33,'Inputs'!$B$29+'Inputs'!$B$31+'Inputs'!$B$32,'Inputs'!$B$30+'Inputs'!$B$31+'Inputs'!$B$32)/1000+'Inputs'!$B$21+'Inputs'!$B$7+'Inputs'!$B$10)+'Inputs'!$B$9)^2+('Inputs'!$B$8/2)^2)-(((498-43)*MAX('Inputs'!$B$33,'Inputs'!$B$29+'Inputs'!$B$31+'Inputs'!$B$32,'Inputs'!$B$30+'Inputs'!$B$31+'Inputs'!$B$32)/1000+'Inputs'!$B$21+'Inputs'!$B$7+'Inputs'!$B$10))/SQRT((((498-43)*MAX('Inputs'!$B$33,'Inputs'!$B$29+'Inputs'!$B$31+'Inputs'!$B$32,'Inputs'!$B$30+'Inputs'!$B$31+'Inputs'!$B$32)/1000+'Inputs'!$B$21+'Inputs'!$B$7+'Inputs'!$B$10))^2+('Inputs'!$B$8/2)^2))))*'Results'!$B$8)+'Inputs'!$B$28*ABS((('Results'!B7*(1+'Inputs'!$B$24)*(0.5*((((498-43)*MAX('Inputs'!$B$33,'Inputs'!$B$29+'Inputs'!$B$31+'Inputs'!$B$32,'Inputs'!$B$30+'Inputs'!$B$31+'Inputs'!$B$32)/1000+'Inputs'!$B$21)+'Inputs'!$B$7)/SQRT((((498-43)*MAX('Inputs'!$B$33,'Inputs'!$B$29+'Inputs'!$B$31+'Inputs'!$B$32,'Inputs'!$B$30+'Inputs'!$B$31+'Inputs'!$B$32)/1000+'Inputs'!$B$21)+'Inputs'!$B$7)^2+('Inputs'!$B$6/2)^2)-(((498-43)*MAX('Inputs'!$B$33,'Inputs'!$B$29+'Inputs'!$B$31+'Inputs'!$B$32,'Inputs'!$B$30+'Inputs'!$B$31+'Inputs'!$B$32)/1000+'Inputs'!$B$21))/SQRT((((498-43)*MAX('Inputs'!$B$33,'Inputs'!$B$29+'Inputs'!$B$31+'Inputs'!$B$32,'Inputs'!$B$30+'Inputs'!$B$31+'Inputs'!$B$32)/1000+'Inputs'!$B$21))^2+('Inputs'!$B$6/2)^2)))-'Results'!C7*(1-'Inputs'!$B$24)*(0.5*((((498-43)*MAX('Inputs'!$B$33,'Inputs'!$B$29+'Inputs'!$B$31+'Inputs'!$B$32,'Inputs'!$B$30+'Inputs'!$B$31+'Inputs'!$B$32)/1000+'Inputs'!$B$21+'Inputs'!$B$7+'Inputs'!$B$10)+'Inputs'!$B$9)/SQRT((((498-43)*MAX('Inputs'!$B$33,'Inputs'!$B$29+'Inputs'!$B$31+'Inputs'!$B$32,'Inputs'!$B$30+'Inputs'!$B$31+'Inputs'!$B$32)/1000+'Inputs'!$B$21+'Inputs'!$B$7+'Inputs'!$B$10)+'Inputs'!$B$9)^2+('Inputs'!$B$8/2)^2)-(((498-43)*MAX('Inputs'!$B$33,'Inputs'!$B$29+'Inputs'!$B$31+'Inputs'!$B$32,'Inputs'!$B$30+'Inputs'!$B$31+'Inputs'!$B$32)/1000+'Inputs'!$B$21+'Inputs'!$B$7+'Inputs'!$B$10))/SQRT((((498-43)*MAX('Inputs'!$B$33,'Inputs'!$B$29+'Inputs'!$B$31+'Inputs'!$B$32,'Inputs'!$B$30+'Inputs'!$B$31+'Inputs'!$B$32)/1000+'Inputs'!$B$21+'Inputs'!$B$7+'Inputs'!$B$10))^2+('Inputs'!$B$8/2)^2))))*'Results'!$B$8))),"")</x:f>
        <x:v>6.425075012527057</x:v>
      </x:c>
      <x:c r="M498" t="n">
        <x:f>IF(AND(ISNUMBER('Results'!C7),ISNUMBER('Results'!B7),ISNUMBER('Results'!$B$8),ISNUMBER('Inputs'!$B$6),ISNUMBER('Inputs'!$B$7),ISNUMBER('Inputs'!$B$8),ISNUMBER('Inputs'!$B$9),ISNUMBER('Inputs'!$B$10),ISNUMBER('Inputs'!$B$21),ISNUMBER('Inputs'!$B$24),ISNUMBER('Inputs'!$B$28)),(('Results'!C7*(0.5*((((498-43)*MAX('Inputs'!$B$33,'Inputs'!$B$29+'Inputs'!$B$31+'Inputs'!$B$32,'Inputs'!$B$30+'Inputs'!$B$31+'Inputs'!$B$32)/1000+'Inputs'!$B$21)+'Inputs'!$B$9)/SQRT((((498-43)*MAX('Inputs'!$B$33,'Inputs'!$B$29+'Inputs'!$B$31+'Inputs'!$B$32,'Inputs'!$B$30+'Inputs'!$B$31+'Inputs'!$B$32)/1000+'Inputs'!$B$21)+'Inputs'!$B$9)^2+('Inputs'!$B$8/2)^2)-(((498-43)*MAX('Inputs'!$B$33,'Inputs'!$B$29+'Inputs'!$B$31+'Inputs'!$B$32,'Inputs'!$B$30+'Inputs'!$B$31+'Inputs'!$B$32)/1000+'Inputs'!$B$21))/SQRT((((498-43)*MAX('Inputs'!$B$33,'Inputs'!$B$29+'Inputs'!$B$31+'Inputs'!$B$32,'Inputs'!$B$30+'Inputs'!$B$31+'Inputs'!$B$32)/1000+'Inputs'!$B$21))^2+('Inputs'!$B$8/2)^2)))-'Results'!B7*(0.5*((((498-43)*MAX('Inputs'!$B$33,'Inputs'!$B$29+'Inputs'!$B$31+'Inputs'!$B$32,'Inputs'!$B$30+'Inputs'!$B$31+'Inputs'!$B$32)/1000+'Inputs'!$B$21+'Inputs'!$B$9+'Inputs'!$B$10)+'Inputs'!$B$7)/SQRT((((498-43)*MAX('Inputs'!$B$33,'Inputs'!$B$29+'Inputs'!$B$31+'Inputs'!$B$32,'Inputs'!$B$30+'Inputs'!$B$31+'Inputs'!$B$32)/1000+'Inputs'!$B$21+'Inputs'!$B$9+'Inputs'!$B$10)+'Inputs'!$B$7)^2+('Inputs'!$B$6/2)^2)-(((498-43)*MAX('Inputs'!$B$33,'Inputs'!$B$29+'Inputs'!$B$31+'Inputs'!$B$32,'Inputs'!$B$30+'Inputs'!$B$31+'Inputs'!$B$32)/1000+'Inputs'!$B$21+'Inputs'!$B$9+'Inputs'!$B$10))/SQRT((((498-43)*MAX('Inputs'!$B$33,'Inputs'!$B$29+'Inputs'!$B$31+'Inputs'!$B$32,'Inputs'!$B$30+'Inputs'!$B$31+'Inputs'!$B$32)/1000+'Inputs'!$B$21+'Inputs'!$B$9+'Inputs'!$B$10))^2+('Inputs'!$B$6/2)^2))))*'Results'!$B$8),"")</x:f>
        <x:v>5.389628790187994</x:v>
      </x:c>
      <x:c r="N498" t="n">
        <x:f>IF(AND(ISNUMBER('Results'!C7),ISNUMBER('Results'!B7),ISNUMBER('Results'!$B$8),ISNUMBER('Inputs'!$B$6),ISNUMBER('Inputs'!$B$7),ISNUMBER('Inputs'!$B$8),ISNUMBER('Inputs'!$B$9),ISNUMBER('Inputs'!$B$10),ISNUMBER('Inputs'!$B$21),ISNUMBER('Inputs'!$B$24),ISNUMBER('Inputs'!$B$28)),((('Results'!C7*(1-'Inputs'!$B$24)*(0.5*((((498-43)*MAX('Inputs'!$B$33,'Inputs'!$B$29+'Inputs'!$B$31+'Inputs'!$B$32,'Inputs'!$B$30+'Inputs'!$B$31+'Inputs'!$B$32)/1000+'Inputs'!$B$21)+'Inputs'!$B$9)/SQRT((((498-43)*MAX('Inputs'!$B$33,'Inputs'!$B$29+'Inputs'!$B$31+'Inputs'!$B$32,'Inputs'!$B$30+'Inputs'!$B$31+'Inputs'!$B$32)/1000+'Inputs'!$B$21)+'Inputs'!$B$9)^2+('Inputs'!$B$8/2)^2)-(((498-43)*MAX('Inputs'!$B$33,'Inputs'!$B$29+'Inputs'!$B$31+'Inputs'!$B$32,'Inputs'!$B$30+'Inputs'!$B$31+'Inputs'!$B$32)/1000+'Inputs'!$B$21))/SQRT((((498-43)*MAX('Inputs'!$B$33,'Inputs'!$B$29+'Inputs'!$B$31+'Inputs'!$B$32,'Inputs'!$B$30+'Inputs'!$B$31+'Inputs'!$B$32)/1000+'Inputs'!$B$21))^2+('Inputs'!$B$8/2)^2)))-'Results'!B7*(1+'Inputs'!$B$24)*(0.5*((((498-43)*MAX('Inputs'!$B$33,'Inputs'!$B$29+'Inputs'!$B$31+'Inputs'!$B$32,'Inputs'!$B$30+'Inputs'!$B$31+'Inputs'!$B$32)/1000+'Inputs'!$B$21+'Inputs'!$B$9+'Inputs'!$B$10)+'Inputs'!$B$7)/SQRT((((498-43)*MAX('Inputs'!$B$33,'Inputs'!$B$29+'Inputs'!$B$31+'Inputs'!$B$32,'Inputs'!$B$30+'Inputs'!$B$31+'Inputs'!$B$32)/1000+'Inputs'!$B$21+'Inputs'!$B$9+'Inputs'!$B$10)+'Inputs'!$B$7)^2+('Inputs'!$B$6/2)^2)-(((498-43)*MAX('Inputs'!$B$33,'Inputs'!$B$29+'Inputs'!$B$31+'Inputs'!$B$32,'Inputs'!$B$30+'Inputs'!$B$31+'Inputs'!$B$32)/1000+'Inputs'!$B$21+'Inputs'!$B$9+'Inputs'!$B$10))/SQRT((((498-43)*MAX('Inputs'!$B$33,'Inputs'!$B$29+'Inputs'!$B$31+'Inputs'!$B$32,'Inputs'!$B$30+'Inputs'!$B$31+'Inputs'!$B$32)/1000+'Inputs'!$B$21+'Inputs'!$B$9+'Inputs'!$B$10))^2+('Inputs'!$B$6/2)^2))))*'Results'!$B$8)-'Inputs'!$B$28*ABS((('Results'!C7*(1-'Inputs'!$B$24)*(0.5*((((498-43)*MAX('Inputs'!$B$33,'Inputs'!$B$29+'Inputs'!$B$31+'Inputs'!$B$32,'Inputs'!$B$30+'Inputs'!$B$31+'Inputs'!$B$32)/1000+'Inputs'!$B$21)+'Inputs'!$B$9)/SQRT((((498-43)*MAX('Inputs'!$B$33,'Inputs'!$B$29+'Inputs'!$B$31+'Inputs'!$B$32,'Inputs'!$B$30+'Inputs'!$B$31+'Inputs'!$B$32)/1000+'Inputs'!$B$21)+'Inputs'!$B$9)^2+('Inputs'!$B$8/2)^2)-(((498-43)*MAX('Inputs'!$B$33,'Inputs'!$B$29+'Inputs'!$B$31+'Inputs'!$B$32,'Inputs'!$B$30+'Inputs'!$B$31+'Inputs'!$B$32)/1000+'Inputs'!$B$21))/SQRT((((498-43)*MAX('Inputs'!$B$33,'Inputs'!$B$29+'Inputs'!$B$31+'Inputs'!$B$32,'Inputs'!$B$30+'Inputs'!$B$31+'Inputs'!$B$32)/1000+'Inputs'!$B$21))^2+('Inputs'!$B$8/2)^2)))-'Results'!B7*(1+'Inputs'!$B$24)*(0.5*((((498-43)*MAX('Inputs'!$B$33,'Inputs'!$B$29+'Inputs'!$B$31+'Inputs'!$B$32,'Inputs'!$B$30+'Inputs'!$B$31+'Inputs'!$B$32)/1000+'Inputs'!$B$21+'Inputs'!$B$9+'Inputs'!$B$10)+'Inputs'!$B$7)/SQRT((((498-43)*MAX('Inputs'!$B$33,'Inputs'!$B$29+'Inputs'!$B$31+'Inputs'!$B$32,'Inputs'!$B$30+'Inputs'!$B$31+'Inputs'!$B$32)/1000+'Inputs'!$B$21+'Inputs'!$B$9+'Inputs'!$B$10)+'Inputs'!$B$7)^2+('Inputs'!$B$6/2)^2)-(((498-43)*MAX('Inputs'!$B$33,'Inputs'!$B$29+'Inputs'!$B$31+'Inputs'!$B$32,'Inputs'!$B$30+'Inputs'!$B$31+'Inputs'!$B$32)/1000+'Inputs'!$B$21+'Inputs'!$B$9+'Inputs'!$B$10))/SQRT((((498-43)*MAX('Inputs'!$B$33,'Inputs'!$B$29+'Inputs'!$B$31+'Inputs'!$B$32,'Inputs'!$B$30+'Inputs'!$B$31+'Inputs'!$B$32)/1000+'Inputs'!$B$21+'Inputs'!$B$9+'Inputs'!$B$10))^2+('Inputs'!$B$6/2)^2))))*'Results'!$B$8))),"")</x:f>
        <x:v>4.77698227456722</x:v>
      </x:c>
      <x:c r="O498" t="n">
        <x:f>IF(AND(ISNUMBER('Results'!C7),ISNUMBER('Results'!B7),ISNUMBER('Results'!$B$8),ISNUMBER('Inputs'!$B$6),ISNUMBER('Inputs'!$B$7),ISNUMBER('Inputs'!$B$8),ISNUMBER('Inputs'!$B$9),ISNUMBER('Inputs'!$B$10),ISNUMBER('Inputs'!$B$21),ISNUMBER('Inputs'!$B$24),ISNUMBER('Inputs'!$B$28)),((('Results'!C7*(1+'Inputs'!$B$24)*(0.5*((((498-43)*MAX('Inputs'!$B$33,'Inputs'!$B$29+'Inputs'!$B$31+'Inputs'!$B$32,'Inputs'!$B$30+'Inputs'!$B$31+'Inputs'!$B$32)/1000+'Inputs'!$B$21)+'Inputs'!$B$9)/SQRT((((498-43)*MAX('Inputs'!$B$33,'Inputs'!$B$29+'Inputs'!$B$31+'Inputs'!$B$32,'Inputs'!$B$30+'Inputs'!$B$31+'Inputs'!$B$32)/1000+'Inputs'!$B$21)+'Inputs'!$B$9)^2+('Inputs'!$B$8/2)^2)-(((498-43)*MAX('Inputs'!$B$33,'Inputs'!$B$29+'Inputs'!$B$31+'Inputs'!$B$32,'Inputs'!$B$30+'Inputs'!$B$31+'Inputs'!$B$32)/1000+'Inputs'!$B$21))/SQRT((((498-43)*MAX('Inputs'!$B$33,'Inputs'!$B$29+'Inputs'!$B$31+'Inputs'!$B$32,'Inputs'!$B$30+'Inputs'!$B$31+'Inputs'!$B$32)/1000+'Inputs'!$B$21))^2+('Inputs'!$B$8/2)^2)))-'Results'!B7*(1-'Inputs'!$B$24)*(0.5*((((498-43)*MAX('Inputs'!$B$33,'Inputs'!$B$29+'Inputs'!$B$31+'Inputs'!$B$32,'Inputs'!$B$30+'Inputs'!$B$31+'Inputs'!$B$32)/1000+'Inputs'!$B$21+'Inputs'!$B$9+'Inputs'!$B$10)+'Inputs'!$B$7)/SQRT((((498-43)*MAX('Inputs'!$B$33,'Inputs'!$B$29+'Inputs'!$B$31+'Inputs'!$B$32,'Inputs'!$B$30+'Inputs'!$B$31+'Inputs'!$B$32)/1000+'Inputs'!$B$21+'Inputs'!$B$9+'Inputs'!$B$10)+'Inputs'!$B$7)^2+('Inputs'!$B$6/2)^2)-(((498-43)*MAX('Inputs'!$B$33,'Inputs'!$B$29+'Inputs'!$B$31+'Inputs'!$B$32,'Inputs'!$B$30+'Inputs'!$B$31+'Inputs'!$B$32)/1000+'Inputs'!$B$21+'Inputs'!$B$9+'Inputs'!$B$10))/SQRT((((498-43)*MAX('Inputs'!$B$33,'Inputs'!$B$29+'Inputs'!$B$31+'Inputs'!$B$32,'Inputs'!$B$30+'Inputs'!$B$31+'Inputs'!$B$32)/1000+'Inputs'!$B$21+'Inputs'!$B$9+'Inputs'!$B$10))^2+('Inputs'!$B$6/2)^2))))*'Results'!$B$8)+'Inputs'!$B$28*ABS((('Results'!C7*(1+'Inputs'!$B$24)*(0.5*((((498-43)*MAX('Inputs'!$B$33,'Inputs'!$B$29+'Inputs'!$B$31+'Inputs'!$B$32,'Inputs'!$B$30+'Inputs'!$B$31+'Inputs'!$B$32)/1000+'Inputs'!$B$21)+'Inputs'!$B$9)/SQRT((((498-43)*MAX('Inputs'!$B$33,'Inputs'!$B$29+'Inputs'!$B$31+'Inputs'!$B$32,'Inputs'!$B$30+'Inputs'!$B$31+'Inputs'!$B$32)/1000+'Inputs'!$B$21)+'Inputs'!$B$9)^2+('Inputs'!$B$8/2)^2)-(((498-43)*MAX('Inputs'!$B$33,'Inputs'!$B$29+'Inputs'!$B$31+'Inputs'!$B$32,'Inputs'!$B$30+'Inputs'!$B$31+'Inputs'!$B$32)/1000+'Inputs'!$B$21))/SQRT((((498-43)*MAX('Inputs'!$B$33,'Inputs'!$B$29+'Inputs'!$B$31+'Inputs'!$B$32,'Inputs'!$B$30+'Inputs'!$B$31+'Inputs'!$B$32)/1000+'Inputs'!$B$21))^2+('Inputs'!$B$8/2)^2)))-'Results'!B7*(1-'Inputs'!$B$24)*(0.5*((((498-43)*MAX('Inputs'!$B$33,'Inputs'!$B$29+'Inputs'!$B$31+'Inputs'!$B$32,'Inputs'!$B$30+'Inputs'!$B$31+'Inputs'!$B$32)/1000+'Inputs'!$B$21+'Inputs'!$B$9+'Inputs'!$B$10)+'Inputs'!$B$7)/SQRT((((498-43)*MAX('Inputs'!$B$33,'Inputs'!$B$29+'Inputs'!$B$31+'Inputs'!$B$32,'Inputs'!$B$30+'Inputs'!$B$31+'Inputs'!$B$32)/1000+'Inputs'!$B$21+'Inputs'!$B$9+'Inputs'!$B$10)+'Inputs'!$B$7)^2+('Inputs'!$B$6/2)^2)-(((498-43)*MAX('Inputs'!$B$33,'Inputs'!$B$29+'Inputs'!$B$31+'Inputs'!$B$32,'Inputs'!$B$30+'Inputs'!$B$31+'Inputs'!$B$32)/1000+'Inputs'!$B$21+'Inputs'!$B$9+'Inputs'!$B$10))/SQRT((((498-43)*MAX('Inputs'!$B$33,'Inputs'!$B$29+'Inputs'!$B$31+'Inputs'!$B$32,'Inputs'!$B$30+'Inputs'!$B$31+'Inputs'!$B$32)/1000+'Inputs'!$B$21+'Inputs'!$B$9+'Inputs'!$B$10))^2+('Inputs'!$B$6/2)^2))))*'Results'!$B$8))),"")</x:f>
        <x:v>6.03839794539944</x:v>
      </x:c>
      <x:c r="P498" t="n">
        <x:f>IF(AND(MAX(J498,J497)&gt;0,J498&gt;J497+0.00000001),1,0)</x:f>
        <x:v>0</x:v>
      </x:c>
      <x:c r="Q498" t="n">
        <x:f>IF(AND(MAX(K498,K497)&gt;0,K498&gt;K497+0.00000001),1,0)</x:f>
        <x:v>0</x:v>
      </x:c>
      <x:c r="R498" t="n">
        <x:f>IF(AND(MAX(L498,L497)&gt;0,L498&gt;L497+0.00000001),1,0)</x:f>
        <x:v>0</x:v>
      </x:c>
      <x:c r="S498" t="n">
        <x:f>IF(AND(MAX(M498,M497)&gt;0,M498&gt;M497+0.00000001),1,0)</x:f>
        <x:v>0</x:v>
      </x:c>
      <x:c r="T498" t="n">
        <x:f>IF(AND(MAX(N498,N497)&gt;0,N498&gt;N497+0.00000001),1,0)</x:f>
        <x:v>0</x:v>
      </x:c>
      <x:c r="U498" t="n">
        <x:f>IF(AND(MAX(O498,O497)&gt;0,O498&gt;O497+0.00000001),1,0)</x:f>
        <x:v>0</x:v>
      </x:c>
    </x:row>
    <x:row r="499">
      <x:c r="J499" t="n">
        <x:f>IF(AND(ISNUMBER('Results'!B7),ISNUMBER('Results'!C7),ISNUMBER('Results'!$B$8),ISNUMBER('Inputs'!$B$6),ISNUMBER('Inputs'!$B$7),ISNUMBER('Inputs'!$B$8),ISNUMBER('Inputs'!$B$9),ISNUMBER('Inputs'!$B$10),ISNUMBER('Inputs'!$B$21),ISNUMBER('Inputs'!$B$24),ISNUMBER('Inputs'!$B$28)),(('Results'!B7*(0.5*((((499-43)*MAX('Inputs'!$B$33,'Inputs'!$B$29+'Inputs'!$B$31+'Inputs'!$B$32,'Inputs'!$B$30+'Inputs'!$B$31+'Inputs'!$B$32)/1000+'Inputs'!$B$21)+'Inputs'!$B$7)/SQRT((((499-43)*MAX('Inputs'!$B$33,'Inputs'!$B$29+'Inputs'!$B$31+'Inputs'!$B$32,'Inputs'!$B$30+'Inputs'!$B$31+'Inputs'!$B$32)/1000+'Inputs'!$B$21)+'Inputs'!$B$7)^2+('Inputs'!$B$6/2)^2)-(((499-43)*MAX('Inputs'!$B$33,'Inputs'!$B$29+'Inputs'!$B$31+'Inputs'!$B$32,'Inputs'!$B$30+'Inputs'!$B$31+'Inputs'!$B$32)/1000+'Inputs'!$B$21))/SQRT((((499-43)*MAX('Inputs'!$B$33,'Inputs'!$B$29+'Inputs'!$B$31+'Inputs'!$B$32,'Inputs'!$B$30+'Inputs'!$B$31+'Inputs'!$B$32)/1000+'Inputs'!$B$21))^2+('Inputs'!$B$6/2)^2)))-'Results'!C7*(0.5*((((499-43)*MAX('Inputs'!$B$33,'Inputs'!$B$29+'Inputs'!$B$31+'Inputs'!$B$32,'Inputs'!$B$30+'Inputs'!$B$31+'Inputs'!$B$32)/1000+'Inputs'!$B$21+'Inputs'!$B$7+'Inputs'!$B$10)+'Inputs'!$B$9)/SQRT((((499-43)*MAX('Inputs'!$B$33,'Inputs'!$B$29+'Inputs'!$B$31+'Inputs'!$B$32,'Inputs'!$B$30+'Inputs'!$B$31+'Inputs'!$B$32)/1000+'Inputs'!$B$21+'Inputs'!$B$7+'Inputs'!$B$10)+'Inputs'!$B$9)^2+('Inputs'!$B$8/2)^2)-(((499-43)*MAX('Inputs'!$B$33,'Inputs'!$B$29+'Inputs'!$B$31+'Inputs'!$B$32,'Inputs'!$B$30+'Inputs'!$B$31+'Inputs'!$B$32)/1000+'Inputs'!$B$21+'Inputs'!$B$7+'Inputs'!$B$10))/SQRT((((499-43)*MAX('Inputs'!$B$33,'Inputs'!$B$29+'Inputs'!$B$31+'Inputs'!$B$32,'Inputs'!$B$30+'Inputs'!$B$31+'Inputs'!$B$32)/1000+'Inputs'!$B$21+'Inputs'!$B$7+'Inputs'!$B$10))^2+('Inputs'!$B$8/2)^2))))*'Results'!$B$8),"")</x:f>
        <x:v>5.713223601308455</x:v>
      </x:c>
      <x:c r="K499" t="n">
        <x:f>IF(AND(ISNUMBER('Results'!B7),ISNUMBER('Results'!C7),ISNUMBER('Results'!$B$8),ISNUMBER('Inputs'!$B$6),ISNUMBER('Inputs'!$B$7),ISNUMBER('Inputs'!$B$8),ISNUMBER('Inputs'!$B$9),ISNUMBER('Inputs'!$B$10),ISNUMBER('Inputs'!$B$21),ISNUMBER('Inputs'!$B$24),ISNUMBER('Inputs'!$B$28)),((('Results'!B7*(1-'Inputs'!$B$24)*(0.5*((((499-43)*MAX('Inputs'!$B$33,'Inputs'!$B$29+'Inputs'!$B$31+'Inputs'!$B$32,'Inputs'!$B$30+'Inputs'!$B$31+'Inputs'!$B$32)/1000+'Inputs'!$B$21)+'Inputs'!$B$7)/SQRT((((499-43)*MAX('Inputs'!$B$33,'Inputs'!$B$29+'Inputs'!$B$31+'Inputs'!$B$32,'Inputs'!$B$30+'Inputs'!$B$31+'Inputs'!$B$32)/1000+'Inputs'!$B$21)+'Inputs'!$B$7)^2+('Inputs'!$B$6/2)^2)-(((499-43)*MAX('Inputs'!$B$33,'Inputs'!$B$29+'Inputs'!$B$31+'Inputs'!$B$32,'Inputs'!$B$30+'Inputs'!$B$31+'Inputs'!$B$32)/1000+'Inputs'!$B$21))/SQRT((((499-43)*MAX('Inputs'!$B$33,'Inputs'!$B$29+'Inputs'!$B$31+'Inputs'!$B$32,'Inputs'!$B$30+'Inputs'!$B$31+'Inputs'!$B$32)/1000+'Inputs'!$B$21))^2+('Inputs'!$B$6/2)^2)))-'Results'!C7*(1+'Inputs'!$B$24)*(0.5*((((499-43)*MAX('Inputs'!$B$33,'Inputs'!$B$29+'Inputs'!$B$31+'Inputs'!$B$32,'Inputs'!$B$30+'Inputs'!$B$31+'Inputs'!$B$32)/1000+'Inputs'!$B$21+'Inputs'!$B$7+'Inputs'!$B$10)+'Inputs'!$B$9)/SQRT((((499-43)*MAX('Inputs'!$B$33,'Inputs'!$B$29+'Inputs'!$B$31+'Inputs'!$B$32,'Inputs'!$B$30+'Inputs'!$B$31+'Inputs'!$B$32)/1000+'Inputs'!$B$21+'Inputs'!$B$7+'Inputs'!$B$10)+'Inputs'!$B$9)^2+('Inputs'!$B$8/2)^2)-(((499-43)*MAX('Inputs'!$B$33,'Inputs'!$B$29+'Inputs'!$B$31+'Inputs'!$B$32,'Inputs'!$B$30+'Inputs'!$B$31+'Inputs'!$B$32)/1000+'Inputs'!$B$21+'Inputs'!$B$7+'Inputs'!$B$10))/SQRT((((499-43)*MAX('Inputs'!$B$33,'Inputs'!$B$29+'Inputs'!$B$31+'Inputs'!$B$32,'Inputs'!$B$30+'Inputs'!$B$31+'Inputs'!$B$32)/1000+'Inputs'!$B$21+'Inputs'!$B$7+'Inputs'!$B$10))^2+('Inputs'!$B$8/2)^2))))*'Results'!$B$8)-'Inputs'!$B$28*ABS((('Results'!B7*(1-'Inputs'!$B$24)*(0.5*((((499-43)*MAX('Inputs'!$B$33,'Inputs'!$B$29+'Inputs'!$B$31+'Inputs'!$B$32,'Inputs'!$B$30+'Inputs'!$B$31+'Inputs'!$B$32)/1000+'Inputs'!$B$21)+'Inputs'!$B$7)/SQRT((((499-43)*MAX('Inputs'!$B$33,'Inputs'!$B$29+'Inputs'!$B$31+'Inputs'!$B$32,'Inputs'!$B$30+'Inputs'!$B$31+'Inputs'!$B$32)/1000+'Inputs'!$B$21)+'Inputs'!$B$7)^2+('Inputs'!$B$6/2)^2)-(((499-43)*MAX('Inputs'!$B$33,'Inputs'!$B$29+'Inputs'!$B$31+'Inputs'!$B$32,'Inputs'!$B$30+'Inputs'!$B$31+'Inputs'!$B$32)/1000+'Inputs'!$B$21))/SQRT((((499-43)*MAX('Inputs'!$B$33,'Inputs'!$B$29+'Inputs'!$B$31+'Inputs'!$B$32,'Inputs'!$B$30+'Inputs'!$B$31+'Inputs'!$B$32)/1000+'Inputs'!$B$21))^2+('Inputs'!$B$6/2)^2)))-'Results'!C7*(1+'Inputs'!$B$24)*(0.5*((((499-43)*MAX('Inputs'!$B$33,'Inputs'!$B$29+'Inputs'!$B$31+'Inputs'!$B$32,'Inputs'!$B$30+'Inputs'!$B$31+'Inputs'!$B$32)/1000+'Inputs'!$B$21+'Inputs'!$B$7+'Inputs'!$B$10)+'Inputs'!$B$9)/SQRT((((499-43)*MAX('Inputs'!$B$33,'Inputs'!$B$29+'Inputs'!$B$31+'Inputs'!$B$32,'Inputs'!$B$30+'Inputs'!$B$31+'Inputs'!$B$32)/1000+'Inputs'!$B$21+'Inputs'!$B$7+'Inputs'!$B$10)+'Inputs'!$B$9)^2+('Inputs'!$B$8/2)^2)-(((499-43)*MAX('Inputs'!$B$33,'Inputs'!$B$29+'Inputs'!$B$31+'Inputs'!$B$32,'Inputs'!$B$30+'Inputs'!$B$31+'Inputs'!$B$32)/1000+'Inputs'!$B$21+'Inputs'!$B$7+'Inputs'!$B$10))/SQRT((((499-43)*MAX('Inputs'!$B$33,'Inputs'!$B$29+'Inputs'!$B$31+'Inputs'!$B$32,'Inputs'!$B$30+'Inputs'!$B$31+'Inputs'!$B$32)/1000+'Inputs'!$B$21+'Inputs'!$B$7+'Inputs'!$B$10))^2+('Inputs'!$B$8/2)^2))))*'Results'!$B$8))),"")</x:f>
        <x:v>5.084241351752247</x:v>
      </x:c>
      <x:c r="L499" t="n">
        <x:f>IF(AND(ISNUMBER('Results'!B7),ISNUMBER('Results'!C7),ISNUMBER('Results'!$B$8),ISNUMBER('Inputs'!$B$6),ISNUMBER('Inputs'!$B$7),ISNUMBER('Inputs'!$B$8),ISNUMBER('Inputs'!$B$9),ISNUMBER('Inputs'!$B$10),ISNUMBER('Inputs'!$B$21),ISNUMBER('Inputs'!$B$24),ISNUMBER('Inputs'!$B$28)),((('Results'!B7*(1+'Inputs'!$B$24)*(0.5*((((499-43)*MAX('Inputs'!$B$33,'Inputs'!$B$29+'Inputs'!$B$31+'Inputs'!$B$32,'Inputs'!$B$30+'Inputs'!$B$31+'Inputs'!$B$32)/1000+'Inputs'!$B$21)+'Inputs'!$B$7)/SQRT((((499-43)*MAX('Inputs'!$B$33,'Inputs'!$B$29+'Inputs'!$B$31+'Inputs'!$B$32,'Inputs'!$B$30+'Inputs'!$B$31+'Inputs'!$B$32)/1000+'Inputs'!$B$21)+'Inputs'!$B$7)^2+('Inputs'!$B$6/2)^2)-(((499-43)*MAX('Inputs'!$B$33,'Inputs'!$B$29+'Inputs'!$B$31+'Inputs'!$B$32,'Inputs'!$B$30+'Inputs'!$B$31+'Inputs'!$B$32)/1000+'Inputs'!$B$21))/SQRT((((499-43)*MAX('Inputs'!$B$33,'Inputs'!$B$29+'Inputs'!$B$31+'Inputs'!$B$32,'Inputs'!$B$30+'Inputs'!$B$31+'Inputs'!$B$32)/1000+'Inputs'!$B$21))^2+('Inputs'!$B$6/2)^2)))-'Results'!C7*(1-'Inputs'!$B$24)*(0.5*((((499-43)*MAX('Inputs'!$B$33,'Inputs'!$B$29+'Inputs'!$B$31+'Inputs'!$B$32,'Inputs'!$B$30+'Inputs'!$B$31+'Inputs'!$B$32)/1000+'Inputs'!$B$21+'Inputs'!$B$7+'Inputs'!$B$10)+'Inputs'!$B$9)/SQRT((((499-43)*MAX('Inputs'!$B$33,'Inputs'!$B$29+'Inputs'!$B$31+'Inputs'!$B$32,'Inputs'!$B$30+'Inputs'!$B$31+'Inputs'!$B$32)/1000+'Inputs'!$B$21+'Inputs'!$B$7+'Inputs'!$B$10)+'Inputs'!$B$9)^2+('Inputs'!$B$8/2)^2)-(((499-43)*MAX('Inputs'!$B$33,'Inputs'!$B$29+'Inputs'!$B$31+'Inputs'!$B$32,'Inputs'!$B$30+'Inputs'!$B$31+'Inputs'!$B$32)/1000+'Inputs'!$B$21+'Inputs'!$B$7+'Inputs'!$B$10))/SQRT((((499-43)*MAX('Inputs'!$B$33,'Inputs'!$B$29+'Inputs'!$B$31+'Inputs'!$B$32,'Inputs'!$B$30+'Inputs'!$B$31+'Inputs'!$B$32)/1000+'Inputs'!$B$21+'Inputs'!$B$7+'Inputs'!$B$10))^2+('Inputs'!$B$8/2)^2))))*'Results'!$B$8)+'Inputs'!$B$28*ABS((('Results'!B7*(1+'Inputs'!$B$24)*(0.5*((((499-43)*MAX('Inputs'!$B$33,'Inputs'!$B$29+'Inputs'!$B$31+'Inputs'!$B$32,'Inputs'!$B$30+'Inputs'!$B$31+'Inputs'!$B$32)/1000+'Inputs'!$B$21)+'Inputs'!$B$7)/SQRT((((499-43)*MAX('Inputs'!$B$33,'Inputs'!$B$29+'Inputs'!$B$31+'Inputs'!$B$32,'Inputs'!$B$30+'Inputs'!$B$31+'Inputs'!$B$32)/1000+'Inputs'!$B$21)+'Inputs'!$B$7)^2+('Inputs'!$B$6/2)^2)-(((499-43)*MAX('Inputs'!$B$33,'Inputs'!$B$29+'Inputs'!$B$31+'Inputs'!$B$32,'Inputs'!$B$30+'Inputs'!$B$31+'Inputs'!$B$32)/1000+'Inputs'!$B$21))/SQRT((((499-43)*MAX('Inputs'!$B$33,'Inputs'!$B$29+'Inputs'!$B$31+'Inputs'!$B$32,'Inputs'!$B$30+'Inputs'!$B$31+'Inputs'!$B$32)/1000+'Inputs'!$B$21))^2+('Inputs'!$B$6/2)^2)))-'Results'!C7*(1-'Inputs'!$B$24)*(0.5*((((499-43)*MAX('Inputs'!$B$33,'Inputs'!$B$29+'Inputs'!$B$31+'Inputs'!$B$32,'Inputs'!$B$30+'Inputs'!$B$31+'Inputs'!$B$32)/1000+'Inputs'!$B$21+'Inputs'!$B$7+'Inputs'!$B$10)+'Inputs'!$B$9)/SQRT((((499-43)*MAX('Inputs'!$B$33,'Inputs'!$B$29+'Inputs'!$B$31+'Inputs'!$B$32,'Inputs'!$B$30+'Inputs'!$B$31+'Inputs'!$B$32)/1000+'Inputs'!$B$21+'Inputs'!$B$7+'Inputs'!$B$10)+'Inputs'!$B$9)^2+('Inputs'!$B$8/2)^2)-(((499-43)*MAX('Inputs'!$B$33,'Inputs'!$B$29+'Inputs'!$B$31+'Inputs'!$B$32,'Inputs'!$B$30+'Inputs'!$B$31+'Inputs'!$B$32)/1000+'Inputs'!$B$21+'Inputs'!$B$7+'Inputs'!$B$10))/SQRT((((499-43)*MAX('Inputs'!$B$33,'Inputs'!$B$29+'Inputs'!$B$31+'Inputs'!$B$32,'Inputs'!$B$30+'Inputs'!$B$31+'Inputs'!$B$32)/1000+'Inputs'!$B$21+'Inputs'!$B$7+'Inputs'!$B$10))^2+('Inputs'!$B$8/2)^2))))*'Results'!$B$8))),"")</x:f>
        <x:v>6.378344910811058</x:v>
      </x:c>
      <x:c r="M499" t="n">
        <x:f>IF(AND(ISNUMBER('Results'!C7),ISNUMBER('Results'!B7),ISNUMBER('Results'!$B$8),ISNUMBER('Inputs'!$B$6),ISNUMBER('Inputs'!$B$7),ISNUMBER('Inputs'!$B$8),ISNUMBER('Inputs'!$B$9),ISNUMBER('Inputs'!$B$10),ISNUMBER('Inputs'!$B$21),ISNUMBER('Inputs'!$B$24),ISNUMBER('Inputs'!$B$28)),(('Results'!C7*(0.5*((((499-43)*MAX('Inputs'!$B$33,'Inputs'!$B$29+'Inputs'!$B$31+'Inputs'!$B$32,'Inputs'!$B$30+'Inputs'!$B$31+'Inputs'!$B$32)/1000+'Inputs'!$B$21)+'Inputs'!$B$9)/SQRT((((499-43)*MAX('Inputs'!$B$33,'Inputs'!$B$29+'Inputs'!$B$31+'Inputs'!$B$32,'Inputs'!$B$30+'Inputs'!$B$31+'Inputs'!$B$32)/1000+'Inputs'!$B$21)+'Inputs'!$B$9)^2+('Inputs'!$B$8/2)^2)-(((499-43)*MAX('Inputs'!$B$33,'Inputs'!$B$29+'Inputs'!$B$31+'Inputs'!$B$32,'Inputs'!$B$30+'Inputs'!$B$31+'Inputs'!$B$32)/1000+'Inputs'!$B$21))/SQRT((((499-43)*MAX('Inputs'!$B$33,'Inputs'!$B$29+'Inputs'!$B$31+'Inputs'!$B$32,'Inputs'!$B$30+'Inputs'!$B$31+'Inputs'!$B$32)/1000+'Inputs'!$B$21))^2+('Inputs'!$B$8/2)^2)))-'Results'!B7*(0.5*((((499-43)*MAX('Inputs'!$B$33,'Inputs'!$B$29+'Inputs'!$B$31+'Inputs'!$B$32,'Inputs'!$B$30+'Inputs'!$B$31+'Inputs'!$B$32)/1000+'Inputs'!$B$21+'Inputs'!$B$9+'Inputs'!$B$10)+'Inputs'!$B$7)/SQRT((((499-43)*MAX('Inputs'!$B$33,'Inputs'!$B$29+'Inputs'!$B$31+'Inputs'!$B$32,'Inputs'!$B$30+'Inputs'!$B$31+'Inputs'!$B$32)/1000+'Inputs'!$B$21+'Inputs'!$B$9+'Inputs'!$B$10)+'Inputs'!$B$7)^2+('Inputs'!$B$6/2)^2)-(((499-43)*MAX('Inputs'!$B$33,'Inputs'!$B$29+'Inputs'!$B$31+'Inputs'!$B$32,'Inputs'!$B$30+'Inputs'!$B$31+'Inputs'!$B$32)/1000+'Inputs'!$B$21+'Inputs'!$B$9+'Inputs'!$B$10))/SQRT((((499-43)*MAX('Inputs'!$B$33,'Inputs'!$B$29+'Inputs'!$B$31+'Inputs'!$B$32,'Inputs'!$B$30+'Inputs'!$B$31+'Inputs'!$B$32)/1000+'Inputs'!$B$21+'Inputs'!$B$9+'Inputs'!$B$10))^2+('Inputs'!$B$6/2)^2))))*'Results'!$B$8),"")</x:f>
        <x:v>5.349311306666535</x:v>
      </x:c>
      <x:c r="N499" t="n">
        <x:f>IF(AND(ISNUMBER('Results'!C7),ISNUMBER('Results'!B7),ISNUMBER('Results'!$B$8),ISNUMBER('Inputs'!$B$6),ISNUMBER('Inputs'!$B$7),ISNUMBER('Inputs'!$B$8),ISNUMBER('Inputs'!$B$9),ISNUMBER('Inputs'!$B$10),ISNUMBER('Inputs'!$B$21),ISNUMBER('Inputs'!$B$24),ISNUMBER('Inputs'!$B$28)),((('Results'!C7*(1-'Inputs'!$B$24)*(0.5*((((499-43)*MAX('Inputs'!$B$33,'Inputs'!$B$29+'Inputs'!$B$31+'Inputs'!$B$32,'Inputs'!$B$30+'Inputs'!$B$31+'Inputs'!$B$32)/1000+'Inputs'!$B$21)+'Inputs'!$B$9)/SQRT((((499-43)*MAX('Inputs'!$B$33,'Inputs'!$B$29+'Inputs'!$B$31+'Inputs'!$B$32,'Inputs'!$B$30+'Inputs'!$B$31+'Inputs'!$B$32)/1000+'Inputs'!$B$21)+'Inputs'!$B$9)^2+('Inputs'!$B$8/2)^2)-(((499-43)*MAX('Inputs'!$B$33,'Inputs'!$B$29+'Inputs'!$B$31+'Inputs'!$B$32,'Inputs'!$B$30+'Inputs'!$B$31+'Inputs'!$B$32)/1000+'Inputs'!$B$21))/SQRT((((499-43)*MAX('Inputs'!$B$33,'Inputs'!$B$29+'Inputs'!$B$31+'Inputs'!$B$32,'Inputs'!$B$30+'Inputs'!$B$31+'Inputs'!$B$32)/1000+'Inputs'!$B$21))^2+('Inputs'!$B$8/2)^2)))-'Results'!B7*(1+'Inputs'!$B$24)*(0.5*((((499-43)*MAX('Inputs'!$B$33,'Inputs'!$B$29+'Inputs'!$B$31+'Inputs'!$B$32,'Inputs'!$B$30+'Inputs'!$B$31+'Inputs'!$B$32)/1000+'Inputs'!$B$21+'Inputs'!$B$9+'Inputs'!$B$10)+'Inputs'!$B$7)/SQRT((((499-43)*MAX('Inputs'!$B$33,'Inputs'!$B$29+'Inputs'!$B$31+'Inputs'!$B$32,'Inputs'!$B$30+'Inputs'!$B$31+'Inputs'!$B$32)/1000+'Inputs'!$B$21+'Inputs'!$B$9+'Inputs'!$B$10)+'Inputs'!$B$7)^2+('Inputs'!$B$6/2)^2)-(((499-43)*MAX('Inputs'!$B$33,'Inputs'!$B$29+'Inputs'!$B$31+'Inputs'!$B$32,'Inputs'!$B$30+'Inputs'!$B$31+'Inputs'!$B$32)/1000+'Inputs'!$B$21+'Inputs'!$B$9+'Inputs'!$B$10))/SQRT((((499-43)*MAX('Inputs'!$B$33,'Inputs'!$B$29+'Inputs'!$B$31+'Inputs'!$B$32,'Inputs'!$B$30+'Inputs'!$B$31+'Inputs'!$B$32)/1000+'Inputs'!$B$21+'Inputs'!$B$9+'Inputs'!$B$10))^2+('Inputs'!$B$6/2)^2))))*'Results'!$B$8)-'Inputs'!$B$28*ABS((('Results'!C7*(1-'Inputs'!$B$24)*(0.5*((((499-43)*MAX('Inputs'!$B$33,'Inputs'!$B$29+'Inputs'!$B$31+'Inputs'!$B$32,'Inputs'!$B$30+'Inputs'!$B$31+'Inputs'!$B$32)/1000+'Inputs'!$B$21)+'Inputs'!$B$9)/SQRT((((499-43)*MAX('Inputs'!$B$33,'Inputs'!$B$29+'Inputs'!$B$31+'Inputs'!$B$32,'Inputs'!$B$30+'Inputs'!$B$31+'Inputs'!$B$32)/1000+'Inputs'!$B$21)+'Inputs'!$B$9)^2+('Inputs'!$B$8/2)^2)-(((499-43)*MAX('Inputs'!$B$33,'Inputs'!$B$29+'Inputs'!$B$31+'Inputs'!$B$32,'Inputs'!$B$30+'Inputs'!$B$31+'Inputs'!$B$32)/1000+'Inputs'!$B$21))/SQRT((((499-43)*MAX('Inputs'!$B$33,'Inputs'!$B$29+'Inputs'!$B$31+'Inputs'!$B$32,'Inputs'!$B$30+'Inputs'!$B$31+'Inputs'!$B$32)/1000+'Inputs'!$B$21))^2+('Inputs'!$B$8/2)^2)))-'Results'!B7*(1+'Inputs'!$B$24)*(0.5*((((499-43)*MAX('Inputs'!$B$33,'Inputs'!$B$29+'Inputs'!$B$31+'Inputs'!$B$32,'Inputs'!$B$30+'Inputs'!$B$31+'Inputs'!$B$32)/1000+'Inputs'!$B$21+'Inputs'!$B$9+'Inputs'!$B$10)+'Inputs'!$B$7)/SQRT((((499-43)*MAX('Inputs'!$B$33,'Inputs'!$B$29+'Inputs'!$B$31+'Inputs'!$B$32,'Inputs'!$B$30+'Inputs'!$B$31+'Inputs'!$B$32)/1000+'Inputs'!$B$21+'Inputs'!$B$9+'Inputs'!$B$10)+'Inputs'!$B$7)^2+('Inputs'!$B$6/2)^2)-(((499-43)*MAX('Inputs'!$B$33,'Inputs'!$B$29+'Inputs'!$B$31+'Inputs'!$B$32,'Inputs'!$B$30+'Inputs'!$B$31+'Inputs'!$B$32)/1000+'Inputs'!$B$21+'Inputs'!$B$9+'Inputs'!$B$10))/SQRT((((499-43)*MAX('Inputs'!$B$33,'Inputs'!$B$29+'Inputs'!$B$31+'Inputs'!$B$32,'Inputs'!$B$30+'Inputs'!$B$31+'Inputs'!$B$32)/1000+'Inputs'!$B$21+'Inputs'!$B$9+'Inputs'!$B$10))^2+('Inputs'!$B$6/2)^2))))*'Results'!$B$8))),"")</x:f>
        <x:v>4.740647784602541</x:v>
      </x:c>
      <x:c r="O499" t="n">
        <x:f>IF(AND(ISNUMBER('Results'!C7),ISNUMBER('Results'!B7),ISNUMBER('Results'!$B$8),ISNUMBER('Inputs'!$B$6),ISNUMBER('Inputs'!$B$7),ISNUMBER('Inputs'!$B$8),ISNUMBER('Inputs'!$B$9),ISNUMBER('Inputs'!$B$10),ISNUMBER('Inputs'!$B$21),ISNUMBER('Inputs'!$B$24),ISNUMBER('Inputs'!$B$28)),((('Results'!C7*(1+'Inputs'!$B$24)*(0.5*((((499-43)*MAX('Inputs'!$B$33,'Inputs'!$B$29+'Inputs'!$B$31+'Inputs'!$B$32,'Inputs'!$B$30+'Inputs'!$B$31+'Inputs'!$B$32)/1000+'Inputs'!$B$21)+'Inputs'!$B$9)/SQRT((((499-43)*MAX('Inputs'!$B$33,'Inputs'!$B$29+'Inputs'!$B$31+'Inputs'!$B$32,'Inputs'!$B$30+'Inputs'!$B$31+'Inputs'!$B$32)/1000+'Inputs'!$B$21)+'Inputs'!$B$9)^2+('Inputs'!$B$8/2)^2)-(((499-43)*MAX('Inputs'!$B$33,'Inputs'!$B$29+'Inputs'!$B$31+'Inputs'!$B$32,'Inputs'!$B$30+'Inputs'!$B$31+'Inputs'!$B$32)/1000+'Inputs'!$B$21))/SQRT((((499-43)*MAX('Inputs'!$B$33,'Inputs'!$B$29+'Inputs'!$B$31+'Inputs'!$B$32,'Inputs'!$B$30+'Inputs'!$B$31+'Inputs'!$B$32)/1000+'Inputs'!$B$21))^2+('Inputs'!$B$8/2)^2)))-'Results'!B7*(1-'Inputs'!$B$24)*(0.5*((((499-43)*MAX('Inputs'!$B$33,'Inputs'!$B$29+'Inputs'!$B$31+'Inputs'!$B$32,'Inputs'!$B$30+'Inputs'!$B$31+'Inputs'!$B$32)/1000+'Inputs'!$B$21+'Inputs'!$B$9+'Inputs'!$B$10)+'Inputs'!$B$7)/SQRT((((499-43)*MAX('Inputs'!$B$33,'Inputs'!$B$29+'Inputs'!$B$31+'Inputs'!$B$32,'Inputs'!$B$30+'Inputs'!$B$31+'Inputs'!$B$32)/1000+'Inputs'!$B$21+'Inputs'!$B$9+'Inputs'!$B$10)+'Inputs'!$B$7)^2+('Inputs'!$B$6/2)^2)-(((499-43)*MAX('Inputs'!$B$33,'Inputs'!$B$29+'Inputs'!$B$31+'Inputs'!$B$32,'Inputs'!$B$30+'Inputs'!$B$31+'Inputs'!$B$32)/1000+'Inputs'!$B$21+'Inputs'!$B$9+'Inputs'!$B$10))/SQRT((((499-43)*MAX('Inputs'!$B$33,'Inputs'!$B$29+'Inputs'!$B$31+'Inputs'!$B$32,'Inputs'!$B$30+'Inputs'!$B$31+'Inputs'!$B$32)/1000+'Inputs'!$B$21+'Inputs'!$B$9+'Inputs'!$B$10))^2+('Inputs'!$B$6/2)^2))))*'Results'!$B$8)+'Inputs'!$B$28*ABS((('Results'!C7*(1+'Inputs'!$B$24)*(0.5*((((499-43)*MAX('Inputs'!$B$33,'Inputs'!$B$29+'Inputs'!$B$31+'Inputs'!$B$32,'Inputs'!$B$30+'Inputs'!$B$31+'Inputs'!$B$32)/1000+'Inputs'!$B$21)+'Inputs'!$B$9)/SQRT((((499-43)*MAX('Inputs'!$B$33,'Inputs'!$B$29+'Inputs'!$B$31+'Inputs'!$B$32,'Inputs'!$B$30+'Inputs'!$B$31+'Inputs'!$B$32)/1000+'Inputs'!$B$21)+'Inputs'!$B$9)^2+('Inputs'!$B$8/2)^2)-(((499-43)*MAX('Inputs'!$B$33,'Inputs'!$B$29+'Inputs'!$B$31+'Inputs'!$B$32,'Inputs'!$B$30+'Inputs'!$B$31+'Inputs'!$B$32)/1000+'Inputs'!$B$21))/SQRT((((499-43)*MAX('Inputs'!$B$33,'Inputs'!$B$29+'Inputs'!$B$31+'Inputs'!$B$32,'Inputs'!$B$30+'Inputs'!$B$31+'Inputs'!$B$32)/1000+'Inputs'!$B$21))^2+('Inputs'!$B$8/2)^2)))-'Results'!B7*(1-'Inputs'!$B$24)*(0.5*((((499-43)*MAX('Inputs'!$B$33,'Inputs'!$B$29+'Inputs'!$B$31+'Inputs'!$B$32,'Inputs'!$B$30+'Inputs'!$B$31+'Inputs'!$B$32)/1000+'Inputs'!$B$21+'Inputs'!$B$9+'Inputs'!$B$10)+'Inputs'!$B$7)/SQRT((((499-43)*MAX('Inputs'!$B$33,'Inputs'!$B$29+'Inputs'!$B$31+'Inputs'!$B$32,'Inputs'!$B$30+'Inputs'!$B$31+'Inputs'!$B$32)/1000+'Inputs'!$B$21+'Inputs'!$B$9+'Inputs'!$B$10)+'Inputs'!$B$7)^2+('Inputs'!$B$6/2)^2)-(((499-43)*MAX('Inputs'!$B$33,'Inputs'!$B$29+'Inputs'!$B$31+'Inputs'!$B$32,'Inputs'!$B$30+'Inputs'!$B$31+'Inputs'!$B$32)/1000+'Inputs'!$B$21+'Inputs'!$B$9+'Inputs'!$B$10))/SQRT((((499-43)*MAX('Inputs'!$B$33,'Inputs'!$B$29+'Inputs'!$B$31+'Inputs'!$B$32,'Inputs'!$B$30+'Inputs'!$B$31+'Inputs'!$B$32)/1000+'Inputs'!$B$21+'Inputs'!$B$9+'Inputs'!$B$10))^2+('Inputs'!$B$6/2)^2))))*'Results'!$B$8))),"")</x:f>
        <x:v>5.993890403123231</x:v>
      </x:c>
      <x:c r="P499" t="n">
        <x:f>IF(AND(MAX(J499,J498)&gt;0,J499&gt;J498+0.00000001),1,0)</x:f>
        <x:v>0</x:v>
      </x:c>
      <x:c r="Q499" t="n">
        <x:f>IF(AND(MAX(K499,K498)&gt;0,K499&gt;K498+0.00000001),1,0)</x:f>
        <x:v>0</x:v>
      </x:c>
      <x:c r="R499" t="n">
        <x:f>IF(AND(MAX(L499,L498)&gt;0,L499&gt;L498+0.00000001),1,0)</x:f>
        <x:v>0</x:v>
      </x:c>
      <x:c r="S499" t="n">
        <x:f>IF(AND(MAX(M499,M498)&gt;0,M499&gt;M498+0.00000001),1,0)</x:f>
        <x:v>0</x:v>
      </x:c>
      <x:c r="T499" t="n">
        <x:f>IF(AND(MAX(N499,N498)&gt;0,N499&gt;N498+0.00000001),1,0)</x:f>
        <x:v>0</x:v>
      </x:c>
      <x:c r="U499" t="n">
        <x:f>IF(AND(MAX(O499,O498)&gt;0,O499&gt;O498+0.00000001),1,0)</x:f>
        <x:v>0</x:v>
      </x:c>
    </x:row>
    <x:row r="500">
      <x:c r="J500" t="n">
        <x:f>IF(AND(ISNUMBER('Results'!B7),ISNUMBER('Results'!C7),ISNUMBER('Results'!$B$8),ISNUMBER('Inputs'!$B$6),ISNUMBER('Inputs'!$B$7),ISNUMBER('Inputs'!$B$8),ISNUMBER('Inputs'!$B$9),ISNUMBER('Inputs'!$B$10),ISNUMBER('Inputs'!$B$21),ISNUMBER('Inputs'!$B$24),ISNUMBER('Inputs'!$B$28)),(('Results'!B7*(0.5*((((500-43)*MAX('Inputs'!$B$33,'Inputs'!$B$29+'Inputs'!$B$31+'Inputs'!$B$32,'Inputs'!$B$30+'Inputs'!$B$31+'Inputs'!$B$32)/1000+'Inputs'!$B$21)+'Inputs'!$B$7)/SQRT((((500-43)*MAX('Inputs'!$B$33,'Inputs'!$B$29+'Inputs'!$B$31+'Inputs'!$B$32,'Inputs'!$B$30+'Inputs'!$B$31+'Inputs'!$B$32)/1000+'Inputs'!$B$21)+'Inputs'!$B$7)^2+('Inputs'!$B$6/2)^2)-(((500-43)*MAX('Inputs'!$B$33,'Inputs'!$B$29+'Inputs'!$B$31+'Inputs'!$B$32,'Inputs'!$B$30+'Inputs'!$B$31+'Inputs'!$B$32)/1000+'Inputs'!$B$21))/SQRT((((500-43)*MAX('Inputs'!$B$33,'Inputs'!$B$29+'Inputs'!$B$31+'Inputs'!$B$32,'Inputs'!$B$30+'Inputs'!$B$31+'Inputs'!$B$32)/1000+'Inputs'!$B$21))^2+('Inputs'!$B$6/2)^2)))-'Results'!C7*(0.5*((((500-43)*MAX('Inputs'!$B$33,'Inputs'!$B$29+'Inputs'!$B$31+'Inputs'!$B$32,'Inputs'!$B$30+'Inputs'!$B$31+'Inputs'!$B$32)/1000+'Inputs'!$B$21+'Inputs'!$B$7+'Inputs'!$B$10)+'Inputs'!$B$9)/SQRT((((500-43)*MAX('Inputs'!$B$33,'Inputs'!$B$29+'Inputs'!$B$31+'Inputs'!$B$32,'Inputs'!$B$30+'Inputs'!$B$31+'Inputs'!$B$32)/1000+'Inputs'!$B$21+'Inputs'!$B$7+'Inputs'!$B$10)+'Inputs'!$B$9)^2+('Inputs'!$B$8/2)^2)-(((500-43)*MAX('Inputs'!$B$33,'Inputs'!$B$29+'Inputs'!$B$31+'Inputs'!$B$32,'Inputs'!$B$30+'Inputs'!$B$31+'Inputs'!$B$32)/1000+'Inputs'!$B$21+'Inputs'!$B$7+'Inputs'!$B$10))/SQRT((((500-43)*MAX('Inputs'!$B$33,'Inputs'!$B$29+'Inputs'!$B$31+'Inputs'!$B$32,'Inputs'!$B$30+'Inputs'!$B$31+'Inputs'!$B$32)/1000+'Inputs'!$B$21+'Inputs'!$B$7+'Inputs'!$B$10))^2+('Inputs'!$B$8/2)^2))))*'Results'!$B$8),"")</x:f>
        <x:v>5.67119645222802</x:v>
      </x:c>
      <x:c r="K500" t="n">
        <x:f>IF(AND(ISNUMBER('Results'!B7),ISNUMBER('Results'!C7),ISNUMBER('Results'!$B$8),ISNUMBER('Inputs'!$B$6),ISNUMBER('Inputs'!$B$7),ISNUMBER('Inputs'!$B$8),ISNUMBER('Inputs'!$B$9),ISNUMBER('Inputs'!$B$10),ISNUMBER('Inputs'!$B$21),ISNUMBER('Inputs'!$B$24),ISNUMBER('Inputs'!$B$28)),((('Results'!B7*(1-'Inputs'!$B$24)*(0.5*((((500-43)*MAX('Inputs'!$B$33,'Inputs'!$B$29+'Inputs'!$B$31+'Inputs'!$B$32,'Inputs'!$B$30+'Inputs'!$B$31+'Inputs'!$B$32)/1000+'Inputs'!$B$21)+'Inputs'!$B$7)/SQRT((((500-43)*MAX('Inputs'!$B$33,'Inputs'!$B$29+'Inputs'!$B$31+'Inputs'!$B$32,'Inputs'!$B$30+'Inputs'!$B$31+'Inputs'!$B$32)/1000+'Inputs'!$B$21)+'Inputs'!$B$7)^2+('Inputs'!$B$6/2)^2)-(((500-43)*MAX('Inputs'!$B$33,'Inputs'!$B$29+'Inputs'!$B$31+'Inputs'!$B$32,'Inputs'!$B$30+'Inputs'!$B$31+'Inputs'!$B$32)/1000+'Inputs'!$B$21))/SQRT((((500-43)*MAX('Inputs'!$B$33,'Inputs'!$B$29+'Inputs'!$B$31+'Inputs'!$B$32,'Inputs'!$B$30+'Inputs'!$B$31+'Inputs'!$B$32)/1000+'Inputs'!$B$21))^2+('Inputs'!$B$6/2)^2)))-'Results'!C7*(1+'Inputs'!$B$24)*(0.5*((((500-43)*MAX('Inputs'!$B$33,'Inputs'!$B$29+'Inputs'!$B$31+'Inputs'!$B$32,'Inputs'!$B$30+'Inputs'!$B$31+'Inputs'!$B$32)/1000+'Inputs'!$B$21+'Inputs'!$B$7+'Inputs'!$B$10)+'Inputs'!$B$9)/SQRT((((500-43)*MAX('Inputs'!$B$33,'Inputs'!$B$29+'Inputs'!$B$31+'Inputs'!$B$32,'Inputs'!$B$30+'Inputs'!$B$31+'Inputs'!$B$32)/1000+'Inputs'!$B$21+'Inputs'!$B$7+'Inputs'!$B$10)+'Inputs'!$B$9)^2+('Inputs'!$B$8/2)^2)-(((500-43)*MAX('Inputs'!$B$33,'Inputs'!$B$29+'Inputs'!$B$31+'Inputs'!$B$32,'Inputs'!$B$30+'Inputs'!$B$31+'Inputs'!$B$32)/1000+'Inputs'!$B$21+'Inputs'!$B$7+'Inputs'!$B$10))/SQRT((((500-43)*MAX('Inputs'!$B$33,'Inputs'!$B$29+'Inputs'!$B$31+'Inputs'!$B$32,'Inputs'!$B$30+'Inputs'!$B$31+'Inputs'!$B$32)/1000+'Inputs'!$B$21+'Inputs'!$B$7+'Inputs'!$B$10))^2+('Inputs'!$B$8/2)^2))))*'Results'!$B$8)-'Inputs'!$B$28*ABS((('Results'!B7*(1-'Inputs'!$B$24)*(0.5*((((500-43)*MAX('Inputs'!$B$33,'Inputs'!$B$29+'Inputs'!$B$31+'Inputs'!$B$32,'Inputs'!$B$30+'Inputs'!$B$31+'Inputs'!$B$32)/1000+'Inputs'!$B$21)+'Inputs'!$B$7)/SQRT((((500-43)*MAX('Inputs'!$B$33,'Inputs'!$B$29+'Inputs'!$B$31+'Inputs'!$B$32,'Inputs'!$B$30+'Inputs'!$B$31+'Inputs'!$B$32)/1000+'Inputs'!$B$21)+'Inputs'!$B$7)^2+('Inputs'!$B$6/2)^2)-(((500-43)*MAX('Inputs'!$B$33,'Inputs'!$B$29+'Inputs'!$B$31+'Inputs'!$B$32,'Inputs'!$B$30+'Inputs'!$B$31+'Inputs'!$B$32)/1000+'Inputs'!$B$21))/SQRT((((500-43)*MAX('Inputs'!$B$33,'Inputs'!$B$29+'Inputs'!$B$31+'Inputs'!$B$32,'Inputs'!$B$30+'Inputs'!$B$31+'Inputs'!$B$32)/1000+'Inputs'!$B$21))^2+('Inputs'!$B$6/2)^2)))-'Results'!C7*(1+'Inputs'!$B$24)*(0.5*((((500-43)*MAX('Inputs'!$B$33,'Inputs'!$B$29+'Inputs'!$B$31+'Inputs'!$B$32,'Inputs'!$B$30+'Inputs'!$B$31+'Inputs'!$B$32)/1000+'Inputs'!$B$21+'Inputs'!$B$7+'Inputs'!$B$10)+'Inputs'!$B$9)/SQRT((((500-43)*MAX('Inputs'!$B$33,'Inputs'!$B$29+'Inputs'!$B$31+'Inputs'!$B$32,'Inputs'!$B$30+'Inputs'!$B$31+'Inputs'!$B$32)/1000+'Inputs'!$B$21+'Inputs'!$B$7+'Inputs'!$B$10)+'Inputs'!$B$9)^2+('Inputs'!$B$8/2)^2)-(((500-43)*MAX('Inputs'!$B$33,'Inputs'!$B$29+'Inputs'!$B$31+'Inputs'!$B$32,'Inputs'!$B$30+'Inputs'!$B$31+'Inputs'!$B$32)/1000+'Inputs'!$B$21+'Inputs'!$B$7+'Inputs'!$B$10))/SQRT((((500-43)*MAX('Inputs'!$B$33,'Inputs'!$B$29+'Inputs'!$B$31+'Inputs'!$B$32,'Inputs'!$B$30+'Inputs'!$B$31+'Inputs'!$B$32)/1000+'Inputs'!$B$21+'Inputs'!$B$7+'Inputs'!$B$10))^2+('Inputs'!$B$8/2)^2))))*'Results'!$B$8))),"")</x:f>
        <x:v>5.046283357595906</x:v>
      </x:c>
      <x:c r="L500" t="n">
        <x:f>IF(AND(ISNUMBER('Results'!B7),ISNUMBER('Results'!C7),ISNUMBER('Results'!$B$8),ISNUMBER('Inputs'!$B$6),ISNUMBER('Inputs'!$B$7),ISNUMBER('Inputs'!$B$8),ISNUMBER('Inputs'!$B$9),ISNUMBER('Inputs'!$B$10),ISNUMBER('Inputs'!$B$21),ISNUMBER('Inputs'!$B$24),ISNUMBER('Inputs'!$B$28)),((('Results'!B7*(1+'Inputs'!$B$24)*(0.5*((((500-43)*MAX('Inputs'!$B$33,'Inputs'!$B$29+'Inputs'!$B$31+'Inputs'!$B$32,'Inputs'!$B$30+'Inputs'!$B$31+'Inputs'!$B$32)/1000+'Inputs'!$B$21)+'Inputs'!$B$7)/SQRT((((500-43)*MAX('Inputs'!$B$33,'Inputs'!$B$29+'Inputs'!$B$31+'Inputs'!$B$32,'Inputs'!$B$30+'Inputs'!$B$31+'Inputs'!$B$32)/1000+'Inputs'!$B$21)+'Inputs'!$B$7)^2+('Inputs'!$B$6/2)^2)-(((500-43)*MAX('Inputs'!$B$33,'Inputs'!$B$29+'Inputs'!$B$31+'Inputs'!$B$32,'Inputs'!$B$30+'Inputs'!$B$31+'Inputs'!$B$32)/1000+'Inputs'!$B$21))/SQRT((((500-43)*MAX('Inputs'!$B$33,'Inputs'!$B$29+'Inputs'!$B$31+'Inputs'!$B$32,'Inputs'!$B$30+'Inputs'!$B$31+'Inputs'!$B$32)/1000+'Inputs'!$B$21))^2+('Inputs'!$B$6/2)^2)))-'Results'!C7*(1-'Inputs'!$B$24)*(0.5*((((500-43)*MAX('Inputs'!$B$33,'Inputs'!$B$29+'Inputs'!$B$31+'Inputs'!$B$32,'Inputs'!$B$30+'Inputs'!$B$31+'Inputs'!$B$32)/1000+'Inputs'!$B$21+'Inputs'!$B$7+'Inputs'!$B$10)+'Inputs'!$B$9)/SQRT((((500-43)*MAX('Inputs'!$B$33,'Inputs'!$B$29+'Inputs'!$B$31+'Inputs'!$B$32,'Inputs'!$B$30+'Inputs'!$B$31+'Inputs'!$B$32)/1000+'Inputs'!$B$21+'Inputs'!$B$7+'Inputs'!$B$10)+'Inputs'!$B$9)^2+('Inputs'!$B$8/2)^2)-(((500-43)*MAX('Inputs'!$B$33,'Inputs'!$B$29+'Inputs'!$B$31+'Inputs'!$B$32,'Inputs'!$B$30+'Inputs'!$B$31+'Inputs'!$B$32)/1000+'Inputs'!$B$21+'Inputs'!$B$7+'Inputs'!$B$10))/SQRT((((500-43)*MAX('Inputs'!$B$33,'Inputs'!$B$29+'Inputs'!$B$31+'Inputs'!$B$32,'Inputs'!$B$30+'Inputs'!$B$31+'Inputs'!$B$32)/1000+'Inputs'!$B$21+'Inputs'!$B$7+'Inputs'!$B$10))^2+('Inputs'!$B$8/2)^2))))*'Results'!$B$8)+'Inputs'!$B$28*ABS((('Results'!B7*(1+'Inputs'!$B$24)*(0.5*((((500-43)*MAX('Inputs'!$B$33,'Inputs'!$B$29+'Inputs'!$B$31+'Inputs'!$B$32,'Inputs'!$B$30+'Inputs'!$B$31+'Inputs'!$B$32)/1000+'Inputs'!$B$21)+'Inputs'!$B$7)/SQRT((((500-43)*MAX('Inputs'!$B$33,'Inputs'!$B$29+'Inputs'!$B$31+'Inputs'!$B$32,'Inputs'!$B$30+'Inputs'!$B$31+'Inputs'!$B$32)/1000+'Inputs'!$B$21)+'Inputs'!$B$7)^2+('Inputs'!$B$6/2)^2)-(((500-43)*MAX('Inputs'!$B$33,'Inputs'!$B$29+'Inputs'!$B$31+'Inputs'!$B$32,'Inputs'!$B$30+'Inputs'!$B$31+'Inputs'!$B$32)/1000+'Inputs'!$B$21))/SQRT((((500-43)*MAX('Inputs'!$B$33,'Inputs'!$B$29+'Inputs'!$B$31+'Inputs'!$B$32,'Inputs'!$B$30+'Inputs'!$B$31+'Inputs'!$B$32)/1000+'Inputs'!$B$21))^2+('Inputs'!$B$6/2)^2)))-'Results'!C7*(1-'Inputs'!$B$24)*(0.5*((((500-43)*MAX('Inputs'!$B$33,'Inputs'!$B$29+'Inputs'!$B$31+'Inputs'!$B$32,'Inputs'!$B$30+'Inputs'!$B$31+'Inputs'!$B$32)/1000+'Inputs'!$B$21+'Inputs'!$B$7+'Inputs'!$B$10)+'Inputs'!$B$9)/SQRT((((500-43)*MAX('Inputs'!$B$33,'Inputs'!$B$29+'Inputs'!$B$31+'Inputs'!$B$32,'Inputs'!$B$30+'Inputs'!$B$31+'Inputs'!$B$32)/1000+'Inputs'!$B$21+'Inputs'!$B$7+'Inputs'!$B$10)+'Inputs'!$B$9)^2+('Inputs'!$B$8/2)^2)-(((500-43)*MAX('Inputs'!$B$33,'Inputs'!$B$29+'Inputs'!$B$31+'Inputs'!$B$32,'Inputs'!$B$30+'Inputs'!$B$31+'Inputs'!$B$32)/1000+'Inputs'!$B$21+'Inputs'!$B$7+'Inputs'!$B$10))/SQRT((((500-43)*MAX('Inputs'!$B$33,'Inputs'!$B$29+'Inputs'!$B$31+'Inputs'!$B$32,'Inputs'!$B$30+'Inputs'!$B$31+'Inputs'!$B$32)/1000+'Inputs'!$B$21+'Inputs'!$B$7+'Inputs'!$B$10))^2+('Inputs'!$B$8/2)^2))))*'Results'!$B$8))),"")</x:f>
        <x:v>6.3320414702307355</x:v>
      </x:c>
      <x:c r="M500" t="n">
        <x:f>IF(AND(ISNUMBER('Results'!C7),ISNUMBER('Results'!B7),ISNUMBER('Results'!$B$8),ISNUMBER('Inputs'!$B$6),ISNUMBER('Inputs'!$B$7),ISNUMBER('Inputs'!$B$8),ISNUMBER('Inputs'!$B$9),ISNUMBER('Inputs'!$B$10),ISNUMBER('Inputs'!$B$21),ISNUMBER('Inputs'!$B$24),ISNUMBER('Inputs'!$B$28)),(('Results'!C7*(0.5*((((500-43)*MAX('Inputs'!$B$33,'Inputs'!$B$29+'Inputs'!$B$31+'Inputs'!$B$32,'Inputs'!$B$30+'Inputs'!$B$31+'Inputs'!$B$32)/1000+'Inputs'!$B$21)+'Inputs'!$B$9)/SQRT((((500-43)*MAX('Inputs'!$B$33,'Inputs'!$B$29+'Inputs'!$B$31+'Inputs'!$B$32,'Inputs'!$B$30+'Inputs'!$B$31+'Inputs'!$B$32)/1000+'Inputs'!$B$21)+'Inputs'!$B$9)^2+('Inputs'!$B$8/2)^2)-(((500-43)*MAX('Inputs'!$B$33,'Inputs'!$B$29+'Inputs'!$B$31+'Inputs'!$B$32,'Inputs'!$B$30+'Inputs'!$B$31+'Inputs'!$B$32)/1000+'Inputs'!$B$21))/SQRT((((500-43)*MAX('Inputs'!$B$33,'Inputs'!$B$29+'Inputs'!$B$31+'Inputs'!$B$32,'Inputs'!$B$30+'Inputs'!$B$31+'Inputs'!$B$32)/1000+'Inputs'!$B$21))^2+('Inputs'!$B$8/2)^2)))-'Results'!B7*(0.5*((((500-43)*MAX('Inputs'!$B$33,'Inputs'!$B$29+'Inputs'!$B$31+'Inputs'!$B$32,'Inputs'!$B$30+'Inputs'!$B$31+'Inputs'!$B$32)/1000+'Inputs'!$B$21+'Inputs'!$B$9+'Inputs'!$B$10)+'Inputs'!$B$7)/SQRT((((500-43)*MAX('Inputs'!$B$33,'Inputs'!$B$29+'Inputs'!$B$31+'Inputs'!$B$32,'Inputs'!$B$30+'Inputs'!$B$31+'Inputs'!$B$32)/1000+'Inputs'!$B$21+'Inputs'!$B$9+'Inputs'!$B$10)+'Inputs'!$B$7)^2+('Inputs'!$B$6/2)^2)-(((500-43)*MAX('Inputs'!$B$33,'Inputs'!$B$29+'Inputs'!$B$31+'Inputs'!$B$32,'Inputs'!$B$30+'Inputs'!$B$31+'Inputs'!$B$32)/1000+'Inputs'!$B$21+'Inputs'!$B$9+'Inputs'!$B$10))/SQRT((((500-43)*MAX('Inputs'!$B$33,'Inputs'!$B$29+'Inputs'!$B$31+'Inputs'!$B$32,'Inputs'!$B$30+'Inputs'!$B$31+'Inputs'!$B$32)/1000+'Inputs'!$B$21+'Inputs'!$B$9+'Inputs'!$B$10))^2+('Inputs'!$B$6/2)^2))))*'Results'!$B$8),"")</x:f>
        <x:v>5.309368082760155</x:v>
      </x:c>
      <x:c r="N500" t="n">
        <x:f>IF(AND(ISNUMBER('Results'!C7),ISNUMBER('Results'!B7),ISNUMBER('Results'!$B$8),ISNUMBER('Inputs'!$B$6),ISNUMBER('Inputs'!$B$7),ISNUMBER('Inputs'!$B$8),ISNUMBER('Inputs'!$B$9),ISNUMBER('Inputs'!$B$10),ISNUMBER('Inputs'!$B$21),ISNUMBER('Inputs'!$B$24),ISNUMBER('Inputs'!$B$28)),((('Results'!C7*(1-'Inputs'!$B$24)*(0.5*((((500-43)*MAX('Inputs'!$B$33,'Inputs'!$B$29+'Inputs'!$B$31+'Inputs'!$B$32,'Inputs'!$B$30+'Inputs'!$B$31+'Inputs'!$B$32)/1000+'Inputs'!$B$21)+'Inputs'!$B$9)/SQRT((((500-43)*MAX('Inputs'!$B$33,'Inputs'!$B$29+'Inputs'!$B$31+'Inputs'!$B$32,'Inputs'!$B$30+'Inputs'!$B$31+'Inputs'!$B$32)/1000+'Inputs'!$B$21)+'Inputs'!$B$9)^2+('Inputs'!$B$8/2)^2)-(((500-43)*MAX('Inputs'!$B$33,'Inputs'!$B$29+'Inputs'!$B$31+'Inputs'!$B$32,'Inputs'!$B$30+'Inputs'!$B$31+'Inputs'!$B$32)/1000+'Inputs'!$B$21))/SQRT((((500-43)*MAX('Inputs'!$B$33,'Inputs'!$B$29+'Inputs'!$B$31+'Inputs'!$B$32,'Inputs'!$B$30+'Inputs'!$B$31+'Inputs'!$B$32)/1000+'Inputs'!$B$21))^2+('Inputs'!$B$8/2)^2)))-'Results'!B7*(1+'Inputs'!$B$24)*(0.5*((((500-43)*MAX('Inputs'!$B$33,'Inputs'!$B$29+'Inputs'!$B$31+'Inputs'!$B$32,'Inputs'!$B$30+'Inputs'!$B$31+'Inputs'!$B$32)/1000+'Inputs'!$B$21+'Inputs'!$B$9+'Inputs'!$B$10)+'Inputs'!$B$7)/SQRT((((500-43)*MAX('Inputs'!$B$33,'Inputs'!$B$29+'Inputs'!$B$31+'Inputs'!$B$32,'Inputs'!$B$30+'Inputs'!$B$31+'Inputs'!$B$32)/1000+'Inputs'!$B$21+'Inputs'!$B$9+'Inputs'!$B$10)+'Inputs'!$B$7)^2+('Inputs'!$B$6/2)^2)-(((500-43)*MAX('Inputs'!$B$33,'Inputs'!$B$29+'Inputs'!$B$31+'Inputs'!$B$32,'Inputs'!$B$30+'Inputs'!$B$31+'Inputs'!$B$32)/1000+'Inputs'!$B$21+'Inputs'!$B$9+'Inputs'!$B$10))/SQRT((((500-43)*MAX('Inputs'!$B$33,'Inputs'!$B$29+'Inputs'!$B$31+'Inputs'!$B$32,'Inputs'!$B$30+'Inputs'!$B$31+'Inputs'!$B$32)/1000+'Inputs'!$B$21+'Inputs'!$B$9+'Inputs'!$B$10))^2+('Inputs'!$B$6/2)^2))))*'Results'!$B$8)-'Inputs'!$B$28*ABS((('Results'!C7*(1-'Inputs'!$B$24)*(0.5*((((500-43)*MAX('Inputs'!$B$33,'Inputs'!$B$29+'Inputs'!$B$31+'Inputs'!$B$32,'Inputs'!$B$30+'Inputs'!$B$31+'Inputs'!$B$32)/1000+'Inputs'!$B$21)+'Inputs'!$B$9)/SQRT((((500-43)*MAX('Inputs'!$B$33,'Inputs'!$B$29+'Inputs'!$B$31+'Inputs'!$B$32,'Inputs'!$B$30+'Inputs'!$B$31+'Inputs'!$B$32)/1000+'Inputs'!$B$21)+'Inputs'!$B$9)^2+('Inputs'!$B$8/2)^2)-(((500-43)*MAX('Inputs'!$B$33,'Inputs'!$B$29+'Inputs'!$B$31+'Inputs'!$B$32,'Inputs'!$B$30+'Inputs'!$B$31+'Inputs'!$B$32)/1000+'Inputs'!$B$21))/SQRT((((500-43)*MAX('Inputs'!$B$33,'Inputs'!$B$29+'Inputs'!$B$31+'Inputs'!$B$32,'Inputs'!$B$30+'Inputs'!$B$31+'Inputs'!$B$32)/1000+'Inputs'!$B$21))^2+('Inputs'!$B$8/2)^2)))-'Results'!B7*(1+'Inputs'!$B$24)*(0.5*((((500-43)*MAX('Inputs'!$B$33,'Inputs'!$B$29+'Inputs'!$B$31+'Inputs'!$B$32,'Inputs'!$B$30+'Inputs'!$B$31+'Inputs'!$B$32)/1000+'Inputs'!$B$21+'Inputs'!$B$9+'Inputs'!$B$10)+'Inputs'!$B$7)/SQRT((((500-43)*MAX('Inputs'!$B$33,'Inputs'!$B$29+'Inputs'!$B$31+'Inputs'!$B$32,'Inputs'!$B$30+'Inputs'!$B$31+'Inputs'!$B$32)/1000+'Inputs'!$B$21+'Inputs'!$B$9+'Inputs'!$B$10)+'Inputs'!$B$7)^2+('Inputs'!$B$6/2)^2)-(((500-43)*MAX('Inputs'!$B$33,'Inputs'!$B$29+'Inputs'!$B$31+'Inputs'!$B$32,'Inputs'!$B$30+'Inputs'!$B$31+'Inputs'!$B$32)/1000+'Inputs'!$B$21+'Inputs'!$B$9+'Inputs'!$B$10))/SQRT((((500-43)*MAX('Inputs'!$B$33,'Inputs'!$B$29+'Inputs'!$B$31+'Inputs'!$B$32,'Inputs'!$B$30+'Inputs'!$B$31+'Inputs'!$B$32)/1000+'Inputs'!$B$21+'Inputs'!$B$9+'Inputs'!$B$10))^2+('Inputs'!$B$6/2)^2))))*'Results'!$B$8))),"")</x:f>
        <x:v>4.704653787673806</x:v>
      </x:c>
      <x:c r="O500" t="n">
        <x:f>IF(AND(ISNUMBER('Results'!C7),ISNUMBER('Results'!B7),ISNUMBER('Results'!$B$8),ISNUMBER('Inputs'!$B$6),ISNUMBER('Inputs'!$B$7),ISNUMBER('Inputs'!$B$8),ISNUMBER('Inputs'!$B$9),ISNUMBER('Inputs'!$B$10),ISNUMBER('Inputs'!$B$21),ISNUMBER('Inputs'!$B$24),ISNUMBER('Inputs'!$B$28)),((('Results'!C7*(1+'Inputs'!$B$24)*(0.5*((((500-43)*MAX('Inputs'!$B$33,'Inputs'!$B$29+'Inputs'!$B$31+'Inputs'!$B$32,'Inputs'!$B$30+'Inputs'!$B$31+'Inputs'!$B$32)/1000+'Inputs'!$B$21)+'Inputs'!$B$9)/SQRT((((500-43)*MAX('Inputs'!$B$33,'Inputs'!$B$29+'Inputs'!$B$31+'Inputs'!$B$32,'Inputs'!$B$30+'Inputs'!$B$31+'Inputs'!$B$32)/1000+'Inputs'!$B$21)+'Inputs'!$B$9)^2+('Inputs'!$B$8/2)^2)-(((500-43)*MAX('Inputs'!$B$33,'Inputs'!$B$29+'Inputs'!$B$31+'Inputs'!$B$32,'Inputs'!$B$30+'Inputs'!$B$31+'Inputs'!$B$32)/1000+'Inputs'!$B$21))/SQRT((((500-43)*MAX('Inputs'!$B$33,'Inputs'!$B$29+'Inputs'!$B$31+'Inputs'!$B$32,'Inputs'!$B$30+'Inputs'!$B$31+'Inputs'!$B$32)/1000+'Inputs'!$B$21))^2+('Inputs'!$B$8/2)^2)))-'Results'!B7*(1-'Inputs'!$B$24)*(0.5*((((500-43)*MAX('Inputs'!$B$33,'Inputs'!$B$29+'Inputs'!$B$31+'Inputs'!$B$32,'Inputs'!$B$30+'Inputs'!$B$31+'Inputs'!$B$32)/1000+'Inputs'!$B$21+'Inputs'!$B$9+'Inputs'!$B$10)+'Inputs'!$B$7)/SQRT((((500-43)*MAX('Inputs'!$B$33,'Inputs'!$B$29+'Inputs'!$B$31+'Inputs'!$B$32,'Inputs'!$B$30+'Inputs'!$B$31+'Inputs'!$B$32)/1000+'Inputs'!$B$21+'Inputs'!$B$9+'Inputs'!$B$10)+'Inputs'!$B$7)^2+('Inputs'!$B$6/2)^2)-(((500-43)*MAX('Inputs'!$B$33,'Inputs'!$B$29+'Inputs'!$B$31+'Inputs'!$B$32,'Inputs'!$B$30+'Inputs'!$B$31+'Inputs'!$B$32)/1000+'Inputs'!$B$21+'Inputs'!$B$9+'Inputs'!$B$10))/SQRT((((500-43)*MAX('Inputs'!$B$33,'Inputs'!$B$29+'Inputs'!$B$31+'Inputs'!$B$32,'Inputs'!$B$30+'Inputs'!$B$31+'Inputs'!$B$32)/1000+'Inputs'!$B$21+'Inputs'!$B$9+'Inputs'!$B$10))^2+('Inputs'!$B$6/2)^2))))*'Results'!$B$8)+'Inputs'!$B$28*ABS((('Results'!C7*(1+'Inputs'!$B$24)*(0.5*((((500-43)*MAX('Inputs'!$B$33,'Inputs'!$B$29+'Inputs'!$B$31+'Inputs'!$B$32,'Inputs'!$B$30+'Inputs'!$B$31+'Inputs'!$B$32)/1000+'Inputs'!$B$21)+'Inputs'!$B$9)/SQRT((((500-43)*MAX('Inputs'!$B$33,'Inputs'!$B$29+'Inputs'!$B$31+'Inputs'!$B$32,'Inputs'!$B$30+'Inputs'!$B$31+'Inputs'!$B$32)/1000+'Inputs'!$B$21)+'Inputs'!$B$9)^2+('Inputs'!$B$8/2)^2)-(((500-43)*MAX('Inputs'!$B$33,'Inputs'!$B$29+'Inputs'!$B$31+'Inputs'!$B$32,'Inputs'!$B$30+'Inputs'!$B$31+'Inputs'!$B$32)/1000+'Inputs'!$B$21))/SQRT((((500-43)*MAX('Inputs'!$B$33,'Inputs'!$B$29+'Inputs'!$B$31+'Inputs'!$B$32,'Inputs'!$B$30+'Inputs'!$B$31+'Inputs'!$B$32)/1000+'Inputs'!$B$21))^2+('Inputs'!$B$8/2)^2)))-'Results'!B7*(1-'Inputs'!$B$24)*(0.5*((((500-43)*MAX('Inputs'!$B$33,'Inputs'!$B$29+'Inputs'!$B$31+'Inputs'!$B$32,'Inputs'!$B$30+'Inputs'!$B$31+'Inputs'!$B$32)/1000+'Inputs'!$B$21+'Inputs'!$B$9+'Inputs'!$B$10)+'Inputs'!$B$7)/SQRT((((500-43)*MAX('Inputs'!$B$33,'Inputs'!$B$29+'Inputs'!$B$31+'Inputs'!$B$32,'Inputs'!$B$30+'Inputs'!$B$31+'Inputs'!$B$32)/1000+'Inputs'!$B$21+'Inputs'!$B$9+'Inputs'!$B$10)+'Inputs'!$B$7)^2+('Inputs'!$B$6/2)^2)-(((500-43)*MAX('Inputs'!$B$33,'Inputs'!$B$29+'Inputs'!$B$31+'Inputs'!$B$32,'Inputs'!$B$30+'Inputs'!$B$31+'Inputs'!$B$32)/1000+'Inputs'!$B$21+'Inputs'!$B$9+'Inputs'!$B$10))/SQRT((((500-43)*MAX('Inputs'!$B$33,'Inputs'!$B$29+'Inputs'!$B$31+'Inputs'!$B$32,'Inputs'!$B$30+'Inputs'!$B$31+'Inputs'!$B$32)/1000+'Inputs'!$B$21+'Inputs'!$B$9+'Inputs'!$B$10))^2+('Inputs'!$B$6/2)^2))))*'Results'!$B$8))),"")</x:f>
        <x:v>5.949792471630541</x:v>
      </x:c>
      <x:c r="P500" t="n">
        <x:f>IF(AND(MAX(J500,J499)&gt;0,J500&gt;J499+0.00000001),1,0)</x:f>
        <x:v>0</x:v>
      </x:c>
      <x:c r="Q500" t="n">
        <x:f>IF(AND(MAX(K500,K499)&gt;0,K500&gt;K499+0.00000001),1,0)</x:f>
        <x:v>0</x:v>
      </x:c>
      <x:c r="R500" t="n">
        <x:f>IF(AND(MAX(L500,L499)&gt;0,L500&gt;L499+0.00000001),1,0)</x:f>
        <x:v>0</x:v>
      </x:c>
      <x:c r="S500" t="n">
        <x:f>IF(AND(MAX(M500,M499)&gt;0,M500&gt;M499+0.00000001),1,0)</x:f>
        <x:v>0</x:v>
      </x:c>
      <x:c r="T500" t="n">
        <x:f>IF(AND(MAX(N500,N499)&gt;0,N500&gt;N499+0.00000001),1,0)</x:f>
        <x:v>0</x:v>
      </x:c>
      <x:c r="U500" t="n">
        <x:f>IF(AND(MAX(O500,O499)&gt;0,O500&gt;O499+0.00000001),1,0)</x:f>
        <x:v>0</x:v>
      </x:c>
    </x:row>
    <x:row r="501">
      <x:c r="J501" t="n">
        <x:f>IF(AND(ISNUMBER('Results'!B7),ISNUMBER('Results'!C7),ISNUMBER('Results'!$B$8),ISNUMBER('Inputs'!$B$6),ISNUMBER('Inputs'!$B$7),ISNUMBER('Inputs'!$B$8),ISNUMBER('Inputs'!$B$9),ISNUMBER('Inputs'!$B$10),ISNUMBER('Inputs'!$B$21),ISNUMBER('Inputs'!$B$24),ISNUMBER('Inputs'!$B$28)),(('Results'!B7*(0.5*((((501-43)*MAX('Inputs'!$B$33,'Inputs'!$B$29+'Inputs'!$B$31+'Inputs'!$B$32,'Inputs'!$B$30+'Inputs'!$B$31+'Inputs'!$B$32)/1000+'Inputs'!$B$21)+'Inputs'!$B$7)/SQRT((((501-43)*MAX('Inputs'!$B$33,'Inputs'!$B$29+'Inputs'!$B$31+'Inputs'!$B$32,'Inputs'!$B$30+'Inputs'!$B$31+'Inputs'!$B$32)/1000+'Inputs'!$B$21)+'Inputs'!$B$7)^2+('Inputs'!$B$6/2)^2)-(((501-43)*MAX('Inputs'!$B$33,'Inputs'!$B$29+'Inputs'!$B$31+'Inputs'!$B$32,'Inputs'!$B$30+'Inputs'!$B$31+'Inputs'!$B$32)/1000+'Inputs'!$B$21))/SQRT((((501-43)*MAX('Inputs'!$B$33,'Inputs'!$B$29+'Inputs'!$B$31+'Inputs'!$B$32,'Inputs'!$B$30+'Inputs'!$B$31+'Inputs'!$B$32)/1000+'Inputs'!$B$21))^2+('Inputs'!$B$6/2)^2)))-'Results'!C7*(0.5*((((501-43)*MAX('Inputs'!$B$33,'Inputs'!$B$29+'Inputs'!$B$31+'Inputs'!$B$32,'Inputs'!$B$30+'Inputs'!$B$31+'Inputs'!$B$32)/1000+'Inputs'!$B$21+'Inputs'!$B$7+'Inputs'!$B$10)+'Inputs'!$B$9)/SQRT((((501-43)*MAX('Inputs'!$B$33,'Inputs'!$B$29+'Inputs'!$B$31+'Inputs'!$B$32,'Inputs'!$B$30+'Inputs'!$B$31+'Inputs'!$B$32)/1000+'Inputs'!$B$21+'Inputs'!$B$7+'Inputs'!$B$10)+'Inputs'!$B$9)^2+('Inputs'!$B$8/2)^2)-(((501-43)*MAX('Inputs'!$B$33,'Inputs'!$B$29+'Inputs'!$B$31+'Inputs'!$B$32,'Inputs'!$B$30+'Inputs'!$B$31+'Inputs'!$B$32)/1000+'Inputs'!$B$21+'Inputs'!$B$7+'Inputs'!$B$10))/SQRT((((501-43)*MAX('Inputs'!$B$33,'Inputs'!$B$29+'Inputs'!$B$31+'Inputs'!$B$32,'Inputs'!$B$30+'Inputs'!$B$31+'Inputs'!$B$32)/1000+'Inputs'!$B$21+'Inputs'!$B$7+'Inputs'!$B$10))^2+('Inputs'!$B$8/2)^2))))*'Results'!$B$8),"")</x:f>
        <x:v>5.62955534858087</x:v>
      </x:c>
      <x:c r="K501" t="n">
        <x:f>IF(AND(ISNUMBER('Results'!B7),ISNUMBER('Results'!C7),ISNUMBER('Results'!$B$8),ISNUMBER('Inputs'!$B$6),ISNUMBER('Inputs'!$B$7),ISNUMBER('Inputs'!$B$8),ISNUMBER('Inputs'!$B$9),ISNUMBER('Inputs'!$B$10),ISNUMBER('Inputs'!$B$21),ISNUMBER('Inputs'!$B$24),ISNUMBER('Inputs'!$B$28)),((('Results'!B7*(1-'Inputs'!$B$24)*(0.5*((((501-43)*MAX('Inputs'!$B$33,'Inputs'!$B$29+'Inputs'!$B$31+'Inputs'!$B$32,'Inputs'!$B$30+'Inputs'!$B$31+'Inputs'!$B$32)/1000+'Inputs'!$B$21)+'Inputs'!$B$7)/SQRT((((501-43)*MAX('Inputs'!$B$33,'Inputs'!$B$29+'Inputs'!$B$31+'Inputs'!$B$32,'Inputs'!$B$30+'Inputs'!$B$31+'Inputs'!$B$32)/1000+'Inputs'!$B$21)+'Inputs'!$B$7)^2+('Inputs'!$B$6/2)^2)-(((501-43)*MAX('Inputs'!$B$33,'Inputs'!$B$29+'Inputs'!$B$31+'Inputs'!$B$32,'Inputs'!$B$30+'Inputs'!$B$31+'Inputs'!$B$32)/1000+'Inputs'!$B$21))/SQRT((((501-43)*MAX('Inputs'!$B$33,'Inputs'!$B$29+'Inputs'!$B$31+'Inputs'!$B$32,'Inputs'!$B$30+'Inputs'!$B$31+'Inputs'!$B$32)/1000+'Inputs'!$B$21))^2+('Inputs'!$B$6/2)^2)))-'Results'!C7*(1+'Inputs'!$B$24)*(0.5*((((501-43)*MAX('Inputs'!$B$33,'Inputs'!$B$29+'Inputs'!$B$31+'Inputs'!$B$32,'Inputs'!$B$30+'Inputs'!$B$31+'Inputs'!$B$32)/1000+'Inputs'!$B$21+'Inputs'!$B$7+'Inputs'!$B$10)+'Inputs'!$B$9)/SQRT((((501-43)*MAX('Inputs'!$B$33,'Inputs'!$B$29+'Inputs'!$B$31+'Inputs'!$B$32,'Inputs'!$B$30+'Inputs'!$B$31+'Inputs'!$B$32)/1000+'Inputs'!$B$21+'Inputs'!$B$7+'Inputs'!$B$10)+'Inputs'!$B$9)^2+('Inputs'!$B$8/2)^2)-(((501-43)*MAX('Inputs'!$B$33,'Inputs'!$B$29+'Inputs'!$B$31+'Inputs'!$B$32,'Inputs'!$B$30+'Inputs'!$B$31+'Inputs'!$B$32)/1000+'Inputs'!$B$21+'Inputs'!$B$7+'Inputs'!$B$10))/SQRT((((501-43)*MAX('Inputs'!$B$33,'Inputs'!$B$29+'Inputs'!$B$31+'Inputs'!$B$32,'Inputs'!$B$30+'Inputs'!$B$31+'Inputs'!$B$32)/1000+'Inputs'!$B$21+'Inputs'!$B$7+'Inputs'!$B$10))^2+('Inputs'!$B$8/2)^2))))*'Results'!$B$8)-'Inputs'!$B$28*ABS((('Results'!B7*(1-'Inputs'!$B$24)*(0.5*((((501-43)*MAX('Inputs'!$B$33,'Inputs'!$B$29+'Inputs'!$B$31+'Inputs'!$B$32,'Inputs'!$B$30+'Inputs'!$B$31+'Inputs'!$B$32)/1000+'Inputs'!$B$21)+'Inputs'!$B$7)/SQRT((((501-43)*MAX('Inputs'!$B$33,'Inputs'!$B$29+'Inputs'!$B$31+'Inputs'!$B$32,'Inputs'!$B$30+'Inputs'!$B$31+'Inputs'!$B$32)/1000+'Inputs'!$B$21)+'Inputs'!$B$7)^2+('Inputs'!$B$6/2)^2)-(((501-43)*MAX('Inputs'!$B$33,'Inputs'!$B$29+'Inputs'!$B$31+'Inputs'!$B$32,'Inputs'!$B$30+'Inputs'!$B$31+'Inputs'!$B$32)/1000+'Inputs'!$B$21))/SQRT((((501-43)*MAX('Inputs'!$B$33,'Inputs'!$B$29+'Inputs'!$B$31+'Inputs'!$B$32,'Inputs'!$B$30+'Inputs'!$B$31+'Inputs'!$B$32)/1000+'Inputs'!$B$21))^2+('Inputs'!$B$6/2)^2)))-'Results'!C7*(1+'Inputs'!$B$24)*(0.5*((((501-43)*MAX('Inputs'!$B$33,'Inputs'!$B$29+'Inputs'!$B$31+'Inputs'!$B$32,'Inputs'!$B$30+'Inputs'!$B$31+'Inputs'!$B$32)/1000+'Inputs'!$B$21+'Inputs'!$B$7+'Inputs'!$B$10)+'Inputs'!$B$9)/SQRT((((501-43)*MAX('Inputs'!$B$33,'Inputs'!$B$29+'Inputs'!$B$31+'Inputs'!$B$32,'Inputs'!$B$30+'Inputs'!$B$31+'Inputs'!$B$32)/1000+'Inputs'!$B$21+'Inputs'!$B$7+'Inputs'!$B$10)+'Inputs'!$B$9)^2+('Inputs'!$B$8/2)^2)-(((501-43)*MAX('Inputs'!$B$33,'Inputs'!$B$29+'Inputs'!$B$31+'Inputs'!$B$32,'Inputs'!$B$30+'Inputs'!$B$31+'Inputs'!$B$32)/1000+'Inputs'!$B$21+'Inputs'!$B$7+'Inputs'!$B$10))/SQRT((((501-43)*MAX('Inputs'!$B$33,'Inputs'!$B$29+'Inputs'!$B$31+'Inputs'!$B$32,'Inputs'!$B$30+'Inputs'!$B$31+'Inputs'!$B$32)/1000+'Inputs'!$B$21+'Inputs'!$B$7+'Inputs'!$B$10))^2+('Inputs'!$B$8/2)^2))))*'Results'!$B$8))),"")</x:f>
        <x:v>5.008677051889935</x:v>
      </x:c>
      <x:c r="L501" t="n">
        <x:f>IF(AND(ISNUMBER('Results'!B7),ISNUMBER('Results'!C7),ISNUMBER('Results'!$B$8),ISNUMBER('Inputs'!$B$6),ISNUMBER('Inputs'!$B$7),ISNUMBER('Inputs'!$B$8),ISNUMBER('Inputs'!$B$9),ISNUMBER('Inputs'!$B$10),ISNUMBER('Inputs'!$B$21),ISNUMBER('Inputs'!$B$24),ISNUMBER('Inputs'!$B$28)),((('Results'!B7*(1+'Inputs'!$B$24)*(0.5*((((501-43)*MAX('Inputs'!$B$33,'Inputs'!$B$29+'Inputs'!$B$31+'Inputs'!$B$32,'Inputs'!$B$30+'Inputs'!$B$31+'Inputs'!$B$32)/1000+'Inputs'!$B$21)+'Inputs'!$B$7)/SQRT((((501-43)*MAX('Inputs'!$B$33,'Inputs'!$B$29+'Inputs'!$B$31+'Inputs'!$B$32,'Inputs'!$B$30+'Inputs'!$B$31+'Inputs'!$B$32)/1000+'Inputs'!$B$21)+'Inputs'!$B$7)^2+('Inputs'!$B$6/2)^2)-(((501-43)*MAX('Inputs'!$B$33,'Inputs'!$B$29+'Inputs'!$B$31+'Inputs'!$B$32,'Inputs'!$B$30+'Inputs'!$B$31+'Inputs'!$B$32)/1000+'Inputs'!$B$21))/SQRT((((501-43)*MAX('Inputs'!$B$33,'Inputs'!$B$29+'Inputs'!$B$31+'Inputs'!$B$32,'Inputs'!$B$30+'Inputs'!$B$31+'Inputs'!$B$32)/1000+'Inputs'!$B$21))^2+('Inputs'!$B$6/2)^2)))-'Results'!C7*(1-'Inputs'!$B$24)*(0.5*((((501-43)*MAX('Inputs'!$B$33,'Inputs'!$B$29+'Inputs'!$B$31+'Inputs'!$B$32,'Inputs'!$B$30+'Inputs'!$B$31+'Inputs'!$B$32)/1000+'Inputs'!$B$21+'Inputs'!$B$7+'Inputs'!$B$10)+'Inputs'!$B$9)/SQRT((((501-43)*MAX('Inputs'!$B$33,'Inputs'!$B$29+'Inputs'!$B$31+'Inputs'!$B$32,'Inputs'!$B$30+'Inputs'!$B$31+'Inputs'!$B$32)/1000+'Inputs'!$B$21+'Inputs'!$B$7+'Inputs'!$B$10)+'Inputs'!$B$9)^2+('Inputs'!$B$8/2)^2)-(((501-43)*MAX('Inputs'!$B$33,'Inputs'!$B$29+'Inputs'!$B$31+'Inputs'!$B$32,'Inputs'!$B$30+'Inputs'!$B$31+'Inputs'!$B$32)/1000+'Inputs'!$B$21+'Inputs'!$B$7+'Inputs'!$B$10))/SQRT((((501-43)*MAX('Inputs'!$B$33,'Inputs'!$B$29+'Inputs'!$B$31+'Inputs'!$B$32,'Inputs'!$B$30+'Inputs'!$B$31+'Inputs'!$B$32)/1000+'Inputs'!$B$21+'Inputs'!$B$7+'Inputs'!$B$10))^2+('Inputs'!$B$8/2)^2))))*'Results'!$B$8)+'Inputs'!$B$28*ABS((('Results'!B7*(1+'Inputs'!$B$24)*(0.5*((((501-43)*MAX('Inputs'!$B$33,'Inputs'!$B$29+'Inputs'!$B$31+'Inputs'!$B$32,'Inputs'!$B$30+'Inputs'!$B$31+'Inputs'!$B$32)/1000+'Inputs'!$B$21)+'Inputs'!$B$7)/SQRT((((501-43)*MAX('Inputs'!$B$33,'Inputs'!$B$29+'Inputs'!$B$31+'Inputs'!$B$32,'Inputs'!$B$30+'Inputs'!$B$31+'Inputs'!$B$32)/1000+'Inputs'!$B$21)+'Inputs'!$B$7)^2+('Inputs'!$B$6/2)^2)-(((501-43)*MAX('Inputs'!$B$33,'Inputs'!$B$29+'Inputs'!$B$31+'Inputs'!$B$32,'Inputs'!$B$30+'Inputs'!$B$31+'Inputs'!$B$32)/1000+'Inputs'!$B$21))/SQRT((((501-43)*MAX('Inputs'!$B$33,'Inputs'!$B$29+'Inputs'!$B$31+'Inputs'!$B$32,'Inputs'!$B$30+'Inputs'!$B$31+'Inputs'!$B$32)/1000+'Inputs'!$B$21))^2+('Inputs'!$B$6/2)^2)))-'Results'!C7*(1-'Inputs'!$B$24)*(0.5*((((501-43)*MAX('Inputs'!$B$33,'Inputs'!$B$29+'Inputs'!$B$31+'Inputs'!$B$32,'Inputs'!$B$30+'Inputs'!$B$31+'Inputs'!$B$32)/1000+'Inputs'!$B$21+'Inputs'!$B$7+'Inputs'!$B$10)+'Inputs'!$B$9)/SQRT((((501-43)*MAX('Inputs'!$B$33,'Inputs'!$B$29+'Inputs'!$B$31+'Inputs'!$B$32,'Inputs'!$B$30+'Inputs'!$B$31+'Inputs'!$B$32)/1000+'Inputs'!$B$21+'Inputs'!$B$7+'Inputs'!$B$10)+'Inputs'!$B$9)^2+('Inputs'!$B$8/2)^2)-(((501-43)*MAX('Inputs'!$B$33,'Inputs'!$B$29+'Inputs'!$B$31+'Inputs'!$B$32,'Inputs'!$B$30+'Inputs'!$B$31+'Inputs'!$B$32)/1000+'Inputs'!$B$21+'Inputs'!$B$7+'Inputs'!$B$10))/SQRT((((501-43)*MAX('Inputs'!$B$33,'Inputs'!$B$29+'Inputs'!$B$31+'Inputs'!$B$32,'Inputs'!$B$30+'Inputs'!$B$31+'Inputs'!$B$32)/1000+'Inputs'!$B$21+'Inputs'!$B$7+'Inputs'!$B$10))^2+('Inputs'!$B$8/2)^2))))*'Results'!$B$8))),"")</x:f>
        <x:v>6.286160016773056</x:v>
      </x:c>
      <x:c r="M501" t="n">
        <x:f>IF(AND(ISNUMBER('Results'!C7),ISNUMBER('Results'!B7),ISNUMBER('Results'!$B$8),ISNUMBER('Inputs'!$B$6),ISNUMBER('Inputs'!$B$7),ISNUMBER('Inputs'!$B$8),ISNUMBER('Inputs'!$B$9),ISNUMBER('Inputs'!$B$10),ISNUMBER('Inputs'!$B$21),ISNUMBER('Inputs'!$B$24),ISNUMBER('Inputs'!$B$28)),(('Results'!C7*(0.5*((((501-43)*MAX('Inputs'!$B$33,'Inputs'!$B$29+'Inputs'!$B$31+'Inputs'!$B$32,'Inputs'!$B$30+'Inputs'!$B$31+'Inputs'!$B$32)/1000+'Inputs'!$B$21)+'Inputs'!$B$9)/SQRT((((501-43)*MAX('Inputs'!$B$33,'Inputs'!$B$29+'Inputs'!$B$31+'Inputs'!$B$32,'Inputs'!$B$30+'Inputs'!$B$31+'Inputs'!$B$32)/1000+'Inputs'!$B$21)+'Inputs'!$B$9)^2+('Inputs'!$B$8/2)^2)-(((501-43)*MAX('Inputs'!$B$33,'Inputs'!$B$29+'Inputs'!$B$31+'Inputs'!$B$32,'Inputs'!$B$30+'Inputs'!$B$31+'Inputs'!$B$32)/1000+'Inputs'!$B$21))/SQRT((((501-43)*MAX('Inputs'!$B$33,'Inputs'!$B$29+'Inputs'!$B$31+'Inputs'!$B$32,'Inputs'!$B$30+'Inputs'!$B$31+'Inputs'!$B$32)/1000+'Inputs'!$B$21))^2+('Inputs'!$B$8/2)^2)))-'Results'!B7*(0.5*((((501-43)*MAX('Inputs'!$B$33,'Inputs'!$B$29+'Inputs'!$B$31+'Inputs'!$B$32,'Inputs'!$B$30+'Inputs'!$B$31+'Inputs'!$B$32)/1000+'Inputs'!$B$21+'Inputs'!$B$9+'Inputs'!$B$10)+'Inputs'!$B$7)/SQRT((((501-43)*MAX('Inputs'!$B$33,'Inputs'!$B$29+'Inputs'!$B$31+'Inputs'!$B$32,'Inputs'!$B$30+'Inputs'!$B$31+'Inputs'!$B$32)/1000+'Inputs'!$B$21+'Inputs'!$B$9+'Inputs'!$B$10)+'Inputs'!$B$7)^2+('Inputs'!$B$6/2)^2)-(((501-43)*MAX('Inputs'!$B$33,'Inputs'!$B$29+'Inputs'!$B$31+'Inputs'!$B$32,'Inputs'!$B$30+'Inputs'!$B$31+'Inputs'!$B$32)/1000+'Inputs'!$B$21+'Inputs'!$B$9+'Inputs'!$B$10))/SQRT((((501-43)*MAX('Inputs'!$B$33,'Inputs'!$B$29+'Inputs'!$B$31+'Inputs'!$B$32,'Inputs'!$B$30+'Inputs'!$B$31+'Inputs'!$B$32)/1000+'Inputs'!$B$21+'Inputs'!$B$9+'Inputs'!$B$10))^2+('Inputs'!$B$6/2)^2))))*'Results'!$B$8),"")</x:f>
        <x:v>5.269794974302631</x:v>
      </x:c>
      <x:c r="N501" t="n">
        <x:f>IF(AND(ISNUMBER('Results'!C7),ISNUMBER('Results'!B7),ISNUMBER('Results'!$B$8),ISNUMBER('Inputs'!$B$6),ISNUMBER('Inputs'!$B$7),ISNUMBER('Inputs'!$B$8),ISNUMBER('Inputs'!$B$9),ISNUMBER('Inputs'!$B$10),ISNUMBER('Inputs'!$B$21),ISNUMBER('Inputs'!$B$24),ISNUMBER('Inputs'!$B$28)),((('Results'!C7*(1-'Inputs'!$B$24)*(0.5*((((501-43)*MAX('Inputs'!$B$33,'Inputs'!$B$29+'Inputs'!$B$31+'Inputs'!$B$32,'Inputs'!$B$30+'Inputs'!$B$31+'Inputs'!$B$32)/1000+'Inputs'!$B$21)+'Inputs'!$B$9)/SQRT((((501-43)*MAX('Inputs'!$B$33,'Inputs'!$B$29+'Inputs'!$B$31+'Inputs'!$B$32,'Inputs'!$B$30+'Inputs'!$B$31+'Inputs'!$B$32)/1000+'Inputs'!$B$21)+'Inputs'!$B$9)^2+('Inputs'!$B$8/2)^2)-(((501-43)*MAX('Inputs'!$B$33,'Inputs'!$B$29+'Inputs'!$B$31+'Inputs'!$B$32,'Inputs'!$B$30+'Inputs'!$B$31+'Inputs'!$B$32)/1000+'Inputs'!$B$21))/SQRT((((501-43)*MAX('Inputs'!$B$33,'Inputs'!$B$29+'Inputs'!$B$31+'Inputs'!$B$32,'Inputs'!$B$30+'Inputs'!$B$31+'Inputs'!$B$32)/1000+'Inputs'!$B$21))^2+('Inputs'!$B$8/2)^2)))-'Results'!B7*(1+'Inputs'!$B$24)*(0.5*((((501-43)*MAX('Inputs'!$B$33,'Inputs'!$B$29+'Inputs'!$B$31+'Inputs'!$B$32,'Inputs'!$B$30+'Inputs'!$B$31+'Inputs'!$B$32)/1000+'Inputs'!$B$21+'Inputs'!$B$9+'Inputs'!$B$10)+'Inputs'!$B$7)/SQRT((((501-43)*MAX('Inputs'!$B$33,'Inputs'!$B$29+'Inputs'!$B$31+'Inputs'!$B$32,'Inputs'!$B$30+'Inputs'!$B$31+'Inputs'!$B$32)/1000+'Inputs'!$B$21+'Inputs'!$B$9+'Inputs'!$B$10)+'Inputs'!$B$7)^2+('Inputs'!$B$6/2)^2)-(((501-43)*MAX('Inputs'!$B$33,'Inputs'!$B$29+'Inputs'!$B$31+'Inputs'!$B$32,'Inputs'!$B$30+'Inputs'!$B$31+'Inputs'!$B$32)/1000+'Inputs'!$B$21+'Inputs'!$B$9+'Inputs'!$B$10))/SQRT((((501-43)*MAX('Inputs'!$B$33,'Inputs'!$B$29+'Inputs'!$B$31+'Inputs'!$B$32,'Inputs'!$B$30+'Inputs'!$B$31+'Inputs'!$B$32)/1000+'Inputs'!$B$21+'Inputs'!$B$9+'Inputs'!$B$10))^2+('Inputs'!$B$6/2)^2))))*'Results'!$B$8)-'Inputs'!$B$28*ABS((('Results'!C7*(1-'Inputs'!$B$24)*(0.5*((((501-43)*MAX('Inputs'!$B$33,'Inputs'!$B$29+'Inputs'!$B$31+'Inputs'!$B$32,'Inputs'!$B$30+'Inputs'!$B$31+'Inputs'!$B$32)/1000+'Inputs'!$B$21)+'Inputs'!$B$9)/SQRT((((501-43)*MAX('Inputs'!$B$33,'Inputs'!$B$29+'Inputs'!$B$31+'Inputs'!$B$32,'Inputs'!$B$30+'Inputs'!$B$31+'Inputs'!$B$32)/1000+'Inputs'!$B$21)+'Inputs'!$B$9)^2+('Inputs'!$B$8/2)^2)-(((501-43)*MAX('Inputs'!$B$33,'Inputs'!$B$29+'Inputs'!$B$31+'Inputs'!$B$32,'Inputs'!$B$30+'Inputs'!$B$31+'Inputs'!$B$32)/1000+'Inputs'!$B$21))/SQRT((((501-43)*MAX('Inputs'!$B$33,'Inputs'!$B$29+'Inputs'!$B$31+'Inputs'!$B$32,'Inputs'!$B$30+'Inputs'!$B$31+'Inputs'!$B$32)/1000+'Inputs'!$B$21))^2+('Inputs'!$B$8/2)^2)))-'Results'!B7*(1+'Inputs'!$B$24)*(0.5*((((501-43)*MAX('Inputs'!$B$33,'Inputs'!$B$29+'Inputs'!$B$31+'Inputs'!$B$32,'Inputs'!$B$30+'Inputs'!$B$31+'Inputs'!$B$32)/1000+'Inputs'!$B$21+'Inputs'!$B$9+'Inputs'!$B$10)+'Inputs'!$B$7)/SQRT((((501-43)*MAX('Inputs'!$B$33,'Inputs'!$B$29+'Inputs'!$B$31+'Inputs'!$B$32,'Inputs'!$B$30+'Inputs'!$B$31+'Inputs'!$B$32)/1000+'Inputs'!$B$21+'Inputs'!$B$9+'Inputs'!$B$10)+'Inputs'!$B$7)^2+('Inputs'!$B$6/2)^2)-(((501-43)*MAX('Inputs'!$B$33,'Inputs'!$B$29+'Inputs'!$B$31+'Inputs'!$B$32,'Inputs'!$B$30+'Inputs'!$B$31+'Inputs'!$B$32)/1000+'Inputs'!$B$21+'Inputs'!$B$9+'Inputs'!$B$10))/SQRT((((501-43)*MAX('Inputs'!$B$33,'Inputs'!$B$29+'Inputs'!$B$31+'Inputs'!$B$32,'Inputs'!$B$30+'Inputs'!$B$31+'Inputs'!$B$32)/1000+'Inputs'!$B$21+'Inputs'!$B$9+'Inputs'!$B$10))^2+('Inputs'!$B$6/2)^2))))*'Results'!$B$8))),"")</x:f>
        <x:v>4.668996490832019</x:v>
      </x:c>
      <x:c r="O501" t="n">
        <x:f>IF(AND(ISNUMBER('Results'!C7),ISNUMBER('Results'!B7),ISNUMBER('Results'!$B$8),ISNUMBER('Inputs'!$B$6),ISNUMBER('Inputs'!$B$7),ISNUMBER('Inputs'!$B$8),ISNUMBER('Inputs'!$B$9),ISNUMBER('Inputs'!$B$10),ISNUMBER('Inputs'!$B$21),ISNUMBER('Inputs'!$B$24),ISNUMBER('Inputs'!$B$28)),((('Results'!C7*(1+'Inputs'!$B$24)*(0.5*((((501-43)*MAX('Inputs'!$B$33,'Inputs'!$B$29+'Inputs'!$B$31+'Inputs'!$B$32,'Inputs'!$B$30+'Inputs'!$B$31+'Inputs'!$B$32)/1000+'Inputs'!$B$21)+'Inputs'!$B$9)/SQRT((((501-43)*MAX('Inputs'!$B$33,'Inputs'!$B$29+'Inputs'!$B$31+'Inputs'!$B$32,'Inputs'!$B$30+'Inputs'!$B$31+'Inputs'!$B$32)/1000+'Inputs'!$B$21)+'Inputs'!$B$9)^2+('Inputs'!$B$8/2)^2)-(((501-43)*MAX('Inputs'!$B$33,'Inputs'!$B$29+'Inputs'!$B$31+'Inputs'!$B$32,'Inputs'!$B$30+'Inputs'!$B$31+'Inputs'!$B$32)/1000+'Inputs'!$B$21))/SQRT((((501-43)*MAX('Inputs'!$B$33,'Inputs'!$B$29+'Inputs'!$B$31+'Inputs'!$B$32,'Inputs'!$B$30+'Inputs'!$B$31+'Inputs'!$B$32)/1000+'Inputs'!$B$21))^2+('Inputs'!$B$8/2)^2)))-'Results'!B7*(1-'Inputs'!$B$24)*(0.5*((((501-43)*MAX('Inputs'!$B$33,'Inputs'!$B$29+'Inputs'!$B$31+'Inputs'!$B$32,'Inputs'!$B$30+'Inputs'!$B$31+'Inputs'!$B$32)/1000+'Inputs'!$B$21+'Inputs'!$B$9+'Inputs'!$B$10)+'Inputs'!$B$7)/SQRT((((501-43)*MAX('Inputs'!$B$33,'Inputs'!$B$29+'Inputs'!$B$31+'Inputs'!$B$32,'Inputs'!$B$30+'Inputs'!$B$31+'Inputs'!$B$32)/1000+'Inputs'!$B$21+'Inputs'!$B$9+'Inputs'!$B$10)+'Inputs'!$B$7)^2+('Inputs'!$B$6/2)^2)-(((501-43)*MAX('Inputs'!$B$33,'Inputs'!$B$29+'Inputs'!$B$31+'Inputs'!$B$32,'Inputs'!$B$30+'Inputs'!$B$31+'Inputs'!$B$32)/1000+'Inputs'!$B$21+'Inputs'!$B$9+'Inputs'!$B$10))/SQRT((((501-43)*MAX('Inputs'!$B$33,'Inputs'!$B$29+'Inputs'!$B$31+'Inputs'!$B$32,'Inputs'!$B$30+'Inputs'!$B$31+'Inputs'!$B$32)/1000+'Inputs'!$B$21+'Inputs'!$B$9+'Inputs'!$B$10))^2+('Inputs'!$B$6/2)^2))))*'Results'!$B$8)+'Inputs'!$B$28*ABS((('Results'!C7*(1+'Inputs'!$B$24)*(0.5*((((501-43)*MAX('Inputs'!$B$33,'Inputs'!$B$29+'Inputs'!$B$31+'Inputs'!$B$32,'Inputs'!$B$30+'Inputs'!$B$31+'Inputs'!$B$32)/1000+'Inputs'!$B$21)+'Inputs'!$B$9)/SQRT((((501-43)*MAX('Inputs'!$B$33,'Inputs'!$B$29+'Inputs'!$B$31+'Inputs'!$B$32,'Inputs'!$B$30+'Inputs'!$B$31+'Inputs'!$B$32)/1000+'Inputs'!$B$21)+'Inputs'!$B$9)^2+('Inputs'!$B$8/2)^2)-(((501-43)*MAX('Inputs'!$B$33,'Inputs'!$B$29+'Inputs'!$B$31+'Inputs'!$B$32,'Inputs'!$B$30+'Inputs'!$B$31+'Inputs'!$B$32)/1000+'Inputs'!$B$21))/SQRT((((501-43)*MAX('Inputs'!$B$33,'Inputs'!$B$29+'Inputs'!$B$31+'Inputs'!$B$32,'Inputs'!$B$30+'Inputs'!$B$31+'Inputs'!$B$32)/1000+'Inputs'!$B$21))^2+('Inputs'!$B$8/2)^2)))-'Results'!B7*(1-'Inputs'!$B$24)*(0.5*((((501-43)*MAX('Inputs'!$B$33,'Inputs'!$B$29+'Inputs'!$B$31+'Inputs'!$B$32,'Inputs'!$B$30+'Inputs'!$B$31+'Inputs'!$B$32)/1000+'Inputs'!$B$21+'Inputs'!$B$9+'Inputs'!$B$10)+'Inputs'!$B$7)/SQRT((((501-43)*MAX('Inputs'!$B$33,'Inputs'!$B$29+'Inputs'!$B$31+'Inputs'!$B$32,'Inputs'!$B$30+'Inputs'!$B$31+'Inputs'!$B$32)/1000+'Inputs'!$B$21+'Inputs'!$B$9+'Inputs'!$B$10)+'Inputs'!$B$7)^2+('Inputs'!$B$6/2)^2)-(((501-43)*MAX('Inputs'!$B$33,'Inputs'!$B$29+'Inputs'!$B$31+'Inputs'!$B$32,'Inputs'!$B$30+'Inputs'!$B$31+'Inputs'!$B$32)/1000+'Inputs'!$B$21+'Inputs'!$B$9+'Inputs'!$B$10))/SQRT((((501-43)*MAX('Inputs'!$B$33,'Inputs'!$B$29+'Inputs'!$B$31+'Inputs'!$B$32,'Inputs'!$B$30+'Inputs'!$B$31+'Inputs'!$B$32)/1000+'Inputs'!$B$21+'Inputs'!$B$9+'Inputs'!$B$10))^2+('Inputs'!$B$6/2)^2))))*'Results'!$B$8))),"")</x:f>
        <x:v>5.906099640379081</x:v>
      </x:c>
      <x:c r="P501" t="n">
        <x:f>IF(AND(MAX(J501,J500)&gt;0,J501&gt;J500+0.00000001),1,0)</x:f>
        <x:v>0</x:v>
      </x:c>
      <x:c r="Q501" t="n">
        <x:f>IF(AND(MAX(K501,K500)&gt;0,K501&gt;K500+0.00000001),1,0)</x:f>
        <x:v>0</x:v>
      </x:c>
      <x:c r="R501" t="n">
        <x:f>IF(AND(MAX(L501,L500)&gt;0,L501&gt;L500+0.00000001),1,0)</x:f>
        <x:v>0</x:v>
      </x:c>
      <x:c r="S501" t="n">
        <x:f>IF(AND(MAX(M501,M500)&gt;0,M501&gt;M500+0.00000001),1,0)</x:f>
        <x:v>0</x:v>
      </x:c>
      <x:c r="T501" t="n">
        <x:f>IF(AND(MAX(N501,N500)&gt;0,N501&gt;N500+0.00000001),1,0)</x:f>
        <x:v>0</x:v>
      </x:c>
      <x:c r="U501" t="n">
        <x:f>IF(AND(MAX(O501,O500)&gt;0,O501&gt;O500+0.00000001),1,0)</x:f>
        <x:v>0</x:v>
      </x:c>
    </x:row>
    <x:row r="502">
      <x:c r="J502" t="n">
        <x:f>IF(AND(ISNUMBER('Results'!B7),ISNUMBER('Results'!C7),ISNUMBER('Results'!$B$8),ISNUMBER('Inputs'!$B$6),ISNUMBER('Inputs'!$B$7),ISNUMBER('Inputs'!$B$8),ISNUMBER('Inputs'!$B$9),ISNUMBER('Inputs'!$B$10),ISNUMBER('Inputs'!$B$21),ISNUMBER('Inputs'!$B$24),ISNUMBER('Inputs'!$B$28)),(('Results'!B7*(0.5*((((502-43)*MAX('Inputs'!$B$33,'Inputs'!$B$29+'Inputs'!$B$31+'Inputs'!$B$32,'Inputs'!$B$30+'Inputs'!$B$31+'Inputs'!$B$32)/1000+'Inputs'!$B$21)+'Inputs'!$B$7)/SQRT((((502-43)*MAX('Inputs'!$B$33,'Inputs'!$B$29+'Inputs'!$B$31+'Inputs'!$B$32,'Inputs'!$B$30+'Inputs'!$B$31+'Inputs'!$B$32)/1000+'Inputs'!$B$21)+'Inputs'!$B$7)^2+('Inputs'!$B$6/2)^2)-(((502-43)*MAX('Inputs'!$B$33,'Inputs'!$B$29+'Inputs'!$B$31+'Inputs'!$B$32,'Inputs'!$B$30+'Inputs'!$B$31+'Inputs'!$B$32)/1000+'Inputs'!$B$21))/SQRT((((502-43)*MAX('Inputs'!$B$33,'Inputs'!$B$29+'Inputs'!$B$31+'Inputs'!$B$32,'Inputs'!$B$30+'Inputs'!$B$31+'Inputs'!$B$32)/1000+'Inputs'!$B$21))^2+('Inputs'!$B$6/2)^2)))-'Results'!C7*(0.5*((((502-43)*MAX('Inputs'!$B$33,'Inputs'!$B$29+'Inputs'!$B$31+'Inputs'!$B$32,'Inputs'!$B$30+'Inputs'!$B$31+'Inputs'!$B$32)/1000+'Inputs'!$B$21+'Inputs'!$B$7+'Inputs'!$B$10)+'Inputs'!$B$9)/SQRT((((502-43)*MAX('Inputs'!$B$33,'Inputs'!$B$29+'Inputs'!$B$31+'Inputs'!$B$32,'Inputs'!$B$30+'Inputs'!$B$31+'Inputs'!$B$32)/1000+'Inputs'!$B$21+'Inputs'!$B$7+'Inputs'!$B$10)+'Inputs'!$B$9)^2+('Inputs'!$B$8/2)^2)-(((502-43)*MAX('Inputs'!$B$33,'Inputs'!$B$29+'Inputs'!$B$31+'Inputs'!$B$32,'Inputs'!$B$30+'Inputs'!$B$31+'Inputs'!$B$32)/1000+'Inputs'!$B$21+'Inputs'!$B$7+'Inputs'!$B$10))/SQRT((((502-43)*MAX('Inputs'!$B$33,'Inputs'!$B$29+'Inputs'!$B$31+'Inputs'!$B$32,'Inputs'!$B$30+'Inputs'!$B$31+'Inputs'!$B$32)/1000+'Inputs'!$B$21+'Inputs'!$B$7+'Inputs'!$B$10))^2+('Inputs'!$B$8/2)^2))))*'Results'!$B$8),"")</x:f>
        <x:v>5.588296047229455</x:v>
      </x:c>
      <x:c r="K502" t="n">
        <x:f>IF(AND(ISNUMBER('Results'!B7),ISNUMBER('Results'!C7),ISNUMBER('Results'!$B$8),ISNUMBER('Inputs'!$B$6),ISNUMBER('Inputs'!$B$7),ISNUMBER('Inputs'!$B$8),ISNUMBER('Inputs'!$B$9),ISNUMBER('Inputs'!$B$10),ISNUMBER('Inputs'!$B$21),ISNUMBER('Inputs'!$B$24),ISNUMBER('Inputs'!$B$28)),((('Results'!B7*(1-'Inputs'!$B$24)*(0.5*((((502-43)*MAX('Inputs'!$B$33,'Inputs'!$B$29+'Inputs'!$B$31+'Inputs'!$B$32,'Inputs'!$B$30+'Inputs'!$B$31+'Inputs'!$B$32)/1000+'Inputs'!$B$21)+'Inputs'!$B$7)/SQRT((((502-43)*MAX('Inputs'!$B$33,'Inputs'!$B$29+'Inputs'!$B$31+'Inputs'!$B$32,'Inputs'!$B$30+'Inputs'!$B$31+'Inputs'!$B$32)/1000+'Inputs'!$B$21)+'Inputs'!$B$7)^2+('Inputs'!$B$6/2)^2)-(((502-43)*MAX('Inputs'!$B$33,'Inputs'!$B$29+'Inputs'!$B$31+'Inputs'!$B$32,'Inputs'!$B$30+'Inputs'!$B$31+'Inputs'!$B$32)/1000+'Inputs'!$B$21))/SQRT((((502-43)*MAX('Inputs'!$B$33,'Inputs'!$B$29+'Inputs'!$B$31+'Inputs'!$B$32,'Inputs'!$B$30+'Inputs'!$B$31+'Inputs'!$B$32)/1000+'Inputs'!$B$21))^2+('Inputs'!$B$6/2)^2)))-'Results'!C7*(1+'Inputs'!$B$24)*(0.5*((((502-43)*MAX('Inputs'!$B$33,'Inputs'!$B$29+'Inputs'!$B$31+'Inputs'!$B$32,'Inputs'!$B$30+'Inputs'!$B$31+'Inputs'!$B$32)/1000+'Inputs'!$B$21+'Inputs'!$B$7+'Inputs'!$B$10)+'Inputs'!$B$9)/SQRT((((502-43)*MAX('Inputs'!$B$33,'Inputs'!$B$29+'Inputs'!$B$31+'Inputs'!$B$32,'Inputs'!$B$30+'Inputs'!$B$31+'Inputs'!$B$32)/1000+'Inputs'!$B$21+'Inputs'!$B$7+'Inputs'!$B$10)+'Inputs'!$B$9)^2+('Inputs'!$B$8/2)^2)-(((502-43)*MAX('Inputs'!$B$33,'Inputs'!$B$29+'Inputs'!$B$31+'Inputs'!$B$32,'Inputs'!$B$30+'Inputs'!$B$31+'Inputs'!$B$32)/1000+'Inputs'!$B$21+'Inputs'!$B$7+'Inputs'!$B$10))/SQRT((((502-43)*MAX('Inputs'!$B$33,'Inputs'!$B$29+'Inputs'!$B$31+'Inputs'!$B$32,'Inputs'!$B$30+'Inputs'!$B$31+'Inputs'!$B$32)/1000+'Inputs'!$B$21+'Inputs'!$B$7+'Inputs'!$B$10))^2+('Inputs'!$B$8/2)^2))))*'Results'!$B$8)-'Inputs'!$B$28*ABS((('Results'!B7*(1-'Inputs'!$B$24)*(0.5*((((502-43)*MAX('Inputs'!$B$33,'Inputs'!$B$29+'Inputs'!$B$31+'Inputs'!$B$32,'Inputs'!$B$30+'Inputs'!$B$31+'Inputs'!$B$32)/1000+'Inputs'!$B$21)+'Inputs'!$B$7)/SQRT((((502-43)*MAX('Inputs'!$B$33,'Inputs'!$B$29+'Inputs'!$B$31+'Inputs'!$B$32,'Inputs'!$B$30+'Inputs'!$B$31+'Inputs'!$B$32)/1000+'Inputs'!$B$21)+'Inputs'!$B$7)^2+('Inputs'!$B$6/2)^2)-(((502-43)*MAX('Inputs'!$B$33,'Inputs'!$B$29+'Inputs'!$B$31+'Inputs'!$B$32,'Inputs'!$B$30+'Inputs'!$B$31+'Inputs'!$B$32)/1000+'Inputs'!$B$21))/SQRT((((502-43)*MAX('Inputs'!$B$33,'Inputs'!$B$29+'Inputs'!$B$31+'Inputs'!$B$32,'Inputs'!$B$30+'Inputs'!$B$31+'Inputs'!$B$32)/1000+'Inputs'!$B$21))^2+('Inputs'!$B$6/2)^2)))-'Results'!C7*(1+'Inputs'!$B$24)*(0.5*((((502-43)*MAX('Inputs'!$B$33,'Inputs'!$B$29+'Inputs'!$B$31+'Inputs'!$B$32,'Inputs'!$B$30+'Inputs'!$B$31+'Inputs'!$B$32)/1000+'Inputs'!$B$21+'Inputs'!$B$7+'Inputs'!$B$10)+'Inputs'!$B$9)/SQRT((((502-43)*MAX('Inputs'!$B$33,'Inputs'!$B$29+'Inputs'!$B$31+'Inputs'!$B$32,'Inputs'!$B$30+'Inputs'!$B$31+'Inputs'!$B$32)/1000+'Inputs'!$B$21+'Inputs'!$B$7+'Inputs'!$B$10)+'Inputs'!$B$9)^2+('Inputs'!$B$8/2)^2)-(((502-43)*MAX('Inputs'!$B$33,'Inputs'!$B$29+'Inputs'!$B$31+'Inputs'!$B$32,'Inputs'!$B$30+'Inputs'!$B$31+'Inputs'!$B$32)/1000+'Inputs'!$B$21+'Inputs'!$B$7+'Inputs'!$B$10))/SQRT((((502-43)*MAX('Inputs'!$B$33,'Inputs'!$B$29+'Inputs'!$B$31+'Inputs'!$B$32,'Inputs'!$B$30+'Inputs'!$B$31+'Inputs'!$B$32)/1000+'Inputs'!$B$21+'Inputs'!$B$7+'Inputs'!$B$10))^2+('Inputs'!$B$8/2)^2))))*'Results'!$B$8))),"")</x:f>
        <x:v>4.971418547611087</x:v>
      </x:c>
      <x:c r="L502" t="n">
        <x:f>IF(AND(ISNUMBER('Results'!B7),ISNUMBER('Results'!C7),ISNUMBER('Results'!$B$8),ISNUMBER('Inputs'!$B$6),ISNUMBER('Inputs'!$B$7),ISNUMBER('Inputs'!$B$8),ISNUMBER('Inputs'!$B$9),ISNUMBER('Inputs'!$B$10),ISNUMBER('Inputs'!$B$21),ISNUMBER('Inputs'!$B$24),ISNUMBER('Inputs'!$B$28)),((('Results'!B7*(1+'Inputs'!$B$24)*(0.5*((((502-43)*MAX('Inputs'!$B$33,'Inputs'!$B$29+'Inputs'!$B$31+'Inputs'!$B$32,'Inputs'!$B$30+'Inputs'!$B$31+'Inputs'!$B$32)/1000+'Inputs'!$B$21)+'Inputs'!$B$7)/SQRT((((502-43)*MAX('Inputs'!$B$33,'Inputs'!$B$29+'Inputs'!$B$31+'Inputs'!$B$32,'Inputs'!$B$30+'Inputs'!$B$31+'Inputs'!$B$32)/1000+'Inputs'!$B$21)+'Inputs'!$B$7)^2+('Inputs'!$B$6/2)^2)-(((502-43)*MAX('Inputs'!$B$33,'Inputs'!$B$29+'Inputs'!$B$31+'Inputs'!$B$32,'Inputs'!$B$30+'Inputs'!$B$31+'Inputs'!$B$32)/1000+'Inputs'!$B$21))/SQRT((((502-43)*MAX('Inputs'!$B$33,'Inputs'!$B$29+'Inputs'!$B$31+'Inputs'!$B$32,'Inputs'!$B$30+'Inputs'!$B$31+'Inputs'!$B$32)/1000+'Inputs'!$B$21))^2+('Inputs'!$B$6/2)^2)))-'Results'!C7*(1-'Inputs'!$B$24)*(0.5*((((502-43)*MAX('Inputs'!$B$33,'Inputs'!$B$29+'Inputs'!$B$31+'Inputs'!$B$32,'Inputs'!$B$30+'Inputs'!$B$31+'Inputs'!$B$32)/1000+'Inputs'!$B$21+'Inputs'!$B$7+'Inputs'!$B$10)+'Inputs'!$B$9)/SQRT((((502-43)*MAX('Inputs'!$B$33,'Inputs'!$B$29+'Inputs'!$B$31+'Inputs'!$B$32,'Inputs'!$B$30+'Inputs'!$B$31+'Inputs'!$B$32)/1000+'Inputs'!$B$21+'Inputs'!$B$7+'Inputs'!$B$10)+'Inputs'!$B$9)^2+('Inputs'!$B$8/2)^2)-(((502-43)*MAX('Inputs'!$B$33,'Inputs'!$B$29+'Inputs'!$B$31+'Inputs'!$B$32,'Inputs'!$B$30+'Inputs'!$B$31+'Inputs'!$B$32)/1000+'Inputs'!$B$21+'Inputs'!$B$7+'Inputs'!$B$10))/SQRT((((502-43)*MAX('Inputs'!$B$33,'Inputs'!$B$29+'Inputs'!$B$31+'Inputs'!$B$32,'Inputs'!$B$30+'Inputs'!$B$31+'Inputs'!$B$32)/1000+'Inputs'!$B$21+'Inputs'!$B$7+'Inputs'!$B$10))^2+('Inputs'!$B$8/2)^2))))*'Results'!$B$8)+'Inputs'!$B$28*ABS((('Results'!B7*(1+'Inputs'!$B$24)*(0.5*((((502-43)*MAX('Inputs'!$B$33,'Inputs'!$B$29+'Inputs'!$B$31+'Inputs'!$B$32,'Inputs'!$B$30+'Inputs'!$B$31+'Inputs'!$B$32)/1000+'Inputs'!$B$21)+'Inputs'!$B$7)/SQRT((((502-43)*MAX('Inputs'!$B$33,'Inputs'!$B$29+'Inputs'!$B$31+'Inputs'!$B$32,'Inputs'!$B$30+'Inputs'!$B$31+'Inputs'!$B$32)/1000+'Inputs'!$B$21)+'Inputs'!$B$7)^2+('Inputs'!$B$6/2)^2)-(((502-43)*MAX('Inputs'!$B$33,'Inputs'!$B$29+'Inputs'!$B$31+'Inputs'!$B$32,'Inputs'!$B$30+'Inputs'!$B$31+'Inputs'!$B$32)/1000+'Inputs'!$B$21))/SQRT((((502-43)*MAX('Inputs'!$B$33,'Inputs'!$B$29+'Inputs'!$B$31+'Inputs'!$B$32,'Inputs'!$B$30+'Inputs'!$B$31+'Inputs'!$B$32)/1000+'Inputs'!$B$21))^2+('Inputs'!$B$6/2)^2)))-'Results'!C7*(1-'Inputs'!$B$24)*(0.5*((((502-43)*MAX('Inputs'!$B$33,'Inputs'!$B$29+'Inputs'!$B$31+'Inputs'!$B$32,'Inputs'!$B$30+'Inputs'!$B$31+'Inputs'!$B$32)/1000+'Inputs'!$B$21+'Inputs'!$B$7+'Inputs'!$B$10)+'Inputs'!$B$9)/SQRT((((502-43)*MAX('Inputs'!$B$33,'Inputs'!$B$29+'Inputs'!$B$31+'Inputs'!$B$32,'Inputs'!$B$30+'Inputs'!$B$31+'Inputs'!$B$32)/1000+'Inputs'!$B$21+'Inputs'!$B$7+'Inputs'!$B$10)+'Inputs'!$B$9)^2+('Inputs'!$B$8/2)^2)-(((502-43)*MAX('Inputs'!$B$33,'Inputs'!$B$29+'Inputs'!$B$31+'Inputs'!$B$32,'Inputs'!$B$30+'Inputs'!$B$31+'Inputs'!$B$32)/1000+'Inputs'!$B$21+'Inputs'!$B$7+'Inputs'!$B$10))/SQRT((((502-43)*MAX('Inputs'!$B$33,'Inputs'!$B$29+'Inputs'!$B$31+'Inputs'!$B$32,'Inputs'!$B$30+'Inputs'!$B$31+'Inputs'!$B$32)/1000+'Inputs'!$B$21+'Inputs'!$B$7+'Inputs'!$B$10))^2+('Inputs'!$B$8/2)^2))))*'Results'!$B$8))),"")</x:f>
        <x:v>6.2406959360327585</x:v>
      </x:c>
      <x:c r="M502" t="n">
        <x:f>IF(AND(ISNUMBER('Results'!C7),ISNUMBER('Results'!B7),ISNUMBER('Results'!$B$8),ISNUMBER('Inputs'!$B$6),ISNUMBER('Inputs'!$B$7),ISNUMBER('Inputs'!$B$8),ISNUMBER('Inputs'!$B$9),ISNUMBER('Inputs'!$B$10),ISNUMBER('Inputs'!$B$21),ISNUMBER('Inputs'!$B$24),ISNUMBER('Inputs'!$B$28)),(('Results'!C7*(0.5*((((502-43)*MAX('Inputs'!$B$33,'Inputs'!$B$29+'Inputs'!$B$31+'Inputs'!$B$32,'Inputs'!$B$30+'Inputs'!$B$31+'Inputs'!$B$32)/1000+'Inputs'!$B$21)+'Inputs'!$B$9)/SQRT((((502-43)*MAX('Inputs'!$B$33,'Inputs'!$B$29+'Inputs'!$B$31+'Inputs'!$B$32,'Inputs'!$B$30+'Inputs'!$B$31+'Inputs'!$B$32)/1000+'Inputs'!$B$21)+'Inputs'!$B$9)^2+('Inputs'!$B$8/2)^2)-(((502-43)*MAX('Inputs'!$B$33,'Inputs'!$B$29+'Inputs'!$B$31+'Inputs'!$B$32,'Inputs'!$B$30+'Inputs'!$B$31+'Inputs'!$B$32)/1000+'Inputs'!$B$21))/SQRT((((502-43)*MAX('Inputs'!$B$33,'Inputs'!$B$29+'Inputs'!$B$31+'Inputs'!$B$32,'Inputs'!$B$30+'Inputs'!$B$31+'Inputs'!$B$32)/1000+'Inputs'!$B$21))^2+('Inputs'!$B$8/2)^2)))-'Results'!B7*(0.5*((((502-43)*MAX('Inputs'!$B$33,'Inputs'!$B$29+'Inputs'!$B$31+'Inputs'!$B$32,'Inputs'!$B$30+'Inputs'!$B$31+'Inputs'!$B$32)/1000+'Inputs'!$B$21+'Inputs'!$B$9+'Inputs'!$B$10)+'Inputs'!$B$7)/SQRT((((502-43)*MAX('Inputs'!$B$33,'Inputs'!$B$29+'Inputs'!$B$31+'Inputs'!$B$32,'Inputs'!$B$30+'Inputs'!$B$31+'Inputs'!$B$32)/1000+'Inputs'!$B$21+'Inputs'!$B$9+'Inputs'!$B$10)+'Inputs'!$B$7)^2+('Inputs'!$B$6/2)^2)-(((502-43)*MAX('Inputs'!$B$33,'Inputs'!$B$29+'Inputs'!$B$31+'Inputs'!$B$32,'Inputs'!$B$30+'Inputs'!$B$31+'Inputs'!$B$32)/1000+'Inputs'!$B$21+'Inputs'!$B$9+'Inputs'!$B$10))/SQRT((((502-43)*MAX('Inputs'!$B$33,'Inputs'!$B$29+'Inputs'!$B$31+'Inputs'!$B$32,'Inputs'!$B$30+'Inputs'!$B$31+'Inputs'!$B$32)/1000+'Inputs'!$B$21+'Inputs'!$B$9+'Inputs'!$B$10))^2+('Inputs'!$B$6/2)^2))))*'Results'!$B$8),"")</x:f>
        <x:v>5.23058789037086</x:v>
      </x:c>
      <x:c r="N502" t="n">
        <x:f>IF(AND(ISNUMBER('Results'!C7),ISNUMBER('Results'!B7),ISNUMBER('Results'!$B$8),ISNUMBER('Inputs'!$B$6),ISNUMBER('Inputs'!$B$7),ISNUMBER('Inputs'!$B$8),ISNUMBER('Inputs'!$B$9),ISNUMBER('Inputs'!$B$10),ISNUMBER('Inputs'!$B$21),ISNUMBER('Inputs'!$B$24),ISNUMBER('Inputs'!$B$28)),((('Results'!C7*(1-'Inputs'!$B$24)*(0.5*((((502-43)*MAX('Inputs'!$B$33,'Inputs'!$B$29+'Inputs'!$B$31+'Inputs'!$B$32,'Inputs'!$B$30+'Inputs'!$B$31+'Inputs'!$B$32)/1000+'Inputs'!$B$21)+'Inputs'!$B$9)/SQRT((((502-43)*MAX('Inputs'!$B$33,'Inputs'!$B$29+'Inputs'!$B$31+'Inputs'!$B$32,'Inputs'!$B$30+'Inputs'!$B$31+'Inputs'!$B$32)/1000+'Inputs'!$B$21)+'Inputs'!$B$9)^2+('Inputs'!$B$8/2)^2)-(((502-43)*MAX('Inputs'!$B$33,'Inputs'!$B$29+'Inputs'!$B$31+'Inputs'!$B$32,'Inputs'!$B$30+'Inputs'!$B$31+'Inputs'!$B$32)/1000+'Inputs'!$B$21))/SQRT((((502-43)*MAX('Inputs'!$B$33,'Inputs'!$B$29+'Inputs'!$B$31+'Inputs'!$B$32,'Inputs'!$B$30+'Inputs'!$B$31+'Inputs'!$B$32)/1000+'Inputs'!$B$21))^2+('Inputs'!$B$8/2)^2)))-'Results'!B7*(1+'Inputs'!$B$24)*(0.5*((((502-43)*MAX('Inputs'!$B$33,'Inputs'!$B$29+'Inputs'!$B$31+'Inputs'!$B$32,'Inputs'!$B$30+'Inputs'!$B$31+'Inputs'!$B$32)/1000+'Inputs'!$B$21+'Inputs'!$B$9+'Inputs'!$B$10)+'Inputs'!$B$7)/SQRT((((502-43)*MAX('Inputs'!$B$33,'Inputs'!$B$29+'Inputs'!$B$31+'Inputs'!$B$32,'Inputs'!$B$30+'Inputs'!$B$31+'Inputs'!$B$32)/1000+'Inputs'!$B$21+'Inputs'!$B$9+'Inputs'!$B$10)+'Inputs'!$B$7)^2+('Inputs'!$B$6/2)^2)-(((502-43)*MAX('Inputs'!$B$33,'Inputs'!$B$29+'Inputs'!$B$31+'Inputs'!$B$32,'Inputs'!$B$30+'Inputs'!$B$31+'Inputs'!$B$32)/1000+'Inputs'!$B$21+'Inputs'!$B$9+'Inputs'!$B$10))/SQRT((((502-43)*MAX('Inputs'!$B$33,'Inputs'!$B$29+'Inputs'!$B$31+'Inputs'!$B$32,'Inputs'!$B$30+'Inputs'!$B$31+'Inputs'!$B$32)/1000+'Inputs'!$B$21+'Inputs'!$B$9+'Inputs'!$B$10))^2+('Inputs'!$B$6/2)^2))))*'Results'!$B$8)-'Inputs'!$B$28*ABS((('Results'!C7*(1-'Inputs'!$B$24)*(0.5*((((502-43)*MAX('Inputs'!$B$33,'Inputs'!$B$29+'Inputs'!$B$31+'Inputs'!$B$32,'Inputs'!$B$30+'Inputs'!$B$31+'Inputs'!$B$32)/1000+'Inputs'!$B$21)+'Inputs'!$B$9)/SQRT((((502-43)*MAX('Inputs'!$B$33,'Inputs'!$B$29+'Inputs'!$B$31+'Inputs'!$B$32,'Inputs'!$B$30+'Inputs'!$B$31+'Inputs'!$B$32)/1000+'Inputs'!$B$21)+'Inputs'!$B$9)^2+('Inputs'!$B$8/2)^2)-(((502-43)*MAX('Inputs'!$B$33,'Inputs'!$B$29+'Inputs'!$B$31+'Inputs'!$B$32,'Inputs'!$B$30+'Inputs'!$B$31+'Inputs'!$B$32)/1000+'Inputs'!$B$21))/SQRT((((502-43)*MAX('Inputs'!$B$33,'Inputs'!$B$29+'Inputs'!$B$31+'Inputs'!$B$32,'Inputs'!$B$30+'Inputs'!$B$31+'Inputs'!$B$32)/1000+'Inputs'!$B$21))^2+('Inputs'!$B$8/2)^2)))-'Results'!B7*(1+'Inputs'!$B$24)*(0.5*((((502-43)*MAX('Inputs'!$B$33,'Inputs'!$B$29+'Inputs'!$B$31+'Inputs'!$B$32,'Inputs'!$B$30+'Inputs'!$B$31+'Inputs'!$B$32)/1000+'Inputs'!$B$21+'Inputs'!$B$9+'Inputs'!$B$10)+'Inputs'!$B$7)/SQRT((((502-43)*MAX('Inputs'!$B$33,'Inputs'!$B$29+'Inputs'!$B$31+'Inputs'!$B$32,'Inputs'!$B$30+'Inputs'!$B$31+'Inputs'!$B$32)/1000+'Inputs'!$B$21+'Inputs'!$B$9+'Inputs'!$B$10)+'Inputs'!$B$7)^2+('Inputs'!$B$6/2)^2)-(((502-43)*MAX('Inputs'!$B$33,'Inputs'!$B$29+'Inputs'!$B$31+'Inputs'!$B$32,'Inputs'!$B$30+'Inputs'!$B$31+'Inputs'!$B$32)/1000+'Inputs'!$B$21+'Inputs'!$B$9+'Inputs'!$B$10))/SQRT((((502-43)*MAX('Inputs'!$B$33,'Inputs'!$B$29+'Inputs'!$B$31+'Inputs'!$B$32,'Inputs'!$B$30+'Inputs'!$B$31+'Inputs'!$B$32)/1000+'Inputs'!$B$21+'Inputs'!$B$9+'Inputs'!$B$10))^2+('Inputs'!$B$6/2)^2))))*'Results'!$B$8))),"")</x:f>
        <x:v>4.633672150058192</x:v>
      </x:c>
      <x:c r="O502" t="n">
        <x:f>IF(AND(ISNUMBER('Results'!C7),ISNUMBER('Results'!B7),ISNUMBER('Results'!$B$8),ISNUMBER('Inputs'!$B$6),ISNUMBER('Inputs'!$B$7),ISNUMBER('Inputs'!$B$8),ISNUMBER('Inputs'!$B$9),ISNUMBER('Inputs'!$B$10),ISNUMBER('Inputs'!$B$21),ISNUMBER('Inputs'!$B$24),ISNUMBER('Inputs'!$B$28)),((('Results'!C7*(1+'Inputs'!$B$24)*(0.5*((((502-43)*MAX('Inputs'!$B$33,'Inputs'!$B$29+'Inputs'!$B$31+'Inputs'!$B$32,'Inputs'!$B$30+'Inputs'!$B$31+'Inputs'!$B$32)/1000+'Inputs'!$B$21)+'Inputs'!$B$9)/SQRT((((502-43)*MAX('Inputs'!$B$33,'Inputs'!$B$29+'Inputs'!$B$31+'Inputs'!$B$32,'Inputs'!$B$30+'Inputs'!$B$31+'Inputs'!$B$32)/1000+'Inputs'!$B$21)+'Inputs'!$B$9)^2+('Inputs'!$B$8/2)^2)-(((502-43)*MAX('Inputs'!$B$33,'Inputs'!$B$29+'Inputs'!$B$31+'Inputs'!$B$32,'Inputs'!$B$30+'Inputs'!$B$31+'Inputs'!$B$32)/1000+'Inputs'!$B$21))/SQRT((((502-43)*MAX('Inputs'!$B$33,'Inputs'!$B$29+'Inputs'!$B$31+'Inputs'!$B$32,'Inputs'!$B$30+'Inputs'!$B$31+'Inputs'!$B$32)/1000+'Inputs'!$B$21))^2+('Inputs'!$B$8/2)^2)))-'Results'!B7*(1-'Inputs'!$B$24)*(0.5*((((502-43)*MAX('Inputs'!$B$33,'Inputs'!$B$29+'Inputs'!$B$31+'Inputs'!$B$32,'Inputs'!$B$30+'Inputs'!$B$31+'Inputs'!$B$32)/1000+'Inputs'!$B$21+'Inputs'!$B$9+'Inputs'!$B$10)+'Inputs'!$B$7)/SQRT((((502-43)*MAX('Inputs'!$B$33,'Inputs'!$B$29+'Inputs'!$B$31+'Inputs'!$B$32,'Inputs'!$B$30+'Inputs'!$B$31+'Inputs'!$B$32)/1000+'Inputs'!$B$21+'Inputs'!$B$9+'Inputs'!$B$10)+'Inputs'!$B$7)^2+('Inputs'!$B$6/2)^2)-(((502-43)*MAX('Inputs'!$B$33,'Inputs'!$B$29+'Inputs'!$B$31+'Inputs'!$B$32,'Inputs'!$B$30+'Inputs'!$B$31+'Inputs'!$B$32)/1000+'Inputs'!$B$21+'Inputs'!$B$9+'Inputs'!$B$10))/SQRT((((502-43)*MAX('Inputs'!$B$33,'Inputs'!$B$29+'Inputs'!$B$31+'Inputs'!$B$32,'Inputs'!$B$30+'Inputs'!$B$31+'Inputs'!$B$32)/1000+'Inputs'!$B$21+'Inputs'!$B$9+'Inputs'!$B$10))^2+('Inputs'!$B$6/2)^2))))*'Results'!$B$8)+'Inputs'!$B$28*ABS((('Results'!C7*(1+'Inputs'!$B$24)*(0.5*((((502-43)*MAX('Inputs'!$B$33,'Inputs'!$B$29+'Inputs'!$B$31+'Inputs'!$B$32,'Inputs'!$B$30+'Inputs'!$B$31+'Inputs'!$B$32)/1000+'Inputs'!$B$21)+'Inputs'!$B$9)/SQRT((((502-43)*MAX('Inputs'!$B$33,'Inputs'!$B$29+'Inputs'!$B$31+'Inputs'!$B$32,'Inputs'!$B$30+'Inputs'!$B$31+'Inputs'!$B$32)/1000+'Inputs'!$B$21)+'Inputs'!$B$9)^2+('Inputs'!$B$8/2)^2)-(((502-43)*MAX('Inputs'!$B$33,'Inputs'!$B$29+'Inputs'!$B$31+'Inputs'!$B$32,'Inputs'!$B$30+'Inputs'!$B$31+'Inputs'!$B$32)/1000+'Inputs'!$B$21))/SQRT((((502-43)*MAX('Inputs'!$B$33,'Inputs'!$B$29+'Inputs'!$B$31+'Inputs'!$B$32,'Inputs'!$B$30+'Inputs'!$B$31+'Inputs'!$B$32)/1000+'Inputs'!$B$21))^2+('Inputs'!$B$8/2)^2)))-'Results'!B7*(1-'Inputs'!$B$24)*(0.5*((((502-43)*MAX('Inputs'!$B$33,'Inputs'!$B$29+'Inputs'!$B$31+'Inputs'!$B$32,'Inputs'!$B$30+'Inputs'!$B$31+'Inputs'!$B$32)/1000+'Inputs'!$B$21+'Inputs'!$B$9+'Inputs'!$B$10)+'Inputs'!$B$7)/SQRT((((502-43)*MAX('Inputs'!$B$33,'Inputs'!$B$29+'Inputs'!$B$31+'Inputs'!$B$32,'Inputs'!$B$30+'Inputs'!$B$31+'Inputs'!$B$32)/1000+'Inputs'!$B$21+'Inputs'!$B$9+'Inputs'!$B$10)+'Inputs'!$B$7)^2+('Inputs'!$B$6/2)^2)-(((502-43)*MAX('Inputs'!$B$33,'Inputs'!$B$29+'Inputs'!$B$31+'Inputs'!$B$32,'Inputs'!$B$30+'Inputs'!$B$31+'Inputs'!$B$32)/1000+'Inputs'!$B$21+'Inputs'!$B$9+'Inputs'!$B$10))/SQRT((((502-43)*MAX('Inputs'!$B$33,'Inputs'!$B$29+'Inputs'!$B$31+'Inputs'!$B$32,'Inputs'!$B$30+'Inputs'!$B$31+'Inputs'!$B$32)/1000+'Inputs'!$B$21+'Inputs'!$B$9+'Inputs'!$B$10))^2+('Inputs'!$B$6/2)^2))))*'Results'!$B$8))),"")</x:f>
        <x:v>5.862807456556592</x:v>
      </x:c>
      <x:c r="P502" t="n">
        <x:f>IF(AND(MAX(J502,J501)&gt;0,J502&gt;J501+0.00000001),1,0)</x:f>
        <x:v>0</x:v>
      </x:c>
      <x:c r="Q502" t="n">
        <x:f>IF(AND(MAX(K502,K501)&gt;0,K502&gt;K501+0.00000001),1,0)</x:f>
        <x:v>0</x:v>
      </x:c>
      <x:c r="R502" t="n">
        <x:f>IF(AND(MAX(L502,L501)&gt;0,L502&gt;L501+0.00000001),1,0)</x:f>
        <x:v>0</x:v>
      </x:c>
      <x:c r="S502" t="n">
        <x:f>IF(AND(MAX(M502,M501)&gt;0,M502&gt;M501+0.00000001),1,0)</x:f>
        <x:v>0</x:v>
      </x:c>
      <x:c r="T502" t="n">
        <x:f>IF(AND(MAX(N502,N501)&gt;0,N502&gt;N501+0.00000001),1,0)</x:f>
        <x:v>0</x:v>
      </x:c>
      <x:c r="U502" t="n">
        <x:f>IF(AND(MAX(O502,O501)&gt;0,O502&gt;O501+0.00000001),1,0)</x:f>
        <x:v>0</x:v>
      </x:c>
    </x:row>
    <x:row r="503">
      <x:c r="J503" t="n">
        <x:f>IF(AND(ISNUMBER('Results'!B7),ISNUMBER('Results'!C7),ISNUMBER('Results'!$B$8),ISNUMBER('Inputs'!$B$6),ISNUMBER('Inputs'!$B$7),ISNUMBER('Inputs'!$B$8),ISNUMBER('Inputs'!$B$9),ISNUMBER('Inputs'!$B$10),ISNUMBER('Inputs'!$B$21),ISNUMBER('Inputs'!$B$24),ISNUMBER('Inputs'!$B$28)),(('Results'!B7*(0.5*((((503-43)*MAX('Inputs'!$B$33,'Inputs'!$B$29+'Inputs'!$B$31+'Inputs'!$B$32,'Inputs'!$B$30+'Inputs'!$B$31+'Inputs'!$B$32)/1000+'Inputs'!$B$21)+'Inputs'!$B$7)/SQRT((((503-43)*MAX('Inputs'!$B$33,'Inputs'!$B$29+'Inputs'!$B$31+'Inputs'!$B$32,'Inputs'!$B$30+'Inputs'!$B$31+'Inputs'!$B$32)/1000+'Inputs'!$B$21)+'Inputs'!$B$7)^2+('Inputs'!$B$6/2)^2)-(((503-43)*MAX('Inputs'!$B$33,'Inputs'!$B$29+'Inputs'!$B$31+'Inputs'!$B$32,'Inputs'!$B$30+'Inputs'!$B$31+'Inputs'!$B$32)/1000+'Inputs'!$B$21))/SQRT((((503-43)*MAX('Inputs'!$B$33,'Inputs'!$B$29+'Inputs'!$B$31+'Inputs'!$B$32,'Inputs'!$B$30+'Inputs'!$B$31+'Inputs'!$B$32)/1000+'Inputs'!$B$21))^2+('Inputs'!$B$6/2)^2)))-'Results'!C7*(0.5*((((503-43)*MAX('Inputs'!$B$33,'Inputs'!$B$29+'Inputs'!$B$31+'Inputs'!$B$32,'Inputs'!$B$30+'Inputs'!$B$31+'Inputs'!$B$32)/1000+'Inputs'!$B$21+'Inputs'!$B$7+'Inputs'!$B$10)+'Inputs'!$B$9)/SQRT((((503-43)*MAX('Inputs'!$B$33,'Inputs'!$B$29+'Inputs'!$B$31+'Inputs'!$B$32,'Inputs'!$B$30+'Inputs'!$B$31+'Inputs'!$B$32)/1000+'Inputs'!$B$21+'Inputs'!$B$7+'Inputs'!$B$10)+'Inputs'!$B$9)^2+('Inputs'!$B$8/2)^2)-(((503-43)*MAX('Inputs'!$B$33,'Inputs'!$B$29+'Inputs'!$B$31+'Inputs'!$B$32,'Inputs'!$B$30+'Inputs'!$B$31+'Inputs'!$B$32)/1000+'Inputs'!$B$21+'Inputs'!$B$7+'Inputs'!$B$10))/SQRT((((503-43)*MAX('Inputs'!$B$33,'Inputs'!$B$29+'Inputs'!$B$31+'Inputs'!$B$32,'Inputs'!$B$30+'Inputs'!$B$31+'Inputs'!$B$32)/1000+'Inputs'!$B$21+'Inputs'!$B$7+'Inputs'!$B$10))^2+('Inputs'!$B$8/2)^2))))*'Results'!$B$8),"")</x:f>
        <x:v>5.547414359231188</x:v>
      </x:c>
      <x:c r="K503" t="n">
        <x:f>IF(AND(ISNUMBER('Results'!B7),ISNUMBER('Results'!C7),ISNUMBER('Results'!$B$8),ISNUMBER('Inputs'!$B$6),ISNUMBER('Inputs'!$B$7),ISNUMBER('Inputs'!$B$8),ISNUMBER('Inputs'!$B$9),ISNUMBER('Inputs'!$B$10),ISNUMBER('Inputs'!$B$21),ISNUMBER('Inputs'!$B$24),ISNUMBER('Inputs'!$B$28)),((('Results'!B7*(1-'Inputs'!$B$24)*(0.5*((((503-43)*MAX('Inputs'!$B$33,'Inputs'!$B$29+'Inputs'!$B$31+'Inputs'!$B$32,'Inputs'!$B$30+'Inputs'!$B$31+'Inputs'!$B$32)/1000+'Inputs'!$B$21)+'Inputs'!$B$7)/SQRT((((503-43)*MAX('Inputs'!$B$33,'Inputs'!$B$29+'Inputs'!$B$31+'Inputs'!$B$32,'Inputs'!$B$30+'Inputs'!$B$31+'Inputs'!$B$32)/1000+'Inputs'!$B$21)+'Inputs'!$B$7)^2+('Inputs'!$B$6/2)^2)-(((503-43)*MAX('Inputs'!$B$33,'Inputs'!$B$29+'Inputs'!$B$31+'Inputs'!$B$32,'Inputs'!$B$30+'Inputs'!$B$31+'Inputs'!$B$32)/1000+'Inputs'!$B$21))/SQRT((((503-43)*MAX('Inputs'!$B$33,'Inputs'!$B$29+'Inputs'!$B$31+'Inputs'!$B$32,'Inputs'!$B$30+'Inputs'!$B$31+'Inputs'!$B$32)/1000+'Inputs'!$B$21))^2+('Inputs'!$B$6/2)^2)))-'Results'!C7*(1+'Inputs'!$B$24)*(0.5*((((503-43)*MAX('Inputs'!$B$33,'Inputs'!$B$29+'Inputs'!$B$31+'Inputs'!$B$32,'Inputs'!$B$30+'Inputs'!$B$31+'Inputs'!$B$32)/1000+'Inputs'!$B$21+'Inputs'!$B$7+'Inputs'!$B$10)+'Inputs'!$B$9)/SQRT((((503-43)*MAX('Inputs'!$B$33,'Inputs'!$B$29+'Inputs'!$B$31+'Inputs'!$B$32,'Inputs'!$B$30+'Inputs'!$B$31+'Inputs'!$B$32)/1000+'Inputs'!$B$21+'Inputs'!$B$7+'Inputs'!$B$10)+'Inputs'!$B$9)^2+('Inputs'!$B$8/2)^2)-(((503-43)*MAX('Inputs'!$B$33,'Inputs'!$B$29+'Inputs'!$B$31+'Inputs'!$B$32,'Inputs'!$B$30+'Inputs'!$B$31+'Inputs'!$B$32)/1000+'Inputs'!$B$21+'Inputs'!$B$7+'Inputs'!$B$10))/SQRT((((503-43)*MAX('Inputs'!$B$33,'Inputs'!$B$29+'Inputs'!$B$31+'Inputs'!$B$32,'Inputs'!$B$30+'Inputs'!$B$31+'Inputs'!$B$32)/1000+'Inputs'!$B$21+'Inputs'!$B$7+'Inputs'!$B$10))^2+('Inputs'!$B$8/2)^2))))*'Results'!$B$8)-'Inputs'!$B$28*ABS((('Results'!B7*(1-'Inputs'!$B$24)*(0.5*((((503-43)*MAX('Inputs'!$B$33,'Inputs'!$B$29+'Inputs'!$B$31+'Inputs'!$B$32,'Inputs'!$B$30+'Inputs'!$B$31+'Inputs'!$B$32)/1000+'Inputs'!$B$21)+'Inputs'!$B$7)/SQRT((((503-43)*MAX('Inputs'!$B$33,'Inputs'!$B$29+'Inputs'!$B$31+'Inputs'!$B$32,'Inputs'!$B$30+'Inputs'!$B$31+'Inputs'!$B$32)/1000+'Inputs'!$B$21)+'Inputs'!$B$7)^2+('Inputs'!$B$6/2)^2)-(((503-43)*MAX('Inputs'!$B$33,'Inputs'!$B$29+'Inputs'!$B$31+'Inputs'!$B$32,'Inputs'!$B$30+'Inputs'!$B$31+'Inputs'!$B$32)/1000+'Inputs'!$B$21))/SQRT((((503-43)*MAX('Inputs'!$B$33,'Inputs'!$B$29+'Inputs'!$B$31+'Inputs'!$B$32,'Inputs'!$B$30+'Inputs'!$B$31+'Inputs'!$B$32)/1000+'Inputs'!$B$21))^2+('Inputs'!$B$6/2)^2)))-'Results'!C7*(1+'Inputs'!$B$24)*(0.5*((((503-43)*MAX('Inputs'!$B$33,'Inputs'!$B$29+'Inputs'!$B$31+'Inputs'!$B$32,'Inputs'!$B$30+'Inputs'!$B$31+'Inputs'!$B$32)/1000+'Inputs'!$B$21+'Inputs'!$B$7+'Inputs'!$B$10)+'Inputs'!$B$9)/SQRT((((503-43)*MAX('Inputs'!$B$33,'Inputs'!$B$29+'Inputs'!$B$31+'Inputs'!$B$32,'Inputs'!$B$30+'Inputs'!$B$31+'Inputs'!$B$32)/1000+'Inputs'!$B$21+'Inputs'!$B$7+'Inputs'!$B$10)+'Inputs'!$B$9)^2+('Inputs'!$B$8/2)^2)-(((503-43)*MAX('Inputs'!$B$33,'Inputs'!$B$29+'Inputs'!$B$31+'Inputs'!$B$32,'Inputs'!$B$30+'Inputs'!$B$31+'Inputs'!$B$32)/1000+'Inputs'!$B$21+'Inputs'!$B$7+'Inputs'!$B$10))/SQRT((((503-43)*MAX('Inputs'!$B$33,'Inputs'!$B$29+'Inputs'!$B$31+'Inputs'!$B$32,'Inputs'!$B$30+'Inputs'!$B$31+'Inputs'!$B$32)/1000+'Inputs'!$B$21+'Inputs'!$B$7+'Inputs'!$B$10))^2+('Inputs'!$B$8/2)^2))))*'Results'!$B$8))),"")</x:f>
        <x:v>4.9345040075713555</x:v>
      </x:c>
      <x:c r="L503" t="n">
        <x:f>IF(AND(ISNUMBER('Results'!B7),ISNUMBER('Results'!C7),ISNUMBER('Results'!$B$8),ISNUMBER('Inputs'!$B$6),ISNUMBER('Inputs'!$B$7),ISNUMBER('Inputs'!$B$8),ISNUMBER('Inputs'!$B$9),ISNUMBER('Inputs'!$B$10),ISNUMBER('Inputs'!$B$21),ISNUMBER('Inputs'!$B$24),ISNUMBER('Inputs'!$B$28)),((('Results'!B7*(1+'Inputs'!$B$24)*(0.5*((((503-43)*MAX('Inputs'!$B$33,'Inputs'!$B$29+'Inputs'!$B$31+'Inputs'!$B$32,'Inputs'!$B$30+'Inputs'!$B$31+'Inputs'!$B$32)/1000+'Inputs'!$B$21)+'Inputs'!$B$7)/SQRT((((503-43)*MAX('Inputs'!$B$33,'Inputs'!$B$29+'Inputs'!$B$31+'Inputs'!$B$32,'Inputs'!$B$30+'Inputs'!$B$31+'Inputs'!$B$32)/1000+'Inputs'!$B$21)+'Inputs'!$B$7)^2+('Inputs'!$B$6/2)^2)-(((503-43)*MAX('Inputs'!$B$33,'Inputs'!$B$29+'Inputs'!$B$31+'Inputs'!$B$32,'Inputs'!$B$30+'Inputs'!$B$31+'Inputs'!$B$32)/1000+'Inputs'!$B$21))/SQRT((((503-43)*MAX('Inputs'!$B$33,'Inputs'!$B$29+'Inputs'!$B$31+'Inputs'!$B$32,'Inputs'!$B$30+'Inputs'!$B$31+'Inputs'!$B$32)/1000+'Inputs'!$B$21))^2+('Inputs'!$B$6/2)^2)))-'Results'!C7*(1-'Inputs'!$B$24)*(0.5*((((503-43)*MAX('Inputs'!$B$33,'Inputs'!$B$29+'Inputs'!$B$31+'Inputs'!$B$32,'Inputs'!$B$30+'Inputs'!$B$31+'Inputs'!$B$32)/1000+'Inputs'!$B$21+'Inputs'!$B$7+'Inputs'!$B$10)+'Inputs'!$B$9)/SQRT((((503-43)*MAX('Inputs'!$B$33,'Inputs'!$B$29+'Inputs'!$B$31+'Inputs'!$B$32,'Inputs'!$B$30+'Inputs'!$B$31+'Inputs'!$B$32)/1000+'Inputs'!$B$21+'Inputs'!$B$7+'Inputs'!$B$10)+'Inputs'!$B$9)^2+('Inputs'!$B$8/2)^2)-(((503-43)*MAX('Inputs'!$B$33,'Inputs'!$B$29+'Inputs'!$B$31+'Inputs'!$B$32,'Inputs'!$B$30+'Inputs'!$B$31+'Inputs'!$B$32)/1000+'Inputs'!$B$21+'Inputs'!$B$7+'Inputs'!$B$10))/SQRT((((503-43)*MAX('Inputs'!$B$33,'Inputs'!$B$29+'Inputs'!$B$31+'Inputs'!$B$32,'Inputs'!$B$30+'Inputs'!$B$31+'Inputs'!$B$32)/1000+'Inputs'!$B$21+'Inputs'!$B$7+'Inputs'!$B$10))^2+('Inputs'!$B$8/2)^2))))*'Results'!$B$8)+'Inputs'!$B$28*ABS((('Results'!B7*(1+'Inputs'!$B$24)*(0.5*((((503-43)*MAX('Inputs'!$B$33,'Inputs'!$B$29+'Inputs'!$B$31+'Inputs'!$B$32,'Inputs'!$B$30+'Inputs'!$B$31+'Inputs'!$B$32)/1000+'Inputs'!$B$21)+'Inputs'!$B$7)/SQRT((((503-43)*MAX('Inputs'!$B$33,'Inputs'!$B$29+'Inputs'!$B$31+'Inputs'!$B$32,'Inputs'!$B$30+'Inputs'!$B$31+'Inputs'!$B$32)/1000+'Inputs'!$B$21)+'Inputs'!$B$7)^2+('Inputs'!$B$6/2)^2)-(((503-43)*MAX('Inputs'!$B$33,'Inputs'!$B$29+'Inputs'!$B$31+'Inputs'!$B$32,'Inputs'!$B$30+'Inputs'!$B$31+'Inputs'!$B$32)/1000+'Inputs'!$B$21))/SQRT((((503-43)*MAX('Inputs'!$B$33,'Inputs'!$B$29+'Inputs'!$B$31+'Inputs'!$B$32,'Inputs'!$B$30+'Inputs'!$B$31+'Inputs'!$B$32)/1000+'Inputs'!$B$21))^2+('Inputs'!$B$6/2)^2)))-'Results'!C7*(1-'Inputs'!$B$24)*(0.5*((((503-43)*MAX('Inputs'!$B$33,'Inputs'!$B$29+'Inputs'!$B$31+'Inputs'!$B$32,'Inputs'!$B$30+'Inputs'!$B$31+'Inputs'!$B$32)/1000+'Inputs'!$B$21+'Inputs'!$B$7+'Inputs'!$B$10)+'Inputs'!$B$9)/SQRT((((503-43)*MAX('Inputs'!$B$33,'Inputs'!$B$29+'Inputs'!$B$31+'Inputs'!$B$32,'Inputs'!$B$30+'Inputs'!$B$31+'Inputs'!$B$32)/1000+'Inputs'!$B$21+'Inputs'!$B$7+'Inputs'!$B$10)+'Inputs'!$B$9)^2+('Inputs'!$B$8/2)^2)-(((503-43)*MAX('Inputs'!$B$33,'Inputs'!$B$29+'Inputs'!$B$31+'Inputs'!$B$32,'Inputs'!$B$30+'Inputs'!$B$31+'Inputs'!$B$32)/1000+'Inputs'!$B$21+'Inputs'!$B$7+'Inputs'!$B$10))/SQRT((((503-43)*MAX('Inputs'!$B$33,'Inputs'!$B$29+'Inputs'!$B$31+'Inputs'!$B$32,'Inputs'!$B$30+'Inputs'!$B$31+'Inputs'!$B$32)/1000+'Inputs'!$B$21+'Inputs'!$B$7+'Inputs'!$B$10))^2+('Inputs'!$B$8/2)^2))))*'Results'!$B$8))),"")</x:f>
        <x:v>6.1956446723329455</x:v>
      </x:c>
      <x:c r="M503" t="n">
        <x:f>IF(AND(ISNUMBER('Results'!C7),ISNUMBER('Results'!B7),ISNUMBER('Results'!$B$8),ISNUMBER('Inputs'!$B$6),ISNUMBER('Inputs'!$B$7),ISNUMBER('Inputs'!$B$8),ISNUMBER('Inputs'!$B$9),ISNUMBER('Inputs'!$B$10),ISNUMBER('Inputs'!$B$21),ISNUMBER('Inputs'!$B$24),ISNUMBER('Inputs'!$B$28)),(('Results'!C7*(0.5*((((503-43)*MAX('Inputs'!$B$33,'Inputs'!$B$29+'Inputs'!$B$31+'Inputs'!$B$32,'Inputs'!$B$30+'Inputs'!$B$31+'Inputs'!$B$32)/1000+'Inputs'!$B$21)+'Inputs'!$B$9)/SQRT((((503-43)*MAX('Inputs'!$B$33,'Inputs'!$B$29+'Inputs'!$B$31+'Inputs'!$B$32,'Inputs'!$B$30+'Inputs'!$B$31+'Inputs'!$B$32)/1000+'Inputs'!$B$21)+'Inputs'!$B$9)^2+('Inputs'!$B$8/2)^2)-(((503-43)*MAX('Inputs'!$B$33,'Inputs'!$B$29+'Inputs'!$B$31+'Inputs'!$B$32,'Inputs'!$B$30+'Inputs'!$B$31+'Inputs'!$B$32)/1000+'Inputs'!$B$21))/SQRT((((503-43)*MAX('Inputs'!$B$33,'Inputs'!$B$29+'Inputs'!$B$31+'Inputs'!$B$32,'Inputs'!$B$30+'Inputs'!$B$31+'Inputs'!$B$32)/1000+'Inputs'!$B$21))^2+('Inputs'!$B$8/2)^2)))-'Results'!B7*(0.5*((((503-43)*MAX('Inputs'!$B$33,'Inputs'!$B$29+'Inputs'!$B$31+'Inputs'!$B$32,'Inputs'!$B$30+'Inputs'!$B$31+'Inputs'!$B$32)/1000+'Inputs'!$B$21+'Inputs'!$B$9+'Inputs'!$B$10)+'Inputs'!$B$7)/SQRT((((503-43)*MAX('Inputs'!$B$33,'Inputs'!$B$29+'Inputs'!$B$31+'Inputs'!$B$32,'Inputs'!$B$30+'Inputs'!$B$31+'Inputs'!$B$32)/1000+'Inputs'!$B$21+'Inputs'!$B$9+'Inputs'!$B$10)+'Inputs'!$B$7)^2+('Inputs'!$B$6/2)^2)-(((503-43)*MAX('Inputs'!$B$33,'Inputs'!$B$29+'Inputs'!$B$31+'Inputs'!$B$32,'Inputs'!$B$30+'Inputs'!$B$31+'Inputs'!$B$32)/1000+'Inputs'!$B$21+'Inputs'!$B$9+'Inputs'!$B$10))/SQRT((((503-43)*MAX('Inputs'!$B$33,'Inputs'!$B$29+'Inputs'!$B$31+'Inputs'!$B$32,'Inputs'!$B$30+'Inputs'!$B$31+'Inputs'!$B$32)/1000+'Inputs'!$B$21+'Inputs'!$B$9+'Inputs'!$B$10))^2+('Inputs'!$B$6/2)^2))))*'Results'!$B$8),"")</x:f>
        <x:v>5.191742792493233</x:v>
      </x:c>
      <x:c r="N503" t="n">
        <x:f>IF(AND(ISNUMBER('Results'!C7),ISNUMBER('Results'!B7),ISNUMBER('Results'!$B$8),ISNUMBER('Inputs'!$B$6),ISNUMBER('Inputs'!$B$7),ISNUMBER('Inputs'!$B$8),ISNUMBER('Inputs'!$B$9),ISNUMBER('Inputs'!$B$10),ISNUMBER('Inputs'!$B$21),ISNUMBER('Inputs'!$B$24),ISNUMBER('Inputs'!$B$28)),((('Results'!C7*(1-'Inputs'!$B$24)*(0.5*((((503-43)*MAX('Inputs'!$B$33,'Inputs'!$B$29+'Inputs'!$B$31+'Inputs'!$B$32,'Inputs'!$B$30+'Inputs'!$B$31+'Inputs'!$B$32)/1000+'Inputs'!$B$21)+'Inputs'!$B$9)/SQRT((((503-43)*MAX('Inputs'!$B$33,'Inputs'!$B$29+'Inputs'!$B$31+'Inputs'!$B$32,'Inputs'!$B$30+'Inputs'!$B$31+'Inputs'!$B$32)/1000+'Inputs'!$B$21)+'Inputs'!$B$9)^2+('Inputs'!$B$8/2)^2)-(((503-43)*MAX('Inputs'!$B$33,'Inputs'!$B$29+'Inputs'!$B$31+'Inputs'!$B$32,'Inputs'!$B$30+'Inputs'!$B$31+'Inputs'!$B$32)/1000+'Inputs'!$B$21))/SQRT((((503-43)*MAX('Inputs'!$B$33,'Inputs'!$B$29+'Inputs'!$B$31+'Inputs'!$B$32,'Inputs'!$B$30+'Inputs'!$B$31+'Inputs'!$B$32)/1000+'Inputs'!$B$21))^2+('Inputs'!$B$8/2)^2)))-'Results'!B7*(1+'Inputs'!$B$24)*(0.5*((((503-43)*MAX('Inputs'!$B$33,'Inputs'!$B$29+'Inputs'!$B$31+'Inputs'!$B$32,'Inputs'!$B$30+'Inputs'!$B$31+'Inputs'!$B$32)/1000+'Inputs'!$B$21+'Inputs'!$B$9+'Inputs'!$B$10)+'Inputs'!$B$7)/SQRT((((503-43)*MAX('Inputs'!$B$33,'Inputs'!$B$29+'Inputs'!$B$31+'Inputs'!$B$32,'Inputs'!$B$30+'Inputs'!$B$31+'Inputs'!$B$32)/1000+'Inputs'!$B$21+'Inputs'!$B$9+'Inputs'!$B$10)+'Inputs'!$B$7)^2+('Inputs'!$B$6/2)^2)-(((503-43)*MAX('Inputs'!$B$33,'Inputs'!$B$29+'Inputs'!$B$31+'Inputs'!$B$32,'Inputs'!$B$30+'Inputs'!$B$31+'Inputs'!$B$32)/1000+'Inputs'!$B$21+'Inputs'!$B$9+'Inputs'!$B$10))/SQRT((((503-43)*MAX('Inputs'!$B$33,'Inputs'!$B$29+'Inputs'!$B$31+'Inputs'!$B$32,'Inputs'!$B$30+'Inputs'!$B$31+'Inputs'!$B$32)/1000+'Inputs'!$B$21+'Inputs'!$B$9+'Inputs'!$B$10))^2+('Inputs'!$B$6/2)^2))))*'Results'!$B$8)-'Inputs'!$B$28*ABS((('Results'!C7*(1-'Inputs'!$B$24)*(0.5*((((503-43)*MAX('Inputs'!$B$33,'Inputs'!$B$29+'Inputs'!$B$31+'Inputs'!$B$32,'Inputs'!$B$30+'Inputs'!$B$31+'Inputs'!$B$32)/1000+'Inputs'!$B$21)+'Inputs'!$B$9)/SQRT((((503-43)*MAX('Inputs'!$B$33,'Inputs'!$B$29+'Inputs'!$B$31+'Inputs'!$B$32,'Inputs'!$B$30+'Inputs'!$B$31+'Inputs'!$B$32)/1000+'Inputs'!$B$21)+'Inputs'!$B$9)^2+('Inputs'!$B$8/2)^2)-(((503-43)*MAX('Inputs'!$B$33,'Inputs'!$B$29+'Inputs'!$B$31+'Inputs'!$B$32,'Inputs'!$B$30+'Inputs'!$B$31+'Inputs'!$B$32)/1000+'Inputs'!$B$21))/SQRT((((503-43)*MAX('Inputs'!$B$33,'Inputs'!$B$29+'Inputs'!$B$31+'Inputs'!$B$32,'Inputs'!$B$30+'Inputs'!$B$31+'Inputs'!$B$32)/1000+'Inputs'!$B$21))^2+('Inputs'!$B$8/2)^2)))-'Results'!B7*(1+'Inputs'!$B$24)*(0.5*((((503-43)*MAX('Inputs'!$B$33,'Inputs'!$B$29+'Inputs'!$B$31+'Inputs'!$B$32,'Inputs'!$B$30+'Inputs'!$B$31+'Inputs'!$B$32)/1000+'Inputs'!$B$21+'Inputs'!$B$9+'Inputs'!$B$10)+'Inputs'!$B$7)/SQRT((((503-43)*MAX('Inputs'!$B$33,'Inputs'!$B$29+'Inputs'!$B$31+'Inputs'!$B$32,'Inputs'!$B$30+'Inputs'!$B$31+'Inputs'!$B$32)/1000+'Inputs'!$B$21+'Inputs'!$B$9+'Inputs'!$B$10)+'Inputs'!$B$7)^2+('Inputs'!$B$6/2)^2)-(((503-43)*MAX('Inputs'!$B$33,'Inputs'!$B$29+'Inputs'!$B$31+'Inputs'!$B$32,'Inputs'!$B$30+'Inputs'!$B$31+'Inputs'!$B$32)/1000+'Inputs'!$B$21+'Inputs'!$B$9+'Inputs'!$B$10))/SQRT((((503-43)*MAX('Inputs'!$B$33,'Inputs'!$B$29+'Inputs'!$B$31+'Inputs'!$B$32,'Inputs'!$B$30+'Inputs'!$B$31+'Inputs'!$B$32)/1000+'Inputs'!$B$21+'Inputs'!$B$9+'Inputs'!$B$10))^2+('Inputs'!$B$6/2)^2))))*'Results'!$B$8))),"")</x:f>
        <x:v>4.59867706953275</x:v>
      </x:c>
      <x:c r="O503" t="n">
        <x:f>IF(AND(ISNUMBER('Results'!C7),ISNUMBER('Results'!B7),ISNUMBER('Results'!$B$8),ISNUMBER('Inputs'!$B$6),ISNUMBER('Inputs'!$B$7),ISNUMBER('Inputs'!$B$8),ISNUMBER('Inputs'!$B$9),ISNUMBER('Inputs'!$B$10),ISNUMBER('Inputs'!$B$21),ISNUMBER('Inputs'!$B$24),ISNUMBER('Inputs'!$B$28)),((('Results'!C7*(1+'Inputs'!$B$24)*(0.5*((((503-43)*MAX('Inputs'!$B$33,'Inputs'!$B$29+'Inputs'!$B$31+'Inputs'!$B$32,'Inputs'!$B$30+'Inputs'!$B$31+'Inputs'!$B$32)/1000+'Inputs'!$B$21)+'Inputs'!$B$9)/SQRT((((503-43)*MAX('Inputs'!$B$33,'Inputs'!$B$29+'Inputs'!$B$31+'Inputs'!$B$32,'Inputs'!$B$30+'Inputs'!$B$31+'Inputs'!$B$32)/1000+'Inputs'!$B$21)+'Inputs'!$B$9)^2+('Inputs'!$B$8/2)^2)-(((503-43)*MAX('Inputs'!$B$33,'Inputs'!$B$29+'Inputs'!$B$31+'Inputs'!$B$32,'Inputs'!$B$30+'Inputs'!$B$31+'Inputs'!$B$32)/1000+'Inputs'!$B$21))/SQRT((((503-43)*MAX('Inputs'!$B$33,'Inputs'!$B$29+'Inputs'!$B$31+'Inputs'!$B$32,'Inputs'!$B$30+'Inputs'!$B$31+'Inputs'!$B$32)/1000+'Inputs'!$B$21))^2+('Inputs'!$B$8/2)^2)))-'Results'!B7*(1-'Inputs'!$B$24)*(0.5*((((503-43)*MAX('Inputs'!$B$33,'Inputs'!$B$29+'Inputs'!$B$31+'Inputs'!$B$32,'Inputs'!$B$30+'Inputs'!$B$31+'Inputs'!$B$32)/1000+'Inputs'!$B$21+'Inputs'!$B$9+'Inputs'!$B$10)+'Inputs'!$B$7)/SQRT((((503-43)*MAX('Inputs'!$B$33,'Inputs'!$B$29+'Inputs'!$B$31+'Inputs'!$B$32,'Inputs'!$B$30+'Inputs'!$B$31+'Inputs'!$B$32)/1000+'Inputs'!$B$21+'Inputs'!$B$9+'Inputs'!$B$10)+'Inputs'!$B$7)^2+('Inputs'!$B$6/2)^2)-(((503-43)*MAX('Inputs'!$B$33,'Inputs'!$B$29+'Inputs'!$B$31+'Inputs'!$B$32,'Inputs'!$B$30+'Inputs'!$B$31+'Inputs'!$B$32)/1000+'Inputs'!$B$21+'Inputs'!$B$9+'Inputs'!$B$10))/SQRT((((503-43)*MAX('Inputs'!$B$33,'Inputs'!$B$29+'Inputs'!$B$31+'Inputs'!$B$32,'Inputs'!$B$30+'Inputs'!$B$31+'Inputs'!$B$32)/1000+'Inputs'!$B$21+'Inputs'!$B$9+'Inputs'!$B$10))^2+('Inputs'!$B$6/2)^2))))*'Results'!$B$8)+'Inputs'!$B$28*ABS((('Results'!C7*(1+'Inputs'!$B$24)*(0.5*((((503-43)*MAX('Inputs'!$B$33,'Inputs'!$B$29+'Inputs'!$B$31+'Inputs'!$B$32,'Inputs'!$B$30+'Inputs'!$B$31+'Inputs'!$B$32)/1000+'Inputs'!$B$21)+'Inputs'!$B$9)/SQRT((((503-43)*MAX('Inputs'!$B$33,'Inputs'!$B$29+'Inputs'!$B$31+'Inputs'!$B$32,'Inputs'!$B$30+'Inputs'!$B$31+'Inputs'!$B$32)/1000+'Inputs'!$B$21)+'Inputs'!$B$9)^2+('Inputs'!$B$8/2)^2)-(((503-43)*MAX('Inputs'!$B$33,'Inputs'!$B$29+'Inputs'!$B$31+'Inputs'!$B$32,'Inputs'!$B$30+'Inputs'!$B$31+'Inputs'!$B$32)/1000+'Inputs'!$B$21))/SQRT((((503-43)*MAX('Inputs'!$B$33,'Inputs'!$B$29+'Inputs'!$B$31+'Inputs'!$B$32,'Inputs'!$B$30+'Inputs'!$B$31+'Inputs'!$B$32)/1000+'Inputs'!$B$21))^2+('Inputs'!$B$8/2)^2)))-'Results'!B7*(1-'Inputs'!$B$24)*(0.5*((((503-43)*MAX('Inputs'!$B$33,'Inputs'!$B$29+'Inputs'!$B$31+'Inputs'!$B$32,'Inputs'!$B$30+'Inputs'!$B$31+'Inputs'!$B$32)/1000+'Inputs'!$B$21+'Inputs'!$B$9+'Inputs'!$B$10)+'Inputs'!$B$7)/SQRT((((503-43)*MAX('Inputs'!$B$33,'Inputs'!$B$29+'Inputs'!$B$31+'Inputs'!$B$32,'Inputs'!$B$30+'Inputs'!$B$31+'Inputs'!$B$32)/1000+'Inputs'!$B$21+'Inputs'!$B$9+'Inputs'!$B$10)+'Inputs'!$B$7)^2+('Inputs'!$B$6/2)^2)-(((503-43)*MAX('Inputs'!$B$33,'Inputs'!$B$29+'Inputs'!$B$31+'Inputs'!$B$32,'Inputs'!$B$30+'Inputs'!$B$31+'Inputs'!$B$32)/1000+'Inputs'!$B$21+'Inputs'!$B$9+'Inputs'!$B$10))/SQRT((((503-43)*MAX('Inputs'!$B$33,'Inputs'!$B$29+'Inputs'!$B$31+'Inputs'!$B$32,'Inputs'!$B$30+'Inputs'!$B$31+'Inputs'!$B$32)/1000+'Inputs'!$B$21+'Inputs'!$B$9+'Inputs'!$B$10))^2+('Inputs'!$B$6/2)^2))))*'Results'!$B$8))),"")</x:f>
        <x:v>5.819911524225908</x:v>
      </x:c>
      <x:c r="P503" t="n">
        <x:f>IF(AND(MAX(J503,J502)&gt;0,J503&gt;J502+0.00000001),1,0)</x:f>
        <x:v>0</x:v>
      </x:c>
      <x:c r="Q503" t="n">
        <x:f>IF(AND(MAX(K503,K502)&gt;0,K503&gt;K502+0.00000001),1,0)</x:f>
        <x:v>0</x:v>
      </x:c>
      <x:c r="R503" t="n">
        <x:f>IF(AND(MAX(L503,L502)&gt;0,L503&gt;L502+0.00000001),1,0)</x:f>
        <x:v>0</x:v>
      </x:c>
      <x:c r="S503" t="n">
        <x:f>IF(AND(MAX(M503,M502)&gt;0,M503&gt;M502+0.00000001),1,0)</x:f>
        <x:v>0</x:v>
      </x:c>
      <x:c r="T503" t="n">
        <x:f>IF(AND(MAX(N503,N502)&gt;0,N503&gt;N502+0.00000001),1,0)</x:f>
        <x:v>0</x:v>
      </x:c>
      <x:c r="U503" t="n">
        <x:f>IF(AND(MAX(O503,O502)&gt;0,O503&gt;O502+0.00000001),1,0)</x:f>
        <x:v>0</x:v>
      </x:c>
    </x:row>
    <x:row r="504">
      <x:c r="J504" t="n">
        <x:f>IF(AND(ISNUMBER('Results'!B7),ISNUMBER('Results'!C7),ISNUMBER('Results'!$B$8),ISNUMBER('Inputs'!$B$6),ISNUMBER('Inputs'!$B$7),ISNUMBER('Inputs'!$B$8),ISNUMBER('Inputs'!$B$9),ISNUMBER('Inputs'!$B$10),ISNUMBER('Inputs'!$B$21),ISNUMBER('Inputs'!$B$24),ISNUMBER('Inputs'!$B$28)),(('Results'!B7*(0.5*((((504-43)*MAX('Inputs'!$B$33,'Inputs'!$B$29+'Inputs'!$B$31+'Inputs'!$B$32,'Inputs'!$B$30+'Inputs'!$B$31+'Inputs'!$B$32)/1000+'Inputs'!$B$21)+'Inputs'!$B$7)/SQRT((((504-43)*MAX('Inputs'!$B$33,'Inputs'!$B$29+'Inputs'!$B$31+'Inputs'!$B$32,'Inputs'!$B$30+'Inputs'!$B$31+'Inputs'!$B$32)/1000+'Inputs'!$B$21)+'Inputs'!$B$7)^2+('Inputs'!$B$6/2)^2)-(((504-43)*MAX('Inputs'!$B$33,'Inputs'!$B$29+'Inputs'!$B$31+'Inputs'!$B$32,'Inputs'!$B$30+'Inputs'!$B$31+'Inputs'!$B$32)/1000+'Inputs'!$B$21))/SQRT((((504-43)*MAX('Inputs'!$B$33,'Inputs'!$B$29+'Inputs'!$B$31+'Inputs'!$B$32,'Inputs'!$B$30+'Inputs'!$B$31+'Inputs'!$B$32)/1000+'Inputs'!$B$21))^2+('Inputs'!$B$6/2)^2)))-'Results'!C7*(0.5*((((504-43)*MAX('Inputs'!$B$33,'Inputs'!$B$29+'Inputs'!$B$31+'Inputs'!$B$32,'Inputs'!$B$30+'Inputs'!$B$31+'Inputs'!$B$32)/1000+'Inputs'!$B$21+'Inputs'!$B$7+'Inputs'!$B$10)+'Inputs'!$B$9)/SQRT((((504-43)*MAX('Inputs'!$B$33,'Inputs'!$B$29+'Inputs'!$B$31+'Inputs'!$B$32,'Inputs'!$B$30+'Inputs'!$B$31+'Inputs'!$B$32)/1000+'Inputs'!$B$21+'Inputs'!$B$7+'Inputs'!$B$10)+'Inputs'!$B$9)^2+('Inputs'!$B$8/2)^2)-(((504-43)*MAX('Inputs'!$B$33,'Inputs'!$B$29+'Inputs'!$B$31+'Inputs'!$B$32,'Inputs'!$B$30+'Inputs'!$B$31+'Inputs'!$B$32)/1000+'Inputs'!$B$21+'Inputs'!$B$7+'Inputs'!$B$10))/SQRT((((504-43)*MAX('Inputs'!$B$33,'Inputs'!$B$29+'Inputs'!$B$31+'Inputs'!$B$32,'Inputs'!$B$30+'Inputs'!$B$31+'Inputs'!$B$32)/1000+'Inputs'!$B$21+'Inputs'!$B$7+'Inputs'!$B$10))^2+('Inputs'!$B$8/2)^2))))*'Results'!$B$8),"")</x:f>
        <x:v>5.506906149053294</x:v>
      </x:c>
      <x:c r="K504" t="n">
        <x:f>IF(AND(ISNUMBER('Results'!B7),ISNUMBER('Results'!C7),ISNUMBER('Results'!$B$8),ISNUMBER('Inputs'!$B$6),ISNUMBER('Inputs'!$B$7),ISNUMBER('Inputs'!$B$8),ISNUMBER('Inputs'!$B$9),ISNUMBER('Inputs'!$B$10),ISNUMBER('Inputs'!$B$21),ISNUMBER('Inputs'!$B$24),ISNUMBER('Inputs'!$B$28)),((('Results'!B7*(1-'Inputs'!$B$24)*(0.5*((((504-43)*MAX('Inputs'!$B$33,'Inputs'!$B$29+'Inputs'!$B$31+'Inputs'!$B$32,'Inputs'!$B$30+'Inputs'!$B$31+'Inputs'!$B$32)/1000+'Inputs'!$B$21)+'Inputs'!$B$7)/SQRT((((504-43)*MAX('Inputs'!$B$33,'Inputs'!$B$29+'Inputs'!$B$31+'Inputs'!$B$32,'Inputs'!$B$30+'Inputs'!$B$31+'Inputs'!$B$32)/1000+'Inputs'!$B$21)+'Inputs'!$B$7)^2+('Inputs'!$B$6/2)^2)-(((504-43)*MAX('Inputs'!$B$33,'Inputs'!$B$29+'Inputs'!$B$31+'Inputs'!$B$32,'Inputs'!$B$30+'Inputs'!$B$31+'Inputs'!$B$32)/1000+'Inputs'!$B$21))/SQRT((((504-43)*MAX('Inputs'!$B$33,'Inputs'!$B$29+'Inputs'!$B$31+'Inputs'!$B$32,'Inputs'!$B$30+'Inputs'!$B$31+'Inputs'!$B$32)/1000+'Inputs'!$B$21))^2+('Inputs'!$B$6/2)^2)))-'Results'!C7*(1+'Inputs'!$B$24)*(0.5*((((504-43)*MAX('Inputs'!$B$33,'Inputs'!$B$29+'Inputs'!$B$31+'Inputs'!$B$32,'Inputs'!$B$30+'Inputs'!$B$31+'Inputs'!$B$32)/1000+'Inputs'!$B$21+'Inputs'!$B$7+'Inputs'!$B$10)+'Inputs'!$B$9)/SQRT((((504-43)*MAX('Inputs'!$B$33,'Inputs'!$B$29+'Inputs'!$B$31+'Inputs'!$B$32,'Inputs'!$B$30+'Inputs'!$B$31+'Inputs'!$B$32)/1000+'Inputs'!$B$21+'Inputs'!$B$7+'Inputs'!$B$10)+'Inputs'!$B$9)^2+('Inputs'!$B$8/2)^2)-(((504-43)*MAX('Inputs'!$B$33,'Inputs'!$B$29+'Inputs'!$B$31+'Inputs'!$B$32,'Inputs'!$B$30+'Inputs'!$B$31+'Inputs'!$B$32)/1000+'Inputs'!$B$21+'Inputs'!$B$7+'Inputs'!$B$10))/SQRT((((504-43)*MAX('Inputs'!$B$33,'Inputs'!$B$29+'Inputs'!$B$31+'Inputs'!$B$32,'Inputs'!$B$30+'Inputs'!$B$31+'Inputs'!$B$32)/1000+'Inputs'!$B$21+'Inputs'!$B$7+'Inputs'!$B$10))^2+('Inputs'!$B$8/2)^2))))*'Results'!$B$8)-'Inputs'!$B$28*ABS((('Results'!B7*(1-'Inputs'!$B$24)*(0.5*((((504-43)*MAX('Inputs'!$B$33,'Inputs'!$B$29+'Inputs'!$B$31+'Inputs'!$B$32,'Inputs'!$B$30+'Inputs'!$B$31+'Inputs'!$B$32)/1000+'Inputs'!$B$21)+'Inputs'!$B$7)/SQRT((((504-43)*MAX('Inputs'!$B$33,'Inputs'!$B$29+'Inputs'!$B$31+'Inputs'!$B$32,'Inputs'!$B$30+'Inputs'!$B$31+'Inputs'!$B$32)/1000+'Inputs'!$B$21)+'Inputs'!$B$7)^2+('Inputs'!$B$6/2)^2)-(((504-43)*MAX('Inputs'!$B$33,'Inputs'!$B$29+'Inputs'!$B$31+'Inputs'!$B$32,'Inputs'!$B$30+'Inputs'!$B$31+'Inputs'!$B$32)/1000+'Inputs'!$B$21))/SQRT((((504-43)*MAX('Inputs'!$B$33,'Inputs'!$B$29+'Inputs'!$B$31+'Inputs'!$B$32,'Inputs'!$B$30+'Inputs'!$B$31+'Inputs'!$B$32)/1000+'Inputs'!$B$21))^2+('Inputs'!$B$6/2)^2)))-'Results'!C7*(1+'Inputs'!$B$24)*(0.5*((((504-43)*MAX('Inputs'!$B$33,'Inputs'!$B$29+'Inputs'!$B$31+'Inputs'!$B$32,'Inputs'!$B$30+'Inputs'!$B$31+'Inputs'!$B$32)/1000+'Inputs'!$B$21+'Inputs'!$B$7+'Inputs'!$B$10)+'Inputs'!$B$9)/SQRT((((504-43)*MAX('Inputs'!$B$33,'Inputs'!$B$29+'Inputs'!$B$31+'Inputs'!$B$32,'Inputs'!$B$30+'Inputs'!$B$31+'Inputs'!$B$32)/1000+'Inputs'!$B$21+'Inputs'!$B$7+'Inputs'!$B$10)+'Inputs'!$B$9)^2+('Inputs'!$B$8/2)^2)-(((504-43)*MAX('Inputs'!$B$33,'Inputs'!$B$29+'Inputs'!$B$31+'Inputs'!$B$32,'Inputs'!$B$30+'Inputs'!$B$31+'Inputs'!$B$32)/1000+'Inputs'!$B$21+'Inputs'!$B$7+'Inputs'!$B$10))/SQRT((((504-43)*MAX('Inputs'!$B$33,'Inputs'!$B$29+'Inputs'!$B$31+'Inputs'!$B$32,'Inputs'!$B$30+'Inputs'!$B$31+'Inputs'!$B$32)/1000+'Inputs'!$B$21+'Inputs'!$B$7+'Inputs'!$B$10))^2+('Inputs'!$B$8/2)^2))))*'Results'!$B$8))),"")</x:f>
        <x:v>4.8979296436945745</x:v>
      </x:c>
      <x:c r="L504" t="n">
        <x:f>IF(AND(ISNUMBER('Results'!B7),ISNUMBER('Results'!C7),ISNUMBER('Results'!$B$8),ISNUMBER('Inputs'!$B$6),ISNUMBER('Inputs'!$B$7),ISNUMBER('Inputs'!$B$8),ISNUMBER('Inputs'!$B$9),ISNUMBER('Inputs'!$B$10),ISNUMBER('Inputs'!$B$21),ISNUMBER('Inputs'!$B$24),ISNUMBER('Inputs'!$B$28)),((('Results'!B7*(1+'Inputs'!$B$24)*(0.5*((((504-43)*MAX('Inputs'!$B$33,'Inputs'!$B$29+'Inputs'!$B$31+'Inputs'!$B$32,'Inputs'!$B$30+'Inputs'!$B$31+'Inputs'!$B$32)/1000+'Inputs'!$B$21)+'Inputs'!$B$7)/SQRT((((504-43)*MAX('Inputs'!$B$33,'Inputs'!$B$29+'Inputs'!$B$31+'Inputs'!$B$32,'Inputs'!$B$30+'Inputs'!$B$31+'Inputs'!$B$32)/1000+'Inputs'!$B$21)+'Inputs'!$B$7)^2+('Inputs'!$B$6/2)^2)-(((504-43)*MAX('Inputs'!$B$33,'Inputs'!$B$29+'Inputs'!$B$31+'Inputs'!$B$32,'Inputs'!$B$30+'Inputs'!$B$31+'Inputs'!$B$32)/1000+'Inputs'!$B$21))/SQRT((((504-43)*MAX('Inputs'!$B$33,'Inputs'!$B$29+'Inputs'!$B$31+'Inputs'!$B$32,'Inputs'!$B$30+'Inputs'!$B$31+'Inputs'!$B$32)/1000+'Inputs'!$B$21))^2+('Inputs'!$B$6/2)^2)))-'Results'!C7*(1-'Inputs'!$B$24)*(0.5*((((504-43)*MAX('Inputs'!$B$33,'Inputs'!$B$29+'Inputs'!$B$31+'Inputs'!$B$32,'Inputs'!$B$30+'Inputs'!$B$31+'Inputs'!$B$32)/1000+'Inputs'!$B$21+'Inputs'!$B$7+'Inputs'!$B$10)+'Inputs'!$B$9)/SQRT((((504-43)*MAX('Inputs'!$B$33,'Inputs'!$B$29+'Inputs'!$B$31+'Inputs'!$B$32,'Inputs'!$B$30+'Inputs'!$B$31+'Inputs'!$B$32)/1000+'Inputs'!$B$21+'Inputs'!$B$7+'Inputs'!$B$10)+'Inputs'!$B$9)^2+('Inputs'!$B$8/2)^2)-(((504-43)*MAX('Inputs'!$B$33,'Inputs'!$B$29+'Inputs'!$B$31+'Inputs'!$B$32,'Inputs'!$B$30+'Inputs'!$B$31+'Inputs'!$B$32)/1000+'Inputs'!$B$21+'Inputs'!$B$7+'Inputs'!$B$10))/SQRT((((504-43)*MAX('Inputs'!$B$33,'Inputs'!$B$29+'Inputs'!$B$31+'Inputs'!$B$32,'Inputs'!$B$30+'Inputs'!$B$31+'Inputs'!$B$32)/1000+'Inputs'!$B$21+'Inputs'!$B$7+'Inputs'!$B$10))^2+('Inputs'!$B$8/2)^2))))*'Results'!$B$8)+'Inputs'!$B$28*ABS((('Results'!B7*(1+'Inputs'!$B$24)*(0.5*((((504-43)*MAX('Inputs'!$B$33,'Inputs'!$B$29+'Inputs'!$B$31+'Inputs'!$B$32,'Inputs'!$B$30+'Inputs'!$B$31+'Inputs'!$B$32)/1000+'Inputs'!$B$21)+'Inputs'!$B$7)/SQRT((((504-43)*MAX('Inputs'!$B$33,'Inputs'!$B$29+'Inputs'!$B$31+'Inputs'!$B$32,'Inputs'!$B$30+'Inputs'!$B$31+'Inputs'!$B$32)/1000+'Inputs'!$B$21)+'Inputs'!$B$7)^2+('Inputs'!$B$6/2)^2)-(((504-43)*MAX('Inputs'!$B$33,'Inputs'!$B$29+'Inputs'!$B$31+'Inputs'!$B$32,'Inputs'!$B$30+'Inputs'!$B$31+'Inputs'!$B$32)/1000+'Inputs'!$B$21))/SQRT((((504-43)*MAX('Inputs'!$B$33,'Inputs'!$B$29+'Inputs'!$B$31+'Inputs'!$B$32,'Inputs'!$B$30+'Inputs'!$B$31+'Inputs'!$B$32)/1000+'Inputs'!$B$21))^2+('Inputs'!$B$6/2)^2)))-'Results'!C7*(1-'Inputs'!$B$24)*(0.5*((((504-43)*MAX('Inputs'!$B$33,'Inputs'!$B$29+'Inputs'!$B$31+'Inputs'!$B$32,'Inputs'!$B$30+'Inputs'!$B$31+'Inputs'!$B$32)/1000+'Inputs'!$B$21+'Inputs'!$B$7+'Inputs'!$B$10)+'Inputs'!$B$9)/SQRT((((504-43)*MAX('Inputs'!$B$33,'Inputs'!$B$29+'Inputs'!$B$31+'Inputs'!$B$32,'Inputs'!$B$30+'Inputs'!$B$31+'Inputs'!$B$32)/1000+'Inputs'!$B$21+'Inputs'!$B$7+'Inputs'!$B$10)+'Inputs'!$B$9)^2+('Inputs'!$B$8/2)^2)-(((504-43)*MAX('Inputs'!$B$33,'Inputs'!$B$29+'Inputs'!$B$31+'Inputs'!$B$32,'Inputs'!$B$30+'Inputs'!$B$31+'Inputs'!$B$32)/1000+'Inputs'!$B$21+'Inputs'!$B$7+'Inputs'!$B$10))/SQRT((((504-43)*MAX('Inputs'!$B$33,'Inputs'!$B$29+'Inputs'!$B$31+'Inputs'!$B$32,'Inputs'!$B$30+'Inputs'!$B$31+'Inputs'!$B$32)/1000+'Inputs'!$B$21+'Inputs'!$B$7+'Inputs'!$B$10))^2+('Inputs'!$B$8/2)^2))))*'Results'!$B$8))),"")</x:f>
        <x:v>6.151001727875808</x:v>
      </x:c>
      <x:c r="M504" t="n">
        <x:f>IF(AND(ISNUMBER('Results'!C7),ISNUMBER('Results'!B7),ISNUMBER('Results'!$B$8),ISNUMBER('Inputs'!$B$6),ISNUMBER('Inputs'!$B$7),ISNUMBER('Inputs'!$B$8),ISNUMBER('Inputs'!$B$9),ISNUMBER('Inputs'!$B$10),ISNUMBER('Inputs'!$B$21),ISNUMBER('Inputs'!$B$24),ISNUMBER('Inputs'!$B$28)),(('Results'!C7*(0.5*((((504-43)*MAX('Inputs'!$B$33,'Inputs'!$B$29+'Inputs'!$B$31+'Inputs'!$B$32,'Inputs'!$B$30+'Inputs'!$B$31+'Inputs'!$B$32)/1000+'Inputs'!$B$21)+'Inputs'!$B$9)/SQRT((((504-43)*MAX('Inputs'!$B$33,'Inputs'!$B$29+'Inputs'!$B$31+'Inputs'!$B$32,'Inputs'!$B$30+'Inputs'!$B$31+'Inputs'!$B$32)/1000+'Inputs'!$B$21)+'Inputs'!$B$9)^2+('Inputs'!$B$8/2)^2)-(((504-43)*MAX('Inputs'!$B$33,'Inputs'!$B$29+'Inputs'!$B$31+'Inputs'!$B$32,'Inputs'!$B$30+'Inputs'!$B$31+'Inputs'!$B$32)/1000+'Inputs'!$B$21))/SQRT((((504-43)*MAX('Inputs'!$B$33,'Inputs'!$B$29+'Inputs'!$B$31+'Inputs'!$B$32,'Inputs'!$B$30+'Inputs'!$B$31+'Inputs'!$B$32)/1000+'Inputs'!$B$21))^2+('Inputs'!$B$8/2)^2)))-'Results'!B7*(0.5*((((504-43)*MAX('Inputs'!$B$33,'Inputs'!$B$29+'Inputs'!$B$31+'Inputs'!$B$32,'Inputs'!$B$30+'Inputs'!$B$31+'Inputs'!$B$32)/1000+'Inputs'!$B$21+'Inputs'!$B$9+'Inputs'!$B$10)+'Inputs'!$B$7)/SQRT((((504-43)*MAX('Inputs'!$B$33,'Inputs'!$B$29+'Inputs'!$B$31+'Inputs'!$B$32,'Inputs'!$B$30+'Inputs'!$B$31+'Inputs'!$B$32)/1000+'Inputs'!$B$21+'Inputs'!$B$9+'Inputs'!$B$10)+'Inputs'!$B$7)^2+('Inputs'!$B$6/2)^2)-(((504-43)*MAX('Inputs'!$B$33,'Inputs'!$B$29+'Inputs'!$B$31+'Inputs'!$B$32,'Inputs'!$B$30+'Inputs'!$B$31+'Inputs'!$B$32)/1000+'Inputs'!$B$21+'Inputs'!$B$9+'Inputs'!$B$10))/SQRT((((504-43)*MAX('Inputs'!$B$33,'Inputs'!$B$29+'Inputs'!$B$31+'Inputs'!$B$32,'Inputs'!$B$30+'Inputs'!$B$31+'Inputs'!$B$32)/1000+'Inputs'!$B$21+'Inputs'!$B$9+'Inputs'!$B$10))^2+('Inputs'!$B$6/2)^2))))*'Results'!$B$8),"")</x:f>
        <x:v>5.153255693888231</x:v>
      </x:c>
      <x:c r="N504" t="n">
        <x:f>IF(AND(ISNUMBER('Results'!C7),ISNUMBER('Results'!B7),ISNUMBER('Results'!$B$8),ISNUMBER('Inputs'!$B$6),ISNUMBER('Inputs'!$B$7),ISNUMBER('Inputs'!$B$8),ISNUMBER('Inputs'!$B$9),ISNUMBER('Inputs'!$B$10),ISNUMBER('Inputs'!$B$21),ISNUMBER('Inputs'!$B$24),ISNUMBER('Inputs'!$B$28)),((('Results'!C7*(1-'Inputs'!$B$24)*(0.5*((((504-43)*MAX('Inputs'!$B$33,'Inputs'!$B$29+'Inputs'!$B$31+'Inputs'!$B$32,'Inputs'!$B$30+'Inputs'!$B$31+'Inputs'!$B$32)/1000+'Inputs'!$B$21)+'Inputs'!$B$9)/SQRT((((504-43)*MAX('Inputs'!$B$33,'Inputs'!$B$29+'Inputs'!$B$31+'Inputs'!$B$32,'Inputs'!$B$30+'Inputs'!$B$31+'Inputs'!$B$32)/1000+'Inputs'!$B$21)+'Inputs'!$B$9)^2+('Inputs'!$B$8/2)^2)-(((504-43)*MAX('Inputs'!$B$33,'Inputs'!$B$29+'Inputs'!$B$31+'Inputs'!$B$32,'Inputs'!$B$30+'Inputs'!$B$31+'Inputs'!$B$32)/1000+'Inputs'!$B$21))/SQRT((((504-43)*MAX('Inputs'!$B$33,'Inputs'!$B$29+'Inputs'!$B$31+'Inputs'!$B$32,'Inputs'!$B$30+'Inputs'!$B$31+'Inputs'!$B$32)/1000+'Inputs'!$B$21))^2+('Inputs'!$B$8/2)^2)))-'Results'!B7*(1+'Inputs'!$B$24)*(0.5*((((504-43)*MAX('Inputs'!$B$33,'Inputs'!$B$29+'Inputs'!$B$31+'Inputs'!$B$32,'Inputs'!$B$30+'Inputs'!$B$31+'Inputs'!$B$32)/1000+'Inputs'!$B$21+'Inputs'!$B$9+'Inputs'!$B$10)+'Inputs'!$B$7)/SQRT((((504-43)*MAX('Inputs'!$B$33,'Inputs'!$B$29+'Inputs'!$B$31+'Inputs'!$B$32,'Inputs'!$B$30+'Inputs'!$B$31+'Inputs'!$B$32)/1000+'Inputs'!$B$21+'Inputs'!$B$9+'Inputs'!$B$10)+'Inputs'!$B$7)^2+('Inputs'!$B$6/2)^2)-(((504-43)*MAX('Inputs'!$B$33,'Inputs'!$B$29+'Inputs'!$B$31+'Inputs'!$B$32,'Inputs'!$B$30+'Inputs'!$B$31+'Inputs'!$B$32)/1000+'Inputs'!$B$21+'Inputs'!$B$9+'Inputs'!$B$10))/SQRT((((504-43)*MAX('Inputs'!$B$33,'Inputs'!$B$29+'Inputs'!$B$31+'Inputs'!$B$32,'Inputs'!$B$30+'Inputs'!$B$31+'Inputs'!$B$32)/1000+'Inputs'!$B$21+'Inputs'!$B$9+'Inputs'!$B$10))^2+('Inputs'!$B$6/2)^2))))*'Results'!$B$8)-'Inputs'!$B$28*ABS((('Results'!C7*(1-'Inputs'!$B$24)*(0.5*((((504-43)*MAX('Inputs'!$B$33,'Inputs'!$B$29+'Inputs'!$B$31+'Inputs'!$B$32,'Inputs'!$B$30+'Inputs'!$B$31+'Inputs'!$B$32)/1000+'Inputs'!$B$21)+'Inputs'!$B$9)/SQRT((((504-43)*MAX('Inputs'!$B$33,'Inputs'!$B$29+'Inputs'!$B$31+'Inputs'!$B$32,'Inputs'!$B$30+'Inputs'!$B$31+'Inputs'!$B$32)/1000+'Inputs'!$B$21)+'Inputs'!$B$9)^2+('Inputs'!$B$8/2)^2)-(((504-43)*MAX('Inputs'!$B$33,'Inputs'!$B$29+'Inputs'!$B$31+'Inputs'!$B$32,'Inputs'!$B$30+'Inputs'!$B$31+'Inputs'!$B$32)/1000+'Inputs'!$B$21))/SQRT((((504-43)*MAX('Inputs'!$B$33,'Inputs'!$B$29+'Inputs'!$B$31+'Inputs'!$B$32,'Inputs'!$B$30+'Inputs'!$B$31+'Inputs'!$B$32)/1000+'Inputs'!$B$21))^2+('Inputs'!$B$8/2)^2)))-'Results'!B7*(1+'Inputs'!$B$24)*(0.5*((((504-43)*MAX('Inputs'!$B$33,'Inputs'!$B$29+'Inputs'!$B$31+'Inputs'!$B$32,'Inputs'!$B$30+'Inputs'!$B$31+'Inputs'!$B$32)/1000+'Inputs'!$B$21+'Inputs'!$B$9+'Inputs'!$B$10)+'Inputs'!$B$7)/SQRT((((504-43)*MAX('Inputs'!$B$33,'Inputs'!$B$29+'Inputs'!$B$31+'Inputs'!$B$32,'Inputs'!$B$30+'Inputs'!$B$31+'Inputs'!$B$32)/1000+'Inputs'!$B$21+'Inputs'!$B$9+'Inputs'!$B$10)+'Inputs'!$B$7)^2+('Inputs'!$B$6/2)^2)-(((504-43)*MAX('Inputs'!$B$33,'Inputs'!$B$29+'Inputs'!$B$31+'Inputs'!$B$32,'Inputs'!$B$30+'Inputs'!$B$31+'Inputs'!$B$32)/1000+'Inputs'!$B$21+'Inputs'!$B$9+'Inputs'!$B$10))/SQRT((((504-43)*MAX('Inputs'!$B$33,'Inputs'!$B$29+'Inputs'!$B$31+'Inputs'!$B$32,'Inputs'!$B$30+'Inputs'!$B$31+'Inputs'!$B$32)/1000+'Inputs'!$B$21+'Inputs'!$B$9+'Inputs'!$B$10))^2+('Inputs'!$B$6/2)^2))))*'Results'!$B$8))),"")</x:f>
        <x:v>4.564007600934391</x:v>
      </x:c>
      <x:c r="O504" t="n">
        <x:f>IF(AND(ISNUMBER('Results'!C7),ISNUMBER('Results'!B7),ISNUMBER('Results'!$B$8),ISNUMBER('Inputs'!$B$6),ISNUMBER('Inputs'!$B$7),ISNUMBER('Inputs'!$B$8),ISNUMBER('Inputs'!$B$9),ISNUMBER('Inputs'!$B$10),ISNUMBER('Inputs'!$B$21),ISNUMBER('Inputs'!$B$24),ISNUMBER('Inputs'!$B$28)),((('Results'!C7*(1+'Inputs'!$B$24)*(0.5*((((504-43)*MAX('Inputs'!$B$33,'Inputs'!$B$29+'Inputs'!$B$31+'Inputs'!$B$32,'Inputs'!$B$30+'Inputs'!$B$31+'Inputs'!$B$32)/1000+'Inputs'!$B$21)+'Inputs'!$B$9)/SQRT((((504-43)*MAX('Inputs'!$B$33,'Inputs'!$B$29+'Inputs'!$B$31+'Inputs'!$B$32,'Inputs'!$B$30+'Inputs'!$B$31+'Inputs'!$B$32)/1000+'Inputs'!$B$21)+'Inputs'!$B$9)^2+('Inputs'!$B$8/2)^2)-(((504-43)*MAX('Inputs'!$B$33,'Inputs'!$B$29+'Inputs'!$B$31+'Inputs'!$B$32,'Inputs'!$B$30+'Inputs'!$B$31+'Inputs'!$B$32)/1000+'Inputs'!$B$21))/SQRT((((504-43)*MAX('Inputs'!$B$33,'Inputs'!$B$29+'Inputs'!$B$31+'Inputs'!$B$32,'Inputs'!$B$30+'Inputs'!$B$31+'Inputs'!$B$32)/1000+'Inputs'!$B$21))^2+('Inputs'!$B$8/2)^2)))-'Results'!B7*(1-'Inputs'!$B$24)*(0.5*((((504-43)*MAX('Inputs'!$B$33,'Inputs'!$B$29+'Inputs'!$B$31+'Inputs'!$B$32,'Inputs'!$B$30+'Inputs'!$B$31+'Inputs'!$B$32)/1000+'Inputs'!$B$21+'Inputs'!$B$9+'Inputs'!$B$10)+'Inputs'!$B$7)/SQRT((((504-43)*MAX('Inputs'!$B$33,'Inputs'!$B$29+'Inputs'!$B$31+'Inputs'!$B$32,'Inputs'!$B$30+'Inputs'!$B$31+'Inputs'!$B$32)/1000+'Inputs'!$B$21+'Inputs'!$B$9+'Inputs'!$B$10)+'Inputs'!$B$7)^2+('Inputs'!$B$6/2)^2)-(((504-43)*MAX('Inputs'!$B$33,'Inputs'!$B$29+'Inputs'!$B$31+'Inputs'!$B$32,'Inputs'!$B$30+'Inputs'!$B$31+'Inputs'!$B$32)/1000+'Inputs'!$B$21+'Inputs'!$B$9+'Inputs'!$B$10))/SQRT((((504-43)*MAX('Inputs'!$B$33,'Inputs'!$B$29+'Inputs'!$B$31+'Inputs'!$B$32,'Inputs'!$B$30+'Inputs'!$B$31+'Inputs'!$B$32)/1000+'Inputs'!$B$21+'Inputs'!$B$9+'Inputs'!$B$10))^2+('Inputs'!$B$6/2)^2))))*'Results'!$B$8)+'Inputs'!$B$28*ABS((('Results'!C7*(1+'Inputs'!$B$24)*(0.5*((((504-43)*MAX('Inputs'!$B$33,'Inputs'!$B$29+'Inputs'!$B$31+'Inputs'!$B$32,'Inputs'!$B$30+'Inputs'!$B$31+'Inputs'!$B$32)/1000+'Inputs'!$B$21)+'Inputs'!$B$9)/SQRT((((504-43)*MAX('Inputs'!$B$33,'Inputs'!$B$29+'Inputs'!$B$31+'Inputs'!$B$32,'Inputs'!$B$30+'Inputs'!$B$31+'Inputs'!$B$32)/1000+'Inputs'!$B$21)+'Inputs'!$B$9)^2+('Inputs'!$B$8/2)^2)-(((504-43)*MAX('Inputs'!$B$33,'Inputs'!$B$29+'Inputs'!$B$31+'Inputs'!$B$32,'Inputs'!$B$30+'Inputs'!$B$31+'Inputs'!$B$32)/1000+'Inputs'!$B$21))/SQRT((((504-43)*MAX('Inputs'!$B$33,'Inputs'!$B$29+'Inputs'!$B$31+'Inputs'!$B$32,'Inputs'!$B$30+'Inputs'!$B$31+'Inputs'!$B$32)/1000+'Inputs'!$B$21))^2+('Inputs'!$B$8/2)^2)))-'Results'!B7*(1-'Inputs'!$B$24)*(0.5*((((504-43)*MAX('Inputs'!$B$33,'Inputs'!$B$29+'Inputs'!$B$31+'Inputs'!$B$32,'Inputs'!$B$30+'Inputs'!$B$31+'Inputs'!$B$32)/1000+'Inputs'!$B$21+'Inputs'!$B$9+'Inputs'!$B$10)+'Inputs'!$B$7)/SQRT((((504-43)*MAX('Inputs'!$B$33,'Inputs'!$B$29+'Inputs'!$B$31+'Inputs'!$B$32,'Inputs'!$B$30+'Inputs'!$B$31+'Inputs'!$B$32)/1000+'Inputs'!$B$21+'Inputs'!$B$9+'Inputs'!$B$10)+'Inputs'!$B$7)^2+('Inputs'!$B$6/2)^2)-(((504-43)*MAX('Inputs'!$B$33,'Inputs'!$B$29+'Inputs'!$B$31+'Inputs'!$B$32,'Inputs'!$B$30+'Inputs'!$B$31+'Inputs'!$B$32)/1000+'Inputs'!$B$21+'Inputs'!$B$9+'Inputs'!$B$10))/SQRT((((504-43)*MAX('Inputs'!$B$33,'Inputs'!$B$29+'Inputs'!$B$31+'Inputs'!$B$32,'Inputs'!$B$30+'Inputs'!$B$31+'Inputs'!$B$32)/1000+'Inputs'!$B$21+'Inputs'!$B$9+'Inputs'!$B$10))^2+('Inputs'!$B$6/2)^2))))*'Results'!$B$8))),"")</x:f>
        <x:v>5.77740750350096</x:v>
      </x:c>
      <x:c r="P504" t="n">
        <x:f>IF(AND(MAX(J504,J503)&gt;0,J504&gt;J503+0.00000001),1,0)</x:f>
        <x:v>0</x:v>
      </x:c>
      <x:c r="Q504" t="n">
        <x:f>IF(AND(MAX(K504,K503)&gt;0,K504&gt;K503+0.00000001),1,0)</x:f>
        <x:v>0</x:v>
      </x:c>
      <x:c r="R504" t="n">
        <x:f>IF(AND(MAX(L504,L503)&gt;0,L504&gt;L503+0.00000001),1,0)</x:f>
        <x:v>0</x:v>
      </x:c>
      <x:c r="S504" t="n">
        <x:f>IF(AND(MAX(M504,M503)&gt;0,M504&gt;M503+0.00000001),1,0)</x:f>
        <x:v>0</x:v>
      </x:c>
      <x:c r="T504" t="n">
        <x:f>IF(AND(MAX(N504,N503)&gt;0,N504&gt;N503+0.00000001),1,0)</x:f>
        <x:v>0</x:v>
      </x:c>
      <x:c r="U504" t="n">
        <x:f>IF(AND(MAX(O504,O503)&gt;0,O504&gt;O503+0.00000001),1,0)</x:f>
        <x:v>0</x:v>
      </x:c>
    </x:row>
    <x:row r="505">
      <x:c r="J505" t="n">
        <x:f>IF(AND(ISNUMBER('Results'!B7),ISNUMBER('Results'!C7),ISNUMBER('Results'!$B$8),ISNUMBER('Inputs'!$B$6),ISNUMBER('Inputs'!$B$7),ISNUMBER('Inputs'!$B$8),ISNUMBER('Inputs'!$B$9),ISNUMBER('Inputs'!$B$10),ISNUMBER('Inputs'!$B$21),ISNUMBER('Inputs'!$B$24),ISNUMBER('Inputs'!$B$28)),(('Results'!B7*(0.5*((((505-43)*MAX('Inputs'!$B$33,'Inputs'!$B$29+'Inputs'!$B$31+'Inputs'!$B$32,'Inputs'!$B$30+'Inputs'!$B$31+'Inputs'!$B$32)/1000+'Inputs'!$B$21)+'Inputs'!$B$7)/SQRT((((505-43)*MAX('Inputs'!$B$33,'Inputs'!$B$29+'Inputs'!$B$31+'Inputs'!$B$32,'Inputs'!$B$30+'Inputs'!$B$31+'Inputs'!$B$32)/1000+'Inputs'!$B$21)+'Inputs'!$B$7)^2+('Inputs'!$B$6/2)^2)-(((505-43)*MAX('Inputs'!$B$33,'Inputs'!$B$29+'Inputs'!$B$31+'Inputs'!$B$32,'Inputs'!$B$30+'Inputs'!$B$31+'Inputs'!$B$32)/1000+'Inputs'!$B$21))/SQRT((((505-43)*MAX('Inputs'!$B$33,'Inputs'!$B$29+'Inputs'!$B$31+'Inputs'!$B$32,'Inputs'!$B$30+'Inputs'!$B$31+'Inputs'!$B$32)/1000+'Inputs'!$B$21))^2+('Inputs'!$B$6/2)^2)))-'Results'!C7*(0.5*((((505-43)*MAX('Inputs'!$B$33,'Inputs'!$B$29+'Inputs'!$B$31+'Inputs'!$B$32,'Inputs'!$B$30+'Inputs'!$B$31+'Inputs'!$B$32)/1000+'Inputs'!$B$21+'Inputs'!$B$7+'Inputs'!$B$10)+'Inputs'!$B$9)/SQRT((((505-43)*MAX('Inputs'!$B$33,'Inputs'!$B$29+'Inputs'!$B$31+'Inputs'!$B$32,'Inputs'!$B$30+'Inputs'!$B$31+'Inputs'!$B$32)/1000+'Inputs'!$B$21+'Inputs'!$B$7+'Inputs'!$B$10)+'Inputs'!$B$9)^2+('Inputs'!$B$8/2)^2)-(((505-43)*MAX('Inputs'!$B$33,'Inputs'!$B$29+'Inputs'!$B$31+'Inputs'!$B$32,'Inputs'!$B$30+'Inputs'!$B$31+'Inputs'!$B$32)/1000+'Inputs'!$B$21+'Inputs'!$B$7+'Inputs'!$B$10))/SQRT((((505-43)*MAX('Inputs'!$B$33,'Inputs'!$B$29+'Inputs'!$B$31+'Inputs'!$B$32,'Inputs'!$B$30+'Inputs'!$B$31+'Inputs'!$B$32)/1000+'Inputs'!$B$21+'Inputs'!$B$7+'Inputs'!$B$10))^2+('Inputs'!$B$8/2)^2))))*'Results'!$B$8),"")</x:f>
        <x:v>5.466767333809342</x:v>
      </x:c>
      <x:c r="K505" t="n">
        <x:f>IF(AND(ISNUMBER('Results'!B7),ISNUMBER('Results'!C7),ISNUMBER('Results'!$B$8),ISNUMBER('Inputs'!$B$6),ISNUMBER('Inputs'!$B$7),ISNUMBER('Inputs'!$B$8),ISNUMBER('Inputs'!$B$9),ISNUMBER('Inputs'!$B$10),ISNUMBER('Inputs'!$B$21),ISNUMBER('Inputs'!$B$24),ISNUMBER('Inputs'!$B$28)),((('Results'!B7*(1-'Inputs'!$B$24)*(0.5*((((505-43)*MAX('Inputs'!$B$33,'Inputs'!$B$29+'Inputs'!$B$31+'Inputs'!$B$32,'Inputs'!$B$30+'Inputs'!$B$31+'Inputs'!$B$32)/1000+'Inputs'!$B$21)+'Inputs'!$B$7)/SQRT((((505-43)*MAX('Inputs'!$B$33,'Inputs'!$B$29+'Inputs'!$B$31+'Inputs'!$B$32,'Inputs'!$B$30+'Inputs'!$B$31+'Inputs'!$B$32)/1000+'Inputs'!$B$21)+'Inputs'!$B$7)^2+('Inputs'!$B$6/2)^2)-(((505-43)*MAX('Inputs'!$B$33,'Inputs'!$B$29+'Inputs'!$B$31+'Inputs'!$B$32,'Inputs'!$B$30+'Inputs'!$B$31+'Inputs'!$B$32)/1000+'Inputs'!$B$21))/SQRT((((505-43)*MAX('Inputs'!$B$33,'Inputs'!$B$29+'Inputs'!$B$31+'Inputs'!$B$32,'Inputs'!$B$30+'Inputs'!$B$31+'Inputs'!$B$32)/1000+'Inputs'!$B$21))^2+('Inputs'!$B$6/2)^2)))-'Results'!C7*(1+'Inputs'!$B$24)*(0.5*((((505-43)*MAX('Inputs'!$B$33,'Inputs'!$B$29+'Inputs'!$B$31+'Inputs'!$B$32,'Inputs'!$B$30+'Inputs'!$B$31+'Inputs'!$B$32)/1000+'Inputs'!$B$21+'Inputs'!$B$7+'Inputs'!$B$10)+'Inputs'!$B$9)/SQRT((((505-43)*MAX('Inputs'!$B$33,'Inputs'!$B$29+'Inputs'!$B$31+'Inputs'!$B$32,'Inputs'!$B$30+'Inputs'!$B$31+'Inputs'!$B$32)/1000+'Inputs'!$B$21+'Inputs'!$B$7+'Inputs'!$B$10)+'Inputs'!$B$9)^2+('Inputs'!$B$8/2)^2)-(((505-43)*MAX('Inputs'!$B$33,'Inputs'!$B$29+'Inputs'!$B$31+'Inputs'!$B$32,'Inputs'!$B$30+'Inputs'!$B$31+'Inputs'!$B$32)/1000+'Inputs'!$B$21+'Inputs'!$B$7+'Inputs'!$B$10))/SQRT((((505-43)*MAX('Inputs'!$B$33,'Inputs'!$B$29+'Inputs'!$B$31+'Inputs'!$B$32,'Inputs'!$B$30+'Inputs'!$B$31+'Inputs'!$B$32)/1000+'Inputs'!$B$21+'Inputs'!$B$7+'Inputs'!$B$10))^2+('Inputs'!$B$8/2)^2))))*'Results'!$B$8)-'Inputs'!$B$28*ABS((('Results'!B7*(1-'Inputs'!$B$24)*(0.5*((((505-43)*MAX('Inputs'!$B$33,'Inputs'!$B$29+'Inputs'!$B$31+'Inputs'!$B$32,'Inputs'!$B$30+'Inputs'!$B$31+'Inputs'!$B$32)/1000+'Inputs'!$B$21)+'Inputs'!$B$7)/SQRT((((505-43)*MAX('Inputs'!$B$33,'Inputs'!$B$29+'Inputs'!$B$31+'Inputs'!$B$32,'Inputs'!$B$30+'Inputs'!$B$31+'Inputs'!$B$32)/1000+'Inputs'!$B$21)+'Inputs'!$B$7)^2+('Inputs'!$B$6/2)^2)-(((505-43)*MAX('Inputs'!$B$33,'Inputs'!$B$29+'Inputs'!$B$31+'Inputs'!$B$32,'Inputs'!$B$30+'Inputs'!$B$31+'Inputs'!$B$32)/1000+'Inputs'!$B$21))/SQRT((((505-43)*MAX('Inputs'!$B$33,'Inputs'!$B$29+'Inputs'!$B$31+'Inputs'!$B$32,'Inputs'!$B$30+'Inputs'!$B$31+'Inputs'!$B$32)/1000+'Inputs'!$B$21))^2+('Inputs'!$B$6/2)^2)))-'Results'!C7*(1+'Inputs'!$B$24)*(0.5*((((505-43)*MAX('Inputs'!$B$33,'Inputs'!$B$29+'Inputs'!$B$31+'Inputs'!$B$32,'Inputs'!$B$30+'Inputs'!$B$31+'Inputs'!$B$32)/1000+'Inputs'!$B$21+'Inputs'!$B$7+'Inputs'!$B$10)+'Inputs'!$B$9)/SQRT((((505-43)*MAX('Inputs'!$B$33,'Inputs'!$B$29+'Inputs'!$B$31+'Inputs'!$B$32,'Inputs'!$B$30+'Inputs'!$B$31+'Inputs'!$B$32)/1000+'Inputs'!$B$21+'Inputs'!$B$7+'Inputs'!$B$10)+'Inputs'!$B$9)^2+('Inputs'!$B$8/2)^2)-(((505-43)*MAX('Inputs'!$B$33,'Inputs'!$B$29+'Inputs'!$B$31+'Inputs'!$B$32,'Inputs'!$B$30+'Inputs'!$B$31+'Inputs'!$B$32)/1000+'Inputs'!$B$21+'Inputs'!$B$7+'Inputs'!$B$10))/SQRT((((505-43)*MAX('Inputs'!$B$33,'Inputs'!$B$29+'Inputs'!$B$31+'Inputs'!$B$32,'Inputs'!$B$30+'Inputs'!$B$31+'Inputs'!$B$32)/1000+'Inputs'!$B$21+'Inputs'!$B$7+'Inputs'!$B$10))^2+('Inputs'!$B$8/2)^2))))*'Results'!$B$8))),"")</x:f>
        <x:v>4.861691716312411</x:v>
      </x:c>
      <x:c r="L505" t="n">
        <x:f>IF(AND(ISNUMBER('Results'!B7),ISNUMBER('Results'!C7),ISNUMBER('Results'!$B$8),ISNUMBER('Inputs'!$B$6),ISNUMBER('Inputs'!$B$7),ISNUMBER('Inputs'!$B$8),ISNUMBER('Inputs'!$B$9),ISNUMBER('Inputs'!$B$10),ISNUMBER('Inputs'!$B$21),ISNUMBER('Inputs'!$B$24),ISNUMBER('Inputs'!$B$28)),((('Results'!B7*(1+'Inputs'!$B$24)*(0.5*((((505-43)*MAX('Inputs'!$B$33,'Inputs'!$B$29+'Inputs'!$B$31+'Inputs'!$B$32,'Inputs'!$B$30+'Inputs'!$B$31+'Inputs'!$B$32)/1000+'Inputs'!$B$21)+'Inputs'!$B$7)/SQRT((((505-43)*MAX('Inputs'!$B$33,'Inputs'!$B$29+'Inputs'!$B$31+'Inputs'!$B$32,'Inputs'!$B$30+'Inputs'!$B$31+'Inputs'!$B$32)/1000+'Inputs'!$B$21)+'Inputs'!$B$7)^2+('Inputs'!$B$6/2)^2)-(((505-43)*MAX('Inputs'!$B$33,'Inputs'!$B$29+'Inputs'!$B$31+'Inputs'!$B$32,'Inputs'!$B$30+'Inputs'!$B$31+'Inputs'!$B$32)/1000+'Inputs'!$B$21))/SQRT((((505-43)*MAX('Inputs'!$B$33,'Inputs'!$B$29+'Inputs'!$B$31+'Inputs'!$B$32,'Inputs'!$B$30+'Inputs'!$B$31+'Inputs'!$B$32)/1000+'Inputs'!$B$21))^2+('Inputs'!$B$6/2)^2)))-'Results'!C7*(1-'Inputs'!$B$24)*(0.5*((((505-43)*MAX('Inputs'!$B$33,'Inputs'!$B$29+'Inputs'!$B$31+'Inputs'!$B$32,'Inputs'!$B$30+'Inputs'!$B$31+'Inputs'!$B$32)/1000+'Inputs'!$B$21+'Inputs'!$B$7+'Inputs'!$B$10)+'Inputs'!$B$9)/SQRT((((505-43)*MAX('Inputs'!$B$33,'Inputs'!$B$29+'Inputs'!$B$31+'Inputs'!$B$32,'Inputs'!$B$30+'Inputs'!$B$31+'Inputs'!$B$32)/1000+'Inputs'!$B$21+'Inputs'!$B$7+'Inputs'!$B$10)+'Inputs'!$B$9)^2+('Inputs'!$B$8/2)^2)-(((505-43)*MAX('Inputs'!$B$33,'Inputs'!$B$29+'Inputs'!$B$31+'Inputs'!$B$32,'Inputs'!$B$30+'Inputs'!$B$31+'Inputs'!$B$32)/1000+'Inputs'!$B$21+'Inputs'!$B$7+'Inputs'!$B$10))/SQRT((((505-43)*MAX('Inputs'!$B$33,'Inputs'!$B$29+'Inputs'!$B$31+'Inputs'!$B$32,'Inputs'!$B$30+'Inputs'!$B$31+'Inputs'!$B$32)/1000+'Inputs'!$B$21+'Inputs'!$B$7+'Inputs'!$B$10))^2+('Inputs'!$B$8/2)^2))))*'Results'!$B$8)+'Inputs'!$B$28*ABS((('Results'!B7*(1+'Inputs'!$B$24)*(0.5*((((505-43)*MAX('Inputs'!$B$33,'Inputs'!$B$29+'Inputs'!$B$31+'Inputs'!$B$32,'Inputs'!$B$30+'Inputs'!$B$31+'Inputs'!$B$32)/1000+'Inputs'!$B$21)+'Inputs'!$B$7)/SQRT((((505-43)*MAX('Inputs'!$B$33,'Inputs'!$B$29+'Inputs'!$B$31+'Inputs'!$B$32,'Inputs'!$B$30+'Inputs'!$B$31+'Inputs'!$B$32)/1000+'Inputs'!$B$21)+'Inputs'!$B$7)^2+('Inputs'!$B$6/2)^2)-(((505-43)*MAX('Inputs'!$B$33,'Inputs'!$B$29+'Inputs'!$B$31+'Inputs'!$B$32,'Inputs'!$B$30+'Inputs'!$B$31+'Inputs'!$B$32)/1000+'Inputs'!$B$21))/SQRT((((505-43)*MAX('Inputs'!$B$33,'Inputs'!$B$29+'Inputs'!$B$31+'Inputs'!$B$32,'Inputs'!$B$30+'Inputs'!$B$31+'Inputs'!$B$32)/1000+'Inputs'!$B$21))^2+('Inputs'!$B$6/2)^2)))-'Results'!C7*(1-'Inputs'!$B$24)*(0.5*((((505-43)*MAX('Inputs'!$B$33,'Inputs'!$B$29+'Inputs'!$B$31+'Inputs'!$B$32,'Inputs'!$B$30+'Inputs'!$B$31+'Inputs'!$B$32)/1000+'Inputs'!$B$21+'Inputs'!$B$7+'Inputs'!$B$10)+'Inputs'!$B$9)/SQRT((((505-43)*MAX('Inputs'!$B$33,'Inputs'!$B$29+'Inputs'!$B$31+'Inputs'!$B$32,'Inputs'!$B$30+'Inputs'!$B$31+'Inputs'!$B$32)/1000+'Inputs'!$B$21+'Inputs'!$B$7+'Inputs'!$B$10)+'Inputs'!$B$9)^2+('Inputs'!$B$8/2)^2)-(((505-43)*MAX('Inputs'!$B$33,'Inputs'!$B$29+'Inputs'!$B$31+'Inputs'!$B$32,'Inputs'!$B$30+'Inputs'!$B$31+'Inputs'!$B$32)/1000+'Inputs'!$B$21+'Inputs'!$B$7+'Inputs'!$B$10))/SQRT((((505-43)*MAX('Inputs'!$B$33,'Inputs'!$B$29+'Inputs'!$B$31+'Inputs'!$B$32,'Inputs'!$B$30+'Inputs'!$B$31+'Inputs'!$B$32)/1000+'Inputs'!$B$21+'Inputs'!$B$7+'Inputs'!$B$10))^2+('Inputs'!$B$8/2)^2))))*'Results'!$B$8))),"")</x:f>
        <x:v>6.106762661917481</x:v>
      </x:c>
      <x:c r="M505" t="n">
        <x:f>IF(AND(ISNUMBER('Results'!C7),ISNUMBER('Results'!B7),ISNUMBER('Results'!$B$8),ISNUMBER('Inputs'!$B$6),ISNUMBER('Inputs'!$B$7),ISNUMBER('Inputs'!$B$8),ISNUMBER('Inputs'!$B$9),ISNUMBER('Inputs'!$B$10),ISNUMBER('Inputs'!$B$21),ISNUMBER('Inputs'!$B$24),ISNUMBER('Inputs'!$B$28)),(('Results'!C7*(0.5*((((505-43)*MAX('Inputs'!$B$33,'Inputs'!$B$29+'Inputs'!$B$31+'Inputs'!$B$32,'Inputs'!$B$30+'Inputs'!$B$31+'Inputs'!$B$32)/1000+'Inputs'!$B$21)+'Inputs'!$B$9)/SQRT((((505-43)*MAX('Inputs'!$B$33,'Inputs'!$B$29+'Inputs'!$B$31+'Inputs'!$B$32,'Inputs'!$B$30+'Inputs'!$B$31+'Inputs'!$B$32)/1000+'Inputs'!$B$21)+'Inputs'!$B$9)^2+('Inputs'!$B$8/2)^2)-(((505-43)*MAX('Inputs'!$B$33,'Inputs'!$B$29+'Inputs'!$B$31+'Inputs'!$B$32,'Inputs'!$B$30+'Inputs'!$B$31+'Inputs'!$B$32)/1000+'Inputs'!$B$21))/SQRT((((505-43)*MAX('Inputs'!$B$33,'Inputs'!$B$29+'Inputs'!$B$31+'Inputs'!$B$32,'Inputs'!$B$30+'Inputs'!$B$31+'Inputs'!$B$32)/1000+'Inputs'!$B$21))^2+('Inputs'!$B$8/2)^2)))-'Results'!B7*(0.5*((((505-43)*MAX('Inputs'!$B$33,'Inputs'!$B$29+'Inputs'!$B$31+'Inputs'!$B$32,'Inputs'!$B$30+'Inputs'!$B$31+'Inputs'!$B$32)/1000+'Inputs'!$B$21+'Inputs'!$B$9+'Inputs'!$B$10)+'Inputs'!$B$7)/SQRT((((505-43)*MAX('Inputs'!$B$33,'Inputs'!$B$29+'Inputs'!$B$31+'Inputs'!$B$32,'Inputs'!$B$30+'Inputs'!$B$31+'Inputs'!$B$32)/1000+'Inputs'!$B$21+'Inputs'!$B$9+'Inputs'!$B$10)+'Inputs'!$B$7)^2+('Inputs'!$B$6/2)^2)-(((505-43)*MAX('Inputs'!$B$33,'Inputs'!$B$29+'Inputs'!$B$31+'Inputs'!$B$32,'Inputs'!$B$30+'Inputs'!$B$31+'Inputs'!$B$32)/1000+'Inputs'!$B$21+'Inputs'!$B$9+'Inputs'!$B$10))/SQRT((((505-43)*MAX('Inputs'!$B$33,'Inputs'!$B$29+'Inputs'!$B$31+'Inputs'!$B$32,'Inputs'!$B$30+'Inputs'!$B$31+'Inputs'!$B$32)/1000+'Inputs'!$B$21+'Inputs'!$B$9+'Inputs'!$B$10))^2+('Inputs'!$B$6/2)^2))))*'Results'!$B$8),"")</x:f>
        <x:v>5.115122658723439</x:v>
      </x:c>
      <x:c r="N505" t="n">
        <x:f>IF(AND(ISNUMBER('Results'!C7),ISNUMBER('Results'!B7),ISNUMBER('Results'!$B$8),ISNUMBER('Inputs'!$B$6),ISNUMBER('Inputs'!$B$7),ISNUMBER('Inputs'!$B$8),ISNUMBER('Inputs'!$B$9),ISNUMBER('Inputs'!$B$10),ISNUMBER('Inputs'!$B$21),ISNUMBER('Inputs'!$B$24),ISNUMBER('Inputs'!$B$28)),((('Results'!C7*(1-'Inputs'!$B$24)*(0.5*((((505-43)*MAX('Inputs'!$B$33,'Inputs'!$B$29+'Inputs'!$B$31+'Inputs'!$B$32,'Inputs'!$B$30+'Inputs'!$B$31+'Inputs'!$B$32)/1000+'Inputs'!$B$21)+'Inputs'!$B$9)/SQRT((((505-43)*MAX('Inputs'!$B$33,'Inputs'!$B$29+'Inputs'!$B$31+'Inputs'!$B$32,'Inputs'!$B$30+'Inputs'!$B$31+'Inputs'!$B$32)/1000+'Inputs'!$B$21)+'Inputs'!$B$9)^2+('Inputs'!$B$8/2)^2)-(((505-43)*MAX('Inputs'!$B$33,'Inputs'!$B$29+'Inputs'!$B$31+'Inputs'!$B$32,'Inputs'!$B$30+'Inputs'!$B$31+'Inputs'!$B$32)/1000+'Inputs'!$B$21))/SQRT((((505-43)*MAX('Inputs'!$B$33,'Inputs'!$B$29+'Inputs'!$B$31+'Inputs'!$B$32,'Inputs'!$B$30+'Inputs'!$B$31+'Inputs'!$B$32)/1000+'Inputs'!$B$21))^2+('Inputs'!$B$8/2)^2)))-'Results'!B7*(1+'Inputs'!$B$24)*(0.5*((((505-43)*MAX('Inputs'!$B$33,'Inputs'!$B$29+'Inputs'!$B$31+'Inputs'!$B$32,'Inputs'!$B$30+'Inputs'!$B$31+'Inputs'!$B$32)/1000+'Inputs'!$B$21+'Inputs'!$B$9+'Inputs'!$B$10)+'Inputs'!$B$7)/SQRT((((505-43)*MAX('Inputs'!$B$33,'Inputs'!$B$29+'Inputs'!$B$31+'Inputs'!$B$32,'Inputs'!$B$30+'Inputs'!$B$31+'Inputs'!$B$32)/1000+'Inputs'!$B$21+'Inputs'!$B$9+'Inputs'!$B$10)+'Inputs'!$B$7)^2+('Inputs'!$B$6/2)^2)-(((505-43)*MAX('Inputs'!$B$33,'Inputs'!$B$29+'Inputs'!$B$31+'Inputs'!$B$32,'Inputs'!$B$30+'Inputs'!$B$31+'Inputs'!$B$32)/1000+'Inputs'!$B$21+'Inputs'!$B$9+'Inputs'!$B$10))/SQRT((((505-43)*MAX('Inputs'!$B$33,'Inputs'!$B$29+'Inputs'!$B$31+'Inputs'!$B$32,'Inputs'!$B$30+'Inputs'!$B$31+'Inputs'!$B$32)/1000+'Inputs'!$B$21+'Inputs'!$B$9+'Inputs'!$B$10))^2+('Inputs'!$B$6/2)^2))))*'Results'!$B$8)-'Inputs'!$B$28*ABS((('Results'!C7*(1-'Inputs'!$B$24)*(0.5*((((505-43)*MAX('Inputs'!$B$33,'Inputs'!$B$29+'Inputs'!$B$31+'Inputs'!$B$32,'Inputs'!$B$30+'Inputs'!$B$31+'Inputs'!$B$32)/1000+'Inputs'!$B$21)+'Inputs'!$B$9)/SQRT((((505-43)*MAX('Inputs'!$B$33,'Inputs'!$B$29+'Inputs'!$B$31+'Inputs'!$B$32,'Inputs'!$B$30+'Inputs'!$B$31+'Inputs'!$B$32)/1000+'Inputs'!$B$21)+'Inputs'!$B$9)^2+('Inputs'!$B$8/2)^2)-(((505-43)*MAX('Inputs'!$B$33,'Inputs'!$B$29+'Inputs'!$B$31+'Inputs'!$B$32,'Inputs'!$B$30+'Inputs'!$B$31+'Inputs'!$B$32)/1000+'Inputs'!$B$21))/SQRT((((505-43)*MAX('Inputs'!$B$33,'Inputs'!$B$29+'Inputs'!$B$31+'Inputs'!$B$32,'Inputs'!$B$30+'Inputs'!$B$31+'Inputs'!$B$32)/1000+'Inputs'!$B$21))^2+('Inputs'!$B$8/2)^2)))-'Results'!B7*(1+'Inputs'!$B$24)*(0.5*((((505-43)*MAX('Inputs'!$B$33,'Inputs'!$B$29+'Inputs'!$B$31+'Inputs'!$B$32,'Inputs'!$B$30+'Inputs'!$B$31+'Inputs'!$B$32)/1000+'Inputs'!$B$21+'Inputs'!$B$9+'Inputs'!$B$10)+'Inputs'!$B$7)/SQRT((((505-43)*MAX('Inputs'!$B$33,'Inputs'!$B$29+'Inputs'!$B$31+'Inputs'!$B$32,'Inputs'!$B$30+'Inputs'!$B$31+'Inputs'!$B$32)/1000+'Inputs'!$B$21+'Inputs'!$B$9+'Inputs'!$B$10)+'Inputs'!$B$7)^2+('Inputs'!$B$6/2)^2)-(((505-43)*MAX('Inputs'!$B$33,'Inputs'!$B$29+'Inputs'!$B$31+'Inputs'!$B$32,'Inputs'!$B$30+'Inputs'!$B$31+'Inputs'!$B$32)/1000+'Inputs'!$B$21+'Inputs'!$B$9+'Inputs'!$B$10))/SQRT((((505-43)*MAX('Inputs'!$B$33,'Inputs'!$B$29+'Inputs'!$B$31+'Inputs'!$B$32,'Inputs'!$B$30+'Inputs'!$B$31+'Inputs'!$B$32)/1000+'Inputs'!$B$21+'Inputs'!$B$9+'Inputs'!$B$10))^2+('Inputs'!$B$6/2)^2))))*'Results'!$B$8))),"")</x:f>
        <x:v>4.529660142757144</x:v>
      </x:c>
      <x:c r="O505" t="n">
        <x:f>IF(AND(ISNUMBER('Results'!C7),ISNUMBER('Results'!B7),ISNUMBER('Results'!$B$8),ISNUMBER('Inputs'!$B$6),ISNUMBER('Inputs'!$B$7),ISNUMBER('Inputs'!$B$8),ISNUMBER('Inputs'!$B$9),ISNUMBER('Inputs'!$B$10),ISNUMBER('Inputs'!$B$21),ISNUMBER('Inputs'!$B$24),ISNUMBER('Inputs'!$B$28)),((('Results'!C7*(1+'Inputs'!$B$24)*(0.5*((((505-43)*MAX('Inputs'!$B$33,'Inputs'!$B$29+'Inputs'!$B$31+'Inputs'!$B$32,'Inputs'!$B$30+'Inputs'!$B$31+'Inputs'!$B$32)/1000+'Inputs'!$B$21)+'Inputs'!$B$9)/SQRT((((505-43)*MAX('Inputs'!$B$33,'Inputs'!$B$29+'Inputs'!$B$31+'Inputs'!$B$32,'Inputs'!$B$30+'Inputs'!$B$31+'Inputs'!$B$32)/1000+'Inputs'!$B$21)+'Inputs'!$B$9)^2+('Inputs'!$B$8/2)^2)-(((505-43)*MAX('Inputs'!$B$33,'Inputs'!$B$29+'Inputs'!$B$31+'Inputs'!$B$32,'Inputs'!$B$30+'Inputs'!$B$31+'Inputs'!$B$32)/1000+'Inputs'!$B$21))/SQRT((((505-43)*MAX('Inputs'!$B$33,'Inputs'!$B$29+'Inputs'!$B$31+'Inputs'!$B$32,'Inputs'!$B$30+'Inputs'!$B$31+'Inputs'!$B$32)/1000+'Inputs'!$B$21))^2+('Inputs'!$B$8/2)^2)))-'Results'!B7*(1-'Inputs'!$B$24)*(0.5*((((505-43)*MAX('Inputs'!$B$33,'Inputs'!$B$29+'Inputs'!$B$31+'Inputs'!$B$32,'Inputs'!$B$30+'Inputs'!$B$31+'Inputs'!$B$32)/1000+'Inputs'!$B$21+'Inputs'!$B$9+'Inputs'!$B$10)+'Inputs'!$B$7)/SQRT((((505-43)*MAX('Inputs'!$B$33,'Inputs'!$B$29+'Inputs'!$B$31+'Inputs'!$B$32,'Inputs'!$B$30+'Inputs'!$B$31+'Inputs'!$B$32)/1000+'Inputs'!$B$21+'Inputs'!$B$9+'Inputs'!$B$10)+'Inputs'!$B$7)^2+('Inputs'!$B$6/2)^2)-(((505-43)*MAX('Inputs'!$B$33,'Inputs'!$B$29+'Inputs'!$B$31+'Inputs'!$B$32,'Inputs'!$B$30+'Inputs'!$B$31+'Inputs'!$B$32)/1000+'Inputs'!$B$21+'Inputs'!$B$9+'Inputs'!$B$10))/SQRT((((505-43)*MAX('Inputs'!$B$33,'Inputs'!$B$29+'Inputs'!$B$31+'Inputs'!$B$32,'Inputs'!$B$30+'Inputs'!$B$31+'Inputs'!$B$32)/1000+'Inputs'!$B$21+'Inputs'!$B$9+'Inputs'!$B$10))^2+('Inputs'!$B$6/2)^2))))*'Results'!$B$8)+'Inputs'!$B$28*ABS((('Results'!C7*(1+'Inputs'!$B$24)*(0.5*((((505-43)*MAX('Inputs'!$B$33,'Inputs'!$B$29+'Inputs'!$B$31+'Inputs'!$B$32,'Inputs'!$B$30+'Inputs'!$B$31+'Inputs'!$B$32)/1000+'Inputs'!$B$21)+'Inputs'!$B$9)/SQRT((((505-43)*MAX('Inputs'!$B$33,'Inputs'!$B$29+'Inputs'!$B$31+'Inputs'!$B$32,'Inputs'!$B$30+'Inputs'!$B$31+'Inputs'!$B$32)/1000+'Inputs'!$B$21)+'Inputs'!$B$9)^2+('Inputs'!$B$8/2)^2)-(((505-43)*MAX('Inputs'!$B$33,'Inputs'!$B$29+'Inputs'!$B$31+'Inputs'!$B$32,'Inputs'!$B$30+'Inputs'!$B$31+'Inputs'!$B$32)/1000+'Inputs'!$B$21))/SQRT((((505-43)*MAX('Inputs'!$B$33,'Inputs'!$B$29+'Inputs'!$B$31+'Inputs'!$B$32,'Inputs'!$B$30+'Inputs'!$B$31+'Inputs'!$B$32)/1000+'Inputs'!$B$21))^2+('Inputs'!$B$8/2)^2)))-'Results'!B7*(1-'Inputs'!$B$24)*(0.5*((((505-43)*MAX('Inputs'!$B$33,'Inputs'!$B$29+'Inputs'!$B$31+'Inputs'!$B$32,'Inputs'!$B$30+'Inputs'!$B$31+'Inputs'!$B$32)/1000+'Inputs'!$B$21+'Inputs'!$B$9+'Inputs'!$B$10)+'Inputs'!$B$7)/SQRT((((505-43)*MAX('Inputs'!$B$33,'Inputs'!$B$29+'Inputs'!$B$31+'Inputs'!$B$32,'Inputs'!$B$30+'Inputs'!$B$31+'Inputs'!$B$32)/1000+'Inputs'!$B$21+'Inputs'!$B$9+'Inputs'!$B$10)+'Inputs'!$B$7)^2+('Inputs'!$B$6/2)^2)-(((505-43)*MAX('Inputs'!$B$33,'Inputs'!$B$29+'Inputs'!$B$31+'Inputs'!$B$32,'Inputs'!$B$30+'Inputs'!$B$31+'Inputs'!$B$32)/1000+'Inputs'!$B$21+'Inputs'!$B$9+'Inputs'!$B$10))/SQRT((((505-43)*MAX('Inputs'!$B$33,'Inputs'!$B$29+'Inputs'!$B$31+'Inputs'!$B$32,'Inputs'!$B$30+'Inputs'!$B$31+'Inputs'!$B$32)/1000+'Inputs'!$B$21+'Inputs'!$B$9+'Inputs'!$B$10))^2+('Inputs'!$B$6/2)^2))))*'Results'!$B$8))),"")</x:f>
        <x:v>5.735291109745535</x:v>
      </x:c>
      <x:c r="P505" t="n">
        <x:f>IF(AND(MAX(J505,J504)&gt;0,J505&gt;J504+0.00000001),1,0)</x:f>
        <x:v>0</x:v>
      </x:c>
      <x:c r="Q505" t="n">
        <x:f>IF(AND(MAX(K505,K504)&gt;0,K505&gt;K504+0.00000001),1,0)</x:f>
        <x:v>0</x:v>
      </x:c>
      <x:c r="R505" t="n">
        <x:f>IF(AND(MAX(L505,L504)&gt;0,L505&gt;L504+0.00000001),1,0)</x:f>
        <x:v>0</x:v>
      </x:c>
      <x:c r="S505" t="n">
        <x:f>IF(AND(MAX(M505,M504)&gt;0,M505&gt;M504+0.00000001),1,0)</x:f>
        <x:v>0</x:v>
      </x:c>
      <x:c r="T505" t="n">
        <x:f>IF(AND(MAX(N505,N504)&gt;0,N505&gt;N504+0.00000001),1,0)</x:f>
        <x:v>0</x:v>
      </x:c>
      <x:c r="U505" t="n">
        <x:f>IF(AND(MAX(O505,O504)&gt;0,O505&gt;O504+0.00000001),1,0)</x:f>
        <x:v>0</x:v>
      </x:c>
    </x:row>
    <x:row r="506">
      <x:c r="J506" t="n">
        <x:f>IF(AND(ISNUMBER('Results'!B7),ISNUMBER('Results'!C7),ISNUMBER('Results'!$B$8),ISNUMBER('Inputs'!$B$6),ISNUMBER('Inputs'!$B$7),ISNUMBER('Inputs'!$B$8),ISNUMBER('Inputs'!$B$9),ISNUMBER('Inputs'!$B$10),ISNUMBER('Inputs'!$B$21),ISNUMBER('Inputs'!$B$24),ISNUMBER('Inputs'!$B$28)),(('Results'!B7*(0.5*((((506-43)*MAX('Inputs'!$B$33,'Inputs'!$B$29+'Inputs'!$B$31+'Inputs'!$B$32,'Inputs'!$B$30+'Inputs'!$B$31+'Inputs'!$B$32)/1000+'Inputs'!$B$21)+'Inputs'!$B$7)/SQRT((((506-43)*MAX('Inputs'!$B$33,'Inputs'!$B$29+'Inputs'!$B$31+'Inputs'!$B$32,'Inputs'!$B$30+'Inputs'!$B$31+'Inputs'!$B$32)/1000+'Inputs'!$B$21)+'Inputs'!$B$7)^2+('Inputs'!$B$6/2)^2)-(((506-43)*MAX('Inputs'!$B$33,'Inputs'!$B$29+'Inputs'!$B$31+'Inputs'!$B$32,'Inputs'!$B$30+'Inputs'!$B$31+'Inputs'!$B$32)/1000+'Inputs'!$B$21))/SQRT((((506-43)*MAX('Inputs'!$B$33,'Inputs'!$B$29+'Inputs'!$B$31+'Inputs'!$B$32,'Inputs'!$B$30+'Inputs'!$B$31+'Inputs'!$B$32)/1000+'Inputs'!$B$21))^2+('Inputs'!$B$6/2)^2)))-'Results'!C7*(0.5*((((506-43)*MAX('Inputs'!$B$33,'Inputs'!$B$29+'Inputs'!$B$31+'Inputs'!$B$32,'Inputs'!$B$30+'Inputs'!$B$31+'Inputs'!$B$32)/1000+'Inputs'!$B$21+'Inputs'!$B$7+'Inputs'!$B$10)+'Inputs'!$B$9)/SQRT((((506-43)*MAX('Inputs'!$B$33,'Inputs'!$B$29+'Inputs'!$B$31+'Inputs'!$B$32,'Inputs'!$B$30+'Inputs'!$B$31+'Inputs'!$B$32)/1000+'Inputs'!$B$21+'Inputs'!$B$7+'Inputs'!$B$10)+'Inputs'!$B$9)^2+('Inputs'!$B$8/2)^2)-(((506-43)*MAX('Inputs'!$B$33,'Inputs'!$B$29+'Inputs'!$B$31+'Inputs'!$B$32,'Inputs'!$B$30+'Inputs'!$B$31+'Inputs'!$B$32)/1000+'Inputs'!$B$21+'Inputs'!$B$7+'Inputs'!$B$10))/SQRT((((506-43)*MAX('Inputs'!$B$33,'Inputs'!$B$29+'Inputs'!$B$31+'Inputs'!$B$32,'Inputs'!$B$30+'Inputs'!$B$31+'Inputs'!$B$32)/1000+'Inputs'!$B$21+'Inputs'!$B$7+'Inputs'!$B$10))^2+('Inputs'!$B$8/2)^2))))*'Results'!$B$8),"")</x:f>
        <x:v>5.42699388247627</x:v>
      </x:c>
      <x:c r="K506" t="n">
        <x:f>IF(AND(ISNUMBER('Results'!B7),ISNUMBER('Results'!C7),ISNUMBER('Results'!$B$8),ISNUMBER('Inputs'!$B$6),ISNUMBER('Inputs'!$B$7),ISNUMBER('Inputs'!$B$8),ISNUMBER('Inputs'!$B$9),ISNUMBER('Inputs'!$B$10),ISNUMBER('Inputs'!$B$21),ISNUMBER('Inputs'!$B$24),ISNUMBER('Inputs'!$B$28)),((('Results'!B7*(1-'Inputs'!$B$24)*(0.5*((((506-43)*MAX('Inputs'!$B$33,'Inputs'!$B$29+'Inputs'!$B$31+'Inputs'!$B$32,'Inputs'!$B$30+'Inputs'!$B$31+'Inputs'!$B$32)/1000+'Inputs'!$B$21)+'Inputs'!$B$7)/SQRT((((506-43)*MAX('Inputs'!$B$33,'Inputs'!$B$29+'Inputs'!$B$31+'Inputs'!$B$32,'Inputs'!$B$30+'Inputs'!$B$31+'Inputs'!$B$32)/1000+'Inputs'!$B$21)+'Inputs'!$B$7)^2+('Inputs'!$B$6/2)^2)-(((506-43)*MAX('Inputs'!$B$33,'Inputs'!$B$29+'Inputs'!$B$31+'Inputs'!$B$32,'Inputs'!$B$30+'Inputs'!$B$31+'Inputs'!$B$32)/1000+'Inputs'!$B$21))/SQRT((((506-43)*MAX('Inputs'!$B$33,'Inputs'!$B$29+'Inputs'!$B$31+'Inputs'!$B$32,'Inputs'!$B$30+'Inputs'!$B$31+'Inputs'!$B$32)/1000+'Inputs'!$B$21))^2+('Inputs'!$B$6/2)^2)))-'Results'!C7*(1+'Inputs'!$B$24)*(0.5*((((506-43)*MAX('Inputs'!$B$33,'Inputs'!$B$29+'Inputs'!$B$31+'Inputs'!$B$32,'Inputs'!$B$30+'Inputs'!$B$31+'Inputs'!$B$32)/1000+'Inputs'!$B$21+'Inputs'!$B$7+'Inputs'!$B$10)+'Inputs'!$B$9)/SQRT((((506-43)*MAX('Inputs'!$B$33,'Inputs'!$B$29+'Inputs'!$B$31+'Inputs'!$B$32,'Inputs'!$B$30+'Inputs'!$B$31+'Inputs'!$B$32)/1000+'Inputs'!$B$21+'Inputs'!$B$7+'Inputs'!$B$10)+'Inputs'!$B$9)^2+('Inputs'!$B$8/2)^2)-(((506-43)*MAX('Inputs'!$B$33,'Inputs'!$B$29+'Inputs'!$B$31+'Inputs'!$B$32,'Inputs'!$B$30+'Inputs'!$B$31+'Inputs'!$B$32)/1000+'Inputs'!$B$21+'Inputs'!$B$7+'Inputs'!$B$10))/SQRT((((506-43)*MAX('Inputs'!$B$33,'Inputs'!$B$29+'Inputs'!$B$31+'Inputs'!$B$32,'Inputs'!$B$30+'Inputs'!$B$31+'Inputs'!$B$32)/1000+'Inputs'!$B$21+'Inputs'!$B$7+'Inputs'!$B$10))^2+('Inputs'!$B$8/2)^2))))*'Results'!$B$8)-'Inputs'!$B$28*ABS((('Results'!B7*(1-'Inputs'!$B$24)*(0.5*((((506-43)*MAX('Inputs'!$B$33,'Inputs'!$B$29+'Inputs'!$B$31+'Inputs'!$B$32,'Inputs'!$B$30+'Inputs'!$B$31+'Inputs'!$B$32)/1000+'Inputs'!$B$21)+'Inputs'!$B$7)/SQRT((((506-43)*MAX('Inputs'!$B$33,'Inputs'!$B$29+'Inputs'!$B$31+'Inputs'!$B$32,'Inputs'!$B$30+'Inputs'!$B$31+'Inputs'!$B$32)/1000+'Inputs'!$B$21)+'Inputs'!$B$7)^2+('Inputs'!$B$6/2)^2)-(((506-43)*MAX('Inputs'!$B$33,'Inputs'!$B$29+'Inputs'!$B$31+'Inputs'!$B$32,'Inputs'!$B$30+'Inputs'!$B$31+'Inputs'!$B$32)/1000+'Inputs'!$B$21))/SQRT((((506-43)*MAX('Inputs'!$B$33,'Inputs'!$B$29+'Inputs'!$B$31+'Inputs'!$B$32,'Inputs'!$B$30+'Inputs'!$B$31+'Inputs'!$B$32)/1000+'Inputs'!$B$21))^2+('Inputs'!$B$6/2)^2)))-'Results'!C7*(1+'Inputs'!$B$24)*(0.5*((((506-43)*MAX('Inputs'!$B$33,'Inputs'!$B$29+'Inputs'!$B$31+'Inputs'!$B$32,'Inputs'!$B$30+'Inputs'!$B$31+'Inputs'!$B$32)/1000+'Inputs'!$B$21+'Inputs'!$B$7+'Inputs'!$B$10)+'Inputs'!$B$9)/SQRT((((506-43)*MAX('Inputs'!$B$33,'Inputs'!$B$29+'Inputs'!$B$31+'Inputs'!$B$32,'Inputs'!$B$30+'Inputs'!$B$31+'Inputs'!$B$32)/1000+'Inputs'!$B$21+'Inputs'!$B$7+'Inputs'!$B$10)+'Inputs'!$B$9)^2+('Inputs'!$B$8/2)^2)-(((506-43)*MAX('Inputs'!$B$33,'Inputs'!$B$29+'Inputs'!$B$31+'Inputs'!$B$32,'Inputs'!$B$30+'Inputs'!$B$31+'Inputs'!$B$32)/1000+'Inputs'!$B$21+'Inputs'!$B$7+'Inputs'!$B$10))/SQRT((((506-43)*MAX('Inputs'!$B$33,'Inputs'!$B$29+'Inputs'!$B$31+'Inputs'!$B$32,'Inputs'!$B$30+'Inputs'!$B$31+'Inputs'!$B$32)/1000+'Inputs'!$B$21+'Inputs'!$B$7+'Inputs'!$B$10))^2+('Inputs'!$B$8/2)^2))))*'Results'!$B$8))),"")</x:f>
        <x:v>4.825786533442198</x:v>
      </x:c>
      <x:c r="L506" t="n">
        <x:f>IF(AND(ISNUMBER('Results'!B7),ISNUMBER('Results'!C7),ISNUMBER('Results'!$B$8),ISNUMBER('Inputs'!$B$6),ISNUMBER('Inputs'!$B$7),ISNUMBER('Inputs'!$B$8),ISNUMBER('Inputs'!$B$9),ISNUMBER('Inputs'!$B$10),ISNUMBER('Inputs'!$B$21),ISNUMBER('Inputs'!$B$24),ISNUMBER('Inputs'!$B$28)),((('Results'!B7*(1+'Inputs'!$B$24)*(0.5*((((506-43)*MAX('Inputs'!$B$33,'Inputs'!$B$29+'Inputs'!$B$31+'Inputs'!$B$32,'Inputs'!$B$30+'Inputs'!$B$31+'Inputs'!$B$32)/1000+'Inputs'!$B$21)+'Inputs'!$B$7)/SQRT((((506-43)*MAX('Inputs'!$B$33,'Inputs'!$B$29+'Inputs'!$B$31+'Inputs'!$B$32,'Inputs'!$B$30+'Inputs'!$B$31+'Inputs'!$B$32)/1000+'Inputs'!$B$21)+'Inputs'!$B$7)^2+('Inputs'!$B$6/2)^2)-(((506-43)*MAX('Inputs'!$B$33,'Inputs'!$B$29+'Inputs'!$B$31+'Inputs'!$B$32,'Inputs'!$B$30+'Inputs'!$B$31+'Inputs'!$B$32)/1000+'Inputs'!$B$21))/SQRT((((506-43)*MAX('Inputs'!$B$33,'Inputs'!$B$29+'Inputs'!$B$31+'Inputs'!$B$32,'Inputs'!$B$30+'Inputs'!$B$31+'Inputs'!$B$32)/1000+'Inputs'!$B$21))^2+('Inputs'!$B$6/2)^2)))-'Results'!C7*(1-'Inputs'!$B$24)*(0.5*((((506-43)*MAX('Inputs'!$B$33,'Inputs'!$B$29+'Inputs'!$B$31+'Inputs'!$B$32,'Inputs'!$B$30+'Inputs'!$B$31+'Inputs'!$B$32)/1000+'Inputs'!$B$21+'Inputs'!$B$7+'Inputs'!$B$10)+'Inputs'!$B$9)/SQRT((((506-43)*MAX('Inputs'!$B$33,'Inputs'!$B$29+'Inputs'!$B$31+'Inputs'!$B$32,'Inputs'!$B$30+'Inputs'!$B$31+'Inputs'!$B$32)/1000+'Inputs'!$B$21+'Inputs'!$B$7+'Inputs'!$B$10)+'Inputs'!$B$9)^2+('Inputs'!$B$8/2)^2)-(((506-43)*MAX('Inputs'!$B$33,'Inputs'!$B$29+'Inputs'!$B$31+'Inputs'!$B$32,'Inputs'!$B$30+'Inputs'!$B$31+'Inputs'!$B$32)/1000+'Inputs'!$B$21+'Inputs'!$B$7+'Inputs'!$B$10))/SQRT((((506-43)*MAX('Inputs'!$B$33,'Inputs'!$B$29+'Inputs'!$B$31+'Inputs'!$B$32,'Inputs'!$B$30+'Inputs'!$B$31+'Inputs'!$B$32)/1000+'Inputs'!$B$21+'Inputs'!$B$7+'Inputs'!$B$10))^2+('Inputs'!$B$8/2)^2))))*'Results'!$B$8)+'Inputs'!$B$28*ABS((('Results'!B7*(1+'Inputs'!$B$24)*(0.5*((((506-43)*MAX('Inputs'!$B$33,'Inputs'!$B$29+'Inputs'!$B$31+'Inputs'!$B$32,'Inputs'!$B$30+'Inputs'!$B$31+'Inputs'!$B$32)/1000+'Inputs'!$B$21)+'Inputs'!$B$7)/SQRT((((506-43)*MAX('Inputs'!$B$33,'Inputs'!$B$29+'Inputs'!$B$31+'Inputs'!$B$32,'Inputs'!$B$30+'Inputs'!$B$31+'Inputs'!$B$32)/1000+'Inputs'!$B$21)+'Inputs'!$B$7)^2+('Inputs'!$B$6/2)^2)-(((506-43)*MAX('Inputs'!$B$33,'Inputs'!$B$29+'Inputs'!$B$31+'Inputs'!$B$32,'Inputs'!$B$30+'Inputs'!$B$31+'Inputs'!$B$32)/1000+'Inputs'!$B$21))/SQRT((((506-43)*MAX('Inputs'!$B$33,'Inputs'!$B$29+'Inputs'!$B$31+'Inputs'!$B$32,'Inputs'!$B$30+'Inputs'!$B$31+'Inputs'!$B$32)/1000+'Inputs'!$B$21))^2+('Inputs'!$B$6/2)^2)))-'Results'!C7*(1-'Inputs'!$B$24)*(0.5*((((506-43)*MAX('Inputs'!$B$33,'Inputs'!$B$29+'Inputs'!$B$31+'Inputs'!$B$32,'Inputs'!$B$30+'Inputs'!$B$31+'Inputs'!$B$32)/1000+'Inputs'!$B$21+'Inputs'!$B$7+'Inputs'!$B$10)+'Inputs'!$B$9)/SQRT((((506-43)*MAX('Inputs'!$B$33,'Inputs'!$B$29+'Inputs'!$B$31+'Inputs'!$B$32,'Inputs'!$B$30+'Inputs'!$B$31+'Inputs'!$B$32)/1000+'Inputs'!$B$21+'Inputs'!$B$7+'Inputs'!$B$10)+'Inputs'!$B$9)^2+('Inputs'!$B$8/2)^2)-(((506-43)*MAX('Inputs'!$B$33,'Inputs'!$B$29+'Inputs'!$B$31+'Inputs'!$B$32,'Inputs'!$B$30+'Inputs'!$B$31+'Inputs'!$B$32)/1000+'Inputs'!$B$21+'Inputs'!$B$7+'Inputs'!$B$10))/SQRT((((506-43)*MAX('Inputs'!$B$33,'Inputs'!$B$29+'Inputs'!$B$31+'Inputs'!$B$32,'Inputs'!$B$30+'Inputs'!$B$31+'Inputs'!$B$32)/1000+'Inputs'!$B$21+'Inputs'!$B$7+'Inputs'!$B$10))^2+('Inputs'!$B$8/2)^2))))*'Results'!$B$8))),"")</x:f>
        <x:v>6.0629230899219495</x:v>
      </x:c>
      <x:c r="M506" t="n">
        <x:f>IF(AND(ISNUMBER('Results'!C7),ISNUMBER('Results'!B7),ISNUMBER('Results'!$B$8),ISNUMBER('Inputs'!$B$6),ISNUMBER('Inputs'!$B$7),ISNUMBER('Inputs'!$B$8),ISNUMBER('Inputs'!$B$9),ISNUMBER('Inputs'!$B$10),ISNUMBER('Inputs'!$B$21),ISNUMBER('Inputs'!$B$24),ISNUMBER('Inputs'!$B$28)),(('Results'!C7*(0.5*((((506-43)*MAX('Inputs'!$B$33,'Inputs'!$B$29+'Inputs'!$B$31+'Inputs'!$B$32,'Inputs'!$B$30+'Inputs'!$B$31+'Inputs'!$B$32)/1000+'Inputs'!$B$21)+'Inputs'!$B$9)/SQRT((((506-43)*MAX('Inputs'!$B$33,'Inputs'!$B$29+'Inputs'!$B$31+'Inputs'!$B$32,'Inputs'!$B$30+'Inputs'!$B$31+'Inputs'!$B$32)/1000+'Inputs'!$B$21)+'Inputs'!$B$9)^2+('Inputs'!$B$8/2)^2)-(((506-43)*MAX('Inputs'!$B$33,'Inputs'!$B$29+'Inputs'!$B$31+'Inputs'!$B$32,'Inputs'!$B$30+'Inputs'!$B$31+'Inputs'!$B$32)/1000+'Inputs'!$B$21))/SQRT((((506-43)*MAX('Inputs'!$B$33,'Inputs'!$B$29+'Inputs'!$B$31+'Inputs'!$B$32,'Inputs'!$B$30+'Inputs'!$B$31+'Inputs'!$B$32)/1000+'Inputs'!$B$21))^2+('Inputs'!$B$8/2)^2)))-'Results'!B7*(0.5*((((506-43)*MAX('Inputs'!$B$33,'Inputs'!$B$29+'Inputs'!$B$31+'Inputs'!$B$32,'Inputs'!$B$30+'Inputs'!$B$31+'Inputs'!$B$32)/1000+'Inputs'!$B$21+'Inputs'!$B$9+'Inputs'!$B$10)+'Inputs'!$B$7)/SQRT((((506-43)*MAX('Inputs'!$B$33,'Inputs'!$B$29+'Inputs'!$B$31+'Inputs'!$B$32,'Inputs'!$B$30+'Inputs'!$B$31+'Inputs'!$B$32)/1000+'Inputs'!$B$21+'Inputs'!$B$9+'Inputs'!$B$10)+'Inputs'!$B$7)^2+('Inputs'!$B$6/2)^2)-(((506-43)*MAX('Inputs'!$B$33,'Inputs'!$B$29+'Inputs'!$B$31+'Inputs'!$B$32,'Inputs'!$B$30+'Inputs'!$B$31+'Inputs'!$B$32)/1000+'Inputs'!$B$21+'Inputs'!$B$9+'Inputs'!$B$10))/SQRT((((506-43)*MAX('Inputs'!$B$33,'Inputs'!$B$29+'Inputs'!$B$31+'Inputs'!$B$32,'Inputs'!$B$30+'Inputs'!$B$31+'Inputs'!$B$32)/1000+'Inputs'!$B$21+'Inputs'!$B$9+'Inputs'!$B$10))^2+('Inputs'!$B$6/2)^2))))*'Results'!$B$8),"")</x:f>
        <x:v>5.077339801355448</x:v>
      </x:c>
      <x:c r="N506" t="n">
        <x:f>IF(AND(ISNUMBER('Results'!C7),ISNUMBER('Results'!B7),ISNUMBER('Results'!$B$8),ISNUMBER('Inputs'!$B$6),ISNUMBER('Inputs'!$B$7),ISNUMBER('Inputs'!$B$8),ISNUMBER('Inputs'!$B$9),ISNUMBER('Inputs'!$B$10),ISNUMBER('Inputs'!$B$21),ISNUMBER('Inputs'!$B$24),ISNUMBER('Inputs'!$B$28)),((('Results'!C7*(1-'Inputs'!$B$24)*(0.5*((((506-43)*MAX('Inputs'!$B$33,'Inputs'!$B$29+'Inputs'!$B$31+'Inputs'!$B$32,'Inputs'!$B$30+'Inputs'!$B$31+'Inputs'!$B$32)/1000+'Inputs'!$B$21)+'Inputs'!$B$9)/SQRT((((506-43)*MAX('Inputs'!$B$33,'Inputs'!$B$29+'Inputs'!$B$31+'Inputs'!$B$32,'Inputs'!$B$30+'Inputs'!$B$31+'Inputs'!$B$32)/1000+'Inputs'!$B$21)+'Inputs'!$B$9)^2+('Inputs'!$B$8/2)^2)-(((506-43)*MAX('Inputs'!$B$33,'Inputs'!$B$29+'Inputs'!$B$31+'Inputs'!$B$32,'Inputs'!$B$30+'Inputs'!$B$31+'Inputs'!$B$32)/1000+'Inputs'!$B$21))/SQRT((((506-43)*MAX('Inputs'!$B$33,'Inputs'!$B$29+'Inputs'!$B$31+'Inputs'!$B$32,'Inputs'!$B$30+'Inputs'!$B$31+'Inputs'!$B$32)/1000+'Inputs'!$B$21))^2+('Inputs'!$B$8/2)^2)))-'Results'!B7*(1+'Inputs'!$B$24)*(0.5*((((506-43)*MAX('Inputs'!$B$33,'Inputs'!$B$29+'Inputs'!$B$31+'Inputs'!$B$32,'Inputs'!$B$30+'Inputs'!$B$31+'Inputs'!$B$32)/1000+'Inputs'!$B$21+'Inputs'!$B$9+'Inputs'!$B$10)+'Inputs'!$B$7)/SQRT((((506-43)*MAX('Inputs'!$B$33,'Inputs'!$B$29+'Inputs'!$B$31+'Inputs'!$B$32,'Inputs'!$B$30+'Inputs'!$B$31+'Inputs'!$B$32)/1000+'Inputs'!$B$21+'Inputs'!$B$9+'Inputs'!$B$10)+'Inputs'!$B$7)^2+('Inputs'!$B$6/2)^2)-(((506-43)*MAX('Inputs'!$B$33,'Inputs'!$B$29+'Inputs'!$B$31+'Inputs'!$B$32,'Inputs'!$B$30+'Inputs'!$B$31+'Inputs'!$B$32)/1000+'Inputs'!$B$21+'Inputs'!$B$9+'Inputs'!$B$10))/SQRT((((506-43)*MAX('Inputs'!$B$33,'Inputs'!$B$29+'Inputs'!$B$31+'Inputs'!$B$32,'Inputs'!$B$30+'Inputs'!$B$31+'Inputs'!$B$32)/1000+'Inputs'!$B$21+'Inputs'!$B$9+'Inputs'!$B$10))^2+('Inputs'!$B$6/2)^2))))*'Results'!$B$8)-'Inputs'!$B$28*ABS((('Results'!C7*(1-'Inputs'!$B$24)*(0.5*((((506-43)*MAX('Inputs'!$B$33,'Inputs'!$B$29+'Inputs'!$B$31+'Inputs'!$B$32,'Inputs'!$B$30+'Inputs'!$B$31+'Inputs'!$B$32)/1000+'Inputs'!$B$21)+'Inputs'!$B$9)/SQRT((((506-43)*MAX('Inputs'!$B$33,'Inputs'!$B$29+'Inputs'!$B$31+'Inputs'!$B$32,'Inputs'!$B$30+'Inputs'!$B$31+'Inputs'!$B$32)/1000+'Inputs'!$B$21)+'Inputs'!$B$9)^2+('Inputs'!$B$8/2)^2)-(((506-43)*MAX('Inputs'!$B$33,'Inputs'!$B$29+'Inputs'!$B$31+'Inputs'!$B$32,'Inputs'!$B$30+'Inputs'!$B$31+'Inputs'!$B$32)/1000+'Inputs'!$B$21))/SQRT((((506-43)*MAX('Inputs'!$B$33,'Inputs'!$B$29+'Inputs'!$B$31+'Inputs'!$B$32,'Inputs'!$B$30+'Inputs'!$B$31+'Inputs'!$B$32)/1000+'Inputs'!$B$21))^2+('Inputs'!$B$8/2)^2)))-'Results'!B7*(1+'Inputs'!$B$24)*(0.5*((((506-43)*MAX('Inputs'!$B$33,'Inputs'!$B$29+'Inputs'!$B$31+'Inputs'!$B$32,'Inputs'!$B$30+'Inputs'!$B$31+'Inputs'!$B$32)/1000+'Inputs'!$B$21+'Inputs'!$B$9+'Inputs'!$B$10)+'Inputs'!$B$7)/SQRT((((506-43)*MAX('Inputs'!$B$33,'Inputs'!$B$29+'Inputs'!$B$31+'Inputs'!$B$32,'Inputs'!$B$30+'Inputs'!$B$31+'Inputs'!$B$32)/1000+'Inputs'!$B$21+'Inputs'!$B$9+'Inputs'!$B$10)+'Inputs'!$B$7)^2+('Inputs'!$B$6/2)^2)-(((506-43)*MAX('Inputs'!$B$33,'Inputs'!$B$29+'Inputs'!$B$31+'Inputs'!$B$32,'Inputs'!$B$30+'Inputs'!$B$31+'Inputs'!$B$32)/1000+'Inputs'!$B$21+'Inputs'!$B$9+'Inputs'!$B$10))/SQRT((((506-43)*MAX('Inputs'!$B$33,'Inputs'!$B$29+'Inputs'!$B$31+'Inputs'!$B$32,'Inputs'!$B$30+'Inputs'!$B$31+'Inputs'!$B$32)/1000+'Inputs'!$B$21+'Inputs'!$B$9+'Inputs'!$B$10))^2+('Inputs'!$B$6/2)^2))))*'Results'!$B$8))),"")</x:f>
        <x:v>4.495631139609666</x:v>
      </x:c>
      <x:c r="O506" t="n">
        <x:f>IF(AND(ISNUMBER('Results'!C7),ISNUMBER('Results'!B7),ISNUMBER('Results'!$B$8),ISNUMBER('Inputs'!$B$6),ISNUMBER('Inputs'!$B$7),ISNUMBER('Inputs'!$B$8),ISNUMBER('Inputs'!$B$9),ISNUMBER('Inputs'!$B$10),ISNUMBER('Inputs'!$B$21),ISNUMBER('Inputs'!$B$24),ISNUMBER('Inputs'!$B$28)),((('Results'!C7*(1+'Inputs'!$B$24)*(0.5*((((506-43)*MAX('Inputs'!$B$33,'Inputs'!$B$29+'Inputs'!$B$31+'Inputs'!$B$32,'Inputs'!$B$30+'Inputs'!$B$31+'Inputs'!$B$32)/1000+'Inputs'!$B$21)+'Inputs'!$B$9)/SQRT((((506-43)*MAX('Inputs'!$B$33,'Inputs'!$B$29+'Inputs'!$B$31+'Inputs'!$B$32,'Inputs'!$B$30+'Inputs'!$B$31+'Inputs'!$B$32)/1000+'Inputs'!$B$21)+'Inputs'!$B$9)^2+('Inputs'!$B$8/2)^2)-(((506-43)*MAX('Inputs'!$B$33,'Inputs'!$B$29+'Inputs'!$B$31+'Inputs'!$B$32,'Inputs'!$B$30+'Inputs'!$B$31+'Inputs'!$B$32)/1000+'Inputs'!$B$21))/SQRT((((506-43)*MAX('Inputs'!$B$33,'Inputs'!$B$29+'Inputs'!$B$31+'Inputs'!$B$32,'Inputs'!$B$30+'Inputs'!$B$31+'Inputs'!$B$32)/1000+'Inputs'!$B$21))^2+('Inputs'!$B$8/2)^2)))-'Results'!B7*(1-'Inputs'!$B$24)*(0.5*((((506-43)*MAX('Inputs'!$B$33,'Inputs'!$B$29+'Inputs'!$B$31+'Inputs'!$B$32,'Inputs'!$B$30+'Inputs'!$B$31+'Inputs'!$B$32)/1000+'Inputs'!$B$21+'Inputs'!$B$9+'Inputs'!$B$10)+'Inputs'!$B$7)/SQRT((((506-43)*MAX('Inputs'!$B$33,'Inputs'!$B$29+'Inputs'!$B$31+'Inputs'!$B$32,'Inputs'!$B$30+'Inputs'!$B$31+'Inputs'!$B$32)/1000+'Inputs'!$B$21+'Inputs'!$B$9+'Inputs'!$B$10)+'Inputs'!$B$7)^2+('Inputs'!$B$6/2)^2)-(((506-43)*MAX('Inputs'!$B$33,'Inputs'!$B$29+'Inputs'!$B$31+'Inputs'!$B$32,'Inputs'!$B$30+'Inputs'!$B$31+'Inputs'!$B$32)/1000+'Inputs'!$B$21+'Inputs'!$B$9+'Inputs'!$B$10))/SQRT((((506-43)*MAX('Inputs'!$B$33,'Inputs'!$B$29+'Inputs'!$B$31+'Inputs'!$B$32,'Inputs'!$B$30+'Inputs'!$B$31+'Inputs'!$B$32)/1000+'Inputs'!$B$21+'Inputs'!$B$9+'Inputs'!$B$10))^2+('Inputs'!$B$6/2)^2))))*'Results'!$B$8)+'Inputs'!$B$28*ABS((('Results'!C7*(1+'Inputs'!$B$24)*(0.5*((((506-43)*MAX('Inputs'!$B$33,'Inputs'!$B$29+'Inputs'!$B$31+'Inputs'!$B$32,'Inputs'!$B$30+'Inputs'!$B$31+'Inputs'!$B$32)/1000+'Inputs'!$B$21)+'Inputs'!$B$9)/SQRT((((506-43)*MAX('Inputs'!$B$33,'Inputs'!$B$29+'Inputs'!$B$31+'Inputs'!$B$32,'Inputs'!$B$30+'Inputs'!$B$31+'Inputs'!$B$32)/1000+'Inputs'!$B$21)+'Inputs'!$B$9)^2+('Inputs'!$B$8/2)^2)-(((506-43)*MAX('Inputs'!$B$33,'Inputs'!$B$29+'Inputs'!$B$31+'Inputs'!$B$32,'Inputs'!$B$30+'Inputs'!$B$31+'Inputs'!$B$32)/1000+'Inputs'!$B$21))/SQRT((((506-43)*MAX('Inputs'!$B$33,'Inputs'!$B$29+'Inputs'!$B$31+'Inputs'!$B$32,'Inputs'!$B$30+'Inputs'!$B$31+'Inputs'!$B$32)/1000+'Inputs'!$B$21))^2+('Inputs'!$B$8/2)^2)))-'Results'!B7*(1-'Inputs'!$B$24)*(0.5*((((506-43)*MAX('Inputs'!$B$33,'Inputs'!$B$29+'Inputs'!$B$31+'Inputs'!$B$32,'Inputs'!$B$30+'Inputs'!$B$31+'Inputs'!$B$32)/1000+'Inputs'!$B$21+'Inputs'!$B$9+'Inputs'!$B$10)+'Inputs'!$B$7)/SQRT((((506-43)*MAX('Inputs'!$B$33,'Inputs'!$B$29+'Inputs'!$B$31+'Inputs'!$B$32,'Inputs'!$B$30+'Inputs'!$B$31+'Inputs'!$B$32)/1000+'Inputs'!$B$21+'Inputs'!$B$9+'Inputs'!$B$10)+'Inputs'!$B$7)^2+('Inputs'!$B$6/2)^2)-(((506-43)*MAX('Inputs'!$B$33,'Inputs'!$B$29+'Inputs'!$B$31+'Inputs'!$B$32,'Inputs'!$B$30+'Inputs'!$B$31+'Inputs'!$B$32)/1000+'Inputs'!$B$21+'Inputs'!$B$9+'Inputs'!$B$10))/SQRT((((506-43)*MAX('Inputs'!$B$33,'Inputs'!$B$29+'Inputs'!$B$31+'Inputs'!$B$32,'Inputs'!$B$30+'Inputs'!$B$31+'Inputs'!$B$32)/1000+'Inputs'!$B$21+'Inputs'!$B$9+'Inputs'!$B$10))^2+('Inputs'!$B$6/2)^2))))*'Results'!$B$8))),"")</x:f>
        <x:v>5.693558112751546</x:v>
      </x:c>
      <x:c r="P506" t="n">
        <x:f>IF(AND(MAX(J506,J505)&gt;0,J506&gt;J505+0.00000001),1,0)</x:f>
        <x:v>0</x:v>
      </x:c>
      <x:c r="Q506" t="n">
        <x:f>IF(AND(MAX(K506,K505)&gt;0,K506&gt;K505+0.00000001),1,0)</x:f>
        <x:v>0</x:v>
      </x:c>
      <x:c r="R506" t="n">
        <x:f>IF(AND(MAX(L506,L505)&gt;0,L506&gt;L505+0.00000001),1,0)</x:f>
        <x:v>0</x:v>
      </x:c>
      <x:c r="S506" t="n">
        <x:f>IF(AND(MAX(M506,M505)&gt;0,M506&gt;M505+0.00000001),1,0)</x:f>
        <x:v>0</x:v>
      </x:c>
      <x:c r="T506" t="n">
        <x:f>IF(AND(MAX(N506,N505)&gt;0,N506&gt;N505+0.00000001),1,0)</x:f>
        <x:v>0</x:v>
      </x:c>
      <x:c r="U506" t="n">
        <x:f>IF(AND(MAX(O506,O505)&gt;0,O506&gt;O505+0.00000001),1,0)</x:f>
        <x:v>0</x:v>
      </x:c>
    </x:row>
    <x:row r="507">
      <x:c r="J507" t="n">
        <x:f>IF(AND(ISNUMBER('Results'!B7),ISNUMBER('Results'!C7),ISNUMBER('Results'!$B$8),ISNUMBER('Inputs'!$B$6),ISNUMBER('Inputs'!$B$7),ISNUMBER('Inputs'!$B$8),ISNUMBER('Inputs'!$B$9),ISNUMBER('Inputs'!$B$10),ISNUMBER('Inputs'!$B$21),ISNUMBER('Inputs'!$B$24),ISNUMBER('Inputs'!$B$28)),(('Results'!B7*(0.5*((((507-43)*MAX('Inputs'!$B$33,'Inputs'!$B$29+'Inputs'!$B$31+'Inputs'!$B$32,'Inputs'!$B$30+'Inputs'!$B$31+'Inputs'!$B$32)/1000+'Inputs'!$B$21)+'Inputs'!$B$7)/SQRT((((507-43)*MAX('Inputs'!$B$33,'Inputs'!$B$29+'Inputs'!$B$31+'Inputs'!$B$32,'Inputs'!$B$30+'Inputs'!$B$31+'Inputs'!$B$32)/1000+'Inputs'!$B$21)+'Inputs'!$B$7)^2+('Inputs'!$B$6/2)^2)-(((507-43)*MAX('Inputs'!$B$33,'Inputs'!$B$29+'Inputs'!$B$31+'Inputs'!$B$32,'Inputs'!$B$30+'Inputs'!$B$31+'Inputs'!$B$32)/1000+'Inputs'!$B$21))/SQRT((((507-43)*MAX('Inputs'!$B$33,'Inputs'!$B$29+'Inputs'!$B$31+'Inputs'!$B$32,'Inputs'!$B$30+'Inputs'!$B$31+'Inputs'!$B$32)/1000+'Inputs'!$B$21))^2+('Inputs'!$B$6/2)^2)))-'Results'!C7*(0.5*((((507-43)*MAX('Inputs'!$B$33,'Inputs'!$B$29+'Inputs'!$B$31+'Inputs'!$B$32,'Inputs'!$B$30+'Inputs'!$B$31+'Inputs'!$B$32)/1000+'Inputs'!$B$21+'Inputs'!$B$7+'Inputs'!$B$10)+'Inputs'!$B$9)/SQRT((((507-43)*MAX('Inputs'!$B$33,'Inputs'!$B$29+'Inputs'!$B$31+'Inputs'!$B$32,'Inputs'!$B$30+'Inputs'!$B$31+'Inputs'!$B$32)/1000+'Inputs'!$B$21+'Inputs'!$B$7+'Inputs'!$B$10)+'Inputs'!$B$9)^2+('Inputs'!$B$8/2)^2)-(((507-43)*MAX('Inputs'!$B$33,'Inputs'!$B$29+'Inputs'!$B$31+'Inputs'!$B$32,'Inputs'!$B$30+'Inputs'!$B$31+'Inputs'!$B$32)/1000+'Inputs'!$B$21+'Inputs'!$B$7+'Inputs'!$B$10))/SQRT((((507-43)*MAX('Inputs'!$B$33,'Inputs'!$B$29+'Inputs'!$B$31+'Inputs'!$B$32,'Inputs'!$B$30+'Inputs'!$B$31+'Inputs'!$B$32)/1000+'Inputs'!$B$21+'Inputs'!$B$7+'Inputs'!$B$10))^2+('Inputs'!$B$8/2)^2))))*'Results'!$B$8),"")</x:f>
        <x:v>5.387581815165704</x:v>
      </x:c>
      <x:c r="K507" t="n">
        <x:f>IF(AND(ISNUMBER('Results'!B7),ISNUMBER('Results'!C7),ISNUMBER('Results'!$B$8),ISNUMBER('Inputs'!$B$6),ISNUMBER('Inputs'!$B$7),ISNUMBER('Inputs'!$B$8),ISNUMBER('Inputs'!$B$9),ISNUMBER('Inputs'!$B$10),ISNUMBER('Inputs'!$B$21),ISNUMBER('Inputs'!$B$24),ISNUMBER('Inputs'!$B$28)),((('Results'!B7*(1-'Inputs'!$B$24)*(0.5*((((507-43)*MAX('Inputs'!$B$33,'Inputs'!$B$29+'Inputs'!$B$31+'Inputs'!$B$32,'Inputs'!$B$30+'Inputs'!$B$31+'Inputs'!$B$32)/1000+'Inputs'!$B$21)+'Inputs'!$B$7)/SQRT((((507-43)*MAX('Inputs'!$B$33,'Inputs'!$B$29+'Inputs'!$B$31+'Inputs'!$B$32,'Inputs'!$B$30+'Inputs'!$B$31+'Inputs'!$B$32)/1000+'Inputs'!$B$21)+'Inputs'!$B$7)^2+('Inputs'!$B$6/2)^2)-(((507-43)*MAX('Inputs'!$B$33,'Inputs'!$B$29+'Inputs'!$B$31+'Inputs'!$B$32,'Inputs'!$B$30+'Inputs'!$B$31+'Inputs'!$B$32)/1000+'Inputs'!$B$21))/SQRT((((507-43)*MAX('Inputs'!$B$33,'Inputs'!$B$29+'Inputs'!$B$31+'Inputs'!$B$32,'Inputs'!$B$30+'Inputs'!$B$31+'Inputs'!$B$32)/1000+'Inputs'!$B$21))^2+('Inputs'!$B$6/2)^2)))-'Results'!C7*(1+'Inputs'!$B$24)*(0.5*((((507-43)*MAX('Inputs'!$B$33,'Inputs'!$B$29+'Inputs'!$B$31+'Inputs'!$B$32,'Inputs'!$B$30+'Inputs'!$B$31+'Inputs'!$B$32)/1000+'Inputs'!$B$21+'Inputs'!$B$7+'Inputs'!$B$10)+'Inputs'!$B$9)/SQRT((((507-43)*MAX('Inputs'!$B$33,'Inputs'!$B$29+'Inputs'!$B$31+'Inputs'!$B$32,'Inputs'!$B$30+'Inputs'!$B$31+'Inputs'!$B$32)/1000+'Inputs'!$B$21+'Inputs'!$B$7+'Inputs'!$B$10)+'Inputs'!$B$9)^2+('Inputs'!$B$8/2)^2)-(((507-43)*MAX('Inputs'!$B$33,'Inputs'!$B$29+'Inputs'!$B$31+'Inputs'!$B$32,'Inputs'!$B$30+'Inputs'!$B$31+'Inputs'!$B$32)/1000+'Inputs'!$B$21+'Inputs'!$B$7+'Inputs'!$B$10))/SQRT((((507-43)*MAX('Inputs'!$B$33,'Inputs'!$B$29+'Inputs'!$B$31+'Inputs'!$B$32,'Inputs'!$B$30+'Inputs'!$B$31+'Inputs'!$B$32)/1000+'Inputs'!$B$21+'Inputs'!$B$7+'Inputs'!$B$10))^2+('Inputs'!$B$8/2)^2))))*'Results'!$B$8)-'Inputs'!$B$28*ABS((('Results'!B7*(1-'Inputs'!$B$24)*(0.5*((((507-43)*MAX('Inputs'!$B$33,'Inputs'!$B$29+'Inputs'!$B$31+'Inputs'!$B$32,'Inputs'!$B$30+'Inputs'!$B$31+'Inputs'!$B$32)/1000+'Inputs'!$B$21)+'Inputs'!$B$7)/SQRT((((507-43)*MAX('Inputs'!$B$33,'Inputs'!$B$29+'Inputs'!$B$31+'Inputs'!$B$32,'Inputs'!$B$30+'Inputs'!$B$31+'Inputs'!$B$32)/1000+'Inputs'!$B$21)+'Inputs'!$B$7)^2+('Inputs'!$B$6/2)^2)-(((507-43)*MAX('Inputs'!$B$33,'Inputs'!$B$29+'Inputs'!$B$31+'Inputs'!$B$32,'Inputs'!$B$30+'Inputs'!$B$31+'Inputs'!$B$32)/1000+'Inputs'!$B$21))/SQRT((((507-43)*MAX('Inputs'!$B$33,'Inputs'!$B$29+'Inputs'!$B$31+'Inputs'!$B$32,'Inputs'!$B$30+'Inputs'!$B$31+'Inputs'!$B$32)/1000+'Inputs'!$B$21))^2+('Inputs'!$B$6/2)^2)))-'Results'!C7*(1+'Inputs'!$B$24)*(0.5*((((507-43)*MAX('Inputs'!$B$33,'Inputs'!$B$29+'Inputs'!$B$31+'Inputs'!$B$32,'Inputs'!$B$30+'Inputs'!$B$31+'Inputs'!$B$32)/1000+'Inputs'!$B$21+'Inputs'!$B$7+'Inputs'!$B$10)+'Inputs'!$B$9)/SQRT((((507-43)*MAX('Inputs'!$B$33,'Inputs'!$B$29+'Inputs'!$B$31+'Inputs'!$B$32,'Inputs'!$B$30+'Inputs'!$B$31+'Inputs'!$B$32)/1000+'Inputs'!$B$21+'Inputs'!$B$7+'Inputs'!$B$10)+'Inputs'!$B$9)^2+('Inputs'!$B$8/2)^2)-(((507-43)*MAX('Inputs'!$B$33,'Inputs'!$B$29+'Inputs'!$B$31+'Inputs'!$B$32,'Inputs'!$B$30+'Inputs'!$B$31+'Inputs'!$B$32)/1000+'Inputs'!$B$21+'Inputs'!$B$7+'Inputs'!$B$10))/SQRT((((507-43)*MAX('Inputs'!$B$33,'Inputs'!$B$29+'Inputs'!$B$31+'Inputs'!$B$32,'Inputs'!$B$30+'Inputs'!$B$31+'Inputs'!$B$32)/1000+'Inputs'!$B$21+'Inputs'!$B$7+'Inputs'!$B$10))^2+('Inputs'!$B$8/2)^2))))*'Results'!$B$8))),"")</x:f>
        <x:v>4.790210450115484</x:v>
      </x:c>
      <x:c r="L507" t="n">
        <x:f>IF(AND(ISNUMBER('Results'!B7),ISNUMBER('Results'!C7),ISNUMBER('Results'!$B$8),ISNUMBER('Inputs'!$B$6),ISNUMBER('Inputs'!$B$7),ISNUMBER('Inputs'!$B$8),ISNUMBER('Inputs'!$B$9),ISNUMBER('Inputs'!$B$10),ISNUMBER('Inputs'!$B$21),ISNUMBER('Inputs'!$B$24),ISNUMBER('Inputs'!$B$28)),((('Results'!B7*(1+'Inputs'!$B$24)*(0.5*((((507-43)*MAX('Inputs'!$B$33,'Inputs'!$B$29+'Inputs'!$B$31+'Inputs'!$B$32,'Inputs'!$B$30+'Inputs'!$B$31+'Inputs'!$B$32)/1000+'Inputs'!$B$21)+'Inputs'!$B$7)/SQRT((((507-43)*MAX('Inputs'!$B$33,'Inputs'!$B$29+'Inputs'!$B$31+'Inputs'!$B$32,'Inputs'!$B$30+'Inputs'!$B$31+'Inputs'!$B$32)/1000+'Inputs'!$B$21)+'Inputs'!$B$7)^2+('Inputs'!$B$6/2)^2)-(((507-43)*MAX('Inputs'!$B$33,'Inputs'!$B$29+'Inputs'!$B$31+'Inputs'!$B$32,'Inputs'!$B$30+'Inputs'!$B$31+'Inputs'!$B$32)/1000+'Inputs'!$B$21))/SQRT((((507-43)*MAX('Inputs'!$B$33,'Inputs'!$B$29+'Inputs'!$B$31+'Inputs'!$B$32,'Inputs'!$B$30+'Inputs'!$B$31+'Inputs'!$B$32)/1000+'Inputs'!$B$21))^2+('Inputs'!$B$6/2)^2)))-'Results'!C7*(1-'Inputs'!$B$24)*(0.5*((((507-43)*MAX('Inputs'!$B$33,'Inputs'!$B$29+'Inputs'!$B$31+'Inputs'!$B$32,'Inputs'!$B$30+'Inputs'!$B$31+'Inputs'!$B$32)/1000+'Inputs'!$B$21+'Inputs'!$B$7+'Inputs'!$B$10)+'Inputs'!$B$9)/SQRT((((507-43)*MAX('Inputs'!$B$33,'Inputs'!$B$29+'Inputs'!$B$31+'Inputs'!$B$32,'Inputs'!$B$30+'Inputs'!$B$31+'Inputs'!$B$32)/1000+'Inputs'!$B$21+'Inputs'!$B$7+'Inputs'!$B$10)+'Inputs'!$B$9)^2+('Inputs'!$B$8/2)^2)-(((507-43)*MAX('Inputs'!$B$33,'Inputs'!$B$29+'Inputs'!$B$31+'Inputs'!$B$32,'Inputs'!$B$30+'Inputs'!$B$31+'Inputs'!$B$32)/1000+'Inputs'!$B$21+'Inputs'!$B$7+'Inputs'!$B$10))/SQRT((((507-43)*MAX('Inputs'!$B$33,'Inputs'!$B$29+'Inputs'!$B$31+'Inputs'!$B$32,'Inputs'!$B$30+'Inputs'!$B$31+'Inputs'!$B$32)/1000+'Inputs'!$B$21+'Inputs'!$B$7+'Inputs'!$B$10))^2+('Inputs'!$B$8/2)^2))))*'Results'!$B$8)+'Inputs'!$B$28*ABS((('Results'!B7*(1+'Inputs'!$B$24)*(0.5*((((507-43)*MAX('Inputs'!$B$33,'Inputs'!$B$29+'Inputs'!$B$31+'Inputs'!$B$32,'Inputs'!$B$30+'Inputs'!$B$31+'Inputs'!$B$32)/1000+'Inputs'!$B$21)+'Inputs'!$B$7)/SQRT((((507-43)*MAX('Inputs'!$B$33,'Inputs'!$B$29+'Inputs'!$B$31+'Inputs'!$B$32,'Inputs'!$B$30+'Inputs'!$B$31+'Inputs'!$B$32)/1000+'Inputs'!$B$21)+'Inputs'!$B$7)^2+('Inputs'!$B$6/2)^2)-(((507-43)*MAX('Inputs'!$B$33,'Inputs'!$B$29+'Inputs'!$B$31+'Inputs'!$B$32,'Inputs'!$B$30+'Inputs'!$B$31+'Inputs'!$B$32)/1000+'Inputs'!$B$21))/SQRT((((507-43)*MAX('Inputs'!$B$33,'Inputs'!$B$29+'Inputs'!$B$31+'Inputs'!$B$32,'Inputs'!$B$30+'Inputs'!$B$31+'Inputs'!$B$32)/1000+'Inputs'!$B$21))^2+('Inputs'!$B$6/2)^2)))-'Results'!C7*(1-'Inputs'!$B$24)*(0.5*((((507-43)*MAX('Inputs'!$B$33,'Inputs'!$B$29+'Inputs'!$B$31+'Inputs'!$B$32,'Inputs'!$B$30+'Inputs'!$B$31+'Inputs'!$B$32)/1000+'Inputs'!$B$21+'Inputs'!$B$7+'Inputs'!$B$10)+'Inputs'!$B$9)/SQRT((((507-43)*MAX('Inputs'!$B$33,'Inputs'!$B$29+'Inputs'!$B$31+'Inputs'!$B$32,'Inputs'!$B$30+'Inputs'!$B$31+'Inputs'!$B$32)/1000+'Inputs'!$B$21+'Inputs'!$B$7+'Inputs'!$B$10)+'Inputs'!$B$9)^2+('Inputs'!$B$8/2)^2)-(((507-43)*MAX('Inputs'!$B$33,'Inputs'!$B$29+'Inputs'!$B$31+'Inputs'!$B$32,'Inputs'!$B$30+'Inputs'!$B$31+'Inputs'!$B$32)/1000+'Inputs'!$B$21+'Inputs'!$B$7+'Inputs'!$B$10))/SQRT((((507-43)*MAX('Inputs'!$B$33,'Inputs'!$B$29+'Inputs'!$B$31+'Inputs'!$B$32,'Inputs'!$B$30+'Inputs'!$B$31+'Inputs'!$B$32)/1000+'Inputs'!$B$21+'Inputs'!$B$7+'Inputs'!$B$10))^2+('Inputs'!$B$8/2)^2))))*'Results'!$B$8))),"")</x:f>
        <x:v>6.019478682772967</x:v>
      </x:c>
      <x:c r="M507" t="n">
        <x:f>IF(AND(ISNUMBER('Results'!C7),ISNUMBER('Results'!B7),ISNUMBER('Results'!$B$8),ISNUMBER('Inputs'!$B$6),ISNUMBER('Inputs'!$B$7),ISNUMBER('Inputs'!$B$8),ISNUMBER('Inputs'!$B$9),ISNUMBER('Inputs'!$B$10),ISNUMBER('Inputs'!$B$21),ISNUMBER('Inputs'!$B$24),ISNUMBER('Inputs'!$B$28)),(('Results'!C7*(0.5*((((507-43)*MAX('Inputs'!$B$33,'Inputs'!$B$29+'Inputs'!$B$31+'Inputs'!$B$32,'Inputs'!$B$30+'Inputs'!$B$31+'Inputs'!$B$32)/1000+'Inputs'!$B$21)+'Inputs'!$B$9)/SQRT((((507-43)*MAX('Inputs'!$B$33,'Inputs'!$B$29+'Inputs'!$B$31+'Inputs'!$B$32,'Inputs'!$B$30+'Inputs'!$B$31+'Inputs'!$B$32)/1000+'Inputs'!$B$21)+'Inputs'!$B$9)^2+('Inputs'!$B$8/2)^2)-(((507-43)*MAX('Inputs'!$B$33,'Inputs'!$B$29+'Inputs'!$B$31+'Inputs'!$B$32,'Inputs'!$B$30+'Inputs'!$B$31+'Inputs'!$B$32)/1000+'Inputs'!$B$21))/SQRT((((507-43)*MAX('Inputs'!$B$33,'Inputs'!$B$29+'Inputs'!$B$31+'Inputs'!$B$32,'Inputs'!$B$30+'Inputs'!$B$31+'Inputs'!$B$32)/1000+'Inputs'!$B$21))^2+('Inputs'!$B$8/2)^2)))-'Results'!B7*(0.5*((((507-43)*MAX('Inputs'!$B$33,'Inputs'!$B$29+'Inputs'!$B$31+'Inputs'!$B$32,'Inputs'!$B$30+'Inputs'!$B$31+'Inputs'!$B$32)/1000+'Inputs'!$B$21+'Inputs'!$B$9+'Inputs'!$B$10)+'Inputs'!$B$7)/SQRT((((507-43)*MAX('Inputs'!$B$33,'Inputs'!$B$29+'Inputs'!$B$31+'Inputs'!$B$32,'Inputs'!$B$30+'Inputs'!$B$31+'Inputs'!$B$32)/1000+'Inputs'!$B$21+'Inputs'!$B$9+'Inputs'!$B$10)+'Inputs'!$B$7)^2+('Inputs'!$B$6/2)^2)-(((507-43)*MAX('Inputs'!$B$33,'Inputs'!$B$29+'Inputs'!$B$31+'Inputs'!$B$32,'Inputs'!$B$30+'Inputs'!$B$31+'Inputs'!$B$32)/1000+'Inputs'!$B$21+'Inputs'!$B$9+'Inputs'!$B$10))/SQRT((((507-43)*MAX('Inputs'!$B$33,'Inputs'!$B$29+'Inputs'!$B$31+'Inputs'!$B$32,'Inputs'!$B$30+'Inputs'!$B$31+'Inputs'!$B$32)/1000+'Inputs'!$B$21+'Inputs'!$B$9+'Inputs'!$B$10))^2+('Inputs'!$B$6/2)^2))))*'Results'!$B$8),"")</x:f>
        <x:v>5.039903285623133</x:v>
      </x:c>
      <x:c r="N507" t="n">
        <x:f>IF(AND(ISNUMBER('Results'!C7),ISNUMBER('Results'!B7),ISNUMBER('Results'!$B$8),ISNUMBER('Inputs'!$B$6),ISNUMBER('Inputs'!$B$7),ISNUMBER('Inputs'!$B$8),ISNUMBER('Inputs'!$B$9),ISNUMBER('Inputs'!$B$10),ISNUMBER('Inputs'!$B$21),ISNUMBER('Inputs'!$B$24),ISNUMBER('Inputs'!$B$28)),((('Results'!C7*(1-'Inputs'!$B$24)*(0.5*((((507-43)*MAX('Inputs'!$B$33,'Inputs'!$B$29+'Inputs'!$B$31+'Inputs'!$B$32,'Inputs'!$B$30+'Inputs'!$B$31+'Inputs'!$B$32)/1000+'Inputs'!$B$21)+'Inputs'!$B$9)/SQRT((((507-43)*MAX('Inputs'!$B$33,'Inputs'!$B$29+'Inputs'!$B$31+'Inputs'!$B$32,'Inputs'!$B$30+'Inputs'!$B$31+'Inputs'!$B$32)/1000+'Inputs'!$B$21)+'Inputs'!$B$9)^2+('Inputs'!$B$8/2)^2)-(((507-43)*MAX('Inputs'!$B$33,'Inputs'!$B$29+'Inputs'!$B$31+'Inputs'!$B$32,'Inputs'!$B$30+'Inputs'!$B$31+'Inputs'!$B$32)/1000+'Inputs'!$B$21))/SQRT((((507-43)*MAX('Inputs'!$B$33,'Inputs'!$B$29+'Inputs'!$B$31+'Inputs'!$B$32,'Inputs'!$B$30+'Inputs'!$B$31+'Inputs'!$B$32)/1000+'Inputs'!$B$21))^2+('Inputs'!$B$8/2)^2)))-'Results'!B7*(1+'Inputs'!$B$24)*(0.5*((((507-43)*MAX('Inputs'!$B$33,'Inputs'!$B$29+'Inputs'!$B$31+'Inputs'!$B$32,'Inputs'!$B$30+'Inputs'!$B$31+'Inputs'!$B$32)/1000+'Inputs'!$B$21+'Inputs'!$B$9+'Inputs'!$B$10)+'Inputs'!$B$7)/SQRT((((507-43)*MAX('Inputs'!$B$33,'Inputs'!$B$29+'Inputs'!$B$31+'Inputs'!$B$32,'Inputs'!$B$30+'Inputs'!$B$31+'Inputs'!$B$32)/1000+'Inputs'!$B$21+'Inputs'!$B$9+'Inputs'!$B$10)+'Inputs'!$B$7)^2+('Inputs'!$B$6/2)^2)-(((507-43)*MAX('Inputs'!$B$33,'Inputs'!$B$29+'Inputs'!$B$31+'Inputs'!$B$32,'Inputs'!$B$30+'Inputs'!$B$31+'Inputs'!$B$32)/1000+'Inputs'!$B$21+'Inputs'!$B$9+'Inputs'!$B$10))/SQRT((((507-43)*MAX('Inputs'!$B$33,'Inputs'!$B$29+'Inputs'!$B$31+'Inputs'!$B$32,'Inputs'!$B$30+'Inputs'!$B$31+'Inputs'!$B$32)/1000+'Inputs'!$B$21+'Inputs'!$B$9+'Inputs'!$B$10))^2+('Inputs'!$B$6/2)^2))))*'Results'!$B$8)-'Inputs'!$B$28*ABS((('Results'!C7*(1-'Inputs'!$B$24)*(0.5*((((507-43)*MAX('Inputs'!$B$33,'Inputs'!$B$29+'Inputs'!$B$31+'Inputs'!$B$32,'Inputs'!$B$30+'Inputs'!$B$31+'Inputs'!$B$32)/1000+'Inputs'!$B$21)+'Inputs'!$B$9)/SQRT((((507-43)*MAX('Inputs'!$B$33,'Inputs'!$B$29+'Inputs'!$B$31+'Inputs'!$B$32,'Inputs'!$B$30+'Inputs'!$B$31+'Inputs'!$B$32)/1000+'Inputs'!$B$21)+'Inputs'!$B$9)^2+('Inputs'!$B$8/2)^2)-(((507-43)*MAX('Inputs'!$B$33,'Inputs'!$B$29+'Inputs'!$B$31+'Inputs'!$B$32,'Inputs'!$B$30+'Inputs'!$B$31+'Inputs'!$B$32)/1000+'Inputs'!$B$21))/SQRT((((507-43)*MAX('Inputs'!$B$33,'Inputs'!$B$29+'Inputs'!$B$31+'Inputs'!$B$32,'Inputs'!$B$30+'Inputs'!$B$31+'Inputs'!$B$32)/1000+'Inputs'!$B$21))^2+('Inputs'!$B$8/2)^2)))-'Results'!B7*(1+'Inputs'!$B$24)*(0.5*((((507-43)*MAX('Inputs'!$B$33,'Inputs'!$B$29+'Inputs'!$B$31+'Inputs'!$B$32,'Inputs'!$B$30+'Inputs'!$B$31+'Inputs'!$B$32)/1000+'Inputs'!$B$21+'Inputs'!$B$9+'Inputs'!$B$10)+'Inputs'!$B$7)/SQRT((((507-43)*MAX('Inputs'!$B$33,'Inputs'!$B$29+'Inputs'!$B$31+'Inputs'!$B$32,'Inputs'!$B$30+'Inputs'!$B$31+'Inputs'!$B$32)/1000+'Inputs'!$B$21+'Inputs'!$B$9+'Inputs'!$B$10)+'Inputs'!$B$7)^2+('Inputs'!$B$6/2)^2)-(((507-43)*MAX('Inputs'!$B$33,'Inputs'!$B$29+'Inputs'!$B$31+'Inputs'!$B$32,'Inputs'!$B$30+'Inputs'!$B$31+'Inputs'!$B$32)/1000+'Inputs'!$B$21+'Inputs'!$B$9+'Inputs'!$B$10))/SQRT((((507-43)*MAX('Inputs'!$B$33,'Inputs'!$B$29+'Inputs'!$B$31+'Inputs'!$B$32,'Inputs'!$B$30+'Inputs'!$B$31+'Inputs'!$B$32)/1000+'Inputs'!$B$21+'Inputs'!$B$9+'Inputs'!$B$10))^2+('Inputs'!$B$6/2)^2))))*'Results'!$B$8))),"")</x:f>
        <x:v>4.4619170815643345</x:v>
      </x:c>
      <x:c r="O507" t="n">
        <x:f>IF(AND(ISNUMBER('Results'!C7),ISNUMBER('Results'!B7),ISNUMBER('Results'!$B$8),ISNUMBER('Inputs'!$B$6),ISNUMBER('Inputs'!$B$7),ISNUMBER('Inputs'!$B$8),ISNUMBER('Inputs'!$B$9),ISNUMBER('Inputs'!$B$10),ISNUMBER('Inputs'!$B$21),ISNUMBER('Inputs'!$B$24),ISNUMBER('Inputs'!$B$28)),((('Results'!C7*(1+'Inputs'!$B$24)*(0.5*((((507-43)*MAX('Inputs'!$B$33,'Inputs'!$B$29+'Inputs'!$B$31+'Inputs'!$B$32,'Inputs'!$B$30+'Inputs'!$B$31+'Inputs'!$B$32)/1000+'Inputs'!$B$21)+'Inputs'!$B$9)/SQRT((((507-43)*MAX('Inputs'!$B$33,'Inputs'!$B$29+'Inputs'!$B$31+'Inputs'!$B$32,'Inputs'!$B$30+'Inputs'!$B$31+'Inputs'!$B$32)/1000+'Inputs'!$B$21)+'Inputs'!$B$9)^2+('Inputs'!$B$8/2)^2)-(((507-43)*MAX('Inputs'!$B$33,'Inputs'!$B$29+'Inputs'!$B$31+'Inputs'!$B$32,'Inputs'!$B$30+'Inputs'!$B$31+'Inputs'!$B$32)/1000+'Inputs'!$B$21))/SQRT((((507-43)*MAX('Inputs'!$B$33,'Inputs'!$B$29+'Inputs'!$B$31+'Inputs'!$B$32,'Inputs'!$B$30+'Inputs'!$B$31+'Inputs'!$B$32)/1000+'Inputs'!$B$21))^2+('Inputs'!$B$8/2)^2)))-'Results'!B7*(1-'Inputs'!$B$24)*(0.5*((((507-43)*MAX('Inputs'!$B$33,'Inputs'!$B$29+'Inputs'!$B$31+'Inputs'!$B$32,'Inputs'!$B$30+'Inputs'!$B$31+'Inputs'!$B$32)/1000+'Inputs'!$B$21+'Inputs'!$B$9+'Inputs'!$B$10)+'Inputs'!$B$7)/SQRT((((507-43)*MAX('Inputs'!$B$33,'Inputs'!$B$29+'Inputs'!$B$31+'Inputs'!$B$32,'Inputs'!$B$30+'Inputs'!$B$31+'Inputs'!$B$32)/1000+'Inputs'!$B$21+'Inputs'!$B$9+'Inputs'!$B$10)+'Inputs'!$B$7)^2+('Inputs'!$B$6/2)^2)-(((507-43)*MAX('Inputs'!$B$33,'Inputs'!$B$29+'Inputs'!$B$31+'Inputs'!$B$32,'Inputs'!$B$30+'Inputs'!$B$31+'Inputs'!$B$32)/1000+'Inputs'!$B$21+'Inputs'!$B$9+'Inputs'!$B$10))/SQRT((((507-43)*MAX('Inputs'!$B$33,'Inputs'!$B$29+'Inputs'!$B$31+'Inputs'!$B$32,'Inputs'!$B$30+'Inputs'!$B$31+'Inputs'!$B$32)/1000+'Inputs'!$B$21+'Inputs'!$B$9+'Inputs'!$B$10))^2+('Inputs'!$B$6/2)^2))))*'Results'!$B$8)+'Inputs'!$B$28*ABS((('Results'!C7*(1+'Inputs'!$B$24)*(0.5*((((507-43)*MAX('Inputs'!$B$33,'Inputs'!$B$29+'Inputs'!$B$31+'Inputs'!$B$32,'Inputs'!$B$30+'Inputs'!$B$31+'Inputs'!$B$32)/1000+'Inputs'!$B$21)+'Inputs'!$B$9)/SQRT((((507-43)*MAX('Inputs'!$B$33,'Inputs'!$B$29+'Inputs'!$B$31+'Inputs'!$B$32,'Inputs'!$B$30+'Inputs'!$B$31+'Inputs'!$B$32)/1000+'Inputs'!$B$21)+'Inputs'!$B$9)^2+('Inputs'!$B$8/2)^2)-(((507-43)*MAX('Inputs'!$B$33,'Inputs'!$B$29+'Inputs'!$B$31+'Inputs'!$B$32,'Inputs'!$B$30+'Inputs'!$B$31+'Inputs'!$B$32)/1000+'Inputs'!$B$21))/SQRT((((507-43)*MAX('Inputs'!$B$33,'Inputs'!$B$29+'Inputs'!$B$31+'Inputs'!$B$32,'Inputs'!$B$30+'Inputs'!$B$31+'Inputs'!$B$32)/1000+'Inputs'!$B$21))^2+('Inputs'!$B$8/2)^2)))-'Results'!B7*(1-'Inputs'!$B$24)*(0.5*((((507-43)*MAX('Inputs'!$B$33,'Inputs'!$B$29+'Inputs'!$B$31+'Inputs'!$B$32,'Inputs'!$B$30+'Inputs'!$B$31+'Inputs'!$B$32)/1000+'Inputs'!$B$21+'Inputs'!$B$9+'Inputs'!$B$10)+'Inputs'!$B$7)/SQRT((((507-43)*MAX('Inputs'!$B$33,'Inputs'!$B$29+'Inputs'!$B$31+'Inputs'!$B$32,'Inputs'!$B$30+'Inputs'!$B$31+'Inputs'!$B$32)/1000+'Inputs'!$B$21+'Inputs'!$B$9+'Inputs'!$B$10)+'Inputs'!$B$7)^2+('Inputs'!$B$6/2)^2)-(((507-43)*MAX('Inputs'!$B$33,'Inputs'!$B$29+'Inputs'!$B$31+'Inputs'!$B$32,'Inputs'!$B$30+'Inputs'!$B$31+'Inputs'!$B$32)/1000+'Inputs'!$B$21+'Inputs'!$B$9+'Inputs'!$B$10))/SQRT((((507-43)*MAX('Inputs'!$B$33,'Inputs'!$B$29+'Inputs'!$B$31+'Inputs'!$B$32,'Inputs'!$B$30+'Inputs'!$B$31+'Inputs'!$B$32)/1000+'Inputs'!$B$21+'Inputs'!$B$9+'Inputs'!$B$10))^2+('Inputs'!$B$6/2)^2))))*'Results'!$B$8))),"")</x:f>
        <x:v>5.652204335974315</x:v>
      </x:c>
      <x:c r="P507" t="n">
        <x:f>IF(AND(MAX(J507,J506)&gt;0,J507&gt;J506+0.00000001),1,0)</x:f>
        <x:v>0</x:v>
      </x:c>
      <x:c r="Q507" t="n">
        <x:f>IF(AND(MAX(K507,K506)&gt;0,K507&gt;K506+0.00000001),1,0)</x:f>
        <x:v>0</x:v>
      </x:c>
      <x:c r="R507" t="n">
        <x:f>IF(AND(MAX(L507,L506)&gt;0,L507&gt;L506+0.00000001),1,0)</x:f>
        <x:v>0</x:v>
      </x:c>
      <x:c r="S507" t="n">
        <x:f>IF(AND(MAX(M507,M506)&gt;0,M507&gt;M506+0.00000001),1,0)</x:f>
        <x:v>0</x:v>
      </x:c>
      <x:c r="T507" t="n">
        <x:f>IF(AND(MAX(N507,N506)&gt;0,N507&gt;N506+0.00000001),1,0)</x:f>
        <x:v>0</x:v>
      </x:c>
      <x:c r="U507" t="n">
        <x:f>IF(AND(MAX(O507,O506)&gt;0,O507&gt;O506+0.00000001),1,0)</x:f>
        <x:v>0</x:v>
      </x:c>
    </x:row>
    <x:row r="508">
      <x:c r="J508" t="n">
        <x:f>IF(AND(ISNUMBER('Results'!B7),ISNUMBER('Results'!C7),ISNUMBER('Results'!$B$8),ISNUMBER('Inputs'!$B$6),ISNUMBER('Inputs'!$B$7),ISNUMBER('Inputs'!$B$8),ISNUMBER('Inputs'!$B$9),ISNUMBER('Inputs'!$B$10),ISNUMBER('Inputs'!$B$21),ISNUMBER('Inputs'!$B$24),ISNUMBER('Inputs'!$B$28)),(('Results'!B7*(0.5*((((508-43)*MAX('Inputs'!$B$33,'Inputs'!$B$29+'Inputs'!$B$31+'Inputs'!$B$32,'Inputs'!$B$30+'Inputs'!$B$31+'Inputs'!$B$32)/1000+'Inputs'!$B$21)+'Inputs'!$B$7)/SQRT((((508-43)*MAX('Inputs'!$B$33,'Inputs'!$B$29+'Inputs'!$B$31+'Inputs'!$B$32,'Inputs'!$B$30+'Inputs'!$B$31+'Inputs'!$B$32)/1000+'Inputs'!$B$21)+'Inputs'!$B$7)^2+('Inputs'!$B$6/2)^2)-(((508-43)*MAX('Inputs'!$B$33,'Inputs'!$B$29+'Inputs'!$B$31+'Inputs'!$B$32,'Inputs'!$B$30+'Inputs'!$B$31+'Inputs'!$B$32)/1000+'Inputs'!$B$21))/SQRT((((508-43)*MAX('Inputs'!$B$33,'Inputs'!$B$29+'Inputs'!$B$31+'Inputs'!$B$32,'Inputs'!$B$30+'Inputs'!$B$31+'Inputs'!$B$32)/1000+'Inputs'!$B$21))^2+('Inputs'!$B$6/2)^2)))-'Results'!C7*(0.5*((((508-43)*MAX('Inputs'!$B$33,'Inputs'!$B$29+'Inputs'!$B$31+'Inputs'!$B$32,'Inputs'!$B$30+'Inputs'!$B$31+'Inputs'!$B$32)/1000+'Inputs'!$B$21+'Inputs'!$B$7+'Inputs'!$B$10)+'Inputs'!$B$9)/SQRT((((508-43)*MAX('Inputs'!$B$33,'Inputs'!$B$29+'Inputs'!$B$31+'Inputs'!$B$32,'Inputs'!$B$30+'Inputs'!$B$31+'Inputs'!$B$32)/1000+'Inputs'!$B$21+'Inputs'!$B$7+'Inputs'!$B$10)+'Inputs'!$B$9)^2+('Inputs'!$B$8/2)^2)-(((508-43)*MAX('Inputs'!$B$33,'Inputs'!$B$29+'Inputs'!$B$31+'Inputs'!$B$32,'Inputs'!$B$30+'Inputs'!$B$31+'Inputs'!$B$32)/1000+'Inputs'!$B$21+'Inputs'!$B$7+'Inputs'!$B$10))/SQRT((((508-43)*MAX('Inputs'!$B$33,'Inputs'!$B$29+'Inputs'!$B$31+'Inputs'!$B$32,'Inputs'!$B$30+'Inputs'!$B$31+'Inputs'!$B$32)/1000+'Inputs'!$B$21+'Inputs'!$B$7+'Inputs'!$B$10))^2+('Inputs'!$B$8/2)^2))))*'Results'!$B$8),"")</x:f>
        <x:v>5.348527202371885</x:v>
      </x:c>
      <x:c r="K508" t="n">
        <x:f>IF(AND(ISNUMBER('Results'!B7),ISNUMBER('Results'!C7),ISNUMBER('Results'!$B$8),ISNUMBER('Inputs'!$B$6),ISNUMBER('Inputs'!$B$7),ISNUMBER('Inputs'!$B$8),ISNUMBER('Inputs'!$B$9),ISNUMBER('Inputs'!$B$10),ISNUMBER('Inputs'!$B$21),ISNUMBER('Inputs'!$B$24),ISNUMBER('Inputs'!$B$28)),((('Results'!B7*(1-'Inputs'!$B$24)*(0.5*((((508-43)*MAX('Inputs'!$B$33,'Inputs'!$B$29+'Inputs'!$B$31+'Inputs'!$B$32,'Inputs'!$B$30+'Inputs'!$B$31+'Inputs'!$B$32)/1000+'Inputs'!$B$21)+'Inputs'!$B$7)/SQRT((((508-43)*MAX('Inputs'!$B$33,'Inputs'!$B$29+'Inputs'!$B$31+'Inputs'!$B$32,'Inputs'!$B$30+'Inputs'!$B$31+'Inputs'!$B$32)/1000+'Inputs'!$B$21)+'Inputs'!$B$7)^2+('Inputs'!$B$6/2)^2)-(((508-43)*MAX('Inputs'!$B$33,'Inputs'!$B$29+'Inputs'!$B$31+'Inputs'!$B$32,'Inputs'!$B$30+'Inputs'!$B$31+'Inputs'!$B$32)/1000+'Inputs'!$B$21))/SQRT((((508-43)*MAX('Inputs'!$B$33,'Inputs'!$B$29+'Inputs'!$B$31+'Inputs'!$B$32,'Inputs'!$B$30+'Inputs'!$B$31+'Inputs'!$B$32)/1000+'Inputs'!$B$21))^2+('Inputs'!$B$6/2)^2)))-'Results'!C7*(1+'Inputs'!$B$24)*(0.5*((((508-43)*MAX('Inputs'!$B$33,'Inputs'!$B$29+'Inputs'!$B$31+'Inputs'!$B$32,'Inputs'!$B$30+'Inputs'!$B$31+'Inputs'!$B$32)/1000+'Inputs'!$B$21+'Inputs'!$B$7+'Inputs'!$B$10)+'Inputs'!$B$9)/SQRT((((508-43)*MAX('Inputs'!$B$33,'Inputs'!$B$29+'Inputs'!$B$31+'Inputs'!$B$32,'Inputs'!$B$30+'Inputs'!$B$31+'Inputs'!$B$32)/1000+'Inputs'!$B$21+'Inputs'!$B$7+'Inputs'!$B$10)+'Inputs'!$B$9)^2+('Inputs'!$B$8/2)^2)-(((508-43)*MAX('Inputs'!$B$33,'Inputs'!$B$29+'Inputs'!$B$31+'Inputs'!$B$32,'Inputs'!$B$30+'Inputs'!$B$31+'Inputs'!$B$32)/1000+'Inputs'!$B$21+'Inputs'!$B$7+'Inputs'!$B$10))/SQRT((((508-43)*MAX('Inputs'!$B$33,'Inputs'!$B$29+'Inputs'!$B$31+'Inputs'!$B$32,'Inputs'!$B$30+'Inputs'!$B$31+'Inputs'!$B$32)/1000+'Inputs'!$B$21+'Inputs'!$B$7+'Inputs'!$B$10))^2+('Inputs'!$B$8/2)^2))))*'Results'!$B$8)-'Inputs'!$B$28*ABS((('Results'!B7*(1-'Inputs'!$B$24)*(0.5*((((508-43)*MAX('Inputs'!$B$33,'Inputs'!$B$29+'Inputs'!$B$31+'Inputs'!$B$32,'Inputs'!$B$30+'Inputs'!$B$31+'Inputs'!$B$32)/1000+'Inputs'!$B$21)+'Inputs'!$B$7)/SQRT((((508-43)*MAX('Inputs'!$B$33,'Inputs'!$B$29+'Inputs'!$B$31+'Inputs'!$B$32,'Inputs'!$B$30+'Inputs'!$B$31+'Inputs'!$B$32)/1000+'Inputs'!$B$21)+'Inputs'!$B$7)^2+('Inputs'!$B$6/2)^2)-(((508-43)*MAX('Inputs'!$B$33,'Inputs'!$B$29+'Inputs'!$B$31+'Inputs'!$B$32,'Inputs'!$B$30+'Inputs'!$B$31+'Inputs'!$B$32)/1000+'Inputs'!$B$21))/SQRT((((508-43)*MAX('Inputs'!$B$33,'Inputs'!$B$29+'Inputs'!$B$31+'Inputs'!$B$32,'Inputs'!$B$30+'Inputs'!$B$31+'Inputs'!$B$32)/1000+'Inputs'!$B$21))^2+('Inputs'!$B$6/2)^2)))-'Results'!C7*(1+'Inputs'!$B$24)*(0.5*((((508-43)*MAX('Inputs'!$B$33,'Inputs'!$B$29+'Inputs'!$B$31+'Inputs'!$B$32,'Inputs'!$B$30+'Inputs'!$B$31+'Inputs'!$B$32)/1000+'Inputs'!$B$21+'Inputs'!$B$7+'Inputs'!$B$10)+'Inputs'!$B$9)/SQRT((((508-43)*MAX('Inputs'!$B$33,'Inputs'!$B$29+'Inputs'!$B$31+'Inputs'!$B$32,'Inputs'!$B$30+'Inputs'!$B$31+'Inputs'!$B$32)/1000+'Inputs'!$B$21+'Inputs'!$B$7+'Inputs'!$B$10)+'Inputs'!$B$9)^2+('Inputs'!$B$8/2)^2)-(((508-43)*MAX('Inputs'!$B$33,'Inputs'!$B$29+'Inputs'!$B$31+'Inputs'!$B$32,'Inputs'!$B$30+'Inputs'!$B$31+'Inputs'!$B$32)/1000+'Inputs'!$B$21+'Inputs'!$B$7+'Inputs'!$B$10))/SQRT((((508-43)*MAX('Inputs'!$B$33,'Inputs'!$B$29+'Inputs'!$B$31+'Inputs'!$B$32,'Inputs'!$B$30+'Inputs'!$B$31+'Inputs'!$B$32)/1000+'Inputs'!$B$21+'Inputs'!$B$7+'Inputs'!$B$10))^2+('Inputs'!$B$8/2)^2))))*'Results'!$B$8))),"")</x:f>
        <x:v>4.754959867684288</x:v>
      </x:c>
      <x:c r="L508" t="n">
        <x:f>IF(AND(ISNUMBER('Results'!B7),ISNUMBER('Results'!C7),ISNUMBER('Results'!$B$8),ISNUMBER('Inputs'!$B$6),ISNUMBER('Inputs'!$B$7),ISNUMBER('Inputs'!$B$8),ISNUMBER('Inputs'!$B$9),ISNUMBER('Inputs'!$B$10),ISNUMBER('Inputs'!$B$21),ISNUMBER('Inputs'!$B$24),ISNUMBER('Inputs'!$B$28)),((('Results'!B7*(1+'Inputs'!$B$24)*(0.5*((((508-43)*MAX('Inputs'!$B$33,'Inputs'!$B$29+'Inputs'!$B$31+'Inputs'!$B$32,'Inputs'!$B$30+'Inputs'!$B$31+'Inputs'!$B$32)/1000+'Inputs'!$B$21)+'Inputs'!$B$7)/SQRT((((508-43)*MAX('Inputs'!$B$33,'Inputs'!$B$29+'Inputs'!$B$31+'Inputs'!$B$32,'Inputs'!$B$30+'Inputs'!$B$31+'Inputs'!$B$32)/1000+'Inputs'!$B$21)+'Inputs'!$B$7)^2+('Inputs'!$B$6/2)^2)-(((508-43)*MAX('Inputs'!$B$33,'Inputs'!$B$29+'Inputs'!$B$31+'Inputs'!$B$32,'Inputs'!$B$30+'Inputs'!$B$31+'Inputs'!$B$32)/1000+'Inputs'!$B$21))/SQRT((((508-43)*MAX('Inputs'!$B$33,'Inputs'!$B$29+'Inputs'!$B$31+'Inputs'!$B$32,'Inputs'!$B$30+'Inputs'!$B$31+'Inputs'!$B$32)/1000+'Inputs'!$B$21))^2+('Inputs'!$B$6/2)^2)))-'Results'!C7*(1-'Inputs'!$B$24)*(0.5*((((508-43)*MAX('Inputs'!$B$33,'Inputs'!$B$29+'Inputs'!$B$31+'Inputs'!$B$32,'Inputs'!$B$30+'Inputs'!$B$31+'Inputs'!$B$32)/1000+'Inputs'!$B$21+'Inputs'!$B$7+'Inputs'!$B$10)+'Inputs'!$B$9)/SQRT((((508-43)*MAX('Inputs'!$B$33,'Inputs'!$B$29+'Inputs'!$B$31+'Inputs'!$B$32,'Inputs'!$B$30+'Inputs'!$B$31+'Inputs'!$B$32)/1000+'Inputs'!$B$21+'Inputs'!$B$7+'Inputs'!$B$10)+'Inputs'!$B$9)^2+('Inputs'!$B$8/2)^2)-(((508-43)*MAX('Inputs'!$B$33,'Inputs'!$B$29+'Inputs'!$B$31+'Inputs'!$B$32,'Inputs'!$B$30+'Inputs'!$B$31+'Inputs'!$B$32)/1000+'Inputs'!$B$21+'Inputs'!$B$7+'Inputs'!$B$10))/SQRT((((508-43)*MAX('Inputs'!$B$33,'Inputs'!$B$29+'Inputs'!$B$31+'Inputs'!$B$32,'Inputs'!$B$30+'Inputs'!$B$31+'Inputs'!$B$32)/1000+'Inputs'!$B$21+'Inputs'!$B$7+'Inputs'!$B$10))^2+('Inputs'!$B$8/2)^2))))*'Results'!$B$8)+'Inputs'!$B$28*ABS((('Results'!B7*(1+'Inputs'!$B$24)*(0.5*((((508-43)*MAX('Inputs'!$B$33,'Inputs'!$B$29+'Inputs'!$B$31+'Inputs'!$B$32,'Inputs'!$B$30+'Inputs'!$B$31+'Inputs'!$B$32)/1000+'Inputs'!$B$21)+'Inputs'!$B$7)/SQRT((((508-43)*MAX('Inputs'!$B$33,'Inputs'!$B$29+'Inputs'!$B$31+'Inputs'!$B$32,'Inputs'!$B$30+'Inputs'!$B$31+'Inputs'!$B$32)/1000+'Inputs'!$B$21)+'Inputs'!$B$7)^2+('Inputs'!$B$6/2)^2)-(((508-43)*MAX('Inputs'!$B$33,'Inputs'!$B$29+'Inputs'!$B$31+'Inputs'!$B$32,'Inputs'!$B$30+'Inputs'!$B$31+'Inputs'!$B$32)/1000+'Inputs'!$B$21))/SQRT((((508-43)*MAX('Inputs'!$B$33,'Inputs'!$B$29+'Inputs'!$B$31+'Inputs'!$B$32,'Inputs'!$B$30+'Inputs'!$B$31+'Inputs'!$B$32)/1000+'Inputs'!$B$21))^2+('Inputs'!$B$6/2)^2)))-'Results'!C7*(1-'Inputs'!$B$24)*(0.5*((((508-43)*MAX('Inputs'!$B$33,'Inputs'!$B$29+'Inputs'!$B$31+'Inputs'!$B$32,'Inputs'!$B$30+'Inputs'!$B$31+'Inputs'!$B$32)/1000+'Inputs'!$B$21+'Inputs'!$B$7+'Inputs'!$B$10)+'Inputs'!$B$9)/SQRT((((508-43)*MAX('Inputs'!$B$33,'Inputs'!$B$29+'Inputs'!$B$31+'Inputs'!$B$32,'Inputs'!$B$30+'Inputs'!$B$31+'Inputs'!$B$32)/1000+'Inputs'!$B$21+'Inputs'!$B$7+'Inputs'!$B$10)+'Inputs'!$B$9)^2+('Inputs'!$B$8/2)^2)-(((508-43)*MAX('Inputs'!$B$33,'Inputs'!$B$29+'Inputs'!$B$31+'Inputs'!$B$32,'Inputs'!$B$30+'Inputs'!$B$31+'Inputs'!$B$32)/1000+'Inputs'!$B$21+'Inputs'!$B$7+'Inputs'!$B$10))/SQRT((((508-43)*MAX('Inputs'!$B$33,'Inputs'!$B$29+'Inputs'!$B$31+'Inputs'!$B$32,'Inputs'!$B$30+'Inputs'!$B$31+'Inputs'!$B$32)/1000+'Inputs'!$B$21+'Inputs'!$B$7+'Inputs'!$B$10))^2+('Inputs'!$B$8/2)^2))))*'Results'!$B$8))),"")</x:f>
        <x:v>5.9764251659614835</x:v>
      </x:c>
      <x:c r="M508" t="n">
        <x:f>IF(AND(ISNUMBER('Results'!C7),ISNUMBER('Results'!B7),ISNUMBER('Results'!$B$8),ISNUMBER('Inputs'!$B$6),ISNUMBER('Inputs'!$B$7),ISNUMBER('Inputs'!$B$8),ISNUMBER('Inputs'!$B$9),ISNUMBER('Inputs'!$B$10),ISNUMBER('Inputs'!$B$21),ISNUMBER('Inputs'!$B$24),ISNUMBER('Inputs'!$B$28)),(('Results'!C7*(0.5*((((508-43)*MAX('Inputs'!$B$33,'Inputs'!$B$29+'Inputs'!$B$31+'Inputs'!$B$32,'Inputs'!$B$30+'Inputs'!$B$31+'Inputs'!$B$32)/1000+'Inputs'!$B$21)+'Inputs'!$B$9)/SQRT((((508-43)*MAX('Inputs'!$B$33,'Inputs'!$B$29+'Inputs'!$B$31+'Inputs'!$B$32,'Inputs'!$B$30+'Inputs'!$B$31+'Inputs'!$B$32)/1000+'Inputs'!$B$21)+'Inputs'!$B$9)^2+('Inputs'!$B$8/2)^2)-(((508-43)*MAX('Inputs'!$B$33,'Inputs'!$B$29+'Inputs'!$B$31+'Inputs'!$B$32,'Inputs'!$B$30+'Inputs'!$B$31+'Inputs'!$B$32)/1000+'Inputs'!$B$21))/SQRT((((508-43)*MAX('Inputs'!$B$33,'Inputs'!$B$29+'Inputs'!$B$31+'Inputs'!$B$32,'Inputs'!$B$30+'Inputs'!$B$31+'Inputs'!$B$32)/1000+'Inputs'!$B$21))^2+('Inputs'!$B$8/2)^2)))-'Results'!B7*(0.5*((((508-43)*MAX('Inputs'!$B$33,'Inputs'!$B$29+'Inputs'!$B$31+'Inputs'!$B$32,'Inputs'!$B$30+'Inputs'!$B$31+'Inputs'!$B$32)/1000+'Inputs'!$B$21+'Inputs'!$B$9+'Inputs'!$B$10)+'Inputs'!$B$7)/SQRT((((508-43)*MAX('Inputs'!$B$33,'Inputs'!$B$29+'Inputs'!$B$31+'Inputs'!$B$32,'Inputs'!$B$30+'Inputs'!$B$31+'Inputs'!$B$32)/1000+'Inputs'!$B$21+'Inputs'!$B$9+'Inputs'!$B$10)+'Inputs'!$B$7)^2+('Inputs'!$B$6/2)^2)-(((508-43)*MAX('Inputs'!$B$33,'Inputs'!$B$29+'Inputs'!$B$31+'Inputs'!$B$32,'Inputs'!$B$30+'Inputs'!$B$31+'Inputs'!$B$32)/1000+'Inputs'!$B$21+'Inputs'!$B$9+'Inputs'!$B$10))/SQRT((((508-43)*MAX('Inputs'!$B$33,'Inputs'!$B$29+'Inputs'!$B$31+'Inputs'!$B$32,'Inputs'!$B$30+'Inputs'!$B$31+'Inputs'!$B$32)/1000+'Inputs'!$B$21+'Inputs'!$B$9+'Inputs'!$B$10))^2+('Inputs'!$B$6/2)^2))))*'Results'!$B$8),"")</x:f>
        <x:v>5.00280932411747</x:v>
      </x:c>
      <x:c r="N508" t="n">
        <x:f>IF(AND(ISNUMBER('Results'!C7),ISNUMBER('Results'!B7),ISNUMBER('Results'!$B$8),ISNUMBER('Inputs'!$B$6),ISNUMBER('Inputs'!$B$7),ISNUMBER('Inputs'!$B$8),ISNUMBER('Inputs'!$B$9),ISNUMBER('Inputs'!$B$10),ISNUMBER('Inputs'!$B$21),ISNUMBER('Inputs'!$B$24),ISNUMBER('Inputs'!$B$28)),((('Results'!C7*(1-'Inputs'!$B$24)*(0.5*((((508-43)*MAX('Inputs'!$B$33,'Inputs'!$B$29+'Inputs'!$B$31+'Inputs'!$B$32,'Inputs'!$B$30+'Inputs'!$B$31+'Inputs'!$B$32)/1000+'Inputs'!$B$21)+'Inputs'!$B$9)/SQRT((((508-43)*MAX('Inputs'!$B$33,'Inputs'!$B$29+'Inputs'!$B$31+'Inputs'!$B$32,'Inputs'!$B$30+'Inputs'!$B$31+'Inputs'!$B$32)/1000+'Inputs'!$B$21)+'Inputs'!$B$9)^2+('Inputs'!$B$8/2)^2)-(((508-43)*MAX('Inputs'!$B$33,'Inputs'!$B$29+'Inputs'!$B$31+'Inputs'!$B$32,'Inputs'!$B$30+'Inputs'!$B$31+'Inputs'!$B$32)/1000+'Inputs'!$B$21))/SQRT((((508-43)*MAX('Inputs'!$B$33,'Inputs'!$B$29+'Inputs'!$B$31+'Inputs'!$B$32,'Inputs'!$B$30+'Inputs'!$B$31+'Inputs'!$B$32)/1000+'Inputs'!$B$21))^2+('Inputs'!$B$8/2)^2)))-'Results'!B7*(1+'Inputs'!$B$24)*(0.5*((((508-43)*MAX('Inputs'!$B$33,'Inputs'!$B$29+'Inputs'!$B$31+'Inputs'!$B$32,'Inputs'!$B$30+'Inputs'!$B$31+'Inputs'!$B$32)/1000+'Inputs'!$B$21+'Inputs'!$B$9+'Inputs'!$B$10)+'Inputs'!$B$7)/SQRT((((508-43)*MAX('Inputs'!$B$33,'Inputs'!$B$29+'Inputs'!$B$31+'Inputs'!$B$32,'Inputs'!$B$30+'Inputs'!$B$31+'Inputs'!$B$32)/1000+'Inputs'!$B$21+'Inputs'!$B$9+'Inputs'!$B$10)+'Inputs'!$B$7)^2+('Inputs'!$B$6/2)^2)-(((508-43)*MAX('Inputs'!$B$33,'Inputs'!$B$29+'Inputs'!$B$31+'Inputs'!$B$32,'Inputs'!$B$30+'Inputs'!$B$31+'Inputs'!$B$32)/1000+'Inputs'!$B$21+'Inputs'!$B$9+'Inputs'!$B$10))/SQRT((((508-43)*MAX('Inputs'!$B$33,'Inputs'!$B$29+'Inputs'!$B$31+'Inputs'!$B$32,'Inputs'!$B$30+'Inputs'!$B$31+'Inputs'!$B$32)/1000+'Inputs'!$B$21+'Inputs'!$B$9+'Inputs'!$B$10))^2+('Inputs'!$B$6/2)^2))))*'Results'!$B$8)-'Inputs'!$B$28*ABS((('Results'!C7*(1-'Inputs'!$B$24)*(0.5*((((508-43)*MAX('Inputs'!$B$33,'Inputs'!$B$29+'Inputs'!$B$31+'Inputs'!$B$32,'Inputs'!$B$30+'Inputs'!$B$31+'Inputs'!$B$32)/1000+'Inputs'!$B$21)+'Inputs'!$B$9)/SQRT((((508-43)*MAX('Inputs'!$B$33,'Inputs'!$B$29+'Inputs'!$B$31+'Inputs'!$B$32,'Inputs'!$B$30+'Inputs'!$B$31+'Inputs'!$B$32)/1000+'Inputs'!$B$21)+'Inputs'!$B$9)^2+('Inputs'!$B$8/2)^2)-(((508-43)*MAX('Inputs'!$B$33,'Inputs'!$B$29+'Inputs'!$B$31+'Inputs'!$B$32,'Inputs'!$B$30+'Inputs'!$B$31+'Inputs'!$B$32)/1000+'Inputs'!$B$21))/SQRT((((508-43)*MAX('Inputs'!$B$33,'Inputs'!$B$29+'Inputs'!$B$31+'Inputs'!$B$32,'Inputs'!$B$30+'Inputs'!$B$31+'Inputs'!$B$32)/1000+'Inputs'!$B$21))^2+('Inputs'!$B$8/2)^2)))-'Results'!B7*(1+'Inputs'!$B$24)*(0.5*((((508-43)*MAX('Inputs'!$B$33,'Inputs'!$B$29+'Inputs'!$B$31+'Inputs'!$B$32,'Inputs'!$B$30+'Inputs'!$B$31+'Inputs'!$B$32)/1000+'Inputs'!$B$21+'Inputs'!$B$9+'Inputs'!$B$10)+'Inputs'!$B$7)/SQRT((((508-43)*MAX('Inputs'!$B$33,'Inputs'!$B$29+'Inputs'!$B$31+'Inputs'!$B$32,'Inputs'!$B$30+'Inputs'!$B$31+'Inputs'!$B$32)/1000+'Inputs'!$B$21+'Inputs'!$B$9+'Inputs'!$B$10)+'Inputs'!$B$7)^2+('Inputs'!$B$6/2)^2)-(((508-43)*MAX('Inputs'!$B$33,'Inputs'!$B$29+'Inputs'!$B$31+'Inputs'!$B$32,'Inputs'!$B$30+'Inputs'!$B$31+'Inputs'!$B$32)/1000+'Inputs'!$B$21+'Inputs'!$B$9+'Inputs'!$B$10))/SQRT((((508-43)*MAX('Inputs'!$B$33,'Inputs'!$B$29+'Inputs'!$B$31+'Inputs'!$B$32,'Inputs'!$B$30+'Inputs'!$B$31+'Inputs'!$B$32)/1000+'Inputs'!$B$21+'Inputs'!$B$9+'Inputs'!$B$10))^2+('Inputs'!$B$6/2)^2))))*'Results'!$B$8))),"")</x:f>
        <x:v>4.42851450348404</x:v>
      </x:c>
      <x:c r="O508" t="n">
        <x:f>IF(AND(ISNUMBER('Results'!C7),ISNUMBER('Results'!B7),ISNUMBER('Results'!$B$8),ISNUMBER('Inputs'!$B$6),ISNUMBER('Inputs'!$B$7),ISNUMBER('Inputs'!$B$8),ISNUMBER('Inputs'!$B$9),ISNUMBER('Inputs'!$B$10),ISNUMBER('Inputs'!$B$21),ISNUMBER('Inputs'!$B$24),ISNUMBER('Inputs'!$B$28)),((('Results'!C7*(1+'Inputs'!$B$24)*(0.5*((((508-43)*MAX('Inputs'!$B$33,'Inputs'!$B$29+'Inputs'!$B$31+'Inputs'!$B$32,'Inputs'!$B$30+'Inputs'!$B$31+'Inputs'!$B$32)/1000+'Inputs'!$B$21)+'Inputs'!$B$9)/SQRT((((508-43)*MAX('Inputs'!$B$33,'Inputs'!$B$29+'Inputs'!$B$31+'Inputs'!$B$32,'Inputs'!$B$30+'Inputs'!$B$31+'Inputs'!$B$32)/1000+'Inputs'!$B$21)+'Inputs'!$B$9)^2+('Inputs'!$B$8/2)^2)-(((508-43)*MAX('Inputs'!$B$33,'Inputs'!$B$29+'Inputs'!$B$31+'Inputs'!$B$32,'Inputs'!$B$30+'Inputs'!$B$31+'Inputs'!$B$32)/1000+'Inputs'!$B$21))/SQRT((((508-43)*MAX('Inputs'!$B$33,'Inputs'!$B$29+'Inputs'!$B$31+'Inputs'!$B$32,'Inputs'!$B$30+'Inputs'!$B$31+'Inputs'!$B$32)/1000+'Inputs'!$B$21))^2+('Inputs'!$B$8/2)^2)))-'Results'!B7*(1-'Inputs'!$B$24)*(0.5*((((508-43)*MAX('Inputs'!$B$33,'Inputs'!$B$29+'Inputs'!$B$31+'Inputs'!$B$32,'Inputs'!$B$30+'Inputs'!$B$31+'Inputs'!$B$32)/1000+'Inputs'!$B$21+'Inputs'!$B$9+'Inputs'!$B$10)+'Inputs'!$B$7)/SQRT((((508-43)*MAX('Inputs'!$B$33,'Inputs'!$B$29+'Inputs'!$B$31+'Inputs'!$B$32,'Inputs'!$B$30+'Inputs'!$B$31+'Inputs'!$B$32)/1000+'Inputs'!$B$21+'Inputs'!$B$9+'Inputs'!$B$10)+'Inputs'!$B$7)^2+('Inputs'!$B$6/2)^2)-(((508-43)*MAX('Inputs'!$B$33,'Inputs'!$B$29+'Inputs'!$B$31+'Inputs'!$B$32,'Inputs'!$B$30+'Inputs'!$B$31+'Inputs'!$B$32)/1000+'Inputs'!$B$21+'Inputs'!$B$9+'Inputs'!$B$10))/SQRT((((508-43)*MAX('Inputs'!$B$33,'Inputs'!$B$29+'Inputs'!$B$31+'Inputs'!$B$32,'Inputs'!$B$30+'Inputs'!$B$31+'Inputs'!$B$32)/1000+'Inputs'!$B$21+'Inputs'!$B$9+'Inputs'!$B$10))^2+('Inputs'!$B$6/2)^2))))*'Results'!$B$8)+'Inputs'!$B$28*ABS((('Results'!C7*(1+'Inputs'!$B$24)*(0.5*((((508-43)*MAX('Inputs'!$B$33,'Inputs'!$B$29+'Inputs'!$B$31+'Inputs'!$B$32,'Inputs'!$B$30+'Inputs'!$B$31+'Inputs'!$B$32)/1000+'Inputs'!$B$21)+'Inputs'!$B$9)/SQRT((((508-43)*MAX('Inputs'!$B$33,'Inputs'!$B$29+'Inputs'!$B$31+'Inputs'!$B$32,'Inputs'!$B$30+'Inputs'!$B$31+'Inputs'!$B$32)/1000+'Inputs'!$B$21)+'Inputs'!$B$9)^2+('Inputs'!$B$8/2)^2)-(((508-43)*MAX('Inputs'!$B$33,'Inputs'!$B$29+'Inputs'!$B$31+'Inputs'!$B$32,'Inputs'!$B$30+'Inputs'!$B$31+'Inputs'!$B$32)/1000+'Inputs'!$B$21))/SQRT((((508-43)*MAX('Inputs'!$B$33,'Inputs'!$B$29+'Inputs'!$B$31+'Inputs'!$B$32,'Inputs'!$B$30+'Inputs'!$B$31+'Inputs'!$B$32)/1000+'Inputs'!$B$21))^2+('Inputs'!$B$8/2)^2)))-'Results'!B7*(1-'Inputs'!$B$24)*(0.5*((((508-43)*MAX('Inputs'!$B$33,'Inputs'!$B$29+'Inputs'!$B$31+'Inputs'!$B$32,'Inputs'!$B$30+'Inputs'!$B$31+'Inputs'!$B$32)/1000+'Inputs'!$B$21+'Inputs'!$B$9+'Inputs'!$B$10)+'Inputs'!$B$7)/SQRT((((508-43)*MAX('Inputs'!$B$33,'Inputs'!$B$29+'Inputs'!$B$31+'Inputs'!$B$32,'Inputs'!$B$30+'Inputs'!$B$31+'Inputs'!$B$32)/1000+'Inputs'!$B$21+'Inputs'!$B$9+'Inputs'!$B$10)+'Inputs'!$B$7)^2+('Inputs'!$B$6/2)^2)-(((508-43)*MAX('Inputs'!$B$33,'Inputs'!$B$29+'Inputs'!$B$31+'Inputs'!$B$32,'Inputs'!$B$30+'Inputs'!$B$31+'Inputs'!$B$32)/1000+'Inputs'!$B$21+'Inputs'!$B$9+'Inputs'!$B$10))/SQRT((((508-43)*MAX('Inputs'!$B$33,'Inputs'!$B$29+'Inputs'!$B$31+'Inputs'!$B$32,'Inputs'!$B$30+'Inputs'!$B$31+'Inputs'!$B$32)/1000+'Inputs'!$B$21+'Inputs'!$B$9+'Inputs'!$B$10))^2+('Inputs'!$B$6/2)^2))))*'Results'!$B$8))),"")</x:f>
        <x:v>5.611225655743273</x:v>
      </x:c>
      <x:c r="P508" t="n">
        <x:f>IF(AND(MAX(J508,J507)&gt;0,J508&gt;J507+0.00000001),1,0)</x:f>
        <x:v>0</x:v>
      </x:c>
      <x:c r="Q508" t="n">
        <x:f>IF(AND(MAX(K508,K507)&gt;0,K508&gt;K507+0.00000001),1,0)</x:f>
        <x:v>0</x:v>
      </x:c>
      <x:c r="R508" t="n">
        <x:f>IF(AND(MAX(L508,L507)&gt;0,L508&gt;L507+0.00000001),1,0)</x:f>
        <x:v>0</x:v>
      </x:c>
      <x:c r="S508" t="n">
        <x:f>IF(AND(MAX(M508,M507)&gt;0,M508&gt;M507+0.00000001),1,0)</x:f>
        <x:v>0</x:v>
      </x:c>
      <x:c r="T508" t="n">
        <x:f>IF(AND(MAX(N508,N507)&gt;0,N508&gt;N507+0.00000001),1,0)</x:f>
        <x:v>0</x:v>
      </x:c>
      <x:c r="U508" t="n">
        <x:f>IF(AND(MAX(O508,O507)&gt;0,O508&gt;O507+0.00000001),1,0)</x:f>
        <x:v>0</x:v>
      </x:c>
    </x:row>
    <x:row r="509">
      <x:c r="J509" t="n">
        <x:f>IF(AND(ISNUMBER('Results'!B7),ISNUMBER('Results'!C7),ISNUMBER('Results'!$B$8),ISNUMBER('Inputs'!$B$6),ISNUMBER('Inputs'!$B$7),ISNUMBER('Inputs'!$B$8),ISNUMBER('Inputs'!$B$9),ISNUMBER('Inputs'!$B$10),ISNUMBER('Inputs'!$B$21),ISNUMBER('Inputs'!$B$24),ISNUMBER('Inputs'!$B$28)),(('Results'!B7*(0.5*((((509-43)*MAX('Inputs'!$B$33,'Inputs'!$B$29+'Inputs'!$B$31+'Inputs'!$B$32,'Inputs'!$B$30+'Inputs'!$B$31+'Inputs'!$B$32)/1000+'Inputs'!$B$21)+'Inputs'!$B$7)/SQRT((((509-43)*MAX('Inputs'!$B$33,'Inputs'!$B$29+'Inputs'!$B$31+'Inputs'!$B$32,'Inputs'!$B$30+'Inputs'!$B$31+'Inputs'!$B$32)/1000+'Inputs'!$B$21)+'Inputs'!$B$7)^2+('Inputs'!$B$6/2)^2)-(((509-43)*MAX('Inputs'!$B$33,'Inputs'!$B$29+'Inputs'!$B$31+'Inputs'!$B$32,'Inputs'!$B$30+'Inputs'!$B$31+'Inputs'!$B$32)/1000+'Inputs'!$B$21))/SQRT((((509-43)*MAX('Inputs'!$B$33,'Inputs'!$B$29+'Inputs'!$B$31+'Inputs'!$B$32,'Inputs'!$B$30+'Inputs'!$B$31+'Inputs'!$B$32)/1000+'Inputs'!$B$21))^2+('Inputs'!$B$6/2)^2)))-'Results'!C7*(0.5*((((509-43)*MAX('Inputs'!$B$33,'Inputs'!$B$29+'Inputs'!$B$31+'Inputs'!$B$32,'Inputs'!$B$30+'Inputs'!$B$31+'Inputs'!$B$32)/1000+'Inputs'!$B$21+'Inputs'!$B$7+'Inputs'!$B$10)+'Inputs'!$B$9)/SQRT((((509-43)*MAX('Inputs'!$B$33,'Inputs'!$B$29+'Inputs'!$B$31+'Inputs'!$B$32,'Inputs'!$B$30+'Inputs'!$B$31+'Inputs'!$B$32)/1000+'Inputs'!$B$21+'Inputs'!$B$7+'Inputs'!$B$10)+'Inputs'!$B$9)^2+('Inputs'!$B$8/2)^2)-(((509-43)*MAX('Inputs'!$B$33,'Inputs'!$B$29+'Inputs'!$B$31+'Inputs'!$B$32,'Inputs'!$B$30+'Inputs'!$B$31+'Inputs'!$B$32)/1000+'Inputs'!$B$21+'Inputs'!$B$7+'Inputs'!$B$10))/SQRT((((509-43)*MAX('Inputs'!$B$33,'Inputs'!$B$29+'Inputs'!$B$31+'Inputs'!$B$32,'Inputs'!$B$30+'Inputs'!$B$31+'Inputs'!$B$32)/1000+'Inputs'!$B$21+'Inputs'!$B$7+'Inputs'!$B$10))^2+('Inputs'!$B$8/2)^2))))*'Results'!$B$8),"")</x:f>
        <x:v>5.309826164254879</x:v>
      </x:c>
      <x:c r="K509" t="n">
        <x:f>IF(AND(ISNUMBER('Results'!B7),ISNUMBER('Results'!C7),ISNUMBER('Results'!$B$8),ISNUMBER('Inputs'!$B$6),ISNUMBER('Inputs'!$B$7),ISNUMBER('Inputs'!$B$8),ISNUMBER('Inputs'!$B$9),ISNUMBER('Inputs'!$B$10),ISNUMBER('Inputs'!$B$21),ISNUMBER('Inputs'!$B$24),ISNUMBER('Inputs'!$B$28)),((('Results'!B7*(1-'Inputs'!$B$24)*(0.5*((((509-43)*MAX('Inputs'!$B$33,'Inputs'!$B$29+'Inputs'!$B$31+'Inputs'!$B$32,'Inputs'!$B$30+'Inputs'!$B$31+'Inputs'!$B$32)/1000+'Inputs'!$B$21)+'Inputs'!$B$7)/SQRT((((509-43)*MAX('Inputs'!$B$33,'Inputs'!$B$29+'Inputs'!$B$31+'Inputs'!$B$32,'Inputs'!$B$30+'Inputs'!$B$31+'Inputs'!$B$32)/1000+'Inputs'!$B$21)+'Inputs'!$B$7)^2+('Inputs'!$B$6/2)^2)-(((509-43)*MAX('Inputs'!$B$33,'Inputs'!$B$29+'Inputs'!$B$31+'Inputs'!$B$32,'Inputs'!$B$30+'Inputs'!$B$31+'Inputs'!$B$32)/1000+'Inputs'!$B$21))/SQRT((((509-43)*MAX('Inputs'!$B$33,'Inputs'!$B$29+'Inputs'!$B$31+'Inputs'!$B$32,'Inputs'!$B$30+'Inputs'!$B$31+'Inputs'!$B$32)/1000+'Inputs'!$B$21))^2+('Inputs'!$B$6/2)^2)))-'Results'!C7*(1+'Inputs'!$B$24)*(0.5*((((509-43)*MAX('Inputs'!$B$33,'Inputs'!$B$29+'Inputs'!$B$31+'Inputs'!$B$32,'Inputs'!$B$30+'Inputs'!$B$31+'Inputs'!$B$32)/1000+'Inputs'!$B$21+'Inputs'!$B$7+'Inputs'!$B$10)+'Inputs'!$B$9)/SQRT((((509-43)*MAX('Inputs'!$B$33,'Inputs'!$B$29+'Inputs'!$B$31+'Inputs'!$B$32,'Inputs'!$B$30+'Inputs'!$B$31+'Inputs'!$B$32)/1000+'Inputs'!$B$21+'Inputs'!$B$7+'Inputs'!$B$10)+'Inputs'!$B$9)^2+('Inputs'!$B$8/2)^2)-(((509-43)*MAX('Inputs'!$B$33,'Inputs'!$B$29+'Inputs'!$B$31+'Inputs'!$B$32,'Inputs'!$B$30+'Inputs'!$B$31+'Inputs'!$B$32)/1000+'Inputs'!$B$21+'Inputs'!$B$7+'Inputs'!$B$10))/SQRT((((509-43)*MAX('Inputs'!$B$33,'Inputs'!$B$29+'Inputs'!$B$31+'Inputs'!$B$32,'Inputs'!$B$30+'Inputs'!$B$31+'Inputs'!$B$32)/1000+'Inputs'!$B$21+'Inputs'!$B$7+'Inputs'!$B$10))^2+('Inputs'!$B$8/2)^2))))*'Results'!$B$8)-'Inputs'!$B$28*ABS((('Results'!B7*(1-'Inputs'!$B$24)*(0.5*((((509-43)*MAX('Inputs'!$B$33,'Inputs'!$B$29+'Inputs'!$B$31+'Inputs'!$B$32,'Inputs'!$B$30+'Inputs'!$B$31+'Inputs'!$B$32)/1000+'Inputs'!$B$21)+'Inputs'!$B$7)/SQRT((((509-43)*MAX('Inputs'!$B$33,'Inputs'!$B$29+'Inputs'!$B$31+'Inputs'!$B$32,'Inputs'!$B$30+'Inputs'!$B$31+'Inputs'!$B$32)/1000+'Inputs'!$B$21)+'Inputs'!$B$7)^2+('Inputs'!$B$6/2)^2)-(((509-43)*MAX('Inputs'!$B$33,'Inputs'!$B$29+'Inputs'!$B$31+'Inputs'!$B$32,'Inputs'!$B$30+'Inputs'!$B$31+'Inputs'!$B$32)/1000+'Inputs'!$B$21))/SQRT((((509-43)*MAX('Inputs'!$B$33,'Inputs'!$B$29+'Inputs'!$B$31+'Inputs'!$B$32,'Inputs'!$B$30+'Inputs'!$B$31+'Inputs'!$B$32)/1000+'Inputs'!$B$21))^2+('Inputs'!$B$6/2)^2)))-'Results'!C7*(1+'Inputs'!$B$24)*(0.5*((((509-43)*MAX('Inputs'!$B$33,'Inputs'!$B$29+'Inputs'!$B$31+'Inputs'!$B$32,'Inputs'!$B$30+'Inputs'!$B$31+'Inputs'!$B$32)/1000+'Inputs'!$B$21+'Inputs'!$B$7+'Inputs'!$B$10)+'Inputs'!$B$9)/SQRT((((509-43)*MAX('Inputs'!$B$33,'Inputs'!$B$29+'Inputs'!$B$31+'Inputs'!$B$32,'Inputs'!$B$30+'Inputs'!$B$31+'Inputs'!$B$32)/1000+'Inputs'!$B$21+'Inputs'!$B$7+'Inputs'!$B$10)+'Inputs'!$B$9)^2+('Inputs'!$B$8/2)^2)-(((509-43)*MAX('Inputs'!$B$33,'Inputs'!$B$29+'Inputs'!$B$31+'Inputs'!$B$32,'Inputs'!$B$30+'Inputs'!$B$31+'Inputs'!$B$32)/1000+'Inputs'!$B$21+'Inputs'!$B$7+'Inputs'!$B$10))/SQRT((((509-43)*MAX('Inputs'!$B$33,'Inputs'!$B$29+'Inputs'!$B$31+'Inputs'!$B$32,'Inputs'!$B$30+'Inputs'!$B$31+'Inputs'!$B$32)/1000+'Inputs'!$B$21+'Inputs'!$B$7+'Inputs'!$B$10))^2+('Inputs'!$B$8/2)^2))))*'Results'!$B$8))),"")</x:f>
        <x:v>4.720031233160588</x:v>
      </x:c>
      <x:c r="L509" t="n">
        <x:f>IF(AND(ISNUMBER('Results'!B7),ISNUMBER('Results'!C7),ISNUMBER('Results'!$B$8),ISNUMBER('Inputs'!$B$6),ISNUMBER('Inputs'!$B$7),ISNUMBER('Inputs'!$B$8),ISNUMBER('Inputs'!$B$9),ISNUMBER('Inputs'!$B$10),ISNUMBER('Inputs'!$B$21),ISNUMBER('Inputs'!$B$24),ISNUMBER('Inputs'!$B$28)),((('Results'!B7*(1+'Inputs'!$B$24)*(0.5*((((509-43)*MAX('Inputs'!$B$33,'Inputs'!$B$29+'Inputs'!$B$31+'Inputs'!$B$32,'Inputs'!$B$30+'Inputs'!$B$31+'Inputs'!$B$32)/1000+'Inputs'!$B$21)+'Inputs'!$B$7)/SQRT((((509-43)*MAX('Inputs'!$B$33,'Inputs'!$B$29+'Inputs'!$B$31+'Inputs'!$B$32,'Inputs'!$B$30+'Inputs'!$B$31+'Inputs'!$B$32)/1000+'Inputs'!$B$21)+'Inputs'!$B$7)^2+('Inputs'!$B$6/2)^2)-(((509-43)*MAX('Inputs'!$B$33,'Inputs'!$B$29+'Inputs'!$B$31+'Inputs'!$B$32,'Inputs'!$B$30+'Inputs'!$B$31+'Inputs'!$B$32)/1000+'Inputs'!$B$21))/SQRT((((509-43)*MAX('Inputs'!$B$33,'Inputs'!$B$29+'Inputs'!$B$31+'Inputs'!$B$32,'Inputs'!$B$30+'Inputs'!$B$31+'Inputs'!$B$32)/1000+'Inputs'!$B$21))^2+('Inputs'!$B$6/2)^2)))-'Results'!C7*(1-'Inputs'!$B$24)*(0.5*((((509-43)*MAX('Inputs'!$B$33,'Inputs'!$B$29+'Inputs'!$B$31+'Inputs'!$B$32,'Inputs'!$B$30+'Inputs'!$B$31+'Inputs'!$B$32)/1000+'Inputs'!$B$21+'Inputs'!$B$7+'Inputs'!$B$10)+'Inputs'!$B$9)/SQRT((((509-43)*MAX('Inputs'!$B$33,'Inputs'!$B$29+'Inputs'!$B$31+'Inputs'!$B$32,'Inputs'!$B$30+'Inputs'!$B$31+'Inputs'!$B$32)/1000+'Inputs'!$B$21+'Inputs'!$B$7+'Inputs'!$B$10)+'Inputs'!$B$9)^2+('Inputs'!$B$8/2)^2)-(((509-43)*MAX('Inputs'!$B$33,'Inputs'!$B$29+'Inputs'!$B$31+'Inputs'!$B$32,'Inputs'!$B$30+'Inputs'!$B$31+'Inputs'!$B$32)/1000+'Inputs'!$B$21+'Inputs'!$B$7+'Inputs'!$B$10))/SQRT((((509-43)*MAX('Inputs'!$B$33,'Inputs'!$B$29+'Inputs'!$B$31+'Inputs'!$B$32,'Inputs'!$B$30+'Inputs'!$B$31+'Inputs'!$B$32)/1000+'Inputs'!$B$21+'Inputs'!$B$7+'Inputs'!$B$10))^2+('Inputs'!$B$8/2)^2))))*'Results'!$B$8)+'Inputs'!$B$28*ABS((('Results'!B7*(1+'Inputs'!$B$24)*(0.5*((((509-43)*MAX('Inputs'!$B$33,'Inputs'!$B$29+'Inputs'!$B$31+'Inputs'!$B$32,'Inputs'!$B$30+'Inputs'!$B$31+'Inputs'!$B$32)/1000+'Inputs'!$B$21)+'Inputs'!$B$7)/SQRT((((509-43)*MAX('Inputs'!$B$33,'Inputs'!$B$29+'Inputs'!$B$31+'Inputs'!$B$32,'Inputs'!$B$30+'Inputs'!$B$31+'Inputs'!$B$32)/1000+'Inputs'!$B$21)+'Inputs'!$B$7)^2+('Inputs'!$B$6/2)^2)-(((509-43)*MAX('Inputs'!$B$33,'Inputs'!$B$29+'Inputs'!$B$31+'Inputs'!$B$32,'Inputs'!$B$30+'Inputs'!$B$31+'Inputs'!$B$32)/1000+'Inputs'!$B$21))/SQRT((((509-43)*MAX('Inputs'!$B$33,'Inputs'!$B$29+'Inputs'!$B$31+'Inputs'!$B$32,'Inputs'!$B$30+'Inputs'!$B$31+'Inputs'!$B$32)/1000+'Inputs'!$B$21))^2+('Inputs'!$B$6/2)^2)))-'Results'!C7*(1-'Inputs'!$B$24)*(0.5*((((509-43)*MAX('Inputs'!$B$33,'Inputs'!$B$29+'Inputs'!$B$31+'Inputs'!$B$32,'Inputs'!$B$30+'Inputs'!$B$31+'Inputs'!$B$32)/1000+'Inputs'!$B$21+'Inputs'!$B$7+'Inputs'!$B$10)+'Inputs'!$B$9)/SQRT((((509-43)*MAX('Inputs'!$B$33,'Inputs'!$B$29+'Inputs'!$B$31+'Inputs'!$B$32,'Inputs'!$B$30+'Inputs'!$B$31+'Inputs'!$B$32)/1000+'Inputs'!$B$21+'Inputs'!$B$7+'Inputs'!$B$10)+'Inputs'!$B$9)^2+('Inputs'!$B$8/2)^2)-(((509-43)*MAX('Inputs'!$B$33,'Inputs'!$B$29+'Inputs'!$B$31+'Inputs'!$B$32,'Inputs'!$B$30+'Inputs'!$B$31+'Inputs'!$B$32)/1000+'Inputs'!$B$21+'Inputs'!$B$7+'Inputs'!$B$10))/SQRT((((509-43)*MAX('Inputs'!$B$33,'Inputs'!$B$29+'Inputs'!$B$31+'Inputs'!$B$32,'Inputs'!$B$30+'Inputs'!$B$31+'Inputs'!$B$32)/1000+'Inputs'!$B$21+'Inputs'!$B$7+'Inputs'!$B$10))^2+('Inputs'!$B$8/2)^2))))*'Results'!$B$8))),"")</x:f>
        <x:v>5.933758318810384</x:v>
      </x:c>
      <x:c r="M509" t="n">
        <x:f>IF(AND(ISNUMBER('Results'!C7),ISNUMBER('Results'!B7),ISNUMBER('Results'!$B$8),ISNUMBER('Inputs'!$B$6),ISNUMBER('Inputs'!$B$7),ISNUMBER('Inputs'!$B$8),ISNUMBER('Inputs'!$B$9),ISNUMBER('Inputs'!$B$10),ISNUMBER('Inputs'!$B$21),ISNUMBER('Inputs'!$B$24),ISNUMBER('Inputs'!$B$28)),(('Results'!C7*(0.5*((((509-43)*MAX('Inputs'!$B$33,'Inputs'!$B$29+'Inputs'!$B$31+'Inputs'!$B$32,'Inputs'!$B$30+'Inputs'!$B$31+'Inputs'!$B$32)/1000+'Inputs'!$B$21)+'Inputs'!$B$9)/SQRT((((509-43)*MAX('Inputs'!$B$33,'Inputs'!$B$29+'Inputs'!$B$31+'Inputs'!$B$32,'Inputs'!$B$30+'Inputs'!$B$31+'Inputs'!$B$32)/1000+'Inputs'!$B$21)+'Inputs'!$B$9)^2+('Inputs'!$B$8/2)^2)-(((509-43)*MAX('Inputs'!$B$33,'Inputs'!$B$29+'Inputs'!$B$31+'Inputs'!$B$32,'Inputs'!$B$30+'Inputs'!$B$31+'Inputs'!$B$32)/1000+'Inputs'!$B$21))/SQRT((((509-43)*MAX('Inputs'!$B$33,'Inputs'!$B$29+'Inputs'!$B$31+'Inputs'!$B$32,'Inputs'!$B$30+'Inputs'!$B$31+'Inputs'!$B$32)/1000+'Inputs'!$B$21))^2+('Inputs'!$B$8/2)^2)))-'Results'!B7*(0.5*((((509-43)*MAX('Inputs'!$B$33,'Inputs'!$B$29+'Inputs'!$B$31+'Inputs'!$B$32,'Inputs'!$B$30+'Inputs'!$B$31+'Inputs'!$B$32)/1000+'Inputs'!$B$21+'Inputs'!$B$9+'Inputs'!$B$10)+'Inputs'!$B$7)/SQRT((((509-43)*MAX('Inputs'!$B$33,'Inputs'!$B$29+'Inputs'!$B$31+'Inputs'!$B$32,'Inputs'!$B$30+'Inputs'!$B$31+'Inputs'!$B$32)/1000+'Inputs'!$B$21+'Inputs'!$B$9+'Inputs'!$B$10)+'Inputs'!$B$7)^2+('Inputs'!$B$6/2)^2)-(((509-43)*MAX('Inputs'!$B$33,'Inputs'!$B$29+'Inputs'!$B$31+'Inputs'!$B$32,'Inputs'!$B$30+'Inputs'!$B$31+'Inputs'!$B$32)/1000+'Inputs'!$B$21+'Inputs'!$B$9+'Inputs'!$B$10))/SQRT((((509-43)*MAX('Inputs'!$B$33,'Inputs'!$B$29+'Inputs'!$B$31+'Inputs'!$B$32,'Inputs'!$B$30+'Inputs'!$B$31+'Inputs'!$B$32)/1000+'Inputs'!$B$21+'Inputs'!$B$9+'Inputs'!$B$10))^2+('Inputs'!$B$6/2)^2))))*'Results'!$B$8),"")</x:f>
        <x:v>4.966054177486327</x:v>
      </x:c>
      <x:c r="N509" t="n">
        <x:f>IF(AND(ISNUMBER('Results'!C7),ISNUMBER('Results'!B7),ISNUMBER('Results'!$B$8),ISNUMBER('Inputs'!$B$6),ISNUMBER('Inputs'!$B$7),ISNUMBER('Inputs'!$B$8),ISNUMBER('Inputs'!$B$9),ISNUMBER('Inputs'!$B$10),ISNUMBER('Inputs'!$B$21),ISNUMBER('Inputs'!$B$24),ISNUMBER('Inputs'!$B$28)),((('Results'!C7*(1-'Inputs'!$B$24)*(0.5*((((509-43)*MAX('Inputs'!$B$33,'Inputs'!$B$29+'Inputs'!$B$31+'Inputs'!$B$32,'Inputs'!$B$30+'Inputs'!$B$31+'Inputs'!$B$32)/1000+'Inputs'!$B$21)+'Inputs'!$B$9)/SQRT((((509-43)*MAX('Inputs'!$B$33,'Inputs'!$B$29+'Inputs'!$B$31+'Inputs'!$B$32,'Inputs'!$B$30+'Inputs'!$B$31+'Inputs'!$B$32)/1000+'Inputs'!$B$21)+'Inputs'!$B$9)^2+('Inputs'!$B$8/2)^2)-(((509-43)*MAX('Inputs'!$B$33,'Inputs'!$B$29+'Inputs'!$B$31+'Inputs'!$B$32,'Inputs'!$B$30+'Inputs'!$B$31+'Inputs'!$B$32)/1000+'Inputs'!$B$21))/SQRT((((509-43)*MAX('Inputs'!$B$33,'Inputs'!$B$29+'Inputs'!$B$31+'Inputs'!$B$32,'Inputs'!$B$30+'Inputs'!$B$31+'Inputs'!$B$32)/1000+'Inputs'!$B$21))^2+('Inputs'!$B$8/2)^2)))-'Results'!B7*(1+'Inputs'!$B$24)*(0.5*((((509-43)*MAX('Inputs'!$B$33,'Inputs'!$B$29+'Inputs'!$B$31+'Inputs'!$B$32,'Inputs'!$B$30+'Inputs'!$B$31+'Inputs'!$B$32)/1000+'Inputs'!$B$21+'Inputs'!$B$9+'Inputs'!$B$10)+'Inputs'!$B$7)/SQRT((((509-43)*MAX('Inputs'!$B$33,'Inputs'!$B$29+'Inputs'!$B$31+'Inputs'!$B$32,'Inputs'!$B$30+'Inputs'!$B$31+'Inputs'!$B$32)/1000+'Inputs'!$B$21+'Inputs'!$B$9+'Inputs'!$B$10)+'Inputs'!$B$7)^2+('Inputs'!$B$6/2)^2)-(((509-43)*MAX('Inputs'!$B$33,'Inputs'!$B$29+'Inputs'!$B$31+'Inputs'!$B$32,'Inputs'!$B$30+'Inputs'!$B$31+'Inputs'!$B$32)/1000+'Inputs'!$B$21+'Inputs'!$B$9+'Inputs'!$B$10))/SQRT((((509-43)*MAX('Inputs'!$B$33,'Inputs'!$B$29+'Inputs'!$B$31+'Inputs'!$B$32,'Inputs'!$B$30+'Inputs'!$B$31+'Inputs'!$B$32)/1000+'Inputs'!$B$21+'Inputs'!$B$9+'Inputs'!$B$10))^2+('Inputs'!$B$6/2)^2))))*'Results'!$B$8)-'Inputs'!$B$28*ABS((('Results'!C7*(1-'Inputs'!$B$24)*(0.5*((((509-43)*MAX('Inputs'!$B$33,'Inputs'!$B$29+'Inputs'!$B$31+'Inputs'!$B$32,'Inputs'!$B$30+'Inputs'!$B$31+'Inputs'!$B$32)/1000+'Inputs'!$B$21)+'Inputs'!$B$9)/SQRT((((509-43)*MAX('Inputs'!$B$33,'Inputs'!$B$29+'Inputs'!$B$31+'Inputs'!$B$32,'Inputs'!$B$30+'Inputs'!$B$31+'Inputs'!$B$32)/1000+'Inputs'!$B$21)+'Inputs'!$B$9)^2+('Inputs'!$B$8/2)^2)-(((509-43)*MAX('Inputs'!$B$33,'Inputs'!$B$29+'Inputs'!$B$31+'Inputs'!$B$32,'Inputs'!$B$30+'Inputs'!$B$31+'Inputs'!$B$32)/1000+'Inputs'!$B$21))/SQRT((((509-43)*MAX('Inputs'!$B$33,'Inputs'!$B$29+'Inputs'!$B$31+'Inputs'!$B$32,'Inputs'!$B$30+'Inputs'!$B$31+'Inputs'!$B$32)/1000+'Inputs'!$B$21))^2+('Inputs'!$B$8/2)^2)))-'Results'!B7*(1+'Inputs'!$B$24)*(0.5*((((509-43)*MAX('Inputs'!$B$33,'Inputs'!$B$29+'Inputs'!$B$31+'Inputs'!$B$32,'Inputs'!$B$30+'Inputs'!$B$31+'Inputs'!$B$32)/1000+'Inputs'!$B$21+'Inputs'!$B$9+'Inputs'!$B$10)+'Inputs'!$B$7)/SQRT((((509-43)*MAX('Inputs'!$B$33,'Inputs'!$B$29+'Inputs'!$B$31+'Inputs'!$B$32,'Inputs'!$B$30+'Inputs'!$B$31+'Inputs'!$B$32)/1000+'Inputs'!$B$21+'Inputs'!$B$9+'Inputs'!$B$10)+'Inputs'!$B$7)^2+('Inputs'!$B$6/2)^2)-(((509-43)*MAX('Inputs'!$B$33,'Inputs'!$B$29+'Inputs'!$B$31+'Inputs'!$B$32,'Inputs'!$B$30+'Inputs'!$B$31+'Inputs'!$B$32)/1000+'Inputs'!$B$21+'Inputs'!$B$9+'Inputs'!$B$10))/SQRT((((509-43)*MAX('Inputs'!$B$33,'Inputs'!$B$29+'Inputs'!$B$31+'Inputs'!$B$32,'Inputs'!$B$30+'Inputs'!$B$31+'Inputs'!$B$32)/1000+'Inputs'!$B$21+'Inputs'!$B$9+'Inputs'!$B$10))^2+('Inputs'!$B$6/2)^2))))*'Results'!$B$8))),"")</x:f>
        <x:v>4.395419984381909</x:v>
      </x:c>
      <x:c r="O509" t="n">
        <x:f>IF(AND(ISNUMBER('Results'!C7),ISNUMBER('Results'!B7),ISNUMBER('Results'!$B$8),ISNUMBER('Inputs'!$B$6),ISNUMBER('Inputs'!$B$7),ISNUMBER('Inputs'!$B$8),ISNUMBER('Inputs'!$B$9),ISNUMBER('Inputs'!$B$10),ISNUMBER('Inputs'!$B$21),ISNUMBER('Inputs'!$B$24),ISNUMBER('Inputs'!$B$28)),((('Results'!C7*(1+'Inputs'!$B$24)*(0.5*((((509-43)*MAX('Inputs'!$B$33,'Inputs'!$B$29+'Inputs'!$B$31+'Inputs'!$B$32,'Inputs'!$B$30+'Inputs'!$B$31+'Inputs'!$B$32)/1000+'Inputs'!$B$21)+'Inputs'!$B$9)/SQRT((((509-43)*MAX('Inputs'!$B$33,'Inputs'!$B$29+'Inputs'!$B$31+'Inputs'!$B$32,'Inputs'!$B$30+'Inputs'!$B$31+'Inputs'!$B$32)/1000+'Inputs'!$B$21)+'Inputs'!$B$9)^2+('Inputs'!$B$8/2)^2)-(((509-43)*MAX('Inputs'!$B$33,'Inputs'!$B$29+'Inputs'!$B$31+'Inputs'!$B$32,'Inputs'!$B$30+'Inputs'!$B$31+'Inputs'!$B$32)/1000+'Inputs'!$B$21))/SQRT((((509-43)*MAX('Inputs'!$B$33,'Inputs'!$B$29+'Inputs'!$B$31+'Inputs'!$B$32,'Inputs'!$B$30+'Inputs'!$B$31+'Inputs'!$B$32)/1000+'Inputs'!$B$21))^2+('Inputs'!$B$8/2)^2)))-'Results'!B7*(1-'Inputs'!$B$24)*(0.5*((((509-43)*MAX('Inputs'!$B$33,'Inputs'!$B$29+'Inputs'!$B$31+'Inputs'!$B$32,'Inputs'!$B$30+'Inputs'!$B$31+'Inputs'!$B$32)/1000+'Inputs'!$B$21+'Inputs'!$B$9+'Inputs'!$B$10)+'Inputs'!$B$7)/SQRT((((509-43)*MAX('Inputs'!$B$33,'Inputs'!$B$29+'Inputs'!$B$31+'Inputs'!$B$32,'Inputs'!$B$30+'Inputs'!$B$31+'Inputs'!$B$32)/1000+'Inputs'!$B$21+'Inputs'!$B$9+'Inputs'!$B$10)+'Inputs'!$B$7)^2+('Inputs'!$B$6/2)^2)-(((509-43)*MAX('Inputs'!$B$33,'Inputs'!$B$29+'Inputs'!$B$31+'Inputs'!$B$32,'Inputs'!$B$30+'Inputs'!$B$31+'Inputs'!$B$32)/1000+'Inputs'!$B$21+'Inputs'!$B$9+'Inputs'!$B$10))/SQRT((((509-43)*MAX('Inputs'!$B$33,'Inputs'!$B$29+'Inputs'!$B$31+'Inputs'!$B$32,'Inputs'!$B$30+'Inputs'!$B$31+'Inputs'!$B$32)/1000+'Inputs'!$B$21+'Inputs'!$B$9+'Inputs'!$B$10))^2+('Inputs'!$B$6/2)^2))))*'Results'!$B$8)+'Inputs'!$B$28*ABS((('Results'!C7*(1+'Inputs'!$B$24)*(0.5*((((509-43)*MAX('Inputs'!$B$33,'Inputs'!$B$29+'Inputs'!$B$31+'Inputs'!$B$32,'Inputs'!$B$30+'Inputs'!$B$31+'Inputs'!$B$32)/1000+'Inputs'!$B$21)+'Inputs'!$B$9)/SQRT((((509-43)*MAX('Inputs'!$B$33,'Inputs'!$B$29+'Inputs'!$B$31+'Inputs'!$B$32,'Inputs'!$B$30+'Inputs'!$B$31+'Inputs'!$B$32)/1000+'Inputs'!$B$21)+'Inputs'!$B$9)^2+('Inputs'!$B$8/2)^2)-(((509-43)*MAX('Inputs'!$B$33,'Inputs'!$B$29+'Inputs'!$B$31+'Inputs'!$B$32,'Inputs'!$B$30+'Inputs'!$B$31+'Inputs'!$B$32)/1000+'Inputs'!$B$21))/SQRT((((509-43)*MAX('Inputs'!$B$33,'Inputs'!$B$29+'Inputs'!$B$31+'Inputs'!$B$32,'Inputs'!$B$30+'Inputs'!$B$31+'Inputs'!$B$32)/1000+'Inputs'!$B$21))^2+('Inputs'!$B$8/2)^2)))-'Results'!B7*(1-'Inputs'!$B$24)*(0.5*((((509-43)*MAX('Inputs'!$B$33,'Inputs'!$B$29+'Inputs'!$B$31+'Inputs'!$B$32,'Inputs'!$B$30+'Inputs'!$B$31+'Inputs'!$B$32)/1000+'Inputs'!$B$21+'Inputs'!$B$9+'Inputs'!$B$10)+'Inputs'!$B$7)/SQRT((((509-43)*MAX('Inputs'!$B$33,'Inputs'!$B$29+'Inputs'!$B$31+'Inputs'!$B$32,'Inputs'!$B$30+'Inputs'!$B$31+'Inputs'!$B$32)/1000+'Inputs'!$B$21+'Inputs'!$B$9+'Inputs'!$B$10)+'Inputs'!$B$7)^2+('Inputs'!$B$6/2)^2)-(((509-43)*MAX('Inputs'!$B$33,'Inputs'!$B$29+'Inputs'!$B$31+'Inputs'!$B$32,'Inputs'!$B$30+'Inputs'!$B$31+'Inputs'!$B$32)/1000+'Inputs'!$B$21+'Inputs'!$B$9+'Inputs'!$B$10))/SQRT((((509-43)*MAX('Inputs'!$B$33,'Inputs'!$B$29+'Inputs'!$B$31+'Inputs'!$B$32,'Inputs'!$B$30+'Inputs'!$B$31+'Inputs'!$B$32)/1000+'Inputs'!$B$21+'Inputs'!$B$9+'Inputs'!$B$10))^2+('Inputs'!$B$6/2)^2))))*'Results'!$B$8))),"")</x:f>
        <x:v>5.570618000509703</x:v>
      </x:c>
      <x:c r="P509" t="n">
        <x:f>IF(AND(MAX(J509,J508)&gt;0,J509&gt;J508+0.00000001),1,0)</x:f>
        <x:v>0</x:v>
      </x:c>
      <x:c r="Q509" t="n">
        <x:f>IF(AND(MAX(K509,K508)&gt;0,K509&gt;K508+0.00000001),1,0)</x:f>
        <x:v>0</x:v>
      </x:c>
      <x:c r="R509" t="n">
        <x:f>IF(AND(MAX(L509,L508)&gt;0,L509&gt;L508+0.00000001),1,0)</x:f>
        <x:v>0</x:v>
      </x:c>
      <x:c r="S509" t="n">
        <x:f>IF(AND(MAX(M509,M508)&gt;0,M509&gt;M508+0.00000001),1,0)</x:f>
        <x:v>0</x:v>
      </x:c>
      <x:c r="T509" t="n">
        <x:f>IF(AND(MAX(N509,N508)&gt;0,N509&gt;N508+0.00000001),1,0)</x:f>
        <x:v>0</x:v>
      </x:c>
      <x:c r="U509" t="n">
        <x:f>IF(AND(MAX(O509,O508)&gt;0,O509&gt;O508+0.00000001),1,0)</x:f>
        <x:v>0</x:v>
      </x:c>
    </x:row>
    <x:row r="510">
      <x:c r="J510" t="n">
        <x:f>IF(AND(ISNUMBER('Results'!B7),ISNUMBER('Results'!C7),ISNUMBER('Results'!$B$8),ISNUMBER('Inputs'!$B$6),ISNUMBER('Inputs'!$B$7),ISNUMBER('Inputs'!$B$8),ISNUMBER('Inputs'!$B$9),ISNUMBER('Inputs'!$B$10),ISNUMBER('Inputs'!$B$21),ISNUMBER('Inputs'!$B$24),ISNUMBER('Inputs'!$B$28)),(('Results'!B7*(0.5*((((510-43)*MAX('Inputs'!$B$33,'Inputs'!$B$29+'Inputs'!$B$31+'Inputs'!$B$32,'Inputs'!$B$30+'Inputs'!$B$31+'Inputs'!$B$32)/1000+'Inputs'!$B$21)+'Inputs'!$B$7)/SQRT((((510-43)*MAX('Inputs'!$B$33,'Inputs'!$B$29+'Inputs'!$B$31+'Inputs'!$B$32,'Inputs'!$B$30+'Inputs'!$B$31+'Inputs'!$B$32)/1000+'Inputs'!$B$21)+'Inputs'!$B$7)^2+('Inputs'!$B$6/2)^2)-(((510-43)*MAX('Inputs'!$B$33,'Inputs'!$B$29+'Inputs'!$B$31+'Inputs'!$B$32,'Inputs'!$B$30+'Inputs'!$B$31+'Inputs'!$B$32)/1000+'Inputs'!$B$21))/SQRT((((510-43)*MAX('Inputs'!$B$33,'Inputs'!$B$29+'Inputs'!$B$31+'Inputs'!$B$32,'Inputs'!$B$30+'Inputs'!$B$31+'Inputs'!$B$32)/1000+'Inputs'!$B$21))^2+('Inputs'!$B$6/2)^2)))-'Results'!C7*(0.5*((((510-43)*MAX('Inputs'!$B$33,'Inputs'!$B$29+'Inputs'!$B$31+'Inputs'!$B$32,'Inputs'!$B$30+'Inputs'!$B$31+'Inputs'!$B$32)/1000+'Inputs'!$B$21+'Inputs'!$B$7+'Inputs'!$B$10)+'Inputs'!$B$9)/SQRT((((510-43)*MAX('Inputs'!$B$33,'Inputs'!$B$29+'Inputs'!$B$31+'Inputs'!$B$32,'Inputs'!$B$30+'Inputs'!$B$31+'Inputs'!$B$32)/1000+'Inputs'!$B$21+'Inputs'!$B$7+'Inputs'!$B$10)+'Inputs'!$B$9)^2+('Inputs'!$B$8/2)^2)-(((510-43)*MAX('Inputs'!$B$33,'Inputs'!$B$29+'Inputs'!$B$31+'Inputs'!$B$32,'Inputs'!$B$30+'Inputs'!$B$31+'Inputs'!$B$32)/1000+'Inputs'!$B$21+'Inputs'!$B$7+'Inputs'!$B$10))/SQRT((((510-43)*MAX('Inputs'!$B$33,'Inputs'!$B$29+'Inputs'!$B$31+'Inputs'!$B$32,'Inputs'!$B$30+'Inputs'!$B$31+'Inputs'!$B$32)/1000+'Inputs'!$B$21+'Inputs'!$B$7+'Inputs'!$B$10))^2+('Inputs'!$B$8/2)^2))))*'Results'!$B$8),"")</x:f>
        <x:v>5.271474869915718</x:v>
      </x:c>
      <x:c r="K510" t="n">
        <x:f>IF(AND(ISNUMBER('Results'!B7),ISNUMBER('Results'!C7),ISNUMBER('Results'!$B$8),ISNUMBER('Inputs'!$B$6),ISNUMBER('Inputs'!$B$7),ISNUMBER('Inputs'!$B$8),ISNUMBER('Inputs'!$B$9),ISNUMBER('Inputs'!$B$10),ISNUMBER('Inputs'!$B$21),ISNUMBER('Inputs'!$B$24),ISNUMBER('Inputs'!$B$28)),((('Results'!B7*(1-'Inputs'!$B$24)*(0.5*((((510-43)*MAX('Inputs'!$B$33,'Inputs'!$B$29+'Inputs'!$B$31+'Inputs'!$B$32,'Inputs'!$B$30+'Inputs'!$B$31+'Inputs'!$B$32)/1000+'Inputs'!$B$21)+'Inputs'!$B$7)/SQRT((((510-43)*MAX('Inputs'!$B$33,'Inputs'!$B$29+'Inputs'!$B$31+'Inputs'!$B$32,'Inputs'!$B$30+'Inputs'!$B$31+'Inputs'!$B$32)/1000+'Inputs'!$B$21)+'Inputs'!$B$7)^2+('Inputs'!$B$6/2)^2)-(((510-43)*MAX('Inputs'!$B$33,'Inputs'!$B$29+'Inputs'!$B$31+'Inputs'!$B$32,'Inputs'!$B$30+'Inputs'!$B$31+'Inputs'!$B$32)/1000+'Inputs'!$B$21))/SQRT((((510-43)*MAX('Inputs'!$B$33,'Inputs'!$B$29+'Inputs'!$B$31+'Inputs'!$B$32,'Inputs'!$B$30+'Inputs'!$B$31+'Inputs'!$B$32)/1000+'Inputs'!$B$21))^2+('Inputs'!$B$6/2)^2)))-'Results'!C7*(1+'Inputs'!$B$24)*(0.5*((((510-43)*MAX('Inputs'!$B$33,'Inputs'!$B$29+'Inputs'!$B$31+'Inputs'!$B$32,'Inputs'!$B$30+'Inputs'!$B$31+'Inputs'!$B$32)/1000+'Inputs'!$B$21+'Inputs'!$B$7+'Inputs'!$B$10)+'Inputs'!$B$9)/SQRT((((510-43)*MAX('Inputs'!$B$33,'Inputs'!$B$29+'Inputs'!$B$31+'Inputs'!$B$32,'Inputs'!$B$30+'Inputs'!$B$31+'Inputs'!$B$32)/1000+'Inputs'!$B$21+'Inputs'!$B$7+'Inputs'!$B$10)+'Inputs'!$B$9)^2+('Inputs'!$B$8/2)^2)-(((510-43)*MAX('Inputs'!$B$33,'Inputs'!$B$29+'Inputs'!$B$31+'Inputs'!$B$32,'Inputs'!$B$30+'Inputs'!$B$31+'Inputs'!$B$32)/1000+'Inputs'!$B$21+'Inputs'!$B$7+'Inputs'!$B$10))/SQRT((((510-43)*MAX('Inputs'!$B$33,'Inputs'!$B$29+'Inputs'!$B$31+'Inputs'!$B$32,'Inputs'!$B$30+'Inputs'!$B$31+'Inputs'!$B$32)/1000+'Inputs'!$B$21+'Inputs'!$B$7+'Inputs'!$B$10))^2+('Inputs'!$B$8/2)^2))))*'Results'!$B$8)-'Inputs'!$B$28*ABS((('Results'!B7*(1-'Inputs'!$B$24)*(0.5*((((510-43)*MAX('Inputs'!$B$33,'Inputs'!$B$29+'Inputs'!$B$31+'Inputs'!$B$32,'Inputs'!$B$30+'Inputs'!$B$31+'Inputs'!$B$32)/1000+'Inputs'!$B$21)+'Inputs'!$B$7)/SQRT((((510-43)*MAX('Inputs'!$B$33,'Inputs'!$B$29+'Inputs'!$B$31+'Inputs'!$B$32,'Inputs'!$B$30+'Inputs'!$B$31+'Inputs'!$B$32)/1000+'Inputs'!$B$21)+'Inputs'!$B$7)^2+('Inputs'!$B$6/2)^2)-(((510-43)*MAX('Inputs'!$B$33,'Inputs'!$B$29+'Inputs'!$B$31+'Inputs'!$B$32,'Inputs'!$B$30+'Inputs'!$B$31+'Inputs'!$B$32)/1000+'Inputs'!$B$21))/SQRT((((510-43)*MAX('Inputs'!$B$33,'Inputs'!$B$29+'Inputs'!$B$31+'Inputs'!$B$32,'Inputs'!$B$30+'Inputs'!$B$31+'Inputs'!$B$32)/1000+'Inputs'!$B$21))^2+('Inputs'!$B$6/2)^2)))-'Results'!C7*(1+'Inputs'!$B$24)*(0.5*((((510-43)*MAX('Inputs'!$B$33,'Inputs'!$B$29+'Inputs'!$B$31+'Inputs'!$B$32,'Inputs'!$B$30+'Inputs'!$B$31+'Inputs'!$B$32)/1000+'Inputs'!$B$21+'Inputs'!$B$7+'Inputs'!$B$10)+'Inputs'!$B$9)/SQRT((((510-43)*MAX('Inputs'!$B$33,'Inputs'!$B$29+'Inputs'!$B$31+'Inputs'!$B$32,'Inputs'!$B$30+'Inputs'!$B$31+'Inputs'!$B$32)/1000+'Inputs'!$B$21+'Inputs'!$B$7+'Inputs'!$B$10)+'Inputs'!$B$9)^2+('Inputs'!$B$8/2)^2)-(((510-43)*MAX('Inputs'!$B$33,'Inputs'!$B$29+'Inputs'!$B$31+'Inputs'!$B$32,'Inputs'!$B$30+'Inputs'!$B$31+'Inputs'!$B$32)/1000+'Inputs'!$B$21+'Inputs'!$B$7+'Inputs'!$B$10))/SQRT((((510-43)*MAX('Inputs'!$B$33,'Inputs'!$B$29+'Inputs'!$B$31+'Inputs'!$B$32,'Inputs'!$B$30+'Inputs'!$B$31+'Inputs'!$B$32)/1000+'Inputs'!$B$21+'Inputs'!$B$7+'Inputs'!$B$10))^2+('Inputs'!$B$8/2)^2))))*'Results'!$B$8))),"")</x:f>
        <x:v>4.685421038547844</x:v>
      </x:c>
      <x:c r="L510" t="n">
        <x:f>IF(AND(ISNUMBER('Results'!B7),ISNUMBER('Results'!C7),ISNUMBER('Results'!$B$8),ISNUMBER('Inputs'!$B$6),ISNUMBER('Inputs'!$B$7),ISNUMBER('Inputs'!$B$8),ISNUMBER('Inputs'!$B$9),ISNUMBER('Inputs'!$B$10),ISNUMBER('Inputs'!$B$21),ISNUMBER('Inputs'!$B$24),ISNUMBER('Inputs'!$B$28)),((('Results'!B7*(1+'Inputs'!$B$24)*(0.5*((((510-43)*MAX('Inputs'!$B$33,'Inputs'!$B$29+'Inputs'!$B$31+'Inputs'!$B$32,'Inputs'!$B$30+'Inputs'!$B$31+'Inputs'!$B$32)/1000+'Inputs'!$B$21)+'Inputs'!$B$7)/SQRT((((510-43)*MAX('Inputs'!$B$33,'Inputs'!$B$29+'Inputs'!$B$31+'Inputs'!$B$32,'Inputs'!$B$30+'Inputs'!$B$31+'Inputs'!$B$32)/1000+'Inputs'!$B$21)+'Inputs'!$B$7)^2+('Inputs'!$B$6/2)^2)-(((510-43)*MAX('Inputs'!$B$33,'Inputs'!$B$29+'Inputs'!$B$31+'Inputs'!$B$32,'Inputs'!$B$30+'Inputs'!$B$31+'Inputs'!$B$32)/1000+'Inputs'!$B$21))/SQRT((((510-43)*MAX('Inputs'!$B$33,'Inputs'!$B$29+'Inputs'!$B$31+'Inputs'!$B$32,'Inputs'!$B$30+'Inputs'!$B$31+'Inputs'!$B$32)/1000+'Inputs'!$B$21))^2+('Inputs'!$B$6/2)^2)))-'Results'!C7*(1-'Inputs'!$B$24)*(0.5*((((510-43)*MAX('Inputs'!$B$33,'Inputs'!$B$29+'Inputs'!$B$31+'Inputs'!$B$32,'Inputs'!$B$30+'Inputs'!$B$31+'Inputs'!$B$32)/1000+'Inputs'!$B$21+'Inputs'!$B$7+'Inputs'!$B$10)+'Inputs'!$B$9)/SQRT((((510-43)*MAX('Inputs'!$B$33,'Inputs'!$B$29+'Inputs'!$B$31+'Inputs'!$B$32,'Inputs'!$B$30+'Inputs'!$B$31+'Inputs'!$B$32)/1000+'Inputs'!$B$21+'Inputs'!$B$7+'Inputs'!$B$10)+'Inputs'!$B$9)^2+('Inputs'!$B$8/2)^2)-(((510-43)*MAX('Inputs'!$B$33,'Inputs'!$B$29+'Inputs'!$B$31+'Inputs'!$B$32,'Inputs'!$B$30+'Inputs'!$B$31+'Inputs'!$B$32)/1000+'Inputs'!$B$21+'Inputs'!$B$7+'Inputs'!$B$10))/SQRT((((510-43)*MAX('Inputs'!$B$33,'Inputs'!$B$29+'Inputs'!$B$31+'Inputs'!$B$32,'Inputs'!$B$30+'Inputs'!$B$31+'Inputs'!$B$32)/1000+'Inputs'!$B$21+'Inputs'!$B$7+'Inputs'!$B$10))^2+('Inputs'!$B$8/2)^2))))*'Results'!$B$8)+'Inputs'!$B$28*ABS((('Results'!B7*(1+'Inputs'!$B$24)*(0.5*((((510-43)*MAX('Inputs'!$B$33,'Inputs'!$B$29+'Inputs'!$B$31+'Inputs'!$B$32,'Inputs'!$B$30+'Inputs'!$B$31+'Inputs'!$B$32)/1000+'Inputs'!$B$21)+'Inputs'!$B$7)/SQRT((((510-43)*MAX('Inputs'!$B$33,'Inputs'!$B$29+'Inputs'!$B$31+'Inputs'!$B$32,'Inputs'!$B$30+'Inputs'!$B$31+'Inputs'!$B$32)/1000+'Inputs'!$B$21)+'Inputs'!$B$7)^2+('Inputs'!$B$6/2)^2)-(((510-43)*MAX('Inputs'!$B$33,'Inputs'!$B$29+'Inputs'!$B$31+'Inputs'!$B$32,'Inputs'!$B$30+'Inputs'!$B$31+'Inputs'!$B$32)/1000+'Inputs'!$B$21))/SQRT((((510-43)*MAX('Inputs'!$B$33,'Inputs'!$B$29+'Inputs'!$B$31+'Inputs'!$B$32,'Inputs'!$B$30+'Inputs'!$B$31+'Inputs'!$B$32)/1000+'Inputs'!$B$21))^2+('Inputs'!$B$6/2)^2)))-'Results'!C7*(1-'Inputs'!$B$24)*(0.5*((((510-43)*MAX('Inputs'!$B$33,'Inputs'!$B$29+'Inputs'!$B$31+'Inputs'!$B$32,'Inputs'!$B$30+'Inputs'!$B$31+'Inputs'!$B$32)/1000+'Inputs'!$B$21+'Inputs'!$B$7+'Inputs'!$B$10)+'Inputs'!$B$9)/SQRT((((510-43)*MAX('Inputs'!$B$33,'Inputs'!$B$29+'Inputs'!$B$31+'Inputs'!$B$32,'Inputs'!$B$30+'Inputs'!$B$31+'Inputs'!$B$32)/1000+'Inputs'!$B$21+'Inputs'!$B$7+'Inputs'!$B$10)+'Inputs'!$B$9)^2+('Inputs'!$B$8/2)^2)-(((510-43)*MAX('Inputs'!$B$33,'Inputs'!$B$29+'Inputs'!$B$31+'Inputs'!$B$32,'Inputs'!$B$30+'Inputs'!$B$31+'Inputs'!$B$32)/1000+'Inputs'!$B$21+'Inputs'!$B$7+'Inputs'!$B$10))/SQRT((((510-43)*MAX('Inputs'!$B$33,'Inputs'!$B$29+'Inputs'!$B$31+'Inputs'!$B$32,'Inputs'!$B$30+'Inputs'!$B$31+'Inputs'!$B$32)/1000+'Inputs'!$B$21+'Inputs'!$B$7+'Inputs'!$B$10))^2+('Inputs'!$B$8/2)^2))))*'Results'!$B$8))),"")</x:f>
        <x:v>5.891473973691179</x:v>
      </x:c>
      <x:c r="M510" t="n">
        <x:f>IF(AND(ISNUMBER('Results'!C7),ISNUMBER('Results'!B7),ISNUMBER('Results'!$B$8),ISNUMBER('Inputs'!$B$6),ISNUMBER('Inputs'!$B$7),ISNUMBER('Inputs'!$B$8),ISNUMBER('Inputs'!$B$9),ISNUMBER('Inputs'!$B$10),ISNUMBER('Inputs'!$B$21),ISNUMBER('Inputs'!$B$24),ISNUMBER('Inputs'!$B$28)),(('Results'!C7*(0.5*((((510-43)*MAX('Inputs'!$B$33,'Inputs'!$B$29+'Inputs'!$B$31+'Inputs'!$B$32,'Inputs'!$B$30+'Inputs'!$B$31+'Inputs'!$B$32)/1000+'Inputs'!$B$21)+'Inputs'!$B$9)/SQRT((((510-43)*MAX('Inputs'!$B$33,'Inputs'!$B$29+'Inputs'!$B$31+'Inputs'!$B$32,'Inputs'!$B$30+'Inputs'!$B$31+'Inputs'!$B$32)/1000+'Inputs'!$B$21)+'Inputs'!$B$9)^2+('Inputs'!$B$8/2)^2)-(((510-43)*MAX('Inputs'!$B$33,'Inputs'!$B$29+'Inputs'!$B$31+'Inputs'!$B$32,'Inputs'!$B$30+'Inputs'!$B$31+'Inputs'!$B$32)/1000+'Inputs'!$B$21))/SQRT((((510-43)*MAX('Inputs'!$B$33,'Inputs'!$B$29+'Inputs'!$B$31+'Inputs'!$B$32,'Inputs'!$B$30+'Inputs'!$B$31+'Inputs'!$B$32)/1000+'Inputs'!$B$21))^2+('Inputs'!$B$8/2)^2)))-'Results'!B7*(0.5*((((510-43)*MAX('Inputs'!$B$33,'Inputs'!$B$29+'Inputs'!$B$31+'Inputs'!$B$32,'Inputs'!$B$30+'Inputs'!$B$31+'Inputs'!$B$32)/1000+'Inputs'!$B$21+'Inputs'!$B$9+'Inputs'!$B$10)+'Inputs'!$B$7)/SQRT((((510-43)*MAX('Inputs'!$B$33,'Inputs'!$B$29+'Inputs'!$B$31+'Inputs'!$B$32,'Inputs'!$B$30+'Inputs'!$B$31+'Inputs'!$B$32)/1000+'Inputs'!$B$21+'Inputs'!$B$9+'Inputs'!$B$10)+'Inputs'!$B$7)^2+('Inputs'!$B$6/2)^2)-(((510-43)*MAX('Inputs'!$B$33,'Inputs'!$B$29+'Inputs'!$B$31+'Inputs'!$B$32,'Inputs'!$B$30+'Inputs'!$B$31+'Inputs'!$B$32)/1000+'Inputs'!$B$21+'Inputs'!$B$9+'Inputs'!$B$10))/SQRT((((510-43)*MAX('Inputs'!$B$33,'Inputs'!$B$29+'Inputs'!$B$31+'Inputs'!$B$32,'Inputs'!$B$30+'Inputs'!$B$31+'Inputs'!$B$32)/1000+'Inputs'!$B$21+'Inputs'!$B$9+'Inputs'!$B$10))^2+('Inputs'!$B$6/2)^2))))*'Results'!$B$8),"")</x:f>
        <x:v>4.929634153730881</x:v>
      </x:c>
      <x:c r="N510" t="n">
        <x:f>IF(AND(ISNUMBER('Results'!C7),ISNUMBER('Results'!B7),ISNUMBER('Results'!$B$8),ISNUMBER('Inputs'!$B$6),ISNUMBER('Inputs'!$B$7),ISNUMBER('Inputs'!$B$8),ISNUMBER('Inputs'!$B$9),ISNUMBER('Inputs'!$B$10),ISNUMBER('Inputs'!$B$21),ISNUMBER('Inputs'!$B$24),ISNUMBER('Inputs'!$B$28)),((('Results'!C7*(1-'Inputs'!$B$24)*(0.5*((((510-43)*MAX('Inputs'!$B$33,'Inputs'!$B$29+'Inputs'!$B$31+'Inputs'!$B$32,'Inputs'!$B$30+'Inputs'!$B$31+'Inputs'!$B$32)/1000+'Inputs'!$B$21)+'Inputs'!$B$9)/SQRT((((510-43)*MAX('Inputs'!$B$33,'Inputs'!$B$29+'Inputs'!$B$31+'Inputs'!$B$32,'Inputs'!$B$30+'Inputs'!$B$31+'Inputs'!$B$32)/1000+'Inputs'!$B$21)+'Inputs'!$B$9)^2+('Inputs'!$B$8/2)^2)-(((510-43)*MAX('Inputs'!$B$33,'Inputs'!$B$29+'Inputs'!$B$31+'Inputs'!$B$32,'Inputs'!$B$30+'Inputs'!$B$31+'Inputs'!$B$32)/1000+'Inputs'!$B$21))/SQRT((((510-43)*MAX('Inputs'!$B$33,'Inputs'!$B$29+'Inputs'!$B$31+'Inputs'!$B$32,'Inputs'!$B$30+'Inputs'!$B$31+'Inputs'!$B$32)/1000+'Inputs'!$B$21))^2+('Inputs'!$B$8/2)^2)))-'Results'!B7*(1+'Inputs'!$B$24)*(0.5*((((510-43)*MAX('Inputs'!$B$33,'Inputs'!$B$29+'Inputs'!$B$31+'Inputs'!$B$32,'Inputs'!$B$30+'Inputs'!$B$31+'Inputs'!$B$32)/1000+'Inputs'!$B$21+'Inputs'!$B$9+'Inputs'!$B$10)+'Inputs'!$B$7)/SQRT((((510-43)*MAX('Inputs'!$B$33,'Inputs'!$B$29+'Inputs'!$B$31+'Inputs'!$B$32,'Inputs'!$B$30+'Inputs'!$B$31+'Inputs'!$B$32)/1000+'Inputs'!$B$21+'Inputs'!$B$9+'Inputs'!$B$10)+'Inputs'!$B$7)^2+('Inputs'!$B$6/2)^2)-(((510-43)*MAX('Inputs'!$B$33,'Inputs'!$B$29+'Inputs'!$B$31+'Inputs'!$B$32,'Inputs'!$B$30+'Inputs'!$B$31+'Inputs'!$B$32)/1000+'Inputs'!$B$21+'Inputs'!$B$9+'Inputs'!$B$10))/SQRT((((510-43)*MAX('Inputs'!$B$33,'Inputs'!$B$29+'Inputs'!$B$31+'Inputs'!$B$32,'Inputs'!$B$30+'Inputs'!$B$31+'Inputs'!$B$32)/1000+'Inputs'!$B$21+'Inputs'!$B$9+'Inputs'!$B$10))^2+('Inputs'!$B$6/2)^2))))*'Results'!$B$8)-'Inputs'!$B$28*ABS((('Results'!C7*(1-'Inputs'!$B$24)*(0.5*((((510-43)*MAX('Inputs'!$B$33,'Inputs'!$B$29+'Inputs'!$B$31+'Inputs'!$B$32,'Inputs'!$B$30+'Inputs'!$B$31+'Inputs'!$B$32)/1000+'Inputs'!$B$21)+'Inputs'!$B$9)/SQRT((((510-43)*MAX('Inputs'!$B$33,'Inputs'!$B$29+'Inputs'!$B$31+'Inputs'!$B$32,'Inputs'!$B$30+'Inputs'!$B$31+'Inputs'!$B$32)/1000+'Inputs'!$B$21)+'Inputs'!$B$9)^2+('Inputs'!$B$8/2)^2)-(((510-43)*MAX('Inputs'!$B$33,'Inputs'!$B$29+'Inputs'!$B$31+'Inputs'!$B$32,'Inputs'!$B$30+'Inputs'!$B$31+'Inputs'!$B$32)/1000+'Inputs'!$B$21))/SQRT((((510-43)*MAX('Inputs'!$B$33,'Inputs'!$B$29+'Inputs'!$B$31+'Inputs'!$B$32,'Inputs'!$B$30+'Inputs'!$B$31+'Inputs'!$B$32)/1000+'Inputs'!$B$21))^2+('Inputs'!$B$8/2)^2)))-'Results'!B7*(1+'Inputs'!$B$24)*(0.5*((((510-43)*MAX('Inputs'!$B$33,'Inputs'!$B$29+'Inputs'!$B$31+'Inputs'!$B$32,'Inputs'!$B$30+'Inputs'!$B$31+'Inputs'!$B$32)/1000+'Inputs'!$B$21+'Inputs'!$B$9+'Inputs'!$B$10)+'Inputs'!$B$7)/SQRT((((510-43)*MAX('Inputs'!$B$33,'Inputs'!$B$29+'Inputs'!$B$31+'Inputs'!$B$32,'Inputs'!$B$30+'Inputs'!$B$31+'Inputs'!$B$32)/1000+'Inputs'!$B$21+'Inputs'!$B$9+'Inputs'!$B$10)+'Inputs'!$B$7)^2+('Inputs'!$B$6/2)^2)-(((510-43)*MAX('Inputs'!$B$33,'Inputs'!$B$29+'Inputs'!$B$31+'Inputs'!$B$32,'Inputs'!$B$30+'Inputs'!$B$31+'Inputs'!$B$32)/1000+'Inputs'!$B$21+'Inputs'!$B$9+'Inputs'!$B$10))/SQRT((((510-43)*MAX('Inputs'!$B$33,'Inputs'!$B$29+'Inputs'!$B$31+'Inputs'!$B$32,'Inputs'!$B$30+'Inputs'!$B$31+'Inputs'!$B$32)/1000+'Inputs'!$B$21+'Inputs'!$B$9+'Inputs'!$B$10))^2+('Inputs'!$B$6/2)^2))))*'Results'!$B$8))),"")</x:f>
        <x:v>4.362630146772748</x:v>
      </x:c>
      <x:c r="O510" t="n">
        <x:f>IF(AND(ISNUMBER('Results'!C7),ISNUMBER('Results'!B7),ISNUMBER('Results'!$B$8),ISNUMBER('Inputs'!$B$6),ISNUMBER('Inputs'!$B$7),ISNUMBER('Inputs'!$B$8),ISNUMBER('Inputs'!$B$9),ISNUMBER('Inputs'!$B$10),ISNUMBER('Inputs'!$B$21),ISNUMBER('Inputs'!$B$24),ISNUMBER('Inputs'!$B$28)),((('Results'!C7*(1+'Inputs'!$B$24)*(0.5*((((510-43)*MAX('Inputs'!$B$33,'Inputs'!$B$29+'Inputs'!$B$31+'Inputs'!$B$32,'Inputs'!$B$30+'Inputs'!$B$31+'Inputs'!$B$32)/1000+'Inputs'!$B$21)+'Inputs'!$B$9)/SQRT((((510-43)*MAX('Inputs'!$B$33,'Inputs'!$B$29+'Inputs'!$B$31+'Inputs'!$B$32,'Inputs'!$B$30+'Inputs'!$B$31+'Inputs'!$B$32)/1000+'Inputs'!$B$21)+'Inputs'!$B$9)^2+('Inputs'!$B$8/2)^2)-(((510-43)*MAX('Inputs'!$B$33,'Inputs'!$B$29+'Inputs'!$B$31+'Inputs'!$B$32,'Inputs'!$B$30+'Inputs'!$B$31+'Inputs'!$B$32)/1000+'Inputs'!$B$21))/SQRT((((510-43)*MAX('Inputs'!$B$33,'Inputs'!$B$29+'Inputs'!$B$31+'Inputs'!$B$32,'Inputs'!$B$30+'Inputs'!$B$31+'Inputs'!$B$32)/1000+'Inputs'!$B$21))^2+('Inputs'!$B$8/2)^2)))-'Results'!B7*(1-'Inputs'!$B$24)*(0.5*((((510-43)*MAX('Inputs'!$B$33,'Inputs'!$B$29+'Inputs'!$B$31+'Inputs'!$B$32,'Inputs'!$B$30+'Inputs'!$B$31+'Inputs'!$B$32)/1000+'Inputs'!$B$21+'Inputs'!$B$9+'Inputs'!$B$10)+'Inputs'!$B$7)/SQRT((((510-43)*MAX('Inputs'!$B$33,'Inputs'!$B$29+'Inputs'!$B$31+'Inputs'!$B$32,'Inputs'!$B$30+'Inputs'!$B$31+'Inputs'!$B$32)/1000+'Inputs'!$B$21+'Inputs'!$B$9+'Inputs'!$B$10)+'Inputs'!$B$7)^2+('Inputs'!$B$6/2)^2)-(((510-43)*MAX('Inputs'!$B$33,'Inputs'!$B$29+'Inputs'!$B$31+'Inputs'!$B$32,'Inputs'!$B$30+'Inputs'!$B$31+'Inputs'!$B$32)/1000+'Inputs'!$B$21+'Inputs'!$B$9+'Inputs'!$B$10))/SQRT((((510-43)*MAX('Inputs'!$B$33,'Inputs'!$B$29+'Inputs'!$B$31+'Inputs'!$B$32,'Inputs'!$B$30+'Inputs'!$B$31+'Inputs'!$B$32)/1000+'Inputs'!$B$21+'Inputs'!$B$9+'Inputs'!$B$10))^2+('Inputs'!$B$6/2)^2))))*'Results'!$B$8)+'Inputs'!$B$28*ABS((('Results'!C7*(1+'Inputs'!$B$24)*(0.5*((((510-43)*MAX('Inputs'!$B$33,'Inputs'!$B$29+'Inputs'!$B$31+'Inputs'!$B$32,'Inputs'!$B$30+'Inputs'!$B$31+'Inputs'!$B$32)/1000+'Inputs'!$B$21)+'Inputs'!$B$9)/SQRT((((510-43)*MAX('Inputs'!$B$33,'Inputs'!$B$29+'Inputs'!$B$31+'Inputs'!$B$32,'Inputs'!$B$30+'Inputs'!$B$31+'Inputs'!$B$32)/1000+'Inputs'!$B$21)+'Inputs'!$B$9)^2+('Inputs'!$B$8/2)^2)-(((510-43)*MAX('Inputs'!$B$33,'Inputs'!$B$29+'Inputs'!$B$31+'Inputs'!$B$32,'Inputs'!$B$30+'Inputs'!$B$31+'Inputs'!$B$32)/1000+'Inputs'!$B$21))/SQRT((((510-43)*MAX('Inputs'!$B$33,'Inputs'!$B$29+'Inputs'!$B$31+'Inputs'!$B$32,'Inputs'!$B$30+'Inputs'!$B$31+'Inputs'!$B$32)/1000+'Inputs'!$B$21))^2+('Inputs'!$B$8/2)^2)))-'Results'!B7*(1-'Inputs'!$B$24)*(0.5*((((510-43)*MAX('Inputs'!$B$33,'Inputs'!$B$29+'Inputs'!$B$31+'Inputs'!$B$32,'Inputs'!$B$30+'Inputs'!$B$31+'Inputs'!$B$32)/1000+'Inputs'!$B$21+'Inputs'!$B$9+'Inputs'!$B$10)+'Inputs'!$B$7)/SQRT((((510-43)*MAX('Inputs'!$B$33,'Inputs'!$B$29+'Inputs'!$B$31+'Inputs'!$B$32,'Inputs'!$B$30+'Inputs'!$B$31+'Inputs'!$B$32)/1000+'Inputs'!$B$21+'Inputs'!$B$9+'Inputs'!$B$10)+'Inputs'!$B$7)^2+('Inputs'!$B$6/2)^2)-(((510-43)*MAX('Inputs'!$B$33,'Inputs'!$B$29+'Inputs'!$B$31+'Inputs'!$B$32,'Inputs'!$B$30+'Inputs'!$B$31+'Inputs'!$B$32)/1000+'Inputs'!$B$21+'Inputs'!$B$9+'Inputs'!$B$10))/SQRT((((510-43)*MAX('Inputs'!$B$33,'Inputs'!$B$29+'Inputs'!$B$31+'Inputs'!$B$32,'Inputs'!$B$30+'Inputs'!$B$31+'Inputs'!$B$32)/1000+'Inputs'!$B$21+'Inputs'!$B$9+'Inputs'!$B$10))^2+('Inputs'!$B$6/2)^2))))*'Results'!$B$8))),"")</x:f>
        <x:v>5.530377350086025</x:v>
      </x:c>
      <x:c r="P510" t="n">
        <x:f>IF(AND(MAX(J510,J509)&gt;0,J510&gt;J509+0.00000001),1,0)</x:f>
        <x:v>0</x:v>
      </x:c>
      <x:c r="Q510" t="n">
        <x:f>IF(AND(MAX(K510,K509)&gt;0,K510&gt;K509+0.00000001),1,0)</x:f>
        <x:v>0</x:v>
      </x:c>
      <x:c r="R510" t="n">
        <x:f>IF(AND(MAX(L510,L509)&gt;0,L510&gt;L509+0.00000001),1,0)</x:f>
        <x:v>0</x:v>
      </x:c>
      <x:c r="S510" t="n">
        <x:f>IF(AND(MAX(M510,M509)&gt;0,M510&gt;M509+0.00000001),1,0)</x:f>
        <x:v>0</x:v>
      </x:c>
      <x:c r="T510" t="n">
        <x:f>IF(AND(MAX(N510,N509)&gt;0,N510&gt;N509+0.00000001),1,0)</x:f>
        <x:v>0</x:v>
      </x:c>
      <x:c r="U510" t="n">
        <x:f>IF(AND(MAX(O510,O509)&gt;0,O510&gt;O509+0.00000001),1,0)</x:f>
        <x:v>0</x:v>
      </x:c>
    </x:row>
    <x:row r="511">
      <x:c r="J511" t="n">
        <x:f>IF(AND(ISNUMBER('Results'!B7),ISNUMBER('Results'!C7),ISNUMBER('Results'!$B$8),ISNUMBER('Inputs'!$B$6),ISNUMBER('Inputs'!$B$7),ISNUMBER('Inputs'!$B$8),ISNUMBER('Inputs'!$B$9),ISNUMBER('Inputs'!$B$10),ISNUMBER('Inputs'!$B$21),ISNUMBER('Inputs'!$B$24),ISNUMBER('Inputs'!$B$28)),(('Results'!B7*(0.5*((((511-43)*MAX('Inputs'!$B$33,'Inputs'!$B$29+'Inputs'!$B$31+'Inputs'!$B$32,'Inputs'!$B$30+'Inputs'!$B$31+'Inputs'!$B$32)/1000+'Inputs'!$B$21)+'Inputs'!$B$7)/SQRT((((511-43)*MAX('Inputs'!$B$33,'Inputs'!$B$29+'Inputs'!$B$31+'Inputs'!$B$32,'Inputs'!$B$30+'Inputs'!$B$31+'Inputs'!$B$32)/1000+'Inputs'!$B$21)+'Inputs'!$B$7)^2+('Inputs'!$B$6/2)^2)-(((511-43)*MAX('Inputs'!$B$33,'Inputs'!$B$29+'Inputs'!$B$31+'Inputs'!$B$32,'Inputs'!$B$30+'Inputs'!$B$31+'Inputs'!$B$32)/1000+'Inputs'!$B$21))/SQRT((((511-43)*MAX('Inputs'!$B$33,'Inputs'!$B$29+'Inputs'!$B$31+'Inputs'!$B$32,'Inputs'!$B$30+'Inputs'!$B$31+'Inputs'!$B$32)/1000+'Inputs'!$B$21))^2+('Inputs'!$B$6/2)^2)))-'Results'!C7*(0.5*((((511-43)*MAX('Inputs'!$B$33,'Inputs'!$B$29+'Inputs'!$B$31+'Inputs'!$B$32,'Inputs'!$B$30+'Inputs'!$B$31+'Inputs'!$B$32)/1000+'Inputs'!$B$21+'Inputs'!$B$7+'Inputs'!$B$10)+'Inputs'!$B$9)/SQRT((((511-43)*MAX('Inputs'!$B$33,'Inputs'!$B$29+'Inputs'!$B$31+'Inputs'!$B$32,'Inputs'!$B$30+'Inputs'!$B$31+'Inputs'!$B$32)/1000+'Inputs'!$B$21+'Inputs'!$B$7+'Inputs'!$B$10)+'Inputs'!$B$9)^2+('Inputs'!$B$8/2)^2)-(((511-43)*MAX('Inputs'!$B$33,'Inputs'!$B$29+'Inputs'!$B$31+'Inputs'!$B$32,'Inputs'!$B$30+'Inputs'!$B$31+'Inputs'!$B$32)/1000+'Inputs'!$B$21+'Inputs'!$B$7+'Inputs'!$B$10))/SQRT((((511-43)*MAX('Inputs'!$B$33,'Inputs'!$B$29+'Inputs'!$B$31+'Inputs'!$B$32,'Inputs'!$B$30+'Inputs'!$B$31+'Inputs'!$B$32)/1000+'Inputs'!$B$21+'Inputs'!$B$7+'Inputs'!$B$10))^2+('Inputs'!$B$8/2)^2))))*'Results'!$B$8),"")</x:f>
        <x:v>5.233469536709303</x:v>
      </x:c>
      <x:c r="K511" t="n">
        <x:f>IF(AND(ISNUMBER('Results'!B7),ISNUMBER('Results'!C7),ISNUMBER('Results'!$B$8),ISNUMBER('Inputs'!$B$6),ISNUMBER('Inputs'!$B$7),ISNUMBER('Inputs'!$B$8),ISNUMBER('Inputs'!$B$9),ISNUMBER('Inputs'!$B$10),ISNUMBER('Inputs'!$B$21),ISNUMBER('Inputs'!$B$24),ISNUMBER('Inputs'!$B$28)),((('Results'!B7*(1-'Inputs'!$B$24)*(0.5*((((511-43)*MAX('Inputs'!$B$33,'Inputs'!$B$29+'Inputs'!$B$31+'Inputs'!$B$32,'Inputs'!$B$30+'Inputs'!$B$31+'Inputs'!$B$32)/1000+'Inputs'!$B$21)+'Inputs'!$B$7)/SQRT((((511-43)*MAX('Inputs'!$B$33,'Inputs'!$B$29+'Inputs'!$B$31+'Inputs'!$B$32,'Inputs'!$B$30+'Inputs'!$B$31+'Inputs'!$B$32)/1000+'Inputs'!$B$21)+'Inputs'!$B$7)^2+('Inputs'!$B$6/2)^2)-(((511-43)*MAX('Inputs'!$B$33,'Inputs'!$B$29+'Inputs'!$B$31+'Inputs'!$B$32,'Inputs'!$B$30+'Inputs'!$B$31+'Inputs'!$B$32)/1000+'Inputs'!$B$21))/SQRT((((511-43)*MAX('Inputs'!$B$33,'Inputs'!$B$29+'Inputs'!$B$31+'Inputs'!$B$32,'Inputs'!$B$30+'Inputs'!$B$31+'Inputs'!$B$32)/1000+'Inputs'!$B$21))^2+('Inputs'!$B$6/2)^2)))-'Results'!C7*(1+'Inputs'!$B$24)*(0.5*((((511-43)*MAX('Inputs'!$B$33,'Inputs'!$B$29+'Inputs'!$B$31+'Inputs'!$B$32,'Inputs'!$B$30+'Inputs'!$B$31+'Inputs'!$B$32)/1000+'Inputs'!$B$21+'Inputs'!$B$7+'Inputs'!$B$10)+'Inputs'!$B$9)/SQRT((((511-43)*MAX('Inputs'!$B$33,'Inputs'!$B$29+'Inputs'!$B$31+'Inputs'!$B$32,'Inputs'!$B$30+'Inputs'!$B$31+'Inputs'!$B$32)/1000+'Inputs'!$B$21+'Inputs'!$B$7+'Inputs'!$B$10)+'Inputs'!$B$9)^2+('Inputs'!$B$8/2)^2)-(((511-43)*MAX('Inputs'!$B$33,'Inputs'!$B$29+'Inputs'!$B$31+'Inputs'!$B$32,'Inputs'!$B$30+'Inputs'!$B$31+'Inputs'!$B$32)/1000+'Inputs'!$B$21+'Inputs'!$B$7+'Inputs'!$B$10))/SQRT((((511-43)*MAX('Inputs'!$B$33,'Inputs'!$B$29+'Inputs'!$B$31+'Inputs'!$B$32,'Inputs'!$B$30+'Inputs'!$B$31+'Inputs'!$B$32)/1000+'Inputs'!$B$21+'Inputs'!$B$7+'Inputs'!$B$10))^2+('Inputs'!$B$8/2)^2))))*'Results'!$B$8)-'Inputs'!$B$28*ABS((('Results'!B7*(1-'Inputs'!$B$24)*(0.5*((((511-43)*MAX('Inputs'!$B$33,'Inputs'!$B$29+'Inputs'!$B$31+'Inputs'!$B$32,'Inputs'!$B$30+'Inputs'!$B$31+'Inputs'!$B$32)/1000+'Inputs'!$B$21)+'Inputs'!$B$7)/SQRT((((511-43)*MAX('Inputs'!$B$33,'Inputs'!$B$29+'Inputs'!$B$31+'Inputs'!$B$32,'Inputs'!$B$30+'Inputs'!$B$31+'Inputs'!$B$32)/1000+'Inputs'!$B$21)+'Inputs'!$B$7)^2+('Inputs'!$B$6/2)^2)-(((511-43)*MAX('Inputs'!$B$33,'Inputs'!$B$29+'Inputs'!$B$31+'Inputs'!$B$32,'Inputs'!$B$30+'Inputs'!$B$31+'Inputs'!$B$32)/1000+'Inputs'!$B$21))/SQRT((((511-43)*MAX('Inputs'!$B$33,'Inputs'!$B$29+'Inputs'!$B$31+'Inputs'!$B$32,'Inputs'!$B$30+'Inputs'!$B$31+'Inputs'!$B$32)/1000+'Inputs'!$B$21))^2+('Inputs'!$B$6/2)^2)))-'Results'!C7*(1+'Inputs'!$B$24)*(0.5*((((511-43)*MAX('Inputs'!$B$33,'Inputs'!$B$29+'Inputs'!$B$31+'Inputs'!$B$32,'Inputs'!$B$30+'Inputs'!$B$31+'Inputs'!$B$32)/1000+'Inputs'!$B$21+'Inputs'!$B$7+'Inputs'!$B$10)+'Inputs'!$B$9)/SQRT((((511-43)*MAX('Inputs'!$B$33,'Inputs'!$B$29+'Inputs'!$B$31+'Inputs'!$B$32,'Inputs'!$B$30+'Inputs'!$B$31+'Inputs'!$B$32)/1000+'Inputs'!$B$21+'Inputs'!$B$7+'Inputs'!$B$10)+'Inputs'!$B$9)^2+('Inputs'!$B$8/2)^2)-(((511-43)*MAX('Inputs'!$B$33,'Inputs'!$B$29+'Inputs'!$B$31+'Inputs'!$B$32,'Inputs'!$B$30+'Inputs'!$B$31+'Inputs'!$B$32)/1000+'Inputs'!$B$21+'Inputs'!$B$7+'Inputs'!$B$10))/SQRT((((511-43)*MAX('Inputs'!$B$33,'Inputs'!$B$29+'Inputs'!$B$31+'Inputs'!$B$32,'Inputs'!$B$30+'Inputs'!$B$31+'Inputs'!$B$32)/1000+'Inputs'!$B$21+'Inputs'!$B$7+'Inputs'!$B$10))^2+('Inputs'!$B$8/2)^2))))*'Results'!$B$8))),"")</x:f>
        <x:v>4.651125820207838</x:v>
      </x:c>
      <x:c r="L511" t="n">
        <x:f>IF(AND(ISNUMBER('Results'!B7),ISNUMBER('Results'!C7),ISNUMBER('Results'!$B$8),ISNUMBER('Inputs'!$B$6),ISNUMBER('Inputs'!$B$7),ISNUMBER('Inputs'!$B$8),ISNUMBER('Inputs'!$B$9),ISNUMBER('Inputs'!$B$10),ISNUMBER('Inputs'!$B$21),ISNUMBER('Inputs'!$B$24),ISNUMBER('Inputs'!$B$28)),((('Results'!B7*(1+'Inputs'!$B$24)*(0.5*((((511-43)*MAX('Inputs'!$B$33,'Inputs'!$B$29+'Inputs'!$B$31+'Inputs'!$B$32,'Inputs'!$B$30+'Inputs'!$B$31+'Inputs'!$B$32)/1000+'Inputs'!$B$21)+'Inputs'!$B$7)/SQRT((((511-43)*MAX('Inputs'!$B$33,'Inputs'!$B$29+'Inputs'!$B$31+'Inputs'!$B$32,'Inputs'!$B$30+'Inputs'!$B$31+'Inputs'!$B$32)/1000+'Inputs'!$B$21)+'Inputs'!$B$7)^2+('Inputs'!$B$6/2)^2)-(((511-43)*MAX('Inputs'!$B$33,'Inputs'!$B$29+'Inputs'!$B$31+'Inputs'!$B$32,'Inputs'!$B$30+'Inputs'!$B$31+'Inputs'!$B$32)/1000+'Inputs'!$B$21))/SQRT((((511-43)*MAX('Inputs'!$B$33,'Inputs'!$B$29+'Inputs'!$B$31+'Inputs'!$B$32,'Inputs'!$B$30+'Inputs'!$B$31+'Inputs'!$B$32)/1000+'Inputs'!$B$21))^2+('Inputs'!$B$6/2)^2)))-'Results'!C7*(1-'Inputs'!$B$24)*(0.5*((((511-43)*MAX('Inputs'!$B$33,'Inputs'!$B$29+'Inputs'!$B$31+'Inputs'!$B$32,'Inputs'!$B$30+'Inputs'!$B$31+'Inputs'!$B$32)/1000+'Inputs'!$B$21+'Inputs'!$B$7+'Inputs'!$B$10)+'Inputs'!$B$9)/SQRT((((511-43)*MAX('Inputs'!$B$33,'Inputs'!$B$29+'Inputs'!$B$31+'Inputs'!$B$32,'Inputs'!$B$30+'Inputs'!$B$31+'Inputs'!$B$32)/1000+'Inputs'!$B$21+'Inputs'!$B$7+'Inputs'!$B$10)+'Inputs'!$B$9)^2+('Inputs'!$B$8/2)^2)-(((511-43)*MAX('Inputs'!$B$33,'Inputs'!$B$29+'Inputs'!$B$31+'Inputs'!$B$32,'Inputs'!$B$30+'Inputs'!$B$31+'Inputs'!$B$32)/1000+'Inputs'!$B$21+'Inputs'!$B$7+'Inputs'!$B$10))/SQRT((((511-43)*MAX('Inputs'!$B$33,'Inputs'!$B$29+'Inputs'!$B$31+'Inputs'!$B$32,'Inputs'!$B$30+'Inputs'!$B$31+'Inputs'!$B$32)/1000+'Inputs'!$B$21+'Inputs'!$B$7+'Inputs'!$B$10))^2+('Inputs'!$B$8/2)^2))))*'Results'!$B$8)+'Inputs'!$B$28*ABS((('Results'!B7*(1+'Inputs'!$B$24)*(0.5*((((511-43)*MAX('Inputs'!$B$33,'Inputs'!$B$29+'Inputs'!$B$31+'Inputs'!$B$32,'Inputs'!$B$30+'Inputs'!$B$31+'Inputs'!$B$32)/1000+'Inputs'!$B$21)+'Inputs'!$B$7)/SQRT((((511-43)*MAX('Inputs'!$B$33,'Inputs'!$B$29+'Inputs'!$B$31+'Inputs'!$B$32,'Inputs'!$B$30+'Inputs'!$B$31+'Inputs'!$B$32)/1000+'Inputs'!$B$21)+'Inputs'!$B$7)^2+('Inputs'!$B$6/2)^2)-(((511-43)*MAX('Inputs'!$B$33,'Inputs'!$B$29+'Inputs'!$B$31+'Inputs'!$B$32,'Inputs'!$B$30+'Inputs'!$B$31+'Inputs'!$B$32)/1000+'Inputs'!$B$21))/SQRT((((511-43)*MAX('Inputs'!$B$33,'Inputs'!$B$29+'Inputs'!$B$31+'Inputs'!$B$32,'Inputs'!$B$30+'Inputs'!$B$31+'Inputs'!$B$32)/1000+'Inputs'!$B$21))^2+('Inputs'!$B$6/2)^2)))-'Results'!C7*(1-'Inputs'!$B$24)*(0.5*((((511-43)*MAX('Inputs'!$B$33,'Inputs'!$B$29+'Inputs'!$B$31+'Inputs'!$B$32,'Inputs'!$B$30+'Inputs'!$B$31+'Inputs'!$B$32)/1000+'Inputs'!$B$21+'Inputs'!$B$7+'Inputs'!$B$10)+'Inputs'!$B$9)/SQRT((((511-43)*MAX('Inputs'!$B$33,'Inputs'!$B$29+'Inputs'!$B$31+'Inputs'!$B$32,'Inputs'!$B$30+'Inputs'!$B$31+'Inputs'!$B$32)/1000+'Inputs'!$B$21+'Inputs'!$B$7+'Inputs'!$B$10)+'Inputs'!$B$9)^2+('Inputs'!$B$8/2)^2)-(((511-43)*MAX('Inputs'!$B$33,'Inputs'!$B$29+'Inputs'!$B$31+'Inputs'!$B$32,'Inputs'!$B$30+'Inputs'!$B$31+'Inputs'!$B$32)/1000+'Inputs'!$B$21+'Inputs'!$B$7+'Inputs'!$B$10))/SQRT((((511-43)*MAX('Inputs'!$B$33,'Inputs'!$B$29+'Inputs'!$B$31+'Inputs'!$B$32,'Inputs'!$B$30+'Inputs'!$B$31+'Inputs'!$B$32)/1000+'Inputs'!$B$21+'Inputs'!$B$7+'Inputs'!$B$10))^2+('Inputs'!$B$8/2)^2))))*'Results'!$B$8))),"")</x:f>
        <x:v>5.849568015280872</x:v>
      </x:c>
      <x:c r="M511" t="n">
        <x:f>IF(AND(ISNUMBER('Results'!C7),ISNUMBER('Results'!B7),ISNUMBER('Results'!$B$8),ISNUMBER('Inputs'!$B$6),ISNUMBER('Inputs'!$B$7),ISNUMBER('Inputs'!$B$8),ISNUMBER('Inputs'!$B$9),ISNUMBER('Inputs'!$B$10),ISNUMBER('Inputs'!$B$21),ISNUMBER('Inputs'!$B$24),ISNUMBER('Inputs'!$B$28)),(('Results'!C7*(0.5*((((511-43)*MAX('Inputs'!$B$33,'Inputs'!$B$29+'Inputs'!$B$31+'Inputs'!$B$32,'Inputs'!$B$30+'Inputs'!$B$31+'Inputs'!$B$32)/1000+'Inputs'!$B$21)+'Inputs'!$B$9)/SQRT((((511-43)*MAX('Inputs'!$B$33,'Inputs'!$B$29+'Inputs'!$B$31+'Inputs'!$B$32,'Inputs'!$B$30+'Inputs'!$B$31+'Inputs'!$B$32)/1000+'Inputs'!$B$21)+'Inputs'!$B$9)^2+('Inputs'!$B$8/2)^2)-(((511-43)*MAX('Inputs'!$B$33,'Inputs'!$B$29+'Inputs'!$B$31+'Inputs'!$B$32,'Inputs'!$B$30+'Inputs'!$B$31+'Inputs'!$B$32)/1000+'Inputs'!$B$21))/SQRT((((511-43)*MAX('Inputs'!$B$33,'Inputs'!$B$29+'Inputs'!$B$31+'Inputs'!$B$32,'Inputs'!$B$30+'Inputs'!$B$31+'Inputs'!$B$32)/1000+'Inputs'!$B$21))^2+('Inputs'!$B$8/2)^2)))-'Results'!B7*(0.5*((((511-43)*MAX('Inputs'!$B$33,'Inputs'!$B$29+'Inputs'!$B$31+'Inputs'!$B$32,'Inputs'!$B$30+'Inputs'!$B$31+'Inputs'!$B$32)/1000+'Inputs'!$B$21+'Inputs'!$B$9+'Inputs'!$B$10)+'Inputs'!$B$7)/SQRT((((511-43)*MAX('Inputs'!$B$33,'Inputs'!$B$29+'Inputs'!$B$31+'Inputs'!$B$32,'Inputs'!$B$30+'Inputs'!$B$31+'Inputs'!$B$32)/1000+'Inputs'!$B$21+'Inputs'!$B$9+'Inputs'!$B$10)+'Inputs'!$B$7)^2+('Inputs'!$B$6/2)^2)-(((511-43)*MAX('Inputs'!$B$33,'Inputs'!$B$29+'Inputs'!$B$31+'Inputs'!$B$32,'Inputs'!$B$30+'Inputs'!$B$31+'Inputs'!$B$32)/1000+'Inputs'!$B$21+'Inputs'!$B$9+'Inputs'!$B$10))/SQRT((((511-43)*MAX('Inputs'!$B$33,'Inputs'!$B$29+'Inputs'!$B$31+'Inputs'!$B$32,'Inputs'!$B$30+'Inputs'!$B$31+'Inputs'!$B$32)/1000+'Inputs'!$B$21+'Inputs'!$B$9+'Inputs'!$B$10))^2+('Inputs'!$B$6/2)^2))))*'Results'!$B$8),"")</x:f>
        <x:v>4.893545607539201</x:v>
      </x:c>
      <x:c r="N511" t="n">
        <x:f>IF(AND(ISNUMBER('Results'!C7),ISNUMBER('Results'!B7),ISNUMBER('Results'!$B$8),ISNUMBER('Inputs'!$B$6),ISNUMBER('Inputs'!$B$7),ISNUMBER('Inputs'!$B$8),ISNUMBER('Inputs'!$B$9),ISNUMBER('Inputs'!$B$10),ISNUMBER('Inputs'!$B$21),ISNUMBER('Inputs'!$B$24),ISNUMBER('Inputs'!$B$28)),((('Results'!C7*(1-'Inputs'!$B$24)*(0.5*((((511-43)*MAX('Inputs'!$B$33,'Inputs'!$B$29+'Inputs'!$B$31+'Inputs'!$B$32,'Inputs'!$B$30+'Inputs'!$B$31+'Inputs'!$B$32)/1000+'Inputs'!$B$21)+'Inputs'!$B$9)/SQRT((((511-43)*MAX('Inputs'!$B$33,'Inputs'!$B$29+'Inputs'!$B$31+'Inputs'!$B$32,'Inputs'!$B$30+'Inputs'!$B$31+'Inputs'!$B$32)/1000+'Inputs'!$B$21)+'Inputs'!$B$9)^2+('Inputs'!$B$8/2)^2)-(((511-43)*MAX('Inputs'!$B$33,'Inputs'!$B$29+'Inputs'!$B$31+'Inputs'!$B$32,'Inputs'!$B$30+'Inputs'!$B$31+'Inputs'!$B$32)/1000+'Inputs'!$B$21))/SQRT((((511-43)*MAX('Inputs'!$B$33,'Inputs'!$B$29+'Inputs'!$B$31+'Inputs'!$B$32,'Inputs'!$B$30+'Inputs'!$B$31+'Inputs'!$B$32)/1000+'Inputs'!$B$21))^2+('Inputs'!$B$8/2)^2)))-'Results'!B7*(1+'Inputs'!$B$24)*(0.5*((((511-43)*MAX('Inputs'!$B$33,'Inputs'!$B$29+'Inputs'!$B$31+'Inputs'!$B$32,'Inputs'!$B$30+'Inputs'!$B$31+'Inputs'!$B$32)/1000+'Inputs'!$B$21+'Inputs'!$B$9+'Inputs'!$B$10)+'Inputs'!$B$7)/SQRT((((511-43)*MAX('Inputs'!$B$33,'Inputs'!$B$29+'Inputs'!$B$31+'Inputs'!$B$32,'Inputs'!$B$30+'Inputs'!$B$31+'Inputs'!$B$32)/1000+'Inputs'!$B$21+'Inputs'!$B$9+'Inputs'!$B$10)+'Inputs'!$B$7)^2+('Inputs'!$B$6/2)^2)-(((511-43)*MAX('Inputs'!$B$33,'Inputs'!$B$29+'Inputs'!$B$31+'Inputs'!$B$32,'Inputs'!$B$30+'Inputs'!$B$31+'Inputs'!$B$32)/1000+'Inputs'!$B$21+'Inputs'!$B$9+'Inputs'!$B$10))/SQRT((((511-43)*MAX('Inputs'!$B$33,'Inputs'!$B$29+'Inputs'!$B$31+'Inputs'!$B$32,'Inputs'!$B$30+'Inputs'!$B$31+'Inputs'!$B$32)/1000+'Inputs'!$B$21+'Inputs'!$B$9+'Inputs'!$B$10))^2+('Inputs'!$B$6/2)^2))))*'Results'!$B$8)-'Inputs'!$B$28*ABS((('Results'!C7*(1-'Inputs'!$B$24)*(0.5*((((511-43)*MAX('Inputs'!$B$33,'Inputs'!$B$29+'Inputs'!$B$31+'Inputs'!$B$32,'Inputs'!$B$30+'Inputs'!$B$31+'Inputs'!$B$32)/1000+'Inputs'!$B$21)+'Inputs'!$B$9)/SQRT((((511-43)*MAX('Inputs'!$B$33,'Inputs'!$B$29+'Inputs'!$B$31+'Inputs'!$B$32,'Inputs'!$B$30+'Inputs'!$B$31+'Inputs'!$B$32)/1000+'Inputs'!$B$21)+'Inputs'!$B$9)^2+('Inputs'!$B$8/2)^2)-(((511-43)*MAX('Inputs'!$B$33,'Inputs'!$B$29+'Inputs'!$B$31+'Inputs'!$B$32,'Inputs'!$B$30+'Inputs'!$B$31+'Inputs'!$B$32)/1000+'Inputs'!$B$21))/SQRT((((511-43)*MAX('Inputs'!$B$33,'Inputs'!$B$29+'Inputs'!$B$31+'Inputs'!$B$32,'Inputs'!$B$30+'Inputs'!$B$31+'Inputs'!$B$32)/1000+'Inputs'!$B$21))^2+('Inputs'!$B$8/2)^2)))-'Results'!B7*(1+'Inputs'!$B$24)*(0.5*((((511-43)*MAX('Inputs'!$B$33,'Inputs'!$B$29+'Inputs'!$B$31+'Inputs'!$B$32,'Inputs'!$B$30+'Inputs'!$B$31+'Inputs'!$B$32)/1000+'Inputs'!$B$21+'Inputs'!$B$9+'Inputs'!$B$10)+'Inputs'!$B$7)/SQRT((((511-43)*MAX('Inputs'!$B$33,'Inputs'!$B$29+'Inputs'!$B$31+'Inputs'!$B$32,'Inputs'!$B$30+'Inputs'!$B$31+'Inputs'!$B$32)/1000+'Inputs'!$B$21+'Inputs'!$B$9+'Inputs'!$B$10)+'Inputs'!$B$7)^2+('Inputs'!$B$6/2)^2)-(((511-43)*MAX('Inputs'!$B$33,'Inputs'!$B$29+'Inputs'!$B$31+'Inputs'!$B$32,'Inputs'!$B$30+'Inputs'!$B$31+'Inputs'!$B$32)/1000+'Inputs'!$B$21+'Inputs'!$B$9+'Inputs'!$B$10))/SQRT((((511-43)*MAX('Inputs'!$B$33,'Inputs'!$B$29+'Inputs'!$B$31+'Inputs'!$B$32,'Inputs'!$B$30+'Inputs'!$B$31+'Inputs'!$B$32)/1000+'Inputs'!$B$21+'Inputs'!$B$9+'Inputs'!$B$10))^2+('Inputs'!$B$6/2)^2))))*'Results'!$B$8))),"")</x:f>
        <x:v>4.3301416560592765</x:v>
      </x:c>
      <x:c r="O511" t="n">
        <x:f>IF(AND(ISNUMBER('Results'!C7),ISNUMBER('Results'!B7),ISNUMBER('Results'!$B$8),ISNUMBER('Inputs'!$B$6),ISNUMBER('Inputs'!$B$7),ISNUMBER('Inputs'!$B$8),ISNUMBER('Inputs'!$B$9),ISNUMBER('Inputs'!$B$10),ISNUMBER('Inputs'!$B$21),ISNUMBER('Inputs'!$B$24),ISNUMBER('Inputs'!$B$28)),((('Results'!C7*(1+'Inputs'!$B$24)*(0.5*((((511-43)*MAX('Inputs'!$B$33,'Inputs'!$B$29+'Inputs'!$B$31+'Inputs'!$B$32,'Inputs'!$B$30+'Inputs'!$B$31+'Inputs'!$B$32)/1000+'Inputs'!$B$21)+'Inputs'!$B$9)/SQRT((((511-43)*MAX('Inputs'!$B$33,'Inputs'!$B$29+'Inputs'!$B$31+'Inputs'!$B$32,'Inputs'!$B$30+'Inputs'!$B$31+'Inputs'!$B$32)/1000+'Inputs'!$B$21)+'Inputs'!$B$9)^2+('Inputs'!$B$8/2)^2)-(((511-43)*MAX('Inputs'!$B$33,'Inputs'!$B$29+'Inputs'!$B$31+'Inputs'!$B$32,'Inputs'!$B$30+'Inputs'!$B$31+'Inputs'!$B$32)/1000+'Inputs'!$B$21))/SQRT((((511-43)*MAX('Inputs'!$B$33,'Inputs'!$B$29+'Inputs'!$B$31+'Inputs'!$B$32,'Inputs'!$B$30+'Inputs'!$B$31+'Inputs'!$B$32)/1000+'Inputs'!$B$21))^2+('Inputs'!$B$8/2)^2)))-'Results'!B7*(1-'Inputs'!$B$24)*(0.5*((((511-43)*MAX('Inputs'!$B$33,'Inputs'!$B$29+'Inputs'!$B$31+'Inputs'!$B$32,'Inputs'!$B$30+'Inputs'!$B$31+'Inputs'!$B$32)/1000+'Inputs'!$B$21+'Inputs'!$B$9+'Inputs'!$B$10)+'Inputs'!$B$7)/SQRT((((511-43)*MAX('Inputs'!$B$33,'Inputs'!$B$29+'Inputs'!$B$31+'Inputs'!$B$32,'Inputs'!$B$30+'Inputs'!$B$31+'Inputs'!$B$32)/1000+'Inputs'!$B$21+'Inputs'!$B$9+'Inputs'!$B$10)+'Inputs'!$B$7)^2+('Inputs'!$B$6/2)^2)-(((511-43)*MAX('Inputs'!$B$33,'Inputs'!$B$29+'Inputs'!$B$31+'Inputs'!$B$32,'Inputs'!$B$30+'Inputs'!$B$31+'Inputs'!$B$32)/1000+'Inputs'!$B$21+'Inputs'!$B$9+'Inputs'!$B$10))/SQRT((((511-43)*MAX('Inputs'!$B$33,'Inputs'!$B$29+'Inputs'!$B$31+'Inputs'!$B$32,'Inputs'!$B$30+'Inputs'!$B$31+'Inputs'!$B$32)/1000+'Inputs'!$B$21+'Inputs'!$B$9+'Inputs'!$B$10))^2+('Inputs'!$B$6/2)^2))))*'Results'!$B$8)+'Inputs'!$B$28*ABS((('Results'!C7*(1+'Inputs'!$B$24)*(0.5*((((511-43)*MAX('Inputs'!$B$33,'Inputs'!$B$29+'Inputs'!$B$31+'Inputs'!$B$32,'Inputs'!$B$30+'Inputs'!$B$31+'Inputs'!$B$32)/1000+'Inputs'!$B$21)+'Inputs'!$B$9)/SQRT((((511-43)*MAX('Inputs'!$B$33,'Inputs'!$B$29+'Inputs'!$B$31+'Inputs'!$B$32,'Inputs'!$B$30+'Inputs'!$B$31+'Inputs'!$B$32)/1000+'Inputs'!$B$21)+'Inputs'!$B$9)^2+('Inputs'!$B$8/2)^2)-(((511-43)*MAX('Inputs'!$B$33,'Inputs'!$B$29+'Inputs'!$B$31+'Inputs'!$B$32,'Inputs'!$B$30+'Inputs'!$B$31+'Inputs'!$B$32)/1000+'Inputs'!$B$21))/SQRT((((511-43)*MAX('Inputs'!$B$33,'Inputs'!$B$29+'Inputs'!$B$31+'Inputs'!$B$32,'Inputs'!$B$30+'Inputs'!$B$31+'Inputs'!$B$32)/1000+'Inputs'!$B$21))^2+('Inputs'!$B$8/2)^2)))-'Results'!B7*(1-'Inputs'!$B$24)*(0.5*((((511-43)*MAX('Inputs'!$B$33,'Inputs'!$B$29+'Inputs'!$B$31+'Inputs'!$B$32,'Inputs'!$B$30+'Inputs'!$B$31+'Inputs'!$B$32)/1000+'Inputs'!$B$21+'Inputs'!$B$9+'Inputs'!$B$10)+'Inputs'!$B$7)/SQRT((((511-43)*MAX('Inputs'!$B$33,'Inputs'!$B$29+'Inputs'!$B$31+'Inputs'!$B$32,'Inputs'!$B$30+'Inputs'!$B$31+'Inputs'!$B$32)/1000+'Inputs'!$B$21+'Inputs'!$B$9+'Inputs'!$B$10)+'Inputs'!$B$7)^2+('Inputs'!$B$6/2)^2)-(((511-43)*MAX('Inputs'!$B$33,'Inputs'!$B$29+'Inputs'!$B$31+'Inputs'!$B$32,'Inputs'!$B$30+'Inputs'!$B$31+'Inputs'!$B$32)/1000+'Inputs'!$B$21+'Inputs'!$B$9+'Inputs'!$B$10))/SQRT((((511-43)*MAX('Inputs'!$B$33,'Inputs'!$B$29+'Inputs'!$B$31+'Inputs'!$B$32,'Inputs'!$B$30+'Inputs'!$B$31+'Inputs'!$B$32)/1000+'Inputs'!$B$21+'Inputs'!$B$9+'Inputs'!$B$10))^2+('Inputs'!$B$6/2)^2))))*'Results'!$B$8))),"")</x:f>
        <x:v>5.490499734924699</x:v>
      </x:c>
      <x:c r="P511" t="n">
        <x:f>IF(AND(MAX(J511,J510)&gt;0,J511&gt;J510+0.00000001),1,0)</x:f>
        <x:v>0</x:v>
      </x:c>
      <x:c r="Q511" t="n">
        <x:f>IF(AND(MAX(K511,K510)&gt;0,K511&gt;K510+0.00000001),1,0)</x:f>
        <x:v>0</x:v>
      </x:c>
      <x:c r="R511" t="n">
        <x:f>IF(AND(MAX(L511,L510)&gt;0,L511&gt;L510+0.00000001),1,0)</x:f>
        <x:v>0</x:v>
      </x:c>
      <x:c r="S511" t="n">
        <x:f>IF(AND(MAX(M511,M510)&gt;0,M511&gt;M510+0.00000001),1,0)</x:f>
        <x:v>0</x:v>
      </x:c>
      <x:c r="T511" t="n">
        <x:f>IF(AND(MAX(N511,N510)&gt;0,N511&gt;N510+0.00000001),1,0)</x:f>
        <x:v>0</x:v>
      </x:c>
      <x:c r="U511" t="n">
        <x:f>IF(AND(MAX(O511,O510)&gt;0,O511&gt;O510+0.00000001),1,0)</x:f>
        <x:v>0</x:v>
      </x:c>
    </x:row>
    <x:row r="512">
      <x:c r="J512" t="n">
        <x:f>IF(AND(ISNUMBER('Results'!B7),ISNUMBER('Results'!C7),ISNUMBER('Results'!$B$8),ISNUMBER('Inputs'!$B$6),ISNUMBER('Inputs'!$B$7),ISNUMBER('Inputs'!$B$8),ISNUMBER('Inputs'!$B$9),ISNUMBER('Inputs'!$B$10),ISNUMBER('Inputs'!$B$21),ISNUMBER('Inputs'!$B$24),ISNUMBER('Inputs'!$B$28)),(('Results'!B7*(0.5*((((512-43)*MAX('Inputs'!$B$33,'Inputs'!$B$29+'Inputs'!$B$31+'Inputs'!$B$32,'Inputs'!$B$30+'Inputs'!$B$31+'Inputs'!$B$32)/1000+'Inputs'!$B$21)+'Inputs'!$B$7)/SQRT((((512-43)*MAX('Inputs'!$B$33,'Inputs'!$B$29+'Inputs'!$B$31+'Inputs'!$B$32,'Inputs'!$B$30+'Inputs'!$B$31+'Inputs'!$B$32)/1000+'Inputs'!$B$21)+'Inputs'!$B$7)^2+('Inputs'!$B$6/2)^2)-(((512-43)*MAX('Inputs'!$B$33,'Inputs'!$B$29+'Inputs'!$B$31+'Inputs'!$B$32,'Inputs'!$B$30+'Inputs'!$B$31+'Inputs'!$B$32)/1000+'Inputs'!$B$21))/SQRT((((512-43)*MAX('Inputs'!$B$33,'Inputs'!$B$29+'Inputs'!$B$31+'Inputs'!$B$32,'Inputs'!$B$30+'Inputs'!$B$31+'Inputs'!$B$32)/1000+'Inputs'!$B$21))^2+('Inputs'!$B$6/2)^2)))-'Results'!C7*(0.5*((((512-43)*MAX('Inputs'!$B$33,'Inputs'!$B$29+'Inputs'!$B$31+'Inputs'!$B$32,'Inputs'!$B$30+'Inputs'!$B$31+'Inputs'!$B$32)/1000+'Inputs'!$B$21+'Inputs'!$B$7+'Inputs'!$B$10)+'Inputs'!$B$9)/SQRT((((512-43)*MAX('Inputs'!$B$33,'Inputs'!$B$29+'Inputs'!$B$31+'Inputs'!$B$32,'Inputs'!$B$30+'Inputs'!$B$31+'Inputs'!$B$32)/1000+'Inputs'!$B$21+'Inputs'!$B$7+'Inputs'!$B$10)+'Inputs'!$B$9)^2+('Inputs'!$B$8/2)^2)-(((512-43)*MAX('Inputs'!$B$33,'Inputs'!$B$29+'Inputs'!$B$31+'Inputs'!$B$32,'Inputs'!$B$30+'Inputs'!$B$31+'Inputs'!$B$32)/1000+'Inputs'!$B$21+'Inputs'!$B$7+'Inputs'!$B$10))/SQRT((((512-43)*MAX('Inputs'!$B$33,'Inputs'!$B$29+'Inputs'!$B$31+'Inputs'!$B$32,'Inputs'!$B$30+'Inputs'!$B$31+'Inputs'!$B$32)/1000+'Inputs'!$B$21+'Inputs'!$B$7+'Inputs'!$B$10))^2+('Inputs'!$B$8/2)^2))))*'Results'!$B$8),"")</x:f>
        <x:v>5.195806429541447</x:v>
      </x:c>
      <x:c r="K512" t="n">
        <x:f>IF(AND(ISNUMBER('Results'!B7),ISNUMBER('Results'!C7),ISNUMBER('Results'!$B$8),ISNUMBER('Inputs'!$B$6),ISNUMBER('Inputs'!$B$7),ISNUMBER('Inputs'!$B$8),ISNUMBER('Inputs'!$B$9),ISNUMBER('Inputs'!$B$10),ISNUMBER('Inputs'!$B$21),ISNUMBER('Inputs'!$B$24),ISNUMBER('Inputs'!$B$28)),((('Results'!B7*(1-'Inputs'!$B$24)*(0.5*((((512-43)*MAX('Inputs'!$B$33,'Inputs'!$B$29+'Inputs'!$B$31+'Inputs'!$B$32,'Inputs'!$B$30+'Inputs'!$B$31+'Inputs'!$B$32)/1000+'Inputs'!$B$21)+'Inputs'!$B$7)/SQRT((((512-43)*MAX('Inputs'!$B$33,'Inputs'!$B$29+'Inputs'!$B$31+'Inputs'!$B$32,'Inputs'!$B$30+'Inputs'!$B$31+'Inputs'!$B$32)/1000+'Inputs'!$B$21)+'Inputs'!$B$7)^2+('Inputs'!$B$6/2)^2)-(((512-43)*MAX('Inputs'!$B$33,'Inputs'!$B$29+'Inputs'!$B$31+'Inputs'!$B$32,'Inputs'!$B$30+'Inputs'!$B$31+'Inputs'!$B$32)/1000+'Inputs'!$B$21))/SQRT((((512-43)*MAX('Inputs'!$B$33,'Inputs'!$B$29+'Inputs'!$B$31+'Inputs'!$B$32,'Inputs'!$B$30+'Inputs'!$B$31+'Inputs'!$B$32)/1000+'Inputs'!$B$21))^2+('Inputs'!$B$6/2)^2)))-'Results'!C7*(1+'Inputs'!$B$24)*(0.5*((((512-43)*MAX('Inputs'!$B$33,'Inputs'!$B$29+'Inputs'!$B$31+'Inputs'!$B$32,'Inputs'!$B$30+'Inputs'!$B$31+'Inputs'!$B$32)/1000+'Inputs'!$B$21+'Inputs'!$B$7+'Inputs'!$B$10)+'Inputs'!$B$9)/SQRT((((512-43)*MAX('Inputs'!$B$33,'Inputs'!$B$29+'Inputs'!$B$31+'Inputs'!$B$32,'Inputs'!$B$30+'Inputs'!$B$31+'Inputs'!$B$32)/1000+'Inputs'!$B$21+'Inputs'!$B$7+'Inputs'!$B$10)+'Inputs'!$B$9)^2+('Inputs'!$B$8/2)^2)-(((512-43)*MAX('Inputs'!$B$33,'Inputs'!$B$29+'Inputs'!$B$31+'Inputs'!$B$32,'Inputs'!$B$30+'Inputs'!$B$31+'Inputs'!$B$32)/1000+'Inputs'!$B$21+'Inputs'!$B$7+'Inputs'!$B$10))/SQRT((((512-43)*MAX('Inputs'!$B$33,'Inputs'!$B$29+'Inputs'!$B$31+'Inputs'!$B$32,'Inputs'!$B$30+'Inputs'!$B$31+'Inputs'!$B$32)/1000+'Inputs'!$B$21+'Inputs'!$B$7+'Inputs'!$B$10))^2+('Inputs'!$B$8/2)^2))))*'Results'!$B$8)-'Inputs'!$B$28*ABS((('Results'!B7*(1-'Inputs'!$B$24)*(0.5*((((512-43)*MAX('Inputs'!$B$33,'Inputs'!$B$29+'Inputs'!$B$31+'Inputs'!$B$32,'Inputs'!$B$30+'Inputs'!$B$31+'Inputs'!$B$32)/1000+'Inputs'!$B$21)+'Inputs'!$B$7)/SQRT((((512-43)*MAX('Inputs'!$B$33,'Inputs'!$B$29+'Inputs'!$B$31+'Inputs'!$B$32,'Inputs'!$B$30+'Inputs'!$B$31+'Inputs'!$B$32)/1000+'Inputs'!$B$21)+'Inputs'!$B$7)^2+('Inputs'!$B$6/2)^2)-(((512-43)*MAX('Inputs'!$B$33,'Inputs'!$B$29+'Inputs'!$B$31+'Inputs'!$B$32,'Inputs'!$B$30+'Inputs'!$B$31+'Inputs'!$B$32)/1000+'Inputs'!$B$21))/SQRT((((512-43)*MAX('Inputs'!$B$33,'Inputs'!$B$29+'Inputs'!$B$31+'Inputs'!$B$32,'Inputs'!$B$30+'Inputs'!$B$31+'Inputs'!$B$32)/1000+'Inputs'!$B$21))^2+('Inputs'!$B$6/2)^2)))-'Results'!C7*(1+'Inputs'!$B$24)*(0.5*((((512-43)*MAX('Inputs'!$B$33,'Inputs'!$B$29+'Inputs'!$B$31+'Inputs'!$B$32,'Inputs'!$B$30+'Inputs'!$B$31+'Inputs'!$B$32)/1000+'Inputs'!$B$21+'Inputs'!$B$7+'Inputs'!$B$10)+'Inputs'!$B$9)/SQRT((((512-43)*MAX('Inputs'!$B$33,'Inputs'!$B$29+'Inputs'!$B$31+'Inputs'!$B$32,'Inputs'!$B$30+'Inputs'!$B$31+'Inputs'!$B$32)/1000+'Inputs'!$B$21+'Inputs'!$B$7+'Inputs'!$B$10)+'Inputs'!$B$9)^2+('Inputs'!$B$8/2)^2)-(((512-43)*MAX('Inputs'!$B$33,'Inputs'!$B$29+'Inputs'!$B$31+'Inputs'!$B$32,'Inputs'!$B$30+'Inputs'!$B$31+'Inputs'!$B$32)/1000+'Inputs'!$B$21+'Inputs'!$B$7+'Inputs'!$B$10))/SQRT((((512-43)*MAX('Inputs'!$B$33,'Inputs'!$B$29+'Inputs'!$B$31+'Inputs'!$B$32,'Inputs'!$B$30+'Inputs'!$B$31+'Inputs'!$B$32)/1000+'Inputs'!$B$21+'Inputs'!$B$7+'Inputs'!$B$10))^2+('Inputs'!$B$8/2)^2))))*'Results'!$B$8))),"")</x:f>
        <x:v>4.6171421582125385</x:v>
      </x:c>
      <x:c r="L512" t="n">
        <x:f>IF(AND(ISNUMBER('Results'!B7),ISNUMBER('Results'!C7),ISNUMBER('Results'!$B$8),ISNUMBER('Inputs'!$B$6),ISNUMBER('Inputs'!$B$7),ISNUMBER('Inputs'!$B$8),ISNUMBER('Inputs'!$B$9),ISNUMBER('Inputs'!$B$10),ISNUMBER('Inputs'!$B$21),ISNUMBER('Inputs'!$B$24),ISNUMBER('Inputs'!$B$28)),((('Results'!B7*(1+'Inputs'!$B$24)*(0.5*((((512-43)*MAX('Inputs'!$B$33,'Inputs'!$B$29+'Inputs'!$B$31+'Inputs'!$B$32,'Inputs'!$B$30+'Inputs'!$B$31+'Inputs'!$B$32)/1000+'Inputs'!$B$21)+'Inputs'!$B$7)/SQRT((((512-43)*MAX('Inputs'!$B$33,'Inputs'!$B$29+'Inputs'!$B$31+'Inputs'!$B$32,'Inputs'!$B$30+'Inputs'!$B$31+'Inputs'!$B$32)/1000+'Inputs'!$B$21)+'Inputs'!$B$7)^2+('Inputs'!$B$6/2)^2)-(((512-43)*MAX('Inputs'!$B$33,'Inputs'!$B$29+'Inputs'!$B$31+'Inputs'!$B$32,'Inputs'!$B$30+'Inputs'!$B$31+'Inputs'!$B$32)/1000+'Inputs'!$B$21))/SQRT((((512-43)*MAX('Inputs'!$B$33,'Inputs'!$B$29+'Inputs'!$B$31+'Inputs'!$B$32,'Inputs'!$B$30+'Inputs'!$B$31+'Inputs'!$B$32)/1000+'Inputs'!$B$21))^2+('Inputs'!$B$6/2)^2)))-'Results'!C7*(1-'Inputs'!$B$24)*(0.5*((((512-43)*MAX('Inputs'!$B$33,'Inputs'!$B$29+'Inputs'!$B$31+'Inputs'!$B$32,'Inputs'!$B$30+'Inputs'!$B$31+'Inputs'!$B$32)/1000+'Inputs'!$B$21+'Inputs'!$B$7+'Inputs'!$B$10)+'Inputs'!$B$9)/SQRT((((512-43)*MAX('Inputs'!$B$33,'Inputs'!$B$29+'Inputs'!$B$31+'Inputs'!$B$32,'Inputs'!$B$30+'Inputs'!$B$31+'Inputs'!$B$32)/1000+'Inputs'!$B$21+'Inputs'!$B$7+'Inputs'!$B$10)+'Inputs'!$B$9)^2+('Inputs'!$B$8/2)^2)-(((512-43)*MAX('Inputs'!$B$33,'Inputs'!$B$29+'Inputs'!$B$31+'Inputs'!$B$32,'Inputs'!$B$30+'Inputs'!$B$31+'Inputs'!$B$32)/1000+'Inputs'!$B$21+'Inputs'!$B$7+'Inputs'!$B$10))/SQRT((((512-43)*MAX('Inputs'!$B$33,'Inputs'!$B$29+'Inputs'!$B$31+'Inputs'!$B$32,'Inputs'!$B$30+'Inputs'!$B$31+'Inputs'!$B$32)/1000+'Inputs'!$B$21+'Inputs'!$B$7+'Inputs'!$B$10))^2+('Inputs'!$B$8/2)^2))))*'Results'!$B$8)+'Inputs'!$B$28*ABS((('Results'!B7*(1+'Inputs'!$B$24)*(0.5*((((512-43)*MAX('Inputs'!$B$33,'Inputs'!$B$29+'Inputs'!$B$31+'Inputs'!$B$32,'Inputs'!$B$30+'Inputs'!$B$31+'Inputs'!$B$32)/1000+'Inputs'!$B$21)+'Inputs'!$B$7)/SQRT((((512-43)*MAX('Inputs'!$B$33,'Inputs'!$B$29+'Inputs'!$B$31+'Inputs'!$B$32,'Inputs'!$B$30+'Inputs'!$B$31+'Inputs'!$B$32)/1000+'Inputs'!$B$21)+'Inputs'!$B$7)^2+('Inputs'!$B$6/2)^2)-(((512-43)*MAX('Inputs'!$B$33,'Inputs'!$B$29+'Inputs'!$B$31+'Inputs'!$B$32,'Inputs'!$B$30+'Inputs'!$B$31+'Inputs'!$B$32)/1000+'Inputs'!$B$21))/SQRT((((512-43)*MAX('Inputs'!$B$33,'Inputs'!$B$29+'Inputs'!$B$31+'Inputs'!$B$32,'Inputs'!$B$30+'Inputs'!$B$31+'Inputs'!$B$32)/1000+'Inputs'!$B$21))^2+('Inputs'!$B$6/2)^2)))-'Results'!C7*(1-'Inputs'!$B$24)*(0.5*((((512-43)*MAX('Inputs'!$B$33,'Inputs'!$B$29+'Inputs'!$B$31+'Inputs'!$B$32,'Inputs'!$B$30+'Inputs'!$B$31+'Inputs'!$B$32)/1000+'Inputs'!$B$21+'Inputs'!$B$7+'Inputs'!$B$10)+'Inputs'!$B$9)/SQRT((((512-43)*MAX('Inputs'!$B$33,'Inputs'!$B$29+'Inputs'!$B$31+'Inputs'!$B$32,'Inputs'!$B$30+'Inputs'!$B$31+'Inputs'!$B$32)/1000+'Inputs'!$B$21+'Inputs'!$B$7+'Inputs'!$B$10)+'Inputs'!$B$9)^2+('Inputs'!$B$8/2)^2)-(((512-43)*MAX('Inputs'!$B$33,'Inputs'!$B$29+'Inputs'!$B$31+'Inputs'!$B$32,'Inputs'!$B$30+'Inputs'!$B$31+'Inputs'!$B$32)/1000+'Inputs'!$B$21+'Inputs'!$B$7+'Inputs'!$B$10))/SQRT((((512-43)*MAX('Inputs'!$B$33,'Inputs'!$B$29+'Inputs'!$B$31+'Inputs'!$B$32,'Inputs'!$B$30+'Inputs'!$B$31+'Inputs'!$B$32)/1000+'Inputs'!$B$21+'Inputs'!$B$7+'Inputs'!$B$10))^2+('Inputs'!$B$8/2)^2))))*'Results'!$B$8))),"")</x:f>
        <x:v>5.808036379802131</x:v>
      </x:c>
      <x:c r="M512" t="n">
        <x:f>IF(AND(ISNUMBER('Results'!C7),ISNUMBER('Results'!B7),ISNUMBER('Results'!$B$8),ISNUMBER('Inputs'!$B$6),ISNUMBER('Inputs'!$B$7),ISNUMBER('Inputs'!$B$8),ISNUMBER('Inputs'!$B$9),ISNUMBER('Inputs'!$B$10),ISNUMBER('Inputs'!$B$21),ISNUMBER('Inputs'!$B$24),ISNUMBER('Inputs'!$B$28)),(('Results'!C7*(0.5*((((512-43)*MAX('Inputs'!$B$33,'Inputs'!$B$29+'Inputs'!$B$31+'Inputs'!$B$32,'Inputs'!$B$30+'Inputs'!$B$31+'Inputs'!$B$32)/1000+'Inputs'!$B$21)+'Inputs'!$B$9)/SQRT((((512-43)*MAX('Inputs'!$B$33,'Inputs'!$B$29+'Inputs'!$B$31+'Inputs'!$B$32,'Inputs'!$B$30+'Inputs'!$B$31+'Inputs'!$B$32)/1000+'Inputs'!$B$21)+'Inputs'!$B$9)^2+('Inputs'!$B$8/2)^2)-(((512-43)*MAX('Inputs'!$B$33,'Inputs'!$B$29+'Inputs'!$B$31+'Inputs'!$B$32,'Inputs'!$B$30+'Inputs'!$B$31+'Inputs'!$B$32)/1000+'Inputs'!$B$21))/SQRT((((512-43)*MAX('Inputs'!$B$33,'Inputs'!$B$29+'Inputs'!$B$31+'Inputs'!$B$32,'Inputs'!$B$30+'Inputs'!$B$31+'Inputs'!$B$32)/1000+'Inputs'!$B$21))^2+('Inputs'!$B$8/2)^2)))-'Results'!B7*(0.5*((((512-43)*MAX('Inputs'!$B$33,'Inputs'!$B$29+'Inputs'!$B$31+'Inputs'!$B$32,'Inputs'!$B$30+'Inputs'!$B$31+'Inputs'!$B$32)/1000+'Inputs'!$B$21+'Inputs'!$B$9+'Inputs'!$B$10)+'Inputs'!$B$7)/SQRT((((512-43)*MAX('Inputs'!$B$33,'Inputs'!$B$29+'Inputs'!$B$31+'Inputs'!$B$32,'Inputs'!$B$30+'Inputs'!$B$31+'Inputs'!$B$32)/1000+'Inputs'!$B$21+'Inputs'!$B$9+'Inputs'!$B$10)+'Inputs'!$B$7)^2+('Inputs'!$B$6/2)^2)-(((512-43)*MAX('Inputs'!$B$33,'Inputs'!$B$29+'Inputs'!$B$31+'Inputs'!$B$32,'Inputs'!$B$30+'Inputs'!$B$31+'Inputs'!$B$32)/1000+'Inputs'!$B$21+'Inputs'!$B$9+'Inputs'!$B$10))/SQRT((((512-43)*MAX('Inputs'!$B$33,'Inputs'!$B$29+'Inputs'!$B$31+'Inputs'!$B$32,'Inputs'!$B$30+'Inputs'!$B$31+'Inputs'!$B$32)/1000+'Inputs'!$B$21+'Inputs'!$B$9+'Inputs'!$B$10))^2+('Inputs'!$B$6/2)^2))))*'Results'!$B$8),"")</x:f>
        <x:v>4.857784939604063</x:v>
      </x:c>
      <x:c r="N512" t="n">
        <x:f>IF(AND(ISNUMBER('Results'!C7),ISNUMBER('Results'!B7),ISNUMBER('Results'!$B$8),ISNUMBER('Inputs'!$B$6),ISNUMBER('Inputs'!$B$7),ISNUMBER('Inputs'!$B$8),ISNUMBER('Inputs'!$B$9),ISNUMBER('Inputs'!$B$10),ISNUMBER('Inputs'!$B$21),ISNUMBER('Inputs'!$B$24),ISNUMBER('Inputs'!$B$28)),((('Results'!C7*(1-'Inputs'!$B$24)*(0.5*((((512-43)*MAX('Inputs'!$B$33,'Inputs'!$B$29+'Inputs'!$B$31+'Inputs'!$B$32,'Inputs'!$B$30+'Inputs'!$B$31+'Inputs'!$B$32)/1000+'Inputs'!$B$21)+'Inputs'!$B$9)/SQRT((((512-43)*MAX('Inputs'!$B$33,'Inputs'!$B$29+'Inputs'!$B$31+'Inputs'!$B$32,'Inputs'!$B$30+'Inputs'!$B$31+'Inputs'!$B$32)/1000+'Inputs'!$B$21)+'Inputs'!$B$9)^2+('Inputs'!$B$8/2)^2)-(((512-43)*MAX('Inputs'!$B$33,'Inputs'!$B$29+'Inputs'!$B$31+'Inputs'!$B$32,'Inputs'!$B$30+'Inputs'!$B$31+'Inputs'!$B$32)/1000+'Inputs'!$B$21))/SQRT((((512-43)*MAX('Inputs'!$B$33,'Inputs'!$B$29+'Inputs'!$B$31+'Inputs'!$B$32,'Inputs'!$B$30+'Inputs'!$B$31+'Inputs'!$B$32)/1000+'Inputs'!$B$21))^2+('Inputs'!$B$8/2)^2)))-'Results'!B7*(1+'Inputs'!$B$24)*(0.5*((((512-43)*MAX('Inputs'!$B$33,'Inputs'!$B$29+'Inputs'!$B$31+'Inputs'!$B$32,'Inputs'!$B$30+'Inputs'!$B$31+'Inputs'!$B$32)/1000+'Inputs'!$B$21+'Inputs'!$B$9+'Inputs'!$B$10)+'Inputs'!$B$7)/SQRT((((512-43)*MAX('Inputs'!$B$33,'Inputs'!$B$29+'Inputs'!$B$31+'Inputs'!$B$32,'Inputs'!$B$30+'Inputs'!$B$31+'Inputs'!$B$32)/1000+'Inputs'!$B$21+'Inputs'!$B$9+'Inputs'!$B$10)+'Inputs'!$B$7)^2+('Inputs'!$B$6/2)^2)-(((512-43)*MAX('Inputs'!$B$33,'Inputs'!$B$29+'Inputs'!$B$31+'Inputs'!$B$32,'Inputs'!$B$30+'Inputs'!$B$31+'Inputs'!$B$32)/1000+'Inputs'!$B$21+'Inputs'!$B$9+'Inputs'!$B$10))/SQRT((((512-43)*MAX('Inputs'!$B$33,'Inputs'!$B$29+'Inputs'!$B$31+'Inputs'!$B$32,'Inputs'!$B$30+'Inputs'!$B$31+'Inputs'!$B$32)/1000+'Inputs'!$B$21+'Inputs'!$B$9+'Inputs'!$B$10))^2+('Inputs'!$B$6/2)^2))))*'Results'!$B$8)-'Inputs'!$B$28*ABS((('Results'!C7*(1-'Inputs'!$B$24)*(0.5*((((512-43)*MAX('Inputs'!$B$33,'Inputs'!$B$29+'Inputs'!$B$31+'Inputs'!$B$32,'Inputs'!$B$30+'Inputs'!$B$31+'Inputs'!$B$32)/1000+'Inputs'!$B$21)+'Inputs'!$B$9)/SQRT((((512-43)*MAX('Inputs'!$B$33,'Inputs'!$B$29+'Inputs'!$B$31+'Inputs'!$B$32,'Inputs'!$B$30+'Inputs'!$B$31+'Inputs'!$B$32)/1000+'Inputs'!$B$21)+'Inputs'!$B$9)^2+('Inputs'!$B$8/2)^2)-(((512-43)*MAX('Inputs'!$B$33,'Inputs'!$B$29+'Inputs'!$B$31+'Inputs'!$B$32,'Inputs'!$B$30+'Inputs'!$B$31+'Inputs'!$B$32)/1000+'Inputs'!$B$21))/SQRT((((512-43)*MAX('Inputs'!$B$33,'Inputs'!$B$29+'Inputs'!$B$31+'Inputs'!$B$32,'Inputs'!$B$30+'Inputs'!$B$31+'Inputs'!$B$32)/1000+'Inputs'!$B$21))^2+('Inputs'!$B$8/2)^2)))-'Results'!B7*(1+'Inputs'!$B$24)*(0.5*((((512-43)*MAX('Inputs'!$B$33,'Inputs'!$B$29+'Inputs'!$B$31+'Inputs'!$B$32,'Inputs'!$B$30+'Inputs'!$B$31+'Inputs'!$B$32)/1000+'Inputs'!$B$21+'Inputs'!$B$9+'Inputs'!$B$10)+'Inputs'!$B$7)/SQRT((((512-43)*MAX('Inputs'!$B$33,'Inputs'!$B$29+'Inputs'!$B$31+'Inputs'!$B$32,'Inputs'!$B$30+'Inputs'!$B$31+'Inputs'!$B$32)/1000+'Inputs'!$B$21+'Inputs'!$B$9+'Inputs'!$B$10)+'Inputs'!$B$7)^2+('Inputs'!$B$6/2)^2)-(((512-43)*MAX('Inputs'!$B$33,'Inputs'!$B$29+'Inputs'!$B$31+'Inputs'!$B$32,'Inputs'!$B$30+'Inputs'!$B$31+'Inputs'!$B$32)/1000+'Inputs'!$B$21+'Inputs'!$B$9+'Inputs'!$B$10))/SQRT((((512-43)*MAX('Inputs'!$B$33,'Inputs'!$B$29+'Inputs'!$B$31+'Inputs'!$B$32,'Inputs'!$B$30+'Inputs'!$B$31+'Inputs'!$B$32)/1000+'Inputs'!$B$21+'Inputs'!$B$9+'Inputs'!$B$10))^2+('Inputs'!$B$6/2)^2))))*'Results'!$B$8))),"")</x:f>
        <x:v>4.297951219903473</x:v>
      </x:c>
      <x:c r="O512" t="n">
        <x:f>IF(AND(ISNUMBER('Results'!C7),ISNUMBER('Results'!B7),ISNUMBER('Results'!$B$8),ISNUMBER('Inputs'!$B$6),ISNUMBER('Inputs'!$B$7),ISNUMBER('Inputs'!$B$8),ISNUMBER('Inputs'!$B$9),ISNUMBER('Inputs'!$B$10),ISNUMBER('Inputs'!$B$21),ISNUMBER('Inputs'!$B$24),ISNUMBER('Inputs'!$B$28)),((('Results'!C7*(1+'Inputs'!$B$24)*(0.5*((((512-43)*MAX('Inputs'!$B$33,'Inputs'!$B$29+'Inputs'!$B$31+'Inputs'!$B$32,'Inputs'!$B$30+'Inputs'!$B$31+'Inputs'!$B$32)/1000+'Inputs'!$B$21)+'Inputs'!$B$9)/SQRT((((512-43)*MAX('Inputs'!$B$33,'Inputs'!$B$29+'Inputs'!$B$31+'Inputs'!$B$32,'Inputs'!$B$30+'Inputs'!$B$31+'Inputs'!$B$32)/1000+'Inputs'!$B$21)+'Inputs'!$B$9)^2+('Inputs'!$B$8/2)^2)-(((512-43)*MAX('Inputs'!$B$33,'Inputs'!$B$29+'Inputs'!$B$31+'Inputs'!$B$32,'Inputs'!$B$30+'Inputs'!$B$31+'Inputs'!$B$32)/1000+'Inputs'!$B$21))/SQRT((((512-43)*MAX('Inputs'!$B$33,'Inputs'!$B$29+'Inputs'!$B$31+'Inputs'!$B$32,'Inputs'!$B$30+'Inputs'!$B$31+'Inputs'!$B$32)/1000+'Inputs'!$B$21))^2+('Inputs'!$B$8/2)^2)))-'Results'!B7*(1-'Inputs'!$B$24)*(0.5*((((512-43)*MAX('Inputs'!$B$33,'Inputs'!$B$29+'Inputs'!$B$31+'Inputs'!$B$32,'Inputs'!$B$30+'Inputs'!$B$31+'Inputs'!$B$32)/1000+'Inputs'!$B$21+'Inputs'!$B$9+'Inputs'!$B$10)+'Inputs'!$B$7)/SQRT((((512-43)*MAX('Inputs'!$B$33,'Inputs'!$B$29+'Inputs'!$B$31+'Inputs'!$B$32,'Inputs'!$B$30+'Inputs'!$B$31+'Inputs'!$B$32)/1000+'Inputs'!$B$21+'Inputs'!$B$9+'Inputs'!$B$10)+'Inputs'!$B$7)^2+('Inputs'!$B$6/2)^2)-(((512-43)*MAX('Inputs'!$B$33,'Inputs'!$B$29+'Inputs'!$B$31+'Inputs'!$B$32,'Inputs'!$B$30+'Inputs'!$B$31+'Inputs'!$B$32)/1000+'Inputs'!$B$21+'Inputs'!$B$9+'Inputs'!$B$10))/SQRT((((512-43)*MAX('Inputs'!$B$33,'Inputs'!$B$29+'Inputs'!$B$31+'Inputs'!$B$32,'Inputs'!$B$30+'Inputs'!$B$31+'Inputs'!$B$32)/1000+'Inputs'!$B$21+'Inputs'!$B$9+'Inputs'!$B$10))^2+('Inputs'!$B$6/2)^2))))*'Results'!$B$8)+'Inputs'!$B$28*ABS((('Results'!C7*(1+'Inputs'!$B$24)*(0.5*((((512-43)*MAX('Inputs'!$B$33,'Inputs'!$B$29+'Inputs'!$B$31+'Inputs'!$B$32,'Inputs'!$B$30+'Inputs'!$B$31+'Inputs'!$B$32)/1000+'Inputs'!$B$21)+'Inputs'!$B$9)/SQRT((((512-43)*MAX('Inputs'!$B$33,'Inputs'!$B$29+'Inputs'!$B$31+'Inputs'!$B$32,'Inputs'!$B$30+'Inputs'!$B$31+'Inputs'!$B$32)/1000+'Inputs'!$B$21)+'Inputs'!$B$9)^2+('Inputs'!$B$8/2)^2)-(((512-43)*MAX('Inputs'!$B$33,'Inputs'!$B$29+'Inputs'!$B$31+'Inputs'!$B$32,'Inputs'!$B$30+'Inputs'!$B$31+'Inputs'!$B$32)/1000+'Inputs'!$B$21))/SQRT((((512-43)*MAX('Inputs'!$B$33,'Inputs'!$B$29+'Inputs'!$B$31+'Inputs'!$B$32,'Inputs'!$B$30+'Inputs'!$B$31+'Inputs'!$B$32)/1000+'Inputs'!$B$21))^2+('Inputs'!$B$8/2)^2)))-'Results'!B7*(1-'Inputs'!$B$24)*(0.5*((((512-43)*MAX('Inputs'!$B$33,'Inputs'!$B$29+'Inputs'!$B$31+'Inputs'!$B$32,'Inputs'!$B$30+'Inputs'!$B$31+'Inputs'!$B$32)/1000+'Inputs'!$B$21+'Inputs'!$B$9+'Inputs'!$B$10)+'Inputs'!$B$7)/SQRT((((512-43)*MAX('Inputs'!$B$33,'Inputs'!$B$29+'Inputs'!$B$31+'Inputs'!$B$32,'Inputs'!$B$30+'Inputs'!$B$31+'Inputs'!$B$32)/1000+'Inputs'!$B$21+'Inputs'!$B$9+'Inputs'!$B$10)+'Inputs'!$B$7)^2+('Inputs'!$B$6/2)^2)-(((512-43)*MAX('Inputs'!$B$33,'Inputs'!$B$29+'Inputs'!$B$31+'Inputs'!$B$32,'Inputs'!$B$30+'Inputs'!$B$31+'Inputs'!$B$32)/1000+'Inputs'!$B$21+'Inputs'!$B$9+'Inputs'!$B$10))/SQRT((((512-43)*MAX('Inputs'!$B$33,'Inputs'!$B$29+'Inputs'!$B$31+'Inputs'!$B$32,'Inputs'!$B$30+'Inputs'!$B$31+'Inputs'!$B$32)/1000+'Inputs'!$B$21+'Inputs'!$B$9+'Inputs'!$B$10))^2+('Inputs'!$B$6/2)^2))))*'Results'!$B$8))),"")</x:f>
        <x:v>5.450981235380482</x:v>
      </x:c>
      <x:c r="P512" t="n">
        <x:f>IF(AND(MAX(J512,J511)&gt;0,J512&gt;J511+0.00000001),1,0)</x:f>
        <x:v>0</x:v>
      </x:c>
      <x:c r="Q512" t="n">
        <x:f>IF(AND(MAX(K512,K511)&gt;0,K512&gt;K511+0.00000001),1,0)</x:f>
        <x:v>0</x:v>
      </x:c>
      <x:c r="R512" t="n">
        <x:f>IF(AND(MAX(L512,L511)&gt;0,L512&gt;L511+0.00000001),1,0)</x:f>
        <x:v>0</x:v>
      </x:c>
      <x:c r="S512" t="n">
        <x:f>IF(AND(MAX(M512,M511)&gt;0,M512&gt;M511+0.00000001),1,0)</x:f>
        <x:v>0</x:v>
      </x:c>
      <x:c r="T512" t="n">
        <x:f>IF(AND(MAX(N512,N511)&gt;0,N512&gt;N511+0.00000001),1,0)</x:f>
        <x:v>0</x:v>
      </x:c>
      <x:c r="U512" t="n">
        <x:f>IF(AND(MAX(O512,O511)&gt;0,O512&gt;O511+0.00000001),1,0)</x:f>
        <x:v>0</x:v>
      </x:c>
    </x:row>
    <x:row r="513">
      <x:c r="J513" t="n">
        <x:f>IF(AND(ISNUMBER('Results'!B7),ISNUMBER('Results'!C7),ISNUMBER('Results'!$B$8),ISNUMBER('Inputs'!$B$6),ISNUMBER('Inputs'!$B$7),ISNUMBER('Inputs'!$B$8),ISNUMBER('Inputs'!$B$9),ISNUMBER('Inputs'!$B$10),ISNUMBER('Inputs'!$B$21),ISNUMBER('Inputs'!$B$24),ISNUMBER('Inputs'!$B$28)),(('Results'!B7*(0.5*((((513-43)*MAX('Inputs'!$B$33,'Inputs'!$B$29+'Inputs'!$B$31+'Inputs'!$B$32,'Inputs'!$B$30+'Inputs'!$B$31+'Inputs'!$B$32)/1000+'Inputs'!$B$21)+'Inputs'!$B$7)/SQRT((((513-43)*MAX('Inputs'!$B$33,'Inputs'!$B$29+'Inputs'!$B$31+'Inputs'!$B$32,'Inputs'!$B$30+'Inputs'!$B$31+'Inputs'!$B$32)/1000+'Inputs'!$B$21)+'Inputs'!$B$7)^2+('Inputs'!$B$6/2)^2)-(((513-43)*MAX('Inputs'!$B$33,'Inputs'!$B$29+'Inputs'!$B$31+'Inputs'!$B$32,'Inputs'!$B$30+'Inputs'!$B$31+'Inputs'!$B$32)/1000+'Inputs'!$B$21))/SQRT((((513-43)*MAX('Inputs'!$B$33,'Inputs'!$B$29+'Inputs'!$B$31+'Inputs'!$B$32,'Inputs'!$B$30+'Inputs'!$B$31+'Inputs'!$B$32)/1000+'Inputs'!$B$21))^2+('Inputs'!$B$6/2)^2)))-'Results'!C7*(0.5*((((513-43)*MAX('Inputs'!$B$33,'Inputs'!$B$29+'Inputs'!$B$31+'Inputs'!$B$32,'Inputs'!$B$30+'Inputs'!$B$31+'Inputs'!$B$32)/1000+'Inputs'!$B$21+'Inputs'!$B$7+'Inputs'!$B$10)+'Inputs'!$B$9)/SQRT((((513-43)*MAX('Inputs'!$B$33,'Inputs'!$B$29+'Inputs'!$B$31+'Inputs'!$B$32,'Inputs'!$B$30+'Inputs'!$B$31+'Inputs'!$B$32)/1000+'Inputs'!$B$21+'Inputs'!$B$7+'Inputs'!$B$10)+'Inputs'!$B$9)^2+('Inputs'!$B$8/2)^2)-(((513-43)*MAX('Inputs'!$B$33,'Inputs'!$B$29+'Inputs'!$B$31+'Inputs'!$B$32,'Inputs'!$B$30+'Inputs'!$B$31+'Inputs'!$B$32)/1000+'Inputs'!$B$21+'Inputs'!$B$7+'Inputs'!$B$10))/SQRT((((513-43)*MAX('Inputs'!$B$33,'Inputs'!$B$29+'Inputs'!$B$31+'Inputs'!$B$32,'Inputs'!$B$30+'Inputs'!$B$31+'Inputs'!$B$32)/1000+'Inputs'!$B$21+'Inputs'!$B$7+'Inputs'!$B$10))^2+('Inputs'!$B$8/2)^2))))*'Results'!$B$8),"")</x:f>
        <x:v>5.158481860188452</x:v>
      </x:c>
      <x:c r="K513" t="n">
        <x:f>IF(AND(ISNUMBER('Results'!B7),ISNUMBER('Results'!C7),ISNUMBER('Results'!$B$8),ISNUMBER('Inputs'!$B$6),ISNUMBER('Inputs'!$B$7),ISNUMBER('Inputs'!$B$8),ISNUMBER('Inputs'!$B$9),ISNUMBER('Inputs'!$B$10),ISNUMBER('Inputs'!$B$21),ISNUMBER('Inputs'!$B$24),ISNUMBER('Inputs'!$B$28)),((('Results'!B7*(1-'Inputs'!$B$24)*(0.5*((((513-43)*MAX('Inputs'!$B$33,'Inputs'!$B$29+'Inputs'!$B$31+'Inputs'!$B$32,'Inputs'!$B$30+'Inputs'!$B$31+'Inputs'!$B$32)/1000+'Inputs'!$B$21)+'Inputs'!$B$7)/SQRT((((513-43)*MAX('Inputs'!$B$33,'Inputs'!$B$29+'Inputs'!$B$31+'Inputs'!$B$32,'Inputs'!$B$30+'Inputs'!$B$31+'Inputs'!$B$32)/1000+'Inputs'!$B$21)+'Inputs'!$B$7)^2+('Inputs'!$B$6/2)^2)-(((513-43)*MAX('Inputs'!$B$33,'Inputs'!$B$29+'Inputs'!$B$31+'Inputs'!$B$32,'Inputs'!$B$30+'Inputs'!$B$31+'Inputs'!$B$32)/1000+'Inputs'!$B$21))/SQRT((((513-43)*MAX('Inputs'!$B$33,'Inputs'!$B$29+'Inputs'!$B$31+'Inputs'!$B$32,'Inputs'!$B$30+'Inputs'!$B$31+'Inputs'!$B$32)/1000+'Inputs'!$B$21))^2+('Inputs'!$B$6/2)^2)))-'Results'!C7*(1+'Inputs'!$B$24)*(0.5*((((513-43)*MAX('Inputs'!$B$33,'Inputs'!$B$29+'Inputs'!$B$31+'Inputs'!$B$32,'Inputs'!$B$30+'Inputs'!$B$31+'Inputs'!$B$32)/1000+'Inputs'!$B$21+'Inputs'!$B$7+'Inputs'!$B$10)+'Inputs'!$B$9)/SQRT((((513-43)*MAX('Inputs'!$B$33,'Inputs'!$B$29+'Inputs'!$B$31+'Inputs'!$B$32,'Inputs'!$B$30+'Inputs'!$B$31+'Inputs'!$B$32)/1000+'Inputs'!$B$21+'Inputs'!$B$7+'Inputs'!$B$10)+'Inputs'!$B$9)^2+('Inputs'!$B$8/2)^2)-(((513-43)*MAX('Inputs'!$B$33,'Inputs'!$B$29+'Inputs'!$B$31+'Inputs'!$B$32,'Inputs'!$B$30+'Inputs'!$B$31+'Inputs'!$B$32)/1000+'Inputs'!$B$21+'Inputs'!$B$7+'Inputs'!$B$10))/SQRT((((513-43)*MAX('Inputs'!$B$33,'Inputs'!$B$29+'Inputs'!$B$31+'Inputs'!$B$32,'Inputs'!$B$30+'Inputs'!$B$31+'Inputs'!$B$32)/1000+'Inputs'!$B$21+'Inputs'!$B$7+'Inputs'!$B$10))^2+('Inputs'!$B$8/2)^2))))*'Results'!$B$8)-'Inputs'!$B$28*ABS((('Results'!B7*(1-'Inputs'!$B$24)*(0.5*((((513-43)*MAX('Inputs'!$B$33,'Inputs'!$B$29+'Inputs'!$B$31+'Inputs'!$B$32,'Inputs'!$B$30+'Inputs'!$B$31+'Inputs'!$B$32)/1000+'Inputs'!$B$21)+'Inputs'!$B$7)/SQRT((((513-43)*MAX('Inputs'!$B$33,'Inputs'!$B$29+'Inputs'!$B$31+'Inputs'!$B$32,'Inputs'!$B$30+'Inputs'!$B$31+'Inputs'!$B$32)/1000+'Inputs'!$B$21)+'Inputs'!$B$7)^2+('Inputs'!$B$6/2)^2)-(((513-43)*MAX('Inputs'!$B$33,'Inputs'!$B$29+'Inputs'!$B$31+'Inputs'!$B$32,'Inputs'!$B$30+'Inputs'!$B$31+'Inputs'!$B$32)/1000+'Inputs'!$B$21))/SQRT((((513-43)*MAX('Inputs'!$B$33,'Inputs'!$B$29+'Inputs'!$B$31+'Inputs'!$B$32,'Inputs'!$B$30+'Inputs'!$B$31+'Inputs'!$B$32)/1000+'Inputs'!$B$21))^2+('Inputs'!$B$6/2)^2)))-'Results'!C7*(1+'Inputs'!$B$24)*(0.5*((((513-43)*MAX('Inputs'!$B$33,'Inputs'!$B$29+'Inputs'!$B$31+'Inputs'!$B$32,'Inputs'!$B$30+'Inputs'!$B$31+'Inputs'!$B$32)/1000+'Inputs'!$B$21+'Inputs'!$B$7+'Inputs'!$B$10)+'Inputs'!$B$9)/SQRT((((513-43)*MAX('Inputs'!$B$33,'Inputs'!$B$29+'Inputs'!$B$31+'Inputs'!$B$32,'Inputs'!$B$30+'Inputs'!$B$31+'Inputs'!$B$32)/1000+'Inputs'!$B$21+'Inputs'!$B$7+'Inputs'!$B$10)+'Inputs'!$B$9)^2+('Inputs'!$B$8/2)^2)-(((513-43)*MAX('Inputs'!$B$33,'Inputs'!$B$29+'Inputs'!$B$31+'Inputs'!$B$32,'Inputs'!$B$30+'Inputs'!$B$31+'Inputs'!$B$32)/1000+'Inputs'!$B$21+'Inputs'!$B$7+'Inputs'!$B$10))/SQRT((((513-43)*MAX('Inputs'!$B$33,'Inputs'!$B$29+'Inputs'!$B$31+'Inputs'!$B$32,'Inputs'!$B$30+'Inputs'!$B$31+'Inputs'!$B$32)/1000+'Inputs'!$B$21+'Inputs'!$B$7+'Inputs'!$B$10))^2+('Inputs'!$B$8/2)^2))))*'Results'!$B$8))),"")</x:f>
        <x:v>4.583466675716808</x:v>
      </x:c>
      <x:c r="L513" t="n">
        <x:f>IF(AND(ISNUMBER('Results'!B7),ISNUMBER('Results'!C7),ISNUMBER('Results'!$B$8),ISNUMBER('Inputs'!$B$6),ISNUMBER('Inputs'!$B$7),ISNUMBER('Inputs'!$B$8),ISNUMBER('Inputs'!$B$9),ISNUMBER('Inputs'!$B$10),ISNUMBER('Inputs'!$B$21),ISNUMBER('Inputs'!$B$24),ISNUMBER('Inputs'!$B$28)),((('Results'!B7*(1+'Inputs'!$B$24)*(0.5*((((513-43)*MAX('Inputs'!$B$33,'Inputs'!$B$29+'Inputs'!$B$31+'Inputs'!$B$32,'Inputs'!$B$30+'Inputs'!$B$31+'Inputs'!$B$32)/1000+'Inputs'!$B$21)+'Inputs'!$B$7)/SQRT((((513-43)*MAX('Inputs'!$B$33,'Inputs'!$B$29+'Inputs'!$B$31+'Inputs'!$B$32,'Inputs'!$B$30+'Inputs'!$B$31+'Inputs'!$B$32)/1000+'Inputs'!$B$21)+'Inputs'!$B$7)^2+('Inputs'!$B$6/2)^2)-(((513-43)*MAX('Inputs'!$B$33,'Inputs'!$B$29+'Inputs'!$B$31+'Inputs'!$B$32,'Inputs'!$B$30+'Inputs'!$B$31+'Inputs'!$B$32)/1000+'Inputs'!$B$21))/SQRT((((513-43)*MAX('Inputs'!$B$33,'Inputs'!$B$29+'Inputs'!$B$31+'Inputs'!$B$32,'Inputs'!$B$30+'Inputs'!$B$31+'Inputs'!$B$32)/1000+'Inputs'!$B$21))^2+('Inputs'!$B$6/2)^2)))-'Results'!C7*(1-'Inputs'!$B$24)*(0.5*((((513-43)*MAX('Inputs'!$B$33,'Inputs'!$B$29+'Inputs'!$B$31+'Inputs'!$B$32,'Inputs'!$B$30+'Inputs'!$B$31+'Inputs'!$B$32)/1000+'Inputs'!$B$21+'Inputs'!$B$7+'Inputs'!$B$10)+'Inputs'!$B$9)/SQRT((((513-43)*MAX('Inputs'!$B$33,'Inputs'!$B$29+'Inputs'!$B$31+'Inputs'!$B$32,'Inputs'!$B$30+'Inputs'!$B$31+'Inputs'!$B$32)/1000+'Inputs'!$B$21+'Inputs'!$B$7+'Inputs'!$B$10)+'Inputs'!$B$9)^2+('Inputs'!$B$8/2)^2)-(((513-43)*MAX('Inputs'!$B$33,'Inputs'!$B$29+'Inputs'!$B$31+'Inputs'!$B$32,'Inputs'!$B$30+'Inputs'!$B$31+'Inputs'!$B$32)/1000+'Inputs'!$B$21+'Inputs'!$B$7+'Inputs'!$B$10))/SQRT((((513-43)*MAX('Inputs'!$B$33,'Inputs'!$B$29+'Inputs'!$B$31+'Inputs'!$B$32,'Inputs'!$B$30+'Inputs'!$B$31+'Inputs'!$B$32)/1000+'Inputs'!$B$21+'Inputs'!$B$7+'Inputs'!$B$10))^2+('Inputs'!$B$8/2)^2))))*'Results'!$B$8)+'Inputs'!$B$28*ABS((('Results'!B7*(1+'Inputs'!$B$24)*(0.5*((((513-43)*MAX('Inputs'!$B$33,'Inputs'!$B$29+'Inputs'!$B$31+'Inputs'!$B$32,'Inputs'!$B$30+'Inputs'!$B$31+'Inputs'!$B$32)/1000+'Inputs'!$B$21)+'Inputs'!$B$7)/SQRT((((513-43)*MAX('Inputs'!$B$33,'Inputs'!$B$29+'Inputs'!$B$31+'Inputs'!$B$32,'Inputs'!$B$30+'Inputs'!$B$31+'Inputs'!$B$32)/1000+'Inputs'!$B$21)+'Inputs'!$B$7)^2+('Inputs'!$B$6/2)^2)-(((513-43)*MAX('Inputs'!$B$33,'Inputs'!$B$29+'Inputs'!$B$31+'Inputs'!$B$32,'Inputs'!$B$30+'Inputs'!$B$31+'Inputs'!$B$32)/1000+'Inputs'!$B$21))/SQRT((((513-43)*MAX('Inputs'!$B$33,'Inputs'!$B$29+'Inputs'!$B$31+'Inputs'!$B$32,'Inputs'!$B$30+'Inputs'!$B$31+'Inputs'!$B$32)/1000+'Inputs'!$B$21))^2+('Inputs'!$B$6/2)^2)))-'Results'!C7*(1-'Inputs'!$B$24)*(0.5*((((513-43)*MAX('Inputs'!$B$33,'Inputs'!$B$29+'Inputs'!$B$31+'Inputs'!$B$32,'Inputs'!$B$30+'Inputs'!$B$31+'Inputs'!$B$32)/1000+'Inputs'!$B$21+'Inputs'!$B$7+'Inputs'!$B$10)+'Inputs'!$B$9)/SQRT((((513-43)*MAX('Inputs'!$B$33,'Inputs'!$B$29+'Inputs'!$B$31+'Inputs'!$B$32,'Inputs'!$B$30+'Inputs'!$B$31+'Inputs'!$B$32)/1000+'Inputs'!$B$21+'Inputs'!$B$7+'Inputs'!$B$10)+'Inputs'!$B$9)^2+('Inputs'!$B$8/2)^2)-(((513-43)*MAX('Inputs'!$B$33,'Inputs'!$B$29+'Inputs'!$B$31+'Inputs'!$B$32,'Inputs'!$B$30+'Inputs'!$B$31+'Inputs'!$B$32)/1000+'Inputs'!$B$21+'Inputs'!$B$7+'Inputs'!$B$10))/SQRT((((513-43)*MAX('Inputs'!$B$33,'Inputs'!$B$29+'Inputs'!$B$31+'Inputs'!$B$32,'Inputs'!$B$30+'Inputs'!$B$31+'Inputs'!$B$32)/1000+'Inputs'!$B$21+'Inputs'!$B$7+'Inputs'!$B$10))^2+('Inputs'!$B$8/2)^2))))*'Results'!$B$8))),"")</x:f>
        <x:v>5.766875054287699</x:v>
      </x:c>
      <x:c r="M513" t="n">
        <x:f>IF(AND(ISNUMBER('Results'!C7),ISNUMBER('Results'!B7),ISNUMBER('Results'!$B$8),ISNUMBER('Inputs'!$B$6),ISNUMBER('Inputs'!$B$7),ISNUMBER('Inputs'!$B$8),ISNUMBER('Inputs'!$B$9),ISNUMBER('Inputs'!$B$10),ISNUMBER('Inputs'!$B$21),ISNUMBER('Inputs'!$B$24),ISNUMBER('Inputs'!$B$28)),(('Results'!C7*(0.5*((((513-43)*MAX('Inputs'!$B$33,'Inputs'!$B$29+'Inputs'!$B$31+'Inputs'!$B$32,'Inputs'!$B$30+'Inputs'!$B$31+'Inputs'!$B$32)/1000+'Inputs'!$B$21)+'Inputs'!$B$9)/SQRT((((513-43)*MAX('Inputs'!$B$33,'Inputs'!$B$29+'Inputs'!$B$31+'Inputs'!$B$32,'Inputs'!$B$30+'Inputs'!$B$31+'Inputs'!$B$32)/1000+'Inputs'!$B$21)+'Inputs'!$B$9)^2+('Inputs'!$B$8/2)^2)-(((513-43)*MAX('Inputs'!$B$33,'Inputs'!$B$29+'Inputs'!$B$31+'Inputs'!$B$32,'Inputs'!$B$30+'Inputs'!$B$31+'Inputs'!$B$32)/1000+'Inputs'!$B$21))/SQRT((((513-43)*MAX('Inputs'!$B$33,'Inputs'!$B$29+'Inputs'!$B$31+'Inputs'!$B$32,'Inputs'!$B$30+'Inputs'!$B$31+'Inputs'!$B$32)/1000+'Inputs'!$B$21))^2+('Inputs'!$B$8/2)^2)))-'Results'!B7*(0.5*((((513-43)*MAX('Inputs'!$B$33,'Inputs'!$B$29+'Inputs'!$B$31+'Inputs'!$B$32,'Inputs'!$B$30+'Inputs'!$B$31+'Inputs'!$B$32)/1000+'Inputs'!$B$21+'Inputs'!$B$9+'Inputs'!$B$10)+'Inputs'!$B$7)/SQRT((((513-43)*MAX('Inputs'!$B$33,'Inputs'!$B$29+'Inputs'!$B$31+'Inputs'!$B$32,'Inputs'!$B$30+'Inputs'!$B$31+'Inputs'!$B$32)/1000+'Inputs'!$B$21+'Inputs'!$B$9+'Inputs'!$B$10)+'Inputs'!$B$7)^2+('Inputs'!$B$6/2)^2)-(((513-43)*MAX('Inputs'!$B$33,'Inputs'!$B$29+'Inputs'!$B$31+'Inputs'!$B$32,'Inputs'!$B$30+'Inputs'!$B$31+'Inputs'!$B$32)/1000+'Inputs'!$B$21+'Inputs'!$B$9+'Inputs'!$B$10))/SQRT((((513-43)*MAX('Inputs'!$B$33,'Inputs'!$B$29+'Inputs'!$B$31+'Inputs'!$B$32,'Inputs'!$B$30+'Inputs'!$B$31+'Inputs'!$B$32)/1000+'Inputs'!$B$21+'Inputs'!$B$9+'Inputs'!$B$10))^2+('Inputs'!$B$6/2)^2))))*'Results'!$B$8),"")</x:f>
        <x:v>4.822348595962713</x:v>
      </x:c>
      <x:c r="N513" t="n">
        <x:f>IF(AND(ISNUMBER('Results'!C7),ISNUMBER('Results'!B7),ISNUMBER('Results'!$B$8),ISNUMBER('Inputs'!$B$6),ISNUMBER('Inputs'!$B$7),ISNUMBER('Inputs'!$B$8),ISNUMBER('Inputs'!$B$9),ISNUMBER('Inputs'!$B$10),ISNUMBER('Inputs'!$B$21),ISNUMBER('Inputs'!$B$24),ISNUMBER('Inputs'!$B$28)),((('Results'!C7*(1-'Inputs'!$B$24)*(0.5*((((513-43)*MAX('Inputs'!$B$33,'Inputs'!$B$29+'Inputs'!$B$31+'Inputs'!$B$32,'Inputs'!$B$30+'Inputs'!$B$31+'Inputs'!$B$32)/1000+'Inputs'!$B$21)+'Inputs'!$B$9)/SQRT((((513-43)*MAX('Inputs'!$B$33,'Inputs'!$B$29+'Inputs'!$B$31+'Inputs'!$B$32,'Inputs'!$B$30+'Inputs'!$B$31+'Inputs'!$B$32)/1000+'Inputs'!$B$21)+'Inputs'!$B$9)^2+('Inputs'!$B$8/2)^2)-(((513-43)*MAX('Inputs'!$B$33,'Inputs'!$B$29+'Inputs'!$B$31+'Inputs'!$B$32,'Inputs'!$B$30+'Inputs'!$B$31+'Inputs'!$B$32)/1000+'Inputs'!$B$21))/SQRT((((513-43)*MAX('Inputs'!$B$33,'Inputs'!$B$29+'Inputs'!$B$31+'Inputs'!$B$32,'Inputs'!$B$30+'Inputs'!$B$31+'Inputs'!$B$32)/1000+'Inputs'!$B$21))^2+('Inputs'!$B$8/2)^2)))-'Results'!B7*(1+'Inputs'!$B$24)*(0.5*((((513-43)*MAX('Inputs'!$B$33,'Inputs'!$B$29+'Inputs'!$B$31+'Inputs'!$B$32,'Inputs'!$B$30+'Inputs'!$B$31+'Inputs'!$B$32)/1000+'Inputs'!$B$21+'Inputs'!$B$9+'Inputs'!$B$10)+'Inputs'!$B$7)/SQRT((((513-43)*MAX('Inputs'!$B$33,'Inputs'!$B$29+'Inputs'!$B$31+'Inputs'!$B$32,'Inputs'!$B$30+'Inputs'!$B$31+'Inputs'!$B$32)/1000+'Inputs'!$B$21+'Inputs'!$B$9+'Inputs'!$B$10)+'Inputs'!$B$7)^2+('Inputs'!$B$6/2)^2)-(((513-43)*MAX('Inputs'!$B$33,'Inputs'!$B$29+'Inputs'!$B$31+'Inputs'!$B$32,'Inputs'!$B$30+'Inputs'!$B$31+'Inputs'!$B$32)/1000+'Inputs'!$B$21+'Inputs'!$B$9+'Inputs'!$B$10))/SQRT((((513-43)*MAX('Inputs'!$B$33,'Inputs'!$B$29+'Inputs'!$B$31+'Inputs'!$B$32,'Inputs'!$B$30+'Inputs'!$B$31+'Inputs'!$B$32)/1000+'Inputs'!$B$21+'Inputs'!$B$9+'Inputs'!$B$10))^2+('Inputs'!$B$6/2)^2))))*'Results'!$B$8)-'Inputs'!$B$28*ABS((('Results'!C7*(1-'Inputs'!$B$24)*(0.5*((((513-43)*MAX('Inputs'!$B$33,'Inputs'!$B$29+'Inputs'!$B$31+'Inputs'!$B$32,'Inputs'!$B$30+'Inputs'!$B$31+'Inputs'!$B$32)/1000+'Inputs'!$B$21)+'Inputs'!$B$9)/SQRT((((513-43)*MAX('Inputs'!$B$33,'Inputs'!$B$29+'Inputs'!$B$31+'Inputs'!$B$32,'Inputs'!$B$30+'Inputs'!$B$31+'Inputs'!$B$32)/1000+'Inputs'!$B$21)+'Inputs'!$B$9)^2+('Inputs'!$B$8/2)^2)-(((513-43)*MAX('Inputs'!$B$33,'Inputs'!$B$29+'Inputs'!$B$31+'Inputs'!$B$32,'Inputs'!$B$30+'Inputs'!$B$31+'Inputs'!$B$32)/1000+'Inputs'!$B$21))/SQRT((((513-43)*MAX('Inputs'!$B$33,'Inputs'!$B$29+'Inputs'!$B$31+'Inputs'!$B$32,'Inputs'!$B$30+'Inputs'!$B$31+'Inputs'!$B$32)/1000+'Inputs'!$B$21))^2+('Inputs'!$B$8/2)^2)))-'Results'!B7*(1+'Inputs'!$B$24)*(0.5*((((513-43)*MAX('Inputs'!$B$33,'Inputs'!$B$29+'Inputs'!$B$31+'Inputs'!$B$32,'Inputs'!$B$30+'Inputs'!$B$31+'Inputs'!$B$32)/1000+'Inputs'!$B$21+'Inputs'!$B$9+'Inputs'!$B$10)+'Inputs'!$B$7)/SQRT((((513-43)*MAX('Inputs'!$B$33,'Inputs'!$B$29+'Inputs'!$B$31+'Inputs'!$B$32,'Inputs'!$B$30+'Inputs'!$B$31+'Inputs'!$B$32)/1000+'Inputs'!$B$21+'Inputs'!$B$9+'Inputs'!$B$10)+'Inputs'!$B$7)^2+('Inputs'!$B$6/2)^2)-(((513-43)*MAX('Inputs'!$B$33,'Inputs'!$B$29+'Inputs'!$B$31+'Inputs'!$B$32,'Inputs'!$B$30+'Inputs'!$B$31+'Inputs'!$B$32)/1000+'Inputs'!$B$21+'Inputs'!$B$9+'Inputs'!$B$10))/SQRT((((513-43)*MAX('Inputs'!$B$33,'Inputs'!$B$29+'Inputs'!$B$31+'Inputs'!$B$32,'Inputs'!$B$30+'Inputs'!$B$31+'Inputs'!$B$32)/1000+'Inputs'!$B$21+'Inputs'!$B$9+'Inputs'!$B$10))^2+('Inputs'!$B$6/2)^2))))*'Results'!$B$8))),"")</x:f>
        <x:v>4.266055587618182</x:v>
      </x:c>
      <x:c r="O513" t="n">
        <x:f>IF(AND(ISNUMBER('Results'!C7),ISNUMBER('Results'!B7),ISNUMBER('Results'!$B$8),ISNUMBER('Inputs'!$B$6),ISNUMBER('Inputs'!$B$7),ISNUMBER('Inputs'!$B$8),ISNUMBER('Inputs'!$B$9),ISNUMBER('Inputs'!$B$10),ISNUMBER('Inputs'!$B$21),ISNUMBER('Inputs'!$B$24),ISNUMBER('Inputs'!$B$28)),((('Results'!C7*(1+'Inputs'!$B$24)*(0.5*((((513-43)*MAX('Inputs'!$B$33,'Inputs'!$B$29+'Inputs'!$B$31+'Inputs'!$B$32,'Inputs'!$B$30+'Inputs'!$B$31+'Inputs'!$B$32)/1000+'Inputs'!$B$21)+'Inputs'!$B$9)/SQRT((((513-43)*MAX('Inputs'!$B$33,'Inputs'!$B$29+'Inputs'!$B$31+'Inputs'!$B$32,'Inputs'!$B$30+'Inputs'!$B$31+'Inputs'!$B$32)/1000+'Inputs'!$B$21)+'Inputs'!$B$9)^2+('Inputs'!$B$8/2)^2)-(((513-43)*MAX('Inputs'!$B$33,'Inputs'!$B$29+'Inputs'!$B$31+'Inputs'!$B$32,'Inputs'!$B$30+'Inputs'!$B$31+'Inputs'!$B$32)/1000+'Inputs'!$B$21))/SQRT((((513-43)*MAX('Inputs'!$B$33,'Inputs'!$B$29+'Inputs'!$B$31+'Inputs'!$B$32,'Inputs'!$B$30+'Inputs'!$B$31+'Inputs'!$B$32)/1000+'Inputs'!$B$21))^2+('Inputs'!$B$8/2)^2)))-'Results'!B7*(1-'Inputs'!$B$24)*(0.5*((((513-43)*MAX('Inputs'!$B$33,'Inputs'!$B$29+'Inputs'!$B$31+'Inputs'!$B$32,'Inputs'!$B$30+'Inputs'!$B$31+'Inputs'!$B$32)/1000+'Inputs'!$B$21+'Inputs'!$B$9+'Inputs'!$B$10)+'Inputs'!$B$7)/SQRT((((513-43)*MAX('Inputs'!$B$33,'Inputs'!$B$29+'Inputs'!$B$31+'Inputs'!$B$32,'Inputs'!$B$30+'Inputs'!$B$31+'Inputs'!$B$32)/1000+'Inputs'!$B$21+'Inputs'!$B$9+'Inputs'!$B$10)+'Inputs'!$B$7)^2+('Inputs'!$B$6/2)^2)-(((513-43)*MAX('Inputs'!$B$33,'Inputs'!$B$29+'Inputs'!$B$31+'Inputs'!$B$32,'Inputs'!$B$30+'Inputs'!$B$31+'Inputs'!$B$32)/1000+'Inputs'!$B$21+'Inputs'!$B$9+'Inputs'!$B$10))/SQRT((((513-43)*MAX('Inputs'!$B$33,'Inputs'!$B$29+'Inputs'!$B$31+'Inputs'!$B$32,'Inputs'!$B$30+'Inputs'!$B$31+'Inputs'!$B$32)/1000+'Inputs'!$B$21+'Inputs'!$B$9+'Inputs'!$B$10))^2+('Inputs'!$B$6/2)^2))))*'Results'!$B$8)+'Inputs'!$B$28*ABS((('Results'!C7*(1+'Inputs'!$B$24)*(0.5*((((513-43)*MAX('Inputs'!$B$33,'Inputs'!$B$29+'Inputs'!$B$31+'Inputs'!$B$32,'Inputs'!$B$30+'Inputs'!$B$31+'Inputs'!$B$32)/1000+'Inputs'!$B$21)+'Inputs'!$B$9)/SQRT((((513-43)*MAX('Inputs'!$B$33,'Inputs'!$B$29+'Inputs'!$B$31+'Inputs'!$B$32,'Inputs'!$B$30+'Inputs'!$B$31+'Inputs'!$B$32)/1000+'Inputs'!$B$21)+'Inputs'!$B$9)^2+('Inputs'!$B$8/2)^2)-(((513-43)*MAX('Inputs'!$B$33,'Inputs'!$B$29+'Inputs'!$B$31+'Inputs'!$B$32,'Inputs'!$B$30+'Inputs'!$B$31+'Inputs'!$B$32)/1000+'Inputs'!$B$21))/SQRT((((513-43)*MAX('Inputs'!$B$33,'Inputs'!$B$29+'Inputs'!$B$31+'Inputs'!$B$32,'Inputs'!$B$30+'Inputs'!$B$31+'Inputs'!$B$32)/1000+'Inputs'!$B$21))^2+('Inputs'!$B$8/2)^2)))-'Results'!B7*(1-'Inputs'!$B$24)*(0.5*((((513-43)*MAX('Inputs'!$B$33,'Inputs'!$B$29+'Inputs'!$B$31+'Inputs'!$B$32,'Inputs'!$B$30+'Inputs'!$B$31+'Inputs'!$B$32)/1000+'Inputs'!$B$21+'Inputs'!$B$9+'Inputs'!$B$10)+'Inputs'!$B$7)/SQRT((((513-43)*MAX('Inputs'!$B$33,'Inputs'!$B$29+'Inputs'!$B$31+'Inputs'!$B$32,'Inputs'!$B$30+'Inputs'!$B$31+'Inputs'!$B$32)/1000+'Inputs'!$B$21+'Inputs'!$B$9+'Inputs'!$B$10)+'Inputs'!$B$7)^2+('Inputs'!$B$6/2)^2)-(((513-43)*MAX('Inputs'!$B$33,'Inputs'!$B$29+'Inputs'!$B$31+'Inputs'!$B$32,'Inputs'!$B$30+'Inputs'!$B$31+'Inputs'!$B$32)/1000+'Inputs'!$B$21+'Inputs'!$B$9+'Inputs'!$B$10))/SQRT((((513-43)*MAX('Inputs'!$B$33,'Inputs'!$B$29+'Inputs'!$B$31+'Inputs'!$B$32,'Inputs'!$B$30+'Inputs'!$B$31+'Inputs'!$B$32)/1000+'Inputs'!$B$21+'Inputs'!$B$9+'Inputs'!$B$10))^2+('Inputs'!$B$6/2)^2))))*'Results'!$B$8))),"")</x:f>
        <x:v>5.4118179809963385</x:v>
      </x:c>
      <x:c r="P513" t="n">
        <x:f>IF(AND(MAX(J513,J512)&gt;0,J513&gt;J512+0.00000001),1,0)</x:f>
        <x:v>0</x:v>
      </x:c>
      <x:c r="Q513" t="n">
        <x:f>IF(AND(MAX(K513,K512)&gt;0,K513&gt;K512+0.00000001),1,0)</x:f>
        <x:v>0</x:v>
      </x:c>
      <x:c r="R513" t="n">
        <x:f>IF(AND(MAX(L513,L512)&gt;0,L513&gt;L512+0.00000001),1,0)</x:f>
        <x:v>0</x:v>
      </x:c>
      <x:c r="S513" t="n">
        <x:f>IF(AND(MAX(M513,M512)&gt;0,M513&gt;M512+0.00000001),1,0)</x:f>
        <x:v>0</x:v>
      </x:c>
      <x:c r="T513" t="n">
        <x:f>IF(AND(MAX(N513,N512)&gt;0,N513&gt;N512+0.00000001),1,0)</x:f>
        <x:v>0</x:v>
      </x:c>
      <x:c r="U513" t="n">
        <x:f>IF(AND(MAX(O513,O512)&gt;0,O513&gt;O512+0.00000001),1,0)</x:f>
        <x:v>0</x:v>
      </x:c>
    </x:row>
    <x:row r="514">
      <x:c r="J514" t="n">
        <x:f>IF(AND(ISNUMBER('Results'!B7),ISNUMBER('Results'!C7),ISNUMBER('Results'!$B$8),ISNUMBER('Inputs'!$B$6),ISNUMBER('Inputs'!$B$7),ISNUMBER('Inputs'!$B$8),ISNUMBER('Inputs'!$B$9),ISNUMBER('Inputs'!$B$10),ISNUMBER('Inputs'!$B$21),ISNUMBER('Inputs'!$B$24),ISNUMBER('Inputs'!$B$28)),(('Results'!B7*(0.5*((((514-43)*MAX('Inputs'!$B$33,'Inputs'!$B$29+'Inputs'!$B$31+'Inputs'!$B$32,'Inputs'!$B$30+'Inputs'!$B$31+'Inputs'!$B$32)/1000+'Inputs'!$B$21)+'Inputs'!$B$7)/SQRT((((514-43)*MAX('Inputs'!$B$33,'Inputs'!$B$29+'Inputs'!$B$31+'Inputs'!$B$32,'Inputs'!$B$30+'Inputs'!$B$31+'Inputs'!$B$32)/1000+'Inputs'!$B$21)+'Inputs'!$B$7)^2+('Inputs'!$B$6/2)^2)-(((514-43)*MAX('Inputs'!$B$33,'Inputs'!$B$29+'Inputs'!$B$31+'Inputs'!$B$32,'Inputs'!$B$30+'Inputs'!$B$31+'Inputs'!$B$32)/1000+'Inputs'!$B$21))/SQRT((((514-43)*MAX('Inputs'!$B$33,'Inputs'!$B$29+'Inputs'!$B$31+'Inputs'!$B$32,'Inputs'!$B$30+'Inputs'!$B$31+'Inputs'!$B$32)/1000+'Inputs'!$B$21))^2+('Inputs'!$B$6/2)^2)))-'Results'!C7*(0.5*((((514-43)*MAX('Inputs'!$B$33,'Inputs'!$B$29+'Inputs'!$B$31+'Inputs'!$B$32,'Inputs'!$B$30+'Inputs'!$B$31+'Inputs'!$B$32)/1000+'Inputs'!$B$21+'Inputs'!$B$7+'Inputs'!$B$10)+'Inputs'!$B$9)/SQRT((((514-43)*MAX('Inputs'!$B$33,'Inputs'!$B$29+'Inputs'!$B$31+'Inputs'!$B$32,'Inputs'!$B$30+'Inputs'!$B$31+'Inputs'!$B$32)/1000+'Inputs'!$B$21+'Inputs'!$B$7+'Inputs'!$B$10)+'Inputs'!$B$9)^2+('Inputs'!$B$8/2)^2)-(((514-43)*MAX('Inputs'!$B$33,'Inputs'!$B$29+'Inputs'!$B$31+'Inputs'!$B$32,'Inputs'!$B$30+'Inputs'!$B$31+'Inputs'!$B$32)/1000+'Inputs'!$B$21+'Inputs'!$B$7+'Inputs'!$B$10))/SQRT((((514-43)*MAX('Inputs'!$B$33,'Inputs'!$B$29+'Inputs'!$B$31+'Inputs'!$B$32,'Inputs'!$B$30+'Inputs'!$B$31+'Inputs'!$B$32)/1000+'Inputs'!$B$21+'Inputs'!$B$7+'Inputs'!$B$10))^2+('Inputs'!$B$8/2)^2))))*'Results'!$B$8),"")</x:f>
        <x:v>5.121492186633796</x:v>
      </x:c>
      <x:c r="K514" t="n">
        <x:f>IF(AND(ISNUMBER('Results'!B7),ISNUMBER('Results'!C7),ISNUMBER('Results'!$B$8),ISNUMBER('Inputs'!$B$6),ISNUMBER('Inputs'!$B$7),ISNUMBER('Inputs'!$B$8),ISNUMBER('Inputs'!$B$9),ISNUMBER('Inputs'!$B$10),ISNUMBER('Inputs'!$B$21),ISNUMBER('Inputs'!$B$24),ISNUMBER('Inputs'!$B$28)),((('Results'!B7*(1-'Inputs'!$B$24)*(0.5*((((514-43)*MAX('Inputs'!$B$33,'Inputs'!$B$29+'Inputs'!$B$31+'Inputs'!$B$32,'Inputs'!$B$30+'Inputs'!$B$31+'Inputs'!$B$32)/1000+'Inputs'!$B$21)+'Inputs'!$B$7)/SQRT((((514-43)*MAX('Inputs'!$B$33,'Inputs'!$B$29+'Inputs'!$B$31+'Inputs'!$B$32,'Inputs'!$B$30+'Inputs'!$B$31+'Inputs'!$B$32)/1000+'Inputs'!$B$21)+'Inputs'!$B$7)^2+('Inputs'!$B$6/2)^2)-(((514-43)*MAX('Inputs'!$B$33,'Inputs'!$B$29+'Inputs'!$B$31+'Inputs'!$B$32,'Inputs'!$B$30+'Inputs'!$B$31+'Inputs'!$B$32)/1000+'Inputs'!$B$21))/SQRT((((514-43)*MAX('Inputs'!$B$33,'Inputs'!$B$29+'Inputs'!$B$31+'Inputs'!$B$32,'Inputs'!$B$30+'Inputs'!$B$31+'Inputs'!$B$32)/1000+'Inputs'!$B$21))^2+('Inputs'!$B$6/2)^2)))-'Results'!C7*(1+'Inputs'!$B$24)*(0.5*((((514-43)*MAX('Inputs'!$B$33,'Inputs'!$B$29+'Inputs'!$B$31+'Inputs'!$B$32,'Inputs'!$B$30+'Inputs'!$B$31+'Inputs'!$B$32)/1000+'Inputs'!$B$21+'Inputs'!$B$7+'Inputs'!$B$10)+'Inputs'!$B$9)/SQRT((((514-43)*MAX('Inputs'!$B$33,'Inputs'!$B$29+'Inputs'!$B$31+'Inputs'!$B$32,'Inputs'!$B$30+'Inputs'!$B$31+'Inputs'!$B$32)/1000+'Inputs'!$B$21+'Inputs'!$B$7+'Inputs'!$B$10)+'Inputs'!$B$9)^2+('Inputs'!$B$8/2)^2)-(((514-43)*MAX('Inputs'!$B$33,'Inputs'!$B$29+'Inputs'!$B$31+'Inputs'!$B$32,'Inputs'!$B$30+'Inputs'!$B$31+'Inputs'!$B$32)/1000+'Inputs'!$B$21+'Inputs'!$B$7+'Inputs'!$B$10))/SQRT((((514-43)*MAX('Inputs'!$B$33,'Inputs'!$B$29+'Inputs'!$B$31+'Inputs'!$B$32,'Inputs'!$B$30+'Inputs'!$B$31+'Inputs'!$B$32)/1000+'Inputs'!$B$21+'Inputs'!$B$7+'Inputs'!$B$10))^2+('Inputs'!$B$8/2)^2))))*'Results'!$B$8)-'Inputs'!$B$28*ABS((('Results'!B7*(1-'Inputs'!$B$24)*(0.5*((((514-43)*MAX('Inputs'!$B$33,'Inputs'!$B$29+'Inputs'!$B$31+'Inputs'!$B$32,'Inputs'!$B$30+'Inputs'!$B$31+'Inputs'!$B$32)/1000+'Inputs'!$B$21)+'Inputs'!$B$7)/SQRT((((514-43)*MAX('Inputs'!$B$33,'Inputs'!$B$29+'Inputs'!$B$31+'Inputs'!$B$32,'Inputs'!$B$30+'Inputs'!$B$31+'Inputs'!$B$32)/1000+'Inputs'!$B$21)+'Inputs'!$B$7)^2+('Inputs'!$B$6/2)^2)-(((514-43)*MAX('Inputs'!$B$33,'Inputs'!$B$29+'Inputs'!$B$31+'Inputs'!$B$32,'Inputs'!$B$30+'Inputs'!$B$31+'Inputs'!$B$32)/1000+'Inputs'!$B$21))/SQRT((((514-43)*MAX('Inputs'!$B$33,'Inputs'!$B$29+'Inputs'!$B$31+'Inputs'!$B$32,'Inputs'!$B$30+'Inputs'!$B$31+'Inputs'!$B$32)/1000+'Inputs'!$B$21))^2+('Inputs'!$B$6/2)^2)))-'Results'!C7*(1+'Inputs'!$B$24)*(0.5*((((514-43)*MAX('Inputs'!$B$33,'Inputs'!$B$29+'Inputs'!$B$31+'Inputs'!$B$32,'Inputs'!$B$30+'Inputs'!$B$31+'Inputs'!$B$32)/1000+'Inputs'!$B$21+'Inputs'!$B$7+'Inputs'!$B$10)+'Inputs'!$B$9)/SQRT((((514-43)*MAX('Inputs'!$B$33,'Inputs'!$B$29+'Inputs'!$B$31+'Inputs'!$B$32,'Inputs'!$B$30+'Inputs'!$B$31+'Inputs'!$B$32)/1000+'Inputs'!$B$21+'Inputs'!$B$7+'Inputs'!$B$10)+'Inputs'!$B$9)^2+('Inputs'!$B$8/2)^2)-(((514-43)*MAX('Inputs'!$B$33,'Inputs'!$B$29+'Inputs'!$B$31+'Inputs'!$B$32,'Inputs'!$B$30+'Inputs'!$B$31+'Inputs'!$B$32)/1000+'Inputs'!$B$21+'Inputs'!$B$7+'Inputs'!$B$10))/SQRT((((514-43)*MAX('Inputs'!$B$33,'Inputs'!$B$29+'Inputs'!$B$31+'Inputs'!$B$32,'Inputs'!$B$30+'Inputs'!$B$31+'Inputs'!$B$32)/1000+'Inputs'!$B$21+'Inputs'!$B$7+'Inputs'!$B$10))^2+('Inputs'!$B$8/2)^2))))*'Results'!$B$8))),"")</x:f>
        <x:v>4.550096038347072</x:v>
      </x:c>
      <x:c r="L514" t="n">
        <x:f>IF(AND(ISNUMBER('Results'!B7),ISNUMBER('Results'!C7),ISNUMBER('Results'!$B$8),ISNUMBER('Inputs'!$B$6),ISNUMBER('Inputs'!$B$7),ISNUMBER('Inputs'!$B$8),ISNUMBER('Inputs'!$B$9),ISNUMBER('Inputs'!$B$10),ISNUMBER('Inputs'!$B$21),ISNUMBER('Inputs'!$B$24),ISNUMBER('Inputs'!$B$28)),((('Results'!B7*(1+'Inputs'!$B$24)*(0.5*((((514-43)*MAX('Inputs'!$B$33,'Inputs'!$B$29+'Inputs'!$B$31+'Inputs'!$B$32,'Inputs'!$B$30+'Inputs'!$B$31+'Inputs'!$B$32)/1000+'Inputs'!$B$21)+'Inputs'!$B$7)/SQRT((((514-43)*MAX('Inputs'!$B$33,'Inputs'!$B$29+'Inputs'!$B$31+'Inputs'!$B$32,'Inputs'!$B$30+'Inputs'!$B$31+'Inputs'!$B$32)/1000+'Inputs'!$B$21)+'Inputs'!$B$7)^2+('Inputs'!$B$6/2)^2)-(((514-43)*MAX('Inputs'!$B$33,'Inputs'!$B$29+'Inputs'!$B$31+'Inputs'!$B$32,'Inputs'!$B$30+'Inputs'!$B$31+'Inputs'!$B$32)/1000+'Inputs'!$B$21))/SQRT((((514-43)*MAX('Inputs'!$B$33,'Inputs'!$B$29+'Inputs'!$B$31+'Inputs'!$B$32,'Inputs'!$B$30+'Inputs'!$B$31+'Inputs'!$B$32)/1000+'Inputs'!$B$21))^2+('Inputs'!$B$6/2)^2)))-'Results'!C7*(1-'Inputs'!$B$24)*(0.5*((((514-43)*MAX('Inputs'!$B$33,'Inputs'!$B$29+'Inputs'!$B$31+'Inputs'!$B$32,'Inputs'!$B$30+'Inputs'!$B$31+'Inputs'!$B$32)/1000+'Inputs'!$B$21+'Inputs'!$B$7+'Inputs'!$B$10)+'Inputs'!$B$9)/SQRT((((514-43)*MAX('Inputs'!$B$33,'Inputs'!$B$29+'Inputs'!$B$31+'Inputs'!$B$32,'Inputs'!$B$30+'Inputs'!$B$31+'Inputs'!$B$32)/1000+'Inputs'!$B$21+'Inputs'!$B$7+'Inputs'!$B$10)+'Inputs'!$B$9)^2+('Inputs'!$B$8/2)^2)-(((514-43)*MAX('Inputs'!$B$33,'Inputs'!$B$29+'Inputs'!$B$31+'Inputs'!$B$32,'Inputs'!$B$30+'Inputs'!$B$31+'Inputs'!$B$32)/1000+'Inputs'!$B$21+'Inputs'!$B$7+'Inputs'!$B$10))/SQRT((((514-43)*MAX('Inputs'!$B$33,'Inputs'!$B$29+'Inputs'!$B$31+'Inputs'!$B$32,'Inputs'!$B$30+'Inputs'!$B$31+'Inputs'!$B$32)/1000+'Inputs'!$B$21+'Inputs'!$B$7+'Inputs'!$B$10))^2+('Inputs'!$B$8/2)^2))))*'Results'!$B$8)+'Inputs'!$B$28*ABS((('Results'!B7*(1+'Inputs'!$B$24)*(0.5*((((514-43)*MAX('Inputs'!$B$33,'Inputs'!$B$29+'Inputs'!$B$31+'Inputs'!$B$32,'Inputs'!$B$30+'Inputs'!$B$31+'Inputs'!$B$32)/1000+'Inputs'!$B$21)+'Inputs'!$B$7)/SQRT((((514-43)*MAX('Inputs'!$B$33,'Inputs'!$B$29+'Inputs'!$B$31+'Inputs'!$B$32,'Inputs'!$B$30+'Inputs'!$B$31+'Inputs'!$B$32)/1000+'Inputs'!$B$21)+'Inputs'!$B$7)^2+('Inputs'!$B$6/2)^2)-(((514-43)*MAX('Inputs'!$B$33,'Inputs'!$B$29+'Inputs'!$B$31+'Inputs'!$B$32,'Inputs'!$B$30+'Inputs'!$B$31+'Inputs'!$B$32)/1000+'Inputs'!$B$21))/SQRT((((514-43)*MAX('Inputs'!$B$33,'Inputs'!$B$29+'Inputs'!$B$31+'Inputs'!$B$32,'Inputs'!$B$30+'Inputs'!$B$31+'Inputs'!$B$32)/1000+'Inputs'!$B$21))^2+('Inputs'!$B$6/2)^2)))-'Results'!C7*(1-'Inputs'!$B$24)*(0.5*((((514-43)*MAX('Inputs'!$B$33,'Inputs'!$B$29+'Inputs'!$B$31+'Inputs'!$B$32,'Inputs'!$B$30+'Inputs'!$B$31+'Inputs'!$B$32)/1000+'Inputs'!$B$21+'Inputs'!$B$7+'Inputs'!$B$10)+'Inputs'!$B$9)/SQRT((((514-43)*MAX('Inputs'!$B$33,'Inputs'!$B$29+'Inputs'!$B$31+'Inputs'!$B$32,'Inputs'!$B$30+'Inputs'!$B$31+'Inputs'!$B$32)/1000+'Inputs'!$B$21+'Inputs'!$B$7+'Inputs'!$B$10)+'Inputs'!$B$9)^2+('Inputs'!$B$8/2)^2)-(((514-43)*MAX('Inputs'!$B$33,'Inputs'!$B$29+'Inputs'!$B$31+'Inputs'!$B$32,'Inputs'!$B$30+'Inputs'!$B$31+'Inputs'!$B$32)/1000+'Inputs'!$B$21+'Inputs'!$B$7+'Inputs'!$B$10))/SQRT((((514-43)*MAX('Inputs'!$B$33,'Inputs'!$B$29+'Inputs'!$B$31+'Inputs'!$B$32,'Inputs'!$B$30+'Inputs'!$B$31+'Inputs'!$B$32)/1000+'Inputs'!$B$21+'Inputs'!$B$7+'Inputs'!$B$10))^2+('Inputs'!$B$8/2)^2))))*'Results'!$B$8))),"")</x:f>
        <x:v>5.726080075863157</x:v>
      </x:c>
      <x:c r="M514" t="n">
        <x:f>IF(AND(ISNUMBER('Results'!C7),ISNUMBER('Results'!B7),ISNUMBER('Results'!$B$8),ISNUMBER('Inputs'!$B$6),ISNUMBER('Inputs'!$B$7),ISNUMBER('Inputs'!$B$8),ISNUMBER('Inputs'!$B$9),ISNUMBER('Inputs'!$B$10),ISNUMBER('Inputs'!$B$21),ISNUMBER('Inputs'!$B$24),ISNUMBER('Inputs'!$B$28)),(('Results'!C7*(0.5*((((514-43)*MAX('Inputs'!$B$33,'Inputs'!$B$29+'Inputs'!$B$31+'Inputs'!$B$32,'Inputs'!$B$30+'Inputs'!$B$31+'Inputs'!$B$32)/1000+'Inputs'!$B$21)+'Inputs'!$B$9)/SQRT((((514-43)*MAX('Inputs'!$B$33,'Inputs'!$B$29+'Inputs'!$B$31+'Inputs'!$B$32,'Inputs'!$B$30+'Inputs'!$B$31+'Inputs'!$B$32)/1000+'Inputs'!$B$21)+'Inputs'!$B$9)^2+('Inputs'!$B$8/2)^2)-(((514-43)*MAX('Inputs'!$B$33,'Inputs'!$B$29+'Inputs'!$B$31+'Inputs'!$B$32,'Inputs'!$B$30+'Inputs'!$B$31+'Inputs'!$B$32)/1000+'Inputs'!$B$21))/SQRT((((514-43)*MAX('Inputs'!$B$33,'Inputs'!$B$29+'Inputs'!$B$31+'Inputs'!$B$32,'Inputs'!$B$30+'Inputs'!$B$31+'Inputs'!$B$32)/1000+'Inputs'!$B$21))^2+('Inputs'!$B$8/2)^2)))-'Results'!B7*(0.5*((((514-43)*MAX('Inputs'!$B$33,'Inputs'!$B$29+'Inputs'!$B$31+'Inputs'!$B$32,'Inputs'!$B$30+'Inputs'!$B$31+'Inputs'!$B$32)/1000+'Inputs'!$B$21+'Inputs'!$B$9+'Inputs'!$B$10)+'Inputs'!$B$7)/SQRT((((514-43)*MAX('Inputs'!$B$33,'Inputs'!$B$29+'Inputs'!$B$31+'Inputs'!$B$32,'Inputs'!$B$30+'Inputs'!$B$31+'Inputs'!$B$32)/1000+'Inputs'!$B$21+'Inputs'!$B$9+'Inputs'!$B$10)+'Inputs'!$B$7)^2+('Inputs'!$B$6/2)^2)-(((514-43)*MAX('Inputs'!$B$33,'Inputs'!$B$29+'Inputs'!$B$31+'Inputs'!$B$32,'Inputs'!$B$30+'Inputs'!$B$31+'Inputs'!$B$32)/1000+'Inputs'!$B$21+'Inputs'!$B$9+'Inputs'!$B$10))/SQRT((((514-43)*MAX('Inputs'!$B$33,'Inputs'!$B$29+'Inputs'!$B$31+'Inputs'!$B$32,'Inputs'!$B$30+'Inputs'!$B$31+'Inputs'!$B$32)/1000+'Inputs'!$B$21+'Inputs'!$B$9+'Inputs'!$B$10))^2+('Inputs'!$B$6/2)^2))))*'Results'!$B$8),"")</x:f>
        <x:v>4.787233067353428</x:v>
      </x:c>
      <x:c r="N514" t="n">
        <x:f>IF(AND(ISNUMBER('Results'!C7),ISNUMBER('Results'!B7),ISNUMBER('Results'!$B$8),ISNUMBER('Inputs'!$B$6),ISNUMBER('Inputs'!$B$7),ISNUMBER('Inputs'!$B$8),ISNUMBER('Inputs'!$B$9),ISNUMBER('Inputs'!$B$10),ISNUMBER('Inputs'!$B$21),ISNUMBER('Inputs'!$B$24),ISNUMBER('Inputs'!$B$28)),((('Results'!C7*(1-'Inputs'!$B$24)*(0.5*((((514-43)*MAX('Inputs'!$B$33,'Inputs'!$B$29+'Inputs'!$B$31+'Inputs'!$B$32,'Inputs'!$B$30+'Inputs'!$B$31+'Inputs'!$B$32)/1000+'Inputs'!$B$21)+'Inputs'!$B$9)/SQRT((((514-43)*MAX('Inputs'!$B$33,'Inputs'!$B$29+'Inputs'!$B$31+'Inputs'!$B$32,'Inputs'!$B$30+'Inputs'!$B$31+'Inputs'!$B$32)/1000+'Inputs'!$B$21)+'Inputs'!$B$9)^2+('Inputs'!$B$8/2)^2)-(((514-43)*MAX('Inputs'!$B$33,'Inputs'!$B$29+'Inputs'!$B$31+'Inputs'!$B$32,'Inputs'!$B$30+'Inputs'!$B$31+'Inputs'!$B$32)/1000+'Inputs'!$B$21))/SQRT((((514-43)*MAX('Inputs'!$B$33,'Inputs'!$B$29+'Inputs'!$B$31+'Inputs'!$B$32,'Inputs'!$B$30+'Inputs'!$B$31+'Inputs'!$B$32)/1000+'Inputs'!$B$21))^2+('Inputs'!$B$8/2)^2)))-'Results'!B7*(1+'Inputs'!$B$24)*(0.5*((((514-43)*MAX('Inputs'!$B$33,'Inputs'!$B$29+'Inputs'!$B$31+'Inputs'!$B$32,'Inputs'!$B$30+'Inputs'!$B$31+'Inputs'!$B$32)/1000+'Inputs'!$B$21+'Inputs'!$B$9+'Inputs'!$B$10)+'Inputs'!$B$7)/SQRT((((514-43)*MAX('Inputs'!$B$33,'Inputs'!$B$29+'Inputs'!$B$31+'Inputs'!$B$32,'Inputs'!$B$30+'Inputs'!$B$31+'Inputs'!$B$32)/1000+'Inputs'!$B$21+'Inputs'!$B$9+'Inputs'!$B$10)+'Inputs'!$B$7)^2+('Inputs'!$B$6/2)^2)-(((514-43)*MAX('Inputs'!$B$33,'Inputs'!$B$29+'Inputs'!$B$31+'Inputs'!$B$32,'Inputs'!$B$30+'Inputs'!$B$31+'Inputs'!$B$32)/1000+'Inputs'!$B$21+'Inputs'!$B$9+'Inputs'!$B$10))/SQRT((((514-43)*MAX('Inputs'!$B$33,'Inputs'!$B$29+'Inputs'!$B$31+'Inputs'!$B$32,'Inputs'!$B$30+'Inputs'!$B$31+'Inputs'!$B$32)/1000+'Inputs'!$B$21+'Inputs'!$B$9+'Inputs'!$B$10))^2+('Inputs'!$B$6/2)^2))))*'Results'!$B$8)-'Inputs'!$B$28*ABS((('Results'!C7*(1-'Inputs'!$B$24)*(0.5*((((514-43)*MAX('Inputs'!$B$33,'Inputs'!$B$29+'Inputs'!$B$31+'Inputs'!$B$32,'Inputs'!$B$30+'Inputs'!$B$31+'Inputs'!$B$32)/1000+'Inputs'!$B$21)+'Inputs'!$B$9)/SQRT((((514-43)*MAX('Inputs'!$B$33,'Inputs'!$B$29+'Inputs'!$B$31+'Inputs'!$B$32,'Inputs'!$B$30+'Inputs'!$B$31+'Inputs'!$B$32)/1000+'Inputs'!$B$21)+'Inputs'!$B$9)^2+('Inputs'!$B$8/2)^2)-(((514-43)*MAX('Inputs'!$B$33,'Inputs'!$B$29+'Inputs'!$B$31+'Inputs'!$B$32,'Inputs'!$B$30+'Inputs'!$B$31+'Inputs'!$B$32)/1000+'Inputs'!$B$21))/SQRT((((514-43)*MAX('Inputs'!$B$33,'Inputs'!$B$29+'Inputs'!$B$31+'Inputs'!$B$32,'Inputs'!$B$30+'Inputs'!$B$31+'Inputs'!$B$32)/1000+'Inputs'!$B$21))^2+('Inputs'!$B$8/2)^2)))-'Results'!B7*(1+'Inputs'!$B$24)*(0.5*((((514-43)*MAX('Inputs'!$B$33,'Inputs'!$B$29+'Inputs'!$B$31+'Inputs'!$B$32,'Inputs'!$B$30+'Inputs'!$B$31+'Inputs'!$B$32)/1000+'Inputs'!$B$21+'Inputs'!$B$9+'Inputs'!$B$10)+'Inputs'!$B$7)/SQRT((((514-43)*MAX('Inputs'!$B$33,'Inputs'!$B$29+'Inputs'!$B$31+'Inputs'!$B$32,'Inputs'!$B$30+'Inputs'!$B$31+'Inputs'!$B$32)/1000+'Inputs'!$B$21+'Inputs'!$B$9+'Inputs'!$B$10)+'Inputs'!$B$7)^2+('Inputs'!$B$6/2)^2)-(((514-43)*MAX('Inputs'!$B$33,'Inputs'!$B$29+'Inputs'!$B$31+'Inputs'!$B$32,'Inputs'!$B$30+'Inputs'!$B$31+'Inputs'!$B$32)/1000+'Inputs'!$B$21+'Inputs'!$B$9+'Inputs'!$B$10))/SQRT((((514-43)*MAX('Inputs'!$B$33,'Inputs'!$B$29+'Inputs'!$B$31+'Inputs'!$B$32,'Inputs'!$B$30+'Inputs'!$B$31+'Inputs'!$B$32)/1000+'Inputs'!$B$21+'Inputs'!$B$9+'Inputs'!$B$10))^2+('Inputs'!$B$6/2)^2))))*'Results'!$B$8))),"")</x:f>
        <x:v>4.234451549574416</x:v>
      </x:c>
      <x:c r="O514" t="n">
        <x:f>IF(AND(ISNUMBER('Results'!C7),ISNUMBER('Results'!B7),ISNUMBER('Results'!$B$8),ISNUMBER('Inputs'!$B$6),ISNUMBER('Inputs'!$B$7),ISNUMBER('Inputs'!$B$8),ISNUMBER('Inputs'!$B$9),ISNUMBER('Inputs'!$B$10),ISNUMBER('Inputs'!$B$21),ISNUMBER('Inputs'!$B$24),ISNUMBER('Inputs'!$B$28)),((('Results'!C7*(1+'Inputs'!$B$24)*(0.5*((((514-43)*MAX('Inputs'!$B$33,'Inputs'!$B$29+'Inputs'!$B$31+'Inputs'!$B$32,'Inputs'!$B$30+'Inputs'!$B$31+'Inputs'!$B$32)/1000+'Inputs'!$B$21)+'Inputs'!$B$9)/SQRT((((514-43)*MAX('Inputs'!$B$33,'Inputs'!$B$29+'Inputs'!$B$31+'Inputs'!$B$32,'Inputs'!$B$30+'Inputs'!$B$31+'Inputs'!$B$32)/1000+'Inputs'!$B$21)+'Inputs'!$B$9)^2+('Inputs'!$B$8/2)^2)-(((514-43)*MAX('Inputs'!$B$33,'Inputs'!$B$29+'Inputs'!$B$31+'Inputs'!$B$32,'Inputs'!$B$30+'Inputs'!$B$31+'Inputs'!$B$32)/1000+'Inputs'!$B$21))/SQRT((((514-43)*MAX('Inputs'!$B$33,'Inputs'!$B$29+'Inputs'!$B$31+'Inputs'!$B$32,'Inputs'!$B$30+'Inputs'!$B$31+'Inputs'!$B$32)/1000+'Inputs'!$B$21))^2+('Inputs'!$B$8/2)^2)))-'Results'!B7*(1-'Inputs'!$B$24)*(0.5*((((514-43)*MAX('Inputs'!$B$33,'Inputs'!$B$29+'Inputs'!$B$31+'Inputs'!$B$32,'Inputs'!$B$30+'Inputs'!$B$31+'Inputs'!$B$32)/1000+'Inputs'!$B$21+'Inputs'!$B$9+'Inputs'!$B$10)+'Inputs'!$B$7)/SQRT((((514-43)*MAX('Inputs'!$B$33,'Inputs'!$B$29+'Inputs'!$B$31+'Inputs'!$B$32,'Inputs'!$B$30+'Inputs'!$B$31+'Inputs'!$B$32)/1000+'Inputs'!$B$21+'Inputs'!$B$9+'Inputs'!$B$10)+'Inputs'!$B$7)^2+('Inputs'!$B$6/2)^2)-(((514-43)*MAX('Inputs'!$B$33,'Inputs'!$B$29+'Inputs'!$B$31+'Inputs'!$B$32,'Inputs'!$B$30+'Inputs'!$B$31+'Inputs'!$B$32)/1000+'Inputs'!$B$21+'Inputs'!$B$9+'Inputs'!$B$10))/SQRT((((514-43)*MAX('Inputs'!$B$33,'Inputs'!$B$29+'Inputs'!$B$31+'Inputs'!$B$32,'Inputs'!$B$30+'Inputs'!$B$31+'Inputs'!$B$32)/1000+'Inputs'!$B$21+'Inputs'!$B$9+'Inputs'!$B$10))^2+('Inputs'!$B$6/2)^2))))*'Results'!$B$8)+'Inputs'!$B$28*ABS((('Results'!C7*(1+'Inputs'!$B$24)*(0.5*((((514-43)*MAX('Inputs'!$B$33,'Inputs'!$B$29+'Inputs'!$B$31+'Inputs'!$B$32,'Inputs'!$B$30+'Inputs'!$B$31+'Inputs'!$B$32)/1000+'Inputs'!$B$21)+'Inputs'!$B$9)/SQRT((((514-43)*MAX('Inputs'!$B$33,'Inputs'!$B$29+'Inputs'!$B$31+'Inputs'!$B$32,'Inputs'!$B$30+'Inputs'!$B$31+'Inputs'!$B$32)/1000+'Inputs'!$B$21)+'Inputs'!$B$9)^2+('Inputs'!$B$8/2)^2)-(((514-43)*MAX('Inputs'!$B$33,'Inputs'!$B$29+'Inputs'!$B$31+'Inputs'!$B$32,'Inputs'!$B$30+'Inputs'!$B$31+'Inputs'!$B$32)/1000+'Inputs'!$B$21))/SQRT((((514-43)*MAX('Inputs'!$B$33,'Inputs'!$B$29+'Inputs'!$B$31+'Inputs'!$B$32,'Inputs'!$B$30+'Inputs'!$B$31+'Inputs'!$B$32)/1000+'Inputs'!$B$21))^2+('Inputs'!$B$8/2)^2)))-'Results'!B7*(1-'Inputs'!$B$24)*(0.5*((((514-43)*MAX('Inputs'!$B$33,'Inputs'!$B$29+'Inputs'!$B$31+'Inputs'!$B$32,'Inputs'!$B$30+'Inputs'!$B$31+'Inputs'!$B$32)/1000+'Inputs'!$B$21+'Inputs'!$B$9+'Inputs'!$B$10)+'Inputs'!$B$7)/SQRT((((514-43)*MAX('Inputs'!$B$33,'Inputs'!$B$29+'Inputs'!$B$31+'Inputs'!$B$32,'Inputs'!$B$30+'Inputs'!$B$31+'Inputs'!$B$32)/1000+'Inputs'!$B$21+'Inputs'!$B$9+'Inputs'!$B$10)+'Inputs'!$B$7)^2+('Inputs'!$B$6/2)^2)-(((514-43)*MAX('Inputs'!$B$33,'Inputs'!$B$29+'Inputs'!$B$31+'Inputs'!$B$32,'Inputs'!$B$30+'Inputs'!$B$31+'Inputs'!$B$32)/1000+'Inputs'!$B$21+'Inputs'!$B$9+'Inputs'!$B$10))/SQRT((((514-43)*MAX('Inputs'!$B$33,'Inputs'!$B$29+'Inputs'!$B$31+'Inputs'!$B$32,'Inputs'!$B$30+'Inputs'!$B$31+'Inputs'!$B$32)/1000+'Inputs'!$B$21+'Inputs'!$B$9+'Inputs'!$B$10))^2+('Inputs'!$B$6/2)^2))))*'Results'!$B$8))),"")</x:f>
        <x:v>5.373006149807318</x:v>
      </x:c>
      <x:c r="P514" t="n">
        <x:f>IF(AND(MAX(J514,J513)&gt;0,J514&gt;J513+0.00000001),1,0)</x:f>
        <x:v>0</x:v>
      </x:c>
      <x:c r="Q514" t="n">
        <x:f>IF(AND(MAX(K514,K513)&gt;0,K514&gt;K513+0.00000001),1,0)</x:f>
        <x:v>0</x:v>
      </x:c>
      <x:c r="R514" t="n">
        <x:f>IF(AND(MAX(L514,L513)&gt;0,L514&gt;L513+0.00000001),1,0)</x:f>
        <x:v>0</x:v>
      </x:c>
      <x:c r="S514" t="n">
        <x:f>IF(AND(MAX(M514,M513)&gt;0,M514&gt;M513+0.00000001),1,0)</x:f>
        <x:v>0</x:v>
      </x:c>
      <x:c r="T514" t="n">
        <x:f>IF(AND(MAX(N514,N513)&gt;0,N514&gt;N513+0.00000001),1,0)</x:f>
        <x:v>0</x:v>
      </x:c>
      <x:c r="U514" t="n">
        <x:f>IF(AND(MAX(O514,O513)&gt;0,O514&gt;O513+0.00000001),1,0)</x:f>
        <x:v>0</x:v>
      </x:c>
    </x:row>
    <x:row r="515">
      <x:c r="J515" t="n">
        <x:f>IF(AND(ISNUMBER('Results'!B7),ISNUMBER('Results'!C7),ISNUMBER('Results'!$B$8),ISNUMBER('Inputs'!$B$6),ISNUMBER('Inputs'!$B$7),ISNUMBER('Inputs'!$B$8),ISNUMBER('Inputs'!$B$9),ISNUMBER('Inputs'!$B$10),ISNUMBER('Inputs'!$B$21),ISNUMBER('Inputs'!$B$24),ISNUMBER('Inputs'!$B$28)),(('Results'!B7*(0.5*((((515-43)*MAX('Inputs'!$B$33,'Inputs'!$B$29+'Inputs'!$B$31+'Inputs'!$B$32,'Inputs'!$B$30+'Inputs'!$B$31+'Inputs'!$B$32)/1000+'Inputs'!$B$21)+'Inputs'!$B$7)/SQRT((((515-43)*MAX('Inputs'!$B$33,'Inputs'!$B$29+'Inputs'!$B$31+'Inputs'!$B$32,'Inputs'!$B$30+'Inputs'!$B$31+'Inputs'!$B$32)/1000+'Inputs'!$B$21)+'Inputs'!$B$7)^2+('Inputs'!$B$6/2)^2)-(((515-43)*MAX('Inputs'!$B$33,'Inputs'!$B$29+'Inputs'!$B$31+'Inputs'!$B$32,'Inputs'!$B$30+'Inputs'!$B$31+'Inputs'!$B$32)/1000+'Inputs'!$B$21))/SQRT((((515-43)*MAX('Inputs'!$B$33,'Inputs'!$B$29+'Inputs'!$B$31+'Inputs'!$B$32,'Inputs'!$B$30+'Inputs'!$B$31+'Inputs'!$B$32)/1000+'Inputs'!$B$21))^2+('Inputs'!$B$6/2)^2)))-'Results'!C7*(0.5*((((515-43)*MAX('Inputs'!$B$33,'Inputs'!$B$29+'Inputs'!$B$31+'Inputs'!$B$32,'Inputs'!$B$30+'Inputs'!$B$31+'Inputs'!$B$32)/1000+'Inputs'!$B$21+'Inputs'!$B$7+'Inputs'!$B$10)+'Inputs'!$B$9)/SQRT((((515-43)*MAX('Inputs'!$B$33,'Inputs'!$B$29+'Inputs'!$B$31+'Inputs'!$B$32,'Inputs'!$B$30+'Inputs'!$B$31+'Inputs'!$B$32)/1000+'Inputs'!$B$21+'Inputs'!$B$7+'Inputs'!$B$10)+'Inputs'!$B$9)^2+('Inputs'!$B$8/2)^2)-(((515-43)*MAX('Inputs'!$B$33,'Inputs'!$B$29+'Inputs'!$B$31+'Inputs'!$B$32,'Inputs'!$B$30+'Inputs'!$B$31+'Inputs'!$B$32)/1000+'Inputs'!$B$21+'Inputs'!$B$7+'Inputs'!$B$10))/SQRT((((515-43)*MAX('Inputs'!$B$33,'Inputs'!$B$29+'Inputs'!$B$31+'Inputs'!$B$32,'Inputs'!$B$30+'Inputs'!$B$31+'Inputs'!$B$32)/1000+'Inputs'!$B$21+'Inputs'!$B$7+'Inputs'!$B$10))^2+('Inputs'!$B$8/2)^2))))*'Results'!$B$8),"")</x:f>
        <x:v>5.084833812406002</x:v>
      </x:c>
      <x:c r="K515" t="n">
        <x:f>IF(AND(ISNUMBER('Results'!B7),ISNUMBER('Results'!C7),ISNUMBER('Results'!$B$8),ISNUMBER('Inputs'!$B$6),ISNUMBER('Inputs'!$B$7),ISNUMBER('Inputs'!$B$8),ISNUMBER('Inputs'!$B$9),ISNUMBER('Inputs'!$B$10),ISNUMBER('Inputs'!$B$21),ISNUMBER('Inputs'!$B$24),ISNUMBER('Inputs'!$B$28)),((('Results'!B7*(1-'Inputs'!$B$24)*(0.5*((((515-43)*MAX('Inputs'!$B$33,'Inputs'!$B$29+'Inputs'!$B$31+'Inputs'!$B$32,'Inputs'!$B$30+'Inputs'!$B$31+'Inputs'!$B$32)/1000+'Inputs'!$B$21)+'Inputs'!$B$7)/SQRT((((515-43)*MAX('Inputs'!$B$33,'Inputs'!$B$29+'Inputs'!$B$31+'Inputs'!$B$32,'Inputs'!$B$30+'Inputs'!$B$31+'Inputs'!$B$32)/1000+'Inputs'!$B$21)+'Inputs'!$B$7)^2+('Inputs'!$B$6/2)^2)-(((515-43)*MAX('Inputs'!$B$33,'Inputs'!$B$29+'Inputs'!$B$31+'Inputs'!$B$32,'Inputs'!$B$30+'Inputs'!$B$31+'Inputs'!$B$32)/1000+'Inputs'!$B$21))/SQRT((((515-43)*MAX('Inputs'!$B$33,'Inputs'!$B$29+'Inputs'!$B$31+'Inputs'!$B$32,'Inputs'!$B$30+'Inputs'!$B$31+'Inputs'!$B$32)/1000+'Inputs'!$B$21))^2+('Inputs'!$B$6/2)^2)))-'Results'!C7*(1+'Inputs'!$B$24)*(0.5*((((515-43)*MAX('Inputs'!$B$33,'Inputs'!$B$29+'Inputs'!$B$31+'Inputs'!$B$32,'Inputs'!$B$30+'Inputs'!$B$31+'Inputs'!$B$32)/1000+'Inputs'!$B$21+'Inputs'!$B$7+'Inputs'!$B$10)+'Inputs'!$B$9)/SQRT((((515-43)*MAX('Inputs'!$B$33,'Inputs'!$B$29+'Inputs'!$B$31+'Inputs'!$B$32,'Inputs'!$B$30+'Inputs'!$B$31+'Inputs'!$B$32)/1000+'Inputs'!$B$21+'Inputs'!$B$7+'Inputs'!$B$10)+'Inputs'!$B$9)^2+('Inputs'!$B$8/2)^2)-(((515-43)*MAX('Inputs'!$B$33,'Inputs'!$B$29+'Inputs'!$B$31+'Inputs'!$B$32,'Inputs'!$B$30+'Inputs'!$B$31+'Inputs'!$B$32)/1000+'Inputs'!$B$21+'Inputs'!$B$7+'Inputs'!$B$10))/SQRT((((515-43)*MAX('Inputs'!$B$33,'Inputs'!$B$29+'Inputs'!$B$31+'Inputs'!$B$32,'Inputs'!$B$30+'Inputs'!$B$31+'Inputs'!$B$32)/1000+'Inputs'!$B$21+'Inputs'!$B$7+'Inputs'!$B$10))^2+('Inputs'!$B$8/2)^2))))*'Results'!$B$8)-'Inputs'!$B$28*ABS((('Results'!B7*(1-'Inputs'!$B$24)*(0.5*((((515-43)*MAX('Inputs'!$B$33,'Inputs'!$B$29+'Inputs'!$B$31+'Inputs'!$B$32,'Inputs'!$B$30+'Inputs'!$B$31+'Inputs'!$B$32)/1000+'Inputs'!$B$21)+'Inputs'!$B$7)/SQRT((((515-43)*MAX('Inputs'!$B$33,'Inputs'!$B$29+'Inputs'!$B$31+'Inputs'!$B$32,'Inputs'!$B$30+'Inputs'!$B$31+'Inputs'!$B$32)/1000+'Inputs'!$B$21)+'Inputs'!$B$7)^2+('Inputs'!$B$6/2)^2)-(((515-43)*MAX('Inputs'!$B$33,'Inputs'!$B$29+'Inputs'!$B$31+'Inputs'!$B$32,'Inputs'!$B$30+'Inputs'!$B$31+'Inputs'!$B$32)/1000+'Inputs'!$B$21))/SQRT((((515-43)*MAX('Inputs'!$B$33,'Inputs'!$B$29+'Inputs'!$B$31+'Inputs'!$B$32,'Inputs'!$B$30+'Inputs'!$B$31+'Inputs'!$B$32)/1000+'Inputs'!$B$21))^2+('Inputs'!$B$6/2)^2)))-'Results'!C7*(1+'Inputs'!$B$24)*(0.5*((((515-43)*MAX('Inputs'!$B$33,'Inputs'!$B$29+'Inputs'!$B$31+'Inputs'!$B$32,'Inputs'!$B$30+'Inputs'!$B$31+'Inputs'!$B$32)/1000+'Inputs'!$B$21+'Inputs'!$B$7+'Inputs'!$B$10)+'Inputs'!$B$9)/SQRT((((515-43)*MAX('Inputs'!$B$33,'Inputs'!$B$29+'Inputs'!$B$31+'Inputs'!$B$32,'Inputs'!$B$30+'Inputs'!$B$31+'Inputs'!$B$32)/1000+'Inputs'!$B$21+'Inputs'!$B$7+'Inputs'!$B$10)+'Inputs'!$B$9)^2+('Inputs'!$B$8/2)^2)-(((515-43)*MAX('Inputs'!$B$33,'Inputs'!$B$29+'Inputs'!$B$31+'Inputs'!$B$32,'Inputs'!$B$30+'Inputs'!$B$31+'Inputs'!$B$32)/1000+'Inputs'!$B$21+'Inputs'!$B$7+'Inputs'!$B$10))/SQRT((((515-43)*MAX('Inputs'!$B$33,'Inputs'!$B$29+'Inputs'!$B$31+'Inputs'!$B$32,'Inputs'!$B$30+'Inputs'!$B$31+'Inputs'!$B$32)/1000+'Inputs'!$B$21+'Inputs'!$B$7+'Inputs'!$B$10))^2+('Inputs'!$B$8/2)^2))))*'Results'!$B$8))),"")</x:f>
        <x:v>4.51702695359111</x:v>
      </x:c>
      <x:c r="L515" t="n">
        <x:f>IF(AND(ISNUMBER('Results'!B7),ISNUMBER('Results'!C7),ISNUMBER('Results'!$B$8),ISNUMBER('Inputs'!$B$6),ISNUMBER('Inputs'!$B$7),ISNUMBER('Inputs'!$B$8),ISNUMBER('Inputs'!$B$9),ISNUMBER('Inputs'!$B$10),ISNUMBER('Inputs'!$B$21),ISNUMBER('Inputs'!$B$24),ISNUMBER('Inputs'!$B$28)),((('Results'!B7*(1+'Inputs'!$B$24)*(0.5*((((515-43)*MAX('Inputs'!$B$33,'Inputs'!$B$29+'Inputs'!$B$31+'Inputs'!$B$32,'Inputs'!$B$30+'Inputs'!$B$31+'Inputs'!$B$32)/1000+'Inputs'!$B$21)+'Inputs'!$B$7)/SQRT((((515-43)*MAX('Inputs'!$B$33,'Inputs'!$B$29+'Inputs'!$B$31+'Inputs'!$B$32,'Inputs'!$B$30+'Inputs'!$B$31+'Inputs'!$B$32)/1000+'Inputs'!$B$21)+'Inputs'!$B$7)^2+('Inputs'!$B$6/2)^2)-(((515-43)*MAX('Inputs'!$B$33,'Inputs'!$B$29+'Inputs'!$B$31+'Inputs'!$B$32,'Inputs'!$B$30+'Inputs'!$B$31+'Inputs'!$B$32)/1000+'Inputs'!$B$21))/SQRT((((515-43)*MAX('Inputs'!$B$33,'Inputs'!$B$29+'Inputs'!$B$31+'Inputs'!$B$32,'Inputs'!$B$30+'Inputs'!$B$31+'Inputs'!$B$32)/1000+'Inputs'!$B$21))^2+('Inputs'!$B$6/2)^2)))-'Results'!C7*(1-'Inputs'!$B$24)*(0.5*((((515-43)*MAX('Inputs'!$B$33,'Inputs'!$B$29+'Inputs'!$B$31+'Inputs'!$B$32,'Inputs'!$B$30+'Inputs'!$B$31+'Inputs'!$B$32)/1000+'Inputs'!$B$21+'Inputs'!$B$7+'Inputs'!$B$10)+'Inputs'!$B$9)/SQRT((((515-43)*MAX('Inputs'!$B$33,'Inputs'!$B$29+'Inputs'!$B$31+'Inputs'!$B$32,'Inputs'!$B$30+'Inputs'!$B$31+'Inputs'!$B$32)/1000+'Inputs'!$B$21+'Inputs'!$B$7+'Inputs'!$B$10)+'Inputs'!$B$9)^2+('Inputs'!$B$8/2)^2)-(((515-43)*MAX('Inputs'!$B$33,'Inputs'!$B$29+'Inputs'!$B$31+'Inputs'!$B$32,'Inputs'!$B$30+'Inputs'!$B$31+'Inputs'!$B$32)/1000+'Inputs'!$B$21+'Inputs'!$B$7+'Inputs'!$B$10))/SQRT((((515-43)*MAX('Inputs'!$B$33,'Inputs'!$B$29+'Inputs'!$B$31+'Inputs'!$B$32,'Inputs'!$B$30+'Inputs'!$B$31+'Inputs'!$B$32)/1000+'Inputs'!$B$21+'Inputs'!$B$7+'Inputs'!$B$10))^2+('Inputs'!$B$8/2)^2))))*'Results'!$B$8)+'Inputs'!$B$28*ABS((('Results'!B7*(1+'Inputs'!$B$24)*(0.5*((((515-43)*MAX('Inputs'!$B$33,'Inputs'!$B$29+'Inputs'!$B$31+'Inputs'!$B$32,'Inputs'!$B$30+'Inputs'!$B$31+'Inputs'!$B$32)/1000+'Inputs'!$B$21)+'Inputs'!$B$7)/SQRT((((515-43)*MAX('Inputs'!$B$33,'Inputs'!$B$29+'Inputs'!$B$31+'Inputs'!$B$32,'Inputs'!$B$30+'Inputs'!$B$31+'Inputs'!$B$32)/1000+'Inputs'!$B$21)+'Inputs'!$B$7)^2+('Inputs'!$B$6/2)^2)-(((515-43)*MAX('Inputs'!$B$33,'Inputs'!$B$29+'Inputs'!$B$31+'Inputs'!$B$32,'Inputs'!$B$30+'Inputs'!$B$31+'Inputs'!$B$32)/1000+'Inputs'!$B$21))/SQRT((((515-43)*MAX('Inputs'!$B$33,'Inputs'!$B$29+'Inputs'!$B$31+'Inputs'!$B$32,'Inputs'!$B$30+'Inputs'!$B$31+'Inputs'!$B$32)/1000+'Inputs'!$B$21))^2+('Inputs'!$B$6/2)^2)))-'Results'!C7*(1-'Inputs'!$B$24)*(0.5*((((515-43)*MAX('Inputs'!$B$33,'Inputs'!$B$29+'Inputs'!$B$31+'Inputs'!$B$32,'Inputs'!$B$30+'Inputs'!$B$31+'Inputs'!$B$32)/1000+'Inputs'!$B$21+'Inputs'!$B$7+'Inputs'!$B$10)+'Inputs'!$B$9)/SQRT((((515-43)*MAX('Inputs'!$B$33,'Inputs'!$B$29+'Inputs'!$B$31+'Inputs'!$B$32,'Inputs'!$B$30+'Inputs'!$B$31+'Inputs'!$B$32)/1000+'Inputs'!$B$21+'Inputs'!$B$7+'Inputs'!$B$10)+'Inputs'!$B$9)^2+('Inputs'!$B$8/2)^2)-(((515-43)*MAX('Inputs'!$B$33,'Inputs'!$B$29+'Inputs'!$B$31+'Inputs'!$B$32,'Inputs'!$B$30+'Inputs'!$B$31+'Inputs'!$B$32)/1000+'Inputs'!$B$21+'Inputs'!$B$7+'Inputs'!$B$10))/SQRT((((515-43)*MAX('Inputs'!$B$33,'Inputs'!$B$29+'Inputs'!$B$31+'Inputs'!$B$32,'Inputs'!$B$30+'Inputs'!$B$31+'Inputs'!$B$32)/1000+'Inputs'!$B$21+'Inputs'!$B$7+'Inputs'!$B$10))^2+('Inputs'!$B$8/2)^2))))*'Results'!$B$8))),"")</x:f>
        <x:v>5.68564753103085</x:v>
      </x:c>
      <x:c r="M515" t="n">
        <x:f>IF(AND(ISNUMBER('Results'!C7),ISNUMBER('Results'!B7),ISNUMBER('Results'!$B$8),ISNUMBER('Inputs'!$B$6),ISNUMBER('Inputs'!$B$7),ISNUMBER('Inputs'!$B$8),ISNUMBER('Inputs'!$B$9),ISNUMBER('Inputs'!$B$10),ISNUMBER('Inputs'!$B$21),ISNUMBER('Inputs'!$B$24),ISNUMBER('Inputs'!$B$28)),(('Results'!C7*(0.5*((((515-43)*MAX('Inputs'!$B$33,'Inputs'!$B$29+'Inputs'!$B$31+'Inputs'!$B$32,'Inputs'!$B$30+'Inputs'!$B$31+'Inputs'!$B$32)/1000+'Inputs'!$B$21)+'Inputs'!$B$9)/SQRT((((515-43)*MAX('Inputs'!$B$33,'Inputs'!$B$29+'Inputs'!$B$31+'Inputs'!$B$32,'Inputs'!$B$30+'Inputs'!$B$31+'Inputs'!$B$32)/1000+'Inputs'!$B$21)+'Inputs'!$B$9)^2+('Inputs'!$B$8/2)^2)-(((515-43)*MAX('Inputs'!$B$33,'Inputs'!$B$29+'Inputs'!$B$31+'Inputs'!$B$32,'Inputs'!$B$30+'Inputs'!$B$31+'Inputs'!$B$32)/1000+'Inputs'!$B$21))/SQRT((((515-43)*MAX('Inputs'!$B$33,'Inputs'!$B$29+'Inputs'!$B$31+'Inputs'!$B$32,'Inputs'!$B$30+'Inputs'!$B$31+'Inputs'!$B$32)/1000+'Inputs'!$B$21))^2+('Inputs'!$B$8/2)^2)))-'Results'!B7*(0.5*((((515-43)*MAX('Inputs'!$B$33,'Inputs'!$B$29+'Inputs'!$B$31+'Inputs'!$B$32,'Inputs'!$B$30+'Inputs'!$B$31+'Inputs'!$B$32)/1000+'Inputs'!$B$21+'Inputs'!$B$9+'Inputs'!$B$10)+'Inputs'!$B$7)/SQRT((((515-43)*MAX('Inputs'!$B$33,'Inputs'!$B$29+'Inputs'!$B$31+'Inputs'!$B$32,'Inputs'!$B$30+'Inputs'!$B$31+'Inputs'!$B$32)/1000+'Inputs'!$B$21+'Inputs'!$B$9+'Inputs'!$B$10)+'Inputs'!$B$7)^2+('Inputs'!$B$6/2)^2)-(((515-43)*MAX('Inputs'!$B$33,'Inputs'!$B$29+'Inputs'!$B$31+'Inputs'!$B$32,'Inputs'!$B$30+'Inputs'!$B$31+'Inputs'!$B$32)/1000+'Inputs'!$B$21+'Inputs'!$B$9+'Inputs'!$B$10))/SQRT((((515-43)*MAX('Inputs'!$B$33,'Inputs'!$B$29+'Inputs'!$B$31+'Inputs'!$B$32,'Inputs'!$B$30+'Inputs'!$B$31+'Inputs'!$B$32)/1000+'Inputs'!$B$21+'Inputs'!$B$9+'Inputs'!$B$10))^2+('Inputs'!$B$6/2)^2))))*'Results'!$B$8),"")</x:f>
        <x:v>4.752434888573254</x:v>
      </x:c>
      <x:c r="N515" t="n">
        <x:f>IF(AND(ISNUMBER('Results'!C7),ISNUMBER('Results'!B7),ISNUMBER('Results'!$B$8),ISNUMBER('Inputs'!$B$6),ISNUMBER('Inputs'!$B$7),ISNUMBER('Inputs'!$B$8),ISNUMBER('Inputs'!$B$9),ISNUMBER('Inputs'!$B$10),ISNUMBER('Inputs'!$B$21),ISNUMBER('Inputs'!$B$24),ISNUMBER('Inputs'!$B$28)),((('Results'!C7*(1-'Inputs'!$B$24)*(0.5*((((515-43)*MAX('Inputs'!$B$33,'Inputs'!$B$29+'Inputs'!$B$31+'Inputs'!$B$32,'Inputs'!$B$30+'Inputs'!$B$31+'Inputs'!$B$32)/1000+'Inputs'!$B$21)+'Inputs'!$B$9)/SQRT((((515-43)*MAX('Inputs'!$B$33,'Inputs'!$B$29+'Inputs'!$B$31+'Inputs'!$B$32,'Inputs'!$B$30+'Inputs'!$B$31+'Inputs'!$B$32)/1000+'Inputs'!$B$21)+'Inputs'!$B$9)^2+('Inputs'!$B$8/2)^2)-(((515-43)*MAX('Inputs'!$B$33,'Inputs'!$B$29+'Inputs'!$B$31+'Inputs'!$B$32,'Inputs'!$B$30+'Inputs'!$B$31+'Inputs'!$B$32)/1000+'Inputs'!$B$21))/SQRT((((515-43)*MAX('Inputs'!$B$33,'Inputs'!$B$29+'Inputs'!$B$31+'Inputs'!$B$32,'Inputs'!$B$30+'Inputs'!$B$31+'Inputs'!$B$32)/1000+'Inputs'!$B$21))^2+('Inputs'!$B$8/2)^2)))-'Results'!B7*(1+'Inputs'!$B$24)*(0.5*((((515-43)*MAX('Inputs'!$B$33,'Inputs'!$B$29+'Inputs'!$B$31+'Inputs'!$B$32,'Inputs'!$B$30+'Inputs'!$B$31+'Inputs'!$B$32)/1000+'Inputs'!$B$21+'Inputs'!$B$9+'Inputs'!$B$10)+'Inputs'!$B$7)/SQRT((((515-43)*MAX('Inputs'!$B$33,'Inputs'!$B$29+'Inputs'!$B$31+'Inputs'!$B$32,'Inputs'!$B$30+'Inputs'!$B$31+'Inputs'!$B$32)/1000+'Inputs'!$B$21+'Inputs'!$B$9+'Inputs'!$B$10)+'Inputs'!$B$7)^2+('Inputs'!$B$6/2)^2)-(((515-43)*MAX('Inputs'!$B$33,'Inputs'!$B$29+'Inputs'!$B$31+'Inputs'!$B$32,'Inputs'!$B$30+'Inputs'!$B$31+'Inputs'!$B$32)/1000+'Inputs'!$B$21+'Inputs'!$B$9+'Inputs'!$B$10))/SQRT((((515-43)*MAX('Inputs'!$B$33,'Inputs'!$B$29+'Inputs'!$B$31+'Inputs'!$B$32,'Inputs'!$B$30+'Inputs'!$B$31+'Inputs'!$B$32)/1000+'Inputs'!$B$21+'Inputs'!$B$9+'Inputs'!$B$10))^2+('Inputs'!$B$6/2)^2))))*'Results'!$B$8)-'Inputs'!$B$28*ABS((('Results'!C7*(1-'Inputs'!$B$24)*(0.5*((((515-43)*MAX('Inputs'!$B$33,'Inputs'!$B$29+'Inputs'!$B$31+'Inputs'!$B$32,'Inputs'!$B$30+'Inputs'!$B$31+'Inputs'!$B$32)/1000+'Inputs'!$B$21)+'Inputs'!$B$9)/SQRT((((515-43)*MAX('Inputs'!$B$33,'Inputs'!$B$29+'Inputs'!$B$31+'Inputs'!$B$32,'Inputs'!$B$30+'Inputs'!$B$31+'Inputs'!$B$32)/1000+'Inputs'!$B$21)+'Inputs'!$B$9)^2+('Inputs'!$B$8/2)^2)-(((515-43)*MAX('Inputs'!$B$33,'Inputs'!$B$29+'Inputs'!$B$31+'Inputs'!$B$32,'Inputs'!$B$30+'Inputs'!$B$31+'Inputs'!$B$32)/1000+'Inputs'!$B$21))/SQRT((((515-43)*MAX('Inputs'!$B$33,'Inputs'!$B$29+'Inputs'!$B$31+'Inputs'!$B$32,'Inputs'!$B$30+'Inputs'!$B$31+'Inputs'!$B$32)/1000+'Inputs'!$B$21))^2+('Inputs'!$B$8/2)^2)))-'Results'!B7*(1+'Inputs'!$B$24)*(0.5*((((515-43)*MAX('Inputs'!$B$33,'Inputs'!$B$29+'Inputs'!$B$31+'Inputs'!$B$32,'Inputs'!$B$30+'Inputs'!$B$31+'Inputs'!$B$32)/1000+'Inputs'!$B$21+'Inputs'!$B$9+'Inputs'!$B$10)+'Inputs'!$B$7)/SQRT((((515-43)*MAX('Inputs'!$B$33,'Inputs'!$B$29+'Inputs'!$B$31+'Inputs'!$B$32,'Inputs'!$B$30+'Inputs'!$B$31+'Inputs'!$B$32)/1000+'Inputs'!$B$21+'Inputs'!$B$9+'Inputs'!$B$10)+'Inputs'!$B$7)^2+('Inputs'!$B$6/2)^2)-(((515-43)*MAX('Inputs'!$B$33,'Inputs'!$B$29+'Inputs'!$B$31+'Inputs'!$B$32,'Inputs'!$B$30+'Inputs'!$B$31+'Inputs'!$B$32)/1000+'Inputs'!$B$21+'Inputs'!$B$9+'Inputs'!$B$10))/SQRT((((515-43)*MAX('Inputs'!$B$33,'Inputs'!$B$29+'Inputs'!$B$31+'Inputs'!$B$32,'Inputs'!$B$30+'Inputs'!$B$31+'Inputs'!$B$32)/1000+'Inputs'!$B$21+'Inputs'!$B$9+'Inputs'!$B$10))^2+('Inputs'!$B$6/2)^2))))*'Results'!$B$8))),"")</x:f>
        <x:v>4.203135936609782</x:v>
      </x:c>
      <x:c r="O515" t="n">
        <x:f>IF(AND(ISNUMBER('Results'!C7),ISNUMBER('Results'!B7),ISNUMBER('Results'!$B$8),ISNUMBER('Inputs'!$B$6),ISNUMBER('Inputs'!$B$7),ISNUMBER('Inputs'!$B$8),ISNUMBER('Inputs'!$B$9),ISNUMBER('Inputs'!$B$10),ISNUMBER('Inputs'!$B$21),ISNUMBER('Inputs'!$B$24),ISNUMBER('Inputs'!$B$28)),((('Results'!C7*(1+'Inputs'!$B$24)*(0.5*((((515-43)*MAX('Inputs'!$B$33,'Inputs'!$B$29+'Inputs'!$B$31+'Inputs'!$B$32,'Inputs'!$B$30+'Inputs'!$B$31+'Inputs'!$B$32)/1000+'Inputs'!$B$21)+'Inputs'!$B$9)/SQRT((((515-43)*MAX('Inputs'!$B$33,'Inputs'!$B$29+'Inputs'!$B$31+'Inputs'!$B$32,'Inputs'!$B$30+'Inputs'!$B$31+'Inputs'!$B$32)/1000+'Inputs'!$B$21)+'Inputs'!$B$9)^2+('Inputs'!$B$8/2)^2)-(((515-43)*MAX('Inputs'!$B$33,'Inputs'!$B$29+'Inputs'!$B$31+'Inputs'!$B$32,'Inputs'!$B$30+'Inputs'!$B$31+'Inputs'!$B$32)/1000+'Inputs'!$B$21))/SQRT((((515-43)*MAX('Inputs'!$B$33,'Inputs'!$B$29+'Inputs'!$B$31+'Inputs'!$B$32,'Inputs'!$B$30+'Inputs'!$B$31+'Inputs'!$B$32)/1000+'Inputs'!$B$21))^2+('Inputs'!$B$8/2)^2)))-'Results'!B7*(1-'Inputs'!$B$24)*(0.5*((((515-43)*MAX('Inputs'!$B$33,'Inputs'!$B$29+'Inputs'!$B$31+'Inputs'!$B$32,'Inputs'!$B$30+'Inputs'!$B$31+'Inputs'!$B$32)/1000+'Inputs'!$B$21+'Inputs'!$B$9+'Inputs'!$B$10)+'Inputs'!$B$7)/SQRT((((515-43)*MAX('Inputs'!$B$33,'Inputs'!$B$29+'Inputs'!$B$31+'Inputs'!$B$32,'Inputs'!$B$30+'Inputs'!$B$31+'Inputs'!$B$32)/1000+'Inputs'!$B$21+'Inputs'!$B$9+'Inputs'!$B$10)+'Inputs'!$B$7)^2+('Inputs'!$B$6/2)^2)-(((515-43)*MAX('Inputs'!$B$33,'Inputs'!$B$29+'Inputs'!$B$31+'Inputs'!$B$32,'Inputs'!$B$30+'Inputs'!$B$31+'Inputs'!$B$32)/1000+'Inputs'!$B$21+'Inputs'!$B$9+'Inputs'!$B$10))/SQRT((((515-43)*MAX('Inputs'!$B$33,'Inputs'!$B$29+'Inputs'!$B$31+'Inputs'!$B$32,'Inputs'!$B$30+'Inputs'!$B$31+'Inputs'!$B$32)/1000+'Inputs'!$B$21+'Inputs'!$B$9+'Inputs'!$B$10))^2+('Inputs'!$B$6/2)^2))))*'Results'!$B$8)+'Inputs'!$B$28*ABS((('Results'!C7*(1+'Inputs'!$B$24)*(0.5*((((515-43)*MAX('Inputs'!$B$33,'Inputs'!$B$29+'Inputs'!$B$31+'Inputs'!$B$32,'Inputs'!$B$30+'Inputs'!$B$31+'Inputs'!$B$32)/1000+'Inputs'!$B$21)+'Inputs'!$B$9)/SQRT((((515-43)*MAX('Inputs'!$B$33,'Inputs'!$B$29+'Inputs'!$B$31+'Inputs'!$B$32,'Inputs'!$B$30+'Inputs'!$B$31+'Inputs'!$B$32)/1000+'Inputs'!$B$21)+'Inputs'!$B$9)^2+('Inputs'!$B$8/2)^2)-(((515-43)*MAX('Inputs'!$B$33,'Inputs'!$B$29+'Inputs'!$B$31+'Inputs'!$B$32,'Inputs'!$B$30+'Inputs'!$B$31+'Inputs'!$B$32)/1000+'Inputs'!$B$21))/SQRT((((515-43)*MAX('Inputs'!$B$33,'Inputs'!$B$29+'Inputs'!$B$31+'Inputs'!$B$32,'Inputs'!$B$30+'Inputs'!$B$31+'Inputs'!$B$32)/1000+'Inputs'!$B$21))^2+('Inputs'!$B$8/2)^2)))-'Results'!B7*(1-'Inputs'!$B$24)*(0.5*((((515-43)*MAX('Inputs'!$B$33,'Inputs'!$B$29+'Inputs'!$B$31+'Inputs'!$B$32,'Inputs'!$B$30+'Inputs'!$B$31+'Inputs'!$B$32)/1000+'Inputs'!$B$21+'Inputs'!$B$9+'Inputs'!$B$10)+'Inputs'!$B$7)/SQRT((((515-43)*MAX('Inputs'!$B$33,'Inputs'!$B$29+'Inputs'!$B$31+'Inputs'!$B$32,'Inputs'!$B$30+'Inputs'!$B$31+'Inputs'!$B$32)/1000+'Inputs'!$B$21+'Inputs'!$B$9+'Inputs'!$B$10)+'Inputs'!$B$7)^2+('Inputs'!$B$6/2)^2)-(((515-43)*MAX('Inputs'!$B$33,'Inputs'!$B$29+'Inputs'!$B$31+'Inputs'!$B$32,'Inputs'!$B$30+'Inputs'!$B$31+'Inputs'!$B$32)/1000+'Inputs'!$B$21+'Inputs'!$B$9+'Inputs'!$B$10))/SQRT((((515-43)*MAX('Inputs'!$B$33,'Inputs'!$B$29+'Inputs'!$B$31+'Inputs'!$B$32,'Inputs'!$B$30+'Inputs'!$B$31+'Inputs'!$B$32)/1000+'Inputs'!$B$21+'Inputs'!$B$9+'Inputs'!$B$10))^2+('Inputs'!$B$6/2)^2))))*'Results'!$B$8))),"")</x:f>
        <x:v>5.334541967645652</x:v>
      </x:c>
      <x:c r="P515" t="n">
        <x:f>IF(AND(MAX(J515,J514)&gt;0,J515&gt;J514+0.00000001),1,0)</x:f>
        <x:v>0</x:v>
      </x:c>
      <x:c r="Q515" t="n">
        <x:f>IF(AND(MAX(K515,K514)&gt;0,K515&gt;K514+0.00000001),1,0)</x:f>
        <x:v>0</x:v>
      </x:c>
      <x:c r="R515" t="n">
        <x:f>IF(AND(MAX(L515,L514)&gt;0,L515&gt;L514+0.00000001),1,0)</x:f>
        <x:v>0</x:v>
      </x:c>
      <x:c r="S515" t="n">
        <x:f>IF(AND(MAX(M515,M514)&gt;0,M515&gt;M514+0.00000001),1,0)</x:f>
        <x:v>0</x:v>
      </x:c>
      <x:c r="T515" t="n">
        <x:f>IF(AND(MAX(N515,N514)&gt;0,N515&gt;N514+0.00000001),1,0)</x:f>
        <x:v>0</x:v>
      </x:c>
      <x:c r="U515" t="n">
        <x:f>IF(AND(MAX(O515,O514)&gt;0,O515&gt;O514+0.00000001),1,0)</x:f>
        <x:v>0</x:v>
      </x:c>
    </x:row>
    <x:row r="516">
      <x:c r="J516" t="n">
        <x:f>IF(AND(ISNUMBER('Results'!B7),ISNUMBER('Results'!C7),ISNUMBER('Results'!$B$8),ISNUMBER('Inputs'!$B$6),ISNUMBER('Inputs'!$B$7),ISNUMBER('Inputs'!$B$8),ISNUMBER('Inputs'!$B$9),ISNUMBER('Inputs'!$B$10),ISNUMBER('Inputs'!$B$21),ISNUMBER('Inputs'!$B$24),ISNUMBER('Inputs'!$B$28)),(('Results'!B7*(0.5*((((516-43)*MAX('Inputs'!$B$33,'Inputs'!$B$29+'Inputs'!$B$31+'Inputs'!$B$32,'Inputs'!$B$30+'Inputs'!$B$31+'Inputs'!$B$32)/1000+'Inputs'!$B$21)+'Inputs'!$B$7)/SQRT((((516-43)*MAX('Inputs'!$B$33,'Inputs'!$B$29+'Inputs'!$B$31+'Inputs'!$B$32,'Inputs'!$B$30+'Inputs'!$B$31+'Inputs'!$B$32)/1000+'Inputs'!$B$21)+'Inputs'!$B$7)^2+('Inputs'!$B$6/2)^2)-(((516-43)*MAX('Inputs'!$B$33,'Inputs'!$B$29+'Inputs'!$B$31+'Inputs'!$B$32,'Inputs'!$B$30+'Inputs'!$B$31+'Inputs'!$B$32)/1000+'Inputs'!$B$21))/SQRT((((516-43)*MAX('Inputs'!$B$33,'Inputs'!$B$29+'Inputs'!$B$31+'Inputs'!$B$32,'Inputs'!$B$30+'Inputs'!$B$31+'Inputs'!$B$32)/1000+'Inputs'!$B$21))^2+('Inputs'!$B$6/2)^2)))-'Results'!C7*(0.5*((((516-43)*MAX('Inputs'!$B$33,'Inputs'!$B$29+'Inputs'!$B$31+'Inputs'!$B$32,'Inputs'!$B$30+'Inputs'!$B$31+'Inputs'!$B$32)/1000+'Inputs'!$B$21+'Inputs'!$B$7+'Inputs'!$B$10)+'Inputs'!$B$9)/SQRT((((516-43)*MAX('Inputs'!$B$33,'Inputs'!$B$29+'Inputs'!$B$31+'Inputs'!$B$32,'Inputs'!$B$30+'Inputs'!$B$31+'Inputs'!$B$32)/1000+'Inputs'!$B$21+'Inputs'!$B$7+'Inputs'!$B$10)+'Inputs'!$B$9)^2+('Inputs'!$B$8/2)^2)-(((516-43)*MAX('Inputs'!$B$33,'Inputs'!$B$29+'Inputs'!$B$31+'Inputs'!$B$32,'Inputs'!$B$30+'Inputs'!$B$31+'Inputs'!$B$32)/1000+'Inputs'!$B$21+'Inputs'!$B$7+'Inputs'!$B$10))/SQRT((((516-43)*MAX('Inputs'!$B$33,'Inputs'!$B$29+'Inputs'!$B$31+'Inputs'!$B$32,'Inputs'!$B$30+'Inputs'!$B$31+'Inputs'!$B$32)/1000+'Inputs'!$B$21+'Inputs'!$B$7+'Inputs'!$B$10))^2+('Inputs'!$B$8/2)^2))))*'Results'!$B$8),"")</x:f>
        <x:v>5.048503185932591</x:v>
      </x:c>
      <x:c r="K516" t="n">
        <x:f>IF(AND(ISNUMBER('Results'!B7),ISNUMBER('Results'!C7),ISNUMBER('Results'!$B$8),ISNUMBER('Inputs'!$B$6),ISNUMBER('Inputs'!$B$7),ISNUMBER('Inputs'!$B$8),ISNUMBER('Inputs'!$B$9),ISNUMBER('Inputs'!$B$10),ISNUMBER('Inputs'!$B$21),ISNUMBER('Inputs'!$B$24),ISNUMBER('Inputs'!$B$28)),((('Results'!B7*(1-'Inputs'!$B$24)*(0.5*((((516-43)*MAX('Inputs'!$B$33,'Inputs'!$B$29+'Inputs'!$B$31+'Inputs'!$B$32,'Inputs'!$B$30+'Inputs'!$B$31+'Inputs'!$B$32)/1000+'Inputs'!$B$21)+'Inputs'!$B$7)/SQRT((((516-43)*MAX('Inputs'!$B$33,'Inputs'!$B$29+'Inputs'!$B$31+'Inputs'!$B$32,'Inputs'!$B$30+'Inputs'!$B$31+'Inputs'!$B$32)/1000+'Inputs'!$B$21)+'Inputs'!$B$7)^2+('Inputs'!$B$6/2)^2)-(((516-43)*MAX('Inputs'!$B$33,'Inputs'!$B$29+'Inputs'!$B$31+'Inputs'!$B$32,'Inputs'!$B$30+'Inputs'!$B$31+'Inputs'!$B$32)/1000+'Inputs'!$B$21))/SQRT((((516-43)*MAX('Inputs'!$B$33,'Inputs'!$B$29+'Inputs'!$B$31+'Inputs'!$B$32,'Inputs'!$B$30+'Inputs'!$B$31+'Inputs'!$B$32)/1000+'Inputs'!$B$21))^2+('Inputs'!$B$6/2)^2)))-'Results'!C7*(1+'Inputs'!$B$24)*(0.5*((((516-43)*MAX('Inputs'!$B$33,'Inputs'!$B$29+'Inputs'!$B$31+'Inputs'!$B$32,'Inputs'!$B$30+'Inputs'!$B$31+'Inputs'!$B$32)/1000+'Inputs'!$B$21+'Inputs'!$B$7+'Inputs'!$B$10)+'Inputs'!$B$9)/SQRT((((516-43)*MAX('Inputs'!$B$33,'Inputs'!$B$29+'Inputs'!$B$31+'Inputs'!$B$32,'Inputs'!$B$30+'Inputs'!$B$31+'Inputs'!$B$32)/1000+'Inputs'!$B$21+'Inputs'!$B$7+'Inputs'!$B$10)+'Inputs'!$B$9)^2+('Inputs'!$B$8/2)^2)-(((516-43)*MAX('Inputs'!$B$33,'Inputs'!$B$29+'Inputs'!$B$31+'Inputs'!$B$32,'Inputs'!$B$30+'Inputs'!$B$31+'Inputs'!$B$32)/1000+'Inputs'!$B$21+'Inputs'!$B$7+'Inputs'!$B$10))/SQRT((((516-43)*MAX('Inputs'!$B$33,'Inputs'!$B$29+'Inputs'!$B$31+'Inputs'!$B$32,'Inputs'!$B$30+'Inputs'!$B$31+'Inputs'!$B$32)/1000+'Inputs'!$B$21+'Inputs'!$B$7+'Inputs'!$B$10))^2+('Inputs'!$B$8/2)^2))))*'Results'!$B$8)-'Inputs'!$B$28*ABS((('Results'!B7*(1-'Inputs'!$B$24)*(0.5*((((516-43)*MAX('Inputs'!$B$33,'Inputs'!$B$29+'Inputs'!$B$31+'Inputs'!$B$32,'Inputs'!$B$30+'Inputs'!$B$31+'Inputs'!$B$32)/1000+'Inputs'!$B$21)+'Inputs'!$B$7)/SQRT((((516-43)*MAX('Inputs'!$B$33,'Inputs'!$B$29+'Inputs'!$B$31+'Inputs'!$B$32,'Inputs'!$B$30+'Inputs'!$B$31+'Inputs'!$B$32)/1000+'Inputs'!$B$21)+'Inputs'!$B$7)^2+('Inputs'!$B$6/2)^2)-(((516-43)*MAX('Inputs'!$B$33,'Inputs'!$B$29+'Inputs'!$B$31+'Inputs'!$B$32,'Inputs'!$B$30+'Inputs'!$B$31+'Inputs'!$B$32)/1000+'Inputs'!$B$21))/SQRT((((516-43)*MAX('Inputs'!$B$33,'Inputs'!$B$29+'Inputs'!$B$31+'Inputs'!$B$32,'Inputs'!$B$30+'Inputs'!$B$31+'Inputs'!$B$32)/1000+'Inputs'!$B$21))^2+('Inputs'!$B$6/2)^2)))-'Results'!C7*(1+'Inputs'!$B$24)*(0.5*((((516-43)*MAX('Inputs'!$B$33,'Inputs'!$B$29+'Inputs'!$B$31+'Inputs'!$B$32,'Inputs'!$B$30+'Inputs'!$B$31+'Inputs'!$B$32)/1000+'Inputs'!$B$21+'Inputs'!$B$7+'Inputs'!$B$10)+'Inputs'!$B$9)/SQRT((((516-43)*MAX('Inputs'!$B$33,'Inputs'!$B$29+'Inputs'!$B$31+'Inputs'!$B$32,'Inputs'!$B$30+'Inputs'!$B$31+'Inputs'!$B$32)/1000+'Inputs'!$B$21+'Inputs'!$B$7+'Inputs'!$B$10)+'Inputs'!$B$9)^2+('Inputs'!$B$8/2)^2)-(((516-43)*MAX('Inputs'!$B$33,'Inputs'!$B$29+'Inputs'!$B$31+'Inputs'!$B$32,'Inputs'!$B$30+'Inputs'!$B$31+'Inputs'!$B$32)/1000+'Inputs'!$B$21+'Inputs'!$B$7+'Inputs'!$B$10))/SQRT((((516-43)*MAX('Inputs'!$B$33,'Inputs'!$B$29+'Inputs'!$B$31+'Inputs'!$B$32,'Inputs'!$B$30+'Inputs'!$B$31+'Inputs'!$B$32)/1000+'Inputs'!$B$21+'Inputs'!$B$7+'Inputs'!$B$10))^2+('Inputs'!$B$8/2)^2))))*'Results'!$B$8))),"")</x:f>
        <x:v>4.484256170202539</x:v>
      </x:c>
      <x:c r="L516" t="n">
        <x:f>IF(AND(ISNUMBER('Results'!B7),ISNUMBER('Results'!C7),ISNUMBER('Results'!$B$8),ISNUMBER('Inputs'!$B$6),ISNUMBER('Inputs'!$B$7),ISNUMBER('Inputs'!$B$8),ISNUMBER('Inputs'!$B$9),ISNUMBER('Inputs'!$B$10),ISNUMBER('Inputs'!$B$21),ISNUMBER('Inputs'!$B$24),ISNUMBER('Inputs'!$B$28)),((('Results'!B7*(1+'Inputs'!$B$24)*(0.5*((((516-43)*MAX('Inputs'!$B$33,'Inputs'!$B$29+'Inputs'!$B$31+'Inputs'!$B$32,'Inputs'!$B$30+'Inputs'!$B$31+'Inputs'!$B$32)/1000+'Inputs'!$B$21)+'Inputs'!$B$7)/SQRT((((516-43)*MAX('Inputs'!$B$33,'Inputs'!$B$29+'Inputs'!$B$31+'Inputs'!$B$32,'Inputs'!$B$30+'Inputs'!$B$31+'Inputs'!$B$32)/1000+'Inputs'!$B$21)+'Inputs'!$B$7)^2+('Inputs'!$B$6/2)^2)-(((516-43)*MAX('Inputs'!$B$33,'Inputs'!$B$29+'Inputs'!$B$31+'Inputs'!$B$32,'Inputs'!$B$30+'Inputs'!$B$31+'Inputs'!$B$32)/1000+'Inputs'!$B$21))/SQRT((((516-43)*MAX('Inputs'!$B$33,'Inputs'!$B$29+'Inputs'!$B$31+'Inputs'!$B$32,'Inputs'!$B$30+'Inputs'!$B$31+'Inputs'!$B$32)/1000+'Inputs'!$B$21))^2+('Inputs'!$B$6/2)^2)))-'Results'!C7*(1-'Inputs'!$B$24)*(0.5*((((516-43)*MAX('Inputs'!$B$33,'Inputs'!$B$29+'Inputs'!$B$31+'Inputs'!$B$32,'Inputs'!$B$30+'Inputs'!$B$31+'Inputs'!$B$32)/1000+'Inputs'!$B$21+'Inputs'!$B$7+'Inputs'!$B$10)+'Inputs'!$B$9)/SQRT((((516-43)*MAX('Inputs'!$B$33,'Inputs'!$B$29+'Inputs'!$B$31+'Inputs'!$B$32,'Inputs'!$B$30+'Inputs'!$B$31+'Inputs'!$B$32)/1000+'Inputs'!$B$21+'Inputs'!$B$7+'Inputs'!$B$10)+'Inputs'!$B$9)^2+('Inputs'!$B$8/2)^2)-(((516-43)*MAX('Inputs'!$B$33,'Inputs'!$B$29+'Inputs'!$B$31+'Inputs'!$B$32,'Inputs'!$B$30+'Inputs'!$B$31+'Inputs'!$B$32)/1000+'Inputs'!$B$21+'Inputs'!$B$7+'Inputs'!$B$10))/SQRT((((516-43)*MAX('Inputs'!$B$33,'Inputs'!$B$29+'Inputs'!$B$31+'Inputs'!$B$32,'Inputs'!$B$30+'Inputs'!$B$31+'Inputs'!$B$32)/1000+'Inputs'!$B$21+'Inputs'!$B$7+'Inputs'!$B$10))^2+('Inputs'!$B$8/2)^2))))*'Results'!$B$8)+'Inputs'!$B$28*ABS((('Results'!B7*(1+'Inputs'!$B$24)*(0.5*((((516-43)*MAX('Inputs'!$B$33,'Inputs'!$B$29+'Inputs'!$B$31+'Inputs'!$B$32,'Inputs'!$B$30+'Inputs'!$B$31+'Inputs'!$B$32)/1000+'Inputs'!$B$21)+'Inputs'!$B$7)/SQRT((((516-43)*MAX('Inputs'!$B$33,'Inputs'!$B$29+'Inputs'!$B$31+'Inputs'!$B$32,'Inputs'!$B$30+'Inputs'!$B$31+'Inputs'!$B$32)/1000+'Inputs'!$B$21)+'Inputs'!$B$7)^2+('Inputs'!$B$6/2)^2)-(((516-43)*MAX('Inputs'!$B$33,'Inputs'!$B$29+'Inputs'!$B$31+'Inputs'!$B$32,'Inputs'!$B$30+'Inputs'!$B$31+'Inputs'!$B$32)/1000+'Inputs'!$B$21))/SQRT((((516-43)*MAX('Inputs'!$B$33,'Inputs'!$B$29+'Inputs'!$B$31+'Inputs'!$B$32,'Inputs'!$B$30+'Inputs'!$B$31+'Inputs'!$B$32)/1000+'Inputs'!$B$21))^2+('Inputs'!$B$6/2)^2)))-'Results'!C7*(1-'Inputs'!$B$24)*(0.5*((((516-43)*MAX('Inputs'!$B$33,'Inputs'!$B$29+'Inputs'!$B$31+'Inputs'!$B$32,'Inputs'!$B$30+'Inputs'!$B$31+'Inputs'!$B$32)/1000+'Inputs'!$B$21+'Inputs'!$B$7+'Inputs'!$B$10)+'Inputs'!$B$9)/SQRT((((516-43)*MAX('Inputs'!$B$33,'Inputs'!$B$29+'Inputs'!$B$31+'Inputs'!$B$32,'Inputs'!$B$30+'Inputs'!$B$31+'Inputs'!$B$32)/1000+'Inputs'!$B$21+'Inputs'!$B$7+'Inputs'!$B$10)+'Inputs'!$B$9)^2+('Inputs'!$B$8/2)^2)-(((516-43)*MAX('Inputs'!$B$33,'Inputs'!$B$29+'Inputs'!$B$31+'Inputs'!$B$32,'Inputs'!$B$30+'Inputs'!$B$31+'Inputs'!$B$32)/1000+'Inputs'!$B$21+'Inputs'!$B$7+'Inputs'!$B$10))/SQRT((((516-43)*MAX('Inputs'!$B$33,'Inputs'!$B$29+'Inputs'!$B$31+'Inputs'!$B$32,'Inputs'!$B$30+'Inputs'!$B$31+'Inputs'!$B$32)/1000+'Inputs'!$B$21+'Inputs'!$B$7+'Inputs'!$B$10))^2+('Inputs'!$B$8/2)^2))))*'Results'!$B$8))),"")</x:f>
        <x:v>5.645573554971424</x:v>
      </x:c>
      <x:c r="M516" t="n">
        <x:f>IF(AND(ISNUMBER('Results'!C7),ISNUMBER('Results'!B7),ISNUMBER('Results'!$B$8),ISNUMBER('Inputs'!$B$6),ISNUMBER('Inputs'!$B$7),ISNUMBER('Inputs'!$B$8),ISNUMBER('Inputs'!$B$9),ISNUMBER('Inputs'!$B$10),ISNUMBER('Inputs'!$B$21),ISNUMBER('Inputs'!$B$24),ISNUMBER('Inputs'!$B$28)),(('Results'!C7*(0.5*((((516-43)*MAX('Inputs'!$B$33,'Inputs'!$B$29+'Inputs'!$B$31+'Inputs'!$B$32,'Inputs'!$B$30+'Inputs'!$B$31+'Inputs'!$B$32)/1000+'Inputs'!$B$21)+'Inputs'!$B$9)/SQRT((((516-43)*MAX('Inputs'!$B$33,'Inputs'!$B$29+'Inputs'!$B$31+'Inputs'!$B$32,'Inputs'!$B$30+'Inputs'!$B$31+'Inputs'!$B$32)/1000+'Inputs'!$B$21)+'Inputs'!$B$9)^2+('Inputs'!$B$8/2)^2)-(((516-43)*MAX('Inputs'!$B$33,'Inputs'!$B$29+'Inputs'!$B$31+'Inputs'!$B$32,'Inputs'!$B$30+'Inputs'!$B$31+'Inputs'!$B$32)/1000+'Inputs'!$B$21))/SQRT((((516-43)*MAX('Inputs'!$B$33,'Inputs'!$B$29+'Inputs'!$B$31+'Inputs'!$B$32,'Inputs'!$B$30+'Inputs'!$B$31+'Inputs'!$B$32)/1000+'Inputs'!$B$21))^2+('Inputs'!$B$8/2)^2)))-'Results'!B7*(0.5*((((516-43)*MAX('Inputs'!$B$33,'Inputs'!$B$29+'Inputs'!$B$31+'Inputs'!$B$32,'Inputs'!$B$30+'Inputs'!$B$31+'Inputs'!$B$32)/1000+'Inputs'!$B$21+'Inputs'!$B$9+'Inputs'!$B$10)+'Inputs'!$B$7)/SQRT((((516-43)*MAX('Inputs'!$B$33,'Inputs'!$B$29+'Inputs'!$B$31+'Inputs'!$B$32,'Inputs'!$B$30+'Inputs'!$B$31+'Inputs'!$B$32)/1000+'Inputs'!$B$21+'Inputs'!$B$9+'Inputs'!$B$10)+'Inputs'!$B$7)^2+('Inputs'!$B$6/2)^2)-(((516-43)*MAX('Inputs'!$B$33,'Inputs'!$B$29+'Inputs'!$B$31+'Inputs'!$B$32,'Inputs'!$B$30+'Inputs'!$B$31+'Inputs'!$B$32)/1000+'Inputs'!$B$21+'Inputs'!$B$9+'Inputs'!$B$10))/SQRT((((516-43)*MAX('Inputs'!$B$33,'Inputs'!$B$29+'Inputs'!$B$31+'Inputs'!$B$32,'Inputs'!$B$30+'Inputs'!$B$31+'Inputs'!$B$32)/1000+'Inputs'!$B$21+'Inputs'!$B$9+'Inputs'!$B$10))^2+('Inputs'!$B$6/2)^2))))*'Results'!$B$8),"")</x:f>
        <x:v>4.717950637851216</x:v>
      </x:c>
      <x:c r="N516" t="n">
        <x:f>IF(AND(ISNUMBER('Results'!C7),ISNUMBER('Results'!B7),ISNUMBER('Results'!$B$8),ISNUMBER('Inputs'!$B$6),ISNUMBER('Inputs'!$B$7),ISNUMBER('Inputs'!$B$8),ISNUMBER('Inputs'!$B$9),ISNUMBER('Inputs'!$B$10),ISNUMBER('Inputs'!$B$21),ISNUMBER('Inputs'!$B$24),ISNUMBER('Inputs'!$B$28)),((('Results'!C7*(1-'Inputs'!$B$24)*(0.5*((((516-43)*MAX('Inputs'!$B$33,'Inputs'!$B$29+'Inputs'!$B$31+'Inputs'!$B$32,'Inputs'!$B$30+'Inputs'!$B$31+'Inputs'!$B$32)/1000+'Inputs'!$B$21)+'Inputs'!$B$9)/SQRT((((516-43)*MAX('Inputs'!$B$33,'Inputs'!$B$29+'Inputs'!$B$31+'Inputs'!$B$32,'Inputs'!$B$30+'Inputs'!$B$31+'Inputs'!$B$32)/1000+'Inputs'!$B$21)+'Inputs'!$B$9)^2+('Inputs'!$B$8/2)^2)-(((516-43)*MAX('Inputs'!$B$33,'Inputs'!$B$29+'Inputs'!$B$31+'Inputs'!$B$32,'Inputs'!$B$30+'Inputs'!$B$31+'Inputs'!$B$32)/1000+'Inputs'!$B$21))/SQRT((((516-43)*MAX('Inputs'!$B$33,'Inputs'!$B$29+'Inputs'!$B$31+'Inputs'!$B$32,'Inputs'!$B$30+'Inputs'!$B$31+'Inputs'!$B$32)/1000+'Inputs'!$B$21))^2+('Inputs'!$B$8/2)^2)))-'Results'!B7*(1+'Inputs'!$B$24)*(0.5*((((516-43)*MAX('Inputs'!$B$33,'Inputs'!$B$29+'Inputs'!$B$31+'Inputs'!$B$32,'Inputs'!$B$30+'Inputs'!$B$31+'Inputs'!$B$32)/1000+'Inputs'!$B$21+'Inputs'!$B$9+'Inputs'!$B$10)+'Inputs'!$B$7)/SQRT((((516-43)*MAX('Inputs'!$B$33,'Inputs'!$B$29+'Inputs'!$B$31+'Inputs'!$B$32,'Inputs'!$B$30+'Inputs'!$B$31+'Inputs'!$B$32)/1000+'Inputs'!$B$21+'Inputs'!$B$9+'Inputs'!$B$10)+'Inputs'!$B$7)^2+('Inputs'!$B$6/2)^2)-(((516-43)*MAX('Inputs'!$B$33,'Inputs'!$B$29+'Inputs'!$B$31+'Inputs'!$B$32,'Inputs'!$B$30+'Inputs'!$B$31+'Inputs'!$B$32)/1000+'Inputs'!$B$21+'Inputs'!$B$9+'Inputs'!$B$10))/SQRT((((516-43)*MAX('Inputs'!$B$33,'Inputs'!$B$29+'Inputs'!$B$31+'Inputs'!$B$32,'Inputs'!$B$30+'Inputs'!$B$31+'Inputs'!$B$32)/1000+'Inputs'!$B$21+'Inputs'!$B$9+'Inputs'!$B$10))^2+('Inputs'!$B$6/2)^2))))*'Results'!$B$8)-'Inputs'!$B$28*ABS((('Results'!C7*(1-'Inputs'!$B$24)*(0.5*((((516-43)*MAX('Inputs'!$B$33,'Inputs'!$B$29+'Inputs'!$B$31+'Inputs'!$B$32,'Inputs'!$B$30+'Inputs'!$B$31+'Inputs'!$B$32)/1000+'Inputs'!$B$21)+'Inputs'!$B$9)/SQRT((((516-43)*MAX('Inputs'!$B$33,'Inputs'!$B$29+'Inputs'!$B$31+'Inputs'!$B$32,'Inputs'!$B$30+'Inputs'!$B$31+'Inputs'!$B$32)/1000+'Inputs'!$B$21)+'Inputs'!$B$9)^2+('Inputs'!$B$8/2)^2)-(((516-43)*MAX('Inputs'!$B$33,'Inputs'!$B$29+'Inputs'!$B$31+'Inputs'!$B$32,'Inputs'!$B$30+'Inputs'!$B$31+'Inputs'!$B$32)/1000+'Inputs'!$B$21))/SQRT((((516-43)*MAX('Inputs'!$B$33,'Inputs'!$B$29+'Inputs'!$B$31+'Inputs'!$B$32,'Inputs'!$B$30+'Inputs'!$B$31+'Inputs'!$B$32)/1000+'Inputs'!$B$21))^2+('Inputs'!$B$8/2)^2)))-'Results'!B7*(1+'Inputs'!$B$24)*(0.5*((((516-43)*MAX('Inputs'!$B$33,'Inputs'!$B$29+'Inputs'!$B$31+'Inputs'!$B$32,'Inputs'!$B$30+'Inputs'!$B$31+'Inputs'!$B$32)/1000+'Inputs'!$B$21+'Inputs'!$B$9+'Inputs'!$B$10)+'Inputs'!$B$7)/SQRT((((516-43)*MAX('Inputs'!$B$33,'Inputs'!$B$29+'Inputs'!$B$31+'Inputs'!$B$32,'Inputs'!$B$30+'Inputs'!$B$31+'Inputs'!$B$32)/1000+'Inputs'!$B$21+'Inputs'!$B$9+'Inputs'!$B$10)+'Inputs'!$B$7)^2+('Inputs'!$B$6/2)^2)-(((516-43)*MAX('Inputs'!$B$33,'Inputs'!$B$29+'Inputs'!$B$31+'Inputs'!$B$32,'Inputs'!$B$30+'Inputs'!$B$31+'Inputs'!$B$32)/1000+'Inputs'!$B$21+'Inputs'!$B$9+'Inputs'!$B$10))/SQRT((((516-43)*MAX('Inputs'!$B$33,'Inputs'!$B$29+'Inputs'!$B$31+'Inputs'!$B$32,'Inputs'!$B$30+'Inputs'!$B$31+'Inputs'!$B$32)/1000+'Inputs'!$B$21+'Inputs'!$B$9+'Inputs'!$B$10))^2+('Inputs'!$B$6/2)^2))))*'Results'!$B$8))),"")</x:f>
        <x:v>4.17210561945101</x:v>
      </x:c>
      <x:c r="O516" t="n">
        <x:f>IF(AND(ISNUMBER('Results'!C7),ISNUMBER('Results'!B7),ISNUMBER('Results'!$B$8),ISNUMBER('Inputs'!$B$6),ISNUMBER('Inputs'!$B$7),ISNUMBER('Inputs'!$B$8),ISNUMBER('Inputs'!$B$9),ISNUMBER('Inputs'!$B$10),ISNUMBER('Inputs'!$B$21),ISNUMBER('Inputs'!$B$24),ISNUMBER('Inputs'!$B$28)),((('Results'!C7*(1+'Inputs'!$B$24)*(0.5*((((516-43)*MAX('Inputs'!$B$33,'Inputs'!$B$29+'Inputs'!$B$31+'Inputs'!$B$32,'Inputs'!$B$30+'Inputs'!$B$31+'Inputs'!$B$32)/1000+'Inputs'!$B$21)+'Inputs'!$B$9)/SQRT((((516-43)*MAX('Inputs'!$B$33,'Inputs'!$B$29+'Inputs'!$B$31+'Inputs'!$B$32,'Inputs'!$B$30+'Inputs'!$B$31+'Inputs'!$B$32)/1000+'Inputs'!$B$21)+'Inputs'!$B$9)^2+('Inputs'!$B$8/2)^2)-(((516-43)*MAX('Inputs'!$B$33,'Inputs'!$B$29+'Inputs'!$B$31+'Inputs'!$B$32,'Inputs'!$B$30+'Inputs'!$B$31+'Inputs'!$B$32)/1000+'Inputs'!$B$21))/SQRT((((516-43)*MAX('Inputs'!$B$33,'Inputs'!$B$29+'Inputs'!$B$31+'Inputs'!$B$32,'Inputs'!$B$30+'Inputs'!$B$31+'Inputs'!$B$32)/1000+'Inputs'!$B$21))^2+('Inputs'!$B$8/2)^2)))-'Results'!B7*(1-'Inputs'!$B$24)*(0.5*((((516-43)*MAX('Inputs'!$B$33,'Inputs'!$B$29+'Inputs'!$B$31+'Inputs'!$B$32,'Inputs'!$B$30+'Inputs'!$B$31+'Inputs'!$B$32)/1000+'Inputs'!$B$21+'Inputs'!$B$9+'Inputs'!$B$10)+'Inputs'!$B$7)/SQRT((((516-43)*MAX('Inputs'!$B$33,'Inputs'!$B$29+'Inputs'!$B$31+'Inputs'!$B$32,'Inputs'!$B$30+'Inputs'!$B$31+'Inputs'!$B$32)/1000+'Inputs'!$B$21+'Inputs'!$B$9+'Inputs'!$B$10)+'Inputs'!$B$7)^2+('Inputs'!$B$6/2)^2)-(((516-43)*MAX('Inputs'!$B$33,'Inputs'!$B$29+'Inputs'!$B$31+'Inputs'!$B$32,'Inputs'!$B$30+'Inputs'!$B$31+'Inputs'!$B$32)/1000+'Inputs'!$B$21+'Inputs'!$B$9+'Inputs'!$B$10))/SQRT((((516-43)*MAX('Inputs'!$B$33,'Inputs'!$B$29+'Inputs'!$B$31+'Inputs'!$B$32,'Inputs'!$B$30+'Inputs'!$B$31+'Inputs'!$B$32)/1000+'Inputs'!$B$21+'Inputs'!$B$9+'Inputs'!$B$10))^2+('Inputs'!$B$6/2)^2))))*'Results'!$B$8)+'Inputs'!$B$28*ABS((('Results'!C7*(1+'Inputs'!$B$24)*(0.5*((((516-43)*MAX('Inputs'!$B$33,'Inputs'!$B$29+'Inputs'!$B$31+'Inputs'!$B$32,'Inputs'!$B$30+'Inputs'!$B$31+'Inputs'!$B$32)/1000+'Inputs'!$B$21)+'Inputs'!$B$9)/SQRT((((516-43)*MAX('Inputs'!$B$33,'Inputs'!$B$29+'Inputs'!$B$31+'Inputs'!$B$32,'Inputs'!$B$30+'Inputs'!$B$31+'Inputs'!$B$32)/1000+'Inputs'!$B$21)+'Inputs'!$B$9)^2+('Inputs'!$B$8/2)^2)-(((516-43)*MAX('Inputs'!$B$33,'Inputs'!$B$29+'Inputs'!$B$31+'Inputs'!$B$32,'Inputs'!$B$30+'Inputs'!$B$31+'Inputs'!$B$32)/1000+'Inputs'!$B$21))/SQRT((((516-43)*MAX('Inputs'!$B$33,'Inputs'!$B$29+'Inputs'!$B$31+'Inputs'!$B$32,'Inputs'!$B$30+'Inputs'!$B$31+'Inputs'!$B$32)/1000+'Inputs'!$B$21))^2+('Inputs'!$B$8/2)^2)))-'Results'!B7*(1-'Inputs'!$B$24)*(0.5*((((516-43)*MAX('Inputs'!$B$33,'Inputs'!$B$29+'Inputs'!$B$31+'Inputs'!$B$32,'Inputs'!$B$30+'Inputs'!$B$31+'Inputs'!$B$32)/1000+'Inputs'!$B$21+'Inputs'!$B$9+'Inputs'!$B$10)+'Inputs'!$B$7)/SQRT((((516-43)*MAX('Inputs'!$B$33,'Inputs'!$B$29+'Inputs'!$B$31+'Inputs'!$B$32,'Inputs'!$B$30+'Inputs'!$B$31+'Inputs'!$B$32)/1000+'Inputs'!$B$21+'Inputs'!$B$9+'Inputs'!$B$10)+'Inputs'!$B$7)^2+('Inputs'!$B$6/2)^2)-(((516-43)*MAX('Inputs'!$B$33,'Inputs'!$B$29+'Inputs'!$B$31+'Inputs'!$B$32,'Inputs'!$B$30+'Inputs'!$B$31+'Inputs'!$B$32)/1000+'Inputs'!$B$21+'Inputs'!$B$9+'Inputs'!$B$10))/SQRT((((516-43)*MAX('Inputs'!$B$33,'Inputs'!$B$29+'Inputs'!$B$31+'Inputs'!$B$32,'Inputs'!$B$30+'Inputs'!$B$31+'Inputs'!$B$32)/1000+'Inputs'!$B$21+'Inputs'!$B$9+'Inputs'!$B$10))^2+('Inputs'!$B$6/2)^2))))*'Results'!$B$8))),"")</x:f>
        <x:v>5.296421707462754</x:v>
      </x:c>
      <x:c r="P516" t="n">
        <x:f>IF(AND(MAX(J516,J515)&gt;0,J516&gt;J515+0.00000001),1,0)</x:f>
        <x:v>0</x:v>
      </x:c>
      <x:c r="Q516" t="n">
        <x:f>IF(AND(MAX(K516,K515)&gt;0,K516&gt;K515+0.00000001),1,0)</x:f>
        <x:v>0</x:v>
      </x:c>
      <x:c r="R516" t="n">
        <x:f>IF(AND(MAX(L516,L515)&gt;0,L516&gt;L515+0.00000001),1,0)</x:f>
        <x:v>0</x:v>
      </x:c>
      <x:c r="S516" t="n">
        <x:f>IF(AND(MAX(M516,M515)&gt;0,M516&gt;M515+0.00000001),1,0)</x:f>
        <x:v>0</x:v>
      </x:c>
      <x:c r="T516" t="n">
        <x:f>IF(AND(MAX(N516,N515)&gt;0,N516&gt;N515+0.00000001),1,0)</x:f>
        <x:v>0</x:v>
      </x:c>
      <x:c r="U516" t="n">
        <x:f>IF(AND(MAX(O516,O515)&gt;0,O516&gt;O515+0.00000001),1,0)</x:f>
        <x:v>0</x:v>
      </x:c>
    </x:row>
    <x:row r="517">
      <x:c r="J517" t="n">
        <x:f>IF(AND(ISNUMBER('Results'!B7),ISNUMBER('Results'!C7),ISNUMBER('Results'!$B$8),ISNUMBER('Inputs'!$B$6),ISNUMBER('Inputs'!$B$7),ISNUMBER('Inputs'!$B$8),ISNUMBER('Inputs'!$B$9),ISNUMBER('Inputs'!$B$10),ISNUMBER('Inputs'!$B$21),ISNUMBER('Inputs'!$B$24),ISNUMBER('Inputs'!$B$28)),(('Results'!B7*(0.5*((((517-43)*MAX('Inputs'!$B$33,'Inputs'!$B$29+'Inputs'!$B$31+'Inputs'!$B$32,'Inputs'!$B$30+'Inputs'!$B$31+'Inputs'!$B$32)/1000+'Inputs'!$B$21)+'Inputs'!$B$7)/SQRT((((517-43)*MAX('Inputs'!$B$33,'Inputs'!$B$29+'Inputs'!$B$31+'Inputs'!$B$32,'Inputs'!$B$30+'Inputs'!$B$31+'Inputs'!$B$32)/1000+'Inputs'!$B$21)+'Inputs'!$B$7)^2+('Inputs'!$B$6/2)^2)-(((517-43)*MAX('Inputs'!$B$33,'Inputs'!$B$29+'Inputs'!$B$31+'Inputs'!$B$32,'Inputs'!$B$30+'Inputs'!$B$31+'Inputs'!$B$32)/1000+'Inputs'!$B$21))/SQRT((((517-43)*MAX('Inputs'!$B$33,'Inputs'!$B$29+'Inputs'!$B$31+'Inputs'!$B$32,'Inputs'!$B$30+'Inputs'!$B$31+'Inputs'!$B$32)/1000+'Inputs'!$B$21))^2+('Inputs'!$B$6/2)^2)))-'Results'!C7*(0.5*((((517-43)*MAX('Inputs'!$B$33,'Inputs'!$B$29+'Inputs'!$B$31+'Inputs'!$B$32,'Inputs'!$B$30+'Inputs'!$B$31+'Inputs'!$B$32)/1000+'Inputs'!$B$21+'Inputs'!$B$7+'Inputs'!$B$10)+'Inputs'!$B$9)/SQRT((((517-43)*MAX('Inputs'!$B$33,'Inputs'!$B$29+'Inputs'!$B$31+'Inputs'!$B$32,'Inputs'!$B$30+'Inputs'!$B$31+'Inputs'!$B$32)/1000+'Inputs'!$B$21+'Inputs'!$B$7+'Inputs'!$B$10)+'Inputs'!$B$9)^2+('Inputs'!$B$8/2)^2)-(((517-43)*MAX('Inputs'!$B$33,'Inputs'!$B$29+'Inputs'!$B$31+'Inputs'!$B$32,'Inputs'!$B$30+'Inputs'!$B$31+'Inputs'!$B$32)/1000+'Inputs'!$B$21+'Inputs'!$B$7+'Inputs'!$B$10))/SQRT((((517-43)*MAX('Inputs'!$B$33,'Inputs'!$B$29+'Inputs'!$B$31+'Inputs'!$B$32,'Inputs'!$B$30+'Inputs'!$B$31+'Inputs'!$B$32)/1000+'Inputs'!$B$21+'Inputs'!$B$7+'Inputs'!$B$10))^2+('Inputs'!$B$8/2)^2))))*'Results'!$B$8),"")</x:f>
        <x:v>5.0124967999018</x:v>
      </x:c>
      <x:c r="K517" t="n">
        <x:f>IF(AND(ISNUMBER('Results'!B7),ISNUMBER('Results'!C7),ISNUMBER('Results'!$B$8),ISNUMBER('Inputs'!$B$6),ISNUMBER('Inputs'!$B$7),ISNUMBER('Inputs'!$B$8),ISNUMBER('Inputs'!$B$9),ISNUMBER('Inputs'!$B$10),ISNUMBER('Inputs'!$B$21),ISNUMBER('Inputs'!$B$24),ISNUMBER('Inputs'!$B$28)),((('Results'!B7*(1-'Inputs'!$B$24)*(0.5*((((517-43)*MAX('Inputs'!$B$33,'Inputs'!$B$29+'Inputs'!$B$31+'Inputs'!$B$32,'Inputs'!$B$30+'Inputs'!$B$31+'Inputs'!$B$32)/1000+'Inputs'!$B$21)+'Inputs'!$B$7)/SQRT((((517-43)*MAX('Inputs'!$B$33,'Inputs'!$B$29+'Inputs'!$B$31+'Inputs'!$B$32,'Inputs'!$B$30+'Inputs'!$B$31+'Inputs'!$B$32)/1000+'Inputs'!$B$21)+'Inputs'!$B$7)^2+('Inputs'!$B$6/2)^2)-(((517-43)*MAX('Inputs'!$B$33,'Inputs'!$B$29+'Inputs'!$B$31+'Inputs'!$B$32,'Inputs'!$B$30+'Inputs'!$B$31+'Inputs'!$B$32)/1000+'Inputs'!$B$21))/SQRT((((517-43)*MAX('Inputs'!$B$33,'Inputs'!$B$29+'Inputs'!$B$31+'Inputs'!$B$32,'Inputs'!$B$30+'Inputs'!$B$31+'Inputs'!$B$32)/1000+'Inputs'!$B$21))^2+('Inputs'!$B$6/2)^2)))-'Results'!C7*(1+'Inputs'!$B$24)*(0.5*((((517-43)*MAX('Inputs'!$B$33,'Inputs'!$B$29+'Inputs'!$B$31+'Inputs'!$B$32,'Inputs'!$B$30+'Inputs'!$B$31+'Inputs'!$B$32)/1000+'Inputs'!$B$21+'Inputs'!$B$7+'Inputs'!$B$10)+'Inputs'!$B$9)/SQRT((((517-43)*MAX('Inputs'!$B$33,'Inputs'!$B$29+'Inputs'!$B$31+'Inputs'!$B$32,'Inputs'!$B$30+'Inputs'!$B$31+'Inputs'!$B$32)/1000+'Inputs'!$B$21+'Inputs'!$B$7+'Inputs'!$B$10)+'Inputs'!$B$9)^2+('Inputs'!$B$8/2)^2)-(((517-43)*MAX('Inputs'!$B$33,'Inputs'!$B$29+'Inputs'!$B$31+'Inputs'!$B$32,'Inputs'!$B$30+'Inputs'!$B$31+'Inputs'!$B$32)/1000+'Inputs'!$B$21+'Inputs'!$B$7+'Inputs'!$B$10))/SQRT((((517-43)*MAX('Inputs'!$B$33,'Inputs'!$B$29+'Inputs'!$B$31+'Inputs'!$B$32,'Inputs'!$B$30+'Inputs'!$B$31+'Inputs'!$B$32)/1000+'Inputs'!$B$21+'Inputs'!$B$7+'Inputs'!$B$10))^2+('Inputs'!$B$8/2)^2))))*'Results'!$B$8)-'Inputs'!$B$28*ABS((('Results'!B7*(1-'Inputs'!$B$24)*(0.5*((((517-43)*MAX('Inputs'!$B$33,'Inputs'!$B$29+'Inputs'!$B$31+'Inputs'!$B$32,'Inputs'!$B$30+'Inputs'!$B$31+'Inputs'!$B$32)/1000+'Inputs'!$B$21)+'Inputs'!$B$7)/SQRT((((517-43)*MAX('Inputs'!$B$33,'Inputs'!$B$29+'Inputs'!$B$31+'Inputs'!$B$32,'Inputs'!$B$30+'Inputs'!$B$31+'Inputs'!$B$32)/1000+'Inputs'!$B$21)+'Inputs'!$B$7)^2+('Inputs'!$B$6/2)^2)-(((517-43)*MAX('Inputs'!$B$33,'Inputs'!$B$29+'Inputs'!$B$31+'Inputs'!$B$32,'Inputs'!$B$30+'Inputs'!$B$31+'Inputs'!$B$32)/1000+'Inputs'!$B$21))/SQRT((((517-43)*MAX('Inputs'!$B$33,'Inputs'!$B$29+'Inputs'!$B$31+'Inputs'!$B$32,'Inputs'!$B$30+'Inputs'!$B$31+'Inputs'!$B$32)/1000+'Inputs'!$B$21))^2+('Inputs'!$B$6/2)^2)))-'Results'!C7*(1+'Inputs'!$B$24)*(0.5*((((517-43)*MAX('Inputs'!$B$33,'Inputs'!$B$29+'Inputs'!$B$31+'Inputs'!$B$32,'Inputs'!$B$30+'Inputs'!$B$31+'Inputs'!$B$32)/1000+'Inputs'!$B$21+'Inputs'!$B$7+'Inputs'!$B$10)+'Inputs'!$B$9)/SQRT((((517-43)*MAX('Inputs'!$B$33,'Inputs'!$B$29+'Inputs'!$B$31+'Inputs'!$B$32,'Inputs'!$B$30+'Inputs'!$B$31+'Inputs'!$B$32)/1000+'Inputs'!$B$21+'Inputs'!$B$7+'Inputs'!$B$10)+'Inputs'!$B$9)^2+('Inputs'!$B$8/2)^2)-(((517-43)*MAX('Inputs'!$B$33,'Inputs'!$B$29+'Inputs'!$B$31+'Inputs'!$B$32,'Inputs'!$B$30+'Inputs'!$B$31+'Inputs'!$B$32)/1000+'Inputs'!$B$21+'Inputs'!$B$7+'Inputs'!$B$10))/SQRT((((517-43)*MAX('Inputs'!$B$33,'Inputs'!$B$29+'Inputs'!$B$31+'Inputs'!$B$32,'Inputs'!$B$30+'Inputs'!$B$31+'Inputs'!$B$32)/1000+'Inputs'!$B$21+'Inputs'!$B$7+'Inputs'!$B$10))^2+('Inputs'!$B$8/2)^2))))*'Results'!$B$8))),"")</x:f>
        <x:v>4.451780477612418</x:v>
      </x:c>
      <x:c r="L517" t="n">
        <x:f>IF(AND(ISNUMBER('Results'!B7),ISNUMBER('Results'!C7),ISNUMBER('Results'!$B$8),ISNUMBER('Inputs'!$B$6),ISNUMBER('Inputs'!$B$7),ISNUMBER('Inputs'!$B$8),ISNUMBER('Inputs'!$B$9),ISNUMBER('Inputs'!$B$10),ISNUMBER('Inputs'!$B$21),ISNUMBER('Inputs'!$B$24),ISNUMBER('Inputs'!$B$28)),((('Results'!B7*(1+'Inputs'!$B$24)*(0.5*((((517-43)*MAX('Inputs'!$B$33,'Inputs'!$B$29+'Inputs'!$B$31+'Inputs'!$B$32,'Inputs'!$B$30+'Inputs'!$B$31+'Inputs'!$B$32)/1000+'Inputs'!$B$21)+'Inputs'!$B$7)/SQRT((((517-43)*MAX('Inputs'!$B$33,'Inputs'!$B$29+'Inputs'!$B$31+'Inputs'!$B$32,'Inputs'!$B$30+'Inputs'!$B$31+'Inputs'!$B$32)/1000+'Inputs'!$B$21)+'Inputs'!$B$7)^2+('Inputs'!$B$6/2)^2)-(((517-43)*MAX('Inputs'!$B$33,'Inputs'!$B$29+'Inputs'!$B$31+'Inputs'!$B$32,'Inputs'!$B$30+'Inputs'!$B$31+'Inputs'!$B$32)/1000+'Inputs'!$B$21))/SQRT((((517-43)*MAX('Inputs'!$B$33,'Inputs'!$B$29+'Inputs'!$B$31+'Inputs'!$B$32,'Inputs'!$B$30+'Inputs'!$B$31+'Inputs'!$B$32)/1000+'Inputs'!$B$21))^2+('Inputs'!$B$6/2)^2)))-'Results'!C7*(1-'Inputs'!$B$24)*(0.5*((((517-43)*MAX('Inputs'!$B$33,'Inputs'!$B$29+'Inputs'!$B$31+'Inputs'!$B$32,'Inputs'!$B$30+'Inputs'!$B$31+'Inputs'!$B$32)/1000+'Inputs'!$B$21+'Inputs'!$B$7+'Inputs'!$B$10)+'Inputs'!$B$9)/SQRT((((517-43)*MAX('Inputs'!$B$33,'Inputs'!$B$29+'Inputs'!$B$31+'Inputs'!$B$32,'Inputs'!$B$30+'Inputs'!$B$31+'Inputs'!$B$32)/1000+'Inputs'!$B$21+'Inputs'!$B$7+'Inputs'!$B$10)+'Inputs'!$B$9)^2+('Inputs'!$B$8/2)^2)-(((517-43)*MAX('Inputs'!$B$33,'Inputs'!$B$29+'Inputs'!$B$31+'Inputs'!$B$32,'Inputs'!$B$30+'Inputs'!$B$31+'Inputs'!$B$32)/1000+'Inputs'!$B$21+'Inputs'!$B$7+'Inputs'!$B$10))/SQRT((((517-43)*MAX('Inputs'!$B$33,'Inputs'!$B$29+'Inputs'!$B$31+'Inputs'!$B$32,'Inputs'!$B$30+'Inputs'!$B$31+'Inputs'!$B$32)/1000+'Inputs'!$B$21+'Inputs'!$B$7+'Inputs'!$B$10))^2+('Inputs'!$B$8/2)^2))))*'Results'!$B$8)+'Inputs'!$B$28*ABS((('Results'!B7*(1+'Inputs'!$B$24)*(0.5*((((517-43)*MAX('Inputs'!$B$33,'Inputs'!$B$29+'Inputs'!$B$31+'Inputs'!$B$32,'Inputs'!$B$30+'Inputs'!$B$31+'Inputs'!$B$32)/1000+'Inputs'!$B$21)+'Inputs'!$B$7)/SQRT((((517-43)*MAX('Inputs'!$B$33,'Inputs'!$B$29+'Inputs'!$B$31+'Inputs'!$B$32,'Inputs'!$B$30+'Inputs'!$B$31+'Inputs'!$B$32)/1000+'Inputs'!$B$21)+'Inputs'!$B$7)^2+('Inputs'!$B$6/2)^2)-(((517-43)*MAX('Inputs'!$B$33,'Inputs'!$B$29+'Inputs'!$B$31+'Inputs'!$B$32,'Inputs'!$B$30+'Inputs'!$B$31+'Inputs'!$B$32)/1000+'Inputs'!$B$21))/SQRT((((517-43)*MAX('Inputs'!$B$33,'Inputs'!$B$29+'Inputs'!$B$31+'Inputs'!$B$32,'Inputs'!$B$30+'Inputs'!$B$31+'Inputs'!$B$32)/1000+'Inputs'!$B$21))^2+('Inputs'!$B$6/2)^2)))-'Results'!C7*(1-'Inputs'!$B$24)*(0.5*((((517-43)*MAX('Inputs'!$B$33,'Inputs'!$B$29+'Inputs'!$B$31+'Inputs'!$B$32,'Inputs'!$B$30+'Inputs'!$B$31+'Inputs'!$B$32)/1000+'Inputs'!$B$21+'Inputs'!$B$7+'Inputs'!$B$10)+'Inputs'!$B$9)/SQRT((((517-43)*MAX('Inputs'!$B$33,'Inputs'!$B$29+'Inputs'!$B$31+'Inputs'!$B$32,'Inputs'!$B$30+'Inputs'!$B$31+'Inputs'!$B$32)/1000+'Inputs'!$B$21+'Inputs'!$B$7+'Inputs'!$B$10)+'Inputs'!$B$9)^2+('Inputs'!$B$8/2)^2)-(((517-43)*MAX('Inputs'!$B$33,'Inputs'!$B$29+'Inputs'!$B$31+'Inputs'!$B$32,'Inputs'!$B$30+'Inputs'!$B$31+'Inputs'!$B$32)/1000+'Inputs'!$B$21+'Inputs'!$B$7+'Inputs'!$B$10))/SQRT((((517-43)*MAX('Inputs'!$B$33,'Inputs'!$B$29+'Inputs'!$B$31+'Inputs'!$B$32,'Inputs'!$B$30+'Inputs'!$B$31+'Inputs'!$B$32)/1000+'Inputs'!$B$21+'Inputs'!$B$7+'Inputs'!$B$10))^2+('Inputs'!$B$8/2)^2))))*'Results'!$B$8))),"")</x:f>
        <x:v>5.605854330853741</x:v>
      </x:c>
      <x:c r="M517" t="n">
        <x:f>IF(AND(ISNUMBER('Results'!C7),ISNUMBER('Results'!B7),ISNUMBER('Results'!$B$8),ISNUMBER('Inputs'!$B$6),ISNUMBER('Inputs'!$B$7),ISNUMBER('Inputs'!$B$8),ISNUMBER('Inputs'!$B$9),ISNUMBER('Inputs'!$B$10),ISNUMBER('Inputs'!$B$21),ISNUMBER('Inputs'!$B$24),ISNUMBER('Inputs'!$B$28)),(('Results'!C7*(0.5*((((517-43)*MAX('Inputs'!$B$33,'Inputs'!$B$29+'Inputs'!$B$31+'Inputs'!$B$32,'Inputs'!$B$30+'Inputs'!$B$31+'Inputs'!$B$32)/1000+'Inputs'!$B$21)+'Inputs'!$B$9)/SQRT((((517-43)*MAX('Inputs'!$B$33,'Inputs'!$B$29+'Inputs'!$B$31+'Inputs'!$B$32,'Inputs'!$B$30+'Inputs'!$B$31+'Inputs'!$B$32)/1000+'Inputs'!$B$21)+'Inputs'!$B$9)^2+('Inputs'!$B$8/2)^2)-(((517-43)*MAX('Inputs'!$B$33,'Inputs'!$B$29+'Inputs'!$B$31+'Inputs'!$B$32,'Inputs'!$B$30+'Inputs'!$B$31+'Inputs'!$B$32)/1000+'Inputs'!$B$21))/SQRT((((517-43)*MAX('Inputs'!$B$33,'Inputs'!$B$29+'Inputs'!$B$31+'Inputs'!$B$32,'Inputs'!$B$30+'Inputs'!$B$31+'Inputs'!$B$32)/1000+'Inputs'!$B$21))^2+('Inputs'!$B$8/2)^2)))-'Results'!B7*(0.5*((((517-43)*MAX('Inputs'!$B$33,'Inputs'!$B$29+'Inputs'!$B$31+'Inputs'!$B$32,'Inputs'!$B$30+'Inputs'!$B$31+'Inputs'!$B$32)/1000+'Inputs'!$B$21+'Inputs'!$B$9+'Inputs'!$B$10)+'Inputs'!$B$7)/SQRT((((517-43)*MAX('Inputs'!$B$33,'Inputs'!$B$29+'Inputs'!$B$31+'Inputs'!$B$32,'Inputs'!$B$30+'Inputs'!$B$31+'Inputs'!$B$32)/1000+'Inputs'!$B$21+'Inputs'!$B$9+'Inputs'!$B$10)+'Inputs'!$B$7)^2+('Inputs'!$B$6/2)^2)-(((517-43)*MAX('Inputs'!$B$33,'Inputs'!$B$29+'Inputs'!$B$31+'Inputs'!$B$32,'Inputs'!$B$30+'Inputs'!$B$31+'Inputs'!$B$32)/1000+'Inputs'!$B$21+'Inputs'!$B$9+'Inputs'!$B$10))/SQRT((((517-43)*MAX('Inputs'!$B$33,'Inputs'!$B$29+'Inputs'!$B$31+'Inputs'!$B$32,'Inputs'!$B$30+'Inputs'!$B$31+'Inputs'!$B$32)/1000+'Inputs'!$B$21+'Inputs'!$B$9+'Inputs'!$B$10))^2+('Inputs'!$B$6/2)^2))))*'Results'!$B$8),"")</x:f>
        <x:v>4.683776936229012</x:v>
      </x:c>
      <x:c r="N517" t="n">
        <x:f>IF(AND(ISNUMBER('Results'!C7),ISNUMBER('Results'!B7),ISNUMBER('Results'!$B$8),ISNUMBER('Inputs'!$B$6),ISNUMBER('Inputs'!$B$7),ISNUMBER('Inputs'!$B$8),ISNUMBER('Inputs'!$B$9),ISNUMBER('Inputs'!$B$10),ISNUMBER('Inputs'!$B$21),ISNUMBER('Inputs'!$B$24),ISNUMBER('Inputs'!$B$28)),((('Results'!C7*(1-'Inputs'!$B$24)*(0.5*((((517-43)*MAX('Inputs'!$B$33,'Inputs'!$B$29+'Inputs'!$B$31+'Inputs'!$B$32,'Inputs'!$B$30+'Inputs'!$B$31+'Inputs'!$B$32)/1000+'Inputs'!$B$21)+'Inputs'!$B$9)/SQRT((((517-43)*MAX('Inputs'!$B$33,'Inputs'!$B$29+'Inputs'!$B$31+'Inputs'!$B$32,'Inputs'!$B$30+'Inputs'!$B$31+'Inputs'!$B$32)/1000+'Inputs'!$B$21)+'Inputs'!$B$9)^2+('Inputs'!$B$8/2)^2)-(((517-43)*MAX('Inputs'!$B$33,'Inputs'!$B$29+'Inputs'!$B$31+'Inputs'!$B$32,'Inputs'!$B$30+'Inputs'!$B$31+'Inputs'!$B$32)/1000+'Inputs'!$B$21))/SQRT((((517-43)*MAX('Inputs'!$B$33,'Inputs'!$B$29+'Inputs'!$B$31+'Inputs'!$B$32,'Inputs'!$B$30+'Inputs'!$B$31+'Inputs'!$B$32)/1000+'Inputs'!$B$21))^2+('Inputs'!$B$8/2)^2)))-'Results'!B7*(1+'Inputs'!$B$24)*(0.5*((((517-43)*MAX('Inputs'!$B$33,'Inputs'!$B$29+'Inputs'!$B$31+'Inputs'!$B$32,'Inputs'!$B$30+'Inputs'!$B$31+'Inputs'!$B$32)/1000+'Inputs'!$B$21+'Inputs'!$B$9+'Inputs'!$B$10)+'Inputs'!$B$7)/SQRT((((517-43)*MAX('Inputs'!$B$33,'Inputs'!$B$29+'Inputs'!$B$31+'Inputs'!$B$32,'Inputs'!$B$30+'Inputs'!$B$31+'Inputs'!$B$32)/1000+'Inputs'!$B$21+'Inputs'!$B$9+'Inputs'!$B$10)+'Inputs'!$B$7)^2+('Inputs'!$B$6/2)^2)-(((517-43)*MAX('Inputs'!$B$33,'Inputs'!$B$29+'Inputs'!$B$31+'Inputs'!$B$32,'Inputs'!$B$30+'Inputs'!$B$31+'Inputs'!$B$32)/1000+'Inputs'!$B$21+'Inputs'!$B$9+'Inputs'!$B$10))/SQRT((((517-43)*MAX('Inputs'!$B$33,'Inputs'!$B$29+'Inputs'!$B$31+'Inputs'!$B$32,'Inputs'!$B$30+'Inputs'!$B$31+'Inputs'!$B$32)/1000+'Inputs'!$B$21+'Inputs'!$B$9+'Inputs'!$B$10))^2+('Inputs'!$B$6/2)^2))))*'Results'!$B$8)-'Inputs'!$B$28*ABS((('Results'!C7*(1-'Inputs'!$B$24)*(0.5*((((517-43)*MAX('Inputs'!$B$33,'Inputs'!$B$29+'Inputs'!$B$31+'Inputs'!$B$32,'Inputs'!$B$30+'Inputs'!$B$31+'Inputs'!$B$32)/1000+'Inputs'!$B$21)+'Inputs'!$B$9)/SQRT((((517-43)*MAX('Inputs'!$B$33,'Inputs'!$B$29+'Inputs'!$B$31+'Inputs'!$B$32,'Inputs'!$B$30+'Inputs'!$B$31+'Inputs'!$B$32)/1000+'Inputs'!$B$21)+'Inputs'!$B$9)^2+('Inputs'!$B$8/2)^2)-(((517-43)*MAX('Inputs'!$B$33,'Inputs'!$B$29+'Inputs'!$B$31+'Inputs'!$B$32,'Inputs'!$B$30+'Inputs'!$B$31+'Inputs'!$B$32)/1000+'Inputs'!$B$21))/SQRT((((517-43)*MAX('Inputs'!$B$33,'Inputs'!$B$29+'Inputs'!$B$31+'Inputs'!$B$32,'Inputs'!$B$30+'Inputs'!$B$31+'Inputs'!$B$32)/1000+'Inputs'!$B$21))^2+('Inputs'!$B$8/2)^2)))-'Results'!B7*(1+'Inputs'!$B$24)*(0.5*((((517-43)*MAX('Inputs'!$B$33,'Inputs'!$B$29+'Inputs'!$B$31+'Inputs'!$B$32,'Inputs'!$B$30+'Inputs'!$B$31+'Inputs'!$B$32)/1000+'Inputs'!$B$21+'Inputs'!$B$9+'Inputs'!$B$10)+'Inputs'!$B$7)/SQRT((((517-43)*MAX('Inputs'!$B$33,'Inputs'!$B$29+'Inputs'!$B$31+'Inputs'!$B$32,'Inputs'!$B$30+'Inputs'!$B$31+'Inputs'!$B$32)/1000+'Inputs'!$B$21+'Inputs'!$B$9+'Inputs'!$B$10)+'Inputs'!$B$7)^2+('Inputs'!$B$6/2)^2)-(((517-43)*MAX('Inputs'!$B$33,'Inputs'!$B$29+'Inputs'!$B$31+'Inputs'!$B$32,'Inputs'!$B$30+'Inputs'!$B$31+'Inputs'!$B$32)/1000+'Inputs'!$B$21+'Inputs'!$B$9+'Inputs'!$B$10))/SQRT((((517-43)*MAX('Inputs'!$B$33,'Inputs'!$B$29+'Inputs'!$B$31+'Inputs'!$B$32,'Inputs'!$B$30+'Inputs'!$B$31+'Inputs'!$B$32)/1000+'Inputs'!$B$21+'Inputs'!$B$9+'Inputs'!$B$10))^2+('Inputs'!$B$6/2)^2))))*'Results'!$B$8))),"")</x:f>
        <x:v>4.141357508143333</x:v>
      </x:c>
      <x:c r="O517" t="n">
        <x:f>IF(AND(ISNUMBER('Results'!C7),ISNUMBER('Results'!B7),ISNUMBER('Results'!$B$8),ISNUMBER('Inputs'!$B$6),ISNUMBER('Inputs'!$B$7),ISNUMBER('Inputs'!$B$8),ISNUMBER('Inputs'!$B$9),ISNUMBER('Inputs'!$B$10),ISNUMBER('Inputs'!$B$21),ISNUMBER('Inputs'!$B$24),ISNUMBER('Inputs'!$B$28)),((('Results'!C7*(1+'Inputs'!$B$24)*(0.5*((((517-43)*MAX('Inputs'!$B$33,'Inputs'!$B$29+'Inputs'!$B$31+'Inputs'!$B$32,'Inputs'!$B$30+'Inputs'!$B$31+'Inputs'!$B$32)/1000+'Inputs'!$B$21)+'Inputs'!$B$9)/SQRT((((517-43)*MAX('Inputs'!$B$33,'Inputs'!$B$29+'Inputs'!$B$31+'Inputs'!$B$32,'Inputs'!$B$30+'Inputs'!$B$31+'Inputs'!$B$32)/1000+'Inputs'!$B$21)+'Inputs'!$B$9)^2+('Inputs'!$B$8/2)^2)-(((517-43)*MAX('Inputs'!$B$33,'Inputs'!$B$29+'Inputs'!$B$31+'Inputs'!$B$32,'Inputs'!$B$30+'Inputs'!$B$31+'Inputs'!$B$32)/1000+'Inputs'!$B$21))/SQRT((((517-43)*MAX('Inputs'!$B$33,'Inputs'!$B$29+'Inputs'!$B$31+'Inputs'!$B$32,'Inputs'!$B$30+'Inputs'!$B$31+'Inputs'!$B$32)/1000+'Inputs'!$B$21))^2+('Inputs'!$B$8/2)^2)))-'Results'!B7*(1-'Inputs'!$B$24)*(0.5*((((517-43)*MAX('Inputs'!$B$33,'Inputs'!$B$29+'Inputs'!$B$31+'Inputs'!$B$32,'Inputs'!$B$30+'Inputs'!$B$31+'Inputs'!$B$32)/1000+'Inputs'!$B$21+'Inputs'!$B$9+'Inputs'!$B$10)+'Inputs'!$B$7)/SQRT((((517-43)*MAX('Inputs'!$B$33,'Inputs'!$B$29+'Inputs'!$B$31+'Inputs'!$B$32,'Inputs'!$B$30+'Inputs'!$B$31+'Inputs'!$B$32)/1000+'Inputs'!$B$21+'Inputs'!$B$9+'Inputs'!$B$10)+'Inputs'!$B$7)^2+('Inputs'!$B$6/2)^2)-(((517-43)*MAX('Inputs'!$B$33,'Inputs'!$B$29+'Inputs'!$B$31+'Inputs'!$B$32,'Inputs'!$B$30+'Inputs'!$B$31+'Inputs'!$B$32)/1000+'Inputs'!$B$21+'Inputs'!$B$9+'Inputs'!$B$10))/SQRT((((517-43)*MAX('Inputs'!$B$33,'Inputs'!$B$29+'Inputs'!$B$31+'Inputs'!$B$32,'Inputs'!$B$30+'Inputs'!$B$31+'Inputs'!$B$32)/1000+'Inputs'!$B$21+'Inputs'!$B$9+'Inputs'!$B$10))^2+('Inputs'!$B$6/2)^2))))*'Results'!$B$8)+'Inputs'!$B$28*ABS((('Results'!C7*(1+'Inputs'!$B$24)*(0.5*((((517-43)*MAX('Inputs'!$B$33,'Inputs'!$B$29+'Inputs'!$B$31+'Inputs'!$B$32,'Inputs'!$B$30+'Inputs'!$B$31+'Inputs'!$B$32)/1000+'Inputs'!$B$21)+'Inputs'!$B$9)/SQRT((((517-43)*MAX('Inputs'!$B$33,'Inputs'!$B$29+'Inputs'!$B$31+'Inputs'!$B$32,'Inputs'!$B$30+'Inputs'!$B$31+'Inputs'!$B$32)/1000+'Inputs'!$B$21)+'Inputs'!$B$9)^2+('Inputs'!$B$8/2)^2)-(((517-43)*MAX('Inputs'!$B$33,'Inputs'!$B$29+'Inputs'!$B$31+'Inputs'!$B$32,'Inputs'!$B$30+'Inputs'!$B$31+'Inputs'!$B$32)/1000+'Inputs'!$B$21))/SQRT((((517-43)*MAX('Inputs'!$B$33,'Inputs'!$B$29+'Inputs'!$B$31+'Inputs'!$B$32,'Inputs'!$B$30+'Inputs'!$B$31+'Inputs'!$B$32)/1000+'Inputs'!$B$21))^2+('Inputs'!$B$8/2)^2)))-'Results'!B7*(1-'Inputs'!$B$24)*(0.5*((((517-43)*MAX('Inputs'!$B$33,'Inputs'!$B$29+'Inputs'!$B$31+'Inputs'!$B$32,'Inputs'!$B$30+'Inputs'!$B$31+'Inputs'!$B$32)/1000+'Inputs'!$B$21+'Inputs'!$B$9+'Inputs'!$B$10)+'Inputs'!$B$7)/SQRT((((517-43)*MAX('Inputs'!$B$33,'Inputs'!$B$29+'Inputs'!$B$31+'Inputs'!$B$32,'Inputs'!$B$30+'Inputs'!$B$31+'Inputs'!$B$32)/1000+'Inputs'!$B$21+'Inputs'!$B$9+'Inputs'!$B$10)+'Inputs'!$B$7)^2+('Inputs'!$B$6/2)^2)-(((517-43)*MAX('Inputs'!$B$33,'Inputs'!$B$29+'Inputs'!$B$31+'Inputs'!$B$32,'Inputs'!$B$30+'Inputs'!$B$31+'Inputs'!$B$32)/1000+'Inputs'!$B$21+'Inputs'!$B$9+'Inputs'!$B$10))/SQRT((((517-43)*MAX('Inputs'!$B$33,'Inputs'!$B$29+'Inputs'!$B$31+'Inputs'!$B$32,'Inputs'!$B$30+'Inputs'!$B$31+'Inputs'!$B$32)/1000+'Inputs'!$B$21+'Inputs'!$B$9+'Inputs'!$B$10))^2+('Inputs'!$B$6/2)^2))))*'Results'!$B$8))),"")</x:f>
        <x:v>5.258641688659345</x:v>
      </x:c>
      <x:c r="P517" t="n">
        <x:f>IF(AND(MAX(J517,J516)&gt;0,J517&gt;J516+0.00000001),1,0)</x:f>
        <x:v>0</x:v>
      </x:c>
      <x:c r="Q517" t="n">
        <x:f>IF(AND(MAX(K517,K516)&gt;0,K517&gt;K516+0.00000001),1,0)</x:f>
        <x:v>0</x:v>
      </x:c>
      <x:c r="R517" t="n">
        <x:f>IF(AND(MAX(L517,L516)&gt;0,L517&gt;L516+0.00000001),1,0)</x:f>
        <x:v>0</x:v>
      </x:c>
      <x:c r="S517" t="n">
        <x:f>IF(AND(MAX(M517,M516)&gt;0,M517&gt;M516+0.00000001),1,0)</x:f>
        <x:v>0</x:v>
      </x:c>
      <x:c r="T517" t="n">
        <x:f>IF(AND(MAX(N517,N516)&gt;0,N517&gt;N516+0.00000001),1,0)</x:f>
        <x:v>0</x:v>
      </x:c>
      <x:c r="U517" t="n">
        <x:f>IF(AND(MAX(O517,O516)&gt;0,O517&gt;O516+0.00000001),1,0)</x:f>
        <x:v>0</x:v>
      </x:c>
    </x:row>
    <x:row r="518">
      <x:c r="J518" t="n">
        <x:f>IF(AND(ISNUMBER('Results'!B7),ISNUMBER('Results'!C7),ISNUMBER('Results'!$B$8),ISNUMBER('Inputs'!$B$6),ISNUMBER('Inputs'!$B$7),ISNUMBER('Inputs'!$B$8),ISNUMBER('Inputs'!$B$9),ISNUMBER('Inputs'!$B$10),ISNUMBER('Inputs'!$B$21),ISNUMBER('Inputs'!$B$24),ISNUMBER('Inputs'!$B$28)),(('Results'!B7*(0.5*((((518-43)*MAX('Inputs'!$B$33,'Inputs'!$B$29+'Inputs'!$B$31+'Inputs'!$B$32,'Inputs'!$B$30+'Inputs'!$B$31+'Inputs'!$B$32)/1000+'Inputs'!$B$21)+'Inputs'!$B$7)/SQRT((((518-43)*MAX('Inputs'!$B$33,'Inputs'!$B$29+'Inputs'!$B$31+'Inputs'!$B$32,'Inputs'!$B$30+'Inputs'!$B$31+'Inputs'!$B$32)/1000+'Inputs'!$B$21)+'Inputs'!$B$7)^2+('Inputs'!$B$6/2)^2)-(((518-43)*MAX('Inputs'!$B$33,'Inputs'!$B$29+'Inputs'!$B$31+'Inputs'!$B$32,'Inputs'!$B$30+'Inputs'!$B$31+'Inputs'!$B$32)/1000+'Inputs'!$B$21))/SQRT((((518-43)*MAX('Inputs'!$B$33,'Inputs'!$B$29+'Inputs'!$B$31+'Inputs'!$B$32,'Inputs'!$B$30+'Inputs'!$B$31+'Inputs'!$B$32)/1000+'Inputs'!$B$21))^2+('Inputs'!$B$6/2)^2)))-'Results'!C7*(0.5*((((518-43)*MAX('Inputs'!$B$33,'Inputs'!$B$29+'Inputs'!$B$31+'Inputs'!$B$32,'Inputs'!$B$30+'Inputs'!$B$31+'Inputs'!$B$32)/1000+'Inputs'!$B$21+'Inputs'!$B$7+'Inputs'!$B$10)+'Inputs'!$B$9)/SQRT((((518-43)*MAX('Inputs'!$B$33,'Inputs'!$B$29+'Inputs'!$B$31+'Inputs'!$B$32,'Inputs'!$B$30+'Inputs'!$B$31+'Inputs'!$B$32)/1000+'Inputs'!$B$21+'Inputs'!$B$7+'Inputs'!$B$10)+'Inputs'!$B$9)^2+('Inputs'!$B$8/2)^2)-(((518-43)*MAX('Inputs'!$B$33,'Inputs'!$B$29+'Inputs'!$B$31+'Inputs'!$B$32,'Inputs'!$B$30+'Inputs'!$B$31+'Inputs'!$B$32)/1000+'Inputs'!$B$21+'Inputs'!$B$7+'Inputs'!$B$10))/SQRT((((518-43)*MAX('Inputs'!$B$33,'Inputs'!$B$29+'Inputs'!$B$31+'Inputs'!$B$32,'Inputs'!$B$30+'Inputs'!$B$31+'Inputs'!$B$32)/1000+'Inputs'!$B$21+'Inputs'!$B$7+'Inputs'!$B$10))^2+('Inputs'!$B$8/2)^2))))*'Results'!$B$8),"")</x:f>
        <x:v>4.9768111906294985</x:v>
      </x:c>
      <x:c r="K518" t="n">
        <x:f>IF(AND(ISNUMBER('Results'!B7),ISNUMBER('Results'!C7),ISNUMBER('Results'!$B$8),ISNUMBER('Inputs'!$B$6),ISNUMBER('Inputs'!$B$7),ISNUMBER('Inputs'!$B$8),ISNUMBER('Inputs'!$B$9),ISNUMBER('Inputs'!$B$10),ISNUMBER('Inputs'!$B$21),ISNUMBER('Inputs'!$B$24),ISNUMBER('Inputs'!$B$28)),((('Results'!B7*(1-'Inputs'!$B$24)*(0.5*((((518-43)*MAX('Inputs'!$B$33,'Inputs'!$B$29+'Inputs'!$B$31+'Inputs'!$B$32,'Inputs'!$B$30+'Inputs'!$B$31+'Inputs'!$B$32)/1000+'Inputs'!$B$21)+'Inputs'!$B$7)/SQRT((((518-43)*MAX('Inputs'!$B$33,'Inputs'!$B$29+'Inputs'!$B$31+'Inputs'!$B$32,'Inputs'!$B$30+'Inputs'!$B$31+'Inputs'!$B$32)/1000+'Inputs'!$B$21)+'Inputs'!$B$7)^2+('Inputs'!$B$6/2)^2)-(((518-43)*MAX('Inputs'!$B$33,'Inputs'!$B$29+'Inputs'!$B$31+'Inputs'!$B$32,'Inputs'!$B$30+'Inputs'!$B$31+'Inputs'!$B$32)/1000+'Inputs'!$B$21))/SQRT((((518-43)*MAX('Inputs'!$B$33,'Inputs'!$B$29+'Inputs'!$B$31+'Inputs'!$B$32,'Inputs'!$B$30+'Inputs'!$B$31+'Inputs'!$B$32)/1000+'Inputs'!$B$21))^2+('Inputs'!$B$6/2)^2)))-'Results'!C7*(1+'Inputs'!$B$24)*(0.5*((((518-43)*MAX('Inputs'!$B$33,'Inputs'!$B$29+'Inputs'!$B$31+'Inputs'!$B$32,'Inputs'!$B$30+'Inputs'!$B$31+'Inputs'!$B$32)/1000+'Inputs'!$B$21+'Inputs'!$B$7+'Inputs'!$B$10)+'Inputs'!$B$9)/SQRT((((518-43)*MAX('Inputs'!$B$33,'Inputs'!$B$29+'Inputs'!$B$31+'Inputs'!$B$32,'Inputs'!$B$30+'Inputs'!$B$31+'Inputs'!$B$32)/1000+'Inputs'!$B$21+'Inputs'!$B$7+'Inputs'!$B$10)+'Inputs'!$B$9)^2+('Inputs'!$B$8/2)^2)-(((518-43)*MAX('Inputs'!$B$33,'Inputs'!$B$29+'Inputs'!$B$31+'Inputs'!$B$32,'Inputs'!$B$30+'Inputs'!$B$31+'Inputs'!$B$32)/1000+'Inputs'!$B$21+'Inputs'!$B$7+'Inputs'!$B$10))/SQRT((((518-43)*MAX('Inputs'!$B$33,'Inputs'!$B$29+'Inputs'!$B$31+'Inputs'!$B$32,'Inputs'!$B$30+'Inputs'!$B$31+'Inputs'!$B$32)/1000+'Inputs'!$B$21+'Inputs'!$B$7+'Inputs'!$B$10))^2+('Inputs'!$B$8/2)^2))))*'Results'!$B$8)-'Inputs'!$B$28*ABS((('Results'!B7*(1-'Inputs'!$B$24)*(0.5*((((518-43)*MAX('Inputs'!$B$33,'Inputs'!$B$29+'Inputs'!$B$31+'Inputs'!$B$32,'Inputs'!$B$30+'Inputs'!$B$31+'Inputs'!$B$32)/1000+'Inputs'!$B$21)+'Inputs'!$B$7)/SQRT((((518-43)*MAX('Inputs'!$B$33,'Inputs'!$B$29+'Inputs'!$B$31+'Inputs'!$B$32,'Inputs'!$B$30+'Inputs'!$B$31+'Inputs'!$B$32)/1000+'Inputs'!$B$21)+'Inputs'!$B$7)^2+('Inputs'!$B$6/2)^2)-(((518-43)*MAX('Inputs'!$B$33,'Inputs'!$B$29+'Inputs'!$B$31+'Inputs'!$B$32,'Inputs'!$B$30+'Inputs'!$B$31+'Inputs'!$B$32)/1000+'Inputs'!$B$21))/SQRT((((518-43)*MAX('Inputs'!$B$33,'Inputs'!$B$29+'Inputs'!$B$31+'Inputs'!$B$32,'Inputs'!$B$30+'Inputs'!$B$31+'Inputs'!$B$32)/1000+'Inputs'!$B$21))^2+('Inputs'!$B$6/2)^2)))-'Results'!C7*(1+'Inputs'!$B$24)*(0.5*((((518-43)*MAX('Inputs'!$B$33,'Inputs'!$B$29+'Inputs'!$B$31+'Inputs'!$B$32,'Inputs'!$B$30+'Inputs'!$B$31+'Inputs'!$B$32)/1000+'Inputs'!$B$21+'Inputs'!$B$7+'Inputs'!$B$10)+'Inputs'!$B$9)/SQRT((((518-43)*MAX('Inputs'!$B$33,'Inputs'!$B$29+'Inputs'!$B$31+'Inputs'!$B$32,'Inputs'!$B$30+'Inputs'!$B$31+'Inputs'!$B$32)/1000+'Inputs'!$B$21+'Inputs'!$B$7+'Inputs'!$B$10)+'Inputs'!$B$9)^2+('Inputs'!$B$8/2)^2)-(((518-43)*MAX('Inputs'!$B$33,'Inputs'!$B$29+'Inputs'!$B$31+'Inputs'!$B$32,'Inputs'!$B$30+'Inputs'!$B$31+'Inputs'!$B$32)/1000+'Inputs'!$B$21+'Inputs'!$B$7+'Inputs'!$B$10))/SQRT((((518-43)*MAX('Inputs'!$B$33,'Inputs'!$B$29+'Inputs'!$B$31+'Inputs'!$B$32,'Inputs'!$B$30+'Inputs'!$B$31+'Inputs'!$B$32)/1000+'Inputs'!$B$21+'Inputs'!$B$7+'Inputs'!$B$10))^2+('Inputs'!$B$8/2)^2))))*'Results'!$B$8))),"")</x:f>
        <x:v>4.419596705345876</x:v>
      </x:c>
      <x:c r="L518" t="n">
        <x:f>IF(AND(ISNUMBER('Results'!B7),ISNUMBER('Results'!C7),ISNUMBER('Results'!$B$8),ISNUMBER('Inputs'!$B$6),ISNUMBER('Inputs'!$B$7),ISNUMBER('Inputs'!$B$8),ISNUMBER('Inputs'!$B$9),ISNUMBER('Inputs'!$B$10),ISNUMBER('Inputs'!$B$21),ISNUMBER('Inputs'!$B$24),ISNUMBER('Inputs'!$B$28)),((('Results'!B7*(1+'Inputs'!$B$24)*(0.5*((((518-43)*MAX('Inputs'!$B$33,'Inputs'!$B$29+'Inputs'!$B$31+'Inputs'!$B$32,'Inputs'!$B$30+'Inputs'!$B$31+'Inputs'!$B$32)/1000+'Inputs'!$B$21)+'Inputs'!$B$7)/SQRT((((518-43)*MAX('Inputs'!$B$33,'Inputs'!$B$29+'Inputs'!$B$31+'Inputs'!$B$32,'Inputs'!$B$30+'Inputs'!$B$31+'Inputs'!$B$32)/1000+'Inputs'!$B$21)+'Inputs'!$B$7)^2+('Inputs'!$B$6/2)^2)-(((518-43)*MAX('Inputs'!$B$33,'Inputs'!$B$29+'Inputs'!$B$31+'Inputs'!$B$32,'Inputs'!$B$30+'Inputs'!$B$31+'Inputs'!$B$32)/1000+'Inputs'!$B$21))/SQRT((((518-43)*MAX('Inputs'!$B$33,'Inputs'!$B$29+'Inputs'!$B$31+'Inputs'!$B$32,'Inputs'!$B$30+'Inputs'!$B$31+'Inputs'!$B$32)/1000+'Inputs'!$B$21))^2+('Inputs'!$B$6/2)^2)))-'Results'!C7*(1-'Inputs'!$B$24)*(0.5*((((518-43)*MAX('Inputs'!$B$33,'Inputs'!$B$29+'Inputs'!$B$31+'Inputs'!$B$32,'Inputs'!$B$30+'Inputs'!$B$31+'Inputs'!$B$32)/1000+'Inputs'!$B$21+'Inputs'!$B$7+'Inputs'!$B$10)+'Inputs'!$B$9)/SQRT((((518-43)*MAX('Inputs'!$B$33,'Inputs'!$B$29+'Inputs'!$B$31+'Inputs'!$B$32,'Inputs'!$B$30+'Inputs'!$B$31+'Inputs'!$B$32)/1000+'Inputs'!$B$21+'Inputs'!$B$7+'Inputs'!$B$10)+'Inputs'!$B$9)^2+('Inputs'!$B$8/2)^2)-(((518-43)*MAX('Inputs'!$B$33,'Inputs'!$B$29+'Inputs'!$B$31+'Inputs'!$B$32,'Inputs'!$B$30+'Inputs'!$B$31+'Inputs'!$B$32)/1000+'Inputs'!$B$21+'Inputs'!$B$7+'Inputs'!$B$10))/SQRT((((518-43)*MAX('Inputs'!$B$33,'Inputs'!$B$29+'Inputs'!$B$31+'Inputs'!$B$32,'Inputs'!$B$30+'Inputs'!$B$31+'Inputs'!$B$32)/1000+'Inputs'!$B$21+'Inputs'!$B$7+'Inputs'!$B$10))^2+('Inputs'!$B$8/2)^2))))*'Results'!$B$8)+'Inputs'!$B$28*ABS((('Results'!B7*(1+'Inputs'!$B$24)*(0.5*((((518-43)*MAX('Inputs'!$B$33,'Inputs'!$B$29+'Inputs'!$B$31+'Inputs'!$B$32,'Inputs'!$B$30+'Inputs'!$B$31+'Inputs'!$B$32)/1000+'Inputs'!$B$21)+'Inputs'!$B$7)/SQRT((((518-43)*MAX('Inputs'!$B$33,'Inputs'!$B$29+'Inputs'!$B$31+'Inputs'!$B$32,'Inputs'!$B$30+'Inputs'!$B$31+'Inputs'!$B$32)/1000+'Inputs'!$B$21)+'Inputs'!$B$7)^2+('Inputs'!$B$6/2)^2)-(((518-43)*MAX('Inputs'!$B$33,'Inputs'!$B$29+'Inputs'!$B$31+'Inputs'!$B$32,'Inputs'!$B$30+'Inputs'!$B$31+'Inputs'!$B$32)/1000+'Inputs'!$B$21))/SQRT((((518-43)*MAX('Inputs'!$B$33,'Inputs'!$B$29+'Inputs'!$B$31+'Inputs'!$B$32,'Inputs'!$B$30+'Inputs'!$B$31+'Inputs'!$B$32)/1000+'Inputs'!$B$21))^2+('Inputs'!$B$6/2)^2)))-'Results'!C7*(1-'Inputs'!$B$24)*(0.5*((((518-43)*MAX('Inputs'!$B$33,'Inputs'!$B$29+'Inputs'!$B$31+'Inputs'!$B$32,'Inputs'!$B$30+'Inputs'!$B$31+'Inputs'!$B$32)/1000+'Inputs'!$B$21+'Inputs'!$B$7+'Inputs'!$B$10)+'Inputs'!$B$9)/SQRT((((518-43)*MAX('Inputs'!$B$33,'Inputs'!$B$29+'Inputs'!$B$31+'Inputs'!$B$32,'Inputs'!$B$30+'Inputs'!$B$31+'Inputs'!$B$32)/1000+'Inputs'!$B$21+'Inputs'!$B$7+'Inputs'!$B$10)+'Inputs'!$B$9)^2+('Inputs'!$B$8/2)^2)-(((518-43)*MAX('Inputs'!$B$33,'Inputs'!$B$29+'Inputs'!$B$31+'Inputs'!$B$32,'Inputs'!$B$30+'Inputs'!$B$31+'Inputs'!$B$32)/1000+'Inputs'!$B$21+'Inputs'!$B$7+'Inputs'!$B$10))/SQRT((((518-43)*MAX('Inputs'!$B$33,'Inputs'!$B$29+'Inputs'!$B$31+'Inputs'!$B$32,'Inputs'!$B$30+'Inputs'!$B$31+'Inputs'!$B$32)/1000+'Inputs'!$B$21+'Inputs'!$B$7+'Inputs'!$B$10))^2+('Inputs'!$B$8/2)^2))))*'Results'!$B$8))),"")</x:f>
        <x:v>5.566486089150189</x:v>
      </x:c>
      <x:c r="M518" t="n">
        <x:f>IF(AND(ISNUMBER('Results'!C7),ISNUMBER('Results'!B7),ISNUMBER('Results'!$B$8),ISNUMBER('Inputs'!$B$6),ISNUMBER('Inputs'!$B$7),ISNUMBER('Inputs'!$B$8),ISNUMBER('Inputs'!$B$9),ISNUMBER('Inputs'!$B$10),ISNUMBER('Inputs'!$B$21),ISNUMBER('Inputs'!$B$24),ISNUMBER('Inputs'!$B$28)),(('Results'!C7*(0.5*((((518-43)*MAX('Inputs'!$B$33,'Inputs'!$B$29+'Inputs'!$B$31+'Inputs'!$B$32,'Inputs'!$B$30+'Inputs'!$B$31+'Inputs'!$B$32)/1000+'Inputs'!$B$21)+'Inputs'!$B$9)/SQRT((((518-43)*MAX('Inputs'!$B$33,'Inputs'!$B$29+'Inputs'!$B$31+'Inputs'!$B$32,'Inputs'!$B$30+'Inputs'!$B$31+'Inputs'!$B$32)/1000+'Inputs'!$B$21)+'Inputs'!$B$9)^2+('Inputs'!$B$8/2)^2)-(((518-43)*MAX('Inputs'!$B$33,'Inputs'!$B$29+'Inputs'!$B$31+'Inputs'!$B$32,'Inputs'!$B$30+'Inputs'!$B$31+'Inputs'!$B$32)/1000+'Inputs'!$B$21))/SQRT((((518-43)*MAX('Inputs'!$B$33,'Inputs'!$B$29+'Inputs'!$B$31+'Inputs'!$B$32,'Inputs'!$B$30+'Inputs'!$B$31+'Inputs'!$B$32)/1000+'Inputs'!$B$21))^2+('Inputs'!$B$8/2)^2)))-'Results'!B7*(0.5*((((518-43)*MAX('Inputs'!$B$33,'Inputs'!$B$29+'Inputs'!$B$31+'Inputs'!$B$32,'Inputs'!$B$30+'Inputs'!$B$31+'Inputs'!$B$32)/1000+'Inputs'!$B$21+'Inputs'!$B$9+'Inputs'!$B$10)+'Inputs'!$B$7)/SQRT((((518-43)*MAX('Inputs'!$B$33,'Inputs'!$B$29+'Inputs'!$B$31+'Inputs'!$B$32,'Inputs'!$B$30+'Inputs'!$B$31+'Inputs'!$B$32)/1000+'Inputs'!$B$21+'Inputs'!$B$9+'Inputs'!$B$10)+'Inputs'!$B$7)^2+('Inputs'!$B$6/2)^2)-(((518-43)*MAX('Inputs'!$B$33,'Inputs'!$B$29+'Inputs'!$B$31+'Inputs'!$B$32,'Inputs'!$B$30+'Inputs'!$B$31+'Inputs'!$B$32)/1000+'Inputs'!$B$21+'Inputs'!$B$9+'Inputs'!$B$10))/SQRT((((518-43)*MAX('Inputs'!$B$33,'Inputs'!$B$29+'Inputs'!$B$31+'Inputs'!$B$32,'Inputs'!$B$30+'Inputs'!$B$31+'Inputs'!$B$32)/1000+'Inputs'!$B$21+'Inputs'!$B$9+'Inputs'!$B$10))^2+('Inputs'!$B$6/2)^2))))*'Results'!$B$8),"")</x:f>
        <x:v>4.6499104469470005</x:v>
      </x:c>
      <x:c r="N518" t="n">
        <x:f>IF(AND(ISNUMBER('Results'!C7),ISNUMBER('Results'!B7),ISNUMBER('Results'!$B$8),ISNUMBER('Inputs'!$B$6),ISNUMBER('Inputs'!$B$7),ISNUMBER('Inputs'!$B$8),ISNUMBER('Inputs'!$B$9),ISNUMBER('Inputs'!$B$10),ISNUMBER('Inputs'!$B$21),ISNUMBER('Inputs'!$B$24),ISNUMBER('Inputs'!$B$28)),((('Results'!C7*(1-'Inputs'!$B$24)*(0.5*((((518-43)*MAX('Inputs'!$B$33,'Inputs'!$B$29+'Inputs'!$B$31+'Inputs'!$B$32,'Inputs'!$B$30+'Inputs'!$B$31+'Inputs'!$B$32)/1000+'Inputs'!$B$21)+'Inputs'!$B$9)/SQRT((((518-43)*MAX('Inputs'!$B$33,'Inputs'!$B$29+'Inputs'!$B$31+'Inputs'!$B$32,'Inputs'!$B$30+'Inputs'!$B$31+'Inputs'!$B$32)/1000+'Inputs'!$B$21)+'Inputs'!$B$9)^2+('Inputs'!$B$8/2)^2)-(((518-43)*MAX('Inputs'!$B$33,'Inputs'!$B$29+'Inputs'!$B$31+'Inputs'!$B$32,'Inputs'!$B$30+'Inputs'!$B$31+'Inputs'!$B$32)/1000+'Inputs'!$B$21))/SQRT((((518-43)*MAX('Inputs'!$B$33,'Inputs'!$B$29+'Inputs'!$B$31+'Inputs'!$B$32,'Inputs'!$B$30+'Inputs'!$B$31+'Inputs'!$B$32)/1000+'Inputs'!$B$21))^2+('Inputs'!$B$8/2)^2)))-'Results'!B7*(1+'Inputs'!$B$24)*(0.5*((((518-43)*MAX('Inputs'!$B$33,'Inputs'!$B$29+'Inputs'!$B$31+'Inputs'!$B$32,'Inputs'!$B$30+'Inputs'!$B$31+'Inputs'!$B$32)/1000+'Inputs'!$B$21+'Inputs'!$B$9+'Inputs'!$B$10)+'Inputs'!$B$7)/SQRT((((518-43)*MAX('Inputs'!$B$33,'Inputs'!$B$29+'Inputs'!$B$31+'Inputs'!$B$32,'Inputs'!$B$30+'Inputs'!$B$31+'Inputs'!$B$32)/1000+'Inputs'!$B$21+'Inputs'!$B$9+'Inputs'!$B$10)+'Inputs'!$B$7)^2+('Inputs'!$B$6/2)^2)-(((518-43)*MAX('Inputs'!$B$33,'Inputs'!$B$29+'Inputs'!$B$31+'Inputs'!$B$32,'Inputs'!$B$30+'Inputs'!$B$31+'Inputs'!$B$32)/1000+'Inputs'!$B$21+'Inputs'!$B$9+'Inputs'!$B$10))/SQRT((((518-43)*MAX('Inputs'!$B$33,'Inputs'!$B$29+'Inputs'!$B$31+'Inputs'!$B$32,'Inputs'!$B$30+'Inputs'!$B$31+'Inputs'!$B$32)/1000+'Inputs'!$B$21+'Inputs'!$B$9+'Inputs'!$B$10))^2+('Inputs'!$B$6/2)^2))))*'Results'!$B$8)-'Inputs'!$B$28*ABS((('Results'!C7*(1-'Inputs'!$B$24)*(0.5*((((518-43)*MAX('Inputs'!$B$33,'Inputs'!$B$29+'Inputs'!$B$31+'Inputs'!$B$32,'Inputs'!$B$30+'Inputs'!$B$31+'Inputs'!$B$32)/1000+'Inputs'!$B$21)+'Inputs'!$B$9)/SQRT((((518-43)*MAX('Inputs'!$B$33,'Inputs'!$B$29+'Inputs'!$B$31+'Inputs'!$B$32,'Inputs'!$B$30+'Inputs'!$B$31+'Inputs'!$B$32)/1000+'Inputs'!$B$21)+'Inputs'!$B$9)^2+('Inputs'!$B$8/2)^2)-(((518-43)*MAX('Inputs'!$B$33,'Inputs'!$B$29+'Inputs'!$B$31+'Inputs'!$B$32,'Inputs'!$B$30+'Inputs'!$B$31+'Inputs'!$B$32)/1000+'Inputs'!$B$21))/SQRT((((518-43)*MAX('Inputs'!$B$33,'Inputs'!$B$29+'Inputs'!$B$31+'Inputs'!$B$32,'Inputs'!$B$30+'Inputs'!$B$31+'Inputs'!$B$32)/1000+'Inputs'!$B$21))^2+('Inputs'!$B$8/2)^2)))-'Results'!B7*(1+'Inputs'!$B$24)*(0.5*((((518-43)*MAX('Inputs'!$B$33,'Inputs'!$B$29+'Inputs'!$B$31+'Inputs'!$B$32,'Inputs'!$B$30+'Inputs'!$B$31+'Inputs'!$B$32)/1000+'Inputs'!$B$21+'Inputs'!$B$9+'Inputs'!$B$10)+'Inputs'!$B$7)/SQRT((((518-43)*MAX('Inputs'!$B$33,'Inputs'!$B$29+'Inputs'!$B$31+'Inputs'!$B$32,'Inputs'!$B$30+'Inputs'!$B$31+'Inputs'!$B$32)/1000+'Inputs'!$B$21+'Inputs'!$B$9+'Inputs'!$B$10)+'Inputs'!$B$7)^2+('Inputs'!$B$6/2)^2)-(((518-43)*MAX('Inputs'!$B$33,'Inputs'!$B$29+'Inputs'!$B$31+'Inputs'!$B$32,'Inputs'!$B$30+'Inputs'!$B$31+'Inputs'!$B$32)/1000+'Inputs'!$B$21+'Inputs'!$B$9+'Inputs'!$B$10))/SQRT((((518-43)*MAX('Inputs'!$B$33,'Inputs'!$B$29+'Inputs'!$B$31+'Inputs'!$B$32,'Inputs'!$B$30+'Inputs'!$B$31+'Inputs'!$B$32)/1000+'Inputs'!$B$21+'Inputs'!$B$9+'Inputs'!$B$10))^2+('Inputs'!$B$6/2)^2))))*'Results'!$B$8))),"")</x:f>
        <x:v>4.110888551485019</x:v>
      </x:c>
      <x:c r="O518" t="n">
        <x:f>IF(AND(ISNUMBER('Results'!C7),ISNUMBER('Results'!B7),ISNUMBER('Results'!$B$8),ISNUMBER('Inputs'!$B$6),ISNUMBER('Inputs'!$B$7),ISNUMBER('Inputs'!$B$8),ISNUMBER('Inputs'!$B$9),ISNUMBER('Inputs'!$B$10),ISNUMBER('Inputs'!$B$21),ISNUMBER('Inputs'!$B$24),ISNUMBER('Inputs'!$B$28)),((('Results'!C7*(1+'Inputs'!$B$24)*(0.5*((((518-43)*MAX('Inputs'!$B$33,'Inputs'!$B$29+'Inputs'!$B$31+'Inputs'!$B$32,'Inputs'!$B$30+'Inputs'!$B$31+'Inputs'!$B$32)/1000+'Inputs'!$B$21)+'Inputs'!$B$9)/SQRT((((518-43)*MAX('Inputs'!$B$33,'Inputs'!$B$29+'Inputs'!$B$31+'Inputs'!$B$32,'Inputs'!$B$30+'Inputs'!$B$31+'Inputs'!$B$32)/1000+'Inputs'!$B$21)+'Inputs'!$B$9)^2+('Inputs'!$B$8/2)^2)-(((518-43)*MAX('Inputs'!$B$33,'Inputs'!$B$29+'Inputs'!$B$31+'Inputs'!$B$32,'Inputs'!$B$30+'Inputs'!$B$31+'Inputs'!$B$32)/1000+'Inputs'!$B$21))/SQRT((((518-43)*MAX('Inputs'!$B$33,'Inputs'!$B$29+'Inputs'!$B$31+'Inputs'!$B$32,'Inputs'!$B$30+'Inputs'!$B$31+'Inputs'!$B$32)/1000+'Inputs'!$B$21))^2+('Inputs'!$B$8/2)^2)))-'Results'!B7*(1-'Inputs'!$B$24)*(0.5*((((518-43)*MAX('Inputs'!$B$33,'Inputs'!$B$29+'Inputs'!$B$31+'Inputs'!$B$32,'Inputs'!$B$30+'Inputs'!$B$31+'Inputs'!$B$32)/1000+'Inputs'!$B$21+'Inputs'!$B$9+'Inputs'!$B$10)+'Inputs'!$B$7)/SQRT((((518-43)*MAX('Inputs'!$B$33,'Inputs'!$B$29+'Inputs'!$B$31+'Inputs'!$B$32,'Inputs'!$B$30+'Inputs'!$B$31+'Inputs'!$B$32)/1000+'Inputs'!$B$21+'Inputs'!$B$9+'Inputs'!$B$10)+'Inputs'!$B$7)^2+('Inputs'!$B$6/2)^2)-(((518-43)*MAX('Inputs'!$B$33,'Inputs'!$B$29+'Inputs'!$B$31+'Inputs'!$B$32,'Inputs'!$B$30+'Inputs'!$B$31+'Inputs'!$B$32)/1000+'Inputs'!$B$21+'Inputs'!$B$9+'Inputs'!$B$10))/SQRT((((518-43)*MAX('Inputs'!$B$33,'Inputs'!$B$29+'Inputs'!$B$31+'Inputs'!$B$32,'Inputs'!$B$30+'Inputs'!$B$31+'Inputs'!$B$32)/1000+'Inputs'!$B$21+'Inputs'!$B$9+'Inputs'!$B$10))^2+('Inputs'!$B$6/2)^2))))*'Results'!$B$8)+'Inputs'!$B$28*ABS((('Results'!C7*(1+'Inputs'!$B$24)*(0.5*((((518-43)*MAX('Inputs'!$B$33,'Inputs'!$B$29+'Inputs'!$B$31+'Inputs'!$B$32,'Inputs'!$B$30+'Inputs'!$B$31+'Inputs'!$B$32)/1000+'Inputs'!$B$21)+'Inputs'!$B$9)/SQRT((((518-43)*MAX('Inputs'!$B$33,'Inputs'!$B$29+'Inputs'!$B$31+'Inputs'!$B$32,'Inputs'!$B$30+'Inputs'!$B$31+'Inputs'!$B$32)/1000+'Inputs'!$B$21)+'Inputs'!$B$9)^2+('Inputs'!$B$8/2)^2)-(((518-43)*MAX('Inputs'!$B$33,'Inputs'!$B$29+'Inputs'!$B$31+'Inputs'!$B$32,'Inputs'!$B$30+'Inputs'!$B$31+'Inputs'!$B$32)/1000+'Inputs'!$B$21))/SQRT((((518-43)*MAX('Inputs'!$B$33,'Inputs'!$B$29+'Inputs'!$B$31+'Inputs'!$B$32,'Inputs'!$B$30+'Inputs'!$B$31+'Inputs'!$B$32)/1000+'Inputs'!$B$21))^2+('Inputs'!$B$8/2)^2)))-'Results'!B7*(1-'Inputs'!$B$24)*(0.5*((((518-43)*MAX('Inputs'!$B$33,'Inputs'!$B$29+'Inputs'!$B$31+'Inputs'!$B$32,'Inputs'!$B$30+'Inputs'!$B$31+'Inputs'!$B$32)/1000+'Inputs'!$B$21+'Inputs'!$B$9+'Inputs'!$B$10)+'Inputs'!$B$7)/SQRT((((518-43)*MAX('Inputs'!$B$33,'Inputs'!$B$29+'Inputs'!$B$31+'Inputs'!$B$32,'Inputs'!$B$30+'Inputs'!$B$31+'Inputs'!$B$32)/1000+'Inputs'!$B$21+'Inputs'!$B$9+'Inputs'!$B$10)+'Inputs'!$B$7)^2+('Inputs'!$B$6/2)^2)-(((518-43)*MAX('Inputs'!$B$33,'Inputs'!$B$29+'Inputs'!$B$31+'Inputs'!$B$32,'Inputs'!$B$30+'Inputs'!$B$31+'Inputs'!$B$32)/1000+'Inputs'!$B$21+'Inputs'!$B$9+'Inputs'!$B$10))/SQRT((((518-43)*MAX('Inputs'!$B$33,'Inputs'!$B$29+'Inputs'!$B$31+'Inputs'!$B$32,'Inputs'!$B$30+'Inputs'!$B$31+'Inputs'!$B$32)/1000+'Inputs'!$B$21+'Inputs'!$B$9+'Inputs'!$B$10))^2+('Inputs'!$B$6/2)^2))))*'Results'!$B$8))),"")</x:f>
        <x:v>5.221198276421051</x:v>
      </x:c>
      <x:c r="P518" t="n">
        <x:f>IF(AND(MAX(J518,J517)&gt;0,J518&gt;J517+0.00000001),1,0)</x:f>
        <x:v>0</x:v>
      </x:c>
      <x:c r="Q518" t="n">
        <x:f>IF(AND(MAX(K518,K517)&gt;0,K518&gt;K517+0.00000001),1,0)</x:f>
        <x:v>0</x:v>
      </x:c>
      <x:c r="R518" t="n">
        <x:f>IF(AND(MAX(L518,L517)&gt;0,L518&gt;L517+0.00000001),1,0)</x:f>
        <x:v>0</x:v>
      </x:c>
      <x:c r="S518" t="n">
        <x:f>IF(AND(MAX(M518,M517)&gt;0,M518&gt;M517+0.00000001),1,0)</x:f>
        <x:v>0</x:v>
      </x:c>
      <x:c r="T518" t="n">
        <x:f>IF(AND(MAX(N518,N517)&gt;0,N518&gt;N517+0.00000001),1,0)</x:f>
        <x:v>0</x:v>
      </x:c>
      <x:c r="U518" t="n">
        <x:f>IF(AND(MAX(O518,O517)&gt;0,O518&gt;O517+0.00000001),1,0)</x:f>
        <x:v>0</x:v>
      </x:c>
    </x:row>
    <x:row r="519">
      <x:c r="J519" t="n">
        <x:f>IF(AND(ISNUMBER('Results'!B7),ISNUMBER('Results'!C7),ISNUMBER('Results'!$B$8),ISNUMBER('Inputs'!$B$6),ISNUMBER('Inputs'!$B$7),ISNUMBER('Inputs'!$B$8),ISNUMBER('Inputs'!$B$9),ISNUMBER('Inputs'!$B$10),ISNUMBER('Inputs'!$B$21),ISNUMBER('Inputs'!$B$24),ISNUMBER('Inputs'!$B$28)),(('Results'!B7*(0.5*((((519-43)*MAX('Inputs'!$B$33,'Inputs'!$B$29+'Inputs'!$B$31+'Inputs'!$B$32,'Inputs'!$B$30+'Inputs'!$B$31+'Inputs'!$B$32)/1000+'Inputs'!$B$21)+'Inputs'!$B$7)/SQRT((((519-43)*MAX('Inputs'!$B$33,'Inputs'!$B$29+'Inputs'!$B$31+'Inputs'!$B$32,'Inputs'!$B$30+'Inputs'!$B$31+'Inputs'!$B$32)/1000+'Inputs'!$B$21)+'Inputs'!$B$7)^2+('Inputs'!$B$6/2)^2)-(((519-43)*MAX('Inputs'!$B$33,'Inputs'!$B$29+'Inputs'!$B$31+'Inputs'!$B$32,'Inputs'!$B$30+'Inputs'!$B$31+'Inputs'!$B$32)/1000+'Inputs'!$B$21))/SQRT((((519-43)*MAX('Inputs'!$B$33,'Inputs'!$B$29+'Inputs'!$B$31+'Inputs'!$B$32,'Inputs'!$B$30+'Inputs'!$B$31+'Inputs'!$B$32)/1000+'Inputs'!$B$21))^2+('Inputs'!$B$6/2)^2)))-'Results'!C7*(0.5*((((519-43)*MAX('Inputs'!$B$33,'Inputs'!$B$29+'Inputs'!$B$31+'Inputs'!$B$32,'Inputs'!$B$30+'Inputs'!$B$31+'Inputs'!$B$32)/1000+'Inputs'!$B$21+'Inputs'!$B$7+'Inputs'!$B$10)+'Inputs'!$B$9)/SQRT((((519-43)*MAX('Inputs'!$B$33,'Inputs'!$B$29+'Inputs'!$B$31+'Inputs'!$B$32,'Inputs'!$B$30+'Inputs'!$B$31+'Inputs'!$B$32)/1000+'Inputs'!$B$21+'Inputs'!$B$7+'Inputs'!$B$10)+'Inputs'!$B$9)^2+('Inputs'!$B$8/2)^2)-(((519-43)*MAX('Inputs'!$B$33,'Inputs'!$B$29+'Inputs'!$B$31+'Inputs'!$B$32,'Inputs'!$B$30+'Inputs'!$B$31+'Inputs'!$B$32)/1000+'Inputs'!$B$21+'Inputs'!$B$7+'Inputs'!$B$10))/SQRT((((519-43)*MAX('Inputs'!$B$33,'Inputs'!$B$29+'Inputs'!$B$31+'Inputs'!$B$32,'Inputs'!$B$30+'Inputs'!$B$31+'Inputs'!$B$32)/1000+'Inputs'!$B$21+'Inputs'!$B$7+'Inputs'!$B$10))^2+('Inputs'!$B$8/2)^2))))*'Results'!$B$8),"")</x:f>
        <x:v>4.94144293744993</x:v>
      </x:c>
      <x:c r="K519" t="n">
        <x:f>IF(AND(ISNUMBER('Results'!B7),ISNUMBER('Results'!C7),ISNUMBER('Results'!$B$8),ISNUMBER('Inputs'!$B$6),ISNUMBER('Inputs'!$B$7),ISNUMBER('Inputs'!$B$8),ISNUMBER('Inputs'!$B$9),ISNUMBER('Inputs'!$B$10),ISNUMBER('Inputs'!$B$21),ISNUMBER('Inputs'!$B$24),ISNUMBER('Inputs'!$B$28)),((('Results'!B7*(1-'Inputs'!$B$24)*(0.5*((((519-43)*MAX('Inputs'!$B$33,'Inputs'!$B$29+'Inputs'!$B$31+'Inputs'!$B$32,'Inputs'!$B$30+'Inputs'!$B$31+'Inputs'!$B$32)/1000+'Inputs'!$B$21)+'Inputs'!$B$7)/SQRT((((519-43)*MAX('Inputs'!$B$33,'Inputs'!$B$29+'Inputs'!$B$31+'Inputs'!$B$32,'Inputs'!$B$30+'Inputs'!$B$31+'Inputs'!$B$32)/1000+'Inputs'!$B$21)+'Inputs'!$B$7)^2+('Inputs'!$B$6/2)^2)-(((519-43)*MAX('Inputs'!$B$33,'Inputs'!$B$29+'Inputs'!$B$31+'Inputs'!$B$32,'Inputs'!$B$30+'Inputs'!$B$31+'Inputs'!$B$32)/1000+'Inputs'!$B$21))/SQRT((((519-43)*MAX('Inputs'!$B$33,'Inputs'!$B$29+'Inputs'!$B$31+'Inputs'!$B$32,'Inputs'!$B$30+'Inputs'!$B$31+'Inputs'!$B$32)/1000+'Inputs'!$B$21))^2+('Inputs'!$B$6/2)^2)))-'Results'!C7*(1+'Inputs'!$B$24)*(0.5*((((519-43)*MAX('Inputs'!$B$33,'Inputs'!$B$29+'Inputs'!$B$31+'Inputs'!$B$32,'Inputs'!$B$30+'Inputs'!$B$31+'Inputs'!$B$32)/1000+'Inputs'!$B$21+'Inputs'!$B$7+'Inputs'!$B$10)+'Inputs'!$B$9)/SQRT((((519-43)*MAX('Inputs'!$B$33,'Inputs'!$B$29+'Inputs'!$B$31+'Inputs'!$B$32,'Inputs'!$B$30+'Inputs'!$B$31+'Inputs'!$B$32)/1000+'Inputs'!$B$21+'Inputs'!$B$7+'Inputs'!$B$10)+'Inputs'!$B$9)^2+('Inputs'!$B$8/2)^2)-(((519-43)*MAX('Inputs'!$B$33,'Inputs'!$B$29+'Inputs'!$B$31+'Inputs'!$B$32,'Inputs'!$B$30+'Inputs'!$B$31+'Inputs'!$B$32)/1000+'Inputs'!$B$21+'Inputs'!$B$7+'Inputs'!$B$10))/SQRT((((519-43)*MAX('Inputs'!$B$33,'Inputs'!$B$29+'Inputs'!$B$31+'Inputs'!$B$32,'Inputs'!$B$30+'Inputs'!$B$31+'Inputs'!$B$32)/1000+'Inputs'!$B$21+'Inputs'!$B$7+'Inputs'!$B$10))^2+('Inputs'!$B$8/2)^2))))*'Results'!$B$8)-'Inputs'!$B$28*ABS((('Results'!B7*(1-'Inputs'!$B$24)*(0.5*((((519-43)*MAX('Inputs'!$B$33,'Inputs'!$B$29+'Inputs'!$B$31+'Inputs'!$B$32,'Inputs'!$B$30+'Inputs'!$B$31+'Inputs'!$B$32)/1000+'Inputs'!$B$21)+'Inputs'!$B$7)/SQRT((((519-43)*MAX('Inputs'!$B$33,'Inputs'!$B$29+'Inputs'!$B$31+'Inputs'!$B$32,'Inputs'!$B$30+'Inputs'!$B$31+'Inputs'!$B$32)/1000+'Inputs'!$B$21)+'Inputs'!$B$7)^2+('Inputs'!$B$6/2)^2)-(((519-43)*MAX('Inputs'!$B$33,'Inputs'!$B$29+'Inputs'!$B$31+'Inputs'!$B$32,'Inputs'!$B$30+'Inputs'!$B$31+'Inputs'!$B$32)/1000+'Inputs'!$B$21))/SQRT((((519-43)*MAX('Inputs'!$B$33,'Inputs'!$B$29+'Inputs'!$B$31+'Inputs'!$B$32,'Inputs'!$B$30+'Inputs'!$B$31+'Inputs'!$B$32)/1000+'Inputs'!$B$21))^2+('Inputs'!$B$6/2)^2)))-'Results'!C7*(1+'Inputs'!$B$24)*(0.5*((((519-43)*MAX('Inputs'!$B$33,'Inputs'!$B$29+'Inputs'!$B$31+'Inputs'!$B$32,'Inputs'!$B$30+'Inputs'!$B$31+'Inputs'!$B$32)/1000+'Inputs'!$B$21+'Inputs'!$B$7+'Inputs'!$B$10)+'Inputs'!$B$9)/SQRT((((519-43)*MAX('Inputs'!$B$33,'Inputs'!$B$29+'Inputs'!$B$31+'Inputs'!$B$32,'Inputs'!$B$30+'Inputs'!$B$31+'Inputs'!$B$32)/1000+'Inputs'!$B$21+'Inputs'!$B$7+'Inputs'!$B$10)+'Inputs'!$B$9)^2+('Inputs'!$B$8/2)^2)-(((519-43)*MAX('Inputs'!$B$33,'Inputs'!$B$29+'Inputs'!$B$31+'Inputs'!$B$32,'Inputs'!$B$30+'Inputs'!$B$31+'Inputs'!$B$32)/1000+'Inputs'!$B$21+'Inputs'!$B$7+'Inputs'!$B$10))/SQRT((((519-43)*MAX('Inputs'!$B$33,'Inputs'!$B$29+'Inputs'!$B$31+'Inputs'!$B$32,'Inputs'!$B$30+'Inputs'!$B$31+'Inputs'!$B$32)/1000+'Inputs'!$B$21+'Inputs'!$B$7+'Inputs'!$B$10))^2+('Inputs'!$B$8/2)^2))))*'Results'!$B$8))),"")</x:f>
        <x:v>4.387701722460578</x:v>
      </x:c>
      <x:c r="L519" t="n">
        <x:f>IF(AND(ISNUMBER('Results'!B7),ISNUMBER('Results'!C7),ISNUMBER('Results'!$B$8),ISNUMBER('Inputs'!$B$6),ISNUMBER('Inputs'!$B$7),ISNUMBER('Inputs'!$B$8),ISNUMBER('Inputs'!$B$9),ISNUMBER('Inputs'!$B$10),ISNUMBER('Inputs'!$B$21),ISNUMBER('Inputs'!$B$24),ISNUMBER('Inputs'!$B$28)),((('Results'!B7*(1+'Inputs'!$B$24)*(0.5*((((519-43)*MAX('Inputs'!$B$33,'Inputs'!$B$29+'Inputs'!$B$31+'Inputs'!$B$32,'Inputs'!$B$30+'Inputs'!$B$31+'Inputs'!$B$32)/1000+'Inputs'!$B$21)+'Inputs'!$B$7)/SQRT((((519-43)*MAX('Inputs'!$B$33,'Inputs'!$B$29+'Inputs'!$B$31+'Inputs'!$B$32,'Inputs'!$B$30+'Inputs'!$B$31+'Inputs'!$B$32)/1000+'Inputs'!$B$21)+'Inputs'!$B$7)^2+('Inputs'!$B$6/2)^2)-(((519-43)*MAX('Inputs'!$B$33,'Inputs'!$B$29+'Inputs'!$B$31+'Inputs'!$B$32,'Inputs'!$B$30+'Inputs'!$B$31+'Inputs'!$B$32)/1000+'Inputs'!$B$21))/SQRT((((519-43)*MAX('Inputs'!$B$33,'Inputs'!$B$29+'Inputs'!$B$31+'Inputs'!$B$32,'Inputs'!$B$30+'Inputs'!$B$31+'Inputs'!$B$32)/1000+'Inputs'!$B$21))^2+('Inputs'!$B$6/2)^2)))-'Results'!C7*(1-'Inputs'!$B$24)*(0.5*((((519-43)*MAX('Inputs'!$B$33,'Inputs'!$B$29+'Inputs'!$B$31+'Inputs'!$B$32,'Inputs'!$B$30+'Inputs'!$B$31+'Inputs'!$B$32)/1000+'Inputs'!$B$21+'Inputs'!$B$7+'Inputs'!$B$10)+'Inputs'!$B$9)/SQRT((((519-43)*MAX('Inputs'!$B$33,'Inputs'!$B$29+'Inputs'!$B$31+'Inputs'!$B$32,'Inputs'!$B$30+'Inputs'!$B$31+'Inputs'!$B$32)/1000+'Inputs'!$B$21+'Inputs'!$B$7+'Inputs'!$B$10)+'Inputs'!$B$9)^2+('Inputs'!$B$8/2)^2)-(((519-43)*MAX('Inputs'!$B$33,'Inputs'!$B$29+'Inputs'!$B$31+'Inputs'!$B$32,'Inputs'!$B$30+'Inputs'!$B$31+'Inputs'!$B$32)/1000+'Inputs'!$B$21+'Inputs'!$B$7+'Inputs'!$B$10))/SQRT((((519-43)*MAX('Inputs'!$B$33,'Inputs'!$B$29+'Inputs'!$B$31+'Inputs'!$B$32,'Inputs'!$B$30+'Inputs'!$B$31+'Inputs'!$B$32)/1000+'Inputs'!$B$21+'Inputs'!$B$7+'Inputs'!$B$10))^2+('Inputs'!$B$8/2)^2))))*'Results'!$B$8)+'Inputs'!$B$28*ABS((('Results'!B7*(1+'Inputs'!$B$24)*(0.5*((((519-43)*MAX('Inputs'!$B$33,'Inputs'!$B$29+'Inputs'!$B$31+'Inputs'!$B$32,'Inputs'!$B$30+'Inputs'!$B$31+'Inputs'!$B$32)/1000+'Inputs'!$B$21)+'Inputs'!$B$7)/SQRT((((519-43)*MAX('Inputs'!$B$33,'Inputs'!$B$29+'Inputs'!$B$31+'Inputs'!$B$32,'Inputs'!$B$30+'Inputs'!$B$31+'Inputs'!$B$32)/1000+'Inputs'!$B$21)+'Inputs'!$B$7)^2+('Inputs'!$B$6/2)^2)-(((519-43)*MAX('Inputs'!$B$33,'Inputs'!$B$29+'Inputs'!$B$31+'Inputs'!$B$32,'Inputs'!$B$30+'Inputs'!$B$31+'Inputs'!$B$32)/1000+'Inputs'!$B$21))/SQRT((((519-43)*MAX('Inputs'!$B$33,'Inputs'!$B$29+'Inputs'!$B$31+'Inputs'!$B$32,'Inputs'!$B$30+'Inputs'!$B$31+'Inputs'!$B$32)/1000+'Inputs'!$B$21))^2+('Inputs'!$B$6/2)^2)))-'Results'!C7*(1-'Inputs'!$B$24)*(0.5*((((519-43)*MAX('Inputs'!$B$33,'Inputs'!$B$29+'Inputs'!$B$31+'Inputs'!$B$32,'Inputs'!$B$30+'Inputs'!$B$31+'Inputs'!$B$32)/1000+'Inputs'!$B$21+'Inputs'!$B$7+'Inputs'!$B$10)+'Inputs'!$B$9)/SQRT((((519-43)*MAX('Inputs'!$B$33,'Inputs'!$B$29+'Inputs'!$B$31+'Inputs'!$B$32,'Inputs'!$B$30+'Inputs'!$B$31+'Inputs'!$B$32)/1000+'Inputs'!$B$21+'Inputs'!$B$7+'Inputs'!$B$10)+'Inputs'!$B$9)^2+('Inputs'!$B$8/2)^2)-(((519-43)*MAX('Inputs'!$B$33,'Inputs'!$B$29+'Inputs'!$B$31+'Inputs'!$B$32,'Inputs'!$B$30+'Inputs'!$B$31+'Inputs'!$B$32)/1000+'Inputs'!$B$21+'Inputs'!$B$7+'Inputs'!$B$10))/SQRT((((519-43)*MAX('Inputs'!$B$33,'Inputs'!$B$29+'Inputs'!$B$31+'Inputs'!$B$32,'Inputs'!$B$30+'Inputs'!$B$31+'Inputs'!$B$32)/1000+'Inputs'!$B$21+'Inputs'!$B$7+'Inputs'!$B$10))^2+('Inputs'!$B$8/2)^2))))*'Results'!$B$8))),"")</x:f>
        <x:v>5.527465106977896</x:v>
      </x:c>
      <x:c r="M519" t="n">
        <x:f>IF(AND(ISNUMBER('Results'!C7),ISNUMBER('Results'!B7),ISNUMBER('Results'!$B$8),ISNUMBER('Inputs'!$B$6),ISNUMBER('Inputs'!$B$7),ISNUMBER('Inputs'!$B$8),ISNUMBER('Inputs'!$B$9),ISNUMBER('Inputs'!$B$10),ISNUMBER('Inputs'!$B$21),ISNUMBER('Inputs'!$B$24),ISNUMBER('Inputs'!$B$28)),(('Results'!C7*(0.5*((((519-43)*MAX('Inputs'!$B$33,'Inputs'!$B$29+'Inputs'!$B$31+'Inputs'!$B$32,'Inputs'!$B$30+'Inputs'!$B$31+'Inputs'!$B$32)/1000+'Inputs'!$B$21)+'Inputs'!$B$9)/SQRT((((519-43)*MAX('Inputs'!$B$33,'Inputs'!$B$29+'Inputs'!$B$31+'Inputs'!$B$32,'Inputs'!$B$30+'Inputs'!$B$31+'Inputs'!$B$32)/1000+'Inputs'!$B$21)+'Inputs'!$B$9)^2+('Inputs'!$B$8/2)^2)-(((519-43)*MAX('Inputs'!$B$33,'Inputs'!$B$29+'Inputs'!$B$31+'Inputs'!$B$32,'Inputs'!$B$30+'Inputs'!$B$31+'Inputs'!$B$32)/1000+'Inputs'!$B$21))/SQRT((((519-43)*MAX('Inputs'!$B$33,'Inputs'!$B$29+'Inputs'!$B$31+'Inputs'!$B$32,'Inputs'!$B$30+'Inputs'!$B$31+'Inputs'!$B$32)/1000+'Inputs'!$B$21))^2+('Inputs'!$B$8/2)^2)))-'Results'!B7*(0.5*((((519-43)*MAX('Inputs'!$B$33,'Inputs'!$B$29+'Inputs'!$B$31+'Inputs'!$B$32,'Inputs'!$B$30+'Inputs'!$B$31+'Inputs'!$B$32)/1000+'Inputs'!$B$21+'Inputs'!$B$9+'Inputs'!$B$10)+'Inputs'!$B$7)/SQRT((((519-43)*MAX('Inputs'!$B$33,'Inputs'!$B$29+'Inputs'!$B$31+'Inputs'!$B$32,'Inputs'!$B$30+'Inputs'!$B$31+'Inputs'!$B$32)/1000+'Inputs'!$B$21+'Inputs'!$B$9+'Inputs'!$B$10)+'Inputs'!$B$7)^2+('Inputs'!$B$6/2)^2)-(((519-43)*MAX('Inputs'!$B$33,'Inputs'!$B$29+'Inputs'!$B$31+'Inputs'!$B$32,'Inputs'!$B$30+'Inputs'!$B$31+'Inputs'!$B$32)/1000+'Inputs'!$B$21+'Inputs'!$B$9+'Inputs'!$B$10))/SQRT((((519-43)*MAX('Inputs'!$B$33,'Inputs'!$B$29+'Inputs'!$B$31+'Inputs'!$B$32,'Inputs'!$B$30+'Inputs'!$B$31+'Inputs'!$B$32)/1000+'Inputs'!$B$21+'Inputs'!$B$9+'Inputs'!$B$10))^2+('Inputs'!$B$6/2)^2))))*'Results'!$B$8),"")</x:f>
        <x:v>4.616347874853184</x:v>
      </x:c>
      <x:c r="N519" t="n">
        <x:f>IF(AND(ISNUMBER('Results'!C7),ISNUMBER('Results'!B7),ISNUMBER('Results'!$B$8),ISNUMBER('Inputs'!$B$6),ISNUMBER('Inputs'!$B$7),ISNUMBER('Inputs'!$B$8),ISNUMBER('Inputs'!$B$9),ISNUMBER('Inputs'!$B$10),ISNUMBER('Inputs'!$B$21),ISNUMBER('Inputs'!$B$24),ISNUMBER('Inputs'!$B$28)),((('Results'!C7*(1-'Inputs'!$B$24)*(0.5*((((519-43)*MAX('Inputs'!$B$33,'Inputs'!$B$29+'Inputs'!$B$31+'Inputs'!$B$32,'Inputs'!$B$30+'Inputs'!$B$31+'Inputs'!$B$32)/1000+'Inputs'!$B$21)+'Inputs'!$B$9)/SQRT((((519-43)*MAX('Inputs'!$B$33,'Inputs'!$B$29+'Inputs'!$B$31+'Inputs'!$B$32,'Inputs'!$B$30+'Inputs'!$B$31+'Inputs'!$B$32)/1000+'Inputs'!$B$21)+'Inputs'!$B$9)^2+('Inputs'!$B$8/2)^2)-(((519-43)*MAX('Inputs'!$B$33,'Inputs'!$B$29+'Inputs'!$B$31+'Inputs'!$B$32,'Inputs'!$B$30+'Inputs'!$B$31+'Inputs'!$B$32)/1000+'Inputs'!$B$21))/SQRT((((519-43)*MAX('Inputs'!$B$33,'Inputs'!$B$29+'Inputs'!$B$31+'Inputs'!$B$32,'Inputs'!$B$30+'Inputs'!$B$31+'Inputs'!$B$32)/1000+'Inputs'!$B$21))^2+('Inputs'!$B$8/2)^2)))-'Results'!B7*(1+'Inputs'!$B$24)*(0.5*((((519-43)*MAX('Inputs'!$B$33,'Inputs'!$B$29+'Inputs'!$B$31+'Inputs'!$B$32,'Inputs'!$B$30+'Inputs'!$B$31+'Inputs'!$B$32)/1000+'Inputs'!$B$21+'Inputs'!$B$9+'Inputs'!$B$10)+'Inputs'!$B$7)/SQRT((((519-43)*MAX('Inputs'!$B$33,'Inputs'!$B$29+'Inputs'!$B$31+'Inputs'!$B$32,'Inputs'!$B$30+'Inputs'!$B$31+'Inputs'!$B$32)/1000+'Inputs'!$B$21+'Inputs'!$B$9+'Inputs'!$B$10)+'Inputs'!$B$7)^2+('Inputs'!$B$6/2)^2)-(((519-43)*MAX('Inputs'!$B$33,'Inputs'!$B$29+'Inputs'!$B$31+'Inputs'!$B$32,'Inputs'!$B$30+'Inputs'!$B$31+'Inputs'!$B$32)/1000+'Inputs'!$B$21+'Inputs'!$B$9+'Inputs'!$B$10))/SQRT((((519-43)*MAX('Inputs'!$B$33,'Inputs'!$B$29+'Inputs'!$B$31+'Inputs'!$B$32,'Inputs'!$B$30+'Inputs'!$B$31+'Inputs'!$B$32)/1000+'Inputs'!$B$21+'Inputs'!$B$9+'Inputs'!$B$10))^2+('Inputs'!$B$6/2)^2))))*'Results'!$B$8)-'Inputs'!$B$28*ABS((('Results'!C7*(1-'Inputs'!$B$24)*(0.5*((((519-43)*MAX('Inputs'!$B$33,'Inputs'!$B$29+'Inputs'!$B$31+'Inputs'!$B$32,'Inputs'!$B$30+'Inputs'!$B$31+'Inputs'!$B$32)/1000+'Inputs'!$B$21)+'Inputs'!$B$9)/SQRT((((519-43)*MAX('Inputs'!$B$33,'Inputs'!$B$29+'Inputs'!$B$31+'Inputs'!$B$32,'Inputs'!$B$30+'Inputs'!$B$31+'Inputs'!$B$32)/1000+'Inputs'!$B$21)+'Inputs'!$B$9)^2+('Inputs'!$B$8/2)^2)-(((519-43)*MAX('Inputs'!$B$33,'Inputs'!$B$29+'Inputs'!$B$31+'Inputs'!$B$32,'Inputs'!$B$30+'Inputs'!$B$31+'Inputs'!$B$32)/1000+'Inputs'!$B$21))/SQRT((((519-43)*MAX('Inputs'!$B$33,'Inputs'!$B$29+'Inputs'!$B$31+'Inputs'!$B$32,'Inputs'!$B$30+'Inputs'!$B$31+'Inputs'!$B$32)/1000+'Inputs'!$B$21))^2+('Inputs'!$B$8/2)^2)))-'Results'!B7*(1+'Inputs'!$B$24)*(0.5*((((519-43)*MAX('Inputs'!$B$33,'Inputs'!$B$29+'Inputs'!$B$31+'Inputs'!$B$32,'Inputs'!$B$30+'Inputs'!$B$31+'Inputs'!$B$32)/1000+'Inputs'!$B$21+'Inputs'!$B$9+'Inputs'!$B$10)+'Inputs'!$B$7)/SQRT((((519-43)*MAX('Inputs'!$B$33,'Inputs'!$B$29+'Inputs'!$B$31+'Inputs'!$B$32,'Inputs'!$B$30+'Inputs'!$B$31+'Inputs'!$B$32)/1000+'Inputs'!$B$21+'Inputs'!$B$9+'Inputs'!$B$10)+'Inputs'!$B$7)^2+('Inputs'!$B$6/2)^2)-(((519-43)*MAX('Inputs'!$B$33,'Inputs'!$B$29+'Inputs'!$B$31+'Inputs'!$B$32,'Inputs'!$B$30+'Inputs'!$B$31+'Inputs'!$B$32)/1000+'Inputs'!$B$21+'Inputs'!$B$9+'Inputs'!$B$10))/SQRT((((519-43)*MAX('Inputs'!$B$33,'Inputs'!$B$29+'Inputs'!$B$31+'Inputs'!$B$32,'Inputs'!$B$30+'Inputs'!$B$31+'Inputs'!$B$32)/1000+'Inputs'!$B$21+'Inputs'!$B$9+'Inputs'!$B$10))^2+('Inputs'!$B$6/2)^2))))*'Results'!$B$8))),"")</x:f>
        <x:v>4.0806957364829</x:v>
      </x:c>
      <x:c r="O519" t="n">
        <x:f>IF(AND(ISNUMBER('Results'!C7),ISNUMBER('Results'!B7),ISNUMBER('Results'!$B$8),ISNUMBER('Inputs'!$B$6),ISNUMBER('Inputs'!$B$7),ISNUMBER('Inputs'!$B$8),ISNUMBER('Inputs'!$B$9),ISNUMBER('Inputs'!$B$10),ISNUMBER('Inputs'!$B$21),ISNUMBER('Inputs'!$B$24),ISNUMBER('Inputs'!$B$28)),((('Results'!C7*(1+'Inputs'!$B$24)*(0.5*((((519-43)*MAX('Inputs'!$B$33,'Inputs'!$B$29+'Inputs'!$B$31+'Inputs'!$B$32,'Inputs'!$B$30+'Inputs'!$B$31+'Inputs'!$B$32)/1000+'Inputs'!$B$21)+'Inputs'!$B$9)/SQRT((((519-43)*MAX('Inputs'!$B$33,'Inputs'!$B$29+'Inputs'!$B$31+'Inputs'!$B$32,'Inputs'!$B$30+'Inputs'!$B$31+'Inputs'!$B$32)/1000+'Inputs'!$B$21)+'Inputs'!$B$9)^2+('Inputs'!$B$8/2)^2)-(((519-43)*MAX('Inputs'!$B$33,'Inputs'!$B$29+'Inputs'!$B$31+'Inputs'!$B$32,'Inputs'!$B$30+'Inputs'!$B$31+'Inputs'!$B$32)/1000+'Inputs'!$B$21))/SQRT((((519-43)*MAX('Inputs'!$B$33,'Inputs'!$B$29+'Inputs'!$B$31+'Inputs'!$B$32,'Inputs'!$B$30+'Inputs'!$B$31+'Inputs'!$B$32)/1000+'Inputs'!$B$21))^2+('Inputs'!$B$8/2)^2)))-'Results'!B7*(1-'Inputs'!$B$24)*(0.5*((((519-43)*MAX('Inputs'!$B$33,'Inputs'!$B$29+'Inputs'!$B$31+'Inputs'!$B$32,'Inputs'!$B$30+'Inputs'!$B$31+'Inputs'!$B$32)/1000+'Inputs'!$B$21+'Inputs'!$B$9+'Inputs'!$B$10)+'Inputs'!$B$7)/SQRT((((519-43)*MAX('Inputs'!$B$33,'Inputs'!$B$29+'Inputs'!$B$31+'Inputs'!$B$32,'Inputs'!$B$30+'Inputs'!$B$31+'Inputs'!$B$32)/1000+'Inputs'!$B$21+'Inputs'!$B$9+'Inputs'!$B$10)+'Inputs'!$B$7)^2+('Inputs'!$B$6/2)^2)-(((519-43)*MAX('Inputs'!$B$33,'Inputs'!$B$29+'Inputs'!$B$31+'Inputs'!$B$32,'Inputs'!$B$30+'Inputs'!$B$31+'Inputs'!$B$32)/1000+'Inputs'!$B$21+'Inputs'!$B$9+'Inputs'!$B$10))/SQRT((((519-43)*MAX('Inputs'!$B$33,'Inputs'!$B$29+'Inputs'!$B$31+'Inputs'!$B$32,'Inputs'!$B$30+'Inputs'!$B$31+'Inputs'!$B$32)/1000+'Inputs'!$B$21+'Inputs'!$B$9+'Inputs'!$B$10))^2+('Inputs'!$B$6/2)^2))))*'Results'!$B$8)+'Inputs'!$B$28*ABS((('Results'!C7*(1+'Inputs'!$B$24)*(0.5*((((519-43)*MAX('Inputs'!$B$33,'Inputs'!$B$29+'Inputs'!$B$31+'Inputs'!$B$32,'Inputs'!$B$30+'Inputs'!$B$31+'Inputs'!$B$32)/1000+'Inputs'!$B$21)+'Inputs'!$B$9)/SQRT((((519-43)*MAX('Inputs'!$B$33,'Inputs'!$B$29+'Inputs'!$B$31+'Inputs'!$B$32,'Inputs'!$B$30+'Inputs'!$B$31+'Inputs'!$B$32)/1000+'Inputs'!$B$21)+'Inputs'!$B$9)^2+('Inputs'!$B$8/2)^2)-(((519-43)*MAX('Inputs'!$B$33,'Inputs'!$B$29+'Inputs'!$B$31+'Inputs'!$B$32,'Inputs'!$B$30+'Inputs'!$B$31+'Inputs'!$B$32)/1000+'Inputs'!$B$21))/SQRT((((519-43)*MAX('Inputs'!$B$33,'Inputs'!$B$29+'Inputs'!$B$31+'Inputs'!$B$32,'Inputs'!$B$30+'Inputs'!$B$31+'Inputs'!$B$32)/1000+'Inputs'!$B$21))^2+('Inputs'!$B$8/2)^2)))-'Results'!B7*(1-'Inputs'!$B$24)*(0.5*((((519-43)*MAX('Inputs'!$B$33,'Inputs'!$B$29+'Inputs'!$B$31+'Inputs'!$B$32,'Inputs'!$B$30+'Inputs'!$B$31+'Inputs'!$B$32)/1000+'Inputs'!$B$21+'Inputs'!$B$9+'Inputs'!$B$10)+'Inputs'!$B$7)/SQRT((((519-43)*MAX('Inputs'!$B$33,'Inputs'!$B$29+'Inputs'!$B$31+'Inputs'!$B$32,'Inputs'!$B$30+'Inputs'!$B$31+'Inputs'!$B$32)/1000+'Inputs'!$B$21+'Inputs'!$B$9+'Inputs'!$B$10)+'Inputs'!$B$7)^2+('Inputs'!$B$6/2)^2)-(((519-43)*MAX('Inputs'!$B$33,'Inputs'!$B$29+'Inputs'!$B$31+'Inputs'!$B$32,'Inputs'!$B$30+'Inputs'!$B$31+'Inputs'!$B$32)/1000+'Inputs'!$B$21+'Inputs'!$B$9+'Inputs'!$B$10))/SQRT((((519-43)*MAX('Inputs'!$B$33,'Inputs'!$B$29+'Inputs'!$B$31+'Inputs'!$B$32,'Inputs'!$B$30+'Inputs'!$B$31+'Inputs'!$B$32)/1000+'Inputs'!$B$21+'Inputs'!$B$9+'Inputs'!$B$10))^2+('Inputs'!$B$6/2)^2))))*'Results'!$B$8))),"")</x:f>
        <x:v>5.184087881079007</x:v>
      </x:c>
      <x:c r="P519" t="n">
        <x:f>IF(AND(MAX(J519,J518)&gt;0,J519&gt;J518+0.00000001),1,0)</x:f>
        <x:v>0</x:v>
      </x:c>
      <x:c r="Q519" t="n">
        <x:f>IF(AND(MAX(K519,K518)&gt;0,K519&gt;K518+0.00000001),1,0)</x:f>
        <x:v>0</x:v>
      </x:c>
      <x:c r="R519" t="n">
        <x:f>IF(AND(MAX(L519,L518)&gt;0,L519&gt;L518+0.00000001),1,0)</x:f>
        <x:v>0</x:v>
      </x:c>
      <x:c r="S519" t="n">
        <x:f>IF(AND(MAX(M519,M518)&gt;0,M519&gt;M518+0.00000001),1,0)</x:f>
        <x:v>0</x:v>
      </x:c>
      <x:c r="T519" t="n">
        <x:f>IF(AND(MAX(N519,N518)&gt;0,N519&gt;N518+0.00000001),1,0)</x:f>
        <x:v>0</x:v>
      </x:c>
      <x:c r="U519" t="n">
        <x:f>IF(AND(MAX(O519,O518)&gt;0,O519&gt;O518+0.00000001),1,0)</x:f>
        <x:v>0</x:v>
      </x:c>
    </x:row>
    <x:row r="520">
      <x:c r="J520" t="n">
        <x:f>IF(AND(ISNUMBER('Results'!B7),ISNUMBER('Results'!C7),ISNUMBER('Results'!$B$8),ISNUMBER('Inputs'!$B$6),ISNUMBER('Inputs'!$B$7),ISNUMBER('Inputs'!$B$8),ISNUMBER('Inputs'!$B$9),ISNUMBER('Inputs'!$B$10),ISNUMBER('Inputs'!$B$21),ISNUMBER('Inputs'!$B$24),ISNUMBER('Inputs'!$B$28)),(('Results'!B7*(0.5*((((520-43)*MAX('Inputs'!$B$33,'Inputs'!$B$29+'Inputs'!$B$31+'Inputs'!$B$32,'Inputs'!$B$30+'Inputs'!$B$31+'Inputs'!$B$32)/1000+'Inputs'!$B$21)+'Inputs'!$B$7)/SQRT((((520-43)*MAX('Inputs'!$B$33,'Inputs'!$B$29+'Inputs'!$B$31+'Inputs'!$B$32,'Inputs'!$B$30+'Inputs'!$B$31+'Inputs'!$B$32)/1000+'Inputs'!$B$21)+'Inputs'!$B$7)^2+('Inputs'!$B$6/2)^2)-(((520-43)*MAX('Inputs'!$B$33,'Inputs'!$B$29+'Inputs'!$B$31+'Inputs'!$B$32,'Inputs'!$B$30+'Inputs'!$B$31+'Inputs'!$B$32)/1000+'Inputs'!$B$21))/SQRT((((520-43)*MAX('Inputs'!$B$33,'Inputs'!$B$29+'Inputs'!$B$31+'Inputs'!$B$32,'Inputs'!$B$30+'Inputs'!$B$31+'Inputs'!$B$32)/1000+'Inputs'!$B$21))^2+('Inputs'!$B$6/2)^2)))-'Results'!C7*(0.5*((((520-43)*MAX('Inputs'!$B$33,'Inputs'!$B$29+'Inputs'!$B$31+'Inputs'!$B$32,'Inputs'!$B$30+'Inputs'!$B$31+'Inputs'!$B$32)/1000+'Inputs'!$B$21+'Inputs'!$B$7+'Inputs'!$B$10)+'Inputs'!$B$9)/SQRT((((520-43)*MAX('Inputs'!$B$33,'Inputs'!$B$29+'Inputs'!$B$31+'Inputs'!$B$32,'Inputs'!$B$30+'Inputs'!$B$31+'Inputs'!$B$32)/1000+'Inputs'!$B$21+'Inputs'!$B$7+'Inputs'!$B$10)+'Inputs'!$B$9)^2+('Inputs'!$B$8/2)^2)-(((520-43)*MAX('Inputs'!$B$33,'Inputs'!$B$29+'Inputs'!$B$31+'Inputs'!$B$32,'Inputs'!$B$30+'Inputs'!$B$31+'Inputs'!$B$32)/1000+'Inputs'!$B$21+'Inputs'!$B$7+'Inputs'!$B$10))/SQRT((((520-43)*MAX('Inputs'!$B$33,'Inputs'!$B$29+'Inputs'!$B$31+'Inputs'!$B$32,'Inputs'!$B$30+'Inputs'!$B$31+'Inputs'!$B$32)/1000+'Inputs'!$B$21+'Inputs'!$B$7+'Inputs'!$B$10))^2+('Inputs'!$B$8/2)^2))))*'Results'!$B$8),"")</x:f>
        <x:v>4.906388662105164</x:v>
      </x:c>
      <x:c r="K520" t="n">
        <x:f>IF(AND(ISNUMBER('Results'!B7),ISNUMBER('Results'!C7),ISNUMBER('Results'!$B$8),ISNUMBER('Inputs'!$B$6),ISNUMBER('Inputs'!$B$7),ISNUMBER('Inputs'!$B$8),ISNUMBER('Inputs'!$B$9),ISNUMBER('Inputs'!$B$10),ISNUMBER('Inputs'!$B$21),ISNUMBER('Inputs'!$B$24),ISNUMBER('Inputs'!$B$28)),((('Results'!B7*(1-'Inputs'!$B$24)*(0.5*((((520-43)*MAX('Inputs'!$B$33,'Inputs'!$B$29+'Inputs'!$B$31+'Inputs'!$B$32,'Inputs'!$B$30+'Inputs'!$B$31+'Inputs'!$B$32)/1000+'Inputs'!$B$21)+'Inputs'!$B$7)/SQRT((((520-43)*MAX('Inputs'!$B$33,'Inputs'!$B$29+'Inputs'!$B$31+'Inputs'!$B$32,'Inputs'!$B$30+'Inputs'!$B$31+'Inputs'!$B$32)/1000+'Inputs'!$B$21)+'Inputs'!$B$7)^2+('Inputs'!$B$6/2)^2)-(((520-43)*MAX('Inputs'!$B$33,'Inputs'!$B$29+'Inputs'!$B$31+'Inputs'!$B$32,'Inputs'!$B$30+'Inputs'!$B$31+'Inputs'!$B$32)/1000+'Inputs'!$B$21))/SQRT((((520-43)*MAX('Inputs'!$B$33,'Inputs'!$B$29+'Inputs'!$B$31+'Inputs'!$B$32,'Inputs'!$B$30+'Inputs'!$B$31+'Inputs'!$B$32)/1000+'Inputs'!$B$21))^2+('Inputs'!$B$6/2)^2)))-'Results'!C7*(1+'Inputs'!$B$24)*(0.5*((((520-43)*MAX('Inputs'!$B$33,'Inputs'!$B$29+'Inputs'!$B$31+'Inputs'!$B$32,'Inputs'!$B$30+'Inputs'!$B$31+'Inputs'!$B$32)/1000+'Inputs'!$B$21+'Inputs'!$B$7+'Inputs'!$B$10)+'Inputs'!$B$9)/SQRT((((520-43)*MAX('Inputs'!$B$33,'Inputs'!$B$29+'Inputs'!$B$31+'Inputs'!$B$32,'Inputs'!$B$30+'Inputs'!$B$31+'Inputs'!$B$32)/1000+'Inputs'!$B$21+'Inputs'!$B$7+'Inputs'!$B$10)+'Inputs'!$B$9)^2+('Inputs'!$B$8/2)^2)-(((520-43)*MAX('Inputs'!$B$33,'Inputs'!$B$29+'Inputs'!$B$31+'Inputs'!$B$32,'Inputs'!$B$30+'Inputs'!$B$31+'Inputs'!$B$32)/1000+'Inputs'!$B$21+'Inputs'!$B$7+'Inputs'!$B$10))/SQRT((((520-43)*MAX('Inputs'!$B$33,'Inputs'!$B$29+'Inputs'!$B$31+'Inputs'!$B$32,'Inputs'!$B$30+'Inputs'!$B$31+'Inputs'!$B$32)/1000+'Inputs'!$B$21+'Inputs'!$B$7+'Inputs'!$B$10))^2+('Inputs'!$B$8/2)^2))))*'Results'!$B$8)-'Inputs'!$B$28*ABS((('Results'!B7*(1-'Inputs'!$B$24)*(0.5*((((520-43)*MAX('Inputs'!$B$33,'Inputs'!$B$29+'Inputs'!$B$31+'Inputs'!$B$32,'Inputs'!$B$30+'Inputs'!$B$31+'Inputs'!$B$32)/1000+'Inputs'!$B$21)+'Inputs'!$B$7)/SQRT((((520-43)*MAX('Inputs'!$B$33,'Inputs'!$B$29+'Inputs'!$B$31+'Inputs'!$B$32,'Inputs'!$B$30+'Inputs'!$B$31+'Inputs'!$B$32)/1000+'Inputs'!$B$21)+'Inputs'!$B$7)^2+('Inputs'!$B$6/2)^2)-(((520-43)*MAX('Inputs'!$B$33,'Inputs'!$B$29+'Inputs'!$B$31+'Inputs'!$B$32,'Inputs'!$B$30+'Inputs'!$B$31+'Inputs'!$B$32)/1000+'Inputs'!$B$21))/SQRT((((520-43)*MAX('Inputs'!$B$33,'Inputs'!$B$29+'Inputs'!$B$31+'Inputs'!$B$32,'Inputs'!$B$30+'Inputs'!$B$31+'Inputs'!$B$32)/1000+'Inputs'!$B$21))^2+('Inputs'!$B$6/2)^2)))-'Results'!C7*(1+'Inputs'!$B$24)*(0.5*((((520-43)*MAX('Inputs'!$B$33,'Inputs'!$B$29+'Inputs'!$B$31+'Inputs'!$B$32,'Inputs'!$B$30+'Inputs'!$B$31+'Inputs'!$B$32)/1000+'Inputs'!$B$21+'Inputs'!$B$7+'Inputs'!$B$10)+'Inputs'!$B$9)/SQRT((((520-43)*MAX('Inputs'!$B$33,'Inputs'!$B$29+'Inputs'!$B$31+'Inputs'!$B$32,'Inputs'!$B$30+'Inputs'!$B$31+'Inputs'!$B$32)/1000+'Inputs'!$B$21+'Inputs'!$B$7+'Inputs'!$B$10)+'Inputs'!$B$9)^2+('Inputs'!$B$8/2)^2)-(((520-43)*MAX('Inputs'!$B$33,'Inputs'!$B$29+'Inputs'!$B$31+'Inputs'!$B$32,'Inputs'!$B$30+'Inputs'!$B$31+'Inputs'!$B$32)/1000+'Inputs'!$B$21+'Inputs'!$B$7+'Inputs'!$B$10))/SQRT((((520-43)*MAX('Inputs'!$B$33,'Inputs'!$B$29+'Inputs'!$B$31+'Inputs'!$B$32,'Inputs'!$B$30+'Inputs'!$B$31+'Inputs'!$B$32)/1000+'Inputs'!$B$21+'Inputs'!$B$7+'Inputs'!$B$10))^2+('Inputs'!$B$8/2)^2))))*'Results'!$B$8))),"")</x:f>
        <x:v>4.3560924369841905</x:v>
      </x:c>
      <x:c r="L520" t="n">
        <x:f>IF(AND(ISNUMBER('Results'!B7),ISNUMBER('Results'!C7),ISNUMBER('Results'!$B$8),ISNUMBER('Inputs'!$B$6),ISNUMBER('Inputs'!$B$7),ISNUMBER('Inputs'!$B$8),ISNUMBER('Inputs'!$B$9),ISNUMBER('Inputs'!$B$10),ISNUMBER('Inputs'!$B$21),ISNUMBER('Inputs'!$B$24),ISNUMBER('Inputs'!$B$28)),((('Results'!B7*(1+'Inputs'!$B$24)*(0.5*((((520-43)*MAX('Inputs'!$B$33,'Inputs'!$B$29+'Inputs'!$B$31+'Inputs'!$B$32,'Inputs'!$B$30+'Inputs'!$B$31+'Inputs'!$B$32)/1000+'Inputs'!$B$21)+'Inputs'!$B$7)/SQRT((((520-43)*MAX('Inputs'!$B$33,'Inputs'!$B$29+'Inputs'!$B$31+'Inputs'!$B$32,'Inputs'!$B$30+'Inputs'!$B$31+'Inputs'!$B$32)/1000+'Inputs'!$B$21)+'Inputs'!$B$7)^2+('Inputs'!$B$6/2)^2)-(((520-43)*MAX('Inputs'!$B$33,'Inputs'!$B$29+'Inputs'!$B$31+'Inputs'!$B$32,'Inputs'!$B$30+'Inputs'!$B$31+'Inputs'!$B$32)/1000+'Inputs'!$B$21))/SQRT((((520-43)*MAX('Inputs'!$B$33,'Inputs'!$B$29+'Inputs'!$B$31+'Inputs'!$B$32,'Inputs'!$B$30+'Inputs'!$B$31+'Inputs'!$B$32)/1000+'Inputs'!$B$21))^2+('Inputs'!$B$6/2)^2)))-'Results'!C7*(1-'Inputs'!$B$24)*(0.5*((((520-43)*MAX('Inputs'!$B$33,'Inputs'!$B$29+'Inputs'!$B$31+'Inputs'!$B$32,'Inputs'!$B$30+'Inputs'!$B$31+'Inputs'!$B$32)/1000+'Inputs'!$B$21+'Inputs'!$B$7+'Inputs'!$B$10)+'Inputs'!$B$9)/SQRT((((520-43)*MAX('Inputs'!$B$33,'Inputs'!$B$29+'Inputs'!$B$31+'Inputs'!$B$32,'Inputs'!$B$30+'Inputs'!$B$31+'Inputs'!$B$32)/1000+'Inputs'!$B$21+'Inputs'!$B$7+'Inputs'!$B$10)+'Inputs'!$B$9)^2+('Inputs'!$B$8/2)^2)-(((520-43)*MAX('Inputs'!$B$33,'Inputs'!$B$29+'Inputs'!$B$31+'Inputs'!$B$32,'Inputs'!$B$30+'Inputs'!$B$31+'Inputs'!$B$32)/1000+'Inputs'!$B$21+'Inputs'!$B$7+'Inputs'!$B$10))/SQRT((((520-43)*MAX('Inputs'!$B$33,'Inputs'!$B$29+'Inputs'!$B$31+'Inputs'!$B$32,'Inputs'!$B$30+'Inputs'!$B$31+'Inputs'!$B$32)/1000+'Inputs'!$B$21+'Inputs'!$B$7+'Inputs'!$B$10))^2+('Inputs'!$B$8/2)^2))))*'Results'!$B$8)+'Inputs'!$B$28*ABS((('Results'!B7*(1+'Inputs'!$B$24)*(0.5*((((520-43)*MAX('Inputs'!$B$33,'Inputs'!$B$29+'Inputs'!$B$31+'Inputs'!$B$32,'Inputs'!$B$30+'Inputs'!$B$31+'Inputs'!$B$32)/1000+'Inputs'!$B$21)+'Inputs'!$B$7)/SQRT((((520-43)*MAX('Inputs'!$B$33,'Inputs'!$B$29+'Inputs'!$B$31+'Inputs'!$B$32,'Inputs'!$B$30+'Inputs'!$B$31+'Inputs'!$B$32)/1000+'Inputs'!$B$21)+'Inputs'!$B$7)^2+('Inputs'!$B$6/2)^2)-(((520-43)*MAX('Inputs'!$B$33,'Inputs'!$B$29+'Inputs'!$B$31+'Inputs'!$B$32,'Inputs'!$B$30+'Inputs'!$B$31+'Inputs'!$B$32)/1000+'Inputs'!$B$21))/SQRT((((520-43)*MAX('Inputs'!$B$33,'Inputs'!$B$29+'Inputs'!$B$31+'Inputs'!$B$32,'Inputs'!$B$30+'Inputs'!$B$31+'Inputs'!$B$32)/1000+'Inputs'!$B$21))^2+('Inputs'!$B$6/2)^2)))-'Results'!C7*(1-'Inputs'!$B$24)*(0.5*((((520-43)*MAX('Inputs'!$B$33,'Inputs'!$B$29+'Inputs'!$B$31+'Inputs'!$B$32,'Inputs'!$B$30+'Inputs'!$B$31+'Inputs'!$B$32)/1000+'Inputs'!$B$21+'Inputs'!$B$7+'Inputs'!$B$10)+'Inputs'!$B$9)/SQRT((((520-43)*MAX('Inputs'!$B$33,'Inputs'!$B$29+'Inputs'!$B$31+'Inputs'!$B$32,'Inputs'!$B$30+'Inputs'!$B$31+'Inputs'!$B$32)/1000+'Inputs'!$B$21+'Inputs'!$B$7+'Inputs'!$B$10)+'Inputs'!$B$9)^2+('Inputs'!$B$8/2)^2)-(((520-43)*MAX('Inputs'!$B$33,'Inputs'!$B$29+'Inputs'!$B$31+'Inputs'!$B$32,'Inputs'!$B$30+'Inputs'!$B$31+'Inputs'!$B$32)/1000+'Inputs'!$B$21+'Inputs'!$B$7+'Inputs'!$B$10))/SQRT((((520-43)*MAX('Inputs'!$B$33,'Inputs'!$B$29+'Inputs'!$B$31+'Inputs'!$B$32,'Inputs'!$B$30+'Inputs'!$B$31+'Inputs'!$B$32)/1000+'Inputs'!$B$21+'Inputs'!$B$7+'Inputs'!$B$10))^2+('Inputs'!$B$8/2)^2))))*'Results'!$B$8))),"")</x:f>
        <x:v>5.488787707438316</x:v>
      </x:c>
      <x:c r="M520" t="n">
        <x:f>IF(AND(ISNUMBER('Results'!C7),ISNUMBER('Results'!B7),ISNUMBER('Results'!$B$8),ISNUMBER('Inputs'!$B$6),ISNUMBER('Inputs'!$B$7),ISNUMBER('Inputs'!$B$8),ISNUMBER('Inputs'!$B$9),ISNUMBER('Inputs'!$B$10),ISNUMBER('Inputs'!$B$21),ISNUMBER('Inputs'!$B$24),ISNUMBER('Inputs'!$B$28)),(('Results'!C7*(0.5*((((520-43)*MAX('Inputs'!$B$33,'Inputs'!$B$29+'Inputs'!$B$31+'Inputs'!$B$32,'Inputs'!$B$30+'Inputs'!$B$31+'Inputs'!$B$32)/1000+'Inputs'!$B$21)+'Inputs'!$B$9)/SQRT((((520-43)*MAX('Inputs'!$B$33,'Inputs'!$B$29+'Inputs'!$B$31+'Inputs'!$B$32,'Inputs'!$B$30+'Inputs'!$B$31+'Inputs'!$B$32)/1000+'Inputs'!$B$21)+'Inputs'!$B$9)^2+('Inputs'!$B$8/2)^2)-(((520-43)*MAX('Inputs'!$B$33,'Inputs'!$B$29+'Inputs'!$B$31+'Inputs'!$B$32,'Inputs'!$B$30+'Inputs'!$B$31+'Inputs'!$B$32)/1000+'Inputs'!$B$21))/SQRT((((520-43)*MAX('Inputs'!$B$33,'Inputs'!$B$29+'Inputs'!$B$31+'Inputs'!$B$32,'Inputs'!$B$30+'Inputs'!$B$31+'Inputs'!$B$32)/1000+'Inputs'!$B$21))^2+('Inputs'!$B$8/2)^2)))-'Results'!B7*(0.5*((((520-43)*MAX('Inputs'!$B$33,'Inputs'!$B$29+'Inputs'!$B$31+'Inputs'!$B$32,'Inputs'!$B$30+'Inputs'!$B$31+'Inputs'!$B$32)/1000+'Inputs'!$B$21+'Inputs'!$B$9+'Inputs'!$B$10)+'Inputs'!$B$7)/SQRT((((520-43)*MAX('Inputs'!$B$33,'Inputs'!$B$29+'Inputs'!$B$31+'Inputs'!$B$32,'Inputs'!$B$30+'Inputs'!$B$31+'Inputs'!$B$32)/1000+'Inputs'!$B$21+'Inputs'!$B$9+'Inputs'!$B$10)+'Inputs'!$B$7)^2+('Inputs'!$B$6/2)^2)-(((520-43)*MAX('Inputs'!$B$33,'Inputs'!$B$29+'Inputs'!$B$31+'Inputs'!$B$32,'Inputs'!$B$30+'Inputs'!$B$31+'Inputs'!$B$32)/1000+'Inputs'!$B$21+'Inputs'!$B$9+'Inputs'!$B$10))/SQRT((((520-43)*MAX('Inputs'!$B$33,'Inputs'!$B$29+'Inputs'!$B$31+'Inputs'!$B$32,'Inputs'!$B$30+'Inputs'!$B$31+'Inputs'!$B$32)/1000+'Inputs'!$B$21+'Inputs'!$B$9+'Inputs'!$B$10))^2+('Inputs'!$B$6/2)^2))))*'Results'!$B$8),"")</x:f>
        <x:v>4.583085965811118</x:v>
      </x:c>
      <x:c r="N520" t="n">
        <x:f>IF(AND(ISNUMBER('Results'!C7),ISNUMBER('Results'!B7),ISNUMBER('Results'!$B$8),ISNUMBER('Inputs'!$B$6),ISNUMBER('Inputs'!$B$7),ISNUMBER('Inputs'!$B$8),ISNUMBER('Inputs'!$B$9),ISNUMBER('Inputs'!$B$10),ISNUMBER('Inputs'!$B$21),ISNUMBER('Inputs'!$B$24),ISNUMBER('Inputs'!$B$28)),((('Results'!C7*(1-'Inputs'!$B$24)*(0.5*((((520-43)*MAX('Inputs'!$B$33,'Inputs'!$B$29+'Inputs'!$B$31+'Inputs'!$B$32,'Inputs'!$B$30+'Inputs'!$B$31+'Inputs'!$B$32)/1000+'Inputs'!$B$21)+'Inputs'!$B$9)/SQRT((((520-43)*MAX('Inputs'!$B$33,'Inputs'!$B$29+'Inputs'!$B$31+'Inputs'!$B$32,'Inputs'!$B$30+'Inputs'!$B$31+'Inputs'!$B$32)/1000+'Inputs'!$B$21)+'Inputs'!$B$9)^2+('Inputs'!$B$8/2)^2)-(((520-43)*MAX('Inputs'!$B$33,'Inputs'!$B$29+'Inputs'!$B$31+'Inputs'!$B$32,'Inputs'!$B$30+'Inputs'!$B$31+'Inputs'!$B$32)/1000+'Inputs'!$B$21))/SQRT((((520-43)*MAX('Inputs'!$B$33,'Inputs'!$B$29+'Inputs'!$B$31+'Inputs'!$B$32,'Inputs'!$B$30+'Inputs'!$B$31+'Inputs'!$B$32)/1000+'Inputs'!$B$21))^2+('Inputs'!$B$8/2)^2)))-'Results'!B7*(1+'Inputs'!$B$24)*(0.5*((((520-43)*MAX('Inputs'!$B$33,'Inputs'!$B$29+'Inputs'!$B$31+'Inputs'!$B$32,'Inputs'!$B$30+'Inputs'!$B$31+'Inputs'!$B$32)/1000+'Inputs'!$B$21+'Inputs'!$B$9+'Inputs'!$B$10)+'Inputs'!$B$7)/SQRT((((520-43)*MAX('Inputs'!$B$33,'Inputs'!$B$29+'Inputs'!$B$31+'Inputs'!$B$32,'Inputs'!$B$30+'Inputs'!$B$31+'Inputs'!$B$32)/1000+'Inputs'!$B$21+'Inputs'!$B$9+'Inputs'!$B$10)+'Inputs'!$B$7)^2+('Inputs'!$B$6/2)^2)-(((520-43)*MAX('Inputs'!$B$33,'Inputs'!$B$29+'Inputs'!$B$31+'Inputs'!$B$32,'Inputs'!$B$30+'Inputs'!$B$31+'Inputs'!$B$32)/1000+'Inputs'!$B$21+'Inputs'!$B$9+'Inputs'!$B$10))/SQRT((((520-43)*MAX('Inputs'!$B$33,'Inputs'!$B$29+'Inputs'!$B$31+'Inputs'!$B$32,'Inputs'!$B$30+'Inputs'!$B$31+'Inputs'!$B$32)/1000+'Inputs'!$B$21+'Inputs'!$B$9+'Inputs'!$B$10))^2+('Inputs'!$B$6/2)^2))))*'Results'!$B$8)-'Inputs'!$B$28*ABS((('Results'!C7*(1-'Inputs'!$B$24)*(0.5*((((520-43)*MAX('Inputs'!$B$33,'Inputs'!$B$29+'Inputs'!$B$31+'Inputs'!$B$32,'Inputs'!$B$30+'Inputs'!$B$31+'Inputs'!$B$32)/1000+'Inputs'!$B$21)+'Inputs'!$B$9)/SQRT((((520-43)*MAX('Inputs'!$B$33,'Inputs'!$B$29+'Inputs'!$B$31+'Inputs'!$B$32,'Inputs'!$B$30+'Inputs'!$B$31+'Inputs'!$B$32)/1000+'Inputs'!$B$21)+'Inputs'!$B$9)^2+('Inputs'!$B$8/2)^2)-(((520-43)*MAX('Inputs'!$B$33,'Inputs'!$B$29+'Inputs'!$B$31+'Inputs'!$B$32,'Inputs'!$B$30+'Inputs'!$B$31+'Inputs'!$B$32)/1000+'Inputs'!$B$21))/SQRT((((520-43)*MAX('Inputs'!$B$33,'Inputs'!$B$29+'Inputs'!$B$31+'Inputs'!$B$32,'Inputs'!$B$30+'Inputs'!$B$31+'Inputs'!$B$32)/1000+'Inputs'!$B$21))^2+('Inputs'!$B$8/2)^2)))-'Results'!B7*(1+'Inputs'!$B$24)*(0.5*((((520-43)*MAX('Inputs'!$B$33,'Inputs'!$B$29+'Inputs'!$B$31+'Inputs'!$B$32,'Inputs'!$B$30+'Inputs'!$B$31+'Inputs'!$B$32)/1000+'Inputs'!$B$21+'Inputs'!$B$9+'Inputs'!$B$10)+'Inputs'!$B$7)/SQRT((((520-43)*MAX('Inputs'!$B$33,'Inputs'!$B$29+'Inputs'!$B$31+'Inputs'!$B$32,'Inputs'!$B$30+'Inputs'!$B$31+'Inputs'!$B$32)/1000+'Inputs'!$B$21+'Inputs'!$B$9+'Inputs'!$B$10)+'Inputs'!$B$7)^2+('Inputs'!$B$6/2)^2)-(((520-43)*MAX('Inputs'!$B$33,'Inputs'!$B$29+'Inputs'!$B$31+'Inputs'!$B$32,'Inputs'!$B$30+'Inputs'!$B$31+'Inputs'!$B$32)/1000+'Inputs'!$B$21+'Inputs'!$B$9+'Inputs'!$B$10))/SQRT((((520-43)*MAX('Inputs'!$B$33,'Inputs'!$B$29+'Inputs'!$B$31+'Inputs'!$B$32,'Inputs'!$B$30+'Inputs'!$B$31+'Inputs'!$B$32)/1000+'Inputs'!$B$21+'Inputs'!$B$9+'Inputs'!$B$10))^2+('Inputs'!$B$6/2)^2))))*'Results'!$B$8))),"")</x:f>
        <x:v>4.050776087807174</x:v>
      </x:c>
      <x:c r="O520" t="n">
        <x:f>IF(AND(ISNUMBER('Results'!C7),ISNUMBER('Results'!B7),ISNUMBER('Results'!$B$8),ISNUMBER('Inputs'!$B$6),ISNUMBER('Inputs'!$B$7),ISNUMBER('Inputs'!$B$8),ISNUMBER('Inputs'!$B$9),ISNUMBER('Inputs'!$B$10),ISNUMBER('Inputs'!$B$21),ISNUMBER('Inputs'!$B$24),ISNUMBER('Inputs'!$B$28)),((('Results'!C7*(1+'Inputs'!$B$24)*(0.5*((((520-43)*MAX('Inputs'!$B$33,'Inputs'!$B$29+'Inputs'!$B$31+'Inputs'!$B$32,'Inputs'!$B$30+'Inputs'!$B$31+'Inputs'!$B$32)/1000+'Inputs'!$B$21)+'Inputs'!$B$9)/SQRT((((520-43)*MAX('Inputs'!$B$33,'Inputs'!$B$29+'Inputs'!$B$31+'Inputs'!$B$32,'Inputs'!$B$30+'Inputs'!$B$31+'Inputs'!$B$32)/1000+'Inputs'!$B$21)+'Inputs'!$B$9)^2+('Inputs'!$B$8/2)^2)-(((520-43)*MAX('Inputs'!$B$33,'Inputs'!$B$29+'Inputs'!$B$31+'Inputs'!$B$32,'Inputs'!$B$30+'Inputs'!$B$31+'Inputs'!$B$32)/1000+'Inputs'!$B$21))/SQRT((((520-43)*MAX('Inputs'!$B$33,'Inputs'!$B$29+'Inputs'!$B$31+'Inputs'!$B$32,'Inputs'!$B$30+'Inputs'!$B$31+'Inputs'!$B$32)/1000+'Inputs'!$B$21))^2+('Inputs'!$B$8/2)^2)))-'Results'!B7*(1-'Inputs'!$B$24)*(0.5*((((520-43)*MAX('Inputs'!$B$33,'Inputs'!$B$29+'Inputs'!$B$31+'Inputs'!$B$32,'Inputs'!$B$30+'Inputs'!$B$31+'Inputs'!$B$32)/1000+'Inputs'!$B$21+'Inputs'!$B$9+'Inputs'!$B$10)+'Inputs'!$B$7)/SQRT((((520-43)*MAX('Inputs'!$B$33,'Inputs'!$B$29+'Inputs'!$B$31+'Inputs'!$B$32,'Inputs'!$B$30+'Inputs'!$B$31+'Inputs'!$B$32)/1000+'Inputs'!$B$21+'Inputs'!$B$9+'Inputs'!$B$10)+'Inputs'!$B$7)^2+('Inputs'!$B$6/2)^2)-(((520-43)*MAX('Inputs'!$B$33,'Inputs'!$B$29+'Inputs'!$B$31+'Inputs'!$B$32,'Inputs'!$B$30+'Inputs'!$B$31+'Inputs'!$B$32)/1000+'Inputs'!$B$21+'Inputs'!$B$9+'Inputs'!$B$10))/SQRT((((520-43)*MAX('Inputs'!$B$33,'Inputs'!$B$29+'Inputs'!$B$31+'Inputs'!$B$32,'Inputs'!$B$30+'Inputs'!$B$31+'Inputs'!$B$32)/1000+'Inputs'!$B$21+'Inputs'!$B$9+'Inputs'!$B$10))^2+('Inputs'!$B$6/2)^2))))*'Results'!$B$8)+'Inputs'!$B$28*ABS((('Results'!C7*(1+'Inputs'!$B$24)*(0.5*((((520-43)*MAX('Inputs'!$B$33,'Inputs'!$B$29+'Inputs'!$B$31+'Inputs'!$B$32,'Inputs'!$B$30+'Inputs'!$B$31+'Inputs'!$B$32)/1000+'Inputs'!$B$21)+'Inputs'!$B$9)/SQRT((((520-43)*MAX('Inputs'!$B$33,'Inputs'!$B$29+'Inputs'!$B$31+'Inputs'!$B$32,'Inputs'!$B$30+'Inputs'!$B$31+'Inputs'!$B$32)/1000+'Inputs'!$B$21)+'Inputs'!$B$9)^2+('Inputs'!$B$8/2)^2)-(((520-43)*MAX('Inputs'!$B$33,'Inputs'!$B$29+'Inputs'!$B$31+'Inputs'!$B$32,'Inputs'!$B$30+'Inputs'!$B$31+'Inputs'!$B$32)/1000+'Inputs'!$B$21))/SQRT((((520-43)*MAX('Inputs'!$B$33,'Inputs'!$B$29+'Inputs'!$B$31+'Inputs'!$B$32,'Inputs'!$B$30+'Inputs'!$B$31+'Inputs'!$B$32)/1000+'Inputs'!$B$21))^2+('Inputs'!$B$8/2)^2)))-'Results'!B7*(1-'Inputs'!$B$24)*(0.5*((((520-43)*MAX('Inputs'!$B$33,'Inputs'!$B$29+'Inputs'!$B$31+'Inputs'!$B$32,'Inputs'!$B$30+'Inputs'!$B$31+'Inputs'!$B$32)/1000+'Inputs'!$B$21+'Inputs'!$B$9+'Inputs'!$B$10)+'Inputs'!$B$7)/SQRT((((520-43)*MAX('Inputs'!$B$33,'Inputs'!$B$29+'Inputs'!$B$31+'Inputs'!$B$32,'Inputs'!$B$30+'Inputs'!$B$31+'Inputs'!$B$32)/1000+'Inputs'!$B$21+'Inputs'!$B$9+'Inputs'!$B$10)+'Inputs'!$B$7)^2+('Inputs'!$B$6/2)^2)-(((520-43)*MAX('Inputs'!$B$33,'Inputs'!$B$29+'Inputs'!$B$31+'Inputs'!$B$32,'Inputs'!$B$30+'Inputs'!$B$31+'Inputs'!$B$32)/1000+'Inputs'!$B$21+'Inputs'!$B$9+'Inputs'!$B$10))/SQRT((((520-43)*MAX('Inputs'!$B$33,'Inputs'!$B$29+'Inputs'!$B$31+'Inputs'!$B$32,'Inputs'!$B$30+'Inputs'!$B$31+'Inputs'!$B$32)/1000+'Inputs'!$B$21+'Inputs'!$B$9+'Inputs'!$B$10))^2+('Inputs'!$B$6/2)^2))))*'Results'!$B$8))),"")</x:f>
        <x:v>5.147306957469101</x:v>
      </x:c>
      <x:c r="P520" t="n">
        <x:f>IF(AND(MAX(J520,J519)&gt;0,J520&gt;J519+0.00000001),1,0)</x:f>
        <x:v>0</x:v>
      </x:c>
      <x:c r="Q520" t="n">
        <x:f>IF(AND(MAX(K520,K519)&gt;0,K520&gt;K519+0.00000001),1,0)</x:f>
        <x:v>0</x:v>
      </x:c>
      <x:c r="R520" t="n">
        <x:f>IF(AND(MAX(L520,L519)&gt;0,L520&gt;L519+0.00000001),1,0)</x:f>
        <x:v>0</x:v>
      </x:c>
      <x:c r="S520" t="n">
        <x:f>IF(AND(MAX(M520,M519)&gt;0,M520&gt;M519+0.00000001),1,0)</x:f>
        <x:v>0</x:v>
      </x:c>
      <x:c r="T520" t="n">
        <x:f>IF(AND(MAX(N520,N519)&gt;0,N520&gt;N519+0.00000001),1,0)</x:f>
        <x:v>0</x:v>
      </x:c>
      <x:c r="U520" t="n">
        <x:f>IF(AND(MAX(O520,O519)&gt;0,O520&gt;O519+0.00000001),1,0)</x:f>
        <x:v>0</x:v>
      </x:c>
    </x:row>
    <x:row r="521">
      <x:c r="J521" t="n">
        <x:f>IF(AND(ISNUMBER('Results'!B7),ISNUMBER('Results'!C7),ISNUMBER('Results'!$B$8),ISNUMBER('Inputs'!$B$6),ISNUMBER('Inputs'!$B$7),ISNUMBER('Inputs'!$B$8),ISNUMBER('Inputs'!$B$9),ISNUMBER('Inputs'!$B$10),ISNUMBER('Inputs'!$B$21),ISNUMBER('Inputs'!$B$24),ISNUMBER('Inputs'!$B$28)),(('Results'!B7*(0.5*((((521-43)*MAX('Inputs'!$B$33,'Inputs'!$B$29+'Inputs'!$B$31+'Inputs'!$B$32,'Inputs'!$B$30+'Inputs'!$B$31+'Inputs'!$B$32)/1000+'Inputs'!$B$21)+'Inputs'!$B$7)/SQRT((((521-43)*MAX('Inputs'!$B$33,'Inputs'!$B$29+'Inputs'!$B$31+'Inputs'!$B$32,'Inputs'!$B$30+'Inputs'!$B$31+'Inputs'!$B$32)/1000+'Inputs'!$B$21)+'Inputs'!$B$7)^2+('Inputs'!$B$6/2)^2)-(((521-43)*MAX('Inputs'!$B$33,'Inputs'!$B$29+'Inputs'!$B$31+'Inputs'!$B$32,'Inputs'!$B$30+'Inputs'!$B$31+'Inputs'!$B$32)/1000+'Inputs'!$B$21))/SQRT((((521-43)*MAX('Inputs'!$B$33,'Inputs'!$B$29+'Inputs'!$B$31+'Inputs'!$B$32,'Inputs'!$B$30+'Inputs'!$B$31+'Inputs'!$B$32)/1000+'Inputs'!$B$21))^2+('Inputs'!$B$6/2)^2)))-'Results'!C7*(0.5*((((521-43)*MAX('Inputs'!$B$33,'Inputs'!$B$29+'Inputs'!$B$31+'Inputs'!$B$32,'Inputs'!$B$30+'Inputs'!$B$31+'Inputs'!$B$32)/1000+'Inputs'!$B$21+'Inputs'!$B$7+'Inputs'!$B$10)+'Inputs'!$B$9)/SQRT((((521-43)*MAX('Inputs'!$B$33,'Inputs'!$B$29+'Inputs'!$B$31+'Inputs'!$B$32,'Inputs'!$B$30+'Inputs'!$B$31+'Inputs'!$B$32)/1000+'Inputs'!$B$21+'Inputs'!$B$7+'Inputs'!$B$10)+'Inputs'!$B$9)^2+('Inputs'!$B$8/2)^2)-(((521-43)*MAX('Inputs'!$B$33,'Inputs'!$B$29+'Inputs'!$B$31+'Inputs'!$B$32,'Inputs'!$B$30+'Inputs'!$B$31+'Inputs'!$B$32)/1000+'Inputs'!$B$21+'Inputs'!$B$7+'Inputs'!$B$10))/SQRT((((521-43)*MAX('Inputs'!$B$33,'Inputs'!$B$29+'Inputs'!$B$31+'Inputs'!$B$32,'Inputs'!$B$30+'Inputs'!$B$31+'Inputs'!$B$32)/1000+'Inputs'!$B$21+'Inputs'!$B$7+'Inputs'!$B$10))^2+('Inputs'!$B$8/2)^2))))*'Results'!$B$8),"")</x:f>
        <x:v>4.871645028140106</x:v>
      </x:c>
      <x:c r="K521" t="n">
        <x:f>IF(AND(ISNUMBER('Results'!B7),ISNUMBER('Results'!C7),ISNUMBER('Results'!$B$8),ISNUMBER('Inputs'!$B$6),ISNUMBER('Inputs'!$B$7),ISNUMBER('Inputs'!$B$8),ISNUMBER('Inputs'!$B$9),ISNUMBER('Inputs'!$B$10),ISNUMBER('Inputs'!$B$21),ISNUMBER('Inputs'!$B$24),ISNUMBER('Inputs'!$B$28)),((('Results'!B7*(1-'Inputs'!$B$24)*(0.5*((((521-43)*MAX('Inputs'!$B$33,'Inputs'!$B$29+'Inputs'!$B$31+'Inputs'!$B$32,'Inputs'!$B$30+'Inputs'!$B$31+'Inputs'!$B$32)/1000+'Inputs'!$B$21)+'Inputs'!$B$7)/SQRT((((521-43)*MAX('Inputs'!$B$33,'Inputs'!$B$29+'Inputs'!$B$31+'Inputs'!$B$32,'Inputs'!$B$30+'Inputs'!$B$31+'Inputs'!$B$32)/1000+'Inputs'!$B$21)+'Inputs'!$B$7)^2+('Inputs'!$B$6/2)^2)-(((521-43)*MAX('Inputs'!$B$33,'Inputs'!$B$29+'Inputs'!$B$31+'Inputs'!$B$32,'Inputs'!$B$30+'Inputs'!$B$31+'Inputs'!$B$32)/1000+'Inputs'!$B$21))/SQRT((((521-43)*MAX('Inputs'!$B$33,'Inputs'!$B$29+'Inputs'!$B$31+'Inputs'!$B$32,'Inputs'!$B$30+'Inputs'!$B$31+'Inputs'!$B$32)/1000+'Inputs'!$B$21))^2+('Inputs'!$B$6/2)^2)))-'Results'!C7*(1+'Inputs'!$B$24)*(0.5*((((521-43)*MAX('Inputs'!$B$33,'Inputs'!$B$29+'Inputs'!$B$31+'Inputs'!$B$32,'Inputs'!$B$30+'Inputs'!$B$31+'Inputs'!$B$32)/1000+'Inputs'!$B$21+'Inputs'!$B$7+'Inputs'!$B$10)+'Inputs'!$B$9)/SQRT((((521-43)*MAX('Inputs'!$B$33,'Inputs'!$B$29+'Inputs'!$B$31+'Inputs'!$B$32,'Inputs'!$B$30+'Inputs'!$B$31+'Inputs'!$B$32)/1000+'Inputs'!$B$21+'Inputs'!$B$7+'Inputs'!$B$10)+'Inputs'!$B$9)^2+('Inputs'!$B$8/2)^2)-(((521-43)*MAX('Inputs'!$B$33,'Inputs'!$B$29+'Inputs'!$B$31+'Inputs'!$B$32,'Inputs'!$B$30+'Inputs'!$B$31+'Inputs'!$B$32)/1000+'Inputs'!$B$21+'Inputs'!$B$7+'Inputs'!$B$10))/SQRT((((521-43)*MAX('Inputs'!$B$33,'Inputs'!$B$29+'Inputs'!$B$31+'Inputs'!$B$32,'Inputs'!$B$30+'Inputs'!$B$31+'Inputs'!$B$32)/1000+'Inputs'!$B$21+'Inputs'!$B$7+'Inputs'!$B$10))^2+('Inputs'!$B$8/2)^2))))*'Results'!$B$8)-'Inputs'!$B$28*ABS((('Results'!B7*(1-'Inputs'!$B$24)*(0.5*((((521-43)*MAX('Inputs'!$B$33,'Inputs'!$B$29+'Inputs'!$B$31+'Inputs'!$B$32,'Inputs'!$B$30+'Inputs'!$B$31+'Inputs'!$B$32)/1000+'Inputs'!$B$21)+'Inputs'!$B$7)/SQRT((((521-43)*MAX('Inputs'!$B$33,'Inputs'!$B$29+'Inputs'!$B$31+'Inputs'!$B$32,'Inputs'!$B$30+'Inputs'!$B$31+'Inputs'!$B$32)/1000+'Inputs'!$B$21)+'Inputs'!$B$7)^2+('Inputs'!$B$6/2)^2)-(((521-43)*MAX('Inputs'!$B$33,'Inputs'!$B$29+'Inputs'!$B$31+'Inputs'!$B$32,'Inputs'!$B$30+'Inputs'!$B$31+'Inputs'!$B$32)/1000+'Inputs'!$B$21))/SQRT((((521-43)*MAX('Inputs'!$B$33,'Inputs'!$B$29+'Inputs'!$B$31+'Inputs'!$B$32,'Inputs'!$B$30+'Inputs'!$B$31+'Inputs'!$B$32)/1000+'Inputs'!$B$21))^2+('Inputs'!$B$6/2)^2)))-'Results'!C7*(1+'Inputs'!$B$24)*(0.5*((((521-43)*MAX('Inputs'!$B$33,'Inputs'!$B$29+'Inputs'!$B$31+'Inputs'!$B$32,'Inputs'!$B$30+'Inputs'!$B$31+'Inputs'!$B$32)/1000+'Inputs'!$B$21+'Inputs'!$B$7+'Inputs'!$B$10)+'Inputs'!$B$9)/SQRT((((521-43)*MAX('Inputs'!$B$33,'Inputs'!$B$29+'Inputs'!$B$31+'Inputs'!$B$32,'Inputs'!$B$30+'Inputs'!$B$31+'Inputs'!$B$32)/1000+'Inputs'!$B$21+'Inputs'!$B$7+'Inputs'!$B$10)+'Inputs'!$B$9)^2+('Inputs'!$B$8/2)^2)-(((521-43)*MAX('Inputs'!$B$33,'Inputs'!$B$29+'Inputs'!$B$31+'Inputs'!$B$32,'Inputs'!$B$30+'Inputs'!$B$31+'Inputs'!$B$32)/1000+'Inputs'!$B$21+'Inputs'!$B$7+'Inputs'!$B$10))/SQRT((((521-43)*MAX('Inputs'!$B$33,'Inputs'!$B$29+'Inputs'!$B$31+'Inputs'!$B$32,'Inputs'!$B$30+'Inputs'!$B$31+'Inputs'!$B$32)/1000+'Inputs'!$B$21+'Inputs'!$B$7+'Inputs'!$B$10))^2+('Inputs'!$B$8/2)^2))))*'Results'!$B$8))),"")</x:f>
        <x:v>4.324765795356577</x:v>
      </x:c>
      <x:c r="L521" t="n">
        <x:f>IF(AND(ISNUMBER('Results'!B7),ISNUMBER('Results'!C7),ISNUMBER('Results'!$B$8),ISNUMBER('Inputs'!$B$6),ISNUMBER('Inputs'!$B$7),ISNUMBER('Inputs'!$B$8),ISNUMBER('Inputs'!$B$9),ISNUMBER('Inputs'!$B$10),ISNUMBER('Inputs'!$B$21),ISNUMBER('Inputs'!$B$24),ISNUMBER('Inputs'!$B$28)),((('Results'!B7*(1+'Inputs'!$B$24)*(0.5*((((521-43)*MAX('Inputs'!$B$33,'Inputs'!$B$29+'Inputs'!$B$31+'Inputs'!$B$32,'Inputs'!$B$30+'Inputs'!$B$31+'Inputs'!$B$32)/1000+'Inputs'!$B$21)+'Inputs'!$B$7)/SQRT((((521-43)*MAX('Inputs'!$B$33,'Inputs'!$B$29+'Inputs'!$B$31+'Inputs'!$B$32,'Inputs'!$B$30+'Inputs'!$B$31+'Inputs'!$B$32)/1000+'Inputs'!$B$21)+'Inputs'!$B$7)^2+('Inputs'!$B$6/2)^2)-(((521-43)*MAX('Inputs'!$B$33,'Inputs'!$B$29+'Inputs'!$B$31+'Inputs'!$B$32,'Inputs'!$B$30+'Inputs'!$B$31+'Inputs'!$B$32)/1000+'Inputs'!$B$21))/SQRT((((521-43)*MAX('Inputs'!$B$33,'Inputs'!$B$29+'Inputs'!$B$31+'Inputs'!$B$32,'Inputs'!$B$30+'Inputs'!$B$31+'Inputs'!$B$32)/1000+'Inputs'!$B$21))^2+('Inputs'!$B$6/2)^2)))-'Results'!C7*(1-'Inputs'!$B$24)*(0.5*((((521-43)*MAX('Inputs'!$B$33,'Inputs'!$B$29+'Inputs'!$B$31+'Inputs'!$B$32,'Inputs'!$B$30+'Inputs'!$B$31+'Inputs'!$B$32)/1000+'Inputs'!$B$21+'Inputs'!$B$7+'Inputs'!$B$10)+'Inputs'!$B$9)/SQRT((((521-43)*MAX('Inputs'!$B$33,'Inputs'!$B$29+'Inputs'!$B$31+'Inputs'!$B$32,'Inputs'!$B$30+'Inputs'!$B$31+'Inputs'!$B$32)/1000+'Inputs'!$B$21+'Inputs'!$B$7+'Inputs'!$B$10)+'Inputs'!$B$9)^2+('Inputs'!$B$8/2)^2)-(((521-43)*MAX('Inputs'!$B$33,'Inputs'!$B$29+'Inputs'!$B$31+'Inputs'!$B$32,'Inputs'!$B$30+'Inputs'!$B$31+'Inputs'!$B$32)/1000+'Inputs'!$B$21+'Inputs'!$B$7+'Inputs'!$B$10))/SQRT((((521-43)*MAX('Inputs'!$B$33,'Inputs'!$B$29+'Inputs'!$B$31+'Inputs'!$B$32,'Inputs'!$B$30+'Inputs'!$B$31+'Inputs'!$B$32)/1000+'Inputs'!$B$21+'Inputs'!$B$7+'Inputs'!$B$10))^2+('Inputs'!$B$8/2)^2))))*'Results'!$B$8)+'Inputs'!$B$28*ABS((('Results'!B7*(1+'Inputs'!$B$24)*(0.5*((((521-43)*MAX('Inputs'!$B$33,'Inputs'!$B$29+'Inputs'!$B$31+'Inputs'!$B$32,'Inputs'!$B$30+'Inputs'!$B$31+'Inputs'!$B$32)/1000+'Inputs'!$B$21)+'Inputs'!$B$7)/SQRT((((521-43)*MAX('Inputs'!$B$33,'Inputs'!$B$29+'Inputs'!$B$31+'Inputs'!$B$32,'Inputs'!$B$30+'Inputs'!$B$31+'Inputs'!$B$32)/1000+'Inputs'!$B$21)+'Inputs'!$B$7)^2+('Inputs'!$B$6/2)^2)-(((521-43)*MAX('Inputs'!$B$33,'Inputs'!$B$29+'Inputs'!$B$31+'Inputs'!$B$32,'Inputs'!$B$30+'Inputs'!$B$31+'Inputs'!$B$32)/1000+'Inputs'!$B$21))/SQRT((((521-43)*MAX('Inputs'!$B$33,'Inputs'!$B$29+'Inputs'!$B$31+'Inputs'!$B$32,'Inputs'!$B$30+'Inputs'!$B$31+'Inputs'!$B$32)/1000+'Inputs'!$B$21))^2+('Inputs'!$B$6/2)^2)))-'Results'!C7*(1-'Inputs'!$B$24)*(0.5*((((521-43)*MAX('Inputs'!$B$33,'Inputs'!$B$29+'Inputs'!$B$31+'Inputs'!$B$32,'Inputs'!$B$30+'Inputs'!$B$31+'Inputs'!$B$32)/1000+'Inputs'!$B$21+'Inputs'!$B$7+'Inputs'!$B$10)+'Inputs'!$B$9)/SQRT((((521-43)*MAX('Inputs'!$B$33,'Inputs'!$B$29+'Inputs'!$B$31+'Inputs'!$B$32,'Inputs'!$B$30+'Inputs'!$B$31+'Inputs'!$B$32)/1000+'Inputs'!$B$21+'Inputs'!$B$7+'Inputs'!$B$10)+'Inputs'!$B$9)^2+('Inputs'!$B$8/2)^2)-(((521-43)*MAX('Inputs'!$B$33,'Inputs'!$B$29+'Inputs'!$B$31+'Inputs'!$B$32,'Inputs'!$B$30+'Inputs'!$B$31+'Inputs'!$B$32)/1000+'Inputs'!$B$21+'Inputs'!$B$7+'Inputs'!$B$10))/SQRT((((521-43)*MAX('Inputs'!$B$33,'Inputs'!$B$29+'Inputs'!$B$31+'Inputs'!$B$32,'Inputs'!$B$30+'Inputs'!$B$31+'Inputs'!$B$32)/1000+'Inputs'!$B$21+'Inputs'!$B$7+'Inputs'!$B$10))^2+('Inputs'!$B$8/2)^2))))*'Results'!$B$8))),"")</x:f>
        <x:v>5.4504502589632695</x:v>
      </x:c>
      <x:c r="M521" t="n">
        <x:f>IF(AND(ISNUMBER('Results'!C7),ISNUMBER('Results'!B7),ISNUMBER('Results'!$B$8),ISNUMBER('Inputs'!$B$6),ISNUMBER('Inputs'!$B$7),ISNUMBER('Inputs'!$B$8),ISNUMBER('Inputs'!$B$9),ISNUMBER('Inputs'!$B$10),ISNUMBER('Inputs'!$B$21),ISNUMBER('Inputs'!$B$24),ISNUMBER('Inputs'!$B$28)),(('Results'!C7*(0.5*((((521-43)*MAX('Inputs'!$B$33,'Inputs'!$B$29+'Inputs'!$B$31+'Inputs'!$B$32,'Inputs'!$B$30+'Inputs'!$B$31+'Inputs'!$B$32)/1000+'Inputs'!$B$21)+'Inputs'!$B$9)/SQRT((((521-43)*MAX('Inputs'!$B$33,'Inputs'!$B$29+'Inputs'!$B$31+'Inputs'!$B$32,'Inputs'!$B$30+'Inputs'!$B$31+'Inputs'!$B$32)/1000+'Inputs'!$B$21)+'Inputs'!$B$9)^2+('Inputs'!$B$8/2)^2)-(((521-43)*MAX('Inputs'!$B$33,'Inputs'!$B$29+'Inputs'!$B$31+'Inputs'!$B$32,'Inputs'!$B$30+'Inputs'!$B$31+'Inputs'!$B$32)/1000+'Inputs'!$B$21))/SQRT((((521-43)*MAX('Inputs'!$B$33,'Inputs'!$B$29+'Inputs'!$B$31+'Inputs'!$B$32,'Inputs'!$B$30+'Inputs'!$B$31+'Inputs'!$B$32)/1000+'Inputs'!$B$21))^2+('Inputs'!$B$8/2)^2)))-'Results'!B7*(0.5*((((521-43)*MAX('Inputs'!$B$33,'Inputs'!$B$29+'Inputs'!$B$31+'Inputs'!$B$32,'Inputs'!$B$30+'Inputs'!$B$31+'Inputs'!$B$32)/1000+'Inputs'!$B$21+'Inputs'!$B$9+'Inputs'!$B$10)+'Inputs'!$B$7)/SQRT((((521-43)*MAX('Inputs'!$B$33,'Inputs'!$B$29+'Inputs'!$B$31+'Inputs'!$B$32,'Inputs'!$B$30+'Inputs'!$B$31+'Inputs'!$B$32)/1000+'Inputs'!$B$21+'Inputs'!$B$9+'Inputs'!$B$10)+'Inputs'!$B$7)^2+('Inputs'!$B$6/2)^2)-(((521-43)*MAX('Inputs'!$B$33,'Inputs'!$B$29+'Inputs'!$B$31+'Inputs'!$B$32,'Inputs'!$B$30+'Inputs'!$B$31+'Inputs'!$B$32)/1000+'Inputs'!$B$21+'Inputs'!$B$9+'Inputs'!$B$10))/SQRT((((521-43)*MAX('Inputs'!$B$33,'Inputs'!$B$29+'Inputs'!$B$31+'Inputs'!$B$32,'Inputs'!$B$30+'Inputs'!$B$31+'Inputs'!$B$32)/1000+'Inputs'!$B$21+'Inputs'!$B$9+'Inputs'!$B$10))^2+('Inputs'!$B$6/2)^2))))*'Results'!$B$8),"")</x:f>
        <x:v>4.550121506112812</x:v>
      </x:c>
      <x:c r="N521" t="n">
        <x:f>IF(AND(ISNUMBER('Results'!C7),ISNUMBER('Results'!B7),ISNUMBER('Results'!$B$8),ISNUMBER('Inputs'!$B$6),ISNUMBER('Inputs'!$B$7),ISNUMBER('Inputs'!$B$8),ISNUMBER('Inputs'!$B$9),ISNUMBER('Inputs'!$B$10),ISNUMBER('Inputs'!$B$21),ISNUMBER('Inputs'!$B$24),ISNUMBER('Inputs'!$B$28)),((('Results'!C7*(1-'Inputs'!$B$24)*(0.5*((((521-43)*MAX('Inputs'!$B$33,'Inputs'!$B$29+'Inputs'!$B$31+'Inputs'!$B$32,'Inputs'!$B$30+'Inputs'!$B$31+'Inputs'!$B$32)/1000+'Inputs'!$B$21)+'Inputs'!$B$9)/SQRT((((521-43)*MAX('Inputs'!$B$33,'Inputs'!$B$29+'Inputs'!$B$31+'Inputs'!$B$32,'Inputs'!$B$30+'Inputs'!$B$31+'Inputs'!$B$32)/1000+'Inputs'!$B$21)+'Inputs'!$B$9)^2+('Inputs'!$B$8/2)^2)-(((521-43)*MAX('Inputs'!$B$33,'Inputs'!$B$29+'Inputs'!$B$31+'Inputs'!$B$32,'Inputs'!$B$30+'Inputs'!$B$31+'Inputs'!$B$32)/1000+'Inputs'!$B$21))/SQRT((((521-43)*MAX('Inputs'!$B$33,'Inputs'!$B$29+'Inputs'!$B$31+'Inputs'!$B$32,'Inputs'!$B$30+'Inputs'!$B$31+'Inputs'!$B$32)/1000+'Inputs'!$B$21))^2+('Inputs'!$B$8/2)^2)))-'Results'!B7*(1+'Inputs'!$B$24)*(0.5*((((521-43)*MAX('Inputs'!$B$33,'Inputs'!$B$29+'Inputs'!$B$31+'Inputs'!$B$32,'Inputs'!$B$30+'Inputs'!$B$31+'Inputs'!$B$32)/1000+'Inputs'!$B$21+'Inputs'!$B$9+'Inputs'!$B$10)+'Inputs'!$B$7)/SQRT((((521-43)*MAX('Inputs'!$B$33,'Inputs'!$B$29+'Inputs'!$B$31+'Inputs'!$B$32,'Inputs'!$B$30+'Inputs'!$B$31+'Inputs'!$B$32)/1000+'Inputs'!$B$21+'Inputs'!$B$9+'Inputs'!$B$10)+'Inputs'!$B$7)^2+('Inputs'!$B$6/2)^2)-(((521-43)*MAX('Inputs'!$B$33,'Inputs'!$B$29+'Inputs'!$B$31+'Inputs'!$B$32,'Inputs'!$B$30+'Inputs'!$B$31+'Inputs'!$B$32)/1000+'Inputs'!$B$21+'Inputs'!$B$9+'Inputs'!$B$10))/SQRT((((521-43)*MAX('Inputs'!$B$33,'Inputs'!$B$29+'Inputs'!$B$31+'Inputs'!$B$32,'Inputs'!$B$30+'Inputs'!$B$31+'Inputs'!$B$32)/1000+'Inputs'!$B$21+'Inputs'!$B$9+'Inputs'!$B$10))^2+('Inputs'!$B$6/2)^2))))*'Results'!$B$8)-'Inputs'!$B$28*ABS((('Results'!C7*(1-'Inputs'!$B$24)*(0.5*((((521-43)*MAX('Inputs'!$B$33,'Inputs'!$B$29+'Inputs'!$B$31+'Inputs'!$B$32,'Inputs'!$B$30+'Inputs'!$B$31+'Inputs'!$B$32)/1000+'Inputs'!$B$21)+'Inputs'!$B$9)/SQRT((((521-43)*MAX('Inputs'!$B$33,'Inputs'!$B$29+'Inputs'!$B$31+'Inputs'!$B$32,'Inputs'!$B$30+'Inputs'!$B$31+'Inputs'!$B$32)/1000+'Inputs'!$B$21)+'Inputs'!$B$9)^2+('Inputs'!$B$8/2)^2)-(((521-43)*MAX('Inputs'!$B$33,'Inputs'!$B$29+'Inputs'!$B$31+'Inputs'!$B$32,'Inputs'!$B$30+'Inputs'!$B$31+'Inputs'!$B$32)/1000+'Inputs'!$B$21))/SQRT((((521-43)*MAX('Inputs'!$B$33,'Inputs'!$B$29+'Inputs'!$B$31+'Inputs'!$B$32,'Inputs'!$B$30+'Inputs'!$B$31+'Inputs'!$B$32)/1000+'Inputs'!$B$21))^2+('Inputs'!$B$8/2)^2)))-'Results'!B7*(1+'Inputs'!$B$24)*(0.5*((((521-43)*MAX('Inputs'!$B$33,'Inputs'!$B$29+'Inputs'!$B$31+'Inputs'!$B$32,'Inputs'!$B$30+'Inputs'!$B$31+'Inputs'!$B$32)/1000+'Inputs'!$B$21+'Inputs'!$B$9+'Inputs'!$B$10)+'Inputs'!$B$7)/SQRT((((521-43)*MAX('Inputs'!$B$33,'Inputs'!$B$29+'Inputs'!$B$31+'Inputs'!$B$32,'Inputs'!$B$30+'Inputs'!$B$31+'Inputs'!$B$32)/1000+'Inputs'!$B$21+'Inputs'!$B$9+'Inputs'!$B$10)+'Inputs'!$B$7)^2+('Inputs'!$B$6/2)^2)-(((521-43)*MAX('Inputs'!$B$33,'Inputs'!$B$29+'Inputs'!$B$31+'Inputs'!$B$32,'Inputs'!$B$30+'Inputs'!$B$31+'Inputs'!$B$32)/1000+'Inputs'!$B$21+'Inputs'!$B$9+'Inputs'!$B$10))/SQRT((((521-43)*MAX('Inputs'!$B$33,'Inputs'!$B$29+'Inputs'!$B$31+'Inputs'!$B$32,'Inputs'!$B$30+'Inputs'!$B$31+'Inputs'!$B$32)/1000+'Inputs'!$B$21+'Inputs'!$B$9+'Inputs'!$B$10))^2+('Inputs'!$B$6/2)^2))))*'Results'!$B$8))),"")</x:f>
        <x:v>4.0211266672503525</x:v>
      </x:c>
      <x:c r="O521" t="n">
        <x:f>IF(AND(ISNUMBER('Results'!C7),ISNUMBER('Results'!B7),ISNUMBER('Results'!$B$8),ISNUMBER('Inputs'!$B$6),ISNUMBER('Inputs'!$B$7),ISNUMBER('Inputs'!$B$8),ISNUMBER('Inputs'!$B$9),ISNUMBER('Inputs'!$B$10),ISNUMBER('Inputs'!$B$21),ISNUMBER('Inputs'!$B$24),ISNUMBER('Inputs'!$B$28)),((('Results'!C7*(1+'Inputs'!$B$24)*(0.5*((((521-43)*MAX('Inputs'!$B$33,'Inputs'!$B$29+'Inputs'!$B$31+'Inputs'!$B$32,'Inputs'!$B$30+'Inputs'!$B$31+'Inputs'!$B$32)/1000+'Inputs'!$B$21)+'Inputs'!$B$9)/SQRT((((521-43)*MAX('Inputs'!$B$33,'Inputs'!$B$29+'Inputs'!$B$31+'Inputs'!$B$32,'Inputs'!$B$30+'Inputs'!$B$31+'Inputs'!$B$32)/1000+'Inputs'!$B$21)+'Inputs'!$B$9)^2+('Inputs'!$B$8/2)^2)-(((521-43)*MAX('Inputs'!$B$33,'Inputs'!$B$29+'Inputs'!$B$31+'Inputs'!$B$32,'Inputs'!$B$30+'Inputs'!$B$31+'Inputs'!$B$32)/1000+'Inputs'!$B$21))/SQRT((((521-43)*MAX('Inputs'!$B$33,'Inputs'!$B$29+'Inputs'!$B$31+'Inputs'!$B$32,'Inputs'!$B$30+'Inputs'!$B$31+'Inputs'!$B$32)/1000+'Inputs'!$B$21))^2+('Inputs'!$B$8/2)^2)))-'Results'!B7*(1-'Inputs'!$B$24)*(0.5*((((521-43)*MAX('Inputs'!$B$33,'Inputs'!$B$29+'Inputs'!$B$31+'Inputs'!$B$32,'Inputs'!$B$30+'Inputs'!$B$31+'Inputs'!$B$32)/1000+'Inputs'!$B$21+'Inputs'!$B$9+'Inputs'!$B$10)+'Inputs'!$B$7)/SQRT((((521-43)*MAX('Inputs'!$B$33,'Inputs'!$B$29+'Inputs'!$B$31+'Inputs'!$B$32,'Inputs'!$B$30+'Inputs'!$B$31+'Inputs'!$B$32)/1000+'Inputs'!$B$21+'Inputs'!$B$9+'Inputs'!$B$10)+'Inputs'!$B$7)^2+('Inputs'!$B$6/2)^2)-(((521-43)*MAX('Inputs'!$B$33,'Inputs'!$B$29+'Inputs'!$B$31+'Inputs'!$B$32,'Inputs'!$B$30+'Inputs'!$B$31+'Inputs'!$B$32)/1000+'Inputs'!$B$21+'Inputs'!$B$9+'Inputs'!$B$10))/SQRT((((521-43)*MAX('Inputs'!$B$33,'Inputs'!$B$29+'Inputs'!$B$31+'Inputs'!$B$32,'Inputs'!$B$30+'Inputs'!$B$31+'Inputs'!$B$32)/1000+'Inputs'!$B$21+'Inputs'!$B$9+'Inputs'!$B$10))^2+('Inputs'!$B$6/2)^2))))*'Results'!$B$8)+'Inputs'!$B$28*ABS((('Results'!C7*(1+'Inputs'!$B$24)*(0.5*((((521-43)*MAX('Inputs'!$B$33,'Inputs'!$B$29+'Inputs'!$B$31+'Inputs'!$B$32,'Inputs'!$B$30+'Inputs'!$B$31+'Inputs'!$B$32)/1000+'Inputs'!$B$21)+'Inputs'!$B$9)/SQRT((((521-43)*MAX('Inputs'!$B$33,'Inputs'!$B$29+'Inputs'!$B$31+'Inputs'!$B$32,'Inputs'!$B$30+'Inputs'!$B$31+'Inputs'!$B$32)/1000+'Inputs'!$B$21)+'Inputs'!$B$9)^2+('Inputs'!$B$8/2)^2)-(((521-43)*MAX('Inputs'!$B$33,'Inputs'!$B$29+'Inputs'!$B$31+'Inputs'!$B$32,'Inputs'!$B$30+'Inputs'!$B$31+'Inputs'!$B$32)/1000+'Inputs'!$B$21))/SQRT((((521-43)*MAX('Inputs'!$B$33,'Inputs'!$B$29+'Inputs'!$B$31+'Inputs'!$B$32,'Inputs'!$B$30+'Inputs'!$B$31+'Inputs'!$B$32)/1000+'Inputs'!$B$21))^2+('Inputs'!$B$8/2)^2)))-'Results'!B7*(1-'Inputs'!$B$24)*(0.5*((((521-43)*MAX('Inputs'!$B$33,'Inputs'!$B$29+'Inputs'!$B$31+'Inputs'!$B$32,'Inputs'!$B$30+'Inputs'!$B$31+'Inputs'!$B$32)/1000+'Inputs'!$B$21+'Inputs'!$B$9+'Inputs'!$B$10)+'Inputs'!$B$7)/SQRT((((521-43)*MAX('Inputs'!$B$33,'Inputs'!$B$29+'Inputs'!$B$31+'Inputs'!$B$32,'Inputs'!$B$30+'Inputs'!$B$31+'Inputs'!$B$32)/1000+'Inputs'!$B$21+'Inputs'!$B$9+'Inputs'!$B$10)+'Inputs'!$B$7)^2+('Inputs'!$B$6/2)^2)-(((521-43)*MAX('Inputs'!$B$33,'Inputs'!$B$29+'Inputs'!$B$31+'Inputs'!$B$32,'Inputs'!$B$30+'Inputs'!$B$31+'Inputs'!$B$32)/1000+'Inputs'!$B$21+'Inputs'!$B$9+'Inputs'!$B$10))/SQRT((((521-43)*MAX('Inputs'!$B$33,'Inputs'!$B$29+'Inputs'!$B$31+'Inputs'!$B$32,'Inputs'!$B$30+'Inputs'!$B$31+'Inputs'!$B$32)/1000+'Inputs'!$B$21+'Inputs'!$B$9+'Inputs'!$B$10))^2+('Inputs'!$B$6/2)^2))))*'Results'!$B$8))),"")</x:f>
        <x:v>5.110852004297042</x:v>
      </x:c>
      <x:c r="P521" t="n">
        <x:f>IF(AND(MAX(J521,J520)&gt;0,J521&gt;J520+0.00000001),1,0)</x:f>
        <x:v>0</x:v>
      </x:c>
      <x:c r="Q521" t="n">
        <x:f>IF(AND(MAX(K521,K520)&gt;0,K521&gt;K520+0.00000001),1,0)</x:f>
        <x:v>0</x:v>
      </x:c>
      <x:c r="R521" t="n">
        <x:f>IF(AND(MAX(L521,L520)&gt;0,L521&gt;L520+0.00000001),1,0)</x:f>
        <x:v>0</x:v>
      </x:c>
      <x:c r="S521" t="n">
        <x:f>IF(AND(MAX(M521,M520)&gt;0,M521&gt;M520+0.00000001),1,0)</x:f>
        <x:v>0</x:v>
      </x:c>
      <x:c r="T521" t="n">
        <x:f>IF(AND(MAX(N521,N520)&gt;0,N521&gt;N520+0.00000001),1,0)</x:f>
        <x:v>0</x:v>
      </x:c>
      <x:c r="U521" t="n">
        <x:f>IF(AND(MAX(O521,O520)&gt;0,O521&gt;O520+0.00000001),1,0)</x:f>
        <x:v>0</x:v>
      </x:c>
    </x:row>
    <x:row r="522">
      <x:c r="J522" t="n">
        <x:f>IF(AND(ISNUMBER('Results'!B7),ISNUMBER('Results'!C7),ISNUMBER('Results'!$B$8),ISNUMBER('Inputs'!$B$6),ISNUMBER('Inputs'!$B$7),ISNUMBER('Inputs'!$B$8),ISNUMBER('Inputs'!$B$9),ISNUMBER('Inputs'!$B$10),ISNUMBER('Inputs'!$B$21),ISNUMBER('Inputs'!$B$24),ISNUMBER('Inputs'!$B$28)),(('Results'!B7*(0.5*((((522-43)*MAX('Inputs'!$B$33,'Inputs'!$B$29+'Inputs'!$B$31+'Inputs'!$B$32,'Inputs'!$B$30+'Inputs'!$B$31+'Inputs'!$B$32)/1000+'Inputs'!$B$21)+'Inputs'!$B$7)/SQRT((((522-43)*MAX('Inputs'!$B$33,'Inputs'!$B$29+'Inputs'!$B$31+'Inputs'!$B$32,'Inputs'!$B$30+'Inputs'!$B$31+'Inputs'!$B$32)/1000+'Inputs'!$B$21)+'Inputs'!$B$7)^2+('Inputs'!$B$6/2)^2)-(((522-43)*MAX('Inputs'!$B$33,'Inputs'!$B$29+'Inputs'!$B$31+'Inputs'!$B$32,'Inputs'!$B$30+'Inputs'!$B$31+'Inputs'!$B$32)/1000+'Inputs'!$B$21))/SQRT((((522-43)*MAX('Inputs'!$B$33,'Inputs'!$B$29+'Inputs'!$B$31+'Inputs'!$B$32,'Inputs'!$B$30+'Inputs'!$B$31+'Inputs'!$B$32)/1000+'Inputs'!$B$21))^2+('Inputs'!$B$6/2)^2)))-'Results'!C7*(0.5*((((522-43)*MAX('Inputs'!$B$33,'Inputs'!$B$29+'Inputs'!$B$31+'Inputs'!$B$32,'Inputs'!$B$30+'Inputs'!$B$31+'Inputs'!$B$32)/1000+'Inputs'!$B$21+'Inputs'!$B$7+'Inputs'!$B$10)+'Inputs'!$B$9)/SQRT((((522-43)*MAX('Inputs'!$B$33,'Inputs'!$B$29+'Inputs'!$B$31+'Inputs'!$B$32,'Inputs'!$B$30+'Inputs'!$B$31+'Inputs'!$B$32)/1000+'Inputs'!$B$21+'Inputs'!$B$7+'Inputs'!$B$10)+'Inputs'!$B$9)^2+('Inputs'!$B$8/2)^2)-(((522-43)*MAX('Inputs'!$B$33,'Inputs'!$B$29+'Inputs'!$B$31+'Inputs'!$B$32,'Inputs'!$B$30+'Inputs'!$B$31+'Inputs'!$B$32)/1000+'Inputs'!$B$21+'Inputs'!$B$7+'Inputs'!$B$10))/SQRT((((522-43)*MAX('Inputs'!$B$33,'Inputs'!$B$29+'Inputs'!$B$31+'Inputs'!$B$32,'Inputs'!$B$30+'Inputs'!$B$31+'Inputs'!$B$32)/1000+'Inputs'!$B$21+'Inputs'!$B$7+'Inputs'!$B$10))^2+('Inputs'!$B$8/2)^2))))*'Results'!$B$8),"")</x:f>
        <x:v>4.837208740325687</x:v>
      </x:c>
      <x:c r="K522" t="n">
        <x:f>IF(AND(ISNUMBER('Results'!B7),ISNUMBER('Results'!C7),ISNUMBER('Results'!$B$8),ISNUMBER('Inputs'!$B$6),ISNUMBER('Inputs'!$B$7),ISNUMBER('Inputs'!$B$8),ISNUMBER('Inputs'!$B$9),ISNUMBER('Inputs'!$B$10),ISNUMBER('Inputs'!$B$21),ISNUMBER('Inputs'!$B$24),ISNUMBER('Inputs'!$B$28)),((('Results'!B7*(1-'Inputs'!$B$24)*(0.5*((((522-43)*MAX('Inputs'!$B$33,'Inputs'!$B$29+'Inputs'!$B$31+'Inputs'!$B$32,'Inputs'!$B$30+'Inputs'!$B$31+'Inputs'!$B$32)/1000+'Inputs'!$B$21)+'Inputs'!$B$7)/SQRT((((522-43)*MAX('Inputs'!$B$33,'Inputs'!$B$29+'Inputs'!$B$31+'Inputs'!$B$32,'Inputs'!$B$30+'Inputs'!$B$31+'Inputs'!$B$32)/1000+'Inputs'!$B$21)+'Inputs'!$B$7)^2+('Inputs'!$B$6/2)^2)-(((522-43)*MAX('Inputs'!$B$33,'Inputs'!$B$29+'Inputs'!$B$31+'Inputs'!$B$32,'Inputs'!$B$30+'Inputs'!$B$31+'Inputs'!$B$32)/1000+'Inputs'!$B$21))/SQRT((((522-43)*MAX('Inputs'!$B$33,'Inputs'!$B$29+'Inputs'!$B$31+'Inputs'!$B$32,'Inputs'!$B$30+'Inputs'!$B$31+'Inputs'!$B$32)/1000+'Inputs'!$B$21))^2+('Inputs'!$B$6/2)^2)))-'Results'!C7*(1+'Inputs'!$B$24)*(0.5*((((522-43)*MAX('Inputs'!$B$33,'Inputs'!$B$29+'Inputs'!$B$31+'Inputs'!$B$32,'Inputs'!$B$30+'Inputs'!$B$31+'Inputs'!$B$32)/1000+'Inputs'!$B$21+'Inputs'!$B$7+'Inputs'!$B$10)+'Inputs'!$B$9)/SQRT((((522-43)*MAX('Inputs'!$B$33,'Inputs'!$B$29+'Inputs'!$B$31+'Inputs'!$B$32,'Inputs'!$B$30+'Inputs'!$B$31+'Inputs'!$B$32)/1000+'Inputs'!$B$21+'Inputs'!$B$7+'Inputs'!$B$10)+'Inputs'!$B$9)^2+('Inputs'!$B$8/2)^2)-(((522-43)*MAX('Inputs'!$B$33,'Inputs'!$B$29+'Inputs'!$B$31+'Inputs'!$B$32,'Inputs'!$B$30+'Inputs'!$B$31+'Inputs'!$B$32)/1000+'Inputs'!$B$21+'Inputs'!$B$7+'Inputs'!$B$10))/SQRT((((522-43)*MAX('Inputs'!$B$33,'Inputs'!$B$29+'Inputs'!$B$31+'Inputs'!$B$32,'Inputs'!$B$30+'Inputs'!$B$31+'Inputs'!$B$32)/1000+'Inputs'!$B$21+'Inputs'!$B$7+'Inputs'!$B$10))^2+('Inputs'!$B$8/2)^2))))*'Results'!$B$8)-'Inputs'!$B$28*ABS((('Results'!B7*(1-'Inputs'!$B$24)*(0.5*((((522-43)*MAX('Inputs'!$B$33,'Inputs'!$B$29+'Inputs'!$B$31+'Inputs'!$B$32,'Inputs'!$B$30+'Inputs'!$B$31+'Inputs'!$B$32)/1000+'Inputs'!$B$21)+'Inputs'!$B$7)/SQRT((((522-43)*MAX('Inputs'!$B$33,'Inputs'!$B$29+'Inputs'!$B$31+'Inputs'!$B$32,'Inputs'!$B$30+'Inputs'!$B$31+'Inputs'!$B$32)/1000+'Inputs'!$B$21)+'Inputs'!$B$7)^2+('Inputs'!$B$6/2)^2)-(((522-43)*MAX('Inputs'!$B$33,'Inputs'!$B$29+'Inputs'!$B$31+'Inputs'!$B$32,'Inputs'!$B$30+'Inputs'!$B$31+'Inputs'!$B$32)/1000+'Inputs'!$B$21))/SQRT((((522-43)*MAX('Inputs'!$B$33,'Inputs'!$B$29+'Inputs'!$B$31+'Inputs'!$B$32,'Inputs'!$B$30+'Inputs'!$B$31+'Inputs'!$B$32)/1000+'Inputs'!$B$21))^2+('Inputs'!$B$6/2)^2)))-'Results'!C7*(1+'Inputs'!$B$24)*(0.5*((((522-43)*MAX('Inputs'!$B$33,'Inputs'!$B$29+'Inputs'!$B$31+'Inputs'!$B$32,'Inputs'!$B$30+'Inputs'!$B$31+'Inputs'!$B$32)/1000+'Inputs'!$B$21+'Inputs'!$B$7+'Inputs'!$B$10)+'Inputs'!$B$9)/SQRT((((522-43)*MAX('Inputs'!$B$33,'Inputs'!$B$29+'Inputs'!$B$31+'Inputs'!$B$32,'Inputs'!$B$30+'Inputs'!$B$31+'Inputs'!$B$32)/1000+'Inputs'!$B$21+'Inputs'!$B$7+'Inputs'!$B$10)+'Inputs'!$B$9)^2+('Inputs'!$B$8/2)^2)-(((522-43)*MAX('Inputs'!$B$33,'Inputs'!$B$29+'Inputs'!$B$31+'Inputs'!$B$32,'Inputs'!$B$30+'Inputs'!$B$31+'Inputs'!$B$32)/1000+'Inputs'!$B$21+'Inputs'!$B$7+'Inputs'!$B$10))/SQRT((((522-43)*MAX('Inputs'!$B$33,'Inputs'!$B$29+'Inputs'!$B$31+'Inputs'!$B$32,'Inputs'!$B$30+'Inputs'!$B$31+'Inputs'!$B$32)/1000+'Inputs'!$B$21+'Inputs'!$B$7+'Inputs'!$B$10))^2+('Inputs'!$B$8/2)^2))))*'Results'!$B$8))),"")</x:f>
        <x:v>4.293718781898571</x:v>
      </x:c>
      <x:c r="L522" t="n">
        <x:f>IF(AND(ISNUMBER('Results'!B7),ISNUMBER('Results'!C7),ISNUMBER('Results'!$B$8),ISNUMBER('Inputs'!$B$6),ISNUMBER('Inputs'!$B$7),ISNUMBER('Inputs'!$B$8),ISNUMBER('Inputs'!$B$9),ISNUMBER('Inputs'!$B$10),ISNUMBER('Inputs'!$B$21),ISNUMBER('Inputs'!$B$24),ISNUMBER('Inputs'!$B$28)),((('Results'!B7*(1+'Inputs'!$B$24)*(0.5*((((522-43)*MAX('Inputs'!$B$33,'Inputs'!$B$29+'Inputs'!$B$31+'Inputs'!$B$32,'Inputs'!$B$30+'Inputs'!$B$31+'Inputs'!$B$32)/1000+'Inputs'!$B$21)+'Inputs'!$B$7)/SQRT((((522-43)*MAX('Inputs'!$B$33,'Inputs'!$B$29+'Inputs'!$B$31+'Inputs'!$B$32,'Inputs'!$B$30+'Inputs'!$B$31+'Inputs'!$B$32)/1000+'Inputs'!$B$21)+'Inputs'!$B$7)^2+('Inputs'!$B$6/2)^2)-(((522-43)*MAX('Inputs'!$B$33,'Inputs'!$B$29+'Inputs'!$B$31+'Inputs'!$B$32,'Inputs'!$B$30+'Inputs'!$B$31+'Inputs'!$B$32)/1000+'Inputs'!$B$21))/SQRT((((522-43)*MAX('Inputs'!$B$33,'Inputs'!$B$29+'Inputs'!$B$31+'Inputs'!$B$32,'Inputs'!$B$30+'Inputs'!$B$31+'Inputs'!$B$32)/1000+'Inputs'!$B$21))^2+('Inputs'!$B$6/2)^2)))-'Results'!C7*(1-'Inputs'!$B$24)*(0.5*((((522-43)*MAX('Inputs'!$B$33,'Inputs'!$B$29+'Inputs'!$B$31+'Inputs'!$B$32,'Inputs'!$B$30+'Inputs'!$B$31+'Inputs'!$B$32)/1000+'Inputs'!$B$21+'Inputs'!$B$7+'Inputs'!$B$10)+'Inputs'!$B$9)/SQRT((((522-43)*MAX('Inputs'!$B$33,'Inputs'!$B$29+'Inputs'!$B$31+'Inputs'!$B$32,'Inputs'!$B$30+'Inputs'!$B$31+'Inputs'!$B$32)/1000+'Inputs'!$B$21+'Inputs'!$B$7+'Inputs'!$B$10)+'Inputs'!$B$9)^2+('Inputs'!$B$8/2)^2)-(((522-43)*MAX('Inputs'!$B$33,'Inputs'!$B$29+'Inputs'!$B$31+'Inputs'!$B$32,'Inputs'!$B$30+'Inputs'!$B$31+'Inputs'!$B$32)/1000+'Inputs'!$B$21+'Inputs'!$B$7+'Inputs'!$B$10))/SQRT((((522-43)*MAX('Inputs'!$B$33,'Inputs'!$B$29+'Inputs'!$B$31+'Inputs'!$B$32,'Inputs'!$B$30+'Inputs'!$B$31+'Inputs'!$B$32)/1000+'Inputs'!$B$21+'Inputs'!$B$7+'Inputs'!$B$10))^2+('Inputs'!$B$8/2)^2))))*'Results'!$B$8)+'Inputs'!$B$28*ABS((('Results'!B7*(1+'Inputs'!$B$24)*(0.5*((((522-43)*MAX('Inputs'!$B$33,'Inputs'!$B$29+'Inputs'!$B$31+'Inputs'!$B$32,'Inputs'!$B$30+'Inputs'!$B$31+'Inputs'!$B$32)/1000+'Inputs'!$B$21)+'Inputs'!$B$7)/SQRT((((522-43)*MAX('Inputs'!$B$33,'Inputs'!$B$29+'Inputs'!$B$31+'Inputs'!$B$32,'Inputs'!$B$30+'Inputs'!$B$31+'Inputs'!$B$32)/1000+'Inputs'!$B$21)+'Inputs'!$B$7)^2+('Inputs'!$B$6/2)^2)-(((522-43)*MAX('Inputs'!$B$33,'Inputs'!$B$29+'Inputs'!$B$31+'Inputs'!$B$32,'Inputs'!$B$30+'Inputs'!$B$31+'Inputs'!$B$32)/1000+'Inputs'!$B$21))/SQRT((((522-43)*MAX('Inputs'!$B$33,'Inputs'!$B$29+'Inputs'!$B$31+'Inputs'!$B$32,'Inputs'!$B$30+'Inputs'!$B$31+'Inputs'!$B$32)/1000+'Inputs'!$B$21))^2+('Inputs'!$B$6/2)^2)))-'Results'!C7*(1-'Inputs'!$B$24)*(0.5*((((522-43)*MAX('Inputs'!$B$33,'Inputs'!$B$29+'Inputs'!$B$31+'Inputs'!$B$32,'Inputs'!$B$30+'Inputs'!$B$31+'Inputs'!$B$32)/1000+'Inputs'!$B$21+'Inputs'!$B$7+'Inputs'!$B$10)+'Inputs'!$B$9)/SQRT((((522-43)*MAX('Inputs'!$B$33,'Inputs'!$B$29+'Inputs'!$B$31+'Inputs'!$B$32,'Inputs'!$B$30+'Inputs'!$B$31+'Inputs'!$B$32)/1000+'Inputs'!$B$21+'Inputs'!$B$7+'Inputs'!$B$10)+'Inputs'!$B$9)^2+('Inputs'!$B$8/2)^2)-(((522-43)*MAX('Inputs'!$B$33,'Inputs'!$B$29+'Inputs'!$B$31+'Inputs'!$B$32,'Inputs'!$B$30+'Inputs'!$B$31+'Inputs'!$B$32)/1000+'Inputs'!$B$21+'Inputs'!$B$7+'Inputs'!$B$10))/SQRT((((522-43)*MAX('Inputs'!$B$33,'Inputs'!$B$29+'Inputs'!$B$31+'Inputs'!$B$32,'Inputs'!$B$30+'Inputs'!$B$31+'Inputs'!$B$32)/1000+'Inputs'!$B$21+'Inputs'!$B$7+'Inputs'!$B$10))^2+('Inputs'!$B$8/2)^2))))*'Results'!$B$8))),"")</x:f>
        <x:v>5.412449174690784</x:v>
      </x:c>
      <x:c r="M522" t="n">
        <x:f>IF(AND(ISNUMBER('Results'!C7),ISNUMBER('Results'!B7),ISNUMBER('Results'!$B$8),ISNUMBER('Inputs'!$B$6),ISNUMBER('Inputs'!$B$7),ISNUMBER('Inputs'!$B$8),ISNUMBER('Inputs'!$B$9),ISNUMBER('Inputs'!$B$10),ISNUMBER('Inputs'!$B$21),ISNUMBER('Inputs'!$B$24),ISNUMBER('Inputs'!$B$28)),(('Results'!C7*(0.5*((((522-43)*MAX('Inputs'!$B$33,'Inputs'!$B$29+'Inputs'!$B$31+'Inputs'!$B$32,'Inputs'!$B$30+'Inputs'!$B$31+'Inputs'!$B$32)/1000+'Inputs'!$B$21)+'Inputs'!$B$9)/SQRT((((522-43)*MAX('Inputs'!$B$33,'Inputs'!$B$29+'Inputs'!$B$31+'Inputs'!$B$32,'Inputs'!$B$30+'Inputs'!$B$31+'Inputs'!$B$32)/1000+'Inputs'!$B$21)+'Inputs'!$B$9)^2+('Inputs'!$B$8/2)^2)-(((522-43)*MAX('Inputs'!$B$33,'Inputs'!$B$29+'Inputs'!$B$31+'Inputs'!$B$32,'Inputs'!$B$30+'Inputs'!$B$31+'Inputs'!$B$32)/1000+'Inputs'!$B$21))/SQRT((((522-43)*MAX('Inputs'!$B$33,'Inputs'!$B$29+'Inputs'!$B$31+'Inputs'!$B$32,'Inputs'!$B$30+'Inputs'!$B$31+'Inputs'!$B$32)/1000+'Inputs'!$B$21))^2+('Inputs'!$B$8/2)^2)))-'Results'!B7*(0.5*((((522-43)*MAX('Inputs'!$B$33,'Inputs'!$B$29+'Inputs'!$B$31+'Inputs'!$B$32,'Inputs'!$B$30+'Inputs'!$B$31+'Inputs'!$B$32)/1000+'Inputs'!$B$21+'Inputs'!$B$9+'Inputs'!$B$10)+'Inputs'!$B$7)/SQRT((((522-43)*MAX('Inputs'!$B$33,'Inputs'!$B$29+'Inputs'!$B$31+'Inputs'!$B$32,'Inputs'!$B$30+'Inputs'!$B$31+'Inputs'!$B$32)/1000+'Inputs'!$B$21+'Inputs'!$B$9+'Inputs'!$B$10)+'Inputs'!$B$7)^2+('Inputs'!$B$6/2)^2)-(((522-43)*MAX('Inputs'!$B$33,'Inputs'!$B$29+'Inputs'!$B$31+'Inputs'!$B$32,'Inputs'!$B$30+'Inputs'!$B$31+'Inputs'!$B$32)/1000+'Inputs'!$B$21+'Inputs'!$B$9+'Inputs'!$B$10))/SQRT((((522-43)*MAX('Inputs'!$B$33,'Inputs'!$B$29+'Inputs'!$B$31+'Inputs'!$B$32,'Inputs'!$B$30+'Inputs'!$B$31+'Inputs'!$B$32)/1000+'Inputs'!$B$21+'Inputs'!$B$9+'Inputs'!$B$10))^2+('Inputs'!$B$6/2)^2))))*'Results'!$B$8),"")</x:f>
        <x:v>4.517451321919606</x:v>
      </x:c>
      <x:c r="N522" t="n">
        <x:f>IF(AND(ISNUMBER('Results'!C7),ISNUMBER('Results'!B7),ISNUMBER('Results'!$B$8),ISNUMBER('Inputs'!$B$6),ISNUMBER('Inputs'!$B$7),ISNUMBER('Inputs'!$B$8),ISNUMBER('Inputs'!$B$9),ISNUMBER('Inputs'!$B$10),ISNUMBER('Inputs'!$B$21),ISNUMBER('Inputs'!$B$24),ISNUMBER('Inputs'!$B$28)),((('Results'!C7*(1-'Inputs'!$B$24)*(0.5*((((522-43)*MAX('Inputs'!$B$33,'Inputs'!$B$29+'Inputs'!$B$31+'Inputs'!$B$32,'Inputs'!$B$30+'Inputs'!$B$31+'Inputs'!$B$32)/1000+'Inputs'!$B$21)+'Inputs'!$B$9)/SQRT((((522-43)*MAX('Inputs'!$B$33,'Inputs'!$B$29+'Inputs'!$B$31+'Inputs'!$B$32,'Inputs'!$B$30+'Inputs'!$B$31+'Inputs'!$B$32)/1000+'Inputs'!$B$21)+'Inputs'!$B$9)^2+('Inputs'!$B$8/2)^2)-(((522-43)*MAX('Inputs'!$B$33,'Inputs'!$B$29+'Inputs'!$B$31+'Inputs'!$B$32,'Inputs'!$B$30+'Inputs'!$B$31+'Inputs'!$B$32)/1000+'Inputs'!$B$21))/SQRT((((522-43)*MAX('Inputs'!$B$33,'Inputs'!$B$29+'Inputs'!$B$31+'Inputs'!$B$32,'Inputs'!$B$30+'Inputs'!$B$31+'Inputs'!$B$32)/1000+'Inputs'!$B$21))^2+('Inputs'!$B$8/2)^2)))-'Results'!B7*(1+'Inputs'!$B$24)*(0.5*((((522-43)*MAX('Inputs'!$B$33,'Inputs'!$B$29+'Inputs'!$B$31+'Inputs'!$B$32,'Inputs'!$B$30+'Inputs'!$B$31+'Inputs'!$B$32)/1000+'Inputs'!$B$21+'Inputs'!$B$9+'Inputs'!$B$10)+'Inputs'!$B$7)/SQRT((((522-43)*MAX('Inputs'!$B$33,'Inputs'!$B$29+'Inputs'!$B$31+'Inputs'!$B$32,'Inputs'!$B$30+'Inputs'!$B$31+'Inputs'!$B$32)/1000+'Inputs'!$B$21+'Inputs'!$B$9+'Inputs'!$B$10)+'Inputs'!$B$7)^2+('Inputs'!$B$6/2)^2)-(((522-43)*MAX('Inputs'!$B$33,'Inputs'!$B$29+'Inputs'!$B$31+'Inputs'!$B$32,'Inputs'!$B$30+'Inputs'!$B$31+'Inputs'!$B$32)/1000+'Inputs'!$B$21+'Inputs'!$B$9+'Inputs'!$B$10))/SQRT((((522-43)*MAX('Inputs'!$B$33,'Inputs'!$B$29+'Inputs'!$B$31+'Inputs'!$B$32,'Inputs'!$B$30+'Inputs'!$B$31+'Inputs'!$B$32)/1000+'Inputs'!$B$21+'Inputs'!$B$9+'Inputs'!$B$10))^2+('Inputs'!$B$6/2)^2))))*'Results'!$B$8)-'Inputs'!$B$28*ABS((('Results'!C7*(1-'Inputs'!$B$24)*(0.5*((((522-43)*MAX('Inputs'!$B$33,'Inputs'!$B$29+'Inputs'!$B$31+'Inputs'!$B$32,'Inputs'!$B$30+'Inputs'!$B$31+'Inputs'!$B$32)/1000+'Inputs'!$B$21)+'Inputs'!$B$9)/SQRT((((522-43)*MAX('Inputs'!$B$33,'Inputs'!$B$29+'Inputs'!$B$31+'Inputs'!$B$32,'Inputs'!$B$30+'Inputs'!$B$31+'Inputs'!$B$32)/1000+'Inputs'!$B$21)+'Inputs'!$B$9)^2+('Inputs'!$B$8/2)^2)-(((522-43)*MAX('Inputs'!$B$33,'Inputs'!$B$29+'Inputs'!$B$31+'Inputs'!$B$32,'Inputs'!$B$30+'Inputs'!$B$31+'Inputs'!$B$32)/1000+'Inputs'!$B$21))/SQRT((((522-43)*MAX('Inputs'!$B$33,'Inputs'!$B$29+'Inputs'!$B$31+'Inputs'!$B$32,'Inputs'!$B$30+'Inputs'!$B$31+'Inputs'!$B$32)/1000+'Inputs'!$B$21))^2+('Inputs'!$B$8/2)^2)))-'Results'!B7*(1+'Inputs'!$B$24)*(0.5*((((522-43)*MAX('Inputs'!$B$33,'Inputs'!$B$29+'Inputs'!$B$31+'Inputs'!$B$32,'Inputs'!$B$30+'Inputs'!$B$31+'Inputs'!$B$32)/1000+'Inputs'!$B$21+'Inputs'!$B$9+'Inputs'!$B$10)+'Inputs'!$B$7)/SQRT((((522-43)*MAX('Inputs'!$B$33,'Inputs'!$B$29+'Inputs'!$B$31+'Inputs'!$B$32,'Inputs'!$B$30+'Inputs'!$B$31+'Inputs'!$B$32)/1000+'Inputs'!$B$21+'Inputs'!$B$9+'Inputs'!$B$10)+'Inputs'!$B$7)^2+('Inputs'!$B$6/2)^2)-(((522-43)*MAX('Inputs'!$B$33,'Inputs'!$B$29+'Inputs'!$B$31+'Inputs'!$B$32,'Inputs'!$B$30+'Inputs'!$B$31+'Inputs'!$B$32)/1000+'Inputs'!$B$21+'Inputs'!$B$9+'Inputs'!$B$10))/SQRT((((522-43)*MAX('Inputs'!$B$33,'Inputs'!$B$29+'Inputs'!$B$31+'Inputs'!$B$32,'Inputs'!$B$30+'Inputs'!$B$31+'Inputs'!$B$32)/1000+'Inputs'!$B$21+'Inputs'!$B$9+'Inputs'!$B$10))^2+('Inputs'!$B$6/2)^2))))*'Results'!$B$8))),"")</x:f>
        <x:v>3.991744573212618</x:v>
      </x:c>
      <x:c r="O522" t="n">
        <x:f>IF(AND(ISNUMBER('Results'!C7),ISNUMBER('Results'!B7),ISNUMBER('Results'!$B$8),ISNUMBER('Inputs'!$B$6),ISNUMBER('Inputs'!$B$7),ISNUMBER('Inputs'!$B$8),ISNUMBER('Inputs'!$B$9),ISNUMBER('Inputs'!$B$10),ISNUMBER('Inputs'!$B$21),ISNUMBER('Inputs'!$B$24),ISNUMBER('Inputs'!$B$28)),((('Results'!C7*(1+'Inputs'!$B$24)*(0.5*((((522-43)*MAX('Inputs'!$B$33,'Inputs'!$B$29+'Inputs'!$B$31+'Inputs'!$B$32,'Inputs'!$B$30+'Inputs'!$B$31+'Inputs'!$B$32)/1000+'Inputs'!$B$21)+'Inputs'!$B$9)/SQRT((((522-43)*MAX('Inputs'!$B$33,'Inputs'!$B$29+'Inputs'!$B$31+'Inputs'!$B$32,'Inputs'!$B$30+'Inputs'!$B$31+'Inputs'!$B$32)/1000+'Inputs'!$B$21)+'Inputs'!$B$9)^2+('Inputs'!$B$8/2)^2)-(((522-43)*MAX('Inputs'!$B$33,'Inputs'!$B$29+'Inputs'!$B$31+'Inputs'!$B$32,'Inputs'!$B$30+'Inputs'!$B$31+'Inputs'!$B$32)/1000+'Inputs'!$B$21))/SQRT((((522-43)*MAX('Inputs'!$B$33,'Inputs'!$B$29+'Inputs'!$B$31+'Inputs'!$B$32,'Inputs'!$B$30+'Inputs'!$B$31+'Inputs'!$B$32)/1000+'Inputs'!$B$21))^2+('Inputs'!$B$8/2)^2)))-'Results'!B7*(1-'Inputs'!$B$24)*(0.5*((((522-43)*MAX('Inputs'!$B$33,'Inputs'!$B$29+'Inputs'!$B$31+'Inputs'!$B$32,'Inputs'!$B$30+'Inputs'!$B$31+'Inputs'!$B$32)/1000+'Inputs'!$B$21+'Inputs'!$B$9+'Inputs'!$B$10)+'Inputs'!$B$7)/SQRT((((522-43)*MAX('Inputs'!$B$33,'Inputs'!$B$29+'Inputs'!$B$31+'Inputs'!$B$32,'Inputs'!$B$30+'Inputs'!$B$31+'Inputs'!$B$32)/1000+'Inputs'!$B$21+'Inputs'!$B$9+'Inputs'!$B$10)+'Inputs'!$B$7)^2+('Inputs'!$B$6/2)^2)-(((522-43)*MAX('Inputs'!$B$33,'Inputs'!$B$29+'Inputs'!$B$31+'Inputs'!$B$32,'Inputs'!$B$30+'Inputs'!$B$31+'Inputs'!$B$32)/1000+'Inputs'!$B$21+'Inputs'!$B$9+'Inputs'!$B$10))/SQRT((((522-43)*MAX('Inputs'!$B$33,'Inputs'!$B$29+'Inputs'!$B$31+'Inputs'!$B$32,'Inputs'!$B$30+'Inputs'!$B$31+'Inputs'!$B$32)/1000+'Inputs'!$B$21+'Inputs'!$B$9+'Inputs'!$B$10))^2+('Inputs'!$B$6/2)^2))))*'Results'!$B$8)+'Inputs'!$B$28*ABS((('Results'!C7*(1+'Inputs'!$B$24)*(0.5*((((522-43)*MAX('Inputs'!$B$33,'Inputs'!$B$29+'Inputs'!$B$31+'Inputs'!$B$32,'Inputs'!$B$30+'Inputs'!$B$31+'Inputs'!$B$32)/1000+'Inputs'!$B$21)+'Inputs'!$B$9)/SQRT((((522-43)*MAX('Inputs'!$B$33,'Inputs'!$B$29+'Inputs'!$B$31+'Inputs'!$B$32,'Inputs'!$B$30+'Inputs'!$B$31+'Inputs'!$B$32)/1000+'Inputs'!$B$21)+'Inputs'!$B$9)^2+('Inputs'!$B$8/2)^2)-(((522-43)*MAX('Inputs'!$B$33,'Inputs'!$B$29+'Inputs'!$B$31+'Inputs'!$B$32,'Inputs'!$B$30+'Inputs'!$B$31+'Inputs'!$B$32)/1000+'Inputs'!$B$21))/SQRT((((522-43)*MAX('Inputs'!$B$33,'Inputs'!$B$29+'Inputs'!$B$31+'Inputs'!$B$32,'Inputs'!$B$30+'Inputs'!$B$31+'Inputs'!$B$32)/1000+'Inputs'!$B$21))^2+('Inputs'!$B$8/2)^2)))-'Results'!B7*(1-'Inputs'!$B$24)*(0.5*((((522-43)*MAX('Inputs'!$B$33,'Inputs'!$B$29+'Inputs'!$B$31+'Inputs'!$B$32,'Inputs'!$B$30+'Inputs'!$B$31+'Inputs'!$B$32)/1000+'Inputs'!$B$21+'Inputs'!$B$9+'Inputs'!$B$10)+'Inputs'!$B$7)/SQRT((((522-43)*MAX('Inputs'!$B$33,'Inputs'!$B$29+'Inputs'!$B$31+'Inputs'!$B$32,'Inputs'!$B$30+'Inputs'!$B$31+'Inputs'!$B$32)/1000+'Inputs'!$B$21+'Inputs'!$B$9+'Inputs'!$B$10)+'Inputs'!$B$7)^2+('Inputs'!$B$6/2)^2)-(((522-43)*MAX('Inputs'!$B$33,'Inputs'!$B$29+'Inputs'!$B$31+'Inputs'!$B$32,'Inputs'!$B$30+'Inputs'!$B$31+'Inputs'!$B$32)/1000+'Inputs'!$B$21+'Inputs'!$B$9+'Inputs'!$B$10))/SQRT((((522-43)*MAX('Inputs'!$B$33,'Inputs'!$B$29+'Inputs'!$B$31+'Inputs'!$B$32,'Inputs'!$B$30+'Inputs'!$B$31+'Inputs'!$B$32)/1000+'Inputs'!$B$21+'Inputs'!$B$9+'Inputs'!$B$10))^2+('Inputs'!$B$6/2)^2))))*'Results'!$B$8))),"")</x:f>
        <x:v>5.074719563533016</x:v>
      </x:c>
      <x:c r="P522" t="n">
        <x:f>IF(AND(MAX(J522,J521)&gt;0,J522&gt;J521+0.00000001),1,0)</x:f>
        <x:v>0</x:v>
      </x:c>
      <x:c r="Q522" t="n">
        <x:f>IF(AND(MAX(K522,K521)&gt;0,K522&gt;K521+0.00000001),1,0)</x:f>
        <x:v>0</x:v>
      </x:c>
      <x:c r="R522" t="n">
        <x:f>IF(AND(MAX(L522,L521)&gt;0,L522&gt;L521+0.00000001),1,0)</x:f>
        <x:v>0</x:v>
      </x:c>
      <x:c r="S522" t="n">
        <x:f>IF(AND(MAX(M522,M521)&gt;0,M522&gt;M521+0.00000001),1,0)</x:f>
        <x:v>0</x:v>
      </x:c>
      <x:c r="T522" t="n">
        <x:f>IF(AND(MAX(N522,N521)&gt;0,N522&gt;N521+0.00000001),1,0)</x:f>
        <x:v>0</x:v>
      </x:c>
      <x:c r="U522" t="n">
        <x:f>IF(AND(MAX(O522,O521)&gt;0,O522&gt;O521+0.00000001),1,0)</x:f>
        <x:v>0</x:v>
      </x:c>
    </x:row>
    <x:row r="523">
      <x:c r="J523" t="n">
        <x:f>IF(AND(ISNUMBER('Results'!B7),ISNUMBER('Results'!C7),ISNUMBER('Results'!$B$8),ISNUMBER('Inputs'!$B$6),ISNUMBER('Inputs'!$B$7),ISNUMBER('Inputs'!$B$8),ISNUMBER('Inputs'!$B$9),ISNUMBER('Inputs'!$B$10),ISNUMBER('Inputs'!$B$21),ISNUMBER('Inputs'!$B$24),ISNUMBER('Inputs'!$B$28)),(('Results'!B7*(0.5*((((523-43)*MAX('Inputs'!$B$33,'Inputs'!$B$29+'Inputs'!$B$31+'Inputs'!$B$32,'Inputs'!$B$30+'Inputs'!$B$31+'Inputs'!$B$32)/1000+'Inputs'!$B$21)+'Inputs'!$B$7)/SQRT((((523-43)*MAX('Inputs'!$B$33,'Inputs'!$B$29+'Inputs'!$B$31+'Inputs'!$B$32,'Inputs'!$B$30+'Inputs'!$B$31+'Inputs'!$B$32)/1000+'Inputs'!$B$21)+'Inputs'!$B$7)^2+('Inputs'!$B$6/2)^2)-(((523-43)*MAX('Inputs'!$B$33,'Inputs'!$B$29+'Inputs'!$B$31+'Inputs'!$B$32,'Inputs'!$B$30+'Inputs'!$B$31+'Inputs'!$B$32)/1000+'Inputs'!$B$21))/SQRT((((523-43)*MAX('Inputs'!$B$33,'Inputs'!$B$29+'Inputs'!$B$31+'Inputs'!$B$32,'Inputs'!$B$30+'Inputs'!$B$31+'Inputs'!$B$32)/1000+'Inputs'!$B$21))^2+('Inputs'!$B$6/2)^2)))-'Results'!C7*(0.5*((((523-43)*MAX('Inputs'!$B$33,'Inputs'!$B$29+'Inputs'!$B$31+'Inputs'!$B$32,'Inputs'!$B$30+'Inputs'!$B$31+'Inputs'!$B$32)/1000+'Inputs'!$B$21+'Inputs'!$B$7+'Inputs'!$B$10)+'Inputs'!$B$9)/SQRT((((523-43)*MAX('Inputs'!$B$33,'Inputs'!$B$29+'Inputs'!$B$31+'Inputs'!$B$32,'Inputs'!$B$30+'Inputs'!$B$31+'Inputs'!$B$32)/1000+'Inputs'!$B$21+'Inputs'!$B$7+'Inputs'!$B$10)+'Inputs'!$B$9)^2+('Inputs'!$B$8/2)^2)-(((523-43)*MAX('Inputs'!$B$33,'Inputs'!$B$29+'Inputs'!$B$31+'Inputs'!$B$32,'Inputs'!$B$30+'Inputs'!$B$31+'Inputs'!$B$32)/1000+'Inputs'!$B$21+'Inputs'!$B$7+'Inputs'!$B$10))/SQRT((((523-43)*MAX('Inputs'!$B$33,'Inputs'!$B$29+'Inputs'!$B$31+'Inputs'!$B$32,'Inputs'!$B$30+'Inputs'!$B$31+'Inputs'!$B$32)/1000+'Inputs'!$B$21+'Inputs'!$B$7+'Inputs'!$B$10))^2+('Inputs'!$B$8/2)^2))))*'Results'!$B$8),"")</x:f>
        <x:v>4.803076544070394</x:v>
      </x:c>
      <x:c r="K523" t="n">
        <x:f>IF(AND(ISNUMBER('Results'!B7),ISNUMBER('Results'!C7),ISNUMBER('Results'!$B$8),ISNUMBER('Inputs'!$B$6),ISNUMBER('Inputs'!$B$7),ISNUMBER('Inputs'!$B$8),ISNUMBER('Inputs'!$B$9),ISNUMBER('Inputs'!$B$10),ISNUMBER('Inputs'!$B$21),ISNUMBER('Inputs'!$B$24),ISNUMBER('Inputs'!$B$28)),((('Results'!B7*(1-'Inputs'!$B$24)*(0.5*((((523-43)*MAX('Inputs'!$B$33,'Inputs'!$B$29+'Inputs'!$B$31+'Inputs'!$B$32,'Inputs'!$B$30+'Inputs'!$B$31+'Inputs'!$B$32)/1000+'Inputs'!$B$21)+'Inputs'!$B$7)/SQRT((((523-43)*MAX('Inputs'!$B$33,'Inputs'!$B$29+'Inputs'!$B$31+'Inputs'!$B$32,'Inputs'!$B$30+'Inputs'!$B$31+'Inputs'!$B$32)/1000+'Inputs'!$B$21)+'Inputs'!$B$7)^2+('Inputs'!$B$6/2)^2)-(((523-43)*MAX('Inputs'!$B$33,'Inputs'!$B$29+'Inputs'!$B$31+'Inputs'!$B$32,'Inputs'!$B$30+'Inputs'!$B$31+'Inputs'!$B$32)/1000+'Inputs'!$B$21))/SQRT((((523-43)*MAX('Inputs'!$B$33,'Inputs'!$B$29+'Inputs'!$B$31+'Inputs'!$B$32,'Inputs'!$B$30+'Inputs'!$B$31+'Inputs'!$B$32)/1000+'Inputs'!$B$21))^2+('Inputs'!$B$6/2)^2)))-'Results'!C7*(1+'Inputs'!$B$24)*(0.5*((((523-43)*MAX('Inputs'!$B$33,'Inputs'!$B$29+'Inputs'!$B$31+'Inputs'!$B$32,'Inputs'!$B$30+'Inputs'!$B$31+'Inputs'!$B$32)/1000+'Inputs'!$B$21+'Inputs'!$B$7+'Inputs'!$B$10)+'Inputs'!$B$9)/SQRT((((523-43)*MAX('Inputs'!$B$33,'Inputs'!$B$29+'Inputs'!$B$31+'Inputs'!$B$32,'Inputs'!$B$30+'Inputs'!$B$31+'Inputs'!$B$32)/1000+'Inputs'!$B$21+'Inputs'!$B$7+'Inputs'!$B$10)+'Inputs'!$B$9)^2+('Inputs'!$B$8/2)^2)-(((523-43)*MAX('Inputs'!$B$33,'Inputs'!$B$29+'Inputs'!$B$31+'Inputs'!$B$32,'Inputs'!$B$30+'Inputs'!$B$31+'Inputs'!$B$32)/1000+'Inputs'!$B$21+'Inputs'!$B$7+'Inputs'!$B$10))/SQRT((((523-43)*MAX('Inputs'!$B$33,'Inputs'!$B$29+'Inputs'!$B$31+'Inputs'!$B$32,'Inputs'!$B$30+'Inputs'!$B$31+'Inputs'!$B$32)/1000+'Inputs'!$B$21+'Inputs'!$B$7+'Inputs'!$B$10))^2+('Inputs'!$B$8/2)^2))))*'Results'!$B$8)-'Inputs'!$B$28*ABS((('Results'!B7*(1-'Inputs'!$B$24)*(0.5*((((523-43)*MAX('Inputs'!$B$33,'Inputs'!$B$29+'Inputs'!$B$31+'Inputs'!$B$32,'Inputs'!$B$30+'Inputs'!$B$31+'Inputs'!$B$32)/1000+'Inputs'!$B$21)+'Inputs'!$B$7)/SQRT((((523-43)*MAX('Inputs'!$B$33,'Inputs'!$B$29+'Inputs'!$B$31+'Inputs'!$B$32,'Inputs'!$B$30+'Inputs'!$B$31+'Inputs'!$B$32)/1000+'Inputs'!$B$21)+'Inputs'!$B$7)^2+('Inputs'!$B$6/2)^2)-(((523-43)*MAX('Inputs'!$B$33,'Inputs'!$B$29+'Inputs'!$B$31+'Inputs'!$B$32,'Inputs'!$B$30+'Inputs'!$B$31+'Inputs'!$B$32)/1000+'Inputs'!$B$21))/SQRT((((523-43)*MAX('Inputs'!$B$33,'Inputs'!$B$29+'Inputs'!$B$31+'Inputs'!$B$32,'Inputs'!$B$30+'Inputs'!$B$31+'Inputs'!$B$32)/1000+'Inputs'!$B$21))^2+('Inputs'!$B$6/2)^2)))-'Results'!C7*(1+'Inputs'!$B$24)*(0.5*((((523-43)*MAX('Inputs'!$B$33,'Inputs'!$B$29+'Inputs'!$B$31+'Inputs'!$B$32,'Inputs'!$B$30+'Inputs'!$B$31+'Inputs'!$B$32)/1000+'Inputs'!$B$21+'Inputs'!$B$7+'Inputs'!$B$10)+'Inputs'!$B$9)/SQRT((((523-43)*MAX('Inputs'!$B$33,'Inputs'!$B$29+'Inputs'!$B$31+'Inputs'!$B$32,'Inputs'!$B$30+'Inputs'!$B$31+'Inputs'!$B$32)/1000+'Inputs'!$B$21+'Inputs'!$B$7+'Inputs'!$B$10)+'Inputs'!$B$9)^2+('Inputs'!$B$8/2)^2)-(((523-43)*MAX('Inputs'!$B$33,'Inputs'!$B$29+'Inputs'!$B$31+'Inputs'!$B$32,'Inputs'!$B$30+'Inputs'!$B$31+'Inputs'!$B$32)/1000+'Inputs'!$B$21+'Inputs'!$B$7+'Inputs'!$B$10))/SQRT((((523-43)*MAX('Inputs'!$B$33,'Inputs'!$B$29+'Inputs'!$B$31+'Inputs'!$B$32,'Inputs'!$B$30+'Inputs'!$B$31+'Inputs'!$B$32)/1000+'Inputs'!$B$21+'Inputs'!$B$7+'Inputs'!$B$10))^2+('Inputs'!$B$8/2)^2))))*'Results'!$B$8))),"")</x:f>
        <x:v>4.262948418269572</x:v>
      </x:c>
      <x:c r="L523" t="n">
        <x:f>IF(AND(ISNUMBER('Results'!B7),ISNUMBER('Results'!C7),ISNUMBER('Results'!$B$8),ISNUMBER('Inputs'!$B$6),ISNUMBER('Inputs'!$B$7),ISNUMBER('Inputs'!$B$8),ISNUMBER('Inputs'!$B$9),ISNUMBER('Inputs'!$B$10),ISNUMBER('Inputs'!$B$21),ISNUMBER('Inputs'!$B$24),ISNUMBER('Inputs'!$B$28)),((('Results'!B7*(1+'Inputs'!$B$24)*(0.5*((((523-43)*MAX('Inputs'!$B$33,'Inputs'!$B$29+'Inputs'!$B$31+'Inputs'!$B$32,'Inputs'!$B$30+'Inputs'!$B$31+'Inputs'!$B$32)/1000+'Inputs'!$B$21)+'Inputs'!$B$7)/SQRT((((523-43)*MAX('Inputs'!$B$33,'Inputs'!$B$29+'Inputs'!$B$31+'Inputs'!$B$32,'Inputs'!$B$30+'Inputs'!$B$31+'Inputs'!$B$32)/1000+'Inputs'!$B$21)+'Inputs'!$B$7)^2+('Inputs'!$B$6/2)^2)-(((523-43)*MAX('Inputs'!$B$33,'Inputs'!$B$29+'Inputs'!$B$31+'Inputs'!$B$32,'Inputs'!$B$30+'Inputs'!$B$31+'Inputs'!$B$32)/1000+'Inputs'!$B$21))/SQRT((((523-43)*MAX('Inputs'!$B$33,'Inputs'!$B$29+'Inputs'!$B$31+'Inputs'!$B$32,'Inputs'!$B$30+'Inputs'!$B$31+'Inputs'!$B$32)/1000+'Inputs'!$B$21))^2+('Inputs'!$B$6/2)^2)))-'Results'!C7*(1-'Inputs'!$B$24)*(0.5*((((523-43)*MAX('Inputs'!$B$33,'Inputs'!$B$29+'Inputs'!$B$31+'Inputs'!$B$32,'Inputs'!$B$30+'Inputs'!$B$31+'Inputs'!$B$32)/1000+'Inputs'!$B$21+'Inputs'!$B$7+'Inputs'!$B$10)+'Inputs'!$B$9)/SQRT((((523-43)*MAX('Inputs'!$B$33,'Inputs'!$B$29+'Inputs'!$B$31+'Inputs'!$B$32,'Inputs'!$B$30+'Inputs'!$B$31+'Inputs'!$B$32)/1000+'Inputs'!$B$21+'Inputs'!$B$7+'Inputs'!$B$10)+'Inputs'!$B$9)^2+('Inputs'!$B$8/2)^2)-(((523-43)*MAX('Inputs'!$B$33,'Inputs'!$B$29+'Inputs'!$B$31+'Inputs'!$B$32,'Inputs'!$B$30+'Inputs'!$B$31+'Inputs'!$B$32)/1000+'Inputs'!$B$21+'Inputs'!$B$7+'Inputs'!$B$10))/SQRT((((523-43)*MAX('Inputs'!$B$33,'Inputs'!$B$29+'Inputs'!$B$31+'Inputs'!$B$32,'Inputs'!$B$30+'Inputs'!$B$31+'Inputs'!$B$32)/1000+'Inputs'!$B$21+'Inputs'!$B$7+'Inputs'!$B$10))^2+('Inputs'!$B$8/2)^2))))*'Results'!$B$8)+'Inputs'!$B$28*ABS((('Results'!B7*(1+'Inputs'!$B$24)*(0.5*((((523-43)*MAX('Inputs'!$B$33,'Inputs'!$B$29+'Inputs'!$B$31+'Inputs'!$B$32,'Inputs'!$B$30+'Inputs'!$B$31+'Inputs'!$B$32)/1000+'Inputs'!$B$21)+'Inputs'!$B$7)/SQRT((((523-43)*MAX('Inputs'!$B$33,'Inputs'!$B$29+'Inputs'!$B$31+'Inputs'!$B$32,'Inputs'!$B$30+'Inputs'!$B$31+'Inputs'!$B$32)/1000+'Inputs'!$B$21)+'Inputs'!$B$7)^2+('Inputs'!$B$6/2)^2)-(((523-43)*MAX('Inputs'!$B$33,'Inputs'!$B$29+'Inputs'!$B$31+'Inputs'!$B$32,'Inputs'!$B$30+'Inputs'!$B$31+'Inputs'!$B$32)/1000+'Inputs'!$B$21))/SQRT((((523-43)*MAX('Inputs'!$B$33,'Inputs'!$B$29+'Inputs'!$B$31+'Inputs'!$B$32,'Inputs'!$B$30+'Inputs'!$B$31+'Inputs'!$B$32)/1000+'Inputs'!$B$21))^2+('Inputs'!$B$6/2)^2)))-'Results'!C7*(1-'Inputs'!$B$24)*(0.5*((((523-43)*MAX('Inputs'!$B$33,'Inputs'!$B$29+'Inputs'!$B$31+'Inputs'!$B$32,'Inputs'!$B$30+'Inputs'!$B$31+'Inputs'!$B$32)/1000+'Inputs'!$B$21+'Inputs'!$B$7+'Inputs'!$B$10)+'Inputs'!$B$9)/SQRT((((523-43)*MAX('Inputs'!$B$33,'Inputs'!$B$29+'Inputs'!$B$31+'Inputs'!$B$32,'Inputs'!$B$30+'Inputs'!$B$31+'Inputs'!$B$32)/1000+'Inputs'!$B$21+'Inputs'!$B$7+'Inputs'!$B$10)+'Inputs'!$B$9)^2+('Inputs'!$B$8/2)^2)-(((523-43)*MAX('Inputs'!$B$33,'Inputs'!$B$29+'Inputs'!$B$31+'Inputs'!$B$32,'Inputs'!$B$30+'Inputs'!$B$31+'Inputs'!$B$32)/1000+'Inputs'!$B$21+'Inputs'!$B$7+'Inputs'!$B$10))/SQRT((((523-43)*MAX('Inputs'!$B$33,'Inputs'!$B$29+'Inputs'!$B$31+'Inputs'!$B$32,'Inputs'!$B$30+'Inputs'!$B$31+'Inputs'!$B$32)/1000+'Inputs'!$B$21+'Inputs'!$B$7+'Inputs'!$B$10))^2+('Inputs'!$B$8/2)^2))))*'Results'!$B$8))),"")</x:f>
        <x:v>5.37478091182883</x:v>
      </x:c>
      <x:c r="M523" t="n">
        <x:f>IF(AND(ISNUMBER('Results'!C7),ISNUMBER('Results'!B7),ISNUMBER('Results'!$B$8),ISNUMBER('Inputs'!$B$6),ISNUMBER('Inputs'!$B$7),ISNUMBER('Inputs'!$B$8),ISNUMBER('Inputs'!$B$9),ISNUMBER('Inputs'!$B$10),ISNUMBER('Inputs'!$B$21),ISNUMBER('Inputs'!$B$24),ISNUMBER('Inputs'!$B$28)),(('Results'!C7*(0.5*((((523-43)*MAX('Inputs'!$B$33,'Inputs'!$B$29+'Inputs'!$B$31+'Inputs'!$B$32,'Inputs'!$B$30+'Inputs'!$B$31+'Inputs'!$B$32)/1000+'Inputs'!$B$21)+'Inputs'!$B$9)/SQRT((((523-43)*MAX('Inputs'!$B$33,'Inputs'!$B$29+'Inputs'!$B$31+'Inputs'!$B$32,'Inputs'!$B$30+'Inputs'!$B$31+'Inputs'!$B$32)/1000+'Inputs'!$B$21)+'Inputs'!$B$9)^2+('Inputs'!$B$8/2)^2)-(((523-43)*MAX('Inputs'!$B$33,'Inputs'!$B$29+'Inputs'!$B$31+'Inputs'!$B$32,'Inputs'!$B$30+'Inputs'!$B$31+'Inputs'!$B$32)/1000+'Inputs'!$B$21))/SQRT((((523-43)*MAX('Inputs'!$B$33,'Inputs'!$B$29+'Inputs'!$B$31+'Inputs'!$B$32,'Inputs'!$B$30+'Inputs'!$B$31+'Inputs'!$B$32)/1000+'Inputs'!$B$21))^2+('Inputs'!$B$8/2)^2)))-'Results'!B7*(0.5*((((523-43)*MAX('Inputs'!$B$33,'Inputs'!$B$29+'Inputs'!$B$31+'Inputs'!$B$32,'Inputs'!$B$30+'Inputs'!$B$31+'Inputs'!$B$32)/1000+'Inputs'!$B$21+'Inputs'!$B$9+'Inputs'!$B$10)+'Inputs'!$B$7)/SQRT((((523-43)*MAX('Inputs'!$B$33,'Inputs'!$B$29+'Inputs'!$B$31+'Inputs'!$B$32,'Inputs'!$B$30+'Inputs'!$B$31+'Inputs'!$B$32)/1000+'Inputs'!$B$21+'Inputs'!$B$9+'Inputs'!$B$10)+'Inputs'!$B$7)^2+('Inputs'!$B$6/2)^2)-(((523-43)*MAX('Inputs'!$B$33,'Inputs'!$B$29+'Inputs'!$B$31+'Inputs'!$B$32,'Inputs'!$B$30+'Inputs'!$B$31+'Inputs'!$B$32)/1000+'Inputs'!$B$21+'Inputs'!$B$9+'Inputs'!$B$10))/SQRT((((523-43)*MAX('Inputs'!$B$33,'Inputs'!$B$29+'Inputs'!$B$31+'Inputs'!$B$32,'Inputs'!$B$30+'Inputs'!$B$31+'Inputs'!$B$32)/1000+'Inputs'!$B$21+'Inputs'!$B$9+'Inputs'!$B$10))^2+('Inputs'!$B$6/2)^2))))*'Results'!$B$8),"")</x:f>
        <x:v>4.485072278691279</x:v>
      </x:c>
      <x:c r="N523" t="n">
        <x:f>IF(AND(ISNUMBER('Results'!C7),ISNUMBER('Results'!B7),ISNUMBER('Results'!$B$8),ISNUMBER('Inputs'!$B$6),ISNUMBER('Inputs'!$B$7),ISNUMBER('Inputs'!$B$8),ISNUMBER('Inputs'!$B$9),ISNUMBER('Inputs'!$B$10),ISNUMBER('Inputs'!$B$21),ISNUMBER('Inputs'!$B$24),ISNUMBER('Inputs'!$B$28)),((('Results'!C7*(1-'Inputs'!$B$24)*(0.5*((((523-43)*MAX('Inputs'!$B$33,'Inputs'!$B$29+'Inputs'!$B$31+'Inputs'!$B$32,'Inputs'!$B$30+'Inputs'!$B$31+'Inputs'!$B$32)/1000+'Inputs'!$B$21)+'Inputs'!$B$9)/SQRT((((523-43)*MAX('Inputs'!$B$33,'Inputs'!$B$29+'Inputs'!$B$31+'Inputs'!$B$32,'Inputs'!$B$30+'Inputs'!$B$31+'Inputs'!$B$32)/1000+'Inputs'!$B$21)+'Inputs'!$B$9)^2+('Inputs'!$B$8/2)^2)-(((523-43)*MAX('Inputs'!$B$33,'Inputs'!$B$29+'Inputs'!$B$31+'Inputs'!$B$32,'Inputs'!$B$30+'Inputs'!$B$31+'Inputs'!$B$32)/1000+'Inputs'!$B$21))/SQRT((((523-43)*MAX('Inputs'!$B$33,'Inputs'!$B$29+'Inputs'!$B$31+'Inputs'!$B$32,'Inputs'!$B$30+'Inputs'!$B$31+'Inputs'!$B$32)/1000+'Inputs'!$B$21))^2+('Inputs'!$B$8/2)^2)))-'Results'!B7*(1+'Inputs'!$B$24)*(0.5*((((523-43)*MAX('Inputs'!$B$33,'Inputs'!$B$29+'Inputs'!$B$31+'Inputs'!$B$32,'Inputs'!$B$30+'Inputs'!$B$31+'Inputs'!$B$32)/1000+'Inputs'!$B$21+'Inputs'!$B$9+'Inputs'!$B$10)+'Inputs'!$B$7)/SQRT((((523-43)*MAX('Inputs'!$B$33,'Inputs'!$B$29+'Inputs'!$B$31+'Inputs'!$B$32,'Inputs'!$B$30+'Inputs'!$B$31+'Inputs'!$B$32)/1000+'Inputs'!$B$21+'Inputs'!$B$9+'Inputs'!$B$10)+'Inputs'!$B$7)^2+('Inputs'!$B$6/2)^2)-(((523-43)*MAX('Inputs'!$B$33,'Inputs'!$B$29+'Inputs'!$B$31+'Inputs'!$B$32,'Inputs'!$B$30+'Inputs'!$B$31+'Inputs'!$B$32)/1000+'Inputs'!$B$21+'Inputs'!$B$9+'Inputs'!$B$10))/SQRT((((523-43)*MAX('Inputs'!$B$33,'Inputs'!$B$29+'Inputs'!$B$31+'Inputs'!$B$32,'Inputs'!$B$30+'Inputs'!$B$31+'Inputs'!$B$32)/1000+'Inputs'!$B$21+'Inputs'!$B$9+'Inputs'!$B$10))^2+('Inputs'!$B$6/2)^2))))*'Results'!$B$8)-'Inputs'!$B$28*ABS((('Results'!C7*(1-'Inputs'!$B$24)*(0.5*((((523-43)*MAX('Inputs'!$B$33,'Inputs'!$B$29+'Inputs'!$B$31+'Inputs'!$B$32,'Inputs'!$B$30+'Inputs'!$B$31+'Inputs'!$B$32)/1000+'Inputs'!$B$21)+'Inputs'!$B$9)/SQRT((((523-43)*MAX('Inputs'!$B$33,'Inputs'!$B$29+'Inputs'!$B$31+'Inputs'!$B$32,'Inputs'!$B$30+'Inputs'!$B$31+'Inputs'!$B$32)/1000+'Inputs'!$B$21)+'Inputs'!$B$9)^2+('Inputs'!$B$8/2)^2)-(((523-43)*MAX('Inputs'!$B$33,'Inputs'!$B$29+'Inputs'!$B$31+'Inputs'!$B$32,'Inputs'!$B$30+'Inputs'!$B$31+'Inputs'!$B$32)/1000+'Inputs'!$B$21))/SQRT((((523-43)*MAX('Inputs'!$B$33,'Inputs'!$B$29+'Inputs'!$B$31+'Inputs'!$B$32,'Inputs'!$B$30+'Inputs'!$B$31+'Inputs'!$B$32)/1000+'Inputs'!$B$21))^2+('Inputs'!$B$8/2)^2)))-'Results'!B7*(1+'Inputs'!$B$24)*(0.5*((((523-43)*MAX('Inputs'!$B$33,'Inputs'!$B$29+'Inputs'!$B$31+'Inputs'!$B$32,'Inputs'!$B$30+'Inputs'!$B$31+'Inputs'!$B$32)/1000+'Inputs'!$B$21+'Inputs'!$B$9+'Inputs'!$B$10)+'Inputs'!$B$7)/SQRT((((523-43)*MAX('Inputs'!$B$33,'Inputs'!$B$29+'Inputs'!$B$31+'Inputs'!$B$32,'Inputs'!$B$30+'Inputs'!$B$31+'Inputs'!$B$32)/1000+'Inputs'!$B$21+'Inputs'!$B$9+'Inputs'!$B$10)+'Inputs'!$B$7)^2+('Inputs'!$B$6/2)^2)-(((523-43)*MAX('Inputs'!$B$33,'Inputs'!$B$29+'Inputs'!$B$31+'Inputs'!$B$32,'Inputs'!$B$30+'Inputs'!$B$31+'Inputs'!$B$32)/1000+'Inputs'!$B$21+'Inputs'!$B$9+'Inputs'!$B$10))/SQRT((((523-43)*MAX('Inputs'!$B$33,'Inputs'!$B$29+'Inputs'!$B$31+'Inputs'!$B$32,'Inputs'!$B$30+'Inputs'!$B$31+'Inputs'!$B$32)/1000+'Inputs'!$B$21+'Inputs'!$B$9+'Inputs'!$B$10))^2+('Inputs'!$B$6/2)^2))))*'Results'!$B$8))),"")</x:f>
        <x:v>3.962626940175901</x:v>
      </x:c>
      <x:c r="O523" t="n">
        <x:f>IF(AND(ISNUMBER('Results'!C7),ISNUMBER('Results'!B7),ISNUMBER('Results'!$B$8),ISNUMBER('Inputs'!$B$6),ISNUMBER('Inputs'!$B$7),ISNUMBER('Inputs'!$B$8),ISNUMBER('Inputs'!$B$9),ISNUMBER('Inputs'!$B$10),ISNUMBER('Inputs'!$B$21),ISNUMBER('Inputs'!$B$24),ISNUMBER('Inputs'!$B$28)),((('Results'!C7*(1+'Inputs'!$B$24)*(0.5*((((523-43)*MAX('Inputs'!$B$33,'Inputs'!$B$29+'Inputs'!$B$31+'Inputs'!$B$32,'Inputs'!$B$30+'Inputs'!$B$31+'Inputs'!$B$32)/1000+'Inputs'!$B$21)+'Inputs'!$B$9)/SQRT((((523-43)*MAX('Inputs'!$B$33,'Inputs'!$B$29+'Inputs'!$B$31+'Inputs'!$B$32,'Inputs'!$B$30+'Inputs'!$B$31+'Inputs'!$B$32)/1000+'Inputs'!$B$21)+'Inputs'!$B$9)^2+('Inputs'!$B$8/2)^2)-(((523-43)*MAX('Inputs'!$B$33,'Inputs'!$B$29+'Inputs'!$B$31+'Inputs'!$B$32,'Inputs'!$B$30+'Inputs'!$B$31+'Inputs'!$B$32)/1000+'Inputs'!$B$21))/SQRT((((523-43)*MAX('Inputs'!$B$33,'Inputs'!$B$29+'Inputs'!$B$31+'Inputs'!$B$32,'Inputs'!$B$30+'Inputs'!$B$31+'Inputs'!$B$32)/1000+'Inputs'!$B$21))^2+('Inputs'!$B$8/2)^2)))-'Results'!B7*(1-'Inputs'!$B$24)*(0.5*((((523-43)*MAX('Inputs'!$B$33,'Inputs'!$B$29+'Inputs'!$B$31+'Inputs'!$B$32,'Inputs'!$B$30+'Inputs'!$B$31+'Inputs'!$B$32)/1000+'Inputs'!$B$21+'Inputs'!$B$9+'Inputs'!$B$10)+'Inputs'!$B$7)/SQRT((((523-43)*MAX('Inputs'!$B$33,'Inputs'!$B$29+'Inputs'!$B$31+'Inputs'!$B$32,'Inputs'!$B$30+'Inputs'!$B$31+'Inputs'!$B$32)/1000+'Inputs'!$B$21+'Inputs'!$B$9+'Inputs'!$B$10)+'Inputs'!$B$7)^2+('Inputs'!$B$6/2)^2)-(((523-43)*MAX('Inputs'!$B$33,'Inputs'!$B$29+'Inputs'!$B$31+'Inputs'!$B$32,'Inputs'!$B$30+'Inputs'!$B$31+'Inputs'!$B$32)/1000+'Inputs'!$B$21+'Inputs'!$B$9+'Inputs'!$B$10))/SQRT((((523-43)*MAX('Inputs'!$B$33,'Inputs'!$B$29+'Inputs'!$B$31+'Inputs'!$B$32,'Inputs'!$B$30+'Inputs'!$B$31+'Inputs'!$B$32)/1000+'Inputs'!$B$21+'Inputs'!$B$9+'Inputs'!$B$10))^2+('Inputs'!$B$6/2)^2))))*'Results'!$B$8)+'Inputs'!$B$28*ABS((('Results'!C7*(1+'Inputs'!$B$24)*(0.5*((((523-43)*MAX('Inputs'!$B$33,'Inputs'!$B$29+'Inputs'!$B$31+'Inputs'!$B$32,'Inputs'!$B$30+'Inputs'!$B$31+'Inputs'!$B$32)/1000+'Inputs'!$B$21)+'Inputs'!$B$9)/SQRT((((523-43)*MAX('Inputs'!$B$33,'Inputs'!$B$29+'Inputs'!$B$31+'Inputs'!$B$32,'Inputs'!$B$30+'Inputs'!$B$31+'Inputs'!$B$32)/1000+'Inputs'!$B$21)+'Inputs'!$B$9)^2+('Inputs'!$B$8/2)^2)-(((523-43)*MAX('Inputs'!$B$33,'Inputs'!$B$29+'Inputs'!$B$31+'Inputs'!$B$32,'Inputs'!$B$30+'Inputs'!$B$31+'Inputs'!$B$32)/1000+'Inputs'!$B$21))/SQRT((((523-43)*MAX('Inputs'!$B$33,'Inputs'!$B$29+'Inputs'!$B$31+'Inputs'!$B$32,'Inputs'!$B$30+'Inputs'!$B$31+'Inputs'!$B$32)/1000+'Inputs'!$B$21))^2+('Inputs'!$B$8/2)^2)))-'Results'!B7*(1-'Inputs'!$B$24)*(0.5*((((523-43)*MAX('Inputs'!$B$33,'Inputs'!$B$29+'Inputs'!$B$31+'Inputs'!$B$32,'Inputs'!$B$30+'Inputs'!$B$31+'Inputs'!$B$32)/1000+'Inputs'!$B$21+'Inputs'!$B$9+'Inputs'!$B$10)+'Inputs'!$B$7)/SQRT((((523-43)*MAX('Inputs'!$B$33,'Inputs'!$B$29+'Inputs'!$B$31+'Inputs'!$B$32,'Inputs'!$B$30+'Inputs'!$B$31+'Inputs'!$B$32)/1000+'Inputs'!$B$21+'Inputs'!$B$9+'Inputs'!$B$10)+'Inputs'!$B$7)^2+('Inputs'!$B$6/2)^2)-(((523-43)*MAX('Inputs'!$B$33,'Inputs'!$B$29+'Inputs'!$B$31+'Inputs'!$B$32,'Inputs'!$B$30+'Inputs'!$B$31+'Inputs'!$B$32)/1000+'Inputs'!$B$21+'Inputs'!$B$9+'Inputs'!$B$10))/SQRT((((523-43)*MAX('Inputs'!$B$33,'Inputs'!$B$29+'Inputs'!$B$31+'Inputs'!$B$32,'Inputs'!$B$30+'Inputs'!$B$31+'Inputs'!$B$32)/1000+'Inputs'!$B$21+'Inputs'!$B$9+'Inputs'!$B$10))^2+('Inputs'!$B$6/2)^2))))*'Results'!$B$8))),"")</x:f>
        <x:v>5.038906219794111</x:v>
      </x:c>
      <x:c r="P523" t="n">
        <x:f>IF(AND(MAX(J523,J522)&gt;0,J523&gt;J522+0.00000001),1,0)</x:f>
        <x:v>0</x:v>
      </x:c>
      <x:c r="Q523" t="n">
        <x:f>IF(AND(MAX(K523,K522)&gt;0,K523&gt;K522+0.00000001),1,0)</x:f>
        <x:v>0</x:v>
      </x:c>
      <x:c r="R523" t="n">
        <x:f>IF(AND(MAX(L523,L522)&gt;0,L523&gt;L522+0.00000001),1,0)</x:f>
        <x:v>0</x:v>
      </x:c>
      <x:c r="S523" t="n">
        <x:f>IF(AND(MAX(M523,M522)&gt;0,M523&gt;M522+0.00000001),1,0)</x:f>
        <x:v>0</x:v>
      </x:c>
      <x:c r="T523" t="n">
        <x:f>IF(AND(MAX(N523,N522)&gt;0,N523&gt;N522+0.00000001),1,0)</x:f>
        <x:v>0</x:v>
      </x:c>
      <x:c r="U523" t="n">
        <x:f>IF(AND(MAX(O523,O522)&gt;0,O523&gt;O522+0.00000001),1,0)</x:f>
        <x:v>0</x:v>
      </x:c>
    </x:row>
    <x:row r="524">
      <x:c r="J524" t="n">
        <x:f>IF(AND(ISNUMBER('Results'!B7),ISNUMBER('Results'!C7),ISNUMBER('Results'!$B$8),ISNUMBER('Inputs'!$B$6),ISNUMBER('Inputs'!$B$7),ISNUMBER('Inputs'!$B$8),ISNUMBER('Inputs'!$B$9),ISNUMBER('Inputs'!$B$10),ISNUMBER('Inputs'!$B$21),ISNUMBER('Inputs'!$B$24),ISNUMBER('Inputs'!$B$28)),(('Results'!B7*(0.5*((((524-43)*MAX('Inputs'!$B$33,'Inputs'!$B$29+'Inputs'!$B$31+'Inputs'!$B$32,'Inputs'!$B$30+'Inputs'!$B$31+'Inputs'!$B$32)/1000+'Inputs'!$B$21)+'Inputs'!$B$7)/SQRT((((524-43)*MAX('Inputs'!$B$33,'Inputs'!$B$29+'Inputs'!$B$31+'Inputs'!$B$32,'Inputs'!$B$30+'Inputs'!$B$31+'Inputs'!$B$32)/1000+'Inputs'!$B$21)+'Inputs'!$B$7)^2+('Inputs'!$B$6/2)^2)-(((524-43)*MAX('Inputs'!$B$33,'Inputs'!$B$29+'Inputs'!$B$31+'Inputs'!$B$32,'Inputs'!$B$30+'Inputs'!$B$31+'Inputs'!$B$32)/1000+'Inputs'!$B$21))/SQRT((((524-43)*MAX('Inputs'!$B$33,'Inputs'!$B$29+'Inputs'!$B$31+'Inputs'!$B$32,'Inputs'!$B$30+'Inputs'!$B$31+'Inputs'!$B$32)/1000+'Inputs'!$B$21))^2+('Inputs'!$B$6/2)^2)))-'Results'!C7*(0.5*((((524-43)*MAX('Inputs'!$B$33,'Inputs'!$B$29+'Inputs'!$B$31+'Inputs'!$B$32,'Inputs'!$B$30+'Inputs'!$B$31+'Inputs'!$B$32)/1000+'Inputs'!$B$21+'Inputs'!$B$7+'Inputs'!$B$10)+'Inputs'!$B$9)/SQRT((((524-43)*MAX('Inputs'!$B$33,'Inputs'!$B$29+'Inputs'!$B$31+'Inputs'!$B$32,'Inputs'!$B$30+'Inputs'!$B$31+'Inputs'!$B$32)/1000+'Inputs'!$B$21+'Inputs'!$B$7+'Inputs'!$B$10)+'Inputs'!$B$9)^2+('Inputs'!$B$8/2)^2)-(((524-43)*MAX('Inputs'!$B$33,'Inputs'!$B$29+'Inputs'!$B$31+'Inputs'!$B$32,'Inputs'!$B$30+'Inputs'!$B$31+'Inputs'!$B$32)/1000+'Inputs'!$B$21+'Inputs'!$B$7+'Inputs'!$B$10))/SQRT((((524-43)*MAX('Inputs'!$B$33,'Inputs'!$B$29+'Inputs'!$B$31+'Inputs'!$B$32,'Inputs'!$B$30+'Inputs'!$B$31+'Inputs'!$B$32)/1000+'Inputs'!$B$21+'Inputs'!$B$7+'Inputs'!$B$10))^2+('Inputs'!$B$8/2)^2))))*'Results'!$B$8),"")</x:f>
        <x:v>4.769245224847853</x:v>
      </x:c>
      <x:c r="K524" t="n">
        <x:f>IF(AND(ISNUMBER('Results'!B7),ISNUMBER('Results'!C7),ISNUMBER('Results'!$B$8),ISNUMBER('Inputs'!$B$6),ISNUMBER('Inputs'!$B$7),ISNUMBER('Inputs'!$B$8),ISNUMBER('Inputs'!$B$9),ISNUMBER('Inputs'!$B$10),ISNUMBER('Inputs'!$B$21),ISNUMBER('Inputs'!$B$24),ISNUMBER('Inputs'!$B$28)),((('Results'!B7*(1-'Inputs'!$B$24)*(0.5*((((524-43)*MAX('Inputs'!$B$33,'Inputs'!$B$29+'Inputs'!$B$31+'Inputs'!$B$32,'Inputs'!$B$30+'Inputs'!$B$31+'Inputs'!$B$32)/1000+'Inputs'!$B$21)+'Inputs'!$B$7)/SQRT((((524-43)*MAX('Inputs'!$B$33,'Inputs'!$B$29+'Inputs'!$B$31+'Inputs'!$B$32,'Inputs'!$B$30+'Inputs'!$B$31+'Inputs'!$B$32)/1000+'Inputs'!$B$21)+'Inputs'!$B$7)^2+('Inputs'!$B$6/2)^2)-(((524-43)*MAX('Inputs'!$B$33,'Inputs'!$B$29+'Inputs'!$B$31+'Inputs'!$B$32,'Inputs'!$B$30+'Inputs'!$B$31+'Inputs'!$B$32)/1000+'Inputs'!$B$21))/SQRT((((524-43)*MAX('Inputs'!$B$33,'Inputs'!$B$29+'Inputs'!$B$31+'Inputs'!$B$32,'Inputs'!$B$30+'Inputs'!$B$31+'Inputs'!$B$32)/1000+'Inputs'!$B$21))^2+('Inputs'!$B$6/2)^2)))-'Results'!C7*(1+'Inputs'!$B$24)*(0.5*((((524-43)*MAX('Inputs'!$B$33,'Inputs'!$B$29+'Inputs'!$B$31+'Inputs'!$B$32,'Inputs'!$B$30+'Inputs'!$B$31+'Inputs'!$B$32)/1000+'Inputs'!$B$21+'Inputs'!$B$7+'Inputs'!$B$10)+'Inputs'!$B$9)/SQRT((((524-43)*MAX('Inputs'!$B$33,'Inputs'!$B$29+'Inputs'!$B$31+'Inputs'!$B$32,'Inputs'!$B$30+'Inputs'!$B$31+'Inputs'!$B$32)/1000+'Inputs'!$B$21+'Inputs'!$B$7+'Inputs'!$B$10)+'Inputs'!$B$9)^2+('Inputs'!$B$8/2)^2)-(((524-43)*MAX('Inputs'!$B$33,'Inputs'!$B$29+'Inputs'!$B$31+'Inputs'!$B$32,'Inputs'!$B$30+'Inputs'!$B$31+'Inputs'!$B$32)/1000+'Inputs'!$B$21+'Inputs'!$B$7+'Inputs'!$B$10))/SQRT((((524-43)*MAX('Inputs'!$B$33,'Inputs'!$B$29+'Inputs'!$B$31+'Inputs'!$B$32,'Inputs'!$B$30+'Inputs'!$B$31+'Inputs'!$B$32)/1000+'Inputs'!$B$21+'Inputs'!$B$7+'Inputs'!$B$10))^2+('Inputs'!$B$8/2)^2))))*'Results'!$B$8)-'Inputs'!$B$28*ABS((('Results'!B7*(1-'Inputs'!$B$24)*(0.5*((((524-43)*MAX('Inputs'!$B$33,'Inputs'!$B$29+'Inputs'!$B$31+'Inputs'!$B$32,'Inputs'!$B$30+'Inputs'!$B$31+'Inputs'!$B$32)/1000+'Inputs'!$B$21)+'Inputs'!$B$7)/SQRT((((524-43)*MAX('Inputs'!$B$33,'Inputs'!$B$29+'Inputs'!$B$31+'Inputs'!$B$32,'Inputs'!$B$30+'Inputs'!$B$31+'Inputs'!$B$32)/1000+'Inputs'!$B$21)+'Inputs'!$B$7)^2+('Inputs'!$B$6/2)^2)-(((524-43)*MAX('Inputs'!$B$33,'Inputs'!$B$29+'Inputs'!$B$31+'Inputs'!$B$32,'Inputs'!$B$30+'Inputs'!$B$31+'Inputs'!$B$32)/1000+'Inputs'!$B$21))/SQRT((((524-43)*MAX('Inputs'!$B$33,'Inputs'!$B$29+'Inputs'!$B$31+'Inputs'!$B$32,'Inputs'!$B$30+'Inputs'!$B$31+'Inputs'!$B$32)/1000+'Inputs'!$B$21))^2+('Inputs'!$B$6/2)^2)))-'Results'!C7*(1+'Inputs'!$B$24)*(0.5*((((524-43)*MAX('Inputs'!$B$33,'Inputs'!$B$29+'Inputs'!$B$31+'Inputs'!$B$32,'Inputs'!$B$30+'Inputs'!$B$31+'Inputs'!$B$32)/1000+'Inputs'!$B$21+'Inputs'!$B$7+'Inputs'!$B$10)+'Inputs'!$B$9)/SQRT((((524-43)*MAX('Inputs'!$B$33,'Inputs'!$B$29+'Inputs'!$B$31+'Inputs'!$B$32,'Inputs'!$B$30+'Inputs'!$B$31+'Inputs'!$B$32)/1000+'Inputs'!$B$21+'Inputs'!$B$7+'Inputs'!$B$10)+'Inputs'!$B$9)^2+('Inputs'!$B$8/2)^2)-(((524-43)*MAX('Inputs'!$B$33,'Inputs'!$B$29+'Inputs'!$B$31+'Inputs'!$B$32,'Inputs'!$B$30+'Inputs'!$B$31+'Inputs'!$B$32)/1000+'Inputs'!$B$21+'Inputs'!$B$7+'Inputs'!$B$10))/SQRT((((524-43)*MAX('Inputs'!$B$33,'Inputs'!$B$29+'Inputs'!$B$31+'Inputs'!$B$32,'Inputs'!$B$30+'Inputs'!$B$31+'Inputs'!$B$32)/1000+'Inputs'!$B$21+'Inputs'!$B$7+'Inputs'!$B$10))^2+('Inputs'!$B$8/2)^2))))*'Results'!$B$8))),"")</x:f>
        <x:v>4.232451762939942</x:v>
      </x:c>
      <x:c r="L524" t="n">
        <x:f>IF(AND(ISNUMBER('Results'!B7),ISNUMBER('Results'!C7),ISNUMBER('Results'!$B$8),ISNUMBER('Inputs'!$B$6),ISNUMBER('Inputs'!$B$7),ISNUMBER('Inputs'!$B$8),ISNUMBER('Inputs'!$B$9),ISNUMBER('Inputs'!$B$10),ISNUMBER('Inputs'!$B$21),ISNUMBER('Inputs'!$B$24),ISNUMBER('Inputs'!$B$28)),((('Results'!B7*(1+'Inputs'!$B$24)*(0.5*((((524-43)*MAX('Inputs'!$B$33,'Inputs'!$B$29+'Inputs'!$B$31+'Inputs'!$B$32,'Inputs'!$B$30+'Inputs'!$B$31+'Inputs'!$B$32)/1000+'Inputs'!$B$21)+'Inputs'!$B$7)/SQRT((((524-43)*MAX('Inputs'!$B$33,'Inputs'!$B$29+'Inputs'!$B$31+'Inputs'!$B$32,'Inputs'!$B$30+'Inputs'!$B$31+'Inputs'!$B$32)/1000+'Inputs'!$B$21)+'Inputs'!$B$7)^2+('Inputs'!$B$6/2)^2)-(((524-43)*MAX('Inputs'!$B$33,'Inputs'!$B$29+'Inputs'!$B$31+'Inputs'!$B$32,'Inputs'!$B$30+'Inputs'!$B$31+'Inputs'!$B$32)/1000+'Inputs'!$B$21))/SQRT((((524-43)*MAX('Inputs'!$B$33,'Inputs'!$B$29+'Inputs'!$B$31+'Inputs'!$B$32,'Inputs'!$B$30+'Inputs'!$B$31+'Inputs'!$B$32)/1000+'Inputs'!$B$21))^2+('Inputs'!$B$6/2)^2)))-'Results'!C7*(1-'Inputs'!$B$24)*(0.5*((((524-43)*MAX('Inputs'!$B$33,'Inputs'!$B$29+'Inputs'!$B$31+'Inputs'!$B$32,'Inputs'!$B$30+'Inputs'!$B$31+'Inputs'!$B$32)/1000+'Inputs'!$B$21+'Inputs'!$B$7+'Inputs'!$B$10)+'Inputs'!$B$9)/SQRT((((524-43)*MAX('Inputs'!$B$33,'Inputs'!$B$29+'Inputs'!$B$31+'Inputs'!$B$32,'Inputs'!$B$30+'Inputs'!$B$31+'Inputs'!$B$32)/1000+'Inputs'!$B$21+'Inputs'!$B$7+'Inputs'!$B$10)+'Inputs'!$B$9)^2+('Inputs'!$B$8/2)^2)-(((524-43)*MAX('Inputs'!$B$33,'Inputs'!$B$29+'Inputs'!$B$31+'Inputs'!$B$32,'Inputs'!$B$30+'Inputs'!$B$31+'Inputs'!$B$32)/1000+'Inputs'!$B$21+'Inputs'!$B$7+'Inputs'!$B$10))/SQRT((((524-43)*MAX('Inputs'!$B$33,'Inputs'!$B$29+'Inputs'!$B$31+'Inputs'!$B$32,'Inputs'!$B$30+'Inputs'!$B$31+'Inputs'!$B$32)/1000+'Inputs'!$B$21+'Inputs'!$B$7+'Inputs'!$B$10))^2+('Inputs'!$B$8/2)^2))))*'Results'!$B$8)+'Inputs'!$B$28*ABS((('Results'!B7*(1+'Inputs'!$B$24)*(0.5*((((524-43)*MAX('Inputs'!$B$33,'Inputs'!$B$29+'Inputs'!$B$31+'Inputs'!$B$32,'Inputs'!$B$30+'Inputs'!$B$31+'Inputs'!$B$32)/1000+'Inputs'!$B$21)+'Inputs'!$B$7)/SQRT((((524-43)*MAX('Inputs'!$B$33,'Inputs'!$B$29+'Inputs'!$B$31+'Inputs'!$B$32,'Inputs'!$B$30+'Inputs'!$B$31+'Inputs'!$B$32)/1000+'Inputs'!$B$21)+'Inputs'!$B$7)^2+('Inputs'!$B$6/2)^2)-(((524-43)*MAX('Inputs'!$B$33,'Inputs'!$B$29+'Inputs'!$B$31+'Inputs'!$B$32,'Inputs'!$B$30+'Inputs'!$B$31+'Inputs'!$B$32)/1000+'Inputs'!$B$21))/SQRT((((524-43)*MAX('Inputs'!$B$33,'Inputs'!$B$29+'Inputs'!$B$31+'Inputs'!$B$32,'Inputs'!$B$30+'Inputs'!$B$31+'Inputs'!$B$32)/1000+'Inputs'!$B$21))^2+('Inputs'!$B$6/2)^2)))-'Results'!C7*(1-'Inputs'!$B$24)*(0.5*((((524-43)*MAX('Inputs'!$B$33,'Inputs'!$B$29+'Inputs'!$B$31+'Inputs'!$B$32,'Inputs'!$B$30+'Inputs'!$B$31+'Inputs'!$B$32)/1000+'Inputs'!$B$21+'Inputs'!$B$7+'Inputs'!$B$10)+'Inputs'!$B$9)/SQRT((((524-43)*MAX('Inputs'!$B$33,'Inputs'!$B$29+'Inputs'!$B$31+'Inputs'!$B$32,'Inputs'!$B$30+'Inputs'!$B$31+'Inputs'!$B$32)/1000+'Inputs'!$B$21+'Inputs'!$B$7+'Inputs'!$B$10)+'Inputs'!$B$9)^2+('Inputs'!$B$8/2)^2)-(((524-43)*MAX('Inputs'!$B$33,'Inputs'!$B$29+'Inputs'!$B$31+'Inputs'!$B$32,'Inputs'!$B$30+'Inputs'!$B$31+'Inputs'!$B$32)/1000+'Inputs'!$B$21+'Inputs'!$B$7+'Inputs'!$B$10))/SQRT((((524-43)*MAX('Inputs'!$B$33,'Inputs'!$B$29+'Inputs'!$B$31+'Inputs'!$B$32,'Inputs'!$B$30+'Inputs'!$B$31+'Inputs'!$B$32)/1000+'Inputs'!$B$21+'Inputs'!$B$7+'Inputs'!$B$10))^2+('Inputs'!$B$8/2)^2))))*'Results'!$B$8))),"")</x:f>
        <x:v>5.337441971036343</x:v>
      </x:c>
      <x:c r="M524" t="n">
        <x:f>IF(AND(ISNUMBER('Results'!C7),ISNUMBER('Results'!B7),ISNUMBER('Results'!$B$8),ISNUMBER('Inputs'!$B$6),ISNUMBER('Inputs'!$B$7),ISNUMBER('Inputs'!$B$8),ISNUMBER('Inputs'!$B$9),ISNUMBER('Inputs'!$B$10),ISNUMBER('Inputs'!$B$21),ISNUMBER('Inputs'!$B$24),ISNUMBER('Inputs'!$B$28)),(('Results'!C7*(0.5*((((524-43)*MAX('Inputs'!$B$33,'Inputs'!$B$29+'Inputs'!$B$31+'Inputs'!$B$32,'Inputs'!$B$30+'Inputs'!$B$31+'Inputs'!$B$32)/1000+'Inputs'!$B$21)+'Inputs'!$B$9)/SQRT((((524-43)*MAX('Inputs'!$B$33,'Inputs'!$B$29+'Inputs'!$B$31+'Inputs'!$B$32,'Inputs'!$B$30+'Inputs'!$B$31+'Inputs'!$B$32)/1000+'Inputs'!$B$21)+'Inputs'!$B$9)^2+('Inputs'!$B$8/2)^2)-(((524-43)*MAX('Inputs'!$B$33,'Inputs'!$B$29+'Inputs'!$B$31+'Inputs'!$B$32,'Inputs'!$B$30+'Inputs'!$B$31+'Inputs'!$B$32)/1000+'Inputs'!$B$21))/SQRT((((524-43)*MAX('Inputs'!$B$33,'Inputs'!$B$29+'Inputs'!$B$31+'Inputs'!$B$32,'Inputs'!$B$30+'Inputs'!$B$31+'Inputs'!$B$32)/1000+'Inputs'!$B$21))^2+('Inputs'!$B$8/2)^2)))-'Results'!B7*(0.5*((((524-43)*MAX('Inputs'!$B$33,'Inputs'!$B$29+'Inputs'!$B$31+'Inputs'!$B$32,'Inputs'!$B$30+'Inputs'!$B$31+'Inputs'!$B$32)/1000+'Inputs'!$B$21+'Inputs'!$B$9+'Inputs'!$B$10)+'Inputs'!$B$7)/SQRT((((524-43)*MAX('Inputs'!$B$33,'Inputs'!$B$29+'Inputs'!$B$31+'Inputs'!$B$32,'Inputs'!$B$30+'Inputs'!$B$31+'Inputs'!$B$32)/1000+'Inputs'!$B$21+'Inputs'!$B$9+'Inputs'!$B$10)+'Inputs'!$B$7)^2+('Inputs'!$B$6/2)^2)-(((524-43)*MAX('Inputs'!$B$33,'Inputs'!$B$29+'Inputs'!$B$31+'Inputs'!$B$32,'Inputs'!$B$30+'Inputs'!$B$31+'Inputs'!$B$32)/1000+'Inputs'!$B$21+'Inputs'!$B$9+'Inputs'!$B$10))/SQRT((((524-43)*MAX('Inputs'!$B$33,'Inputs'!$B$29+'Inputs'!$B$31+'Inputs'!$B$32,'Inputs'!$B$30+'Inputs'!$B$31+'Inputs'!$B$32)/1000+'Inputs'!$B$21+'Inputs'!$B$9+'Inputs'!$B$10))^2+('Inputs'!$B$6/2)^2))))*'Results'!$B$8),"")</x:f>
        <x:v>4.45298128063073</x:v>
      </x:c>
      <x:c r="N524" t="n">
        <x:f>IF(AND(ISNUMBER('Results'!C7),ISNUMBER('Results'!B7),ISNUMBER('Results'!$B$8),ISNUMBER('Inputs'!$B$6),ISNUMBER('Inputs'!$B$7),ISNUMBER('Inputs'!$B$8),ISNUMBER('Inputs'!$B$9),ISNUMBER('Inputs'!$B$10),ISNUMBER('Inputs'!$B$21),ISNUMBER('Inputs'!$B$24),ISNUMBER('Inputs'!$B$28)),((('Results'!C7*(1-'Inputs'!$B$24)*(0.5*((((524-43)*MAX('Inputs'!$B$33,'Inputs'!$B$29+'Inputs'!$B$31+'Inputs'!$B$32,'Inputs'!$B$30+'Inputs'!$B$31+'Inputs'!$B$32)/1000+'Inputs'!$B$21)+'Inputs'!$B$9)/SQRT((((524-43)*MAX('Inputs'!$B$33,'Inputs'!$B$29+'Inputs'!$B$31+'Inputs'!$B$32,'Inputs'!$B$30+'Inputs'!$B$31+'Inputs'!$B$32)/1000+'Inputs'!$B$21)+'Inputs'!$B$9)^2+('Inputs'!$B$8/2)^2)-(((524-43)*MAX('Inputs'!$B$33,'Inputs'!$B$29+'Inputs'!$B$31+'Inputs'!$B$32,'Inputs'!$B$30+'Inputs'!$B$31+'Inputs'!$B$32)/1000+'Inputs'!$B$21))/SQRT((((524-43)*MAX('Inputs'!$B$33,'Inputs'!$B$29+'Inputs'!$B$31+'Inputs'!$B$32,'Inputs'!$B$30+'Inputs'!$B$31+'Inputs'!$B$32)/1000+'Inputs'!$B$21))^2+('Inputs'!$B$8/2)^2)))-'Results'!B7*(1+'Inputs'!$B$24)*(0.5*((((524-43)*MAX('Inputs'!$B$33,'Inputs'!$B$29+'Inputs'!$B$31+'Inputs'!$B$32,'Inputs'!$B$30+'Inputs'!$B$31+'Inputs'!$B$32)/1000+'Inputs'!$B$21+'Inputs'!$B$9+'Inputs'!$B$10)+'Inputs'!$B$7)/SQRT((((524-43)*MAX('Inputs'!$B$33,'Inputs'!$B$29+'Inputs'!$B$31+'Inputs'!$B$32,'Inputs'!$B$30+'Inputs'!$B$31+'Inputs'!$B$32)/1000+'Inputs'!$B$21+'Inputs'!$B$9+'Inputs'!$B$10)+'Inputs'!$B$7)^2+('Inputs'!$B$6/2)^2)-(((524-43)*MAX('Inputs'!$B$33,'Inputs'!$B$29+'Inputs'!$B$31+'Inputs'!$B$32,'Inputs'!$B$30+'Inputs'!$B$31+'Inputs'!$B$32)/1000+'Inputs'!$B$21+'Inputs'!$B$9+'Inputs'!$B$10))/SQRT((((524-43)*MAX('Inputs'!$B$33,'Inputs'!$B$29+'Inputs'!$B$31+'Inputs'!$B$32,'Inputs'!$B$30+'Inputs'!$B$31+'Inputs'!$B$32)/1000+'Inputs'!$B$21+'Inputs'!$B$9+'Inputs'!$B$10))^2+('Inputs'!$B$6/2)^2))))*'Results'!$B$8)-'Inputs'!$B$28*ABS((('Results'!C7*(1-'Inputs'!$B$24)*(0.5*((((524-43)*MAX('Inputs'!$B$33,'Inputs'!$B$29+'Inputs'!$B$31+'Inputs'!$B$32,'Inputs'!$B$30+'Inputs'!$B$31+'Inputs'!$B$32)/1000+'Inputs'!$B$21)+'Inputs'!$B$9)/SQRT((((524-43)*MAX('Inputs'!$B$33,'Inputs'!$B$29+'Inputs'!$B$31+'Inputs'!$B$32,'Inputs'!$B$30+'Inputs'!$B$31+'Inputs'!$B$32)/1000+'Inputs'!$B$21)+'Inputs'!$B$9)^2+('Inputs'!$B$8/2)^2)-(((524-43)*MAX('Inputs'!$B$33,'Inputs'!$B$29+'Inputs'!$B$31+'Inputs'!$B$32,'Inputs'!$B$30+'Inputs'!$B$31+'Inputs'!$B$32)/1000+'Inputs'!$B$21))/SQRT((((524-43)*MAX('Inputs'!$B$33,'Inputs'!$B$29+'Inputs'!$B$31+'Inputs'!$B$32,'Inputs'!$B$30+'Inputs'!$B$31+'Inputs'!$B$32)/1000+'Inputs'!$B$21))^2+('Inputs'!$B$8/2)^2)))-'Results'!B7*(1+'Inputs'!$B$24)*(0.5*((((524-43)*MAX('Inputs'!$B$33,'Inputs'!$B$29+'Inputs'!$B$31+'Inputs'!$B$32,'Inputs'!$B$30+'Inputs'!$B$31+'Inputs'!$B$32)/1000+'Inputs'!$B$21+'Inputs'!$B$9+'Inputs'!$B$10)+'Inputs'!$B$7)/SQRT((((524-43)*MAX('Inputs'!$B$33,'Inputs'!$B$29+'Inputs'!$B$31+'Inputs'!$B$32,'Inputs'!$B$30+'Inputs'!$B$31+'Inputs'!$B$32)/1000+'Inputs'!$B$21+'Inputs'!$B$9+'Inputs'!$B$10)+'Inputs'!$B$7)^2+('Inputs'!$B$6/2)^2)-(((524-43)*MAX('Inputs'!$B$33,'Inputs'!$B$29+'Inputs'!$B$31+'Inputs'!$B$32,'Inputs'!$B$30+'Inputs'!$B$31+'Inputs'!$B$32)/1000+'Inputs'!$B$21+'Inputs'!$B$9+'Inputs'!$B$10))/SQRT((((524-43)*MAX('Inputs'!$B$33,'Inputs'!$B$29+'Inputs'!$B$31+'Inputs'!$B$32,'Inputs'!$B$30+'Inputs'!$B$31+'Inputs'!$B$32)/1000+'Inputs'!$B$21+'Inputs'!$B$9+'Inputs'!$B$10))^2+('Inputs'!$B$6/2)^2))))*'Results'!$B$8))),"")</x:f>
        <x:v>3.9337709381923016</x:v>
      </x:c>
      <x:c r="O524" t="n">
        <x:f>IF(AND(ISNUMBER('Results'!C7),ISNUMBER('Results'!B7),ISNUMBER('Results'!$B$8),ISNUMBER('Inputs'!$B$6),ISNUMBER('Inputs'!$B$7),ISNUMBER('Inputs'!$B$8),ISNUMBER('Inputs'!$B$9),ISNUMBER('Inputs'!$B$10),ISNUMBER('Inputs'!$B$21),ISNUMBER('Inputs'!$B$24),ISNUMBER('Inputs'!$B$28)),((('Results'!C7*(1+'Inputs'!$B$24)*(0.5*((((524-43)*MAX('Inputs'!$B$33,'Inputs'!$B$29+'Inputs'!$B$31+'Inputs'!$B$32,'Inputs'!$B$30+'Inputs'!$B$31+'Inputs'!$B$32)/1000+'Inputs'!$B$21)+'Inputs'!$B$9)/SQRT((((524-43)*MAX('Inputs'!$B$33,'Inputs'!$B$29+'Inputs'!$B$31+'Inputs'!$B$32,'Inputs'!$B$30+'Inputs'!$B$31+'Inputs'!$B$32)/1000+'Inputs'!$B$21)+'Inputs'!$B$9)^2+('Inputs'!$B$8/2)^2)-(((524-43)*MAX('Inputs'!$B$33,'Inputs'!$B$29+'Inputs'!$B$31+'Inputs'!$B$32,'Inputs'!$B$30+'Inputs'!$B$31+'Inputs'!$B$32)/1000+'Inputs'!$B$21))/SQRT((((524-43)*MAX('Inputs'!$B$33,'Inputs'!$B$29+'Inputs'!$B$31+'Inputs'!$B$32,'Inputs'!$B$30+'Inputs'!$B$31+'Inputs'!$B$32)/1000+'Inputs'!$B$21))^2+('Inputs'!$B$8/2)^2)))-'Results'!B7*(1-'Inputs'!$B$24)*(0.5*((((524-43)*MAX('Inputs'!$B$33,'Inputs'!$B$29+'Inputs'!$B$31+'Inputs'!$B$32,'Inputs'!$B$30+'Inputs'!$B$31+'Inputs'!$B$32)/1000+'Inputs'!$B$21+'Inputs'!$B$9+'Inputs'!$B$10)+'Inputs'!$B$7)/SQRT((((524-43)*MAX('Inputs'!$B$33,'Inputs'!$B$29+'Inputs'!$B$31+'Inputs'!$B$32,'Inputs'!$B$30+'Inputs'!$B$31+'Inputs'!$B$32)/1000+'Inputs'!$B$21+'Inputs'!$B$9+'Inputs'!$B$10)+'Inputs'!$B$7)^2+('Inputs'!$B$6/2)^2)-(((524-43)*MAX('Inputs'!$B$33,'Inputs'!$B$29+'Inputs'!$B$31+'Inputs'!$B$32,'Inputs'!$B$30+'Inputs'!$B$31+'Inputs'!$B$32)/1000+'Inputs'!$B$21+'Inputs'!$B$9+'Inputs'!$B$10))/SQRT((((524-43)*MAX('Inputs'!$B$33,'Inputs'!$B$29+'Inputs'!$B$31+'Inputs'!$B$32,'Inputs'!$B$30+'Inputs'!$B$31+'Inputs'!$B$32)/1000+'Inputs'!$B$21+'Inputs'!$B$9+'Inputs'!$B$10))^2+('Inputs'!$B$6/2)^2))))*'Results'!$B$8)+'Inputs'!$B$28*ABS((('Results'!C7*(1+'Inputs'!$B$24)*(0.5*((((524-43)*MAX('Inputs'!$B$33,'Inputs'!$B$29+'Inputs'!$B$31+'Inputs'!$B$32,'Inputs'!$B$30+'Inputs'!$B$31+'Inputs'!$B$32)/1000+'Inputs'!$B$21)+'Inputs'!$B$9)/SQRT((((524-43)*MAX('Inputs'!$B$33,'Inputs'!$B$29+'Inputs'!$B$31+'Inputs'!$B$32,'Inputs'!$B$30+'Inputs'!$B$31+'Inputs'!$B$32)/1000+'Inputs'!$B$21)+'Inputs'!$B$9)^2+('Inputs'!$B$8/2)^2)-(((524-43)*MAX('Inputs'!$B$33,'Inputs'!$B$29+'Inputs'!$B$31+'Inputs'!$B$32,'Inputs'!$B$30+'Inputs'!$B$31+'Inputs'!$B$32)/1000+'Inputs'!$B$21))/SQRT((((524-43)*MAX('Inputs'!$B$33,'Inputs'!$B$29+'Inputs'!$B$31+'Inputs'!$B$32,'Inputs'!$B$30+'Inputs'!$B$31+'Inputs'!$B$32)/1000+'Inputs'!$B$21))^2+('Inputs'!$B$8/2)^2)))-'Results'!B7*(1-'Inputs'!$B$24)*(0.5*((((524-43)*MAX('Inputs'!$B$33,'Inputs'!$B$29+'Inputs'!$B$31+'Inputs'!$B$32,'Inputs'!$B$30+'Inputs'!$B$31+'Inputs'!$B$32)/1000+'Inputs'!$B$21+'Inputs'!$B$9+'Inputs'!$B$10)+'Inputs'!$B$7)/SQRT((((524-43)*MAX('Inputs'!$B$33,'Inputs'!$B$29+'Inputs'!$B$31+'Inputs'!$B$32,'Inputs'!$B$30+'Inputs'!$B$31+'Inputs'!$B$32)/1000+'Inputs'!$B$21+'Inputs'!$B$9+'Inputs'!$B$10)+'Inputs'!$B$7)^2+('Inputs'!$B$6/2)^2)-(((524-43)*MAX('Inputs'!$B$33,'Inputs'!$B$29+'Inputs'!$B$31+'Inputs'!$B$32,'Inputs'!$B$30+'Inputs'!$B$31+'Inputs'!$B$32)/1000+'Inputs'!$B$21+'Inputs'!$B$9+'Inputs'!$B$10))/SQRT((((524-43)*MAX('Inputs'!$B$33,'Inputs'!$B$29+'Inputs'!$B$31+'Inputs'!$B$32,'Inputs'!$B$30+'Inputs'!$B$31+'Inputs'!$B$32)/1000+'Inputs'!$B$21+'Inputs'!$B$9+'Inputs'!$B$10))^2+('Inputs'!$B$6/2)^2))))*'Results'!$B$8))),"")</x:f>
        <x:v>5.003408599743567</x:v>
      </x:c>
      <x:c r="P524" t="n">
        <x:f>IF(AND(MAX(J524,J523)&gt;0,J524&gt;J523+0.00000001),1,0)</x:f>
        <x:v>0</x:v>
      </x:c>
      <x:c r="Q524" t="n">
        <x:f>IF(AND(MAX(K524,K523)&gt;0,K524&gt;K523+0.00000001),1,0)</x:f>
        <x:v>0</x:v>
      </x:c>
      <x:c r="R524" t="n">
        <x:f>IF(AND(MAX(L524,L523)&gt;0,L524&gt;L523+0.00000001),1,0)</x:f>
        <x:v>0</x:v>
      </x:c>
      <x:c r="S524" t="n">
        <x:f>IF(AND(MAX(M524,M523)&gt;0,M524&gt;M523+0.00000001),1,0)</x:f>
        <x:v>0</x:v>
      </x:c>
      <x:c r="T524" t="n">
        <x:f>IF(AND(MAX(N524,N523)&gt;0,N524&gt;N523+0.00000001),1,0)</x:f>
        <x:v>0</x:v>
      </x:c>
      <x:c r="U524" t="n">
        <x:f>IF(AND(MAX(O524,O523)&gt;0,O524&gt;O523+0.00000001),1,0)</x:f>
        <x:v>0</x:v>
      </x:c>
    </x:row>
    <x:row r="525">
      <x:c r="J525" t="n">
        <x:f>IF(AND(ISNUMBER('Results'!B7),ISNUMBER('Results'!C7),ISNUMBER('Results'!$B$8),ISNUMBER('Inputs'!$B$6),ISNUMBER('Inputs'!$B$7),ISNUMBER('Inputs'!$B$8),ISNUMBER('Inputs'!$B$9),ISNUMBER('Inputs'!$B$10),ISNUMBER('Inputs'!$B$21),ISNUMBER('Inputs'!$B$24),ISNUMBER('Inputs'!$B$28)),(('Results'!B7*(0.5*((((525-43)*MAX('Inputs'!$B$33,'Inputs'!$B$29+'Inputs'!$B$31+'Inputs'!$B$32,'Inputs'!$B$30+'Inputs'!$B$31+'Inputs'!$B$32)/1000+'Inputs'!$B$21)+'Inputs'!$B$7)/SQRT((((525-43)*MAX('Inputs'!$B$33,'Inputs'!$B$29+'Inputs'!$B$31+'Inputs'!$B$32,'Inputs'!$B$30+'Inputs'!$B$31+'Inputs'!$B$32)/1000+'Inputs'!$B$21)+'Inputs'!$B$7)^2+('Inputs'!$B$6/2)^2)-(((525-43)*MAX('Inputs'!$B$33,'Inputs'!$B$29+'Inputs'!$B$31+'Inputs'!$B$32,'Inputs'!$B$30+'Inputs'!$B$31+'Inputs'!$B$32)/1000+'Inputs'!$B$21))/SQRT((((525-43)*MAX('Inputs'!$B$33,'Inputs'!$B$29+'Inputs'!$B$31+'Inputs'!$B$32,'Inputs'!$B$30+'Inputs'!$B$31+'Inputs'!$B$32)/1000+'Inputs'!$B$21))^2+('Inputs'!$B$6/2)^2)))-'Results'!C7*(0.5*((((525-43)*MAX('Inputs'!$B$33,'Inputs'!$B$29+'Inputs'!$B$31+'Inputs'!$B$32,'Inputs'!$B$30+'Inputs'!$B$31+'Inputs'!$B$32)/1000+'Inputs'!$B$21+'Inputs'!$B$7+'Inputs'!$B$10)+'Inputs'!$B$9)/SQRT((((525-43)*MAX('Inputs'!$B$33,'Inputs'!$B$29+'Inputs'!$B$31+'Inputs'!$B$32,'Inputs'!$B$30+'Inputs'!$B$31+'Inputs'!$B$32)/1000+'Inputs'!$B$21+'Inputs'!$B$7+'Inputs'!$B$10)+'Inputs'!$B$9)^2+('Inputs'!$B$8/2)^2)-(((525-43)*MAX('Inputs'!$B$33,'Inputs'!$B$29+'Inputs'!$B$31+'Inputs'!$B$32,'Inputs'!$B$30+'Inputs'!$B$31+'Inputs'!$B$32)/1000+'Inputs'!$B$21+'Inputs'!$B$7+'Inputs'!$B$10))/SQRT((((525-43)*MAX('Inputs'!$B$33,'Inputs'!$B$29+'Inputs'!$B$31+'Inputs'!$B$32,'Inputs'!$B$30+'Inputs'!$B$31+'Inputs'!$B$32)/1000+'Inputs'!$B$21+'Inputs'!$B$7+'Inputs'!$B$10))^2+('Inputs'!$B$8/2)^2))))*'Results'!$B$8),"")</x:f>
        <x:v>4.735711607648442</x:v>
      </x:c>
      <x:c r="K525" t="n">
        <x:f>IF(AND(ISNUMBER('Results'!B7),ISNUMBER('Results'!C7),ISNUMBER('Results'!$B$8),ISNUMBER('Inputs'!$B$6),ISNUMBER('Inputs'!$B$7),ISNUMBER('Inputs'!$B$8),ISNUMBER('Inputs'!$B$9),ISNUMBER('Inputs'!$B$10),ISNUMBER('Inputs'!$B$21),ISNUMBER('Inputs'!$B$24),ISNUMBER('Inputs'!$B$28)),((('Results'!B7*(1-'Inputs'!$B$24)*(0.5*((((525-43)*MAX('Inputs'!$B$33,'Inputs'!$B$29+'Inputs'!$B$31+'Inputs'!$B$32,'Inputs'!$B$30+'Inputs'!$B$31+'Inputs'!$B$32)/1000+'Inputs'!$B$21)+'Inputs'!$B$7)/SQRT((((525-43)*MAX('Inputs'!$B$33,'Inputs'!$B$29+'Inputs'!$B$31+'Inputs'!$B$32,'Inputs'!$B$30+'Inputs'!$B$31+'Inputs'!$B$32)/1000+'Inputs'!$B$21)+'Inputs'!$B$7)^2+('Inputs'!$B$6/2)^2)-(((525-43)*MAX('Inputs'!$B$33,'Inputs'!$B$29+'Inputs'!$B$31+'Inputs'!$B$32,'Inputs'!$B$30+'Inputs'!$B$31+'Inputs'!$B$32)/1000+'Inputs'!$B$21))/SQRT((((525-43)*MAX('Inputs'!$B$33,'Inputs'!$B$29+'Inputs'!$B$31+'Inputs'!$B$32,'Inputs'!$B$30+'Inputs'!$B$31+'Inputs'!$B$32)/1000+'Inputs'!$B$21))^2+('Inputs'!$B$6/2)^2)))-'Results'!C7*(1+'Inputs'!$B$24)*(0.5*((((525-43)*MAX('Inputs'!$B$33,'Inputs'!$B$29+'Inputs'!$B$31+'Inputs'!$B$32,'Inputs'!$B$30+'Inputs'!$B$31+'Inputs'!$B$32)/1000+'Inputs'!$B$21+'Inputs'!$B$7+'Inputs'!$B$10)+'Inputs'!$B$9)/SQRT((((525-43)*MAX('Inputs'!$B$33,'Inputs'!$B$29+'Inputs'!$B$31+'Inputs'!$B$32,'Inputs'!$B$30+'Inputs'!$B$31+'Inputs'!$B$32)/1000+'Inputs'!$B$21+'Inputs'!$B$7+'Inputs'!$B$10)+'Inputs'!$B$9)^2+('Inputs'!$B$8/2)^2)-(((525-43)*MAX('Inputs'!$B$33,'Inputs'!$B$29+'Inputs'!$B$31+'Inputs'!$B$32,'Inputs'!$B$30+'Inputs'!$B$31+'Inputs'!$B$32)/1000+'Inputs'!$B$21+'Inputs'!$B$7+'Inputs'!$B$10))/SQRT((((525-43)*MAX('Inputs'!$B$33,'Inputs'!$B$29+'Inputs'!$B$31+'Inputs'!$B$32,'Inputs'!$B$30+'Inputs'!$B$31+'Inputs'!$B$32)/1000+'Inputs'!$B$21+'Inputs'!$B$7+'Inputs'!$B$10))^2+('Inputs'!$B$8/2)^2))))*'Results'!$B$8)-'Inputs'!$B$28*ABS((('Results'!B7*(1-'Inputs'!$B$24)*(0.5*((((525-43)*MAX('Inputs'!$B$33,'Inputs'!$B$29+'Inputs'!$B$31+'Inputs'!$B$32,'Inputs'!$B$30+'Inputs'!$B$31+'Inputs'!$B$32)/1000+'Inputs'!$B$21)+'Inputs'!$B$7)/SQRT((((525-43)*MAX('Inputs'!$B$33,'Inputs'!$B$29+'Inputs'!$B$31+'Inputs'!$B$32,'Inputs'!$B$30+'Inputs'!$B$31+'Inputs'!$B$32)/1000+'Inputs'!$B$21)+'Inputs'!$B$7)^2+('Inputs'!$B$6/2)^2)-(((525-43)*MAX('Inputs'!$B$33,'Inputs'!$B$29+'Inputs'!$B$31+'Inputs'!$B$32,'Inputs'!$B$30+'Inputs'!$B$31+'Inputs'!$B$32)/1000+'Inputs'!$B$21))/SQRT((((525-43)*MAX('Inputs'!$B$33,'Inputs'!$B$29+'Inputs'!$B$31+'Inputs'!$B$32,'Inputs'!$B$30+'Inputs'!$B$31+'Inputs'!$B$32)/1000+'Inputs'!$B$21))^2+('Inputs'!$B$6/2)^2)))-'Results'!C7*(1+'Inputs'!$B$24)*(0.5*((((525-43)*MAX('Inputs'!$B$33,'Inputs'!$B$29+'Inputs'!$B$31+'Inputs'!$B$32,'Inputs'!$B$30+'Inputs'!$B$31+'Inputs'!$B$32)/1000+'Inputs'!$B$21+'Inputs'!$B$7+'Inputs'!$B$10)+'Inputs'!$B$9)/SQRT((((525-43)*MAX('Inputs'!$B$33,'Inputs'!$B$29+'Inputs'!$B$31+'Inputs'!$B$32,'Inputs'!$B$30+'Inputs'!$B$31+'Inputs'!$B$32)/1000+'Inputs'!$B$21+'Inputs'!$B$7+'Inputs'!$B$10)+'Inputs'!$B$9)^2+('Inputs'!$B$8/2)^2)-(((525-43)*MAX('Inputs'!$B$33,'Inputs'!$B$29+'Inputs'!$B$31+'Inputs'!$B$32,'Inputs'!$B$30+'Inputs'!$B$31+'Inputs'!$B$32)/1000+'Inputs'!$B$21+'Inputs'!$B$7+'Inputs'!$B$10))/SQRT((((525-43)*MAX('Inputs'!$B$33,'Inputs'!$B$29+'Inputs'!$B$31+'Inputs'!$B$32,'Inputs'!$B$30+'Inputs'!$B$31+'Inputs'!$B$32)/1000+'Inputs'!$B$21+'Inputs'!$B$7+'Inputs'!$B$10))^2+('Inputs'!$B$8/2)^2))))*'Results'!$B$8))),"")</x:f>
        <x:v>4.202225910686101</x:v>
      </x:c>
      <x:c r="L525" t="n">
        <x:f>IF(AND(ISNUMBER('Results'!B7),ISNUMBER('Results'!C7),ISNUMBER('Results'!$B$8),ISNUMBER('Inputs'!$B$6),ISNUMBER('Inputs'!$B$7),ISNUMBER('Inputs'!$B$8),ISNUMBER('Inputs'!$B$9),ISNUMBER('Inputs'!$B$10),ISNUMBER('Inputs'!$B$21),ISNUMBER('Inputs'!$B$24),ISNUMBER('Inputs'!$B$28)),((('Results'!B7*(1+'Inputs'!$B$24)*(0.5*((((525-43)*MAX('Inputs'!$B$33,'Inputs'!$B$29+'Inputs'!$B$31+'Inputs'!$B$32,'Inputs'!$B$30+'Inputs'!$B$31+'Inputs'!$B$32)/1000+'Inputs'!$B$21)+'Inputs'!$B$7)/SQRT((((525-43)*MAX('Inputs'!$B$33,'Inputs'!$B$29+'Inputs'!$B$31+'Inputs'!$B$32,'Inputs'!$B$30+'Inputs'!$B$31+'Inputs'!$B$32)/1000+'Inputs'!$B$21)+'Inputs'!$B$7)^2+('Inputs'!$B$6/2)^2)-(((525-43)*MAX('Inputs'!$B$33,'Inputs'!$B$29+'Inputs'!$B$31+'Inputs'!$B$32,'Inputs'!$B$30+'Inputs'!$B$31+'Inputs'!$B$32)/1000+'Inputs'!$B$21))/SQRT((((525-43)*MAX('Inputs'!$B$33,'Inputs'!$B$29+'Inputs'!$B$31+'Inputs'!$B$32,'Inputs'!$B$30+'Inputs'!$B$31+'Inputs'!$B$32)/1000+'Inputs'!$B$21))^2+('Inputs'!$B$6/2)^2)))-'Results'!C7*(1-'Inputs'!$B$24)*(0.5*((((525-43)*MAX('Inputs'!$B$33,'Inputs'!$B$29+'Inputs'!$B$31+'Inputs'!$B$32,'Inputs'!$B$30+'Inputs'!$B$31+'Inputs'!$B$32)/1000+'Inputs'!$B$21+'Inputs'!$B$7+'Inputs'!$B$10)+'Inputs'!$B$9)/SQRT((((525-43)*MAX('Inputs'!$B$33,'Inputs'!$B$29+'Inputs'!$B$31+'Inputs'!$B$32,'Inputs'!$B$30+'Inputs'!$B$31+'Inputs'!$B$32)/1000+'Inputs'!$B$21+'Inputs'!$B$7+'Inputs'!$B$10)+'Inputs'!$B$9)^2+('Inputs'!$B$8/2)^2)-(((525-43)*MAX('Inputs'!$B$33,'Inputs'!$B$29+'Inputs'!$B$31+'Inputs'!$B$32,'Inputs'!$B$30+'Inputs'!$B$31+'Inputs'!$B$32)/1000+'Inputs'!$B$21+'Inputs'!$B$7+'Inputs'!$B$10))/SQRT((((525-43)*MAX('Inputs'!$B$33,'Inputs'!$B$29+'Inputs'!$B$31+'Inputs'!$B$32,'Inputs'!$B$30+'Inputs'!$B$31+'Inputs'!$B$32)/1000+'Inputs'!$B$21+'Inputs'!$B$7+'Inputs'!$B$10))^2+('Inputs'!$B$8/2)^2))))*'Results'!$B$8)+'Inputs'!$B$28*ABS((('Results'!B7*(1+'Inputs'!$B$24)*(0.5*((((525-43)*MAX('Inputs'!$B$33,'Inputs'!$B$29+'Inputs'!$B$31+'Inputs'!$B$32,'Inputs'!$B$30+'Inputs'!$B$31+'Inputs'!$B$32)/1000+'Inputs'!$B$21)+'Inputs'!$B$7)/SQRT((((525-43)*MAX('Inputs'!$B$33,'Inputs'!$B$29+'Inputs'!$B$31+'Inputs'!$B$32,'Inputs'!$B$30+'Inputs'!$B$31+'Inputs'!$B$32)/1000+'Inputs'!$B$21)+'Inputs'!$B$7)^2+('Inputs'!$B$6/2)^2)-(((525-43)*MAX('Inputs'!$B$33,'Inputs'!$B$29+'Inputs'!$B$31+'Inputs'!$B$32,'Inputs'!$B$30+'Inputs'!$B$31+'Inputs'!$B$32)/1000+'Inputs'!$B$21))/SQRT((((525-43)*MAX('Inputs'!$B$33,'Inputs'!$B$29+'Inputs'!$B$31+'Inputs'!$B$32,'Inputs'!$B$30+'Inputs'!$B$31+'Inputs'!$B$32)/1000+'Inputs'!$B$21))^2+('Inputs'!$B$6/2)^2)))-'Results'!C7*(1-'Inputs'!$B$24)*(0.5*((((525-43)*MAX('Inputs'!$B$33,'Inputs'!$B$29+'Inputs'!$B$31+'Inputs'!$B$32,'Inputs'!$B$30+'Inputs'!$B$31+'Inputs'!$B$32)/1000+'Inputs'!$B$21+'Inputs'!$B$7+'Inputs'!$B$10)+'Inputs'!$B$9)/SQRT((((525-43)*MAX('Inputs'!$B$33,'Inputs'!$B$29+'Inputs'!$B$31+'Inputs'!$B$32,'Inputs'!$B$30+'Inputs'!$B$31+'Inputs'!$B$32)/1000+'Inputs'!$B$21+'Inputs'!$B$7+'Inputs'!$B$10)+'Inputs'!$B$9)^2+('Inputs'!$B$8/2)^2)-(((525-43)*MAX('Inputs'!$B$33,'Inputs'!$B$29+'Inputs'!$B$31+'Inputs'!$B$32,'Inputs'!$B$30+'Inputs'!$B$31+'Inputs'!$B$32)/1000+'Inputs'!$B$21+'Inputs'!$B$7+'Inputs'!$B$10))/SQRT((((525-43)*MAX('Inputs'!$B$33,'Inputs'!$B$29+'Inputs'!$B$31+'Inputs'!$B$32,'Inputs'!$B$30+'Inputs'!$B$31+'Inputs'!$B$32)/1000+'Inputs'!$B$21+'Inputs'!$B$7+'Inputs'!$B$10))^2+('Inputs'!$B$8/2)^2))))*'Results'!$B$8))),"")</x:f>
        <x:v>5.300428895829722</x:v>
      </x:c>
      <x:c r="M525" t="n">
        <x:f>IF(AND(ISNUMBER('Results'!C7),ISNUMBER('Results'!B7),ISNUMBER('Results'!$B$8),ISNUMBER('Inputs'!$B$6),ISNUMBER('Inputs'!$B$7),ISNUMBER('Inputs'!$B$8),ISNUMBER('Inputs'!$B$9),ISNUMBER('Inputs'!$B$10),ISNUMBER('Inputs'!$B$21),ISNUMBER('Inputs'!$B$24),ISNUMBER('Inputs'!$B$28)),(('Results'!C7*(0.5*((((525-43)*MAX('Inputs'!$B$33,'Inputs'!$B$29+'Inputs'!$B$31+'Inputs'!$B$32,'Inputs'!$B$30+'Inputs'!$B$31+'Inputs'!$B$32)/1000+'Inputs'!$B$21)+'Inputs'!$B$9)/SQRT((((525-43)*MAX('Inputs'!$B$33,'Inputs'!$B$29+'Inputs'!$B$31+'Inputs'!$B$32,'Inputs'!$B$30+'Inputs'!$B$31+'Inputs'!$B$32)/1000+'Inputs'!$B$21)+'Inputs'!$B$9)^2+('Inputs'!$B$8/2)^2)-(((525-43)*MAX('Inputs'!$B$33,'Inputs'!$B$29+'Inputs'!$B$31+'Inputs'!$B$32,'Inputs'!$B$30+'Inputs'!$B$31+'Inputs'!$B$32)/1000+'Inputs'!$B$21))/SQRT((((525-43)*MAX('Inputs'!$B$33,'Inputs'!$B$29+'Inputs'!$B$31+'Inputs'!$B$32,'Inputs'!$B$30+'Inputs'!$B$31+'Inputs'!$B$32)/1000+'Inputs'!$B$21))^2+('Inputs'!$B$8/2)^2)))-'Results'!B7*(0.5*((((525-43)*MAX('Inputs'!$B$33,'Inputs'!$B$29+'Inputs'!$B$31+'Inputs'!$B$32,'Inputs'!$B$30+'Inputs'!$B$31+'Inputs'!$B$32)/1000+'Inputs'!$B$21+'Inputs'!$B$9+'Inputs'!$B$10)+'Inputs'!$B$7)/SQRT((((525-43)*MAX('Inputs'!$B$33,'Inputs'!$B$29+'Inputs'!$B$31+'Inputs'!$B$32,'Inputs'!$B$30+'Inputs'!$B$31+'Inputs'!$B$32)/1000+'Inputs'!$B$21+'Inputs'!$B$9+'Inputs'!$B$10)+'Inputs'!$B$7)^2+('Inputs'!$B$6/2)^2)-(((525-43)*MAX('Inputs'!$B$33,'Inputs'!$B$29+'Inputs'!$B$31+'Inputs'!$B$32,'Inputs'!$B$30+'Inputs'!$B$31+'Inputs'!$B$32)/1000+'Inputs'!$B$21+'Inputs'!$B$9+'Inputs'!$B$10))/SQRT((((525-43)*MAX('Inputs'!$B$33,'Inputs'!$B$29+'Inputs'!$B$31+'Inputs'!$B$32,'Inputs'!$B$30+'Inputs'!$B$31+'Inputs'!$B$32)/1000+'Inputs'!$B$21+'Inputs'!$B$9+'Inputs'!$B$10))^2+('Inputs'!$B$6/2)^2))))*'Results'!$B$8),"")</x:f>
        <x:v>4.421175270152561</x:v>
      </x:c>
      <x:c r="N525" t="n">
        <x:f>IF(AND(ISNUMBER('Results'!C7),ISNUMBER('Results'!B7),ISNUMBER('Results'!$B$8),ISNUMBER('Inputs'!$B$6),ISNUMBER('Inputs'!$B$7),ISNUMBER('Inputs'!$B$8),ISNUMBER('Inputs'!$B$9),ISNUMBER('Inputs'!$B$10),ISNUMBER('Inputs'!$B$21),ISNUMBER('Inputs'!$B$24),ISNUMBER('Inputs'!$B$28)),((('Results'!C7*(1-'Inputs'!$B$24)*(0.5*((((525-43)*MAX('Inputs'!$B$33,'Inputs'!$B$29+'Inputs'!$B$31+'Inputs'!$B$32,'Inputs'!$B$30+'Inputs'!$B$31+'Inputs'!$B$32)/1000+'Inputs'!$B$21)+'Inputs'!$B$9)/SQRT((((525-43)*MAX('Inputs'!$B$33,'Inputs'!$B$29+'Inputs'!$B$31+'Inputs'!$B$32,'Inputs'!$B$30+'Inputs'!$B$31+'Inputs'!$B$32)/1000+'Inputs'!$B$21)+'Inputs'!$B$9)^2+('Inputs'!$B$8/2)^2)-(((525-43)*MAX('Inputs'!$B$33,'Inputs'!$B$29+'Inputs'!$B$31+'Inputs'!$B$32,'Inputs'!$B$30+'Inputs'!$B$31+'Inputs'!$B$32)/1000+'Inputs'!$B$21))/SQRT((((525-43)*MAX('Inputs'!$B$33,'Inputs'!$B$29+'Inputs'!$B$31+'Inputs'!$B$32,'Inputs'!$B$30+'Inputs'!$B$31+'Inputs'!$B$32)/1000+'Inputs'!$B$21))^2+('Inputs'!$B$8/2)^2)))-'Results'!B7*(1+'Inputs'!$B$24)*(0.5*((((525-43)*MAX('Inputs'!$B$33,'Inputs'!$B$29+'Inputs'!$B$31+'Inputs'!$B$32,'Inputs'!$B$30+'Inputs'!$B$31+'Inputs'!$B$32)/1000+'Inputs'!$B$21+'Inputs'!$B$9+'Inputs'!$B$10)+'Inputs'!$B$7)/SQRT((((525-43)*MAX('Inputs'!$B$33,'Inputs'!$B$29+'Inputs'!$B$31+'Inputs'!$B$32,'Inputs'!$B$30+'Inputs'!$B$31+'Inputs'!$B$32)/1000+'Inputs'!$B$21+'Inputs'!$B$9+'Inputs'!$B$10)+'Inputs'!$B$7)^2+('Inputs'!$B$6/2)^2)-(((525-43)*MAX('Inputs'!$B$33,'Inputs'!$B$29+'Inputs'!$B$31+'Inputs'!$B$32,'Inputs'!$B$30+'Inputs'!$B$31+'Inputs'!$B$32)/1000+'Inputs'!$B$21+'Inputs'!$B$9+'Inputs'!$B$10))/SQRT((((525-43)*MAX('Inputs'!$B$33,'Inputs'!$B$29+'Inputs'!$B$31+'Inputs'!$B$32,'Inputs'!$B$30+'Inputs'!$B$31+'Inputs'!$B$32)/1000+'Inputs'!$B$21+'Inputs'!$B$9+'Inputs'!$B$10))^2+('Inputs'!$B$6/2)^2))))*'Results'!$B$8)-'Inputs'!$B$28*ABS((('Results'!C7*(1-'Inputs'!$B$24)*(0.5*((((525-43)*MAX('Inputs'!$B$33,'Inputs'!$B$29+'Inputs'!$B$31+'Inputs'!$B$32,'Inputs'!$B$30+'Inputs'!$B$31+'Inputs'!$B$32)/1000+'Inputs'!$B$21)+'Inputs'!$B$9)/SQRT((((525-43)*MAX('Inputs'!$B$33,'Inputs'!$B$29+'Inputs'!$B$31+'Inputs'!$B$32,'Inputs'!$B$30+'Inputs'!$B$31+'Inputs'!$B$32)/1000+'Inputs'!$B$21)+'Inputs'!$B$9)^2+('Inputs'!$B$8/2)^2)-(((525-43)*MAX('Inputs'!$B$33,'Inputs'!$B$29+'Inputs'!$B$31+'Inputs'!$B$32,'Inputs'!$B$30+'Inputs'!$B$31+'Inputs'!$B$32)/1000+'Inputs'!$B$21))/SQRT((((525-43)*MAX('Inputs'!$B$33,'Inputs'!$B$29+'Inputs'!$B$31+'Inputs'!$B$32,'Inputs'!$B$30+'Inputs'!$B$31+'Inputs'!$B$32)/1000+'Inputs'!$B$21))^2+('Inputs'!$B$8/2)^2)))-'Results'!B7*(1+'Inputs'!$B$24)*(0.5*((((525-43)*MAX('Inputs'!$B$33,'Inputs'!$B$29+'Inputs'!$B$31+'Inputs'!$B$32,'Inputs'!$B$30+'Inputs'!$B$31+'Inputs'!$B$32)/1000+'Inputs'!$B$21+'Inputs'!$B$9+'Inputs'!$B$10)+'Inputs'!$B$7)/SQRT((((525-43)*MAX('Inputs'!$B$33,'Inputs'!$B$29+'Inputs'!$B$31+'Inputs'!$B$32,'Inputs'!$B$30+'Inputs'!$B$31+'Inputs'!$B$32)/1000+'Inputs'!$B$21+'Inputs'!$B$9+'Inputs'!$B$10)+'Inputs'!$B$7)^2+('Inputs'!$B$6/2)^2)-(((525-43)*MAX('Inputs'!$B$33,'Inputs'!$B$29+'Inputs'!$B$31+'Inputs'!$B$32,'Inputs'!$B$30+'Inputs'!$B$31+'Inputs'!$B$32)/1000+'Inputs'!$B$21+'Inputs'!$B$9+'Inputs'!$B$10))/SQRT((((525-43)*MAX('Inputs'!$B$33,'Inputs'!$B$29+'Inputs'!$B$31+'Inputs'!$B$32,'Inputs'!$B$30+'Inputs'!$B$31+'Inputs'!$B$32)/1000+'Inputs'!$B$21+'Inputs'!$B$9+'Inputs'!$B$10))^2+('Inputs'!$B$6/2)^2))))*'Results'!$B$8))),"")</x:f>
        <x:v>3.9051737723950977</x:v>
      </x:c>
      <x:c r="O525" t="n">
        <x:f>IF(AND(ISNUMBER('Results'!C7),ISNUMBER('Results'!B7),ISNUMBER('Results'!$B$8),ISNUMBER('Inputs'!$B$6),ISNUMBER('Inputs'!$B$7),ISNUMBER('Inputs'!$B$8),ISNUMBER('Inputs'!$B$9),ISNUMBER('Inputs'!$B$10),ISNUMBER('Inputs'!$B$21),ISNUMBER('Inputs'!$B$24),ISNUMBER('Inputs'!$B$28)),((('Results'!C7*(1+'Inputs'!$B$24)*(0.5*((((525-43)*MAX('Inputs'!$B$33,'Inputs'!$B$29+'Inputs'!$B$31+'Inputs'!$B$32,'Inputs'!$B$30+'Inputs'!$B$31+'Inputs'!$B$32)/1000+'Inputs'!$B$21)+'Inputs'!$B$9)/SQRT((((525-43)*MAX('Inputs'!$B$33,'Inputs'!$B$29+'Inputs'!$B$31+'Inputs'!$B$32,'Inputs'!$B$30+'Inputs'!$B$31+'Inputs'!$B$32)/1000+'Inputs'!$B$21)+'Inputs'!$B$9)^2+('Inputs'!$B$8/2)^2)-(((525-43)*MAX('Inputs'!$B$33,'Inputs'!$B$29+'Inputs'!$B$31+'Inputs'!$B$32,'Inputs'!$B$30+'Inputs'!$B$31+'Inputs'!$B$32)/1000+'Inputs'!$B$21))/SQRT((((525-43)*MAX('Inputs'!$B$33,'Inputs'!$B$29+'Inputs'!$B$31+'Inputs'!$B$32,'Inputs'!$B$30+'Inputs'!$B$31+'Inputs'!$B$32)/1000+'Inputs'!$B$21))^2+('Inputs'!$B$8/2)^2)))-'Results'!B7*(1-'Inputs'!$B$24)*(0.5*((((525-43)*MAX('Inputs'!$B$33,'Inputs'!$B$29+'Inputs'!$B$31+'Inputs'!$B$32,'Inputs'!$B$30+'Inputs'!$B$31+'Inputs'!$B$32)/1000+'Inputs'!$B$21+'Inputs'!$B$9+'Inputs'!$B$10)+'Inputs'!$B$7)/SQRT((((525-43)*MAX('Inputs'!$B$33,'Inputs'!$B$29+'Inputs'!$B$31+'Inputs'!$B$32,'Inputs'!$B$30+'Inputs'!$B$31+'Inputs'!$B$32)/1000+'Inputs'!$B$21+'Inputs'!$B$9+'Inputs'!$B$10)+'Inputs'!$B$7)^2+('Inputs'!$B$6/2)^2)-(((525-43)*MAX('Inputs'!$B$33,'Inputs'!$B$29+'Inputs'!$B$31+'Inputs'!$B$32,'Inputs'!$B$30+'Inputs'!$B$31+'Inputs'!$B$32)/1000+'Inputs'!$B$21+'Inputs'!$B$9+'Inputs'!$B$10))/SQRT((((525-43)*MAX('Inputs'!$B$33,'Inputs'!$B$29+'Inputs'!$B$31+'Inputs'!$B$32,'Inputs'!$B$30+'Inputs'!$B$31+'Inputs'!$B$32)/1000+'Inputs'!$B$21+'Inputs'!$B$9+'Inputs'!$B$10))^2+('Inputs'!$B$6/2)^2))))*'Results'!$B$8)+'Inputs'!$B$28*ABS((('Results'!C7*(1+'Inputs'!$B$24)*(0.5*((((525-43)*MAX('Inputs'!$B$33,'Inputs'!$B$29+'Inputs'!$B$31+'Inputs'!$B$32,'Inputs'!$B$30+'Inputs'!$B$31+'Inputs'!$B$32)/1000+'Inputs'!$B$21)+'Inputs'!$B$9)/SQRT((((525-43)*MAX('Inputs'!$B$33,'Inputs'!$B$29+'Inputs'!$B$31+'Inputs'!$B$32,'Inputs'!$B$30+'Inputs'!$B$31+'Inputs'!$B$32)/1000+'Inputs'!$B$21)+'Inputs'!$B$9)^2+('Inputs'!$B$8/2)^2)-(((525-43)*MAX('Inputs'!$B$33,'Inputs'!$B$29+'Inputs'!$B$31+'Inputs'!$B$32,'Inputs'!$B$30+'Inputs'!$B$31+'Inputs'!$B$32)/1000+'Inputs'!$B$21))/SQRT((((525-43)*MAX('Inputs'!$B$33,'Inputs'!$B$29+'Inputs'!$B$31+'Inputs'!$B$32,'Inputs'!$B$30+'Inputs'!$B$31+'Inputs'!$B$32)/1000+'Inputs'!$B$21))^2+('Inputs'!$B$8/2)^2)))-'Results'!B7*(1-'Inputs'!$B$24)*(0.5*((((525-43)*MAX('Inputs'!$B$33,'Inputs'!$B$29+'Inputs'!$B$31+'Inputs'!$B$32,'Inputs'!$B$30+'Inputs'!$B$31+'Inputs'!$B$32)/1000+'Inputs'!$B$21+'Inputs'!$B$9+'Inputs'!$B$10)+'Inputs'!$B$7)/SQRT((((525-43)*MAX('Inputs'!$B$33,'Inputs'!$B$29+'Inputs'!$B$31+'Inputs'!$B$32,'Inputs'!$B$30+'Inputs'!$B$31+'Inputs'!$B$32)/1000+'Inputs'!$B$21+'Inputs'!$B$9+'Inputs'!$B$10)+'Inputs'!$B$7)^2+('Inputs'!$B$6/2)^2)-(((525-43)*MAX('Inputs'!$B$33,'Inputs'!$B$29+'Inputs'!$B$31+'Inputs'!$B$32,'Inputs'!$B$30+'Inputs'!$B$31+'Inputs'!$B$32)/1000+'Inputs'!$B$21+'Inputs'!$B$9+'Inputs'!$B$10))/SQRT((((525-43)*MAX('Inputs'!$B$33,'Inputs'!$B$29+'Inputs'!$B$31+'Inputs'!$B$32,'Inputs'!$B$30+'Inputs'!$B$31+'Inputs'!$B$32)/1000+'Inputs'!$B$21+'Inputs'!$B$9+'Inputs'!$B$10))^2+('Inputs'!$B$6/2)^2))))*'Results'!$B$8))),"")</x:f>
        <x:v>4.968223371515271</x:v>
      </x:c>
      <x:c r="P525" t="n">
        <x:f>IF(AND(MAX(J525,J524)&gt;0,J525&gt;J524+0.00000001),1,0)</x:f>
        <x:v>0</x:v>
      </x:c>
      <x:c r="Q525" t="n">
        <x:f>IF(AND(MAX(K525,K524)&gt;0,K525&gt;K524+0.00000001),1,0)</x:f>
        <x:v>0</x:v>
      </x:c>
      <x:c r="R525" t="n">
        <x:f>IF(AND(MAX(L525,L524)&gt;0,L525&gt;L524+0.00000001),1,0)</x:f>
        <x:v>0</x:v>
      </x:c>
      <x:c r="S525" t="n">
        <x:f>IF(AND(MAX(M525,M524)&gt;0,M525&gt;M524+0.00000001),1,0)</x:f>
        <x:v>0</x:v>
      </x:c>
      <x:c r="T525" t="n">
        <x:f>IF(AND(MAX(N525,N524)&gt;0,N525&gt;N524+0.00000001),1,0)</x:f>
        <x:v>0</x:v>
      </x:c>
      <x:c r="U525" t="n">
        <x:f>IF(AND(MAX(O525,O524)&gt;0,O525&gt;O524+0.00000001),1,0)</x:f>
        <x:v>0</x:v>
      </x:c>
    </x:row>
    <x:row r="526">
      <x:c r="J526" t="n">
        <x:f>IF(AND(ISNUMBER('Results'!B7),ISNUMBER('Results'!C7),ISNUMBER('Results'!$B$8),ISNUMBER('Inputs'!$B$6),ISNUMBER('Inputs'!$B$7),ISNUMBER('Inputs'!$B$8),ISNUMBER('Inputs'!$B$9),ISNUMBER('Inputs'!$B$10),ISNUMBER('Inputs'!$B$21),ISNUMBER('Inputs'!$B$24),ISNUMBER('Inputs'!$B$28)),(('Results'!B7*(0.5*((((526-43)*MAX('Inputs'!$B$33,'Inputs'!$B$29+'Inputs'!$B$31+'Inputs'!$B$32,'Inputs'!$B$30+'Inputs'!$B$31+'Inputs'!$B$32)/1000+'Inputs'!$B$21)+'Inputs'!$B$7)/SQRT((((526-43)*MAX('Inputs'!$B$33,'Inputs'!$B$29+'Inputs'!$B$31+'Inputs'!$B$32,'Inputs'!$B$30+'Inputs'!$B$31+'Inputs'!$B$32)/1000+'Inputs'!$B$21)+'Inputs'!$B$7)^2+('Inputs'!$B$6/2)^2)-(((526-43)*MAX('Inputs'!$B$33,'Inputs'!$B$29+'Inputs'!$B$31+'Inputs'!$B$32,'Inputs'!$B$30+'Inputs'!$B$31+'Inputs'!$B$32)/1000+'Inputs'!$B$21))/SQRT((((526-43)*MAX('Inputs'!$B$33,'Inputs'!$B$29+'Inputs'!$B$31+'Inputs'!$B$32,'Inputs'!$B$30+'Inputs'!$B$31+'Inputs'!$B$32)/1000+'Inputs'!$B$21))^2+('Inputs'!$B$6/2)^2)))-'Results'!C7*(0.5*((((526-43)*MAX('Inputs'!$B$33,'Inputs'!$B$29+'Inputs'!$B$31+'Inputs'!$B$32,'Inputs'!$B$30+'Inputs'!$B$31+'Inputs'!$B$32)/1000+'Inputs'!$B$21+'Inputs'!$B$7+'Inputs'!$B$10)+'Inputs'!$B$9)/SQRT((((526-43)*MAX('Inputs'!$B$33,'Inputs'!$B$29+'Inputs'!$B$31+'Inputs'!$B$32,'Inputs'!$B$30+'Inputs'!$B$31+'Inputs'!$B$32)/1000+'Inputs'!$B$21+'Inputs'!$B$7+'Inputs'!$B$10)+'Inputs'!$B$9)^2+('Inputs'!$B$8/2)^2)-(((526-43)*MAX('Inputs'!$B$33,'Inputs'!$B$29+'Inputs'!$B$31+'Inputs'!$B$32,'Inputs'!$B$30+'Inputs'!$B$31+'Inputs'!$B$32)/1000+'Inputs'!$B$21+'Inputs'!$B$7+'Inputs'!$B$10))/SQRT((((526-43)*MAX('Inputs'!$B$33,'Inputs'!$B$29+'Inputs'!$B$31+'Inputs'!$B$32,'Inputs'!$B$30+'Inputs'!$B$31+'Inputs'!$B$32)/1000+'Inputs'!$B$21+'Inputs'!$B$7+'Inputs'!$B$10))^2+('Inputs'!$B$8/2)^2))))*'Results'!$B$8),"")</x:f>
        <x:v>4.702472556410001</x:v>
      </x:c>
      <x:c r="K526" t="n">
        <x:f>IF(AND(ISNUMBER('Results'!B7),ISNUMBER('Results'!C7),ISNUMBER('Results'!$B$8),ISNUMBER('Inputs'!$B$6),ISNUMBER('Inputs'!$B$7),ISNUMBER('Inputs'!$B$8),ISNUMBER('Inputs'!$B$9),ISNUMBER('Inputs'!$B$10),ISNUMBER('Inputs'!$B$21),ISNUMBER('Inputs'!$B$24),ISNUMBER('Inputs'!$B$28)),((('Results'!B7*(1-'Inputs'!$B$24)*(0.5*((((526-43)*MAX('Inputs'!$B$33,'Inputs'!$B$29+'Inputs'!$B$31+'Inputs'!$B$32,'Inputs'!$B$30+'Inputs'!$B$31+'Inputs'!$B$32)/1000+'Inputs'!$B$21)+'Inputs'!$B$7)/SQRT((((526-43)*MAX('Inputs'!$B$33,'Inputs'!$B$29+'Inputs'!$B$31+'Inputs'!$B$32,'Inputs'!$B$30+'Inputs'!$B$31+'Inputs'!$B$32)/1000+'Inputs'!$B$21)+'Inputs'!$B$7)^2+('Inputs'!$B$6/2)^2)-(((526-43)*MAX('Inputs'!$B$33,'Inputs'!$B$29+'Inputs'!$B$31+'Inputs'!$B$32,'Inputs'!$B$30+'Inputs'!$B$31+'Inputs'!$B$32)/1000+'Inputs'!$B$21))/SQRT((((526-43)*MAX('Inputs'!$B$33,'Inputs'!$B$29+'Inputs'!$B$31+'Inputs'!$B$32,'Inputs'!$B$30+'Inputs'!$B$31+'Inputs'!$B$32)/1000+'Inputs'!$B$21))^2+('Inputs'!$B$6/2)^2)))-'Results'!C7*(1+'Inputs'!$B$24)*(0.5*((((526-43)*MAX('Inputs'!$B$33,'Inputs'!$B$29+'Inputs'!$B$31+'Inputs'!$B$32,'Inputs'!$B$30+'Inputs'!$B$31+'Inputs'!$B$32)/1000+'Inputs'!$B$21+'Inputs'!$B$7+'Inputs'!$B$10)+'Inputs'!$B$9)/SQRT((((526-43)*MAX('Inputs'!$B$33,'Inputs'!$B$29+'Inputs'!$B$31+'Inputs'!$B$32,'Inputs'!$B$30+'Inputs'!$B$31+'Inputs'!$B$32)/1000+'Inputs'!$B$21+'Inputs'!$B$7+'Inputs'!$B$10)+'Inputs'!$B$9)^2+('Inputs'!$B$8/2)^2)-(((526-43)*MAX('Inputs'!$B$33,'Inputs'!$B$29+'Inputs'!$B$31+'Inputs'!$B$32,'Inputs'!$B$30+'Inputs'!$B$31+'Inputs'!$B$32)/1000+'Inputs'!$B$21+'Inputs'!$B$7+'Inputs'!$B$10))/SQRT((((526-43)*MAX('Inputs'!$B$33,'Inputs'!$B$29+'Inputs'!$B$31+'Inputs'!$B$32,'Inputs'!$B$30+'Inputs'!$B$31+'Inputs'!$B$32)/1000+'Inputs'!$B$21+'Inputs'!$B$7+'Inputs'!$B$10))^2+('Inputs'!$B$8/2)^2))))*'Results'!$B$8)-'Inputs'!$B$28*ABS((('Results'!B7*(1-'Inputs'!$B$24)*(0.5*((((526-43)*MAX('Inputs'!$B$33,'Inputs'!$B$29+'Inputs'!$B$31+'Inputs'!$B$32,'Inputs'!$B$30+'Inputs'!$B$31+'Inputs'!$B$32)/1000+'Inputs'!$B$21)+'Inputs'!$B$7)/SQRT((((526-43)*MAX('Inputs'!$B$33,'Inputs'!$B$29+'Inputs'!$B$31+'Inputs'!$B$32,'Inputs'!$B$30+'Inputs'!$B$31+'Inputs'!$B$32)/1000+'Inputs'!$B$21)+'Inputs'!$B$7)^2+('Inputs'!$B$6/2)^2)-(((526-43)*MAX('Inputs'!$B$33,'Inputs'!$B$29+'Inputs'!$B$31+'Inputs'!$B$32,'Inputs'!$B$30+'Inputs'!$B$31+'Inputs'!$B$32)/1000+'Inputs'!$B$21))/SQRT((((526-43)*MAX('Inputs'!$B$33,'Inputs'!$B$29+'Inputs'!$B$31+'Inputs'!$B$32,'Inputs'!$B$30+'Inputs'!$B$31+'Inputs'!$B$32)/1000+'Inputs'!$B$21))^2+('Inputs'!$B$6/2)^2)))-'Results'!C7*(1+'Inputs'!$B$24)*(0.5*((((526-43)*MAX('Inputs'!$B$33,'Inputs'!$B$29+'Inputs'!$B$31+'Inputs'!$B$32,'Inputs'!$B$30+'Inputs'!$B$31+'Inputs'!$B$32)/1000+'Inputs'!$B$21+'Inputs'!$B$7+'Inputs'!$B$10)+'Inputs'!$B$9)/SQRT((((526-43)*MAX('Inputs'!$B$33,'Inputs'!$B$29+'Inputs'!$B$31+'Inputs'!$B$32,'Inputs'!$B$30+'Inputs'!$B$31+'Inputs'!$B$32)/1000+'Inputs'!$B$21+'Inputs'!$B$7+'Inputs'!$B$10)+'Inputs'!$B$9)^2+('Inputs'!$B$8/2)^2)-(((526-43)*MAX('Inputs'!$B$33,'Inputs'!$B$29+'Inputs'!$B$31+'Inputs'!$B$32,'Inputs'!$B$30+'Inputs'!$B$31+'Inputs'!$B$32)/1000+'Inputs'!$B$21+'Inputs'!$B$7+'Inputs'!$B$10))/SQRT((((526-43)*MAX('Inputs'!$B$33,'Inputs'!$B$29+'Inputs'!$B$31+'Inputs'!$B$32,'Inputs'!$B$30+'Inputs'!$B$31+'Inputs'!$B$32)/1000+'Inputs'!$B$21+'Inputs'!$B$7+'Inputs'!$B$10))^2+('Inputs'!$B$8/2)^2))))*'Results'!$B$8))),"")</x:f>
        <x:v>4.172267992065507</x:v>
      </x:c>
      <x:c r="L526" t="n">
        <x:f>IF(AND(ISNUMBER('Results'!B7),ISNUMBER('Results'!C7),ISNUMBER('Results'!$B$8),ISNUMBER('Inputs'!$B$6),ISNUMBER('Inputs'!$B$7),ISNUMBER('Inputs'!$B$8),ISNUMBER('Inputs'!$B$9),ISNUMBER('Inputs'!$B$10),ISNUMBER('Inputs'!$B$21),ISNUMBER('Inputs'!$B$24),ISNUMBER('Inputs'!$B$28)),((('Results'!B7*(1+'Inputs'!$B$24)*(0.5*((((526-43)*MAX('Inputs'!$B$33,'Inputs'!$B$29+'Inputs'!$B$31+'Inputs'!$B$32,'Inputs'!$B$30+'Inputs'!$B$31+'Inputs'!$B$32)/1000+'Inputs'!$B$21)+'Inputs'!$B$7)/SQRT((((526-43)*MAX('Inputs'!$B$33,'Inputs'!$B$29+'Inputs'!$B$31+'Inputs'!$B$32,'Inputs'!$B$30+'Inputs'!$B$31+'Inputs'!$B$32)/1000+'Inputs'!$B$21)+'Inputs'!$B$7)^2+('Inputs'!$B$6/2)^2)-(((526-43)*MAX('Inputs'!$B$33,'Inputs'!$B$29+'Inputs'!$B$31+'Inputs'!$B$32,'Inputs'!$B$30+'Inputs'!$B$31+'Inputs'!$B$32)/1000+'Inputs'!$B$21))/SQRT((((526-43)*MAX('Inputs'!$B$33,'Inputs'!$B$29+'Inputs'!$B$31+'Inputs'!$B$32,'Inputs'!$B$30+'Inputs'!$B$31+'Inputs'!$B$32)/1000+'Inputs'!$B$21))^2+('Inputs'!$B$6/2)^2)))-'Results'!C7*(1-'Inputs'!$B$24)*(0.5*((((526-43)*MAX('Inputs'!$B$33,'Inputs'!$B$29+'Inputs'!$B$31+'Inputs'!$B$32,'Inputs'!$B$30+'Inputs'!$B$31+'Inputs'!$B$32)/1000+'Inputs'!$B$21+'Inputs'!$B$7+'Inputs'!$B$10)+'Inputs'!$B$9)/SQRT((((526-43)*MAX('Inputs'!$B$33,'Inputs'!$B$29+'Inputs'!$B$31+'Inputs'!$B$32,'Inputs'!$B$30+'Inputs'!$B$31+'Inputs'!$B$32)/1000+'Inputs'!$B$21+'Inputs'!$B$7+'Inputs'!$B$10)+'Inputs'!$B$9)^2+('Inputs'!$B$8/2)^2)-(((526-43)*MAX('Inputs'!$B$33,'Inputs'!$B$29+'Inputs'!$B$31+'Inputs'!$B$32,'Inputs'!$B$30+'Inputs'!$B$31+'Inputs'!$B$32)/1000+'Inputs'!$B$21+'Inputs'!$B$7+'Inputs'!$B$10))/SQRT((((526-43)*MAX('Inputs'!$B$33,'Inputs'!$B$29+'Inputs'!$B$31+'Inputs'!$B$32,'Inputs'!$B$30+'Inputs'!$B$31+'Inputs'!$B$32)/1000+'Inputs'!$B$21+'Inputs'!$B$7+'Inputs'!$B$10))^2+('Inputs'!$B$8/2)^2))))*'Results'!$B$8)+'Inputs'!$B$28*ABS((('Results'!B7*(1+'Inputs'!$B$24)*(0.5*((((526-43)*MAX('Inputs'!$B$33,'Inputs'!$B$29+'Inputs'!$B$31+'Inputs'!$B$32,'Inputs'!$B$30+'Inputs'!$B$31+'Inputs'!$B$32)/1000+'Inputs'!$B$21)+'Inputs'!$B$7)/SQRT((((526-43)*MAX('Inputs'!$B$33,'Inputs'!$B$29+'Inputs'!$B$31+'Inputs'!$B$32,'Inputs'!$B$30+'Inputs'!$B$31+'Inputs'!$B$32)/1000+'Inputs'!$B$21)+'Inputs'!$B$7)^2+('Inputs'!$B$6/2)^2)-(((526-43)*MAX('Inputs'!$B$33,'Inputs'!$B$29+'Inputs'!$B$31+'Inputs'!$B$32,'Inputs'!$B$30+'Inputs'!$B$31+'Inputs'!$B$32)/1000+'Inputs'!$B$21))/SQRT((((526-43)*MAX('Inputs'!$B$33,'Inputs'!$B$29+'Inputs'!$B$31+'Inputs'!$B$32,'Inputs'!$B$30+'Inputs'!$B$31+'Inputs'!$B$32)/1000+'Inputs'!$B$21))^2+('Inputs'!$B$6/2)^2)))-'Results'!C7*(1-'Inputs'!$B$24)*(0.5*((((526-43)*MAX('Inputs'!$B$33,'Inputs'!$B$29+'Inputs'!$B$31+'Inputs'!$B$32,'Inputs'!$B$30+'Inputs'!$B$31+'Inputs'!$B$32)/1000+'Inputs'!$B$21+'Inputs'!$B$7+'Inputs'!$B$10)+'Inputs'!$B$9)/SQRT((((526-43)*MAX('Inputs'!$B$33,'Inputs'!$B$29+'Inputs'!$B$31+'Inputs'!$B$32,'Inputs'!$B$30+'Inputs'!$B$31+'Inputs'!$B$32)/1000+'Inputs'!$B$21+'Inputs'!$B$7+'Inputs'!$B$10)+'Inputs'!$B$9)^2+('Inputs'!$B$8/2)^2)-(((526-43)*MAX('Inputs'!$B$33,'Inputs'!$B$29+'Inputs'!$B$31+'Inputs'!$B$32,'Inputs'!$B$30+'Inputs'!$B$31+'Inputs'!$B$32)/1000+'Inputs'!$B$21+'Inputs'!$B$7+'Inputs'!$B$10))/SQRT((((526-43)*MAX('Inputs'!$B$33,'Inputs'!$B$29+'Inputs'!$B$31+'Inputs'!$B$32,'Inputs'!$B$30+'Inputs'!$B$31+'Inputs'!$B$32)/1000+'Inputs'!$B$21+'Inputs'!$B$7+'Inputs'!$B$10))^2+('Inputs'!$B$8/2)^2))))*'Results'!$B$8))),"")</x:f>
        <x:v>5.263738271967548</x:v>
      </x:c>
      <x:c r="M526" t="n">
        <x:f>IF(AND(ISNUMBER('Results'!C7),ISNUMBER('Results'!B7),ISNUMBER('Results'!$B$8),ISNUMBER('Inputs'!$B$6),ISNUMBER('Inputs'!$B$7),ISNUMBER('Inputs'!$B$8),ISNUMBER('Inputs'!$B$9),ISNUMBER('Inputs'!$B$10),ISNUMBER('Inputs'!$B$21),ISNUMBER('Inputs'!$B$24),ISNUMBER('Inputs'!$B$28)),(('Results'!C7*(0.5*((((526-43)*MAX('Inputs'!$B$33,'Inputs'!$B$29+'Inputs'!$B$31+'Inputs'!$B$32,'Inputs'!$B$30+'Inputs'!$B$31+'Inputs'!$B$32)/1000+'Inputs'!$B$21)+'Inputs'!$B$9)/SQRT((((526-43)*MAX('Inputs'!$B$33,'Inputs'!$B$29+'Inputs'!$B$31+'Inputs'!$B$32,'Inputs'!$B$30+'Inputs'!$B$31+'Inputs'!$B$32)/1000+'Inputs'!$B$21)+'Inputs'!$B$9)^2+('Inputs'!$B$8/2)^2)-(((526-43)*MAX('Inputs'!$B$33,'Inputs'!$B$29+'Inputs'!$B$31+'Inputs'!$B$32,'Inputs'!$B$30+'Inputs'!$B$31+'Inputs'!$B$32)/1000+'Inputs'!$B$21))/SQRT((((526-43)*MAX('Inputs'!$B$33,'Inputs'!$B$29+'Inputs'!$B$31+'Inputs'!$B$32,'Inputs'!$B$30+'Inputs'!$B$31+'Inputs'!$B$32)/1000+'Inputs'!$B$21))^2+('Inputs'!$B$8/2)^2)))-'Results'!B7*(0.5*((((526-43)*MAX('Inputs'!$B$33,'Inputs'!$B$29+'Inputs'!$B$31+'Inputs'!$B$32,'Inputs'!$B$30+'Inputs'!$B$31+'Inputs'!$B$32)/1000+'Inputs'!$B$21+'Inputs'!$B$9+'Inputs'!$B$10)+'Inputs'!$B$7)/SQRT((((526-43)*MAX('Inputs'!$B$33,'Inputs'!$B$29+'Inputs'!$B$31+'Inputs'!$B$32,'Inputs'!$B$30+'Inputs'!$B$31+'Inputs'!$B$32)/1000+'Inputs'!$B$21+'Inputs'!$B$9+'Inputs'!$B$10)+'Inputs'!$B$7)^2+('Inputs'!$B$6/2)^2)-(((526-43)*MAX('Inputs'!$B$33,'Inputs'!$B$29+'Inputs'!$B$31+'Inputs'!$B$32,'Inputs'!$B$30+'Inputs'!$B$31+'Inputs'!$B$32)/1000+'Inputs'!$B$21+'Inputs'!$B$9+'Inputs'!$B$10))/SQRT((((526-43)*MAX('Inputs'!$B$33,'Inputs'!$B$29+'Inputs'!$B$31+'Inputs'!$B$32,'Inputs'!$B$30+'Inputs'!$B$31+'Inputs'!$B$32)/1000+'Inputs'!$B$21+'Inputs'!$B$9+'Inputs'!$B$10))^2+('Inputs'!$B$6/2)^2))))*'Results'!$B$8),"")</x:f>
        <x:v>4.389651227330478</x:v>
      </x:c>
      <x:c r="N526" t="n">
        <x:f>IF(AND(ISNUMBER('Results'!C7),ISNUMBER('Results'!B7),ISNUMBER('Results'!$B$8),ISNUMBER('Inputs'!$B$6),ISNUMBER('Inputs'!$B$7),ISNUMBER('Inputs'!$B$8),ISNUMBER('Inputs'!$B$9),ISNUMBER('Inputs'!$B$10),ISNUMBER('Inputs'!$B$21),ISNUMBER('Inputs'!$B$24),ISNUMBER('Inputs'!$B$28)),((('Results'!C7*(1-'Inputs'!$B$24)*(0.5*((((526-43)*MAX('Inputs'!$B$33,'Inputs'!$B$29+'Inputs'!$B$31+'Inputs'!$B$32,'Inputs'!$B$30+'Inputs'!$B$31+'Inputs'!$B$32)/1000+'Inputs'!$B$21)+'Inputs'!$B$9)/SQRT((((526-43)*MAX('Inputs'!$B$33,'Inputs'!$B$29+'Inputs'!$B$31+'Inputs'!$B$32,'Inputs'!$B$30+'Inputs'!$B$31+'Inputs'!$B$32)/1000+'Inputs'!$B$21)+'Inputs'!$B$9)^2+('Inputs'!$B$8/2)^2)-(((526-43)*MAX('Inputs'!$B$33,'Inputs'!$B$29+'Inputs'!$B$31+'Inputs'!$B$32,'Inputs'!$B$30+'Inputs'!$B$31+'Inputs'!$B$32)/1000+'Inputs'!$B$21))/SQRT((((526-43)*MAX('Inputs'!$B$33,'Inputs'!$B$29+'Inputs'!$B$31+'Inputs'!$B$32,'Inputs'!$B$30+'Inputs'!$B$31+'Inputs'!$B$32)/1000+'Inputs'!$B$21))^2+('Inputs'!$B$8/2)^2)))-'Results'!B7*(1+'Inputs'!$B$24)*(0.5*((((526-43)*MAX('Inputs'!$B$33,'Inputs'!$B$29+'Inputs'!$B$31+'Inputs'!$B$32,'Inputs'!$B$30+'Inputs'!$B$31+'Inputs'!$B$32)/1000+'Inputs'!$B$21+'Inputs'!$B$9+'Inputs'!$B$10)+'Inputs'!$B$7)/SQRT((((526-43)*MAX('Inputs'!$B$33,'Inputs'!$B$29+'Inputs'!$B$31+'Inputs'!$B$32,'Inputs'!$B$30+'Inputs'!$B$31+'Inputs'!$B$32)/1000+'Inputs'!$B$21+'Inputs'!$B$9+'Inputs'!$B$10)+'Inputs'!$B$7)^2+('Inputs'!$B$6/2)^2)-(((526-43)*MAX('Inputs'!$B$33,'Inputs'!$B$29+'Inputs'!$B$31+'Inputs'!$B$32,'Inputs'!$B$30+'Inputs'!$B$31+'Inputs'!$B$32)/1000+'Inputs'!$B$21+'Inputs'!$B$9+'Inputs'!$B$10))/SQRT((((526-43)*MAX('Inputs'!$B$33,'Inputs'!$B$29+'Inputs'!$B$31+'Inputs'!$B$32,'Inputs'!$B$30+'Inputs'!$B$31+'Inputs'!$B$32)/1000+'Inputs'!$B$21+'Inputs'!$B$9+'Inputs'!$B$10))^2+('Inputs'!$B$6/2)^2))))*'Results'!$B$8)-'Inputs'!$B$28*ABS((('Results'!C7*(1-'Inputs'!$B$24)*(0.5*((((526-43)*MAX('Inputs'!$B$33,'Inputs'!$B$29+'Inputs'!$B$31+'Inputs'!$B$32,'Inputs'!$B$30+'Inputs'!$B$31+'Inputs'!$B$32)/1000+'Inputs'!$B$21)+'Inputs'!$B$9)/SQRT((((526-43)*MAX('Inputs'!$B$33,'Inputs'!$B$29+'Inputs'!$B$31+'Inputs'!$B$32,'Inputs'!$B$30+'Inputs'!$B$31+'Inputs'!$B$32)/1000+'Inputs'!$B$21)+'Inputs'!$B$9)^2+('Inputs'!$B$8/2)^2)-(((526-43)*MAX('Inputs'!$B$33,'Inputs'!$B$29+'Inputs'!$B$31+'Inputs'!$B$32,'Inputs'!$B$30+'Inputs'!$B$31+'Inputs'!$B$32)/1000+'Inputs'!$B$21))/SQRT((((526-43)*MAX('Inputs'!$B$33,'Inputs'!$B$29+'Inputs'!$B$31+'Inputs'!$B$32,'Inputs'!$B$30+'Inputs'!$B$31+'Inputs'!$B$32)/1000+'Inputs'!$B$21))^2+('Inputs'!$B$8/2)^2)))-'Results'!B7*(1+'Inputs'!$B$24)*(0.5*((((526-43)*MAX('Inputs'!$B$33,'Inputs'!$B$29+'Inputs'!$B$31+'Inputs'!$B$32,'Inputs'!$B$30+'Inputs'!$B$31+'Inputs'!$B$32)/1000+'Inputs'!$B$21+'Inputs'!$B$9+'Inputs'!$B$10)+'Inputs'!$B$7)/SQRT((((526-43)*MAX('Inputs'!$B$33,'Inputs'!$B$29+'Inputs'!$B$31+'Inputs'!$B$32,'Inputs'!$B$30+'Inputs'!$B$31+'Inputs'!$B$32)/1000+'Inputs'!$B$21+'Inputs'!$B$9+'Inputs'!$B$10)+'Inputs'!$B$7)^2+('Inputs'!$B$6/2)^2)-(((526-43)*MAX('Inputs'!$B$33,'Inputs'!$B$29+'Inputs'!$B$31+'Inputs'!$B$32,'Inputs'!$B$30+'Inputs'!$B$31+'Inputs'!$B$32)/1000+'Inputs'!$B$21+'Inputs'!$B$9+'Inputs'!$B$10))/SQRT((((526-43)*MAX('Inputs'!$B$33,'Inputs'!$B$29+'Inputs'!$B$31+'Inputs'!$B$32,'Inputs'!$B$30+'Inputs'!$B$31+'Inputs'!$B$32)/1000+'Inputs'!$B$21+'Inputs'!$B$9+'Inputs'!$B$10))^2+('Inputs'!$B$6/2)^2))))*'Results'!$B$8))),"")</x:f>
        <x:v>3.8768326824893644</x:v>
      </x:c>
      <x:c r="O526" t="n">
        <x:f>IF(AND(ISNUMBER('Results'!C7),ISNUMBER('Results'!B7),ISNUMBER('Results'!$B$8),ISNUMBER('Inputs'!$B$6),ISNUMBER('Inputs'!$B$7),ISNUMBER('Inputs'!$B$8),ISNUMBER('Inputs'!$B$9),ISNUMBER('Inputs'!$B$10),ISNUMBER('Inputs'!$B$21),ISNUMBER('Inputs'!$B$24),ISNUMBER('Inputs'!$B$28)),((('Results'!C7*(1+'Inputs'!$B$24)*(0.5*((((526-43)*MAX('Inputs'!$B$33,'Inputs'!$B$29+'Inputs'!$B$31+'Inputs'!$B$32,'Inputs'!$B$30+'Inputs'!$B$31+'Inputs'!$B$32)/1000+'Inputs'!$B$21)+'Inputs'!$B$9)/SQRT((((526-43)*MAX('Inputs'!$B$33,'Inputs'!$B$29+'Inputs'!$B$31+'Inputs'!$B$32,'Inputs'!$B$30+'Inputs'!$B$31+'Inputs'!$B$32)/1000+'Inputs'!$B$21)+'Inputs'!$B$9)^2+('Inputs'!$B$8/2)^2)-(((526-43)*MAX('Inputs'!$B$33,'Inputs'!$B$29+'Inputs'!$B$31+'Inputs'!$B$32,'Inputs'!$B$30+'Inputs'!$B$31+'Inputs'!$B$32)/1000+'Inputs'!$B$21))/SQRT((((526-43)*MAX('Inputs'!$B$33,'Inputs'!$B$29+'Inputs'!$B$31+'Inputs'!$B$32,'Inputs'!$B$30+'Inputs'!$B$31+'Inputs'!$B$32)/1000+'Inputs'!$B$21))^2+('Inputs'!$B$8/2)^2)))-'Results'!B7*(1-'Inputs'!$B$24)*(0.5*((((526-43)*MAX('Inputs'!$B$33,'Inputs'!$B$29+'Inputs'!$B$31+'Inputs'!$B$32,'Inputs'!$B$30+'Inputs'!$B$31+'Inputs'!$B$32)/1000+'Inputs'!$B$21+'Inputs'!$B$9+'Inputs'!$B$10)+'Inputs'!$B$7)/SQRT((((526-43)*MAX('Inputs'!$B$33,'Inputs'!$B$29+'Inputs'!$B$31+'Inputs'!$B$32,'Inputs'!$B$30+'Inputs'!$B$31+'Inputs'!$B$32)/1000+'Inputs'!$B$21+'Inputs'!$B$9+'Inputs'!$B$10)+'Inputs'!$B$7)^2+('Inputs'!$B$6/2)^2)-(((526-43)*MAX('Inputs'!$B$33,'Inputs'!$B$29+'Inputs'!$B$31+'Inputs'!$B$32,'Inputs'!$B$30+'Inputs'!$B$31+'Inputs'!$B$32)/1000+'Inputs'!$B$21+'Inputs'!$B$9+'Inputs'!$B$10))/SQRT((((526-43)*MAX('Inputs'!$B$33,'Inputs'!$B$29+'Inputs'!$B$31+'Inputs'!$B$32,'Inputs'!$B$30+'Inputs'!$B$31+'Inputs'!$B$32)/1000+'Inputs'!$B$21+'Inputs'!$B$9+'Inputs'!$B$10))^2+('Inputs'!$B$6/2)^2))))*'Results'!$B$8)+'Inputs'!$B$28*ABS((('Results'!C7*(1+'Inputs'!$B$24)*(0.5*((((526-43)*MAX('Inputs'!$B$33,'Inputs'!$B$29+'Inputs'!$B$31+'Inputs'!$B$32,'Inputs'!$B$30+'Inputs'!$B$31+'Inputs'!$B$32)/1000+'Inputs'!$B$21)+'Inputs'!$B$9)/SQRT((((526-43)*MAX('Inputs'!$B$33,'Inputs'!$B$29+'Inputs'!$B$31+'Inputs'!$B$32,'Inputs'!$B$30+'Inputs'!$B$31+'Inputs'!$B$32)/1000+'Inputs'!$B$21)+'Inputs'!$B$9)^2+('Inputs'!$B$8/2)^2)-(((526-43)*MAX('Inputs'!$B$33,'Inputs'!$B$29+'Inputs'!$B$31+'Inputs'!$B$32,'Inputs'!$B$30+'Inputs'!$B$31+'Inputs'!$B$32)/1000+'Inputs'!$B$21))/SQRT((((526-43)*MAX('Inputs'!$B$33,'Inputs'!$B$29+'Inputs'!$B$31+'Inputs'!$B$32,'Inputs'!$B$30+'Inputs'!$B$31+'Inputs'!$B$32)/1000+'Inputs'!$B$21))^2+('Inputs'!$B$8/2)^2)))-'Results'!B7*(1-'Inputs'!$B$24)*(0.5*((((526-43)*MAX('Inputs'!$B$33,'Inputs'!$B$29+'Inputs'!$B$31+'Inputs'!$B$32,'Inputs'!$B$30+'Inputs'!$B$31+'Inputs'!$B$32)/1000+'Inputs'!$B$21+'Inputs'!$B$9+'Inputs'!$B$10)+'Inputs'!$B$7)/SQRT((((526-43)*MAX('Inputs'!$B$33,'Inputs'!$B$29+'Inputs'!$B$31+'Inputs'!$B$32,'Inputs'!$B$30+'Inputs'!$B$31+'Inputs'!$B$32)/1000+'Inputs'!$B$21+'Inputs'!$B$9+'Inputs'!$B$10)+'Inputs'!$B$7)^2+('Inputs'!$B$6/2)^2)-(((526-43)*MAX('Inputs'!$B$33,'Inputs'!$B$29+'Inputs'!$B$31+'Inputs'!$B$32,'Inputs'!$B$30+'Inputs'!$B$31+'Inputs'!$B$32)/1000+'Inputs'!$B$21+'Inputs'!$B$9+'Inputs'!$B$10))/SQRT((((526-43)*MAX('Inputs'!$B$33,'Inputs'!$B$29+'Inputs'!$B$31+'Inputs'!$B$32,'Inputs'!$B$30+'Inputs'!$B$31+'Inputs'!$B$32)/1000+'Inputs'!$B$21+'Inputs'!$B$9+'Inputs'!$B$10))^2+('Inputs'!$B$6/2)^2))))*'Results'!$B$8))),"")</x:f>
        <x:v>4.933347244116286</x:v>
      </x:c>
      <x:c r="P526" t="n">
        <x:f>IF(AND(MAX(J526,J525)&gt;0,J526&gt;J525+0.00000001),1,0)</x:f>
        <x:v>0</x:v>
      </x:c>
      <x:c r="Q526" t="n">
        <x:f>IF(AND(MAX(K526,K525)&gt;0,K526&gt;K525+0.00000001),1,0)</x:f>
        <x:v>0</x:v>
      </x:c>
      <x:c r="R526" t="n">
        <x:f>IF(AND(MAX(L526,L525)&gt;0,L526&gt;L525+0.00000001),1,0)</x:f>
        <x:v>0</x:v>
      </x:c>
      <x:c r="S526" t="n">
        <x:f>IF(AND(MAX(M526,M525)&gt;0,M526&gt;M525+0.00000001),1,0)</x:f>
        <x:v>0</x:v>
      </x:c>
      <x:c r="T526" t="n">
        <x:f>IF(AND(MAX(N526,N525)&gt;0,N526&gt;N525+0.00000001),1,0)</x:f>
        <x:v>0</x:v>
      </x:c>
      <x:c r="U526" t="n">
        <x:f>IF(AND(MAX(O526,O525)&gt;0,O526&gt;O525+0.00000001),1,0)</x:f>
        <x:v>0</x:v>
      </x:c>
    </x:row>
    <x:row r="527">
      <x:c r="J527" t="n">
        <x:f>IF(AND(ISNUMBER('Results'!B7),ISNUMBER('Results'!C7),ISNUMBER('Results'!$B$8),ISNUMBER('Inputs'!$B$6),ISNUMBER('Inputs'!$B$7),ISNUMBER('Inputs'!$B$8),ISNUMBER('Inputs'!$B$9),ISNUMBER('Inputs'!$B$10),ISNUMBER('Inputs'!$B$21),ISNUMBER('Inputs'!$B$24),ISNUMBER('Inputs'!$B$28)),(('Results'!B7*(0.5*((((527-43)*MAX('Inputs'!$B$33,'Inputs'!$B$29+'Inputs'!$B$31+'Inputs'!$B$32,'Inputs'!$B$30+'Inputs'!$B$31+'Inputs'!$B$32)/1000+'Inputs'!$B$21)+'Inputs'!$B$7)/SQRT((((527-43)*MAX('Inputs'!$B$33,'Inputs'!$B$29+'Inputs'!$B$31+'Inputs'!$B$32,'Inputs'!$B$30+'Inputs'!$B$31+'Inputs'!$B$32)/1000+'Inputs'!$B$21)+'Inputs'!$B$7)^2+('Inputs'!$B$6/2)^2)-(((527-43)*MAX('Inputs'!$B$33,'Inputs'!$B$29+'Inputs'!$B$31+'Inputs'!$B$32,'Inputs'!$B$30+'Inputs'!$B$31+'Inputs'!$B$32)/1000+'Inputs'!$B$21))/SQRT((((527-43)*MAX('Inputs'!$B$33,'Inputs'!$B$29+'Inputs'!$B$31+'Inputs'!$B$32,'Inputs'!$B$30+'Inputs'!$B$31+'Inputs'!$B$32)/1000+'Inputs'!$B$21))^2+('Inputs'!$B$6/2)^2)))-'Results'!C7*(0.5*((((527-43)*MAX('Inputs'!$B$33,'Inputs'!$B$29+'Inputs'!$B$31+'Inputs'!$B$32,'Inputs'!$B$30+'Inputs'!$B$31+'Inputs'!$B$32)/1000+'Inputs'!$B$21+'Inputs'!$B$7+'Inputs'!$B$10)+'Inputs'!$B$9)/SQRT((((527-43)*MAX('Inputs'!$B$33,'Inputs'!$B$29+'Inputs'!$B$31+'Inputs'!$B$32,'Inputs'!$B$30+'Inputs'!$B$31+'Inputs'!$B$32)/1000+'Inputs'!$B$21+'Inputs'!$B$7+'Inputs'!$B$10)+'Inputs'!$B$9)^2+('Inputs'!$B$8/2)^2)-(((527-43)*MAX('Inputs'!$B$33,'Inputs'!$B$29+'Inputs'!$B$31+'Inputs'!$B$32,'Inputs'!$B$30+'Inputs'!$B$31+'Inputs'!$B$32)/1000+'Inputs'!$B$21+'Inputs'!$B$7+'Inputs'!$B$10))/SQRT((((527-43)*MAX('Inputs'!$B$33,'Inputs'!$B$29+'Inputs'!$B$31+'Inputs'!$B$32,'Inputs'!$B$30+'Inputs'!$B$31+'Inputs'!$B$32)/1000+'Inputs'!$B$21+'Inputs'!$B$7+'Inputs'!$B$10))^2+('Inputs'!$B$8/2)^2))))*'Results'!$B$8),"")</x:f>
        <x:v>4.6695249734872375</x:v>
      </x:c>
      <x:c r="K527" t="n">
        <x:f>IF(AND(ISNUMBER('Results'!B7),ISNUMBER('Results'!C7),ISNUMBER('Results'!$B$8),ISNUMBER('Inputs'!$B$6),ISNUMBER('Inputs'!$B$7),ISNUMBER('Inputs'!$B$8),ISNUMBER('Inputs'!$B$9),ISNUMBER('Inputs'!$B$10),ISNUMBER('Inputs'!$B$21),ISNUMBER('Inputs'!$B$24),ISNUMBER('Inputs'!$B$28)),((('Results'!B7*(1-'Inputs'!$B$24)*(0.5*((((527-43)*MAX('Inputs'!$B$33,'Inputs'!$B$29+'Inputs'!$B$31+'Inputs'!$B$32,'Inputs'!$B$30+'Inputs'!$B$31+'Inputs'!$B$32)/1000+'Inputs'!$B$21)+'Inputs'!$B$7)/SQRT((((527-43)*MAX('Inputs'!$B$33,'Inputs'!$B$29+'Inputs'!$B$31+'Inputs'!$B$32,'Inputs'!$B$30+'Inputs'!$B$31+'Inputs'!$B$32)/1000+'Inputs'!$B$21)+'Inputs'!$B$7)^2+('Inputs'!$B$6/2)^2)-(((527-43)*MAX('Inputs'!$B$33,'Inputs'!$B$29+'Inputs'!$B$31+'Inputs'!$B$32,'Inputs'!$B$30+'Inputs'!$B$31+'Inputs'!$B$32)/1000+'Inputs'!$B$21))/SQRT((((527-43)*MAX('Inputs'!$B$33,'Inputs'!$B$29+'Inputs'!$B$31+'Inputs'!$B$32,'Inputs'!$B$30+'Inputs'!$B$31+'Inputs'!$B$32)/1000+'Inputs'!$B$21))^2+('Inputs'!$B$6/2)^2)))-'Results'!C7*(1+'Inputs'!$B$24)*(0.5*((((527-43)*MAX('Inputs'!$B$33,'Inputs'!$B$29+'Inputs'!$B$31+'Inputs'!$B$32,'Inputs'!$B$30+'Inputs'!$B$31+'Inputs'!$B$32)/1000+'Inputs'!$B$21+'Inputs'!$B$7+'Inputs'!$B$10)+'Inputs'!$B$9)/SQRT((((527-43)*MAX('Inputs'!$B$33,'Inputs'!$B$29+'Inputs'!$B$31+'Inputs'!$B$32,'Inputs'!$B$30+'Inputs'!$B$31+'Inputs'!$B$32)/1000+'Inputs'!$B$21+'Inputs'!$B$7+'Inputs'!$B$10)+'Inputs'!$B$9)^2+('Inputs'!$B$8/2)^2)-(((527-43)*MAX('Inputs'!$B$33,'Inputs'!$B$29+'Inputs'!$B$31+'Inputs'!$B$32,'Inputs'!$B$30+'Inputs'!$B$31+'Inputs'!$B$32)/1000+'Inputs'!$B$21+'Inputs'!$B$7+'Inputs'!$B$10))/SQRT((((527-43)*MAX('Inputs'!$B$33,'Inputs'!$B$29+'Inputs'!$B$31+'Inputs'!$B$32,'Inputs'!$B$30+'Inputs'!$B$31+'Inputs'!$B$32)/1000+'Inputs'!$B$21+'Inputs'!$B$7+'Inputs'!$B$10))^2+('Inputs'!$B$8/2)^2))))*'Results'!$B$8)-'Inputs'!$B$28*ABS((('Results'!B7*(1-'Inputs'!$B$24)*(0.5*((((527-43)*MAX('Inputs'!$B$33,'Inputs'!$B$29+'Inputs'!$B$31+'Inputs'!$B$32,'Inputs'!$B$30+'Inputs'!$B$31+'Inputs'!$B$32)/1000+'Inputs'!$B$21)+'Inputs'!$B$7)/SQRT((((527-43)*MAX('Inputs'!$B$33,'Inputs'!$B$29+'Inputs'!$B$31+'Inputs'!$B$32,'Inputs'!$B$30+'Inputs'!$B$31+'Inputs'!$B$32)/1000+'Inputs'!$B$21)+'Inputs'!$B$7)^2+('Inputs'!$B$6/2)^2)-(((527-43)*MAX('Inputs'!$B$33,'Inputs'!$B$29+'Inputs'!$B$31+'Inputs'!$B$32,'Inputs'!$B$30+'Inputs'!$B$31+'Inputs'!$B$32)/1000+'Inputs'!$B$21))/SQRT((((527-43)*MAX('Inputs'!$B$33,'Inputs'!$B$29+'Inputs'!$B$31+'Inputs'!$B$32,'Inputs'!$B$30+'Inputs'!$B$31+'Inputs'!$B$32)/1000+'Inputs'!$B$21))^2+('Inputs'!$B$6/2)^2)))-'Results'!C7*(1+'Inputs'!$B$24)*(0.5*((((527-43)*MAX('Inputs'!$B$33,'Inputs'!$B$29+'Inputs'!$B$31+'Inputs'!$B$32,'Inputs'!$B$30+'Inputs'!$B$31+'Inputs'!$B$32)/1000+'Inputs'!$B$21+'Inputs'!$B$7+'Inputs'!$B$10)+'Inputs'!$B$9)/SQRT((((527-43)*MAX('Inputs'!$B$33,'Inputs'!$B$29+'Inputs'!$B$31+'Inputs'!$B$32,'Inputs'!$B$30+'Inputs'!$B$31+'Inputs'!$B$32)/1000+'Inputs'!$B$21+'Inputs'!$B$7+'Inputs'!$B$10)+'Inputs'!$B$9)^2+('Inputs'!$B$8/2)^2)-(((527-43)*MAX('Inputs'!$B$33,'Inputs'!$B$29+'Inputs'!$B$31+'Inputs'!$B$32,'Inputs'!$B$30+'Inputs'!$B$31+'Inputs'!$B$32)/1000+'Inputs'!$B$21+'Inputs'!$B$7+'Inputs'!$B$10))/SQRT((((527-43)*MAX('Inputs'!$B$33,'Inputs'!$B$29+'Inputs'!$B$31+'Inputs'!$B$32,'Inputs'!$B$30+'Inputs'!$B$31+'Inputs'!$B$32)/1000+'Inputs'!$B$21+'Inputs'!$B$7+'Inputs'!$B$10))^2+('Inputs'!$B$8/2)^2))))*'Results'!$B$8))),"")</x:f>
        <x:v>4.142575172928189</x:v>
      </x:c>
      <x:c r="L527" t="n">
        <x:f>IF(AND(ISNUMBER('Results'!B7),ISNUMBER('Results'!C7),ISNUMBER('Results'!$B$8),ISNUMBER('Inputs'!$B$6),ISNUMBER('Inputs'!$B$7),ISNUMBER('Inputs'!$B$8),ISNUMBER('Inputs'!$B$9),ISNUMBER('Inputs'!$B$10),ISNUMBER('Inputs'!$B$21),ISNUMBER('Inputs'!$B$24),ISNUMBER('Inputs'!$B$28)),((('Results'!B7*(1+'Inputs'!$B$24)*(0.5*((((527-43)*MAX('Inputs'!$B$33,'Inputs'!$B$29+'Inputs'!$B$31+'Inputs'!$B$32,'Inputs'!$B$30+'Inputs'!$B$31+'Inputs'!$B$32)/1000+'Inputs'!$B$21)+'Inputs'!$B$7)/SQRT((((527-43)*MAX('Inputs'!$B$33,'Inputs'!$B$29+'Inputs'!$B$31+'Inputs'!$B$32,'Inputs'!$B$30+'Inputs'!$B$31+'Inputs'!$B$32)/1000+'Inputs'!$B$21)+'Inputs'!$B$7)^2+('Inputs'!$B$6/2)^2)-(((527-43)*MAX('Inputs'!$B$33,'Inputs'!$B$29+'Inputs'!$B$31+'Inputs'!$B$32,'Inputs'!$B$30+'Inputs'!$B$31+'Inputs'!$B$32)/1000+'Inputs'!$B$21))/SQRT((((527-43)*MAX('Inputs'!$B$33,'Inputs'!$B$29+'Inputs'!$B$31+'Inputs'!$B$32,'Inputs'!$B$30+'Inputs'!$B$31+'Inputs'!$B$32)/1000+'Inputs'!$B$21))^2+('Inputs'!$B$6/2)^2)))-'Results'!C7*(1-'Inputs'!$B$24)*(0.5*((((527-43)*MAX('Inputs'!$B$33,'Inputs'!$B$29+'Inputs'!$B$31+'Inputs'!$B$32,'Inputs'!$B$30+'Inputs'!$B$31+'Inputs'!$B$32)/1000+'Inputs'!$B$21+'Inputs'!$B$7+'Inputs'!$B$10)+'Inputs'!$B$9)/SQRT((((527-43)*MAX('Inputs'!$B$33,'Inputs'!$B$29+'Inputs'!$B$31+'Inputs'!$B$32,'Inputs'!$B$30+'Inputs'!$B$31+'Inputs'!$B$32)/1000+'Inputs'!$B$21+'Inputs'!$B$7+'Inputs'!$B$10)+'Inputs'!$B$9)^2+('Inputs'!$B$8/2)^2)-(((527-43)*MAX('Inputs'!$B$33,'Inputs'!$B$29+'Inputs'!$B$31+'Inputs'!$B$32,'Inputs'!$B$30+'Inputs'!$B$31+'Inputs'!$B$32)/1000+'Inputs'!$B$21+'Inputs'!$B$7+'Inputs'!$B$10))/SQRT((((527-43)*MAX('Inputs'!$B$33,'Inputs'!$B$29+'Inputs'!$B$31+'Inputs'!$B$32,'Inputs'!$B$30+'Inputs'!$B$31+'Inputs'!$B$32)/1000+'Inputs'!$B$21+'Inputs'!$B$7+'Inputs'!$B$10))^2+('Inputs'!$B$8/2)^2))))*'Results'!$B$8)+'Inputs'!$B$28*ABS((('Results'!B7*(1+'Inputs'!$B$24)*(0.5*((((527-43)*MAX('Inputs'!$B$33,'Inputs'!$B$29+'Inputs'!$B$31+'Inputs'!$B$32,'Inputs'!$B$30+'Inputs'!$B$31+'Inputs'!$B$32)/1000+'Inputs'!$B$21)+'Inputs'!$B$7)/SQRT((((527-43)*MAX('Inputs'!$B$33,'Inputs'!$B$29+'Inputs'!$B$31+'Inputs'!$B$32,'Inputs'!$B$30+'Inputs'!$B$31+'Inputs'!$B$32)/1000+'Inputs'!$B$21)+'Inputs'!$B$7)^2+('Inputs'!$B$6/2)^2)-(((527-43)*MAX('Inputs'!$B$33,'Inputs'!$B$29+'Inputs'!$B$31+'Inputs'!$B$32,'Inputs'!$B$30+'Inputs'!$B$31+'Inputs'!$B$32)/1000+'Inputs'!$B$21))/SQRT((((527-43)*MAX('Inputs'!$B$33,'Inputs'!$B$29+'Inputs'!$B$31+'Inputs'!$B$32,'Inputs'!$B$30+'Inputs'!$B$31+'Inputs'!$B$32)/1000+'Inputs'!$B$21))^2+('Inputs'!$B$6/2)^2)))-'Results'!C7*(1-'Inputs'!$B$24)*(0.5*((((527-43)*MAX('Inputs'!$B$33,'Inputs'!$B$29+'Inputs'!$B$31+'Inputs'!$B$32,'Inputs'!$B$30+'Inputs'!$B$31+'Inputs'!$B$32)/1000+'Inputs'!$B$21+'Inputs'!$B$7+'Inputs'!$B$10)+'Inputs'!$B$9)/SQRT((((527-43)*MAX('Inputs'!$B$33,'Inputs'!$B$29+'Inputs'!$B$31+'Inputs'!$B$32,'Inputs'!$B$30+'Inputs'!$B$31+'Inputs'!$B$32)/1000+'Inputs'!$B$21+'Inputs'!$B$7+'Inputs'!$B$10)+'Inputs'!$B$9)^2+('Inputs'!$B$8/2)^2)-(((527-43)*MAX('Inputs'!$B$33,'Inputs'!$B$29+'Inputs'!$B$31+'Inputs'!$B$32,'Inputs'!$B$30+'Inputs'!$B$31+'Inputs'!$B$32)/1000+'Inputs'!$B$21+'Inputs'!$B$7+'Inputs'!$B$10))/SQRT((((527-43)*MAX('Inputs'!$B$33,'Inputs'!$B$29+'Inputs'!$B$31+'Inputs'!$B$32,'Inputs'!$B$30+'Inputs'!$B$31+'Inputs'!$B$32)/1000+'Inputs'!$B$21+'Inputs'!$B$7+'Inputs'!$B$10))^2+('Inputs'!$B$8/2)^2))))*'Results'!$B$8))),"")</x:f>
        <x:v>5.227366726876254</x:v>
      </x:c>
      <x:c r="M527" t="n">
        <x:f>IF(AND(ISNUMBER('Results'!C7),ISNUMBER('Results'!B7),ISNUMBER('Results'!$B$8),ISNUMBER('Inputs'!$B$6),ISNUMBER('Inputs'!$B$7),ISNUMBER('Inputs'!$B$8),ISNUMBER('Inputs'!$B$9),ISNUMBER('Inputs'!$B$10),ISNUMBER('Inputs'!$B$21),ISNUMBER('Inputs'!$B$24),ISNUMBER('Inputs'!$B$28)),(('Results'!C7*(0.5*((((527-43)*MAX('Inputs'!$B$33,'Inputs'!$B$29+'Inputs'!$B$31+'Inputs'!$B$32,'Inputs'!$B$30+'Inputs'!$B$31+'Inputs'!$B$32)/1000+'Inputs'!$B$21)+'Inputs'!$B$9)/SQRT((((527-43)*MAX('Inputs'!$B$33,'Inputs'!$B$29+'Inputs'!$B$31+'Inputs'!$B$32,'Inputs'!$B$30+'Inputs'!$B$31+'Inputs'!$B$32)/1000+'Inputs'!$B$21)+'Inputs'!$B$9)^2+('Inputs'!$B$8/2)^2)-(((527-43)*MAX('Inputs'!$B$33,'Inputs'!$B$29+'Inputs'!$B$31+'Inputs'!$B$32,'Inputs'!$B$30+'Inputs'!$B$31+'Inputs'!$B$32)/1000+'Inputs'!$B$21))/SQRT((((527-43)*MAX('Inputs'!$B$33,'Inputs'!$B$29+'Inputs'!$B$31+'Inputs'!$B$32,'Inputs'!$B$30+'Inputs'!$B$31+'Inputs'!$B$32)/1000+'Inputs'!$B$21))^2+('Inputs'!$B$8/2)^2)))-'Results'!B7*(0.5*((((527-43)*MAX('Inputs'!$B$33,'Inputs'!$B$29+'Inputs'!$B$31+'Inputs'!$B$32,'Inputs'!$B$30+'Inputs'!$B$31+'Inputs'!$B$32)/1000+'Inputs'!$B$21+'Inputs'!$B$9+'Inputs'!$B$10)+'Inputs'!$B$7)/SQRT((((527-43)*MAX('Inputs'!$B$33,'Inputs'!$B$29+'Inputs'!$B$31+'Inputs'!$B$32,'Inputs'!$B$30+'Inputs'!$B$31+'Inputs'!$B$32)/1000+'Inputs'!$B$21+'Inputs'!$B$9+'Inputs'!$B$10)+'Inputs'!$B$7)^2+('Inputs'!$B$6/2)^2)-(((527-43)*MAX('Inputs'!$B$33,'Inputs'!$B$29+'Inputs'!$B$31+'Inputs'!$B$32,'Inputs'!$B$30+'Inputs'!$B$31+'Inputs'!$B$32)/1000+'Inputs'!$B$21+'Inputs'!$B$9+'Inputs'!$B$10))/SQRT((((527-43)*MAX('Inputs'!$B$33,'Inputs'!$B$29+'Inputs'!$B$31+'Inputs'!$B$32,'Inputs'!$B$30+'Inputs'!$B$31+'Inputs'!$B$32)/1000+'Inputs'!$B$21+'Inputs'!$B$9+'Inputs'!$B$10))^2+('Inputs'!$B$6/2)^2))))*'Results'!$B$8),"")</x:f>
        <x:v>4.358406169383181</x:v>
      </x:c>
      <x:c r="N527" t="n">
        <x:f>IF(AND(ISNUMBER('Results'!C7),ISNUMBER('Results'!B7),ISNUMBER('Results'!$B$8),ISNUMBER('Inputs'!$B$6),ISNUMBER('Inputs'!$B$7),ISNUMBER('Inputs'!$B$8),ISNUMBER('Inputs'!$B$9),ISNUMBER('Inputs'!$B$10),ISNUMBER('Inputs'!$B$21),ISNUMBER('Inputs'!$B$24),ISNUMBER('Inputs'!$B$28)),((('Results'!C7*(1-'Inputs'!$B$24)*(0.5*((((527-43)*MAX('Inputs'!$B$33,'Inputs'!$B$29+'Inputs'!$B$31+'Inputs'!$B$32,'Inputs'!$B$30+'Inputs'!$B$31+'Inputs'!$B$32)/1000+'Inputs'!$B$21)+'Inputs'!$B$9)/SQRT((((527-43)*MAX('Inputs'!$B$33,'Inputs'!$B$29+'Inputs'!$B$31+'Inputs'!$B$32,'Inputs'!$B$30+'Inputs'!$B$31+'Inputs'!$B$32)/1000+'Inputs'!$B$21)+'Inputs'!$B$9)^2+('Inputs'!$B$8/2)^2)-(((527-43)*MAX('Inputs'!$B$33,'Inputs'!$B$29+'Inputs'!$B$31+'Inputs'!$B$32,'Inputs'!$B$30+'Inputs'!$B$31+'Inputs'!$B$32)/1000+'Inputs'!$B$21))/SQRT((((527-43)*MAX('Inputs'!$B$33,'Inputs'!$B$29+'Inputs'!$B$31+'Inputs'!$B$32,'Inputs'!$B$30+'Inputs'!$B$31+'Inputs'!$B$32)/1000+'Inputs'!$B$21))^2+('Inputs'!$B$8/2)^2)))-'Results'!B7*(1+'Inputs'!$B$24)*(0.5*((((527-43)*MAX('Inputs'!$B$33,'Inputs'!$B$29+'Inputs'!$B$31+'Inputs'!$B$32,'Inputs'!$B$30+'Inputs'!$B$31+'Inputs'!$B$32)/1000+'Inputs'!$B$21+'Inputs'!$B$9+'Inputs'!$B$10)+'Inputs'!$B$7)/SQRT((((527-43)*MAX('Inputs'!$B$33,'Inputs'!$B$29+'Inputs'!$B$31+'Inputs'!$B$32,'Inputs'!$B$30+'Inputs'!$B$31+'Inputs'!$B$32)/1000+'Inputs'!$B$21+'Inputs'!$B$9+'Inputs'!$B$10)+'Inputs'!$B$7)^2+('Inputs'!$B$6/2)^2)-(((527-43)*MAX('Inputs'!$B$33,'Inputs'!$B$29+'Inputs'!$B$31+'Inputs'!$B$32,'Inputs'!$B$30+'Inputs'!$B$31+'Inputs'!$B$32)/1000+'Inputs'!$B$21+'Inputs'!$B$9+'Inputs'!$B$10))/SQRT((((527-43)*MAX('Inputs'!$B$33,'Inputs'!$B$29+'Inputs'!$B$31+'Inputs'!$B$32,'Inputs'!$B$30+'Inputs'!$B$31+'Inputs'!$B$32)/1000+'Inputs'!$B$21+'Inputs'!$B$9+'Inputs'!$B$10))^2+('Inputs'!$B$6/2)^2))))*'Results'!$B$8)-'Inputs'!$B$28*ABS((('Results'!C7*(1-'Inputs'!$B$24)*(0.5*((((527-43)*MAX('Inputs'!$B$33,'Inputs'!$B$29+'Inputs'!$B$31+'Inputs'!$B$32,'Inputs'!$B$30+'Inputs'!$B$31+'Inputs'!$B$32)/1000+'Inputs'!$B$21)+'Inputs'!$B$9)/SQRT((((527-43)*MAX('Inputs'!$B$33,'Inputs'!$B$29+'Inputs'!$B$31+'Inputs'!$B$32,'Inputs'!$B$30+'Inputs'!$B$31+'Inputs'!$B$32)/1000+'Inputs'!$B$21)+'Inputs'!$B$9)^2+('Inputs'!$B$8/2)^2)-(((527-43)*MAX('Inputs'!$B$33,'Inputs'!$B$29+'Inputs'!$B$31+'Inputs'!$B$32,'Inputs'!$B$30+'Inputs'!$B$31+'Inputs'!$B$32)/1000+'Inputs'!$B$21))/SQRT((((527-43)*MAX('Inputs'!$B$33,'Inputs'!$B$29+'Inputs'!$B$31+'Inputs'!$B$32,'Inputs'!$B$30+'Inputs'!$B$31+'Inputs'!$B$32)/1000+'Inputs'!$B$21))^2+('Inputs'!$B$8/2)^2)))-'Results'!B7*(1+'Inputs'!$B$24)*(0.5*((((527-43)*MAX('Inputs'!$B$33,'Inputs'!$B$29+'Inputs'!$B$31+'Inputs'!$B$32,'Inputs'!$B$30+'Inputs'!$B$31+'Inputs'!$B$32)/1000+'Inputs'!$B$21+'Inputs'!$B$9+'Inputs'!$B$10)+'Inputs'!$B$7)/SQRT((((527-43)*MAX('Inputs'!$B$33,'Inputs'!$B$29+'Inputs'!$B$31+'Inputs'!$B$32,'Inputs'!$B$30+'Inputs'!$B$31+'Inputs'!$B$32)/1000+'Inputs'!$B$21+'Inputs'!$B$9+'Inputs'!$B$10)+'Inputs'!$B$7)^2+('Inputs'!$B$6/2)^2)-(((527-43)*MAX('Inputs'!$B$33,'Inputs'!$B$29+'Inputs'!$B$31+'Inputs'!$B$32,'Inputs'!$B$30+'Inputs'!$B$31+'Inputs'!$B$32)/1000+'Inputs'!$B$21+'Inputs'!$B$9+'Inputs'!$B$10))/SQRT((((527-43)*MAX('Inputs'!$B$33,'Inputs'!$B$29+'Inputs'!$B$31+'Inputs'!$B$32,'Inputs'!$B$30+'Inputs'!$B$31+'Inputs'!$B$32)/1000+'Inputs'!$B$21+'Inputs'!$B$9+'Inputs'!$B$10))^2+('Inputs'!$B$6/2)^2))))*'Results'!$B$8))),"")</x:f>
        <x:v>3.8487449422789752</x:v>
      </x:c>
      <x:c r="O527" t="n">
        <x:f>IF(AND(ISNUMBER('Results'!C7),ISNUMBER('Results'!B7),ISNUMBER('Results'!$B$8),ISNUMBER('Inputs'!$B$6),ISNUMBER('Inputs'!$B$7),ISNUMBER('Inputs'!$B$8),ISNUMBER('Inputs'!$B$9),ISNUMBER('Inputs'!$B$10),ISNUMBER('Inputs'!$B$21),ISNUMBER('Inputs'!$B$24),ISNUMBER('Inputs'!$B$28)),((('Results'!C7*(1+'Inputs'!$B$24)*(0.5*((((527-43)*MAX('Inputs'!$B$33,'Inputs'!$B$29+'Inputs'!$B$31+'Inputs'!$B$32,'Inputs'!$B$30+'Inputs'!$B$31+'Inputs'!$B$32)/1000+'Inputs'!$B$21)+'Inputs'!$B$9)/SQRT((((527-43)*MAX('Inputs'!$B$33,'Inputs'!$B$29+'Inputs'!$B$31+'Inputs'!$B$32,'Inputs'!$B$30+'Inputs'!$B$31+'Inputs'!$B$32)/1000+'Inputs'!$B$21)+'Inputs'!$B$9)^2+('Inputs'!$B$8/2)^2)-(((527-43)*MAX('Inputs'!$B$33,'Inputs'!$B$29+'Inputs'!$B$31+'Inputs'!$B$32,'Inputs'!$B$30+'Inputs'!$B$31+'Inputs'!$B$32)/1000+'Inputs'!$B$21))/SQRT((((527-43)*MAX('Inputs'!$B$33,'Inputs'!$B$29+'Inputs'!$B$31+'Inputs'!$B$32,'Inputs'!$B$30+'Inputs'!$B$31+'Inputs'!$B$32)/1000+'Inputs'!$B$21))^2+('Inputs'!$B$8/2)^2)))-'Results'!B7*(1-'Inputs'!$B$24)*(0.5*((((527-43)*MAX('Inputs'!$B$33,'Inputs'!$B$29+'Inputs'!$B$31+'Inputs'!$B$32,'Inputs'!$B$30+'Inputs'!$B$31+'Inputs'!$B$32)/1000+'Inputs'!$B$21+'Inputs'!$B$9+'Inputs'!$B$10)+'Inputs'!$B$7)/SQRT((((527-43)*MAX('Inputs'!$B$33,'Inputs'!$B$29+'Inputs'!$B$31+'Inputs'!$B$32,'Inputs'!$B$30+'Inputs'!$B$31+'Inputs'!$B$32)/1000+'Inputs'!$B$21+'Inputs'!$B$9+'Inputs'!$B$10)+'Inputs'!$B$7)^2+('Inputs'!$B$6/2)^2)-(((527-43)*MAX('Inputs'!$B$33,'Inputs'!$B$29+'Inputs'!$B$31+'Inputs'!$B$32,'Inputs'!$B$30+'Inputs'!$B$31+'Inputs'!$B$32)/1000+'Inputs'!$B$21+'Inputs'!$B$9+'Inputs'!$B$10))/SQRT((((527-43)*MAX('Inputs'!$B$33,'Inputs'!$B$29+'Inputs'!$B$31+'Inputs'!$B$32,'Inputs'!$B$30+'Inputs'!$B$31+'Inputs'!$B$32)/1000+'Inputs'!$B$21+'Inputs'!$B$9+'Inputs'!$B$10))^2+('Inputs'!$B$6/2)^2))))*'Results'!$B$8)+'Inputs'!$B$28*ABS((('Results'!C7*(1+'Inputs'!$B$24)*(0.5*((((527-43)*MAX('Inputs'!$B$33,'Inputs'!$B$29+'Inputs'!$B$31+'Inputs'!$B$32,'Inputs'!$B$30+'Inputs'!$B$31+'Inputs'!$B$32)/1000+'Inputs'!$B$21)+'Inputs'!$B$9)/SQRT((((527-43)*MAX('Inputs'!$B$33,'Inputs'!$B$29+'Inputs'!$B$31+'Inputs'!$B$32,'Inputs'!$B$30+'Inputs'!$B$31+'Inputs'!$B$32)/1000+'Inputs'!$B$21)+'Inputs'!$B$9)^2+('Inputs'!$B$8/2)^2)-(((527-43)*MAX('Inputs'!$B$33,'Inputs'!$B$29+'Inputs'!$B$31+'Inputs'!$B$32,'Inputs'!$B$30+'Inputs'!$B$31+'Inputs'!$B$32)/1000+'Inputs'!$B$21))/SQRT((((527-43)*MAX('Inputs'!$B$33,'Inputs'!$B$29+'Inputs'!$B$31+'Inputs'!$B$32,'Inputs'!$B$30+'Inputs'!$B$31+'Inputs'!$B$32)/1000+'Inputs'!$B$21))^2+('Inputs'!$B$8/2)^2)))-'Results'!B7*(1-'Inputs'!$B$24)*(0.5*((((527-43)*MAX('Inputs'!$B$33,'Inputs'!$B$29+'Inputs'!$B$31+'Inputs'!$B$32,'Inputs'!$B$30+'Inputs'!$B$31+'Inputs'!$B$32)/1000+'Inputs'!$B$21+'Inputs'!$B$9+'Inputs'!$B$10)+'Inputs'!$B$7)/SQRT((((527-43)*MAX('Inputs'!$B$33,'Inputs'!$B$29+'Inputs'!$B$31+'Inputs'!$B$32,'Inputs'!$B$30+'Inputs'!$B$31+'Inputs'!$B$32)/1000+'Inputs'!$B$21+'Inputs'!$B$9+'Inputs'!$B$10)+'Inputs'!$B$7)^2+('Inputs'!$B$6/2)^2)-(((527-43)*MAX('Inputs'!$B$33,'Inputs'!$B$29+'Inputs'!$B$31+'Inputs'!$B$32,'Inputs'!$B$30+'Inputs'!$B$31+'Inputs'!$B$32)/1000+'Inputs'!$B$21+'Inputs'!$B$9+'Inputs'!$B$10))/SQRT((((527-43)*MAX('Inputs'!$B$33,'Inputs'!$B$29+'Inputs'!$B$31+'Inputs'!$B$32,'Inputs'!$B$30+'Inputs'!$B$31+'Inputs'!$B$32)/1000+'Inputs'!$B$21+'Inputs'!$B$9+'Inputs'!$B$10))^2+('Inputs'!$B$6/2)^2))))*'Results'!$B$8))),"")</x:f>
        <x:v>4.898776966870023</x:v>
      </x:c>
      <x:c r="P527" t="n">
        <x:f>IF(AND(MAX(J527,J526)&gt;0,J527&gt;J526+0.00000001),1,0)</x:f>
        <x:v>0</x:v>
      </x:c>
      <x:c r="Q527" t="n">
        <x:f>IF(AND(MAX(K527,K526)&gt;0,K527&gt;K526+0.00000001),1,0)</x:f>
        <x:v>0</x:v>
      </x:c>
      <x:c r="R527" t="n">
        <x:f>IF(AND(MAX(L527,L526)&gt;0,L527&gt;L526+0.00000001),1,0)</x:f>
        <x:v>0</x:v>
      </x:c>
      <x:c r="S527" t="n">
        <x:f>IF(AND(MAX(M527,M526)&gt;0,M527&gt;M526+0.00000001),1,0)</x:f>
        <x:v>0</x:v>
      </x:c>
      <x:c r="T527" t="n">
        <x:f>IF(AND(MAX(N527,N526)&gt;0,N527&gt;N526+0.00000001),1,0)</x:f>
        <x:v>0</x:v>
      </x:c>
      <x:c r="U527" t="n">
        <x:f>IF(AND(MAX(O527,O526)&gt;0,O527&gt;O526+0.00000001),1,0)</x:f>
        <x:v>0</x:v>
      </x:c>
    </x:row>
    <x:row r="528">
      <x:c r="J528" t="n">
        <x:f>IF(AND(ISNUMBER('Results'!B7),ISNUMBER('Results'!C7),ISNUMBER('Results'!$B$8),ISNUMBER('Inputs'!$B$6),ISNUMBER('Inputs'!$B$7),ISNUMBER('Inputs'!$B$8),ISNUMBER('Inputs'!$B$9),ISNUMBER('Inputs'!$B$10),ISNUMBER('Inputs'!$B$21),ISNUMBER('Inputs'!$B$24),ISNUMBER('Inputs'!$B$28)),(('Results'!B7*(0.5*((((528-43)*MAX('Inputs'!$B$33,'Inputs'!$B$29+'Inputs'!$B$31+'Inputs'!$B$32,'Inputs'!$B$30+'Inputs'!$B$31+'Inputs'!$B$32)/1000+'Inputs'!$B$21)+'Inputs'!$B$7)/SQRT((((528-43)*MAX('Inputs'!$B$33,'Inputs'!$B$29+'Inputs'!$B$31+'Inputs'!$B$32,'Inputs'!$B$30+'Inputs'!$B$31+'Inputs'!$B$32)/1000+'Inputs'!$B$21)+'Inputs'!$B$7)^2+('Inputs'!$B$6/2)^2)-(((528-43)*MAX('Inputs'!$B$33,'Inputs'!$B$29+'Inputs'!$B$31+'Inputs'!$B$32,'Inputs'!$B$30+'Inputs'!$B$31+'Inputs'!$B$32)/1000+'Inputs'!$B$21))/SQRT((((528-43)*MAX('Inputs'!$B$33,'Inputs'!$B$29+'Inputs'!$B$31+'Inputs'!$B$32,'Inputs'!$B$30+'Inputs'!$B$31+'Inputs'!$B$32)/1000+'Inputs'!$B$21))^2+('Inputs'!$B$6/2)^2)))-'Results'!C7*(0.5*((((528-43)*MAX('Inputs'!$B$33,'Inputs'!$B$29+'Inputs'!$B$31+'Inputs'!$B$32,'Inputs'!$B$30+'Inputs'!$B$31+'Inputs'!$B$32)/1000+'Inputs'!$B$21+'Inputs'!$B$7+'Inputs'!$B$10)+'Inputs'!$B$9)/SQRT((((528-43)*MAX('Inputs'!$B$33,'Inputs'!$B$29+'Inputs'!$B$31+'Inputs'!$B$32,'Inputs'!$B$30+'Inputs'!$B$31+'Inputs'!$B$32)/1000+'Inputs'!$B$21+'Inputs'!$B$7+'Inputs'!$B$10)+'Inputs'!$B$9)^2+('Inputs'!$B$8/2)^2)-(((528-43)*MAX('Inputs'!$B$33,'Inputs'!$B$29+'Inputs'!$B$31+'Inputs'!$B$32,'Inputs'!$B$30+'Inputs'!$B$31+'Inputs'!$B$32)/1000+'Inputs'!$B$21+'Inputs'!$B$7+'Inputs'!$B$10))/SQRT((((528-43)*MAX('Inputs'!$B$33,'Inputs'!$B$29+'Inputs'!$B$31+'Inputs'!$B$32,'Inputs'!$B$30+'Inputs'!$B$31+'Inputs'!$B$32)/1000+'Inputs'!$B$21+'Inputs'!$B$7+'Inputs'!$B$10))^2+('Inputs'!$B$8/2)^2))))*'Results'!$B$8),"")</x:f>
        <x:v>4.636865799108362</x:v>
      </x:c>
      <x:c r="K528" t="n">
        <x:f>IF(AND(ISNUMBER('Results'!B7),ISNUMBER('Results'!C7),ISNUMBER('Results'!$B$8),ISNUMBER('Inputs'!$B$6),ISNUMBER('Inputs'!$B$7),ISNUMBER('Inputs'!$B$8),ISNUMBER('Inputs'!$B$9),ISNUMBER('Inputs'!$B$10),ISNUMBER('Inputs'!$B$21),ISNUMBER('Inputs'!$B$24),ISNUMBER('Inputs'!$B$28)),((('Results'!B7*(1-'Inputs'!$B$24)*(0.5*((((528-43)*MAX('Inputs'!$B$33,'Inputs'!$B$29+'Inputs'!$B$31+'Inputs'!$B$32,'Inputs'!$B$30+'Inputs'!$B$31+'Inputs'!$B$32)/1000+'Inputs'!$B$21)+'Inputs'!$B$7)/SQRT((((528-43)*MAX('Inputs'!$B$33,'Inputs'!$B$29+'Inputs'!$B$31+'Inputs'!$B$32,'Inputs'!$B$30+'Inputs'!$B$31+'Inputs'!$B$32)/1000+'Inputs'!$B$21)+'Inputs'!$B$7)^2+('Inputs'!$B$6/2)^2)-(((528-43)*MAX('Inputs'!$B$33,'Inputs'!$B$29+'Inputs'!$B$31+'Inputs'!$B$32,'Inputs'!$B$30+'Inputs'!$B$31+'Inputs'!$B$32)/1000+'Inputs'!$B$21))/SQRT((((528-43)*MAX('Inputs'!$B$33,'Inputs'!$B$29+'Inputs'!$B$31+'Inputs'!$B$32,'Inputs'!$B$30+'Inputs'!$B$31+'Inputs'!$B$32)/1000+'Inputs'!$B$21))^2+('Inputs'!$B$6/2)^2)))-'Results'!C7*(1+'Inputs'!$B$24)*(0.5*((((528-43)*MAX('Inputs'!$B$33,'Inputs'!$B$29+'Inputs'!$B$31+'Inputs'!$B$32,'Inputs'!$B$30+'Inputs'!$B$31+'Inputs'!$B$32)/1000+'Inputs'!$B$21+'Inputs'!$B$7+'Inputs'!$B$10)+'Inputs'!$B$9)/SQRT((((528-43)*MAX('Inputs'!$B$33,'Inputs'!$B$29+'Inputs'!$B$31+'Inputs'!$B$32,'Inputs'!$B$30+'Inputs'!$B$31+'Inputs'!$B$32)/1000+'Inputs'!$B$21+'Inputs'!$B$7+'Inputs'!$B$10)+'Inputs'!$B$9)^2+('Inputs'!$B$8/2)^2)-(((528-43)*MAX('Inputs'!$B$33,'Inputs'!$B$29+'Inputs'!$B$31+'Inputs'!$B$32,'Inputs'!$B$30+'Inputs'!$B$31+'Inputs'!$B$32)/1000+'Inputs'!$B$21+'Inputs'!$B$7+'Inputs'!$B$10))/SQRT((((528-43)*MAX('Inputs'!$B$33,'Inputs'!$B$29+'Inputs'!$B$31+'Inputs'!$B$32,'Inputs'!$B$30+'Inputs'!$B$31+'Inputs'!$B$32)/1000+'Inputs'!$B$21+'Inputs'!$B$7+'Inputs'!$B$10))^2+('Inputs'!$B$8/2)^2))))*'Results'!$B$8)-'Inputs'!$B$28*ABS((('Results'!B7*(1-'Inputs'!$B$24)*(0.5*((((528-43)*MAX('Inputs'!$B$33,'Inputs'!$B$29+'Inputs'!$B$31+'Inputs'!$B$32,'Inputs'!$B$30+'Inputs'!$B$31+'Inputs'!$B$32)/1000+'Inputs'!$B$21)+'Inputs'!$B$7)/SQRT((((528-43)*MAX('Inputs'!$B$33,'Inputs'!$B$29+'Inputs'!$B$31+'Inputs'!$B$32,'Inputs'!$B$30+'Inputs'!$B$31+'Inputs'!$B$32)/1000+'Inputs'!$B$21)+'Inputs'!$B$7)^2+('Inputs'!$B$6/2)^2)-(((528-43)*MAX('Inputs'!$B$33,'Inputs'!$B$29+'Inputs'!$B$31+'Inputs'!$B$32,'Inputs'!$B$30+'Inputs'!$B$31+'Inputs'!$B$32)/1000+'Inputs'!$B$21))/SQRT((((528-43)*MAX('Inputs'!$B$33,'Inputs'!$B$29+'Inputs'!$B$31+'Inputs'!$B$32,'Inputs'!$B$30+'Inputs'!$B$31+'Inputs'!$B$32)/1000+'Inputs'!$B$21))^2+('Inputs'!$B$6/2)^2)))-'Results'!C7*(1+'Inputs'!$B$24)*(0.5*((((528-43)*MAX('Inputs'!$B$33,'Inputs'!$B$29+'Inputs'!$B$31+'Inputs'!$B$32,'Inputs'!$B$30+'Inputs'!$B$31+'Inputs'!$B$32)/1000+'Inputs'!$B$21+'Inputs'!$B$7+'Inputs'!$B$10)+'Inputs'!$B$9)/SQRT((((528-43)*MAX('Inputs'!$B$33,'Inputs'!$B$29+'Inputs'!$B$31+'Inputs'!$B$32,'Inputs'!$B$30+'Inputs'!$B$31+'Inputs'!$B$32)/1000+'Inputs'!$B$21+'Inputs'!$B$7+'Inputs'!$B$10)+'Inputs'!$B$9)^2+('Inputs'!$B$8/2)^2)-(((528-43)*MAX('Inputs'!$B$33,'Inputs'!$B$29+'Inputs'!$B$31+'Inputs'!$B$32,'Inputs'!$B$30+'Inputs'!$B$31+'Inputs'!$B$32)/1000+'Inputs'!$B$21+'Inputs'!$B$7+'Inputs'!$B$10))/SQRT((((528-43)*MAX('Inputs'!$B$33,'Inputs'!$B$29+'Inputs'!$B$31+'Inputs'!$B$32,'Inputs'!$B$30+'Inputs'!$B$31+'Inputs'!$B$32)/1000+'Inputs'!$B$21+'Inputs'!$B$7+'Inputs'!$B$10))^2+('Inputs'!$B$8/2)^2))))*'Results'!$B$8))),"")</x:f>
        <x:v>4.11314465391599</x:v>
      </x:c>
      <x:c r="L528" t="n">
        <x:f>IF(AND(ISNUMBER('Results'!B7),ISNUMBER('Results'!C7),ISNUMBER('Results'!$B$8),ISNUMBER('Inputs'!$B$6),ISNUMBER('Inputs'!$B$7),ISNUMBER('Inputs'!$B$8),ISNUMBER('Inputs'!$B$9),ISNUMBER('Inputs'!$B$10),ISNUMBER('Inputs'!$B$21),ISNUMBER('Inputs'!$B$24),ISNUMBER('Inputs'!$B$28)),((('Results'!B7*(1+'Inputs'!$B$24)*(0.5*((((528-43)*MAX('Inputs'!$B$33,'Inputs'!$B$29+'Inputs'!$B$31+'Inputs'!$B$32,'Inputs'!$B$30+'Inputs'!$B$31+'Inputs'!$B$32)/1000+'Inputs'!$B$21)+'Inputs'!$B$7)/SQRT((((528-43)*MAX('Inputs'!$B$33,'Inputs'!$B$29+'Inputs'!$B$31+'Inputs'!$B$32,'Inputs'!$B$30+'Inputs'!$B$31+'Inputs'!$B$32)/1000+'Inputs'!$B$21)+'Inputs'!$B$7)^2+('Inputs'!$B$6/2)^2)-(((528-43)*MAX('Inputs'!$B$33,'Inputs'!$B$29+'Inputs'!$B$31+'Inputs'!$B$32,'Inputs'!$B$30+'Inputs'!$B$31+'Inputs'!$B$32)/1000+'Inputs'!$B$21))/SQRT((((528-43)*MAX('Inputs'!$B$33,'Inputs'!$B$29+'Inputs'!$B$31+'Inputs'!$B$32,'Inputs'!$B$30+'Inputs'!$B$31+'Inputs'!$B$32)/1000+'Inputs'!$B$21))^2+('Inputs'!$B$6/2)^2)))-'Results'!C7*(1-'Inputs'!$B$24)*(0.5*((((528-43)*MAX('Inputs'!$B$33,'Inputs'!$B$29+'Inputs'!$B$31+'Inputs'!$B$32,'Inputs'!$B$30+'Inputs'!$B$31+'Inputs'!$B$32)/1000+'Inputs'!$B$21+'Inputs'!$B$7+'Inputs'!$B$10)+'Inputs'!$B$9)/SQRT((((528-43)*MAX('Inputs'!$B$33,'Inputs'!$B$29+'Inputs'!$B$31+'Inputs'!$B$32,'Inputs'!$B$30+'Inputs'!$B$31+'Inputs'!$B$32)/1000+'Inputs'!$B$21+'Inputs'!$B$7+'Inputs'!$B$10)+'Inputs'!$B$9)^2+('Inputs'!$B$8/2)^2)-(((528-43)*MAX('Inputs'!$B$33,'Inputs'!$B$29+'Inputs'!$B$31+'Inputs'!$B$32,'Inputs'!$B$30+'Inputs'!$B$31+'Inputs'!$B$32)/1000+'Inputs'!$B$21+'Inputs'!$B$7+'Inputs'!$B$10))/SQRT((((528-43)*MAX('Inputs'!$B$33,'Inputs'!$B$29+'Inputs'!$B$31+'Inputs'!$B$32,'Inputs'!$B$30+'Inputs'!$B$31+'Inputs'!$B$32)/1000+'Inputs'!$B$21+'Inputs'!$B$7+'Inputs'!$B$10))^2+('Inputs'!$B$8/2)^2))))*'Results'!$B$8)+'Inputs'!$B$28*ABS((('Results'!B7*(1+'Inputs'!$B$24)*(0.5*((((528-43)*MAX('Inputs'!$B$33,'Inputs'!$B$29+'Inputs'!$B$31+'Inputs'!$B$32,'Inputs'!$B$30+'Inputs'!$B$31+'Inputs'!$B$32)/1000+'Inputs'!$B$21)+'Inputs'!$B$7)/SQRT((((528-43)*MAX('Inputs'!$B$33,'Inputs'!$B$29+'Inputs'!$B$31+'Inputs'!$B$32,'Inputs'!$B$30+'Inputs'!$B$31+'Inputs'!$B$32)/1000+'Inputs'!$B$21)+'Inputs'!$B$7)^2+('Inputs'!$B$6/2)^2)-(((528-43)*MAX('Inputs'!$B$33,'Inputs'!$B$29+'Inputs'!$B$31+'Inputs'!$B$32,'Inputs'!$B$30+'Inputs'!$B$31+'Inputs'!$B$32)/1000+'Inputs'!$B$21))/SQRT((((528-43)*MAX('Inputs'!$B$33,'Inputs'!$B$29+'Inputs'!$B$31+'Inputs'!$B$32,'Inputs'!$B$30+'Inputs'!$B$31+'Inputs'!$B$32)/1000+'Inputs'!$B$21))^2+('Inputs'!$B$6/2)^2)))-'Results'!C7*(1-'Inputs'!$B$24)*(0.5*((((528-43)*MAX('Inputs'!$B$33,'Inputs'!$B$29+'Inputs'!$B$31+'Inputs'!$B$32,'Inputs'!$B$30+'Inputs'!$B$31+'Inputs'!$B$32)/1000+'Inputs'!$B$21+'Inputs'!$B$7+'Inputs'!$B$10)+'Inputs'!$B$9)/SQRT((((528-43)*MAX('Inputs'!$B$33,'Inputs'!$B$29+'Inputs'!$B$31+'Inputs'!$B$32,'Inputs'!$B$30+'Inputs'!$B$31+'Inputs'!$B$32)/1000+'Inputs'!$B$21+'Inputs'!$B$7+'Inputs'!$B$10)+'Inputs'!$B$9)^2+('Inputs'!$B$8/2)^2)-(((528-43)*MAX('Inputs'!$B$33,'Inputs'!$B$29+'Inputs'!$B$31+'Inputs'!$B$32,'Inputs'!$B$30+'Inputs'!$B$31+'Inputs'!$B$32)/1000+'Inputs'!$B$21+'Inputs'!$B$7+'Inputs'!$B$10))/SQRT((((528-43)*MAX('Inputs'!$B$33,'Inputs'!$B$29+'Inputs'!$B$31+'Inputs'!$B$32,'Inputs'!$B$30+'Inputs'!$B$31+'Inputs'!$B$32)/1000+'Inputs'!$B$21+'Inputs'!$B$7+'Inputs'!$B$10))^2+('Inputs'!$B$8/2)^2))))*'Results'!$B$8))),"")</x:f>
        <x:v>5.191310929062519</x:v>
      </x:c>
      <x:c r="M528" t="n">
        <x:f>IF(AND(ISNUMBER('Results'!C7),ISNUMBER('Results'!B7),ISNUMBER('Results'!$B$8),ISNUMBER('Inputs'!$B$6),ISNUMBER('Inputs'!$B$7),ISNUMBER('Inputs'!$B$8),ISNUMBER('Inputs'!$B$9),ISNUMBER('Inputs'!$B$10),ISNUMBER('Inputs'!$B$21),ISNUMBER('Inputs'!$B$24),ISNUMBER('Inputs'!$B$28)),(('Results'!C7*(0.5*((((528-43)*MAX('Inputs'!$B$33,'Inputs'!$B$29+'Inputs'!$B$31+'Inputs'!$B$32,'Inputs'!$B$30+'Inputs'!$B$31+'Inputs'!$B$32)/1000+'Inputs'!$B$21)+'Inputs'!$B$9)/SQRT((((528-43)*MAX('Inputs'!$B$33,'Inputs'!$B$29+'Inputs'!$B$31+'Inputs'!$B$32,'Inputs'!$B$30+'Inputs'!$B$31+'Inputs'!$B$32)/1000+'Inputs'!$B$21)+'Inputs'!$B$9)^2+('Inputs'!$B$8/2)^2)-(((528-43)*MAX('Inputs'!$B$33,'Inputs'!$B$29+'Inputs'!$B$31+'Inputs'!$B$32,'Inputs'!$B$30+'Inputs'!$B$31+'Inputs'!$B$32)/1000+'Inputs'!$B$21))/SQRT((((528-43)*MAX('Inputs'!$B$33,'Inputs'!$B$29+'Inputs'!$B$31+'Inputs'!$B$32,'Inputs'!$B$30+'Inputs'!$B$31+'Inputs'!$B$32)/1000+'Inputs'!$B$21))^2+('Inputs'!$B$8/2)^2)))-'Results'!B7*(0.5*((((528-43)*MAX('Inputs'!$B$33,'Inputs'!$B$29+'Inputs'!$B$31+'Inputs'!$B$32,'Inputs'!$B$30+'Inputs'!$B$31+'Inputs'!$B$32)/1000+'Inputs'!$B$21+'Inputs'!$B$9+'Inputs'!$B$10)+'Inputs'!$B$7)/SQRT((((528-43)*MAX('Inputs'!$B$33,'Inputs'!$B$29+'Inputs'!$B$31+'Inputs'!$B$32,'Inputs'!$B$30+'Inputs'!$B$31+'Inputs'!$B$32)/1000+'Inputs'!$B$21+'Inputs'!$B$9+'Inputs'!$B$10)+'Inputs'!$B$7)^2+('Inputs'!$B$6/2)^2)-(((528-43)*MAX('Inputs'!$B$33,'Inputs'!$B$29+'Inputs'!$B$31+'Inputs'!$B$32,'Inputs'!$B$30+'Inputs'!$B$31+'Inputs'!$B$32)/1000+'Inputs'!$B$21+'Inputs'!$B$9+'Inputs'!$B$10))/SQRT((((528-43)*MAX('Inputs'!$B$33,'Inputs'!$B$29+'Inputs'!$B$31+'Inputs'!$B$32,'Inputs'!$B$30+'Inputs'!$B$31+'Inputs'!$B$32)/1000+'Inputs'!$B$21+'Inputs'!$B$9+'Inputs'!$B$10))^2+('Inputs'!$B$6/2)^2))))*'Results'!$B$8),"")</x:f>
        <x:v>4.327437150147295</x:v>
      </x:c>
      <x:c r="N528" t="n">
        <x:f>IF(AND(ISNUMBER('Results'!C7),ISNUMBER('Results'!B7),ISNUMBER('Results'!$B$8),ISNUMBER('Inputs'!$B$6),ISNUMBER('Inputs'!$B$7),ISNUMBER('Inputs'!$B$8),ISNUMBER('Inputs'!$B$9),ISNUMBER('Inputs'!$B$10),ISNUMBER('Inputs'!$B$21),ISNUMBER('Inputs'!$B$24),ISNUMBER('Inputs'!$B$28)),((('Results'!C7*(1-'Inputs'!$B$24)*(0.5*((((528-43)*MAX('Inputs'!$B$33,'Inputs'!$B$29+'Inputs'!$B$31+'Inputs'!$B$32,'Inputs'!$B$30+'Inputs'!$B$31+'Inputs'!$B$32)/1000+'Inputs'!$B$21)+'Inputs'!$B$9)/SQRT((((528-43)*MAX('Inputs'!$B$33,'Inputs'!$B$29+'Inputs'!$B$31+'Inputs'!$B$32,'Inputs'!$B$30+'Inputs'!$B$31+'Inputs'!$B$32)/1000+'Inputs'!$B$21)+'Inputs'!$B$9)^2+('Inputs'!$B$8/2)^2)-(((528-43)*MAX('Inputs'!$B$33,'Inputs'!$B$29+'Inputs'!$B$31+'Inputs'!$B$32,'Inputs'!$B$30+'Inputs'!$B$31+'Inputs'!$B$32)/1000+'Inputs'!$B$21))/SQRT((((528-43)*MAX('Inputs'!$B$33,'Inputs'!$B$29+'Inputs'!$B$31+'Inputs'!$B$32,'Inputs'!$B$30+'Inputs'!$B$31+'Inputs'!$B$32)/1000+'Inputs'!$B$21))^2+('Inputs'!$B$8/2)^2)))-'Results'!B7*(1+'Inputs'!$B$24)*(0.5*((((528-43)*MAX('Inputs'!$B$33,'Inputs'!$B$29+'Inputs'!$B$31+'Inputs'!$B$32,'Inputs'!$B$30+'Inputs'!$B$31+'Inputs'!$B$32)/1000+'Inputs'!$B$21+'Inputs'!$B$9+'Inputs'!$B$10)+'Inputs'!$B$7)/SQRT((((528-43)*MAX('Inputs'!$B$33,'Inputs'!$B$29+'Inputs'!$B$31+'Inputs'!$B$32,'Inputs'!$B$30+'Inputs'!$B$31+'Inputs'!$B$32)/1000+'Inputs'!$B$21+'Inputs'!$B$9+'Inputs'!$B$10)+'Inputs'!$B$7)^2+('Inputs'!$B$6/2)^2)-(((528-43)*MAX('Inputs'!$B$33,'Inputs'!$B$29+'Inputs'!$B$31+'Inputs'!$B$32,'Inputs'!$B$30+'Inputs'!$B$31+'Inputs'!$B$32)/1000+'Inputs'!$B$21+'Inputs'!$B$9+'Inputs'!$B$10))/SQRT((((528-43)*MAX('Inputs'!$B$33,'Inputs'!$B$29+'Inputs'!$B$31+'Inputs'!$B$32,'Inputs'!$B$30+'Inputs'!$B$31+'Inputs'!$B$32)/1000+'Inputs'!$B$21+'Inputs'!$B$9+'Inputs'!$B$10))^2+('Inputs'!$B$6/2)^2))))*'Results'!$B$8)-'Inputs'!$B$28*ABS((('Results'!C7*(1-'Inputs'!$B$24)*(0.5*((((528-43)*MAX('Inputs'!$B$33,'Inputs'!$B$29+'Inputs'!$B$31+'Inputs'!$B$32,'Inputs'!$B$30+'Inputs'!$B$31+'Inputs'!$B$32)/1000+'Inputs'!$B$21)+'Inputs'!$B$9)/SQRT((((528-43)*MAX('Inputs'!$B$33,'Inputs'!$B$29+'Inputs'!$B$31+'Inputs'!$B$32,'Inputs'!$B$30+'Inputs'!$B$31+'Inputs'!$B$32)/1000+'Inputs'!$B$21)+'Inputs'!$B$9)^2+('Inputs'!$B$8/2)^2)-(((528-43)*MAX('Inputs'!$B$33,'Inputs'!$B$29+'Inputs'!$B$31+'Inputs'!$B$32,'Inputs'!$B$30+'Inputs'!$B$31+'Inputs'!$B$32)/1000+'Inputs'!$B$21))/SQRT((((528-43)*MAX('Inputs'!$B$33,'Inputs'!$B$29+'Inputs'!$B$31+'Inputs'!$B$32,'Inputs'!$B$30+'Inputs'!$B$31+'Inputs'!$B$32)/1000+'Inputs'!$B$21))^2+('Inputs'!$B$8/2)^2)))-'Results'!B7*(1+'Inputs'!$B$24)*(0.5*((((528-43)*MAX('Inputs'!$B$33,'Inputs'!$B$29+'Inputs'!$B$31+'Inputs'!$B$32,'Inputs'!$B$30+'Inputs'!$B$31+'Inputs'!$B$32)/1000+'Inputs'!$B$21+'Inputs'!$B$9+'Inputs'!$B$10)+'Inputs'!$B$7)/SQRT((((528-43)*MAX('Inputs'!$B$33,'Inputs'!$B$29+'Inputs'!$B$31+'Inputs'!$B$32,'Inputs'!$B$30+'Inputs'!$B$31+'Inputs'!$B$32)/1000+'Inputs'!$B$21+'Inputs'!$B$9+'Inputs'!$B$10)+'Inputs'!$B$7)^2+('Inputs'!$B$6/2)^2)-(((528-43)*MAX('Inputs'!$B$33,'Inputs'!$B$29+'Inputs'!$B$31+'Inputs'!$B$32,'Inputs'!$B$30+'Inputs'!$B$31+'Inputs'!$B$32)/1000+'Inputs'!$B$21+'Inputs'!$B$9+'Inputs'!$B$10))/SQRT((((528-43)*MAX('Inputs'!$B$33,'Inputs'!$B$29+'Inputs'!$B$31+'Inputs'!$B$32,'Inputs'!$B$30+'Inputs'!$B$31+'Inputs'!$B$32)/1000+'Inputs'!$B$21+'Inputs'!$B$9+'Inputs'!$B$10))^2+('Inputs'!$B$6/2)^2))))*'Results'!$B$8))),"")</x:f>
        <x:v>3.820907859181115</x:v>
      </x:c>
      <x:c r="O528" t="n">
        <x:f>IF(AND(ISNUMBER('Results'!C7),ISNUMBER('Results'!B7),ISNUMBER('Results'!$B$8),ISNUMBER('Inputs'!$B$6),ISNUMBER('Inputs'!$B$7),ISNUMBER('Inputs'!$B$8),ISNUMBER('Inputs'!$B$9),ISNUMBER('Inputs'!$B$10),ISNUMBER('Inputs'!$B$21),ISNUMBER('Inputs'!$B$24),ISNUMBER('Inputs'!$B$28)),((('Results'!C7*(1+'Inputs'!$B$24)*(0.5*((((528-43)*MAX('Inputs'!$B$33,'Inputs'!$B$29+'Inputs'!$B$31+'Inputs'!$B$32,'Inputs'!$B$30+'Inputs'!$B$31+'Inputs'!$B$32)/1000+'Inputs'!$B$21)+'Inputs'!$B$9)/SQRT((((528-43)*MAX('Inputs'!$B$33,'Inputs'!$B$29+'Inputs'!$B$31+'Inputs'!$B$32,'Inputs'!$B$30+'Inputs'!$B$31+'Inputs'!$B$32)/1000+'Inputs'!$B$21)+'Inputs'!$B$9)^2+('Inputs'!$B$8/2)^2)-(((528-43)*MAX('Inputs'!$B$33,'Inputs'!$B$29+'Inputs'!$B$31+'Inputs'!$B$32,'Inputs'!$B$30+'Inputs'!$B$31+'Inputs'!$B$32)/1000+'Inputs'!$B$21))/SQRT((((528-43)*MAX('Inputs'!$B$33,'Inputs'!$B$29+'Inputs'!$B$31+'Inputs'!$B$32,'Inputs'!$B$30+'Inputs'!$B$31+'Inputs'!$B$32)/1000+'Inputs'!$B$21))^2+('Inputs'!$B$8/2)^2)))-'Results'!B7*(1-'Inputs'!$B$24)*(0.5*((((528-43)*MAX('Inputs'!$B$33,'Inputs'!$B$29+'Inputs'!$B$31+'Inputs'!$B$32,'Inputs'!$B$30+'Inputs'!$B$31+'Inputs'!$B$32)/1000+'Inputs'!$B$21+'Inputs'!$B$9+'Inputs'!$B$10)+'Inputs'!$B$7)/SQRT((((528-43)*MAX('Inputs'!$B$33,'Inputs'!$B$29+'Inputs'!$B$31+'Inputs'!$B$32,'Inputs'!$B$30+'Inputs'!$B$31+'Inputs'!$B$32)/1000+'Inputs'!$B$21+'Inputs'!$B$9+'Inputs'!$B$10)+'Inputs'!$B$7)^2+('Inputs'!$B$6/2)^2)-(((528-43)*MAX('Inputs'!$B$33,'Inputs'!$B$29+'Inputs'!$B$31+'Inputs'!$B$32,'Inputs'!$B$30+'Inputs'!$B$31+'Inputs'!$B$32)/1000+'Inputs'!$B$21+'Inputs'!$B$9+'Inputs'!$B$10))/SQRT((((528-43)*MAX('Inputs'!$B$33,'Inputs'!$B$29+'Inputs'!$B$31+'Inputs'!$B$32,'Inputs'!$B$30+'Inputs'!$B$31+'Inputs'!$B$32)/1000+'Inputs'!$B$21+'Inputs'!$B$9+'Inputs'!$B$10))^2+('Inputs'!$B$6/2)^2))))*'Results'!$B$8)+'Inputs'!$B$28*ABS((('Results'!C7*(1+'Inputs'!$B$24)*(0.5*((((528-43)*MAX('Inputs'!$B$33,'Inputs'!$B$29+'Inputs'!$B$31+'Inputs'!$B$32,'Inputs'!$B$30+'Inputs'!$B$31+'Inputs'!$B$32)/1000+'Inputs'!$B$21)+'Inputs'!$B$9)/SQRT((((528-43)*MAX('Inputs'!$B$33,'Inputs'!$B$29+'Inputs'!$B$31+'Inputs'!$B$32,'Inputs'!$B$30+'Inputs'!$B$31+'Inputs'!$B$32)/1000+'Inputs'!$B$21)+'Inputs'!$B$9)^2+('Inputs'!$B$8/2)^2)-(((528-43)*MAX('Inputs'!$B$33,'Inputs'!$B$29+'Inputs'!$B$31+'Inputs'!$B$32,'Inputs'!$B$30+'Inputs'!$B$31+'Inputs'!$B$32)/1000+'Inputs'!$B$21))/SQRT((((528-43)*MAX('Inputs'!$B$33,'Inputs'!$B$29+'Inputs'!$B$31+'Inputs'!$B$32,'Inputs'!$B$30+'Inputs'!$B$31+'Inputs'!$B$32)/1000+'Inputs'!$B$21))^2+('Inputs'!$B$8/2)^2)))-'Results'!B7*(1-'Inputs'!$B$24)*(0.5*((((528-43)*MAX('Inputs'!$B$33,'Inputs'!$B$29+'Inputs'!$B$31+'Inputs'!$B$32,'Inputs'!$B$30+'Inputs'!$B$31+'Inputs'!$B$32)/1000+'Inputs'!$B$21+'Inputs'!$B$9+'Inputs'!$B$10)+'Inputs'!$B$7)/SQRT((((528-43)*MAX('Inputs'!$B$33,'Inputs'!$B$29+'Inputs'!$B$31+'Inputs'!$B$32,'Inputs'!$B$30+'Inputs'!$B$31+'Inputs'!$B$32)/1000+'Inputs'!$B$21+'Inputs'!$B$9+'Inputs'!$B$10)+'Inputs'!$B$7)^2+('Inputs'!$B$6/2)^2)-(((528-43)*MAX('Inputs'!$B$33,'Inputs'!$B$29+'Inputs'!$B$31+'Inputs'!$B$32,'Inputs'!$B$30+'Inputs'!$B$31+'Inputs'!$B$32)/1000+'Inputs'!$B$21+'Inputs'!$B$9+'Inputs'!$B$10))/SQRT((((528-43)*MAX('Inputs'!$B$33,'Inputs'!$B$29+'Inputs'!$B$31+'Inputs'!$B$32,'Inputs'!$B$30+'Inputs'!$B$31+'Inputs'!$B$32)/1000+'Inputs'!$B$21+'Inputs'!$B$9+'Inputs'!$B$10))^2+('Inputs'!$B$6/2)^2))))*'Results'!$B$8))),"")</x:f>
        <x:v>4.864509328845982</x:v>
      </x:c>
      <x:c r="P528" t="n">
        <x:f>IF(AND(MAX(J528,J527)&gt;0,J528&gt;J527+0.00000001),1,0)</x:f>
        <x:v>0</x:v>
      </x:c>
      <x:c r="Q528" t="n">
        <x:f>IF(AND(MAX(K528,K527)&gt;0,K528&gt;K527+0.00000001),1,0)</x:f>
        <x:v>0</x:v>
      </x:c>
      <x:c r="R528" t="n">
        <x:f>IF(AND(MAX(L528,L527)&gt;0,L528&gt;L527+0.00000001),1,0)</x:f>
        <x:v>0</x:v>
      </x:c>
      <x:c r="S528" t="n">
        <x:f>IF(AND(MAX(M528,M527)&gt;0,M528&gt;M527+0.00000001),1,0)</x:f>
        <x:v>0</x:v>
      </x:c>
      <x:c r="T528" t="n">
        <x:f>IF(AND(MAX(N528,N527)&gt;0,N528&gt;N527+0.00000001),1,0)</x:f>
        <x:v>0</x:v>
      </x:c>
      <x:c r="U528" t="n">
        <x:f>IF(AND(MAX(O528,O527)&gt;0,O528&gt;O527+0.00000001),1,0)</x:f>
        <x:v>0</x:v>
      </x:c>
    </x:row>
    <x:row r="529">
      <x:c r="J529" t="n">
        <x:f>IF(AND(ISNUMBER('Results'!B7),ISNUMBER('Results'!C7),ISNUMBER('Results'!$B$8),ISNUMBER('Inputs'!$B$6),ISNUMBER('Inputs'!$B$7),ISNUMBER('Inputs'!$B$8),ISNUMBER('Inputs'!$B$9),ISNUMBER('Inputs'!$B$10),ISNUMBER('Inputs'!$B$21),ISNUMBER('Inputs'!$B$24),ISNUMBER('Inputs'!$B$28)),(('Results'!B7*(0.5*((((529-43)*MAX('Inputs'!$B$33,'Inputs'!$B$29+'Inputs'!$B$31+'Inputs'!$B$32,'Inputs'!$B$30+'Inputs'!$B$31+'Inputs'!$B$32)/1000+'Inputs'!$B$21)+'Inputs'!$B$7)/SQRT((((529-43)*MAX('Inputs'!$B$33,'Inputs'!$B$29+'Inputs'!$B$31+'Inputs'!$B$32,'Inputs'!$B$30+'Inputs'!$B$31+'Inputs'!$B$32)/1000+'Inputs'!$B$21)+'Inputs'!$B$7)^2+('Inputs'!$B$6/2)^2)-(((529-43)*MAX('Inputs'!$B$33,'Inputs'!$B$29+'Inputs'!$B$31+'Inputs'!$B$32,'Inputs'!$B$30+'Inputs'!$B$31+'Inputs'!$B$32)/1000+'Inputs'!$B$21))/SQRT((((529-43)*MAX('Inputs'!$B$33,'Inputs'!$B$29+'Inputs'!$B$31+'Inputs'!$B$32,'Inputs'!$B$30+'Inputs'!$B$31+'Inputs'!$B$32)/1000+'Inputs'!$B$21))^2+('Inputs'!$B$6/2)^2)))-'Results'!C7*(0.5*((((529-43)*MAX('Inputs'!$B$33,'Inputs'!$B$29+'Inputs'!$B$31+'Inputs'!$B$32,'Inputs'!$B$30+'Inputs'!$B$31+'Inputs'!$B$32)/1000+'Inputs'!$B$21+'Inputs'!$B$7+'Inputs'!$B$10)+'Inputs'!$B$9)/SQRT((((529-43)*MAX('Inputs'!$B$33,'Inputs'!$B$29+'Inputs'!$B$31+'Inputs'!$B$32,'Inputs'!$B$30+'Inputs'!$B$31+'Inputs'!$B$32)/1000+'Inputs'!$B$21+'Inputs'!$B$7+'Inputs'!$B$10)+'Inputs'!$B$9)^2+('Inputs'!$B$8/2)^2)-(((529-43)*MAX('Inputs'!$B$33,'Inputs'!$B$29+'Inputs'!$B$31+'Inputs'!$B$32,'Inputs'!$B$30+'Inputs'!$B$31+'Inputs'!$B$32)/1000+'Inputs'!$B$21+'Inputs'!$B$7+'Inputs'!$B$10))/SQRT((((529-43)*MAX('Inputs'!$B$33,'Inputs'!$B$29+'Inputs'!$B$31+'Inputs'!$B$32,'Inputs'!$B$30+'Inputs'!$B$31+'Inputs'!$B$32)/1000+'Inputs'!$B$21+'Inputs'!$B$7+'Inputs'!$B$10))^2+('Inputs'!$B$8/2)^2))))*'Results'!$B$8),"")</x:f>
        <x:v>4.604492010851866</x:v>
      </x:c>
      <x:c r="K529" t="n">
        <x:f>IF(AND(ISNUMBER('Results'!B7),ISNUMBER('Results'!C7),ISNUMBER('Results'!$B$8),ISNUMBER('Inputs'!$B$6),ISNUMBER('Inputs'!$B$7),ISNUMBER('Inputs'!$B$8),ISNUMBER('Inputs'!$B$9),ISNUMBER('Inputs'!$B$10),ISNUMBER('Inputs'!$B$21),ISNUMBER('Inputs'!$B$24),ISNUMBER('Inputs'!$B$28)),((('Results'!B7*(1-'Inputs'!$B$24)*(0.5*((((529-43)*MAX('Inputs'!$B$33,'Inputs'!$B$29+'Inputs'!$B$31+'Inputs'!$B$32,'Inputs'!$B$30+'Inputs'!$B$31+'Inputs'!$B$32)/1000+'Inputs'!$B$21)+'Inputs'!$B$7)/SQRT((((529-43)*MAX('Inputs'!$B$33,'Inputs'!$B$29+'Inputs'!$B$31+'Inputs'!$B$32,'Inputs'!$B$30+'Inputs'!$B$31+'Inputs'!$B$32)/1000+'Inputs'!$B$21)+'Inputs'!$B$7)^2+('Inputs'!$B$6/2)^2)-(((529-43)*MAX('Inputs'!$B$33,'Inputs'!$B$29+'Inputs'!$B$31+'Inputs'!$B$32,'Inputs'!$B$30+'Inputs'!$B$31+'Inputs'!$B$32)/1000+'Inputs'!$B$21))/SQRT((((529-43)*MAX('Inputs'!$B$33,'Inputs'!$B$29+'Inputs'!$B$31+'Inputs'!$B$32,'Inputs'!$B$30+'Inputs'!$B$31+'Inputs'!$B$32)/1000+'Inputs'!$B$21))^2+('Inputs'!$B$6/2)^2)))-'Results'!C7*(1+'Inputs'!$B$24)*(0.5*((((529-43)*MAX('Inputs'!$B$33,'Inputs'!$B$29+'Inputs'!$B$31+'Inputs'!$B$32,'Inputs'!$B$30+'Inputs'!$B$31+'Inputs'!$B$32)/1000+'Inputs'!$B$21+'Inputs'!$B$7+'Inputs'!$B$10)+'Inputs'!$B$9)/SQRT((((529-43)*MAX('Inputs'!$B$33,'Inputs'!$B$29+'Inputs'!$B$31+'Inputs'!$B$32,'Inputs'!$B$30+'Inputs'!$B$31+'Inputs'!$B$32)/1000+'Inputs'!$B$21+'Inputs'!$B$7+'Inputs'!$B$10)+'Inputs'!$B$9)^2+('Inputs'!$B$8/2)^2)-(((529-43)*MAX('Inputs'!$B$33,'Inputs'!$B$29+'Inputs'!$B$31+'Inputs'!$B$32,'Inputs'!$B$30+'Inputs'!$B$31+'Inputs'!$B$32)/1000+'Inputs'!$B$21+'Inputs'!$B$7+'Inputs'!$B$10))/SQRT((((529-43)*MAX('Inputs'!$B$33,'Inputs'!$B$29+'Inputs'!$B$31+'Inputs'!$B$32,'Inputs'!$B$30+'Inputs'!$B$31+'Inputs'!$B$32)/1000+'Inputs'!$B$21+'Inputs'!$B$7+'Inputs'!$B$10))^2+('Inputs'!$B$8/2)^2))))*'Results'!$B$8)-'Inputs'!$B$28*ABS((('Results'!B7*(1-'Inputs'!$B$24)*(0.5*((((529-43)*MAX('Inputs'!$B$33,'Inputs'!$B$29+'Inputs'!$B$31+'Inputs'!$B$32,'Inputs'!$B$30+'Inputs'!$B$31+'Inputs'!$B$32)/1000+'Inputs'!$B$21)+'Inputs'!$B$7)/SQRT((((529-43)*MAX('Inputs'!$B$33,'Inputs'!$B$29+'Inputs'!$B$31+'Inputs'!$B$32,'Inputs'!$B$30+'Inputs'!$B$31+'Inputs'!$B$32)/1000+'Inputs'!$B$21)+'Inputs'!$B$7)^2+('Inputs'!$B$6/2)^2)-(((529-43)*MAX('Inputs'!$B$33,'Inputs'!$B$29+'Inputs'!$B$31+'Inputs'!$B$32,'Inputs'!$B$30+'Inputs'!$B$31+'Inputs'!$B$32)/1000+'Inputs'!$B$21))/SQRT((((529-43)*MAX('Inputs'!$B$33,'Inputs'!$B$29+'Inputs'!$B$31+'Inputs'!$B$32,'Inputs'!$B$30+'Inputs'!$B$31+'Inputs'!$B$32)/1000+'Inputs'!$B$21))^2+('Inputs'!$B$6/2)^2)))-'Results'!C7*(1+'Inputs'!$B$24)*(0.5*((((529-43)*MAX('Inputs'!$B$33,'Inputs'!$B$29+'Inputs'!$B$31+'Inputs'!$B$32,'Inputs'!$B$30+'Inputs'!$B$31+'Inputs'!$B$32)/1000+'Inputs'!$B$21+'Inputs'!$B$7+'Inputs'!$B$10)+'Inputs'!$B$9)/SQRT((((529-43)*MAX('Inputs'!$B$33,'Inputs'!$B$29+'Inputs'!$B$31+'Inputs'!$B$32,'Inputs'!$B$30+'Inputs'!$B$31+'Inputs'!$B$32)/1000+'Inputs'!$B$21+'Inputs'!$B$7+'Inputs'!$B$10)+'Inputs'!$B$9)^2+('Inputs'!$B$8/2)^2)-(((529-43)*MAX('Inputs'!$B$33,'Inputs'!$B$29+'Inputs'!$B$31+'Inputs'!$B$32,'Inputs'!$B$30+'Inputs'!$B$31+'Inputs'!$B$32)/1000+'Inputs'!$B$21+'Inputs'!$B$7+'Inputs'!$B$10))/SQRT((((529-43)*MAX('Inputs'!$B$33,'Inputs'!$B$29+'Inputs'!$B$31+'Inputs'!$B$32,'Inputs'!$B$30+'Inputs'!$B$31+'Inputs'!$B$32)/1000+'Inputs'!$B$21+'Inputs'!$B$7+'Inputs'!$B$10))^2+('Inputs'!$B$8/2)^2))))*'Results'!$B$8))),"")</x:f>
        <x:v>4.083973669980457</x:v>
      </x:c>
      <x:c r="L529" t="n">
        <x:f>IF(AND(ISNUMBER('Results'!B7),ISNUMBER('Results'!C7),ISNUMBER('Results'!$B$8),ISNUMBER('Inputs'!$B$6),ISNUMBER('Inputs'!$B$7),ISNUMBER('Inputs'!$B$8),ISNUMBER('Inputs'!$B$9),ISNUMBER('Inputs'!$B$10),ISNUMBER('Inputs'!$B$21),ISNUMBER('Inputs'!$B$24),ISNUMBER('Inputs'!$B$28)),((('Results'!B7*(1+'Inputs'!$B$24)*(0.5*((((529-43)*MAX('Inputs'!$B$33,'Inputs'!$B$29+'Inputs'!$B$31+'Inputs'!$B$32,'Inputs'!$B$30+'Inputs'!$B$31+'Inputs'!$B$32)/1000+'Inputs'!$B$21)+'Inputs'!$B$7)/SQRT((((529-43)*MAX('Inputs'!$B$33,'Inputs'!$B$29+'Inputs'!$B$31+'Inputs'!$B$32,'Inputs'!$B$30+'Inputs'!$B$31+'Inputs'!$B$32)/1000+'Inputs'!$B$21)+'Inputs'!$B$7)^2+('Inputs'!$B$6/2)^2)-(((529-43)*MAX('Inputs'!$B$33,'Inputs'!$B$29+'Inputs'!$B$31+'Inputs'!$B$32,'Inputs'!$B$30+'Inputs'!$B$31+'Inputs'!$B$32)/1000+'Inputs'!$B$21))/SQRT((((529-43)*MAX('Inputs'!$B$33,'Inputs'!$B$29+'Inputs'!$B$31+'Inputs'!$B$32,'Inputs'!$B$30+'Inputs'!$B$31+'Inputs'!$B$32)/1000+'Inputs'!$B$21))^2+('Inputs'!$B$6/2)^2)))-'Results'!C7*(1-'Inputs'!$B$24)*(0.5*((((529-43)*MAX('Inputs'!$B$33,'Inputs'!$B$29+'Inputs'!$B$31+'Inputs'!$B$32,'Inputs'!$B$30+'Inputs'!$B$31+'Inputs'!$B$32)/1000+'Inputs'!$B$21+'Inputs'!$B$7+'Inputs'!$B$10)+'Inputs'!$B$9)/SQRT((((529-43)*MAX('Inputs'!$B$33,'Inputs'!$B$29+'Inputs'!$B$31+'Inputs'!$B$32,'Inputs'!$B$30+'Inputs'!$B$31+'Inputs'!$B$32)/1000+'Inputs'!$B$21+'Inputs'!$B$7+'Inputs'!$B$10)+'Inputs'!$B$9)^2+('Inputs'!$B$8/2)^2)-(((529-43)*MAX('Inputs'!$B$33,'Inputs'!$B$29+'Inputs'!$B$31+'Inputs'!$B$32,'Inputs'!$B$30+'Inputs'!$B$31+'Inputs'!$B$32)/1000+'Inputs'!$B$21+'Inputs'!$B$7+'Inputs'!$B$10))/SQRT((((529-43)*MAX('Inputs'!$B$33,'Inputs'!$B$29+'Inputs'!$B$31+'Inputs'!$B$32,'Inputs'!$B$30+'Inputs'!$B$31+'Inputs'!$B$32)/1000+'Inputs'!$B$21+'Inputs'!$B$7+'Inputs'!$B$10))^2+('Inputs'!$B$8/2)^2))))*'Results'!$B$8)+'Inputs'!$B$28*ABS((('Results'!B7*(1+'Inputs'!$B$24)*(0.5*((((529-43)*MAX('Inputs'!$B$33,'Inputs'!$B$29+'Inputs'!$B$31+'Inputs'!$B$32,'Inputs'!$B$30+'Inputs'!$B$31+'Inputs'!$B$32)/1000+'Inputs'!$B$21)+'Inputs'!$B$7)/SQRT((((529-43)*MAX('Inputs'!$B$33,'Inputs'!$B$29+'Inputs'!$B$31+'Inputs'!$B$32,'Inputs'!$B$30+'Inputs'!$B$31+'Inputs'!$B$32)/1000+'Inputs'!$B$21)+'Inputs'!$B$7)^2+('Inputs'!$B$6/2)^2)-(((529-43)*MAX('Inputs'!$B$33,'Inputs'!$B$29+'Inputs'!$B$31+'Inputs'!$B$32,'Inputs'!$B$30+'Inputs'!$B$31+'Inputs'!$B$32)/1000+'Inputs'!$B$21))/SQRT((((529-43)*MAX('Inputs'!$B$33,'Inputs'!$B$29+'Inputs'!$B$31+'Inputs'!$B$32,'Inputs'!$B$30+'Inputs'!$B$31+'Inputs'!$B$32)/1000+'Inputs'!$B$21))^2+('Inputs'!$B$6/2)^2)))-'Results'!C7*(1-'Inputs'!$B$24)*(0.5*((((529-43)*MAX('Inputs'!$B$33,'Inputs'!$B$29+'Inputs'!$B$31+'Inputs'!$B$32,'Inputs'!$B$30+'Inputs'!$B$31+'Inputs'!$B$32)/1000+'Inputs'!$B$21+'Inputs'!$B$7+'Inputs'!$B$10)+'Inputs'!$B$9)/SQRT((((529-43)*MAX('Inputs'!$B$33,'Inputs'!$B$29+'Inputs'!$B$31+'Inputs'!$B$32,'Inputs'!$B$30+'Inputs'!$B$31+'Inputs'!$B$32)/1000+'Inputs'!$B$21+'Inputs'!$B$7+'Inputs'!$B$10)+'Inputs'!$B$9)^2+('Inputs'!$B$8/2)^2)-(((529-43)*MAX('Inputs'!$B$33,'Inputs'!$B$29+'Inputs'!$B$31+'Inputs'!$B$32,'Inputs'!$B$30+'Inputs'!$B$31+'Inputs'!$B$32)/1000+'Inputs'!$B$21+'Inputs'!$B$7+'Inputs'!$B$10))/SQRT((((529-43)*MAX('Inputs'!$B$33,'Inputs'!$B$29+'Inputs'!$B$31+'Inputs'!$B$32,'Inputs'!$B$30+'Inputs'!$B$31+'Inputs'!$B$32)/1000+'Inputs'!$B$21+'Inputs'!$B$7+'Inputs'!$B$10))^2+('Inputs'!$B$8/2)^2))))*'Results'!$B$8))),"")</x:f>
        <x:v>5.155567587547359</x:v>
      </x:c>
      <x:c r="M529" t="n">
        <x:f>IF(AND(ISNUMBER('Results'!C7),ISNUMBER('Results'!B7),ISNUMBER('Results'!$B$8),ISNUMBER('Inputs'!$B$6),ISNUMBER('Inputs'!$B$7),ISNUMBER('Inputs'!$B$8),ISNUMBER('Inputs'!$B$9),ISNUMBER('Inputs'!$B$10),ISNUMBER('Inputs'!$B$21),ISNUMBER('Inputs'!$B$24),ISNUMBER('Inputs'!$B$28)),(('Results'!C7*(0.5*((((529-43)*MAX('Inputs'!$B$33,'Inputs'!$B$29+'Inputs'!$B$31+'Inputs'!$B$32,'Inputs'!$B$30+'Inputs'!$B$31+'Inputs'!$B$32)/1000+'Inputs'!$B$21)+'Inputs'!$B$9)/SQRT((((529-43)*MAX('Inputs'!$B$33,'Inputs'!$B$29+'Inputs'!$B$31+'Inputs'!$B$32,'Inputs'!$B$30+'Inputs'!$B$31+'Inputs'!$B$32)/1000+'Inputs'!$B$21)+'Inputs'!$B$9)^2+('Inputs'!$B$8/2)^2)-(((529-43)*MAX('Inputs'!$B$33,'Inputs'!$B$29+'Inputs'!$B$31+'Inputs'!$B$32,'Inputs'!$B$30+'Inputs'!$B$31+'Inputs'!$B$32)/1000+'Inputs'!$B$21))/SQRT((((529-43)*MAX('Inputs'!$B$33,'Inputs'!$B$29+'Inputs'!$B$31+'Inputs'!$B$32,'Inputs'!$B$30+'Inputs'!$B$31+'Inputs'!$B$32)/1000+'Inputs'!$B$21))^2+('Inputs'!$B$8/2)^2)))-'Results'!B7*(0.5*((((529-43)*MAX('Inputs'!$B$33,'Inputs'!$B$29+'Inputs'!$B$31+'Inputs'!$B$32,'Inputs'!$B$30+'Inputs'!$B$31+'Inputs'!$B$32)/1000+'Inputs'!$B$21+'Inputs'!$B$9+'Inputs'!$B$10)+'Inputs'!$B$7)/SQRT((((529-43)*MAX('Inputs'!$B$33,'Inputs'!$B$29+'Inputs'!$B$31+'Inputs'!$B$32,'Inputs'!$B$30+'Inputs'!$B$31+'Inputs'!$B$32)/1000+'Inputs'!$B$21+'Inputs'!$B$9+'Inputs'!$B$10)+'Inputs'!$B$7)^2+('Inputs'!$B$6/2)^2)-(((529-43)*MAX('Inputs'!$B$33,'Inputs'!$B$29+'Inputs'!$B$31+'Inputs'!$B$32,'Inputs'!$B$30+'Inputs'!$B$31+'Inputs'!$B$32)/1000+'Inputs'!$B$21+'Inputs'!$B$9+'Inputs'!$B$10))/SQRT((((529-43)*MAX('Inputs'!$B$33,'Inputs'!$B$29+'Inputs'!$B$31+'Inputs'!$B$32,'Inputs'!$B$30+'Inputs'!$B$31+'Inputs'!$B$32)/1000+'Inputs'!$B$21+'Inputs'!$B$9+'Inputs'!$B$10))^2+('Inputs'!$B$6/2)^2))))*'Results'!$B$8),"")</x:f>
        <x:v>4.2967412595699495</x:v>
      </x:c>
      <x:c r="N529" t="n">
        <x:f>IF(AND(ISNUMBER('Results'!C7),ISNUMBER('Results'!B7),ISNUMBER('Results'!$B$8),ISNUMBER('Inputs'!$B$6),ISNUMBER('Inputs'!$B$7),ISNUMBER('Inputs'!$B$8),ISNUMBER('Inputs'!$B$9),ISNUMBER('Inputs'!$B$10),ISNUMBER('Inputs'!$B$21),ISNUMBER('Inputs'!$B$24),ISNUMBER('Inputs'!$B$28)),((('Results'!C7*(1-'Inputs'!$B$24)*(0.5*((((529-43)*MAX('Inputs'!$B$33,'Inputs'!$B$29+'Inputs'!$B$31+'Inputs'!$B$32,'Inputs'!$B$30+'Inputs'!$B$31+'Inputs'!$B$32)/1000+'Inputs'!$B$21)+'Inputs'!$B$9)/SQRT((((529-43)*MAX('Inputs'!$B$33,'Inputs'!$B$29+'Inputs'!$B$31+'Inputs'!$B$32,'Inputs'!$B$30+'Inputs'!$B$31+'Inputs'!$B$32)/1000+'Inputs'!$B$21)+'Inputs'!$B$9)^2+('Inputs'!$B$8/2)^2)-(((529-43)*MAX('Inputs'!$B$33,'Inputs'!$B$29+'Inputs'!$B$31+'Inputs'!$B$32,'Inputs'!$B$30+'Inputs'!$B$31+'Inputs'!$B$32)/1000+'Inputs'!$B$21))/SQRT((((529-43)*MAX('Inputs'!$B$33,'Inputs'!$B$29+'Inputs'!$B$31+'Inputs'!$B$32,'Inputs'!$B$30+'Inputs'!$B$31+'Inputs'!$B$32)/1000+'Inputs'!$B$21))^2+('Inputs'!$B$8/2)^2)))-'Results'!B7*(1+'Inputs'!$B$24)*(0.5*((((529-43)*MAX('Inputs'!$B$33,'Inputs'!$B$29+'Inputs'!$B$31+'Inputs'!$B$32,'Inputs'!$B$30+'Inputs'!$B$31+'Inputs'!$B$32)/1000+'Inputs'!$B$21+'Inputs'!$B$9+'Inputs'!$B$10)+'Inputs'!$B$7)/SQRT((((529-43)*MAX('Inputs'!$B$33,'Inputs'!$B$29+'Inputs'!$B$31+'Inputs'!$B$32,'Inputs'!$B$30+'Inputs'!$B$31+'Inputs'!$B$32)/1000+'Inputs'!$B$21+'Inputs'!$B$9+'Inputs'!$B$10)+'Inputs'!$B$7)^2+('Inputs'!$B$6/2)^2)-(((529-43)*MAX('Inputs'!$B$33,'Inputs'!$B$29+'Inputs'!$B$31+'Inputs'!$B$32,'Inputs'!$B$30+'Inputs'!$B$31+'Inputs'!$B$32)/1000+'Inputs'!$B$21+'Inputs'!$B$9+'Inputs'!$B$10))/SQRT((((529-43)*MAX('Inputs'!$B$33,'Inputs'!$B$29+'Inputs'!$B$31+'Inputs'!$B$32,'Inputs'!$B$30+'Inputs'!$B$31+'Inputs'!$B$32)/1000+'Inputs'!$B$21+'Inputs'!$B$9+'Inputs'!$B$10))^2+('Inputs'!$B$6/2)^2))))*'Results'!$B$8)-'Inputs'!$B$28*ABS((('Results'!C7*(1-'Inputs'!$B$24)*(0.5*((((529-43)*MAX('Inputs'!$B$33,'Inputs'!$B$29+'Inputs'!$B$31+'Inputs'!$B$32,'Inputs'!$B$30+'Inputs'!$B$31+'Inputs'!$B$32)/1000+'Inputs'!$B$21)+'Inputs'!$B$9)/SQRT((((529-43)*MAX('Inputs'!$B$33,'Inputs'!$B$29+'Inputs'!$B$31+'Inputs'!$B$32,'Inputs'!$B$30+'Inputs'!$B$31+'Inputs'!$B$32)/1000+'Inputs'!$B$21)+'Inputs'!$B$9)^2+('Inputs'!$B$8/2)^2)-(((529-43)*MAX('Inputs'!$B$33,'Inputs'!$B$29+'Inputs'!$B$31+'Inputs'!$B$32,'Inputs'!$B$30+'Inputs'!$B$31+'Inputs'!$B$32)/1000+'Inputs'!$B$21))/SQRT((((529-43)*MAX('Inputs'!$B$33,'Inputs'!$B$29+'Inputs'!$B$31+'Inputs'!$B$32,'Inputs'!$B$30+'Inputs'!$B$31+'Inputs'!$B$32)/1000+'Inputs'!$B$21))^2+('Inputs'!$B$8/2)^2)))-'Results'!B7*(1+'Inputs'!$B$24)*(0.5*((((529-43)*MAX('Inputs'!$B$33,'Inputs'!$B$29+'Inputs'!$B$31+'Inputs'!$B$32,'Inputs'!$B$30+'Inputs'!$B$31+'Inputs'!$B$32)/1000+'Inputs'!$B$21+'Inputs'!$B$9+'Inputs'!$B$10)+'Inputs'!$B$7)/SQRT((((529-43)*MAX('Inputs'!$B$33,'Inputs'!$B$29+'Inputs'!$B$31+'Inputs'!$B$32,'Inputs'!$B$30+'Inputs'!$B$31+'Inputs'!$B$32)/1000+'Inputs'!$B$21+'Inputs'!$B$9+'Inputs'!$B$10)+'Inputs'!$B$7)^2+('Inputs'!$B$6/2)^2)-(((529-43)*MAX('Inputs'!$B$33,'Inputs'!$B$29+'Inputs'!$B$31+'Inputs'!$B$32,'Inputs'!$B$30+'Inputs'!$B$31+'Inputs'!$B$32)/1000+'Inputs'!$B$21+'Inputs'!$B$9+'Inputs'!$B$10))/SQRT((((529-43)*MAX('Inputs'!$B$33,'Inputs'!$B$29+'Inputs'!$B$31+'Inputs'!$B$32,'Inputs'!$B$30+'Inputs'!$B$31+'Inputs'!$B$32)/1000+'Inputs'!$B$21+'Inputs'!$B$9+'Inputs'!$B$10))^2+('Inputs'!$B$6/2)^2))))*'Results'!$B$8))),"")</x:f>
        <x:v>3.793318773758981</x:v>
      </x:c>
      <x:c r="O529" t="n">
        <x:f>IF(AND(ISNUMBER('Results'!C7),ISNUMBER('Results'!B7),ISNUMBER('Results'!$B$8),ISNUMBER('Inputs'!$B$6),ISNUMBER('Inputs'!$B$7),ISNUMBER('Inputs'!$B$8),ISNUMBER('Inputs'!$B$9),ISNUMBER('Inputs'!$B$10),ISNUMBER('Inputs'!$B$21),ISNUMBER('Inputs'!$B$24),ISNUMBER('Inputs'!$B$28)),((('Results'!C7*(1+'Inputs'!$B$24)*(0.5*((((529-43)*MAX('Inputs'!$B$33,'Inputs'!$B$29+'Inputs'!$B$31+'Inputs'!$B$32,'Inputs'!$B$30+'Inputs'!$B$31+'Inputs'!$B$32)/1000+'Inputs'!$B$21)+'Inputs'!$B$9)/SQRT((((529-43)*MAX('Inputs'!$B$33,'Inputs'!$B$29+'Inputs'!$B$31+'Inputs'!$B$32,'Inputs'!$B$30+'Inputs'!$B$31+'Inputs'!$B$32)/1000+'Inputs'!$B$21)+'Inputs'!$B$9)^2+('Inputs'!$B$8/2)^2)-(((529-43)*MAX('Inputs'!$B$33,'Inputs'!$B$29+'Inputs'!$B$31+'Inputs'!$B$32,'Inputs'!$B$30+'Inputs'!$B$31+'Inputs'!$B$32)/1000+'Inputs'!$B$21))/SQRT((((529-43)*MAX('Inputs'!$B$33,'Inputs'!$B$29+'Inputs'!$B$31+'Inputs'!$B$32,'Inputs'!$B$30+'Inputs'!$B$31+'Inputs'!$B$32)/1000+'Inputs'!$B$21))^2+('Inputs'!$B$8/2)^2)))-'Results'!B7*(1-'Inputs'!$B$24)*(0.5*((((529-43)*MAX('Inputs'!$B$33,'Inputs'!$B$29+'Inputs'!$B$31+'Inputs'!$B$32,'Inputs'!$B$30+'Inputs'!$B$31+'Inputs'!$B$32)/1000+'Inputs'!$B$21+'Inputs'!$B$9+'Inputs'!$B$10)+'Inputs'!$B$7)/SQRT((((529-43)*MAX('Inputs'!$B$33,'Inputs'!$B$29+'Inputs'!$B$31+'Inputs'!$B$32,'Inputs'!$B$30+'Inputs'!$B$31+'Inputs'!$B$32)/1000+'Inputs'!$B$21+'Inputs'!$B$9+'Inputs'!$B$10)+'Inputs'!$B$7)^2+('Inputs'!$B$6/2)^2)-(((529-43)*MAX('Inputs'!$B$33,'Inputs'!$B$29+'Inputs'!$B$31+'Inputs'!$B$32,'Inputs'!$B$30+'Inputs'!$B$31+'Inputs'!$B$32)/1000+'Inputs'!$B$21+'Inputs'!$B$9+'Inputs'!$B$10))/SQRT((((529-43)*MAX('Inputs'!$B$33,'Inputs'!$B$29+'Inputs'!$B$31+'Inputs'!$B$32,'Inputs'!$B$30+'Inputs'!$B$31+'Inputs'!$B$32)/1000+'Inputs'!$B$21+'Inputs'!$B$9+'Inputs'!$B$10))^2+('Inputs'!$B$6/2)^2))))*'Results'!$B$8)+'Inputs'!$B$28*ABS((('Results'!C7*(1+'Inputs'!$B$24)*(0.5*((((529-43)*MAX('Inputs'!$B$33,'Inputs'!$B$29+'Inputs'!$B$31+'Inputs'!$B$32,'Inputs'!$B$30+'Inputs'!$B$31+'Inputs'!$B$32)/1000+'Inputs'!$B$21)+'Inputs'!$B$9)/SQRT((((529-43)*MAX('Inputs'!$B$33,'Inputs'!$B$29+'Inputs'!$B$31+'Inputs'!$B$32,'Inputs'!$B$30+'Inputs'!$B$31+'Inputs'!$B$32)/1000+'Inputs'!$B$21)+'Inputs'!$B$9)^2+('Inputs'!$B$8/2)^2)-(((529-43)*MAX('Inputs'!$B$33,'Inputs'!$B$29+'Inputs'!$B$31+'Inputs'!$B$32,'Inputs'!$B$30+'Inputs'!$B$31+'Inputs'!$B$32)/1000+'Inputs'!$B$21))/SQRT((((529-43)*MAX('Inputs'!$B$33,'Inputs'!$B$29+'Inputs'!$B$31+'Inputs'!$B$32,'Inputs'!$B$30+'Inputs'!$B$31+'Inputs'!$B$32)/1000+'Inputs'!$B$21))^2+('Inputs'!$B$8/2)^2)))-'Results'!B7*(1-'Inputs'!$B$24)*(0.5*((((529-43)*MAX('Inputs'!$B$33,'Inputs'!$B$29+'Inputs'!$B$31+'Inputs'!$B$32,'Inputs'!$B$30+'Inputs'!$B$31+'Inputs'!$B$32)/1000+'Inputs'!$B$21+'Inputs'!$B$9+'Inputs'!$B$10)+'Inputs'!$B$7)/SQRT((((529-43)*MAX('Inputs'!$B$33,'Inputs'!$B$29+'Inputs'!$B$31+'Inputs'!$B$32,'Inputs'!$B$30+'Inputs'!$B$31+'Inputs'!$B$32)/1000+'Inputs'!$B$21+'Inputs'!$B$9+'Inputs'!$B$10)+'Inputs'!$B$7)^2+('Inputs'!$B$6/2)^2)-(((529-43)*MAX('Inputs'!$B$33,'Inputs'!$B$29+'Inputs'!$B$31+'Inputs'!$B$32,'Inputs'!$B$30+'Inputs'!$B$31+'Inputs'!$B$32)/1000+'Inputs'!$B$21+'Inputs'!$B$9+'Inputs'!$B$10))/SQRT((((529-43)*MAX('Inputs'!$B$33,'Inputs'!$B$29+'Inputs'!$B$31+'Inputs'!$B$32,'Inputs'!$B$30+'Inputs'!$B$31+'Inputs'!$B$32)/1000+'Inputs'!$B$21+'Inputs'!$B$9+'Inputs'!$B$10))^2+('Inputs'!$B$6/2)^2))))*'Results'!$B$8))),"")</x:f>
        <x:v>4.830541158310651</x:v>
      </x:c>
      <x:c r="P529" t="n">
        <x:f>IF(AND(MAX(J529,J528)&gt;0,J529&gt;J528+0.00000001),1,0)</x:f>
        <x:v>0</x:v>
      </x:c>
      <x:c r="Q529" t="n">
        <x:f>IF(AND(MAX(K529,K528)&gt;0,K529&gt;K528+0.00000001),1,0)</x:f>
        <x:v>0</x:v>
      </x:c>
      <x:c r="R529" t="n">
        <x:f>IF(AND(MAX(L529,L528)&gt;0,L529&gt;L528+0.00000001),1,0)</x:f>
        <x:v>0</x:v>
      </x:c>
      <x:c r="S529" t="n">
        <x:f>IF(AND(MAX(M529,M528)&gt;0,M529&gt;M528+0.00000001),1,0)</x:f>
        <x:v>0</x:v>
      </x:c>
      <x:c r="T529" t="n">
        <x:f>IF(AND(MAX(N529,N528)&gt;0,N529&gt;N528+0.00000001),1,0)</x:f>
        <x:v>0</x:v>
      </x:c>
      <x:c r="U529" t="n">
        <x:f>IF(AND(MAX(O529,O528)&gt;0,O529&gt;O528+0.00000001),1,0)</x:f>
        <x:v>0</x:v>
      </x:c>
    </x:row>
    <x:row r="530">
      <x:c r="J530" t="n">
        <x:f>IF(AND(ISNUMBER('Results'!B7),ISNUMBER('Results'!C7),ISNUMBER('Results'!$B$8),ISNUMBER('Inputs'!$B$6),ISNUMBER('Inputs'!$B$7),ISNUMBER('Inputs'!$B$8),ISNUMBER('Inputs'!$B$9),ISNUMBER('Inputs'!$B$10),ISNUMBER('Inputs'!$B$21),ISNUMBER('Inputs'!$B$24),ISNUMBER('Inputs'!$B$28)),(('Results'!B7*(0.5*((((530-43)*MAX('Inputs'!$B$33,'Inputs'!$B$29+'Inputs'!$B$31+'Inputs'!$B$32,'Inputs'!$B$30+'Inputs'!$B$31+'Inputs'!$B$32)/1000+'Inputs'!$B$21)+'Inputs'!$B$7)/SQRT((((530-43)*MAX('Inputs'!$B$33,'Inputs'!$B$29+'Inputs'!$B$31+'Inputs'!$B$32,'Inputs'!$B$30+'Inputs'!$B$31+'Inputs'!$B$32)/1000+'Inputs'!$B$21)+'Inputs'!$B$7)^2+('Inputs'!$B$6/2)^2)-(((530-43)*MAX('Inputs'!$B$33,'Inputs'!$B$29+'Inputs'!$B$31+'Inputs'!$B$32,'Inputs'!$B$30+'Inputs'!$B$31+'Inputs'!$B$32)/1000+'Inputs'!$B$21))/SQRT((((530-43)*MAX('Inputs'!$B$33,'Inputs'!$B$29+'Inputs'!$B$31+'Inputs'!$B$32,'Inputs'!$B$30+'Inputs'!$B$31+'Inputs'!$B$32)/1000+'Inputs'!$B$21))^2+('Inputs'!$B$6/2)^2)))-'Results'!C7*(0.5*((((530-43)*MAX('Inputs'!$B$33,'Inputs'!$B$29+'Inputs'!$B$31+'Inputs'!$B$32,'Inputs'!$B$30+'Inputs'!$B$31+'Inputs'!$B$32)/1000+'Inputs'!$B$21+'Inputs'!$B$7+'Inputs'!$B$10)+'Inputs'!$B$9)/SQRT((((530-43)*MAX('Inputs'!$B$33,'Inputs'!$B$29+'Inputs'!$B$31+'Inputs'!$B$32,'Inputs'!$B$30+'Inputs'!$B$31+'Inputs'!$B$32)/1000+'Inputs'!$B$21+'Inputs'!$B$7+'Inputs'!$B$10)+'Inputs'!$B$9)^2+('Inputs'!$B$8/2)^2)-(((530-43)*MAX('Inputs'!$B$33,'Inputs'!$B$29+'Inputs'!$B$31+'Inputs'!$B$32,'Inputs'!$B$30+'Inputs'!$B$31+'Inputs'!$B$32)/1000+'Inputs'!$B$21+'Inputs'!$B$7+'Inputs'!$B$10))/SQRT((((530-43)*MAX('Inputs'!$B$33,'Inputs'!$B$29+'Inputs'!$B$31+'Inputs'!$B$32,'Inputs'!$B$30+'Inputs'!$B$31+'Inputs'!$B$32)/1000+'Inputs'!$B$21+'Inputs'!$B$7+'Inputs'!$B$10))^2+('Inputs'!$B$8/2)^2))))*'Results'!$B$8),"")</x:f>
        <x:v>4.572400623123266</x:v>
      </x:c>
      <x:c r="K530" t="n">
        <x:f>IF(AND(ISNUMBER('Results'!B7),ISNUMBER('Results'!C7),ISNUMBER('Results'!$B$8),ISNUMBER('Inputs'!$B$6),ISNUMBER('Inputs'!$B$7),ISNUMBER('Inputs'!$B$8),ISNUMBER('Inputs'!$B$9),ISNUMBER('Inputs'!$B$10),ISNUMBER('Inputs'!$B$21),ISNUMBER('Inputs'!$B$24),ISNUMBER('Inputs'!$B$28)),((('Results'!B7*(1-'Inputs'!$B$24)*(0.5*((((530-43)*MAX('Inputs'!$B$33,'Inputs'!$B$29+'Inputs'!$B$31+'Inputs'!$B$32,'Inputs'!$B$30+'Inputs'!$B$31+'Inputs'!$B$32)/1000+'Inputs'!$B$21)+'Inputs'!$B$7)/SQRT((((530-43)*MAX('Inputs'!$B$33,'Inputs'!$B$29+'Inputs'!$B$31+'Inputs'!$B$32,'Inputs'!$B$30+'Inputs'!$B$31+'Inputs'!$B$32)/1000+'Inputs'!$B$21)+'Inputs'!$B$7)^2+('Inputs'!$B$6/2)^2)-(((530-43)*MAX('Inputs'!$B$33,'Inputs'!$B$29+'Inputs'!$B$31+'Inputs'!$B$32,'Inputs'!$B$30+'Inputs'!$B$31+'Inputs'!$B$32)/1000+'Inputs'!$B$21))/SQRT((((530-43)*MAX('Inputs'!$B$33,'Inputs'!$B$29+'Inputs'!$B$31+'Inputs'!$B$32,'Inputs'!$B$30+'Inputs'!$B$31+'Inputs'!$B$32)/1000+'Inputs'!$B$21))^2+('Inputs'!$B$6/2)^2)))-'Results'!C7*(1+'Inputs'!$B$24)*(0.5*((((530-43)*MAX('Inputs'!$B$33,'Inputs'!$B$29+'Inputs'!$B$31+'Inputs'!$B$32,'Inputs'!$B$30+'Inputs'!$B$31+'Inputs'!$B$32)/1000+'Inputs'!$B$21+'Inputs'!$B$7+'Inputs'!$B$10)+'Inputs'!$B$9)/SQRT((((530-43)*MAX('Inputs'!$B$33,'Inputs'!$B$29+'Inputs'!$B$31+'Inputs'!$B$32,'Inputs'!$B$30+'Inputs'!$B$31+'Inputs'!$B$32)/1000+'Inputs'!$B$21+'Inputs'!$B$7+'Inputs'!$B$10)+'Inputs'!$B$9)^2+('Inputs'!$B$8/2)^2)-(((530-43)*MAX('Inputs'!$B$33,'Inputs'!$B$29+'Inputs'!$B$31+'Inputs'!$B$32,'Inputs'!$B$30+'Inputs'!$B$31+'Inputs'!$B$32)/1000+'Inputs'!$B$21+'Inputs'!$B$7+'Inputs'!$B$10))/SQRT((((530-43)*MAX('Inputs'!$B$33,'Inputs'!$B$29+'Inputs'!$B$31+'Inputs'!$B$32,'Inputs'!$B$30+'Inputs'!$B$31+'Inputs'!$B$32)/1000+'Inputs'!$B$21+'Inputs'!$B$7+'Inputs'!$B$10))^2+('Inputs'!$B$8/2)^2))))*'Results'!$B$8)-'Inputs'!$B$28*ABS((('Results'!B7*(1-'Inputs'!$B$24)*(0.5*((((530-43)*MAX('Inputs'!$B$33,'Inputs'!$B$29+'Inputs'!$B$31+'Inputs'!$B$32,'Inputs'!$B$30+'Inputs'!$B$31+'Inputs'!$B$32)/1000+'Inputs'!$B$21)+'Inputs'!$B$7)/SQRT((((530-43)*MAX('Inputs'!$B$33,'Inputs'!$B$29+'Inputs'!$B$31+'Inputs'!$B$32,'Inputs'!$B$30+'Inputs'!$B$31+'Inputs'!$B$32)/1000+'Inputs'!$B$21)+'Inputs'!$B$7)^2+('Inputs'!$B$6/2)^2)-(((530-43)*MAX('Inputs'!$B$33,'Inputs'!$B$29+'Inputs'!$B$31+'Inputs'!$B$32,'Inputs'!$B$30+'Inputs'!$B$31+'Inputs'!$B$32)/1000+'Inputs'!$B$21))/SQRT((((530-43)*MAX('Inputs'!$B$33,'Inputs'!$B$29+'Inputs'!$B$31+'Inputs'!$B$32,'Inputs'!$B$30+'Inputs'!$B$31+'Inputs'!$B$32)/1000+'Inputs'!$B$21))^2+('Inputs'!$B$6/2)^2)))-'Results'!C7*(1+'Inputs'!$B$24)*(0.5*((((530-43)*MAX('Inputs'!$B$33,'Inputs'!$B$29+'Inputs'!$B$31+'Inputs'!$B$32,'Inputs'!$B$30+'Inputs'!$B$31+'Inputs'!$B$32)/1000+'Inputs'!$B$21+'Inputs'!$B$7+'Inputs'!$B$10)+'Inputs'!$B$9)/SQRT((((530-43)*MAX('Inputs'!$B$33,'Inputs'!$B$29+'Inputs'!$B$31+'Inputs'!$B$32,'Inputs'!$B$30+'Inputs'!$B$31+'Inputs'!$B$32)/1000+'Inputs'!$B$21+'Inputs'!$B$7+'Inputs'!$B$10)+'Inputs'!$B$9)^2+('Inputs'!$B$8/2)^2)-(((530-43)*MAX('Inputs'!$B$33,'Inputs'!$B$29+'Inputs'!$B$31+'Inputs'!$B$32,'Inputs'!$B$30+'Inputs'!$B$31+'Inputs'!$B$32)/1000+'Inputs'!$B$21+'Inputs'!$B$7+'Inputs'!$B$10))/SQRT((((530-43)*MAX('Inputs'!$B$33,'Inputs'!$B$29+'Inputs'!$B$31+'Inputs'!$B$32,'Inputs'!$B$30+'Inputs'!$B$31+'Inputs'!$B$32)/1000+'Inputs'!$B$21+'Inputs'!$B$7+'Inputs'!$B$10))^2+('Inputs'!$B$8/2)^2))))*'Results'!$B$8))),"")</x:f>
        <x:v>4.055059489900758</x:v>
      </x:c>
      <x:c r="L530" t="n">
        <x:f>IF(AND(ISNUMBER('Results'!B7),ISNUMBER('Results'!C7),ISNUMBER('Results'!$B$8),ISNUMBER('Inputs'!$B$6),ISNUMBER('Inputs'!$B$7),ISNUMBER('Inputs'!$B$8),ISNUMBER('Inputs'!$B$9),ISNUMBER('Inputs'!$B$10),ISNUMBER('Inputs'!$B$21),ISNUMBER('Inputs'!$B$24),ISNUMBER('Inputs'!$B$28)),((('Results'!B7*(1+'Inputs'!$B$24)*(0.5*((((530-43)*MAX('Inputs'!$B$33,'Inputs'!$B$29+'Inputs'!$B$31+'Inputs'!$B$32,'Inputs'!$B$30+'Inputs'!$B$31+'Inputs'!$B$32)/1000+'Inputs'!$B$21)+'Inputs'!$B$7)/SQRT((((530-43)*MAX('Inputs'!$B$33,'Inputs'!$B$29+'Inputs'!$B$31+'Inputs'!$B$32,'Inputs'!$B$30+'Inputs'!$B$31+'Inputs'!$B$32)/1000+'Inputs'!$B$21)+'Inputs'!$B$7)^2+('Inputs'!$B$6/2)^2)-(((530-43)*MAX('Inputs'!$B$33,'Inputs'!$B$29+'Inputs'!$B$31+'Inputs'!$B$32,'Inputs'!$B$30+'Inputs'!$B$31+'Inputs'!$B$32)/1000+'Inputs'!$B$21))/SQRT((((530-43)*MAX('Inputs'!$B$33,'Inputs'!$B$29+'Inputs'!$B$31+'Inputs'!$B$32,'Inputs'!$B$30+'Inputs'!$B$31+'Inputs'!$B$32)/1000+'Inputs'!$B$21))^2+('Inputs'!$B$6/2)^2)))-'Results'!C7*(1-'Inputs'!$B$24)*(0.5*((((530-43)*MAX('Inputs'!$B$33,'Inputs'!$B$29+'Inputs'!$B$31+'Inputs'!$B$32,'Inputs'!$B$30+'Inputs'!$B$31+'Inputs'!$B$32)/1000+'Inputs'!$B$21+'Inputs'!$B$7+'Inputs'!$B$10)+'Inputs'!$B$9)/SQRT((((530-43)*MAX('Inputs'!$B$33,'Inputs'!$B$29+'Inputs'!$B$31+'Inputs'!$B$32,'Inputs'!$B$30+'Inputs'!$B$31+'Inputs'!$B$32)/1000+'Inputs'!$B$21+'Inputs'!$B$7+'Inputs'!$B$10)+'Inputs'!$B$9)^2+('Inputs'!$B$8/2)^2)-(((530-43)*MAX('Inputs'!$B$33,'Inputs'!$B$29+'Inputs'!$B$31+'Inputs'!$B$32,'Inputs'!$B$30+'Inputs'!$B$31+'Inputs'!$B$32)/1000+'Inputs'!$B$21+'Inputs'!$B$7+'Inputs'!$B$10))/SQRT((((530-43)*MAX('Inputs'!$B$33,'Inputs'!$B$29+'Inputs'!$B$31+'Inputs'!$B$32,'Inputs'!$B$30+'Inputs'!$B$31+'Inputs'!$B$32)/1000+'Inputs'!$B$21+'Inputs'!$B$7+'Inputs'!$B$10))^2+('Inputs'!$B$8/2)^2))))*'Results'!$B$8)+'Inputs'!$B$28*ABS((('Results'!B7*(1+'Inputs'!$B$24)*(0.5*((((530-43)*MAX('Inputs'!$B$33,'Inputs'!$B$29+'Inputs'!$B$31+'Inputs'!$B$32,'Inputs'!$B$30+'Inputs'!$B$31+'Inputs'!$B$32)/1000+'Inputs'!$B$21)+'Inputs'!$B$7)/SQRT((((530-43)*MAX('Inputs'!$B$33,'Inputs'!$B$29+'Inputs'!$B$31+'Inputs'!$B$32,'Inputs'!$B$30+'Inputs'!$B$31+'Inputs'!$B$32)/1000+'Inputs'!$B$21)+'Inputs'!$B$7)^2+('Inputs'!$B$6/2)^2)-(((530-43)*MAX('Inputs'!$B$33,'Inputs'!$B$29+'Inputs'!$B$31+'Inputs'!$B$32,'Inputs'!$B$30+'Inputs'!$B$31+'Inputs'!$B$32)/1000+'Inputs'!$B$21))/SQRT((((530-43)*MAX('Inputs'!$B$33,'Inputs'!$B$29+'Inputs'!$B$31+'Inputs'!$B$32,'Inputs'!$B$30+'Inputs'!$B$31+'Inputs'!$B$32)/1000+'Inputs'!$B$21))^2+('Inputs'!$B$6/2)^2)))-'Results'!C7*(1-'Inputs'!$B$24)*(0.5*((((530-43)*MAX('Inputs'!$B$33,'Inputs'!$B$29+'Inputs'!$B$31+'Inputs'!$B$32,'Inputs'!$B$30+'Inputs'!$B$31+'Inputs'!$B$32)/1000+'Inputs'!$B$21+'Inputs'!$B$7+'Inputs'!$B$10)+'Inputs'!$B$9)/SQRT((((530-43)*MAX('Inputs'!$B$33,'Inputs'!$B$29+'Inputs'!$B$31+'Inputs'!$B$32,'Inputs'!$B$30+'Inputs'!$B$31+'Inputs'!$B$32)/1000+'Inputs'!$B$21+'Inputs'!$B$7+'Inputs'!$B$10)+'Inputs'!$B$9)^2+('Inputs'!$B$8/2)^2)-(((530-43)*MAX('Inputs'!$B$33,'Inputs'!$B$29+'Inputs'!$B$31+'Inputs'!$B$32,'Inputs'!$B$30+'Inputs'!$B$31+'Inputs'!$B$32)/1000+'Inputs'!$B$21+'Inputs'!$B$7+'Inputs'!$B$10))/SQRT((((530-43)*MAX('Inputs'!$B$33,'Inputs'!$B$29+'Inputs'!$B$31+'Inputs'!$B$32,'Inputs'!$B$30+'Inputs'!$B$31+'Inputs'!$B$32)/1000+'Inputs'!$B$21+'Inputs'!$B$7+'Inputs'!$B$10))^2+('Inputs'!$B$8/2)^2))))*'Results'!$B$8))),"")</x:f>
        <x:v>5.1201334513001235</x:v>
      </x:c>
      <x:c r="M530" t="n">
        <x:f>IF(AND(ISNUMBER('Results'!C7),ISNUMBER('Results'!B7),ISNUMBER('Results'!$B$8),ISNUMBER('Inputs'!$B$6),ISNUMBER('Inputs'!$B$7),ISNUMBER('Inputs'!$B$8),ISNUMBER('Inputs'!$B$9),ISNUMBER('Inputs'!$B$10),ISNUMBER('Inputs'!$B$21),ISNUMBER('Inputs'!$B$24),ISNUMBER('Inputs'!$B$28)),(('Results'!C7*(0.5*((((530-43)*MAX('Inputs'!$B$33,'Inputs'!$B$29+'Inputs'!$B$31+'Inputs'!$B$32,'Inputs'!$B$30+'Inputs'!$B$31+'Inputs'!$B$32)/1000+'Inputs'!$B$21)+'Inputs'!$B$9)/SQRT((((530-43)*MAX('Inputs'!$B$33,'Inputs'!$B$29+'Inputs'!$B$31+'Inputs'!$B$32,'Inputs'!$B$30+'Inputs'!$B$31+'Inputs'!$B$32)/1000+'Inputs'!$B$21)+'Inputs'!$B$9)^2+('Inputs'!$B$8/2)^2)-(((530-43)*MAX('Inputs'!$B$33,'Inputs'!$B$29+'Inputs'!$B$31+'Inputs'!$B$32,'Inputs'!$B$30+'Inputs'!$B$31+'Inputs'!$B$32)/1000+'Inputs'!$B$21))/SQRT((((530-43)*MAX('Inputs'!$B$33,'Inputs'!$B$29+'Inputs'!$B$31+'Inputs'!$B$32,'Inputs'!$B$30+'Inputs'!$B$31+'Inputs'!$B$32)/1000+'Inputs'!$B$21))^2+('Inputs'!$B$8/2)^2)))-'Results'!B7*(0.5*((((530-43)*MAX('Inputs'!$B$33,'Inputs'!$B$29+'Inputs'!$B$31+'Inputs'!$B$32,'Inputs'!$B$30+'Inputs'!$B$31+'Inputs'!$B$32)/1000+'Inputs'!$B$21+'Inputs'!$B$9+'Inputs'!$B$10)+'Inputs'!$B$7)/SQRT((((530-43)*MAX('Inputs'!$B$33,'Inputs'!$B$29+'Inputs'!$B$31+'Inputs'!$B$32,'Inputs'!$B$30+'Inputs'!$B$31+'Inputs'!$B$32)/1000+'Inputs'!$B$21+'Inputs'!$B$9+'Inputs'!$B$10)+'Inputs'!$B$7)^2+('Inputs'!$B$6/2)^2)-(((530-43)*MAX('Inputs'!$B$33,'Inputs'!$B$29+'Inputs'!$B$31+'Inputs'!$B$32,'Inputs'!$B$30+'Inputs'!$B$31+'Inputs'!$B$32)/1000+'Inputs'!$B$21+'Inputs'!$B$9+'Inputs'!$B$10))/SQRT((((530-43)*MAX('Inputs'!$B$33,'Inputs'!$B$29+'Inputs'!$B$31+'Inputs'!$B$32,'Inputs'!$B$30+'Inputs'!$B$31+'Inputs'!$B$32)/1000+'Inputs'!$B$21+'Inputs'!$B$9+'Inputs'!$B$10))^2+('Inputs'!$B$6/2)^2))))*'Results'!$B$8),"")</x:f>
        <x:v>4.266315623201368</x:v>
      </x:c>
      <x:c r="N530" t="n">
        <x:f>IF(AND(ISNUMBER('Results'!C7),ISNUMBER('Results'!B7),ISNUMBER('Results'!$B$8),ISNUMBER('Inputs'!$B$6),ISNUMBER('Inputs'!$B$7),ISNUMBER('Inputs'!$B$8),ISNUMBER('Inputs'!$B$9),ISNUMBER('Inputs'!$B$10),ISNUMBER('Inputs'!$B$21),ISNUMBER('Inputs'!$B$24),ISNUMBER('Inputs'!$B$28)),((('Results'!C7*(1-'Inputs'!$B$24)*(0.5*((((530-43)*MAX('Inputs'!$B$33,'Inputs'!$B$29+'Inputs'!$B$31+'Inputs'!$B$32,'Inputs'!$B$30+'Inputs'!$B$31+'Inputs'!$B$32)/1000+'Inputs'!$B$21)+'Inputs'!$B$9)/SQRT((((530-43)*MAX('Inputs'!$B$33,'Inputs'!$B$29+'Inputs'!$B$31+'Inputs'!$B$32,'Inputs'!$B$30+'Inputs'!$B$31+'Inputs'!$B$32)/1000+'Inputs'!$B$21)+'Inputs'!$B$9)^2+('Inputs'!$B$8/2)^2)-(((530-43)*MAX('Inputs'!$B$33,'Inputs'!$B$29+'Inputs'!$B$31+'Inputs'!$B$32,'Inputs'!$B$30+'Inputs'!$B$31+'Inputs'!$B$32)/1000+'Inputs'!$B$21))/SQRT((((530-43)*MAX('Inputs'!$B$33,'Inputs'!$B$29+'Inputs'!$B$31+'Inputs'!$B$32,'Inputs'!$B$30+'Inputs'!$B$31+'Inputs'!$B$32)/1000+'Inputs'!$B$21))^2+('Inputs'!$B$8/2)^2)))-'Results'!B7*(1+'Inputs'!$B$24)*(0.5*((((530-43)*MAX('Inputs'!$B$33,'Inputs'!$B$29+'Inputs'!$B$31+'Inputs'!$B$32,'Inputs'!$B$30+'Inputs'!$B$31+'Inputs'!$B$32)/1000+'Inputs'!$B$21+'Inputs'!$B$9+'Inputs'!$B$10)+'Inputs'!$B$7)/SQRT((((530-43)*MAX('Inputs'!$B$33,'Inputs'!$B$29+'Inputs'!$B$31+'Inputs'!$B$32,'Inputs'!$B$30+'Inputs'!$B$31+'Inputs'!$B$32)/1000+'Inputs'!$B$21+'Inputs'!$B$9+'Inputs'!$B$10)+'Inputs'!$B$7)^2+('Inputs'!$B$6/2)^2)-(((530-43)*MAX('Inputs'!$B$33,'Inputs'!$B$29+'Inputs'!$B$31+'Inputs'!$B$32,'Inputs'!$B$30+'Inputs'!$B$31+'Inputs'!$B$32)/1000+'Inputs'!$B$21+'Inputs'!$B$9+'Inputs'!$B$10))/SQRT((((530-43)*MAX('Inputs'!$B$33,'Inputs'!$B$29+'Inputs'!$B$31+'Inputs'!$B$32,'Inputs'!$B$30+'Inputs'!$B$31+'Inputs'!$B$32)/1000+'Inputs'!$B$21+'Inputs'!$B$9+'Inputs'!$B$10))^2+('Inputs'!$B$6/2)^2))))*'Results'!$B$8)-'Inputs'!$B$28*ABS((('Results'!C7*(1-'Inputs'!$B$24)*(0.5*((((530-43)*MAX('Inputs'!$B$33,'Inputs'!$B$29+'Inputs'!$B$31+'Inputs'!$B$32,'Inputs'!$B$30+'Inputs'!$B$31+'Inputs'!$B$32)/1000+'Inputs'!$B$21)+'Inputs'!$B$9)/SQRT((((530-43)*MAX('Inputs'!$B$33,'Inputs'!$B$29+'Inputs'!$B$31+'Inputs'!$B$32,'Inputs'!$B$30+'Inputs'!$B$31+'Inputs'!$B$32)/1000+'Inputs'!$B$21)+'Inputs'!$B$9)^2+('Inputs'!$B$8/2)^2)-(((530-43)*MAX('Inputs'!$B$33,'Inputs'!$B$29+'Inputs'!$B$31+'Inputs'!$B$32,'Inputs'!$B$30+'Inputs'!$B$31+'Inputs'!$B$32)/1000+'Inputs'!$B$21))/SQRT((((530-43)*MAX('Inputs'!$B$33,'Inputs'!$B$29+'Inputs'!$B$31+'Inputs'!$B$32,'Inputs'!$B$30+'Inputs'!$B$31+'Inputs'!$B$32)/1000+'Inputs'!$B$21))^2+('Inputs'!$B$8/2)^2)))-'Results'!B7*(1+'Inputs'!$B$24)*(0.5*((((530-43)*MAX('Inputs'!$B$33,'Inputs'!$B$29+'Inputs'!$B$31+'Inputs'!$B$32,'Inputs'!$B$30+'Inputs'!$B$31+'Inputs'!$B$32)/1000+'Inputs'!$B$21+'Inputs'!$B$9+'Inputs'!$B$10)+'Inputs'!$B$7)/SQRT((((530-43)*MAX('Inputs'!$B$33,'Inputs'!$B$29+'Inputs'!$B$31+'Inputs'!$B$32,'Inputs'!$B$30+'Inputs'!$B$31+'Inputs'!$B$32)/1000+'Inputs'!$B$21+'Inputs'!$B$9+'Inputs'!$B$10)+'Inputs'!$B$7)^2+('Inputs'!$B$6/2)^2)-(((530-43)*MAX('Inputs'!$B$33,'Inputs'!$B$29+'Inputs'!$B$31+'Inputs'!$B$32,'Inputs'!$B$30+'Inputs'!$B$31+'Inputs'!$B$32)/1000+'Inputs'!$B$21+'Inputs'!$B$9+'Inputs'!$B$10))/SQRT((((530-43)*MAX('Inputs'!$B$33,'Inputs'!$B$29+'Inputs'!$B$31+'Inputs'!$B$32,'Inputs'!$B$30+'Inputs'!$B$31+'Inputs'!$B$32)/1000+'Inputs'!$B$21+'Inputs'!$B$9+'Inputs'!$B$10))^2+('Inputs'!$B$6/2)^2))))*'Results'!$B$8))),"")</x:f>
        <x:v>3.765975059254553</x:v>
      </x:c>
      <x:c r="O530" t="n">
        <x:f>IF(AND(ISNUMBER('Results'!C7),ISNUMBER('Results'!B7),ISNUMBER('Results'!$B$8),ISNUMBER('Inputs'!$B$6),ISNUMBER('Inputs'!$B$7),ISNUMBER('Inputs'!$B$8),ISNUMBER('Inputs'!$B$9),ISNUMBER('Inputs'!$B$10),ISNUMBER('Inputs'!$B$21),ISNUMBER('Inputs'!$B$24),ISNUMBER('Inputs'!$B$28)),((('Results'!C7*(1+'Inputs'!$B$24)*(0.5*((((530-43)*MAX('Inputs'!$B$33,'Inputs'!$B$29+'Inputs'!$B$31+'Inputs'!$B$32,'Inputs'!$B$30+'Inputs'!$B$31+'Inputs'!$B$32)/1000+'Inputs'!$B$21)+'Inputs'!$B$9)/SQRT((((530-43)*MAX('Inputs'!$B$33,'Inputs'!$B$29+'Inputs'!$B$31+'Inputs'!$B$32,'Inputs'!$B$30+'Inputs'!$B$31+'Inputs'!$B$32)/1000+'Inputs'!$B$21)+'Inputs'!$B$9)^2+('Inputs'!$B$8/2)^2)-(((530-43)*MAX('Inputs'!$B$33,'Inputs'!$B$29+'Inputs'!$B$31+'Inputs'!$B$32,'Inputs'!$B$30+'Inputs'!$B$31+'Inputs'!$B$32)/1000+'Inputs'!$B$21))/SQRT((((530-43)*MAX('Inputs'!$B$33,'Inputs'!$B$29+'Inputs'!$B$31+'Inputs'!$B$32,'Inputs'!$B$30+'Inputs'!$B$31+'Inputs'!$B$32)/1000+'Inputs'!$B$21))^2+('Inputs'!$B$8/2)^2)))-'Results'!B7*(1-'Inputs'!$B$24)*(0.5*((((530-43)*MAX('Inputs'!$B$33,'Inputs'!$B$29+'Inputs'!$B$31+'Inputs'!$B$32,'Inputs'!$B$30+'Inputs'!$B$31+'Inputs'!$B$32)/1000+'Inputs'!$B$21+'Inputs'!$B$9+'Inputs'!$B$10)+'Inputs'!$B$7)/SQRT((((530-43)*MAX('Inputs'!$B$33,'Inputs'!$B$29+'Inputs'!$B$31+'Inputs'!$B$32,'Inputs'!$B$30+'Inputs'!$B$31+'Inputs'!$B$32)/1000+'Inputs'!$B$21+'Inputs'!$B$9+'Inputs'!$B$10)+'Inputs'!$B$7)^2+('Inputs'!$B$6/2)^2)-(((530-43)*MAX('Inputs'!$B$33,'Inputs'!$B$29+'Inputs'!$B$31+'Inputs'!$B$32,'Inputs'!$B$30+'Inputs'!$B$31+'Inputs'!$B$32)/1000+'Inputs'!$B$21+'Inputs'!$B$9+'Inputs'!$B$10))/SQRT((((530-43)*MAX('Inputs'!$B$33,'Inputs'!$B$29+'Inputs'!$B$31+'Inputs'!$B$32,'Inputs'!$B$30+'Inputs'!$B$31+'Inputs'!$B$32)/1000+'Inputs'!$B$21+'Inputs'!$B$9+'Inputs'!$B$10))^2+('Inputs'!$B$6/2)^2))))*'Results'!$B$8)+'Inputs'!$B$28*ABS((('Results'!C7*(1+'Inputs'!$B$24)*(0.5*((((530-43)*MAX('Inputs'!$B$33,'Inputs'!$B$29+'Inputs'!$B$31+'Inputs'!$B$32,'Inputs'!$B$30+'Inputs'!$B$31+'Inputs'!$B$32)/1000+'Inputs'!$B$21)+'Inputs'!$B$9)/SQRT((((530-43)*MAX('Inputs'!$B$33,'Inputs'!$B$29+'Inputs'!$B$31+'Inputs'!$B$32,'Inputs'!$B$30+'Inputs'!$B$31+'Inputs'!$B$32)/1000+'Inputs'!$B$21)+'Inputs'!$B$9)^2+('Inputs'!$B$8/2)^2)-(((530-43)*MAX('Inputs'!$B$33,'Inputs'!$B$29+'Inputs'!$B$31+'Inputs'!$B$32,'Inputs'!$B$30+'Inputs'!$B$31+'Inputs'!$B$32)/1000+'Inputs'!$B$21))/SQRT((((530-43)*MAX('Inputs'!$B$33,'Inputs'!$B$29+'Inputs'!$B$31+'Inputs'!$B$32,'Inputs'!$B$30+'Inputs'!$B$31+'Inputs'!$B$32)/1000+'Inputs'!$B$21))^2+('Inputs'!$B$8/2)^2)))-'Results'!B7*(1-'Inputs'!$B$24)*(0.5*((((530-43)*MAX('Inputs'!$B$33,'Inputs'!$B$29+'Inputs'!$B$31+'Inputs'!$B$32,'Inputs'!$B$30+'Inputs'!$B$31+'Inputs'!$B$32)/1000+'Inputs'!$B$21+'Inputs'!$B$9+'Inputs'!$B$10)+'Inputs'!$B$7)/SQRT((((530-43)*MAX('Inputs'!$B$33,'Inputs'!$B$29+'Inputs'!$B$31+'Inputs'!$B$32,'Inputs'!$B$30+'Inputs'!$B$31+'Inputs'!$B$32)/1000+'Inputs'!$B$21+'Inputs'!$B$9+'Inputs'!$B$10)+'Inputs'!$B$7)^2+('Inputs'!$B$6/2)^2)-(((530-43)*MAX('Inputs'!$B$33,'Inputs'!$B$29+'Inputs'!$B$31+'Inputs'!$B$32,'Inputs'!$B$30+'Inputs'!$B$31+'Inputs'!$B$32)/1000+'Inputs'!$B$21+'Inputs'!$B$9+'Inputs'!$B$10))/SQRT((((530-43)*MAX('Inputs'!$B$33,'Inputs'!$B$29+'Inputs'!$B$31+'Inputs'!$B$32,'Inputs'!$B$30+'Inputs'!$B$31+'Inputs'!$B$32)/1000+'Inputs'!$B$21+'Inputs'!$B$9+'Inputs'!$B$10))^2+('Inputs'!$B$6/2)^2))))*'Results'!$B$8))),"")</x:f>
        <x:v>4.796869322178367</x:v>
      </x:c>
      <x:c r="P530" t="n">
        <x:f>IF(AND(MAX(J530,J529)&gt;0,J530&gt;J529+0.00000001),1,0)</x:f>
        <x:v>0</x:v>
      </x:c>
      <x:c r="Q530" t="n">
        <x:f>IF(AND(MAX(K530,K529)&gt;0,K530&gt;K529+0.00000001),1,0)</x:f>
        <x:v>0</x:v>
      </x:c>
      <x:c r="R530" t="n">
        <x:f>IF(AND(MAX(L530,L529)&gt;0,L530&gt;L529+0.00000001),1,0)</x:f>
        <x:v>0</x:v>
      </x:c>
      <x:c r="S530" t="n">
        <x:f>IF(AND(MAX(M530,M529)&gt;0,M530&gt;M529+0.00000001),1,0)</x:f>
        <x:v>0</x:v>
      </x:c>
      <x:c r="T530" t="n">
        <x:f>IF(AND(MAX(N530,N529)&gt;0,N530&gt;N529+0.00000001),1,0)</x:f>
        <x:v>0</x:v>
      </x:c>
      <x:c r="U530" t="n">
        <x:f>IF(AND(MAX(O530,O529)&gt;0,O530&gt;O529+0.00000001),1,0)</x:f>
        <x:v>0</x:v>
      </x:c>
    </x:row>
    <x:row r="531">
      <x:c r="J531" t="n">
        <x:f>IF(AND(ISNUMBER('Results'!B7),ISNUMBER('Results'!C7),ISNUMBER('Results'!$B$8),ISNUMBER('Inputs'!$B$6),ISNUMBER('Inputs'!$B$7),ISNUMBER('Inputs'!$B$8),ISNUMBER('Inputs'!$B$9),ISNUMBER('Inputs'!$B$10),ISNUMBER('Inputs'!$B$21),ISNUMBER('Inputs'!$B$24),ISNUMBER('Inputs'!$B$28)),(('Results'!B7*(0.5*((((531-43)*MAX('Inputs'!$B$33,'Inputs'!$B$29+'Inputs'!$B$31+'Inputs'!$B$32,'Inputs'!$B$30+'Inputs'!$B$31+'Inputs'!$B$32)/1000+'Inputs'!$B$21)+'Inputs'!$B$7)/SQRT((((531-43)*MAX('Inputs'!$B$33,'Inputs'!$B$29+'Inputs'!$B$31+'Inputs'!$B$32,'Inputs'!$B$30+'Inputs'!$B$31+'Inputs'!$B$32)/1000+'Inputs'!$B$21)+'Inputs'!$B$7)^2+('Inputs'!$B$6/2)^2)-(((531-43)*MAX('Inputs'!$B$33,'Inputs'!$B$29+'Inputs'!$B$31+'Inputs'!$B$32,'Inputs'!$B$30+'Inputs'!$B$31+'Inputs'!$B$32)/1000+'Inputs'!$B$21))/SQRT((((531-43)*MAX('Inputs'!$B$33,'Inputs'!$B$29+'Inputs'!$B$31+'Inputs'!$B$32,'Inputs'!$B$30+'Inputs'!$B$31+'Inputs'!$B$32)/1000+'Inputs'!$B$21))^2+('Inputs'!$B$6/2)^2)))-'Results'!C7*(0.5*((((531-43)*MAX('Inputs'!$B$33,'Inputs'!$B$29+'Inputs'!$B$31+'Inputs'!$B$32,'Inputs'!$B$30+'Inputs'!$B$31+'Inputs'!$B$32)/1000+'Inputs'!$B$21+'Inputs'!$B$7+'Inputs'!$B$10)+'Inputs'!$B$9)/SQRT((((531-43)*MAX('Inputs'!$B$33,'Inputs'!$B$29+'Inputs'!$B$31+'Inputs'!$B$32,'Inputs'!$B$30+'Inputs'!$B$31+'Inputs'!$B$32)/1000+'Inputs'!$B$21+'Inputs'!$B$7+'Inputs'!$B$10)+'Inputs'!$B$9)^2+('Inputs'!$B$8/2)^2)-(((531-43)*MAX('Inputs'!$B$33,'Inputs'!$B$29+'Inputs'!$B$31+'Inputs'!$B$32,'Inputs'!$B$30+'Inputs'!$B$31+'Inputs'!$B$32)/1000+'Inputs'!$B$21+'Inputs'!$B$7+'Inputs'!$B$10))/SQRT((((531-43)*MAX('Inputs'!$B$33,'Inputs'!$B$29+'Inputs'!$B$31+'Inputs'!$B$32,'Inputs'!$B$30+'Inputs'!$B$31+'Inputs'!$B$32)/1000+'Inputs'!$B$21+'Inputs'!$B$7+'Inputs'!$B$10))^2+('Inputs'!$B$8/2)^2))))*'Results'!$B$8),"")</x:f>
        <x:v>4.5405886866494765</x:v>
      </x:c>
      <x:c r="K531" t="n">
        <x:f>IF(AND(ISNUMBER('Results'!B7),ISNUMBER('Results'!C7),ISNUMBER('Results'!$B$8),ISNUMBER('Inputs'!$B$6),ISNUMBER('Inputs'!$B$7),ISNUMBER('Inputs'!$B$8),ISNUMBER('Inputs'!$B$9),ISNUMBER('Inputs'!$B$10),ISNUMBER('Inputs'!$B$21),ISNUMBER('Inputs'!$B$24),ISNUMBER('Inputs'!$B$28)),((('Results'!B7*(1-'Inputs'!$B$24)*(0.5*((((531-43)*MAX('Inputs'!$B$33,'Inputs'!$B$29+'Inputs'!$B$31+'Inputs'!$B$32,'Inputs'!$B$30+'Inputs'!$B$31+'Inputs'!$B$32)/1000+'Inputs'!$B$21)+'Inputs'!$B$7)/SQRT((((531-43)*MAX('Inputs'!$B$33,'Inputs'!$B$29+'Inputs'!$B$31+'Inputs'!$B$32,'Inputs'!$B$30+'Inputs'!$B$31+'Inputs'!$B$32)/1000+'Inputs'!$B$21)+'Inputs'!$B$7)^2+('Inputs'!$B$6/2)^2)-(((531-43)*MAX('Inputs'!$B$33,'Inputs'!$B$29+'Inputs'!$B$31+'Inputs'!$B$32,'Inputs'!$B$30+'Inputs'!$B$31+'Inputs'!$B$32)/1000+'Inputs'!$B$21))/SQRT((((531-43)*MAX('Inputs'!$B$33,'Inputs'!$B$29+'Inputs'!$B$31+'Inputs'!$B$32,'Inputs'!$B$30+'Inputs'!$B$31+'Inputs'!$B$32)/1000+'Inputs'!$B$21))^2+('Inputs'!$B$6/2)^2)))-'Results'!C7*(1+'Inputs'!$B$24)*(0.5*((((531-43)*MAX('Inputs'!$B$33,'Inputs'!$B$29+'Inputs'!$B$31+'Inputs'!$B$32,'Inputs'!$B$30+'Inputs'!$B$31+'Inputs'!$B$32)/1000+'Inputs'!$B$21+'Inputs'!$B$7+'Inputs'!$B$10)+'Inputs'!$B$9)/SQRT((((531-43)*MAX('Inputs'!$B$33,'Inputs'!$B$29+'Inputs'!$B$31+'Inputs'!$B$32,'Inputs'!$B$30+'Inputs'!$B$31+'Inputs'!$B$32)/1000+'Inputs'!$B$21+'Inputs'!$B$7+'Inputs'!$B$10)+'Inputs'!$B$9)^2+('Inputs'!$B$8/2)^2)-(((531-43)*MAX('Inputs'!$B$33,'Inputs'!$B$29+'Inputs'!$B$31+'Inputs'!$B$32,'Inputs'!$B$30+'Inputs'!$B$31+'Inputs'!$B$32)/1000+'Inputs'!$B$21+'Inputs'!$B$7+'Inputs'!$B$10))/SQRT((((531-43)*MAX('Inputs'!$B$33,'Inputs'!$B$29+'Inputs'!$B$31+'Inputs'!$B$32,'Inputs'!$B$30+'Inputs'!$B$31+'Inputs'!$B$32)/1000+'Inputs'!$B$21+'Inputs'!$B$7+'Inputs'!$B$10))^2+('Inputs'!$B$8/2)^2))))*'Results'!$B$8)-'Inputs'!$B$28*ABS((('Results'!B7*(1-'Inputs'!$B$24)*(0.5*((((531-43)*MAX('Inputs'!$B$33,'Inputs'!$B$29+'Inputs'!$B$31+'Inputs'!$B$32,'Inputs'!$B$30+'Inputs'!$B$31+'Inputs'!$B$32)/1000+'Inputs'!$B$21)+'Inputs'!$B$7)/SQRT((((531-43)*MAX('Inputs'!$B$33,'Inputs'!$B$29+'Inputs'!$B$31+'Inputs'!$B$32,'Inputs'!$B$30+'Inputs'!$B$31+'Inputs'!$B$32)/1000+'Inputs'!$B$21)+'Inputs'!$B$7)^2+('Inputs'!$B$6/2)^2)-(((531-43)*MAX('Inputs'!$B$33,'Inputs'!$B$29+'Inputs'!$B$31+'Inputs'!$B$32,'Inputs'!$B$30+'Inputs'!$B$31+'Inputs'!$B$32)/1000+'Inputs'!$B$21))/SQRT((((531-43)*MAX('Inputs'!$B$33,'Inputs'!$B$29+'Inputs'!$B$31+'Inputs'!$B$32,'Inputs'!$B$30+'Inputs'!$B$31+'Inputs'!$B$32)/1000+'Inputs'!$B$21))^2+('Inputs'!$B$6/2)^2)))-'Results'!C7*(1+'Inputs'!$B$24)*(0.5*((((531-43)*MAX('Inputs'!$B$33,'Inputs'!$B$29+'Inputs'!$B$31+'Inputs'!$B$32,'Inputs'!$B$30+'Inputs'!$B$31+'Inputs'!$B$32)/1000+'Inputs'!$B$21+'Inputs'!$B$7+'Inputs'!$B$10)+'Inputs'!$B$9)/SQRT((((531-43)*MAX('Inputs'!$B$33,'Inputs'!$B$29+'Inputs'!$B$31+'Inputs'!$B$32,'Inputs'!$B$30+'Inputs'!$B$31+'Inputs'!$B$32)/1000+'Inputs'!$B$21+'Inputs'!$B$7+'Inputs'!$B$10)+'Inputs'!$B$9)^2+('Inputs'!$B$8/2)^2)-(((531-43)*MAX('Inputs'!$B$33,'Inputs'!$B$29+'Inputs'!$B$31+'Inputs'!$B$32,'Inputs'!$B$30+'Inputs'!$B$31+'Inputs'!$B$32)/1000+'Inputs'!$B$21+'Inputs'!$B$7+'Inputs'!$B$10))/SQRT((((531-43)*MAX('Inputs'!$B$33,'Inputs'!$B$29+'Inputs'!$B$31+'Inputs'!$B$32,'Inputs'!$B$30+'Inputs'!$B$31+'Inputs'!$B$32)/1000+'Inputs'!$B$21+'Inputs'!$B$7+'Inputs'!$B$10))^2+('Inputs'!$B$8/2)^2))))*'Results'!$B$8))),"")</x:f>
        <x:v>4.026399415818193</x:v>
      </x:c>
      <x:c r="L531" t="n">
        <x:f>IF(AND(ISNUMBER('Results'!B7),ISNUMBER('Results'!C7),ISNUMBER('Results'!$B$8),ISNUMBER('Inputs'!$B$6),ISNUMBER('Inputs'!$B$7),ISNUMBER('Inputs'!$B$8),ISNUMBER('Inputs'!$B$9),ISNUMBER('Inputs'!$B$10),ISNUMBER('Inputs'!$B$21),ISNUMBER('Inputs'!$B$24),ISNUMBER('Inputs'!$B$28)),((('Results'!B7*(1+'Inputs'!$B$24)*(0.5*((((531-43)*MAX('Inputs'!$B$33,'Inputs'!$B$29+'Inputs'!$B$31+'Inputs'!$B$32,'Inputs'!$B$30+'Inputs'!$B$31+'Inputs'!$B$32)/1000+'Inputs'!$B$21)+'Inputs'!$B$7)/SQRT((((531-43)*MAX('Inputs'!$B$33,'Inputs'!$B$29+'Inputs'!$B$31+'Inputs'!$B$32,'Inputs'!$B$30+'Inputs'!$B$31+'Inputs'!$B$32)/1000+'Inputs'!$B$21)+'Inputs'!$B$7)^2+('Inputs'!$B$6/2)^2)-(((531-43)*MAX('Inputs'!$B$33,'Inputs'!$B$29+'Inputs'!$B$31+'Inputs'!$B$32,'Inputs'!$B$30+'Inputs'!$B$31+'Inputs'!$B$32)/1000+'Inputs'!$B$21))/SQRT((((531-43)*MAX('Inputs'!$B$33,'Inputs'!$B$29+'Inputs'!$B$31+'Inputs'!$B$32,'Inputs'!$B$30+'Inputs'!$B$31+'Inputs'!$B$32)/1000+'Inputs'!$B$21))^2+('Inputs'!$B$6/2)^2)))-'Results'!C7*(1-'Inputs'!$B$24)*(0.5*((((531-43)*MAX('Inputs'!$B$33,'Inputs'!$B$29+'Inputs'!$B$31+'Inputs'!$B$32,'Inputs'!$B$30+'Inputs'!$B$31+'Inputs'!$B$32)/1000+'Inputs'!$B$21+'Inputs'!$B$7+'Inputs'!$B$10)+'Inputs'!$B$9)/SQRT((((531-43)*MAX('Inputs'!$B$33,'Inputs'!$B$29+'Inputs'!$B$31+'Inputs'!$B$32,'Inputs'!$B$30+'Inputs'!$B$31+'Inputs'!$B$32)/1000+'Inputs'!$B$21+'Inputs'!$B$7+'Inputs'!$B$10)+'Inputs'!$B$9)^2+('Inputs'!$B$8/2)^2)-(((531-43)*MAX('Inputs'!$B$33,'Inputs'!$B$29+'Inputs'!$B$31+'Inputs'!$B$32,'Inputs'!$B$30+'Inputs'!$B$31+'Inputs'!$B$32)/1000+'Inputs'!$B$21+'Inputs'!$B$7+'Inputs'!$B$10))/SQRT((((531-43)*MAX('Inputs'!$B$33,'Inputs'!$B$29+'Inputs'!$B$31+'Inputs'!$B$32,'Inputs'!$B$30+'Inputs'!$B$31+'Inputs'!$B$32)/1000+'Inputs'!$B$21+'Inputs'!$B$7+'Inputs'!$B$10))^2+('Inputs'!$B$8/2)^2))))*'Results'!$B$8)+'Inputs'!$B$28*ABS((('Results'!B7*(1+'Inputs'!$B$24)*(0.5*((((531-43)*MAX('Inputs'!$B$33,'Inputs'!$B$29+'Inputs'!$B$31+'Inputs'!$B$32,'Inputs'!$B$30+'Inputs'!$B$31+'Inputs'!$B$32)/1000+'Inputs'!$B$21)+'Inputs'!$B$7)/SQRT((((531-43)*MAX('Inputs'!$B$33,'Inputs'!$B$29+'Inputs'!$B$31+'Inputs'!$B$32,'Inputs'!$B$30+'Inputs'!$B$31+'Inputs'!$B$32)/1000+'Inputs'!$B$21)+'Inputs'!$B$7)^2+('Inputs'!$B$6/2)^2)-(((531-43)*MAX('Inputs'!$B$33,'Inputs'!$B$29+'Inputs'!$B$31+'Inputs'!$B$32,'Inputs'!$B$30+'Inputs'!$B$31+'Inputs'!$B$32)/1000+'Inputs'!$B$21))/SQRT((((531-43)*MAX('Inputs'!$B$33,'Inputs'!$B$29+'Inputs'!$B$31+'Inputs'!$B$32,'Inputs'!$B$30+'Inputs'!$B$31+'Inputs'!$B$32)/1000+'Inputs'!$B$21))^2+('Inputs'!$B$6/2)^2)))-'Results'!C7*(1-'Inputs'!$B$24)*(0.5*((((531-43)*MAX('Inputs'!$B$33,'Inputs'!$B$29+'Inputs'!$B$31+'Inputs'!$B$32,'Inputs'!$B$30+'Inputs'!$B$31+'Inputs'!$B$32)/1000+'Inputs'!$B$21+'Inputs'!$B$7+'Inputs'!$B$10)+'Inputs'!$B$9)/SQRT((((531-43)*MAX('Inputs'!$B$33,'Inputs'!$B$29+'Inputs'!$B$31+'Inputs'!$B$32,'Inputs'!$B$30+'Inputs'!$B$31+'Inputs'!$B$32)/1000+'Inputs'!$B$21+'Inputs'!$B$7+'Inputs'!$B$10)+'Inputs'!$B$9)^2+('Inputs'!$B$8/2)^2)-(((531-43)*MAX('Inputs'!$B$33,'Inputs'!$B$29+'Inputs'!$B$31+'Inputs'!$B$32,'Inputs'!$B$30+'Inputs'!$B$31+'Inputs'!$B$32)/1000+'Inputs'!$B$21+'Inputs'!$B$7+'Inputs'!$B$10))/SQRT((((531-43)*MAX('Inputs'!$B$33,'Inputs'!$B$29+'Inputs'!$B$31+'Inputs'!$B$32,'Inputs'!$B$30+'Inputs'!$B$31+'Inputs'!$B$32)/1000+'Inputs'!$B$21+'Inputs'!$B$7+'Inputs'!$B$10))^2+('Inputs'!$B$8/2)^2))))*'Results'!$B$8))),"")</x:f>
        <x:v>5.085005308691162</x:v>
      </x:c>
      <x:c r="M531" t="n">
        <x:f>IF(AND(ISNUMBER('Results'!C7),ISNUMBER('Results'!B7),ISNUMBER('Results'!$B$8),ISNUMBER('Inputs'!$B$6),ISNUMBER('Inputs'!$B$7),ISNUMBER('Inputs'!$B$8),ISNUMBER('Inputs'!$B$9),ISNUMBER('Inputs'!$B$10),ISNUMBER('Inputs'!$B$21),ISNUMBER('Inputs'!$B$24),ISNUMBER('Inputs'!$B$28)),(('Results'!C7*(0.5*((((531-43)*MAX('Inputs'!$B$33,'Inputs'!$B$29+'Inputs'!$B$31+'Inputs'!$B$32,'Inputs'!$B$30+'Inputs'!$B$31+'Inputs'!$B$32)/1000+'Inputs'!$B$21)+'Inputs'!$B$9)/SQRT((((531-43)*MAX('Inputs'!$B$33,'Inputs'!$B$29+'Inputs'!$B$31+'Inputs'!$B$32,'Inputs'!$B$30+'Inputs'!$B$31+'Inputs'!$B$32)/1000+'Inputs'!$B$21)+'Inputs'!$B$9)^2+('Inputs'!$B$8/2)^2)-(((531-43)*MAX('Inputs'!$B$33,'Inputs'!$B$29+'Inputs'!$B$31+'Inputs'!$B$32,'Inputs'!$B$30+'Inputs'!$B$31+'Inputs'!$B$32)/1000+'Inputs'!$B$21))/SQRT((((531-43)*MAX('Inputs'!$B$33,'Inputs'!$B$29+'Inputs'!$B$31+'Inputs'!$B$32,'Inputs'!$B$30+'Inputs'!$B$31+'Inputs'!$B$32)/1000+'Inputs'!$B$21))^2+('Inputs'!$B$8/2)^2)))-'Results'!B7*(0.5*((((531-43)*MAX('Inputs'!$B$33,'Inputs'!$B$29+'Inputs'!$B$31+'Inputs'!$B$32,'Inputs'!$B$30+'Inputs'!$B$31+'Inputs'!$B$32)/1000+'Inputs'!$B$21+'Inputs'!$B$9+'Inputs'!$B$10)+'Inputs'!$B$7)/SQRT((((531-43)*MAX('Inputs'!$B$33,'Inputs'!$B$29+'Inputs'!$B$31+'Inputs'!$B$32,'Inputs'!$B$30+'Inputs'!$B$31+'Inputs'!$B$32)/1000+'Inputs'!$B$21+'Inputs'!$B$9+'Inputs'!$B$10)+'Inputs'!$B$7)^2+('Inputs'!$B$6/2)^2)-(((531-43)*MAX('Inputs'!$B$33,'Inputs'!$B$29+'Inputs'!$B$31+'Inputs'!$B$32,'Inputs'!$B$30+'Inputs'!$B$31+'Inputs'!$B$32)/1000+'Inputs'!$B$21+'Inputs'!$B$9+'Inputs'!$B$10))/SQRT((((531-43)*MAX('Inputs'!$B$33,'Inputs'!$B$29+'Inputs'!$B$31+'Inputs'!$B$32,'Inputs'!$B$30+'Inputs'!$B$31+'Inputs'!$B$32)/1000+'Inputs'!$B$21+'Inputs'!$B$9+'Inputs'!$B$10))^2+('Inputs'!$B$6/2)^2))))*'Results'!$B$8),"")</x:f>
        <x:v>4.236157401704946</x:v>
      </x:c>
      <x:c r="N531" t="n">
        <x:f>IF(AND(ISNUMBER('Results'!C7),ISNUMBER('Results'!B7),ISNUMBER('Results'!$B$8),ISNUMBER('Inputs'!$B$6),ISNUMBER('Inputs'!$B$7),ISNUMBER('Inputs'!$B$8),ISNUMBER('Inputs'!$B$9),ISNUMBER('Inputs'!$B$10),ISNUMBER('Inputs'!$B$21),ISNUMBER('Inputs'!$B$24),ISNUMBER('Inputs'!$B$28)),((('Results'!C7*(1-'Inputs'!$B$24)*(0.5*((((531-43)*MAX('Inputs'!$B$33,'Inputs'!$B$29+'Inputs'!$B$31+'Inputs'!$B$32,'Inputs'!$B$30+'Inputs'!$B$31+'Inputs'!$B$32)/1000+'Inputs'!$B$21)+'Inputs'!$B$9)/SQRT((((531-43)*MAX('Inputs'!$B$33,'Inputs'!$B$29+'Inputs'!$B$31+'Inputs'!$B$32,'Inputs'!$B$30+'Inputs'!$B$31+'Inputs'!$B$32)/1000+'Inputs'!$B$21)+'Inputs'!$B$9)^2+('Inputs'!$B$8/2)^2)-(((531-43)*MAX('Inputs'!$B$33,'Inputs'!$B$29+'Inputs'!$B$31+'Inputs'!$B$32,'Inputs'!$B$30+'Inputs'!$B$31+'Inputs'!$B$32)/1000+'Inputs'!$B$21))/SQRT((((531-43)*MAX('Inputs'!$B$33,'Inputs'!$B$29+'Inputs'!$B$31+'Inputs'!$B$32,'Inputs'!$B$30+'Inputs'!$B$31+'Inputs'!$B$32)/1000+'Inputs'!$B$21))^2+('Inputs'!$B$8/2)^2)))-'Results'!B7*(1+'Inputs'!$B$24)*(0.5*((((531-43)*MAX('Inputs'!$B$33,'Inputs'!$B$29+'Inputs'!$B$31+'Inputs'!$B$32,'Inputs'!$B$30+'Inputs'!$B$31+'Inputs'!$B$32)/1000+'Inputs'!$B$21+'Inputs'!$B$9+'Inputs'!$B$10)+'Inputs'!$B$7)/SQRT((((531-43)*MAX('Inputs'!$B$33,'Inputs'!$B$29+'Inputs'!$B$31+'Inputs'!$B$32,'Inputs'!$B$30+'Inputs'!$B$31+'Inputs'!$B$32)/1000+'Inputs'!$B$21+'Inputs'!$B$9+'Inputs'!$B$10)+'Inputs'!$B$7)^2+('Inputs'!$B$6/2)^2)-(((531-43)*MAX('Inputs'!$B$33,'Inputs'!$B$29+'Inputs'!$B$31+'Inputs'!$B$32,'Inputs'!$B$30+'Inputs'!$B$31+'Inputs'!$B$32)/1000+'Inputs'!$B$21+'Inputs'!$B$9+'Inputs'!$B$10))/SQRT((((531-43)*MAX('Inputs'!$B$33,'Inputs'!$B$29+'Inputs'!$B$31+'Inputs'!$B$32,'Inputs'!$B$30+'Inputs'!$B$31+'Inputs'!$B$32)/1000+'Inputs'!$B$21+'Inputs'!$B$9+'Inputs'!$B$10))^2+('Inputs'!$B$6/2)^2))))*'Results'!$B$8)-'Inputs'!$B$28*ABS((('Results'!C7*(1-'Inputs'!$B$24)*(0.5*((((531-43)*MAX('Inputs'!$B$33,'Inputs'!$B$29+'Inputs'!$B$31+'Inputs'!$B$32,'Inputs'!$B$30+'Inputs'!$B$31+'Inputs'!$B$32)/1000+'Inputs'!$B$21)+'Inputs'!$B$9)/SQRT((((531-43)*MAX('Inputs'!$B$33,'Inputs'!$B$29+'Inputs'!$B$31+'Inputs'!$B$32,'Inputs'!$B$30+'Inputs'!$B$31+'Inputs'!$B$32)/1000+'Inputs'!$B$21)+'Inputs'!$B$9)^2+('Inputs'!$B$8/2)^2)-(((531-43)*MAX('Inputs'!$B$33,'Inputs'!$B$29+'Inputs'!$B$31+'Inputs'!$B$32,'Inputs'!$B$30+'Inputs'!$B$31+'Inputs'!$B$32)/1000+'Inputs'!$B$21))/SQRT((((531-43)*MAX('Inputs'!$B$33,'Inputs'!$B$29+'Inputs'!$B$31+'Inputs'!$B$32,'Inputs'!$B$30+'Inputs'!$B$31+'Inputs'!$B$32)/1000+'Inputs'!$B$21))^2+('Inputs'!$B$8/2)^2)))-'Results'!B7*(1+'Inputs'!$B$24)*(0.5*((((531-43)*MAX('Inputs'!$B$33,'Inputs'!$B$29+'Inputs'!$B$31+'Inputs'!$B$32,'Inputs'!$B$30+'Inputs'!$B$31+'Inputs'!$B$32)/1000+'Inputs'!$B$21+'Inputs'!$B$9+'Inputs'!$B$10)+'Inputs'!$B$7)/SQRT((((531-43)*MAX('Inputs'!$B$33,'Inputs'!$B$29+'Inputs'!$B$31+'Inputs'!$B$32,'Inputs'!$B$30+'Inputs'!$B$31+'Inputs'!$B$32)/1000+'Inputs'!$B$21+'Inputs'!$B$9+'Inputs'!$B$10)+'Inputs'!$B$7)^2+('Inputs'!$B$6/2)^2)-(((531-43)*MAX('Inputs'!$B$33,'Inputs'!$B$29+'Inputs'!$B$31+'Inputs'!$B$32,'Inputs'!$B$30+'Inputs'!$B$31+'Inputs'!$B$32)/1000+'Inputs'!$B$21+'Inputs'!$B$9+'Inputs'!$B$10))/SQRT((((531-43)*MAX('Inputs'!$B$33,'Inputs'!$B$29+'Inputs'!$B$31+'Inputs'!$B$32,'Inputs'!$B$30+'Inputs'!$B$31+'Inputs'!$B$32)/1000+'Inputs'!$B$21+'Inputs'!$B$9+'Inputs'!$B$10))^2+('Inputs'!$B$6/2)^2))))*'Results'!$B$8))),"")</x:f>
        <x:v>3.738874121137845</x:v>
      </x:c>
      <x:c r="O531" t="n">
        <x:f>IF(AND(ISNUMBER('Results'!C7),ISNUMBER('Results'!B7),ISNUMBER('Results'!$B$8),ISNUMBER('Inputs'!$B$6),ISNUMBER('Inputs'!$B$7),ISNUMBER('Inputs'!$B$8),ISNUMBER('Inputs'!$B$9),ISNUMBER('Inputs'!$B$10),ISNUMBER('Inputs'!$B$21),ISNUMBER('Inputs'!$B$24),ISNUMBER('Inputs'!$B$28)),((('Results'!C7*(1+'Inputs'!$B$24)*(0.5*((((531-43)*MAX('Inputs'!$B$33,'Inputs'!$B$29+'Inputs'!$B$31+'Inputs'!$B$32,'Inputs'!$B$30+'Inputs'!$B$31+'Inputs'!$B$32)/1000+'Inputs'!$B$21)+'Inputs'!$B$9)/SQRT((((531-43)*MAX('Inputs'!$B$33,'Inputs'!$B$29+'Inputs'!$B$31+'Inputs'!$B$32,'Inputs'!$B$30+'Inputs'!$B$31+'Inputs'!$B$32)/1000+'Inputs'!$B$21)+'Inputs'!$B$9)^2+('Inputs'!$B$8/2)^2)-(((531-43)*MAX('Inputs'!$B$33,'Inputs'!$B$29+'Inputs'!$B$31+'Inputs'!$B$32,'Inputs'!$B$30+'Inputs'!$B$31+'Inputs'!$B$32)/1000+'Inputs'!$B$21))/SQRT((((531-43)*MAX('Inputs'!$B$33,'Inputs'!$B$29+'Inputs'!$B$31+'Inputs'!$B$32,'Inputs'!$B$30+'Inputs'!$B$31+'Inputs'!$B$32)/1000+'Inputs'!$B$21))^2+('Inputs'!$B$8/2)^2)))-'Results'!B7*(1-'Inputs'!$B$24)*(0.5*((((531-43)*MAX('Inputs'!$B$33,'Inputs'!$B$29+'Inputs'!$B$31+'Inputs'!$B$32,'Inputs'!$B$30+'Inputs'!$B$31+'Inputs'!$B$32)/1000+'Inputs'!$B$21+'Inputs'!$B$9+'Inputs'!$B$10)+'Inputs'!$B$7)/SQRT((((531-43)*MAX('Inputs'!$B$33,'Inputs'!$B$29+'Inputs'!$B$31+'Inputs'!$B$32,'Inputs'!$B$30+'Inputs'!$B$31+'Inputs'!$B$32)/1000+'Inputs'!$B$21+'Inputs'!$B$9+'Inputs'!$B$10)+'Inputs'!$B$7)^2+('Inputs'!$B$6/2)^2)-(((531-43)*MAX('Inputs'!$B$33,'Inputs'!$B$29+'Inputs'!$B$31+'Inputs'!$B$32,'Inputs'!$B$30+'Inputs'!$B$31+'Inputs'!$B$32)/1000+'Inputs'!$B$21+'Inputs'!$B$9+'Inputs'!$B$10))/SQRT((((531-43)*MAX('Inputs'!$B$33,'Inputs'!$B$29+'Inputs'!$B$31+'Inputs'!$B$32,'Inputs'!$B$30+'Inputs'!$B$31+'Inputs'!$B$32)/1000+'Inputs'!$B$21+'Inputs'!$B$9+'Inputs'!$B$10))^2+('Inputs'!$B$6/2)^2))))*'Results'!$B$8)+'Inputs'!$B$28*ABS((('Results'!C7*(1+'Inputs'!$B$24)*(0.5*((((531-43)*MAX('Inputs'!$B$33,'Inputs'!$B$29+'Inputs'!$B$31+'Inputs'!$B$32,'Inputs'!$B$30+'Inputs'!$B$31+'Inputs'!$B$32)/1000+'Inputs'!$B$21)+'Inputs'!$B$9)/SQRT((((531-43)*MAX('Inputs'!$B$33,'Inputs'!$B$29+'Inputs'!$B$31+'Inputs'!$B$32,'Inputs'!$B$30+'Inputs'!$B$31+'Inputs'!$B$32)/1000+'Inputs'!$B$21)+'Inputs'!$B$9)^2+('Inputs'!$B$8/2)^2)-(((531-43)*MAX('Inputs'!$B$33,'Inputs'!$B$29+'Inputs'!$B$31+'Inputs'!$B$32,'Inputs'!$B$30+'Inputs'!$B$31+'Inputs'!$B$32)/1000+'Inputs'!$B$21))/SQRT((((531-43)*MAX('Inputs'!$B$33,'Inputs'!$B$29+'Inputs'!$B$31+'Inputs'!$B$32,'Inputs'!$B$30+'Inputs'!$B$31+'Inputs'!$B$32)/1000+'Inputs'!$B$21))^2+('Inputs'!$B$8/2)^2)))-'Results'!B7*(1-'Inputs'!$B$24)*(0.5*((((531-43)*MAX('Inputs'!$B$33,'Inputs'!$B$29+'Inputs'!$B$31+'Inputs'!$B$32,'Inputs'!$B$30+'Inputs'!$B$31+'Inputs'!$B$32)/1000+'Inputs'!$B$21+'Inputs'!$B$9+'Inputs'!$B$10)+'Inputs'!$B$7)/SQRT((((531-43)*MAX('Inputs'!$B$33,'Inputs'!$B$29+'Inputs'!$B$31+'Inputs'!$B$32,'Inputs'!$B$30+'Inputs'!$B$31+'Inputs'!$B$32)/1000+'Inputs'!$B$21+'Inputs'!$B$9+'Inputs'!$B$10)+'Inputs'!$B$7)^2+('Inputs'!$B$6/2)^2)-(((531-43)*MAX('Inputs'!$B$33,'Inputs'!$B$29+'Inputs'!$B$31+'Inputs'!$B$32,'Inputs'!$B$30+'Inputs'!$B$31+'Inputs'!$B$32)/1000+'Inputs'!$B$21+'Inputs'!$B$9+'Inputs'!$B$10))/SQRT((((531-43)*MAX('Inputs'!$B$33,'Inputs'!$B$29+'Inputs'!$B$31+'Inputs'!$B$32,'Inputs'!$B$30+'Inputs'!$B$31+'Inputs'!$B$32)/1000+'Inputs'!$B$21+'Inputs'!$B$9+'Inputs'!$B$10))^2+('Inputs'!$B$6/2)^2))))*'Results'!$B$8))),"")</x:f>
        <x:v>4.763490725480663</x:v>
      </x:c>
      <x:c r="P531" t="n">
        <x:f>IF(AND(MAX(J531,J530)&gt;0,J531&gt;J530+0.00000001),1,0)</x:f>
        <x:v>0</x:v>
      </x:c>
      <x:c r="Q531" t="n">
        <x:f>IF(AND(MAX(K531,K530)&gt;0,K531&gt;K530+0.00000001),1,0)</x:f>
        <x:v>0</x:v>
      </x:c>
      <x:c r="R531" t="n">
        <x:f>IF(AND(MAX(L531,L530)&gt;0,L531&gt;L530+0.00000001),1,0)</x:f>
        <x:v>0</x:v>
      </x:c>
      <x:c r="S531" t="n">
        <x:f>IF(AND(MAX(M531,M530)&gt;0,M531&gt;M530+0.00000001),1,0)</x:f>
        <x:v>0</x:v>
      </x:c>
      <x:c r="T531" t="n">
        <x:f>IF(AND(MAX(N531,N530)&gt;0,N531&gt;N530+0.00000001),1,0)</x:f>
        <x:v>0</x:v>
      </x:c>
      <x:c r="U531" t="n">
        <x:f>IF(AND(MAX(O531,O530)&gt;0,O531&gt;O530+0.00000001),1,0)</x:f>
        <x:v>0</x:v>
      </x:c>
    </x:row>
    <x:row r="532">
      <x:c r="J532" t="n">
        <x:f>IF(AND(ISNUMBER('Results'!B7),ISNUMBER('Results'!C7),ISNUMBER('Results'!$B$8),ISNUMBER('Inputs'!$B$6),ISNUMBER('Inputs'!$B$7),ISNUMBER('Inputs'!$B$8),ISNUMBER('Inputs'!$B$9),ISNUMBER('Inputs'!$B$10),ISNUMBER('Inputs'!$B$21),ISNUMBER('Inputs'!$B$24),ISNUMBER('Inputs'!$B$28)),(('Results'!B7*(0.5*((((532-43)*MAX('Inputs'!$B$33,'Inputs'!$B$29+'Inputs'!$B$31+'Inputs'!$B$32,'Inputs'!$B$30+'Inputs'!$B$31+'Inputs'!$B$32)/1000+'Inputs'!$B$21)+'Inputs'!$B$7)/SQRT((((532-43)*MAX('Inputs'!$B$33,'Inputs'!$B$29+'Inputs'!$B$31+'Inputs'!$B$32,'Inputs'!$B$30+'Inputs'!$B$31+'Inputs'!$B$32)/1000+'Inputs'!$B$21)+'Inputs'!$B$7)^2+('Inputs'!$B$6/2)^2)-(((532-43)*MAX('Inputs'!$B$33,'Inputs'!$B$29+'Inputs'!$B$31+'Inputs'!$B$32,'Inputs'!$B$30+'Inputs'!$B$31+'Inputs'!$B$32)/1000+'Inputs'!$B$21))/SQRT((((532-43)*MAX('Inputs'!$B$33,'Inputs'!$B$29+'Inputs'!$B$31+'Inputs'!$B$32,'Inputs'!$B$30+'Inputs'!$B$31+'Inputs'!$B$32)/1000+'Inputs'!$B$21))^2+('Inputs'!$B$6/2)^2)))-'Results'!C7*(0.5*((((532-43)*MAX('Inputs'!$B$33,'Inputs'!$B$29+'Inputs'!$B$31+'Inputs'!$B$32,'Inputs'!$B$30+'Inputs'!$B$31+'Inputs'!$B$32)/1000+'Inputs'!$B$21+'Inputs'!$B$7+'Inputs'!$B$10)+'Inputs'!$B$9)/SQRT((((532-43)*MAX('Inputs'!$B$33,'Inputs'!$B$29+'Inputs'!$B$31+'Inputs'!$B$32,'Inputs'!$B$30+'Inputs'!$B$31+'Inputs'!$B$32)/1000+'Inputs'!$B$21+'Inputs'!$B$7+'Inputs'!$B$10)+'Inputs'!$B$9)^2+('Inputs'!$B$8/2)^2)-(((532-43)*MAX('Inputs'!$B$33,'Inputs'!$B$29+'Inputs'!$B$31+'Inputs'!$B$32,'Inputs'!$B$30+'Inputs'!$B$31+'Inputs'!$B$32)/1000+'Inputs'!$B$21+'Inputs'!$B$7+'Inputs'!$B$10))/SQRT((((532-43)*MAX('Inputs'!$B$33,'Inputs'!$B$29+'Inputs'!$B$31+'Inputs'!$B$32,'Inputs'!$B$30+'Inputs'!$B$31+'Inputs'!$B$32)/1000+'Inputs'!$B$21+'Inputs'!$B$7+'Inputs'!$B$10))^2+('Inputs'!$B$8/2)^2))))*'Results'!$B$8),"")</x:f>
        <x:v>4.509053287974772</x:v>
      </x:c>
      <x:c r="K532" t="n">
        <x:f>IF(AND(ISNUMBER('Results'!B7),ISNUMBER('Results'!C7),ISNUMBER('Results'!$B$8),ISNUMBER('Inputs'!$B$6),ISNUMBER('Inputs'!$B$7),ISNUMBER('Inputs'!$B$8),ISNUMBER('Inputs'!$B$9),ISNUMBER('Inputs'!$B$10),ISNUMBER('Inputs'!$B$21),ISNUMBER('Inputs'!$B$24),ISNUMBER('Inputs'!$B$28)),((('Results'!B7*(1-'Inputs'!$B$24)*(0.5*((((532-43)*MAX('Inputs'!$B$33,'Inputs'!$B$29+'Inputs'!$B$31+'Inputs'!$B$32,'Inputs'!$B$30+'Inputs'!$B$31+'Inputs'!$B$32)/1000+'Inputs'!$B$21)+'Inputs'!$B$7)/SQRT((((532-43)*MAX('Inputs'!$B$33,'Inputs'!$B$29+'Inputs'!$B$31+'Inputs'!$B$32,'Inputs'!$B$30+'Inputs'!$B$31+'Inputs'!$B$32)/1000+'Inputs'!$B$21)+'Inputs'!$B$7)^2+('Inputs'!$B$6/2)^2)-(((532-43)*MAX('Inputs'!$B$33,'Inputs'!$B$29+'Inputs'!$B$31+'Inputs'!$B$32,'Inputs'!$B$30+'Inputs'!$B$31+'Inputs'!$B$32)/1000+'Inputs'!$B$21))/SQRT((((532-43)*MAX('Inputs'!$B$33,'Inputs'!$B$29+'Inputs'!$B$31+'Inputs'!$B$32,'Inputs'!$B$30+'Inputs'!$B$31+'Inputs'!$B$32)/1000+'Inputs'!$B$21))^2+('Inputs'!$B$6/2)^2)))-'Results'!C7*(1+'Inputs'!$B$24)*(0.5*((((532-43)*MAX('Inputs'!$B$33,'Inputs'!$B$29+'Inputs'!$B$31+'Inputs'!$B$32,'Inputs'!$B$30+'Inputs'!$B$31+'Inputs'!$B$32)/1000+'Inputs'!$B$21+'Inputs'!$B$7+'Inputs'!$B$10)+'Inputs'!$B$9)/SQRT((((532-43)*MAX('Inputs'!$B$33,'Inputs'!$B$29+'Inputs'!$B$31+'Inputs'!$B$32,'Inputs'!$B$30+'Inputs'!$B$31+'Inputs'!$B$32)/1000+'Inputs'!$B$21+'Inputs'!$B$7+'Inputs'!$B$10)+'Inputs'!$B$9)^2+('Inputs'!$B$8/2)^2)-(((532-43)*MAX('Inputs'!$B$33,'Inputs'!$B$29+'Inputs'!$B$31+'Inputs'!$B$32,'Inputs'!$B$30+'Inputs'!$B$31+'Inputs'!$B$32)/1000+'Inputs'!$B$21+'Inputs'!$B$7+'Inputs'!$B$10))/SQRT((((532-43)*MAX('Inputs'!$B$33,'Inputs'!$B$29+'Inputs'!$B$31+'Inputs'!$B$32,'Inputs'!$B$30+'Inputs'!$B$31+'Inputs'!$B$32)/1000+'Inputs'!$B$21+'Inputs'!$B$7+'Inputs'!$B$10))^2+('Inputs'!$B$8/2)^2))))*'Results'!$B$8)-'Inputs'!$B$28*ABS((('Results'!B7*(1-'Inputs'!$B$24)*(0.5*((((532-43)*MAX('Inputs'!$B$33,'Inputs'!$B$29+'Inputs'!$B$31+'Inputs'!$B$32,'Inputs'!$B$30+'Inputs'!$B$31+'Inputs'!$B$32)/1000+'Inputs'!$B$21)+'Inputs'!$B$7)/SQRT((((532-43)*MAX('Inputs'!$B$33,'Inputs'!$B$29+'Inputs'!$B$31+'Inputs'!$B$32,'Inputs'!$B$30+'Inputs'!$B$31+'Inputs'!$B$32)/1000+'Inputs'!$B$21)+'Inputs'!$B$7)^2+('Inputs'!$B$6/2)^2)-(((532-43)*MAX('Inputs'!$B$33,'Inputs'!$B$29+'Inputs'!$B$31+'Inputs'!$B$32,'Inputs'!$B$30+'Inputs'!$B$31+'Inputs'!$B$32)/1000+'Inputs'!$B$21))/SQRT((((532-43)*MAX('Inputs'!$B$33,'Inputs'!$B$29+'Inputs'!$B$31+'Inputs'!$B$32,'Inputs'!$B$30+'Inputs'!$B$31+'Inputs'!$B$32)/1000+'Inputs'!$B$21))^2+('Inputs'!$B$6/2)^2)))-'Results'!C7*(1+'Inputs'!$B$24)*(0.5*((((532-43)*MAX('Inputs'!$B$33,'Inputs'!$B$29+'Inputs'!$B$31+'Inputs'!$B$32,'Inputs'!$B$30+'Inputs'!$B$31+'Inputs'!$B$32)/1000+'Inputs'!$B$21+'Inputs'!$B$7+'Inputs'!$B$10)+'Inputs'!$B$9)/SQRT((((532-43)*MAX('Inputs'!$B$33,'Inputs'!$B$29+'Inputs'!$B$31+'Inputs'!$B$32,'Inputs'!$B$30+'Inputs'!$B$31+'Inputs'!$B$32)/1000+'Inputs'!$B$21+'Inputs'!$B$7+'Inputs'!$B$10)+'Inputs'!$B$9)^2+('Inputs'!$B$8/2)^2)-(((532-43)*MAX('Inputs'!$B$33,'Inputs'!$B$29+'Inputs'!$B$31+'Inputs'!$B$32,'Inputs'!$B$30+'Inputs'!$B$31+'Inputs'!$B$32)/1000+'Inputs'!$B$21+'Inputs'!$B$7+'Inputs'!$B$10))/SQRT((((532-43)*MAX('Inputs'!$B$33,'Inputs'!$B$29+'Inputs'!$B$31+'Inputs'!$B$32,'Inputs'!$B$30+'Inputs'!$B$31+'Inputs'!$B$32)/1000+'Inputs'!$B$21+'Inputs'!$B$7+'Inputs'!$B$10))^2+('Inputs'!$B$8/2)^2))))*'Results'!$B$8))),"")</x:f>
        <x:v>3.9979907827714234</x:v>
      </x:c>
      <x:c r="L532" t="n">
        <x:f>IF(AND(ISNUMBER('Results'!B7),ISNUMBER('Results'!C7),ISNUMBER('Results'!$B$8),ISNUMBER('Inputs'!$B$6),ISNUMBER('Inputs'!$B$7),ISNUMBER('Inputs'!$B$8),ISNUMBER('Inputs'!$B$9),ISNUMBER('Inputs'!$B$10),ISNUMBER('Inputs'!$B$21),ISNUMBER('Inputs'!$B$24),ISNUMBER('Inputs'!$B$28)),((('Results'!B7*(1+'Inputs'!$B$24)*(0.5*((((532-43)*MAX('Inputs'!$B$33,'Inputs'!$B$29+'Inputs'!$B$31+'Inputs'!$B$32,'Inputs'!$B$30+'Inputs'!$B$31+'Inputs'!$B$32)/1000+'Inputs'!$B$21)+'Inputs'!$B$7)/SQRT((((532-43)*MAX('Inputs'!$B$33,'Inputs'!$B$29+'Inputs'!$B$31+'Inputs'!$B$32,'Inputs'!$B$30+'Inputs'!$B$31+'Inputs'!$B$32)/1000+'Inputs'!$B$21)+'Inputs'!$B$7)^2+('Inputs'!$B$6/2)^2)-(((532-43)*MAX('Inputs'!$B$33,'Inputs'!$B$29+'Inputs'!$B$31+'Inputs'!$B$32,'Inputs'!$B$30+'Inputs'!$B$31+'Inputs'!$B$32)/1000+'Inputs'!$B$21))/SQRT((((532-43)*MAX('Inputs'!$B$33,'Inputs'!$B$29+'Inputs'!$B$31+'Inputs'!$B$32,'Inputs'!$B$30+'Inputs'!$B$31+'Inputs'!$B$32)/1000+'Inputs'!$B$21))^2+('Inputs'!$B$6/2)^2)))-'Results'!C7*(1-'Inputs'!$B$24)*(0.5*((((532-43)*MAX('Inputs'!$B$33,'Inputs'!$B$29+'Inputs'!$B$31+'Inputs'!$B$32,'Inputs'!$B$30+'Inputs'!$B$31+'Inputs'!$B$32)/1000+'Inputs'!$B$21+'Inputs'!$B$7+'Inputs'!$B$10)+'Inputs'!$B$9)/SQRT((((532-43)*MAX('Inputs'!$B$33,'Inputs'!$B$29+'Inputs'!$B$31+'Inputs'!$B$32,'Inputs'!$B$30+'Inputs'!$B$31+'Inputs'!$B$32)/1000+'Inputs'!$B$21+'Inputs'!$B$7+'Inputs'!$B$10)+'Inputs'!$B$9)^2+('Inputs'!$B$8/2)^2)-(((532-43)*MAX('Inputs'!$B$33,'Inputs'!$B$29+'Inputs'!$B$31+'Inputs'!$B$32,'Inputs'!$B$30+'Inputs'!$B$31+'Inputs'!$B$32)/1000+'Inputs'!$B$21+'Inputs'!$B$7+'Inputs'!$B$10))/SQRT((((532-43)*MAX('Inputs'!$B$33,'Inputs'!$B$29+'Inputs'!$B$31+'Inputs'!$B$32,'Inputs'!$B$30+'Inputs'!$B$31+'Inputs'!$B$32)/1000+'Inputs'!$B$21+'Inputs'!$B$7+'Inputs'!$B$10))^2+('Inputs'!$B$8/2)^2))))*'Results'!$B$8)+'Inputs'!$B$28*ABS((('Results'!B7*(1+'Inputs'!$B$24)*(0.5*((((532-43)*MAX('Inputs'!$B$33,'Inputs'!$B$29+'Inputs'!$B$31+'Inputs'!$B$32,'Inputs'!$B$30+'Inputs'!$B$31+'Inputs'!$B$32)/1000+'Inputs'!$B$21)+'Inputs'!$B$7)/SQRT((((532-43)*MAX('Inputs'!$B$33,'Inputs'!$B$29+'Inputs'!$B$31+'Inputs'!$B$32,'Inputs'!$B$30+'Inputs'!$B$31+'Inputs'!$B$32)/1000+'Inputs'!$B$21)+'Inputs'!$B$7)^2+('Inputs'!$B$6/2)^2)-(((532-43)*MAX('Inputs'!$B$33,'Inputs'!$B$29+'Inputs'!$B$31+'Inputs'!$B$32,'Inputs'!$B$30+'Inputs'!$B$31+'Inputs'!$B$32)/1000+'Inputs'!$B$21))/SQRT((((532-43)*MAX('Inputs'!$B$33,'Inputs'!$B$29+'Inputs'!$B$31+'Inputs'!$B$32,'Inputs'!$B$30+'Inputs'!$B$31+'Inputs'!$B$32)/1000+'Inputs'!$B$21))^2+('Inputs'!$B$6/2)^2)))-'Results'!C7*(1-'Inputs'!$B$24)*(0.5*((((532-43)*MAX('Inputs'!$B$33,'Inputs'!$B$29+'Inputs'!$B$31+'Inputs'!$B$32,'Inputs'!$B$30+'Inputs'!$B$31+'Inputs'!$B$32)/1000+'Inputs'!$B$21+'Inputs'!$B$7+'Inputs'!$B$10)+'Inputs'!$B$9)/SQRT((((532-43)*MAX('Inputs'!$B$33,'Inputs'!$B$29+'Inputs'!$B$31+'Inputs'!$B$32,'Inputs'!$B$30+'Inputs'!$B$31+'Inputs'!$B$32)/1000+'Inputs'!$B$21+'Inputs'!$B$7+'Inputs'!$B$10)+'Inputs'!$B$9)^2+('Inputs'!$B$8/2)^2)-(((532-43)*MAX('Inputs'!$B$33,'Inputs'!$B$29+'Inputs'!$B$31+'Inputs'!$B$32,'Inputs'!$B$30+'Inputs'!$B$31+'Inputs'!$B$32)/1000+'Inputs'!$B$21+'Inputs'!$B$7+'Inputs'!$B$10))/SQRT((((532-43)*MAX('Inputs'!$B$33,'Inputs'!$B$29+'Inputs'!$B$31+'Inputs'!$B$32,'Inputs'!$B$30+'Inputs'!$B$31+'Inputs'!$B$32)/1000+'Inputs'!$B$21+'Inputs'!$B$7+'Inputs'!$B$10))^2+('Inputs'!$B$8/2)^2))))*'Results'!$B$8))),"")</x:f>
        <x:v>5.050179986947026</x:v>
      </x:c>
      <x:c r="M532" t="n">
        <x:f>IF(AND(ISNUMBER('Results'!C7),ISNUMBER('Results'!B7),ISNUMBER('Results'!$B$8),ISNUMBER('Inputs'!$B$6),ISNUMBER('Inputs'!$B$7),ISNUMBER('Inputs'!$B$8),ISNUMBER('Inputs'!$B$9),ISNUMBER('Inputs'!$B$10),ISNUMBER('Inputs'!$B$21),ISNUMBER('Inputs'!$B$24),ISNUMBER('Inputs'!$B$28)),(('Results'!C7*(0.5*((((532-43)*MAX('Inputs'!$B$33,'Inputs'!$B$29+'Inputs'!$B$31+'Inputs'!$B$32,'Inputs'!$B$30+'Inputs'!$B$31+'Inputs'!$B$32)/1000+'Inputs'!$B$21)+'Inputs'!$B$9)/SQRT((((532-43)*MAX('Inputs'!$B$33,'Inputs'!$B$29+'Inputs'!$B$31+'Inputs'!$B$32,'Inputs'!$B$30+'Inputs'!$B$31+'Inputs'!$B$32)/1000+'Inputs'!$B$21)+'Inputs'!$B$9)^2+('Inputs'!$B$8/2)^2)-(((532-43)*MAX('Inputs'!$B$33,'Inputs'!$B$29+'Inputs'!$B$31+'Inputs'!$B$32,'Inputs'!$B$30+'Inputs'!$B$31+'Inputs'!$B$32)/1000+'Inputs'!$B$21))/SQRT((((532-43)*MAX('Inputs'!$B$33,'Inputs'!$B$29+'Inputs'!$B$31+'Inputs'!$B$32,'Inputs'!$B$30+'Inputs'!$B$31+'Inputs'!$B$32)/1000+'Inputs'!$B$21))^2+('Inputs'!$B$8/2)^2)))-'Results'!B7*(0.5*((((532-43)*MAX('Inputs'!$B$33,'Inputs'!$B$29+'Inputs'!$B$31+'Inputs'!$B$32,'Inputs'!$B$30+'Inputs'!$B$31+'Inputs'!$B$32)/1000+'Inputs'!$B$21+'Inputs'!$B$9+'Inputs'!$B$10)+'Inputs'!$B$7)/SQRT((((532-43)*MAX('Inputs'!$B$33,'Inputs'!$B$29+'Inputs'!$B$31+'Inputs'!$B$32,'Inputs'!$B$30+'Inputs'!$B$31+'Inputs'!$B$32)/1000+'Inputs'!$B$21+'Inputs'!$B$9+'Inputs'!$B$10)+'Inputs'!$B$7)^2+('Inputs'!$B$6/2)^2)-(((532-43)*MAX('Inputs'!$B$33,'Inputs'!$B$29+'Inputs'!$B$31+'Inputs'!$B$32,'Inputs'!$B$30+'Inputs'!$B$31+'Inputs'!$B$32)/1000+'Inputs'!$B$21+'Inputs'!$B$9+'Inputs'!$B$10))/SQRT((((532-43)*MAX('Inputs'!$B$33,'Inputs'!$B$29+'Inputs'!$B$31+'Inputs'!$B$32,'Inputs'!$B$30+'Inputs'!$B$31+'Inputs'!$B$32)/1000+'Inputs'!$B$21+'Inputs'!$B$9+'Inputs'!$B$10))^2+('Inputs'!$B$6/2)^2))))*'Results'!$B$8),"")</x:f>
        <x:v>4.2062637903680615</x:v>
      </x:c>
      <x:c r="N532" t="n">
        <x:f>IF(AND(ISNUMBER('Results'!C7),ISNUMBER('Results'!B7),ISNUMBER('Results'!$B$8),ISNUMBER('Inputs'!$B$6),ISNUMBER('Inputs'!$B$7),ISNUMBER('Inputs'!$B$8),ISNUMBER('Inputs'!$B$9),ISNUMBER('Inputs'!$B$10),ISNUMBER('Inputs'!$B$21),ISNUMBER('Inputs'!$B$24),ISNUMBER('Inputs'!$B$28)),((('Results'!C7*(1-'Inputs'!$B$24)*(0.5*((((532-43)*MAX('Inputs'!$B$33,'Inputs'!$B$29+'Inputs'!$B$31+'Inputs'!$B$32,'Inputs'!$B$30+'Inputs'!$B$31+'Inputs'!$B$32)/1000+'Inputs'!$B$21)+'Inputs'!$B$9)/SQRT((((532-43)*MAX('Inputs'!$B$33,'Inputs'!$B$29+'Inputs'!$B$31+'Inputs'!$B$32,'Inputs'!$B$30+'Inputs'!$B$31+'Inputs'!$B$32)/1000+'Inputs'!$B$21)+'Inputs'!$B$9)^2+('Inputs'!$B$8/2)^2)-(((532-43)*MAX('Inputs'!$B$33,'Inputs'!$B$29+'Inputs'!$B$31+'Inputs'!$B$32,'Inputs'!$B$30+'Inputs'!$B$31+'Inputs'!$B$32)/1000+'Inputs'!$B$21))/SQRT((((532-43)*MAX('Inputs'!$B$33,'Inputs'!$B$29+'Inputs'!$B$31+'Inputs'!$B$32,'Inputs'!$B$30+'Inputs'!$B$31+'Inputs'!$B$32)/1000+'Inputs'!$B$21))^2+('Inputs'!$B$8/2)^2)))-'Results'!B7*(1+'Inputs'!$B$24)*(0.5*((((532-43)*MAX('Inputs'!$B$33,'Inputs'!$B$29+'Inputs'!$B$31+'Inputs'!$B$32,'Inputs'!$B$30+'Inputs'!$B$31+'Inputs'!$B$32)/1000+'Inputs'!$B$21+'Inputs'!$B$9+'Inputs'!$B$10)+'Inputs'!$B$7)/SQRT((((532-43)*MAX('Inputs'!$B$33,'Inputs'!$B$29+'Inputs'!$B$31+'Inputs'!$B$32,'Inputs'!$B$30+'Inputs'!$B$31+'Inputs'!$B$32)/1000+'Inputs'!$B$21+'Inputs'!$B$9+'Inputs'!$B$10)+'Inputs'!$B$7)^2+('Inputs'!$B$6/2)^2)-(((532-43)*MAX('Inputs'!$B$33,'Inputs'!$B$29+'Inputs'!$B$31+'Inputs'!$B$32,'Inputs'!$B$30+'Inputs'!$B$31+'Inputs'!$B$32)/1000+'Inputs'!$B$21+'Inputs'!$B$9+'Inputs'!$B$10))/SQRT((((532-43)*MAX('Inputs'!$B$33,'Inputs'!$B$29+'Inputs'!$B$31+'Inputs'!$B$32,'Inputs'!$B$30+'Inputs'!$B$31+'Inputs'!$B$32)/1000+'Inputs'!$B$21+'Inputs'!$B$9+'Inputs'!$B$10))^2+('Inputs'!$B$6/2)^2))))*'Results'!$B$8)-'Inputs'!$B$28*ABS((('Results'!C7*(1-'Inputs'!$B$24)*(0.5*((((532-43)*MAX('Inputs'!$B$33,'Inputs'!$B$29+'Inputs'!$B$31+'Inputs'!$B$32,'Inputs'!$B$30+'Inputs'!$B$31+'Inputs'!$B$32)/1000+'Inputs'!$B$21)+'Inputs'!$B$9)/SQRT((((532-43)*MAX('Inputs'!$B$33,'Inputs'!$B$29+'Inputs'!$B$31+'Inputs'!$B$32,'Inputs'!$B$30+'Inputs'!$B$31+'Inputs'!$B$32)/1000+'Inputs'!$B$21)+'Inputs'!$B$9)^2+('Inputs'!$B$8/2)^2)-(((532-43)*MAX('Inputs'!$B$33,'Inputs'!$B$29+'Inputs'!$B$31+'Inputs'!$B$32,'Inputs'!$B$30+'Inputs'!$B$31+'Inputs'!$B$32)/1000+'Inputs'!$B$21))/SQRT((((532-43)*MAX('Inputs'!$B$33,'Inputs'!$B$29+'Inputs'!$B$31+'Inputs'!$B$32,'Inputs'!$B$30+'Inputs'!$B$31+'Inputs'!$B$32)/1000+'Inputs'!$B$21))^2+('Inputs'!$B$8/2)^2)))-'Results'!B7*(1+'Inputs'!$B$24)*(0.5*((((532-43)*MAX('Inputs'!$B$33,'Inputs'!$B$29+'Inputs'!$B$31+'Inputs'!$B$32,'Inputs'!$B$30+'Inputs'!$B$31+'Inputs'!$B$32)/1000+'Inputs'!$B$21+'Inputs'!$B$9+'Inputs'!$B$10)+'Inputs'!$B$7)/SQRT((((532-43)*MAX('Inputs'!$B$33,'Inputs'!$B$29+'Inputs'!$B$31+'Inputs'!$B$32,'Inputs'!$B$30+'Inputs'!$B$31+'Inputs'!$B$32)/1000+'Inputs'!$B$21+'Inputs'!$B$9+'Inputs'!$B$10)+'Inputs'!$B$7)^2+('Inputs'!$B$6/2)^2)-(((532-43)*MAX('Inputs'!$B$33,'Inputs'!$B$29+'Inputs'!$B$31+'Inputs'!$B$32,'Inputs'!$B$30+'Inputs'!$B$31+'Inputs'!$B$32)/1000+'Inputs'!$B$21+'Inputs'!$B$9+'Inputs'!$B$10))/SQRT((((532-43)*MAX('Inputs'!$B$33,'Inputs'!$B$29+'Inputs'!$B$31+'Inputs'!$B$32,'Inputs'!$B$30+'Inputs'!$B$31+'Inputs'!$B$32)/1000+'Inputs'!$B$21+'Inputs'!$B$9+'Inputs'!$B$10))^2+('Inputs'!$B$6/2)^2))))*'Results'!$B$8))),"")</x:f>
        <x:v>3.7120133966560425</x:v>
      </x:c>
      <x:c r="O532" t="n">
        <x:f>IF(AND(ISNUMBER('Results'!C7),ISNUMBER('Results'!B7),ISNUMBER('Results'!$B$8),ISNUMBER('Inputs'!$B$6),ISNUMBER('Inputs'!$B$7),ISNUMBER('Inputs'!$B$8),ISNUMBER('Inputs'!$B$9),ISNUMBER('Inputs'!$B$10),ISNUMBER('Inputs'!$B$21),ISNUMBER('Inputs'!$B$24),ISNUMBER('Inputs'!$B$28)),((('Results'!C7*(1+'Inputs'!$B$24)*(0.5*((((532-43)*MAX('Inputs'!$B$33,'Inputs'!$B$29+'Inputs'!$B$31+'Inputs'!$B$32,'Inputs'!$B$30+'Inputs'!$B$31+'Inputs'!$B$32)/1000+'Inputs'!$B$21)+'Inputs'!$B$9)/SQRT((((532-43)*MAX('Inputs'!$B$33,'Inputs'!$B$29+'Inputs'!$B$31+'Inputs'!$B$32,'Inputs'!$B$30+'Inputs'!$B$31+'Inputs'!$B$32)/1000+'Inputs'!$B$21)+'Inputs'!$B$9)^2+('Inputs'!$B$8/2)^2)-(((532-43)*MAX('Inputs'!$B$33,'Inputs'!$B$29+'Inputs'!$B$31+'Inputs'!$B$32,'Inputs'!$B$30+'Inputs'!$B$31+'Inputs'!$B$32)/1000+'Inputs'!$B$21))/SQRT((((532-43)*MAX('Inputs'!$B$33,'Inputs'!$B$29+'Inputs'!$B$31+'Inputs'!$B$32,'Inputs'!$B$30+'Inputs'!$B$31+'Inputs'!$B$32)/1000+'Inputs'!$B$21))^2+('Inputs'!$B$8/2)^2)))-'Results'!B7*(1-'Inputs'!$B$24)*(0.5*((((532-43)*MAX('Inputs'!$B$33,'Inputs'!$B$29+'Inputs'!$B$31+'Inputs'!$B$32,'Inputs'!$B$30+'Inputs'!$B$31+'Inputs'!$B$32)/1000+'Inputs'!$B$21+'Inputs'!$B$9+'Inputs'!$B$10)+'Inputs'!$B$7)/SQRT((((532-43)*MAX('Inputs'!$B$33,'Inputs'!$B$29+'Inputs'!$B$31+'Inputs'!$B$32,'Inputs'!$B$30+'Inputs'!$B$31+'Inputs'!$B$32)/1000+'Inputs'!$B$21+'Inputs'!$B$9+'Inputs'!$B$10)+'Inputs'!$B$7)^2+('Inputs'!$B$6/2)^2)-(((532-43)*MAX('Inputs'!$B$33,'Inputs'!$B$29+'Inputs'!$B$31+'Inputs'!$B$32,'Inputs'!$B$30+'Inputs'!$B$31+'Inputs'!$B$32)/1000+'Inputs'!$B$21+'Inputs'!$B$9+'Inputs'!$B$10))/SQRT((((532-43)*MAX('Inputs'!$B$33,'Inputs'!$B$29+'Inputs'!$B$31+'Inputs'!$B$32,'Inputs'!$B$30+'Inputs'!$B$31+'Inputs'!$B$32)/1000+'Inputs'!$B$21+'Inputs'!$B$9+'Inputs'!$B$10))^2+('Inputs'!$B$6/2)^2))))*'Results'!$B$8)+'Inputs'!$B$28*ABS((('Results'!C7*(1+'Inputs'!$B$24)*(0.5*((((532-43)*MAX('Inputs'!$B$33,'Inputs'!$B$29+'Inputs'!$B$31+'Inputs'!$B$32,'Inputs'!$B$30+'Inputs'!$B$31+'Inputs'!$B$32)/1000+'Inputs'!$B$21)+'Inputs'!$B$9)/SQRT((((532-43)*MAX('Inputs'!$B$33,'Inputs'!$B$29+'Inputs'!$B$31+'Inputs'!$B$32,'Inputs'!$B$30+'Inputs'!$B$31+'Inputs'!$B$32)/1000+'Inputs'!$B$21)+'Inputs'!$B$9)^2+('Inputs'!$B$8/2)^2)-(((532-43)*MAX('Inputs'!$B$33,'Inputs'!$B$29+'Inputs'!$B$31+'Inputs'!$B$32,'Inputs'!$B$30+'Inputs'!$B$31+'Inputs'!$B$32)/1000+'Inputs'!$B$21))/SQRT((((532-43)*MAX('Inputs'!$B$33,'Inputs'!$B$29+'Inputs'!$B$31+'Inputs'!$B$32,'Inputs'!$B$30+'Inputs'!$B$31+'Inputs'!$B$32)/1000+'Inputs'!$B$21))^2+('Inputs'!$B$8/2)^2)))-'Results'!B7*(1-'Inputs'!$B$24)*(0.5*((((532-43)*MAX('Inputs'!$B$33,'Inputs'!$B$29+'Inputs'!$B$31+'Inputs'!$B$32,'Inputs'!$B$30+'Inputs'!$B$31+'Inputs'!$B$32)/1000+'Inputs'!$B$21+'Inputs'!$B$9+'Inputs'!$B$10)+'Inputs'!$B$7)/SQRT((((532-43)*MAX('Inputs'!$B$33,'Inputs'!$B$29+'Inputs'!$B$31+'Inputs'!$B$32,'Inputs'!$B$30+'Inputs'!$B$31+'Inputs'!$B$32)/1000+'Inputs'!$B$21+'Inputs'!$B$9+'Inputs'!$B$10)+'Inputs'!$B$7)^2+('Inputs'!$B$6/2)^2)-(((532-43)*MAX('Inputs'!$B$33,'Inputs'!$B$29+'Inputs'!$B$31+'Inputs'!$B$32,'Inputs'!$B$30+'Inputs'!$B$31+'Inputs'!$B$32)/1000+'Inputs'!$B$21+'Inputs'!$B$9+'Inputs'!$B$10))/SQRT((((532-43)*MAX('Inputs'!$B$33,'Inputs'!$B$29+'Inputs'!$B$31+'Inputs'!$B$32,'Inputs'!$B$30+'Inputs'!$B$31+'Inputs'!$B$32)/1000+'Inputs'!$B$21+'Inputs'!$B$9+'Inputs'!$B$10))^2+('Inputs'!$B$6/2)^2))))*'Results'!$B$8))),"")</x:f>
        <x:v>4.730402310837302</x:v>
      </x:c>
      <x:c r="P532" t="n">
        <x:f>IF(AND(MAX(J532,J531)&gt;0,J532&gt;J531+0.00000001),1,0)</x:f>
        <x:v>0</x:v>
      </x:c>
      <x:c r="Q532" t="n">
        <x:f>IF(AND(MAX(K532,K531)&gt;0,K532&gt;K531+0.00000001),1,0)</x:f>
        <x:v>0</x:v>
      </x:c>
      <x:c r="R532" t="n">
        <x:f>IF(AND(MAX(L532,L531)&gt;0,L532&gt;L531+0.00000001),1,0)</x:f>
        <x:v>0</x:v>
      </x:c>
      <x:c r="S532" t="n">
        <x:f>IF(AND(MAX(M532,M531)&gt;0,M532&gt;M531+0.00000001),1,0)</x:f>
        <x:v>0</x:v>
      </x:c>
      <x:c r="T532" t="n">
        <x:f>IF(AND(MAX(N532,N531)&gt;0,N532&gt;N531+0.00000001),1,0)</x:f>
        <x:v>0</x:v>
      </x:c>
      <x:c r="U532" t="n">
        <x:f>IF(AND(MAX(O532,O531)&gt;0,O532&gt;O531+0.00000001),1,0)</x:f>
        <x:v>0</x:v>
      </x:c>
    </x:row>
    <x:row r="533">
      <x:c r="J533" t="n">
        <x:f>IF(AND(ISNUMBER('Results'!B7),ISNUMBER('Results'!C7),ISNUMBER('Results'!$B$8),ISNUMBER('Inputs'!$B$6),ISNUMBER('Inputs'!$B$7),ISNUMBER('Inputs'!$B$8),ISNUMBER('Inputs'!$B$9),ISNUMBER('Inputs'!$B$10),ISNUMBER('Inputs'!$B$21),ISNUMBER('Inputs'!$B$24),ISNUMBER('Inputs'!$B$28)),(('Results'!B7*(0.5*((((533-43)*MAX('Inputs'!$B$33,'Inputs'!$B$29+'Inputs'!$B$31+'Inputs'!$B$32,'Inputs'!$B$30+'Inputs'!$B$31+'Inputs'!$B$32)/1000+'Inputs'!$B$21)+'Inputs'!$B$7)/SQRT((((533-43)*MAX('Inputs'!$B$33,'Inputs'!$B$29+'Inputs'!$B$31+'Inputs'!$B$32,'Inputs'!$B$30+'Inputs'!$B$31+'Inputs'!$B$32)/1000+'Inputs'!$B$21)+'Inputs'!$B$7)^2+('Inputs'!$B$6/2)^2)-(((533-43)*MAX('Inputs'!$B$33,'Inputs'!$B$29+'Inputs'!$B$31+'Inputs'!$B$32,'Inputs'!$B$30+'Inputs'!$B$31+'Inputs'!$B$32)/1000+'Inputs'!$B$21))/SQRT((((533-43)*MAX('Inputs'!$B$33,'Inputs'!$B$29+'Inputs'!$B$31+'Inputs'!$B$32,'Inputs'!$B$30+'Inputs'!$B$31+'Inputs'!$B$32)/1000+'Inputs'!$B$21))^2+('Inputs'!$B$6/2)^2)))-'Results'!C7*(0.5*((((533-43)*MAX('Inputs'!$B$33,'Inputs'!$B$29+'Inputs'!$B$31+'Inputs'!$B$32,'Inputs'!$B$30+'Inputs'!$B$31+'Inputs'!$B$32)/1000+'Inputs'!$B$21+'Inputs'!$B$7+'Inputs'!$B$10)+'Inputs'!$B$9)/SQRT((((533-43)*MAX('Inputs'!$B$33,'Inputs'!$B$29+'Inputs'!$B$31+'Inputs'!$B$32,'Inputs'!$B$30+'Inputs'!$B$31+'Inputs'!$B$32)/1000+'Inputs'!$B$21+'Inputs'!$B$7+'Inputs'!$B$10)+'Inputs'!$B$9)^2+('Inputs'!$B$8/2)^2)-(((533-43)*MAX('Inputs'!$B$33,'Inputs'!$B$29+'Inputs'!$B$31+'Inputs'!$B$32,'Inputs'!$B$30+'Inputs'!$B$31+'Inputs'!$B$32)/1000+'Inputs'!$B$21+'Inputs'!$B$7+'Inputs'!$B$10))/SQRT((((533-43)*MAX('Inputs'!$B$33,'Inputs'!$B$29+'Inputs'!$B$31+'Inputs'!$B$32,'Inputs'!$B$30+'Inputs'!$B$31+'Inputs'!$B$32)/1000+'Inputs'!$B$21+'Inputs'!$B$7+'Inputs'!$B$10))^2+('Inputs'!$B$8/2)^2))))*'Results'!$B$8),"")</x:f>
        <x:v>4.477791548964003</x:v>
      </x:c>
      <x:c r="K533" t="n">
        <x:f>IF(AND(ISNUMBER('Results'!B7),ISNUMBER('Results'!C7),ISNUMBER('Results'!$B$8),ISNUMBER('Inputs'!$B$6),ISNUMBER('Inputs'!$B$7),ISNUMBER('Inputs'!$B$8),ISNUMBER('Inputs'!$B$9),ISNUMBER('Inputs'!$B$10),ISNUMBER('Inputs'!$B$21),ISNUMBER('Inputs'!$B$24),ISNUMBER('Inputs'!$B$28)),((('Results'!B7*(1-'Inputs'!$B$24)*(0.5*((((533-43)*MAX('Inputs'!$B$33,'Inputs'!$B$29+'Inputs'!$B$31+'Inputs'!$B$32,'Inputs'!$B$30+'Inputs'!$B$31+'Inputs'!$B$32)/1000+'Inputs'!$B$21)+'Inputs'!$B$7)/SQRT((((533-43)*MAX('Inputs'!$B$33,'Inputs'!$B$29+'Inputs'!$B$31+'Inputs'!$B$32,'Inputs'!$B$30+'Inputs'!$B$31+'Inputs'!$B$32)/1000+'Inputs'!$B$21)+'Inputs'!$B$7)^2+('Inputs'!$B$6/2)^2)-(((533-43)*MAX('Inputs'!$B$33,'Inputs'!$B$29+'Inputs'!$B$31+'Inputs'!$B$32,'Inputs'!$B$30+'Inputs'!$B$31+'Inputs'!$B$32)/1000+'Inputs'!$B$21))/SQRT((((533-43)*MAX('Inputs'!$B$33,'Inputs'!$B$29+'Inputs'!$B$31+'Inputs'!$B$32,'Inputs'!$B$30+'Inputs'!$B$31+'Inputs'!$B$32)/1000+'Inputs'!$B$21))^2+('Inputs'!$B$6/2)^2)))-'Results'!C7*(1+'Inputs'!$B$24)*(0.5*((((533-43)*MAX('Inputs'!$B$33,'Inputs'!$B$29+'Inputs'!$B$31+'Inputs'!$B$32,'Inputs'!$B$30+'Inputs'!$B$31+'Inputs'!$B$32)/1000+'Inputs'!$B$21+'Inputs'!$B$7+'Inputs'!$B$10)+'Inputs'!$B$9)/SQRT((((533-43)*MAX('Inputs'!$B$33,'Inputs'!$B$29+'Inputs'!$B$31+'Inputs'!$B$32,'Inputs'!$B$30+'Inputs'!$B$31+'Inputs'!$B$32)/1000+'Inputs'!$B$21+'Inputs'!$B$7+'Inputs'!$B$10)+'Inputs'!$B$9)^2+('Inputs'!$B$8/2)^2)-(((533-43)*MAX('Inputs'!$B$33,'Inputs'!$B$29+'Inputs'!$B$31+'Inputs'!$B$32,'Inputs'!$B$30+'Inputs'!$B$31+'Inputs'!$B$32)/1000+'Inputs'!$B$21+'Inputs'!$B$7+'Inputs'!$B$10))/SQRT((((533-43)*MAX('Inputs'!$B$33,'Inputs'!$B$29+'Inputs'!$B$31+'Inputs'!$B$32,'Inputs'!$B$30+'Inputs'!$B$31+'Inputs'!$B$32)/1000+'Inputs'!$B$21+'Inputs'!$B$7+'Inputs'!$B$10))^2+('Inputs'!$B$8/2)^2))))*'Results'!$B$8)-'Inputs'!$B$28*ABS((('Results'!B7*(1-'Inputs'!$B$24)*(0.5*((((533-43)*MAX('Inputs'!$B$33,'Inputs'!$B$29+'Inputs'!$B$31+'Inputs'!$B$32,'Inputs'!$B$30+'Inputs'!$B$31+'Inputs'!$B$32)/1000+'Inputs'!$B$21)+'Inputs'!$B$7)/SQRT((((533-43)*MAX('Inputs'!$B$33,'Inputs'!$B$29+'Inputs'!$B$31+'Inputs'!$B$32,'Inputs'!$B$30+'Inputs'!$B$31+'Inputs'!$B$32)/1000+'Inputs'!$B$21)+'Inputs'!$B$7)^2+('Inputs'!$B$6/2)^2)-(((533-43)*MAX('Inputs'!$B$33,'Inputs'!$B$29+'Inputs'!$B$31+'Inputs'!$B$32,'Inputs'!$B$30+'Inputs'!$B$31+'Inputs'!$B$32)/1000+'Inputs'!$B$21))/SQRT((((533-43)*MAX('Inputs'!$B$33,'Inputs'!$B$29+'Inputs'!$B$31+'Inputs'!$B$32,'Inputs'!$B$30+'Inputs'!$B$31+'Inputs'!$B$32)/1000+'Inputs'!$B$21))^2+('Inputs'!$B$6/2)^2)))-'Results'!C7*(1+'Inputs'!$B$24)*(0.5*((((533-43)*MAX('Inputs'!$B$33,'Inputs'!$B$29+'Inputs'!$B$31+'Inputs'!$B$32,'Inputs'!$B$30+'Inputs'!$B$31+'Inputs'!$B$32)/1000+'Inputs'!$B$21+'Inputs'!$B$7+'Inputs'!$B$10)+'Inputs'!$B$9)/SQRT((((533-43)*MAX('Inputs'!$B$33,'Inputs'!$B$29+'Inputs'!$B$31+'Inputs'!$B$32,'Inputs'!$B$30+'Inputs'!$B$31+'Inputs'!$B$32)/1000+'Inputs'!$B$21+'Inputs'!$B$7+'Inputs'!$B$10)+'Inputs'!$B$9)^2+('Inputs'!$B$8/2)^2)-(((533-43)*MAX('Inputs'!$B$33,'Inputs'!$B$29+'Inputs'!$B$31+'Inputs'!$B$32,'Inputs'!$B$30+'Inputs'!$B$31+'Inputs'!$B$32)/1000+'Inputs'!$B$21+'Inputs'!$B$7+'Inputs'!$B$10))/SQRT((((533-43)*MAX('Inputs'!$B$33,'Inputs'!$B$29+'Inputs'!$B$31+'Inputs'!$B$32,'Inputs'!$B$30+'Inputs'!$B$31+'Inputs'!$B$32)/1000+'Inputs'!$B$21+'Inputs'!$B$7+'Inputs'!$B$10))^2+('Inputs'!$B$8/2)^2))))*'Results'!$B$8))),"")</x:f>
        <x:v>3.9698309582392586</x:v>
      </x:c>
      <x:c r="L533" t="n">
        <x:f>IF(AND(ISNUMBER('Results'!B7),ISNUMBER('Results'!C7),ISNUMBER('Results'!$B$8),ISNUMBER('Inputs'!$B$6),ISNUMBER('Inputs'!$B$7),ISNUMBER('Inputs'!$B$8),ISNUMBER('Inputs'!$B$9),ISNUMBER('Inputs'!$B$10),ISNUMBER('Inputs'!$B$21),ISNUMBER('Inputs'!$B$24),ISNUMBER('Inputs'!$B$28)),((('Results'!B7*(1+'Inputs'!$B$24)*(0.5*((((533-43)*MAX('Inputs'!$B$33,'Inputs'!$B$29+'Inputs'!$B$31+'Inputs'!$B$32,'Inputs'!$B$30+'Inputs'!$B$31+'Inputs'!$B$32)/1000+'Inputs'!$B$21)+'Inputs'!$B$7)/SQRT((((533-43)*MAX('Inputs'!$B$33,'Inputs'!$B$29+'Inputs'!$B$31+'Inputs'!$B$32,'Inputs'!$B$30+'Inputs'!$B$31+'Inputs'!$B$32)/1000+'Inputs'!$B$21)+'Inputs'!$B$7)^2+('Inputs'!$B$6/2)^2)-(((533-43)*MAX('Inputs'!$B$33,'Inputs'!$B$29+'Inputs'!$B$31+'Inputs'!$B$32,'Inputs'!$B$30+'Inputs'!$B$31+'Inputs'!$B$32)/1000+'Inputs'!$B$21))/SQRT((((533-43)*MAX('Inputs'!$B$33,'Inputs'!$B$29+'Inputs'!$B$31+'Inputs'!$B$32,'Inputs'!$B$30+'Inputs'!$B$31+'Inputs'!$B$32)/1000+'Inputs'!$B$21))^2+('Inputs'!$B$6/2)^2)))-'Results'!C7*(1-'Inputs'!$B$24)*(0.5*((((533-43)*MAX('Inputs'!$B$33,'Inputs'!$B$29+'Inputs'!$B$31+'Inputs'!$B$32,'Inputs'!$B$30+'Inputs'!$B$31+'Inputs'!$B$32)/1000+'Inputs'!$B$21+'Inputs'!$B$7+'Inputs'!$B$10)+'Inputs'!$B$9)/SQRT((((533-43)*MAX('Inputs'!$B$33,'Inputs'!$B$29+'Inputs'!$B$31+'Inputs'!$B$32,'Inputs'!$B$30+'Inputs'!$B$31+'Inputs'!$B$32)/1000+'Inputs'!$B$21+'Inputs'!$B$7+'Inputs'!$B$10)+'Inputs'!$B$9)^2+('Inputs'!$B$8/2)^2)-(((533-43)*MAX('Inputs'!$B$33,'Inputs'!$B$29+'Inputs'!$B$31+'Inputs'!$B$32,'Inputs'!$B$30+'Inputs'!$B$31+'Inputs'!$B$32)/1000+'Inputs'!$B$21+'Inputs'!$B$7+'Inputs'!$B$10))/SQRT((((533-43)*MAX('Inputs'!$B$33,'Inputs'!$B$29+'Inputs'!$B$31+'Inputs'!$B$32,'Inputs'!$B$30+'Inputs'!$B$31+'Inputs'!$B$32)/1000+'Inputs'!$B$21+'Inputs'!$B$7+'Inputs'!$B$10))^2+('Inputs'!$B$8/2)^2))))*'Results'!$B$8)+'Inputs'!$B$28*ABS((('Results'!B7*(1+'Inputs'!$B$24)*(0.5*((((533-43)*MAX('Inputs'!$B$33,'Inputs'!$B$29+'Inputs'!$B$31+'Inputs'!$B$32,'Inputs'!$B$30+'Inputs'!$B$31+'Inputs'!$B$32)/1000+'Inputs'!$B$21)+'Inputs'!$B$7)/SQRT((((533-43)*MAX('Inputs'!$B$33,'Inputs'!$B$29+'Inputs'!$B$31+'Inputs'!$B$32,'Inputs'!$B$30+'Inputs'!$B$31+'Inputs'!$B$32)/1000+'Inputs'!$B$21)+'Inputs'!$B$7)^2+('Inputs'!$B$6/2)^2)-(((533-43)*MAX('Inputs'!$B$33,'Inputs'!$B$29+'Inputs'!$B$31+'Inputs'!$B$32,'Inputs'!$B$30+'Inputs'!$B$31+'Inputs'!$B$32)/1000+'Inputs'!$B$21))/SQRT((((533-43)*MAX('Inputs'!$B$33,'Inputs'!$B$29+'Inputs'!$B$31+'Inputs'!$B$32,'Inputs'!$B$30+'Inputs'!$B$31+'Inputs'!$B$32)/1000+'Inputs'!$B$21))^2+('Inputs'!$B$6/2)^2)))-'Results'!C7*(1-'Inputs'!$B$24)*(0.5*((((533-43)*MAX('Inputs'!$B$33,'Inputs'!$B$29+'Inputs'!$B$31+'Inputs'!$B$32,'Inputs'!$B$30+'Inputs'!$B$31+'Inputs'!$B$32)/1000+'Inputs'!$B$21+'Inputs'!$B$7+'Inputs'!$B$10)+'Inputs'!$B$9)/SQRT((((533-43)*MAX('Inputs'!$B$33,'Inputs'!$B$29+'Inputs'!$B$31+'Inputs'!$B$32,'Inputs'!$B$30+'Inputs'!$B$31+'Inputs'!$B$32)/1000+'Inputs'!$B$21+'Inputs'!$B$7+'Inputs'!$B$10)+'Inputs'!$B$9)^2+('Inputs'!$B$8/2)^2)-(((533-43)*MAX('Inputs'!$B$33,'Inputs'!$B$29+'Inputs'!$B$31+'Inputs'!$B$32,'Inputs'!$B$30+'Inputs'!$B$31+'Inputs'!$B$32)/1000+'Inputs'!$B$21+'Inputs'!$B$7+'Inputs'!$B$10))/SQRT((((533-43)*MAX('Inputs'!$B$33,'Inputs'!$B$29+'Inputs'!$B$31+'Inputs'!$B$32,'Inputs'!$B$30+'Inputs'!$B$31+'Inputs'!$B$32)/1000+'Inputs'!$B$21+'Inputs'!$B$7+'Inputs'!$B$10))^2+('Inputs'!$B$8/2)^2))))*'Results'!$B$8))),"")</x:f>
        <x:v>5.015654351612596</x:v>
      </x:c>
      <x:c r="M533" t="n">
        <x:f>IF(AND(ISNUMBER('Results'!C7),ISNUMBER('Results'!B7),ISNUMBER('Results'!$B$8),ISNUMBER('Inputs'!$B$6),ISNUMBER('Inputs'!$B$7),ISNUMBER('Inputs'!$B$8),ISNUMBER('Inputs'!$B$9),ISNUMBER('Inputs'!$B$10),ISNUMBER('Inputs'!$B$21),ISNUMBER('Inputs'!$B$24),ISNUMBER('Inputs'!$B$28)),(('Results'!C7*(0.5*((((533-43)*MAX('Inputs'!$B$33,'Inputs'!$B$29+'Inputs'!$B$31+'Inputs'!$B$32,'Inputs'!$B$30+'Inputs'!$B$31+'Inputs'!$B$32)/1000+'Inputs'!$B$21)+'Inputs'!$B$9)/SQRT((((533-43)*MAX('Inputs'!$B$33,'Inputs'!$B$29+'Inputs'!$B$31+'Inputs'!$B$32,'Inputs'!$B$30+'Inputs'!$B$31+'Inputs'!$B$32)/1000+'Inputs'!$B$21)+'Inputs'!$B$9)^2+('Inputs'!$B$8/2)^2)-(((533-43)*MAX('Inputs'!$B$33,'Inputs'!$B$29+'Inputs'!$B$31+'Inputs'!$B$32,'Inputs'!$B$30+'Inputs'!$B$31+'Inputs'!$B$32)/1000+'Inputs'!$B$21))/SQRT((((533-43)*MAX('Inputs'!$B$33,'Inputs'!$B$29+'Inputs'!$B$31+'Inputs'!$B$32,'Inputs'!$B$30+'Inputs'!$B$31+'Inputs'!$B$32)/1000+'Inputs'!$B$21))^2+('Inputs'!$B$8/2)^2)))-'Results'!B7*(0.5*((((533-43)*MAX('Inputs'!$B$33,'Inputs'!$B$29+'Inputs'!$B$31+'Inputs'!$B$32,'Inputs'!$B$30+'Inputs'!$B$31+'Inputs'!$B$32)/1000+'Inputs'!$B$21+'Inputs'!$B$9+'Inputs'!$B$10)+'Inputs'!$B$7)/SQRT((((533-43)*MAX('Inputs'!$B$33,'Inputs'!$B$29+'Inputs'!$B$31+'Inputs'!$B$32,'Inputs'!$B$30+'Inputs'!$B$31+'Inputs'!$B$32)/1000+'Inputs'!$B$21+'Inputs'!$B$9+'Inputs'!$B$10)+'Inputs'!$B$7)^2+('Inputs'!$B$6/2)^2)-(((533-43)*MAX('Inputs'!$B$33,'Inputs'!$B$29+'Inputs'!$B$31+'Inputs'!$B$32,'Inputs'!$B$30+'Inputs'!$B$31+'Inputs'!$B$32)/1000+'Inputs'!$B$21+'Inputs'!$B$9+'Inputs'!$B$10))/SQRT((((533-43)*MAX('Inputs'!$B$33,'Inputs'!$B$29+'Inputs'!$B$31+'Inputs'!$B$32,'Inputs'!$B$30+'Inputs'!$B$31+'Inputs'!$B$32)/1000+'Inputs'!$B$21+'Inputs'!$B$9+'Inputs'!$B$10))^2+('Inputs'!$B$6/2)^2))))*'Results'!$B$8),"")</x:f>
        <x:v>4.17663201862085</x:v>
      </x:c>
      <x:c r="N533" t="n">
        <x:f>IF(AND(ISNUMBER('Results'!C7),ISNUMBER('Results'!B7),ISNUMBER('Results'!$B$8),ISNUMBER('Inputs'!$B$6),ISNUMBER('Inputs'!$B$7),ISNUMBER('Inputs'!$B$8),ISNUMBER('Inputs'!$B$9),ISNUMBER('Inputs'!$B$10),ISNUMBER('Inputs'!$B$21),ISNUMBER('Inputs'!$B$24),ISNUMBER('Inputs'!$B$28)),((('Results'!C7*(1-'Inputs'!$B$24)*(0.5*((((533-43)*MAX('Inputs'!$B$33,'Inputs'!$B$29+'Inputs'!$B$31+'Inputs'!$B$32,'Inputs'!$B$30+'Inputs'!$B$31+'Inputs'!$B$32)/1000+'Inputs'!$B$21)+'Inputs'!$B$9)/SQRT((((533-43)*MAX('Inputs'!$B$33,'Inputs'!$B$29+'Inputs'!$B$31+'Inputs'!$B$32,'Inputs'!$B$30+'Inputs'!$B$31+'Inputs'!$B$32)/1000+'Inputs'!$B$21)+'Inputs'!$B$9)^2+('Inputs'!$B$8/2)^2)-(((533-43)*MAX('Inputs'!$B$33,'Inputs'!$B$29+'Inputs'!$B$31+'Inputs'!$B$32,'Inputs'!$B$30+'Inputs'!$B$31+'Inputs'!$B$32)/1000+'Inputs'!$B$21))/SQRT((((533-43)*MAX('Inputs'!$B$33,'Inputs'!$B$29+'Inputs'!$B$31+'Inputs'!$B$32,'Inputs'!$B$30+'Inputs'!$B$31+'Inputs'!$B$32)/1000+'Inputs'!$B$21))^2+('Inputs'!$B$8/2)^2)))-'Results'!B7*(1+'Inputs'!$B$24)*(0.5*((((533-43)*MAX('Inputs'!$B$33,'Inputs'!$B$29+'Inputs'!$B$31+'Inputs'!$B$32,'Inputs'!$B$30+'Inputs'!$B$31+'Inputs'!$B$32)/1000+'Inputs'!$B$21+'Inputs'!$B$9+'Inputs'!$B$10)+'Inputs'!$B$7)/SQRT((((533-43)*MAX('Inputs'!$B$33,'Inputs'!$B$29+'Inputs'!$B$31+'Inputs'!$B$32,'Inputs'!$B$30+'Inputs'!$B$31+'Inputs'!$B$32)/1000+'Inputs'!$B$21+'Inputs'!$B$9+'Inputs'!$B$10)+'Inputs'!$B$7)^2+('Inputs'!$B$6/2)^2)-(((533-43)*MAX('Inputs'!$B$33,'Inputs'!$B$29+'Inputs'!$B$31+'Inputs'!$B$32,'Inputs'!$B$30+'Inputs'!$B$31+'Inputs'!$B$32)/1000+'Inputs'!$B$21+'Inputs'!$B$9+'Inputs'!$B$10))/SQRT((((533-43)*MAX('Inputs'!$B$33,'Inputs'!$B$29+'Inputs'!$B$31+'Inputs'!$B$32,'Inputs'!$B$30+'Inputs'!$B$31+'Inputs'!$B$32)/1000+'Inputs'!$B$21+'Inputs'!$B$9+'Inputs'!$B$10))^2+('Inputs'!$B$6/2)^2))))*'Results'!$B$8)-'Inputs'!$B$28*ABS((('Results'!C7*(1-'Inputs'!$B$24)*(0.5*((((533-43)*MAX('Inputs'!$B$33,'Inputs'!$B$29+'Inputs'!$B$31+'Inputs'!$B$32,'Inputs'!$B$30+'Inputs'!$B$31+'Inputs'!$B$32)/1000+'Inputs'!$B$21)+'Inputs'!$B$9)/SQRT((((533-43)*MAX('Inputs'!$B$33,'Inputs'!$B$29+'Inputs'!$B$31+'Inputs'!$B$32,'Inputs'!$B$30+'Inputs'!$B$31+'Inputs'!$B$32)/1000+'Inputs'!$B$21)+'Inputs'!$B$9)^2+('Inputs'!$B$8/2)^2)-(((533-43)*MAX('Inputs'!$B$33,'Inputs'!$B$29+'Inputs'!$B$31+'Inputs'!$B$32,'Inputs'!$B$30+'Inputs'!$B$31+'Inputs'!$B$32)/1000+'Inputs'!$B$21))/SQRT((((533-43)*MAX('Inputs'!$B$33,'Inputs'!$B$29+'Inputs'!$B$31+'Inputs'!$B$32,'Inputs'!$B$30+'Inputs'!$B$31+'Inputs'!$B$32)/1000+'Inputs'!$B$21))^2+('Inputs'!$B$8/2)^2)))-'Results'!B7*(1+'Inputs'!$B$24)*(0.5*((((533-43)*MAX('Inputs'!$B$33,'Inputs'!$B$29+'Inputs'!$B$31+'Inputs'!$B$32,'Inputs'!$B$30+'Inputs'!$B$31+'Inputs'!$B$32)/1000+'Inputs'!$B$21+'Inputs'!$B$9+'Inputs'!$B$10)+'Inputs'!$B$7)/SQRT((((533-43)*MAX('Inputs'!$B$33,'Inputs'!$B$29+'Inputs'!$B$31+'Inputs'!$B$32,'Inputs'!$B$30+'Inputs'!$B$31+'Inputs'!$B$32)/1000+'Inputs'!$B$21+'Inputs'!$B$9+'Inputs'!$B$10)+'Inputs'!$B$7)^2+('Inputs'!$B$6/2)^2)-(((533-43)*MAX('Inputs'!$B$33,'Inputs'!$B$29+'Inputs'!$B$31+'Inputs'!$B$32,'Inputs'!$B$30+'Inputs'!$B$31+'Inputs'!$B$32)/1000+'Inputs'!$B$21+'Inputs'!$B$9+'Inputs'!$B$10))/SQRT((((533-43)*MAX('Inputs'!$B$33,'Inputs'!$B$29+'Inputs'!$B$31+'Inputs'!$B$32,'Inputs'!$B$30+'Inputs'!$B$31+'Inputs'!$B$32)/1000+'Inputs'!$B$21+'Inputs'!$B$9+'Inputs'!$B$10))^2+('Inputs'!$B$6/2)^2))))*'Results'!$B$8))),"")</x:f>
        <x:v>3.685390354390878</x:v>
      </x:c>
      <x:c r="O533" t="n">
        <x:f>IF(AND(ISNUMBER('Results'!C7),ISNUMBER('Results'!B7),ISNUMBER('Results'!$B$8),ISNUMBER('Inputs'!$B$6),ISNUMBER('Inputs'!$B$7),ISNUMBER('Inputs'!$B$8),ISNUMBER('Inputs'!$B$9),ISNUMBER('Inputs'!$B$10),ISNUMBER('Inputs'!$B$21),ISNUMBER('Inputs'!$B$24),ISNUMBER('Inputs'!$B$28)),((('Results'!C7*(1+'Inputs'!$B$24)*(0.5*((((533-43)*MAX('Inputs'!$B$33,'Inputs'!$B$29+'Inputs'!$B$31+'Inputs'!$B$32,'Inputs'!$B$30+'Inputs'!$B$31+'Inputs'!$B$32)/1000+'Inputs'!$B$21)+'Inputs'!$B$9)/SQRT((((533-43)*MAX('Inputs'!$B$33,'Inputs'!$B$29+'Inputs'!$B$31+'Inputs'!$B$32,'Inputs'!$B$30+'Inputs'!$B$31+'Inputs'!$B$32)/1000+'Inputs'!$B$21)+'Inputs'!$B$9)^2+('Inputs'!$B$8/2)^2)-(((533-43)*MAX('Inputs'!$B$33,'Inputs'!$B$29+'Inputs'!$B$31+'Inputs'!$B$32,'Inputs'!$B$30+'Inputs'!$B$31+'Inputs'!$B$32)/1000+'Inputs'!$B$21))/SQRT((((533-43)*MAX('Inputs'!$B$33,'Inputs'!$B$29+'Inputs'!$B$31+'Inputs'!$B$32,'Inputs'!$B$30+'Inputs'!$B$31+'Inputs'!$B$32)/1000+'Inputs'!$B$21))^2+('Inputs'!$B$8/2)^2)))-'Results'!B7*(1-'Inputs'!$B$24)*(0.5*((((533-43)*MAX('Inputs'!$B$33,'Inputs'!$B$29+'Inputs'!$B$31+'Inputs'!$B$32,'Inputs'!$B$30+'Inputs'!$B$31+'Inputs'!$B$32)/1000+'Inputs'!$B$21+'Inputs'!$B$9+'Inputs'!$B$10)+'Inputs'!$B$7)/SQRT((((533-43)*MAX('Inputs'!$B$33,'Inputs'!$B$29+'Inputs'!$B$31+'Inputs'!$B$32,'Inputs'!$B$30+'Inputs'!$B$31+'Inputs'!$B$32)/1000+'Inputs'!$B$21+'Inputs'!$B$9+'Inputs'!$B$10)+'Inputs'!$B$7)^2+('Inputs'!$B$6/2)^2)-(((533-43)*MAX('Inputs'!$B$33,'Inputs'!$B$29+'Inputs'!$B$31+'Inputs'!$B$32,'Inputs'!$B$30+'Inputs'!$B$31+'Inputs'!$B$32)/1000+'Inputs'!$B$21+'Inputs'!$B$9+'Inputs'!$B$10))/SQRT((((533-43)*MAX('Inputs'!$B$33,'Inputs'!$B$29+'Inputs'!$B$31+'Inputs'!$B$32,'Inputs'!$B$30+'Inputs'!$B$31+'Inputs'!$B$32)/1000+'Inputs'!$B$21+'Inputs'!$B$9+'Inputs'!$B$10))^2+('Inputs'!$B$6/2)^2))))*'Results'!$B$8)+'Inputs'!$B$28*ABS((('Results'!C7*(1+'Inputs'!$B$24)*(0.5*((((533-43)*MAX('Inputs'!$B$33,'Inputs'!$B$29+'Inputs'!$B$31+'Inputs'!$B$32,'Inputs'!$B$30+'Inputs'!$B$31+'Inputs'!$B$32)/1000+'Inputs'!$B$21)+'Inputs'!$B$9)/SQRT((((533-43)*MAX('Inputs'!$B$33,'Inputs'!$B$29+'Inputs'!$B$31+'Inputs'!$B$32,'Inputs'!$B$30+'Inputs'!$B$31+'Inputs'!$B$32)/1000+'Inputs'!$B$21)+'Inputs'!$B$9)^2+('Inputs'!$B$8/2)^2)-(((533-43)*MAX('Inputs'!$B$33,'Inputs'!$B$29+'Inputs'!$B$31+'Inputs'!$B$32,'Inputs'!$B$30+'Inputs'!$B$31+'Inputs'!$B$32)/1000+'Inputs'!$B$21))/SQRT((((533-43)*MAX('Inputs'!$B$33,'Inputs'!$B$29+'Inputs'!$B$31+'Inputs'!$B$32,'Inputs'!$B$30+'Inputs'!$B$31+'Inputs'!$B$32)/1000+'Inputs'!$B$21))^2+('Inputs'!$B$8/2)^2)))-'Results'!B7*(1-'Inputs'!$B$24)*(0.5*((((533-43)*MAX('Inputs'!$B$33,'Inputs'!$B$29+'Inputs'!$B$31+'Inputs'!$B$32,'Inputs'!$B$30+'Inputs'!$B$31+'Inputs'!$B$32)/1000+'Inputs'!$B$21+'Inputs'!$B$9+'Inputs'!$B$10)+'Inputs'!$B$7)/SQRT((((533-43)*MAX('Inputs'!$B$33,'Inputs'!$B$29+'Inputs'!$B$31+'Inputs'!$B$32,'Inputs'!$B$30+'Inputs'!$B$31+'Inputs'!$B$32)/1000+'Inputs'!$B$21+'Inputs'!$B$9+'Inputs'!$B$10)+'Inputs'!$B$7)^2+('Inputs'!$B$6/2)^2)-(((533-43)*MAX('Inputs'!$B$33,'Inputs'!$B$29+'Inputs'!$B$31+'Inputs'!$B$32,'Inputs'!$B$30+'Inputs'!$B$31+'Inputs'!$B$32)/1000+'Inputs'!$B$21+'Inputs'!$B$9+'Inputs'!$B$10))/SQRT((((533-43)*MAX('Inputs'!$B$33,'Inputs'!$B$29+'Inputs'!$B$31+'Inputs'!$B$32,'Inputs'!$B$30+'Inputs'!$B$31+'Inputs'!$B$32)/1000+'Inputs'!$B$21+'Inputs'!$B$9+'Inputs'!$B$10))^2+('Inputs'!$B$6/2)^2))))*'Results'!$B$8))),"")</x:f>
        <x:v>4.697601057934918</x:v>
      </x:c>
      <x:c r="P533" t="n">
        <x:f>IF(AND(MAX(J533,J532)&gt;0,J533&gt;J532+0.00000001),1,0)</x:f>
        <x:v>0</x:v>
      </x:c>
      <x:c r="Q533" t="n">
        <x:f>IF(AND(MAX(K533,K532)&gt;0,K533&gt;K532+0.00000001),1,0)</x:f>
        <x:v>0</x:v>
      </x:c>
      <x:c r="R533" t="n">
        <x:f>IF(AND(MAX(L533,L532)&gt;0,L533&gt;L532+0.00000001),1,0)</x:f>
        <x:v>0</x:v>
      </x:c>
      <x:c r="S533" t="n">
        <x:f>IF(AND(MAX(M533,M532)&gt;0,M533&gt;M532+0.00000001),1,0)</x:f>
        <x:v>0</x:v>
      </x:c>
      <x:c r="T533" t="n">
        <x:f>IF(AND(MAX(N533,N532)&gt;0,N533&gt;N532+0.00000001),1,0)</x:f>
        <x:v>0</x:v>
      </x:c>
      <x:c r="U533" t="n">
        <x:f>IF(AND(MAX(O533,O532)&gt;0,O533&gt;O532+0.00000001),1,0)</x:f>
        <x:v>0</x:v>
      </x:c>
    </x:row>
    <x:row r="534">
      <x:c r="J534" t="n">
        <x:f>IF(AND(ISNUMBER('Results'!B7),ISNUMBER('Results'!C7),ISNUMBER('Results'!$B$8),ISNUMBER('Inputs'!$B$6),ISNUMBER('Inputs'!$B$7),ISNUMBER('Inputs'!$B$8),ISNUMBER('Inputs'!$B$9),ISNUMBER('Inputs'!$B$10),ISNUMBER('Inputs'!$B$21),ISNUMBER('Inputs'!$B$24),ISNUMBER('Inputs'!$B$28)),(('Results'!B7*(0.5*((((534-43)*MAX('Inputs'!$B$33,'Inputs'!$B$29+'Inputs'!$B$31+'Inputs'!$B$32,'Inputs'!$B$30+'Inputs'!$B$31+'Inputs'!$B$32)/1000+'Inputs'!$B$21)+'Inputs'!$B$7)/SQRT((((534-43)*MAX('Inputs'!$B$33,'Inputs'!$B$29+'Inputs'!$B$31+'Inputs'!$B$32,'Inputs'!$B$30+'Inputs'!$B$31+'Inputs'!$B$32)/1000+'Inputs'!$B$21)+'Inputs'!$B$7)^2+('Inputs'!$B$6/2)^2)-(((534-43)*MAX('Inputs'!$B$33,'Inputs'!$B$29+'Inputs'!$B$31+'Inputs'!$B$32,'Inputs'!$B$30+'Inputs'!$B$31+'Inputs'!$B$32)/1000+'Inputs'!$B$21))/SQRT((((534-43)*MAX('Inputs'!$B$33,'Inputs'!$B$29+'Inputs'!$B$31+'Inputs'!$B$32,'Inputs'!$B$30+'Inputs'!$B$31+'Inputs'!$B$32)/1000+'Inputs'!$B$21))^2+('Inputs'!$B$6/2)^2)))-'Results'!C7*(0.5*((((534-43)*MAX('Inputs'!$B$33,'Inputs'!$B$29+'Inputs'!$B$31+'Inputs'!$B$32,'Inputs'!$B$30+'Inputs'!$B$31+'Inputs'!$B$32)/1000+'Inputs'!$B$21+'Inputs'!$B$7+'Inputs'!$B$10)+'Inputs'!$B$9)/SQRT((((534-43)*MAX('Inputs'!$B$33,'Inputs'!$B$29+'Inputs'!$B$31+'Inputs'!$B$32,'Inputs'!$B$30+'Inputs'!$B$31+'Inputs'!$B$32)/1000+'Inputs'!$B$21+'Inputs'!$B$7+'Inputs'!$B$10)+'Inputs'!$B$9)^2+('Inputs'!$B$8/2)^2)-(((534-43)*MAX('Inputs'!$B$33,'Inputs'!$B$29+'Inputs'!$B$31+'Inputs'!$B$32,'Inputs'!$B$30+'Inputs'!$B$31+'Inputs'!$B$32)/1000+'Inputs'!$B$21+'Inputs'!$B$7+'Inputs'!$B$10))/SQRT((((534-43)*MAX('Inputs'!$B$33,'Inputs'!$B$29+'Inputs'!$B$31+'Inputs'!$B$32,'Inputs'!$B$30+'Inputs'!$B$31+'Inputs'!$B$32)/1000+'Inputs'!$B$21+'Inputs'!$B$7+'Inputs'!$B$10))^2+('Inputs'!$B$8/2)^2))))*'Results'!$B$8),"")</x:f>
        <x:v>4.446800626310973</x:v>
      </x:c>
      <x:c r="K534" t="n">
        <x:f>IF(AND(ISNUMBER('Results'!B7),ISNUMBER('Results'!C7),ISNUMBER('Results'!$B$8),ISNUMBER('Inputs'!$B$6),ISNUMBER('Inputs'!$B$7),ISNUMBER('Inputs'!$B$8),ISNUMBER('Inputs'!$B$9),ISNUMBER('Inputs'!$B$10),ISNUMBER('Inputs'!$B$21),ISNUMBER('Inputs'!$B$24),ISNUMBER('Inputs'!$B$28)),((('Results'!B7*(1-'Inputs'!$B$24)*(0.5*((((534-43)*MAX('Inputs'!$B$33,'Inputs'!$B$29+'Inputs'!$B$31+'Inputs'!$B$32,'Inputs'!$B$30+'Inputs'!$B$31+'Inputs'!$B$32)/1000+'Inputs'!$B$21)+'Inputs'!$B$7)/SQRT((((534-43)*MAX('Inputs'!$B$33,'Inputs'!$B$29+'Inputs'!$B$31+'Inputs'!$B$32,'Inputs'!$B$30+'Inputs'!$B$31+'Inputs'!$B$32)/1000+'Inputs'!$B$21)+'Inputs'!$B$7)^2+('Inputs'!$B$6/2)^2)-(((534-43)*MAX('Inputs'!$B$33,'Inputs'!$B$29+'Inputs'!$B$31+'Inputs'!$B$32,'Inputs'!$B$30+'Inputs'!$B$31+'Inputs'!$B$32)/1000+'Inputs'!$B$21))/SQRT((((534-43)*MAX('Inputs'!$B$33,'Inputs'!$B$29+'Inputs'!$B$31+'Inputs'!$B$32,'Inputs'!$B$30+'Inputs'!$B$31+'Inputs'!$B$32)/1000+'Inputs'!$B$21))^2+('Inputs'!$B$6/2)^2)))-'Results'!C7*(1+'Inputs'!$B$24)*(0.5*((((534-43)*MAX('Inputs'!$B$33,'Inputs'!$B$29+'Inputs'!$B$31+'Inputs'!$B$32,'Inputs'!$B$30+'Inputs'!$B$31+'Inputs'!$B$32)/1000+'Inputs'!$B$21+'Inputs'!$B$7+'Inputs'!$B$10)+'Inputs'!$B$9)/SQRT((((534-43)*MAX('Inputs'!$B$33,'Inputs'!$B$29+'Inputs'!$B$31+'Inputs'!$B$32,'Inputs'!$B$30+'Inputs'!$B$31+'Inputs'!$B$32)/1000+'Inputs'!$B$21+'Inputs'!$B$7+'Inputs'!$B$10)+'Inputs'!$B$9)^2+('Inputs'!$B$8/2)^2)-(((534-43)*MAX('Inputs'!$B$33,'Inputs'!$B$29+'Inputs'!$B$31+'Inputs'!$B$32,'Inputs'!$B$30+'Inputs'!$B$31+'Inputs'!$B$32)/1000+'Inputs'!$B$21+'Inputs'!$B$7+'Inputs'!$B$10))/SQRT((((534-43)*MAX('Inputs'!$B$33,'Inputs'!$B$29+'Inputs'!$B$31+'Inputs'!$B$32,'Inputs'!$B$30+'Inputs'!$B$31+'Inputs'!$B$32)/1000+'Inputs'!$B$21+'Inputs'!$B$7+'Inputs'!$B$10))^2+('Inputs'!$B$8/2)^2))))*'Results'!$B$8)-'Inputs'!$B$28*ABS((('Results'!B7*(1-'Inputs'!$B$24)*(0.5*((((534-43)*MAX('Inputs'!$B$33,'Inputs'!$B$29+'Inputs'!$B$31+'Inputs'!$B$32,'Inputs'!$B$30+'Inputs'!$B$31+'Inputs'!$B$32)/1000+'Inputs'!$B$21)+'Inputs'!$B$7)/SQRT((((534-43)*MAX('Inputs'!$B$33,'Inputs'!$B$29+'Inputs'!$B$31+'Inputs'!$B$32,'Inputs'!$B$30+'Inputs'!$B$31+'Inputs'!$B$32)/1000+'Inputs'!$B$21)+'Inputs'!$B$7)^2+('Inputs'!$B$6/2)^2)-(((534-43)*MAX('Inputs'!$B$33,'Inputs'!$B$29+'Inputs'!$B$31+'Inputs'!$B$32,'Inputs'!$B$30+'Inputs'!$B$31+'Inputs'!$B$32)/1000+'Inputs'!$B$21))/SQRT((((534-43)*MAX('Inputs'!$B$33,'Inputs'!$B$29+'Inputs'!$B$31+'Inputs'!$B$32,'Inputs'!$B$30+'Inputs'!$B$31+'Inputs'!$B$32)/1000+'Inputs'!$B$21))^2+('Inputs'!$B$6/2)^2)))-'Results'!C7*(1+'Inputs'!$B$24)*(0.5*((((534-43)*MAX('Inputs'!$B$33,'Inputs'!$B$29+'Inputs'!$B$31+'Inputs'!$B$32,'Inputs'!$B$30+'Inputs'!$B$31+'Inputs'!$B$32)/1000+'Inputs'!$B$21+'Inputs'!$B$7+'Inputs'!$B$10)+'Inputs'!$B$9)/SQRT((((534-43)*MAX('Inputs'!$B$33,'Inputs'!$B$29+'Inputs'!$B$31+'Inputs'!$B$32,'Inputs'!$B$30+'Inputs'!$B$31+'Inputs'!$B$32)/1000+'Inputs'!$B$21+'Inputs'!$B$7+'Inputs'!$B$10)+'Inputs'!$B$9)^2+('Inputs'!$B$8/2)^2)-(((534-43)*MAX('Inputs'!$B$33,'Inputs'!$B$29+'Inputs'!$B$31+'Inputs'!$B$32,'Inputs'!$B$30+'Inputs'!$B$31+'Inputs'!$B$32)/1000+'Inputs'!$B$21+'Inputs'!$B$7+'Inputs'!$B$10))/SQRT((((534-43)*MAX('Inputs'!$B$33,'Inputs'!$B$29+'Inputs'!$B$31+'Inputs'!$B$32,'Inputs'!$B$30+'Inputs'!$B$31+'Inputs'!$B$32)/1000+'Inputs'!$B$21+'Inputs'!$B$7+'Inputs'!$B$10))^2+('Inputs'!$B$8/2)^2))))*'Results'!$B$8))),"")</x:f>
        <x:v>3.9419173416874274</x:v>
      </x:c>
      <x:c r="L534" t="n">
        <x:f>IF(AND(ISNUMBER('Results'!B7),ISNUMBER('Results'!C7),ISNUMBER('Results'!$B$8),ISNUMBER('Inputs'!$B$6),ISNUMBER('Inputs'!$B$7),ISNUMBER('Inputs'!$B$8),ISNUMBER('Inputs'!$B$9),ISNUMBER('Inputs'!$B$10),ISNUMBER('Inputs'!$B$21),ISNUMBER('Inputs'!$B$24),ISNUMBER('Inputs'!$B$28)),((('Results'!B7*(1+'Inputs'!$B$24)*(0.5*((((534-43)*MAX('Inputs'!$B$33,'Inputs'!$B$29+'Inputs'!$B$31+'Inputs'!$B$32,'Inputs'!$B$30+'Inputs'!$B$31+'Inputs'!$B$32)/1000+'Inputs'!$B$21)+'Inputs'!$B$7)/SQRT((((534-43)*MAX('Inputs'!$B$33,'Inputs'!$B$29+'Inputs'!$B$31+'Inputs'!$B$32,'Inputs'!$B$30+'Inputs'!$B$31+'Inputs'!$B$32)/1000+'Inputs'!$B$21)+'Inputs'!$B$7)^2+('Inputs'!$B$6/2)^2)-(((534-43)*MAX('Inputs'!$B$33,'Inputs'!$B$29+'Inputs'!$B$31+'Inputs'!$B$32,'Inputs'!$B$30+'Inputs'!$B$31+'Inputs'!$B$32)/1000+'Inputs'!$B$21))/SQRT((((534-43)*MAX('Inputs'!$B$33,'Inputs'!$B$29+'Inputs'!$B$31+'Inputs'!$B$32,'Inputs'!$B$30+'Inputs'!$B$31+'Inputs'!$B$32)/1000+'Inputs'!$B$21))^2+('Inputs'!$B$6/2)^2)))-'Results'!C7*(1-'Inputs'!$B$24)*(0.5*((((534-43)*MAX('Inputs'!$B$33,'Inputs'!$B$29+'Inputs'!$B$31+'Inputs'!$B$32,'Inputs'!$B$30+'Inputs'!$B$31+'Inputs'!$B$32)/1000+'Inputs'!$B$21+'Inputs'!$B$7+'Inputs'!$B$10)+'Inputs'!$B$9)/SQRT((((534-43)*MAX('Inputs'!$B$33,'Inputs'!$B$29+'Inputs'!$B$31+'Inputs'!$B$32,'Inputs'!$B$30+'Inputs'!$B$31+'Inputs'!$B$32)/1000+'Inputs'!$B$21+'Inputs'!$B$7+'Inputs'!$B$10)+'Inputs'!$B$9)^2+('Inputs'!$B$8/2)^2)-(((534-43)*MAX('Inputs'!$B$33,'Inputs'!$B$29+'Inputs'!$B$31+'Inputs'!$B$32,'Inputs'!$B$30+'Inputs'!$B$31+'Inputs'!$B$32)/1000+'Inputs'!$B$21+'Inputs'!$B$7+'Inputs'!$B$10))/SQRT((((534-43)*MAX('Inputs'!$B$33,'Inputs'!$B$29+'Inputs'!$B$31+'Inputs'!$B$32,'Inputs'!$B$30+'Inputs'!$B$31+'Inputs'!$B$32)/1000+'Inputs'!$B$21+'Inputs'!$B$7+'Inputs'!$B$10))^2+('Inputs'!$B$8/2)^2))))*'Results'!$B$8)+'Inputs'!$B$28*ABS((('Results'!B7*(1+'Inputs'!$B$24)*(0.5*((((534-43)*MAX('Inputs'!$B$33,'Inputs'!$B$29+'Inputs'!$B$31+'Inputs'!$B$32,'Inputs'!$B$30+'Inputs'!$B$31+'Inputs'!$B$32)/1000+'Inputs'!$B$21)+'Inputs'!$B$7)/SQRT((((534-43)*MAX('Inputs'!$B$33,'Inputs'!$B$29+'Inputs'!$B$31+'Inputs'!$B$32,'Inputs'!$B$30+'Inputs'!$B$31+'Inputs'!$B$32)/1000+'Inputs'!$B$21)+'Inputs'!$B$7)^2+('Inputs'!$B$6/2)^2)-(((534-43)*MAX('Inputs'!$B$33,'Inputs'!$B$29+'Inputs'!$B$31+'Inputs'!$B$32,'Inputs'!$B$30+'Inputs'!$B$31+'Inputs'!$B$32)/1000+'Inputs'!$B$21))/SQRT((((534-43)*MAX('Inputs'!$B$33,'Inputs'!$B$29+'Inputs'!$B$31+'Inputs'!$B$32,'Inputs'!$B$30+'Inputs'!$B$31+'Inputs'!$B$32)/1000+'Inputs'!$B$21))^2+('Inputs'!$B$6/2)^2)))-'Results'!C7*(1-'Inputs'!$B$24)*(0.5*((((534-43)*MAX('Inputs'!$B$33,'Inputs'!$B$29+'Inputs'!$B$31+'Inputs'!$B$32,'Inputs'!$B$30+'Inputs'!$B$31+'Inputs'!$B$32)/1000+'Inputs'!$B$21+'Inputs'!$B$7+'Inputs'!$B$10)+'Inputs'!$B$9)/SQRT((((534-43)*MAX('Inputs'!$B$33,'Inputs'!$B$29+'Inputs'!$B$31+'Inputs'!$B$32,'Inputs'!$B$30+'Inputs'!$B$31+'Inputs'!$B$32)/1000+'Inputs'!$B$21+'Inputs'!$B$7+'Inputs'!$B$10)+'Inputs'!$B$9)^2+('Inputs'!$B$8/2)^2)-(((534-43)*MAX('Inputs'!$B$33,'Inputs'!$B$29+'Inputs'!$B$31+'Inputs'!$B$32,'Inputs'!$B$30+'Inputs'!$B$31+'Inputs'!$B$32)/1000+'Inputs'!$B$21+'Inputs'!$B$7+'Inputs'!$B$10))/SQRT((((534-43)*MAX('Inputs'!$B$33,'Inputs'!$B$29+'Inputs'!$B$31+'Inputs'!$B$32,'Inputs'!$B$30+'Inputs'!$B$31+'Inputs'!$B$32)/1000+'Inputs'!$B$21+'Inputs'!$B$7+'Inputs'!$B$10))^2+('Inputs'!$B$8/2)^2))))*'Results'!$B$8))),"")</x:f>
        <x:v>4.981425306019575</x:v>
      </x:c>
      <x:c r="M534" t="n">
        <x:f>IF(AND(ISNUMBER('Results'!C7),ISNUMBER('Results'!B7),ISNUMBER('Results'!$B$8),ISNUMBER('Inputs'!$B$6),ISNUMBER('Inputs'!$B$7),ISNUMBER('Inputs'!$B$8),ISNUMBER('Inputs'!$B$9),ISNUMBER('Inputs'!$B$10),ISNUMBER('Inputs'!$B$21),ISNUMBER('Inputs'!$B$24),ISNUMBER('Inputs'!$B$28)),(('Results'!C7*(0.5*((((534-43)*MAX('Inputs'!$B$33,'Inputs'!$B$29+'Inputs'!$B$31+'Inputs'!$B$32,'Inputs'!$B$30+'Inputs'!$B$31+'Inputs'!$B$32)/1000+'Inputs'!$B$21)+'Inputs'!$B$9)/SQRT((((534-43)*MAX('Inputs'!$B$33,'Inputs'!$B$29+'Inputs'!$B$31+'Inputs'!$B$32,'Inputs'!$B$30+'Inputs'!$B$31+'Inputs'!$B$32)/1000+'Inputs'!$B$21)+'Inputs'!$B$9)^2+('Inputs'!$B$8/2)^2)-(((534-43)*MAX('Inputs'!$B$33,'Inputs'!$B$29+'Inputs'!$B$31+'Inputs'!$B$32,'Inputs'!$B$30+'Inputs'!$B$31+'Inputs'!$B$32)/1000+'Inputs'!$B$21))/SQRT((((534-43)*MAX('Inputs'!$B$33,'Inputs'!$B$29+'Inputs'!$B$31+'Inputs'!$B$32,'Inputs'!$B$30+'Inputs'!$B$31+'Inputs'!$B$32)/1000+'Inputs'!$B$21))^2+('Inputs'!$B$8/2)^2)))-'Results'!B7*(0.5*((((534-43)*MAX('Inputs'!$B$33,'Inputs'!$B$29+'Inputs'!$B$31+'Inputs'!$B$32,'Inputs'!$B$30+'Inputs'!$B$31+'Inputs'!$B$32)/1000+'Inputs'!$B$21+'Inputs'!$B$9+'Inputs'!$B$10)+'Inputs'!$B$7)/SQRT((((534-43)*MAX('Inputs'!$B$33,'Inputs'!$B$29+'Inputs'!$B$31+'Inputs'!$B$32,'Inputs'!$B$30+'Inputs'!$B$31+'Inputs'!$B$32)/1000+'Inputs'!$B$21+'Inputs'!$B$9+'Inputs'!$B$10)+'Inputs'!$B$7)^2+('Inputs'!$B$6/2)^2)-(((534-43)*MAX('Inputs'!$B$33,'Inputs'!$B$29+'Inputs'!$B$31+'Inputs'!$B$32,'Inputs'!$B$30+'Inputs'!$B$31+'Inputs'!$B$32)/1000+'Inputs'!$B$21+'Inputs'!$B$9+'Inputs'!$B$10))/SQRT((((534-43)*MAX('Inputs'!$B$33,'Inputs'!$B$29+'Inputs'!$B$31+'Inputs'!$B$32,'Inputs'!$B$30+'Inputs'!$B$31+'Inputs'!$B$32)/1000+'Inputs'!$B$21+'Inputs'!$B$9+'Inputs'!$B$10))^2+('Inputs'!$B$6/2)^2))))*'Results'!$B$8),"")</x:f>
        <x:v>4.1472593495591825</x:v>
      </x:c>
      <x:c r="N534" t="n">
        <x:f>IF(AND(ISNUMBER('Results'!C7),ISNUMBER('Results'!B7),ISNUMBER('Results'!$B$8),ISNUMBER('Inputs'!$B$6),ISNUMBER('Inputs'!$B$7),ISNUMBER('Inputs'!$B$8),ISNUMBER('Inputs'!$B$9),ISNUMBER('Inputs'!$B$10),ISNUMBER('Inputs'!$B$21),ISNUMBER('Inputs'!$B$24),ISNUMBER('Inputs'!$B$28)),((('Results'!C7*(1-'Inputs'!$B$24)*(0.5*((((534-43)*MAX('Inputs'!$B$33,'Inputs'!$B$29+'Inputs'!$B$31+'Inputs'!$B$32,'Inputs'!$B$30+'Inputs'!$B$31+'Inputs'!$B$32)/1000+'Inputs'!$B$21)+'Inputs'!$B$9)/SQRT((((534-43)*MAX('Inputs'!$B$33,'Inputs'!$B$29+'Inputs'!$B$31+'Inputs'!$B$32,'Inputs'!$B$30+'Inputs'!$B$31+'Inputs'!$B$32)/1000+'Inputs'!$B$21)+'Inputs'!$B$9)^2+('Inputs'!$B$8/2)^2)-(((534-43)*MAX('Inputs'!$B$33,'Inputs'!$B$29+'Inputs'!$B$31+'Inputs'!$B$32,'Inputs'!$B$30+'Inputs'!$B$31+'Inputs'!$B$32)/1000+'Inputs'!$B$21))/SQRT((((534-43)*MAX('Inputs'!$B$33,'Inputs'!$B$29+'Inputs'!$B$31+'Inputs'!$B$32,'Inputs'!$B$30+'Inputs'!$B$31+'Inputs'!$B$32)/1000+'Inputs'!$B$21))^2+('Inputs'!$B$8/2)^2)))-'Results'!B7*(1+'Inputs'!$B$24)*(0.5*((((534-43)*MAX('Inputs'!$B$33,'Inputs'!$B$29+'Inputs'!$B$31+'Inputs'!$B$32,'Inputs'!$B$30+'Inputs'!$B$31+'Inputs'!$B$32)/1000+'Inputs'!$B$21+'Inputs'!$B$9+'Inputs'!$B$10)+'Inputs'!$B$7)/SQRT((((534-43)*MAX('Inputs'!$B$33,'Inputs'!$B$29+'Inputs'!$B$31+'Inputs'!$B$32,'Inputs'!$B$30+'Inputs'!$B$31+'Inputs'!$B$32)/1000+'Inputs'!$B$21+'Inputs'!$B$9+'Inputs'!$B$10)+'Inputs'!$B$7)^2+('Inputs'!$B$6/2)^2)-(((534-43)*MAX('Inputs'!$B$33,'Inputs'!$B$29+'Inputs'!$B$31+'Inputs'!$B$32,'Inputs'!$B$30+'Inputs'!$B$31+'Inputs'!$B$32)/1000+'Inputs'!$B$21+'Inputs'!$B$9+'Inputs'!$B$10))/SQRT((((534-43)*MAX('Inputs'!$B$33,'Inputs'!$B$29+'Inputs'!$B$31+'Inputs'!$B$32,'Inputs'!$B$30+'Inputs'!$B$31+'Inputs'!$B$32)/1000+'Inputs'!$B$21+'Inputs'!$B$9+'Inputs'!$B$10))^2+('Inputs'!$B$6/2)^2))))*'Results'!$B$8)-'Inputs'!$B$28*ABS((('Results'!C7*(1-'Inputs'!$B$24)*(0.5*((((534-43)*MAX('Inputs'!$B$33,'Inputs'!$B$29+'Inputs'!$B$31+'Inputs'!$B$32,'Inputs'!$B$30+'Inputs'!$B$31+'Inputs'!$B$32)/1000+'Inputs'!$B$21)+'Inputs'!$B$9)/SQRT((((534-43)*MAX('Inputs'!$B$33,'Inputs'!$B$29+'Inputs'!$B$31+'Inputs'!$B$32,'Inputs'!$B$30+'Inputs'!$B$31+'Inputs'!$B$32)/1000+'Inputs'!$B$21)+'Inputs'!$B$9)^2+('Inputs'!$B$8/2)^2)-(((534-43)*MAX('Inputs'!$B$33,'Inputs'!$B$29+'Inputs'!$B$31+'Inputs'!$B$32,'Inputs'!$B$30+'Inputs'!$B$31+'Inputs'!$B$32)/1000+'Inputs'!$B$21))/SQRT((((534-43)*MAX('Inputs'!$B$33,'Inputs'!$B$29+'Inputs'!$B$31+'Inputs'!$B$32,'Inputs'!$B$30+'Inputs'!$B$31+'Inputs'!$B$32)/1000+'Inputs'!$B$21))^2+('Inputs'!$B$8/2)^2)))-'Results'!B7*(1+'Inputs'!$B$24)*(0.5*((((534-43)*MAX('Inputs'!$B$33,'Inputs'!$B$29+'Inputs'!$B$31+'Inputs'!$B$32,'Inputs'!$B$30+'Inputs'!$B$31+'Inputs'!$B$32)/1000+'Inputs'!$B$21+'Inputs'!$B$9+'Inputs'!$B$10)+'Inputs'!$B$7)/SQRT((((534-43)*MAX('Inputs'!$B$33,'Inputs'!$B$29+'Inputs'!$B$31+'Inputs'!$B$32,'Inputs'!$B$30+'Inputs'!$B$31+'Inputs'!$B$32)/1000+'Inputs'!$B$21+'Inputs'!$B$9+'Inputs'!$B$10)+'Inputs'!$B$7)^2+('Inputs'!$B$6/2)^2)-(((534-43)*MAX('Inputs'!$B$33,'Inputs'!$B$29+'Inputs'!$B$31+'Inputs'!$B$32,'Inputs'!$B$30+'Inputs'!$B$31+'Inputs'!$B$32)/1000+'Inputs'!$B$21+'Inputs'!$B$9+'Inputs'!$B$10))/SQRT((((534-43)*MAX('Inputs'!$B$33,'Inputs'!$B$29+'Inputs'!$B$31+'Inputs'!$B$32,'Inputs'!$B$30+'Inputs'!$B$31+'Inputs'!$B$32)/1000+'Inputs'!$B$21+'Inputs'!$B$9+'Inputs'!$B$10))^2+('Inputs'!$B$6/2)^2))))*'Results'!$B$8))),"")</x:f>
        <x:v>3.6590024938190977</x:v>
      </x:c>
      <x:c r="O534" t="n">
        <x:f>IF(AND(ISNUMBER('Results'!C7),ISNUMBER('Results'!B7),ISNUMBER('Results'!$B$8),ISNUMBER('Inputs'!$B$6),ISNUMBER('Inputs'!$B$7),ISNUMBER('Inputs'!$B$8),ISNUMBER('Inputs'!$B$9),ISNUMBER('Inputs'!$B$10),ISNUMBER('Inputs'!$B$21),ISNUMBER('Inputs'!$B$24),ISNUMBER('Inputs'!$B$28)),((('Results'!C7*(1+'Inputs'!$B$24)*(0.5*((((534-43)*MAX('Inputs'!$B$33,'Inputs'!$B$29+'Inputs'!$B$31+'Inputs'!$B$32,'Inputs'!$B$30+'Inputs'!$B$31+'Inputs'!$B$32)/1000+'Inputs'!$B$21)+'Inputs'!$B$9)/SQRT((((534-43)*MAX('Inputs'!$B$33,'Inputs'!$B$29+'Inputs'!$B$31+'Inputs'!$B$32,'Inputs'!$B$30+'Inputs'!$B$31+'Inputs'!$B$32)/1000+'Inputs'!$B$21)+'Inputs'!$B$9)^2+('Inputs'!$B$8/2)^2)-(((534-43)*MAX('Inputs'!$B$33,'Inputs'!$B$29+'Inputs'!$B$31+'Inputs'!$B$32,'Inputs'!$B$30+'Inputs'!$B$31+'Inputs'!$B$32)/1000+'Inputs'!$B$21))/SQRT((((534-43)*MAX('Inputs'!$B$33,'Inputs'!$B$29+'Inputs'!$B$31+'Inputs'!$B$32,'Inputs'!$B$30+'Inputs'!$B$31+'Inputs'!$B$32)/1000+'Inputs'!$B$21))^2+('Inputs'!$B$8/2)^2)))-'Results'!B7*(1-'Inputs'!$B$24)*(0.5*((((534-43)*MAX('Inputs'!$B$33,'Inputs'!$B$29+'Inputs'!$B$31+'Inputs'!$B$32,'Inputs'!$B$30+'Inputs'!$B$31+'Inputs'!$B$32)/1000+'Inputs'!$B$21+'Inputs'!$B$9+'Inputs'!$B$10)+'Inputs'!$B$7)/SQRT((((534-43)*MAX('Inputs'!$B$33,'Inputs'!$B$29+'Inputs'!$B$31+'Inputs'!$B$32,'Inputs'!$B$30+'Inputs'!$B$31+'Inputs'!$B$32)/1000+'Inputs'!$B$21+'Inputs'!$B$9+'Inputs'!$B$10)+'Inputs'!$B$7)^2+('Inputs'!$B$6/2)^2)-(((534-43)*MAX('Inputs'!$B$33,'Inputs'!$B$29+'Inputs'!$B$31+'Inputs'!$B$32,'Inputs'!$B$30+'Inputs'!$B$31+'Inputs'!$B$32)/1000+'Inputs'!$B$21+'Inputs'!$B$9+'Inputs'!$B$10))/SQRT((((534-43)*MAX('Inputs'!$B$33,'Inputs'!$B$29+'Inputs'!$B$31+'Inputs'!$B$32,'Inputs'!$B$30+'Inputs'!$B$31+'Inputs'!$B$32)/1000+'Inputs'!$B$21+'Inputs'!$B$9+'Inputs'!$B$10))^2+('Inputs'!$B$6/2)^2))))*'Results'!$B$8)+'Inputs'!$B$28*ABS((('Results'!C7*(1+'Inputs'!$B$24)*(0.5*((((534-43)*MAX('Inputs'!$B$33,'Inputs'!$B$29+'Inputs'!$B$31+'Inputs'!$B$32,'Inputs'!$B$30+'Inputs'!$B$31+'Inputs'!$B$32)/1000+'Inputs'!$B$21)+'Inputs'!$B$9)/SQRT((((534-43)*MAX('Inputs'!$B$33,'Inputs'!$B$29+'Inputs'!$B$31+'Inputs'!$B$32,'Inputs'!$B$30+'Inputs'!$B$31+'Inputs'!$B$32)/1000+'Inputs'!$B$21)+'Inputs'!$B$9)^2+('Inputs'!$B$8/2)^2)-(((534-43)*MAX('Inputs'!$B$33,'Inputs'!$B$29+'Inputs'!$B$31+'Inputs'!$B$32,'Inputs'!$B$30+'Inputs'!$B$31+'Inputs'!$B$32)/1000+'Inputs'!$B$21))/SQRT((((534-43)*MAX('Inputs'!$B$33,'Inputs'!$B$29+'Inputs'!$B$31+'Inputs'!$B$32,'Inputs'!$B$30+'Inputs'!$B$31+'Inputs'!$B$32)/1000+'Inputs'!$B$21))^2+('Inputs'!$B$8/2)^2)))-'Results'!B7*(1-'Inputs'!$B$24)*(0.5*((((534-43)*MAX('Inputs'!$B$33,'Inputs'!$B$29+'Inputs'!$B$31+'Inputs'!$B$32,'Inputs'!$B$30+'Inputs'!$B$31+'Inputs'!$B$32)/1000+'Inputs'!$B$21+'Inputs'!$B$9+'Inputs'!$B$10)+'Inputs'!$B$7)/SQRT((((534-43)*MAX('Inputs'!$B$33,'Inputs'!$B$29+'Inputs'!$B$31+'Inputs'!$B$32,'Inputs'!$B$30+'Inputs'!$B$31+'Inputs'!$B$32)/1000+'Inputs'!$B$21+'Inputs'!$B$9+'Inputs'!$B$10)+'Inputs'!$B$7)^2+('Inputs'!$B$6/2)^2)-(((534-43)*MAX('Inputs'!$B$33,'Inputs'!$B$29+'Inputs'!$B$31+'Inputs'!$B$32,'Inputs'!$B$30+'Inputs'!$B$31+'Inputs'!$B$32)/1000+'Inputs'!$B$21+'Inputs'!$B$9+'Inputs'!$B$10))/SQRT((((534-43)*MAX('Inputs'!$B$33,'Inputs'!$B$29+'Inputs'!$B$31+'Inputs'!$B$32,'Inputs'!$B$30+'Inputs'!$B$31+'Inputs'!$B$32)/1000+'Inputs'!$B$21+'Inputs'!$B$9+'Inputs'!$B$10))^2+('Inputs'!$B$6/2)^2))))*'Results'!$B$8))),"")</x:f>
        <x:v>4.665083983011067</x:v>
      </x:c>
      <x:c r="P534" t="n">
        <x:f>IF(AND(MAX(J534,J533)&gt;0,J534&gt;J533+0.00000001),1,0)</x:f>
        <x:v>0</x:v>
      </x:c>
      <x:c r="Q534" t="n">
        <x:f>IF(AND(MAX(K534,K533)&gt;0,K534&gt;K533+0.00000001),1,0)</x:f>
        <x:v>0</x:v>
      </x:c>
      <x:c r="R534" t="n">
        <x:f>IF(AND(MAX(L534,L533)&gt;0,L534&gt;L533+0.00000001),1,0)</x:f>
        <x:v>0</x:v>
      </x:c>
      <x:c r="S534" t="n">
        <x:f>IF(AND(MAX(M534,M533)&gt;0,M534&gt;M533+0.00000001),1,0)</x:f>
        <x:v>0</x:v>
      </x:c>
      <x:c r="T534" t="n">
        <x:f>IF(AND(MAX(N534,N533)&gt;0,N534&gt;N533+0.00000001),1,0)</x:f>
        <x:v>0</x:v>
      </x:c>
      <x:c r="U534" t="n">
        <x:f>IF(AND(MAX(O534,O533)&gt;0,O534&gt;O533+0.00000001),1,0)</x:f>
        <x:v>0</x:v>
      </x:c>
    </x:row>
    <x:row r="535">
      <x:c r="J535" t="n">
        <x:f>IF(AND(ISNUMBER('Results'!B7),ISNUMBER('Results'!C7),ISNUMBER('Results'!$B$8),ISNUMBER('Inputs'!$B$6),ISNUMBER('Inputs'!$B$7),ISNUMBER('Inputs'!$B$8),ISNUMBER('Inputs'!$B$9),ISNUMBER('Inputs'!$B$10),ISNUMBER('Inputs'!$B$21),ISNUMBER('Inputs'!$B$24),ISNUMBER('Inputs'!$B$28)),(('Results'!B7*(0.5*((((535-43)*MAX('Inputs'!$B$33,'Inputs'!$B$29+'Inputs'!$B$31+'Inputs'!$B$32,'Inputs'!$B$30+'Inputs'!$B$31+'Inputs'!$B$32)/1000+'Inputs'!$B$21)+'Inputs'!$B$7)/SQRT((((535-43)*MAX('Inputs'!$B$33,'Inputs'!$B$29+'Inputs'!$B$31+'Inputs'!$B$32,'Inputs'!$B$30+'Inputs'!$B$31+'Inputs'!$B$32)/1000+'Inputs'!$B$21)+'Inputs'!$B$7)^2+('Inputs'!$B$6/2)^2)-(((535-43)*MAX('Inputs'!$B$33,'Inputs'!$B$29+'Inputs'!$B$31+'Inputs'!$B$32,'Inputs'!$B$30+'Inputs'!$B$31+'Inputs'!$B$32)/1000+'Inputs'!$B$21))/SQRT((((535-43)*MAX('Inputs'!$B$33,'Inputs'!$B$29+'Inputs'!$B$31+'Inputs'!$B$32,'Inputs'!$B$30+'Inputs'!$B$31+'Inputs'!$B$32)/1000+'Inputs'!$B$21))^2+('Inputs'!$B$6/2)^2)))-'Results'!C7*(0.5*((((535-43)*MAX('Inputs'!$B$33,'Inputs'!$B$29+'Inputs'!$B$31+'Inputs'!$B$32,'Inputs'!$B$30+'Inputs'!$B$31+'Inputs'!$B$32)/1000+'Inputs'!$B$21+'Inputs'!$B$7+'Inputs'!$B$10)+'Inputs'!$B$9)/SQRT((((535-43)*MAX('Inputs'!$B$33,'Inputs'!$B$29+'Inputs'!$B$31+'Inputs'!$B$32,'Inputs'!$B$30+'Inputs'!$B$31+'Inputs'!$B$32)/1000+'Inputs'!$B$21+'Inputs'!$B$7+'Inputs'!$B$10)+'Inputs'!$B$9)^2+('Inputs'!$B$8/2)^2)-(((535-43)*MAX('Inputs'!$B$33,'Inputs'!$B$29+'Inputs'!$B$31+'Inputs'!$B$32,'Inputs'!$B$30+'Inputs'!$B$31+'Inputs'!$B$32)/1000+'Inputs'!$B$21+'Inputs'!$B$7+'Inputs'!$B$10))/SQRT((((535-43)*MAX('Inputs'!$B$33,'Inputs'!$B$29+'Inputs'!$B$31+'Inputs'!$B$32,'Inputs'!$B$30+'Inputs'!$B$31+'Inputs'!$B$32)/1000+'Inputs'!$B$21+'Inputs'!$B$7+'Inputs'!$B$10))^2+('Inputs'!$B$8/2)^2))))*'Results'!$B$8),"")</x:f>
        <x:v>4.416077711070736</x:v>
      </x:c>
      <x:c r="K535" t="n">
        <x:f>IF(AND(ISNUMBER('Results'!B7),ISNUMBER('Results'!C7),ISNUMBER('Results'!$B$8),ISNUMBER('Inputs'!$B$6),ISNUMBER('Inputs'!$B$7),ISNUMBER('Inputs'!$B$8),ISNUMBER('Inputs'!$B$9),ISNUMBER('Inputs'!$B$10),ISNUMBER('Inputs'!$B$21),ISNUMBER('Inputs'!$B$24),ISNUMBER('Inputs'!$B$28)),((('Results'!B7*(1-'Inputs'!$B$24)*(0.5*((((535-43)*MAX('Inputs'!$B$33,'Inputs'!$B$29+'Inputs'!$B$31+'Inputs'!$B$32,'Inputs'!$B$30+'Inputs'!$B$31+'Inputs'!$B$32)/1000+'Inputs'!$B$21)+'Inputs'!$B$7)/SQRT((((535-43)*MAX('Inputs'!$B$33,'Inputs'!$B$29+'Inputs'!$B$31+'Inputs'!$B$32,'Inputs'!$B$30+'Inputs'!$B$31+'Inputs'!$B$32)/1000+'Inputs'!$B$21)+'Inputs'!$B$7)^2+('Inputs'!$B$6/2)^2)-(((535-43)*MAX('Inputs'!$B$33,'Inputs'!$B$29+'Inputs'!$B$31+'Inputs'!$B$32,'Inputs'!$B$30+'Inputs'!$B$31+'Inputs'!$B$32)/1000+'Inputs'!$B$21))/SQRT((((535-43)*MAX('Inputs'!$B$33,'Inputs'!$B$29+'Inputs'!$B$31+'Inputs'!$B$32,'Inputs'!$B$30+'Inputs'!$B$31+'Inputs'!$B$32)/1000+'Inputs'!$B$21))^2+('Inputs'!$B$6/2)^2)))-'Results'!C7*(1+'Inputs'!$B$24)*(0.5*((((535-43)*MAX('Inputs'!$B$33,'Inputs'!$B$29+'Inputs'!$B$31+'Inputs'!$B$32,'Inputs'!$B$30+'Inputs'!$B$31+'Inputs'!$B$32)/1000+'Inputs'!$B$21+'Inputs'!$B$7+'Inputs'!$B$10)+'Inputs'!$B$9)/SQRT((((535-43)*MAX('Inputs'!$B$33,'Inputs'!$B$29+'Inputs'!$B$31+'Inputs'!$B$32,'Inputs'!$B$30+'Inputs'!$B$31+'Inputs'!$B$32)/1000+'Inputs'!$B$21+'Inputs'!$B$7+'Inputs'!$B$10)+'Inputs'!$B$9)^2+('Inputs'!$B$8/2)^2)-(((535-43)*MAX('Inputs'!$B$33,'Inputs'!$B$29+'Inputs'!$B$31+'Inputs'!$B$32,'Inputs'!$B$30+'Inputs'!$B$31+'Inputs'!$B$32)/1000+'Inputs'!$B$21+'Inputs'!$B$7+'Inputs'!$B$10))/SQRT((((535-43)*MAX('Inputs'!$B$33,'Inputs'!$B$29+'Inputs'!$B$31+'Inputs'!$B$32,'Inputs'!$B$30+'Inputs'!$B$31+'Inputs'!$B$32)/1000+'Inputs'!$B$21+'Inputs'!$B$7+'Inputs'!$B$10))^2+('Inputs'!$B$8/2)^2))))*'Results'!$B$8)-'Inputs'!$B$28*ABS((('Results'!B7*(1-'Inputs'!$B$24)*(0.5*((((535-43)*MAX('Inputs'!$B$33,'Inputs'!$B$29+'Inputs'!$B$31+'Inputs'!$B$32,'Inputs'!$B$30+'Inputs'!$B$31+'Inputs'!$B$32)/1000+'Inputs'!$B$21)+'Inputs'!$B$7)/SQRT((((535-43)*MAX('Inputs'!$B$33,'Inputs'!$B$29+'Inputs'!$B$31+'Inputs'!$B$32,'Inputs'!$B$30+'Inputs'!$B$31+'Inputs'!$B$32)/1000+'Inputs'!$B$21)+'Inputs'!$B$7)^2+('Inputs'!$B$6/2)^2)-(((535-43)*MAX('Inputs'!$B$33,'Inputs'!$B$29+'Inputs'!$B$31+'Inputs'!$B$32,'Inputs'!$B$30+'Inputs'!$B$31+'Inputs'!$B$32)/1000+'Inputs'!$B$21))/SQRT((((535-43)*MAX('Inputs'!$B$33,'Inputs'!$B$29+'Inputs'!$B$31+'Inputs'!$B$32,'Inputs'!$B$30+'Inputs'!$B$31+'Inputs'!$B$32)/1000+'Inputs'!$B$21))^2+('Inputs'!$B$6/2)^2)))-'Results'!C7*(1+'Inputs'!$B$24)*(0.5*((((535-43)*MAX('Inputs'!$B$33,'Inputs'!$B$29+'Inputs'!$B$31+'Inputs'!$B$32,'Inputs'!$B$30+'Inputs'!$B$31+'Inputs'!$B$32)/1000+'Inputs'!$B$21+'Inputs'!$B$7+'Inputs'!$B$10)+'Inputs'!$B$9)/SQRT((((535-43)*MAX('Inputs'!$B$33,'Inputs'!$B$29+'Inputs'!$B$31+'Inputs'!$B$32,'Inputs'!$B$30+'Inputs'!$B$31+'Inputs'!$B$32)/1000+'Inputs'!$B$21+'Inputs'!$B$7+'Inputs'!$B$10)+'Inputs'!$B$9)^2+('Inputs'!$B$8/2)^2)-(((535-43)*MAX('Inputs'!$B$33,'Inputs'!$B$29+'Inputs'!$B$31+'Inputs'!$B$32,'Inputs'!$B$30+'Inputs'!$B$31+'Inputs'!$B$32)/1000+'Inputs'!$B$21+'Inputs'!$B$7+'Inputs'!$B$10))/SQRT((((535-43)*MAX('Inputs'!$B$33,'Inputs'!$B$29+'Inputs'!$B$31+'Inputs'!$B$32,'Inputs'!$B$30+'Inputs'!$B$31+'Inputs'!$B$32)/1000+'Inputs'!$B$21+'Inputs'!$B$7+'Inputs'!$B$10))^2+('Inputs'!$B$8/2)^2))))*'Results'!$B$8))),"")</x:f>
        <x:v>3.914247364138197</x:v>
      </x:c>
      <x:c r="L535" t="n">
        <x:f>IF(AND(ISNUMBER('Results'!B7),ISNUMBER('Results'!C7),ISNUMBER('Results'!$B$8),ISNUMBER('Inputs'!$B$6),ISNUMBER('Inputs'!$B$7),ISNUMBER('Inputs'!$B$8),ISNUMBER('Inputs'!$B$9),ISNUMBER('Inputs'!$B$10),ISNUMBER('Inputs'!$B$21),ISNUMBER('Inputs'!$B$24),ISNUMBER('Inputs'!$B$28)),((('Results'!B7*(1+'Inputs'!$B$24)*(0.5*((((535-43)*MAX('Inputs'!$B$33,'Inputs'!$B$29+'Inputs'!$B$31+'Inputs'!$B$32,'Inputs'!$B$30+'Inputs'!$B$31+'Inputs'!$B$32)/1000+'Inputs'!$B$21)+'Inputs'!$B$7)/SQRT((((535-43)*MAX('Inputs'!$B$33,'Inputs'!$B$29+'Inputs'!$B$31+'Inputs'!$B$32,'Inputs'!$B$30+'Inputs'!$B$31+'Inputs'!$B$32)/1000+'Inputs'!$B$21)+'Inputs'!$B$7)^2+('Inputs'!$B$6/2)^2)-(((535-43)*MAX('Inputs'!$B$33,'Inputs'!$B$29+'Inputs'!$B$31+'Inputs'!$B$32,'Inputs'!$B$30+'Inputs'!$B$31+'Inputs'!$B$32)/1000+'Inputs'!$B$21))/SQRT((((535-43)*MAX('Inputs'!$B$33,'Inputs'!$B$29+'Inputs'!$B$31+'Inputs'!$B$32,'Inputs'!$B$30+'Inputs'!$B$31+'Inputs'!$B$32)/1000+'Inputs'!$B$21))^2+('Inputs'!$B$6/2)^2)))-'Results'!C7*(1-'Inputs'!$B$24)*(0.5*((((535-43)*MAX('Inputs'!$B$33,'Inputs'!$B$29+'Inputs'!$B$31+'Inputs'!$B$32,'Inputs'!$B$30+'Inputs'!$B$31+'Inputs'!$B$32)/1000+'Inputs'!$B$21+'Inputs'!$B$7+'Inputs'!$B$10)+'Inputs'!$B$9)/SQRT((((535-43)*MAX('Inputs'!$B$33,'Inputs'!$B$29+'Inputs'!$B$31+'Inputs'!$B$32,'Inputs'!$B$30+'Inputs'!$B$31+'Inputs'!$B$32)/1000+'Inputs'!$B$21+'Inputs'!$B$7+'Inputs'!$B$10)+'Inputs'!$B$9)^2+('Inputs'!$B$8/2)^2)-(((535-43)*MAX('Inputs'!$B$33,'Inputs'!$B$29+'Inputs'!$B$31+'Inputs'!$B$32,'Inputs'!$B$30+'Inputs'!$B$31+'Inputs'!$B$32)/1000+'Inputs'!$B$21+'Inputs'!$B$7+'Inputs'!$B$10))/SQRT((((535-43)*MAX('Inputs'!$B$33,'Inputs'!$B$29+'Inputs'!$B$31+'Inputs'!$B$32,'Inputs'!$B$30+'Inputs'!$B$31+'Inputs'!$B$32)/1000+'Inputs'!$B$21+'Inputs'!$B$7+'Inputs'!$B$10))^2+('Inputs'!$B$8/2)^2))))*'Results'!$B$8)+'Inputs'!$B$28*ABS((('Results'!B7*(1+'Inputs'!$B$24)*(0.5*((((535-43)*MAX('Inputs'!$B$33,'Inputs'!$B$29+'Inputs'!$B$31+'Inputs'!$B$32,'Inputs'!$B$30+'Inputs'!$B$31+'Inputs'!$B$32)/1000+'Inputs'!$B$21)+'Inputs'!$B$7)/SQRT((((535-43)*MAX('Inputs'!$B$33,'Inputs'!$B$29+'Inputs'!$B$31+'Inputs'!$B$32,'Inputs'!$B$30+'Inputs'!$B$31+'Inputs'!$B$32)/1000+'Inputs'!$B$21)+'Inputs'!$B$7)^2+('Inputs'!$B$6/2)^2)-(((535-43)*MAX('Inputs'!$B$33,'Inputs'!$B$29+'Inputs'!$B$31+'Inputs'!$B$32,'Inputs'!$B$30+'Inputs'!$B$31+'Inputs'!$B$32)/1000+'Inputs'!$B$21))/SQRT((((535-43)*MAX('Inputs'!$B$33,'Inputs'!$B$29+'Inputs'!$B$31+'Inputs'!$B$32,'Inputs'!$B$30+'Inputs'!$B$31+'Inputs'!$B$32)/1000+'Inputs'!$B$21))^2+('Inputs'!$B$6/2)^2)))-'Results'!C7*(1-'Inputs'!$B$24)*(0.5*((((535-43)*MAX('Inputs'!$B$33,'Inputs'!$B$29+'Inputs'!$B$31+'Inputs'!$B$32,'Inputs'!$B$30+'Inputs'!$B$31+'Inputs'!$B$32)/1000+'Inputs'!$B$21+'Inputs'!$B$7+'Inputs'!$B$10)+'Inputs'!$B$9)/SQRT((((535-43)*MAX('Inputs'!$B$33,'Inputs'!$B$29+'Inputs'!$B$31+'Inputs'!$B$32,'Inputs'!$B$30+'Inputs'!$B$31+'Inputs'!$B$32)/1000+'Inputs'!$B$21+'Inputs'!$B$7+'Inputs'!$B$10)+'Inputs'!$B$9)^2+('Inputs'!$B$8/2)^2)-(((535-43)*MAX('Inputs'!$B$33,'Inputs'!$B$29+'Inputs'!$B$31+'Inputs'!$B$32,'Inputs'!$B$30+'Inputs'!$B$31+'Inputs'!$B$32)/1000+'Inputs'!$B$21+'Inputs'!$B$7+'Inputs'!$B$10))/SQRT((((535-43)*MAX('Inputs'!$B$33,'Inputs'!$B$29+'Inputs'!$B$31+'Inputs'!$B$32,'Inputs'!$B$30+'Inputs'!$B$31+'Inputs'!$B$32)/1000+'Inputs'!$B$21+'Inputs'!$B$7+'Inputs'!$B$10))^2+('Inputs'!$B$8/2)^2))))*'Results'!$B$8))),"")</x:f>
        <x:v>4.947489790780012</x:v>
      </x:c>
      <x:c r="M535" t="n">
        <x:f>IF(AND(ISNUMBER('Results'!C7),ISNUMBER('Results'!B7),ISNUMBER('Results'!$B$8),ISNUMBER('Inputs'!$B$6),ISNUMBER('Inputs'!$B$7),ISNUMBER('Inputs'!$B$8),ISNUMBER('Inputs'!$B$9),ISNUMBER('Inputs'!$B$10),ISNUMBER('Inputs'!$B$21),ISNUMBER('Inputs'!$B$24),ISNUMBER('Inputs'!$B$28)),(('Results'!C7*(0.5*((((535-43)*MAX('Inputs'!$B$33,'Inputs'!$B$29+'Inputs'!$B$31+'Inputs'!$B$32,'Inputs'!$B$30+'Inputs'!$B$31+'Inputs'!$B$32)/1000+'Inputs'!$B$21)+'Inputs'!$B$9)/SQRT((((535-43)*MAX('Inputs'!$B$33,'Inputs'!$B$29+'Inputs'!$B$31+'Inputs'!$B$32,'Inputs'!$B$30+'Inputs'!$B$31+'Inputs'!$B$32)/1000+'Inputs'!$B$21)+'Inputs'!$B$9)^2+('Inputs'!$B$8/2)^2)-(((535-43)*MAX('Inputs'!$B$33,'Inputs'!$B$29+'Inputs'!$B$31+'Inputs'!$B$32,'Inputs'!$B$30+'Inputs'!$B$31+'Inputs'!$B$32)/1000+'Inputs'!$B$21))/SQRT((((535-43)*MAX('Inputs'!$B$33,'Inputs'!$B$29+'Inputs'!$B$31+'Inputs'!$B$32,'Inputs'!$B$30+'Inputs'!$B$31+'Inputs'!$B$32)/1000+'Inputs'!$B$21))^2+('Inputs'!$B$8/2)^2)))-'Results'!B7*(0.5*((((535-43)*MAX('Inputs'!$B$33,'Inputs'!$B$29+'Inputs'!$B$31+'Inputs'!$B$32,'Inputs'!$B$30+'Inputs'!$B$31+'Inputs'!$B$32)/1000+'Inputs'!$B$21+'Inputs'!$B$9+'Inputs'!$B$10)+'Inputs'!$B$7)/SQRT((((535-43)*MAX('Inputs'!$B$33,'Inputs'!$B$29+'Inputs'!$B$31+'Inputs'!$B$32,'Inputs'!$B$30+'Inputs'!$B$31+'Inputs'!$B$32)/1000+'Inputs'!$B$21+'Inputs'!$B$9+'Inputs'!$B$10)+'Inputs'!$B$7)^2+('Inputs'!$B$6/2)^2)-(((535-43)*MAX('Inputs'!$B$33,'Inputs'!$B$29+'Inputs'!$B$31+'Inputs'!$B$32,'Inputs'!$B$30+'Inputs'!$B$31+'Inputs'!$B$32)/1000+'Inputs'!$B$21+'Inputs'!$B$9+'Inputs'!$B$10))/SQRT((((535-43)*MAX('Inputs'!$B$33,'Inputs'!$B$29+'Inputs'!$B$31+'Inputs'!$B$32,'Inputs'!$B$30+'Inputs'!$B$31+'Inputs'!$B$32)/1000+'Inputs'!$B$21+'Inputs'!$B$9+'Inputs'!$B$10))^2+('Inputs'!$B$6/2)^2))))*'Results'!$B$8),"")</x:f>
        <x:v>4.118143079491673</x:v>
      </x:c>
      <x:c r="N535" t="n">
        <x:f>IF(AND(ISNUMBER('Results'!C7),ISNUMBER('Results'!B7),ISNUMBER('Results'!$B$8),ISNUMBER('Inputs'!$B$6),ISNUMBER('Inputs'!$B$7),ISNUMBER('Inputs'!$B$8),ISNUMBER('Inputs'!$B$9),ISNUMBER('Inputs'!$B$10),ISNUMBER('Inputs'!$B$21),ISNUMBER('Inputs'!$B$24),ISNUMBER('Inputs'!$B$28)),((('Results'!C7*(1-'Inputs'!$B$24)*(0.5*((((535-43)*MAX('Inputs'!$B$33,'Inputs'!$B$29+'Inputs'!$B$31+'Inputs'!$B$32,'Inputs'!$B$30+'Inputs'!$B$31+'Inputs'!$B$32)/1000+'Inputs'!$B$21)+'Inputs'!$B$9)/SQRT((((535-43)*MAX('Inputs'!$B$33,'Inputs'!$B$29+'Inputs'!$B$31+'Inputs'!$B$32,'Inputs'!$B$30+'Inputs'!$B$31+'Inputs'!$B$32)/1000+'Inputs'!$B$21)+'Inputs'!$B$9)^2+('Inputs'!$B$8/2)^2)-(((535-43)*MAX('Inputs'!$B$33,'Inputs'!$B$29+'Inputs'!$B$31+'Inputs'!$B$32,'Inputs'!$B$30+'Inputs'!$B$31+'Inputs'!$B$32)/1000+'Inputs'!$B$21))/SQRT((((535-43)*MAX('Inputs'!$B$33,'Inputs'!$B$29+'Inputs'!$B$31+'Inputs'!$B$32,'Inputs'!$B$30+'Inputs'!$B$31+'Inputs'!$B$32)/1000+'Inputs'!$B$21))^2+('Inputs'!$B$8/2)^2)))-'Results'!B7*(1+'Inputs'!$B$24)*(0.5*((((535-43)*MAX('Inputs'!$B$33,'Inputs'!$B$29+'Inputs'!$B$31+'Inputs'!$B$32,'Inputs'!$B$30+'Inputs'!$B$31+'Inputs'!$B$32)/1000+'Inputs'!$B$21+'Inputs'!$B$9+'Inputs'!$B$10)+'Inputs'!$B$7)/SQRT((((535-43)*MAX('Inputs'!$B$33,'Inputs'!$B$29+'Inputs'!$B$31+'Inputs'!$B$32,'Inputs'!$B$30+'Inputs'!$B$31+'Inputs'!$B$32)/1000+'Inputs'!$B$21+'Inputs'!$B$9+'Inputs'!$B$10)+'Inputs'!$B$7)^2+('Inputs'!$B$6/2)^2)-(((535-43)*MAX('Inputs'!$B$33,'Inputs'!$B$29+'Inputs'!$B$31+'Inputs'!$B$32,'Inputs'!$B$30+'Inputs'!$B$31+'Inputs'!$B$32)/1000+'Inputs'!$B$21+'Inputs'!$B$9+'Inputs'!$B$10))/SQRT((((535-43)*MAX('Inputs'!$B$33,'Inputs'!$B$29+'Inputs'!$B$31+'Inputs'!$B$32,'Inputs'!$B$30+'Inputs'!$B$31+'Inputs'!$B$32)/1000+'Inputs'!$B$21+'Inputs'!$B$9+'Inputs'!$B$10))^2+('Inputs'!$B$6/2)^2))))*'Results'!$B$8)-'Inputs'!$B$28*ABS((('Results'!C7*(1-'Inputs'!$B$24)*(0.5*((((535-43)*MAX('Inputs'!$B$33,'Inputs'!$B$29+'Inputs'!$B$31+'Inputs'!$B$32,'Inputs'!$B$30+'Inputs'!$B$31+'Inputs'!$B$32)/1000+'Inputs'!$B$21)+'Inputs'!$B$9)/SQRT((((535-43)*MAX('Inputs'!$B$33,'Inputs'!$B$29+'Inputs'!$B$31+'Inputs'!$B$32,'Inputs'!$B$30+'Inputs'!$B$31+'Inputs'!$B$32)/1000+'Inputs'!$B$21)+'Inputs'!$B$9)^2+('Inputs'!$B$8/2)^2)-(((535-43)*MAX('Inputs'!$B$33,'Inputs'!$B$29+'Inputs'!$B$31+'Inputs'!$B$32,'Inputs'!$B$30+'Inputs'!$B$31+'Inputs'!$B$32)/1000+'Inputs'!$B$21))/SQRT((((535-43)*MAX('Inputs'!$B$33,'Inputs'!$B$29+'Inputs'!$B$31+'Inputs'!$B$32,'Inputs'!$B$30+'Inputs'!$B$31+'Inputs'!$B$32)/1000+'Inputs'!$B$21))^2+('Inputs'!$B$8/2)^2)))-'Results'!B7*(1+'Inputs'!$B$24)*(0.5*((((535-43)*MAX('Inputs'!$B$33,'Inputs'!$B$29+'Inputs'!$B$31+'Inputs'!$B$32,'Inputs'!$B$30+'Inputs'!$B$31+'Inputs'!$B$32)/1000+'Inputs'!$B$21+'Inputs'!$B$9+'Inputs'!$B$10)+'Inputs'!$B$7)/SQRT((((535-43)*MAX('Inputs'!$B$33,'Inputs'!$B$29+'Inputs'!$B$31+'Inputs'!$B$32,'Inputs'!$B$30+'Inputs'!$B$31+'Inputs'!$B$32)/1000+'Inputs'!$B$21+'Inputs'!$B$9+'Inputs'!$B$10)+'Inputs'!$B$7)^2+('Inputs'!$B$6/2)^2)-(((535-43)*MAX('Inputs'!$B$33,'Inputs'!$B$29+'Inputs'!$B$31+'Inputs'!$B$32,'Inputs'!$B$30+'Inputs'!$B$31+'Inputs'!$B$32)/1000+'Inputs'!$B$21+'Inputs'!$B$9+'Inputs'!$B$10))/SQRT((((535-43)*MAX('Inputs'!$B$33,'Inputs'!$B$29+'Inputs'!$B$31+'Inputs'!$B$32,'Inputs'!$B$30+'Inputs'!$B$31+'Inputs'!$B$32)/1000+'Inputs'!$B$21+'Inputs'!$B$9+'Inputs'!$B$10))^2+('Inputs'!$B$6/2)^2))))*'Results'!$B$8))),"")</x:f>
        <x:v>3.632847344895872</x:v>
      </x:c>
      <x:c r="O535" t="n">
        <x:f>IF(AND(ISNUMBER('Results'!C7),ISNUMBER('Results'!B7),ISNUMBER('Results'!$B$8),ISNUMBER('Inputs'!$B$6),ISNUMBER('Inputs'!$B$7),ISNUMBER('Inputs'!$B$8),ISNUMBER('Inputs'!$B$9),ISNUMBER('Inputs'!$B$10),ISNUMBER('Inputs'!$B$21),ISNUMBER('Inputs'!$B$24),ISNUMBER('Inputs'!$B$28)),((('Results'!C7*(1+'Inputs'!$B$24)*(0.5*((((535-43)*MAX('Inputs'!$B$33,'Inputs'!$B$29+'Inputs'!$B$31+'Inputs'!$B$32,'Inputs'!$B$30+'Inputs'!$B$31+'Inputs'!$B$32)/1000+'Inputs'!$B$21)+'Inputs'!$B$9)/SQRT((((535-43)*MAX('Inputs'!$B$33,'Inputs'!$B$29+'Inputs'!$B$31+'Inputs'!$B$32,'Inputs'!$B$30+'Inputs'!$B$31+'Inputs'!$B$32)/1000+'Inputs'!$B$21)+'Inputs'!$B$9)^2+('Inputs'!$B$8/2)^2)-(((535-43)*MAX('Inputs'!$B$33,'Inputs'!$B$29+'Inputs'!$B$31+'Inputs'!$B$32,'Inputs'!$B$30+'Inputs'!$B$31+'Inputs'!$B$32)/1000+'Inputs'!$B$21))/SQRT((((535-43)*MAX('Inputs'!$B$33,'Inputs'!$B$29+'Inputs'!$B$31+'Inputs'!$B$32,'Inputs'!$B$30+'Inputs'!$B$31+'Inputs'!$B$32)/1000+'Inputs'!$B$21))^2+('Inputs'!$B$8/2)^2)))-'Results'!B7*(1-'Inputs'!$B$24)*(0.5*((((535-43)*MAX('Inputs'!$B$33,'Inputs'!$B$29+'Inputs'!$B$31+'Inputs'!$B$32,'Inputs'!$B$30+'Inputs'!$B$31+'Inputs'!$B$32)/1000+'Inputs'!$B$21+'Inputs'!$B$9+'Inputs'!$B$10)+'Inputs'!$B$7)/SQRT((((535-43)*MAX('Inputs'!$B$33,'Inputs'!$B$29+'Inputs'!$B$31+'Inputs'!$B$32,'Inputs'!$B$30+'Inputs'!$B$31+'Inputs'!$B$32)/1000+'Inputs'!$B$21+'Inputs'!$B$9+'Inputs'!$B$10)+'Inputs'!$B$7)^2+('Inputs'!$B$6/2)^2)-(((535-43)*MAX('Inputs'!$B$33,'Inputs'!$B$29+'Inputs'!$B$31+'Inputs'!$B$32,'Inputs'!$B$30+'Inputs'!$B$31+'Inputs'!$B$32)/1000+'Inputs'!$B$21+'Inputs'!$B$9+'Inputs'!$B$10))/SQRT((((535-43)*MAX('Inputs'!$B$33,'Inputs'!$B$29+'Inputs'!$B$31+'Inputs'!$B$32,'Inputs'!$B$30+'Inputs'!$B$31+'Inputs'!$B$32)/1000+'Inputs'!$B$21+'Inputs'!$B$9+'Inputs'!$B$10))^2+('Inputs'!$B$6/2)^2))))*'Results'!$B$8)+'Inputs'!$B$28*ABS((('Results'!C7*(1+'Inputs'!$B$24)*(0.5*((((535-43)*MAX('Inputs'!$B$33,'Inputs'!$B$29+'Inputs'!$B$31+'Inputs'!$B$32,'Inputs'!$B$30+'Inputs'!$B$31+'Inputs'!$B$32)/1000+'Inputs'!$B$21)+'Inputs'!$B$9)/SQRT((((535-43)*MAX('Inputs'!$B$33,'Inputs'!$B$29+'Inputs'!$B$31+'Inputs'!$B$32,'Inputs'!$B$30+'Inputs'!$B$31+'Inputs'!$B$32)/1000+'Inputs'!$B$21)+'Inputs'!$B$9)^2+('Inputs'!$B$8/2)^2)-(((535-43)*MAX('Inputs'!$B$33,'Inputs'!$B$29+'Inputs'!$B$31+'Inputs'!$B$32,'Inputs'!$B$30+'Inputs'!$B$31+'Inputs'!$B$32)/1000+'Inputs'!$B$21))/SQRT((((535-43)*MAX('Inputs'!$B$33,'Inputs'!$B$29+'Inputs'!$B$31+'Inputs'!$B$32,'Inputs'!$B$30+'Inputs'!$B$31+'Inputs'!$B$32)/1000+'Inputs'!$B$21))^2+('Inputs'!$B$8/2)^2)))-'Results'!B7*(1-'Inputs'!$B$24)*(0.5*((((535-43)*MAX('Inputs'!$B$33,'Inputs'!$B$29+'Inputs'!$B$31+'Inputs'!$B$32,'Inputs'!$B$30+'Inputs'!$B$31+'Inputs'!$B$32)/1000+'Inputs'!$B$21+'Inputs'!$B$9+'Inputs'!$B$10)+'Inputs'!$B$7)/SQRT((((535-43)*MAX('Inputs'!$B$33,'Inputs'!$B$29+'Inputs'!$B$31+'Inputs'!$B$32,'Inputs'!$B$30+'Inputs'!$B$31+'Inputs'!$B$32)/1000+'Inputs'!$B$21+'Inputs'!$B$9+'Inputs'!$B$10)+'Inputs'!$B$7)^2+('Inputs'!$B$6/2)^2)-(((535-43)*MAX('Inputs'!$B$33,'Inputs'!$B$29+'Inputs'!$B$31+'Inputs'!$B$32,'Inputs'!$B$30+'Inputs'!$B$31+'Inputs'!$B$32)/1000+'Inputs'!$B$21+'Inputs'!$B$9+'Inputs'!$B$10))/SQRT((((535-43)*MAX('Inputs'!$B$33,'Inputs'!$B$29+'Inputs'!$B$31+'Inputs'!$B$32,'Inputs'!$B$30+'Inputs'!$B$31+'Inputs'!$B$32)/1000+'Inputs'!$B$21+'Inputs'!$B$9+'Inputs'!$B$10))^2+('Inputs'!$B$6/2)^2))))*'Results'!$B$8))),"")</x:f>
        <x:v>4.632848138363392</x:v>
      </x:c>
      <x:c r="P535" t="n">
        <x:f>IF(AND(MAX(J535,J534)&gt;0,J535&gt;J534+0.00000001),1,0)</x:f>
        <x:v>0</x:v>
      </x:c>
      <x:c r="Q535" t="n">
        <x:f>IF(AND(MAX(K535,K534)&gt;0,K535&gt;K534+0.00000001),1,0)</x:f>
        <x:v>0</x:v>
      </x:c>
      <x:c r="R535" t="n">
        <x:f>IF(AND(MAX(L535,L534)&gt;0,L535&gt;L534+0.00000001),1,0)</x:f>
        <x:v>0</x:v>
      </x:c>
      <x:c r="S535" t="n">
        <x:f>IF(AND(MAX(M535,M534)&gt;0,M535&gt;M534+0.00000001),1,0)</x:f>
        <x:v>0</x:v>
      </x:c>
      <x:c r="T535" t="n">
        <x:f>IF(AND(MAX(N535,N534)&gt;0,N535&gt;N534+0.00000001),1,0)</x:f>
        <x:v>0</x:v>
      </x:c>
      <x:c r="U535" t="n">
        <x:f>IF(AND(MAX(O535,O534)&gt;0,O535&gt;O534+0.00000001),1,0)</x:f>
        <x:v>0</x:v>
      </x:c>
    </x:row>
    <x:row r="536">
      <x:c r="J536" t="n">
        <x:f>IF(AND(ISNUMBER('Results'!B7),ISNUMBER('Results'!C7),ISNUMBER('Results'!$B$8),ISNUMBER('Inputs'!$B$6),ISNUMBER('Inputs'!$B$7),ISNUMBER('Inputs'!$B$8),ISNUMBER('Inputs'!$B$9),ISNUMBER('Inputs'!$B$10),ISNUMBER('Inputs'!$B$21),ISNUMBER('Inputs'!$B$24),ISNUMBER('Inputs'!$B$28)),(('Results'!B7*(0.5*((((536-43)*MAX('Inputs'!$B$33,'Inputs'!$B$29+'Inputs'!$B$31+'Inputs'!$B$32,'Inputs'!$B$30+'Inputs'!$B$31+'Inputs'!$B$32)/1000+'Inputs'!$B$21)+'Inputs'!$B$7)/SQRT((((536-43)*MAX('Inputs'!$B$33,'Inputs'!$B$29+'Inputs'!$B$31+'Inputs'!$B$32,'Inputs'!$B$30+'Inputs'!$B$31+'Inputs'!$B$32)/1000+'Inputs'!$B$21)+'Inputs'!$B$7)^2+('Inputs'!$B$6/2)^2)-(((536-43)*MAX('Inputs'!$B$33,'Inputs'!$B$29+'Inputs'!$B$31+'Inputs'!$B$32,'Inputs'!$B$30+'Inputs'!$B$31+'Inputs'!$B$32)/1000+'Inputs'!$B$21))/SQRT((((536-43)*MAX('Inputs'!$B$33,'Inputs'!$B$29+'Inputs'!$B$31+'Inputs'!$B$32,'Inputs'!$B$30+'Inputs'!$B$31+'Inputs'!$B$32)/1000+'Inputs'!$B$21))^2+('Inputs'!$B$6/2)^2)))-'Results'!C7*(0.5*((((536-43)*MAX('Inputs'!$B$33,'Inputs'!$B$29+'Inputs'!$B$31+'Inputs'!$B$32,'Inputs'!$B$30+'Inputs'!$B$31+'Inputs'!$B$32)/1000+'Inputs'!$B$21+'Inputs'!$B$7+'Inputs'!$B$10)+'Inputs'!$B$9)/SQRT((((536-43)*MAX('Inputs'!$B$33,'Inputs'!$B$29+'Inputs'!$B$31+'Inputs'!$B$32,'Inputs'!$B$30+'Inputs'!$B$31+'Inputs'!$B$32)/1000+'Inputs'!$B$21+'Inputs'!$B$7+'Inputs'!$B$10)+'Inputs'!$B$9)^2+('Inputs'!$B$8/2)^2)-(((536-43)*MAX('Inputs'!$B$33,'Inputs'!$B$29+'Inputs'!$B$31+'Inputs'!$B$32,'Inputs'!$B$30+'Inputs'!$B$31+'Inputs'!$B$32)/1000+'Inputs'!$B$21+'Inputs'!$B$7+'Inputs'!$B$10))/SQRT((((536-43)*MAX('Inputs'!$B$33,'Inputs'!$B$29+'Inputs'!$B$31+'Inputs'!$B$32,'Inputs'!$B$30+'Inputs'!$B$31+'Inputs'!$B$32)/1000+'Inputs'!$B$21+'Inputs'!$B$7+'Inputs'!$B$10))^2+('Inputs'!$B$8/2)^2))))*'Results'!$B$8),"")</x:f>
        <x:v>4.385620028172735</x:v>
      </x:c>
      <x:c r="K536" t="n">
        <x:f>IF(AND(ISNUMBER('Results'!B7),ISNUMBER('Results'!C7),ISNUMBER('Results'!$B$8),ISNUMBER('Inputs'!$B$6),ISNUMBER('Inputs'!$B$7),ISNUMBER('Inputs'!$B$8),ISNUMBER('Inputs'!$B$9),ISNUMBER('Inputs'!$B$10),ISNUMBER('Inputs'!$B$21),ISNUMBER('Inputs'!$B$24),ISNUMBER('Inputs'!$B$28)),((('Results'!B7*(1-'Inputs'!$B$24)*(0.5*((((536-43)*MAX('Inputs'!$B$33,'Inputs'!$B$29+'Inputs'!$B$31+'Inputs'!$B$32,'Inputs'!$B$30+'Inputs'!$B$31+'Inputs'!$B$32)/1000+'Inputs'!$B$21)+'Inputs'!$B$7)/SQRT((((536-43)*MAX('Inputs'!$B$33,'Inputs'!$B$29+'Inputs'!$B$31+'Inputs'!$B$32,'Inputs'!$B$30+'Inputs'!$B$31+'Inputs'!$B$32)/1000+'Inputs'!$B$21)+'Inputs'!$B$7)^2+('Inputs'!$B$6/2)^2)-(((536-43)*MAX('Inputs'!$B$33,'Inputs'!$B$29+'Inputs'!$B$31+'Inputs'!$B$32,'Inputs'!$B$30+'Inputs'!$B$31+'Inputs'!$B$32)/1000+'Inputs'!$B$21))/SQRT((((536-43)*MAX('Inputs'!$B$33,'Inputs'!$B$29+'Inputs'!$B$31+'Inputs'!$B$32,'Inputs'!$B$30+'Inputs'!$B$31+'Inputs'!$B$32)/1000+'Inputs'!$B$21))^2+('Inputs'!$B$6/2)^2)))-'Results'!C7*(1+'Inputs'!$B$24)*(0.5*((((536-43)*MAX('Inputs'!$B$33,'Inputs'!$B$29+'Inputs'!$B$31+'Inputs'!$B$32,'Inputs'!$B$30+'Inputs'!$B$31+'Inputs'!$B$32)/1000+'Inputs'!$B$21+'Inputs'!$B$7+'Inputs'!$B$10)+'Inputs'!$B$9)/SQRT((((536-43)*MAX('Inputs'!$B$33,'Inputs'!$B$29+'Inputs'!$B$31+'Inputs'!$B$32,'Inputs'!$B$30+'Inputs'!$B$31+'Inputs'!$B$32)/1000+'Inputs'!$B$21+'Inputs'!$B$7+'Inputs'!$B$10)+'Inputs'!$B$9)^2+('Inputs'!$B$8/2)^2)-(((536-43)*MAX('Inputs'!$B$33,'Inputs'!$B$29+'Inputs'!$B$31+'Inputs'!$B$32,'Inputs'!$B$30+'Inputs'!$B$31+'Inputs'!$B$32)/1000+'Inputs'!$B$21+'Inputs'!$B$7+'Inputs'!$B$10))/SQRT((((536-43)*MAX('Inputs'!$B$33,'Inputs'!$B$29+'Inputs'!$B$31+'Inputs'!$B$32,'Inputs'!$B$30+'Inputs'!$B$31+'Inputs'!$B$32)/1000+'Inputs'!$B$21+'Inputs'!$B$7+'Inputs'!$B$10))^2+('Inputs'!$B$8/2)^2))))*'Results'!$B$8)-'Inputs'!$B$28*ABS((('Results'!B7*(1-'Inputs'!$B$24)*(0.5*((((536-43)*MAX('Inputs'!$B$33,'Inputs'!$B$29+'Inputs'!$B$31+'Inputs'!$B$32,'Inputs'!$B$30+'Inputs'!$B$31+'Inputs'!$B$32)/1000+'Inputs'!$B$21)+'Inputs'!$B$7)/SQRT((((536-43)*MAX('Inputs'!$B$33,'Inputs'!$B$29+'Inputs'!$B$31+'Inputs'!$B$32,'Inputs'!$B$30+'Inputs'!$B$31+'Inputs'!$B$32)/1000+'Inputs'!$B$21)+'Inputs'!$B$7)^2+('Inputs'!$B$6/2)^2)-(((536-43)*MAX('Inputs'!$B$33,'Inputs'!$B$29+'Inputs'!$B$31+'Inputs'!$B$32,'Inputs'!$B$30+'Inputs'!$B$31+'Inputs'!$B$32)/1000+'Inputs'!$B$21))/SQRT((((536-43)*MAX('Inputs'!$B$33,'Inputs'!$B$29+'Inputs'!$B$31+'Inputs'!$B$32,'Inputs'!$B$30+'Inputs'!$B$31+'Inputs'!$B$32)/1000+'Inputs'!$B$21))^2+('Inputs'!$B$6/2)^2)))-'Results'!C7*(1+'Inputs'!$B$24)*(0.5*((((536-43)*MAX('Inputs'!$B$33,'Inputs'!$B$29+'Inputs'!$B$31+'Inputs'!$B$32,'Inputs'!$B$30+'Inputs'!$B$31+'Inputs'!$B$32)/1000+'Inputs'!$B$21+'Inputs'!$B$7+'Inputs'!$B$10)+'Inputs'!$B$9)/SQRT((((536-43)*MAX('Inputs'!$B$33,'Inputs'!$B$29+'Inputs'!$B$31+'Inputs'!$B$32,'Inputs'!$B$30+'Inputs'!$B$31+'Inputs'!$B$32)/1000+'Inputs'!$B$21+'Inputs'!$B$7+'Inputs'!$B$10)+'Inputs'!$B$9)^2+('Inputs'!$B$8/2)^2)-(((536-43)*MAX('Inputs'!$B$33,'Inputs'!$B$29+'Inputs'!$B$31+'Inputs'!$B$32,'Inputs'!$B$30+'Inputs'!$B$31+'Inputs'!$B$32)/1000+'Inputs'!$B$21+'Inputs'!$B$7+'Inputs'!$B$10))/SQRT((((536-43)*MAX('Inputs'!$B$33,'Inputs'!$B$29+'Inputs'!$B$31+'Inputs'!$B$32,'Inputs'!$B$30+'Inputs'!$B$31+'Inputs'!$B$32)/1000+'Inputs'!$B$21+'Inputs'!$B$7+'Inputs'!$B$10))^2+('Inputs'!$B$8/2)^2))))*'Results'!$B$8))),"")</x:f>
        <x:v>3.8868184877215075</x:v>
      </x:c>
      <x:c r="L536" t="n">
        <x:f>IF(AND(ISNUMBER('Results'!B7),ISNUMBER('Results'!C7),ISNUMBER('Results'!$B$8),ISNUMBER('Inputs'!$B$6),ISNUMBER('Inputs'!$B$7),ISNUMBER('Inputs'!$B$8),ISNUMBER('Inputs'!$B$9),ISNUMBER('Inputs'!$B$10),ISNUMBER('Inputs'!$B$21),ISNUMBER('Inputs'!$B$24),ISNUMBER('Inputs'!$B$28)),((('Results'!B7*(1+'Inputs'!$B$24)*(0.5*((((536-43)*MAX('Inputs'!$B$33,'Inputs'!$B$29+'Inputs'!$B$31+'Inputs'!$B$32,'Inputs'!$B$30+'Inputs'!$B$31+'Inputs'!$B$32)/1000+'Inputs'!$B$21)+'Inputs'!$B$7)/SQRT((((536-43)*MAX('Inputs'!$B$33,'Inputs'!$B$29+'Inputs'!$B$31+'Inputs'!$B$32,'Inputs'!$B$30+'Inputs'!$B$31+'Inputs'!$B$32)/1000+'Inputs'!$B$21)+'Inputs'!$B$7)^2+('Inputs'!$B$6/2)^2)-(((536-43)*MAX('Inputs'!$B$33,'Inputs'!$B$29+'Inputs'!$B$31+'Inputs'!$B$32,'Inputs'!$B$30+'Inputs'!$B$31+'Inputs'!$B$32)/1000+'Inputs'!$B$21))/SQRT((((536-43)*MAX('Inputs'!$B$33,'Inputs'!$B$29+'Inputs'!$B$31+'Inputs'!$B$32,'Inputs'!$B$30+'Inputs'!$B$31+'Inputs'!$B$32)/1000+'Inputs'!$B$21))^2+('Inputs'!$B$6/2)^2)))-'Results'!C7*(1-'Inputs'!$B$24)*(0.5*((((536-43)*MAX('Inputs'!$B$33,'Inputs'!$B$29+'Inputs'!$B$31+'Inputs'!$B$32,'Inputs'!$B$30+'Inputs'!$B$31+'Inputs'!$B$32)/1000+'Inputs'!$B$21+'Inputs'!$B$7+'Inputs'!$B$10)+'Inputs'!$B$9)/SQRT((((536-43)*MAX('Inputs'!$B$33,'Inputs'!$B$29+'Inputs'!$B$31+'Inputs'!$B$32,'Inputs'!$B$30+'Inputs'!$B$31+'Inputs'!$B$32)/1000+'Inputs'!$B$21+'Inputs'!$B$7+'Inputs'!$B$10)+'Inputs'!$B$9)^2+('Inputs'!$B$8/2)^2)-(((536-43)*MAX('Inputs'!$B$33,'Inputs'!$B$29+'Inputs'!$B$31+'Inputs'!$B$32,'Inputs'!$B$30+'Inputs'!$B$31+'Inputs'!$B$32)/1000+'Inputs'!$B$21+'Inputs'!$B$7+'Inputs'!$B$10))/SQRT((((536-43)*MAX('Inputs'!$B$33,'Inputs'!$B$29+'Inputs'!$B$31+'Inputs'!$B$32,'Inputs'!$B$30+'Inputs'!$B$31+'Inputs'!$B$32)/1000+'Inputs'!$B$21+'Inputs'!$B$7+'Inputs'!$B$10))^2+('Inputs'!$B$8/2)^2))))*'Results'!$B$8)+'Inputs'!$B$28*ABS((('Results'!B7*(1+'Inputs'!$B$24)*(0.5*((((536-43)*MAX('Inputs'!$B$33,'Inputs'!$B$29+'Inputs'!$B$31+'Inputs'!$B$32,'Inputs'!$B$30+'Inputs'!$B$31+'Inputs'!$B$32)/1000+'Inputs'!$B$21)+'Inputs'!$B$7)/SQRT((((536-43)*MAX('Inputs'!$B$33,'Inputs'!$B$29+'Inputs'!$B$31+'Inputs'!$B$32,'Inputs'!$B$30+'Inputs'!$B$31+'Inputs'!$B$32)/1000+'Inputs'!$B$21)+'Inputs'!$B$7)^2+('Inputs'!$B$6/2)^2)-(((536-43)*MAX('Inputs'!$B$33,'Inputs'!$B$29+'Inputs'!$B$31+'Inputs'!$B$32,'Inputs'!$B$30+'Inputs'!$B$31+'Inputs'!$B$32)/1000+'Inputs'!$B$21))/SQRT((((536-43)*MAX('Inputs'!$B$33,'Inputs'!$B$29+'Inputs'!$B$31+'Inputs'!$B$32,'Inputs'!$B$30+'Inputs'!$B$31+'Inputs'!$B$32)/1000+'Inputs'!$B$21))^2+('Inputs'!$B$6/2)^2)))-'Results'!C7*(1-'Inputs'!$B$24)*(0.5*((((536-43)*MAX('Inputs'!$B$33,'Inputs'!$B$29+'Inputs'!$B$31+'Inputs'!$B$32,'Inputs'!$B$30+'Inputs'!$B$31+'Inputs'!$B$32)/1000+'Inputs'!$B$21+'Inputs'!$B$7+'Inputs'!$B$10)+'Inputs'!$B$9)/SQRT((((536-43)*MAX('Inputs'!$B$33,'Inputs'!$B$29+'Inputs'!$B$31+'Inputs'!$B$32,'Inputs'!$B$30+'Inputs'!$B$31+'Inputs'!$B$32)/1000+'Inputs'!$B$21+'Inputs'!$B$7+'Inputs'!$B$10)+'Inputs'!$B$9)^2+('Inputs'!$B$8/2)^2)-(((536-43)*MAX('Inputs'!$B$33,'Inputs'!$B$29+'Inputs'!$B$31+'Inputs'!$B$32,'Inputs'!$B$30+'Inputs'!$B$31+'Inputs'!$B$32)/1000+'Inputs'!$B$21+'Inputs'!$B$7+'Inputs'!$B$10))/SQRT((((536-43)*MAX('Inputs'!$B$33,'Inputs'!$B$29+'Inputs'!$B$31+'Inputs'!$B$32,'Inputs'!$B$30+'Inputs'!$B$31+'Inputs'!$B$32)/1000+'Inputs'!$B$21+'Inputs'!$B$7+'Inputs'!$B$10))^2+('Inputs'!$B$8/2)^2))))*'Results'!$B$8))),"")</x:f>
        <x:v>4.913844783260025</x:v>
      </x:c>
      <x:c r="M536" t="n">
        <x:f>IF(AND(ISNUMBER('Results'!C7),ISNUMBER('Results'!B7),ISNUMBER('Results'!$B$8),ISNUMBER('Inputs'!$B$6),ISNUMBER('Inputs'!$B$7),ISNUMBER('Inputs'!$B$8),ISNUMBER('Inputs'!$B$9),ISNUMBER('Inputs'!$B$10),ISNUMBER('Inputs'!$B$21),ISNUMBER('Inputs'!$B$24),ISNUMBER('Inputs'!$B$28)),(('Results'!C7*(0.5*((((536-43)*MAX('Inputs'!$B$33,'Inputs'!$B$29+'Inputs'!$B$31+'Inputs'!$B$32,'Inputs'!$B$30+'Inputs'!$B$31+'Inputs'!$B$32)/1000+'Inputs'!$B$21)+'Inputs'!$B$9)/SQRT((((536-43)*MAX('Inputs'!$B$33,'Inputs'!$B$29+'Inputs'!$B$31+'Inputs'!$B$32,'Inputs'!$B$30+'Inputs'!$B$31+'Inputs'!$B$32)/1000+'Inputs'!$B$21)+'Inputs'!$B$9)^2+('Inputs'!$B$8/2)^2)-(((536-43)*MAX('Inputs'!$B$33,'Inputs'!$B$29+'Inputs'!$B$31+'Inputs'!$B$32,'Inputs'!$B$30+'Inputs'!$B$31+'Inputs'!$B$32)/1000+'Inputs'!$B$21))/SQRT((((536-43)*MAX('Inputs'!$B$33,'Inputs'!$B$29+'Inputs'!$B$31+'Inputs'!$B$32,'Inputs'!$B$30+'Inputs'!$B$31+'Inputs'!$B$32)/1000+'Inputs'!$B$21))^2+('Inputs'!$B$8/2)^2)))-'Results'!B7*(0.5*((((536-43)*MAX('Inputs'!$B$33,'Inputs'!$B$29+'Inputs'!$B$31+'Inputs'!$B$32,'Inputs'!$B$30+'Inputs'!$B$31+'Inputs'!$B$32)/1000+'Inputs'!$B$21+'Inputs'!$B$9+'Inputs'!$B$10)+'Inputs'!$B$7)/SQRT((((536-43)*MAX('Inputs'!$B$33,'Inputs'!$B$29+'Inputs'!$B$31+'Inputs'!$B$32,'Inputs'!$B$30+'Inputs'!$B$31+'Inputs'!$B$32)/1000+'Inputs'!$B$21+'Inputs'!$B$9+'Inputs'!$B$10)+'Inputs'!$B$7)^2+('Inputs'!$B$6/2)^2)-(((536-43)*MAX('Inputs'!$B$33,'Inputs'!$B$29+'Inputs'!$B$31+'Inputs'!$B$32,'Inputs'!$B$30+'Inputs'!$B$31+'Inputs'!$B$32)/1000+'Inputs'!$B$21+'Inputs'!$B$9+'Inputs'!$B$10))/SQRT((((536-43)*MAX('Inputs'!$B$33,'Inputs'!$B$29+'Inputs'!$B$31+'Inputs'!$B$32,'Inputs'!$B$30+'Inputs'!$B$31+'Inputs'!$B$32)/1000+'Inputs'!$B$21+'Inputs'!$B$9+'Inputs'!$B$10))^2+('Inputs'!$B$6/2)^2))))*'Results'!$B$8),"")</x:f>
        <x:v>4.0892805374672445</x:v>
      </x:c>
      <x:c r="N536" t="n">
        <x:f>IF(AND(ISNUMBER('Results'!C7),ISNUMBER('Results'!B7),ISNUMBER('Results'!$B$8),ISNUMBER('Inputs'!$B$6),ISNUMBER('Inputs'!$B$7),ISNUMBER('Inputs'!$B$8),ISNUMBER('Inputs'!$B$9),ISNUMBER('Inputs'!$B$10),ISNUMBER('Inputs'!$B$21),ISNUMBER('Inputs'!$B$24),ISNUMBER('Inputs'!$B$28)),((('Results'!C7*(1-'Inputs'!$B$24)*(0.5*((((536-43)*MAX('Inputs'!$B$33,'Inputs'!$B$29+'Inputs'!$B$31+'Inputs'!$B$32,'Inputs'!$B$30+'Inputs'!$B$31+'Inputs'!$B$32)/1000+'Inputs'!$B$21)+'Inputs'!$B$9)/SQRT((((536-43)*MAX('Inputs'!$B$33,'Inputs'!$B$29+'Inputs'!$B$31+'Inputs'!$B$32,'Inputs'!$B$30+'Inputs'!$B$31+'Inputs'!$B$32)/1000+'Inputs'!$B$21)+'Inputs'!$B$9)^2+('Inputs'!$B$8/2)^2)-(((536-43)*MAX('Inputs'!$B$33,'Inputs'!$B$29+'Inputs'!$B$31+'Inputs'!$B$32,'Inputs'!$B$30+'Inputs'!$B$31+'Inputs'!$B$32)/1000+'Inputs'!$B$21))/SQRT((((536-43)*MAX('Inputs'!$B$33,'Inputs'!$B$29+'Inputs'!$B$31+'Inputs'!$B$32,'Inputs'!$B$30+'Inputs'!$B$31+'Inputs'!$B$32)/1000+'Inputs'!$B$21))^2+('Inputs'!$B$8/2)^2)))-'Results'!B7*(1+'Inputs'!$B$24)*(0.5*((((536-43)*MAX('Inputs'!$B$33,'Inputs'!$B$29+'Inputs'!$B$31+'Inputs'!$B$32,'Inputs'!$B$30+'Inputs'!$B$31+'Inputs'!$B$32)/1000+'Inputs'!$B$21+'Inputs'!$B$9+'Inputs'!$B$10)+'Inputs'!$B$7)/SQRT((((536-43)*MAX('Inputs'!$B$33,'Inputs'!$B$29+'Inputs'!$B$31+'Inputs'!$B$32,'Inputs'!$B$30+'Inputs'!$B$31+'Inputs'!$B$32)/1000+'Inputs'!$B$21+'Inputs'!$B$9+'Inputs'!$B$10)+'Inputs'!$B$7)^2+('Inputs'!$B$6/2)^2)-(((536-43)*MAX('Inputs'!$B$33,'Inputs'!$B$29+'Inputs'!$B$31+'Inputs'!$B$32,'Inputs'!$B$30+'Inputs'!$B$31+'Inputs'!$B$32)/1000+'Inputs'!$B$21+'Inputs'!$B$9+'Inputs'!$B$10))/SQRT((((536-43)*MAX('Inputs'!$B$33,'Inputs'!$B$29+'Inputs'!$B$31+'Inputs'!$B$32,'Inputs'!$B$30+'Inputs'!$B$31+'Inputs'!$B$32)/1000+'Inputs'!$B$21+'Inputs'!$B$9+'Inputs'!$B$10))^2+('Inputs'!$B$6/2)^2))))*'Results'!$B$8)-'Inputs'!$B$28*ABS((('Results'!C7*(1-'Inputs'!$B$24)*(0.5*((((536-43)*MAX('Inputs'!$B$33,'Inputs'!$B$29+'Inputs'!$B$31+'Inputs'!$B$32,'Inputs'!$B$30+'Inputs'!$B$31+'Inputs'!$B$32)/1000+'Inputs'!$B$21)+'Inputs'!$B$9)/SQRT((((536-43)*MAX('Inputs'!$B$33,'Inputs'!$B$29+'Inputs'!$B$31+'Inputs'!$B$32,'Inputs'!$B$30+'Inputs'!$B$31+'Inputs'!$B$32)/1000+'Inputs'!$B$21)+'Inputs'!$B$9)^2+('Inputs'!$B$8/2)^2)-(((536-43)*MAX('Inputs'!$B$33,'Inputs'!$B$29+'Inputs'!$B$31+'Inputs'!$B$32,'Inputs'!$B$30+'Inputs'!$B$31+'Inputs'!$B$32)/1000+'Inputs'!$B$21))/SQRT((((536-43)*MAX('Inputs'!$B$33,'Inputs'!$B$29+'Inputs'!$B$31+'Inputs'!$B$32,'Inputs'!$B$30+'Inputs'!$B$31+'Inputs'!$B$32)/1000+'Inputs'!$B$21))^2+('Inputs'!$B$8/2)^2)))-'Results'!B7*(1+'Inputs'!$B$24)*(0.5*((((536-43)*MAX('Inputs'!$B$33,'Inputs'!$B$29+'Inputs'!$B$31+'Inputs'!$B$32,'Inputs'!$B$30+'Inputs'!$B$31+'Inputs'!$B$32)/1000+'Inputs'!$B$21+'Inputs'!$B$9+'Inputs'!$B$10)+'Inputs'!$B$7)/SQRT((((536-43)*MAX('Inputs'!$B$33,'Inputs'!$B$29+'Inputs'!$B$31+'Inputs'!$B$32,'Inputs'!$B$30+'Inputs'!$B$31+'Inputs'!$B$32)/1000+'Inputs'!$B$21+'Inputs'!$B$9+'Inputs'!$B$10)+'Inputs'!$B$7)^2+('Inputs'!$B$6/2)^2)-(((536-43)*MAX('Inputs'!$B$33,'Inputs'!$B$29+'Inputs'!$B$31+'Inputs'!$B$32,'Inputs'!$B$30+'Inputs'!$B$31+'Inputs'!$B$32)/1000+'Inputs'!$B$21+'Inputs'!$B$9+'Inputs'!$B$10))/SQRT((((536-43)*MAX('Inputs'!$B$33,'Inputs'!$B$29+'Inputs'!$B$31+'Inputs'!$B$32,'Inputs'!$B$30+'Inputs'!$B$31+'Inputs'!$B$32)/1000+'Inputs'!$B$21+'Inputs'!$B$9+'Inputs'!$B$10))^2+('Inputs'!$B$6/2)^2))))*'Results'!$B$8))),"")</x:f>
        <x:v>3.6069224676194422</x:v>
      </x:c>
      <x:c r="O536" t="n">
        <x:f>IF(AND(ISNUMBER('Results'!C7),ISNUMBER('Results'!B7),ISNUMBER('Results'!$B$8),ISNUMBER('Inputs'!$B$6),ISNUMBER('Inputs'!$B$7),ISNUMBER('Inputs'!$B$8),ISNUMBER('Inputs'!$B$9),ISNUMBER('Inputs'!$B$10),ISNUMBER('Inputs'!$B$21),ISNUMBER('Inputs'!$B$24),ISNUMBER('Inputs'!$B$28)),((('Results'!C7*(1+'Inputs'!$B$24)*(0.5*((((536-43)*MAX('Inputs'!$B$33,'Inputs'!$B$29+'Inputs'!$B$31+'Inputs'!$B$32,'Inputs'!$B$30+'Inputs'!$B$31+'Inputs'!$B$32)/1000+'Inputs'!$B$21)+'Inputs'!$B$9)/SQRT((((536-43)*MAX('Inputs'!$B$33,'Inputs'!$B$29+'Inputs'!$B$31+'Inputs'!$B$32,'Inputs'!$B$30+'Inputs'!$B$31+'Inputs'!$B$32)/1000+'Inputs'!$B$21)+'Inputs'!$B$9)^2+('Inputs'!$B$8/2)^2)-(((536-43)*MAX('Inputs'!$B$33,'Inputs'!$B$29+'Inputs'!$B$31+'Inputs'!$B$32,'Inputs'!$B$30+'Inputs'!$B$31+'Inputs'!$B$32)/1000+'Inputs'!$B$21))/SQRT((((536-43)*MAX('Inputs'!$B$33,'Inputs'!$B$29+'Inputs'!$B$31+'Inputs'!$B$32,'Inputs'!$B$30+'Inputs'!$B$31+'Inputs'!$B$32)/1000+'Inputs'!$B$21))^2+('Inputs'!$B$8/2)^2)))-'Results'!B7*(1-'Inputs'!$B$24)*(0.5*((((536-43)*MAX('Inputs'!$B$33,'Inputs'!$B$29+'Inputs'!$B$31+'Inputs'!$B$32,'Inputs'!$B$30+'Inputs'!$B$31+'Inputs'!$B$32)/1000+'Inputs'!$B$21+'Inputs'!$B$9+'Inputs'!$B$10)+'Inputs'!$B$7)/SQRT((((536-43)*MAX('Inputs'!$B$33,'Inputs'!$B$29+'Inputs'!$B$31+'Inputs'!$B$32,'Inputs'!$B$30+'Inputs'!$B$31+'Inputs'!$B$32)/1000+'Inputs'!$B$21+'Inputs'!$B$9+'Inputs'!$B$10)+'Inputs'!$B$7)^2+('Inputs'!$B$6/2)^2)-(((536-43)*MAX('Inputs'!$B$33,'Inputs'!$B$29+'Inputs'!$B$31+'Inputs'!$B$32,'Inputs'!$B$30+'Inputs'!$B$31+'Inputs'!$B$32)/1000+'Inputs'!$B$21+'Inputs'!$B$9+'Inputs'!$B$10))/SQRT((((536-43)*MAX('Inputs'!$B$33,'Inputs'!$B$29+'Inputs'!$B$31+'Inputs'!$B$32,'Inputs'!$B$30+'Inputs'!$B$31+'Inputs'!$B$32)/1000+'Inputs'!$B$21+'Inputs'!$B$9+'Inputs'!$B$10))^2+('Inputs'!$B$6/2)^2))))*'Results'!$B$8)+'Inputs'!$B$28*ABS((('Results'!C7*(1+'Inputs'!$B$24)*(0.5*((((536-43)*MAX('Inputs'!$B$33,'Inputs'!$B$29+'Inputs'!$B$31+'Inputs'!$B$32,'Inputs'!$B$30+'Inputs'!$B$31+'Inputs'!$B$32)/1000+'Inputs'!$B$21)+'Inputs'!$B$9)/SQRT((((536-43)*MAX('Inputs'!$B$33,'Inputs'!$B$29+'Inputs'!$B$31+'Inputs'!$B$32,'Inputs'!$B$30+'Inputs'!$B$31+'Inputs'!$B$32)/1000+'Inputs'!$B$21)+'Inputs'!$B$9)^2+('Inputs'!$B$8/2)^2)-(((536-43)*MAX('Inputs'!$B$33,'Inputs'!$B$29+'Inputs'!$B$31+'Inputs'!$B$32,'Inputs'!$B$30+'Inputs'!$B$31+'Inputs'!$B$32)/1000+'Inputs'!$B$21))/SQRT((((536-43)*MAX('Inputs'!$B$33,'Inputs'!$B$29+'Inputs'!$B$31+'Inputs'!$B$32,'Inputs'!$B$30+'Inputs'!$B$31+'Inputs'!$B$32)/1000+'Inputs'!$B$21))^2+('Inputs'!$B$8/2)^2)))-'Results'!B7*(1-'Inputs'!$B$24)*(0.5*((((536-43)*MAX('Inputs'!$B$33,'Inputs'!$B$29+'Inputs'!$B$31+'Inputs'!$B$32,'Inputs'!$B$30+'Inputs'!$B$31+'Inputs'!$B$32)/1000+'Inputs'!$B$21+'Inputs'!$B$9+'Inputs'!$B$10)+'Inputs'!$B$7)/SQRT((((536-43)*MAX('Inputs'!$B$33,'Inputs'!$B$29+'Inputs'!$B$31+'Inputs'!$B$32,'Inputs'!$B$30+'Inputs'!$B$31+'Inputs'!$B$32)/1000+'Inputs'!$B$21+'Inputs'!$B$9+'Inputs'!$B$10)+'Inputs'!$B$7)^2+('Inputs'!$B$6/2)^2)-(((536-43)*MAX('Inputs'!$B$33,'Inputs'!$B$29+'Inputs'!$B$31+'Inputs'!$B$32,'Inputs'!$B$30+'Inputs'!$B$31+'Inputs'!$B$32)/1000+'Inputs'!$B$21+'Inputs'!$B$9+'Inputs'!$B$10))/SQRT((((536-43)*MAX('Inputs'!$B$33,'Inputs'!$B$29+'Inputs'!$B$31+'Inputs'!$B$32,'Inputs'!$B$30+'Inputs'!$B$31+'Inputs'!$B$32)/1000+'Inputs'!$B$21+'Inputs'!$B$9+'Inputs'!$B$10))^2+('Inputs'!$B$6/2)^2))))*'Results'!$B$8))),"")</x:f>
        <x:v>4.60089061183867</x:v>
      </x:c>
      <x:c r="P536" t="n">
        <x:f>IF(AND(MAX(J536,J535)&gt;0,J536&gt;J535+0.00000001),1,0)</x:f>
        <x:v>0</x:v>
      </x:c>
      <x:c r="Q536" t="n">
        <x:f>IF(AND(MAX(K536,K535)&gt;0,K536&gt;K535+0.00000001),1,0)</x:f>
        <x:v>0</x:v>
      </x:c>
      <x:c r="R536" t="n">
        <x:f>IF(AND(MAX(L536,L535)&gt;0,L536&gt;L535+0.00000001),1,0)</x:f>
        <x:v>0</x:v>
      </x:c>
      <x:c r="S536" t="n">
        <x:f>IF(AND(MAX(M536,M535)&gt;0,M536&gt;M535+0.00000001),1,0)</x:f>
        <x:v>0</x:v>
      </x:c>
      <x:c r="T536" t="n">
        <x:f>IF(AND(MAX(N536,N535)&gt;0,N536&gt;N535+0.00000001),1,0)</x:f>
        <x:v>0</x:v>
      </x:c>
      <x:c r="U536" t="n">
        <x:f>IF(AND(MAX(O536,O535)&gt;0,O536&gt;O535+0.00000001),1,0)</x:f>
        <x:v>0</x:v>
      </x:c>
    </x:row>
    <x:row r="537">
      <x:c r="J537" t="n">
        <x:f>IF(AND(ISNUMBER('Results'!B7),ISNUMBER('Results'!C7),ISNUMBER('Results'!$B$8),ISNUMBER('Inputs'!$B$6),ISNUMBER('Inputs'!$B$7),ISNUMBER('Inputs'!$B$8),ISNUMBER('Inputs'!$B$9),ISNUMBER('Inputs'!$B$10),ISNUMBER('Inputs'!$B$21),ISNUMBER('Inputs'!$B$24),ISNUMBER('Inputs'!$B$28)),(('Results'!B7*(0.5*((((537-43)*MAX('Inputs'!$B$33,'Inputs'!$B$29+'Inputs'!$B$31+'Inputs'!$B$32,'Inputs'!$B$30+'Inputs'!$B$31+'Inputs'!$B$32)/1000+'Inputs'!$B$21)+'Inputs'!$B$7)/SQRT((((537-43)*MAX('Inputs'!$B$33,'Inputs'!$B$29+'Inputs'!$B$31+'Inputs'!$B$32,'Inputs'!$B$30+'Inputs'!$B$31+'Inputs'!$B$32)/1000+'Inputs'!$B$21)+'Inputs'!$B$7)^2+('Inputs'!$B$6/2)^2)-(((537-43)*MAX('Inputs'!$B$33,'Inputs'!$B$29+'Inputs'!$B$31+'Inputs'!$B$32,'Inputs'!$B$30+'Inputs'!$B$31+'Inputs'!$B$32)/1000+'Inputs'!$B$21))/SQRT((((537-43)*MAX('Inputs'!$B$33,'Inputs'!$B$29+'Inputs'!$B$31+'Inputs'!$B$32,'Inputs'!$B$30+'Inputs'!$B$31+'Inputs'!$B$32)/1000+'Inputs'!$B$21))^2+('Inputs'!$B$6/2)^2)))-'Results'!C7*(0.5*((((537-43)*MAX('Inputs'!$B$33,'Inputs'!$B$29+'Inputs'!$B$31+'Inputs'!$B$32,'Inputs'!$B$30+'Inputs'!$B$31+'Inputs'!$B$32)/1000+'Inputs'!$B$21+'Inputs'!$B$7+'Inputs'!$B$10)+'Inputs'!$B$9)/SQRT((((537-43)*MAX('Inputs'!$B$33,'Inputs'!$B$29+'Inputs'!$B$31+'Inputs'!$B$32,'Inputs'!$B$30+'Inputs'!$B$31+'Inputs'!$B$32)/1000+'Inputs'!$B$21+'Inputs'!$B$7+'Inputs'!$B$10)+'Inputs'!$B$9)^2+('Inputs'!$B$8/2)^2)-(((537-43)*MAX('Inputs'!$B$33,'Inputs'!$B$29+'Inputs'!$B$31+'Inputs'!$B$32,'Inputs'!$B$30+'Inputs'!$B$31+'Inputs'!$B$32)/1000+'Inputs'!$B$21+'Inputs'!$B$7+'Inputs'!$B$10))/SQRT((((537-43)*MAX('Inputs'!$B$33,'Inputs'!$B$29+'Inputs'!$B$31+'Inputs'!$B$32,'Inputs'!$B$30+'Inputs'!$B$31+'Inputs'!$B$32)/1000+'Inputs'!$B$21+'Inputs'!$B$7+'Inputs'!$B$10))^2+('Inputs'!$B$8/2)^2))))*'Results'!$B$8),"")</x:f>
        <x:v>4.355424835967426</x:v>
      </x:c>
      <x:c r="K537" t="n">
        <x:f>IF(AND(ISNUMBER('Results'!B7),ISNUMBER('Results'!C7),ISNUMBER('Results'!$B$8),ISNUMBER('Inputs'!$B$6),ISNUMBER('Inputs'!$B$7),ISNUMBER('Inputs'!$B$8),ISNUMBER('Inputs'!$B$9),ISNUMBER('Inputs'!$B$10),ISNUMBER('Inputs'!$B$21),ISNUMBER('Inputs'!$B$24),ISNUMBER('Inputs'!$B$28)),((('Results'!B7*(1-'Inputs'!$B$24)*(0.5*((((537-43)*MAX('Inputs'!$B$33,'Inputs'!$B$29+'Inputs'!$B$31+'Inputs'!$B$32,'Inputs'!$B$30+'Inputs'!$B$31+'Inputs'!$B$32)/1000+'Inputs'!$B$21)+'Inputs'!$B$7)/SQRT((((537-43)*MAX('Inputs'!$B$33,'Inputs'!$B$29+'Inputs'!$B$31+'Inputs'!$B$32,'Inputs'!$B$30+'Inputs'!$B$31+'Inputs'!$B$32)/1000+'Inputs'!$B$21)+'Inputs'!$B$7)^2+('Inputs'!$B$6/2)^2)-(((537-43)*MAX('Inputs'!$B$33,'Inputs'!$B$29+'Inputs'!$B$31+'Inputs'!$B$32,'Inputs'!$B$30+'Inputs'!$B$31+'Inputs'!$B$32)/1000+'Inputs'!$B$21))/SQRT((((537-43)*MAX('Inputs'!$B$33,'Inputs'!$B$29+'Inputs'!$B$31+'Inputs'!$B$32,'Inputs'!$B$30+'Inputs'!$B$31+'Inputs'!$B$32)/1000+'Inputs'!$B$21))^2+('Inputs'!$B$6/2)^2)))-'Results'!C7*(1+'Inputs'!$B$24)*(0.5*((((537-43)*MAX('Inputs'!$B$33,'Inputs'!$B$29+'Inputs'!$B$31+'Inputs'!$B$32,'Inputs'!$B$30+'Inputs'!$B$31+'Inputs'!$B$32)/1000+'Inputs'!$B$21+'Inputs'!$B$7+'Inputs'!$B$10)+'Inputs'!$B$9)/SQRT((((537-43)*MAX('Inputs'!$B$33,'Inputs'!$B$29+'Inputs'!$B$31+'Inputs'!$B$32,'Inputs'!$B$30+'Inputs'!$B$31+'Inputs'!$B$32)/1000+'Inputs'!$B$21+'Inputs'!$B$7+'Inputs'!$B$10)+'Inputs'!$B$9)^2+('Inputs'!$B$8/2)^2)-(((537-43)*MAX('Inputs'!$B$33,'Inputs'!$B$29+'Inputs'!$B$31+'Inputs'!$B$32,'Inputs'!$B$30+'Inputs'!$B$31+'Inputs'!$B$32)/1000+'Inputs'!$B$21+'Inputs'!$B$7+'Inputs'!$B$10))/SQRT((((537-43)*MAX('Inputs'!$B$33,'Inputs'!$B$29+'Inputs'!$B$31+'Inputs'!$B$32,'Inputs'!$B$30+'Inputs'!$B$31+'Inputs'!$B$32)/1000+'Inputs'!$B$21+'Inputs'!$B$7+'Inputs'!$B$10))^2+('Inputs'!$B$8/2)^2))))*'Results'!$B$8)-'Inputs'!$B$28*ABS((('Results'!B7*(1-'Inputs'!$B$24)*(0.5*((((537-43)*MAX('Inputs'!$B$33,'Inputs'!$B$29+'Inputs'!$B$31+'Inputs'!$B$32,'Inputs'!$B$30+'Inputs'!$B$31+'Inputs'!$B$32)/1000+'Inputs'!$B$21)+'Inputs'!$B$7)/SQRT((((537-43)*MAX('Inputs'!$B$33,'Inputs'!$B$29+'Inputs'!$B$31+'Inputs'!$B$32,'Inputs'!$B$30+'Inputs'!$B$31+'Inputs'!$B$32)/1000+'Inputs'!$B$21)+'Inputs'!$B$7)^2+('Inputs'!$B$6/2)^2)-(((537-43)*MAX('Inputs'!$B$33,'Inputs'!$B$29+'Inputs'!$B$31+'Inputs'!$B$32,'Inputs'!$B$30+'Inputs'!$B$31+'Inputs'!$B$32)/1000+'Inputs'!$B$21))/SQRT((((537-43)*MAX('Inputs'!$B$33,'Inputs'!$B$29+'Inputs'!$B$31+'Inputs'!$B$32,'Inputs'!$B$30+'Inputs'!$B$31+'Inputs'!$B$32)/1000+'Inputs'!$B$21))^2+('Inputs'!$B$6/2)^2)))-'Results'!C7*(1+'Inputs'!$B$24)*(0.5*((((537-43)*MAX('Inputs'!$B$33,'Inputs'!$B$29+'Inputs'!$B$31+'Inputs'!$B$32,'Inputs'!$B$30+'Inputs'!$B$31+'Inputs'!$B$32)/1000+'Inputs'!$B$21+'Inputs'!$B$7+'Inputs'!$B$10)+'Inputs'!$B$9)/SQRT((((537-43)*MAX('Inputs'!$B$33,'Inputs'!$B$29+'Inputs'!$B$31+'Inputs'!$B$32,'Inputs'!$B$30+'Inputs'!$B$31+'Inputs'!$B$32)/1000+'Inputs'!$B$21+'Inputs'!$B$7+'Inputs'!$B$10)+'Inputs'!$B$9)^2+('Inputs'!$B$8/2)^2)-(((537-43)*MAX('Inputs'!$B$33,'Inputs'!$B$29+'Inputs'!$B$31+'Inputs'!$B$32,'Inputs'!$B$30+'Inputs'!$B$31+'Inputs'!$B$32)/1000+'Inputs'!$B$21+'Inputs'!$B$7+'Inputs'!$B$10))/SQRT((((537-43)*MAX('Inputs'!$B$33,'Inputs'!$B$29+'Inputs'!$B$31+'Inputs'!$B$32,'Inputs'!$B$30+'Inputs'!$B$31+'Inputs'!$B$32)/1000+'Inputs'!$B$21+'Inputs'!$B$7+'Inputs'!$B$10))^2+('Inputs'!$B$8/2)^2))))*'Results'!$B$8))),"")</x:f>
        <x:v>3.8596282052576605</x:v>
      </x:c>
      <x:c r="L537" t="n">
        <x:f>IF(AND(ISNUMBER('Results'!B7),ISNUMBER('Results'!C7),ISNUMBER('Results'!$B$8),ISNUMBER('Inputs'!$B$6),ISNUMBER('Inputs'!$B$7),ISNUMBER('Inputs'!$B$8),ISNUMBER('Inputs'!$B$9),ISNUMBER('Inputs'!$B$10),ISNUMBER('Inputs'!$B$21),ISNUMBER('Inputs'!$B$24),ISNUMBER('Inputs'!$B$28)),((('Results'!B7*(1+'Inputs'!$B$24)*(0.5*((((537-43)*MAX('Inputs'!$B$33,'Inputs'!$B$29+'Inputs'!$B$31+'Inputs'!$B$32,'Inputs'!$B$30+'Inputs'!$B$31+'Inputs'!$B$32)/1000+'Inputs'!$B$21)+'Inputs'!$B$7)/SQRT((((537-43)*MAX('Inputs'!$B$33,'Inputs'!$B$29+'Inputs'!$B$31+'Inputs'!$B$32,'Inputs'!$B$30+'Inputs'!$B$31+'Inputs'!$B$32)/1000+'Inputs'!$B$21)+'Inputs'!$B$7)^2+('Inputs'!$B$6/2)^2)-(((537-43)*MAX('Inputs'!$B$33,'Inputs'!$B$29+'Inputs'!$B$31+'Inputs'!$B$32,'Inputs'!$B$30+'Inputs'!$B$31+'Inputs'!$B$32)/1000+'Inputs'!$B$21))/SQRT((((537-43)*MAX('Inputs'!$B$33,'Inputs'!$B$29+'Inputs'!$B$31+'Inputs'!$B$32,'Inputs'!$B$30+'Inputs'!$B$31+'Inputs'!$B$32)/1000+'Inputs'!$B$21))^2+('Inputs'!$B$6/2)^2)))-'Results'!C7*(1-'Inputs'!$B$24)*(0.5*((((537-43)*MAX('Inputs'!$B$33,'Inputs'!$B$29+'Inputs'!$B$31+'Inputs'!$B$32,'Inputs'!$B$30+'Inputs'!$B$31+'Inputs'!$B$32)/1000+'Inputs'!$B$21+'Inputs'!$B$7+'Inputs'!$B$10)+'Inputs'!$B$9)/SQRT((((537-43)*MAX('Inputs'!$B$33,'Inputs'!$B$29+'Inputs'!$B$31+'Inputs'!$B$32,'Inputs'!$B$30+'Inputs'!$B$31+'Inputs'!$B$32)/1000+'Inputs'!$B$21+'Inputs'!$B$7+'Inputs'!$B$10)+'Inputs'!$B$9)^2+('Inputs'!$B$8/2)^2)-(((537-43)*MAX('Inputs'!$B$33,'Inputs'!$B$29+'Inputs'!$B$31+'Inputs'!$B$32,'Inputs'!$B$30+'Inputs'!$B$31+'Inputs'!$B$32)/1000+'Inputs'!$B$21+'Inputs'!$B$7+'Inputs'!$B$10))/SQRT((((537-43)*MAX('Inputs'!$B$33,'Inputs'!$B$29+'Inputs'!$B$31+'Inputs'!$B$32,'Inputs'!$B$30+'Inputs'!$B$31+'Inputs'!$B$32)/1000+'Inputs'!$B$21+'Inputs'!$B$7+'Inputs'!$B$10))^2+('Inputs'!$B$8/2)^2))))*'Results'!$B$8)+'Inputs'!$B$28*ABS((('Results'!B7*(1+'Inputs'!$B$24)*(0.5*((((537-43)*MAX('Inputs'!$B$33,'Inputs'!$B$29+'Inputs'!$B$31+'Inputs'!$B$32,'Inputs'!$B$30+'Inputs'!$B$31+'Inputs'!$B$32)/1000+'Inputs'!$B$21)+'Inputs'!$B$7)/SQRT((((537-43)*MAX('Inputs'!$B$33,'Inputs'!$B$29+'Inputs'!$B$31+'Inputs'!$B$32,'Inputs'!$B$30+'Inputs'!$B$31+'Inputs'!$B$32)/1000+'Inputs'!$B$21)+'Inputs'!$B$7)^2+('Inputs'!$B$6/2)^2)-(((537-43)*MAX('Inputs'!$B$33,'Inputs'!$B$29+'Inputs'!$B$31+'Inputs'!$B$32,'Inputs'!$B$30+'Inputs'!$B$31+'Inputs'!$B$32)/1000+'Inputs'!$B$21))/SQRT((((537-43)*MAX('Inputs'!$B$33,'Inputs'!$B$29+'Inputs'!$B$31+'Inputs'!$B$32,'Inputs'!$B$30+'Inputs'!$B$31+'Inputs'!$B$32)/1000+'Inputs'!$B$21))^2+('Inputs'!$B$6/2)^2)))-'Results'!C7*(1-'Inputs'!$B$24)*(0.5*((((537-43)*MAX('Inputs'!$B$33,'Inputs'!$B$29+'Inputs'!$B$31+'Inputs'!$B$32,'Inputs'!$B$30+'Inputs'!$B$31+'Inputs'!$B$32)/1000+'Inputs'!$B$21+'Inputs'!$B$7+'Inputs'!$B$10)+'Inputs'!$B$9)/SQRT((((537-43)*MAX('Inputs'!$B$33,'Inputs'!$B$29+'Inputs'!$B$31+'Inputs'!$B$32,'Inputs'!$B$30+'Inputs'!$B$31+'Inputs'!$B$32)/1000+'Inputs'!$B$21+'Inputs'!$B$7+'Inputs'!$B$10)+'Inputs'!$B$9)^2+('Inputs'!$B$8/2)^2)-(((537-43)*MAX('Inputs'!$B$33,'Inputs'!$B$29+'Inputs'!$B$31+'Inputs'!$B$32,'Inputs'!$B$30+'Inputs'!$B$31+'Inputs'!$B$32)/1000+'Inputs'!$B$21+'Inputs'!$B$7+'Inputs'!$B$10))/SQRT((((537-43)*MAX('Inputs'!$B$33,'Inputs'!$B$29+'Inputs'!$B$31+'Inputs'!$B$32,'Inputs'!$B$30+'Inputs'!$B$31+'Inputs'!$B$32)/1000+'Inputs'!$B$21+'Inputs'!$B$7+'Inputs'!$B$10))^2+('Inputs'!$B$8/2)^2))))*'Results'!$B$8))),"")</x:f>
        <x:v>4.8804872970889175</x:v>
      </x:c>
      <x:c r="M537" t="n">
        <x:f>IF(AND(ISNUMBER('Results'!C7),ISNUMBER('Results'!B7),ISNUMBER('Results'!$B$8),ISNUMBER('Inputs'!$B$6),ISNUMBER('Inputs'!$B$7),ISNUMBER('Inputs'!$B$8),ISNUMBER('Inputs'!$B$9),ISNUMBER('Inputs'!$B$10),ISNUMBER('Inputs'!$B$21),ISNUMBER('Inputs'!$B$24),ISNUMBER('Inputs'!$B$28)),(('Results'!C7*(0.5*((((537-43)*MAX('Inputs'!$B$33,'Inputs'!$B$29+'Inputs'!$B$31+'Inputs'!$B$32,'Inputs'!$B$30+'Inputs'!$B$31+'Inputs'!$B$32)/1000+'Inputs'!$B$21)+'Inputs'!$B$9)/SQRT((((537-43)*MAX('Inputs'!$B$33,'Inputs'!$B$29+'Inputs'!$B$31+'Inputs'!$B$32,'Inputs'!$B$30+'Inputs'!$B$31+'Inputs'!$B$32)/1000+'Inputs'!$B$21)+'Inputs'!$B$9)^2+('Inputs'!$B$8/2)^2)-(((537-43)*MAX('Inputs'!$B$33,'Inputs'!$B$29+'Inputs'!$B$31+'Inputs'!$B$32,'Inputs'!$B$30+'Inputs'!$B$31+'Inputs'!$B$32)/1000+'Inputs'!$B$21))/SQRT((((537-43)*MAX('Inputs'!$B$33,'Inputs'!$B$29+'Inputs'!$B$31+'Inputs'!$B$32,'Inputs'!$B$30+'Inputs'!$B$31+'Inputs'!$B$32)/1000+'Inputs'!$B$21))^2+('Inputs'!$B$8/2)^2)))-'Results'!B7*(0.5*((((537-43)*MAX('Inputs'!$B$33,'Inputs'!$B$29+'Inputs'!$B$31+'Inputs'!$B$32,'Inputs'!$B$30+'Inputs'!$B$31+'Inputs'!$B$32)/1000+'Inputs'!$B$21+'Inputs'!$B$9+'Inputs'!$B$10)+'Inputs'!$B$7)/SQRT((((537-43)*MAX('Inputs'!$B$33,'Inputs'!$B$29+'Inputs'!$B$31+'Inputs'!$B$32,'Inputs'!$B$30+'Inputs'!$B$31+'Inputs'!$B$32)/1000+'Inputs'!$B$21+'Inputs'!$B$9+'Inputs'!$B$10)+'Inputs'!$B$7)^2+('Inputs'!$B$6/2)^2)-(((537-43)*MAX('Inputs'!$B$33,'Inputs'!$B$29+'Inputs'!$B$31+'Inputs'!$B$32,'Inputs'!$B$30+'Inputs'!$B$31+'Inputs'!$B$32)/1000+'Inputs'!$B$21+'Inputs'!$B$9+'Inputs'!$B$10))/SQRT((((537-43)*MAX('Inputs'!$B$33,'Inputs'!$B$29+'Inputs'!$B$31+'Inputs'!$B$32,'Inputs'!$B$30+'Inputs'!$B$31+'Inputs'!$B$32)/1000+'Inputs'!$B$21+'Inputs'!$B$9+'Inputs'!$B$10))^2+('Inputs'!$B$6/2)^2))))*'Results'!$B$8),"")</x:f>
        <x:v>4.060669084835906</x:v>
      </x:c>
      <x:c r="N537" t="n">
        <x:f>IF(AND(ISNUMBER('Results'!C7),ISNUMBER('Results'!B7),ISNUMBER('Results'!$B$8),ISNUMBER('Inputs'!$B$6),ISNUMBER('Inputs'!$B$7),ISNUMBER('Inputs'!$B$8),ISNUMBER('Inputs'!$B$9),ISNUMBER('Inputs'!$B$10),ISNUMBER('Inputs'!$B$21),ISNUMBER('Inputs'!$B$24),ISNUMBER('Inputs'!$B$28)),((('Results'!C7*(1-'Inputs'!$B$24)*(0.5*((((537-43)*MAX('Inputs'!$B$33,'Inputs'!$B$29+'Inputs'!$B$31+'Inputs'!$B$32,'Inputs'!$B$30+'Inputs'!$B$31+'Inputs'!$B$32)/1000+'Inputs'!$B$21)+'Inputs'!$B$9)/SQRT((((537-43)*MAX('Inputs'!$B$33,'Inputs'!$B$29+'Inputs'!$B$31+'Inputs'!$B$32,'Inputs'!$B$30+'Inputs'!$B$31+'Inputs'!$B$32)/1000+'Inputs'!$B$21)+'Inputs'!$B$9)^2+('Inputs'!$B$8/2)^2)-(((537-43)*MAX('Inputs'!$B$33,'Inputs'!$B$29+'Inputs'!$B$31+'Inputs'!$B$32,'Inputs'!$B$30+'Inputs'!$B$31+'Inputs'!$B$32)/1000+'Inputs'!$B$21))/SQRT((((537-43)*MAX('Inputs'!$B$33,'Inputs'!$B$29+'Inputs'!$B$31+'Inputs'!$B$32,'Inputs'!$B$30+'Inputs'!$B$31+'Inputs'!$B$32)/1000+'Inputs'!$B$21))^2+('Inputs'!$B$8/2)^2)))-'Results'!B7*(1+'Inputs'!$B$24)*(0.5*((((537-43)*MAX('Inputs'!$B$33,'Inputs'!$B$29+'Inputs'!$B$31+'Inputs'!$B$32,'Inputs'!$B$30+'Inputs'!$B$31+'Inputs'!$B$32)/1000+'Inputs'!$B$21+'Inputs'!$B$9+'Inputs'!$B$10)+'Inputs'!$B$7)/SQRT((((537-43)*MAX('Inputs'!$B$33,'Inputs'!$B$29+'Inputs'!$B$31+'Inputs'!$B$32,'Inputs'!$B$30+'Inputs'!$B$31+'Inputs'!$B$32)/1000+'Inputs'!$B$21+'Inputs'!$B$9+'Inputs'!$B$10)+'Inputs'!$B$7)^2+('Inputs'!$B$6/2)^2)-(((537-43)*MAX('Inputs'!$B$33,'Inputs'!$B$29+'Inputs'!$B$31+'Inputs'!$B$32,'Inputs'!$B$30+'Inputs'!$B$31+'Inputs'!$B$32)/1000+'Inputs'!$B$21+'Inputs'!$B$9+'Inputs'!$B$10))/SQRT((((537-43)*MAX('Inputs'!$B$33,'Inputs'!$B$29+'Inputs'!$B$31+'Inputs'!$B$32,'Inputs'!$B$30+'Inputs'!$B$31+'Inputs'!$B$32)/1000+'Inputs'!$B$21+'Inputs'!$B$9+'Inputs'!$B$10))^2+('Inputs'!$B$6/2)^2))))*'Results'!$B$8)-'Inputs'!$B$28*ABS((('Results'!C7*(1-'Inputs'!$B$24)*(0.5*((((537-43)*MAX('Inputs'!$B$33,'Inputs'!$B$29+'Inputs'!$B$31+'Inputs'!$B$32,'Inputs'!$B$30+'Inputs'!$B$31+'Inputs'!$B$32)/1000+'Inputs'!$B$21)+'Inputs'!$B$9)/SQRT((((537-43)*MAX('Inputs'!$B$33,'Inputs'!$B$29+'Inputs'!$B$31+'Inputs'!$B$32,'Inputs'!$B$30+'Inputs'!$B$31+'Inputs'!$B$32)/1000+'Inputs'!$B$21)+'Inputs'!$B$9)^2+('Inputs'!$B$8/2)^2)-(((537-43)*MAX('Inputs'!$B$33,'Inputs'!$B$29+'Inputs'!$B$31+'Inputs'!$B$32,'Inputs'!$B$30+'Inputs'!$B$31+'Inputs'!$B$32)/1000+'Inputs'!$B$21))/SQRT((((537-43)*MAX('Inputs'!$B$33,'Inputs'!$B$29+'Inputs'!$B$31+'Inputs'!$B$32,'Inputs'!$B$30+'Inputs'!$B$31+'Inputs'!$B$32)/1000+'Inputs'!$B$21))^2+('Inputs'!$B$8/2)^2)))-'Results'!B7*(1+'Inputs'!$B$24)*(0.5*((((537-43)*MAX('Inputs'!$B$33,'Inputs'!$B$29+'Inputs'!$B$31+'Inputs'!$B$32,'Inputs'!$B$30+'Inputs'!$B$31+'Inputs'!$B$32)/1000+'Inputs'!$B$21+'Inputs'!$B$9+'Inputs'!$B$10)+'Inputs'!$B$7)/SQRT((((537-43)*MAX('Inputs'!$B$33,'Inputs'!$B$29+'Inputs'!$B$31+'Inputs'!$B$32,'Inputs'!$B$30+'Inputs'!$B$31+'Inputs'!$B$32)/1000+'Inputs'!$B$21+'Inputs'!$B$9+'Inputs'!$B$10)+'Inputs'!$B$7)^2+('Inputs'!$B$6/2)^2)-(((537-43)*MAX('Inputs'!$B$33,'Inputs'!$B$29+'Inputs'!$B$31+'Inputs'!$B$32,'Inputs'!$B$30+'Inputs'!$B$31+'Inputs'!$B$32)/1000+'Inputs'!$B$21+'Inputs'!$B$9+'Inputs'!$B$10))/SQRT((((537-43)*MAX('Inputs'!$B$33,'Inputs'!$B$29+'Inputs'!$B$31+'Inputs'!$B$32,'Inputs'!$B$30+'Inputs'!$B$31+'Inputs'!$B$32)/1000+'Inputs'!$B$21+'Inputs'!$B$9+'Inputs'!$B$10))^2+('Inputs'!$B$6/2)^2))))*'Results'!$B$8))),"")</x:f>
        <x:v>3.5812254516271143</x:v>
      </x:c>
      <x:c r="O537" t="n">
        <x:f>IF(AND(ISNUMBER('Results'!C7),ISNUMBER('Results'!B7),ISNUMBER('Results'!$B$8),ISNUMBER('Inputs'!$B$6),ISNUMBER('Inputs'!$B$7),ISNUMBER('Inputs'!$B$8),ISNUMBER('Inputs'!$B$9),ISNUMBER('Inputs'!$B$10),ISNUMBER('Inputs'!$B$21),ISNUMBER('Inputs'!$B$24),ISNUMBER('Inputs'!$B$28)),((('Results'!C7*(1+'Inputs'!$B$24)*(0.5*((((537-43)*MAX('Inputs'!$B$33,'Inputs'!$B$29+'Inputs'!$B$31+'Inputs'!$B$32,'Inputs'!$B$30+'Inputs'!$B$31+'Inputs'!$B$32)/1000+'Inputs'!$B$21)+'Inputs'!$B$9)/SQRT((((537-43)*MAX('Inputs'!$B$33,'Inputs'!$B$29+'Inputs'!$B$31+'Inputs'!$B$32,'Inputs'!$B$30+'Inputs'!$B$31+'Inputs'!$B$32)/1000+'Inputs'!$B$21)+'Inputs'!$B$9)^2+('Inputs'!$B$8/2)^2)-(((537-43)*MAX('Inputs'!$B$33,'Inputs'!$B$29+'Inputs'!$B$31+'Inputs'!$B$32,'Inputs'!$B$30+'Inputs'!$B$31+'Inputs'!$B$32)/1000+'Inputs'!$B$21))/SQRT((((537-43)*MAX('Inputs'!$B$33,'Inputs'!$B$29+'Inputs'!$B$31+'Inputs'!$B$32,'Inputs'!$B$30+'Inputs'!$B$31+'Inputs'!$B$32)/1000+'Inputs'!$B$21))^2+('Inputs'!$B$8/2)^2)))-'Results'!B7*(1-'Inputs'!$B$24)*(0.5*((((537-43)*MAX('Inputs'!$B$33,'Inputs'!$B$29+'Inputs'!$B$31+'Inputs'!$B$32,'Inputs'!$B$30+'Inputs'!$B$31+'Inputs'!$B$32)/1000+'Inputs'!$B$21+'Inputs'!$B$9+'Inputs'!$B$10)+'Inputs'!$B$7)/SQRT((((537-43)*MAX('Inputs'!$B$33,'Inputs'!$B$29+'Inputs'!$B$31+'Inputs'!$B$32,'Inputs'!$B$30+'Inputs'!$B$31+'Inputs'!$B$32)/1000+'Inputs'!$B$21+'Inputs'!$B$9+'Inputs'!$B$10)+'Inputs'!$B$7)^2+('Inputs'!$B$6/2)^2)-(((537-43)*MAX('Inputs'!$B$33,'Inputs'!$B$29+'Inputs'!$B$31+'Inputs'!$B$32,'Inputs'!$B$30+'Inputs'!$B$31+'Inputs'!$B$32)/1000+'Inputs'!$B$21+'Inputs'!$B$9+'Inputs'!$B$10))/SQRT((((537-43)*MAX('Inputs'!$B$33,'Inputs'!$B$29+'Inputs'!$B$31+'Inputs'!$B$32,'Inputs'!$B$30+'Inputs'!$B$31+'Inputs'!$B$32)/1000+'Inputs'!$B$21+'Inputs'!$B$9+'Inputs'!$B$10))^2+('Inputs'!$B$6/2)^2))))*'Results'!$B$8)+'Inputs'!$B$28*ABS((('Results'!C7*(1+'Inputs'!$B$24)*(0.5*((((537-43)*MAX('Inputs'!$B$33,'Inputs'!$B$29+'Inputs'!$B$31+'Inputs'!$B$32,'Inputs'!$B$30+'Inputs'!$B$31+'Inputs'!$B$32)/1000+'Inputs'!$B$21)+'Inputs'!$B$9)/SQRT((((537-43)*MAX('Inputs'!$B$33,'Inputs'!$B$29+'Inputs'!$B$31+'Inputs'!$B$32,'Inputs'!$B$30+'Inputs'!$B$31+'Inputs'!$B$32)/1000+'Inputs'!$B$21)+'Inputs'!$B$9)^2+('Inputs'!$B$8/2)^2)-(((537-43)*MAX('Inputs'!$B$33,'Inputs'!$B$29+'Inputs'!$B$31+'Inputs'!$B$32,'Inputs'!$B$30+'Inputs'!$B$31+'Inputs'!$B$32)/1000+'Inputs'!$B$21))/SQRT((((537-43)*MAX('Inputs'!$B$33,'Inputs'!$B$29+'Inputs'!$B$31+'Inputs'!$B$32,'Inputs'!$B$30+'Inputs'!$B$31+'Inputs'!$B$32)/1000+'Inputs'!$B$21))^2+('Inputs'!$B$8/2)^2)))-'Results'!B7*(1-'Inputs'!$B$24)*(0.5*((((537-43)*MAX('Inputs'!$B$33,'Inputs'!$B$29+'Inputs'!$B$31+'Inputs'!$B$32,'Inputs'!$B$30+'Inputs'!$B$31+'Inputs'!$B$32)/1000+'Inputs'!$B$21+'Inputs'!$B$9+'Inputs'!$B$10)+'Inputs'!$B$7)/SQRT((((537-43)*MAX('Inputs'!$B$33,'Inputs'!$B$29+'Inputs'!$B$31+'Inputs'!$B$32,'Inputs'!$B$30+'Inputs'!$B$31+'Inputs'!$B$32)/1000+'Inputs'!$B$21+'Inputs'!$B$9+'Inputs'!$B$10)+'Inputs'!$B$7)^2+('Inputs'!$B$6/2)^2)-(((537-43)*MAX('Inputs'!$B$33,'Inputs'!$B$29+'Inputs'!$B$31+'Inputs'!$B$32,'Inputs'!$B$30+'Inputs'!$B$31+'Inputs'!$B$32)/1000+'Inputs'!$B$21+'Inputs'!$B$9+'Inputs'!$B$10))/SQRT((((537-43)*MAX('Inputs'!$B$33,'Inputs'!$B$29+'Inputs'!$B$31+'Inputs'!$B$32,'Inputs'!$B$30+'Inputs'!$B$31+'Inputs'!$B$32)/1000+'Inputs'!$B$21+'Inputs'!$B$9+'Inputs'!$B$10))^2+('Inputs'!$B$6/2)^2))))*'Results'!$B$8))),"")</x:f>
        <x:v>4.569208526357014</x:v>
      </x:c>
      <x:c r="P537" t="n">
        <x:f>IF(AND(MAX(J537,J536)&gt;0,J537&gt;J536+0.00000001),1,0)</x:f>
        <x:v>0</x:v>
      </x:c>
      <x:c r="Q537" t="n">
        <x:f>IF(AND(MAX(K537,K536)&gt;0,K537&gt;K536+0.00000001),1,0)</x:f>
        <x:v>0</x:v>
      </x:c>
      <x:c r="R537" t="n">
        <x:f>IF(AND(MAX(L537,L536)&gt;0,L537&gt;L536+0.00000001),1,0)</x:f>
        <x:v>0</x:v>
      </x:c>
      <x:c r="S537" t="n">
        <x:f>IF(AND(MAX(M537,M536)&gt;0,M537&gt;M536+0.00000001),1,0)</x:f>
        <x:v>0</x:v>
      </x:c>
      <x:c r="T537" t="n">
        <x:f>IF(AND(MAX(N537,N536)&gt;0,N537&gt;N536+0.00000001),1,0)</x:f>
        <x:v>0</x:v>
      </x:c>
      <x:c r="U537" t="n">
        <x:f>IF(AND(MAX(O537,O536)&gt;0,O537&gt;O536+0.00000001),1,0)</x:f>
        <x:v>0</x:v>
      </x:c>
    </x:row>
    <x:row r="538">
      <x:c r="J538" t="n">
        <x:f>IF(AND(ISNUMBER('Results'!B7),ISNUMBER('Results'!C7),ISNUMBER('Results'!$B$8),ISNUMBER('Inputs'!$B$6),ISNUMBER('Inputs'!$B$7),ISNUMBER('Inputs'!$B$8),ISNUMBER('Inputs'!$B$9),ISNUMBER('Inputs'!$B$10),ISNUMBER('Inputs'!$B$21),ISNUMBER('Inputs'!$B$24),ISNUMBER('Inputs'!$B$28)),(('Results'!B7*(0.5*((((538-43)*MAX('Inputs'!$B$33,'Inputs'!$B$29+'Inputs'!$B$31+'Inputs'!$B$32,'Inputs'!$B$30+'Inputs'!$B$31+'Inputs'!$B$32)/1000+'Inputs'!$B$21)+'Inputs'!$B$7)/SQRT((((538-43)*MAX('Inputs'!$B$33,'Inputs'!$B$29+'Inputs'!$B$31+'Inputs'!$B$32,'Inputs'!$B$30+'Inputs'!$B$31+'Inputs'!$B$32)/1000+'Inputs'!$B$21)+'Inputs'!$B$7)^2+('Inputs'!$B$6/2)^2)-(((538-43)*MAX('Inputs'!$B$33,'Inputs'!$B$29+'Inputs'!$B$31+'Inputs'!$B$32,'Inputs'!$B$30+'Inputs'!$B$31+'Inputs'!$B$32)/1000+'Inputs'!$B$21))/SQRT((((538-43)*MAX('Inputs'!$B$33,'Inputs'!$B$29+'Inputs'!$B$31+'Inputs'!$B$32,'Inputs'!$B$30+'Inputs'!$B$31+'Inputs'!$B$32)/1000+'Inputs'!$B$21))^2+('Inputs'!$B$6/2)^2)))-'Results'!C7*(0.5*((((538-43)*MAX('Inputs'!$B$33,'Inputs'!$B$29+'Inputs'!$B$31+'Inputs'!$B$32,'Inputs'!$B$30+'Inputs'!$B$31+'Inputs'!$B$32)/1000+'Inputs'!$B$21+'Inputs'!$B$7+'Inputs'!$B$10)+'Inputs'!$B$9)/SQRT((((538-43)*MAX('Inputs'!$B$33,'Inputs'!$B$29+'Inputs'!$B$31+'Inputs'!$B$32,'Inputs'!$B$30+'Inputs'!$B$31+'Inputs'!$B$32)/1000+'Inputs'!$B$21+'Inputs'!$B$7+'Inputs'!$B$10)+'Inputs'!$B$9)^2+('Inputs'!$B$8/2)^2)-(((538-43)*MAX('Inputs'!$B$33,'Inputs'!$B$29+'Inputs'!$B$31+'Inputs'!$B$32,'Inputs'!$B$30+'Inputs'!$B$31+'Inputs'!$B$32)/1000+'Inputs'!$B$21+'Inputs'!$B$7+'Inputs'!$B$10))/SQRT((((538-43)*MAX('Inputs'!$B$33,'Inputs'!$B$29+'Inputs'!$B$31+'Inputs'!$B$32,'Inputs'!$B$30+'Inputs'!$B$31+'Inputs'!$B$32)/1000+'Inputs'!$B$21+'Inputs'!$B$7+'Inputs'!$B$10))^2+('Inputs'!$B$8/2)^2))))*'Results'!$B$8),"")</x:f>
        <x:v>4.325489425762281</x:v>
      </x:c>
      <x:c r="K538" t="n">
        <x:f>IF(AND(ISNUMBER('Results'!B7),ISNUMBER('Results'!C7),ISNUMBER('Results'!$B$8),ISNUMBER('Inputs'!$B$6),ISNUMBER('Inputs'!$B$7),ISNUMBER('Inputs'!$B$8),ISNUMBER('Inputs'!$B$9),ISNUMBER('Inputs'!$B$10),ISNUMBER('Inputs'!$B$21),ISNUMBER('Inputs'!$B$24),ISNUMBER('Inputs'!$B$28)),((('Results'!B7*(1-'Inputs'!$B$24)*(0.5*((((538-43)*MAX('Inputs'!$B$33,'Inputs'!$B$29+'Inputs'!$B$31+'Inputs'!$B$32,'Inputs'!$B$30+'Inputs'!$B$31+'Inputs'!$B$32)/1000+'Inputs'!$B$21)+'Inputs'!$B$7)/SQRT((((538-43)*MAX('Inputs'!$B$33,'Inputs'!$B$29+'Inputs'!$B$31+'Inputs'!$B$32,'Inputs'!$B$30+'Inputs'!$B$31+'Inputs'!$B$32)/1000+'Inputs'!$B$21)+'Inputs'!$B$7)^2+('Inputs'!$B$6/2)^2)-(((538-43)*MAX('Inputs'!$B$33,'Inputs'!$B$29+'Inputs'!$B$31+'Inputs'!$B$32,'Inputs'!$B$30+'Inputs'!$B$31+'Inputs'!$B$32)/1000+'Inputs'!$B$21))/SQRT((((538-43)*MAX('Inputs'!$B$33,'Inputs'!$B$29+'Inputs'!$B$31+'Inputs'!$B$32,'Inputs'!$B$30+'Inputs'!$B$31+'Inputs'!$B$32)/1000+'Inputs'!$B$21))^2+('Inputs'!$B$6/2)^2)))-'Results'!C7*(1+'Inputs'!$B$24)*(0.5*((((538-43)*MAX('Inputs'!$B$33,'Inputs'!$B$29+'Inputs'!$B$31+'Inputs'!$B$32,'Inputs'!$B$30+'Inputs'!$B$31+'Inputs'!$B$32)/1000+'Inputs'!$B$21+'Inputs'!$B$7+'Inputs'!$B$10)+'Inputs'!$B$9)/SQRT((((538-43)*MAX('Inputs'!$B$33,'Inputs'!$B$29+'Inputs'!$B$31+'Inputs'!$B$32,'Inputs'!$B$30+'Inputs'!$B$31+'Inputs'!$B$32)/1000+'Inputs'!$B$21+'Inputs'!$B$7+'Inputs'!$B$10)+'Inputs'!$B$9)^2+('Inputs'!$B$8/2)^2)-(((538-43)*MAX('Inputs'!$B$33,'Inputs'!$B$29+'Inputs'!$B$31+'Inputs'!$B$32,'Inputs'!$B$30+'Inputs'!$B$31+'Inputs'!$B$32)/1000+'Inputs'!$B$21+'Inputs'!$B$7+'Inputs'!$B$10))/SQRT((((538-43)*MAX('Inputs'!$B$33,'Inputs'!$B$29+'Inputs'!$B$31+'Inputs'!$B$32,'Inputs'!$B$30+'Inputs'!$B$31+'Inputs'!$B$32)/1000+'Inputs'!$B$21+'Inputs'!$B$7+'Inputs'!$B$10))^2+('Inputs'!$B$8/2)^2))))*'Results'!$B$8)-'Inputs'!$B$28*ABS((('Results'!B7*(1-'Inputs'!$B$24)*(0.5*((((538-43)*MAX('Inputs'!$B$33,'Inputs'!$B$29+'Inputs'!$B$31+'Inputs'!$B$32,'Inputs'!$B$30+'Inputs'!$B$31+'Inputs'!$B$32)/1000+'Inputs'!$B$21)+'Inputs'!$B$7)/SQRT((((538-43)*MAX('Inputs'!$B$33,'Inputs'!$B$29+'Inputs'!$B$31+'Inputs'!$B$32,'Inputs'!$B$30+'Inputs'!$B$31+'Inputs'!$B$32)/1000+'Inputs'!$B$21)+'Inputs'!$B$7)^2+('Inputs'!$B$6/2)^2)-(((538-43)*MAX('Inputs'!$B$33,'Inputs'!$B$29+'Inputs'!$B$31+'Inputs'!$B$32,'Inputs'!$B$30+'Inputs'!$B$31+'Inputs'!$B$32)/1000+'Inputs'!$B$21))/SQRT((((538-43)*MAX('Inputs'!$B$33,'Inputs'!$B$29+'Inputs'!$B$31+'Inputs'!$B$32,'Inputs'!$B$30+'Inputs'!$B$31+'Inputs'!$B$32)/1000+'Inputs'!$B$21))^2+('Inputs'!$B$6/2)^2)))-'Results'!C7*(1+'Inputs'!$B$24)*(0.5*((((538-43)*MAX('Inputs'!$B$33,'Inputs'!$B$29+'Inputs'!$B$31+'Inputs'!$B$32,'Inputs'!$B$30+'Inputs'!$B$31+'Inputs'!$B$32)/1000+'Inputs'!$B$21+'Inputs'!$B$7+'Inputs'!$B$10)+'Inputs'!$B$9)/SQRT((((538-43)*MAX('Inputs'!$B$33,'Inputs'!$B$29+'Inputs'!$B$31+'Inputs'!$B$32,'Inputs'!$B$30+'Inputs'!$B$31+'Inputs'!$B$32)/1000+'Inputs'!$B$21+'Inputs'!$B$7+'Inputs'!$B$10)+'Inputs'!$B$9)^2+('Inputs'!$B$8/2)^2)-(((538-43)*MAX('Inputs'!$B$33,'Inputs'!$B$29+'Inputs'!$B$31+'Inputs'!$B$32,'Inputs'!$B$30+'Inputs'!$B$31+'Inputs'!$B$32)/1000+'Inputs'!$B$21+'Inputs'!$B$7+'Inputs'!$B$10))/SQRT((((538-43)*MAX('Inputs'!$B$33,'Inputs'!$B$29+'Inputs'!$B$31+'Inputs'!$B$32,'Inputs'!$B$30+'Inputs'!$B$31+'Inputs'!$B$32)/1000+'Inputs'!$B$21+'Inputs'!$B$7+'Inputs'!$B$10))^2+('Inputs'!$B$8/2)^2))))*'Results'!$B$8))),"")</x:f>
        <x:v>3.8326740398300867</x:v>
      </x:c>
      <x:c r="L538" t="n">
        <x:f>IF(AND(ISNUMBER('Results'!B7),ISNUMBER('Results'!C7),ISNUMBER('Results'!$B$8),ISNUMBER('Inputs'!$B$6),ISNUMBER('Inputs'!$B$7),ISNUMBER('Inputs'!$B$8),ISNUMBER('Inputs'!$B$9),ISNUMBER('Inputs'!$B$10),ISNUMBER('Inputs'!$B$21),ISNUMBER('Inputs'!$B$24),ISNUMBER('Inputs'!$B$28)),((('Results'!B7*(1+'Inputs'!$B$24)*(0.5*((((538-43)*MAX('Inputs'!$B$33,'Inputs'!$B$29+'Inputs'!$B$31+'Inputs'!$B$32,'Inputs'!$B$30+'Inputs'!$B$31+'Inputs'!$B$32)/1000+'Inputs'!$B$21)+'Inputs'!$B$7)/SQRT((((538-43)*MAX('Inputs'!$B$33,'Inputs'!$B$29+'Inputs'!$B$31+'Inputs'!$B$32,'Inputs'!$B$30+'Inputs'!$B$31+'Inputs'!$B$32)/1000+'Inputs'!$B$21)+'Inputs'!$B$7)^2+('Inputs'!$B$6/2)^2)-(((538-43)*MAX('Inputs'!$B$33,'Inputs'!$B$29+'Inputs'!$B$31+'Inputs'!$B$32,'Inputs'!$B$30+'Inputs'!$B$31+'Inputs'!$B$32)/1000+'Inputs'!$B$21))/SQRT((((538-43)*MAX('Inputs'!$B$33,'Inputs'!$B$29+'Inputs'!$B$31+'Inputs'!$B$32,'Inputs'!$B$30+'Inputs'!$B$31+'Inputs'!$B$32)/1000+'Inputs'!$B$21))^2+('Inputs'!$B$6/2)^2)))-'Results'!C7*(1-'Inputs'!$B$24)*(0.5*((((538-43)*MAX('Inputs'!$B$33,'Inputs'!$B$29+'Inputs'!$B$31+'Inputs'!$B$32,'Inputs'!$B$30+'Inputs'!$B$31+'Inputs'!$B$32)/1000+'Inputs'!$B$21+'Inputs'!$B$7+'Inputs'!$B$10)+'Inputs'!$B$9)/SQRT((((538-43)*MAX('Inputs'!$B$33,'Inputs'!$B$29+'Inputs'!$B$31+'Inputs'!$B$32,'Inputs'!$B$30+'Inputs'!$B$31+'Inputs'!$B$32)/1000+'Inputs'!$B$21+'Inputs'!$B$7+'Inputs'!$B$10)+'Inputs'!$B$9)^2+('Inputs'!$B$8/2)^2)-(((538-43)*MAX('Inputs'!$B$33,'Inputs'!$B$29+'Inputs'!$B$31+'Inputs'!$B$32,'Inputs'!$B$30+'Inputs'!$B$31+'Inputs'!$B$32)/1000+'Inputs'!$B$21+'Inputs'!$B$7+'Inputs'!$B$10))/SQRT((((538-43)*MAX('Inputs'!$B$33,'Inputs'!$B$29+'Inputs'!$B$31+'Inputs'!$B$32,'Inputs'!$B$30+'Inputs'!$B$31+'Inputs'!$B$32)/1000+'Inputs'!$B$21+'Inputs'!$B$7+'Inputs'!$B$10))^2+('Inputs'!$B$8/2)^2))))*'Results'!$B$8)+'Inputs'!$B$28*ABS((('Results'!B7*(1+'Inputs'!$B$24)*(0.5*((((538-43)*MAX('Inputs'!$B$33,'Inputs'!$B$29+'Inputs'!$B$31+'Inputs'!$B$32,'Inputs'!$B$30+'Inputs'!$B$31+'Inputs'!$B$32)/1000+'Inputs'!$B$21)+'Inputs'!$B$7)/SQRT((((538-43)*MAX('Inputs'!$B$33,'Inputs'!$B$29+'Inputs'!$B$31+'Inputs'!$B$32,'Inputs'!$B$30+'Inputs'!$B$31+'Inputs'!$B$32)/1000+'Inputs'!$B$21)+'Inputs'!$B$7)^2+('Inputs'!$B$6/2)^2)-(((538-43)*MAX('Inputs'!$B$33,'Inputs'!$B$29+'Inputs'!$B$31+'Inputs'!$B$32,'Inputs'!$B$30+'Inputs'!$B$31+'Inputs'!$B$32)/1000+'Inputs'!$B$21))/SQRT((((538-43)*MAX('Inputs'!$B$33,'Inputs'!$B$29+'Inputs'!$B$31+'Inputs'!$B$32,'Inputs'!$B$30+'Inputs'!$B$31+'Inputs'!$B$32)/1000+'Inputs'!$B$21))^2+('Inputs'!$B$6/2)^2)))-'Results'!C7*(1-'Inputs'!$B$24)*(0.5*((((538-43)*MAX('Inputs'!$B$33,'Inputs'!$B$29+'Inputs'!$B$31+'Inputs'!$B$32,'Inputs'!$B$30+'Inputs'!$B$31+'Inputs'!$B$32)/1000+'Inputs'!$B$21+'Inputs'!$B$7+'Inputs'!$B$10)+'Inputs'!$B$9)/SQRT((((538-43)*MAX('Inputs'!$B$33,'Inputs'!$B$29+'Inputs'!$B$31+'Inputs'!$B$32,'Inputs'!$B$30+'Inputs'!$B$31+'Inputs'!$B$32)/1000+'Inputs'!$B$21+'Inputs'!$B$7+'Inputs'!$B$10)+'Inputs'!$B$9)^2+('Inputs'!$B$8/2)^2)-(((538-43)*MAX('Inputs'!$B$33,'Inputs'!$B$29+'Inputs'!$B$31+'Inputs'!$B$32,'Inputs'!$B$30+'Inputs'!$B$31+'Inputs'!$B$32)/1000+'Inputs'!$B$21+'Inputs'!$B$7+'Inputs'!$B$10))/SQRT((((538-43)*MAX('Inputs'!$B$33,'Inputs'!$B$29+'Inputs'!$B$31+'Inputs'!$B$32,'Inputs'!$B$30+'Inputs'!$B$31+'Inputs'!$B$32)/1000+'Inputs'!$B$21+'Inputs'!$B$7+'Inputs'!$B$10))^2+('Inputs'!$B$8/2)^2))))*'Results'!$B$8))),"")</x:f>
        <x:v>4.84741438165701</x:v>
      </x:c>
      <x:c r="M538" t="n">
        <x:f>IF(AND(ISNUMBER('Results'!C7),ISNUMBER('Results'!B7),ISNUMBER('Results'!$B$8),ISNUMBER('Inputs'!$B$6),ISNUMBER('Inputs'!$B$7),ISNUMBER('Inputs'!$B$8),ISNUMBER('Inputs'!$B$9),ISNUMBER('Inputs'!$B$10),ISNUMBER('Inputs'!$B$21),ISNUMBER('Inputs'!$B$24),ISNUMBER('Inputs'!$B$28)),(('Results'!C7*(0.5*((((538-43)*MAX('Inputs'!$B$33,'Inputs'!$B$29+'Inputs'!$B$31+'Inputs'!$B$32,'Inputs'!$B$30+'Inputs'!$B$31+'Inputs'!$B$32)/1000+'Inputs'!$B$21)+'Inputs'!$B$9)/SQRT((((538-43)*MAX('Inputs'!$B$33,'Inputs'!$B$29+'Inputs'!$B$31+'Inputs'!$B$32,'Inputs'!$B$30+'Inputs'!$B$31+'Inputs'!$B$32)/1000+'Inputs'!$B$21)+'Inputs'!$B$9)^2+('Inputs'!$B$8/2)^2)-(((538-43)*MAX('Inputs'!$B$33,'Inputs'!$B$29+'Inputs'!$B$31+'Inputs'!$B$32,'Inputs'!$B$30+'Inputs'!$B$31+'Inputs'!$B$32)/1000+'Inputs'!$B$21))/SQRT((((538-43)*MAX('Inputs'!$B$33,'Inputs'!$B$29+'Inputs'!$B$31+'Inputs'!$B$32,'Inputs'!$B$30+'Inputs'!$B$31+'Inputs'!$B$32)/1000+'Inputs'!$B$21))^2+('Inputs'!$B$8/2)^2)))-'Results'!B7*(0.5*((((538-43)*MAX('Inputs'!$B$33,'Inputs'!$B$29+'Inputs'!$B$31+'Inputs'!$B$32,'Inputs'!$B$30+'Inputs'!$B$31+'Inputs'!$B$32)/1000+'Inputs'!$B$21+'Inputs'!$B$9+'Inputs'!$B$10)+'Inputs'!$B$7)/SQRT((((538-43)*MAX('Inputs'!$B$33,'Inputs'!$B$29+'Inputs'!$B$31+'Inputs'!$B$32,'Inputs'!$B$30+'Inputs'!$B$31+'Inputs'!$B$32)/1000+'Inputs'!$B$21+'Inputs'!$B$9+'Inputs'!$B$10)+'Inputs'!$B$7)^2+('Inputs'!$B$6/2)^2)-(((538-43)*MAX('Inputs'!$B$33,'Inputs'!$B$29+'Inputs'!$B$31+'Inputs'!$B$32,'Inputs'!$B$30+'Inputs'!$B$31+'Inputs'!$B$32)/1000+'Inputs'!$B$21+'Inputs'!$B$9+'Inputs'!$B$10))/SQRT((((538-43)*MAX('Inputs'!$B$33,'Inputs'!$B$29+'Inputs'!$B$31+'Inputs'!$B$32,'Inputs'!$B$30+'Inputs'!$B$31+'Inputs'!$B$32)/1000+'Inputs'!$B$21+'Inputs'!$B$9+'Inputs'!$B$10))^2+('Inputs'!$B$6/2)^2))))*'Results'!$B$8),"")</x:f>
        <x:v>4.032306114799076</x:v>
      </x:c>
      <x:c r="N538" t="n">
        <x:f>IF(AND(ISNUMBER('Results'!C7),ISNUMBER('Results'!B7),ISNUMBER('Results'!$B$8),ISNUMBER('Inputs'!$B$6),ISNUMBER('Inputs'!$B$7),ISNUMBER('Inputs'!$B$8),ISNUMBER('Inputs'!$B$9),ISNUMBER('Inputs'!$B$10),ISNUMBER('Inputs'!$B$21),ISNUMBER('Inputs'!$B$24),ISNUMBER('Inputs'!$B$28)),((('Results'!C7*(1-'Inputs'!$B$24)*(0.5*((((538-43)*MAX('Inputs'!$B$33,'Inputs'!$B$29+'Inputs'!$B$31+'Inputs'!$B$32,'Inputs'!$B$30+'Inputs'!$B$31+'Inputs'!$B$32)/1000+'Inputs'!$B$21)+'Inputs'!$B$9)/SQRT((((538-43)*MAX('Inputs'!$B$33,'Inputs'!$B$29+'Inputs'!$B$31+'Inputs'!$B$32,'Inputs'!$B$30+'Inputs'!$B$31+'Inputs'!$B$32)/1000+'Inputs'!$B$21)+'Inputs'!$B$9)^2+('Inputs'!$B$8/2)^2)-(((538-43)*MAX('Inputs'!$B$33,'Inputs'!$B$29+'Inputs'!$B$31+'Inputs'!$B$32,'Inputs'!$B$30+'Inputs'!$B$31+'Inputs'!$B$32)/1000+'Inputs'!$B$21))/SQRT((((538-43)*MAX('Inputs'!$B$33,'Inputs'!$B$29+'Inputs'!$B$31+'Inputs'!$B$32,'Inputs'!$B$30+'Inputs'!$B$31+'Inputs'!$B$32)/1000+'Inputs'!$B$21))^2+('Inputs'!$B$8/2)^2)))-'Results'!B7*(1+'Inputs'!$B$24)*(0.5*((((538-43)*MAX('Inputs'!$B$33,'Inputs'!$B$29+'Inputs'!$B$31+'Inputs'!$B$32,'Inputs'!$B$30+'Inputs'!$B$31+'Inputs'!$B$32)/1000+'Inputs'!$B$21+'Inputs'!$B$9+'Inputs'!$B$10)+'Inputs'!$B$7)/SQRT((((538-43)*MAX('Inputs'!$B$33,'Inputs'!$B$29+'Inputs'!$B$31+'Inputs'!$B$32,'Inputs'!$B$30+'Inputs'!$B$31+'Inputs'!$B$32)/1000+'Inputs'!$B$21+'Inputs'!$B$9+'Inputs'!$B$10)+'Inputs'!$B$7)^2+('Inputs'!$B$6/2)^2)-(((538-43)*MAX('Inputs'!$B$33,'Inputs'!$B$29+'Inputs'!$B$31+'Inputs'!$B$32,'Inputs'!$B$30+'Inputs'!$B$31+'Inputs'!$B$32)/1000+'Inputs'!$B$21+'Inputs'!$B$9+'Inputs'!$B$10))/SQRT((((538-43)*MAX('Inputs'!$B$33,'Inputs'!$B$29+'Inputs'!$B$31+'Inputs'!$B$32,'Inputs'!$B$30+'Inputs'!$B$31+'Inputs'!$B$32)/1000+'Inputs'!$B$21+'Inputs'!$B$9+'Inputs'!$B$10))^2+('Inputs'!$B$6/2)^2))))*'Results'!$B$8)-'Inputs'!$B$28*ABS((('Results'!C7*(1-'Inputs'!$B$24)*(0.5*((((538-43)*MAX('Inputs'!$B$33,'Inputs'!$B$29+'Inputs'!$B$31+'Inputs'!$B$32,'Inputs'!$B$30+'Inputs'!$B$31+'Inputs'!$B$32)/1000+'Inputs'!$B$21)+'Inputs'!$B$9)/SQRT((((538-43)*MAX('Inputs'!$B$33,'Inputs'!$B$29+'Inputs'!$B$31+'Inputs'!$B$32,'Inputs'!$B$30+'Inputs'!$B$31+'Inputs'!$B$32)/1000+'Inputs'!$B$21)+'Inputs'!$B$9)^2+('Inputs'!$B$8/2)^2)-(((538-43)*MAX('Inputs'!$B$33,'Inputs'!$B$29+'Inputs'!$B$31+'Inputs'!$B$32,'Inputs'!$B$30+'Inputs'!$B$31+'Inputs'!$B$32)/1000+'Inputs'!$B$21))/SQRT((((538-43)*MAX('Inputs'!$B$33,'Inputs'!$B$29+'Inputs'!$B$31+'Inputs'!$B$32,'Inputs'!$B$30+'Inputs'!$B$31+'Inputs'!$B$32)/1000+'Inputs'!$B$21))^2+('Inputs'!$B$8/2)^2)))-'Results'!B7*(1+'Inputs'!$B$24)*(0.5*((((538-43)*MAX('Inputs'!$B$33,'Inputs'!$B$29+'Inputs'!$B$31+'Inputs'!$B$32,'Inputs'!$B$30+'Inputs'!$B$31+'Inputs'!$B$32)/1000+'Inputs'!$B$21+'Inputs'!$B$9+'Inputs'!$B$10)+'Inputs'!$B$7)/SQRT((((538-43)*MAX('Inputs'!$B$33,'Inputs'!$B$29+'Inputs'!$B$31+'Inputs'!$B$32,'Inputs'!$B$30+'Inputs'!$B$31+'Inputs'!$B$32)/1000+'Inputs'!$B$21+'Inputs'!$B$9+'Inputs'!$B$10)+'Inputs'!$B$7)^2+('Inputs'!$B$6/2)^2)-(((538-43)*MAX('Inputs'!$B$33,'Inputs'!$B$29+'Inputs'!$B$31+'Inputs'!$B$32,'Inputs'!$B$30+'Inputs'!$B$31+'Inputs'!$B$32)/1000+'Inputs'!$B$21+'Inputs'!$B$9+'Inputs'!$B$10))/SQRT((((538-43)*MAX('Inputs'!$B$33,'Inputs'!$B$29+'Inputs'!$B$31+'Inputs'!$B$32,'Inputs'!$B$30+'Inputs'!$B$31+'Inputs'!$B$32)/1000+'Inputs'!$B$21+'Inputs'!$B$9+'Inputs'!$B$10))^2+('Inputs'!$B$6/2)^2))))*'Results'!$B$8))),"")</x:f>
        <x:v>3.5557539157814126</x:v>
      </x:c>
      <x:c r="O538" t="n">
        <x:f>IF(AND(ISNUMBER('Results'!C7),ISNUMBER('Results'!B7),ISNUMBER('Results'!$B$8),ISNUMBER('Inputs'!$B$6),ISNUMBER('Inputs'!$B$7),ISNUMBER('Inputs'!$B$8),ISNUMBER('Inputs'!$B$9),ISNUMBER('Inputs'!$B$10),ISNUMBER('Inputs'!$B$21),ISNUMBER('Inputs'!$B$24),ISNUMBER('Inputs'!$B$28)),((('Results'!C7*(1+'Inputs'!$B$24)*(0.5*((((538-43)*MAX('Inputs'!$B$33,'Inputs'!$B$29+'Inputs'!$B$31+'Inputs'!$B$32,'Inputs'!$B$30+'Inputs'!$B$31+'Inputs'!$B$32)/1000+'Inputs'!$B$21)+'Inputs'!$B$9)/SQRT((((538-43)*MAX('Inputs'!$B$33,'Inputs'!$B$29+'Inputs'!$B$31+'Inputs'!$B$32,'Inputs'!$B$30+'Inputs'!$B$31+'Inputs'!$B$32)/1000+'Inputs'!$B$21)+'Inputs'!$B$9)^2+('Inputs'!$B$8/2)^2)-(((538-43)*MAX('Inputs'!$B$33,'Inputs'!$B$29+'Inputs'!$B$31+'Inputs'!$B$32,'Inputs'!$B$30+'Inputs'!$B$31+'Inputs'!$B$32)/1000+'Inputs'!$B$21))/SQRT((((538-43)*MAX('Inputs'!$B$33,'Inputs'!$B$29+'Inputs'!$B$31+'Inputs'!$B$32,'Inputs'!$B$30+'Inputs'!$B$31+'Inputs'!$B$32)/1000+'Inputs'!$B$21))^2+('Inputs'!$B$8/2)^2)))-'Results'!B7*(1-'Inputs'!$B$24)*(0.5*((((538-43)*MAX('Inputs'!$B$33,'Inputs'!$B$29+'Inputs'!$B$31+'Inputs'!$B$32,'Inputs'!$B$30+'Inputs'!$B$31+'Inputs'!$B$32)/1000+'Inputs'!$B$21+'Inputs'!$B$9+'Inputs'!$B$10)+'Inputs'!$B$7)/SQRT((((538-43)*MAX('Inputs'!$B$33,'Inputs'!$B$29+'Inputs'!$B$31+'Inputs'!$B$32,'Inputs'!$B$30+'Inputs'!$B$31+'Inputs'!$B$32)/1000+'Inputs'!$B$21+'Inputs'!$B$9+'Inputs'!$B$10)+'Inputs'!$B$7)^2+('Inputs'!$B$6/2)^2)-(((538-43)*MAX('Inputs'!$B$33,'Inputs'!$B$29+'Inputs'!$B$31+'Inputs'!$B$32,'Inputs'!$B$30+'Inputs'!$B$31+'Inputs'!$B$32)/1000+'Inputs'!$B$21+'Inputs'!$B$9+'Inputs'!$B$10))/SQRT((((538-43)*MAX('Inputs'!$B$33,'Inputs'!$B$29+'Inputs'!$B$31+'Inputs'!$B$32,'Inputs'!$B$30+'Inputs'!$B$31+'Inputs'!$B$32)/1000+'Inputs'!$B$21+'Inputs'!$B$9+'Inputs'!$B$10))^2+('Inputs'!$B$6/2)^2))))*'Results'!$B$8)+'Inputs'!$B$28*ABS((('Results'!C7*(1+'Inputs'!$B$24)*(0.5*((((538-43)*MAX('Inputs'!$B$33,'Inputs'!$B$29+'Inputs'!$B$31+'Inputs'!$B$32,'Inputs'!$B$30+'Inputs'!$B$31+'Inputs'!$B$32)/1000+'Inputs'!$B$21)+'Inputs'!$B$9)/SQRT((((538-43)*MAX('Inputs'!$B$33,'Inputs'!$B$29+'Inputs'!$B$31+'Inputs'!$B$32,'Inputs'!$B$30+'Inputs'!$B$31+'Inputs'!$B$32)/1000+'Inputs'!$B$21)+'Inputs'!$B$9)^2+('Inputs'!$B$8/2)^2)-(((538-43)*MAX('Inputs'!$B$33,'Inputs'!$B$29+'Inputs'!$B$31+'Inputs'!$B$32,'Inputs'!$B$30+'Inputs'!$B$31+'Inputs'!$B$32)/1000+'Inputs'!$B$21))/SQRT((((538-43)*MAX('Inputs'!$B$33,'Inputs'!$B$29+'Inputs'!$B$31+'Inputs'!$B$32,'Inputs'!$B$30+'Inputs'!$B$31+'Inputs'!$B$32)/1000+'Inputs'!$B$21))^2+('Inputs'!$B$8/2)^2)))-'Results'!B7*(1-'Inputs'!$B$24)*(0.5*((((538-43)*MAX('Inputs'!$B$33,'Inputs'!$B$29+'Inputs'!$B$31+'Inputs'!$B$32,'Inputs'!$B$30+'Inputs'!$B$31+'Inputs'!$B$32)/1000+'Inputs'!$B$21+'Inputs'!$B$9+'Inputs'!$B$10)+'Inputs'!$B$7)/SQRT((((538-43)*MAX('Inputs'!$B$33,'Inputs'!$B$29+'Inputs'!$B$31+'Inputs'!$B$32,'Inputs'!$B$30+'Inputs'!$B$31+'Inputs'!$B$32)/1000+'Inputs'!$B$21+'Inputs'!$B$9+'Inputs'!$B$10)+'Inputs'!$B$7)^2+('Inputs'!$B$6/2)^2)-(((538-43)*MAX('Inputs'!$B$33,'Inputs'!$B$29+'Inputs'!$B$31+'Inputs'!$B$32,'Inputs'!$B$30+'Inputs'!$B$31+'Inputs'!$B$32)/1000+'Inputs'!$B$21+'Inputs'!$B$9+'Inputs'!$B$10))/SQRT((((538-43)*MAX('Inputs'!$B$33,'Inputs'!$B$29+'Inputs'!$B$31+'Inputs'!$B$32,'Inputs'!$B$30+'Inputs'!$B$31+'Inputs'!$B$32)/1000+'Inputs'!$B$21+'Inputs'!$B$9+'Inputs'!$B$10))^2+('Inputs'!$B$6/2)^2))))*'Results'!$B$8))),"")</x:f>
        <x:v>4.53779903942492</x:v>
      </x:c>
      <x:c r="P538" t="n">
        <x:f>IF(AND(MAX(J538,J537)&gt;0,J538&gt;J537+0.00000001),1,0)</x:f>
        <x:v>0</x:v>
      </x:c>
      <x:c r="Q538" t="n">
        <x:f>IF(AND(MAX(K538,K537)&gt;0,K538&gt;K537+0.00000001),1,0)</x:f>
        <x:v>0</x:v>
      </x:c>
      <x:c r="R538" t="n">
        <x:f>IF(AND(MAX(L538,L537)&gt;0,L538&gt;L537+0.00000001),1,0)</x:f>
        <x:v>0</x:v>
      </x:c>
      <x:c r="S538" t="n">
        <x:f>IF(AND(MAX(M538,M537)&gt;0,M538&gt;M537+0.00000001),1,0)</x:f>
        <x:v>0</x:v>
      </x:c>
      <x:c r="T538" t="n">
        <x:f>IF(AND(MAX(N538,N537)&gt;0,N538&gt;N537+0.00000001),1,0)</x:f>
        <x:v>0</x:v>
      </x:c>
      <x:c r="U538" t="n">
        <x:f>IF(AND(MAX(O538,O537)&gt;0,O538&gt;O537+0.00000001),1,0)</x:f>
        <x:v>0</x:v>
      </x:c>
    </x:row>
    <x:row r="539">
      <x:c r="J539" t="n">
        <x:f>IF(AND(ISNUMBER('Results'!B7),ISNUMBER('Results'!C7),ISNUMBER('Results'!$B$8),ISNUMBER('Inputs'!$B$6),ISNUMBER('Inputs'!$B$7),ISNUMBER('Inputs'!$B$8),ISNUMBER('Inputs'!$B$9),ISNUMBER('Inputs'!$B$10),ISNUMBER('Inputs'!$B$21),ISNUMBER('Inputs'!$B$24),ISNUMBER('Inputs'!$B$28)),(('Results'!B7*(0.5*((((539-43)*MAX('Inputs'!$B$33,'Inputs'!$B$29+'Inputs'!$B$31+'Inputs'!$B$32,'Inputs'!$B$30+'Inputs'!$B$31+'Inputs'!$B$32)/1000+'Inputs'!$B$21)+'Inputs'!$B$7)/SQRT((((539-43)*MAX('Inputs'!$B$33,'Inputs'!$B$29+'Inputs'!$B$31+'Inputs'!$B$32,'Inputs'!$B$30+'Inputs'!$B$31+'Inputs'!$B$32)/1000+'Inputs'!$B$21)+'Inputs'!$B$7)^2+('Inputs'!$B$6/2)^2)-(((539-43)*MAX('Inputs'!$B$33,'Inputs'!$B$29+'Inputs'!$B$31+'Inputs'!$B$32,'Inputs'!$B$30+'Inputs'!$B$31+'Inputs'!$B$32)/1000+'Inputs'!$B$21))/SQRT((((539-43)*MAX('Inputs'!$B$33,'Inputs'!$B$29+'Inputs'!$B$31+'Inputs'!$B$32,'Inputs'!$B$30+'Inputs'!$B$31+'Inputs'!$B$32)/1000+'Inputs'!$B$21))^2+('Inputs'!$B$6/2)^2)))-'Results'!C7*(0.5*((((539-43)*MAX('Inputs'!$B$33,'Inputs'!$B$29+'Inputs'!$B$31+'Inputs'!$B$32,'Inputs'!$B$30+'Inputs'!$B$31+'Inputs'!$B$32)/1000+'Inputs'!$B$21+'Inputs'!$B$7+'Inputs'!$B$10)+'Inputs'!$B$9)/SQRT((((539-43)*MAX('Inputs'!$B$33,'Inputs'!$B$29+'Inputs'!$B$31+'Inputs'!$B$32,'Inputs'!$B$30+'Inputs'!$B$31+'Inputs'!$B$32)/1000+'Inputs'!$B$21+'Inputs'!$B$7+'Inputs'!$B$10)+'Inputs'!$B$9)^2+('Inputs'!$B$8/2)^2)-(((539-43)*MAX('Inputs'!$B$33,'Inputs'!$B$29+'Inputs'!$B$31+'Inputs'!$B$32,'Inputs'!$B$30+'Inputs'!$B$31+'Inputs'!$B$32)/1000+'Inputs'!$B$21+'Inputs'!$B$7+'Inputs'!$B$10))/SQRT((((539-43)*MAX('Inputs'!$B$33,'Inputs'!$B$29+'Inputs'!$B$31+'Inputs'!$B$32,'Inputs'!$B$30+'Inputs'!$B$31+'Inputs'!$B$32)/1000+'Inputs'!$B$21+'Inputs'!$B$7+'Inputs'!$B$10))^2+('Inputs'!$B$8/2)^2))))*'Results'!$B$8),"")</x:f>
        <x:v>4.295811121367652</x:v>
      </x:c>
      <x:c r="K539" t="n">
        <x:f>IF(AND(ISNUMBER('Results'!B7),ISNUMBER('Results'!C7),ISNUMBER('Results'!$B$8),ISNUMBER('Inputs'!$B$6),ISNUMBER('Inputs'!$B$7),ISNUMBER('Inputs'!$B$8),ISNUMBER('Inputs'!$B$9),ISNUMBER('Inputs'!$B$10),ISNUMBER('Inputs'!$B$21),ISNUMBER('Inputs'!$B$24),ISNUMBER('Inputs'!$B$28)),((('Results'!B7*(1-'Inputs'!$B$24)*(0.5*((((539-43)*MAX('Inputs'!$B$33,'Inputs'!$B$29+'Inputs'!$B$31+'Inputs'!$B$32,'Inputs'!$B$30+'Inputs'!$B$31+'Inputs'!$B$32)/1000+'Inputs'!$B$21)+'Inputs'!$B$7)/SQRT((((539-43)*MAX('Inputs'!$B$33,'Inputs'!$B$29+'Inputs'!$B$31+'Inputs'!$B$32,'Inputs'!$B$30+'Inputs'!$B$31+'Inputs'!$B$32)/1000+'Inputs'!$B$21)+'Inputs'!$B$7)^2+('Inputs'!$B$6/2)^2)-(((539-43)*MAX('Inputs'!$B$33,'Inputs'!$B$29+'Inputs'!$B$31+'Inputs'!$B$32,'Inputs'!$B$30+'Inputs'!$B$31+'Inputs'!$B$32)/1000+'Inputs'!$B$21))/SQRT((((539-43)*MAX('Inputs'!$B$33,'Inputs'!$B$29+'Inputs'!$B$31+'Inputs'!$B$32,'Inputs'!$B$30+'Inputs'!$B$31+'Inputs'!$B$32)/1000+'Inputs'!$B$21))^2+('Inputs'!$B$6/2)^2)))-'Results'!C7*(1+'Inputs'!$B$24)*(0.5*((((539-43)*MAX('Inputs'!$B$33,'Inputs'!$B$29+'Inputs'!$B$31+'Inputs'!$B$32,'Inputs'!$B$30+'Inputs'!$B$31+'Inputs'!$B$32)/1000+'Inputs'!$B$21+'Inputs'!$B$7+'Inputs'!$B$10)+'Inputs'!$B$9)/SQRT((((539-43)*MAX('Inputs'!$B$33,'Inputs'!$B$29+'Inputs'!$B$31+'Inputs'!$B$32,'Inputs'!$B$30+'Inputs'!$B$31+'Inputs'!$B$32)/1000+'Inputs'!$B$21+'Inputs'!$B$7+'Inputs'!$B$10)+'Inputs'!$B$9)^2+('Inputs'!$B$8/2)^2)-(((539-43)*MAX('Inputs'!$B$33,'Inputs'!$B$29+'Inputs'!$B$31+'Inputs'!$B$32,'Inputs'!$B$30+'Inputs'!$B$31+'Inputs'!$B$32)/1000+'Inputs'!$B$21+'Inputs'!$B$7+'Inputs'!$B$10))/SQRT((((539-43)*MAX('Inputs'!$B$33,'Inputs'!$B$29+'Inputs'!$B$31+'Inputs'!$B$32,'Inputs'!$B$30+'Inputs'!$B$31+'Inputs'!$B$32)/1000+'Inputs'!$B$21+'Inputs'!$B$7+'Inputs'!$B$10))^2+('Inputs'!$B$8/2)^2))))*'Results'!$B$8)-'Inputs'!$B$28*ABS((('Results'!B7*(1-'Inputs'!$B$24)*(0.5*((((539-43)*MAX('Inputs'!$B$33,'Inputs'!$B$29+'Inputs'!$B$31+'Inputs'!$B$32,'Inputs'!$B$30+'Inputs'!$B$31+'Inputs'!$B$32)/1000+'Inputs'!$B$21)+'Inputs'!$B$7)/SQRT((((539-43)*MAX('Inputs'!$B$33,'Inputs'!$B$29+'Inputs'!$B$31+'Inputs'!$B$32,'Inputs'!$B$30+'Inputs'!$B$31+'Inputs'!$B$32)/1000+'Inputs'!$B$21)+'Inputs'!$B$7)^2+('Inputs'!$B$6/2)^2)-(((539-43)*MAX('Inputs'!$B$33,'Inputs'!$B$29+'Inputs'!$B$31+'Inputs'!$B$32,'Inputs'!$B$30+'Inputs'!$B$31+'Inputs'!$B$32)/1000+'Inputs'!$B$21))/SQRT((((539-43)*MAX('Inputs'!$B$33,'Inputs'!$B$29+'Inputs'!$B$31+'Inputs'!$B$32,'Inputs'!$B$30+'Inputs'!$B$31+'Inputs'!$B$32)/1000+'Inputs'!$B$21))^2+('Inputs'!$B$6/2)^2)))-'Results'!C7*(1+'Inputs'!$B$24)*(0.5*((((539-43)*MAX('Inputs'!$B$33,'Inputs'!$B$29+'Inputs'!$B$31+'Inputs'!$B$32,'Inputs'!$B$30+'Inputs'!$B$31+'Inputs'!$B$32)/1000+'Inputs'!$B$21+'Inputs'!$B$7+'Inputs'!$B$10)+'Inputs'!$B$9)/SQRT((((539-43)*MAX('Inputs'!$B$33,'Inputs'!$B$29+'Inputs'!$B$31+'Inputs'!$B$32,'Inputs'!$B$30+'Inputs'!$B$31+'Inputs'!$B$32)/1000+'Inputs'!$B$21+'Inputs'!$B$7+'Inputs'!$B$10)+'Inputs'!$B$9)^2+('Inputs'!$B$8/2)^2)-(((539-43)*MAX('Inputs'!$B$33,'Inputs'!$B$29+'Inputs'!$B$31+'Inputs'!$B$32,'Inputs'!$B$30+'Inputs'!$B$31+'Inputs'!$B$32)/1000+'Inputs'!$B$21+'Inputs'!$B$7+'Inputs'!$B$10))/SQRT((((539-43)*MAX('Inputs'!$B$33,'Inputs'!$B$29+'Inputs'!$B$31+'Inputs'!$B$32,'Inputs'!$B$30+'Inputs'!$B$31+'Inputs'!$B$32)/1000+'Inputs'!$B$21+'Inputs'!$B$7+'Inputs'!$B$10))^2+('Inputs'!$B$8/2)^2))))*'Results'!$B$8))),"")</x:f>
        <x:v>3.8059535443665147</x:v>
      </x:c>
      <x:c r="L539" t="n">
        <x:f>IF(AND(ISNUMBER('Results'!B7),ISNUMBER('Results'!C7),ISNUMBER('Results'!$B$8),ISNUMBER('Inputs'!$B$6),ISNUMBER('Inputs'!$B$7),ISNUMBER('Inputs'!$B$8),ISNUMBER('Inputs'!$B$9),ISNUMBER('Inputs'!$B$10),ISNUMBER('Inputs'!$B$21),ISNUMBER('Inputs'!$B$24),ISNUMBER('Inputs'!$B$28)),((('Results'!B7*(1+'Inputs'!$B$24)*(0.5*((((539-43)*MAX('Inputs'!$B$33,'Inputs'!$B$29+'Inputs'!$B$31+'Inputs'!$B$32,'Inputs'!$B$30+'Inputs'!$B$31+'Inputs'!$B$32)/1000+'Inputs'!$B$21)+'Inputs'!$B$7)/SQRT((((539-43)*MAX('Inputs'!$B$33,'Inputs'!$B$29+'Inputs'!$B$31+'Inputs'!$B$32,'Inputs'!$B$30+'Inputs'!$B$31+'Inputs'!$B$32)/1000+'Inputs'!$B$21)+'Inputs'!$B$7)^2+('Inputs'!$B$6/2)^2)-(((539-43)*MAX('Inputs'!$B$33,'Inputs'!$B$29+'Inputs'!$B$31+'Inputs'!$B$32,'Inputs'!$B$30+'Inputs'!$B$31+'Inputs'!$B$32)/1000+'Inputs'!$B$21))/SQRT((((539-43)*MAX('Inputs'!$B$33,'Inputs'!$B$29+'Inputs'!$B$31+'Inputs'!$B$32,'Inputs'!$B$30+'Inputs'!$B$31+'Inputs'!$B$32)/1000+'Inputs'!$B$21))^2+('Inputs'!$B$6/2)^2)))-'Results'!C7*(1-'Inputs'!$B$24)*(0.5*((((539-43)*MAX('Inputs'!$B$33,'Inputs'!$B$29+'Inputs'!$B$31+'Inputs'!$B$32,'Inputs'!$B$30+'Inputs'!$B$31+'Inputs'!$B$32)/1000+'Inputs'!$B$21+'Inputs'!$B$7+'Inputs'!$B$10)+'Inputs'!$B$9)/SQRT((((539-43)*MAX('Inputs'!$B$33,'Inputs'!$B$29+'Inputs'!$B$31+'Inputs'!$B$32,'Inputs'!$B$30+'Inputs'!$B$31+'Inputs'!$B$32)/1000+'Inputs'!$B$21+'Inputs'!$B$7+'Inputs'!$B$10)+'Inputs'!$B$9)^2+('Inputs'!$B$8/2)^2)-(((539-43)*MAX('Inputs'!$B$33,'Inputs'!$B$29+'Inputs'!$B$31+'Inputs'!$B$32,'Inputs'!$B$30+'Inputs'!$B$31+'Inputs'!$B$32)/1000+'Inputs'!$B$21+'Inputs'!$B$7+'Inputs'!$B$10))/SQRT((((539-43)*MAX('Inputs'!$B$33,'Inputs'!$B$29+'Inputs'!$B$31+'Inputs'!$B$32,'Inputs'!$B$30+'Inputs'!$B$31+'Inputs'!$B$32)/1000+'Inputs'!$B$21+'Inputs'!$B$7+'Inputs'!$B$10))^2+('Inputs'!$B$8/2)^2))))*'Results'!$B$8)+'Inputs'!$B$28*ABS((('Results'!B7*(1+'Inputs'!$B$24)*(0.5*((((539-43)*MAX('Inputs'!$B$33,'Inputs'!$B$29+'Inputs'!$B$31+'Inputs'!$B$32,'Inputs'!$B$30+'Inputs'!$B$31+'Inputs'!$B$32)/1000+'Inputs'!$B$21)+'Inputs'!$B$7)/SQRT((((539-43)*MAX('Inputs'!$B$33,'Inputs'!$B$29+'Inputs'!$B$31+'Inputs'!$B$32,'Inputs'!$B$30+'Inputs'!$B$31+'Inputs'!$B$32)/1000+'Inputs'!$B$21)+'Inputs'!$B$7)^2+('Inputs'!$B$6/2)^2)-(((539-43)*MAX('Inputs'!$B$33,'Inputs'!$B$29+'Inputs'!$B$31+'Inputs'!$B$32,'Inputs'!$B$30+'Inputs'!$B$31+'Inputs'!$B$32)/1000+'Inputs'!$B$21))/SQRT((((539-43)*MAX('Inputs'!$B$33,'Inputs'!$B$29+'Inputs'!$B$31+'Inputs'!$B$32,'Inputs'!$B$30+'Inputs'!$B$31+'Inputs'!$B$32)/1000+'Inputs'!$B$21))^2+('Inputs'!$B$6/2)^2)))-'Results'!C7*(1-'Inputs'!$B$24)*(0.5*((((539-43)*MAX('Inputs'!$B$33,'Inputs'!$B$29+'Inputs'!$B$31+'Inputs'!$B$32,'Inputs'!$B$30+'Inputs'!$B$31+'Inputs'!$B$32)/1000+'Inputs'!$B$21+'Inputs'!$B$7+'Inputs'!$B$10)+'Inputs'!$B$9)/SQRT((((539-43)*MAX('Inputs'!$B$33,'Inputs'!$B$29+'Inputs'!$B$31+'Inputs'!$B$32,'Inputs'!$B$30+'Inputs'!$B$31+'Inputs'!$B$32)/1000+'Inputs'!$B$21+'Inputs'!$B$7+'Inputs'!$B$10)+'Inputs'!$B$9)^2+('Inputs'!$B$8/2)^2)-(((539-43)*MAX('Inputs'!$B$33,'Inputs'!$B$29+'Inputs'!$B$31+'Inputs'!$B$32,'Inputs'!$B$30+'Inputs'!$B$31+'Inputs'!$B$32)/1000+'Inputs'!$B$21+'Inputs'!$B$7+'Inputs'!$B$10))/SQRT((((539-43)*MAX('Inputs'!$B$33,'Inputs'!$B$29+'Inputs'!$B$31+'Inputs'!$B$32,'Inputs'!$B$30+'Inputs'!$B$31+'Inputs'!$B$32)/1000+'Inputs'!$B$21+'Inputs'!$B$7+'Inputs'!$B$10))^2+('Inputs'!$B$8/2)^2))))*'Results'!$B$8))),"")</x:f>
        <x:v>4.814623121624869</x:v>
      </x:c>
      <x:c r="M539" t="n">
        <x:f>IF(AND(ISNUMBER('Results'!C7),ISNUMBER('Results'!B7),ISNUMBER('Results'!$B$8),ISNUMBER('Inputs'!$B$6),ISNUMBER('Inputs'!$B$7),ISNUMBER('Inputs'!$B$8),ISNUMBER('Inputs'!$B$9),ISNUMBER('Inputs'!$B$10),ISNUMBER('Inputs'!$B$21),ISNUMBER('Inputs'!$B$24),ISNUMBER('Inputs'!$B$28)),(('Results'!C7*(0.5*((((539-43)*MAX('Inputs'!$B$33,'Inputs'!$B$29+'Inputs'!$B$31+'Inputs'!$B$32,'Inputs'!$B$30+'Inputs'!$B$31+'Inputs'!$B$32)/1000+'Inputs'!$B$21)+'Inputs'!$B$9)/SQRT((((539-43)*MAX('Inputs'!$B$33,'Inputs'!$B$29+'Inputs'!$B$31+'Inputs'!$B$32,'Inputs'!$B$30+'Inputs'!$B$31+'Inputs'!$B$32)/1000+'Inputs'!$B$21)+'Inputs'!$B$9)^2+('Inputs'!$B$8/2)^2)-(((539-43)*MAX('Inputs'!$B$33,'Inputs'!$B$29+'Inputs'!$B$31+'Inputs'!$B$32,'Inputs'!$B$30+'Inputs'!$B$31+'Inputs'!$B$32)/1000+'Inputs'!$B$21))/SQRT((((539-43)*MAX('Inputs'!$B$33,'Inputs'!$B$29+'Inputs'!$B$31+'Inputs'!$B$32,'Inputs'!$B$30+'Inputs'!$B$31+'Inputs'!$B$32)/1000+'Inputs'!$B$21))^2+('Inputs'!$B$8/2)^2)))-'Results'!B7*(0.5*((((539-43)*MAX('Inputs'!$B$33,'Inputs'!$B$29+'Inputs'!$B$31+'Inputs'!$B$32,'Inputs'!$B$30+'Inputs'!$B$31+'Inputs'!$B$32)/1000+'Inputs'!$B$21+'Inputs'!$B$9+'Inputs'!$B$10)+'Inputs'!$B$7)/SQRT((((539-43)*MAX('Inputs'!$B$33,'Inputs'!$B$29+'Inputs'!$B$31+'Inputs'!$B$32,'Inputs'!$B$30+'Inputs'!$B$31+'Inputs'!$B$32)/1000+'Inputs'!$B$21+'Inputs'!$B$9+'Inputs'!$B$10)+'Inputs'!$B$7)^2+('Inputs'!$B$6/2)^2)-(((539-43)*MAX('Inputs'!$B$33,'Inputs'!$B$29+'Inputs'!$B$31+'Inputs'!$B$32,'Inputs'!$B$30+'Inputs'!$B$31+'Inputs'!$B$32)/1000+'Inputs'!$B$21+'Inputs'!$B$9+'Inputs'!$B$10))/SQRT((((539-43)*MAX('Inputs'!$B$33,'Inputs'!$B$29+'Inputs'!$B$31+'Inputs'!$B$32,'Inputs'!$B$30+'Inputs'!$B$31+'Inputs'!$B$32)/1000+'Inputs'!$B$21+'Inputs'!$B$9+'Inputs'!$B$10))^2+('Inputs'!$B$6/2)^2))))*'Results'!$B$8),"")</x:f>
        <x:v>4.004189051968761</x:v>
      </x:c>
      <x:c r="N539" t="n">
        <x:f>IF(AND(ISNUMBER('Results'!C7),ISNUMBER('Results'!B7),ISNUMBER('Results'!$B$8),ISNUMBER('Inputs'!$B$6),ISNUMBER('Inputs'!$B$7),ISNUMBER('Inputs'!$B$8),ISNUMBER('Inputs'!$B$9),ISNUMBER('Inputs'!$B$10),ISNUMBER('Inputs'!$B$21),ISNUMBER('Inputs'!$B$24),ISNUMBER('Inputs'!$B$28)),((('Results'!C7*(1-'Inputs'!$B$24)*(0.5*((((539-43)*MAX('Inputs'!$B$33,'Inputs'!$B$29+'Inputs'!$B$31+'Inputs'!$B$32,'Inputs'!$B$30+'Inputs'!$B$31+'Inputs'!$B$32)/1000+'Inputs'!$B$21)+'Inputs'!$B$9)/SQRT((((539-43)*MAX('Inputs'!$B$33,'Inputs'!$B$29+'Inputs'!$B$31+'Inputs'!$B$32,'Inputs'!$B$30+'Inputs'!$B$31+'Inputs'!$B$32)/1000+'Inputs'!$B$21)+'Inputs'!$B$9)^2+('Inputs'!$B$8/2)^2)-(((539-43)*MAX('Inputs'!$B$33,'Inputs'!$B$29+'Inputs'!$B$31+'Inputs'!$B$32,'Inputs'!$B$30+'Inputs'!$B$31+'Inputs'!$B$32)/1000+'Inputs'!$B$21))/SQRT((((539-43)*MAX('Inputs'!$B$33,'Inputs'!$B$29+'Inputs'!$B$31+'Inputs'!$B$32,'Inputs'!$B$30+'Inputs'!$B$31+'Inputs'!$B$32)/1000+'Inputs'!$B$21))^2+('Inputs'!$B$8/2)^2)))-'Results'!B7*(1+'Inputs'!$B$24)*(0.5*((((539-43)*MAX('Inputs'!$B$33,'Inputs'!$B$29+'Inputs'!$B$31+'Inputs'!$B$32,'Inputs'!$B$30+'Inputs'!$B$31+'Inputs'!$B$32)/1000+'Inputs'!$B$21+'Inputs'!$B$9+'Inputs'!$B$10)+'Inputs'!$B$7)/SQRT((((539-43)*MAX('Inputs'!$B$33,'Inputs'!$B$29+'Inputs'!$B$31+'Inputs'!$B$32,'Inputs'!$B$30+'Inputs'!$B$31+'Inputs'!$B$32)/1000+'Inputs'!$B$21+'Inputs'!$B$9+'Inputs'!$B$10)+'Inputs'!$B$7)^2+('Inputs'!$B$6/2)^2)-(((539-43)*MAX('Inputs'!$B$33,'Inputs'!$B$29+'Inputs'!$B$31+'Inputs'!$B$32,'Inputs'!$B$30+'Inputs'!$B$31+'Inputs'!$B$32)/1000+'Inputs'!$B$21+'Inputs'!$B$9+'Inputs'!$B$10))/SQRT((((539-43)*MAX('Inputs'!$B$33,'Inputs'!$B$29+'Inputs'!$B$31+'Inputs'!$B$32,'Inputs'!$B$30+'Inputs'!$B$31+'Inputs'!$B$32)/1000+'Inputs'!$B$21+'Inputs'!$B$9+'Inputs'!$B$10))^2+('Inputs'!$B$6/2)^2))))*'Results'!$B$8)-'Inputs'!$B$28*ABS((('Results'!C7*(1-'Inputs'!$B$24)*(0.5*((((539-43)*MAX('Inputs'!$B$33,'Inputs'!$B$29+'Inputs'!$B$31+'Inputs'!$B$32,'Inputs'!$B$30+'Inputs'!$B$31+'Inputs'!$B$32)/1000+'Inputs'!$B$21)+'Inputs'!$B$9)/SQRT((((539-43)*MAX('Inputs'!$B$33,'Inputs'!$B$29+'Inputs'!$B$31+'Inputs'!$B$32,'Inputs'!$B$30+'Inputs'!$B$31+'Inputs'!$B$32)/1000+'Inputs'!$B$21)+'Inputs'!$B$9)^2+('Inputs'!$B$8/2)^2)-(((539-43)*MAX('Inputs'!$B$33,'Inputs'!$B$29+'Inputs'!$B$31+'Inputs'!$B$32,'Inputs'!$B$30+'Inputs'!$B$31+'Inputs'!$B$32)/1000+'Inputs'!$B$21))/SQRT((((539-43)*MAX('Inputs'!$B$33,'Inputs'!$B$29+'Inputs'!$B$31+'Inputs'!$B$32,'Inputs'!$B$30+'Inputs'!$B$31+'Inputs'!$B$32)/1000+'Inputs'!$B$21))^2+('Inputs'!$B$8/2)^2)))-'Results'!B7*(1+'Inputs'!$B$24)*(0.5*((((539-43)*MAX('Inputs'!$B$33,'Inputs'!$B$29+'Inputs'!$B$31+'Inputs'!$B$32,'Inputs'!$B$30+'Inputs'!$B$31+'Inputs'!$B$32)/1000+'Inputs'!$B$21+'Inputs'!$B$9+'Inputs'!$B$10)+'Inputs'!$B$7)/SQRT((((539-43)*MAX('Inputs'!$B$33,'Inputs'!$B$29+'Inputs'!$B$31+'Inputs'!$B$32,'Inputs'!$B$30+'Inputs'!$B$31+'Inputs'!$B$32)/1000+'Inputs'!$B$21+'Inputs'!$B$9+'Inputs'!$B$10)+'Inputs'!$B$7)^2+('Inputs'!$B$6/2)^2)-(((539-43)*MAX('Inputs'!$B$33,'Inputs'!$B$29+'Inputs'!$B$31+'Inputs'!$B$32,'Inputs'!$B$30+'Inputs'!$B$31+'Inputs'!$B$32)/1000+'Inputs'!$B$21+'Inputs'!$B$9+'Inputs'!$B$10))/SQRT((((539-43)*MAX('Inputs'!$B$33,'Inputs'!$B$29+'Inputs'!$B$31+'Inputs'!$B$32,'Inputs'!$B$30+'Inputs'!$B$31+'Inputs'!$B$32)/1000+'Inputs'!$B$21+'Inputs'!$B$9+'Inputs'!$B$10))^2+('Inputs'!$B$6/2)^2))))*'Results'!$B$8))),"")</x:f>
        <x:v>3.530505507763764</x:v>
      </x:c>
      <x:c r="O539" t="n">
        <x:f>IF(AND(ISNUMBER('Results'!C7),ISNUMBER('Results'!B7),ISNUMBER('Results'!$B$8),ISNUMBER('Inputs'!$B$6),ISNUMBER('Inputs'!$B$7),ISNUMBER('Inputs'!$B$8),ISNUMBER('Inputs'!$B$9),ISNUMBER('Inputs'!$B$10),ISNUMBER('Inputs'!$B$21),ISNUMBER('Inputs'!$B$24),ISNUMBER('Inputs'!$B$28)),((('Results'!C7*(1+'Inputs'!$B$24)*(0.5*((((539-43)*MAX('Inputs'!$B$33,'Inputs'!$B$29+'Inputs'!$B$31+'Inputs'!$B$32,'Inputs'!$B$30+'Inputs'!$B$31+'Inputs'!$B$32)/1000+'Inputs'!$B$21)+'Inputs'!$B$9)/SQRT((((539-43)*MAX('Inputs'!$B$33,'Inputs'!$B$29+'Inputs'!$B$31+'Inputs'!$B$32,'Inputs'!$B$30+'Inputs'!$B$31+'Inputs'!$B$32)/1000+'Inputs'!$B$21)+'Inputs'!$B$9)^2+('Inputs'!$B$8/2)^2)-(((539-43)*MAX('Inputs'!$B$33,'Inputs'!$B$29+'Inputs'!$B$31+'Inputs'!$B$32,'Inputs'!$B$30+'Inputs'!$B$31+'Inputs'!$B$32)/1000+'Inputs'!$B$21))/SQRT((((539-43)*MAX('Inputs'!$B$33,'Inputs'!$B$29+'Inputs'!$B$31+'Inputs'!$B$32,'Inputs'!$B$30+'Inputs'!$B$31+'Inputs'!$B$32)/1000+'Inputs'!$B$21))^2+('Inputs'!$B$8/2)^2)))-'Results'!B7*(1-'Inputs'!$B$24)*(0.5*((((539-43)*MAX('Inputs'!$B$33,'Inputs'!$B$29+'Inputs'!$B$31+'Inputs'!$B$32,'Inputs'!$B$30+'Inputs'!$B$31+'Inputs'!$B$32)/1000+'Inputs'!$B$21+'Inputs'!$B$9+'Inputs'!$B$10)+'Inputs'!$B$7)/SQRT((((539-43)*MAX('Inputs'!$B$33,'Inputs'!$B$29+'Inputs'!$B$31+'Inputs'!$B$32,'Inputs'!$B$30+'Inputs'!$B$31+'Inputs'!$B$32)/1000+'Inputs'!$B$21+'Inputs'!$B$9+'Inputs'!$B$10)+'Inputs'!$B$7)^2+('Inputs'!$B$6/2)^2)-(((539-43)*MAX('Inputs'!$B$33,'Inputs'!$B$29+'Inputs'!$B$31+'Inputs'!$B$32,'Inputs'!$B$30+'Inputs'!$B$31+'Inputs'!$B$32)/1000+'Inputs'!$B$21+'Inputs'!$B$9+'Inputs'!$B$10))/SQRT((((539-43)*MAX('Inputs'!$B$33,'Inputs'!$B$29+'Inputs'!$B$31+'Inputs'!$B$32,'Inputs'!$B$30+'Inputs'!$B$31+'Inputs'!$B$32)/1000+'Inputs'!$B$21+'Inputs'!$B$9+'Inputs'!$B$10))^2+('Inputs'!$B$6/2)^2))))*'Results'!$B$8)+'Inputs'!$B$28*ABS((('Results'!C7*(1+'Inputs'!$B$24)*(0.5*((((539-43)*MAX('Inputs'!$B$33,'Inputs'!$B$29+'Inputs'!$B$31+'Inputs'!$B$32,'Inputs'!$B$30+'Inputs'!$B$31+'Inputs'!$B$32)/1000+'Inputs'!$B$21)+'Inputs'!$B$9)/SQRT((((539-43)*MAX('Inputs'!$B$33,'Inputs'!$B$29+'Inputs'!$B$31+'Inputs'!$B$32,'Inputs'!$B$30+'Inputs'!$B$31+'Inputs'!$B$32)/1000+'Inputs'!$B$21)+'Inputs'!$B$9)^2+('Inputs'!$B$8/2)^2)-(((539-43)*MAX('Inputs'!$B$33,'Inputs'!$B$29+'Inputs'!$B$31+'Inputs'!$B$32,'Inputs'!$B$30+'Inputs'!$B$31+'Inputs'!$B$32)/1000+'Inputs'!$B$21))/SQRT((((539-43)*MAX('Inputs'!$B$33,'Inputs'!$B$29+'Inputs'!$B$31+'Inputs'!$B$32,'Inputs'!$B$30+'Inputs'!$B$31+'Inputs'!$B$32)/1000+'Inputs'!$B$21))^2+('Inputs'!$B$8/2)^2)))-'Results'!B7*(1-'Inputs'!$B$24)*(0.5*((((539-43)*MAX('Inputs'!$B$33,'Inputs'!$B$29+'Inputs'!$B$31+'Inputs'!$B$32,'Inputs'!$B$30+'Inputs'!$B$31+'Inputs'!$B$32)/1000+'Inputs'!$B$21+'Inputs'!$B$9+'Inputs'!$B$10)+'Inputs'!$B$7)/SQRT((((539-43)*MAX('Inputs'!$B$33,'Inputs'!$B$29+'Inputs'!$B$31+'Inputs'!$B$32,'Inputs'!$B$30+'Inputs'!$B$31+'Inputs'!$B$32)/1000+'Inputs'!$B$21+'Inputs'!$B$9+'Inputs'!$B$10)+'Inputs'!$B$7)^2+('Inputs'!$B$6/2)^2)-(((539-43)*MAX('Inputs'!$B$33,'Inputs'!$B$29+'Inputs'!$B$31+'Inputs'!$B$32,'Inputs'!$B$30+'Inputs'!$B$31+'Inputs'!$B$32)/1000+'Inputs'!$B$21+'Inputs'!$B$9+'Inputs'!$B$10))/SQRT((((539-43)*MAX('Inputs'!$B$33,'Inputs'!$B$29+'Inputs'!$B$31+'Inputs'!$B$32,'Inputs'!$B$30+'Inputs'!$B$31+'Inputs'!$B$32)/1000+'Inputs'!$B$21+'Inputs'!$B$9+'Inputs'!$B$10))^2+('Inputs'!$B$6/2)^2))))*'Results'!$B$8))),"")</x:f>
        <x:v>4.5066593426586605</x:v>
      </x:c>
      <x:c r="P539" t="n">
        <x:f>IF(AND(MAX(J539,J538)&gt;0,J539&gt;J538+0.00000001),1,0)</x:f>
        <x:v>0</x:v>
      </x:c>
      <x:c r="Q539" t="n">
        <x:f>IF(AND(MAX(K539,K538)&gt;0,K539&gt;K538+0.00000001),1,0)</x:f>
        <x:v>0</x:v>
      </x:c>
      <x:c r="R539" t="n">
        <x:f>IF(AND(MAX(L539,L538)&gt;0,L539&gt;L538+0.00000001),1,0)</x:f>
        <x:v>0</x:v>
      </x:c>
      <x:c r="S539" t="n">
        <x:f>IF(AND(MAX(M539,M538)&gt;0,M539&gt;M538+0.00000001),1,0)</x:f>
        <x:v>0</x:v>
      </x:c>
      <x:c r="T539" t="n">
        <x:f>IF(AND(MAX(N539,N538)&gt;0,N539&gt;N538+0.00000001),1,0)</x:f>
        <x:v>0</x:v>
      </x:c>
      <x:c r="U539" t="n">
        <x:f>IF(AND(MAX(O539,O538)&gt;0,O539&gt;O538+0.00000001),1,0)</x:f>
        <x:v>0</x:v>
      </x:c>
    </x:row>
    <x:row r="540">
      <x:c r="J540" t="n">
        <x:f>IF(AND(ISNUMBER('Results'!B7),ISNUMBER('Results'!C7),ISNUMBER('Results'!$B$8),ISNUMBER('Inputs'!$B$6),ISNUMBER('Inputs'!$B$7),ISNUMBER('Inputs'!$B$8),ISNUMBER('Inputs'!$B$9),ISNUMBER('Inputs'!$B$10),ISNUMBER('Inputs'!$B$21),ISNUMBER('Inputs'!$B$24),ISNUMBER('Inputs'!$B$28)),(('Results'!B7*(0.5*((((540-43)*MAX('Inputs'!$B$33,'Inputs'!$B$29+'Inputs'!$B$31+'Inputs'!$B$32,'Inputs'!$B$30+'Inputs'!$B$31+'Inputs'!$B$32)/1000+'Inputs'!$B$21)+'Inputs'!$B$7)/SQRT((((540-43)*MAX('Inputs'!$B$33,'Inputs'!$B$29+'Inputs'!$B$31+'Inputs'!$B$32,'Inputs'!$B$30+'Inputs'!$B$31+'Inputs'!$B$32)/1000+'Inputs'!$B$21)+'Inputs'!$B$7)^2+('Inputs'!$B$6/2)^2)-(((540-43)*MAX('Inputs'!$B$33,'Inputs'!$B$29+'Inputs'!$B$31+'Inputs'!$B$32,'Inputs'!$B$30+'Inputs'!$B$31+'Inputs'!$B$32)/1000+'Inputs'!$B$21))/SQRT((((540-43)*MAX('Inputs'!$B$33,'Inputs'!$B$29+'Inputs'!$B$31+'Inputs'!$B$32,'Inputs'!$B$30+'Inputs'!$B$31+'Inputs'!$B$32)/1000+'Inputs'!$B$21))^2+('Inputs'!$B$6/2)^2)))-'Results'!C7*(0.5*((((540-43)*MAX('Inputs'!$B$33,'Inputs'!$B$29+'Inputs'!$B$31+'Inputs'!$B$32,'Inputs'!$B$30+'Inputs'!$B$31+'Inputs'!$B$32)/1000+'Inputs'!$B$21+'Inputs'!$B$7+'Inputs'!$B$10)+'Inputs'!$B$9)/SQRT((((540-43)*MAX('Inputs'!$B$33,'Inputs'!$B$29+'Inputs'!$B$31+'Inputs'!$B$32,'Inputs'!$B$30+'Inputs'!$B$31+'Inputs'!$B$32)/1000+'Inputs'!$B$21+'Inputs'!$B$7+'Inputs'!$B$10)+'Inputs'!$B$9)^2+('Inputs'!$B$8/2)^2)-(((540-43)*MAX('Inputs'!$B$33,'Inputs'!$B$29+'Inputs'!$B$31+'Inputs'!$B$32,'Inputs'!$B$30+'Inputs'!$B$31+'Inputs'!$B$32)/1000+'Inputs'!$B$21+'Inputs'!$B$7+'Inputs'!$B$10))/SQRT((((540-43)*MAX('Inputs'!$B$33,'Inputs'!$B$29+'Inputs'!$B$31+'Inputs'!$B$32,'Inputs'!$B$30+'Inputs'!$B$31+'Inputs'!$B$32)/1000+'Inputs'!$B$21+'Inputs'!$B$7+'Inputs'!$B$10))^2+('Inputs'!$B$8/2)^2))))*'Results'!$B$8),"")</x:f>
        <x:v>4.266387278662662</x:v>
      </x:c>
      <x:c r="K540" t="n">
        <x:f>IF(AND(ISNUMBER('Results'!B7),ISNUMBER('Results'!C7),ISNUMBER('Results'!$B$8),ISNUMBER('Inputs'!$B$6),ISNUMBER('Inputs'!$B$7),ISNUMBER('Inputs'!$B$8),ISNUMBER('Inputs'!$B$9),ISNUMBER('Inputs'!$B$10),ISNUMBER('Inputs'!$B$21),ISNUMBER('Inputs'!$B$24),ISNUMBER('Inputs'!$B$28)),((('Results'!B7*(1-'Inputs'!$B$24)*(0.5*((((540-43)*MAX('Inputs'!$B$33,'Inputs'!$B$29+'Inputs'!$B$31+'Inputs'!$B$32,'Inputs'!$B$30+'Inputs'!$B$31+'Inputs'!$B$32)/1000+'Inputs'!$B$21)+'Inputs'!$B$7)/SQRT((((540-43)*MAX('Inputs'!$B$33,'Inputs'!$B$29+'Inputs'!$B$31+'Inputs'!$B$32,'Inputs'!$B$30+'Inputs'!$B$31+'Inputs'!$B$32)/1000+'Inputs'!$B$21)+'Inputs'!$B$7)^2+('Inputs'!$B$6/2)^2)-(((540-43)*MAX('Inputs'!$B$33,'Inputs'!$B$29+'Inputs'!$B$31+'Inputs'!$B$32,'Inputs'!$B$30+'Inputs'!$B$31+'Inputs'!$B$32)/1000+'Inputs'!$B$21))/SQRT((((540-43)*MAX('Inputs'!$B$33,'Inputs'!$B$29+'Inputs'!$B$31+'Inputs'!$B$32,'Inputs'!$B$30+'Inputs'!$B$31+'Inputs'!$B$32)/1000+'Inputs'!$B$21))^2+('Inputs'!$B$6/2)^2)))-'Results'!C7*(1+'Inputs'!$B$24)*(0.5*((((540-43)*MAX('Inputs'!$B$33,'Inputs'!$B$29+'Inputs'!$B$31+'Inputs'!$B$32,'Inputs'!$B$30+'Inputs'!$B$31+'Inputs'!$B$32)/1000+'Inputs'!$B$21+'Inputs'!$B$7+'Inputs'!$B$10)+'Inputs'!$B$9)/SQRT((((540-43)*MAX('Inputs'!$B$33,'Inputs'!$B$29+'Inputs'!$B$31+'Inputs'!$B$32,'Inputs'!$B$30+'Inputs'!$B$31+'Inputs'!$B$32)/1000+'Inputs'!$B$21+'Inputs'!$B$7+'Inputs'!$B$10)+'Inputs'!$B$9)^2+('Inputs'!$B$8/2)^2)-(((540-43)*MAX('Inputs'!$B$33,'Inputs'!$B$29+'Inputs'!$B$31+'Inputs'!$B$32,'Inputs'!$B$30+'Inputs'!$B$31+'Inputs'!$B$32)/1000+'Inputs'!$B$21+'Inputs'!$B$7+'Inputs'!$B$10))/SQRT((((540-43)*MAX('Inputs'!$B$33,'Inputs'!$B$29+'Inputs'!$B$31+'Inputs'!$B$32,'Inputs'!$B$30+'Inputs'!$B$31+'Inputs'!$B$32)/1000+'Inputs'!$B$21+'Inputs'!$B$7+'Inputs'!$B$10))^2+('Inputs'!$B$8/2)^2))))*'Results'!$B$8)-'Inputs'!$B$28*ABS((('Results'!B7*(1-'Inputs'!$B$24)*(0.5*((((540-43)*MAX('Inputs'!$B$33,'Inputs'!$B$29+'Inputs'!$B$31+'Inputs'!$B$32,'Inputs'!$B$30+'Inputs'!$B$31+'Inputs'!$B$32)/1000+'Inputs'!$B$21)+'Inputs'!$B$7)/SQRT((((540-43)*MAX('Inputs'!$B$33,'Inputs'!$B$29+'Inputs'!$B$31+'Inputs'!$B$32,'Inputs'!$B$30+'Inputs'!$B$31+'Inputs'!$B$32)/1000+'Inputs'!$B$21)+'Inputs'!$B$7)^2+('Inputs'!$B$6/2)^2)-(((540-43)*MAX('Inputs'!$B$33,'Inputs'!$B$29+'Inputs'!$B$31+'Inputs'!$B$32,'Inputs'!$B$30+'Inputs'!$B$31+'Inputs'!$B$32)/1000+'Inputs'!$B$21))/SQRT((((540-43)*MAX('Inputs'!$B$33,'Inputs'!$B$29+'Inputs'!$B$31+'Inputs'!$B$32,'Inputs'!$B$30+'Inputs'!$B$31+'Inputs'!$B$32)/1000+'Inputs'!$B$21))^2+('Inputs'!$B$6/2)^2)))-'Results'!C7*(1+'Inputs'!$B$24)*(0.5*((((540-43)*MAX('Inputs'!$B$33,'Inputs'!$B$29+'Inputs'!$B$31+'Inputs'!$B$32,'Inputs'!$B$30+'Inputs'!$B$31+'Inputs'!$B$32)/1000+'Inputs'!$B$21+'Inputs'!$B$7+'Inputs'!$B$10)+'Inputs'!$B$9)/SQRT((((540-43)*MAX('Inputs'!$B$33,'Inputs'!$B$29+'Inputs'!$B$31+'Inputs'!$B$32,'Inputs'!$B$30+'Inputs'!$B$31+'Inputs'!$B$32)/1000+'Inputs'!$B$21+'Inputs'!$B$7+'Inputs'!$B$10)+'Inputs'!$B$9)^2+('Inputs'!$B$8/2)^2)-(((540-43)*MAX('Inputs'!$B$33,'Inputs'!$B$29+'Inputs'!$B$31+'Inputs'!$B$32,'Inputs'!$B$30+'Inputs'!$B$31+'Inputs'!$B$32)/1000+'Inputs'!$B$21+'Inputs'!$B$7+'Inputs'!$B$10))/SQRT((((540-43)*MAX('Inputs'!$B$33,'Inputs'!$B$29+'Inputs'!$B$31+'Inputs'!$B$32,'Inputs'!$B$30+'Inputs'!$B$31+'Inputs'!$B$32)/1000+'Inputs'!$B$21+'Inputs'!$B$7+'Inputs'!$B$10))^2+('Inputs'!$B$8/2)^2))))*'Results'!$B$8))),"")</x:f>
        <x:v>3.7794643012400355</x:v>
      </x:c>
      <x:c r="L540" t="n">
        <x:f>IF(AND(ISNUMBER('Results'!B7),ISNUMBER('Results'!C7),ISNUMBER('Results'!$B$8),ISNUMBER('Inputs'!$B$6),ISNUMBER('Inputs'!$B$7),ISNUMBER('Inputs'!$B$8),ISNUMBER('Inputs'!$B$9),ISNUMBER('Inputs'!$B$10),ISNUMBER('Inputs'!$B$21),ISNUMBER('Inputs'!$B$24),ISNUMBER('Inputs'!$B$28)),((('Results'!B7*(1+'Inputs'!$B$24)*(0.5*((((540-43)*MAX('Inputs'!$B$33,'Inputs'!$B$29+'Inputs'!$B$31+'Inputs'!$B$32,'Inputs'!$B$30+'Inputs'!$B$31+'Inputs'!$B$32)/1000+'Inputs'!$B$21)+'Inputs'!$B$7)/SQRT((((540-43)*MAX('Inputs'!$B$33,'Inputs'!$B$29+'Inputs'!$B$31+'Inputs'!$B$32,'Inputs'!$B$30+'Inputs'!$B$31+'Inputs'!$B$32)/1000+'Inputs'!$B$21)+'Inputs'!$B$7)^2+('Inputs'!$B$6/2)^2)-(((540-43)*MAX('Inputs'!$B$33,'Inputs'!$B$29+'Inputs'!$B$31+'Inputs'!$B$32,'Inputs'!$B$30+'Inputs'!$B$31+'Inputs'!$B$32)/1000+'Inputs'!$B$21))/SQRT((((540-43)*MAX('Inputs'!$B$33,'Inputs'!$B$29+'Inputs'!$B$31+'Inputs'!$B$32,'Inputs'!$B$30+'Inputs'!$B$31+'Inputs'!$B$32)/1000+'Inputs'!$B$21))^2+('Inputs'!$B$6/2)^2)))-'Results'!C7*(1-'Inputs'!$B$24)*(0.5*((((540-43)*MAX('Inputs'!$B$33,'Inputs'!$B$29+'Inputs'!$B$31+'Inputs'!$B$32,'Inputs'!$B$30+'Inputs'!$B$31+'Inputs'!$B$32)/1000+'Inputs'!$B$21+'Inputs'!$B$7+'Inputs'!$B$10)+'Inputs'!$B$9)/SQRT((((540-43)*MAX('Inputs'!$B$33,'Inputs'!$B$29+'Inputs'!$B$31+'Inputs'!$B$32,'Inputs'!$B$30+'Inputs'!$B$31+'Inputs'!$B$32)/1000+'Inputs'!$B$21+'Inputs'!$B$7+'Inputs'!$B$10)+'Inputs'!$B$9)^2+('Inputs'!$B$8/2)^2)-(((540-43)*MAX('Inputs'!$B$33,'Inputs'!$B$29+'Inputs'!$B$31+'Inputs'!$B$32,'Inputs'!$B$30+'Inputs'!$B$31+'Inputs'!$B$32)/1000+'Inputs'!$B$21+'Inputs'!$B$7+'Inputs'!$B$10))/SQRT((((540-43)*MAX('Inputs'!$B$33,'Inputs'!$B$29+'Inputs'!$B$31+'Inputs'!$B$32,'Inputs'!$B$30+'Inputs'!$B$31+'Inputs'!$B$32)/1000+'Inputs'!$B$21+'Inputs'!$B$7+'Inputs'!$B$10))^2+('Inputs'!$B$8/2)^2))))*'Results'!$B$8)+'Inputs'!$B$28*ABS((('Results'!B7*(1+'Inputs'!$B$24)*(0.5*((((540-43)*MAX('Inputs'!$B$33,'Inputs'!$B$29+'Inputs'!$B$31+'Inputs'!$B$32,'Inputs'!$B$30+'Inputs'!$B$31+'Inputs'!$B$32)/1000+'Inputs'!$B$21)+'Inputs'!$B$7)/SQRT((((540-43)*MAX('Inputs'!$B$33,'Inputs'!$B$29+'Inputs'!$B$31+'Inputs'!$B$32,'Inputs'!$B$30+'Inputs'!$B$31+'Inputs'!$B$32)/1000+'Inputs'!$B$21)+'Inputs'!$B$7)^2+('Inputs'!$B$6/2)^2)-(((540-43)*MAX('Inputs'!$B$33,'Inputs'!$B$29+'Inputs'!$B$31+'Inputs'!$B$32,'Inputs'!$B$30+'Inputs'!$B$31+'Inputs'!$B$32)/1000+'Inputs'!$B$21))/SQRT((((540-43)*MAX('Inputs'!$B$33,'Inputs'!$B$29+'Inputs'!$B$31+'Inputs'!$B$32,'Inputs'!$B$30+'Inputs'!$B$31+'Inputs'!$B$32)/1000+'Inputs'!$B$21))^2+('Inputs'!$B$6/2)^2)))-'Results'!C7*(1-'Inputs'!$B$24)*(0.5*((((540-43)*MAX('Inputs'!$B$33,'Inputs'!$B$29+'Inputs'!$B$31+'Inputs'!$B$32,'Inputs'!$B$30+'Inputs'!$B$31+'Inputs'!$B$32)/1000+'Inputs'!$B$21+'Inputs'!$B$7+'Inputs'!$B$10)+'Inputs'!$B$9)/SQRT((((540-43)*MAX('Inputs'!$B$33,'Inputs'!$B$29+'Inputs'!$B$31+'Inputs'!$B$32,'Inputs'!$B$30+'Inputs'!$B$31+'Inputs'!$B$32)/1000+'Inputs'!$B$21+'Inputs'!$B$7+'Inputs'!$B$10)+'Inputs'!$B$9)^2+('Inputs'!$B$8/2)^2)-(((540-43)*MAX('Inputs'!$B$33,'Inputs'!$B$29+'Inputs'!$B$31+'Inputs'!$B$32,'Inputs'!$B$30+'Inputs'!$B$31+'Inputs'!$B$32)/1000+'Inputs'!$B$21+'Inputs'!$B$7+'Inputs'!$B$10))/SQRT((((540-43)*MAX('Inputs'!$B$33,'Inputs'!$B$29+'Inputs'!$B$31+'Inputs'!$B$32,'Inputs'!$B$30+'Inputs'!$B$31+'Inputs'!$B$32)/1000+'Inputs'!$B$21+'Inputs'!$B$7+'Inputs'!$B$10))^2+('Inputs'!$B$8/2)^2))))*'Results'!$B$8))),"")</x:f>
        <x:v>4.782110636452604</x:v>
      </x:c>
      <x:c r="M540" t="n">
        <x:f>IF(AND(ISNUMBER('Results'!C7),ISNUMBER('Results'!B7),ISNUMBER('Results'!$B$8),ISNUMBER('Inputs'!$B$6),ISNUMBER('Inputs'!$B$7),ISNUMBER('Inputs'!$B$8),ISNUMBER('Inputs'!$B$9),ISNUMBER('Inputs'!$B$10),ISNUMBER('Inputs'!$B$21),ISNUMBER('Inputs'!$B$24),ISNUMBER('Inputs'!$B$28)),(('Results'!C7*(0.5*((((540-43)*MAX('Inputs'!$B$33,'Inputs'!$B$29+'Inputs'!$B$31+'Inputs'!$B$32,'Inputs'!$B$30+'Inputs'!$B$31+'Inputs'!$B$32)/1000+'Inputs'!$B$21)+'Inputs'!$B$9)/SQRT((((540-43)*MAX('Inputs'!$B$33,'Inputs'!$B$29+'Inputs'!$B$31+'Inputs'!$B$32,'Inputs'!$B$30+'Inputs'!$B$31+'Inputs'!$B$32)/1000+'Inputs'!$B$21)+'Inputs'!$B$9)^2+('Inputs'!$B$8/2)^2)-(((540-43)*MAX('Inputs'!$B$33,'Inputs'!$B$29+'Inputs'!$B$31+'Inputs'!$B$32,'Inputs'!$B$30+'Inputs'!$B$31+'Inputs'!$B$32)/1000+'Inputs'!$B$21))/SQRT((((540-43)*MAX('Inputs'!$B$33,'Inputs'!$B$29+'Inputs'!$B$31+'Inputs'!$B$32,'Inputs'!$B$30+'Inputs'!$B$31+'Inputs'!$B$32)/1000+'Inputs'!$B$21))^2+('Inputs'!$B$8/2)^2)))-'Results'!B7*(0.5*((((540-43)*MAX('Inputs'!$B$33,'Inputs'!$B$29+'Inputs'!$B$31+'Inputs'!$B$32,'Inputs'!$B$30+'Inputs'!$B$31+'Inputs'!$B$32)/1000+'Inputs'!$B$21+'Inputs'!$B$9+'Inputs'!$B$10)+'Inputs'!$B$7)/SQRT((((540-43)*MAX('Inputs'!$B$33,'Inputs'!$B$29+'Inputs'!$B$31+'Inputs'!$B$32,'Inputs'!$B$30+'Inputs'!$B$31+'Inputs'!$B$32)/1000+'Inputs'!$B$21+'Inputs'!$B$9+'Inputs'!$B$10)+'Inputs'!$B$7)^2+('Inputs'!$B$6/2)^2)-(((540-43)*MAX('Inputs'!$B$33,'Inputs'!$B$29+'Inputs'!$B$31+'Inputs'!$B$32,'Inputs'!$B$30+'Inputs'!$B$31+'Inputs'!$B$32)/1000+'Inputs'!$B$21+'Inputs'!$B$9+'Inputs'!$B$10))/SQRT((((540-43)*MAX('Inputs'!$B$33,'Inputs'!$B$29+'Inputs'!$B$31+'Inputs'!$B$32,'Inputs'!$B$30+'Inputs'!$B$31+'Inputs'!$B$32)/1000+'Inputs'!$B$21+'Inputs'!$B$9+'Inputs'!$B$10))^2+('Inputs'!$B$6/2)^2))))*'Results'!$B$8),"")</x:f>
        <x:v>3.9763153519476755</x:v>
      </x:c>
      <x:c r="N540" t="n">
        <x:f>IF(AND(ISNUMBER('Results'!C7),ISNUMBER('Results'!B7),ISNUMBER('Results'!$B$8),ISNUMBER('Inputs'!$B$6),ISNUMBER('Inputs'!$B$7),ISNUMBER('Inputs'!$B$8),ISNUMBER('Inputs'!$B$9),ISNUMBER('Inputs'!$B$10),ISNUMBER('Inputs'!$B$21),ISNUMBER('Inputs'!$B$24),ISNUMBER('Inputs'!$B$28)),((('Results'!C7*(1-'Inputs'!$B$24)*(0.5*((((540-43)*MAX('Inputs'!$B$33,'Inputs'!$B$29+'Inputs'!$B$31+'Inputs'!$B$32,'Inputs'!$B$30+'Inputs'!$B$31+'Inputs'!$B$32)/1000+'Inputs'!$B$21)+'Inputs'!$B$9)/SQRT((((540-43)*MAX('Inputs'!$B$33,'Inputs'!$B$29+'Inputs'!$B$31+'Inputs'!$B$32,'Inputs'!$B$30+'Inputs'!$B$31+'Inputs'!$B$32)/1000+'Inputs'!$B$21)+'Inputs'!$B$9)^2+('Inputs'!$B$8/2)^2)-(((540-43)*MAX('Inputs'!$B$33,'Inputs'!$B$29+'Inputs'!$B$31+'Inputs'!$B$32,'Inputs'!$B$30+'Inputs'!$B$31+'Inputs'!$B$32)/1000+'Inputs'!$B$21))/SQRT((((540-43)*MAX('Inputs'!$B$33,'Inputs'!$B$29+'Inputs'!$B$31+'Inputs'!$B$32,'Inputs'!$B$30+'Inputs'!$B$31+'Inputs'!$B$32)/1000+'Inputs'!$B$21))^2+('Inputs'!$B$8/2)^2)))-'Results'!B7*(1+'Inputs'!$B$24)*(0.5*((((540-43)*MAX('Inputs'!$B$33,'Inputs'!$B$29+'Inputs'!$B$31+'Inputs'!$B$32,'Inputs'!$B$30+'Inputs'!$B$31+'Inputs'!$B$32)/1000+'Inputs'!$B$21+'Inputs'!$B$9+'Inputs'!$B$10)+'Inputs'!$B$7)/SQRT((((540-43)*MAX('Inputs'!$B$33,'Inputs'!$B$29+'Inputs'!$B$31+'Inputs'!$B$32,'Inputs'!$B$30+'Inputs'!$B$31+'Inputs'!$B$32)/1000+'Inputs'!$B$21+'Inputs'!$B$9+'Inputs'!$B$10)+'Inputs'!$B$7)^2+('Inputs'!$B$6/2)^2)-(((540-43)*MAX('Inputs'!$B$33,'Inputs'!$B$29+'Inputs'!$B$31+'Inputs'!$B$32,'Inputs'!$B$30+'Inputs'!$B$31+'Inputs'!$B$32)/1000+'Inputs'!$B$21+'Inputs'!$B$9+'Inputs'!$B$10))/SQRT((((540-43)*MAX('Inputs'!$B$33,'Inputs'!$B$29+'Inputs'!$B$31+'Inputs'!$B$32,'Inputs'!$B$30+'Inputs'!$B$31+'Inputs'!$B$32)/1000+'Inputs'!$B$21+'Inputs'!$B$9+'Inputs'!$B$10))^2+('Inputs'!$B$6/2)^2))))*'Results'!$B$8)-'Inputs'!$B$28*ABS((('Results'!C7*(1-'Inputs'!$B$24)*(0.5*((((540-43)*MAX('Inputs'!$B$33,'Inputs'!$B$29+'Inputs'!$B$31+'Inputs'!$B$32,'Inputs'!$B$30+'Inputs'!$B$31+'Inputs'!$B$32)/1000+'Inputs'!$B$21)+'Inputs'!$B$9)/SQRT((((540-43)*MAX('Inputs'!$B$33,'Inputs'!$B$29+'Inputs'!$B$31+'Inputs'!$B$32,'Inputs'!$B$30+'Inputs'!$B$31+'Inputs'!$B$32)/1000+'Inputs'!$B$21)+'Inputs'!$B$9)^2+('Inputs'!$B$8/2)^2)-(((540-43)*MAX('Inputs'!$B$33,'Inputs'!$B$29+'Inputs'!$B$31+'Inputs'!$B$32,'Inputs'!$B$30+'Inputs'!$B$31+'Inputs'!$B$32)/1000+'Inputs'!$B$21))/SQRT((((540-43)*MAX('Inputs'!$B$33,'Inputs'!$B$29+'Inputs'!$B$31+'Inputs'!$B$32,'Inputs'!$B$30+'Inputs'!$B$31+'Inputs'!$B$32)/1000+'Inputs'!$B$21))^2+('Inputs'!$B$8/2)^2)))-'Results'!B7*(1+'Inputs'!$B$24)*(0.5*((((540-43)*MAX('Inputs'!$B$33,'Inputs'!$B$29+'Inputs'!$B$31+'Inputs'!$B$32,'Inputs'!$B$30+'Inputs'!$B$31+'Inputs'!$B$32)/1000+'Inputs'!$B$21+'Inputs'!$B$9+'Inputs'!$B$10)+'Inputs'!$B$7)/SQRT((((540-43)*MAX('Inputs'!$B$33,'Inputs'!$B$29+'Inputs'!$B$31+'Inputs'!$B$32,'Inputs'!$B$30+'Inputs'!$B$31+'Inputs'!$B$32)/1000+'Inputs'!$B$21+'Inputs'!$B$9+'Inputs'!$B$10)+'Inputs'!$B$7)^2+('Inputs'!$B$6/2)^2)-(((540-43)*MAX('Inputs'!$B$33,'Inputs'!$B$29+'Inputs'!$B$31+'Inputs'!$B$32,'Inputs'!$B$30+'Inputs'!$B$31+'Inputs'!$B$32)/1000+'Inputs'!$B$21+'Inputs'!$B$9+'Inputs'!$B$10))/SQRT((((540-43)*MAX('Inputs'!$B$33,'Inputs'!$B$29+'Inputs'!$B$31+'Inputs'!$B$32,'Inputs'!$B$30+'Inputs'!$B$31+'Inputs'!$B$32)/1000+'Inputs'!$B$21+'Inputs'!$B$9+'Inputs'!$B$10))^2+('Inputs'!$B$6/2)^2))))*'Results'!$B$8))),"")</x:f>
        <x:v>3.5054779036888943</x:v>
      </x:c>
      <x:c r="O540" t="n">
        <x:f>IF(AND(ISNUMBER('Results'!C7),ISNUMBER('Results'!B7),ISNUMBER('Results'!$B$8),ISNUMBER('Inputs'!$B$6),ISNUMBER('Inputs'!$B$7),ISNUMBER('Inputs'!$B$8),ISNUMBER('Inputs'!$B$9),ISNUMBER('Inputs'!$B$10),ISNUMBER('Inputs'!$B$21),ISNUMBER('Inputs'!$B$24),ISNUMBER('Inputs'!$B$28)),((('Results'!C7*(1+'Inputs'!$B$24)*(0.5*((((540-43)*MAX('Inputs'!$B$33,'Inputs'!$B$29+'Inputs'!$B$31+'Inputs'!$B$32,'Inputs'!$B$30+'Inputs'!$B$31+'Inputs'!$B$32)/1000+'Inputs'!$B$21)+'Inputs'!$B$9)/SQRT((((540-43)*MAX('Inputs'!$B$33,'Inputs'!$B$29+'Inputs'!$B$31+'Inputs'!$B$32,'Inputs'!$B$30+'Inputs'!$B$31+'Inputs'!$B$32)/1000+'Inputs'!$B$21)+'Inputs'!$B$9)^2+('Inputs'!$B$8/2)^2)-(((540-43)*MAX('Inputs'!$B$33,'Inputs'!$B$29+'Inputs'!$B$31+'Inputs'!$B$32,'Inputs'!$B$30+'Inputs'!$B$31+'Inputs'!$B$32)/1000+'Inputs'!$B$21))/SQRT((((540-43)*MAX('Inputs'!$B$33,'Inputs'!$B$29+'Inputs'!$B$31+'Inputs'!$B$32,'Inputs'!$B$30+'Inputs'!$B$31+'Inputs'!$B$32)/1000+'Inputs'!$B$21))^2+('Inputs'!$B$8/2)^2)))-'Results'!B7*(1-'Inputs'!$B$24)*(0.5*((((540-43)*MAX('Inputs'!$B$33,'Inputs'!$B$29+'Inputs'!$B$31+'Inputs'!$B$32,'Inputs'!$B$30+'Inputs'!$B$31+'Inputs'!$B$32)/1000+'Inputs'!$B$21+'Inputs'!$B$9+'Inputs'!$B$10)+'Inputs'!$B$7)/SQRT((((540-43)*MAX('Inputs'!$B$33,'Inputs'!$B$29+'Inputs'!$B$31+'Inputs'!$B$32,'Inputs'!$B$30+'Inputs'!$B$31+'Inputs'!$B$32)/1000+'Inputs'!$B$21+'Inputs'!$B$9+'Inputs'!$B$10)+'Inputs'!$B$7)^2+('Inputs'!$B$6/2)^2)-(((540-43)*MAX('Inputs'!$B$33,'Inputs'!$B$29+'Inputs'!$B$31+'Inputs'!$B$32,'Inputs'!$B$30+'Inputs'!$B$31+'Inputs'!$B$32)/1000+'Inputs'!$B$21+'Inputs'!$B$9+'Inputs'!$B$10))/SQRT((((540-43)*MAX('Inputs'!$B$33,'Inputs'!$B$29+'Inputs'!$B$31+'Inputs'!$B$32,'Inputs'!$B$30+'Inputs'!$B$31+'Inputs'!$B$32)/1000+'Inputs'!$B$21+'Inputs'!$B$9+'Inputs'!$B$10))^2+('Inputs'!$B$6/2)^2))))*'Results'!$B$8)+'Inputs'!$B$28*ABS((('Results'!C7*(1+'Inputs'!$B$24)*(0.5*((((540-43)*MAX('Inputs'!$B$33,'Inputs'!$B$29+'Inputs'!$B$31+'Inputs'!$B$32,'Inputs'!$B$30+'Inputs'!$B$31+'Inputs'!$B$32)/1000+'Inputs'!$B$21)+'Inputs'!$B$9)/SQRT((((540-43)*MAX('Inputs'!$B$33,'Inputs'!$B$29+'Inputs'!$B$31+'Inputs'!$B$32,'Inputs'!$B$30+'Inputs'!$B$31+'Inputs'!$B$32)/1000+'Inputs'!$B$21)+'Inputs'!$B$9)^2+('Inputs'!$B$8/2)^2)-(((540-43)*MAX('Inputs'!$B$33,'Inputs'!$B$29+'Inputs'!$B$31+'Inputs'!$B$32,'Inputs'!$B$30+'Inputs'!$B$31+'Inputs'!$B$32)/1000+'Inputs'!$B$21))/SQRT((((540-43)*MAX('Inputs'!$B$33,'Inputs'!$B$29+'Inputs'!$B$31+'Inputs'!$B$32,'Inputs'!$B$30+'Inputs'!$B$31+'Inputs'!$B$32)/1000+'Inputs'!$B$21))^2+('Inputs'!$B$8/2)^2)))-'Results'!B7*(1-'Inputs'!$B$24)*(0.5*((((540-43)*MAX('Inputs'!$B$33,'Inputs'!$B$29+'Inputs'!$B$31+'Inputs'!$B$32,'Inputs'!$B$30+'Inputs'!$B$31+'Inputs'!$B$32)/1000+'Inputs'!$B$21+'Inputs'!$B$9+'Inputs'!$B$10)+'Inputs'!$B$7)/SQRT((((540-43)*MAX('Inputs'!$B$33,'Inputs'!$B$29+'Inputs'!$B$31+'Inputs'!$B$32,'Inputs'!$B$30+'Inputs'!$B$31+'Inputs'!$B$32)/1000+'Inputs'!$B$21+'Inputs'!$B$9+'Inputs'!$B$10)+'Inputs'!$B$7)^2+('Inputs'!$B$6/2)^2)-(((540-43)*MAX('Inputs'!$B$33,'Inputs'!$B$29+'Inputs'!$B$31+'Inputs'!$B$32,'Inputs'!$B$30+'Inputs'!$B$31+'Inputs'!$B$32)/1000+'Inputs'!$B$21+'Inputs'!$B$9+'Inputs'!$B$10))/SQRT((((540-43)*MAX('Inputs'!$B$33,'Inputs'!$B$29+'Inputs'!$B$31+'Inputs'!$B$32,'Inputs'!$B$30+'Inputs'!$B$31+'Inputs'!$B$32)/1000+'Inputs'!$B$21+'Inputs'!$B$9+'Inputs'!$B$10))^2+('Inputs'!$B$6/2)^2))))*'Results'!$B$8))),"")</x:f>
        <x:v>4.4757866613287085</x:v>
      </x:c>
      <x:c r="P540" t="n">
        <x:f>IF(AND(MAX(J540,J539)&gt;0,J540&gt;J539+0.00000001),1,0)</x:f>
        <x:v>0</x:v>
      </x:c>
      <x:c r="Q540" t="n">
        <x:f>IF(AND(MAX(K540,K539)&gt;0,K540&gt;K539+0.00000001),1,0)</x:f>
        <x:v>0</x:v>
      </x:c>
      <x:c r="R540" t="n">
        <x:f>IF(AND(MAX(L540,L539)&gt;0,L540&gt;L539+0.00000001),1,0)</x:f>
        <x:v>0</x:v>
      </x:c>
      <x:c r="S540" t="n">
        <x:f>IF(AND(MAX(M540,M539)&gt;0,M540&gt;M539+0.00000001),1,0)</x:f>
        <x:v>0</x:v>
      </x:c>
      <x:c r="T540" t="n">
        <x:f>IF(AND(MAX(N540,N539)&gt;0,N540&gt;N539+0.00000001),1,0)</x:f>
        <x:v>0</x:v>
      </x:c>
      <x:c r="U540" t="n">
        <x:f>IF(AND(MAX(O540,O539)&gt;0,O540&gt;O539+0.00000001),1,0)</x:f>
        <x:v>0</x:v>
      </x:c>
    </x:row>
    <x:row r="541">
      <x:c r="J541" t="n">
        <x:f>IF(AND(ISNUMBER('Results'!B7),ISNUMBER('Results'!C7),ISNUMBER('Results'!$B$8),ISNUMBER('Inputs'!$B$6),ISNUMBER('Inputs'!$B$7),ISNUMBER('Inputs'!$B$8),ISNUMBER('Inputs'!$B$9),ISNUMBER('Inputs'!$B$10),ISNUMBER('Inputs'!$B$21),ISNUMBER('Inputs'!$B$24),ISNUMBER('Inputs'!$B$28)),(('Results'!B7*(0.5*((((541-43)*MAX('Inputs'!$B$33,'Inputs'!$B$29+'Inputs'!$B$31+'Inputs'!$B$32,'Inputs'!$B$30+'Inputs'!$B$31+'Inputs'!$B$32)/1000+'Inputs'!$B$21)+'Inputs'!$B$7)/SQRT((((541-43)*MAX('Inputs'!$B$33,'Inputs'!$B$29+'Inputs'!$B$31+'Inputs'!$B$32,'Inputs'!$B$30+'Inputs'!$B$31+'Inputs'!$B$32)/1000+'Inputs'!$B$21)+'Inputs'!$B$7)^2+('Inputs'!$B$6/2)^2)-(((541-43)*MAX('Inputs'!$B$33,'Inputs'!$B$29+'Inputs'!$B$31+'Inputs'!$B$32,'Inputs'!$B$30+'Inputs'!$B$31+'Inputs'!$B$32)/1000+'Inputs'!$B$21))/SQRT((((541-43)*MAX('Inputs'!$B$33,'Inputs'!$B$29+'Inputs'!$B$31+'Inputs'!$B$32,'Inputs'!$B$30+'Inputs'!$B$31+'Inputs'!$B$32)/1000+'Inputs'!$B$21))^2+('Inputs'!$B$6/2)^2)))-'Results'!C7*(0.5*((((541-43)*MAX('Inputs'!$B$33,'Inputs'!$B$29+'Inputs'!$B$31+'Inputs'!$B$32,'Inputs'!$B$30+'Inputs'!$B$31+'Inputs'!$B$32)/1000+'Inputs'!$B$21+'Inputs'!$B$7+'Inputs'!$B$10)+'Inputs'!$B$9)/SQRT((((541-43)*MAX('Inputs'!$B$33,'Inputs'!$B$29+'Inputs'!$B$31+'Inputs'!$B$32,'Inputs'!$B$30+'Inputs'!$B$31+'Inputs'!$B$32)/1000+'Inputs'!$B$21+'Inputs'!$B$7+'Inputs'!$B$10)+'Inputs'!$B$9)^2+('Inputs'!$B$8/2)^2)-(((541-43)*MAX('Inputs'!$B$33,'Inputs'!$B$29+'Inputs'!$B$31+'Inputs'!$B$32,'Inputs'!$B$30+'Inputs'!$B$31+'Inputs'!$B$32)/1000+'Inputs'!$B$21+'Inputs'!$B$7+'Inputs'!$B$10))/SQRT((((541-43)*MAX('Inputs'!$B$33,'Inputs'!$B$29+'Inputs'!$B$31+'Inputs'!$B$32,'Inputs'!$B$30+'Inputs'!$B$31+'Inputs'!$B$32)/1000+'Inputs'!$B$21+'Inputs'!$B$7+'Inputs'!$B$10))^2+('Inputs'!$B$8/2)^2))))*'Results'!$B$8),"")</x:f>
        <x:v>4.237215285146511</x:v>
      </x:c>
      <x:c r="K541" t="n">
        <x:f>IF(AND(ISNUMBER('Results'!B7),ISNUMBER('Results'!C7),ISNUMBER('Results'!$B$8),ISNUMBER('Inputs'!$B$6),ISNUMBER('Inputs'!$B$7),ISNUMBER('Inputs'!$B$8),ISNUMBER('Inputs'!$B$9),ISNUMBER('Inputs'!$B$10),ISNUMBER('Inputs'!$B$21),ISNUMBER('Inputs'!$B$24),ISNUMBER('Inputs'!$B$28)),((('Results'!B7*(1-'Inputs'!$B$24)*(0.5*((((541-43)*MAX('Inputs'!$B$33,'Inputs'!$B$29+'Inputs'!$B$31+'Inputs'!$B$32,'Inputs'!$B$30+'Inputs'!$B$31+'Inputs'!$B$32)/1000+'Inputs'!$B$21)+'Inputs'!$B$7)/SQRT((((541-43)*MAX('Inputs'!$B$33,'Inputs'!$B$29+'Inputs'!$B$31+'Inputs'!$B$32,'Inputs'!$B$30+'Inputs'!$B$31+'Inputs'!$B$32)/1000+'Inputs'!$B$21)+'Inputs'!$B$7)^2+('Inputs'!$B$6/2)^2)-(((541-43)*MAX('Inputs'!$B$33,'Inputs'!$B$29+'Inputs'!$B$31+'Inputs'!$B$32,'Inputs'!$B$30+'Inputs'!$B$31+'Inputs'!$B$32)/1000+'Inputs'!$B$21))/SQRT((((541-43)*MAX('Inputs'!$B$33,'Inputs'!$B$29+'Inputs'!$B$31+'Inputs'!$B$32,'Inputs'!$B$30+'Inputs'!$B$31+'Inputs'!$B$32)/1000+'Inputs'!$B$21))^2+('Inputs'!$B$6/2)^2)))-'Results'!C7*(1+'Inputs'!$B$24)*(0.5*((((541-43)*MAX('Inputs'!$B$33,'Inputs'!$B$29+'Inputs'!$B$31+'Inputs'!$B$32,'Inputs'!$B$30+'Inputs'!$B$31+'Inputs'!$B$32)/1000+'Inputs'!$B$21+'Inputs'!$B$7+'Inputs'!$B$10)+'Inputs'!$B$9)/SQRT((((541-43)*MAX('Inputs'!$B$33,'Inputs'!$B$29+'Inputs'!$B$31+'Inputs'!$B$32,'Inputs'!$B$30+'Inputs'!$B$31+'Inputs'!$B$32)/1000+'Inputs'!$B$21+'Inputs'!$B$7+'Inputs'!$B$10)+'Inputs'!$B$9)^2+('Inputs'!$B$8/2)^2)-(((541-43)*MAX('Inputs'!$B$33,'Inputs'!$B$29+'Inputs'!$B$31+'Inputs'!$B$32,'Inputs'!$B$30+'Inputs'!$B$31+'Inputs'!$B$32)/1000+'Inputs'!$B$21+'Inputs'!$B$7+'Inputs'!$B$10))/SQRT((((541-43)*MAX('Inputs'!$B$33,'Inputs'!$B$29+'Inputs'!$B$31+'Inputs'!$B$32,'Inputs'!$B$30+'Inputs'!$B$31+'Inputs'!$B$32)/1000+'Inputs'!$B$21+'Inputs'!$B$7+'Inputs'!$B$10))^2+('Inputs'!$B$8/2)^2))))*'Results'!$B$8)-'Inputs'!$B$28*ABS((('Results'!B7*(1-'Inputs'!$B$24)*(0.5*((((541-43)*MAX('Inputs'!$B$33,'Inputs'!$B$29+'Inputs'!$B$31+'Inputs'!$B$32,'Inputs'!$B$30+'Inputs'!$B$31+'Inputs'!$B$32)/1000+'Inputs'!$B$21)+'Inputs'!$B$7)/SQRT((((541-43)*MAX('Inputs'!$B$33,'Inputs'!$B$29+'Inputs'!$B$31+'Inputs'!$B$32,'Inputs'!$B$30+'Inputs'!$B$31+'Inputs'!$B$32)/1000+'Inputs'!$B$21)+'Inputs'!$B$7)^2+('Inputs'!$B$6/2)^2)-(((541-43)*MAX('Inputs'!$B$33,'Inputs'!$B$29+'Inputs'!$B$31+'Inputs'!$B$32,'Inputs'!$B$30+'Inputs'!$B$31+'Inputs'!$B$32)/1000+'Inputs'!$B$21))/SQRT((((541-43)*MAX('Inputs'!$B$33,'Inputs'!$B$29+'Inputs'!$B$31+'Inputs'!$B$32,'Inputs'!$B$30+'Inputs'!$B$31+'Inputs'!$B$32)/1000+'Inputs'!$B$21))^2+('Inputs'!$B$6/2)^2)))-'Results'!C7*(1+'Inputs'!$B$24)*(0.5*((((541-43)*MAX('Inputs'!$B$33,'Inputs'!$B$29+'Inputs'!$B$31+'Inputs'!$B$32,'Inputs'!$B$30+'Inputs'!$B$31+'Inputs'!$B$32)/1000+'Inputs'!$B$21+'Inputs'!$B$7+'Inputs'!$B$10)+'Inputs'!$B$9)/SQRT((((541-43)*MAX('Inputs'!$B$33,'Inputs'!$B$29+'Inputs'!$B$31+'Inputs'!$B$32,'Inputs'!$B$30+'Inputs'!$B$31+'Inputs'!$B$32)/1000+'Inputs'!$B$21+'Inputs'!$B$7+'Inputs'!$B$10)+'Inputs'!$B$9)^2+('Inputs'!$B$8/2)^2)-(((541-43)*MAX('Inputs'!$B$33,'Inputs'!$B$29+'Inputs'!$B$31+'Inputs'!$B$32,'Inputs'!$B$30+'Inputs'!$B$31+'Inputs'!$B$32)/1000+'Inputs'!$B$21+'Inputs'!$B$7+'Inputs'!$B$10))/SQRT((((541-43)*MAX('Inputs'!$B$33,'Inputs'!$B$29+'Inputs'!$B$31+'Inputs'!$B$32,'Inputs'!$B$30+'Inputs'!$B$31+'Inputs'!$B$32)/1000+'Inputs'!$B$21+'Inputs'!$B$7+'Inputs'!$B$10))^2+('Inputs'!$B$8/2)^2))))*'Results'!$B$8))),"")</x:f>
        <x:v>3.7532039218551083</x:v>
      </x:c>
      <x:c r="L541" t="n">
        <x:f>IF(AND(ISNUMBER('Results'!B7),ISNUMBER('Results'!C7),ISNUMBER('Results'!$B$8),ISNUMBER('Inputs'!$B$6),ISNUMBER('Inputs'!$B$7),ISNUMBER('Inputs'!$B$8),ISNUMBER('Inputs'!$B$9),ISNUMBER('Inputs'!$B$10),ISNUMBER('Inputs'!$B$21),ISNUMBER('Inputs'!$B$24),ISNUMBER('Inputs'!$B$28)),((('Results'!B7*(1+'Inputs'!$B$24)*(0.5*((((541-43)*MAX('Inputs'!$B$33,'Inputs'!$B$29+'Inputs'!$B$31+'Inputs'!$B$32,'Inputs'!$B$30+'Inputs'!$B$31+'Inputs'!$B$32)/1000+'Inputs'!$B$21)+'Inputs'!$B$7)/SQRT((((541-43)*MAX('Inputs'!$B$33,'Inputs'!$B$29+'Inputs'!$B$31+'Inputs'!$B$32,'Inputs'!$B$30+'Inputs'!$B$31+'Inputs'!$B$32)/1000+'Inputs'!$B$21)+'Inputs'!$B$7)^2+('Inputs'!$B$6/2)^2)-(((541-43)*MAX('Inputs'!$B$33,'Inputs'!$B$29+'Inputs'!$B$31+'Inputs'!$B$32,'Inputs'!$B$30+'Inputs'!$B$31+'Inputs'!$B$32)/1000+'Inputs'!$B$21))/SQRT((((541-43)*MAX('Inputs'!$B$33,'Inputs'!$B$29+'Inputs'!$B$31+'Inputs'!$B$32,'Inputs'!$B$30+'Inputs'!$B$31+'Inputs'!$B$32)/1000+'Inputs'!$B$21))^2+('Inputs'!$B$6/2)^2)))-'Results'!C7*(1-'Inputs'!$B$24)*(0.5*((((541-43)*MAX('Inputs'!$B$33,'Inputs'!$B$29+'Inputs'!$B$31+'Inputs'!$B$32,'Inputs'!$B$30+'Inputs'!$B$31+'Inputs'!$B$32)/1000+'Inputs'!$B$21+'Inputs'!$B$7+'Inputs'!$B$10)+'Inputs'!$B$9)/SQRT((((541-43)*MAX('Inputs'!$B$33,'Inputs'!$B$29+'Inputs'!$B$31+'Inputs'!$B$32,'Inputs'!$B$30+'Inputs'!$B$31+'Inputs'!$B$32)/1000+'Inputs'!$B$21+'Inputs'!$B$7+'Inputs'!$B$10)+'Inputs'!$B$9)^2+('Inputs'!$B$8/2)^2)-(((541-43)*MAX('Inputs'!$B$33,'Inputs'!$B$29+'Inputs'!$B$31+'Inputs'!$B$32,'Inputs'!$B$30+'Inputs'!$B$31+'Inputs'!$B$32)/1000+'Inputs'!$B$21+'Inputs'!$B$7+'Inputs'!$B$10))/SQRT((((541-43)*MAX('Inputs'!$B$33,'Inputs'!$B$29+'Inputs'!$B$31+'Inputs'!$B$32,'Inputs'!$B$30+'Inputs'!$B$31+'Inputs'!$B$32)/1000+'Inputs'!$B$21+'Inputs'!$B$7+'Inputs'!$B$10))^2+('Inputs'!$B$8/2)^2))))*'Results'!$B$8)+'Inputs'!$B$28*ABS((('Results'!B7*(1+'Inputs'!$B$24)*(0.5*((((541-43)*MAX('Inputs'!$B$33,'Inputs'!$B$29+'Inputs'!$B$31+'Inputs'!$B$32,'Inputs'!$B$30+'Inputs'!$B$31+'Inputs'!$B$32)/1000+'Inputs'!$B$21)+'Inputs'!$B$7)/SQRT((((541-43)*MAX('Inputs'!$B$33,'Inputs'!$B$29+'Inputs'!$B$31+'Inputs'!$B$32,'Inputs'!$B$30+'Inputs'!$B$31+'Inputs'!$B$32)/1000+'Inputs'!$B$21)+'Inputs'!$B$7)^2+('Inputs'!$B$6/2)^2)-(((541-43)*MAX('Inputs'!$B$33,'Inputs'!$B$29+'Inputs'!$B$31+'Inputs'!$B$32,'Inputs'!$B$30+'Inputs'!$B$31+'Inputs'!$B$32)/1000+'Inputs'!$B$21))/SQRT((((541-43)*MAX('Inputs'!$B$33,'Inputs'!$B$29+'Inputs'!$B$31+'Inputs'!$B$32,'Inputs'!$B$30+'Inputs'!$B$31+'Inputs'!$B$32)/1000+'Inputs'!$B$21))^2+('Inputs'!$B$6/2)^2)))-'Results'!C7*(1-'Inputs'!$B$24)*(0.5*((((541-43)*MAX('Inputs'!$B$33,'Inputs'!$B$29+'Inputs'!$B$31+'Inputs'!$B$32,'Inputs'!$B$30+'Inputs'!$B$31+'Inputs'!$B$32)/1000+'Inputs'!$B$21+'Inputs'!$B$7+'Inputs'!$B$10)+'Inputs'!$B$9)/SQRT((((541-43)*MAX('Inputs'!$B$33,'Inputs'!$B$29+'Inputs'!$B$31+'Inputs'!$B$32,'Inputs'!$B$30+'Inputs'!$B$31+'Inputs'!$B$32)/1000+'Inputs'!$B$21+'Inputs'!$B$7+'Inputs'!$B$10)+'Inputs'!$B$9)^2+('Inputs'!$B$8/2)^2)-(((541-43)*MAX('Inputs'!$B$33,'Inputs'!$B$29+'Inputs'!$B$31+'Inputs'!$B$32,'Inputs'!$B$30+'Inputs'!$B$31+'Inputs'!$B$32)/1000+'Inputs'!$B$21+'Inputs'!$B$7+'Inputs'!$B$10))/SQRT((((541-43)*MAX('Inputs'!$B$33,'Inputs'!$B$29+'Inputs'!$B$31+'Inputs'!$B$32,'Inputs'!$B$30+'Inputs'!$B$31+'Inputs'!$B$32)/1000+'Inputs'!$B$21+'Inputs'!$B$7+'Inputs'!$B$10))^2+('Inputs'!$B$8/2)^2))))*'Results'!$B$8))),"")</x:f>
        <x:v>4.749874079915184</x:v>
      </x:c>
      <x:c r="M541" t="n">
        <x:f>IF(AND(ISNUMBER('Results'!C7),ISNUMBER('Results'!B7),ISNUMBER('Results'!$B$8),ISNUMBER('Inputs'!$B$6),ISNUMBER('Inputs'!$B$7),ISNUMBER('Inputs'!$B$8),ISNUMBER('Inputs'!$B$9),ISNUMBER('Inputs'!$B$10),ISNUMBER('Inputs'!$B$21),ISNUMBER('Inputs'!$B$24),ISNUMBER('Inputs'!$B$28)),(('Results'!C7*(0.5*((((541-43)*MAX('Inputs'!$B$33,'Inputs'!$B$29+'Inputs'!$B$31+'Inputs'!$B$32,'Inputs'!$B$30+'Inputs'!$B$31+'Inputs'!$B$32)/1000+'Inputs'!$B$21)+'Inputs'!$B$9)/SQRT((((541-43)*MAX('Inputs'!$B$33,'Inputs'!$B$29+'Inputs'!$B$31+'Inputs'!$B$32,'Inputs'!$B$30+'Inputs'!$B$31+'Inputs'!$B$32)/1000+'Inputs'!$B$21)+'Inputs'!$B$9)^2+('Inputs'!$B$8/2)^2)-(((541-43)*MAX('Inputs'!$B$33,'Inputs'!$B$29+'Inputs'!$B$31+'Inputs'!$B$32,'Inputs'!$B$30+'Inputs'!$B$31+'Inputs'!$B$32)/1000+'Inputs'!$B$21))/SQRT((((541-43)*MAX('Inputs'!$B$33,'Inputs'!$B$29+'Inputs'!$B$31+'Inputs'!$B$32,'Inputs'!$B$30+'Inputs'!$B$31+'Inputs'!$B$32)/1000+'Inputs'!$B$21))^2+('Inputs'!$B$8/2)^2)))-'Results'!B7*(0.5*((((541-43)*MAX('Inputs'!$B$33,'Inputs'!$B$29+'Inputs'!$B$31+'Inputs'!$B$32,'Inputs'!$B$30+'Inputs'!$B$31+'Inputs'!$B$32)/1000+'Inputs'!$B$21+'Inputs'!$B$9+'Inputs'!$B$10)+'Inputs'!$B$7)/SQRT((((541-43)*MAX('Inputs'!$B$33,'Inputs'!$B$29+'Inputs'!$B$31+'Inputs'!$B$32,'Inputs'!$B$30+'Inputs'!$B$31+'Inputs'!$B$32)/1000+'Inputs'!$B$21+'Inputs'!$B$9+'Inputs'!$B$10)+'Inputs'!$B$7)^2+('Inputs'!$B$6/2)^2)-(((541-43)*MAX('Inputs'!$B$33,'Inputs'!$B$29+'Inputs'!$B$31+'Inputs'!$B$32,'Inputs'!$B$30+'Inputs'!$B$31+'Inputs'!$B$32)/1000+'Inputs'!$B$21+'Inputs'!$B$9+'Inputs'!$B$10))/SQRT((((541-43)*MAX('Inputs'!$B$33,'Inputs'!$B$29+'Inputs'!$B$31+'Inputs'!$B$32,'Inputs'!$B$30+'Inputs'!$B$31+'Inputs'!$B$32)/1000+'Inputs'!$B$21+'Inputs'!$B$9+'Inputs'!$B$10))^2+('Inputs'!$B$6/2)^2))))*'Results'!$B$8),"")</x:f>
        <x:v>3.9486825008934945</x:v>
      </x:c>
      <x:c r="N541" t="n">
        <x:f>IF(AND(ISNUMBER('Results'!C7),ISNUMBER('Results'!B7),ISNUMBER('Results'!$B$8),ISNUMBER('Inputs'!$B$6),ISNUMBER('Inputs'!$B$7),ISNUMBER('Inputs'!$B$8),ISNUMBER('Inputs'!$B$9),ISNUMBER('Inputs'!$B$10),ISNUMBER('Inputs'!$B$21),ISNUMBER('Inputs'!$B$24),ISNUMBER('Inputs'!$B$28)),((('Results'!C7*(1-'Inputs'!$B$24)*(0.5*((((541-43)*MAX('Inputs'!$B$33,'Inputs'!$B$29+'Inputs'!$B$31+'Inputs'!$B$32,'Inputs'!$B$30+'Inputs'!$B$31+'Inputs'!$B$32)/1000+'Inputs'!$B$21)+'Inputs'!$B$9)/SQRT((((541-43)*MAX('Inputs'!$B$33,'Inputs'!$B$29+'Inputs'!$B$31+'Inputs'!$B$32,'Inputs'!$B$30+'Inputs'!$B$31+'Inputs'!$B$32)/1000+'Inputs'!$B$21)+'Inputs'!$B$9)^2+('Inputs'!$B$8/2)^2)-(((541-43)*MAX('Inputs'!$B$33,'Inputs'!$B$29+'Inputs'!$B$31+'Inputs'!$B$32,'Inputs'!$B$30+'Inputs'!$B$31+'Inputs'!$B$32)/1000+'Inputs'!$B$21))/SQRT((((541-43)*MAX('Inputs'!$B$33,'Inputs'!$B$29+'Inputs'!$B$31+'Inputs'!$B$32,'Inputs'!$B$30+'Inputs'!$B$31+'Inputs'!$B$32)/1000+'Inputs'!$B$21))^2+('Inputs'!$B$8/2)^2)))-'Results'!B7*(1+'Inputs'!$B$24)*(0.5*((((541-43)*MAX('Inputs'!$B$33,'Inputs'!$B$29+'Inputs'!$B$31+'Inputs'!$B$32,'Inputs'!$B$30+'Inputs'!$B$31+'Inputs'!$B$32)/1000+'Inputs'!$B$21+'Inputs'!$B$9+'Inputs'!$B$10)+'Inputs'!$B$7)/SQRT((((541-43)*MAX('Inputs'!$B$33,'Inputs'!$B$29+'Inputs'!$B$31+'Inputs'!$B$32,'Inputs'!$B$30+'Inputs'!$B$31+'Inputs'!$B$32)/1000+'Inputs'!$B$21+'Inputs'!$B$9+'Inputs'!$B$10)+'Inputs'!$B$7)^2+('Inputs'!$B$6/2)^2)-(((541-43)*MAX('Inputs'!$B$33,'Inputs'!$B$29+'Inputs'!$B$31+'Inputs'!$B$32,'Inputs'!$B$30+'Inputs'!$B$31+'Inputs'!$B$32)/1000+'Inputs'!$B$21+'Inputs'!$B$9+'Inputs'!$B$10))/SQRT((((541-43)*MAX('Inputs'!$B$33,'Inputs'!$B$29+'Inputs'!$B$31+'Inputs'!$B$32,'Inputs'!$B$30+'Inputs'!$B$31+'Inputs'!$B$32)/1000+'Inputs'!$B$21+'Inputs'!$B$9+'Inputs'!$B$10))^2+('Inputs'!$B$6/2)^2))))*'Results'!$B$8)-'Inputs'!$B$28*ABS((('Results'!C7*(1-'Inputs'!$B$24)*(0.5*((((541-43)*MAX('Inputs'!$B$33,'Inputs'!$B$29+'Inputs'!$B$31+'Inputs'!$B$32,'Inputs'!$B$30+'Inputs'!$B$31+'Inputs'!$B$32)/1000+'Inputs'!$B$21)+'Inputs'!$B$9)/SQRT((((541-43)*MAX('Inputs'!$B$33,'Inputs'!$B$29+'Inputs'!$B$31+'Inputs'!$B$32,'Inputs'!$B$30+'Inputs'!$B$31+'Inputs'!$B$32)/1000+'Inputs'!$B$21)+'Inputs'!$B$9)^2+('Inputs'!$B$8/2)^2)-(((541-43)*MAX('Inputs'!$B$33,'Inputs'!$B$29+'Inputs'!$B$31+'Inputs'!$B$32,'Inputs'!$B$30+'Inputs'!$B$31+'Inputs'!$B$32)/1000+'Inputs'!$B$21))/SQRT((((541-43)*MAX('Inputs'!$B$33,'Inputs'!$B$29+'Inputs'!$B$31+'Inputs'!$B$32,'Inputs'!$B$30+'Inputs'!$B$31+'Inputs'!$B$32)/1000+'Inputs'!$B$21))^2+('Inputs'!$B$8/2)^2)))-'Results'!B7*(1+'Inputs'!$B$24)*(0.5*((((541-43)*MAX('Inputs'!$B$33,'Inputs'!$B$29+'Inputs'!$B$31+'Inputs'!$B$32,'Inputs'!$B$30+'Inputs'!$B$31+'Inputs'!$B$32)/1000+'Inputs'!$B$21+'Inputs'!$B$9+'Inputs'!$B$10)+'Inputs'!$B$7)/SQRT((((541-43)*MAX('Inputs'!$B$33,'Inputs'!$B$29+'Inputs'!$B$31+'Inputs'!$B$32,'Inputs'!$B$30+'Inputs'!$B$31+'Inputs'!$B$32)/1000+'Inputs'!$B$21+'Inputs'!$B$9+'Inputs'!$B$10)+'Inputs'!$B$7)^2+('Inputs'!$B$6/2)^2)-(((541-43)*MAX('Inputs'!$B$33,'Inputs'!$B$29+'Inputs'!$B$31+'Inputs'!$B$32,'Inputs'!$B$30+'Inputs'!$B$31+'Inputs'!$B$32)/1000+'Inputs'!$B$21+'Inputs'!$B$9+'Inputs'!$B$10))/SQRT((((541-43)*MAX('Inputs'!$B$33,'Inputs'!$B$29+'Inputs'!$B$31+'Inputs'!$B$32,'Inputs'!$B$30+'Inputs'!$B$31+'Inputs'!$B$32)/1000+'Inputs'!$B$21+'Inputs'!$B$9+'Inputs'!$B$10))^2+('Inputs'!$B$6/2)^2))))*'Results'!$B$8))),"")</x:f>
        <x:v>3.4806688077029744</x:v>
      </x:c>
      <x:c r="O541" t="n">
        <x:f>IF(AND(ISNUMBER('Results'!C7),ISNUMBER('Results'!B7),ISNUMBER('Results'!$B$8),ISNUMBER('Inputs'!$B$6),ISNUMBER('Inputs'!$B$7),ISNUMBER('Inputs'!$B$8),ISNUMBER('Inputs'!$B$9),ISNUMBER('Inputs'!$B$10),ISNUMBER('Inputs'!$B$21),ISNUMBER('Inputs'!$B$24),ISNUMBER('Inputs'!$B$28)),((('Results'!C7*(1+'Inputs'!$B$24)*(0.5*((((541-43)*MAX('Inputs'!$B$33,'Inputs'!$B$29+'Inputs'!$B$31+'Inputs'!$B$32,'Inputs'!$B$30+'Inputs'!$B$31+'Inputs'!$B$32)/1000+'Inputs'!$B$21)+'Inputs'!$B$9)/SQRT((((541-43)*MAX('Inputs'!$B$33,'Inputs'!$B$29+'Inputs'!$B$31+'Inputs'!$B$32,'Inputs'!$B$30+'Inputs'!$B$31+'Inputs'!$B$32)/1000+'Inputs'!$B$21)+'Inputs'!$B$9)^2+('Inputs'!$B$8/2)^2)-(((541-43)*MAX('Inputs'!$B$33,'Inputs'!$B$29+'Inputs'!$B$31+'Inputs'!$B$32,'Inputs'!$B$30+'Inputs'!$B$31+'Inputs'!$B$32)/1000+'Inputs'!$B$21))/SQRT((((541-43)*MAX('Inputs'!$B$33,'Inputs'!$B$29+'Inputs'!$B$31+'Inputs'!$B$32,'Inputs'!$B$30+'Inputs'!$B$31+'Inputs'!$B$32)/1000+'Inputs'!$B$21))^2+('Inputs'!$B$8/2)^2)))-'Results'!B7*(1-'Inputs'!$B$24)*(0.5*((((541-43)*MAX('Inputs'!$B$33,'Inputs'!$B$29+'Inputs'!$B$31+'Inputs'!$B$32,'Inputs'!$B$30+'Inputs'!$B$31+'Inputs'!$B$32)/1000+'Inputs'!$B$21+'Inputs'!$B$9+'Inputs'!$B$10)+'Inputs'!$B$7)/SQRT((((541-43)*MAX('Inputs'!$B$33,'Inputs'!$B$29+'Inputs'!$B$31+'Inputs'!$B$32,'Inputs'!$B$30+'Inputs'!$B$31+'Inputs'!$B$32)/1000+'Inputs'!$B$21+'Inputs'!$B$9+'Inputs'!$B$10)+'Inputs'!$B$7)^2+('Inputs'!$B$6/2)^2)-(((541-43)*MAX('Inputs'!$B$33,'Inputs'!$B$29+'Inputs'!$B$31+'Inputs'!$B$32,'Inputs'!$B$30+'Inputs'!$B$31+'Inputs'!$B$32)/1000+'Inputs'!$B$21+'Inputs'!$B$9+'Inputs'!$B$10))/SQRT((((541-43)*MAX('Inputs'!$B$33,'Inputs'!$B$29+'Inputs'!$B$31+'Inputs'!$B$32,'Inputs'!$B$30+'Inputs'!$B$31+'Inputs'!$B$32)/1000+'Inputs'!$B$21+'Inputs'!$B$9+'Inputs'!$B$10))^2+('Inputs'!$B$6/2)^2))))*'Results'!$B$8)+'Inputs'!$B$28*ABS((('Results'!C7*(1+'Inputs'!$B$24)*(0.5*((((541-43)*MAX('Inputs'!$B$33,'Inputs'!$B$29+'Inputs'!$B$31+'Inputs'!$B$32,'Inputs'!$B$30+'Inputs'!$B$31+'Inputs'!$B$32)/1000+'Inputs'!$B$21)+'Inputs'!$B$9)/SQRT((((541-43)*MAX('Inputs'!$B$33,'Inputs'!$B$29+'Inputs'!$B$31+'Inputs'!$B$32,'Inputs'!$B$30+'Inputs'!$B$31+'Inputs'!$B$32)/1000+'Inputs'!$B$21)+'Inputs'!$B$9)^2+('Inputs'!$B$8/2)^2)-(((541-43)*MAX('Inputs'!$B$33,'Inputs'!$B$29+'Inputs'!$B$31+'Inputs'!$B$32,'Inputs'!$B$30+'Inputs'!$B$31+'Inputs'!$B$32)/1000+'Inputs'!$B$21))/SQRT((((541-43)*MAX('Inputs'!$B$33,'Inputs'!$B$29+'Inputs'!$B$31+'Inputs'!$B$32,'Inputs'!$B$30+'Inputs'!$B$31+'Inputs'!$B$32)/1000+'Inputs'!$B$21))^2+('Inputs'!$B$8/2)^2)))-'Results'!B7*(1-'Inputs'!$B$24)*(0.5*((((541-43)*MAX('Inputs'!$B$33,'Inputs'!$B$29+'Inputs'!$B$31+'Inputs'!$B$32,'Inputs'!$B$30+'Inputs'!$B$31+'Inputs'!$B$32)/1000+'Inputs'!$B$21+'Inputs'!$B$9+'Inputs'!$B$10)+'Inputs'!$B$7)/SQRT((((541-43)*MAX('Inputs'!$B$33,'Inputs'!$B$29+'Inputs'!$B$31+'Inputs'!$B$32,'Inputs'!$B$30+'Inputs'!$B$31+'Inputs'!$B$32)/1000+'Inputs'!$B$21+'Inputs'!$B$9+'Inputs'!$B$10)+'Inputs'!$B$7)^2+('Inputs'!$B$6/2)^2)-(((541-43)*MAX('Inputs'!$B$33,'Inputs'!$B$29+'Inputs'!$B$31+'Inputs'!$B$32,'Inputs'!$B$30+'Inputs'!$B$31+'Inputs'!$B$32)/1000+'Inputs'!$B$21+'Inputs'!$B$9+'Inputs'!$B$10))/SQRT((((541-43)*MAX('Inputs'!$B$33,'Inputs'!$B$29+'Inputs'!$B$31+'Inputs'!$B$32,'Inputs'!$B$30+'Inputs'!$B$31+'Inputs'!$B$32)/1000+'Inputs'!$B$21+'Inputs'!$B$9+'Inputs'!$B$10))^2+('Inputs'!$B$6/2)^2))))*'Results'!$B$8))),"")</x:f>
        <x:v>4.445178253888843</x:v>
      </x:c>
      <x:c r="P541" t="n">
        <x:f>IF(AND(MAX(J541,J540)&gt;0,J541&gt;J540+0.00000001),1,0)</x:f>
        <x:v>0</x:v>
      </x:c>
      <x:c r="Q541" t="n">
        <x:f>IF(AND(MAX(K541,K540)&gt;0,K541&gt;K540+0.00000001),1,0)</x:f>
        <x:v>0</x:v>
      </x:c>
      <x:c r="R541" t="n">
        <x:f>IF(AND(MAX(L541,L540)&gt;0,L541&gt;L540+0.00000001),1,0)</x:f>
        <x:v>0</x:v>
      </x:c>
      <x:c r="S541" t="n">
        <x:f>IF(AND(MAX(M541,M540)&gt;0,M541&gt;M540+0.00000001),1,0)</x:f>
        <x:v>0</x:v>
      </x:c>
      <x:c r="T541" t="n">
        <x:f>IF(AND(MAX(N541,N540)&gt;0,N541&gt;N540+0.00000001),1,0)</x:f>
        <x:v>0</x:v>
      </x:c>
      <x:c r="U541" t="n">
        <x:f>IF(AND(MAX(O541,O540)&gt;0,O541&gt;O540+0.00000001),1,0)</x:f>
        <x:v>0</x:v>
      </x:c>
    </x:row>
    <x:row r="542">
      <x:c r="J542" t="n">
        <x:f>IF(AND(ISNUMBER('Results'!B7),ISNUMBER('Results'!C7),ISNUMBER('Results'!$B$8),ISNUMBER('Inputs'!$B$6),ISNUMBER('Inputs'!$B$7),ISNUMBER('Inputs'!$B$8),ISNUMBER('Inputs'!$B$9),ISNUMBER('Inputs'!$B$10),ISNUMBER('Inputs'!$B$21),ISNUMBER('Inputs'!$B$24),ISNUMBER('Inputs'!$B$28)),(('Results'!B7*(0.5*((((542-43)*MAX('Inputs'!$B$33,'Inputs'!$B$29+'Inputs'!$B$31+'Inputs'!$B$32,'Inputs'!$B$30+'Inputs'!$B$31+'Inputs'!$B$32)/1000+'Inputs'!$B$21)+'Inputs'!$B$7)/SQRT((((542-43)*MAX('Inputs'!$B$33,'Inputs'!$B$29+'Inputs'!$B$31+'Inputs'!$B$32,'Inputs'!$B$30+'Inputs'!$B$31+'Inputs'!$B$32)/1000+'Inputs'!$B$21)+'Inputs'!$B$7)^2+('Inputs'!$B$6/2)^2)-(((542-43)*MAX('Inputs'!$B$33,'Inputs'!$B$29+'Inputs'!$B$31+'Inputs'!$B$32,'Inputs'!$B$30+'Inputs'!$B$31+'Inputs'!$B$32)/1000+'Inputs'!$B$21))/SQRT((((542-43)*MAX('Inputs'!$B$33,'Inputs'!$B$29+'Inputs'!$B$31+'Inputs'!$B$32,'Inputs'!$B$30+'Inputs'!$B$31+'Inputs'!$B$32)/1000+'Inputs'!$B$21))^2+('Inputs'!$B$6/2)^2)))-'Results'!C7*(0.5*((((542-43)*MAX('Inputs'!$B$33,'Inputs'!$B$29+'Inputs'!$B$31+'Inputs'!$B$32,'Inputs'!$B$30+'Inputs'!$B$31+'Inputs'!$B$32)/1000+'Inputs'!$B$21+'Inputs'!$B$7+'Inputs'!$B$10)+'Inputs'!$B$9)/SQRT((((542-43)*MAX('Inputs'!$B$33,'Inputs'!$B$29+'Inputs'!$B$31+'Inputs'!$B$32,'Inputs'!$B$30+'Inputs'!$B$31+'Inputs'!$B$32)/1000+'Inputs'!$B$21+'Inputs'!$B$7+'Inputs'!$B$10)+'Inputs'!$B$9)^2+('Inputs'!$B$8/2)^2)-(((542-43)*MAX('Inputs'!$B$33,'Inputs'!$B$29+'Inputs'!$B$31+'Inputs'!$B$32,'Inputs'!$B$30+'Inputs'!$B$31+'Inputs'!$B$32)/1000+'Inputs'!$B$21+'Inputs'!$B$7+'Inputs'!$B$10))/SQRT((((542-43)*MAX('Inputs'!$B$33,'Inputs'!$B$29+'Inputs'!$B$31+'Inputs'!$B$32,'Inputs'!$B$30+'Inputs'!$B$31+'Inputs'!$B$32)/1000+'Inputs'!$B$21+'Inputs'!$B$7+'Inputs'!$B$10))^2+('Inputs'!$B$8/2)^2))))*'Results'!$B$8),"")</x:f>
        <x:v>4.208292559514669</x:v>
      </x:c>
      <x:c r="K542" t="n">
        <x:f>IF(AND(ISNUMBER('Results'!B7),ISNUMBER('Results'!C7),ISNUMBER('Results'!$B$8),ISNUMBER('Inputs'!$B$6),ISNUMBER('Inputs'!$B$7),ISNUMBER('Inputs'!$B$8),ISNUMBER('Inputs'!$B$9),ISNUMBER('Inputs'!$B$10),ISNUMBER('Inputs'!$B$21),ISNUMBER('Inputs'!$B$24),ISNUMBER('Inputs'!$B$28)),((('Results'!B7*(1-'Inputs'!$B$24)*(0.5*((((542-43)*MAX('Inputs'!$B$33,'Inputs'!$B$29+'Inputs'!$B$31+'Inputs'!$B$32,'Inputs'!$B$30+'Inputs'!$B$31+'Inputs'!$B$32)/1000+'Inputs'!$B$21)+'Inputs'!$B$7)/SQRT((((542-43)*MAX('Inputs'!$B$33,'Inputs'!$B$29+'Inputs'!$B$31+'Inputs'!$B$32,'Inputs'!$B$30+'Inputs'!$B$31+'Inputs'!$B$32)/1000+'Inputs'!$B$21)+'Inputs'!$B$7)^2+('Inputs'!$B$6/2)^2)-(((542-43)*MAX('Inputs'!$B$33,'Inputs'!$B$29+'Inputs'!$B$31+'Inputs'!$B$32,'Inputs'!$B$30+'Inputs'!$B$31+'Inputs'!$B$32)/1000+'Inputs'!$B$21))/SQRT((((542-43)*MAX('Inputs'!$B$33,'Inputs'!$B$29+'Inputs'!$B$31+'Inputs'!$B$32,'Inputs'!$B$30+'Inputs'!$B$31+'Inputs'!$B$32)/1000+'Inputs'!$B$21))^2+('Inputs'!$B$6/2)^2)))-'Results'!C7*(1+'Inputs'!$B$24)*(0.5*((((542-43)*MAX('Inputs'!$B$33,'Inputs'!$B$29+'Inputs'!$B$31+'Inputs'!$B$32,'Inputs'!$B$30+'Inputs'!$B$31+'Inputs'!$B$32)/1000+'Inputs'!$B$21+'Inputs'!$B$7+'Inputs'!$B$10)+'Inputs'!$B$9)/SQRT((((542-43)*MAX('Inputs'!$B$33,'Inputs'!$B$29+'Inputs'!$B$31+'Inputs'!$B$32,'Inputs'!$B$30+'Inputs'!$B$31+'Inputs'!$B$32)/1000+'Inputs'!$B$21+'Inputs'!$B$7+'Inputs'!$B$10)+'Inputs'!$B$9)^2+('Inputs'!$B$8/2)^2)-(((542-43)*MAX('Inputs'!$B$33,'Inputs'!$B$29+'Inputs'!$B$31+'Inputs'!$B$32,'Inputs'!$B$30+'Inputs'!$B$31+'Inputs'!$B$32)/1000+'Inputs'!$B$21+'Inputs'!$B$7+'Inputs'!$B$10))/SQRT((((542-43)*MAX('Inputs'!$B$33,'Inputs'!$B$29+'Inputs'!$B$31+'Inputs'!$B$32,'Inputs'!$B$30+'Inputs'!$B$31+'Inputs'!$B$32)/1000+'Inputs'!$B$21+'Inputs'!$B$7+'Inputs'!$B$10))^2+('Inputs'!$B$8/2)^2))))*'Results'!$B$8)-'Inputs'!$B$28*ABS((('Results'!B7*(1-'Inputs'!$B$24)*(0.5*((((542-43)*MAX('Inputs'!$B$33,'Inputs'!$B$29+'Inputs'!$B$31+'Inputs'!$B$32,'Inputs'!$B$30+'Inputs'!$B$31+'Inputs'!$B$32)/1000+'Inputs'!$B$21)+'Inputs'!$B$7)/SQRT((((542-43)*MAX('Inputs'!$B$33,'Inputs'!$B$29+'Inputs'!$B$31+'Inputs'!$B$32,'Inputs'!$B$30+'Inputs'!$B$31+'Inputs'!$B$32)/1000+'Inputs'!$B$21)+'Inputs'!$B$7)^2+('Inputs'!$B$6/2)^2)-(((542-43)*MAX('Inputs'!$B$33,'Inputs'!$B$29+'Inputs'!$B$31+'Inputs'!$B$32,'Inputs'!$B$30+'Inputs'!$B$31+'Inputs'!$B$32)/1000+'Inputs'!$B$21))/SQRT((((542-43)*MAX('Inputs'!$B$33,'Inputs'!$B$29+'Inputs'!$B$31+'Inputs'!$B$32,'Inputs'!$B$30+'Inputs'!$B$31+'Inputs'!$B$32)/1000+'Inputs'!$B$21))^2+('Inputs'!$B$6/2)^2)))-'Results'!C7*(1+'Inputs'!$B$24)*(0.5*((((542-43)*MAX('Inputs'!$B$33,'Inputs'!$B$29+'Inputs'!$B$31+'Inputs'!$B$32,'Inputs'!$B$30+'Inputs'!$B$31+'Inputs'!$B$32)/1000+'Inputs'!$B$21+'Inputs'!$B$7+'Inputs'!$B$10)+'Inputs'!$B$9)/SQRT((((542-43)*MAX('Inputs'!$B$33,'Inputs'!$B$29+'Inputs'!$B$31+'Inputs'!$B$32,'Inputs'!$B$30+'Inputs'!$B$31+'Inputs'!$B$32)/1000+'Inputs'!$B$21+'Inputs'!$B$7+'Inputs'!$B$10)+'Inputs'!$B$9)^2+('Inputs'!$B$8/2)^2)-(((542-43)*MAX('Inputs'!$B$33,'Inputs'!$B$29+'Inputs'!$B$31+'Inputs'!$B$32,'Inputs'!$B$30+'Inputs'!$B$31+'Inputs'!$B$32)/1000+'Inputs'!$B$21+'Inputs'!$B$7+'Inputs'!$B$10))/SQRT((((542-43)*MAX('Inputs'!$B$33,'Inputs'!$B$29+'Inputs'!$B$31+'Inputs'!$B$32,'Inputs'!$B$30+'Inputs'!$B$31+'Inputs'!$B$32)/1000+'Inputs'!$B$21+'Inputs'!$B$7+'Inputs'!$B$10))^2+('Inputs'!$B$8/2)^2))))*'Results'!$B$8))),"")</x:f>
        <x:v>3.727170046257732</x:v>
      </x:c>
      <x:c r="L542" t="n">
        <x:f>IF(AND(ISNUMBER('Results'!B7),ISNUMBER('Results'!C7),ISNUMBER('Results'!$B$8),ISNUMBER('Inputs'!$B$6),ISNUMBER('Inputs'!$B$7),ISNUMBER('Inputs'!$B$8),ISNUMBER('Inputs'!$B$9),ISNUMBER('Inputs'!$B$10),ISNUMBER('Inputs'!$B$21),ISNUMBER('Inputs'!$B$24),ISNUMBER('Inputs'!$B$28)),((('Results'!B7*(1+'Inputs'!$B$24)*(0.5*((((542-43)*MAX('Inputs'!$B$33,'Inputs'!$B$29+'Inputs'!$B$31+'Inputs'!$B$32,'Inputs'!$B$30+'Inputs'!$B$31+'Inputs'!$B$32)/1000+'Inputs'!$B$21)+'Inputs'!$B$7)/SQRT((((542-43)*MAX('Inputs'!$B$33,'Inputs'!$B$29+'Inputs'!$B$31+'Inputs'!$B$32,'Inputs'!$B$30+'Inputs'!$B$31+'Inputs'!$B$32)/1000+'Inputs'!$B$21)+'Inputs'!$B$7)^2+('Inputs'!$B$6/2)^2)-(((542-43)*MAX('Inputs'!$B$33,'Inputs'!$B$29+'Inputs'!$B$31+'Inputs'!$B$32,'Inputs'!$B$30+'Inputs'!$B$31+'Inputs'!$B$32)/1000+'Inputs'!$B$21))/SQRT((((542-43)*MAX('Inputs'!$B$33,'Inputs'!$B$29+'Inputs'!$B$31+'Inputs'!$B$32,'Inputs'!$B$30+'Inputs'!$B$31+'Inputs'!$B$32)/1000+'Inputs'!$B$21))^2+('Inputs'!$B$6/2)^2)))-'Results'!C7*(1-'Inputs'!$B$24)*(0.5*((((542-43)*MAX('Inputs'!$B$33,'Inputs'!$B$29+'Inputs'!$B$31+'Inputs'!$B$32,'Inputs'!$B$30+'Inputs'!$B$31+'Inputs'!$B$32)/1000+'Inputs'!$B$21+'Inputs'!$B$7+'Inputs'!$B$10)+'Inputs'!$B$9)/SQRT((((542-43)*MAX('Inputs'!$B$33,'Inputs'!$B$29+'Inputs'!$B$31+'Inputs'!$B$32,'Inputs'!$B$30+'Inputs'!$B$31+'Inputs'!$B$32)/1000+'Inputs'!$B$21+'Inputs'!$B$7+'Inputs'!$B$10)+'Inputs'!$B$9)^2+('Inputs'!$B$8/2)^2)-(((542-43)*MAX('Inputs'!$B$33,'Inputs'!$B$29+'Inputs'!$B$31+'Inputs'!$B$32,'Inputs'!$B$30+'Inputs'!$B$31+'Inputs'!$B$32)/1000+'Inputs'!$B$21+'Inputs'!$B$7+'Inputs'!$B$10))/SQRT((((542-43)*MAX('Inputs'!$B$33,'Inputs'!$B$29+'Inputs'!$B$31+'Inputs'!$B$32,'Inputs'!$B$30+'Inputs'!$B$31+'Inputs'!$B$32)/1000+'Inputs'!$B$21+'Inputs'!$B$7+'Inputs'!$B$10))^2+('Inputs'!$B$8/2)^2))))*'Results'!$B$8)+'Inputs'!$B$28*ABS((('Results'!B7*(1+'Inputs'!$B$24)*(0.5*((((542-43)*MAX('Inputs'!$B$33,'Inputs'!$B$29+'Inputs'!$B$31+'Inputs'!$B$32,'Inputs'!$B$30+'Inputs'!$B$31+'Inputs'!$B$32)/1000+'Inputs'!$B$21)+'Inputs'!$B$7)/SQRT((((542-43)*MAX('Inputs'!$B$33,'Inputs'!$B$29+'Inputs'!$B$31+'Inputs'!$B$32,'Inputs'!$B$30+'Inputs'!$B$31+'Inputs'!$B$32)/1000+'Inputs'!$B$21)+'Inputs'!$B$7)^2+('Inputs'!$B$6/2)^2)-(((542-43)*MAX('Inputs'!$B$33,'Inputs'!$B$29+'Inputs'!$B$31+'Inputs'!$B$32,'Inputs'!$B$30+'Inputs'!$B$31+'Inputs'!$B$32)/1000+'Inputs'!$B$21))/SQRT((((542-43)*MAX('Inputs'!$B$33,'Inputs'!$B$29+'Inputs'!$B$31+'Inputs'!$B$32,'Inputs'!$B$30+'Inputs'!$B$31+'Inputs'!$B$32)/1000+'Inputs'!$B$21))^2+('Inputs'!$B$6/2)^2)))-'Results'!C7*(1-'Inputs'!$B$24)*(0.5*((((542-43)*MAX('Inputs'!$B$33,'Inputs'!$B$29+'Inputs'!$B$31+'Inputs'!$B$32,'Inputs'!$B$30+'Inputs'!$B$31+'Inputs'!$B$32)/1000+'Inputs'!$B$21+'Inputs'!$B$7+'Inputs'!$B$10)+'Inputs'!$B$9)/SQRT((((542-43)*MAX('Inputs'!$B$33,'Inputs'!$B$29+'Inputs'!$B$31+'Inputs'!$B$32,'Inputs'!$B$30+'Inputs'!$B$31+'Inputs'!$B$32)/1000+'Inputs'!$B$21+'Inputs'!$B$7+'Inputs'!$B$10)+'Inputs'!$B$9)^2+('Inputs'!$B$8/2)^2)-(((542-43)*MAX('Inputs'!$B$33,'Inputs'!$B$29+'Inputs'!$B$31+'Inputs'!$B$32,'Inputs'!$B$30+'Inputs'!$B$31+'Inputs'!$B$32)/1000+'Inputs'!$B$21+'Inputs'!$B$7+'Inputs'!$B$10))/SQRT((((542-43)*MAX('Inputs'!$B$33,'Inputs'!$B$29+'Inputs'!$B$31+'Inputs'!$B$32,'Inputs'!$B$30+'Inputs'!$B$31+'Inputs'!$B$32)/1000+'Inputs'!$B$21+'Inputs'!$B$7+'Inputs'!$B$10))^2+('Inputs'!$B$8/2)^2))))*'Results'!$B$8))),"")</x:f>
        <x:v>4.717910639643314</x:v>
      </x:c>
      <x:c r="M542" t="n">
        <x:f>IF(AND(ISNUMBER('Results'!C7),ISNUMBER('Results'!B7),ISNUMBER('Results'!$B$8),ISNUMBER('Inputs'!$B$6),ISNUMBER('Inputs'!$B$7),ISNUMBER('Inputs'!$B$8),ISNUMBER('Inputs'!$B$9),ISNUMBER('Inputs'!$B$10),ISNUMBER('Inputs'!$B$21),ISNUMBER('Inputs'!$B$24),ISNUMBER('Inputs'!$B$28)),(('Results'!C7*(0.5*((((542-43)*MAX('Inputs'!$B$33,'Inputs'!$B$29+'Inputs'!$B$31+'Inputs'!$B$32,'Inputs'!$B$30+'Inputs'!$B$31+'Inputs'!$B$32)/1000+'Inputs'!$B$21)+'Inputs'!$B$9)/SQRT((((542-43)*MAX('Inputs'!$B$33,'Inputs'!$B$29+'Inputs'!$B$31+'Inputs'!$B$32,'Inputs'!$B$30+'Inputs'!$B$31+'Inputs'!$B$32)/1000+'Inputs'!$B$21)+'Inputs'!$B$9)^2+('Inputs'!$B$8/2)^2)-(((542-43)*MAX('Inputs'!$B$33,'Inputs'!$B$29+'Inputs'!$B$31+'Inputs'!$B$32,'Inputs'!$B$30+'Inputs'!$B$31+'Inputs'!$B$32)/1000+'Inputs'!$B$21))/SQRT((((542-43)*MAX('Inputs'!$B$33,'Inputs'!$B$29+'Inputs'!$B$31+'Inputs'!$B$32,'Inputs'!$B$30+'Inputs'!$B$31+'Inputs'!$B$32)/1000+'Inputs'!$B$21))^2+('Inputs'!$B$8/2)^2)))-'Results'!B7*(0.5*((((542-43)*MAX('Inputs'!$B$33,'Inputs'!$B$29+'Inputs'!$B$31+'Inputs'!$B$32,'Inputs'!$B$30+'Inputs'!$B$31+'Inputs'!$B$32)/1000+'Inputs'!$B$21+'Inputs'!$B$9+'Inputs'!$B$10)+'Inputs'!$B$7)/SQRT((((542-43)*MAX('Inputs'!$B$33,'Inputs'!$B$29+'Inputs'!$B$31+'Inputs'!$B$32,'Inputs'!$B$30+'Inputs'!$B$31+'Inputs'!$B$32)/1000+'Inputs'!$B$21+'Inputs'!$B$9+'Inputs'!$B$10)+'Inputs'!$B$7)^2+('Inputs'!$B$6/2)^2)-(((542-43)*MAX('Inputs'!$B$33,'Inputs'!$B$29+'Inputs'!$B$31+'Inputs'!$B$32,'Inputs'!$B$30+'Inputs'!$B$31+'Inputs'!$B$32)/1000+'Inputs'!$B$21+'Inputs'!$B$9+'Inputs'!$B$10))/SQRT((((542-43)*MAX('Inputs'!$B$33,'Inputs'!$B$29+'Inputs'!$B$31+'Inputs'!$B$32,'Inputs'!$B$30+'Inputs'!$B$31+'Inputs'!$B$32)/1000+'Inputs'!$B$21+'Inputs'!$B$9+'Inputs'!$B$10))^2+('Inputs'!$B$6/2)^2))))*'Results'!$B$8),"")</x:f>
        <x:v>3.9212880151085647</x:v>
      </x:c>
      <x:c r="N542" t="n">
        <x:f>IF(AND(ISNUMBER('Results'!C7),ISNUMBER('Results'!B7),ISNUMBER('Results'!$B$8),ISNUMBER('Inputs'!$B$6),ISNUMBER('Inputs'!$B$7),ISNUMBER('Inputs'!$B$8),ISNUMBER('Inputs'!$B$9),ISNUMBER('Inputs'!$B$10),ISNUMBER('Inputs'!$B$21),ISNUMBER('Inputs'!$B$24),ISNUMBER('Inputs'!$B$28)),((('Results'!C7*(1-'Inputs'!$B$24)*(0.5*((((542-43)*MAX('Inputs'!$B$33,'Inputs'!$B$29+'Inputs'!$B$31+'Inputs'!$B$32,'Inputs'!$B$30+'Inputs'!$B$31+'Inputs'!$B$32)/1000+'Inputs'!$B$21)+'Inputs'!$B$9)/SQRT((((542-43)*MAX('Inputs'!$B$33,'Inputs'!$B$29+'Inputs'!$B$31+'Inputs'!$B$32,'Inputs'!$B$30+'Inputs'!$B$31+'Inputs'!$B$32)/1000+'Inputs'!$B$21)+'Inputs'!$B$9)^2+('Inputs'!$B$8/2)^2)-(((542-43)*MAX('Inputs'!$B$33,'Inputs'!$B$29+'Inputs'!$B$31+'Inputs'!$B$32,'Inputs'!$B$30+'Inputs'!$B$31+'Inputs'!$B$32)/1000+'Inputs'!$B$21))/SQRT((((542-43)*MAX('Inputs'!$B$33,'Inputs'!$B$29+'Inputs'!$B$31+'Inputs'!$B$32,'Inputs'!$B$30+'Inputs'!$B$31+'Inputs'!$B$32)/1000+'Inputs'!$B$21))^2+('Inputs'!$B$8/2)^2)))-'Results'!B7*(1+'Inputs'!$B$24)*(0.5*((((542-43)*MAX('Inputs'!$B$33,'Inputs'!$B$29+'Inputs'!$B$31+'Inputs'!$B$32,'Inputs'!$B$30+'Inputs'!$B$31+'Inputs'!$B$32)/1000+'Inputs'!$B$21+'Inputs'!$B$9+'Inputs'!$B$10)+'Inputs'!$B$7)/SQRT((((542-43)*MAX('Inputs'!$B$33,'Inputs'!$B$29+'Inputs'!$B$31+'Inputs'!$B$32,'Inputs'!$B$30+'Inputs'!$B$31+'Inputs'!$B$32)/1000+'Inputs'!$B$21+'Inputs'!$B$9+'Inputs'!$B$10)+'Inputs'!$B$7)^2+('Inputs'!$B$6/2)^2)-(((542-43)*MAX('Inputs'!$B$33,'Inputs'!$B$29+'Inputs'!$B$31+'Inputs'!$B$32,'Inputs'!$B$30+'Inputs'!$B$31+'Inputs'!$B$32)/1000+'Inputs'!$B$21+'Inputs'!$B$9+'Inputs'!$B$10))/SQRT((((542-43)*MAX('Inputs'!$B$33,'Inputs'!$B$29+'Inputs'!$B$31+'Inputs'!$B$32,'Inputs'!$B$30+'Inputs'!$B$31+'Inputs'!$B$32)/1000+'Inputs'!$B$21+'Inputs'!$B$9+'Inputs'!$B$10))^2+('Inputs'!$B$6/2)^2))))*'Results'!$B$8)-'Inputs'!$B$28*ABS((('Results'!C7*(1-'Inputs'!$B$24)*(0.5*((((542-43)*MAX('Inputs'!$B$33,'Inputs'!$B$29+'Inputs'!$B$31+'Inputs'!$B$32,'Inputs'!$B$30+'Inputs'!$B$31+'Inputs'!$B$32)/1000+'Inputs'!$B$21)+'Inputs'!$B$9)/SQRT((((542-43)*MAX('Inputs'!$B$33,'Inputs'!$B$29+'Inputs'!$B$31+'Inputs'!$B$32,'Inputs'!$B$30+'Inputs'!$B$31+'Inputs'!$B$32)/1000+'Inputs'!$B$21)+'Inputs'!$B$9)^2+('Inputs'!$B$8/2)^2)-(((542-43)*MAX('Inputs'!$B$33,'Inputs'!$B$29+'Inputs'!$B$31+'Inputs'!$B$32,'Inputs'!$B$30+'Inputs'!$B$31+'Inputs'!$B$32)/1000+'Inputs'!$B$21))/SQRT((((542-43)*MAX('Inputs'!$B$33,'Inputs'!$B$29+'Inputs'!$B$31+'Inputs'!$B$32,'Inputs'!$B$30+'Inputs'!$B$31+'Inputs'!$B$32)/1000+'Inputs'!$B$21))^2+('Inputs'!$B$8/2)^2)))-'Results'!B7*(1+'Inputs'!$B$24)*(0.5*((((542-43)*MAX('Inputs'!$B$33,'Inputs'!$B$29+'Inputs'!$B$31+'Inputs'!$B$32,'Inputs'!$B$30+'Inputs'!$B$31+'Inputs'!$B$32)/1000+'Inputs'!$B$21+'Inputs'!$B$9+'Inputs'!$B$10)+'Inputs'!$B$7)/SQRT((((542-43)*MAX('Inputs'!$B$33,'Inputs'!$B$29+'Inputs'!$B$31+'Inputs'!$B$32,'Inputs'!$B$30+'Inputs'!$B$31+'Inputs'!$B$32)/1000+'Inputs'!$B$21+'Inputs'!$B$9+'Inputs'!$B$10)+'Inputs'!$B$7)^2+('Inputs'!$B$6/2)^2)-(((542-43)*MAX('Inputs'!$B$33,'Inputs'!$B$29+'Inputs'!$B$31+'Inputs'!$B$32,'Inputs'!$B$30+'Inputs'!$B$31+'Inputs'!$B$32)/1000+'Inputs'!$B$21+'Inputs'!$B$9+'Inputs'!$B$10))/SQRT((((542-43)*MAX('Inputs'!$B$33,'Inputs'!$B$29+'Inputs'!$B$31+'Inputs'!$B$32,'Inputs'!$B$30+'Inputs'!$B$31+'Inputs'!$B$32)/1000+'Inputs'!$B$21+'Inputs'!$B$9+'Inputs'!$B$10))^2+('Inputs'!$B$6/2)^2))))*'Results'!$B$8))),"")</x:f>
        <x:v>3.4560759516064548</x:v>
      </x:c>
      <x:c r="O542" t="n">
        <x:f>IF(AND(ISNUMBER('Results'!C7),ISNUMBER('Results'!B7),ISNUMBER('Results'!$B$8),ISNUMBER('Inputs'!$B$6),ISNUMBER('Inputs'!$B$7),ISNUMBER('Inputs'!$B$8),ISNUMBER('Inputs'!$B$9),ISNUMBER('Inputs'!$B$10),ISNUMBER('Inputs'!$B$21),ISNUMBER('Inputs'!$B$24),ISNUMBER('Inputs'!$B$28)),((('Results'!C7*(1+'Inputs'!$B$24)*(0.5*((((542-43)*MAX('Inputs'!$B$33,'Inputs'!$B$29+'Inputs'!$B$31+'Inputs'!$B$32,'Inputs'!$B$30+'Inputs'!$B$31+'Inputs'!$B$32)/1000+'Inputs'!$B$21)+'Inputs'!$B$9)/SQRT((((542-43)*MAX('Inputs'!$B$33,'Inputs'!$B$29+'Inputs'!$B$31+'Inputs'!$B$32,'Inputs'!$B$30+'Inputs'!$B$31+'Inputs'!$B$32)/1000+'Inputs'!$B$21)+'Inputs'!$B$9)^2+('Inputs'!$B$8/2)^2)-(((542-43)*MAX('Inputs'!$B$33,'Inputs'!$B$29+'Inputs'!$B$31+'Inputs'!$B$32,'Inputs'!$B$30+'Inputs'!$B$31+'Inputs'!$B$32)/1000+'Inputs'!$B$21))/SQRT((((542-43)*MAX('Inputs'!$B$33,'Inputs'!$B$29+'Inputs'!$B$31+'Inputs'!$B$32,'Inputs'!$B$30+'Inputs'!$B$31+'Inputs'!$B$32)/1000+'Inputs'!$B$21))^2+('Inputs'!$B$8/2)^2)))-'Results'!B7*(1-'Inputs'!$B$24)*(0.5*((((542-43)*MAX('Inputs'!$B$33,'Inputs'!$B$29+'Inputs'!$B$31+'Inputs'!$B$32,'Inputs'!$B$30+'Inputs'!$B$31+'Inputs'!$B$32)/1000+'Inputs'!$B$21+'Inputs'!$B$9+'Inputs'!$B$10)+'Inputs'!$B$7)/SQRT((((542-43)*MAX('Inputs'!$B$33,'Inputs'!$B$29+'Inputs'!$B$31+'Inputs'!$B$32,'Inputs'!$B$30+'Inputs'!$B$31+'Inputs'!$B$32)/1000+'Inputs'!$B$21+'Inputs'!$B$9+'Inputs'!$B$10)+'Inputs'!$B$7)^2+('Inputs'!$B$6/2)^2)-(((542-43)*MAX('Inputs'!$B$33,'Inputs'!$B$29+'Inputs'!$B$31+'Inputs'!$B$32,'Inputs'!$B$30+'Inputs'!$B$31+'Inputs'!$B$32)/1000+'Inputs'!$B$21+'Inputs'!$B$9+'Inputs'!$B$10))/SQRT((((542-43)*MAX('Inputs'!$B$33,'Inputs'!$B$29+'Inputs'!$B$31+'Inputs'!$B$32,'Inputs'!$B$30+'Inputs'!$B$31+'Inputs'!$B$32)/1000+'Inputs'!$B$21+'Inputs'!$B$9+'Inputs'!$B$10))^2+('Inputs'!$B$6/2)^2))))*'Results'!$B$8)+'Inputs'!$B$28*ABS((('Results'!C7*(1+'Inputs'!$B$24)*(0.5*((((542-43)*MAX('Inputs'!$B$33,'Inputs'!$B$29+'Inputs'!$B$31+'Inputs'!$B$32,'Inputs'!$B$30+'Inputs'!$B$31+'Inputs'!$B$32)/1000+'Inputs'!$B$21)+'Inputs'!$B$9)/SQRT((((542-43)*MAX('Inputs'!$B$33,'Inputs'!$B$29+'Inputs'!$B$31+'Inputs'!$B$32,'Inputs'!$B$30+'Inputs'!$B$31+'Inputs'!$B$32)/1000+'Inputs'!$B$21)+'Inputs'!$B$9)^2+('Inputs'!$B$8/2)^2)-(((542-43)*MAX('Inputs'!$B$33,'Inputs'!$B$29+'Inputs'!$B$31+'Inputs'!$B$32,'Inputs'!$B$30+'Inputs'!$B$31+'Inputs'!$B$32)/1000+'Inputs'!$B$21))/SQRT((((542-43)*MAX('Inputs'!$B$33,'Inputs'!$B$29+'Inputs'!$B$31+'Inputs'!$B$32,'Inputs'!$B$30+'Inputs'!$B$31+'Inputs'!$B$32)/1000+'Inputs'!$B$21))^2+('Inputs'!$B$8/2)^2)))-'Results'!B7*(1-'Inputs'!$B$24)*(0.5*((((542-43)*MAX('Inputs'!$B$33,'Inputs'!$B$29+'Inputs'!$B$31+'Inputs'!$B$32,'Inputs'!$B$30+'Inputs'!$B$31+'Inputs'!$B$32)/1000+'Inputs'!$B$21+'Inputs'!$B$9+'Inputs'!$B$10)+'Inputs'!$B$7)/SQRT((((542-43)*MAX('Inputs'!$B$33,'Inputs'!$B$29+'Inputs'!$B$31+'Inputs'!$B$32,'Inputs'!$B$30+'Inputs'!$B$31+'Inputs'!$B$32)/1000+'Inputs'!$B$21+'Inputs'!$B$9+'Inputs'!$B$10)+'Inputs'!$B$7)^2+('Inputs'!$B$6/2)^2)-(((542-43)*MAX('Inputs'!$B$33,'Inputs'!$B$29+'Inputs'!$B$31+'Inputs'!$B$32,'Inputs'!$B$30+'Inputs'!$B$31+'Inputs'!$B$32)/1000+'Inputs'!$B$21+'Inputs'!$B$9+'Inputs'!$B$10))/SQRT((((542-43)*MAX('Inputs'!$B$33,'Inputs'!$B$29+'Inputs'!$B$31+'Inputs'!$B$32,'Inputs'!$B$30+'Inputs'!$B$31+'Inputs'!$B$32)/1000+'Inputs'!$B$21+'Inputs'!$B$9+'Inputs'!$B$10))^2+('Inputs'!$B$6/2)^2))))*'Results'!$B$8))),"")</x:f>
        <x:v>4.414831411531377</x:v>
      </x:c>
      <x:c r="P542" t="n">
        <x:f>IF(AND(MAX(J542,J541)&gt;0,J542&gt;J541+0.00000001),1,0)</x:f>
        <x:v>0</x:v>
      </x:c>
      <x:c r="Q542" t="n">
        <x:f>IF(AND(MAX(K542,K541)&gt;0,K542&gt;K541+0.00000001),1,0)</x:f>
        <x:v>0</x:v>
      </x:c>
      <x:c r="R542" t="n">
        <x:f>IF(AND(MAX(L542,L541)&gt;0,L542&gt;L541+0.00000001),1,0)</x:f>
        <x:v>0</x:v>
      </x:c>
      <x:c r="S542" t="n">
        <x:f>IF(AND(MAX(M542,M541)&gt;0,M542&gt;M541+0.00000001),1,0)</x:f>
        <x:v>0</x:v>
      </x:c>
      <x:c r="T542" t="n">
        <x:f>IF(AND(MAX(N542,N541)&gt;0,N542&gt;N541+0.00000001),1,0)</x:f>
        <x:v>0</x:v>
      </x:c>
      <x:c r="U542" t="n">
        <x:f>IF(AND(MAX(O542,O541)&gt;0,O542&gt;O541+0.00000001),1,0)</x:f>
        <x:v>0</x:v>
      </x:c>
    </x:row>
    <x:row r="543">
      <x:c r="J543" t="n">
        <x:f>IF(AND(ISNUMBER('Results'!B7),ISNUMBER('Results'!C7),ISNUMBER('Results'!$B$8),ISNUMBER('Inputs'!$B$6),ISNUMBER('Inputs'!$B$7),ISNUMBER('Inputs'!$B$8),ISNUMBER('Inputs'!$B$9),ISNUMBER('Inputs'!$B$10),ISNUMBER('Inputs'!$B$21),ISNUMBER('Inputs'!$B$24),ISNUMBER('Inputs'!$B$28)),(('Results'!B7*(0.5*((((543-43)*MAX('Inputs'!$B$33,'Inputs'!$B$29+'Inputs'!$B$31+'Inputs'!$B$32,'Inputs'!$B$30+'Inputs'!$B$31+'Inputs'!$B$32)/1000+'Inputs'!$B$21)+'Inputs'!$B$7)/SQRT((((543-43)*MAX('Inputs'!$B$33,'Inputs'!$B$29+'Inputs'!$B$31+'Inputs'!$B$32,'Inputs'!$B$30+'Inputs'!$B$31+'Inputs'!$B$32)/1000+'Inputs'!$B$21)+'Inputs'!$B$7)^2+('Inputs'!$B$6/2)^2)-(((543-43)*MAX('Inputs'!$B$33,'Inputs'!$B$29+'Inputs'!$B$31+'Inputs'!$B$32,'Inputs'!$B$30+'Inputs'!$B$31+'Inputs'!$B$32)/1000+'Inputs'!$B$21))/SQRT((((543-43)*MAX('Inputs'!$B$33,'Inputs'!$B$29+'Inputs'!$B$31+'Inputs'!$B$32,'Inputs'!$B$30+'Inputs'!$B$31+'Inputs'!$B$32)/1000+'Inputs'!$B$21))^2+('Inputs'!$B$6/2)^2)))-'Results'!C7*(0.5*((((543-43)*MAX('Inputs'!$B$33,'Inputs'!$B$29+'Inputs'!$B$31+'Inputs'!$B$32,'Inputs'!$B$30+'Inputs'!$B$31+'Inputs'!$B$32)/1000+'Inputs'!$B$21+'Inputs'!$B$7+'Inputs'!$B$10)+'Inputs'!$B$9)/SQRT((((543-43)*MAX('Inputs'!$B$33,'Inputs'!$B$29+'Inputs'!$B$31+'Inputs'!$B$32,'Inputs'!$B$30+'Inputs'!$B$31+'Inputs'!$B$32)/1000+'Inputs'!$B$21+'Inputs'!$B$7+'Inputs'!$B$10)+'Inputs'!$B$9)^2+('Inputs'!$B$8/2)^2)-(((543-43)*MAX('Inputs'!$B$33,'Inputs'!$B$29+'Inputs'!$B$31+'Inputs'!$B$32,'Inputs'!$B$30+'Inputs'!$B$31+'Inputs'!$B$32)/1000+'Inputs'!$B$21+'Inputs'!$B$7+'Inputs'!$B$10))/SQRT((((543-43)*MAX('Inputs'!$B$33,'Inputs'!$B$29+'Inputs'!$B$31+'Inputs'!$B$32,'Inputs'!$B$30+'Inputs'!$B$31+'Inputs'!$B$32)/1000+'Inputs'!$B$21+'Inputs'!$B$7+'Inputs'!$B$10))^2+('Inputs'!$B$8/2)^2))))*'Results'!$B$8),"")</x:f>
        <x:v>4.179616551237702</x:v>
      </x:c>
      <x:c r="K543" t="n">
        <x:f>IF(AND(ISNUMBER('Results'!B7),ISNUMBER('Results'!C7),ISNUMBER('Results'!$B$8),ISNUMBER('Inputs'!$B$6),ISNUMBER('Inputs'!$B$7),ISNUMBER('Inputs'!$B$8),ISNUMBER('Inputs'!$B$9),ISNUMBER('Inputs'!$B$10),ISNUMBER('Inputs'!$B$21),ISNUMBER('Inputs'!$B$24),ISNUMBER('Inputs'!$B$28)),((('Results'!B7*(1-'Inputs'!$B$24)*(0.5*((((543-43)*MAX('Inputs'!$B$33,'Inputs'!$B$29+'Inputs'!$B$31+'Inputs'!$B$32,'Inputs'!$B$30+'Inputs'!$B$31+'Inputs'!$B$32)/1000+'Inputs'!$B$21)+'Inputs'!$B$7)/SQRT((((543-43)*MAX('Inputs'!$B$33,'Inputs'!$B$29+'Inputs'!$B$31+'Inputs'!$B$32,'Inputs'!$B$30+'Inputs'!$B$31+'Inputs'!$B$32)/1000+'Inputs'!$B$21)+'Inputs'!$B$7)^2+('Inputs'!$B$6/2)^2)-(((543-43)*MAX('Inputs'!$B$33,'Inputs'!$B$29+'Inputs'!$B$31+'Inputs'!$B$32,'Inputs'!$B$30+'Inputs'!$B$31+'Inputs'!$B$32)/1000+'Inputs'!$B$21))/SQRT((((543-43)*MAX('Inputs'!$B$33,'Inputs'!$B$29+'Inputs'!$B$31+'Inputs'!$B$32,'Inputs'!$B$30+'Inputs'!$B$31+'Inputs'!$B$32)/1000+'Inputs'!$B$21))^2+('Inputs'!$B$6/2)^2)))-'Results'!C7*(1+'Inputs'!$B$24)*(0.5*((((543-43)*MAX('Inputs'!$B$33,'Inputs'!$B$29+'Inputs'!$B$31+'Inputs'!$B$32,'Inputs'!$B$30+'Inputs'!$B$31+'Inputs'!$B$32)/1000+'Inputs'!$B$21+'Inputs'!$B$7+'Inputs'!$B$10)+'Inputs'!$B$9)/SQRT((((543-43)*MAX('Inputs'!$B$33,'Inputs'!$B$29+'Inputs'!$B$31+'Inputs'!$B$32,'Inputs'!$B$30+'Inputs'!$B$31+'Inputs'!$B$32)/1000+'Inputs'!$B$21+'Inputs'!$B$7+'Inputs'!$B$10)+'Inputs'!$B$9)^2+('Inputs'!$B$8/2)^2)-(((543-43)*MAX('Inputs'!$B$33,'Inputs'!$B$29+'Inputs'!$B$31+'Inputs'!$B$32,'Inputs'!$B$30+'Inputs'!$B$31+'Inputs'!$B$32)/1000+'Inputs'!$B$21+'Inputs'!$B$7+'Inputs'!$B$10))/SQRT((((543-43)*MAX('Inputs'!$B$33,'Inputs'!$B$29+'Inputs'!$B$31+'Inputs'!$B$32,'Inputs'!$B$30+'Inputs'!$B$31+'Inputs'!$B$32)/1000+'Inputs'!$B$21+'Inputs'!$B$7+'Inputs'!$B$10))^2+('Inputs'!$B$8/2)^2))))*'Results'!$B$8)-'Inputs'!$B$28*ABS((('Results'!B7*(1-'Inputs'!$B$24)*(0.5*((((543-43)*MAX('Inputs'!$B$33,'Inputs'!$B$29+'Inputs'!$B$31+'Inputs'!$B$32,'Inputs'!$B$30+'Inputs'!$B$31+'Inputs'!$B$32)/1000+'Inputs'!$B$21)+'Inputs'!$B$7)/SQRT((((543-43)*MAX('Inputs'!$B$33,'Inputs'!$B$29+'Inputs'!$B$31+'Inputs'!$B$32,'Inputs'!$B$30+'Inputs'!$B$31+'Inputs'!$B$32)/1000+'Inputs'!$B$21)+'Inputs'!$B$7)^2+('Inputs'!$B$6/2)^2)-(((543-43)*MAX('Inputs'!$B$33,'Inputs'!$B$29+'Inputs'!$B$31+'Inputs'!$B$32,'Inputs'!$B$30+'Inputs'!$B$31+'Inputs'!$B$32)/1000+'Inputs'!$B$21))/SQRT((((543-43)*MAX('Inputs'!$B$33,'Inputs'!$B$29+'Inputs'!$B$31+'Inputs'!$B$32,'Inputs'!$B$30+'Inputs'!$B$31+'Inputs'!$B$32)/1000+'Inputs'!$B$21))^2+('Inputs'!$B$6/2)^2)))-'Results'!C7*(1+'Inputs'!$B$24)*(0.5*((((543-43)*MAX('Inputs'!$B$33,'Inputs'!$B$29+'Inputs'!$B$31+'Inputs'!$B$32,'Inputs'!$B$30+'Inputs'!$B$31+'Inputs'!$B$32)/1000+'Inputs'!$B$21+'Inputs'!$B$7+'Inputs'!$B$10)+'Inputs'!$B$9)/SQRT((((543-43)*MAX('Inputs'!$B$33,'Inputs'!$B$29+'Inputs'!$B$31+'Inputs'!$B$32,'Inputs'!$B$30+'Inputs'!$B$31+'Inputs'!$B$32)/1000+'Inputs'!$B$21+'Inputs'!$B$7+'Inputs'!$B$10)+'Inputs'!$B$9)^2+('Inputs'!$B$8/2)^2)-(((543-43)*MAX('Inputs'!$B$33,'Inputs'!$B$29+'Inputs'!$B$31+'Inputs'!$B$32,'Inputs'!$B$30+'Inputs'!$B$31+'Inputs'!$B$32)/1000+'Inputs'!$B$21+'Inputs'!$B$7+'Inputs'!$B$10))/SQRT((((543-43)*MAX('Inputs'!$B$33,'Inputs'!$B$29+'Inputs'!$B$31+'Inputs'!$B$32,'Inputs'!$B$30+'Inputs'!$B$31+'Inputs'!$B$32)/1000+'Inputs'!$B$21+'Inputs'!$B$7+'Inputs'!$B$10))^2+('Inputs'!$B$8/2)^2))))*'Results'!$B$8))),"")</x:f>
        <x:v>3.701360342747541</x:v>
      </x:c>
      <x:c r="L543" t="n">
        <x:f>IF(AND(ISNUMBER('Results'!B7),ISNUMBER('Results'!C7),ISNUMBER('Results'!$B$8),ISNUMBER('Inputs'!$B$6),ISNUMBER('Inputs'!$B$7),ISNUMBER('Inputs'!$B$8),ISNUMBER('Inputs'!$B$9),ISNUMBER('Inputs'!$B$10),ISNUMBER('Inputs'!$B$21),ISNUMBER('Inputs'!$B$24),ISNUMBER('Inputs'!$B$28)),((('Results'!B7*(1+'Inputs'!$B$24)*(0.5*((((543-43)*MAX('Inputs'!$B$33,'Inputs'!$B$29+'Inputs'!$B$31+'Inputs'!$B$32,'Inputs'!$B$30+'Inputs'!$B$31+'Inputs'!$B$32)/1000+'Inputs'!$B$21)+'Inputs'!$B$7)/SQRT((((543-43)*MAX('Inputs'!$B$33,'Inputs'!$B$29+'Inputs'!$B$31+'Inputs'!$B$32,'Inputs'!$B$30+'Inputs'!$B$31+'Inputs'!$B$32)/1000+'Inputs'!$B$21)+'Inputs'!$B$7)^2+('Inputs'!$B$6/2)^2)-(((543-43)*MAX('Inputs'!$B$33,'Inputs'!$B$29+'Inputs'!$B$31+'Inputs'!$B$32,'Inputs'!$B$30+'Inputs'!$B$31+'Inputs'!$B$32)/1000+'Inputs'!$B$21))/SQRT((((543-43)*MAX('Inputs'!$B$33,'Inputs'!$B$29+'Inputs'!$B$31+'Inputs'!$B$32,'Inputs'!$B$30+'Inputs'!$B$31+'Inputs'!$B$32)/1000+'Inputs'!$B$21))^2+('Inputs'!$B$6/2)^2)))-'Results'!C7*(1-'Inputs'!$B$24)*(0.5*((((543-43)*MAX('Inputs'!$B$33,'Inputs'!$B$29+'Inputs'!$B$31+'Inputs'!$B$32,'Inputs'!$B$30+'Inputs'!$B$31+'Inputs'!$B$32)/1000+'Inputs'!$B$21+'Inputs'!$B$7+'Inputs'!$B$10)+'Inputs'!$B$9)/SQRT((((543-43)*MAX('Inputs'!$B$33,'Inputs'!$B$29+'Inputs'!$B$31+'Inputs'!$B$32,'Inputs'!$B$30+'Inputs'!$B$31+'Inputs'!$B$32)/1000+'Inputs'!$B$21+'Inputs'!$B$7+'Inputs'!$B$10)+'Inputs'!$B$9)^2+('Inputs'!$B$8/2)^2)-(((543-43)*MAX('Inputs'!$B$33,'Inputs'!$B$29+'Inputs'!$B$31+'Inputs'!$B$32,'Inputs'!$B$30+'Inputs'!$B$31+'Inputs'!$B$32)/1000+'Inputs'!$B$21+'Inputs'!$B$7+'Inputs'!$B$10))/SQRT((((543-43)*MAX('Inputs'!$B$33,'Inputs'!$B$29+'Inputs'!$B$31+'Inputs'!$B$32,'Inputs'!$B$30+'Inputs'!$B$31+'Inputs'!$B$32)/1000+'Inputs'!$B$21+'Inputs'!$B$7+'Inputs'!$B$10))^2+('Inputs'!$B$8/2)^2))))*'Results'!$B$8)+'Inputs'!$B$28*ABS((('Results'!B7*(1+'Inputs'!$B$24)*(0.5*((((543-43)*MAX('Inputs'!$B$33,'Inputs'!$B$29+'Inputs'!$B$31+'Inputs'!$B$32,'Inputs'!$B$30+'Inputs'!$B$31+'Inputs'!$B$32)/1000+'Inputs'!$B$21)+'Inputs'!$B$7)/SQRT((((543-43)*MAX('Inputs'!$B$33,'Inputs'!$B$29+'Inputs'!$B$31+'Inputs'!$B$32,'Inputs'!$B$30+'Inputs'!$B$31+'Inputs'!$B$32)/1000+'Inputs'!$B$21)+'Inputs'!$B$7)^2+('Inputs'!$B$6/2)^2)-(((543-43)*MAX('Inputs'!$B$33,'Inputs'!$B$29+'Inputs'!$B$31+'Inputs'!$B$32,'Inputs'!$B$30+'Inputs'!$B$31+'Inputs'!$B$32)/1000+'Inputs'!$B$21))/SQRT((((543-43)*MAX('Inputs'!$B$33,'Inputs'!$B$29+'Inputs'!$B$31+'Inputs'!$B$32,'Inputs'!$B$30+'Inputs'!$B$31+'Inputs'!$B$32)/1000+'Inputs'!$B$21))^2+('Inputs'!$B$6/2)^2)))-'Results'!C7*(1-'Inputs'!$B$24)*(0.5*((((543-43)*MAX('Inputs'!$B$33,'Inputs'!$B$29+'Inputs'!$B$31+'Inputs'!$B$32,'Inputs'!$B$30+'Inputs'!$B$31+'Inputs'!$B$32)/1000+'Inputs'!$B$21+'Inputs'!$B$7+'Inputs'!$B$10)+'Inputs'!$B$9)/SQRT((((543-43)*MAX('Inputs'!$B$33,'Inputs'!$B$29+'Inputs'!$B$31+'Inputs'!$B$32,'Inputs'!$B$30+'Inputs'!$B$31+'Inputs'!$B$32)/1000+'Inputs'!$B$21+'Inputs'!$B$7+'Inputs'!$B$10)+'Inputs'!$B$9)^2+('Inputs'!$B$8/2)^2)-(((543-43)*MAX('Inputs'!$B$33,'Inputs'!$B$29+'Inputs'!$B$31+'Inputs'!$B$32,'Inputs'!$B$30+'Inputs'!$B$31+'Inputs'!$B$32)/1000+'Inputs'!$B$21+'Inputs'!$B$7+'Inputs'!$B$10))/SQRT((((543-43)*MAX('Inputs'!$B$33,'Inputs'!$B$29+'Inputs'!$B$31+'Inputs'!$B$32,'Inputs'!$B$30+'Inputs'!$B$31+'Inputs'!$B$32)/1000+'Inputs'!$B$21+'Inputs'!$B$7+'Inputs'!$B$10))^2+('Inputs'!$B$8/2)^2))))*'Results'!$B$8))),"")</x:f>
        <x:v>4.686217536667682</x:v>
      </x:c>
      <x:c r="M543" t="n">
        <x:f>IF(AND(ISNUMBER('Results'!C7),ISNUMBER('Results'!B7),ISNUMBER('Results'!$B$8),ISNUMBER('Inputs'!$B$6),ISNUMBER('Inputs'!$B$7),ISNUMBER('Inputs'!$B$8),ISNUMBER('Inputs'!$B$9),ISNUMBER('Inputs'!$B$10),ISNUMBER('Inputs'!$B$21),ISNUMBER('Inputs'!$B$24),ISNUMBER('Inputs'!$B$28)),(('Results'!C7*(0.5*((((543-43)*MAX('Inputs'!$B$33,'Inputs'!$B$29+'Inputs'!$B$31+'Inputs'!$B$32,'Inputs'!$B$30+'Inputs'!$B$31+'Inputs'!$B$32)/1000+'Inputs'!$B$21)+'Inputs'!$B$9)/SQRT((((543-43)*MAX('Inputs'!$B$33,'Inputs'!$B$29+'Inputs'!$B$31+'Inputs'!$B$32,'Inputs'!$B$30+'Inputs'!$B$31+'Inputs'!$B$32)/1000+'Inputs'!$B$21)+'Inputs'!$B$9)^2+('Inputs'!$B$8/2)^2)-(((543-43)*MAX('Inputs'!$B$33,'Inputs'!$B$29+'Inputs'!$B$31+'Inputs'!$B$32,'Inputs'!$B$30+'Inputs'!$B$31+'Inputs'!$B$32)/1000+'Inputs'!$B$21))/SQRT((((543-43)*MAX('Inputs'!$B$33,'Inputs'!$B$29+'Inputs'!$B$31+'Inputs'!$B$32,'Inputs'!$B$30+'Inputs'!$B$31+'Inputs'!$B$32)/1000+'Inputs'!$B$21))^2+('Inputs'!$B$8/2)^2)))-'Results'!B7*(0.5*((((543-43)*MAX('Inputs'!$B$33,'Inputs'!$B$29+'Inputs'!$B$31+'Inputs'!$B$32,'Inputs'!$B$30+'Inputs'!$B$31+'Inputs'!$B$32)/1000+'Inputs'!$B$21+'Inputs'!$B$9+'Inputs'!$B$10)+'Inputs'!$B$7)/SQRT((((543-43)*MAX('Inputs'!$B$33,'Inputs'!$B$29+'Inputs'!$B$31+'Inputs'!$B$32,'Inputs'!$B$30+'Inputs'!$B$31+'Inputs'!$B$32)/1000+'Inputs'!$B$21+'Inputs'!$B$9+'Inputs'!$B$10)+'Inputs'!$B$7)^2+('Inputs'!$B$6/2)^2)-(((543-43)*MAX('Inputs'!$B$33,'Inputs'!$B$29+'Inputs'!$B$31+'Inputs'!$B$32,'Inputs'!$B$30+'Inputs'!$B$31+'Inputs'!$B$32)/1000+'Inputs'!$B$21+'Inputs'!$B$9+'Inputs'!$B$10))/SQRT((((543-43)*MAX('Inputs'!$B$33,'Inputs'!$B$29+'Inputs'!$B$31+'Inputs'!$B$32,'Inputs'!$B$30+'Inputs'!$B$31+'Inputs'!$B$32)/1000+'Inputs'!$B$21+'Inputs'!$B$9+'Inputs'!$B$10))^2+('Inputs'!$B$6/2)^2))))*'Results'!$B$8),"")</x:f>
        <x:v>3.8941294406316254</x:v>
      </x:c>
      <x:c r="N543" t="n">
        <x:f>IF(AND(ISNUMBER('Results'!C7),ISNUMBER('Results'!B7),ISNUMBER('Results'!$B$8),ISNUMBER('Inputs'!$B$6),ISNUMBER('Inputs'!$B$7),ISNUMBER('Inputs'!$B$8),ISNUMBER('Inputs'!$B$9),ISNUMBER('Inputs'!$B$10),ISNUMBER('Inputs'!$B$21),ISNUMBER('Inputs'!$B$24),ISNUMBER('Inputs'!$B$28)),((('Results'!C7*(1-'Inputs'!$B$24)*(0.5*((((543-43)*MAX('Inputs'!$B$33,'Inputs'!$B$29+'Inputs'!$B$31+'Inputs'!$B$32,'Inputs'!$B$30+'Inputs'!$B$31+'Inputs'!$B$32)/1000+'Inputs'!$B$21)+'Inputs'!$B$9)/SQRT((((543-43)*MAX('Inputs'!$B$33,'Inputs'!$B$29+'Inputs'!$B$31+'Inputs'!$B$32,'Inputs'!$B$30+'Inputs'!$B$31+'Inputs'!$B$32)/1000+'Inputs'!$B$21)+'Inputs'!$B$9)^2+('Inputs'!$B$8/2)^2)-(((543-43)*MAX('Inputs'!$B$33,'Inputs'!$B$29+'Inputs'!$B$31+'Inputs'!$B$32,'Inputs'!$B$30+'Inputs'!$B$31+'Inputs'!$B$32)/1000+'Inputs'!$B$21))/SQRT((((543-43)*MAX('Inputs'!$B$33,'Inputs'!$B$29+'Inputs'!$B$31+'Inputs'!$B$32,'Inputs'!$B$30+'Inputs'!$B$31+'Inputs'!$B$32)/1000+'Inputs'!$B$21))^2+('Inputs'!$B$8/2)^2)))-'Results'!B7*(1+'Inputs'!$B$24)*(0.5*((((543-43)*MAX('Inputs'!$B$33,'Inputs'!$B$29+'Inputs'!$B$31+'Inputs'!$B$32,'Inputs'!$B$30+'Inputs'!$B$31+'Inputs'!$B$32)/1000+'Inputs'!$B$21+'Inputs'!$B$9+'Inputs'!$B$10)+'Inputs'!$B$7)/SQRT((((543-43)*MAX('Inputs'!$B$33,'Inputs'!$B$29+'Inputs'!$B$31+'Inputs'!$B$32,'Inputs'!$B$30+'Inputs'!$B$31+'Inputs'!$B$32)/1000+'Inputs'!$B$21+'Inputs'!$B$9+'Inputs'!$B$10)+'Inputs'!$B$7)^2+('Inputs'!$B$6/2)^2)-(((543-43)*MAX('Inputs'!$B$33,'Inputs'!$B$29+'Inputs'!$B$31+'Inputs'!$B$32,'Inputs'!$B$30+'Inputs'!$B$31+'Inputs'!$B$32)/1000+'Inputs'!$B$21+'Inputs'!$B$9+'Inputs'!$B$10))/SQRT((((543-43)*MAX('Inputs'!$B$33,'Inputs'!$B$29+'Inputs'!$B$31+'Inputs'!$B$32,'Inputs'!$B$30+'Inputs'!$B$31+'Inputs'!$B$32)/1000+'Inputs'!$B$21+'Inputs'!$B$9+'Inputs'!$B$10))^2+('Inputs'!$B$6/2)^2))))*'Results'!$B$8)-'Inputs'!$B$28*ABS((('Results'!C7*(1-'Inputs'!$B$24)*(0.5*((((543-43)*MAX('Inputs'!$B$33,'Inputs'!$B$29+'Inputs'!$B$31+'Inputs'!$B$32,'Inputs'!$B$30+'Inputs'!$B$31+'Inputs'!$B$32)/1000+'Inputs'!$B$21)+'Inputs'!$B$9)/SQRT((((543-43)*MAX('Inputs'!$B$33,'Inputs'!$B$29+'Inputs'!$B$31+'Inputs'!$B$32,'Inputs'!$B$30+'Inputs'!$B$31+'Inputs'!$B$32)/1000+'Inputs'!$B$21)+'Inputs'!$B$9)^2+('Inputs'!$B$8/2)^2)-(((543-43)*MAX('Inputs'!$B$33,'Inputs'!$B$29+'Inputs'!$B$31+'Inputs'!$B$32,'Inputs'!$B$30+'Inputs'!$B$31+'Inputs'!$B$32)/1000+'Inputs'!$B$21))/SQRT((((543-43)*MAX('Inputs'!$B$33,'Inputs'!$B$29+'Inputs'!$B$31+'Inputs'!$B$32,'Inputs'!$B$30+'Inputs'!$B$31+'Inputs'!$B$32)/1000+'Inputs'!$B$21))^2+('Inputs'!$B$8/2)^2)))-'Results'!B7*(1+'Inputs'!$B$24)*(0.5*((((543-43)*MAX('Inputs'!$B$33,'Inputs'!$B$29+'Inputs'!$B$31+'Inputs'!$B$32,'Inputs'!$B$30+'Inputs'!$B$31+'Inputs'!$B$32)/1000+'Inputs'!$B$21+'Inputs'!$B$9+'Inputs'!$B$10)+'Inputs'!$B$7)/SQRT((((543-43)*MAX('Inputs'!$B$33,'Inputs'!$B$29+'Inputs'!$B$31+'Inputs'!$B$32,'Inputs'!$B$30+'Inputs'!$B$31+'Inputs'!$B$32)/1000+'Inputs'!$B$21+'Inputs'!$B$9+'Inputs'!$B$10)+'Inputs'!$B$7)^2+('Inputs'!$B$6/2)^2)-(((543-43)*MAX('Inputs'!$B$33,'Inputs'!$B$29+'Inputs'!$B$31+'Inputs'!$B$32,'Inputs'!$B$30+'Inputs'!$B$31+'Inputs'!$B$32)/1000+'Inputs'!$B$21+'Inputs'!$B$9+'Inputs'!$B$10))/SQRT((((543-43)*MAX('Inputs'!$B$33,'Inputs'!$B$29+'Inputs'!$B$31+'Inputs'!$B$32,'Inputs'!$B$30+'Inputs'!$B$31+'Inputs'!$B$32)/1000+'Inputs'!$B$21+'Inputs'!$B$9+'Inputs'!$B$10))^2+('Inputs'!$B$6/2)^2))))*'Results'!$B$8))),"")</x:f>
        <x:v>3.4316970944782885</x:v>
      </x:c>
      <x:c r="O543" t="n">
        <x:f>IF(AND(ISNUMBER('Results'!C7),ISNUMBER('Results'!B7),ISNUMBER('Results'!$B$8),ISNUMBER('Inputs'!$B$6),ISNUMBER('Inputs'!$B$7),ISNUMBER('Inputs'!$B$8),ISNUMBER('Inputs'!$B$9),ISNUMBER('Inputs'!$B$10),ISNUMBER('Inputs'!$B$21),ISNUMBER('Inputs'!$B$24),ISNUMBER('Inputs'!$B$28)),((('Results'!C7*(1+'Inputs'!$B$24)*(0.5*((((543-43)*MAX('Inputs'!$B$33,'Inputs'!$B$29+'Inputs'!$B$31+'Inputs'!$B$32,'Inputs'!$B$30+'Inputs'!$B$31+'Inputs'!$B$32)/1000+'Inputs'!$B$21)+'Inputs'!$B$9)/SQRT((((543-43)*MAX('Inputs'!$B$33,'Inputs'!$B$29+'Inputs'!$B$31+'Inputs'!$B$32,'Inputs'!$B$30+'Inputs'!$B$31+'Inputs'!$B$32)/1000+'Inputs'!$B$21)+'Inputs'!$B$9)^2+('Inputs'!$B$8/2)^2)-(((543-43)*MAX('Inputs'!$B$33,'Inputs'!$B$29+'Inputs'!$B$31+'Inputs'!$B$32,'Inputs'!$B$30+'Inputs'!$B$31+'Inputs'!$B$32)/1000+'Inputs'!$B$21))/SQRT((((543-43)*MAX('Inputs'!$B$33,'Inputs'!$B$29+'Inputs'!$B$31+'Inputs'!$B$32,'Inputs'!$B$30+'Inputs'!$B$31+'Inputs'!$B$32)/1000+'Inputs'!$B$21))^2+('Inputs'!$B$8/2)^2)))-'Results'!B7*(1-'Inputs'!$B$24)*(0.5*((((543-43)*MAX('Inputs'!$B$33,'Inputs'!$B$29+'Inputs'!$B$31+'Inputs'!$B$32,'Inputs'!$B$30+'Inputs'!$B$31+'Inputs'!$B$32)/1000+'Inputs'!$B$21+'Inputs'!$B$9+'Inputs'!$B$10)+'Inputs'!$B$7)/SQRT((((543-43)*MAX('Inputs'!$B$33,'Inputs'!$B$29+'Inputs'!$B$31+'Inputs'!$B$32,'Inputs'!$B$30+'Inputs'!$B$31+'Inputs'!$B$32)/1000+'Inputs'!$B$21+'Inputs'!$B$9+'Inputs'!$B$10)+'Inputs'!$B$7)^2+('Inputs'!$B$6/2)^2)-(((543-43)*MAX('Inputs'!$B$33,'Inputs'!$B$29+'Inputs'!$B$31+'Inputs'!$B$32,'Inputs'!$B$30+'Inputs'!$B$31+'Inputs'!$B$32)/1000+'Inputs'!$B$21+'Inputs'!$B$9+'Inputs'!$B$10))/SQRT((((543-43)*MAX('Inputs'!$B$33,'Inputs'!$B$29+'Inputs'!$B$31+'Inputs'!$B$32,'Inputs'!$B$30+'Inputs'!$B$31+'Inputs'!$B$32)/1000+'Inputs'!$B$21+'Inputs'!$B$9+'Inputs'!$B$10))^2+('Inputs'!$B$6/2)^2))))*'Results'!$B$8)+'Inputs'!$B$28*ABS((('Results'!C7*(1+'Inputs'!$B$24)*(0.5*((((543-43)*MAX('Inputs'!$B$33,'Inputs'!$B$29+'Inputs'!$B$31+'Inputs'!$B$32,'Inputs'!$B$30+'Inputs'!$B$31+'Inputs'!$B$32)/1000+'Inputs'!$B$21)+'Inputs'!$B$9)/SQRT((((543-43)*MAX('Inputs'!$B$33,'Inputs'!$B$29+'Inputs'!$B$31+'Inputs'!$B$32,'Inputs'!$B$30+'Inputs'!$B$31+'Inputs'!$B$32)/1000+'Inputs'!$B$21)+'Inputs'!$B$9)^2+('Inputs'!$B$8/2)^2)-(((543-43)*MAX('Inputs'!$B$33,'Inputs'!$B$29+'Inputs'!$B$31+'Inputs'!$B$32,'Inputs'!$B$30+'Inputs'!$B$31+'Inputs'!$B$32)/1000+'Inputs'!$B$21))/SQRT((((543-43)*MAX('Inputs'!$B$33,'Inputs'!$B$29+'Inputs'!$B$31+'Inputs'!$B$32,'Inputs'!$B$30+'Inputs'!$B$31+'Inputs'!$B$32)/1000+'Inputs'!$B$21))^2+('Inputs'!$B$8/2)^2)))-'Results'!B7*(1-'Inputs'!$B$24)*(0.5*((((543-43)*MAX('Inputs'!$B$33,'Inputs'!$B$29+'Inputs'!$B$31+'Inputs'!$B$32,'Inputs'!$B$30+'Inputs'!$B$31+'Inputs'!$B$32)/1000+'Inputs'!$B$21+'Inputs'!$B$9+'Inputs'!$B$10)+'Inputs'!$B$7)/SQRT((((543-43)*MAX('Inputs'!$B$33,'Inputs'!$B$29+'Inputs'!$B$31+'Inputs'!$B$32,'Inputs'!$B$30+'Inputs'!$B$31+'Inputs'!$B$32)/1000+'Inputs'!$B$21+'Inputs'!$B$9+'Inputs'!$B$10)+'Inputs'!$B$7)^2+('Inputs'!$B$6/2)^2)-(((543-43)*MAX('Inputs'!$B$33,'Inputs'!$B$29+'Inputs'!$B$31+'Inputs'!$B$32,'Inputs'!$B$30+'Inputs'!$B$31+'Inputs'!$B$32)/1000+'Inputs'!$B$21+'Inputs'!$B$9+'Inputs'!$B$10))/SQRT((((543-43)*MAX('Inputs'!$B$33,'Inputs'!$B$29+'Inputs'!$B$31+'Inputs'!$B$32,'Inputs'!$B$30+'Inputs'!$B$31+'Inputs'!$B$32)/1000+'Inputs'!$B$21+'Inputs'!$B$9+'Inputs'!$B$10))^2+('Inputs'!$B$6/2)^2))))*'Results'!$B$8))),"")</x:f>
        <x:v>4.384743457745148</x:v>
      </x:c>
      <x:c r="P543" t="n">
        <x:f>IF(AND(MAX(J543,J542)&gt;0,J543&gt;J542+0.00000001),1,0)</x:f>
        <x:v>0</x:v>
      </x:c>
      <x:c r="Q543" t="n">
        <x:f>IF(AND(MAX(K543,K542)&gt;0,K543&gt;K542+0.00000001),1,0)</x:f>
        <x:v>0</x:v>
      </x:c>
      <x:c r="R543" t="n">
        <x:f>IF(AND(MAX(L543,L542)&gt;0,L543&gt;L542+0.00000001),1,0)</x:f>
        <x:v>0</x:v>
      </x:c>
      <x:c r="S543" t="n">
        <x:f>IF(AND(MAX(M543,M542)&gt;0,M543&gt;M542+0.00000001),1,0)</x:f>
        <x:v>0</x:v>
      </x:c>
      <x:c r="T543" t="n">
        <x:f>IF(AND(MAX(N543,N542)&gt;0,N543&gt;N542+0.00000001),1,0)</x:f>
        <x:v>0</x:v>
      </x:c>
      <x:c r="U543" t="n">
        <x:f>IF(AND(MAX(O543,O542)&gt;0,O543&gt;O542+0.00000001),1,0)</x:f>
        <x:v>0</x:v>
      </x:c>
    </x:row>
    <x:row r="544">
      <x:c r="J544" t="n">
        <x:f>IF(AND(ISNUMBER('Results'!B7),ISNUMBER('Results'!C7),ISNUMBER('Results'!$B$8),ISNUMBER('Inputs'!$B$6),ISNUMBER('Inputs'!$B$7),ISNUMBER('Inputs'!$B$8),ISNUMBER('Inputs'!$B$9),ISNUMBER('Inputs'!$B$10),ISNUMBER('Inputs'!$B$21),ISNUMBER('Inputs'!$B$24),ISNUMBER('Inputs'!$B$28)),(('Results'!B7*(0.5*((((544-43)*MAX('Inputs'!$B$33,'Inputs'!$B$29+'Inputs'!$B$31+'Inputs'!$B$32,'Inputs'!$B$30+'Inputs'!$B$31+'Inputs'!$B$32)/1000+'Inputs'!$B$21)+'Inputs'!$B$7)/SQRT((((544-43)*MAX('Inputs'!$B$33,'Inputs'!$B$29+'Inputs'!$B$31+'Inputs'!$B$32,'Inputs'!$B$30+'Inputs'!$B$31+'Inputs'!$B$32)/1000+'Inputs'!$B$21)+'Inputs'!$B$7)^2+('Inputs'!$B$6/2)^2)-(((544-43)*MAX('Inputs'!$B$33,'Inputs'!$B$29+'Inputs'!$B$31+'Inputs'!$B$32,'Inputs'!$B$30+'Inputs'!$B$31+'Inputs'!$B$32)/1000+'Inputs'!$B$21))/SQRT((((544-43)*MAX('Inputs'!$B$33,'Inputs'!$B$29+'Inputs'!$B$31+'Inputs'!$B$32,'Inputs'!$B$30+'Inputs'!$B$31+'Inputs'!$B$32)/1000+'Inputs'!$B$21))^2+('Inputs'!$B$6/2)^2)))-'Results'!C7*(0.5*((((544-43)*MAX('Inputs'!$B$33,'Inputs'!$B$29+'Inputs'!$B$31+'Inputs'!$B$32,'Inputs'!$B$30+'Inputs'!$B$31+'Inputs'!$B$32)/1000+'Inputs'!$B$21+'Inputs'!$B$7+'Inputs'!$B$10)+'Inputs'!$B$9)/SQRT((((544-43)*MAX('Inputs'!$B$33,'Inputs'!$B$29+'Inputs'!$B$31+'Inputs'!$B$32,'Inputs'!$B$30+'Inputs'!$B$31+'Inputs'!$B$32)/1000+'Inputs'!$B$21+'Inputs'!$B$7+'Inputs'!$B$10)+'Inputs'!$B$9)^2+('Inputs'!$B$8/2)^2)-(((544-43)*MAX('Inputs'!$B$33,'Inputs'!$B$29+'Inputs'!$B$31+'Inputs'!$B$32,'Inputs'!$B$30+'Inputs'!$B$31+'Inputs'!$B$32)/1000+'Inputs'!$B$21+'Inputs'!$B$7+'Inputs'!$B$10))/SQRT((((544-43)*MAX('Inputs'!$B$33,'Inputs'!$B$29+'Inputs'!$B$31+'Inputs'!$B$32,'Inputs'!$B$30+'Inputs'!$B$31+'Inputs'!$B$32)/1000+'Inputs'!$B$21+'Inputs'!$B$7+'Inputs'!$B$10))^2+('Inputs'!$B$8/2)^2))))*'Results'!$B$8),"")</x:f>
        <x:v>4.151184740133011</x:v>
      </x:c>
      <x:c r="K544" t="n">
        <x:f>IF(AND(ISNUMBER('Results'!B7),ISNUMBER('Results'!C7),ISNUMBER('Results'!$B$8),ISNUMBER('Inputs'!$B$6),ISNUMBER('Inputs'!$B$7),ISNUMBER('Inputs'!$B$8),ISNUMBER('Inputs'!$B$9),ISNUMBER('Inputs'!$B$10),ISNUMBER('Inputs'!$B$21),ISNUMBER('Inputs'!$B$24),ISNUMBER('Inputs'!$B$28)),((('Results'!B7*(1-'Inputs'!$B$24)*(0.5*((((544-43)*MAX('Inputs'!$B$33,'Inputs'!$B$29+'Inputs'!$B$31+'Inputs'!$B$32,'Inputs'!$B$30+'Inputs'!$B$31+'Inputs'!$B$32)/1000+'Inputs'!$B$21)+'Inputs'!$B$7)/SQRT((((544-43)*MAX('Inputs'!$B$33,'Inputs'!$B$29+'Inputs'!$B$31+'Inputs'!$B$32,'Inputs'!$B$30+'Inputs'!$B$31+'Inputs'!$B$32)/1000+'Inputs'!$B$21)+'Inputs'!$B$7)^2+('Inputs'!$B$6/2)^2)-(((544-43)*MAX('Inputs'!$B$33,'Inputs'!$B$29+'Inputs'!$B$31+'Inputs'!$B$32,'Inputs'!$B$30+'Inputs'!$B$31+'Inputs'!$B$32)/1000+'Inputs'!$B$21))/SQRT((((544-43)*MAX('Inputs'!$B$33,'Inputs'!$B$29+'Inputs'!$B$31+'Inputs'!$B$32,'Inputs'!$B$30+'Inputs'!$B$31+'Inputs'!$B$32)/1000+'Inputs'!$B$21))^2+('Inputs'!$B$6/2)^2)))-'Results'!C7*(1+'Inputs'!$B$24)*(0.5*((((544-43)*MAX('Inputs'!$B$33,'Inputs'!$B$29+'Inputs'!$B$31+'Inputs'!$B$32,'Inputs'!$B$30+'Inputs'!$B$31+'Inputs'!$B$32)/1000+'Inputs'!$B$21+'Inputs'!$B$7+'Inputs'!$B$10)+'Inputs'!$B$9)/SQRT((((544-43)*MAX('Inputs'!$B$33,'Inputs'!$B$29+'Inputs'!$B$31+'Inputs'!$B$32,'Inputs'!$B$30+'Inputs'!$B$31+'Inputs'!$B$32)/1000+'Inputs'!$B$21+'Inputs'!$B$7+'Inputs'!$B$10)+'Inputs'!$B$9)^2+('Inputs'!$B$8/2)^2)-(((544-43)*MAX('Inputs'!$B$33,'Inputs'!$B$29+'Inputs'!$B$31+'Inputs'!$B$32,'Inputs'!$B$30+'Inputs'!$B$31+'Inputs'!$B$32)/1000+'Inputs'!$B$21+'Inputs'!$B$7+'Inputs'!$B$10))/SQRT((((544-43)*MAX('Inputs'!$B$33,'Inputs'!$B$29+'Inputs'!$B$31+'Inputs'!$B$32,'Inputs'!$B$30+'Inputs'!$B$31+'Inputs'!$B$32)/1000+'Inputs'!$B$21+'Inputs'!$B$7+'Inputs'!$B$10))^2+('Inputs'!$B$8/2)^2))))*'Results'!$B$8)-'Inputs'!$B$28*ABS((('Results'!B7*(1-'Inputs'!$B$24)*(0.5*((((544-43)*MAX('Inputs'!$B$33,'Inputs'!$B$29+'Inputs'!$B$31+'Inputs'!$B$32,'Inputs'!$B$30+'Inputs'!$B$31+'Inputs'!$B$32)/1000+'Inputs'!$B$21)+'Inputs'!$B$7)/SQRT((((544-43)*MAX('Inputs'!$B$33,'Inputs'!$B$29+'Inputs'!$B$31+'Inputs'!$B$32,'Inputs'!$B$30+'Inputs'!$B$31+'Inputs'!$B$32)/1000+'Inputs'!$B$21)+'Inputs'!$B$7)^2+('Inputs'!$B$6/2)^2)-(((544-43)*MAX('Inputs'!$B$33,'Inputs'!$B$29+'Inputs'!$B$31+'Inputs'!$B$32,'Inputs'!$B$30+'Inputs'!$B$31+'Inputs'!$B$32)/1000+'Inputs'!$B$21))/SQRT((((544-43)*MAX('Inputs'!$B$33,'Inputs'!$B$29+'Inputs'!$B$31+'Inputs'!$B$32,'Inputs'!$B$30+'Inputs'!$B$31+'Inputs'!$B$32)/1000+'Inputs'!$B$21))^2+('Inputs'!$B$6/2)^2)))-'Results'!C7*(1+'Inputs'!$B$24)*(0.5*((((544-43)*MAX('Inputs'!$B$33,'Inputs'!$B$29+'Inputs'!$B$31+'Inputs'!$B$32,'Inputs'!$B$30+'Inputs'!$B$31+'Inputs'!$B$32)/1000+'Inputs'!$B$21+'Inputs'!$B$7+'Inputs'!$B$10)+'Inputs'!$B$9)/SQRT((((544-43)*MAX('Inputs'!$B$33,'Inputs'!$B$29+'Inputs'!$B$31+'Inputs'!$B$32,'Inputs'!$B$30+'Inputs'!$B$31+'Inputs'!$B$32)/1000+'Inputs'!$B$21+'Inputs'!$B$7+'Inputs'!$B$10)+'Inputs'!$B$9)^2+('Inputs'!$B$8/2)^2)-(((544-43)*MAX('Inputs'!$B$33,'Inputs'!$B$29+'Inputs'!$B$31+'Inputs'!$B$32,'Inputs'!$B$30+'Inputs'!$B$31+'Inputs'!$B$32)/1000+'Inputs'!$B$21+'Inputs'!$B$7+'Inputs'!$B$10))/SQRT((((544-43)*MAX('Inputs'!$B$33,'Inputs'!$B$29+'Inputs'!$B$31+'Inputs'!$B$32,'Inputs'!$B$30+'Inputs'!$B$31+'Inputs'!$B$32)/1000+'Inputs'!$B$21+'Inputs'!$B$7+'Inputs'!$B$10))^2+('Inputs'!$B$8/2)^2))))*'Results'!$B$8))),"")</x:f>
        <x:v>3.675772507483317</x:v>
      </x:c>
      <x:c r="L544" t="n">
        <x:f>IF(AND(ISNUMBER('Results'!B7),ISNUMBER('Results'!C7),ISNUMBER('Results'!$B$8),ISNUMBER('Inputs'!$B$6),ISNUMBER('Inputs'!$B$7),ISNUMBER('Inputs'!$B$8),ISNUMBER('Inputs'!$B$9),ISNUMBER('Inputs'!$B$10),ISNUMBER('Inputs'!$B$21),ISNUMBER('Inputs'!$B$24),ISNUMBER('Inputs'!$B$28)),((('Results'!B7*(1+'Inputs'!$B$24)*(0.5*((((544-43)*MAX('Inputs'!$B$33,'Inputs'!$B$29+'Inputs'!$B$31+'Inputs'!$B$32,'Inputs'!$B$30+'Inputs'!$B$31+'Inputs'!$B$32)/1000+'Inputs'!$B$21)+'Inputs'!$B$7)/SQRT((((544-43)*MAX('Inputs'!$B$33,'Inputs'!$B$29+'Inputs'!$B$31+'Inputs'!$B$32,'Inputs'!$B$30+'Inputs'!$B$31+'Inputs'!$B$32)/1000+'Inputs'!$B$21)+'Inputs'!$B$7)^2+('Inputs'!$B$6/2)^2)-(((544-43)*MAX('Inputs'!$B$33,'Inputs'!$B$29+'Inputs'!$B$31+'Inputs'!$B$32,'Inputs'!$B$30+'Inputs'!$B$31+'Inputs'!$B$32)/1000+'Inputs'!$B$21))/SQRT((((544-43)*MAX('Inputs'!$B$33,'Inputs'!$B$29+'Inputs'!$B$31+'Inputs'!$B$32,'Inputs'!$B$30+'Inputs'!$B$31+'Inputs'!$B$32)/1000+'Inputs'!$B$21))^2+('Inputs'!$B$6/2)^2)))-'Results'!C7*(1-'Inputs'!$B$24)*(0.5*((((544-43)*MAX('Inputs'!$B$33,'Inputs'!$B$29+'Inputs'!$B$31+'Inputs'!$B$32,'Inputs'!$B$30+'Inputs'!$B$31+'Inputs'!$B$32)/1000+'Inputs'!$B$21+'Inputs'!$B$7+'Inputs'!$B$10)+'Inputs'!$B$9)/SQRT((((544-43)*MAX('Inputs'!$B$33,'Inputs'!$B$29+'Inputs'!$B$31+'Inputs'!$B$32,'Inputs'!$B$30+'Inputs'!$B$31+'Inputs'!$B$32)/1000+'Inputs'!$B$21+'Inputs'!$B$7+'Inputs'!$B$10)+'Inputs'!$B$9)^2+('Inputs'!$B$8/2)^2)-(((544-43)*MAX('Inputs'!$B$33,'Inputs'!$B$29+'Inputs'!$B$31+'Inputs'!$B$32,'Inputs'!$B$30+'Inputs'!$B$31+'Inputs'!$B$32)/1000+'Inputs'!$B$21+'Inputs'!$B$7+'Inputs'!$B$10))/SQRT((((544-43)*MAX('Inputs'!$B$33,'Inputs'!$B$29+'Inputs'!$B$31+'Inputs'!$B$32,'Inputs'!$B$30+'Inputs'!$B$31+'Inputs'!$B$32)/1000+'Inputs'!$B$21+'Inputs'!$B$7+'Inputs'!$B$10))^2+('Inputs'!$B$8/2)^2))))*'Results'!$B$8)+'Inputs'!$B$28*ABS((('Results'!B7*(1+'Inputs'!$B$24)*(0.5*((((544-43)*MAX('Inputs'!$B$33,'Inputs'!$B$29+'Inputs'!$B$31+'Inputs'!$B$32,'Inputs'!$B$30+'Inputs'!$B$31+'Inputs'!$B$32)/1000+'Inputs'!$B$21)+'Inputs'!$B$7)/SQRT((((544-43)*MAX('Inputs'!$B$33,'Inputs'!$B$29+'Inputs'!$B$31+'Inputs'!$B$32,'Inputs'!$B$30+'Inputs'!$B$31+'Inputs'!$B$32)/1000+'Inputs'!$B$21)+'Inputs'!$B$7)^2+('Inputs'!$B$6/2)^2)-(((544-43)*MAX('Inputs'!$B$33,'Inputs'!$B$29+'Inputs'!$B$31+'Inputs'!$B$32,'Inputs'!$B$30+'Inputs'!$B$31+'Inputs'!$B$32)/1000+'Inputs'!$B$21))/SQRT((((544-43)*MAX('Inputs'!$B$33,'Inputs'!$B$29+'Inputs'!$B$31+'Inputs'!$B$32,'Inputs'!$B$30+'Inputs'!$B$31+'Inputs'!$B$32)/1000+'Inputs'!$B$21))^2+('Inputs'!$B$6/2)^2)))-'Results'!C7*(1-'Inputs'!$B$24)*(0.5*((((544-43)*MAX('Inputs'!$B$33,'Inputs'!$B$29+'Inputs'!$B$31+'Inputs'!$B$32,'Inputs'!$B$30+'Inputs'!$B$31+'Inputs'!$B$32)/1000+'Inputs'!$B$21+'Inputs'!$B$7+'Inputs'!$B$10)+'Inputs'!$B$9)/SQRT((((544-43)*MAX('Inputs'!$B$33,'Inputs'!$B$29+'Inputs'!$B$31+'Inputs'!$B$32,'Inputs'!$B$30+'Inputs'!$B$31+'Inputs'!$B$32)/1000+'Inputs'!$B$21+'Inputs'!$B$7+'Inputs'!$B$10)+'Inputs'!$B$9)^2+('Inputs'!$B$8/2)^2)-(((544-43)*MAX('Inputs'!$B$33,'Inputs'!$B$29+'Inputs'!$B$31+'Inputs'!$B$32,'Inputs'!$B$30+'Inputs'!$B$31+'Inputs'!$B$32)/1000+'Inputs'!$B$21+'Inputs'!$B$7+'Inputs'!$B$10))/SQRT((((544-43)*MAX('Inputs'!$B$33,'Inputs'!$B$29+'Inputs'!$B$31+'Inputs'!$B$32,'Inputs'!$B$30+'Inputs'!$B$31+'Inputs'!$B$32)/1000+'Inputs'!$B$21+'Inputs'!$B$7+'Inputs'!$B$10))^2+('Inputs'!$B$8/2)^2))))*'Results'!$B$8))),"")</x:f>
        <x:v>4.654792024955656</x:v>
      </x:c>
      <x:c r="M544" t="n">
        <x:f>IF(AND(ISNUMBER('Results'!C7),ISNUMBER('Results'!B7),ISNUMBER('Results'!$B$8),ISNUMBER('Inputs'!$B$6),ISNUMBER('Inputs'!$B$7),ISNUMBER('Inputs'!$B$8),ISNUMBER('Inputs'!$B$9),ISNUMBER('Inputs'!$B$10),ISNUMBER('Inputs'!$B$21),ISNUMBER('Inputs'!$B$24),ISNUMBER('Inputs'!$B$28)),(('Results'!C7*(0.5*((((544-43)*MAX('Inputs'!$B$33,'Inputs'!$B$29+'Inputs'!$B$31+'Inputs'!$B$32,'Inputs'!$B$30+'Inputs'!$B$31+'Inputs'!$B$32)/1000+'Inputs'!$B$21)+'Inputs'!$B$9)/SQRT((((544-43)*MAX('Inputs'!$B$33,'Inputs'!$B$29+'Inputs'!$B$31+'Inputs'!$B$32,'Inputs'!$B$30+'Inputs'!$B$31+'Inputs'!$B$32)/1000+'Inputs'!$B$21)+'Inputs'!$B$9)^2+('Inputs'!$B$8/2)^2)-(((544-43)*MAX('Inputs'!$B$33,'Inputs'!$B$29+'Inputs'!$B$31+'Inputs'!$B$32,'Inputs'!$B$30+'Inputs'!$B$31+'Inputs'!$B$32)/1000+'Inputs'!$B$21))/SQRT((((544-43)*MAX('Inputs'!$B$33,'Inputs'!$B$29+'Inputs'!$B$31+'Inputs'!$B$32,'Inputs'!$B$30+'Inputs'!$B$31+'Inputs'!$B$32)/1000+'Inputs'!$B$21))^2+('Inputs'!$B$8/2)^2)))-'Results'!B7*(0.5*((((544-43)*MAX('Inputs'!$B$33,'Inputs'!$B$29+'Inputs'!$B$31+'Inputs'!$B$32,'Inputs'!$B$30+'Inputs'!$B$31+'Inputs'!$B$32)/1000+'Inputs'!$B$21+'Inputs'!$B$9+'Inputs'!$B$10)+'Inputs'!$B$7)/SQRT((((544-43)*MAX('Inputs'!$B$33,'Inputs'!$B$29+'Inputs'!$B$31+'Inputs'!$B$32,'Inputs'!$B$30+'Inputs'!$B$31+'Inputs'!$B$32)/1000+'Inputs'!$B$21+'Inputs'!$B$9+'Inputs'!$B$10)+'Inputs'!$B$7)^2+('Inputs'!$B$6/2)^2)-(((544-43)*MAX('Inputs'!$B$33,'Inputs'!$B$29+'Inputs'!$B$31+'Inputs'!$B$32,'Inputs'!$B$30+'Inputs'!$B$31+'Inputs'!$B$32)/1000+'Inputs'!$B$21+'Inputs'!$B$9+'Inputs'!$B$10))/SQRT((((544-43)*MAX('Inputs'!$B$33,'Inputs'!$B$29+'Inputs'!$B$31+'Inputs'!$B$32,'Inputs'!$B$30+'Inputs'!$B$31+'Inputs'!$B$32)/1000+'Inputs'!$B$21+'Inputs'!$B$9+'Inputs'!$B$10))^2+('Inputs'!$B$6/2)^2))))*'Results'!$B$8),"")</x:f>
        <x:v>3.867204352822605</x:v>
      </x:c>
      <x:c r="N544" t="n">
        <x:f>IF(AND(ISNUMBER('Results'!C7),ISNUMBER('Results'!B7),ISNUMBER('Results'!$B$8),ISNUMBER('Inputs'!$B$6),ISNUMBER('Inputs'!$B$7),ISNUMBER('Inputs'!$B$8),ISNUMBER('Inputs'!$B$9),ISNUMBER('Inputs'!$B$10),ISNUMBER('Inputs'!$B$21),ISNUMBER('Inputs'!$B$24),ISNUMBER('Inputs'!$B$28)),((('Results'!C7*(1-'Inputs'!$B$24)*(0.5*((((544-43)*MAX('Inputs'!$B$33,'Inputs'!$B$29+'Inputs'!$B$31+'Inputs'!$B$32,'Inputs'!$B$30+'Inputs'!$B$31+'Inputs'!$B$32)/1000+'Inputs'!$B$21)+'Inputs'!$B$9)/SQRT((((544-43)*MAX('Inputs'!$B$33,'Inputs'!$B$29+'Inputs'!$B$31+'Inputs'!$B$32,'Inputs'!$B$30+'Inputs'!$B$31+'Inputs'!$B$32)/1000+'Inputs'!$B$21)+'Inputs'!$B$9)^2+('Inputs'!$B$8/2)^2)-(((544-43)*MAX('Inputs'!$B$33,'Inputs'!$B$29+'Inputs'!$B$31+'Inputs'!$B$32,'Inputs'!$B$30+'Inputs'!$B$31+'Inputs'!$B$32)/1000+'Inputs'!$B$21))/SQRT((((544-43)*MAX('Inputs'!$B$33,'Inputs'!$B$29+'Inputs'!$B$31+'Inputs'!$B$32,'Inputs'!$B$30+'Inputs'!$B$31+'Inputs'!$B$32)/1000+'Inputs'!$B$21))^2+('Inputs'!$B$8/2)^2)))-'Results'!B7*(1+'Inputs'!$B$24)*(0.5*((((544-43)*MAX('Inputs'!$B$33,'Inputs'!$B$29+'Inputs'!$B$31+'Inputs'!$B$32,'Inputs'!$B$30+'Inputs'!$B$31+'Inputs'!$B$32)/1000+'Inputs'!$B$21+'Inputs'!$B$9+'Inputs'!$B$10)+'Inputs'!$B$7)/SQRT((((544-43)*MAX('Inputs'!$B$33,'Inputs'!$B$29+'Inputs'!$B$31+'Inputs'!$B$32,'Inputs'!$B$30+'Inputs'!$B$31+'Inputs'!$B$32)/1000+'Inputs'!$B$21+'Inputs'!$B$9+'Inputs'!$B$10)+'Inputs'!$B$7)^2+('Inputs'!$B$6/2)^2)-(((544-43)*MAX('Inputs'!$B$33,'Inputs'!$B$29+'Inputs'!$B$31+'Inputs'!$B$32,'Inputs'!$B$30+'Inputs'!$B$31+'Inputs'!$B$32)/1000+'Inputs'!$B$21+'Inputs'!$B$9+'Inputs'!$B$10))/SQRT((((544-43)*MAX('Inputs'!$B$33,'Inputs'!$B$29+'Inputs'!$B$31+'Inputs'!$B$32,'Inputs'!$B$30+'Inputs'!$B$31+'Inputs'!$B$32)/1000+'Inputs'!$B$21+'Inputs'!$B$9+'Inputs'!$B$10))^2+('Inputs'!$B$6/2)^2))))*'Results'!$B$8)-'Inputs'!$B$28*ABS((('Results'!C7*(1-'Inputs'!$B$24)*(0.5*((((544-43)*MAX('Inputs'!$B$33,'Inputs'!$B$29+'Inputs'!$B$31+'Inputs'!$B$32,'Inputs'!$B$30+'Inputs'!$B$31+'Inputs'!$B$32)/1000+'Inputs'!$B$21)+'Inputs'!$B$9)/SQRT((((544-43)*MAX('Inputs'!$B$33,'Inputs'!$B$29+'Inputs'!$B$31+'Inputs'!$B$32,'Inputs'!$B$30+'Inputs'!$B$31+'Inputs'!$B$32)/1000+'Inputs'!$B$21)+'Inputs'!$B$9)^2+('Inputs'!$B$8/2)^2)-(((544-43)*MAX('Inputs'!$B$33,'Inputs'!$B$29+'Inputs'!$B$31+'Inputs'!$B$32,'Inputs'!$B$30+'Inputs'!$B$31+'Inputs'!$B$32)/1000+'Inputs'!$B$21))/SQRT((((544-43)*MAX('Inputs'!$B$33,'Inputs'!$B$29+'Inputs'!$B$31+'Inputs'!$B$32,'Inputs'!$B$30+'Inputs'!$B$31+'Inputs'!$B$32)/1000+'Inputs'!$B$21))^2+('Inputs'!$B$8/2)^2)))-'Results'!B7*(1+'Inputs'!$B$24)*(0.5*((((544-43)*MAX('Inputs'!$B$33,'Inputs'!$B$29+'Inputs'!$B$31+'Inputs'!$B$32,'Inputs'!$B$30+'Inputs'!$B$31+'Inputs'!$B$32)/1000+'Inputs'!$B$21+'Inputs'!$B$9+'Inputs'!$B$10)+'Inputs'!$B$7)/SQRT((((544-43)*MAX('Inputs'!$B$33,'Inputs'!$B$29+'Inputs'!$B$31+'Inputs'!$B$32,'Inputs'!$B$30+'Inputs'!$B$31+'Inputs'!$B$32)/1000+'Inputs'!$B$21+'Inputs'!$B$9+'Inputs'!$B$10)+'Inputs'!$B$7)^2+('Inputs'!$B$6/2)^2)-(((544-43)*MAX('Inputs'!$B$33,'Inputs'!$B$29+'Inputs'!$B$31+'Inputs'!$B$32,'Inputs'!$B$30+'Inputs'!$B$31+'Inputs'!$B$32)/1000+'Inputs'!$B$21+'Inputs'!$B$9+'Inputs'!$B$10))/SQRT((((544-43)*MAX('Inputs'!$B$33,'Inputs'!$B$29+'Inputs'!$B$31+'Inputs'!$B$32,'Inputs'!$B$30+'Inputs'!$B$31+'Inputs'!$B$32)/1000+'Inputs'!$B$21+'Inputs'!$B$9+'Inputs'!$B$10))^2+('Inputs'!$B$6/2)^2))))*'Results'!$B$8))),"")</x:f>
        <x:v>3.4075300222936464</x:v>
      </x:c>
      <x:c r="O544" t="n">
        <x:f>IF(AND(ISNUMBER('Results'!C7),ISNUMBER('Results'!B7),ISNUMBER('Results'!$B$8),ISNUMBER('Inputs'!$B$6),ISNUMBER('Inputs'!$B$7),ISNUMBER('Inputs'!$B$8),ISNUMBER('Inputs'!$B$9),ISNUMBER('Inputs'!$B$10),ISNUMBER('Inputs'!$B$21),ISNUMBER('Inputs'!$B$24),ISNUMBER('Inputs'!$B$28)),((('Results'!C7*(1+'Inputs'!$B$24)*(0.5*((((544-43)*MAX('Inputs'!$B$33,'Inputs'!$B$29+'Inputs'!$B$31+'Inputs'!$B$32,'Inputs'!$B$30+'Inputs'!$B$31+'Inputs'!$B$32)/1000+'Inputs'!$B$21)+'Inputs'!$B$9)/SQRT((((544-43)*MAX('Inputs'!$B$33,'Inputs'!$B$29+'Inputs'!$B$31+'Inputs'!$B$32,'Inputs'!$B$30+'Inputs'!$B$31+'Inputs'!$B$32)/1000+'Inputs'!$B$21)+'Inputs'!$B$9)^2+('Inputs'!$B$8/2)^2)-(((544-43)*MAX('Inputs'!$B$33,'Inputs'!$B$29+'Inputs'!$B$31+'Inputs'!$B$32,'Inputs'!$B$30+'Inputs'!$B$31+'Inputs'!$B$32)/1000+'Inputs'!$B$21))/SQRT((((544-43)*MAX('Inputs'!$B$33,'Inputs'!$B$29+'Inputs'!$B$31+'Inputs'!$B$32,'Inputs'!$B$30+'Inputs'!$B$31+'Inputs'!$B$32)/1000+'Inputs'!$B$21))^2+('Inputs'!$B$8/2)^2)))-'Results'!B7*(1-'Inputs'!$B$24)*(0.5*((((544-43)*MAX('Inputs'!$B$33,'Inputs'!$B$29+'Inputs'!$B$31+'Inputs'!$B$32,'Inputs'!$B$30+'Inputs'!$B$31+'Inputs'!$B$32)/1000+'Inputs'!$B$21+'Inputs'!$B$9+'Inputs'!$B$10)+'Inputs'!$B$7)/SQRT((((544-43)*MAX('Inputs'!$B$33,'Inputs'!$B$29+'Inputs'!$B$31+'Inputs'!$B$32,'Inputs'!$B$30+'Inputs'!$B$31+'Inputs'!$B$32)/1000+'Inputs'!$B$21+'Inputs'!$B$9+'Inputs'!$B$10)+'Inputs'!$B$7)^2+('Inputs'!$B$6/2)^2)-(((544-43)*MAX('Inputs'!$B$33,'Inputs'!$B$29+'Inputs'!$B$31+'Inputs'!$B$32,'Inputs'!$B$30+'Inputs'!$B$31+'Inputs'!$B$32)/1000+'Inputs'!$B$21+'Inputs'!$B$9+'Inputs'!$B$10))/SQRT((((544-43)*MAX('Inputs'!$B$33,'Inputs'!$B$29+'Inputs'!$B$31+'Inputs'!$B$32,'Inputs'!$B$30+'Inputs'!$B$31+'Inputs'!$B$32)/1000+'Inputs'!$B$21+'Inputs'!$B$9+'Inputs'!$B$10))^2+('Inputs'!$B$6/2)^2))))*'Results'!$B$8)+'Inputs'!$B$28*ABS((('Results'!C7*(1+'Inputs'!$B$24)*(0.5*((((544-43)*MAX('Inputs'!$B$33,'Inputs'!$B$29+'Inputs'!$B$31+'Inputs'!$B$32,'Inputs'!$B$30+'Inputs'!$B$31+'Inputs'!$B$32)/1000+'Inputs'!$B$21)+'Inputs'!$B$9)/SQRT((((544-43)*MAX('Inputs'!$B$33,'Inputs'!$B$29+'Inputs'!$B$31+'Inputs'!$B$32,'Inputs'!$B$30+'Inputs'!$B$31+'Inputs'!$B$32)/1000+'Inputs'!$B$21)+'Inputs'!$B$9)^2+('Inputs'!$B$8/2)^2)-(((544-43)*MAX('Inputs'!$B$33,'Inputs'!$B$29+'Inputs'!$B$31+'Inputs'!$B$32,'Inputs'!$B$30+'Inputs'!$B$31+'Inputs'!$B$32)/1000+'Inputs'!$B$21))/SQRT((((544-43)*MAX('Inputs'!$B$33,'Inputs'!$B$29+'Inputs'!$B$31+'Inputs'!$B$32,'Inputs'!$B$30+'Inputs'!$B$31+'Inputs'!$B$32)/1000+'Inputs'!$B$21))^2+('Inputs'!$B$8/2)^2)))-'Results'!B7*(1-'Inputs'!$B$24)*(0.5*((((544-43)*MAX('Inputs'!$B$33,'Inputs'!$B$29+'Inputs'!$B$31+'Inputs'!$B$32,'Inputs'!$B$30+'Inputs'!$B$31+'Inputs'!$B$32)/1000+'Inputs'!$B$21+'Inputs'!$B$9+'Inputs'!$B$10)+'Inputs'!$B$7)/SQRT((((544-43)*MAX('Inputs'!$B$33,'Inputs'!$B$29+'Inputs'!$B$31+'Inputs'!$B$32,'Inputs'!$B$30+'Inputs'!$B$31+'Inputs'!$B$32)/1000+'Inputs'!$B$21+'Inputs'!$B$9+'Inputs'!$B$10)+'Inputs'!$B$7)^2+('Inputs'!$B$6/2)^2)-(((544-43)*MAX('Inputs'!$B$33,'Inputs'!$B$29+'Inputs'!$B$31+'Inputs'!$B$32,'Inputs'!$B$30+'Inputs'!$B$31+'Inputs'!$B$32)/1000+'Inputs'!$B$21+'Inputs'!$B$9+'Inputs'!$B$10))/SQRT((((544-43)*MAX('Inputs'!$B$33,'Inputs'!$B$29+'Inputs'!$B$31+'Inputs'!$B$32,'Inputs'!$B$30+'Inputs'!$B$31+'Inputs'!$B$32)/1000+'Inputs'!$B$21+'Inputs'!$B$9+'Inputs'!$B$10))^2+('Inputs'!$B$6/2)^2))))*'Results'!$B$8))),"")</x:f>
        <x:v>4.354911747866073</x:v>
      </x:c>
      <x:c r="P544" t="n">
        <x:f>IF(AND(MAX(J544,J543)&gt;0,J544&gt;J543+0.00000001),1,0)</x:f>
        <x:v>0</x:v>
      </x:c>
      <x:c r="Q544" t="n">
        <x:f>IF(AND(MAX(K544,K543)&gt;0,K544&gt;K543+0.00000001),1,0)</x:f>
        <x:v>0</x:v>
      </x:c>
      <x:c r="R544" t="n">
        <x:f>IF(AND(MAX(L544,L543)&gt;0,L544&gt;L543+0.00000001),1,0)</x:f>
        <x:v>0</x:v>
      </x:c>
      <x:c r="S544" t="n">
        <x:f>IF(AND(MAX(M544,M543)&gt;0,M544&gt;M543+0.00000001),1,0)</x:f>
        <x:v>0</x:v>
      </x:c>
      <x:c r="T544" t="n">
        <x:f>IF(AND(MAX(N544,N543)&gt;0,N544&gt;N543+0.00000001),1,0)</x:f>
        <x:v>0</x:v>
      </x:c>
      <x:c r="U544" t="n">
        <x:f>IF(AND(MAX(O544,O543)&gt;0,O544&gt;O543+0.00000001),1,0)</x:f>
        <x:v>0</x:v>
      </x:c>
    </x:row>
    <x:row r="545">
      <x:c r="J545" t="n">
        <x:f>IF(AND(ISNUMBER('Results'!B7),ISNUMBER('Results'!C7),ISNUMBER('Results'!$B$8),ISNUMBER('Inputs'!$B$6),ISNUMBER('Inputs'!$B$7),ISNUMBER('Inputs'!$B$8),ISNUMBER('Inputs'!$B$9),ISNUMBER('Inputs'!$B$10),ISNUMBER('Inputs'!$B$21),ISNUMBER('Inputs'!$B$24),ISNUMBER('Inputs'!$B$28)),(('Results'!B7*(0.5*((((545-43)*MAX('Inputs'!$B$33,'Inputs'!$B$29+'Inputs'!$B$31+'Inputs'!$B$32,'Inputs'!$B$30+'Inputs'!$B$31+'Inputs'!$B$32)/1000+'Inputs'!$B$21)+'Inputs'!$B$7)/SQRT((((545-43)*MAX('Inputs'!$B$33,'Inputs'!$B$29+'Inputs'!$B$31+'Inputs'!$B$32,'Inputs'!$B$30+'Inputs'!$B$31+'Inputs'!$B$32)/1000+'Inputs'!$B$21)+'Inputs'!$B$7)^2+('Inputs'!$B$6/2)^2)-(((545-43)*MAX('Inputs'!$B$33,'Inputs'!$B$29+'Inputs'!$B$31+'Inputs'!$B$32,'Inputs'!$B$30+'Inputs'!$B$31+'Inputs'!$B$32)/1000+'Inputs'!$B$21))/SQRT((((545-43)*MAX('Inputs'!$B$33,'Inputs'!$B$29+'Inputs'!$B$31+'Inputs'!$B$32,'Inputs'!$B$30+'Inputs'!$B$31+'Inputs'!$B$32)/1000+'Inputs'!$B$21))^2+('Inputs'!$B$6/2)^2)))-'Results'!C7*(0.5*((((545-43)*MAX('Inputs'!$B$33,'Inputs'!$B$29+'Inputs'!$B$31+'Inputs'!$B$32,'Inputs'!$B$30+'Inputs'!$B$31+'Inputs'!$B$32)/1000+'Inputs'!$B$21+'Inputs'!$B$7+'Inputs'!$B$10)+'Inputs'!$B$9)/SQRT((((545-43)*MAX('Inputs'!$B$33,'Inputs'!$B$29+'Inputs'!$B$31+'Inputs'!$B$32,'Inputs'!$B$30+'Inputs'!$B$31+'Inputs'!$B$32)/1000+'Inputs'!$B$21+'Inputs'!$B$7+'Inputs'!$B$10)+'Inputs'!$B$9)^2+('Inputs'!$B$8/2)^2)-(((545-43)*MAX('Inputs'!$B$33,'Inputs'!$B$29+'Inputs'!$B$31+'Inputs'!$B$32,'Inputs'!$B$30+'Inputs'!$B$31+'Inputs'!$B$32)/1000+'Inputs'!$B$21+'Inputs'!$B$7+'Inputs'!$B$10))/SQRT((((545-43)*MAX('Inputs'!$B$33,'Inputs'!$B$29+'Inputs'!$B$31+'Inputs'!$B$32,'Inputs'!$B$30+'Inputs'!$B$31+'Inputs'!$B$32)/1000+'Inputs'!$B$21+'Inputs'!$B$7+'Inputs'!$B$10))^2+('Inputs'!$B$8/2)^2))))*'Results'!$B$8),"")</x:f>
        <x:v>4.122994635963719</x:v>
      </x:c>
      <x:c r="K545" t="n">
        <x:f>IF(AND(ISNUMBER('Results'!B7),ISNUMBER('Results'!C7),ISNUMBER('Results'!$B$8),ISNUMBER('Inputs'!$B$6),ISNUMBER('Inputs'!$B$7),ISNUMBER('Inputs'!$B$8),ISNUMBER('Inputs'!$B$9),ISNUMBER('Inputs'!$B$10),ISNUMBER('Inputs'!$B$21),ISNUMBER('Inputs'!$B$24),ISNUMBER('Inputs'!$B$28)),((('Results'!B7*(1-'Inputs'!$B$24)*(0.5*((((545-43)*MAX('Inputs'!$B$33,'Inputs'!$B$29+'Inputs'!$B$31+'Inputs'!$B$32,'Inputs'!$B$30+'Inputs'!$B$31+'Inputs'!$B$32)/1000+'Inputs'!$B$21)+'Inputs'!$B$7)/SQRT((((545-43)*MAX('Inputs'!$B$33,'Inputs'!$B$29+'Inputs'!$B$31+'Inputs'!$B$32,'Inputs'!$B$30+'Inputs'!$B$31+'Inputs'!$B$32)/1000+'Inputs'!$B$21)+'Inputs'!$B$7)^2+('Inputs'!$B$6/2)^2)-(((545-43)*MAX('Inputs'!$B$33,'Inputs'!$B$29+'Inputs'!$B$31+'Inputs'!$B$32,'Inputs'!$B$30+'Inputs'!$B$31+'Inputs'!$B$32)/1000+'Inputs'!$B$21))/SQRT((((545-43)*MAX('Inputs'!$B$33,'Inputs'!$B$29+'Inputs'!$B$31+'Inputs'!$B$32,'Inputs'!$B$30+'Inputs'!$B$31+'Inputs'!$B$32)/1000+'Inputs'!$B$21))^2+('Inputs'!$B$6/2)^2)))-'Results'!C7*(1+'Inputs'!$B$24)*(0.5*((((545-43)*MAX('Inputs'!$B$33,'Inputs'!$B$29+'Inputs'!$B$31+'Inputs'!$B$32,'Inputs'!$B$30+'Inputs'!$B$31+'Inputs'!$B$32)/1000+'Inputs'!$B$21+'Inputs'!$B$7+'Inputs'!$B$10)+'Inputs'!$B$9)/SQRT((((545-43)*MAX('Inputs'!$B$33,'Inputs'!$B$29+'Inputs'!$B$31+'Inputs'!$B$32,'Inputs'!$B$30+'Inputs'!$B$31+'Inputs'!$B$32)/1000+'Inputs'!$B$21+'Inputs'!$B$7+'Inputs'!$B$10)+'Inputs'!$B$9)^2+('Inputs'!$B$8/2)^2)-(((545-43)*MAX('Inputs'!$B$33,'Inputs'!$B$29+'Inputs'!$B$31+'Inputs'!$B$32,'Inputs'!$B$30+'Inputs'!$B$31+'Inputs'!$B$32)/1000+'Inputs'!$B$21+'Inputs'!$B$7+'Inputs'!$B$10))/SQRT((((545-43)*MAX('Inputs'!$B$33,'Inputs'!$B$29+'Inputs'!$B$31+'Inputs'!$B$32,'Inputs'!$B$30+'Inputs'!$B$31+'Inputs'!$B$32)/1000+'Inputs'!$B$21+'Inputs'!$B$7+'Inputs'!$B$10))^2+('Inputs'!$B$8/2)^2))))*'Results'!$B$8)-'Inputs'!$B$28*ABS((('Results'!B7*(1-'Inputs'!$B$24)*(0.5*((((545-43)*MAX('Inputs'!$B$33,'Inputs'!$B$29+'Inputs'!$B$31+'Inputs'!$B$32,'Inputs'!$B$30+'Inputs'!$B$31+'Inputs'!$B$32)/1000+'Inputs'!$B$21)+'Inputs'!$B$7)/SQRT((((545-43)*MAX('Inputs'!$B$33,'Inputs'!$B$29+'Inputs'!$B$31+'Inputs'!$B$32,'Inputs'!$B$30+'Inputs'!$B$31+'Inputs'!$B$32)/1000+'Inputs'!$B$21)+'Inputs'!$B$7)^2+('Inputs'!$B$6/2)^2)-(((545-43)*MAX('Inputs'!$B$33,'Inputs'!$B$29+'Inputs'!$B$31+'Inputs'!$B$32,'Inputs'!$B$30+'Inputs'!$B$31+'Inputs'!$B$32)/1000+'Inputs'!$B$21))/SQRT((((545-43)*MAX('Inputs'!$B$33,'Inputs'!$B$29+'Inputs'!$B$31+'Inputs'!$B$32,'Inputs'!$B$30+'Inputs'!$B$31+'Inputs'!$B$32)/1000+'Inputs'!$B$21))^2+('Inputs'!$B$6/2)^2)))-'Results'!C7*(1+'Inputs'!$B$24)*(0.5*((((545-43)*MAX('Inputs'!$B$33,'Inputs'!$B$29+'Inputs'!$B$31+'Inputs'!$B$32,'Inputs'!$B$30+'Inputs'!$B$31+'Inputs'!$B$32)/1000+'Inputs'!$B$21+'Inputs'!$B$7+'Inputs'!$B$10)+'Inputs'!$B$9)/SQRT((((545-43)*MAX('Inputs'!$B$33,'Inputs'!$B$29+'Inputs'!$B$31+'Inputs'!$B$32,'Inputs'!$B$30+'Inputs'!$B$31+'Inputs'!$B$32)/1000+'Inputs'!$B$21+'Inputs'!$B$7+'Inputs'!$B$10)+'Inputs'!$B$9)^2+('Inputs'!$B$8/2)^2)-(((545-43)*MAX('Inputs'!$B$33,'Inputs'!$B$29+'Inputs'!$B$31+'Inputs'!$B$32,'Inputs'!$B$30+'Inputs'!$B$31+'Inputs'!$B$32)/1000+'Inputs'!$B$21+'Inputs'!$B$7+'Inputs'!$B$10))/SQRT((((545-43)*MAX('Inputs'!$B$33,'Inputs'!$B$29+'Inputs'!$B$31+'Inputs'!$B$32,'Inputs'!$B$30+'Inputs'!$B$31+'Inputs'!$B$32)/1000+'Inputs'!$B$21+'Inputs'!$B$7+'Inputs'!$B$10))^2+('Inputs'!$B$8/2)^2))))*'Results'!$B$8))),"")</x:f>
        <x:v>3.6504042641138086</x:v>
      </x:c>
      <x:c r="L545" t="n">
        <x:f>IF(AND(ISNUMBER('Results'!B7),ISNUMBER('Results'!C7),ISNUMBER('Results'!$B$8),ISNUMBER('Inputs'!$B$6),ISNUMBER('Inputs'!$B$7),ISNUMBER('Inputs'!$B$8),ISNUMBER('Inputs'!$B$9),ISNUMBER('Inputs'!$B$10),ISNUMBER('Inputs'!$B$21),ISNUMBER('Inputs'!$B$24),ISNUMBER('Inputs'!$B$28)),((('Results'!B7*(1+'Inputs'!$B$24)*(0.5*((((545-43)*MAX('Inputs'!$B$33,'Inputs'!$B$29+'Inputs'!$B$31+'Inputs'!$B$32,'Inputs'!$B$30+'Inputs'!$B$31+'Inputs'!$B$32)/1000+'Inputs'!$B$21)+'Inputs'!$B$7)/SQRT((((545-43)*MAX('Inputs'!$B$33,'Inputs'!$B$29+'Inputs'!$B$31+'Inputs'!$B$32,'Inputs'!$B$30+'Inputs'!$B$31+'Inputs'!$B$32)/1000+'Inputs'!$B$21)+'Inputs'!$B$7)^2+('Inputs'!$B$6/2)^2)-(((545-43)*MAX('Inputs'!$B$33,'Inputs'!$B$29+'Inputs'!$B$31+'Inputs'!$B$32,'Inputs'!$B$30+'Inputs'!$B$31+'Inputs'!$B$32)/1000+'Inputs'!$B$21))/SQRT((((545-43)*MAX('Inputs'!$B$33,'Inputs'!$B$29+'Inputs'!$B$31+'Inputs'!$B$32,'Inputs'!$B$30+'Inputs'!$B$31+'Inputs'!$B$32)/1000+'Inputs'!$B$21))^2+('Inputs'!$B$6/2)^2)))-'Results'!C7*(1-'Inputs'!$B$24)*(0.5*((((545-43)*MAX('Inputs'!$B$33,'Inputs'!$B$29+'Inputs'!$B$31+'Inputs'!$B$32,'Inputs'!$B$30+'Inputs'!$B$31+'Inputs'!$B$32)/1000+'Inputs'!$B$21+'Inputs'!$B$7+'Inputs'!$B$10)+'Inputs'!$B$9)/SQRT((((545-43)*MAX('Inputs'!$B$33,'Inputs'!$B$29+'Inputs'!$B$31+'Inputs'!$B$32,'Inputs'!$B$30+'Inputs'!$B$31+'Inputs'!$B$32)/1000+'Inputs'!$B$21+'Inputs'!$B$7+'Inputs'!$B$10)+'Inputs'!$B$9)^2+('Inputs'!$B$8/2)^2)-(((545-43)*MAX('Inputs'!$B$33,'Inputs'!$B$29+'Inputs'!$B$31+'Inputs'!$B$32,'Inputs'!$B$30+'Inputs'!$B$31+'Inputs'!$B$32)/1000+'Inputs'!$B$21+'Inputs'!$B$7+'Inputs'!$B$10))/SQRT((((545-43)*MAX('Inputs'!$B$33,'Inputs'!$B$29+'Inputs'!$B$31+'Inputs'!$B$32,'Inputs'!$B$30+'Inputs'!$B$31+'Inputs'!$B$32)/1000+'Inputs'!$B$21+'Inputs'!$B$7+'Inputs'!$B$10))^2+('Inputs'!$B$8/2)^2))))*'Results'!$B$8)+'Inputs'!$B$28*ABS((('Results'!B7*(1+'Inputs'!$B$24)*(0.5*((((545-43)*MAX('Inputs'!$B$33,'Inputs'!$B$29+'Inputs'!$B$31+'Inputs'!$B$32,'Inputs'!$B$30+'Inputs'!$B$31+'Inputs'!$B$32)/1000+'Inputs'!$B$21)+'Inputs'!$B$7)/SQRT((((545-43)*MAX('Inputs'!$B$33,'Inputs'!$B$29+'Inputs'!$B$31+'Inputs'!$B$32,'Inputs'!$B$30+'Inputs'!$B$31+'Inputs'!$B$32)/1000+'Inputs'!$B$21)+'Inputs'!$B$7)^2+('Inputs'!$B$6/2)^2)-(((545-43)*MAX('Inputs'!$B$33,'Inputs'!$B$29+'Inputs'!$B$31+'Inputs'!$B$32,'Inputs'!$B$30+'Inputs'!$B$31+'Inputs'!$B$32)/1000+'Inputs'!$B$21))/SQRT((((545-43)*MAX('Inputs'!$B$33,'Inputs'!$B$29+'Inputs'!$B$31+'Inputs'!$B$32,'Inputs'!$B$30+'Inputs'!$B$31+'Inputs'!$B$32)/1000+'Inputs'!$B$21))^2+('Inputs'!$B$6/2)^2)))-'Results'!C7*(1-'Inputs'!$B$24)*(0.5*((((545-43)*MAX('Inputs'!$B$33,'Inputs'!$B$29+'Inputs'!$B$31+'Inputs'!$B$32,'Inputs'!$B$30+'Inputs'!$B$31+'Inputs'!$B$32)/1000+'Inputs'!$B$21+'Inputs'!$B$7+'Inputs'!$B$10)+'Inputs'!$B$9)/SQRT((((545-43)*MAX('Inputs'!$B$33,'Inputs'!$B$29+'Inputs'!$B$31+'Inputs'!$B$32,'Inputs'!$B$30+'Inputs'!$B$31+'Inputs'!$B$32)/1000+'Inputs'!$B$21+'Inputs'!$B$7+'Inputs'!$B$10)+'Inputs'!$B$9)^2+('Inputs'!$B$8/2)^2)-(((545-43)*MAX('Inputs'!$B$33,'Inputs'!$B$29+'Inputs'!$B$31+'Inputs'!$B$32,'Inputs'!$B$30+'Inputs'!$B$31+'Inputs'!$B$32)/1000+'Inputs'!$B$21+'Inputs'!$B$7+'Inputs'!$B$10))/SQRT((((545-43)*MAX('Inputs'!$B$33,'Inputs'!$B$29+'Inputs'!$B$31+'Inputs'!$B$32,'Inputs'!$B$30+'Inputs'!$B$31+'Inputs'!$B$32)/1000+'Inputs'!$B$21+'Inputs'!$B$7+'Inputs'!$B$10))^2+('Inputs'!$B$8/2)^2))))*'Results'!$B$8))),"")</x:f>
        <x:v>4.623631390976968</x:v>
      </x:c>
      <x:c r="M545" t="n">
        <x:f>IF(AND(ISNUMBER('Results'!C7),ISNUMBER('Results'!B7),ISNUMBER('Results'!$B$8),ISNUMBER('Inputs'!$B$6),ISNUMBER('Inputs'!$B$7),ISNUMBER('Inputs'!$B$8),ISNUMBER('Inputs'!$B$9),ISNUMBER('Inputs'!$B$10),ISNUMBER('Inputs'!$B$21),ISNUMBER('Inputs'!$B$24),ISNUMBER('Inputs'!$B$28)),(('Results'!C7*(0.5*((((545-43)*MAX('Inputs'!$B$33,'Inputs'!$B$29+'Inputs'!$B$31+'Inputs'!$B$32,'Inputs'!$B$30+'Inputs'!$B$31+'Inputs'!$B$32)/1000+'Inputs'!$B$21)+'Inputs'!$B$9)/SQRT((((545-43)*MAX('Inputs'!$B$33,'Inputs'!$B$29+'Inputs'!$B$31+'Inputs'!$B$32,'Inputs'!$B$30+'Inputs'!$B$31+'Inputs'!$B$32)/1000+'Inputs'!$B$21)+'Inputs'!$B$9)^2+('Inputs'!$B$8/2)^2)-(((545-43)*MAX('Inputs'!$B$33,'Inputs'!$B$29+'Inputs'!$B$31+'Inputs'!$B$32,'Inputs'!$B$30+'Inputs'!$B$31+'Inputs'!$B$32)/1000+'Inputs'!$B$21))/SQRT((((545-43)*MAX('Inputs'!$B$33,'Inputs'!$B$29+'Inputs'!$B$31+'Inputs'!$B$32,'Inputs'!$B$30+'Inputs'!$B$31+'Inputs'!$B$32)/1000+'Inputs'!$B$21))^2+('Inputs'!$B$8/2)^2)))-'Results'!B7*(0.5*((((545-43)*MAX('Inputs'!$B$33,'Inputs'!$B$29+'Inputs'!$B$31+'Inputs'!$B$32,'Inputs'!$B$30+'Inputs'!$B$31+'Inputs'!$B$32)/1000+'Inputs'!$B$21+'Inputs'!$B$9+'Inputs'!$B$10)+'Inputs'!$B$7)/SQRT((((545-43)*MAX('Inputs'!$B$33,'Inputs'!$B$29+'Inputs'!$B$31+'Inputs'!$B$32,'Inputs'!$B$30+'Inputs'!$B$31+'Inputs'!$B$32)/1000+'Inputs'!$B$21+'Inputs'!$B$9+'Inputs'!$B$10)+'Inputs'!$B$7)^2+('Inputs'!$B$6/2)^2)-(((545-43)*MAX('Inputs'!$B$33,'Inputs'!$B$29+'Inputs'!$B$31+'Inputs'!$B$32,'Inputs'!$B$30+'Inputs'!$B$31+'Inputs'!$B$32)/1000+'Inputs'!$B$21+'Inputs'!$B$9+'Inputs'!$B$10))/SQRT((((545-43)*MAX('Inputs'!$B$33,'Inputs'!$B$29+'Inputs'!$B$31+'Inputs'!$B$32,'Inputs'!$B$30+'Inputs'!$B$31+'Inputs'!$B$32)/1000+'Inputs'!$B$21+'Inputs'!$B$9+'Inputs'!$B$10))^2+('Inputs'!$B$6/2)^2))))*'Results'!$B$8),"")</x:f>
        <x:v>3.840510355974059</x:v>
      </x:c>
      <x:c r="N545" t="n">
        <x:f>IF(AND(ISNUMBER('Results'!C7),ISNUMBER('Results'!B7),ISNUMBER('Results'!$B$8),ISNUMBER('Inputs'!$B$6),ISNUMBER('Inputs'!$B$7),ISNUMBER('Inputs'!$B$8),ISNUMBER('Inputs'!$B$9),ISNUMBER('Inputs'!$B$10),ISNUMBER('Inputs'!$B$21),ISNUMBER('Inputs'!$B$24),ISNUMBER('Inputs'!$B$28)),((('Results'!C7*(1-'Inputs'!$B$24)*(0.5*((((545-43)*MAX('Inputs'!$B$33,'Inputs'!$B$29+'Inputs'!$B$31+'Inputs'!$B$32,'Inputs'!$B$30+'Inputs'!$B$31+'Inputs'!$B$32)/1000+'Inputs'!$B$21)+'Inputs'!$B$9)/SQRT((((545-43)*MAX('Inputs'!$B$33,'Inputs'!$B$29+'Inputs'!$B$31+'Inputs'!$B$32,'Inputs'!$B$30+'Inputs'!$B$31+'Inputs'!$B$32)/1000+'Inputs'!$B$21)+'Inputs'!$B$9)^2+('Inputs'!$B$8/2)^2)-(((545-43)*MAX('Inputs'!$B$33,'Inputs'!$B$29+'Inputs'!$B$31+'Inputs'!$B$32,'Inputs'!$B$30+'Inputs'!$B$31+'Inputs'!$B$32)/1000+'Inputs'!$B$21))/SQRT((((545-43)*MAX('Inputs'!$B$33,'Inputs'!$B$29+'Inputs'!$B$31+'Inputs'!$B$32,'Inputs'!$B$30+'Inputs'!$B$31+'Inputs'!$B$32)/1000+'Inputs'!$B$21))^2+('Inputs'!$B$8/2)^2)))-'Results'!B7*(1+'Inputs'!$B$24)*(0.5*((((545-43)*MAX('Inputs'!$B$33,'Inputs'!$B$29+'Inputs'!$B$31+'Inputs'!$B$32,'Inputs'!$B$30+'Inputs'!$B$31+'Inputs'!$B$32)/1000+'Inputs'!$B$21+'Inputs'!$B$9+'Inputs'!$B$10)+'Inputs'!$B$7)/SQRT((((545-43)*MAX('Inputs'!$B$33,'Inputs'!$B$29+'Inputs'!$B$31+'Inputs'!$B$32,'Inputs'!$B$30+'Inputs'!$B$31+'Inputs'!$B$32)/1000+'Inputs'!$B$21+'Inputs'!$B$9+'Inputs'!$B$10)+'Inputs'!$B$7)^2+('Inputs'!$B$6/2)^2)-(((545-43)*MAX('Inputs'!$B$33,'Inputs'!$B$29+'Inputs'!$B$31+'Inputs'!$B$32,'Inputs'!$B$30+'Inputs'!$B$31+'Inputs'!$B$32)/1000+'Inputs'!$B$21+'Inputs'!$B$9+'Inputs'!$B$10))/SQRT((((545-43)*MAX('Inputs'!$B$33,'Inputs'!$B$29+'Inputs'!$B$31+'Inputs'!$B$32,'Inputs'!$B$30+'Inputs'!$B$31+'Inputs'!$B$32)/1000+'Inputs'!$B$21+'Inputs'!$B$9+'Inputs'!$B$10))^2+('Inputs'!$B$6/2)^2))))*'Results'!$B$8)-'Inputs'!$B$28*ABS((('Results'!C7*(1-'Inputs'!$B$24)*(0.5*((((545-43)*MAX('Inputs'!$B$33,'Inputs'!$B$29+'Inputs'!$B$31+'Inputs'!$B$32,'Inputs'!$B$30+'Inputs'!$B$31+'Inputs'!$B$32)/1000+'Inputs'!$B$21)+'Inputs'!$B$9)/SQRT((((545-43)*MAX('Inputs'!$B$33,'Inputs'!$B$29+'Inputs'!$B$31+'Inputs'!$B$32,'Inputs'!$B$30+'Inputs'!$B$31+'Inputs'!$B$32)/1000+'Inputs'!$B$21)+'Inputs'!$B$9)^2+('Inputs'!$B$8/2)^2)-(((545-43)*MAX('Inputs'!$B$33,'Inputs'!$B$29+'Inputs'!$B$31+'Inputs'!$B$32,'Inputs'!$B$30+'Inputs'!$B$31+'Inputs'!$B$32)/1000+'Inputs'!$B$21))/SQRT((((545-43)*MAX('Inputs'!$B$33,'Inputs'!$B$29+'Inputs'!$B$31+'Inputs'!$B$32,'Inputs'!$B$30+'Inputs'!$B$31+'Inputs'!$B$32)/1000+'Inputs'!$B$21))^2+('Inputs'!$B$8/2)^2)))-'Results'!B7*(1+'Inputs'!$B$24)*(0.5*((((545-43)*MAX('Inputs'!$B$33,'Inputs'!$B$29+'Inputs'!$B$31+'Inputs'!$B$32,'Inputs'!$B$30+'Inputs'!$B$31+'Inputs'!$B$32)/1000+'Inputs'!$B$21+'Inputs'!$B$9+'Inputs'!$B$10)+'Inputs'!$B$7)/SQRT((((545-43)*MAX('Inputs'!$B$33,'Inputs'!$B$29+'Inputs'!$B$31+'Inputs'!$B$32,'Inputs'!$B$30+'Inputs'!$B$31+'Inputs'!$B$32)/1000+'Inputs'!$B$21+'Inputs'!$B$9+'Inputs'!$B$10)+'Inputs'!$B$7)^2+('Inputs'!$B$6/2)^2)-(((545-43)*MAX('Inputs'!$B$33,'Inputs'!$B$29+'Inputs'!$B$31+'Inputs'!$B$32,'Inputs'!$B$30+'Inputs'!$B$31+'Inputs'!$B$32)/1000+'Inputs'!$B$21+'Inputs'!$B$9+'Inputs'!$B$10))/SQRT((((545-43)*MAX('Inputs'!$B$33,'Inputs'!$B$29+'Inputs'!$B$31+'Inputs'!$B$32,'Inputs'!$B$30+'Inputs'!$B$31+'Inputs'!$B$32)/1000+'Inputs'!$B$21+'Inputs'!$B$9+'Inputs'!$B$10))^2+('Inputs'!$B$6/2)^2))))*'Results'!$B$8))),"")</x:f>
        <x:v>3.383572547566529</x:v>
      </x:c>
      <x:c r="O545" t="n">
        <x:f>IF(AND(ISNUMBER('Results'!C7),ISNUMBER('Results'!B7),ISNUMBER('Results'!$B$8),ISNUMBER('Inputs'!$B$6),ISNUMBER('Inputs'!$B$7),ISNUMBER('Inputs'!$B$8),ISNUMBER('Inputs'!$B$9),ISNUMBER('Inputs'!$B$10),ISNUMBER('Inputs'!$B$21),ISNUMBER('Inputs'!$B$24),ISNUMBER('Inputs'!$B$28)),((('Results'!C7*(1+'Inputs'!$B$24)*(0.5*((((545-43)*MAX('Inputs'!$B$33,'Inputs'!$B$29+'Inputs'!$B$31+'Inputs'!$B$32,'Inputs'!$B$30+'Inputs'!$B$31+'Inputs'!$B$32)/1000+'Inputs'!$B$21)+'Inputs'!$B$9)/SQRT((((545-43)*MAX('Inputs'!$B$33,'Inputs'!$B$29+'Inputs'!$B$31+'Inputs'!$B$32,'Inputs'!$B$30+'Inputs'!$B$31+'Inputs'!$B$32)/1000+'Inputs'!$B$21)+'Inputs'!$B$9)^2+('Inputs'!$B$8/2)^2)-(((545-43)*MAX('Inputs'!$B$33,'Inputs'!$B$29+'Inputs'!$B$31+'Inputs'!$B$32,'Inputs'!$B$30+'Inputs'!$B$31+'Inputs'!$B$32)/1000+'Inputs'!$B$21))/SQRT((((545-43)*MAX('Inputs'!$B$33,'Inputs'!$B$29+'Inputs'!$B$31+'Inputs'!$B$32,'Inputs'!$B$30+'Inputs'!$B$31+'Inputs'!$B$32)/1000+'Inputs'!$B$21))^2+('Inputs'!$B$8/2)^2)))-'Results'!B7*(1-'Inputs'!$B$24)*(0.5*((((545-43)*MAX('Inputs'!$B$33,'Inputs'!$B$29+'Inputs'!$B$31+'Inputs'!$B$32,'Inputs'!$B$30+'Inputs'!$B$31+'Inputs'!$B$32)/1000+'Inputs'!$B$21+'Inputs'!$B$9+'Inputs'!$B$10)+'Inputs'!$B$7)/SQRT((((545-43)*MAX('Inputs'!$B$33,'Inputs'!$B$29+'Inputs'!$B$31+'Inputs'!$B$32,'Inputs'!$B$30+'Inputs'!$B$31+'Inputs'!$B$32)/1000+'Inputs'!$B$21+'Inputs'!$B$9+'Inputs'!$B$10)+'Inputs'!$B$7)^2+('Inputs'!$B$6/2)^2)-(((545-43)*MAX('Inputs'!$B$33,'Inputs'!$B$29+'Inputs'!$B$31+'Inputs'!$B$32,'Inputs'!$B$30+'Inputs'!$B$31+'Inputs'!$B$32)/1000+'Inputs'!$B$21+'Inputs'!$B$9+'Inputs'!$B$10))/SQRT((((545-43)*MAX('Inputs'!$B$33,'Inputs'!$B$29+'Inputs'!$B$31+'Inputs'!$B$32,'Inputs'!$B$30+'Inputs'!$B$31+'Inputs'!$B$32)/1000+'Inputs'!$B$21+'Inputs'!$B$9+'Inputs'!$B$10))^2+('Inputs'!$B$6/2)^2))))*'Results'!$B$8)+'Inputs'!$B$28*ABS((('Results'!C7*(1+'Inputs'!$B$24)*(0.5*((((545-43)*MAX('Inputs'!$B$33,'Inputs'!$B$29+'Inputs'!$B$31+'Inputs'!$B$32,'Inputs'!$B$30+'Inputs'!$B$31+'Inputs'!$B$32)/1000+'Inputs'!$B$21)+'Inputs'!$B$9)/SQRT((((545-43)*MAX('Inputs'!$B$33,'Inputs'!$B$29+'Inputs'!$B$31+'Inputs'!$B$32,'Inputs'!$B$30+'Inputs'!$B$31+'Inputs'!$B$32)/1000+'Inputs'!$B$21)+'Inputs'!$B$9)^2+('Inputs'!$B$8/2)^2)-(((545-43)*MAX('Inputs'!$B$33,'Inputs'!$B$29+'Inputs'!$B$31+'Inputs'!$B$32,'Inputs'!$B$30+'Inputs'!$B$31+'Inputs'!$B$32)/1000+'Inputs'!$B$21))/SQRT((((545-43)*MAX('Inputs'!$B$33,'Inputs'!$B$29+'Inputs'!$B$31+'Inputs'!$B$32,'Inputs'!$B$30+'Inputs'!$B$31+'Inputs'!$B$32)/1000+'Inputs'!$B$21))^2+('Inputs'!$B$8/2)^2)))-'Results'!B7*(1-'Inputs'!$B$24)*(0.5*((((545-43)*MAX('Inputs'!$B$33,'Inputs'!$B$29+'Inputs'!$B$31+'Inputs'!$B$32,'Inputs'!$B$30+'Inputs'!$B$31+'Inputs'!$B$32)/1000+'Inputs'!$B$21+'Inputs'!$B$9+'Inputs'!$B$10)+'Inputs'!$B$7)/SQRT((((545-43)*MAX('Inputs'!$B$33,'Inputs'!$B$29+'Inputs'!$B$31+'Inputs'!$B$32,'Inputs'!$B$30+'Inputs'!$B$31+'Inputs'!$B$32)/1000+'Inputs'!$B$21+'Inputs'!$B$9+'Inputs'!$B$10)+'Inputs'!$B$7)^2+('Inputs'!$B$6/2)^2)-(((545-43)*MAX('Inputs'!$B$33,'Inputs'!$B$29+'Inputs'!$B$31+'Inputs'!$B$32,'Inputs'!$B$30+'Inputs'!$B$31+'Inputs'!$B$32)/1000+'Inputs'!$B$21+'Inputs'!$B$9+'Inputs'!$B$10))/SQRT((((545-43)*MAX('Inputs'!$B$33,'Inputs'!$B$29+'Inputs'!$B$31+'Inputs'!$B$32,'Inputs'!$B$30+'Inputs'!$B$31+'Inputs'!$B$32)/1000+'Inputs'!$B$21+'Inputs'!$B$9+'Inputs'!$B$10))^2+('Inputs'!$B$6/2)^2))))*'Results'!$B$8))),"")</x:f>
        <x:v>4.325333668656203</x:v>
      </x:c>
      <x:c r="P545" t="n">
        <x:f>IF(AND(MAX(J545,J544)&gt;0,J545&gt;J544+0.00000001),1,0)</x:f>
        <x:v>0</x:v>
      </x:c>
      <x:c r="Q545" t="n">
        <x:f>IF(AND(MAX(K545,K544)&gt;0,K545&gt;K544+0.00000001),1,0)</x:f>
        <x:v>0</x:v>
      </x:c>
      <x:c r="R545" t="n">
        <x:f>IF(AND(MAX(L545,L544)&gt;0,L545&gt;L544+0.00000001),1,0)</x:f>
        <x:v>0</x:v>
      </x:c>
      <x:c r="S545" t="n">
        <x:f>IF(AND(MAX(M545,M544)&gt;0,M545&gt;M544+0.00000001),1,0)</x:f>
        <x:v>0</x:v>
      </x:c>
      <x:c r="T545" t="n">
        <x:f>IF(AND(MAX(N545,N544)&gt;0,N545&gt;N544+0.00000001),1,0)</x:f>
        <x:v>0</x:v>
      </x:c>
      <x:c r="U545" t="n">
        <x:f>IF(AND(MAX(O545,O544)&gt;0,O545&gt;O544+0.00000001),1,0)</x:f>
        <x:v>0</x:v>
      </x:c>
    </x:row>
    <x:row r="546">
      <x:c r="J546" t="n">
        <x:f>IF(AND(ISNUMBER('Results'!B7),ISNUMBER('Results'!C7),ISNUMBER('Results'!$B$8),ISNUMBER('Inputs'!$B$6),ISNUMBER('Inputs'!$B$7),ISNUMBER('Inputs'!$B$8),ISNUMBER('Inputs'!$B$9),ISNUMBER('Inputs'!$B$10),ISNUMBER('Inputs'!$B$21),ISNUMBER('Inputs'!$B$24),ISNUMBER('Inputs'!$B$28)),(('Results'!B7*(0.5*((((546-43)*MAX('Inputs'!$B$33,'Inputs'!$B$29+'Inputs'!$B$31+'Inputs'!$B$32,'Inputs'!$B$30+'Inputs'!$B$31+'Inputs'!$B$32)/1000+'Inputs'!$B$21)+'Inputs'!$B$7)/SQRT((((546-43)*MAX('Inputs'!$B$33,'Inputs'!$B$29+'Inputs'!$B$31+'Inputs'!$B$32,'Inputs'!$B$30+'Inputs'!$B$31+'Inputs'!$B$32)/1000+'Inputs'!$B$21)+'Inputs'!$B$7)^2+('Inputs'!$B$6/2)^2)-(((546-43)*MAX('Inputs'!$B$33,'Inputs'!$B$29+'Inputs'!$B$31+'Inputs'!$B$32,'Inputs'!$B$30+'Inputs'!$B$31+'Inputs'!$B$32)/1000+'Inputs'!$B$21))/SQRT((((546-43)*MAX('Inputs'!$B$33,'Inputs'!$B$29+'Inputs'!$B$31+'Inputs'!$B$32,'Inputs'!$B$30+'Inputs'!$B$31+'Inputs'!$B$32)/1000+'Inputs'!$B$21))^2+('Inputs'!$B$6/2)^2)))-'Results'!C7*(0.5*((((546-43)*MAX('Inputs'!$B$33,'Inputs'!$B$29+'Inputs'!$B$31+'Inputs'!$B$32,'Inputs'!$B$30+'Inputs'!$B$31+'Inputs'!$B$32)/1000+'Inputs'!$B$21+'Inputs'!$B$7+'Inputs'!$B$10)+'Inputs'!$B$9)/SQRT((((546-43)*MAX('Inputs'!$B$33,'Inputs'!$B$29+'Inputs'!$B$31+'Inputs'!$B$32,'Inputs'!$B$30+'Inputs'!$B$31+'Inputs'!$B$32)/1000+'Inputs'!$B$21+'Inputs'!$B$7+'Inputs'!$B$10)+'Inputs'!$B$9)^2+('Inputs'!$B$8/2)^2)-(((546-43)*MAX('Inputs'!$B$33,'Inputs'!$B$29+'Inputs'!$B$31+'Inputs'!$B$32,'Inputs'!$B$30+'Inputs'!$B$31+'Inputs'!$B$32)/1000+'Inputs'!$B$21+'Inputs'!$B$7+'Inputs'!$B$10))/SQRT((((546-43)*MAX('Inputs'!$B$33,'Inputs'!$B$29+'Inputs'!$B$31+'Inputs'!$B$32,'Inputs'!$B$30+'Inputs'!$B$31+'Inputs'!$B$32)/1000+'Inputs'!$B$21+'Inputs'!$B$7+'Inputs'!$B$10))^2+('Inputs'!$B$8/2)^2))))*'Results'!$B$8),"")</x:f>
        <x:v>4.095043778025882</x:v>
      </x:c>
      <x:c r="K546" t="n">
        <x:f>IF(AND(ISNUMBER('Results'!B7),ISNUMBER('Results'!C7),ISNUMBER('Results'!$B$8),ISNUMBER('Inputs'!$B$6),ISNUMBER('Inputs'!$B$7),ISNUMBER('Inputs'!$B$8),ISNUMBER('Inputs'!$B$9),ISNUMBER('Inputs'!$B$10),ISNUMBER('Inputs'!$B$21),ISNUMBER('Inputs'!$B$24),ISNUMBER('Inputs'!$B$28)),((('Results'!B7*(1-'Inputs'!$B$24)*(0.5*((((546-43)*MAX('Inputs'!$B$33,'Inputs'!$B$29+'Inputs'!$B$31+'Inputs'!$B$32,'Inputs'!$B$30+'Inputs'!$B$31+'Inputs'!$B$32)/1000+'Inputs'!$B$21)+'Inputs'!$B$7)/SQRT((((546-43)*MAX('Inputs'!$B$33,'Inputs'!$B$29+'Inputs'!$B$31+'Inputs'!$B$32,'Inputs'!$B$30+'Inputs'!$B$31+'Inputs'!$B$32)/1000+'Inputs'!$B$21)+'Inputs'!$B$7)^2+('Inputs'!$B$6/2)^2)-(((546-43)*MAX('Inputs'!$B$33,'Inputs'!$B$29+'Inputs'!$B$31+'Inputs'!$B$32,'Inputs'!$B$30+'Inputs'!$B$31+'Inputs'!$B$32)/1000+'Inputs'!$B$21))/SQRT((((546-43)*MAX('Inputs'!$B$33,'Inputs'!$B$29+'Inputs'!$B$31+'Inputs'!$B$32,'Inputs'!$B$30+'Inputs'!$B$31+'Inputs'!$B$32)/1000+'Inputs'!$B$21))^2+('Inputs'!$B$6/2)^2)))-'Results'!C7*(1+'Inputs'!$B$24)*(0.5*((((546-43)*MAX('Inputs'!$B$33,'Inputs'!$B$29+'Inputs'!$B$31+'Inputs'!$B$32,'Inputs'!$B$30+'Inputs'!$B$31+'Inputs'!$B$32)/1000+'Inputs'!$B$21+'Inputs'!$B$7+'Inputs'!$B$10)+'Inputs'!$B$9)/SQRT((((546-43)*MAX('Inputs'!$B$33,'Inputs'!$B$29+'Inputs'!$B$31+'Inputs'!$B$32,'Inputs'!$B$30+'Inputs'!$B$31+'Inputs'!$B$32)/1000+'Inputs'!$B$21+'Inputs'!$B$7+'Inputs'!$B$10)+'Inputs'!$B$9)^2+('Inputs'!$B$8/2)^2)-(((546-43)*MAX('Inputs'!$B$33,'Inputs'!$B$29+'Inputs'!$B$31+'Inputs'!$B$32,'Inputs'!$B$30+'Inputs'!$B$31+'Inputs'!$B$32)/1000+'Inputs'!$B$21+'Inputs'!$B$7+'Inputs'!$B$10))/SQRT((((546-43)*MAX('Inputs'!$B$33,'Inputs'!$B$29+'Inputs'!$B$31+'Inputs'!$B$32,'Inputs'!$B$30+'Inputs'!$B$31+'Inputs'!$B$32)/1000+'Inputs'!$B$21+'Inputs'!$B$7+'Inputs'!$B$10))^2+('Inputs'!$B$8/2)^2))))*'Results'!$B$8)-'Inputs'!$B$28*ABS((('Results'!B7*(1-'Inputs'!$B$24)*(0.5*((((546-43)*MAX('Inputs'!$B$33,'Inputs'!$B$29+'Inputs'!$B$31+'Inputs'!$B$32,'Inputs'!$B$30+'Inputs'!$B$31+'Inputs'!$B$32)/1000+'Inputs'!$B$21)+'Inputs'!$B$7)/SQRT((((546-43)*MAX('Inputs'!$B$33,'Inputs'!$B$29+'Inputs'!$B$31+'Inputs'!$B$32,'Inputs'!$B$30+'Inputs'!$B$31+'Inputs'!$B$32)/1000+'Inputs'!$B$21)+'Inputs'!$B$7)^2+('Inputs'!$B$6/2)^2)-(((546-43)*MAX('Inputs'!$B$33,'Inputs'!$B$29+'Inputs'!$B$31+'Inputs'!$B$32,'Inputs'!$B$30+'Inputs'!$B$31+'Inputs'!$B$32)/1000+'Inputs'!$B$21))/SQRT((((546-43)*MAX('Inputs'!$B$33,'Inputs'!$B$29+'Inputs'!$B$31+'Inputs'!$B$32,'Inputs'!$B$30+'Inputs'!$B$31+'Inputs'!$B$32)/1000+'Inputs'!$B$21))^2+('Inputs'!$B$6/2)^2)))-'Results'!C7*(1+'Inputs'!$B$24)*(0.5*((((546-43)*MAX('Inputs'!$B$33,'Inputs'!$B$29+'Inputs'!$B$31+'Inputs'!$B$32,'Inputs'!$B$30+'Inputs'!$B$31+'Inputs'!$B$32)/1000+'Inputs'!$B$21+'Inputs'!$B$7+'Inputs'!$B$10)+'Inputs'!$B$9)/SQRT((((546-43)*MAX('Inputs'!$B$33,'Inputs'!$B$29+'Inputs'!$B$31+'Inputs'!$B$32,'Inputs'!$B$30+'Inputs'!$B$31+'Inputs'!$B$32)/1000+'Inputs'!$B$21+'Inputs'!$B$7+'Inputs'!$B$10)+'Inputs'!$B$9)^2+('Inputs'!$B$8/2)^2)-(((546-43)*MAX('Inputs'!$B$33,'Inputs'!$B$29+'Inputs'!$B$31+'Inputs'!$B$32,'Inputs'!$B$30+'Inputs'!$B$31+'Inputs'!$B$32)/1000+'Inputs'!$B$21+'Inputs'!$B$7+'Inputs'!$B$10))/SQRT((((546-43)*MAX('Inputs'!$B$33,'Inputs'!$B$29+'Inputs'!$B$31+'Inputs'!$B$32,'Inputs'!$B$30+'Inputs'!$B$31+'Inputs'!$B$32)/1000+'Inputs'!$B$21+'Inputs'!$B$7+'Inputs'!$B$10))^2+('Inputs'!$B$8/2)^2))))*'Results'!$B$8))),"")</x:f>
        <x:v>3.625253363397455</x:v>
      </x:c>
      <x:c r="L546" t="n">
        <x:f>IF(AND(ISNUMBER('Results'!B7),ISNUMBER('Results'!C7),ISNUMBER('Results'!$B$8),ISNUMBER('Inputs'!$B$6),ISNUMBER('Inputs'!$B$7),ISNUMBER('Inputs'!$B$8),ISNUMBER('Inputs'!$B$9),ISNUMBER('Inputs'!$B$10),ISNUMBER('Inputs'!$B$21),ISNUMBER('Inputs'!$B$24),ISNUMBER('Inputs'!$B$28)),((('Results'!B7*(1+'Inputs'!$B$24)*(0.5*((((546-43)*MAX('Inputs'!$B$33,'Inputs'!$B$29+'Inputs'!$B$31+'Inputs'!$B$32,'Inputs'!$B$30+'Inputs'!$B$31+'Inputs'!$B$32)/1000+'Inputs'!$B$21)+'Inputs'!$B$7)/SQRT((((546-43)*MAX('Inputs'!$B$33,'Inputs'!$B$29+'Inputs'!$B$31+'Inputs'!$B$32,'Inputs'!$B$30+'Inputs'!$B$31+'Inputs'!$B$32)/1000+'Inputs'!$B$21)+'Inputs'!$B$7)^2+('Inputs'!$B$6/2)^2)-(((546-43)*MAX('Inputs'!$B$33,'Inputs'!$B$29+'Inputs'!$B$31+'Inputs'!$B$32,'Inputs'!$B$30+'Inputs'!$B$31+'Inputs'!$B$32)/1000+'Inputs'!$B$21))/SQRT((((546-43)*MAX('Inputs'!$B$33,'Inputs'!$B$29+'Inputs'!$B$31+'Inputs'!$B$32,'Inputs'!$B$30+'Inputs'!$B$31+'Inputs'!$B$32)/1000+'Inputs'!$B$21))^2+('Inputs'!$B$6/2)^2)))-'Results'!C7*(1-'Inputs'!$B$24)*(0.5*((((546-43)*MAX('Inputs'!$B$33,'Inputs'!$B$29+'Inputs'!$B$31+'Inputs'!$B$32,'Inputs'!$B$30+'Inputs'!$B$31+'Inputs'!$B$32)/1000+'Inputs'!$B$21+'Inputs'!$B$7+'Inputs'!$B$10)+'Inputs'!$B$9)/SQRT((((546-43)*MAX('Inputs'!$B$33,'Inputs'!$B$29+'Inputs'!$B$31+'Inputs'!$B$32,'Inputs'!$B$30+'Inputs'!$B$31+'Inputs'!$B$32)/1000+'Inputs'!$B$21+'Inputs'!$B$7+'Inputs'!$B$10)+'Inputs'!$B$9)^2+('Inputs'!$B$8/2)^2)-(((546-43)*MAX('Inputs'!$B$33,'Inputs'!$B$29+'Inputs'!$B$31+'Inputs'!$B$32,'Inputs'!$B$30+'Inputs'!$B$31+'Inputs'!$B$32)/1000+'Inputs'!$B$21+'Inputs'!$B$7+'Inputs'!$B$10))/SQRT((((546-43)*MAX('Inputs'!$B$33,'Inputs'!$B$29+'Inputs'!$B$31+'Inputs'!$B$32,'Inputs'!$B$30+'Inputs'!$B$31+'Inputs'!$B$32)/1000+'Inputs'!$B$21+'Inputs'!$B$7+'Inputs'!$B$10))^2+('Inputs'!$B$8/2)^2))))*'Results'!$B$8)+'Inputs'!$B$28*ABS((('Results'!B7*(1+'Inputs'!$B$24)*(0.5*((((546-43)*MAX('Inputs'!$B$33,'Inputs'!$B$29+'Inputs'!$B$31+'Inputs'!$B$32,'Inputs'!$B$30+'Inputs'!$B$31+'Inputs'!$B$32)/1000+'Inputs'!$B$21)+'Inputs'!$B$7)/SQRT((((546-43)*MAX('Inputs'!$B$33,'Inputs'!$B$29+'Inputs'!$B$31+'Inputs'!$B$32,'Inputs'!$B$30+'Inputs'!$B$31+'Inputs'!$B$32)/1000+'Inputs'!$B$21)+'Inputs'!$B$7)^2+('Inputs'!$B$6/2)^2)-(((546-43)*MAX('Inputs'!$B$33,'Inputs'!$B$29+'Inputs'!$B$31+'Inputs'!$B$32,'Inputs'!$B$30+'Inputs'!$B$31+'Inputs'!$B$32)/1000+'Inputs'!$B$21))/SQRT((((546-43)*MAX('Inputs'!$B$33,'Inputs'!$B$29+'Inputs'!$B$31+'Inputs'!$B$32,'Inputs'!$B$30+'Inputs'!$B$31+'Inputs'!$B$32)/1000+'Inputs'!$B$21))^2+('Inputs'!$B$6/2)^2)))-'Results'!C7*(1-'Inputs'!$B$24)*(0.5*((((546-43)*MAX('Inputs'!$B$33,'Inputs'!$B$29+'Inputs'!$B$31+'Inputs'!$B$32,'Inputs'!$B$30+'Inputs'!$B$31+'Inputs'!$B$32)/1000+'Inputs'!$B$21+'Inputs'!$B$7+'Inputs'!$B$10)+'Inputs'!$B$9)/SQRT((((546-43)*MAX('Inputs'!$B$33,'Inputs'!$B$29+'Inputs'!$B$31+'Inputs'!$B$32,'Inputs'!$B$30+'Inputs'!$B$31+'Inputs'!$B$32)/1000+'Inputs'!$B$21+'Inputs'!$B$7+'Inputs'!$B$10)+'Inputs'!$B$9)^2+('Inputs'!$B$8/2)^2)-(((546-43)*MAX('Inputs'!$B$33,'Inputs'!$B$29+'Inputs'!$B$31+'Inputs'!$B$32,'Inputs'!$B$30+'Inputs'!$B$31+'Inputs'!$B$32)/1000+'Inputs'!$B$21+'Inputs'!$B$7+'Inputs'!$B$10))/SQRT((((546-43)*MAX('Inputs'!$B$33,'Inputs'!$B$29+'Inputs'!$B$31+'Inputs'!$B$32,'Inputs'!$B$30+'Inputs'!$B$31+'Inputs'!$B$32)/1000+'Inputs'!$B$21+'Inputs'!$B$7+'Inputs'!$B$10))^2+('Inputs'!$B$8/2)^2))))*'Results'!$B$8))),"")</x:f>
        <x:v>4.592732953257167</x:v>
      </x:c>
      <x:c r="M546" t="n">
        <x:f>IF(AND(ISNUMBER('Results'!C7),ISNUMBER('Results'!B7),ISNUMBER('Results'!$B$8),ISNUMBER('Inputs'!$B$6),ISNUMBER('Inputs'!$B$7),ISNUMBER('Inputs'!$B$8),ISNUMBER('Inputs'!$B$9),ISNUMBER('Inputs'!$B$10),ISNUMBER('Inputs'!$B$21),ISNUMBER('Inputs'!$B$24),ISNUMBER('Inputs'!$B$28)),(('Results'!C7*(0.5*((((546-43)*MAX('Inputs'!$B$33,'Inputs'!$B$29+'Inputs'!$B$31+'Inputs'!$B$32,'Inputs'!$B$30+'Inputs'!$B$31+'Inputs'!$B$32)/1000+'Inputs'!$B$21)+'Inputs'!$B$9)/SQRT((((546-43)*MAX('Inputs'!$B$33,'Inputs'!$B$29+'Inputs'!$B$31+'Inputs'!$B$32,'Inputs'!$B$30+'Inputs'!$B$31+'Inputs'!$B$32)/1000+'Inputs'!$B$21)+'Inputs'!$B$9)^2+('Inputs'!$B$8/2)^2)-(((546-43)*MAX('Inputs'!$B$33,'Inputs'!$B$29+'Inputs'!$B$31+'Inputs'!$B$32,'Inputs'!$B$30+'Inputs'!$B$31+'Inputs'!$B$32)/1000+'Inputs'!$B$21))/SQRT((((546-43)*MAX('Inputs'!$B$33,'Inputs'!$B$29+'Inputs'!$B$31+'Inputs'!$B$32,'Inputs'!$B$30+'Inputs'!$B$31+'Inputs'!$B$32)/1000+'Inputs'!$B$21))^2+('Inputs'!$B$8/2)^2)))-'Results'!B7*(0.5*((((546-43)*MAX('Inputs'!$B$33,'Inputs'!$B$29+'Inputs'!$B$31+'Inputs'!$B$32,'Inputs'!$B$30+'Inputs'!$B$31+'Inputs'!$B$32)/1000+'Inputs'!$B$21+'Inputs'!$B$9+'Inputs'!$B$10)+'Inputs'!$B$7)/SQRT((((546-43)*MAX('Inputs'!$B$33,'Inputs'!$B$29+'Inputs'!$B$31+'Inputs'!$B$32,'Inputs'!$B$30+'Inputs'!$B$31+'Inputs'!$B$32)/1000+'Inputs'!$B$21+'Inputs'!$B$9+'Inputs'!$B$10)+'Inputs'!$B$7)^2+('Inputs'!$B$6/2)^2)-(((546-43)*MAX('Inputs'!$B$33,'Inputs'!$B$29+'Inputs'!$B$31+'Inputs'!$B$32,'Inputs'!$B$30+'Inputs'!$B$31+'Inputs'!$B$32)/1000+'Inputs'!$B$21+'Inputs'!$B$9+'Inputs'!$B$10))/SQRT((((546-43)*MAX('Inputs'!$B$33,'Inputs'!$B$29+'Inputs'!$B$31+'Inputs'!$B$32,'Inputs'!$B$30+'Inputs'!$B$31+'Inputs'!$B$32)/1000+'Inputs'!$B$21+'Inputs'!$B$9+'Inputs'!$B$10))^2+('Inputs'!$B$6/2)^2))))*'Results'!$B$8),"")</x:f>
        <x:v>3.814045082910914</x:v>
      </x:c>
      <x:c r="N546" t="n">
        <x:f>IF(AND(ISNUMBER('Results'!C7),ISNUMBER('Results'!B7),ISNUMBER('Results'!$B$8),ISNUMBER('Inputs'!$B$6),ISNUMBER('Inputs'!$B$7),ISNUMBER('Inputs'!$B$8),ISNUMBER('Inputs'!$B$9),ISNUMBER('Inputs'!$B$10),ISNUMBER('Inputs'!$B$21),ISNUMBER('Inputs'!$B$24),ISNUMBER('Inputs'!$B$28)),((('Results'!C7*(1-'Inputs'!$B$24)*(0.5*((((546-43)*MAX('Inputs'!$B$33,'Inputs'!$B$29+'Inputs'!$B$31+'Inputs'!$B$32,'Inputs'!$B$30+'Inputs'!$B$31+'Inputs'!$B$32)/1000+'Inputs'!$B$21)+'Inputs'!$B$9)/SQRT((((546-43)*MAX('Inputs'!$B$33,'Inputs'!$B$29+'Inputs'!$B$31+'Inputs'!$B$32,'Inputs'!$B$30+'Inputs'!$B$31+'Inputs'!$B$32)/1000+'Inputs'!$B$21)+'Inputs'!$B$9)^2+('Inputs'!$B$8/2)^2)-(((546-43)*MAX('Inputs'!$B$33,'Inputs'!$B$29+'Inputs'!$B$31+'Inputs'!$B$32,'Inputs'!$B$30+'Inputs'!$B$31+'Inputs'!$B$32)/1000+'Inputs'!$B$21))/SQRT((((546-43)*MAX('Inputs'!$B$33,'Inputs'!$B$29+'Inputs'!$B$31+'Inputs'!$B$32,'Inputs'!$B$30+'Inputs'!$B$31+'Inputs'!$B$32)/1000+'Inputs'!$B$21))^2+('Inputs'!$B$8/2)^2)))-'Results'!B7*(1+'Inputs'!$B$24)*(0.5*((((546-43)*MAX('Inputs'!$B$33,'Inputs'!$B$29+'Inputs'!$B$31+'Inputs'!$B$32,'Inputs'!$B$30+'Inputs'!$B$31+'Inputs'!$B$32)/1000+'Inputs'!$B$21+'Inputs'!$B$9+'Inputs'!$B$10)+'Inputs'!$B$7)/SQRT((((546-43)*MAX('Inputs'!$B$33,'Inputs'!$B$29+'Inputs'!$B$31+'Inputs'!$B$32,'Inputs'!$B$30+'Inputs'!$B$31+'Inputs'!$B$32)/1000+'Inputs'!$B$21+'Inputs'!$B$9+'Inputs'!$B$10)+'Inputs'!$B$7)^2+('Inputs'!$B$6/2)^2)-(((546-43)*MAX('Inputs'!$B$33,'Inputs'!$B$29+'Inputs'!$B$31+'Inputs'!$B$32,'Inputs'!$B$30+'Inputs'!$B$31+'Inputs'!$B$32)/1000+'Inputs'!$B$21+'Inputs'!$B$9+'Inputs'!$B$10))/SQRT((((546-43)*MAX('Inputs'!$B$33,'Inputs'!$B$29+'Inputs'!$B$31+'Inputs'!$B$32,'Inputs'!$B$30+'Inputs'!$B$31+'Inputs'!$B$32)/1000+'Inputs'!$B$21+'Inputs'!$B$9+'Inputs'!$B$10))^2+('Inputs'!$B$6/2)^2))))*'Results'!$B$8)-'Inputs'!$B$28*ABS((('Results'!C7*(1-'Inputs'!$B$24)*(0.5*((((546-43)*MAX('Inputs'!$B$33,'Inputs'!$B$29+'Inputs'!$B$31+'Inputs'!$B$32,'Inputs'!$B$30+'Inputs'!$B$31+'Inputs'!$B$32)/1000+'Inputs'!$B$21)+'Inputs'!$B$9)/SQRT((((546-43)*MAX('Inputs'!$B$33,'Inputs'!$B$29+'Inputs'!$B$31+'Inputs'!$B$32,'Inputs'!$B$30+'Inputs'!$B$31+'Inputs'!$B$32)/1000+'Inputs'!$B$21)+'Inputs'!$B$9)^2+('Inputs'!$B$8/2)^2)-(((546-43)*MAX('Inputs'!$B$33,'Inputs'!$B$29+'Inputs'!$B$31+'Inputs'!$B$32,'Inputs'!$B$30+'Inputs'!$B$31+'Inputs'!$B$32)/1000+'Inputs'!$B$21))/SQRT((((546-43)*MAX('Inputs'!$B$33,'Inputs'!$B$29+'Inputs'!$B$31+'Inputs'!$B$32,'Inputs'!$B$30+'Inputs'!$B$31+'Inputs'!$B$32)/1000+'Inputs'!$B$21))^2+('Inputs'!$B$8/2)^2)))-'Results'!B7*(1+'Inputs'!$B$24)*(0.5*((((546-43)*MAX('Inputs'!$B$33,'Inputs'!$B$29+'Inputs'!$B$31+'Inputs'!$B$32,'Inputs'!$B$30+'Inputs'!$B$31+'Inputs'!$B$32)/1000+'Inputs'!$B$21+'Inputs'!$B$9+'Inputs'!$B$10)+'Inputs'!$B$7)/SQRT((((546-43)*MAX('Inputs'!$B$33,'Inputs'!$B$29+'Inputs'!$B$31+'Inputs'!$B$32,'Inputs'!$B$30+'Inputs'!$B$31+'Inputs'!$B$32)/1000+'Inputs'!$B$21+'Inputs'!$B$9+'Inputs'!$B$10)+'Inputs'!$B$7)^2+('Inputs'!$B$6/2)^2)-(((546-43)*MAX('Inputs'!$B$33,'Inputs'!$B$29+'Inputs'!$B$31+'Inputs'!$B$32,'Inputs'!$B$30+'Inputs'!$B$31+'Inputs'!$B$32)/1000+'Inputs'!$B$21+'Inputs'!$B$9+'Inputs'!$B$10))/SQRT((((546-43)*MAX('Inputs'!$B$33,'Inputs'!$B$29+'Inputs'!$B$31+'Inputs'!$B$32,'Inputs'!$B$30+'Inputs'!$B$31+'Inputs'!$B$32)/1000+'Inputs'!$B$21+'Inputs'!$B$9+'Inputs'!$B$10))^2+('Inputs'!$B$6/2)^2))))*'Results'!$B$8))),"")</x:f>
        <x:v>3.3598225089812415</x:v>
      </x:c>
      <x:c r="O546" t="n">
        <x:f>IF(AND(ISNUMBER('Results'!C7),ISNUMBER('Results'!B7),ISNUMBER('Results'!$B$8),ISNUMBER('Inputs'!$B$6),ISNUMBER('Inputs'!$B$7),ISNUMBER('Inputs'!$B$8),ISNUMBER('Inputs'!$B$9),ISNUMBER('Inputs'!$B$10),ISNUMBER('Inputs'!$B$21),ISNUMBER('Inputs'!$B$24),ISNUMBER('Inputs'!$B$28)),((('Results'!C7*(1+'Inputs'!$B$24)*(0.5*((((546-43)*MAX('Inputs'!$B$33,'Inputs'!$B$29+'Inputs'!$B$31+'Inputs'!$B$32,'Inputs'!$B$30+'Inputs'!$B$31+'Inputs'!$B$32)/1000+'Inputs'!$B$21)+'Inputs'!$B$9)/SQRT((((546-43)*MAX('Inputs'!$B$33,'Inputs'!$B$29+'Inputs'!$B$31+'Inputs'!$B$32,'Inputs'!$B$30+'Inputs'!$B$31+'Inputs'!$B$32)/1000+'Inputs'!$B$21)+'Inputs'!$B$9)^2+('Inputs'!$B$8/2)^2)-(((546-43)*MAX('Inputs'!$B$33,'Inputs'!$B$29+'Inputs'!$B$31+'Inputs'!$B$32,'Inputs'!$B$30+'Inputs'!$B$31+'Inputs'!$B$32)/1000+'Inputs'!$B$21))/SQRT((((546-43)*MAX('Inputs'!$B$33,'Inputs'!$B$29+'Inputs'!$B$31+'Inputs'!$B$32,'Inputs'!$B$30+'Inputs'!$B$31+'Inputs'!$B$32)/1000+'Inputs'!$B$21))^2+('Inputs'!$B$8/2)^2)))-'Results'!B7*(1-'Inputs'!$B$24)*(0.5*((((546-43)*MAX('Inputs'!$B$33,'Inputs'!$B$29+'Inputs'!$B$31+'Inputs'!$B$32,'Inputs'!$B$30+'Inputs'!$B$31+'Inputs'!$B$32)/1000+'Inputs'!$B$21+'Inputs'!$B$9+'Inputs'!$B$10)+'Inputs'!$B$7)/SQRT((((546-43)*MAX('Inputs'!$B$33,'Inputs'!$B$29+'Inputs'!$B$31+'Inputs'!$B$32,'Inputs'!$B$30+'Inputs'!$B$31+'Inputs'!$B$32)/1000+'Inputs'!$B$21+'Inputs'!$B$9+'Inputs'!$B$10)+'Inputs'!$B$7)^2+('Inputs'!$B$6/2)^2)-(((546-43)*MAX('Inputs'!$B$33,'Inputs'!$B$29+'Inputs'!$B$31+'Inputs'!$B$32,'Inputs'!$B$30+'Inputs'!$B$31+'Inputs'!$B$32)/1000+'Inputs'!$B$21+'Inputs'!$B$9+'Inputs'!$B$10))/SQRT((((546-43)*MAX('Inputs'!$B$33,'Inputs'!$B$29+'Inputs'!$B$31+'Inputs'!$B$32,'Inputs'!$B$30+'Inputs'!$B$31+'Inputs'!$B$32)/1000+'Inputs'!$B$21+'Inputs'!$B$9+'Inputs'!$B$10))^2+('Inputs'!$B$6/2)^2))))*'Results'!$B$8)+'Inputs'!$B$28*ABS((('Results'!C7*(1+'Inputs'!$B$24)*(0.5*((((546-43)*MAX('Inputs'!$B$33,'Inputs'!$B$29+'Inputs'!$B$31+'Inputs'!$B$32,'Inputs'!$B$30+'Inputs'!$B$31+'Inputs'!$B$32)/1000+'Inputs'!$B$21)+'Inputs'!$B$9)/SQRT((((546-43)*MAX('Inputs'!$B$33,'Inputs'!$B$29+'Inputs'!$B$31+'Inputs'!$B$32,'Inputs'!$B$30+'Inputs'!$B$31+'Inputs'!$B$32)/1000+'Inputs'!$B$21)+'Inputs'!$B$9)^2+('Inputs'!$B$8/2)^2)-(((546-43)*MAX('Inputs'!$B$33,'Inputs'!$B$29+'Inputs'!$B$31+'Inputs'!$B$32,'Inputs'!$B$30+'Inputs'!$B$31+'Inputs'!$B$32)/1000+'Inputs'!$B$21))/SQRT((((546-43)*MAX('Inputs'!$B$33,'Inputs'!$B$29+'Inputs'!$B$31+'Inputs'!$B$32,'Inputs'!$B$30+'Inputs'!$B$31+'Inputs'!$B$32)/1000+'Inputs'!$B$21))^2+('Inputs'!$B$8/2)^2)))-'Results'!B7*(1-'Inputs'!$B$24)*(0.5*((((546-43)*MAX('Inputs'!$B$33,'Inputs'!$B$29+'Inputs'!$B$31+'Inputs'!$B$32,'Inputs'!$B$30+'Inputs'!$B$31+'Inputs'!$B$32)/1000+'Inputs'!$B$21+'Inputs'!$B$9+'Inputs'!$B$10)+'Inputs'!$B$7)/SQRT((((546-43)*MAX('Inputs'!$B$33,'Inputs'!$B$29+'Inputs'!$B$31+'Inputs'!$B$32,'Inputs'!$B$30+'Inputs'!$B$31+'Inputs'!$B$32)/1000+'Inputs'!$B$21+'Inputs'!$B$9+'Inputs'!$B$10)+'Inputs'!$B$7)^2+('Inputs'!$B$6/2)^2)-(((546-43)*MAX('Inputs'!$B$33,'Inputs'!$B$29+'Inputs'!$B$31+'Inputs'!$B$32,'Inputs'!$B$30+'Inputs'!$B$31+'Inputs'!$B$32)/1000+'Inputs'!$B$21+'Inputs'!$B$9+'Inputs'!$B$10))/SQRT((((546-43)*MAX('Inputs'!$B$33,'Inputs'!$B$29+'Inputs'!$B$31+'Inputs'!$B$32,'Inputs'!$B$30+'Inputs'!$B$31+'Inputs'!$B$32)/1000+'Inputs'!$B$21+'Inputs'!$B$9+'Inputs'!$B$10))^2+('Inputs'!$B$6/2)^2))))*'Results'!$B$8))),"")</x:f>
        <x:v>4.296006637870492</x:v>
      </x:c>
      <x:c r="P546" t="n">
        <x:f>IF(AND(MAX(J546,J545)&gt;0,J546&gt;J545+0.00000001),1,0)</x:f>
        <x:v>0</x:v>
      </x:c>
      <x:c r="Q546" t="n">
        <x:f>IF(AND(MAX(K546,K545)&gt;0,K546&gt;K545+0.00000001),1,0)</x:f>
        <x:v>0</x:v>
      </x:c>
      <x:c r="R546" t="n">
        <x:f>IF(AND(MAX(L546,L545)&gt;0,L546&gt;L545+0.00000001),1,0)</x:f>
        <x:v>0</x:v>
      </x:c>
      <x:c r="S546" t="n">
        <x:f>IF(AND(MAX(M546,M545)&gt;0,M546&gt;M545+0.00000001),1,0)</x:f>
        <x:v>0</x:v>
      </x:c>
      <x:c r="T546" t="n">
        <x:f>IF(AND(MAX(N546,N545)&gt;0,N546&gt;N545+0.00000001),1,0)</x:f>
        <x:v>0</x:v>
      </x:c>
      <x:c r="U546" t="n">
        <x:f>IF(AND(MAX(O546,O545)&gt;0,O546&gt;O545+0.00000001),1,0)</x:f>
        <x:v>0</x:v>
      </x:c>
    </x:row>
    <x:row r="547">
      <x:c r="J547" t="n">
        <x:f>IF(AND(ISNUMBER('Results'!B7),ISNUMBER('Results'!C7),ISNUMBER('Results'!$B$8),ISNUMBER('Inputs'!$B$6),ISNUMBER('Inputs'!$B$7),ISNUMBER('Inputs'!$B$8),ISNUMBER('Inputs'!$B$9),ISNUMBER('Inputs'!$B$10),ISNUMBER('Inputs'!$B$21),ISNUMBER('Inputs'!$B$24),ISNUMBER('Inputs'!$B$28)),(('Results'!B7*(0.5*((((547-43)*MAX('Inputs'!$B$33,'Inputs'!$B$29+'Inputs'!$B$31+'Inputs'!$B$32,'Inputs'!$B$30+'Inputs'!$B$31+'Inputs'!$B$32)/1000+'Inputs'!$B$21)+'Inputs'!$B$7)/SQRT((((547-43)*MAX('Inputs'!$B$33,'Inputs'!$B$29+'Inputs'!$B$31+'Inputs'!$B$32,'Inputs'!$B$30+'Inputs'!$B$31+'Inputs'!$B$32)/1000+'Inputs'!$B$21)+'Inputs'!$B$7)^2+('Inputs'!$B$6/2)^2)-(((547-43)*MAX('Inputs'!$B$33,'Inputs'!$B$29+'Inputs'!$B$31+'Inputs'!$B$32,'Inputs'!$B$30+'Inputs'!$B$31+'Inputs'!$B$32)/1000+'Inputs'!$B$21))/SQRT((((547-43)*MAX('Inputs'!$B$33,'Inputs'!$B$29+'Inputs'!$B$31+'Inputs'!$B$32,'Inputs'!$B$30+'Inputs'!$B$31+'Inputs'!$B$32)/1000+'Inputs'!$B$21))^2+('Inputs'!$B$6/2)^2)))-'Results'!C7*(0.5*((((547-43)*MAX('Inputs'!$B$33,'Inputs'!$B$29+'Inputs'!$B$31+'Inputs'!$B$32,'Inputs'!$B$30+'Inputs'!$B$31+'Inputs'!$B$32)/1000+'Inputs'!$B$21+'Inputs'!$B$7+'Inputs'!$B$10)+'Inputs'!$B$9)/SQRT((((547-43)*MAX('Inputs'!$B$33,'Inputs'!$B$29+'Inputs'!$B$31+'Inputs'!$B$32,'Inputs'!$B$30+'Inputs'!$B$31+'Inputs'!$B$32)/1000+'Inputs'!$B$21+'Inputs'!$B$7+'Inputs'!$B$10)+'Inputs'!$B$9)^2+('Inputs'!$B$8/2)^2)-(((547-43)*MAX('Inputs'!$B$33,'Inputs'!$B$29+'Inputs'!$B$31+'Inputs'!$B$32,'Inputs'!$B$30+'Inputs'!$B$31+'Inputs'!$B$32)/1000+'Inputs'!$B$21+'Inputs'!$B$7+'Inputs'!$B$10))/SQRT((((547-43)*MAX('Inputs'!$B$33,'Inputs'!$B$29+'Inputs'!$B$31+'Inputs'!$B$32,'Inputs'!$B$30+'Inputs'!$B$31+'Inputs'!$B$32)/1000+'Inputs'!$B$21+'Inputs'!$B$7+'Inputs'!$B$10))^2+('Inputs'!$B$8/2)^2))))*'Results'!$B$8),"")</x:f>
        <x:v>4.067329734758042</x:v>
      </x:c>
      <x:c r="K547" t="n">
        <x:f>IF(AND(ISNUMBER('Results'!B7),ISNUMBER('Results'!C7),ISNUMBER('Results'!$B$8),ISNUMBER('Inputs'!$B$6),ISNUMBER('Inputs'!$B$7),ISNUMBER('Inputs'!$B$8),ISNUMBER('Inputs'!$B$9),ISNUMBER('Inputs'!$B$10),ISNUMBER('Inputs'!$B$21),ISNUMBER('Inputs'!$B$24),ISNUMBER('Inputs'!$B$28)),((('Results'!B7*(1-'Inputs'!$B$24)*(0.5*((((547-43)*MAX('Inputs'!$B$33,'Inputs'!$B$29+'Inputs'!$B$31+'Inputs'!$B$32,'Inputs'!$B$30+'Inputs'!$B$31+'Inputs'!$B$32)/1000+'Inputs'!$B$21)+'Inputs'!$B$7)/SQRT((((547-43)*MAX('Inputs'!$B$33,'Inputs'!$B$29+'Inputs'!$B$31+'Inputs'!$B$32,'Inputs'!$B$30+'Inputs'!$B$31+'Inputs'!$B$32)/1000+'Inputs'!$B$21)+'Inputs'!$B$7)^2+('Inputs'!$B$6/2)^2)-(((547-43)*MAX('Inputs'!$B$33,'Inputs'!$B$29+'Inputs'!$B$31+'Inputs'!$B$32,'Inputs'!$B$30+'Inputs'!$B$31+'Inputs'!$B$32)/1000+'Inputs'!$B$21))/SQRT((((547-43)*MAX('Inputs'!$B$33,'Inputs'!$B$29+'Inputs'!$B$31+'Inputs'!$B$32,'Inputs'!$B$30+'Inputs'!$B$31+'Inputs'!$B$32)/1000+'Inputs'!$B$21))^2+('Inputs'!$B$6/2)^2)))-'Results'!C7*(1+'Inputs'!$B$24)*(0.5*((((547-43)*MAX('Inputs'!$B$33,'Inputs'!$B$29+'Inputs'!$B$31+'Inputs'!$B$32,'Inputs'!$B$30+'Inputs'!$B$31+'Inputs'!$B$32)/1000+'Inputs'!$B$21+'Inputs'!$B$7+'Inputs'!$B$10)+'Inputs'!$B$9)/SQRT((((547-43)*MAX('Inputs'!$B$33,'Inputs'!$B$29+'Inputs'!$B$31+'Inputs'!$B$32,'Inputs'!$B$30+'Inputs'!$B$31+'Inputs'!$B$32)/1000+'Inputs'!$B$21+'Inputs'!$B$7+'Inputs'!$B$10)+'Inputs'!$B$9)^2+('Inputs'!$B$8/2)^2)-(((547-43)*MAX('Inputs'!$B$33,'Inputs'!$B$29+'Inputs'!$B$31+'Inputs'!$B$32,'Inputs'!$B$30+'Inputs'!$B$31+'Inputs'!$B$32)/1000+'Inputs'!$B$21+'Inputs'!$B$7+'Inputs'!$B$10))/SQRT((((547-43)*MAX('Inputs'!$B$33,'Inputs'!$B$29+'Inputs'!$B$31+'Inputs'!$B$32,'Inputs'!$B$30+'Inputs'!$B$31+'Inputs'!$B$32)/1000+'Inputs'!$B$21+'Inputs'!$B$7+'Inputs'!$B$10))^2+('Inputs'!$B$8/2)^2))))*'Results'!$B$8)-'Inputs'!$B$28*ABS((('Results'!B7*(1-'Inputs'!$B$24)*(0.5*((((547-43)*MAX('Inputs'!$B$33,'Inputs'!$B$29+'Inputs'!$B$31+'Inputs'!$B$32,'Inputs'!$B$30+'Inputs'!$B$31+'Inputs'!$B$32)/1000+'Inputs'!$B$21)+'Inputs'!$B$7)/SQRT((((547-43)*MAX('Inputs'!$B$33,'Inputs'!$B$29+'Inputs'!$B$31+'Inputs'!$B$32,'Inputs'!$B$30+'Inputs'!$B$31+'Inputs'!$B$32)/1000+'Inputs'!$B$21)+'Inputs'!$B$7)^2+('Inputs'!$B$6/2)^2)-(((547-43)*MAX('Inputs'!$B$33,'Inputs'!$B$29+'Inputs'!$B$31+'Inputs'!$B$32,'Inputs'!$B$30+'Inputs'!$B$31+'Inputs'!$B$32)/1000+'Inputs'!$B$21))/SQRT((((547-43)*MAX('Inputs'!$B$33,'Inputs'!$B$29+'Inputs'!$B$31+'Inputs'!$B$32,'Inputs'!$B$30+'Inputs'!$B$31+'Inputs'!$B$32)/1000+'Inputs'!$B$21))^2+('Inputs'!$B$6/2)^2)))-'Results'!C7*(1+'Inputs'!$B$24)*(0.5*((((547-43)*MAX('Inputs'!$B$33,'Inputs'!$B$29+'Inputs'!$B$31+'Inputs'!$B$32,'Inputs'!$B$30+'Inputs'!$B$31+'Inputs'!$B$32)/1000+'Inputs'!$B$21+'Inputs'!$B$7+'Inputs'!$B$10)+'Inputs'!$B$9)/SQRT((((547-43)*MAX('Inputs'!$B$33,'Inputs'!$B$29+'Inputs'!$B$31+'Inputs'!$B$32,'Inputs'!$B$30+'Inputs'!$B$31+'Inputs'!$B$32)/1000+'Inputs'!$B$21+'Inputs'!$B$7+'Inputs'!$B$10)+'Inputs'!$B$9)^2+('Inputs'!$B$8/2)^2)-(((547-43)*MAX('Inputs'!$B$33,'Inputs'!$B$29+'Inputs'!$B$31+'Inputs'!$B$32,'Inputs'!$B$30+'Inputs'!$B$31+'Inputs'!$B$32)/1000+'Inputs'!$B$21+'Inputs'!$B$7+'Inputs'!$B$10))/SQRT((((547-43)*MAX('Inputs'!$B$33,'Inputs'!$B$29+'Inputs'!$B$31+'Inputs'!$B$32,'Inputs'!$B$30+'Inputs'!$B$31+'Inputs'!$B$32)/1000+'Inputs'!$B$21+'Inputs'!$B$7+'Inputs'!$B$10))^2+('Inputs'!$B$8/2)^2))))*'Results'!$B$8))),"")</x:f>
        <x:v>3.6003175828430805</x:v>
      </x:c>
      <x:c r="L547" t="n">
        <x:f>IF(AND(ISNUMBER('Results'!B7),ISNUMBER('Results'!C7),ISNUMBER('Results'!$B$8),ISNUMBER('Inputs'!$B$6),ISNUMBER('Inputs'!$B$7),ISNUMBER('Inputs'!$B$8),ISNUMBER('Inputs'!$B$9),ISNUMBER('Inputs'!$B$10),ISNUMBER('Inputs'!$B$21),ISNUMBER('Inputs'!$B$24),ISNUMBER('Inputs'!$B$28)),((('Results'!B7*(1+'Inputs'!$B$24)*(0.5*((((547-43)*MAX('Inputs'!$B$33,'Inputs'!$B$29+'Inputs'!$B$31+'Inputs'!$B$32,'Inputs'!$B$30+'Inputs'!$B$31+'Inputs'!$B$32)/1000+'Inputs'!$B$21)+'Inputs'!$B$7)/SQRT((((547-43)*MAX('Inputs'!$B$33,'Inputs'!$B$29+'Inputs'!$B$31+'Inputs'!$B$32,'Inputs'!$B$30+'Inputs'!$B$31+'Inputs'!$B$32)/1000+'Inputs'!$B$21)+'Inputs'!$B$7)^2+('Inputs'!$B$6/2)^2)-(((547-43)*MAX('Inputs'!$B$33,'Inputs'!$B$29+'Inputs'!$B$31+'Inputs'!$B$32,'Inputs'!$B$30+'Inputs'!$B$31+'Inputs'!$B$32)/1000+'Inputs'!$B$21))/SQRT((((547-43)*MAX('Inputs'!$B$33,'Inputs'!$B$29+'Inputs'!$B$31+'Inputs'!$B$32,'Inputs'!$B$30+'Inputs'!$B$31+'Inputs'!$B$32)/1000+'Inputs'!$B$21))^2+('Inputs'!$B$6/2)^2)))-'Results'!C7*(1-'Inputs'!$B$24)*(0.5*((((547-43)*MAX('Inputs'!$B$33,'Inputs'!$B$29+'Inputs'!$B$31+'Inputs'!$B$32,'Inputs'!$B$30+'Inputs'!$B$31+'Inputs'!$B$32)/1000+'Inputs'!$B$21+'Inputs'!$B$7+'Inputs'!$B$10)+'Inputs'!$B$9)/SQRT((((547-43)*MAX('Inputs'!$B$33,'Inputs'!$B$29+'Inputs'!$B$31+'Inputs'!$B$32,'Inputs'!$B$30+'Inputs'!$B$31+'Inputs'!$B$32)/1000+'Inputs'!$B$21+'Inputs'!$B$7+'Inputs'!$B$10)+'Inputs'!$B$9)^2+('Inputs'!$B$8/2)^2)-(((547-43)*MAX('Inputs'!$B$33,'Inputs'!$B$29+'Inputs'!$B$31+'Inputs'!$B$32,'Inputs'!$B$30+'Inputs'!$B$31+'Inputs'!$B$32)/1000+'Inputs'!$B$21+'Inputs'!$B$7+'Inputs'!$B$10))/SQRT((((547-43)*MAX('Inputs'!$B$33,'Inputs'!$B$29+'Inputs'!$B$31+'Inputs'!$B$32,'Inputs'!$B$30+'Inputs'!$B$31+'Inputs'!$B$32)/1000+'Inputs'!$B$21+'Inputs'!$B$7+'Inputs'!$B$10))^2+('Inputs'!$B$8/2)^2))))*'Results'!$B$8)+'Inputs'!$B$28*ABS((('Results'!B7*(1+'Inputs'!$B$24)*(0.5*((((547-43)*MAX('Inputs'!$B$33,'Inputs'!$B$29+'Inputs'!$B$31+'Inputs'!$B$32,'Inputs'!$B$30+'Inputs'!$B$31+'Inputs'!$B$32)/1000+'Inputs'!$B$21)+'Inputs'!$B$7)/SQRT((((547-43)*MAX('Inputs'!$B$33,'Inputs'!$B$29+'Inputs'!$B$31+'Inputs'!$B$32,'Inputs'!$B$30+'Inputs'!$B$31+'Inputs'!$B$32)/1000+'Inputs'!$B$21)+'Inputs'!$B$7)^2+('Inputs'!$B$6/2)^2)-(((547-43)*MAX('Inputs'!$B$33,'Inputs'!$B$29+'Inputs'!$B$31+'Inputs'!$B$32,'Inputs'!$B$30+'Inputs'!$B$31+'Inputs'!$B$32)/1000+'Inputs'!$B$21))/SQRT((((547-43)*MAX('Inputs'!$B$33,'Inputs'!$B$29+'Inputs'!$B$31+'Inputs'!$B$32,'Inputs'!$B$30+'Inputs'!$B$31+'Inputs'!$B$32)/1000+'Inputs'!$B$21))^2+('Inputs'!$B$6/2)^2)))-'Results'!C7*(1-'Inputs'!$B$24)*(0.5*((((547-43)*MAX('Inputs'!$B$33,'Inputs'!$B$29+'Inputs'!$B$31+'Inputs'!$B$32,'Inputs'!$B$30+'Inputs'!$B$31+'Inputs'!$B$32)/1000+'Inputs'!$B$21+'Inputs'!$B$7+'Inputs'!$B$10)+'Inputs'!$B$9)/SQRT((((547-43)*MAX('Inputs'!$B$33,'Inputs'!$B$29+'Inputs'!$B$31+'Inputs'!$B$32,'Inputs'!$B$30+'Inputs'!$B$31+'Inputs'!$B$32)/1000+'Inputs'!$B$21+'Inputs'!$B$7+'Inputs'!$B$10)+'Inputs'!$B$9)^2+('Inputs'!$B$8/2)^2)-(((547-43)*MAX('Inputs'!$B$33,'Inputs'!$B$29+'Inputs'!$B$31+'Inputs'!$B$32,'Inputs'!$B$30+'Inputs'!$B$31+'Inputs'!$B$32)/1000+'Inputs'!$B$21+'Inputs'!$B$7+'Inputs'!$B$10))/SQRT((((547-43)*MAX('Inputs'!$B$33,'Inputs'!$B$29+'Inputs'!$B$31+'Inputs'!$B$32,'Inputs'!$B$30+'Inputs'!$B$31+'Inputs'!$B$32)/1000+'Inputs'!$B$21+'Inputs'!$B$7+'Inputs'!$B$10))^2+('Inputs'!$B$8/2)^2))))*'Results'!$B$8))),"")</x:f>
        <x:v>4.562094061954801</x:v>
      </x:c>
      <x:c r="M547" t="n">
        <x:f>IF(AND(ISNUMBER('Results'!C7),ISNUMBER('Results'!B7),ISNUMBER('Results'!$B$8),ISNUMBER('Inputs'!$B$6),ISNUMBER('Inputs'!$B$7),ISNUMBER('Inputs'!$B$8),ISNUMBER('Inputs'!$B$9),ISNUMBER('Inputs'!$B$10),ISNUMBER('Inputs'!$B$21),ISNUMBER('Inputs'!$B$24),ISNUMBER('Inputs'!$B$28)),(('Results'!C7*(0.5*((((547-43)*MAX('Inputs'!$B$33,'Inputs'!$B$29+'Inputs'!$B$31+'Inputs'!$B$32,'Inputs'!$B$30+'Inputs'!$B$31+'Inputs'!$B$32)/1000+'Inputs'!$B$21)+'Inputs'!$B$9)/SQRT((((547-43)*MAX('Inputs'!$B$33,'Inputs'!$B$29+'Inputs'!$B$31+'Inputs'!$B$32,'Inputs'!$B$30+'Inputs'!$B$31+'Inputs'!$B$32)/1000+'Inputs'!$B$21)+'Inputs'!$B$9)^2+('Inputs'!$B$8/2)^2)-(((547-43)*MAX('Inputs'!$B$33,'Inputs'!$B$29+'Inputs'!$B$31+'Inputs'!$B$32,'Inputs'!$B$30+'Inputs'!$B$31+'Inputs'!$B$32)/1000+'Inputs'!$B$21))/SQRT((((547-43)*MAX('Inputs'!$B$33,'Inputs'!$B$29+'Inputs'!$B$31+'Inputs'!$B$32,'Inputs'!$B$30+'Inputs'!$B$31+'Inputs'!$B$32)/1000+'Inputs'!$B$21))^2+('Inputs'!$B$8/2)^2)))-'Results'!B7*(0.5*((((547-43)*MAX('Inputs'!$B$33,'Inputs'!$B$29+'Inputs'!$B$31+'Inputs'!$B$32,'Inputs'!$B$30+'Inputs'!$B$31+'Inputs'!$B$32)/1000+'Inputs'!$B$21+'Inputs'!$B$9+'Inputs'!$B$10)+'Inputs'!$B$7)/SQRT((((547-43)*MAX('Inputs'!$B$33,'Inputs'!$B$29+'Inputs'!$B$31+'Inputs'!$B$32,'Inputs'!$B$30+'Inputs'!$B$31+'Inputs'!$B$32)/1000+'Inputs'!$B$21+'Inputs'!$B$9+'Inputs'!$B$10)+'Inputs'!$B$7)^2+('Inputs'!$B$6/2)^2)-(((547-43)*MAX('Inputs'!$B$33,'Inputs'!$B$29+'Inputs'!$B$31+'Inputs'!$B$32,'Inputs'!$B$30+'Inputs'!$B$31+'Inputs'!$B$32)/1000+'Inputs'!$B$21+'Inputs'!$B$9+'Inputs'!$B$10))/SQRT((((547-43)*MAX('Inputs'!$B$33,'Inputs'!$B$29+'Inputs'!$B$31+'Inputs'!$B$32,'Inputs'!$B$30+'Inputs'!$B$31+'Inputs'!$B$32)/1000+'Inputs'!$B$21+'Inputs'!$B$9+'Inputs'!$B$10))^2+('Inputs'!$B$6/2)^2))))*'Results'!$B$8),"")</x:f>
        <x:v>3.787806194612301</x:v>
      </x:c>
      <x:c r="N547" t="n">
        <x:f>IF(AND(ISNUMBER('Results'!C7),ISNUMBER('Results'!B7),ISNUMBER('Results'!$B$8),ISNUMBER('Inputs'!$B$6),ISNUMBER('Inputs'!$B$7),ISNUMBER('Inputs'!$B$8),ISNUMBER('Inputs'!$B$9),ISNUMBER('Inputs'!$B$10),ISNUMBER('Inputs'!$B$21),ISNUMBER('Inputs'!$B$24),ISNUMBER('Inputs'!$B$28)),((('Results'!C7*(1-'Inputs'!$B$24)*(0.5*((((547-43)*MAX('Inputs'!$B$33,'Inputs'!$B$29+'Inputs'!$B$31+'Inputs'!$B$32,'Inputs'!$B$30+'Inputs'!$B$31+'Inputs'!$B$32)/1000+'Inputs'!$B$21)+'Inputs'!$B$9)/SQRT((((547-43)*MAX('Inputs'!$B$33,'Inputs'!$B$29+'Inputs'!$B$31+'Inputs'!$B$32,'Inputs'!$B$30+'Inputs'!$B$31+'Inputs'!$B$32)/1000+'Inputs'!$B$21)+'Inputs'!$B$9)^2+('Inputs'!$B$8/2)^2)-(((547-43)*MAX('Inputs'!$B$33,'Inputs'!$B$29+'Inputs'!$B$31+'Inputs'!$B$32,'Inputs'!$B$30+'Inputs'!$B$31+'Inputs'!$B$32)/1000+'Inputs'!$B$21))/SQRT((((547-43)*MAX('Inputs'!$B$33,'Inputs'!$B$29+'Inputs'!$B$31+'Inputs'!$B$32,'Inputs'!$B$30+'Inputs'!$B$31+'Inputs'!$B$32)/1000+'Inputs'!$B$21))^2+('Inputs'!$B$8/2)^2)))-'Results'!B7*(1+'Inputs'!$B$24)*(0.5*((((547-43)*MAX('Inputs'!$B$33,'Inputs'!$B$29+'Inputs'!$B$31+'Inputs'!$B$32,'Inputs'!$B$30+'Inputs'!$B$31+'Inputs'!$B$32)/1000+'Inputs'!$B$21+'Inputs'!$B$9+'Inputs'!$B$10)+'Inputs'!$B$7)/SQRT((((547-43)*MAX('Inputs'!$B$33,'Inputs'!$B$29+'Inputs'!$B$31+'Inputs'!$B$32,'Inputs'!$B$30+'Inputs'!$B$31+'Inputs'!$B$32)/1000+'Inputs'!$B$21+'Inputs'!$B$9+'Inputs'!$B$10)+'Inputs'!$B$7)^2+('Inputs'!$B$6/2)^2)-(((547-43)*MAX('Inputs'!$B$33,'Inputs'!$B$29+'Inputs'!$B$31+'Inputs'!$B$32,'Inputs'!$B$30+'Inputs'!$B$31+'Inputs'!$B$32)/1000+'Inputs'!$B$21+'Inputs'!$B$9+'Inputs'!$B$10))/SQRT((((547-43)*MAX('Inputs'!$B$33,'Inputs'!$B$29+'Inputs'!$B$31+'Inputs'!$B$32,'Inputs'!$B$30+'Inputs'!$B$31+'Inputs'!$B$32)/1000+'Inputs'!$B$21+'Inputs'!$B$9+'Inputs'!$B$10))^2+('Inputs'!$B$6/2)^2))))*'Results'!$B$8)-'Inputs'!$B$28*ABS((('Results'!C7*(1-'Inputs'!$B$24)*(0.5*((((547-43)*MAX('Inputs'!$B$33,'Inputs'!$B$29+'Inputs'!$B$31+'Inputs'!$B$32,'Inputs'!$B$30+'Inputs'!$B$31+'Inputs'!$B$32)/1000+'Inputs'!$B$21)+'Inputs'!$B$9)/SQRT((((547-43)*MAX('Inputs'!$B$33,'Inputs'!$B$29+'Inputs'!$B$31+'Inputs'!$B$32,'Inputs'!$B$30+'Inputs'!$B$31+'Inputs'!$B$32)/1000+'Inputs'!$B$21)+'Inputs'!$B$9)^2+('Inputs'!$B$8/2)^2)-(((547-43)*MAX('Inputs'!$B$33,'Inputs'!$B$29+'Inputs'!$B$31+'Inputs'!$B$32,'Inputs'!$B$30+'Inputs'!$B$31+'Inputs'!$B$32)/1000+'Inputs'!$B$21))/SQRT((((547-43)*MAX('Inputs'!$B$33,'Inputs'!$B$29+'Inputs'!$B$31+'Inputs'!$B$32,'Inputs'!$B$30+'Inputs'!$B$31+'Inputs'!$B$32)/1000+'Inputs'!$B$21))^2+('Inputs'!$B$8/2)^2)))-'Results'!B7*(1+'Inputs'!$B$24)*(0.5*((((547-43)*MAX('Inputs'!$B$33,'Inputs'!$B$29+'Inputs'!$B$31+'Inputs'!$B$32,'Inputs'!$B$30+'Inputs'!$B$31+'Inputs'!$B$32)/1000+'Inputs'!$B$21+'Inputs'!$B$9+'Inputs'!$B$10)+'Inputs'!$B$7)/SQRT((((547-43)*MAX('Inputs'!$B$33,'Inputs'!$B$29+'Inputs'!$B$31+'Inputs'!$B$32,'Inputs'!$B$30+'Inputs'!$B$31+'Inputs'!$B$32)/1000+'Inputs'!$B$21+'Inputs'!$B$9+'Inputs'!$B$10)+'Inputs'!$B$7)^2+('Inputs'!$B$6/2)^2)-(((547-43)*MAX('Inputs'!$B$33,'Inputs'!$B$29+'Inputs'!$B$31+'Inputs'!$B$32,'Inputs'!$B$30+'Inputs'!$B$31+'Inputs'!$B$32)/1000+'Inputs'!$B$21+'Inputs'!$B$9+'Inputs'!$B$10))/SQRT((((547-43)*MAX('Inputs'!$B$33,'Inputs'!$B$29+'Inputs'!$B$31+'Inputs'!$B$32,'Inputs'!$B$30+'Inputs'!$B$31+'Inputs'!$B$32)/1000+'Inputs'!$B$21+'Inputs'!$B$9+'Inputs'!$B$10))^2+('Inputs'!$B$6/2)^2))))*'Results'!$B$8))),"")</x:f>
        <x:v>3.3362777710446037</x:v>
      </x:c>
      <x:c r="O547" t="n">
        <x:f>IF(AND(ISNUMBER('Results'!C7),ISNUMBER('Results'!B7),ISNUMBER('Results'!$B$8),ISNUMBER('Inputs'!$B$6),ISNUMBER('Inputs'!$B$7),ISNUMBER('Inputs'!$B$8),ISNUMBER('Inputs'!$B$9),ISNUMBER('Inputs'!$B$10),ISNUMBER('Inputs'!$B$21),ISNUMBER('Inputs'!$B$24),ISNUMBER('Inputs'!$B$28)),((('Results'!C7*(1+'Inputs'!$B$24)*(0.5*((((547-43)*MAX('Inputs'!$B$33,'Inputs'!$B$29+'Inputs'!$B$31+'Inputs'!$B$32,'Inputs'!$B$30+'Inputs'!$B$31+'Inputs'!$B$32)/1000+'Inputs'!$B$21)+'Inputs'!$B$9)/SQRT((((547-43)*MAX('Inputs'!$B$33,'Inputs'!$B$29+'Inputs'!$B$31+'Inputs'!$B$32,'Inputs'!$B$30+'Inputs'!$B$31+'Inputs'!$B$32)/1000+'Inputs'!$B$21)+'Inputs'!$B$9)^2+('Inputs'!$B$8/2)^2)-(((547-43)*MAX('Inputs'!$B$33,'Inputs'!$B$29+'Inputs'!$B$31+'Inputs'!$B$32,'Inputs'!$B$30+'Inputs'!$B$31+'Inputs'!$B$32)/1000+'Inputs'!$B$21))/SQRT((((547-43)*MAX('Inputs'!$B$33,'Inputs'!$B$29+'Inputs'!$B$31+'Inputs'!$B$32,'Inputs'!$B$30+'Inputs'!$B$31+'Inputs'!$B$32)/1000+'Inputs'!$B$21))^2+('Inputs'!$B$8/2)^2)))-'Results'!B7*(1-'Inputs'!$B$24)*(0.5*((((547-43)*MAX('Inputs'!$B$33,'Inputs'!$B$29+'Inputs'!$B$31+'Inputs'!$B$32,'Inputs'!$B$30+'Inputs'!$B$31+'Inputs'!$B$32)/1000+'Inputs'!$B$21+'Inputs'!$B$9+'Inputs'!$B$10)+'Inputs'!$B$7)/SQRT((((547-43)*MAX('Inputs'!$B$33,'Inputs'!$B$29+'Inputs'!$B$31+'Inputs'!$B$32,'Inputs'!$B$30+'Inputs'!$B$31+'Inputs'!$B$32)/1000+'Inputs'!$B$21+'Inputs'!$B$9+'Inputs'!$B$10)+'Inputs'!$B$7)^2+('Inputs'!$B$6/2)^2)-(((547-43)*MAX('Inputs'!$B$33,'Inputs'!$B$29+'Inputs'!$B$31+'Inputs'!$B$32,'Inputs'!$B$30+'Inputs'!$B$31+'Inputs'!$B$32)/1000+'Inputs'!$B$21+'Inputs'!$B$9+'Inputs'!$B$10))/SQRT((((547-43)*MAX('Inputs'!$B$33,'Inputs'!$B$29+'Inputs'!$B$31+'Inputs'!$B$32,'Inputs'!$B$30+'Inputs'!$B$31+'Inputs'!$B$32)/1000+'Inputs'!$B$21+'Inputs'!$B$9+'Inputs'!$B$10))^2+('Inputs'!$B$6/2)^2))))*'Results'!$B$8)+'Inputs'!$B$28*ABS((('Results'!C7*(1+'Inputs'!$B$24)*(0.5*((((547-43)*MAX('Inputs'!$B$33,'Inputs'!$B$29+'Inputs'!$B$31+'Inputs'!$B$32,'Inputs'!$B$30+'Inputs'!$B$31+'Inputs'!$B$32)/1000+'Inputs'!$B$21)+'Inputs'!$B$9)/SQRT((((547-43)*MAX('Inputs'!$B$33,'Inputs'!$B$29+'Inputs'!$B$31+'Inputs'!$B$32,'Inputs'!$B$30+'Inputs'!$B$31+'Inputs'!$B$32)/1000+'Inputs'!$B$21)+'Inputs'!$B$9)^2+('Inputs'!$B$8/2)^2)-(((547-43)*MAX('Inputs'!$B$33,'Inputs'!$B$29+'Inputs'!$B$31+'Inputs'!$B$32,'Inputs'!$B$30+'Inputs'!$B$31+'Inputs'!$B$32)/1000+'Inputs'!$B$21))/SQRT((((547-43)*MAX('Inputs'!$B$33,'Inputs'!$B$29+'Inputs'!$B$31+'Inputs'!$B$32,'Inputs'!$B$30+'Inputs'!$B$31+'Inputs'!$B$32)/1000+'Inputs'!$B$21))^2+('Inputs'!$B$8/2)^2)))-'Results'!B7*(1-'Inputs'!$B$24)*(0.5*((((547-43)*MAX('Inputs'!$B$33,'Inputs'!$B$29+'Inputs'!$B$31+'Inputs'!$B$32,'Inputs'!$B$30+'Inputs'!$B$31+'Inputs'!$B$32)/1000+'Inputs'!$B$21+'Inputs'!$B$9+'Inputs'!$B$10)+'Inputs'!$B$7)/SQRT((((547-43)*MAX('Inputs'!$B$33,'Inputs'!$B$29+'Inputs'!$B$31+'Inputs'!$B$32,'Inputs'!$B$30+'Inputs'!$B$31+'Inputs'!$B$32)/1000+'Inputs'!$B$21+'Inputs'!$B$9+'Inputs'!$B$10)+'Inputs'!$B$7)^2+('Inputs'!$B$6/2)^2)-(((547-43)*MAX('Inputs'!$B$33,'Inputs'!$B$29+'Inputs'!$B$31+'Inputs'!$B$32,'Inputs'!$B$30+'Inputs'!$B$31+'Inputs'!$B$32)/1000+'Inputs'!$B$21+'Inputs'!$B$9+'Inputs'!$B$10))/SQRT((((547-43)*MAX('Inputs'!$B$33,'Inputs'!$B$29+'Inputs'!$B$31+'Inputs'!$B$32,'Inputs'!$B$30+'Inputs'!$B$31+'Inputs'!$B$32)/1000+'Inputs'!$B$21+'Inputs'!$B$9+'Inputs'!$B$10))^2+('Inputs'!$B$6/2)^2))))*'Results'!$B$8))),"")</x:f>
        <x:v>4.266928103847058</x:v>
      </x:c>
      <x:c r="P547" t="n">
        <x:f>IF(AND(MAX(J547,J546)&gt;0,J547&gt;J546+0.00000001),1,0)</x:f>
        <x:v>0</x:v>
      </x:c>
      <x:c r="Q547" t="n">
        <x:f>IF(AND(MAX(K547,K546)&gt;0,K547&gt;K546+0.00000001),1,0)</x:f>
        <x:v>0</x:v>
      </x:c>
      <x:c r="R547" t="n">
        <x:f>IF(AND(MAX(L547,L546)&gt;0,L547&gt;L546+0.00000001),1,0)</x:f>
        <x:v>0</x:v>
      </x:c>
      <x:c r="S547" t="n">
        <x:f>IF(AND(MAX(M547,M546)&gt;0,M547&gt;M546+0.00000001),1,0)</x:f>
        <x:v>0</x:v>
      </x:c>
      <x:c r="T547" t="n">
        <x:f>IF(AND(MAX(N547,N546)&gt;0,N547&gt;N546+0.00000001),1,0)</x:f>
        <x:v>0</x:v>
      </x:c>
      <x:c r="U547" t="n">
        <x:f>IF(AND(MAX(O547,O546)&gt;0,O547&gt;O546+0.00000001),1,0)</x:f>
        <x:v>0</x:v>
      </x:c>
    </x:row>
    <x:row r="548">
      <x:c r="J548" t="n">
        <x:f>IF(AND(ISNUMBER('Results'!B7),ISNUMBER('Results'!C7),ISNUMBER('Results'!$B$8),ISNUMBER('Inputs'!$B$6),ISNUMBER('Inputs'!$B$7),ISNUMBER('Inputs'!$B$8),ISNUMBER('Inputs'!$B$9),ISNUMBER('Inputs'!$B$10),ISNUMBER('Inputs'!$B$21),ISNUMBER('Inputs'!$B$24),ISNUMBER('Inputs'!$B$28)),(('Results'!B7*(0.5*((((548-43)*MAX('Inputs'!$B$33,'Inputs'!$B$29+'Inputs'!$B$31+'Inputs'!$B$32,'Inputs'!$B$30+'Inputs'!$B$31+'Inputs'!$B$32)/1000+'Inputs'!$B$21)+'Inputs'!$B$7)/SQRT((((548-43)*MAX('Inputs'!$B$33,'Inputs'!$B$29+'Inputs'!$B$31+'Inputs'!$B$32,'Inputs'!$B$30+'Inputs'!$B$31+'Inputs'!$B$32)/1000+'Inputs'!$B$21)+'Inputs'!$B$7)^2+('Inputs'!$B$6/2)^2)-(((548-43)*MAX('Inputs'!$B$33,'Inputs'!$B$29+'Inputs'!$B$31+'Inputs'!$B$32,'Inputs'!$B$30+'Inputs'!$B$31+'Inputs'!$B$32)/1000+'Inputs'!$B$21))/SQRT((((548-43)*MAX('Inputs'!$B$33,'Inputs'!$B$29+'Inputs'!$B$31+'Inputs'!$B$32,'Inputs'!$B$30+'Inputs'!$B$31+'Inputs'!$B$32)/1000+'Inputs'!$B$21))^2+('Inputs'!$B$6/2)^2)))-'Results'!C7*(0.5*((((548-43)*MAX('Inputs'!$B$33,'Inputs'!$B$29+'Inputs'!$B$31+'Inputs'!$B$32,'Inputs'!$B$30+'Inputs'!$B$31+'Inputs'!$B$32)/1000+'Inputs'!$B$21+'Inputs'!$B$7+'Inputs'!$B$10)+'Inputs'!$B$9)/SQRT((((548-43)*MAX('Inputs'!$B$33,'Inputs'!$B$29+'Inputs'!$B$31+'Inputs'!$B$32,'Inputs'!$B$30+'Inputs'!$B$31+'Inputs'!$B$32)/1000+'Inputs'!$B$21+'Inputs'!$B$7+'Inputs'!$B$10)+'Inputs'!$B$9)^2+('Inputs'!$B$8/2)^2)-(((548-43)*MAX('Inputs'!$B$33,'Inputs'!$B$29+'Inputs'!$B$31+'Inputs'!$B$32,'Inputs'!$B$30+'Inputs'!$B$31+'Inputs'!$B$32)/1000+'Inputs'!$B$21+'Inputs'!$B$7+'Inputs'!$B$10))/SQRT((((548-43)*MAX('Inputs'!$B$33,'Inputs'!$B$29+'Inputs'!$B$31+'Inputs'!$B$32,'Inputs'!$B$30+'Inputs'!$B$31+'Inputs'!$B$32)/1000+'Inputs'!$B$21+'Inputs'!$B$7+'Inputs'!$B$10))^2+('Inputs'!$B$8/2)^2))))*'Results'!$B$8),"")</x:f>
        <x:v>4.039850103340775</x:v>
      </x:c>
      <x:c r="K548" t="n">
        <x:f>IF(AND(ISNUMBER('Results'!B7),ISNUMBER('Results'!C7),ISNUMBER('Results'!$B$8),ISNUMBER('Inputs'!$B$6),ISNUMBER('Inputs'!$B$7),ISNUMBER('Inputs'!$B$8),ISNUMBER('Inputs'!$B$9),ISNUMBER('Inputs'!$B$10),ISNUMBER('Inputs'!$B$21),ISNUMBER('Inputs'!$B$24),ISNUMBER('Inputs'!$B$28)),((('Results'!B7*(1-'Inputs'!$B$24)*(0.5*((((548-43)*MAX('Inputs'!$B$33,'Inputs'!$B$29+'Inputs'!$B$31+'Inputs'!$B$32,'Inputs'!$B$30+'Inputs'!$B$31+'Inputs'!$B$32)/1000+'Inputs'!$B$21)+'Inputs'!$B$7)/SQRT((((548-43)*MAX('Inputs'!$B$33,'Inputs'!$B$29+'Inputs'!$B$31+'Inputs'!$B$32,'Inputs'!$B$30+'Inputs'!$B$31+'Inputs'!$B$32)/1000+'Inputs'!$B$21)+'Inputs'!$B$7)^2+('Inputs'!$B$6/2)^2)-(((548-43)*MAX('Inputs'!$B$33,'Inputs'!$B$29+'Inputs'!$B$31+'Inputs'!$B$32,'Inputs'!$B$30+'Inputs'!$B$31+'Inputs'!$B$32)/1000+'Inputs'!$B$21))/SQRT((((548-43)*MAX('Inputs'!$B$33,'Inputs'!$B$29+'Inputs'!$B$31+'Inputs'!$B$32,'Inputs'!$B$30+'Inputs'!$B$31+'Inputs'!$B$32)/1000+'Inputs'!$B$21))^2+('Inputs'!$B$6/2)^2)))-'Results'!C7*(1+'Inputs'!$B$24)*(0.5*((((548-43)*MAX('Inputs'!$B$33,'Inputs'!$B$29+'Inputs'!$B$31+'Inputs'!$B$32,'Inputs'!$B$30+'Inputs'!$B$31+'Inputs'!$B$32)/1000+'Inputs'!$B$21+'Inputs'!$B$7+'Inputs'!$B$10)+'Inputs'!$B$9)/SQRT((((548-43)*MAX('Inputs'!$B$33,'Inputs'!$B$29+'Inputs'!$B$31+'Inputs'!$B$32,'Inputs'!$B$30+'Inputs'!$B$31+'Inputs'!$B$32)/1000+'Inputs'!$B$21+'Inputs'!$B$7+'Inputs'!$B$10)+'Inputs'!$B$9)^2+('Inputs'!$B$8/2)^2)-(((548-43)*MAX('Inputs'!$B$33,'Inputs'!$B$29+'Inputs'!$B$31+'Inputs'!$B$32,'Inputs'!$B$30+'Inputs'!$B$31+'Inputs'!$B$32)/1000+'Inputs'!$B$21+'Inputs'!$B$7+'Inputs'!$B$10))/SQRT((((548-43)*MAX('Inputs'!$B$33,'Inputs'!$B$29+'Inputs'!$B$31+'Inputs'!$B$32,'Inputs'!$B$30+'Inputs'!$B$31+'Inputs'!$B$32)/1000+'Inputs'!$B$21+'Inputs'!$B$7+'Inputs'!$B$10))^2+('Inputs'!$B$8/2)^2))))*'Results'!$B$8)-'Inputs'!$B$28*ABS((('Results'!B7*(1-'Inputs'!$B$24)*(0.5*((((548-43)*MAX('Inputs'!$B$33,'Inputs'!$B$29+'Inputs'!$B$31+'Inputs'!$B$32,'Inputs'!$B$30+'Inputs'!$B$31+'Inputs'!$B$32)/1000+'Inputs'!$B$21)+'Inputs'!$B$7)/SQRT((((548-43)*MAX('Inputs'!$B$33,'Inputs'!$B$29+'Inputs'!$B$31+'Inputs'!$B$32,'Inputs'!$B$30+'Inputs'!$B$31+'Inputs'!$B$32)/1000+'Inputs'!$B$21)+'Inputs'!$B$7)^2+('Inputs'!$B$6/2)^2)-(((548-43)*MAX('Inputs'!$B$33,'Inputs'!$B$29+'Inputs'!$B$31+'Inputs'!$B$32,'Inputs'!$B$30+'Inputs'!$B$31+'Inputs'!$B$32)/1000+'Inputs'!$B$21))/SQRT((((548-43)*MAX('Inputs'!$B$33,'Inputs'!$B$29+'Inputs'!$B$31+'Inputs'!$B$32,'Inputs'!$B$30+'Inputs'!$B$31+'Inputs'!$B$32)/1000+'Inputs'!$B$21))^2+('Inputs'!$B$6/2)^2)))-'Results'!C7*(1+'Inputs'!$B$24)*(0.5*((((548-43)*MAX('Inputs'!$B$33,'Inputs'!$B$29+'Inputs'!$B$31+'Inputs'!$B$32,'Inputs'!$B$30+'Inputs'!$B$31+'Inputs'!$B$32)/1000+'Inputs'!$B$21+'Inputs'!$B$7+'Inputs'!$B$10)+'Inputs'!$B$9)/SQRT((((548-43)*MAX('Inputs'!$B$33,'Inputs'!$B$29+'Inputs'!$B$31+'Inputs'!$B$32,'Inputs'!$B$30+'Inputs'!$B$31+'Inputs'!$B$32)/1000+'Inputs'!$B$21+'Inputs'!$B$7+'Inputs'!$B$10)+'Inputs'!$B$9)^2+('Inputs'!$B$8/2)^2)-(((548-43)*MAX('Inputs'!$B$33,'Inputs'!$B$29+'Inputs'!$B$31+'Inputs'!$B$32,'Inputs'!$B$30+'Inputs'!$B$31+'Inputs'!$B$32)/1000+'Inputs'!$B$21+'Inputs'!$B$7+'Inputs'!$B$10))/SQRT((((548-43)*MAX('Inputs'!$B$33,'Inputs'!$B$29+'Inputs'!$B$31+'Inputs'!$B$32,'Inputs'!$B$30+'Inputs'!$B$31+'Inputs'!$B$32)/1000+'Inputs'!$B$21+'Inputs'!$B$7+'Inputs'!$B$10))^2+('Inputs'!$B$8/2)^2))))*'Results'!$B$8))),"")</x:f>
        <x:v>3.5755947263412087</x:v>
      </x:c>
      <x:c r="L548" t="n">
        <x:f>IF(AND(ISNUMBER('Results'!B7),ISNUMBER('Results'!C7),ISNUMBER('Results'!$B$8),ISNUMBER('Inputs'!$B$6),ISNUMBER('Inputs'!$B$7),ISNUMBER('Inputs'!$B$8),ISNUMBER('Inputs'!$B$9),ISNUMBER('Inputs'!$B$10),ISNUMBER('Inputs'!$B$21),ISNUMBER('Inputs'!$B$24),ISNUMBER('Inputs'!$B$28)),((('Results'!B7*(1+'Inputs'!$B$24)*(0.5*((((548-43)*MAX('Inputs'!$B$33,'Inputs'!$B$29+'Inputs'!$B$31+'Inputs'!$B$32,'Inputs'!$B$30+'Inputs'!$B$31+'Inputs'!$B$32)/1000+'Inputs'!$B$21)+'Inputs'!$B$7)/SQRT((((548-43)*MAX('Inputs'!$B$33,'Inputs'!$B$29+'Inputs'!$B$31+'Inputs'!$B$32,'Inputs'!$B$30+'Inputs'!$B$31+'Inputs'!$B$32)/1000+'Inputs'!$B$21)+'Inputs'!$B$7)^2+('Inputs'!$B$6/2)^2)-(((548-43)*MAX('Inputs'!$B$33,'Inputs'!$B$29+'Inputs'!$B$31+'Inputs'!$B$32,'Inputs'!$B$30+'Inputs'!$B$31+'Inputs'!$B$32)/1000+'Inputs'!$B$21))/SQRT((((548-43)*MAX('Inputs'!$B$33,'Inputs'!$B$29+'Inputs'!$B$31+'Inputs'!$B$32,'Inputs'!$B$30+'Inputs'!$B$31+'Inputs'!$B$32)/1000+'Inputs'!$B$21))^2+('Inputs'!$B$6/2)^2)))-'Results'!C7*(1-'Inputs'!$B$24)*(0.5*((((548-43)*MAX('Inputs'!$B$33,'Inputs'!$B$29+'Inputs'!$B$31+'Inputs'!$B$32,'Inputs'!$B$30+'Inputs'!$B$31+'Inputs'!$B$32)/1000+'Inputs'!$B$21+'Inputs'!$B$7+'Inputs'!$B$10)+'Inputs'!$B$9)/SQRT((((548-43)*MAX('Inputs'!$B$33,'Inputs'!$B$29+'Inputs'!$B$31+'Inputs'!$B$32,'Inputs'!$B$30+'Inputs'!$B$31+'Inputs'!$B$32)/1000+'Inputs'!$B$21+'Inputs'!$B$7+'Inputs'!$B$10)+'Inputs'!$B$9)^2+('Inputs'!$B$8/2)^2)-(((548-43)*MAX('Inputs'!$B$33,'Inputs'!$B$29+'Inputs'!$B$31+'Inputs'!$B$32,'Inputs'!$B$30+'Inputs'!$B$31+'Inputs'!$B$32)/1000+'Inputs'!$B$21+'Inputs'!$B$7+'Inputs'!$B$10))/SQRT((((548-43)*MAX('Inputs'!$B$33,'Inputs'!$B$29+'Inputs'!$B$31+'Inputs'!$B$32,'Inputs'!$B$30+'Inputs'!$B$31+'Inputs'!$B$32)/1000+'Inputs'!$B$21+'Inputs'!$B$7+'Inputs'!$B$10))^2+('Inputs'!$B$8/2)^2))))*'Results'!$B$8)+'Inputs'!$B$28*ABS((('Results'!B7*(1+'Inputs'!$B$24)*(0.5*((((548-43)*MAX('Inputs'!$B$33,'Inputs'!$B$29+'Inputs'!$B$31+'Inputs'!$B$32,'Inputs'!$B$30+'Inputs'!$B$31+'Inputs'!$B$32)/1000+'Inputs'!$B$21)+'Inputs'!$B$7)/SQRT((((548-43)*MAX('Inputs'!$B$33,'Inputs'!$B$29+'Inputs'!$B$31+'Inputs'!$B$32,'Inputs'!$B$30+'Inputs'!$B$31+'Inputs'!$B$32)/1000+'Inputs'!$B$21)+'Inputs'!$B$7)^2+('Inputs'!$B$6/2)^2)-(((548-43)*MAX('Inputs'!$B$33,'Inputs'!$B$29+'Inputs'!$B$31+'Inputs'!$B$32,'Inputs'!$B$30+'Inputs'!$B$31+'Inputs'!$B$32)/1000+'Inputs'!$B$21))/SQRT((((548-43)*MAX('Inputs'!$B$33,'Inputs'!$B$29+'Inputs'!$B$31+'Inputs'!$B$32,'Inputs'!$B$30+'Inputs'!$B$31+'Inputs'!$B$32)/1000+'Inputs'!$B$21))^2+('Inputs'!$B$6/2)^2)))-'Results'!C7*(1-'Inputs'!$B$24)*(0.5*((((548-43)*MAX('Inputs'!$B$33,'Inputs'!$B$29+'Inputs'!$B$31+'Inputs'!$B$32,'Inputs'!$B$30+'Inputs'!$B$31+'Inputs'!$B$32)/1000+'Inputs'!$B$21+'Inputs'!$B$7+'Inputs'!$B$10)+'Inputs'!$B$9)/SQRT((((548-43)*MAX('Inputs'!$B$33,'Inputs'!$B$29+'Inputs'!$B$31+'Inputs'!$B$32,'Inputs'!$B$30+'Inputs'!$B$31+'Inputs'!$B$32)/1000+'Inputs'!$B$21+'Inputs'!$B$7+'Inputs'!$B$10)+'Inputs'!$B$9)^2+('Inputs'!$B$8/2)^2)-(((548-43)*MAX('Inputs'!$B$33,'Inputs'!$B$29+'Inputs'!$B$31+'Inputs'!$B$32,'Inputs'!$B$30+'Inputs'!$B$31+'Inputs'!$B$32)/1000+'Inputs'!$B$21+'Inputs'!$B$7+'Inputs'!$B$10))/SQRT((((548-43)*MAX('Inputs'!$B$33,'Inputs'!$B$29+'Inputs'!$B$31+'Inputs'!$B$32,'Inputs'!$B$30+'Inputs'!$B$31+'Inputs'!$B$32)/1000+'Inputs'!$B$21+'Inputs'!$B$7+'Inputs'!$B$10))^2+('Inputs'!$B$8/2)^2))))*'Results'!$B$8))),"")</x:f>
        <x:v>4.531712098427977</x:v>
      </x:c>
      <x:c r="M548" t="n">
        <x:f>IF(AND(ISNUMBER('Results'!C7),ISNUMBER('Results'!B7),ISNUMBER('Results'!$B$8),ISNUMBER('Inputs'!$B$6),ISNUMBER('Inputs'!$B$7),ISNUMBER('Inputs'!$B$8),ISNUMBER('Inputs'!$B$9),ISNUMBER('Inputs'!$B$10),ISNUMBER('Inputs'!$B$21),ISNUMBER('Inputs'!$B$24),ISNUMBER('Inputs'!$B$28)),(('Results'!C7*(0.5*((((548-43)*MAX('Inputs'!$B$33,'Inputs'!$B$29+'Inputs'!$B$31+'Inputs'!$B$32,'Inputs'!$B$30+'Inputs'!$B$31+'Inputs'!$B$32)/1000+'Inputs'!$B$21)+'Inputs'!$B$9)/SQRT((((548-43)*MAX('Inputs'!$B$33,'Inputs'!$B$29+'Inputs'!$B$31+'Inputs'!$B$32,'Inputs'!$B$30+'Inputs'!$B$31+'Inputs'!$B$32)/1000+'Inputs'!$B$21)+'Inputs'!$B$9)^2+('Inputs'!$B$8/2)^2)-(((548-43)*MAX('Inputs'!$B$33,'Inputs'!$B$29+'Inputs'!$B$31+'Inputs'!$B$32,'Inputs'!$B$30+'Inputs'!$B$31+'Inputs'!$B$32)/1000+'Inputs'!$B$21))/SQRT((((548-43)*MAX('Inputs'!$B$33,'Inputs'!$B$29+'Inputs'!$B$31+'Inputs'!$B$32,'Inputs'!$B$30+'Inputs'!$B$31+'Inputs'!$B$32)/1000+'Inputs'!$B$21))^2+('Inputs'!$B$8/2)^2)))-'Results'!B7*(0.5*((((548-43)*MAX('Inputs'!$B$33,'Inputs'!$B$29+'Inputs'!$B$31+'Inputs'!$B$32,'Inputs'!$B$30+'Inputs'!$B$31+'Inputs'!$B$32)/1000+'Inputs'!$B$21+'Inputs'!$B$9+'Inputs'!$B$10)+'Inputs'!$B$7)/SQRT((((548-43)*MAX('Inputs'!$B$33,'Inputs'!$B$29+'Inputs'!$B$31+'Inputs'!$B$32,'Inputs'!$B$30+'Inputs'!$B$31+'Inputs'!$B$32)/1000+'Inputs'!$B$21+'Inputs'!$B$9+'Inputs'!$B$10)+'Inputs'!$B$7)^2+('Inputs'!$B$6/2)^2)-(((548-43)*MAX('Inputs'!$B$33,'Inputs'!$B$29+'Inputs'!$B$31+'Inputs'!$B$32,'Inputs'!$B$30+'Inputs'!$B$31+'Inputs'!$B$32)/1000+'Inputs'!$B$21+'Inputs'!$B$9+'Inputs'!$B$10))/SQRT((((548-43)*MAX('Inputs'!$B$33,'Inputs'!$B$29+'Inputs'!$B$31+'Inputs'!$B$32,'Inputs'!$B$30+'Inputs'!$B$31+'Inputs'!$B$32)/1000+'Inputs'!$B$21+'Inputs'!$B$9+'Inputs'!$B$10))^2+('Inputs'!$B$6/2)^2))))*'Results'!$B$8),"")</x:f>
        <x:v>3.761791379823517</x:v>
      </x:c>
      <x:c r="N548" t="n">
        <x:f>IF(AND(ISNUMBER('Results'!C7),ISNUMBER('Results'!B7),ISNUMBER('Results'!$B$8),ISNUMBER('Inputs'!$B$6),ISNUMBER('Inputs'!$B$7),ISNUMBER('Inputs'!$B$8),ISNUMBER('Inputs'!$B$9),ISNUMBER('Inputs'!$B$10),ISNUMBER('Inputs'!$B$21),ISNUMBER('Inputs'!$B$24),ISNUMBER('Inputs'!$B$28)),((('Results'!C7*(1-'Inputs'!$B$24)*(0.5*((((548-43)*MAX('Inputs'!$B$33,'Inputs'!$B$29+'Inputs'!$B$31+'Inputs'!$B$32,'Inputs'!$B$30+'Inputs'!$B$31+'Inputs'!$B$32)/1000+'Inputs'!$B$21)+'Inputs'!$B$9)/SQRT((((548-43)*MAX('Inputs'!$B$33,'Inputs'!$B$29+'Inputs'!$B$31+'Inputs'!$B$32,'Inputs'!$B$30+'Inputs'!$B$31+'Inputs'!$B$32)/1000+'Inputs'!$B$21)+'Inputs'!$B$9)^2+('Inputs'!$B$8/2)^2)-(((548-43)*MAX('Inputs'!$B$33,'Inputs'!$B$29+'Inputs'!$B$31+'Inputs'!$B$32,'Inputs'!$B$30+'Inputs'!$B$31+'Inputs'!$B$32)/1000+'Inputs'!$B$21))/SQRT((((548-43)*MAX('Inputs'!$B$33,'Inputs'!$B$29+'Inputs'!$B$31+'Inputs'!$B$32,'Inputs'!$B$30+'Inputs'!$B$31+'Inputs'!$B$32)/1000+'Inputs'!$B$21))^2+('Inputs'!$B$8/2)^2)))-'Results'!B7*(1+'Inputs'!$B$24)*(0.5*((((548-43)*MAX('Inputs'!$B$33,'Inputs'!$B$29+'Inputs'!$B$31+'Inputs'!$B$32,'Inputs'!$B$30+'Inputs'!$B$31+'Inputs'!$B$32)/1000+'Inputs'!$B$21+'Inputs'!$B$9+'Inputs'!$B$10)+'Inputs'!$B$7)/SQRT((((548-43)*MAX('Inputs'!$B$33,'Inputs'!$B$29+'Inputs'!$B$31+'Inputs'!$B$32,'Inputs'!$B$30+'Inputs'!$B$31+'Inputs'!$B$32)/1000+'Inputs'!$B$21+'Inputs'!$B$9+'Inputs'!$B$10)+'Inputs'!$B$7)^2+('Inputs'!$B$6/2)^2)-(((548-43)*MAX('Inputs'!$B$33,'Inputs'!$B$29+'Inputs'!$B$31+'Inputs'!$B$32,'Inputs'!$B$30+'Inputs'!$B$31+'Inputs'!$B$32)/1000+'Inputs'!$B$21+'Inputs'!$B$9+'Inputs'!$B$10))/SQRT((((548-43)*MAX('Inputs'!$B$33,'Inputs'!$B$29+'Inputs'!$B$31+'Inputs'!$B$32,'Inputs'!$B$30+'Inputs'!$B$31+'Inputs'!$B$32)/1000+'Inputs'!$B$21+'Inputs'!$B$9+'Inputs'!$B$10))^2+('Inputs'!$B$6/2)^2))))*'Results'!$B$8)-'Inputs'!$B$28*ABS((('Results'!C7*(1-'Inputs'!$B$24)*(0.5*((((548-43)*MAX('Inputs'!$B$33,'Inputs'!$B$29+'Inputs'!$B$31+'Inputs'!$B$32,'Inputs'!$B$30+'Inputs'!$B$31+'Inputs'!$B$32)/1000+'Inputs'!$B$21)+'Inputs'!$B$9)/SQRT((((548-43)*MAX('Inputs'!$B$33,'Inputs'!$B$29+'Inputs'!$B$31+'Inputs'!$B$32,'Inputs'!$B$30+'Inputs'!$B$31+'Inputs'!$B$32)/1000+'Inputs'!$B$21)+'Inputs'!$B$9)^2+('Inputs'!$B$8/2)^2)-(((548-43)*MAX('Inputs'!$B$33,'Inputs'!$B$29+'Inputs'!$B$31+'Inputs'!$B$32,'Inputs'!$B$30+'Inputs'!$B$31+'Inputs'!$B$32)/1000+'Inputs'!$B$21))/SQRT((((548-43)*MAX('Inputs'!$B$33,'Inputs'!$B$29+'Inputs'!$B$31+'Inputs'!$B$32,'Inputs'!$B$30+'Inputs'!$B$31+'Inputs'!$B$32)/1000+'Inputs'!$B$21))^2+('Inputs'!$B$8/2)^2)))-'Results'!B7*(1+'Inputs'!$B$24)*(0.5*((((548-43)*MAX('Inputs'!$B$33,'Inputs'!$B$29+'Inputs'!$B$31+'Inputs'!$B$32,'Inputs'!$B$30+'Inputs'!$B$31+'Inputs'!$B$32)/1000+'Inputs'!$B$21+'Inputs'!$B$9+'Inputs'!$B$10)+'Inputs'!$B$7)/SQRT((((548-43)*MAX('Inputs'!$B$33,'Inputs'!$B$29+'Inputs'!$B$31+'Inputs'!$B$32,'Inputs'!$B$30+'Inputs'!$B$31+'Inputs'!$B$32)/1000+'Inputs'!$B$21+'Inputs'!$B$9+'Inputs'!$B$10)+'Inputs'!$B$7)^2+('Inputs'!$B$6/2)^2)-(((548-43)*MAX('Inputs'!$B$33,'Inputs'!$B$29+'Inputs'!$B$31+'Inputs'!$B$32,'Inputs'!$B$30+'Inputs'!$B$31+'Inputs'!$B$32)/1000+'Inputs'!$B$21+'Inputs'!$B$9+'Inputs'!$B$10))/SQRT((((548-43)*MAX('Inputs'!$B$33,'Inputs'!$B$29+'Inputs'!$B$31+'Inputs'!$B$32,'Inputs'!$B$30+'Inputs'!$B$31+'Inputs'!$B$32)/1000+'Inputs'!$B$21+'Inputs'!$B$9+'Inputs'!$B$10))^2+('Inputs'!$B$6/2)^2))))*'Results'!$B$8))),"")</x:f>
        <x:v>3.312936223728906</x:v>
      </x:c>
      <x:c r="O548" t="n">
        <x:f>IF(AND(ISNUMBER('Results'!C7),ISNUMBER('Results'!B7),ISNUMBER('Results'!$B$8),ISNUMBER('Inputs'!$B$6),ISNUMBER('Inputs'!$B$7),ISNUMBER('Inputs'!$B$8),ISNUMBER('Inputs'!$B$9),ISNUMBER('Inputs'!$B$10),ISNUMBER('Inputs'!$B$21),ISNUMBER('Inputs'!$B$24),ISNUMBER('Inputs'!$B$28)),((('Results'!C7*(1+'Inputs'!$B$24)*(0.5*((((548-43)*MAX('Inputs'!$B$33,'Inputs'!$B$29+'Inputs'!$B$31+'Inputs'!$B$32,'Inputs'!$B$30+'Inputs'!$B$31+'Inputs'!$B$32)/1000+'Inputs'!$B$21)+'Inputs'!$B$9)/SQRT((((548-43)*MAX('Inputs'!$B$33,'Inputs'!$B$29+'Inputs'!$B$31+'Inputs'!$B$32,'Inputs'!$B$30+'Inputs'!$B$31+'Inputs'!$B$32)/1000+'Inputs'!$B$21)+'Inputs'!$B$9)^2+('Inputs'!$B$8/2)^2)-(((548-43)*MAX('Inputs'!$B$33,'Inputs'!$B$29+'Inputs'!$B$31+'Inputs'!$B$32,'Inputs'!$B$30+'Inputs'!$B$31+'Inputs'!$B$32)/1000+'Inputs'!$B$21))/SQRT((((548-43)*MAX('Inputs'!$B$33,'Inputs'!$B$29+'Inputs'!$B$31+'Inputs'!$B$32,'Inputs'!$B$30+'Inputs'!$B$31+'Inputs'!$B$32)/1000+'Inputs'!$B$21))^2+('Inputs'!$B$8/2)^2)))-'Results'!B7*(1-'Inputs'!$B$24)*(0.5*((((548-43)*MAX('Inputs'!$B$33,'Inputs'!$B$29+'Inputs'!$B$31+'Inputs'!$B$32,'Inputs'!$B$30+'Inputs'!$B$31+'Inputs'!$B$32)/1000+'Inputs'!$B$21+'Inputs'!$B$9+'Inputs'!$B$10)+'Inputs'!$B$7)/SQRT((((548-43)*MAX('Inputs'!$B$33,'Inputs'!$B$29+'Inputs'!$B$31+'Inputs'!$B$32,'Inputs'!$B$30+'Inputs'!$B$31+'Inputs'!$B$32)/1000+'Inputs'!$B$21+'Inputs'!$B$9+'Inputs'!$B$10)+'Inputs'!$B$7)^2+('Inputs'!$B$6/2)^2)-(((548-43)*MAX('Inputs'!$B$33,'Inputs'!$B$29+'Inputs'!$B$31+'Inputs'!$B$32,'Inputs'!$B$30+'Inputs'!$B$31+'Inputs'!$B$32)/1000+'Inputs'!$B$21+'Inputs'!$B$9+'Inputs'!$B$10))/SQRT((((548-43)*MAX('Inputs'!$B$33,'Inputs'!$B$29+'Inputs'!$B$31+'Inputs'!$B$32,'Inputs'!$B$30+'Inputs'!$B$31+'Inputs'!$B$32)/1000+'Inputs'!$B$21+'Inputs'!$B$9+'Inputs'!$B$10))^2+('Inputs'!$B$6/2)^2))))*'Results'!$B$8)+'Inputs'!$B$28*ABS((('Results'!C7*(1+'Inputs'!$B$24)*(0.5*((((548-43)*MAX('Inputs'!$B$33,'Inputs'!$B$29+'Inputs'!$B$31+'Inputs'!$B$32,'Inputs'!$B$30+'Inputs'!$B$31+'Inputs'!$B$32)/1000+'Inputs'!$B$21)+'Inputs'!$B$9)/SQRT((((548-43)*MAX('Inputs'!$B$33,'Inputs'!$B$29+'Inputs'!$B$31+'Inputs'!$B$32,'Inputs'!$B$30+'Inputs'!$B$31+'Inputs'!$B$32)/1000+'Inputs'!$B$21)+'Inputs'!$B$9)^2+('Inputs'!$B$8/2)^2)-(((548-43)*MAX('Inputs'!$B$33,'Inputs'!$B$29+'Inputs'!$B$31+'Inputs'!$B$32,'Inputs'!$B$30+'Inputs'!$B$31+'Inputs'!$B$32)/1000+'Inputs'!$B$21))/SQRT((((548-43)*MAX('Inputs'!$B$33,'Inputs'!$B$29+'Inputs'!$B$31+'Inputs'!$B$32,'Inputs'!$B$30+'Inputs'!$B$31+'Inputs'!$B$32)/1000+'Inputs'!$B$21))^2+('Inputs'!$B$8/2)^2)))-'Results'!B7*(1-'Inputs'!$B$24)*(0.5*((((548-43)*MAX('Inputs'!$B$33,'Inputs'!$B$29+'Inputs'!$B$31+'Inputs'!$B$32,'Inputs'!$B$30+'Inputs'!$B$31+'Inputs'!$B$32)/1000+'Inputs'!$B$21+'Inputs'!$B$9+'Inputs'!$B$10)+'Inputs'!$B$7)/SQRT((((548-43)*MAX('Inputs'!$B$33,'Inputs'!$B$29+'Inputs'!$B$31+'Inputs'!$B$32,'Inputs'!$B$30+'Inputs'!$B$31+'Inputs'!$B$32)/1000+'Inputs'!$B$21+'Inputs'!$B$9+'Inputs'!$B$10)+'Inputs'!$B$7)^2+('Inputs'!$B$6/2)^2)-(((548-43)*MAX('Inputs'!$B$33,'Inputs'!$B$29+'Inputs'!$B$31+'Inputs'!$B$32,'Inputs'!$B$30+'Inputs'!$B$31+'Inputs'!$B$32)/1000+'Inputs'!$B$21+'Inputs'!$B$9+'Inputs'!$B$10))/SQRT((((548-43)*MAX('Inputs'!$B$33,'Inputs'!$B$29+'Inputs'!$B$31+'Inputs'!$B$32,'Inputs'!$B$30+'Inputs'!$B$31+'Inputs'!$B$32)/1000+'Inputs'!$B$21+'Inputs'!$B$9+'Inputs'!$B$10))^2+('Inputs'!$B$6/2)^2))))*'Results'!$B$8))),"")</x:f>
        <x:v>4.238095545086913</x:v>
      </x:c>
      <x:c r="P548" t="n">
        <x:f>IF(AND(MAX(J548,J547)&gt;0,J548&gt;J547+0.00000001),1,0)</x:f>
        <x:v>0</x:v>
      </x:c>
      <x:c r="Q548" t="n">
        <x:f>IF(AND(MAX(K548,K547)&gt;0,K548&gt;K547+0.00000001),1,0)</x:f>
        <x:v>0</x:v>
      </x:c>
      <x:c r="R548" t="n">
        <x:f>IF(AND(MAX(L548,L547)&gt;0,L548&gt;L547+0.00000001),1,0)</x:f>
        <x:v>0</x:v>
      </x:c>
      <x:c r="S548" t="n">
        <x:f>IF(AND(MAX(M548,M547)&gt;0,M548&gt;M547+0.00000001),1,0)</x:f>
        <x:v>0</x:v>
      </x:c>
      <x:c r="T548" t="n">
        <x:f>IF(AND(MAX(N548,N547)&gt;0,N548&gt;N547+0.00000001),1,0)</x:f>
        <x:v>0</x:v>
      </x:c>
      <x:c r="U548" t="n">
        <x:f>IF(AND(MAX(O548,O547)&gt;0,O548&gt;O547+0.00000001),1,0)</x:f>
        <x:v>0</x:v>
      </x:c>
    </x:row>
    <x:row r="549">
      <x:c r="J549" t="n">
        <x:f>IF(AND(ISNUMBER('Results'!B7),ISNUMBER('Results'!C7),ISNUMBER('Results'!$B$8),ISNUMBER('Inputs'!$B$6),ISNUMBER('Inputs'!$B$7),ISNUMBER('Inputs'!$B$8),ISNUMBER('Inputs'!$B$9),ISNUMBER('Inputs'!$B$10),ISNUMBER('Inputs'!$B$21),ISNUMBER('Inputs'!$B$24),ISNUMBER('Inputs'!$B$28)),(('Results'!B7*(0.5*((((549-43)*MAX('Inputs'!$B$33,'Inputs'!$B$29+'Inputs'!$B$31+'Inputs'!$B$32,'Inputs'!$B$30+'Inputs'!$B$31+'Inputs'!$B$32)/1000+'Inputs'!$B$21)+'Inputs'!$B$7)/SQRT((((549-43)*MAX('Inputs'!$B$33,'Inputs'!$B$29+'Inputs'!$B$31+'Inputs'!$B$32,'Inputs'!$B$30+'Inputs'!$B$31+'Inputs'!$B$32)/1000+'Inputs'!$B$21)+'Inputs'!$B$7)^2+('Inputs'!$B$6/2)^2)-(((549-43)*MAX('Inputs'!$B$33,'Inputs'!$B$29+'Inputs'!$B$31+'Inputs'!$B$32,'Inputs'!$B$30+'Inputs'!$B$31+'Inputs'!$B$32)/1000+'Inputs'!$B$21))/SQRT((((549-43)*MAX('Inputs'!$B$33,'Inputs'!$B$29+'Inputs'!$B$31+'Inputs'!$B$32,'Inputs'!$B$30+'Inputs'!$B$31+'Inputs'!$B$32)/1000+'Inputs'!$B$21))^2+('Inputs'!$B$6/2)^2)))-'Results'!C7*(0.5*((((549-43)*MAX('Inputs'!$B$33,'Inputs'!$B$29+'Inputs'!$B$31+'Inputs'!$B$32,'Inputs'!$B$30+'Inputs'!$B$31+'Inputs'!$B$32)/1000+'Inputs'!$B$21+'Inputs'!$B$7+'Inputs'!$B$10)+'Inputs'!$B$9)/SQRT((((549-43)*MAX('Inputs'!$B$33,'Inputs'!$B$29+'Inputs'!$B$31+'Inputs'!$B$32,'Inputs'!$B$30+'Inputs'!$B$31+'Inputs'!$B$32)/1000+'Inputs'!$B$21+'Inputs'!$B$7+'Inputs'!$B$10)+'Inputs'!$B$9)^2+('Inputs'!$B$8/2)^2)-(((549-43)*MAX('Inputs'!$B$33,'Inputs'!$B$29+'Inputs'!$B$31+'Inputs'!$B$32,'Inputs'!$B$30+'Inputs'!$B$31+'Inputs'!$B$32)/1000+'Inputs'!$B$21+'Inputs'!$B$7+'Inputs'!$B$10))/SQRT((((549-43)*MAX('Inputs'!$B$33,'Inputs'!$B$29+'Inputs'!$B$31+'Inputs'!$B$32,'Inputs'!$B$30+'Inputs'!$B$31+'Inputs'!$B$32)/1000+'Inputs'!$B$21+'Inputs'!$B$7+'Inputs'!$B$10))^2+('Inputs'!$B$8/2)^2))))*'Results'!$B$8),"")</x:f>
        <x:v>4.012602509314786</x:v>
      </x:c>
      <x:c r="K549" t="n">
        <x:f>IF(AND(ISNUMBER('Results'!B7),ISNUMBER('Results'!C7),ISNUMBER('Results'!$B$8),ISNUMBER('Inputs'!$B$6),ISNUMBER('Inputs'!$B$7),ISNUMBER('Inputs'!$B$8),ISNUMBER('Inputs'!$B$9),ISNUMBER('Inputs'!$B$10),ISNUMBER('Inputs'!$B$21),ISNUMBER('Inputs'!$B$24),ISNUMBER('Inputs'!$B$28)),((('Results'!B7*(1-'Inputs'!$B$24)*(0.5*((((549-43)*MAX('Inputs'!$B$33,'Inputs'!$B$29+'Inputs'!$B$31+'Inputs'!$B$32,'Inputs'!$B$30+'Inputs'!$B$31+'Inputs'!$B$32)/1000+'Inputs'!$B$21)+'Inputs'!$B$7)/SQRT((((549-43)*MAX('Inputs'!$B$33,'Inputs'!$B$29+'Inputs'!$B$31+'Inputs'!$B$32,'Inputs'!$B$30+'Inputs'!$B$31+'Inputs'!$B$32)/1000+'Inputs'!$B$21)+'Inputs'!$B$7)^2+('Inputs'!$B$6/2)^2)-(((549-43)*MAX('Inputs'!$B$33,'Inputs'!$B$29+'Inputs'!$B$31+'Inputs'!$B$32,'Inputs'!$B$30+'Inputs'!$B$31+'Inputs'!$B$32)/1000+'Inputs'!$B$21))/SQRT((((549-43)*MAX('Inputs'!$B$33,'Inputs'!$B$29+'Inputs'!$B$31+'Inputs'!$B$32,'Inputs'!$B$30+'Inputs'!$B$31+'Inputs'!$B$32)/1000+'Inputs'!$B$21))^2+('Inputs'!$B$6/2)^2)))-'Results'!C7*(1+'Inputs'!$B$24)*(0.5*((((549-43)*MAX('Inputs'!$B$33,'Inputs'!$B$29+'Inputs'!$B$31+'Inputs'!$B$32,'Inputs'!$B$30+'Inputs'!$B$31+'Inputs'!$B$32)/1000+'Inputs'!$B$21+'Inputs'!$B$7+'Inputs'!$B$10)+'Inputs'!$B$9)/SQRT((((549-43)*MAX('Inputs'!$B$33,'Inputs'!$B$29+'Inputs'!$B$31+'Inputs'!$B$32,'Inputs'!$B$30+'Inputs'!$B$31+'Inputs'!$B$32)/1000+'Inputs'!$B$21+'Inputs'!$B$7+'Inputs'!$B$10)+'Inputs'!$B$9)^2+('Inputs'!$B$8/2)^2)-(((549-43)*MAX('Inputs'!$B$33,'Inputs'!$B$29+'Inputs'!$B$31+'Inputs'!$B$32,'Inputs'!$B$30+'Inputs'!$B$31+'Inputs'!$B$32)/1000+'Inputs'!$B$21+'Inputs'!$B$7+'Inputs'!$B$10))/SQRT((((549-43)*MAX('Inputs'!$B$33,'Inputs'!$B$29+'Inputs'!$B$31+'Inputs'!$B$32,'Inputs'!$B$30+'Inputs'!$B$31+'Inputs'!$B$32)/1000+'Inputs'!$B$21+'Inputs'!$B$7+'Inputs'!$B$10))^2+('Inputs'!$B$8/2)^2))))*'Results'!$B$8)-'Inputs'!$B$28*ABS((('Results'!B7*(1-'Inputs'!$B$24)*(0.5*((((549-43)*MAX('Inputs'!$B$33,'Inputs'!$B$29+'Inputs'!$B$31+'Inputs'!$B$32,'Inputs'!$B$30+'Inputs'!$B$31+'Inputs'!$B$32)/1000+'Inputs'!$B$21)+'Inputs'!$B$7)/SQRT((((549-43)*MAX('Inputs'!$B$33,'Inputs'!$B$29+'Inputs'!$B$31+'Inputs'!$B$32,'Inputs'!$B$30+'Inputs'!$B$31+'Inputs'!$B$32)/1000+'Inputs'!$B$21)+'Inputs'!$B$7)^2+('Inputs'!$B$6/2)^2)-(((549-43)*MAX('Inputs'!$B$33,'Inputs'!$B$29+'Inputs'!$B$31+'Inputs'!$B$32,'Inputs'!$B$30+'Inputs'!$B$31+'Inputs'!$B$32)/1000+'Inputs'!$B$21))/SQRT((((549-43)*MAX('Inputs'!$B$33,'Inputs'!$B$29+'Inputs'!$B$31+'Inputs'!$B$32,'Inputs'!$B$30+'Inputs'!$B$31+'Inputs'!$B$32)/1000+'Inputs'!$B$21))^2+('Inputs'!$B$6/2)^2)))-'Results'!C7*(1+'Inputs'!$B$24)*(0.5*((((549-43)*MAX('Inputs'!$B$33,'Inputs'!$B$29+'Inputs'!$B$31+'Inputs'!$B$32,'Inputs'!$B$30+'Inputs'!$B$31+'Inputs'!$B$32)/1000+'Inputs'!$B$21+'Inputs'!$B$7+'Inputs'!$B$10)+'Inputs'!$B$9)/SQRT((((549-43)*MAX('Inputs'!$B$33,'Inputs'!$B$29+'Inputs'!$B$31+'Inputs'!$B$32,'Inputs'!$B$30+'Inputs'!$B$31+'Inputs'!$B$32)/1000+'Inputs'!$B$21+'Inputs'!$B$7+'Inputs'!$B$10)+'Inputs'!$B$9)^2+('Inputs'!$B$8/2)^2)-(((549-43)*MAX('Inputs'!$B$33,'Inputs'!$B$29+'Inputs'!$B$31+'Inputs'!$B$32,'Inputs'!$B$30+'Inputs'!$B$31+'Inputs'!$B$32)/1000+'Inputs'!$B$21+'Inputs'!$B$7+'Inputs'!$B$10))/SQRT((((549-43)*MAX('Inputs'!$B$33,'Inputs'!$B$29+'Inputs'!$B$31+'Inputs'!$B$32,'Inputs'!$B$30+'Inputs'!$B$31+'Inputs'!$B$32)/1000+'Inputs'!$B$21+'Inputs'!$B$7+'Inputs'!$B$10))^2+('Inputs'!$B$8/2)^2))))*'Results'!$B$8))),"")</x:f>
        <x:v>3.5510826238122397</x:v>
      </x:c>
      <x:c r="L549" t="n">
        <x:f>IF(AND(ISNUMBER('Results'!B7),ISNUMBER('Results'!C7),ISNUMBER('Results'!$B$8),ISNUMBER('Inputs'!$B$6),ISNUMBER('Inputs'!$B$7),ISNUMBER('Inputs'!$B$8),ISNUMBER('Inputs'!$B$9),ISNUMBER('Inputs'!$B$10),ISNUMBER('Inputs'!$B$21),ISNUMBER('Inputs'!$B$24),ISNUMBER('Inputs'!$B$28)),((('Results'!B7*(1+'Inputs'!$B$24)*(0.5*((((549-43)*MAX('Inputs'!$B$33,'Inputs'!$B$29+'Inputs'!$B$31+'Inputs'!$B$32,'Inputs'!$B$30+'Inputs'!$B$31+'Inputs'!$B$32)/1000+'Inputs'!$B$21)+'Inputs'!$B$7)/SQRT((((549-43)*MAX('Inputs'!$B$33,'Inputs'!$B$29+'Inputs'!$B$31+'Inputs'!$B$32,'Inputs'!$B$30+'Inputs'!$B$31+'Inputs'!$B$32)/1000+'Inputs'!$B$21)+'Inputs'!$B$7)^2+('Inputs'!$B$6/2)^2)-(((549-43)*MAX('Inputs'!$B$33,'Inputs'!$B$29+'Inputs'!$B$31+'Inputs'!$B$32,'Inputs'!$B$30+'Inputs'!$B$31+'Inputs'!$B$32)/1000+'Inputs'!$B$21))/SQRT((((549-43)*MAX('Inputs'!$B$33,'Inputs'!$B$29+'Inputs'!$B$31+'Inputs'!$B$32,'Inputs'!$B$30+'Inputs'!$B$31+'Inputs'!$B$32)/1000+'Inputs'!$B$21))^2+('Inputs'!$B$6/2)^2)))-'Results'!C7*(1-'Inputs'!$B$24)*(0.5*((((549-43)*MAX('Inputs'!$B$33,'Inputs'!$B$29+'Inputs'!$B$31+'Inputs'!$B$32,'Inputs'!$B$30+'Inputs'!$B$31+'Inputs'!$B$32)/1000+'Inputs'!$B$21+'Inputs'!$B$7+'Inputs'!$B$10)+'Inputs'!$B$9)/SQRT((((549-43)*MAX('Inputs'!$B$33,'Inputs'!$B$29+'Inputs'!$B$31+'Inputs'!$B$32,'Inputs'!$B$30+'Inputs'!$B$31+'Inputs'!$B$32)/1000+'Inputs'!$B$21+'Inputs'!$B$7+'Inputs'!$B$10)+'Inputs'!$B$9)^2+('Inputs'!$B$8/2)^2)-(((549-43)*MAX('Inputs'!$B$33,'Inputs'!$B$29+'Inputs'!$B$31+'Inputs'!$B$32,'Inputs'!$B$30+'Inputs'!$B$31+'Inputs'!$B$32)/1000+'Inputs'!$B$21+'Inputs'!$B$7+'Inputs'!$B$10))/SQRT((((549-43)*MAX('Inputs'!$B$33,'Inputs'!$B$29+'Inputs'!$B$31+'Inputs'!$B$32,'Inputs'!$B$30+'Inputs'!$B$31+'Inputs'!$B$32)/1000+'Inputs'!$B$21+'Inputs'!$B$7+'Inputs'!$B$10))^2+('Inputs'!$B$8/2)^2))))*'Results'!$B$8)+'Inputs'!$B$28*ABS((('Results'!B7*(1+'Inputs'!$B$24)*(0.5*((((549-43)*MAX('Inputs'!$B$33,'Inputs'!$B$29+'Inputs'!$B$31+'Inputs'!$B$32,'Inputs'!$B$30+'Inputs'!$B$31+'Inputs'!$B$32)/1000+'Inputs'!$B$21)+'Inputs'!$B$7)/SQRT((((549-43)*MAX('Inputs'!$B$33,'Inputs'!$B$29+'Inputs'!$B$31+'Inputs'!$B$32,'Inputs'!$B$30+'Inputs'!$B$31+'Inputs'!$B$32)/1000+'Inputs'!$B$21)+'Inputs'!$B$7)^2+('Inputs'!$B$6/2)^2)-(((549-43)*MAX('Inputs'!$B$33,'Inputs'!$B$29+'Inputs'!$B$31+'Inputs'!$B$32,'Inputs'!$B$30+'Inputs'!$B$31+'Inputs'!$B$32)/1000+'Inputs'!$B$21))/SQRT((((549-43)*MAX('Inputs'!$B$33,'Inputs'!$B$29+'Inputs'!$B$31+'Inputs'!$B$32,'Inputs'!$B$30+'Inputs'!$B$31+'Inputs'!$B$32)/1000+'Inputs'!$B$21))^2+('Inputs'!$B$6/2)^2)))-'Results'!C7*(1-'Inputs'!$B$24)*(0.5*((((549-43)*MAX('Inputs'!$B$33,'Inputs'!$B$29+'Inputs'!$B$31+'Inputs'!$B$32,'Inputs'!$B$30+'Inputs'!$B$31+'Inputs'!$B$32)/1000+'Inputs'!$B$21+'Inputs'!$B$7+'Inputs'!$B$10)+'Inputs'!$B$9)/SQRT((((549-43)*MAX('Inputs'!$B$33,'Inputs'!$B$29+'Inputs'!$B$31+'Inputs'!$B$32,'Inputs'!$B$30+'Inputs'!$B$31+'Inputs'!$B$32)/1000+'Inputs'!$B$21+'Inputs'!$B$7+'Inputs'!$B$10)+'Inputs'!$B$9)^2+('Inputs'!$B$8/2)^2)-(((549-43)*MAX('Inputs'!$B$33,'Inputs'!$B$29+'Inputs'!$B$31+'Inputs'!$B$32,'Inputs'!$B$30+'Inputs'!$B$31+'Inputs'!$B$32)/1000+'Inputs'!$B$21+'Inputs'!$B$7+'Inputs'!$B$10))/SQRT((((549-43)*MAX('Inputs'!$B$33,'Inputs'!$B$29+'Inputs'!$B$31+'Inputs'!$B$32,'Inputs'!$B$30+'Inputs'!$B$31+'Inputs'!$B$32)/1000+'Inputs'!$B$21+'Inputs'!$B$7+'Inputs'!$B$10))^2+('Inputs'!$B$8/2)^2))))*'Results'!$B$8))),"")</x:f>
        <x:v>4.501584474821207</x:v>
      </x:c>
      <x:c r="M549" t="n">
        <x:f>IF(AND(ISNUMBER('Results'!C7),ISNUMBER('Results'!B7),ISNUMBER('Results'!$B$8),ISNUMBER('Inputs'!$B$6),ISNUMBER('Inputs'!$B$7),ISNUMBER('Inputs'!$B$8),ISNUMBER('Inputs'!$B$9),ISNUMBER('Inputs'!$B$10),ISNUMBER('Inputs'!$B$21),ISNUMBER('Inputs'!$B$24),ISNUMBER('Inputs'!$B$28)),(('Results'!C7*(0.5*((((549-43)*MAX('Inputs'!$B$33,'Inputs'!$B$29+'Inputs'!$B$31+'Inputs'!$B$32,'Inputs'!$B$30+'Inputs'!$B$31+'Inputs'!$B$32)/1000+'Inputs'!$B$21)+'Inputs'!$B$9)/SQRT((((549-43)*MAX('Inputs'!$B$33,'Inputs'!$B$29+'Inputs'!$B$31+'Inputs'!$B$32,'Inputs'!$B$30+'Inputs'!$B$31+'Inputs'!$B$32)/1000+'Inputs'!$B$21)+'Inputs'!$B$9)^2+('Inputs'!$B$8/2)^2)-(((549-43)*MAX('Inputs'!$B$33,'Inputs'!$B$29+'Inputs'!$B$31+'Inputs'!$B$32,'Inputs'!$B$30+'Inputs'!$B$31+'Inputs'!$B$32)/1000+'Inputs'!$B$21))/SQRT((((549-43)*MAX('Inputs'!$B$33,'Inputs'!$B$29+'Inputs'!$B$31+'Inputs'!$B$32,'Inputs'!$B$30+'Inputs'!$B$31+'Inputs'!$B$32)/1000+'Inputs'!$B$21))^2+('Inputs'!$B$8/2)^2)))-'Results'!B7*(0.5*((((549-43)*MAX('Inputs'!$B$33,'Inputs'!$B$29+'Inputs'!$B$31+'Inputs'!$B$32,'Inputs'!$B$30+'Inputs'!$B$31+'Inputs'!$B$32)/1000+'Inputs'!$B$21+'Inputs'!$B$9+'Inputs'!$B$10)+'Inputs'!$B$7)/SQRT((((549-43)*MAX('Inputs'!$B$33,'Inputs'!$B$29+'Inputs'!$B$31+'Inputs'!$B$32,'Inputs'!$B$30+'Inputs'!$B$31+'Inputs'!$B$32)/1000+'Inputs'!$B$21+'Inputs'!$B$9+'Inputs'!$B$10)+'Inputs'!$B$7)^2+('Inputs'!$B$6/2)^2)-(((549-43)*MAX('Inputs'!$B$33,'Inputs'!$B$29+'Inputs'!$B$31+'Inputs'!$B$32,'Inputs'!$B$30+'Inputs'!$B$31+'Inputs'!$B$32)/1000+'Inputs'!$B$21+'Inputs'!$B$9+'Inputs'!$B$10))/SQRT((((549-43)*MAX('Inputs'!$B$33,'Inputs'!$B$29+'Inputs'!$B$31+'Inputs'!$B$32,'Inputs'!$B$30+'Inputs'!$B$31+'Inputs'!$B$32)/1000+'Inputs'!$B$21+'Inputs'!$B$9+'Inputs'!$B$10))^2+('Inputs'!$B$6/2)^2))))*'Results'!$B$8),"")</x:f>
        <x:v>3.735998354685712</x:v>
      </x:c>
      <x:c r="N549" t="n">
        <x:f>IF(AND(ISNUMBER('Results'!C7),ISNUMBER('Results'!B7),ISNUMBER('Results'!$B$8),ISNUMBER('Inputs'!$B$6),ISNUMBER('Inputs'!$B$7),ISNUMBER('Inputs'!$B$8),ISNUMBER('Inputs'!$B$9),ISNUMBER('Inputs'!$B$10),ISNUMBER('Inputs'!$B$21),ISNUMBER('Inputs'!$B$24),ISNUMBER('Inputs'!$B$28)),((('Results'!C7*(1-'Inputs'!$B$24)*(0.5*((((549-43)*MAX('Inputs'!$B$33,'Inputs'!$B$29+'Inputs'!$B$31+'Inputs'!$B$32,'Inputs'!$B$30+'Inputs'!$B$31+'Inputs'!$B$32)/1000+'Inputs'!$B$21)+'Inputs'!$B$9)/SQRT((((549-43)*MAX('Inputs'!$B$33,'Inputs'!$B$29+'Inputs'!$B$31+'Inputs'!$B$32,'Inputs'!$B$30+'Inputs'!$B$31+'Inputs'!$B$32)/1000+'Inputs'!$B$21)+'Inputs'!$B$9)^2+('Inputs'!$B$8/2)^2)-(((549-43)*MAX('Inputs'!$B$33,'Inputs'!$B$29+'Inputs'!$B$31+'Inputs'!$B$32,'Inputs'!$B$30+'Inputs'!$B$31+'Inputs'!$B$32)/1000+'Inputs'!$B$21))/SQRT((((549-43)*MAX('Inputs'!$B$33,'Inputs'!$B$29+'Inputs'!$B$31+'Inputs'!$B$32,'Inputs'!$B$30+'Inputs'!$B$31+'Inputs'!$B$32)/1000+'Inputs'!$B$21))^2+('Inputs'!$B$8/2)^2)))-'Results'!B7*(1+'Inputs'!$B$24)*(0.5*((((549-43)*MAX('Inputs'!$B$33,'Inputs'!$B$29+'Inputs'!$B$31+'Inputs'!$B$32,'Inputs'!$B$30+'Inputs'!$B$31+'Inputs'!$B$32)/1000+'Inputs'!$B$21+'Inputs'!$B$9+'Inputs'!$B$10)+'Inputs'!$B$7)/SQRT((((549-43)*MAX('Inputs'!$B$33,'Inputs'!$B$29+'Inputs'!$B$31+'Inputs'!$B$32,'Inputs'!$B$30+'Inputs'!$B$31+'Inputs'!$B$32)/1000+'Inputs'!$B$21+'Inputs'!$B$9+'Inputs'!$B$10)+'Inputs'!$B$7)^2+('Inputs'!$B$6/2)^2)-(((549-43)*MAX('Inputs'!$B$33,'Inputs'!$B$29+'Inputs'!$B$31+'Inputs'!$B$32,'Inputs'!$B$30+'Inputs'!$B$31+'Inputs'!$B$32)/1000+'Inputs'!$B$21+'Inputs'!$B$9+'Inputs'!$B$10))/SQRT((((549-43)*MAX('Inputs'!$B$33,'Inputs'!$B$29+'Inputs'!$B$31+'Inputs'!$B$32,'Inputs'!$B$30+'Inputs'!$B$31+'Inputs'!$B$32)/1000+'Inputs'!$B$21+'Inputs'!$B$9+'Inputs'!$B$10))^2+('Inputs'!$B$6/2)^2))))*'Results'!$B$8)-'Inputs'!$B$28*ABS((('Results'!C7*(1-'Inputs'!$B$24)*(0.5*((((549-43)*MAX('Inputs'!$B$33,'Inputs'!$B$29+'Inputs'!$B$31+'Inputs'!$B$32,'Inputs'!$B$30+'Inputs'!$B$31+'Inputs'!$B$32)/1000+'Inputs'!$B$21)+'Inputs'!$B$9)/SQRT((((549-43)*MAX('Inputs'!$B$33,'Inputs'!$B$29+'Inputs'!$B$31+'Inputs'!$B$32,'Inputs'!$B$30+'Inputs'!$B$31+'Inputs'!$B$32)/1000+'Inputs'!$B$21)+'Inputs'!$B$9)^2+('Inputs'!$B$8/2)^2)-(((549-43)*MAX('Inputs'!$B$33,'Inputs'!$B$29+'Inputs'!$B$31+'Inputs'!$B$32,'Inputs'!$B$30+'Inputs'!$B$31+'Inputs'!$B$32)/1000+'Inputs'!$B$21))/SQRT((((549-43)*MAX('Inputs'!$B$33,'Inputs'!$B$29+'Inputs'!$B$31+'Inputs'!$B$32,'Inputs'!$B$30+'Inputs'!$B$31+'Inputs'!$B$32)/1000+'Inputs'!$B$21))^2+('Inputs'!$B$8/2)^2)))-'Results'!B7*(1+'Inputs'!$B$24)*(0.5*((((549-43)*MAX('Inputs'!$B$33,'Inputs'!$B$29+'Inputs'!$B$31+'Inputs'!$B$32,'Inputs'!$B$30+'Inputs'!$B$31+'Inputs'!$B$32)/1000+'Inputs'!$B$21+'Inputs'!$B$9+'Inputs'!$B$10)+'Inputs'!$B$7)/SQRT((((549-43)*MAX('Inputs'!$B$33,'Inputs'!$B$29+'Inputs'!$B$31+'Inputs'!$B$32,'Inputs'!$B$30+'Inputs'!$B$31+'Inputs'!$B$32)/1000+'Inputs'!$B$21+'Inputs'!$B$9+'Inputs'!$B$10)+'Inputs'!$B$7)^2+('Inputs'!$B$6/2)^2)-(((549-43)*MAX('Inputs'!$B$33,'Inputs'!$B$29+'Inputs'!$B$31+'Inputs'!$B$32,'Inputs'!$B$30+'Inputs'!$B$31+'Inputs'!$B$32)/1000+'Inputs'!$B$21+'Inputs'!$B$9+'Inputs'!$B$10))/SQRT((((549-43)*MAX('Inputs'!$B$33,'Inputs'!$B$29+'Inputs'!$B$31+'Inputs'!$B$32,'Inputs'!$B$30+'Inputs'!$B$31+'Inputs'!$B$32)/1000+'Inputs'!$B$21+'Inputs'!$B$9+'Inputs'!$B$10))^2+('Inputs'!$B$6/2)^2))))*'Results'!$B$8))),"")</x:f>
        <x:v>3.289795782130943</x:v>
      </x:c>
      <x:c r="O549" t="n">
        <x:f>IF(AND(ISNUMBER('Results'!C7),ISNUMBER('Results'!B7),ISNUMBER('Results'!$B$8),ISNUMBER('Inputs'!$B$6),ISNUMBER('Inputs'!$B$7),ISNUMBER('Inputs'!$B$8),ISNUMBER('Inputs'!$B$9),ISNUMBER('Inputs'!$B$10),ISNUMBER('Inputs'!$B$21),ISNUMBER('Inputs'!$B$24),ISNUMBER('Inputs'!$B$28)),((('Results'!C7*(1+'Inputs'!$B$24)*(0.5*((((549-43)*MAX('Inputs'!$B$33,'Inputs'!$B$29+'Inputs'!$B$31+'Inputs'!$B$32,'Inputs'!$B$30+'Inputs'!$B$31+'Inputs'!$B$32)/1000+'Inputs'!$B$21)+'Inputs'!$B$9)/SQRT((((549-43)*MAX('Inputs'!$B$33,'Inputs'!$B$29+'Inputs'!$B$31+'Inputs'!$B$32,'Inputs'!$B$30+'Inputs'!$B$31+'Inputs'!$B$32)/1000+'Inputs'!$B$21)+'Inputs'!$B$9)^2+('Inputs'!$B$8/2)^2)-(((549-43)*MAX('Inputs'!$B$33,'Inputs'!$B$29+'Inputs'!$B$31+'Inputs'!$B$32,'Inputs'!$B$30+'Inputs'!$B$31+'Inputs'!$B$32)/1000+'Inputs'!$B$21))/SQRT((((549-43)*MAX('Inputs'!$B$33,'Inputs'!$B$29+'Inputs'!$B$31+'Inputs'!$B$32,'Inputs'!$B$30+'Inputs'!$B$31+'Inputs'!$B$32)/1000+'Inputs'!$B$21))^2+('Inputs'!$B$8/2)^2)))-'Results'!B7*(1-'Inputs'!$B$24)*(0.5*((((549-43)*MAX('Inputs'!$B$33,'Inputs'!$B$29+'Inputs'!$B$31+'Inputs'!$B$32,'Inputs'!$B$30+'Inputs'!$B$31+'Inputs'!$B$32)/1000+'Inputs'!$B$21+'Inputs'!$B$9+'Inputs'!$B$10)+'Inputs'!$B$7)/SQRT((((549-43)*MAX('Inputs'!$B$33,'Inputs'!$B$29+'Inputs'!$B$31+'Inputs'!$B$32,'Inputs'!$B$30+'Inputs'!$B$31+'Inputs'!$B$32)/1000+'Inputs'!$B$21+'Inputs'!$B$9+'Inputs'!$B$10)+'Inputs'!$B$7)^2+('Inputs'!$B$6/2)^2)-(((549-43)*MAX('Inputs'!$B$33,'Inputs'!$B$29+'Inputs'!$B$31+'Inputs'!$B$32,'Inputs'!$B$30+'Inputs'!$B$31+'Inputs'!$B$32)/1000+'Inputs'!$B$21+'Inputs'!$B$9+'Inputs'!$B$10))/SQRT((((549-43)*MAX('Inputs'!$B$33,'Inputs'!$B$29+'Inputs'!$B$31+'Inputs'!$B$32,'Inputs'!$B$30+'Inputs'!$B$31+'Inputs'!$B$32)/1000+'Inputs'!$B$21+'Inputs'!$B$9+'Inputs'!$B$10))^2+('Inputs'!$B$6/2)^2))))*'Results'!$B$8)+'Inputs'!$B$28*ABS((('Results'!C7*(1+'Inputs'!$B$24)*(0.5*((((549-43)*MAX('Inputs'!$B$33,'Inputs'!$B$29+'Inputs'!$B$31+'Inputs'!$B$32,'Inputs'!$B$30+'Inputs'!$B$31+'Inputs'!$B$32)/1000+'Inputs'!$B$21)+'Inputs'!$B$9)/SQRT((((549-43)*MAX('Inputs'!$B$33,'Inputs'!$B$29+'Inputs'!$B$31+'Inputs'!$B$32,'Inputs'!$B$30+'Inputs'!$B$31+'Inputs'!$B$32)/1000+'Inputs'!$B$21)+'Inputs'!$B$9)^2+('Inputs'!$B$8/2)^2)-(((549-43)*MAX('Inputs'!$B$33,'Inputs'!$B$29+'Inputs'!$B$31+'Inputs'!$B$32,'Inputs'!$B$30+'Inputs'!$B$31+'Inputs'!$B$32)/1000+'Inputs'!$B$21))/SQRT((((549-43)*MAX('Inputs'!$B$33,'Inputs'!$B$29+'Inputs'!$B$31+'Inputs'!$B$32,'Inputs'!$B$30+'Inputs'!$B$31+'Inputs'!$B$32)/1000+'Inputs'!$B$21))^2+('Inputs'!$B$8/2)^2)))-'Results'!B7*(1-'Inputs'!$B$24)*(0.5*((((549-43)*MAX('Inputs'!$B$33,'Inputs'!$B$29+'Inputs'!$B$31+'Inputs'!$B$32,'Inputs'!$B$30+'Inputs'!$B$31+'Inputs'!$B$32)/1000+'Inputs'!$B$21+'Inputs'!$B$9+'Inputs'!$B$10)+'Inputs'!$B$7)/SQRT((((549-43)*MAX('Inputs'!$B$33,'Inputs'!$B$29+'Inputs'!$B$31+'Inputs'!$B$32,'Inputs'!$B$30+'Inputs'!$B$31+'Inputs'!$B$32)/1000+'Inputs'!$B$21+'Inputs'!$B$9+'Inputs'!$B$10)+'Inputs'!$B$7)^2+('Inputs'!$B$6/2)^2)-(((549-43)*MAX('Inputs'!$B$33,'Inputs'!$B$29+'Inputs'!$B$31+'Inputs'!$B$32,'Inputs'!$B$30+'Inputs'!$B$31+'Inputs'!$B$32)/1000+'Inputs'!$B$21+'Inputs'!$B$9+'Inputs'!$B$10))/SQRT((((549-43)*MAX('Inputs'!$B$33,'Inputs'!$B$29+'Inputs'!$B$31+'Inputs'!$B$32,'Inputs'!$B$30+'Inputs'!$B$31+'Inputs'!$B$32)/1000+'Inputs'!$B$21+'Inputs'!$B$9+'Inputs'!$B$10))^2+('Inputs'!$B$6/2)^2))))*'Results'!$B$8))),"")</x:f>
        <x:v>4.209506469853163</x:v>
      </x:c>
      <x:c r="P549" t="n">
        <x:f>IF(AND(MAX(J549,J548)&gt;0,J549&gt;J548+0.00000001),1,0)</x:f>
        <x:v>0</x:v>
      </x:c>
      <x:c r="Q549" t="n">
        <x:f>IF(AND(MAX(K549,K548)&gt;0,K549&gt;K548+0.00000001),1,0)</x:f>
        <x:v>0</x:v>
      </x:c>
      <x:c r="R549" t="n">
        <x:f>IF(AND(MAX(L549,L548)&gt;0,L549&gt;L548+0.00000001),1,0)</x:f>
        <x:v>0</x:v>
      </x:c>
      <x:c r="S549" t="n">
        <x:f>IF(AND(MAX(M549,M548)&gt;0,M549&gt;M548+0.00000001),1,0)</x:f>
        <x:v>0</x:v>
      </x:c>
      <x:c r="T549" t="n">
        <x:f>IF(AND(MAX(N549,N548)&gt;0,N549&gt;N548+0.00000001),1,0)</x:f>
        <x:v>0</x:v>
      </x:c>
      <x:c r="U549" t="n">
        <x:f>IF(AND(MAX(O549,O548)&gt;0,O549&gt;O548+0.00000001),1,0)</x:f>
        <x:v>0</x:v>
      </x:c>
    </x:row>
    <x:row r="550">
      <x:c r="J550" t="n">
        <x:f>IF(AND(ISNUMBER('Results'!B7),ISNUMBER('Results'!C7),ISNUMBER('Results'!$B$8),ISNUMBER('Inputs'!$B$6),ISNUMBER('Inputs'!$B$7),ISNUMBER('Inputs'!$B$8),ISNUMBER('Inputs'!$B$9),ISNUMBER('Inputs'!$B$10),ISNUMBER('Inputs'!$B$21),ISNUMBER('Inputs'!$B$24),ISNUMBER('Inputs'!$B$28)),(('Results'!B7*(0.5*((((550-43)*MAX('Inputs'!$B$33,'Inputs'!$B$29+'Inputs'!$B$31+'Inputs'!$B$32,'Inputs'!$B$30+'Inputs'!$B$31+'Inputs'!$B$32)/1000+'Inputs'!$B$21)+'Inputs'!$B$7)/SQRT((((550-43)*MAX('Inputs'!$B$33,'Inputs'!$B$29+'Inputs'!$B$31+'Inputs'!$B$32,'Inputs'!$B$30+'Inputs'!$B$31+'Inputs'!$B$32)/1000+'Inputs'!$B$21)+'Inputs'!$B$7)^2+('Inputs'!$B$6/2)^2)-(((550-43)*MAX('Inputs'!$B$33,'Inputs'!$B$29+'Inputs'!$B$31+'Inputs'!$B$32,'Inputs'!$B$30+'Inputs'!$B$31+'Inputs'!$B$32)/1000+'Inputs'!$B$21))/SQRT((((550-43)*MAX('Inputs'!$B$33,'Inputs'!$B$29+'Inputs'!$B$31+'Inputs'!$B$32,'Inputs'!$B$30+'Inputs'!$B$31+'Inputs'!$B$32)/1000+'Inputs'!$B$21))^2+('Inputs'!$B$6/2)^2)))-'Results'!C7*(0.5*((((550-43)*MAX('Inputs'!$B$33,'Inputs'!$B$29+'Inputs'!$B$31+'Inputs'!$B$32,'Inputs'!$B$30+'Inputs'!$B$31+'Inputs'!$B$32)/1000+'Inputs'!$B$21+'Inputs'!$B$7+'Inputs'!$B$10)+'Inputs'!$B$9)/SQRT((((550-43)*MAX('Inputs'!$B$33,'Inputs'!$B$29+'Inputs'!$B$31+'Inputs'!$B$32,'Inputs'!$B$30+'Inputs'!$B$31+'Inputs'!$B$32)/1000+'Inputs'!$B$21+'Inputs'!$B$7+'Inputs'!$B$10)+'Inputs'!$B$9)^2+('Inputs'!$B$8/2)^2)-(((550-43)*MAX('Inputs'!$B$33,'Inputs'!$B$29+'Inputs'!$B$31+'Inputs'!$B$32,'Inputs'!$B$30+'Inputs'!$B$31+'Inputs'!$B$32)/1000+'Inputs'!$B$21+'Inputs'!$B$7+'Inputs'!$B$10))/SQRT((((550-43)*MAX('Inputs'!$B$33,'Inputs'!$B$29+'Inputs'!$B$31+'Inputs'!$B$32,'Inputs'!$B$30+'Inputs'!$B$31+'Inputs'!$B$32)/1000+'Inputs'!$B$21+'Inputs'!$B$7+'Inputs'!$B$10))^2+('Inputs'!$B$8/2)^2))))*'Results'!$B$8),"")</x:f>
        <x:v>3.9855846061957374</x:v>
      </x:c>
      <x:c r="K550" t="n">
        <x:f>IF(AND(ISNUMBER('Results'!B7),ISNUMBER('Results'!C7),ISNUMBER('Results'!$B$8),ISNUMBER('Inputs'!$B$6),ISNUMBER('Inputs'!$B$7),ISNUMBER('Inputs'!$B$8),ISNUMBER('Inputs'!$B$9),ISNUMBER('Inputs'!$B$10),ISNUMBER('Inputs'!$B$21),ISNUMBER('Inputs'!$B$24),ISNUMBER('Inputs'!$B$28)),((('Results'!B7*(1-'Inputs'!$B$24)*(0.5*((((550-43)*MAX('Inputs'!$B$33,'Inputs'!$B$29+'Inputs'!$B$31+'Inputs'!$B$32,'Inputs'!$B$30+'Inputs'!$B$31+'Inputs'!$B$32)/1000+'Inputs'!$B$21)+'Inputs'!$B$7)/SQRT((((550-43)*MAX('Inputs'!$B$33,'Inputs'!$B$29+'Inputs'!$B$31+'Inputs'!$B$32,'Inputs'!$B$30+'Inputs'!$B$31+'Inputs'!$B$32)/1000+'Inputs'!$B$21)+'Inputs'!$B$7)^2+('Inputs'!$B$6/2)^2)-(((550-43)*MAX('Inputs'!$B$33,'Inputs'!$B$29+'Inputs'!$B$31+'Inputs'!$B$32,'Inputs'!$B$30+'Inputs'!$B$31+'Inputs'!$B$32)/1000+'Inputs'!$B$21))/SQRT((((550-43)*MAX('Inputs'!$B$33,'Inputs'!$B$29+'Inputs'!$B$31+'Inputs'!$B$32,'Inputs'!$B$30+'Inputs'!$B$31+'Inputs'!$B$32)/1000+'Inputs'!$B$21))^2+('Inputs'!$B$6/2)^2)))-'Results'!C7*(1+'Inputs'!$B$24)*(0.5*((((550-43)*MAX('Inputs'!$B$33,'Inputs'!$B$29+'Inputs'!$B$31+'Inputs'!$B$32,'Inputs'!$B$30+'Inputs'!$B$31+'Inputs'!$B$32)/1000+'Inputs'!$B$21+'Inputs'!$B$7+'Inputs'!$B$10)+'Inputs'!$B$9)/SQRT((((550-43)*MAX('Inputs'!$B$33,'Inputs'!$B$29+'Inputs'!$B$31+'Inputs'!$B$32,'Inputs'!$B$30+'Inputs'!$B$31+'Inputs'!$B$32)/1000+'Inputs'!$B$21+'Inputs'!$B$7+'Inputs'!$B$10)+'Inputs'!$B$9)^2+('Inputs'!$B$8/2)^2)-(((550-43)*MAX('Inputs'!$B$33,'Inputs'!$B$29+'Inputs'!$B$31+'Inputs'!$B$32,'Inputs'!$B$30+'Inputs'!$B$31+'Inputs'!$B$32)/1000+'Inputs'!$B$21+'Inputs'!$B$7+'Inputs'!$B$10))/SQRT((((550-43)*MAX('Inputs'!$B$33,'Inputs'!$B$29+'Inputs'!$B$31+'Inputs'!$B$32,'Inputs'!$B$30+'Inputs'!$B$31+'Inputs'!$B$32)/1000+'Inputs'!$B$21+'Inputs'!$B$7+'Inputs'!$B$10))^2+('Inputs'!$B$8/2)^2))))*'Results'!$B$8)-'Inputs'!$B$28*ABS((('Results'!B7*(1-'Inputs'!$B$24)*(0.5*((((550-43)*MAX('Inputs'!$B$33,'Inputs'!$B$29+'Inputs'!$B$31+'Inputs'!$B$32,'Inputs'!$B$30+'Inputs'!$B$31+'Inputs'!$B$32)/1000+'Inputs'!$B$21)+'Inputs'!$B$7)/SQRT((((550-43)*MAX('Inputs'!$B$33,'Inputs'!$B$29+'Inputs'!$B$31+'Inputs'!$B$32,'Inputs'!$B$30+'Inputs'!$B$31+'Inputs'!$B$32)/1000+'Inputs'!$B$21)+'Inputs'!$B$7)^2+('Inputs'!$B$6/2)^2)-(((550-43)*MAX('Inputs'!$B$33,'Inputs'!$B$29+'Inputs'!$B$31+'Inputs'!$B$32,'Inputs'!$B$30+'Inputs'!$B$31+'Inputs'!$B$32)/1000+'Inputs'!$B$21))/SQRT((((550-43)*MAX('Inputs'!$B$33,'Inputs'!$B$29+'Inputs'!$B$31+'Inputs'!$B$32,'Inputs'!$B$30+'Inputs'!$B$31+'Inputs'!$B$32)/1000+'Inputs'!$B$21))^2+('Inputs'!$B$6/2)^2)))-'Results'!C7*(1+'Inputs'!$B$24)*(0.5*((((550-43)*MAX('Inputs'!$B$33,'Inputs'!$B$29+'Inputs'!$B$31+'Inputs'!$B$32,'Inputs'!$B$30+'Inputs'!$B$31+'Inputs'!$B$32)/1000+'Inputs'!$B$21+'Inputs'!$B$7+'Inputs'!$B$10)+'Inputs'!$B$9)/SQRT((((550-43)*MAX('Inputs'!$B$33,'Inputs'!$B$29+'Inputs'!$B$31+'Inputs'!$B$32,'Inputs'!$B$30+'Inputs'!$B$31+'Inputs'!$B$32)/1000+'Inputs'!$B$21+'Inputs'!$B$7+'Inputs'!$B$10)+'Inputs'!$B$9)^2+('Inputs'!$B$8/2)^2)-(((550-43)*MAX('Inputs'!$B$33,'Inputs'!$B$29+'Inputs'!$B$31+'Inputs'!$B$32,'Inputs'!$B$30+'Inputs'!$B$31+'Inputs'!$B$32)/1000+'Inputs'!$B$21+'Inputs'!$B$7+'Inputs'!$B$10))/SQRT((((550-43)*MAX('Inputs'!$B$33,'Inputs'!$B$29+'Inputs'!$B$31+'Inputs'!$B$32,'Inputs'!$B$30+'Inputs'!$B$31+'Inputs'!$B$32)/1000+'Inputs'!$B$21+'Inputs'!$B$7+'Inputs'!$B$10))^2+('Inputs'!$B$8/2)^2))))*'Results'!$B$8))),"")</x:f>
        <x:v>3.5267791308521304</x:v>
      </x:c>
      <x:c r="L550" t="n">
        <x:f>IF(AND(ISNUMBER('Results'!B7),ISNUMBER('Results'!C7),ISNUMBER('Results'!$B$8),ISNUMBER('Inputs'!$B$6),ISNUMBER('Inputs'!$B$7),ISNUMBER('Inputs'!$B$8),ISNUMBER('Inputs'!$B$9),ISNUMBER('Inputs'!$B$10),ISNUMBER('Inputs'!$B$21),ISNUMBER('Inputs'!$B$24),ISNUMBER('Inputs'!$B$28)),((('Results'!B7*(1+'Inputs'!$B$24)*(0.5*((((550-43)*MAX('Inputs'!$B$33,'Inputs'!$B$29+'Inputs'!$B$31+'Inputs'!$B$32,'Inputs'!$B$30+'Inputs'!$B$31+'Inputs'!$B$32)/1000+'Inputs'!$B$21)+'Inputs'!$B$7)/SQRT((((550-43)*MAX('Inputs'!$B$33,'Inputs'!$B$29+'Inputs'!$B$31+'Inputs'!$B$32,'Inputs'!$B$30+'Inputs'!$B$31+'Inputs'!$B$32)/1000+'Inputs'!$B$21)+'Inputs'!$B$7)^2+('Inputs'!$B$6/2)^2)-(((550-43)*MAX('Inputs'!$B$33,'Inputs'!$B$29+'Inputs'!$B$31+'Inputs'!$B$32,'Inputs'!$B$30+'Inputs'!$B$31+'Inputs'!$B$32)/1000+'Inputs'!$B$21))/SQRT((((550-43)*MAX('Inputs'!$B$33,'Inputs'!$B$29+'Inputs'!$B$31+'Inputs'!$B$32,'Inputs'!$B$30+'Inputs'!$B$31+'Inputs'!$B$32)/1000+'Inputs'!$B$21))^2+('Inputs'!$B$6/2)^2)))-'Results'!C7*(1-'Inputs'!$B$24)*(0.5*((((550-43)*MAX('Inputs'!$B$33,'Inputs'!$B$29+'Inputs'!$B$31+'Inputs'!$B$32,'Inputs'!$B$30+'Inputs'!$B$31+'Inputs'!$B$32)/1000+'Inputs'!$B$21+'Inputs'!$B$7+'Inputs'!$B$10)+'Inputs'!$B$9)/SQRT((((550-43)*MAX('Inputs'!$B$33,'Inputs'!$B$29+'Inputs'!$B$31+'Inputs'!$B$32,'Inputs'!$B$30+'Inputs'!$B$31+'Inputs'!$B$32)/1000+'Inputs'!$B$21+'Inputs'!$B$7+'Inputs'!$B$10)+'Inputs'!$B$9)^2+('Inputs'!$B$8/2)^2)-(((550-43)*MAX('Inputs'!$B$33,'Inputs'!$B$29+'Inputs'!$B$31+'Inputs'!$B$32,'Inputs'!$B$30+'Inputs'!$B$31+'Inputs'!$B$32)/1000+'Inputs'!$B$21+'Inputs'!$B$7+'Inputs'!$B$10))/SQRT((((550-43)*MAX('Inputs'!$B$33,'Inputs'!$B$29+'Inputs'!$B$31+'Inputs'!$B$32,'Inputs'!$B$30+'Inputs'!$B$31+'Inputs'!$B$32)/1000+'Inputs'!$B$21+'Inputs'!$B$7+'Inputs'!$B$10))^2+('Inputs'!$B$8/2)^2))))*'Results'!$B$8)+'Inputs'!$B$28*ABS((('Results'!B7*(1+'Inputs'!$B$24)*(0.5*((((550-43)*MAX('Inputs'!$B$33,'Inputs'!$B$29+'Inputs'!$B$31+'Inputs'!$B$32,'Inputs'!$B$30+'Inputs'!$B$31+'Inputs'!$B$32)/1000+'Inputs'!$B$21)+'Inputs'!$B$7)/SQRT((((550-43)*MAX('Inputs'!$B$33,'Inputs'!$B$29+'Inputs'!$B$31+'Inputs'!$B$32,'Inputs'!$B$30+'Inputs'!$B$31+'Inputs'!$B$32)/1000+'Inputs'!$B$21)+'Inputs'!$B$7)^2+('Inputs'!$B$6/2)^2)-(((550-43)*MAX('Inputs'!$B$33,'Inputs'!$B$29+'Inputs'!$B$31+'Inputs'!$B$32,'Inputs'!$B$30+'Inputs'!$B$31+'Inputs'!$B$32)/1000+'Inputs'!$B$21))/SQRT((((550-43)*MAX('Inputs'!$B$33,'Inputs'!$B$29+'Inputs'!$B$31+'Inputs'!$B$32,'Inputs'!$B$30+'Inputs'!$B$31+'Inputs'!$B$32)/1000+'Inputs'!$B$21))^2+('Inputs'!$B$6/2)^2)))-'Results'!C7*(1-'Inputs'!$B$24)*(0.5*((((550-43)*MAX('Inputs'!$B$33,'Inputs'!$B$29+'Inputs'!$B$31+'Inputs'!$B$32,'Inputs'!$B$30+'Inputs'!$B$31+'Inputs'!$B$32)/1000+'Inputs'!$B$21+'Inputs'!$B$7+'Inputs'!$B$10)+'Inputs'!$B$9)/SQRT((((550-43)*MAX('Inputs'!$B$33,'Inputs'!$B$29+'Inputs'!$B$31+'Inputs'!$B$32,'Inputs'!$B$30+'Inputs'!$B$31+'Inputs'!$B$32)/1000+'Inputs'!$B$21+'Inputs'!$B$7+'Inputs'!$B$10)+'Inputs'!$B$9)^2+('Inputs'!$B$8/2)^2)-(((550-43)*MAX('Inputs'!$B$33,'Inputs'!$B$29+'Inputs'!$B$31+'Inputs'!$B$32,'Inputs'!$B$30+'Inputs'!$B$31+'Inputs'!$B$32)/1000+'Inputs'!$B$21+'Inputs'!$B$7+'Inputs'!$B$10))/SQRT((((550-43)*MAX('Inputs'!$B$33,'Inputs'!$B$29+'Inputs'!$B$31+'Inputs'!$B$32,'Inputs'!$B$30+'Inputs'!$B$31+'Inputs'!$B$32)/1000+'Inputs'!$B$21+'Inputs'!$B$7+'Inputs'!$B$10))^2+('Inputs'!$B$8/2)^2))))*'Results'!$B$8))),"")</x:f>
        <x:v>4.47170863364817</x:v>
      </x:c>
      <x:c r="M550" t="n">
        <x:f>IF(AND(ISNUMBER('Results'!C7),ISNUMBER('Results'!B7),ISNUMBER('Results'!$B$8),ISNUMBER('Inputs'!$B$6),ISNUMBER('Inputs'!$B$7),ISNUMBER('Inputs'!$B$8),ISNUMBER('Inputs'!$B$9),ISNUMBER('Inputs'!$B$10),ISNUMBER('Inputs'!$B$21),ISNUMBER('Inputs'!$B$24),ISNUMBER('Inputs'!$B$28)),(('Results'!C7*(0.5*((((550-43)*MAX('Inputs'!$B$33,'Inputs'!$B$29+'Inputs'!$B$31+'Inputs'!$B$32,'Inputs'!$B$30+'Inputs'!$B$31+'Inputs'!$B$32)/1000+'Inputs'!$B$21)+'Inputs'!$B$9)/SQRT((((550-43)*MAX('Inputs'!$B$33,'Inputs'!$B$29+'Inputs'!$B$31+'Inputs'!$B$32,'Inputs'!$B$30+'Inputs'!$B$31+'Inputs'!$B$32)/1000+'Inputs'!$B$21)+'Inputs'!$B$9)^2+('Inputs'!$B$8/2)^2)-(((550-43)*MAX('Inputs'!$B$33,'Inputs'!$B$29+'Inputs'!$B$31+'Inputs'!$B$32,'Inputs'!$B$30+'Inputs'!$B$31+'Inputs'!$B$32)/1000+'Inputs'!$B$21))/SQRT((((550-43)*MAX('Inputs'!$B$33,'Inputs'!$B$29+'Inputs'!$B$31+'Inputs'!$B$32,'Inputs'!$B$30+'Inputs'!$B$31+'Inputs'!$B$32)/1000+'Inputs'!$B$21))^2+('Inputs'!$B$8/2)^2)))-'Results'!B7*(0.5*((((550-43)*MAX('Inputs'!$B$33,'Inputs'!$B$29+'Inputs'!$B$31+'Inputs'!$B$32,'Inputs'!$B$30+'Inputs'!$B$31+'Inputs'!$B$32)/1000+'Inputs'!$B$21+'Inputs'!$B$9+'Inputs'!$B$10)+'Inputs'!$B$7)/SQRT((((550-43)*MAX('Inputs'!$B$33,'Inputs'!$B$29+'Inputs'!$B$31+'Inputs'!$B$32,'Inputs'!$B$30+'Inputs'!$B$31+'Inputs'!$B$32)/1000+'Inputs'!$B$21+'Inputs'!$B$9+'Inputs'!$B$10)+'Inputs'!$B$7)^2+('Inputs'!$B$6/2)^2)-(((550-43)*MAX('Inputs'!$B$33,'Inputs'!$B$29+'Inputs'!$B$31+'Inputs'!$B$32,'Inputs'!$B$30+'Inputs'!$B$31+'Inputs'!$B$32)/1000+'Inputs'!$B$21+'Inputs'!$B$9+'Inputs'!$B$10))/SQRT((((550-43)*MAX('Inputs'!$B$33,'Inputs'!$B$29+'Inputs'!$B$31+'Inputs'!$B$32,'Inputs'!$B$30+'Inputs'!$B$31+'Inputs'!$B$32)/1000+'Inputs'!$B$21+'Inputs'!$B$9+'Inputs'!$B$10))^2+('Inputs'!$B$6/2)^2))))*'Results'!$B$8),"")</x:f>
        <x:v>3.7104248623629714</x:v>
      </x:c>
      <x:c r="N550" t="n">
        <x:f>IF(AND(ISNUMBER('Results'!C7),ISNUMBER('Results'!B7),ISNUMBER('Results'!$B$8),ISNUMBER('Inputs'!$B$6),ISNUMBER('Inputs'!$B$7),ISNUMBER('Inputs'!$B$8),ISNUMBER('Inputs'!$B$9),ISNUMBER('Inputs'!$B$10),ISNUMBER('Inputs'!$B$21),ISNUMBER('Inputs'!$B$24),ISNUMBER('Inputs'!$B$28)),((('Results'!C7*(1-'Inputs'!$B$24)*(0.5*((((550-43)*MAX('Inputs'!$B$33,'Inputs'!$B$29+'Inputs'!$B$31+'Inputs'!$B$32,'Inputs'!$B$30+'Inputs'!$B$31+'Inputs'!$B$32)/1000+'Inputs'!$B$21)+'Inputs'!$B$9)/SQRT((((550-43)*MAX('Inputs'!$B$33,'Inputs'!$B$29+'Inputs'!$B$31+'Inputs'!$B$32,'Inputs'!$B$30+'Inputs'!$B$31+'Inputs'!$B$32)/1000+'Inputs'!$B$21)+'Inputs'!$B$9)^2+('Inputs'!$B$8/2)^2)-(((550-43)*MAX('Inputs'!$B$33,'Inputs'!$B$29+'Inputs'!$B$31+'Inputs'!$B$32,'Inputs'!$B$30+'Inputs'!$B$31+'Inputs'!$B$32)/1000+'Inputs'!$B$21))/SQRT((((550-43)*MAX('Inputs'!$B$33,'Inputs'!$B$29+'Inputs'!$B$31+'Inputs'!$B$32,'Inputs'!$B$30+'Inputs'!$B$31+'Inputs'!$B$32)/1000+'Inputs'!$B$21))^2+('Inputs'!$B$8/2)^2)))-'Results'!B7*(1+'Inputs'!$B$24)*(0.5*((((550-43)*MAX('Inputs'!$B$33,'Inputs'!$B$29+'Inputs'!$B$31+'Inputs'!$B$32,'Inputs'!$B$30+'Inputs'!$B$31+'Inputs'!$B$32)/1000+'Inputs'!$B$21+'Inputs'!$B$9+'Inputs'!$B$10)+'Inputs'!$B$7)/SQRT((((550-43)*MAX('Inputs'!$B$33,'Inputs'!$B$29+'Inputs'!$B$31+'Inputs'!$B$32,'Inputs'!$B$30+'Inputs'!$B$31+'Inputs'!$B$32)/1000+'Inputs'!$B$21+'Inputs'!$B$9+'Inputs'!$B$10)+'Inputs'!$B$7)^2+('Inputs'!$B$6/2)^2)-(((550-43)*MAX('Inputs'!$B$33,'Inputs'!$B$29+'Inputs'!$B$31+'Inputs'!$B$32,'Inputs'!$B$30+'Inputs'!$B$31+'Inputs'!$B$32)/1000+'Inputs'!$B$21+'Inputs'!$B$9+'Inputs'!$B$10))/SQRT((((550-43)*MAX('Inputs'!$B$33,'Inputs'!$B$29+'Inputs'!$B$31+'Inputs'!$B$32,'Inputs'!$B$30+'Inputs'!$B$31+'Inputs'!$B$32)/1000+'Inputs'!$B$21+'Inputs'!$B$9+'Inputs'!$B$10))^2+('Inputs'!$B$6/2)^2))))*'Results'!$B$8)-'Inputs'!$B$28*ABS((('Results'!C7*(1-'Inputs'!$B$24)*(0.5*((((550-43)*MAX('Inputs'!$B$33,'Inputs'!$B$29+'Inputs'!$B$31+'Inputs'!$B$32,'Inputs'!$B$30+'Inputs'!$B$31+'Inputs'!$B$32)/1000+'Inputs'!$B$21)+'Inputs'!$B$9)/SQRT((((550-43)*MAX('Inputs'!$B$33,'Inputs'!$B$29+'Inputs'!$B$31+'Inputs'!$B$32,'Inputs'!$B$30+'Inputs'!$B$31+'Inputs'!$B$32)/1000+'Inputs'!$B$21)+'Inputs'!$B$9)^2+('Inputs'!$B$8/2)^2)-(((550-43)*MAX('Inputs'!$B$33,'Inputs'!$B$29+'Inputs'!$B$31+'Inputs'!$B$32,'Inputs'!$B$30+'Inputs'!$B$31+'Inputs'!$B$32)/1000+'Inputs'!$B$21))/SQRT((((550-43)*MAX('Inputs'!$B$33,'Inputs'!$B$29+'Inputs'!$B$31+'Inputs'!$B$32,'Inputs'!$B$30+'Inputs'!$B$31+'Inputs'!$B$32)/1000+'Inputs'!$B$21))^2+('Inputs'!$B$8/2)^2)))-'Results'!B7*(1+'Inputs'!$B$24)*(0.5*((((550-43)*MAX('Inputs'!$B$33,'Inputs'!$B$29+'Inputs'!$B$31+'Inputs'!$B$32,'Inputs'!$B$30+'Inputs'!$B$31+'Inputs'!$B$32)/1000+'Inputs'!$B$21+'Inputs'!$B$9+'Inputs'!$B$10)+'Inputs'!$B$7)/SQRT((((550-43)*MAX('Inputs'!$B$33,'Inputs'!$B$29+'Inputs'!$B$31+'Inputs'!$B$32,'Inputs'!$B$30+'Inputs'!$B$31+'Inputs'!$B$32)/1000+'Inputs'!$B$21+'Inputs'!$B$9+'Inputs'!$B$10)+'Inputs'!$B$7)^2+('Inputs'!$B$6/2)^2)-(((550-43)*MAX('Inputs'!$B$33,'Inputs'!$B$29+'Inputs'!$B$31+'Inputs'!$B$32,'Inputs'!$B$30+'Inputs'!$B$31+'Inputs'!$B$32)/1000+'Inputs'!$B$21+'Inputs'!$B$9+'Inputs'!$B$10))/SQRT((((550-43)*MAX('Inputs'!$B$33,'Inputs'!$B$29+'Inputs'!$B$31+'Inputs'!$B$32,'Inputs'!$B$30+'Inputs'!$B$31+'Inputs'!$B$32)/1000+'Inputs'!$B$21+'Inputs'!$B$9+'Inputs'!$B$10))^2+('Inputs'!$B$6/2)^2))))*'Results'!$B$8))),"")</x:f>
        <x:v>3.2668543861292094</x:v>
      </x:c>
      <x:c r="O550" t="n">
        <x:f>IF(AND(ISNUMBER('Results'!C7),ISNUMBER('Results'!B7),ISNUMBER('Results'!$B$8),ISNUMBER('Inputs'!$B$6),ISNUMBER('Inputs'!$B$7),ISNUMBER('Inputs'!$B$8),ISNUMBER('Inputs'!$B$9),ISNUMBER('Inputs'!$B$10),ISNUMBER('Inputs'!$B$21),ISNUMBER('Inputs'!$B$24),ISNUMBER('Inputs'!$B$28)),((('Results'!C7*(1+'Inputs'!$B$24)*(0.5*((((550-43)*MAX('Inputs'!$B$33,'Inputs'!$B$29+'Inputs'!$B$31+'Inputs'!$B$32,'Inputs'!$B$30+'Inputs'!$B$31+'Inputs'!$B$32)/1000+'Inputs'!$B$21)+'Inputs'!$B$9)/SQRT((((550-43)*MAX('Inputs'!$B$33,'Inputs'!$B$29+'Inputs'!$B$31+'Inputs'!$B$32,'Inputs'!$B$30+'Inputs'!$B$31+'Inputs'!$B$32)/1000+'Inputs'!$B$21)+'Inputs'!$B$9)^2+('Inputs'!$B$8/2)^2)-(((550-43)*MAX('Inputs'!$B$33,'Inputs'!$B$29+'Inputs'!$B$31+'Inputs'!$B$32,'Inputs'!$B$30+'Inputs'!$B$31+'Inputs'!$B$32)/1000+'Inputs'!$B$21))/SQRT((((550-43)*MAX('Inputs'!$B$33,'Inputs'!$B$29+'Inputs'!$B$31+'Inputs'!$B$32,'Inputs'!$B$30+'Inputs'!$B$31+'Inputs'!$B$32)/1000+'Inputs'!$B$21))^2+('Inputs'!$B$8/2)^2)))-'Results'!B7*(1-'Inputs'!$B$24)*(0.5*((((550-43)*MAX('Inputs'!$B$33,'Inputs'!$B$29+'Inputs'!$B$31+'Inputs'!$B$32,'Inputs'!$B$30+'Inputs'!$B$31+'Inputs'!$B$32)/1000+'Inputs'!$B$21+'Inputs'!$B$9+'Inputs'!$B$10)+'Inputs'!$B$7)/SQRT((((550-43)*MAX('Inputs'!$B$33,'Inputs'!$B$29+'Inputs'!$B$31+'Inputs'!$B$32,'Inputs'!$B$30+'Inputs'!$B$31+'Inputs'!$B$32)/1000+'Inputs'!$B$21+'Inputs'!$B$9+'Inputs'!$B$10)+'Inputs'!$B$7)^2+('Inputs'!$B$6/2)^2)-(((550-43)*MAX('Inputs'!$B$33,'Inputs'!$B$29+'Inputs'!$B$31+'Inputs'!$B$32,'Inputs'!$B$30+'Inputs'!$B$31+'Inputs'!$B$32)/1000+'Inputs'!$B$21+'Inputs'!$B$9+'Inputs'!$B$10))/SQRT((((550-43)*MAX('Inputs'!$B$33,'Inputs'!$B$29+'Inputs'!$B$31+'Inputs'!$B$32,'Inputs'!$B$30+'Inputs'!$B$31+'Inputs'!$B$32)/1000+'Inputs'!$B$21+'Inputs'!$B$9+'Inputs'!$B$10))^2+('Inputs'!$B$6/2)^2))))*'Results'!$B$8)+'Inputs'!$B$28*ABS((('Results'!C7*(1+'Inputs'!$B$24)*(0.5*((((550-43)*MAX('Inputs'!$B$33,'Inputs'!$B$29+'Inputs'!$B$31+'Inputs'!$B$32,'Inputs'!$B$30+'Inputs'!$B$31+'Inputs'!$B$32)/1000+'Inputs'!$B$21)+'Inputs'!$B$9)/SQRT((((550-43)*MAX('Inputs'!$B$33,'Inputs'!$B$29+'Inputs'!$B$31+'Inputs'!$B$32,'Inputs'!$B$30+'Inputs'!$B$31+'Inputs'!$B$32)/1000+'Inputs'!$B$21)+'Inputs'!$B$9)^2+('Inputs'!$B$8/2)^2)-(((550-43)*MAX('Inputs'!$B$33,'Inputs'!$B$29+'Inputs'!$B$31+'Inputs'!$B$32,'Inputs'!$B$30+'Inputs'!$B$31+'Inputs'!$B$32)/1000+'Inputs'!$B$21))/SQRT((((550-43)*MAX('Inputs'!$B$33,'Inputs'!$B$29+'Inputs'!$B$31+'Inputs'!$B$32,'Inputs'!$B$30+'Inputs'!$B$31+'Inputs'!$B$32)/1000+'Inputs'!$B$21))^2+('Inputs'!$B$8/2)^2)))-'Results'!B7*(1-'Inputs'!$B$24)*(0.5*((((550-43)*MAX('Inputs'!$B$33,'Inputs'!$B$29+'Inputs'!$B$31+'Inputs'!$B$32,'Inputs'!$B$30+'Inputs'!$B$31+'Inputs'!$B$32)/1000+'Inputs'!$B$21+'Inputs'!$B$9+'Inputs'!$B$10)+'Inputs'!$B$7)/SQRT((((550-43)*MAX('Inputs'!$B$33,'Inputs'!$B$29+'Inputs'!$B$31+'Inputs'!$B$32,'Inputs'!$B$30+'Inputs'!$B$31+'Inputs'!$B$32)/1000+'Inputs'!$B$21+'Inputs'!$B$9+'Inputs'!$B$10)+'Inputs'!$B$7)^2+('Inputs'!$B$6/2)^2)-(((550-43)*MAX('Inputs'!$B$33,'Inputs'!$B$29+'Inputs'!$B$31+'Inputs'!$B$32,'Inputs'!$B$30+'Inputs'!$B$31+'Inputs'!$B$32)/1000+'Inputs'!$B$21+'Inputs'!$B$9+'Inputs'!$B$10))/SQRT((((550-43)*MAX('Inputs'!$B$33,'Inputs'!$B$29+'Inputs'!$B$31+'Inputs'!$B$32,'Inputs'!$B$30+'Inputs'!$B$31+'Inputs'!$B$32)/1000+'Inputs'!$B$21+'Inputs'!$B$9+'Inputs'!$B$10))^2+('Inputs'!$B$6/2)^2))))*'Results'!$B$8))),"")</x:f>
        <x:v>4.181158415766797</x:v>
      </x:c>
      <x:c r="P550" t="n">
        <x:f>IF(AND(MAX(J550,J549)&gt;0,J550&gt;J549+0.00000001),1,0)</x:f>
        <x:v>0</x:v>
      </x:c>
      <x:c r="Q550" t="n">
        <x:f>IF(AND(MAX(K550,K549)&gt;0,K550&gt;K549+0.00000001),1,0)</x:f>
        <x:v>0</x:v>
      </x:c>
      <x:c r="R550" t="n">
        <x:f>IF(AND(MAX(L550,L549)&gt;0,L550&gt;L549+0.00000001),1,0)</x:f>
        <x:v>0</x:v>
      </x:c>
      <x:c r="S550" t="n">
        <x:f>IF(AND(MAX(M550,M549)&gt;0,M550&gt;M549+0.00000001),1,0)</x:f>
        <x:v>0</x:v>
      </x:c>
      <x:c r="T550" t="n">
        <x:f>IF(AND(MAX(N550,N549)&gt;0,N550&gt;N549+0.00000001),1,0)</x:f>
        <x:v>0</x:v>
      </x:c>
      <x:c r="U550" t="n">
        <x:f>IF(AND(MAX(O550,O549)&gt;0,O550&gt;O549+0.00000001),1,0)</x:f>
        <x:v>0</x:v>
      </x:c>
    </x:row>
    <x:row r="551">
      <x:c r="J551" t="n">
        <x:f>IF(AND(ISNUMBER('Results'!B7),ISNUMBER('Results'!C7),ISNUMBER('Results'!$B$8),ISNUMBER('Inputs'!$B$6),ISNUMBER('Inputs'!$B$7),ISNUMBER('Inputs'!$B$8),ISNUMBER('Inputs'!$B$9),ISNUMBER('Inputs'!$B$10),ISNUMBER('Inputs'!$B$21),ISNUMBER('Inputs'!$B$24),ISNUMBER('Inputs'!$B$28)),(('Results'!B7*(0.5*((((551-43)*MAX('Inputs'!$B$33,'Inputs'!$B$29+'Inputs'!$B$31+'Inputs'!$B$32,'Inputs'!$B$30+'Inputs'!$B$31+'Inputs'!$B$32)/1000+'Inputs'!$B$21)+'Inputs'!$B$7)/SQRT((((551-43)*MAX('Inputs'!$B$33,'Inputs'!$B$29+'Inputs'!$B$31+'Inputs'!$B$32,'Inputs'!$B$30+'Inputs'!$B$31+'Inputs'!$B$32)/1000+'Inputs'!$B$21)+'Inputs'!$B$7)^2+('Inputs'!$B$6/2)^2)-(((551-43)*MAX('Inputs'!$B$33,'Inputs'!$B$29+'Inputs'!$B$31+'Inputs'!$B$32,'Inputs'!$B$30+'Inputs'!$B$31+'Inputs'!$B$32)/1000+'Inputs'!$B$21))/SQRT((((551-43)*MAX('Inputs'!$B$33,'Inputs'!$B$29+'Inputs'!$B$31+'Inputs'!$B$32,'Inputs'!$B$30+'Inputs'!$B$31+'Inputs'!$B$32)/1000+'Inputs'!$B$21))^2+('Inputs'!$B$6/2)^2)))-'Results'!C7*(0.5*((((551-43)*MAX('Inputs'!$B$33,'Inputs'!$B$29+'Inputs'!$B$31+'Inputs'!$B$32,'Inputs'!$B$30+'Inputs'!$B$31+'Inputs'!$B$32)/1000+'Inputs'!$B$21+'Inputs'!$B$7+'Inputs'!$B$10)+'Inputs'!$B$9)/SQRT((((551-43)*MAX('Inputs'!$B$33,'Inputs'!$B$29+'Inputs'!$B$31+'Inputs'!$B$32,'Inputs'!$B$30+'Inputs'!$B$31+'Inputs'!$B$32)/1000+'Inputs'!$B$21+'Inputs'!$B$7+'Inputs'!$B$10)+'Inputs'!$B$9)^2+('Inputs'!$B$8/2)^2)-(((551-43)*MAX('Inputs'!$B$33,'Inputs'!$B$29+'Inputs'!$B$31+'Inputs'!$B$32,'Inputs'!$B$30+'Inputs'!$B$31+'Inputs'!$B$32)/1000+'Inputs'!$B$21+'Inputs'!$B$7+'Inputs'!$B$10))/SQRT((((551-43)*MAX('Inputs'!$B$33,'Inputs'!$B$29+'Inputs'!$B$31+'Inputs'!$B$32,'Inputs'!$B$30+'Inputs'!$B$31+'Inputs'!$B$32)/1000+'Inputs'!$B$21+'Inputs'!$B$7+'Inputs'!$B$10))^2+('Inputs'!$B$8/2)^2))))*'Results'!$B$8),"")</x:f>
        <x:v>3.9587940750995223</x:v>
      </x:c>
      <x:c r="K551" t="n">
        <x:f>IF(AND(ISNUMBER('Results'!B7),ISNUMBER('Results'!C7),ISNUMBER('Results'!$B$8),ISNUMBER('Inputs'!$B$6),ISNUMBER('Inputs'!$B$7),ISNUMBER('Inputs'!$B$8),ISNUMBER('Inputs'!$B$9),ISNUMBER('Inputs'!$B$10),ISNUMBER('Inputs'!$B$21),ISNUMBER('Inputs'!$B$24),ISNUMBER('Inputs'!$B$28)),((('Results'!B7*(1-'Inputs'!$B$24)*(0.5*((((551-43)*MAX('Inputs'!$B$33,'Inputs'!$B$29+'Inputs'!$B$31+'Inputs'!$B$32,'Inputs'!$B$30+'Inputs'!$B$31+'Inputs'!$B$32)/1000+'Inputs'!$B$21)+'Inputs'!$B$7)/SQRT((((551-43)*MAX('Inputs'!$B$33,'Inputs'!$B$29+'Inputs'!$B$31+'Inputs'!$B$32,'Inputs'!$B$30+'Inputs'!$B$31+'Inputs'!$B$32)/1000+'Inputs'!$B$21)+'Inputs'!$B$7)^2+('Inputs'!$B$6/2)^2)-(((551-43)*MAX('Inputs'!$B$33,'Inputs'!$B$29+'Inputs'!$B$31+'Inputs'!$B$32,'Inputs'!$B$30+'Inputs'!$B$31+'Inputs'!$B$32)/1000+'Inputs'!$B$21))/SQRT((((551-43)*MAX('Inputs'!$B$33,'Inputs'!$B$29+'Inputs'!$B$31+'Inputs'!$B$32,'Inputs'!$B$30+'Inputs'!$B$31+'Inputs'!$B$32)/1000+'Inputs'!$B$21))^2+('Inputs'!$B$6/2)^2)))-'Results'!C7*(1+'Inputs'!$B$24)*(0.5*((((551-43)*MAX('Inputs'!$B$33,'Inputs'!$B$29+'Inputs'!$B$31+'Inputs'!$B$32,'Inputs'!$B$30+'Inputs'!$B$31+'Inputs'!$B$32)/1000+'Inputs'!$B$21+'Inputs'!$B$7+'Inputs'!$B$10)+'Inputs'!$B$9)/SQRT((((551-43)*MAX('Inputs'!$B$33,'Inputs'!$B$29+'Inputs'!$B$31+'Inputs'!$B$32,'Inputs'!$B$30+'Inputs'!$B$31+'Inputs'!$B$32)/1000+'Inputs'!$B$21+'Inputs'!$B$7+'Inputs'!$B$10)+'Inputs'!$B$9)^2+('Inputs'!$B$8/2)^2)-(((551-43)*MAX('Inputs'!$B$33,'Inputs'!$B$29+'Inputs'!$B$31+'Inputs'!$B$32,'Inputs'!$B$30+'Inputs'!$B$31+'Inputs'!$B$32)/1000+'Inputs'!$B$21+'Inputs'!$B$7+'Inputs'!$B$10))/SQRT((((551-43)*MAX('Inputs'!$B$33,'Inputs'!$B$29+'Inputs'!$B$31+'Inputs'!$B$32,'Inputs'!$B$30+'Inputs'!$B$31+'Inputs'!$B$32)/1000+'Inputs'!$B$21+'Inputs'!$B$7+'Inputs'!$B$10))^2+('Inputs'!$B$8/2)^2))))*'Results'!$B$8)-'Inputs'!$B$28*ABS((('Results'!B7*(1-'Inputs'!$B$24)*(0.5*((((551-43)*MAX('Inputs'!$B$33,'Inputs'!$B$29+'Inputs'!$B$31+'Inputs'!$B$32,'Inputs'!$B$30+'Inputs'!$B$31+'Inputs'!$B$32)/1000+'Inputs'!$B$21)+'Inputs'!$B$7)/SQRT((((551-43)*MAX('Inputs'!$B$33,'Inputs'!$B$29+'Inputs'!$B$31+'Inputs'!$B$32,'Inputs'!$B$30+'Inputs'!$B$31+'Inputs'!$B$32)/1000+'Inputs'!$B$21)+'Inputs'!$B$7)^2+('Inputs'!$B$6/2)^2)-(((551-43)*MAX('Inputs'!$B$33,'Inputs'!$B$29+'Inputs'!$B$31+'Inputs'!$B$32,'Inputs'!$B$30+'Inputs'!$B$31+'Inputs'!$B$32)/1000+'Inputs'!$B$21))/SQRT((((551-43)*MAX('Inputs'!$B$33,'Inputs'!$B$29+'Inputs'!$B$31+'Inputs'!$B$32,'Inputs'!$B$30+'Inputs'!$B$31+'Inputs'!$B$32)/1000+'Inputs'!$B$21))^2+('Inputs'!$B$6/2)^2)))-'Results'!C7*(1+'Inputs'!$B$24)*(0.5*((((551-43)*MAX('Inputs'!$B$33,'Inputs'!$B$29+'Inputs'!$B$31+'Inputs'!$B$32,'Inputs'!$B$30+'Inputs'!$B$31+'Inputs'!$B$32)/1000+'Inputs'!$B$21+'Inputs'!$B$7+'Inputs'!$B$10)+'Inputs'!$B$9)/SQRT((((551-43)*MAX('Inputs'!$B$33,'Inputs'!$B$29+'Inputs'!$B$31+'Inputs'!$B$32,'Inputs'!$B$30+'Inputs'!$B$31+'Inputs'!$B$32)/1000+'Inputs'!$B$21+'Inputs'!$B$7+'Inputs'!$B$10)+'Inputs'!$B$9)^2+('Inputs'!$B$8/2)^2)-(((551-43)*MAX('Inputs'!$B$33,'Inputs'!$B$29+'Inputs'!$B$31+'Inputs'!$B$32,'Inputs'!$B$30+'Inputs'!$B$31+'Inputs'!$B$32)/1000+'Inputs'!$B$21+'Inputs'!$B$7+'Inputs'!$B$10))/SQRT((((551-43)*MAX('Inputs'!$B$33,'Inputs'!$B$29+'Inputs'!$B$31+'Inputs'!$B$32,'Inputs'!$B$30+'Inputs'!$B$31+'Inputs'!$B$32)/1000+'Inputs'!$B$21+'Inputs'!$B$7+'Inputs'!$B$10))^2+('Inputs'!$B$8/2)^2))))*'Results'!$B$8))),"")</x:f>
        <x:v>3.502682128387069</x:v>
      </x:c>
      <x:c r="L551" t="n">
        <x:f>IF(AND(ISNUMBER('Results'!B7),ISNUMBER('Results'!C7),ISNUMBER('Results'!$B$8),ISNUMBER('Inputs'!$B$6),ISNUMBER('Inputs'!$B$7),ISNUMBER('Inputs'!$B$8),ISNUMBER('Inputs'!$B$9),ISNUMBER('Inputs'!$B$10),ISNUMBER('Inputs'!$B$21),ISNUMBER('Inputs'!$B$24),ISNUMBER('Inputs'!$B$28)),((('Results'!B7*(1+'Inputs'!$B$24)*(0.5*((((551-43)*MAX('Inputs'!$B$33,'Inputs'!$B$29+'Inputs'!$B$31+'Inputs'!$B$32,'Inputs'!$B$30+'Inputs'!$B$31+'Inputs'!$B$32)/1000+'Inputs'!$B$21)+'Inputs'!$B$7)/SQRT((((551-43)*MAX('Inputs'!$B$33,'Inputs'!$B$29+'Inputs'!$B$31+'Inputs'!$B$32,'Inputs'!$B$30+'Inputs'!$B$31+'Inputs'!$B$32)/1000+'Inputs'!$B$21)+'Inputs'!$B$7)^2+('Inputs'!$B$6/2)^2)-(((551-43)*MAX('Inputs'!$B$33,'Inputs'!$B$29+'Inputs'!$B$31+'Inputs'!$B$32,'Inputs'!$B$30+'Inputs'!$B$31+'Inputs'!$B$32)/1000+'Inputs'!$B$21))/SQRT((((551-43)*MAX('Inputs'!$B$33,'Inputs'!$B$29+'Inputs'!$B$31+'Inputs'!$B$32,'Inputs'!$B$30+'Inputs'!$B$31+'Inputs'!$B$32)/1000+'Inputs'!$B$21))^2+('Inputs'!$B$6/2)^2)))-'Results'!C7*(1-'Inputs'!$B$24)*(0.5*((((551-43)*MAX('Inputs'!$B$33,'Inputs'!$B$29+'Inputs'!$B$31+'Inputs'!$B$32,'Inputs'!$B$30+'Inputs'!$B$31+'Inputs'!$B$32)/1000+'Inputs'!$B$21+'Inputs'!$B$7+'Inputs'!$B$10)+'Inputs'!$B$9)/SQRT((((551-43)*MAX('Inputs'!$B$33,'Inputs'!$B$29+'Inputs'!$B$31+'Inputs'!$B$32,'Inputs'!$B$30+'Inputs'!$B$31+'Inputs'!$B$32)/1000+'Inputs'!$B$21+'Inputs'!$B$7+'Inputs'!$B$10)+'Inputs'!$B$9)^2+('Inputs'!$B$8/2)^2)-(((551-43)*MAX('Inputs'!$B$33,'Inputs'!$B$29+'Inputs'!$B$31+'Inputs'!$B$32,'Inputs'!$B$30+'Inputs'!$B$31+'Inputs'!$B$32)/1000+'Inputs'!$B$21+'Inputs'!$B$7+'Inputs'!$B$10))/SQRT((((551-43)*MAX('Inputs'!$B$33,'Inputs'!$B$29+'Inputs'!$B$31+'Inputs'!$B$32,'Inputs'!$B$30+'Inputs'!$B$31+'Inputs'!$B$32)/1000+'Inputs'!$B$21+'Inputs'!$B$7+'Inputs'!$B$10))^2+('Inputs'!$B$8/2)^2))))*'Results'!$B$8)+'Inputs'!$B$28*ABS((('Results'!B7*(1+'Inputs'!$B$24)*(0.5*((((551-43)*MAX('Inputs'!$B$33,'Inputs'!$B$29+'Inputs'!$B$31+'Inputs'!$B$32,'Inputs'!$B$30+'Inputs'!$B$31+'Inputs'!$B$32)/1000+'Inputs'!$B$21)+'Inputs'!$B$7)/SQRT((((551-43)*MAX('Inputs'!$B$33,'Inputs'!$B$29+'Inputs'!$B$31+'Inputs'!$B$32,'Inputs'!$B$30+'Inputs'!$B$31+'Inputs'!$B$32)/1000+'Inputs'!$B$21)+'Inputs'!$B$7)^2+('Inputs'!$B$6/2)^2)-(((551-43)*MAX('Inputs'!$B$33,'Inputs'!$B$29+'Inputs'!$B$31+'Inputs'!$B$32,'Inputs'!$B$30+'Inputs'!$B$31+'Inputs'!$B$32)/1000+'Inputs'!$B$21))/SQRT((((551-43)*MAX('Inputs'!$B$33,'Inputs'!$B$29+'Inputs'!$B$31+'Inputs'!$B$32,'Inputs'!$B$30+'Inputs'!$B$31+'Inputs'!$B$32)/1000+'Inputs'!$B$21))^2+('Inputs'!$B$6/2)^2)))-'Results'!C7*(1-'Inputs'!$B$24)*(0.5*((((551-43)*MAX('Inputs'!$B$33,'Inputs'!$B$29+'Inputs'!$B$31+'Inputs'!$B$32,'Inputs'!$B$30+'Inputs'!$B$31+'Inputs'!$B$32)/1000+'Inputs'!$B$21+'Inputs'!$B$7+'Inputs'!$B$10)+'Inputs'!$B$9)/SQRT((((551-43)*MAX('Inputs'!$B$33,'Inputs'!$B$29+'Inputs'!$B$31+'Inputs'!$B$32,'Inputs'!$B$30+'Inputs'!$B$31+'Inputs'!$B$32)/1000+'Inputs'!$B$21+'Inputs'!$B$7+'Inputs'!$B$10)+'Inputs'!$B$9)^2+('Inputs'!$B$8/2)^2)-(((551-43)*MAX('Inputs'!$B$33,'Inputs'!$B$29+'Inputs'!$B$31+'Inputs'!$B$32,'Inputs'!$B$30+'Inputs'!$B$31+'Inputs'!$B$32)/1000+'Inputs'!$B$21+'Inputs'!$B$7+'Inputs'!$B$10))/SQRT((((551-43)*MAX('Inputs'!$B$33,'Inputs'!$B$29+'Inputs'!$B$31+'Inputs'!$B$32,'Inputs'!$B$30+'Inputs'!$B$31+'Inputs'!$B$32)/1000+'Inputs'!$B$21+'Inputs'!$B$7+'Inputs'!$B$10))^2+('Inputs'!$B$8/2)^2))))*'Results'!$B$8))),"")</x:f>
        <x:v>4.442082047386447</x:v>
      </x:c>
      <x:c r="M551" t="n">
        <x:f>IF(AND(ISNUMBER('Results'!C7),ISNUMBER('Results'!B7),ISNUMBER('Results'!$B$8),ISNUMBER('Inputs'!$B$6),ISNUMBER('Inputs'!$B$7),ISNUMBER('Inputs'!$B$8),ISNUMBER('Inputs'!$B$9),ISNUMBER('Inputs'!$B$10),ISNUMBER('Inputs'!$B$21),ISNUMBER('Inputs'!$B$24),ISNUMBER('Inputs'!$B$28)),(('Results'!C7*(0.5*((((551-43)*MAX('Inputs'!$B$33,'Inputs'!$B$29+'Inputs'!$B$31+'Inputs'!$B$32,'Inputs'!$B$30+'Inputs'!$B$31+'Inputs'!$B$32)/1000+'Inputs'!$B$21)+'Inputs'!$B$9)/SQRT((((551-43)*MAX('Inputs'!$B$33,'Inputs'!$B$29+'Inputs'!$B$31+'Inputs'!$B$32,'Inputs'!$B$30+'Inputs'!$B$31+'Inputs'!$B$32)/1000+'Inputs'!$B$21)+'Inputs'!$B$9)^2+('Inputs'!$B$8/2)^2)-(((551-43)*MAX('Inputs'!$B$33,'Inputs'!$B$29+'Inputs'!$B$31+'Inputs'!$B$32,'Inputs'!$B$30+'Inputs'!$B$31+'Inputs'!$B$32)/1000+'Inputs'!$B$21))/SQRT((((551-43)*MAX('Inputs'!$B$33,'Inputs'!$B$29+'Inputs'!$B$31+'Inputs'!$B$32,'Inputs'!$B$30+'Inputs'!$B$31+'Inputs'!$B$32)/1000+'Inputs'!$B$21))^2+('Inputs'!$B$8/2)^2)))-'Results'!B7*(0.5*((((551-43)*MAX('Inputs'!$B$33,'Inputs'!$B$29+'Inputs'!$B$31+'Inputs'!$B$32,'Inputs'!$B$30+'Inputs'!$B$31+'Inputs'!$B$32)/1000+'Inputs'!$B$21+'Inputs'!$B$9+'Inputs'!$B$10)+'Inputs'!$B$7)/SQRT((((551-43)*MAX('Inputs'!$B$33,'Inputs'!$B$29+'Inputs'!$B$31+'Inputs'!$B$32,'Inputs'!$B$30+'Inputs'!$B$31+'Inputs'!$B$32)/1000+'Inputs'!$B$21+'Inputs'!$B$9+'Inputs'!$B$10)+'Inputs'!$B$7)^2+('Inputs'!$B$6/2)^2)-(((551-43)*MAX('Inputs'!$B$33,'Inputs'!$B$29+'Inputs'!$B$31+'Inputs'!$B$32,'Inputs'!$B$30+'Inputs'!$B$31+'Inputs'!$B$32)/1000+'Inputs'!$B$21+'Inputs'!$B$9+'Inputs'!$B$10))/SQRT((((551-43)*MAX('Inputs'!$B$33,'Inputs'!$B$29+'Inputs'!$B$31+'Inputs'!$B$32,'Inputs'!$B$30+'Inputs'!$B$31+'Inputs'!$B$32)/1000+'Inputs'!$B$21+'Inputs'!$B$9+'Inputs'!$B$10))^2+('Inputs'!$B$6/2)^2))))*'Results'!$B$8),"")</x:f>
        <x:v>3.6850686726788644</x:v>
      </x:c>
      <x:c r="N551" t="n">
        <x:f>IF(AND(ISNUMBER('Results'!C7),ISNUMBER('Results'!B7),ISNUMBER('Results'!$B$8),ISNUMBER('Inputs'!$B$6),ISNUMBER('Inputs'!$B$7),ISNUMBER('Inputs'!$B$8),ISNUMBER('Inputs'!$B$9),ISNUMBER('Inputs'!$B$10),ISNUMBER('Inputs'!$B$21),ISNUMBER('Inputs'!$B$24),ISNUMBER('Inputs'!$B$28)),((('Results'!C7*(1-'Inputs'!$B$24)*(0.5*((((551-43)*MAX('Inputs'!$B$33,'Inputs'!$B$29+'Inputs'!$B$31+'Inputs'!$B$32,'Inputs'!$B$30+'Inputs'!$B$31+'Inputs'!$B$32)/1000+'Inputs'!$B$21)+'Inputs'!$B$9)/SQRT((((551-43)*MAX('Inputs'!$B$33,'Inputs'!$B$29+'Inputs'!$B$31+'Inputs'!$B$32,'Inputs'!$B$30+'Inputs'!$B$31+'Inputs'!$B$32)/1000+'Inputs'!$B$21)+'Inputs'!$B$9)^2+('Inputs'!$B$8/2)^2)-(((551-43)*MAX('Inputs'!$B$33,'Inputs'!$B$29+'Inputs'!$B$31+'Inputs'!$B$32,'Inputs'!$B$30+'Inputs'!$B$31+'Inputs'!$B$32)/1000+'Inputs'!$B$21))/SQRT((((551-43)*MAX('Inputs'!$B$33,'Inputs'!$B$29+'Inputs'!$B$31+'Inputs'!$B$32,'Inputs'!$B$30+'Inputs'!$B$31+'Inputs'!$B$32)/1000+'Inputs'!$B$21))^2+('Inputs'!$B$8/2)^2)))-'Results'!B7*(1+'Inputs'!$B$24)*(0.5*((((551-43)*MAX('Inputs'!$B$33,'Inputs'!$B$29+'Inputs'!$B$31+'Inputs'!$B$32,'Inputs'!$B$30+'Inputs'!$B$31+'Inputs'!$B$32)/1000+'Inputs'!$B$21+'Inputs'!$B$9+'Inputs'!$B$10)+'Inputs'!$B$7)/SQRT((((551-43)*MAX('Inputs'!$B$33,'Inputs'!$B$29+'Inputs'!$B$31+'Inputs'!$B$32,'Inputs'!$B$30+'Inputs'!$B$31+'Inputs'!$B$32)/1000+'Inputs'!$B$21+'Inputs'!$B$9+'Inputs'!$B$10)+'Inputs'!$B$7)^2+('Inputs'!$B$6/2)^2)-(((551-43)*MAX('Inputs'!$B$33,'Inputs'!$B$29+'Inputs'!$B$31+'Inputs'!$B$32,'Inputs'!$B$30+'Inputs'!$B$31+'Inputs'!$B$32)/1000+'Inputs'!$B$21+'Inputs'!$B$9+'Inputs'!$B$10))/SQRT((((551-43)*MAX('Inputs'!$B$33,'Inputs'!$B$29+'Inputs'!$B$31+'Inputs'!$B$32,'Inputs'!$B$30+'Inputs'!$B$31+'Inputs'!$B$32)/1000+'Inputs'!$B$21+'Inputs'!$B$9+'Inputs'!$B$10))^2+('Inputs'!$B$6/2)^2))))*'Results'!$B$8)-'Inputs'!$B$28*ABS((('Results'!C7*(1-'Inputs'!$B$24)*(0.5*((((551-43)*MAX('Inputs'!$B$33,'Inputs'!$B$29+'Inputs'!$B$31+'Inputs'!$B$32,'Inputs'!$B$30+'Inputs'!$B$31+'Inputs'!$B$32)/1000+'Inputs'!$B$21)+'Inputs'!$B$9)/SQRT((((551-43)*MAX('Inputs'!$B$33,'Inputs'!$B$29+'Inputs'!$B$31+'Inputs'!$B$32,'Inputs'!$B$30+'Inputs'!$B$31+'Inputs'!$B$32)/1000+'Inputs'!$B$21)+'Inputs'!$B$9)^2+('Inputs'!$B$8/2)^2)-(((551-43)*MAX('Inputs'!$B$33,'Inputs'!$B$29+'Inputs'!$B$31+'Inputs'!$B$32,'Inputs'!$B$30+'Inputs'!$B$31+'Inputs'!$B$32)/1000+'Inputs'!$B$21))/SQRT((((551-43)*MAX('Inputs'!$B$33,'Inputs'!$B$29+'Inputs'!$B$31+'Inputs'!$B$32,'Inputs'!$B$30+'Inputs'!$B$31+'Inputs'!$B$32)/1000+'Inputs'!$B$21))^2+('Inputs'!$B$8/2)^2)))-'Results'!B7*(1+'Inputs'!$B$24)*(0.5*((((551-43)*MAX('Inputs'!$B$33,'Inputs'!$B$29+'Inputs'!$B$31+'Inputs'!$B$32,'Inputs'!$B$30+'Inputs'!$B$31+'Inputs'!$B$32)/1000+'Inputs'!$B$21+'Inputs'!$B$9+'Inputs'!$B$10)+'Inputs'!$B$7)/SQRT((((551-43)*MAX('Inputs'!$B$33,'Inputs'!$B$29+'Inputs'!$B$31+'Inputs'!$B$32,'Inputs'!$B$30+'Inputs'!$B$31+'Inputs'!$B$32)/1000+'Inputs'!$B$21+'Inputs'!$B$9+'Inputs'!$B$10)+'Inputs'!$B$7)^2+('Inputs'!$B$6/2)^2)-(((551-43)*MAX('Inputs'!$B$33,'Inputs'!$B$29+'Inputs'!$B$31+'Inputs'!$B$32,'Inputs'!$B$30+'Inputs'!$B$31+'Inputs'!$B$32)/1000+'Inputs'!$B$21+'Inputs'!$B$9+'Inputs'!$B$10))/SQRT((((551-43)*MAX('Inputs'!$B$33,'Inputs'!$B$29+'Inputs'!$B$31+'Inputs'!$B$32,'Inputs'!$B$30+'Inputs'!$B$31+'Inputs'!$B$32)/1000+'Inputs'!$B$21+'Inputs'!$B$9+'Inputs'!$B$10))^2+('Inputs'!$B$6/2)^2))))*'Results'!$B$8))),"")</x:f>
        <x:v>3.2441100000491376</x:v>
      </x:c>
      <x:c r="O551" t="n">
        <x:f>IF(AND(ISNUMBER('Results'!C7),ISNUMBER('Results'!B7),ISNUMBER('Results'!$B$8),ISNUMBER('Inputs'!$B$6),ISNUMBER('Inputs'!$B$7),ISNUMBER('Inputs'!$B$8),ISNUMBER('Inputs'!$B$9),ISNUMBER('Inputs'!$B$10),ISNUMBER('Inputs'!$B$21),ISNUMBER('Inputs'!$B$24),ISNUMBER('Inputs'!$B$28)),((('Results'!C7*(1+'Inputs'!$B$24)*(0.5*((((551-43)*MAX('Inputs'!$B$33,'Inputs'!$B$29+'Inputs'!$B$31+'Inputs'!$B$32,'Inputs'!$B$30+'Inputs'!$B$31+'Inputs'!$B$32)/1000+'Inputs'!$B$21)+'Inputs'!$B$9)/SQRT((((551-43)*MAX('Inputs'!$B$33,'Inputs'!$B$29+'Inputs'!$B$31+'Inputs'!$B$32,'Inputs'!$B$30+'Inputs'!$B$31+'Inputs'!$B$32)/1000+'Inputs'!$B$21)+'Inputs'!$B$9)^2+('Inputs'!$B$8/2)^2)-(((551-43)*MAX('Inputs'!$B$33,'Inputs'!$B$29+'Inputs'!$B$31+'Inputs'!$B$32,'Inputs'!$B$30+'Inputs'!$B$31+'Inputs'!$B$32)/1000+'Inputs'!$B$21))/SQRT((((551-43)*MAX('Inputs'!$B$33,'Inputs'!$B$29+'Inputs'!$B$31+'Inputs'!$B$32,'Inputs'!$B$30+'Inputs'!$B$31+'Inputs'!$B$32)/1000+'Inputs'!$B$21))^2+('Inputs'!$B$8/2)^2)))-'Results'!B7*(1-'Inputs'!$B$24)*(0.5*((((551-43)*MAX('Inputs'!$B$33,'Inputs'!$B$29+'Inputs'!$B$31+'Inputs'!$B$32,'Inputs'!$B$30+'Inputs'!$B$31+'Inputs'!$B$32)/1000+'Inputs'!$B$21+'Inputs'!$B$9+'Inputs'!$B$10)+'Inputs'!$B$7)/SQRT((((551-43)*MAX('Inputs'!$B$33,'Inputs'!$B$29+'Inputs'!$B$31+'Inputs'!$B$32,'Inputs'!$B$30+'Inputs'!$B$31+'Inputs'!$B$32)/1000+'Inputs'!$B$21+'Inputs'!$B$9+'Inputs'!$B$10)+'Inputs'!$B$7)^2+('Inputs'!$B$6/2)^2)-(((551-43)*MAX('Inputs'!$B$33,'Inputs'!$B$29+'Inputs'!$B$31+'Inputs'!$B$32,'Inputs'!$B$30+'Inputs'!$B$31+'Inputs'!$B$32)/1000+'Inputs'!$B$21+'Inputs'!$B$9+'Inputs'!$B$10))/SQRT((((551-43)*MAX('Inputs'!$B$33,'Inputs'!$B$29+'Inputs'!$B$31+'Inputs'!$B$32,'Inputs'!$B$30+'Inputs'!$B$31+'Inputs'!$B$32)/1000+'Inputs'!$B$21+'Inputs'!$B$9+'Inputs'!$B$10))^2+('Inputs'!$B$6/2)^2))))*'Results'!$B$8)+'Inputs'!$B$28*ABS((('Results'!C7*(1+'Inputs'!$B$24)*(0.5*((((551-43)*MAX('Inputs'!$B$33,'Inputs'!$B$29+'Inputs'!$B$31+'Inputs'!$B$32,'Inputs'!$B$30+'Inputs'!$B$31+'Inputs'!$B$32)/1000+'Inputs'!$B$21)+'Inputs'!$B$9)/SQRT((((551-43)*MAX('Inputs'!$B$33,'Inputs'!$B$29+'Inputs'!$B$31+'Inputs'!$B$32,'Inputs'!$B$30+'Inputs'!$B$31+'Inputs'!$B$32)/1000+'Inputs'!$B$21)+'Inputs'!$B$9)^2+('Inputs'!$B$8/2)^2)-(((551-43)*MAX('Inputs'!$B$33,'Inputs'!$B$29+'Inputs'!$B$31+'Inputs'!$B$32,'Inputs'!$B$30+'Inputs'!$B$31+'Inputs'!$B$32)/1000+'Inputs'!$B$21))/SQRT((((551-43)*MAX('Inputs'!$B$33,'Inputs'!$B$29+'Inputs'!$B$31+'Inputs'!$B$32,'Inputs'!$B$30+'Inputs'!$B$31+'Inputs'!$B$32)/1000+'Inputs'!$B$21))^2+('Inputs'!$B$8/2)^2)))-'Results'!B7*(1-'Inputs'!$B$24)*(0.5*((((551-43)*MAX('Inputs'!$B$33,'Inputs'!$B$29+'Inputs'!$B$31+'Inputs'!$B$32,'Inputs'!$B$30+'Inputs'!$B$31+'Inputs'!$B$32)/1000+'Inputs'!$B$21+'Inputs'!$B$9+'Inputs'!$B$10)+'Inputs'!$B$7)/SQRT((((551-43)*MAX('Inputs'!$B$33,'Inputs'!$B$29+'Inputs'!$B$31+'Inputs'!$B$32,'Inputs'!$B$30+'Inputs'!$B$31+'Inputs'!$B$32)/1000+'Inputs'!$B$21+'Inputs'!$B$9+'Inputs'!$B$10)+'Inputs'!$B$7)^2+('Inputs'!$B$6/2)^2)-(((551-43)*MAX('Inputs'!$B$33,'Inputs'!$B$29+'Inputs'!$B$31+'Inputs'!$B$32,'Inputs'!$B$30+'Inputs'!$B$31+'Inputs'!$B$32)/1000+'Inputs'!$B$21+'Inputs'!$B$9+'Inputs'!$B$10))/SQRT((((551-43)*MAX('Inputs'!$B$33,'Inputs'!$B$29+'Inputs'!$B$31+'Inputs'!$B$32,'Inputs'!$B$30+'Inputs'!$B$31+'Inputs'!$B$32)/1000+'Inputs'!$B$21+'Inputs'!$B$9+'Inputs'!$B$10))^2+('Inputs'!$B$6/2)^2))))*'Results'!$B$8))),"")</x:f>
        <x:v>4.1530489494134075</x:v>
      </x:c>
      <x:c r="P551" t="n">
        <x:f>IF(AND(MAX(J551,J550)&gt;0,J551&gt;J550+0.00000001),1,0)</x:f>
        <x:v>0</x:v>
      </x:c>
      <x:c r="Q551" t="n">
        <x:f>IF(AND(MAX(K551,K550)&gt;0,K551&gt;K550+0.00000001),1,0)</x:f>
        <x:v>0</x:v>
      </x:c>
      <x:c r="R551" t="n">
        <x:f>IF(AND(MAX(L551,L550)&gt;0,L551&gt;L550+0.00000001),1,0)</x:f>
        <x:v>0</x:v>
      </x:c>
      <x:c r="S551" t="n">
        <x:f>IF(AND(MAX(M551,M550)&gt;0,M551&gt;M550+0.00000001),1,0)</x:f>
        <x:v>0</x:v>
      </x:c>
      <x:c r="T551" t="n">
        <x:f>IF(AND(MAX(N551,N550)&gt;0,N551&gt;N550+0.00000001),1,0)</x:f>
        <x:v>0</x:v>
      </x:c>
      <x:c r="U551" t="n">
        <x:f>IF(AND(MAX(O551,O550)&gt;0,O551&gt;O550+0.00000001),1,0)</x:f>
        <x:v>0</x:v>
      </x:c>
    </x:row>
    <x:row r="552">
      <x:c r="J552" t="n">
        <x:f>IF(AND(ISNUMBER('Results'!B7),ISNUMBER('Results'!C7),ISNUMBER('Results'!$B$8),ISNUMBER('Inputs'!$B$6),ISNUMBER('Inputs'!$B$7),ISNUMBER('Inputs'!$B$8),ISNUMBER('Inputs'!$B$9),ISNUMBER('Inputs'!$B$10),ISNUMBER('Inputs'!$B$21),ISNUMBER('Inputs'!$B$24),ISNUMBER('Inputs'!$B$28)),(('Results'!B7*(0.5*((((552-43)*MAX('Inputs'!$B$33,'Inputs'!$B$29+'Inputs'!$B$31+'Inputs'!$B$32,'Inputs'!$B$30+'Inputs'!$B$31+'Inputs'!$B$32)/1000+'Inputs'!$B$21)+'Inputs'!$B$7)/SQRT((((552-43)*MAX('Inputs'!$B$33,'Inputs'!$B$29+'Inputs'!$B$31+'Inputs'!$B$32,'Inputs'!$B$30+'Inputs'!$B$31+'Inputs'!$B$32)/1000+'Inputs'!$B$21)+'Inputs'!$B$7)^2+('Inputs'!$B$6/2)^2)-(((552-43)*MAX('Inputs'!$B$33,'Inputs'!$B$29+'Inputs'!$B$31+'Inputs'!$B$32,'Inputs'!$B$30+'Inputs'!$B$31+'Inputs'!$B$32)/1000+'Inputs'!$B$21))/SQRT((((552-43)*MAX('Inputs'!$B$33,'Inputs'!$B$29+'Inputs'!$B$31+'Inputs'!$B$32,'Inputs'!$B$30+'Inputs'!$B$31+'Inputs'!$B$32)/1000+'Inputs'!$B$21))^2+('Inputs'!$B$6/2)^2)))-'Results'!C7*(0.5*((((552-43)*MAX('Inputs'!$B$33,'Inputs'!$B$29+'Inputs'!$B$31+'Inputs'!$B$32,'Inputs'!$B$30+'Inputs'!$B$31+'Inputs'!$B$32)/1000+'Inputs'!$B$21+'Inputs'!$B$7+'Inputs'!$B$10)+'Inputs'!$B$9)/SQRT((((552-43)*MAX('Inputs'!$B$33,'Inputs'!$B$29+'Inputs'!$B$31+'Inputs'!$B$32,'Inputs'!$B$30+'Inputs'!$B$31+'Inputs'!$B$32)/1000+'Inputs'!$B$21+'Inputs'!$B$7+'Inputs'!$B$10)+'Inputs'!$B$9)^2+('Inputs'!$B$8/2)^2)-(((552-43)*MAX('Inputs'!$B$33,'Inputs'!$B$29+'Inputs'!$B$31+'Inputs'!$B$32,'Inputs'!$B$30+'Inputs'!$B$31+'Inputs'!$B$32)/1000+'Inputs'!$B$21+'Inputs'!$B$7+'Inputs'!$B$10))/SQRT((((552-43)*MAX('Inputs'!$B$33,'Inputs'!$B$29+'Inputs'!$B$31+'Inputs'!$B$32,'Inputs'!$B$30+'Inputs'!$B$31+'Inputs'!$B$32)/1000+'Inputs'!$B$21+'Inputs'!$B$7+'Inputs'!$B$10))^2+('Inputs'!$B$8/2)^2))))*'Results'!$B$8),"")</x:f>
        <x:v>3.932228624377821</x:v>
      </x:c>
      <x:c r="K552" t="n">
        <x:f>IF(AND(ISNUMBER('Results'!B7),ISNUMBER('Results'!C7),ISNUMBER('Results'!$B$8),ISNUMBER('Inputs'!$B$6),ISNUMBER('Inputs'!$B$7),ISNUMBER('Inputs'!$B$8),ISNUMBER('Inputs'!$B$9),ISNUMBER('Inputs'!$B$10),ISNUMBER('Inputs'!$B$21),ISNUMBER('Inputs'!$B$24),ISNUMBER('Inputs'!$B$28)),((('Results'!B7*(1-'Inputs'!$B$24)*(0.5*((((552-43)*MAX('Inputs'!$B$33,'Inputs'!$B$29+'Inputs'!$B$31+'Inputs'!$B$32,'Inputs'!$B$30+'Inputs'!$B$31+'Inputs'!$B$32)/1000+'Inputs'!$B$21)+'Inputs'!$B$7)/SQRT((((552-43)*MAX('Inputs'!$B$33,'Inputs'!$B$29+'Inputs'!$B$31+'Inputs'!$B$32,'Inputs'!$B$30+'Inputs'!$B$31+'Inputs'!$B$32)/1000+'Inputs'!$B$21)+'Inputs'!$B$7)^2+('Inputs'!$B$6/2)^2)-(((552-43)*MAX('Inputs'!$B$33,'Inputs'!$B$29+'Inputs'!$B$31+'Inputs'!$B$32,'Inputs'!$B$30+'Inputs'!$B$31+'Inputs'!$B$32)/1000+'Inputs'!$B$21))/SQRT((((552-43)*MAX('Inputs'!$B$33,'Inputs'!$B$29+'Inputs'!$B$31+'Inputs'!$B$32,'Inputs'!$B$30+'Inputs'!$B$31+'Inputs'!$B$32)/1000+'Inputs'!$B$21))^2+('Inputs'!$B$6/2)^2)))-'Results'!C7*(1+'Inputs'!$B$24)*(0.5*((((552-43)*MAX('Inputs'!$B$33,'Inputs'!$B$29+'Inputs'!$B$31+'Inputs'!$B$32,'Inputs'!$B$30+'Inputs'!$B$31+'Inputs'!$B$32)/1000+'Inputs'!$B$21+'Inputs'!$B$7+'Inputs'!$B$10)+'Inputs'!$B$9)/SQRT((((552-43)*MAX('Inputs'!$B$33,'Inputs'!$B$29+'Inputs'!$B$31+'Inputs'!$B$32,'Inputs'!$B$30+'Inputs'!$B$31+'Inputs'!$B$32)/1000+'Inputs'!$B$21+'Inputs'!$B$7+'Inputs'!$B$10)+'Inputs'!$B$9)^2+('Inputs'!$B$8/2)^2)-(((552-43)*MAX('Inputs'!$B$33,'Inputs'!$B$29+'Inputs'!$B$31+'Inputs'!$B$32,'Inputs'!$B$30+'Inputs'!$B$31+'Inputs'!$B$32)/1000+'Inputs'!$B$21+'Inputs'!$B$7+'Inputs'!$B$10))/SQRT((((552-43)*MAX('Inputs'!$B$33,'Inputs'!$B$29+'Inputs'!$B$31+'Inputs'!$B$32,'Inputs'!$B$30+'Inputs'!$B$31+'Inputs'!$B$32)/1000+'Inputs'!$B$21+'Inputs'!$B$7+'Inputs'!$B$10))^2+('Inputs'!$B$8/2)^2))))*'Results'!$B$8)-'Inputs'!$B$28*ABS((('Results'!B7*(1-'Inputs'!$B$24)*(0.5*((((552-43)*MAX('Inputs'!$B$33,'Inputs'!$B$29+'Inputs'!$B$31+'Inputs'!$B$32,'Inputs'!$B$30+'Inputs'!$B$31+'Inputs'!$B$32)/1000+'Inputs'!$B$21)+'Inputs'!$B$7)/SQRT((((552-43)*MAX('Inputs'!$B$33,'Inputs'!$B$29+'Inputs'!$B$31+'Inputs'!$B$32,'Inputs'!$B$30+'Inputs'!$B$31+'Inputs'!$B$32)/1000+'Inputs'!$B$21)+'Inputs'!$B$7)^2+('Inputs'!$B$6/2)^2)-(((552-43)*MAX('Inputs'!$B$33,'Inputs'!$B$29+'Inputs'!$B$31+'Inputs'!$B$32,'Inputs'!$B$30+'Inputs'!$B$31+'Inputs'!$B$32)/1000+'Inputs'!$B$21))/SQRT((((552-43)*MAX('Inputs'!$B$33,'Inputs'!$B$29+'Inputs'!$B$31+'Inputs'!$B$32,'Inputs'!$B$30+'Inputs'!$B$31+'Inputs'!$B$32)/1000+'Inputs'!$B$21))^2+('Inputs'!$B$6/2)^2)))-'Results'!C7*(1+'Inputs'!$B$24)*(0.5*((((552-43)*MAX('Inputs'!$B$33,'Inputs'!$B$29+'Inputs'!$B$31+'Inputs'!$B$32,'Inputs'!$B$30+'Inputs'!$B$31+'Inputs'!$B$32)/1000+'Inputs'!$B$21+'Inputs'!$B$7+'Inputs'!$B$10)+'Inputs'!$B$9)/SQRT((((552-43)*MAX('Inputs'!$B$33,'Inputs'!$B$29+'Inputs'!$B$31+'Inputs'!$B$32,'Inputs'!$B$30+'Inputs'!$B$31+'Inputs'!$B$32)/1000+'Inputs'!$B$21+'Inputs'!$B$7+'Inputs'!$B$10)+'Inputs'!$B$9)^2+('Inputs'!$B$8/2)^2)-(((552-43)*MAX('Inputs'!$B$33,'Inputs'!$B$29+'Inputs'!$B$31+'Inputs'!$B$32,'Inputs'!$B$30+'Inputs'!$B$31+'Inputs'!$B$32)/1000+'Inputs'!$B$21+'Inputs'!$B$7+'Inputs'!$B$10))/SQRT((((552-43)*MAX('Inputs'!$B$33,'Inputs'!$B$29+'Inputs'!$B$31+'Inputs'!$B$32,'Inputs'!$B$30+'Inputs'!$B$31+'Inputs'!$B$32)/1000+'Inputs'!$B$21+'Inputs'!$B$7+'Inputs'!$B$10))^2+('Inputs'!$B$8/2)^2))))*'Results'!$B$8))),"")</x:f>
        <x:v>3.4787895223383933</x:v>
      </x:c>
      <x:c r="L552" t="n">
        <x:f>IF(AND(ISNUMBER('Results'!B7),ISNUMBER('Results'!C7),ISNUMBER('Results'!$B$8),ISNUMBER('Inputs'!$B$6),ISNUMBER('Inputs'!$B$7),ISNUMBER('Inputs'!$B$8),ISNUMBER('Inputs'!$B$9),ISNUMBER('Inputs'!$B$10),ISNUMBER('Inputs'!$B$21),ISNUMBER('Inputs'!$B$24),ISNUMBER('Inputs'!$B$28)),((('Results'!B7*(1+'Inputs'!$B$24)*(0.5*((((552-43)*MAX('Inputs'!$B$33,'Inputs'!$B$29+'Inputs'!$B$31+'Inputs'!$B$32,'Inputs'!$B$30+'Inputs'!$B$31+'Inputs'!$B$32)/1000+'Inputs'!$B$21)+'Inputs'!$B$7)/SQRT((((552-43)*MAX('Inputs'!$B$33,'Inputs'!$B$29+'Inputs'!$B$31+'Inputs'!$B$32,'Inputs'!$B$30+'Inputs'!$B$31+'Inputs'!$B$32)/1000+'Inputs'!$B$21)+'Inputs'!$B$7)^2+('Inputs'!$B$6/2)^2)-(((552-43)*MAX('Inputs'!$B$33,'Inputs'!$B$29+'Inputs'!$B$31+'Inputs'!$B$32,'Inputs'!$B$30+'Inputs'!$B$31+'Inputs'!$B$32)/1000+'Inputs'!$B$21))/SQRT((((552-43)*MAX('Inputs'!$B$33,'Inputs'!$B$29+'Inputs'!$B$31+'Inputs'!$B$32,'Inputs'!$B$30+'Inputs'!$B$31+'Inputs'!$B$32)/1000+'Inputs'!$B$21))^2+('Inputs'!$B$6/2)^2)))-'Results'!C7*(1-'Inputs'!$B$24)*(0.5*((((552-43)*MAX('Inputs'!$B$33,'Inputs'!$B$29+'Inputs'!$B$31+'Inputs'!$B$32,'Inputs'!$B$30+'Inputs'!$B$31+'Inputs'!$B$32)/1000+'Inputs'!$B$21+'Inputs'!$B$7+'Inputs'!$B$10)+'Inputs'!$B$9)/SQRT((((552-43)*MAX('Inputs'!$B$33,'Inputs'!$B$29+'Inputs'!$B$31+'Inputs'!$B$32,'Inputs'!$B$30+'Inputs'!$B$31+'Inputs'!$B$32)/1000+'Inputs'!$B$21+'Inputs'!$B$7+'Inputs'!$B$10)+'Inputs'!$B$9)^2+('Inputs'!$B$8/2)^2)-(((552-43)*MAX('Inputs'!$B$33,'Inputs'!$B$29+'Inputs'!$B$31+'Inputs'!$B$32,'Inputs'!$B$30+'Inputs'!$B$31+'Inputs'!$B$32)/1000+'Inputs'!$B$21+'Inputs'!$B$7+'Inputs'!$B$10))/SQRT((((552-43)*MAX('Inputs'!$B$33,'Inputs'!$B$29+'Inputs'!$B$31+'Inputs'!$B$32,'Inputs'!$B$30+'Inputs'!$B$31+'Inputs'!$B$32)/1000+'Inputs'!$B$21+'Inputs'!$B$7+'Inputs'!$B$10))^2+('Inputs'!$B$8/2)^2))))*'Results'!$B$8)+'Inputs'!$B$28*ABS((('Results'!B7*(1+'Inputs'!$B$24)*(0.5*((((552-43)*MAX('Inputs'!$B$33,'Inputs'!$B$29+'Inputs'!$B$31+'Inputs'!$B$32,'Inputs'!$B$30+'Inputs'!$B$31+'Inputs'!$B$32)/1000+'Inputs'!$B$21)+'Inputs'!$B$7)/SQRT((((552-43)*MAX('Inputs'!$B$33,'Inputs'!$B$29+'Inputs'!$B$31+'Inputs'!$B$32,'Inputs'!$B$30+'Inputs'!$B$31+'Inputs'!$B$32)/1000+'Inputs'!$B$21)+'Inputs'!$B$7)^2+('Inputs'!$B$6/2)^2)-(((552-43)*MAX('Inputs'!$B$33,'Inputs'!$B$29+'Inputs'!$B$31+'Inputs'!$B$32,'Inputs'!$B$30+'Inputs'!$B$31+'Inputs'!$B$32)/1000+'Inputs'!$B$21))/SQRT((((552-43)*MAX('Inputs'!$B$33,'Inputs'!$B$29+'Inputs'!$B$31+'Inputs'!$B$32,'Inputs'!$B$30+'Inputs'!$B$31+'Inputs'!$B$32)/1000+'Inputs'!$B$21))^2+('Inputs'!$B$6/2)^2)))-'Results'!C7*(1-'Inputs'!$B$24)*(0.5*((((552-43)*MAX('Inputs'!$B$33,'Inputs'!$B$29+'Inputs'!$B$31+'Inputs'!$B$32,'Inputs'!$B$30+'Inputs'!$B$31+'Inputs'!$B$32)/1000+'Inputs'!$B$21+'Inputs'!$B$7+'Inputs'!$B$10)+'Inputs'!$B$9)/SQRT((((552-43)*MAX('Inputs'!$B$33,'Inputs'!$B$29+'Inputs'!$B$31+'Inputs'!$B$32,'Inputs'!$B$30+'Inputs'!$B$31+'Inputs'!$B$32)/1000+'Inputs'!$B$21+'Inputs'!$B$7+'Inputs'!$B$10)+'Inputs'!$B$9)^2+('Inputs'!$B$8/2)^2)-(((552-43)*MAX('Inputs'!$B$33,'Inputs'!$B$29+'Inputs'!$B$31+'Inputs'!$B$32,'Inputs'!$B$30+'Inputs'!$B$31+'Inputs'!$B$32)/1000+'Inputs'!$B$21+'Inputs'!$B$7+'Inputs'!$B$10))/SQRT((((552-43)*MAX('Inputs'!$B$33,'Inputs'!$B$29+'Inputs'!$B$31+'Inputs'!$B$32,'Inputs'!$B$30+'Inputs'!$B$31+'Inputs'!$B$32)/1000+'Inputs'!$B$21+'Inputs'!$B$7+'Inputs'!$B$10))^2+('Inputs'!$B$8/2)^2))))*'Results'!$B$8))),"")</x:f>
        <x:v>4.412702218082569</x:v>
      </x:c>
      <x:c r="M552" t="n">
        <x:f>IF(AND(ISNUMBER('Results'!C7),ISNUMBER('Results'!B7),ISNUMBER('Results'!$B$8),ISNUMBER('Inputs'!$B$6),ISNUMBER('Inputs'!$B$7),ISNUMBER('Inputs'!$B$8),ISNUMBER('Inputs'!$B$9),ISNUMBER('Inputs'!$B$10),ISNUMBER('Inputs'!$B$21),ISNUMBER('Inputs'!$B$24),ISNUMBER('Inputs'!$B$28)),(('Results'!C7*(0.5*((((552-43)*MAX('Inputs'!$B$33,'Inputs'!$B$29+'Inputs'!$B$31+'Inputs'!$B$32,'Inputs'!$B$30+'Inputs'!$B$31+'Inputs'!$B$32)/1000+'Inputs'!$B$21)+'Inputs'!$B$9)/SQRT((((552-43)*MAX('Inputs'!$B$33,'Inputs'!$B$29+'Inputs'!$B$31+'Inputs'!$B$32,'Inputs'!$B$30+'Inputs'!$B$31+'Inputs'!$B$32)/1000+'Inputs'!$B$21)+'Inputs'!$B$9)^2+('Inputs'!$B$8/2)^2)-(((552-43)*MAX('Inputs'!$B$33,'Inputs'!$B$29+'Inputs'!$B$31+'Inputs'!$B$32,'Inputs'!$B$30+'Inputs'!$B$31+'Inputs'!$B$32)/1000+'Inputs'!$B$21))/SQRT((((552-43)*MAX('Inputs'!$B$33,'Inputs'!$B$29+'Inputs'!$B$31+'Inputs'!$B$32,'Inputs'!$B$30+'Inputs'!$B$31+'Inputs'!$B$32)/1000+'Inputs'!$B$21))^2+('Inputs'!$B$8/2)^2)))-'Results'!B7*(0.5*((((552-43)*MAX('Inputs'!$B$33,'Inputs'!$B$29+'Inputs'!$B$31+'Inputs'!$B$32,'Inputs'!$B$30+'Inputs'!$B$31+'Inputs'!$B$32)/1000+'Inputs'!$B$21+'Inputs'!$B$9+'Inputs'!$B$10)+'Inputs'!$B$7)/SQRT((((552-43)*MAX('Inputs'!$B$33,'Inputs'!$B$29+'Inputs'!$B$31+'Inputs'!$B$32,'Inputs'!$B$30+'Inputs'!$B$31+'Inputs'!$B$32)/1000+'Inputs'!$B$21+'Inputs'!$B$9+'Inputs'!$B$10)+'Inputs'!$B$7)^2+('Inputs'!$B$6/2)^2)-(((552-43)*MAX('Inputs'!$B$33,'Inputs'!$B$29+'Inputs'!$B$31+'Inputs'!$B$32,'Inputs'!$B$30+'Inputs'!$B$31+'Inputs'!$B$32)/1000+'Inputs'!$B$21+'Inputs'!$B$9+'Inputs'!$B$10))/SQRT((((552-43)*MAX('Inputs'!$B$33,'Inputs'!$B$29+'Inputs'!$B$31+'Inputs'!$B$32,'Inputs'!$B$30+'Inputs'!$B$31+'Inputs'!$B$32)/1000+'Inputs'!$B$21+'Inputs'!$B$9+'Inputs'!$B$10))^2+('Inputs'!$B$6/2)^2))))*'Results'!$B$8),"")</x:f>
        <x:v>3.6599275817637515</x:v>
      </x:c>
      <x:c r="N552" t="n">
        <x:f>IF(AND(ISNUMBER('Results'!C7),ISNUMBER('Results'!B7),ISNUMBER('Results'!$B$8),ISNUMBER('Inputs'!$B$6),ISNUMBER('Inputs'!$B$7),ISNUMBER('Inputs'!$B$8),ISNUMBER('Inputs'!$B$9),ISNUMBER('Inputs'!$B$10),ISNUMBER('Inputs'!$B$21),ISNUMBER('Inputs'!$B$24),ISNUMBER('Inputs'!$B$28)),((('Results'!C7*(1-'Inputs'!$B$24)*(0.5*((((552-43)*MAX('Inputs'!$B$33,'Inputs'!$B$29+'Inputs'!$B$31+'Inputs'!$B$32,'Inputs'!$B$30+'Inputs'!$B$31+'Inputs'!$B$32)/1000+'Inputs'!$B$21)+'Inputs'!$B$9)/SQRT((((552-43)*MAX('Inputs'!$B$33,'Inputs'!$B$29+'Inputs'!$B$31+'Inputs'!$B$32,'Inputs'!$B$30+'Inputs'!$B$31+'Inputs'!$B$32)/1000+'Inputs'!$B$21)+'Inputs'!$B$9)^2+('Inputs'!$B$8/2)^2)-(((552-43)*MAX('Inputs'!$B$33,'Inputs'!$B$29+'Inputs'!$B$31+'Inputs'!$B$32,'Inputs'!$B$30+'Inputs'!$B$31+'Inputs'!$B$32)/1000+'Inputs'!$B$21))/SQRT((((552-43)*MAX('Inputs'!$B$33,'Inputs'!$B$29+'Inputs'!$B$31+'Inputs'!$B$32,'Inputs'!$B$30+'Inputs'!$B$31+'Inputs'!$B$32)/1000+'Inputs'!$B$21))^2+('Inputs'!$B$8/2)^2)))-'Results'!B7*(1+'Inputs'!$B$24)*(0.5*((((552-43)*MAX('Inputs'!$B$33,'Inputs'!$B$29+'Inputs'!$B$31+'Inputs'!$B$32,'Inputs'!$B$30+'Inputs'!$B$31+'Inputs'!$B$32)/1000+'Inputs'!$B$21+'Inputs'!$B$9+'Inputs'!$B$10)+'Inputs'!$B$7)/SQRT((((552-43)*MAX('Inputs'!$B$33,'Inputs'!$B$29+'Inputs'!$B$31+'Inputs'!$B$32,'Inputs'!$B$30+'Inputs'!$B$31+'Inputs'!$B$32)/1000+'Inputs'!$B$21+'Inputs'!$B$9+'Inputs'!$B$10)+'Inputs'!$B$7)^2+('Inputs'!$B$6/2)^2)-(((552-43)*MAX('Inputs'!$B$33,'Inputs'!$B$29+'Inputs'!$B$31+'Inputs'!$B$32,'Inputs'!$B$30+'Inputs'!$B$31+'Inputs'!$B$32)/1000+'Inputs'!$B$21+'Inputs'!$B$9+'Inputs'!$B$10))/SQRT((((552-43)*MAX('Inputs'!$B$33,'Inputs'!$B$29+'Inputs'!$B$31+'Inputs'!$B$32,'Inputs'!$B$30+'Inputs'!$B$31+'Inputs'!$B$32)/1000+'Inputs'!$B$21+'Inputs'!$B$9+'Inputs'!$B$10))^2+('Inputs'!$B$6/2)^2))))*'Results'!$B$8)-'Inputs'!$B$28*ABS((('Results'!C7*(1-'Inputs'!$B$24)*(0.5*((((552-43)*MAX('Inputs'!$B$33,'Inputs'!$B$29+'Inputs'!$B$31+'Inputs'!$B$32,'Inputs'!$B$30+'Inputs'!$B$31+'Inputs'!$B$32)/1000+'Inputs'!$B$21)+'Inputs'!$B$9)/SQRT((((552-43)*MAX('Inputs'!$B$33,'Inputs'!$B$29+'Inputs'!$B$31+'Inputs'!$B$32,'Inputs'!$B$30+'Inputs'!$B$31+'Inputs'!$B$32)/1000+'Inputs'!$B$21)+'Inputs'!$B$9)^2+('Inputs'!$B$8/2)^2)-(((552-43)*MAX('Inputs'!$B$33,'Inputs'!$B$29+'Inputs'!$B$31+'Inputs'!$B$32,'Inputs'!$B$30+'Inputs'!$B$31+'Inputs'!$B$32)/1000+'Inputs'!$B$21))/SQRT((((552-43)*MAX('Inputs'!$B$33,'Inputs'!$B$29+'Inputs'!$B$31+'Inputs'!$B$32,'Inputs'!$B$30+'Inputs'!$B$31+'Inputs'!$B$32)/1000+'Inputs'!$B$21))^2+('Inputs'!$B$8/2)^2)))-'Results'!B7*(1+'Inputs'!$B$24)*(0.5*((((552-43)*MAX('Inputs'!$B$33,'Inputs'!$B$29+'Inputs'!$B$31+'Inputs'!$B$32,'Inputs'!$B$30+'Inputs'!$B$31+'Inputs'!$B$32)/1000+'Inputs'!$B$21+'Inputs'!$B$9+'Inputs'!$B$10)+'Inputs'!$B$7)/SQRT((((552-43)*MAX('Inputs'!$B$33,'Inputs'!$B$29+'Inputs'!$B$31+'Inputs'!$B$32,'Inputs'!$B$30+'Inputs'!$B$31+'Inputs'!$B$32)/1000+'Inputs'!$B$21+'Inputs'!$B$9+'Inputs'!$B$10)+'Inputs'!$B$7)^2+('Inputs'!$B$6/2)^2)-(((552-43)*MAX('Inputs'!$B$33,'Inputs'!$B$29+'Inputs'!$B$31+'Inputs'!$B$32,'Inputs'!$B$30+'Inputs'!$B$31+'Inputs'!$B$32)/1000+'Inputs'!$B$21+'Inputs'!$B$9+'Inputs'!$B$10))/SQRT((((552-43)*MAX('Inputs'!$B$33,'Inputs'!$B$29+'Inputs'!$B$31+'Inputs'!$B$32,'Inputs'!$B$30+'Inputs'!$B$31+'Inputs'!$B$32)/1000+'Inputs'!$B$21+'Inputs'!$B$9+'Inputs'!$B$10))^2+('Inputs'!$B$6/2)^2))))*'Results'!$B$8))),"")</x:f>
        <x:v>3.2215606123390335</x:v>
      </x:c>
      <x:c r="O552" t="n">
        <x:f>IF(AND(ISNUMBER('Results'!C7),ISNUMBER('Results'!B7),ISNUMBER('Results'!$B$8),ISNUMBER('Inputs'!$B$6),ISNUMBER('Inputs'!$B$7),ISNUMBER('Inputs'!$B$8),ISNUMBER('Inputs'!$B$9),ISNUMBER('Inputs'!$B$10),ISNUMBER('Inputs'!$B$21),ISNUMBER('Inputs'!$B$24),ISNUMBER('Inputs'!$B$28)),((('Results'!C7*(1+'Inputs'!$B$24)*(0.5*((((552-43)*MAX('Inputs'!$B$33,'Inputs'!$B$29+'Inputs'!$B$31+'Inputs'!$B$32,'Inputs'!$B$30+'Inputs'!$B$31+'Inputs'!$B$32)/1000+'Inputs'!$B$21)+'Inputs'!$B$9)/SQRT((((552-43)*MAX('Inputs'!$B$33,'Inputs'!$B$29+'Inputs'!$B$31+'Inputs'!$B$32,'Inputs'!$B$30+'Inputs'!$B$31+'Inputs'!$B$32)/1000+'Inputs'!$B$21)+'Inputs'!$B$9)^2+('Inputs'!$B$8/2)^2)-(((552-43)*MAX('Inputs'!$B$33,'Inputs'!$B$29+'Inputs'!$B$31+'Inputs'!$B$32,'Inputs'!$B$30+'Inputs'!$B$31+'Inputs'!$B$32)/1000+'Inputs'!$B$21))/SQRT((((552-43)*MAX('Inputs'!$B$33,'Inputs'!$B$29+'Inputs'!$B$31+'Inputs'!$B$32,'Inputs'!$B$30+'Inputs'!$B$31+'Inputs'!$B$32)/1000+'Inputs'!$B$21))^2+('Inputs'!$B$8/2)^2)))-'Results'!B7*(1-'Inputs'!$B$24)*(0.5*((((552-43)*MAX('Inputs'!$B$33,'Inputs'!$B$29+'Inputs'!$B$31+'Inputs'!$B$32,'Inputs'!$B$30+'Inputs'!$B$31+'Inputs'!$B$32)/1000+'Inputs'!$B$21+'Inputs'!$B$9+'Inputs'!$B$10)+'Inputs'!$B$7)/SQRT((((552-43)*MAX('Inputs'!$B$33,'Inputs'!$B$29+'Inputs'!$B$31+'Inputs'!$B$32,'Inputs'!$B$30+'Inputs'!$B$31+'Inputs'!$B$32)/1000+'Inputs'!$B$21+'Inputs'!$B$9+'Inputs'!$B$10)+'Inputs'!$B$7)^2+('Inputs'!$B$6/2)^2)-(((552-43)*MAX('Inputs'!$B$33,'Inputs'!$B$29+'Inputs'!$B$31+'Inputs'!$B$32,'Inputs'!$B$30+'Inputs'!$B$31+'Inputs'!$B$32)/1000+'Inputs'!$B$21+'Inputs'!$B$9+'Inputs'!$B$10))/SQRT((((552-43)*MAX('Inputs'!$B$33,'Inputs'!$B$29+'Inputs'!$B$31+'Inputs'!$B$32,'Inputs'!$B$30+'Inputs'!$B$31+'Inputs'!$B$32)/1000+'Inputs'!$B$21+'Inputs'!$B$9+'Inputs'!$B$10))^2+('Inputs'!$B$6/2)^2))))*'Results'!$B$8)+'Inputs'!$B$28*ABS((('Results'!C7*(1+'Inputs'!$B$24)*(0.5*((((552-43)*MAX('Inputs'!$B$33,'Inputs'!$B$29+'Inputs'!$B$31+'Inputs'!$B$32,'Inputs'!$B$30+'Inputs'!$B$31+'Inputs'!$B$32)/1000+'Inputs'!$B$21)+'Inputs'!$B$9)/SQRT((((552-43)*MAX('Inputs'!$B$33,'Inputs'!$B$29+'Inputs'!$B$31+'Inputs'!$B$32,'Inputs'!$B$30+'Inputs'!$B$31+'Inputs'!$B$32)/1000+'Inputs'!$B$21)+'Inputs'!$B$9)^2+('Inputs'!$B$8/2)^2)-(((552-43)*MAX('Inputs'!$B$33,'Inputs'!$B$29+'Inputs'!$B$31+'Inputs'!$B$32,'Inputs'!$B$30+'Inputs'!$B$31+'Inputs'!$B$32)/1000+'Inputs'!$B$21))/SQRT((((552-43)*MAX('Inputs'!$B$33,'Inputs'!$B$29+'Inputs'!$B$31+'Inputs'!$B$32,'Inputs'!$B$30+'Inputs'!$B$31+'Inputs'!$B$32)/1000+'Inputs'!$B$21))^2+('Inputs'!$B$8/2)^2)))-'Results'!B7*(1-'Inputs'!$B$24)*(0.5*((((552-43)*MAX('Inputs'!$B$33,'Inputs'!$B$29+'Inputs'!$B$31+'Inputs'!$B$32,'Inputs'!$B$30+'Inputs'!$B$31+'Inputs'!$B$32)/1000+'Inputs'!$B$21+'Inputs'!$B$9+'Inputs'!$B$10)+'Inputs'!$B$7)/SQRT((((552-43)*MAX('Inputs'!$B$33,'Inputs'!$B$29+'Inputs'!$B$31+'Inputs'!$B$32,'Inputs'!$B$30+'Inputs'!$B$31+'Inputs'!$B$32)/1000+'Inputs'!$B$21+'Inputs'!$B$9+'Inputs'!$B$10)+'Inputs'!$B$7)^2+('Inputs'!$B$6/2)^2)-(((552-43)*MAX('Inputs'!$B$33,'Inputs'!$B$29+'Inputs'!$B$31+'Inputs'!$B$32,'Inputs'!$B$30+'Inputs'!$B$31+'Inputs'!$B$32)/1000+'Inputs'!$B$21+'Inputs'!$B$9+'Inputs'!$B$10))/SQRT((((552-43)*MAX('Inputs'!$B$33,'Inputs'!$B$29+'Inputs'!$B$31+'Inputs'!$B$32,'Inputs'!$B$30+'Inputs'!$B$31+'Inputs'!$B$32)/1000+'Inputs'!$B$21+'Inputs'!$B$9+'Inputs'!$B$10))^2+('Inputs'!$B$6/2)^2))))*'Results'!$B$8))),"")</x:f>
        <x:v>4.125175665960736</x:v>
      </x:c>
      <x:c r="P552" t="n">
        <x:f>IF(AND(MAX(J552,J551)&gt;0,J552&gt;J551+0.00000001),1,0)</x:f>
        <x:v>0</x:v>
      </x:c>
      <x:c r="Q552" t="n">
        <x:f>IF(AND(MAX(K552,K551)&gt;0,K552&gt;K551+0.00000001),1,0)</x:f>
        <x:v>0</x:v>
      </x:c>
      <x:c r="R552" t="n">
        <x:f>IF(AND(MAX(L552,L551)&gt;0,L552&gt;L551+0.00000001),1,0)</x:f>
        <x:v>0</x:v>
      </x:c>
      <x:c r="S552" t="n">
        <x:f>IF(AND(MAX(M552,M551)&gt;0,M552&gt;M551+0.00000001),1,0)</x:f>
        <x:v>0</x:v>
      </x:c>
      <x:c r="T552" t="n">
        <x:f>IF(AND(MAX(N552,N551)&gt;0,N552&gt;N551+0.00000001),1,0)</x:f>
        <x:v>0</x:v>
      </x:c>
      <x:c r="U552" t="n">
        <x:f>IF(AND(MAX(O552,O551)&gt;0,O552&gt;O551+0.00000001),1,0)</x:f>
        <x:v>0</x:v>
      </x:c>
    </x:row>
    <x:row r="553">
      <x:c r="J553" t="n">
        <x:f>IF(AND(ISNUMBER('Results'!B7),ISNUMBER('Results'!C7),ISNUMBER('Results'!$B$8),ISNUMBER('Inputs'!$B$6),ISNUMBER('Inputs'!$B$7),ISNUMBER('Inputs'!$B$8),ISNUMBER('Inputs'!$B$9),ISNUMBER('Inputs'!$B$10),ISNUMBER('Inputs'!$B$21),ISNUMBER('Inputs'!$B$24),ISNUMBER('Inputs'!$B$28)),(('Results'!B7*(0.5*((((553-43)*MAX('Inputs'!$B$33,'Inputs'!$B$29+'Inputs'!$B$31+'Inputs'!$B$32,'Inputs'!$B$30+'Inputs'!$B$31+'Inputs'!$B$32)/1000+'Inputs'!$B$21)+'Inputs'!$B$7)/SQRT((((553-43)*MAX('Inputs'!$B$33,'Inputs'!$B$29+'Inputs'!$B$31+'Inputs'!$B$32,'Inputs'!$B$30+'Inputs'!$B$31+'Inputs'!$B$32)/1000+'Inputs'!$B$21)+'Inputs'!$B$7)^2+('Inputs'!$B$6/2)^2)-(((553-43)*MAX('Inputs'!$B$33,'Inputs'!$B$29+'Inputs'!$B$31+'Inputs'!$B$32,'Inputs'!$B$30+'Inputs'!$B$31+'Inputs'!$B$32)/1000+'Inputs'!$B$21))/SQRT((((553-43)*MAX('Inputs'!$B$33,'Inputs'!$B$29+'Inputs'!$B$31+'Inputs'!$B$32,'Inputs'!$B$30+'Inputs'!$B$31+'Inputs'!$B$32)/1000+'Inputs'!$B$21))^2+('Inputs'!$B$6/2)^2)))-'Results'!C7*(0.5*((((553-43)*MAX('Inputs'!$B$33,'Inputs'!$B$29+'Inputs'!$B$31+'Inputs'!$B$32,'Inputs'!$B$30+'Inputs'!$B$31+'Inputs'!$B$32)/1000+'Inputs'!$B$21+'Inputs'!$B$7+'Inputs'!$B$10)+'Inputs'!$B$9)/SQRT((((553-43)*MAX('Inputs'!$B$33,'Inputs'!$B$29+'Inputs'!$B$31+'Inputs'!$B$32,'Inputs'!$B$30+'Inputs'!$B$31+'Inputs'!$B$32)/1000+'Inputs'!$B$21+'Inputs'!$B$7+'Inputs'!$B$10)+'Inputs'!$B$9)^2+('Inputs'!$B$8/2)^2)-(((553-43)*MAX('Inputs'!$B$33,'Inputs'!$B$29+'Inputs'!$B$31+'Inputs'!$B$32,'Inputs'!$B$30+'Inputs'!$B$31+'Inputs'!$B$32)/1000+'Inputs'!$B$21+'Inputs'!$B$7+'Inputs'!$B$10))/SQRT((((553-43)*MAX('Inputs'!$B$33,'Inputs'!$B$29+'Inputs'!$B$31+'Inputs'!$B$32,'Inputs'!$B$30+'Inputs'!$B$31+'Inputs'!$B$32)/1000+'Inputs'!$B$21+'Inputs'!$B$7+'Inputs'!$B$10))^2+('Inputs'!$B$8/2)^2))))*'Results'!$B$8),"")</x:f>
        <x:v>3.905885989250415</x:v>
      </x:c>
      <x:c r="K553" t="n">
        <x:f>IF(AND(ISNUMBER('Results'!B7),ISNUMBER('Results'!C7),ISNUMBER('Results'!$B$8),ISNUMBER('Inputs'!$B$6),ISNUMBER('Inputs'!$B$7),ISNUMBER('Inputs'!$B$8),ISNUMBER('Inputs'!$B$9),ISNUMBER('Inputs'!$B$10),ISNUMBER('Inputs'!$B$21),ISNUMBER('Inputs'!$B$24),ISNUMBER('Inputs'!$B$28)),((('Results'!B7*(1-'Inputs'!$B$24)*(0.5*((((553-43)*MAX('Inputs'!$B$33,'Inputs'!$B$29+'Inputs'!$B$31+'Inputs'!$B$32,'Inputs'!$B$30+'Inputs'!$B$31+'Inputs'!$B$32)/1000+'Inputs'!$B$21)+'Inputs'!$B$7)/SQRT((((553-43)*MAX('Inputs'!$B$33,'Inputs'!$B$29+'Inputs'!$B$31+'Inputs'!$B$32,'Inputs'!$B$30+'Inputs'!$B$31+'Inputs'!$B$32)/1000+'Inputs'!$B$21)+'Inputs'!$B$7)^2+('Inputs'!$B$6/2)^2)-(((553-43)*MAX('Inputs'!$B$33,'Inputs'!$B$29+'Inputs'!$B$31+'Inputs'!$B$32,'Inputs'!$B$30+'Inputs'!$B$31+'Inputs'!$B$32)/1000+'Inputs'!$B$21))/SQRT((((553-43)*MAX('Inputs'!$B$33,'Inputs'!$B$29+'Inputs'!$B$31+'Inputs'!$B$32,'Inputs'!$B$30+'Inputs'!$B$31+'Inputs'!$B$32)/1000+'Inputs'!$B$21))^2+('Inputs'!$B$6/2)^2)))-'Results'!C7*(1+'Inputs'!$B$24)*(0.5*((((553-43)*MAX('Inputs'!$B$33,'Inputs'!$B$29+'Inputs'!$B$31+'Inputs'!$B$32,'Inputs'!$B$30+'Inputs'!$B$31+'Inputs'!$B$32)/1000+'Inputs'!$B$21+'Inputs'!$B$7+'Inputs'!$B$10)+'Inputs'!$B$9)/SQRT((((553-43)*MAX('Inputs'!$B$33,'Inputs'!$B$29+'Inputs'!$B$31+'Inputs'!$B$32,'Inputs'!$B$30+'Inputs'!$B$31+'Inputs'!$B$32)/1000+'Inputs'!$B$21+'Inputs'!$B$7+'Inputs'!$B$10)+'Inputs'!$B$9)^2+('Inputs'!$B$8/2)^2)-(((553-43)*MAX('Inputs'!$B$33,'Inputs'!$B$29+'Inputs'!$B$31+'Inputs'!$B$32,'Inputs'!$B$30+'Inputs'!$B$31+'Inputs'!$B$32)/1000+'Inputs'!$B$21+'Inputs'!$B$7+'Inputs'!$B$10))/SQRT((((553-43)*MAX('Inputs'!$B$33,'Inputs'!$B$29+'Inputs'!$B$31+'Inputs'!$B$32,'Inputs'!$B$30+'Inputs'!$B$31+'Inputs'!$B$32)/1000+'Inputs'!$B$21+'Inputs'!$B$7+'Inputs'!$B$10))^2+('Inputs'!$B$8/2)^2))))*'Results'!$B$8)-'Inputs'!$B$28*ABS((('Results'!B7*(1-'Inputs'!$B$24)*(0.5*((((553-43)*MAX('Inputs'!$B$33,'Inputs'!$B$29+'Inputs'!$B$31+'Inputs'!$B$32,'Inputs'!$B$30+'Inputs'!$B$31+'Inputs'!$B$32)/1000+'Inputs'!$B$21)+'Inputs'!$B$7)/SQRT((((553-43)*MAX('Inputs'!$B$33,'Inputs'!$B$29+'Inputs'!$B$31+'Inputs'!$B$32,'Inputs'!$B$30+'Inputs'!$B$31+'Inputs'!$B$32)/1000+'Inputs'!$B$21)+'Inputs'!$B$7)^2+('Inputs'!$B$6/2)^2)-(((553-43)*MAX('Inputs'!$B$33,'Inputs'!$B$29+'Inputs'!$B$31+'Inputs'!$B$32,'Inputs'!$B$30+'Inputs'!$B$31+'Inputs'!$B$32)/1000+'Inputs'!$B$21))/SQRT((((553-43)*MAX('Inputs'!$B$33,'Inputs'!$B$29+'Inputs'!$B$31+'Inputs'!$B$32,'Inputs'!$B$30+'Inputs'!$B$31+'Inputs'!$B$32)/1000+'Inputs'!$B$21))^2+('Inputs'!$B$6/2)^2)))-'Results'!C7*(1+'Inputs'!$B$24)*(0.5*((((553-43)*MAX('Inputs'!$B$33,'Inputs'!$B$29+'Inputs'!$B$31+'Inputs'!$B$32,'Inputs'!$B$30+'Inputs'!$B$31+'Inputs'!$B$32)/1000+'Inputs'!$B$21+'Inputs'!$B$7+'Inputs'!$B$10)+'Inputs'!$B$9)/SQRT((((553-43)*MAX('Inputs'!$B$33,'Inputs'!$B$29+'Inputs'!$B$31+'Inputs'!$B$32,'Inputs'!$B$30+'Inputs'!$B$31+'Inputs'!$B$32)/1000+'Inputs'!$B$21+'Inputs'!$B$7+'Inputs'!$B$10)+'Inputs'!$B$9)^2+('Inputs'!$B$8/2)^2)-(((553-43)*MAX('Inputs'!$B$33,'Inputs'!$B$29+'Inputs'!$B$31+'Inputs'!$B$32,'Inputs'!$B$30+'Inputs'!$B$31+'Inputs'!$B$32)/1000+'Inputs'!$B$21+'Inputs'!$B$7+'Inputs'!$B$10))/SQRT((((553-43)*MAX('Inputs'!$B$33,'Inputs'!$B$29+'Inputs'!$B$31+'Inputs'!$B$32,'Inputs'!$B$30+'Inputs'!$B$31+'Inputs'!$B$32)/1000+'Inputs'!$B$21+'Inputs'!$B$7+'Inputs'!$B$10))^2+('Inputs'!$B$8/2)^2))))*'Results'!$B$8))),"")</x:f>
        <x:v>3.4550992432839114</x:v>
      </x:c>
      <x:c r="L553" t="n">
        <x:f>IF(AND(ISNUMBER('Results'!B7),ISNUMBER('Results'!C7),ISNUMBER('Results'!$B$8),ISNUMBER('Inputs'!$B$6),ISNUMBER('Inputs'!$B$7),ISNUMBER('Inputs'!$B$8),ISNUMBER('Inputs'!$B$9),ISNUMBER('Inputs'!$B$10),ISNUMBER('Inputs'!$B$21),ISNUMBER('Inputs'!$B$24),ISNUMBER('Inputs'!$B$28)),((('Results'!B7*(1+'Inputs'!$B$24)*(0.5*((((553-43)*MAX('Inputs'!$B$33,'Inputs'!$B$29+'Inputs'!$B$31+'Inputs'!$B$32,'Inputs'!$B$30+'Inputs'!$B$31+'Inputs'!$B$32)/1000+'Inputs'!$B$21)+'Inputs'!$B$7)/SQRT((((553-43)*MAX('Inputs'!$B$33,'Inputs'!$B$29+'Inputs'!$B$31+'Inputs'!$B$32,'Inputs'!$B$30+'Inputs'!$B$31+'Inputs'!$B$32)/1000+'Inputs'!$B$21)+'Inputs'!$B$7)^2+('Inputs'!$B$6/2)^2)-(((553-43)*MAX('Inputs'!$B$33,'Inputs'!$B$29+'Inputs'!$B$31+'Inputs'!$B$32,'Inputs'!$B$30+'Inputs'!$B$31+'Inputs'!$B$32)/1000+'Inputs'!$B$21))/SQRT((((553-43)*MAX('Inputs'!$B$33,'Inputs'!$B$29+'Inputs'!$B$31+'Inputs'!$B$32,'Inputs'!$B$30+'Inputs'!$B$31+'Inputs'!$B$32)/1000+'Inputs'!$B$21))^2+('Inputs'!$B$6/2)^2)))-'Results'!C7*(1-'Inputs'!$B$24)*(0.5*((((553-43)*MAX('Inputs'!$B$33,'Inputs'!$B$29+'Inputs'!$B$31+'Inputs'!$B$32,'Inputs'!$B$30+'Inputs'!$B$31+'Inputs'!$B$32)/1000+'Inputs'!$B$21+'Inputs'!$B$7+'Inputs'!$B$10)+'Inputs'!$B$9)/SQRT((((553-43)*MAX('Inputs'!$B$33,'Inputs'!$B$29+'Inputs'!$B$31+'Inputs'!$B$32,'Inputs'!$B$30+'Inputs'!$B$31+'Inputs'!$B$32)/1000+'Inputs'!$B$21+'Inputs'!$B$7+'Inputs'!$B$10)+'Inputs'!$B$9)^2+('Inputs'!$B$8/2)^2)-(((553-43)*MAX('Inputs'!$B$33,'Inputs'!$B$29+'Inputs'!$B$31+'Inputs'!$B$32,'Inputs'!$B$30+'Inputs'!$B$31+'Inputs'!$B$32)/1000+'Inputs'!$B$21+'Inputs'!$B$7+'Inputs'!$B$10))/SQRT((((553-43)*MAX('Inputs'!$B$33,'Inputs'!$B$29+'Inputs'!$B$31+'Inputs'!$B$32,'Inputs'!$B$30+'Inputs'!$B$31+'Inputs'!$B$32)/1000+'Inputs'!$B$21+'Inputs'!$B$7+'Inputs'!$B$10))^2+('Inputs'!$B$8/2)^2))))*'Results'!$B$8)+'Inputs'!$B$28*ABS((('Results'!B7*(1+'Inputs'!$B$24)*(0.5*((((553-43)*MAX('Inputs'!$B$33,'Inputs'!$B$29+'Inputs'!$B$31+'Inputs'!$B$32,'Inputs'!$B$30+'Inputs'!$B$31+'Inputs'!$B$32)/1000+'Inputs'!$B$21)+'Inputs'!$B$7)/SQRT((((553-43)*MAX('Inputs'!$B$33,'Inputs'!$B$29+'Inputs'!$B$31+'Inputs'!$B$32,'Inputs'!$B$30+'Inputs'!$B$31+'Inputs'!$B$32)/1000+'Inputs'!$B$21)+'Inputs'!$B$7)^2+('Inputs'!$B$6/2)^2)-(((553-43)*MAX('Inputs'!$B$33,'Inputs'!$B$29+'Inputs'!$B$31+'Inputs'!$B$32,'Inputs'!$B$30+'Inputs'!$B$31+'Inputs'!$B$32)/1000+'Inputs'!$B$21))/SQRT((((553-43)*MAX('Inputs'!$B$33,'Inputs'!$B$29+'Inputs'!$B$31+'Inputs'!$B$32,'Inputs'!$B$30+'Inputs'!$B$31+'Inputs'!$B$32)/1000+'Inputs'!$B$21))^2+('Inputs'!$B$6/2)^2)))-'Results'!C7*(1-'Inputs'!$B$24)*(0.5*((((553-43)*MAX('Inputs'!$B$33,'Inputs'!$B$29+'Inputs'!$B$31+'Inputs'!$B$32,'Inputs'!$B$30+'Inputs'!$B$31+'Inputs'!$B$32)/1000+'Inputs'!$B$21+'Inputs'!$B$7+'Inputs'!$B$10)+'Inputs'!$B$9)/SQRT((((553-43)*MAX('Inputs'!$B$33,'Inputs'!$B$29+'Inputs'!$B$31+'Inputs'!$B$32,'Inputs'!$B$30+'Inputs'!$B$31+'Inputs'!$B$32)/1000+'Inputs'!$B$21+'Inputs'!$B$7+'Inputs'!$B$10)+'Inputs'!$B$9)^2+('Inputs'!$B$8/2)^2)-(((553-43)*MAX('Inputs'!$B$33,'Inputs'!$B$29+'Inputs'!$B$31+'Inputs'!$B$32,'Inputs'!$B$30+'Inputs'!$B$31+'Inputs'!$B$32)/1000+'Inputs'!$B$21+'Inputs'!$B$7+'Inputs'!$B$10))/SQRT((((553-43)*MAX('Inputs'!$B$33,'Inputs'!$B$29+'Inputs'!$B$31+'Inputs'!$B$32,'Inputs'!$B$30+'Inputs'!$B$31+'Inputs'!$B$32)/1000+'Inputs'!$B$21+'Inputs'!$B$7+'Inputs'!$B$10))^2+('Inputs'!$B$8/2)^2))))*'Results'!$B$8))),"")</x:f>
        <x:v>4.383566676954178</x:v>
      </x:c>
      <x:c r="M553" t="n">
        <x:f>IF(AND(ISNUMBER('Results'!C7),ISNUMBER('Results'!B7),ISNUMBER('Results'!$B$8),ISNUMBER('Inputs'!$B$6),ISNUMBER('Inputs'!$B$7),ISNUMBER('Inputs'!$B$8),ISNUMBER('Inputs'!$B$9),ISNUMBER('Inputs'!$B$10),ISNUMBER('Inputs'!$B$21),ISNUMBER('Inputs'!$B$24),ISNUMBER('Inputs'!$B$28)),(('Results'!C7*(0.5*((((553-43)*MAX('Inputs'!$B$33,'Inputs'!$B$29+'Inputs'!$B$31+'Inputs'!$B$32,'Inputs'!$B$30+'Inputs'!$B$31+'Inputs'!$B$32)/1000+'Inputs'!$B$21)+'Inputs'!$B$9)/SQRT((((553-43)*MAX('Inputs'!$B$33,'Inputs'!$B$29+'Inputs'!$B$31+'Inputs'!$B$32,'Inputs'!$B$30+'Inputs'!$B$31+'Inputs'!$B$32)/1000+'Inputs'!$B$21)+'Inputs'!$B$9)^2+('Inputs'!$B$8/2)^2)-(((553-43)*MAX('Inputs'!$B$33,'Inputs'!$B$29+'Inputs'!$B$31+'Inputs'!$B$32,'Inputs'!$B$30+'Inputs'!$B$31+'Inputs'!$B$32)/1000+'Inputs'!$B$21))/SQRT((((553-43)*MAX('Inputs'!$B$33,'Inputs'!$B$29+'Inputs'!$B$31+'Inputs'!$B$32,'Inputs'!$B$30+'Inputs'!$B$31+'Inputs'!$B$32)/1000+'Inputs'!$B$21))^2+('Inputs'!$B$8/2)^2)))-'Results'!B7*(0.5*((((553-43)*MAX('Inputs'!$B$33,'Inputs'!$B$29+'Inputs'!$B$31+'Inputs'!$B$32,'Inputs'!$B$30+'Inputs'!$B$31+'Inputs'!$B$32)/1000+'Inputs'!$B$21+'Inputs'!$B$9+'Inputs'!$B$10)+'Inputs'!$B$7)/SQRT((((553-43)*MAX('Inputs'!$B$33,'Inputs'!$B$29+'Inputs'!$B$31+'Inputs'!$B$32,'Inputs'!$B$30+'Inputs'!$B$31+'Inputs'!$B$32)/1000+'Inputs'!$B$21+'Inputs'!$B$9+'Inputs'!$B$10)+'Inputs'!$B$7)^2+('Inputs'!$B$6/2)^2)-(((553-43)*MAX('Inputs'!$B$33,'Inputs'!$B$29+'Inputs'!$B$31+'Inputs'!$B$32,'Inputs'!$B$30+'Inputs'!$B$31+'Inputs'!$B$32)/1000+'Inputs'!$B$21+'Inputs'!$B$9+'Inputs'!$B$10))/SQRT((((553-43)*MAX('Inputs'!$B$33,'Inputs'!$B$29+'Inputs'!$B$31+'Inputs'!$B$32,'Inputs'!$B$30+'Inputs'!$B$31+'Inputs'!$B$32)/1000+'Inputs'!$B$21+'Inputs'!$B$9+'Inputs'!$B$10))^2+('Inputs'!$B$6/2)^2))))*'Results'!$B$8),"")</x:f>
        <x:v>3.6349994116983364</x:v>
      </x:c>
      <x:c r="N553" t="n">
        <x:f>IF(AND(ISNUMBER('Results'!C7),ISNUMBER('Results'!B7),ISNUMBER('Results'!$B$8),ISNUMBER('Inputs'!$B$6),ISNUMBER('Inputs'!$B$7),ISNUMBER('Inputs'!$B$8),ISNUMBER('Inputs'!$B$9),ISNUMBER('Inputs'!$B$10),ISNUMBER('Inputs'!$B$21),ISNUMBER('Inputs'!$B$24),ISNUMBER('Inputs'!$B$28)),((('Results'!C7*(1-'Inputs'!$B$24)*(0.5*((((553-43)*MAX('Inputs'!$B$33,'Inputs'!$B$29+'Inputs'!$B$31+'Inputs'!$B$32,'Inputs'!$B$30+'Inputs'!$B$31+'Inputs'!$B$32)/1000+'Inputs'!$B$21)+'Inputs'!$B$9)/SQRT((((553-43)*MAX('Inputs'!$B$33,'Inputs'!$B$29+'Inputs'!$B$31+'Inputs'!$B$32,'Inputs'!$B$30+'Inputs'!$B$31+'Inputs'!$B$32)/1000+'Inputs'!$B$21)+'Inputs'!$B$9)^2+('Inputs'!$B$8/2)^2)-(((553-43)*MAX('Inputs'!$B$33,'Inputs'!$B$29+'Inputs'!$B$31+'Inputs'!$B$32,'Inputs'!$B$30+'Inputs'!$B$31+'Inputs'!$B$32)/1000+'Inputs'!$B$21))/SQRT((((553-43)*MAX('Inputs'!$B$33,'Inputs'!$B$29+'Inputs'!$B$31+'Inputs'!$B$32,'Inputs'!$B$30+'Inputs'!$B$31+'Inputs'!$B$32)/1000+'Inputs'!$B$21))^2+('Inputs'!$B$8/2)^2)))-'Results'!B7*(1+'Inputs'!$B$24)*(0.5*((((553-43)*MAX('Inputs'!$B$33,'Inputs'!$B$29+'Inputs'!$B$31+'Inputs'!$B$32,'Inputs'!$B$30+'Inputs'!$B$31+'Inputs'!$B$32)/1000+'Inputs'!$B$21+'Inputs'!$B$9+'Inputs'!$B$10)+'Inputs'!$B$7)/SQRT((((553-43)*MAX('Inputs'!$B$33,'Inputs'!$B$29+'Inputs'!$B$31+'Inputs'!$B$32,'Inputs'!$B$30+'Inputs'!$B$31+'Inputs'!$B$32)/1000+'Inputs'!$B$21+'Inputs'!$B$9+'Inputs'!$B$10)+'Inputs'!$B$7)^2+('Inputs'!$B$6/2)^2)-(((553-43)*MAX('Inputs'!$B$33,'Inputs'!$B$29+'Inputs'!$B$31+'Inputs'!$B$32,'Inputs'!$B$30+'Inputs'!$B$31+'Inputs'!$B$32)/1000+'Inputs'!$B$21+'Inputs'!$B$9+'Inputs'!$B$10))/SQRT((((553-43)*MAX('Inputs'!$B$33,'Inputs'!$B$29+'Inputs'!$B$31+'Inputs'!$B$32,'Inputs'!$B$30+'Inputs'!$B$31+'Inputs'!$B$32)/1000+'Inputs'!$B$21+'Inputs'!$B$9+'Inputs'!$B$10))^2+('Inputs'!$B$6/2)^2))))*'Results'!$B$8)-'Inputs'!$B$28*ABS((('Results'!C7*(1-'Inputs'!$B$24)*(0.5*((((553-43)*MAX('Inputs'!$B$33,'Inputs'!$B$29+'Inputs'!$B$31+'Inputs'!$B$32,'Inputs'!$B$30+'Inputs'!$B$31+'Inputs'!$B$32)/1000+'Inputs'!$B$21)+'Inputs'!$B$9)/SQRT((((553-43)*MAX('Inputs'!$B$33,'Inputs'!$B$29+'Inputs'!$B$31+'Inputs'!$B$32,'Inputs'!$B$30+'Inputs'!$B$31+'Inputs'!$B$32)/1000+'Inputs'!$B$21)+'Inputs'!$B$9)^2+('Inputs'!$B$8/2)^2)-(((553-43)*MAX('Inputs'!$B$33,'Inputs'!$B$29+'Inputs'!$B$31+'Inputs'!$B$32,'Inputs'!$B$30+'Inputs'!$B$31+'Inputs'!$B$32)/1000+'Inputs'!$B$21))/SQRT((((553-43)*MAX('Inputs'!$B$33,'Inputs'!$B$29+'Inputs'!$B$31+'Inputs'!$B$32,'Inputs'!$B$30+'Inputs'!$B$31+'Inputs'!$B$32)/1000+'Inputs'!$B$21))^2+('Inputs'!$B$8/2)^2)))-'Results'!B7*(1+'Inputs'!$B$24)*(0.5*((((553-43)*MAX('Inputs'!$B$33,'Inputs'!$B$29+'Inputs'!$B$31+'Inputs'!$B$32,'Inputs'!$B$30+'Inputs'!$B$31+'Inputs'!$B$32)/1000+'Inputs'!$B$21+'Inputs'!$B$9+'Inputs'!$B$10)+'Inputs'!$B$7)/SQRT((((553-43)*MAX('Inputs'!$B$33,'Inputs'!$B$29+'Inputs'!$B$31+'Inputs'!$B$32,'Inputs'!$B$30+'Inputs'!$B$31+'Inputs'!$B$32)/1000+'Inputs'!$B$21+'Inputs'!$B$9+'Inputs'!$B$10)+'Inputs'!$B$7)^2+('Inputs'!$B$6/2)^2)-(((553-43)*MAX('Inputs'!$B$33,'Inputs'!$B$29+'Inputs'!$B$31+'Inputs'!$B$32,'Inputs'!$B$30+'Inputs'!$B$31+'Inputs'!$B$32)/1000+'Inputs'!$B$21+'Inputs'!$B$9+'Inputs'!$B$10))/SQRT((((553-43)*MAX('Inputs'!$B$33,'Inputs'!$B$29+'Inputs'!$B$31+'Inputs'!$B$32,'Inputs'!$B$30+'Inputs'!$B$31+'Inputs'!$B$32)/1000+'Inputs'!$B$21+'Inputs'!$B$9+'Inputs'!$B$10))^2+('Inputs'!$B$6/2)^2))))*'Results'!$B$8))),"")</x:f>
        <x:v>3.199204235241942</x:v>
      </x:c>
      <x:c r="O553" t="n">
        <x:f>IF(AND(ISNUMBER('Results'!C7),ISNUMBER('Results'!B7),ISNUMBER('Results'!$B$8),ISNUMBER('Inputs'!$B$6),ISNUMBER('Inputs'!$B$7),ISNUMBER('Inputs'!$B$8),ISNUMBER('Inputs'!$B$9),ISNUMBER('Inputs'!$B$10),ISNUMBER('Inputs'!$B$21),ISNUMBER('Inputs'!$B$24),ISNUMBER('Inputs'!$B$28)),((('Results'!C7*(1+'Inputs'!$B$24)*(0.5*((((553-43)*MAX('Inputs'!$B$33,'Inputs'!$B$29+'Inputs'!$B$31+'Inputs'!$B$32,'Inputs'!$B$30+'Inputs'!$B$31+'Inputs'!$B$32)/1000+'Inputs'!$B$21)+'Inputs'!$B$9)/SQRT((((553-43)*MAX('Inputs'!$B$33,'Inputs'!$B$29+'Inputs'!$B$31+'Inputs'!$B$32,'Inputs'!$B$30+'Inputs'!$B$31+'Inputs'!$B$32)/1000+'Inputs'!$B$21)+'Inputs'!$B$9)^2+('Inputs'!$B$8/2)^2)-(((553-43)*MAX('Inputs'!$B$33,'Inputs'!$B$29+'Inputs'!$B$31+'Inputs'!$B$32,'Inputs'!$B$30+'Inputs'!$B$31+'Inputs'!$B$32)/1000+'Inputs'!$B$21))/SQRT((((553-43)*MAX('Inputs'!$B$33,'Inputs'!$B$29+'Inputs'!$B$31+'Inputs'!$B$32,'Inputs'!$B$30+'Inputs'!$B$31+'Inputs'!$B$32)/1000+'Inputs'!$B$21))^2+('Inputs'!$B$8/2)^2)))-'Results'!B7*(1-'Inputs'!$B$24)*(0.5*((((553-43)*MAX('Inputs'!$B$33,'Inputs'!$B$29+'Inputs'!$B$31+'Inputs'!$B$32,'Inputs'!$B$30+'Inputs'!$B$31+'Inputs'!$B$32)/1000+'Inputs'!$B$21+'Inputs'!$B$9+'Inputs'!$B$10)+'Inputs'!$B$7)/SQRT((((553-43)*MAX('Inputs'!$B$33,'Inputs'!$B$29+'Inputs'!$B$31+'Inputs'!$B$32,'Inputs'!$B$30+'Inputs'!$B$31+'Inputs'!$B$32)/1000+'Inputs'!$B$21+'Inputs'!$B$9+'Inputs'!$B$10)+'Inputs'!$B$7)^2+('Inputs'!$B$6/2)^2)-(((553-43)*MAX('Inputs'!$B$33,'Inputs'!$B$29+'Inputs'!$B$31+'Inputs'!$B$32,'Inputs'!$B$30+'Inputs'!$B$31+'Inputs'!$B$32)/1000+'Inputs'!$B$21+'Inputs'!$B$9+'Inputs'!$B$10))/SQRT((((553-43)*MAX('Inputs'!$B$33,'Inputs'!$B$29+'Inputs'!$B$31+'Inputs'!$B$32,'Inputs'!$B$30+'Inputs'!$B$31+'Inputs'!$B$32)/1000+'Inputs'!$B$21+'Inputs'!$B$9+'Inputs'!$B$10))^2+('Inputs'!$B$6/2)^2))))*'Results'!$B$8)+'Inputs'!$B$28*ABS((('Results'!C7*(1+'Inputs'!$B$24)*(0.5*((((553-43)*MAX('Inputs'!$B$33,'Inputs'!$B$29+'Inputs'!$B$31+'Inputs'!$B$32,'Inputs'!$B$30+'Inputs'!$B$31+'Inputs'!$B$32)/1000+'Inputs'!$B$21)+'Inputs'!$B$9)/SQRT((((553-43)*MAX('Inputs'!$B$33,'Inputs'!$B$29+'Inputs'!$B$31+'Inputs'!$B$32,'Inputs'!$B$30+'Inputs'!$B$31+'Inputs'!$B$32)/1000+'Inputs'!$B$21)+'Inputs'!$B$9)^2+('Inputs'!$B$8/2)^2)-(((553-43)*MAX('Inputs'!$B$33,'Inputs'!$B$29+'Inputs'!$B$31+'Inputs'!$B$32,'Inputs'!$B$30+'Inputs'!$B$31+'Inputs'!$B$32)/1000+'Inputs'!$B$21))/SQRT((((553-43)*MAX('Inputs'!$B$33,'Inputs'!$B$29+'Inputs'!$B$31+'Inputs'!$B$32,'Inputs'!$B$30+'Inputs'!$B$31+'Inputs'!$B$32)/1000+'Inputs'!$B$21))^2+('Inputs'!$B$8/2)^2)))-'Results'!B7*(1-'Inputs'!$B$24)*(0.5*((((553-43)*MAX('Inputs'!$B$33,'Inputs'!$B$29+'Inputs'!$B$31+'Inputs'!$B$32,'Inputs'!$B$30+'Inputs'!$B$31+'Inputs'!$B$32)/1000+'Inputs'!$B$21+'Inputs'!$B$9+'Inputs'!$B$10)+'Inputs'!$B$7)/SQRT((((553-43)*MAX('Inputs'!$B$33,'Inputs'!$B$29+'Inputs'!$B$31+'Inputs'!$B$32,'Inputs'!$B$30+'Inputs'!$B$31+'Inputs'!$B$32)/1000+'Inputs'!$B$21+'Inputs'!$B$9+'Inputs'!$B$10)+'Inputs'!$B$7)^2+('Inputs'!$B$6/2)^2)-(((553-43)*MAX('Inputs'!$B$33,'Inputs'!$B$29+'Inputs'!$B$31+'Inputs'!$B$32,'Inputs'!$B$30+'Inputs'!$B$31+'Inputs'!$B$32)/1000+'Inputs'!$B$21+'Inputs'!$B$9+'Inputs'!$B$10))/SQRT((((553-43)*MAX('Inputs'!$B$33,'Inputs'!$B$29+'Inputs'!$B$31+'Inputs'!$B$32,'Inputs'!$B$30+'Inputs'!$B$31+'Inputs'!$B$32)/1000+'Inputs'!$B$21+'Inputs'!$B$9+'Inputs'!$B$10))^2+('Inputs'!$B$6/2)^2))))*'Results'!$B$8))),"")</x:f>
        <x:v>4.097536188772781</x:v>
      </x:c>
      <x:c r="P553" t="n">
        <x:f>IF(AND(MAX(J553,J552)&gt;0,J553&gt;J552+0.00000001),1,0)</x:f>
        <x:v>0</x:v>
      </x:c>
      <x:c r="Q553" t="n">
        <x:f>IF(AND(MAX(K553,K552)&gt;0,K553&gt;K552+0.00000001),1,0)</x:f>
        <x:v>0</x:v>
      </x:c>
      <x:c r="R553" t="n">
        <x:f>IF(AND(MAX(L553,L552)&gt;0,L553&gt;L552+0.00000001),1,0)</x:f>
        <x:v>0</x:v>
      </x:c>
      <x:c r="S553" t="n">
        <x:f>IF(AND(MAX(M553,M552)&gt;0,M553&gt;M552+0.00000001),1,0)</x:f>
        <x:v>0</x:v>
      </x:c>
      <x:c r="T553" t="n">
        <x:f>IF(AND(MAX(N553,N552)&gt;0,N553&gt;N552+0.00000001),1,0)</x:f>
        <x:v>0</x:v>
      </x:c>
      <x:c r="U553" t="n">
        <x:f>IF(AND(MAX(O553,O552)&gt;0,O553&gt;O552+0.00000001),1,0)</x:f>
        <x:v>0</x:v>
      </x:c>
    </x:row>
    <x:row r="554">
      <x:c r="J554" t="n">
        <x:f>IF(AND(ISNUMBER('Results'!B7),ISNUMBER('Results'!C7),ISNUMBER('Results'!$B$8),ISNUMBER('Inputs'!$B$6),ISNUMBER('Inputs'!$B$7),ISNUMBER('Inputs'!$B$8),ISNUMBER('Inputs'!$B$9),ISNUMBER('Inputs'!$B$10),ISNUMBER('Inputs'!$B$21),ISNUMBER('Inputs'!$B$24),ISNUMBER('Inputs'!$B$28)),(('Results'!B7*(0.5*((((554-43)*MAX('Inputs'!$B$33,'Inputs'!$B$29+'Inputs'!$B$31+'Inputs'!$B$32,'Inputs'!$B$30+'Inputs'!$B$31+'Inputs'!$B$32)/1000+'Inputs'!$B$21)+'Inputs'!$B$7)/SQRT((((554-43)*MAX('Inputs'!$B$33,'Inputs'!$B$29+'Inputs'!$B$31+'Inputs'!$B$32,'Inputs'!$B$30+'Inputs'!$B$31+'Inputs'!$B$32)/1000+'Inputs'!$B$21)+'Inputs'!$B$7)^2+('Inputs'!$B$6/2)^2)-(((554-43)*MAX('Inputs'!$B$33,'Inputs'!$B$29+'Inputs'!$B$31+'Inputs'!$B$32,'Inputs'!$B$30+'Inputs'!$B$31+'Inputs'!$B$32)/1000+'Inputs'!$B$21))/SQRT((((554-43)*MAX('Inputs'!$B$33,'Inputs'!$B$29+'Inputs'!$B$31+'Inputs'!$B$32,'Inputs'!$B$30+'Inputs'!$B$31+'Inputs'!$B$32)/1000+'Inputs'!$B$21))^2+('Inputs'!$B$6/2)^2)))-'Results'!C7*(0.5*((((554-43)*MAX('Inputs'!$B$33,'Inputs'!$B$29+'Inputs'!$B$31+'Inputs'!$B$32,'Inputs'!$B$30+'Inputs'!$B$31+'Inputs'!$B$32)/1000+'Inputs'!$B$21+'Inputs'!$B$7+'Inputs'!$B$10)+'Inputs'!$B$9)/SQRT((((554-43)*MAX('Inputs'!$B$33,'Inputs'!$B$29+'Inputs'!$B$31+'Inputs'!$B$32,'Inputs'!$B$30+'Inputs'!$B$31+'Inputs'!$B$32)/1000+'Inputs'!$B$21+'Inputs'!$B$7+'Inputs'!$B$10)+'Inputs'!$B$9)^2+('Inputs'!$B$8/2)^2)-(((554-43)*MAX('Inputs'!$B$33,'Inputs'!$B$29+'Inputs'!$B$31+'Inputs'!$B$32,'Inputs'!$B$30+'Inputs'!$B$31+'Inputs'!$B$32)/1000+'Inputs'!$B$21+'Inputs'!$B$7+'Inputs'!$B$10))/SQRT((((554-43)*MAX('Inputs'!$B$33,'Inputs'!$B$29+'Inputs'!$B$31+'Inputs'!$B$32,'Inputs'!$B$30+'Inputs'!$B$31+'Inputs'!$B$32)/1000+'Inputs'!$B$21+'Inputs'!$B$7+'Inputs'!$B$10))^2+('Inputs'!$B$8/2)^2))))*'Results'!$B$8),"")</x:f>
        <x:v>3.879763931439264</x:v>
      </x:c>
      <x:c r="K554" t="n">
        <x:f>IF(AND(ISNUMBER('Results'!B7),ISNUMBER('Results'!C7),ISNUMBER('Results'!$B$8),ISNUMBER('Inputs'!$B$6),ISNUMBER('Inputs'!$B$7),ISNUMBER('Inputs'!$B$8),ISNUMBER('Inputs'!$B$9),ISNUMBER('Inputs'!$B$10),ISNUMBER('Inputs'!$B$21),ISNUMBER('Inputs'!$B$24),ISNUMBER('Inputs'!$B$28)),((('Results'!B7*(1-'Inputs'!$B$24)*(0.5*((((554-43)*MAX('Inputs'!$B$33,'Inputs'!$B$29+'Inputs'!$B$31+'Inputs'!$B$32,'Inputs'!$B$30+'Inputs'!$B$31+'Inputs'!$B$32)/1000+'Inputs'!$B$21)+'Inputs'!$B$7)/SQRT((((554-43)*MAX('Inputs'!$B$33,'Inputs'!$B$29+'Inputs'!$B$31+'Inputs'!$B$32,'Inputs'!$B$30+'Inputs'!$B$31+'Inputs'!$B$32)/1000+'Inputs'!$B$21)+'Inputs'!$B$7)^2+('Inputs'!$B$6/2)^2)-(((554-43)*MAX('Inputs'!$B$33,'Inputs'!$B$29+'Inputs'!$B$31+'Inputs'!$B$32,'Inputs'!$B$30+'Inputs'!$B$31+'Inputs'!$B$32)/1000+'Inputs'!$B$21))/SQRT((((554-43)*MAX('Inputs'!$B$33,'Inputs'!$B$29+'Inputs'!$B$31+'Inputs'!$B$32,'Inputs'!$B$30+'Inputs'!$B$31+'Inputs'!$B$32)/1000+'Inputs'!$B$21))^2+('Inputs'!$B$6/2)^2)))-'Results'!C7*(1+'Inputs'!$B$24)*(0.5*((((554-43)*MAX('Inputs'!$B$33,'Inputs'!$B$29+'Inputs'!$B$31+'Inputs'!$B$32,'Inputs'!$B$30+'Inputs'!$B$31+'Inputs'!$B$32)/1000+'Inputs'!$B$21+'Inputs'!$B$7+'Inputs'!$B$10)+'Inputs'!$B$9)/SQRT((((554-43)*MAX('Inputs'!$B$33,'Inputs'!$B$29+'Inputs'!$B$31+'Inputs'!$B$32,'Inputs'!$B$30+'Inputs'!$B$31+'Inputs'!$B$32)/1000+'Inputs'!$B$21+'Inputs'!$B$7+'Inputs'!$B$10)+'Inputs'!$B$9)^2+('Inputs'!$B$8/2)^2)-(((554-43)*MAX('Inputs'!$B$33,'Inputs'!$B$29+'Inputs'!$B$31+'Inputs'!$B$32,'Inputs'!$B$30+'Inputs'!$B$31+'Inputs'!$B$32)/1000+'Inputs'!$B$21+'Inputs'!$B$7+'Inputs'!$B$10))/SQRT((((554-43)*MAX('Inputs'!$B$33,'Inputs'!$B$29+'Inputs'!$B$31+'Inputs'!$B$32,'Inputs'!$B$30+'Inputs'!$B$31+'Inputs'!$B$32)/1000+'Inputs'!$B$21+'Inputs'!$B$7+'Inputs'!$B$10))^2+('Inputs'!$B$8/2)^2))))*'Results'!$B$8)-'Inputs'!$B$28*ABS((('Results'!B7*(1-'Inputs'!$B$24)*(0.5*((((554-43)*MAX('Inputs'!$B$33,'Inputs'!$B$29+'Inputs'!$B$31+'Inputs'!$B$32,'Inputs'!$B$30+'Inputs'!$B$31+'Inputs'!$B$32)/1000+'Inputs'!$B$21)+'Inputs'!$B$7)/SQRT((((554-43)*MAX('Inputs'!$B$33,'Inputs'!$B$29+'Inputs'!$B$31+'Inputs'!$B$32,'Inputs'!$B$30+'Inputs'!$B$31+'Inputs'!$B$32)/1000+'Inputs'!$B$21)+'Inputs'!$B$7)^2+('Inputs'!$B$6/2)^2)-(((554-43)*MAX('Inputs'!$B$33,'Inputs'!$B$29+'Inputs'!$B$31+'Inputs'!$B$32,'Inputs'!$B$30+'Inputs'!$B$31+'Inputs'!$B$32)/1000+'Inputs'!$B$21))/SQRT((((554-43)*MAX('Inputs'!$B$33,'Inputs'!$B$29+'Inputs'!$B$31+'Inputs'!$B$32,'Inputs'!$B$30+'Inputs'!$B$31+'Inputs'!$B$32)/1000+'Inputs'!$B$21))^2+('Inputs'!$B$6/2)^2)))-'Results'!C7*(1+'Inputs'!$B$24)*(0.5*((((554-43)*MAX('Inputs'!$B$33,'Inputs'!$B$29+'Inputs'!$B$31+'Inputs'!$B$32,'Inputs'!$B$30+'Inputs'!$B$31+'Inputs'!$B$32)/1000+'Inputs'!$B$21+'Inputs'!$B$7+'Inputs'!$B$10)+'Inputs'!$B$9)/SQRT((((554-43)*MAX('Inputs'!$B$33,'Inputs'!$B$29+'Inputs'!$B$31+'Inputs'!$B$32,'Inputs'!$B$30+'Inputs'!$B$31+'Inputs'!$B$32)/1000+'Inputs'!$B$21+'Inputs'!$B$7+'Inputs'!$B$10)+'Inputs'!$B$9)^2+('Inputs'!$B$8/2)^2)-(((554-43)*MAX('Inputs'!$B$33,'Inputs'!$B$29+'Inputs'!$B$31+'Inputs'!$B$32,'Inputs'!$B$30+'Inputs'!$B$31+'Inputs'!$B$32)/1000+'Inputs'!$B$21+'Inputs'!$B$7+'Inputs'!$B$10))/SQRT((((554-43)*MAX('Inputs'!$B$33,'Inputs'!$B$29+'Inputs'!$B$31+'Inputs'!$B$32,'Inputs'!$B$30+'Inputs'!$B$31+'Inputs'!$B$32)/1000+'Inputs'!$B$21+'Inputs'!$B$7+'Inputs'!$B$10))^2+('Inputs'!$B$8/2)^2))))*'Results'!$B$8))),"")</x:f>
        <x:v>3.431609246120869</x:v>
      </x:c>
      <x:c r="L554" t="n">
        <x:f>IF(AND(ISNUMBER('Results'!B7),ISNUMBER('Results'!C7),ISNUMBER('Results'!$B$8),ISNUMBER('Inputs'!$B$6),ISNUMBER('Inputs'!$B$7),ISNUMBER('Inputs'!$B$8),ISNUMBER('Inputs'!$B$9),ISNUMBER('Inputs'!$B$10),ISNUMBER('Inputs'!$B$21),ISNUMBER('Inputs'!$B$24),ISNUMBER('Inputs'!$B$28)),((('Results'!B7*(1+'Inputs'!$B$24)*(0.5*((((554-43)*MAX('Inputs'!$B$33,'Inputs'!$B$29+'Inputs'!$B$31+'Inputs'!$B$32,'Inputs'!$B$30+'Inputs'!$B$31+'Inputs'!$B$32)/1000+'Inputs'!$B$21)+'Inputs'!$B$7)/SQRT((((554-43)*MAX('Inputs'!$B$33,'Inputs'!$B$29+'Inputs'!$B$31+'Inputs'!$B$32,'Inputs'!$B$30+'Inputs'!$B$31+'Inputs'!$B$32)/1000+'Inputs'!$B$21)+'Inputs'!$B$7)^2+('Inputs'!$B$6/2)^2)-(((554-43)*MAX('Inputs'!$B$33,'Inputs'!$B$29+'Inputs'!$B$31+'Inputs'!$B$32,'Inputs'!$B$30+'Inputs'!$B$31+'Inputs'!$B$32)/1000+'Inputs'!$B$21))/SQRT((((554-43)*MAX('Inputs'!$B$33,'Inputs'!$B$29+'Inputs'!$B$31+'Inputs'!$B$32,'Inputs'!$B$30+'Inputs'!$B$31+'Inputs'!$B$32)/1000+'Inputs'!$B$21))^2+('Inputs'!$B$6/2)^2)))-'Results'!C7*(1-'Inputs'!$B$24)*(0.5*((((554-43)*MAX('Inputs'!$B$33,'Inputs'!$B$29+'Inputs'!$B$31+'Inputs'!$B$32,'Inputs'!$B$30+'Inputs'!$B$31+'Inputs'!$B$32)/1000+'Inputs'!$B$21+'Inputs'!$B$7+'Inputs'!$B$10)+'Inputs'!$B$9)/SQRT((((554-43)*MAX('Inputs'!$B$33,'Inputs'!$B$29+'Inputs'!$B$31+'Inputs'!$B$32,'Inputs'!$B$30+'Inputs'!$B$31+'Inputs'!$B$32)/1000+'Inputs'!$B$21+'Inputs'!$B$7+'Inputs'!$B$10)+'Inputs'!$B$9)^2+('Inputs'!$B$8/2)^2)-(((554-43)*MAX('Inputs'!$B$33,'Inputs'!$B$29+'Inputs'!$B$31+'Inputs'!$B$32,'Inputs'!$B$30+'Inputs'!$B$31+'Inputs'!$B$32)/1000+'Inputs'!$B$21+'Inputs'!$B$7+'Inputs'!$B$10))/SQRT((((554-43)*MAX('Inputs'!$B$33,'Inputs'!$B$29+'Inputs'!$B$31+'Inputs'!$B$32,'Inputs'!$B$30+'Inputs'!$B$31+'Inputs'!$B$32)/1000+'Inputs'!$B$21+'Inputs'!$B$7+'Inputs'!$B$10))^2+('Inputs'!$B$8/2)^2))))*'Results'!$B$8)+'Inputs'!$B$28*ABS((('Results'!B7*(1+'Inputs'!$B$24)*(0.5*((((554-43)*MAX('Inputs'!$B$33,'Inputs'!$B$29+'Inputs'!$B$31+'Inputs'!$B$32,'Inputs'!$B$30+'Inputs'!$B$31+'Inputs'!$B$32)/1000+'Inputs'!$B$21)+'Inputs'!$B$7)/SQRT((((554-43)*MAX('Inputs'!$B$33,'Inputs'!$B$29+'Inputs'!$B$31+'Inputs'!$B$32,'Inputs'!$B$30+'Inputs'!$B$31+'Inputs'!$B$32)/1000+'Inputs'!$B$21)+'Inputs'!$B$7)^2+('Inputs'!$B$6/2)^2)-(((554-43)*MAX('Inputs'!$B$33,'Inputs'!$B$29+'Inputs'!$B$31+'Inputs'!$B$32,'Inputs'!$B$30+'Inputs'!$B$31+'Inputs'!$B$32)/1000+'Inputs'!$B$21))/SQRT((((554-43)*MAX('Inputs'!$B$33,'Inputs'!$B$29+'Inputs'!$B$31+'Inputs'!$B$32,'Inputs'!$B$30+'Inputs'!$B$31+'Inputs'!$B$32)/1000+'Inputs'!$B$21))^2+('Inputs'!$B$6/2)^2)))-'Results'!C7*(1-'Inputs'!$B$24)*(0.5*((((554-43)*MAX('Inputs'!$B$33,'Inputs'!$B$29+'Inputs'!$B$31+'Inputs'!$B$32,'Inputs'!$B$30+'Inputs'!$B$31+'Inputs'!$B$32)/1000+'Inputs'!$B$21+'Inputs'!$B$7+'Inputs'!$B$10)+'Inputs'!$B$9)/SQRT((((554-43)*MAX('Inputs'!$B$33,'Inputs'!$B$29+'Inputs'!$B$31+'Inputs'!$B$32,'Inputs'!$B$30+'Inputs'!$B$31+'Inputs'!$B$32)/1000+'Inputs'!$B$21+'Inputs'!$B$7+'Inputs'!$B$10)+'Inputs'!$B$9)^2+('Inputs'!$B$8/2)^2)-(((554-43)*MAX('Inputs'!$B$33,'Inputs'!$B$29+'Inputs'!$B$31+'Inputs'!$B$32,'Inputs'!$B$30+'Inputs'!$B$31+'Inputs'!$B$32)/1000+'Inputs'!$B$21+'Inputs'!$B$7+'Inputs'!$B$10))/SQRT((((554-43)*MAX('Inputs'!$B$33,'Inputs'!$B$29+'Inputs'!$B$31+'Inputs'!$B$32,'Inputs'!$B$30+'Inputs'!$B$31+'Inputs'!$B$32)/1000+'Inputs'!$B$21+'Inputs'!$B$7+'Inputs'!$B$10))^2+('Inputs'!$B$8/2)^2))))*'Results'!$B$8))),"")</x:f>
        <x:v>4.354672983994126</x:v>
      </x:c>
      <x:c r="M554" t="n">
        <x:f>IF(AND(ISNUMBER('Results'!C7),ISNUMBER('Results'!B7),ISNUMBER('Results'!$B$8),ISNUMBER('Inputs'!$B$6),ISNUMBER('Inputs'!$B$7),ISNUMBER('Inputs'!$B$8),ISNUMBER('Inputs'!$B$9),ISNUMBER('Inputs'!$B$10),ISNUMBER('Inputs'!$B$21),ISNUMBER('Inputs'!$B$24),ISNUMBER('Inputs'!$B$28)),(('Results'!C7*(0.5*((((554-43)*MAX('Inputs'!$B$33,'Inputs'!$B$29+'Inputs'!$B$31+'Inputs'!$B$32,'Inputs'!$B$30+'Inputs'!$B$31+'Inputs'!$B$32)/1000+'Inputs'!$B$21)+'Inputs'!$B$9)/SQRT((((554-43)*MAX('Inputs'!$B$33,'Inputs'!$B$29+'Inputs'!$B$31+'Inputs'!$B$32,'Inputs'!$B$30+'Inputs'!$B$31+'Inputs'!$B$32)/1000+'Inputs'!$B$21)+'Inputs'!$B$9)^2+('Inputs'!$B$8/2)^2)-(((554-43)*MAX('Inputs'!$B$33,'Inputs'!$B$29+'Inputs'!$B$31+'Inputs'!$B$32,'Inputs'!$B$30+'Inputs'!$B$31+'Inputs'!$B$32)/1000+'Inputs'!$B$21))/SQRT((((554-43)*MAX('Inputs'!$B$33,'Inputs'!$B$29+'Inputs'!$B$31+'Inputs'!$B$32,'Inputs'!$B$30+'Inputs'!$B$31+'Inputs'!$B$32)/1000+'Inputs'!$B$21))^2+('Inputs'!$B$8/2)^2)))-'Results'!B7*(0.5*((((554-43)*MAX('Inputs'!$B$33,'Inputs'!$B$29+'Inputs'!$B$31+'Inputs'!$B$32,'Inputs'!$B$30+'Inputs'!$B$31+'Inputs'!$B$32)/1000+'Inputs'!$B$21+'Inputs'!$B$9+'Inputs'!$B$10)+'Inputs'!$B$7)/SQRT((((554-43)*MAX('Inputs'!$B$33,'Inputs'!$B$29+'Inputs'!$B$31+'Inputs'!$B$32,'Inputs'!$B$30+'Inputs'!$B$31+'Inputs'!$B$32)/1000+'Inputs'!$B$21+'Inputs'!$B$9+'Inputs'!$B$10)+'Inputs'!$B$7)^2+('Inputs'!$B$6/2)^2)-(((554-43)*MAX('Inputs'!$B$33,'Inputs'!$B$29+'Inputs'!$B$31+'Inputs'!$B$32,'Inputs'!$B$30+'Inputs'!$B$31+'Inputs'!$B$32)/1000+'Inputs'!$B$21+'Inputs'!$B$9+'Inputs'!$B$10))/SQRT((((554-43)*MAX('Inputs'!$B$33,'Inputs'!$B$29+'Inputs'!$B$31+'Inputs'!$B$32,'Inputs'!$B$30+'Inputs'!$B$31+'Inputs'!$B$32)/1000+'Inputs'!$B$21+'Inputs'!$B$9+'Inputs'!$B$10))^2+('Inputs'!$B$6/2)^2))))*'Results'!$B$8),"")</x:f>
        <x:v>3.610282010158927</x:v>
      </x:c>
      <x:c r="N554" t="n">
        <x:f>IF(AND(ISNUMBER('Results'!C7),ISNUMBER('Results'!B7),ISNUMBER('Results'!$B$8),ISNUMBER('Inputs'!$B$6),ISNUMBER('Inputs'!$B$7),ISNUMBER('Inputs'!$B$8),ISNUMBER('Inputs'!$B$9),ISNUMBER('Inputs'!$B$10),ISNUMBER('Inputs'!$B$21),ISNUMBER('Inputs'!$B$24),ISNUMBER('Inputs'!$B$28)),((('Results'!C7*(1-'Inputs'!$B$24)*(0.5*((((554-43)*MAX('Inputs'!$B$33,'Inputs'!$B$29+'Inputs'!$B$31+'Inputs'!$B$32,'Inputs'!$B$30+'Inputs'!$B$31+'Inputs'!$B$32)/1000+'Inputs'!$B$21)+'Inputs'!$B$9)/SQRT((((554-43)*MAX('Inputs'!$B$33,'Inputs'!$B$29+'Inputs'!$B$31+'Inputs'!$B$32,'Inputs'!$B$30+'Inputs'!$B$31+'Inputs'!$B$32)/1000+'Inputs'!$B$21)+'Inputs'!$B$9)^2+('Inputs'!$B$8/2)^2)-(((554-43)*MAX('Inputs'!$B$33,'Inputs'!$B$29+'Inputs'!$B$31+'Inputs'!$B$32,'Inputs'!$B$30+'Inputs'!$B$31+'Inputs'!$B$32)/1000+'Inputs'!$B$21))/SQRT((((554-43)*MAX('Inputs'!$B$33,'Inputs'!$B$29+'Inputs'!$B$31+'Inputs'!$B$32,'Inputs'!$B$30+'Inputs'!$B$31+'Inputs'!$B$32)/1000+'Inputs'!$B$21))^2+('Inputs'!$B$8/2)^2)))-'Results'!B7*(1+'Inputs'!$B$24)*(0.5*((((554-43)*MAX('Inputs'!$B$33,'Inputs'!$B$29+'Inputs'!$B$31+'Inputs'!$B$32,'Inputs'!$B$30+'Inputs'!$B$31+'Inputs'!$B$32)/1000+'Inputs'!$B$21+'Inputs'!$B$9+'Inputs'!$B$10)+'Inputs'!$B$7)/SQRT((((554-43)*MAX('Inputs'!$B$33,'Inputs'!$B$29+'Inputs'!$B$31+'Inputs'!$B$32,'Inputs'!$B$30+'Inputs'!$B$31+'Inputs'!$B$32)/1000+'Inputs'!$B$21+'Inputs'!$B$9+'Inputs'!$B$10)+'Inputs'!$B$7)^2+('Inputs'!$B$6/2)^2)-(((554-43)*MAX('Inputs'!$B$33,'Inputs'!$B$29+'Inputs'!$B$31+'Inputs'!$B$32,'Inputs'!$B$30+'Inputs'!$B$31+'Inputs'!$B$32)/1000+'Inputs'!$B$21+'Inputs'!$B$9+'Inputs'!$B$10))/SQRT((((554-43)*MAX('Inputs'!$B$33,'Inputs'!$B$29+'Inputs'!$B$31+'Inputs'!$B$32,'Inputs'!$B$30+'Inputs'!$B$31+'Inputs'!$B$32)/1000+'Inputs'!$B$21+'Inputs'!$B$9+'Inputs'!$B$10))^2+('Inputs'!$B$6/2)^2))))*'Results'!$B$8)-'Inputs'!$B$28*ABS((('Results'!C7*(1-'Inputs'!$B$24)*(0.5*((((554-43)*MAX('Inputs'!$B$33,'Inputs'!$B$29+'Inputs'!$B$31+'Inputs'!$B$32,'Inputs'!$B$30+'Inputs'!$B$31+'Inputs'!$B$32)/1000+'Inputs'!$B$21)+'Inputs'!$B$9)/SQRT((((554-43)*MAX('Inputs'!$B$33,'Inputs'!$B$29+'Inputs'!$B$31+'Inputs'!$B$32,'Inputs'!$B$30+'Inputs'!$B$31+'Inputs'!$B$32)/1000+'Inputs'!$B$21)+'Inputs'!$B$9)^2+('Inputs'!$B$8/2)^2)-(((554-43)*MAX('Inputs'!$B$33,'Inputs'!$B$29+'Inputs'!$B$31+'Inputs'!$B$32,'Inputs'!$B$30+'Inputs'!$B$31+'Inputs'!$B$32)/1000+'Inputs'!$B$21))/SQRT((((554-43)*MAX('Inputs'!$B$33,'Inputs'!$B$29+'Inputs'!$B$31+'Inputs'!$B$32,'Inputs'!$B$30+'Inputs'!$B$31+'Inputs'!$B$32)/1000+'Inputs'!$B$21))^2+('Inputs'!$B$8/2)^2)))-'Results'!B7*(1+'Inputs'!$B$24)*(0.5*((((554-43)*MAX('Inputs'!$B$33,'Inputs'!$B$29+'Inputs'!$B$31+'Inputs'!$B$32,'Inputs'!$B$30+'Inputs'!$B$31+'Inputs'!$B$32)/1000+'Inputs'!$B$21+'Inputs'!$B$9+'Inputs'!$B$10)+'Inputs'!$B$7)/SQRT((((554-43)*MAX('Inputs'!$B$33,'Inputs'!$B$29+'Inputs'!$B$31+'Inputs'!$B$32,'Inputs'!$B$30+'Inputs'!$B$31+'Inputs'!$B$32)/1000+'Inputs'!$B$21+'Inputs'!$B$9+'Inputs'!$B$10)+'Inputs'!$B$7)^2+('Inputs'!$B$6/2)^2)-(((554-43)*MAX('Inputs'!$B$33,'Inputs'!$B$29+'Inputs'!$B$31+'Inputs'!$B$32,'Inputs'!$B$30+'Inputs'!$B$31+'Inputs'!$B$32)/1000+'Inputs'!$B$21+'Inputs'!$B$9+'Inputs'!$B$10))/SQRT((((554-43)*MAX('Inputs'!$B$33,'Inputs'!$B$29+'Inputs'!$B$31+'Inputs'!$B$32,'Inputs'!$B$30+'Inputs'!$B$31+'Inputs'!$B$32)/1000+'Inputs'!$B$21+'Inputs'!$B$9+'Inputs'!$B$10))^2+('Inputs'!$B$6/2)^2))))*'Results'!$B$8))),"")</x:f>
        <x:v>3.177038904469099</x:v>
      </x:c>
      <x:c r="O554" t="n">
        <x:f>IF(AND(ISNUMBER('Results'!C7),ISNUMBER('Results'!B7),ISNUMBER('Results'!$B$8),ISNUMBER('Inputs'!$B$6),ISNUMBER('Inputs'!$B$7),ISNUMBER('Inputs'!$B$8),ISNUMBER('Inputs'!$B$9),ISNUMBER('Inputs'!$B$10),ISNUMBER('Inputs'!$B$21),ISNUMBER('Inputs'!$B$24),ISNUMBER('Inputs'!$B$28)),((('Results'!C7*(1+'Inputs'!$B$24)*(0.5*((((554-43)*MAX('Inputs'!$B$33,'Inputs'!$B$29+'Inputs'!$B$31+'Inputs'!$B$32,'Inputs'!$B$30+'Inputs'!$B$31+'Inputs'!$B$32)/1000+'Inputs'!$B$21)+'Inputs'!$B$9)/SQRT((((554-43)*MAX('Inputs'!$B$33,'Inputs'!$B$29+'Inputs'!$B$31+'Inputs'!$B$32,'Inputs'!$B$30+'Inputs'!$B$31+'Inputs'!$B$32)/1000+'Inputs'!$B$21)+'Inputs'!$B$9)^2+('Inputs'!$B$8/2)^2)-(((554-43)*MAX('Inputs'!$B$33,'Inputs'!$B$29+'Inputs'!$B$31+'Inputs'!$B$32,'Inputs'!$B$30+'Inputs'!$B$31+'Inputs'!$B$32)/1000+'Inputs'!$B$21))/SQRT((((554-43)*MAX('Inputs'!$B$33,'Inputs'!$B$29+'Inputs'!$B$31+'Inputs'!$B$32,'Inputs'!$B$30+'Inputs'!$B$31+'Inputs'!$B$32)/1000+'Inputs'!$B$21))^2+('Inputs'!$B$8/2)^2)))-'Results'!B7*(1-'Inputs'!$B$24)*(0.5*((((554-43)*MAX('Inputs'!$B$33,'Inputs'!$B$29+'Inputs'!$B$31+'Inputs'!$B$32,'Inputs'!$B$30+'Inputs'!$B$31+'Inputs'!$B$32)/1000+'Inputs'!$B$21+'Inputs'!$B$9+'Inputs'!$B$10)+'Inputs'!$B$7)/SQRT((((554-43)*MAX('Inputs'!$B$33,'Inputs'!$B$29+'Inputs'!$B$31+'Inputs'!$B$32,'Inputs'!$B$30+'Inputs'!$B$31+'Inputs'!$B$32)/1000+'Inputs'!$B$21+'Inputs'!$B$9+'Inputs'!$B$10)+'Inputs'!$B$7)^2+('Inputs'!$B$6/2)^2)-(((554-43)*MAX('Inputs'!$B$33,'Inputs'!$B$29+'Inputs'!$B$31+'Inputs'!$B$32,'Inputs'!$B$30+'Inputs'!$B$31+'Inputs'!$B$32)/1000+'Inputs'!$B$21+'Inputs'!$B$9+'Inputs'!$B$10))/SQRT((((554-43)*MAX('Inputs'!$B$33,'Inputs'!$B$29+'Inputs'!$B$31+'Inputs'!$B$32,'Inputs'!$B$30+'Inputs'!$B$31+'Inputs'!$B$32)/1000+'Inputs'!$B$21+'Inputs'!$B$9+'Inputs'!$B$10))^2+('Inputs'!$B$6/2)^2))))*'Results'!$B$8)+'Inputs'!$B$28*ABS((('Results'!C7*(1+'Inputs'!$B$24)*(0.5*((((554-43)*MAX('Inputs'!$B$33,'Inputs'!$B$29+'Inputs'!$B$31+'Inputs'!$B$32,'Inputs'!$B$30+'Inputs'!$B$31+'Inputs'!$B$32)/1000+'Inputs'!$B$21)+'Inputs'!$B$9)/SQRT((((554-43)*MAX('Inputs'!$B$33,'Inputs'!$B$29+'Inputs'!$B$31+'Inputs'!$B$32,'Inputs'!$B$30+'Inputs'!$B$31+'Inputs'!$B$32)/1000+'Inputs'!$B$21)+'Inputs'!$B$9)^2+('Inputs'!$B$8/2)^2)-(((554-43)*MAX('Inputs'!$B$33,'Inputs'!$B$29+'Inputs'!$B$31+'Inputs'!$B$32,'Inputs'!$B$30+'Inputs'!$B$31+'Inputs'!$B$32)/1000+'Inputs'!$B$21))/SQRT((((554-43)*MAX('Inputs'!$B$33,'Inputs'!$B$29+'Inputs'!$B$31+'Inputs'!$B$32,'Inputs'!$B$30+'Inputs'!$B$31+'Inputs'!$B$32)/1000+'Inputs'!$B$21))^2+('Inputs'!$B$8/2)^2)))-'Results'!B7*(1-'Inputs'!$B$24)*(0.5*((((554-43)*MAX('Inputs'!$B$33,'Inputs'!$B$29+'Inputs'!$B$31+'Inputs'!$B$32,'Inputs'!$B$30+'Inputs'!$B$31+'Inputs'!$B$32)/1000+'Inputs'!$B$21+'Inputs'!$B$9+'Inputs'!$B$10)+'Inputs'!$B$7)/SQRT((((554-43)*MAX('Inputs'!$B$33,'Inputs'!$B$29+'Inputs'!$B$31+'Inputs'!$B$32,'Inputs'!$B$30+'Inputs'!$B$31+'Inputs'!$B$32)/1000+'Inputs'!$B$21+'Inputs'!$B$9+'Inputs'!$B$10)+'Inputs'!$B$7)^2+('Inputs'!$B$6/2)^2)-(((554-43)*MAX('Inputs'!$B$33,'Inputs'!$B$29+'Inputs'!$B$31+'Inputs'!$B$32,'Inputs'!$B$30+'Inputs'!$B$31+'Inputs'!$B$32)/1000+'Inputs'!$B$21+'Inputs'!$B$9+'Inputs'!$B$10))/SQRT((((554-43)*MAX('Inputs'!$B$33,'Inputs'!$B$29+'Inputs'!$B$31+'Inputs'!$B$32,'Inputs'!$B$30+'Inputs'!$B$31+'Inputs'!$B$32)/1000+'Inputs'!$B$21+'Inputs'!$B$9+'Inputs'!$B$10))^2+('Inputs'!$B$6/2)^2))))*'Results'!$B$8))),"")</x:f>
        <x:v>4.070128169025797</x:v>
      </x:c>
      <x:c r="P554" t="n">
        <x:f>IF(AND(MAX(J554,J553)&gt;0,J554&gt;J553+0.00000001),1,0)</x:f>
        <x:v>0</x:v>
      </x:c>
      <x:c r="Q554" t="n">
        <x:f>IF(AND(MAX(K554,K553)&gt;0,K554&gt;K553+0.00000001),1,0)</x:f>
        <x:v>0</x:v>
      </x:c>
      <x:c r="R554" t="n">
        <x:f>IF(AND(MAX(L554,L553)&gt;0,L554&gt;L553+0.00000001),1,0)</x:f>
        <x:v>0</x:v>
      </x:c>
      <x:c r="S554" t="n">
        <x:f>IF(AND(MAX(M554,M553)&gt;0,M554&gt;M553+0.00000001),1,0)</x:f>
        <x:v>0</x:v>
      </x:c>
      <x:c r="T554" t="n">
        <x:f>IF(AND(MAX(N554,N553)&gt;0,N554&gt;N553+0.00000001),1,0)</x:f>
        <x:v>0</x:v>
      </x:c>
      <x:c r="U554" t="n">
        <x:f>IF(AND(MAX(O554,O553)&gt;0,O554&gt;O553+0.00000001),1,0)</x:f>
        <x:v>0</x:v>
      </x:c>
    </x:row>
    <x:row r="555">
      <x:c r="J555" t="n">
        <x:f>IF(AND(ISNUMBER('Results'!B7),ISNUMBER('Results'!C7),ISNUMBER('Results'!$B$8),ISNUMBER('Inputs'!$B$6),ISNUMBER('Inputs'!$B$7),ISNUMBER('Inputs'!$B$8),ISNUMBER('Inputs'!$B$9),ISNUMBER('Inputs'!$B$10),ISNUMBER('Inputs'!$B$21),ISNUMBER('Inputs'!$B$24),ISNUMBER('Inputs'!$B$28)),(('Results'!B7*(0.5*((((555-43)*MAX('Inputs'!$B$33,'Inputs'!$B$29+'Inputs'!$B$31+'Inputs'!$B$32,'Inputs'!$B$30+'Inputs'!$B$31+'Inputs'!$B$32)/1000+'Inputs'!$B$21)+'Inputs'!$B$7)/SQRT((((555-43)*MAX('Inputs'!$B$33,'Inputs'!$B$29+'Inputs'!$B$31+'Inputs'!$B$32,'Inputs'!$B$30+'Inputs'!$B$31+'Inputs'!$B$32)/1000+'Inputs'!$B$21)+'Inputs'!$B$7)^2+('Inputs'!$B$6/2)^2)-(((555-43)*MAX('Inputs'!$B$33,'Inputs'!$B$29+'Inputs'!$B$31+'Inputs'!$B$32,'Inputs'!$B$30+'Inputs'!$B$31+'Inputs'!$B$32)/1000+'Inputs'!$B$21))/SQRT((((555-43)*MAX('Inputs'!$B$33,'Inputs'!$B$29+'Inputs'!$B$31+'Inputs'!$B$32,'Inputs'!$B$30+'Inputs'!$B$31+'Inputs'!$B$32)/1000+'Inputs'!$B$21))^2+('Inputs'!$B$6/2)^2)))-'Results'!C7*(0.5*((((555-43)*MAX('Inputs'!$B$33,'Inputs'!$B$29+'Inputs'!$B$31+'Inputs'!$B$32,'Inputs'!$B$30+'Inputs'!$B$31+'Inputs'!$B$32)/1000+'Inputs'!$B$21+'Inputs'!$B$7+'Inputs'!$B$10)+'Inputs'!$B$9)/SQRT((((555-43)*MAX('Inputs'!$B$33,'Inputs'!$B$29+'Inputs'!$B$31+'Inputs'!$B$32,'Inputs'!$B$30+'Inputs'!$B$31+'Inputs'!$B$32)/1000+'Inputs'!$B$21+'Inputs'!$B$7+'Inputs'!$B$10)+'Inputs'!$B$9)^2+('Inputs'!$B$8/2)^2)-(((555-43)*MAX('Inputs'!$B$33,'Inputs'!$B$29+'Inputs'!$B$31+'Inputs'!$B$32,'Inputs'!$B$30+'Inputs'!$B$31+'Inputs'!$B$32)/1000+'Inputs'!$B$21+'Inputs'!$B$7+'Inputs'!$B$10))/SQRT((((555-43)*MAX('Inputs'!$B$33,'Inputs'!$B$29+'Inputs'!$B$31+'Inputs'!$B$32,'Inputs'!$B$30+'Inputs'!$B$31+'Inputs'!$B$32)/1000+'Inputs'!$B$21+'Inputs'!$B$7+'Inputs'!$B$10))^2+('Inputs'!$B$8/2)^2))))*'Results'!$B$8),"")</x:f>
        <x:v>3.8538602388295744</x:v>
      </x:c>
      <x:c r="K555" t="n">
        <x:f>IF(AND(ISNUMBER('Results'!B7),ISNUMBER('Results'!C7),ISNUMBER('Results'!$B$8),ISNUMBER('Inputs'!$B$6),ISNUMBER('Inputs'!$B$7),ISNUMBER('Inputs'!$B$8),ISNUMBER('Inputs'!$B$9),ISNUMBER('Inputs'!$B$10),ISNUMBER('Inputs'!$B$21),ISNUMBER('Inputs'!$B$24),ISNUMBER('Inputs'!$B$28)),((('Results'!B7*(1-'Inputs'!$B$24)*(0.5*((((555-43)*MAX('Inputs'!$B$33,'Inputs'!$B$29+'Inputs'!$B$31+'Inputs'!$B$32,'Inputs'!$B$30+'Inputs'!$B$31+'Inputs'!$B$32)/1000+'Inputs'!$B$21)+'Inputs'!$B$7)/SQRT((((555-43)*MAX('Inputs'!$B$33,'Inputs'!$B$29+'Inputs'!$B$31+'Inputs'!$B$32,'Inputs'!$B$30+'Inputs'!$B$31+'Inputs'!$B$32)/1000+'Inputs'!$B$21)+'Inputs'!$B$7)^2+('Inputs'!$B$6/2)^2)-(((555-43)*MAX('Inputs'!$B$33,'Inputs'!$B$29+'Inputs'!$B$31+'Inputs'!$B$32,'Inputs'!$B$30+'Inputs'!$B$31+'Inputs'!$B$32)/1000+'Inputs'!$B$21))/SQRT((((555-43)*MAX('Inputs'!$B$33,'Inputs'!$B$29+'Inputs'!$B$31+'Inputs'!$B$32,'Inputs'!$B$30+'Inputs'!$B$31+'Inputs'!$B$32)/1000+'Inputs'!$B$21))^2+('Inputs'!$B$6/2)^2)))-'Results'!C7*(1+'Inputs'!$B$24)*(0.5*((((555-43)*MAX('Inputs'!$B$33,'Inputs'!$B$29+'Inputs'!$B$31+'Inputs'!$B$32,'Inputs'!$B$30+'Inputs'!$B$31+'Inputs'!$B$32)/1000+'Inputs'!$B$21+'Inputs'!$B$7+'Inputs'!$B$10)+'Inputs'!$B$9)/SQRT((((555-43)*MAX('Inputs'!$B$33,'Inputs'!$B$29+'Inputs'!$B$31+'Inputs'!$B$32,'Inputs'!$B$30+'Inputs'!$B$31+'Inputs'!$B$32)/1000+'Inputs'!$B$21+'Inputs'!$B$7+'Inputs'!$B$10)+'Inputs'!$B$9)^2+('Inputs'!$B$8/2)^2)-(((555-43)*MAX('Inputs'!$B$33,'Inputs'!$B$29+'Inputs'!$B$31+'Inputs'!$B$32,'Inputs'!$B$30+'Inputs'!$B$31+'Inputs'!$B$32)/1000+'Inputs'!$B$21+'Inputs'!$B$7+'Inputs'!$B$10))/SQRT((((555-43)*MAX('Inputs'!$B$33,'Inputs'!$B$29+'Inputs'!$B$31+'Inputs'!$B$32,'Inputs'!$B$30+'Inputs'!$B$31+'Inputs'!$B$32)/1000+'Inputs'!$B$21+'Inputs'!$B$7+'Inputs'!$B$10))^2+('Inputs'!$B$8/2)^2))))*'Results'!$B$8)-'Inputs'!$B$28*ABS((('Results'!B7*(1-'Inputs'!$B$24)*(0.5*((((555-43)*MAX('Inputs'!$B$33,'Inputs'!$B$29+'Inputs'!$B$31+'Inputs'!$B$32,'Inputs'!$B$30+'Inputs'!$B$31+'Inputs'!$B$32)/1000+'Inputs'!$B$21)+'Inputs'!$B$7)/SQRT((((555-43)*MAX('Inputs'!$B$33,'Inputs'!$B$29+'Inputs'!$B$31+'Inputs'!$B$32,'Inputs'!$B$30+'Inputs'!$B$31+'Inputs'!$B$32)/1000+'Inputs'!$B$21)+'Inputs'!$B$7)^2+('Inputs'!$B$6/2)^2)-(((555-43)*MAX('Inputs'!$B$33,'Inputs'!$B$29+'Inputs'!$B$31+'Inputs'!$B$32,'Inputs'!$B$30+'Inputs'!$B$31+'Inputs'!$B$32)/1000+'Inputs'!$B$21))/SQRT((((555-43)*MAX('Inputs'!$B$33,'Inputs'!$B$29+'Inputs'!$B$31+'Inputs'!$B$32,'Inputs'!$B$30+'Inputs'!$B$31+'Inputs'!$B$32)/1000+'Inputs'!$B$21))^2+('Inputs'!$B$6/2)^2)))-'Results'!C7*(1+'Inputs'!$B$24)*(0.5*((((555-43)*MAX('Inputs'!$B$33,'Inputs'!$B$29+'Inputs'!$B$31+'Inputs'!$B$32,'Inputs'!$B$30+'Inputs'!$B$31+'Inputs'!$B$32)/1000+'Inputs'!$B$21+'Inputs'!$B$7+'Inputs'!$B$10)+'Inputs'!$B$9)/SQRT((((555-43)*MAX('Inputs'!$B$33,'Inputs'!$B$29+'Inputs'!$B$31+'Inputs'!$B$32,'Inputs'!$B$30+'Inputs'!$B$31+'Inputs'!$B$32)/1000+'Inputs'!$B$21+'Inputs'!$B$7+'Inputs'!$B$10)+'Inputs'!$B$9)^2+('Inputs'!$B$8/2)^2)-(((555-43)*MAX('Inputs'!$B$33,'Inputs'!$B$29+'Inputs'!$B$31+'Inputs'!$B$32,'Inputs'!$B$30+'Inputs'!$B$31+'Inputs'!$B$32)/1000+'Inputs'!$B$21+'Inputs'!$B$7+'Inputs'!$B$10))/SQRT((((555-43)*MAX('Inputs'!$B$33,'Inputs'!$B$29+'Inputs'!$B$31+'Inputs'!$B$32,'Inputs'!$B$30+'Inputs'!$B$31+'Inputs'!$B$32)/1000+'Inputs'!$B$21+'Inputs'!$B$7+'Inputs'!$B$10))^2+('Inputs'!$B$8/2)^2))))*'Results'!$B$8))),"")</x:f>
        <x:v>3.4083175097544265</x:v>
      </x:c>
      <x:c r="L555" t="n">
        <x:f>IF(AND(ISNUMBER('Results'!B7),ISNUMBER('Results'!C7),ISNUMBER('Results'!$B$8),ISNUMBER('Inputs'!$B$6),ISNUMBER('Inputs'!$B$7),ISNUMBER('Inputs'!$B$8),ISNUMBER('Inputs'!$B$9),ISNUMBER('Inputs'!$B$10),ISNUMBER('Inputs'!$B$21),ISNUMBER('Inputs'!$B$24),ISNUMBER('Inputs'!$B$28)),((('Results'!B7*(1+'Inputs'!$B$24)*(0.5*((((555-43)*MAX('Inputs'!$B$33,'Inputs'!$B$29+'Inputs'!$B$31+'Inputs'!$B$32,'Inputs'!$B$30+'Inputs'!$B$31+'Inputs'!$B$32)/1000+'Inputs'!$B$21)+'Inputs'!$B$7)/SQRT((((555-43)*MAX('Inputs'!$B$33,'Inputs'!$B$29+'Inputs'!$B$31+'Inputs'!$B$32,'Inputs'!$B$30+'Inputs'!$B$31+'Inputs'!$B$32)/1000+'Inputs'!$B$21)+'Inputs'!$B$7)^2+('Inputs'!$B$6/2)^2)-(((555-43)*MAX('Inputs'!$B$33,'Inputs'!$B$29+'Inputs'!$B$31+'Inputs'!$B$32,'Inputs'!$B$30+'Inputs'!$B$31+'Inputs'!$B$32)/1000+'Inputs'!$B$21))/SQRT((((555-43)*MAX('Inputs'!$B$33,'Inputs'!$B$29+'Inputs'!$B$31+'Inputs'!$B$32,'Inputs'!$B$30+'Inputs'!$B$31+'Inputs'!$B$32)/1000+'Inputs'!$B$21))^2+('Inputs'!$B$6/2)^2)))-'Results'!C7*(1-'Inputs'!$B$24)*(0.5*((((555-43)*MAX('Inputs'!$B$33,'Inputs'!$B$29+'Inputs'!$B$31+'Inputs'!$B$32,'Inputs'!$B$30+'Inputs'!$B$31+'Inputs'!$B$32)/1000+'Inputs'!$B$21+'Inputs'!$B$7+'Inputs'!$B$10)+'Inputs'!$B$9)/SQRT((((555-43)*MAX('Inputs'!$B$33,'Inputs'!$B$29+'Inputs'!$B$31+'Inputs'!$B$32,'Inputs'!$B$30+'Inputs'!$B$31+'Inputs'!$B$32)/1000+'Inputs'!$B$21+'Inputs'!$B$7+'Inputs'!$B$10)+'Inputs'!$B$9)^2+('Inputs'!$B$8/2)^2)-(((555-43)*MAX('Inputs'!$B$33,'Inputs'!$B$29+'Inputs'!$B$31+'Inputs'!$B$32,'Inputs'!$B$30+'Inputs'!$B$31+'Inputs'!$B$32)/1000+'Inputs'!$B$21+'Inputs'!$B$7+'Inputs'!$B$10))/SQRT((((555-43)*MAX('Inputs'!$B$33,'Inputs'!$B$29+'Inputs'!$B$31+'Inputs'!$B$32,'Inputs'!$B$30+'Inputs'!$B$31+'Inputs'!$B$32)/1000+'Inputs'!$B$21+'Inputs'!$B$7+'Inputs'!$B$10))^2+('Inputs'!$B$8/2)^2))))*'Results'!$B$8)+'Inputs'!$B$28*ABS((('Results'!B7*(1+'Inputs'!$B$24)*(0.5*((((555-43)*MAX('Inputs'!$B$33,'Inputs'!$B$29+'Inputs'!$B$31+'Inputs'!$B$32,'Inputs'!$B$30+'Inputs'!$B$31+'Inputs'!$B$32)/1000+'Inputs'!$B$21)+'Inputs'!$B$7)/SQRT((((555-43)*MAX('Inputs'!$B$33,'Inputs'!$B$29+'Inputs'!$B$31+'Inputs'!$B$32,'Inputs'!$B$30+'Inputs'!$B$31+'Inputs'!$B$32)/1000+'Inputs'!$B$21)+'Inputs'!$B$7)^2+('Inputs'!$B$6/2)^2)-(((555-43)*MAX('Inputs'!$B$33,'Inputs'!$B$29+'Inputs'!$B$31+'Inputs'!$B$32,'Inputs'!$B$30+'Inputs'!$B$31+'Inputs'!$B$32)/1000+'Inputs'!$B$21))/SQRT((((555-43)*MAX('Inputs'!$B$33,'Inputs'!$B$29+'Inputs'!$B$31+'Inputs'!$B$32,'Inputs'!$B$30+'Inputs'!$B$31+'Inputs'!$B$32)/1000+'Inputs'!$B$21))^2+('Inputs'!$B$6/2)^2)))-'Results'!C7*(1-'Inputs'!$B$24)*(0.5*((((555-43)*MAX('Inputs'!$B$33,'Inputs'!$B$29+'Inputs'!$B$31+'Inputs'!$B$32,'Inputs'!$B$30+'Inputs'!$B$31+'Inputs'!$B$32)/1000+'Inputs'!$B$21+'Inputs'!$B$7+'Inputs'!$B$10)+'Inputs'!$B$9)/SQRT((((555-43)*MAX('Inputs'!$B$33,'Inputs'!$B$29+'Inputs'!$B$31+'Inputs'!$B$32,'Inputs'!$B$30+'Inputs'!$B$31+'Inputs'!$B$32)/1000+'Inputs'!$B$21+'Inputs'!$B$7+'Inputs'!$B$10)+'Inputs'!$B$9)^2+('Inputs'!$B$8/2)^2)-(((555-43)*MAX('Inputs'!$B$33,'Inputs'!$B$29+'Inputs'!$B$31+'Inputs'!$B$32,'Inputs'!$B$30+'Inputs'!$B$31+'Inputs'!$B$32)/1000+'Inputs'!$B$21+'Inputs'!$B$7+'Inputs'!$B$10))/SQRT((((555-43)*MAX('Inputs'!$B$33,'Inputs'!$B$29+'Inputs'!$B$31+'Inputs'!$B$32,'Inputs'!$B$30+'Inputs'!$B$31+'Inputs'!$B$32)/1000+'Inputs'!$B$21+'Inputs'!$B$7+'Inputs'!$B$10))^2+('Inputs'!$B$8/2)^2))))*'Results'!$B$8))),"")</x:f>
        <x:v>4.326018727603006</x:v>
      </x:c>
      <x:c r="M555" t="n">
        <x:f>IF(AND(ISNUMBER('Results'!C7),ISNUMBER('Results'!B7),ISNUMBER('Results'!$B$8),ISNUMBER('Inputs'!$B$6),ISNUMBER('Inputs'!$B$7),ISNUMBER('Inputs'!$B$8),ISNUMBER('Inputs'!$B$9),ISNUMBER('Inputs'!$B$10),ISNUMBER('Inputs'!$B$21),ISNUMBER('Inputs'!$B$24),ISNUMBER('Inputs'!$B$28)),(('Results'!C7*(0.5*((((555-43)*MAX('Inputs'!$B$33,'Inputs'!$B$29+'Inputs'!$B$31+'Inputs'!$B$32,'Inputs'!$B$30+'Inputs'!$B$31+'Inputs'!$B$32)/1000+'Inputs'!$B$21)+'Inputs'!$B$9)/SQRT((((555-43)*MAX('Inputs'!$B$33,'Inputs'!$B$29+'Inputs'!$B$31+'Inputs'!$B$32,'Inputs'!$B$30+'Inputs'!$B$31+'Inputs'!$B$32)/1000+'Inputs'!$B$21)+'Inputs'!$B$9)^2+('Inputs'!$B$8/2)^2)-(((555-43)*MAX('Inputs'!$B$33,'Inputs'!$B$29+'Inputs'!$B$31+'Inputs'!$B$32,'Inputs'!$B$30+'Inputs'!$B$31+'Inputs'!$B$32)/1000+'Inputs'!$B$21))/SQRT((((555-43)*MAX('Inputs'!$B$33,'Inputs'!$B$29+'Inputs'!$B$31+'Inputs'!$B$32,'Inputs'!$B$30+'Inputs'!$B$31+'Inputs'!$B$32)/1000+'Inputs'!$B$21))^2+('Inputs'!$B$8/2)^2)))-'Results'!B7*(0.5*((((555-43)*MAX('Inputs'!$B$33,'Inputs'!$B$29+'Inputs'!$B$31+'Inputs'!$B$32,'Inputs'!$B$30+'Inputs'!$B$31+'Inputs'!$B$32)/1000+'Inputs'!$B$21+'Inputs'!$B$9+'Inputs'!$B$10)+'Inputs'!$B$7)/SQRT((((555-43)*MAX('Inputs'!$B$33,'Inputs'!$B$29+'Inputs'!$B$31+'Inputs'!$B$32,'Inputs'!$B$30+'Inputs'!$B$31+'Inputs'!$B$32)/1000+'Inputs'!$B$21+'Inputs'!$B$9+'Inputs'!$B$10)+'Inputs'!$B$7)^2+('Inputs'!$B$6/2)^2)-(((555-43)*MAX('Inputs'!$B$33,'Inputs'!$B$29+'Inputs'!$B$31+'Inputs'!$B$32,'Inputs'!$B$30+'Inputs'!$B$31+'Inputs'!$B$32)/1000+'Inputs'!$B$21+'Inputs'!$B$9+'Inputs'!$B$10))/SQRT((((555-43)*MAX('Inputs'!$B$33,'Inputs'!$B$29+'Inputs'!$B$31+'Inputs'!$B$32,'Inputs'!$B$30+'Inputs'!$B$31+'Inputs'!$B$32)/1000+'Inputs'!$B$21+'Inputs'!$B$9+'Inputs'!$B$10))^2+('Inputs'!$B$6/2)^2))))*'Results'!$B$8),"")</x:f>
        <x:v>3.5857732500895594</x:v>
      </x:c>
      <x:c r="N555" t="n">
        <x:f>IF(AND(ISNUMBER('Results'!C7),ISNUMBER('Results'!B7),ISNUMBER('Results'!$B$8),ISNUMBER('Inputs'!$B$6),ISNUMBER('Inputs'!$B$7),ISNUMBER('Inputs'!$B$8),ISNUMBER('Inputs'!$B$9),ISNUMBER('Inputs'!$B$10),ISNUMBER('Inputs'!$B$21),ISNUMBER('Inputs'!$B$24),ISNUMBER('Inputs'!$B$28)),((('Results'!C7*(1-'Inputs'!$B$24)*(0.5*((((555-43)*MAX('Inputs'!$B$33,'Inputs'!$B$29+'Inputs'!$B$31+'Inputs'!$B$32,'Inputs'!$B$30+'Inputs'!$B$31+'Inputs'!$B$32)/1000+'Inputs'!$B$21)+'Inputs'!$B$9)/SQRT((((555-43)*MAX('Inputs'!$B$33,'Inputs'!$B$29+'Inputs'!$B$31+'Inputs'!$B$32,'Inputs'!$B$30+'Inputs'!$B$31+'Inputs'!$B$32)/1000+'Inputs'!$B$21)+'Inputs'!$B$9)^2+('Inputs'!$B$8/2)^2)-(((555-43)*MAX('Inputs'!$B$33,'Inputs'!$B$29+'Inputs'!$B$31+'Inputs'!$B$32,'Inputs'!$B$30+'Inputs'!$B$31+'Inputs'!$B$32)/1000+'Inputs'!$B$21))/SQRT((((555-43)*MAX('Inputs'!$B$33,'Inputs'!$B$29+'Inputs'!$B$31+'Inputs'!$B$32,'Inputs'!$B$30+'Inputs'!$B$31+'Inputs'!$B$32)/1000+'Inputs'!$B$21))^2+('Inputs'!$B$8/2)^2)))-'Results'!B7*(1+'Inputs'!$B$24)*(0.5*((((555-43)*MAX('Inputs'!$B$33,'Inputs'!$B$29+'Inputs'!$B$31+'Inputs'!$B$32,'Inputs'!$B$30+'Inputs'!$B$31+'Inputs'!$B$32)/1000+'Inputs'!$B$21+'Inputs'!$B$9+'Inputs'!$B$10)+'Inputs'!$B$7)/SQRT((((555-43)*MAX('Inputs'!$B$33,'Inputs'!$B$29+'Inputs'!$B$31+'Inputs'!$B$32,'Inputs'!$B$30+'Inputs'!$B$31+'Inputs'!$B$32)/1000+'Inputs'!$B$21+'Inputs'!$B$9+'Inputs'!$B$10)+'Inputs'!$B$7)^2+('Inputs'!$B$6/2)^2)-(((555-43)*MAX('Inputs'!$B$33,'Inputs'!$B$29+'Inputs'!$B$31+'Inputs'!$B$32,'Inputs'!$B$30+'Inputs'!$B$31+'Inputs'!$B$32)/1000+'Inputs'!$B$21+'Inputs'!$B$9+'Inputs'!$B$10))/SQRT((((555-43)*MAX('Inputs'!$B$33,'Inputs'!$B$29+'Inputs'!$B$31+'Inputs'!$B$32,'Inputs'!$B$30+'Inputs'!$B$31+'Inputs'!$B$32)/1000+'Inputs'!$B$21+'Inputs'!$B$9+'Inputs'!$B$10))^2+('Inputs'!$B$6/2)^2))))*'Results'!$B$8)-'Inputs'!$B$28*ABS((('Results'!C7*(1-'Inputs'!$B$24)*(0.5*((((555-43)*MAX('Inputs'!$B$33,'Inputs'!$B$29+'Inputs'!$B$31+'Inputs'!$B$32,'Inputs'!$B$30+'Inputs'!$B$31+'Inputs'!$B$32)/1000+'Inputs'!$B$21)+'Inputs'!$B$9)/SQRT((((555-43)*MAX('Inputs'!$B$33,'Inputs'!$B$29+'Inputs'!$B$31+'Inputs'!$B$32,'Inputs'!$B$30+'Inputs'!$B$31+'Inputs'!$B$32)/1000+'Inputs'!$B$21)+'Inputs'!$B$9)^2+('Inputs'!$B$8/2)^2)-(((555-43)*MAX('Inputs'!$B$33,'Inputs'!$B$29+'Inputs'!$B$31+'Inputs'!$B$32,'Inputs'!$B$30+'Inputs'!$B$31+'Inputs'!$B$32)/1000+'Inputs'!$B$21))/SQRT((((555-43)*MAX('Inputs'!$B$33,'Inputs'!$B$29+'Inputs'!$B$31+'Inputs'!$B$32,'Inputs'!$B$30+'Inputs'!$B$31+'Inputs'!$B$32)/1000+'Inputs'!$B$21))^2+('Inputs'!$B$8/2)^2)))-'Results'!B7*(1+'Inputs'!$B$24)*(0.5*((((555-43)*MAX('Inputs'!$B$33,'Inputs'!$B$29+'Inputs'!$B$31+'Inputs'!$B$32,'Inputs'!$B$30+'Inputs'!$B$31+'Inputs'!$B$32)/1000+'Inputs'!$B$21+'Inputs'!$B$9+'Inputs'!$B$10)+'Inputs'!$B$7)/SQRT((((555-43)*MAX('Inputs'!$B$33,'Inputs'!$B$29+'Inputs'!$B$31+'Inputs'!$B$32,'Inputs'!$B$30+'Inputs'!$B$31+'Inputs'!$B$32)/1000+'Inputs'!$B$21+'Inputs'!$B$9+'Inputs'!$B$10)+'Inputs'!$B$7)^2+('Inputs'!$B$6/2)^2)-(((555-43)*MAX('Inputs'!$B$33,'Inputs'!$B$29+'Inputs'!$B$31+'Inputs'!$B$32,'Inputs'!$B$30+'Inputs'!$B$31+'Inputs'!$B$32)/1000+'Inputs'!$B$21+'Inputs'!$B$9+'Inputs'!$B$10))/SQRT((((555-43)*MAX('Inputs'!$B$33,'Inputs'!$B$29+'Inputs'!$B$31+'Inputs'!$B$32,'Inputs'!$B$30+'Inputs'!$B$31+'Inputs'!$B$32)/1000+'Inputs'!$B$21+'Inputs'!$B$9+'Inputs'!$B$10))^2+('Inputs'!$B$6/2)^2))))*'Results'!$B$8))),"")</x:f>
        <x:v>3.1550626788987794</x:v>
      </x:c>
      <x:c r="O555" t="n">
        <x:f>IF(AND(ISNUMBER('Results'!C7),ISNUMBER('Results'!B7),ISNUMBER('Results'!$B$8),ISNUMBER('Inputs'!$B$6),ISNUMBER('Inputs'!$B$7),ISNUMBER('Inputs'!$B$8),ISNUMBER('Inputs'!$B$9),ISNUMBER('Inputs'!$B$10),ISNUMBER('Inputs'!$B$21),ISNUMBER('Inputs'!$B$24),ISNUMBER('Inputs'!$B$28)),((('Results'!C7*(1+'Inputs'!$B$24)*(0.5*((((555-43)*MAX('Inputs'!$B$33,'Inputs'!$B$29+'Inputs'!$B$31+'Inputs'!$B$32,'Inputs'!$B$30+'Inputs'!$B$31+'Inputs'!$B$32)/1000+'Inputs'!$B$21)+'Inputs'!$B$9)/SQRT((((555-43)*MAX('Inputs'!$B$33,'Inputs'!$B$29+'Inputs'!$B$31+'Inputs'!$B$32,'Inputs'!$B$30+'Inputs'!$B$31+'Inputs'!$B$32)/1000+'Inputs'!$B$21)+'Inputs'!$B$9)^2+('Inputs'!$B$8/2)^2)-(((555-43)*MAX('Inputs'!$B$33,'Inputs'!$B$29+'Inputs'!$B$31+'Inputs'!$B$32,'Inputs'!$B$30+'Inputs'!$B$31+'Inputs'!$B$32)/1000+'Inputs'!$B$21))/SQRT((((555-43)*MAX('Inputs'!$B$33,'Inputs'!$B$29+'Inputs'!$B$31+'Inputs'!$B$32,'Inputs'!$B$30+'Inputs'!$B$31+'Inputs'!$B$32)/1000+'Inputs'!$B$21))^2+('Inputs'!$B$8/2)^2)))-'Results'!B7*(1-'Inputs'!$B$24)*(0.5*((((555-43)*MAX('Inputs'!$B$33,'Inputs'!$B$29+'Inputs'!$B$31+'Inputs'!$B$32,'Inputs'!$B$30+'Inputs'!$B$31+'Inputs'!$B$32)/1000+'Inputs'!$B$21+'Inputs'!$B$9+'Inputs'!$B$10)+'Inputs'!$B$7)/SQRT((((555-43)*MAX('Inputs'!$B$33,'Inputs'!$B$29+'Inputs'!$B$31+'Inputs'!$B$32,'Inputs'!$B$30+'Inputs'!$B$31+'Inputs'!$B$32)/1000+'Inputs'!$B$21+'Inputs'!$B$9+'Inputs'!$B$10)+'Inputs'!$B$7)^2+('Inputs'!$B$6/2)^2)-(((555-43)*MAX('Inputs'!$B$33,'Inputs'!$B$29+'Inputs'!$B$31+'Inputs'!$B$32,'Inputs'!$B$30+'Inputs'!$B$31+'Inputs'!$B$32)/1000+'Inputs'!$B$21+'Inputs'!$B$9+'Inputs'!$B$10))/SQRT((((555-43)*MAX('Inputs'!$B$33,'Inputs'!$B$29+'Inputs'!$B$31+'Inputs'!$B$32,'Inputs'!$B$30+'Inputs'!$B$31+'Inputs'!$B$32)/1000+'Inputs'!$B$21+'Inputs'!$B$9+'Inputs'!$B$10))^2+('Inputs'!$B$6/2)^2))))*'Results'!$B$8)+'Inputs'!$B$28*ABS((('Results'!C7*(1+'Inputs'!$B$24)*(0.5*((((555-43)*MAX('Inputs'!$B$33,'Inputs'!$B$29+'Inputs'!$B$31+'Inputs'!$B$32,'Inputs'!$B$30+'Inputs'!$B$31+'Inputs'!$B$32)/1000+'Inputs'!$B$21)+'Inputs'!$B$9)/SQRT((((555-43)*MAX('Inputs'!$B$33,'Inputs'!$B$29+'Inputs'!$B$31+'Inputs'!$B$32,'Inputs'!$B$30+'Inputs'!$B$31+'Inputs'!$B$32)/1000+'Inputs'!$B$21)+'Inputs'!$B$9)^2+('Inputs'!$B$8/2)^2)-(((555-43)*MAX('Inputs'!$B$33,'Inputs'!$B$29+'Inputs'!$B$31+'Inputs'!$B$32,'Inputs'!$B$30+'Inputs'!$B$31+'Inputs'!$B$32)/1000+'Inputs'!$B$21))/SQRT((((555-43)*MAX('Inputs'!$B$33,'Inputs'!$B$29+'Inputs'!$B$31+'Inputs'!$B$32,'Inputs'!$B$30+'Inputs'!$B$31+'Inputs'!$B$32)/1000+'Inputs'!$B$21))^2+('Inputs'!$B$8/2)^2)))-'Results'!B7*(1-'Inputs'!$B$24)*(0.5*((((555-43)*MAX('Inputs'!$B$33,'Inputs'!$B$29+'Inputs'!$B$31+'Inputs'!$B$32,'Inputs'!$B$30+'Inputs'!$B$31+'Inputs'!$B$32)/1000+'Inputs'!$B$21+'Inputs'!$B$9+'Inputs'!$B$10)+'Inputs'!$B$7)/SQRT((((555-43)*MAX('Inputs'!$B$33,'Inputs'!$B$29+'Inputs'!$B$31+'Inputs'!$B$32,'Inputs'!$B$30+'Inputs'!$B$31+'Inputs'!$B$32)/1000+'Inputs'!$B$21+'Inputs'!$B$9+'Inputs'!$B$10)+'Inputs'!$B$7)^2+('Inputs'!$B$6/2)^2)-(((555-43)*MAX('Inputs'!$B$33,'Inputs'!$B$29+'Inputs'!$B$31+'Inputs'!$B$32,'Inputs'!$B$30+'Inputs'!$B$31+'Inputs'!$B$32)/1000+'Inputs'!$B$21+'Inputs'!$B$9+'Inputs'!$B$10))/SQRT((((555-43)*MAX('Inputs'!$B$33,'Inputs'!$B$29+'Inputs'!$B$31+'Inputs'!$B$32,'Inputs'!$B$30+'Inputs'!$B$31+'Inputs'!$B$32)/1000+'Inputs'!$B$21+'Inputs'!$B$9+'Inputs'!$B$10))^2+('Inputs'!$B$6/2)^2))))*'Results'!$B$8))),"")</x:f>
        <x:v>4.042949285352581</x:v>
      </x:c>
      <x:c r="P555" t="n">
        <x:f>IF(AND(MAX(J555,J554)&gt;0,J555&gt;J554+0.00000001),1,0)</x:f>
        <x:v>0</x:v>
      </x:c>
      <x:c r="Q555" t="n">
        <x:f>IF(AND(MAX(K555,K554)&gt;0,K555&gt;K554+0.00000001),1,0)</x:f>
        <x:v>0</x:v>
      </x:c>
      <x:c r="R555" t="n">
        <x:f>IF(AND(MAX(L555,L554)&gt;0,L555&gt;L554+0.00000001),1,0)</x:f>
        <x:v>0</x:v>
      </x:c>
      <x:c r="S555" t="n">
        <x:f>IF(AND(MAX(M555,M554)&gt;0,M555&gt;M554+0.00000001),1,0)</x:f>
        <x:v>0</x:v>
      </x:c>
      <x:c r="T555" t="n">
        <x:f>IF(AND(MAX(N555,N554)&gt;0,N555&gt;N554+0.00000001),1,0)</x:f>
        <x:v>0</x:v>
      </x:c>
      <x:c r="U555" t="n">
        <x:f>IF(AND(MAX(O555,O554)&gt;0,O555&gt;O554+0.00000001),1,0)</x:f>
        <x:v>0</x:v>
      </x:c>
    </x:row>
    <x:row r="556">
      <x:c r="J556" t="n">
        <x:f>IF(AND(ISNUMBER('Results'!B7),ISNUMBER('Results'!C7),ISNUMBER('Results'!$B$8),ISNUMBER('Inputs'!$B$6),ISNUMBER('Inputs'!$B$7),ISNUMBER('Inputs'!$B$8),ISNUMBER('Inputs'!$B$9),ISNUMBER('Inputs'!$B$10),ISNUMBER('Inputs'!$B$21),ISNUMBER('Inputs'!$B$24),ISNUMBER('Inputs'!$B$28)),(('Results'!B7*(0.5*((((556-43)*MAX('Inputs'!$B$33,'Inputs'!$B$29+'Inputs'!$B$31+'Inputs'!$B$32,'Inputs'!$B$30+'Inputs'!$B$31+'Inputs'!$B$32)/1000+'Inputs'!$B$21)+'Inputs'!$B$7)/SQRT((((556-43)*MAX('Inputs'!$B$33,'Inputs'!$B$29+'Inputs'!$B$31+'Inputs'!$B$32,'Inputs'!$B$30+'Inputs'!$B$31+'Inputs'!$B$32)/1000+'Inputs'!$B$21)+'Inputs'!$B$7)^2+('Inputs'!$B$6/2)^2)-(((556-43)*MAX('Inputs'!$B$33,'Inputs'!$B$29+'Inputs'!$B$31+'Inputs'!$B$32,'Inputs'!$B$30+'Inputs'!$B$31+'Inputs'!$B$32)/1000+'Inputs'!$B$21))/SQRT((((556-43)*MAX('Inputs'!$B$33,'Inputs'!$B$29+'Inputs'!$B$31+'Inputs'!$B$32,'Inputs'!$B$30+'Inputs'!$B$31+'Inputs'!$B$32)/1000+'Inputs'!$B$21))^2+('Inputs'!$B$6/2)^2)))-'Results'!C7*(0.5*((((556-43)*MAX('Inputs'!$B$33,'Inputs'!$B$29+'Inputs'!$B$31+'Inputs'!$B$32,'Inputs'!$B$30+'Inputs'!$B$31+'Inputs'!$B$32)/1000+'Inputs'!$B$21+'Inputs'!$B$7+'Inputs'!$B$10)+'Inputs'!$B$9)/SQRT((((556-43)*MAX('Inputs'!$B$33,'Inputs'!$B$29+'Inputs'!$B$31+'Inputs'!$B$32,'Inputs'!$B$30+'Inputs'!$B$31+'Inputs'!$B$32)/1000+'Inputs'!$B$21+'Inputs'!$B$7+'Inputs'!$B$10)+'Inputs'!$B$9)^2+('Inputs'!$B$8/2)^2)-(((556-43)*MAX('Inputs'!$B$33,'Inputs'!$B$29+'Inputs'!$B$31+'Inputs'!$B$32,'Inputs'!$B$30+'Inputs'!$B$31+'Inputs'!$B$32)/1000+'Inputs'!$B$21+'Inputs'!$B$7+'Inputs'!$B$10))/SQRT((((556-43)*MAX('Inputs'!$B$33,'Inputs'!$B$29+'Inputs'!$B$31+'Inputs'!$B$32,'Inputs'!$B$30+'Inputs'!$B$31+'Inputs'!$B$32)/1000+'Inputs'!$B$21+'Inputs'!$B$7+'Inputs'!$B$10))^2+('Inputs'!$B$8/2)^2))))*'Results'!$B$8),"")</x:f>
        <x:v>3.828172725112267</x:v>
      </x:c>
      <x:c r="K556" t="n">
        <x:f>IF(AND(ISNUMBER('Results'!B7),ISNUMBER('Results'!C7),ISNUMBER('Results'!$B$8),ISNUMBER('Inputs'!$B$6),ISNUMBER('Inputs'!$B$7),ISNUMBER('Inputs'!$B$8),ISNUMBER('Inputs'!$B$9),ISNUMBER('Inputs'!$B$10),ISNUMBER('Inputs'!$B$21),ISNUMBER('Inputs'!$B$24),ISNUMBER('Inputs'!$B$28)),((('Results'!B7*(1-'Inputs'!$B$24)*(0.5*((((556-43)*MAX('Inputs'!$B$33,'Inputs'!$B$29+'Inputs'!$B$31+'Inputs'!$B$32,'Inputs'!$B$30+'Inputs'!$B$31+'Inputs'!$B$32)/1000+'Inputs'!$B$21)+'Inputs'!$B$7)/SQRT((((556-43)*MAX('Inputs'!$B$33,'Inputs'!$B$29+'Inputs'!$B$31+'Inputs'!$B$32,'Inputs'!$B$30+'Inputs'!$B$31+'Inputs'!$B$32)/1000+'Inputs'!$B$21)+'Inputs'!$B$7)^2+('Inputs'!$B$6/2)^2)-(((556-43)*MAX('Inputs'!$B$33,'Inputs'!$B$29+'Inputs'!$B$31+'Inputs'!$B$32,'Inputs'!$B$30+'Inputs'!$B$31+'Inputs'!$B$32)/1000+'Inputs'!$B$21))/SQRT((((556-43)*MAX('Inputs'!$B$33,'Inputs'!$B$29+'Inputs'!$B$31+'Inputs'!$B$32,'Inputs'!$B$30+'Inputs'!$B$31+'Inputs'!$B$32)/1000+'Inputs'!$B$21))^2+('Inputs'!$B$6/2)^2)))-'Results'!C7*(1+'Inputs'!$B$24)*(0.5*((((556-43)*MAX('Inputs'!$B$33,'Inputs'!$B$29+'Inputs'!$B$31+'Inputs'!$B$32,'Inputs'!$B$30+'Inputs'!$B$31+'Inputs'!$B$32)/1000+'Inputs'!$B$21+'Inputs'!$B$7+'Inputs'!$B$10)+'Inputs'!$B$9)/SQRT((((556-43)*MAX('Inputs'!$B$33,'Inputs'!$B$29+'Inputs'!$B$31+'Inputs'!$B$32,'Inputs'!$B$30+'Inputs'!$B$31+'Inputs'!$B$32)/1000+'Inputs'!$B$21+'Inputs'!$B$7+'Inputs'!$B$10)+'Inputs'!$B$9)^2+('Inputs'!$B$8/2)^2)-(((556-43)*MAX('Inputs'!$B$33,'Inputs'!$B$29+'Inputs'!$B$31+'Inputs'!$B$32,'Inputs'!$B$30+'Inputs'!$B$31+'Inputs'!$B$32)/1000+'Inputs'!$B$21+'Inputs'!$B$7+'Inputs'!$B$10))/SQRT((((556-43)*MAX('Inputs'!$B$33,'Inputs'!$B$29+'Inputs'!$B$31+'Inputs'!$B$32,'Inputs'!$B$30+'Inputs'!$B$31+'Inputs'!$B$32)/1000+'Inputs'!$B$21+'Inputs'!$B$7+'Inputs'!$B$10))^2+('Inputs'!$B$8/2)^2))))*'Results'!$B$8)-'Inputs'!$B$28*ABS((('Results'!B7*(1-'Inputs'!$B$24)*(0.5*((((556-43)*MAX('Inputs'!$B$33,'Inputs'!$B$29+'Inputs'!$B$31+'Inputs'!$B$32,'Inputs'!$B$30+'Inputs'!$B$31+'Inputs'!$B$32)/1000+'Inputs'!$B$21)+'Inputs'!$B$7)/SQRT((((556-43)*MAX('Inputs'!$B$33,'Inputs'!$B$29+'Inputs'!$B$31+'Inputs'!$B$32,'Inputs'!$B$30+'Inputs'!$B$31+'Inputs'!$B$32)/1000+'Inputs'!$B$21)+'Inputs'!$B$7)^2+('Inputs'!$B$6/2)^2)-(((556-43)*MAX('Inputs'!$B$33,'Inputs'!$B$29+'Inputs'!$B$31+'Inputs'!$B$32,'Inputs'!$B$30+'Inputs'!$B$31+'Inputs'!$B$32)/1000+'Inputs'!$B$21))/SQRT((((556-43)*MAX('Inputs'!$B$33,'Inputs'!$B$29+'Inputs'!$B$31+'Inputs'!$B$32,'Inputs'!$B$30+'Inputs'!$B$31+'Inputs'!$B$32)/1000+'Inputs'!$B$21))^2+('Inputs'!$B$6/2)^2)))-'Results'!C7*(1+'Inputs'!$B$24)*(0.5*((((556-43)*MAX('Inputs'!$B$33,'Inputs'!$B$29+'Inputs'!$B$31+'Inputs'!$B$32,'Inputs'!$B$30+'Inputs'!$B$31+'Inputs'!$B$32)/1000+'Inputs'!$B$21+'Inputs'!$B$7+'Inputs'!$B$10)+'Inputs'!$B$9)/SQRT((((556-43)*MAX('Inputs'!$B$33,'Inputs'!$B$29+'Inputs'!$B$31+'Inputs'!$B$32,'Inputs'!$B$30+'Inputs'!$B$31+'Inputs'!$B$32)/1000+'Inputs'!$B$21+'Inputs'!$B$7+'Inputs'!$B$10)+'Inputs'!$B$9)^2+('Inputs'!$B$8/2)^2)-(((556-43)*MAX('Inputs'!$B$33,'Inputs'!$B$29+'Inputs'!$B$31+'Inputs'!$B$32,'Inputs'!$B$30+'Inputs'!$B$31+'Inputs'!$B$32)/1000+'Inputs'!$B$21+'Inputs'!$B$7+'Inputs'!$B$10))/SQRT((((556-43)*MAX('Inputs'!$B$33,'Inputs'!$B$29+'Inputs'!$B$31+'Inputs'!$B$32,'Inputs'!$B$30+'Inputs'!$B$31+'Inputs'!$B$32)/1000+'Inputs'!$B$21+'Inputs'!$B$7+'Inputs'!$B$10))^2+('Inputs'!$B$8/2)^2))))*'Results'!$B$8))),"")</x:f>
        <x:v>3.385222036768224</x:v>
      </x:c>
      <x:c r="L556" t="n">
        <x:f>IF(AND(ISNUMBER('Results'!B7),ISNUMBER('Results'!C7),ISNUMBER('Results'!$B$8),ISNUMBER('Inputs'!$B$6),ISNUMBER('Inputs'!$B$7),ISNUMBER('Inputs'!$B$8),ISNUMBER('Inputs'!$B$9),ISNUMBER('Inputs'!$B$10),ISNUMBER('Inputs'!$B$21),ISNUMBER('Inputs'!$B$24),ISNUMBER('Inputs'!$B$28)),((('Results'!B7*(1+'Inputs'!$B$24)*(0.5*((((556-43)*MAX('Inputs'!$B$33,'Inputs'!$B$29+'Inputs'!$B$31+'Inputs'!$B$32,'Inputs'!$B$30+'Inputs'!$B$31+'Inputs'!$B$32)/1000+'Inputs'!$B$21)+'Inputs'!$B$7)/SQRT((((556-43)*MAX('Inputs'!$B$33,'Inputs'!$B$29+'Inputs'!$B$31+'Inputs'!$B$32,'Inputs'!$B$30+'Inputs'!$B$31+'Inputs'!$B$32)/1000+'Inputs'!$B$21)+'Inputs'!$B$7)^2+('Inputs'!$B$6/2)^2)-(((556-43)*MAX('Inputs'!$B$33,'Inputs'!$B$29+'Inputs'!$B$31+'Inputs'!$B$32,'Inputs'!$B$30+'Inputs'!$B$31+'Inputs'!$B$32)/1000+'Inputs'!$B$21))/SQRT((((556-43)*MAX('Inputs'!$B$33,'Inputs'!$B$29+'Inputs'!$B$31+'Inputs'!$B$32,'Inputs'!$B$30+'Inputs'!$B$31+'Inputs'!$B$32)/1000+'Inputs'!$B$21))^2+('Inputs'!$B$6/2)^2)))-'Results'!C7*(1-'Inputs'!$B$24)*(0.5*((((556-43)*MAX('Inputs'!$B$33,'Inputs'!$B$29+'Inputs'!$B$31+'Inputs'!$B$32,'Inputs'!$B$30+'Inputs'!$B$31+'Inputs'!$B$32)/1000+'Inputs'!$B$21+'Inputs'!$B$7+'Inputs'!$B$10)+'Inputs'!$B$9)/SQRT((((556-43)*MAX('Inputs'!$B$33,'Inputs'!$B$29+'Inputs'!$B$31+'Inputs'!$B$32,'Inputs'!$B$30+'Inputs'!$B$31+'Inputs'!$B$32)/1000+'Inputs'!$B$21+'Inputs'!$B$7+'Inputs'!$B$10)+'Inputs'!$B$9)^2+('Inputs'!$B$8/2)^2)-(((556-43)*MAX('Inputs'!$B$33,'Inputs'!$B$29+'Inputs'!$B$31+'Inputs'!$B$32,'Inputs'!$B$30+'Inputs'!$B$31+'Inputs'!$B$32)/1000+'Inputs'!$B$21+'Inputs'!$B$7+'Inputs'!$B$10))/SQRT((((556-43)*MAX('Inputs'!$B$33,'Inputs'!$B$29+'Inputs'!$B$31+'Inputs'!$B$32,'Inputs'!$B$30+'Inputs'!$B$31+'Inputs'!$B$32)/1000+'Inputs'!$B$21+'Inputs'!$B$7+'Inputs'!$B$10))^2+('Inputs'!$B$8/2)^2))))*'Results'!$B$8)+'Inputs'!$B$28*ABS((('Results'!B7*(1+'Inputs'!$B$24)*(0.5*((((556-43)*MAX('Inputs'!$B$33,'Inputs'!$B$29+'Inputs'!$B$31+'Inputs'!$B$32,'Inputs'!$B$30+'Inputs'!$B$31+'Inputs'!$B$32)/1000+'Inputs'!$B$21)+'Inputs'!$B$7)/SQRT((((556-43)*MAX('Inputs'!$B$33,'Inputs'!$B$29+'Inputs'!$B$31+'Inputs'!$B$32,'Inputs'!$B$30+'Inputs'!$B$31+'Inputs'!$B$32)/1000+'Inputs'!$B$21)+'Inputs'!$B$7)^2+('Inputs'!$B$6/2)^2)-(((556-43)*MAX('Inputs'!$B$33,'Inputs'!$B$29+'Inputs'!$B$31+'Inputs'!$B$32,'Inputs'!$B$30+'Inputs'!$B$31+'Inputs'!$B$32)/1000+'Inputs'!$B$21))/SQRT((((556-43)*MAX('Inputs'!$B$33,'Inputs'!$B$29+'Inputs'!$B$31+'Inputs'!$B$32,'Inputs'!$B$30+'Inputs'!$B$31+'Inputs'!$B$32)/1000+'Inputs'!$B$21))^2+('Inputs'!$B$6/2)^2)))-'Results'!C7*(1-'Inputs'!$B$24)*(0.5*((((556-43)*MAX('Inputs'!$B$33,'Inputs'!$B$29+'Inputs'!$B$31+'Inputs'!$B$32,'Inputs'!$B$30+'Inputs'!$B$31+'Inputs'!$B$32)/1000+'Inputs'!$B$21+'Inputs'!$B$7+'Inputs'!$B$10)+'Inputs'!$B$9)/SQRT((((556-43)*MAX('Inputs'!$B$33,'Inputs'!$B$29+'Inputs'!$B$31+'Inputs'!$B$32,'Inputs'!$B$30+'Inputs'!$B$31+'Inputs'!$B$32)/1000+'Inputs'!$B$21+'Inputs'!$B$7+'Inputs'!$B$10)+'Inputs'!$B$9)^2+('Inputs'!$B$8/2)^2)-(((556-43)*MAX('Inputs'!$B$33,'Inputs'!$B$29+'Inputs'!$B$31+'Inputs'!$B$32,'Inputs'!$B$30+'Inputs'!$B$31+'Inputs'!$B$32)/1000+'Inputs'!$B$21+'Inputs'!$B$7+'Inputs'!$B$10))/SQRT((((556-43)*MAX('Inputs'!$B$33,'Inputs'!$B$29+'Inputs'!$B$31+'Inputs'!$B$32,'Inputs'!$B$30+'Inputs'!$B$31+'Inputs'!$B$32)/1000+'Inputs'!$B$21+'Inputs'!$B$7+'Inputs'!$B$10))^2+('Inputs'!$B$8/2)^2))))*'Results'!$B$8))),"")</x:f>
        <x:v>4.297601524202459</x:v>
      </x:c>
      <x:c r="M556" t="n">
        <x:f>IF(AND(ISNUMBER('Results'!C7),ISNUMBER('Results'!B7),ISNUMBER('Results'!$B$8),ISNUMBER('Inputs'!$B$6),ISNUMBER('Inputs'!$B$7),ISNUMBER('Inputs'!$B$8),ISNUMBER('Inputs'!$B$9),ISNUMBER('Inputs'!$B$10),ISNUMBER('Inputs'!$B$21),ISNUMBER('Inputs'!$B$24),ISNUMBER('Inputs'!$B$28)),(('Results'!C7*(0.5*((((556-43)*MAX('Inputs'!$B$33,'Inputs'!$B$29+'Inputs'!$B$31+'Inputs'!$B$32,'Inputs'!$B$30+'Inputs'!$B$31+'Inputs'!$B$32)/1000+'Inputs'!$B$21)+'Inputs'!$B$9)/SQRT((((556-43)*MAX('Inputs'!$B$33,'Inputs'!$B$29+'Inputs'!$B$31+'Inputs'!$B$32,'Inputs'!$B$30+'Inputs'!$B$31+'Inputs'!$B$32)/1000+'Inputs'!$B$21)+'Inputs'!$B$9)^2+('Inputs'!$B$8/2)^2)-(((556-43)*MAX('Inputs'!$B$33,'Inputs'!$B$29+'Inputs'!$B$31+'Inputs'!$B$32,'Inputs'!$B$30+'Inputs'!$B$31+'Inputs'!$B$32)/1000+'Inputs'!$B$21))/SQRT((((556-43)*MAX('Inputs'!$B$33,'Inputs'!$B$29+'Inputs'!$B$31+'Inputs'!$B$32,'Inputs'!$B$30+'Inputs'!$B$31+'Inputs'!$B$32)/1000+'Inputs'!$B$21))^2+('Inputs'!$B$8/2)^2)))-'Results'!B7*(0.5*((((556-43)*MAX('Inputs'!$B$33,'Inputs'!$B$29+'Inputs'!$B$31+'Inputs'!$B$32,'Inputs'!$B$30+'Inputs'!$B$31+'Inputs'!$B$32)/1000+'Inputs'!$B$21+'Inputs'!$B$9+'Inputs'!$B$10)+'Inputs'!$B$7)/SQRT((((556-43)*MAX('Inputs'!$B$33,'Inputs'!$B$29+'Inputs'!$B$31+'Inputs'!$B$32,'Inputs'!$B$30+'Inputs'!$B$31+'Inputs'!$B$32)/1000+'Inputs'!$B$21+'Inputs'!$B$9+'Inputs'!$B$10)+'Inputs'!$B$7)^2+('Inputs'!$B$6/2)^2)-(((556-43)*MAX('Inputs'!$B$33,'Inputs'!$B$29+'Inputs'!$B$31+'Inputs'!$B$32,'Inputs'!$B$30+'Inputs'!$B$31+'Inputs'!$B$32)/1000+'Inputs'!$B$21+'Inputs'!$B$9+'Inputs'!$B$10))/SQRT((((556-43)*MAX('Inputs'!$B$33,'Inputs'!$B$29+'Inputs'!$B$31+'Inputs'!$B$32,'Inputs'!$B$30+'Inputs'!$B$31+'Inputs'!$B$32)/1000+'Inputs'!$B$21+'Inputs'!$B$9+'Inputs'!$B$10))^2+('Inputs'!$B$6/2)^2))))*'Results'!$B$8),"")</x:f>
        <x:v>3.56147102935526</x:v>
      </x:c>
      <x:c r="N556" t="n">
        <x:f>IF(AND(ISNUMBER('Results'!C7),ISNUMBER('Results'!B7),ISNUMBER('Results'!$B$8),ISNUMBER('Inputs'!$B$6),ISNUMBER('Inputs'!$B$7),ISNUMBER('Inputs'!$B$8),ISNUMBER('Inputs'!$B$9),ISNUMBER('Inputs'!$B$10),ISNUMBER('Inputs'!$B$21),ISNUMBER('Inputs'!$B$24),ISNUMBER('Inputs'!$B$28)),((('Results'!C7*(1-'Inputs'!$B$24)*(0.5*((((556-43)*MAX('Inputs'!$B$33,'Inputs'!$B$29+'Inputs'!$B$31+'Inputs'!$B$32,'Inputs'!$B$30+'Inputs'!$B$31+'Inputs'!$B$32)/1000+'Inputs'!$B$21)+'Inputs'!$B$9)/SQRT((((556-43)*MAX('Inputs'!$B$33,'Inputs'!$B$29+'Inputs'!$B$31+'Inputs'!$B$32,'Inputs'!$B$30+'Inputs'!$B$31+'Inputs'!$B$32)/1000+'Inputs'!$B$21)+'Inputs'!$B$9)^2+('Inputs'!$B$8/2)^2)-(((556-43)*MAX('Inputs'!$B$33,'Inputs'!$B$29+'Inputs'!$B$31+'Inputs'!$B$32,'Inputs'!$B$30+'Inputs'!$B$31+'Inputs'!$B$32)/1000+'Inputs'!$B$21))/SQRT((((556-43)*MAX('Inputs'!$B$33,'Inputs'!$B$29+'Inputs'!$B$31+'Inputs'!$B$32,'Inputs'!$B$30+'Inputs'!$B$31+'Inputs'!$B$32)/1000+'Inputs'!$B$21))^2+('Inputs'!$B$8/2)^2)))-'Results'!B7*(1+'Inputs'!$B$24)*(0.5*((((556-43)*MAX('Inputs'!$B$33,'Inputs'!$B$29+'Inputs'!$B$31+'Inputs'!$B$32,'Inputs'!$B$30+'Inputs'!$B$31+'Inputs'!$B$32)/1000+'Inputs'!$B$21+'Inputs'!$B$9+'Inputs'!$B$10)+'Inputs'!$B$7)/SQRT((((556-43)*MAX('Inputs'!$B$33,'Inputs'!$B$29+'Inputs'!$B$31+'Inputs'!$B$32,'Inputs'!$B$30+'Inputs'!$B$31+'Inputs'!$B$32)/1000+'Inputs'!$B$21+'Inputs'!$B$9+'Inputs'!$B$10)+'Inputs'!$B$7)^2+('Inputs'!$B$6/2)^2)-(((556-43)*MAX('Inputs'!$B$33,'Inputs'!$B$29+'Inputs'!$B$31+'Inputs'!$B$32,'Inputs'!$B$30+'Inputs'!$B$31+'Inputs'!$B$32)/1000+'Inputs'!$B$21+'Inputs'!$B$9+'Inputs'!$B$10))/SQRT((((556-43)*MAX('Inputs'!$B$33,'Inputs'!$B$29+'Inputs'!$B$31+'Inputs'!$B$32,'Inputs'!$B$30+'Inputs'!$B$31+'Inputs'!$B$32)/1000+'Inputs'!$B$21+'Inputs'!$B$9+'Inputs'!$B$10))^2+('Inputs'!$B$6/2)^2))))*'Results'!$B$8)-'Inputs'!$B$28*ABS((('Results'!C7*(1-'Inputs'!$B$24)*(0.5*((((556-43)*MAX('Inputs'!$B$33,'Inputs'!$B$29+'Inputs'!$B$31+'Inputs'!$B$32,'Inputs'!$B$30+'Inputs'!$B$31+'Inputs'!$B$32)/1000+'Inputs'!$B$21)+'Inputs'!$B$9)/SQRT((((556-43)*MAX('Inputs'!$B$33,'Inputs'!$B$29+'Inputs'!$B$31+'Inputs'!$B$32,'Inputs'!$B$30+'Inputs'!$B$31+'Inputs'!$B$32)/1000+'Inputs'!$B$21)+'Inputs'!$B$9)^2+('Inputs'!$B$8/2)^2)-(((556-43)*MAX('Inputs'!$B$33,'Inputs'!$B$29+'Inputs'!$B$31+'Inputs'!$B$32,'Inputs'!$B$30+'Inputs'!$B$31+'Inputs'!$B$32)/1000+'Inputs'!$B$21))/SQRT((((556-43)*MAX('Inputs'!$B$33,'Inputs'!$B$29+'Inputs'!$B$31+'Inputs'!$B$32,'Inputs'!$B$30+'Inputs'!$B$31+'Inputs'!$B$32)/1000+'Inputs'!$B$21))^2+('Inputs'!$B$8/2)^2)))-'Results'!B7*(1+'Inputs'!$B$24)*(0.5*((((556-43)*MAX('Inputs'!$B$33,'Inputs'!$B$29+'Inputs'!$B$31+'Inputs'!$B$32,'Inputs'!$B$30+'Inputs'!$B$31+'Inputs'!$B$32)/1000+'Inputs'!$B$21+'Inputs'!$B$9+'Inputs'!$B$10)+'Inputs'!$B$7)/SQRT((((556-43)*MAX('Inputs'!$B$33,'Inputs'!$B$29+'Inputs'!$B$31+'Inputs'!$B$32,'Inputs'!$B$30+'Inputs'!$B$31+'Inputs'!$B$32)/1000+'Inputs'!$B$21+'Inputs'!$B$9+'Inputs'!$B$10)+'Inputs'!$B$7)^2+('Inputs'!$B$6/2)^2)-(((556-43)*MAX('Inputs'!$B$33,'Inputs'!$B$29+'Inputs'!$B$31+'Inputs'!$B$32,'Inputs'!$B$30+'Inputs'!$B$31+'Inputs'!$B$32)/1000+'Inputs'!$B$21+'Inputs'!$B$9+'Inputs'!$B$10))/SQRT((((556-43)*MAX('Inputs'!$B$33,'Inputs'!$B$29+'Inputs'!$B$31+'Inputs'!$B$32,'Inputs'!$B$30+'Inputs'!$B$31+'Inputs'!$B$32)/1000+'Inputs'!$B$21+'Inputs'!$B$9+'Inputs'!$B$10))^2+('Inputs'!$B$6/2)^2))))*'Results'!$B$8))),"")</x:f>
        <x:v>3.1332736402569976</x:v>
      </x:c>
      <x:c r="O556" t="n">
        <x:f>IF(AND(ISNUMBER('Results'!C7),ISNUMBER('Results'!B7),ISNUMBER('Results'!$B$8),ISNUMBER('Inputs'!$B$6),ISNUMBER('Inputs'!$B$7),ISNUMBER('Inputs'!$B$8),ISNUMBER('Inputs'!$B$9),ISNUMBER('Inputs'!$B$10),ISNUMBER('Inputs'!$B$21),ISNUMBER('Inputs'!$B$24),ISNUMBER('Inputs'!$B$28)),((('Results'!C7*(1+'Inputs'!$B$24)*(0.5*((((556-43)*MAX('Inputs'!$B$33,'Inputs'!$B$29+'Inputs'!$B$31+'Inputs'!$B$32,'Inputs'!$B$30+'Inputs'!$B$31+'Inputs'!$B$32)/1000+'Inputs'!$B$21)+'Inputs'!$B$9)/SQRT((((556-43)*MAX('Inputs'!$B$33,'Inputs'!$B$29+'Inputs'!$B$31+'Inputs'!$B$32,'Inputs'!$B$30+'Inputs'!$B$31+'Inputs'!$B$32)/1000+'Inputs'!$B$21)+'Inputs'!$B$9)^2+('Inputs'!$B$8/2)^2)-(((556-43)*MAX('Inputs'!$B$33,'Inputs'!$B$29+'Inputs'!$B$31+'Inputs'!$B$32,'Inputs'!$B$30+'Inputs'!$B$31+'Inputs'!$B$32)/1000+'Inputs'!$B$21))/SQRT((((556-43)*MAX('Inputs'!$B$33,'Inputs'!$B$29+'Inputs'!$B$31+'Inputs'!$B$32,'Inputs'!$B$30+'Inputs'!$B$31+'Inputs'!$B$32)/1000+'Inputs'!$B$21))^2+('Inputs'!$B$8/2)^2)))-'Results'!B7*(1-'Inputs'!$B$24)*(0.5*((((556-43)*MAX('Inputs'!$B$33,'Inputs'!$B$29+'Inputs'!$B$31+'Inputs'!$B$32,'Inputs'!$B$30+'Inputs'!$B$31+'Inputs'!$B$32)/1000+'Inputs'!$B$21+'Inputs'!$B$9+'Inputs'!$B$10)+'Inputs'!$B$7)/SQRT((((556-43)*MAX('Inputs'!$B$33,'Inputs'!$B$29+'Inputs'!$B$31+'Inputs'!$B$32,'Inputs'!$B$30+'Inputs'!$B$31+'Inputs'!$B$32)/1000+'Inputs'!$B$21+'Inputs'!$B$9+'Inputs'!$B$10)+'Inputs'!$B$7)^2+('Inputs'!$B$6/2)^2)-(((556-43)*MAX('Inputs'!$B$33,'Inputs'!$B$29+'Inputs'!$B$31+'Inputs'!$B$32,'Inputs'!$B$30+'Inputs'!$B$31+'Inputs'!$B$32)/1000+'Inputs'!$B$21+'Inputs'!$B$9+'Inputs'!$B$10))/SQRT((((556-43)*MAX('Inputs'!$B$33,'Inputs'!$B$29+'Inputs'!$B$31+'Inputs'!$B$32,'Inputs'!$B$30+'Inputs'!$B$31+'Inputs'!$B$32)/1000+'Inputs'!$B$21+'Inputs'!$B$9+'Inputs'!$B$10))^2+('Inputs'!$B$6/2)^2))))*'Results'!$B$8)+'Inputs'!$B$28*ABS((('Results'!C7*(1+'Inputs'!$B$24)*(0.5*((((556-43)*MAX('Inputs'!$B$33,'Inputs'!$B$29+'Inputs'!$B$31+'Inputs'!$B$32,'Inputs'!$B$30+'Inputs'!$B$31+'Inputs'!$B$32)/1000+'Inputs'!$B$21)+'Inputs'!$B$9)/SQRT((((556-43)*MAX('Inputs'!$B$33,'Inputs'!$B$29+'Inputs'!$B$31+'Inputs'!$B$32,'Inputs'!$B$30+'Inputs'!$B$31+'Inputs'!$B$32)/1000+'Inputs'!$B$21)+'Inputs'!$B$9)^2+('Inputs'!$B$8/2)^2)-(((556-43)*MAX('Inputs'!$B$33,'Inputs'!$B$29+'Inputs'!$B$31+'Inputs'!$B$32,'Inputs'!$B$30+'Inputs'!$B$31+'Inputs'!$B$32)/1000+'Inputs'!$B$21))/SQRT((((556-43)*MAX('Inputs'!$B$33,'Inputs'!$B$29+'Inputs'!$B$31+'Inputs'!$B$32,'Inputs'!$B$30+'Inputs'!$B$31+'Inputs'!$B$32)/1000+'Inputs'!$B$21))^2+('Inputs'!$B$8/2)^2)))-'Results'!B7*(1-'Inputs'!$B$24)*(0.5*((((556-43)*MAX('Inputs'!$B$33,'Inputs'!$B$29+'Inputs'!$B$31+'Inputs'!$B$32,'Inputs'!$B$30+'Inputs'!$B$31+'Inputs'!$B$32)/1000+'Inputs'!$B$21+'Inputs'!$B$9+'Inputs'!$B$10)+'Inputs'!$B$7)/SQRT((((556-43)*MAX('Inputs'!$B$33,'Inputs'!$B$29+'Inputs'!$B$31+'Inputs'!$B$32,'Inputs'!$B$30+'Inputs'!$B$31+'Inputs'!$B$32)/1000+'Inputs'!$B$21+'Inputs'!$B$9+'Inputs'!$B$10)+'Inputs'!$B$7)^2+('Inputs'!$B$6/2)^2)-(((556-43)*MAX('Inputs'!$B$33,'Inputs'!$B$29+'Inputs'!$B$31+'Inputs'!$B$32,'Inputs'!$B$30+'Inputs'!$B$31+'Inputs'!$B$32)/1000+'Inputs'!$B$21+'Inputs'!$B$9+'Inputs'!$B$10))/SQRT((((556-43)*MAX('Inputs'!$B$33,'Inputs'!$B$29+'Inputs'!$B$31+'Inputs'!$B$32,'Inputs'!$B$30+'Inputs'!$B$31+'Inputs'!$B$32)/1000+'Inputs'!$B$21+'Inputs'!$B$9+'Inputs'!$B$10))^2+('Inputs'!$B$6/2)^2))))*'Results'!$B$8))),"")</x:f>
        <x:v>4.015997243467261</x:v>
      </x:c>
      <x:c r="P556" t="n">
        <x:f>IF(AND(MAX(J556,J555)&gt;0,J556&gt;J555+0.00000001),1,0)</x:f>
        <x:v>0</x:v>
      </x:c>
      <x:c r="Q556" t="n">
        <x:f>IF(AND(MAX(K556,K555)&gt;0,K556&gt;K555+0.00000001),1,0)</x:f>
        <x:v>0</x:v>
      </x:c>
      <x:c r="R556" t="n">
        <x:f>IF(AND(MAX(L556,L555)&gt;0,L556&gt;L555+0.00000001),1,0)</x:f>
        <x:v>0</x:v>
      </x:c>
      <x:c r="S556" t="n">
        <x:f>IF(AND(MAX(M556,M555)&gt;0,M556&gt;M555+0.00000001),1,0)</x:f>
        <x:v>0</x:v>
      </x:c>
      <x:c r="T556" t="n">
        <x:f>IF(AND(MAX(N556,N555)&gt;0,N556&gt;N555+0.00000001),1,0)</x:f>
        <x:v>0</x:v>
      </x:c>
      <x:c r="U556" t="n">
        <x:f>IF(AND(MAX(O556,O555)&gt;0,O556&gt;O555+0.00000001),1,0)</x:f>
        <x:v>0</x:v>
      </x:c>
    </x:row>
    <x:row r="557">
      <x:c r="J557" t="n">
        <x:f>IF(AND(ISNUMBER('Results'!B7),ISNUMBER('Results'!C7),ISNUMBER('Results'!$B$8),ISNUMBER('Inputs'!$B$6),ISNUMBER('Inputs'!$B$7),ISNUMBER('Inputs'!$B$8),ISNUMBER('Inputs'!$B$9),ISNUMBER('Inputs'!$B$10),ISNUMBER('Inputs'!$B$21),ISNUMBER('Inputs'!$B$24),ISNUMBER('Inputs'!$B$28)),(('Results'!B7*(0.5*((((557-43)*MAX('Inputs'!$B$33,'Inputs'!$B$29+'Inputs'!$B$31+'Inputs'!$B$32,'Inputs'!$B$30+'Inputs'!$B$31+'Inputs'!$B$32)/1000+'Inputs'!$B$21)+'Inputs'!$B$7)/SQRT((((557-43)*MAX('Inputs'!$B$33,'Inputs'!$B$29+'Inputs'!$B$31+'Inputs'!$B$32,'Inputs'!$B$30+'Inputs'!$B$31+'Inputs'!$B$32)/1000+'Inputs'!$B$21)+'Inputs'!$B$7)^2+('Inputs'!$B$6/2)^2)-(((557-43)*MAX('Inputs'!$B$33,'Inputs'!$B$29+'Inputs'!$B$31+'Inputs'!$B$32,'Inputs'!$B$30+'Inputs'!$B$31+'Inputs'!$B$32)/1000+'Inputs'!$B$21))/SQRT((((557-43)*MAX('Inputs'!$B$33,'Inputs'!$B$29+'Inputs'!$B$31+'Inputs'!$B$32,'Inputs'!$B$30+'Inputs'!$B$31+'Inputs'!$B$32)/1000+'Inputs'!$B$21))^2+('Inputs'!$B$6/2)^2)))-'Results'!C7*(0.5*((((557-43)*MAX('Inputs'!$B$33,'Inputs'!$B$29+'Inputs'!$B$31+'Inputs'!$B$32,'Inputs'!$B$30+'Inputs'!$B$31+'Inputs'!$B$32)/1000+'Inputs'!$B$21+'Inputs'!$B$7+'Inputs'!$B$10)+'Inputs'!$B$9)/SQRT((((557-43)*MAX('Inputs'!$B$33,'Inputs'!$B$29+'Inputs'!$B$31+'Inputs'!$B$32,'Inputs'!$B$30+'Inputs'!$B$31+'Inputs'!$B$32)/1000+'Inputs'!$B$21+'Inputs'!$B$7+'Inputs'!$B$10)+'Inputs'!$B$9)^2+('Inputs'!$B$8/2)^2)-(((557-43)*MAX('Inputs'!$B$33,'Inputs'!$B$29+'Inputs'!$B$31+'Inputs'!$B$32,'Inputs'!$B$30+'Inputs'!$B$31+'Inputs'!$B$32)/1000+'Inputs'!$B$21+'Inputs'!$B$7+'Inputs'!$B$10))/SQRT((((557-43)*MAX('Inputs'!$B$33,'Inputs'!$B$29+'Inputs'!$B$31+'Inputs'!$B$32,'Inputs'!$B$30+'Inputs'!$B$31+'Inputs'!$B$32)/1000+'Inputs'!$B$21+'Inputs'!$B$7+'Inputs'!$B$10))^2+('Inputs'!$B$8/2)^2))))*'Results'!$B$8),"")</x:f>
        <x:v>3.802699229436953</x:v>
      </x:c>
      <x:c r="K557" t="n">
        <x:f>IF(AND(ISNUMBER('Results'!B7),ISNUMBER('Results'!C7),ISNUMBER('Results'!$B$8),ISNUMBER('Inputs'!$B$6),ISNUMBER('Inputs'!$B$7),ISNUMBER('Inputs'!$B$8),ISNUMBER('Inputs'!$B$9),ISNUMBER('Inputs'!$B$10),ISNUMBER('Inputs'!$B$21),ISNUMBER('Inputs'!$B$24),ISNUMBER('Inputs'!$B$28)),((('Results'!B7*(1-'Inputs'!$B$24)*(0.5*((((557-43)*MAX('Inputs'!$B$33,'Inputs'!$B$29+'Inputs'!$B$31+'Inputs'!$B$32,'Inputs'!$B$30+'Inputs'!$B$31+'Inputs'!$B$32)/1000+'Inputs'!$B$21)+'Inputs'!$B$7)/SQRT((((557-43)*MAX('Inputs'!$B$33,'Inputs'!$B$29+'Inputs'!$B$31+'Inputs'!$B$32,'Inputs'!$B$30+'Inputs'!$B$31+'Inputs'!$B$32)/1000+'Inputs'!$B$21)+'Inputs'!$B$7)^2+('Inputs'!$B$6/2)^2)-(((557-43)*MAX('Inputs'!$B$33,'Inputs'!$B$29+'Inputs'!$B$31+'Inputs'!$B$32,'Inputs'!$B$30+'Inputs'!$B$31+'Inputs'!$B$32)/1000+'Inputs'!$B$21))/SQRT((((557-43)*MAX('Inputs'!$B$33,'Inputs'!$B$29+'Inputs'!$B$31+'Inputs'!$B$32,'Inputs'!$B$30+'Inputs'!$B$31+'Inputs'!$B$32)/1000+'Inputs'!$B$21))^2+('Inputs'!$B$6/2)^2)))-'Results'!C7*(1+'Inputs'!$B$24)*(0.5*((((557-43)*MAX('Inputs'!$B$33,'Inputs'!$B$29+'Inputs'!$B$31+'Inputs'!$B$32,'Inputs'!$B$30+'Inputs'!$B$31+'Inputs'!$B$32)/1000+'Inputs'!$B$21+'Inputs'!$B$7+'Inputs'!$B$10)+'Inputs'!$B$9)/SQRT((((557-43)*MAX('Inputs'!$B$33,'Inputs'!$B$29+'Inputs'!$B$31+'Inputs'!$B$32,'Inputs'!$B$30+'Inputs'!$B$31+'Inputs'!$B$32)/1000+'Inputs'!$B$21+'Inputs'!$B$7+'Inputs'!$B$10)+'Inputs'!$B$9)^2+('Inputs'!$B$8/2)^2)-(((557-43)*MAX('Inputs'!$B$33,'Inputs'!$B$29+'Inputs'!$B$31+'Inputs'!$B$32,'Inputs'!$B$30+'Inputs'!$B$31+'Inputs'!$B$32)/1000+'Inputs'!$B$21+'Inputs'!$B$7+'Inputs'!$B$10))/SQRT((((557-43)*MAX('Inputs'!$B$33,'Inputs'!$B$29+'Inputs'!$B$31+'Inputs'!$B$32,'Inputs'!$B$30+'Inputs'!$B$31+'Inputs'!$B$32)/1000+'Inputs'!$B$21+'Inputs'!$B$7+'Inputs'!$B$10))^2+('Inputs'!$B$8/2)^2))))*'Results'!$B$8)-'Inputs'!$B$28*ABS((('Results'!B7*(1-'Inputs'!$B$24)*(0.5*((((557-43)*MAX('Inputs'!$B$33,'Inputs'!$B$29+'Inputs'!$B$31+'Inputs'!$B$32,'Inputs'!$B$30+'Inputs'!$B$31+'Inputs'!$B$32)/1000+'Inputs'!$B$21)+'Inputs'!$B$7)/SQRT((((557-43)*MAX('Inputs'!$B$33,'Inputs'!$B$29+'Inputs'!$B$31+'Inputs'!$B$32,'Inputs'!$B$30+'Inputs'!$B$31+'Inputs'!$B$32)/1000+'Inputs'!$B$21)+'Inputs'!$B$7)^2+('Inputs'!$B$6/2)^2)-(((557-43)*MAX('Inputs'!$B$33,'Inputs'!$B$29+'Inputs'!$B$31+'Inputs'!$B$32,'Inputs'!$B$30+'Inputs'!$B$31+'Inputs'!$B$32)/1000+'Inputs'!$B$21))/SQRT((((557-43)*MAX('Inputs'!$B$33,'Inputs'!$B$29+'Inputs'!$B$31+'Inputs'!$B$32,'Inputs'!$B$30+'Inputs'!$B$31+'Inputs'!$B$32)/1000+'Inputs'!$B$21))^2+('Inputs'!$B$6/2)^2)))-'Results'!C7*(1+'Inputs'!$B$24)*(0.5*((((557-43)*MAX('Inputs'!$B$33,'Inputs'!$B$29+'Inputs'!$B$31+'Inputs'!$B$32,'Inputs'!$B$30+'Inputs'!$B$31+'Inputs'!$B$32)/1000+'Inputs'!$B$21+'Inputs'!$B$7+'Inputs'!$B$10)+'Inputs'!$B$9)/SQRT((((557-43)*MAX('Inputs'!$B$33,'Inputs'!$B$29+'Inputs'!$B$31+'Inputs'!$B$32,'Inputs'!$B$30+'Inputs'!$B$31+'Inputs'!$B$32)/1000+'Inputs'!$B$21+'Inputs'!$B$7+'Inputs'!$B$10)+'Inputs'!$B$9)^2+('Inputs'!$B$8/2)^2)-(((557-43)*MAX('Inputs'!$B$33,'Inputs'!$B$29+'Inputs'!$B$31+'Inputs'!$B$32,'Inputs'!$B$30+'Inputs'!$B$31+'Inputs'!$B$32)/1000+'Inputs'!$B$21+'Inputs'!$B$7+'Inputs'!$B$10))/SQRT((((557-43)*MAX('Inputs'!$B$33,'Inputs'!$B$29+'Inputs'!$B$31+'Inputs'!$B$32,'Inputs'!$B$30+'Inputs'!$B$31+'Inputs'!$B$32)/1000+'Inputs'!$B$21+'Inputs'!$B$7+'Inputs'!$B$10))^2+('Inputs'!$B$8/2)^2))))*'Results'!$B$8))),"")</x:f>
        <x:v>3.3623208531049693</x:v>
      </x:c>
      <x:c r="L557" t="n">
        <x:f>IF(AND(ISNUMBER('Results'!B7),ISNUMBER('Results'!C7),ISNUMBER('Results'!$B$8),ISNUMBER('Inputs'!$B$6),ISNUMBER('Inputs'!$B$7),ISNUMBER('Inputs'!$B$8),ISNUMBER('Inputs'!$B$9),ISNUMBER('Inputs'!$B$10),ISNUMBER('Inputs'!$B$21),ISNUMBER('Inputs'!$B$24),ISNUMBER('Inputs'!$B$28)),((('Results'!B7*(1+'Inputs'!$B$24)*(0.5*((((557-43)*MAX('Inputs'!$B$33,'Inputs'!$B$29+'Inputs'!$B$31+'Inputs'!$B$32,'Inputs'!$B$30+'Inputs'!$B$31+'Inputs'!$B$32)/1000+'Inputs'!$B$21)+'Inputs'!$B$7)/SQRT((((557-43)*MAX('Inputs'!$B$33,'Inputs'!$B$29+'Inputs'!$B$31+'Inputs'!$B$32,'Inputs'!$B$30+'Inputs'!$B$31+'Inputs'!$B$32)/1000+'Inputs'!$B$21)+'Inputs'!$B$7)^2+('Inputs'!$B$6/2)^2)-(((557-43)*MAX('Inputs'!$B$33,'Inputs'!$B$29+'Inputs'!$B$31+'Inputs'!$B$32,'Inputs'!$B$30+'Inputs'!$B$31+'Inputs'!$B$32)/1000+'Inputs'!$B$21))/SQRT((((557-43)*MAX('Inputs'!$B$33,'Inputs'!$B$29+'Inputs'!$B$31+'Inputs'!$B$32,'Inputs'!$B$30+'Inputs'!$B$31+'Inputs'!$B$32)/1000+'Inputs'!$B$21))^2+('Inputs'!$B$6/2)^2)))-'Results'!C7*(1-'Inputs'!$B$24)*(0.5*((((557-43)*MAX('Inputs'!$B$33,'Inputs'!$B$29+'Inputs'!$B$31+'Inputs'!$B$32,'Inputs'!$B$30+'Inputs'!$B$31+'Inputs'!$B$32)/1000+'Inputs'!$B$21+'Inputs'!$B$7+'Inputs'!$B$10)+'Inputs'!$B$9)/SQRT((((557-43)*MAX('Inputs'!$B$33,'Inputs'!$B$29+'Inputs'!$B$31+'Inputs'!$B$32,'Inputs'!$B$30+'Inputs'!$B$31+'Inputs'!$B$32)/1000+'Inputs'!$B$21+'Inputs'!$B$7+'Inputs'!$B$10)+'Inputs'!$B$9)^2+('Inputs'!$B$8/2)^2)-(((557-43)*MAX('Inputs'!$B$33,'Inputs'!$B$29+'Inputs'!$B$31+'Inputs'!$B$32,'Inputs'!$B$30+'Inputs'!$B$31+'Inputs'!$B$32)/1000+'Inputs'!$B$21+'Inputs'!$B$7+'Inputs'!$B$10))/SQRT((((557-43)*MAX('Inputs'!$B$33,'Inputs'!$B$29+'Inputs'!$B$31+'Inputs'!$B$32,'Inputs'!$B$30+'Inputs'!$B$31+'Inputs'!$B$32)/1000+'Inputs'!$B$21+'Inputs'!$B$7+'Inputs'!$B$10))^2+('Inputs'!$B$8/2)^2))))*'Results'!$B$8)+'Inputs'!$B$28*ABS((('Results'!B7*(1+'Inputs'!$B$24)*(0.5*((((557-43)*MAX('Inputs'!$B$33,'Inputs'!$B$29+'Inputs'!$B$31+'Inputs'!$B$32,'Inputs'!$B$30+'Inputs'!$B$31+'Inputs'!$B$32)/1000+'Inputs'!$B$21)+'Inputs'!$B$7)/SQRT((((557-43)*MAX('Inputs'!$B$33,'Inputs'!$B$29+'Inputs'!$B$31+'Inputs'!$B$32,'Inputs'!$B$30+'Inputs'!$B$31+'Inputs'!$B$32)/1000+'Inputs'!$B$21)+'Inputs'!$B$7)^2+('Inputs'!$B$6/2)^2)-(((557-43)*MAX('Inputs'!$B$33,'Inputs'!$B$29+'Inputs'!$B$31+'Inputs'!$B$32,'Inputs'!$B$30+'Inputs'!$B$31+'Inputs'!$B$32)/1000+'Inputs'!$B$21))/SQRT((((557-43)*MAX('Inputs'!$B$33,'Inputs'!$B$29+'Inputs'!$B$31+'Inputs'!$B$32,'Inputs'!$B$30+'Inputs'!$B$31+'Inputs'!$B$32)/1000+'Inputs'!$B$21))^2+('Inputs'!$B$6/2)^2)))-'Results'!C7*(1-'Inputs'!$B$24)*(0.5*((((557-43)*MAX('Inputs'!$B$33,'Inputs'!$B$29+'Inputs'!$B$31+'Inputs'!$B$32,'Inputs'!$B$30+'Inputs'!$B$31+'Inputs'!$B$32)/1000+'Inputs'!$B$21+'Inputs'!$B$7+'Inputs'!$B$10)+'Inputs'!$B$9)/SQRT((((557-43)*MAX('Inputs'!$B$33,'Inputs'!$B$29+'Inputs'!$B$31+'Inputs'!$B$32,'Inputs'!$B$30+'Inputs'!$B$31+'Inputs'!$B$32)/1000+'Inputs'!$B$21+'Inputs'!$B$7+'Inputs'!$B$10)+'Inputs'!$B$9)^2+('Inputs'!$B$8/2)^2)-(((557-43)*MAX('Inputs'!$B$33,'Inputs'!$B$29+'Inputs'!$B$31+'Inputs'!$B$32,'Inputs'!$B$30+'Inputs'!$B$31+'Inputs'!$B$32)/1000+'Inputs'!$B$21+'Inputs'!$B$7+'Inputs'!$B$10))/SQRT((((557-43)*MAX('Inputs'!$B$33,'Inputs'!$B$29+'Inputs'!$B$31+'Inputs'!$B$32,'Inputs'!$B$30+'Inputs'!$B$31+'Inputs'!$B$32)/1000+'Inputs'!$B$21+'Inputs'!$B$7+'Inputs'!$B$10))^2+('Inputs'!$B$8/2)^2))))*'Results'!$B$8))),"")</x:f>
        <x:v>4.269419017859478</x:v>
      </x:c>
      <x:c r="M557" t="n">
        <x:f>IF(AND(ISNUMBER('Results'!C7),ISNUMBER('Results'!B7),ISNUMBER('Results'!$B$8),ISNUMBER('Inputs'!$B$6),ISNUMBER('Inputs'!$B$7),ISNUMBER('Inputs'!$B$8),ISNUMBER('Inputs'!$B$9),ISNUMBER('Inputs'!$B$10),ISNUMBER('Inputs'!$B$21),ISNUMBER('Inputs'!$B$24),ISNUMBER('Inputs'!$B$28)),(('Results'!C7*(0.5*((((557-43)*MAX('Inputs'!$B$33,'Inputs'!$B$29+'Inputs'!$B$31+'Inputs'!$B$32,'Inputs'!$B$30+'Inputs'!$B$31+'Inputs'!$B$32)/1000+'Inputs'!$B$21)+'Inputs'!$B$9)/SQRT((((557-43)*MAX('Inputs'!$B$33,'Inputs'!$B$29+'Inputs'!$B$31+'Inputs'!$B$32,'Inputs'!$B$30+'Inputs'!$B$31+'Inputs'!$B$32)/1000+'Inputs'!$B$21)+'Inputs'!$B$9)^2+('Inputs'!$B$8/2)^2)-(((557-43)*MAX('Inputs'!$B$33,'Inputs'!$B$29+'Inputs'!$B$31+'Inputs'!$B$32,'Inputs'!$B$30+'Inputs'!$B$31+'Inputs'!$B$32)/1000+'Inputs'!$B$21))/SQRT((((557-43)*MAX('Inputs'!$B$33,'Inputs'!$B$29+'Inputs'!$B$31+'Inputs'!$B$32,'Inputs'!$B$30+'Inputs'!$B$31+'Inputs'!$B$32)/1000+'Inputs'!$B$21))^2+('Inputs'!$B$8/2)^2)))-'Results'!B7*(0.5*((((557-43)*MAX('Inputs'!$B$33,'Inputs'!$B$29+'Inputs'!$B$31+'Inputs'!$B$32,'Inputs'!$B$30+'Inputs'!$B$31+'Inputs'!$B$32)/1000+'Inputs'!$B$21+'Inputs'!$B$9+'Inputs'!$B$10)+'Inputs'!$B$7)/SQRT((((557-43)*MAX('Inputs'!$B$33,'Inputs'!$B$29+'Inputs'!$B$31+'Inputs'!$B$32,'Inputs'!$B$30+'Inputs'!$B$31+'Inputs'!$B$32)/1000+'Inputs'!$B$21+'Inputs'!$B$9+'Inputs'!$B$10)+'Inputs'!$B$7)^2+('Inputs'!$B$6/2)^2)-(((557-43)*MAX('Inputs'!$B$33,'Inputs'!$B$29+'Inputs'!$B$31+'Inputs'!$B$32,'Inputs'!$B$30+'Inputs'!$B$31+'Inputs'!$B$32)/1000+'Inputs'!$B$21+'Inputs'!$B$9+'Inputs'!$B$10))/SQRT((((557-43)*MAX('Inputs'!$B$33,'Inputs'!$B$29+'Inputs'!$B$31+'Inputs'!$B$32,'Inputs'!$B$30+'Inputs'!$B$31+'Inputs'!$B$32)/1000+'Inputs'!$B$21+'Inputs'!$B$9+'Inputs'!$B$10))^2+('Inputs'!$B$6/2)^2))))*'Results'!$B$8),"")</x:f>
        <x:v>3.5373732704058667</x:v>
      </x:c>
      <x:c r="N557" t="n">
        <x:f>IF(AND(ISNUMBER('Results'!C7),ISNUMBER('Results'!B7),ISNUMBER('Results'!$B$8),ISNUMBER('Inputs'!$B$6),ISNUMBER('Inputs'!$B$7),ISNUMBER('Inputs'!$B$8),ISNUMBER('Inputs'!$B$9),ISNUMBER('Inputs'!$B$10),ISNUMBER('Inputs'!$B$21),ISNUMBER('Inputs'!$B$24),ISNUMBER('Inputs'!$B$28)),((('Results'!C7*(1-'Inputs'!$B$24)*(0.5*((((557-43)*MAX('Inputs'!$B$33,'Inputs'!$B$29+'Inputs'!$B$31+'Inputs'!$B$32,'Inputs'!$B$30+'Inputs'!$B$31+'Inputs'!$B$32)/1000+'Inputs'!$B$21)+'Inputs'!$B$9)/SQRT((((557-43)*MAX('Inputs'!$B$33,'Inputs'!$B$29+'Inputs'!$B$31+'Inputs'!$B$32,'Inputs'!$B$30+'Inputs'!$B$31+'Inputs'!$B$32)/1000+'Inputs'!$B$21)+'Inputs'!$B$9)^2+('Inputs'!$B$8/2)^2)-(((557-43)*MAX('Inputs'!$B$33,'Inputs'!$B$29+'Inputs'!$B$31+'Inputs'!$B$32,'Inputs'!$B$30+'Inputs'!$B$31+'Inputs'!$B$32)/1000+'Inputs'!$B$21))/SQRT((((557-43)*MAX('Inputs'!$B$33,'Inputs'!$B$29+'Inputs'!$B$31+'Inputs'!$B$32,'Inputs'!$B$30+'Inputs'!$B$31+'Inputs'!$B$32)/1000+'Inputs'!$B$21))^2+('Inputs'!$B$8/2)^2)))-'Results'!B7*(1+'Inputs'!$B$24)*(0.5*((((557-43)*MAX('Inputs'!$B$33,'Inputs'!$B$29+'Inputs'!$B$31+'Inputs'!$B$32,'Inputs'!$B$30+'Inputs'!$B$31+'Inputs'!$B$32)/1000+'Inputs'!$B$21+'Inputs'!$B$9+'Inputs'!$B$10)+'Inputs'!$B$7)/SQRT((((557-43)*MAX('Inputs'!$B$33,'Inputs'!$B$29+'Inputs'!$B$31+'Inputs'!$B$32,'Inputs'!$B$30+'Inputs'!$B$31+'Inputs'!$B$32)/1000+'Inputs'!$B$21+'Inputs'!$B$9+'Inputs'!$B$10)+'Inputs'!$B$7)^2+('Inputs'!$B$6/2)^2)-(((557-43)*MAX('Inputs'!$B$33,'Inputs'!$B$29+'Inputs'!$B$31+'Inputs'!$B$32,'Inputs'!$B$30+'Inputs'!$B$31+'Inputs'!$B$32)/1000+'Inputs'!$B$21+'Inputs'!$B$9+'Inputs'!$B$10))/SQRT((((557-43)*MAX('Inputs'!$B$33,'Inputs'!$B$29+'Inputs'!$B$31+'Inputs'!$B$32,'Inputs'!$B$30+'Inputs'!$B$31+'Inputs'!$B$32)/1000+'Inputs'!$B$21+'Inputs'!$B$9+'Inputs'!$B$10))^2+('Inputs'!$B$6/2)^2))))*'Results'!$B$8)-'Inputs'!$B$28*ABS((('Results'!C7*(1-'Inputs'!$B$24)*(0.5*((((557-43)*MAX('Inputs'!$B$33,'Inputs'!$B$29+'Inputs'!$B$31+'Inputs'!$B$32,'Inputs'!$B$30+'Inputs'!$B$31+'Inputs'!$B$32)/1000+'Inputs'!$B$21)+'Inputs'!$B$9)/SQRT((((557-43)*MAX('Inputs'!$B$33,'Inputs'!$B$29+'Inputs'!$B$31+'Inputs'!$B$32,'Inputs'!$B$30+'Inputs'!$B$31+'Inputs'!$B$32)/1000+'Inputs'!$B$21)+'Inputs'!$B$9)^2+('Inputs'!$B$8/2)^2)-(((557-43)*MAX('Inputs'!$B$33,'Inputs'!$B$29+'Inputs'!$B$31+'Inputs'!$B$32,'Inputs'!$B$30+'Inputs'!$B$31+'Inputs'!$B$32)/1000+'Inputs'!$B$21))/SQRT((((557-43)*MAX('Inputs'!$B$33,'Inputs'!$B$29+'Inputs'!$B$31+'Inputs'!$B$32,'Inputs'!$B$30+'Inputs'!$B$31+'Inputs'!$B$32)/1000+'Inputs'!$B$21))^2+('Inputs'!$B$8/2)^2)))-'Results'!B7*(1+'Inputs'!$B$24)*(0.5*((((557-43)*MAX('Inputs'!$B$33,'Inputs'!$B$29+'Inputs'!$B$31+'Inputs'!$B$32,'Inputs'!$B$30+'Inputs'!$B$31+'Inputs'!$B$32)/1000+'Inputs'!$B$21+'Inputs'!$B$9+'Inputs'!$B$10)+'Inputs'!$B$7)/SQRT((((557-43)*MAX('Inputs'!$B$33,'Inputs'!$B$29+'Inputs'!$B$31+'Inputs'!$B$32,'Inputs'!$B$30+'Inputs'!$B$31+'Inputs'!$B$32)/1000+'Inputs'!$B$21+'Inputs'!$B$9+'Inputs'!$B$10)+'Inputs'!$B$7)^2+('Inputs'!$B$6/2)^2)-(((557-43)*MAX('Inputs'!$B$33,'Inputs'!$B$29+'Inputs'!$B$31+'Inputs'!$B$32,'Inputs'!$B$30+'Inputs'!$B$31+'Inputs'!$B$32)/1000+'Inputs'!$B$21+'Inputs'!$B$9+'Inputs'!$B$10))/SQRT((((557-43)*MAX('Inputs'!$B$33,'Inputs'!$B$29+'Inputs'!$B$31+'Inputs'!$B$32,'Inputs'!$B$30+'Inputs'!$B$31+'Inputs'!$B$32)/1000+'Inputs'!$B$21+'Inputs'!$B$9+'Inputs'!$B$10))^2+('Inputs'!$B$6/2)^2))))*'Results'!$B$8))),"")</x:f>
        <x:v>3.1116698928082354</x:v>
      </x:c>
      <x:c r="O557" t="n">
        <x:f>IF(AND(ISNUMBER('Results'!C7),ISNUMBER('Results'!B7),ISNUMBER('Results'!$B$8),ISNUMBER('Inputs'!$B$6),ISNUMBER('Inputs'!$B$7),ISNUMBER('Inputs'!$B$8),ISNUMBER('Inputs'!$B$9),ISNUMBER('Inputs'!$B$10),ISNUMBER('Inputs'!$B$21),ISNUMBER('Inputs'!$B$24),ISNUMBER('Inputs'!$B$28)),((('Results'!C7*(1+'Inputs'!$B$24)*(0.5*((((557-43)*MAX('Inputs'!$B$33,'Inputs'!$B$29+'Inputs'!$B$31+'Inputs'!$B$32,'Inputs'!$B$30+'Inputs'!$B$31+'Inputs'!$B$32)/1000+'Inputs'!$B$21)+'Inputs'!$B$9)/SQRT((((557-43)*MAX('Inputs'!$B$33,'Inputs'!$B$29+'Inputs'!$B$31+'Inputs'!$B$32,'Inputs'!$B$30+'Inputs'!$B$31+'Inputs'!$B$32)/1000+'Inputs'!$B$21)+'Inputs'!$B$9)^2+('Inputs'!$B$8/2)^2)-(((557-43)*MAX('Inputs'!$B$33,'Inputs'!$B$29+'Inputs'!$B$31+'Inputs'!$B$32,'Inputs'!$B$30+'Inputs'!$B$31+'Inputs'!$B$32)/1000+'Inputs'!$B$21))/SQRT((((557-43)*MAX('Inputs'!$B$33,'Inputs'!$B$29+'Inputs'!$B$31+'Inputs'!$B$32,'Inputs'!$B$30+'Inputs'!$B$31+'Inputs'!$B$32)/1000+'Inputs'!$B$21))^2+('Inputs'!$B$8/2)^2)))-'Results'!B7*(1-'Inputs'!$B$24)*(0.5*((((557-43)*MAX('Inputs'!$B$33,'Inputs'!$B$29+'Inputs'!$B$31+'Inputs'!$B$32,'Inputs'!$B$30+'Inputs'!$B$31+'Inputs'!$B$32)/1000+'Inputs'!$B$21+'Inputs'!$B$9+'Inputs'!$B$10)+'Inputs'!$B$7)/SQRT((((557-43)*MAX('Inputs'!$B$33,'Inputs'!$B$29+'Inputs'!$B$31+'Inputs'!$B$32,'Inputs'!$B$30+'Inputs'!$B$31+'Inputs'!$B$32)/1000+'Inputs'!$B$21+'Inputs'!$B$9+'Inputs'!$B$10)+'Inputs'!$B$7)^2+('Inputs'!$B$6/2)^2)-(((557-43)*MAX('Inputs'!$B$33,'Inputs'!$B$29+'Inputs'!$B$31+'Inputs'!$B$32,'Inputs'!$B$30+'Inputs'!$B$31+'Inputs'!$B$32)/1000+'Inputs'!$B$21+'Inputs'!$B$9+'Inputs'!$B$10))/SQRT((((557-43)*MAX('Inputs'!$B$33,'Inputs'!$B$29+'Inputs'!$B$31+'Inputs'!$B$32,'Inputs'!$B$30+'Inputs'!$B$31+'Inputs'!$B$32)/1000+'Inputs'!$B$21+'Inputs'!$B$9+'Inputs'!$B$10))^2+('Inputs'!$B$6/2)^2))))*'Results'!$B$8)+'Inputs'!$B$28*ABS((('Results'!C7*(1+'Inputs'!$B$24)*(0.5*((((557-43)*MAX('Inputs'!$B$33,'Inputs'!$B$29+'Inputs'!$B$31+'Inputs'!$B$32,'Inputs'!$B$30+'Inputs'!$B$31+'Inputs'!$B$32)/1000+'Inputs'!$B$21)+'Inputs'!$B$9)/SQRT((((557-43)*MAX('Inputs'!$B$33,'Inputs'!$B$29+'Inputs'!$B$31+'Inputs'!$B$32,'Inputs'!$B$30+'Inputs'!$B$31+'Inputs'!$B$32)/1000+'Inputs'!$B$21)+'Inputs'!$B$9)^2+('Inputs'!$B$8/2)^2)-(((557-43)*MAX('Inputs'!$B$33,'Inputs'!$B$29+'Inputs'!$B$31+'Inputs'!$B$32,'Inputs'!$B$30+'Inputs'!$B$31+'Inputs'!$B$32)/1000+'Inputs'!$B$21))/SQRT((((557-43)*MAX('Inputs'!$B$33,'Inputs'!$B$29+'Inputs'!$B$31+'Inputs'!$B$32,'Inputs'!$B$30+'Inputs'!$B$31+'Inputs'!$B$32)/1000+'Inputs'!$B$21))^2+('Inputs'!$B$8/2)^2)))-'Results'!B7*(1-'Inputs'!$B$24)*(0.5*((((557-43)*MAX('Inputs'!$B$33,'Inputs'!$B$29+'Inputs'!$B$31+'Inputs'!$B$32,'Inputs'!$B$30+'Inputs'!$B$31+'Inputs'!$B$32)/1000+'Inputs'!$B$21+'Inputs'!$B$9+'Inputs'!$B$10)+'Inputs'!$B$7)/SQRT((((557-43)*MAX('Inputs'!$B$33,'Inputs'!$B$29+'Inputs'!$B$31+'Inputs'!$B$32,'Inputs'!$B$30+'Inputs'!$B$31+'Inputs'!$B$32)/1000+'Inputs'!$B$21+'Inputs'!$B$9+'Inputs'!$B$10)+'Inputs'!$B$7)^2+('Inputs'!$B$6/2)^2)-(((557-43)*MAX('Inputs'!$B$33,'Inputs'!$B$29+'Inputs'!$B$31+'Inputs'!$B$32,'Inputs'!$B$30+'Inputs'!$B$31+'Inputs'!$B$32)/1000+'Inputs'!$B$21+'Inputs'!$B$9+'Inputs'!$B$10))/SQRT((((557-43)*MAX('Inputs'!$B$33,'Inputs'!$B$29+'Inputs'!$B$31+'Inputs'!$B$32,'Inputs'!$B$30+'Inputs'!$B$31+'Inputs'!$B$32)/1000+'Inputs'!$B$21+'Inputs'!$B$9+'Inputs'!$B$10))^2+('Inputs'!$B$6/2)^2))))*'Results'!$B$8))),"")</x:f>
        <x:v>3.9892697758011133</x:v>
      </x:c>
      <x:c r="P557" t="n">
        <x:f>IF(AND(MAX(J557,J556)&gt;0,J557&gt;J556+0.00000001),1,0)</x:f>
        <x:v>0</x:v>
      </x:c>
      <x:c r="Q557" t="n">
        <x:f>IF(AND(MAX(K557,K556)&gt;0,K557&gt;K556+0.00000001),1,0)</x:f>
        <x:v>0</x:v>
      </x:c>
      <x:c r="R557" t="n">
        <x:f>IF(AND(MAX(L557,L556)&gt;0,L557&gt;L556+0.00000001),1,0)</x:f>
        <x:v>0</x:v>
      </x:c>
      <x:c r="S557" t="n">
        <x:f>IF(AND(MAX(M557,M556)&gt;0,M557&gt;M556+0.00000001),1,0)</x:f>
        <x:v>0</x:v>
      </x:c>
      <x:c r="T557" t="n">
        <x:f>IF(AND(MAX(N557,N556)&gt;0,N557&gt;N556+0.00000001),1,0)</x:f>
        <x:v>0</x:v>
      </x:c>
      <x:c r="U557" t="n">
        <x:f>IF(AND(MAX(O557,O556)&gt;0,O557&gt;O556+0.00000001),1,0)</x:f>
        <x:v>0</x:v>
      </x:c>
    </x:row>
    <x:row r="558">
      <x:c r="J558" t="n">
        <x:f>IF(AND(ISNUMBER('Results'!B7),ISNUMBER('Results'!C7),ISNUMBER('Results'!$B$8),ISNUMBER('Inputs'!$B$6),ISNUMBER('Inputs'!$B$7),ISNUMBER('Inputs'!$B$8),ISNUMBER('Inputs'!$B$9),ISNUMBER('Inputs'!$B$10),ISNUMBER('Inputs'!$B$21),ISNUMBER('Inputs'!$B$24),ISNUMBER('Inputs'!$B$28)),(('Results'!B7*(0.5*((((558-43)*MAX('Inputs'!$B$33,'Inputs'!$B$29+'Inputs'!$B$31+'Inputs'!$B$32,'Inputs'!$B$30+'Inputs'!$B$31+'Inputs'!$B$32)/1000+'Inputs'!$B$21)+'Inputs'!$B$7)/SQRT((((558-43)*MAX('Inputs'!$B$33,'Inputs'!$B$29+'Inputs'!$B$31+'Inputs'!$B$32,'Inputs'!$B$30+'Inputs'!$B$31+'Inputs'!$B$32)/1000+'Inputs'!$B$21)+'Inputs'!$B$7)^2+('Inputs'!$B$6/2)^2)-(((558-43)*MAX('Inputs'!$B$33,'Inputs'!$B$29+'Inputs'!$B$31+'Inputs'!$B$32,'Inputs'!$B$30+'Inputs'!$B$31+'Inputs'!$B$32)/1000+'Inputs'!$B$21))/SQRT((((558-43)*MAX('Inputs'!$B$33,'Inputs'!$B$29+'Inputs'!$B$31+'Inputs'!$B$32,'Inputs'!$B$30+'Inputs'!$B$31+'Inputs'!$B$32)/1000+'Inputs'!$B$21))^2+('Inputs'!$B$6/2)^2)))-'Results'!C7*(0.5*((((558-43)*MAX('Inputs'!$B$33,'Inputs'!$B$29+'Inputs'!$B$31+'Inputs'!$B$32,'Inputs'!$B$30+'Inputs'!$B$31+'Inputs'!$B$32)/1000+'Inputs'!$B$21+'Inputs'!$B$7+'Inputs'!$B$10)+'Inputs'!$B$9)/SQRT((((558-43)*MAX('Inputs'!$B$33,'Inputs'!$B$29+'Inputs'!$B$31+'Inputs'!$B$32,'Inputs'!$B$30+'Inputs'!$B$31+'Inputs'!$B$32)/1000+'Inputs'!$B$21+'Inputs'!$B$7+'Inputs'!$B$10)+'Inputs'!$B$9)^2+('Inputs'!$B$8/2)^2)-(((558-43)*MAX('Inputs'!$B$33,'Inputs'!$B$29+'Inputs'!$B$31+'Inputs'!$B$32,'Inputs'!$B$30+'Inputs'!$B$31+'Inputs'!$B$32)/1000+'Inputs'!$B$21+'Inputs'!$B$7+'Inputs'!$B$10))/SQRT((((558-43)*MAX('Inputs'!$B$33,'Inputs'!$B$29+'Inputs'!$B$31+'Inputs'!$B$32,'Inputs'!$B$30+'Inputs'!$B$31+'Inputs'!$B$32)/1000+'Inputs'!$B$21+'Inputs'!$B$7+'Inputs'!$B$10))^2+('Inputs'!$B$8/2)^2))))*'Results'!$B$8),"")</x:f>
        <x:v>3.777437616092054</x:v>
      </x:c>
      <x:c r="K558" t="n">
        <x:f>IF(AND(ISNUMBER('Results'!B7),ISNUMBER('Results'!C7),ISNUMBER('Results'!$B$8),ISNUMBER('Inputs'!$B$6),ISNUMBER('Inputs'!$B$7),ISNUMBER('Inputs'!$B$8),ISNUMBER('Inputs'!$B$9),ISNUMBER('Inputs'!$B$10),ISNUMBER('Inputs'!$B$21),ISNUMBER('Inputs'!$B$24),ISNUMBER('Inputs'!$B$28)),((('Results'!B7*(1-'Inputs'!$B$24)*(0.5*((((558-43)*MAX('Inputs'!$B$33,'Inputs'!$B$29+'Inputs'!$B$31+'Inputs'!$B$32,'Inputs'!$B$30+'Inputs'!$B$31+'Inputs'!$B$32)/1000+'Inputs'!$B$21)+'Inputs'!$B$7)/SQRT((((558-43)*MAX('Inputs'!$B$33,'Inputs'!$B$29+'Inputs'!$B$31+'Inputs'!$B$32,'Inputs'!$B$30+'Inputs'!$B$31+'Inputs'!$B$32)/1000+'Inputs'!$B$21)+'Inputs'!$B$7)^2+('Inputs'!$B$6/2)^2)-(((558-43)*MAX('Inputs'!$B$33,'Inputs'!$B$29+'Inputs'!$B$31+'Inputs'!$B$32,'Inputs'!$B$30+'Inputs'!$B$31+'Inputs'!$B$32)/1000+'Inputs'!$B$21))/SQRT((((558-43)*MAX('Inputs'!$B$33,'Inputs'!$B$29+'Inputs'!$B$31+'Inputs'!$B$32,'Inputs'!$B$30+'Inputs'!$B$31+'Inputs'!$B$32)/1000+'Inputs'!$B$21))^2+('Inputs'!$B$6/2)^2)))-'Results'!C7*(1+'Inputs'!$B$24)*(0.5*((((558-43)*MAX('Inputs'!$B$33,'Inputs'!$B$29+'Inputs'!$B$31+'Inputs'!$B$32,'Inputs'!$B$30+'Inputs'!$B$31+'Inputs'!$B$32)/1000+'Inputs'!$B$21+'Inputs'!$B$7+'Inputs'!$B$10)+'Inputs'!$B$9)/SQRT((((558-43)*MAX('Inputs'!$B$33,'Inputs'!$B$29+'Inputs'!$B$31+'Inputs'!$B$32,'Inputs'!$B$30+'Inputs'!$B$31+'Inputs'!$B$32)/1000+'Inputs'!$B$21+'Inputs'!$B$7+'Inputs'!$B$10)+'Inputs'!$B$9)^2+('Inputs'!$B$8/2)^2)-(((558-43)*MAX('Inputs'!$B$33,'Inputs'!$B$29+'Inputs'!$B$31+'Inputs'!$B$32,'Inputs'!$B$30+'Inputs'!$B$31+'Inputs'!$B$32)/1000+'Inputs'!$B$21+'Inputs'!$B$7+'Inputs'!$B$10))/SQRT((((558-43)*MAX('Inputs'!$B$33,'Inputs'!$B$29+'Inputs'!$B$31+'Inputs'!$B$32,'Inputs'!$B$30+'Inputs'!$B$31+'Inputs'!$B$32)/1000+'Inputs'!$B$21+'Inputs'!$B$7+'Inputs'!$B$10))^2+('Inputs'!$B$8/2)^2))))*'Results'!$B$8)-'Inputs'!$B$28*ABS((('Results'!B7*(1-'Inputs'!$B$24)*(0.5*((((558-43)*MAX('Inputs'!$B$33,'Inputs'!$B$29+'Inputs'!$B$31+'Inputs'!$B$32,'Inputs'!$B$30+'Inputs'!$B$31+'Inputs'!$B$32)/1000+'Inputs'!$B$21)+'Inputs'!$B$7)/SQRT((((558-43)*MAX('Inputs'!$B$33,'Inputs'!$B$29+'Inputs'!$B$31+'Inputs'!$B$32,'Inputs'!$B$30+'Inputs'!$B$31+'Inputs'!$B$32)/1000+'Inputs'!$B$21)+'Inputs'!$B$7)^2+('Inputs'!$B$6/2)^2)-(((558-43)*MAX('Inputs'!$B$33,'Inputs'!$B$29+'Inputs'!$B$31+'Inputs'!$B$32,'Inputs'!$B$30+'Inputs'!$B$31+'Inputs'!$B$32)/1000+'Inputs'!$B$21))/SQRT((((558-43)*MAX('Inputs'!$B$33,'Inputs'!$B$29+'Inputs'!$B$31+'Inputs'!$B$32,'Inputs'!$B$30+'Inputs'!$B$31+'Inputs'!$B$32)/1000+'Inputs'!$B$21))^2+('Inputs'!$B$6/2)^2)))-'Results'!C7*(1+'Inputs'!$B$24)*(0.5*((((558-43)*MAX('Inputs'!$B$33,'Inputs'!$B$29+'Inputs'!$B$31+'Inputs'!$B$32,'Inputs'!$B$30+'Inputs'!$B$31+'Inputs'!$B$32)/1000+'Inputs'!$B$21+'Inputs'!$B$7+'Inputs'!$B$10)+'Inputs'!$B$9)/SQRT((((558-43)*MAX('Inputs'!$B$33,'Inputs'!$B$29+'Inputs'!$B$31+'Inputs'!$B$32,'Inputs'!$B$30+'Inputs'!$B$31+'Inputs'!$B$32)/1000+'Inputs'!$B$21+'Inputs'!$B$7+'Inputs'!$B$10)+'Inputs'!$B$9)^2+('Inputs'!$B$8/2)^2)-(((558-43)*MAX('Inputs'!$B$33,'Inputs'!$B$29+'Inputs'!$B$31+'Inputs'!$B$32,'Inputs'!$B$30+'Inputs'!$B$31+'Inputs'!$B$32)/1000+'Inputs'!$B$21+'Inputs'!$B$7+'Inputs'!$B$10))/SQRT((((558-43)*MAX('Inputs'!$B$33,'Inputs'!$B$29+'Inputs'!$B$31+'Inputs'!$B$32,'Inputs'!$B$30+'Inputs'!$B$31+'Inputs'!$B$32)/1000+'Inputs'!$B$21+'Inputs'!$B$7+'Inputs'!$B$10))^2+('Inputs'!$B$8/2)^2))))*'Results'!$B$8))),"")</x:f>
        <x:v>3.339612007772372</x:v>
      </x:c>
      <x:c r="L558" t="n">
        <x:f>IF(AND(ISNUMBER('Results'!B7),ISNUMBER('Results'!C7),ISNUMBER('Results'!$B$8),ISNUMBER('Inputs'!$B$6),ISNUMBER('Inputs'!$B$7),ISNUMBER('Inputs'!$B$8),ISNUMBER('Inputs'!$B$9),ISNUMBER('Inputs'!$B$10),ISNUMBER('Inputs'!$B$21),ISNUMBER('Inputs'!$B$24),ISNUMBER('Inputs'!$B$28)),((('Results'!B7*(1+'Inputs'!$B$24)*(0.5*((((558-43)*MAX('Inputs'!$B$33,'Inputs'!$B$29+'Inputs'!$B$31+'Inputs'!$B$32,'Inputs'!$B$30+'Inputs'!$B$31+'Inputs'!$B$32)/1000+'Inputs'!$B$21)+'Inputs'!$B$7)/SQRT((((558-43)*MAX('Inputs'!$B$33,'Inputs'!$B$29+'Inputs'!$B$31+'Inputs'!$B$32,'Inputs'!$B$30+'Inputs'!$B$31+'Inputs'!$B$32)/1000+'Inputs'!$B$21)+'Inputs'!$B$7)^2+('Inputs'!$B$6/2)^2)-(((558-43)*MAX('Inputs'!$B$33,'Inputs'!$B$29+'Inputs'!$B$31+'Inputs'!$B$32,'Inputs'!$B$30+'Inputs'!$B$31+'Inputs'!$B$32)/1000+'Inputs'!$B$21))/SQRT((((558-43)*MAX('Inputs'!$B$33,'Inputs'!$B$29+'Inputs'!$B$31+'Inputs'!$B$32,'Inputs'!$B$30+'Inputs'!$B$31+'Inputs'!$B$32)/1000+'Inputs'!$B$21))^2+('Inputs'!$B$6/2)^2)))-'Results'!C7*(1-'Inputs'!$B$24)*(0.5*((((558-43)*MAX('Inputs'!$B$33,'Inputs'!$B$29+'Inputs'!$B$31+'Inputs'!$B$32,'Inputs'!$B$30+'Inputs'!$B$31+'Inputs'!$B$32)/1000+'Inputs'!$B$21+'Inputs'!$B$7+'Inputs'!$B$10)+'Inputs'!$B$9)/SQRT((((558-43)*MAX('Inputs'!$B$33,'Inputs'!$B$29+'Inputs'!$B$31+'Inputs'!$B$32,'Inputs'!$B$30+'Inputs'!$B$31+'Inputs'!$B$32)/1000+'Inputs'!$B$21+'Inputs'!$B$7+'Inputs'!$B$10)+'Inputs'!$B$9)^2+('Inputs'!$B$8/2)^2)-(((558-43)*MAX('Inputs'!$B$33,'Inputs'!$B$29+'Inputs'!$B$31+'Inputs'!$B$32,'Inputs'!$B$30+'Inputs'!$B$31+'Inputs'!$B$32)/1000+'Inputs'!$B$21+'Inputs'!$B$7+'Inputs'!$B$10))/SQRT((((558-43)*MAX('Inputs'!$B$33,'Inputs'!$B$29+'Inputs'!$B$31+'Inputs'!$B$32,'Inputs'!$B$30+'Inputs'!$B$31+'Inputs'!$B$32)/1000+'Inputs'!$B$21+'Inputs'!$B$7+'Inputs'!$B$10))^2+('Inputs'!$B$8/2)^2))))*'Results'!$B$8)+'Inputs'!$B$28*ABS((('Results'!B7*(1+'Inputs'!$B$24)*(0.5*((((558-43)*MAX('Inputs'!$B$33,'Inputs'!$B$29+'Inputs'!$B$31+'Inputs'!$B$32,'Inputs'!$B$30+'Inputs'!$B$31+'Inputs'!$B$32)/1000+'Inputs'!$B$21)+'Inputs'!$B$7)/SQRT((((558-43)*MAX('Inputs'!$B$33,'Inputs'!$B$29+'Inputs'!$B$31+'Inputs'!$B$32,'Inputs'!$B$30+'Inputs'!$B$31+'Inputs'!$B$32)/1000+'Inputs'!$B$21)+'Inputs'!$B$7)^2+('Inputs'!$B$6/2)^2)-(((558-43)*MAX('Inputs'!$B$33,'Inputs'!$B$29+'Inputs'!$B$31+'Inputs'!$B$32,'Inputs'!$B$30+'Inputs'!$B$31+'Inputs'!$B$32)/1000+'Inputs'!$B$21))/SQRT((((558-43)*MAX('Inputs'!$B$33,'Inputs'!$B$29+'Inputs'!$B$31+'Inputs'!$B$32,'Inputs'!$B$30+'Inputs'!$B$31+'Inputs'!$B$32)/1000+'Inputs'!$B$21))^2+('Inputs'!$B$6/2)^2)))-'Results'!C7*(1-'Inputs'!$B$24)*(0.5*((((558-43)*MAX('Inputs'!$B$33,'Inputs'!$B$29+'Inputs'!$B$31+'Inputs'!$B$32,'Inputs'!$B$30+'Inputs'!$B$31+'Inputs'!$B$32)/1000+'Inputs'!$B$21+'Inputs'!$B$7+'Inputs'!$B$10)+'Inputs'!$B$9)/SQRT((((558-43)*MAX('Inputs'!$B$33,'Inputs'!$B$29+'Inputs'!$B$31+'Inputs'!$B$32,'Inputs'!$B$30+'Inputs'!$B$31+'Inputs'!$B$32)/1000+'Inputs'!$B$21+'Inputs'!$B$7+'Inputs'!$B$10)+'Inputs'!$B$9)^2+('Inputs'!$B$8/2)^2)-(((558-43)*MAX('Inputs'!$B$33,'Inputs'!$B$29+'Inputs'!$B$31+'Inputs'!$B$32,'Inputs'!$B$30+'Inputs'!$B$31+'Inputs'!$B$32)/1000+'Inputs'!$B$21+'Inputs'!$B$7+'Inputs'!$B$10))/SQRT((((558-43)*MAX('Inputs'!$B$33,'Inputs'!$B$29+'Inputs'!$B$31+'Inputs'!$B$32,'Inputs'!$B$30+'Inputs'!$B$31+'Inputs'!$B$32)/1000+'Inputs'!$B$21+'Inputs'!$B$7+'Inputs'!$B$10))^2+('Inputs'!$B$8/2)^2))))*'Results'!$B$8))),"")</x:f>
        <x:v>4.241468879939638</x:v>
      </x:c>
      <x:c r="M558" t="n">
        <x:f>IF(AND(ISNUMBER('Results'!C7),ISNUMBER('Results'!B7),ISNUMBER('Results'!$B$8),ISNUMBER('Inputs'!$B$6),ISNUMBER('Inputs'!$B$7),ISNUMBER('Inputs'!$B$8),ISNUMBER('Inputs'!$B$9),ISNUMBER('Inputs'!$B$10),ISNUMBER('Inputs'!$B$21),ISNUMBER('Inputs'!$B$24),ISNUMBER('Inputs'!$B$28)),(('Results'!C7*(0.5*((((558-43)*MAX('Inputs'!$B$33,'Inputs'!$B$29+'Inputs'!$B$31+'Inputs'!$B$32,'Inputs'!$B$30+'Inputs'!$B$31+'Inputs'!$B$32)/1000+'Inputs'!$B$21)+'Inputs'!$B$9)/SQRT((((558-43)*MAX('Inputs'!$B$33,'Inputs'!$B$29+'Inputs'!$B$31+'Inputs'!$B$32,'Inputs'!$B$30+'Inputs'!$B$31+'Inputs'!$B$32)/1000+'Inputs'!$B$21)+'Inputs'!$B$9)^2+('Inputs'!$B$8/2)^2)-(((558-43)*MAX('Inputs'!$B$33,'Inputs'!$B$29+'Inputs'!$B$31+'Inputs'!$B$32,'Inputs'!$B$30+'Inputs'!$B$31+'Inputs'!$B$32)/1000+'Inputs'!$B$21))/SQRT((((558-43)*MAX('Inputs'!$B$33,'Inputs'!$B$29+'Inputs'!$B$31+'Inputs'!$B$32,'Inputs'!$B$30+'Inputs'!$B$31+'Inputs'!$B$32)/1000+'Inputs'!$B$21))^2+('Inputs'!$B$8/2)^2)))-'Results'!B7*(0.5*((((558-43)*MAX('Inputs'!$B$33,'Inputs'!$B$29+'Inputs'!$B$31+'Inputs'!$B$32,'Inputs'!$B$30+'Inputs'!$B$31+'Inputs'!$B$32)/1000+'Inputs'!$B$21+'Inputs'!$B$9+'Inputs'!$B$10)+'Inputs'!$B$7)/SQRT((((558-43)*MAX('Inputs'!$B$33,'Inputs'!$B$29+'Inputs'!$B$31+'Inputs'!$B$32,'Inputs'!$B$30+'Inputs'!$B$31+'Inputs'!$B$32)/1000+'Inputs'!$B$21+'Inputs'!$B$9+'Inputs'!$B$10)+'Inputs'!$B$7)^2+('Inputs'!$B$6/2)^2)-(((558-43)*MAX('Inputs'!$B$33,'Inputs'!$B$29+'Inputs'!$B$31+'Inputs'!$B$32,'Inputs'!$B$30+'Inputs'!$B$31+'Inputs'!$B$32)/1000+'Inputs'!$B$21+'Inputs'!$B$9+'Inputs'!$B$10))/SQRT((((558-43)*MAX('Inputs'!$B$33,'Inputs'!$B$29+'Inputs'!$B$31+'Inputs'!$B$32,'Inputs'!$B$30+'Inputs'!$B$31+'Inputs'!$B$32)/1000+'Inputs'!$B$21+'Inputs'!$B$9+'Inputs'!$B$10))^2+('Inputs'!$B$6/2)^2))))*'Results'!$B$8),"")</x:f>
        <x:v>3.5134779199665216</x:v>
      </x:c>
      <x:c r="N558" t="n">
        <x:f>IF(AND(ISNUMBER('Results'!C7),ISNUMBER('Results'!B7),ISNUMBER('Results'!$B$8),ISNUMBER('Inputs'!$B$6),ISNUMBER('Inputs'!$B$7),ISNUMBER('Inputs'!$B$8),ISNUMBER('Inputs'!$B$9),ISNUMBER('Inputs'!$B$10),ISNUMBER('Inputs'!$B$21),ISNUMBER('Inputs'!$B$24),ISNUMBER('Inputs'!$B$28)),((('Results'!C7*(1-'Inputs'!$B$24)*(0.5*((((558-43)*MAX('Inputs'!$B$33,'Inputs'!$B$29+'Inputs'!$B$31+'Inputs'!$B$32,'Inputs'!$B$30+'Inputs'!$B$31+'Inputs'!$B$32)/1000+'Inputs'!$B$21)+'Inputs'!$B$9)/SQRT((((558-43)*MAX('Inputs'!$B$33,'Inputs'!$B$29+'Inputs'!$B$31+'Inputs'!$B$32,'Inputs'!$B$30+'Inputs'!$B$31+'Inputs'!$B$32)/1000+'Inputs'!$B$21)+'Inputs'!$B$9)^2+('Inputs'!$B$8/2)^2)-(((558-43)*MAX('Inputs'!$B$33,'Inputs'!$B$29+'Inputs'!$B$31+'Inputs'!$B$32,'Inputs'!$B$30+'Inputs'!$B$31+'Inputs'!$B$32)/1000+'Inputs'!$B$21))/SQRT((((558-43)*MAX('Inputs'!$B$33,'Inputs'!$B$29+'Inputs'!$B$31+'Inputs'!$B$32,'Inputs'!$B$30+'Inputs'!$B$31+'Inputs'!$B$32)/1000+'Inputs'!$B$21))^2+('Inputs'!$B$8/2)^2)))-'Results'!B7*(1+'Inputs'!$B$24)*(0.5*((((558-43)*MAX('Inputs'!$B$33,'Inputs'!$B$29+'Inputs'!$B$31+'Inputs'!$B$32,'Inputs'!$B$30+'Inputs'!$B$31+'Inputs'!$B$32)/1000+'Inputs'!$B$21+'Inputs'!$B$9+'Inputs'!$B$10)+'Inputs'!$B$7)/SQRT((((558-43)*MAX('Inputs'!$B$33,'Inputs'!$B$29+'Inputs'!$B$31+'Inputs'!$B$32,'Inputs'!$B$30+'Inputs'!$B$31+'Inputs'!$B$32)/1000+'Inputs'!$B$21+'Inputs'!$B$9+'Inputs'!$B$10)+'Inputs'!$B$7)^2+('Inputs'!$B$6/2)^2)-(((558-43)*MAX('Inputs'!$B$33,'Inputs'!$B$29+'Inputs'!$B$31+'Inputs'!$B$32,'Inputs'!$B$30+'Inputs'!$B$31+'Inputs'!$B$32)/1000+'Inputs'!$B$21+'Inputs'!$B$9+'Inputs'!$B$10))/SQRT((((558-43)*MAX('Inputs'!$B$33,'Inputs'!$B$29+'Inputs'!$B$31+'Inputs'!$B$32,'Inputs'!$B$30+'Inputs'!$B$31+'Inputs'!$B$32)/1000+'Inputs'!$B$21+'Inputs'!$B$9+'Inputs'!$B$10))^2+('Inputs'!$B$6/2)^2))))*'Results'!$B$8)-'Inputs'!$B$28*ABS((('Results'!C7*(1-'Inputs'!$B$24)*(0.5*((((558-43)*MAX('Inputs'!$B$33,'Inputs'!$B$29+'Inputs'!$B$31+'Inputs'!$B$32,'Inputs'!$B$30+'Inputs'!$B$31+'Inputs'!$B$32)/1000+'Inputs'!$B$21)+'Inputs'!$B$9)/SQRT((((558-43)*MAX('Inputs'!$B$33,'Inputs'!$B$29+'Inputs'!$B$31+'Inputs'!$B$32,'Inputs'!$B$30+'Inputs'!$B$31+'Inputs'!$B$32)/1000+'Inputs'!$B$21)+'Inputs'!$B$9)^2+('Inputs'!$B$8/2)^2)-(((558-43)*MAX('Inputs'!$B$33,'Inputs'!$B$29+'Inputs'!$B$31+'Inputs'!$B$32,'Inputs'!$B$30+'Inputs'!$B$31+'Inputs'!$B$32)/1000+'Inputs'!$B$21))/SQRT((((558-43)*MAX('Inputs'!$B$33,'Inputs'!$B$29+'Inputs'!$B$31+'Inputs'!$B$32,'Inputs'!$B$30+'Inputs'!$B$31+'Inputs'!$B$32)/1000+'Inputs'!$B$21))^2+('Inputs'!$B$8/2)^2)))-'Results'!B7*(1+'Inputs'!$B$24)*(0.5*((((558-43)*MAX('Inputs'!$B$33,'Inputs'!$B$29+'Inputs'!$B$31+'Inputs'!$B$32,'Inputs'!$B$30+'Inputs'!$B$31+'Inputs'!$B$32)/1000+'Inputs'!$B$21+'Inputs'!$B$9+'Inputs'!$B$10)+'Inputs'!$B$7)/SQRT((((558-43)*MAX('Inputs'!$B$33,'Inputs'!$B$29+'Inputs'!$B$31+'Inputs'!$B$32,'Inputs'!$B$30+'Inputs'!$B$31+'Inputs'!$B$32)/1000+'Inputs'!$B$21+'Inputs'!$B$9+'Inputs'!$B$10)+'Inputs'!$B$7)^2+('Inputs'!$B$6/2)^2)-(((558-43)*MAX('Inputs'!$B$33,'Inputs'!$B$29+'Inputs'!$B$31+'Inputs'!$B$32,'Inputs'!$B$30+'Inputs'!$B$31+'Inputs'!$B$32)/1000+'Inputs'!$B$21+'Inputs'!$B$9+'Inputs'!$B$10))/SQRT((((558-43)*MAX('Inputs'!$B$33,'Inputs'!$B$29+'Inputs'!$B$31+'Inputs'!$B$32,'Inputs'!$B$30+'Inputs'!$B$31+'Inputs'!$B$32)/1000+'Inputs'!$B$21+'Inputs'!$B$9+'Inputs'!$B$10))^2+('Inputs'!$B$6/2)^2))))*'Results'!$B$8))),"")</x:f>
        <x:v>3.0902495630711484</x:v>
      </x:c>
      <x:c r="O558" t="n">
        <x:f>IF(AND(ISNUMBER('Results'!C7),ISNUMBER('Results'!B7),ISNUMBER('Results'!$B$8),ISNUMBER('Inputs'!$B$6),ISNUMBER('Inputs'!$B$7),ISNUMBER('Inputs'!$B$8),ISNUMBER('Inputs'!$B$9),ISNUMBER('Inputs'!$B$10),ISNUMBER('Inputs'!$B$21),ISNUMBER('Inputs'!$B$24),ISNUMBER('Inputs'!$B$28)),((('Results'!C7*(1+'Inputs'!$B$24)*(0.5*((((558-43)*MAX('Inputs'!$B$33,'Inputs'!$B$29+'Inputs'!$B$31+'Inputs'!$B$32,'Inputs'!$B$30+'Inputs'!$B$31+'Inputs'!$B$32)/1000+'Inputs'!$B$21)+'Inputs'!$B$9)/SQRT((((558-43)*MAX('Inputs'!$B$33,'Inputs'!$B$29+'Inputs'!$B$31+'Inputs'!$B$32,'Inputs'!$B$30+'Inputs'!$B$31+'Inputs'!$B$32)/1000+'Inputs'!$B$21)+'Inputs'!$B$9)^2+('Inputs'!$B$8/2)^2)-(((558-43)*MAX('Inputs'!$B$33,'Inputs'!$B$29+'Inputs'!$B$31+'Inputs'!$B$32,'Inputs'!$B$30+'Inputs'!$B$31+'Inputs'!$B$32)/1000+'Inputs'!$B$21))/SQRT((((558-43)*MAX('Inputs'!$B$33,'Inputs'!$B$29+'Inputs'!$B$31+'Inputs'!$B$32,'Inputs'!$B$30+'Inputs'!$B$31+'Inputs'!$B$32)/1000+'Inputs'!$B$21))^2+('Inputs'!$B$8/2)^2)))-'Results'!B7*(1-'Inputs'!$B$24)*(0.5*((((558-43)*MAX('Inputs'!$B$33,'Inputs'!$B$29+'Inputs'!$B$31+'Inputs'!$B$32,'Inputs'!$B$30+'Inputs'!$B$31+'Inputs'!$B$32)/1000+'Inputs'!$B$21+'Inputs'!$B$9+'Inputs'!$B$10)+'Inputs'!$B$7)/SQRT((((558-43)*MAX('Inputs'!$B$33,'Inputs'!$B$29+'Inputs'!$B$31+'Inputs'!$B$32,'Inputs'!$B$30+'Inputs'!$B$31+'Inputs'!$B$32)/1000+'Inputs'!$B$21+'Inputs'!$B$9+'Inputs'!$B$10)+'Inputs'!$B$7)^2+('Inputs'!$B$6/2)^2)-(((558-43)*MAX('Inputs'!$B$33,'Inputs'!$B$29+'Inputs'!$B$31+'Inputs'!$B$32,'Inputs'!$B$30+'Inputs'!$B$31+'Inputs'!$B$32)/1000+'Inputs'!$B$21+'Inputs'!$B$9+'Inputs'!$B$10))/SQRT((((558-43)*MAX('Inputs'!$B$33,'Inputs'!$B$29+'Inputs'!$B$31+'Inputs'!$B$32,'Inputs'!$B$30+'Inputs'!$B$31+'Inputs'!$B$32)/1000+'Inputs'!$B$21+'Inputs'!$B$9+'Inputs'!$B$10))^2+('Inputs'!$B$6/2)^2))))*'Results'!$B$8)+'Inputs'!$B$28*ABS((('Results'!C7*(1+'Inputs'!$B$24)*(0.5*((((558-43)*MAX('Inputs'!$B$33,'Inputs'!$B$29+'Inputs'!$B$31+'Inputs'!$B$32,'Inputs'!$B$30+'Inputs'!$B$31+'Inputs'!$B$32)/1000+'Inputs'!$B$21)+'Inputs'!$B$9)/SQRT((((558-43)*MAX('Inputs'!$B$33,'Inputs'!$B$29+'Inputs'!$B$31+'Inputs'!$B$32,'Inputs'!$B$30+'Inputs'!$B$31+'Inputs'!$B$32)/1000+'Inputs'!$B$21)+'Inputs'!$B$9)^2+('Inputs'!$B$8/2)^2)-(((558-43)*MAX('Inputs'!$B$33,'Inputs'!$B$29+'Inputs'!$B$31+'Inputs'!$B$32,'Inputs'!$B$30+'Inputs'!$B$31+'Inputs'!$B$32)/1000+'Inputs'!$B$21))/SQRT((((558-43)*MAX('Inputs'!$B$33,'Inputs'!$B$29+'Inputs'!$B$31+'Inputs'!$B$32,'Inputs'!$B$30+'Inputs'!$B$31+'Inputs'!$B$32)/1000+'Inputs'!$B$21))^2+('Inputs'!$B$8/2)^2)))-'Results'!B7*(1-'Inputs'!$B$24)*(0.5*((((558-43)*MAX('Inputs'!$B$33,'Inputs'!$B$29+'Inputs'!$B$31+'Inputs'!$B$32,'Inputs'!$B$30+'Inputs'!$B$31+'Inputs'!$B$32)/1000+'Inputs'!$B$21+'Inputs'!$B$9+'Inputs'!$B$10)+'Inputs'!$B$7)/SQRT((((558-43)*MAX('Inputs'!$B$33,'Inputs'!$B$29+'Inputs'!$B$31+'Inputs'!$B$32,'Inputs'!$B$30+'Inputs'!$B$31+'Inputs'!$B$32)/1000+'Inputs'!$B$21+'Inputs'!$B$9+'Inputs'!$B$10)+'Inputs'!$B$7)^2+('Inputs'!$B$6/2)^2)-(((558-43)*MAX('Inputs'!$B$33,'Inputs'!$B$29+'Inputs'!$B$31+'Inputs'!$B$32,'Inputs'!$B$30+'Inputs'!$B$31+'Inputs'!$B$32)/1000+'Inputs'!$B$21+'Inputs'!$B$9+'Inputs'!$B$10))/SQRT((((558-43)*MAX('Inputs'!$B$33,'Inputs'!$B$29+'Inputs'!$B$31+'Inputs'!$B$32,'Inputs'!$B$30+'Inputs'!$B$31+'Inputs'!$B$32)/1000+'Inputs'!$B$21+'Inputs'!$B$9+'Inputs'!$B$10))^2+('Inputs'!$B$6/2)^2))))*'Results'!$B$8))),"")</x:f>
        <x:v>3.9627646411668485</x:v>
      </x:c>
      <x:c r="P558" t="n">
        <x:f>IF(AND(MAX(J558,J557)&gt;0,J558&gt;J557+0.00000001),1,0)</x:f>
        <x:v>0</x:v>
      </x:c>
      <x:c r="Q558" t="n">
        <x:f>IF(AND(MAX(K558,K557)&gt;0,K558&gt;K557+0.00000001),1,0)</x:f>
        <x:v>0</x:v>
      </x:c>
      <x:c r="R558" t="n">
        <x:f>IF(AND(MAX(L558,L557)&gt;0,L558&gt;L557+0.00000001),1,0)</x:f>
        <x:v>0</x:v>
      </x:c>
      <x:c r="S558" t="n">
        <x:f>IF(AND(MAX(M558,M557)&gt;0,M558&gt;M557+0.00000001),1,0)</x:f>
        <x:v>0</x:v>
      </x:c>
      <x:c r="T558" t="n">
        <x:f>IF(AND(MAX(N558,N557)&gt;0,N558&gt;N557+0.00000001),1,0)</x:f>
        <x:v>0</x:v>
      </x:c>
      <x:c r="U558" t="n">
        <x:f>IF(AND(MAX(O558,O557)&gt;0,O558&gt;O557+0.00000001),1,0)</x:f>
        <x:v>0</x:v>
      </x:c>
    </x:row>
    <x:row r="559">
      <x:c r="J559" t="n">
        <x:f>IF(AND(ISNUMBER('Results'!B7),ISNUMBER('Results'!C7),ISNUMBER('Results'!$B$8),ISNUMBER('Inputs'!$B$6),ISNUMBER('Inputs'!$B$7),ISNUMBER('Inputs'!$B$8),ISNUMBER('Inputs'!$B$9),ISNUMBER('Inputs'!$B$10),ISNUMBER('Inputs'!$B$21),ISNUMBER('Inputs'!$B$24),ISNUMBER('Inputs'!$B$28)),(('Results'!B7*(0.5*((((559-43)*MAX('Inputs'!$B$33,'Inputs'!$B$29+'Inputs'!$B$31+'Inputs'!$B$32,'Inputs'!$B$30+'Inputs'!$B$31+'Inputs'!$B$32)/1000+'Inputs'!$B$21)+'Inputs'!$B$7)/SQRT((((559-43)*MAX('Inputs'!$B$33,'Inputs'!$B$29+'Inputs'!$B$31+'Inputs'!$B$32,'Inputs'!$B$30+'Inputs'!$B$31+'Inputs'!$B$32)/1000+'Inputs'!$B$21)+'Inputs'!$B$7)^2+('Inputs'!$B$6/2)^2)-(((559-43)*MAX('Inputs'!$B$33,'Inputs'!$B$29+'Inputs'!$B$31+'Inputs'!$B$32,'Inputs'!$B$30+'Inputs'!$B$31+'Inputs'!$B$32)/1000+'Inputs'!$B$21))/SQRT((((559-43)*MAX('Inputs'!$B$33,'Inputs'!$B$29+'Inputs'!$B$31+'Inputs'!$B$32,'Inputs'!$B$30+'Inputs'!$B$31+'Inputs'!$B$32)/1000+'Inputs'!$B$21))^2+('Inputs'!$B$6/2)^2)))-'Results'!C7*(0.5*((((559-43)*MAX('Inputs'!$B$33,'Inputs'!$B$29+'Inputs'!$B$31+'Inputs'!$B$32,'Inputs'!$B$30+'Inputs'!$B$31+'Inputs'!$B$32)/1000+'Inputs'!$B$21+'Inputs'!$B$7+'Inputs'!$B$10)+'Inputs'!$B$9)/SQRT((((559-43)*MAX('Inputs'!$B$33,'Inputs'!$B$29+'Inputs'!$B$31+'Inputs'!$B$32,'Inputs'!$B$30+'Inputs'!$B$31+'Inputs'!$B$32)/1000+'Inputs'!$B$21+'Inputs'!$B$7+'Inputs'!$B$10)+'Inputs'!$B$9)^2+('Inputs'!$B$8/2)^2)-(((559-43)*MAX('Inputs'!$B$33,'Inputs'!$B$29+'Inputs'!$B$31+'Inputs'!$B$32,'Inputs'!$B$30+'Inputs'!$B$31+'Inputs'!$B$32)/1000+'Inputs'!$B$21+'Inputs'!$B$7+'Inputs'!$B$10))/SQRT((((559-43)*MAX('Inputs'!$B$33,'Inputs'!$B$29+'Inputs'!$B$31+'Inputs'!$B$32,'Inputs'!$B$30+'Inputs'!$B$31+'Inputs'!$B$32)/1000+'Inputs'!$B$21+'Inputs'!$B$7+'Inputs'!$B$10))^2+('Inputs'!$B$8/2)^2))))*'Results'!$B$8),"")</x:f>
        <x:v>3.7523857741484883</x:v>
      </x:c>
      <x:c r="K559" t="n">
        <x:f>IF(AND(ISNUMBER('Results'!B7),ISNUMBER('Results'!C7),ISNUMBER('Results'!$B$8),ISNUMBER('Inputs'!$B$6),ISNUMBER('Inputs'!$B$7),ISNUMBER('Inputs'!$B$8),ISNUMBER('Inputs'!$B$9),ISNUMBER('Inputs'!$B$10),ISNUMBER('Inputs'!$B$21),ISNUMBER('Inputs'!$B$24),ISNUMBER('Inputs'!$B$28)),((('Results'!B7*(1-'Inputs'!$B$24)*(0.5*((((559-43)*MAX('Inputs'!$B$33,'Inputs'!$B$29+'Inputs'!$B$31+'Inputs'!$B$32,'Inputs'!$B$30+'Inputs'!$B$31+'Inputs'!$B$32)/1000+'Inputs'!$B$21)+'Inputs'!$B$7)/SQRT((((559-43)*MAX('Inputs'!$B$33,'Inputs'!$B$29+'Inputs'!$B$31+'Inputs'!$B$32,'Inputs'!$B$30+'Inputs'!$B$31+'Inputs'!$B$32)/1000+'Inputs'!$B$21)+'Inputs'!$B$7)^2+('Inputs'!$B$6/2)^2)-(((559-43)*MAX('Inputs'!$B$33,'Inputs'!$B$29+'Inputs'!$B$31+'Inputs'!$B$32,'Inputs'!$B$30+'Inputs'!$B$31+'Inputs'!$B$32)/1000+'Inputs'!$B$21))/SQRT((((559-43)*MAX('Inputs'!$B$33,'Inputs'!$B$29+'Inputs'!$B$31+'Inputs'!$B$32,'Inputs'!$B$30+'Inputs'!$B$31+'Inputs'!$B$32)/1000+'Inputs'!$B$21))^2+('Inputs'!$B$6/2)^2)))-'Results'!C7*(1+'Inputs'!$B$24)*(0.5*((((559-43)*MAX('Inputs'!$B$33,'Inputs'!$B$29+'Inputs'!$B$31+'Inputs'!$B$32,'Inputs'!$B$30+'Inputs'!$B$31+'Inputs'!$B$32)/1000+'Inputs'!$B$21+'Inputs'!$B$7+'Inputs'!$B$10)+'Inputs'!$B$9)/SQRT((((559-43)*MAX('Inputs'!$B$33,'Inputs'!$B$29+'Inputs'!$B$31+'Inputs'!$B$32,'Inputs'!$B$30+'Inputs'!$B$31+'Inputs'!$B$32)/1000+'Inputs'!$B$21+'Inputs'!$B$7+'Inputs'!$B$10)+'Inputs'!$B$9)^2+('Inputs'!$B$8/2)^2)-(((559-43)*MAX('Inputs'!$B$33,'Inputs'!$B$29+'Inputs'!$B$31+'Inputs'!$B$32,'Inputs'!$B$30+'Inputs'!$B$31+'Inputs'!$B$32)/1000+'Inputs'!$B$21+'Inputs'!$B$7+'Inputs'!$B$10))/SQRT((((559-43)*MAX('Inputs'!$B$33,'Inputs'!$B$29+'Inputs'!$B$31+'Inputs'!$B$32,'Inputs'!$B$30+'Inputs'!$B$31+'Inputs'!$B$32)/1000+'Inputs'!$B$21+'Inputs'!$B$7+'Inputs'!$B$10))^2+('Inputs'!$B$8/2)^2))))*'Results'!$B$8)-'Inputs'!$B$28*ABS((('Results'!B7*(1-'Inputs'!$B$24)*(0.5*((((559-43)*MAX('Inputs'!$B$33,'Inputs'!$B$29+'Inputs'!$B$31+'Inputs'!$B$32,'Inputs'!$B$30+'Inputs'!$B$31+'Inputs'!$B$32)/1000+'Inputs'!$B$21)+'Inputs'!$B$7)/SQRT((((559-43)*MAX('Inputs'!$B$33,'Inputs'!$B$29+'Inputs'!$B$31+'Inputs'!$B$32,'Inputs'!$B$30+'Inputs'!$B$31+'Inputs'!$B$32)/1000+'Inputs'!$B$21)+'Inputs'!$B$7)^2+('Inputs'!$B$6/2)^2)-(((559-43)*MAX('Inputs'!$B$33,'Inputs'!$B$29+'Inputs'!$B$31+'Inputs'!$B$32,'Inputs'!$B$30+'Inputs'!$B$31+'Inputs'!$B$32)/1000+'Inputs'!$B$21))/SQRT((((559-43)*MAX('Inputs'!$B$33,'Inputs'!$B$29+'Inputs'!$B$31+'Inputs'!$B$32,'Inputs'!$B$30+'Inputs'!$B$31+'Inputs'!$B$32)/1000+'Inputs'!$B$21))^2+('Inputs'!$B$6/2)^2)))-'Results'!C7*(1+'Inputs'!$B$24)*(0.5*((((559-43)*MAX('Inputs'!$B$33,'Inputs'!$B$29+'Inputs'!$B$31+'Inputs'!$B$32,'Inputs'!$B$30+'Inputs'!$B$31+'Inputs'!$B$32)/1000+'Inputs'!$B$21+'Inputs'!$B$7+'Inputs'!$B$10)+'Inputs'!$B$9)/SQRT((((559-43)*MAX('Inputs'!$B$33,'Inputs'!$B$29+'Inputs'!$B$31+'Inputs'!$B$32,'Inputs'!$B$30+'Inputs'!$B$31+'Inputs'!$B$32)/1000+'Inputs'!$B$21+'Inputs'!$B$7+'Inputs'!$B$10)+'Inputs'!$B$9)^2+('Inputs'!$B$8/2)^2)-(((559-43)*MAX('Inputs'!$B$33,'Inputs'!$B$29+'Inputs'!$B$31+'Inputs'!$B$32,'Inputs'!$B$30+'Inputs'!$B$31+'Inputs'!$B$32)/1000+'Inputs'!$B$21+'Inputs'!$B$7+'Inputs'!$B$10))/SQRT((((559-43)*MAX('Inputs'!$B$33,'Inputs'!$B$29+'Inputs'!$B$31+'Inputs'!$B$32,'Inputs'!$B$30+'Inputs'!$B$31+'Inputs'!$B$32)/1000+'Inputs'!$B$21+'Inputs'!$B$7+'Inputs'!$B$10))^2+('Inputs'!$B$8/2)^2))))*'Results'!$B$8))),"")</x:f>
        <x:v>3.317093572514778</x:v>
      </x:c>
      <x:c r="L559" t="n">
        <x:f>IF(AND(ISNUMBER('Results'!B7),ISNUMBER('Results'!C7),ISNUMBER('Results'!$B$8),ISNUMBER('Inputs'!$B$6),ISNUMBER('Inputs'!$B$7),ISNUMBER('Inputs'!$B$8),ISNUMBER('Inputs'!$B$9),ISNUMBER('Inputs'!$B$10),ISNUMBER('Inputs'!$B$21),ISNUMBER('Inputs'!$B$24),ISNUMBER('Inputs'!$B$28)),((('Results'!B7*(1+'Inputs'!$B$24)*(0.5*((((559-43)*MAX('Inputs'!$B$33,'Inputs'!$B$29+'Inputs'!$B$31+'Inputs'!$B$32,'Inputs'!$B$30+'Inputs'!$B$31+'Inputs'!$B$32)/1000+'Inputs'!$B$21)+'Inputs'!$B$7)/SQRT((((559-43)*MAX('Inputs'!$B$33,'Inputs'!$B$29+'Inputs'!$B$31+'Inputs'!$B$32,'Inputs'!$B$30+'Inputs'!$B$31+'Inputs'!$B$32)/1000+'Inputs'!$B$21)+'Inputs'!$B$7)^2+('Inputs'!$B$6/2)^2)-(((559-43)*MAX('Inputs'!$B$33,'Inputs'!$B$29+'Inputs'!$B$31+'Inputs'!$B$32,'Inputs'!$B$30+'Inputs'!$B$31+'Inputs'!$B$32)/1000+'Inputs'!$B$21))/SQRT((((559-43)*MAX('Inputs'!$B$33,'Inputs'!$B$29+'Inputs'!$B$31+'Inputs'!$B$32,'Inputs'!$B$30+'Inputs'!$B$31+'Inputs'!$B$32)/1000+'Inputs'!$B$21))^2+('Inputs'!$B$6/2)^2)))-'Results'!C7*(1-'Inputs'!$B$24)*(0.5*((((559-43)*MAX('Inputs'!$B$33,'Inputs'!$B$29+'Inputs'!$B$31+'Inputs'!$B$32,'Inputs'!$B$30+'Inputs'!$B$31+'Inputs'!$B$32)/1000+'Inputs'!$B$21+'Inputs'!$B$7+'Inputs'!$B$10)+'Inputs'!$B$9)/SQRT((((559-43)*MAX('Inputs'!$B$33,'Inputs'!$B$29+'Inputs'!$B$31+'Inputs'!$B$32,'Inputs'!$B$30+'Inputs'!$B$31+'Inputs'!$B$32)/1000+'Inputs'!$B$21+'Inputs'!$B$7+'Inputs'!$B$10)+'Inputs'!$B$9)^2+('Inputs'!$B$8/2)^2)-(((559-43)*MAX('Inputs'!$B$33,'Inputs'!$B$29+'Inputs'!$B$31+'Inputs'!$B$32,'Inputs'!$B$30+'Inputs'!$B$31+'Inputs'!$B$32)/1000+'Inputs'!$B$21+'Inputs'!$B$7+'Inputs'!$B$10))/SQRT((((559-43)*MAX('Inputs'!$B$33,'Inputs'!$B$29+'Inputs'!$B$31+'Inputs'!$B$32,'Inputs'!$B$30+'Inputs'!$B$31+'Inputs'!$B$32)/1000+'Inputs'!$B$21+'Inputs'!$B$7+'Inputs'!$B$10))^2+('Inputs'!$B$8/2)^2))))*'Results'!$B$8)+'Inputs'!$B$28*ABS((('Results'!B7*(1+'Inputs'!$B$24)*(0.5*((((559-43)*MAX('Inputs'!$B$33,'Inputs'!$B$29+'Inputs'!$B$31+'Inputs'!$B$32,'Inputs'!$B$30+'Inputs'!$B$31+'Inputs'!$B$32)/1000+'Inputs'!$B$21)+'Inputs'!$B$7)/SQRT((((559-43)*MAX('Inputs'!$B$33,'Inputs'!$B$29+'Inputs'!$B$31+'Inputs'!$B$32,'Inputs'!$B$30+'Inputs'!$B$31+'Inputs'!$B$32)/1000+'Inputs'!$B$21)+'Inputs'!$B$7)^2+('Inputs'!$B$6/2)^2)-(((559-43)*MAX('Inputs'!$B$33,'Inputs'!$B$29+'Inputs'!$B$31+'Inputs'!$B$32,'Inputs'!$B$30+'Inputs'!$B$31+'Inputs'!$B$32)/1000+'Inputs'!$B$21))/SQRT((((559-43)*MAX('Inputs'!$B$33,'Inputs'!$B$29+'Inputs'!$B$31+'Inputs'!$B$32,'Inputs'!$B$30+'Inputs'!$B$31+'Inputs'!$B$32)/1000+'Inputs'!$B$21))^2+('Inputs'!$B$6/2)^2)))-'Results'!C7*(1-'Inputs'!$B$24)*(0.5*((((559-43)*MAX('Inputs'!$B$33,'Inputs'!$B$29+'Inputs'!$B$31+'Inputs'!$B$32,'Inputs'!$B$30+'Inputs'!$B$31+'Inputs'!$B$32)/1000+'Inputs'!$B$21+'Inputs'!$B$7+'Inputs'!$B$10)+'Inputs'!$B$9)/SQRT((((559-43)*MAX('Inputs'!$B$33,'Inputs'!$B$29+'Inputs'!$B$31+'Inputs'!$B$32,'Inputs'!$B$30+'Inputs'!$B$31+'Inputs'!$B$32)/1000+'Inputs'!$B$21+'Inputs'!$B$7+'Inputs'!$B$10)+'Inputs'!$B$9)^2+('Inputs'!$B$8/2)^2)-(((559-43)*MAX('Inputs'!$B$33,'Inputs'!$B$29+'Inputs'!$B$31+'Inputs'!$B$32,'Inputs'!$B$30+'Inputs'!$B$31+'Inputs'!$B$32)/1000+'Inputs'!$B$21+'Inputs'!$B$7+'Inputs'!$B$10))/SQRT((((559-43)*MAX('Inputs'!$B$33,'Inputs'!$B$29+'Inputs'!$B$31+'Inputs'!$B$32,'Inputs'!$B$30+'Inputs'!$B$31+'Inputs'!$B$32)/1000+'Inputs'!$B$21+'Inputs'!$B$7+'Inputs'!$B$10))^2+('Inputs'!$B$8/2)^2))))*'Results'!$B$8))),"")</x:f>
        <x:v>4.213748808721809</x:v>
      </x:c>
      <x:c r="M559" t="n">
        <x:f>IF(AND(ISNUMBER('Results'!C7),ISNUMBER('Results'!B7),ISNUMBER('Results'!$B$8),ISNUMBER('Inputs'!$B$6),ISNUMBER('Inputs'!$B$7),ISNUMBER('Inputs'!$B$8),ISNUMBER('Inputs'!$B$9),ISNUMBER('Inputs'!$B$10),ISNUMBER('Inputs'!$B$21),ISNUMBER('Inputs'!$B$24),ISNUMBER('Inputs'!$B$28)),(('Results'!C7*(0.5*((((559-43)*MAX('Inputs'!$B$33,'Inputs'!$B$29+'Inputs'!$B$31+'Inputs'!$B$32,'Inputs'!$B$30+'Inputs'!$B$31+'Inputs'!$B$32)/1000+'Inputs'!$B$21)+'Inputs'!$B$9)/SQRT((((559-43)*MAX('Inputs'!$B$33,'Inputs'!$B$29+'Inputs'!$B$31+'Inputs'!$B$32,'Inputs'!$B$30+'Inputs'!$B$31+'Inputs'!$B$32)/1000+'Inputs'!$B$21)+'Inputs'!$B$9)^2+('Inputs'!$B$8/2)^2)-(((559-43)*MAX('Inputs'!$B$33,'Inputs'!$B$29+'Inputs'!$B$31+'Inputs'!$B$32,'Inputs'!$B$30+'Inputs'!$B$31+'Inputs'!$B$32)/1000+'Inputs'!$B$21))/SQRT((((559-43)*MAX('Inputs'!$B$33,'Inputs'!$B$29+'Inputs'!$B$31+'Inputs'!$B$32,'Inputs'!$B$30+'Inputs'!$B$31+'Inputs'!$B$32)/1000+'Inputs'!$B$21))^2+('Inputs'!$B$8/2)^2)))-'Results'!B7*(0.5*((((559-43)*MAX('Inputs'!$B$33,'Inputs'!$B$29+'Inputs'!$B$31+'Inputs'!$B$32,'Inputs'!$B$30+'Inputs'!$B$31+'Inputs'!$B$32)/1000+'Inputs'!$B$21+'Inputs'!$B$9+'Inputs'!$B$10)+'Inputs'!$B$7)/SQRT((((559-43)*MAX('Inputs'!$B$33,'Inputs'!$B$29+'Inputs'!$B$31+'Inputs'!$B$32,'Inputs'!$B$30+'Inputs'!$B$31+'Inputs'!$B$32)/1000+'Inputs'!$B$21+'Inputs'!$B$9+'Inputs'!$B$10)+'Inputs'!$B$7)^2+('Inputs'!$B$6/2)^2)-(((559-43)*MAX('Inputs'!$B$33,'Inputs'!$B$29+'Inputs'!$B$31+'Inputs'!$B$32,'Inputs'!$B$30+'Inputs'!$B$31+'Inputs'!$B$32)/1000+'Inputs'!$B$21+'Inputs'!$B$9+'Inputs'!$B$10))/SQRT((((559-43)*MAX('Inputs'!$B$33,'Inputs'!$B$29+'Inputs'!$B$31+'Inputs'!$B$32,'Inputs'!$B$30+'Inputs'!$B$31+'Inputs'!$B$32)/1000+'Inputs'!$B$21+'Inputs'!$B$9+'Inputs'!$B$10))^2+('Inputs'!$B$6/2)^2))))*'Results'!$B$8),"")</x:f>
        <x:v>3.489782948692061</x:v>
      </x:c>
      <x:c r="N559" t="n">
        <x:f>IF(AND(ISNUMBER('Results'!C7),ISNUMBER('Results'!B7),ISNUMBER('Results'!$B$8),ISNUMBER('Inputs'!$B$6),ISNUMBER('Inputs'!$B$7),ISNUMBER('Inputs'!$B$8),ISNUMBER('Inputs'!$B$9),ISNUMBER('Inputs'!$B$10),ISNUMBER('Inputs'!$B$21),ISNUMBER('Inputs'!$B$24),ISNUMBER('Inputs'!$B$28)),((('Results'!C7*(1-'Inputs'!$B$24)*(0.5*((((559-43)*MAX('Inputs'!$B$33,'Inputs'!$B$29+'Inputs'!$B$31+'Inputs'!$B$32,'Inputs'!$B$30+'Inputs'!$B$31+'Inputs'!$B$32)/1000+'Inputs'!$B$21)+'Inputs'!$B$9)/SQRT((((559-43)*MAX('Inputs'!$B$33,'Inputs'!$B$29+'Inputs'!$B$31+'Inputs'!$B$32,'Inputs'!$B$30+'Inputs'!$B$31+'Inputs'!$B$32)/1000+'Inputs'!$B$21)+'Inputs'!$B$9)^2+('Inputs'!$B$8/2)^2)-(((559-43)*MAX('Inputs'!$B$33,'Inputs'!$B$29+'Inputs'!$B$31+'Inputs'!$B$32,'Inputs'!$B$30+'Inputs'!$B$31+'Inputs'!$B$32)/1000+'Inputs'!$B$21))/SQRT((((559-43)*MAX('Inputs'!$B$33,'Inputs'!$B$29+'Inputs'!$B$31+'Inputs'!$B$32,'Inputs'!$B$30+'Inputs'!$B$31+'Inputs'!$B$32)/1000+'Inputs'!$B$21))^2+('Inputs'!$B$8/2)^2)))-'Results'!B7*(1+'Inputs'!$B$24)*(0.5*((((559-43)*MAX('Inputs'!$B$33,'Inputs'!$B$29+'Inputs'!$B$31+'Inputs'!$B$32,'Inputs'!$B$30+'Inputs'!$B$31+'Inputs'!$B$32)/1000+'Inputs'!$B$21+'Inputs'!$B$9+'Inputs'!$B$10)+'Inputs'!$B$7)/SQRT((((559-43)*MAX('Inputs'!$B$33,'Inputs'!$B$29+'Inputs'!$B$31+'Inputs'!$B$32,'Inputs'!$B$30+'Inputs'!$B$31+'Inputs'!$B$32)/1000+'Inputs'!$B$21+'Inputs'!$B$9+'Inputs'!$B$10)+'Inputs'!$B$7)^2+('Inputs'!$B$6/2)^2)-(((559-43)*MAX('Inputs'!$B$33,'Inputs'!$B$29+'Inputs'!$B$31+'Inputs'!$B$32,'Inputs'!$B$30+'Inputs'!$B$31+'Inputs'!$B$32)/1000+'Inputs'!$B$21+'Inputs'!$B$9+'Inputs'!$B$10))/SQRT((((559-43)*MAX('Inputs'!$B$33,'Inputs'!$B$29+'Inputs'!$B$31+'Inputs'!$B$32,'Inputs'!$B$30+'Inputs'!$B$31+'Inputs'!$B$32)/1000+'Inputs'!$B$21+'Inputs'!$B$9+'Inputs'!$B$10))^2+('Inputs'!$B$6/2)^2))))*'Results'!$B$8)-'Inputs'!$B$28*ABS((('Results'!C7*(1-'Inputs'!$B$24)*(0.5*((((559-43)*MAX('Inputs'!$B$33,'Inputs'!$B$29+'Inputs'!$B$31+'Inputs'!$B$32,'Inputs'!$B$30+'Inputs'!$B$31+'Inputs'!$B$32)/1000+'Inputs'!$B$21)+'Inputs'!$B$9)/SQRT((((559-43)*MAX('Inputs'!$B$33,'Inputs'!$B$29+'Inputs'!$B$31+'Inputs'!$B$32,'Inputs'!$B$30+'Inputs'!$B$31+'Inputs'!$B$32)/1000+'Inputs'!$B$21)+'Inputs'!$B$9)^2+('Inputs'!$B$8/2)^2)-(((559-43)*MAX('Inputs'!$B$33,'Inputs'!$B$29+'Inputs'!$B$31+'Inputs'!$B$32,'Inputs'!$B$30+'Inputs'!$B$31+'Inputs'!$B$32)/1000+'Inputs'!$B$21))/SQRT((((559-43)*MAX('Inputs'!$B$33,'Inputs'!$B$29+'Inputs'!$B$31+'Inputs'!$B$32,'Inputs'!$B$30+'Inputs'!$B$31+'Inputs'!$B$32)/1000+'Inputs'!$B$21))^2+('Inputs'!$B$8/2)^2)))-'Results'!B7*(1+'Inputs'!$B$24)*(0.5*((((559-43)*MAX('Inputs'!$B$33,'Inputs'!$B$29+'Inputs'!$B$31+'Inputs'!$B$32,'Inputs'!$B$30+'Inputs'!$B$31+'Inputs'!$B$32)/1000+'Inputs'!$B$21+'Inputs'!$B$9+'Inputs'!$B$10)+'Inputs'!$B$7)/SQRT((((559-43)*MAX('Inputs'!$B$33,'Inputs'!$B$29+'Inputs'!$B$31+'Inputs'!$B$32,'Inputs'!$B$30+'Inputs'!$B$31+'Inputs'!$B$32)/1000+'Inputs'!$B$21+'Inputs'!$B$9+'Inputs'!$B$10)+'Inputs'!$B$7)^2+('Inputs'!$B$6/2)^2)-(((559-43)*MAX('Inputs'!$B$33,'Inputs'!$B$29+'Inputs'!$B$31+'Inputs'!$B$32,'Inputs'!$B$30+'Inputs'!$B$31+'Inputs'!$B$32)/1000+'Inputs'!$B$21+'Inputs'!$B$9+'Inputs'!$B$10))/SQRT((((559-43)*MAX('Inputs'!$B$33,'Inputs'!$B$29+'Inputs'!$B$31+'Inputs'!$B$32,'Inputs'!$B$30+'Inputs'!$B$31+'Inputs'!$B$32)/1000+'Inputs'!$B$21+'Inputs'!$B$9+'Inputs'!$B$10))^2+('Inputs'!$B$6/2)^2))))*'Results'!$B$8))),"")</x:f>
        <x:v>3.0690107995002016</x:v>
      </x:c>
      <x:c r="O559" t="n">
        <x:f>IF(AND(ISNUMBER('Results'!C7),ISNUMBER('Results'!B7),ISNUMBER('Results'!$B$8),ISNUMBER('Inputs'!$B$6),ISNUMBER('Inputs'!$B$7),ISNUMBER('Inputs'!$B$8),ISNUMBER('Inputs'!$B$9),ISNUMBER('Inputs'!$B$10),ISNUMBER('Inputs'!$B$21),ISNUMBER('Inputs'!$B$24),ISNUMBER('Inputs'!$B$28)),((('Results'!C7*(1+'Inputs'!$B$24)*(0.5*((((559-43)*MAX('Inputs'!$B$33,'Inputs'!$B$29+'Inputs'!$B$31+'Inputs'!$B$32,'Inputs'!$B$30+'Inputs'!$B$31+'Inputs'!$B$32)/1000+'Inputs'!$B$21)+'Inputs'!$B$9)/SQRT((((559-43)*MAX('Inputs'!$B$33,'Inputs'!$B$29+'Inputs'!$B$31+'Inputs'!$B$32,'Inputs'!$B$30+'Inputs'!$B$31+'Inputs'!$B$32)/1000+'Inputs'!$B$21)+'Inputs'!$B$9)^2+('Inputs'!$B$8/2)^2)-(((559-43)*MAX('Inputs'!$B$33,'Inputs'!$B$29+'Inputs'!$B$31+'Inputs'!$B$32,'Inputs'!$B$30+'Inputs'!$B$31+'Inputs'!$B$32)/1000+'Inputs'!$B$21))/SQRT((((559-43)*MAX('Inputs'!$B$33,'Inputs'!$B$29+'Inputs'!$B$31+'Inputs'!$B$32,'Inputs'!$B$30+'Inputs'!$B$31+'Inputs'!$B$32)/1000+'Inputs'!$B$21))^2+('Inputs'!$B$8/2)^2)))-'Results'!B7*(1-'Inputs'!$B$24)*(0.5*((((559-43)*MAX('Inputs'!$B$33,'Inputs'!$B$29+'Inputs'!$B$31+'Inputs'!$B$32,'Inputs'!$B$30+'Inputs'!$B$31+'Inputs'!$B$32)/1000+'Inputs'!$B$21+'Inputs'!$B$9+'Inputs'!$B$10)+'Inputs'!$B$7)/SQRT((((559-43)*MAX('Inputs'!$B$33,'Inputs'!$B$29+'Inputs'!$B$31+'Inputs'!$B$32,'Inputs'!$B$30+'Inputs'!$B$31+'Inputs'!$B$32)/1000+'Inputs'!$B$21+'Inputs'!$B$9+'Inputs'!$B$10)+'Inputs'!$B$7)^2+('Inputs'!$B$6/2)^2)-(((559-43)*MAX('Inputs'!$B$33,'Inputs'!$B$29+'Inputs'!$B$31+'Inputs'!$B$32,'Inputs'!$B$30+'Inputs'!$B$31+'Inputs'!$B$32)/1000+'Inputs'!$B$21+'Inputs'!$B$9+'Inputs'!$B$10))/SQRT((((559-43)*MAX('Inputs'!$B$33,'Inputs'!$B$29+'Inputs'!$B$31+'Inputs'!$B$32,'Inputs'!$B$30+'Inputs'!$B$31+'Inputs'!$B$32)/1000+'Inputs'!$B$21+'Inputs'!$B$9+'Inputs'!$B$10))^2+('Inputs'!$B$6/2)^2))))*'Results'!$B$8)+'Inputs'!$B$28*ABS((('Results'!C7*(1+'Inputs'!$B$24)*(0.5*((((559-43)*MAX('Inputs'!$B$33,'Inputs'!$B$29+'Inputs'!$B$31+'Inputs'!$B$32,'Inputs'!$B$30+'Inputs'!$B$31+'Inputs'!$B$32)/1000+'Inputs'!$B$21)+'Inputs'!$B$9)/SQRT((((559-43)*MAX('Inputs'!$B$33,'Inputs'!$B$29+'Inputs'!$B$31+'Inputs'!$B$32,'Inputs'!$B$30+'Inputs'!$B$31+'Inputs'!$B$32)/1000+'Inputs'!$B$21)+'Inputs'!$B$9)^2+('Inputs'!$B$8/2)^2)-(((559-43)*MAX('Inputs'!$B$33,'Inputs'!$B$29+'Inputs'!$B$31+'Inputs'!$B$32,'Inputs'!$B$30+'Inputs'!$B$31+'Inputs'!$B$32)/1000+'Inputs'!$B$21))/SQRT((((559-43)*MAX('Inputs'!$B$33,'Inputs'!$B$29+'Inputs'!$B$31+'Inputs'!$B$32,'Inputs'!$B$30+'Inputs'!$B$31+'Inputs'!$B$32)/1000+'Inputs'!$B$21))^2+('Inputs'!$B$8/2)^2)))-'Results'!B7*(1-'Inputs'!$B$24)*(0.5*((((559-43)*MAX('Inputs'!$B$33,'Inputs'!$B$29+'Inputs'!$B$31+'Inputs'!$B$32,'Inputs'!$B$30+'Inputs'!$B$31+'Inputs'!$B$32)/1000+'Inputs'!$B$21+'Inputs'!$B$9+'Inputs'!$B$10)+'Inputs'!$B$7)/SQRT((((559-43)*MAX('Inputs'!$B$33,'Inputs'!$B$29+'Inputs'!$B$31+'Inputs'!$B$32,'Inputs'!$B$30+'Inputs'!$B$31+'Inputs'!$B$32)/1000+'Inputs'!$B$21+'Inputs'!$B$9+'Inputs'!$B$10)+'Inputs'!$B$7)^2+('Inputs'!$B$6/2)^2)-(((559-43)*MAX('Inputs'!$B$33,'Inputs'!$B$29+'Inputs'!$B$31+'Inputs'!$B$32,'Inputs'!$B$30+'Inputs'!$B$31+'Inputs'!$B$32)/1000+'Inputs'!$B$21+'Inputs'!$B$9+'Inputs'!$B$10))/SQRT((((559-43)*MAX('Inputs'!$B$33,'Inputs'!$B$29+'Inputs'!$B$31+'Inputs'!$B$32,'Inputs'!$B$30+'Inputs'!$B$31+'Inputs'!$B$32)/1000+'Inputs'!$B$21+'Inputs'!$B$9+'Inputs'!$B$10))^2+('Inputs'!$B$6/2)^2))))*'Results'!$B$8))),"")</x:f>
        <x:v>3.9364796243846847</x:v>
      </x:c>
      <x:c r="P559" t="n">
        <x:f>IF(AND(MAX(J559,J558)&gt;0,J559&gt;J558+0.00000001),1,0)</x:f>
        <x:v>0</x:v>
      </x:c>
      <x:c r="Q559" t="n">
        <x:f>IF(AND(MAX(K559,K558)&gt;0,K559&gt;K558+0.00000001),1,0)</x:f>
        <x:v>0</x:v>
      </x:c>
      <x:c r="R559" t="n">
        <x:f>IF(AND(MAX(L559,L558)&gt;0,L559&gt;L558+0.00000001),1,0)</x:f>
        <x:v>0</x:v>
      </x:c>
      <x:c r="S559" t="n">
        <x:f>IF(AND(MAX(M559,M558)&gt;0,M559&gt;M558+0.00000001),1,0)</x:f>
        <x:v>0</x:v>
      </x:c>
      <x:c r="T559" t="n">
        <x:f>IF(AND(MAX(N559,N558)&gt;0,N559&gt;N558+0.00000001),1,0)</x:f>
        <x:v>0</x:v>
      </x:c>
      <x:c r="U559" t="n">
        <x:f>IF(AND(MAX(O559,O558)&gt;0,O559&gt;O558+0.00000001),1,0)</x:f>
        <x:v>0</x:v>
      </x:c>
    </x:row>
    <x:row r="560">
      <x:c r="J560" t="n">
        <x:f>IF(AND(ISNUMBER('Results'!B7),ISNUMBER('Results'!C7),ISNUMBER('Results'!$B$8),ISNUMBER('Inputs'!$B$6),ISNUMBER('Inputs'!$B$7),ISNUMBER('Inputs'!$B$8),ISNUMBER('Inputs'!$B$9),ISNUMBER('Inputs'!$B$10),ISNUMBER('Inputs'!$B$21),ISNUMBER('Inputs'!$B$24),ISNUMBER('Inputs'!$B$28)),(('Results'!B7*(0.5*((((560-43)*MAX('Inputs'!$B$33,'Inputs'!$B$29+'Inputs'!$B$31+'Inputs'!$B$32,'Inputs'!$B$30+'Inputs'!$B$31+'Inputs'!$B$32)/1000+'Inputs'!$B$21)+'Inputs'!$B$7)/SQRT((((560-43)*MAX('Inputs'!$B$33,'Inputs'!$B$29+'Inputs'!$B$31+'Inputs'!$B$32,'Inputs'!$B$30+'Inputs'!$B$31+'Inputs'!$B$32)/1000+'Inputs'!$B$21)+'Inputs'!$B$7)^2+('Inputs'!$B$6/2)^2)-(((560-43)*MAX('Inputs'!$B$33,'Inputs'!$B$29+'Inputs'!$B$31+'Inputs'!$B$32,'Inputs'!$B$30+'Inputs'!$B$31+'Inputs'!$B$32)/1000+'Inputs'!$B$21))/SQRT((((560-43)*MAX('Inputs'!$B$33,'Inputs'!$B$29+'Inputs'!$B$31+'Inputs'!$B$32,'Inputs'!$B$30+'Inputs'!$B$31+'Inputs'!$B$32)/1000+'Inputs'!$B$21))^2+('Inputs'!$B$6/2)^2)))-'Results'!C7*(0.5*((((560-43)*MAX('Inputs'!$B$33,'Inputs'!$B$29+'Inputs'!$B$31+'Inputs'!$B$32,'Inputs'!$B$30+'Inputs'!$B$31+'Inputs'!$B$32)/1000+'Inputs'!$B$21+'Inputs'!$B$7+'Inputs'!$B$10)+'Inputs'!$B$9)/SQRT((((560-43)*MAX('Inputs'!$B$33,'Inputs'!$B$29+'Inputs'!$B$31+'Inputs'!$B$32,'Inputs'!$B$30+'Inputs'!$B$31+'Inputs'!$B$32)/1000+'Inputs'!$B$21+'Inputs'!$B$7+'Inputs'!$B$10)+'Inputs'!$B$9)^2+('Inputs'!$B$8/2)^2)-(((560-43)*MAX('Inputs'!$B$33,'Inputs'!$B$29+'Inputs'!$B$31+'Inputs'!$B$32,'Inputs'!$B$30+'Inputs'!$B$31+'Inputs'!$B$32)/1000+'Inputs'!$B$21+'Inputs'!$B$7+'Inputs'!$B$10))/SQRT((((560-43)*MAX('Inputs'!$B$33,'Inputs'!$B$29+'Inputs'!$B$31+'Inputs'!$B$32,'Inputs'!$B$30+'Inputs'!$B$31+'Inputs'!$B$32)/1000+'Inputs'!$B$21+'Inputs'!$B$7+'Inputs'!$B$10))^2+('Inputs'!$B$8/2)^2))))*'Results'!$B$8),"")</x:f>
        <x:v>3.727541617151674</x:v>
      </x:c>
      <x:c r="K560" t="n">
        <x:f>IF(AND(ISNUMBER('Results'!B7),ISNUMBER('Results'!C7),ISNUMBER('Results'!$B$8),ISNUMBER('Inputs'!$B$6),ISNUMBER('Inputs'!$B$7),ISNUMBER('Inputs'!$B$8),ISNUMBER('Inputs'!$B$9),ISNUMBER('Inputs'!$B$10),ISNUMBER('Inputs'!$B$21),ISNUMBER('Inputs'!$B$24),ISNUMBER('Inputs'!$B$28)),((('Results'!B7*(1-'Inputs'!$B$24)*(0.5*((((560-43)*MAX('Inputs'!$B$33,'Inputs'!$B$29+'Inputs'!$B$31+'Inputs'!$B$32,'Inputs'!$B$30+'Inputs'!$B$31+'Inputs'!$B$32)/1000+'Inputs'!$B$21)+'Inputs'!$B$7)/SQRT((((560-43)*MAX('Inputs'!$B$33,'Inputs'!$B$29+'Inputs'!$B$31+'Inputs'!$B$32,'Inputs'!$B$30+'Inputs'!$B$31+'Inputs'!$B$32)/1000+'Inputs'!$B$21)+'Inputs'!$B$7)^2+('Inputs'!$B$6/2)^2)-(((560-43)*MAX('Inputs'!$B$33,'Inputs'!$B$29+'Inputs'!$B$31+'Inputs'!$B$32,'Inputs'!$B$30+'Inputs'!$B$31+'Inputs'!$B$32)/1000+'Inputs'!$B$21))/SQRT((((560-43)*MAX('Inputs'!$B$33,'Inputs'!$B$29+'Inputs'!$B$31+'Inputs'!$B$32,'Inputs'!$B$30+'Inputs'!$B$31+'Inputs'!$B$32)/1000+'Inputs'!$B$21))^2+('Inputs'!$B$6/2)^2)))-'Results'!C7*(1+'Inputs'!$B$24)*(0.5*((((560-43)*MAX('Inputs'!$B$33,'Inputs'!$B$29+'Inputs'!$B$31+'Inputs'!$B$32,'Inputs'!$B$30+'Inputs'!$B$31+'Inputs'!$B$32)/1000+'Inputs'!$B$21+'Inputs'!$B$7+'Inputs'!$B$10)+'Inputs'!$B$9)/SQRT((((560-43)*MAX('Inputs'!$B$33,'Inputs'!$B$29+'Inputs'!$B$31+'Inputs'!$B$32,'Inputs'!$B$30+'Inputs'!$B$31+'Inputs'!$B$32)/1000+'Inputs'!$B$21+'Inputs'!$B$7+'Inputs'!$B$10)+'Inputs'!$B$9)^2+('Inputs'!$B$8/2)^2)-(((560-43)*MAX('Inputs'!$B$33,'Inputs'!$B$29+'Inputs'!$B$31+'Inputs'!$B$32,'Inputs'!$B$30+'Inputs'!$B$31+'Inputs'!$B$32)/1000+'Inputs'!$B$21+'Inputs'!$B$7+'Inputs'!$B$10))/SQRT((((560-43)*MAX('Inputs'!$B$33,'Inputs'!$B$29+'Inputs'!$B$31+'Inputs'!$B$32,'Inputs'!$B$30+'Inputs'!$B$31+'Inputs'!$B$32)/1000+'Inputs'!$B$21+'Inputs'!$B$7+'Inputs'!$B$10))^2+('Inputs'!$B$8/2)^2))))*'Results'!$B$8)-'Inputs'!$B$28*ABS((('Results'!B7*(1-'Inputs'!$B$24)*(0.5*((((560-43)*MAX('Inputs'!$B$33,'Inputs'!$B$29+'Inputs'!$B$31+'Inputs'!$B$32,'Inputs'!$B$30+'Inputs'!$B$31+'Inputs'!$B$32)/1000+'Inputs'!$B$21)+'Inputs'!$B$7)/SQRT((((560-43)*MAX('Inputs'!$B$33,'Inputs'!$B$29+'Inputs'!$B$31+'Inputs'!$B$32,'Inputs'!$B$30+'Inputs'!$B$31+'Inputs'!$B$32)/1000+'Inputs'!$B$21)+'Inputs'!$B$7)^2+('Inputs'!$B$6/2)^2)-(((560-43)*MAX('Inputs'!$B$33,'Inputs'!$B$29+'Inputs'!$B$31+'Inputs'!$B$32,'Inputs'!$B$30+'Inputs'!$B$31+'Inputs'!$B$32)/1000+'Inputs'!$B$21))/SQRT((((560-43)*MAX('Inputs'!$B$33,'Inputs'!$B$29+'Inputs'!$B$31+'Inputs'!$B$32,'Inputs'!$B$30+'Inputs'!$B$31+'Inputs'!$B$32)/1000+'Inputs'!$B$21))^2+('Inputs'!$B$6/2)^2)))-'Results'!C7*(1+'Inputs'!$B$24)*(0.5*((((560-43)*MAX('Inputs'!$B$33,'Inputs'!$B$29+'Inputs'!$B$31+'Inputs'!$B$32,'Inputs'!$B$30+'Inputs'!$B$31+'Inputs'!$B$32)/1000+'Inputs'!$B$21+'Inputs'!$B$7+'Inputs'!$B$10)+'Inputs'!$B$9)/SQRT((((560-43)*MAX('Inputs'!$B$33,'Inputs'!$B$29+'Inputs'!$B$31+'Inputs'!$B$32,'Inputs'!$B$30+'Inputs'!$B$31+'Inputs'!$B$32)/1000+'Inputs'!$B$21+'Inputs'!$B$7+'Inputs'!$B$10)+'Inputs'!$B$9)^2+('Inputs'!$B$8/2)^2)-(((560-43)*MAX('Inputs'!$B$33,'Inputs'!$B$29+'Inputs'!$B$31+'Inputs'!$B$32,'Inputs'!$B$30+'Inputs'!$B$31+'Inputs'!$B$32)/1000+'Inputs'!$B$21+'Inputs'!$B$7+'Inputs'!$B$10))/SQRT((((560-43)*MAX('Inputs'!$B$33,'Inputs'!$B$29+'Inputs'!$B$31+'Inputs'!$B$32,'Inputs'!$B$30+'Inputs'!$B$31+'Inputs'!$B$32)/1000+'Inputs'!$B$21+'Inputs'!$B$7+'Inputs'!$B$10))^2+('Inputs'!$B$8/2)^2))))*'Results'!$B$8))),"")</x:f>
        <x:v>3.2947636415300425</x:v>
      </x:c>
      <x:c r="L560" t="n">
        <x:f>IF(AND(ISNUMBER('Results'!B7),ISNUMBER('Results'!C7),ISNUMBER('Results'!$B$8),ISNUMBER('Inputs'!$B$6),ISNUMBER('Inputs'!$B$7),ISNUMBER('Inputs'!$B$8),ISNUMBER('Inputs'!$B$9),ISNUMBER('Inputs'!$B$10),ISNUMBER('Inputs'!$B$21),ISNUMBER('Inputs'!$B$24),ISNUMBER('Inputs'!$B$28)),((('Results'!B7*(1+'Inputs'!$B$24)*(0.5*((((560-43)*MAX('Inputs'!$B$33,'Inputs'!$B$29+'Inputs'!$B$31+'Inputs'!$B$32,'Inputs'!$B$30+'Inputs'!$B$31+'Inputs'!$B$32)/1000+'Inputs'!$B$21)+'Inputs'!$B$7)/SQRT((((560-43)*MAX('Inputs'!$B$33,'Inputs'!$B$29+'Inputs'!$B$31+'Inputs'!$B$32,'Inputs'!$B$30+'Inputs'!$B$31+'Inputs'!$B$32)/1000+'Inputs'!$B$21)+'Inputs'!$B$7)^2+('Inputs'!$B$6/2)^2)-(((560-43)*MAX('Inputs'!$B$33,'Inputs'!$B$29+'Inputs'!$B$31+'Inputs'!$B$32,'Inputs'!$B$30+'Inputs'!$B$31+'Inputs'!$B$32)/1000+'Inputs'!$B$21))/SQRT((((560-43)*MAX('Inputs'!$B$33,'Inputs'!$B$29+'Inputs'!$B$31+'Inputs'!$B$32,'Inputs'!$B$30+'Inputs'!$B$31+'Inputs'!$B$32)/1000+'Inputs'!$B$21))^2+('Inputs'!$B$6/2)^2)))-'Results'!C7*(1-'Inputs'!$B$24)*(0.5*((((560-43)*MAX('Inputs'!$B$33,'Inputs'!$B$29+'Inputs'!$B$31+'Inputs'!$B$32,'Inputs'!$B$30+'Inputs'!$B$31+'Inputs'!$B$32)/1000+'Inputs'!$B$21+'Inputs'!$B$7+'Inputs'!$B$10)+'Inputs'!$B$9)/SQRT((((560-43)*MAX('Inputs'!$B$33,'Inputs'!$B$29+'Inputs'!$B$31+'Inputs'!$B$32,'Inputs'!$B$30+'Inputs'!$B$31+'Inputs'!$B$32)/1000+'Inputs'!$B$21+'Inputs'!$B$7+'Inputs'!$B$10)+'Inputs'!$B$9)^2+('Inputs'!$B$8/2)^2)-(((560-43)*MAX('Inputs'!$B$33,'Inputs'!$B$29+'Inputs'!$B$31+'Inputs'!$B$32,'Inputs'!$B$30+'Inputs'!$B$31+'Inputs'!$B$32)/1000+'Inputs'!$B$21+'Inputs'!$B$7+'Inputs'!$B$10))/SQRT((((560-43)*MAX('Inputs'!$B$33,'Inputs'!$B$29+'Inputs'!$B$31+'Inputs'!$B$32,'Inputs'!$B$30+'Inputs'!$B$31+'Inputs'!$B$32)/1000+'Inputs'!$B$21+'Inputs'!$B$7+'Inputs'!$B$10))^2+('Inputs'!$B$8/2)^2))))*'Results'!$B$8)+'Inputs'!$B$28*ABS((('Results'!B7*(1+'Inputs'!$B$24)*(0.5*((((560-43)*MAX('Inputs'!$B$33,'Inputs'!$B$29+'Inputs'!$B$31+'Inputs'!$B$32,'Inputs'!$B$30+'Inputs'!$B$31+'Inputs'!$B$32)/1000+'Inputs'!$B$21)+'Inputs'!$B$7)/SQRT((((560-43)*MAX('Inputs'!$B$33,'Inputs'!$B$29+'Inputs'!$B$31+'Inputs'!$B$32,'Inputs'!$B$30+'Inputs'!$B$31+'Inputs'!$B$32)/1000+'Inputs'!$B$21)+'Inputs'!$B$7)^2+('Inputs'!$B$6/2)^2)-(((560-43)*MAX('Inputs'!$B$33,'Inputs'!$B$29+'Inputs'!$B$31+'Inputs'!$B$32,'Inputs'!$B$30+'Inputs'!$B$31+'Inputs'!$B$32)/1000+'Inputs'!$B$21))/SQRT((((560-43)*MAX('Inputs'!$B$33,'Inputs'!$B$29+'Inputs'!$B$31+'Inputs'!$B$32,'Inputs'!$B$30+'Inputs'!$B$31+'Inputs'!$B$32)/1000+'Inputs'!$B$21))^2+('Inputs'!$B$6/2)^2)))-'Results'!C7*(1-'Inputs'!$B$24)*(0.5*((((560-43)*MAX('Inputs'!$B$33,'Inputs'!$B$29+'Inputs'!$B$31+'Inputs'!$B$32,'Inputs'!$B$30+'Inputs'!$B$31+'Inputs'!$B$32)/1000+'Inputs'!$B$21+'Inputs'!$B$7+'Inputs'!$B$10)+'Inputs'!$B$9)/SQRT((((560-43)*MAX('Inputs'!$B$33,'Inputs'!$B$29+'Inputs'!$B$31+'Inputs'!$B$32,'Inputs'!$B$30+'Inputs'!$B$31+'Inputs'!$B$32)/1000+'Inputs'!$B$21+'Inputs'!$B$7+'Inputs'!$B$10)+'Inputs'!$B$9)^2+('Inputs'!$B$8/2)^2)-(((560-43)*MAX('Inputs'!$B$33,'Inputs'!$B$29+'Inputs'!$B$31+'Inputs'!$B$32,'Inputs'!$B$30+'Inputs'!$B$31+'Inputs'!$B$32)/1000+'Inputs'!$B$21+'Inputs'!$B$7+'Inputs'!$B$10))/SQRT((((560-43)*MAX('Inputs'!$B$33,'Inputs'!$B$29+'Inputs'!$B$31+'Inputs'!$B$32,'Inputs'!$B$30+'Inputs'!$B$31+'Inputs'!$B$32)/1000+'Inputs'!$B$21+'Inputs'!$B$7+'Inputs'!$B$10))^2+('Inputs'!$B$8/2)^2))))*'Results'!$B$8))),"")</x:f>
        <x:v>4.186256529064257</x:v>
      </x:c>
      <x:c r="M560" t="n">
        <x:f>IF(AND(ISNUMBER('Results'!C7),ISNUMBER('Results'!B7),ISNUMBER('Results'!$B$8),ISNUMBER('Inputs'!$B$6),ISNUMBER('Inputs'!$B$7),ISNUMBER('Inputs'!$B$8),ISNUMBER('Inputs'!$B$9),ISNUMBER('Inputs'!$B$10),ISNUMBER('Inputs'!$B$21),ISNUMBER('Inputs'!$B$24),ISNUMBER('Inputs'!$B$28)),(('Results'!C7*(0.5*((((560-43)*MAX('Inputs'!$B$33,'Inputs'!$B$29+'Inputs'!$B$31+'Inputs'!$B$32,'Inputs'!$B$30+'Inputs'!$B$31+'Inputs'!$B$32)/1000+'Inputs'!$B$21)+'Inputs'!$B$9)/SQRT((((560-43)*MAX('Inputs'!$B$33,'Inputs'!$B$29+'Inputs'!$B$31+'Inputs'!$B$32,'Inputs'!$B$30+'Inputs'!$B$31+'Inputs'!$B$32)/1000+'Inputs'!$B$21)+'Inputs'!$B$9)^2+('Inputs'!$B$8/2)^2)-(((560-43)*MAX('Inputs'!$B$33,'Inputs'!$B$29+'Inputs'!$B$31+'Inputs'!$B$32,'Inputs'!$B$30+'Inputs'!$B$31+'Inputs'!$B$32)/1000+'Inputs'!$B$21))/SQRT((((560-43)*MAX('Inputs'!$B$33,'Inputs'!$B$29+'Inputs'!$B$31+'Inputs'!$B$32,'Inputs'!$B$30+'Inputs'!$B$31+'Inputs'!$B$32)/1000+'Inputs'!$B$21))^2+('Inputs'!$B$8/2)^2)))-'Results'!B7*(0.5*((((560-43)*MAX('Inputs'!$B$33,'Inputs'!$B$29+'Inputs'!$B$31+'Inputs'!$B$32,'Inputs'!$B$30+'Inputs'!$B$31+'Inputs'!$B$32)/1000+'Inputs'!$B$21+'Inputs'!$B$9+'Inputs'!$B$10)+'Inputs'!$B$7)/SQRT((((560-43)*MAX('Inputs'!$B$33,'Inputs'!$B$29+'Inputs'!$B$31+'Inputs'!$B$32,'Inputs'!$B$30+'Inputs'!$B$31+'Inputs'!$B$32)/1000+'Inputs'!$B$21+'Inputs'!$B$9+'Inputs'!$B$10)+'Inputs'!$B$7)^2+('Inputs'!$B$6/2)^2)-(((560-43)*MAX('Inputs'!$B$33,'Inputs'!$B$29+'Inputs'!$B$31+'Inputs'!$B$32,'Inputs'!$B$30+'Inputs'!$B$31+'Inputs'!$B$32)/1000+'Inputs'!$B$21+'Inputs'!$B$9+'Inputs'!$B$10))/SQRT((((560-43)*MAX('Inputs'!$B$33,'Inputs'!$B$29+'Inputs'!$B$31+'Inputs'!$B$32,'Inputs'!$B$30+'Inputs'!$B$31+'Inputs'!$B$32)/1000+'Inputs'!$B$21+'Inputs'!$B$9+'Inputs'!$B$10))^2+('Inputs'!$B$6/2)^2))))*'Results'!$B$8),"")</x:f>
        <x:v>3.466286350869024</x:v>
      </x:c>
      <x:c r="N560" t="n">
        <x:f>IF(AND(ISNUMBER('Results'!C7),ISNUMBER('Results'!B7),ISNUMBER('Results'!$B$8),ISNUMBER('Inputs'!$B$6),ISNUMBER('Inputs'!$B$7),ISNUMBER('Inputs'!$B$8),ISNUMBER('Inputs'!$B$9),ISNUMBER('Inputs'!$B$10),ISNUMBER('Inputs'!$B$21),ISNUMBER('Inputs'!$B$24),ISNUMBER('Inputs'!$B$28)),((('Results'!C7*(1-'Inputs'!$B$24)*(0.5*((((560-43)*MAX('Inputs'!$B$33,'Inputs'!$B$29+'Inputs'!$B$31+'Inputs'!$B$32,'Inputs'!$B$30+'Inputs'!$B$31+'Inputs'!$B$32)/1000+'Inputs'!$B$21)+'Inputs'!$B$9)/SQRT((((560-43)*MAX('Inputs'!$B$33,'Inputs'!$B$29+'Inputs'!$B$31+'Inputs'!$B$32,'Inputs'!$B$30+'Inputs'!$B$31+'Inputs'!$B$32)/1000+'Inputs'!$B$21)+'Inputs'!$B$9)^2+('Inputs'!$B$8/2)^2)-(((560-43)*MAX('Inputs'!$B$33,'Inputs'!$B$29+'Inputs'!$B$31+'Inputs'!$B$32,'Inputs'!$B$30+'Inputs'!$B$31+'Inputs'!$B$32)/1000+'Inputs'!$B$21))/SQRT((((560-43)*MAX('Inputs'!$B$33,'Inputs'!$B$29+'Inputs'!$B$31+'Inputs'!$B$32,'Inputs'!$B$30+'Inputs'!$B$31+'Inputs'!$B$32)/1000+'Inputs'!$B$21))^2+('Inputs'!$B$8/2)^2)))-'Results'!B7*(1+'Inputs'!$B$24)*(0.5*((((560-43)*MAX('Inputs'!$B$33,'Inputs'!$B$29+'Inputs'!$B$31+'Inputs'!$B$32,'Inputs'!$B$30+'Inputs'!$B$31+'Inputs'!$B$32)/1000+'Inputs'!$B$21+'Inputs'!$B$9+'Inputs'!$B$10)+'Inputs'!$B$7)/SQRT((((560-43)*MAX('Inputs'!$B$33,'Inputs'!$B$29+'Inputs'!$B$31+'Inputs'!$B$32,'Inputs'!$B$30+'Inputs'!$B$31+'Inputs'!$B$32)/1000+'Inputs'!$B$21+'Inputs'!$B$9+'Inputs'!$B$10)+'Inputs'!$B$7)^2+('Inputs'!$B$6/2)^2)-(((560-43)*MAX('Inputs'!$B$33,'Inputs'!$B$29+'Inputs'!$B$31+'Inputs'!$B$32,'Inputs'!$B$30+'Inputs'!$B$31+'Inputs'!$B$32)/1000+'Inputs'!$B$21+'Inputs'!$B$9+'Inputs'!$B$10))/SQRT((((560-43)*MAX('Inputs'!$B$33,'Inputs'!$B$29+'Inputs'!$B$31+'Inputs'!$B$32,'Inputs'!$B$30+'Inputs'!$B$31+'Inputs'!$B$32)/1000+'Inputs'!$B$21+'Inputs'!$B$9+'Inputs'!$B$10))^2+('Inputs'!$B$6/2)^2))))*'Results'!$B$8)-'Inputs'!$B$28*ABS((('Results'!C7*(1-'Inputs'!$B$24)*(0.5*((((560-43)*MAX('Inputs'!$B$33,'Inputs'!$B$29+'Inputs'!$B$31+'Inputs'!$B$32,'Inputs'!$B$30+'Inputs'!$B$31+'Inputs'!$B$32)/1000+'Inputs'!$B$21)+'Inputs'!$B$9)/SQRT((((560-43)*MAX('Inputs'!$B$33,'Inputs'!$B$29+'Inputs'!$B$31+'Inputs'!$B$32,'Inputs'!$B$30+'Inputs'!$B$31+'Inputs'!$B$32)/1000+'Inputs'!$B$21)+'Inputs'!$B$9)^2+('Inputs'!$B$8/2)^2)-(((560-43)*MAX('Inputs'!$B$33,'Inputs'!$B$29+'Inputs'!$B$31+'Inputs'!$B$32,'Inputs'!$B$30+'Inputs'!$B$31+'Inputs'!$B$32)/1000+'Inputs'!$B$21))/SQRT((((560-43)*MAX('Inputs'!$B$33,'Inputs'!$B$29+'Inputs'!$B$31+'Inputs'!$B$32,'Inputs'!$B$30+'Inputs'!$B$31+'Inputs'!$B$32)/1000+'Inputs'!$B$21))^2+('Inputs'!$B$8/2)^2)))-'Results'!B7*(1+'Inputs'!$B$24)*(0.5*((((560-43)*MAX('Inputs'!$B$33,'Inputs'!$B$29+'Inputs'!$B$31+'Inputs'!$B$32,'Inputs'!$B$30+'Inputs'!$B$31+'Inputs'!$B$32)/1000+'Inputs'!$B$21+'Inputs'!$B$9+'Inputs'!$B$10)+'Inputs'!$B$7)/SQRT((((560-43)*MAX('Inputs'!$B$33,'Inputs'!$B$29+'Inputs'!$B$31+'Inputs'!$B$32,'Inputs'!$B$30+'Inputs'!$B$31+'Inputs'!$B$32)/1000+'Inputs'!$B$21+'Inputs'!$B$9+'Inputs'!$B$10)+'Inputs'!$B$7)^2+('Inputs'!$B$6/2)^2)-(((560-43)*MAX('Inputs'!$B$33,'Inputs'!$B$29+'Inputs'!$B$31+'Inputs'!$B$32,'Inputs'!$B$30+'Inputs'!$B$31+'Inputs'!$B$32)/1000+'Inputs'!$B$21+'Inputs'!$B$9+'Inputs'!$B$10))/SQRT((((560-43)*MAX('Inputs'!$B$33,'Inputs'!$B$29+'Inputs'!$B$31+'Inputs'!$B$32,'Inputs'!$B$30+'Inputs'!$B$31+'Inputs'!$B$32)/1000+'Inputs'!$B$21+'Inputs'!$B$9+'Inputs'!$B$10))^2+('Inputs'!$B$6/2)^2))))*'Results'!$B$8))),"")</x:f>
        <x:v>3.047951772211953</x:v>
      </x:c>
      <x:c r="O560" t="n">
        <x:f>IF(AND(ISNUMBER('Results'!C7),ISNUMBER('Results'!B7),ISNUMBER('Results'!$B$8),ISNUMBER('Inputs'!$B$6),ISNUMBER('Inputs'!$B$7),ISNUMBER('Inputs'!$B$8),ISNUMBER('Inputs'!$B$9),ISNUMBER('Inputs'!$B$10),ISNUMBER('Inputs'!$B$21),ISNUMBER('Inputs'!$B$24),ISNUMBER('Inputs'!$B$28)),((('Results'!C7*(1+'Inputs'!$B$24)*(0.5*((((560-43)*MAX('Inputs'!$B$33,'Inputs'!$B$29+'Inputs'!$B$31+'Inputs'!$B$32,'Inputs'!$B$30+'Inputs'!$B$31+'Inputs'!$B$32)/1000+'Inputs'!$B$21)+'Inputs'!$B$9)/SQRT((((560-43)*MAX('Inputs'!$B$33,'Inputs'!$B$29+'Inputs'!$B$31+'Inputs'!$B$32,'Inputs'!$B$30+'Inputs'!$B$31+'Inputs'!$B$32)/1000+'Inputs'!$B$21)+'Inputs'!$B$9)^2+('Inputs'!$B$8/2)^2)-(((560-43)*MAX('Inputs'!$B$33,'Inputs'!$B$29+'Inputs'!$B$31+'Inputs'!$B$32,'Inputs'!$B$30+'Inputs'!$B$31+'Inputs'!$B$32)/1000+'Inputs'!$B$21))/SQRT((((560-43)*MAX('Inputs'!$B$33,'Inputs'!$B$29+'Inputs'!$B$31+'Inputs'!$B$32,'Inputs'!$B$30+'Inputs'!$B$31+'Inputs'!$B$32)/1000+'Inputs'!$B$21))^2+('Inputs'!$B$8/2)^2)))-'Results'!B7*(1-'Inputs'!$B$24)*(0.5*((((560-43)*MAX('Inputs'!$B$33,'Inputs'!$B$29+'Inputs'!$B$31+'Inputs'!$B$32,'Inputs'!$B$30+'Inputs'!$B$31+'Inputs'!$B$32)/1000+'Inputs'!$B$21+'Inputs'!$B$9+'Inputs'!$B$10)+'Inputs'!$B$7)/SQRT((((560-43)*MAX('Inputs'!$B$33,'Inputs'!$B$29+'Inputs'!$B$31+'Inputs'!$B$32,'Inputs'!$B$30+'Inputs'!$B$31+'Inputs'!$B$32)/1000+'Inputs'!$B$21+'Inputs'!$B$9+'Inputs'!$B$10)+'Inputs'!$B$7)^2+('Inputs'!$B$6/2)^2)-(((560-43)*MAX('Inputs'!$B$33,'Inputs'!$B$29+'Inputs'!$B$31+'Inputs'!$B$32,'Inputs'!$B$30+'Inputs'!$B$31+'Inputs'!$B$32)/1000+'Inputs'!$B$21+'Inputs'!$B$9+'Inputs'!$B$10))/SQRT((((560-43)*MAX('Inputs'!$B$33,'Inputs'!$B$29+'Inputs'!$B$31+'Inputs'!$B$32,'Inputs'!$B$30+'Inputs'!$B$31+'Inputs'!$B$32)/1000+'Inputs'!$B$21+'Inputs'!$B$9+'Inputs'!$B$10))^2+('Inputs'!$B$6/2)^2))))*'Results'!$B$8)+'Inputs'!$B$28*ABS((('Results'!C7*(1+'Inputs'!$B$24)*(0.5*((((560-43)*MAX('Inputs'!$B$33,'Inputs'!$B$29+'Inputs'!$B$31+'Inputs'!$B$32,'Inputs'!$B$30+'Inputs'!$B$31+'Inputs'!$B$32)/1000+'Inputs'!$B$21)+'Inputs'!$B$9)/SQRT((((560-43)*MAX('Inputs'!$B$33,'Inputs'!$B$29+'Inputs'!$B$31+'Inputs'!$B$32,'Inputs'!$B$30+'Inputs'!$B$31+'Inputs'!$B$32)/1000+'Inputs'!$B$21)+'Inputs'!$B$9)^2+('Inputs'!$B$8/2)^2)-(((560-43)*MAX('Inputs'!$B$33,'Inputs'!$B$29+'Inputs'!$B$31+'Inputs'!$B$32,'Inputs'!$B$30+'Inputs'!$B$31+'Inputs'!$B$32)/1000+'Inputs'!$B$21))/SQRT((((560-43)*MAX('Inputs'!$B$33,'Inputs'!$B$29+'Inputs'!$B$31+'Inputs'!$B$32,'Inputs'!$B$30+'Inputs'!$B$31+'Inputs'!$B$32)/1000+'Inputs'!$B$21))^2+('Inputs'!$B$8/2)^2)))-'Results'!B7*(1-'Inputs'!$B$24)*(0.5*((((560-43)*MAX('Inputs'!$B$33,'Inputs'!$B$29+'Inputs'!$B$31+'Inputs'!$B$32,'Inputs'!$B$30+'Inputs'!$B$31+'Inputs'!$B$32)/1000+'Inputs'!$B$21+'Inputs'!$B$9+'Inputs'!$B$10)+'Inputs'!$B$7)/SQRT((((560-43)*MAX('Inputs'!$B$33,'Inputs'!$B$29+'Inputs'!$B$31+'Inputs'!$B$32,'Inputs'!$B$30+'Inputs'!$B$31+'Inputs'!$B$32)/1000+'Inputs'!$B$21+'Inputs'!$B$9+'Inputs'!$B$10)+'Inputs'!$B$7)^2+('Inputs'!$B$6/2)^2)-(((560-43)*MAX('Inputs'!$B$33,'Inputs'!$B$29+'Inputs'!$B$31+'Inputs'!$B$32,'Inputs'!$B$30+'Inputs'!$B$31+'Inputs'!$B$32)/1000+'Inputs'!$B$21+'Inputs'!$B$9+'Inputs'!$B$10))/SQRT((((560-43)*MAX('Inputs'!$B$33,'Inputs'!$B$29+'Inputs'!$B$31+'Inputs'!$B$32,'Inputs'!$B$30+'Inputs'!$B$31+'Inputs'!$B$32)/1000+'Inputs'!$B$21+'Inputs'!$B$9+'Inputs'!$B$10))^2+('Inputs'!$B$6/2)^2))))*'Results'!$B$8))),"")</x:f>
        <x:v>3.910412535959106</x:v>
      </x:c>
      <x:c r="P560" t="n">
        <x:f>IF(AND(MAX(J560,J559)&gt;0,J560&gt;J559+0.00000001),1,0)</x:f>
        <x:v>0</x:v>
      </x:c>
      <x:c r="Q560" t="n">
        <x:f>IF(AND(MAX(K560,K559)&gt;0,K560&gt;K559+0.00000001),1,0)</x:f>
        <x:v>0</x:v>
      </x:c>
      <x:c r="R560" t="n">
        <x:f>IF(AND(MAX(L560,L559)&gt;0,L560&gt;L559+0.00000001),1,0)</x:f>
        <x:v>0</x:v>
      </x:c>
      <x:c r="S560" t="n">
        <x:f>IF(AND(MAX(M560,M559)&gt;0,M560&gt;M559+0.00000001),1,0)</x:f>
        <x:v>0</x:v>
      </x:c>
      <x:c r="T560" t="n">
        <x:f>IF(AND(MAX(N560,N559)&gt;0,N560&gt;N559+0.00000001),1,0)</x:f>
        <x:v>0</x:v>
      </x:c>
      <x:c r="U560" t="n">
        <x:f>IF(AND(MAX(O560,O559)&gt;0,O560&gt;O559+0.00000001),1,0)</x:f>
        <x:v>0</x:v>
      </x:c>
    </x:row>
    <x:row r="561">
      <x:c r="J561" t="n">
        <x:f>IF(AND(ISNUMBER('Results'!B7),ISNUMBER('Results'!C7),ISNUMBER('Results'!$B$8),ISNUMBER('Inputs'!$B$6),ISNUMBER('Inputs'!$B$7),ISNUMBER('Inputs'!$B$8),ISNUMBER('Inputs'!$B$9),ISNUMBER('Inputs'!$B$10),ISNUMBER('Inputs'!$B$21),ISNUMBER('Inputs'!$B$24),ISNUMBER('Inputs'!$B$28)),(('Results'!B7*(0.5*((((561-43)*MAX('Inputs'!$B$33,'Inputs'!$B$29+'Inputs'!$B$31+'Inputs'!$B$32,'Inputs'!$B$30+'Inputs'!$B$31+'Inputs'!$B$32)/1000+'Inputs'!$B$21)+'Inputs'!$B$7)/SQRT((((561-43)*MAX('Inputs'!$B$33,'Inputs'!$B$29+'Inputs'!$B$31+'Inputs'!$B$32,'Inputs'!$B$30+'Inputs'!$B$31+'Inputs'!$B$32)/1000+'Inputs'!$B$21)+'Inputs'!$B$7)^2+('Inputs'!$B$6/2)^2)-(((561-43)*MAX('Inputs'!$B$33,'Inputs'!$B$29+'Inputs'!$B$31+'Inputs'!$B$32,'Inputs'!$B$30+'Inputs'!$B$31+'Inputs'!$B$32)/1000+'Inputs'!$B$21))/SQRT((((561-43)*MAX('Inputs'!$B$33,'Inputs'!$B$29+'Inputs'!$B$31+'Inputs'!$B$32,'Inputs'!$B$30+'Inputs'!$B$31+'Inputs'!$B$32)/1000+'Inputs'!$B$21))^2+('Inputs'!$B$6/2)^2)))-'Results'!C7*(0.5*((((561-43)*MAX('Inputs'!$B$33,'Inputs'!$B$29+'Inputs'!$B$31+'Inputs'!$B$32,'Inputs'!$B$30+'Inputs'!$B$31+'Inputs'!$B$32)/1000+'Inputs'!$B$21+'Inputs'!$B$7+'Inputs'!$B$10)+'Inputs'!$B$9)/SQRT((((561-43)*MAX('Inputs'!$B$33,'Inputs'!$B$29+'Inputs'!$B$31+'Inputs'!$B$32,'Inputs'!$B$30+'Inputs'!$B$31+'Inputs'!$B$32)/1000+'Inputs'!$B$21+'Inputs'!$B$7+'Inputs'!$B$10)+'Inputs'!$B$9)^2+('Inputs'!$B$8/2)^2)-(((561-43)*MAX('Inputs'!$B$33,'Inputs'!$B$29+'Inputs'!$B$31+'Inputs'!$B$32,'Inputs'!$B$30+'Inputs'!$B$31+'Inputs'!$B$32)/1000+'Inputs'!$B$21+'Inputs'!$B$7+'Inputs'!$B$10))/SQRT((((561-43)*MAX('Inputs'!$B$33,'Inputs'!$B$29+'Inputs'!$B$31+'Inputs'!$B$32,'Inputs'!$B$30+'Inputs'!$B$31+'Inputs'!$B$32)/1000+'Inputs'!$B$21+'Inputs'!$B$7+'Inputs'!$B$10))^2+('Inputs'!$B$8/2)^2))))*'Results'!$B$8),"")</x:f>
        <x:v>3.702903082783543</x:v>
      </x:c>
      <x:c r="K561" t="n">
        <x:f>IF(AND(ISNUMBER('Results'!B7),ISNUMBER('Results'!C7),ISNUMBER('Results'!$B$8),ISNUMBER('Inputs'!$B$6),ISNUMBER('Inputs'!$B$7),ISNUMBER('Inputs'!$B$8),ISNUMBER('Inputs'!$B$9),ISNUMBER('Inputs'!$B$10),ISNUMBER('Inputs'!$B$21),ISNUMBER('Inputs'!$B$24),ISNUMBER('Inputs'!$B$28)),((('Results'!B7*(1-'Inputs'!$B$24)*(0.5*((((561-43)*MAX('Inputs'!$B$33,'Inputs'!$B$29+'Inputs'!$B$31+'Inputs'!$B$32,'Inputs'!$B$30+'Inputs'!$B$31+'Inputs'!$B$32)/1000+'Inputs'!$B$21)+'Inputs'!$B$7)/SQRT((((561-43)*MAX('Inputs'!$B$33,'Inputs'!$B$29+'Inputs'!$B$31+'Inputs'!$B$32,'Inputs'!$B$30+'Inputs'!$B$31+'Inputs'!$B$32)/1000+'Inputs'!$B$21)+'Inputs'!$B$7)^2+('Inputs'!$B$6/2)^2)-(((561-43)*MAX('Inputs'!$B$33,'Inputs'!$B$29+'Inputs'!$B$31+'Inputs'!$B$32,'Inputs'!$B$30+'Inputs'!$B$31+'Inputs'!$B$32)/1000+'Inputs'!$B$21))/SQRT((((561-43)*MAX('Inputs'!$B$33,'Inputs'!$B$29+'Inputs'!$B$31+'Inputs'!$B$32,'Inputs'!$B$30+'Inputs'!$B$31+'Inputs'!$B$32)/1000+'Inputs'!$B$21))^2+('Inputs'!$B$6/2)^2)))-'Results'!C7*(1+'Inputs'!$B$24)*(0.5*((((561-43)*MAX('Inputs'!$B$33,'Inputs'!$B$29+'Inputs'!$B$31+'Inputs'!$B$32,'Inputs'!$B$30+'Inputs'!$B$31+'Inputs'!$B$32)/1000+'Inputs'!$B$21+'Inputs'!$B$7+'Inputs'!$B$10)+'Inputs'!$B$9)/SQRT((((561-43)*MAX('Inputs'!$B$33,'Inputs'!$B$29+'Inputs'!$B$31+'Inputs'!$B$32,'Inputs'!$B$30+'Inputs'!$B$31+'Inputs'!$B$32)/1000+'Inputs'!$B$21+'Inputs'!$B$7+'Inputs'!$B$10)+'Inputs'!$B$9)^2+('Inputs'!$B$8/2)^2)-(((561-43)*MAX('Inputs'!$B$33,'Inputs'!$B$29+'Inputs'!$B$31+'Inputs'!$B$32,'Inputs'!$B$30+'Inputs'!$B$31+'Inputs'!$B$32)/1000+'Inputs'!$B$21+'Inputs'!$B$7+'Inputs'!$B$10))/SQRT((((561-43)*MAX('Inputs'!$B$33,'Inputs'!$B$29+'Inputs'!$B$31+'Inputs'!$B$32,'Inputs'!$B$30+'Inputs'!$B$31+'Inputs'!$B$32)/1000+'Inputs'!$B$21+'Inputs'!$B$7+'Inputs'!$B$10))^2+('Inputs'!$B$8/2)^2))))*'Results'!$B$8)-'Inputs'!$B$28*ABS((('Results'!B7*(1-'Inputs'!$B$24)*(0.5*((((561-43)*MAX('Inputs'!$B$33,'Inputs'!$B$29+'Inputs'!$B$31+'Inputs'!$B$32,'Inputs'!$B$30+'Inputs'!$B$31+'Inputs'!$B$32)/1000+'Inputs'!$B$21)+'Inputs'!$B$7)/SQRT((((561-43)*MAX('Inputs'!$B$33,'Inputs'!$B$29+'Inputs'!$B$31+'Inputs'!$B$32,'Inputs'!$B$30+'Inputs'!$B$31+'Inputs'!$B$32)/1000+'Inputs'!$B$21)+'Inputs'!$B$7)^2+('Inputs'!$B$6/2)^2)-(((561-43)*MAX('Inputs'!$B$33,'Inputs'!$B$29+'Inputs'!$B$31+'Inputs'!$B$32,'Inputs'!$B$30+'Inputs'!$B$31+'Inputs'!$B$32)/1000+'Inputs'!$B$21))/SQRT((((561-43)*MAX('Inputs'!$B$33,'Inputs'!$B$29+'Inputs'!$B$31+'Inputs'!$B$32,'Inputs'!$B$30+'Inputs'!$B$31+'Inputs'!$B$32)/1000+'Inputs'!$B$21))^2+('Inputs'!$B$6/2)^2)))-'Results'!C7*(1+'Inputs'!$B$24)*(0.5*((((561-43)*MAX('Inputs'!$B$33,'Inputs'!$B$29+'Inputs'!$B$31+'Inputs'!$B$32,'Inputs'!$B$30+'Inputs'!$B$31+'Inputs'!$B$32)/1000+'Inputs'!$B$21+'Inputs'!$B$7+'Inputs'!$B$10)+'Inputs'!$B$9)/SQRT((((561-43)*MAX('Inputs'!$B$33,'Inputs'!$B$29+'Inputs'!$B$31+'Inputs'!$B$32,'Inputs'!$B$30+'Inputs'!$B$31+'Inputs'!$B$32)/1000+'Inputs'!$B$21+'Inputs'!$B$7+'Inputs'!$B$10)+'Inputs'!$B$9)^2+('Inputs'!$B$8/2)^2)-(((561-43)*MAX('Inputs'!$B$33,'Inputs'!$B$29+'Inputs'!$B$31+'Inputs'!$B$32,'Inputs'!$B$30+'Inputs'!$B$31+'Inputs'!$B$32)/1000+'Inputs'!$B$21+'Inputs'!$B$7+'Inputs'!$B$10))/SQRT((((561-43)*MAX('Inputs'!$B$33,'Inputs'!$B$29+'Inputs'!$B$31+'Inputs'!$B$32,'Inputs'!$B$30+'Inputs'!$B$31+'Inputs'!$B$32)/1000+'Inputs'!$B$21+'Inputs'!$B$7+'Inputs'!$B$10))^2+('Inputs'!$B$8/2)^2))))*'Results'!$B$8))),"")</x:f>
        <x:v>3.2726203311581976</x:v>
      </x:c>
      <x:c r="L561" t="n">
        <x:f>IF(AND(ISNUMBER('Results'!B7),ISNUMBER('Results'!C7),ISNUMBER('Results'!$B$8),ISNUMBER('Inputs'!$B$6),ISNUMBER('Inputs'!$B$7),ISNUMBER('Inputs'!$B$8),ISNUMBER('Inputs'!$B$9),ISNUMBER('Inputs'!$B$10),ISNUMBER('Inputs'!$B$21),ISNUMBER('Inputs'!$B$24),ISNUMBER('Inputs'!$B$28)),((('Results'!B7*(1+'Inputs'!$B$24)*(0.5*((((561-43)*MAX('Inputs'!$B$33,'Inputs'!$B$29+'Inputs'!$B$31+'Inputs'!$B$32,'Inputs'!$B$30+'Inputs'!$B$31+'Inputs'!$B$32)/1000+'Inputs'!$B$21)+'Inputs'!$B$7)/SQRT((((561-43)*MAX('Inputs'!$B$33,'Inputs'!$B$29+'Inputs'!$B$31+'Inputs'!$B$32,'Inputs'!$B$30+'Inputs'!$B$31+'Inputs'!$B$32)/1000+'Inputs'!$B$21)+'Inputs'!$B$7)^2+('Inputs'!$B$6/2)^2)-(((561-43)*MAX('Inputs'!$B$33,'Inputs'!$B$29+'Inputs'!$B$31+'Inputs'!$B$32,'Inputs'!$B$30+'Inputs'!$B$31+'Inputs'!$B$32)/1000+'Inputs'!$B$21))/SQRT((((561-43)*MAX('Inputs'!$B$33,'Inputs'!$B$29+'Inputs'!$B$31+'Inputs'!$B$32,'Inputs'!$B$30+'Inputs'!$B$31+'Inputs'!$B$32)/1000+'Inputs'!$B$21))^2+('Inputs'!$B$6/2)^2)))-'Results'!C7*(1-'Inputs'!$B$24)*(0.5*((((561-43)*MAX('Inputs'!$B$33,'Inputs'!$B$29+'Inputs'!$B$31+'Inputs'!$B$32,'Inputs'!$B$30+'Inputs'!$B$31+'Inputs'!$B$32)/1000+'Inputs'!$B$21+'Inputs'!$B$7+'Inputs'!$B$10)+'Inputs'!$B$9)/SQRT((((561-43)*MAX('Inputs'!$B$33,'Inputs'!$B$29+'Inputs'!$B$31+'Inputs'!$B$32,'Inputs'!$B$30+'Inputs'!$B$31+'Inputs'!$B$32)/1000+'Inputs'!$B$21+'Inputs'!$B$7+'Inputs'!$B$10)+'Inputs'!$B$9)^2+('Inputs'!$B$8/2)^2)-(((561-43)*MAX('Inputs'!$B$33,'Inputs'!$B$29+'Inputs'!$B$31+'Inputs'!$B$32,'Inputs'!$B$30+'Inputs'!$B$31+'Inputs'!$B$32)/1000+'Inputs'!$B$21+'Inputs'!$B$7+'Inputs'!$B$10))/SQRT((((561-43)*MAX('Inputs'!$B$33,'Inputs'!$B$29+'Inputs'!$B$31+'Inputs'!$B$32,'Inputs'!$B$30+'Inputs'!$B$31+'Inputs'!$B$32)/1000+'Inputs'!$B$21+'Inputs'!$B$7+'Inputs'!$B$10))^2+('Inputs'!$B$8/2)^2))))*'Results'!$B$8)+'Inputs'!$B$28*ABS((('Results'!B7*(1+'Inputs'!$B$24)*(0.5*((((561-43)*MAX('Inputs'!$B$33,'Inputs'!$B$29+'Inputs'!$B$31+'Inputs'!$B$32,'Inputs'!$B$30+'Inputs'!$B$31+'Inputs'!$B$32)/1000+'Inputs'!$B$21)+'Inputs'!$B$7)/SQRT((((561-43)*MAX('Inputs'!$B$33,'Inputs'!$B$29+'Inputs'!$B$31+'Inputs'!$B$32,'Inputs'!$B$30+'Inputs'!$B$31+'Inputs'!$B$32)/1000+'Inputs'!$B$21)+'Inputs'!$B$7)^2+('Inputs'!$B$6/2)^2)-(((561-43)*MAX('Inputs'!$B$33,'Inputs'!$B$29+'Inputs'!$B$31+'Inputs'!$B$32,'Inputs'!$B$30+'Inputs'!$B$31+'Inputs'!$B$32)/1000+'Inputs'!$B$21))/SQRT((((561-43)*MAX('Inputs'!$B$33,'Inputs'!$B$29+'Inputs'!$B$31+'Inputs'!$B$32,'Inputs'!$B$30+'Inputs'!$B$31+'Inputs'!$B$32)/1000+'Inputs'!$B$21))^2+('Inputs'!$B$6/2)^2)))-'Results'!C7*(1-'Inputs'!$B$24)*(0.5*((((561-43)*MAX('Inputs'!$B$33,'Inputs'!$B$29+'Inputs'!$B$31+'Inputs'!$B$32,'Inputs'!$B$30+'Inputs'!$B$31+'Inputs'!$B$32)/1000+'Inputs'!$B$21+'Inputs'!$B$7+'Inputs'!$B$10)+'Inputs'!$B$9)/SQRT((((561-43)*MAX('Inputs'!$B$33,'Inputs'!$B$29+'Inputs'!$B$31+'Inputs'!$B$32,'Inputs'!$B$30+'Inputs'!$B$31+'Inputs'!$B$32)/1000+'Inputs'!$B$21+'Inputs'!$B$7+'Inputs'!$B$10)+'Inputs'!$B$9)^2+('Inputs'!$B$8/2)^2)-(((561-43)*MAX('Inputs'!$B$33,'Inputs'!$B$29+'Inputs'!$B$31+'Inputs'!$B$32,'Inputs'!$B$30+'Inputs'!$B$31+'Inputs'!$B$32)/1000+'Inputs'!$B$21+'Inputs'!$B$7+'Inputs'!$B$10))/SQRT((((561-43)*MAX('Inputs'!$B$33,'Inputs'!$B$29+'Inputs'!$B$31+'Inputs'!$B$32,'Inputs'!$B$30+'Inputs'!$B$31+'Inputs'!$B$32)/1000+'Inputs'!$B$21+'Inputs'!$B$7+'Inputs'!$B$10))^2+('Inputs'!$B$8/2)^2))))*'Results'!$B$8))),"")</x:f>
        <x:v>4.158989792039015</x:v>
      </x:c>
      <x:c r="M561" t="n">
        <x:f>IF(AND(ISNUMBER('Results'!C7),ISNUMBER('Results'!B7),ISNUMBER('Results'!$B$8),ISNUMBER('Inputs'!$B$6),ISNUMBER('Inputs'!$B$7),ISNUMBER('Inputs'!$B$8),ISNUMBER('Inputs'!$B$9),ISNUMBER('Inputs'!$B$10),ISNUMBER('Inputs'!$B$21),ISNUMBER('Inputs'!$B$24),ISNUMBER('Inputs'!$B$28)),(('Results'!C7*(0.5*((((561-43)*MAX('Inputs'!$B$33,'Inputs'!$B$29+'Inputs'!$B$31+'Inputs'!$B$32,'Inputs'!$B$30+'Inputs'!$B$31+'Inputs'!$B$32)/1000+'Inputs'!$B$21)+'Inputs'!$B$9)/SQRT((((561-43)*MAX('Inputs'!$B$33,'Inputs'!$B$29+'Inputs'!$B$31+'Inputs'!$B$32,'Inputs'!$B$30+'Inputs'!$B$31+'Inputs'!$B$32)/1000+'Inputs'!$B$21)+'Inputs'!$B$9)^2+('Inputs'!$B$8/2)^2)-(((561-43)*MAX('Inputs'!$B$33,'Inputs'!$B$29+'Inputs'!$B$31+'Inputs'!$B$32,'Inputs'!$B$30+'Inputs'!$B$31+'Inputs'!$B$32)/1000+'Inputs'!$B$21))/SQRT((((561-43)*MAX('Inputs'!$B$33,'Inputs'!$B$29+'Inputs'!$B$31+'Inputs'!$B$32,'Inputs'!$B$30+'Inputs'!$B$31+'Inputs'!$B$32)/1000+'Inputs'!$B$21))^2+('Inputs'!$B$8/2)^2)))-'Results'!B7*(0.5*((((561-43)*MAX('Inputs'!$B$33,'Inputs'!$B$29+'Inputs'!$B$31+'Inputs'!$B$32,'Inputs'!$B$30+'Inputs'!$B$31+'Inputs'!$B$32)/1000+'Inputs'!$B$21+'Inputs'!$B$9+'Inputs'!$B$10)+'Inputs'!$B$7)/SQRT((((561-43)*MAX('Inputs'!$B$33,'Inputs'!$B$29+'Inputs'!$B$31+'Inputs'!$B$32,'Inputs'!$B$30+'Inputs'!$B$31+'Inputs'!$B$32)/1000+'Inputs'!$B$21+'Inputs'!$B$9+'Inputs'!$B$10)+'Inputs'!$B$7)^2+('Inputs'!$B$6/2)^2)-(((561-43)*MAX('Inputs'!$B$33,'Inputs'!$B$29+'Inputs'!$B$31+'Inputs'!$B$32,'Inputs'!$B$30+'Inputs'!$B$31+'Inputs'!$B$32)/1000+'Inputs'!$B$21+'Inputs'!$B$9+'Inputs'!$B$10))/SQRT((((561-43)*MAX('Inputs'!$B$33,'Inputs'!$B$29+'Inputs'!$B$31+'Inputs'!$B$32,'Inputs'!$B$30+'Inputs'!$B$31+'Inputs'!$B$32)/1000+'Inputs'!$B$21+'Inputs'!$B$9+'Inputs'!$B$10))^2+('Inputs'!$B$6/2)^2))))*'Results'!$B$8),"")</x:f>
        <x:v>3.442986144087971</x:v>
      </x:c>
      <x:c r="N561" t="n">
        <x:f>IF(AND(ISNUMBER('Results'!C7),ISNUMBER('Results'!B7),ISNUMBER('Results'!$B$8),ISNUMBER('Inputs'!$B$6),ISNUMBER('Inputs'!$B$7),ISNUMBER('Inputs'!$B$8),ISNUMBER('Inputs'!$B$9),ISNUMBER('Inputs'!$B$10),ISNUMBER('Inputs'!$B$21),ISNUMBER('Inputs'!$B$24),ISNUMBER('Inputs'!$B$28)),((('Results'!C7*(1-'Inputs'!$B$24)*(0.5*((((561-43)*MAX('Inputs'!$B$33,'Inputs'!$B$29+'Inputs'!$B$31+'Inputs'!$B$32,'Inputs'!$B$30+'Inputs'!$B$31+'Inputs'!$B$32)/1000+'Inputs'!$B$21)+'Inputs'!$B$9)/SQRT((((561-43)*MAX('Inputs'!$B$33,'Inputs'!$B$29+'Inputs'!$B$31+'Inputs'!$B$32,'Inputs'!$B$30+'Inputs'!$B$31+'Inputs'!$B$32)/1000+'Inputs'!$B$21)+'Inputs'!$B$9)^2+('Inputs'!$B$8/2)^2)-(((561-43)*MAX('Inputs'!$B$33,'Inputs'!$B$29+'Inputs'!$B$31+'Inputs'!$B$32,'Inputs'!$B$30+'Inputs'!$B$31+'Inputs'!$B$32)/1000+'Inputs'!$B$21))/SQRT((((561-43)*MAX('Inputs'!$B$33,'Inputs'!$B$29+'Inputs'!$B$31+'Inputs'!$B$32,'Inputs'!$B$30+'Inputs'!$B$31+'Inputs'!$B$32)/1000+'Inputs'!$B$21))^2+('Inputs'!$B$8/2)^2)))-'Results'!B7*(1+'Inputs'!$B$24)*(0.5*((((561-43)*MAX('Inputs'!$B$33,'Inputs'!$B$29+'Inputs'!$B$31+'Inputs'!$B$32,'Inputs'!$B$30+'Inputs'!$B$31+'Inputs'!$B$32)/1000+'Inputs'!$B$21+'Inputs'!$B$9+'Inputs'!$B$10)+'Inputs'!$B$7)/SQRT((((561-43)*MAX('Inputs'!$B$33,'Inputs'!$B$29+'Inputs'!$B$31+'Inputs'!$B$32,'Inputs'!$B$30+'Inputs'!$B$31+'Inputs'!$B$32)/1000+'Inputs'!$B$21+'Inputs'!$B$9+'Inputs'!$B$10)+'Inputs'!$B$7)^2+('Inputs'!$B$6/2)^2)-(((561-43)*MAX('Inputs'!$B$33,'Inputs'!$B$29+'Inputs'!$B$31+'Inputs'!$B$32,'Inputs'!$B$30+'Inputs'!$B$31+'Inputs'!$B$32)/1000+'Inputs'!$B$21+'Inputs'!$B$9+'Inputs'!$B$10))/SQRT((((561-43)*MAX('Inputs'!$B$33,'Inputs'!$B$29+'Inputs'!$B$31+'Inputs'!$B$32,'Inputs'!$B$30+'Inputs'!$B$31+'Inputs'!$B$32)/1000+'Inputs'!$B$21+'Inputs'!$B$9+'Inputs'!$B$10))^2+('Inputs'!$B$6/2)^2))))*'Results'!$B$8)-'Inputs'!$B$28*ABS((('Results'!C7*(1-'Inputs'!$B$24)*(0.5*((((561-43)*MAX('Inputs'!$B$33,'Inputs'!$B$29+'Inputs'!$B$31+'Inputs'!$B$32,'Inputs'!$B$30+'Inputs'!$B$31+'Inputs'!$B$32)/1000+'Inputs'!$B$21)+'Inputs'!$B$9)/SQRT((((561-43)*MAX('Inputs'!$B$33,'Inputs'!$B$29+'Inputs'!$B$31+'Inputs'!$B$32,'Inputs'!$B$30+'Inputs'!$B$31+'Inputs'!$B$32)/1000+'Inputs'!$B$21)+'Inputs'!$B$9)^2+('Inputs'!$B$8/2)^2)-(((561-43)*MAX('Inputs'!$B$33,'Inputs'!$B$29+'Inputs'!$B$31+'Inputs'!$B$32,'Inputs'!$B$30+'Inputs'!$B$31+'Inputs'!$B$32)/1000+'Inputs'!$B$21))/SQRT((((561-43)*MAX('Inputs'!$B$33,'Inputs'!$B$29+'Inputs'!$B$31+'Inputs'!$B$32,'Inputs'!$B$30+'Inputs'!$B$31+'Inputs'!$B$32)/1000+'Inputs'!$B$21))^2+('Inputs'!$B$8/2)^2)))-'Results'!B7*(1+'Inputs'!$B$24)*(0.5*((((561-43)*MAX('Inputs'!$B$33,'Inputs'!$B$29+'Inputs'!$B$31+'Inputs'!$B$32,'Inputs'!$B$30+'Inputs'!$B$31+'Inputs'!$B$32)/1000+'Inputs'!$B$21+'Inputs'!$B$9+'Inputs'!$B$10)+'Inputs'!$B$7)/SQRT((((561-43)*MAX('Inputs'!$B$33,'Inputs'!$B$29+'Inputs'!$B$31+'Inputs'!$B$32,'Inputs'!$B$30+'Inputs'!$B$31+'Inputs'!$B$32)/1000+'Inputs'!$B$21+'Inputs'!$B$9+'Inputs'!$B$10)+'Inputs'!$B$7)^2+('Inputs'!$B$6/2)^2)-(((561-43)*MAX('Inputs'!$B$33,'Inputs'!$B$29+'Inputs'!$B$31+'Inputs'!$B$32,'Inputs'!$B$30+'Inputs'!$B$31+'Inputs'!$B$32)/1000+'Inputs'!$B$21+'Inputs'!$B$9+'Inputs'!$B$10))/SQRT((((561-43)*MAX('Inputs'!$B$33,'Inputs'!$B$29+'Inputs'!$B$31+'Inputs'!$B$32,'Inputs'!$B$30+'Inputs'!$B$31+'Inputs'!$B$32)/1000+'Inputs'!$B$21+'Inputs'!$B$9+'Inputs'!$B$10))^2+('Inputs'!$B$6/2)^2))))*'Results'!$B$8))),"")</x:f>
        <x:v>3.0270706726833687</x:v>
      </x:c>
      <x:c r="O561" t="n">
        <x:f>IF(AND(ISNUMBER('Results'!C7),ISNUMBER('Results'!B7),ISNUMBER('Results'!$B$8),ISNUMBER('Inputs'!$B$6),ISNUMBER('Inputs'!$B$7),ISNUMBER('Inputs'!$B$8),ISNUMBER('Inputs'!$B$9),ISNUMBER('Inputs'!$B$10),ISNUMBER('Inputs'!$B$21),ISNUMBER('Inputs'!$B$24),ISNUMBER('Inputs'!$B$28)),((('Results'!C7*(1+'Inputs'!$B$24)*(0.5*((((561-43)*MAX('Inputs'!$B$33,'Inputs'!$B$29+'Inputs'!$B$31+'Inputs'!$B$32,'Inputs'!$B$30+'Inputs'!$B$31+'Inputs'!$B$32)/1000+'Inputs'!$B$21)+'Inputs'!$B$9)/SQRT((((561-43)*MAX('Inputs'!$B$33,'Inputs'!$B$29+'Inputs'!$B$31+'Inputs'!$B$32,'Inputs'!$B$30+'Inputs'!$B$31+'Inputs'!$B$32)/1000+'Inputs'!$B$21)+'Inputs'!$B$9)^2+('Inputs'!$B$8/2)^2)-(((561-43)*MAX('Inputs'!$B$33,'Inputs'!$B$29+'Inputs'!$B$31+'Inputs'!$B$32,'Inputs'!$B$30+'Inputs'!$B$31+'Inputs'!$B$32)/1000+'Inputs'!$B$21))/SQRT((((561-43)*MAX('Inputs'!$B$33,'Inputs'!$B$29+'Inputs'!$B$31+'Inputs'!$B$32,'Inputs'!$B$30+'Inputs'!$B$31+'Inputs'!$B$32)/1000+'Inputs'!$B$21))^2+('Inputs'!$B$8/2)^2)))-'Results'!B7*(1-'Inputs'!$B$24)*(0.5*((((561-43)*MAX('Inputs'!$B$33,'Inputs'!$B$29+'Inputs'!$B$31+'Inputs'!$B$32,'Inputs'!$B$30+'Inputs'!$B$31+'Inputs'!$B$32)/1000+'Inputs'!$B$21+'Inputs'!$B$9+'Inputs'!$B$10)+'Inputs'!$B$7)/SQRT((((561-43)*MAX('Inputs'!$B$33,'Inputs'!$B$29+'Inputs'!$B$31+'Inputs'!$B$32,'Inputs'!$B$30+'Inputs'!$B$31+'Inputs'!$B$32)/1000+'Inputs'!$B$21+'Inputs'!$B$9+'Inputs'!$B$10)+'Inputs'!$B$7)^2+('Inputs'!$B$6/2)^2)-(((561-43)*MAX('Inputs'!$B$33,'Inputs'!$B$29+'Inputs'!$B$31+'Inputs'!$B$32,'Inputs'!$B$30+'Inputs'!$B$31+'Inputs'!$B$32)/1000+'Inputs'!$B$21+'Inputs'!$B$9+'Inputs'!$B$10))/SQRT((((561-43)*MAX('Inputs'!$B$33,'Inputs'!$B$29+'Inputs'!$B$31+'Inputs'!$B$32,'Inputs'!$B$30+'Inputs'!$B$31+'Inputs'!$B$32)/1000+'Inputs'!$B$21+'Inputs'!$B$9+'Inputs'!$B$10))^2+('Inputs'!$B$6/2)^2))))*'Results'!$B$8)+'Inputs'!$B$28*ABS((('Results'!C7*(1+'Inputs'!$B$24)*(0.5*((((561-43)*MAX('Inputs'!$B$33,'Inputs'!$B$29+'Inputs'!$B$31+'Inputs'!$B$32,'Inputs'!$B$30+'Inputs'!$B$31+'Inputs'!$B$32)/1000+'Inputs'!$B$21)+'Inputs'!$B$9)/SQRT((((561-43)*MAX('Inputs'!$B$33,'Inputs'!$B$29+'Inputs'!$B$31+'Inputs'!$B$32,'Inputs'!$B$30+'Inputs'!$B$31+'Inputs'!$B$32)/1000+'Inputs'!$B$21)+'Inputs'!$B$9)^2+('Inputs'!$B$8/2)^2)-(((561-43)*MAX('Inputs'!$B$33,'Inputs'!$B$29+'Inputs'!$B$31+'Inputs'!$B$32,'Inputs'!$B$30+'Inputs'!$B$31+'Inputs'!$B$32)/1000+'Inputs'!$B$21))/SQRT((((561-43)*MAX('Inputs'!$B$33,'Inputs'!$B$29+'Inputs'!$B$31+'Inputs'!$B$32,'Inputs'!$B$30+'Inputs'!$B$31+'Inputs'!$B$32)/1000+'Inputs'!$B$21))^2+('Inputs'!$B$8/2)^2)))-'Results'!B7*(1-'Inputs'!$B$24)*(0.5*((((561-43)*MAX('Inputs'!$B$33,'Inputs'!$B$29+'Inputs'!$B$31+'Inputs'!$B$32,'Inputs'!$B$30+'Inputs'!$B$31+'Inputs'!$B$32)/1000+'Inputs'!$B$21+'Inputs'!$B$9+'Inputs'!$B$10)+'Inputs'!$B$7)/SQRT((((561-43)*MAX('Inputs'!$B$33,'Inputs'!$B$29+'Inputs'!$B$31+'Inputs'!$B$32,'Inputs'!$B$30+'Inputs'!$B$31+'Inputs'!$B$32)/1000+'Inputs'!$B$21+'Inputs'!$B$9+'Inputs'!$B$10)+'Inputs'!$B$7)^2+('Inputs'!$B$6/2)^2)-(((561-43)*MAX('Inputs'!$B$33,'Inputs'!$B$29+'Inputs'!$B$31+'Inputs'!$B$32,'Inputs'!$B$30+'Inputs'!$B$31+'Inputs'!$B$32)/1000+'Inputs'!$B$21+'Inputs'!$B$9+'Inputs'!$B$10))/SQRT((((561-43)*MAX('Inputs'!$B$33,'Inputs'!$B$29+'Inputs'!$B$31+'Inputs'!$B$32,'Inputs'!$B$30+'Inputs'!$B$31+'Inputs'!$B$32)/1000+'Inputs'!$B$21+'Inputs'!$B$9+'Inputs'!$B$10))^2+('Inputs'!$B$6/2)^2))))*'Results'!$B$8))),"")</x:f>
        <x:v>3.8845612117241735</x:v>
      </x:c>
      <x:c r="P561" t="n">
        <x:f>IF(AND(MAX(J561,J560)&gt;0,J561&gt;J560+0.00000001),1,0)</x:f>
        <x:v>0</x:v>
      </x:c>
      <x:c r="Q561" t="n">
        <x:f>IF(AND(MAX(K561,K560)&gt;0,K561&gt;K560+0.00000001),1,0)</x:f>
        <x:v>0</x:v>
      </x:c>
      <x:c r="R561" t="n">
        <x:f>IF(AND(MAX(L561,L560)&gt;0,L561&gt;L560+0.00000001),1,0)</x:f>
        <x:v>0</x:v>
      </x:c>
      <x:c r="S561" t="n">
        <x:f>IF(AND(MAX(M561,M560)&gt;0,M561&gt;M560+0.00000001),1,0)</x:f>
        <x:v>0</x:v>
      </x:c>
      <x:c r="T561" t="n">
        <x:f>IF(AND(MAX(N561,N560)&gt;0,N561&gt;N560+0.00000001),1,0)</x:f>
        <x:v>0</x:v>
      </x:c>
      <x:c r="U561" t="n">
        <x:f>IF(AND(MAX(O561,O560)&gt;0,O561&gt;O560+0.00000001),1,0)</x:f>
        <x:v>0</x:v>
      </x:c>
    </x:row>
    <x:row r="562">
      <x:c r="J562" t="n">
        <x:f>IF(AND(ISNUMBER('Results'!B7),ISNUMBER('Results'!C7),ISNUMBER('Results'!$B$8),ISNUMBER('Inputs'!$B$6),ISNUMBER('Inputs'!$B$7),ISNUMBER('Inputs'!$B$8),ISNUMBER('Inputs'!$B$9),ISNUMBER('Inputs'!$B$10),ISNUMBER('Inputs'!$B$21),ISNUMBER('Inputs'!$B$24),ISNUMBER('Inputs'!$B$28)),(('Results'!B7*(0.5*((((562-43)*MAX('Inputs'!$B$33,'Inputs'!$B$29+'Inputs'!$B$31+'Inputs'!$B$32,'Inputs'!$B$30+'Inputs'!$B$31+'Inputs'!$B$32)/1000+'Inputs'!$B$21)+'Inputs'!$B$7)/SQRT((((562-43)*MAX('Inputs'!$B$33,'Inputs'!$B$29+'Inputs'!$B$31+'Inputs'!$B$32,'Inputs'!$B$30+'Inputs'!$B$31+'Inputs'!$B$32)/1000+'Inputs'!$B$21)+'Inputs'!$B$7)^2+('Inputs'!$B$6/2)^2)-(((562-43)*MAX('Inputs'!$B$33,'Inputs'!$B$29+'Inputs'!$B$31+'Inputs'!$B$32,'Inputs'!$B$30+'Inputs'!$B$31+'Inputs'!$B$32)/1000+'Inputs'!$B$21))/SQRT((((562-43)*MAX('Inputs'!$B$33,'Inputs'!$B$29+'Inputs'!$B$31+'Inputs'!$B$32,'Inputs'!$B$30+'Inputs'!$B$31+'Inputs'!$B$32)/1000+'Inputs'!$B$21))^2+('Inputs'!$B$6/2)^2)))-'Results'!C7*(0.5*((((562-43)*MAX('Inputs'!$B$33,'Inputs'!$B$29+'Inputs'!$B$31+'Inputs'!$B$32,'Inputs'!$B$30+'Inputs'!$B$31+'Inputs'!$B$32)/1000+'Inputs'!$B$21+'Inputs'!$B$7+'Inputs'!$B$10)+'Inputs'!$B$9)/SQRT((((562-43)*MAX('Inputs'!$B$33,'Inputs'!$B$29+'Inputs'!$B$31+'Inputs'!$B$32,'Inputs'!$B$30+'Inputs'!$B$31+'Inputs'!$B$32)/1000+'Inputs'!$B$21+'Inputs'!$B$7+'Inputs'!$B$10)+'Inputs'!$B$9)^2+('Inputs'!$B$8/2)^2)-(((562-43)*MAX('Inputs'!$B$33,'Inputs'!$B$29+'Inputs'!$B$31+'Inputs'!$B$32,'Inputs'!$B$30+'Inputs'!$B$31+'Inputs'!$B$32)/1000+'Inputs'!$B$21+'Inputs'!$B$7+'Inputs'!$B$10))/SQRT((((562-43)*MAX('Inputs'!$B$33,'Inputs'!$B$29+'Inputs'!$B$31+'Inputs'!$B$32,'Inputs'!$B$30+'Inputs'!$B$31+'Inputs'!$B$32)/1000+'Inputs'!$B$21+'Inputs'!$B$7+'Inputs'!$B$10))^2+('Inputs'!$B$8/2)^2))))*'Results'!$B$8),"")</x:f>
        <x:v>3.678468132556323</x:v>
      </x:c>
      <x:c r="K562" t="n">
        <x:f>IF(AND(ISNUMBER('Results'!B7),ISNUMBER('Results'!C7),ISNUMBER('Results'!$B$8),ISNUMBER('Inputs'!$B$6),ISNUMBER('Inputs'!$B$7),ISNUMBER('Inputs'!$B$8),ISNUMBER('Inputs'!$B$9),ISNUMBER('Inputs'!$B$10),ISNUMBER('Inputs'!$B$21),ISNUMBER('Inputs'!$B$24),ISNUMBER('Inputs'!$B$28)),((('Results'!B7*(1-'Inputs'!$B$24)*(0.5*((((562-43)*MAX('Inputs'!$B$33,'Inputs'!$B$29+'Inputs'!$B$31+'Inputs'!$B$32,'Inputs'!$B$30+'Inputs'!$B$31+'Inputs'!$B$32)/1000+'Inputs'!$B$21)+'Inputs'!$B$7)/SQRT((((562-43)*MAX('Inputs'!$B$33,'Inputs'!$B$29+'Inputs'!$B$31+'Inputs'!$B$32,'Inputs'!$B$30+'Inputs'!$B$31+'Inputs'!$B$32)/1000+'Inputs'!$B$21)+'Inputs'!$B$7)^2+('Inputs'!$B$6/2)^2)-(((562-43)*MAX('Inputs'!$B$33,'Inputs'!$B$29+'Inputs'!$B$31+'Inputs'!$B$32,'Inputs'!$B$30+'Inputs'!$B$31+'Inputs'!$B$32)/1000+'Inputs'!$B$21))/SQRT((((562-43)*MAX('Inputs'!$B$33,'Inputs'!$B$29+'Inputs'!$B$31+'Inputs'!$B$32,'Inputs'!$B$30+'Inputs'!$B$31+'Inputs'!$B$32)/1000+'Inputs'!$B$21))^2+('Inputs'!$B$6/2)^2)))-'Results'!C7*(1+'Inputs'!$B$24)*(0.5*((((562-43)*MAX('Inputs'!$B$33,'Inputs'!$B$29+'Inputs'!$B$31+'Inputs'!$B$32,'Inputs'!$B$30+'Inputs'!$B$31+'Inputs'!$B$32)/1000+'Inputs'!$B$21+'Inputs'!$B$7+'Inputs'!$B$10)+'Inputs'!$B$9)/SQRT((((562-43)*MAX('Inputs'!$B$33,'Inputs'!$B$29+'Inputs'!$B$31+'Inputs'!$B$32,'Inputs'!$B$30+'Inputs'!$B$31+'Inputs'!$B$32)/1000+'Inputs'!$B$21+'Inputs'!$B$7+'Inputs'!$B$10)+'Inputs'!$B$9)^2+('Inputs'!$B$8/2)^2)-(((562-43)*MAX('Inputs'!$B$33,'Inputs'!$B$29+'Inputs'!$B$31+'Inputs'!$B$32,'Inputs'!$B$30+'Inputs'!$B$31+'Inputs'!$B$32)/1000+'Inputs'!$B$21+'Inputs'!$B$7+'Inputs'!$B$10))/SQRT((((562-43)*MAX('Inputs'!$B$33,'Inputs'!$B$29+'Inputs'!$B$31+'Inputs'!$B$32,'Inputs'!$B$30+'Inputs'!$B$31+'Inputs'!$B$32)/1000+'Inputs'!$B$21+'Inputs'!$B$7+'Inputs'!$B$10))^2+('Inputs'!$B$8/2)^2))))*'Results'!$B$8)-'Inputs'!$B$28*ABS((('Results'!B7*(1-'Inputs'!$B$24)*(0.5*((((562-43)*MAX('Inputs'!$B$33,'Inputs'!$B$29+'Inputs'!$B$31+'Inputs'!$B$32,'Inputs'!$B$30+'Inputs'!$B$31+'Inputs'!$B$32)/1000+'Inputs'!$B$21)+'Inputs'!$B$7)/SQRT((((562-43)*MAX('Inputs'!$B$33,'Inputs'!$B$29+'Inputs'!$B$31+'Inputs'!$B$32,'Inputs'!$B$30+'Inputs'!$B$31+'Inputs'!$B$32)/1000+'Inputs'!$B$21)+'Inputs'!$B$7)^2+('Inputs'!$B$6/2)^2)-(((562-43)*MAX('Inputs'!$B$33,'Inputs'!$B$29+'Inputs'!$B$31+'Inputs'!$B$32,'Inputs'!$B$30+'Inputs'!$B$31+'Inputs'!$B$32)/1000+'Inputs'!$B$21))/SQRT((((562-43)*MAX('Inputs'!$B$33,'Inputs'!$B$29+'Inputs'!$B$31+'Inputs'!$B$32,'Inputs'!$B$30+'Inputs'!$B$31+'Inputs'!$B$32)/1000+'Inputs'!$B$21))^2+('Inputs'!$B$6/2)^2)))-'Results'!C7*(1+'Inputs'!$B$24)*(0.5*((((562-43)*MAX('Inputs'!$B$33,'Inputs'!$B$29+'Inputs'!$B$31+'Inputs'!$B$32,'Inputs'!$B$30+'Inputs'!$B$31+'Inputs'!$B$32)/1000+'Inputs'!$B$21+'Inputs'!$B$7+'Inputs'!$B$10)+'Inputs'!$B$9)/SQRT((((562-43)*MAX('Inputs'!$B$33,'Inputs'!$B$29+'Inputs'!$B$31+'Inputs'!$B$32,'Inputs'!$B$30+'Inputs'!$B$31+'Inputs'!$B$32)/1000+'Inputs'!$B$21+'Inputs'!$B$7+'Inputs'!$B$10)+'Inputs'!$B$9)^2+('Inputs'!$B$8/2)^2)-(((562-43)*MAX('Inputs'!$B$33,'Inputs'!$B$29+'Inputs'!$B$31+'Inputs'!$B$32,'Inputs'!$B$30+'Inputs'!$B$31+'Inputs'!$B$32)/1000+'Inputs'!$B$21+'Inputs'!$B$7+'Inputs'!$B$10))/SQRT((((562-43)*MAX('Inputs'!$B$33,'Inputs'!$B$29+'Inputs'!$B$31+'Inputs'!$B$32,'Inputs'!$B$30+'Inputs'!$B$31+'Inputs'!$B$32)/1000+'Inputs'!$B$21+'Inputs'!$B$7+'Inputs'!$B$10))^2+('Inputs'!$B$8/2)^2))))*'Results'!$B$8))),"")</x:f>
        <x:v>3.25066177959998</x:v>
      </x:c>
      <x:c r="L562" t="n">
        <x:f>IF(AND(ISNUMBER('Results'!B7),ISNUMBER('Results'!C7),ISNUMBER('Results'!$B$8),ISNUMBER('Inputs'!$B$6),ISNUMBER('Inputs'!$B$7),ISNUMBER('Inputs'!$B$8),ISNUMBER('Inputs'!$B$9),ISNUMBER('Inputs'!$B$10),ISNUMBER('Inputs'!$B$21),ISNUMBER('Inputs'!$B$24),ISNUMBER('Inputs'!$B$28)),((('Results'!B7*(1+'Inputs'!$B$24)*(0.5*((((562-43)*MAX('Inputs'!$B$33,'Inputs'!$B$29+'Inputs'!$B$31+'Inputs'!$B$32,'Inputs'!$B$30+'Inputs'!$B$31+'Inputs'!$B$32)/1000+'Inputs'!$B$21)+'Inputs'!$B$7)/SQRT((((562-43)*MAX('Inputs'!$B$33,'Inputs'!$B$29+'Inputs'!$B$31+'Inputs'!$B$32,'Inputs'!$B$30+'Inputs'!$B$31+'Inputs'!$B$32)/1000+'Inputs'!$B$21)+'Inputs'!$B$7)^2+('Inputs'!$B$6/2)^2)-(((562-43)*MAX('Inputs'!$B$33,'Inputs'!$B$29+'Inputs'!$B$31+'Inputs'!$B$32,'Inputs'!$B$30+'Inputs'!$B$31+'Inputs'!$B$32)/1000+'Inputs'!$B$21))/SQRT((((562-43)*MAX('Inputs'!$B$33,'Inputs'!$B$29+'Inputs'!$B$31+'Inputs'!$B$32,'Inputs'!$B$30+'Inputs'!$B$31+'Inputs'!$B$32)/1000+'Inputs'!$B$21))^2+('Inputs'!$B$6/2)^2)))-'Results'!C7*(1-'Inputs'!$B$24)*(0.5*((((562-43)*MAX('Inputs'!$B$33,'Inputs'!$B$29+'Inputs'!$B$31+'Inputs'!$B$32,'Inputs'!$B$30+'Inputs'!$B$31+'Inputs'!$B$32)/1000+'Inputs'!$B$21+'Inputs'!$B$7+'Inputs'!$B$10)+'Inputs'!$B$9)/SQRT((((562-43)*MAX('Inputs'!$B$33,'Inputs'!$B$29+'Inputs'!$B$31+'Inputs'!$B$32,'Inputs'!$B$30+'Inputs'!$B$31+'Inputs'!$B$32)/1000+'Inputs'!$B$21+'Inputs'!$B$7+'Inputs'!$B$10)+'Inputs'!$B$9)^2+('Inputs'!$B$8/2)^2)-(((562-43)*MAX('Inputs'!$B$33,'Inputs'!$B$29+'Inputs'!$B$31+'Inputs'!$B$32,'Inputs'!$B$30+'Inputs'!$B$31+'Inputs'!$B$32)/1000+'Inputs'!$B$21+'Inputs'!$B$7+'Inputs'!$B$10))/SQRT((((562-43)*MAX('Inputs'!$B$33,'Inputs'!$B$29+'Inputs'!$B$31+'Inputs'!$B$32,'Inputs'!$B$30+'Inputs'!$B$31+'Inputs'!$B$32)/1000+'Inputs'!$B$21+'Inputs'!$B$7+'Inputs'!$B$10))^2+('Inputs'!$B$8/2)^2))))*'Results'!$B$8)+'Inputs'!$B$28*ABS((('Results'!B7*(1+'Inputs'!$B$24)*(0.5*((((562-43)*MAX('Inputs'!$B$33,'Inputs'!$B$29+'Inputs'!$B$31+'Inputs'!$B$32,'Inputs'!$B$30+'Inputs'!$B$31+'Inputs'!$B$32)/1000+'Inputs'!$B$21)+'Inputs'!$B$7)/SQRT((((562-43)*MAX('Inputs'!$B$33,'Inputs'!$B$29+'Inputs'!$B$31+'Inputs'!$B$32,'Inputs'!$B$30+'Inputs'!$B$31+'Inputs'!$B$32)/1000+'Inputs'!$B$21)+'Inputs'!$B$7)^2+('Inputs'!$B$6/2)^2)-(((562-43)*MAX('Inputs'!$B$33,'Inputs'!$B$29+'Inputs'!$B$31+'Inputs'!$B$32,'Inputs'!$B$30+'Inputs'!$B$31+'Inputs'!$B$32)/1000+'Inputs'!$B$21))/SQRT((((562-43)*MAX('Inputs'!$B$33,'Inputs'!$B$29+'Inputs'!$B$31+'Inputs'!$B$32,'Inputs'!$B$30+'Inputs'!$B$31+'Inputs'!$B$32)/1000+'Inputs'!$B$21))^2+('Inputs'!$B$6/2)^2)))-'Results'!C7*(1-'Inputs'!$B$24)*(0.5*((((562-43)*MAX('Inputs'!$B$33,'Inputs'!$B$29+'Inputs'!$B$31+'Inputs'!$B$32,'Inputs'!$B$30+'Inputs'!$B$31+'Inputs'!$B$32)/1000+'Inputs'!$B$21+'Inputs'!$B$7+'Inputs'!$B$10)+'Inputs'!$B$9)/SQRT((((562-43)*MAX('Inputs'!$B$33,'Inputs'!$B$29+'Inputs'!$B$31+'Inputs'!$B$32,'Inputs'!$B$30+'Inputs'!$B$31+'Inputs'!$B$32)/1000+'Inputs'!$B$21+'Inputs'!$B$7+'Inputs'!$B$10)+'Inputs'!$B$9)^2+('Inputs'!$B$8/2)^2)-(((562-43)*MAX('Inputs'!$B$33,'Inputs'!$B$29+'Inputs'!$B$31+'Inputs'!$B$32,'Inputs'!$B$30+'Inputs'!$B$31+'Inputs'!$B$32)/1000+'Inputs'!$B$21+'Inputs'!$B$7+'Inputs'!$B$10))/SQRT((((562-43)*MAX('Inputs'!$B$33,'Inputs'!$B$29+'Inputs'!$B$31+'Inputs'!$B$32,'Inputs'!$B$30+'Inputs'!$B$31+'Inputs'!$B$32)/1000+'Inputs'!$B$21+'Inputs'!$B$7+'Inputs'!$B$10))^2+('Inputs'!$B$8/2)^2))))*'Results'!$B$8))),"")</x:f>
        <x:v>4.1319463745998775</x:v>
      </x:c>
      <x:c r="M562" t="n">
        <x:f>IF(AND(ISNUMBER('Results'!C7),ISNUMBER('Results'!B7),ISNUMBER('Results'!$B$8),ISNUMBER('Inputs'!$B$6),ISNUMBER('Inputs'!$B$7),ISNUMBER('Inputs'!$B$8),ISNUMBER('Inputs'!$B$9),ISNUMBER('Inputs'!$B$10),ISNUMBER('Inputs'!$B$21),ISNUMBER('Inputs'!$B$24),ISNUMBER('Inputs'!$B$28)),(('Results'!C7*(0.5*((((562-43)*MAX('Inputs'!$B$33,'Inputs'!$B$29+'Inputs'!$B$31+'Inputs'!$B$32,'Inputs'!$B$30+'Inputs'!$B$31+'Inputs'!$B$32)/1000+'Inputs'!$B$21)+'Inputs'!$B$9)/SQRT((((562-43)*MAX('Inputs'!$B$33,'Inputs'!$B$29+'Inputs'!$B$31+'Inputs'!$B$32,'Inputs'!$B$30+'Inputs'!$B$31+'Inputs'!$B$32)/1000+'Inputs'!$B$21)+'Inputs'!$B$9)^2+('Inputs'!$B$8/2)^2)-(((562-43)*MAX('Inputs'!$B$33,'Inputs'!$B$29+'Inputs'!$B$31+'Inputs'!$B$32,'Inputs'!$B$30+'Inputs'!$B$31+'Inputs'!$B$32)/1000+'Inputs'!$B$21))/SQRT((((562-43)*MAX('Inputs'!$B$33,'Inputs'!$B$29+'Inputs'!$B$31+'Inputs'!$B$32,'Inputs'!$B$30+'Inputs'!$B$31+'Inputs'!$B$32)/1000+'Inputs'!$B$21))^2+('Inputs'!$B$8/2)^2)))-'Results'!B7*(0.5*((((562-43)*MAX('Inputs'!$B$33,'Inputs'!$B$29+'Inputs'!$B$31+'Inputs'!$B$32,'Inputs'!$B$30+'Inputs'!$B$31+'Inputs'!$B$32)/1000+'Inputs'!$B$21+'Inputs'!$B$9+'Inputs'!$B$10)+'Inputs'!$B$7)/SQRT((((562-43)*MAX('Inputs'!$B$33,'Inputs'!$B$29+'Inputs'!$B$31+'Inputs'!$B$32,'Inputs'!$B$30+'Inputs'!$B$31+'Inputs'!$B$32)/1000+'Inputs'!$B$21+'Inputs'!$B$9+'Inputs'!$B$10)+'Inputs'!$B$7)^2+('Inputs'!$B$6/2)^2)-(((562-43)*MAX('Inputs'!$B$33,'Inputs'!$B$29+'Inputs'!$B$31+'Inputs'!$B$32,'Inputs'!$B$30+'Inputs'!$B$31+'Inputs'!$B$32)/1000+'Inputs'!$B$21+'Inputs'!$B$9+'Inputs'!$B$10))/SQRT((((562-43)*MAX('Inputs'!$B$33,'Inputs'!$B$29+'Inputs'!$B$31+'Inputs'!$B$32,'Inputs'!$B$30+'Inputs'!$B$31+'Inputs'!$B$32)/1000+'Inputs'!$B$21+'Inputs'!$B$9+'Inputs'!$B$10))^2+('Inputs'!$B$6/2)^2))))*'Results'!$B$8),"")</x:f>
        <x:v>3.419880368947241</x:v>
      </x:c>
      <x:c r="N562" t="n">
        <x:f>IF(AND(ISNUMBER('Results'!C7),ISNUMBER('Results'!B7),ISNUMBER('Results'!$B$8),ISNUMBER('Inputs'!$B$6),ISNUMBER('Inputs'!$B$7),ISNUMBER('Inputs'!$B$8),ISNUMBER('Inputs'!$B$9),ISNUMBER('Inputs'!$B$10),ISNUMBER('Inputs'!$B$21),ISNUMBER('Inputs'!$B$24),ISNUMBER('Inputs'!$B$28)),((('Results'!C7*(1-'Inputs'!$B$24)*(0.5*((((562-43)*MAX('Inputs'!$B$33,'Inputs'!$B$29+'Inputs'!$B$31+'Inputs'!$B$32,'Inputs'!$B$30+'Inputs'!$B$31+'Inputs'!$B$32)/1000+'Inputs'!$B$21)+'Inputs'!$B$9)/SQRT((((562-43)*MAX('Inputs'!$B$33,'Inputs'!$B$29+'Inputs'!$B$31+'Inputs'!$B$32,'Inputs'!$B$30+'Inputs'!$B$31+'Inputs'!$B$32)/1000+'Inputs'!$B$21)+'Inputs'!$B$9)^2+('Inputs'!$B$8/2)^2)-(((562-43)*MAX('Inputs'!$B$33,'Inputs'!$B$29+'Inputs'!$B$31+'Inputs'!$B$32,'Inputs'!$B$30+'Inputs'!$B$31+'Inputs'!$B$32)/1000+'Inputs'!$B$21))/SQRT((((562-43)*MAX('Inputs'!$B$33,'Inputs'!$B$29+'Inputs'!$B$31+'Inputs'!$B$32,'Inputs'!$B$30+'Inputs'!$B$31+'Inputs'!$B$32)/1000+'Inputs'!$B$21))^2+('Inputs'!$B$8/2)^2)))-'Results'!B7*(1+'Inputs'!$B$24)*(0.5*((((562-43)*MAX('Inputs'!$B$33,'Inputs'!$B$29+'Inputs'!$B$31+'Inputs'!$B$32,'Inputs'!$B$30+'Inputs'!$B$31+'Inputs'!$B$32)/1000+'Inputs'!$B$21+'Inputs'!$B$9+'Inputs'!$B$10)+'Inputs'!$B$7)/SQRT((((562-43)*MAX('Inputs'!$B$33,'Inputs'!$B$29+'Inputs'!$B$31+'Inputs'!$B$32,'Inputs'!$B$30+'Inputs'!$B$31+'Inputs'!$B$32)/1000+'Inputs'!$B$21+'Inputs'!$B$9+'Inputs'!$B$10)+'Inputs'!$B$7)^2+('Inputs'!$B$6/2)^2)-(((562-43)*MAX('Inputs'!$B$33,'Inputs'!$B$29+'Inputs'!$B$31+'Inputs'!$B$32,'Inputs'!$B$30+'Inputs'!$B$31+'Inputs'!$B$32)/1000+'Inputs'!$B$21+'Inputs'!$B$9+'Inputs'!$B$10))/SQRT((((562-43)*MAX('Inputs'!$B$33,'Inputs'!$B$29+'Inputs'!$B$31+'Inputs'!$B$32,'Inputs'!$B$30+'Inputs'!$B$31+'Inputs'!$B$32)/1000+'Inputs'!$B$21+'Inputs'!$B$9+'Inputs'!$B$10))^2+('Inputs'!$B$6/2)^2))))*'Results'!$B$8)-'Inputs'!$B$28*ABS((('Results'!C7*(1-'Inputs'!$B$24)*(0.5*((((562-43)*MAX('Inputs'!$B$33,'Inputs'!$B$29+'Inputs'!$B$31+'Inputs'!$B$32,'Inputs'!$B$30+'Inputs'!$B$31+'Inputs'!$B$32)/1000+'Inputs'!$B$21)+'Inputs'!$B$9)/SQRT((((562-43)*MAX('Inputs'!$B$33,'Inputs'!$B$29+'Inputs'!$B$31+'Inputs'!$B$32,'Inputs'!$B$30+'Inputs'!$B$31+'Inputs'!$B$32)/1000+'Inputs'!$B$21)+'Inputs'!$B$9)^2+('Inputs'!$B$8/2)^2)-(((562-43)*MAX('Inputs'!$B$33,'Inputs'!$B$29+'Inputs'!$B$31+'Inputs'!$B$32,'Inputs'!$B$30+'Inputs'!$B$31+'Inputs'!$B$32)/1000+'Inputs'!$B$21))/SQRT((((562-43)*MAX('Inputs'!$B$33,'Inputs'!$B$29+'Inputs'!$B$31+'Inputs'!$B$32,'Inputs'!$B$30+'Inputs'!$B$31+'Inputs'!$B$32)/1000+'Inputs'!$B$21))^2+('Inputs'!$B$8/2)^2)))-'Results'!B7*(1+'Inputs'!$B$24)*(0.5*((((562-43)*MAX('Inputs'!$B$33,'Inputs'!$B$29+'Inputs'!$B$31+'Inputs'!$B$32,'Inputs'!$B$30+'Inputs'!$B$31+'Inputs'!$B$32)/1000+'Inputs'!$B$21+'Inputs'!$B$9+'Inputs'!$B$10)+'Inputs'!$B$7)/SQRT((((562-43)*MAX('Inputs'!$B$33,'Inputs'!$B$29+'Inputs'!$B$31+'Inputs'!$B$32,'Inputs'!$B$30+'Inputs'!$B$31+'Inputs'!$B$32)/1000+'Inputs'!$B$21+'Inputs'!$B$9+'Inputs'!$B$10)+'Inputs'!$B$7)^2+('Inputs'!$B$6/2)^2)-(((562-43)*MAX('Inputs'!$B$33,'Inputs'!$B$29+'Inputs'!$B$31+'Inputs'!$B$32,'Inputs'!$B$30+'Inputs'!$B$31+'Inputs'!$B$32)/1000+'Inputs'!$B$21+'Inputs'!$B$9+'Inputs'!$B$10))/SQRT((((562-43)*MAX('Inputs'!$B$33,'Inputs'!$B$29+'Inputs'!$B$31+'Inputs'!$B$32,'Inputs'!$B$30+'Inputs'!$B$31+'Inputs'!$B$32)/1000+'Inputs'!$B$21+'Inputs'!$B$9+'Inputs'!$B$10))^2+('Inputs'!$B$6/2)^2))))*'Results'!$B$8))),"")</x:f>
        <x:v>3.0063657134797217</x:v>
      </x:c>
      <x:c r="O562" t="n">
        <x:f>IF(AND(ISNUMBER('Results'!C7),ISNUMBER('Results'!B7),ISNUMBER('Results'!$B$8),ISNUMBER('Inputs'!$B$6),ISNUMBER('Inputs'!$B$7),ISNUMBER('Inputs'!$B$8),ISNUMBER('Inputs'!$B$9),ISNUMBER('Inputs'!$B$10),ISNUMBER('Inputs'!$B$21),ISNUMBER('Inputs'!$B$24),ISNUMBER('Inputs'!$B$28)),((('Results'!C7*(1+'Inputs'!$B$24)*(0.5*((((562-43)*MAX('Inputs'!$B$33,'Inputs'!$B$29+'Inputs'!$B$31+'Inputs'!$B$32,'Inputs'!$B$30+'Inputs'!$B$31+'Inputs'!$B$32)/1000+'Inputs'!$B$21)+'Inputs'!$B$9)/SQRT((((562-43)*MAX('Inputs'!$B$33,'Inputs'!$B$29+'Inputs'!$B$31+'Inputs'!$B$32,'Inputs'!$B$30+'Inputs'!$B$31+'Inputs'!$B$32)/1000+'Inputs'!$B$21)+'Inputs'!$B$9)^2+('Inputs'!$B$8/2)^2)-(((562-43)*MAX('Inputs'!$B$33,'Inputs'!$B$29+'Inputs'!$B$31+'Inputs'!$B$32,'Inputs'!$B$30+'Inputs'!$B$31+'Inputs'!$B$32)/1000+'Inputs'!$B$21))/SQRT((((562-43)*MAX('Inputs'!$B$33,'Inputs'!$B$29+'Inputs'!$B$31+'Inputs'!$B$32,'Inputs'!$B$30+'Inputs'!$B$31+'Inputs'!$B$32)/1000+'Inputs'!$B$21))^2+('Inputs'!$B$8/2)^2)))-'Results'!B7*(1-'Inputs'!$B$24)*(0.5*((((562-43)*MAX('Inputs'!$B$33,'Inputs'!$B$29+'Inputs'!$B$31+'Inputs'!$B$32,'Inputs'!$B$30+'Inputs'!$B$31+'Inputs'!$B$32)/1000+'Inputs'!$B$21+'Inputs'!$B$9+'Inputs'!$B$10)+'Inputs'!$B$7)/SQRT((((562-43)*MAX('Inputs'!$B$33,'Inputs'!$B$29+'Inputs'!$B$31+'Inputs'!$B$32,'Inputs'!$B$30+'Inputs'!$B$31+'Inputs'!$B$32)/1000+'Inputs'!$B$21+'Inputs'!$B$9+'Inputs'!$B$10)+'Inputs'!$B$7)^2+('Inputs'!$B$6/2)^2)-(((562-43)*MAX('Inputs'!$B$33,'Inputs'!$B$29+'Inputs'!$B$31+'Inputs'!$B$32,'Inputs'!$B$30+'Inputs'!$B$31+'Inputs'!$B$32)/1000+'Inputs'!$B$21+'Inputs'!$B$9+'Inputs'!$B$10))/SQRT((((562-43)*MAX('Inputs'!$B$33,'Inputs'!$B$29+'Inputs'!$B$31+'Inputs'!$B$32,'Inputs'!$B$30+'Inputs'!$B$31+'Inputs'!$B$32)/1000+'Inputs'!$B$21+'Inputs'!$B$9+'Inputs'!$B$10))^2+('Inputs'!$B$6/2)^2))))*'Results'!$B$8)+'Inputs'!$B$28*ABS((('Results'!C7*(1+'Inputs'!$B$24)*(0.5*((((562-43)*MAX('Inputs'!$B$33,'Inputs'!$B$29+'Inputs'!$B$31+'Inputs'!$B$32,'Inputs'!$B$30+'Inputs'!$B$31+'Inputs'!$B$32)/1000+'Inputs'!$B$21)+'Inputs'!$B$9)/SQRT((((562-43)*MAX('Inputs'!$B$33,'Inputs'!$B$29+'Inputs'!$B$31+'Inputs'!$B$32,'Inputs'!$B$30+'Inputs'!$B$31+'Inputs'!$B$32)/1000+'Inputs'!$B$21)+'Inputs'!$B$9)^2+('Inputs'!$B$8/2)^2)-(((562-43)*MAX('Inputs'!$B$33,'Inputs'!$B$29+'Inputs'!$B$31+'Inputs'!$B$32,'Inputs'!$B$30+'Inputs'!$B$31+'Inputs'!$B$32)/1000+'Inputs'!$B$21))/SQRT((((562-43)*MAX('Inputs'!$B$33,'Inputs'!$B$29+'Inputs'!$B$31+'Inputs'!$B$32,'Inputs'!$B$30+'Inputs'!$B$31+'Inputs'!$B$32)/1000+'Inputs'!$B$21))^2+('Inputs'!$B$8/2)^2)))-'Results'!B7*(1-'Inputs'!$B$24)*(0.5*((((562-43)*MAX('Inputs'!$B$33,'Inputs'!$B$29+'Inputs'!$B$31+'Inputs'!$B$32,'Inputs'!$B$30+'Inputs'!$B$31+'Inputs'!$B$32)/1000+'Inputs'!$B$21+'Inputs'!$B$9+'Inputs'!$B$10)+'Inputs'!$B$7)/SQRT((((562-43)*MAX('Inputs'!$B$33,'Inputs'!$B$29+'Inputs'!$B$31+'Inputs'!$B$32,'Inputs'!$B$30+'Inputs'!$B$31+'Inputs'!$B$32)/1000+'Inputs'!$B$21+'Inputs'!$B$9+'Inputs'!$B$10)+'Inputs'!$B$7)^2+('Inputs'!$B$6/2)^2)-(((562-43)*MAX('Inputs'!$B$33,'Inputs'!$B$29+'Inputs'!$B$31+'Inputs'!$B$32,'Inputs'!$B$30+'Inputs'!$B$31+'Inputs'!$B$32)/1000+'Inputs'!$B$21+'Inputs'!$B$9+'Inputs'!$B$10))/SQRT((((562-43)*MAX('Inputs'!$B$33,'Inputs'!$B$29+'Inputs'!$B$31+'Inputs'!$B$32,'Inputs'!$B$30+'Inputs'!$B$31+'Inputs'!$B$32)/1000+'Inputs'!$B$21+'Inputs'!$B$9+'Inputs'!$B$10))^2+('Inputs'!$B$6/2)^2))))*'Results'!$B$8))),"")</x:f>
        <x:v>3.858923512522144</x:v>
      </x:c>
      <x:c r="P562" t="n">
        <x:f>IF(AND(MAX(J562,J561)&gt;0,J562&gt;J561+0.00000001),1,0)</x:f>
        <x:v>0</x:v>
      </x:c>
      <x:c r="Q562" t="n">
        <x:f>IF(AND(MAX(K562,K561)&gt;0,K562&gt;K561+0.00000001),1,0)</x:f>
        <x:v>0</x:v>
      </x:c>
      <x:c r="R562" t="n">
        <x:f>IF(AND(MAX(L562,L561)&gt;0,L562&gt;L561+0.00000001),1,0)</x:f>
        <x:v>0</x:v>
      </x:c>
      <x:c r="S562" t="n">
        <x:f>IF(AND(MAX(M562,M561)&gt;0,M562&gt;M561+0.00000001),1,0)</x:f>
        <x:v>0</x:v>
      </x:c>
      <x:c r="T562" t="n">
        <x:f>IF(AND(MAX(N562,N561)&gt;0,N562&gt;N561+0.00000001),1,0)</x:f>
        <x:v>0</x:v>
      </x:c>
      <x:c r="U562" t="n">
        <x:f>IF(AND(MAX(O562,O561)&gt;0,O562&gt;O561+0.00000001),1,0)</x:f>
        <x:v>0</x:v>
      </x:c>
    </x:row>
    <x:row r="563">
      <x:c r="J563" t="n">
        <x:f>IF(AND(ISNUMBER('Results'!B7),ISNUMBER('Results'!C7),ISNUMBER('Results'!$B$8),ISNUMBER('Inputs'!$B$6),ISNUMBER('Inputs'!$B$7),ISNUMBER('Inputs'!$B$8),ISNUMBER('Inputs'!$B$9),ISNUMBER('Inputs'!$B$10),ISNUMBER('Inputs'!$B$21),ISNUMBER('Inputs'!$B$24),ISNUMBER('Inputs'!$B$28)),(('Results'!B7*(0.5*((((563-43)*MAX('Inputs'!$B$33,'Inputs'!$B$29+'Inputs'!$B$31+'Inputs'!$B$32,'Inputs'!$B$30+'Inputs'!$B$31+'Inputs'!$B$32)/1000+'Inputs'!$B$21)+'Inputs'!$B$7)/SQRT((((563-43)*MAX('Inputs'!$B$33,'Inputs'!$B$29+'Inputs'!$B$31+'Inputs'!$B$32,'Inputs'!$B$30+'Inputs'!$B$31+'Inputs'!$B$32)/1000+'Inputs'!$B$21)+'Inputs'!$B$7)^2+('Inputs'!$B$6/2)^2)-(((563-43)*MAX('Inputs'!$B$33,'Inputs'!$B$29+'Inputs'!$B$31+'Inputs'!$B$32,'Inputs'!$B$30+'Inputs'!$B$31+'Inputs'!$B$32)/1000+'Inputs'!$B$21))/SQRT((((563-43)*MAX('Inputs'!$B$33,'Inputs'!$B$29+'Inputs'!$B$31+'Inputs'!$B$32,'Inputs'!$B$30+'Inputs'!$B$31+'Inputs'!$B$32)/1000+'Inputs'!$B$21))^2+('Inputs'!$B$6/2)^2)))-'Results'!C7*(0.5*((((563-43)*MAX('Inputs'!$B$33,'Inputs'!$B$29+'Inputs'!$B$31+'Inputs'!$B$32,'Inputs'!$B$30+'Inputs'!$B$31+'Inputs'!$B$32)/1000+'Inputs'!$B$21+'Inputs'!$B$7+'Inputs'!$B$10)+'Inputs'!$B$9)/SQRT((((563-43)*MAX('Inputs'!$B$33,'Inputs'!$B$29+'Inputs'!$B$31+'Inputs'!$B$32,'Inputs'!$B$30+'Inputs'!$B$31+'Inputs'!$B$32)/1000+'Inputs'!$B$21+'Inputs'!$B$7+'Inputs'!$B$10)+'Inputs'!$B$9)^2+('Inputs'!$B$8/2)^2)-(((563-43)*MAX('Inputs'!$B$33,'Inputs'!$B$29+'Inputs'!$B$31+'Inputs'!$B$32,'Inputs'!$B$30+'Inputs'!$B$31+'Inputs'!$B$32)/1000+'Inputs'!$B$21+'Inputs'!$B$7+'Inputs'!$B$10))/SQRT((((563-43)*MAX('Inputs'!$B$33,'Inputs'!$B$29+'Inputs'!$B$31+'Inputs'!$B$32,'Inputs'!$B$30+'Inputs'!$B$31+'Inputs'!$B$32)/1000+'Inputs'!$B$21+'Inputs'!$B$7+'Inputs'!$B$10))^2+('Inputs'!$B$8/2)^2))))*'Results'!$B$8),"")</x:f>
        <x:v>3.654234751494669</x:v>
      </x:c>
      <x:c r="K563" t="n">
        <x:f>IF(AND(ISNUMBER('Results'!B7),ISNUMBER('Results'!C7),ISNUMBER('Results'!$B$8),ISNUMBER('Inputs'!$B$6),ISNUMBER('Inputs'!$B$7),ISNUMBER('Inputs'!$B$8),ISNUMBER('Inputs'!$B$9),ISNUMBER('Inputs'!$B$10),ISNUMBER('Inputs'!$B$21),ISNUMBER('Inputs'!$B$24),ISNUMBER('Inputs'!$B$28)),((('Results'!B7*(1-'Inputs'!$B$24)*(0.5*((((563-43)*MAX('Inputs'!$B$33,'Inputs'!$B$29+'Inputs'!$B$31+'Inputs'!$B$32,'Inputs'!$B$30+'Inputs'!$B$31+'Inputs'!$B$32)/1000+'Inputs'!$B$21)+'Inputs'!$B$7)/SQRT((((563-43)*MAX('Inputs'!$B$33,'Inputs'!$B$29+'Inputs'!$B$31+'Inputs'!$B$32,'Inputs'!$B$30+'Inputs'!$B$31+'Inputs'!$B$32)/1000+'Inputs'!$B$21)+'Inputs'!$B$7)^2+('Inputs'!$B$6/2)^2)-(((563-43)*MAX('Inputs'!$B$33,'Inputs'!$B$29+'Inputs'!$B$31+'Inputs'!$B$32,'Inputs'!$B$30+'Inputs'!$B$31+'Inputs'!$B$32)/1000+'Inputs'!$B$21))/SQRT((((563-43)*MAX('Inputs'!$B$33,'Inputs'!$B$29+'Inputs'!$B$31+'Inputs'!$B$32,'Inputs'!$B$30+'Inputs'!$B$31+'Inputs'!$B$32)/1000+'Inputs'!$B$21))^2+('Inputs'!$B$6/2)^2)))-'Results'!C7*(1+'Inputs'!$B$24)*(0.5*((((563-43)*MAX('Inputs'!$B$33,'Inputs'!$B$29+'Inputs'!$B$31+'Inputs'!$B$32,'Inputs'!$B$30+'Inputs'!$B$31+'Inputs'!$B$32)/1000+'Inputs'!$B$21+'Inputs'!$B$7+'Inputs'!$B$10)+'Inputs'!$B$9)/SQRT((((563-43)*MAX('Inputs'!$B$33,'Inputs'!$B$29+'Inputs'!$B$31+'Inputs'!$B$32,'Inputs'!$B$30+'Inputs'!$B$31+'Inputs'!$B$32)/1000+'Inputs'!$B$21+'Inputs'!$B$7+'Inputs'!$B$10)+'Inputs'!$B$9)^2+('Inputs'!$B$8/2)^2)-(((563-43)*MAX('Inputs'!$B$33,'Inputs'!$B$29+'Inputs'!$B$31+'Inputs'!$B$32,'Inputs'!$B$30+'Inputs'!$B$31+'Inputs'!$B$32)/1000+'Inputs'!$B$21+'Inputs'!$B$7+'Inputs'!$B$10))/SQRT((((563-43)*MAX('Inputs'!$B$33,'Inputs'!$B$29+'Inputs'!$B$31+'Inputs'!$B$32,'Inputs'!$B$30+'Inputs'!$B$31+'Inputs'!$B$32)/1000+'Inputs'!$B$21+'Inputs'!$B$7+'Inputs'!$B$10))^2+('Inputs'!$B$8/2)^2))))*'Results'!$B$8)-'Inputs'!$B$28*ABS((('Results'!B7*(1-'Inputs'!$B$24)*(0.5*((((563-43)*MAX('Inputs'!$B$33,'Inputs'!$B$29+'Inputs'!$B$31+'Inputs'!$B$32,'Inputs'!$B$30+'Inputs'!$B$31+'Inputs'!$B$32)/1000+'Inputs'!$B$21)+'Inputs'!$B$7)/SQRT((((563-43)*MAX('Inputs'!$B$33,'Inputs'!$B$29+'Inputs'!$B$31+'Inputs'!$B$32,'Inputs'!$B$30+'Inputs'!$B$31+'Inputs'!$B$32)/1000+'Inputs'!$B$21)+'Inputs'!$B$7)^2+('Inputs'!$B$6/2)^2)-(((563-43)*MAX('Inputs'!$B$33,'Inputs'!$B$29+'Inputs'!$B$31+'Inputs'!$B$32,'Inputs'!$B$30+'Inputs'!$B$31+'Inputs'!$B$32)/1000+'Inputs'!$B$21))/SQRT((((563-43)*MAX('Inputs'!$B$33,'Inputs'!$B$29+'Inputs'!$B$31+'Inputs'!$B$32,'Inputs'!$B$30+'Inputs'!$B$31+'Inputs'!$B$32)/1000+'Inputs'!$B$21))^2+('Inputs'!$B$6/2)^2)))-'Results'!C7*(1+'Inputs'!$B$24)*(0.5*((((563-43)*MAX('Inputs'!$B$33,'Inputs'!$B$29+'Inputs'!$B$31+'Inputs'!$B$32,'Inputs'!$B$30+'Inputs'!$B$31+'Inputs'!$B$32)/1000+'Inputs'!$B$21+'Inputs'!$B$7+'Inputs'!$B$10)+'Inputs'!$B$9)/SQRT((((563-43)*MAX('Inputs'!$B$33,'Inputs'!$B$29+'Inputs'!$B$31+'Inputs'!$B$32,'Inputs'!$B$30+'Inputs'!$B$31+'Inputs'!$B$32)/1000+'Inputs'!$B$21+'Inputs'!$B$7+'Inputs'!$B$10)+'Inputs'!$B$9)^2+('Inputs'!$B$8/2)^2)-(((563-43)*MAX('Inputs'!$B$33,'Inputs'!$B$29+'Inputs'!$B$31+'Inputs'!$B$32,'Inputs'!$B$30+'Inputs'!$B$31+'Inputs'!$B$32)/1000+'Inputs'!$B$21+'Inputs'!$B$7+'Inputs'!$B$10))/SQRT((((563-43)*MAX('Inputs'!$B$33,'Inputs'!$B$29+'Inputs'!$B$31+'Inputs'!$B$32,'Inputs'!$B$30+'Inputs'!$B$31+'Inputs'!$B$32)/1000+'Inputs'!$B$21+'Inputs'!$B$7+'Inputs'!$B$10))^2+('Inputs'!$B$8/2)^2))))*'Results'!$B$8))),"")</x:f>
        <x:v>3.2288861466241703</x:v>
      </x:c>
      <x:c r="L563" t="n">
        <x:f>IF(AND(ISNUMBER('Results'!B7),ISNUMBER('Results'!C7),ISNUMBER('Results'!$B$8),ISNUMBER('Inputs'!$B$6),ISNUMBER('Inputs'!$B$7),ISNUMBER('Inputs'!$B$8),ISNUMBER('Inputs'!$B$9),ISNUMBER('Inputs'!$B$10),ISNUMBER('Inputs'!$B$21),ISNUMBER('Inputs'!$B$24),ISNUMBER('Inputs'!$B$28)),((('Results'!B7*(1+'Inputs'!$B$24)*(0.5*((((563-43)*MAX('Inputs'!$B$33,'Inputs'!$B$29+'Inputs'!$B$31+'Inputs'!$B$32,'Inputs'!$B$30+'Inputs'!$B$31+'Inputs'!$B$32)/1000+'Inputs'!$B$21)+'Inputs'!$B$7)/SQRT((((563-43)*MAX('Inputs'!$B$33,'Inputs'!$B$29+'Inputs'!$B$31+'Inputs'!$B$32,'Inputs'!$B$30+'Inputs'!$B$31+'Inputs'!$B$32)/1000+'Inputs'!$B$21)+'Inputs'!$B$7)^2+('Inputs'!$B$6/2)^2)-(((563-43)*MAX('Inputs'!$B$33,'Inputs'!$B$29+'Inputs'!$B$31+'Inputs'!$B$32,'Inputs'!$B$30+'Inputs'!$B$31+'Inputs'!$B$32)/1000+'Inputs'!$B$21))/SQRT((((563-43)*MAX('Inputs'!$B$33,'Inputs'!$B$29+'Inputs'!$B$31+'Inputs'!$B$32,'Inputs'!$B$30+'Inputs'!$B$31+'Inputs'!$B$32)/1000+'Inputs'!$B$21))^2+('Inputs'!$B$6/2)^2)))-'Results'!C7*(1-'Inputs'!$B$24)*(0.5*((((563-43)*MAX('Inputs'!$B$33,'Inputs'!$B$29+'Inputs'!$B$31+'Inputs'!$B$32,'Inputs'!$B$30+'Inputs'!$B$31+'Inputs'!$B$32)/1000+'Inputs'!$B$21+'Inputs'!$B$7+'Inputs'!$B$10)+'Inputs'!$B$9)/SQRT((((563-43)*MAX('Inputs'!$B$33,'Inputs'!$B$29+'Inputs'!$B$31+'Inputs'!$B$32,'Inputs'!$B$30+'Inputs'!$B$31+'Inputs'!$B$32)/1000+'Inputs'!$B$21+'Inputs'!$B$7+'Inputs'!$B$10)+'Inputs'!$B$9)^2+('Inputs'!$B$8/2)^2)-(((563-43)*MAX('Inputs'!$B$33,'Inputs'!$B$29+'Inputs'!$B$31+'Inputs'!$B$32,'Inputs'!$B$30+'Inputs'!$B$31+'Inputs'!$B$32)/1000+'Inputs'!$B$21+'Inputs'!$B$7+'Inputs'!$B$10))/SQRT((((563-43)*MAX('Inputs'!$B$33,'Inputs'!$B$29+'Inputs'!$B$31+'Inputs'!$B$32,'Inputs'!$B$30+'Inputs'!$B$31+'Inputs'!$B$32)/1000+'Inputs'!$B$21+'Inputs'!$B$7+'Inputs'!$B$10))^2+('Inputs'!$B$8/2)^2))))*'Results'!$B$8)+'Inputs'!$B$28*ABS((('Results'!B7*(1+'Inputs'!$B$24)*(0.5*((((563-43)*MAX('Inputs'!$B$33,'Inputs'!$B$29+'Inputs'!$B$31+'Inputs'!$B$32,'Inputs'!$B$30+'Inputs'!$B$31+'Inputs'!$B$32)/1000+'Inputs'!$B$21)+'Inputs'!$B$7)/SQRT((((563-43)*MAX('Inputs'!$B$33,'Inputs'!$B$29+'Inputs'!$B$31+'Inputs'!$B$32,'Inputs'!$B$30+'Inputs'!$B$31+'Inputs'!$B$32)/1000+'Inputs'!$B$21)+'Inputs'!$B$7)^2+('Inputs'!$B$6/2)^2)-(((563-43)*MAX('Inputs'!$B$33,'Inputs'!$B$29+'Inputs'!$B$31+'Inputs'!$B$32,'Inputs'!$B$30+'Inputs'!$B$31+'Inputs'!$B$32)/1000+'Inputs'!$B$21))/SQRT((((563-43)*MAX('Inputs'!$B$33,'Inputs'!$B$29+'Inputs'!$B$31+'Inputs'!$B$32,'Inputs'!$B$30+'Inputs'!$B$31+'Inputs'!$B$32)/1000+'Inputs'!$B$21))^2+('Inputs'!$B$6/2)^2)))-'Results'!C7*(1-'Inputs'!$B$24)*(0.5*((((563-43)*MAX('Inputs'!$B$33,'Inputs'!$B$29+'Inputs'!$B$31+'Inputs'!$B$32,'Inputs'!$B$30+'Inputs'!$B$31+'Inputs'!$B$32)/1000+'Inputs'!$B$21+'Inputs'!$B$7+'Inputs'!$B$10)+'Inputs'!$B$9)/SQRT((((563-43)*MAX('Inputs'!$B$33,'Inputs'!$B$29+'Inputs'!$B$31+'Inputs'!$B$32,'Inputs'!$B$30+'Inputs'!$B$31+'Inputs'!$B$32)/1000+'Inputs'!$B$21+'Inputs'!$B$7+'Inputs'!$B$10)+'Inputs'!$B$9)^2+('Inputs'!$B$8/2)^2)-(((563-43)*MAX('Inputs'!$B$33,'Inputs'!$B$29+'Inputs'!$B$31+'Inputs'!$B$32,'Inputs'!$B$30+'Inputs'!$B$31+'Inputs'!$B$32)/1000+'Inputs'!$B$21+'Inputs'!$B$7+'Inputs'!$B$10))/SQRT((((563-43)*MAX('Inputs'!$B$33,'Inputs'!$B$29+'Inputs'!$B$31+'Inputs'!$B$32,'Inputs'!$B$30+'Inputs'!$B$31+'Inputs'!$B$32)/1000+'Inputs'!$B$21+'Inputs'!$B$7+'Inputs'!$B$10))^2+('Inputs'!$B$8/2)^2))))*'Results'!$B$8))),"")</x:f>
        <x:v>4.105124079238407</x:v>
      </x:c>
      <x:c r="M563" t="n">
        <x:f>IF(AND(ISNUMBER('Results'!C7),ISNUMBER('Results'!B7),ISNUMBER('Results'!$B$8),ISNUMBER('Inputs'!$B$6),ISNUMBER('Inputs'!$B$7),ISNUMBER('Inputs'!$B$8),ISNUMBER('Inputs'!$B$9),ISNUMBER('Inputs'!$B$10),ISNUMBER('Inputs'!$B$21),ISNUMBER('Inputs'!$B$24),ISNUMBER('Inputs'!$B$28)),(('Results'!C7*(0.5*((((563-43)*MAX('Inputs'!$B$33,'Inputs'!$B$29+'Inputs'!$B$31+'Inputs'!$B$32,'Inputs'!$B$30+'Inputs'!$B$31+'Inputs'!$B$32)/1000+'Inputs'!$B$21)+'Inputs'!$B$9)/SQRT((((563-43)*MAX('Inputs'!$B$33,'Inputs'!$B$29+'Inputs'!$B$31+'Inputs'!$B$32,'Inputs'!$B$30+'Inputs'!$B$31+'Inputs'!$B$32)/1000+'Inputs'!$B$21)+'Inputs'!$B$9)^2+('Inputs'!$B$8/2)^2)-(((563-43)*MAX('Inputs'!$B$33,'Inputs'!$B$29+'Inputs'!$B$31+'Inputs'!$B$32,'Inputs'!$B$30+'Inputs'!$B$31+'Inputs'!$B$32)/1000+'Inputs'!$B$21))/SQRT((((563-43)*MAX('Inputs'!$B$33,'Inputs'!$B$29+'Inputs'!$B$31+'Inputs'!$B$32,'Inputs'!$B$30+'Inputs'!$B$31+'Inputs'!$B$32)/1000+'Inputs'!$B$21))^2+('Inputs'!$B$8/2)^2)))-'Results'!B7*(0.5*((((563-43)*MAX('Inputs'!$B$33,'Inputs'!$B$29+'Inputs'!$B$31+'Inputs'!$B$32,'Inputs'!$B$30+'Inputs'!$B$31+'Inputs'!$B$32)/1000+'Inputs'!$B$21+'Inputs'!$B$9+'Inputs'!$B$10)+'Inputs'!$B$7)/SQRT((((563-43)*MAX('Inputs'!$B$33,'Inputs'!$B$29+'Inputs'!$B$31+'Inputs'!$B$32,'Inputs'!$B$30+'Inputs'!$B$31+'Inputs'!$B$32)/1000+'Inputs'!$B$21+'Inputs'!$B$9+'Inputs'!$B$10)+'Inputs'!$B$7)^2+('Inputs'!$B$6/2)^2)-(((563-43)*MAX('Inputs'!$B$33,'Inputs'!$B$29+'Inputs'!$B$31+'Inputs'!$B$32,'Inputs'!$B$30+'Inputs'!$B$31+'Inputs'!$B$32)/1000+'Inputs'!$B$21+'Inputs'!$B$9+'Inputs'!$B$10))/SQRT((((563-43)*MAX('Inputs'!$B$33,'Inputs'!$B$29+'Inputs'!$B$31+'Inputs'!$B$32,'Inputs'!$B$30+'Inputs'!$B$31+'Inputs'!$B$32)/1000+'Inputs'!$B$21+'Inputs'!$B$9+'Inputs'!$B$10))^2+('Inputs'!$B$6/2)^2))))*'Results'!$B$8),"")</x:f>
        <x:v>3.3969670887449124</x:v>
      </x:c>
      <x:c r="N563" t="n">
        <x:f>IF(AND(ISNUMBER('Results'!C7),ISNUMBER('Results'!B7),ISNUMBER('Results'!$B$8),ISNUMBER('Inputs'!$B$6),ISNUMBER('Inputs'!$B$7),ISNUMBER('Inputs'!$B$8),ISNUMBER('Inputs'!$B$9),ISNUMBER('Inputs'!$B$10),ISNUMBER('Inputs'!$B$21),ISNUMBER('Inputs'!$B$24),ISNUMBER('Inputs'!$B$28)),((('Results'!C7*(1-'Inputs'!$B$24)*(0.5*((((563-43)*MAX('Inputs'!$B$33,'Inputs'!$B$29+'Inputs'!$B$31+'Inputs'!$B$32,'Inputs'!$B$30+'Inputs'!$B$31+'Inputs'!$B$32)/1000+'Inputs'!$B$21)+'Inputs'!$B$9)/SQRT((((563-43)*MAX('Inputs'!$B$33,'Inputs'!$B$29+'Inputs'!$B$31+'Inputs'!$B$32,'Inputs'!$B$30+'Inputs'!$B$31+'Inputs'!$B$32)/1000+'Inputs'!$B$21)+'Inputs'!$B$9)^2+('Inputs'!$B$8/2)^2)-(((563-43)*MAX('Inputs'!$B$33,'Inputs'!$B$29+'Inputs'!$B$31+'Inputs'!$B$32,'Inputs'!$B$30+'Inputs'!$B$31+'Inputs'!$B$32)/1000+'Inputs'!$B$21))/SQRT((((563-43)*MAX('Inputs'!$B$33,'Inputs'!$B$29+'Inputs'!$B$31+'Inputs'!$B$32,'Inputs'!$B$30+'Inputs'!$B$31+'Inputs'!$B$32)/1000+'Inputs'!$B$21))^2+('Inputs'!$B$8/2)^2)))-'Results'!B7*(1+'Inputs'!$B$24)*(0.5*((((563-43)*MAX('Inputs'!$B$33,'Inputs'!$B$29+'Inputs'!$B$31+'Inputs'!$B$32,'Inputs'!$B$30+'Inputs'!$B$31+'Inputs'!$B$32)/1000+'Inputs'!$B$21+'Inputs'!$B$9+'Inputs'!$B$10)+'Inputs'!$B$7)/SQRT((((563-43)*MAX('Inputs'!$B$33,'Inputs'!$B$29+'Inputs'!$B$31+'Inputs'!$B$32,'Inputs'!$B$30+'Inputs'!$B$31+'Inputs'!$B$32)/1000+'Inputs'!$B$21+'Inputs'!$B$9+'Inputs'!$B$10)+'Inputs'!$B$7)^2+('Inputs'!$B$6/2)^2)-(((563-43)*MAX('Inputs'!$B$33,'Inputs'!$B$29+'Inputs'!$B$31+'Inputs'!$B$32,'Inputs'!$B$30+'Inputs'!$B$31+'Inputs'!$B$32)/1000+'Inputs'!$B$21+'Inputs'!$B$9+'Inputs'!$B$10))/SQRT((((563-43)*MAX('Inputs'!$B$33,'Inputs'!$B$29+'Inputs'!$B$31+'Inputs'!$B$32,'Inputs'!$B$30+'Inputs'!$B$31+'Inputs'!$B$32)/1000+'Inputs'!$B$21+'Inputs'!$B$9+'Inputs'!$B$10))^2+('Inputs'!$B$6/2)^2))))*'Results'!$B$8)-'Inputs'!$B$28*ABS((('Results'!C7*(1-'Inputs'!$B$24)*(0.5*((((563-43)*MAX('Inputs'!$B$33,'Inputs'!$B$29+'Inputs'!$B$31+'Inputs'!$B$32,'Inputs'!$B$30+'Inputs'!$B$31+'Inputs'!$B$32)/1000+'Inputs'!$B$21)+'Inputs'!$B$9)/SQRT((((563-43)*MAX('Inputs'!$B$33,'Inputs'!$B$29+'Inputs'!$B$31+'Inputs'!$B$32,'Inputs'!$B$30+'Inputs'!$B$31+'Inputs'!$B$32)/1000+'Inputs'!$B$21)+'Inputs'!$B$9)^2+('Inputs'!$B$8/2)^2)-(((563-43)*MAX('Inputs'!$B$33,'Inputs'!$B$29+'Inputs'!$B$31+'Inputs'!$B$32,'Inputs'!$B$30+'Inputs'!$B$31+'Inputs'!$B$32)/1000+'Inputs'!$B$21))/SQRT((((563-43)*MAX('Inputs'!$B$33,'Inputs'!$B$29+'Inputs'!$B$31+'Inputs'!$B$32,'Inputs'!$B$30+'Inputs'!$B$31+'Inputs'!$B$32)/1000+'Inputs'!$B$21))^2+('Inputs'!$B$8/2)^2)))-'Results'!B7*(1+'Inputs'!$B$24)*(0.5*((((563-43)*MAX('Inputs'!$B$33,'Inputs'!$B$29+'Inputs'!$B$31+'Inputs'!$B$32,'Inputs'!$B$30+'Inputs'!$B$31+'Inputs'!$B$32)/1000+'Inputs'!$B$21+'Inputs'!$B$9+'Inputs'!$B$10)+'Inputs'!$B$7)/SQRT((((563-43)*MAX('Inputs'!$B$33,'Inputs'!$B$29+'Inputs'!$B$31+'Inputs'!$B$32,'Inputs'!$B$30+'Inputs'!$B$31+'Inputs'!$B$32)/1000+'Inputs'!$B$21+'Inputs'!$B$9+'Inputs'!$B$10)+'Inputs'!$B$7)^2+('Inputs'!$B$6/2)^2)-(((563-43)*MAX('Inputs'!$B$33,'Inputs'!$B$29+'Inputs'!$B$31+'Inputs'!$B$32,'Inputs'!$B$30+'Inputs'!$B$31+'Inputs'!$B$32)/1000+'Inputs'!$B$21+'Inputs'!$B$9+'Inputs'!$B$10))/SQRT((((563-43)*MAX('Inputs'!$B$33,'Inputs'!$B$29+'Inputs'!$B$31+'Inputs'!$B$32,'Inputs'!$B$30+'Inputs'!$B$31+'Inputs'!$B$32)/1000+'Inputs'!$B$21+'Inputs'!$B$9+'Inputs'!$B$10))^2+('Inputs'!$B$6/2)^2))))*'Results'!$B$8))),"")</x:f>
        <x:v>2.9858351279711397</x:v>
      </x:c>
      <x:c r="O563" t="n">
        <x:f>IF(AND(ISNUMBER('Results'!C7),ISNUMBER('Results'!B7),ISNUMBER('Results'!$B$8),ISNUMBER('Inputs'!$B$6),ISNUMBER('Inputs'!$B$7),ISNUMBER('Inputs'!$B$8),ISNUMBER('Inputs'!$B$9),ISNUMBER('Inputs'!$B$10),ISNUMBER('Inputs'!$B$21),ISNUMBER('Inputs'!$B$24),ISNUMBER('Inputs'!$B$28)),((('Results'!C7*(1+'Inputs'!$B$24)*(0.5*((((563-43)*MAX('Inputs'!$B$33,'Inputs'!$B$29+'Inputs'!$B$31+'Inputs'!$B$32,'Inputs'!$B$30+'Inputs'!$B$31+'Inputs'!$B$32)/1000+'Inputs'!$B$21)+'Inputs'!$B$9)/SQRT((((563-43)*MAX('Inputs'!$B$33,'Inputs'!$B$29+'Inputs'!$B$31+'Inputs'!$B$32,'Inputs'!$B$30+'Inputs'!$B$31+'Inputs'!$B$32)/1000+'Inputs'!$B$21)+'Inputs'!$B$9)^2+('Inputs'!$B$8/2)^2)-(((563-43)*MAX('Inputs'!$B$33,'Inputs'!$B$29+'Inputs'!$B$31+'Inputs'!$B$32,'Inputs'!$B$30+'Inputs'!$B$31+'Inputs'!$B$32)/1000+'Inputs'!$B$21))/SQRT((((563-43)*MAX('Inputs'!$B$33,'Inputs'!$B$29+'Inputs'!$B$31+'Inputs'!$B$32,'Inputs'!$B$30+'Inputs'!$B$31+'Inputs'!$B$32)/1000+'Inputs'!$B$21))^2+('Inputs'!$B$8/2)^2)))-'Results'!B7*(1-'Inputs'!$B$24)*(0.5*((((563-43)*MAX('Inputs'!$B$33,'Inputs'!$B$29+'Inputs'!$B$31+'Inputs'!$B$32,'Inputs'!$B$30+'Inputs'!$B$31+'Inputs'!$B$32)/1000+'Inputs'!$B$21+'Inputs'!$B$9+'Inputs'!$B$10)+'Inputs'!$B$7)/SQRT((((563-43)*MAX('Inputs'!$B$33,'Inputs'!$B$29+'Inputs'!$B$31+'Inputs'!$B$32,'Inputs'!$B$30+'Inputs'!$B$31+'Inputs'!$B$32)/1000+'Inputs'!$B$21+'Inputs'!$B$9+'Inputs'!$B$10)+'Inputs'!$B$7)^2+('Inputs'!$B$6/2)^2)-(((563-43)*MAX('Inputs'!$B$33,'Inputs'!$B$29+'Inputs'!$B$31+'Inputs'!$B$32,'Inputs'!$B$30+'Inputs'!$B$31+'Inputs'!$B$32)/1000+'Inputs'!$B$21+'Inputs'!$B$9+'Inputs'!$B$10))/SQRT((((563-43)*MAX('Inputs'!$B$33,'Inputs'!$B$29+'Inputs'!$B$31+'Inputs'!$B$32,'Inputs'!$B$30+'Inputs'!$B$31+'Inputs'!$B$32)/1000+'Inputs'!$B$21+'Inputs'!$B$9+'Inputs'!$B$10))^2+('Inputs'!$B$6/2)^2))))*'Results'!$B$8)+'Inputs'!$B$28*ABS((('Results'!C7*(1+'Inputs'!$B$24)*(0.5*((((563-43)*MAX('Inputs'!$B$33,'Inputs'!$B$29+'Inputs'!$B$31+'Inputs'!$B$32,'Inputs'!$B$30+'Inputs'!$B$31+'Inputs'!$B$32)/1000+'Inputs'!$B$21)+'Inputs'!$B$9)/SQRT((((563-43)*MAX('Inputs'!$B$33,'Inputs'!$B$29+'Inputs'!$B$31+'Inputs'!$B$32,'Inputs'!$B$30+'Inputs'!$B$31+'Inputs'!$B$32)/1000+'Inputs'!$B$21)+'Inputs'!$B$9)^2+('Inputs'!$B$8/2)^2)-(((563-43)*MAX('Inputs'!$B$33,'Inputs'!$B$29+'Inputs'!$B$31+'Inputs'!$B$32,'Inputs'!$B$30+'Inputs'!$B$31+'Inputs'!$B$32)/1000+'Inputs'!$B$21))/SQRT((((563-43)*MAX('Inputs'!$B$33,'Inputs'!$B$29+'Inputs'!$B$31+'Inputs'!$B$32,'Inputs'!$B$30+'Inputs'!$B$31+'Inputs'!$B$32)/1000+'Inputs'!$B$21))^2+('Inputs'!$B$8/2)^2)))-'Results'!B7*(1-'Inputs'!$B$24)*(0.5*((((563-43)*MAX('Inputs'!$B$33,'Inputs'!$B$29+'Inputs'!$B$31+'Inputs'!$B$32,'Inputs'!$B$30+'Inputs'!$B$31+'Inputs'!$B$32)/1000+'Inputs'!$B$21+'Inputs'!$B$9+'Inputs'!$B$10)+'Inputs'!$B$7)/SQRT((((563-43)*MAX('Inputs'!$B$33,'Inputs'!$B$29+'Inputs'!$B$31+'Inputs'!$B$32,'Inputs'!$B$30+'Inputs'!$B$31+'Inputs'!$B$32)/1000+'Inputs'!$B$21+'Inputs'!$B$9+'Inputs'!$B$10)+'Inputs'!$B$7)^2+('Inputs'!$B$6/2)^2)-(((563-43)*MAX('Inputs'!$B$33,'Inputs'!$B$29+'Inputs'!$B$31+'Inputs'!$B$32,'Inputs'!$B$30+'Inputs'!$B$31+'Inputs'!$B$32)/1000+'Inputs'!$B$21+'Inputs'!$B$9+'Inputs'!$B$10))/SQRT((((563-43)*MAX('Inputs'!$B$33,'Inputs'!$B$29+'Inputs'!$B$31+'Inputs'!$B$32,'Inputs'!$B$30+'Inputs'!$B$31+'Inputs'!$B$32)/1000+'Inputs'!$B$21+'Inputs'!$B$9+'Inputs'!$B$10))^2+('Inputs'!$B$6/2)^2))))*'Results'!$B$8))),"")</x:f>
        <x:v>3.8334973238699</x:v>
      </x:c>
      <x:c r="P563" t="n">
        <x:f>IF(AND(MAX(J563,J562)&gt;0,J563&gt;J562+0.00000001),1,0)</x:f>
        <x:v>0</x:v>
      </x:c>
      <x:c r="Q563" t="n">
        <x:f>IF(AND(MAX(K563,K562)&gt;0,K563&gt;K562+0.00000001),1,0)</x:f>
        <x:v>0</x:v>
      </x:c>
      <x:c r="R563" t="n">
        <x:f>IF(AND(MAX(L563,L562)&gt;0,L563&gt;L562+0.00000001),1,0)</x:f>
        <x:v>0</x:v>
      </x:c>
      <x:c r="S563" t="n">
        <x:f>IF(AND(MAX(M563,M562)&gt;0,M563&gt;M562+0.00000001),1,0)</x:f>
        <x:v>0</x:v>
      </x:c>
      <x:c r="T563" t="n">
        <x:f>IF(AND(MAX(N563,N562)&gt;0,N563&gt;N562+0.00000001),1,0)</x:f>
        <x:v>0</x:v>
      </x:c>
      <x:c r="U563" t="n">
        <x:f>IF(AND(MAX(O563,O562)&gt;0,O563&gt;O562+0.00000001),1,0)</x:f>
        <x:v>0</x:v>
      </x:c>
    </x:row>
    <x:row r="564">
      <x:c r="J564" t="n">
        <x:f>IF(AND(ISNUMBER('Results'!B7),ISNUMBER('Results'!C7),ISNUMBER('Results'!$B$8),ISNUMBER('Inputs'!$B$6),ISNUMBER('Inputs'!$B$7),ISNUMBER('Inputs'!$B$8),ISNUMBER('Inputs'!$B$9),ISNUMBER('Inputs'!$B$10),ISNUMBER('Inputs'!$B$21),ISNUMBER('Inputs'!$B$24),ISNUMBER('Inputs'!$B$28)),(('Results'!B7*(0.5*((((564-43)*MAX('Inputs'!$B$33,'Inputs'!$B$29+'Inputs'!$B$31+'Inputs'!$B$32,'Inputs'!$B$30+'Inputs'!$B$31+'Inputs'!$B$32)/1000+'Inputs'!$B$21)+'Inputs'!$B$7)/SQRT((((564-43)*MAX('Inputs'!$B$33,'Inputs'!$B$29+'Inputs'!$B$31+'Inputs'!$B$32,'Inputs'!$B$30+'Inputs'!$B$31+'Inputs'!$B$32)/1000+'Inputs'!$B$21)+'Inputs'!$B$7)^2+('Inputs'!$B$6/2)^2)-(((564-43)*MAX('Inputs'!$B$33,'Inputs'!$B$29+'Inputs'!$B$31+'Inputs'!$B$32,'Inputs'!$B$30+'Inputs'!$B$31+'Inputs'!$B$32)/1000+'Inputs'!$B$21))/SQRT((((564-43)*MAX('Inputs'!$B$33,'Inputs'!$B$29+'Inputs'!$B$31+'Inputs'!$B$32,'Inputs'!$B$30+'Inputs'!$B$31+'Inputs'!$B$32)/1000+'Inputs'!$B$21))^2+('Inputs'!$B$6/2)^2)))-'Results'!C7*(0.5*((((564-43)*MAX('Inputs'!$B$33,'Inputs'!$B$29+'Inputs'!$B$31+'Inputs'!$B$32,'Inputs'!$B$30+'Inputs'!$B$31+'Inputs'!$B$32)/1000+'Inputs'!$B$21+'Inputs'!$B$7+'Inputs'!$B$10)+'Inputs'!$B$9)/SQRT((((564-43)*MAX('Inputs'!$B$33,'Inputs'!$B$29+'Inputs'!$B$31+'Inputs'!$B$32,'Inputs'!$B$30+'Inputs'!$B$31+'Inputs'!$B$32)/1000+'Inputs'!$B$21+'Inputs'!$B$7+'Inputs'!$B$10)+'Inputs'!$B$9)^2+('Inputs'!$B$8/2)^2)-(((564-43)*MAX('Inputs'!$B$33,'Inputs'!$B$29+'Inputs'!$B$31+'Inputs'!$B$32,'Inputs'!$B$30+'Inputs'!$B$31+'Inputs'!$B$32)/1000+'Inputs'!$B$21+'Inputs'!$B$7+'Inputs'!$B$10))/SQRT((((564-43)*MAX('Inputs'!$B$33,'Inputs'!$B$29+'Inputs'!$B$31+'Inputs'!$B$32,'Inputs'!$B$30+'Inputs'!$B$31+'Inputs'!$B$32)/1000+'Inputs'!$B$21+'Inputs'!$B$7+'Inputs'!$B$10))^2+('Inputs'!$B$8/2)^2))))*'Results'!$B$8),"")</x:f>
        <x:v>3.630200947821364</x:v>
      </x:c>
      <x:c r="K564" t="n">
        <x:f>IF(AND(ISNUMBER('Results'!B7),ISNUMBER('Results'!C7),ISNUMBER('Results'!$B$8),ISNUMBER('Inputs'!$B$6),ISNUMBER('Inputs'!$B$7),ISNUMBER('Inputs'!$B$8),ISNUMBER('Inputs'!$B$9),ISNUMBER('Inputs'!$B$10),ISNUMBER('Inputs'!$B$21),ISNUMBER('Inputs'!$B$24),ISNUMBER('Inputs'!$B$28)),((('Results'!B7*(1-'Inputs'!$B$24)*(0.5*((((564-43)*MAX('Inputs'!$B$33,'Inputs'!$B$29+'Inputs'!$B$31+'Inputs'!$B$32,'Inputs'!$B$30+'Inputs'!$B$31+'Inputs'!$B$32)/1000+'Inputs'!$B$21)+'Inputs'!$B$7)/SQRT((((564-43)*MAX('Inputs'!$B$33,'Inputs'!$B$29+'Inputs'!$B$31+'Inputs'!$B$32,'Inputs'!$B$30+'Inputs'!$B$31+'Inputs'!$B$32)/1000+'Inputs'!$B$21)+'Inputs'!$B$7)^2+('Inputs'!$B$6/2)^2)-(((564-43)*MAX('Inputs'!$B$33,'Inputs'!$B$29+'Inputs'!$B$31+'Inputs'!$B$32,'Inputs'!$B$30+'Inputs'!$B$31+'Inputs'!$B$32)/1000+'Inputs'!$B$21))/SQRT((((564-43)*MAX('Inputs'!$B$33,'Inputs'!$B$29+'Inputs'!$B$31+'Inputs'!$B$32,'Inputs'!$B$30+'Inputs'!$B$31+'Inputs'!$B$32)/1000+'Inputs'!$B$21))^2+('Inputs'!$B$6/2)^2)))-'Results'!C7*(1+'Inputs'!$B$24)*(0.5*((((564-43)*MAX('Inputs'!$B$33,'Inputs'!$B$29+'Inputs'!$B$31+'Inputs'!$B$32,'Inputs'!$B$30+'Inputs'!$B$31+'Inputs'!$B$32)/1000+'Inputs'!$B$21+'Inputs'!$B$7+'Inputs'!$B$10)+'Inputs'!$B$9)/SQRT((((564-43)*MAX('Inputs'!$B$33,'Inputs'!$B$29+'Inputs'!$B$31+'Inputs'!$B$32,'Inputs'!$B$30+'Inputs'!$B$31+'Inputs'!$B$32)/1000+'Inputs'!$B$21+'Inputs'!$B$7+'Inputs'!$B$10)+'Inputs'!$B$9)^2+('Inputs'!$B$8/2)^2)-(((564-43)*MAX('Inputs'!$B$33,'Inputs'!$B$29+'Inputs'!$B$31+'Inputs'!$B$32,'Inputs'!$B$30+'Inputs'!$B$31+'Inputs'!$B$32)/1000+'Inputs'!$B$21+'Inputs'!$B$7+'Inputs'!$B$10))/SQRT((((564-43)*MAX('Inputs'!$B$33,'Inputs'!$B$29+'Inputs'!$B$31+'Inputs'!$B$32,'Inputs'!$B$30+'Inputs'!$B$31+'Inputs'!$B$32)/1000+'Inputs'!$B$21+'Inputs'!$B$7+'Inputs'!$B$10))^2+('Inputs'!$B$8/2)^2))))*'Results'!$B$8)-'Inputs'!$B$28*ABS((('Results'!B7*(1-'Inputs'!$B$24)*(0.5*((((564-43)*MAX('Inputs'!$B$33,'Inputs'!$B$29+'Inputs'!$B$31+'Inputs'!$B$32,'Inputs'!$B$30+'Inputs'!$B$31+'Inputs'!$B$32)/1000+'Inputs'!$B$21)+'Inputs'!$B$7)/SQRT((((564-43)*MAX('Inputs'!$B$33,'Inputs'!$B$29+'Inputs'!$B$31+'Inputs'!$B$32,'Inputs'!$B$30+'Inputs'!$B$31+'Inputs'!$B$32)/1000+'Inputs'!$B$21)+'Inputs'!$B$7)^2+('Inputs'!$B$6/2)^2)-(((564-43)*MAX('Inputs'!$B$33,'Inputs'!$B$29+'Inputs'!$B$31+'Inputs'!$B$32,'Inputs'!$B$30+'Inputs'!$B$31+'Inputs'!$B$32)/1000+'Inputs'!$B$21))/SQRT((((564-43)*MAX('Inputs'!$B$33,'Inputs'!$B$29+'Inputs'!$B$31+'Inputs'!$B$32,'Inputs'!$B$30+'Inputs'!$B$31+'Inputs'!$B$32)/1000+'Inputs'!$B$21))^2+('Inputs'!$B$6/2)^2)))-'Results'!C7*(1+'Inputs'!$B$24)*(0.5*((((564-43)*MAX('Inputs'!$B$33,'Inputs'!$B$29+'Inputs'!$B$31+'Inputs'!$B$32,'Inputs'!$B$30+'Inputs'!$B$31+'Inputs'!$B$32)/1000+'Inputs'!$B$21+'Inputs'!$B$7+'Inputs'!$B$10)+'Inputs'!$B$9)/SQRT((((564-43)*MAX('Inputs'!$B$33,'Inputs'!$B$29+'Inputs'!$B$31+'Inputs'!$B$32,'Inputs'!$B$30+'Inputs'!$B$31+'Inputs'!$B$32)/1000+'Inputs'!$B$21+'Inputs'!$B$7+'Inputs'!$B$10)+'Inputs'!$B$9)^2+('Inputs'!$B$8/2)^2)-(((564-43)*MAX('Inputs'!$B$33,'Inputs'!$B$29+'Inputs'!$B$31+'Inputs'!$B$32,'Inputs'!$B$30+'Inputs'!$B$31+'Inputs'!$B$32)/1000+'Inputs'!$B$21+'Inputs'!$B$7+'Inputs'!$B$10))/SQRT((((564-43)*MAX('Inputs'!$B$33,'Inputs'!$B$29+'Inputs'!$B$31+'Inputs'!$B$32,'Inputs'!$B$30+'Inputs'!$B$31+'Inputs'!$B$32)/1000+'Inputs'!$B$21+'Inputs'!$B$7+'Inputs'!$B$10))^2+('Inputs'!$B$8/2)^2))))*'Results'!$B$8))),"")</x:f>
        <x:v>3.2072916132782403</x:v>
      </x:c>
      <x:c r="L564" t="n">
        <x:f>IF(AND(ISNUMBER('Results'!B7),ISNUMBER('Results'!C7),ISNUMBER('Results'!$B$8),ISNUMBER('Inputs'!$B$6),ISNUMBER('Inputs'!$B$7),ISNUMBER('Inputs'!$B$8),ISNUMBER('Inputs'!$B$9),ISNUMBER('Inputs'!$B$10),ISNUMBER('Inputs'!$B$21),ISNUMBER('Inputs'!$B$24),ISNUMBER('Inputs'!$B$28)),((('Results'!B7*(1+'Inputs'!$B$24)*(0.5*((((564-43)*MAX('Inputs'!$B$33,'Inputs'!$B$29+'Inputs'!$B$31+'Inputs'!$B$32,'Inputs'!$B$30+'Inputs'!$B$31+'Inputs'!$B$32)/1000+'Inputs'!$B$21)+'Inputs'!$B$7)/SQRT((((564-43)*MAX('Inputs'!$B$33,'Inputs'!$B$29+'Inputs'!$B$31+'Inputs'!$B$32,'Inputs'!$B$30+'Inputs'!$B$31+'Inputs'!$B$32)/1000+'Inputs'!$B$21)+'Inputs'!$B$7)^2+('Inputs'!$B$6/2)^2)-(((564-43)*MAX('Inputs'!$B$33,'Inputs'!$B$29+'Inputs'!$B$31+'Inputs'!$B$32,'Inputs'!$B$30+'Inputs'!$B$31+'Inputs'!$B$32)/1000+'Inputs'!$B$21))/SQRT((((564-43)*MAX('Inputs'!$B$33,'Inputs'!$B$29+'Inputs'!$B$31+'Inputs'!$B$32,'Inputs'!$B$30+'Inputs'!$B$31+'Inputs'!$B$32)/1000+'Inputs'!$B$21))^2+('Inputs'!$B$6/2)^2)))-'Results'!C7*(1-'Inputs'!$B$24)*(0.5*((((564-43)*MAX('Inputs'!$B$33,'Inputs'!$B$29+'Inputs'!$B$31+'Inputs'!$B$32,'Inputs'!$B$30+'Inputs'!$B$31+'Inputs'!$B$32)/1000+'Inputs'!$B$21+'Inputs'!$B$7+'Inputs'!$B$10)+'Inputs'!$B$9)/SQRT((((564-43)*MAX('Inputs'!$B$33,'Inputs'!$B$29+'Inputs'!$B$31+'Inputs'!$B$32,'Inputs'!$B$30+'Inputs'!$B$31+'Inputs'!$B$32)/1000+'Inputs'!$B$21+'Inputs'!$B$7+'Inputs'!$B$10)+'Inputs'!$B$9)^2+('Inputs'!$B$8/2)^2)-(((564-43)*MAX('Inputs'!$B$33,'Inputs'!$B$29+'Inputs'!$B$31+'Inputs'!$B$32,'Inputs'!$B$30+'Inputs'!$B$31+'Inputs'!$B$32)/1000+'Inputs'!$B$21+'Inputs'!$B$7+'Inputs'!$B$10))/SQRT((((564-43)*MAX('Inputs'!$B$33,'Inputs'!$B$29+'Inputs'!$B$31+'Inputs'!$B$32,'Inputs'!$B$30+'Inputs'!$B$31+'Inputs'!$B$32)/1000+'Inputs'!$B$21+'Inputs'!$B$7+'Inputs'!$B$10))^2+('Inputs'!$B$8/2)^2))))*'Results'!$B$8)+'Inputs'!$B$28*ABS((('Results'!B7*(1+'Inputs'!$B$24)*(0.5*((((564-43)*MAX('Inputs'!$B$33,'Inputs'!$B$29+'Inputs'!$B$31+'Inputs'!$B$32,'Inputs'!$B$30+'Inputs'!$B$31+'Inputs'!$B$32)/1000+'Inputs'!$B$21)+'Inputs'!$B$7)/SQRT((((564-43)*MAX('Inputs'!$B$33,'Inputs'!$B$29+'Inputs'!$B$31+'Inputs'!$B$32,'Inputs'!$B$30+'Inputs'!$B$31+'Inputs'!$B$32)/1000+'Inputs'!$B$21)+'Inputs'!$B$7)^2+('Inputs'!$B$6/2)^2)-(((564-43)*MAX('Inputs'!$B$33,'Inputs'!$B$29+'Inputs'!$B$31+'Inputs'!$B$32,'Inputs'!$B$30+'Inputs'!$B$31+'Inputs'!$B$32)/1000+'Inputs'!$B$21))/SQRT((((564-43)*MAX('Inputs'!$B$33,'Inputs'!$B$29+'Inputs'!$B$31+'Inputs'!$B$32,'Inputs'!$B$30+'Inputs'!$B$31+'Inputs'!$B$32)/1000+'Inputs'!$B$21))^2+('Inputs'!$B$6/2)^2)))-'Results'!C7*(1-'Inputs'!$B$24)*(0.5*((((564-43)*MAX('Inputs'!$B$33,'Inputs'!$B$29+'Inputs'!$B$31+'Inputs'!$B$32,'Inputs'!$B$30+'Inputs'!$B$31+'Inputs'!$B$32)/1000+'Inputs'!$B$21+'Inputs'!$B$7+'Inputs'!$B$10)+'Inputs'!$B$9)/SQRT((((564-43)*MAX('Inputs'!$B$33,'Inputs'!$B$29+'Inputs'!$B$31+'Inputs'!$B$32,'Inputs'!$B$30+'Inputs'!$B$31+'Inputs'!$B$32)/1000+'Inputs'!$B$21+'Inputs'!$B$7+'Inputs'!$B$10)+'Inputs'!$B$9)^2+('Inputs'!$B$8/2)^2)-(((564-43)*MAX('Inputs'!$B$33,'Inputs'!$B$29+'Inputs'!$B$31+'Inputs'!$B$32,'Inputs'!$B$30+'Inputs'!$B$31+'Inputs'!$B$32)/1000+'Inputs'!$B$21+'Inputs'!$B$7+'Inputs'!$B$10))/SQRT((((564-43)*MAX('Inputs'!$B$33,'Inputs'!$B$29+'Inputs'!$B$31+'Inputs'!$B$32,'Inputs'!$B$30+'Inputs'!$B$31+'Inputs'!$B$32)/1000+'Inputs'!$B$21+'Inputs'!$B$7+'Inputs'!$B$10))^2+('Inputs'!$B$8/2)^2))))*'Results'!$B$8))),"")</x:f>
        <x:v>4.07852073364365</x:v>
      </x:c>
      <x:c r="M564" t="n">
        <x:f>IF(AND(ISNUMBER('Results'!C7),ISNUMBER('Results'!B7),ISNUMBER('Results'!$B$8),ISNUMBER('Inputs'!$B$6),ISNUMBER('Inputs'!$B$7),ISNUMBER('Inputs'!$B$8),ISNUMBER('Inputs'!$B$9),ISNUMBER('Inputs'!$B$10),ISNUMBER('Inputs'!$B$21),ISNUMBER('Inputs'!$B$24),ISNUMBER('Inputs'!$B$28)),(('Results'!C7*(0.5*((((564-43)*MAX('Inputs'!$B$33,'Inputs'!$B$29+'Inputs'!$B$31+'Inputs'!$B$32,'Inputs'!$B$30+'Inputs'!$B$31+'Inputs'!$B$32)/1000+'Inputs'!$B$21)+'Inputs'!$B$9)/SQRT((((564-43)*MAX('Inputs'!$B$33,'Inputs'!$B$29+'Inputs'!$B$31+'Inputs'!$B$32,'Inputs'!$B$30+'Inputs'!$B$31+'Inputs'!$B$32)/1000+'Inputs'!$B$21)+'Inputs'!$B$9)^2+('Inputs'!$B$8/2)^2)-(((564-43)*MAX('Inputs'!$B$33,'Inputs'!$B$29+'Inputs'!$B$31+'Inputs'!$B$32,'Inputs'!$B$30+'Inputs'!$B$31+'Inputs'!$B$32)/1000+'Inputs'!$B$21))/SQRT((((564-43)*MAX('Inputs'!$B$33,'Inputs'!$B$29+'Inputs'!$B$31+'Inputs'!$B$32,'Inputs'!$B$30+'Inputs'!$B$31+'Inputs'!$B$32)/1000+'Inputs'!$B$21))^2+('Inputs'!$B$8/2)^2)))-'Results'!B7*(0.5*((((564-43)*MAX('Inputs'!$B$33,'Inputs'!$B$29+'Inputs'!$B$31+'Inputs'!$B$32,'Inputs'!$B$30+'Inputs'!$B$31+'Inputs'!$B$32)/1000+'Inputs'!$B$21+'Inputs'!$B$9+'Inputs'!$B$10)+'Inputs'!$B$7)/SQRT((((564-43)*MAX('Inputs'!$B$33,'Inputs'!$B$29+'Inputs'!$B$31+'Inputs'!$B$32,'Inputs'!$B$30+'Inputs'!$B$31+'Inputs'!$B$32)/1000+'Inputs'!$B$21+'Inputs'!$B$9+'Inputs'!$B$10)+'Inputs'!$B$7)^2+('Inputs'!$B$6/2)^2)-(((564-43)*MAX('Inputs'!$B$33,'Inputs'!$B$29+'Inputs'!$B$31+'Inputs'!$B$32,'Inputs'!$B$30+'Inputs'!$B$31+'Inputs'!$B$32)/1000+'Inputs'!$B$21+'Inputs'!$B$9+'Inputs'!$B$10))/SQRT((((564-43)*MAX('Inputs'!$B$33,'Inputs'!$B$29+'Inputs'!$B$31+'Inputs'!$B$32,'Inputs'!$B$30+'Inputs'!$B$31+'Inputs'!$B$32)/1000+'Inputs'!$B$21+'Inputs'!$B$9+'Inputs'!$B$10))^2+('Inputs'!$B$6/2)^2))))*'Results'!$B$8),"")</x:f>
        <x:v>3.3742443891742666</x:v>
      </x:c>
      <x:c r="N564" t="n">
        <x:f>IF(AND(ISNUMBER('Results'!C7),ISNUMBER('Results'!B7),ISNUMBER('Results'!$B$8),ISNUMBER('Inputs'!$B$6),ISNUMBER('Inputs'!$B$7),ISNUMBER('Inputs'!$B$8),ISNUMBER('Inputs'!$B$9),ISNUMBER('Inputs'!$B$10),ISNUMBER('Inputs'!$B$21),ISNUMBER('Inputs'!$B$24),ISNUMBER('Inputs'!$B$28)),((('Results'!C7*(1-'Inputs'!$B$24)*(0.5*((((564-43)*MAX('Inputs'!$B$33,'Inputs'!$B$29+'Inputs'!$B$31+'Inputs'!$B$32,'Inputs'!$B$30+'Inputs'!$B$31+'Inputs'!$B$32)/1000+'Inputs'!$B$21)+'Inputs'!$B$9)/SQRT((((564-43)*MAX('Inputs'!$B$33,'Inputs'!$B$29+'Inputs'!$B$31+'Inputs'!$B$32,'Inputs'!$B$30+'Inputs'!$B$31+'Inputs'!$B$32)/1000+'Inputs'!$B$21)+'Inputs'!$B$9)^2+('Inputs'!$B$8/2)^2)-(((564-43)*MAX('Inputs'!$B$33,'Inputs'!$B$29+'Inputs'!$B$31+'Inputs'!$B$32,'Inputs'!$B$30+'Inputs'!$B$31+'Inputs'!$B$32)/1000+'Inputs'!$B$21))/SQRT((((564-43)*MAX('Inputs'!$B$33,'Inputs'!$B$29+'Inputs'!$B$31+'Inputs'!$B$32,'Inputs'!$B$30+'Inputs'!$B$31+'Inputs'!$B$32)/1000+'Inputs'!$B$21))^2+('Inputs'!$B$8/2)^2)))-'Results'!B7*(1+'Inputs'!$B$24)*(0.5*((((564-43)*MAX('Inputs'!$B$33,'Inputs'!$B$29+'Inputs'!$B$31+'Inputs'!$B$32,'Inputs'!$B$30+'Inputs'!$B$31+'Inputs'!$B$32)/1000+'Inputs'!$B$21+'Inputs'!$B$9+'Inputs'!$B$10)+'Inputs'!$B$7)/SQRT((((564-43)*MAX('Inputs'!$B$33,'Inputs'!$B$29+'Inputs'!$B$31+'Inputs'!$B$32,'Inputs'!$B$30+'Inputs'!$B$31+'Inputs'!$B$32)/1000+'Inputs'!$B$21+'Inputs'!$B$9+'Inputs'!$B$10)+'Inputs'!$B$7)^2+('Inputs'!$B$6/2)^2)-(((564-43)*MAX('Inputs'!$B$33,'Inputs'!$B$29+'Inputs'!$B$31+'Inputs'!$B$32,'Inputs'!$B$30+'Inputs'!$B$31+'Inputs'!$B$32)/1000+'Inputs'!$B$21+'Inputs'!$B$9+'Inputs'!$B$10))/SQRT((((564-43)*MAX('Inputs'!$B$33,'Inputs'!$B$29+'Inputs'!$B$31+'Inputs'!$B$32,'Inputs'!$B$30+'Inputs'!$B$31+'Inputs'!$B$32)/1000+'Inputs'!$B$21+'Inputs'!$B$9+'Inputs'!$B$10))^2+('Inputs'!$B$6/2)^2))))*'Results'!$B$8)-'Inputs'!$B$28*ABS((('Results'!C7*(1-'Inputs'!$B$24)*(0.5*((((564-43)*MAX('Inputs'!$B$33,'Inputs'!$B$29+'Inputs'!$B$31+'Inputs'!$B$32,'Inputs'!$B$30+'Inputs'!$B$31+'Inputs'!$B$32)/1000+'Inputs'!$B$21)+'Inputs'!$B$9)/SQRT((((564-43)*MAX('Inputs'!$B$33,'Inputs'!$B$29+'Inputs'!$B$31+'Inputs'!$B$32,'Inputs'!$B$30+'Inputs'!$B$31+'Inputs'!$B$32)/1000+'Inputs'!$B$21)+'Inputs'!$B$9)^2+('Inputs'!$B$8/2)^2)-(((564-43)*MAX('Inputs'!$B$33,'Inputs'!$B$29+'Inputs'!$B$31+'Inputs'!$B$32,'Inputs'!$B$30+'Inputs'!$B$31+'Inputs'!$B$32)/1000+'Inputs'!$B$21))/SQRT((((564-43)*MAX('Inputs'!$B$33,'Inputs'!$B$29+'Inputs'!$B$31+'Inputs'!$B$32,'Inputs'!$B$30+'Inputs'!$B$31+'Inputs'!$B$32)/1000+'Inputs'!$B$21))^2+('Inputs'!$B$8/2)^2)))-'Results'!B7*(1+'Inputs'!$B$24)*(0.5*((((564-43)*MAX('Inputs'!$B$33,'Inputs'!$B$29+'Inputs'!$B$31+'Inputs'!$B$32,'Inputs'!$B$30+'Inputs'!$B$31+'Inputs'!$B$32)/1000+'Inputs'!$B$21+'Inputs'!$B$9+'Inputs'!$B$10)+'Inputs'!$B$7)/SQRT((((564-43)*MAX('Inputs'!$B$33,'Inputs'!$B$29+'Inputs'!$B$31+'Inputs'!$B$32,'Inputs'!$B$30+'Inputs'!$B$31+'Inputs'!$B$32)/1000+'Inputs'!$B$21+'Inputs'!$B$9+'Inputs'!$B$10)+'Inputs'!$B$7)^2+('Inputs'!$B$6/2)^2)-(((564-43)*MAX('Inputs'!$B$33,'Inputs'!$B$29+'Inputs'!$B$31+'Inputs'!$B$32,'Inputs'!$B$30+'Inputs'!$B$31+'Inputs'!$B$32)/1000+'Inputs'!$B$21+'Inputs'!$B$9+'Inputs'!$B$10))/SQRT((((564-43)*MAX('Inputs'!$B$33,'Inputs'!$B$29+'Inputs'!$B$31+'Inputs'!$B$32,'Inputs'!$B$30+'Inputs'!$B$31+'Inputs'!$B$32)/1000+'Inputs'!$B$21+'Inputs'!$B$9+'Inputs'!$B$10))^2+('Inputs'!$B$6/2)^2))))*'Results'!$B$8))),"")</x:f>
        <x:v>2.965477170052417</x:v>
      </x:c>
      <x:c r="O564" t="n">
        <x:f>IF(AND(ISNUMBER('Results'!C7),ISNUMBER('Results'!B7),ISNUMBER('Results'!$B$8),ISNUMBER('Inputs'!$B$6),ISNUMBER('Inputs'!$B$7),ISNUMBER('Inputs'!$B$8),ISNUMBER('Inputs'!$B$9),ISNUMBER('Inputs'!$B$10),ISNUMBER('Inputs'!$B$21),ISNUMBER('Inputs'!$B$24),ISNUMBER('Inputs'!$B$28)),((('Results'!C7*(1+'Inputs'!$B$24)*(0.5*((((564-43)*MAX('Inputs'!$B$33,'Inputs'!$B$29+'Inputs'!$B$31+'Inputs'!$B$32,'Inputs'!$B$30+'Inputs'!$B$31+'Inputs'!$B$32)/1000+'Inputs'!$B$21)+'Inputs'!$B$9)/SQRT((((564-43)*MAX('Inputs'!$B$33,'Inputs'!$B$29+'Inputs'!$B$31+'Inputs'!$B$32,'Inputs'!$B$30+'Inputs'!$B$31+'Inputs'!$B$32)/1000+'Inputs'!$B$21)+'Inputs'!$B$9)^2+('Inputs'!$B$8/2)^2)-(((564-43)*MAX('Inputs'!$B$33,'Inputs'!$B$29+'Inputs'!$B$31+'Inputs'!$B$32,'Inputs'!$B$30+'Inputs'!$B$31+'Inputs'!$B$32)/1000+'Inputs'!$B$21))/SQRT((((564-43)*MAX('Inputs'!$B$33,'Inputs'!$B$29+'Inputs'!$B$31+'Inputs'!$B$32,'Inputs'!$B$30+'Inputs'!$B$31+'Inputs'!$B$32)/1000+'Inputs'!$B$21))^2+('Inputs'!$B$8/2)^2)))-'Results'!B7*(1-'Inputs'!$B$24)*(0.5*((((564-43)*MAX('Inputs'!$B$33,'Inputs'!$B$29+'Inputs'!$B$31+'Inputs'!$B$32,'Inputs'!$B$30+'Inputs'!$B$31+'Inputs'!$B$32)/1000+'Inputs'!$B$21+'Inputs'!$B$9+'Inputs'!$B$10)+'Inputs'!$B$7)/SQRT((((564-43)*MAX('Inputs'!$B$33,'Inputs'!$B$29+'Inputs'!$B$31+'Inputs'!$B$32,'Inputs'!$B$30+'Inputs'!$B$31+'Inputs'!$B$32)/1000+'Inputs'!$B$21+'Inputs'!$B$9+'Inputs'!$B$10)+'Inputs'!$B$7)^2+('Inputs'!$B$6/2)^2)-(((564-43)*MAX('Inputs'!$B$33,'Inputs'!$B$29+'Inputs'!$B$31+'Inputs'!$B$32,'Inputs'!$B$30+'Inputs'!$B$31+'Inputs'!$B$32)/1000+'Inputs'!$B$21+'Inputs'!$B$9+'Inputs'!$B$10))/SQRT((((564-43)*MAX('Inputs'!$B$33,'Inputs'!$B$29+'Inputs'!$B$31+'Inputs'!$B$32,'Inputs'!$B$30+'Inputs'!$B$31+'Inputs'!$B$32)/1000+'Inputs'!$B$21+'Inputs'!$B$9+'Inputs'!$B$10))^2+('Inputs'!$B$6/2)^2))))*'Results'!$B$8)+'Inputs'!$B$28*ABS((('Results'!C7*(1+'Inputs'!$B$24)*(0.5*((((564-43)*MAX('Inputs'!$B$33,'Inputs'!$B$29+'Inputs'!$B$31+'Inputs'!$B$32,'Inputs'!$B$30+'Inputs'!$B$31+'Inputs'!$B$32)/1000+'Inputs'!$B$21)+'Inputs'!$B$9)/SQRT((((564-43)*MAX('Inputs'!$B$33,'Inputs'!$B$29+'Inputs'!$B$31+'Inputs'!$B$32,'Inputs'!$B$30+'Inputs'!$B$31+'Inputs'!$B$32)/1000+'Inputs'!$B$21)+'Inputs'!$B$9)^2+('Inputs'!$B$8/2)^2)-(((564-43)*MAX('Inputs'!$B$33,'Inputs'!$B$29+'Inputs'!$B$31+'Inputs'!$B$32,'Inputs'!$B$30+'Inputs'!$B$31+'Inputs'!$B$32)/1000+'Inputs'!$B$21))/SQRT((((564-43)*MAX('Inputs'!$B$33,'Inputs'!$B$29+'Inputs'!$B$31+'Inputs'!$B$32,'Inputs'!$B$30+'Inputs'!$B$31+'Inputs'!$B$32)/1000+'Inputs'!$B$21))^2+('Inputs'!$B$8/2)^2)))-'Results'!B7*(1-'Inputs'!$B$24)*(0.5*((((564-43)*MAX('Inputs'!$B$33,'Inputs'!$B$29+'Inputs'!$B$31+'Inputs'!$B$32,'Inputs'!$B$30+'Inputs'!$B$31+'Inputs'!$B$32)/1000+'Inputs'!$B$21+'Inputs'!$B$9+'Inputs'!$B$10)+'Inputs'!$B$7)/SQRT((((564-43)*MAX('Inputs'!$B$33,'Inputs'!$B$29+'Inputs'!$B$31+'Inputs'!$B$32,'Inputs'!$B$30+'Inputs'!$B$31+'Inputs'!$B$32)/1000+'Inputs'!$B$21+'Inputs'!$B$9+'Inputs'!$B$10)+'Inputs'!$B$7)^2+('Inputs'!$B$6/2)^2)-(((564-43)*MAX('Inputs'!$B$33,'Inputs'!$B$29+'Inputs'!$B$31+'Inputs'!$B$32,'Inputs'!$B$30+'Inputs'!$B$31+'Inputs'!$B$32)/1000+'Inputs'!$B$21+'Inputs'!$B$9+'Inputs'!$B$10))/SQRT((((564-43)*MAX('Inputs'!$B$33,'Inputs'!$B$29+'Inputs'!$B$31+'Inputs'!$B$32,'Inputs'!$B$30+'Inputs'!$B$31+'Inputs'!$B$32)/1000+'Inputs'!$B$21+'Inputs'!$B$9+'Inputs'!$B$10))^2+('Inputs'!$B$6/2)^2))))*'Results'!$B$8))),"")</x:f>
        <x:v>3.8082805556290773</x:v>
      </x:c>
      <x:c r="P564" t="n">
        <x:f>IF(AND(MAX(J564,J563)&gt;0,J564&gt;J563+0.00000001),1,0)</x:f>
        <x:v>0</x:v>
      </x:c>
      <x:c r="Q564" t="n">
        <x:f>IF(AND(MAX(K564,K563)&gt;0,K564&gt;K563+0.00000001),1,0)</x:f>
        <x:v>0</x:v>
      </x:c>
      <x:c r="R564" t="n">
        <x:f>IF(AND(MAX(L564,L563)&gt;0,L564&gt;L563+0.00000001),1,0)</x:f>
        <x:v>0</x:v>
      </x:c>
      <x:c r="S564" t="n">
        <x:f>IF(AND(MAX(M564,M563)&gt;0,M564&gt;M563+0.00000001),1,0)</x:f>
        <x:v>0</x:v>
      </x:c>
      <x:c r="T564" t="n">
        <x:f>IF(AND(MAX(N564,N563)&gt;0,N564&gt;N563+0.00000001),1,0)</x:f>
        <x:v>0</x:v>
      </x:c>
      <x:c r="U564" t="n">
        <x:f>IF(AND(MAX(O564,O563)&gt;0,O564&gt;O563+0.00000001),1,0)</x:f>
        <x:v>0</x:v>
      </x:c>
    </x:row>
    <x:row r="565">
      <x:c r="J565" t="n">
        <x:f>IF(AND(ISNUMBER('Results'!B7),ISNUMBER('Results'!C7),ISNUMBER('Results'!$B$8),ISNUMBER('Inputs'!$B$6),ISNUMBER('Inputs'!$B$7),ISNUMBER('Inputs'!$B$8),ISNUMBER('Inputs'!$B$9),ISNUMBER('Inputs'!$B$10),ISNUMBER('Inputs'!$B$21),ISNUMBER('Inputs'!$B$24),ISNUMBER('Inputs'!$B$28)),(('Results'!B7*(0.5*((((565-43)*MAX('Inputs'!$B$33,'Inputs'!$B$29+'Inputs'!$B$31+'Inputs'!$B$32,'Inputs'!$B$30+'Inputs'!$B$31+'Inputs'!$B$32)/1000+'Inputs'!$B$21)+'Inputs'!$B$7)/SQRT((((565-43)*MAX('Inputs'!$B$33,'Inputs'!$B$29+'Inputs'!$B$31+'Inputs'!$B$32,'Inputs'!$B$30+'Inputs'!$B$31+'Inputs'!$B$32)/1000+'Inputs'!$B$21)+'Inputs'!$B$7)^2+('Inputs'!$B$6/2)^2)-(((565-43)*MAX('Inputs'!$B$33,'Inputs'!$B$29+'Inputs'!$B$31+'Inputs'!$B$32,'Inputs'!$B$30+'Inputs'!$B$31+'Inputs'!$B$32)/1000+'Inputs'!$B$21))/SQRT((((565-43)*MAX('Inputs'!$B$33,'Inputs'!$B$29+'Inputs'!$B$31+'Inputs'!$B$32,'Inputs'!$B$30+'Inputs'!$B$31+'Inputs'!$B$32)/1000+'Inputs'!$B$21))^2+('Inputs'!$B$6/2)^2)))-'Results'!C7*(0.5*((((565-43)*MAX('Inputs'!$B$33,'Inputs'!$B$29+'Inputs'!$B$31+'Inputs'!$B$32,'Inputs'!$B$30+'Inputs'!$B$31+'Inputs'!$B$32)/1000+'Inputs'!$B$21+'Inputs'!$B$7+'Inputs'!$B$10)+'Inputs'!$B$9)/SQRT((((565-43)*MAX('Inputs'!$B$33,'Inputs'!$B$29+'Inputs'!$B$31+'Inputs'!$B$32,'Inputs'!$B$30+'Inputs'!$B$31+'Inputs'!$B$32)/1000+'Inputs'!$B$21+'Inputs'!$B$7+'Inputs'!$B$10)+'Inputs'!$B$9)^2+('Inputs'!$B$8/2)^2)-(((565-43)*MAX('Inputs'!$B$33,'Inputs'!$B$29+'Inputs'!$B$31+'Inputs'!$B$32,'Inputs'!$B$30+'Inputs'!$B$31+'Inputs'!$B$32)/1000+'Inputs'!$B$21+'Inputs'!$B$7+'Inputs'!$B$10))/SQRT((((565-43)*MAX('Inputs'!$B$33,'Inputs'!$B$29+'Inputs'!$B$31+'Inputs'!$B$32,'Inputs'!$B$30+'Inputs'!$B$31+'Inputs'!$B$32)/1000+'Inputs'!$B$21+'Inputs'!$B$7+'Inputs'!$B$10))^2+('Inputs'!$B$8/2)^2))))*'Results'!$B$8),"")</x:f>
        <x:v>3.6063647526618268</x:v>
      </x:c>
      <x:c r="K565" t="n">
        <x:f>IF(AND(ISNUMBER('Results'!B7),ISNUMBER('Results'!C7),ISNUMBER('Results'!$B$8),ISNUMBER('Inputs'!$B$6),ISNUMBER('Inputs'!$B$7),ISNUMBER('Inputs'!$B$8),ISNUMBER('Inputs'!$B$9),ISNUMBER('Inputs'!$B$10),ISNUMBER('Inputs'!$B$21),ISNUMBER('Inputs'!$B$24),ISNUMBER('Inputs'!$B$28)),((('Results'!B7*(1-'Inputs'!$B$24)*(0.5*((((565-43)*MAX('Inputs'!$B$33,'Inputs'!$B$29+'Inputs'!$B$31+'Inputs'!$B$32,'Inputs'!$B$30+'Inputs'!$B$31+'Inputs'!$B$32)/1000+'Inputs'!$B$21)+'Inputs'!$B$7)/SQRT((((565-43)*MAX('Inputs'!$B$33,'Inputs'!$B$29+'Inputs'!$B$31+'Inputs'!$B$32,'Inputs'!$B$30+'Inputs'!$B$31+'Inputs'!$B$32)/1000+'Inputs'!$B$21)+'Inputs'!$B$7)^2+('Inputs'!$B$6/2)^2)-(((565-43)*MAX('Inputs'!$B$33,'Inputs'!$B$29+'Inputs'!$B$31+'Inputs'!$B$32,'Inputs'!$B$30+'Inputs'!$B$31+'Inputs'!$B$32)/1000+'Inputs'!$B$21))/SQRT((((565-43)*MAX('Inputs'!$B$33,'Inputs'!$B$29+'Inputs'!$B$31+'Inputs'!$B$32,'Inputs'!$B$30+'Inputs'!$B$31+'Inputs'!$B$32)/1000+'Inputs'!$B$21))^2+('Inputs'!$B$6/2)^2)))-'Results'!C7*(1+'Inputs'!$B$24)*(0.5*((((565-43)*MAX('Inputs'!$B$33,'Inputs'!$B$29+'Inputs'!$B$31+'Inputs'!$B$32,'Inputs'!$B$30+'Inputs'!$B$31+'Inputs'!$B$32)/1000+'Inputs'!$B$21+'Inputs'!$B$7+'Inputs'!$B$10)+'Inputs'!$B$9)/SQRT((((565-43)*MAX('Inputs'!$B$33,'Inputs'!$B$29+'Inputs'!$B$31+'Inputs'!$B$32,'Inputs'!$B$30+'Inputs'!$B$31+'Inputs'!$B$32)/1000+'Inputs'!$B$21+'Inputs'!$B$7+'Inputs'!$B$10)+'Inputs'!$B$9)^2+('Inputs'!$B$8/2)^2)-(((565-43)*MAX('Inputs'!$B$33,'Inputs'!$B$29+'Inputs'!$B$31+'Inputs'!$B$32,'Inputs'!$B$30+'Inputs'!$B$31+'Inputs'!$B$32)/1000+'Inputs'!$B$21+'Inputs'!$B$7+'Inputs'!$B$10))/SQRT((((565-43)*MAX('Inputs'!$B$33,'Inputs'!$B$29+'Inputs'!$B$31+'Inputs'!$B$32,'Inputs'!$B$30+'Inputs'!$B$31+'Inputs'!$B$32)/1000+'Inputs'!$B$21+'Inputs'!$B$7+'Inputs'!$B$10))^2+('Inputs'!$B$8/2)^2))))*'Results'!$B$8)-'Inputs'!$B$28*ABS((('Results'!B7*(1-'Inputs'!$B$24)*(0.5*((((565-43)*MAX('Inputs'!$B$33,'Inputs'!$B$29+'Inputs'!$B$31+'Inputs'!$B$32,'Inputs'!$B$30+'Inputs'!$B$31+'Inputs'!$B$32)/1000+'Inputs'!$B$21)+'Inputs'!$B$7)/SQRT((((565-43)*MAX('Inputs'!$B$33,'Inputs'!$B$29+'Inputs'!$B$31+'Inputs'!$B$32,'Inputs'!$B$30+'Inputs'!$B$31+'Inputs'!$B$32)/1000+'Inputs'!$B$21)+'Inputs'!$B$7)^2+('Inputs'!$B$6/2)^2)-(((565-43)*MAX('Inputs'!$B$33,'Inputs'!$B$29+'Inputs'!$B$31+'Inputs'!$B$32,'Inputs'!$B$30+'Inputs'!$B$31+'Inputs'!$B$32)/1000+'Inputs'!$B$21))/SQRT((((565-43)*MAX('Inputs'!$B$33,'Inputs'!$B$29+'Inputs'!$B$31+'Inputs'!$B$32,'Inputs'!$B$30+'Inputs'!$B$31+'Inputs'!$B$32)/1000+'Inputs'!$B$21))^2+('Inputs'!$B$6/2)^2)))-'Results'!C7*(1+'Inputs'!$B$24)*(0.5*((((565-43)*MAX('Inputs'!$B$33,'Inputs'!$B$29+'Inputs'!$B$31+'Inputs'!$B$32,'Inputs'!$B$30+'Inputs'!$B$31+'Inputs'!$B$32)/1000+'Inputs'!$B$21+'Inputs'!$B$7+'Inputs'!$B$10)+'Inputs'!$B$9)/SQRT((((565-43)*MAX('Inputs'!$B$33,'Inputs'!$B$29+'Inputs'!$B$31+'Inputs'!$B$32,'Inputs'!$B$30+'Inputs'!$B$31+'Inputs'!$B$32)/1000+'Inputs'!$B$21+'Inputs'!$B$7+'Inputs'!$B$10)+'Inputs'!$B$9)^2+('Inputs'!$B$8/2)^2)-(((565-43)*MAX('Inputs'!$B$33,'Inputs'!$B$29+'Inputs'!$B$31+'Inputs'!$B$32,'Inputs'!$B$30+'Inputs'!$B$31+'Inputs'!$B$32)/1000+'Inputs'!$B$21+'Inputs'!$B$7+'Inputs'!$B$10))/SQRT((((565-43)*MAX('Inputs'!$B$33,'Inputs'!$B$29+'Inputs'!$B$31+'Inputs'!$B$32,'Inputs'!$B$30+'Inputs'!$B$31+'Inputs'!$B$32)/1000+'Inputs'!$B$21+'Inputs'!$B$7+'Inputs'!$B$10))^2+('Inputs'!$B$8/2)^2))))*'Results'!$B$8))),"")</x:f>
        <x:v>3.1858763816166755</x:v>
      </x:c>
      <x:c r="L565" t="n">
        <x:f>IF(AND(ISNUMBER('Results'!B7),ISNUMBER('Results'!C7),ISNUMBER('Results'!$B$8),ISNUMBER('Inputs'!$B$6),ISNUMBER('Inputs'!$B$7),ISNUMBER('Inputs'!$B$8),ISNUMBER('Inputs'!$B$9),ISNUMBER('Inputs'!$B$10),ISNUMBER('Inputs'!$B$21),ISNUMBER('Inputs'!$B$24),ISNUMBER('Inputs'!$B$28)),((('Results'!B7*(1+'Inputs'!$B$24)*(0.5*((((565-43)*MAX('Inputs'!$B$33,'Inputs'!$B$29+'Inputs'!$B$31+'Inputs'!$B$32,'Inputs'!$B$30+'Inputs'!$B$31+'Inputs'!$B$32)/1000+'Inputs'!$B$21)+'Inputs'!$B$7)/SQRT((((565-43)*MAX('Inputs'!$B$33,'Inputs'!$B$29+'Inputs'!$B$31+'Inputs'!$B$32,'Inputs'!$B$30+'Inputs'!$B$31+'Inputs'!$B$32)/1000+'Inputs'!$B$21)+'Inputs'!$B$7)^2+('Inputs'!$B$6/2)^2)-(((565-43)*MAX('Inputs'!$B$33,'Inputs'!$B$29+'Inputs'!$B$31+'Inputs'!$B$32,'Inputs'!$B$30+'Inputs'!$B$31+'Inputs'!$B$32)/1000+'Inputs'!$B$21))/SQRT((((565-43)*MAX('Inputs'!$B$33,'Inputs'!$B$29+'Inputs'!$B$31+'Inputs'!$B$32,'Inputs'!$B$30+'Inputs'!$B$31+'Inputs'!$B$32)/1000+'Inputs'!$B$21))^2+('Inputs'!$B$6/2)^2)))-'Results'!C7*(1-'Inputs'!$B$24)*(0.5*((((565-43)*MAX('Inputs'!$B$33,'Inputs'!$B$29+'Inputs'!$B$31+'Inputs'!$B$32,'Inputs'!$B$30+'Inputs'!$B$31+'Inputs'!$B$32)/1000+'Inputs'!$B$21+'Inputs'!$B$7+'Inputs'!$B$10)+'Inputs'!$B$9)/SQRT((((565-43)*MAX('Inputs'!$B$33,'Inputs'!$B$29+'Inputs'!$B$31+'Inputs'!$B$32,'Inputs'!$B$30+'Inputs'!$B$31+'Inputs'!$B$32)/1000+'Inputs'!$B$21+'Inputs'!$B$7+'Inputs'!$B$10)+'Inputs'!$B$9)^2+('Inputs'!$B$8/2)^2)-(((565-43)*MAX('Inputs'!$B$33,'Inputs'!$B$29+'Inputs'!$B$31+'Inputs'!$B$32,'Inputs'!$B$30+'Inputs'!$B$31+'Inputs'!$B$32)/1000+'Inputs'!$B$21+'Inputs'!$B$7+'Inputs'!$B$10))/SQRT((((565-43)*MAX('Inputs'!$B$33,'Inputs'!$B$29+'Inputs'!$B$31+'Inputs'!$B$32,'Inputs'!$B$30+'Inputs'!$B$31+'Inputs'!$B$32)/1000+'Inputs'!$B$21+'Inputs'!$B$7+'Inputs'!$B$10))^2+('Inputs'!$B$8/2)^2))))*'Results'!$B$8)+'Inputs'!$B$28*ABS((('Results'!B7*(1+'Inputs'!$B$24)*(0.5*((((565-43)*MAX('Inputs'!$B$33,'Inputs'!$B$29+'Inputs'!$B$31+'Inputs'!$B$32,'Inputs'!$B$30+'Inputs'!$B$31+'Inputs'!$B$32)/1000+'Inputs'!$B$21)+'Inputs'!$B$7)/SQRT((((565-43)*MAX('Inputs'!$B$33,'Inputs'!$B$29+'Inputs'!$B$31+'Inputs'!$B$32,'Inputs'!$B$30+'Inputs'!$B$31+'Inputs'!$B$32)/1000+'Inputs'!$B$21)+'Inputs'!$B$7)^2+('Inputs'!$B$6/2)^2)-(((565-43)*MAX('Inputs'!$B$33,'Inputs'!$B$29+'Inputs'!$B$31+'Inputs'!$B$32,'Inputs'!$B$30+'Inputs'!$B$31+'Inputs'!$B$32)/1000+'Inputs'!$B$21))/SQRT((((565-43)*MAX('Inputs'!$B$33,'Inputs'!$B$29+'Inputs'!$B$31+'Inputs'!$B$32,'Inputs'!$B$30+'Inputs'!$B$31+'Inputs'!$B$32)/1000+'Inputs'!$B$21))^2+('Inputs'!$B$6/2)^2)))-'Results'!C7*(1-'Inputs'!$B$24)*(0.5*((((565-43)*MAX('Inputs'!$B$33,'Inputs'!$B$29+'Inputs'!$B$31+'Inputs'!$B$32,'Inputs'!$B$30+'Inputs'!$B$31+'Inputs'!$B$32)/1000+'Inputs'!$B$21+'Inputs'!$B$7+'Inputs'!$B$10)+'Inputs'!$B$9)/SQRT((((565-43)*MAX('Inputs'!$B$33,'Inputs'!$B$29+'Inputs'!$B$31+'Inputs'!$B$32,'Inputs'!$B$30+'Inputs'!$B$31+'Inputs'!$B$32)/1000+'Inputs'!$B$21+'Inputs'!$B$7+'Inputs'!$B$10)+'Inputs'!$B$9)^2+('Inputs'!$B$8/2)^2)-(((565-43)*MAX('Inputs'!$B$33,'Inputs'!$B$29+'Inputs'!$B$31+'Inputs'!$B$32,'Inputs'!$B$30+'Inputs'!$B$31+'Inputs'!$B$32)/1000+'Inputs'!$B$21+'Inputs'!$B$7+'Inputs'!$B$10))/SQRT((((565-43)*MAX('Inputs'!$B$33,'Inputs'!$B$29+'Inputs'!$B$31+'Inputs'!$B$32,'Inputs'!$B$30+'Inputs'!$B$31+'Inputs'!$B$32)/1000+'Inputs'!$B$21+'Inputs'!$B$7+'Inputs'!$B$10))^2+('Inputs'!$B$8/2)^2))))*'Results'!$B$8))),"")</x:f>
        <x:v>4.05213419038193</x:v>
      </x:c>
      <x:c r="M565" t="n">
        <x:f>IF(AND(ISNUMBER('Results'!C7),ISNUMBER('Results'!B7),ISNUMBER('Results'!$B$8),ISNUMBER('Inputs'!$B$6),ISNUMBER('Inputs'!$B$7),ISNUMBER('Inputs'!$B$8),ISNUMBER('Inputs'!$B$9),ISNUMBER('Inputs'!$B$10),ISNUMBER('Inputs'!$B$21),ISNUMBER('Inputs'!$B$24),ISNUMBER('Inputs'!$B$28)),(('Results'!C7*(0.5*((((565-43)*MAX('Inputs'!$B$33,'Inputs'!$B$29+'Inputs'!$B$31+'Inputs'!$B$32,'Inputs'!$B$30+'Inputs'!$B$31+'Inputs'!$B$32)/1000+'Inputs'!$B$21)+'Inputs'!$B$9)/SQRT((((565-43)*MAX('Inputs'!$B$33,'Inputs'!$B$29+'Inputs'!$B$31+'Inputs'!$B$32,'Inputs'!$B$30+'Inputs'!$B$31+'Inputs'!$B$32)/1000+'Inputs'!$B$21)+'Inputs'!$B$9)^2+('Inputs'!$B$8/2)^2)-(((565-43)*MAX('Inputs'!$B$33,'Inputs'!$B$29+'Inputs'!$B$31+'Inputs'!$B$32,'Inputs'!$B$30+'Inputs'!$B$31+'Inputs'!$B$32)/1000+'Inputs'!$B$21))/SQRT((((565-43)*MAX('Inputs'!$B$33,'Inputs'!$B$29+'Inputs'!$B$31+'Inputs'!$B$32,'Inputs'!$B$30+'Inputs'!$B$31+'Inputs'!$B$32)/1000+'Inputs'!$B$21))^2+('Inputs'!$B$8/2)^2)))-'Results'!B7*(0.5*((((565-43)*MAX('Inputs'!$B$33,'Inputs'!$B$29+'Inputs'!$B$31+'Inputs'!$B$32,'Inputs'!$B$30+'Inputs'!$B$31+'Inputs'!$B$32)/1000+'Inputs'!$B$21+'Inputs'!$B$9+'Inputs'!$B$10)+'Inputs'!$B$7)/SQRT((((565-43)*MAX('Inputs'!$B$33,'Inputs'!$B$29+'Inputs'!$B$31+'Inputs'!$B$32,'Inputs'!$B$30+'Inputs'!$B$31+'Inputs'!$B$32)/1000+'Inputs'!$B$21+'Inputs'!$B$9+'Inputs'!$B$10)+'Inputs'!$B$7)^2+('Inputs'!$B$6/2)^2)-(((565-43)*MAX('Inputs'!$B$33,'Inputs'!$B$29+'Inputs'!$B$31+'Inputs'!$B$32,'Inputs'!$B$30+'Inputs'!$B$31+'Inputs'!$B$32)/1000+'Inputs'!$B$21+'Inputs'!$B$9+'Inputs'!$B$10))/SQRT((((565-43)*MAX('Inputs'!$B$33,'Inputs'!$B$29+'Inputs'!$B$31+'Inputs'!$B$32,'Inputs'!$B$30+'Inputs'!$B$31+'Inputs'!$B$32)/1000+'Inputs'!$B$21+'Inputs'!$B$9+'Inputs'!$B$10))^2+('Inputs'!$B$6/2)^2))))*'Results'!$B$8),"")</x:f>
        <x:v>3.3517103780378394</x:v>
      </x:c>
      <x:c r="N565" t="n">
        <x:f>IF(AND(ISNUMBER('Results'!C7),ISNUMBER('Results'!B7),ISNUMBER('Results'!$B$8),ISNUMBER('Inputs'!$B$6),ISNUMBER('Inputs'!$B$7),ISNUMBER('Inputs'!$B$8),ISNUMBER('Inputs'!$B$9),ISNUMBER('Inputs'!$B$10),ISNUMBER('Inputs'!$B$21),ISNUMBER('Inputs'!$B$24),ISNUMBER('Inputs'!$B$28)),((('Results'!C7*(1-'Inputs'!$B$24)*(0.5*((((565-43)*MAX('Inputs'!$B$33,'Inputs'!$B$29+'Inputs'!$B$31+'Inputs'!$B$32,'Inputs'!$B$30+'Inputs'!$B$31+'Inputs'!$B$32)/1000+'Inputs'!$B$21)+'Inputs'!$B$9)/SQRT((((565-43)*MAX('Inputs'!$B$33,'Inputs'!$B$29+'Inputs'!$B$31+'Inputs'!$B$32,'Inputs'!$B$30+'Inputs'!$B$31+'Inputs'!$B$32)/1000+'Inputs'!$B$21)+'Inputs'!$B$9)^2+('Inputs'!$B$8/2)^2)-(((565-43)*MAX('Inputs'!$B$33,'Inputs'!$B$29+'Inputs'!$B$31+'Inputs'!$B$32,'Inputs'!$B$30+'Inputs'!$B$31+'Inputs'!$B$32)/1000+'Inputs'!$B$21))/SQRT((((565-43)*MAX('Inputs'!$B$33,'Inputs'!$B$29+'Inputs'!$B$31+'Inputs'!$B$32,'Inputs'!$B$30+'Inputs'!$B$31+'Inputs'!$B$32)/1000+'Inputs'!$B$21))^2+('Inputs'!$B$8/2)^2)))-'Results'!B7*(1+'Inputs'!$B$24)*(0.5*((((565-43)*MAX('Inputs'!$B$33,'Inputs'!$B$29+'Inputs'!$B$31+'Inputs'!$B$32,'Inputs'!$B$30+'Inputs'!$B$31+'Inputs'!$B$32)/1000+'Inputs'!$B$21+'Inputs'!$B$9+'Inputs'!$B$10)+'Inputs'!$B$7)/SQRT((((565-43)*MAX('Inputs'!$B$33,'Inputs'!$B$29+'Inputs'!$B$31+'Inputs'!$B$32,'Inputs'!$B$30+'Inputs'!$B$31+'Inputs'!$B$32)/1000+'Inputs'!$B$21+'Inputs'!$B$9+'Inputs'!$B$10)+'Inputs'!$B$7)^2+('Inputs'!$B$6/2)^2)-(((565-43)*MAX('Inputs'!$B$33,'Inputs'!$B$29+'Inputs'!$B$31+'Inputs'!$B$32,'Inputs'!$B$30+'Inputs'!$B$31+'Inputs'!$B$32)/1000+'Inputs'!$B$21+'Inputs'!$B$9+'Inputs'!$B$10))/SQRT((((565-43)*MAX('Inputs'!$B$33,'Inputs'!$B$29+'Inputs'!$B$31+'Inputs'!$B$32,'Inputs'!$B$30+'Inputs'!$B$31+'Inputs'!$B$32)/1000+'Inputs'!$B$21+'Inputs'!$B$9+'Inputs'!$B$10))^2+('Inputs'!$B$6/2)^2))))*'Results'!$B$8)-'Inputs'!$B$28*ABS((('Results'!C7*(1-'Inputs'!$B$24)*(0.5*((((565-43)*MAX('Inputs'!$B$33,'Inputs'!$B$29+'Inputs'!$B$31+'Inputs'!$B$32,'Inputs'!$B$30+'Inputs'!$B$31+'Inputs'!$B$32)/1000+'Inputs'!$B$21)+'Inputs'!$B$9)/SQRT((((565-43)*MAX('Inputs'!$B$33,'Inputs'!$B$29+'Inputs'!$B$31+'Inputs'!$B$32,'Inputs'!$B$30+'Inputs'!$B$31+'Inputs'!$B$32)/1000+'Inputs'!$B$21)+'Inputs'!$B$9)^2+('Inputs'!$B$8/2)^2)-(((565-43)*MAX('Inputs'!$B$33,'Inputs'!$B$29+'Inputs'!$B$31+'Inputs'!$B$32,'Inputs'!$B$30+'Inputs'!$B$31+'Inputs'!$B$32)/1000+'Inputs'!$B$21))/SQRT((((565-43)*MAX('Inputs'!$B$33,'Inputs'!$B$29+'Inputs'!$B$31+'Inputs'!$B$32,'Inputs'!$B$30+'Inputs'!$B$31+'Inputs'!$B$32)/1000+'Inputs'!$B$21))^2+('Inputs'!$B$8/2)^2)))-'Results'!B7*(1+'Inputs'!$B$24)*(0.5*((((565-43)*MAX('Inputs'!$B$33,'Inputs'!$B$29+'Inputs'!$B$31+'Inputs'!$B$32,'Inputs'!$B$30+'Inputs'!$B$31+'Inputs'!$B$32)/1000+'Inputs'!$B$21+'Inputs'!$B$9+'Inputs'!$B$10)+'Inputs'!$B$7)/SQRT((((565-43)*MAX('Inputs'!$B$33,'Inputs'!$B$29+'Inputs'!$B$31+'Inputs'!$B$32,'Inputs'!$B$30+'Inputs'!$B$31+'Inputs'!$B$32)/1000+'Inputs'!$B$21+'Inputs'!$B$9+'Inputs'!$B$10)+'Inputs'!$B$7)^2+('Inputs'!$B$6/2)^2)-(((565-43)*MAX('Inputs'!$B$33,'Inputs'!$B$29+'Inputs'!$B$31+'Inputs'!$B$32,'Inputs'!$B$30+'Inputs'!$B$31+'Inputs'!$B$32)/1000+'Inputs'!$B$21+'Inputs'!$B$9+'Inputs'!$B$10))/SQRT((((565-43)*MAX('Inputs'!$B$33,'Inputs'!$B$29+'Inputs'!$B$31+'Inputs'!$B$32,'Inputs'!$B$30+'Inputs'!$B$31+'Inputs'!$B$32)/1000+'Inputs'!$B$21+'Inputs'!$B$9+'Inputs'!$B$10))^2+('Inputs'!$B$6/2)^2))))*'Results'!$B$8))),"")</x:f>
        <x:v>2.9452901138802847</x:v>
      </x:c>
      <x:c r="O565" t="n">
        <x:f>IF(AND(ISNUMBER('Results'!C7),ISNUMBER('Results'!B7),ISNUMBER('Results'!$B$8),ISNUMBER('Inputs'!$B$6),ISNUMBER('Inputs'!$B$7),ISNUMBER('Inputs'!$B$8),ISNUMBER('Inputs'!$B$9),ISNUMBER('Inputs'!$B$10),ISNUMBER('Inputs'!$B$21),ISNUMBER('Inputs'!$B$24),ISNUMBER('Inputs'!$B$28)),((('Results'!C7*(1+'Inputs'!$B$24)*(0.5*((((565-43)*MAX('Inputs'!$B$33,'Inputs'!$B$29+'Inputs'!$B$31+'Inputs'!$B$32,'Inputs'!$B$30+'Inputs'!$B$31+'Inputs'!$B$32)/1000+'Inputs'!$B$21)+'Inputs'!$B$9)/SQRT((((565-43)*MAX('Inputs'!$B$33,'Inputs'!$B$29+'Inputs'!$B$31+'Inputs'!$B$32,'Inputs'!$B$30+'Inputs'!$B$31+'Inputs'!$B$32)/1000+'Inputs'!$B$21)+'Inputs'!$B$9)^2+('Inputs'!$B$8/2)^2)-(((565-43)*MAX('Inputs'!$B$33,'Inputs'!$B$29+'Inputs'!$B$31+'Inputs'!$B$32,'Inputs'!$B$30+'Inputs'!$B$31+'Inputs'!$B$32)/1000+'Inputs'!$B$21))/SQRT((((565-43)*MAX('Inputs'!$B$33,'Inputs'!$B$29+'Inputs'!$B$31+'Inputs'!$B$32,'Inputs'!$B$30+'Inputs'!$B$31+'Inputs'!$B$32)/1000+'Inputs'!$B$21))^2+('Inputs'!$B$8/2)^2)))-'Results'!B7*(1-'Inputs'!$B$24)*(0.5*((((565-43)*MAX('Inputs'!$B$33,'Inputs'!$B$29+'Inputs'!$B$31+'Inputs'!$B$32,'Inputs'!$B$30+'Inputs'!$B$31+'Inputs'!$B$32)/1000+'Inputs'!$B$21+'Inputs'!$B$9+'Inputs'!$B$10)+'Inputs'!$B$7)/SQRT((((565-43)*MAX('Inputs'!$B$33,'Inputs'!$B$29+'Inputs'!$B$31+'Inputs'!$B$32,'Inputs'!$B$30+'Inputs'!$B$31+'Inputs'!$B$32)/1000+'Inputs'!$B$21+'Inputs'!$B$9+'Inputs'!$B$10)+'Inputs'!$B$7)^2+('Inputs'!$B$6/2)^2)-(((565-43)*MAX('Inputs'!$B$33,'Inputs'!$B$29+'Inputs'!$B$31+'Inputs'!$B$32,'Inputs'!$B$30+'Inputs'!$B$31+'Inputs'!$B$32)/1000+'Inputs'!$B$21+'Inputs'!$B$9+'Inputs'!$B$10))/SQRT((((565-43)*MAX('Inputs'!$B$33,'Inputs'!$B$29+'Inputs'!$B$31+'Inputs'!$B$32,'Inputs'!$B$30+'Inputs'!$B$31+'Inputs'!$B$32)/1000+'Inputs'!$B$21+'Inputs'!$B$9+'Inputs'!$B$10))^2+('Inputs'!$B$6/2)^2))))*'Results'!$B$8)+'Inputs'!$B$28*ABS((('Results'!C7*(1+'Inputs'!$B$24)*(0.5*((((565-43)*MAX('Inputs'!$B$33,'Inputs'!$B$29+'Inputs'!$B$31+'Inputs'!$B$32,'Inputs'!$B$30+'Inputs'!$B$31+'Inputs'!$B$32)/1000+'Inputs'!$B$21)+'Inputs'!$B$9)/SQRT((((565-43)*MAX('Inputs'!$B$33,'Inputs'!$B$29+'Inputs'!$B$31+'Inputs'!$B$32,'Inputs'!$B$30+'Inputs'!$B$31+'Inputs'!$B$32)/1000+'Inputs'!$B$21)+'Inputs'!$B$9)^2+('Inputs'!$B$8/2)^2)-(((565-43)*MAX('Inputs'!$B$33,'Inputs'!$B$29+'Inputs'!$B$31+'Inputs'!$B$32,'Inputs'!$B$30+'Inputs'!$B$31+'Inputs'!$B$32)/1000+'Inputs'!$B$21))/SQRT((((565-43)*MAX('Inputs'!$B$33,'Inputs'!$B$29+'Inputs'!$B$31+'Inputs'!$B$32,'Inputs'!$B$30+'Inputs'!$B$31+'Inputs'!$B$32)/1000+'Inputs'!$B$21))^2+('Inputs'!$B$8/2)^2)))-'Results'!B7*(1-'Inputs'!$B$24)*(0.5*((((565-43)*MAX('Inputs'!$B$33,'Inputs'!$B$29+'Inputs'!$B$31+'Inputs'!$B$32,'Inputs'!$B$30+'Inputs'!$B$31+'Inputs'!$B$32)/1000+'Inputs'!$B$21+'Inputs'!$B$9+'Inputs'!$B$10)+'Inputs'!$B$7)/SQRT((((565-43)*MAX('Inputs'!$B$33,'Inputs'!$B$29+'Inputs'!$B$31+'Inputs'!$B$32,'Inputs'!$B$30+'Inputs'!$B$31+'Inputs'!$B$32)/1000+'Inputs'!$B$21+'Inputs'!$B$9+'Inputs'!$B$10)+'Inputs'!$B$7)^2+('Inputs'!$B$6/2)^2)-(((565-43)*MAX('Inputs'!$B$33,'Inputs'!$B$29+'Inputs'!$B$31+'Inputs'!$B$32,'Inputs'!$B$30+'Inputs'!$B$31+'Inputs'!$B$32)/1000+'Inputs'!$B$21+'Inputs'!$B$9+'Inputs'!$B$10))/SQRT((((565-43)*MAX('Inputs'!$B$33,'Inputs'!$B$29+'Inputs'!$B$31+'Inputs'!$B$32,'Inputs'!$B$30+'Inputs'!$B$31+'Inputs'!$B$32)/1000+'Inputs'!$B$21+'Inputs'!$B$9+'Inputs'!$B$10))^2+('Inputs'!$B$6/2)^2))))*'Results'!$B$8))),"")</x:f>
        <x:v>3.7832711416959897</x:v>
      </x:c>
      <x:c r="P565" t="n">
        <x:f>IF(AND(MAX(J565,J564)&gt;0,J565&gt;J564+0.00000001),1,0)</x:f>
        <x:v>0</x:v>
      </x:c>
      <x:c r="Q565" t="n">
        <x:f>IF(AND(MAX(K565,K564)&gt;0,K565&gt;K564+0.00000001),1,0)</x:f>
        <x:v>0</x:v>
      </x:c>
      <x:c r="R565" t="n">
        <x:f>IF(AND(MAX(L565,L564)&gt;0,L565&gt;L564+0.00000001),1,0)</x:f>
        <x:v>0</x:v>
      </x:c>
      <x:c r="S565" t="n">
        <x:f>IF(AND(MAX(M565,M564)&gt;0,M565&gt;M564+0.00000001),1,0)</x:f>
        <x:v>0</x:v>
      </x:c>
      <x:c r="T565" t="n">
        <x:f>IF(AND(MAX(N565,N564)&gt;0,N565&gt;N564+0.00000001),1,0)</x:f>
        <x:v>0</x:v>
      </x:c>
      <x:c r="U565" t="n">
        <x:f>IF(AND(MAX(O565,O564)&gt;0,O565&gt;O564+0.00000001),1,0)</x:f>
        <x:v>0</x:v>
      </x:c>
    </x:row>
    <x:row r="566">
      <x:c r="J566" t="n">
        <x:f>IF(AND(ISNUMBER('Results'!B7),ISNUMBER('Results'!C7),ISNUMBER('Results'!$B$8),ISNUMBER('Inputs'!$B$6),ISNUMBER('Inputs'!$B$7),ISNUMBER('Inputs'!$B$8),ISNUMBER('Inputs'!$B$9),ISNUMBER('Inputs'!$B$10),ISNUMBER('Inputs'!$B$21),ISNUMBER('Inputs'!$B$24),ISNUMBER('Inputs'!$B$28)),(('Results'!B7*(0.5*((((566-43)*MAX('Inputs'!$B$33,'Inputs'!$B$29+'Inputs'!$B$31+'Inputs'!$B$32,'Inputs'!$B$30+'Inputs'!$B$31+'Inputs'!$B$32)/1000+'Inputs'!$B$21)+'Inputs'!$B$7)/SQRT((((566-43)*MAX('Inputs'!$B$33,'Inputs'!$B$29+'Inputs'!$B$31+'Inputs'!$B$32,'Inputs'!$B$30+'Inputs'!$B$31+'Inputs'!$B$32)/1000+'Inputs'!$B$21)+'Inputs'!$B$7)^2+('Inputs'!$B$6/2)^2)-(((566-43)*MAX('Inputs'!$B$33,'Inputs'!$B$29+'Inputs'!$B$31+'Inputs'!$B$32,'Inputs'!$B$30+'Inputs'!$B$31+'Inputs'!$B$32)/1000+'Inputs'!$B$21))/SQRT((((566-43)*MAX('Inputs'!$B$33,'Inputs'!$B$29+'Inputs'!$B$31+'Inputs'!$B$32,'Inputs'!$B$30+'Inputs'!$B$31+'Inputs'!$B$32)/1000+'Inputs'!$B$21))^2+('Inputs'!$B$6/2)^2)))-'Results'!C7*(0.5*((((566-43)*MAX('Inputs'!$B$33,'Inputs'!$B$29+'Inputs'!$B$31+'Inputs'!$B$32,'Inputs'!$B$30+'Inputs'!$B$31+'Inputs'!$B$32)/1000+'Inputs'!$B$21+'Inputs'!$B$7+'Inputs'!$B$10)+'Inputs'!$B$9)/SQRT((((566-43)*MAX('Inputs'!$B$33,'Inputs'!$B$29+'Inputs'!$B$31+'Inputs'!$B$32,'Inputs'!$B$30+'Inputs'!$B$31+'Inputs'!$B$32)/1000+'Inputs'!$B$21+'Inputs'!$B$7+'Inputs'!$B$10)+'Inputs'!$B$9)^2+('Inputs'!$B$8/2)^2)-(((566-43)*MAX('Inputs'!$B$33,'Inputs'!$B$29+'Inputs'!$B$31+'Inputs'!$B$32,'Inputs'!$B$30+'Inputs'!$B$31+'Inputs'!$B$32)/1000+'Inputs'!$B$21+'Inputs'!$B$7+'Inputs'!$B$10))/SQRT((((566-43)*MAX('Inputs'!$B$33,'Inputs'!$B$29+'Inputs'!$B$31+'Inputs'!$B$32,'Inputs'!$B$30+'Inputs'!$B$31+'Inputs'!$B$32)/1000+'Inputs'!$B$21+'Inputs'!$B$7+'Inputs'!$B$10))^2+('Inputs'!$B$8/2)^2))))*'Results'!$B$8),"")</x:f>
        <x:v>3.5827242197363436</x:v>
      </x:c>
      <x:c r="K566" t="n">
        <x:f>IF(AND(ISNUMBER('Results'!B7),ISNUMBER('Results'!C7),ISNUMBER('Results'!$B$8),ISNUMBER('Inputs'!$B$6),ISNUMBER('Inputs'!$B$7),ISNUMBER('Inputs'!$B$8),ISNUMBER('Inputs'!$B$9),ISNUMBER('Inputs'!$B$10),ISNUMBER('Inputs'!$B$21),ISNUMBER('Inputs'!$B$24),ISNUMBER('Inputs'!$B$28)),((('Results'!B7*(1-'Inputs'!$B$24)*(0.5*((((566-43)*MAX('Inputs'!$B$33,'Inputs'!$B$29+'Inputs'!$B$31+'Inputs'!$B$32,'Inputs'!$B$30+'Inputs'!$B$31+'Inputs'!$B$32)/1000+'Inputs'!$B$21)+'Inputs'!$B$7)/SQRT((((566-43)*MAX('Inputs'!$B$33,'Inputs'!$B$29+'Inputs'!$B$31+'Inputs'!$B$32,'Inputs'!$B$30+'Inputs'!$B$31+'Inputs'!$B$32)/1000+'Inputs'!$B$21)+'Inputs'!$B$7)^2+('Inputs'!$B$6/2)^2)-(((566-43)*MAX('Inputs'!$B$33,'Inputs'!$B$29+'Inputs'!$B$31+'Inputs'!$B$32,'Inputs'!$B$30+'Inputs'!$B$31+'Inputs'!$B$32)/1000+'Inputs'!$B$21))/SQRT((((566-43)*MAX('Inputs'!$B$33,'Inputs'!$B$29+'Inputs'!$B$31+'Inputs'!$B$32,'Inputs'!$B$30+'Inputs'!$B$31+'Inputs'!$B$32)/1000+'Inputs'!$B$21))^2+('Inputs'!$B$6/2)^2)))-'Results'!C7*(1+'Inputs'!$B$24)*(0.5*((((566-43)*MAX('Inputs'!$B$33,'Inputs'!$B$29+'Inputs'!$B$31+'Inputs'!$B$32,'Inputs'!$B$30+'Inputs'!$B$31+'Inputs'!$B$32)/1000+'Inputs'!$B$21+'Inputs'!$B$7+'Inputs'!$B$10)+'Inputs'!$B$9)/SQRT((((566-43)*MAX('Inputs'!$B$33,'Inputs'!$B$29+'Inputs'!$B$31+'Inputs'!$B$32,'Inputs'!$B$30+'Inputs'!$B$31+'Inputs'!$B$32)/1000+'Inputs'!$B$21+'Inputs'!$B$7+'Inputs'!$B$10)+'Inputs'!$B$9)^2+('Inputs'!$B$8/2)^2)-(((566-43)*MAX('Inputs'!$B$33,'Inputs'!$B$29+'Inputs'!$B$31+'Inputs'!$B$32,'Inputs'!$B$30+'Inputs'!$B$31+'Inputs'!$B$32)/1000+'Inputs'!$B$21+'Inputs'!$B$7+'Inputs'!$B$10))/SQRT((((566-43)*MAX('Inputs'!$B$33,'Inputs'!$B$29+'Inputs'!$B$31+'Inputs'!$B$32,'Inputs'!$B$30+'Inputs'!$B$31+'Inputs'!$B$32)/1000+'Inputs'!$B$21+'Inputs'!$B$7+'Inputs'!$B$10))^2+('Inputs'!$B$8/2)^2))))*'Results'!$B$8)-'Inputs'!$B$28*ABS((('Results'!B7*(1-'Inputs'!$B$24)*(0.5*((((566-43)*MAX('Inputs'!$B$33,'Inputs'!$B$29+'Inputs'!$B$31+'Inputs'!$B$32,'Inputs'!$B$30+'Inputs'!$B$31+'Inputs'!$B$32)/1000+'Inputs'!$B$21)+'Inputs'!$B$7)/SQRT((((566-43)*MAX('Inputs'!$B$33,'Inputs'!$B$29+'Inputs'!$B$31+'Inputs'!$B$32,'Inputs'!$B$30+'Inputs'!$B$31+'Inputs'!$B$32)/1000+'Inputs'!$B$21)+'Inputs'!$B$7)^2+('Inputs'!$B$6/2)^2)-(((566-43)*MAX('Inputs'!$B$33,'Inputs'!$B$29+'Inputs'!$B$31+'Inputs'!$B$32,'Inputs'!$B$30+'Inputs'!$B$31+'Inputs'!$B$32)/1000+'Inputs'!$B$21))/SQRT((((566-43)*MAX('Inputs'!$B$33,'Inputs'!$B$29+'Inputs'!$B$31+'Inputs'!$B$32,'Inputs'!$B$30+'Inputs'!$B$31+'Inputs'!$B$32)/1000+'Inputs'!$B$21))^2+('Inputs'!$B$6/2)^2)))-'Results'!C7*(1+'Inputs'!$B$24)*(0.5*((((566-43)*MAX('Inputs'!$B$33,'Inputs'!$B$29+'Inputs'!$B$31+'Inputs'!$B$32,'Inputs'!$B$30+'Inputs'!$B$31+'Inputs'!$B$32)/1000+'Inputs'!$B$21+'Inputs'!$B$7+'Inputs'!$B$10)+'Inputs'!$B$9)/SQRT((((566-43)*MAX('Inputs'!$B$33,'Inputs'!$B$29+'Inputs'!$B$31+'Inputs'!$B$32,'Inputs'!$B$30+'Inputs'!$B$31+'Inputs'!$B$32)/1000+'Inputs'!$B$21+'Inputs'!$B$7+'Inputs'!$B$10)+'Inputs'!$B$9)^2+('Inputs'!$B$8/2)^2)-(((566-43)*MAX('Inputs'!$B$33,'Inputs'!$B$29+'Inputs'!$B$31+'Inputs'!$B$32,'Inputs'!$B$30+'Inputs'!$B$31+'Inputs'!$B$32)/1000+'Inputs'!$B$21+'Inputs'!$B$7+'Inputs'!$B$10))/SQRT((((566-43)*MAX('Inputs'!$B$33,'Inputs'!$B$29+'Inputs'!$B$31+'Inputs'!$B$32,'Inputs'!$B$30+'Inputs'!$B$31+'Inputs'!$B$32)/1000+'Inputs'!$B$21+'Inputs'!$B$7+'Inputs'!$B$10))^2+('Inputs'!$B$8/2)^2))))*'Results'!$B$8))),"")</x:f>
        <x:v>3.1646386744176227</x:v>
      </x:c>
      <x:c r="L566" t="n">
        <x:f>IF(AND(ISNUMBER('Results'!B7),ISNUMBER('Results'!C7),ISNUMBER('Results'!$B$8),ISNUMBER('Inputs'!$B$6),ISNUMBER('Inputs'!$B$7),ISNUMBER('Inputs'!$B$8),ISNUMBER('Inputs'!$B$9),ISNUMBER('Inputs'!$B$10),ISNUMBER('Inputs'!$B$21),ISNUMBER('Inputs'!$B$24),ISNUMBER('Inputs'!$B$28)),((('Results'!B7*(1+'Inputs'!$B$24)*(0.5*((((566-43)*MAX('Inputs'!$B$33,'Inputs'!$B$29+'Inputs'!$B$31+'Inputs'!$B$32,'Inputs'!$B$30+'Inputs'!$B$31+'Inputs'!$B$32)/1000+'Inputs'!$B$21)+'Inputs'!$B$7)/SQRT((((566-43)*MAX('Inputs'!$B$33,'Inputs'!$B$29+'Inputs'!$B$31+'Inputs'!$B$32,'Inputs'!$B$30+'Inputs'!$B$31+'Inputs'!$B$32)/1000+'Inputs'!$B$21)+'Inputs'!$B$7)^2+('Inputs'!$B$6/2)^2)-(((566-43)*MAX('Inputs'!$B$33,'Inputs'!$B$29+'Inputs'!$B$31+'Inputs'!$B$32,'Inputs'!$B$30+'Inputs'!$B$31+'Inputs'!$B$32)/1000+'Inputs'!$B$21))/SQRT((((566-43)*MAX('Inputs'!$B$33,'Inputs'!$B$29+'Inputs'!$B$31+'Inputs'!$B$32,'Inputs'!$B$30+'Inputs'!$B$31+'Inputs'!$B$32)/1000+'Inputs'!$B$21))^2+('Inputs'!$B$6/2)^2)))-'Results'!C7*(1-'Inputs'!$B$24)*(0.5*((((566-43)*MAX('Inputs'!$B$33,'Inputs'!$B$29+'Inputs'!$B$31+'Inputs'!$B$32,'Inputs'!$B$30+'Inputs'!$B$31+'Inputs'!$B$32)/1000+'Inputs'!$B$21+'Inputs'!$B$7+'Inputs'!$B$10)+'Inputs'!$B$9)/SQRT((((566-43)*MAX('Inputs'!$B$33,'Inputs'!$B$29+'Inputs'!$B$31+'Inputs'!$B$32,'Inputs'!$B$30+'Inputs'!$B$31+'Inputs'!$B$32)/1000+'Inputs'!$B$21+'Inputs'!$B$7+'Inputs'!$B$10)+'Inputs'!$B$9)^2+('Inputs'!$B$8/2)^2)-(((566-43)*MAX('Inputs'!$B$33,'Inputs'!$B$29+'Inputs'!$B$31+'Inputs'!$B$32,'Inputs'!$B$30+'Inputs'!$B$31+'Inputs'!$B$32)/1000+'Inputs'!$B$21+'Inputs'!$B$7+'Inputs'!$B$10))/SQRT((((566-43)*MAX('Inputs'!$B$33,'Inputs'!$B$29+'Inputs'!$B$31+'Inputs'!$B$32,'Inputs'!$B$30+'Inputs'!$B$31+'Inputs'!$B$32)/1000+'Inputs'!$B$21+'Inputs'!$B$7+'Inputs'!$B$10))^2+('Inputs'!$B$8/2)^2))))*'Results'!$B$8)+'Inputs'!$B$28*ABS((('Results'!B7*(1+'Inputs'!$B$24)*(0.5*((((566-43)*MAX('Inputs'!$B$33,'Inputs'!$B$29+'Inputs'!$B$31+'Inputs'!$B$32,'Inputs'!$B$30+'Inputs'!$B$31+'Inputs'!$B$32)/1000+'Inputs'!$B$21)+'Inputs'!$B$7)/SQRT((((566-43)*MAX('Inputs'!$B$33,'Inputs'!$B$29+'Inputs'!$B$31+'Inputs'!$B$32,'Inputs'!$B$30+'Inputs'!$B$31+'Inputs'!$B$32)/1000+'Inputs'!$B$21)+'Inputs'!$B$7)^2+('Inputs'!$B$6/2)^2)-(((566-43)*MAX('Inputs'!$B$33,'Inputs'!$B$29+'Inputs'!$B$31+'Inputs'!$B$32,'Inputs'!$B$30+'Inputs'!$B$31+'Inputs'!$B$32)/1000+'Inputs'!$B$21))/SQRT((((566-43)*MAX('Inputs'!$B$33,'Inputs'!$B$29+'Inputs'!$B$31+'Inputs'!$B$32,'Inputs'!$B$30+'Inputs'!$B$31+'Inputs'!$B$32)/1000+'Inputs'!$B$21))^2+('Inputs'!$B$6/2)^2)))-'Results'!C7*(1-'Inputs'!$B$24)*(0.5*((((566-43)*MAX('Inputs'!$B$33,'Inputs'!$B$29+'Inputs'!$B$31+'Inputs'!$B$32,'Inputs'!$B$30+'Inputs'!$B$31+'Inputs'!$B$32)/1000+'Inputs'!$B$21+'Inputs'!$B$7+'Inputs'!$B$10)+'Inputs'!$B$9)/SQRT((((566-43)*MAX('Inputs'!$B$33,'Inputs'!$B$29+'Inputs'!$B$31+'Inputs'!$B$32,'Inputs'!$B$30+'Inputs'!$B$31+'Inputs'!$B$32)/1000+'Inputs'!$B$21+'Inputs'!$B$7+'Inputs'!$B$10)+'Inputs'!$B$9)^2+('Inputs'!$B$8/2)^2)-(((566-43)*MAX('Inputs'!$B$33,'Inputs'!$B$29+'Inputs'!$B$31+'Inputs'!$B$32,'Inputs'!$B$30+'Inputs'!$B$31+'Inputs'!$B$32)/1000+'Inputs'!$B$21+'Inputs'!$B$7+'Inputs'!$B$10))/SQRT((((566-43)*MAX('Inputs'!$B$33,'Inputs'!$B$29+'Inputs'!$B$31+'Inputs'!$B$32,'Inputs'!$B$30+'Inputs'!$B$31+'Inputs'!$B$32)/1000+'Inputs'!$B$21+'Inputs'!$B$7+'Inputs'!$B$10))^2+('Inputs'!$B$8/2)^2))))*'Results'!$B$8))),"")</x:f>
        <x:v>4.025962326563688</x:v>
      </x:c>
      <x:c r="M566" t="n">
        <x:f>IF(AND(ISNUMBER('Results'!C7),ISNUMBER('Results'!B7),ISNUMBER('Results'!$B$8),ISNUMBER('Inputs'!$B$6),ISNUMBER('Inputs'!$B$7),ISNUMBER('Inputs'!$B$8),ISNUMBER('Inputs'!$B$9),ISNUMBER('Inputs'!$B$10),ISNUMBER('Inputs'!$B$21),ISNUMBER('Inputs'!$B$24),ISNUMBER('Inputs'!$B$28)),(('Results'!C7*(0.5*((((566-43)*MAX('Inputs'!$B$33,'Inputs'!$B$29+'Inputs'!$B$31+'Inputs'!$B$32,'Inputs'!$B$30+'Inputs'!$B$31+'Inputs'!$B$32)/1000+'Inputs'!$B$21)+'Inputs'!$B$9)/SQRT((((566-43)*MAX('Inputs'!$B$33,'Inputs'!$B$29+'Inputs'!$B$31+'Inputs'!$B$32,'Inputs'!$B$30+'Inputs'!$B$31+'Inputs'!$B$32)/1000+'Inputs'!$B$21)+'Inputs'!$B$9)^2+('Inputs'!$B$8/2)^2)-(((566-43)*MAX('Inputs'!$B$33,'Inputs'!$B$29+'Inputs'!$B$31+'Inputs'!$B$32,'Inputs'!$B$30+'Inputs'!$B$31+'Inputs'!$B$32)/1000+'Inputs'!$B$21))/SQRT((((566-43)*MAX('Inputs'!$B$33,'Inputs'!$B$29+'Inputs'!$B$31+'Inputs'!$B$32,'Inputs'!$B$30+'Inputs'!$B$31+'Inputs'!$B$32)/1000+'Inputs'!$B$21))^2+('Inputs'!$B$8/2)^2)))-'Results'!B7*(0.5*((((566-43)*MAX('Inputs'!$B$33,'Inputs'!$B$29+'Inputs'!$B$31+'Inputs'!$B$32,'Inputs'!$B$30+'Inputs'!$B$31+'Inputs'!$B$32)/1000+'Inputs'!$B$21+'Inputs'!$B$9+'Inputs'!$B$10)+'Inputs'!$B$7)/SQRT((((566-43)*MAX('Inputs'!$B$33,'Inputs'!$B$29+'Inputs'!$B$31+'Inputs'!$B$32,'Inputs'!$B$30+'Inputs'!$B$31+'Inputs'!$B$32)/1000+'Inputs'!$B$21+'Inputs'!$B$9+'Inputs'!$B$10)+'Inputs'!$B$7)^2+('Inputs'!$B$6/2)^2)-(((566-43)*MAX('Inputs'!$B$33,'Inputs'!$B$29+'Inputs'!$B$31+'Inputs'!$B$32,'Inputs'!$B$30+'Inputs'!$B$31+'Inputs'!$B$32)/1000+'Inputs'!$B$21+'Inputs'!$B$9+'Inputs'!$B$10))/SQRT((((566-43)*MAX('Inputs'!$B$33,'Inputs'!$B$29+'Inputs'!$B$31+'Inputs'!$B$32,'Inputs'!$B$30+'Inputs'!$B$31+'Inputs'!$B$32)/1000+'Inputs'!$B$21+'Inputs'!$B$9+'Inputs'!$B$10))^2+('Inputs'!$B$6/2)^2))))*'Results'!$B$8),"")</x:f>
        <x:v>3.3293631849491963</x:v>
      </x:c>
      <x:c r="N566" t="n">
        <x:f>IF(AND(ISNUMBER('Results'!C7),ISNUMBER('Results'!B7),ISNUMBER('Results'!$B$8),ISNUMBER('Inputs'!$B$6),ISNUMBER('Inputs'!$B$7),ISNUMBER('Inputs'!$B$8),ISNUMBER('Inputs'!$B$9),ISNUMBER('Inputs'!$B$10),ISNUMBER('Inputs'!$B$21),ISNUMBER('Inputs'!$B$24),ISNUMBER('Inputs'!$B$28)),((('Results'!C7*(1-'Inputs'!$B$24)*(0.5*((((566-43)*MAX('Inputs'!$B$33,'Inputs'!$B$29+'Inputs'!$B$31+'Inputs'!$B$32,'Inputs'!$B$30+'Inputs'!$B$31+'Inputs'!$B$32)/1000+'Inputs'!$B$21)+'Inputs'!$B$9)/SQRT((((566-43)*MAX('Inputs'!$B$33,'Inputs'!$B$29+'Inputs'!$B$31+'Inputs'!$B$32,'Inputs'!$B$30+'Inputs'!$B$31+'Inputs'!$B$32)/1000+'Inputs'!$B$21)+'Inputs'!$B$9)^2+('Inputs'!$B$8/2)^2)-(((566-43)*MAX('Inputs'!$B$33,'Inputs'!$B$29+'Inputs'!$B$31+'Inputs'!$B$32,'Inputs'!$B$30+'Inputs'!$B$31+'Inputs'!$B$32)/1000+'Inputs'!$B$21))/SQRT((((566-43)*MAX('Inputs'!$B$33,'Inputs'!$B$29+'Inputs'!$B$31+'Inputs'!$B$32,'Inputs'!$B$30+'Inputs'!$B$31+'Inputs'!$B$32)/1000+'Inputs'!$B$21))^2+('Inputs'!$B$8/2)^2)))-'Results'!B7*(1+'Inputs'!$B$24)*(0.5*((((566-43)*MAX('Inputs'!$B$33,'Inputs'!$B$29+'Inputs'!$B$31+'Inputs'!$B$32,'Inputs'!$B$30+'Inputs'!$B$31+'Inputs'!$B$32)/1000+'Inputs'!$B$21+'Inputs'!$B$9+'Inputs'!$B$10)+'Inputs'!$B$7)/SQRT((((566-43)*MAX('Inputs'!$B$33,'Inputs'!$B$29+'Inputs'!$B$31+'Inputs'!$B$32,'Inputs'!$B$30+'Inputs'!$B$31+'Inputs'!$B$32)/1000+'Inputs'!$B$21+'Inputs'!$B$9+'Inputs'!$B$10)+'Inputs'!$B$7)^2+('Inputs'!$B$6/2)^2)-(((566-43)*MAX('Inputs'!$B$33,'Inputs'!$B$29+'Inputs'!$B$31+'Inputs'!$B$32,'Inputs'!$B$30+'Inputs'!$B$31+'Inputs'!$B$32)/1000+'Inputs'!$B$21+'Inputs'!$B$9+'Inputs'!$B$10))/SQRT((((566-43)*MAX('Inputs'!$B$33,'Inputs'!$B$29+'Inputs'!$B$31+'Inputs'!$B$32,'Inputs'!$B$30+'Inputs'!$B$31+'Inputs'!$B$32)/1000+'Inputs'!$B$21+'Inputs'!$B$9+'Inputs'!$B$10))^2+('Inputs'!$B$6/2)^2))))*'Results'!$B$8)-'Inputs'!$B$28*ABS((('Results'!C7*(1-'Inputs'!$B$24)*(0.5*((((566-43)*MAX('Inputs'!$B$33,'Inputs'!$B$29+'Inputs'!$B$31+'Inputs'!$B$32,'Inputs'!$B$30+'Inputs'!$B$31+'Inputs'!$B$32)/1000+'Inputs'!$B$21)+'Inputs'!$B$9)/SQRT((((566-43)*MAX('Inputs'!$B$33,'Inputs'!$B$29+'Inputs'!$B$31+'Inputs'!$B$32,'Inputs'!$B$30+'Inputs'!$B$31+'Inputs'!$B$32)/1000+'Inputs'!$B$21)+'Inputs'!$B$9)^2+('Inputs'!$B$8/2)^2)-(((566-43)*MAX('Inputs'!$B$33,'Inputs'!$B$29+'Inputs'!$B$31+'Inputs'!$B$32,'Inputs'!$B$30+'Inputs'!$B$31+'Inputs'!$B$32)/1000+'Inputs'!$B$21))/SQRT((((566-43)*MAX('Inputs'!$B$33,'Inputs'!$B$29+'Inputs'!$B$31+'Inputs'!$B$32,'Inputs'!$B$30+'Inputs'!$B$31+'Inputs'!$B$32)/1000+'Inputs'!$B$21))^2+('Inputs'!$B$8/2)^2)))-'Results'!B7*(1+'Inputs'!$B$24)*(0.5*((((566-43)*MAX('Inputs'!$B$33,'Inputs'!$B$29+'Inputs'!$B$31+'Inputs'!$B$32,'Inputs'!$B$30+'Inputs'!$B$31+'Inputs'!$B$32)/1000+'Inputs'!$B$21+'Inputs'!$B$9+'Inputs'!$B$10)+'Inputs'!$B$7)/SQRT((((566-43)*MAX('Inputs'!$B$33,'Inputs'!$B$29+'Inputs'!$B$31+'Inputs'!$B$32,'Inputs'!$B$30+'Inputs'!$B$31+'Inputs'!$B$32)/1000+'Inputs'!$B$21+'Inputs'!$B$9+'Inputs'!$B$10)+'Inputs'!$B$7)^2+('Inputs'!$B$6/2)^2)-(((566-43)*MAX('Inputs'!$B$33,'Inputs'!$B$29+'Inputs'!$B$31+'Inputs'!$B$32,'Inputs'!$B$30+'Inputs'!$B$31+'Inputs'!$B$32)/1000+'Inputs'!$B$21+'Inputs'!$B$9+'Inputs'!$B$10))/SQRT((((566-43)*MAX('Inputs'!$B$33,'Inputs'!$B$29+'Inputs'!$B$31+'Inputs'!$B$32,'Inputs'!$B$30+'Inputs'!$B$31+'Inputs'!$B$32)/1000+'Inputs'!$B$21+'Inputs'!$B$9+'Inputs'!$B$10))^2+('Inputs'!$B$6/2)^2))))*'Results'!$B$8))),"")</x:f>
        <x:v>2.9252722535990143</x:v>
      </x:c>
      <x:c r="O566" t="n">
        <x:f>IF(AND(ISNUMBER('Results'!C7),ISNUMBER('Results'!B7),ISNUMBER('Results'!$B$8),ISNUMBER('Inputs'!$B$6),ISNUMBER('Inputs'!$B$7),ISNUMBER('Inputs'!$B$8),ISNUMBER('Inputs'!$B$9),ISNUMBER('Inputs'!$B$10),ISNUMBER('Inputs'!$B$21),ISNUMBER('Inputs'!$B$24),ISNUMBER('Inputs'!$B$28)),((('Results'!C7*(1+'Inputs'!$B$24)*(0.5*((((566-43)*MAX('Inputs'!$B$33,'Inputs'!$B$29+'Inputs'!$B$31+'Inputs'!$B$32,'Inputs'!$B$30+'Inputs'!$B$31+'Inputs'!$B$32)/1000+'Inputs'!$B$21)+'Inputs'!$B$9)/SQRT((((566-43)*MAX('Inputs'!$B$33,'Inputs'!$B$29+'Inputs'!$B$31+'Inputs'!$B$32,'Inputs'!$B$30+'Inputs'!$B$31+'Inputs'!$B$32)/1000+'Inputs'!$B$21)+'Inputs'!$B$9)^2+('Inputs'!$B$8/2)^2)-(((566-43)*MAX('Inputs'!$B$33,'Inputs'!$B$29+'Inputs'!$B$31+'Inputs'!$B$32,'Inputs'!$B$30+'Inputs'!$B$31+'Inputs'!$B$32)/1000+'Inputs'!$B$21))/SQRT((((566-43)*MAX('Inputs'!$B$33,'Inputs'!$B$29+'Inputs'!$B$31+'Inputs'!$B$32,'Inputs'!$B$30+'Inputs'!$B$31+'Inputs'!$B$32)/1000+'Inputs'!$B$21))^2+('Inputs'!$B$8/2)^2)))-'Results'!B7*(1-'Inputs'!$B$24)*(0.5*((((566-43)*MAX('Inputs'!$B$33,'Inputs'!$B$29+'Inputs'!$B$31+'Inputs'!$B$32,'Inputs'!$B$30+'Inputs'!$B$31+'Inputs'!$B$32)/1000+'Inputs'!$B$21+'Inputs'!$B$9+'Inputs'!$B$10)+'Inputs'!$B$7)/SQRT((((566-43)*MAX('Inputs'!$B$33,'Inputs'!$B$29+'Inputs'!$B$31+'Inputs'!$B$32,'Inputs'!$B$30+'Inputs'!$B$31+'Inputs'!$B$32)/1000+'Inputs'!$B$21+'Inputs'!$B$9+'Inputs'!$B$10)+'Inputs'!$B$7)^2+('Inputs'!$B$6/2)^2)-(((566-43)*MAX('Inputs'!$B$33,'Inputs'!$B$29+'Inputs'!$B$31+'Inputs'!$B$32,'Inputs'!$B$30+'Inputs'!$B$31+'Inputs'!$B$32)/1000+'Inputs'!$B$21+'Inputs'!$B$9+'Inputs'!$B$10))/SQRT((((566-43)*MAX('Inputs'!$B$33,'Inputs'!$B$29+'Inputs'!$B$31+'Inputs'!$B$32,'Inputs'!$B$30+'Inputs'!$B$31+'Inputs'!$B$32)/1000+'Inputs'!$B$21+'Inputs'!$B$9+'Inputs'!$B$10))^2+('Inputs'!$B$6/2)^2))))*'Results'!$B$8)+'Inputs'!$B$28*ABS((('Results'!C7*(1+'Inputs'!$B$24)*(0.5*((((566-43)*MAX('Inputs'!$B$33,'Inputs'!$B$29+'Inputs'!$B$31+'Inputs'!$B$32,'Inputs'!$B$30+'Inputs'!$B$31+'Inputs'!$B$32)/1000+'Inputs'!$B$21)+'Inputs'!$B$9)/SQRT((((566-43)*MAX('Inputs'!$B$33,'Inputs'!$B$29+'Inputs'!$B$31+'Inputs'!$B$32,'Inputs'!$B$30+'Inputs'!$B$31+'Inputs'!$B$32)/1000+'Inputs'!$B$21)+'Inputs'!$B$9)^2+('Inputs'!$B$8/2)^2)-(((566-43)*MAX('Inputs'!$B$33,'Inputs'!$B$29+'Inputs'!$B$31+'Inputs'!$B$32,'Inputs'!$B$30+'Inputs'!$B$31+'Inputs'!$B$32)/1000+'Inputs'!$B$21))/SQRT((((566-43)*MAX('Inputs'!$B$33,'Inputs'!$B$29+'Inputs'!$B$31+'Inputs'!$B$32,'Inputs'!$B$30+'Inputs'!$B$31+'Inputs'!$B$32)/1000+'Inputs'!$B$21))^2+('Inputs'!$B$8/2)^2)))-'Results'!B7*(1-'Inputs'!$B$24)*(0.5*((((566-43)*MAX('Inputs'!$B$33,'Inputs'!$B$29+'Inputs'!$B$31+'Inputs'!$B$32,'Inputs'!$B$30+'Inputs'!$B$31+'Inputs'!$B$32)/1000+'Inputs'!$B$21+'Inputs'!$B$9+'Inputs'!$B$10)+'Inputs'!$B$7)/SQRT((((566-43)*MAX('Inputs'!$B$33,'Inputs'!$B$29+'Inputs'!$B$31+'Inputs'!$B$32,'Inputs'!$B$30+'Inputs'!$B$31+'Inputs'!$B$32)/1000+'Inputs'!$B$21+'Inputs'!$B$9+'Inputs'!$B$10)+'Inputs'!$B$7)^2+('Inputs'!$B$6/2)^2)-(((566-43)*MAX('Inputs'!$B$33,'Inputs'!$B$29+'Inputs'!$B$31+'Inputs'!$B$32,'Inputs'!$B$30+'Inputs'!$B$31+'Inputs'!$B$32)/1000+'Inputs'!$B$21+'Inputs'!$B$9+'Inputs'!$B$10))/SQRT((((566-43)*MAX('Inputs'!$B$33,'Inputs'!$B$29+'Inputs'!$B$31+'Inputs'!$B$32,'Inputs'!$B$30+'Inputs'!$B$31+'Inputs'!$B$32)/1000+'Inputs'!$B$21+'Inputs'!$B$9+'Inputs'!$B$10))^2+('Inputs'!$B$6/2)^2))))*'Results'!$B$8))),"")</x:f>
        <x:v>3.7584670396786115</x:v>
      </x:c>
      <x:c r="P566" t="n">
        <x:f>IF(AND(MAX(J566,J565)&gt;0,J566&gt;J565+0.00000001),1,0)</x:f>
        <x:v>0</x:v>
      </x:c>
      <x:c r="Q566" t="n">
        <x:f>IF(AND(MAX(K566,K565)&gt;0,K566&gt;K565+0.00000001),1,0)</x:f>
        <x:v>0</x:v>
      </x:c>
      <x:c r="R566" t="n">
        <x:f>IF(AND(MAX(L566,L565)&gt;0,L566&gt;L565+0.00000001),1,0)</x:f>
        <x:v>0</x:v>
      </x:c>
      <x:c r="S566" t="n">
        <x:f>IF(AND(MAX(M566,M565)&gt;0,M566&gt;M565+0.00000001),1,0)</x:f>
        <x:v>0</x:v>
      </x:c>
      <x:c r="T566" t="n">
        <x:f>IF(AND(MAX(N566,N565)&gt;0,N566&gt;N565+0.00000001),1,0)</x:f>
        <x:v>0</x:v>
      </x:c>
      <x:c r="U566" t="n">
        <x:f>IF(AND(MAX(O566,O565)&gt;0,O566&gt;O565+0.00000001),1,0)</x:f>
        <x:v>0</x:v>
      </x:c>
    </x:row>
    <x:row r="567">
      <x:c r="J567" t="n">
        <x:f>IF(AND(ISNUMBER('Results'!B7),ISNUMBER('Results'!C7),ISNUMBER('Results'!$B$8),ISNUMBER('Inputs'!$B$6),ISNUMBER('Inputs'!$B$7),ISNUMBER('Inputs'!$B$8),ISNUMBER('Inputs'!$B$9),ISNUMBER('Inputs'!$B$10),ISNUMBER('Inputs'!$B$21),ISNUMBER('Inputs'!$B$24),ISNUMBER('Inputs'!$B$28)),(('Results'!B7*(0.5*((((567-43)*MAX('Inputs'!$B$33,'Inputs'!$B$29+'Inputs'!$B$31+'Inputs'!$B$32,'Inputs'!$B$30+'Inputs'!$B$31+'Inputs'!$B$32)/1000+'Inputs'!$B$21)+'Inputs'!$B$7)/SQRT((((567-43)*MAX('Inputs'!$B$33,'Inputs'!$B$29+'Inputs'!$B$31+'Inputs'!$B$32,'Inputs'!$B$30+'Inputs'!$B$31+'Inputs'!$B$32)/1000+'Inputs'!$B$21)+'Inputs'!$B$7)^2+('Inputs'!$B$6/2)^2)-(((567-43)*MAX('Inputs'!$B$33,'Inputs'!$B$29+'Inputs'!$B$31+'Inputs'!$B$32,'Inputs'!$B$30+'Inputs'!$B$31+'Inputs'!$B$32)/1000+'Inputs'!$B$21))/SQRT((((567-43)*MAX('Inputs'!$B$33,'Inputs'!$B$29+'Inputs'!$B$31+'Inputs'!$B$32,'Inputs'!$B$30+'Inputs'!$B$31+'Inputs'!$B$32)/1000+'Inputs'!$B$21))^2+('Inputs'!$B$6/2)^2)))-'Results'!C7*(0.5*((((567-43)*MAX('Inputs'!$B$33,'Inputs'!$B$29+'Inputs'!$B$31+'Inputs'!$B$32,'Inputs'!$B$30+'Inputs'!$B$31+'Inputs'!$B$32)/1000+'Inputs'!$B$21+'Inputs'!$B$7+'Inputs'!$B$10)+'Inputs'!$B$9)/SQRT((((567-43)*MAX('Inputs'!$B$33,'Inputs'!$B$29+'Inputs'!$B$31+'Inputs'!$B$32,'Inputs'!$B$30+'Inputs'!$B$31+'Inputs'!$B$32)/1000+'Inputs'!$B$21+'Inputs'!$B$7+'Inputs'!$B$10)+'Inputs'!$B$9)^2+('Inputs'!$B$8/2)^2)-(((567-43)*MAX('Inputs'!$B$33,'Inputs'!$B$29+'Inputs'!$B$31+'Inputs'!$B$32,'Inputs'!$B$30+'Inputs'!$B$31+'Inputs'!$B$32)/1000+'Inputs'!$B$21+'Inputs'!$B$7+'Inputs'!$B$10))/SQRT((((567-43)*MAX('Inputs'!$B$33,'Inputs'!$B$29+'Inputs'!$B$31+'Inputs'!$B$32,'Inputs'!$B$30+'Inputs'!$B$31+'Inputs'!$B$32)/1000+'Inputs'!$B$21+'Inputs'!$B$7+'Inputs'!$B$10))^2+('Inputs'!$B$8/2)^2))))*'Results'!$B$8),"")</x:f>
        <x:v>3.5592774250758565</x:v>
      </x:c>
      <x:c r="K567" t="n">
        <x:f>IF(AND(ISNUMBER('Results'!B7),ISNUMBER('Results'!C7),ISNUMBER('Results'!$B$8),ISNUMBER('Inputs'!$B$6),ISNUMBER('Inputs'!$B$7),ISNUMBER('Inputs'!$B$8),ISNUMBER('Inputs'!$B$9),ISNUMBER('Inputs'!$B$10),ISNUMBER('Inputs'!$B$21),ISNUMBER('Inputs'!$B$24),ISNUMBER('Inputs'!$B$28)),((('Results'!B7*(1-'Inputs'!$B$24)*(0.5*((((567-43)*MAX('Inputs'!$B$33,'Inputs'!$B$29+'Inputs'!$B$31+'Inputs'!$B$32,'Inputs'!$B$30+'Inputs'!$B$31+'Inputs'!$B$32)/1000+'Inputs'!$B$21)+'Inputs'!$B$7)/SQRT((((567-43)*MAX('Inputs'!$B$33,'Inputs'!$B$29+'Inputs'!$B$31+'Inputs'!$B$32,'Inputs'!$B$30+'Inputs'!$B$31+'Inputs'!$B$32)/1000+'Inputs'!$B$21)+'Inputs'!$B$7)^2+('Inputs'!$B$6/2)^2)-(((567-43)*MAX('Inputs'!$B$33,'Inputs'!$B$29+'Inputs'!$B$31+'Inputs'!$B$32,'Inputs'!$B$30+'Inputs'!$B$31+'Inputs'!$B$32)/1000+'Inputs'!$B$21))/SQRT((((567-43)*MAX('Inputs'!$B$33,'Inputs'!$B$29+'Inputs'!$B$31+'Inputs'!$B$32,'Inputs'!$B$30+'Inputs'!$B$31+'Inputs'!$B$32)/1000+'Inputs'!$B$21))^2+('Inputs'!$B$6/2)^2)))-'Results'!C7*(1+'Inputs'!$B$24)*(0.5*((((567-43)*MAX('Inputs'!$B$33,'Inputs'!$B$29+'Inputs'!$B$31+'Inputs'!$B$32,'Inputs'!$B$30+'Inputs'!$B$31+'Inputs'!$B$32)/1000+'Inputs'!$B$21+'Inputs'!$B$7+'Inputs'!$B$10)+'Inputs'!$B$9)/SQRT((((567-43)*MAX('Inputs'!$B$33,'Inputs'!$B$29+'Inputs'!$B$31+'Inputs'!$B$32,'Inputs'!$B$30+'Inputs'!$B$31+'Inputs'!$B$32)/1000+'Inputs'!$B$21+'Inputs'!$B$7+'Inputs'!$B$10)+'Inputs'!$B$9)^2+('Inputs'!$B$8/2)^2)-(((567-43)*MAX('Inputs'!$B$33,'Inputs'!$B$29+'Inputs'!$B$31+'Inputs'!$B$32,'Inputs'!$B$30+'Inputs'!$B$31+'Inputs'!$B$32)/1000+'Inputs'!$B$21+'Inputs'!$B$7+'Inputs'!$B$10))/SQRT((((567-43)*MAX('Inputs'!$B$33,'Inputs'!$B$29+'Inputs'!$B$31+'Inputs'!$B$32,'Inputs'!$B$30+'Inputs'!$B$31+'Inputs'!$B$32)/1000+'Inputs'!$B$21+'Inputs'!$B$7+'Inputs'!$B$10))^2+('Inputs'!$B$8/2)^2))))*'Results'!$B$8)-'Inputs'!$B$28*ABS((('Results'!B7*(1-'Inputs'!$B$24)*(0.5*((((567-43)*MAX('Inputs'!$B$33,'Inputs'!$B$29+'Inputs'!$B$31+'Inputs'!$B$32,'Inputs'!$B$30+'Inputs'!$B$31+'Inputs'!$B$32)/1000+'Inputs'!$B$21)+'Inputs'!$B$7)/SQRT((((567-43)*MAX('Inputs'!$B$33,'Inputs'!$B$29+'Inputs'!$B$31+'Inputs'!$B$32,'Inputs'!$B$30+'Inputs'!$B$31+'Inputs'!$B$32)/1000+'Inputs'!$B$21)+'Inputs'!$B$7)^2+('Inputs'!$B$6/2)^2)-(((567-43)*MAX('Inputs'!$B$33,'Inputs'!$B$29+'Inputs'!$B$31+'Inputs'!$B$32,'Inputs'!$B$30+'Inputs'!$B$31+'Inputs'!$B$32)/1000+'Inputs'!$B$21))/SQRT((((567-43)*MAX('Inputs'!$B$33,'Inputs'!$B$29+'Inputs'!$B$31+'Inputs'!$B$32,'Inputs'!$B$30+'Inputs'!$B$31+'Inputs'!$B$32)/1000+'Inputs'!$B$21))^2+('Inputs'!$B$6/2)^2)))-'Results'!C7*(1+'Inputs'!$B$24)*(0.5*((((567-43)*MAX('Inputs'!$B$33,'Inputs'!$B$29+'Inputs'!$B$31+'Inputs'!$B$32,'Inputs'!$B$30+'Inputs'!$B$31+'Inputs'!$B$32)/1000+'Inputs'!$B$21+'Inputs'!$B$7+'Inputs'!$B$10)+'Inputs'!$B$9)/SQRT((((567-43)*MAX('Inputs'!$B$33,'Inputs'!$B$29+'Inputs'!$B$31+'Inputs'!$B$32,'Inputs'!$B$30+'Inputs'!$B$31+'Inputs'!$B$32)/1000+'Inputs'!$B$21+'Inputs'!$B$7+'Inputs'!$B$10)+'Inputs'!$B$9)^2+('Inputs'!$B$8/2)^2)-(((567-43)*MAX('Inputs'!$B$33,'Inputs'!$B$29+'Inputs'!$B$31+'Inputs'!$B$32,'Inputs'!$B$30+'Inputs'!$B$31+'Inputs'!$B$32)/1000+'Inputs'!$B$21+'Inputs'!$B$7+'Inputs'!$B$10))/SQRT((((567-43)*MAX('Inputs'!$B$33,'Inputs'!$B$29+'Inputs'!$B$31+'Inputs'!$B$32,'Inputs'!$B$30+'Inputs'!$B$31+'Inputs'!$B$32)/1000+'Inputs'!$B$21+'Inputs'!$B$7+'Inputs'!$B$10))^2+('Inputs'!$B$8/2)^2))))*'Results'!$B$8))),"")</x:f>
        <x:v>3.1435767349216364</x:v>
      </x:c>
      <x:c r="L567" t="n">
        <x:f>IF(AND(ISNUMBER('Results'!B7),ISNUMBER('Results'!C7),ISNUMBER('Results'!$B$8),ISNUMBER('Inputs'!$B$6),ISNUMBER('Inputs'!$B$7),ISNUMBER('Inputs'!$B$8),ISNUMBER('Inputs'!$B$9),ISNUMBER('Inputs'!$B$10),ISNUMBER('Inputs'!$B$21),ISNUMBER('Inputs'!$B$24),ISNUMBER('Inputs'!$B$28)),((('Results'!B7*(1+'Inputs'!$B$24)*(0.5*((((567-43)*MAX('Inputs'!$B$33,'Inputs'!$B$29+'Inputs'!$B$31+'Inputs'!$B$32,'Inputs'!$B$30+'Inputs'!$B$31+'Inputs'!$B$32)/1000+'Inputs'!$B$21)+'Inputs'!$B$7)/SQRT((((567-43)*MAX('Inputs'!$B$33,'Inputs'!$B$29+'Inputs'!$B$31+'Inputs'!$B$32,'Inputs'!$B$30+'Inputs'!$B$31+'Inputs'!$B$32)/1000+'Inputs'!$B$21)+'Inputs'!$B$7)^2+('Inputs'!$B$6/2)^2)-(((567-43)*MAX('Inputs'!$B$33,'Inputs'!$B$29+'Inputs'!$B$31+'Inputs'!$B$32,'Inputs'!$B$30+'Inputs'!$B$31+'Inputs'!$B$32)/1000+'Inputs'!$B$21))/SQRT((((567-43)*MAX('Inputs'!$B$33,'Inputs'!$B$29+'Inputs'!$B$31+'Inputs'!$B$32,'Inputs'!$B$30+'Inputs'!$B$31+'Inputs'!$B$32)/1000+'Inputs'!$B$21))^2+('Inputs'!$B$6/2)^2)))-'Results'!C7*(1-'Inputs'!$B$24)*(0.5*((((567-43)*MAX('Inputs'!$B$33,'Inputs'!$B$29+'Inputs'!$B$31+'Inputs'!$B$32,'Inputs'!$B$30+'Inputs'!$B$31+'Inputs'!$B$32)/1000+'Inputs'!$B$21+'Inputs'!$B$7+'Inputs'!$B$10)+'Inputs'!$B$9)/SQRT((((567-43)*MAX('Inputs'!$B$33,'Inputs'!$B$29+'Inputs'!$B$31+'Inputs'!$B$32,'Inputs'!$B$30+'Inputs'!$B$31+'Inputs'!$B$32)/1000+'Inputs'!$B$21+'Inputs'!$B$7+'Inputs'!$B$10)+'Inputs'!$B$9)^2+('Inputs'!$B$8/2)^2)-(((567-43)*MAX('Inputs'!$B$33,'Inputs'!$B$29+'Inputs'!$B$31+'Inputs'!$B$32,'Inputs'!$B$30+'Inputs'!$B$31+'Inputs'!$B$32)/1000+'Inputs'!$B$21+'Inputs'!$B$7+'Inputs'!$B$10))/SQRT((((567-43)*MAX('Inputs'!$B$33,'Inputs'!$B$29+'Inputs'!$B$31+'Inputs'!$B$32,'Inputs'!$B$30+'Inputs'!$B$31+'Inputs'!$B$32)/1000+'Inputs'!$B$21+'Inputs'!$B$7+'Inputs'!$B$10))^2+('Inputs'!$B$8/2)^2))))*'Results'!$B$8)+'Inputs'!$B$28*ABS((('Results'!B7*(1+'Inputs'!$B$24)*(0.5*((((567-43)*MAX('Inputs'!$B$33,'Inputs'!$B$29+'Inputs'!$B$31+'Inputs'!$B$32,'Inputs'!$B$30+'Inputs'!$B$31+'Inputs'!$B$32)/1000+'Inputs'!$B$21)+'Inputs'!$B$7)/SQRT((((567-43)*MAX('Inputs'!$B$33,'Inputs'!$B$29+'Inputs'!$B$31+'Inputs'!$B$32,'Inputs'!$B$30+'Inputs'!$B$31+'Inputs'!$B$32)/1000+'Inputs'!$B$21)+'Inputs'!$B$7)^2+('Inputs'!$B$6/2)^2)-(((567-43)*MAX('Inputs'!$B$33,'Inputs'!$B$29+'Inputs'!$B$31+'Inputs'!$B$32,'Inputs'!$B$30+'Inputs'!$B$31+'Inputs'!$B$32)/1000+'Inputs'!$B$21))/SQRT((((567-43)*MAX('Inputs'!$B$33,'Inputs'!$B$29+'Inputs'!$B$31+'Inputs'!$B$32,'Inputs'!$B$30+'Inputs'!$B$31+'Inputs'!$B$32)/1000+'Inputs'!$B$21))^2+('Inputs'!$B$6/2)^2)))-'Results'!C7*(1-'Inputs'!$B$24)*(0.5*((((567-43)*MAX('Inputs'!$B$33,'Inputs'!$B$29+'Inputs'!$B$31+'Inputs'!$B$32,'Inputs'!$B$30+'Inputs'!$B$31+'Inputs'!$B$32)/1000+'Inputs'!$B$21+'Inputs'!$B$7+'Inputs'!$B$10)+'Inputs'!$B$9)/SQRT((((567-43)*MAX('Inputs'!$B$33,'Inputs'!$B$29+'Inputs'!$B$31+'Inputs'!$B$32,'Inputs'!$B$30+'Inputs'!$B$31+'Inputs'!$B$32)/1000+'Inputs'!$B$21+'Inputs'!$B$7+'Inputs'!$B$10)+'Inputs'!$B$9)^2+('Inputs'!$B$8/2)^2)-(((567-43)*MAX('Inputs'!$B$33,'Inputs'!$B$29+'Inputs'!$B$31+'Inputs'!$B$32,'Inputs'!$B$30+'Inputs'!$B$31+'Inputs'!$B$32)/1000+'Inputs'!$B$21+'Inputs'!$B$7+'Inputs'!$B$10))/SQRT((((567-43)*MAX('Inputs'!$B$33,'Inputs'!$B$29+'Inputs'!$B$31+'Inputs'!$B$32,'Inputs'!$B$30+'Inputs'!$B$31+'Inputs'!$B$32)/1000+'Inputs'!$B$21+'Inputs'!$B$7+'Inputs'!$B$10))^2+('Inputs'!$B$8/2)^2))))*'Results'!$B$8))),"")</x:f>
        <x:v>4.000003043535387</x:v>
      </x:c>
      <x:c r="M567" t="n">
        <x:f>IF(AND(ISNUMBER('Results'!C7),ISNUMBER('Results'!B7),ISNUMBER('Results'!$B$8),ISNUMBER('Inputs'!$B$6),ISNUMBER('Inputs'!$B$7),ISNUMBER('Inputs'!$B$8),ISNUMBER('Inputs'!$B$9),ISNUMBER('Inputs'!$B$10),ISNUMBER('Inputs'!$B$21),ISNUMBER('Inputs'!$B$24),ISNUMBER('Inputs'!$B$28)),(('Results'!C7*(0.5*((((567-43)*MAX('Inputs'!$B$33,'Inputs'!$B$29+'Inputs'!$B$31+'Inputs'!$B$32,'Inputs'!$B$30+'Inputs'!$B$31+'Inputs'!$B$32)/1000+'Inputs'!$B$21)+'Inputs'!$B$9)/SQRT((((567-43)*MAX('Inputs'!$B$33,'Inputs'!$B$29+'Inputs'!$B$31+'Inputs'!$B$32,'Inputs'!$B$30+'Inputs'!$B$31+'Inputs'!$B$32)/1000+'Inputs'!$B$21)+'Inputs'!$B$9)^2+('Inputs'!$B$8/2)^2)-(((567-43)*MAX('Inputs'!$B$33,'Inputs'!$B$29+'Inputs'!$B$31+'Inputs'!$B$32,'Inputs'!$B$30+'Inputs'!$B$31+'Inputs'!$B$32)/1000+'Inputs'!$B$21))/SQRT((((567-43)*MAX('Inputs'!$B$33,'Inputs'!$B$29+'Inputs'!$B$31+'Inputs'!$B$32,'Inputs'!$B$30+'Inputs'!$B$31+'Inputs'!$B$32)/1000+'Inputs'!$B$21))^2+('Inputs'!$B$8/2)^2)))-'Results'!B7*(0.5*((((567-43)*MAX('Inputs'!$B$33,'Inputs'!$B$29+'Inputs'!$B$31+'Inputs'!$B$32,'Inputs'!$B$30+'Inputs'!$B$31+'Inputs'!$B$32)/1000+'Inputs'!$B$21+'Inputs'!$B$9+'Inputs'!$B$10)+'Inputs'!$B$7)/SQRT((((567-43)*MAX('Inputs'!$B$33,'Inputs'!$B$29+'Inputs'!$B$31+'Inputs'!$B$32,'Inputs'!$B$30+'Inputs'!$B$31+'Inputs'!$B$32)/1000+'Inputs'!$B$21+'Inputs'!$B$9+'Inputs'!$B$10)+'Inputs'!$B$7)^2+('Inputs'!$B$6/2)^2)-(((567-43)*MAX('Inputs'!$B$33,'Inputs'!$B$29+'Inputs'!$B$31+'Inputs'!$B$32,'Inputs'!$B$30+'Inputs'!$B$31+'Inputs'!$B$32)/1000+'Inputs'!$B$21+'Inputs'!$B$9+'Inputs'!$B$10))/SQRT((((567-43)*MAX('Inputs'!$B$33,'Inputs'!$B$29+'Inputs'!$B$31+'Inputs'!$B$32,'Inputs'!$B$30+'Inputs'!$B$31+'Inputs'!$B$32)/1000+'Inputs'!$B$21+'Inputs'!$B$9+'Inputs'!$B$10))^2+('Inputs'!$B$6/2)^2))))*'Results'!$B$8),"")</x:f>
        <x:v>3.3072009610579642</x:v>
      </x:c>
      <x:c r="N567" t="n">
        <x:f>IF(AND(ISNUMBER('Results'!C7),ISNUMBER('Results'!B7),ISNUMBER('Results'!$B$8),ISNUMBER('Inputs'!$B$6),ISNUMBER('Inputs'!$B$7),ISNUMBER('Inputs'!$B$8),ISNUMBER('Inputs'!$B$9),ISNUMBER('Inputs'!$B$10),ISNUMBER('Inputs'!$B$21),ISNUMBER('Inputs'!$B$24),ISNUMBER('Inputs'!$B$28)),((('Results'!C7*(1-'Inputs'!$B$24)*(0.5*((((567-43)*MAX('Inputs'!$B$33,'Inputs'!$B$29+'Inputs'!$B$31+'Inputs'!$B$32,'Inputs'!$B$30+'Inputs'!$B$31+'Inputs'!$B$32)/1000+'Inputs'!$B$21)+'Inputs'!$B$9)/SQRT((((567-43)*MAX('Inputs'!$B$33,'Inputs'!$B$29+'Inputs'!$B$31+'Inputs'!$B$32,'Inputs'!$B$30+'Inputs'!$B$31+'Inputs'!$B$32)/1000+'Inputs'!$B$21)+'Inputs'!$B$9)^2+('Inputs'!$B$8/2)^2)-(((567-43)*MAX('Inputs'!$B$33,'Inputs'!$B$29+'Inputs'!$B$31+'Inputs'!$B$32,'Inputs'!$B$30+'Inputs'!$B$31+'Inputs'!$B$32)/1000+'Inputs'!$B$21))/SQRT((((567-43)*MAX('Inputs'!$B$33,'Inputs'!$B$29+'Inputs'!$B$31+'Inputs'!$B$32,'Inputs'!$B$30+'Inputs'!$B$31+'Inputs'!$B$32)/1000+'Inputs'!$B$21))^2+('Inputs'!$B$8/2)^2)))-'Results'!B7*(1+'Inputs'!$B$24)*(0.5*((((567-43)*MAX('Inputs'!$B$33,'Inputs'!$B$29+'Inputs'!$B$31+'Inputs'!$B$32,'Inputs'!$B$30+'Inputs'!$B$31+'Inputs'!$B$32)/1000+'Inputs'!$B$21+'Inputs'!$B$9+'Inputs'!$B$10)+'Inputs'!$B$7)/SQRT((((567-43)*MAX('Inputs'!$B$33,'Inputs'!$B$29+'Inputs'!$B$31+'Inputs'!$B$32,'Inputs'!$B$30+'Inputs'!$B$31+'Inputs'!$B$32)/1000+'Inputs'!$B$21+'Inputs'!$B$9+'Inputs'!$B$10)+'Inputs'!$B$7)^2+('Inputs'!$B$6/2)^2)-(((567-43)*MAX('Inputs'!$B$33,'Inputs'!$B$29+'Inputs'!$B$31+'Inputs'!$B$32,'Inputs'!$B$30+'Inputs'!$B$31+'Inputs'!$B$32)/1000+'Inputs'!$B$21+'Inputs'!$B$9+'Inputs'!$B$10))/SQRT((((567-43)*MAX('Inputs'!$B$33,'Inputs'!$B$29+'Inputs'!$B$31+'Inputs'!$B$32,'Inputs'!$B$30+'Inputs'!$B$31+'Inputs'!$B$32)/1000+'Inputs'!$B$21+'Inputs'!$B$9+'Inputs'!$B$10))^2+('Inputs'!$B$6/2)^2))))*'Results'!$B$8)-'Inputs'!$B$28*ABS((('Results'!C7*(1-'Inputs'!$B$24)*(0.5*((((567-43)*MAX('Inputs'!$B$33,'Inputs'!$B$29+'Inputs'!$B$31+'Inputs'!$B$32,'Inputs'!$B$30+'Inputs'!$B$31+'Inputs'!$B$32)/1000+'Inputs'!$B$21)+'Inputs'!$B$9)/SQRT((((567-43)*MAX('Inputs'!$B$33,'Inputs'!$B$29+'Inputs'!$B$31+'Inputs'!$B$32,'Inputs'!$B$30+'Inputs'!$B$31+'Inputs'!$B$32)/1000+'Inputs'!$B$21)+'Inputs'!$B$9)^2+('Inputs'!$B$8/2)^2)-(((567-43)*MAX('Inputs'!$B$33,'Inputs'!$B$29+'Inputs'!$B$31+'Inputs'!$B$32,'Inputs'!$B$30+'Inputs'!$B$31+'Inputs'!$B$32)/1000+'Inputs'!$B$21))/SQRT((((567-43)*MAX('Inputs'!$B$33,'Inputs'!$B$29+'Inputs'!$B$31+'Inputs'!$B$32,'Inputs'!$B$30+'Inputs'!$B$31+'Inputs'!$B$32)/1000+'Inputs'!$B$21))^2+('Inputs'!$B$8/2)^2)))-'Results'!B7*(1+'Inputs'!$B$24)*(0.5*((((567-43)*MAX('Inputs'!$B$33,'Inputs'!$B$29+'Inputs'!$B$31+'Inputs'!$B$32,'Inputs'!$B$30+'Inputs'!$B$31+'Inputs'!$B$32)/1000+'Inputs'!$B$21+'Inputs'!$B$9+'Inputs'!$B$10)+'Inputs'!$B$7)/SQRT((((567-43)*MAX('Inputs'!$B$33,'Inputs'!$B$29+'Inputs'!$B$31+'Inputs'!$B$32,'Inputs'!$B$30+'Inputs'!$B$31+'Inputs'!$B$32)/1000+'Inputs'!$B$21+'Inputs'!$B$9+'Inputs'!$B$10)+'Inputs'!$B$7)^2+('Inputs'!$B$6/2)^2)-(((567-43)*MAX('Inputs'!$B$33,'Inputs'!$B$29+'Inputs'!$B$31+'Inputs'!$B$32,'Inputs'!$B$30+'Inputs'!$B$31+'Inputs'!$B$32)/1000+'Inputs'!$B$21+'Inputs'!$B$9+'Inputs'!$B$10))/SQRT((((567-43)*MAX('Inputs'!$B$33,'Inputs'!$B$29+'Inputs'!$B$31+'Inputs'!$B$32,'Inputs'!$B$30+'Inputs'!$B$31+'Inputs'!$B$32)/1000+'Inputs'!$B$21+'Inputs'!$B$9+'Inputs'!$B$10))^2+('Inputs'!$B$6/2)^2))))*'Results'!$B$8))),"")</x:f>
        <x:v>2.9054219030878334</x:v>
      </x:c>
      <x:c r="O567" t="n">
        <x:f>IF(AND(ISNUMBER('Results'!C7),ISNUMBER('Results'!B7),ISNUMBER('Results'!$B$8),ISNUMBER('Inputs'!$B$6),ISNUMBER('Inputs'!$B$7),ISNUMBER('Inputs'!$B$8),ISNUMBER('Inputs'!$B$9),ISNUMBER('Inputs'!$B$10),ISNUMBER('Inputs'!$B$21),ISNUMBER('Inputs'!$B$24),ISNUMBER('Inputs'!$B$28)),((('Results'!C7*(1+'Inputs'!$B$24)*(0.5*((((567-43)*MAX('Inputs'!$B$33,'Inputs'!$B$29+'Inputs'!$B$31+'Inputs'!$B$32,'Inputs'!$B$30+'Inputs'!$B$31+'Inputs'!$B$32)/1000+'Inputs'!$B$21)+'Inputs'!$B$9)/SQRT((((567-43)*MAX('Inputs'!$B$33,'Inputs'!$B$29+'Inputs'!$B$31+'Inputs'!$B$32,'Inputs'!$B$30+'Inputs'!$B$31+'Inputs'!$B$32)/1000+'Inputs'!$B$21)+'Inputs'!$B$9)^2+('Inputs'!$B$8/2)^2)-(((567-43)*MAX('Inputs'!$B$33,'Inputs'!$B$29+'Inputs'!$B$31+'Inputs'!$B$32,'Inputs'!$B$30+'Inputs'!$B$31+'Inputs'!$B$32)/1000+'Inputs'!$B$21))/SQRT((((567-43)*MAX('Inputs'!$B$33,'Inputs'!$B$29+'Inputs'!$B$31+'Inputs'!$B$32,'Inputs'!$B$30+'Inputs'!$B$31+'Inputs'!$B$32)/1000+'Inputs'!$B$21))^2+('Inputs'!$B$8/2)^2)))-'Results'!B7*(1-'Inputs'!$B$24)*(0.5*((((567-43)*MAX('Inputs'!$B$33,'Inputs'!$B$29+'Inputs'!$B$31+'Inputs'!$B$32,'Inputs'!$B$30+'Inputs'!$B$31+'Inputs'!$B$32)/1000+'Inputs'!$B$21+'Inputs'!$B$9+'Inputs'!$B$10)+'Inputs'!$B$7)/SQRT((((567-43)*MAX('Inputs'!$B$33,'Inputs'!$B$29+'Inputs'!$B$31+'Inputs'!$B$32,'Inputs'!$B$30+'Inputs'!$B$31+'Inputs'!$B$32)/1000+'Inputs'!$B$21+'Inputs'!$B$9+'Inputs'!$B$10)+'Inputs'!$B$7)^2+('Inputs'!$B$6/2)^2)-(((567-43)*MAX('Inputs'!$B$33,'Inputs'!$B$29+'Inputs'!$B$31+'Inputs'!$B$32,'Inputs'!$B$30+'Inputs'!$B$31+'Inputs'!$B$32)/1000+'Inputs'!$B$21+'Inputs'!$B$9+'Inputs'!$B$10))/SQRT((((567-43)*MAX('Inputs'!$B$33,'Inputs'!$B$29+'Inputs'!$B$31+'Inputs'!$B$32,'Inputs'!$B$30+'Inputs'!$B$31+'Inputs'!$B$32)/1000+'Inputs'!$B$21+'Inputs'!$B$9+'Inputs'!$B$10))^2+('Inputs'!$B$6/2)^2))))*'Results'!$B$8)+'Inputs'!$B$28*ABS((('Results'!C7*(1+'Inputs'!$B$24)*(0.5*((((567-43)*MAX('Inputs'!$B$33,'Inputs'!$B$29+'Inputs'!$B$31+'Inputs'!$B$32,'Inputs'!$B$30+'Inputs'!$B$31+'Inputs'!$B$32)/1000+'Inputs'!$B$21)+'Inputs'!$B$9)/SQRT((((567-43)*MAX('Inputs'!$B$33,'Inputs'!$B$29+'Inputs'!$B$31+'Inputs'!$B$32,'Inputs'!$B$30+'Inputs'!$B$31+'Inputs'!$B$32)/1000+'Inputs'!$B$21)+'Inputs'!$B$9)^2+('Inputs'!$B$8/2)^2)-(((567-43)*MAX('Inputs'!$B$33,'Inputs'!$B$29+'Inputs'!$B$31+'Inputs'!$B$32,'Inputs'!$B$30+'Inputs'!$B$31+'Inputs'!$B$32)/1000+'Inputs'!$B$21))/SQRT((((567-43)*MAX('Inputs'!$B$33,'Inputs'!$B$29+'Inputs'!$B$31+'Inputs'!$B$32,'Inputs'!$B$30+'Inputs'!$B$31+'Inputs'!$B$32)/1000+'Inputs'!$B$21))^2+('Inputs'!$B$8/2)^2)))-'Results'!B7*(1-'Inputs'!$B$24)*(0.5*((((567-43)*MAX('Inputs'!$B$33,'Inputs'!$B$29+'Inputs'!$B$31+'Inputs'!$B$32,'Inputs'!$B$30+'Inputs'!$B$31+'Inputs'!$B$32)/1000+'Inputs'!$B$21+'Inputs'!$B$9+'Inputs'!$B$10)+'Inputs'!$B$7)/SQRT((((567-43)*MAX('Inputs'!$B$33,'Inputs'!$B$29+'Inputs'!$B$31+'Inputs'!$B$32,'Inputs'!$B$30+'Inputs'!$B$31+'Inputs'!$B$32)/1000+'Inputs'!$B$21+'Inputs'!$B$9+'Inputs'!$B$10)+'Inputs'!$B$7)^2+('Inputs'!$B$6/2)^2)-(((567-43)*MAX('Inputs'!$B$33,'Inputs'!$B$29+'Inputs'!$B$31+'Inputs'!$B$32,'Inputs'!$B$30+'Inputs'!$B$31+'Inputs'!$B$32)/1000+'Inputs'!$B$21+'Inputs'!$B$9+'Inputs'!$B$10))/SQRT((((567-43)*MAX('Inputs'!$B$33,'Inputs'!$B$29+'Inputs'!$B$31+'Inputs'!$B$32,'Inputs'!$B$30+'Inputs'!$B$31+'Inputs'!$B$32)/1000+'Inputs'!$B$21+'Inputs'!$B$9+'Inputs'!$B$10))^2+('Inputs'!$B$6/2)^2))))*'Results'!$B$8))),"")</x:f>
        <x:v>3.733866230598327</x:v>
      </x:c>
      <x:c r="P567" t="n">
        <x:f>IF(AND(MAX(J567,J566)&gt;0,J567&gt;J566+0.00000001),1,0)</x:f>
        <x:v>0</x:v>
      </x:c>
      <x:c r="Q567" t="n">
        <x:f>IF(AND(MAX(K567,K566)&gt;0,K567&gt;K566+0.00000001),1,0)</x:f>
        <x:v>0</x:v>
      </x:c>
      <x:c r="R567" t="n">
        <x:f>IF(AND(MAX(L567,L566)&gt;0,L567&gt;L566+0.00000001),1,0)</x:f>
        <x:v>0</x:v>
      </x:c>
      <x:c r="S567" t="n">
        <x:f>IF(AND(MAX(M567,M566)&gt;0,M567&gt;M566+0.00000001),1,0)</x:f>
        <x:v>0</x:v>
      </x:c>
      <x:c r="T567" t="n">
        <x:f>IF(AND(MAX(N567,N566)&gt;0,N567&gt;N566+0.00000001),1,0)</x:f>
        <x:v>0</x:v>
      </x:c>
      <x:c r="U567" t="n">
        <x:f>IF(AND(MAX(O567,O566)&gt;0,O567&gt;O566+0.00000001),1,0)</x:f>
        <x:v>0</x:v>
      </x:c>
    </x:row>
    <x:row r="568">
      <x:c r="J568" t="n">
        <x:f>IF(AND(ISNUMBER('Results'!B7),ISNUMBER('Results'!C7),ISNUMBER('Results'!$B$8),ISNUMBER('Inputs'!$B$6),ISNUMBER('Inputs'!$B$7),ISNUMBER('Inputs'!$B$8),ISNUMBER('Inputs'!$B$9),ISNUMBER('Inputs'!$B$10),ISNUMBER('Inputs'!$B$21),ISNUMBER('Inputs'!$B$24),ISNUMBER('Inputs'!$B$28)),(('Results'!B7*(0.5*((((568-43)*MAX('Inputs'!$B$33,'Inputs'!$B$29+'Inputs'!$B$31+'Inputs'!$B$32,'Inputs'!$B$30+'Inputs'!$B$31+'Inputs'!$B$32)/1000+'Inputs'!$B$21)+'Inputs'!$B$7)/SQRT((((568-43)*MAX('Inputs'!$B$33,'Inputs'!$B$29+'Inputs'!$B$31+'Inputs'!$B$32,'Inputs'!$B$30+'Inputs'!$B$31+'Inputs'!$B$32)/1000+'Inputs'!$B$21)+'Inputs'!$B$7)^2+('Inputs'!$B$6/2)^2)-(((568-43)*MAX('Inputs'!$B$33,'Inputs'!$B$29+'Inputs'!$B$31+'Inputs'!$B$32,'Inputs'!$B$30+'Inputs'!$B$31+'Inputs'!$B$32)/1000+'Inputs'!$B$21))/SQRT((((568-43)*MAX('Inputs'!$B$33,'Inputs'!$B$29+'Inputs'!$B$31+'Inputs'!$B$32,'Inputs'!$B$30+'Inputs'!$B$31+'Inputs'!$B$32)/1000+'Inputs'!$B$21))^2+('Inputs'!$B$6/2)^2)))-'Results'!C7*(0.5*((((568-43)*MAX('Inputs'!$B$33,'Inputs'!$B$29+'Inputs'!$B$31+'Inputs'!$B$32,'Inputs'!$B$30+'Inputs'!$B$31+'Inputs'!$B$32)/1000+'Inputs'!$B$21+'Inputs'!$B$7+'Inputs'!$B$10)+'Inputs'!$B$9)/SQRT((((568-43)*MAX('Inputs'!$B$33,'Inputs'!$B$29+'Inputs'!$B$31+'Inputs'!$B$32,'Inputs'!$B$30+'Inputs'!$B$31+'Inputs'!$B$32)/1000+'Inputs'!$B$21+'Inputs'!$B$7+'Inputs'!$B$10)+'Inputs'!$B$9)^2+('Inputs'!$B$8/2)^2)-(((568-43)*MAX('Inputs'!$B$33,'Inputs'!$B$29+'Inputs'!$B$31+'Inputs'!$B$32,'Inputs'!$B$30+'Inputs'!$B$31+'Inputs'!$B$32)/1000+'Inputs'!$B$21+'Inputs'!$B$7+'Inputs'!$B$10))/SQRT((((568-43)*MAX('Inputs'!$B$33,'Inputs'!$B$29+'Inputs'!$B$31+'Inputs'!$B$32,'Inputs'!$B$30+'Inputs'!$B$31+'Inputs'!$B$32)/1000+'Inputs'!$B$21+'Inputs'!$B$7+'Inputs'!$B$10))^2+('Inputs'!$B$8/2)^2))))*'Results'!$B$8),"")</x:f>
        <x:v>3.5360224667136753</x:v>
      </x:c>
      <x:c r="K568" t="n">
        <x:f>IF(AND(ISNUMBER('Results'!B7),ISNUMBER('Results'!C7),ISNUMBER('Results'!$B$8),ISNUMBER('Inputs'!$B$6),ISNUMBER('Inputs'!$B$7),ISNUMBER('Inputs'!$B$8),ISNUMBER('Inputs'!$B$9),ISNUMBER('Inputs'!$B$10),ISNUMBER('Inputs'!$B$21),ISNUMBER('Inputs'!$B$24),ISNUMBER('Inputs'!$B$28)),((('Results'!B7*(1-'Inputs'!$B$24)*(0.5*((((568-43)*MAX('Inputs'!$B$33,'Inputs'!$B$29+'Inputs'!$B$31+'Inputs'!$B$32,'Inputs'!$B$30+'Inputs'!$B$31+'Inputs'!$B$32)/1000+'Inputs'!$B$21)+'Inputs'!$B$7)/SQRT((((568-43)*MAX('Inputs'!$B$33,'Inputs'!$B$29+'Inputs'!$B$31+'Inputs'!$B$32,'Inputs'!$B$30+'Inputs'!$B$31+'Inputs'!$B$32)/1000+'Inputs'!$B$21)+'Inputs'!$B$7)^2+('Inputs'!$B$6/2)^2)-(((568-43)*MAX('Inputs'!$B$33,'Inputs'!$B$29+'Inputs'!$B$31+'Inputs'!$B$32,'Inputs'!$B$30+'Inputs'!$B$31+'Inputs'!$B$32)/1000+'Inputs'!$B$21))/SQRT((((568-43)*MAX('Inputs'!$B$33,'Inputs'!$B$29+'Inputs'!$B$31+'Inputs'!$B$32,'Inputs'!$B$30+'Inputs'!$B$31+'Inputs'!$B$32)/1000+'Inputs'!$B$21))^2+('Inputs'!$B$6/2)^2)))-'Results'!C7*(1+'Inputs'!$B$24)*(0.5*((((568-43)*MAX('Inputs'!$B$33,'Inputs'!$B$29+'Inputs'!$B$31+'Inputs'!$B$32,'Inputs'!$B$30+'Inputs'!$B$31+'Inputs'!$B$32)/1000+'Inputs'!$B$21+'Inputs'!$B$7+'Inputs'!$B$10)+'Inputs'!$B$9)/SQRT((((568-43)*MAX('Inputs'!$B$33,'Inputs'!$B$29+'Inputs'!$B$31+'Inputs'!$B$32,'Inputs'!$B$30+'Inputs'!$B$31+'Inputs'!$B$32)/1000+'Inputs'!$B$21+'Inputs'!$B$7+'Inputs'!$B$10)+'Inputs'!$B$9)^2+('Inputs'!$B$8/2)^2)-(((568-43)*MAX('Inputs'!$B$33,'Inputs'!$B$29+'Inputs'!$B$31+'Inputs'!$B$32,'Inputs'!$B$30+'Inputs'!$B$31+'Inputs'!$B$32)/1000+'Inputs'!$B$21+'Inputs'!$B$7+'Inputs'!$B$10))/SQRT((((568-43)*MAX('Inputs'!$B$33,'Inputs'!$B$29+'Inputs'!$B$31+'Inputs'!$B$32,'Inputs'!$B$30+'Inputs'!$B$31+'Inputs'!$B$32)/1000+'Inputs'!$B$21+'Inputs'!$B$7+'Inputs'!$B$10))^2+('Inputs'!$B$8/2)^2))))*'Results'!$B$8)-'Inputs'!$B$28*ABS((('Results'!B7*(1-'Inputs'!$B$24)*(0.5*((((568-43)*MAX('Inputs'!$B$33,'Inputs'!$B$29+'Inputs'!$B$31+'Inputs'!$B$32,'Inputs'!$B$30+'Inputs'!$B$31+'Inputs'!$B$32)/1000+'Inputs'!$B$21)+'Inputs'!$B$7)/SQRT((((568-43)*MAX('Inputs'!$B$33,'Inputs'!$B$29+'Inputs'!$B$31+'Inputs'!$B$32,'Inputs'!$B$30+'Inputs'!$B$31+'Inputs'!$B$32)/1000+'Inputs'!$B$21)+'Inputs'!$B$7)^2+('Inputs'!$B$6/2)^2)-(((568-43)*MAX('Inputs'!$B$33,'Inputs'!$B$29+'Inputs'!$B$31+'Inputs'!$B$32,'Inputs'!$B$30+'Inputs'!$B$31+'Inputs'!$B$32)/1000+'Inputs'!$B$21))/SQRT((((568-43)*MAX('Inputs'!$B$33,'Inputs'!$B$29+'Inputs'!$B$31+'Inputs'!$B$32,'Inputs'!$B$30+'Inputs'!$B$31+'Inputs'!$B$32)/1000+'Inputs'!$B$21))^2+('Inputs'!$B$6/2)^2)))-'Results'!C7*(1+'Inputs'!$B$24)*(0.5*((((568-43)*MAX('Inputs'!$B$33,'Inputs'!$B$29+'Inputs'!$B$31+'Inputs'!$B$32,'Inputs'!$B$30+'Inputs'!$B$31+'Inputs'!$B$32)/1000+'Inputs'!$B$21+'Inputs'!$B$7+'Inputs'!$B$10)+'Inputs'!$B$9)/SQRT((((568-43)*MAX('Inputs'!$B$33,'Inputs'!$B$29+'Inputs'!$B$31+'Inputs'!$B$32,'Inputs'!$B$30+'Inputs'!$B$31+'Inputs'!$B$32)/1000+'Inputs'!$B$21+'Inputs'!$B$7+'Inputs'!$B$10)+'Inputs'!$B$9)^2+('Inputs'!$B$8/2)^2)-(((568-43)*MAX('Inputs'!$B$33,'Inputs'!$B$29+'Inputs'!$B$31+'Inputs'!$B$32,'Inputs'!$B$30+'Inputs'!$B$31+'Inputs'!$B$32)/1000+'Inputs'!$B$21+'Inputs'!$B$7+'Inputs'!$B$10))/SQRT((((568-43)*MAX('Inputs'!$B$33,'Inputs'!$B$29+'Inputs'!$B$31+'Inputs'!$B$32,'Inputs'!$B$30+'Inputs'!$B$31+'Inputs'!$B$32)/1000+'Inputs'!$B$21+'Inputs'!$B$7+'Inputs'!$B$10))^2+('Inputs'!$B$8/2)^2))))*'Results'!$B$8))),"")</x:f>
        <x:v>3.1226888265477006</x:v>
      </x:c>
      <x:c r="L568" t="n">
        <x:f>IF(AND(ISNUMBER('Results'!B7),ISNUMBER('Results'!C7),ISNUMBER('Results'!$B$8),ISNUMBER('Inputs'!$B$6),ISNUMBER('Inputs'!$B$7),ISNUMBER('Inputs'!$B$8),ISNUMBER('Inputs'!$B$9),ISNUMBER('Inputs'!$B$10),ISNUMBER('Inputs'!$B$21),ISNUMBER('Inputs'!$B$24),ISNUMBER('Inputs'!$B$28)),((('Results'!B7*(1+'Inputs'!$B$24)*(0.5*((((568-43)*MAX('Inputs'!$B$33,'Inputs'!$B$29+'Inputs'!$B$31+'Inputs'!$B$32,'Inputs'!$B$30+'Inputs'!$B$31+'Inputs'!$B$32)/1000+'Inputs'!$B$21)+'Inputs'!$B$7)/SQRT((((568-43)*MAX('Inputs'!$B$33,'Inputs'!$B$29+'Inputs'!$B$31+'Inputs'!$B$32,'Inputs'!$B$30+'Inputs'!$B$31+'Inputs'!$B$32)/1000+'Inputs'!$B$21)+'Inputs'!$B$7)^2+('Inputs'!$B$6/2)^2)-(((568-43)*MAX('Inputs'!$B$33,'Inputs'!$B$29+'Inputs'!$B$31+'Inputs'!$B$32,'Inputs'!$B$30+'Inputs'!$B$31+'Inputs'!$B$32)/1000+'Inputs'!$B$21))/SQRT((((568-43)*MAX('Inputs'!$B$33,'Inputs'!$B$29+'Inputs'!$B$31+'Inputs'!$B$32,'Inputs'!$B$30+'Inputs'!$B$31+'Inputs'!$B$32)/1000+'Inputs'!$B$21))^2+('Inputs'!$B$6/2)^2)))-'Results'!C7*(1-'Inputs'!$B$24)*(0.5*((((568-43)*MAX('Inputs'!$B$33,'Inputs'!$B$29+'Inputs'!$B$31+'Inputs'!$B$32,'Inputs'!$B$30+'Inputs'!$B$31+'Inputs'!$B$32)/1000+'Inputs'!$B$21+'Inputs'!$B$7+'Inputs'!$B$10)+'Inputs'!$B$9)/SQRT((((568-43)*MAX('Inputs'!$B$33,'Inputs'!$B$29+'Inputs'!$B$31+'Inputs'!$B$32,'Inputs'!$B$30+'Inputs'!$B$31+'Inputs'!$B$32)/1000+'Inputs'!$B$21+'Inputs'!$B$7+'Inputs'!$B$10)+'Inputs'!$B$9)^2+('Inputs'!$B$8/2)^2)-(((568-43)*MAX('Inputs'!$B$33,'Inputs'!$B$29+'Inputs'!$B$31+'Inputs'!$B$32,'Inputs'!$B$30+'Inputs'!$B$31+'Inputs'!$B$32)/1000+'Inputs'!$B$21+'Inputs'!$B$7+'Inputs'!$B$10))/SQRT((((568-43)*MAX('Inputs'!$B$33,'Inputs'!$B$29+'Inputs'!$B$31+'Inputs'!$B$32,'Inputs'!$B$30+'Inputs'!$B$31+'Inputs'!$B$32)/1000+'Inputs'!$B$21+'Inputs'!$B$7+'Inputs'!$B$10))^2+('Inputs'!$B$8/2)^2))))*'Results'!$B$8)+'Inputs'!$B$28*ABS((('Results'!B7*(1+'Inputs'!$B$24)*(0.5*((((568-43)*MAX('Inputs'!$B$33,'Inputs'!$B$29+'Inputs'!$B$31+'Inputs'!$B$32,'Inputs'!$B$30+'Inputs'!$B$31+'Inputs'!$B$32)/1000+'Inputs'!$B$21)+'Inputs'!$B$7)/SQRT((((568-43)*MAX('Inputs'!$B$33,'Inputs'!$B$29+'Inputs'!$B$31+'Inputs'!$B$32,'Inputs'!$B$30+'Inputs'!$B$31+'Inputs'!$B$32)/1000+'Inputs'!$B$21)+'Inputs'!$B$7)^2+('Inputs'!$B$6/2)^2)-(((568-43)*MAX('Inputs'!$B$33,'Inputs'!$B$29+'Inputs'!$B$31+'Inputs'!$B$32,'Inputs'!$B$30+'Inputs'!$B$31+'Inputs'!$B$32)/1000+'Inputs'!$B$21))/SQRT((((568-43)*MAX('Inputs'!$B$33,'Inputs'!$B$29+'Inputs'!$B$31+'Inputs'!$B$32,'Inputs'!$B$30+'Inputs'!$B$31+'Inputs'!$B$32)/1000+'Inputs'!$B$21))^2+('Inputs'!$B$6/2)^2)))-'Results'!C7*(1-'Inputs'!$B$24)*(0.5*((((568-43)*MAX('Inputs'!$B$33,'Inputs'!$B$29+'Inputs'!$B$31+'Inputs'!$B$32,'Inputs'!$B$30+'Inputs'!$B$31+'Inputs'!$B$32)/1000+'Inputs'!$B$21+'Inputs'!$B$7+'Inputs'!$B$10)+'Inputs'!$B$9)/SQRT((((568-43)*MAX('Inputs'!$B$33,'Inputs'!$B$29+'Inputs'!$B$31+'Inputs'!$B$32,'Inputs'!$B$30+'Inputs'!$B$31+'Inputs'!$B$32)/1000+'Inputs'!$B$21+'Inputs'!$B$7+'Inputs'!$B$10)+'Inputs'!$B$9)^2+('Inputs'!$B$8/2)^2)-(((568-43)*MAX('Inputs'!$B$33,'Inputs'!$B$29+'Inputs'!$B$31+'Inputs'!$B$32,'Inputs'!$B$30+'Inputs'!$B$31+'Inputs'!$B$32)/1000+'Inputs'!$B$21+'Inputs'!$B$7+'Inputs'!$B$10))/SQRT((((568-43)*MAX('Inputs'!$B$33,'Inputs'!$B$29+'Inputs'!$B$31+'Inputs'!$B$32,'Inputs'!$B$30+'Inputs'!$B$31+'Inputs'!$B$32)/1000+'Inputs'!$B$21+'Inputs'!$B$7+'Inputs'!$B$10))^2+('Inputs'!$B$8/2)^2))))*'Results'!$B$8))),"")</x:f>
        <x:v>3.9742542665459974</x:v>
      </x:c>
      <x:c r="M568" t="n">
        <x:f>IF(AND(ISNUMBER('Results'!C7),ISNUMBER('Results'!B7),ISNUMBER('Results'!$B$8),ISNUMBER('Inputs'!$B$6),ISNUMBER('Inputs'!$B$7),ISNUMBER('Inputs'!$B$8),ISNUMBER('Inputs'!$B$9),ISNUMBER('Inputs'!$B$10),ISNUMBER('Inputs'!$B$21),ISNUMBER('Inputs'!$B$24),ISNUMBER('Inputs'!$B$28)),(('Results'!C7*(0.5*((((568-43)*MAX('Inputs'!$B$33,'Inputs'!$B$29+'Inputs'!$B$31+'Inputs'!$B$32,'Inputs'!$B$30+'Inputs'!$B$31+'Inputs'!$B$32)/1000+'Inputs'!$B$21)+'Inputs'!$B$9)/SQRT((((568-43)*MAX('Inputs'!$B$33,'Inputs'!$B$29+'Inputs'!$B$31+'Inputs'!$B$32,'Inputs'!$B$30+'Inputs'!$B$31+'Inputs'!$B$32)/1000+'Inputs'!$B$21)+'Inputs'!$B$9)^2+('Inputs'!$B$8/2)^2)-(((568-43)*MAX('Inputs'!$B$33,'Inputs'!$B$29+'Inputs'!$B$31+'Inputs'!$B$32,'Inputs'!$B$30+'Inputs'!$B$31+'Inputs'!$B$32)/1000+'Inputs'!$B$21))/SQRT((((568-43)*MAX('Inputs'!$B$33,'Inputs'!$B$29+'Inputs'!$B$31+'Inputs'!$B$32,'Inputs'!$B$30+'Inputs'!$B$31+'Inputs'!$B$32)/1000+'Inputs'!$B$21))^2+('Inputs'!$B$8/2)^2)))-'Results'!B7*(0.5*((((568-43)*MAX('Inputs'!$B$33,'Inputs'!$B$29+'Inputs'!$B$31+'Inputs'!$B$32,'Inputs'!$B$30+'Inputs'!$B$31+'Inputs'!$B$32)/1000+'Inputs'!$B$21+'Inputs'!$B$9+'Inputs'!$B$10)+'Inputs'!$B$7)/SQRT((((568-43)*MAX('Inputs'!$B$33,'Inputs'!$B$29+'Inputs'!$B$31+'Inputs'!$B$32,'Inputs'!$B$30+'Inputs'!$B$31+'Inputs'!$B$32)/1000+'Inputs'!$B$21+'Inputs'!$B$9+'Inputs'!$B$10)+'Inputs'!$B$7)^2+('Inputs'!$B$6/2)^2)-(((568-43)*MAX('Inputs'!$B$33,'Inputs'!$B$29+'Inputs'!$B$31+'Inputs'!$B$32,'Inputs'!$B$30+'Inputs'!$B$31+'Inputs'!$B$32)/1000+'Inputs'!$B$21+'Inputs'!$B$9+'Inputs'!$B$10))/SQRT((((568-43)*MAX('Inputs'!$B$33,'Inputs'!$B$29+'Inputs'!$B$31+'Inputs'!$B$32,'Inputs'!$B$30+'Inputs'!$B$31+'Inputs'!$B$32)/1000+'Inputs'!$B$21+'Inputs'!$B$9+'Inputs'!$B$10))^2+('Inputs'!$B$6/2)^2))))*'Results'!$B$8),"")</x:f>
        <x:v>3.2852218787509337</x:v>
      </x:c>
      <x:c r="N568" t="n">
        <x:f>IF(AND(ISNUMBER('Results'!C7),ISNUMBER('Results'!B7),ISNUMBER('Results'!$B$8),ISNUMBER('Inputs'!$B$6),ISNUMBER('Inputs'!$B$7),ISNUMBER('Inputs'!$B$8),ISNUMBER('Inputs'!$B$9),ISNUMBER('Inputs'!$B$10),ISNUMBER('Inputs'!$B$21),ISNUMBER('Inputs'!$B$24),ISNUMBER('Inputs'!$B$28)),((('Results'!C7*(1-'Inputs'!$B$24)*(0.5*((((568-43)*MAX('Inputs'!$B$33,'Inputs'!$B$29+'Inputs'!$B$31+'Inputs'!$B$32,'Inputs'!$B$30+'Inputs'!$B$31+'Inputs'!$B$32)/1000+'Inputs'!$B$21)+'Inputs'!$B$9)/SQRT((((568-43)*MAX('Inputs'!$B$33,'Inputs'!$B$29+'Inputs'!$B$31+'Inputs'!$B$32,'Inputs'!$B$30+'Inputs'!$B$31+'Inputs'!$B$32)/1000+'Inputs'!$B$21)+'Inputs'!$B$9)^2+('Inputs'!$B$8/2)^2)-(((568-43)*MAX('Inputs'!$B$33,'Inputs'!$B$29+'Inputs'!$B$31+'Inputs'!$B$32,'Inputs'!$B$30+'Inputs'!$B$31+'Inputs'!$B$32)/1000+'Inputs'!$B$21))/SQRT((((568-43)*MAX('Inputs'!$B$33,'Inputs'!$B$29+'Inputs'!$B$31+'Inputs'!$B$32,'Inputs'!$B$30+'Inputs'!$B$31+'Inputs'!$B$32)/1000+'Inputs'!$B$21))^2+('Inputs'!$B$8/2)^2)))-'Results'!B7*(1+'Inputs'!$B$24)*(0.5*((((568-43)*MAX('Inputs'!$B$33,'Inputs'!$B$29+'Inputs'!$B$31+'Inputs'!$B$32,'Inputs'!$B$30+'Inputs'!$B$31+'Inputs'!$B$32)/1000+'Inputs'!$B$21+'Inputs'!$B$9+'Inputs'!$B$10)+'Inputs'!$B$7)/SQRT((((568-43)*MAX('Inputs'!$B$33,'Inputs'!$B$29+'Inputs'!$B$31+'Inputs'!$B$32,'Inputs'!$B$30+'Inputs'!$B$31+'Inputs'!$B$32)/1000+'Inputs'!$B$21+'Inputs'!$B$9+'Inputs'!$B$10)+'Inputs'!$B$7)^2+('Inputs'!$B$6/2)^2)-(((568-43)*MAX('Inputs'!$B$33,'Inputs'!$B$29+'Inputs'!$B$31+'Inputs'!$B$32,'Inputs'!$B$30+'Inputs'!$B$31+'Inputs'!$B$32)/1000+'Inputs'!$B$21+'Inputs'!$B$9+'Inputs'!$B$10))/SQRT((((568-43)*MAX('Inputs'!$B$33,'Inputs'!$B$29+'Inputs'!$B$31+'Inputs'!$B$32,'Inputs'!$B$30+'Inputs'!$B$31+'Inputs'!$B$32)/1000+'Inputs'!$B$21+'Inputs'!$B$9+'Inputs'!$B$10))^2+('Inputs'!$B$6/2)^2))))*'Results'!$B$8)-'Inputs'!$B$28*ABS((('Results'!C7*(1-'Inputs'!$B$24)*(0.5*((((568-43)*MAX('Inputs'!$B$33,'Inputs'!$B$29+'Inputs'!$B$31+'Inputs'!$B$32,'Inputs'!$B$30+'Inputs'!$B$31+'Inputs'!$B$32)/1000+'Inputs'!$B$21)+'Inputs'!$B$9)/SQRT((((568-43)*MAX('Inputs'!$B$33,'Inputs'!$B$29+'Inputs'!$B$31+'Inputs'!$B$32,'Inputs'!$B$30+'Inputs'!$B$31+'Inputs'!$B$32)/1000+'Inputs'!$B$21)+'Inputs'!$B$9)^2+('Inputs'!$B$8/2)^2)-(((568-43)*MAX('Inputs'!$B$33,'Inputs'!$B$29+'Inputs'!$B$31+'Inputs'!$B$32,'Inputs'!$B$30+'Inputs'!$B$31+'Inputs'!$B$32)/1000+'Inputs'!$B$21))/SQRT((((568-43)*MAX('Inputs'!$B$33,'Inputs'!$B$29+'Inputs'!$B$31+'Inputs'!$B$32,'Inputs'!$B$30+'Inputs'!$B$31+'Inputs'!$B$32)/1000+'Inputs'!$B$21))^2+('Inputs'!$B$8/2)^2)))-'Results'!B7*(1+'Inputs'!$B$24)*(0.5*((((568-43)*MAX('Inputs'!$B$33,'Inputs'!$B$29+'Inputs'!$B$31+'Inputs'!$B$32,'Inputs'!$B$30+'Inputs'!$B$31+'Inputs'!$B$32)/1000+'Inputs'!$B$21+'Inputs'!$B$9+'Inputs'!$B$10)+'Inputs'!$B$7)/SQRT((((568-43)*MAX('Inputs'!$B$33,'Inputs'!$B$29+'Inputs'!$B$31+'Inputs'!$B$32,'Inputs'!$B$30+'Inputs'!$B$31+'Inputs'!$B$32)/1000+'Inputs'!$B$21+'Inputs'!$B$9+'Inputs'!$B$10)+'Inputs'!$B$7)^2+('Inputs'!$B$6/2)^2)-(((568-43)*MAX('Inputs'!$B$33,'Inputs'!$B$29+'Inputs'!$B$31+'Inputs'!$B$32,'Inputs'!$B$30+'Inputs'!$B$31+'Inputs'!$B$32)/1000+'Inputs'!$B$21+'Inputs'!$B$9+'Inputs'!$B$10))/SQRT((((568-43)*MAX('Inputs'!$B$33,'Inputs'!$B$29+'Inputs'!$B$31+'Inputs'!$B$32,'Inputs'!$B$30+'Inputs'!$B$31+'Inputs'!$B$32)/1000+'Inputs'!$B$21+'Inputs'!$B$9+'Inputs'!$B$10))^2+('Inputs'!$B$6/2)^2))))*'Results'!$B$8))),"")</x:f>
        <x:v>2.8857373956857617</x:v>
      </x:c>
      <x:c r="O568" t="n">
        <x:f>IF(AND(ISNUMBER('Results'!C7),ISNUMBER('Results'!B7),ISNUMBER('Results'!$B$8),ISNUMBER('Inputs'!$B$6),ISNUMBER('Inputs'!$B$7),ISNUMBER('Inputs'!$B$8),ISNUMBER('Inputs'!$B$9),ISNUMBER('Inputs'!$B$10),ISNUMBER('Inputs'!$B$21),ISNUMBER('Inputs'!$B$24),ISNUMBER('Inputs'!$B$28)),((('Results'!C7*(1+'Inputs'!$B$24)*(0.5*((((568-43)*MAX('Inputs'!$B$33,'Inputs'!$B$29+'Inputs'!$B$31+'Inputs'!$B$32,'Inputs'!$B$30+'Inputs'!$B$31+'Inputs'!$B$32)/1000+'Inputs'!$B$21)+'Inputs'!$B$9)/SQRT((((568-43)*MAX('Inputs'!$B$33,'Inputs'!$B$29+'Inputs'!$B$31+'Inputs'!$B$32,'Inputs'!$B$30+'Inputs'!$B$31+'Inputs'!$B$32)/1000+'Inputs'!$B$21)+'Inputs'!$B$9)^2+('Inputs'!$B$8/2)^2)-(((568-43)*MAX('Inputs'!$B$33,'Inputs'!$B$29+'Inputs'!$B$31+'Inputs'!$B$32,'Inputs'!$B$30+'Inputs'!$B$31+'Inputs'!$B$32)/1000+'Inputs'!$B$21))/SQRT((((568-43)*MAX('Inputs'!$B$33,'Inputs'!$B$29+'Inputs'!$B$31+'Inputs'!$B$32,'Inputs'!$B$30+'Inputs'!$B$31+'Inputs'!$B$32)/1000+'Inputs'!$B$21))^2+('Inputs'!$B$8/2)^2)))-'Results'!B7*(1-'Inputs'!$B$24)*(0.5*((((568-43)*MAX('Inputs'!$B$33,'Inputs'!$B$29+'Inputs'!$B$31+'Inputs'!$B$32,'Inputs'!$B$30+'Inputs'!$B$31+'Inputs'!$B$32)/1000+'Inputs'!$B$21+'Inputs'!$B$9+'Inputs'!$B$10)+'Inputs'!$B$7)/SQRT((((568-43)*MAX('Inputs'!$B$33,'Inputs'!$B$29+'Inputs'!$B$31+'Inputs'!$B$32,'Inputs'!$B$30+'Inputs'!$B$31+'Inputs'!$B$32)/1000+'Inputs'!$B$21+'Inputs'!$B$9+'Inputs'!$B$10)+'Inputs'!$B$7)^2+('Inputs'!$B$6/2)^2)-(((568-43)*MAX('Inputs'!$B$33,'Inputs'!$B$29+'Inputs'!$B$31+'Inputs'!$B$32,'Inputs'!$B$30+'Inputs'!$B$31+'Inputs'!$B$32)/1000+'Inputs'!$B$21+'Inputs'!$B$9+'Inputs'!$B$10))/SQRT((((568-43)*MAX('Inputs'!$B$33,'Inputs'!$B$29+'Inputs'!$B$31+'Inputs'!$B$32,'Inputs'!$B$30+'Inputs'!$B$31+'Inputs'!$B$32)/1000+'Inputs'!$B$21+'Inputs'!$B$9+'Inputs'!$B$10))^2+('Inputs'!$B$6/2)^2))))*'Results'!$B$8)+'Inputs'!$B$28*ABS((('Results'!C7*(1+'Inputs'!$B$24)*(0.5*((((568-43)*MAX('Inputs'!$B$33,'Inputs'!$B$29+'Inputs'!$B$31+'Inputs'!$B$32,'Inputs'!$B$30+'Inputs'!$B$31+'Inputs'!$B$32)/1000+'Inputs'!$B$21)+'Inputs'!$B$9)/SQRT((((568-43)*MAX('Inputs'!$B$33,'Inputs'!$B$29+'Inputs'!$B$31+'Inputs'!$B$32,'Inputs'!$B$30+'Inputs'!$B$31+'Inputs'!$B$32)/1000+'Inputs'!$B$21)+'Inputs'!$B$9)^2+('Inputs'!$B$8/2)^2)-(((568-43)*MAX('Inputs'!$B$33,'Inputs'!$B$29+'Inputs'!$B$31+'Inputs'!$B$32,'Inputs'!$B$30+'Inputs'!$B$31+'Inputs'!$B$32)/1000+'Inputs'!$B$21))/SQRT((((568-43)*MAX('Inputs'!$B$33,'Inputs'!$B$29+'Inputs'!$B$31+'Inputs'!$B$32,'Inputs'!$B$30+'Inputs'!$B$31+'Inputs'!$B$32)/1000+'Inputs'!$B$21))^2+('Inputs'!$B$8/2)^2)))-'Results'!B7*(1-'Inputs'!$B$24)*(0.5*((((568-43)*MAX('Inputs'!$B$33,'Inputs'!$B$29+'Inputs'!$B$31+'Inputs'!$B$32,'Inputs'!$B$30+'Inputs'!$B$31+'Inputs'!$B$32)/1000+'Inputs'!$B$21+'Inputs'!$B$9+'Inputs'!$B$10)+'Inputs'!$B$7)/SQRT((((568-43)*MAX('Inputs'!$B$33,'Inputs'!$B$29+'Inputs'!$B$31+'Inputs'!$B$32,'Inputs'!$B$30+'Inputs'!$B$31+'Inputs'!$B$32)/1000+'Inputs'!$B$21+'Inputs'!$B$9+'Inputs'!$B$10)+'Inputs'!$B$7)^2+('Inputs'!$B$6/2)^2)-(((568-43)*MAX('Inputs'!$B$33,'Inputs'!$B$29+'Inputs'!$B$31+'Inputs'!$B$32,'Inputs'!$B$30+'Inputs'!$B$31+'Inputs'!$B$32)/1000+'Inputs'!$B$21+'Inputs'!$B$9+'Inputs'!$B$10))/SQRT((((568-43)*MAX('Inputs'!$B$33,'Inputs'!$B$29+'Inputs'!$B$31+'Inputs'!$B$32,'Inputs'!$B$30+'Inputs'!$B$31+'Inputs'!$B$32)/1000+'Inputs'!$B$21+'Inputs'!$B$9+'Inputs'!$B$10))^2+('Inputs'!$B$6/2)^2))))*'Results'!$B$8))),"")</x:f>
        <x:v>3.7094667185663828</x:v>
      </x:c>
      <x:c r="P568" t="n">
        <x:f>IF(AND(MAX(J568,J567)&gt;0,J568&gt;J567+0.00000001),1,0)</x:f>
        <x:v>0</x:v>
      </x:c>
      <x:c r="Q568" t="n">
        <x:f>IF(AND(MAX(K568,K567)&gt;0,K568&gt;K567+0.00000001),1,0)</x:f>
        <x:v>0</x:v>
      </x:c>
      <x:c r="R568" t="n">
        <x:f>IF(AND(MAX(L568,L567)&gt;0,L568&gt;L567+0.00000001),1,0)</x:f>
        <x:v>0</x:v>
      </x:c>
      <x:c r="S568" t="n">
        <x:f>IF(AND(MAX(M568,M567)&gt;0,M568&gt;M567+0.00000001),1,0)</x:f>
        <x:v>0</x:v>
      </x:c>
      <x:c r="T568" t="n">
        <x:f>IF(AND(MAX(N568,N567)&gt;0,N568&gt;N567+0.00000001),1,0)</x:f>
        <x:v>0</x:v>
      </x:c>
      <x:c r="U568" t="n">
        <x:f>IF(AND(MAX(O568,O567)&gt;0,O568&gt;O567+0.00000001),1,0)</x:f>
        <x:v>0</x:v>
      </x:c>
    </x:row>
    <x:row r="569">
      <x:c r="J569" t="n">
        <x:f>IF(AND(ISNUMBER('Results'!B7),ISNUMBER('Results'!C7),ISNUMBER('Results'!$B$8),ISNUMBER('Inputs'!$B$6),ISNUMBER('Inputs'!$B$7),ISNUMBER('Inputs'!$B$8),ISNUMBER('Inputs'!$B$9),ISNUMBER('Inputs'!$B$10),ISNUMBER('Inputs'!$B$21),ISNUMBER('Inputs'!$B$24),ISNUMBER('Inputs'!$B$28)),(('Results'!B7*(0.5*((((569-43)*MAX('Inputs'!$B$33,'Inputs'!$B$29+'Inputs'!$B$31+'Inputs'!$B$32,'Inputs'!$B$30+'Inputs'!$B$31+'Inputs'!$B$32)/1000+'Inputs'!$B$21)+'Inputs'!$B$7)/SQRT((((569-43)*MAX('Inputs'!$B$33,'Inputs'!$B$29+'Inputs'!$B$31+'Inputs'!$B$32,'Inputs'!$B$30+'Inputs'!$B$31+'Inputs'!$B$32)/1000+'Inputs'!$B$21)+'Inputs'!$B$7)^2+('Inputs'!$B$6/2)^2)-(((569-43)*MAX('Inputs'!$B$33,'Inputs'!$B$29+'Inputs'!$B$31+'Inputs'!$B$32,'Inputs'!$B$30+'Inputs'!$B$31+'Inputs'!$B$32)/1000+'Inputs'!$B$21))/SQRT((((569-43)*MAX('Inputs'!$B$33,'Inputs'!$B$29+'Inputs'!$B$31+'Inputs'!$B$32,'Inputs'!$B$30+'Inputs'!$B$31+'Inputs'!$B$32)/1000+'Inputs'!$B$21))^2+('Inputs'!$B$6/2)^2)))-'Results'!C7*(0.5*((((569-43)*MAX('Inputs'!$B$33,'Inputs'!$B$29+'Inputs'!$B$31+'Inputs'!$B$32,'Inputs'!$B$30+'Inputs'!$B$31+'Inputs'!$B$32)/1000+'Inputs'!$B$21+'Inputs'!$B$7+'Inputs'!$B$10)+'Inputs'!$B$9)/SQRT((((569-43)*MAX('Inputs'!$B$33,'Inputs'!$B$29+'Inputs'!$B$31+'Inputs'!$B$32,'Inputs'!$B$30+'Inputs'!$B$31+'Inputs'!$B$32)/1000+'Inputs'!$B$21+'Inputs'!$B$7+'Inputs'!$B$10)+'Inputs'!$B$9)^2+('Inputs'!$B$8/2)^2)-(((569-43)*MAX('Inputs'!$B$33,'Inputs'!$B$29+'Inputs'!$B$31+'Inputs'!$B$32,'Inputs'!$B$30+'Inputs'!$B$31+'Inputs'!$B$32)/1000+'Inputs'!$B$21+'Inputs'!$B$7+'Inputs'!$B$10))/SQRT((((569-43)*MAX('Inputs'!$B$33,'Inputs'!$B$29+'Inputs'!$B$31+'Inputs'!$B$32,'Inputs'!$B$30+'Inputs'!$B$31+'Inputs'!$B$32)/1000+'Inputs'!$B$21+'Inputs'!$B$7+'Inputs'!$B$10))^2+('Inputs'!$B$8/2)^2))))*'Results'!$B$8),"")</x:f>
        <x:v>3.512957464415501</x:v>
      </x:c>
      <x:c r="K569" t="n">
        <x:f>IF(AND(ISNUMBER('Results'!B7),ISNUMBER('Results'!C7),ISNUMBER('Results'!$B$8),ISNUMBER('Inputs'!$B$6),ISNUMBER('Inputs'!$B$7),ISNUMBER('Inputs'!$B$8),ISNUMBER('Inputs'!$B$9),ISNUMBER('Inputs'!$B$10),ISNUMBER('Inputs'!$B$21),ISNUMBER('Inputs'!$B$24),ISNUMBER('Inputs'!$B$28)),((('Results'!B7*(1-'Inputs'!$B$24)*(0.5*((((569-43)*MAX('Inputs'!$B$33,'Inputs'!$B$29+'Inputs'!$B$31+'Inputs'!$B$32,'Inputs'!$B$30+'Inputs'!$B$31+'Inputs'!$B$32)/1000+'Inputs'!$B$21)+'Inputs'!$B$7)/SQRT((((569-43)*MAX('Inputs'!$B$33,'Inputs'!$B$29+'Inputs'!$B$31+'Inputs'!$B$32,'Inputs'!$B$30+'Inputs'!$B$31+'Inputs'!$B$32)/1000+'Inputs'!$B$21)+'Inputs'!$B$7)^2+('Inputs'!$B$6/2)^2)-(((569-43)*MAX('Inputs'!$B$33,'Inputs'!$B$29+'Inputs'!$B$31+'Inputs'!$B$32,'Inputs'!$B$30+'Inputs'!$B$31+'Inputs'!$B$32)/1000+'Inputs'!$B$21))/SQRT((((569-43)*MAX('Inputs'!$B$33,'Inputs'!$B$29+'Inputs'!$B$31+'Inputs'!$B$32,'Inputs'!$B$30+'Inputs'!$B$31+'Inputs'!$B$32)/1000+'Inputs'!$B$21))^2+('Inputs'!$B$6/2)^2)))-'Results'!C7*(1+'Inputs'!$B$24)*(0.5*((((569-43)*MAX('Inputs'!$B$33,'Inputs'!$B$29+'Inputs'!$B$31+'Inputs'!$B$32,'Inputs'!$B$30+'Inputs'!$B$31+'Inputs'!$B$32)/1000+'Inputs'!$B$21+'Inputs'!$B$7+'Inputs'!$B$10)+'Inputs'!$B$9)/SQRT((((569-43)*MAX('Inputs'!$B$33,'Inputs'!$B$29+'Inputs'!$B$31+'Inputs'!$B$32,'Inputs'!$B$30+'Inputs'!$B$31+'Inputs'!$B$32)/1000+'Inputs'!$B$21+'Inputs'!$B$7+'Inputs'!$B$10)+'Inputs'!$B$9)^2+('Inputs'!$B$8/2)^2)-(((569-43)*MAX('Inputs'!$B$33,'Inputs'!$B$29+'Inputs'!$B$31+'Inputs'!$B$32,'Inputs'!$B$30+'Inputs'!$B$31+'Inputs'!$B$32)/1000+'Inputs'!$B$21+'Inputs'!$B$7+'Inputs'!$B$10))/SQRT((((569-43)*MAX('Inputs'!$B$33,'Inputs'!$B$29+'Inputs'!$B$31+'Inputs'!$B$32,'Inputs'!$B$30+'Inputs'!$B$31+'Inputs'!$B$32)/1000+'Inputs'!$B$21+'Inputs'!$B$7+'Inputs'!$B$10))^2+('Inputs'!$B$8/2)^2))))*'Results'!$B$8)-'Inputs'!$B$28*ABS((('Results'!B7*(1-'Inputs'!$B$24)*(0.5*((((569-43)*MAX('Inputs'!$B$33,'Inputs'!$B$29+'Inputs'!$B$31+'Inputs'!$B$32,'Inputs'!$B$30+'Inputs'!$B$31+'Inputs'!$B$32)/1000+'Inputs'!$B$21)+'Inputs'!$B$7)/SQRT((((569-43)*MAX('Inputs'!$B$33,'Inputs'!$B$29+'Inputs'!$B$31+'Inputs'!$B$32,'Inputs'!$B$30+'Inputs'!$B$31+'Inputs'!$B$32)/1000+'Inputs'!$B$21)+'Inputs'!$B$7)^2+('Inputs'!$B$6/2)^2)-(((569-43)*MAX('Inputs'!$B$33,'Inputs'!$B$29+'Inputs'!$B$31+'Inputs'!$B$32,'Inputs'!$B$30+'Inputs'!$B$31+'Inputs'!$B$32)/1000+'Inputs'!$B$21))/SQRT((((569-43)*MAX('Inputs'!$B$33,'Inputs'!$B$29+'Inputs'!$B$31+'Inputs'!$B$32,'Inputs'!$B$30+'Inputs'!$B$31+'Inputs'!$B$32)/1000+'Inputs'!$B$21))^2+('Inputs'!$B$6/2)^2)))-'Results'!C7*(1+'Inputs'!$B$24)*(0.5*((((569-43)*MAX('Inputs'!$B$33,'Inputs'!$B$29+'Inputs'!$B$31+'Inputs'!$B$32,'Inputs'!$B$30+'Inputs'!$B$31+'Inputs'!$B$32)/1000+'Inputs'!$B$21+'Inputs'!$B$7+'Inputs'!$B$10)+'Inputs'!$B$9)/SQRT((((569-43)*MAX('Inputs'!$B$33,'Inputs'!$B$29+'Inputs'!$B$31+'Inputs'!$B$32,'Inputs'!$B$30+'Inputs'!$B$31+'Inputs'!$B$32)/1000+'Inputs'!$B$21+'Inputs'!$B$7+'Inputs'!$B$10)+'Inputs'!$B$9)^2+('Inputs'!$B$8/2)^2)-(((569-43)*MAX('Inputs'!$B$33,'Inputs'!$B$29+'Inputs'!$B$31+'Inputs'!$B$32,'Inputs'!$B$30+'Inputs'!$B$31+'Inputs'!$B$32)/1000+'Inputs'!$B$21+'Inputs'!$B$7+'Inputs'!$B$10))/SQRT((((569-43)*MAX('Inputs'!$B$33,'Inputs'!$B$29+'Inputs'!$B$31+'Inputs'!$B$32,'Inputs'!$B$30+'Inputs'!$B$31+'Inputs'!$B$32)/1000+'Inputs'!$B$21+'Inputs'!$B$7+'Inputs'!$B$10))^2+('Inputs'!$B$8/2)^2))))*'Results'!$B$8))),"")</x:f>
        <x:v>3.101973232645117</x:v>
      </x:c>
      <x:c r="L569" t="n">
        <x:f>IF(AND(ISNUMBER('Results'!B7),ISNUMBER('Results'!C7),ISNUMBER('Results'!$B$8),ISNUMBER('Inputs'!$B$6),ISNUMBER('Inputs'!$B$7),ISNUMBER('Inputs'!$B$8),ISNUMBER('Inputs'!$B$9),ISNUMBER('Inputs'!$B$10),ISNUMBER('Inputs'!$B$21),ISNUMBER('Inputs'!$B$24),ISNUMBER('Inputs'!$B$28)),((('Results'!B7*(1+'Inputs'!$B$24)*(0.5*((((569-43)*MAX('Inputs'!$B$33,'Inputs'!$B$29+'Inputs'!$B$31+'Inputs'!$B$32,'Inputs'!$B$30+'Inputs'!$B$31+'Inputs'!$B$32)/1000+'Inputs'!$B$21)+'Inputs'!$B$7)/SQRT((((569-43)*MAX('Inputs'!$B$33,'Inputs'!$B$29+'Inputs'!$B$31+'Inputs'!$B$32,'Inputs'!$B$30+'Inputs'!$B$31+'Inputs'!$B$32)/1000+'Inputs'!$B$21)+'Inputs'!$B$7)^2+('Inputs'!$B$6/2)^2)-(((569-43)*MAX('Inputs'!$B$33,'Inputs'!$B$29+'Inputs'!$B$31+'Inputs'!$B$32,'Inputs'!$B$30+'Inputs'!$B$31+'Inputs'!$B$32)/1000+'Inputs'!$B$21))/SQRT((((569-43)*MAX('Inputs'!$B$33,'Inputs'!$B$29+'Inputs'!$B$31+'Inputs'!$B$32,'Inputs'!$B$30+'Inputs'!$B$31+'Inputs'!$B$32)/1000+'Inputs'!$B$21))^2+('Inputs'!$B$6/2)^2)))-'Results'!C7*(1-'Inputs'!$B$24)*(0.5*((((569-43)*MAX('Inputs'!$B$33,'Inputs'!$B$29+'Inputs'!$B$31+'Inputs'!$B$32,'Inputs'!$B$30+'Inputs'!$B$31+'Inputs'!$B$32)/1000+'Inputs'!$B$21+'Inputs'!$B$7+'Inputs'!$B$10)+'Inputs'!$B$9)/SQRT((((569-43)*MAX('Inputs'!$B$33,'Inputs'!$B$29+'Inputs'!$B$31+'Inputs'!$B$32,'Inputs'!$B$30+'Inputs'!$B$31+'Inputs'!$B$32)/1000+'Inputs'!$B$21+'Inputs'!$B$7+'Inputs'!$B$10)+'Inputs'!$B$9)^2+('Inputs'!$B$8/2)^2)-(((569-43)*MAX('Inputs'!$B$33,'Inputs'!$B$29+'Inputs'!$B$31+'Inputs'!$B$32,'Inputs'!$B$30+'Inputs'!$B$31+'Inputs'!$B$32)/1000+'Inputs'!$B$21+'Inputs'!$B$7+'Inputs'!$B$10))/SQRT((((569-43)*MAX('Inputs'!$B$33,'Inputs'!$B$29+'Inputs'!$B$31+'Inputs'!$B$32,'Inputs'!$B$30+'Inputs'!$B$31+'Inputs'!$B$32)/1000+'Inputs'!$B$21+'Inputs'!$B$7+'Inputs'!$B$10))^2+('Inputs'!$B$8/2)^2))))*'Results'!$B$8)+'Inputs'!$B$28*ABS((('Results'!B7*(1+'Inputs'!$B$24)*(0.5*((((569-43)*MAX('Inputs'!$B$33,'Inputs'!$B$29+'Inputs'!$B$31+'Inputs'!$B$32,'Inputs'!$B$30+'Inputs'!$B$31+'Inputs'!$B$32)/1000+'Inputs'!$B$21)+'Inputs'!$B$7)/SQRT((((569-43)*MAX('Inputs'!$B$33,'Inputs'!$B$29+'Inputs'!$B$31+'Inputs'!$B$32,'Inputs'!$B$30+'Inputs'!$B$31+'Inputs'!$B$32)/1000+'Inputs'!$B$21)+'Inputs'!$B$7)^2+('Inputs'!$B$6/2)^2)-(((569-43)*MAX('Inputs'!$B$33,'Inputs'!$B$29+'Inputs'!$B$31+'Inputs'!$B$32,'Inputs'!$B$30+'Inputs'!$B$31+'Inputs'!$B$32)/1000+'Inputs'!$B$21))/SQRT((((569-43)*MAX('Inputs'!$B$33,'Inputs'!$B$29+'Inputs'!$B$31+'Inputs'!$B$32,'Inputs'!$B$30+'Inputs'!$B$31+'Inputs'!$B$32)/1000+'Inputs'!$B$21))^2+('Inputs'!$B$6/2)^2)))-'Results'!C7*(1-'Inputs'!$B$24)*(0.5*((((569-43)*MAX('Inputs'!$B$33,'Inputs'!$B$29+'Inputs'!$B$31+'Inputs'!$B$32,'Inputs'!$B$30+'Inputs'!$B$31+'Inputs'!$B$32)/1000+'Inputs'!$B$21+'Inputs'!$B$7+'Inputs'!$B$10)+'Inputs'!$B$9)/SQRT((((569-43)*MAX('Inputs'!$B$33,'Inputs'!$B$29+'Inputs'!$B$31+'Inputs'!$B$32,'Inputs'!$B$30+'Inputs'!$B$31+'Inputs'!$B$32)/1000+'Inputs'!$B$21+'Inputs'!$B$7+'Inputs'!$B$10)+'Inputs'!$B$9)^2+('Inputs'!$B$8/2)^2)-(((569-43)*MAX('Inputs'!$B$33,'Inputs'!$B$29+'Inputs'!$B$31+'Inputs'!$B$32,'Inputs'!$B$30+'Inputs'!$B$31+'Inputs'!$B$32)/1000+'Inputs'!$B$21+'Inputs'!$B$7+'Inputs'!$B$10))/SQRT((((569-43)*MAX('Inputs'!$B$33,'Inputs'!$B$29+'Inputs'!$B$31+'Inputs'!$B$32,'Inputs'!$B$30+'Inputs'!$B$31+'Inputs'!$B$32)/1000+'Inputs'!$B$21+'Inputs'!$B$7+'Inputs'!$B$10))^2+('Inputs'!$B$8/2)^2))))*'Results'!$B$8))),"")</x:f>
        <x:v>3.948713944454264</x:v>
      </x:c>
      <x:c r="M569" t="n">
        <x:f>IF(AND(ISNUMBER('Results'!C7),ISNUMBER('Results'!B7),ISNUMBER('Results'!$B$8),ISNUMBER('Inputs'!$B$6),ISNUMBER('Inputs'!$B$7),ISNUMBER('Inputs'!$B$8),ISNUMBER('Inputs'!$B$9),ISNUMBER('Inputs'!$B$10),ISNUMBER('Inputs'!$B$21),ISNUMBER('Inputs'!$B$24),ISNUMBER('Inputs'!$B$28)),(('Results'!C7*(0.5*((((569-43)*MAX('Inputs'!$B$33,'Inputs'!$B$29+'Inputs'!$B$31+'Inputs'!$B$32,'Inputs'!$B$30+'Inputs'!$B$31+'Inputs'!$B$32)/1000+'Inputs'!$B$21)+'Inputs'!$B$9)/SQRT((((569-43)*MAX('Inputs'!$B$33,'Inputs'!$B$29+'Inputs'!$B$31+'Inputs'!$B$32,'Inputs'!$B$30+'Inputs'!$B$31+'Inputs'!$B$32)/1000+'Inputs'!$B$21)+'Inputs'!$B$9)^2+('Inputs'!$B$8/2)^2)-(((569-43)*MAX('Inputs'!$B$33,'Inputs'!$B$29+'Inputs'!$B$31+'Inputs'!$B$32,'Inputs'!$B$30+'Inputs'!$B$31+'Inputs'!$B$32)/1000+'Inputs'!$B$21))/SQRT((((569-43)*MAX('Inputs'!$B$33,'Inputs'!$B$29+'Inputs'!$B$31+'Inputs'!$B$32,'Inputs'!$B$30+'Inputs'!$B$31+'Inputs'!$B$32)/1000+'Inputs'!$B$21))^2+('Inputs'!$B$8/2)^2)))-'Results'!B7*(0.5*((((569-43)*MAX('Inputs'!$B$33,'Inputs'!$B$29+'Inputs'!$B$31+'Inputs'!$B$32,'Inputs'!$B$30+'Inputs'!$B$31+'Inputs'!$B$32)/1000+'Inputs'!$B$21+'Inputs'!$B$9+'Inputs'!$B$10)+'Inputs'!$B$7)/SQRT((((569-43)*MAX('Inputs'!$B$33,'Inputs'!$B$29+'Inputs'!$B$31+'Inputs'!$B$32,'Inputs'!$B$30+'Inputs'!$B$31+'Inputs'!$B$32)/1000+'Inputs'!$B$21+'Inputs'!$B$9+'Inputs'!$B$10)+'Inputs'!$B$7)^2+('Inputs'!$B$6/2)^2)-(((569-43)*MAX('Inputs'!$B$33,'Inputs'!$B$29+'Inputs'!$B$31+'Inputs'!$B$32,'Inputs'!$B$30+'Inputs'!$B$31+'Inputs'!$B$32)/1000+'Inputs'!$B$21+'Inputs'!$B$9+'Inputs'!$B$10))/SQRT((((569-43)*MAX('Inputs'!$B$33,'Inputs'!$B$29+'Inputs'!$B$31+'Inputs'!$B$32,'Inputs'!$B$30+'Inputs'!$B$31+'Inputs'!$B$32)/1000+'Inputs'!$B$21+'Inputs'!$B$9+'Inputs'!$B$10))^2+('Inputs'!$B$6/2)^2))))*'Results'!$B$8),"")</x:f>
        <x:v>3.263424131390933</x:v>
      </x:c>
      <x:c r="N569" t="n">
        <x:f>IF(AND(ISNUMBER('Results'!C7),ISNUMBER('Results'!B7),ISNUMBER('Results'!$B$8),ISNUMBER('Inputs'!$B$6),ISNUMBER('Inputs'!$B$7),ISNUMBER('Inputs'!$B$8),ISNUMBER('Inputs'!$B$9),ISNUMBER('Inputs'!$B$10),ISNUMBER('Inputs'!$B$21),ISNUMBER('Inputs'!$B$24),ISNUMBER('Inputs'!$B$28)),((('Results'!C7*(1-'Inputs'!$B$24)*(0.5*((((569-43)*MAX('Inputs'!$B$33,'Inputs'!$B$29+'Inputs'!$B$31+'Inputs'!$B$32,'Inputs'!$B$30+'Inputs'!$B$31+'Inputs'!$B$32)/1000+'Inputs'!$B$21)+'Inputs'!$B$9)/SQRT((((569-43)*MAX('Inputs'!$B$33,'Inputs'!$B$29+'Inputs'!$B$31+'Inputs'!$B$32,'Inputs'!$B$30+'Inputs'!$B$31+'Inputs'!$B$32)/1000+'Inputs'!$B$21)+'Inputs'!$B$9)^2+('Inputs'!$B$8/2)^2)-(((569-43)*MAX('Inputs'!$B$33,'Inputs'!$B$29+'Inputs'!$B$31+'Inputs'!$B$32,'Inputs'!$B$30+'Inputs'!$B$31+'Inputs'!$B$32)/1000+'Inputs'!$B$21))/SQRT((((569-43)*MAX('Inputs'!$B$33,'Inputs'!$B$29+'Inputs'!$B$31+'Inputs'!$B$32,'Inputs'!$B$30+'Inputs'!$B$31+'Inputs'!$B$32)/1000+'Inputs'!$B$21))^2+('Inputs'!$B$8/2)^2)))-'Results'!B7*(1+'Inputs'!$B$24)*(0.5*((((569-43)*MAX('Inputs'!$B$33,'Inputs'!$B$29+'Inputs'!$B$31+'Inputs'!$B$32,'Inputs'!$B$30+'Inputs'!$B$31+'Inputs'!$B$32)/1000+'Inputs'!$B$21+'Inputs'!$B$9+'Inputs'!$B$10)+'Inputs'!$B$7)/SQRT((((569-43)*MAX('Inputs'!$B$33,'Inputs'!$B$29+'Inputs'!$B$31+'Inputs'!$B$32,'Inputs'!$B$30+'Inputs'!$B$31+'Inputs'!$B$32)/1000+'Inputs'!$B$21+'Inputs'!$B$9+'Inputs'!$B$10)+'Inputs'!$B$7)^2+('Inputs'!$B$6/2)^2)-(((569-43)*MAX('Inputs'!$B$33,'Inputs'!$B$29+'Inputs'!$B$31+'Inputs'!$B$32,'Inputs'!$B$30+'Inputs'!$B$31+'Inputs'!$B$32)/1000+'Inputs'!$B$21+'Inputs'!$B$9+'Inputs'!$B$10))/SQRT((((569-43)*MAX('Inputs'!$B$33,'Inputs'!$B$29+'Inputs'!$B$31+'Inputs'!$B$32,'Inputs'!$B$30+'Inputs'!$B$31+'Inputs'!$B$32)/1000+'Inputs'!$B$21+'Inputs'!$B$9+'Inputs'!$B$10))^2+('Inputs'!$B$6/2)^2))))*'Results'!$B$8)-'Inputs'!$B$28*ABS((('Results'!C7*(1-'Inputs'!$B$24)*(0.5*((((569-43)*MAX('Inputs'!$B$33,'Inputs'!$B$29+'Inputs'!$B$31+'Inputs'!$B$32,'Inputs'!$B$30+'Inputs'!$B$31+'Inputs'!$B$32)/1000+'Inputs'!$B$21)+'Inputs'!$B$9)/SQRT((((569-43)*MAX('Inputs'!$B$33,'Inputs'!$B$29+'Inputs'!$B$31+'Inputs'!$B$32,'Inputs'!$B$30+'Inputs'!$B$31+'Inputs'!$B$32)/1000+'Inputs'!$B$21)+'Inputs'!$B$9)^2+('Inputs'!$B$8/2)^2)-(((569-43)*MAX('Inputs'!$B$33,'Inputs'!$B$29+'Inputs'!$B$31+'Inputs'!$B$32,'Inputs'!$B$30+'Inputs'!$B$31+'Inputs'!$B$32)/1000+'Inputs'!$B$21))/SQRT((((569-43)*MAX('Inputs'!$B$33,'Inputs'!$B$29+'Inputs'!$B$31+'Inputs'!$B$32,'Inputs'!$B$30+'Inputs'!$B$31+'Inputs'!$B$32)/1000+'Inputs'!$B$21))^2+('Inputs'!$B$8/2)^2)))-'Results'!B7*(1+'Inputs'!$B$24)*(0.5*((((569-43)*MAX('Inputs'!$B$33,'Inputs'!$B$29+'Inputs'!$B$31+'Inputs'!$B$32,'Inputs'!$B$30+'Inputs'!$B$31+'Inputs'!$B$32)/1000+'Inputs'!$B$21+'Inputs'!$B$9+'Inputs'!$B$10)+'Inputs'!$B$7)/SQRT((((569-43)*MAX('Inputs'!$B$33,'Inputs'!$B$29+'Inputs'!$B$31+'Inputs'!$B$32,'Inputs'!$B$30+'Inputs'!$B$31+'Inputs'!$B$32)/1000+'Inputs'!$B$21+'Inputs'!$B$9+'Inputs'!$B$10)+'Inputs'!$B$7)^2+('Inputs'!$B$6/2)^2)-(((569-43)*MAX('Inputs'!$B$33,'Inputs'!$B$29+'Inputs'!$B$31+'Inputs'!$B$32,'Inputs'!$B$30+'Inputs'!$B$31+'Inputs'!$B$32)/1000+'Inputs'!$B$21+'Inputs'!$B$9+'Inputs'!$B$10))/SQRT((((569-43)*MAX('Inputs'!$B$33,'Inputs'!$B$29+'Inputs'!$B$31+'Inputs'!$B$32,'Inputs'!$B$30+'Inputs'!$B$31+'Inputs'!$B$32)/1000+'Inputs'!$B$21+'Inputs'!$B$9+'Inputs'!$B$10))^2+('Inputs'!$B$6/2)^2))))*'Results'!$B$8))),"")</x:f>
        <x:v>2.8662170839517804</x:v>
      </x:c>
      <x:c r="O569" t="n">
        <x:f>IF(AND(ISNUMBER('Results'!C7),ISNUMBER('Results'!B7),ISNUMBER('Results'!$B$8),ISNUMBER('Inputs'!$B$6),ISNUMBER('Inputs'!$B$7),ISNUMBER('Inputs'!$B$8),ISNUMBER('Inputs'!$B$9),ISNUMBER('Inputs'!$B$10),ISNUMBER('Inputs'!$B$21),ISNUMBER('Inputs'!$B$24),ISNUMBER('Inputs'!$B$28)),((('Results'!C7*(1+'Inputs'!$B$24)*(0.5*((((569-43)*MAX('Inputs'!$B$33,'Inputs'!$B$29+'Inputs'!$B$31+'Inputs'!$B$32,'Inputs'!$B$30+'Inputs'!$B$31+'Inputs'!$B$32)/1000+'Inputs'!$B$21)+'Inputs'!$B$9)/SQRT((((569-43)*MAX('Inputs'!$B$33,'Inputs'!$B$29+'Inputs'!$B$31+'Inputs'!$B$32,'Inputs'!$B$30+'Inputs'!$B$31+'Inputs'!$B$32)/1000+'Inputs'!$B$21)+'Inputs'!$B$9)^2+('Inputs'!$B$8/2)^2)-(((569-43)*MAX('Inputs'!$B$33,'Inputs'!$B$29+'Inputs'!$B$31+'Inputs'!$B$32,'Inputs'!$B$30+'Inputs'!$B$31+'Inputs'!$B$32)/1000+'Inputs'!$B$21))/SQRT((((569-43)*MAX('Inputs'!$B$33,'Inputs'!$B$29+'Inputs'!$B$31+'Inputs'!$B$32,'Inputs'!$B$30+'Inputs'!$B$31+'Inputs'!$B$32)/1000+'Inputs'!$B$21))^2+('Inputs'!$B$8/2)^2)))-'Results'!B7*(1-'Inputs'!$B$24)*(0.5*((((569-43)*MAX('Inputs'!$B$33,'Inputs'!$B$29+'Inputs'!$B$31+'Inputs'!$B$32,'Inputs'!$B$30+'Inputs'!$B$31+'Inputs'!$B$32)/1000+'Inputs'!$B$21+'Inputs'!$B$9+'Inputs'!$B$10)+'Inputs'!$B$7)/SQRT((((569-43)*MAX('Inputs'!$B$33,'Inputs'!$B$29+'Inputs'!$B$31+'Inputs'!$B$32,'Inputs'!$B$30+'Inputs'!$B$31+'Inputs'!$B$32)/1000+'Inputs'!$B$21+'Inputs'!$B$9+'Inputs'!$B$10)+'Inputs'!$B$7)^2+('Inputs'!$B$6/2)^2)-(((569-43)*MAX('Inputs'!$B$33,'Inputs'!$B$29+'Inputs'!$B$31+'Inputs'!$B$32,'Inputs'!$B$30+'Inputs'!$B$31+'Inputs'!$B$32)/1000+'Inputs'!$B$21+'Inputs'!$B$9+'Inputs'!$B$10))/SQRT((((569-43)*MAX('Inputs'!$B$33,'Inputs'!$B$29+'Inputs'!$B$31+'Inputs'!$B$32,'Inputs'!$B$30+'Inputs'!$B$31+'Inputs'!$B$32)/1000+'Inputs'!$B$21+'Inputs'!$B$9+'Inputs'!$B$10))^2+('Inputs'!$B$6/2)^2))))*'Results'!$B$8)+'Inputs'!$B$28*ABS((('Results'!C7*(1+'Inputs'!$B$24)*(0.5*((((569-43)*MAX('Inputs'!$B$33,'Inputs'!$B$29+'Inputs'!$B$31+'Inputs'!$B$32,'Inputs'!$B$30+'Inputs'!$B$31+'Inputs'!$B$32)/1000+'Inputs'!$B$21)+'Inputs'!$B$9)/SQRT((((569-43)*MAX('Inputs'!$B$33,'Inputs'!$B$29+'Inputs'!$B$31+'Inputs'!$B$32,'Inputs'!$B$30+'Inputs'!$B$31+'Inputs'!$B$32)/1000+'Inputs'!$B$21)+'Inputs'!$B$9)^2+('Inputs'!$B$8/2)^2)-(((569-43)*MAX('Inputs'!$B$33,'Inputs'!$B$29+'Inputs'!$B$31+'Inputs'!$B$32,'Inputs'!$B$30+'Inputs'!$B$31+'Inputs'!$B$32)/1000+'Inputs'!$B$21))/SQRT((((569-43)*MAX('Inputs'!$B$33,'Inputs'!$B$29+'Inputs'!$B$31+'Inputs'!$B$32,'Inputs'!$B$30+'Inputs'!$B$31+'Inputs'!$B$32)/1000+'Inputs'!$B$21))^2+('Inputs'!$B$8/2)^2)))-'Results'!B7*(1-'Inputs'!$B$24)*(0.5*((((569-43)*MAX('Inputs'!$B$33,'Inputs'!$B$29+'Inputs'!$B$31+'Inputs'!$B$32,'Inputs'!$B$30+'Inputs'!$B$31+'Inputs'!$B$32)/1000+'Inputs'!$B$21+'Inputs'!$B$9+'Inputs'!$B$10)+'Inputs'!$B$7)/SQRT((((569-43)*MAX('Inputs'!$B$33,'Inputs'!$B$29+'Inputs'!$B$31+'Inputs'!$B$32,'Inputs'!$B$30+'Inputs'!$B$31+'Inputs'!$B$32)/1000+'Inputs'!$B$21+'Inputs'!$B$9+'Inputs'!$B$10)+'Inputs'!$B$7)^2+('Inputs'!$B$6/2)^2)-(((569-43)*MAX('Inputs'!$B$33,'Inputs'!$B$29+'Inputs'!$B$31+'Inputs'!$B$32,'Inputs'!$B$30+'Inputs'!$B$31+'Inputs'!$B$32)/1000+'Inputs'!$B$21+'Inputs'!$B$9+'Inputs'!$B$10))/SQRT((((569-43)*MAX('Inputs'!$B$33,'Inputs'!$B$29+'Inputs'!$B$31+'Inputs'!$B$32,'Inputs'!$B$30+'Inputs'!$B$31+'Inputs'!$B$32)/1000+'Inputs'!$B$21+'Inputs'!$B$9+'Inputs'!$B$10))^2+('Inputs'!$B$6/2)^2))))*'Results'!$B$8))),"")</x:f>
        <x:v>3.685266530500571</x:v>
      </x:c>
      <x:c r="P569" t="n">
        <x:f>IF(AND(MAX(J569,J568)&gt;0,J569&gt;J568+0.00000001),1,0)</x:f>
        <x:v>0</x:v>
      </x:c>
      <x:c r="Q569" t="n">
        <x:f>IF(AND(MAX(K569,K568)&gt;0,K569&gt;K568+0.00000001),1,0)</x:f>
        <x:v>0</x:v>
      </x:c>
      <x:c r="R569" t="n">
        <x:f>IF(AND(MAX(L569,L568)&gt;0,L569&gt;L568+0.00000001),1,0)</x:f>
        <x:v>0</x:v>
      </x:c>
      <x:c r="S569" t="n">
        <x:f>IF(AND(MAX(M569,M568)&gt;0,M569&gt;M568+0.00000001),1,0)</x:f>
        <x:v>0</x:v>
      </x:c>
      <x:c r="T569" t="n">
        <x:f>IF(AND(MAX(N569,N568)&gt;0,N569&gt;N568+0.00000001),1,0)</x:f>
        <x:v>0</x:v>
      </x:c>
      <x:c r="U569" t="n">
        <x:f>IF(AND(MAX(O569,O568)&gt;0,O569&gt;O568+0.00000001),1,0)</x:f>
        <x:v>0</x:v>
      </x:c>
    </x:row>
    <x:row r="570">
      <x:c r="J570" t="n">
        <x:f>IF(AND(ISNUMBER('Results'!B7),ISNUMBER('Results'!C7),ISNUMBER('Results'!$B$8),ISNUMBER('Inputs'!$B$6),ISNUMBER('Inputs'!$B$7),ISNUMBER('Inputs'!$B$8),ISNUMBER('Inputs'!$B$9),ISNUMBER('Inputs'!$B$10),ISNUMBER('Inputs'!$B$21),ISNUMBER('Inputs'!$B$24),ISNUMBER('Inputs'!$B$28)),(('Results'!B7*(0.5*((((570-43)*MAX('Inputs'!$B$33,'Inputs'!$B$29+'Inputs'!$B$31+'Inputs'!$B$32,'Inputs'!$B$30+'Inputs'!$B$31+'Inputs'!$B$32)/1000+'Inputs'!$B$21)+'Inputs'!$B$7)/SQRT((((570-43)*MAX('Inputs'!$B$33,'Inputs'!$B$29+'Inputs'!$B$31+'Inputs'!$B$32,'Inputs'!$B$30+'Inputs'!$B$31+'Inputs'!$B$32)/1000+'Inputs'!$B$21)+'Inputs'!$B$7)^2+('Inputs'!$B$6/2)^2)-(((570-43)*MAX('Inputs'!$B$33,'Inputs'!$B$29+'Inputs'!$B$31+'Inputs'!$B$32,'Inputs'!$B$30+'Inputs'!$B$31+'Inputs'!$B$32)/1000+'Inputs'!$B$21))/SQRT((((570-43)*MAX('Inputs'!$B$33,'Inputs'!$B$29+'Inputs'!$B$31+'Inputs'!$B$32,'Inputs'!$B$30+'Inputs'!$B$31+'Inputs'!$B$32)/1000+'Inputs'!$B$21))^2+('Inputs'!$B$6/2)^2)))-'Results'!C7*(0.5*((((570-43)*MAX('Inputs'!$B$33,'Inputs'!$B$29+'Inputs'!$B$31+'Inputs'!$B$32,'Inputs'!$B$30+'Inputs'!$B$31+'Inputs'!$B$32)/1000+'Inputs'!$B$21+'Inputs'!$B$7+'Inputs'!$B$10)+'Inputs'!$B$9)/SQRT((((570-43)*MAX('Inputs'!$B$33,'Inputs'!$B$29+'Inputs'!$B$31+'Inputs'!$B$32,'Inputs'!$B$30+'Inputs'!$B$31+'Inputs'!$B$32)/1000+'Inputs'!$B$21+'Inputs'!$B$7+'Inputs'!$B$10)+'Inputs'!$B$9)^2+('Inputs'!$B$8/2)^2)-(((570-43)*MAX('Inputs'!$B$33,'Inputs'!$B$29+'Inputs'!$B$31+'Inputs'!$B$32,'Inputs'!$B$30+'Inputs'!$B$31+'Inputs'!$B$32)/1000+'Inputs'!$B$21+'Inputs'!$B$7+'Inputs'!$B$10))/SQRT((((570-43)*MAX('Inputs'!$B$33,'Inputs'!$B$29+'Inputs'!$B$31+'Inputs'!$B$32,'Inputs'!$B$30+'Inputs'!$B$31+'Inputs'!$B$32)/1000+'Inputs'!$B$21+'Inputs'!$B$7+'Inputs'!$B$10))^2+('Inputs'!$B$8/2)^2))))*'Results'!$B$8),"")</x:f>
        <x:v>3.490080559385343</x:v>
      </x:c>
      <x:c r="K570" t="n">
        <x:f>IF(AND(ISNUMBER('Results'!B7),ISNUMBER('Results'!C7),ISNUMBER('Results'!$B$8),ISNUMBER('Inputs'!$B$6),ISNUMBER('Inputs'!$B$7),ISNUMBER('Inputs'!$B$8),ISNUMBER('Inputs'!$B$9),ISNUMBER('Inputs'!$B$10),ISNUMBER('Inputs'!$B$21),ISNUMBER('Inputs'!$B$24),ISNUMBER('Inputs'!$B$28)),((('Results'!B7*(1-'Inputs'!$B$24)*(0.5*((((570-43)*MAX('Inputs'!$B$33,'Inputs'!$B$29+'Inputs'!$B$31+'Inputs'!$B$32,'Inputs'!$B$30+'Inputs'!$B$31+'Inputs'!$B$32)/1000+'Inputs'!$B$21)+'Inputs'!$B$7)/SQRT((((570-43)*MAX('Inputs'!$B$33,'Inputs'!$B$29+'Inputs'!$B$31+'Inputs'!$B$32,'Inputs'!$B$30+'Inputs'!$B$31+'Inputs'!$B$32)/1000+'Inputs'!$B$21)+'Inputs'!$B$7)^2+('Inputs'!$B$6/2)^2)-(((570-43)*MAX('Inputs'!$B$33,'Inputs'!$B$29+'Inputs'!$B$31+'Inputs'!$B$32,'Inputs'!$B$30+'Inputs'!$B$31+'Inputs'!$B$32)/1000+'Inputs'!$B$21))/SQRT((((570-43)*MAX('Inputs'!$B$33,'Inputs'!$B$29+'Inputs'!$B$31+'Inputs'!$B$32,'Inputs'!$B$30+'Inputs'!$B$31+'Inputs'!$B$32)/1000+'Inputs'!$B$21))^2+('Inputs'!$B$6/2)^2)))-'Results'!C7*(1+'Inputs'!$B$24)*(0.5*((((570-43)*MAX('Inputs'!$B$33,'Inputs'!$B$29+'Inputs'!$B$31+'Inputs'!$B$32,'Inputs'!$B$30+'Inputs'!$B$31+'Inputs'!$B$32)/1000+'Inputs'!$B$21+'Inputs'!$B$7+'Inputs'!$B$10)+'Inputs'!$B$9)/SQRT((((570-43)*MAX('Inputs'!$B$33,'Inputs'!$B$29+'Inputs'!$B$31+'Inputs'!$B$32,'Inputs'!$B$30+'Inputs'!$B$31+'Inputs'!$B$32)/1000+'Inputs'!$B$21+'Inputs'!$B$7+'Inputs'!$B$10)+'Inputs'!$B$9)^2+('Inputs'!$B$8/2)^2)-(((570-43)*MAX('Inputs'!$B$33,'Inputs'!$B$29+'Inputs'!$B$31+'Inputs'!$B$32,'Inputs'!$B$30+'Inputs'!$B$31+'Inputs'!$B$32)/1000+'Inputs'!$B$21+'Inputs'!$B$7+'Inputs'!$B$10))/SQRT((((570-43)*MAX('Inputs'!$B$33,'Inputs'!$B$29+'Inputs'!$B$31+'Inputs'!$B$32,'Inputs'!$B$30+'Inputs'!$B$31+'Inputs'!$B$32)/1000+'Inputs'!$B$21+'Inputs'!$B$7+'Inputs'!$B$10))^2+('Inputs'!$B$8/2)^2))))*'Results'!$B$8)-'Inputs'!$B$28*ABS((('Results'!B7*(1-'Inputs'!$B$24)*(0.5*((((570-43)*MAX('Inputs'!$B$33,'Inputs'!$B$29+'Inputs'!$B$31+'Inputs'!$B$32,'Inputs'!$B$30+'Inputs'!$B$31+'Inputs'!$B$32)/1000+'Inputs'!$B$21)+'Inputs'!$B$7)/SQRT((((570-43)*MAX('Inputs'!$B$33,'Inputs'!$B$29+'Inputs'!$B$31+'Inputs'!$B$32,'Inputs'!$B$30+'Inputs'!$B$31+'Inputs'!$B$32)/1000+'Inputs'!$B$21)+'Inputs'!$B$7)^2+('Inputs'!$B$6/2)^2)-(((570-43)*MAX('Inputs'!$B$33,'Inputs'!$B$29+'Inputs'!$B$31+'Inputs'!$B$32,'Inputs'!$B$30+'Inputs'!$B$31+'Inputs'!$B$32)/1000+'Inputs'!$B$21))/SQRT((((570-43)*MAX('Inputs'!$B$33,'Inputs'!$B$29+'Inputs'!$B$31+'Inputs'!$B$32,'Inputs'!$B$30+'Inputs'!$B$31+'Inputs'!$B$32)/1000+'Inputs'!$B$21))^2+('Inputs'!$B$6/2)^2)))-'Results'!C7*(1+'Inputs'!$B$24)*(0.5*((((570-43)*MAX('Inputs'!$B$33,'Inputs'!$B$29+'Inputs'!$B$31+'Inputs'!$B$32,'Inputs'!$B$30+'Inputs'!$B$31+'Inputs'!$B$32)/1000+'Inputs'!$B$21+'Inputs'!$B$7+'Inputs'!$B$10)+'Inputs'!$B$9)/SQRT((((570-43)*MAX('Inputs'!$B$33,'Inputs'!$B$29+'Inputs'!$B$31+'Inputs'!$B$32,'Inputs'!$B$30+'Inputs'!$B$31+'Inputs'!$B$32)/1000+'Inputs'!$B$21+'Inputs'!$B$7+'Inputs'!$B$10)+'Inputs'!$B$9)^2+('Inputs'!$B$8/2)^2)-(((570-43)*MAX('Inputs'!$B$33,'Inputs'!$B$29+'Inputs'!$B$31+'Inputs'!$B$32,'Inputs'!$B$30+'Inputs'!$B$31+'Inputs'!$B$32)/1000+'Inputs'!$B$21+'Inputs'!$B$7+'Inputs'!$B$10))/SQRT((((570-43)*MAX('Inputs'!$B$33,'Inputs'!$B$29+'Inputs'!$B$31+'Inputs'!$B$32,'Inputs'!$B$30+'Inputs'!$B$31+'Inputs'!$B$32)/1000+'Inputs'!$B$21+'Inputs'!$B$7+'Inputs'!$B$10))^2+('Inputs'!$B$8/2)^2))))*'Results'!$B$8))),"")</x:f>
        <x:v>3.081428256222724</x:v>
      </x:c>
      <x:c r="L570" t="n">
        <x:f>IF(AND(ISNUMBER('Results'!B7),ISNUMBER('Results'!C7),ISNUMBER('Results'!$B$8),ISNUMBER('Inputs'!$B$6),ISNUMBER('Inputs'!$B$7),ISNUMBER('Inputs'!$B$8),ISNUMBER('Inputs'!$B$9),ISNUMBER('Inputs'!$B$10),ISNUMBER('Inputs'!$B$21),ISNUMBER('Inputs'!$B$24),ISNUMBER('Inputs'!$B$28)),((('Results'!B7*(1+'Inputs'!$B$24)*(0.5*((((570-43)*MAX('Inputs'!$B$33,'Inputs'!$B$29+'Inputs'!$B$31+'Inputs'!$B$32,'Inputs'!$B$30+'Inputs'!$B$31+'Inputs'!$B$32)/1000+'Inputs'!$B$21)+'Inputs'!$B$7)/SQRT((((570-43)*MAX('Inputs'!$B$33,'Inputs'!$B$29+'Inputs'!$B$31+'Inputs'!$B$32,'Inputs'!$B$30+'Inputs'!$B$31+'Inputs'!$B$32)/1000+'Inputs'!$B$21)+'Inputs'!$B$7)^2+('Inputs'!$B$6/2)^2)-(((570-43)*MAX('Inputs'!$B$33,'Inputs'!$B$29+'Inputs'!$B$31+'Inputs'!$B$32,'Inputs'!$B$30+'Inputs'!$B$31+'Inputs'!$B$32)/1000+'Inputs'!$B$21))/SQRT((((570-43)*MAX('Inputs'!$B$33,'Inputs'!$B$29+'Inputs'!$B$31+'Inputs'!$B$32,'Inputs'!$B$30+'Inputs'!$B$31+'Inputs'!$B$32)/1000+'Inputs'!$B$21))^2+('Inputs'!$B$6/2)^2)))-'Results'!C7*(1-'Inputs'!$B$24)*(0.5*((((570-43)*MAX('Inputs'!$B$33,'Inputs'!$B$29+'Inputs'!$B$31+'Inputs'!$B$32,'Inputs'!$B$30+'Inputs'!$B$31+'Inputs'!$B$32)/1000+'Inputs'!$B$21+'Inputs'!$B$7+'Inputs'!$B$10)+'Inputs'!$B$9)/SQRT((((570-43)*MAX('Inputs'!$B$33,'Inputs'!$B$29+'Inputs'!$B$31+'Inputs'!$B$32,'Inputs'!$B$30+'Inputs'!$B$31+'Inputs'!$B$32)/1000+'Inputs'!$B$21+'Inputs'!$B$7+'Inputs'!$B$10)+'Inputs'!$B$9)^2+('Inputs'!$B$8/2)^2)-(((570-43)*MAX('Inputs'!$B$33,'Inputs'!$B$29+'Inputs'!$B$31+'Inputs'!$B$32,'Inputs'!$B$30+'Inputs'!$B$31+'Inputs'!$B$32)/1000+'Inputs'!$B$21+'Inputs'!$B$7+'Inputs'!$B$10))/SQRT((((570-43)*MAX('Inputs'!$B$33,'Inputs'!$B$29+'Inputs'!$B$31+'Inputs'!$B$32,'Inputs'!$B$30+'Inputs'!$B$31+'Inputs'!$B$32)/1000+'Inputs'!$B$21+'Inputs'!$B$7+'Inputs'!$B$10))^2+('Inputs'!$B$8/2)^2))))*'Results'!$B$8)+'Inputs'!$B$28*ABS((('Results'!B7*(1+'Inputs'!$B$24)*(0.5*((((570-43)*MAX('Inputs'!$B$33,'Inputs'!$B$29+'Inputs'!$B$31+'Inputs'!$B$32,'Inputs'!$B$30+'Inputs'!$B$31+'Inputs'!$B$32)/1000+'Inputs'!$B$21)+'Inputs'!$B$7)/SQRT((((570-43)*MAX('Inputs'!$B$33,'Inputs'!$B$29+'Inputs'!$B$31+'Inputs'!$B$32,'Inputs'!$B$30+'Inputs'!$B$31+'Inputs'!$B$32)/1000+'Inputs'!$B$21)+'Inputs'!$B$7)^2+('Inputs'!$B$6/2)^2)-(((570-43)*MAX('Inputs'!$B$33,'Inputs'!$B$29+'Inputs'!$B$31+'Inputs'!$B$32,'Inputs'!$B$30+'Inputs'!$B$31+'Inputs'!$B$32)/1000+'Inputs'!$B$21))/SQRT((((570-43)*MAX('Inputs'!$B$33,'Inputs'!$B$29+'Inputs'!$B$31+'Inputs'!$B$32,'Inputs'!$B$30+'Inputs'!$B$31+'Inputs'!$B$32)/1000+'Inputs'!$B$21))^2+('Inputs'!$B$6/2)^2)))-'Results'!C7*(1-'Inputs'!$B$24)*(0.5*((((570-43)*MAX('Inputs'!$B$33,'Inputs'!$B$29+'Inputs'!$B$31+'Inputs'!$B$32,'Inputs'!$B$30+'Inputs'!$B$31+'Inputs'!$B$32)/1000+'Inputs'!$B$21+'Inputs'!$B$7+'Inputs'!$B$10)+'Inputs'!$B$9)/SQRT((((570-43)*MAX('Inputs'!$B$33,'Inputs'!$B$29+'Inputs'!$B$31+'Inputs'!$B$32,'Inputs'!$B$30+'Inputs'!$B$31+'Inputs'!$B$32)/1000+'Inputs'!$B$21+'Inputs'!$B$7+'Inputs'!$B$10)+'Inputs'!$B$9)^2+('Inputs'!$B$8/2)^2)-(((570-43)*MAX('Inputs'!$B$33,'Inputs'!$B$29+'Inputs'!$B$31+'Inputs'!$B$32,'Inputs'!$B$30+'Inputs'!$B$31+'Inputs'!$B$32)/1000+'Inputs'!$B$21+'Inputs'!$B$7+'Inputs'!$B$10))/SQRT((((570-43)*MAX('Inputs'!$B$33,'Inputs'!$B$29+'Inputs'!$B$31+'Inputs'!$B$32,'Inputs'!$B$30+'Inputs'!$B$31+'Inputs'!$B$32)/1000+'Inputs'!$B$21+'Inputs'!$B$7+'Inputs'!$B$10))^2+('Inputs'!$B$8/2)^2))))*'Results'!$B$8))),"")</x:f>
        <x:v>3.923380049410422</x:v>
      </x:c>
      <x:c r="M570" t="n">
        <x:f>IF(AND(ISNUMBER('Results'!C7),ISNUMBER('Results'!B7),ISNUMBER('Results'!$B$8),ISNUMBER('Inputs'!$B$6),ISNUMBER('Inputs'!$B$7),ISNUMBER('Inputs'!$B$8),ISNUMBER('Inputs'!$B$9),ISNUMBER('Inputs'!$B$10),ISNUMBER('Inputs'!$B$21),ISNUMBER('Inputs'!$B$24),ISNUMBER('Inputs'!$B$28)),(('Results'!C7*(0.5*((((570-43)*MAX('Inputs'!$B$33,'Inputs'!$B$29+'Inputs'!$B$31+'Inputs'!$B$32,'Inputs'!$B$30+'Inputs'!$B$31+'Inputs'!$B$32)/1000+'Inputs'!$B$21)+'Inputs'!$B$9)/SQRT((((570-43)*MAX('Inputs'!$B$33,'Inputs'!$B$29+'Inputs'!$B$31+'Inputs'!$B$32,'Inputs'!$B$30+'Inputs'!$B$31+'Inputs'!$B$32)/1000+'Inputs'!$B$21)+'Inputs'!$B$9)^2+('Inputs'!$B$8/2)^2)-(((570-43)*MAX('Inputs'!$B$33,'Inputs'!$B$29+'Inputs'!$B$31+'Inputs'!$B$32,'Inputs'!$B$30+'Inputs'!$B$31+'Inputs'!$B$32)/1000+'Inputs'!$B$21))/SQRT((((570-43)*MAX('Inputs'!$B$33,'Inputs'!$B$29+'Inputs'!$B$31+'Inputs'!$B$32,'Inputs'!$B$30+'Inputs'!$B$31+'Inputs'!$B$32)/1000+'Inputs'!$B$21))^2+('Inputs'!$B$8/2)^2)))-'Results'!B7*(0.5*((((570-43)*MAX('Inputs'!$B$33,'Inputs'!$B$29+'Inputs'!$B$31+'Inputs'!$B$32,'Inputs'!$B$30+'Inputs'!$B$31+'Inputs'!$B$32)/1000+'Inputs'!$B$21+'Inputs'!$B$9+'Inputs'!$B$10)+'Inputs'!$B$7)/SQRT((((570-43)*MAX('Inputs'!$B$33,'Inputs'!$B$29+'Inputs'!$B$31+'Inputs'!$B$32,'Inputs'!$B$30+'Inputs'!$B$31+'Inputs'!$B$32)/1000+'Inputs'!$B$21+'Inputs'!$B$9+'Inputs'!$B$10)+'Inputs'!$B$7)^2+('Inputs'!$B$6/2)^2)-(((570-43)*MAX('Inputs'!$B$33,'Inputs'!$B$29+'Inputs'!$B$31+'Inputs'!$B$32,'Inputs'!$B$30+'Inputs'!$B$31+'Inputs'!$B$32)/1000+'Inputs'!$B$21+'Inputs'!$B$9+'Inputs'!$B$10))/SQRT((((570-43)*MAX('Inputs'!$B$33,'Inputs'!$B$29+'Inputs'!$B$31+'Inputs'!$B$32,'Inputs'!$B$30+'Inputs'!$B$31+'Inputs'!$B$32)/1000+'Inputs'!$B$21+'Inputs'!$B$9+'Inputs'!$B$10))^2+('Inputs'!$B$6/2)^2))))*'Results'!$B$8),"")</x:f>
        <x:v>3.2418059330318147</x:v>
      </x:c>
      <x:c r="N570" t="n">
        <x:f>IF(AND(ISNUMBER('Results'!C7),ISNUMBER('Results'!B7),ISNUMBER('Results'!$B$8),ISNUMBER('Inputs'!$B$6),ISNUMBER('Inputs'!$B$7),ISNUMBER('Inputs'!$B$8),ISNUMBER('Inputs'!$B$9),ISNUMBER('Inputs'!$B$10),ISNUMBER('Inputs'!$B$21),ISNUMBER('Inputs'!$B$24),ISNUMBER('Inputs'!$B$28)),((('Results'!C7*(1-'Inputs'!$B$24)*(0.5*((((570-43)*MAX('Inputs'!$B$33,'Inputs'!$B$29+'Inputs'!$B$31+'Inputs'!$B$32,'Inputs'!$B$30+'Inputs'!$B$31+'Inputs'!$B$32)/1000+'Inputs'!$B$21)+'Inputs'!$B$9)/SQRT((((570-43)*MAX('Inputs'!$B$33,'Inputs'!$B$29+'Inputs'!$B$31+'Inputs'!$B$32,'Inputs'!$B$30+'Inputs'!$B$31+'Inputs'!$B$32)/1000+'Inputs'!$B$21)+'Inputs'!$B$9)^2+('Inputs'!$B$8/2)^2)-(((570-43)*MAX('Inputs'!$B$33,'Inputs'!$B$29+'Inputs'!$B$31+'Inputs'!$B$32,'Inputs'!$B$30+'Inputs'!$B$31+'Inputs'!$B$32)/1000+'Inputs'!$B$21))/SQRT((((570-43)*MAX('Inputs'!$B$33,'Inputs'!$B$29+'Inputs'!$B$31+'Inputs'!$B$32,'Inputs'!$B$30+'Inputs'!$B$31+'Inputs'!$B$32)/1000+'Inputs'!$B$21))^2+('Inputs'!$B$8/2)^2)))-'Results'!B7*(1+'Inputs'!$B$24)*(0.5*((((570-43)*MAX('Inputs'!$B$33,'Inputs'!$B$29+'Inputs'!$B$31+'Inputs'!$B$32,'Inputs'!$B$30+'Inputs'!$B$31+'Inputs'!$B$32)/1000+'Inputs'!$B$21+'Inputs'!$B$9+'Inputs'!$B$10)+'Inputs'!$B$7)/SQRT((((570-43)*MAX('Inputs'!$B$33,'Inputs'!$B$29+'Inputs'!$B$31+'Inputs'!$B$32,'Inputs'!$B$30+'Inputs'!$B$31+'Inputs'!$B$32)/1000+'Inputs'!$B$21+'Inputs'!$B$9+'Inputs'!$B$10)+'Inputs'!$B$7)^2+('Inputs'!$B$6/2)^2)-(((570-43)*MAX('Inputs'!$B$33,'Inputs'!$B$29+'Inputs'!$B$31+'Inputs'!$B$32,'Inputs'!$B$30+'Inputs'!$B$31+'Inputs'!$B$32)/1000+'Inputs'!$B$21+'Inputs'!$B$9+'Inputs'!$B$10))/SQRT((((570-43)*MAX('Inputs'!$B$33,'Inputs'!$B$29+'Inputs'!$B$31+'Inputs'!$B$32,'Inputs'!$B$30+'Inputs'!$B$31+'Inputs'!$B$32)/1000+'Inputs'!$B$21+'Inputs'!$B$9+'Inputs'!$B$10))^2+('Inputs'!$B$6/2)^2))))*'Results'!$B$8)-'Inputs'!$B$28*ABS((('Results'!C7*(1-'Inputs'!$B$24)*(0.5*((((570-43)*MAX('Inputs'!$B$33,'Inputs'!$B$29+'Inputs'!$B$31+'Inputs'!$B$32,'Inputs'!$B$30+'Inputs'!$B$31+'Inputs'!$B$32)/1000+'Inputs'!$B$21)+'Inputs'!$B$9)/SQRT((((570-43)*MAX('Inputs'!$B$33,'Inputs'!$B$29+'Inputs'!$B$31+'Inputs'!$B$32,'Inputs'!$B$30+'Inputs'!$B$31+'Inputs'!$B$32)/1000+'Inputs'!$B$21)+'Inputs'!$B$9)^2+('Inputs'!$B$8/2)^2)-(((570-43)*MAX('Inputs'!$B$33,'Inputs'!$B$29+'Inputs'!$B$31+'Inputs'!$B$32,'Inputs'!$B$30+'Inputs'!$B$31+'Inputs'!$B$32)/1000+'Inputs'!$B$21))/SQRT((((570-43)*MAX('Inputs'!$B$33,'Inputs'!$B$29+'Inputs'!$B$31+'Inputs'!$B$32,'Inputs'!$B$30+'Inputs'!$B$31+'Inputs'!$B$32)/1000+'Inputs'!$B$21))^2+('Inputs'!$B$8/2)^2)))-'Results'!B7*(1+'Inputs'!$B$24)*(0.5*((((570-43)*MAX('Inputs'!$B$33,'Inputs'!$B$29+'Inputs'!$B$31+'Inputs'!$B$32,'Inputs'!$B$30+'Inputs'!$B$31+'Inputs'!$B$32)/1000+'Inputs'!$B$21+'Inputs'!$B$9+'Inputs'!$B$10)+'Inputs'!$B$7)/SQRT((((570-43)*MAX('Inputs'!$B$33,'Inputs'!$B$29+'Inputs'!$B$31+'Inputs'!$B$32,'Inputs'!$B$30+'Inputs'!$B$31+'Inputs'!$B$32)/1000+'Inputs'!$B$21+'Inputs'!$B$9+'Inputs'!$B$10)+'Inputs'!$B$7)^2+('Inputs'!$B$6/2)^2)-(((570-43)*MAX('Inputs'!$B$33,'Inputs'!$B$29+'Inputs'!$B$31+'Inputs'!$B$32,'Inputs'!$B$30+'Inputs'!$B$31+'Inputs'!$B$32)/1000+'Inputs'!$B$21+'Inputs'!$B$9+'Inputs'!$B$10))/SQRT((((570-43)*MAX('Inputs'!$B$33,'Inputs'!$B$29+'Inputs'!$B$31+'Inputs'!$B$32,'Inputs'!$B$30+'Inputs'!$B$31+'Inputs'!$B$32)/1000+'Inputs'!$B$21+'Inputs'!$B$9+'Inputs'!$B$10))^2+('Inputs'!$B$6/2)^2))))*'Results'!$B$8))),"")</x:f>
        <x:v>2.846859339402588</x:v>
      </x:c>
      <x:c r="O570" t="n">
        <x:f>IF(AND(ISNUMBER('Results'!C7),ISNUMBER('Results'!B7),ISNUMBER('Results'!$B$8),ISNUMBER('Inputs'!$B$6),ISNUMBER('Inputs'!$B$7),ISNUMBER('Inputs'!$B$8),ISNUMBER('Inputs'!$B$9),ISNUMBER('Inputs'!$B$10),ISNUMBER('Inputs'!$B$21),ISNUMBER('Inputs'!$B$24),ISNUMBER('Inputs'!$B$28)),((('Results'!C7*(1+'Inputs'!$B$24)*(0.5*((((570-43)*MAX('Inputs'!$B$33,'Inputs'!$B$29+'Inputs'!$B$31+'Inputs'!$B$32,'Inputs'!$B$30+'Inputs'!$B$31+'Inputs'!$B$32)/1000+'Inputs'!$B$21)+'Inputs'!$B$9)/SQRT((((570-43)*MAX('Inputs'!$B$33,'Inputs'!$B$29+'Inputs'!$B$31+'Inputs'!$B$32,'Inputs'!$B$30+'Inputs'!$B$31+'Inputs'!$B$32)/1000+'Inputs'!$B$21)+'Inputs'!$B$9)^2+('Inputs'!$B$8/2)^2)-(((570-43)*MAX('Inputs'!$B$33,'Inputs'!$B$29+'Inputs'!$B$31+'Inputs'!$B$32,'Inputs'!$B$30+'Inputs'!$B$31+'Inputs'!$B$32)/1000+'Inputs'!$B$21))/SQRT((((570-43)*MAX('Inputs'!$B$33,'Inputs'!$B$29+'Inputs'!$B$31+'Inputs'!$B$32,'Inputs'!$B$30+'Inputs'!$B$31+'Inputs'!$B$32)/1000+'Inputs'!$B$21))^2+('Inputs'!$B$8/2)^2)))-'Results'!B7*(1-'Inputs'!$B$24)*(0.5*((((570-43)*MAX('Inputs'!$B$33,'Inputs'!$B$29+'Inputs'!$B$31+'Inputs'!$B$32,'Inputs'!$B$30+'Inputs'!$B$31+'Inputs'!$B$32)/1000+'Inputs'!$B$21+'Inputs'!$B$9+'Inputs'!$B$10)+'Inputs'!$B$7)/SQRT((((570-43)*MAX('Inputs'!$B$33,'Inputs'!$B$29+'Inputs'!$B$31+'Inputs'!$B$32,'Inputs'!$B$30+'Inputs'!$B$31+'Inputs'!$B$32)/1000+'Inputs'!$B$21+'Inputs'!$B$9+'Inputs'!$B$10)+'Inputs'!$B$7)^2+('Inputs'!$B$6/2)^2)-(((570-43)*MAX('Inputs'!$B$33,'Inputs'!$B$29+'Inputs'!$B$31+'Inputs'!$B$32,'Inputs'!$B$30+'Inputs'!$B$31+'Inputs'!$B$32)/1000+'Inputs'!$B$21+'Inputs'!$B$9+'Inputs'!$B$10))/SQRT((((570-43)*MAX('Inputs'!$B$33,'Inputs'!$B$29+'Inputs'!$B$31+'Inputs'!$B$32,'Inputs'!$B$30+'Inputs'!$B$31+'Inputs'!$B$32)/1000+'Inputs'!$B$21+'Inputs'!$B$9+'Inputs'!$B$10))^2+('Inputs'!$B$6/2)^2))))*'Results'!$B$8)+'Inputs'!$B$28*ABS((('Results'!C7*(1+'Inputs'!$B$24)*(0.5*((((570-43)*MAX('Inputs'!$B$33,'Inputs'!$B$29+'Inputs'!$B$31+'Inputs'!$B$32,'Inputs'!$B$30+'Inputs'!$B$31+'Inputs'!$B$32)/1000+'Inputs'!$B$21)+'Inputs'!$B$9)/SQRT((((570-43)*MAX('Inputs'!$B$33,'Inputs'!$B$29+'Inputs'!$B$31+'Inputs'!$B$32,'Inputs'!$B$30+'Inputs'!$B$31+'Inputs'!$B$32)/1000+'Inputs'!$B$21)+'Inputs'!$B$9)^2+('Inputs'!$B$8/2)^2)-(((570-43)*MAX('Inputs'!$B$33,'Inputs'!$B$29+'Inputs'!$B$31+'Inputs'!$B$32,'Inputs'!$B$30+'Inputs'!$B$31+'Inputs'!$B$32)/1000+'Inputs'!$B$21))/SQRT((((570-43)*MAX('Inputs'!$B$33,'Inputs'!$B$29+'Inputs'!$B$31+'Inputs'!$B$32,'Inputs'!$B$30+'Inputs'!$B$31+'Inputs'!$B$32)/1000+'Inputs'!$B$21))^2+('Inputs'!$B$8/2)^2)))-'Results'!B7*(1-'Inputs'!$B$24)*(0.5*((((570-43)*MAX('Inputs'!$B$33,'Inputs'!$B$29+'Inputs'!$B$31+'Inputs'!$B$32,'Inputs'!$B$30+'Inputs'!$B$31+'Inputs'!$B$32)/1000+'Inputs'!$B$21+'Inputs'!$B$9+'Inputs'!$B$10)+'Inputs'!$B$7)/SQRT((((570-43)*MAX('Inputs'!$B$33,'Inputs'!$B$29+'Inputs'!$B$31+'Inputs'!$B$32,'Inputs'!$B$30+'Inputs'!$B$31+'Inputs'!$B$32)/1000+'Inputs'!$B$21+'Inputs'!$B$9+'Inputs'!$B$10)+'Inputs'!$B$7)^2+('Inputs'!$B$6/2)^2)-(((570-43)*MAX('Inputs'!$B$33,'Inputs'!$B$29+'Inputs'!$B$31+'Inputs'!$B$32,'Inputs'!$B$30+'Inputs'!$B$31+'Inputs'!$B$32)/1000+'Inputs'!$B$21+'Inputs'!$B$9+'Inputs'!$B$10))/SQRT((((570-43)*MAX('Inputs'!$B$33,'Inputs'!$B$29+'Inputs'!$B$31+'Inputs'!$B$32,'Inputs'!$B$30+'Inputs'!$B$31+'Inputs'!$B$32)/1000+'Inputs'!$B$21+'Inputs'!$B$9+'Inputs'!$B$10))^2+('Inputs'!$B$6/2)^2))))*'Results'!$B$8))),"")</x:f>
        <x:v>3.6612637158165824</x:v>
      </x:c>
      <x:c r="P570" t="n">
        <x:f>IF(AND(MAX(J570,J569)&gt;0,J570&gt;J569+0.00000001),1,0)</x:f>
        <x:v>0</x:v>
      </x:c>
      <x:c r="Q570" t="n">
        <x:f>IF(AND(MAX(K570,K569)&gt;0,K570&gt;K569+0.00000001),1,0)</x:f>
        <x:v>0</x:v>
      </x:c>
      <x:c r="R570" t="n">
        <x:f>IF(AND(MAX(L570,L569)&gt;0,L570&gt;L569+0.00000001),1,0)</x:f>
        <x:v>0</x:v>
      </x:c>
      <x:c r="S570" t="n">
        <x:f>IF(AND(MAX(M570,M569)&gt;0,M570&gt;M569+0.00000001),1,0)</x:f>
        <x:v>0</x:v>
      </x:c>
      <x:c r="T570" t="n">
        <x:f>IF(AND(MAX(N570,N569)&gt;0,N570&gt;N569+0.00000001),1,0)</x:f>
        <x:v>0</x:v>
      </x:c>
      <x:c r="U570" t="n">
        <x:f>IF(AND(MAX(O570,O569)&gt;0,O570&gt;O569+0.00000001),1,0)</x:f>
        <x:v>0</x:v>
      </x:c>
    </x:row>
    <x:row r="571">
      <x:c r="J571" t="n">
        <x:f>IF(AND(ISNUMBER('Results'!B7),ISNUMBER('Results'!C7),ISNUMBER('Results'!$B$8),ISNUMBER('Inputs'!$B$6),ISNUMBER('Inputs'!$B$7),ISNUMBER('Inputs'!$B$8),ISNUMBER('Inputs'!$B$9),ISNUMBER('Inputs'!$B$10),ISNUMBER('Inputs'!$B$21),ISNUMBER('Inputs'!$B$24),ISNUMBER('Inputs'!$B$28)),(('Results'!B7*(0.5*((((571-43)*MAX('Inputs'!$B$33,'Inputs'!$B$29+'Inputs'!$B$31+'Inputs'!$B$32,'Inputs'!$B$30+'Inputs'!$B$31+'Inputs'!$B$32)/1000+'Inputs'!$B$21)+'Inputs'!$B$7)/SQRT((((571-43)*MAX('Inputs'!$B$33,'Inputs'!$B$29+'Inputs'!$B$31+'Inputs'!$B$32,'Inputs'!$B$30+'Inputs'!$B$31+'Inputs'!$B$32)/1000+'Inputs'!$B$21)+'Inputs'!$B$7)^2+('Inputs'!$B$6/2)^2)-(((571-43)*MAX('Inputs'!$B$33,'Inputs'!$B$29+'Inputs'!$B$31+'Inputs'!$B$32,'Inputs'!$B$30+'Inputs'!$B$31+'Inputs'!$B$32)/1000+'Inputs'!$B$21))/SQRT((((571-43)*MAX('Inputs'!$B$33,'Inputs'!$B$29+'Inputs'!$B$31+'Inputs'!$B$32,'Inputs'!$B$30+'Inputs'!$B$31+'Inputs'!$B$32)/1000+'Inputs'!$B$21))^2+('Inputs'!$B$6/2)^2)))-'Results'!C7*(0.5*((((571-43)*MAX('Inputs'!$B$33,'Inputs'!$B$29+'Inputs'!$B$31+'Inputs'!$B$32,'Inputs'!$B$30+'Inputs'!$B$31+'Inputs'!$B$32)/1000+'Inputs'!$B$21+'Inputs'!$B$7+'Inputs'!$B$10)+'Inputs'!$B$9)/SQRT((((571-43)*MAX('Inputs'!$B$33,'Inputs'!$B$29+'Inputs'!$B$31+'Inputs'!$B$32,'Inputs'!$B$30+'Inputs'!$B$31+'Inputs'!$B$32)/1000+'Inputs'!$B$21+'Inputs'!$B$7+'Inputs'!$B$10)+'Inputs'!$B$9)^2+('Inputs'!$B$8/2)^2)-(((571-43)*MAX('Inputs'!$B$33,'Inputs'!$B$29+'Inputs'!$B$31+'Inputs'!$B$32,'Inputs'!$B$30+'Inputs'!$B$31+'Inputs'!$B$32)/1000+'Inputs'!$B$21+'Inputs'!$B$7+'Inputs'!$B$10))/SQRT((((571-43)*MAX('Inputs'!$B$33,'Inputs'!$B$29+'Inputs'!$B$31+'Inputs'!$B$32,'Inputs'!$B$30+'Inputs'!$B$31+'Inputs'!$B$32)/1000+'Inputs'!$B$21+'Inputs'!$B$7+'Inputs'!$B$10))^2+('Inputs'!$B$8/2)^2))))*'Results'!$B$8),"")</x:f>
        <x:v>3.4673899139978515</x:v>
      </x:c>
      <x:c r="K571" t="n">
        <x:f>IF(AND(ISNUMBER('Results'!B7),ISNUMBER('Results'!C7),ISNUMBER('Results'!$B$8),ISNUMBER('Inputs'!$B$6),ISNUMBER('Inputs'!$B$7),ISNUMBER('Inputs'!$B$8),ISNUMBER('Inputs'!$B$9),ISNUMBER('Inputs'!$B$10),ISNUMBER('Inputs'!$B$21),ISNUMBER('Inputs'!$B$24),ISNUMBER('Inputs'!$B$28)),((('Results'!B7*(1-'Inputs'!$B$24)*(0.5*((((571-43)*MAX('Inputs'!$B$33,'Inputs'!$B$29+'Inputs'!$B$31+'Inputs'!$B$32,'Inputs'!$B$30+'Inputs'!$B$31+'Inputs'!$B$32)/1000+'Inputs'!$B$21)+'Inputs'!$B$7)/SQRT((((571-43)*MAX('Inputs'!$B$33,'Inputs'!$B$29+'Inputs'!$B$31+'Inputs'!$B$32,'Inputs'!$B$30+'Inputs'!$B$31+'Inputs'!$B$32)/1000+'Inputs'!$B$21)+'Inputs'!$B$7)^2+('Inputs'!$B$6/2)^2)-(((571-43)*MAX('Inputs'!$B$33,'Inputs'!$B$29+'Inputs'!$B$31+'Inputs'!$B$32,'Inputs'!$B$30+'Inputs'!$B$31+'Inputs'!$B$32)/1000+'Inputs'!$B$21))/SQRT((((571-43)*MAX('Inputs'!$B$33,'Inputs'!$B$29+'Inputs'!$B$31+'Inputs'!$B$32,'Inputs'!$B$30+'Inputs'!$B$31+'Inputs'!$B$32)/1000+'Inputs'!$B$21))^2+('Inputs'!$B$6/2)^2)))-'Results'!C7*(1+'Inputs'!$B$24)*(0.5*((((571-43)*MAX('Inputs'!$B$33,'Inputs'!$B$29+'Inputs'!$B$31+'Inputs'!$B$32,'Inputs'!$B$30+'Inputs'!$B$31+'Inputs'!$B$32)/1000+'Inputs'!$B$21+'Inputs'!$B$7+'Inputs'!$B$10)+'Inputs'!$B$9)/SQRT((((571-43)*MAX('Inputs'!$B$33,'Inputs'!$B$29+'Inputs'!$B$31+'Inputs'!$B$32,'Inputs'!$B$30+'Inputs'!$B$31+'Inputs'!$B$32)/1000+'Inputs'!$B$21+'Inputs'!$B$7+'Inputs'!$B$10)+'Inputs'!$B$9)^2+('Inputs'!$B$8/2)^2)-(((571-43)*MAX('Inputs'!$B$33,'Inputs'!$B$29+'Inputs'!$B$31+'Inputs'!$B$32,'Inputs'!$B$30+'Inputs'!$B$31+'Inputs'!$B$32)/1000+'Inputs'!$B$21+'Inputs'!$B$7+'Inputs'!$B$10))/SQRT((((571-43)*MAX('Inputs'!$B$33,'Inputs'!$B$29+'Inputs'!$B$31+'Inputs'!$B$32,'Inputs'!$B$30+'Inputs'!$B$31+'Inputs'!$B$32)/1000+'Inputs'!$B$21+'Inputs'!$B$7+'Inputs'!$B$10))^2+('Inputs'!$B$8/2)^2))))*'Results'!$B$8)-'Inputs'!$B$28*ABS((('Results'!B7*(1-'Inputs'!$B$24)*(0.5*((((571-43)*MAX('Inputs'!$B$33,'Inputs'!$B$29+'Inputs'!$B$31+'Inputs'!$B$32,'Inputs'!$B$30+'Inputs'!$B$31+'Inputs'!$B$32)/1000+'Inputs'!$B$21)+'Inputs'!$B$7)/SQRT((((571-43)*MAX('Inputs'!$B$33,'Inputs'!$B$29+'Inputs'!$B$31+'Inputs'!$B$32,'Inputs'!$B$30+'Inputs'!$B$31+'Inputs'!$B$32)/1000+'Inputs'!$B$21)+'Inputs'!$B$7)^2+('Inputs'!$B$6/2)^2)-(((571-43)*MAX('Inputs'!$B$33,'Inputs'!$B$29+'Inputs'!$B$31+'Inputs'!$B$32,'Inputs'!$B$30+'Inputs'!$B$31+'Inputs'!$B$32)/1000+'Inputs'!$B$21))/SQRT((((571-43)*MAX('Inputs'!$B$33,'Inputs'!$B$29+'Inputs'!$B$31+'Inputs'!$B$32,'Inputs'!$B$30+'Inputs'!$B$31+'Inputs'!$B$32)/1000+'Inputs'!$B$21))^2+('Inputs'!$B$6/2)^2)))-'Results'!C7*(1+'Inputs'!$B$24)*(0.5*((((571-43)*MAX('Inputs'!$B$33,'Inputs'!$B$29+'Inputs'!$B$31+'Inputs'!$B$32,'Inputs'!$B$30+'Inputs'!$B$31+'Inputs'!$B$32)/1000+'Inputs'!$B$21+'Inputs'!$B$7+'Inputs'!$B$10)+'Inputs'!$B$9)/SQRT((((571-43)*MAX('Inputs'!$B$33,'Inputs'!$B$29+'Inputs'!$B$31+'Inputs'!$B$32,'Inputs'!$B$30+'Inputs'!$B$31+'Inputs'!$B$32)/1000+'Inputs'!$B$21+'Inputs'!$B$7+'Inputs'!$B$10)+'Inputs'!$B$9)^2+('Inputs'!$B$8/2)^2)-(((571-43)*MAX('Inputs'!$B$33,'Inputs'!$B$29+'Inputs'!$B$31+'Inputs'!$B$32,'Inputs'!$B$30+'Inputs'!$B$31+'Inputs'!$B$32)/1000+'Inputs'!$B$21+'Inputs'!$B$7+'Inputs'!$B$10))/SQRT((((571-43)*MAX('Inputs'!$B$33,'Inputs'!$B$29+'Inputs'!$B$31+'Inputs'!$B$32,'Inputs'!$B$30+'Inputs'!$B$31+'Inputs'!$B$32)/1000+'Inputs'!$B$21+'Inputs'!$B$7+'Inputs'!$B$10))^2+('Inputs'!$B$8/2)^2))))*'Results'!$B$8))),"")</x:f>
        <x:v>3.0610522197030203</x:v>
      </x:c>
      <x:c r="L571" t="n">
        <x:f>IF(AND(ISNUMBER('Results'!B7),ISNUMBER('Results'!C7),ISNUMBER('Results'!$B$8),ISNUMBER('Inputs'!$B$6),ISNUMBER('Inputs'!$B$7),ISNUMBER('Inputs'!$B$8),ISNUMBER('Inputs'!$B$9),ISNUMBER('Inputs'!$B$10),ISNUMBER('Inputs'!$B$21),ISNUMBER('Inputs'!$B$24),ISNUMBER('Inputs'!$B$28)),((('Results'!B7*(1+'Inputs'!$B$24)*(0.5*((((571-43)*MAX('Inputs'!$B$33,'Inputs'!$B$29+'Inputs'!$B$31+'Inputs'!$B$32,'Inputs'!$B$30+'Inputs'!$B$31+'Inputs'!$B$32)/1000+'Inputs'!$B$21)+'Inputs'!$B$7)/SQRT((((571-43)*MAX('Inputs'!$B$33,'Inputs'!$B$29+'Inputs'!$B$31+'Inputs'!$B$32,'Inputs'!$B$30+'Inputs'!$B$31+'Inputs'!$B$32)/1000+'Inputs'!$B$21)+'Inputs'!$B$7)^2+('Inputs'!$B$6/2)^2)-(((571-43)*MAX('Inputs'!$B$33,'Inputs'!$B$29+'Inputs'!$B$31+'Inputs'!$B$32,'Inputs'!$B$30+'Inputs'!$B$31+'Inputs'!$B$32)/1000+'Inputs'!$B$21))/SQRT((((571-43)*MAX('Inputs'!$B$33,'Inputs'!$B$29+'Inputs'!$B$31+'Inputs'!$B$32,'Inputs'!$B$30+'Inputs'!$B$31+'Inputs'!$B$32)/1000+'Inputs'!$B$21))^2+('Inputs'!$B$6/2)^2)))-'Results'!C7*(1-'Inputs'!$B$24)*(0.5*((((571-43)*MAX('Inputs'!$B$33,'Inputs'!$B$29+'Inputs'!$B$31+'Inputs'!$B$32,'Inputs'!$B$30+'Inputs'!$B$31+'Inputs'!$B$32)/1000+'Inputs'!$B$21+'Inputs'!$B$7+'Inputs'!$B$10)+'Inputs'!$B$9)/SQRT((((571-43)*MAX('Inputs'!$B$33,'Inputs'!$B$29+'Inputs'!$B$31+'Inputs'!$B$32,'Inputs'!$B$30+'Inputs'!$B$31+'Inputs'!$B$32)/1000+'Inputs'!$B$21+'Inputs'!$B$7+'Inputs'!$B$10)+'Inputs'!$B$9)^2+('Inputs'!$B$8/2)^2)-(((571-43)*MAX('Inputs'!$B$33,'Inputs'!$B$29+'Inputs'!$B$31+'Inputs'!$B$32,'Inputs'!$B$30+'Inputs'!$B$31+'Inputs'!$B$32)/1000+'Inputs'!$B$21+'Inputs'!$B$7+'Inputs'!$B$10))/SQRT((((571-43)*MAX('Inputs'!$B$33,'Inputs'!$B$29+'Inputs'!$B$31+'Inputs'!$B$32,'Inputs'!$B$30+'Inputs'!$B$31+'Inputs'!$B$32)/1000+'Inputs'!$B$21+'Inputs'!$B$7+'Inputs'!$B$10))^2+('Inputs'!$B$8/2)^2))))*'Results'!$B$8)+'Inputs'!$B$28*ABS((('Results'!B7*(1+'Inputs'!$B$24)*(0.5*((((571-43)*MAX('Inputs'!$B$33,'Inputs'!$B$29+'Inputs'!$B$31+'Inputs'!$B$32,'Inputs'!$B$30+'Inputs'!$B$31+'Inputs'!$B$32)/1000+'Inputs'!$B$21)+'Inputs'!$B$7)/SQRT((((571-43)*MAX('Inputs'!$B$33,'Inputs'!$B$29+'Inputs'!$B$31+'Inputs'!$B$32,'Inputs'!$B$30+'Inputs'!$B$31+'Inputs'!$B$32)/1000+'Inputs'!$B$21)+'Inputs'!$B$7)^2+('Inputs'!$B$6/2)^2)-(((571-43)*MAX('Inputs'!$B$33,'Inputs'!$B$29+'Inputs'!$B$31+'Inputs'!$B$32,'Inputs'!$B$30+'Inputs'!$B$31+'Inputs'!$B$32)/1000+'Inputs'!$B$21))/SQRT((((571-43)*MAX('Inputs'!$B$33,'Inputs'!$B$29+'Inputs'!$B$31+'Inputs'!$B$32,'Inputs'!$B$30+'Inputs'!$B$31+'Inputs'!$B$32)/1000+'Inputs'!$B$21))^2+('Inputs'!$B$6/2)^2)))-'Results'!C7*(1-'Inputs'!$B$24)*(0.5*((((571-43)*MAX('Inputs'!$B$33,'Inputs'!$B$29+'Inputs'!$B$31+'Inputs'!$B$32,'Inputs'!$B$30+'Inputs'!$B$31+'Inputs'!$B$32)/1000+'Inputs'!$B$21+'Inputs'!$B$7+'Inputs'!$B$10)+'Inputs'!$B$9)/SQRT((((571-43)*MAX('Inputs'!$B$33,'Inputs'!$B$29+'Inputs'!$B$31+'Inputs'!$B$32,'Inputs'!$B$30+'Inputs'!$B$31+'Inputs'!$B$32)/1000+'Inputs'!$B$21+'Inputs'!$B$7+'Inputs'!$B$10)+'Inputs'!$B$9)^2+('Inputs'!$B$8/2)^2)-(((571-43)*MAX('Inputs'!$B$33,'Inputs'!$B$29+'Inputs'!$B$31+'Inputs'!$B$32,'Inputs'!$B$30+'Inputs'!$B$31+'Inputs'!$B$32)/1000+'Inputs'!$B$21+'Inputs'!$B$7+'Inputs'!$B$10))/SQRT((((571-43)*MAX('Inputs'!$B$33,'Inputs'!$B$29+'Inputs'!$B$31+'Inputs'!$B$32,'Inputs'!$B$30+'Inputs'!$B$31+'Inputs'!$B$32)/1000+'Inputs'!$B$21+'Inputs'!$B$7+'Inputs'!$B$10))^2+('Inputs'!$B$8/2)^2))))*'Results'!$B$8))),"")</x:f>
        <x:v>3.898250576565835</x:v>
      </x:c>
      <x:c r="M571" t="n">
        <x:f>IF(AND(ISNUMBER('Results'!C7),ISNUMBER('Results'!B7),ISNUMBER('Results'!$B$8),ISNUMBER('Inputs'!$B$6),ISNUMBER('Inputs'!$B$7),ISNUMBER('Inputs'!$B$8),ISNUMBER('Inputs'!$B$9),ISNUMBER('Inputs'!$B$10),ISNUMBER('Inputs'!$B$21),ISNUMBER('Inputs'!$B$24),ISNUMBER('Inputs'!$B$28)),(('Results'!C7*(0.5*((((571-43)*MAX('Inputs'!$B$33,'Inputs'!$B$29+'Inputs'!$B$31+'Inputs'!$B$32,'Inputs'!$B$30+'Inputs'!$B$31+'Inputs'!$B$32)/1000+'Inputs'!$B$21)+'Inputs'!$B$9)/SQRT((((571-43)*MAX('Inputs'!$B$33,'Inputs'!$B$29+'Inputs'!$B$31+'Inputs'!$B$32,'Inputs'!$B$30+'Inputs'!$B$31+'Inputs'!$B$32)/1000+'Inputs'!$B$21)+'Inputs'!$B$9)^2+('Inputs'!$B$8/2)^2)-(((571-43)*MAX('Inputs'!$B$33,'Inputs'!$B$29+'Inputs'!$B$31+'Inputs'!$B$32,'Inputs'!$B$30+'Inputs'!$B$31+'Inputs'!$B$32)/1000+'Inputs'!$B$21))/SQRT((((571-43)*MAX('Inputs'!$B$33,'Inputs'!$B$29+'Inputs'!$B$31+'Inputs'!$B$32,'Inputs'!$B$30+'Inputs'!$B$31+'Inputs'!$B$32)/1000+'Inputs'!$B$21))^2+('Inputs'!$B$8/2)^2)))-'Results'!B7*(0.5*((((571-43)*MAX('Inputs'!$B$33,'Inputs'!$B$29+'Inputs'!$B$31+'Inputs'!$B$32,'Inputs'!$B$30+'Inputs'!$B$31+'Inputs'!$B$32)/1000+'Inputs'!$B$21+'Inputs'!$B$9+'Inputs'!$B$10)+'Inputs'!$B$7)/SQRT((((571-43)*MAX('Inputs'!$B$33,'Inputs'!$B$29+'Inputs'!$B$31+'Inputs'!$B$32,'Inputs'!$B$30+'Inputs'!$B$31+'Inputs'!$B$32)/1000+'Inputs'!$B$21+'Inputs'!$B$9+'Inputs'!$B$10)+'Inputs'!$B$7)^2+('Inputs'!$B$6/2)^2)-(((571-43)*MAX('Inputs'!$B$33,'Inputs'!$B$29+'Inputs'!$B$31+'Inputs'!$B$32,'Inputs'!$B$30+'Inputs'!$B$31+'Inputs'!$B$32)/1000+'Inputs'!$B$21+'Inputs'!$B$9+'Inputs'!$B$10))/SQRT((((571-43)*MAX('Inputs'!$B$33,'Inputs'!$B$29+'Inputs'!$B$31+'Inputs'!$B$32,'Inputs'!$B$30+'Inputs'!$B$31+'Inputs'!$B$32)/1000+'Inputs'!$B$21+'Inputs'!$B$9+'Inputs'!$B$10))^2+('Inputs'!$B$6/2)^2))))*'Results'!$B$8),"")</x:f>
        <x:v>3.220365518159689</x:v>
      </x:c>
      <x:c r="N571" t="n">
        <x:f>IF(AND(ISNUMBER('Results'!C7),ISNUMBER('Results'!B7),ISNUMBER('Results'!$B$8),ISNUMBER('Inputs'!$B$6),ISNUMBER('Inputs'!$B$7),ISNUMBER('Inputs'!$B$8),ISNUMBER('Inputs'!$B$9),ISNUMBER('Inputs'!$B$10),ISNUMBER('Inputs'!$B$21),ISNUMBER('Inputs'!$B$24),ISNUMBER('Inputs'!$B$28)),((('Results'!C7*(1-'Inputs'!$B$24)*(0.5*((((571-43)*MAX('Inputs'!$B$33,'Inputs'!$B$29+'Inputs'!$B$31+'Inputs'!$B$32,'Inputs'!$B$30+'Inputs'!$B$31+'Inputs'!$B$32)/1000+'Inputs'!$B$21)+'Inputs'!$B$9)/SQRT((((571-43)*MAX('Inputs'!$B$33,'Inputs'!$B$29+'Inputs'!$B$31+'Inputs'!$B$32,'Inputs'!$B$30+'Inputs'!$B$31+'Inputs'!$B$32)/1000+'Inputs'!$B$21)+'Inputs'!$B$9)^2+('Inputs'!$B$8/2)^2)-(((571-43)*MAX('Inputs'!$B$33,'Inputs'!$B$29+'Inputs'!$B$31+'Inputs'!$B$32,'Inputs'!$B$30+'Inputs'!$B$31+'Inputs'!$B$32)/1000+'Inputs'!$B$21))/SQRT((((571-43)*MAX('Inputs'!$B$33,'Inputs'!$B$29+'Inputs'!$B$31+'Inputs'!$B$32,'Inputs'!$B$30+'Inputs'!$B$31+'Inputs'!$B$32)/1000+'Inputs'!$B$21))^2+('Inputs'!$B$8/2)^2)))-'Results'!B7*(1+'Inputs'!$B$24)*(0.5*((((571-43)*MAX('Inputs'!$B$33,'Inputs'!$B$29+'Inputs'!$B$31+'Inputs'!$B$32,'Inputs'!$B$30+'Inputs'!$B$31+'Inputs'!$B$32)/1000+'Inputs'!$B$21+'Inputs'!$B$9+'Inputs'!$B$10)+'Inputs'!$B$7)/SQRT((((571-43)*MAX('Inputs'!$B$33,'Inputs'!$B$29+'Inputs'!$B$31+'Inputs'!$B$32,'Inputs'!$B$30+'Inputs'!$B$31+'Inputs'!$B$32)/1000+'Inputs'!$B$21+'Inputs'!$B$9+'Inputs'!$B$10)+'Inputs'!$B$7)^2+('Inputs'!$B$6/2)^2)-(((571-43)*MAX('Inputs'!$B$33,'Inputs'!$B$29+'Inputs'!$B$31+'Inputs'!$B$32,'Inputs'!$B$30+'Inputs'!$B$31+'Inputs'!$B$32)/1000+'Inputs'!$B$21+'Inputs'!$B$9+'Inputs'!$B$10))/SQRT((((571-43)*MAX('Inputs'!$B$33,'Inputs'!$B$29+'Inputs'!$B$31+'Inputs'!$B$32,'Inputs'!$B$30+'Inputs'!$B$31+'Inputs'!$B$32)/1000+'Inputs'!$B$21+'Inputs'!$B$9+'Inputs'!$B$10))^2+('Inputs'!$B$6/2)^2))))*'Results'!$B$8)-'Inputs'!$B$28*ABS((('Results'!C7*(1-'Inputs'!$B$24)*(0.5*((((571-43)*MAX('Inputs'!$B$33,'Inputs'!$B$29+'Inputs'!$B$31+'Inputs'!$B$32,'Inputs'!$B$30+'Inputs'!$B$31+'Inputs'!$B$32)/1000+'Inputs'!$B$21)+'Inputs'!$B$9)/SQRT((((571-43)*MAX('Inputs'!$B$33,'Inputs'!$B$29+'Inputs'!$B$31+'Inputs'!$B$32,'Inputs'!$B$30+'Inputs'!$B$31+'Inputs'!$B$32)/1000+'Inputs'!$B$21)+'Inputs'!$B$9)^2+('Inputs'!$B$8/2)^2)-(((571-43)*MAX('Inputs'!$B$33,'Inputs'!$B$29+'Inputs'!$B$31+'Inputs'!$B$32,'Inputs'!$B$30+'Inputs'!$B$31+'Inputs'!$B$32)/1000+'Inputs'!$B$21))/SQRT((((571-43)*MAX('Inputs'!$B$33,'Inputs'!$B$29+'Inputs'!$B$31+'Inputs'!$B$32,'Inputs'!$B$30+'Inputs'!$B$31+'Inputs'!$B$32)/1000+'Inputs'!$B$21))^2+('Inputs'!$B$8/2)^2)))-'Results'!B7*(1+'Inputs'!$B$24)*(0.5*((((571-43)*MAX('Inputs'!$B$33,'Inputs'!$B$29+'Inputs'!$B$31+'Inputs'!$B$32,'Inputs'!$B$30+'Inputs'!$B$31+'Inputs'!$B$32)/1000+'Inputs'!$B$21+'Inputs'!$B$9+'Inputs'!$B$10)+'Inputs'!$B$7)/SQRT((((571-43)*MAX('Inputs'!$B$33,'Inputs'!$B$29+'Inputs'!$B$31+'Inputs'!$B$32,'Inputs'!$B$30+'Inputs'!$B$31+'Inputs'!$B$32)/1000+'Inputs'!$B$21+'Inputs'!$B$9+'Inputs'!$B$10)+'Inputs'!$B$7)^2+('Inputs'!$B$6/2)^2)-(((571-43)*MAX('Inputs'!$B$33,'Inputs'!$B$29+'Inputs'!$B$31+'Inputs'!$B$32,'Inputs'!$B$30+'Inputs'!$B$31+'Inputs'!$B$32)/1000+'Inputs'!$B$21+'Inputs'!$B$9+'Inputs'!$B$10))/SQRT((((571-43)*MAX('Inputs'!$B$33,'Inputs'!$B$29+'Inputs'!$B$31+'Inputs'!$B$32,'Inputs'!$B$30+'Inputs'!$B$31+'Inputs'!$B$32)/1000+'Inputs'!$B$21+'Inputs'!$B$9+'Inputs'!$B$10))^2+('Inputs'!$B$6/2)^2))))*'Results'!$B$8))),"")</x:f>
        <x:v>2.827662552275057</x:v>
      </x:c>
      <x:c r="O571" t="n">
        <x:f>IF(AND(ISNUMBER('Results'!C7),ISNUMBER('Results'!B7),ISNUMBER('Results'!$B$8),ISNUMBER('Inputs'!$B$6),ISNUMBER('Inputs'!$B$7),ISNUMBER('Inputs'!$B$8),ISNUMBER('Inputs'!$B$9),ISNUMBER('Inputs'!$B$10),ISNUMBER('Inputs'!$B$21),ISNUMBER('Inputs'!$B$24),ISNUMBER('Inputs'!$B$28)),((('Results'!C7*(1+'Inputs'!$B$24)*(0.5*((((571-43)*MAX('Inputs'!$B$33,'Inputs'!$B$29+'Inputs'!$B$31+'Inputs'!$B$32,'Inputs'!$B$30+'Inputs'!$B$31+'Inputs'!$B$32)/1000+'Inputs'!$B$21)+'Inputs'!$B$9)/SQRT((((571-43)*MAX('Inputs'!$B$33,'Inputs'!$B$29+'Inputs'!$B$31+'Inputs'!$B$32,'Inputs'!$B$30+'Inputs'!$B$31+'Inputs'!$B$32)/1000+'Inputs'!$B$21)+'Inputs'!$B$9)^2+('Inputs'!$B$8/2)^2)-(((571-43)*MAX('Inputs'!$B$33,'Inputs'!$B$29+'Inputs'!$B$31+'Inputs'!$B$32,'Inputs'!$B$30+'Inputs'!$B$31+'Inputs'!$B$32)/1000+'Inputs'!$B$21))/SQRT((((571-43)*MAX('Inputs'!$B$33,'Inputs'!$B$29+'Inputs'!$B$31+'Inputs'!$B$32,'Inputs'!$B$30+'Inputs'!$B$31+'Inputs'!$B$32)/1000+'Inputs'!$B$21))^2+('Inputs'!$B$8/2)^2)))-'Results'!B7*(1-'Inputs'!$B$24)*(0.5*((((571-43)*MAX('Inputs'!$B$33,'Inputs'!$B$29+'Inputs'!$B$31+'Inputs'!$B$32,'Inputs'!$B$30+'Inputs'!$B$31+'Inputs'!$B$32)/1000+'Inputs'!$B$21+'Inputs'!$B$9+'Inputs'!$B$10)+'Inputs'!$B$7)/SQRT((((571-43)*MAX('Inputs'!$B$33,'Inputs'!$B$29+'Inputs'!$B$31+'Inputs'!$B$32,'Inputs'!$B$30+'Inputs'!$B$31+'Inputs'!$B$32)/1000+'Inputs'!$B$21+'Inputs'!$B$9+'Inputs'!$B$10)+'Inputs'!$B$7)^2+('Inputs'!$B$6/2)^2)-(((571-43)*MAX('Inputs'!$B$33,'Inputs'!$B$29+'Inputs'!$B$31+'Inputs'!$B$32,'Inputs'!$B$30+'Inputs'!$B$31+'Inputs'!$B$32)/1000+'Inputs'!$B$21+'Inputs'!$B$9+'Inputs'!$B$10))/SQRT((((571-43)*MAX('Inputs'!$B$33,'Inputs'!$B$29+'Inputs'!$B$31+'Inputs'!$B$32,'Inputs'!$B$30+'Inputs'!$B$31+'Inputs'!$B$32)/1000+'Inputs'!$B$21+'Inputs'!$B$9+'Inputs'!$B$10))^2+('Inputs'!$B$6/2)^2))))*'Results'!$B$8)+'Inputs'!$B$28*ABS((('Results'!C7*(1+'Inputs'!$B$24)*(0.5*((((571-43)*MAX('Inputs'!$B$33,'Inputs'!$B$29+'Inputs'!$B$31+'Inputs'!$B$32,'Inputs'!$B$30+'Inputs'!$B$31+'Inputs'!$B$32)/1000+'Inputs'!$B$21)+'Inputs'!$B$9)/SQRT((((571-43)*MAX('Inputs'!$B$33,'Inputs'!$B$29+'Inputs'!$B$31+'Inputs'!$B$32,'Inputs'!$B$30+'Inputs'!$B$31+'Inputs'!$B$32)/1000+'Inputs'!$B$21)+'Inputs'!$B$9)^2+('Inputs'!$B$8/2)^2)-(((571-43)*MAX('Inputs'!$B$33,'Inputs'!$B$29+'Inputs'!$B$31+'Inputs'!$B$32,'Inputs'!$B$30+'Inputs'!$B$31+'Inputs'!$B$32)/1000+'Inputs'!$B$21))/SQRT((((571-43)*MAX('Inputs'!$B$33,'Inputs'!$B$29+'Inputs'!$B$31+'Inputs'!$B$32,'Inputs'!$B$30+'Inputs'!$B$31+'Inputs'!$B$32)/1000+'Inputs'!$B$21))^2+('Inputs'!$B$8/2)^2)))-'Results'!B7*(1-'Inputs'!$B$24)*(0.5*((((571-43)*MAX('Inputs'!$B$33,'Inputs'!$B$29+'Inputs'!$B$31+'Inputs'!$B$32,'Inputs'!$B$30+'Inputs'!$B$31+'Inputs'!$B$32)/1000+'Inputs'!$B$21+'Inputs'!$B$9+'Inputs'!$B$10)+'Inputs'!$B$7)/SQRT((((571-43)*MAX('Inputs'!$B$33,'Inputs'!$B$29+'Inputs'!$B$31+'Inputs'!$B$32,'Inputs'!$B$30+'Inputs'!$B$31+'Inputs'!$B$32)/1000+'Inputs'!$B$21+'Inputs'!$B$9+'Inputs'!$B$10)+'Inputs'!$B$7)^2+('Inputs'!$B$6/2)^2)-(((571-43)*MAX('Inputs'!$B$33,'Inputs'!$B$29+'Inputs'!$B$31+'Inputs'!$B$32,'Inputs'!$B$30+'Inputs'!$B$31+'Inputs'!$B$32)/1000+'Inputs'!$B$21+'Inputs'!$B$9+'Inputs'!$B$10))/SQRT((((571-43)*MAX('Inputs'!$B$33,'Inputs'!$B$29+'Inputs'!$B$31+'Inputs'!$B$32,'Inputs'!$B$30+'Inputs'!$B$31+'Inputs'!$B$32)/1000+'Inputs'!$B$21+'Inputs'!$B$9+'Inputs'!$B$10))^2+('Inputs'!$B$6/2)^2))))*'Results'!$B$8))),"")</x:f>
        <x:v>3.637456346147125</x:v>
      </x:c>
      <x:c r="P571" t="n">
        <x:f>IF(AND(MAX(J571,J570)&gt;0,J571&gt;J570+0.00000001),1,0)</x:f>
        <x:v>0</x:v>
      </x:c>
      <x:c r="Q571" t="n">
        <x:f>IF(AND(MAX(K571,K570)&gt;0,K571&gt;K570+0.00000001),1,0)</x:f>
        <x:v>0</x:v>
      </x:c>
      <x:c r="R571" t="n">
        <x:f>IF(AND(MAX(L571,L570)&gt;0,L571&gt;L570+0.00000001),1,0)</x:f>
        <x:v>0</x:v>
      </x:c>
      <x:c r="S571" t="n">
        <x:f>IF(AND(MAX(M571,M570)&gt;0,M571&gt;M570+0.00000001),1,0)</x:f>
        <x:v>0</x:v>
      </x:c>
      <x:c r="T571" t="n">
        <x:f>IF(AND(MAX(N571,N570)&gt;0,N571&gt;N570+0.00000001),1,0)</x:f>
        <x:v>0</x:v>
      </x:c>
      <x:c r="U571" t="n">
        <x:f>IF(AND(MAX(O571,O570)&gt;0,O571&gt;O570+0.00000001),1,0)</x:f>
        <x:v>0</x:v>
      </x:c>
    </x:row>
    <x:row r="572">
      <x:c r="J572" t="n">
        <x:f>IF(AND(ISNUMBER('Results'!B7),ISNUMBER('Results'!C7),ISNUMBER('Results'!$B$8),ISNUMBER('Inputs'!$B$6),ISNUMBER('Inputs'!$B$7),ISNUMBER('Inputs'!$B$8),ISNUMBER('Inputs'!$B$9),ISNUMBER('Inputs'!$B$10),ISNUMBER('Inputs'!$B$21),ISNUMBER('Inputs'!$B$24),ISNUMBER('Inputs'!$B$28)),(('Results'!B7*(0.5*((((572-43)*MAX('Inputs'!$B$33,'Inputs'!$B$29+'Inputs'!$B$31+'Inputs'!$B$32,'Inputs'!$B$30+'Inputs'!$B$31+'Inputs'!$B$32)/1000+'Inputs'!$B$21)+'Inputs'!$B$7)/SQRT((((572-43)*MAX('Inputs'!$B$33,'Inputs'!$B$29+'Inputs'!$B$31+'Inputs'!$B$32,'Inputs'!$B$30+'Inputs'!$B$31+'Inputs'!$B$32)/1000+'Inputs'!$B$21)+'Inputs'!$B$7)^2+('Inputs'!$B$6/2)^2)-(((572-43)*MAX('Inputs'!$B$33,'Inputs'!$B$29+'Inputs'!$B$31+'Inputs'!$B$32,'Inputs'!$B$30+'Inputs'!$B$31+'Inputs'!$B$32)/1000+'Inputs'!$B$21))/SQRT((((572-43)*MAX('Inputs'!$B$33,'Inputs'!$B$29+'Inputs'!$B$31+'Inputs'!$B$32,'Inputs'!$B$30+'Inputs'!$B$31+'Inputs'!$B$32)/1000+'Inputs'!$B$21))^2+('Inputs'!$B$6/2)^2)))-'Results'!C7*(0.5*((((572-43)*MAX('Inputs'!$B$33,'Inputs'!$B$29+'Inputs'!$B$31+'Inputs'!$B$32,'Inputs'!$B$30+'Inputs'!$B$31+'Inputs'!$B$32)/1000+'Inputs'!$B$21+'Inputs'!$B$7+'Inputs'!$B$10)+'Inputs'!$B$9)/SQRT((((572-43)*MAX('Inputs'!$B$33,'Inputs'!$B$29+'Inputs'!$B$31+'Inputs'!$B$32,'Inputs'!$B$30+'Inputs'!$B$31+'Inputs'!$B$32)/1000+'Inputs'!$B$21+'Inputs'!$B$7+'Inputs'!$B$10)+'Inputs'!$B$9)^2+('Inputs'!$B$8/2)^2)-(((572-43)*MAX('Inputs'!$B$33,'Inputs'!$B$29+'Inputs'!$B$31+'Inputs'!$B$32,'Inputs'!$B$30+'Inputs'!$B$31+'Inputs'!$B$32)/1000+'Inputs'!$B$21+'Inputs'!$B$7+'Inputs'!$B$10))/SQRT((((572-43)*MAX('Inputs'!$B$33,'Inputs'!$B$29+'Inputs'!$B$31+'Inputs'!$B$32,'Inputs'!$B$30+'Inputs'!$B$31+'Inputs'!$B$32)/1000+'Inputs'!$B$21+'Inputs'!$B$7+'Inputs'!$B$10))^2+('Inputs'!$B$8/2)^2))))*'Results'!$B$8),"")</x:f>
        <x:v>3.444883711507955</x:v>
      </x:c>
      <x:c r="K572" t="n">
        <x:f>IF(AND(ISNUMBER('Results'!B7),ISNUMBER('Results'!C7),ISNUMBER('Results'!$B$8),ISNUMBER('Inputs'!$B$6),ISNUMBER('Inputs'!$B$7),ISNUMBER('Inputs'!$B$8),ISNUMBER('Inputs'!$B$9),ISNUMBER('Inputs'!$B$10),ISNUMBER('Inputs'!$B$21),ISNUMBER('Inputs'!$B$24),ISNUMBER('Inputs'!$B$28)),((('Results'!B7*(1-'Inputs'!$B$24)*(0.5*((((572-43)*MAX('Inputs'!$B$33,'Inputs'!$B$29+'Inputs'!$B$31+'Inputs'!$B$32,'Inputs'!$B$30+'Inputs'!$B$31+'Inputs'!$B$32)/1000+'Inputs'!$B$21)+'Inputs'!$B$7)/SQRT((((572-43)*MAX('Inputs'!$B$33,'Inputs'!$B$29+'Inputs'!$B$31+'Inputs'!$B$32,'Inputs'!$B$30+'Inputs'!$B$31+'Inputs'!$B$32)/1000+'Inputs'!$B$21)+'Inputs'!$B$7)^2+('Inputs'!$B$6/2)^2)-(((572-43)*MAX('Inputs'!$B$33,'Inputs'!$B$29+'Inputs'!$B$31+'Inputs'!$B$32,'Inputs'!$B$30+'Inputs'!$B$31+'Inputs'!$B$32)/1000+'Inputs'!$B$21))/SQRT((((572-43)*MAX('Inputs'!$B$33,'Inputs'!$B$29+'Inputs'!$B$31+'Inputs'!$B$32,'Inputs'!$B$30+'Inputs'!$B$31+'Inputs'!$B$32)/1000+'Inputs'!$B$21))^2+('Inputs'!$B$6/2)^2)))-'Results'!C7*(1+'Inputs'!$B$24)*(0.5*((((572-43)*MAX('Inputs'!$B$33,'Inputs'!$B$29+'Inputs'!$B$31+'Inputs'!$B$32,'Inputs'!$B$30+'Inputs'!$B$31+'Inputs'!$B$32)/1000+'Inputs'!$B$21+'Inputs'!$B$7+'Inputs'!$B$10)+'Inputs'!$B$9)/SQRT((((572-43)*MAX('Inputs'!$B$33,'Inputs'!$B$29+'Inputs'!$B$31+'Inputs'!$B$32,'Inputs'!$B$30+'Inputs'!$B$31+'Inputs'!$B$32)/1000+'Inputs'!$B$21+'Inputs'!$B$7+'Inputs'!$B$10)+'Inputs'!$B$9)^2+('Inputs'!$B$8/2)^2)-(((572-43)*MAX('Inputs'!$B$33,'Inputs'!$B$29+'Inputs'!$B$31+'Inputs'!$B$32,'Inputs'!$B$30+'Inputs'!$B$31+'Inputs'!$B$32)/1000+'Inputs'!$B$21+'Inputs'!$B$7+'Inputs'!$B$10))/SQRT((((572-43)*MAX('Inputs'!$B$33,'Inputs'!$B$29+'Inputs'!$B$31+'Inputs'!$B$32,'Inputs'!$B$30+'Inputs'!$B$31+'Inputs'!$B$32)/1000+'Inputs'!$B$21+'Inputs'!$B$7+'Inputs'!$B$10))^2+('Inputs'!$B$8/2)^2))))*'Results'!$B$8)-'Inputs'!$B$28*ABS((('Results'!B7*(1-'Inputs'!$B$24)*(0.5*((((572-43)*MAX('Inputs'!$B$33,'Inputs'!$B$29+'Inputs'!$B$31+'Inputs'!$B$32,'Inputs'!$B$30+'Inputs'!$B$31+'Inputs'!$B$32)/1000+'Inputs'!$B$21)+'Inputs'!$B$7)/SQRT((((572-43)*MAX('Inputs'!$B$33,'Inputs'!$B$29+'Inputs'!$B$31+'Inputs'!$B$32,'Inputs'!$B$30+'Inputs'!$B$31+'Inputs'!$B$32)/1000+'Inputs'!$B$21)+'Inputs'!$B$7)^2+('Inputs'!$B$6/2)^2)-(((572-43)*MAX('Inputs'!$B$33,'Inputs'!$B$29+'Inputs'!$B$31+'Inputs'!$B$32,'Inputs'!$B$30+'Inputs'!$B$31+'Inputs'!$B$32)/1000+'Inputs'!$B$21))/SQRT((((572-43)*MAX('Inputs'!$B$33,'Inputs'!$B$29+'Inputs'!$B$31+'Inputs'!$B$32,'Inputs'!$B$30+'Inputs'!$B$31+'Inputs'!$B$32)/1000+'Inputs'!$B$21))^2+('Inputs'!$B$6/2)^2)))-'Results'!C7*(1+'Inputs'!$B$24)*(0.5*((((572-43)*MAX('Inputs'!$B$33,'Inputs'!$B$29+'Inputs'!$B$31+'Inputs'!$B$32,'Inputs'!$B$30+'Inputs'!$B$31+'Inputs'!$B$32)/1000+'Inputs'!$B$21+'Inputs'!$B$7+'Inputs'!$B$10)+'Inputs'!$B$9)/SQRT((((572-43)*MAX('Inputs'!$B$33,'Inputs'!$B$29+'Inputs'!$B$31+'Inputs'!$B$32,'Inputs'!$B$30+'Inputs'!$B$31+'Inputs'!$B$32)/1000+'Inputs'!$B$21+'Inputs'!$B$7+'Inputs'!$B$10)+'Inputs'!$B$9)^2+('Inputs'!$B$8/2)^2)-(((572-43)*MAX('Inputs'!$B$33,'Inputs'!$B$29+'Inputs'!$B$31+'Inputs'!$B$32,'Inputs'!$B$30+'Inputs'!$B$31+'Inputs'!$B$32)/1000+'Inputs'!$B$21+'Inputs'!$B$7+'Inputs'!$B$10))/SQRT((((572-43)*MAX('Inputs'!$B$33,'Inputs'!$B$29+'Inputs'!$B$31+'Inputs'!$B$32,'Inputs'!$B$30+'Inputs'!$B$31+'Inputs'!$B$32)/1000+'Inputs'!$B$21+'Inputs'!$B$7+'Inputs'!$B$10))^2+('Inputs'!$B$8/2)^2))))*'Results'!$B$8))),"")</x:f>
        <x:v>3.0408434646545244</x:v>
      </x:c>
      <x:c r="L572" t="n">
        <x:f>IF(AND(ISNUMBER('Results'!B7),ISNUMBER('Results'!C7),ISNUMBER('Results'!$B$8),ISNUMBER('Inputs'!$B$6),ISNUMBER('Inputs'!$B$7),ISNUMBER('Inputs'!$B$8),ISNUMBER('Inputs'!$B$9),ISNUMBER('Inputs'!$B$10),ISNUMBER('Inputs'!$B$21),ISNUMBER('Inputs'!$B$24),ISNUMBER('Inputs'!$B$28)),((('Results'!B7*(1+'Inputs'!$B$24)*(0.5*((((572-43)*MAX('Inputs'!$B$33,'Inputs'!$B$29+'Inputs'!$B$31+'Inputs'!$B$32,'Inputs'!$B$30+'Inputs'!$B$31+'Inputs'!$B$32)/1000+'Inputs'!$B$21)+'Inputs'!$B$7)/SQRT((((572-43)*MAX('Inputs'!$B$33,'Inputs'!$B$29+'Inputs'!$B$31+'Inputs'!$B$32,'Inputs'!$B$30+'Inputs'!$B$31+'Inputs'!$B$32)/1000+'Inputs'!$B$21)+'Inputs'!$B$7)^2+('Inputs'!$B$6/2)^2)-(((572-43)*MAX('Inputs'!$B$33,'Inputs'!$B$29+'Inputs'!$B$31+'Inputs'!$B$32,'Inputs'!$B$30+'Inputs'!$B$31+'Inputs'!$B$32)/1000+'Inputs'!$B$21))/SQRT((((572-43)*MAX('Inputs'!$B$33,'Inputs'!$B$29+'Inputs'!$B$31+'Inputs'!$B$32,'Inputs'!$B$30+'Inputs'!$B$31+'Inputs'!$B$32)/1000+'Inputs'!$B$21))^2+('Inputs'!$B$6/2)^2)))-'Results'!C7*(1-'Inputs'!$B$24)*(0.5*((((572-43)*MAX('Inputs'!$B$33,'Inputs'!$B$29+'Inputs'!$B$31+'Inputs'!$B$32,'Inputs'!$B$30+'Inputs'!$B$31+'Inputs'!$B$32)/1000+'Inputs'!$B$21+'Inputs'!$B$7+'Inputs'!$B$10)+'Inputs'!$B$9)/SQRT((((572-43)*MAX('Inputs'!$B$33,'Inputs'!$B$29+'Inputs'!$B$31+'Inputs'!$B$32,'Inputs'!$B$30+'Inputs'!$B$31+'Inputs'!$B$32)/1000+'Inputs'!$B$21+'Inputs'!$B$7+'Inputs'!$B$10)+'Inputs'!$B$9)^2+('Inputs'!$B$8/2)^2)-(((572-43)*MAX('Inputs'!$B$33,'Inputs'!$B$29+'Inputs'!$B$31+'Inputs'!$B$32,'Inputs'!$B$30+'Inputs'!$B$31+'Inputs'!$B$32)/1000+'Inputs'!$B$21+'Inputs'!$B$7+'Inputs'!$B$10))/SQRT((((572-43)*MAX('Inputs'!$B$33,'Inputs'!$B$29+'Inputs'!$B$31+'Inputs'!$B$32,'Inputs'!$B$30+'Inputs'!$B$31+'Inputs'!$B$32)/1000+'Inputs'!$B$21+'Inputs'!$B$7+'Inputs'!$B$10))^2+('Inputs'!$B$8/2)^2))))*'Results'!$B$8)+'Inputs'!$B$28*ABS((('Results'!B7*(1+'Inputs'!$B$24)*(0.5*((((572-43)*MAX('Inputs'!$B$33,'Inputs'!$B$29+'Inputs'!$B$31+'Inputs'!$B$32,'Inputs'!$B$30+'Inputs'!$B$31+'Inputs'!$B$32)/1000+'Inputs'!$B$21)+'Inputs'!$B$7)/SQRT((((572-43)*MAX('Inputs'!$B$33,'Inputs'!$B$29+'Inputs'!$B$31+'Inputs'!$B$32,'Inputs'!$B$30+'Inputs'!$B$31+'Inputs'!$B$32)/1000+'Inputs'!$B$21)+'Inputs'!$B$7)^2+('Inputs'!$B$6/2)^2)-(((572-43)*MAX('Inputs'!$B$33,'Inputs'!$B$29+'Inputs'!$B$31+'Inputs'!$B$32,'Inputs'!$B$30+'Inputs'!$B$31+'Inputs'!$B$32)/1000+'Inputs'!$B$21))/SQRT((((572-43)*MAX('Inputs'!$B$33,'Inputs'!$B$29+'Inputs'!$B$31+'Inputs'!$B$32,'Inputs'!$B$30+'Inputs'!$B$31+'Inputs'!$B$32)/1000+'Inputs'!$B$21))^2+('Inputs'!$B$6/2)^2)))-'Results'!C7*(1-'Inputs'!$B$24)*(0.5*((((572-43)*MAX('Inputs'!$B$33,'Inputs'!$B$29+'Inputs'!$B$31+'Inputs'!$B$32,'Inputs'!$B$30+'Inputs'!$B$31+'Inputs'!$B$32)/1000+'Inputs'!$B$21+'Inputs'!$B$7+'Inputs'!$B$10)+'Inputs'!$B$9)/SQRT((((572-43)*MAX('Inputs'!$B$33,'Inputs'!$B$29+'Inputs'!$B$31+'Inputs'!$B$32,'Inputs'!$B$30+'Inputs'!$B$31+'Inputs'!$B$32)/1000+'Inputs'!$B$21+'Inputs'!$B$7+'Inputs'!$B$10)+'Inputs'!$B$9)^2+('Inputs'!$B$8/2)^2)-(((572-43)*MAX('Inputs'!$B$33,'Inputs'!$B$29+'Inputs'!$B$31+'Inputs'!$B$32,'Inputs'!$B$30+'Inputs'!$B$31+'Inputs'!$B$32)/1000+'Inputs'!$B$21+'Inputs'!$B$7+'Inputs'!$B$10))/SQRT((((572-43)*MAX('Inputs'!$B$33,'Inputs'!$B$29+'Inputs'!$B$31+'Inputs'!$B$32,'Inputs'!$B$30+'Inputs'!$B$31+'Inputs'!$B$32)/1000+'Inputs'!$B$21+'Inputs'!$B$7+'Inputs'!$B$10))^2+('Inputs'!$B$8/2)^2))))*'Results'!$B$8))),"")</x:f>
        <x:v>3.8733235437590734</x:v>
      </x:c>
      <x:c r="M572" t="n">
        <x:f>IF(AND(ISNUMBER('Results'!C7),ISNUMBER('Results'!B7),ISNUMBER('Results'!$B$8),ISNUMBER('Inputs'!$B$6),ISNUMBER('Inputs'!$B$7),ISNUMBER('Inputs'!$B$8),ISNUMBER('Inputs'!$B$9),ISNUMBER('Inputs'!$B$10),ISNUMBER('Inputs'!$B$21),ISNUMBER('Inputs'!$B$24),ISNUMBER('Inputs'!$B$28)),(('Results'!C7*(0.5*((((572-43)*MAX('Inputs'!$B$33,'Inputs'!$B$29+'Inputs'!$B$31+'Inputs'!$B$32,'Inputs'!$B$30+'Inputs'!$B$31+'Inputs'!$B$32)/1000+'Inputs'!$B$21)+'Inputs'!$B$9)/SQRT((((572-43)*MAX('Inputs'!$B$33,'Inputs'!$B$29+'Inputs'!$B$31+'Inputs'!$B$32,'Inputs'!$B$30+'Inputs'!$B$31+'Inputs'!$B$32)/1000+'Inputs'!$B$21)+'Inputs'!$B$9)^2+('Inputs'!$B$8/2)^2)-(((572-43)*MAX('Inputs'!$B$33,'Inputs'!$B$29+'Inputs'!$B$31+'Inputs'!$B$32,'Inputs'!$B$30+'Inputs'!$B$31+'Inputs'!$B$32)/1000+'Inputs'!$B$21))/SQRT((((572-43)*MAX('Inputs'!$B$33,'Inputs'!$B$29+'Inputs'!$B$31+'Inputs'!$B$32,'Inputs'!$B$30+'Inputs'!$B$31+'Inputs'!$B$32)/1000+'Inputs'!$B$21))^2+('Inputs'!$B$8/2)^2)))-'Results'!B7*(0.5*((((572-43)*MAX('Inputs'!$B$33,'Inputs'!$B$29+'Inputs'!$B$31+'Inputs'!$B$32,'Inputs'!$B$30+'Inputs'!$B$31+'Inputs'!$B$32)/1000+'Inputs'!$B$21+'Inputs'!$B$9+'Inputs'!$B$10)+'Inputs'!$B$7)/SQRT((((572-43)*MAX('Inputs'!$B$33,'Inputs'!$B$29+'Inputs'!$B$31+'Inputs'!$B$32,'Inputs'!$B$30+'Inputs'!$B$31+'Inputs'!$B$32)/1000+'Inputs'!$B$21+'Inputs'!$B$9+'Inputs'!$B$10)+'Inputs'!$B$7)^2+('Inputs'!$B$6/2)^2)-(((572-43)*MAX('Inputs'!$B$33,'Inputs'!$B$29+'Inputs'!$B$31+'Inputs'!$B$32,'Inputs'!$B$30+'Inputs'!$B$31+'Inputs'!$B$32)/1000+'Inputs'!$B$21+'Inputs'!$B$9+'Inputs'!$B$10))/SQRT((((572-43)*MAX('Inputs'!$B$33,'Inputs'!$B$29+'Inputs'!$B$31+'Inputs'!$B$32,'Inputs'!$B$30+'Inputs'!$B$31+'Inputs'!$B$32)/1000+'Inputs'!$B$21+'Inputs'!$B$9+'Inputs'!$B$10))^2+('Inputs'!$B$6/2)^2))))*'Results'!$B$8),"")</x:f>
        <x:v>3.199101141411214</x:v>
      </x:c>
      <x:c r="N572" t="n">
        <x:f>IF(AND(ISNUMBER('Results'!C7),ISNUMBER('Results'!B7),ISNUMBER('Results'!$B$8),ISNUMBER('Inputs'!$B$6),ISNUMBER('Inputs'!$B$7),ISNUMBER('Inputs'!$B$8),ISNUMBER('Inputs'!$B$9),ISNUMBER('Inputs'!$B$10),ISNUMBER('Inputs'!$B$21),ISNUMBER('Inputs'!$B$24),ISNUMBER('Inputs'!$B$28)),((('Results'!C7*(1-'Inputs'!$B$24)*(0.5*((((572-43)*MAX('Inputs'!$B$33,'Inputs'!$B$29+'Inputs'!$B$31+'Inputs'!$B$32,'Inputs'!$B$30+'Inputs'!$B$31+'Inputs'!$B$32)/1000+'Inputs'!$B$21)+'Inputs'!$B$9)/SQRT((((572-43)*MAX('Inputs'!$B$33,'Inputs'!$B$29+'Inputs'!$B$31+'Inputs'!$B$32,'Inputs'!$B$30+'Inputs'!$B$31+'Inputs'!$B$32)/1000+'Inputs'!$B$21)+'Inputs'!$B$9)^2+('Inputs'!$B$8/2)^2)-(((572-43)*MAX('Inputs'!$B$33,'Inputs'!$B$29+'Inputs'!$B$31+'Inputs'!$B$32,'Inputs'!$B$30+'Inputs'!$B$31+'Inputs'!$B$32)/1000+'Inputs'!$B$21))/SQRT((((572-43)*MAX('Inputs'!$B$33,'Inputs'!$B$29+'Inputs'!$B$31+'Inputs'!$B$32,'Inputs'!$B$30+'Inputs'!$B$31+'Inputs'!$B$32)/1000+'Inputs'!$B$21))^2+('Inputs'!$B$8/2)^2)))-'Results'!B7*(1+'Inputs'!$B$24)*(0.5*((((572-43)*MAX('Inputs'!$B$33,'Inputs'!$B$29+'Inputs'!$B$31+'Inputs'!$B$32,'Inputs'!$B$30+'Inputs'!$B$31+'Inputs'!$B$32)/1000+'Inputs'!$B$21+'Inputs'!$B$9+'Inputs'!$B$10)+'Inputs'!$B$7)/SQRT((((572-43)*MAX('Inputs'!$B$33,'Inputs'!$B$29+'Inputs'!$B$31+'Inputs'!$B$32,'Inputs'!$B$30+'Inputs'!$B$31+'Inputs'!$B$32)/1000+'Inputs'!$B$21+'Inputs'!$B$9+'Inputs'!$B$10)+'Inputs'!$B$7)^2+('Inputs'!$B$6/2)^2)-(((572-43)*MAX('Inputs'!$B$33,'Inputs'!$B$29+'Inputs'!$B$31+'Inputs'!$B$32,'Inputs'!$B$30+'Inputs'!$B$31+'Inputs'!$B$32)/1000+'Inputs'!$B$21+'Inputs'!$B$9+'Inputs'!$B$10))/SQRT((((572-43)*MAX('Inputs'!$B$33,'Inputs'!$B$29+'Inputs'!$B$31+'Inputs'!$B$32,'Inputs'!$B$30+'Inputs'!$B$31+'Inputs'!$B$32)/1000+'Inputs'!$B$21+'Inputs'!$B$9+'Inputs'!$B$10))^2+('Inputs'!$B$6/2)^2))))*'Results'!$B$8)-'Inputs'!$B$28*ABS((('Results'!C7*(1-'Inputs'!$B$24)*(0.5*((((572-43)*MAX('Inputs'!$B$33,'Inputs'!$B$29+'Inputs'!$B$31+'Inputs'!$B$32,'Inputs'!$B$30+'Inputs'!$B$31+'Inputs'!$B$32)/1000+'Inputs'!$B$21)+'Inputs'!$B$9)/SQRT((((572-43)*MAX('Inputs'!$B$33,'Inputs'!$B$29+'Inputs'!$B$31+'Inputs'!$B$32,'Inputs'!$B$30+'Inputs'!$B$31+'Inputs'!$B$32)/1000+'Inputs'!$B$21)+'Inputs'!$B$9)^2+('Inputs'!$B$8/2)^2)-(((572-43)*MAX('Inputs'!$B$33,'Inputs'!$B$29+'Inputs'!$B$31+'Inputs'!$B$32,'Inputs'!$B$30+'Inputs'!$B$31+'Inputs'!$B$32)/1000+'Inputs'!$B$21))/SQRT((((572-43)*MAX('Inputs'!$B$33,'Inputs'!$B$29+'Inputs'!$B$31+'Inputs'!$B$32,'Inputs'!$B$30+'Inputs'!$B$31+'Inputs'!$B$32)/1000+'Inputs'!$B$21))^2+('Inputs'!$B$8/2)^2)))-'Results'!B7*(1+'Inputs'!$B$24)*(0.5*((((572-43)*MAX('Inputs'!$B$33,'Inputs'!$B$29+'Inputs'!$B$31+'Inputs'!$B$32,'Inputs'!$B$30+'Inputs'!$B$31+'Inputs'!$B$32)/1000+'Inputs'!$B$21+'Inputs'!$B$9+'Inputs'!$B$10)+'Inputs'!$B$7)/SQRT((((572-43)*MAX('Inputs'!$B$33,'Inputs'!$B$29+'Inputs'!$B$31+'Inputs'!$B$32,'Inputs'!$B$30+'Inputs'!$B$31+'Inputs'!$B$32)/1000+'Inputs'!$B$21+'Inputs'!$B$9+'Inputs'!$B$10)+'Inputs'!$B$7)^2+('Inputs'!$B$6/2)^2)-(((572-43)*MAX('Inputs'!$B$33,'Inputs'!$B$29+'Inputs'!$B$31+'Inputs'!$B$32,'Inputs'!$B$30+'Inputs'!$B$31+'Inputs'!$B$32)/1000+'Inputs'!$B$21+'Inputs'!$B$9+'Inputs'!$B$10))/SQRT((((572-43)*MAX('Inputs'!$B$33,'Inputs'!$B$29+'Inputs'!$B$31+'Inputs'!$B$32,'Inputs'!$B$30+'Inputs'!$B$31+'Inputs'!$B$32)/1000+'Inputs'!$B$21+'Inputs'!$B$9+'Inputs'!$B$10))^2+('Inputs'!$B$6/2)^2))))*'Results'!$B$8))),"")</x:f>
        <x:v>2.808625131266715</x:v>
      </x:c>
      <x:c r="O572" t="n">
        <x:f>IF(AND(ISNUMBER('Results'!C7),ISNUMBER('Results'!B7),ISNUMBER('Results'!$B$8),ISNUMBER('Inputs'!$B$6),ISNUMBER('Inputs'!$B$7),ISNUMBER('Inputs'!$B$8),ISNUMBER('Inputs'!$B$9),ISNUMBER('Inputs'!$B$10),ISNUMBER('Inputs'!$B$21),ISNUMBER('Inputs'!$B$24),ISNUMBER('Inputs'!$B$28)),((('Results'!C7*(1+'Inputs'!$B$24)*(0.5*((((572-43)*MAX('Inputs'!$B$33,'Inputs'!$B$29+'Inputs'!$B$31+'Inputs'!$B$32,'Inputs'!$B$30+'Inputs'!$B$31+'Inputs'!$B$32)/1000+'Inputs'!$B$21)+'Inputs'!$B$9)/SQRT((((572-43)*MAX('Inputs'!$B$33,'Inputs'!$B$29+'Inputs'!$B$31+'Inputs'!$B$32,'Inputs'!$B$30+'Inputs'!$B$31+'Inputs'!$B$32)/1000+'Inputs'!$B$21)+'Inputs'!$B$9)^2+('Inputs'!$B$8/2)^2)-(((572-43)*MAX('Inputs'!$B$33,'Inputs'!$B$29+'Inputs'!$B$31+'Inputs'!$B$32,'Inputs'!$B$30+'Inputs'!$B$31+'Inputs'!$B$32)/1000+'Inputs'!$B$21))/SQRT((((572-43)*MAX('Inputs'!$B$33,'Inputs'!$B$29+'Inputs'!$B$31+'Inputs'!$B$32,'Inputs'!$B$30+'Inputs'!$B$31+'Inputs'!$B$32)/1000+'Inputs'!$B$21))^2+('Inputs'!$B$8/2)^2)))-'Results'!B7*(1-'Inputs'!$B$24)*(0.5*((((572-43)*MAX('Inputs'!$B$33,'Inputs'!$B$29+'Inputs'!$B$31+'Inputs'!$B$32,'Inputs'!$B$30+'Inputs'!$B$31+'Inputs'!$B$32)/1000+'Inputs'!$B$21+'Inputs'!$B$9+'Inputs'!$B$10)+'Inputs'!$B$7)/SQRT((((572-43)*MAX('Inputs'!$B$33,'Inputs'!$B$29+'Inputs'!$B$31+'Inputs'!$B$32,'Inputs'!$B$30+'Inputs'!$B$31+'Inputs'!$B$32)/1000+'Inputs'!$B$21+'Inputs'!$B$9+'Inputs'!$B$10)+'Inputs'!$B$7)^2+('Inputs'!$B$6/2)^2)-(((572-43)*MAX('Inputs'!$B$33,'Inputs'!$B$29+'Inputs'!$B$31+'Inputs'!$B$32,'Inputs'!$B$30+'Inputs'!$B$31+'Inputs'!$B$32)/1000+'Inputs'!$B$21+'Inputs'!$B$9+'Inputs'!$B$10))/SQRT((((572-43)*MAX('Inputs'!$B$33,'Inputs'!$B$29+'Inputs'!$B$31+'Inputs'!$B$32,'Inputs'!$B$30+'Inputs'!$B$31+'Inputs'!$B$32)/1000+'Inputs'!$B$21+'Inputs'!$B$9+'Inputs'!$B$10))^2+('Inputs'!$B$6/2)^2))))*'Results'!$B$8)+'Inputs'!$B$28*ABS((('Results'!C7*(1+'Inputs'!$B$24)*(0.5*((((572-43)*MAX('Inputs'!$B$33,'Inputs'!$B$29+'Inputs'!$B$31+'Inputs'!$B$32,'Inputs'!$B$30+'Inputs'!$B$31+'Inputs'!$B$32)/1000+'Inputs'!$B$21)+'Inputs'!$B$9)/SQRT((((572-43)*MAX('Inputs'!$B$33,'Inputs'!$B$29+'Inputs'!$B$31+'Inputs'!$B$32,'Inputs'!$B$30+'Inputs'!$B$31+'Inputs'!$B$32)/1000+'Inputs'!$B$21)+'Inputs'!$B$9)^2+('Inputs'!$B$8/2)^2)-(((572-43)*MAX('Inputs'!$B$33,'Inputs'!$B$29+'Inputs'!$B$31+'Inputs'!$B$32,'Inputs'!$B$30+'Inputs'!$B$31+'Inputs'!$B$32)/1000+'Inputs'!$B$21))/SQRT((((572-43)*MAX('Inputs'!$B$33,'Inputs'!$B$29+'Inputs'!$B$31+'Inputs'!$B$32,'Inputs'!$B$30+'Inputs'!$B$31+'Inputs'!$B$32)/1000+'Inputs'!$B$21))^2+('Inputs'!$B$8/2)^2)))-'Results'!B7*(1-'Inputs'!$B$24)*(0.5*((((572-43)*MAX('Inputs'!$B$33,'Inputs'!$B$29+'Inputs'!$B$31+'Inputs'!$B$32,'Inputs'!$B$30+'Inputs'!$B$31+'Inputs'!$B$32)/1000+'Inputs'!$B$21+'Inputs'!$B$9+'Inputs'!$B$10)+'Inputs'!$B$7)/SQRT((((572-43)*MAX('Inputs'!$B$33,'Inputs'!$B$29+'Inputs'!$B$31+'Inputs'!$B$32,'Inputs'!$B$30+'Inputs'!$B$31+'Inputs'!$B$32)/1000+'Inputs'!$B$21+'Inputs'!$B$9+'Inputs'!$B$10)+'Inputs'!$B$7)^2+('Inputs'!$B$6/2)^2)-(((572-43)*MAX('Inputs'!$B$33,'Inputs'!$B$29+'Inputs'!$B$31+'Inputs'!$B$32,'Inputs'!$B$30+'Inputs'!$B$31+'Inputs'!$B$32)/1000+'Inputs'!$B$21+'Inputs'!$B$9+'Inputs'!$B$10))/SQRT((((572-43)*MAX('Inputs'!$B$33,'Inputs'!$B$29+'Inputs'!$B$31+'Inputs'!$B$32,'Inputs'!$B$30+'Inputs'!$B$31+'Inputs'!$B$32)/1000+'Inputs'!$B$21+'Inputs'!$B$9+'Inputs'!$B$10))^2+('Inputs'!$B$6/2)^2))))*'Results'!$B$8))),"")</x:f>
        <x:v>3.613842515037179</x:v>
      </x:c>
      <x:c r="P572" t="n">
        <x:f>IF(AND(MAX(J572,J571)&gt;0,J572&gt;J571+0.00000001),1,0)</x:f>
        <x:v>0</x:v>
      </x:c>
      <x:c r="Q572" t="n">
        <x:f>IF(AND(MAX(K572,K571)&gt;0,K572&gt;K571+0.00000001),1,0)</x:f>
        <x:v>0</x:v>
      </x:c>
      <x:c r="R572" t="n">
        <x:f>IF(AND(MAX(L572,L571)&gt;0,L572&gt;L571+0.00000001),1,0)</x:f>
        <x:v>0</x:v>
      </x:c>
      <x:c r="S572" t="n">
        <x:f>IF(AND(MAX(M572,M571)&gt;0,M572&gt;M571+0.00000001),1,0)</x:f>
        <x:v>0</x:v>
      </x:c>
      <x:c r="T572" t="n">
        <x:f>IF(AND(MAX(N572,N571)&gt;0,N572&gt;N571+0.00000001),1,0)</x:f>
        <x:v>0</x:v>
      </x:c>
      <x:c r="U572" t="n">
        <x:f>IF(AND(MAX(O572,O571)&gt;0,O572&gt;O571+0.00000001),1,0)</x:f>
        <x:v>0</x:v>
      </x:c>
    </x:row>
    <x:row r="573">
      <x:c r="J573" t="n">
        <x:f>IF(AND(ISNUMBER('Results'!B7),ISNUMBER('Results'!C7),ISNUMBER('Results'!$B$8),ISNUMBER('Inputs'!$B$6),ISNUMBER('Inputs'!$B$7),ISNUMBER('Inputs'!$B$8),ISNUMBER('Inputs'!$B$9),ISNUMBER('Inputs'!$B$10),ISNUMBER('Inputs'!$B$21),ISNUMBER('Inputs'!$B$24),ISNUMBER('Inputs'!$B$28)),(('Results'!B7*(0.5*((((573-43)*MAX('Inputs'!$B$33,'Inputs'!$B$29+'Inputs'!$B$31+'Inputs'!$B$32,'Inputs'!$B$30+'Inputs'!$B$31+'Inputs'!$B$32)/1000+'Inputs'!$B$21)+'Inputs'!$B$7)/SQRT((((573-43)*MAX('Inputs'!$B$33,'Inputs'!$B$29+'Inputs'!$B$31+'Inputs'!$B$32,'Inputs'!$B$30+'Inputs'!$B$31+'Inputs'!$B$32)/1000+'Inputs'!$B$21)+'Inputs'!$B$7)^2+('Inputs'!$B$6/2)^2)-(((573-43)*MAX('Inputs'!$B$33,'Inputs'!$B$29+'Inputs'!$B$31+'Inputs'!$B$32,'Inputs'!$B$30+'Inputs'!$B$31+'Inputs'!$B$32)/1000+'Inputs'!$B$21))/SQRT((((573-43)*MAX('Inputs'!$B$33,'Inputs'!$B$29+'Inputs'!$B$31+'Inputs'!$B$32,'Inputs'!$B$30+'Inputs'!$B$31+'Inputs'!$B$32)/1000+'Inputs'!$B$21))^2+('Inputs'!$B$6/2)^2)))-'Results'!C7*(0.5*((((573-43)*MAX('Inputs'!$B$33,'Inputs'!$B$29+'Inputs'!$B$31+'Inputs'!$B$32,'Inputs'!$B$30+'Inputs'!$B$31+'Inputs'!$B$32)/1000+'Inputs'!$B$21+'Inputs'!$B$7+'Inputs'!$B$10)+'Inputs'!$B$9)/SQRT((((573-43)*MAX('Inputs'!$B$33,'Inputs'!$B$29+'Inputs'!$B$31+'Inputs'!$B$32,'Inputs'!$B$30+'Inputs'!$B$31+'Inputs'!$B$32)/1000+'Inputs'!$B$21+'Inputs'!$B$7+'Inputs'!$B$10)+'Inputs'!$B$9)^2+('Inputs'!$B$8/2)^2)-(((573-43)*MAX('Inputs'!$B$33,'Inputs'!$B$29+'Inputs'!$B$31+'Inputs'!$B$32,'Inputs'!$B$30+'Inputs'!$B$31+'Inputs'!$B$32)/1000+'Inputs'!$B$21+'Inputs'!$B$7+'Inputs'!$B$10))/SQRT((((573-43)*MAX('Inputs'!$B$33,'Inputs'!$B$29+'Inputs'!$B$31+'Inputs'!$B$32,'Inputs'!$B$30+'Inputs'!$B$31+'Inputs'!$B$32)/1000+'Inputs'!$B$21+'Inputs'!$B$7+'Inputs'!$B$10))^2+('Inputs'!$B$8/2)^2))))*'Results'!$B$8),"")</x:f>
        <x:v>3.4225601557974095</x:v>
      </x:c>
      <x:c r="K573" t="n">
        <x:f>IF(AND(ISNUMBER('Results'!B7),ISNUMBER('Results'!C7),ISNUMBER('Results'!$B$8),ISNUMBER('Inputs'!$B$6),ISNUMBER('Inputs'!$B$7),ISNUMBER('Inputs'!$B$8),ISNUMBER('Inputs'!$B$9),ISNUMBER('Inputs'!$B$10),ISNUMBER('Inputs'!$B$21),ISNUMBER('Inputs'!$B$24),ISNUMBER('Inputs'!$B$28)),((('Results'!B7*(1-'Inputs'!$B$24)*(0.5*((((573-43)*MAX('Inputs'!$B$33,'Inputs'!$B$29+'Inputs'!$B$31+'Inputs'!$B$32,'Inputs'!$B$30+'Inputs'!$B$31+'Inputs'!$B$32)/1000+'Inputs'!$B$21)+'Inputs'!$B$7)/SQRT((((573-43)*MAX('Inputs'!$B$33,'Inputs'!$B$29+'Inputs'!$B$31+'Inputs'!$B$32,'Inputs'!$B$30+'Inputs'!$B$31+'Inputs'!$B$32)/1000+'Inputs'!$B$21)+'Inputs'!$B$7)^2+('Inputs'!$B$6/2)^2)-(((573-43)*MAX('Inputs'!$B$33,'Inputs'!$B$29+'Inputs'!$B$31+'Inputs'!$B$32,'Inputs'!$B$30+'Inputs'!$B$31+'Inputs'!$B$32)/1000+'Inputs'!$B$21))/SQRT((((573-43)*MAX('Inputs'!$B$33,'Inputs'!$B$29+'Inputs'!$B$31+'Inputs'!$B$32,'Inputs'!$B$30+'Inputs'!$B$31+'Inputs'!$B$32)/1000+'Inputs'!$B$21))^2+('Inputs'!$B$6/2)^2)))-'Results'!C7*(1+'Inputs'!$B$24)*(0.5*((((573-43)*MAX('Inputs'!$B$33,'Inputs'!$B$29+'Inputs'!$B$31+'Inputs'!$B$32,'Inputs'!$B$30+'Inputs'!$B$31+'Inputs'!$B$32)/1000+'Inputs'!$B$21+'Inputs'!$B$7+'Inputs'!$B$10)+'Inputs'!$B$9)/SQRT((((573-43)*MAX('Inputs'!$B$33,'Inputs'!$B$29+'Inputs'!$B$31+'Inputs'!$B$32,'Inputs'!$B$30+'Inputs'!$B$31+'Inputs'!$B$32)/1000+'Inputs'!$B$21+'Inputs'!$B$7+'Inputs'!$B$10)+'Inputs'!$B$9)^2+('Inputs'!$B$8/2)^2)-(((573-43)*MAX('Inputs'!$B$33,'Inputs'!$B$29+'Inputs'!$B$31+'Inputs'!$B$32,'Inputs'!$B$30+'Inputs'!$B$31+'Inputs'!$B$32)/1000+'Inputs'!$B$21+'Inputs'!$B$7+'Inputs'!$B$10))/SQRT((((573-43)*MAX('Inputs'!$B$33,'Inputs'!$B$29+'Inputs'!$B$31+'Inputs'!$B$32,'Inputs'!$B$30+'Inputs'!$B$31+'Inputs'!$B$32)/1000+'Inputs'!$B$21+'Inputs'!$B$7+'Inputs'!$B$10))^2+('Inputs'!$B$8/2)^2))))*'Results'!$B$8)-'Inputs'!$B$28*ABS((('Results'!B7*(1-'Inputs'!$B$24)*(0.5*((((573-43)*MAX('Inputs'!$B$33,'Inputs'!$B$29+'Inputs'!$B$31+'Inputs'!$B$32,'Inputs'!$B$30+'Inputs'!$B$31+'Inputs'!$B$32)/1000+'Inputs'!$B$21)+'Inputs'!$B$7)/SQRT((((573-43)*MAX('Inputs'!$B$33,'Inputs'!$B$29+'Inputs'!$B$31+'Inputs'!$B$32,'Inputs'!$B$30+'Inputs'!$B$31+'Inputs'!$B$32)/1000+'Inputs'!$B$21)+'Inputs'!$B$7)^2+('Inputs'!$B$6/2)^2)-(((573-43)*MAX('Inputs'!$B$33,'Inputs'!$B$29+'Inputs'!$B$31+'Inputs'!$B$32,'Inputs'!$B$30+'Inputs'!$B$31+'Inputs'!$B$32)/1000+'Inputs'!$B$21))/SQRT((((573-43)*MAX('Inputs'!$B$33,'Inputs'!$B$29+'Inputs'!$B$31+'Inputs'!$B$32,'Inputs'!$B$30+'Inputs'!$B$31+'Inputs'!$B$32)/1000+'Inputs'!$B$21))^2+('Inputs'!$B$6/2)^2)))-'Results'!C7*(1+'Inputs'!$B$24)*(0.5*((((573-43)*MAX('Inputs'!$B$33,'Inputs'!$B$29+'Inputs'!$B$31+'Inputs'!$B$32,'Inputs'!$B$30+'Inputs'!$B$31+'Inputs'!$B$32)/1000+'Inputs'!$B$21+'Inputs'!$B$7+'Inputs'!$B$10)+'Inputs'!$B$9)/SQRT((((573-43)*MAX('Inputs'!$B$33,'Inputs'!$B$29+'Inputs'!$B$31+'Inputs'!$B$32,'Inputs'!$B$30+'Inputs'!$B$31+'Inputs'!$B$32)/1000+'Inputs'!$B$21+'Inputs'!$B$7+'Inputs'!$B$10)+'Inputs'!$B$9)^2+('Inputs'!$B$8/2)^2)-(((573-43)*MAX('Inputs'!$B$33,'Inputs'!$B$29+'Inputs'!$B$31+'Inputs'!$B$32,'Inputs'!$B$30+'Inputs'!$B$31+'Inputs'!$B$32)/1000+'Inputs'!$B$21+'Inputs'!$B$7+'Inputs'!$B$10))/SQRT((((573-43)*MAX('Inputs'!$B$33,'Inputs'!$B$29+'Inputs'!$B$31+'Inputs'!$B$32,'Inputs'!$B$30+'Inputs'!$B$31+'Inputs'!$B$32)/1000+'Inputs'!$B$21+'Inputs'!$B$7+'Inputs'!$B$10))^2+('Inputs'!$B$8/2)^2))))*'Results'!$B$8))),"")</x:f>
        <x:v>3.0208003515590702</x:v>
      </x:c>
      <x:c r="L573" t="n">
        <x:f>IF(AND(ISNUMBER('Results'!B7),ISNUMBER('Results'!C7),ISNUMBER('Results'!$B$8),ISNUMBER('Inputs'!$B$6),ISNUMBER('Inputs'!$B$7),ISNUMBER('Inputs'!$B$8),ISNUMBER('Inputs'!$B$9),ISNUMBER('Inputs'!$B$10),ISNUMBER('Inputs'!$B$21),ISNUMBER('Inputs'!$B$24),ISNUMBER('Inputs'!$B$28)),((('Results'!B7*(1+'Inputs'!$B$24)*(0.5*((((573-43)*MAX('Inputs'!$B$33,'Inputs'!$B$29+'Inputs'!$B$31+'Inputs'!$B$32,'Inputs'!$B$30+'Inputs'!$B$31+'Inputs'!$B$32)/1000+'Inputs'!$B$21)+'Inputs'!$B$7)/SQRT((((573-43)*MAX('Inputs'!$B$33,'Inputs'!$B$29+'Inputs'!$B$31+'Inputs'!$B$32,'Inputs'!$B$30+'Inputs'!$B$31+'Inputs'!$B$32)/1000+'Inputs'!$B$21)+'Inputs'!$B$7)^2+('Inputs'!$B$6/2)^2)-(((573-43)*MAX('Inputs'!$B$33,'Inputs'!$B$29+'Inputs'!$B$31+'Inputs'!$B$32,'Inputs'!$B$30+'Inputs'!$B$31+'Inputs'!$B$32)/1000+'Inputs'!$B$21))/SQRT((((573-43)*MAX('Inputs'!$B$33,'Inputs'!$B$29+'Inputs'!$B$31+'Inputs'!$B$32,'Inputs'!$B$30+'Inputs'!$B$31+'Inputs'!$B$32)/1000+'Inputs'!$B$21))^2+('Inputs'!$B$6/2)^2)))-'Results'!C7*(1-'Inputs'!$B$24)*(0.5*((((573-43)*MAX('Inputs'!$B$33,'Inputs'!$B$29+'Inputs'!$B$31+'Inputs'!$B$32,'Inputs'!$B$30+'Inputs'!$B$31+'Inputs'!$B$32)/1000+'Inputs'!$B$21+'Inputs'!$B$7+'Inputs'!$B$10)+'Inputs'!$B$9)/SQRT((((573-43)*MAX('Inputs'!$B$33,'Inputs'!$B$29+'Inputs'!$B$31+'Inputs'!$B$32,'Inputs'!$B$30+'Inputs'!$B$31+'Inputs'!$B$32)/1000+'Inputs'!$B$21+'Inputs'!$B$7+'Inputs'!$B$10)+'Inputs'!$B$9)^2+('Inputs'!$B$8/2)^2)-(((573-43)*MAX('Inputs'!$B$33,'Inputs'!$B$29+'Inputs'!$B$31+'Inputs'!$B$32,'Inputs'!$B$30+'Inputs'!$B$31+'Inputs'!$B$32)/1000+'Inputs'!$B$21+'Inputs'!$B$7+'Inputs'!$B$10))/SQRT((((573-43)*MAX('Inputs'!$B$33,'Inputs'!$B$29+'Inputs'!$B$31+'Inputs'!$B$32,'Inputs'!$B$30+'Inputs'!$B$31+'Inputs'!$B$32)/1000+'Inputs'!$B$21+'Inputs'!$B$7+'Inputs'!$B$10))^2+('Inputs'!$B$8/2)^2))))*'Results'!$B$8)+'Inputs'!$B$28*ABS((('Results'!B7*(1+'Inputs'!$B$24)*(0.5*((((573-43)*MAX('Inputs'!$B$33,'Inputs'!$B$29+'Inputs'!$B$31+'Inputs'!$B$32,'Inputs'!$B$30+'Inputs'!$B$31+'Inputs'!$B$32)/1000+'Inputs'!$B$21)+'Inputs'!$B$7)/SQRT((((573-43)*MAX('Inputs'!$B$33,'Inputs'!$B$29+'Inputs'!$B$31+'Inputs'!$B$32,'Inputs'!$B$30+'Inputs'!$B$31+'Inputs'!$B$32)/1000+'Inputs'!$B$21)+'Inputs'!$B$7)^2+('Inputs'!$B$6/2)^2)-(((573-43)*MAX('Inputs'!$B$33,'Inputs'!$B$29+'Inputs'!$B$31+'Inputs'!$B$32,'Inputs'!$B$30+'Inputs'!$B$31+'Inputs'!$B$32)/1000+'Inputs'!$B$21))/SQRT((((573-43)*MAX('Inputs'!$B$33,'Inputs'!$B$29+'Inputs'!$B$31+'Inputs'!$B$32,'Inputs'!$B$30+'Inputs'!$B$31+'Inputs'!$B$32)/1000+'Inputs'!$B$21))^2+('Inputs'!$B$6/2)^2)))-'Results'!C7*(1-'Inputs'!$B$24)*(0.5*((((573-43)*MAX('Inputs'!$B$33,'Inputs'!$B$29+'Inputs'!$B$31+'Inputs'!$B$32,'Inputs'!$B$30+'Inputs'!$B$31+'Inputs'!$B$32)/1000+'Inputs'!$B$21+'Inputs'!$B$7+'Inputs'!$B$10)+'Inputs'!$B$9)/SQRT((((573-43)*MAX('Inputs'!$B$33,'Inputs'!$B$29+'Inputs'!$B$31+'Inputs'!$B$32,'Inputs'!$B$30+'Inputs'!$B$31+'Inputs'!$B$32)/1000+'Inputs'!$B$21+'Inputs'!$B$7+'Inputs'!$B$10)+'Inputs'!$B$9)^2+('Inputs'!$B$8/2)^2)-(((573-43)*MAX('Inputs'!$B$33,'Inputs'!$B$29+'Inputs'!$B$31+'Inputs'!$B$32,'Inputs'!$B$30+'Inputs'!$B$31+'Inputs'!$B$32)/1000+'Inputs'!$B$21+'Inputs'!$B$7+'Inputs'!$B$10))/SQRT((((573-43)*MAX('Inputs'!$B$33,'Inputs'!$B$29+'Inputs'!$B$31+'Inputs'!$B$32,'Inputs'!$B$30+'Inputs'!$B$31+'Inputs'!$B$32)/1000+'Inputs'!$B$21+'Inputs'!$B$7+'Inputs'!$B$10))^2+('Inputs'!$B$8/2)^2))))*'Results'!$B$8))),"")</x:f>
        <x:v>3.8485969912408518</x:v>
      </x:c>
      <x:c r="M573" t="n">
        <x:f>IF(AND(ISNUMBER('Results'!C7),ISNUMBER('Results'!B7),ISNUMBER('Results'!$B$8),ISNUMBER('Inputs'!$B$6),ISNUMBER('Inputs'!$B$7),ISNUMBER('Inputs'!$B$8),ISNUMBER('Inputs'!$B$9),ISNUMBER('Inputs'!$B$10),ISNUMBER('Inputs'!$B$21),ISNUMBER('Inputs'!$B$24),ISNUMBER('Inputs'!$B$28)),(('Results'!C7*(0.5*((((573-43)*MAX('Inputs'!$B$33,'Inputs'!$B$29+'Inputs'!$B$31+'Inputs'!$B$32,'Inputs'!$B$30+'Inputs'!$B$31+'Inputs'!$B$32)/1000+'Inputs'!$B$21)+'Inputs'!$B$9)/SQRT((((573-43)*MAX('Inputs'!$B$33,'Inputs'!$B$29+'Inputs'!$B$31+'Inputs'!$B$32,'Inputs'!$B$30+'Inputs'!$B$31+'Inputs'!$B$32)/1000+'Inputs'!$B$21)+'Inputs'!$B$9)^2+('Inputs'!$B$8/2)^2)-(((573-43)*MAX('Inputs'!$B$33,'Inputs'!$B$29+'Inputs'!$B$31+'Inputs'!$B$32,'Inputs'!$B$30+'Inputs'!$B$31+'Inputs'!$B$32)/1000+'Inputs'!$B$21))/SQRT((((573-43)*MAX('Inputs'!$B$33,'Inputs'!$B$29+'Inputs'!$B$31+'Inputs'!$B$32,'Inputs'!$B$30+'Inputs'!$B$31+'Inputs'!$B$32)/1000+'Inputs'!$B$21))^2+('Inputs'!$B$8/2)^2)))-'Results'!B7*(0.5*((((573-43)*MAX('Inputs'!$B$33,'Inputs'!$B$29+'Inputs'!$B$31+'Inputs'!$B$32,'Inputs'!$B$30+'Inputs'!$B$31+'Inputs'!$B$32)/1000+'Inputs'!$B$21+'Inputs'!$B$9+'Inputs'!$B$10)+'Inputs'!$B$7)/SQRT((((573-43)*MAX('Inputs'!$B$33,'Inputs'!$B$29+'Inputs'!$B$31+'Inputs'!$B$32,'Inputs'!$B$30+'Inputs'!$B$31+'Inputs'!$B$32)/1000+'Inputs'!$B$21+'Inputs'!$B$9+'Inputs'!$B$10)+'Inputs'!$B$7)^2+('Inputs'!$B$6/2)^2)-(((573-43)*MAX('Inputs'!$B$33,'Inputs'!$B$29+'Inputs'!$B$31+'Inputs'!$B$32,'Inputs'!$B$30+'Inputs'!$B$31+'Inputs'!$B$32)/1000+'Inputs'!$B$21+'Inputs'!$B$9+'Inputs'!$B$10))/SQRT((((573-43)*MAX('Inputs'!$B$33,'Inputs'!$B$29+'Inputs'!$B$31+'Inputs'!$B$32,'Inputs'!$B$30+'Inputs'!$B$31+'Inputs'!$B$32)/1000+'Inputs'!$B$21+'Inputs'!$B$9+'Inputs'!$B$10))^2+('Inputs'!$B$6/2)^2))))*'Results'!$B$8),"")</x:f>
        <x:v>3.1780110773286845</x:v>
      </x:c>
      <x:c r="N573" t="n">
        <x:f>IF(AND(ISNUMBER('Results'!C7),ISNUMBER('Results'!B7),ISNUMBER('Results'!$B$8),ISNUMBER('Inputs'!$B$6),ISNUMBER('Inputs'!$B$7),ISNUMBER('Inputs'!$B$8),ISNUMBER('Inputs'!$B$9),ISNUMBER('Inputs'!$B$10),ISNUMBER('Inputs'!$B$21),ISNUMBER('Inputs'!$B$24),ISNUMBER('Inputs'!$B$28)),((('Results'!C7*(1-'Inputs'!$B$24)*(0.5*((((573-43)*MAX('Inputs'!$B$33,'Inputs'!$B$29+'Inputs'!$B$31+'Inputs'!$B$32,'Inputs'!$B$30+'Inputs'!$B$31+'Inputs'!$B$32)/1000+'Inputs'!$B$21)+'Inputs'!$B$9)/SQRT((((573-43)*MAX('Inputs'!$B$33,'Inputs'!$B$29+'Inputs'!$B$31+'Inputs'!$B$32,'Inputs'!$B$30+'Inputs'!$B$31+'Inputs'!$B$32)/1000+'Inputs'!$B$21)+'Inputs'!$B$9)^2+('Inputs'!$B$8/2)^2)-(((573-43)*MAX('Inputs'!$B$33,'Inputs'!$B$29+'Inputs'!$B$31+'Inputs'!$B$32,'Inputs'!$B$30+'Inputs'!$B$31+'Inputs'!$B$32)/1000+'Inputs'!$B$21))/SQRT((((573-43)*MAX('Inputs'!$B$33,'Inputs'!$B$29+'Inputs'!$B$31+'Inputs'!$B$32,'Inputs'!$B$30+'Inputs'!$B$31+'Inputs'!$B$32)/1000+'Inputs'!$B$21))^2+('Inputs'!$B$8/2)^2)))-'Results'!B7*(1+'Inputs'!$B$24)*(0.5*((((573-43)*MAX('Inputs'!$B$33,'Inputs'!$B$29+'Inputs'!$B$31+'Inputs'!$B$32,'Inputs'!$B$30+'Inputs'!$B$31+'Inputs'!$B$32)/1000+'Inputs'!$B$21+'Inputs'!$B$9+'Inputs'!$B$10)+'Inputs'!$B$7)/SQRT((((573-43)*MAX('Inputs'!$B$33,'Inputs'!$B$29+'Inputs'!$B$31+'Inputs'!$B$32,'Inputs'!$B$30+'Inputs'!$B$31+'Inputs'!$B$32)/1000+'Inputs'!$B$21+'Inputs'!$B$9+'Inputs'!$B$10)+'Inputs'!$B$7)^2+('Inputs'!$B$6/2)^2)-(((573-43)*MAX('Inputs'!$B$33,'Inputs'!$B$29+'Inputs'!$B$31+'Inputs'!$B$32,'Inputs'!$B$30+'Inputs'!$B$31+'Inputs'!$B$32)/1000+'Inputs'!$B$21+'Inputs'!$B$9+'Inputs'!$B$10))/SQRT((((573-43)*MAX('Inputs'!$B$33,'Inputs'!$B$29+'Inputs'!$B$31+'Inputs'!$B$32,'Inputs'!$B$30+'Inputs'!$B$31+'Inputs'!$B$32)/1000+'Inputs'!$B$21+'Inputs'!$B$9+'Inputs'!$B$10))^2+('Inputs'!$B$6/2)^2))))*'Results'!$B$8)-'Inputs'!$B$28*ABS((('Results'!C7*(1-'Inputs'!$B$24)*(0.5*((((573-43)*MAX('Inputs'!$B$33,'Inputs'!$B$29+'Inputs'!$B$31+'Inputs'!$B$32,'Inputs'!$B$30+'Inputs'!$B$31+'Inputs'!$B$32)/1000+'Inputs'!$B$21)+'Inputs'!$B$9)/SQRT((((573-43)*MAX('Inputs'!$B$33,'Inputs'!$B$29+'Inputs'!$B$31+'Inputs'!$B$32,'Inputs'!$B$30+'Inputs'!$B$31+'Inputs'!$B$32)/1000+'Inputs'!$B$21)+'Inputs'!$B$9)^2+('Inputs'!$B$8/2)^2)-(((573-43)*MAX('Inputs'!$B$33,'Inputs'!$B$29+'Inputs'!$B$31+'Inputs'!$B$32,'Inputs'!$B$30+'Inputs'!$B$31+'Inputs'!$B$32)/1000+'Inputs'!$B$21))/SQRT((((573-43)*MAX('Inputs'!$B$33,'Inputs'!$B$29+'Inputs'!$B$31+'Inputs'!$B$32,'Inputs'!$B$30+'Inputs'!$B$31+'Inputs'!$B$32)/1000+'Inputs'!$B$21))^2+('Inputs'!$B$8/2)^2)))-'Results'!B7*(1+'Inputs'!$B$24)*(0.5*((((573-43)*MAX('Inputs'!$B$33,'Inputs'!$B$29+'Inputs'!$B$31+'Inputs'!$B$32,'Inputs'!$B$30+'Inputs'!$B$31+'Inputs'!$B$32)/1000+'Inputs'!$B$21+'Inputs'!$B$9+'Inputs'!$B$10)+'Inputs'!$B$7)/SQRT((((573-43)*MAX('Inputs'!$B$33,'Inputs'!$B$29+'Inputs'!$B$31+'Inputs'!$B$32,'Inputs'!$B$30+'Inputs'!$B$31+'Inputs'!$B$32)/1000+'Inputs'!$B$21+'Inputs'!$B$9+'Inputs'!$B$10)+'Inputs'!$B$7)^2+('Inputs'!$B$6/2)^2)-(((573-43)*MAX('Inputs'!$B$33,'Inputs'!$B$29+'Inputs'!$B$31+'Inputs'!$B$32,'Inputs'!$B$30+'Inputs'!$B$31+'Inputs'!$B$32)/1000+'Inputs'!$B$21+'Inputs'!$B$9+'Inputs'!$B$10))/SQRT((((573-43)*MAX('Inputs'!$B$33,'Inputs'!$B$29+'Inputs'!$B$31+'Inputs'!$B$32,'Inputs'!$B$30+'Inputs'!$B$31+'Inputs'!$B$32)/1000+'Inputs'!$B$21+'Inputs'!$B$9+'Inputs'!$B$10))^2+('Inputs'!$B$6/2)^2))))*'Results'!$B$8))),"")</x:f>
        <x:v>2.789745503311048</x:v>
      </x:c>
      <x:c r="O573" t="n">
        <x:f>IF(AND(ISNUMBER('Results'!C7),ISNUMBER('Results'!B7),ISNUMBER('Results'!$B$8),ISNUMBER('Inputs'!$B$6),ISNUMBER('Inputs'!$B$7),ISNUMBER('Inputs'!$B$8),ISNUMBER('Inputs'!$B$9),ISNUMBER('Inputs'!$B$10),ISNUMBER('Inputs'!$B$21),ISNUMBER('Inputs'!$B$24),ISNUMBER('Inputs'!$B$28)),((('Results'!C7*(1+'Inputs'!$B$24)*(0.5*((((573-43)*MAX('Inputs'!$B$33,'Inputs'!$B$29+'Inputs'!$B$31+'Inputs'!$B$32,'Inputs'!$B$30+'Inputs'!$B$31+'Inputs'!$B$32)/1000+'Inputs'!$B$21)+'Inputs'!$B$9)/SQRT((((573-43)*MAX('Inputs'!$B$33,'Inputs'!$B$29+'Inputs'!$B$31+'Inputs'!$B$32,'Inputs'!$B$30+'Inputs'!$B$31+'Inputs'!$B$32)/1000+'Inputs'!$B$21)+'Inputs'!$B$9)^2+('Inputs'!$B$8/2)^2)-(((573-43)*MAX('Inputs'!$B$33,'Inputs'!$B$29+'Inputs'!$B$31+'Inputs'!$B$32,'Inputs'!$B$30+'Inputs'!$B$31+'Inputs'!$B$32)/1000+'Inputs'!$B$21))/SQRT((((573-43)*MAX('Inputs'!$B$33,'Inputs'!$B$29+'Inputs'!$B$31+'Inputs'!$B$32,'Inputs'!$B$30+'Inputs'!$B$31+'Inputs'!$B$32)/1000+'Inputs'!$B$21))^2+('Inputs'!$B$8/2)^2)))-'Results'!B7*(1-'Inputs'!$B$24)*(0.5*((((573-43)*MAX('Inputs'!$B$33,'Inputs'!$B$29+'Inputs'!$B$31+'Inputs'!$B$32,'Inputs'!$B$30+'Inputs'!$B$31+'Inputs'!$B$32)/1000+'Inputs'!$B$21+'Inputs'!$B$9+'Inputs'!$B$10)+'Inputs'!$B$7)/SQRT((((573-43)*MAX('Inputs'!$B$33,'Inputs'!$B$29+'Inputs'!$B$31+'Inputs'!$B$32,'Inputs'!$B$30+'Inputs'!$B$31+'Inputs'!$B$32)/1000+'Inputs'!$B$21+'Inputs'!$B$9+'Inputs'!$B$10)+'Inputs'!$B$7)^2+('Inputs'!$B$6/2)^2)-(((573-43)*MAX('Inputs'!$B$33,'Inputs'!$B$29+'Inputs'!$B$31+'Inputs'!$B$32,'Inputs'!$B$30+'Inputs'!$B$31+'Inputs'!$B$32)/1000+'Inputs'!$B$21+'Inputs'!$B$9+'Inputs'!$B$10))/SQRT((((573-43)*MAX('Inputs'!$B$33,'Inputs'!$B$29+'Inputs'!$B$31+'Inputs'!$B$32,'Inputs'!$B$30+'Inputs'!$B$31+'Inputs'!$B$32)/1000+'Inputs'!$B$21+'Inputs'!$B$9+'Inputs'!$B$10))^2+('Inputs'!$B$6/2)^2))))*'Results'!$B$8)+'Inputs'!$B$28*ABS((('Results'!C7*(1+'Inputs'!$B$24)*(0.5*((((573-43)*MAX('Inputs'!$B$33,'Inputs'!$B$29+'Inputs'!$B$31+'Inputs'!$B$32,'Inputs'!$B$30+'Inputs'!$B$31+'Inputs'!$B$32)/1000+'Inputs'!$B$21)+'Inputs'!$B$9)/SQRT((((573-43)*MAX('Inputs'!$B$33,'Inputs'!$B$29+'Inputs'!$B$31+'Inputs'!$B$32,'Inputs'!$B$30+'Inputs'!$B$31+'Inputs'!$B$32)/1000+'Inputs'!$B$21)+'Inputs'!$B$9)^2+('Inputs'!$B$8/2)^2)-(((573-43)*MAX('Inputs'!$B$33,'Inputs'!$B$29+'Inputs'!$B$31+'Inputs'!$B$32,'Inputs'!$B$30+'Inputs'!$B$31+'Inputs'!$B$32)/1000+'Inputs'!$B$21))/SQRT((((573-43)*MAX('Inputs'!$B$33,'Inputs'!$B$29+'Inputs'!$B$31+'Inputs'!$B$32,'Inputs'!$B$30+'Inputs'!$B$31+'Inputs'!$B$32)/1000+'Inputs'!$B$21))^2+('Inputs'!$B$8/2)^2)))-'Results'!B7*(1-'Inputs'!$B$24)*(0.5*((((573-43)*MAX('Inputs'!$B$33,'Inputs'!$B$29+'Inputs'!$B$31+'Inputs'!$B$32,'Inputs'!$B$30+'Inputs'!$B$31+'Inputs'!$B$32)/1000+'Inputs'!$B$21+'Inputs'!$B$9+'Inputs'!$B$10)+'Inputs'!$B$7)/SQRT((((573-43)*MAX('Inputs'!$B$33,'Inputs'!$B$29+'Inputs'!$B$31+'Inputs'!$B$32,'Inputs'!$B$30+'Inputs'!$B$31+'Inputs'!$B$32)/1000+'Inputs'!$B$21+'Inputs'!$B$9+'Inputs'!$B$10)+'Inputs'!$B$7)^2+('Inputs'!$B$6/2)^2)-(((573-43)*MAX('Inputs'!$B$33,'Inputs'!$B$29+'Inputs'!$B$31+'Inputs'!$B$32,'Inputs'!$B$30+'Inputs'!$B$31+'Inputs'!$B$32)/1000+'Inputs'!$B$21+'Inputs'!$B$9+'Inputs'!$B$10))/SQRT((((573-43)*MAX('Inputs'!$B$33,'Inputs'!$B$29+'Inputs'!$B$31+'Inputs'!$B$32,'Inputs'!$B$30+'Inputs'!$B$31+'Inputs'!$B$32)/1000+'Inputs'!$B$21+'Inputs'!$B$9+'Inputs'!$B$10))^2+('Inputs'!$B$6/2)^2))))*'Results'!$B$8))),"")</x:f>
        <x:v>3.590420337678028</x:v>
      </x:c>
      <x:c r="P573" t="n">
        <x:f>IF(AND(MAX(J573,J572)&gt;0,J573&gt;J572+0.00000001),1,0)</x:f>
        <x:v>0</x:v>
      </x:c>
      <x:c r="Q573" t="n">
        <x:f>IF(AND(MAX(K573,K572)&gt;0,K573&gt;K572+0.00000001),1,0)</x:f>
        <x:v>0</x:v>
      </x:c>
      <x:c r="R573" t="n">
        <x:f>IF(AND(MAX(L573,L572)&gt;0,L573&gt;L572+0.00000001),1,0)</x:f>
        <x:v>0</x:v>
      </x:c>
      <x:c r="S573" t="n">
        <x:f>IF(AND(MAX(M573,M572)&gt;0,M573&gt;M572+0.00000001),1,0)</x:f>
        <x:v>0</x:v>
      </x:c>
      <x:c r="T573" t="n">
        <x:f>IF(AND(MAX(N573,N572)&gt;0,N573&gt;N572+0.00000001),1,0)</x:f>
        <x:v>0</x:v>
      </x:c>
      <x:c r="U573" t="n">
        <x:f>IF(AND(MAX(O573,O572)&gt;0,O573&gt;O572+0.00000001),1,0)</x:f>
        <x:v>0</x:v>
      </x:c>
    </x:row>
    <x:row r="574">
      <x:c r="J574" t="n">
        <x:f>IF(AND(ISNUMBER('Results'!B7),ISNUMBER('Results'!C7),ISNUMBER('Results'!$B$8),ISNUMBER('Inputs'!$B$6),ISNUMBER('Inputs'!$B$7),ISNUMBER('Inputs'!$B$8),ISNUMBER('Inputs'!$B$9),ISNUMBER('Inputs'!$B$10),ISNUMBER('Inputs'!$B$21),ISNUMBER('Inputs'!$B$24),ISNUMBER('Inputs'!$B$28)),(('Results'!B7*(0.5*((((574-43)*MAX('Inputs'!$B$33,'Inputs'!$B$29+'Inputs'!$B$31+'Inputs'!$B$32,'Inputs'!$B$30+'Inputs'!$B$31+'Inputs'!$B$32)/1000+'Inputs'!$B$21)+'Inputs'!$B$7)/SQRT((((574-43)*MAX('Inputs'!$B$33,'Inputs'!$B$29+'Inputs'!$B$31+'Inputs'!$B$32,'Inputs'!$B$30+'Inputs'!$B$31+'Inputs'!$B$32)/1000+'Inputs'!$B$21)+'Inputs'!$B$7)^2+('Inputs'!$B$6/2)^2)-(((574-43)*MAX('Inputs'!$B$33,'Inputs'!$B$29+'Inputs'!$B$31+'Inputs'!$B$32,'Inputs'!$B$30+'Inputs'!$B$31+'Inputs'!$B$32)/1000+'Inputs'!$B$21))/SQRT((((574-43)*MAX('Inputs'!$B$33,'Inputs'!$B$29+'Inputs'!$B$31+'Inputs'!$B$32,'Inputs'!$B$30+'Inputs'!$B$31+'Inputs'!$B$32)/1000+'Inputs'!$B$21))^2+('Inputs'!$B$6/2)^2)))-'Results'!C7*(0.5*((((574-43)*MAX('Inputs'!$B$33,'Inputs'!$B$29+'Inputs'!$B$31+'Inputs'!$B$32,'Inputs'!$B$30+'Inputs'!$B$31+'Inputs'!$B$32)/1000+'Inputs'!$B$21+'Inputs'!$B$7+'Inputs'!$B$10)+'Inputs'!$B$9)/SQRT((((574-43)*MAX('Inputs'!$B$33,'Inputs'!$B$29+'Inputs'!$B$31+'Inputs'!$B$32,'Inputs'!$B$30+'Inputs'!$B$31+'Inputs'!$B$32)/1000+'Inputs'!$B$21+'Inputs'!$B$7+'Inputs'!$B$10)+'Inputs'!$B$9)^2+('Inputs'!$B$8/2)^2)-(((574-43)*MAX('Inputs'!$B$33,'Inputs'!$B$29+'Inputs'!$B$31+'Inputs'!$B$32,'Inputs'!$B$30+'Inputs'!$B$31+'Inputs'!$B$32)/1000+'Inputs'!$B$21+'Inputs'!$B$7+'Inputs'!$B$10))/SQRT((((574-43)*MAX('Inputs'!$B$33,'Inputs'!$B$29+'Inputs'!$B$31+'Inputs'!$B$32,'Inputs'!$B$30+'Inputs'!$B$31+'Inputs'!$B$32)/1000+'Inputs'!$B$21+'Inputs'!$B$7+'Inputs'!$B$10))^2+('Inputs'!$B$8/2)^2))))*'Results'!$B$8),"")</x:f>
        <x:v>3.40041747109672</x:v>
      </x:c>
      <x:c r="K574" t="n">
        <x:f>IF(AND(ISNUMBER('Results'!B7),ISNUMBER('Results'!C7),ISNUMBER('Results'!$B$8),ISNUMBER('Inputs'!$B$6),ISNUMBER('Inputs'!$B$7),ISNUMBER('Inputs'!$B$8),ISNUMBER('Inputs'!$B$9),ISNUMBER('Inputs'!$B$10),ISNUMBER('Inputs'!$B$21),ISNUMBER('Inputs'!$B$24),ISNUMBER('Inputs'!$B$28)),((('Results'!B7*(1-'Inputs'!$B$24)*(0.5*((((574-43)*MAX('Inputs'!$B$33,'Inputs'!$B$29+'Inputs'!$B$31+'Inputs'!$B$32,'Inputs'!$B$30+'Inputs'!$B$31+'Inputs'!$B$32)/1000+'Inputs'!$B$21)+'Inputs'!$B$7)/SQRT((((574-43)*MAX('Inputs'!$B$33,'Inputs'!$B$29+'Inputs'!$B$31+'Inputs'!$B$32,'Inputs'!$B$30+'Inputs'!$B$31+'Inputs'!$B$32)/1000+'Inputs'!$B$21)+'Inputs'!$B$7)^2+('Inputs'!$B$6/2)^2)-(((574-43)*MAX('Inputs'!$B$33,'Inputs'!$B$29+'Inputs'!$B$31+'Inputs'!$B$32,'Inputs'!$B$30+'Inputs'!$B$31+'Inputs'!$B$32)/1000+'Inputs'!$B$21))/SQRT((((574-43)*MAX('Inputs'!$B$33,'Inputs'!$B$29+'Inputs'!$B$31+'Inputs'!$B$32,'Inputs'!$B$30+'Inputs'!$B$31+'Inputs'!$B$32)/1000+'Inputs'!$B$21))^2+('Inputs'!$B$6/2)^2)))-'Results'!C7*(1+'Inputs'!$B$24)*(0.5*((((574-43)*MAX('Inputs'!$B$33,'Inputs'!$B$29+'Inputs'!$B$31+'Inputs'!$B$32,'Inputs'!$B$30+'Inputs'!$B$31+'Inputs'!$B$32)/1000+'Inputs'!$B$21+'Inputs'!$B$7+'Inputs'!$B$10)+'Inputs'!$B$9)/SQRT((((574-43)*MAX('Inputs'!$B$33,'Inputs'!$B$29+'Inputs'!$B$31+'Inputs'!$B$32,'Inputs'!$B$30+'Inputs'!$B$31+'Inputs'!$B$32)/1000+'Inputs'!$B$21+'Inputs'!$B$7+'Inputs'!$B$10)+'Inputs'!$B$9)^2+('Inputs'!$B$8/2)^2)-(((574-43)*MAX('Inputs'!$B$33,'Inputs'!$B$29+'Inputs'!$B$31+'Inputs'!$B$32,'Inputs'!$B$30+'Inputs'!$B$31+'Inputs'!$B$32)/1000+'Inputs'!$B$21+'Inputs'!$B$7+'Inputs'!$B$10))/SQRT((((574-43)*MAX('Inputs'!$B$33,'Inputs'!$B$29+'Inputs'!$B$31+'Inputs'!$B$32,'Inputs'!$B$30+'Inputs'!$B$31+'Inputs'!$B$32)/1000+'Inputs'!$B$21+'Inputs'!$B$7+'Inputs'!$B$10))^2+('Inputs'!$B$8/2)^2))))*'Results'!$B$8)-'Inputs'!$B$28*ABS((('Results'!B7*(1-'Inputs'!$B$24)*(0.5*((((574-43)*MAX('Inputs'!$B$33,'Inputs'!$B$29+'Inputs'!$B$31+'Inputs'!$B$32,'Inputs'!$B$30+'Inputs'!$B$31+'Inputs'!$B$32)/1000+'Inputs'!$B$21)+'Inputs'!$B$7)/SQRT((((574-43)*MAX('Inputs'!$B$33,'Inputs'!$B$29+'Inputs'!$B$31+'Inputs'!$B$32,'Inputs'!$B$30+'Inputs'!$B$31+'Inputs'!$B$32)/1000+'Inputs'!$B$21)+'Inputs'!$B$7)^2+('Inputs'!$B$6/2)^2)-(((574-43)*MAX('Inputs'!$B$33,'Inputs'!$B$29+'Inputs'!$B$31+'Inputs'!$B$32,'Inputs'!$B$30+'Inputs'!$B$31+'Inputs'!$B$32)/1000+'Inputs'!$B$21))/SQRT((((574-43)*MAX('Inputs'!$B$33,'Inputs'!$B$29+'Inputs'!$B$31+'Inputs'!$B$32,'Inputs'!$B$30+'Inputs'!$B$31+'Inputs'!$B$32)/1000+'Inputs'!$B$21))^2+('Inputs'!$B$6/2)^2)))-'Results'!C7*(1+'Inputs'!$B$24)*(0.5*((((574-43)*MAX('Inputs'!$B$33,'Inputs'!$B$29+'Inputs'!$B$31+'Inputs'!$B$32,'Inputs'!$B$30+'Inputs'!$B$31+'Inputs'!$B$32)/1000+'Inputs'!$B$21+'Inputs'!$B$7+'Inputs'!$B$10)+'Inputs'!$B$9)/SQRT((((574-43)*MAX('Inputs'!$B$33,'Inputs'!$B$29+'Inputs'!$B$31+'Inputs'!$B$32,'Inputs'!$B$30+'Inputs'!$B$31+'Inputs'!$B$32)/1000+'Inputs'!$B$21+'Inputs'!$B$7+'Inputs'!$B$10)+'Inputs'!$B$9)^2+('Inputs'!$B$8/2)^2)-(((574-43)*MAX('Inputs'!$B$33,'Inputs'!$B$29+'Inputs'!$B$31+'Inputs'!$B$32,'Inputs'!$B$30+'Inputs'!$B$31+'Inputs'!$B$32)/1000+'Inputs'!$B$21+'Inputs'!$B$7+'Inputs'!$B$10))/SQRT((((574-43)*MAX('Inputs'!$B$33,'Inputs'!$B$29+'Inputs'!$B$31+'Inputs'!$B$32,'Inputs'!$B$30+'Inputs'!$B$31+'Inputs'!$B$32)/1000+'Inputs'!$B$21+'Inputs'!$B$7+'Inputs'!$B$10))^2+('Inputs'!$B$8/2)^2))))*'Results'!$B$8))),"")</x:f>
        <x:v>3.0009212595558368</x:v>
      </x:c>
      <x:c r="L574" t="n">
        <x:f>IF(AND(ISNUMBER('Results'!B7),ISNUMBER('Results'!C7),ISNUMBER('Results'!$B$8),ISNUMBER('Inputs'!$B$6),ISNUMBER('Inputs'!$B$7),ISNUMBER('Inputs'!$B$8),ISNUMBER('Inputs'!$B$9),ISNUMBER('Inputs'!$B$10),ISNUMBER('Inputs'!$B$21),ISNUMBER('Inputs'!$B$24),ISNUMBER('Inputs'!$B$28)),((('Results'!B7*(1+'Inputs'!$B$24)*(0.5*((((574-43)*MAX('Inputs'!$B$33,'Inputs'!$B$29+'Inputs'!$B$31+'Inputs'!$B$32,'Inputs'!$B$30+'Inputs'!$B$31+'Inputs'!$B$32)/1000+'Inputs'!$B$21)+'Inputs'!$B$7)/SQRT((((574-43)*MAX('Inputs'!$B$33,'Inputs'!$B$29+'Inputs'!$B$31+'Inputs'!$B$32,'Inputs'!$B$30+'Inputs'!$B$31+'Inputs'!$B$32)/1000+'Inputs'!$B$21)+'Inputs'!$B$7)^2+('Inputs'!$B$6/2)^2)-(((574-43)*MAX('Inputs'!$B$33,'Inputs'!$B$29+'Inputs'!$B$31+'Inputs'!$B$32,'Inputs'!$B$30+'Inputs'!$B$31+'Inputs'!$B$32)/1000+'Inputs'!$B$21))/SQRT((((574-43)*MAX('Inputs'!$B$33,'Inputs'!$B$29+'Inputs'!$B$31+'Inputs'!$B$32,'Inputs'!$B$30+'Inputs'!$B$31+'Inputs'!$B$32)/1000+'Inputs'!$B$21))^2+('Inputs'!$B$6/2)^2)))-'Results'!C7*(1-'Inputs'!$B$24)*(0.5*((((574-43)*MAX('Inputs'!$B$33,'Inputs'!$B$29+'Inputs'!$B$31+'Inputs'!$B$32,'Inputs'!$B$30+'Inputs'!$B$31+'Inputs'!$B$32)/1000+'Inputs'!$B$21+'Inputs'!$B$7+'Inputs'!$B$10)+'Inputs'!$B$9)/SQRT((((574-43)*MAX('Inputs'!$B$33,'Inputs'!$B$29+'Inputs'!$B$31+'Inputs'!$B$32,'Inputs'!$B$30+'Inputs'!$B$31+'Inputs'!$B$32)/1000+'Inputs'!$B$21+'Inputs'!$B$7+'Inputs'!$B$10)+'Inputs'!$B$9)^2+('Inputs'!$B$8/2)^2)-(((574-43)*MAX('Inputs'!$B$33,'Inputs'!$B$29+'Inputs'!$B$31+'Inputs'!$B$32,'Inputs'!$B$30+'Inputs'!$B$31+'Inputs'!$B$32)/1000+'Inputs'!$B$21+'Inputs'!$B$7+'Inputs'!$B$10))/SQRT((((574-43)*MAX('Inputs'!$B$33,'Inputs'!$B$29+'Inputs'!$B$31+'Inputs'!$B$32,'Inputs'!$B$30+'Inputs'!$B$31+'Inputs'!$B$32)/1000+'Inputs'!$B$21+'Inputs'!$B$7+'Inputs'!$B$10))^2+('Inputs'!$B$8/2)^2))))*'Results'!$B$8)+'Inputs'!$B$28*ABS((('Results'!B7*(1+'Inputs'!$B$24)*(0.5*((((574-43)*MAX('Inputs'!$B$33,'Inputs'!$B$29+'Inputs'!$B$31+'Inputs'!$B$32,'Inputs'!$B$30+'Inputs'!$B$31+'Inputs'!$B$32)/1000+'Inputs'!$B$21)+'Inputs'!$B$7)/SQRT((((574-43)*MAX('Inputs'!$B$33,'Inputs'!$B$29+'Inputs'!$B$31+'Inputs'!$B$32,'Inputs'!$B$30+'Inputs'!$B$31+'Inputs'!$B$32)/1000+'Inputs'!$B$21)+'Inputs'!$B$7)^2+('Inputs'!$B$6/2)^2)-(((574-43)*MAX('Inputs'!$B$33,'Inputs'!$B$29+'Inputs'!$B$31+'Inputs'!$B$32,'Inputs'!$B$30+'Inputs'!$B$31+'Inputs'!$B$32)/1000+'Inputs'!$B$21))/SQRT((((574-43)*MAX('Inputs'!$B$33,'Inputs'!$B$29+'Inputs'!$B$31+'Inputs'!$B$32,'Inputs'!$B$30+'Inputs'!$B$31+'Inputs'!$B$32)/1000+'Inputs'!$B$21))^2+('Inputs'!$B$6/2)^2)))-'Results'!C7*(1-'Inputs'!$B$24)*(0.5*((((574-43)*MAX('Inputs'!$B$33,'Inputs'!$B$29+'Inputs'!$B$31+'Inputs'!$B$32,'Inputs'!$B$30+'Inputs'!$B$31+'Inputs'!$B$32)/1000+'Inputs'!$B$21+'Inputs'!$B$7+'Inputs'!$B$10)+'Inputs'!$B$9)/SQRT((((574-43)*MAX('Inputs'!$B$33,'Inputs'!$B$29+'Inputs'!$B$31+'Inputs'!$B$32,'Inputs'!$B$30+'Inputs'!$B$31+'Inputs'!$B$32)/1000+'Inputs'!$B$21+'Inputs'!$B$7+'Inputs'!$B$10)+'Inputs'!$B$9)^2+('Inputs'!$B$8/2)^2)-(((574-43)*MAX('Inputs'!$B$33,'Inputs'!$B$29+'Inputs'!$B$31+'Inputs'!$B$32,'Inputs'!$B$30+'Inputs'!$B$31+'Inputs'!$B$32)/1000+'Inputs'!$B$21+'Inputs'!$B$7+'Inputs'!$B$10))/SQRT((((574-43)*MAX('Inputs'!$B$33,'Inputs'!$B$29+'Inputs'!$B$31+'Inputs'!$B$32,'Inputs'!$B$30+'Inputs'!$B$31+'Inputs'!$B$32)/1000+'Inputs'!$B$21+'Inputs'!$B$7+'Inputs'!$B$10))^2+('Inputs'!$B$8/2)^2))))*'Results'!$B$8))),"")</x:f>
        <x:v>3.824068981372976</x:v>
      </x:c>
      <x:c r="M574" t="n">
        <x:f>IF(AND(ISNUMBER('Results'!C7),ISNUMBER('Results'!B7),ISNUMBER('Results'!$B$8),ISNUMBER('Inputs'!$B$6),ISNUMBER('Inputs'!$B$7),ISNUMBER('Inputs'!$B$8),ISNUMBER('Inputs'!$B$9),ISNUMBER('Inputs'!$B$10),ISNUMBER('Inputs'!$B$21),ISNUMBER('Inputs'!$B$24),ISNUMBER('Inputs'!$B$28)),(('Results'!C7*(0.5*((((574-43)*MAX('Inputs'!$B$33,'Inputs'!$B$29+'Inputs'!$B$31+'Inputs'!$B$32,'Inputs'!$B$30+'Inputs'!$B$31+'Inputs'!$B$32)/1000+'Inputs'!$B$21)+'Inputs'!$B$9)/SQRT((((574-43)*MAX('Inputs'!$B$33,'Inputs'!$B$29+'Inputs'!$B$31+'Inputs'!$B$32,'Inputs'!$B$30+'Inputs'!$B$31+'Inputs'!$B$32)/1000+'Inputs'!$B$21)+'Inputs'!$B$9)^2+('Inputs'!$B$8/2)^2)-(((574-43)*MAX('Inputs'!$B$33,'Inputs'!$B$29+'Inputs'!$B$31+'Inputs'!$B$32,'Inputs'!$B$30+'Inputs'!$B$31+'Inputs'!$B$32)/1000+'Inputs'!$B$21))/SQRT((((574-43)*MAX('Inputs'!$B$33,'Inputs'!$B$29+'Inputs'!$B$31+'Inputs'!$B$32,'Inputs'!$B$30+'Inputs'!$B$31+'Inputs'!$B$32)/1000+'Inputs'!$B$21))^2+('Inputs'!$B$8/2)^2)))-'Results'!B7*(0.5*((((574-43)*MAX('Inputs'!$B$33,'Inputs'!$B$29+'Inputs'!$B$31+'Inputs'!$B$32,'Inputs'!$B$30+'Inputs'!$B$31+'Inputs'!$B$32)/1000+'Inputs'!$B$21+'Inputs'!$B$9+'Inputs'!$B$10)+'Inputs'!$B$7)/SQRT((((574-43)*MAX('Inputs'!$B$33,'Inputs'!$B$29+'Inputs'!$B$31+'Inputs'!$B$32,'Inputs'!$B$30+'Inputs'!$B$31+'Inputs'!$B$32)/1000+'Inputs'!$B$21+'Inputs'!$B$9+'Inputs'!$B$10)+'Inputs'!$B$7)^2+('Inputs'!$B$6/2)^2)-(((574-43)*MAX('Inputs'!$B$33,'Inputs'!$B$29+'Inputs'!$B$31+'Inputs'!$B$32,'Inputs'!$B$30+'Inputs'!$B$31+'Inputs'!$B$32)/1000+'Inputs'!$B$21+'Inputs'!$B$9+'Inputs'!$B$10))/SQRT((((574-43)*MAX('Inputs'!$B$33,'Inputs'!$B$29+'Inputs'!$B$31+'Inputs'!$B$32,'Inputs'!$B$30+'Inputs'!$B$31+'Inputs'!$B$32)/1000+'Inputs'!$B$21+'Inputs'!$B$9+'Inputs'!$B$10))^2+('Inputs'!$B$6/2)^2))))*'Results'!$B$8),"")</x:f>
        <x:v>3.157093620090621</x:v>
      </x:c>
      <x:c r="N574" t="n">
        <x:f>IF(AND(ISNUMBER('Results'!C7),ISNUMBER('Results'!B7),ISNUMBER('Results'!$B$8),ISNUMBER('Inputs'!$B$6),ISNUMBER('Inputs'!$B$7),ISNUMBER('Inputs'!$B$8),ISNUMBER('Inputs'!$B$9),ISNUMBER('Inputs'!$B$10),ISNUMBER('Inputs'!$B$21),ISNUMBER('Inputs'!$B$24),ISNUMBER('Inputs'!$B$28)),((('Results'!C7*(1-'Inputs'!$B$24)*(0.5*((((574-43)*MAX('Inputs'!$B$33,'Inputs'!$B$29+'Inputs'!$B$31+'Inputs'!$B$32,'Inputs'!$B$30+'Inputs'!$B$31+'Inputs'!$B$32)/1000+'Inputs'!$B$21)+'Inputs'!$B$9)/SQRT((((574-43)*MAX('Inputs'!$B$33,'Inputs'!$B$29+'Inputs'!$B$31+'Inputs'!$B$32,'Inputs'!$B$30+'Inputs'!$B$31+'Inputs'!$B$32)/1000+'Inputs'!$B$21)+'Inputs'!$B$9)^2+('Inputs'!$B$8/2)^2)-(((574-43)*MAX('Inputs'!$B$33,'Inputs'!$B$29+'Inputs'!$B$31+'Inputs'!$B$32,'Inputs'!$B$30+'Inputs'!$B$31+'Inputs'!$B$32)/1000+'Inputs'!$B$21))/SQRT((((574-43)*MAX('Inputs'!$B$33,'Inputs'!$B$29+'Inputs'!$B$31+'Inputs'!$B$32,'Inputs'!$B$30+'Inputs'!$B$31+'Inputs'!$B$32)/1000+'Inputs'!$B$21))^2+('Inputs'!$B$8/2)^2)))-'Results'!B7*(1+'Inputs'!$B$24)*(0.5*((((574-43)*MAX('Inputs'!$B$33,'Inputs'!$B$29+'Inputs'!$B$31+'Inputs'!$B$32,'Inputs'!$B$30+'Inputs'!$B$31+'Inputs'!$B$32)/1000+'Inputs'!$B$21+'Inputs'!$B$9+'Inputs'!$B$10)+'Inputs'!$B$7)/SQRT((((574-43)*MAX('Inputs'!$B$33,'Inputs'!$B$29+'Inputs'!$B$31+'Inputs'!$B$32,'Inputs'!$B$30+'Inputs'!$B$31+'Inputs'!$B$32)/1000+'Inputs'!$B$21+'Inputs'!$B$9+'Inputs'!$B$10)+'Inputs'!$B$7)^2+('Inputs'!$B$6/2)^2)-(((574-43)*MAX('Inputs'!$B$33,'Inputs'!$B$29+'Inputs'!$B$31+'Inputs'!$B$32,'Inputs'!$B$30+'Inputs'!$B$31+'Inputs'!$B$32)/1000+'Inputs'!$B$21+'Inputs'!$B$9+'Inputs'!$B$10))/SQRT((((574-43)*MAX('Inputs'!$B$33,'Inputs'!$B$29+'Inputs'!$B$31+'Inputs'!$B$32,'Inputs'!$B$30+'Inputs'!$B$31+'Inputs'!$B$32)/1000+'Inputs'!$B$21+'Inputs'!$B$9+'Inputs'!$B$10))^2+('Inputs'!$B$6/2)^2))))*'Results'!$B$8)-'Inputs'!$B$28*ABS((('Results'!C7*(1-'Inputs'!$B$24)*(0.5*((((574-43)*MAX('Inputs'!$B$33,'Inputs'!$B$29+'Inputs'!$B$31+'Inputs'!$B$32,'Inputs'!$B$30+'Inputs'!$B$31+'Inputs'!$B$32)/1000+'Inputs'!$B$21)+'Inputs'!$B$9)/SQRT((((574-43)*MAX('Inputs'!$B$33,'Inputs'!$B$29+'Inputs'!$B$31+'Inputs'!$B$32,'Inputs'!$B$30+'Inputs'!$B$31+'Inputs'!$B$32)/1000+'Inputs'!$B$21)+'Inputs'!$B$9)^2+('Inputs'!$B$8/2)^2)-(((574-43)*MAX('Inputs'!$B$33,'Inputs'!$B$29+'Inputs'!$B$31+'Inputs'!$B$32,'Inputs'!$B$30+'Inputs'!$B$31+'Inputs'!$B$32)/1000+'Inputs'!$B$21))/SQRT((((574-43)*MAX('Inputs'!$B$33,'Inputs'!$B$29+'Inputs'!$B$31+'Inputs'!$B$32,'Inputs'!$B$30+'Inputs'!$B$31+'Inputs'!$B$32)/1000+'Inputs'!$B$21))^2+('Inputs'!$B$8/2)^2)))-'Results'!B7*(1+'Inputs'!$B$24)*(0.5*((((574-43)*MAX('Inputs'!$B$33,'Inputs'!$B$29+'Inputs'!$B$31+'Inputs'!$B$32,'Inputs'!$B$30+'Inputs'!$B$31+'Inputs'!$B$32)/1000+'Inputs'!$B$21+'Inputs'!$B$9+'Inputs'!$B$10)+'Inputs'!$B$7)/SQRT((((574-43)*MAX('Inputs'!$B$33,'Inputs'!$B$29+'Inputs'!$B$31+'Inputs'!$B$32,'Inputs'!$B$30+'Inputs'!$B$31+'Inputs'!$B$32)/1000+'Inputs'!$B$21+'Inputs'!$B$9+'Inputs'!$B$10)+'Inputs'!$B$7)^2+('Inputs'!$B$6/2)^2)-(((574-43)*MAX('Inputs'!$B$33,'Inputs'!$B$29+'Inputs'!$B$31+'Inputs'!$B$32,'Inputs'!$B$30+'Inputs'!$B$31+'Inputs'!$B$32)/1000+'Inputs'!$B$21+'Inputs'!$B$9+'Inputs'!$B$10))/SQRT((((574-43)*MAX('Inputs'!$B$33,'Inputs'!$B$29+'Inputs'!$B$31+'Inputs'!$B$32,'Inputs'!$B$30+'Inputs'!$B$31+'Inputs'!$B$32)/1000+'Inputs'!$B$21+'Inputs'!$B$9+'Inputs'!$B$10))^2+('Inputs'!$B$6/2)^2))))*'Results'!$B$8))),"")</x:f>
        <x:v>2.771022113329664</x:v>
      </x:c>
      <x:c r="O574" t="n">
        <x:f>IF(AND(ISNUMBER('Results'!C7),ISNUMBER('Results'!B7),ISNUMBER('Results'!$B$8),ISNUMBER('Inputs'!$B$6),ISNUMBER('Inputs'!$B$7),ISNUMBER('Inputs'!$B$8),ISNUMBER('Inputs'!$B$9),ISNUMBER('Inputs'!$B$10),ISNUMBER('Inputs'!$B$21),ISNUMBER('Inputs'!$B$24),ISNUMBER('Inputs'!$B$28)),((('Results'!C7*(1+'Inputs'!$B$24)*(0.5*((((574-43)*MAX('Inputs'!$B$33,'Inputs'!$B$29+'Inputs'!$B$31+'Inputs'!$B$32,'Inputs'!$B$30+'Inputs'!$B$31+'Inputs'!$B$32)/1000+'Inputs'!$B$21)+'Inputs'!$B$9)/SQRT((((574-43)*MAX('Inputs'!$B$33,'Inputs'!$B$29+'Inputs'!$B$31+'Inputs'!$B$32,'Inputs'!$B$30+'Inputs'!$B$31+'Inputs'!$B$32)/1000+'Inputs'!$B$21)+'Inputs'!$B$9)^2+('Inputs'!$B$8/2)^2)-(((574-43)*MAX('Inputs'!$B$33,'Inputs'!$B$29+'Inputs'!$B$31+'Inputs'!$B$32,'Inputs'!$B$30+'Inputs'!$B$31+'Inputs'!$B$32)/1000+'Inputs'!$B$21))/SQRT((((574-43)*MAX('Inputs'!$B$33,'Inputs'!$B$29+'Inputs'!$B$31+'Inputs'!$B$32,'Inputs'!$B$30+'Inputs'!$B$31+'Inputs'!$B$32)/1000+'Inputs'!$B$21))^2+('Inputs'!$B$8/2)^2)))-'Results'!B7*(1-'Inputs'!$B$24)*(0.5*((((574-43)*MAX('Inputs'!$B$33,'Inputs'!$B$29+'Inputs'!$B$31+'Inputs'!$B$32,'Inputs'!$B$30+'Inputs'!$B$31+'Inputs'!$B$32)/1000+'Inputs'!$B$21+'Inputs'!$B$9+'Inputs'!$B$10)+'Inputs'!$B$7)/SQRT((((574-43)*MAX('Inputs'!$B$33,'Inputs'!$B$29+'Inputs'!$B$31+'Inputs'!$B$32,'Inputs'!$B$30+'Inputs'!$B$31+'Inputs'!$B$32)/1000+'Inputs'!$B$21+'Inputs'!$B$9+'Inputs'!$B$10)+'Inputs'!$B$7)^2+('Inputs'!$B$6/2)^2)-(((574-43)*MAX('Inputs'!$B$33,'Inputs'!$B$29+'Inputs'!$B$31+'Inputs'!$B$32,'Inputs'!$B$30+'Inputs'!$B$31+'Inputs'!$B$32)/1000+'Inputs'!$B$21+'Inputs'!$B$9+'Inputs'!$B$10))/SQRT((((574-43)*MAX('Inputs'!$B$33,'Inputs'!$B$29+'Inputs'!$B$31+'Inputs'!$B$32,'Inputs'!$B$30+'Inputs'!$B$31+'Inputs'!$B$32)/1000+'Inputs'!$B$21+'Inputs'!$B$9+'Inputs'!$B$10))^2+('Inputs'!$B$6/2)^2))))*'Results'!$B$8)+'Inputs'!$B$28*ABS((('Results'!C7*(1+'Inputs'!$B$24)*(0.5*((((574-43)*MAX('Inputs'!$B$33,'Inputs'!$B$29+'Inputs'!$B$31+'Inputs'!$B$32,'Inputs'!$B$30+'Inputs'!$B$31+'Inputs'!$B$32)/1000+'Inputs'!$B$21)+'Inputs'!$B$9)/SQRT((((574-43)*MAX('Inputs'!$B$33,'Inputs'!$B$29+'Inputs'!$B$31+'Inputs'!$B$32,'Inputs'!$B$30+'Inputs'!$B$31+'Inputs'!$B$32)/1000+'Inputs'!$B$21)+'Inputs'!$B$9)^2+('Inputs'!$B$8/2)^2)-(((574-43)*MAX('Inputs'!$B$33,'Inputs'!$B$29+'Inputs'!$B$31+'Inputs'!$B$32,'Inputs'!$B$30+'Inputs'!$B$31+'Inputs'!$B$32)/1000+'Inputs'!$B$21))/SQRT((((574-43)*MAX('Inputs'!$B$33,'Inputs'!$B$29+'Inputs'!$B$31+'Inputs'!$B$32,'Inputs'!$B$30+'Inputs'!$B$31+'Inputs'!$B$32)/1000+'Inputs'!$B$21))^2+('Inputs'!$B$8/2)^2)))-'Results'!B7*(1-'Inputs'!$B$24)*(0.5*((((574-43)*MAX('Inputs'!$B$33,'Inputs'!$B$29+'Inputs'!$B$31+'Inputs'!$B$32,'Inputs'!$B$30+'Inputs'!$B$31+'Inputs'!$B$32)/1000+'Inputs'!$B$21+'Inputs'!$B$9+'Inputs'!$B$10)+'Inputs'!$B$7)/SQRT((((574-43)*MAX('Inputs'!$B$33,'Inputs'!$B$29+'Inputs'!$B$31+'Inputs'!$B$32,'Inputs'!$B$30+'Inputs'!$B$31+'Inputs'!$B$32)/1000+'Inputs'!$B$21+'Inputs'!$B$9+'Inputs'!$B$10)+'Inputs'!$B$7)^2+('Inputs'!$B$6/2)^2)-(((574-43)*MAX('Inputs'!$B$33,'Inputs'!$B$29+'Inputs'!$B$31+'Inputs'!$B$32,'Inputs'!$B$30+'Inputs'!$B$31+'Inputs'!$B$32)/1000+'Inputs'!$B$21+'Inputs'!$B$9+'Inputs'!$B$10))/SQRT((((574-43)*MAX('Inputs'!$B$33,'Inputs'!$B$29+'Inputs'!$B$31+'Inputs'!$B$32,'Inputs'!$B$30+'Inputs'!$B$31+'Inputs'!$B$32)/1000+'Inputs'!$B$21+'Inputs'!$B$9+'Inputs'!$B$10))^2+('Inputs'!$B$6/2)^2))))*'Results'!$B$8))),"")</x:f>
        <x:v>3.5671879506154123</x:v>
      </x:c>
      <x:c r="P574" t="n">
        <x:f>IF(AND(MAX(J574,J573)&gt;0,J574&gt;J573+0.00000001),1,0)</x:f>
        <x:v>0</x:v>
      </x:c>
      <x:c r="Q574" t="n">
        <x:f>IF(AND(MAX(K574,K573)&gt;0,K574&gt;K573+0.00000001),1,0)</x:f>
        <x:v>0</x:v>
      </x:c>
      <x:c r="R574" t="n">
        <x:f>IF(AND(MAX(L574,L573)&gt;0,L574&gt;L573+0.00000001),1,0)</x:f>
        <x:v>0</x:v>
      </x:c>
      <x:c r="S574" t="n">
        <x:f>IF(AND(MAX(M574,M573)&gt;0,M574&gt;M573+0.00000001),1,0)</x:f>
        <x:v>0</x:v>
      </x:c>
      <x:c r="T574" t="n">
        <x:f>IF(AND(MAX(N574,N573)&gt;0,N574&gt;N573+0.00000001),1,0)</x:f>
        <x:v>0</x:v>
      </x:c>
      <x:c r="U574" t="n">
        <x:f>IF(AND(MAX(O574,O573)&gt;0,O574&gt;O573+0.00000001),1,0)</x:f>
        <x:v>0</x:v>
      </x:c>
    </x:row>
    <x:row r="575">
      <x:c r="J575" t="n">
        <x:f>IF(AND(ISNUMBER('Results'!B7),ISNUMBER('Results'!C7),ISNUMBER('Results'!$B$8),ISNUMBER('Inputs'!$B$6),ISNUMBER('Inputs'!$B$7),ISNUMBER('Inputs'!$B$8),ISNUMBER('Inputs'!$B$9),ISNUMBER('Inputs'!$B$10),ISNUMBER('Inputs'!$B$21),ISNUMBER('Inputs'!$B$24),ISNUMBER('Inputs'!$B$28)),(('Results'!B7*(0.5*((((575-43)*MAX('Inputs'!$B$33,'Inputs'!$B$29+'Inputs'!$B$31+'Inputs'!$B$32,'Inputs'!$B$30+'Inputs'!$B$31+'Inputs'!$B$32)/1000+'Inputs'!$B$21)+'Inputs'!$B$7)/SQRT((((575-43)*MAX('Inputs'!$B$33,'Inputs'!$B$29+'Inputs'!$B$31+'Inputs'!$B$32,'Inputs'!$B$30+'Inputs'!$B$31+'Inputs'!$B$32)/1000+'Inputs'!$B$21)+'Inputs'!$B$7)^2+('Inputs'!$B$6/2)^2)-(((575-43)*MAX('Inputs'!$B$33,'Inputs'!$B$29+'Inputs'!$B$31+'Inputs'!$B$32,'Inputs'!$B$30+'Inputs'!$B$31+'Inputs'!$B$32)/1000+'Inputs'!$B$21))/SQRT((((575-43)*MAX('Inputs'!$B$33,'Inputs'!$B$29+'Inputs'!$B$31+'Inputs'!$B$32,'Inputs'!$B$30+'Inputs'!$B$31+'Inputs'!$B$32)/1000+'Inputs'!$B$21))^2+('Inputs'!$B$6/2)^2)))-'Results'!C7*(0.5*((((575-43)*MAX('Inputs'!$B$33,'Inputs'!$B$29+'Inputs'!$B$31+'Inputs'!$B$32,'Inputs'!$B$30+'Inputs'!$B$31+'Inputs'!$B$32)/1000+'Inputs'!$B$21+'Inputs'!$B$7+'Inputs'!$B$10)+'Inputs'!$B$9)/SQRT((((575-43)*MAX('Inputs'!$B$33,'Inputs'!$B$29+'Inputs'!$B$31+'Inputs'!$B$32,'Inputs'!$B$30+'Inputs'!$B$31+'Inputs'!$B$32)/1000+'Inputs'!$B$21+'Inputs'!$B$7+'Inputs'!$B$10)+'Inputs'!$B$9)^2+('Inputs'!$B$8/2)^2)-(((575-43)*MAX('Inputs'!$B$33,'Inputs'!$B$29+'Inputs'!$B$31+'Inputs'!$B$32,'Inputs'!$B$30+'Inputs'!$B$31+'Inputs'!$B$32)/1000+'Inputs'!$B$21+'Inputs'!$B$7+'Inputs'!$B$10))/SQRT((((575-43)*MAX('Inputs'!$B$33,'Inputs'!$B$29+'Inputs'!$B$31+'Inputs'!$B$32,'Inputs'!$B$30+'Inputs'!$B$31+'Inputs'!$B$32)/1000+'Inputs'!$B$21+'Inputs'!$B$7+'Inputs'!$B$10))^2+('Inputs'!$B$8/2)^2))))*'Results'!$B$8),"")</x:f>
        <x:v>3.3784539017271427</x:v>
      </x:c>
      <x:c r="K575" t="n">
        <x:f>IF(AND(ISNUMBER('Results'!B7),ISNUMBER('Results'!C7),ISNUMBER('Results'!$B$8),ISNUMBER('Inputs'!$B$6),ISNUMBER('Inputs'!$B$7),ISNUMBER('Inputs'!$B$8),ISNUMBER('Inputs'!$B$9),ISNUMBER('Inputs'!$B$10),ISNUMBER('Inputs'!$B$21),ISNUMBER('Inputs'!$B$24),ISNUMBER('Inputs'!$B$28)),((('Results'!B7*(1-'Inputs'!$B$24)*(0.5*((((575-43)*MAX('Inputs'!$B$33,'Inputs'!$B$29+'Inputs'!$B$31+'Inputs'!$B$32,'Inputs'!$B$30+'Inputs'!$B$31+'Inputs'!$B$32)/1000+'Inputs'!$B$21)+'Inputs'!$B$7)/SQRT((((575-43)*MAX('Inputs'!$B$33,'Inputs'!$B$29+'Inputs'!$B$31+'Inputs'!$B$32,'Inputs'!$B$30+'Inputs'!$B$31+'Inputs'!$B$32)/1000+'Inputs'!$B$21)+'Inputs'!$B$7)^2+('Inputs'!$B$6/2)^2)-(((575-43)*MAX('Inputs'!$B$33,'Inputs'!$B$29+'Inputs'!$B$31+'Inputs'!$B$32,'Inputs'!$B$30+'Inputs'!$B$31+'Inputs'!$B$32)/1000+'Inputs'!$B$21))/SQRT((((575-43)*MAX('Inputs'!$B$33,'Inputs'!$B$29+'Inputs'!$B$31+'Inputs'!$B$32,'Inputs'!$B$30+'Inputs'!$B$31+'Inputs'!$B$32)/1000+'Inputs'!$B$21))^2+('Inputs'!$B$6/2)^2)))-'Results'!C7*(1+'Inputs'!$B$24)*(0.5*((((575-43)*MAX('Inputs'!$B$33,'Inputs'!$B$29+'Inputs'!$B$31+'Inputs'!$B$32,'Inputs'!$B$30+'Inputs'!$B$31+'Inputs'!$B$32)/1000+'Inputs'!$B$21+'Inputs'!$B$7+'Inputs'!$B$10)+'Inputs'!$B$9)/SQRT((((575-43)*MAX('Inputs'!$B$33,'Inputs'!$B$29+'Inputs'!$B$31+'Inputs'!$B$32,'Inputs'!$B$30+'Inputs'!$B$31+'Inputs'!$B$32)/1000+'Inputs'!$B$21+'Inputs'!$B$7+'Inputs'!$B$10)+'Inputs'!$B$9)^2+('Inputs'!$B$8/2)^2)-(((575-43)*MAX('Inputs'!$B$33,'Inputs'!$B$29+'Inputs'!$B$31+'Inputs'!$B$32,'Inputs'!$B$30+'Inputs'!$B$31+'Inputs'!$B$32)/1000+'Inputs'!$B$21+'Inputs'!$B$7+'Inputs'!$B$10))/SQRT((((575-43)*MAX('Inputs'!$B$33,'Inputs'!$B$29+'Inputs'!$B$31+'Inputs'!$B$32,'Inputs'!$B$30+'Inputs'!$B$31+'Inputs'!$B$32)/1000+'Inputs'!$B$21+'Inputs'!$B$7+'Inputs'!$B$10))^2+('Inputs'!$B$8/2)^2))))*'Results'!$B$8)-'Inputs'!$B$28*ABS((('Results'!B7*(1-'Inputs'!$B$24)*(0.5*((((575-43)*MAX('Inputs'!$B$33,'Inputs'!$B$29+'Inputs'!$B$31+'Inputs'!$B$32,'Inputs'!$B$30+'Inputs'!$B$31+'Inputs'!$B$32)/1000+'Inputs'!$B$21)+'Inputs'!$B$7)/SQRT((((575-43)*MAX('Inputs'!$B$33,'Inputs'!$B$29+'Inputs'!$B$31+'Inputs'!$B$32,'Inputs'!$B$30+'Inputs'!$B$31+'Inputs'!$B$32)/1000+'Inputs'!$B$21)+'Inputs'!$B$7)^2+('Inputs'!$B$6/2)^2)-(((575-43)*MAX('Inputs'!$B$33,'Inputs'!$B$29+'Inputs'!$B$31+'Inputs'!$B$32,'Inputs'!$B$30+'Inputs'!$B$31+'Inputs'!$B$32)/1000+'Inputs'!$B$21))/SQRT((((575-43)*MAX('Inputs'!$B$33,'Inputs'!$B$29+'Inputs'!$B$31+'Inputs'!$B$32,'Inputs'!$B$30+'Inputs'!$B$31+'Inputs'!$B$32)/1000+'Inputs'!$B$21))^2+('Inputs'!$B$6/2)^2)))-'Results'!C7*(1+'Inputs'!$B$24)*(0.5*((((575-43)*MAX('Inputs'!$B$33,'Inputs'!$B$29+'Inputs'!$B$31+'Inputs'!$B$32,'Inputs'!$B$30+'Inputs'!$B$31+'Inputs'!$B$32)/1000+'Inputs'!$B$21+'Inputs'!$B$7+'Inputs'!$B$10)+'Inputs'!$B$9)/SQRT((((575-43)*MAX('Inputs'!$B$33,'Inputs'!$B$29+'Inputs'!$B$31+'Inputs'!$B$32,'Inputs'!$B$30+'Inputs'!$B$31+'Inputs'!$B$32)/1000+'Inputs'!$B$21+'Inputs'!$B$7+'Inputs'!$B$10)+'Inputs'!$B$9)^2+('Inputs'!$B$8/2)^2)-(((575-43)*MAX('Inputs'!$B$33,'Inputs'!$B$29+'Inputs'!$B$31+'Inputs'!$B$32,'Inputs'!$B$30+'Inputs'!$B$31+'Inputs'!$B$32)/1000+'Inputs'!$B$21+'Inputs'!$B$7+'Inputs'!$B$10))/SQRT((((575-43)*MAX('Inputs'!$B$33,'Inputs'!$B$29+'Inputs'!$B$31+'Inputs'!$B$32,'Inputs'!$B$30+'Inputs'!$B$31+'Inputs'!$B$32)/1000+'Inputs'!$B$21+'Inputs'!$B$7+'Inputs'!$B$10))^2+('Inputs'!$B$8/2)^2))))*'Results'!$B$8))),"")</x:f>
        <x:v>2.981204586204062</x:v>
      </x:c>
      <x:c r="L575" t="n">
        <x:f>IF(AND(ISNUMBER('Results'!B7),ISNUMBER('Results'!C7),ISNUMBER('Results'!$B$8),ISNUMBER('Inputs'!$B$6),ISNUMBER('Inputs'!$B$7),ISNUMBER('Inputs'!$B$8),ISNUMBER('Inputs'!$B$9),ISNUMBER('Inputs'!$B$10),ISNUMBER('Inputs'!$B$21),ISNUMBER('Inputs'!$B$24),ISNUMBER('Inputs'!$B$28)),((('Results'!B7*(1+'Inputs'!$B$24)*(0.5*((((575-43)*MAX('Inputs'!$B$33,'Inputs'!$B$29+'Inputs'!$B$31+'Inputs'!$B$32,'Inputs'!$B$30+'Inputs'!$B$31+'Inputs'!$B$32)/1000+'Inputs'!$B$21)+'Inputs'!$B$7)/SQRT((((575-43)*MAX('Inputs'!$B$33,'Inputs'!$B$29+'Inputs'!$B$31+'Inputs'!$B$32,'Inputs'!$B$30+'Inputs'!$B$31+'Inputs'!$B$32)/1000+'Inputs'!$B$21)+'Inputs'!$B$7)^2+('Inputs'!$B$6/2)^2)-(((575-43)*MAX('Inputs'!$B$33,'Inputs'!$B$29+'Inputs'!$B$31+'Inputs'!$B$32,'Inputs'!$B$30+'Inputs'!$B$31+'Inputs'!$B$32)/1000+'Inputs'!$B$21))/SQRT((((575-43)*MAX('Inputs'!$B$33,'Inputs'!$B$29+'Inputs'!$B$31+'Inputs'!$B$32,'Inputs'!$B$30+'Inputs'!$B$31+'Inputs'!$B$32)/1000+'Inputs'!$B$21))^2+('Inputs'!$B$6/2)^2)))-'Results'!C7*(1-'Inputs'!$B$24)*(0.5*((((575-43)*MAX('Inputs'!$B$33,'Inputs'!$B$29+'Inputs'!$B$31+'Inputs'!$B$32,'Inputs'!$B$30+'Inputs'!$B$31+'Inputs'!$B$32)/1000+'Inputs'!$B$21+'Inputs'!$B$7+'Inputs'!$B$10)+'Inputs'!$B$9)/SQRT((((575-43)*MAX('Inputs'!$B$33,'Inputs'!$B$29+'Inputs'!$B$31+'Inputs'!$B$32,'Inputs'!$B$30+'Inputs'!$B$31+'Inputs'!$B$32)/1000+'Inputs'!$B$21+'Inputs'!$B$7+'Inputs'!$B$10)+'Inputs'!$B$9)^2+('Inputs'!$B$8/2)^2)-(((575-43)*MAX('Inputs'!$B$33,'Inputs'!$B$29+'Inputs'!$B$31+'Inputs'!$B$32,'Inputs'!$B$30+'Inputs'!$B$31+'Inputs'!$B$32)/1000+'Inputs'!$B$21+'Inputs'!$B$7+'Inputs'!$B$10))/SQRT((((575-43)*MAX('Inputs'!$B$33,'Inputs'!$B$29+'Inputs'!$B$31+'Inputs'!$B$32,'Inputs'!$B$30+'Inputs'!$B$31+'Inputs'!$B$32)/1000+'Inputs'!$B$21+'Inputs'!$B$7+'Inputs'!$B$10))^2+('Inputs'!$B$8/2)^2))))*'Results'!$B$8)+'Inputs'!$B$28*ABS((('Results'!B7*(1+'Inputs'!$B$24)*(0.5*((((575-43)*MAX('Inputs'!$B$33,'Inputs'!$B$29+'Inputs'!$B$31+'Inputs'!$B$32,'Inputs'!$B$30+'Inputs'!$B$31+'Inputs'!$B$32)/1000+'Inputs'!$B$21)+'Inputs'!$B$7)/SQRT((((575-43)*MAX('Inputs'!$B$33,'Inputs'!$B$29+'Inputs'!$B$31+'Inputs'!$B$32,'Inputs'!$B$30+'Inputs'!$B$31+'Inputs'!$B$32)/1000+'Inputs'!$B$21)+'Inputs'!$B$7)^2+('Inputs'!$B$6/2)^2)-(((575-43)*MAX('Inputs'!$B$33,'Inputs'!$B$29+'Inputs'!$B$31+'Inputs'!$B$32,'Inputs'!$B$30+'Inputs'!$B$31+'Inputs'!$B$32)/1000+'Inputs'!$B$21))/SQRT((((575-43)*MAX('Inputs'!$B$33,'Inputs'!$B$29+'Inputs'!$B$31+'Inputs'!$B$32,'Inputs'!$B$30+'Inputs'!$B$31+'Inputs'!$B$32)/1000+'Inputs'!$B$21))^2+('Inputs'!$B$6/2)^2)))-'Results'!C7*(1-'Inputs'!$B$24)*(0.5*((((575-43)*MAX('Inputs'!$B$33,'Inputs'!$B$29+'Inputs'!$B$31+'Inputs'!$B$32,'Inputs'!$B$30+'Inputs'!$B$31+'Inputs'!$B$32)/1000+'Inputs'!$B$21+'Inputs'!$B$7+'Inputs'!$B$10)+'Inputs'!$B$9)/SQRT((((575-43)*MAX('Inputs'!$B$33,'Inputs'!$B$29+'Inputs'!$B$31+'Inputs'!$B$32,'Inputs'!$B$30+'Inputs'!$B$31+'Inputs'!$B$32)/1000+'Inputs'!$B$21+'Inputs'!$B$7+'Inputs'!$B$10)+'Inputs'!$B$9)^2+('Inputs'!$B$8/2)^2)-(((575-43)*MAX('Inputs'!$B$33,'Inputs'!$B$29+'Inputs'!$B$31+'Inputs'!$B$32,'Inputs'!$B$30+'Inputs'!$B$31+'Inputs'!$B$32)/1000+'Inputs'!$B$21+'Inputs'!$B$7+'Inputs'!$B$10))/SQRT((((575-43)*MAX('Inputs'!$B$33,'Inputs'!$B$29+'Inputs'!$B$31+'Inputs'!$B$32,'Inputs'!$B$30+'Inputs'!$B$31+'Inputs'!$B$32)/1000+'Inputs'!$B$21+'Inputs'!$B$7+'Inputs'!$B$10))^2+('Inputs'!$B$8/2)^2))))*'Results'!$B$8))),"")</x:f>
        <x:v>3.7997375983488264</x:v>
      </x:c>
      <x:c r="M575" t="n">
        <x:f>IF(AND(ISNUMBER('Results'!C7),ISNUMBER('Results'!B7),ISNUMBER('Results'!$B$8),ISNUMBER('Inputs'!$B$6),ISNUMBER('Inputs'!$B$7),ISNUMBER('Inputs'!$B$8),ISNUMBER('Inputs'!$B$9),ISNUMBER('Inputs'!$B$10),ISNUMBER('Inputs'!$B$21),ISNUMBER('Inputs'!$B$24),ISNUMBER('Inputs'!$B$28)),(('Results'!C7*(0.5*((((575-43)*MAX('Inputs'!$B$33,'Inputs'!$B$29+'Inputs'!$B$31+'Inputs'!$B$32,'Inputs'!$B$30+'Inputs'!$B$31+'Inputs'!$B$32)/1000+'Inputs'!$B$21)+'Inputs'!$B$9)/SQRT((((575-43)*MAX('Inputs'!$B$33,'Inputs'!$B$29+'Inputs'!$B$31+'Inputs'!$B$32,'Inputs'!$B$30+'Inputs'!$B$31+'Inputs'!$B$32)/1000+'Inputs'!$B$21)+'Inputs'!$B$9)^2+('Inputs'!$B$8/2)^2)-(((575-43)*MAX('Inputs'!$B$33,'Inputs'!$B$29+'Inputs'!$B$31+'Inputs'!$B$32,'Inputs'!$B$30+'Inputs'!$B$31+'Inputs'!$B$32)/1000+'Inputs'!$B$21))/SQRT((((575-43)*MAX('Inputs'!$B$33,'Inputs'!$B$29+'Inputs'!$B$31+'Inputs'!$B$32,'Inputs'!$B$30+'Inputs'!$B$31+'Inputs'!$B$32)/1000+'Inputs'!$B$21))^2+('Inputs'!$B$8/2)^2)))-'Results'!B7*(0.5*((((575-43)*MAX('Inputs'!$B$33,'Inputs'!$B$29+'Inputs'!$B$31+'Inputs'!$B$32,'Inputs'!$B$30+'Inputs'!$B$31+'Inputs'!$B$32)/1000+'Inputs'!$B$21+'Inputs'!$B$9+'Inputs'!$B$10)+'Inputs'!$B$7)/SQRT((((575-43)*MAX('Inputs'!$B$33,'Inputs'!$B$29+'Inputs'!$B$31+'Inputs'!$B$32,'Inputs'!$B$30+'Inputs'!$B$31+'Inputs'!$B$32)/1000+'Inputs'!$B$21+'Inputs'!$B$9+'Inputs'!$B$10)+'Inputs'!$B$7)^2+('Inputs'!$B$6/2)^2)-(((575-43)*MAX('Inputs'!$B$33,'Inputs'!$B$29+'Inputs'!$B$31+'Inputs'!$B$32,'Inputs'!$B$30+'Inputs'!$B$31+'Inputs'!$B$32)/1000+'Inputs'!$B$21+'Inputs'!$B$9+'Inputs'!$B$10))/SQRT((((575-43)*MAX('Inputs'!$B$33,'Inputs'!$B$29+'Inputs'!$B$31+'Inputs'!$B$32,'Inputs'!$B$30+'Inputs'!$B$31+'Inputs'!$B$32)/1000+'Inputs'!$B$21+'Inputs'!$B$9+'Inputs'!$B$10))^2+('Inputs'!$B$6/2)^2))))*'Results'!$B$8),"")</x:f>
        <x:v>3.136347083262022</x:v>
      </x:c>
      <x:c r="N575" t="n">
        <x:f>IF(AND(ISNUMBER('Results'!C7),ISNUMBER('Results'!B7),ISNUMBER('Results'!$B$8),ISNUMBER('Inputs'!$B$6),ISNUMBER('Inputs'!$B$7),ISNUMBER('Inputs'!$B$8),ISNUMBER('Inputs'!$B$9),ISNUMBER('Inputs'!$B$10),ISNUMBER('Inputs'!$B$21),ISNUMBER('Inputs'!$B$24),ISNUMBER('Inputs'!$B$28)),((('Results'!C7*(1-'Inputs'!$B$24)*(0.5*((((575-43)*MAX('Inputs'!$B$33,'Inputs'!$B$29+'Inputs'!$B$31+'Inputs'!$B$32,'Inputs'!$B$30+'Inputs'!$B$31+'Inputs'!$B$32)/1000+'Inputs'!$B$21)+'Inputs'!$B$9)/SQRT((((575-43)*MAX('Inputs'!$B$33,'Inputs'!$B$29+'Inputs'!$B$31+'Inputs'!$B$32,'Inputs'!$B$30+'Inputs'!$B$31+'Inputs'!$B$32)/1000+'Inputs'!$B$21)+'Inputs'!$B$9)^2+('Inputs'!$B$8/2)^2)-(((575-43)*MAX('Inputs'!$B$33,'Inputs'!$B$29+'Inputs'!$B$31+'Inputs'!$B$32,'Inputs'!$B$30+'Inputs'!$B$31+'Inputs'!$B$32)/1000+'Inputs'!$B$21))/SQRT((((575-43)*MAX('Inputs'!$B$33,'Inputs'!$B$29+'Inputs'!$B$31+'Inputs'!$B$32,'Inputs'!$B$30+'Inputs'!$B$31+'Inputs'!$B$32)/1000+'Inputs'!$B$21))^2+('Inputs'!$B$8/2)^2)))-'Results'!B7*(1+'Inputs'!$B$24)*(0.5*((((575-43)*MAX('Inputs'!$B$33,'Inputs'!$B$29+'Inputs'!$B$31+'Inputs'!$B$32,'Inputs'!$B$30+'Inputs'!$B$31+'Inputs'!$B$32)/1000+'Inputs'!$B$21+'Inputs'!$B$9+'Inputs'!$B$10)+'Inputs'!$B$7)/SQRT((((575-43)*MAX('Inputs'!$B$33,'Inputs'!$B$29+'Inputs'!$B$31+'Inputs'!$B$32,'Inputs'!$B$30+'Inputs'!$B$31+'Inputs'!$B$32)/1000+'Inputs'!$B$21+'Inputs'!$B$9+'Inputs'!$B$10)+'Inputs'!$B$7)^2+('Inputs'!$B$6/2)^2)-(((575-43)*MAX('Inputs'!$B$33,'Inputs'!$B$29+'Inputs'!$B$31+'Inputs'!$B$32,'Inputs'!$B$30+'Inputs'!$B$31+'Inputs'!$B$32)/1000+'Inputs'!$B$21+'Inputs'!$B$9+'Inputs'!$B$10))/SQRT((((575-43)*MAX('Inputs'!$B$33,'Inputs'!$B$29+'Inputs'!$B$31+'Inputs'!$B$32,'Inputs'!$B$30+'Inputs'!$B$31+'Inputs'!$B$32)/1000+'Inputs'!$B$21+'Inputs'!$B$9+'Inputs'!$B$10))^2+('Inputs'!$B$6/2)^2))))*'Results'!$B$8)-'Inputs'!$B$28*ABS((('Results'!C7*(1-'Inputs'!$B$24)*(0.5*((((575-43)*MAX('Inputs'!$B$33,'Inputs'!$B$29+'Inputs'!$B$31+'Inputs'!$B$32,'Inputs'!$B$30+'Inputs'!$B$31+'Inputs'!$B$32)/1000+'Inputs'!$B$21)+'Inputs'!$B$9)/SQRT((((575-43)*MAX('Inputs'!$B$33,'Inputs'!$B$29+'Inputs'!$B$31+'Inputs'!$B$32,'Inputs'!$B$30+'Inputs'!$B$31+'Inputs'!$B$32)/1000+'Inputs'!$B$21)+'Inputs'!$B$9)^2+('Inputs'!$B$8/2)^2)-(((575-43)*MAX('Inputs'!$B$33,'Inputs'!$B$29+'Inputs'!$B$31+'Inputs'!$B$32,'Inputs'!$B$30+'Inputs'!$B$31+'Inputs'!$B$32)/1000+'Inputs'!$B$21))/SQRT((((575-43)*MAX('Inputs'!$B$33,'Inputs'!$B$29+'Inputs'!$B$31+'Inputs'!$B$32,'Inputs'!$B$30+'Inputs'!$B$31+'Inputs'!$B$32)/1000+'Inputs'!$B$21))^2+('Inputs'!$B$8/2)^2)))-'Results'!B7*(1+'Inputs'!$B$24)*(0.5*((((575-43)*MAX('Inputs'!$B$33,'Inputs'!$B$29+'Inputs'!$B$31+'Inputs'!$B$32,'Inputs'!$B$30+'Inputs'!$B$31+'Inputs'!$B$32)/1000+'Inputs'!$B$21+'Inputs'!$B$9+'Inputs'!$B$10)+'Inputs'!$B$7)/SQRT((((575-43)*MAX('Inputs'!$B$33,'Inputs'!$B$29+'Inputs'!$B$31+'Inputs'!$B$32,'Inputs'!$B$30+'Inputs'!$B$31+'Inputs'!$B$32)/1000+'Inputs'!$B$21+'Inputs'!$B$9+'Inputs'!$B$10)+'Inputs'!$B$7)^2+('Inputs'!$B$6/2)^2)-(((575-43)*MAX('Inputs'!$B$33,'Inputs'!$B$29+'Inputs'!$B$31+'Inputs'!$B$32,'Inputs'!$B$30+'Inputs'!$B$31+'Inputs'!$B$32)/1000+'Inputs'!$B$21+'Inputs'!$B$9+'Inputs'!$B$10))/SQRT((((575-43)*MAX('Inputs'!$B$33,'Inputs'!$B$29+'Inputs'!$B$31+'Inputs'!$B$32,'Inputs'!$B$30+'Inputs'!$B$31+'Inputs'!$B$32)/1000+'Inputs'!$B$21+'Inputs'!$B$9+'Inputs'!$B$10))^2+('Inputs'!$B$6/2)^2))))*'Results'!$B$8))),"")</x:f>
        <x:v>2.7524534240027507</x:v>
      </x:c>
      <x:c r="O575" t="n">
        <x:f>IF(AND(ISNUMBER('Results'!C7),ISNUMBER('Results'!B7),ISNUMBER('Results'!$B$8),ISNUMBER('Inputs'!$B$6),ISNUMBER('Inputs'!$B$7),ISNUMBER('Inputs'!$B$8),ISNUMBER('Inputs'!$B$9),ISNUMBER('Inputs'!$B$10),ISNUMBER('Inputs'!$B$21),ISNUMBER('Inputs'!$B$24),ISNUMBER('Inputs'!$B$28)),((('Results'!C7*(1+'Inputs'!$B$24)*(0.5*((((575-43)*MAX('Inputs'!$B$33,'Inputs'!$B$29+'Inputs'!$B$31+'Inputs'!$B$32,'Inputs'!$B$30+'Inputs'!$B$31+'Inputs'!$B$32)/1000+'Inputs'!$B$21)+'Inputs'!$B$9)/SQRT((((575-43)*MAX('Inputs'!$B$33,'Inputs'!$B$29+'Inputs'!$B$31+'Inputs'!$B$32,'Inputs'!$B$30+'Inputs'!$B$31+'Inputs'!$B$32)/1000+'Inputs'!$B$21)+'Inputs'!$B$9)^2+('Inputs'!$B$8/2)^2)-(((575-43)*MAX('Inputs'!$B$33,'Inputs'!$B$29+'Inputs'!$B$31+'Inputs'!$B$32,'Inputs'!$B$30+'Inputs'!$B$31+'Inputs'!$B$32)/1000+'Inputs'!$B$21))/SQRT((((575-43)*MAX('Inputs'!$B$33,'Inputs'!$B$29+'Inputs'!$B$31+'Inputs'!$B$32,'Inputs'!$B$30+'Inputs'!$B$31+'Inputs'!$B$32)/1000+'Inputs'!$B$21))^2+('Inputs'!$B$8/2)^2)))-'Results'!B7*(1-'Inputs'!$B$24)*(0.5*((((575-43)*MAX('Inputs'!$B$33,'Inputs'!$B$29+'Inputs'!$B$31+'Inputs'!$B$32,'Inputs'!$B$30+'Inputs'!$B$31+'Inputs'!$B$32)/1000+'Inputs'!$B$21+'Inputs'!$B$9+'Inputs'!$B$10)+'Inputs'!$B$7)/SQRT((((575-43)*MAX('Inputs'!$B$33,'Inputs'!$B$29+'Inputs'!$B$31+'Inputs'!$B$32,'Inputs'!$B$30+'Inputs'!$B$31+'Inputs'!$B$32)/1000+'Inputs'!$B$21+'Inputs'!$B$9+'Inputs'!$B$10)+'Inputs'!$B$7)^2+('Inputs'!$B$6/2)^2)-(((575-43)*MAX('Inputs'!$B$33,'Inputs'!$B$29+'Inputs'!$B$31+'Inputs'!$B$32,'Inputs'!$B$30+'Inputs'!$B$31+'Inputs'!$B$32)/1000+'Inputs'!$B$21+'Inputs'!$B$9+'Inputs'!$B$10))/SQRT((((575-43)*MAX('Inputs'!$B$33,'Inputs'!$B$29+'Inputs'!$B$31+'Inputs'!$B$32,'Inputs'!$B$30+'Inputs'!$B$31+'Inputs'!$B$32)/1000+'Inputs'!$B$21+'Inputs'!$B$9+'Inputs'!$B$10))^2+('Inputs'!$B$6/2)^2))))*'Results'!$B$8)+'Inputs'!$B$28*ABS((('Results'!C7*(1+'Inputs'!$B$24)*(0.5*((((575-43)*MAX('Inputs'!$B$33,'Inputs'!$B$29+'Inputs'!$B$31+'Inputs'!$B$32,'Inputs'!$B$30+'Inputs'!$B$31+'Inputs'!$B$32)/1000+'Inputs'!$B$21)+'Inputs'!$B$9)/SQRT((((575-43)*MAX('Inputs'!$B$33,'Inputs'!$B$29+'Inputs'!$B$31+'Inputs'!$B$32,'Inputs'!$B$30+'Inputs'!$B$31+'Inputs'!$B$32)/1000+'Inputs'!$B$21)+'Inputs'!$B$9)^2+('Inputs'!$B$8/2)^2)-(((575-43)*MAX('Inputs'!$B$33,'Inputs'!$B$29+'Inputs'!$B$31+'Inputs'!$B$32,'Inputs'!$B$30+'Inputs'!$B$31+'Inputs'!$B$32)/1000+'Inputs'!$B$21))/SQRT((((575-43)*MAX('Inputs'!$B$33,'Inputs'!$B$29+'Inputs'!$B$31+'Inputs'!$B$32,'Inputs'!$B$30+'Inputs'!$B$31+'Inputs'!$B$32)/1000+'Inputs'!$B$21))^2+('Inputs'!$B$8/2)^2)))-'Results'!B7*(1-'Inputs'!$B$24)*(0.5*((((575-43)*MAX('Inputs'!$B$33,'Inputs'!$B$29+'Inputs'!$B$31+'Inputs'!$B$32,'Inputs'!$B$30+'Inputs'!$B$31+'Inputs'!$B$32)/1000+'Inputs'!$B$21+'Inputs'!$B$9+'Inputs'!$B$10)+'Inputs'!$B$7)/SQRT((((575-43)*MAX('Inputs'!$B$33,'Inputs'!$B$29+'Inputs'!$B$31+'Inputs'!$B$32,'Inputs'!$B$30+'Inputs'!$B$31+'Inputs'!$B$32)/1000+'Inputs'!$B$21+'Inputs'!$B$9+'Inputs'!$B$10)+'Inputs'!$B$7)^2+('Inputs'!$B$6/2)^2)-(((575-43)*MAX('Inputs'!$B$33,'Inputs'!$B$29+'Inputs'!$B$31+'Inputs'!$B$32,'Inputs'!$B$30+'Inputs'!$B$31+'Inputs'!$B$32)/1000+'Inputs'!$B$21+'Inputs'!$B$9+'Inputs'!$B$10))/SQRT((((575-43)*MAX('Inputs'!$B$33,'Inputs'!$B$29+'Inputs'!$B$31+'Inputs'!$B$32,'Inputs'!$B$30+'Inputs'!$B$31+'Inputs'!$B$32)/1000+'Inputs'!$B$21+'Inputs'!$B$9+'Inputs'!$B$10))^2+('Inputs'!$B$6/2)^2))))*'Results'!$B$8))),"")</x:f>
        <x:v>3.5441435114787856</x:v>
      </x:c>
      <x:c r="P575" t="n">
        <x:f>IF(AND(MAX(J575,J574)&gt;0,J575&gt;J574+0.00000001),1,0)</x:f>
        <x:v>0</x:v>
      </x:c>
      <x:c r="Q575" t="n">
        <x:f>IF(AND(MAX(K575,K574)&gt;0,K575&gt;K574+0.00000001),1,0)</x:f>
        <x:v>0</x:v>
      </x:c>
      <x:c r="R575" t="n">
        <x:f>IF(AND(MAX(L575,L574)&gt;0,L575&gt;L574+0.00000001),1,0)</x:f>
        <x:v>0</x:v>
      </x:c>
      <x:c r="S575" t="n">
        <x:f>IF(AND(MAX(M575,M574)&gt;0,M575&gt;M574+0.00000001),1,0)</x:f>
        <x:v>0</x:v>
      </x:c>
      <x:c r="T575" t="n">
        <x:f>IF(AND(MAX(N575,N574)&gt;0,N575&gt;N574+0.00000001),1,0)</x:f>
        <x:v>0</x:v>
      </x:c>
      <x:c r="U575" t="n">
        <x:f>IF(AND(MAX(O575,O574)&gt;0,O575&gt;O574+0.00000001),1,0)</x:f>
        <x:v>0</x:v>
      </x:c>
    </x:row>
    <x:row r="576">
      <x:c r="J576" t="n">
        <x:f>IF(AND(ISNUMBER('Results'!B7),ISNUMBER('Results'!C7),ISNUMBER('Results'!$B$8),ISNUMBER('Inputs'!$B$6),ISNUMBER('Inputs'!$B$7),ISNUMBER('Inputs'!$B$8),ISNUMBER('Inputs'!$B$9),ISNUMBER('Inputs'!$B$10),ISNUMBER('Inputs'!$B$21),ISNUMBER('Inputs'!$B$24),ISNUMBER('Inputs'!$B$28)),(('Results'!B7*(0.5*((((576-43)*MAX('Inputs'!$B$33,'Inputs'!$B$29+'Inputs'!$B$31+'Inputs'!$B$32,'Inputs'!$B$30+'Inputs'!$B$31+'Inputs'!$B$32)/1000+'Inputs'!$B$21)+'Inputs'!$B$7)/SQRT((((576-43)*MAX('Inputs'!$B$33,'Inputs'!$B$29+'Inputs'!$B$31+'Inputs'!$B$32,'Inputs'!$B$30+'Inputs'!$B$31+'Inputs'!$B$32)/1000+'Inputs'!$B$21)+'Inputs'!$B$7)^2+('Inputs'!$B$6/2)^2)-(((576-43)*MAX('Inputs'!$B$33,'Inputs'!$B$29+'Inputs'!$B$31+'Inputs'!$B$32,'Inputs'!$B$30+'Inputs'!$B$31+'Inputs'!$B$32)/1000+'Inputs'!$B$21))/SQRT((((576-43)*MAX('Inputs'!$B$33,'Inputs'!$B$29+'Inputs'!$B$31+'Inputs'!$B$32,'Inputs'!$B$30+'Inputs'!$B$31+'Inputs'!$B$32)/1000+'Inputs'!$B$21))^2+('Inputs'!$B$6/2)^2)))-'Results'!C7*(0.5*((((576-43)*MAX('Inputs'!$B$33,'Inputs'!$B$29+'Inputs'!$B$31+'Inputs'!$B$32,'Inputs'!$B$30+'Inputs'!$B$31+'Inputs'!$B$32)/1000+'Inputs'!$B$21+'Inputs'!$B$7+'Inputs'!$B$10)+'Inputs'!$B$9)/SQRT((((576-43)*MAX('Inputs'!$B$33,'Inputs'!$B$29+'Inputs'!$B$31+'Inputs'!$B$32,'Inputs'!$B$30+'Inputs'!$B$31+'Inputs'!$B$32)/1000+'Inputs'!$B$21+'Inputs'!$B$7+'Inputs'!$B$10)+'Inputs'!$B$9)^2+('Inputs'!$B$8/2)^2)-(((576-43)*MAX('Inputs'!$B$33,'Inputs'!$B$29+'Inputs'!$B$31+'Inputs'!$B$32,'Inputs'!$B$30+'Inputs'!$B$31+'Inputs'!$B$32)/1000+'Inputs'!$B$21+'Inputs'!$B$7+'Inputs'!$B$10))/SQRT((((576-43)*MAX('Inputs'!$B$33,'Inputs'!$B$29+'Inputs'!$B$31+'Inputs'!$B$32,'Inputs'!$B$30+'Inputs'!$B$31+'Inputs'!$B$32)/1000+'Inputs'!$B$21+'Inputs'!$B$7+'Inputs'!$B$10))^2+('Inputs'!$B$8/2)^2))))*'Results'!$B$8),"")</x:f>
        <x:v>3.356667711840361</x:v>
      </x:c>
      <x:c r="K576" t="n">
        <x:f>IF(AND(ISNUMBER('Results'!B7),ISNUMBER('Results'!C7),ISNUMBER('Results'!$B$8),ISNUMBER('Inputs'!$B$6),ISNUMBER('Inputs'!$B$7),ISNUMBER('Inputs'!$B$8),ISNUMBER('Inputs'!$B$9),ISNUMBER('Inputs'!$B$10),ISNUMBER('Inputs'!$B$21),ISNUMBER('Inputs'!$B$24),ISNUMBER('Inputs'!$B$28)),((('Results'!B7*(1-'Inputs'!$B$24)*(0.5*((((576-43)*MAX('Inputs'!$B$33,'Inputs'!$B$29+'Inputs'!$B$31+'Inputs'!$B$32,'Inputs'!$B$30+'Inputs'!$B$31+'Inputs'!$B$32)/1000+'Inputs'!$B$21)+'Inputs'!$B$7)/SQRT((((576-43)*MAX('Inputs'!$B$33,'Inputs'!$B$29+'Inputs'!$B$31+'Inputs'!$B$32,'Inputs'!$B$30+'Inputs'!$B$31+'Inputs'!$B$32)/1000+'Inputs'!$B$21)+'Inputs'!$B$7)^2+('Inputs'!$B$6/2)^2)-(((576-43)*MAX('Inputs'!$B$33,'Inputs'!$B$29+'Inputs'!$B$31+'Inputs'!$B$32,'Inputs'!$B$30+'Inputs'!$B$31+'Inputs'!$B$32)/1000+'Inputs'!$B$21))/SQRT((((576-43)*MAX('Inputs'!$B$33,'Inputs'!$B$29+'Inputs'!$B$31+'Inputs'!$B$32,'Inputs'!$B$30+'Inputs'!$B$31+'Inputs'!$B$32)/1000+'Inputs'!$B$21))^2+('Inputs'!$B$6/2)^2)))-'Results'!C7*(1+'Inputs'!$B$24)*(0.5*((((576-43)*MAX('Inputs'!$B$33,'Inputs'!$B$29+'Inputs'!$B$31+'Inputs'!$B$32,'Inputs'!$B$30+'Inputs'!$B$31+'Inputs'!$B$32)/1000+'Inputs'!$B$21+'Inputs'!$B$7+'Inputs'!$B$10)+'Inputs'!$B$9)/SQRT((((576-43)*MAX('Inputs'!$B$33,'Inputs'!$B$29+'Inputs'!$B$31+'Inputs'!$B$32,'Inputs'!$B$30+'Inputs'!$B$31+'Inputs'!$B$32)/1000+'Inputs'!$B$21+'Inputs'!$B$7+'Inputs'!$B$10)+'Inputs'!$B$9)^2+('Inputs'!$B$8/2)^2)-(((576-43)*MAX('Inputs'!$B$33,'Inputs'!$B$29+'Inputs'!$B$31+'Inputs'!$B$32,'Inputs'!$B$30+'Inputs'!$B$31+'Inputs'!$B$32)/1000+'Inputs'!$B$21+'Inputs'!$B$7+'Inputs'!$B$10))/SQRT((((576-43)*MAX('Inputs'!$B$33,'Inputs'!$B$29+'Inputs'!$B$31+'Inputs'!$B$32,'Inputs'!$B$30+'Inputs'!$B$31+'Inputs'!$B$32)/1000+'Inputs'!$B$21+'Inputs'!$B$7+'Inputs'!$B$10))^2+('Inputs'!$B$8/2)^2))))*'Results'!$B$8)-'Inputs'!$B$28*ABS((('Results'!B7*(1-'Inputs'!$B$24)*(0.5*((((576-43)*MAX('Inputs'!$B$33,'Inputs'!$B$29+'Inputs'!$B$31+'Inputs'!$B$32,'Inputs'!$B$30+'Inputs'!$B$31+'Inputs'!$B$32)/1000+'Inputs'!$B$21)+'Inputs'!$B$7)/SQRT((((576-43)*MAX('Inputs'!$B$33,'Inputs'!$B$29+'Inputs'!$B$31+'Inputs'!$B$32,'Inputs'!$B$30+'Inputs'!$B$31+'Inputs'!$B$32)/1000+'Inputs'!$B$21)+'Inputs'!$B$7)^2+('Inputs'!$B$6/2)^2)-(((576-43)*MAX('Inputs'!$B$33,'Inputs'!$B$29+'Inputs'!$B$31+'Inputs'!$B$32,'Inputs'!$B$30+'Inputs'!$B$31+'Inputs'!$B$32)/1000+'Inputs'!$B$21))/SQRT((((576-43)*MAX('Inputs'!$B$33,'Inputs'!$B$29+'Inputs'!$B$31+'Inputs'!$B$32,'Inputs'!$B$30+'Inputs'!$B$31+'Inputs'!$B$32)/1000+'Inputs'!$B$21))^2+('Inputs'!$B$6/2)^2)))-'Results'!C7*(1+'Inputs'!$B$24)*(0.5*((((576-43)*MAX('Inputs'!$B$33,'Inputs'!$B$29+'Inputs'!$B$31+'Inputs'!$B$32,'Inputs'!$B$30+'Inputs'!$B$31+'Inputs'!$B$32)/1000+'Inputs'!$B$21+'Inputs'!$B$7+'Inputs'!$B$10)+'Inputs'!$B$9)/SQRT((((576-43)*MAX('Inputs'!$B$33,'Inputs'!$B$29+'Inputs'!$B$31+'Inputs'!$B$32,'Inputs'!$B$30+'Inputs'!$B$31+'Inputs'!$B$32)/1000+'Inputs'!$B$21+'Inputs'!$B$7+'Inputs'!$B$10)+'Inputs'!$B$9)^2+('Inputs'!$B$8/2)^2)-(((576-43)*MAX('Inputs'!$B$33,'Inputs'!$B$29+'Inputs'!$B$31+'Inputs'!$B$32,'Inputs'!$B$30+'Inputs'!$B$31+'Inputs'!$B$32)/1000+'Inputs'!$B$21+'Inputs'!$B$7+'Inputs'!$B$10))/SQRT((((576-43)*MAX('Inputs'!$B$33,'Inputs'!$B$29+'Inputs'!$B$31+'Inputs'!$B$32,'Inputs'!$B$30+'Inputs'!$B$31+'Inputs'!$B$32)/1000+'Inputs'!$B$21+'Inputs'!$B$7+'Inputs'!$B$10))^2+('Inputs'!$B$8/2)^2))))*'Results'!$B$8))),"")</x:f>
        <x:v>2.9616487472435598</x:v>
      </x:c>
      <x:c r="L576" t="n">
        <x:f>IF(AND(ISNUMBER('Results'!B7),ISNUMBER('Results'!C7),ISNUMBER('Results'!$B$8),ISNUMBER('Inputs'!$B$6),ISNUMBER('Inputs'!$B$7),ISNUMBER('Inputs'!$B$8),ISNUMBER('Inputs'!$B$9),ISNUMBER('Inputs'!$B$10),ISNUMBER('Inputs'!$B$21),ISNUMBER('Inputs'!$B$24),ISNUMBER('Inputs'!$B$28)),((('Results'!B7*(1+'Inputs'!$B$24)*(0.5*((((576-43)*MAX('Inputs'!$B$33,'Inputs'!$B$29+'Inputs'!$B$31+'Inputs'!$B$32,'Inputs'!$B$30+'Inputs'!$B$31+'Inputs'!$B$32)/1000+'Inputs'!$B$21)+'Inputs'!$B$7)/SQRT((((576-43)*MAX('Inputs'!$B$33,'Inputs'!$B$29+'Inputs'!$B$31+'Inputs'!$B$32,'Inputs'!$B$30+'Inputs'!$B$31+'Inputs'!$B$32)/1000+'Inputs'!$B$21)+'Inputs'!$B$7)^2+('Inputs'!$B$6/2)^2)-(((576-43)*MAX('Inputs'!$B$33,'Inputs'!$B$29+'Inputs'!$B$31+'Inputs'!$B$32,'Inputs'!$B$30+'Inputs'!$B$31+'Inputs'!$B$32)/1000+'Inputs'!$B$21))/SQRT((((576-43)*MAX('Inputs'!$B$33,'Inputs'!$B$29+'Inputs'!$B$31+'Inputs'!$B$32,'Inputs'!$B$30+'Inputs'!$B$31+'Inputs'!$B$32)/1000+'Inputs'!$B$21))^2+('Inputs'!$B$6/2)^2)))-'Results'!C7*(1-'Inputs'!$B$24)*(0.5*((((576-43)*MAX('Inputs'!$B$33,'Inputs'!$B$29+'Inputs'!$B$31+'Inputs'!$B$32,'Inputs'!$B$30+'Inputs'!$B$31+'Inputs'!$B$32)/1000+'Inputs'!$B$21+'Inputs'!$B$7+'Inputs'!$B$10)+'Inputs'!$B$9)/SQRT((((576-43)*MAX('Inputs'!$B$33,'Inputs'!$B$29+'Inputs'!$B$31+'Inputs'!$B$32,'Inputs'!$B$30+'Inputs'!$B$31+'Inputs'!$B$32)/1000+'Inputs'!$B$21+'Inputs'!$B$7+'Inputs'!$B$10)+'Inputs'!$B$9)^2+('Inputs'!$B$8/2)^2)-(((576-43)*MAX('Inputs'!$B$33,'Inputs'!$B$29+'Inputs'!$B$31+'Inputs'!$B$32,'Inputs'!$B$30+'Inputs'!$B$31+'Inputs'!$B$32)/1000+'Inputs'!$B$21+'Inputs'!$B$7+'Inputs'!$B$10))/SQRT((((576-43)*MAX('Inputs'!$B$33,'Inputs'!$B$29+'Inputs'!$B$31+'Inputs'!$B$32,'Inputs'!$B$30+'Inputs'!$B$31+'Inputs'!$B$32)/1000+'Inputs'!$B$21+'Inputs'!$B$7+'Inputs'!$B$10))^2+('Inputs'!$B$8/2)^2))))*'Results'!$B$8)+'Inputs'!$B$28*ABS((('Results'!B7*(1+'Inputs'!$B$24)*(0.5*((((576-43)*MAX('Inputs'!$B$33,'Inputs'!$B$29+'Inputs'!$B$31+'Inputs'!$B$32,'Inputs'!$B$30+'Inputs'!$B$31+'Inputs'!$B$32)/1000+'Inputs'!$B$21)+'Inputs'!$B$7)/SQRT((((576-43)*MAX('Inputs'!$B$33,'Inputs'!$B$29+'Inputs'!$B$31+'Inputs'!$B$32,'Inputs'!$B$30+'Inputs'!$B$31+'Inputs'!$B$32)/1000+'Inputs'!$B$21)+'Inputs'!$B$7)^2+('Inputs'!$B$6/2)^2)-(((576-43)*MAX('Inputs'!$B$33,'Inputs'!$B$29+'Inputs'!$B$31+'Inputs'!$B$32,'Inputs'!$B$30+'Inputs'!$B$31+'Inputs'!$B$32)/1000+'Inputs'!$B$21))/SQRT((((576-43)*MAX('Inputs'!$B$33,'Inputs'!$B$29+'Inputs'!$B$31+'Inputs'!$B$32,'Inputs'!$B$30+'Inputs'!$B$31+'Inputs'!$B$32)/1000+'Inputs'!$B$21))^2+('Inputs'!$B$6/2)^2)))-'Results'!C7*(1-'Inputs'!$B$24)*(0.5*((((576-43)*MAX('Inputs'!$B$33,'Inputs'!$B$29+'Inputs'!$B$31+'Inputs'!$B$32,'Inputs'!$B$30+'Inputs'!$B$31+'Inputs'!$B$32)/1000+'Inputs'!$B$21+'Inputs'!$B$7+'Inputs'!$B$10)+'Inputs'!$B$9)/SQRT((((576-43)*MAX('Inputs'!$B$33,'Inputs'!$B$29+'Inputs'!$B$31+'Inputs'!$B$32,'Inputs'!$B$30+'Inputs'!$B$31+'Inputs'!$B$32)/1000+'Inputs'!$B$21+'Inputs'!$B$7+'Inputs'!$B$10)+'Inputs'!$B$9)^2+('Inputs'!$B$8/2)^2)-(((576-43)*MAX('Inputs'!$B$33,'Inputs'!$B$29+'Inputs'!$B$31+'Inputs'!$B$32,'Inputs'!$B$30+'Inputs'!$B$31+'Inputs'!$B$32)/1000+'Inputs'!$B$21+'Inputs'!$B$7+'Inputs'!$B$10))/SQRT((((576-43)*MAX('Inputs'!$B$33,'Inputs'!$B$29+'Inputs'!$B$31+'Inputs'!$B$32,'Inputs'!$B$30+'Inputs'!$B$31+'Inputs'!$B$32)/1000+'Inputs'!$B$21+'Inputs'!$B$7+'Inputs'!$B$10))^2+('Inputs'!$B$8/2)^2))))*'Results'!$B$8))),"")</x:f>
        <x:v>3.7756009479113493</x:v>
      </x:c>
      <x:c r="M576" t="n">
        <x:f>IF(AND(ISNUMBER('Results'!C7),ISNUMBER('Results'!B7),ISNUMBER('Results'!$B$8),ISNUMBER('Inputs'!$B$6),ISNUMBER('Inputs'!$B$7),ISNUMBER('Inputs'!$B$8),ISNUMBER('Inputs'!$B$9),ISNUMBER('Inputs'!$B$10),ISNUMBER('Inputs'!$B$21),ISNUMBER('Inputs'!$B$24),ISNUMBER('Inputs'!$B$28)),(('Results'!C7*(0.5*((((576-43)*MAX('Inputs'!$B$33,'Inputs'!$B$29+'Inputs'!$B$31+'Inputs'!$B$32,'Inputs'!$B$30+'Inputs'!$B$31+'Inputs'!$B$32)/1000+'Inputs'!$B$21)+'Inputs'!$B$9)/SQRT((((576-43)*MAX('Inputs'!$B$33,'Inputs'!$B$29+'Inputs'!$B$31+'Inputs'!$B$32,'Inputs'!$B$30+'Inputs'!$B$31+'Inputs'!$B$32)/1000+'Inputs'!$B$21)+'Inputs'!$B$9)^2+('Inputs'!$B$8/2)^2)-(((576-43)*MAX('Inputs'!$B$33,'Inputs'!$B$29+'Inputs'!$B$31+'Inputs'!$B$32,'Inputs'!$B$30+'Inputs'!$B$31+'Inputs'!$B$32)/1000+'Inputs'!$B$21))/SQRT((((576-43)*MAX('Inputs'!$B$33,'Inputs'!$B$29+'Inputs'!$B$31+'Inputs'!$B$32,'Inputs'!$B$30+'Inputs'!$B$31+'Inputs'!$B$32)/1000+'Inputs'!$B$21))^2+('Inputs'!$B$8/2)^2)))-'Results'!B7*(0.5*((((576-43)*MAX('Inputs'!$B$33,'Inputs'!$B$29+'Inputs'!$B$31+'Inputs'!$B$32,'Inputs'!$B$30+'Inputs'!$B$31+'Inputs'!$B$32)/1000+'Inputs'!$B$21+'Inputs'!$B$9+'Inputs'!$B$10)+'Inputs'!$B$7)/SQRT((((576-43)*MAX('Inputs'!$B$33,'Inputs'!$B$29+'Inputs'!$B$31+'Inputs'!$B$32,'Inputs'!$B$30+'Inputs'!$B$31+'Inputs'!$B$32)/1000+'Inputs'!$B$21+'Inputs'!$B$9+'Inputs'!$B$10)+'Inputs'!$B$7)^2+('Inputs'!$B$6/2)^2)-(((576-43)*MAX('Inputs'!$B$33,'Inputs'!$B$29+'Inputs'!$B$31+'Inputs'!$B$32,'Inputs'!$B$30+'Inputs'!$B$31+'Inputs'!$B$32)/1000+'Inputs'!$B$21+'Inputs'!$B$9+'Inputs'!$B$10))/SQRT((((576-43)*MAX('Inputs'!$B$33,'Inputs'!$B$29+'Inputs'!$B$31+'Inputs'!$B$32,'Inputs'!$B$30+'Inputs'!$B$31+'Inputs'!$B$32)/1000+'Inputs'!$B$21+'Inputs'!$B$9+'Inputs'!$B$10))^2+('Inputs'!$B$6/2)^2))))*'Results'!$B$8),"")</x:f>
        <x:v>3.1157697995423095</x:v>
      </x:c>
      <x:c r="N576" t="n">
        <x:f>IF(AND(ISNUMBER('Results'!C7),ISNUMBER('Results'!B7),ISNUMBER('Results'!$B$8),ISNUMBER('Inputs'!$B$6),ISNUMBER('Inputs'!$B$7),ISNUMBER('Inputs'!$B$8),ISNUMBER('Inputs'!$B$9),ISNUMBER('Inputs'!$B$10),ISNUMBER('Inputs'!$B$21),ISNUMBER('Inputs'!$B$24),ISNUMBER('Inputs'!$B$28)),((('Results'!C7*(1-'Inputs'!$B$24)*(0.5*((((576-43)*MAX('Inputs'!$B$33,'Inputs'!$B$29+'Inputs'!$B$31+'Inputs'!$B$32,'Inputs'!$B$30+'Inputs'!$B$31+'Inputs'!$B$32)/1000+'Inputs'!$B$21)+'Inputs'!$B$9)/SQRT((((576-43)*MAX('Inputs'!$B$33,'Inputs'!$B$29+'Inputs'!$B$31+'Inputs'!$B$32,'Inputs'!$B$30+'Inputs'!$B$31+'Inputs'!$B$32)/1000+'Inputs'!$B$21)+'Inputs'!$B$9)^2+('Inputs'!$B$8/2)^2)-(((576-43)*MAX('Inputs'!$B$33,'Inputs'!$B$29+'Inputs'!$B$31+'Inputs'!$B$32,'Inputs'!$B$30+'Inputs'!$B$31+'Inputs'!$B$32)/1000+'Inputs'!$B$21))/SQRT((((576-43)*MAX('Inputs'!$B$33,'Inputs'!$B$29+'Inputs'!$B$31+'Inputs'!$B$32,'Inputs'!$B$30+'Inputs'!$B$31+'Inputs'!$B$32)/1000+'Inputs'!$B$21))^2+('Inputs'!$B$8/2)^2)))-'Results'!B7*(1+'Inputs'!$B$24)*(0.5*((((576-43)*MAX('Inputs'!$B$33,'Inputs'!$B$29+'Inputs'!$B$31+'Inputs'!$B$32,'Inputs'!$B$30+'Inputs'!$B$31+'Inputs'!$B$32)/1000+'Inputs'!$B$21+'Inputs'!$B$9+'Inputs'!$B$10)+'Inputs'!$B$7)/SQRT((((576-43)*MAX('Inputs'!$B$33,'Inputs'!$B$29+'Inputs'!$B$31+'Inputs'!$B$32,'Inputs'!$B$30+'Inputs'!$B$31+'Inputs'!$B$32)/1000+'Inputs'!$B$21+'Inputs'!$B$9+'Inputs'!$B$10)+'Inputs'!$B$7)^2+('Inputs'!$B$6/2)^2)-(((576-43)*MAX('Inputs'!$B$33,'Inputs'!$B$29+'Inputs'!$B$31+'Inputs'!$B$32,'Inputs'!$B$30+'Inputs'!$B$31+'Inputs'!$B$32)/1000+'Inputs'!$B$21+'Inputs'!$B$9+'Inputs'!$B$10))/SQRT((((576-43)*MAX('Inputs'!$B$33,'Inputs'!$B$29+'Inputs'!$B$31+'Inputs'!$B$32,'Inputs'!$B$30+'Inputs'!$B$31+'Inputs'!$B$32)/1000+'Inputs'!$B$21+'Inputs'!$B$9+'Inputs'!$B$10))^2+('Inputs'!$B$6/2)^2))))*'Results'!$B$8)-'Inputs'!$B$28*ABS((('Results'!C7*(1-'Inputs'!$B$24)*(0.5*((((576-43)*MAX('Inputs'!$B$33,'Inputs'!$B$29+'Inputs'!$B$31+'Inputs'!$B$32,'Inputs'!$B$30+'Inputs'!$B$31+'Inputs'!$B$32)/1000+'Inputs'!$B$21)+'Inputs'!$B$9)/SQRT((((576-43)*MAX('Inputs'!$B$33,'Inputs'!$B$29+'Inputs'!$B$31+'Inputs'!$B$32,'Inputs'!$B$30+'Inputs'!$B$31+'Inputs'!$B$32)/1000+'Inputs'!$B$21)+'Inputs'!$B$9)^2+('Inputs'!$B$8/2)^2)-(((576-43)*MAX('Inputs'!$B$33,'Inputs'!$B$29+'Inputs'!$B$31+'Inputs'!$B$32,'Inputs'!$B$30+'Inputs'!$B$31+'Inputs'!$B$32)/1000+'Inputs'!$B$21))/SQRT((((576-43)*MAX('Inputs'!$B$33,'Inputs'!$B$29+'Inputs'!$B$31+'Inputs'!$B$32,'Inputs'!$B$30+'Inputs'!$B$31+'Inputs'!$B$32)/1000+'Inputs'!$B$21))^2+('Inputs'!$B$8/2)^2)))-'Results'!B7*(1+'Inputs'!$B$24)*(0.5*((((576-43)*MAX('Inputs'!$B$33,'Inputs'!$B$29+'Inputs'!$B$31+'Inputs'!$B$32,'Inputs'!$B$30+'Inputs'!$B$31+'Inputs'!$B$32)/1000+'Inputs'!$B$21+'Inputs'!$B$9+'Inputs'!$B$10)+'Inputs'!$B$7)/SQRT((((576-43)*MAX('Inputs'!$B$33,'Inputs'!$B$29+'Inputs'!$B$31+'Inputs'!$B$32,'Inputs'!$B$30+'Inputs'!$B$31+'Inputs'!$B$32)/1000+'Inputs'!$B$21+'Inputs'!$B$9+'Inputs'!$B$10)+'Inputs'!$B$7)^2+('Inputs'!$B$6/2)^2)-(((576-43)*MAX('Inputs'!$B$33,'Inputs'!$B$29+'Inputs'!$B$31+'Inputs'!$B$32,'Inputs'!$B$30+'Inputs'!$B$31+'Inputs'!$B$32)/1000+'Inputs'!$B$21+'Inputs'!$B$9+'Inputs'!$B$10))/SQRT((((576-43)*MAX('Inputs'!$B$33,'Inputs'!$B$29+'Inputs'!$B$31+'Inputs'!$B$32,'Inputs'!$B$30+'Inputs'!$B$31+'Inputs'!$B$32)/1000+'Inputs'!$B$21+'Inputs'!$B$9+'Inputs'!$B$10))^2+('Inputs'!$B$6/2)^2))))*'Results'!$B$8))),"")</x:f>
        <x:v>2.7340379155373435</x:v>
      </x:c>
      <x:c r="O576" t="n">
        <x:f>IF(AND(ISNUMBER('Results'!C7),ISNUMBER('Results'!B7),ISNUMBER('Results'!$B$8),ISNUMBER('Inputs'!$B$6),ISNUMBER('Inputs'!$B$7),ISNUMBER('Inputs'!$B$8),ISNUMBER('Inputs'!$B$9),ISNUMBER('Inputs'!$B$10),ISNUMBER('Inputs'!$B$21),ISNUMBER('Inputs'!$B$24),ISNUMBER('Inputs'!$B$28)),((('Results'!C7*(1+'Inputs'!$B$24)*(0.5*((((576-43)*MAX('Inputs'!$B$33,'Inputs'!$B$29+'Inputs'!$B$31+'Inputs'!$B$32,'Inputs'!$B$30+'Inputs'!$B$31+'Inputs'!$B$32)/1000+'Inputs'!$B$21)+'Inputs'!$B$9)/SQRT((((576-43)*MAX('Inputs'!$B$33,'Inputs'!$B$29+'Inputs'!$B$31+'Inputs'!$B$32,'Inputs'!$B$30+'Inputs'!$B$31+'Inputs'!$B$32)/1000+'Inputs'!$B$21)+'Inputs'!$B$9)^2+('Inputs'!$B$8/2)^2)-(((576-43)*MAX('Inputs'!$B$33,'Inputs'!$B$29+'Inputs'!$B$31+'Inputs'!$B$32,'Inputs'!$B$30+'Inputs'!$B$31+'Inputs'!$B$32)/1000+'Inputs'!$B$21))/SQRT((((576-43)*MAX('Inputs'!$B$33,'Inputs'!$B$29+'Inputs'!$B$31+'Inputs'!$B$32,'Inputs'!$B$30+'Inputs'!$B$31+'Inputs'!$B$32)/1000+'Inputs'!$B$21))^2+('Inputs'!$B$8/2)^2)))-'Results'!B7*(1-'Inputs'!$B$24)*(0.5*((((576-43)*MAX('Inputs'!$B$33,'Inputs'!$B$29+'Inputs'!$B$31+'Inputs'!$B$32,'Inputs'!$B$30+'Inputs'!$B$31+'Inputs'!$B$32)/1000+'Inputs'!$B$21+'Inputs'!$B$9+'Inputs'!$B$10)+'Inputs'!$B$7)/SQRT((((576-43)*MAX('Inputs'!$B$33,'Inputs'!$B$29+'Inputs'!$B$31+'Inputs'!$B$32,'Inputs'!$B$30+'Inputs'!$B$31+'Inputs'!$B$32)/1000+'Inputs'!$B$21+'Inputs'!$B$9+'Inputs'!$B$10)+'Inputs'!$B$7)^2+('Inputs'!$B$6/2)^2)-(((576-43)*MAX('Inputs'!$B$33,'Inputs'!$B$29+'Inputs'!$B$31+'Inputs'!$B$32,'Inputs'!$B$30+'Inputs'!$B$31+'Inputs'!$B$32)/1000+'Inputs'!$B$21+'Inputs'!$B$9+'Inputs'!$B$10))/SQRT((((576-43)*MAX('Inputs'!$B$33,'Inputs'!$B$29+'Inputs'!$B$31+'Inputs'!$B$32,'Inputs'!$B$30+'Inputs'!$B$31+'Inputs'!$B$32)/1000+'Inputs'!$B$21+'Inputs'!$B$9+'Inputs'!$B$10))^2+('Inputs'!$B$6/2)^2))))*'Results'!$B$8)+'Inputs'!$B$28*ABS((('Results'!C7*(1+'Inputs'!$B$24)*(0.5*((((576-43)*MAX('Inputs'!$B$33,'Inputs'!$B$29+'Inputs'!$B$31+'Inputs'!$B$32,'Inputs'!$B$30+'Inputs'!$B$31+'Inputs'!$B$32)/1000+'Inputs'!$B$21)+'Inputs'!$B$9)/SQRT((((576-43)*MAX('Inputs'!$B$33,'Inputs'!$B$29+'Inputs'!$B$31+'Inputs'!$B$32,'Inputs'!$B$30+'Inputs'!$B$31+'Inputs'!$B$32)/1000+'Inputs'!$B$21)+'Inputs'!$B$9)^2+('Inputs'!$B$8/2)^2)-(((576-43)*MAX('Inputs'!$B$33,'Inputs'!$B$29+'Inputs'!$B$31+'Inputs'!$B$32,'Inputs'!$B$30+'Inputs'!$B$31+'Inputs'!$B$32)/1000+'Inputs'!$B$21))/SQRT((((576-43)*MAX('Inputs'!$B$33,'Inputs'!$B$29+'Inputs'!$B$31+'Inputs'!$B$32,'Inputs'!$B$30+'Inputs'!$B$31+'Inputs'!$B$32)/1000+'Inputs'!$B$21))^2+('Inputs'!$B$8/2)^2)))-'Results'!B7*(1-'Inputs'!$B$24)*(0.5*((((576-43)*MAX('Inputs'!$B$33,'Inputs'!$B$29+'Inputs'!$B$31+'Inputs'!$B$32,'Inputs'!$B$30+'Inputs'!$B$31+'Inputs'!$B$32)/1000+'Inputs'!$B$21+'Inputs'!$B$9+'Inputs'!$B$10)+'Inputs'!$B$7)/SQRT((((576-43)*MAX('Inputs'!$B$33,'Inputs'!$B$29+'Inputs'!$B$31+'Inputs'!$B$32,'Inputs'!$B$30+'Inputs'!$B$31+'Inputs'!$B$32)/1000+'Inputs'!$B$21+'Inputs'!$B$9+'Inputs'!$B$10)+'Inputs'!$B$7)^2+('Inputs'!$B$6/2)^2)-(((576-43)*MAX('Inputs'!$B$33,'Inputs'!$B$29+'Inputs'!$B$31+'Inputs'!$B$32,'Inputs'!$B$30+'Inputs'!$B$31+'Inputs'!$B$32)/1000+'Inputs'!$B$21+'Inputs'!$B$9+'Inputs'!$B$10))/SQRT((((576-43)*MAX('Inputs'!$B$33,'Inputs'!$B$29+'Inputs'!$B$31+'Inputs'!$B$32,'Inputs'!$B$30+'Inputs'!$B$31+'Inputs'!$B$32)/1000+'Inputs'!$B$21+'Inputs'!$B$9+'Inputs'!$B$10))^2+('Inputs'!$B$6/2)^2))))*'Results'!$B$8))),"")</x:f>
        <x:v>3.5212851987081026</x:v>
      </x:c>
      <x:c r="P576" t="n">
        <x:f>IF(AND(MAX(J576,J575)&gt;0,J576&gt;J575+0.00000001),1,0)</x:f>
        <x:v>0</x:v>
      </x:c>
      <x:c r="Q576" t="n">
        <x:f>IF(AND(MAX(K576,K575)&gt;0,K576&gt;K575+0.00000001),1,0)</x:f>
        <x:v>0</x:v>
      </x:c>
      <x:c r="R576" t="n">
        <x:f>IF(AND(MAX(L576,L575)&gt;0,L576&gt;L575+0.00000001),1,0)</x:f>
        <x:v>0</x:v>
      </x:c>
      <x:c r="S576" t="n">
        <x:f>IF(AND(MAX(M576,M575)&gt;0,M576&gt;M575+0.00000001),1,0)</x:f>
        <x:v>0</x:v>
      </x:c>
      <x:c r="T576" t="n">
        <x:f>IF(AND(MAX(N576,N575)&gt;0,N576&gt;N575+0.00000001),1,0)</x:f>
        <x:v>0</x:v>
      </x:c>
      <x:c r="U576" t="n">
        <x:f>IF(AND(MAX(O576,O575)&gt;0,O576&gt;O575+0.00000001),1,0)</x:f>
        <x:v>0</x:v>
      </x:c>
    </x:row>
    <x:row r="577">
      <x:c r="J577" t="n">
        <x:f>IF(AND(ISNUMBER('Results'!B7),ISNUMBER('Results'!C7),ISNUMBER('Results'!$B$8),ISNUMBER('Inputs'!$B$6),ISNUMBER('Inputs'!$B$7),ISNUMBER('Inputs'!$B$8),ISNUMBER('Inputs'!$B$9),ISNUMBER('Inputs'!$B$10),ISNUMBER('Inputs'!$B$21),ISNUMBER('Inputs'!$B$24),ISNUMBER('Inputs'!$B$28)),(('Results'!B7*(0.5*((((577-43)*MAX('Inputs'!$B$33,'Inputs'!$B$29+'Inputs'!$B$31+'Inputs'!$B$32,'Inputs'!$B$30+'Inputs'!$B$31+'Inputs'!$B$32)/1000+'Inputs'!$B$21)+'Inputs'!$B$7)/SQRT((((577-43)*MAX('Inputs'!$B$33,'Inputs'!$B$29+'Inputs'!$B$31+'Inputs'!$B$32,'Inputs'!$B$30+'Inputs'!$B$31+'Inputs'!$B$32)/1000+'Inputs'!$B$21)+'Inputs'!$B$7)^2+('Inputs'!$B$6/2)^2)-(((577-43)*MAX('Inputs'!$B$33,'Inputs'!$B$29+'Inputs'!$B$31+'Inputs'!$B$32,'Inputs'!$B$30+'Inputs'!$B$31+'Inputs'!$B$32)/1000+'Inputs'!$B$21))/SQRT((((577-43)*MAX('Inputs'!$B$33,'Inputs'!$B$29+'Inputs'!$B$31+'Inputs'!$B$32,'Inputs'!$B$30+'Inputs'!$B$31+'Inputs'!$B$32)/1000+'Inputs'!$B$21))^2+('Inputs'!$B$6/2)^2)))-'Results'!C7*(0.5*((((577-43)*MAX('Inputs'!$B$33,'Inputs'!$B$29+'Inputs'!$B$31+'Inputs'!$B$32,'Inputs'!$B$30+'Inputs'!$B$31+'Inputs'!$B$32)/1000+'Inputs'!$B$21+'Inputs'!$B$7+'Inputs'!$B$10)+'Inputs'!$B$9)/SQRT((((577-43)*MAX('Inputs'!$B$33,'Inputs'!$B$29+'Inputs'!$B$31+'Inputs'!$B$32,'Inputs'!$B$30+'Inputs'!$B$31+'Inputs'!$B$32)/1000+'Inputs'!$B$21+'Inputs'!$B$7+'Inputs'!$B$10)+'Inputs'!$B$9)^2+('Inputs'!$B$8/2)^2)-(((577-43)*MAX('Inputs'!$B$33,'Inputs'!$B$29+'Inputs'!$B$31+'Inputs'!$B$32,'Inputs'!$B$30+'Inputs'!$B$31+'Inputs'!$B$32)/1000+'Inputs'!$B$21+'Inputs'!$B$7+'Inputs'!$B$10))/SQRT((((577-43)*MAX('Inputs'!$B$33,'Inputs'!$B$29+'Inputs'!$B$31+'Inputs'!$B$32,'Inputs'!$B$30+'Inputs'!$B$31+'Inputs'!$B$32)/1000+'Inputs'!$B$21+'Inputs'!$B$7+'Inputs'!$B$10))^2+('Inputs'!$B$8/2)^2))))*'Results'!$B$8),"")</x:f>
        <x:v>3.335057185164635</x:v>
      </x:c>
      <x:c r="K577" t="n">
        <x:f>IF(AND(ISNUMBER('Results'!B7),ISNUMBER('Results'!C7),ISNUMBER('Results'!$B$8),ISNUMBER('Inputs'!$B$6),ISNUMBER('Inputs'!$B$7),ISNUMBER('Inputs'!$B$8),ISNUMBER('Inputs'!$B$9),ISNUMBER('Inputs'!$B$10),ISNUMBER('Inputs'!$B$21),ISNUMBER('Inputs'!$B$24),ISNUMBER('Inputs'!$B$28)),((('Results'!B7*(1-'Inputs'!$B$24)*(0.5*((((577-43)*MAX('Inputs'!$B$33,'Inputs'!$B$29+'Inputs'!$B$31+'Inputs'!$B$32,'Inputs'!$B$30+'Inputs'!$B$31+'Inputs'!$B$32)/1000+'Inputs'!$B$21)+'Inputs'!$B$7)/SQRT((((577-43)*MAX('Inputs'!$B$33,'Inputs'!$B$29+'Inputs'!$B$31+'Inputs'!$B$32,'Inputs'!$B$30+'Inputs'!$B$31+'Inputs'!$B$32)/1000+'Inputs'!$B$21)+'Inputs'!$B$7)^2+('Inputs'!$B$6/2)^2)-(((577-43)*MAX('Inputs'!$B$33,'Inputs'!$B$29+'Inputs'!$B$31+'Inputs'!$B$32,'Inputs'!$B$30+'Inputs'!$B$31+'Inputs'!$B$32)/1000+'Inputs'!$B$21))/SQRT((((577-43)*MAX('Inputs'!$B$33,'Inputs'!$B$29+'Inputs'!$B$31+'Inputs'!$B$32,'Inputs'!$B$30+'Inputs'!$B$31+'Inputs'!$B$32)/1000+'Inputs'!$B$21))^2+('Inputs'!$B$6/2)^2)))-'Results'!C7*(1+'Inputs'!$B$24)*(0.5*((((577-43)*MAX('Inputs'!$B$33,'Inputs'!$B$29+'Inputs'!$B$31+'Inputs'!$B$32,'Inputs'!$B$30+'Inputs'!$B$31+'Inputs'!$B$32)/1000+'Inputs'!$B$21+'Inputs'!$B$7+'Inputs'!$B$10)+'Inputs'!$B$9)/SQRT((((577-43)*MAX('Inputs'!$B$33,'Inputs'!$B$29+'Inputs'!$B$31+'Inputs'!$B$32,'Inputs'!$B$30+'Inputs'!$B$31+'Inputs'!$B$32)/1000+'Inputs'!$B$21+'Inputs'!$B$7+'Inputs'!$B$10)+'Inputs'!$B$9)^2+('Inputs'!$B$8/2)^2)-(((577-43)*MAX('Inputs'!$B$33,'Inputs'!$B$29+'Inputs'!$B$31+'Inputs'!$B$32,'Inputs'!$B$30+'Inputs'!$B$31+'Inputs'!$B$32)/1000+'Inputs'!$B$21+'Inputs'!$B$7+'Inputs'!$B$10))/SQRT((((577-43)*MAX('Inputs'!$B$33,'Inputs'!$B$29+'Inputs'!$B$31+'Inputs'!$B$32,'Inputs'!$B$30+'Inputs'!$B$31+'Inputs'!$B$32)/1000+'Inputs'!$B$21+'Inputs'!$B$7+'Inputs'!$B$10))^2+('Inputs'!$B$8/2)^2))))*'Results'!$B$8)-'Inputs'!$B$28*ABS((('Results'!B7*(1-'Inputs'!$B$24)*(0.5*((((577-43)*MAX('Inputs'!$B$33,'Inputs'!$B$29+'Inputs'!$B$31+'Inputs'!$B$32,'Inputs'!$B$30+'Inputs'!$B$31+'Inputs'!$B$32)/1000+'Inputs'!$B$21)+'Inputs'!$B$7)/SQRT((((577-43)*MAX('Inputs'!$B$33,'Inputs'!$B$29+'Inputs'!$B$31+'Inputs'!$B$32,'Inputs'!$B$30+'Inputs'!$B$31+'Inputs'!$B$32)/1000+'Inputs'!$B$21)+'Inputs'!$B$7)^2+('Inputs'!$B$6/2)^2)-(((577-43)*MAX('Inputs'!$B$33,'Inputs'!$B$29+'Inputs'!$B$31+'Inputs'!$B$32,'Inputs'!$B$30+'Inputs'!$B$31+'Inputs'!$B$32)/1000+'Inputs'!$B$21))/SQRT((((577-43)*MAX('Inputs'!$B$33,'Inputs'!$B$29+'Inputs'!$B$31+'Inputs'!$B$32,'Inputs'!$B$30+'Inputs'!$B$31+'Inputs'!$B$32)/1000+'Inputs'!$B$21))^2+('Inputs'!$B$6/2)^2)))-'Results'!C7*(1+'Inputs'!$B$24)*(0.5*((((577-43)*MAX('Inputs'!$B$33,'Inputs'!$B$29+'Inputs'!$B$31+'Inputs'!$B$32,'Inputs'!$B$30+'Inputs'!$B$31+'Inputs'!$B$32)/1000+'Inputs'!$B$21+'Inputs'!$B$7+'Inputs'!$B$10)+'Inputs'!$B$9)/SQRT((((577-43)*MAX('Inputs'!$B$33,'Inputs'!$B$29+'Inputs'!$B$31+'Inputs'!$B$32,'Inputs'!$B$30+'Inputs'!$B$31+'Inputs'!$B$32)/1000+'Inputs'!$B$21+'Inputs'!$B$7+'Inputs'!$B$10)+'Inputs'!$B$9)^2+('Inputs'!$B$8/2)^2)-(((577-43)*MAX('Inputs'!$B$33,'Inputs'!$B$29+'Inputs'!$B$31+'Inputs'!$B$32,'Inputs'!$B$30+'Inputs'!$B$31+'Inputs'!$B$32)/1000+'Inputs'!$B$21+'Inputs'!$B$7+'Inputs'!$B$10))/SQRT((((577-43)*MAX('Inputs'!$B$33,'Inputs'!$B$29+'Inputs'!$B$31+'Inputs'!$B$32,'Inputs'!$B$30+'Inputs'!$B$31+'Inputs'!$B$32)/1000+'Inputs'!$B$21+'Inputs'!$B$7+'Inputs'!$B$10))^2+('Inputs'!$B$8/2)^2))))*'Results'!$B$8))),"")</x:f>
        <x:v>2.94225217636127</x:v>
      </x:c>
      <x:c r="L577" t="n">
        <x:f>IF(AND(ISNUMBER('Results'!B7),ISNUMBER('Results'!C7),ISNUMBER('Results'!$B$8),ISNUMBER('Inputs'!$B$6),ISNUMBER('Inputs'!$B$7),ISNUMBER('Inputs'!$B$8),ISNUMBER('Inputs'!$B$9),ISNUMBER('Inputs'!$B$10),ISNUMBER('Inputs'!$B$21),ISNUMBER('Inputs'!$B$24),ISNUMBER('Inputs'!$B$28)),((('Results'!B7*(1+'Inputs'!$B$24)*(0.5*((((577-43)*MAX('Inputs'!$B$33,'Inputs'!$B$29+'Inputs'!$B$31+'Inputs'!$B$32,'Inputs'!$B$30+'Inputs'!$B$31+'Inputs'!$B$32)/1000+'Inputs'!$B$21)+'Inputs'!$B$7)/SQRT((((577-43)*MAX('Inputs'!$B$33,'Inputs'!$B$29+'Inputs'!$B$31+'Inputs'!$B$32,'Inputs'!$B$30+'Inputs'!$B$31+'Inputs'!$B$32)/1000+'Inputs'!$B$21)+'Inputs'!$B$7)^2+('Inputs'!$B$6/2)^2)-(((577-43)*MAX('Inputs'!$B$33,'Inputs'!$B$29+'Inputs'!$B$31+'Inputs'!$B$32,'Inputs'!$B$30+'Inputs'!$B$31+'Inputs'!$B$32)/1000+'Inputs'!$B$21))/SQRT((((577-43)*MAX('Inputs'!$B$33,'Inputs'!$B$29+'Inputs'!$B$31+'Inputs'!$B$32,'Inputs'!$B$30+'Inputs'!$B$31+'Inputs'!$B$32)/1000+'Inputs'!$B$21))^2+('Inputs'!$B$6/2)^2)))-'Results'!C7*(1-'Inputs'!$B$24)*(0.5*((((577-43)*MAX('Inputs'!$B$33,'Inputs'!$B$29+'Inputs'!$B$31+'Inputs'!$B$32,'Inputs'!$B$30+'Inputs'!$B$31+'Inputs'!$B$32)/1000+'Inputs'!$B$21+'Inputs'!$B$7+'Inputs'!$B$10)+'Inputs'!$B$9)/SQRT((((577-43)*MAX('Inputs'!$B$33,'Inputs'!$B$29+'Inputs'!$B$31+'Inputs'!$B$32,'Inputs'!$B$30+'Inputs'!$B$31+'Inputs'!$B$32)/1000+'Inputs'!$B$21+'Inputs'!$B$7+'Inputs'!$B$10)+'Inputs'!$B$9)^2+('Inputs'!$B$8/2)^2)-(((577-43)*MAX('Inputs'!$B$33,'Inputs'!$B$29+'Inputs'!$B$31+'Inputs'!$B$32,'Inputs'!$B$30+'Inputs'!$B$31+'Inputs'!$B$32)/1000+'Inputs'!$B$21+'Inputs'!$B$7+'Inputs'!$B$10))/SQRT((((577-43)*MAX('Inputs'!$B$33,'Inputs'!$B$29+'Inputs'!$B$31+'Inputs'!$B$32,'Inputs'!$B$30+'Inputs'!$B$31+'Inputs'!$B$32)/1000+'Inputs'!$B$21+'Inputs'!$B$7+'Inputs'!$B$10))^2+('Inputs'!$B$8/2)^2))))*'Results'!$B$8)+'Inputs'!$B$28*ABS((('Results'!B7*(1+'Inputs'!$B$24)*(0.5*((((577-43)*MAX('Inputs'!$B$33,'Inputs'!$B$29+'Inputs'!$B$31+'Inputs'!$B$32,'Inputs'!$B$30+'Inputs'!$B$31+'Inputs'!$B$32)/1000+'Inputs'!$B$21)+'Inputs'!$B$7)/SQRT((((577-43)*MAX('Inputs'!$B$33,'Inputs'!$B$29+'Inputs'!$B$31+'Inputs'!$B$32,'Inputs'!$B$30+'Inputs'!$B$31+'Inputs'!$B$32)/1000+'Inputs'!$B$21)+'Inputs'!$B$7)^2+('Inputs'!$B$6/2)^2)-(((577-43)*MAX('Inputs'!$B$33,'Inputs'!$B$29+'Inputs'!$B$31+'Inputs'!$B$32,'Inputs'!$B$30+'Inputs'!$B$31+'Inputs'!$B$32)/1000+'Inputs'!$B$21))/SQRT((((577-43)*MAX('Inputs'!$B$33,'Inputs'!$B$29+'Inputs'!$B$31+'Inputs'!$B$32,'Inputs'!$B$30+'Inputs'!$B$31+'Inputs'!$B$32)/1000+'Inputs'!$B$21))^2+('Inputs'!$B$6/2)^2)))-'Results'!C7*(1-'Inputs'!$B$24)*(0.5*((((577-43)*MAX('Inputs'!$B$33,'Inputs'!$B$29+'Inputs'!$B$31+'Inputs'!$B$32,'Inputs'!$B$30+'Inputs'!$B$31+'Inputs'!$B$32)/1000+'Inputs'!$B$21+'Inputs'!$B$7+'Inputs'!$B$10)+'Inputs'!$B$9)/SQRT((((577-43)*MAX('Inputs'!$B$33,'Inputs'!$B$29+'Inputs'!$B$31+'Inputs'!$B$32,'Inputs'!$B$30+'Inputs'!$B$31+'Inputs'!$B$32)/1000+'Inputs'!$B$21+'Inputs'!$B$7+'Inputs'!$B$10)+'Inputs'!$B$9)^2+('Inputs'!$B$8/2)^2)-(((577-43)*MAX('Inputs'!$B$33,'Inputs'!$B$29+'Inputs'!$B$31+'Inputs'!$B$32,'Inputs'!$B$30+'Inputs'!$B$31+'Inputs'!$B$32)/1000+'Inputs'!$B$21+'Inputs'!$B$7+'Inputs'!$B$10))/SQRT((((577-43)*MAX('Inputs'!$B$33,'Inputs'!$B$29+'Inputs'!$B$31+'Inputs'!$B$32,'Inputs'!$B$30+'Inputs'!$B$31+'Inputs'!$B$32)/1000+'Inputs'!$B$21+'Inputs'!$B$7+'Inputs'!$B$10))^2+('Inputs'!$B$8/2)^2))))*'Results'!$B$8))),"")</x:f>
        <x:v>3.751657157078015</x:v>
      </x:c>
      <x:c r="M577" t="n">
        <x:f>IF(AND(ISNUMBER('Results'!C7),ISNUMBER('Results'!B7),ISNUMBER('Results'!$B$8),ISNUMBER('Inputs'!$B$6),ISNUMBER('Inputs'!$B$7),ISNUMBER('Inputs'!$B$8),ISNUMBER('Inputs'!$B$9),ISNUMBER('Inputs'!$B$10),ISNUMBER('Inputs'!$B$21),ISNUMBER('Inputs'!$B$24),ISNUMBER('Inputs'!$B$28)),(('Results'!C7*(0.5*((((577-43)*MAX('Inputs'!$B$33,'Inputs'!$B$29+'Inputs'!$B$31+'Inputs'!$B$32,'Inputs'!$B$30+'Inputs'!$B$31+'Inputs'!$B$32)/1000+'Inputs'!$B$21)+'Inputs'!$B$9)/SQRT((((577-43)*MAX('Inputs'!$B$33,'Inputs'!$B$29+'Inputs'!$B$31+'Inputs'!$B$32,'Inputs'!$B$30+'Inputs'!$B$31+'Inputs'!$B$32)/1000+'Inputs'!$B$21)+'Inputs'!$B$9)^2+('Inputs'!$B$8/2)^2)-(((577-43)*MAX('Inputs'!$B$33,'Inputs'!$B$29+'Inputs'!$B$31+'Inputs'!$B$32,'Inputs'!$B$30+'Inputs'!$B$31+'Inputs'!$B$32)/1000+'Inputs'!$B$21))/SQRT((((577-43)*MAX('Inputs'!$B$33,'Inputs'!$B$29+'Inputs'!$B$31+'Inputs'!$B$32,'Inputs'!$B$30+'Inputs'!$B$31+'Inputs'!$B$32)/1000+'Inputs'!$B$21))^2+('Inputs'!$B$8/2)^2)))-'Results'!B7*(0.5*((((577-43)*MAX('Inputs'!$B$33,'Inputs'!$B$29+'Inputs'!$B$31+'Inputs'!$B$32,'Inputs'!$B$30+'Inputs'!$B$31+'Inputs'!$B$32)/1000+'Inputs'!$B$21+'Inputs'!$B$9+'Inputs'!$B$10)+'Inputs'!$B$7)/SQRT((((577-43)*MAX('Inputs'!$B$33,'Inputs'!$B$29+'Inputs'!$B$31+'Inputs'!$B$32,'Inputs'!$B$30+'Inputs'!$B$31+'Inputs'!$B$32)/1000+'Inputs'!$B$21+'Inputs'!$B$9+'Inputs'!$B$10)+'Inputs'!$B$7)^2+('Inputs'!$B$6/2)^2)-(((577-43)*MAX('Inputs'!$B$33,'Inputs'!$B$29+'Inputs'!$B$31+'Inputs'!$B$32,'Inputs'!$B$30+'Inputs'!$B$31+'Inputs'!$B$32)/1000+'Inputs'!$B$21+'Inputs'!$B$9+'Inputs'!$B$10))/SQRT((((577-43)*MAX('Inputs'!$B$33,'Inputs'!$B$29+'Inputs'!$B$31+'Inputs'!$B$32,'Inputs'!$B$30+'Inputs'!$B$31+'Inputs'!$B$32)/1000+'Inputs'!$B$21+'Inputs'!$B$9+'Inputs'!$B$10))^2+('Inputs'!$B$6/2)^2))))*'Results'!$B$8),"")</x:f>
        <x:v>3.0953601205196293</x:v>
      </x:c>
      <x:c r="N577" t="n">
        <x:f>IF(AND(ISNUMBER('Results'!C7),ISNUMBER('Results'!B7),ISNUMBER('Results'!$B$8),ISNUMBER('Inputs'!$B$6),ISNUMBER('Inputs'!$B$7),ISNUMBER('Inputs'!$B$8),ISNUMBER('Inputs'!$B$9),ISNUMBER('Inputs'!$B$10),ISNUMBER('Inputs'!$B$21),ISNUMBER('Inputs'!$B$24),ISNUMBER('Inputs'!$B$28)),((('Results'!C7*(1-'Inputs'!$B$24)*(0.5*((((577-43)*MAX('Inputs'!$B$33,'Inputs'!$B$29+'Inputs'!$B$31+'Inputs'!$B$32,'Inputs'!$B$30+'Inputs'!$B$31+'Inputs'!$B$32)/1000+'Inputs'!$B$21)+'Inputs'!$B$9)/SQRT((((577-43)*MAX('Inputs'!$B$33,'Inputs'!$B$29+'Inputs'!$B$31+'Inputs'!$B$32,'Inputs'!$B$30+'Inputs'!$B$31+'Inputs'!$B$32)/1000+'Inputs'!$B$21)+'Inputs'!$B$9)^2+('Inputs'!$B$8/2)^2)-(((577-43)*MAX('Inputs'!$B$33,'Inputs'!$B$29+'Inputs'!$B$31+'Inputs'!$B$32,'Inputs'!$B$30+'Inputs'!$B$31+'Inputs'!$B$32)/1000+'Inputs'!$B$21))/SQRT((((577-43)*MAX('Inputs'!$B$33,'Inputs'!$B$29+'Inputs'!$B$31+'Inputs'!$B$32,'Inputs'!$B$30+'Inputs'!$B$31+'Inputs'!$B$32)/1000+'Inputs'!$B$21))^2+('Inputs'!$B$8/2)^2)))-'Results'!B7*(1+'Inputs'!$B$24)*(0.5*((((577-43)*MAX('Inputs'!$B$33,'Inputs'!$B$29+'Inputs'!$B$31+'Inputs'!$B$32,'Inputs'!$B$30+'Inputs'!$B$31+'Inputs'!$B$32)/1000+'Inputs'!$B$21+'Inputs'!$B$9+'Inputs'!$B$10)+'Inputs'!$B$7)/SQRT((((577-43)*MAX('Inputs'!$B$33,'Inputs'!$B$29+'Inputs'!$B$31+'Inputs'!$B$32,'Inputs'!$B$30+'Inputs'!$B$31+'Inputs'!$B$32)/1000+'Inputs'!$B$21+'Inputs'!$B$9+'Inputs'!$B$10)+'Inputs'!$B$7)^2+('Inputs'!$B$6/2)^2)-(((577-43)*MAX('Inputs'!$B$33,'Inputs'!$B$29+'Inputs'!$B$31+'Inputs'!$B$32,'Inputs'!$B$30+'Inputs'!$B$31+'Inputs'!$B$32)/1000+'Inputs'!$B$21+'Inputs'!$B$9+'Inputs'!$B$10))/SQRT((((577-43)*MAX('Inputs'!$B$33,'Inputs'!$B$29+'Inputs'!$B$31+'Inputs'!$B$32,'Inputs'!$B$30+'Inputs'!$B$31+'Inputs'!$B$32)/1000+'Inputs'!$B$21+'Inputs'!$B$9+'Inputs'!$B$10))^2+('Inputs'!$B$6/2)^2))))*'Results'!$B$8)-'Inputs'!$B$28*ABS((('Results'!C7*(1-'Inputs'!$B$24)*(0.5*((((577-43)*MAX('Inputs'!$B$33,'Inputs'!$B$29+'Inputs'!$B$31+'Inputs'!$B$32,'Inputs'!$B$30+'Inputs'!$B$31+'Inputs'!$B$32)/1000+'Inputs'!$B$21)+'Inputs'!$B$9)/SQRT((((577-43)*MAX('Inputs'!$B$33,'Inputs'!$B$29+'Inputs'!$B$31+'Inputs'!$B$32,'Inputs'!$B$30+'Inputs'!$B$31+'Inputs'!$B$32)/1000+'Inputs'!$B$21)+'Inputs'!$B$9)^2+('Inputs'!$B$8/2)^2)-(((577-43)*MAX('Inputs'!$B$33,'Inputs'!$B$29+'Inputs'!$B$31+'Inputs'!$B$32,'Inputs'!$B$30+'Inputs'!$B$31+'Inputs'!$B$32)/1000+'Inputs'!$B$21))/SQRT((((577-43)*MAX('Inputs'!$B$33,'Inputs'!$B$29+'Inputs'!$B$31+'Inputs'!$B$32,'Inputs'!$B$30+'Inputs'!$B$31+'Inputs'!$B$32)/1000+'Inputs'!$B$21))^2+('Inputs'!$B$8/2)^2)))-'Results'!B7*(1+'Inputs'!$B$24)*(0.5*((((577-43)*MAX('Inputs'!$B$33,'Inputs'!$B$29+'Inputs'!$B$31+'Inputs'!$B$32,'Inputs'!$B$30+'Inputs'!$B$31+'Inputs'!$B$32)/1000+'Inputs'!$B$21+'Inputs'!$B$9+'Inputs'!$B$10)+'Inputs'!$B$7)/SQRT((((577-43)*MAX('Inputs'!$B$33,'Inputs'!$B$29+'Inputs'!$B$31+'Inputs'!$B$32,'Inputs'!$B$30+'Inputs'!$B$31+'Inputs'!$B$32)/1000+'Inputs'!$B$21+'Inputs'!$B$9+'Inputs'!$B$10)+'Inputs'!$B$7)^2+('Inputs'!$B$6/2)^2)-(((577-43)*MAX('Inputs'!$B$33,'Inputs'!$B$29+'Inputs'!$B$31+'Inputs'!$B$32,'Inputs'!$B$30+'Inputs'!$B$31+'Inputs'!$B$32)/1000+'Inputs'!$B$21+'Inputs'!$B$9+'Inputs'!$B$10))/SQRT((((577-43)*MAX('Inputs'!$B$33,'Inputs'!$B$29+'Inputs'!$B$31+'Inputs'!$B$32,'Inputs'!$B$30+'Inputs'!$B$31+'Inputs'!$B$32)/1000+'Inputs'!$B$21+'Inputs'!$B$9+'Inputs'!$B$10))^2+('Inputs'!$B$6/2)^2))))*'Results'!$B$8))),"")</x:f>
        <x:v>2.7157740854415238</x:v>
      </x:c>
      <x:c r="O577" t="n">
        <x:f>IF(AND(ISNUMBER('Results'!C7),ISNUMBER('Results'!B7),ISNUMBER('Results'!$B$8),ISNUMBER('Inputs'!$B$6),ISNUMBER('Inputs'!$B$7),ISNUMBER('Inputs'!$B$8),ISNUMBER('Inputs'!$B$9),ISNUMBER('Inputs'!$B$10),ISNUMBER('Inputs'!$B$21),ISNUMBER('Inputs'!$B$24),ISNUMBER('Inputs'!$B$28)),((('Results'!C7*(1+'Inputs'!$B$24)*(0.5*((((577-43)*MAX('Inputs'!$B$33,'Inputs'!$B$29+'Inputs'!$B$31+'Inputs'!$B$32,'Inputs'!$B$30+'Inputs'!$B$31+'Inputs'!$B$32)/1000+'Inputs'!$B$21)+'Inputs'!$B$9)/SQRT((((577-43)*MAX('Inputs'!$B$33,'Inputs'!$B$29+'Inputs'!$B$31+'Inputs'!$B$32,'Inputs'!$B$30+'Inputs'!$B$31+'Inputs'!$B$32)/1000+'Inputs'!$B$21)+'Inputs'!$B$9)^2+('Inputs'!$B$8/2)^2)-(((577-43)*MAX('Inputs'!$B$33,'Inputs'!$B$29+'Inputs'!$B$31+'Inputs'!$B$32,'Inputs'!$B$30+'Inputs'!$B$31+'Inputs'!$B$32)/1000+'Inputs'!$B$21))/SQRT((((577-43)*MAX('Inputs'!$B$33,'Inputs'!$B$29+'Inputs'!$B$31+'Inputs'!$B$32,'Inputs'!$B$30+'Inputs'!$B$31+'Inputs'!$B$32)/1000+'Inputs'!$B$21))^2+('Inputs'!$B$8/2)^2)))-'Results'!B7*(1-'Inputs'!$B$24)*(0.5*((((577-43)*MAX('Inputs'!$B$33,'Inputs'!$B$29+'Inputs'!$B$31+'Inputs'!$B$32,'Inputs'!$B$30+'Inputs'!$B$31+'Inputs'!$B$32)/1000+'Inputs'!$B$21+'Inputs'!$B$9+'Inputs'!$B$10)+'Inputs'!$B$7)/SQRT((((577-43)*MAX('Inputs'!$B$33,'Inputs'!$B$29+'Inputs'!$B$31+'Inputs'!$B$32,'Inputs'!$B$30+'Inputs'!$B$31+'Inputs'!$B$32)/1000+'Inputs'!$B$21+'Inputs'!$B$9+'Inputs'!$B$10)+'Inputs'!$B$7)^2+('Inputs'!$B$6/2)^2)-(((577-43)*MAX('Inputs'!$B$33,'Inputs'!$B$29+'Inputs'!$B$31+'Inputs'!$B$32,'Inputs'!$B$30+'Inputs'!$B$31+'Inputs'!$B$32)/1000+'Inputs'!$B$21+'Inputs'!$B$9+'Inputs'!$B$10))/SQRT((((577-43)*MAX('Inputs'!$B$33,'Inputs'!$B$29+'Inputs'!$B$31+'Inputs'!$B$32,'Inputs'!$B$30+'Inputs'!$B$31+'Inputs'!$B$32)/1000+'Inputs'!$B$21+'Inputs'!$B$9+'Inputs'!$B$10))^2+('Inputs'!$B$6/2)^2))))*'Results'!$B$8)+'Inputs'!$B$28*ABS((('Results'!C7*(1+'Inputs'!$B$24)*(0.5*((((577-43)*MAX('Inputs'!$B$33,'Inputs'!$B$29+'Inputs'!$B$31+'Inputs'!$B$32,'Inputs'!$B$30+'Inputs'!$B$31+'Inputs'!$B$32)/1000+'Inputs'!$B$21)+'Inputs'!$B$9)/SQRT((((577-43)*MAX('Inputs'!$B$33,'Inputs'!$B$29+'Inputs'!$B$31+'Inputs'!$B$32,'Inputs'!$B$30+'Inputs'!$B$31+'Inputs'!$B$32)/1000+'Inputs'!$B$21)+'Inputs'!$B$9)^2+('Inputs'!$B$8/2)^2)-(((577-43)*MAX('Inputs'!$B$33,'Inputs'!$B$29+'Inputs'!$B$31+'Inputs'!$B$32,'Inputs'!$B$30+'Inputs'!$B$31+'Inputs'!$B$32)/1000+'Inputs'!$B$21))/SQRT((((577-43)*MAX('Inputs'!$B$33,'Inputs'!$B$29+'Inputs'!$B$31+'Inputs'!$B$32,'Inputs'!$B$30+'Inputs'!$B$31+'Inputs'!$B$32)/1000+'Inputs'!$B$21))^2+('Inputs'!$B$8/2)^2)))-'Results'!B7*(1-'Inputs'!$B$24)*(0.5*((((577-43)*MAX('Inputs'!$B$33,'Inputs'!$B$29+'Inputs'!$B$31+'Inputs'!$B$32,'Inputs'!$B$30+'Inputs'!$B$31+'Inputs'!$B$32)/1000+'Inputs'!$B$21+'Inputs'!$B$9+'Inputs'!$B$10)+'Inputs'!$B$7)/SQRT((((577-43)*MAX('Inputs'!$B$33,'Inputs'!$B$29+'Inputs'!$B$31+'Inputs'!$B$32,'Inputs'!$B$30+'Inputs'!$B$31+'Inputs'!$B$32)/1000+'Inputs'!$B$21+'Inputs'!$B$9+'Inputs'!$B$10)+'Inputs'!$B$7)^2+('Inputs'!$B$6/2)^2)-(((577-43)*MAX('Inputs'!$B$33,'Inputs'!$B$29+'Inputs'!$B$31+'Inputs'!$B$32,'Inputs'!$B$30+'Inputs'!$B$31+'Inputs'!$B$32)/1000+'Inputs'!$B$21+'Inputs'!$B$9+'Inputs'!$B$10))/SQRT((((577-43)*MAX('Inputs'!$B$33,'Inputs'!$B$29+'Inputs'!$B$31+'Inputs'!$B$32,'Inputs'!$B$30+'Inputs'!$B$31+'Inputs'!$B$32)/1000+'Inputs'!$B$21+'Inputs'!$B$9+'Inputs'!$B$10))^2+('Inputs'!$B$6/2)^2))))*'Results'!$B$8))),"")</x:f>
        <x:v>3.498611211287432</x:v>
      </x:c>
      <x:c r="P577" t="n">
        <x:f>IF(AND(MAX(J577,J576)&gt;0,J577&gt;J576+0.00000001),1,0)</x:f>
        <x:v>0</x:v>
      </x:c>
      <x:c r="Q577" t="n">
        <x:f>IF(AND(MAX(K577,K576)&gt;0,K577&gt;K576+0.00000001),1,0)</x:f>
        <x:v>0</x:v>
      </x:c>
      <x:c r="R577" t="n">
        <x:f>IF(AND(MAX(L577,L576)&gt;0,L577&gt;L576+0.00000001),1,0)</x:f>
        <x:v>0</x:v>
      </x:c>
      <x:c r="S577" t="n">
        <x:f>IF(AND(MAX(M577,M576)&gt;0,M577&gt;M576+0.00000001),1,0)</x:f>
        <x:v>0</x:v>
      </x:c>
      <x:c r="T577" t="n">
        <x:f>IF(AND(MAX(N577,N576)&gt;0,N577&gt;N576+0.00000001),1,0)</x:f>
        <x:v>0</x:v>
      </x:c>
      <x:c r="U577" t="n">
        <x:f>IF(AND(MAX(O577,O576)&gt;0,O577&gt;O576+0.00000001),1,0)</x:f>
        <x:v>0</x:v>
      </x:c>
    </x:row>
    <x:row r="578">
      <x:c r="J578" t="n">
        <x:f>IF(AND(ISNUMBER('Results'!B7),ISNUMBER('Results'!C7),ISNUMBER('Results'!$B$8),ISNUMBER('Inputs'!$B$6),ISNUMBER('Inputs'!$B$7),ISNUMBER('Inputs'!$B$8),ISNUMBER('Inputs'!$B$9),ISNUMBER('Inputs'!$B$10),ISNUMBER('Inputs'!$B$21),ISNUMBER('Inputs'!$B$24),ISNUMBER('Inputs'!$B$28)),(('Results'!B7*(0.5*((((578-43)*MAX('Inputs'!$B$33,'Inputs'!$B$29+'Inputs'!$B$31+'Inputs'!$B$32,'Inputs'!$B$30+'Inputs'!$B$31+'Inputs'!$B$32)/1000+'Inputs'!$B$21)+'Inputs'!$B$7)/SQRT((((578-43)*MAX('Inputs'!$B$33,'Inputs'!$B$29+'Inputs'!$B$31+'Inputs'!$B$32,'Inputs'!$B$30+'Inputs'!$B$31+'Inputs'!$B$32)/1000+'Inputs'!$B$21)+'Inputs'!$B$7)^2+('Inputs'!$B$6/2)^2)-(((578-43)*MAX('Inputs'!$B$33,'Inputs'!$B$29+'Inputs'!$B$31+'Inputs'!$B$32,'Inputs'!$B$30+'Inputs'!$B$31+'Inputs'!$B$32)/1000+'Inputs'!$B$21))/SQRT((((578-43)*MAX('Inputs'!$B$33,'Inputs'!$B$29+'Inputs'!$B$31+'Inputs'!$B$32,'Inputs'!$B$30+'Inputs'!$B$31+'Inputs'!$B$32)/1000+'Inputs'!$B$21))^2+('Inputs'!$B$6/2)^2)))-'Results'!C7*(0.5*((((578-43)*MAX('Inputs'!$B$33,'Inputs'!$B$29+'Inputs'!$B$31+'Inputs'!$B$32,'Inputs'!$B$30+'Inputs'!$B$31+'Inputs'!$B$32)/1000+'Inputs'!$B$21+'Inputs'!$B$7+'Inputs'!$B$10)+'Inputs'!$B$9)/SQRT((((578-43)*MAX('Inputs'!$B$33,'Inputs'!$B$29+'Inputs'!$B$31+'Inputs'!$B$32,'Inputs'!$B$30+'Inputs'!$B$31+'Inputs'!$B$32)/1000+'Inputs'!$B$21+'Inputs'!$B$7+'Inputs'!$B$10)+'Inputs'!$B$9)^2+('Inputs'!$B$8/2)^2)-(((578-43)*MAX('Inputs'!$B$33,'Inputs'!$B$29+'Inputs'!$B$31+'Inputs'!$B$32,'Inputs'!$B$30+'Inputs'!$B$31+'Inputs'!$B$32)/1000+'Inputs'!$B$21+'Inputs'!$B$7+'Inputs'!$B$10))/SQRT((((578-43)*MAX('Inputs'!$B$33,'Inputs'!$B$29+'Inputs'!$B$31+'Inputs'!$B$32,'Inputs'!$B$30+'Inputs'!$B$31+'Inputs'!$B$32)/1000+'Inputs'!$B$21+'Inputs'!$B$7+'Inputs'!$B$10))^2+('Inputs'!$B$8/2)^2))))*'Results'!$B$8),"")</x:f>
        <x:v>3.3136206247521574</x:v>
      </x:c>
      <x:c r="K578" t="n">
        <x:f>IF(AND(ISNUMBER('Results'!B7),ISNUMBER('Results'!C7),ISNUMBER('Results'!$B$8),ISNUMBER('Inputs'!$B$6),ISNUMBER('Inputs'!$B$7),ISNUMBER('Inputs'!$B$8),ISNUMBER('Inputs'!$B$9),ISNUMBER('Inputs'!$B$10),ISNUMBER('Inputs'!$B$21),ISNUMBER('Inputs'!$B$24),ISNUMBER('Inputs'!$B$28)),((('Results'!B7*(1-'Inputs'!$B$24)*(0.5*((((578-43)*MAX('Inputs'!$B$33,'Inputs'!$B$29+'Inputs'!$B$31+'Inputs'!$B$32,'Inputs'!$B$30+'Inputs'!$B$31+'Inputs'!$B$32)/1000+'Inputs'!$B$21)+'Inputs'!$B$7)/SQRT((((578-43)*MAX('Inputs'!$B$33,'Inputs'!$B$29+'Inputs'!$B$31+'Inputs'!$B$32,'Inputs'!$B$30+'Inputs'!$B$31+'Inputs'!$B$32)/1000+'Inputs'!$B$21)+'Inputs'!$B$7)^2+('Inputs'!$B$6/2)^2)-(((578-43)*MAX('Inputs'!$B$33,'Inputs'!$B$29+'Inputs'!$B$31+'Inputs'!$B$32,'Inputs'!$B$30+'Inputs'!$B$31+'Inputs'!$B$32)/1000+'Inputs'!$B$21))/SQRT((((578-43)*MAX('Inputs'!$B$33,'Inputs'!$B$29+'Inputs'!$B$31+'Inputs'!$B$32,'Inputs'!$B$30+'Inputs'!$B$31+'Inputs'!$B$32)/1000+'Inputs'!$B$21))^2+('Inputs'!$B$6/2)^2)))-'Results'!C7*(1+'Inputs'!$B$24)*(0.5*((((578-43)*MAX('Inputs'!$B$33,'Inputs'!$B$29+'Inputs'!$B$31+'Inputs'!$B$32,'Inputs'!$B$30+'Inputs'!$B$31+'Inputs'!$B$32)/1000+'Inputs'!$B$21+'Inputs'!$B$7+'Inputs'!$B$10)+'Inputs'!$B$9)/SQRT((((578-43)*MAX('Inputs'!$B$33,'Inputs'!$B$29+'Inputs'!$B$31+'Inputs'!$B$32,'Inputs'!$B$30+'Inputs'!$B$31+'Inputs'!$B$32)/1000+'Inputs'!$B$21+'Inputs'!$B$7+'Inputs'!$B$10)+'Inputs'!$B$9)^2+('Inputs'!$B$8/2)^2)-(((578-43)*MAX('Inputs'!$B$33,'Inputs'!$B$29+'Inputs'!$B$31+'Inputs'!$B$32,'Inputs'!$B$30+'Inputs'!$B$31+'Inputs'!$B$32)/1000+'Inputs'!$B$21+'Inputs'!$B$7+'Inputs'!$B$10))/SQRT((((578-43)*MAX('Inputs'!$B$33,'Inputs'!$B$29+'Inputs'!$B$31+'Inputs'!$B$32,'Inputs'!$B$30+'Inputs'!$B$31+'Inputs'!$B$32)/1000+'Inputs'!$B$21+'Inputs'!$B$7+'Inputs'!$B$10))^2+('Inputs'!$B$8/2)^2))))*'Results'!$B$8)-'Inputs'!$B$28*ABS((('Results'!B7*(1-'Inputs'!$B$24)*(0.5*((((578-43)*MAX('Inputs'!$B$33,'Inputs'!$B$29+'Inputs'!$B$31+'Inputs'!$B$32,'Inputs'!$B$30+'Inputs'!$B$31+'Inputs'!$B$32)/1000+'Inputs'!$B$21)+'Inputs'!$B$7)/SQRT((((578-43)*MAX('Inputs'!$B$33,'Inputs'!$B$29+'Inputs'!$B$31+'Inputs'!$B$32,'Inputs'!$B$30+'Inputs'!$B$31+'Inputs'!$B$32)/1000+'Inputs'!$B$21)+'Inputs'!$B$7)^2+('Inputs'!$B$6/2)^2)-(((578-43)*MAX('Inputs'!$B$33,'Inputs'!$B$29+'Inputs'!$B$31+'Inputs'!$B$32,'Inputs'!$B$30+'Inputs'!$B$31+'Inputs'!$B$32)/1000+'Inputs'!$B$21))/SQRT((((578-43)*MAX('Inputs'!$B$33,'Inputs'!$B$29+'Inputs'!$B$31+'Inputs'!$B$32,'Inputs'!$B$30+'Inputs'!$B$31+'Inputs'!$B$32)/1000+'Inputs'!$B$21))^2+('Inputs'!$B$6/2)^2)))-'Results'!C7*(1+'Inputs'!$B$24)*(0.5*((((578-43)*MAX('Inputs'!$B$33,'Inputs'!$B$29+'Inputs'!$B$31+'Inputs'!$B$32,'Inputs'!$B$30+'Inputs'!$B$31+'Inputs'!$B$32)/1000+'Inputs'!$B$21+'Inputs'!$B$7+'Inputs'!$B$10)+'Inputs'!$B$9)/SQRT((((578-43)*MAX('Inputs'!$B$33,'Inputs'!$B$29+'Inputs'!$B$31+'Inputs'!$B$32,'Inputs'!$B$30+'Inputs'!$B$31+'Inputs'!$B$32)/1000+'Inputs'!$B$21+'Inputs'!$B$7+'Inputs'!$B$10)+'Inputs'!$B$9)^2+('Inputs'!$B$8/2)^2)-(((578-43)*MAX('Inputs'!$B$33,'Inputs'!$B$29+'Inputs'!$B$31+'Inputs'!$B$32,'Inputs'!$B$30+'Inputs'!$B$31+'Inputs'!$B$32)/1000+'Inputs'!$B$21+'Inputs'!$B$7+'Inputs'!$B$10))/SQRT((((578-43)*MAX('Inputs'!$B$33,'Inputs'!$B$29+'Inputs'!$B$31+'Inputs'!$B$32,'Inputs'!$B$30+'Inputs'!$B$31+'Inputs'!$B$32)/1000+'Inputs'!$B$21+'Inputs'!$B$7+'Inputs'!$B$10))^2+('Inputs'!$B$8/2)^2))))*'Results'!$B$8))),"")</x:f>
        <x:v>2.9230133249589256</x:v>
      </x:c>
      <x:c r="L578" t="n">
        <x:f>IF(AND(ISNUMBER('Results'!B7),ISNUMBER('Results'!C7),ISNUMBER('Results'!$B$8),ISNUMBER('Inputs'!$B$6),ISNUMBER('Inputs'!$B$7),ISNUMBER('Inputs'!$B$8),ISNUMBER('Inputs'!$B$9),ISNUMBER('Inputs'!$B$10),ISNUMBER('Inputs'!$B$21),ISNUMBER('Inputs'!$B$24),ISNUMBER('Inputs'!$B$28)),((('Results'!B7*(1+'Inputs'!$B$24)*(0.5*((((578-43)*MAX('Inputs'!$B$33,'Inputs'!$B$29+'Inputs'!$B$31+'Inputs'!$B$32,'Inputs'!$B$30+'Inputs'!$B$31+'Inputs'!$B$32)/1000+'Inputs'!$B$21)+'Inputs'!$B$7)/SQRT((((578-43)*MAX('Inputs'!$B$33,'Inputs'!$B$29+'Inputs'!$B$31+'Inputs'!$B$32,'Inputs'!$B$30+'Inputs'!$B$31+'Inputs'!$B$32)/1000+'Inputs'!$B$21)+'Inputs'!$B$7)^2+('Inputs'!$B$6/2)^2)-(((578-43)*MAX('Inputs'!$B$33,'Inputs'!$B$29+'Inputs'!$B$31+'Inputs'!$B$32,'Inputs'!$B$30+'Inputs'!$B$31+'Inputs'!$B$32)/1000+'Inputs'!$B$21))/SQRT((((578-43)*MAX('Inputs'!$B$33,'Inputs'!$B$29+'Inputs'!$B$31+'Inputs'!$B$32,'Inputs'!$B$30+'Inputs'!$B$31+'Inputs'!$B$32)/1000+'Inputs'!$B$21))^2+('Inputs'!$B$6/2)^2)))-'Results'!C7*(1-'Inputs'!$B$24)*(0.5*((((578-43)*MAX('Inputs'!$B$33,'Inputs'!$B$29+'Inputs'!$B$31+'Inputs'!$B$32,'Inputs'!$B$30+'Inputs'!$B$31+'Inputs'!$B$32)/1000+'Inputs'!$B$21+'Inputs'!$B$7+'Inputs'!$B$10)+'Inputs'!$B$9)/SQRT((((578-43)*MAX('Inputs'!$B$33,'Inputs'!$B$29+'Inputs'!$B$31+'Inputs'!$B$32,'Inputs'!$B$30+'Inputs'!$B$31+'Inputs'!$B$32)/1000+'Inputs'!$B$21+'Inputs'!$B$7+'Inputs'!$B$10)+'Inputs'!$B$9)^2+('Inputs'!$B$8/2)^2)-(((578-43)*MAX('Inputs'!$B$33,'Inputs'!$B$29+'Inputs'!$B$31+'Inputs'!$B$32,'Inputs'!$B$30+'Inputs'!$B$31+'Inputs'!$B$32)/1000+'Inputs'!$B$21+'Inputs'!$B$7+'Inputs'!$B$10))/SQRT((((578-43)*MAX('Inputs'!$B$33,'Inputs'!$B$29+'Inputs'!$B$31+'Inputs'!$B$32,'Inputs'!$B$30+'Inputs'!$B$31+'Inputs'!$B$32)/1000+'Inputs'!$B$21+'Inputs'!$B$7+'Inputs'!$B$10))^2+('Inputs'!$B$8/2)^2))))*'Results'!$B$8)+'Inputs'!$B$28*ABS((('Results'!B7*(1+'Inputs'!$B$24)*(0.5*((((578-43)*MAX('Inputs'!$B$33,'Inputs'!$B$29+'Inputs'!$B$31+'Inputs'!$B$32,'Inputs'!$B$30+'Inputs'!$B$31+'Inputs'!$B$32)/1000+'Inputs'!$B$21)+'Inputs'!$B$7)/SQRT((((578-43)*MAX('Inputs'!$B$33,'Inputs'!$B$29+'Inputs'!$B$31+'Inputs'!$B$32,'Inputs'!$B$30+'Inputs'!$B$31+'Inputs'!$B$32)/1000+'Inputs'!$B$21)+'Inputs'!$B$7)^2+('Inputs'!$B$6/2)^2)-(((578-43)*MAX('Inputs'!$B$33,'Inputs'!$B$29+'Inputs'!$B$31+'Inputs'!$B$32,'Inputs'!$B$30+'Inputs'!$B$31+'Inputs'!$B$32)/1000+'Inputs'!$B$21))/SQRT((((578-43)*MAX('Inputs'!$B$33,'Inputs'!$B$29+'Inputs'!$B$31+'Inputs'!$B$32,'Inputs'!$B$30+'Inputs'!$B$31+'Inputs'!$B$32)/1000+'Inputs'!$B$21))^2+('Inputs'!$B$6/2)^2)))-'Results'!C7*(1-'Inputs'!$B$24)*(0.5*((((578-43)*MAX('Inputs'!$B$33,'Inputs'!$B$29+'Inputs'!$B$31+'Inputs'!$B$32,'Inputs'!$B$30+'Inputs'!$B$31+'Inputs'!$B$32)/1000+'Inputs'!$B$21+'Inputs'!$B$7+'Inputs'!$B$10)+'Inputs'!$B$9)/SQRT((((578-43)*MAX('Inputs'!$B$33,'Inputs'!$B$29+'Inputs'!$B$31+'Inputs'!$B$32,'Inputs'!$B$30+'Inputs'!$B$31+'Inputs'!$B$32)/1000+'Inputs'!$B$21+'Inputs'!$B$7+'Inputs'!$B$10)+'Inputs'!$B$9)^2+('Inputs'!$B$8/2)^2)-(((578-43)*MAX('Inputs'!$B$33,'Inputs'!$B$29+'Inputs'!$B$31+'Inputs'!$B$32,'Inputs'!$B$30+'Inputs'!$B$31+'Inputs'!$B$32)/1000+'Inputs'!$B$21+'Inputs'!$B$7+'Inputs'!$B$10))/SQRT((((578-43)*MAX('Inputs'!$B$33,'Inputs'!$B$29+'Inputs'!$B$31+'Inputs'!$B$32,'Inputs'!$B$30+'Inputs'!$B$31+'Inputs'!$B$32)/1000+'Inputs'!$B$21+'Inputs'!$B$7+'Inputs'!$B$10))^2+('Inputs'!$B$8/2)^2))))*'Results'!$B$8))),"")</x:f>
        <x:v>3.7279043738670343</x:v>
      </x:c>
      <x:c r="M578" t="n">
        <x:f>IF(AND(ISNUMBER('Results'!C7),ISNUMBER('Results'!B7),ISNUMBER('Results'!$B$8),ISNUMBER('Inputs'!$B$6),ISNUMBER('Inputs'!$B$7),ISNUMBER('Inputs'!$B$8),ISNUMBER('Inputs'!$B$9),ISNUMBER('Inputs'!$B$10),ISNUMBER('Inputs'!$B$21),ISNUMBER('Inputs'!$B$24),ISNUMBER('Inputs'!$B$28)),(('Results'!C7*(0.5*((((578-43)*MAX('Inputs'!$B$33,'Inputs'!$B$29+'Inputs'!$B$31+'Inputs'!$B$32,'Inputs'!$B$30+'Inputs'!$B$31+'Inputs'!$B$32)/1000+'Inputs'!$B$21)+'Inputs'!$B$9)/SQRT((((578-43)*MAX('Inputs'!$B$33,'Inputs'!$B$29+'Inputs'!$B$31+'Inputs'!$B$32,'Inputs'!$B$30+'Inputs'!$B$31+'Inputs'!$B$32)/1000+'Inputs'!$B$21)+'Inputs'!$B$9)^2+('Inputs'!$B$8/2)^2)-(((578-43)*MAX('Inputs'!$B$33,'Inputs'!$B$29+'Inputs'!$B$31+'Inputs'!$B$32,'Inputs'!$B$30+'Inputs'!$B$31+'Inputs'!$B$32)/1000+'Inputs'!$B$21))/SQRT((((578-43)*MAX('Inputs'!$B$33,'Inputs'!$B$29+'Inputs'!$B$31+'Inputs'!$B$32,'Inputs'!$B$30+'Inputs'!$B$31+'Inputs'!$B$32)/1000+'Inputs'!$B$21))^2+('Inputs'!$B$8/2)^2)))-'Results'!B7*(0.5*((((578-43)*MAX('Inputs'!$B$33,'Inputs'!$B$29+'Inputs'!$B$31+'Inputs'!$B$32,'Inputs'!$B$30+'Inputs'!$B$31+'Inputs'!$B$32)/1000+'Inputs'!$B$21+'Inputs'!$B$9+'Inputs'!$B$10)+'Inputs'!$B$7)/SQRT((((578-43)*MAX('Inputs'!$B$33,'Inputs'!$B$29+'Inputs'!$B$31+'Inputs'!$B$32,'Inputs'!$B$30+'Inputs'!$B$31+'Inputs'!$B$32)/1000+'Inputs'!$B$21+'Inputs'!$B$9+'Inputs'!$B$10)+'Inputs'!$B$7)^2+('Inputs'!$B$6/2)^2)-(((578-43)*MAX('Inputs'!$B$33,'Inputs'!$B$29+'Inputs'!$B$31+'Inputs'!$B$32,'Inputs'!$B$30+'Inputs'!$B$31+'Inputs'!$B$32)/1000+'Inputs'!$B$21+'Inputs'!$B$9+'Inputs'!$B$10))/SQRT((((578-43)*MAX('Inputs'!$B$33,'Inputs'!$B$29+'Inputs'!$B$31+'Inputs'!$B$32,'Inputs'!$B$30+'Inputs'!$B$31+'Inputs'!$B$32)/1000+'Inputs'!$B$21+'Inputs'!$B$9+'Inputs'!$B$10))^2+('Inputs'!$B$6/2)^2))))*'Results'!$B$8),"")</x:f>
        <x:v>3.07511641642631</x:v>
      </x:c>
      <x:c r="N578" t="n">
        <x:f>IF(AND(ISNUMBER('Results'!C7),ISNUMBER('Results'!B7),ISNUMBER('Results'!$B$8),ISNUMBER('Inputs'!$B$6),ISNUMBER('Inputs'!$B$7),ISNUMBER('Inputs'!$B$8),ISNUMBER('Inputs'!$B$9),ISNUMBER('Inputs'!$B$10),ISNUMBER('Inputs'!$B$21),ISNUMBER('Inputs'!$B$24),ISNUMBER('Inputs'!$B$28)),((('Results'!C7*(1-'Inputs'!$B$24)*(0.5*((((578-43)*MAX('Inputs'!$B$33,'Inputs'!$B$29+'Inputs'!$B$31+'Inputs'!$B$32,'Inputs'!$B$30+'Inputs'!$B$31+'Inputs'!$B$32)/1000+'Inputs'!$B$21)+'Inputs'!$B$9)/SQRT((((578-43)*MAX('Inputs'!$B$33,'Inputs'!$B$29+'Inputs'!$B$31+'Inputs'!$B$32,'Inputs'!$B$30+'Inputs'!$B$31+'Inputs'!$B$32)/1000+'Inputs'!$B$21)+'Inputs'!$B$9)^2+('Inputs'!$B$8/2)^2)-(((578-43)*MAX('Inputs'!$B$33,'Inputs'!$B$29+'Inputs'!$B$31+'Inputs'!$B$32,'Inputs'!$B$30+'Inputs'!$B$31+'Inputs'!$B$32)/1000+'Inputs'!$B$21))/SQRT((((578-43)*MAX('Inputs'!$B$33,'Inputs'!$B$29+'Inputs'!$B$31+'Inputs'!$B$32,'Inputs'!$B$30+'Inputs'!$B$31+'Inputs'!$B$32)/1000+'Inputs'!$B$21))^2+('Inputs'!$B$8/2)^2)))-'Results'!B7*(1+'Inputs'!$B$24)*(0.5*((((578-43)*MAX('Inputs'!$B$33,'Inputs'!$B$29+'Inputs'!$B$31+'Inputs'!$B$32,'Inputs'!$B$30+'Inputs'!$B$31+'Inputs'!$B$32)/1000+'Inputs'!$B$21+'Inputs'!$B$9+'Inputs'!$B$10)+'Inputs'!$B$7)/SQRT((((578-43)*MAX('Inputs'!$B$33,'Inputs'!$B$29+'Inputs'!$B$31+'Inputs'!$B$32,'Inputs'!$B$30+'Inputs'!$B$31+'Inputs'!$B$32)/1000+'Inputs'!$B$21+'Inputs'!$B$9+'Inputs'!$B$10)+'Inputs'!$B$7)^2+('Inputs'!$B$6/2)^2)-(((578-43)*MAX('Inputs'!$B$33,'Inputs'!$B$29+'Inputs'!$B$31+'Inputs'!$B$32,'Inputs'!$B$30+'Inputs'!$B$31+'Inputs'!$B$32)/1000+'Inputs'!$B$21+'Inputs'!$B$9+'Inputs'!$B$10))/SQRT((((578-43)*MAX('Inputs'!$B$33,'Inputs'!$B$29+'Inputs'!$B$31+'Inputs'!$B$32,'Inputs'!$B$30+'Inputs'!$B$31+'Inputs'!$B$32)/1000+'Inputs'!$B$21+'Inputs'!$B$9+'Inputs'!$B$10))^2+('Inputs'!$B$6/2)^2))))*'Results'!$B$8)-'Inputs'!$B$28*ABS((('Results'!C7*(1-'Inputs'!$B$24)*(0.5*((((578-43)*MAX('Inputs'!$B$33,'Inputs'!$B$29+'Inputs'!$B$31+'Inputs'!$B$32,'Inputs'!$B$30+'Inputs'!$B$31+'Inputs'!$B$32)/1000+'Inputs'!$B$21)+'Inputs'!$B$9)/SQRT((((578-43)*MAX('Inputs'!$B$33,'Inputs'!$B$29+'Inputs'!$B$31+'Inputs'!$B$32,'Inputs'!$B$30+'Inputs'!$B$31+'Inputs'!$B$32)/1000+'Inputs'!$B$21)+'Inputs'!$B$9)^2+('Inputs'!$B$8/2)^2)-(((578-43)*MAX('Inputs'!$B$33,'Inputs'!$B$29+'Inputs'!$B$31+'Inputs'!$B$32,'Inputs'!$B$30+'Inputs'!$B$31+'Inputs'!$B$32)/1000+'Inputs'!$B$21))/SQRT((((578-43)*MAX('Inputs'!$B$33,'Inputs'!$B$29+'Inputs'!$B$31+'Inputs'!$B$32,'Inputs'!$B$30+'Inputs'!$B$31+'Inputs'!$B$32)/1000+'Inputs'!$B$21))^2+('Inputs'!$B$8/2)^2)))-'Results'!B7*(1+'Inputs'!$B$24)*(0.5*((((578-43)*MAX('Inputs'!$B$33,'Inputs'!$B$29+'Inputs'!$B$31+'Inputs'!$B$32,'Inputs'!$B$30+'Inputs'!$B$31+'Inputs'!$B$32)/1000+'Inputs'!$B$21+'Inputs'!$B$9+'Inputs'!$B$10)+'Inputs'!$B$7)/SQRT((((578-43)*MAX('Inputs'!$B$33,'Inputs'!$B$29+'Inputs'!$B$31+'Inputs'!$B$32,'Inputs'!$B$30+'Inputs'!$B$31+'Inputs'!$B$32)/1000+'Inputs'!$B$21+'Inputs'!$B$9+'Inputs'!$B$10)+'Inputs'!$B$7)^2+('Inputs'!$B$6/2)^2)-(((578-43)*MAX('Inputs'!$B$33,'Inputs'!$B$29+'Inputs'!$B$31+'Inputs'!$B$32,'Inputs'!$B$30+'Inputs'!$B$31+'Inputs'!$B$32)/1000+'Inputs'!$B$21+'Inputs'!$B$9+'Inputs'!$B$10))/SQRT((((578-43)*MAX('Inputs'!$B$33,'Inputs'!$B$29+'Inputs'!$B$31+'Inputs'!$B$32,'Inputs'!$B$30+'Inputs'!$B$31+'Inputs'!$B$32)/1000+'Inputs'!$B$21+'Inputs'!$B$9+'Inputs'!$B$10))^2+('Inputs'!$B$6/2)^2))))*'Results'!$B$8))),"")</x:f>
        <x:v>2.6976604482996964</x:v>
      </x:c>
      <x:c r="O578" t="n">
        <x:f>IF(AND(ISNUMBER('Results'!C7),ISNUMBER('Results'!B7),ISNUMBER('Results'!$B$8),ISNUMBER('Inputs'!$B$6),ISNUMBER('Inputs'!$B$7),ISNUMBER('Inputs'!$B$8),ISNUMBER('Inputs'!$B$9),ISNUMBER('Inputs'!$B$10),ISNUMBER('Inputs'!$B$21),ISNUMBER('Inputs'!$B$24),ISNUMBER('Inputs'!$B$28)),((('Results'!C7*(1+'Inputs'!$B$24)*(0.5*((((578-43)*MAX('Inputs'!$B$33,'Inputs'!$B$29+'Inputs'!$B$31+'Inputs'!$B$32,'Inputs'!$B$30+'Inputs'!$B$31+'Inputs'!$B$32)/1000+'Inputs'!$B$21)+'Inputs'!$B$9)/SQRT((((578-43)*MAX('Inputs'!$B$33,'Inputs'!$B$29+'Inputs'!$B$31+'Inputs'!$B$32,'Inputs'!$B$30+'Inputs'!$B$31+'Inputs'!$B$32)/1000+'Inputs'!$B$21)+'Inputs'!$B$9)^2+('Inputs'!$B$8/2)^2)-(((578-43)*MAX('Inputs'!$B$33,'Inputs'!$B$29+'Inputs'!$B$31+'Inputs'!$B$32,'Inputs'!$B$30+'Inputs'!$B$31+'Inputs'!$B$32)/1000+'Inputs'!$B$21))/SQRT((((578-43)*MAX('Inputs'!$B$33,'Inputs'!$B$29+'Inputs'!$B$31+'Inputs'!$B$32,'Inputs'!$B$30+'Inputs'!$B$31+'Inputs'!$B$32)/1000+'Inputs'!$B$21))^2+('Inputs'!$B$8/2)^2)))-'Results'!B7*(1-'Inputs'!$B$24)*(0.5*((((578-43)*MAX('Inputs'!$B$33,'Inputs'!$B$29+'Inputs'!$B$31+'Inputs'!$B$32,'Inputs'!$B$30+'Inputs'!$B$31+'Inputs'!$B$32)/1000+'Inputs'!$B$21+'Inputs'!$B$9+'Inputs'!$B$10)+'Inputs'!$B$7)/SQRT((((578-43)*MAX('Inputs'!$B$33,'Inputs'!$B$29+'Inputs'!$B$31+'Inputs'!$B$32,'Inputs'!$B$30+'Inputs'!$B$31+'Inputs'!$B$32)/1000+'Inputs'!$B$21+'Inputs'!$B$9+'Inputs'!$B$10)+'Inputs'!$B$7)^2+('Inputs'!$B$6/2)^2)-(((578-43)*MAX('Inputs'!$B$33,'Inputs'!$B$29+'Inputs'!$B$31+'Inputs'!$B$32,'Inputs'!$B$30+'Inputs'!$B$31+'Inputs'!$B$32)/1000+'Inputs'!$B$21+'Inputs'!$B$9+'Inputs'!$B$10))/SQRT((((578-43)*MAX('Inputs'!$B$33,'Inputs'!$B$29+'Inputs'!$B$31+'Inputs'!$B$32,'Inputs'!$B$30+'Inputs'!$B$31+'Inputs'!$B$32)/1000+'Inputs'!$B$21+'Inputs'!$B$9+'Inputs'!$B$10))^2+('Inputs'!$B$6/2)^2))))*'Results'!$B$8)+'Inputs'!$B$28*ABS((('Results'!C7*(1+'Inputs'!$B$24)*(0.5*((((578-43)*MAX('Inputs'!$B$33,'Inputs'!$B$29+'Inputs'!$B$31+'Inputs'!$B$32,'Inputs'!$B$30+'Inputs'!$B$31+'Inputs'!$B$32)/1000+'Inputs'!$B$21)+'Inputs'!$B$9)/SQRT((((578-43)*MAX('Inputs'!$B$33,'Inputs'!$B$29+'Inputs'!$B$31+'Inputs'!$B$32,'Inputs'!$B$30+'Inputs'!$B$31+'Inputs'!$B$32)/1000+'Inputs'!$B$21)+'Inputs'!$B$9)^2+('Inputs'!$B$8/2)^2)-(((578-43)*MAX('Inputs'!$B$33,'Inputs'!$B$29+'Inputs'!$B$31+'Inputs'!$B$32,'Inputs'!$B$30+'Inputs'!$B$31+'Inputs'!$B$32)/1000+'Inputs'!$B$21))/SQRT((((578-43)*MAX('Inputs'!$B$33,'Inputs'!$B$29+'Inputs'!$B$31+'Inputs'!$B$32,'Inputs'!$B$30+'Inputs'!$B$31+'Inputs'!$B$32)/1000+'Inputs'!$B$21))^2+('Inputs'!$B$8/2)^2)))-'Results'!B7*(1-'Inputs'!$B$24)*(0.5*((((578-43)*MAX('Inputs'!$B$33,'Inputs'!$B$29+'Inputs'!$B$31+'Inputs'!$B$32,'Inputs'!$B$30+'Inputs'!$B$31+'Inputs'!$B$32)/1000+'Inputs'!$B$21+'Inputs'!$B$9+'Inputs'!$B$10)+'Inputs'!$B$7)/SQRT((((578-43)*MAX('Inputs'!$B$33,'Inputs'!$B$29+'Inputs'!$B$31+'Inputs'!$B$32,'Inputs'!$B$30+'Inputs'!$B$31+'Inputs'!$B$32)/1000+'Inputs'!$B$21+'Inputs'!$B$9+'Inputs'!$B$10)+'Inputs'!$B$7)^2+('Inputs'!$B$6/2)^2)-(((578-43)*MAX('Inputs'!$B$33,'Inputs'!$B$29+'Inputs'!$B$31+'Inputs'!$B$32,'Inputs'!$B$30+'Inputs'!$B$31+'Inputs'!$B$32)/1000+'Inputs'!$B$21+'Inputs'!$B$9+'Inputs'!$B$10))/SQRT((((578-43)*MAX('Inputs'!$B$33,'Inputs'!$B$29+'Inputs'!$B$31+'Inputs'!$B$32,'Inputs'!$B$30+'Inputs'!$B$31+'Inputs'!$B$32)/1000+'Inputs'!$B$21+'Inputs'!$B$9+'Inputs'!$B$10))^2+('Inputs'!$B$6/2)^2))))*'Results'!$B$8))),"")</x:f>
        <x:v>3.476119768479795</x:v>
      </x:c>
      <x:c r="P578" t="n">
        <x:f>IF(AND(MAX(J578,J577)&gt;0,J578&gt;J577+0.00000001),1,0)</x:f>
        <x:v>0</x:v>
      </x:c>
      <x:c r="Q578" t="n">
        <x:f>IF(AND(MAX(K578,K577)&gt;0,K578&gt;K577+0.00000001),1,0)</x:f>
        <x:v>0</x:v>
      </x:c>
      <x:c r="R578" t="n">
        <x:f>IF(AND(MAX(L578,L577)&gt;0,L578&gt;L577+0.00000001),1,0)</x:f>
        <x:v>0</x:v>
      </x:c>
      <x:c r="S578" t="n">
        <x:f>IF(AND(MAX(M578,M577)&gt;0,M578&gt;M577+0.00000001),1,0)</x:f>
        <x:v>0</x:v>
      </x:c>
      <x:c r="T578" t="n">
        <x:f>IF(AND(MAX(N578,N577)&gt;0,N578&gt;N577+0.00000001),1,0)</x:f>
        <x:v>0</x:v>
      </x:c>
      <x:c r="U578" t="n">
        <x:f>IF(AND(MAX(O578,O577)&gt;0,O578&gt;O577+0.00000001),1,0)</x:f>
        <x:v>0</x:v>
      </x:c>
    </x:row>
    <x:row r="579">
      <x:c r="J579" t="n">
        <x:f>IF(AND(ISNUMBER('Results'!B7),ISNUMBER('Results'!C7),ISNUMBER('Results'!$B$8),ISNUMBER('Inputs'!$B$6),ISNUMBER('Inputs'!$B$7),ISNUMBER('Inputs'!$B$8),ISNUMBER('Inputs'!$B$9),ISNUMBER('Inputs'!$B$10),ISNUMBER('Inputs'!$B$21),ISNUMBER('Inputs'!$B$24),ISNUMBER('Inputs'!$B$28)),(('Results'!B7*(0.5*((((579-43)*MAX('Inputs'!$B$33,'Inputs'!$B$29+'Inputs'!$B$31+'Inputs'!$B$32,'Inputs'!$B$30+'Inputs'!$B$31+'Inputs'!$B$32)/1000+'Inputs'!$B$21)+'Inputs'!$B$7)/SQRT((((579-43)*MAX('Inputs'!$B$33,'Inputs'!$B$29+'Inputs'!$B$31+'Inputs'!$B$32,'Inputs'!$B$30+'Inputs'!$B$31+'Inputs'!$B$32)/1000+'Inputs'!$B$21)+'Inputs'!$B$7)^2+('Inputs'!$B$6/2)^2)-(((579-43)*MAX('Inputs'!$B$33,'Inputs'!$B$29+'Inputs'!$B$31+'Inputs'!$B$32,'Inputs'!$B$30+'Inputs'!$B$31+'Inputs'!$B$32)/1000+'Inputs'!$B$21))/SQRT((((579-43)*MAX('Inputs'!$B$33,'Inputs'!$B$29+'Inputs'!$B$31+'Inputs'!$B$32,'Inputs'!$B$30+'Inputs'!$B$31+'Inputs'!$B$32)/1000+'Inputs'!$B$21))^2+('Inputs'!$B$6/2)^2)))-'Results'!C7*(0.5*((((579-43)*MAX('Inputs'!$B$33,'Inputs'!$B$29+'Inputs'!$B$31+'Inputs'!$B$32,'Inputs'!$B$30+'Inputs'!$B$31+'Inputs'!$B$32)/1000+'Inputs'!$B$21+'Inputs'!$B$7+'Inputs'!$B$10)+'Inputs'!$B$9)/SQRT((((579-43)*MAX('Inputs'!$B$33,'Inputs'!$B$29+'Inputs'!$B$31+'Inputs'!$B$32,'Inputs'!$B$30+'Inputs'!$B$31+'Inputs'!$B$32)/1000+'Inputs'!$B$21+'Inputs'!$B$7+'Inputs'!$B$10)+'Inputs'!$B$9)^2+('Inputs'!$B$8/2)^2)-(((579-43)*MAX('Inputs'!$B$33,'Inputs'!$B$29+'Inputs'!$B$31+'Inputs'!$B$32,'Inputs'!$B$30+'Inputs'!$B$31+'Inputs'!$B$32)/1000+'Inputs'!$B$21+'Inputs'!$B$7+'Inputs'!$B$10))/SQRT((((579-43)*MAX('Inputs'!$B$33,'Inputs'!$B$29+'Inputs'!$B$31+'Inputs'!$B$32,'Inputs'!$B$30+'Inputs'!$B$31+'Inputs'!$B$32)/1000+'Inputs'!$B$21+'Inputs'!$B$7+'Inputs'!$B$10))^2+('Inputs'!$B$8/2)^2))))*'Results'!$B$8),"")</x:f>
        <x:v>3.2923563527317845</x:v>
      </x:c>
      <x:c r="K579" t="n">
        <x:f>IF(AND(ISNUMBER('Results'!B7),ISNUMBER('Results'!C7),ISNUMBER('Results'!$B$8),ISNUMBER('Inputs'!$B$6),ISNUMBER('Inputs'!$B$7),ISNUMBER('Inputs'!$B$8),ISNUMBER('Inputs'!$B$9),ISNUMBER('Inputs'!$B$10),ISNUMBER('Inputs'!$B$21),ISNUMBER('Inputs'!$B$24),ISNUMBER('Inputs'!$B$28)),((('Results'!B7*(1-'Inputs'!$B$24)*(0.5*((((579-43)*MAX('Inputs'!$B$33,'Inputs'!$B$29+'Inputs'!$B$31+'Inputs'!$B$32,'Inputs'!$B$30+'Inputs'!$B$31+'Inputs'!$B$32)/1000+'Inputs'!$B$21)+'Inputs'!$B$7)/SQRT((((579-43)*MAX('Inputs'!$B$33,'Inputs'!$B$29+'Inputs'!$B$31+'Inputs'!$B$32,'Inputs'!$B$30+'Inputs'!$B$31+'Inputs'!$B$32)/1000+'Inputs'!$B$21)+'Inputs'!$B$7)^2+('Inputs'!$B$6/2)^2)-(((579-43)*MAX('Inputs'!$B$33,'Inputs'!$B$29+'Inputs'!$B$31+'Inputs'!$B$32,'Inputs'!$B$30+'Inputs'!$B$31+'Inputs'!$B$32)/1000+'Inputs'!$B$21))/SQRT((((579-43)*MAX('Inputs'!$B$33,'Inputs'!$B$29+'Inputs'!$B$31+'Inputs'!$B$32,'Inputs'!$B$30+'Inputs'!$B$31+'Inputs'!$B$32)/1000+'Inputs'!$B$21))^2+('Inputs'!$B$6/2)^2)))-'Results'!C7*(1+'Inputs'!$B$24)*(0.5*((((579-43)*MAX('Inputs'!$B$33,'Inputs'!$B$29+'Inputs'!$B$31+'Inputs'!$B$32,'Inputs'!$B$30+'Inputs'!$B$31+'Inputs'!$B$32)/1000+'Inputs'!$B$21+'Inputs'!$B$7+'Inputs'!$B$10)+'Inputs'!$B$9)/SQRT((((579-43)*MAX('Inputs'!$B$33,'Inputs'!$B$29+'Inputs'!$B$31+'Inputs'!$B$32,'Inputs'!$B$30+'Inputs'!$B$31+'Inputs'!$B$32)/1000+'Inputs'!$B$21+'Inputs'!$B$7+'Inputs'!$B$10)+'Inputs'!$B$9)^2+('Inputs'!$B$8/2)^2)-(((579-43)*MAX('Inputs'!$B$33,'Inputs'!$B$29+'Inputs'!$B$31+'Inputs'!$B$32,'Inputs'!$B$30+'Inputs'!$B$31+'Inputs'!$B$32)/1000+'Inputs'!$B$21+'Inputs'!$B$7+'Inputs'!$B$10))/SQRT((((579-43)*MAX('Inputs'!$B$33,'Inputs'!$B$29+'Inputs'!$B$31+'Inputs'!$B$32,'Inputs'!$B$30+'Inputs'!$B$31+'Inputs'!$B$32)/1000+'Inputs'!$B$21+'Inputs'!$B$7+'Inputs'!$B$10))^2+('Inputs'!$B$8/2)^2))))*'Results'!$B$8)-'Inputs'!$B$28*ABS((('Results'!B7*(1-'Inputs'!$B$24)*(0.5*((((579-43)*MAX('Inputs'!$B$33,'Inputs'!$B$29+'Inputs'!$B$31+'Inputs'!$B$32,'Inputs'!$B$30+'Inputs'!$B$31+'Inputs'!$B$32)/1000+'Inputs'!$B$21)+'Inputs'!$B$7)/SQRT((((579-43)*MAX('Inputs'!$B$33,'Inputs'!$B$29+'Inputs'!$B$31+'Inputs'!$B$32,'Inputs'!$B$30+'Inputs'!$B$31+'Inputs'!$B$32)/1000+'Inputs'!$B$21)+'Inputs'!$B$7)^2+('Inputs'!$B$6/2)^2)-(((579-43)*MAX('Inputs'!$B$33,'Inputs'!$B$29+'Inputs'!$B$31+'Inputs'!$B$32,'Inputs'!$B$30+'Inputs'!$B$31+'Inputs'!$B$32)/1000+'Inputs'!$B$21))/SQRT((((579-43)*MAX('Inputs'!$B$33,'Inputs'!$B$29+'Inputs'!$B$31+'Inputs'!$B$32,'Inputs'!$B$30+'Inputs'!$B$31+'Inputs'!$B$32)/1000+'Inputs'!$B$21))^2+('Inputs'!$B$6/2)^2)))-'Results'!C7*(1+'Inputs'!$B$24)*(0.5*((((579-43)*MAX('Inputs'!$B$33,'Inputs'!$B$29+'Inputs'!$B$31+'Inputs'!$B$32,'Inputs'!$B$30+'Inputs'!$B$31+'Inputs'!$B$32)/1000+'Inputs'!$B$21+'Inputs'!$B$7+'Inputs'!$B$10)+'Inputs'!$B$9)/SQRT((((579-43)*MAX('Inputs'!$B$33,'Inputs'!$B$29+'Inputs'!$B$31+'Inputs'!$B$32,'Inputs'!$B$30+'Inputs'!$B$31+'Inputs'!$B$32)/1000+'Inputs'!$B$21+'Inputs'!$B$7+'Inputs'!$B$10)+'Inputs'!$B$9)^2+('Inputs'!$B$8/2)^2)-(((579-43)*MAX('Inputs'!$B$33,'Inputs'!$B$29+'Inputs'!$B$31+'Inputs'!$B$32,'Inputs'!$B$30+'Inputs'!$B$31+'Inputs'!$B$32)/1000+'Inputs'!$B$21+'Inputs'!$B$7+'Inputs'!$B$10))/SQRT((((579-43)*MAX('Inputs'!$B$33,'Inputs'!$B$29+'Inputs'!$B$31+'Inputs'!$B$32,'Inputs'!$B$30+'Inputs'!$B$31+'Inputs'!$B$32)/1000+'Inputs'!$B$21+'Inputs'!$B$7+'Inputs'!$B$10))^2+('Inputs'!$B$8/2)^2))))*'Results'!$B$8))),"")</x:f>
        <x:v>2.90393066192558</x:v>
      </x:c>
      <x:c r="L579" t="n">
        <x:f>IF(AND(ISNUMBER('Results'!B7),ISNUMBER('Results'!C7),ISNUMBER('Results'!$B$8),ISNUMBER('Inputs'!$B$6),ISNUMBER('Inputs'!$B$7),ISNUMBER('Inputs'!$B$8),ISNUMBER('Inputs'!$B$9),ISNUMBER('Inputs'!$B$10),ISNUMBER('Inputs'!$B$21),ISNUMBER('Inputs'!$B$24),ISNUMBER('Inputs'!$B$28)),((('Results'!B7*(1+'Inputs'!$B$24)*(0.5*((((579-43)*MAX('Inputs'!$B$33,'Inputs'!$B$29+'Inputs'!$B$31+'Inputs'!$B$32,'Inputs'!$B$30+'Inputs'!$B$31+'Inputs'!$B$32)/1000+'Inputs'!$B$21)+'Inputs'!$B$7)/SQRT((((579-43)*MAX('Inputs'!$B$33,'Inputs'!$B$29+'Inputs'!$B$31+'Inputs'!$B$32,'Inputs'!$B$30+'Inputs'!$B$31+'Inputs'!$B$32)/1000+'Inputs'!$B$21)+'Inputs'!$B$7)^2+('Inputs'!$B$6/2)^2)-(((579-43)*MAX('Inputs'!$B$33,'Inputs'!$B$29+'Inputs'!$B$31+'Inputs'!$B$32,'Inputs'!$B$30+'Inputs'!$B$31+'Inputs'!$B$32)/1000+'Inputs'!$B$21))/SQRT((((579-43)*MAX('Inputs'!$B$33,'Inputs'!$B$29+'Inputs'!$B$31+'Inputs'!$B$32,'Inputs'!$B$30+'Inputs'!$B$31+'Inputs'!$B$32)/1000+'Inputs'!$B$21))^2+('Inputs'!$B$6/2)^2)))-'Results'!C7*(1-'Inputs'!$B$24)*(0.5*((((579-43)*MAX('Inputs'!$B$33,'Inputs'!$B$29+'Inputs'!$B$31+'Inputs'!$B$32,'Inputs'!$B$30+'Inputs'!$B$31+'Inputs'!$B$32)/1000+'Inputs'!$B$21+'Inputs'!$B$7+'Inputs'!$B$10)+'Inputs'!$B$9)/SQRT((((579-43)*MAX('Inputs'!$B$33,'Inputs'!$B$29+'Inputs'!$B$31+'Inputs'!$B$32,'Inputs'!$B$30+'Inputs'!$B$31+'Inputs'!$B$32)/1000+'Inputs'!$B$21+'Inputs'!$B$7+'Inputs'!$B$10)+'Inputs'!$B$9)^2+('Inputs'!$B$8/2)^2)-(((579-43)*MAX('Inputs'!$B$33,'Inputs'!$B$29+'Inputs'!$B$31+'Inputs'!$B$32,'Inputs'!$B$30+'Inputs'!$B$31+'Inputs'!$B$32)/1000+'Inputs'!$B$21+'Inputs'!$B$7+'Inputs'!$B$10))/SQRT((((579-43)*MAX('Inputs'!$B$33,'Inputs'!$B$29+'Inputs'!$B$31+'Inputs'!$B$32,'Inputs'!$B$30+'Inputs'!$B$31+'Inputs'!$B$32)/1000+'Inputs'!$B$21+'Inputs'!$B$7+'Inputs'!$B$10))^2+('Inputs'!$B$8/2)^2))))*'Results'!$B$8)+'Inputs'!$B$28*ABS((('Results'!B7*(1+'Inputs'!$B$24)*(0.5*((((579-43)*MAX('Inputs'!$B$33,'Inputs'!$B$29+'Inputs'!$B$31+'Inputs'!$B$32,'Inputs'!$B$30+'Inputs'!$B$31+'Inputs'!$B$32)/1000+'Inputs'!$B$21)+'Inputs'!$B$7)/SQRT((((579-43)*MAX('Inputs'!$B$33,'Inputs'!$B$29+'Inputs'!$B$31+'Inputs'!$B$32,'Inputs'!$B$30+'Inputs'!$B$31+'Inputs'!$B$32)/1000+'Inputs'!$B$21)+'Inputs'!$B$7)^2+('Inputs'!$B$6/2)^2)-(((579-43)*MAX('Inputs'!$B$33,'Inputs'!$B$29+'Inputs'!$B$31+'Inputs'!$B$32,'Inputs'!$B$30+'Inputs'!$B$31+'Inputs'!$B$32)/1000+'Inputs'!$B$21))/SQRT((((579-43)*MAX('Inputs'!$B$33,'Inputs'!$B$29+'Inputs'!$B$31+'Inputs'!$B$32,'Inputs'!$B$30+'Inputs'!$B$31+'Inputs'!$B$32)/1000+'Inputs'!$B$21))^2+('Inputs'!$B$6/2)^2)))-'Results'!C7*(1-'Inputs'!$B$24)*(0.5*((((579-43)*MAX('Inputs'!$B$33,'Inputs'!$B$29+'Inputs'!$B$31+'Inputs'!$B$32,'Inputs'!$B$30+'Inputs'!$B$31+'Inputs'!$B$32)/1000+'Inputs'!$B$21+'Inputs'!$B$7+'Inputs'!$B$10)+'Inputs'!$B$9)/SQRT((((579-43)*MAX('Inputs'!$B$33,'Inputs'!$B$29+'Inputs'!$B$31+'Inputs'!$B$32,'Inputs'!$B$30+'Inputs'!$B$31+'Inputs'!$B$32)/1000+'Inputs'!$B$21+'Inputs'!$B$7+'Inputs'!$B$10)+'Inputs'!$B$9)^2+('Inputs'!$B$8/2)^2)-(((579-43)*MAX('Inputs'!$B$33,'Inputs'!$B$29+'Inputs'!$B$31+'Inputs'!$B$32,'Inputs'!$B$30+'Inputs'!$B$31+'Inputs'!$B$32)/1000+'Inputs'!$B$21+'Inputs'!$B$7+'Inputs'!$B$10))/SQRT((((579-43)*MAX('Inputs'!$B$33,'Inputs'!$B$29+'Inputs'!$B$31+'Inputs'!$B$32,'Inputs'!$B$30+'Inputs'!$B$31+'Inputs'!$B$32)/1000+'Inputs'!$B$21+'Inputs'!$B$7+'Inputs'!$B$10))^2+('Inputs'!$B$8/2)^2))))*'Results'!$B$8))),"")</x:f>
        <x:v>3.7043407670295285</x:v>
      </x:c>
      <x:c r="M579" t="n">
        <x:f>IF(AND(ISNUMBER('Results'!C7),ISNUMBER('Results'!B7),ISNUMBER('Results'!$B$8),ISNUMBER('Inputs'!$B$6),ISNUMBER('Inputs'!$B$7),ISNUMBER('Inputs'!$B$8),ISNUMBER('Inputs'!$B$9),ISNUMBER('Inputs'!$B$10),ISNUMBER('Inputs'!$B$21),ISNUMBER('Inputs'!$B$24),ISNUMBER('Inputs'!$B$28)),(('Results'!C7*(0.5*((((579-43)*MAX('Inputs'!$B$33,'Inputs'!$B$29+'Inputs'!$B$31+'Inputs'!$B$32,'Inputs'!$B$30+'Inputs'!$B$31+'Inputs'!$B$32)/1000+'Inputs'!$B$21)+'Inputs'!$B$9)/SQRT((((579-43)*MAX('Inputs'!$B$33,'Inputs'!$B$29+'Inputs'!$B$31+'Inputs'!$B$32,'Inputs'!$B$30+'Inputs'!$B$31+'Inputs'!$B$32)/1000+'Inputs'!$B$21)+'Inputs'!$B$9)^2+('Inputs'!$B$8/2)^2)-(((579-43)*MAX('Inputs'!$B$33,'Inputs'!$B$29+'Inputs'!$B$31+'Inputs'!$B$32,'Inputs'!$B$30+'Inputs'!$B$31+'Inputs'!$B$32)/1000+'Inputs'!$B$21))/SQRT((((579-43)*MAX('Inputs'!$B$33,'Inputs'!$B$29+'Inputs'!$B$31+'Inputs'!$B$32,'Inputs'!$B$30+'Inputs'!$B$31+'Inputs'!$B$32)/1000+'Inputs'!$B$21))^2+('Inputs'!$B$8/2)^2)))-'Results'!B7*(0.5*((((579-43)*MAX('Inputs'!$B$33,'Inputs'!$B$29+'Inputs'!$B$31+'Inputs'!$B$32,'Inputs'!$B$30+'Inputs'!$B$31+'Inputs'!$B$32)/1000+'Inputs'!$B$21+'Inputs'!$B$9+'Inputs'!$B$10)+'Inputs'!$B$7)/SQRT((((579-43)*MAX('Inputs'!$B$33,'Inputs'!$B$29+'Inputs'!$B$31+'Inputs'!$B$32,'Inputs'!$B$30+'Inputs'!$B$31+'Inputs'!$B$32)/1000+'Inputs'!$B$21+'Inputs'!$B$9+'Inputs'!$B$10)+'Inputs'!$B$7)^2+('Inputs'!$B$6/2)^2)-(((579-43)*MAX('Inputs'!$B$33,'Inputs'!$B$29+'Inputs'!$B$31+'Inputs'!$B$32,'Inputs'!$B$30+'Inputs'!$B$31+'Inputs'!$B$32)/1000+'Inputs'!$B$21+'Inputs'!$B$9+'Inputs'!$B$10))/SQRT((((579-43)*MAX('Inputs'!$B$33,'Inputs'!$B$29+'Inputs'!$B$31+'Inputs'!$B$32,'Inputs'!$B$30+'Inputs'!$B$31+'Inputs'!$B$32)/1000+'Inputs'!$B$21+'Inputs'!$B$9+'Inputs'!$B$10))^2+('Inputs'!$B$6/2)^2))))*'Results'!$B$8),"")</x:f>
        <x:v>3.0550370758994543</x:v>
      </x:c>
      <x:c r="N579" t="n">
        <x:f>IF(AND(ISNUMBER('Results'!C7),ISNUMBER('Results'!B7),ISNUMBER('Results'!$B$8),ISNUMBER('Inputs'!$B$6),ISNUMBER('Inputs'!$B$7),ISNUMBER('Inputs'!$B$8),ISNUMBER('Inputs'!$B$9),ISNUMBER('Inputs'!$B$10),ISNUMBER('Inputs'!$B$21),ISNUMBER('Inputs'!$B$24),ISNUMBER('Inputs'!$B$28)),((('Results'!C7*(1-'Inputs'!$B$24)*(0.5*((((579-43)*MAX('Inputs'!$B$33,'Inputs'!$B$29+'Inputs'!$B$31+'Inputs'!$B$32,'Inputs'!$B$30+'Inputs'!$B$31+'Inputs'!$B$32)/1000+'Inputs'!$B$21)+'Inputs'!$B$9)/SQRT((((579-43)*MAX('Inputs'!$B$33,'Inputs'!$B$29+'Inputs'!$B$31+'Inputs'!$B$32,'Inputs'!$B$30+'Inputs'!$B$31+'Inputs'!$B$32)/1000+'Inputs'!$B$21)+'Inputs'!$B$9)^2+('Inputs'!$B$8/2)^2)-(((579-43)*MAX('Inputs'!$B$33,'Inputs'!$B$29+'Inputs'!$B$31+'Inputs'!$B$32,'Inputs'!$B$30+'Inputs'!$B$31+'Inputs'!$B$32)/1000+'Inputs'!$B$21))/SQRT((((579-43)*MAX('Inputs'!$B$33,'Inputs'!$B$29+'Inputs'!$B$31+'Inputs'!$B$32,'Inputs'!$B$30+'Inputs'!$B$31+'Inputs'!$B$32)/1000+'Inputs'!$B$21))^2+('Inputs'!$B$8/2)^2)))-'Results'!B7*(1+'Inputs'!$B$24)*(0.5*((((579-43)*MAX('Inputs'!$B$33,'Inputs'!$B$29+'Inputs'!$B$31+'Inputs'!$B$32,'Inputs'!$B$30+'Inputs'!$B$31+'Inputs'!$B$32)/1000+'Inputs'!$B$21+'Inputs'!$B$9+'Inputs'!$B$10)+'Inputs'!$B$7)/SQRT((((579-43)*MAX('Inputs'!$B$33,'Inputs'!$B$29+'Inputs'!$B$31+'Inputs'!$B$32,'Inputs'!$B$30+'Inputs'!$B$31+'Inputs'!$B$32)/1000+'Inputs'!$B$21+'Inputs'!$B$9+'Inputs'!$B$10)+'Inputs'!$B$7)^2+('Inputs'!$B$6/2)^2)-(((579-43)*MAX('Inputs'!$B$33,'Inputs'!$B$29+'Inputs'!$B$31+'Inputs'!$B$32,'Inputs'!$B$30+'Inputs'!$B$31+'Inputs'!$B$32)/1000+'Inputs'!$B$21+'Inputs'!$B$9+'Inputs'!$B$10))/SQRT((((579-43)*MAX('Inputs'!$B$33,'Inputs'!$B$29+'Inputs'!$B$31+'Inputs'!$B$32,'Inputs'!$B$30+'Inputs'!$B$31+'Inputs'!$B$32)/1000+'Inputs'!$B$21+'Inputs'!$B$9+'Inputs'!$B$10))^2+('Inputs'!$B$6/2)^2))))*'Results'!$B$8)-'Inputs'!$B$28*ABS((('Results'!C7*(1-'Inputs'!$B$24)*(0.5*((((579-43)*MAX('Inputs'!$B$33,'Inputs'!$B$29+'Inputs'!$B$31+'Inputs'!$B$32,'Inputs'!$B$30+'Inputs'!$B$31+'Inputs'!$B$32)/1000+'Inputs'!$B$21)+'Inputs'!$B$9)/SQRT((((579-43)*MAX('Inputs'!$B$33,'Inputs'!$B$29+'Inputs'!$B$31+'Inputs'!$B$32,'Inputs'!$B$30+'Inputs'!$B$31+'Inputs'!$B$32)/1000+'Inputs'!$B$21)+'Inputs'!$B$9)^2+('Inputs'!$B$8/2)^2)-(((579-43)*MAX('Inputs'!$B$33,'Inputs'!$B$29+'Inputs'!$B$31+'Inputs'!$B$32,'Inputs'!$B$30+'Inputs'!$B$31+'Inputs'!$B$32)/1000+'Inputs'!$B$21))/SQRT((((579-43)*MAX('Inputs'!$B$33,'Inputs'!$B$29+'Inputs'!$B$31+'Inputs'!$B$32,'Inputs'!$B$30+'Inputs'!$B$31+'Inputs'!$B$32)/1000+'Inputs'!$B$21))^2+('Inputs'!$B$8/2)^2)))-'Results'!B7*(1+'Inputs'!$B$24)*(0.5*((((579-43)*MAX('Inputs'!$B$33,'Inputs'!$B$29+'Inputs'!$B$31+'Inputs'!$B$32,'Inputs'!$B$30+'Inputs'!$B$31+'Inputs'!$B$32)/1000+'Inputs'!$B$21+'Inputs'!$B$9+'Inputs'!$B$10)+'Inputs'!$B$7)/SQRT((((579-43)*MAX('Inputs'!$B$33,'Inputs'!$B$29+'Inputs'!$B$31+'Inputs'!$B$32,'Inputs'!$B$30+'Inputs'!$B$31+'Inputs'!$B$32)/1000+'Inputs'!$B$21+'Inputs'!$B$9+'Inputs'!$B$10)+'Inputs'!$B$7)^2+('Inputs'!$B$6/2)^2)-(((579-43)*MAX('Inputs'!$B$33,'Inputs'!$B$29+'Inputs'!$B$31+'Inputs'!$B$32,'Inputs'!$B$30+'Inputs'!$B$31+'Inputs'!$B$32)/1000+'Inputs'!$B$21+'Inputs'!$B$9+'Inputs'!$B$10))/SQRT((((579-43)*MAX('Inputs'!$B$33,'Inputs'!$B$29+'Inputs'!$B$31+'Inputs'!$B$32,'Inputs'!$B$30+'Inputs'!$B$31+'Inputs'!$B$32)/1000+'Inputs'!$B$21+'Inputs'!$B$9+'Inputs'!$B$10))^2+('Inputs'!$B$6/2)^2))))*'Results'!$B$8))),"")</x:f>
        <x:v>2.679695535552482</x:v>
      </x:c>
      <x:c r="O579" t="n">
        <x:f>IF(AND(ISNUMBER('Results'!C7),ISNUMBER('Results'!B7),ISNUMBER('Results'!$B$8),ISNUMBER('Inputs'!$B$6),ISNUMBER('Inputs'!$B$7),ISNUMBER('Inputs'!$B$8),ISNUMBER('Inputs'!$B$9),ISNUMBER('Inputs'!$B$10),ISNUMBER('Inputs'!$B$21),ISNUMBER('Inputs'!$B$24),ISNUMBER('Inputs'!$B$28)),((('Results'!C7*(1+'Inputs'!$B$24)*(0.5*((((579-43)*MAX('Inputs'!$B$33,'Inputs'!$B$29+'Inputs'!$B$31+'Inputs'!$B$32,'Inputs'!$B$30+'Inputs'!$B$31+'Inputs'!$B$32)/1000+'Inputs'!$B$21)+'Inputs'!$B$9)/SQRT((((579-43)*MAX('Inputs'!$B$33,'Inputs'!$B$29+'Inputs'!$B$31+'Inputs'!$B$32,'Inputs'!$B$30+'Inputs'!$B$31+'Inputs'!$B$32)/1000+'Inputs'!$B$21)+'Inputs'!$B$9)^2+('Inputs'!$B$8/2)^2)-(((579-43)*MAX('Inputs'!$B$33,'Inputs'!$B$29+'Inputs'!$B$31+'Inputs'!$B$32,'Inputs'!$B$30+'Inputs'!$B$31+'Inputs'!$B$32)/1000+'Inputs'!$B$21))/SQRT((((579-43)*MAX('Inputs'!$B$33,'Inputs'!$B$29+'Inputs'!$B$31+'Inputs'!$B$32,'Inputs'!$B$30+'Inputs'!$B$31+'Inputs'!$B$32)/1000+'Inputs'!$B$21))^2+('Inputs'!$B$8/2)^2)))-'Results'!B7*(1-'Inputs'!$B$24)*(0.5*((((579-43)*MAX('Inputs'!$B$33,'Inputs'!$B$29+'Inputs'!$B$31+'Inputs'!$B$32,'Inputs'!$B$30+'Inputs'!$B$31+'Inputs'!$B$32)/1000+'Inputs'!$B$21+'Inputs'!$B$9+'Inputs'!$B$10)+'Inputs'!$B$7)/SQRT((((579-43)*MAX('Inputs'!$B$33,'Inputs'!$B$29+'Inputs'!$B$31+'Inputs'!$B$32,'Inputs'!$B$30+'Inputs'!$B$31+'Inputs'!$B$32)/1000+'Inputs'!$B$21+'Inputs'!$B$9+'Inputs'!$B$10)+'Inputs'!$B$7)^2+('Inputs'!$B$6/2)^2)-(((579-43)*MAX('Inputs'!$B$33,'Inputs'!$B$29+'Inputs'!$B$31+'Inputs'!$B$32,'Inputs'!$B$30+'Inputs'!$B$31+'Inputs'!$B$32)/1000+'Inputs'!$B$21+'Inputs'!$B$9+'Inputs'!$B$10))/SQRT((((579-43)*MAX('Inputs'!$B$33,'Inputs'!$B$29+'Inputs'!$B$31+'Inputs'!$B$32,'Inputs'!$B$30+'Inputs'!$B$31+'Inputs'!$B$32)/1000+'Inputs'!$B$21+'Inputs'!$B$9+'Inputs'!$B$10))^2+('Inputs'!$B$6/2)^2))))*'Results'!$B$8)+'Inputs'!$B$28*ABS((('Results'!C7*(1+'Inputs'!$B$24)*(0.5*((((579-43)*MAX('Inputs'!$B$33,'Inputs'!$B$29+'Inputs'!$B$31+'Inputs'!$B$32,'Inputs'!$B$30+'Inputs'!$B$31+'Inputs'!$B$32)/1000+'Inputs'!$B$21)+'Inputs'!$B$9)/SQRT((((579-43)*MAX('Inputs'!$B$33,'Inputs'!$B$29+'Inputs'!$B$31+'Inputs'!$B$32,'Inputs'!$B$30+'Inputs'!$B$31+'Inputs'!$B$32)/1000+'Inputs'!$B$21)+'Inputs'!$B$9)^2+('Inputs'!$B$8/2)^2)-(((579-43)*MAX('Inputs'!$B$33,'Inputs'!$B$29+'Inputs'!$B$31+'Inputs'!$B$32,'Inputs'!$B$30+'Inputs'!$B$31+'Inputs'!$B$32)/1000+'Inputs'!$B$21))/SQRT((((579-43)*MAX('Inputs'!$B$33,'Inputs'!$B$29+'Inputs'!$B$31+'Inputs'!$B$32,'Inputs'!$B$30+'Inputs'!$B$31+'Inputs'!$B$32)/1000+'Inputs'!$B$21))^2+('Inputs'!$B$8/2)^2)))-'Results'!B7*(1-'Inputs'!$B$24)*(0.5*((((579-43)*MAX('Inputs'!$B$33,'Inputs'!$B$29+'Inputs'!$B$31+'Inputs'!$B$32,'Inputs'!$B$30+'Inputs'!$B$31+'Inputs'!$B$32)/1000+'Inputs'!$B$21+'Inputs'!$B$9+'Inputs'!$B$10)+'Inputs'!$B$7)/SQRT((((579-43)*MAX('Inputs'!$B$33,'Inputs'!$B$29+'Inputs'!$B$31+'Inputs'!$B$32,'Inputs'!$B$30+'Inputs'!$B$31+'Inputs'!$B$32)/1000+'Inputs'!$B$21+'Inputs'!$B$9+'Inputs'!$B$10)+'Inputs'!$B$7)^2+('Inputs'!$B$6/2)^2)-(((579-43)*MAX('Inputs'!$B$33,'Inputs'!$B$29+'Inputs'!$B$31+'Inputs'!$B$32,'Inputs'!$B$30+'Inputs'!$B$31+'Inputs'!$B$32)/1000+'Inputs'!$B$21+'Inputs'!$B$9+'Inputs'!$B$10))/SQRT((((579-43)*MAX('Inputs'!$B$33,'Inputs'!$B$29+'Inputs'!$B$31+'Inputs'!$B$32,'Inputs'!$B$30+'Inputs'!$B$31+'Inputs'!$B$32)/1000+'Inputs'!$B$21+'Inputs'!$B$9+'Inputs'!$B$10))^2+('Inputs'!$B$6/2)^2))))*'Results'!$B$8))),"")</x:f>
        <x:v>3.4538091095676893</x:v>
      </x:c>
      <x:c r="P579" t="n">
        <x:f>IF(AND(MAX(J579,J578)&gt;0,J579&gt;J578+0.00000001),1,0)</x:f>
        <x:v>0</x:v>
      </x:c>
      <x:c r="Q579" t="n">
        <x:f>IF(AND(MAX(K579,K578)&gt;0,K579&gt;K578+0.00000001),1,0)</x:f>
        <x:v>0</x:v>
      </x:c>
      <x:c r="R579" t="n">
        <x:f>IF(AND(MAX(L579,L578)&gt;0,L579&gt;L578+0.00000001),1,0)</x:f>
        <x:v>0</x:v>
      </x:c>
      <x:c r="S579" t="n">
        <x:f>IF(AND(MAX(M579,M578)&gt;0,M579&gt;M578+0.00000001),1,0)</x:f>
        <x:v>0</x:v>
      </x:c>
      <x:c r="T579" t="n">
        <x:f>IF(AND(MAX(N579,N578)&gt;0,N579&gt;N578+0.00000001),1,0)</x:f>
        <x:v>0</x:v>
      </x:c>
      <x:c r="U579" t="n">
        <x:f>IF(AND(MAX(O579,O578)&gt;0,O579&gt;O578+0.00000001),1,0)</x:f>
        <x:v>0</x:v>
      </x:c>
    </x:row>
    <x:row r="580">
      <x:c r="J580" t="n">
        <x:f>IF(AND(ISNUMBER('Results'!B7),ISNUMBER('Results'!C7),ISNUMBER('Results'!$B$8),ISNUMBER('Inputs'!$B$6),ISNUMBER('Inputs'!$B$7),ISNUMBER('Inputs'!$B$8),ISNUMBER('Inputs'!$B$9),ISNUMBER('Inputs'!$B$10),ISNUMBER('Inputs'!$B$21),ISNUMBER('Inputs'!$B$24),ISNUMBER('Inputs'!$B$28)),(('Results'!B7*(0.5*((((580-43)*MAX('Inputs'!$B$33,'Inputs'!$B$29+'Inputs'!$B$31+'Inputs'!$B$32,'Inputs'!$B$30+'Inputs'!$B$31+'Inputs'!$B$32)/1000+'Inputs'!$B$21)+'Inputs'!$B$7)/SQRT((((580-43)*MAX('Inputs'!$B$33,'Inputs'!$B$29+'Inputs'!$B$31+'Inputs'!$B$32,'Inputs'!$B$30+'Inputs'!$B$31+'Inputs'!$B$32)/1000+'Inputs'!$B$21)+'Inputs'!$B$7)^2+('Inputs'!$B$6/2)^2)-(((580-43)*MAX('Inputs'!$B$33,'Inputs'!$B$29+'Inputs'!$B$31+'Inputs'!$B$32,'Inputs'!$B$30+'Inputs'!$B$31+'Inputs'!$B$32)/1000+'Inputs'!$B$21))/SQRT((((580-43)*MAX('Inputs'!$B$33,'Inputs'!$B$29+'Inputs'!$B$31+'Inputs'!$B$32,'Inputs'!$B$30+'Inputs'!$B$31+'Inputs'!$B$32)/1000+'Inputs'!$B$21))^2+('Inputs'!$B$6/2)^2)))-'Results'!C7*(0.5*((((580-43)*MAX('Inputs'!$B$33,'Inputs'!$B$29+'Inputs'!$B$31+'Inputs'!$B$32,'Inputs'!$B$30+'Inputs'!$B$31+'Inputs'!$B$32)/1000+'Inputs'!$B$21+'Inputs'!$B$7+'Inputs'!$B$10)+'Inputs'!$B$9)/SQRT((((580-43)*MAX('Inputs'!$B$33,'Inputs'!$B$29+'Inputs'!$B$31+'Inputs'!$B$32,'Inputs'!$B$30+'Inputs'!$B$31+'Inputs'!$B$32)/1000+'Inputs'!$B$21+'Inputs'!$B$7+'Inputs'!$B$10)+'Inputs'!$B$9)^2+('Inputs'!$B$8/2)^2)-(((580-43)*MAX('Inputs'!$B$33,'Inputs'!$B$29+'Inputs'!$B$31+'Inputs'!$B$32,'Inputs'!$B$30+'Inputs'!$B$31+'Inputs'!$B$32)/1000+'Inputs'!$B$21+'Inputs'!$B$7+'Inputs'!$B$10))/SQRT((((580-43)*MAX('Inputs'!$B$33,'Inputs'!$B$29+'Inputs'!$B$31+'Inputs'!$B$32,'Inputs'!$B$30+'Inputs'!$B$31+'Inputs'!$B$32)/1000+'Inputs'!$B$21+'Inputs'!$B$7+'Inputs'!$B$10))^2+('Inputs'!$B$8/2)^2))))*'Results'!$B$8),"")</x:f>
        <x:v>3.2712627100623717</x:v>
      </x:c>
      <x:c r="K580" t="n">
        <x:f>IF(AND(ISNUMBER('Results'!B7),ISNUMBER('Results'!C7),ISNUMBER('Results'!$B$8),ISNUMBER('Inputs'!$B$6),ISNUMBER('Inputs'!$B$7),ISNUMBER('Inputs'!$B$8),ISNUMBER('Inputs'!$B$9),ISNUMBER('Inputs'!$B$10),ISNUMBER('Inputs'!$B$21),ISNUMBER('Inputs'!$B$24),ISNUMBER('Inputs'!$B$28)),((('Results'!B7*(1-'Inputs'!$B$24)*(0.5*((((580-43)*MAX('Inputs'!$B$33,'Inputs'!$B$29+'Inputs'!$B$31+'Inputs'!$B$32,'Inputs'!$B$30+'Inputs'!$B$31+'Inputs'!$B$32)/1000+'Inputs'!$B$21)+'Inputs'!$B$7)/SQRT((((580-43)*MAX('Inputs'!$B$33,'Inputs'!$B$29+'Inputs'!$B$31+'Inputs'!$B$32,'Inputs'!$B$30+'Inputs'!$B$31+'Inputs'!$B$32)/1000+'Inputs'!$B$21)+'Inputs'!$B$7)^2+('Inputs'!$B$6/2)^2)-(((580-43)*MAX('Inputs'!$B$33,'Inputs'!$B$29+'Inputs'!$B$31+'Inputs'!$B$32,'Inputs'!$B$30+'Inputs'!$B$31+'Inputs'!$B$32)/1000+'Inputs'!$B$21))/SQRT((((580-43)*MAX('Inputs'!$B$33,'Inputs'!$B$29+'Inputs'!$B$31+'Inputs'!$B$32,'Inputs'!$B$30+'Inputs'!$B$31+'Inputs'!$B$32)/1000+'Inputs'!$B$21))^2+('Inputs'!$B$6/2)^2)))-'Results'!C7*(1+'Inputs'!$B$24)*(0.5*((((580-43)*MAX('Inputs'!$B$33,'Inputs'!$B$29+'Inputs'!$B$31+'Inputs'!$B$32,'Inputs'!$B$30+'Inputs'!$B$31+'Inputs'!$B$32)/1000+'Inputs'!$B$21+'Inputs'!$B$7+'Inputs'!$B$10)+'Inputs'!$B$9)/SQRT((((580-43)*MAX('Inputs'!$B$33,'Inputs'!$B$29+'Inputs'!$B$31+'Inputs'!$B$32,'Inputs'!$B$30+'Inputs'!$B$31+'Inputs'!$B$32)/1000+'Inputs'!$B$21+'Inputs'!$B$7+'Inputs'!$B$10)+'Inputs'!$B$9)^2+('Inputs'!$B$8/2)^2)-(((580-43)*MAX('Inputs'!$B$33,'Inputs'!$B$29+'Inputs'!$B$31+'Inputs'!$B$32,'Inputs'!$B$30+'Inputs'!$B$31+'Inputs'!$B$32)/1000+'Inputs'!$B$21+'Inputs'!$B$7+'Inputs'!$B$10))/SQRT((((580-43)*MAX('Inputs'!$B$33,'Inputs'!$B$29+'Inputs'!$B$31+'Inputs'!$B$32,'Inputs'!$B$30+'Inputs'!$B$31+'Inputs'!$B$32)/1000+'Inputs'!$B$21+'Inputs'!$B$7+'Inputs'!$B$10))^2+('Inputs'!$B$8/2)^2))))*'Results'!$B$8)-'Inputs'!$B$28*ABS((('Results'!B7*(1-'Inputs'!$B$24)*(0.5*((((580-43)*MAX('Inputs'!$B$33,'Inputs'!$B$29+'Inputs'!$B$31+'Inputs'!$B$32,'Inputs'!$B$30+'Inputs'!$B$31+'Inputs'!$B$32)/1000+'Inputs'!$B$21)+'Inputs'!$B$7)/SQRT((((580-43)*MAX('Inputs'!$B$33,'Inputs'!$B$29+'Inputs'!$B$31+'Inputs'!$B$32,'Inputs'!$B$30+'Inputs'!$B$31+'Inputs'!$B$32)/1000+'Inputs'!$B$21)+'Inputs'!$B$7)^2+('Inputs'!$B$6/2)^2)-(((580-43)*MAX('Inputs'!$B$33,'Inputs'!$B$29+'Inputs'!$B$31+'Inputs'!$B$32,'Inputs'!$B$30+'Inputs'!$B$31+'Inputs'!$B$32)/1000+'Inputs'!$B$21))/SQRT((((580-43)*MAX('Inputs'!$B$33,'Inputs'!$B$29+'Inputs'!$B$31+'Inputs'!$B$32,'Inputs'!$B$30+'Inputs'!$B$31+'Inputs'!$B$32)/1000+'Inputs'!$B$21))^2+('Inputs'!$B$6/2)^2)))-'Results'!C7*(1+'Inputs'!$B$24)*(0.5*((((580-43)*MAX('Inputs'!$B$33,'Inputs'!$B$29+'Inputs'!$B$31+'Inputs'!$B$32,'Inputs'!$B$30+'Inputs'!$B$31+'Inputs'!$B$32)/1000+'Inputs'!$B$21+'Inputs'!$B$7+'Inputs'!$B$10)+'Inputs'!$B$9)/SQRT((((580-43)*MAX('Inputs'!$B$33,'Inputs'!$B$29+'Inputs'!$B$31+'Inputs'!$B$32,'Inputs'!$B$30+'Inputs'!$B$31+'Inputs'!$B$32)/1000+'Inputs'!$B$21+'Inputs'!$B$7+'Inputs'!$B$10)+'Inputs'!$B$9)^2+('Inputs'!$B$8/2)^2)-(((580-43)*MAX('Inputs'!$B$33,'Inputs'!$B$29+'Inputs'!$B$31+'Inputs'!$B$32,'Inputs'!$B$30+'Inputs'!$B$31+'Inputs'!$B$32)/1000+'Inputs'!$B$21+'Inputs'!$B$7+'Inputs'!$B$10))/SQRT((((580-43)*MAX('Inputs'!$B$33,'Inputs'!$B$29+'Inputs'!$B$31+'Inputs'!$B$32,'Inputs'!$B$30+'Inputs'!$B$31+'Inputs'!$B$32)/1000+'Inputs'!$B$21+'Inputs'!$B$7+'Inputs'!$B$10))^2+('Inputs'!$B$8/2)^2))))*'Results'!$B$8))),"")</x:f>
        <x:v>2.885002673410706</x:v>
      </x:c>
      <x:c r="L580" t="n">
        <x:f>IF(AND(ISNUMBER('Results'!B7),ISNUMBER('Results'!C7),ISNUMBER('Results'!$B$8),ISNUMBER('Inputs'!$B$6),ISNUMBER('Inputs'!$B$7),ISNUMBER('Inputs'!$B$8),ISNUMBER('Inputs'!$B$9),ISNUMBER('Inputs'!$B$10),ISNUMBER('Inputs'!$B$21),ISNUMBER('Inputs'!$B$24),ISNUMBER('Inputs'!$B$28)),((('Results'!B7*(1+'Inputs'!$B$24)*(0.5*((((580-43)*MAX('Inputs'!$B$33,'Inputs'!$B$29+'Inputs'!$B$31+'Inputs'!$B$32,'Inputs'!$B$30+'Inputs'!$B$31+'Inputs'!$B$32)/1000+'Inputs'!$B$21)+'Inputs'!$B$7)/SQRT((((580-43)*MAX('Inputs'!$B$33,'Inputs'!$B$29+'Inputs'!$B$31+'Inputs'!$B$32,'Inputs'!$B$30+'Inputs'!$B$31+'Inputs'!$B$32)/1000+'Inputs'!$B$21)+'Inputs'!$B$7)^2+('Inputs'!$B$6/2)^2)-(((580-43)*MAX('Inputs'!$B$33,'Inputs'!$B$29+'Inputs'!$B$31+'Inputs'!$B$32,'Inputs'!$B$30+'Inputs'!$B$31+'Inputs'!$B$32)/1000+'Inputs'!$B$21))/SQRT((((580-43)*MAX('Inputs'!$B$33,'Inputs'!$B$29+'Inputs'!$B$31+'Inputs'!$B$32,'Inputs'!$B$30+'Inputs'!$B$31+'Inputs'!$B$32)/1000+'Inputs'!$B$21))^2+('Inputs'!$B$6/2)^2)))-'Results'!C7*(1-'Inputs'!$B$24)*(0.5*((((580-43)*MAX('Inputs'!$B$33,'Inputs'!$B$29+'Inputs'!$B$31+'Inputs'!$B$32,'Inputs'!$B$30+'Inputs'!$B$31+'Inputs'!$B$32)/1000+'Inputs'!$B$21+'Inputs'!$B$7+'Inputs'!$B$10)+'Inputs'!$B$9)/SQRT((((580-43)*MAX('Inputs'!$B$33,'Inputs'!$B$29+'Inputs'!$B$31+'Inputs'!$B$32,'Inputs'!$B$30+'Inputs'!$B$31+'Inputs'!$B$32)/1000+'Inputs'!$B$21+'Inputs'!$B$7+'Inputs'!$B$10)+'Inputs'!$B$9)^2+('Inputs'!$B$8/2)^2)-(((580-43)*MAX('Inputs'!$B$33,'Inputs'!$B$29+'Inputs'!$B$31+'Inputs'!$B$32,'Inputs'!$B$30+'Inputs'!$B$31+'Inputs'!$B$32)/1000+'Inputs'!$B$21+'Inputs'!$B$7+'Inputs'!$B$10))/SQRT((((580-43)*MAX('Inputs'!$B$33,'Inputs'!$B$29+'Inputs'!$B$31+'Inputs'!$B$32,'Inputs'!$B$30+'Inputs'!$B$31+'Inputs'!$B$32)/1000+'Inputs'!$B$21+'Inputs'!$B$7+'Inputs'!$B$10))^2+('Inputs'!$B$8/2)^2))))*'Results'!$B$8)+'Inputs'!$B$28*ABS((('Results'!B7*(1+'Inputs'!$B$24)*(0.5*((((580-43)*MAX('Inputs'!$B$33,'Inputs'!$B$29+'Inputs'!$B$31+'Inputs'!$B$32,'Inputs'!$B$30+'Inputs'!$B$31+'Inputs'!$B$32)/1000+'Inputs'!$B$21)+'Inputs'!$B$7)/SQRT((((580-43)*MAX('Inputs'!$B$33,'Inputs'!$B$29+'Inputs'!$B$31+'Inputs'!$B$32,'Inputs'!$B$30+'Inputs'!$B$31+'Inputs'!$B$32)/1000+'Inputs'!$B$21)+'Inputs'!$B$7)^2+('Inputs'!$B$6/2)^2)-(((580-43)*MAX('Inputs'!$B$33,'Inputs'!$B$29+'Inputs'!$B$31+'Inputs'!$B$32,'Inputs'!$B$30+'Inputs'!$B$31+'Inputs'!$B$32)/1000+'Inputs'!$B$21))/SQRT((((580-43)*MAX('Inputs'!$B$33,'Inputs'!$B$29+'Inputs'!$B$31+'Inputs'!$B$32,'Inputs'!$B$30+'Inputs'!$B$31+'Inputs'!$B$32)/1000+'Inputs'!$B$21))^2+('Inputs'!$B$6/2)^2)))-'Results'!C7*(1-'Inputs'!$B$24)*(0.5*((((580-43)*MAX('Inputs'!$B$33,'Inputs'!$B$29+'Inputs'!$B$31+'Inputs'!$B$32,'Inputs'!$B$30+'Inputs'!$B$31+'Inputs'!$B$32)/1000+'Inputs'!$B$21+'Inputs'!$B$7+'Inputs'!$B$10)+'Inputs'!$B$9)/SQRT((((580-43)*MAX('Inputs'!$B$33,'Inputs'!$B$29+'Inputs'!$B$31+'Inputs'!$B$32,'Inputs'!$B$30+'Inputs'!$B$31+'Inputs'!$B$32)/1000+'Inputs'!$B$21+'Inputs'!$B$7+'Inputs'!$B$10)+'Inputs'!$B$9)^2+('Inputs'!$B$8/2)^2)-(((580-43)*MAX('Inputs'!$B$33,'Inputs'!$B$29+'Inputs'!$B$31+'Inputs'!$B$32,'Inputs'!$B$30+'Inputs'!$B$31+'Inputs'!$B$32)/1000+'Inputs'!$B$21+'Inputs'!$B$7+'Inputs'!$B$10))/SQRT((((580-43)*MAX('Inputs'!$B$33,'Inputs'!$B$29+'Inputs'!$B$31+'Inputs'!$B$32,'Inputs'!$B$30+'Inputs'!$B$31+'Inputs'!$B$32)/1000+'Inputs'!$B$21+'Inputs'!$B$7+'Inputs'!$B$10))^2+('Inputs'!$B$8/2)^2))))*'Results'!$B$8))),"")</x:f>
        <x:v>3.680964525782305</x:v>
      </x:c>
      <x:c r="M580" t="n">
        <x:f>IF(AND(ISNUMBER('Results'!C7),ISNUMBER('Results'!B7),ISNUMBER('Results'!$B$8),ISNUMBER('Inputs'!$B$6),ISNUMBER('Inputs'!$B$7),ISNUMBER('Inputs'!$B$8),ISNUMBER('Inputs'!$B$9),ISNUMBER('Inputs'!$B$10),ISNUMBER('Inputs'!$B$21),ISNUMBER('Inputs'!$B$24),ISNUMBER('Inputs'!$B$28)),(('Results'!C7*(0.5*((((580-43)*MAX('Inputs'!$B$33,'Inputs'!$B$29+'Inputs'!$B$31+'Inputs'!$B$32,'Inputs'!$B$30+'Inputs'!$B$31+'Inputs'!$B$32)/1000+'Inputs'!$B$21)+'Inputs'!$B$9)/SQRT((((580-43)*MAX('Inputs'!$B$33,'Inputs'!$B$29+'Inputs'!$B$31+'Inputs'!$B$32,'Inputs'!$B$30+'Inputs'!$B$31+'Inputs'!$B$32)/1000+'Inputs'!$B$21)+'Inputs'!$B$9)^2+('Inputs'!$B$8/2)^2)-(((580-43)*MAX('Inputs'!$B$33,'Inputs'!$B$29+'Inputs'!$B$31+'Inputs'!$B$32,'Inputs'!$B$30+'Inputs'!$B$31+'Inputs'!$B$32)/1000+'Inputs'!$B$21))/SQRT((((580-43)*MAX('Inputs'!$B$33,'Inputs'!$B$29+'Inputs'!$B$31+'Inputs'!$B$32,'Inputs'!$B$30+'Inputs'!$B$31+'Inputs'!$B$32)/1000+'Inputs'!$B$21))^2+('Inputs'!$B$8/2)^2)))-'Results'!B7*(0.5*((((580-43)*MAX('Inputs'!$B$33,'Inputs'!$B$29+'Inputs'!$B$31+'Inputs'!$B$32,'Inputs'!$B$30+'Inputs'!$B$31+'Inputs'!$B$32)/1000+'Inputs'!$B$21+'Inputs'!$B$9+'Inputs'!$B$10)+'Inputs'!$B$7)/SQRT((((580-43)*MAX('Inputs'!$B$33,'Inputs'!$B$29+'Inputs'!$B$31+'Inputs'!$B$32,'Inputs'!$B$30+'Inputs'!$B$31+'Inputs'!$B$32)/1000+'Inputs'!$B$21+'Inputs'!$B$9+'Inputs'!$B$10)+'Inputs'!$B$7)^2+('Inputs'!$B$6/2)^2)-(((580-43)*MAX('Inputs'!$B$33,'Inputs'!$B$29+'Inputs'!$B$31+'Inputs'!$B$32,'Inputs'!$B$30+'Inputs'!$B$31+'Inputs'!$B$32)/1000+'Inputs'!$B$21+'Inputs'!$B$9+'Inputs'!$B$10))/SQRT((((580-43)*MAX('Inputs'!$B$33,'Inputs'!$B$29+'Inputs'!$B$31+'Inputs'!$B$32,'Inputs'!$B$30+'Inputs'!$B$31+'Inputs'!$B$32)/1000+'Inputs'!$B$21+'Inputs'!$B$9+'Inputs'!$B$10))^2+('Inputs'!$B$6/2)^2))))*'Results'!$B$8),"")</x:f>
        <x:v>3.035120505742125</x:v>
      </x:c>
      <x:c r="N580" t="n">
        <x:f>IF(AND(ISNUMBER('Results'!C7),ISNUMBER('Results'!B7),ISNUMBER('Results'!$B$8),ISNUMBER('Inputs'!$B$6),ISNUMBER('Inputs'!$B$7),ISNUMBER('Inputs'!$B$8),ISNUMBER('Inputs'!$B$9),ISNUMBER('Inputs'!$B$10),ISNUMBER('Inputs'!$B$21),ISNUMBER('Inputs'!$B$24),ISNUMBER('Inputs'!$B$28)),((('Results'!C7*(1-'Inputs'!$B$24)*(0.5*((((580-43)*MAX('Inputs'!$B$33,'Inputs'!$B$29+'Inputs'!$B$31+'Inputs'!$B$32,'Inputs'!$B$30+'Inputs'!$B$31+'Inputs'!$B$32)/1000+'Inputs'!$B$21)+'Inputs'!$B$9)/SQRT((((580-43)*MAX('Inputs'!$B$33,'Inputs'!$B$29+'Inputs'!$B$31+'Inputs'!$B$32,'Inputs'!$B$30+'Inputs'!$B$31+'Inputs'!$B$32)/1000+'Inputs'!$B$21)+'Inputs'!$B$9)^2+('Inputs'!$B$8/2)^2)-(((580-43)*MAX('Inputs'!$B$33,'Inputs'!$B$29+'Inputs'!$B$31+'Inputs'!$B$32,'Inputs'!$B$30+'Inputs'!$B$31+'Inputs'!$B$32)/1000+'Inputs'!$B$21))/SQRT((((580-43)*MAX('Inputs'!$B$33,'Inputs'!$B$29+'Inputs'!$B$31+'Inputs'!$B$32,'Inputs'!$B$30+'Inputs'!$B$31+'Inputs'!$B$32)/1000+'Inputs'!$B$21))^2+('Inputs'!$B$8/2)^2)))-'Results'!B7*(1+'Inputs'!$B$24)*(0.5*((((580-43)*MAX('Inputs'!$B$33,'Inputs'!$B$29+'Inputs'!$B$31+'Inputs'!$B$32,'Inputs'!$B$30+'Inputs'!$B$31+'Inputs'!$B$32)/1000+'Inputs'!$B$21+'Inputs'!$B$9+'Inputs'!$B$10)+'Inputs'!$B$7)/SQRT((((580-43)*MAX('Inputs'!$B$33,'Inputs'!$B$29+'Inputs'!$B$31+'Inputs'!$B$32,'Inputs'!$B$30+'Inputs'!$B$31+'Inputs'!$B$32)/1000+'Inputs'!$B$21+'Inputs'!$B$9+'Inputs'!$B$10)+'Inputs'!$B$7)^2+('Inputs'!$B$6/2)^2)-(((580-43)*MAX('Inputs'!$B$33,'Inputs'!$B$29+'Inputs'!$B$31+'Inputs'!$B$32,'Inputs'!$B$30+'Inputs'!$B$31+'Inputs'!$B$32)/1000+'Inputs'!$B$21+'Inputs'!$B$9+'Inputs'!$B$10))/SQRT((((580-43)*MAX('Inputs'!$B$33,'Inputs'!$B$29+'Inputs'!$B$31+'Inputs'!$B$32,'Inputs'!$B$30+'Inputs'!$B$31+'Inputs'!$B$32)/1000+'Inputs'!$B$21+'Inputs'!$B$9+'Inputs'!$B$10))^2+('Inputs'!$B$6/2)^2))))*'Results'!$B$8)-'Inputs'!$B$28*ABS((('Results'!C7*(1-'Inputs'!$B$24)*(0.5*((((580-43)*MAX('Inputs'!$B$33,'Inputs'!$B$29+'Inputs'!$B$31+'Inputs'!$B$32,'Inputs'!$B$30+'Inputs'!$B$31+'Inputs'!$B$32)/1000+'Inputs'!$B$21)+'Inputs'!$B$9)/SQRT((((580-43)*MAX('Inputs'!$B$33,'Inputs'!$B$29+'Inputs'!$B$31+'Inputs'!$B$32,'Inputs'!$B$30+'Inputs'!$B$31+'Inputs'!$B$32)/1000+'Inputs'!$B$21)+'Inputs'!$B$9)^2+('Inputs'!$B$8/2)^2)-(((580-43)*MAX('Inputs'!$B$33,'Inputs'!$B$29+'Inputs'!$B$31+'Inputs'!$B$32,'Inputs'!$B$30+'Inputs'!$B$31+'Inputs'!$B$32)/1000+'Inputs'!$B$21))/SQRT((((580-43)*MAX('Inputs'!$B$33,'Inputs'!$B$29+'Inputs'!$B$31+'Inputs'!$B$32,'Inputs'!$B$30+'Inputs'!$B$31+'Inputs'!$B$32)/1000+'Inputs'!$B$21))^2+('Inputs'!$B$8/2)^2)))-'Results'!B7*(1+'Inputs'!$B$24)*(0.5*((((580-43)*MAX('Inputs'!$B$33,'Inputs'!$B$29+'Inputs'!$B$31+'Inputs'!$B$32,'Inputs'!$B$30+'Inputs'!$B$31+'Inputs'!$B$32)/1000+'Inputs'!$B$21+'Inputs'!$B$9+'Inputs'!$B$10)+'Inputs'!$B$7)/SQRT((((580-43)*MAX('Inputs'!$B$33,'Inputs'!$B$29+'Inputs'!$B$31+'Inputs'!$B$32,'Inputs'!$B$30+'Inputs'!$B$31+'Inputs'!$B$32)/1000+'Inputs'!$B$21+'Inputs'!$B$9+'Inputs'!$B$10)+'Inputs'!$B$7)^2+('Inputs'!$B$6/2)^2)-(((580-43)*MAX('Inputs'!$B$33,'Inputs'!$B$29+'Inputs'!$B$31+'Inputs'!$B$32,'Inputs'!$B$30+'Inputs'!$B$31+'Inputs'!$B$32)/1000+'Inputs'!$B$21+'Inputs'!$B$9+'Inputs'!$B$10))/SQRT((((580-43)*MAX('Inputs'!$B$33,'Inputs'!$B$29+'Inputs'!$B$31+'Inputs'!$B$32,'Inputs'!$B$30+'Inputs'!$B$31+'Inputs'!$B$32)/1000+'Inputs'!$B$21+'Inputs'!$B$9+'Inputs'!$B$10))^2+('Inputs'!$B$6/2)^2))))*'Results'!$B$8))),"")</x:f>
        <x:v>2.6618778952771813</x:v>
      </x:c>
      <x:c r="O580" t="n">
        <x:f>IF(AND(ISNUMBER('Results'!C7),ISNUMBER('Results'!B7),ISNUMBER('Results'!$B$8),ISNUMBER('Inputs'!$B$6),ISNUMBER('Inputs'!$B$7),ISNUMBER('Inputs'!$B$8),ISNUMBER('Inputs'!$B$9),ISNUMBER('Inputs'!$B$10),ISNUMBER('Inputs'!$B$21),ISNUMBER('Inputs'!$B$24),ISNUMBER('Inputs'!$B$28)),((('Results'!C7*(1+'Inputs'!$B$24)*(0.5*((((580-43)*MAX('Inputs'!$B$33,'Inputs'!$B$29+'Inputs'!$B$31+'Inputs'!$B$32,'Inputs'!$B$30+'Inputs'!$B$31+'Inputs'!$B$32)/1000+'Inputs'!$B$21)+'Inputs'!$B$9)/SQRT((((580-43)*MAX('Inputs'!$B$33,'Inputs'!$B$29+'Inputs'!$B$31+'Inputs'!$B$32,'Inputs'!$B$30+'Inputs'!$B$31+'Inputs'!$B$32)/1000+'Inputs'!$B$21)+'Inputs'!$B$9)^2+('Inputs'!$B$8/2)^2)-(((580-43)*MAX('Inputs'!$B$33,'Inputs'!$B$29+'Inputs'!$B$31+'Inputs'!$B$32,'Inputs'!$B$30+'Inputs'!$B$31+'Inputs'!$B$32)/1000+'Inputs'!$B$21))/SQRT((((580-43)*MAX('Inputs'!$B$33,'Inputs'!$B$29+'Inputs'!$B$31+'Inputs'!$B$32,'Inputs'!$B$30+'Inputs'!$B$31+'Inputs'!$B$32)/1000+'Inputs'!$B$21))^2+('Inputs'!$B$8/2)^2)))-'Results'!B7*(1-'Inputs'!$B$24)*(0.5*((((580-43)*MAX('Inputs'!$B$33,'Inputs'!$B$29+'Inputs'!$B$31+'Inputs'!$B$32,'Inputs'!$B$30+'Inputs'!$B$31+'Inputs'!$B$32)/1000+'Inputs'!$B$21+'Inputs'!$B$9+'Inputs'!$B$10)+'Inputs'!$B$7)/SQRT((((580-43)*MAX('Inputs'!$B$33,'Inputs'!$B$29+'Inputs'!$B$31+'Inputs'!$B$32,'Inputs'!$B$30+'Inputs'!$B$31+'Inputs'!$B$32)/1000+'Inputs'!$B$21+'Inputs'!$B$9+'Inputs'!$B$10)+'Inputs'!$B$7)^2+('Inputs'!$B$6/2)^2)-(((580-43)*MAX('Inputs'!$B$33,'Inputs'!$B$29+'Inputs'!$B$31+'Inputs'!$B$32,'Inputs'!$B$30+'Inputs'!$B$31+'Inputs'!$B$32)/1000+'Inputs'!$B$21+'Inputs'!$B$9+'Inputs'!$B$10))/SQRT((((580-43)*MAX('Inputs'!$B$33,'Inputs'!$B$29+'Inputs'!$B$31+'Inputs'!$B$32,'Inputs'!$B$30+'Inputs'!$B$31+'Inputs'!$B$32)/1000+'Inputs'!$B$21+'Inputs'!$B$9+'Inputs'!$B$10))^2+('Inputs'!$B$6/2)^2))))*'Results'!$B$8)+'Inputs'!$B$28*ABS((('Results'!C7*(1+'Inputs'!$B$24)*(0.5*((((580-43)*MAX('Inputs'!$B$33,'Inputs'!$B$29+'Inputs'!$B$31+'Inputs'!$B$32,'Inputs'!$B$30+'Inputs'!$B$31+'Inputs'!$B$32)/1000+'Inputs'!$B$21)+'Inputs'!$B$9)/SQRT((((580-43)*MAX('Inputs'!$B$33,'Inputs'!$B$29+'Inputs'!$B$31+'Inputs'!$B$32,'Inputs'!$B$30+'Inputs'!$B$31+'Inputs'!$B$32)/1000+'Inputs'!$B$21)+'Inputs'!$B$9)^2+('Inputs'!$B$8/2)^2)-(((580-43)*MAX('Inputs'!$B$33,'Inputs'!$B$29+'Inputs'!$B$31+'Inputs'!$B$32,'Inputs'!$B$30+'Inputs'!$B$31+'Inputs'!$B$32)/1000+'Inputs'!$B$21))/SQRT((((580-43)*MAX('Inputs'!$B$33,'Inputs'!$B$29+'Inputs'!$B$31+'Inputs'!$B$32,'Inputs'!$B$30+'Inputs'!$B$31+'Inputs'!$B$32)/1000+'Inputs'!$B$21))^2+('Inputs'!$B$8/2)^2)))-'Results'!B7*(1-'Inputs'!$B$24)*(0.5*((((580-43)*MAX('Inputs'!$B$33,'Inputs'!$B$29+'Inputs'!$B$31+'Inputs'!$B$32,'Inputs'!$B$30+'Inputs'!$B$31+'Inputs'!$B$32)/1000+'Inputs'!$B$21+'Inputs'!$B$9+'Inputs'!$B$10)+'Inputs'!$B$7)/SQRT((((580-43)*MAX('Inputs'!$B$33,'Inputs'!$B$29+'Inputs'!$B$31+'Inputs'!$B$32,'Inputs'!$B$30+'Inputs'!$B$31+'Inputs'!$B$32)/1000+'Inputs'!$B$21+'Inputs'!$B$9+'Inputs'!$B$10)+'Inputs'!$B$7)^2+('Inputs'!$B$6/2)^2)-(((580-43)*MAX('Inputs'!$B$33,'Inputs'!$B$29+'Inputs'!$B$31+'Inputs'!$B$32,'Inputs'!$B$30+'Inputs'!$B$31+'Inputs'!$B$32)/1000+'Inputs'!$B$21+'Inputs'!$B$9+'Inputs'!$B$10))/SQRT((((580-43)*MAX('Inputs'!$B$33,'Inputs'!$B$29+'Inputs'!$B$31+'Inputs'!$B$32,'Inputs'!$B$30+'Inputs'!$B$31+'Inputs'!$B$32)/1000+'Inputs'!$B$21+'Inputs'!$B$9+'Inputs'!$B$10))^2+('Inputs'!$B$6/2)^2))))*'Results'!$B$8))),"")</x:f>
        <x:v>3.43167749359421</x:v>
      </x:c>
      <x:c r="P580" t="n">
        <x:f>IF(AND(MAX(J580,J579)&gt;0,J580&gt;J579+0.00000001),1,0)</x:f>
        <x:v>0</x:v>
      </x:c>
      <x:c r="Q580" t="n">
        <x:f>IF(AND(MAX(K580,K579)&gt;0,K580&gt;K579+0.00000001),1,0)</x:f>
        <x:v>0</x:v>
      </x:c>
      <x:c r="R580" t="n">
        <x:f>IF(AND(MAX(L580,L579)&gt;0,L580&gt;L579+0.00000001),1,0)</x:f>
        <x:v>0</x:v>
      </x:c>
      <x:c r="S580" t="n">
        <x:f>IF(AND(MAX(M580,M579)&gt;0,M580&gt;M579+0.00000001),1,0)</x:f>
        <x:v>0</x:v>
      </x:c>
      <x:c r="T580" t="n">
        <x:f>IF(AND(MAX(N580,N579)&gt;0,N580&gt;N579+0.00000001),1,0)</x:f>
        <x:v>0</x:v>
      </x:c>
      <x:c r="U580" t="n">
        <x:f>IF(AND(MAX(O580,O579)&gt;0,O580&gt;O579+0.00000001),1,0)</x:f>
        <x:v>0</x:v>
      </x:c>
    </x:row>
    <x:row r="581">
      <x:c r="J581" t="n">
        <x:f>IF(AND(ISNUMBER('Results'!B7),ISNUMBER('Results'!C7),ISNUMBER('Results'!$B$8),ISNUMBER('Inputs'!$B$6),ISNUMBER('Inputs'!$B$7),ISNUMBER('Inputs'!$B$8),ISNUMBER('Inputs'!$B$9),ISNUMBER('Inputs'!$B$10),ISNUMBER('Inputs'!$B$21),ISNUMBER('Inputs'!$B$24),ISNUMBER('Inputs'!$B$28)),(('Results'!B7*(0.5*((((581-43)*MAX('Inputs'!$B$33,'Inputs'!$B$29+'Inputs'!$B$31+'Inputs'!$B$32,'Inputs'!$B$30+'Inputs'!$B$31+'Inputs'!$B$32)/1000+'Inputs'!$B$21)+'Inputs'!$B$7)/SQRT((((581-43)*MAX('Inputs'!$B$33,'Inputs'!$B$29+'Inputs'!$B$31+'Inputs'!$B$32,'Inputs'!$B$30+'Inputs'!$B$31+'Inputs'!$B$32)/1000+'Inputs'!$B$21)+'Inputs'!$B$7)^2+('Inputs'!$B$6/2)^2)-(((581-43)*MAX('Inputs'!$B$33,'Inputs'!$B$29+'Inputs'!$B$31+'Inputs'!$B$32,'Inputs'!$B$30+'Inputs'!$B$31+'Inputs'!$B$32)/1000+'Inputs'!$B$21))/SQRT((((581-43)*MAX('Inputs'!$B$33,'Inputs'!$B$29+'Inputs'!$B$31+'Inputs'!$B$32,'Inputs'!$B$30+'Inputs'!$B$31+'Inputs'!$B$32)/1000+'Inputs'!$B$21))^2+('Inputs'!$B$6/2)^2)))-'Results'!C7*(0.5*((((581-43)*MAX('Inputs'!$B$33,'Inputs'!$B$29+'Inputs'!$B$31+'Inputs'!$B$32,'Inputs'!$B$30+'Inputs'!$B$31+'Inputs'!$B$32)/1000+'Inputs'!$B$21+'Inputs'!$B$7+'Inputs'!$B$10)+'Inputs'!$B$9)/SQRT((((581-43)*MAX('Inputs'!$B$33,'Inputs'!$B$29+'Inputs'!$B$31+'Inputs'!$B$32,'Inputs'!$B$30+'Inputs'!$B$31+'Inputs'!$B$32)/1000+'Inputs'!$B$21+'Inputs'!$B$7+'Inputs'!$B$10)+'Inputs'!$B$9)^2+('Inputs'!$B$8/2)^2)-(((581-43)*MAX('Inputs'!$B$33,'Inputs'!$B$29+'Inputs'!$B$31+'Inputs'!$B$32,'Inputs'!$B$30+'Inputs'!$B$31+'Inputs'!$B$32)/1000+'Inputs'!$B$21+'Inputs'!$B$7+'Inputs'!$B$10))/SQRT((((581-43)*MAX('Inputs'!$B$33,'Inputs'!$B$29+'Inputs'!$B$31+'Inputs'!$B$32,'Inputs'!$B$30+'Inputs'!$B$31+'Inputs'!$B$32)/1000+'Inputs'!$B$21+'Inputs'!$B$7+'Inputs'!$B$10))^2+('Inputs'!$B$8/2)^2))))*'Results'!$B$8),"")</x:f>
        <x:v>3.250338056297821</x:v>
      </x:c>
      <x:c r="K581" t="n">
        <x:f>IF(AND(ISNUMBER('Results'!B7),ISNUMBER('Results'!C7),ISNUMBER('Results'!$B$8),ISNUMBER('Inputs'!$B$6),ISNUMBER('Inputs'!$B$7),ISNUMBER('Inputs'!$B$8),ISNUMBER('Inputs'!$B$9),ISNUMBER('Inputs'!$B$10),ISNUMBER('Inputs'!$B$21),ISNUMBER('Inputs'!$B$24),ISNUMBER('Inputs'!$B$28)),((('Results'!B7*(1-'Inputs'!$B$24)*(0.5*((((581-43)*MAX('Inputs'!$B$33,'Inputs'!$B$29+'Inputs'!$B$31+'Inputs'!$B$32,'Inputs'!$B$30+'Inputs'!$B$31+'Inputs'!$B$32)/1000+'Inputs'!$B$21)+'Inputs'!$B$7)/SQRT((((581-43)*MAX('Inputs'!$B$33,'Inputs'!$B$29+'Inputs'!$B$31+'Inputs'!$B$32,'Inputs'!$B$30+'Inputs'!$B$31+'Inputs'!$B$32)/1000+'Inputs'!$B$21)+'Inputs'!$B$7)^2+('Inputs'!$B$6/2)^2)-(((581-43)*MAX('Inputs'!$B$33,'Inputs'!$B$29+'Inputs'!$B$31+'Inputs'!$B$32,'Inputs'!$B$30+'Inputs'!$B$31+'Inputs'!$B$32)/1000+'Inputs'!$B$21))/SQRT((((581-43)*MAX('Inputs'!$B$33,'Inputs'!$B$29+'Inputs'!$B$31+'Inputs'!$B$32,'Inputs'!$B$30+'Inputs'!$B$31+'Inputs'!$B$32)/1000+'Inputs'!$B$21))^2+('Inputs'!$B$6/2)^2)))-'Results'!C7*(1+'Inputs'!$B$24)*(0.5*((((581-43)*MAX('Inputs'!$B$33,'Inputs'!$B$29+'Inputs'!$B$31+'Inputs'!$B$32,'Inputs'!$B$30+'Inputs'!$B$31+'Inputs'!$B$32)/1000+'Inputs'!$B$21+'Inputs'!$B$7+'Inputs'!$B$10)+'Inputs'!$B$9)/SQRT((((581-43)*MAX('Inputs'!$B$33,'Inputs'!$B$29+'Inputs'!$B$31+'Inputs'!$B$32,'Inputs'!$B$30+'Inputs'!$B$31+'Inputs'!$B$32)/1000+'Inputs'!$B$21+'Inputs'!$B$7+'Inputs'!$B$10)+'Inputs'!$B$9)^2+('Inputs'!$B$8/2)^2)-(((581-43)*MAX('Inputs'!$B$33,'Inputs'!$B$29+'Inputs'!$B$31+'Inputs'!$B$32,'Inputs'!$B$30+'Inputs'!$B$31+'Inputs'!$B$32)/1000+'Inputs'!$B$21+'Inputs'!$B$7+'Inputs'!$B$10))/SQRT((((581-43)*MAX('Inputs'!$B$33,'Inputs'!$B$29+'Inputs'!$B$31+'Inputs'!$B$32,'Inputs'!$B$30+'Inputs'!$B$31+'Inputs'!$B$32)/1000+'Inputs'!$B$21+'Inputs'!$B$7+'Inputs'!$B$10))^2+('Inputs'!$B$8/2)^2))))*'Results'!$B$8)-'Inputs'!$B$28*ABS((('Results'!B7*(1-'Inputs'!$B$24)*(0.5*((((581-43)*MAX('Inputs'!$B$33,'Inputs'!$B$29+'Inputs'!$B$31+'Inputs'!$B$32,'Inputs'!$B$30+'Inputs'!$B$31+'Inputs'!$B$32)/1000+'Inputs'!$B$21)+'Inputs'!$B$7)/SQRT((((581-43)*MAX('Inputs'!$B$33,'Inputs'!$B$29+'Inputs'!$B$31+'Inputs'!$B$32,'Inputs'!$B$30+'Inputs'!$B$31+'Inputs'!$B$32)/1000+'Inputs'!$B$21)+'Inputs'!$B$7)^2+('Inputs'!$B$6/2)^2)-(((581-43)*MAX('Inputs'!$B$33,'Inputs'!$B$29+'Inputs'!$B$31+'Inputs'!$B$32,'Inputs'!$B$30+'Inputs'!$B$31+'Inputs'!$B$32)/1000+'Inputs'!$B$21))/SQRT((((581-43)*MAX('Inputs'!$B$33,'Inputs'!$B$29+'Inputs'!$B$31+'Inputs'!$B$32,'Inputs'!$B$30+'Inputs'!$B$31+'Inputs'!$B$32)/1000+'Inputs'!$B$21))^2+('Inputs'!$B$6/2)^2)))-'Results'!C7*(1+'Inputs'!$B$24)*(0.5*((((581-43)*MAX('Inputs'!$B$33,'Inputs'!$B$29+'Inputs'!$B$31+'Inputs'!$B$32,'Inputs'!$B$30+'Inputs'!$B$31+'Inputs'!$B$32)/1000+'Inputs'!$B$21+'Inputs'!$B$7+'Inputs'!$B$10)+'Inputs'!$B$9)/SQRT((((581-43)*MAX('Inputs'!$B$33,'Inputs'!$B$29+'Inputs'!$B$31+'Inputs'!$B$32,'Inputs'!$B$30+'Inputs'!$B$31+'Inputs'!$B$32)/1000+'Inputs'!$B$21+'Inputs'!$B$7+'Inputs'!$B$10)+'Inputs'!$B$9)^2+('Inputs'!$B$8/2)^2)-(((581-43)*MAX('Inputs'!$B$33,'Inputs'!$B$29+'Inputs'!$B$31+'Inputs'!$B$32,'Inputs'!$B$30+'Inputs'!$B$31+'Inputs'!$B$32)/1000+'Inputs'!$B$21+'Inputs'!$B$7+'Inputs'!$B$10))/SQRT((((581-43)*MAX('Inputs'!$B$33,'Inputs'!$B$29+'Inputs'!$B$31+'Inputs'!$B$32,'Inputs'!$B$30+'Inputs'!$B$31+'Inputs'!$B$32)/1000+'Inputs'!$B$21+'Inputs'!$B$7+'Inputs'!$B$10))^2+('Inputs'!$B$8/2)^2))))*'Results'!$B$8))),"")</x:f>
        <x:v>2.8662278626083624</x:v>
      </x:c>
      <x:c r="L581" t="n">
        <x:f>IF(AND(ISNUMBER('Results'!B7),ISNUMBER('Results'!C7),ISNUMBER('Results'!$B$8),ISNUMBER('Inputs'!$B$6),ISNUMBER('Inputs'!$B$7),ISNUMBER('Inputs'!$B$8),ISNUMBER('Inputs'!$B$9),ISNUMBER('Inputs'!$B$10),ISNUMBER('Inputs'!$B$21),ISNUMBER('Inputs'!$B$24),ISNUMBER('Inputs'!$B$28)),((('Results'!B7*(1+'Inputs'!$B$24)*(0.5*((((581-43)*MAX('Inputs'!$B$33,'Inputs'!$B$29+'Inputs'!$B$31+'Inputs'!$B$32,'Inputs'!$B$30+'Inputs'!$B$31+'Inputs'!$B$32)/1000+'Inputs'!$B$21)+'Inputs'!$B$7)/SQRT((((581-43)*MAX('Inputs'!$B$33,'Inputs'!$B$29+'Inputs'!$B$31+'Inputs'!$B$32,'Inputs'!$B$30+'Inputs'!$B$31+'Inputs'!$B$32)/1000+'Inputs'!$B$21)+'Inputs'!$B$7)^2+('Inputs'!$B$6/2)^2)-(((581-43)*MAX('Inputs'!$B$33,'Inputs'!$B$29+'Inputs'!$B$31+'Inputs'!$B$32,'Inputs'!$B$30+'Inputs'!$B$31+'Inputs'!$B$32)/1000+'Inputs'!$B$21))/SQRT((((581-43)*MAX('Inputs'!$B$33,'Inputs'!$B$29+'Inputs'!$B$31+'Inputs'!$B$32,'Inputs'!$B$30+'Inputs'!$B$31+'Inputs'!$B$32)/1000+'Inputs'!$B$21))^2+('Inputs'!$B$6/2)^2)))-'Results'!C7*(1-'Inputs'!$B$24)*(0.5*((((581-43)*MAX('Inputs'!$B$33,'Inputs'!$B$29+'Inputs'!$B$31+'Inputs'!$B$32,'Inputs'!$B$30+'Inputs'!$B$31+'Inputs'!$B$32)/1000+'Inputs'!$B$21+'Inputs'!$B$7+'Inputs'!$B$10)+'Inputs'!$B$9)/SQRT((((581-43)*MAX('Inputs'!$B$33,'Inputs'!$B$29+'Inputs'!$B$31+'Inputs'!$B$32,'Inputs'!$B$30+'Inputs'!$B$31+'Inputs'!$B$32)/1000+'Inputs'!$B$21+'Inputs'!$B$7+'Inputs'!$B$10)+'Inputs'!$B$9)^2+('Inputs'!$B$8/2)^2)-(((581-43)*MAX('Inputs'!$B$33,'Inputs'!$B$29+'Inputs'!$B$31+'Inputs'!$B$32,'Inputs'!$B$30+'Inputs'!$B$31+'Inputs'!$B$32)/1000+'Inputs'!$B$21+'Inputs'!$B$7+'Inputs'!$B$10))/SQRT((((581-43)*MAX('Inputs'!$B$33,'Inputs'!$B$29+'Inputs'!$B$31+'Inputs'!$B$32,'Inputs'!$B$30+'Inputs'!$B$31+'Inputs'!$B$32)/1000+'Inputs'!$B$21+'Inputs'!$B$7+'Inputs'!$B$10))^2+('Inputs'!$B$8/2)^2))))*'Results'!$B$8)+'Inputs'!$B$28*ABS((('Results'!B7*(1+'Inputs'!$B$24)*(0.5*((((581-43)*MAX('Inputs'!$B$33,'Inputs'!$B$29+'Inputs'!$B$31+'Inputs'!$B$32,'Inputs'!$B$30+'Inputs'!$B$31+'Inputs'!$B$32)/1000+'Inputs'!$B$21)+'Inputs'!$B$7)/SQRT((((581-43)*MAX('Inputs'!$B$33,'Inputs'!$B$29+'Inputs'!$B$31+'Inputs'!$B$32,'Inputs'!$B$30+'Inputs'!$B$31+'Inputs'!$B$32)/1000+'Inputs'!$B$21)+'Inputs'!$B$7)^2+('Inputs'!$B$6/2)^2)-(((581-43)*MAX('Inputs'!$B$33,'Inputs'!$B$29+'Inputs'!$B$31+'Inputs'!$B$32,'Inputs'!$B$30+'Inputs'!$B$31+'Inputs'!$B$32)/1000+'Inputs'!$B$21))/SQRT((((581-43)*MAX('Inputs'!$B$33,'Inputs'!$B$29+'Inputs'!$B$31+'Inputs'!$B$32,'Inputs'!$B$30+'Inputs'!$B$31+'Inputs'!$B$32)/1000+'Inputs'!$B$21))^2+('Inputs'!$B$6/2)^2)))-'Results'!C7*(1-'Inputs'!$B$24)*(0.5*((((581-43)*MAX('Inputs'!$B$33,'Inputs'!$B$29+'Inputs'!$B$31+'Inputs'!$B$32,'Inputs'!$B$30+'Inputs'!$B$31+'Inputs'!$B$32)/1000+'Inputs'!$B$21+'Inputs'!$B$7+'Inputs'!$B$10)+'Inputs'!$B$9)/SQRT((((581-43)*MAX('Inputs'!$B$33,'Inputs'!$B$29+'Inputs'!$B$31+'Inputs'!$B$32,'Inputs'!$B$30+'Inputs'!$B$31+'Inputs'!$B$32)/1000+'Inputs'!$B$21+'Inputs'!$B$7+'Inputs'!$B$10)+'Inputs'!$B$9)^2+('Inputs'!$B$8/2)^2)-(((581-43)*MAX('Inputs'!$B$33,'Inputs'!$B$29+'Inputs'!$B$31+'Inputs'!$B$32,'Inputs'!$B$30+'Inputs'!$B$31+'Inputs'!$B$32)/1000+'Inputs'!$B$21+'Inputs'!$B$7+'Inputs'!$B$10))/SQRT((((581-43)*MAX('Inputs'!$B$33,'Inputs'!$B$29+'Inputs'!$B$31+'Inputs'!$B$32,'Inputs'!$B$30+'Inputs'!$B$31+'Inputs'!$B$32)/1000+'Inputs'!$B$21+'Inputs'!$B$7+'Inputs'!$B$10))^2+('Inputs'!$B$8/2)^2))))*'Results'!$B$8))),"")</x:f>
        <x:v>3.6577738595530205</x:v>
      </x:c>
      <x:c r="M581" t="n">
        <x:f>IF(AND(ISNUMBER('Results'!C7),ISNUMBER('Results'!B7),ISNUMBER('Results'!$B$8),ISNUMBER('Inputs'!$B$6),ISNUMBER('Inputs'!$B$7),ISNUMBER('Inputs'!$B$8),ISNUMBER('Inputs'!$B$9),ISNUMBER('Inputs'!$B$10),ISNUMBER('Inputs'!$B$21),ISNUMBER('Inputs'!$B$24),ISNUMBER('Inputs'!$B$28)),(('Results'!C7*(0.5*((((581-43)*MAX('Inputs'!$B$33,'Inputs'!$B$29+'Inputs'!$B$31+'Inputs'!$B$32,'Inputs'!$B$30+'Inputs'!$B$31+'Inputs'!$B$32)/1000+'Inputs'!$B$21)+'Inputs'!$B$9)/SQRT((((581-43)*MAX('Inputs'!$B$33,'Inputs'!$B$29+'Inputs'!$B$31+'Inputs'!$B$32,'Inputs'!$B$30+'Inputs'!$B$31+'Inputs'!$B$32)/1000+'Inputs'!$B$21)+'Inputs'!$B$9)^2+('Inputs'!$B$8/2)^2)-(((581-43)*MAX('Inputs'!$B$33,'Inputs'!$B$29+'Inputs'!$B$31+'Inputs'!$B$32,'Inputs'!$B$30+'Inputs'!$B$31+'Inputs'!$B$32)/1000+'Inputs'!$B$21))/SQRT((((581-43)*MAX('Inputs'!$B$33,'Inputs'!$B$29+'Inputs'!$B$31+'Inputs'!$B$32,'Inputs'!$B$30+'Inputs'!$B$31+'Inputs'!$B$32)/1000+'Inputs'!$B$21))^2+('Inputs'!$B$8/2)^2)))-'Results'!B7*(0.5*((((581-43)*MAX('Inputs'!$B$33,'Inputs'!$B$29+'Inputs'!$B$31+'Inputs'!$B$32,'Inputs'!$B$30+'Inputs'!$B$31+'Inputs'!$B$32)/1000+'Inputs'!$B$21+'Inputs'!$B$9+'Inputs'!$B$10)+'Inputs'!$B$7)/SQRT((((581-43)*MAX('Inputs'!$B$33,'Inputs'!$B$29+'Inputs'!$B$31+'Inputs'!$B$32,'Inputs'!$B$30+'Inputs'!$B$31+'Inputs'!$B$32)/1000+'Inputs'!$B$21+'Inputs'!$B$9+'Inputs'!$B$10)+'Inputs'!$B$7)^2+('Inputs'!$B$6/2)^2)-(((581-43)*MAX('Inputs'!$B$33,'Inputs'!$B$29+'Inputs'!$B$31+'Inputs'!$B$32,'Inputs'!$B$30+'Inputs'!$B$31+'Inputs'!$B$32)/1000+'Inputs'!$B$21+'Inputs'!$B$9+'Inputs'!$B$10))/SQRT((((581-43)*MAX('Inputs'!$B$33,'Inputs'!$B$29+'Inputs'!$B$31+'Inputs'!$B$32,'Inputs'!$B$30+'Inputs'!$B$31+'Inputs'!$B$32)/1000+'Inputs'!$B$21+'Inputs'!$B$9+'Inputs'!$B$10))^2+('Inputs'!$B$6/2)^2))))*'Results'!$B$8),"")</x:f>
        <x:v>3.0153651306961833</x:v>
      </x:c>
      <x:c r="N581" t="n">
        <x:f>IF(AND(ISNUMBER('Results'!C7),ISNUMBER('Results'!B7),ISNUMBER('Results'!$B$8),ISNUMBER('Inputs'!$B$6),ISNUMBER('Inputs'!$B$7),ISNUMBER('Inputs'!$B$8),ISNUMBER('Inputs'!$B$9),ISNUMBER('Inputs'!$B$10),ISNUMBER('Inputs'!$B$21),ISNUMBER('Inputs'!$B$24),ISNUMBER('Inputs'!$B$28)),((('Results'!C7*(1-'Inputs'!$B$24)*(0.5*((((581-43)*MAX('Inputs'!$B$33,'Inputs'!$B$29+'Inputs'!$B$31+'Inputs'!$B$32,'Inputs'!$B$30+'Inputs'!$B$31+'Inputs'!$B$32)/1000+'Inputs'!$B$21)+'Inputs'!$B$9)/SQRT((((581-43)*MAX('Inputs'!$B$33,'Inputs'!$B$29+'Inputs'!$B$31+'Inputs'!$B$32,'Inputs'!$B$30+'Inputs'!$B$31+'Inputs'!$B$32)/1000+'Inputs'!$B$21)+'Inputs'!$B$9)^2+('Inputs'!$B$8/2)^2)-(((581-43)*MAX('Inputs'!$B$33,'Inputs'!$B$29+'Inputs'!$B$31+'Inputs'!$B$32,'Inputs'!$B$30+'Inputs'!$B$31+'Inputs'!$B$32)/1000+'Inputs'!$B$21))/SQRT((((581-43)*MAX('Inputs'!$B$33,'Inputs'!$B$29+'Inputs'!$B$31+'Inputs'!$B$32,'Inputs'!$B$30+'Inputs'!$B$31+'Inputs'!$B$32)/1000+'Inputs'!$B$21))^2+('Inputs'!$B$8/2)^2)))-'Results'!B7*(1+'Inputs'!$B$24)*(0.5*((((581-43)*MAX('Inputs'!$B$33,'Inputs'!$B$29+'Inputs'!$B$31+'Inputs'!$B$32,'Inputs'!$B$30+'Inputs'!$B$31+'Inputs'!$B$32)/1000+'Inputs'!$B$21+'Inputs'!$B$9+'Inputs'!$B$10)+'Inputs'!$B$7)/SQRT((((581-43)*MAX('Inputs'!$B$33,'Inputs'!$B$29+'Inputs'!$B$31+'Inputs'!$B$32,'Inputs'!$B$30+'Inputs'!$B$31+'Inputs'!$B$32)/1000+'Inputs'!$B$21+'Inputs'!$B$9+'Inputs'!$B$10)+'Inputs'!$B$7)^2+('Inputs'!$B$6/2)^2)-(((581-43)*MAX('Inputs'!$B$33,'Inputs'!$B$29+'Inputs'!$B$31+'Inputs'!$B$32,'Inputs'!$B$30+'Inputs'!$B$31+'Inputs'!$B$32)/1000+'Inputs'!$B$21+'Inputs'!$B$9+'Inputs'!$B$10))/SQRT((((581-43)*MAX('Inputs'!$B$33,'Inputs'!$B$29+'Inputs'!$B$31+'Inputs'!$B$32,'Inputs'!$B$30+'Inputs'!$B$31+'Inputs'!$B$32)/1000+'Inputs'!$B$21+'Inputs'!$B$9+'Inputs'!$B$10))^2+('Inputs'!$B$6/2)^2))))*'Results'!$B$8)-'Inputs'!$B$28*ABS((('Results'!C7*(1-'Inputs'!$B$24)*(0.5*((((581-43)*MAX('Inputs'!$B$33,'Inputs'!$B$29+'Inputs'!$B$31+'Inputs'!$B$32,'Inputs'!$B$30+'Inputs'!$B$31+'Inputs'!$B$32)/1000+'Inputs'!$B$21)+'Inputs'!$B$9)/SQRT((((581-43)*MAX('Inputs'!$B$33,'Inputs'!$B$29+'Inputs'!$B$31+'Inputs'!$B$32,'Inputs'!$B$30+'Inputs'!$B$31+'Inputs'!$B$32)/1000+'Inputs'!$B$21)+'Inputs'!$B$9)^2+('Inputs'!$B$8/2)^2)-(((581-43)*MAX('Inputs'!$B$33,'Inputs'!$B$29+'Inputs'!$B$31+'Inputs'!$B$32,'Inputs'!$B$30+'Inputs'!$B$31+'Inputs'!$B$32)/1000+'Inputs'!$B$21))/SQRT((((581-43)*MAX('Inputs'!$B$33,'Inputs'!$B$29+'Inputs'!$B$31+'Inputs'!$B$32,'Inputs'!$B$30+'Inputs'!$B$31+'Inputs'!$B$32)/1000+'Inputs'!$B$21))^2+('Inputs'!$B$8/2)^2)))-'Results'!B7*(1+'Inputs'!$B$24)*(0.5*((((581-43)*MAX('Inputs'!$B$33,'Inputs'!$B$29+'Inputs'!$B$31+'Inputs'!$B$32,'Inputs'!$B$30+'Inputs'!$B$31+'Inputs'!$B$32)/1000+'Inputs'!$B$21+'Inputs'!$B$9+'Inputs'!$B$10)+'Inputs'!$B$7)/SQRT((((581-43)*MAX('Inputs'!$B$33,'Inputs'!$B$29+'Inputs'!$B$31+'Inputs'!$B$32,'Inputs'!$B$30+'Inputs'!$B$31+'Inputs'!$B$32)/1000+'Inputs'!$B$21+'Inputs'!$B$9+'Inputs'!$B$10)+'Inputs'!$B$7)^2+('Inputs'!$B$6/2)^2)-(((581-43)*MAX('Inputs'!$B$33,'Inputs'!$B$29+'Inputs'!$B$31+'Inputs'!$B$32,'Inputs'!$B$30+'Inputs'!$B$31+'Inputs'!$B$32)/1000+'Inputs'!$B$21+'Inputs'!$B$9+'Inputs'!$B$10))/SQRT((((581-43)*MAX('Inputs'!$B$33,'Inputs'!$B$29+'Inputs'!$B$31+'Inputs'!$B$32,'Inputs'!$B$30+'Inputs'!$B$31+'Inputs'!$B$32)/1000+'Inputs'!$B$21+'Inputs'!$B$9+'Inputs'!$B$10))^2+('Inputs'!$B$6/2)^2))))*'Results'!$B$8))),"")</x:f>
        <x:v>2.644206091979262</x:v>
      </x:c>
      <x:c r="O581" t="n">
        <x:f>IF(AND(ISNUMBER('Results'!C7),ISNUMBER('Results'!B7),ISNUMBER('Results'!$B$8),ISNUMBER('Inputs'!$B$6),ISNUMBER('Inputs'!$B$7),ISNUMBER('Inputs'!$B$8),ISNUMBER('Inputs'!$B$9),ISNUMBER('Inputs'!$B$10),ISNUMBER('Inputs'!$B$21),ISNUMBER('Inputs'!$B$24),ISNUMBER('Inputs'!$B$28)),((('Results'!C7*(1+'Inputs'!$B$24)*(0.5*((((581-43)*MAX('Inputs'!$B$33,'Inputs'!$B$29+'Inputs'!$B$31+'Inputs'!$B$32,'Inputs'!$B$30+'Inputs'!$B$31+'Inputs'!$B$32)/1000+'Inputs'!$B$21)+'Inputs'!$B$9)/SQRT((((581-43)*MAX('Inputs'!$B$33,'Inputs'!$B$29+'Inputs'!$B$31+'Inputs'!$B$32,'Inputs'!$B$30+'Inputs'!$B$31+'Inputs'!$B$32)/1000+'Inputs'!$B$21)+'Inputs'!$B$9)^2+('Inputs'!$B$8/2)^2)-(((581-43)*MAX('Inputs'!$B$33,'Inputs'!$B$29+'Inputs'!$B$31+'Inputs'!$B$32,'Inputs'!$B$30+'Inputs'!$B$31+'Inputs'!$B$32)/1000+'Inputs'!$B$21))/SQRT((((581-43)*MAX('Inputs'!$B$33,'Inputs'!$B$29+'Inputs'!$B$31+'Inputs'!$B$32,'Inputs'!$B$30+'Inputs'!$B$31+'Inputs'!$B$32)/1000+'Inputs'!$B$21))^2+('Inputs'!$B$8/2)^2)))-'Results'!B7*(1-'Inputs'!$B$24)*(0.5*((((581-43)*MAX('Inputs'!$B$33,'Inputs'!$B$29+'Inputs'!$B$31+'Inputs'!$B$32,'Inputs'!$B$30+'Inputs'!$B$31+'Inputs'!$B$32)/1000+'Inputs'!$B$21+'Inputs'!$B$9+'Inputs'!$B$10)+'Inputs'!$B$7)/SQRT((((581-43)*MAX('Inputs'!$B$33,'Inputs'!$B$29+'Inputs'!$B$31+'Inputs'!$B$32,'Inputs'!$B$30+'Inputs'!$B$31+'Inputs'!$B$32)/1000+'Inputs'!$B$21+'Inputs'!$B$9+'Inputs'!$B$10)+'Inputs'!$B$7)^2+('Inputs'!$B$6/2)^2)-(((581-43)*MAX('Inputs'!$B$33,'Inputs'!$B$29+'Inputs'!$B$31+'Inputs'!$B$32,'Inputs'!$B$30+'Inputs'!$B$31+'Inputs'!$B$32)/1000+'Inputs'!$B$21+'Inputs'!$B$9+'Inputs'!$B$10))/SQRT((((581-43)*MAX('Inputs'!$B$33,'Inputs'!$B$29+'Inputs'!$B$31+'Inputs'!$B$32,'Inputs'!$B$30+'Inputs'!$B$31+'Inputs'!$B$32)/1000+'Inputs'!$B$21+'Inputs'!$B$9+'Inputs'!$B$10))^2+('Inputs'!$B$6/2)^2))))*'Results'!$B$8)+'Inputs'!$B$28*ABS((('Results'!C7*(1+'Inputs'!$B$24)*(0.5*((((581-43)*MAX('Inputs'!$B$33,'Inputs'!$B$29+'Inputs'!$B$31+'Inputs'!$B$32,'Inputs'!$B$30+'Inputs'!$B$31+'Inputs'!$B$32)/1000+'Inputs'!$B$21)+'Inputs'!$B$9)/SQRT((((581-43)*MAX('Inputs'!$B$33,'Inputs'!$B$29+'Inputs'!$B$31+'Inputs'!$B$32,'Inputs'!$B$30+'Inputs'!$B$31+'Inputs'!$B$32)/1000+'Inputs'!$B$21)+'Inputs'!$B$9)^2+('Inputs'!$B$8/2)^2)-(((581-43)*MAX('Inputs'!$B$33,'Inputs'!$B$29+'Inputs'!$B$31+'Inputs'!$B$32,'Inputs'!$B$30+'Inputs'!$B$31+'Inputs'!$B$32)/1000+'Inputs'!$B$21))/SQRT((((581-43)*MAX('Inputs'!$B$33,'Inputs'!$B$29+'Inputs'!$B$31+'Inputs'!$B$32,'Inputs'!$B$30+'Inputs'!$B$31+'Inputs'!$B$32)/1000+'Inputs'!$B$21))^2+('Inputs'!$B$8/2)^2)))-'Results'!B7*(1-'Inputs'!$B$24)*(0.5*((((581-43)*MAX('Inputs'!$B$33,'Inputs'!$B$29+'Inputs'!$B$31+'Inputs'!$B$32,'Inputs'!$B$30+'Inputs'!$B$31+'Inputs'!$B$32)/1000+'Inputs'!$B$21+'Inputs'!$B$9+'Inputs'!$B$10)+'Inputs'!$B$7)/SQRT((((581-43)*MAX('Inputs'!$B$33,'Inputs'!$B$29+'Inputs'!$B$31+'Inputs'!$B$32,'Inputs'!$B$30+'Inputs'!$B$31+'Inputs'!$B$32)/1000+'Inputs'!$B$21+'Inputs'!$B$9+'Inputs'!$B$10)+'Inputs'!$B$7)^2+('Inputs'!$B$6/2)^2)-(((581-43)*MAX('Inputs'!$B$33,'Inputs'!$B$29+'Inputs'!$B$31+'Inputs'!$B$32,'Inputs'!$B$30+'Inputs'!$B$31+'Inputs'!$B$32)/1000+'Inputs'!$B$21+'Inputs'!$B$9+'Inputs'!$B$10))/SQRT((((581-43)*MAX('Inputs'!$B$33,'Inputs'!$B$29+'Inputs'!$B$31+'Inputs'!$B$32,'Inputs'!$B$30+'Inputs'!$B$31+'Inputs'!$B$32)/1000+'Inputs'!$B$21+'Inputs'!$B$9+'Inputs'!$B$10))^2+('Inputs'!$B$6/2)^2))))*'Results'!$B$8))),"")</x:f>
        <x:v>3.4097231991164865</x:v>
      </x:c>
      <x:c r="P581" t="n">
        <x:f>IF(AND(MAX(J581,J580)&gt;0,J581&gt;J580+0.00000001),1,0)</x:f>
        <x:v>0</x:v>
      </x:c>
      <x:c r="Q581" t="n">
        <x:f>IF(AND(MAX(K581,K580)&gt;0,K581&gt;K580+0.00000001),1,0)</x:f>
        <x:v>0</x:v>
      </x:c>
      <x:c r="R581" t="n">
        <x:f>IF(AND(MAX(L581,L580)&gt;0,L581&gt;L580+0.00000001),1,0)</x:f>
        <x:v>0</x:v>
      </x:c>
      <x:c r="S581" t="n">
        <x:f>IF(AND(MAX(M581,M580)&gt;0,M581&gt;M580+0.00000001),1,0)</x:f>
        <x:v>0</x:v>
      </x:c>
      <x:c r="T581" t="n">
        <x:f>IF(AND(MAX(N581,N580)&gt;0,N581&gt;N580+0.00000001),1,0)</x:f>
        <x:v>0</x:v>
      </x:c>
      <x:c r="U581" t="n">
        <x:f>IF(AND(MAX(O581,O580)&gt;0,O581&gt;O580+0.00000001),1,0)</x:f>
        <x:v>0</x:v>
      </x:c>
    </x:row>
    <x:row r="582">
      <x:c r="J582" t="n">
        <x:f>IF(AND(ISNUMBER('Results'!B7),ISNUMBER('Results'!C7),ISNUMBER('Results'!$B$8),ISNUMBER('Inputs'!$B$6),ISNUMBER('Inputs'!$B$7),ISNUMBER('Inputs'!$B$8),ISNUMBER('Inputs'!$B$9),ISNUMBER('Inputs'!$B$10),ISNUMBER('Inputs'!$B$21),ISNUMBER('Inputs'!$B$24),ISNUMBER('Inputs'!$B$28)),(('Results'!B7*(0.5*((((582-43)*MAX('Inputs'!$B$33,'Inputs'!$B$29+'Inputs'!$B$31+'Inputs'!$B$32,'Inputs'!$B$30+'Inputs'!$B$31+'Inputs'!$B$32)/1000+'Inputs'!$B$21)+'Inputs'!$B$7)/SQRT((((582-43)*MAX('Inputs'!$B$33,'Inputs'!$B$29+'Inputs'!$B$31+'Inputs'!$B$32,'Inputs'!$B$30+'Inputs'!$B$31+'Inputs'!$B$32)/1000+'Inputs'!$B$21)+'Inputs'!$B$7)^2+('Inputs'!$B$6/2)^2)-(((582-43)*MAX('Inputs'!$B$33,'Inputs'!$B$29+'Inputs'!$B$31+'Inputs'!$B$32,'Inputs'!$B$30+'Inputs'!$B$31+'Inputs'!$B$32)/1000+'Inputs'!$B$21))/SQRT((((582-43)*MAX('Inputs'!$B$33,'Inputs'!$B$29+'Inputs'!$B$31+'Inputs'!$B$32,'Inputs'!$B$30+'Inputs'!$B$31+'Inputs'!$B$32)/1000+'Inputs'!$B$21))^2+('Inputs'!$B$6/2)^2)))-'Results'!C7*(0.5*((((582-43)*MAX('Inputs'!$B$33,'Inputs'!$B$29+'Inputs'!$B$31+'Inputs'!$B$32,'Inputs'!$B$30+'Inputs'!$B$31+'Inputs'!$B$32)/1000+'Inputs'!$B$21+'Inputs'!$B$7+'Inputs'!$B$10)+'Inputs'!$B$9)/SQRT((((582-43)*MAX('Inputs'!$B$33,'Inputs'!$B$29+'Inputs'!$B$31+'Inputs'!$B$32,'Inputs'!$B$30+'Inputs'!$B$31+'Inputs'!$B$32)/1000+'Inputs'!$B$21+'Inputs'!$B$7+'Inputs'!$B$10)+'Inputs'!$B$9)^2+('Inputs'!$B$8/2)^2)-(((582-43)*MAX('Inputs'!$B$33,'Inputs'!$B$29+'Inputs'!$B$31+'Inputs'!$B$32,'Inputs'!$B$30+'Inputs'!$B$31+'Inputs'!$B$32)/1000+'Inputs'!$B$21+'Inputs'!$B$7+'Inputs'!$B$10))/SQRT((((582-43)*MAX('Inputs'!$B$33,'Inputs'!$B$29+'Inputs'!$B$31+'Inputs'!$B$32,'Inputs'!$B$30+'Inputs'!$B$31+'Inputs'!$B$32)/1000+'Inputs'!$B$21+'Inputs'!$B$7+'Inputs'!$B$10))^2+('Inputs'!$B$8/2)^2))))*'Results'!$B$8),"")</x:f>
        <x:v>3.2295807693411516</x:v>
      </x:c>
      <x:c r="K582" t="n">
        <x:f>IF(AND(ISNUMBER('Results'!B7),ISNUMBER('Results'!C7),ISNUMBER('Results'!$B$8),ISNUMBER('Inputs'!$B$6),ISNUMBER('Inputs'!$B$7),ISNUMBER('Inputs'!$B$8),ISNUMBER('Inputs'!$B$9),ISNUMBER('Inputs'!$B$10),ISNUMBER('Inputs'!$B$21),ISNUMBER('Inputs'!$B$24),ISNUMBER('Inputs'!$B$28)),((('Results'!B7*(1-'Inputs'!$B$24)*(0.5*((((582-43)*MAX('Inputs'!$B$33,'Inputs'!$B$29+'Inputs'!$B$31+'Inputs'!$B$32,'Inputs'!$B$30+'Inputs'!$B$31+'Inputs'!$B$32)/1000+'Inputs'!$B$21)+'Inputs'!$B$7)/SQRT((((582-43)*MAX('Inputs'!$B$33,'Inputs'!$B$29+'Inputs'!$B$31+'Inputs'!$B$32,'Inputs'!$B$30+'Inputs'!$B$31+'Inputs'!$B$32)/1000+'Inputs'!$B$21)+'Inputs'!$B$7)^2+('Inputs'!$B$6/2)^2)-(((582-43)*MAX('Inputs'!$B$33,'Inputs'!$B$29+'Inputs'!$B$31+'Inputs'!$B$32,'Inputs'!$B$30+'Inputs'!$B$31+'Inputs'!$B$32)/1000+'Inputs'!$B$21))/SQRT((((582-43)*MAX('Inputs'!$B$33,'Inputs'!$B$29+'Inputs'!$B$31+'Inputs'!$B$32,'Inputs'!$B$30+'Inputs'!$B$31+'Inputs'!$B$32)/1000+'Inputs'!$B$21))^2+('Inputs'!$B$6/2)^2)))-'Results'!C7*(1+'Inputs'!$B$24)*(0.5*((((582-43)*MAX('Inputs'!$B$33,'Inputs'!$B$29+'Inputs'!$B$31+'Inputs'!$B$32,'Inputs'!$B$30+'Inputs'!$B$31+'Inputs'!$B$32)/1000+'Inputs'!$B$21+'Inputs'!$B$7+'Inputs'!$B$10)+'Inputs'!$B$9)/SQRT((((582-43)*MAX('Inputs'!$B$33,'Inputs'!$B$29+'Inputs'!$B$31+'Inputs'!$B$32,'Inputs'!$B$30+'Inputs'!$B$31+'Inputs'!$B$32)/1000+'Inputs'!$B$21+'Inputs'!$B$7+'Inputs'!$B$10)+'Inputs'!$B$9)^2+('Inputs'!$B$8/2)^2)-(((582-43)*MAX('Inputs'!$B$33,'Inputs'!$B$29+'Inputs'!$B$31+'Inputs'!$B$32,'Inputs'!$B$30+'Inputs'!$B$31+'Inputs'!$B$32)/1000+'Inputs'!$B$21+'Inputs'!$B$7+'Inputs'!$B$10))/SQRT((((582-43)*MAX('Inputs'!$B$33,'Inputs'!$B$29+'Inputs'!$B$31+'Inputs'!$B$32,'Inputs'!$B$30+'Inputs'!$B$31+'Inputs'!$B$32)/1000+'Inputs'!$B$21+'Inputs'!$B$7+'Inputs'!$B$10))^2+('Inputs'!$B$8/2)^2))))*'Results'!$B$8)-'Inputs'!$B$28*ABS((('Results'!B7*(1-'Inputs'!$B$24)*(0.5*((((582-43)*MAX('Inputs'!$B$33,'Inputs'!$B$29+'Inputs'!$B$31+'Inputs'!$B$32,'Inputs'!$B$30+'Inputs'!$B$31+'Inputs'!$B$32)/1000+'Inputs'!$B$21)+'Inputs'!$B$7)/SQRT((((582-43)*MAX('Inputs'!$B$33,'Inputs'!$B$29+'Inputs'!$B$31+'Inputs'!$B$32,'Inputs'!$B$30+'Inputs'!$B$31+'Inputs'!$B$32)/1000+'Inputs'!$B$21)+'Inputs'!$B$7)^2+('Inputs'!$B$6/2)^2)-(((582-43)*MAX('Inputs'!$B$33,'Inputs'!$B$29+'Inputs'!$B$31+'Inputs'!$B$32,'Inputs'!$B$30+'Inputs'!$B$31+'Inputs'!$B$32)/1000+'Inputs'!$B$21))/SQRT((((582-43)*MAX('Inputs'!$B$33,'Inputs'!$B$29+'Inputs'!$B$31+'Inputs'!$B$32,'Inputs'!$B$30+'Inputs'!$B$31+'Inputs'!$B$32)/1000+'Inputs'!$B$21))^2+('Inputs'!$B$6/2)^2)))-'Results'!C7*(1+'Inputs'!$B$24)*(0.5*((((582-43)*MAX('Inputs'!$B$33,'Inputs'!$B$29+'Inputs'!$B$31+'Inputs'!$B$32,'Inputs'!$B$30+'Inputs'!$B$31+'Inputs'!$B$32)/1000+'Inputs'!$B$21+'Inputs'!$B$7+'Inputs'!$B$10)+'Inputs'!$B$9)/SQRT((((582-43)*MAX('Inputs'!$B$33,'Inputs'!$B$29+'Inputs'!$B$31+'Inputs'!$B$32,'Inputs'!$B$30+'Inputs'!$B$31+'Inputs'!$B$32)/1000+'Inputs'!$B$21+'Inputs'!$B$7+'Inputs'!$B$10)+'Inputs'!$B$9)^2+('Inputs'!$B$8/2)^2)-(((582-43)*MAX('Inputs'!$B$33,'Inputs'!$B$29+'Inputs'!$B$31+'Inputs'!$B$32,'Inputs'!$B$30+'Inputs'!$B$31+'Inputs'!$B$32)/1000+'Inputs'!$B$21+'Inputs'!$B$7+'Inputs'!$B$10))/SQRT((((582-43)*MAX('Inputs'!$B$33,'Inputs'!$B$29+'Inputs'!$B$31+'Inputs'!$B$32,'Inputs'!$B$30+'Inputs'!$B$31+'Inputs'!$B$32)/1000+'Inputs'!$B$21+'Inputs'!$B$7+'Inputs'!$B$10))^2+('Inputs'!$B$8/2)^2))))*'Results'!$B$8))),"")</x:f>
        <x:v>2.847604749530704</x:v>
      </x:c>
      <x:c r="L582" t="n">
        <x:f>IF(AND(ISNUMBER('Results'!B7),ISNUMBER('Results'!C7),ISNUMBER('Results'!$B$8),ISNUMBER('Inputs'!$B$6),ISNUMBER('Inputs'!$B$7),ISNUMBER('Inputs'!$B$8),ISNUMBER('Inputs'!$B$9),ISNUMBER('Inputs'!$B$10),ISNUMBER('Inputs'!$B$21),ISNUMBER('Inputs'!$B$24),ISNUMBER('Inputs'!$B$28)),((('Results'!B7*(1+'Inputs'!$B$24)*(0.5*((((582-43)*MAX('Inputs'!$B$33,'Inputs'!$B$29+'Inputs'!$B$31+'Inputs'!$B$32,'Inputs'!$B$30+'Inputs'!$B$31+'Inputs'!$B$32)/1000+'Inputs'!$B$21)+'Inputs'!$B$7)/SQRT((((582-43)*MAX('Inputs'!$B$33,'Inputs'!$B$29+'Inputs'!$B$31+'Inputs'!$B$32,'Inputs'!$B$30+'Inputs'!$B$31+'Inputs'!$B$32)/1000+'Inputs'!$B$21)+'Inputs'!$B$7)^2+('Inputs'!$B$6/2)^2)-(((582-43)*MAX('Inputs'!$B$33,'Inputs'!$B$29+'Inputs'!$B$31+'Inputs'!$B$32,'Inputs'!$B$30+'Inputs'!$B$31+'Inputs'!$B$32)/1000+'Inputs'!$B$21))/SQRT((((582-43)*MAX('Inputs'!$B$33,'Inputs'!$B$29+'Inputs'!$B$31+'Inputs'!$B$32,'Inputs'!$B$30+'Inputs'!$B$31+'Inputs'!$B$32)/1000+'Inputs'!$B$21))^2+('Inputs'!$B$6/2)^2)))-'Results'!C7*(1-'Inputs'!$B$24)*(0.5*((((582-43)*MAX('Inputs'!$B$33,'Inputs'!$B$29+'Inputs'!$B$31+'Inputs'!$B$32,'Inputs'!$B$30+'Inputs'!$B$31+'Inputs'!$B$32)/1000+'Inputs'!$B$21+'Inputs'!$B$7+'Inputs'!$B$10)+'Inputs'!$B$9)/SQRT((((582-43)*MAX('Inputs'!$B$33,'Inputs'!$B$29+'Inputs'!$B$31+'Inputs'!$B$32,'Inputs'!$B$30+'Inputs'!$B$31+'Inputs'!$B$32)/1000+'Inputs'!$B$21+'Inputs'!$B$7+'Inputs'!$B$10)+'Inputs'!$B$9)^2+('Inputs'!$B$8/2)^2)-(((582-43)*MAX('Inputs'!$B$33,'Inputs'!$B$29+'Inputs'!$B$31+'Inputs'!$B$32,'Inputs'!$B$30+'Inputs'!$B$31+'Inputs'!$B$32)/1000+'Inputs'!$B$21+'Inputs'!$B$7+'Inputs'!$B$10))/SQRT((((582-43)*MAX('Inputs'!$B$33,'Inputs'!$B$29+'Inputs'!$B$31+'Inputs'!$B$32,'Inputs'!$B$30+'Inputs'!$B$31+'Inputs'!$B$32)/1000+'Inputs'!$B$21+'Inputs'!$B$7+'Inputs'!$B$10))^2+('Inputs'!$B$8/2)^2))))*'Results'!$B$8)+'Inputs'!$B$28*ABS((('Results'!B7*(1+'Inputs'!$B$24)*(0.5*((((582-43)*MAX('Inputs'!$B$33,'Inputs'!$B$29+'Inputs'!$B$31+'Inputs'!$B$32,'Inputs'!$B$30+'Inputs'!$B$31+'Inputs'!$B$32)/1000+'Inputs'!$B$21)+'Inputs'!$B$7)/SQRT((((582-43)*MAX('Inputs'!$B$33,'Inputs'!$B$29+'Inputs'!$B$31+'Inputs'!$B$32,'Inputs'!$B$30+'Inputs'!$B$31+'Inputs'!$B$32)/1000+'Inputs'!$B$21)+'Inputs'!$B$7)^2+('Inputs'!$B$6/2)^2)-(((582-43)*MAX('Inputs'!$B$33,'Inputs'!$B$29+'Inputs'!$B$31+'Inputs'!$B$32,'Inputs'!$B$30+'Inputs'!$B$31+'Inputs'!$B$32)/1000+'Inputs'!$B$21))/SQRT((((582-43)*MAX('Inputs'!$B$33,'Inputs'!$B$29+'Inputs'!$B$31+'Inputs'!$B$32,'Inputs'!$B$30+'Inputs'!$B$31+'Inputs'!$B$32)/1000+'Inputs'!$B$21))^2+('Inputs'!$B$6/2)^2)))-'Results'!C7*(1-'Inputs'!$B$24)*(0.5*((((582-43)*MAX('Inputs'!$B$33,'Inputs'!$B$29+'Inputs'!$B$31+'Inputs'!$B$32,'Inputs'!$B$30+'Inputs'!$B$31+'Inputs'!$B$32)/1000+'Inputs'!$B$21+'Inputs'!$B$7+'Inputs'!$B$10)+'Inputs'!$B$9)/SQRT((((582-43)*MAX('Inputs'!$B$33,'Inputs'!$B$29+'Inputs'!$B$31+'Inputs'!$B$32,'Inputs'!$B$30+'Inputs'!$B$31+'Inputs'!$B$32)/1000+'Inputs'!$B$21+'Inputs'!$B$7+'Inputs'!$B$10)+'Inputs'!$B$9)^2+('Inputs'!$B$8/2)^2)-(((582-43)*MAX('Inputs'!$B$33,'Inputs'!$B$29+'Inputs'!$B$31+'Inputs'!$B$32,'Inputs'!$B$30+'Inputs'!$B$31+'Inputs'!$B$32)/1000+'Inputs'!$B$21+'Inputs'!$B$7+'Inputs'!$B$10))/SQRT((((582-43)*MAX('Inputs'!$B$33,'Inputs'!$B$29+'Inputs'!$B$31+'Inputs'!$B$32,'Inputs'!$B$30+'Inputs'!$B$31+'Inputs'!$B$32)/1000+'Inputs'!$B$21+'Inputs'!$B$7+'Inputs'!$B$10))^2+('Inputs'!$B$8/2)^2))))*'Results'!$B$8))),"")</x:f>
        <x:v>3.6347669977140624</x:v>
      </x:c>
      <x:c r="M582" t="n">
        <x:f>IF(AND(ISNUMBER('Results'!C7),ISNUMBER('Results'!B7),ISNUMBER('Results'!$B$8),ISNUMBER('Inputs'!$B$6),ISNUMBER('Inputs'!$B$7),ISNUMBER('Inputs'!$B$8),ISNUMBER('Inputs'!$B$9),ISNUMBER('Inputs'!$B$10),ISNUMBER('Inputs'!$B$21),ISNUMBER('Inputs'!$B$24),ISNUMBER('Inputs'!$B$28)),(('Results'!C7*(0.5*((((582-43)*MAX('Inputs'!$B$33,'Inputs'!$B$29+'Inputs'!$B$31+'Inputs'!$B$32,'Inputs'!$B$30+'Inputs'!$B$31+'Inputs'!$B$32)/1000+'Inputs'!$B$21)+'Inputs'!$B$9)/SQRT((((582-43)*MAX('Inputs'!$B$33,'Inputs'!$B$29+'Inputs'!$B$31+'Inputs'!$B$32,'Inputs'!$B$30+'Inputs'!$B$31+'Inputs'!$B$32)/1000+'Inputs'!$B$21)+'Inputs'!$B$9)^2+('Inputs'!$B$8/2)^2)-(((582-43)*MAX('Inputs'!$B$33,'Inputs'!$B$29+'Inputs'!$B$31+'Inputs'!$B$32,'Inputs'!$B$30+'Inputs'!$B$31+'Inputs'!$B$32)/1000+'Inputs'!$B$21))/SQRT((((582-43)*MAX('Inputs'!$B$33,'Inputs'!$B$29+'Inputs'!$B$31+'Inputs'!$B$32,'Inputs'!$B$30+'Inputs'!$B$31+'Inputs'!$B$32)/1000+'Inputs'!$B$21))^2+('Inputs'!$B$8/2)^2)))-'Results'!B7*(0.5*((((582-43)*MAX('Inputs'!$B$33,'Inputs'!$B$29+'Inputs'!$B$31+'Inputs'!$B$32,'Inputs'!$B$30+'Inputs'!$B$31+'Inputs'!$B$32)/1000+'Inputs'!$B$21+'Inputs'!$B$9+'Inputs'!$B$10)+'Inputs'!$B$7)/SQRT((((582-43)*MAX('Inputs'!$B$33,'Inputs'!$B$29+'Inputs'!$B$31+'Inputs'!$B$32,'Inputs'!$B$30+'Inputs'!$B$31+'Inputs'!$B$32)/1000+'Inputs'!$B$21+'Inputs'!$B$9+'Inputs'!$B$10)+'Inputs'!$B$7)^2+('Inputs'!$B$6/2)^2)-(((582-43)*MAX('Inputs'!$B$33,'Inputs'!$B$29+'Inputs'!$B$31+'Inputs'!$B$32,'Inputs'!$B$30+'Inputs'!$B$31+'Inputs'!$B$32)/1000+'Inputs'!$B$21+'Inputs'!$B$9+'Inputs'!$B$10))/SQRT((((582-43)*MAX('Inputs'!$B$33,'Inputs'!$B$29+'Inputs'!$B$31+'Inputs'!$B$32,'Inputs'!$B$30+'Inputs'!$B$31+'Inputs'!$B$32)/1000+'Inputs'!$B$21+'Inputs'!$B$9+'Inputs'!$B$10))^2+('Inputs'!$B$6/2)^2))))*'Results'!$B$8),"")</x:f>
        <x:v>2.9957693932039002</x:v>
      </x:c>
      <x:c r="N582" t="n">
        <x:f>IF(AND(ISNUMBER('Results'!C7),ISNUMBER('Results'!B7),ISNUMBER('Results'!$B$8),ISNUMBER('Inputs'!$B$6),ISNUMBER('Inputs'!$B$7),ISNUMBER('Inputs'!$B$8),ISNUMBER('Inputs'!$B$9),ISNUMBER('Inputs'!$B$10),ISNUMBER('Inputs'!$B$21),ISNUMBER('Inputs'!$B$24),ISNUMBER('Inputs'!$B$28)),((('Results'!C7*(1-'Inputs'!$B$24)*(0.5*((((582-43)*MAX('Inputs'!$B$33,'Inputs'!$B$29+'Inputs'!$B$31+'Inputs'!$B$32,'Inputs'!$B$30+'Inputs'!$B$31+'Inputs'!$B$32)/1000+'Inputs'!$B$21)+'Inputs'!$B$9)/SQRT((((582-43)*MAX('Inputs'!$B$33,'Inputs'!$B$29+'Inputs'!$B$31+'Inputs'!$B$32,'Inputs'!$B$30+'Inputs'!$B$31+'Inputs'!$B$32)/1000+'Inputs'!$B$21)+'Inputs'!$B$9)^2+('Inputs'!$B$8/2)^2)-(((582-43)*MAX('Inputs'!$B$33,'Inputs'!$B$29+'Inputs'!$B$31+'Inputs'!$B$32,'Inputs'!$B$30+'Inputs'!$B$31+'Inputs'!$B$32)/1000+'Inputs'!$B$21))/SQRT((((582-43)*MAX('Inputs'!$B$33,'Inputs'!$B$29+'Inputs'!$B$31+'Inputs'!$B$32,'Inputs'!$B$30+'Inputs'!$B$31+'Inputs'!$B$32)/1000+'Inputs'!$B$21))^2+('Inputs'!$B$8/2)^2)))-'Results'!B7*(1+'Inputs'!$B$24)*(0.5*((((582-43)*MAX('Inputs'!$B$33,'Inputs'!$B$29+'Inputs'!$B$31+'Inputs'!$B$32,'Inputs'!$B$30+'Inputs'!$B$31+'Inputs'!$B$32)/1000+'Inputs'!$B$21+'Inputs'!$B$9+'Inputs'!$B$10)+'Inputs'!$B$7)/SQRT((((582-43)*MAX('Inputs'!$B$33,'Inputs'!$B$29+'Inputs'!$B$31+'Inputs'!$B$32,'Inputs'!$B$30+'Inputs'!$B$31+'Inputs'!$B$32)/1000+'Inputs'!$B$21+'Inputs'!$B$9+'Inputs'!$B$10)+'Inputs'!$B$7)^2+('Inputs'!$B$6/2)^2)-(((582-43)*MAX('Inputs'!$B$33,'Inputs'!$B$29+'Inputs'!$B$31+'Inputs'!$B$32,'Inputs'!$B$30+'Inputs'!$B$31+'Inputs'!$B$32)/1000+'Inputs'!$B$21+'Inputs'!$B$9+'Inputs'!$B$10))/SQRT((((582-43)*MAX('Inputs'!$B$33,'Inputs'!$B$29+'Inputs'!$B$31+'Inputs'!$B$32,'Inputs'!$B$30+'Inputs'!$B$31+'Inputs'!$B$32)/1000+'Inputs'!$B$21+'Inputs'!$B$9+'Inputs'!$B$10))^2+('Inputs'!$B$6/2)^2))))*'Results'!$B$8)-'Inputs'!$B$28*ABS((('Results'!C7*(1-'Inputs'!$B$24)*(0.5*((((582-43)*MAX('Inputs'!$B$33,'Inputs'!$B$29+'Inputs'!$B$31+'Inputs'!$B$32,'Inputs'!$B$30+'Inputs'!$B$31+'Inputs'!$B$32)/1000+'Inputs'!$B$21)+'Inputs'!$B$9)/SQRT((((582-43)*MAX('Inputs'!$B$33,'Inputs'!$B$29+'Inputs'!$B$31+'Inputs'!$B$32,'Inputs'!$B$30+'Inputs'!$B$31+'Inputs'!$B$32)/1000+'Inputs'!$B$21)+'Inputs'!$B$9)^2+('Inputs'!$B$8/2)^2)-(((582-43)*MAX('Inputs'!$B$33,'Inputs'!$B$29+'Inputs'!$B$31+'Inputs'!$B$32,'Inputs'!$B$30+'Inputs'!$B$31+'Inputs'!$B$32)/1000+'Inputs'!$B$21))/SQRT((((582-43)*MAX('Inputs'!$B$33,'Inputs'!$B$29+'Inputs'!$B$31+'Inputs'!$B$32,'Inputs'!$B$30+'Inputs'!$B$31+'Inputs'!$B$32)/1000+'Inputs'!$B$21))^2+('Inputs'!$B$8/2)^2)))-'Results'!B7*(1+'Inputs'!$B$24)*(0.5*((((582-43)*MAX('Inputs'!$B$33,'Inputs'!$B$29+'Inputs'!$B$31+'Inputs'!$B$32,'Inputs'!$B$30+'Inputs'!$B$31+'Inputs'!$B$32)/1000+'Inputs'!$B$21+'Inputs'!$B$9+'Inputs'!$B$10)+'Inputs'!$B$7)/SQRT((((582-43)*MAX('Inputs'!$B$33,'Inputs'!$B$29+'Inputs'!$B$31+'Inputs'!$B$32,'Inputs'!$B$30+'Inputs'!$B$31+'Inputs'!$B$32)/1000+'Inputs'!$B$21+'Inputs'!$B$9+'Inputs'!$B$10)+'Inputs'!$B$7)^2+('Inputs'!$B$6/2)^2)-(((582-43)*MAX('Inputs'!$B$33,'Inputs'!$B$29+'Inputs'!$B$31+'Inputs'!$B$32,'Inputs'!$B$30+'Inputs'!$B$31+'Inputs'!$B$32)/1000+'Inputs'!$B$21+'Inputs'!$B$9+'Inputs'!$B$10))/SQRT((((582-43)*MAX('Inputs'!$B$33,'Inputs'!$B$29+'Inputs'!$B$31+'Inputs'!$B$32,'Inputs'!$B$30+'Inputs'!$B$31+'Inputs'!$B$32)/1000+'Inputs'!$B$21+'Inputs'!$B$9+'Inputs'!$B$10))^2+('Inputs'!$B$6/2)^2))))*'Results'!$B$8))),"")</x:f>
        <x:v>2.6266787063729233</x:v>
      </x:c>
      <x:c r="O582" t="n">
        <x:f>IF(AND(ISNUMBER('Results'!C7),ISNUMBER('Results'!B7),ISNUMBER('Results'!$B$8),ISNUMBER('Inputs'!$B$6),ISNUMBER('Inputs'!$B$7),ISNUMBER('Inputs'!$B$8),ISNUMBER('Inputs'!$B$9),ISNUMBER('Inputs'!$B$10),ISNUMBER('Inputs'!$B$21),ISNUMBER('Inputs'!$B$24),ISNUMBER('Inputs'!$B$28)),((('Results'!C7*(1+'Inputs'!$B$24)*(0.5*((((582-43)*MAX('Inputs'!$B$33,'Inputs'!$B$29+'Inputs'!$B$31+'Inputs'!$B$32,'Inputs'!$B$30+'Inputs'!$B$31+'Inputs'!$B$32)/1000+'Inputs'!$B$21)+'Inputs'!$B$9)/SQRT((((582-43)*MAX('Inputs'!$B$33,'Inputs'!$B$29+'Inputs'!$B$31+'Inputs'!$B$32,'Inputs'!$B$30+'Inputs'!$B$31+'Inputs'!$B$32)/1000+'Inputs'!$B$21)+'Inputs'!$B$9)^2+('Inputs'!$B$8/2)^2)-(((582-43)*MAX('Inputs'!$B$33,'Inputs'!$B$29+'Inputs'!$B$31+'Inputs'!$B$32,'Inputs'!$B$30+'Inputs'!$B$31+'Inputs'!$B$32)/1000+'Inputs'!$B$21))/SQRT((((582-43)*MAX('Inputs'!$B$33,'Inputs'!$B$29+'Inputs'!$B$31+'Inputs'!$B$32,'Inputs'!$B$30+'Inputs'!$B$31+'Inputs'!$B$32)/1000+'Inputs'!$B$21))^2+('Inputs'!$B$8/2)^2)))-'Results'!B7*(1-'Inputs'!$B$24)*(0.5*((((582-43)*MAX('Inputs'!$B$33,'Inputs'!$B$29+'Inputs'!$B$31+'Inputs'!$B$32,'Inputs'!$B$30+'Inputs'!$B$31+'Inputs'!$B$32)/1000+'Inputs'!$B$21+'Inputs'!$B$9+'Inputs'!$B$10)+'Inputs'!$B$7)/SQRT((((582-43)*MAX('Inputs'!$B$33,'Inputs'!$B$29+'Inputs'!$B$31+'Inputs'!$B$32,'Inputs'!$B$30+'Inputs'!$B$31+'Inputs'!$B$32)/1000+'Inputs'!$B$21+'Inputs'!$B$9+'Inputs'!$B$10)+'Inputs'!$B$7)^2+('Inputs'!$B$6/2)^2)-(((582-43)*MAX('Inputs'!$B$33,'Inputs'!$B$29+'Inputs'!$B$31+'Inputs'!$B$32,'Inputs'!$B$30+'Inputs'!$B$31+'Inputs'!$B$32)/1000+'Inputs'!$B$21+'Inputs'!$B$9+'Inputs'!$B$10))/SQRT((((582-43)*MAX('Inputs'!$B$33,'Inputs'!$B$29+'Inputs'!$B$31+'Inputs'!$B$32,'Inputs'!$B$30+'Inputs'!$B$31+'Inputs'!$B$32)/1000+'Inputs'!$B$21+'Inputs'!$B$9+'Inputs'!$B$10))^2+('Inputs'!$B$6/2)^2))))*'Results'!$B$8)+'Inputs'!$B$28*ABS((('Results'!C7*(1+'Inputs'!$B$24)*(0.5*((((582-43)*MAX('Inputs'!$B$33,'Inputs'!$B$29+'Inputs'!$B$31+'Inputs'!$B$32,'Inputs'!$B$30+'Inputs'!$B$31+'Inputs'!$B$32)/1000+'Inputs'!$B$21)+'Inputs'!$B$9)/SQRT((((582-43)*MAX('Inputs'!$B$33,'Inputs'!$B$29+'Inputs'!$B$31+'Inputs'!$B$32,'Inputs'!$B$30+'Inputs'!$B$31+'Inputs'!$B$32)/1000+'Inputs'!$B$21)+'Inputs'!$B$9)^2+('Inputs'!$B$8/2)^2)-(((582-43)*MAX('Inputs'!$B$33,'Inputs'!$B$29+'Inputs'!$B$31+'Inputs'!$B$32,'Inputs'!$B$30+'Inputs'!$B$31+'Inputs'!$B$32)/1000+'Inputs'!$B$21))/SQRT((((582-43)*MAX('Inputs'!$B$33,'Inputs'!$B$29+'Inputs'!$B$31+'Inputs'!$B$32,'Inputs'!$B$30+'Inputs'!$B$31+'Inputs'!$B$32)/1000+'Inputs'!$B$21))^2+('Inputs'!$B$8/2)^2)))-'Results'!B7*(1-'Inputs'!$B$24)*(0.5*((((582-43)*MAX('Inputs'!$B$33,'Inputs'!$B$29+'Inputs'!$B$31+'Inputs'!$B$32,'Inputs'!$B$30+'Inputs'!$B$31+'Inputs'!$B$32)/1000+'Inputs'!$B$21+'Inputs'!$B$9+'Inputs'!$B$10)+'Inputs'!$B$7)/SQRT((((582-43)*MAX('Inputs'!$B$33,'Inputs'!$B$29+'Inputs'!$B$31+'Inputs'!$B$32,'Inputs'!$B$30+'Inputs'!$B$31+'Inputs'!$B$32)/1000+'Inputs'!$B$21+'Inputs'!$B$9+'Inputs'!$B$10)+'Inputs'!$B$7)^2+('Inputs'!$B$6/2)^2)-(((582-43)*MAX('Inputs'!$B$33,'Inputs'!$B$29+'Inputs'!$B$31+'Inputs'!$B$32,'Inputs'!$B$30+'Inputs'!$B$31+'Inputs'!$B$32)/1000+'Inputs'!$B$21+'Inputs'!$B$9+'Inputs'!$B$10))/SQRT((((582-43)*MAX('Inputs'!$B$33,'Inputs'!$B$29+'Inputs'!$B$31+'Inputs'!$B$32,'Inputs'!$B$30+'Inputs'!$B$31+'Inputs'!$B$32)/1000+'Inputs'!$B$21+'Inputs'!$B$9+'Inputs'!$B$10))^2+('Inputs'!$B$6/2)^2))))*'Results'!$B$8))),"")</x:f>
        <x:v>3.3879445239475903</x:v>
      </x:c>
      <x:c r="P582" t="n">
        <x:f>IF(AND(MAX(J582,J581)&gt;0,J582&gt;J581+0.00000001),1,0)</x:f>
        <x:v>0</x:v>
      </x:c>
      <x:c r="Q582" t="n">
        <x:f>IF(AND(MAX(K582,K581)&gt;0,K582&gt;K581+0.00000001),1,0)</x:f>
        <x:v>0</x:v>
      </x:c>
      <x:c r="R582" t="n">
        <x:f>IF(AND(MAX(L582,L581)&gt;0,L582&gt;L581+0.00000001),1,0)</x:f>
        <x:v>0</x:v>
      </x:c>
      <x:c r="S582" t="n">
        <x:f>IF(AND(MAX(M582,M581)&gt;0,M582&gt;M581+0.00000001),1,0)</x:f>
        <x:v>0</x:v>
      </x:c>
      <x:c r="T582" t="n">
        <x:f>IF(AND(MAX(N582,N581)&gt;0,N582&gt;N581+0.00000001),1,0)</x:f>
        <x:v>0</x:v>
      </x:c>
      <x:c r="U582" t="n">
        <x:f>IF(AND(MAX(O582,O581)&gt;0,O582&gt;O581+0.00000001),1,0)</x:f>
        <x:v>0</x:v>
      </x:c>
    </x:row>
    <x:row r="583">
      <x:c r="J583" t="n">
        <x:f>IF(AND(ISNUMBER('Results'!B7),ISNUMBER('Results'!C7),ISNUMBER('Results'!$B$8),ISNUMBER('Inputs'!$B$6),ISNUMBER('Inputs'!$B$7),ISNUMBER('Inputs'!$B$8),ISNUMBER('Inputs'!$B$9),ISNUMBER('Inputs'!$B$10),ISNUMBER('Inputs'!$B$21),ISNUMBER('Inputs'!$B$24),ISNUMBER('Inputs'!$B$28)),(('Results'!B7*(0.5*((((583-43)*MAX('Inputs'!$B$33,'Inputs'!$B$29+'Inputs'!$B$31+'Inputs'!$B$32,'Inputs'!$B$30+'Inputs'!$B$31+'Inputs'!$B$32)/1000+'Inputs'!$B$21)+'Inputs'!$B$7)/SQRT((((583-43)*MAX('Inputs'!$B$33,'Inputs'!$B$29+'Inputs'!$B$31+'Inputs'!$B$32,'Inputs'!$B$30+'Inputs'!$B$31+'Inputs'!$B$32)/1000+'Inputs'!$B$21)+'Inputs'!$B$7)^2+('Inputs'!$B$6/2)^2)-(((583-43)*MAX('Inputs'!$B$33,'Inputs'!$B$29+'Inputs'!$B$31+'Inputs'!$B$32,'Inputs'!$B$30+'Inputs'!$B$31+'Inputs'!$B$32)/1000+'Inputs'!$B$21))/SQRT((((583-43)*MAX('Inputs'!$B$33,'Inputs'!$B$29+'Inputs'!$B$31+'Inputs'!$B$32,'Inputs'!$B$30+'Inputs'!$B$31+'Inputs'!$B$32)/1000+'Inputs'!$B$21))^2+('Inputs'!$B$6/2)^2)))-'Results'!C7*(0.5*((((583-43)*MAX('Inputs'!$B$33,'Inputs'!$B$29+'Inputs'!$B$31+'Inputs'!$B$32,'Inputs'!$B$30+'Inputs'!$B$31+'Inputs'!$B$32)/1000+'Inputs'!$B$21+'Inputs'!$B$7+'Inputs'!$B$10)+'Inputs'!$B$9)/SQRT((((583-43)*MAX('Inputs'!$B$33,'Inputs'!$B$29+'Inputs'!$B$31+'Inputs'!$B$32,'Inputs'!$B$30+'Inputs'!$B$31+'Inputs'!$B$32)/1000+'Inputs'!$B$21+'Inputs'!$B$7+'Inputs'!$B$10)+'Inputs'!$B$9)^2+('Inputs'!$B$8/2)^2)-(((583-43)*MAX('Inputs'!$B$33,'Inputs'!$B$29+'Inputs'!$B$31+'Inputs'!$B$32,'Inputs'!$B$30+'Inputs'!$B$31+'Inputs'!$B$32)/1000+'Inputs'!$B$21+'Inputs'!$B$7+'Inputs'!$B$10))/SQRT((((583-43)*MAX('Inputs'!$B$33,'Inputs'!$B$29+'Inputs'!$B$31+'Inputs'!$B$32,'Inputs'!$B$30+'Inputs'!$B$31+'Inputs'!$B$32)/1000+'Inputs'!$B$21+'Inputs'!$B$7+'Inputs'!$B$10))^2+('Inputs'!$B$8/2)^2))))*'Results'!$B$8),"")</x:f>
        <x:v>3.20898924521962</x:v>
      </x:c>
      <x:c r="K583" t="n">
        <x:f>IF(AND(ISNUMBER('Results'!B7),ISNUMBER('Results'!C7),ISNUMBER('Results'!$B$8),ISNUMBER('Inputs'!$B$6),ISNUMBER('Inputs'!$B$7),ISNUMBER('Inputs'!$B$8),ISNUMBER('Inputs'!$B$9),ISNUMBER('Inputs'!$B$10),ISNUMBER('Inputs'!$B$21),ISNUMBER('Inputs'!$B$24),ISNUMBER('Inputs'!$B$28)),((('Results'!B7*(1-'Inputs'!$B$24)*(0.5*((((583-43)*MAX('Inputs'!$B$33,'Inputs'!$B$29+'Inputs'!$B$31+'Inputs'!$B$32,'Inputs'!$B$30+'Inputs'!$B$31+'Inputs'!$B$32)/1000+'Inputs'!$B$21)+'Inputs'!$B$7)/SQRT((((583-43)*MAX('Inputs'!$B$33,'Inputs'!$B$29+'Inputs'!$B$31+'Inputs'!$B$32,'Inputs'!$B$30+'Inputs'!$B$31+'Inputs'!$B$32)/1000+'Inputs'!$B$21)+'Inputs'!$B$7)^2+('Inputs'!$B$6/2)^2)-(((583-43)*MAX('Inputs'!$B$33,'Inputs'!$B$29+'Inputs'!$B$31+'Inputs'!$B$32,'Inputs'!$B$30+'Inputs'!$B$31+'Inputs'!$B$32)/1000+'Inputs'!$B$21))/SQRT((((583-43)*MAX('Inputs'!$B$33,'Inputs'!$B$29+'Inputs'!$B$31+'Inputs'!$B$32,'Inputs'!$B$30+'Inputs'!$B$31+'Inputs'!$B$32)/1000+'Inputs'!$B$21))^2+('Inputs'!$B$6/2)^2)))-'Results'!C7*(1+'Inputs'!$B$24)*(0.5*((((583-43)*MAX('Inputs'!$B$33,'Inputs'!$B$29+'Inputs'!$B$31+'Inputs'!$B$32,'Inputs'!$B$30+'Inputs'!$B$31+'Inputs'!$B$32)/1000+'Inputs'!$B$21+'Inputs'!$B$7+'Inputs'!$B$10)+'Inputs'!$B$9)/SQRT((((583-43)*MAX('Inputs'!$B$33,'Inputs'!$B$29+'Inputs'!$B$31+'Inputs'!$B$32,'Inputs'!$B$30+'Inputs'!$B$31+'Inputs'!$B$32)/1000+'Inputs'!$B$21+'Inputs'!$B$7+'Inputs'!$B$10)+'Inputs'!$B$9)^2+('Inputs'!$B$8/2)^2)-(((583-43)*MAX('Inputs'!$B$33,'Inputs'!$B$29+'Inputs'!$B$31+'Inputs'!$B$32,'Inputs'!$B$30+'Inputs'!$B$31+'Inputs'!$B$32)/1000+'Inputs'!$B$21+'Inputs'!$B$7+'Inputs'!$B$10))/SQRT((((583-43)*MAX('Inputs'!$B$33,'Inputs'!$B$29+'Inputs'!$B$31+'Inputs'!$B$32,'Inputs'!$B$30+'Inputs'!$B$31+'Inputs'!$B$32)/1000+'Inputs'!$B$21+'Inputs'!$B$7+'Inputs'!$B$10))^2+('Inputs'!$B$8/2)^2))))*'Results'!$B$8)-'Inputs'!$B$28*ABS((('Results'!B7*(1-'Inputs'!$B$24)*(0.5*((((583-43)*MAX('Inputs'!$B$33,'Inputs'!$B$29+'Inputs'!$B$31+'Inputs'!$B$32,'Inputs'!$B$30+'Inputs'!$B$31+'Inputs'!$B$32)/1000+'Inputs'!$B$21)+'Inputs'!$B$7)/SQRT((((583-43)*MAX('Inputs'!$B$33,'Inputs'!$B$29+'Inputs'!$B$31+'Inputs'!$B$32,'Inputs'!$B$30+'Inputs'!$B$31+'Inputs'!$B$32)/1000+'Inputs'!$B$21)+'Inputs'!$B$7)^2+('Inputs'!$B$6/2)^2)-(((583-43)*MAX('Inputs'!$B$33,'Inputs'!$B$29+'Inputs'!$B$31+'Inputs'!$B$32,'Inputs'!$B$30+'Inputs'!$B$31+'Inputs'!$B$32)/1000+'Inputs'!$B$21))/SQRT((((583-43)*MAX('Inputs'!$B$33,'Inputs'!$B$29+'Inputs'!$B$31+'Inputs'!$B$32,'Inputs'!$B$30+'Inputs'!$B$31+'Inputs'!$B$32)/1000+'Inputs'!$B$21))^2+('Inputs'!$B$6/2)^2)))-'Results'!C7*(1+'Inputs'!$B$24)*(0.5*((((583-43)*MAX('Inputs'!$B$33,'Inputs'!$B$29+'Inputs'!$B$31+'Inputs'!$B$32,'Inputs'!$B$30+'Inputs'!$B$31+'Inputs'!$B$32)/1000+'Inputs'!$B$21+'Inputs'!$B$7+'Inputs'!$B$10)+'Inputs'!$B$9)/SQRT((((583-43)*MAX('Inputs'!$B$33,'Inputs'!$B$29+'Inputs'!$B$31+'Inputs'!$B$32,'Inputs'!$B$30+'Inputs'!$B$31+'Inputs'!$B$32)/1000+'Inputs'!$B$21+'Inputs'!$B$7+'Inputs'!$B$10)+'Inputs'!$B$9)^2+('Inputs'!$B$8/2)^2)-(((583-43)*MAX('Inputs'!$B$33,'Inputs'!$B$29+'Inputs'!$B$31+'Inputs'!$B$32,'Inputs'!$B$30+'Inputs'!$B$31+'Inputs'!$B$32)/1000+'Inputs'!$B$21+'Inputs'!$B$7+'Inputs'!$B$10))/SQRT((((583-43)*MAX('Inputs'!$B$33,'Inputs'!$B$29+'Inputs'!$B$31+'Inputs'!$B$32,'Inputs'!$B$30+'Inputs'!$B$31+'Inputs'!$B$32)/1000+'Inputs'!$B$21+'Inputs'!$B$7+'Inputs'!$B$10))^2+('Inputs'!$B$8/2)^2))))*'Results'!$B$8))),"")</x:f>
        <x:v>2.8291318708014828</x:v>
      </x:c>
      <x:c r="L583" t="n">
        <x:f>IF(AND(ISNUMBER('Results'!B7),ISNUMBER('Results'!C7),ISNUMBER('Results'!$B$8),ISNUMBER('Inputs'!$B$6),ISNUMBER('Inputs'!$B$7),ISNUMBER('Inputs'!$B$8),ISNUMBER('Inputs'!$B$9),ISNUMBER('Inputs'!$B$10),ISNUMBER('Inputs'!$B$21),ISNUMBER('Inputs'!$B$24),ISNUMBER('Inputs'!$B$28)),((('Results'!B7*(1+'Inputs'!$B$24)*(0.5*((((583-43)*MAX('Inputs'!$B$33,'Inputs'!$B$29+'Inputs'!$B$31+'Inputs'!$B$32,'Inputs'!$B$30+'Inputs'!$B$31+'Inputs'!$B$32)/1000+'Inputs'!$B$21)+'Inputs'!$B$7)/SQRT((((583-43)*MAX('Inputs'!$B$33,'Inputs'!$B$29+'Inputs'!$B$31+'Inputs'!$B$32,'Inputs'!$B$30+'Inputs'!$B$31+'Inputs'!$B$32)/1000+'Inputs'!$B$21)+'Inputs'!$B$7)^2+('Inputs'!$B$6/2)^2)-(((583-43)*MAX('Inputs'!$B$33,'Inputs'!$B$29+'Inputs'!$B$31+'Inputs'!$B$32,'Inputs'!$B$30+'Inputs'!$B$31+'Inputs'!$B$32)/1000+'Inputs'!$B$21))/SQRT((((583-43)*MAX('Inputs'!$B$33,'Inputs'!$B$29+'Inputs'!$B$31+'Inputs'!$B$32,'Inputs'!$B$30+'Inputs'!$B$31+'Inputs'!$B$32)/1000+'Inputs'!$B$21))^2+('Inputs'!$B$6/2)^2)))-'Results'!C7*(1-'Inputs'!$B$24)*(0.5*((((583-43)*MAX('Inputs'!$B$33,'Inputs'!$B$29+'Inputs'!$B$31+'Inputs'!$B$32,'Inputs'!$B$30+'Inputs'!$B$31+'Inputs'!$B$32)/1000+'Inputs'!$B$21+'Inputs'!$B$7+'Inputs'!$B$10)+'Inputs'!$B$9)/SQRT((((583-43)*MAX('Inputs'!$B$33,'Inputs'!$B$29+'Inputs'!$B$31+'Inputs'!$B$32,'Inputs'!$B$30+'Inputs'!$B$31+'Inputs'!$B$32)/1000+'Inputs'!$B$21+'Inputs'!$B$7+'Inputs'!$B$10)+'Inputs'!$B$9)^2+('Inputs'!$B$8/2)^2)-(((583-43)*MAX('Inputs'!$B$33,'Inputs'!$B$29+'Inputs'!$B$31+'Inputs'!$B$32,'Inputs'!$B$30+'Inputs'!$B$31+'Inputs'!$B$32)/1000+'Inputs'!$B$21+'Inputs'!$B$7+'Inputs'!$B$10))/SQRT((((583-43)*MAX('Inputs'!$B$33,'Inputs'!$B$29+'Inputs'!$B$31+'Inputs'!$B$32,'Inputs'!$B$30+'Inputs'!$B$31+'Inputs'!$B$32)/1000+'Inputs'!$B$21+'Inputs'!$B$7+'Inputs'!$B$10))^2+('Inputs'!$B$8/2)^2))))*'Results'!$B$8)+'Inputs'!$B$28*ABS((('Results'!B7*(1+'Inputs'!$B$24)*(0.5*((((583-43)*MAX('Inputs'!$B$33,'Inputs'!$B$29+'Inputs'!$B$31+'Inputs'!$B$32,'Inputs'!$B$30+'Inputs'!$B$31+'Inputs'!$B$32)/1000+'Inputs'!$B$21)+'Inputs'!$B$7)/SQRT((((583-43)*MAX('Inputs'!$B$33,'Inputs'!$B$29+'Inputs'!$B$31+'Inputs'!$B$32,'Inputs'!$B$30+'Inputs'!$B$31+'Inputs'!$B$32)/1000+'Inputs'!$B$21)+'Inputs'!$B$7)^2+('Inputs'!$B$6/2)^2)-(((583-43)*MAX('Inputs'!$B$33,'Inputs'!$B$29+'Inputs'!$B$31+'Inputs'!$B$32,'Inputs'!$B$30+'Inputs'!$B$31+'Inputs'!$B$32)/1000+'Inputs'!$B$21))/SQRT((((583-43)*MAX('Inputs'!$B$33,'Inputs'!$B$29+'Inputs'!$B$31+'Inputs'!$B$32,'Inputs'!$B$30+'Inputs'!$B$31+'Inputs'!$B$32)/1000+'Inputs'!$B$21))^2+('Inputs'!$B$6/2)^2)))-'Results'!C7*(1-'Inputs'!$B$24)*(0.5*((((583-43)*MAX('Inputs'!$B$33,'Inputs'!$B$29+'Inputs'!$B$31+'Inputs'!$B$32,'Inputs'!$B$30+'Inputs'!$B$31+'Inputs'!$B$32)/1000+'Inputs'!$B$21+'Inputs'!$B$7+'Inputs'!$B$10)+'Inputs'!$B$9)/SQRT((((583-43)*MAX('Inputs'!$B$33,'Inputs'!$B$29+'Inputs'!$B$31+'Inputs'!$B$32,'Inputs'!$B$30+'Inputs'!$B$31+'Inputs'!$B$32)/1000+'Inputs'!$B$21+'Inputs'!$B$7+'Inputs'!$B$10)+'Inputs'!$B$9)^2+('Inputs'!$B$8/2)^2)-(((583-43)*MAX('Inputs'!$B$33,'Inputs'!$B$29+'Inputs'!$B$31+'Inputs'!$B$32,'Inputs'!$B$30+'Inputs'!$B$31+'Inputs'!$B$32)/1000+'Inputs'!$B$21+'Inputs'!$B$7+'Inputs'!$B$10))/SQRT((((583-43)*MAX('Inputs'!$B$33,'Inputs'!$B$29+'Inputs'!$B$31+'Inputs'!$B$32,'Inputs'!$B$30+'Inputs'!$B$31+'Inputs'!$B$32)/1000+'Inputs'!$B$21+'Inputs'!$B$7+'Inputs'!$B$10))^2+('Inputs'!$B$8/2)^2))))*'Results'!$B$8))),"")</x:f>
        <x:v>3.61194218933851</x:v>
      </x:c>
      <x:c r="M583" t="n">
        <x:f>IF(AND(ISNUMBER('Results'!C7),ISNUMBER('Results'!B7),ISNUMBER('Results'!$B$8),ISNUMBER('Inputs'!$B$6),ISNUMBER('Inputs'!$B$7),ISNUMBER('Inputs'!$B$8),ISNUMBER('Inputs'!$B$9),ISNUMBER('Inputs'!$B$10),ISNUMBER('Inputs'!$B$21),ISNUMBER('Inputs'!$B$24),ISNUMBER('Inputs'!$B$28)),(('Results'!C7*(0.5*((((583-43)*MAX('Inputs'!$B$33,'Inputs'!$B$29+'Inputs'!$B$31+'Inputs'!$B$32,'Inputs'!$B$30+'Inputs'!$B$31+'Inputs'!$B$32)/1000+'Inputs'!$B$21)+'Inputs'!$B$9)/SQRT((((583-43)*MAX('Inputs'!$B$33,'Inputs'!$B$29+'Inputs'!$B$31+'Inputs'!$B$32,'Inputs'!$B$30+'Inputs'!$B$31+'Inputs'!$B$32)/1000+'Inputs'!$B$21)+'Inputs'!$B$9)^2+('Inputs'!$B$8/2)^2)-(((583-43)*MAX('Inputs'!$B$33,'Inputs'!$B$29+'Inputs'!$B$31+'Inputs'!$B$32,'Inputs'!$B$30+'Inputs'!$B$31+'Inputs'!$B$32)/1000+'Inputs'!$B$21))/SQRT((((583-43)*MAX('Inputs'!$B$33,'Inputs'!$B$29+'Inputs'!$B$31+'Inputs'!$B$32,'Inputs'!$B$30+'Inputs'!$B$31+'Inputs'!$B$32)/1000+'Inputs'!$B$21))^2+('Inputs'!$B$8/2)^2)))-'Results'!B7*(0.5*((((583-43)*MAX('Inputs'!$B$33,'Inputs'!$B$29+'Inputs'!$B$31+'Inputs'!$B$32,'Inputs'!$B$30+'Inputs'!$B$31+'Inputs'!$B$32)/1000+'Inputs'!$B$21+'Inputs'!$B$9+'Inputs'!$B$10)+'Inputs'!$B$7)/SQRT((((583-43)*MAX('Inputs'!$B$33,'Inputs'!$B$29+'Inputs'!$B$31+'Inputs'!$B$32,'Inputs'!$B$30+'Inputs'!$B$31+'Inputs'!$B$32)/1000+'Inputs'!$B$21+'Inputs'!$B$9+'Inputs'!$B$10)+'Inputs'!$B$7)^2+('Inputs'!$B$6/2)^2)-(((583-43)*MAX('Inputs'!$B$33,'Inputs'!$B$29+'Inputs'!$B$31+'Inputs'!$B$32,'Inputs'!$B$30+'Inputs'!$B$31+'Inputs'!$B$32)/1000+'Inputs'!$B$21+'Inputs'!$B$9+'Inputs'!$B$10))/SQRT((((583-43)*MAX('Inputs'!$B$33,'Inputs'!$B$29+'Inputs'!$B$31+'Inputs'!$B$32,'Inputs'!$B$30+'Inputs'!$B$31+'Inputs'!$B$32)/1000+'Inputs'!$B$21+'Inputs'!$B$9+'Inputs'!$B$10))^2+('Inputs'!$B$6/2)^2))))*'Results'!$B$8),"")</x:f>
        <x:v>2.976331753190627</x:v>
      </x:c>
      <x:c r="N583" t="n">
        <x:f>IF(AND(ISNUMBER('Results'!C7),ISNUMBER('Results'!B7),ISNUMBER('Results'!$B$8),ISNUMBER('Inputs'!$B$6),ISNUMBER('Inputs'!$B$7),ISNUMBER('Inputs'!$B$8),ISNUMBER('Inputs'!$B$9),ISNUMBER('Inputs'!$B$10),ISNUMBER('Inputs'!$B$21),ISNUMBER('Inputs'!$B$24),ISNUMBER('Inputs'!$B$28)),((('Results'!C7*(1-'Inputs'!$B$24)*(0.5*((((583-43)*MAX('Inputs'!$B$33,'Inputs'!$B$29+'Inputs'!$B$31+'Inputs'!$B$32,'Inputs'!$B$30+'Inputs'!$B$31+'Inputs'!$B$32)/1000+'Inputs'!$B$21)+'Inputs'!$B$9)/SQRT((((583-43)*MAX('Inputs'!$B$33,'Inputs'!$B$29+'Inputs'!$B$31+'Inputs'!$B$32,'Inputs'!$B$30+'Inputs'!$B$31+'Inputs'!$B$32)/1000+'Inputs'!$B$21)+'Inputs'!$B$9)^2+('Inputs'!$B$8/2)^2)-(((583-43)*MAX('Inputs'!$B$33,'Inputs'!$B$29+'Inputs'!$B$31+'Inputs'!$B$32,'Inputs'!$B$30+'Inputs'!$B$31+'Inputs'!$B$32)/1000+'Inputs'!$B$21))/SQRT((((583-43)*MAX('Inputs'!$B$33,'Inputs'!$B$29+'Inputs'!$B$31+'Inputs'!$B$32,'Inputs'!$B$30+'Inputs'!$B$31+'Inputs'!$B$32)/1000+'Inputs'!$B$21))^2+('Inputs'!$B$8/2)^2)))-'Results'!B7*(1+'Inputs'!$B$24)*(0.5*((((583-43)*MAX('Inputs'!$B$33,'Inputs'!$B$29+'Inputs'!$B$31+'Inputs'!$B$32,'Inputs'!$B$30+'Inputs'!$B$31+'Inputs'!$B$32)/1000+'Inputs'!$B$21+'Inputs'!$B$9+'Inputs'!$B$10)+'Inputs'!$B$7)/SQRT((((583-43)*MAX('Inputs'!$B$33,'Inputs'!$B$29+'Inputs'!$B$31+'Inputs'!$B$32,'Inputs'!$B$30+'Inputs'!$B$31+'Inputs'!$B$32)/1000+'Inputs'!$B$21+'Inputs'!$B$9+'Inputs'!$B$10)+'Inputs'!$B$7)^2+('Inputs'!$B$6/2)^2)-(((583-43)*MAX('Inputs'!$B$33,'Inputs'!$B$29+'Inputs'!$B$31+'Inputs'!$B$32,'Inputs'!$B$30+'Inputs'!$B$31+'Inputs'!$B$32)/1000+'Inputs'!$B$21+'Inputs'!$B$9+'Inputs'!$B$10))/SQRT((((583-43)*MAX('Inputs'!$B$33,'Inputs'!$B$29+'Inputs'!$B$31+'Inputs'!$B$32,'Inputs'!$B$30+'Inputs'!$B$31+'Inputs'!$B$32)/1000+'Inputs'!$B$21+'Inputs'!$B$9+'Inputs'!$B$10))^2+('Inputs'!$B$6/2)^2))))*'Results'!$B$8)-'Inputs'!$B$28*ABS((('Results'!C7*(1-'Inputs'!$B$24)*(0.5*((((583-43)*MAX('Inputs'!$B$33,'Inputs'!$B$29+'Inputs'!$B$31+'Inputs'!$B$32,'Inputs'!$B$30+'Inputs'!$B$31+'Inputs'!$B$32)/1000+'Inputs'!$B$21)+'Inputs'!$B$9)/SQRT((((583-43)*MAX('Inputs'!$B$33,'Inputs'!$B$29+'Inputs'!$B$31+'Inputs'!$B$32,'Inputs'!$B$30+'Inputs'!$B$31+'Inputs'!$B$32)/1000+'Inputs'!$B$21)+'Inputs'!$B$9)^2+('Inputs'!$B$8/2)^2)-(((583-43)*MAX('Inputs'!$B$33,'Inputs'!$B$29+'Inputs'!$B$31+'Inputs'!$B$32,'Inputs'!$B$30+'Inputs'!$B$31+'Inputs'!$B$32)/1000+'Inputs'!$B$21))/SQRT((((583-43)*MAX('Inputs'!$B$33,'Inputs'!$B$29+'Inputs'!$B$31+'Inputs'!$B$32,'Inputs'!$B$30+'Inputs'!$B$31+'Inputs'!$B$32)/1000+'Inputs'!$B$21))^2+('Inputs'!$B$8/2)^2)))-'Results'!B7*(1+'Inputs'!$B$24)*(0.5*((((583-43)*MAX('Inputs'!$B$33,'Inputs'!$B$29+'Inputs'!$B$31+'Inputs'!$B$32,'Inputs'!$B$30+'Inputs'!$B$31+'Inputs'!$B$32)/1000+'Inputs'!$B$21+'Inputs'!$B$9+'Inputs'!$B$10)+'Inputs'!$B$7)/SQRT((((583-43)*MAX('Inputs'!$B$33,'Inputs'!$B$29+'Inputs'!$B$31+'Inputs'!$B$32,'Inputs'!$B$30+'Inputs'!$B$31+'Inputs'!$B$32)/1000+'Inputs'!$B$21+'Inputs'!$B$9+'Inputs'!$B$10)+'Inputs'!$B$7)^2+('Inputs'!$B$6/2)^2)-(((583-43)*MAX('Inputs'!$B$33,'Inputs'!$B$29+'Inputs'!$B$31+'Inputs'!$B$32,'Inputs'!$B$30+'Inputs'!$B$31+'Inputs'!$B$32)/1000+'Inputs'!$B$21+'Inputs'!$B$9+'Inputs'!$B$10))/SQRT((((583-43)*MAX('Inputs'!$B$33,'Inputs'!$B$29+'Inputs'!$B$31+'Inputs'!$B$32,'Inputs'!$B$30+'Inputs'!$B$31+'Inputs'!$B$32)/1000+'Inputs'!$B$21+'Inputs'!$B$9+'Inputs'!$B$10))^2+('Inputs'!$B$6/2)^2))))*'Results'!$B$8))),"")</x:f>
        <x:v>2.609294335181715</x:v>
      </x:c>
      <x:c r="O583" t="n">
        <x:f>IF(AND(ISNUMBER('Results'!C7),ISNUMBER('Results'!B7),ISNUMBER('Results'!$B$8),ISNUMBER('Inputs'!$B$6),ISNUMBER('Inputs'!$B$7),ISNUMBER('Inputs'!$B$8),ISNUMBER('Inputs'!$B$9),ISNUMBER('Inputs'!$B$10),ISNUMBER('Inputs'!$B$21),ISNUMBER('Inputs'!$B$24),ISNUMBER('Inputs'!$B$28)),((('Results'!C7*(1+'Inputs'!$B$24)*(0.5*((((583-43)*MAX('Inputs'!$B$33,'Inputs'!$B$29+'Inputs'!$B$31+'Inputs'!$B$32,'Inputs'!$B$30+'Inputs'!$B$31+'Inputs'!$B$32)/1000+'Inputs'!$B$21)+'Inputs'!$B$9)/SQRT((((583-43)*MAX('Inputs'!$B$33,'Inputs'!$B$29+'Inputs'!$B$31+'Inputs'!$B$32,'Inputs'!$B$30+'Inputs'!$B$31+'Inputs'!$B$32)/1000+'Inputs'!$B$21)+'Inputs'!$B$9)^2+('Inputs'!$B$8/2)^2)-(((583-43)*MAX('Inputs'!$B$33,'Inputs'!$B$29+'Inputs'!$B$31+'Inputs'!$B$32,'Inputs'!$B$30+'Inputs'!$B$31+'Inputs'!$B$32)/1000+'Inputs'!$B$21))/SQRT((((583-43)*MAX('Inputs'!$B$33,'Inputs'!$B$29+'Inputs'!$B$31+'Inputs'!$B$32,'Inputs'!$B$30+'Inputs'!$B$31+'Inputs'!$B$32)/1000+'Inputs'!$B$21))^2+('Inputs'!$B$8/2)^2)))-'Results'!B7*(1-'Inputs'!$B$24)*(0.5*((((583-43)*MAX('Inputs'!$B$33,'Inputs'!$B$29+'Inputs'!$B$31+'Inputs'!$B$32,'Inputs'!$B$30+'Inputs'!$B$31+'Inputs'!$B$32)/1000+'Inputs'!$B$21+'Inputs'!$B$9+'Inputs'!$B$10)+'Inputs'!$B$7)/SQRT((((583-43)*MAX('Inputs'!$B$33,'Inputs'!$B$29+'Inputs'!$B$31+'Inputs'!$B$32,'Inputs'!$B$30+'Inputs'!$B$31+'Inputs'!$B$32)/1000+'Inputs'!$B$21+'Inputs'!$B$9+'Inputs'!$B$10)+'Inputs'!$B$7)^2+('Inputs'!$B$6/2)^2)-(((583-43)*MAX('Inputs'!$B$33,'Inputs'!$B$29+'Inputs'!$B$31+'Inputs'!$B$32,'Inputs'!$B$30+'Inputs'!$B$31+'Inputs'!$B$32)/1000+'Inputs'!$B$21+'Inputs'!$B$9+'Inputs'!$B$10))/SQRT((((583-43)*MAX('Inputs'!$B$33,'Inputs'!$B$29+'Inputs'!$B$31+'Inputs'!$B$32,'Inputs'!$B$30+'Inputs'!$B$31+'Inputs'!$B$32)/1000+'Inputs'!$B$21+'Inputs'!$B$9+'Inputs'!$B$10))^2+('Inputs'!$B$6/2)^2))))*'Results'!$B$8)+'Inputs'!$B$28*ABS((('Results'!C7*(1+'Inputs'!$B$24)*(0.5*((((583-43)*MAX('Inputs'!$B$33,'Inputs'!$B$29+'Inputs'!$B$31+'Inputs'!$B$32,'Inputs'!$B$30+'Inputs'!$B$31+'Inputs'!$B$32)/1000+'Inputs'!$B$21)+'Inputs'!$B$9)/SQRT((((583-43)*MAX('Inputs'!$B$33,'Inputs'!$B$29+'Inputs'!$B$31+'Inputs'!$B$32,'Inputs'!$B$30+'Inputs'!$B$31+'Inputs'!$B$32)/1000+'Inputs'!$B$21)+'Inputs'!$B$9)^2+('Inputs'!$B$8/2)^2)-(((583-43)*MAX('Inputs'!$B$33,'Inputs'!$B$29+'Inputs'!$B$31+'Inputs'!$B$32,'Inputs'!$B$30+'Inputs'!$B$31+'Inputs'!$B$32)/1000+'Inputs'!$B$21))/SQRT((((583-43)*MAX('Inputs'!$B$33,'Inputs'!$B$29+'Inputs'!$B$31+'Inputs'!$B$32,'Inputs'!$B$30+'Inputs'!$B$31+'Inputs'!$B$32)/1000+'Inputs'!$B$21))^2+('Inputs'!$B$8/2)^2)))-'Results'!B7*(1-'Inputs'!$B$24)*(0.5*((((583-43)*MAX('Inputs'!$B$33,'Inputs'!$B$29+'Inputs'!$B$31+'Inputs'!$B$32,'Inputs'!$B$30+'Inputs'!$B$31+'Inputs'!$B$32)/1000+'Inputs'!$B$21+'Inputs'!$B$9+'Inputs'!$B$10)+'Inputs'!$B$7)/SQRT((((583-43)*MAX('Inputs'!$B$33,'Inputs'!$B$29+'Inputs'!$B$31+'Inputs'!$B$32,'Inputs'!$B$30+'Inputs'!$B$31+'Inputs'!$B$32)/1000+'Inputs'!$B$21+'Inputs'!$B$9+'Inputs'!$B$10)+'Inputs'!$B$7)^2+('Inputs'!$B$6/2)^2)-(((583-43)*MAX('Inputs'!$B$33,'Inputs'!$B$29+'Inputs'!$B$31+'Inputs'!$B$32,'Inputs'!$B$30+'Inputs'!$B$31+'Inputs'!$B$32)/1000+'Inputs'!$B$21+'Inputs'!$B$9+'Inputs'!$B$10))/SQRT((((583-43)*MAX('Inputs'!$B$33,'Inputs'!$B$29+'Inputs'!$B$31+'Inputs'!$B$32,'Inputs'!$B$30+'Inputs'!$B$31+'Inputs'!$B$32)/1000+'Inputs'!$B$21+'Inputs'!$B$9+'Inputs'!$B$10))^2+('Inputs'!$B$6/2)^2))))*'Results'!$B$8))),"")</x:f>
        <x:v>3.3663397849205263</x:v>
      </x:c>
      <x:c r="P583" t="n">
        <x:f>IF(AND(MAX(J583,J582)&gt;0,J583&gt;J582+0.00000001),1,0)</x:f>
        <x:v>0</x:v>
      </x:c>
      <x:c r="Q583" t="n">
        <x:f>IF(AND(MAX(K583,K582)&gt;0,K583&gt;K582+0.00000001),1,0)</x:f>
        <x:v>0</x:v>
      </x:c>
      <x:c r="R583" t="n">
        <x:f>IF(AND(MAX(L583,L582)&gt;0,L583&gt;L582+0.00000001),1,0)</x:f>
        <x:v>0</x:v>
      </x:c>
      <x:c r="S583" t="n">
        <x:f>IF(AND(MAX(M583,M582)&gt;0,M583&gt;M582+0.00000001),1,0)</x:f>
        <x:v>0</x:v>
      </x:c>
      <x:c r="T583" t="n">
        <x:f>IF(AND(MAX(N583,N582)&gt;0,N583&gt;N582+0.00000001),1,0)</x:f>
        <x:v>0</x:v>
      </x:c>
      <x:c r="U583" t="n">
        <x:f>IF(AND(MAX(O583,O582)&gt;0,O583&gt;O582+0.00000001),1,0)</x:f>
        <x:v>0</x:v>
      </x:c>
    </x:row>
    <x:row r="584">
      <x:c r="J584" t="n">
        <x:f>IF(AND(ISNUMBER('Results'!B7),ISNUMBER('Results'!C7),ISNUMBER('Results'!$B$8),ISNUMBER('Inputs'!$B$6),ISNUMBER('Inputs'!$B$7),ISNUMBER('Inputs'!$B$8),ISNUMBER('Inputs'!$B$9),ISNUMBER('Inputs'!$B$10),ISNUMBER('Inputs'!$B$21),ISNUMBER('Inputs'!$B$24),ISNUMBER('Inputs'!$B$28)),(('Results'!B7*(0.5*((((584-43)*MAX('Inputs'!$B$33,'Inputs'!$B$29+'Inputs'!$B$31+'Inputs'!$B$32,'Inputs'!$B$30+'Inputs'!$B$31+'Inputs'!$B$32)/1000+'Inputs'!$B$21)+'Inputs'!$B$7)/SQRT((((584-43)*MAX('Inputs'!$B$33,'Inputs'!$B$29+'Inputs'!$B$31+'Inputs'!$B$32,'Inputs'!$B$30+'Inputs'!$B$31+'Inputs'!$B$32)/1000+'Inputs'!$B$21)+'Inputs'!$B$7)^2+('Inputs'!$B$6/2)^2)-(((584-43)*MAX('Inputs'!$B$33,'Inputs'!$B$29+'Inputs'!$B$31+'Inputs'!$B$32,'Inputs'!$B$30+'Inputs'!$B$31+'Inputs'!$B$32)/1000+'Inputs'!$B$21))/SQRT((((584-43)*MAX('Inputs'!$B$33,'Inputs'!$B$29+'Inputs'!$B$31+'Inputs'!$B$32,'Inputs'!$B$30+'Inputs'!$B$31+'Inputs'!$B$32)/1000+'Inputs'!$B$21))^2+('Inputs'!$B$6/2)^2)))-'Results'!C7*(0.5*((((584-43)*MAX('Inputs'!$B$33,'Inputs'!$B$29+'Inputs'!$B$31+'Inputs'!$B$32,'Inputs'!$B$30+'Inputs'!$B$31+'Inputs'!$B$32)/1000+'Inputs'!$B$21+'Inputs'!$B$7+'Inputs'!$B$10)+'Inputs'!$B$9)/SQRT((((584-43)*MAX('Inputs'!$B$33,'Inputs'!$B$29+'Inputs'!$B$31+'Inputs'!$B$32,'Inputs'!$B$30+'Inputs'!$B$31+'Inputs'!$B$32)/1000+'Inputs'!$B$21+'Inputs'!$B$7+'Inputs'!$B$10)+'Inputs'!$B$9)^2+('Inputs'!$B$8/2)^2)-(((584-43)*MAX('Inputs'!$B$33,'Inputs'!$B$29+'Inputs'!$B$31+'Inputs'!$B$32,'Inputs'!$B$30+'Inputs'!$B$31+'Inputs'!$B$32)/1000+'Inputs'!$B$21+'Inputs'!$B$7+'Inputs'!$B$10))/SQRT((((584-43)*MAX('Inputs'!$B$33,'Inputs'!$B$29+'Inputs'!$B$31+'Inputs'!$B$32,'Inputs'!$B$30+'Inputs'!$B$31+'Inputs'!$B$32)/1000+'Inputs'!$B$21+'Inputs'!$B$7+'Inputs'!$B$10))^2+('Inputs'!$B$8/2)^2))))*'Results'!$B$8),"")</x:f>
        <x:v>3.18856189784877</x:v>
      </x:c>
      <x:c r="K584" t="n">
        <x:f>IF(AND(ISNUMBER('Results'!B7),ISNUMBER('Results'!C7),ISNUMBER('Results'!$B$8),ISNUMBER('Inputs'!$B$6),ISNUMBER('Inputs'!$B$7),ISNUMBER('Inputs'!$B$8),ISNUMBER('Inputs'!$B$9),ISNUMBER('Inputs'!$B$10),ISNUMBER('Inputs'!$B$21),ISNUMBER('Inputs'!$B$24),ISNUMBER('Inputs'!$B$28)),((('Results'!B7*(1-'Inputs'!$B$24)*(0.5*((((584-43)*MAX('Inputs'!$B$33,'Inputs'!$B$29+'Inputs'!$B$31+'Inputs'!$B$32,'Inputs'!$B$30+'Inputs'!$B$31+'Inputs'!$B$32)/1000+'Inputs'!$B$21)+'Inputs'!$B$7)/SQRT((((584-43)*MAX('Inputs'!$B$33,'Inputs'!$B$29+'Inputs'!$B$31+'Inputs'!$B$32,'Inputs'!$B$30+'Inputs'!$B$31+'Inputs'!$B$32)/1000+'Inputs'!$B$21)+'Inputs'!$B$7)^2+('Inputs'!$B$6/2)^2)-(((584-43)*MAX('Inputs'!$B$33,'Inputs'!$B$29+'Inputs'!$B$31+'Inputs'!$B$32,'Inputs'!$B$30+'Inputs'!$B$31+'Inputs'!$B$32)/1000+'Inputs'!$B$21))/SQRT((((584-43)*MAX('Inputs'!$B$33,'Inputs'!$B$29+'Inputs'!$B$31+'Inputs'!$B$32,'Inputs'!$B$30+'Inputs'!$B$31+'Inputs'!$B$32)/1000+'Inputs'!$B$21))^2+('Inputs'!$B$6/2)^2)))-'Results'!C7*(1+'Inputs'!$B$24)*(0.5*((((584-43)*MAX('Inputs'!$B$33,'Inputs'!$B$29+'Inputs'!$B$31+'Inputs'!$B$32,'Inputs'!$B$30+'Inputs'!$B$31+'Inputs'!$B$32)/1000+'Inputs'!$B$21+'Inputs'!$B$7+'Inputs'!$B$10)+'Inputs'!$B$9)/SQRT((((584-43)*MAX('Inputs'!$B$33,'Inputs'!$B$29+'Inputs'!$B$31+'Inputs'!$B$32,'Inputs'!$B$30+'Inputs'!$B$31+'Inputs'!$B$32)/1000+'Inputs'!$B$21+'Inputs'!$B$7+'Inputs'!$B$10)+'Inputs'!$B$9)^2+('Inputs'!$B$8/2)^2)-(((584-43)*MAX('Inputs'!$B$33,'Inputs'!$B$29+'Inputs'!$B$31+'Inputs'!$B$32,'Inputs'!$B$30+'Inputs'!$B$31+'Inputs'!$B$32)/1000+'Inputs'!$B$21+'Inputs'!$B$7+'Inputs'!$B$10))/SQRT((((584-43)*MAX('Inputs'!$B$33,'Inputs'!$B$29+'Inputs'!$B$31+'Inputs'!$B$32,'Inputs'!$B$30+'Inputs'!$B$31+'Inputs'!$B$32)/1000+'Inputs'!$B$21+'Inputs'!$B$7+'Inputs'!$B$10))^2+('Inputs'!$B$8/2)^2))))*'Results'!$B$8)-'Inputs'!$B$28*ABS((('Results'!B7*(1-'Inputs'!$B$24)*(0.5*((((584-43)*MAX('Inputs'!$B$33,'Inputs'!$B$29+'Inputs'!$B$31+'Inputs'!$B$32,'Inputs'!$B$30+'Inputs'!$B$31+'Inputs'!$B$32)/1000+'Inputs'!$B$21)+'Inputs'!$B$7)/SQRT((((584-43)*MAX('Inputs'!$B$33,'Inputs'!$B$29+'Inputs'!$B$31+'Inputs'!$B$32,'Inputs'!$B$30+'Inputs'!$B$31+'Inputs'!$B$32)/1000+'Inputs'!$B$21)+'Inputs'!$B$7)^2+('Inputs'!$B$6/2)^2)-(((584-43)*MAX('Inputs'!$B$33,'Inputs'!$B$29+'Inputs'!$B$31+'Inputs'!$B$32,'Inputs'!$B$30+'Inputs'!$B$31+'Inputs'!$B$32)/1000+'Inputs'!$B$21))/SQRT((((584-43)*MAX('Inputs'!$B$33,'Inputs'!$B$29+'Inputs'!$B$31+'Inputs'!$B$32,'Inputs'!$B$30+'Inputs'!$B$31+'Inputs'!$B$32)/1000+'Inputs'!$B$21))^2+('Inputs'!$B$6/2)^2)))-'Results'!C7*(1+'Inputs'!$B$24)*(0.5*((((584-43)*MAX('Inputs'!$B$33,'Inputs'!$B$29+'Inputs'!$B$31+'Inputs'!$B$32,'Inputs'!$B$30+'Inputs'!$B$31+'Inputs'!$B$32)/1000+'Inputs'!$B$21+'Inputs'!$B$7+'Inputs'!$B$10)+'Inputs'!$B$9)/SQRT((((584-43)*MAX('Inputs'!$B$33,'Inputs'!$B$29+'Inputs'!$B$31+'Inputs'!$B$32,'Inputs'!$B$30+'Inputs'!$B$31+'Inputs'!$B$32)/1000+'Inputs'!$B$21+'Inputs'!$B$7+'Inputs'!$B$10)+'Inputs'!$B$9)^2+('Inputs'!$B$8/2)^2)-(((584-43)*MAX('Inputs'!$B$33,'Inputs'!$B$29+'Inputs'!$B$31+'Inputs'!$B$32,'Inputs'!$B$30+'Inputs'!$B$31+'Inputs'!$B$32)/1000+'Inputs'!$B$21+'Inputs'!$B$7+'Inputs'!$B$10))/SQRT((((584-43)*MAX('Inputs'!$B$33,'Inputs'!$B$29+'Inputs'!$B$31+'Inputs'!$B$32,'Inputs'!$B$30+'Inputs'!$B$31+'Inputs'!$B$32)/1000+'Inputs'!$B$21+'Inputs'!$B$7+'Inputs'!$B$10))^2+('Inputs'!$B$8/2)^2))))*'Results'!$B$8))),"")</x:f>
        <x:v>2.810807779438954</x:v>
      </x:c>
      <x:c r="L584" t="n">
        <x:f>IF(AND(ISNUMBER('Results'!B7),ISNUMBER('Results'!C7),ISNUMBER('Results'!$B$8),ISNUMBER('Inputs'!$B$6),ISNUMBER('Inputs'!$B$7),ISNUMBER('Inputs'!$B$8),ISNUMBER('Inputs'!$B$9),ISNUMBER('Inputs'!$B$10),ISNUMBER('Inputs'!$B$21),ISNUMBER('Inputs'!$B$24),ISNUMBER('Inputs'!$B$28)),((('Results'!B7*(1+'Inputs'!$B$24)*(0.5*((((584-43)*MAX('Inputs'!$B$33,'Inputs'!$B$29+'Inputs'!$B$31+'Inputs'!$B$32,'Inputs'!$B$30+'Inputs'!$B$31+'Inputs'!$B$32)/1000+'Inputs'!$B$21)+'Inputs'!$B$7)/SQRT((((584-43)*MAX('Inputs'!$B$33,'Inputs'!$B$29+'Inputs'!$B$31+'Inputs'!$B$32,'Inputs'!$B$30+'Inputs'!$B$31+'Inputs'!$B$32)/1000+'Inputs'!$B$21)+'Inputs'!$B$7)^2+('Inputs'!$B$6/2)^2)-(((584-43)*MAX('Inputs'!$B$33,'Inputs'!$B$29+'Inputs'!$B$31+'Inputs'!$B$32,'Inputs'!$B$30+'Inputs'!$B$31+'Inputs'!$B$32)/1000+'Inputs'!$B$21))/SQRT((((584-43)*MAX('Inputs'!$B$33,'Inputs'!$B$29+'Inputs'!$B$31+'Inputs'!$B$32,'Inputs'!$B$30+'Inputs'!$B$31+'Inputs'!$B$32)/1000+'Inputs'!$B$21))^2+('Inputs'!$B$6/2)^2)))-'Results'!C7*(1-'Inputs'!$B$24)*(0.5*((((584-43)*MAX('Inputs'!$B$33,'Inputs'!$B$29+'Inputs'!$B$31+'Inputs'!$B$32,'Inputs'!$B$30+'Inputs'!$B$31+'Inputs'!$B$32)/1000+'Inputs'!$B$21+'Inputs'!$B$7+'Inputs'!$B$10)+'Inputs'!$B$9)/SQRT((((584-43)*MAX('Inputs'!$B$33,'Inputs'!$B$29+'Inputs'!$B$31+'Inputs'!$B$32,'Inputs'!$B$30+'Inputs'!$B$31+'Inputs'!$B$32)/1000+'Inputs'!$B$21+'Inputs'!$B$7+'Inputs'!$B$10)+'Inputs'!$B$9)^2+('Inputs'!$B$8/2)^2)-(((584-43)*MAX('Inputs'!$B$33,'Inputs'!$B$29+'Inputs'!$B$31+'Inputs'!$B$32,'Inputs'!$B$30+'Inputs'!$B$31+'Inputs'!$B$32)/1000+'Inputs'!$B$21+'Inputs'!$B$7+'Inputs'!$B$10))/SQRT((((584-43)*MAX('Inputs'!$B$33,'Inputs'!$B$29+'Inputs'!$B$31+'Inputs'!$B$32,'Inputs'!$B$30+'Inputs'!$B$31+'Inputs'!$B$32)/1000+'Inputs'!$B$21+'Inputs'!$B$7+'Inputs'!$B$10))^2+('Inputs'!$B$8/2)^2))))*'Results'!$B$8)+'Inputs'!$B$28*ABS((('Results'!B7*(1+'Inputs'!$B$24)*(0.5*((((584-43)*MAX('Inputs'!$B$33,'Inputs'!$B$29+'Inputs'!$B$31+'Inputs'!$B$32,'Inputs'!$B$30+'Inputs'!$B$31+'Inputs'!$B$32)/1000+'Inputs'!$B$21)+'Inputs'!$B$7)/SQRT((((584-43)*MAX('Inputs'!$B$33,'Inputs'!$B$29+'Inputs'!$B$31+'Inputs'!$B$32,'Inputs'!$B$30+'Inputs'!$B$31+'Inputs'!$B$32)/1000+'Inputs'!$B$21)+'Inputs'!$B$7)^2+('Inputs'!$B$6/2)^2)-(((584-43)*MAX('Inputs'!$B$33,'Inputs'!$B$29+'Inputs'!$B$31+'Inputs'!$B$32,'Inputs'!$B$30+'Inputs'!$B$31+'Inputs'!$B$32)/1000+'Inputs'!$B$21))/SQRT((((584-43)*MAX('Inputs'!$B$33,'Inputs'!$B$29+'Inputs'!$B$31+'Inputs'!$B$32,'Inputs'!$B$30+'Inputs'!$B$31+'Inputs'!$B$32)/1000+'Inputs'!$B$21))^2+('Inputs'!$B$6/2)^2)))-'Results'!C7*(1-'Inputs'!$B$24)*(0.5*((((584-43)*MAX('Inputs'!$B$33,'Inputs'!$B$29+'Inputs'!$B$31+'Inputs'!$B$32,'Inputs'!$B$30+'Inputs'!$B$31+'Inputs'!$B$32)/1000+'Inputs'!$B$21+'Inputs'!$B$7+'Inputs'!$B$10)+'Inputs'!$B$9)/SQRT((((584-43)*MAX('Inputs'!$B$33,'Inputs'!$B$29+'Inputs'!$B$31+'Inputs'!$B$32,'Inputs'!$B$30+'Inputs'!$B$31+'Inputs'!$B$32)/1000+'Inputs'!$B$21+'Inputs'!$B$7+'Inputs'!$B$10)+'Inputs'!$B$9)^2+('Inputs'!$B$8/2)^2)-(((584-43)*MAX('Inputs'!$B$33,'Inputs'!$B$29+'Inputs'!$B$31+'Inputs'!$B$32,'Inputs'!$B$30+'Inputs'!$B$31+'Inputs'!$B$32)/1000+'Inputs'!$B$21+'Inputs'!$B$7+'Inputs'!$B$10))/SQRT((((584-43)*MAX('Inputs'!$B$33,'Inputs'!$B$29+'Inputs'!$B$31+'Inputs'!$B$32,'Inputs'!$B$30+'Inputs'!$B$31+'Inputs'!$B$32)/1000+'Inputs'!$B$21+'Inputs'!$B$7+'Inputs'!$B$10))^2+('Inputs'!$B$8/2)^2))))*'Results'!$B$8))),"")</x:f>
        <x:v>3.5892977029446262</x:v>
      </x:c>
      <x:c r="M584" t="n">
        <x:f>IF(AND(ISNUMBER('Results'!C7),ISNUMBER('Results'!B7),ISNUMBER('Results'!$B$8),ISNUMBER('Inputs'!$B$6),ISNUMBER('Inputs'!$B$7),ISNUMBER('Inputs'!$B$8),ISNUMBER('Inputs'!$B$9),ISNUMBER('Inputs'!$B$10),ISNUMBER('Inputs'!$B$21),ISNUMBER('Inputs'!$B$24),ISNUMBER('Inputs'!$B$28)),(('Results'!C7*(0.5*((((584-43)*MAX('Inputs'!$B$33,'Inputs'!$B$29+'Inputs'!$B$31+'Inputs'!$B$32,'Inputs'!$B$30+'Inputs'!$B$31+'Inputs'!$B$32)/1000+'Inputs'!$B$21)+'Inputs'!$B$9)/SQRT((((584-43)*MAX('Inputs'!$B$33,'Inputs'!$B$29+'Inputs'!$B$31+'Inputs'!$B$32,'Inputs'!$B$30+'Inputs'!$B$31+'Inputs'!$B$32)/1000+'Inputs'!$B$21)+'Inputs'!$B$9)^2+('Inputs'!$B$8/2)^2)-(((584-43)*MAX('Inputs'!$B$33,'Inputs'!$B$29+'Inputs'!$B$31+'Inputs'!$B$32,'Inputs'!$B$30+'Inputs'!$B$31+'Inputs'!$B$32)/1000+'Inputs'!$B$21))/SQRT((((584-43)*MAX('Inputs'!$B$33,'Inputs'!$B$29+'Inputs'!$B$31+'Inputs'!$B$32,'Inputs'!$B$30+'Inputs'!$B$31+'Inputs'!$B$32)/1000+'Inputs'!$B$21))^2+('Inputs'!$B$8/2)^2)))-'Results'!B7*(0.5*((((584-43)*MAX('Inputs'!$B$33,'Inputs'!$B$29+'Inputs'!$B$31+'Inputs'!$B$32,'Inputs'!$B$30+'Inputs'!$B$31+'Inputs'!$B$32)/1000+'Inputs'!$B$21+'Inputs'!$B$9+'Inputs'!$B$10)+'Inputs'!$B$7)/SQRT((((584-43)*MAX('Inputs'!$B$33,'Inputs'!$B$29+'Inputs'!$B$31+'Inputs'!$B$32,'Inputs'!$B$30+'Inputs'!$B$31+'Inputs'!$B$32)/1000+'Inputs'!$B$21+'Inputs'!$B$9+'Inputs'!$B$10)+'Inputs'!$B$7)^2+('Inputs'!$B$6/2)^2)-(((584-43)*MAX('Inputs'!$B$33,'Inputs'!$B$29+'Inputs'!$B$31+'Inputs'!$B$32,'Inputs'!$B$30+'Inputs'!$B$31+'Inputs'!$B$32)/1000+'Inputs'!$B$21+'Inputs'!$B$9+'Inputs'!$B$10))/SQRT((((584-43)*MAX('Inputs'!$B$33,'Inputs'!$B$29+'Inputs'!$B$31+'Inputs'!$B$32,'Inputs'!$B$30+'Inputs'!$B$31+'Inputs'!$B$32)/1000+'Inputs'!$B$21+'Inputs'!$B$9+'Inputs'!$B$10))^2+('Inputs'!$B$6/2)^2))))*'Results'!$B$8),"")</x:f>
        <x:v>2.9570506878362974</x:v>
      </x:c>
      <x:c r="N584" t="n">
        <x:f>IF(AND(ISNUMBER('Results'!C7),ISNUMBER('Results'!B7),ISNUMBER('Results'!$B$8),ISNUMBER('Inputs'!$B$6),ISNUMBER('Inputs'!$B$7),ISNUMBER('Inputs'!$B$8),ISNUMBER('Inputs'!$B$9),ISNUMBER('Inputs'!$B$10),ISNUMBER('Inputs'!$B$21),ISNUMBER('Inputs'!$B$24),ISNUMBER('Inputs'!$B$28)),((('Results'!C7*(1-'Inputs'!$B$24)*(0.5*((((584-43)*MAX('Inputs'!$B$33,'Inputs'!$B$29+'Inputs'!$B$31+'Inputs'!$B$32,'Inputs'!$B$30+'Inputs'!$B$31+'Inputs'!$B$32)/1000+'Inputs'!$B$21)+'Inputs'!$B$9)/SQRT((((584-43)*MAX('Inputs'!$B$33,'Inputs'!$B$29+'Inputs'!$B$31+'Inputs'!$B$32,'Inputs'!$B$30+'Inputs'!$B$31+'Inputs'!$B$32)/1000+'Inputs'!$B$21)+'Inputs'!$B$9)^2+('Inputs'!$B$8/2)^2)-(((584-43)*MAX('Inputs'!$B$33,'Inputs'!$B$29+'Inputs'!$B$31+'Inputs'!$B$32,'Inputs'!$B$30+'Inputs'!$B$31+'Inputs'!$B$32)/1000+'Inputs'!$B$21))/SQRT((((584-43)*MAX('Inputs'!$B$33,'Inputs'!$B$29+'Inputs'!$B$31+'Inputs'!$B$32,'Inputs'!$B$30+'Inputs'!$B$31+'Inputs'!$B$32)/1000+'Inputs'!$B$21))^2+('Inputs'!$B$8/2)^2)))-'Results'!B7*(1+'Inputs'!$B$24)*(0.5*((((584-43)*MAX('Inputs'!$B$33,'Inputs'!$B$29+'Inputs'!$B$31+'Inputs'!$B$32,'Inputs'!$B$30+'Inputs'!$B$31+'Inputs'!$B$32)/1000+'Inputs'!$B$21+'Inputs'!$B$9+'Inputs'!$B$10)+'Inputs'!$B$7)/SQRT((((584-43)*MAX('Inputs'!$B$33,'Inputs'!$B$29+'Inputs'!$B$31+'Inputs'!$B$32,'Inputs'!$B$30+'Inputs'!$B$31+'Inputs'!$B$32)/1000+'Inputs'!$B$21+'Inputs'!$B$9+'Inputs'!$B$10)+'Inputs'!$B$7)^2+('Inputs'!$B$6/2)^2)-(((584-43)*MAX('Inputs'!$B$33,'Inputs'!$B$29+'Inputs'!$B$31+'Inputs'!$B$32,'Inputs'!$B$30+'Inputs'!$B$31+'Inputs'!$B$32)/1000+'Inputs'!$B$21+'Inputs'!$B$9+'Inputs'!$B$10))/SQRT((((584-43)*MAX('Inputs'!$B$33,'Inputs'!$B$29+'Inputs'!$B$31+'Inputs'!$B$32,'Inputs'!$B$30+'Inputs'!$B$31+'Inputs'!$B$32)/1000+'Inputs'!$B$21+'Inputs'!$B$9+'Inputs'!$B$10))^2+('Inputs'!$B$6/2)^2))))*'Results'!$B$8)-'Inputs'!$B$28*ABS((('Results'!C7*(1-'Inputs'!$B$24)*(0.5*((((584-43)*MAX('Inputs'!$B$33,'Inputs'!$B$29+'Inputs'!$B$31+'Inputs'!$B$32,'Inputs'!$B$30+'Inputs'!$B$31+'Inputs'!$B$32)/1000+'Inputs'!$B$21)+'Inputs'!$B$9)/SQRT((((584-43)*MAX('Inputs'!$B$33,'Inputs'!$B$29+'Inputs'!$B$31+'Inputs'!$B$32,'Inputs'!$B$30+'Inputs'!$B$31+'Inputs'!$B$32)/1000+'Inputs'!$B$21)+'Inputs'!$B$9)^2+('Inputs'!$B$8/2)^2)-(((584-43)*MAX('Inputs'!$B$33,'Inputs'!$B$29+'Inputs'!$B$31+'Inputs'!$B$32,'Inputs'!$B$30+'Inputs'!$B$31+'Inputs'!$B$32)/1000+'Inputs'!$B$21))/SQRT((((584-43)*MAX('Inputs'!$B$33,'Inputs'!$B$29+'Inputs'!$B$31+'Inputs'!$B$32,'Inputs'!$B$30+'Inputs'!$B$31+'Inputs'!$B$32)/1000+'Inputs'!$B$21))^2+('Inputs'!$B$8/2)^2)))-'Results'!B7*(1+'Inputs'!$B$24)*(0.5*((((584-43)*MAX('Inputs'!$B$33,'Inputs'!$B$29+'Inputs'!$B$31+'Inputs'!$B$32,'Inputs'!$B$30+'Inputs'!$B$31+'Inputs'!$B$32)/1000+'Inputs'!$B$21+'Inputs'!$B$9+'Inputs'!$B$10)+'Inputs'!$B$7)/SQRT((((584-43)*MAX('Inputs'!$B$33,'Inputs'!$B$29+'Inputs'!$B$31+'Inputs'!$B$32,'Inputs'!$B$30+'Inputs'!$B$31+'Inputs'!$B$32)/1000+'Inputs'!$B$21+'Inputs'!$B$9+'Inputs'!$B$10)+'Inputs'!$B$7)^2+('Inputs'!$B$6/2)^2)-(((584-43)*MAX('Inputs'!$B$33,'Inputs'!$B$29+'Inputs'!$B$31+'Inputs'!$B$32,'Inputs'!$B$30+'Inputs'!$B$31+'Inputs'!$B$32)/1000+'Inputs'!$B$21+'Inputs'!$B$9+'Inputs'!$B$10))/SQRT((((584-43)*MAX('Inputs'!$B$33,'Inputs'!$B$29+'Inputs'!$B$31+'Inputs'!$B$32,'Inputs'!$B$30+'Inputs'!$B$31+'Inputs'!$B$32)/1000+'Inputs'!$B$21+'Inputs'!$B$9+'Inputs'!$B$10))^2+('Inputs'!$B$6/2)^2))))*'Results'!$B$8))),"")</x:f>
        <x:v>2.5920515909283974</x:v>
      </x:c>
      <x:c r="O584" t="n">
        <x:f>IF(AND(ISNUMBER('Results'!C7),ISNUMBER('Results'!B7),ISNUMBER('Results'!$B$8),ISNUMBER('Inputs'!$B$6),ISNUMBER('Inputs'!$B$7),ISNUMBER('Inputs'!$B$8),ISNUMBER('Inputs'!$B$9),ISNUMBER('Inputs'!$B$10),ISNUMBER('Inputs'!$B$21),ISNUMBER('Inputs'!$B$24),ISNUMBER('Inputs'!$B$28)),((('Results'!C7*(1+'Inputs'!$B$24)*(0.5*((((584-43)*MAX('Inputs'!$B$33,'Inputs'!$B$29+'Inputs'!$B$31+'Inputs'!$B$32,'Inputs'!$B$30+'Inputs'!$B$31+'Inputs'!$B$32)/1000+'Inputs'!$B$21)+'Inputs'!$B$9)/SQRT((((584-43)*MAX('Inputs'!$B$33,'Inputs'!$B$29+'Inputs'!$B$31+'Inputs'!$B$32,'Inputs'!$B$30+'Inputs'!$B$31+'Inputs'!$B$32)/1000+'Inputs'!$B$21)+'Inputs'!$B$9)^2+('Inputs'!$B$8/2)^2)-(((584-43)*MAX('Inputs'!$B$33,'Inputs'!$B$29+'Inputs'!$B$31+'Inputs'!$B$32,'Inputs'!$B$30+'Inputs'!$B$31+'Inputs'!$B$32)/1000+'Inputs'!$B$21))/SQRT((((584-43)*MAX('Inputs'!$B$33,'Inputs'!$B$29+'Inputs'!$B$31+'Inputs'!$B$32,'Inputs'!$B$30+'Inputs'!$B$31+'Inputs'!$B$32)/1000+'Inputs'!$B$21))^2+('Inputs'!$B$8/2)^2)))-'Results'!B7*(1-'Inputs'!$B$24)*(0.5*((((584-43)*MAX('Inputs'!$B$33,'Inputs'!$B$29+'Inputs'!$B$31+'Inputs'!$B$32,'Inputs'!$B$30+'Inputs'!$B$31+'Inputs'!$B$32)/1000+'Inputs'!$B$21+'Inputs'!$B$9+'Inputs'!$B$10)+'Inputs'!$B$7)/SQRT((((584-43)*MAX('Inputs'!$B$33,'Inputs'!$B$29+'Inputs'!$B$31+'Inputs'!$B$32,'Inputs'!$B$30+'Inputs'!$B$31+'Inputs'!$B$32)/1000+'Inputs'!$B$21+'Inputs'!$B$9+'Inputs'!$B$10)+'Inputs'!$B$7)^2+('Inputs'!$B$6/2)^2)-(((584-43)*MAX('Inputs'!$B$33,'Inputs'!$B$29+'Inputs'!$B$31+'Inputs'!$B$32,'Inputs'!$B$30+'Inputs'!$B$31+'Inputs'!$B$32)/1000+'Inputs'!$B$21+'Inputs'!$B$9+'Inputs'!$B$10))/SQRT((((584-43)*MAX('Inputs'!$B$33,'Inputs'!$B$29+'Inputs'!$B$31+'Inputs'!$B$32,'Inputs'!$B$30+'Inputs'!$B$31+'Inputs'!$B$32)/1000+'Inputs'!$B$21+'Inputs'!$B$9+'Inputs'!$B$10))^2+('Inputs'!$B$6/2)^2))))*'Results'!$B$8)+'Inputs'!$B$28*ABS((('Results'!C7*(1+'Inputs'!$B$24)*(0.5*((((584-43)*MAX('Inputs'!$B$33,'Inputs'!$B$29+'Inputs'!$B$31+'Inputs'!$B$32,'Inputs'!$B$30+'Inputs'!$B$31+'Inputs'!$B$32)/1000+'Inputs'!$B$21)+'Inputs'!$B$9)/SQRT((((584-43)*MAX('Inputs'!$B$33,'Inputs'!$B$29+'Inputs'!$B$31+'Inputs'!$B$32,'Inputs'!$B$30+'Inputs'!$B$31+'Inputs'!$B$32)/1000+'Inputs'!$B$21)+'Inputs'!$B$9)^2+('Inputs'!$B$8/2)^2)-(((584-43)*MAX('Inputs'!$B$33,'Inputs'!$B$29+'Inputs'!$B$31+'Inputs'!$B$32,'Inputs'!$B$30+'Inputs'!$B$31+'Inputs'!$B$32)/1000+'Inputs'!$B$21))/SQRT((((584-43)*MAX('Inputs'!$B$33,'Inputs'!$B$29+'Inputs'!$B$31+'Inputs'!$B$32,'Inputs'!$B$30+'Inputs'!$B$31+'Inputs'!$B$32)/1000+'Inputs'!$B$21))^2+('Inputs'!$B$8/2)^2)))-'Results'!B7*(1-'Inputs'!$B$24)*(0.5*((((584-43)*MAX('Inputs'!$B$33,'Inputs'!$B$29+'Inputs'!$B$31+'Inputs'!$B$32,'Inputs'!$B$30+'Inputs'!$B$31+'Inputs'!$B$32)/1000+'Inputs'!$B$21+'Inputs'!$B$9+'Inputs'!$B$10)+'Inputs'!$B$7)/SQRT((((584-43)*MAX('Inputs'!$B$33,'Inputs'!$B$29+'Inputs'!$B$31+'Inputs'!$B$32,'Inputs'!$B$30+'Inputs'!$B$31+'Inputs'!$B$32)/1000+'Inputs'!$B$21+'Inputs'!$B$9+'Inputs'!$B$10)+'Inputs'!$B$7)^2+('Inputs'!$B$6/2)^2)-(((584-43)*MAX('Inputs'!$B$33,'Inputs'!$B$29+'Inputs'!$B$31+'Inputs'!$B$32,'Inputs'!$B$30+'Inputs'!$B$31+'Inputs'!$B$32)/1000+'Inputs'!$B$21+'Inputs'!$B$9+'Inputs'!$B$10))/SQRT((((584-43)*MAX('Inputs'!$B$33,'Inputs'!$B$29+'Inputs'!$B$31+'Inputs'!$B$32,'Inputs'!$B$30+'Inputs'!$B$31+'Inputs'!$B$32)/1000+'Inputs'!$B$21+'Inputs'!$B$9+'Inputs'!$B$10))^2+('Inputs'!$B$6/2)^2))))*'Results'!$B$8))),"")</x:f>
        <x:v>3.3449073176406268</x:v>
      </x:c>
      <x:c r="P584" t="n">
        <x:f>IF(AND(MAX(J584,J583)&gt;0,J584&gt;J583+0.00000001),1,0)</x:f>
        <x:v>0</x:v>
      </x:c>
      <x:c r="Q584" t="n">
        <x:f>IF(AND(MAX(K584,K583)&gt;0,K584&gt;K583+0.00000001),1,0)</x:f>
        <x:v>0</x:v>
      </x:c>
      <x:c r="R584" t="n">
        <x:f>IF(AND(MAX(L584,L583)&gt;0,L584&gt;L583+0.00000001),1,0)</x:f>
        <x:v>0</x:v>
      </x:c>
      <x:c r="S584" t="n">
        <x:f>IF(AND(MAX(M584,M583)&gt;0,M584&gt;M583+0.00000001),1,0)</x:f>
        <x:v>0</x:v>
      </x:c>
      <x:c r="T584" t="n">
        <x:f>IF(AND(MAX(N584,N583)&gt;0,N584&gt;N583+0.00000001),1,0)</x:f>
        <x:v>0</x:v>
      </x:c>
      <x:c r="U584" t="n">
        <x:f>IF(AND(MAX(O584,O583)&gt;0,O584&gt;O583+0.00000001),1,0)</x:f>
        <x:v>0</x:v>
      </x:c>
    </x:row>
    <x:row r="585">
      <x:c r="J585" t="n">
        <x:f>IF(AND(ISNUMBER('Results'!B7),ISNUMBER('Results'!C7),ISNUMBER('Results'!$B$8),ISNUMBER('Inputs'!$B$6),ISNUMBER('Inputs'!$B$7),ISNUMBER('Inputs'!$B$8),ISNUMBER('Inputs'!$B$9),ISNUMBER('Inputs'!$B$10),ISNUMBER('Inputs'!$B$21),ISNUMBER('Inputs'!$B$24),ISNUMBER('Inputs'!$B$28)),(('Results'!B7*(0.5*((((585-43)*MAX('Inputs'!$B$33,'Inputs'!$B$29+'Inputs'!$B$31+'Inputs'!$B$32,'Inputs'!$B$30+'Inputs'!$B$31+'Inputs'!$B$32)/1000+'Inputs'!$B$21)+'Inputs'!$B$7)/SQRT((((585-43)*MAX('Inputs'!$B$33,'Inputs'!$B$29+'Inputs'!$B$31+'Inputs'!$B$32,'Inputs'!$B$30+'Inputs'!$B$31+'Inputs'!$B$32)/1000+'Inputs'!$B$21)+'Inputs'!$B$7)^2+('Inputs'!$B$6/2)^2)-(((585-43)*MAX('Inputs'!$B$33,'Inputs'!$B$29+'Inputs'!$B$31+'Inputs'!$B$32,'Inputs'!$B$30+'Inputs'!$B$31+'Inputs'!$B$32)/1000+'Inputs'!$B$21))/SQRT((((585-43)*MAX('Inputs'!$B$33,'Inputs'!$B$29+'Inputs'!$B$31+'Inputs'!$B$32,'Inputs'!$B$30+'Inputs'!$B$31+'Inputs'!$B$32)/1000+'Inputs'!$B$21))^2+('Inputs'!$B$6/2)^2)))-'Results'!C7*(0.5*((((585-43)*MAX('Inputs'!$B$33,'Inputs'!$B$29+'Inputs'!$B$31+'Inputs'!$B$32,'Inputs'!$B$30+'Inputs'!$B$31+'Inputs'!$B$32)/1000+'Inputs'!$B$21+'Inputs'!$B$7+'Inputs'!$B$10)+'Inputs'!$B$9)/SQRT((((585-43)*MAX('Inputs'!$B$33,'Inputs'!$B$29+'Inputs'!$B$31+'Inputs'!$B$32,'Inputs'!$B$30+'Inputs'!$B$31+'Inputs'!$B$32)/1000+'Inputs'!$B$21+'Inputs'!$B$7+'Inputs'!$B$10)+'Inputs'!$B$9)^2+('Inputs'!$B$8/2)^2)-(((585-43)*MAX('Inputs'!$B$33,'Inputs'!$B$29+'Inputs'!$B$31+'Inputs'!$B$32,'Inputs'!$B$30+'Inputs'!$B$31+'Inputs'!$B$32)/1000+'Inputs'!$B$21+'Inputs'!$B$7+'Inputs'!$B$10))/SQRT((((585-43)*MAX('Inputs'!$B$33,'Inputs'!$B$29+'Inputs'!$B$31+'Inputs'!$B$32,'Inputs'!$B$30+'Inputs'!$B$31+'Inputs'!$B$32)/1000+'Inputs'!$B$21+'Inputs'!$B$7+'Inputs'!$B$10))^2+('Inputs'!$B$8/2)^2))))*'Results'!$B$8),"")</x:f>
        <x:v>3.1682971588042044</x:v>
      </x:c>
      <x:c r="K585" t="n">
        <x:f>IF(AND(ISNUMBER('Results'!B7),ISNUMBER('Results'!C7),ISNUMBER('Results'!$B$8),ISNUMBER('Inputs'!$B$6),ISNUMBER('Inputs'!$B$7),ISNUMBER('Inputs'!$B$8),ISNUMBER('Inputs'!$B$9),ISNUMBER('Inputs'!$B$10),ISNUMBER('Inputs'!$B$21),ISNUMBER('Inputs'!$B$24),ISNUMBER('Inputs'!$B$28)),((('Results'!B7*(1-'Inputs'!$B$24)*(0.5*((((585-43)*MAX('Inputs'!$B$33,'Inputs'!$B$29+'Inputs'!$B$31+'Inputs'!$B$32,'Inputs'!$B$30+'Inputs'!$B$31+'Inputs'!$B$32)/1000+'Inputs'!$B$21)+'Inputs'!$B$7)/SQRT((((585-43)*MAX('Inputs'!$B$33,'Inputs'!$B$29+'Inputs'!$B$31+'Inputs'!$B$32,'Inputs'!$B$30+'Inputs'!$B$31+'Inputs'!$B$32)/1000+'Inputs'!$B$21)+'Inputs'!$B$7)^2+('Inputs'!$B$6/2)^2)-(((585-43)*MAX('Inputs'!$B$33,'Inputs'!$B$29+'Inputs'!$B$31+'Inputs'!$B$32,'Inputs'!$B$30+'Inputs'!$B$31+'Inputs'!$B$32)/1000+'Inputs'!$B$21))/SQRT((((585-43)*MAX('Inputs'!$B$33,'Inputs'!$B$29+'Inputs'!$B$31+'Inputs'!$B$32,'Inputs'!$B$30+'Inputs'!$B$31+'Inputs'!$B$32)/1000+'Inputs'!$B$21))^2+('Inputs'!$B$6/2)^2)))-'Results'!C7*(1+'Inputs'!$B$24)*(0.5*((((585-43)*MAX('Inputs'!$B$33,'Inputs'!$B$29+'Inputs'!$B$31+'Inputs'!$B$32,'Inputs'!$B$30+'Inputs'!$B$31+'Inputs'!$B$32)/1000+'Inputs'!$B$21+'Inputs'!$B$7+'Inputs'!$B$10)+'Inputs'!$B$9)/SQRT((((585-43)*MAX('Inputs'!$B$33,'Inputs'!$B$29+'Inputs'!$B$31+'Inputs'!$B$32,'Inputs'!$B$30+'Inputs'!$B$31+'Inputs'!$B$32)/1000+'Inputs'!$B$21+'Inputs'!$B$7+'Inputs'!$B$10)+'Inputs'!$B$9)^2+('Inputs'!$B$8/2)^2)-(((585-43)*MAX('Inputs'!$B$33,'Inputs'!$B$29+'Inputs'!$B$31+'Inputs'!$B$32,'Inputs'!$B$30+'Inputs'!$B$31+'Inputs'!$B$32)/1000+'Inputs'!$B$21+'Inputs'!$B$7+'Inputs'!$B$10))/SQRT((((585-43)*MAX('Inputs'!$B$33,'Inputs'!$B$29+'Inputs'!$B$31+'Inputs'!$B$32,'Inputs'!$B$30+'Inputs'!$B$31+'Inputs'!$B$32)/1000+'Inputs'!$B$21+'Inputs'!$B$7+'Inputs'!$B$10))^2+('Inputs'!$B$8/2)^2))))*'Results'!$B$8)-'Inputs'!$B$28*ABS((('Results'!B7*(1-'Inputs'!$B$24)*(0.5*((((585-43)*MAX('Inputs'!$B$33,'Inputs'!$B$29+'Inputs'!$B$31+'Inputs'!$B$32,'Inputs'!$B$30+'Inputs'!$B$31+'Inputs'!$B$32)/1000+'Inputs'!$B$21)+'Inputs'!$B$7)/SQRT((((585-43)*MAX('Inputs'!$B$33,'Inputs'!$B$29+'Inputs'!$B$31+'Inputs'!$B$32,'Inputs'!$B$30+'Inputs'!$B$31+'Inputs'!$B$32)/1000+'Inputs'!$B$21)+'Inputs'!$B$7)^2+('Inputs'!$B$6/2)^2)-(((585-43)*MAX('Inputs'!$B$33,'Inputs'!$B$29+'Inputs'!$B$31+'Inputs'!$B$32,'Inputs'!$B$30+'Inputs'!$B$31+'Inputs'!$B$32)/1000+'Inputs'!$B$21))/SQRT((((585-43)*MAX('Inputs'!$B$33,'Inputs'!$B$29+'Inputs'!$B$31+'Inputs'!$B$32,'Inputs'!$B$30+'Inputs'!$B$31+'Inputs'!$B$32)/1000+'Inputs'!$B$21))^2+('Inputs'!$B$6/2)^2)))-'Results'!C7*(1+'Inputs'!$B$24)*(0.5*((((585-43)*MAX('Inputs'!$B$33,'Inputs'!$B$29+'Inputs'!$B$31+'Inputs'!$B$32,'Inputs'!$B$30+'Inputs'!$B$31+'Inputs'!$B$32)/1000+'Inputs'!$B$21+'Inputs'!$B$7+'Inputs'!$B$10)+'Inputs'!$B$9)/SQRT((((585-43)*MAX('Inputs'!$B$33,'Inputs'!$B$29+'Inputs'!$B$31+'Inputs'!$B$32,'Inputs'!$B$30+'Inputs'!$B$31+'Inputs'!$B$32)/1000+'Inputs'!$B$21+'Inputs'!$B$7+'Inputs'!$B$10)+'Inputs'!$B$9)^2+('Inputs'!$B$8/2)^2)-(((585-43)*MAX('Inputs'!$B$33,'Inputs'!$B$29+'Inputs'!$B$31+'Inputs'!$B$32,'Inputs'!$B$30+'Inputs'!$B$31+'Inputs'!$B$32)/1000+'Inputs'!$B$21+'Inputs'!$B$7+'Inputs'!$B$10))/SQRT((((585-43)*MAX('Inputs'!$B$33,'Inputs'!$B$29+'Inputs'!$B$31+'Inputs'!$B$32,'Inputs'!$B$30+'Inputs'!$B$31+'Inputs'!$B$32)/1000+'Inputs'!$B$21+'Inputs'!$B$7+'Inputs'!$B$10))^2+('Inputs'!$B$8/2)^2))))*'Results'!$B$8))),"")</x:f>
        <x:v>2.7926310446459097</x:v>
      </x:c>
      <x:c r="L585" t="n">
        <x:f>IF(AND(ISNUMBER('Results'!B7),ISNUMBER('Results'!C7),ISNUMBER('Results'!$B$8),ISNUMBER('Inputs'!$B$6),ISNUMBER('Inputs'!$B$7),ISNUMBER('Inputs'!$B$8),ISNUMBER('Inputs'!$B$9),ISNUMBER('Inputs'!$B$10),ISNUMBER('Inputs'!$B$21),ISNUMBER('Inputs'!$B$24),ISNUMBER('Inputs'!$B$28)),((('Results'!B7*(1+'Inputs'!$B$24)*(0.5*((((585-43)*MAX('Inputs'!$B$33,'Inputs'!$B$29+'Inputs'!$B$31+'Inputs'!$B$32,'Inputs'!$B$30+'Inputs'!$B$31+'Inputs'!$B$32)/1000+'Inputs'!$B$21)+'Inputs'!$B$7)/SQRT((((585-43)*MAX('Inputs'!$B$33,'Inputs'!$B$29+'Inputs'!$B$31+'Inputs'!$B$32,'Inputs'!$B$30+'Inputs'!$B$31+'Inputs'!$B$32)/1000+'Inputs'!$B$21)+'Inputs'!$B$7)^2+('Inputs'!$B$6/2)^2)-(((585-43)*MAX('Inputs'!$B$33,'Inputs'!$B$29+'Inputs'!$B$31+'Inputs'!$B$32,'Inputs'!$B$30+'Inputs'!$B$31+'Inputs'!$B$32)/1000+'Inputs'!$B$21))/SQRT((((585-43)*MAX('Inputs'!$B$33,'Inputs'!$B$29+'Inputs'!$B$31+'Inputs'!$B$32,'Inputs'!$B$30+'Inputs'!$B$31+'Inputs'!$B$32)/1000+'Inputs'!$B$21))^2+('Inputs'!$B$6/2)^2)))-'Results'!C7*(1-'Inputs'!$B$24)*(0.5*((((585-43)*MAX('Inputs'!$B$33,'Inputs'!$B$29+'Inputs'!$B$31+'Inputs'!$B$32,'Inputs'!$B$30+'Inputs'!$B$31+'Inputs'!$B$32)/1000+'Inputs'!$B$21+'Inputs'!$B$7+'Inputs'!$B$10)+'Inputs'!$B$9)/SQRT((((585-43)*MAX('Inputs'!$B$33,'Inputs'!$B$29+'Inputs'!$B$31+'Inputs'!$B$32,'Inputs'!$B$30+'Inputs'!$B$31+'Inputs'!$B$32)/1000+'Inputs'!$B$21+'Inputs'!$B$7+'Inputs'!$B$10)+'Inputs'!$B$9)^2+('Inputs'!$B$8/2)^2)-(((585-43)*MAX('Inputs'!$B$33,'Inputs'!$B$29+'Inputs'!$B$31+'Inputs'!$B$32,'Inputs'!$B$30+'Inputs'!$B$31+'Inputs'!$B$32)/1000+'Inputs'!$B$21+'Inputs'!$B$7+'Inputs'!$B$10))/SQRT((((585-43)*MAX('Inputs'!$B$33,'Inputs'!$B$29+'Inputs'!$B$31+'Inputs'!$B$32,'Inputs'!$B$30+'Inputs'!$B$31+'Inputs'!$B$32)/1000+'Inputs'!$B$21+'Inputs'!$B$7+'Inputs'!$B$10))^2+('Inputs'!$B$8/2)^2))))*'Results'!$B$8)+'Inputs'!$B$28*ABS((('Results'!B7*(1+'Inputs'!$B$24)*(0.5*((((585-43)*MAX('Inputs'!$B$33,'Inputs'!$B$29+'Inputs'!$B$31+'Inputs'!$B$32,'Inputs'!$B$30+'Inputs'!$B$31+'Inputs'!$B$32)/1000+'Inputs'!$B$21)+'Inputs'!$B$7)/SQRT((((585-43)*MAX('Inputs'!$B$33,'Inputs'!$B$29+'Inputs'!$B$31+'Inputs'!$B$32,'Inputs'!$B$30+'Inputs'!$B$31+'Inputs'!$B$32)/1000+'Inputs'!$B$21)+'Inputs'!$B$7)^2+('Inputs'!$B$6/2)^2)-(((585-43)*MAX('Inputs'!$B$33,'Inputs'!$B$29+'Inputs'!$B$31+'Inputs'!$B$32,'Inputs'!$B$30+'Inputs'!$B$31+'Inputs'!$B$32)/1000+'Inputs'!$B$21))/SQRT((((585-43)*MAX('Inputs'!$B$33,'Inputs'!$B$29+'Inputs'!$B$31+'Inputs'!$B$32,'Inputs'!$B$30+'Inputs'!$B$31+'Inputs'!$B$32)/1000+'Inputs'!$B$21))^2+('Inputs'!$B$6/2)^2)))-'Results'!C7*(1-'Inputs'!$B$24)*(0.5*((((585-43)*MAX('Inputs'!$B$33,'Inputs'!$B$29+'Inputs'!$B$31+'Inputs'!$B$32,'Inputs'!$B$30+'Inputs'!$B$31+'Inputs'!$B$32)/1000+'Inputs'!$B$21+'Inputs'!$B$7+'Inputs'!$B$10)+'Inputs'!$B$9)/SQRT((((585-43)*MAX('Inputs'!$B$33,'Inputs'!$B$29+'Inputs'!$B$31+'Inputs'!$B$32,'Inputs'!$B$30+'Inputs'!$B$31+'Inputs'!$B$32)/1000+'Inputs'!$B$21+'Inputs'!$B$7+'Inputs'!$B$10)+'Inputs'!$B$9)^2+('Inputs'!$B$8/2)^2)-(((585-43)*MAX('Inputs'!$B$33,'Inputs'!$B$29+'Inputs'!$B$31+'Inputs'!$B$32,'Inputs'!$B$30+'Inputs'!$B$31+'Inputs'!$B$32)/1000+'Inputs'!$B$21+'Inputs'!$B$7+'Inputs'!$B$10))/SQRT((((585-43)*MAX('Inputs'!$B$33,'Inputs'!$B$29+'Inputs'!$B$31+'Inputs'!$B$32,'Inputs'!$B$30+'Inputs'!$B$31+'Inputs'!$B$32)/1000+'Inputs'!$B$21+'Inputs'!$B$7+'Inputs'!$B$10))^2+('Inputs'!$B$8/2)^2))))*'Results'!$B$8))),"")</x:f>
        <x:v>3.5668318262486136</x:v>
      </x:c>
      <x:c r="M585" t="n">
        <x:f>IF(AND(ISNUMBER('Results'!C7),ISNUMBER('Results'!B7),ISNUMBER('Results'!$B$8),ISNUMBER('Inputs'!$B$6),ISNUMBER('Inputs'!$B$7),ISNUMBER('Inputs'!$B$8),ISNUMBER('Inputs'!$B$9),ISNUMBER('Inputs'!$B$10),ISNUMBER('Inputs'!$B$21),ISNUMBER('Inputs'!$B$24),ISNUMBER('Inputs'!$B$28)),(('Results'!C7*(0.5*((((585-43)*MAX('Inputs'!$B$33,'Inputs'!$B$29+'Inputs'!$B$31+'Inputs'!$B$32,'Inputs'!$B$30+'Inputs'!$B$31+'Inputs'!$B$32)/1000+'Inputs'!$B$21)+'Inputs'!$B$9)/SQRT((((585-43)*MAX('Inputs'!$B$33,'Inputs'!$B$29+'Inputs'!$B$31+'Inputs'!$B$32,'Inputs'!$B$30+'Inputs'!$B$31+'Inputs'!$B$32)/1000+'Inputs'!$B$21)+'Inputs'!$B$9)^2+('Inputs'!$B$8/2)^2)-(((585-43)*MAX('Inputs'!$B$33,'Inputs'!$B$29+'Inputs'!$B$31+'Inputs'!$B$32,'Inputs'!$B$30+'Inputs'!$B$31+'Inputs'!$B$32)/1000+'Inputs'!$B$21))/SQRT((((585-43)*MAX('Inputs'!$B$33,'Inputs'!$B$29+'Inputs'!$B$31+'Inputs'!$B$32,'Inputs'!$B$30+'Inputs'!$B$31+'Inputs'!$B$32)/1000+'Inputs'!$B$21))^2+('Inputs'!$B$8/2)^2)))-'Results'!B7*(0.5*((((585-43)*MAX('Inputs'!$B$33,'Inputs'!$B$29+'Inputs'!$B$31+'Inputs'!$B$32,'Inputs'!$B$30+'Inputs'!$B$31+'Inputs'!$B$32)/1000+'Inputs'!$B$21+'Inputs'!$B$9+'Inputs'!$B$10)+'Inputs'!$B$7)/SQRT((((585-43)*MAX('Inputs'!$B$33,'Inputs'!$B$29+'Inputs'!$B$31+'Inputs'!$B$32,'Inputs'!$B$30+'Inputs'!$B$31+'Inputs'!$B$32)/1000+'Inputs'!$B$21+'Inputs'!$B$9+'Inputs'!$B$10)+'Inputs'!$B$7)^2+('Inputs'!$B$6/2)^2)-(((585-43)*MAX('Inputs'!$B$33,'Inputs'!$B$29+'Inputs'!$B$31+'Inputs'!$B$32,'Inputs'!$B$30+'Inputs'!$B$31+'Inputs'!$B$32)/1000+'Inputs'!$B$21+'Inputs'!$B$9+'Inputs'!$B$10))/SQRT((((585-43)*MAX('Inputs'!$B$33,'Inputs'!$B$29+'Inputs'!$B$31+'Inputs'!$B$32,'Inputs'!$B$30+'Inputs'!$B$31+'Inputs'!$B$32)/1000+'Inputs'!$B$21+'Inputs'!$B$9+'Inputs'!$B$10))^2+('Inputs'!$B$6/2)^2))))*'Results'!$B$8),"")</x:f>
        <x:v>2.93792469135444</x:v>
      </x:c>
      <x:c r="N585" t="n">
        <x:f>IF(AND(ISNUMBER('Results'!C7),ISNUMBER('Results'!B7),ISNUMBER('Results'!$B$8),ISNUMBER('Inputs'!$B$6),ISNUMBER('Inputs'!$B$7),ISNUMBER('Inputs'!$B$8),ISNUMBER('Inputs'!$B$9),ISNUMBER('Inputs'!$B$10),ISNUMBER('Inputs'!$B$21),ISNUMBER('Inputs'!$B$24),ISNUMBER('Inputs'!$B$28)),((('Results'!C7*(1-'Inputs'!$B$24)*(0.5*((((585-43)*MAX('Inputs'!$B$33,'Inputs'!$B$29+'Inputs'!$B$31+'Inputs'!$B$32,'Inputs'!$B$30+'Inputs'!$B$31+'Inputs'!$B$32)/1000+'Inputs'!$B$21)+'Inputs'!$B$9)/SQRT((((585-43)*MAX('Inputs'!$B$33,'Inputs'!$B$29+'Inputs'!$B$31+'Inputs'!$B$32,'Inputs'!$B$30+'Inputs'!$B$31+'Inputs'!$B$32)/1000+'Inputs'!$B$21)+'Inputs'!$B$9)^2+('Inputs'!$B$8/2)^2)-(((585-43)*MAX('Inputs'!$B$33,'Inputs'!$B$29+'Inputs'!$B$31+'Inputs'!$B$32,'Inputs'!$B$30+'Inputs'!$B$31+'Inputs'!$B$32)/1000+'Inputs'!$B$21))/SQRT((((585-43)*MAX('Inputs'!$B$33,'Inputs'!$B$29+'Inputs'!$B$31+'Inputs'!$B$32,'Inputs'!$B$30+'Inputs'!$B$31+'Inputs'!$B$32)/1000+'Inputs'!$B$21))^2+('Inputs'!$B$8/2)^2)))-'Results'!B7*(1+'Inputs'!$B$24)*(0.5*((((585-43)*MAX('Inputs'!$B$33,'Inputs'!$B$29+'Inputs'!$B$31+'Inputs'!$B$32,'Inputs'!$B$30+'Inputs'!$B$31+'Inputs'!$B$32)/1000+'Inputs'!$B$21+'Inputs'!$B$9+'Inputs'!$B$10)+'Inputs'!$B$7)/SQRT((((585-43)*MAX('Inputs'!$B$33,'Inputs'!$B$29+'Inputs'!$B$31+'Inputs'!$B$32,'Inputs'!$B$30+'Inputs'!$B$31+'Inputs'!$B$32)/1000+'Inputs'!$B$21+'Inputs'!$B$9+'Inputs'!$B$10)+'Inputs'!$B$7)^2+('Inputs'!$B$6/2)^2)-(((585-43)*MAX('Inputs'!$B$33,'Inputs'!$B$29+'Inputs'!$B$31+'Inputs'!$B$32,'Inputs'!$B$30+'Inputs'!$B$31+'Inputs'!$B$32)/1000+'Inputs'!$B$21+'Inputs'!$B$9+'Inputs'!$B$10))/SQRT((((585-43)*MAX('Inputs'!$B$33,'Inputs'!$B$29+'Inputs'!$B$31+'Inputs'!$B$32,'Inputs'!$B$30+'Inputs'!$B$31+'Inputs'!$B$32)/1000+'Inputs'!$B$21+'Inputs'!$B$9+'Inputs'!$B$10))^2+('Inputs'!$B$6/2)^2))))*'Results'!$B$8)-'Inputs'!$B$28*ABS((('Results'!C7*(1-'Inputs'!$B$24)*(0.5*((((585-43)*MAX('Inputs'!$B$33,'Inputs'!$B$29+'Inputs'!$B$31+'Inputs'!$B$32,'Inputs'!$B$30+'Inputs'!$B$31+'Inputs'!$B$32)/1000+'Inputs'!$B$21)+'Inputs'!$B$9)/SQRT((((585-43)*MAX('Inputs'!$B$33,'Inputs'!$B$29+'Inputs'!$B$31+'Inputs'!$B$32,'Inputs'!$B$30+'Inputs'!$B$31+'Inputs'!$B$32)/1000+'Inputs'!$B$21)+'Inputs'!$B$9)^2+('Inputs'!$B$8/2)^2)-(((585-43)*MAX('Inputs'!$B$33,'Inputs'!$B$29+'Inputs'!$B$31+'Inputs'!$B$32,'Inputs'!$B$30+'Inputs'!$B$31+'Inputs'!$B$32)/1000+'Inputs'!$B$21))/SQRT((((585-43)*MAX('Inputs'!$B$33,'Inputs'!$B$29+'Inputs'!$B$31+'Inputs'!$B$32,'Inputs'!$B$30+'Inputs'!$B$31+'Inputs'!$B$32)/1000+'Inputs'!$B$21))^2+('Inputs'!$B$8/2)^2)))-'Results'!B7*(1+'Inputs'!$B$24)*(0.5*((((585-43)*MAX('Inputs'!$B$33,'Inputs'!$B$29+'Inputs'!$B$31+'Inputs'!$B$32,'Inputs'!$B$30+'Inputs'!$B$31+'Inputs'!$B$32)/1000+'Inputs'!$B$21+'Inputs'!$B$9+'Inputs'!$B$10)+'Inputs'!$B$7)/SQRT((((585-43)*MAX('Inputs'!$B$33,'Inputs'!$B$29+'Inputs'!$B$31+'Inputs'!$B$32,'Inputs'!$B$30+'Inputs'!$B$31+'Inputs'!$B$32)/1000+'Inputs'!$B$21+'Inputs'!$B$9+'Inputs'!$B$10)+'Inputs'!$B$7)^2+('Inputs'!$B$6/2)^2)-(((585-43)*MAX('Inputs'!$B$33,'Inputs'!$B$29+'Inputs'!$B$31+'Inputs'!$B$32,'Inputs'!$B$30+'Inputs'!$B$31+'Inputs'!$B$32)/1000+'Inputs'!$B$21+'Inputs'!$B$9+'Inputs'!$B$10))/SQRT((((585-43)*MAX('Inputs'!$B$33,'Inputs'!$B$29+'Inputs'!$B$31+'Inputs'!$B$32,'Inputs'!$B$30+'Inputs'!$B$31+'Inputs'!$B$32)/1000+'Inputs'!$B$21+'Inputs'!$B$9+'Inputs'!$B$10))^2+('Inputs'!$B$6/2)^2))))*'Results'!$B$8))),"")</x:f>
        <x:v>2.574949101731795</x:v>
      </x:c>
      <x:c r="O585" t="n">
        <x:f>IF(AND(ISNUMBER('Results'!C7),ISNUMBER('Results'!B7),ISNUMBER('Results'!$B$8),ISNUMBER('Inputs'!$B$6),ISNUMBER('Inputs'!$B$7),ISNUMBER('Inputs'!$B$8),ISNUMBER('Inputs'!$B$9),ISNUMBER('Inputs'!$B$10),ISNUMBER('Inputs'!$B$21),ISNUMBER('Inputs'!$B$24),ISNUMBER('Inputs'!$B$28)),((('Results'!C7*(1+'Inputs'!$B$24)*(0.5*((((585-43)*MAX('Inputs'!$B$33,'Inputs'!$B$29+'Inputs'!$B$31+'Inputs'!$B$32,'Inputs'!$B$30+'Inputs'!$B$31+'Inputs'!$B$32)/1000+'Inputs'!$B$21)+'Inputs'!$B$9)/SQRT((((585-43)*MAX('Inputs'!$B$33,'Inputs'!$B$29+'Inputs'!$B$31+'Inputs'!$B$32,'Inputs'!$B$30+'Inputs'!$B$31+'Inputs'!$B$32)/1000+'Inputs'!$B$21)+'Inputs'!$B$9)^2+('Inputs'!$B$8/2)^2)-(((585-43)*MAX('Inputs'!$B$33,'Inputs'!$B$29+'Inputs'!$B$31+'Inputs'!$B$32,'Inputs'!$B$30+'Inputs'!$B$31+'Inputs'!$B$32)/1000+'Inputs'!$B$21))/SQRT((((585-43)*MAX('Inputs'!$B$33,'Inputs'!$B$29+'Inputs'!$B$31+'Inputs'!$B$32,'Inputs'!$B$30+'Inputs'!$B$31+'Inputs'!$B$32)/1000+'Inputs'!$B$21))^2+('Inputs'!$B$8/2)^2)))-'Results'!B7*(1-'Inputs'!$B$24)*(0.5*((((585-43)*MAX('Inputs'!$B$33,'Inputs'!$B$29+'Inputs'!$B$31+'Inputs'!$B$32,'Inputs'!$B$30+'Inputs'!$B$31+'Inputs'!$B$32)/1000+'Inputs'!$B$21+'Inputs'!$B$9+'Inputs'!$B$10)+'Inputs'!$B$7)/SQRT((((585-43)*MAX('Inputs'!$B$33,'Inputs'!$B$29+'Inputs'!$B$31+'Inputs'!$B$32,'Inputs'!$B$30+'Inputs'!$B$31+'Inputs'!$B$32)/1000+'Inputs'!$B$21+'Inputs'!$B$9+'Inputs'!$B$10)+'Inputs'!$B$7)^2+('Inputs'!$B$6/2)^2)-(((585-43)*MAX('Inputs'!$B$33,'Inputs'!$B$29+'Inputs'!$B$31+'Inputs'!$B$32,'Inputs'!$B$30+'Inputs'!$B$31+'Inputs'!$B$32)/1000+'Inputs'!$B$21+'Inputs'!$B$9+'Inputs'!$B$10))/SQRT((((585-43)*MAX('Inputs'!$B$33,'Inputs'!$B$29+'Inputs'!$B$31+'Inputs'!$B$32,'Inputs'!$B$30+'Inputs'!$B$31+'Inputs'!$B$32)/1000+'Inputs'!$B$21+'Inputs'!$B$9+'Inputs'!$B$10))^2+('Inputs'!$B$6/2)^2))))*'Results'!$B$8)+'Inputs'!$B$28*ABS((('Results'!C7*(1+'Inputs'!$B$24)*(0.5*((((585-43)*MAX('Inputs'!$B$33,'Inputs'!$B$29+'Inputs'!$B$31+'Inputs'!$B$32,'Inputs'!$B$30+'Inputs'!$B$31+'Inputs'!$B$32)/1000+'Inputs'!$B$21)+'Inputs'!$B$9)/SQRT((((585-43)*MAX('Inputs'!$B$33,'Inputs'!$B$29+'Inputs'!$B$31+'Inputs'!$B$32,'Inputs'!$B$30+'Inputs'!$B$31+'Inputs'!$B$32)/1000+'Inputs'!$B$21)+'Inputs'!$B$9)^2+('Inputs'!$B$8/2)^2)-(((585-43)*MAX('Inputs'!$B$33,'Inputs'!$B$29+'Inputs'!$B$31+'Inputs'!$B$32,'Inputs'!$B$30+'Inputs'!$B$31+'Inputs'!$B$32)/1000+'Inputs'!$B$21))/SQRT((((585-43)*MAX('Inputs'!$B$33,'Inputs'!$B$29+'Inputs'!$B$31+'Inputs'!$B$32,'Inputs'!$B$30+'Inputs'!$B$31+'Inputs'!$B$32)/1000+'Inputs'!$B$21))^2+('Inputs'!$B$8/2)^2)))-'Results'!B7*(1-'Inputs'!$B$24)*(0.5*((((585-43)*MAX('Inputs'!$B$33,'Inputs'!$B$29+'Inputs'!$B$31+'Inputs'!$B$32,'Inputs'!$B$30+'Inputs'!$B$31+'Inputs'!$B$32)/1000+'Inputs'!$B$21+'Inputs'!$B$9+'Inputs'!$B$10)+'Inputs'!$B$7)/SQRT((((585-43)*MAX('Inputs'!$B$33,'Inputs'!$B$29+'Inputs'!$B$31+'Inputs'!$B$32,'Inputs'!$B$30+'Inputs'!$B$31+'Inputs'!$B$32)/1000+'Inputs'!$B$21+'Inputs'!$B$9+'Inputs'!$B$10)+'Inputs'!$B$7)^2+('Inputs'!$B$6/2)^2)-(((585-43)*MAX('Inputs'!$B$33,'Inputs'!$B$29+'Inputs'!$B$31+'Inputs'!$B$32,'Inputs'!$B$30+'Inputs'!$B$31+'Inputs'!$B$32)/1000+'Inputs'!$B$21+'Inputs'!$B$9+'Inputs'!$B$10))/SQRT((((585-43)*MAX('Inputs'!$B$33,'Inputs'!$B$29+'Inputs'!$B$31+'Inputs'!$B$32,'Inputs'!$B$30+'Inputs'!$B$31+'Inputs'!$B$32)/1000+'Inputs'!$B$21+'Inputs'!$B$9+'Inputs'!$B$10))^2+('Inputs'!$B$6/2)^2))))*'Results'!$B$8))),"")</x:f>
        <x:v>3.3236454762460244</x:v>
      </x:c>
      <x:c r="P585" t="n">
        <x:f>IF(AND(MAX(J585,J584)&gt;0,J585&gt;J584+0.00000001),1,0)</x:f>
        <x:v>0</x:v>
      </x:c>
      <x:c r="Q585" t="n">
        <x:f>IF(AND(MAX(K585,K584)&gt;0,K585&gt;K584+0.00000001),1,0)</x:f>
        <x:v>0</x:v>
      </x:c>
      <x:c r="R585" t="n">
        <x:f>IF(AND(MAX(L585,L584)&gt;0,L585&gt;L584+0.00000001),1,0)</x:f>
        <x:v>0</x:v>
      </x:c>
      <x:c r="S585" t="n">
        <x:f>IF(AND(MAX(M585,M584)&gt;0,M585&gt;M584+0.00000001),1,0)</x:f>
        <x:v>0</x:v>
      </x:c>
      <x:c r="T585" t="n">
        <x:f>IF(AND(MAX(N585,N584)&gt;0,N585&gt;N584+0.00000001),1,0)</x:f>
        <x:v>0</x:v>
      </x:c>
      <x:c r="U585" t="n">
        <x:f>IF(AND(MAX(O585,O584)&gt;0,O585&gt;O584+0.00000001),1,0)</x:f>
        <x:v>0</x:v>
      </x:c>
    </x:row>
    <x:row r="586">
      <x:c r="J586" t="n">
        <x:f>IF(AND(ISNUMBER('Results'!B7),ISNUMBER('Results'!C7),ISNUMBER('Results'!$B$8),ISNUMBER('Inputs'!$B$6),ISNUMBER('Inputs'!$B$7),ISNUMBER('Inputs'!$B$8),ISNUMBER('Inputs'!$B$9),ISNUMBER('Inputs'!$B$10),ISNUMBER('Inputs'!$B$21),ISNUMBER('Inputs'!$B$24),ISNUMBER('Inputs'!$B$28)),(('Results'!B7*(0.5*((((586-43)*MAX('Inputs'!$B$33,'Inputs'!$B$29+'Inputs'!$B$31+'Inputs'!$B$32,'Inputs'!$B$30+'Inputs'!$B$31+'Inputs'!$B$32)/1000+'Inputs'!$B$21)+'Inputs'!$B$7)/SQRT((((586-43)*MAX('Inputs'!$B$33,'Inputs'!$B$29+'Inputs'!$B$31+'Inputs'!$B$32,'Inputs'!$B$30+'Inputs'!$B$31+'Inputs'!$B$32)/1000+'Inputs'!$B$21)+'Inputs'!$B$7)^2+('Inputs'!$B$6/2)^2)-(((586-43)*MAX('Inputs'!$B$33,'Inputs'!$B$29+'Inputs'!$B$31+'Inputs'!$B$32,'Inputs'!$B$30+'Inputs'!$B$31+'Inputs'!$B$32)/1000+'Inputs'!$B$21))/SQRT((((586-43)*MAX('Inputs'!$B$33,'Inputs'!$B$29+'Inputs'!$B$31+'Inputs'!$B$32,'Inputs'!$B$30+'Inputs'!$B$31+'Inputs'!$B$32)/1000+'Inputs'!$B$21))^2+('Inputs'!$B$6/2)^2)))-'Results'!C7*(0.5*((((586-43)*MAX('Inputs'!$B$33,'Inputs'!$B$29+'Inputs'!$B$31+'Inputs'!$B$32,'Inputs'!$B$30+'Inputs'!$B$31+'Inputs'!$B$32)/1000+'Inputs'!$B$21+'Inputs'!$B$7+'Inputs'!$B$10)+'Inputs'!$B$9)/SQRT((((586-43)*MAX('Inputs'!$B$33,'Inputs'!$B$29+'Inputs'!$B$31+'Inputs'!$B$32,'Inputs'!$B$30+'Inputs'!$B$31+'Inputs'!$B$32)/1000+'Inputs'!$B$21+'Inputs'!$B$7+'Inputs'!$B$10)+'Inputs'!$B$9)^2+('Inputs'!$B$8/2)^2)-(((586-43)*MAX('Inputs'!$B$33,'Inputs'!$B$29+'Inputs'!$B$31+'Inputs'!$B$32,'Inputs'!$B$30+'Inputs'!$B$31+'Inputs'!$B$32)/1000+'Inputs'!$B$21+'Inputs'!$B$7+'Inputs'!$B$10))/SQRT((((586-43)*MAX('Inputs'!$B$33,'Inputs'!$B$29+'Inputs'!$B$31+'Inputs'!$B$32,'Inputs'!$B$30+'Inputs'!$B$31+'Inputs'!$B$32)/1000+'Inputs'!$B$21+'Inputs'!$B$7+'Inputs'!$B$10))^2+('Inputs'!$B$8/2)^2))))*'Results'!$B$8),"")</x:f>
        <x:v>3.148193477100885</x:v>
      </x:c>
      <x:c r="K586" t="n">
        <x:f>IF(AND(ISNUMBER('Results'!B7),ISNUMBER('Results'!C7),ISNUMBER('Results'!$B$8),ISNUMBER('Inputs'!$B$6),ISNUMBER('Inputs'!$B$7),ISNUMBER('Inputs'!$B$8),ISNUMBER('Inputs'!$B$9),ISNUMBER('Inputs'!$B$10),ISNUMBER('Inputs'!$B$21),ISNUMBER('Inputs'!$B$24),ISNUMBER('Inputs'!$B$28)),((('Results'!B7*(1-'Inputs'!$B$24)*(0.5*((((586-43)*MAX('Inputs'!$B$33,'Inputs'!$B$29+'Inputs'!$B$31+'Inputs'!$B$32,'Inputs'!$B$30+'Inputs'!$B$31+'Inputs'!$B$32)/1000+'Inputs'!$B$21)+'Inputs'!$B$7)/SQRT((((586-43)*MAX('Inputs'!$B$33,'Inputs'!$B$29+'Inputs'!$B$31+'Inputs'!$B$32,'Inputs'!$B$30+'Inputs'!$B$31+'Inputs'!$B$32)/1000+'Inputs'!$B$21)+'Inputs'!$B$7)^2+('Inputs'!$B$6/2)^2)-(((586-43)*MAX('Inputs'!$B$33,'Inputs'!$B$29+'Inputs'!$B$31+'Inputs'!$B$32,'Inputs'!$B$30+'Inputs'!$B$31+'Inputs'!$B$32)/1000+'Inputs'!$B$21))/SQRT((((586-43)*MAX('Inputs'!$B$33,'Inputs'!$B$29+'Inputs'!$B$31+'Inputs'!$B$32,'Inputs'!$B$30+'Inputs'!$B$31+'Inputs'!$B$32)/1000+'Inputs'!$B$21))^2+('Inputs'!$B$6/2)^2)))-'Results'!C7*(1+'Inputs'!$B$24)*(0.5*((((586-43)*MAX('Inputs'!$B$33,'Inputs'!$B$29+'Inputs'!$B$31+'Inputs'!$B$32,'Inputs'!$B$30+'Inputs'!$B$31+'Inputs'!$B$32)/1000+'Inputs'!$B$21+'Inputs'!$B$7+'Inputs'!$B$10)+'Inputs'!$B$9)/SQRT((((586-43)*MAX('Inputs'!$B$33,'Inputs'!$B$29+'Inputs'!$B$31+'Inputs'!$B$32,'Inputs'!$B$30+'Inputs'!$B$31+'Inputs'!$B$32)/1000+'Inputs'!$B$21+'Inputs'!$B$7+'Inputs'!$B$10)+'Inputs'!$B$9)^2+('Inputs'!$B$8/2)^2)-(((586-43)*MAX('Inputs'!$B$33,'Inputs'!$B$29+'Inputs'!$B$31+'Inputs'!$B$32,'Inputs'!$B$30+'Inputs'!$B$31+'Inputs'!$B$32)/1000+'Inputs'!$B$21+'Inputs'!$B$7+'Inputs'!$B$10))/SQRT((((586-43)*MAX('Inputs'!$B$33,'Inputs'!$B$29+'Inputs'!$B$31+'Inputs'!$B$32,'Inputs'!$B$30+'Inputs'!$B$31+'Inputs'!$B$32)/1000+'Inputs'!$B$21+'Inputs'!$B$7+'Inputs'!$B$10))^2+('Inputs'!$B$8/2)^2))))*'Results'!$B$8)-'Inputs'!$B$28*ABS((('Results'!B7*(1-'Inputs'!$B$24)*(0.5*((((586-43)*MAX('Inputs'!$B$33,'Inputs'!$B$29+'Inputs'!$B$31+'Inputs'!$B$32,'Inputs'!$B$30+'Inputs'!$B$31+'Inputs'!$B$32)/1000+'Inputs'!$B$21)+'Inputs'!$B$7)/SQRT((((586-43)*MAX('Inputs'!$B$33,'Inputs'!$B$29+'Inputs'!$B$31+'Inputs'!$B$32,'Inputs'!$B$30+'Inputs'!$B$31+'Inputs'!$B$32)/1000+'Inputs'!$B$21)+'Inputs'!$B$7)^2+('Inputs'!$B$6/2)^2)-(((586-43)*MAX('Inputs'!$B$33,'Inputs'!$B$29+'Inputs'!$B$31+'Inputs'!$B$32,'Inputs'!$B$30+'Inputs'!$B$31+'Inputs'!$B$32)/1000+'Inputs'!$B$21))/SQRT((((586-43)*MAX('Inputs'!$B$33,'Inputs'!$B$29+'Inputs'!$B$31+'Inputs'!$B$32,'Inputs'!$B$30+'Inputs'!$B$31+'Inputs'!$B$32)/1000+'Inputs'!$B$21))^2+('Inputs'!$B$6/2)^2)))-'Results'!C7*(1+'Inputs'!$B$24)*(0.5*((((586-43)*MAX('Inputs'!$B$33,'Inputs'!$B$29+'Inputs'!$B$31+'Inputs'!$B$32,'Inputs'!$B$30+'Inputs'!$B$31+'Inputs'!$B$32)/1000+'Inputs'!$B$21+'Inputs'!$B$7+'Inputs'!$B$10)+'Inputs'!$B$9)/SQRT((((586-43)*MAX('Inputs'!$B$33,'Inputs'!$B$29+'Inputs'!$B$31+'Inputs'!$B$32,'Inputs'!$B$30+'Inputs'!$B$31+'Inputs'!$B$32)/1000+'Inputs'!$B$21+'Inputs'!$B$7+'Inputs'!$B$10)+'Inputs'!$B$9)^2+('Inputs'!$B$8/2)^2)-(((586-43)*MAX('Inputs'!$B$33,'Inputs'!$B$29+'Inputs'!$B$31+'Inputs'!$B$32,'Inputs'!$B$30+'Inputs'!$B$31+'Inputs'!$B$32)/1000+'Inputs'!$B$21+'Inputs'!$B$7+'Inputs'!$B$10))/SQRT((((586-43)*MAX('Inputs'!$B$33,'Inputs'!$B$29+'Inputs'!$B$31+'Inputs'!$B$32,'Inputs'!$B$30+'Inputs'!$B$31+'Inputs'!$B$32)/1000+'Inputs'!$B$21+'Inputs'!$B$7+'Inputs'!$B$10))^2+('Inputs'!$B$8/2)^2))))*'Results'!$B$8))),"")</x:f>
        <x:v>2.7746002516069854</x:v>
      </x:c>
      <x:c r="L586" t="n">
        <x:f>IF(AND(ISNUMBER('Results'!B7),ISNUMBER('Results'!C7),ISNUMBER('Results'!$B$8),ISNUMBER('Inputs'!$B$6),ISNUMBER('Inputs'!$B$7),ISNUMBER('Inputs'!$B$8),ISNUMBER('Inputs'!$B$9),ISNUMBER('Inputs'!$B$10),ISNUMBER('Inputs'!$B$21),ISNUMBER('Inputs'!$B$24),ISNUMBER('Inputs'!$B$28)),((('Results'!B7*(1+'Inputs'!$B$24)*(0.5*((((586-43)*MAX('Inputs'!$B$33,'Inputs'!$B$29+'Inputs'!$B$31+'Inputs'!$B$32,'Inputs'!$B$30+'Inputs'!$B$31+'Inputs'!$B$32)/1000+'Inputs'!$B$21)+'Inputs'!$B$7)/SQRT((((586-43)*MAX('Inputs'!$B$33,'Inputs'!$B$29+'Inputs'!$B$31+'Inputs'!$B$32,'Inputs'!$B$30+'Inputs'!$B$31+'Inputs'!$B$32)/1000+'Inputs'!$B$21)+'Inputs'!$B$7)^2+('Inputs'!$B$6/2)^2)-(((586-43)*MAX('Inputs'!$B$33,'Inputs'!$B$29+'Inputs'!$B$31+'Inputs'!$B$32,'Inputs'!$B$30+'Inputs'!$B$31+'Inputs'!$B$32)/1000+'Inputs'!$B$21))/SQRT((((586-43)*MAX('Inputs'!$B$33,'Inputs'!$B$29+'Inputs'!$B$31+'Inputs'!$B$32,'Inputs'!$B$30+'Inputs'!$B$31+'Inputs'!$B$32)/1000+'Inputs'!$B$21))^2+('Inputs'!$B$6/2)^2)))-'Results'!C7*(1-'Inputs'!$B$24)*(0.5*((((586-43)*MAX('Inputs'!$B$33,'Inputs'!$B$29+'Inputs'!$B$31+'Inputs'!$B$32,'Inputs'!$B$30+'Inputs'!$B$31+'Inputs'!$B$32)/1000+'Inputs'!$B$21+'Inputs'!$B$7+'Inputs'!$B$10)+'Inputs'!$B$9)/SQRT((((586-43)*MAX('Inputs'!$B$33,'Inputs'!$B$29+'Inputs'!$B$31+'Inputs'!$B$32,'Inputs'!$B$30+'Inputs'!$B$31+'Inputs'!$B$32)/1000+'Inputs'!$B$21+'Inputs'!$B$7+'Inputs'!$B$10)+'Inputs'!$B$9)^2+('Inputs'!$B$8/2)^2)-(((586-43)*MAX('Inputs'!$B$33,'Inputs'!$B$29+'Inputs'!$B$31+'Inputs'!$B$32,'Inputs'!$B$30+'Inputs'!$B$31+'Inputs'!$B$32)/1000+'Inputs'!$B$21+'Inputs'!$B$7+'Inputs'!$B$10))/SQRT((((586-43)*MAX('Inputs'!$B$33,'Inputs'!$B$29+'Inputs'!$B$31+'Inputs'!$B$32,'Inputs'!$B$30+'Inputs'!$B$31+'Inputs'!$B$32)/1000+'Inputs'!$B$21+'Inputs'!$B$7+'Inputs'!$B$10))^2+('Inputs'!$B$8/2)^2))))*'Results'!$B$8)+'Inputs'!$B$28*ABS((('Results'!B7*(1+'Inputs'!$B$24)*(0.5*((((586-43)*MAX('Inputs'!$B$33,'Inputs'!$B$29+'Inputs'!$B$31+'Inputs'!$B$32,'Inputs'!$B$30+'Inputs'!$B$31+'Inputs'!$B$32)/1000+'Inputs'!$B$21)+'Inputs'!$B$7)/SQRT((((586-43)*MAX('Inputs'!$B$33,'Inputs'!$B$29+'Inputs'!$B$31+'Inputs'!$B$32,'Inputs'!$B$30+'Inputs'!$B$31+'Inputs'!$B$32)/1000+'Inputs'!$B$21)+'Inputs'!$B$7)^2+('Inputs'!$B$6/2)^2)-(((586-43)*MAX('Inputs'!$B$33,'Inputs'!$B$29+'Inputs'!$B$31+'Inputs'!$B$32,'Inputs'!$B$30+'Inputs'!$B$31+'Inputs'!$B$32)/1000+'Inputs'!$B$21))/SQRT((((586-43)*MAX('Inputs'!$B$33,'Inputs'!$B$29+'Inputs'!$B$31+'Inputs'!$B$32,'Inputs'!$B$30+'Inputs'!$B$31+'Inputs'!$B$32)/1000+'Inputs'!$B$21))^2+('Inputs'!$B$6/2)^2)))-'Results'!C7*(1-'Inputs'!$B$24)*(0.5*((((586-43)*MAX('Inputs'!$B$33,'Inputs'!$B$29+'Inputs'!$B$31+'Inputs'!$B$32,'Inputs'!$B$30+'Inputs'!$B$31+'Inputs'!$B$32)/1000+'Inputs'!$B$21+'Inputs'!$B$7+'Inputs'!$B$10)+'Inputs'!$B$9)/SQRT((((586-43)*MAX('Inputs'!$B$33,'Inputs'!$B$29+'Inputs'!$B$31+'Inputs'!$B$32,'Inputs'!$B$30+'Inputs'!$B$31+'Inputs'!$B$32)/1000+'Inputs'!$B$21+'Inputs'!$B$7+'Inputs'!$B$10)+'Inputs'!$B$9)^2+('Inputs'!$B$8/2)^2)-(((586-43)*MAX('Inputs'!$B$33,'Inputs'!$B$29+'Inputs'!$B$31+'Inputs'!$B$32,'Inputs'!$B$30+'Inputs'!$B$31+'Inputs'!$B$32)/1000+'Inputs'!$B$21+'Inputs'!$B$7+'Inputs'!$B$10))/SQRT((((586-43)*MAX('Inputs'!$B$33,'Inputs'!$B$29+'Inputs'!$B$31+'Inputs'!$B$32,'Inputs'!$B$30+'Inputs'!$B$31+'Inputs'!$B$32)/1000+'Inputs'!$B$21+'Inputs'!$B$7+'Inputs'!$B$10))^2+('Inputs'!$B$8/2)^2))))*'Results'!$B$8))),"")</x:f>
        <x:v>3.5445428659251905</x:v>
      </x:c>
      <x:c r="M586" t="n">
        <x:f>IF(AND(ISNUMBER('Results'!C7),ISNUMBER('Results'!B7),ISNUMBER('Results'!$B$8),ISNUMBER('Inputs'!$B$6),ISNUMBER('Inputs'!$B$7),ISNUMBER('Inputs'!$B$8),ISNUMBER('Inputs'!$B$9),ISNUMBER('Inputs'!$B$10),ISNUMBER('Inputs'!$B$21),ISNUMBER('Inputs'!$B$24),ISNUMBER('Inputs'!$B$28)),(('Results'!C7*(0.5*((((586-43)*MAX('Inputs'!$B$33,'Inputs'!$B$29+'Inputs'!$B$31+'Inputs'!$B$32,'Inputs'!$B$30+'Inputs'!$B$31+'Inputs'!$B$32)/1000+'Inputs'!$B$21)+'Inputs'!$B$9)/SQRT((((586-43)*MAX('Inputs'!$B$33,'Inputs'!$B$29+'Inputs'!$B$31+'Inputs'!$B$32,'Inputs'!$B$30+'Inputs'!$B$31+'Inputs'!$B$32)/1000+'Inputs'!$B$21)+'Inputs'!$B$9)^2+('Inputs'!$B$8/2)^2)-(((586-43)*MAX('Inputs'!$B$33,'Inputs'!$B$29+'Inputs'!$B$31+'Inputs'!$B$32,'Inputs'!$B$30+'Inputs'!$B$31+'Inputs'!$B$32)/1000+'Inputs'!$B$21))/SQRT((((586-43)*MAX('Inputs'!$B$33,'Inputs'!$B$29+'Inputs'!$B$31+'Inputs'!$B$32,'Inputs'!$B$30+'Inputs'!$B$31+'Inputs'!$B$32)/1000+'Inputs'!$B$21))^2+('Inputs'!$B$8/2)^2)))-'Results'!B7*(0.5*((((586-43)*MAX('Inputs'!$B$33,'Inputs'!$B$29+'Inputs'!$B$31+'Inputs'!$B$32,'Inputs'!$B$30+'Inputs'!$B$31+'Inputs'!$B$32)/1000+'Inputs'!$B$21+'Inputs'!$B$9+'Inputs'!$B$10)+'Inputs'!$B$7)/SQRT((((586-43)*MAX('Inputs'!$B$33,'Inputs'!$B$29+'Inputs'!$B$31+'Inputs'!$B$32,'Inputs'!$B$30+'Inputs'!$B$31+'Inputs'!$B$32)/1000+'Inputs'!$B$21+'Inputs'!$B$9+'Inputs'!$B$10)+'Inputs'!$B$7)^2+('Inputs'!$B$6/2)^2)-(((586-43)*MAX('Inputs'!$B$33,'Inputs'!$B$29+'Inputs'!$B$31+'Inputs'!$B$32,'Inputs'!$B$30+'Inputs'!$B$31+'Inputs'!$B$32)/1000+'Inputs'!$B$21+'Inputs'!$B$9+'Inputs'!$B$10))/SQRT((((586-43)*MAX('Inputs'!$B$33,'Inputs'!$B$29+'Inputs'!$B$31+'Inputs'!$B$32,'Inputs'!$B$30+'Inputs'!$B$31+'Inputs'!$B$32)/1000+'Inputs'!$B$21+'Inputs'!$B$9+'Inputs'!$B$10))^2+('Inputs'!$B$6/2)^2))))*'Results'!$B$8),"")</x:f>
        <x:v>2.918952274778847</x:v>
      </x:c>
      <x:c r="N586" t="n">
        <x:f>IF(AND(ISNUMBER('Results'!C7),ISNUMBER('Results'!B7),ISNUMBER('Results'!$B$8),ISNUMBER('Inputs'!$B$6),ISNUMBER('Inputs'!$B$7),ISNUMBER('Inputs'!$B$8),ISNUMBER('Inputs'!$B$9),ISNUMBER('Inputs'!$B$10),ISNUMBER('Inputs'!$B$21),ISNUMBER('Inputs'!$B$24),ISNUMBER('Inputs'!$B$28)),((('Results'!C7*(1-'Inputs'!$B$24)*(0.5*((((586-43)*MAX('Inputs'!$B$33,'Inputs'!$B$29+'Inputs'!$B$31+'Inputs'!$B$32,'Inputs'!$B$30+'Inputs'!$B$31+'Inputs'!$B$32)/1000+'Inputs'!$B$21)+'Inputs'!$B$9)/SQRT((((586-43)*MAX('Inputs'!$B$33,'Inputs'!$B$29+'Inputs'!$B$31+'Inputs'!$B$32,'Inputs'!$B$30+'Inputs'!$B$31+'Inputs'!$B$32)/1000+'Inputs'!$B$21)+'Inputs'!$B$9)^2+('Inputs'!$B$8/2)^2)-(((586-43)*MAX('Inputs'!$B$33,'Inputs'!$B$29+'Inputs'!$B$31+'Inputs'!$B$32,'Inputs'!$B$30+'Inputs'!$B$31+'Inputs'!$B$32)/1000+'Inputs'!$B$21))/SQRT((((586-43)*MAX('Inputs'!$B$33,'Inputs'!$B$29+'Inputs'!$B$31+'Inputs'!$B$32,'Inputs'!$B$30+'Inputs'!$B$31+'Inputs'!$B$32)/1000+'Inputs'!$B$21))^2+('Inputs'!$B$8/2)^2)))-'Results'!B7*(1+'Inputs'!$B$24)*(0.5*((((586-43)*MAX('Inputs'!$B$33,'Inputs'!$B$29+'Inputs'!$B$31+'Inputs'!$B$32,'Inputs'!$B$30+'Inputs'!$B$31+'Inputs'!$B$32)/1000+'Inputs'!$B$21+'Inputs'!$B$9+'Inputs'!$B$10)+'Inputs'!$B$7)/SQRT((((586-43)*MAX('Inputs'!$B$33,'Inputs'!$B$29+'Inputs'!$B$31+'Inputs'!$B$32,'Inputs'!$B$30+'Inputs'!$B$31+'Inputs'!$B$32)/1000+'Inputs'!$B$21+'Inputs'!$B$9+'Inputs'!$B$10)+'Inputs'!$B$7)^2+('Inputs'!$B$6/2)^2)-(((586-43)*MAX('Inputs'!$B$33,'Inputs'!$B$29+'Inputs'!$B$31+'Inputs'!$B$32,'Inputs'!$B$30+'Inputs'!$B$31+'Inputs'!$B$32)/1000+'Inputs'!$B$21+'Inputs'!$B$9+'Inputs'!$B$10))/SQRT((((586-43)*MAX('Inputs'!$B$33,'Inputs'!$B$29+'Inputs'!$B$31+'Inputs'!$B$32,'Inputs'!$B$30+'Inputs'!$B$31+'Inputs'!$B$32)/1000+'Inputs'!$B$21+'Inputs'!$B$9+'Inputs'!$B$10))^2+('Inputs'!$B$6/2)^2))))*'Results'!$B$8)-'Inputs'!$B$28*ABS((('Results'!C7*(1-'Inputs'!$B$24)*(0.5*((((586-43)*MAX('Inputs'!$B$33,'Inputs'!$B$29+'Inputs'!$B$31+'Inputs'!$B$32,'Inputs'!$B$30+'Inputs'!$B$31+'Inputs'!$B$32)/1000+'Inputs'!$B$21)+'Inputs'!$B$9)/SQRT((((586-43)*MAX('Inputs'!$B$33,'Inputs'!$B$29+'Inputs'!$B$31+'Inputs'!$B$32,'Inputs'!$B$30+'Inputs'!$B$31+'Inputs'!$B$32)/1000+'Inputs'!$B$21)+'Inputs'!$B$9)^2+('Inputs'!$B$8/2)^2)-(((586-43)*MAX('Inputs'!$B$33,'Inputs'!$B$29+'Inputs'!$B$31+'Inputs'!$B$32,'Inputs'!$B$30+'Inputs'!$B$31+'Inputs'!$B$32)/1000+'Inputs'!$B$21))/SQRT((((586-43)*MAX('Inputs'!$B$33,'Inputs'!$B$29+'Inputs'!$B$31+'Inputs'!$B$32,'Inputs'!$B$30+'Inputs'!$B$31+'Inputs'!$B$32)/1000+'Inputs'!$B$21))^2+('Inputs'!$B$8/2)^2)))-'Results'!B7*(1+'Inputs'!$B$24)*(0.5*((((586-43)*MAX('Inputs'!$B$33,'Inputs'!$B$29+'Inputs'!$B$31+'Inputs'!$B$32,'Inputs'!$B$30+'Inputs'!$B$31+'Inputs'!$B$32)/1000+'Inputs'!$B$21+'Inputs'!$B$9+'Inputs'!$B$10)+'Inputs'!$B$7)/SQRT((((586-43)*MAX('Inputs'!$B$33,'Inputs'!$B$29+'Inputs'!$B$31+'Inputs'!$B$32,'Inputs'!$B$30+'Inputs'!$B$31+'Inputs'!$B$32)/1000+'Inputs'!$B$21+'Inputs'!$B$9+'Inputs'!$B$10)+'Inputs'!$B$7)^2+('Inputs'!$B$6/2)^2)-(((586-43)*MAX('Inputs'!$B$33,'Inputs'!$B$29+'Inputs'!$B$31+'Inputs'!$B$32,'Inputs'!$B$30+'Inputs'!$B$31+'Inputs'!$B$32)/1000+'Inputs'!$B$21+'Inputs'!$B$9+'Inputs'!$B$10))/SQRT((((586-43)*MAX('Inputs'!$B$33,'Inputs'!$B$29+'Inputs'!$B$31+'Inputs'!$B$32,'Inputs'!$B$30+'Inputs'!$B$31+'Inputs'!$B$32)/1000+'Inputs'!$B$21+'Inputs'!$B$9+'Inputs'!$B$10))^2+('Inputs'!$B$6/2)^2))))*'Results'!$B$8))),"")</x:f>
        <x:v>2.5579855111110055</x:v>
      </x:c>
      <x:c r="O586" t="n">
        <x:f>IF(AND(ISNUMBER('Results'!C7),ISNUMBER('Results'!B7),ISNUMBER('Results'!$B$8),ISNUMBER('Inputs'!$B$6),ISNUMBER('Inputs'!$B$7),ISNUMBER('Inputs'!$B$8),ISNUMBER('Inputs'!$B$9),ISNUMBER('Inputs'!$B$10),ISNUMBER('Inputs'!$B$21),ISNUMBER('Inputs'!$B$24),ISNUMBER('Inputs'!$B$28)),((('Results'!C7*(1+'Inputs'!$B$24)*(0.5*((((586-43)*MAX('Inputs'!$B$33,'Inputs'!$B$29+'Inputs'!$B$31+'Inputs'!$B$32,'Inputs'!$B$30+'Inputs'!$B$31+'Inputs'!$B$32)/1000+'Inputs'!$B$21)+'Inputs'!$B$9)/SQRT((((586-43)*MAX('Inputs'!$B$33,'Inputs'!$B$29+'Inputs'!$B$31+'Inputs'!$B$32,'Inputs'!$B$30+'Inputs'!$B$31+'Inputs'!$B$32)/1000+'Inputs'!$B$21)+'Inputs'!$B$9)^2+('Inputs'!$B$8/2)^2)-(((586-43)*MAX('Inputs'!$B$33,'Inputs'!$B$29+'Inputs'!$B$31+'Inputs'!$B$32,'Inputs'!$B$30+'Inputs'!$B$31+'Inputs'!$B$32)/1000+'Inputs'!$B$21))/SQRT((((586-43)*MAX('Inputs'!$B$33,'Inputs'!$B$29+'Inputs'!$B$31+'Inputs'!$B$32,'Inputs'!$B$30+'Inputs'!$B$31+'Inputs'!$B$32)/1000+'Inputs'!$B$21))^2+('Inputs'!$B$8/2)^2)))-'Results'!B7*(1-'Inputs'!$B$24)*(0.5*((((586-43)*MAX('Inputs'!$B$33,'Inputs'!$B$29+'Inputs'!$B$31+'Inputs'!$B$32,'Inputs'!$B$30+'Inputs'!$B$31+'Inputs'!$B$32)/1000+'Inputs'!$B$21+'Inputs'!$B$9+'Inputs'!$B$10)+'Inputs'!$B$7)/SQRT((((586-43)*MAX('Inputs'!$B$33,'Inputs'!$B$29+'Inputs'!$B$31+'Inputs'!$B$32,'Inputs'!$B$30+'Inputs'!$B$31+'Inputs'!$B$32)/1000+'Inputs'!$B$21+'Inputs'!$B$9+'Inputs'!$B$10)+'Inputs'!$B$7)^2+('Inputs'!$B$6/2)^2)-(((586-43)*MAX('Inputs'!$B$33,'Inputs'!$B$29+'Inputs'!$B$31+'Inputs'!$B$32,'Inputs'!$B$30+'Inputs'!$B$31+'Inputs'!$B$32)/1000+'Inputs'!$B$21+'Inputs'!$B$9+'Inputs'!$B$10))/SQRT((((586-43)*MAX('Inputs'!$B$33,'Inputs'!$B$29+'Inputs'!$B$31+'Inputs'!$B$32,'Inputs'!$B$30+'Inputs'!$B$31+'Inputs'!$B$32)/1000+'Inputs'!$B$21+'Inputs'!$B$9+'Inputs'!$B$10))^2+('Inputs'!$B$6/2)^2))))*'Results'!$B$8)+'Inputs'!$B$28*ABS((('Results'!C7*(1+'Inputs'!$B$24)*(0.5*((((586-43)*MAX('Inputs'!$B$33,'Inputs'!$B$29+'Inputs'!$B$31+'Inputs'!$B$32,'Inputs'!$B$30+'Inputs'!$B$31+'Inputs'!$B$32)/1000+'Inputs'!$B$21)+'Inputs'!$B$9)/SQRT((((586-43)*MAX('Inputs'!$B$33,'Inputs'!$B$29+'Inputs'!$B$31+'Inputs'!$B$32,'Inputs'!$B$30+'Inputs'!$B$31+'Inputs'!$B$32)/1000+'Inputs'!$B$21)+'Inputs'!$B$9)^2+('Inputs'!$B$8/2)^2)-(((586-43)*MAX('Inputs'!$B$33,'Inputs'!$B$29+'Inputs'!$B$31+'Inputs'!$B$32,'Inputs'!$B$30+'Inputs'!$B$31+'Inputs'!$B$32)/1000+'Inputs'!$B$21))/SQRT((((586-43)*MAX('Inputs'!$B$33,'Inputs'!$B$29+'Inputs'!$B$31+'Inputs'!$B$32,'Inputs'!$B$30+'Inputs'!$B$31+'Inputs'!$B$32)/1000+'Inputs'!$B$21))^2+('Inputs'!$B$8/2)^2)))-'Results'!B7*(1-'Inputs'!$B$24)*(0.5*((((586-43)*MAX('Inputs'!$B$33,'Inputs'!$B$29+'Inputs'!$B$31+'Inputs'!$B$32,'Inputs'!$B$30+'Inputs'!$B$31+'Inputs'!$B$32)/1000+'Inputs'!$B$21+'Inputs'!$B$9+'Inputs'!$B$10)+'Inputs'!$B$7)/SQRT((((586-43)*MAX('Inputs'!$B$33,'Inputs'!$B$29+'Inputs'!$B$31+'Inputs'!$B$32,'Inputs'!$B$30+'Inputs'!$B$31+'Inputs'!$B$32)/1000+'Inputs'!$B$21+'Inputs'!$B$9+'Inputs'!$B$10)+'Inputs'!$B$7)^2+('Inputs'!$B$6/2)^2)-(((586-43)*MAX('Inputs'!$B$33,'Inputs'!$B$29+'Inputs'!$B$31+'Inputs'!$B$32,'Inputs'!$B$30+'Inputs'!$B$31+'Inputs'!$B$32)/1000+'Inputs'!$B$21+'Inputs'!$B$9+'Inputs'!$B$10))/SQRT((((586-43)*MAX('Inputs'!$B$33,'Inputs'!$B$29+'Inputs'!$B$31+'Inputs'!$B$32,'Inputs'!$B$30+'Inputs'!$B$31+'Inputs'!$B$32)/1000+'Inputs'!$B$21+'Inputs'!$B$9+'Inputs'!$B$10))^2+('Inputs'!$B$6/2)^2))))*'Results'!$B$8))),"")</x:f>
        <x:v>3.302552633176046</x:v>
      </x:c>
      <x:c r="P586" t="n">
        <x:f>IF(AND(MAX(J586,J585)&gt;0,J586&gt;J585+0.00000001),1,0)</x:f>
        <x:v>0</x:v>
      </x:c>
      <x:c r="Q586" t="n">
        <x:f>IF(AND(MAX(K586,K585)&gt;0,K586&gt;K585+0.00000001),1,0)</x:f>
        <x:v>0</x:v>
      </x:c>
      <x:c r="R586" t="n">
        <x:f>IF(AND(MAX(L586,L585)&gt;0,L586&gt;L585+0.00000001),1,0)</x:f>
        <x:v>0</x:v>
      </x:c>
      <x:c r="S586" t="n">
        <x:f>IF(AND(MAX(M586,M585)&gt;0,M586&gt;M585+0.00000001),1,0)</x:f>
        <x:v>0</x:v>
      </x:c>
      <x:c r="T586" t="n">
        <x:f>IF(AND(MAX(N586,N585)&gt;0,N586&gt;N585+0.00000001),1,0)</x:f>
        <x:v>0</x:v>
      </x:c>
      <x:c r="U586" t="n">
        <x:f>IF(AND(MAX(O586,O585)&gt;0,O586&gt;O585+0.00000001),1,0)</x:f>
        <x:v>0</x:v>
      </x:c>
    </x:row>
    <x:row r="587">
      <x:c r="J587" t="n">
        <x:f>IF(AND(ISNUMBER('Results'!B7),ISNUMBER('Results'!C7),ISNUMBER('Results'!$B$8),ISNUMBER('Inputs'!$B$6),ISNUMBER('Inputs'!$B$7),ISNUMBER('Inputs'!$B$8),ISNUMBER('Inputs'!$B$9),ISNUMBER('Inputs'!$B$10),ISNUMBER('Inputs'!$B$21),ISNUMBER('Inputs'!$B$24),ISNUMBER('Inputs'!$B$28)),(('Results'!B7*(0.5*((((587-43)*MAX('Inputs'!$B$33,'Inputs'!$B$29+'Inputs'!$B$31+'Inputs'!$B$32,'Inputs'!$B$30+'Inputs'!$B$31+'Inputs'!$B$32)/1000+'Inputs'!$B$21)+'Inputs'!$B$7)/SQRT((((587-43)*MAX('Inputs'!$B$33,'Inputs'!$B$29+'Inputs'!$B$31+'Inputs'!$B$32,'Inputs'!$B$30+'Inputs'!$B$31+'Inputs'!$B$32)/1000+'Inputs'!$B$21)+'Inputs'!$B$7)^2+('Inputs'!$B$6/2)^2)-(((587-43)*MAX('Inputs'!$B$33,'Inputs'!$B$29+'Inputs'!$B$31+'Inputs'!$B$32,'Inputs'!$B$30+'Inputs'!$B$31+'Inputs'!$B$32)/1000+'Inputs'!$B$21))/SQRT((((587-43)*MAX('Inputs'!$B$33,'Inputs'!$B$29+'Inputs'!$B$31+'Inputs'!$B$32,'Inputs'!$B$30+'Inputs'!$B$31+'Inputs'!$B$32)/1000+'Inputs'!$B$21))^2+('Inputs'!$B$6/2)^2)))-'Results'!C7*(0.5*((((587-43)*MAX('Inputs'!$B$33,'Inputs'!$B$29+'Inputs'!$B$31+'Inputs'!$B$32,'Inputs'!$B$30+'Inputs'!$B$31+'Inputs'!$B$32)/1000+'Inputs'!$B$21+'Inputs'!$B$7+'Inputs'!$B$10)+'Inputs'!$B$9)/SQRT((((587-43)*MAX('Inputs'!$B$33,'Inputs'!$B$29+'Inputs'!$B$31+'Inputs'!$B$32,'Inputs'!$B$30+'Inputs'!$B$31+'Inputs'!$B$32)/1000+'Inputs'!$B$21+'Inputs'!$B$7+'Inputs'!$B$10)+'Inputs'!$B$9)^2+('Inputs'!$B$8/2)^2)-(((587-43)*MAX('Inputs'!$B$33,'Inputs'!$B$29+'Inputs'!$B$31+'Inputs'!$B$32,'Inputs'!$B$30+'Inputs'!$B$31+'Inputs'!$B$32)/1000+'Inputs'!$B$21+'Inputs'!$B$7+'Inputs'!$B$10))/SQRT((((587-43)*MAX('Inputs'!$B$33,'Inputs'!$B$29+'Inputs'!$B$31+'Inputs'!$B$32,'Inputs'!$B$30+'Inputs'!$B$31+'Inputs'!$B$32)/1000+'Inputs'!$B$21+'Inputs'!$B$7+'Inputs'!$B$10))^2+('Inputs'!$B$8/2)^2))))*'Results'!$B$8),"")</x:f>
        <x:v>3.1282493189714615</x:v>
      </x:c>
      <x:c r="K587" t="n">
        <x:f>IF(AND(ISNUMBER('Results'!B7),ISNUMBER('Results'!C7),ISNUMBER('Results'!$B$8),ISNUMBER('Inputs'!$B$6),ISNUMBER('Inputs'!$B$7),ISNUMBER('Inputs'!$B$8),ISNUMBER('Inputs'!$B$9),ISNUMBER('Inputs'!$B$10),ISNUMBER('Inputs'!$B$21),ISNUMBER('Inputs'!$B$24),ISNUMBER('Inputs'!$B$28)),((('Results'!B7*(1-'Inputs'!$B$24)*(0.5*((((587-43)*MAX('Inputs'!$B$33,'Inputs'!$B$29+'Inputs'!$B$31+'Inputs'!$B$32,'Inputs'!$B$30+'Inputs'!$B$31+'Inputs'!$B$32)/1000+'Inputs'!$B$21)+'Inputs'!$B$7)/SQRT((((587-43)*MAX('Inputs'!$B$33,'Inputs'!$B$29+'Inputs'!$B$31+'Inputs'!$B$32,'Inputs'!$B$30+'Inputs'!$B$31+'Inputs'!$B$32)/1000+'Inputs'!$B$21)+'Inputs'!$B$7)^2+('Inputs'!$B$6/2)^2)-(((587-43)*MAX('Inputs'!$B$33,'Inputs'!$B$29+'Inputs'!$B$31+'Inputs'!$B$32,'Inputs'!$B$30+'Inputs'!$B$31+'Inputs'!$B$32)/1000+'Inputs'!$B$21))/SQRT((((587-43)*MAX('Inputs'!$B$33,'Inputs'!$B$29+'Inputs'!$B$31+'Inputs'!$B$32,'Inputs'!$B$30+'Inputs'!$B$31+'Inputs'!$B$32)/1000+'Inputs'!$B$21))^2+('Inputs'!$B$6/2)^2)))-'Results'!C7*(1+'Inputs'!$B$24)*(0.5*((((587-43)*MAX('Inputs'!$B$33,'Inputs'!$B$29+'Inputs'!$B$31+'Inputs'!$B$32,'Inputs'!$B$30+'Inputs'!$B$31+'Inputs'!$B$32)/1000+'Inputs'!$B$21+'Inputs'!$B$7+'Inputs'!$B$10)+'Inputs'!$B$9)/SQRT((((587-43)*MAX('Inputs'!$B$33,'Inputs'!$B$29+'Inputs'!$B$31+'Inputs'!$B$32,'Inputs'!$B$30+'Inputs'!$B$31+'Inputs'!$B$32)/1000+'Inputs'!$B$21+'Inputs'!$B$7+'Inputs'!$B$10)+'Inputs'!$B$9)^2+('Inputs'!$B$8/2)^2)-(((587-43)*MAX('Inputs'!$B$33,'Inputs'!$B$29+'Inputs'!$B$31+'Inputs'!$B$32,'Inputs'!$B$30+'Inputs'!$B$31+'Inputs'!$B$32)/1000+'Inputs'!$B$21+'Inputs'!$B$7+'Inputs'!$B$10))/SQRT((((587-43)*MAX('Inputs'!$B$33,'Inputs'!$B$29+'Inputs'!$B$31+'Inputs'!$B$32,'Inputs'!$B$30+'Inputs'!$B$31+'Inputs'!$B$32)/1000+'Inputs'!$B$21+'Inputs'!$B$7+'Inputs'!$B$10))^2+('Inputs'!$B$8/2)^2))))*'Results'!$B$8)-'Inputs'!$B$28*ABS((('Results'!B7*(1-'Inputs'!$B$24)*(0.5*((((587-43)*MAX('Inputs'!$B$33,'Inputs'!$B$29+'Inputs'!$B$31+'Inputs'!$B$32,'Inputs'!$B$30+'Inputs'!$B$31+'Inputs'!$B$32)/1000+'Inputs'!$B$21)+'Inputs'!$B$7)/SQRT((((587-43)*MAX('Inputs'!$B$33,'Inputs'!$B$29+'Inputs'!$B$31+'Inputs'!$B$32,'Inputs'!$B$30+'Inputs'!$B$31+'Inputs'!$B$32)/1000+'Inputs'!$B$21)+'Inputs'!$B$7)^2+('Inputs'!$B$6/2)^2)-(((587-43)*MAX('Inputs'!$B$33,'Inputs'!$B$29+'Inputs'!$B$31+'Inputs'!$B$32,'Inputs'!$B$30+'Inputs'!$B$31+'Inputs'!$B$32)/1000+'Inputs'!$B$21))/SQRT((((587-43)*MAX('Inputs'!$B$33,'Inputs'!$B$29+'Inputs'!$B$31+'Inputs'!$B$32,'Inputs'!$B$30+'Inputs'!$B$31+'Inputs'!$B$32)/1000+'Inputs'!$B$21))^2+('Inputs'!$B$6/2)^2)))-'Results'!C7*(1+'Inputs'!$B$24)*(0.5*((((587-43)*MAX('Inputs'!$B$33,'Inputs'!$B$29+'Inputs'!$B$31+'Inputs'!$B$32,'Inputs'!$B$30+'Inputs'!$B$31+'Inputs'!$B$32)/1000+'Inputs'!$B$21+'Inputs'!$B$7+'Inputs'!$B$10)+'Inputs'!$B$9)/SQRT((((587-43)*MAX('Inputs'!$B$33,'Inputs'!$B$29+'Inputs'!$B$31+'Inputs'!$B$32,'Inputs'!$B$30+'Inputs'!$B$31+'Inputs'!$B$32)/1000+'Inputs'!$B$21+'Inputs'!$B$7+'Inputs'!$B$10)+'Inputs'!$B$9)^2+('Inputs'!$B$8/2)^2)-(((587-43)*MAX('Inputs'!$B$33,'Inputs'!$B$29+'Inputs'!$B$31+'Inputs'!$B$32,'Inputs'!$B$30+'Inputs'!$B$31+'Inputs'!$B$32)/1000+'Inputs'!$B$21+'Inputs'!$B$7+'Inputs'!$B$10))/SQRT((((587-43)*MAX('Inputs'!$B$33,'Inputs'!$B$29+'Inputs'!$B$31+'Inputs'!$B$32,'Inputs'!$B$30+'Inputs'!$B$31+'Inputs'!$B$32)/1000+'Inputs'!$B$21+'Inputs'!$B$7+'Inputs'!$B$10))^2+('Inputs'!$B$8/2)^2))))*'Results'!$B$8))),"")</x:f>
        <x:v>2.756714001284683</x:v>
      </x:c>
      <x:c r="L587" t="n">
        <x:f>IF(AND(ISNUMBER('Results'!B7),ISNUMBER('Results'!C7),ISNUMBER('Results'!$B$8),ISNUMBER('Inputs'!$B$6),ISNUMBER('Inputs'!$B$7),ISNUMBER('Inputs'!$B$8),ISNUMBER('Inputs'!$B$9),ISNUMBER('Inputs'!$B$10),ISNUMBER('Inputs'!$B$21),ISNUMBER('Inputs'!$B$24),ISNUMBER('Inputs'!$B$28)),((('Results'!B7*(1+'Inputs'!$B$24)*(0.5*((((587-43)*MAX('Inputs'!$B$33,'Inputs'!$B$29+'Inputs'!$B$31+'Inputs'!$B$32,'Inputs'!$B$30+'Inputs'!$B$31+'Inputs'!$B$32)/1000+'Inputs'!$B$21)+'Inputs'!$B$7)/SQRT((((587-43)*MAX('Inputs'!$B$33,'Inputs'!$B$29+'Inputs'!$B$31+'Inputs'!$B$32,'Inputs'!$B$30+'Inputs'!$B$31+'Inputs'!$B$32)/1000+'Inputs'!$B$21)+'Inputs'!$B$7)^2+('Inputs'!$B$6/2)^2)-(((587-43)*MAX('Inputs'!$B$33,'Inputs'!$B$29+'Inputs'!$B$31+'Inputs'!$B$32,'Inputs'!$B$30+'Inputs'!$B$31+'Inputs'!$B$32)/1000+'Inputs'!$B$21))/SQRT((((587-43)*MAX('Inputs'!$B$33,'Inputs'!$B$29+'Inputs'!$B$31+'Inputs'!$B$32,'Inputs'!$B$30+'Inputs'!$B$31+'Inputs'!$B$32)/1000+'Inputs'!$B$21))^2+('Inputs'!$B$6/2)^2)))-'Results'!C7*(1-'Inputs'!$B$24)*(0.5*((((587-43)*MAX('Inputs'!$B$33,'Inputs'!$B$29+'Inputs'!$B$31+'Inputs'!$B$32,'Inputs'!$B$30+'Inputs'!$B$31+'Inputs'!$B$32)/1000+'Inputs'!$B$21+'Inputs'!$B$7+'Inputs'!$B$10)+'Inputs'!$B$9)/SQRT((((587-43)*MAX('Inputs'!$B$33,'Inputs'!$B$29+'Inputs'!$B$31+'Inputs'!$B$32,'Inputs'!$B$30+'Inputs'!$B$31+'Inputs'!$B$32)/1000+'Inputs'!$B$21+'Inputs'!$B$7+'Inputs'!$B$10)+'Inputs'!$B$9)^2+('Inputs'!$B$8/2)^2)-(((587-43)*MAX('Inputs'!$B$33,'Inputs'!$B$29+'Inputs'!$B$31+'Inputs'!$B$32,'Inputs'!$B$30+'Inputs'!$B$31+'Inputs'!$B$32)/1000+'Inputs'!$B$21+'Inputs'!$B$7+'Inputs'!$B$10))/SQRT((((587-43)*MAX('Inputs'!$B$33,'Inputs'!$B$29+'Inputs'!$B$31+'Inputs'!$B$32,'Inputs'!$B$30+'Inputs'!$B$31+'Inputs'!$B$32)/1000+'Inputs'!$B$21+'Inputs'!$B$7+'Inputs'!$B$10))^2+('Inputs'!$B$8/2)^2))))*'Results'!$B$8)+'Inputs'!$B$28*ABS((('Results'!B7*(1+'Inputs'!$B$24)*(0.5*((((587-43)*MAX('Inputs'!$B$33,'Inputs'!$B$29+'Inputs'!$B$31+'Inputs'!$B$32,'Inputs'!$B$30+'Inputs'!$B$31+'Inputs'!$B$32)/1000+'Inputs'!$B$21)+'Inputs'!$B$7)/SQRT((((587-43)*MAX('Inputs'!$B$33,'Inputs'!$B$29+'Inputs'!$B$31+'Inputs'!$B$32,'Inputs'!$B$30+'Inputs'!$B$31+'Inputs'!$B$32)/1000+'Inputs'!$B$21)+'Inputs'!$B$7)^2+('Inputs'!$B$6/2)^2)-(((587-43)*MAX('Inputs'!$B$33,'Inputs'!$B$29+'Inputs'!$B$31+'Inputs'!$B$32,'Inputs'!$B$30+'Inputs'!$B$31+'Inputs'!$B$32)/1000+'Inputs'!$B$21))/SQRT((((587-43)*MAX('Inputs'!$B$33,'Inputs'!$B$29+'Inputs'!$B$31+'Inputs'!$B$32,'Inputs'!$B$30+'Inputs'!$B$31+'Inputs'!$B$32)/1000+'Inputs'!$B$21))^2+('Inputs'!$B$6/2)^2)))-'Results'!C7*(1-'Inputs'!$B$24)*(0.5*((((587-43)*MAX('Inputs'!$B$33,'Inputs'!$B$29+'Inputs'!$B$31+'Inputs'!$B$32,'Inputs'!$B$30+'Inputs'!$B$31+'Inputs'!$B$32)/1000+'Inputs'!$B$21+'Inputs'!$B$7+'Inputs'!$B$10)+'Inputs'!$B$9)/SQRT((((587-43)*MAX('Inputs'!$B$33,'Inputs'!$B$29+'Inputs'!$B$31+'Inputs'!$B$32,'Inputs'!$B$30+'Inputs'!$B$31+'Inputs'!$B$32)/1000+'Inputs'!$B$21+'Inputs'!$B$7+'Inputs'!$B$10)+'Inputs'!$B$9)^2+('Inputs'!$B$8/2)^2)-(((587-43)*MAX('Inputs'!$B$33,'Inputs'!$B$29+'Inputs'!$B$31+'Inputs'!$B$32,'Inputs'!$B$30+'Inputs'!$B$31+'Inputs'!$B$32)/1000+'Inputs'!$B$21+'Inputs'!$B$7+'Inputs'!$B$10))/SQRT((((587-43)*MAX('Inputs'!$B$33,'Inputs'!$B$29+'Inputs'!$B$31+'Inputs'!$B$32,'Inputs'!$B$30+'Inputs'!$B$31+'Inputs'!$B$32)/1000+'Inputs'!$B$21+'Inputs'!$B$7+'Inputs'!$B$10))^2+('Inputs'!$B$8/2)^2))))*'Results'!$B$8))),"")</x:f>
        <x:v>3.5224291473675264</x:v>
      </x:c>
      <x:c r="M587" t="n">
        <x:f>IF(AND(ISNUMBER('Results'!C7),ISNUMBER('Results'!B7),ISNUMBER('Results'!$B$8),ISNUMBER('Inputs'!$B$6),ISNUMBER('Inputs'!$B$7),ISNUMBER('Inputs'!$B$8),ISNUMBER('Inputs'!$B$9),ISNUMBER('Inputs'!$B$10),ISNUMBER('Inputs'!$B$21),ISNUMBER('Inputs'!$B$24),ISNUMBER('Inputs'!$B$28)),(('Results'!C7*(0.5*((((587-43)*MAX('Inputs'!$B$33,'Inputs'!$B$29+'Inputs'!$B$31+'Inputs'!$B$32,'Inputs'!$B$30+'Inputs'!$B$31+'Inputs'!$B$32)/1000+'Inputs'!$B$21)+'Inputs'!$B$9)/SQRT((((587-43)*MAX('Inputs'!$B$33,'Inputs'!$B$29+'Inputs'!$B$31+'Inputs'!$B$32,'Inputs'!$B$30+'Inputs'!$B$31+'Inputs'!$B$32)/1000+'Inputs'!$B$21)+'Inputs'!$B$9)^2+('Inputs'!$B$8/2)^2)-(((587-43)*MAX('Inputs'!$B$33,'Inputs'!$B$29+'Inputs'!$B$31+'Inputs'!$B$32,'Inputs'!$B$30+'Inputs'!$B$31+'Inputs'!$B$32)/1000+'Inputs'!$B$21))/SQRT((((587-43)*MAX('Inputs'!$B$33,'Inputs'!$B$29+'Inputs'!$B$31+'Inputs'!$B$32,'Inputs'!$B$30+'Inputs'!$B$31+'Inputs'!$B$32)/1000+'Inputs'!$B$21))^2+('Inputs'!$B$8/2)^2)))-'Results'!B7*(0.5*((((587-43)*MAX('Inputs'!$B$33,'Inputs'!$B$29+'Inputs'!$B$31+'Inputs'!$B$32,'Inputs'!$B$30+'Inputs'!$B$31+'Inputs'!$B$32)/1000+'Inputs'!$B$21+'Inputs'!$B$9+'Inputs'!$B$10)+'Inputs'!$B$7)/SQRT((((587-43)*MAX('Inputs'!$B$33,'Inputs'!$B$29+'Inputs'!$B$31+'Inputs'!$B$32,'Inputs'!$B$30+'Inputs'!$B$31+'Inputs'!$B$32)/1000+'Inputs'!$B$21+'Inputs'!$B$9+'Inputs'!$B$10)+'Inputs'!$B$7)^2+('Inputs'!$B$6/2)^2)-(((587-43)*MAX('Inputs'!$B$33,'Inputs'!$B$29+'Inputs'!$B$31+'Inputs'!$B$32,'Inputs'!$B$30+'Inputs'!$B$31+'Inputs'!$B$32)/1000+'Inputs'!$B$21+'Inputs'!$B$9+'Inputs'!$B$10))/SQRT((((587-43)*MAX('Inputs'!$B$33,'Inputs'!$B$29+'Inputs'!$B$31+'Inputs'!$B$32,'Inputs'!$B$30+'Inputs'!$B$31+'Inputs'!$B$32)/1000+'Inputs'!$B$21+'Inputs'!$B$9+'Inputs'!$B$10))^2+('Inputs'!$B$6/2)^2))))*'Results'!$B$8),"")</x:f>
        <x:v>2.900131965748885</x:v>
      </x:c>
      <x:c r="N587" t="n">
        <x:f>IF(AND(ISNUMBER('Results'!C7),ISNUMBER('Results'!B7),ISNUMBER('Results'!$B$8),ISNUMBER('Inputs'!$B$6),ISNUMBER('Inputs'!$B$7),ISNUMBER('Inputs'!$B$8),ISNUMBER('Inputs'!$B$9),ISNUMBER('Inputs'!$B$10),ISNUMBER('Inputs'!$B$21),ISNUMBER('Inputs'!$B$24),ISNUMBER('Inputs'!$B$28)),((('Results'!C7*(1-'Inputs'!$B$24)*(0.5*((((587-43)*MAX('Inputs'!$B$33,'Inputs'!$B$29+'Inputs'!$B$31+'Inputs'!$B$32,'Inputs'!$B$30+'Inputs'!$B$31+'Inputs'!$B$32)/1000+'Inputs'!$B$21)+'Inputs'!$B$9)/SQRT((((587-43)*MAX('Inputs'!$B$33,'Inputs'!$B$29+'Inputs'!$B$31+'Inputs'!$B$32,'Inputs'!$B$30+'Inputs'!$B$31+'Inputs'!$B$32)/1000+'Inputs'!$B$21)+'Inputs'!$B$9)^2+('Inputs'!$B$8/2)^2)-(((587-43)*MAX('Inputs'!$B$33,'Inputs'!$B$29+'Inputs'!$B$31+'Inputs'!$B$32,'Inputs'!$B$30+'Inputs'!$B$31+'Inputs'!$B$32)/1000+'Inputs'!$B$21))/SQRT((((587-43)*MAX('Inputs'!$B$33,'Inputs'!$B$29+'Inputs'!$B$31+'Inputs'!$B$32,'Inputs'!$B$30+'Inputs'!$B$31+'Inputs'!$B$32)/1000+'Inputs'!$B$21))^2+('Inputs'!$B$8/2)^2)))-'Results'!B7*(1+'Inputs'!$B$24)*(0.5*((((587-43)*MAX('Inputs'!$B$33,'Inputs'!$B$29+'Inputs'!$B$31+'Inputs'!$B$32,'Inputs'!$B$30+'Inputs'!$B$31+'Inputs'!$B$32)/1000+'Inputs'!$B$21+'Inputs'!$B$9+'Inputs'!$B$10)+'Inputs'!$B$7)/SQRT((((587-43)*MAX('Inputs'!$B$33,'Inputs'!$B$29+'Inputs'!$B$31+'Inputs'!$B$32,'Inputs'!$B$30+'Inputs'!$B$31+'Inputs'!$B$32)/1000+'Inputs'!$B$21+'Inputs'!$B$9+'Inputs'!$B$10)+'Inputs'!$B$7)^2+('Inputs'!$B$6/2)^2)-(((587-43)*MAX('Inputs'!$B$33,'Inputs'!$B$29+'Inputs'!$B$31+'Inputs'!$B$32,'Inputs'!$B$30+'Inputs'!$B$31+'Inputs'!$B$32)/1000+'Inputs'!$B$21+'Inputs'!$B$9+'Inputs'!$B$10))/SQRT((((587-43)*MAX('Inputs'!$B$33,'Inputs'!$B$29+'Inputs'!$B$31+'Inputs'!$B$32,'Inputs'!$B$30+'Inputs'!$B$31+'Inputs'!$B$32)/1000+'Inputs'!$B$21+'Inputs'!$B$9+'Inputs'!$B$10))^2+('Inputs'!$B$6/2)^2))))*'Results'!$B$8)-'Inputs'!$B$28*ABS((('Results'!C7*(1-'Inputs'!$B$24)*(0.5*((((587-43)*MAX('Inputs'!$B$33,'Inputs'!$B$29+'Inputs'!$B$31+'Inputs'!$B$32,'Inputs'!$B$30+'Inputs'!$B$31+'Inputs'!$B$32)/1000+'Inputs'!$B$21)+'Inputs'!$B$9)/SQRT((((587-43)*MAX('Inputs'!$B$33,'Inputs'!$B$29+'Inputs'!$B$31+'Inputs'!$B$32,'Inputs'!$B$30+'Inputs'!$B$31+'Inputs'!$B$32)/1000+'Inputs'!$B$21)+'Inputs'!$B$9)^2+('Inputs'!$B$8/2)^2)-(((587-43)*MAX('Inputs'!$B$33,'Inputs'!$B$29+'Inputs'!$B$31+'Inputs'!$B$32,'Inputs'!$B$30+'Inputs'!$B$31+'Inputs'!$B$32)/1000+'Inputs'!$B$21))/SQRT((((587-43)*MAX('Inputs'!$B$33,'Inputs'!$B$29+'Inputs'!$B$31+'Inputs'!$B$32,'Inputs'!$B$30+'Inputs'!$B$31+'Inputs'!$B$32)/1000+'Inputs'!$B$21))^2+('Inputs'!$B$8/2)^2)))-'Results'!B7*(1+'Inputs'!$B$24)*(0.5*((((587-43)*MAX('Inputs'!$B$33,'Inputs'!$B$29+'Inputs'!$B$31+'Inputs'!$B$32,'Inputs'!$B$30+'Inputs'!$B$31+'Inputs'!$B$32)/1000+'Inputs'!$B$21+'Inputs'!$B$9+'Inputs'!$B$10)+'Inputs'!$B$7)/SQRT((((587-43)*MAX('Inputs'!$B$33,'Inputs'!$B$29+'Inputs'!$B$31+'Inputs'!$B$32,'Inputs'!$B$30+'Inputs'!$B$31+'Inputs'!$B$32)/1000+'Inputs'!$B$21+'Inputs'!$B$9+'Inputs'!$B$10)+'Inputs'!$B$7)^2+('Inputs'!$B$6/2)^2)-(((587-43)*MAX('Inputs'!$B$33,'Inputs'!$B$29+'Inputs'!$B$31+'Inputs'!$B$32,'Inputs'!$B$30+'Inputs'!$B$31+'Inputs'!$B$32)/1000+'Inputs'!$B$21+'Inputs'!$B$9+'Inputs'!$B$10))/SQRT((((587-43)*MAX('Inputs'!$B$33,'Inputs'!$B$29+'Inputs'!$B$31+'Inputs'!$B$32,'Inputs'!$B$30+'Inputs'!$B$31+'Inputs'!$B$32)/1000+'Inputs'!$B$21+'Inputs'!$B$9+'Inputs'!$B$10))^2+('Inputs'!$B$6/2)^2))))*'Results'!$B$8))),"")</x:f>
        <x:v>2.54115947778798</x:v>
      </x:c>
      <x:c r="O587" t="n">
        <x:f>IF(AND(ISNUMBER('Results'!C7),ISNUMBER('Results'!B7),ISNUMBER('Results'!$B$8),ISNUMBER('Inputs'!$B$6),ISNUMBER('Inputs'!$B$7),ISNUMBER('Inputs'!$B$8),ISNUMBER('Inputs'!$B$9),ISNUMBER('Inputs'!$B$10),ISNUMBER('Inputs'!$B$21),ISNUMBER('Inputs'!$B$24),ISNUMBER('Inputs'!$B$28)),((('Results'!C7*(1+'Inputs'!$B$24)*(0.5*((((587-43)*MAX('Inputs'!$B$33,'Inputs'!$B$29+'Inputs'!$B$31+'Inputs'!$B$32,'Inputs'!$B$30+'Inputs'!$B$31+'Inputs'!$B$32)/1000+'Inputs'!$B$21)+'Inputs'!$B$9)/SQRT((((587-43)*MAX('Inputs'!$B$33,'Inputs'!$B$29+'Inputs'!$B$31+'Inputs'!$B$32,'Inputs'!$B$30+'Inputs'!$B$31+'Inputs'!$B$32)/1000+'Inputs'!$B$21)+'Inputs'!$B$9)^2+('Inputs'!$B$8/2)^2)-(((587-43)*MAX('Inputs'!$B$33,'Inputs'!$B$29+'Inputs'!$B$31+'Inputs'!$B$32,'Inputs'!$B$30+'Inputs'!$B$31+'Inputs'!$B$32)/1000+'Inputs'!$B$21))/SQRT((((587-43)*MAX('Inputs'!$B$33,'Inputs'!$B$29+'Inputs'!$B$31+'Inputs'!$B$32,'Inputs'!$B$30+'Inputs'!$B$31+'Inputs'!$B$32)/1000+'Inputs'!$B$21))^2+('Inputs'!$B$8/2)^2)))-'Results'!B7*(1-'Inputs'!$B$24)*(0.5*((((587-43)*MAX('Inputs'!$B$33,'Inputs'!$B$29+'Inputs'!$B$31+'Inputs'!$B$32,'Inputs'!$B$30+'Inputs'!$B$31+'Inputs'!$B$32)/1000+'Inputs'!$B$21+'Inputs'!$B$9+'Inputs'!$B$10)+'Inputs'!$B$7)/SQRT((((587-43)*MAX('Inputs'!$B$33,'Inputs'!$B$29+'Inputs'!$B$31+'Inputs'!$B$32,'Inputs'!$B$30+'Inputs'!$B$31+'Inputs'!$B$32)/1000+'Inputs'!$B$21+'Inputs'!$B$9+'Inputs'!$B$10)+'Inputs'!$B$7)^2+('Inputs'!$B$6/2)^2)-(((587-43)*MAX('Inputs'!$B$33,'Inputs'!$B$29+'Inputs'!$B$31+'Inputs'!$B$32,'Inputs'!$B$30+'Inputs'!$B$31+'Inputs'!$B$32)/1000+'Inputs'!$B$21+'Inputs'!$B$9+'Inputs'!$B$10))/SQRT((((587-43)*MAX('Inputs'!$B$33,'Inputs'!$B$29+'Inputs'!$B$31+'Inputs'!$B$32,'Inputs'!$B$30+'Inputs'!$B$31+'Inputs'!$B$32)/1000+'Inputs'!$B$21+'Inputs'!$B$9+'Inputs'!$B$10))^2+('Inputs'!$B$6/2)^2))))*'Results'!$B$8)+'Inputs'!$B$28*ABS((('Results'!C7*(1+'Inputs'!$B$24)*(0.5*((((587-43)*MAX('Inputs'!$B$33,'Inputs'!$B$29+'Inputs'!$B$31+'Inputs'!$B$32,'Inputs'!$B$30+'Inputs'!$B$31+'Inputs'!$B$32)/1000+'Inputs'!$B$21)+'Inputs'!$B$9)/SQRT((((587-43)*MAX('Inputs'!$B$33,'Inputs'!$B$29+'Inputs'!$B$31+'Inputs'!$B$32,'Inputs'!$B$30+'Inputs'!$B$31+'Inputs'!$B$32)/1000+'Inputs'!$B$21)+'Inputs'!$B$9)^2+('Inputs'!$B$8/2)^2)-(((587-43)*MAX('Inputs'!$B$33,'Inputs'!$B$29+'Inputs'!$B$31+'Inputs'!$B$32,'Inputs'!$B$30+'Inputs'!$B$31+'Inputs'!$B$32)/1000+'Inputs'!$B$21))/SQRT((((587-43)*MAX('Inputs'!$B$33,'Inputs'!$B$29+'Inputs'!$B$31+'Inputs'!$B$32,'Inputs'!$B$30+'Inputs'!$B$31+'Inputs'!$B$32)/1000+'Inputs'!$B$21))^2+('Inputs'!$B$8/2)^2)))-'Results'!B7*(1-'Inputs'!$B$24)*(0.5*((((587-43)*MAX('Inputs'!$B$33,'Inputs'!$B$29+'Inputs'!$B$31+'Inputs'!$B$32,'Inputs'!$B$30+'Inputs'!$B$31+'Inputs'!$B$32)/1000+'Inputs'!$B$21+'Inputs'!$B$9+'Inputs'!$B$10)+'Inputs'!$B$7)/SQRT((((587-43)*MAX('Inputs'!$B$33,'Inputs'!$B$29+'Inputs'!$B$31+'Inputs'!$B$32,'Inputs'!$B$30+'Inputs'!$B$31+'Inputs'!$B$32)/1000+'Inputs'!$B$21+'Inputs'!$B$9+'Inputs'!$B$10)+'Inputs'!$B$7)^2+('Inputs'!$B$6/2)^2)-(((587-43)*MAX('Inputs'!$B$33,'Inputs'!$B$29+'Inputs'!$B$31+'Inputs'!$B$32,'Inputs'!$B$30+'Inputs'!$B$31+'Inputs'!$B$32)/1000+'Inputs'!$B$21+'Inputs'!$B$9+'Inputs'!$B$10))/SQRT((((587-43)*MAX('Inputs'!$B$33,'Inputs'!$B$29+'Inputs'!$B$31+'Inputs'!$B$32,'Inputs'!$B$30+'Inputs'!$B$31+'Inputs'!$B$32)/1000+'Inputs'!$B$21+'Inputs'!$B$9+'Inputs'!$B$10))^2+('Inputs'!$B$6/2)^2))))*'Results'!$B$8))),"")</x:f>
        <x:v>3.2816271789385767</x:v>
      </x:c>
      <x:c r="P587" t="n">
        <x:f>IF(AND(MAX(J587,J586)&gt;0,J587&gt;J586+0.00000001),1,0)</x:f>
        <x:v>0</x:v>
      </x:c>
      <x:c r="Q587" t="n">
        <x:f>IF(AND(MAX(K587,K586)&gt;0,K587&gt;K586+0.00000001),1,0)</x:f>
        <x:v>0</x:v>
      </x:c>
      <x:c r="R587" t="n">
        <x:f>IF(AND(MAX(L587,L586)&gt;0,L587&gt;L586+0.00000001),1,0)</x:f>
        <x:v>0</x:v>
      </x:c>
      <x:c r="S587" t="n">
        <x:f>IF(AND(MAX(M587,M586)&gt;0,M587&gt;M586+0.00000001),1,0)</x:f>
        <x:v>0</x:v>
      </x:c>
      <x:c r="T587" t="n">
        <x:f>IF(AND(MAX(N587,N586)&gt;0,N587&gt;N586+0.00000001),1,0)</x:f>
        <x:v>0</x:v>
      </x:c>
      <x:c r="U587" t="n">
        <x:f>IF(AND(MAX(O587,O586)&gt;0,O587&gt;O586+0.00000001),1,0)</x:f>
        <x:v>0</x:v>
      </x:c>
    </x:row>
    <x:row r="588">
      <x:c r="J588" t="n">
        <x:f>IF(AND(ISNUMBER('Results'!B7),ISNUMBER('Results'!C7),ISNUMBER('Results'!$B$8),ISNUMBER('Inputs'!$B$6),ISNUMBER('Inputs'!$B$7),ISNUMBER('Inputs'!$B$8),ISNUMBER('Inputs'!$B$9),ISNUMBER('Inputs'!$B$10),ISNUMBER('Inputs'!$B$21),ISNUMBER('Inputs'!$B$24),ISNUMBER('Inputs'!$B$28)),(('Results'!B7*(0.5*((((588-43)*MAX('Inputs'!$B$33,'Inputs'!$B$29+'Inputs'!$B$31+'Inputs'!$B$32,'Inputs'!$B$30+'Inputs'!$B$31+'Inputs'!$B$32)/1000+'Inputs'!$B$21)+'Inputs'!$B$7)/SQRT((((588-43)*MAX('Inputs'!$B$33,'Inputs'!$B$29+'Inputs'!$B$31+'Inputs'!$B$32,'Inputs'!$B$30+'Inputs'!$B$31+'Inputs'!$B$32)/1000+'Inputs'!$B$21)+'Inputs'!$B$7)^2+('Inputs'!$B$6/2)^2)-(((588-43)*MAX('Inputs'!$B$33,'Inputs'!$B$29+'Inputs'!$B$31+'Inputs'!$B$32,'Inputs'!$B$30+'Inputs'!$B$31+'Inputs'!$B$32)/1000+'Inputs'!$B$21))/SQRT((((588-43)*MAX('Inputs'!$B$33,'Inputs'!$B$29+'Inputs'!$B$31+'Inputs'!$B$32,'Inputs'!$B$30+'Inputs'!$B$31+'Inputs'!$B$32)/1000+'Inputs'!$B$21))^2+('Inputs'!$B$6/2)^2)))-'Results'!C7*(0.5*((((588-43)*MAX('Inputs'!$B$33,'Inputs'!$B$29+'Inputs'!$B$31+'Inputs'!$B$32,'Inputs'!$B$30+'Inputs'!$B$31+'Inputs'!$B$32)/1000+'Inputs'!$B$21+'Inputs'!$B$7+'Inputs'!$B$10)+'Inputs'!$B$9)/SQRT((((588-43)*MAX('Inputs'!$B$33,'Inputs'!$B$29+'Inputs'!$B$31+'Inputs'!$B$32,'Inputs'!$B$30+'Inputs'!$B$31+'Inputs'!$B$32)/1000+'Inputs'!$B$21+'Inputs'!$B$7+'Inputs'!$B$10)+'Inputs'!$B$9)^2+('Inputs'!$B$8/2)^2)-(((588-43)*MAX('Inputs'!$B$33,'Inputs'!$B$29+'Inputs'!$B$31+'Inputs'!$B$32,'Inputs'!$B$30+'Inputs'!$B$31+'Inputs'!$B$32)/1000+'Inputs'!$B$21+'Inputs'!$B$7+'Inputs'!$B$10))/SQRT((((588-43)*MAX('Inputs'!$B$33,'Inputs'!$B$29+'Inputs'!$B$31+'Inputs'!$B$32,'Inputs'!$B$30+'Inputs'!$B$31+'Inputs'!$B$32)/1000+'Inputs'!$B$21+'Inputs'!$B$7+'Inputs'!$B$10))^2+('Inputs'!$B$8/2)^2))))*'Results'!$B$8),"")</x:f>
        <x:v>3.10846316764686</x:v>
      </x:c>
      <x:c r="K588" t="n">
        <x:f>IF(AND(ISNUMBER('Results'!B7),ISNUMBER('Results'!C7),ISNUMBER('Results'!$B$8),ISNUMBER('Inputs'!$B$6),ISNUMBER('Inputs'!$B$7),ISNUMBER('Inputs'!$B$8),ISNUMBER('Inputs'!$B$9),ISNUMBER('Inputs'!$B$10),ISNUMBER('Inputs'!$B$21),ISNUMBER('Inputs'!$B$24),ISNUMBER('Inputs'!$B$28)),((('Results'!B7*(1-'Inputs'!$B$24)*(0.5*((((588-43)*MAX('Inputs'!$B$33,'Inputs'!$B$29+'Inputs'!$B$31+'Inputs'!$B$32,'Inputs'!$B$30+'Inputs'!$B$31+'Inputs'!$B$32)/1000+'Inputs'!$B$21)+'Inputs'!$B$7)/SQRT((((588-43)*MAX('Inputs'!$B$33,'Inputs'!$B$29+'Inputs'!$B$31+'Inputs'!$B$32,'Inputs'!$B$30+'Inputs'!$B$31+'Inputs'!$B$32)/1000+'Inputs'!$B$21)+'Inputs'!$B$7)^2+('Inputs'!$B$6/2)^2)-(((588-43)*MAX('Inputs'!$B$33,'Inputs'!$B$29+'Inputs'!$B$31+'Inputs'!$B$32,'Inputs'!$B$30+'Inputs'!$B$31+'Inputs'!$B$32)/1000+'Inputs'!$B$21))/SQRT((((588-43)*MAX('Inputs'!$B$33,'Inputs'!$B$29+'Inputs'!$B$31+'Inputs'!$B$32,'Inputs'!$B$30+'Inputs'!$B$31+'Inputs'!$B$32)/1000+'Inputs'!$B$21))^2+('Inputs'!$B$6/2)^2)))-'Results'!C7*(1+'Inputs'!$B$24)*(0.5*((((588-43)*MAX('Inputs'!$B$33,'Inputs'!$B$29+'Inputs'!$B$31+'Inputs'!$B$32,'Inputs'!$B$30+'Inputs'!$B$31+'Inputs'!$B$32)/1000+'Inputs'!$B$21+'Inputs'!$B$7+'Inputs'!$B$10)+'Inputs'!$B$9)/SQRT((((588-43)*MAX('Inputs'!$B$33,'Inputs'!$B$29+'Inputs'!$B$31+'Inputs'!$B$32,'Inputs'!$B$30+'Inputs'!$B$31+'Inputs'!$B$32)/1000+'Inputs'!$B$21+'Inputs'!$B$7+'Inputs'!$B$10)+'Inputs'!$B$9)^2+('Inputs'!$B$8/2)^2)-(((588-43)*MAX('Inputs'!$B$33,'Inputs'!$B$29+'Inputs'!$B$31+'Inputs'!$B$32,'Inputs'!$B$30+'Inputs'!$B$31+'Inputs'!$B$32)/1000+'Inputs'!$B$21+'Inputs'!$B$7+'Inputs'!$B$10))/SQRT((((588-43)*MAX('Inputs'!$B$33,'Inputs'!$B$29+'Inputs'!$B$31+'Inputs'!$B$32,'Inputs'!$B$30+'Inputs'!$B$31+'Inputs'!$B$32)/1000+'Inputs'!$B$21+'Inputs'!$B$7+'Inputs'!$B$10))^2+('Inputs'!$B$8/2)^2))))*'Results'!$B$8)-'Inputs'!$B$28*ABS((('Results'!B7*(1-'Inputs'!$B$24)*(0.5*((((588-43)*MAX('Inputs'!$B$33,'Inputs'!$B$29+'Inputs'!$B$31+'Inputs'!$B$32,'Inputs'!$B$30+'Inputs'!$B$31+'Inputs'!$B$32)/1000+'Inputs'!$B$21)+'Inputs'!$B$7)/SQRT((((588-43)*MAX('Inputs'!$B$33,'Inputs'!$B$29+'Inputs'!$B$31+'Inputs'!$B$32,'Inputs'!$B$30+'Inputs'!$B$31+'Inputs'!$B$32)/1000+'Inputs'!$B$21)+'Inputs'!$B$7)^2+('Inputs'!$B$6/2)^2)-(((588-43)*MAX('Inputs'!$B$33,'Inputs'!$B$29+'Inputs'!$B$31+'Inputs'!$B$32,'Inputs'!$B$30+'Inputs'!$B$31+'Inputs'!$B$32)/1000+'Inputs'!$B$21))/SQRT((((588-43)*MAX('Inputs'!$B$33,'Inputs'!$B$29+'Inputs'!$B$31+'Inputs'!$B$32,'Inputs'!$B$30+'Inputs'!$B$31+'Inputs'!$B$32)/1000+'Inputs'!$B$21))^2+('Inputs'!$B$6/2)^2)))-'Results'!C7*(1+'Inputs'!$B$24)*(0.5*((((588-43)*MAX('Inputs'!$B$33,'Inputs'!$B$29+'Inputs'!$B$31+'Inputs'!$B$32,'Inputs'!$B$30+'Inputs'!$B$31+'Inputs'!$B$32)/1000+'Inputs'!$B$21+'Inputs'!$B$7+'Inputs'!$B$10)+'Inputs'!$B$9)/SQRT((((588-43)*MAX('Inputs'!$B$33,'Inputs'!$B$29+'Inputs'!$B$31+'Inputs'!$B$32,'Inputs'!$B$30+'Inputs'!$B$31+'Inputs'!$B$32)/1000+'Inputs'!$B$21+'Inputs'!$B$7+'Inputs'!$B$10)+'Inputs'!$B$9)^2+('Inputs'!$B$8/2)^2)-(((588-43)*MAX('Inputs'!$B$33,'Inputs'!$B$29+'Inputs'!$B$31+'Inputs'!$B$32,'Inputs'!$B$30+'Inputs'!$B$31+'Inputs'!$B$32)/1000+'Inputs'!$B$21+'Inputs'!$B$7+'Inputs'!$B$10))/SQRT((((588-43)*MAX('Inputs'!$B$33,'Inputs'!$B$29+'Inputs'!$B$31+'Inputs'!$B$32,'Inputs'!$B$30+'Inputs'!$B$31+'Inputs'!$B$32)/1000+'Inputs'!$B$21+'Inputs'!$B$7+'Inputs'!$B$10))^2+('Inputs'!$B$8/2)^2))))*'Results'!$B$8))),"")</x:f>
        <x:v>2.7389709102176902</x:v>
      </x:c>
      <x:c r="L588" t="n">
        <x:f>IF(AND(ISNUMBER('Results'!B7),ISNUMBER('Results'!C7),ISNUMBER('Results'!$B$8),ISNUMBER('Inputs'!$B$6),ISNUMBER('Inputs'!$B$7),ISNUMBER('Inputs'!$B$8),ISNUMBER('Inputs'!$B$9),ISNUMBER('Inputs'!$B$10),ISNUMBER('Inputs'!$B$21),ISNUMBER('Inputs'!$B$24),ISNUMBER('Inputs'!$B$28)),((('Results'!B7*(1+'Inputs'!$B$24)*(0.5*((((588-43)*MAX('Inputs'!$B$33,'Inputs'!$B$29+'Inputs'!$B$31+'Inputs'!$B$32,'Inputs'!$B$30+'Inputs'!$B$31+'Inputs'!$B$32)/1000+'Inputs'!$B$21)+'Inputs'!$B$7)/SQRT((((588-43)*MAX('Inputs'!$B$33,'Inputs'!$B$29+'Inputs'!$B$31+'Inputs'!$B$32,'Inputs'!$B$30+'Inputs'!$B$31+'Inputs'!$B$32)/1000+'Inputs'!$B$21)+'Inputs'!$B$7)^2+('Inputs'!$B$6/2)^2)-(((588-43)*MAX('Inputs'!$B$33,'Inputs'!$B$29+'Inputs'!$B$31+'Inputs'!$B$32,'Inputs'!$B$30+'Inputs'!$B$31+'Inputs'!$B$32)/1000+'Inputs'!$B$21))/SQRT((((588-43)*MAX('Inputs'!$B$33,'Inputs'!$B$29+'Inputs'!$B$31+'Inputs'!$B$32,'Inputs'!$B$30+'Inputs'!$B$31+'Inputs'!$B$32)/1000+'Inputs'!$B$21))^2+('Inputs'!$B$6/2)^2)))-'Results'!C7*(1-'Inputs'!$B$24)*(0.5*((((588-43)*MAX('Inputs'!$B$33,'Inputs'!$B$29+'Inputs'!$B$31+'Inputs'!$B$32,'Inputs'!$B$30+'Inputs'!$B$31+'Inputs'!$B$32)/1000+'Inputs'!$B$21+'Inputs'!$B$7+'Inputs'!$B$10)+'Inputs'!$B$9)/SQRT((((588-43)*MAX('Inputs'!$B$33,'Inputs'!$B$29+'Inputs'!$B$31+'Inputs'!$B$32,'Inputs'!$B$30+'Inputs'!$B$31+'Inputs'!$B$32)/1000+'Inputs'!$B$21+'Inputs'!$B$7+'Inputs'!$B$10)+'Inputs'!$B$9)^2+('Inputs'!$B$8/2)^2)-(((588-43)*MAX('Inputs'!$B$33,'Inputs'!$B$29+'Inputs'!$B$31+'Inputs'!$B$32,'Inputs'!$B$30+'Inputs'!$B$31+'Inputs'!$B$32)/1000+'Inputs'!$B$21+'Inputs'!$B$7+'Inputs'!$B$10))/SQRT((((588-43)*MAX('Inputs'!$B$33,'Inputs'!$B$29+'Inputs'!$B$31+'Inputs'!$B$32,'Inputs'!$B$30+'Inputs'!$B$31+'Inputs'!$B$32)/1000+'Inputs'!$B$21+'Inputs'!$B$7+'Inputs'!$B$10))^2+('Inputs'!$B$8/2)^2))))*'Results'!$B$8)+'Inputs'!$B$28*ABS((('Results'!B7*(1+'Inputs'!$B$24)*(0.5*((((588-43)*MAX('Inputs'!$B$33,'Inputs'!$B$29+'Inputs'!$B$31+'Inputs'!$B$32,'Inputs'!$B$30+'Inputs'!$B$31+'Inputs'!$B$32)/1000+'Inputs'!$B$21)+'Inputs'!$B$7)/SQRT((((588-43)*MAX('Inputs'!$B$33,'Inputs'!$B$29+'Inputs'!$B$31+'Inputs'!$B$32,'Inputs'!$B$30+'Inputs'!$B$31+'Inputs'!$B$32)/1000+'Inputs'!$B$21)+'Inputs'!$B$7)^2+('Inputs'!$B$6/2)^2)-(((588-43)*MAX('Inputs'!$B$33,'Inputs'!$B$29+'Inputs'!$B$31+'Inputs'!$B$32,'Inputs'!$B$30+'Inputs'!$B$31+'Inputs'!$B$32)/1000+'Inputs'!$B$21))/SQRT((((588-43)*MAX('Inputs'!$B$33,'Inputs'!$B$29+'Inputs'!$B$31+'Inputs'!$B$32,'Inputs'!$B$30+'Inputs'!$B$31+'Inputs'!$B$32)/1000+'Inputs'!$B$21))^2+('Inputs'!$B$6/2)^2)))-'Results'!C7*(1-'Inputs'!$B$24)*(0.5*((((588-43)*MAX('Inputs'!$B$33,'Inputs'!$B$29+'Inputs'!$B$31+'Inputs'!$B$32,'Inputs'!$B$30+'Inputs'!$B$31+'Inputs'!$B$32)/1000+'Inputs'!$B$21+'Inputs'!$B$7+'Inputs'!$B$10)+'Inputs'!$B$9)/SQRT((((588-43)*MAX('Inputs'!$B$33,'Inputs'!$B$29+'Inputs'!$B$31+'Inputs'!$B$32,'Inputs'!$B$30+'Inputs'!$B$31+'Inputs'!$B$32)/1000+'Inputs'!$B$21+'Inputs'!$B$7+'Inputs'!$B$10)+'Inputs'!$B$9)^2+('Inputs'!$B$8/2)^2)-(((588-43)*MAX('Inputs'!$B$33,'Inputs'!$B$29+'Inputs'!$B$31+'Inputs'!$B$32,'Inputs'!$B$30+'Inputs'!$B$31+'Inputs'!$B$32)/1000+'Inputs'!$B$21+'Inputs'!$B$7+'Inputs'!$B$10))/SQRT((((588-43)*MAX('Inputs'!$B$33,'Inputs'!$B$29+'Inputs'!$B$31+'Inputs'!$B$32,'Inputs'!$B$30+'Inputs'!$B$31+'Inputs'!$B$32)/1000+'Inputs'!$B$21+'Inputs'!$B$7+'Inputs'!$B$10))^2+('Inputs'!$B$8/2)^2))))*'Results'!$B$8))),"")</x:f>
        <x:v>3.50048901444938</x:v>
      </x:c>
      <x:c r="M588" t="n">
        <x:f>IF(AND(ISNUMBER('Results'!C7),ISNUMBER('Results'!B7),ISNUMBER('Results'!$B$8),ISNUMBER('Inputs'!$B$6),ISNUMBER('Inputs'!$B$7),ISNUMBER('Inputs'!$B$8),ISNUMBER('Inputs'!$B$9),ISNUMBER('Inputs'!$B$10),ISNUMBER('Inputs'!$B$21),ISNUMBER('Inputs'!$B$24),ISNUMBER('Inputs'!$B$28)),(('Results'!C7*(0.5*((((588-43)*MAX('Inputs'!$B$33,'Inputs'!$B$29+'Inputs'!$B$31+'Inputs'!$B$32,'Inputs'!$B$30+'Inputs'!$B$31+'Inputs'!$B$32)/1000+'Inputs'!$B$21)+'Inputs'!$B$9)/SQRT((((588-43)*MAX('Inputs'!$B$33,'Inputs'!$B$29+'Inputs'!$B$31+'Inputs'!$B$32,'Inputs'!$B$30+'Inputs'!$B$31+'Inputs'!$B$32)/1000+'Inputs'!$B$21)+'Inputs'!$B$9)^2+('Inputs'!$B$8/2)^2)-(((588-43)*MAX('Inputs'!$B$33,'Inputs'!$B$29+'Inputs'!$B$31+'Inputs'!$B$32,'Inputs'!$B$30+'Inputs'!$B$31+'Inputs'!$B$32)/1000+'Inputs'!$B$21))/SQRT((((588-43)*MAX('Inputs'!$B$33,'Inputs'!$B$29+'Inputs'!$B$31+'Inputs'!$B$32,'Inputs'!$B$30+'Inputs'!$B$31+'Inputs'!$B$32)/1000+'Inputs'!$B$21))^2+('Inputs'!$B$8/2)^2)))-'Results'!B7*(0.5*((((588-43)*MAX('Inputs'!$B$33,'Inputs'!$B$29+'Inputs'!$B$31+'Inputs'!$B$32,'Inputs'!$B$30+'Inputs'!$B$31+'Inputs'!$B$32)/1000+'Inputs'!$B$21+'Inputs'!$B$9+'Inputs'!$B$10)+'Inputs'!$B$7)/SQRT((((588-43)*MAX('Inputs'!$B$33,'Inputs'!$B$29+'Inputs'!$B$31+'Inputs'!$B$32,'Inputs'!$B$30+'Inputs'!$B$31+'Inputs'!$B$32)/1000+'Inputs'!$B$21+'Inputs'!$B$9+'Inputs'!$B$10)+'Inputs'!$B$7)^2+('Inputs'!$B$6/2)^2)-(((588-43)*MAX('Inputs'!$B$33,'Inputs'!$B$29+'Inputs'!$B$31+'Inputs'!$B$32,'Inputs'!$B$30+'Inputs'!$B$31+'Inputs'!$B$32)/1000+'Inputs'!$B$21+'Inputs'!$B$9+'Inputs'!$B$10))/SQRT((((588-43)*MAX('Inputs'!$B$33,'Inputs'!$B$29+'Inputs'!$B$31+'Inputs'!$B$32,'Inputs'!$B$30+'Inputs'!$B$31+'Inputs'!$B$32)/1000+'Inputs'!$B$21+'Inputs'!$B$9+'Inputs'!$B$10))^2+('Inputs'!$B$6/2)^2))))*'Results'!$B$8),"")</x:f>
        <x:v>2.88146230829723</x:v>
      </x:c>
      <x:c r="N588" t="n">
        <x:f>IF(AND(ISNUMBER('Results'!C7),ISNUMBER('Results'!B7),ISNUMBER('Results'!$B$8),ISNUMBER('Inputs'!$B$6),ISNUMBER('Inputs'!$B$7),ISNUMBER('Inputs'!$B$8),ISNUMBER('Inputs'!$B$9),ISNUMBER('Inputs'!$B$10),ISNUMBER('Inputs'!$B$21),ISNUMBER('Inputs'!$B$24),ISNUMBER('Inputs'!$B$28)),((('Results'!C7*(1-'Inputs'!$B$24)*(0.5*((((588-43)*MAX('Inputs'!$B$33,'Inputs'!$B$29+'Inputs'!$B$31+'Inputs'!$B$32,'Inputs'!$B$30+'Inputs'!$B$31+'Inputs'!$B$32)/1000+'Inputs'!$B$21)+'Inputs'!$B$9)/SQRT((((588-43)*MAX('Inputs'!$B$33,'Inputs'!$B$29+'Inputs'!$B$31+'Inputs'!$B$32,'Inputs'!$B$30+'Inputs'!$B$31+'Inputs'!$B$32)/1000+'Inputs'!$B$21)+'Inputs'!$B$9)^2+('Inputs'!$B$8/2)^2)-(((588-43)*MAX('Inputs'!$B$33,'Inputs'!$B$29+'Inputs'!$B$31+'Inputs'!$B$32,'Inputs'!$B$30+'Inputs'!$B$31+'Inputs'!$B$32)/1000+'Inputs'!$B$21))/SQRT((((588-43)*MAX('Inputs'!$B$33,'Inputs'!$B$29+'Inputs'!$B$31+'Inputs'!$B$32,'Inputs'!$B$30+'Inputs'!$B$31+'Inputs'!$B$32)/1000+'Inputs'!$B$21))^2+('Inputs'!$B$8/2)^2)))-'Results'!B7*(1+'Inputs'!$B$24)*(0.5*((((588-43)*MAX('Inputs'!$B$33,'Inputs'!$B$29+'Inputs'!$B$31+'Inputs'!$B$32,'Inputs'!$B$30+'Inputs'!$B$31+'Inputs'!$B$32)/1000+'Inputs'!$B$21+'Inputs'!$B$9+'Inputs'!$B$10)+'Inputs'!$B$7)/SQRT((((588-43)*MAX('Inputs'!$B$33,'Inputs'!$B$29+'Inputs'!$B$31+'Inputs'!$B$32,'Inputs'!$B$30+'Inputs'!$B$31+'Inputs'!$B$32)/1000+'Inputs'!$B$21+'Inputs'!$B$9+'Inputs'!$B$10)+'Inputs'!$B$7)^2+('Inputs'!$B$6/2)^2)-(((588-43)*MAX('Inputs'!$B$33,'Inputs'!$B$29+'Inputs'!$B$31+'Inputs'!$B$32,'Inputs'!$B$30+'Inputs'!$B$31+'Inputs'!$B$32)/1000+'Inputs'!$B$21+'Inputs'!$B$9+'Inputs'!$B$10))/SQRT((((588-43)*MAX('Inputs'!$B$33,'Inputs'!$B$29+'Inputs'!$B$31+'Inputs'!$B$32,'Inputs'!$B$30+'Inputs'!$B$31+'Inputs'!$B$32)/1000+'Inputs'!$B$21+'Inputs'!$B$9+'Inputs'!$B$10))^2+('Inputs'!$B$6/2)^2))))*'Results'!$B$8)-'Inputs'!$B$28*ABS((('Results'!C7*(1-'Inputs'!$B$24)*(0.5*((((588-43)*MAX('Inputs'!$B$33,'Inputs'!$B$29+'Inputs'!$B$31+'Inputs'!$B$32,'Inputs'!$B$30+'Inputs'!$B$31+'Inputs'!$B$32)/1000+'Inputs'!$B$21)+'Inputs'!$B$9)/SQRT((((588-43)*MAX('Inputs'!$B$33,'Inputs'!$B$29+'Inputs'!$B$31+'Inputs'!$B$32,'Inputs'!$B$30+'Inputs'!$B$31+'Inputs'!$B$32)/1000+'Inputs'!$B$21)+'Inputs'!$B$9)^2+('Inputs'!$B$8/2)^2)-(((588-43)*MAX('Inputs'!$B$33,'Inputs'!$B$29+'Inputs'!$B$31+'Inputs'!$B$32,'Inputs'!$B$30+'Inputs'!$B$31+'Inputs'!$B$32)/1000+'Inputs'!$B$21))/SQRT((((588-43)*MAX('Inputs'!$B$33,'Inputs'!$B$29+'Inputs'!$B$31+'Inputs'!$B$32,'Inputs'!$B$30+'Inputs'!$B$31+'Inputs'!$B$32)/1000+'Inputs'!$B$21))^2+('Inputs'!$B$8/2)^2)))-'Results'!B7*(1+'Inputs'!$B$24)*(0.5*((((588-43)*MAX('Inputs'!$B$33,'Inputs'!$B$29+'Inputs'!$B$31+'Inputs'!$B$32,'Inputs'!$B$30+'Inputs'!$B$31+'Inputs'!$B$32)/1000+'Inputs'!$B$21+'Inputs'!$B$9+'Inputs'!$B$10)+'Inputs'!$B$7)/SQRT((((588-43)*MAX('Inputs'!$B$33,'Inputs'!$B$29+'Inputs'!$B$31+'Inputs'!$B$32,'Inputs'!$B$30+'Inputs'!$B$31+'Inputs'!$B$32)/1000+'Inputs'!$B$21+'Inputs'!$B$9+'Inputs'!$B$10)+'Inputs'!$B$7)^2+('Inputs'!$B$6/2)^2)-(((588-43)*MAX('Inputs'!$B$33,'Inputs'!$B$29+'Inputs'!$B$31+'Inputs'!$B$32,'Inputs'!$B$30+'Inputs'!$B$31+'Inputs'!$B$32)/1000+'Inputs'!$B$21+'Inputs'!$B$9+'Inputs'!$B$10))/SQRT((((588-43)*MAX('Inputs'!$B$33,'Inputs'!$B$29+'Inputs'!$B$31+'Inputs'!$B$32,'Inputs'!$B$30+'Inputs'!$B$31+'Inputs'!$B$32)/1000+'Inputs'!$B$21+'Inputs'!$B$9+'Inputs'!$B$10))^2+('Inputs'!$B$6/2)^2))))*'Results'!$B$8))),"")</x:f>
        <x:v>2.5244696754925404</x:v>
      </x:c>
      <x:c r="O588" t="n">
        <x:f>IF(AND(ISNUMBER('Results'!C7),ISNUMBER('Results'!B7),ISNUMBER('Results'!$B$8),ISNUMBER('Inputs'!$B$6),ISNUMBER('Inputs'!$B$7),ISNUMBER('Inputs'!$B$8),ISNUMBER('Inputs'!$B$9),ISNUMBER('Inputs'!$B$10),ISNUMBER('Inputs'!$B$21),ISNUMBER('Inputs'!$B$24),ISNUMBER('Inputs'!$B$28)),((('Results'!C7*(1+'Inputs'!$B$24)*(0.5*((((588-43)*MAX('Inputs'!$B$33,'Inputs'!$B$29+'Inputs'!$B$31+'Inputs'!$B$32,'Inputs'!$B$30+'Inputs'!$B$31+'Inputs'!$B$32)/1000+'Inputs'!$B$21)+'Inputs'!$B$9)/SQRT((((588-43)*MAX('Inputs'!$B$33,'Inputs'!$B$29+'Inputs'!$B$31+'Inputs'!$B$32,'Inputs'!$B$30+'Inputs'!$B$31+'Inputs'!$B$32)/1000+'Inputs'!$B$21)+'Inputs'!$B$9)^2+('Inputs'!$B$8/2)^2)-(((588-43)*MAX('Inputs'!$B$33,'Inputs'!$B$29+'Inputs'!$B$31+'Inputs'!$B$32,'Inputs'!$B$30+'Inputs'!$B$31+'Inputs'!$B$32)/1000+'Inputs'!$B$21))/SQRT((((588-43)*MAX('Inputs'!$B$33,'Inputs'!$B$29+'Inputs'!$B$31+'Inputs'!$B$32,'Inputs'!$B$30+'Inputs'!$B$31+'Inputs'!$B$32)/1000+'Inputs'!$B$21))^2+('Inputs'!$B$8/2)^2)))-'Results'!B7*(1-'Inputs'!$B$24)*(0.5*((((588-43)*MAX('Inputs'!$B$33,'Inputs'!$B$29+'Inputs'!$B$31+'Inputs'!$B$32,'Inputs'!$B$30+'Inputs'!$B$31+'Inputs'!$B$32)/1000+'Inputs'!$B$21+'Inputs'!$B$9+'Inputs'!$B$10)+'Inputs'!$B$7)/SQRT((((588-43)*MAX('Inputs'!$B$33,'Inputs'!$B$29+'Inputs'!$B$31+'Inputs'!$B$32,'Inputs'!$B$30+'Inputs'!$B$31+'Inputs'!$B$32)/1000+'Inputs'!$B$21+'Inputs'!$B$9+'Inputs'!$B$10)+'Inputs'!$B$7)^2+('Inputs'!$B$6/2)^2)-(((588-43)*MAX('Inputs'!$B$33,'Inputs'!$B$29+'Inputs'!$B$31+'Inputs'!$B$32,'Inputs'!$B$30+'Inputs'!$B$31+'Inputs'!$B$32)/1000+'Inputs'!$B$21+'Inputs'!$B$9+'Inputs'!$B$10))/SQRT((((588-43)*MAX('Inputs'!$B$33,'Inputs'!$B$29+'Inputs'!$B$31+'Inputs'!$B$32,'Inputs'!$B$30+'Inputs'!$B$31+'Inputs'!$B$32)/1000+'Inputs'!$B$21+'Inputs'!$B$9+'Inputs'!$B$10))^2+('Inputs'!$B$6/2)^2))))*'Results'!$B$8)+'Inputs'!$B$28*ABS((('Results'!C7*(1+'Inputs'!$B$24)*(0.5*((((588-43)*MAX('Inputs'!$B$33,'Inputs'!$B$29+'Inputs'!$B$31+'Inputs'!$B$32,'Inputs'!$B$30+'Inputs'!$B$31+'Inputs'!$B$32)/1000+'Inputs'!$B$21)+'Inputs'!$B$9)/SQRT((((588-43)*MAX('Inputs'!$B$33,'Inputs'!$B$29+'Inputs'!$B$31+'Inputs'!$B$32,'Inputs'!$B$30+'Inputs'!$B$31+'Inputs'!$B$32)/1000+'Inputs'!$B$21)+'Inputs'!$B$9)^2+('Inputs'!$B$8/2)^2)-(((588-43)*MAX('Inputs'!$B$33,'Inputs'!$B$29+'Inputs'!$B$31+'Inputs'!$B$32,'Inputs'!$B$30+'Inputs'!$B$31+'Inputs'!$B$32)/1000+'Inputs'!$B$21))/SQRT((((588-43)*MAX('Inputs'!$B$33,'Inputs'!$B$29+'Inputs'!$B$31+'Inputs'!$B$32,'Inputs'!$B$30+'Inputs'!$B$31+'Inputs'!$B$32)/1000+'Inputs'!$B$21))^2+('Inputs'!$B$8/2)^2)))-'Results'!B7*(1-'Inputs'!$B$24)*(0.5*((((588-43)*MAX('Inputs'!$B$33,'Inputs'!$B$29+'Inputs'!$B$31+'Inputs'!$B$32,'Inputs'!$B$30+'Inputs'!$B$31+'Inputs'!$B$32)/1000+'Inputs'!$B$21+'Inputs'!$B$9+'Inputs'!$B$10)+'Inputs'!$B$7)/SQRT((((588-43)*MAX('Inputs'!$B$33,'Inputs'!$B$29+'Inputs'!$B$31+'Inputs'!$B$32,'Inputs'!$B$30+'Inputs'!$B$31+'Inputs'!$B$32)/1000+'Inputs'!$B$21+'Inputs'!$B$9+'Inputs'!$B$10)+'Inputs'!$B$7)^2+('Inputs'!$B$6/2)^2)-(((588-43)*MAX('Inputs'!$B$33,'Inputs'!$B$29+'Inputs'!$B$31+'Inputs'!$B$32,'Inputs'!$B$30+'Inputs'!$B$31+'Inputs'!$B$32)/1000+'Inputs'!$B$21+'Inputs'!$B$9+'Inputs'!$B$10))/SQRT((((588-43)*MAX('Inputs'!$B$33,'Inputs'!$B$29+'Inputs'!$B$31+'Inputs'!$B$32,'Inputs'!$B$30+'Inputs'!$B$31+'Inputs'!$B$32)/1000+'Inputs'!$B$21+'Inputs'!$B$9+'Inputs'!$B$10))^2+('Inputs'!$B$6/2)^2))))*'Results'!$B$8))),"")</x:f>
        <x:v>3.2608675218797956</x:v>
      </x:c>
      <x:c r="P588" t="n">
        <x:f>IF(AND(MAX(J588,J587)&gt;0,J588&gt;J587+0.00000001),1,0)</x:f>
        <x:v>0</x:v>
      </x:c>
      <x:c r="Q588" t="n">
        <x:f>IF(AND(MAX(K588,K587)&gt;0,K588&gt;K587+0.00000001),1,0)</x:f>
        <x:v>0</x:v>
      </x:c>
      <x:c r="R588" t="n">
        <x:f>IF(AND(MAX(L588,L587)&gt;0,L588&gt;L587+0.00000001),1,0)</x:f>
        <x:v>0</x:v>
      </x:c>
      <x:c r="S588" t="n">
        <x:f>IF(AND(MAX(M588,M587)&gt;0,M588&gt;M587+0.00000001),1,0)</x:f>
        <x:v>0</x:v>
      </x:c>
      <x:c r="T588" t="n">
        <x:f>IF(AND(MAX(N588,N587)&gt;0,N588&gt;N587+0.00000001),1,0)</x:f>
        <x:v>0</x:v>
      </x:c>
      <x:c r="U588" t="n">
        <x:f>IF(AND(MAX(O588,O587)&gt;0,O588&gt;O587+0.00000001),1,0)</x:f>
        <x:v>0</x:v>
      </x:c>
    </x:row>
    <x:row r="589">
      <x:c r="J589" t="n">
        <x:f>IF(AND(ISNUMBER('Results'!B7),ISNUMBER('Results'!C7),ISNUMBER('Results'!$B$8),ISNUMBER('Inputs'!$B$6),ISNUMBER('Inputs'!$B$7),ISNUMBER('Inputs'!$B$8),ISNUMBER('Inputs'!$B$9),ISNUMBER('Inputs'!$B$10),ISNUMBER('Inputs'!$B$21),ISNUMBER('Inputs'!$B$24),ISNUMBER('Inputs'!$B$28)),(('Results'!B7*(0.5*((((589-43)*MAX('Inputs'!$B$33,'Inputs'!$B$29+'Inputs'!$B$31+'Inputs'!$B$32,'Inputs'!$B$30+'Inputs'!$B$31+'Inputs'!$B$32)/1000+'Inputs'!$B$21)+'Inputs'!$B$7)/SQRT((((589-43)*MAX('Inputs'!$B$33,'Inputs'!$B$29+'Inputs'!$B$31+'Inputs'!$B$32,'Inputs'!$B$30+'Inputs'!$B$31+'Inputs'!$B$32)/1000+'Inputs'!$B$21)+'Inputs'!$B$7)^2+('Inputs'!$B$6/2)^2)-(((589-43)*MAX('Inputs'!$B$33,'Inputs'!$B$29+'Inputs'!$B$31+'Inputs'!$B$32,'Inputs'!$B$30+'Inputs'!$B$31+'Inputs'!$B$32)/1000+'Inputs'!$B$21))/SQRT((((589-43)*MAX('Inputs'!$B$33,'Inputs'!$B$29+'Inputs'!$B$31+'Inputs'!$B$32,'Inputs'!$B$30+'Inputs'!$B$31+'Inputs'!$B$32)/1000+'Inputs'!$B$21))^2+('Inputs'!$B$6/2)^2)))-'Results'!C7*(0.5*((((589-43)*MAX('Inputs'!$B$33,'Inputs'!$B$29+'Inputs'!$B$31+'Inputs'!$B$32,'Inputs'!$B$30+'Inputs'!$B$31+'Inputs'!$B$32)/1000+'Inputs'!$B$21+'Inputs'!$B$7+'Inputs'!$B$10)+'Inputs'!$B$9)/SQRT((((589-43)*MAX('Inputs'!$B$33,'Inputs'!$B$29+'Inputs'!$B$31+'Inputs'!$B$32,'Inputs'!$B$30+'Inputs'!$B$31+'Inputs'!$B$32)/1000+'Inputs'!$B$21+'Inputs'!$B$7+'Inputs'!$B$10)+'Inputs'!$B$9)^2+('Inputs'!$B$8/2)^2)-(((589-43)*MAX('Inputs'!$B$33,'Inputs'!$B$29+'Inputs'!$B$31+'Inputs'!$B$32,'Inputs'!$B$30+'Inputs'!$B$31+'Inputs'!$B$32)/1000+'Inputs'!$B$21+'Inputs'!$B$7+'Inputs'!$B$10))/SQRT((((589-43)*MAX('Inputs'!$B$33,'Inputs'!$B$29+'Inputs'!$B$31+'Inputs'!$B$32,'Inputs'!$B$30+'Inputs'!$B$31+'Inputs'!$B$32)/1000+'Inputs'!$B$21+'Inputs'!$B$7+'Inputs'!$B$10))^2+('Inputs'!$B$8/2)^2))))*'Results'!$B$8),"")</x:f>
        <x:v>3.0888335231422475</x:v>
      </x:c>
      <x:c r="K589" t="n">
        <x:f>IF(AND(ISNUMBER('Results'!B7),ISNUMBER('Results'!C7),ISNUMBER('Results'!$B$8),ISNUMBER('Inputs'!$B$6),ISNUMBER('Inputs'!$B$7),ISNUMBER('Inputs'!$B$8),ISNUMBER('Inputs'!$B$9),ISNUMBER('Inputs'!$B$10),ISNUMBER('Inputs'!$B$21),ISNUMBER('Inputs'!$B$24),ISNUMBER('Inputs'!$B$28)),((('Results'!B7*(1-'Inputs'!$B$24)*(0.5*((((589-43)*MAX('Inputs'!$B$33,'Inputs'!$B$29+'Inputs'!$B$31+'Inputs'!$B$32,'Inputs'!$B$30+'Inputs'!$B$31+'Inputs'!$B$32)/1000+'Inputs'!$B$21)+'Inputs'!$B$7)/SQRT((((589-43)*MAX('Inputs'!$B$33,'Inputs'!$B$29+'Inputs'!$B$31+'Inputs'!$B$32,'Inputs'!$B$30+'Inputs'!$B$31+'Inputs'!$B$32)/1000+'Inputs'!$B$21)+'Inputs'!$B$7)^2+('Inputs'!$B$6/2)^2)-(((589-43)*MAX('Inputs'!$B$33,'Inputs'!$B$29+'Inputs'!$B$31+'Inputs'!$B$32,'Inputs'!$B$30+'Inputs'!$B$31+'Inputs'!$B$32)/1000+'Inputs'!$B$21))/SQRT((((589-43)*MAX('Inputs'!$B$33,'Inputs'!$B$29+'Inputs'!$B$31+'Inputs'!$B$32,'Inputs'!$B$30+'Inputs'!$B$31+'Inputs'!$B$32)/1000+'Inputs'!$B$21))^2+('Inputs'!$B$6/2)^2)))-'Results'!C7*(1+'Inputs'!$B$24)*(0.5*((((589-43)*MAX('Inputs'!$B$33,'Inputs'!$B$29+'Inputs'!$B$31+'Inputs'!$B$32,'Inputs'!$B$30+'Inputs'!$B$31+'Inputs'!$B$32)/1000+'Inputs'!$B$21+'Inputs'!$B$7+'Inputs'!$B$10)+'Inputs'!$B$9)/SQRT((((589-43)*MAX('Inputs'!$B$33,'Inputs'!$B$29+'Inputs'!$B$31+'Inputs'!$B$32,'Inputs'!$B$30+'Inputs'!$B$31+'Inputs'!$B$32)/1000+'Inputs'!$B$21+'Inputs'!$B$7+'Inputs'!$B$10)+'Inputs'!$B$9)^2+('Inputs'!$B$8/2)^2)-(((589-43)*MAX('Inputs'!$B$33,'Inputs'!$B$29+'Inputs'!$B$31+'Inputs'!$B$32,'Inputs'!$B$30+'Inputs'!$B$31+'Inputs'!$B$32)/1000+'Inputs'!$B$21+'Inputs'!$B$7+'Inputs'!$B$10))/SQRT((((589-43)*MAX('Inputs'!$B$33,'Inputs'!$B$29+'Inputs'!$B$31+'Inputs'!$B$32,'Inputs'!$B$30+'Inputs'!$B$31+'Inputs'!$B$32)/1000+'Inputs'!$B$21+'Inputs'!$B$7+'Inputs'!$B$10))^2+('Inputs'!$B$8/2)^2))))*'Results'!$B$8)-'Inputs'!$B$28*ABS((('Results'!B7*(1-'Inputs'!$B$24)*(0.5*((((589-43)*MAX('Inputs'!$B$33,'Inputs'!$B$29+'Inputs'!$B$31+'Inputs'!$B$32,'Inputs'!$B$30+'Inputs'!$B$31+'Inputs'!$B$32)/1000+'Inputs'!$B$21)+'Inputs'!$B$7)/SQRT((((589-43)*MAX('Inputs'!$B$33,'Inputs'!$B$29+'Inputs'!$B$31+'Inputs'!$B$32,'Inputs'!$B$30+'Inputs'!$B$31+'Inputs'!$B$32)/1000+'Inputs'!$B$21)+'Inputs'!$B$7)^2+('Inputs'!$B$6/2)^2)-(((589-43)*MAX('Inputs'!$B$33,'Inputs'!$B$29+'Inputs'!$B$31+'Inputs'!$B$32,'Inputs'!$B$30+'Inputs'!$B$31+'Inputs'!$B$32)/1000+'Inputs'!$B$21))/SQRT((((589-43)*MAX('Inputs'!$B$33,'Inputs'!$B$29+'Inputs'!$B$31+'Inputs'!$B$32,'Inputs'!$B$30+'Inputs'!$B$31+'Inputs'!$B$32)/1000+'Inputs'!$B$21))^2+('Inputs'!$B$6/2)^2)))-'Results'!C7*(1+'Inputs'!$B$24)*(0.5*((((589-43)*MAX('Inputs'!$B$33,'Inputs'!$B$29+'Inputs'!$B$31+'Inputs'!$B$32,'Inputs'!$B$30+'Inputs'!$B$31+'Inputs'!$B$32)/1000+'Inputs'!$B$21+'Inputs'!$B$7+'Inputs'!$B$10)+'Inputs'!$B$9)/SQRT((((589-43)*MAX('Inputs'!$B$33,'Inputs'!$B$29+'Inputs'!$B$31+'Inputs'!$B$32,'Inputs'!$B$30+'Inputs'!$B$31+'Inputs'!$B$32)/1000+'Inputs'!$B$21+'Inputs'!$B$7+'Inputs'!$B$10)+'Inputs'!$B$9)^2+('Inputs'!$B$8/2)^2)-(((589-43)*MAX('Inputs'!$B$33,'Inputs'!$B$29+'Inputs'!$B$31+'Inputs'!$B$32,'Inputs'!$B$30+'Inputs'!$B$31+'Inputs'!$B$32)/1000+'Inputs'!$B$21+'Inputs'!$B$7+'Inputs'!$B$10))/SQRT((((589-43)*MAX('Inputs'!$B$33,'Inputs'!$B$29+'Inputs'!$B$31+'Inputs'!$B$32,'Inputs'!$B$30+'Inputs'!$B$31+'Inputs'!$B$32)/1000+'Inputs'!$B$21+'Inputs'!$B$7+'Inputs'!$B$10))^2+('Inputs'!$B$8/2)^2))))*'Results'!$B$8))),"")</x:f>
        <x:v>2.7213696103240865</x:v>
      </x:c>
      <x:c r="L589" t="n">
        <x:f>IF(AND(ISNUMBER('Results'!B7),ISNUMBER('Results'!C7),ISNUMBER('Results'!$B$8),ISNUMBER('Inputs'!$B$6),ISNUMBER('Inputs'!$B$7),ISNUMBER('Inputs'!$B$8),ISNUMBER('Inputs'!$B$9),ISNUMBER('Inputs'!$B$10),ISNUMBER('Inputs'!$B$21),ISNUMBER('Inputs'!$B$24),ISNUMBER('Inputs'!$B$28)),((('Results'!B7*(1+'Inputs'!$B$24)*(0.5*((((589-43)*MAX('Inputs'!$B$33,'Inputs'!$B$29+'Inputs'!$B$31+'Inputs'!$B$32,'Inputs'!$B$30+'Inputs'!$B$31+'Inputs'!$B$32)/1000+'Inputs'!$B$21)+'Inputs'!$B$7)/SQRT((((589-43)*MAX('Inputs'!$B$33,'Inputs'!$B$29+'Inputs'!$B$31+'Inputs'!$B$32,'Inputs'!$B$30+'Inputs'!$B$31+'Inputs'!$B$32)/1000+'Inputs'!$B$21)+'Inputs'!$B$7)^2+('Inputs'!$B$6/2)^2)-(((589-43)*MAX('Inputs'!$B$33,'Inputs'!$B$29+'Inputs'!$B$31+'Inputs'!$B$32,'Inputs'!$B$30+'Inputs'!$B$31+'Inputs'!$B$32)/1000+'Inputs'!$B$21))/SQRT((((589-43)*MAX('Inputs'!$B$33,'Inputs'!$B$29+'Inputs'!$B$31+'Inputs'!$B$32,'Inputs'!$B$30+'Inputs'!$B$31+'Inputs'!$B$32)/1000+'Inputs'!$B$21))^2+('Inputs'!$B$6/2)^2)))-'Results'!C7*(1-'Inputs'!$B$24)*(0.5*((((589-43)*MAX('Inputs'!$B$33,'Inputs'!$B$29+'Inputs'!$B$31+'Inputs'!$B$32,'Inputs'!$B$30+'Inputs'!$B$31+'Inputs'!$B$32)/1000+'Inputs'!$B$21+'Inputs'!$B$7+'Inputs'!$B$10)+'Inputs'!$B$9)/SQRT((((589-43)*MAX('Inputs'!$B$33,'Inputs'!$B$29+'Inputs'!$B$31+'Inputs'!$B$32,'Inputs'!$B$30+'Inputs'!$B$31+'Inputs'!$B$32)/1000+'Inputs'!$B$21+'Inputs'!$B$7+'Inputs'!$B$10)+'Inputs'!$B$9)^2+('Inputs'!$B$8/2)^2)-(((589-43)*MAX('Inputs'!$B$33,'Inputs'!$B$29+'Inputs'!$B$31+'Inputs'!$B$32,'Inputs'!$B$30+'Inputs'!$B$31+'Inputs'!$B$32)/1000+'Inputs'!$B$21+'Inputs'!$B$7+'Inputs'!$B$10))/SQRT((((589-43)*MAX('Inputs'!$B$33,'Inputs'!$B$29+'Inputs'!$B$31+'Inputs'!$B$32,'Inputs'!$B$30+'Inputs'!$B$31+'Inputs'!$B$32)/1000+'Inputs'!$B$21+'Inputs'!$B$7+'Inputs'!$B$10))^2+('Inputs'!$B$8/2)^2))))*'Results'!$B$8)+'Inputs'!$B$28*ABS((('Results'!B7*(1+'Inputs'!$B$24)*(0.5*((((589-43)*MAX('Inputs'!$B$33,'Inputs'!$B$29+'Inputs'!$B$31+'Inputs'!$B$32,'Inputs'!$B$30+'Inputs'!$B$31+'Inputs'!$B$32)/1000+'Inputs'!$B$21)+'Inputs'!$B$7)/SQRT((((589-43)*MAX('Inputs'!$B$33,'Inputs'!$B$29+'Inputs'!$B$31+'Inputs'!$B$32,'Inputs'!$B$30+'Inputs'!$B$31+'Inputs'!$B$32)/1000+'Inputs'!$B$21)+'Inputs'!$B$7)^2+('Inputs'!$B$6/2)^2)-(((589-43)*MAX('Inputs'!$B$33,'Inputs'!$B$29+'Inputs'!$B$31+'Inputs'!$B$32,'Inputs'!$B$30+'Inputs'!$B$31+'Inputs'!$B$32)/1000+'Inputs'!$B$21))/SQRT((((589-43)*MAX('Inputs'!$B$33,'Inputs'!$B$29+'Inputs'!$B$31+'Inputs'!$B$32,'Inputs'!$B$30+'Inputs'!$B$31+'Inputs'!$B$32)/1000+'Inputs'!$B$21))^2+('Inputs'!$B$6/2)^2)))-'Results'!C7*(1-'Inputs'!$B$24)*(0.5*((((589-43)*MAX('Inputs'!$B$33,'Inputs'!$B$29+'Inputs'!$B$31+'Inputs'!$B$32,'Inputs'!$B$30+'Inputs'!$B$31+'Inputs'!$B$32)/1000+'Inputs'!$B$21+'Inputs'!$B$7+'Inputs'!$B$10)+'Inputs'!$B$9)/SQRT((((589-43)*MAX('Inputs'!$B$33,'Inputs'!$B$29+'Inputs'!$B$31+'Inputs'!$B$32,'Inputs'!$B$30+'Inputs'!$B$31+'Inputs'!$B$32)/1000+'Inputs'!$B$21+'Inputs'!$B$7+'Inputs'!$B$10)+'Inputs'!$B$9)^2+('Inputs'!$B$8/2)^2)-(((589-43)*MAX('Inputs'!$B$33,'Inputs'!$B$29+'Inputs'!$B$31+'Inputs'!$B$32,'Inputs'!$B$30+'Inputs'!$B$31+'Inputs'!$B$32)/1000+'Inputs'!$B$21+'Inputs'!$B$7+'Inputs'!$B$10))/SQRT((((589-43)*MAX('Inputs'!$B$33,'Inputs'!$B$29+'Inputs'!$B$31+'Inputs'!$B$32,'Inputs'!$B$30+'Inputs'!$B$31+'Inputs'!$B$32)/1000+'Inputs'!$B$21+'Inputs'!$B$7+'Inputs'!$B$10))^2+('Inputs'!$B$8/2)^2))))*'Results'!$B$8))),"")</x:f>
        <x:v>3.4787208292931515</x:v>
      </x:c>
      <x:c r="M589" t="n">
        <x:f>IF(AND(ISNUMBER('Results'!C7),ISNUMBER('Results'!B7),ISNUMBER('Results'!$B$8),ISNUMBER('Inputs'!$B$6),ISNUMBER('Inputs'!$B$7),ISNUMBER('Inputs'!$B$8),ISNUMBER('Inputs'!$B$9),ISNUMBER('Inputs'!$B$10),ISNUMBER('Inputs'!$B$21),ISNUMBER('Inputs'!$B$24),ISNUMBER('Inputs'!$B$28)),(('Results'!C7*(0.5*((((589-43)*MAX('Inputs'!$B$33,'Inputs'!$B$29+'Inputs'!$B$31+'Inputs'!$B$32,'Inputs'!$B$30+'Inputs'!$B$31+'Inputs'!$B$32)/1000+'Inputs'!$B$21)+'Inputs'!$B$9)/SQRT((((589-43)*MAX('Inputs'!$B$33,'Inputs'!$B$29+'Inputs'!$B$31+'Inputs'!$B$32,'Inputs'!$B$30+'Inputs'!$B$31+'Inputs'!$B$32)/1000+'Inputs'!$B$21)+'Inputs'!$B$9)^2+('Inputs'!$B$8/2)^2)-(((589-43)*MAX('Inputs'!$B$33,'Inputs'!$B$29+'Inputs'!$B$31+'Inputs'!$B$32,'Inputs'!$B$30+'Inputs'!$B$31+'Inputs'!$B$32)/1000+'Inputs'!$B$21))/SQRT((((589-43)*MAX('Inputs'!$B$33,'Inputs'!$B$29+'Inputs'!$B$31+'Inputs'!$B$32,'Inputs'!$B$30+'Inputs'!$B$31+'Inputs'!$B$32)/1000+'Inputs'!$B$21))^2+('Inputs'!$B$8/2)^2)))-'Results'!B7*(0.5*((((589-43)*MAX('Inputs'!$B$33,'Inputs'!$B$29+'Inputs'!$B$31+'Inputs'!$B$32,'Inputs'!$B$30+'Inputs'!$B$31+'Inputs'!$B$32)/1000+'Inputs'!$B$21+'Inputs'!$B$9+'Inputs'!$B$10)+'Inputs'!$B$7)/SQRT((((589-43)*MAX('Inputs'!$B$33,'Inputs'!$B$29+'Inputs'!$B$31+'Inputs'!$B$32,'Inputs'!$B$30+'Inputs'!$B$31+'Inputs'!$B$32)/1000+'Inputs'!$B$21+'Inputs'!$B$9+'Inputs'!$B$10)+'Inputs'!$B$7)^2+('Inputs'!$B$6/2)^2)-(((589-43)*MAX('Inputs'!$B$33,'Inputs'!$B$29+'Inputs'!$B$31+'Inputs'!$B$32,'Inputs'!$B$30+'Inputs'!$B$31+'Inputs'!$B$32)/1000+'Inputs'!$B$21+'Inputs'!$B$9+'Inputs'!$B$10))/SQRT((((589-43)*MAX('Inputs'!$B$33,'Inputs'!$B$29+'Inputs'!$B$31+'Inputs'!$B$32,'Inputs'!$B$30+'Inputs'!$B$31+'Inputs'!$B$32)/1000+'Inputs'!$B$21+'Inputs'!$B$9+'Inputs'!$B$10))^2+('Inputs'!$B$6/2)^2))))*'Results'!$B$8),"")</x:f>
        <x:v>2.8629418626427405</x:v>
      </x:c>
      <x:c r="N589" t="n">
        <x:f>IF(AND(ISNUMBER('Results'!C7),ISNUMBER('Results'!B7),ISNUMBER('Results'!$B$8),ISNUMBER('Inputs'!$B$6),ISNUMBER('Inputs'!$B$7),ISNUMBER('Inputs'!$B$8),ISNUMBER('Inputs'!$B$9),ISNUMBER('Inputs'!$B$10),ISNUMBER('Inputs'!$B$21),ISNUMBER('Inputs'!$B$24),ISNUMBER('Inputs'!$B$28)),((('Results'!C7*(1-'Inputs'!$B$24)*(0.5*((((589-43)*MAX('Inputs'!$B$33,'Inputs'!$B$29+'Inputs'!$B$31+'Inputs'!$B$32,'Inputs'!$B$30+'Inputs'!$B$31+'Inputs'!$B$32)/1000+'Inputs'!$B$21)+'Inputs'!$B$9)/SQRT((((589-43)*MAX('Inputs'!$B$33,'Inputs'!$B$29+'Inputs'!$B$31+'Inputs'!$B$32,'Inputs'!$B$30+'Inputs'!$B$31+'Inputs'!$B$32)/1000+'Inputs'!$B$21)+'Inputs'!$B$9)^2+('Inputs'!$B$8/2)^2)-(((589-43)*MAX('Inputs'!$B$33,'Inputs'!$B$29+'Inputs'!$B$31+'Inputs'!$B$32,'Inputs'!$B$30+'Inputs'!$B$31+'Inputs'!$B$32)/1000+'Inputs'!$B$21))/SQRT((((589-43)*MAX('Inputs'!$B$33,'Inputs'!$B$29+'Inputs'!$B$31+'Inputs'!$B$32,'Inputs'!$B$30+'Inputs'!$B$31+'Inputs'!$B$32)/1000+'Inputs'!$B$21))^2+('Inputs'!$B$8/2)^2)))-'Results'!B7*(1+'Inputs'!$B$24)*(0.5*((((589-43)*MAX('Inputs'!$B$33,'Inputs'!$B$29+'Inputs'!$B$31+'Inputs'!$B$32,'Inputs'!$B$30+'Inputs'!$B$31+'Inputs'!$B$32)/1000+'Inputs'!$B$21+'Inputs'!$B$9+'Inputs'!$B$10)+'Inputs'!$B$7)/SQRT((((589-43)*MAX('Inputs'!$B$33,'Inputs'!$B$29+'Inputs'!$B$31+'Inputs'!$B$32,'Inputs'!$B$30+'Inputs'!$B$31+'Inputs'!$B$32)/1000+'Inputs'!$B$21+'Inputs'!$B$9+'Inputs'!$B$10)+'Inputs'!$B$7)^2+('Inputs'!$B$6/2)^2)-(((589-43)*MAX('Inputs'!$B$33,'Inputs'!$B$29+'Inputs'!$B$31+'Inputs'!$B$32,'Inputs'!$B$30+'Inputs'!$B$31+'Inputs'!$B$32)/1000+'Inputs'!$B$21+'Inputs'!$B$9+'Inputs'!$B$10))/SQRT((((589-43)*MAX('Inputs'!$B$33,'Inputs'!$B$29+'Inputs'!$B$31+'Inputs'!$B$32,'Inputs'!$B$30+'Inputs'!$B$31+'Inputs'!$B$32)/1000+'Inputs'!$B$21+'Inputs'!$B$9+'Inputs'!$B$10))^2+('Inputs'!$B$6/2)^2))))*'Results'!$B$8)-'Inputs'!$B$28*ABS((('Results'!C7*(1-'Inputs'!$B$24)*(0.5*((((589-43)*MAX('Inputs'!$B$33,'Inputs'!$B$29+'Inputs'!$B$31+'Inputs'!$B$32,'Inputs'!$B$30+'Inputs'!$B$31+'Inputs'!$B$32)/1000+'Inputs'!$B$21)+'Inputs'!$B$9)/SQRT((((589-43)*MAX('Inputs'!$B$33,'Inputs'!$B$29+'Inputs'!$B$31+'Inputs'!$B$32,'Inputs'!$B$30+'Inputs'!$B$31+'Inputs'!$B$32)/1000+'Inputs'!$B$21)+'Inputs'!$B$9)^2+('Inputs'!$B$8/2)^2)-(((589-43)*MAX('Inputs'!$B$33,'Inputs'!$B$29+'Inputs'!$B$31+'Inputs'!$B$32,'Inputs'!$B$30+'Inputs'!$B$31+'Inputs'!$B$32)/1000+'Inputs'!$B$21))/SQRT((((589-43)*MAX('Inputs'!$B$33,'Inputs'!$B$29+'Inputs'!$B$31+'Inputs'!$B$32,'Inputs'!$B$30+'Inputs'!$B$31+'Inputs'!$B$32)/1000+'Inputs'!$B$21))^2+('Inputs'!$B$8/2)^2)))-'Results'!B7*(1+'Inputs'!$B$24)*(0.5*((((589-43)*MAX('Inputs'!$B$33,'Inputs'!$B$29+'Inputs'!$B$31+'Inputs'!$B$32,'Inputs'!$B$30+'Inputs'!$B$31+'Inputs'!$B$32)/1000+'Inputs'!$B$21+'Inputs'!$B$9+'Inputs'!$B$10)+'Inputs'!$B$7)/SQRT((((589-43)*MAX('Inputs'!$B$33,'Inputs'!$B$29+'Inputs'!$B$31+'Inputs'!$B$32,'Inputs'!$B$30+'Inputs'!$B$31+'Inputs'!$B$32)/1000+'Inputs'!$B$21+'Inputs'!$B$9+'Inputs'!$B$10)+'Inputs'!$B$7)^2+('Inputs'!$B$6/2)^2)-(((589-43)*MAX('Inputs'!$B$33,'Inputs'!$B$29+'Inputs'!$B$31+'Inputs'!$B$32,'Inputs'!$B$30+'Inputs'!$B$31+'Inputs'!$B$32)/1000+'Inputs'!$B$21+'Inputs'!$B$9+'Inputs'!$B$10))/SQRT((((589-43)*MAX('Inputs'!$B$33,'Inputs'!$B$29+'Inputs'!$B$31+'Inputs'!$B$32,'Inputs'!$B$30+'Inputs'!$B$31+'Inputs'!$B$32)/1000+'Inputs'!$B$21+'Inputs'!$B$9+'Inputs'!$B$10))^2+('Inputs'!$B$6/2)^2))))*'Results'!$B$8))),"")</x:f>
        <x:v>2.5079147927720795</x:v>
      </x:c>
      <x:c r="O589" t="n">
        <x:f>IF(AND(ISNUMBER('Results'!C7),ISNUMBER('Results'!B7),ISNUMBER('Results'!$B$8),ISNUMBER('Inputs'!$B$6),ISNUMBER('Inputs'!$B$7),ISNUMBER('Inputs'!$B$8),ISNUMBER('Inputs'!$B$9),ISNUMBER('Inputs'!$B$10),ISNUMBER('Inputs'!$B$21),ISNUMBER('Inputs'!$B$24),ISNUMBER('Inputs'!$B$28)),((('Results'!C7*(1+'Inputs'!$B$24)*(0.5*((((589-43)*MAX('Inputs'!$B$33,'Inputs'!$B$29+'Inputs'!$B$31+'Inputs'!$B$32,'Inputs'!$B$30+'Inputs'!$B$31+'Inputs'!$B$32)/1000+'Inputs'!$B$21)+'Inputs'!$B$9)/SQRT((((589-43)*MAX('Inputs'!$B$33,'Inputs'!$B$29+'Inputs'!$B$31+'Inputs'!$B$32,'Inputs'!$B$30+'Inputs'!$B$31+'Inputs'!$B$32)/1000+'Inputs'!$B$21)+'Inputs'!$B$9)^2+('Inputs'!$B$8/2)^2)-(((589-43)*MAX('Inputs'!$B$33,'Inputs'!$B$29+'Inputs'!$B$31+'Inputs'!$B$32,'Inputs'!$B$30+'Inputs'!$B$31+'Inputs'!$B$32)/1000+'Inputs'!$B$21))/SQRT((((589-43)*MAX('Inputs'!$B$33,'Inputs'!$B$29+'Inputs'!$B$31+'Inputs'!$B$32,'Inputs'!$B$30+'Inputs'!$B$31+'Inputs'!$B$32)/1000+'Inputs'!$B$21))^2+('Inputs'!$B$8/2)^2)))-'Results'!B7*(1-'Inputs'!$B$24)*(0.5*((((589-43)*MAX('Inputs'!$B$33,'Inputs'!$B$29+'Inputs'!$B$31+'Inputs'!$B$32,'Inputs'!$B$30+'Inputs'!$B$31+'Inputs'!$B$32)/1000+'Inputs'!$B$21+'Inputs'!$B$9+'Inputs'!$B$10)+'Inputs'!$B$7)/SQRT((((589-43)*MAX('Inputs'!$B$33,'Inputs'!$B$29+'Inputs'!$B$31+'Inputs'!$B$32,'Inputs'!$B$30+'Inputs'!$B$31+'Inputs'!$B$32)/1000+'Inputs'!$B$21+'Inputs'!$B$9+'Inputs'!$B$10)+'Inputs'!$B$7)^2+('Inputs'!$B$6/2)^2)-(((589-43)*MAX('Inputs'!$B$33,'Inputs'!$B$29+'Inputs'!$B$31+'Inputs'!$B$32,'Inputs'!$B$30+'Inputs'!$B$31+'Inputs'!$B$32)/1000+'Inputs'!$B$21+'Inputs'!$B$9+'Inputs'!$B$10))/SQRT((((589-43)*MAX('Inputs'!$B$33,'Inputs'!$B$29+'Inputs'!$B$31+'Inputs'!$B$32,'Inputs'!$B$30+'Inputs'!$B$31+'Inputs'!$B$32)/1000+'Inputs'!$B$21+'Inputs'!$B$9+'Inputs'!$B$10))^2+('Inputs'!$B$6/2)^2))))*'Results'!$B$8)+'Inputs'!$B$28*ABS((('Results'!C7*(1+'Inputs'!$B$24)*(0.5*((((589-43)*MAX('Inputs'!$B$33,'Inputs'!$B$29+'Inputs'!$B$31+'Inputs'!$B$32,'Inputs'!$B$30+'Inputs'!$B$31+'Inputs'!$B$32)/1000+'Inputs'!$B$21)+'Inputs'!$B$9)/SQRT((((589-43)*MAX('Inputs'!$B$33,'Inputs'!$B$29+'Inputs'!$B$31+'Inputs'!$B$32,'Inputs'!$B$30+'Inputs'!$B$31+'Inputs'!$B$32)/1000+'Inputs'!$B$21)+'Inputs'!$B$9)^2+('Inputs'!$B$8/2)^2)-(((589-43)*MAX('Inputs'!$B$33,'Inputs'!$B$29+'Inputs'!$B$31+'Inputs'!$B$32,'Inputs'!$B$30+'Inputs'!$B$31+'Inputs'!$B$32)/1000+'Inputs'!$B$21))/SQRT((((589-43)*MAX('Inputs'!$B$33,'Inputs'!$B$29+'Inputs'!$B$31+'Inputs'!$B$32,'Inputs'!$B$30+'Inputs'!$B$31+'Inputs'!$B$32)/1000+'Inputs'!$B$21))^2+('Inputs'!$B$8/2)^2)))-'Results'!B7*(1-'Inputs'!$B$24)*(0.5*((((589-43)*MAX('Inputs'!$B$33,'Inputs'!$B$29+'Inputs'!$B$31+'Inputs'!$B$32,'Inputs'!$B$30+'Inputs'!$B$31+'Inputs'!$B$32)/1000+'Inputs'!$B$21+'Inputs'!$B$9+'Inputs'!$B$10)+'Inputs'!$B$7)/SQRT((((589-43)*MAX('Inputs'!$B$33,'Inputs'!$B$29+'Inputs'!$B$31+'Inputs'!$B$32,'Inputs'!$B$30+'Inputs'!$B$31+'Inputs'!$B$32)/1000+'Inputs'!$B$21+'Inputs'!$B$9+'Inputs'!$B$10)+'Inputs'!$B$7)^2+('Inputs'!$B$6/2)^2)-(((589-43)*MAX('Inputs'!$B$33,'Inputs'!$B$29+'Inputs'!$B$31+'Inputs'!$B$32,'Inputs'!$B$30+'Inputs'!$B$31+'Inputs'!$B$32)/1000+'Inputs'!$B$21+'Inputs'!$B$9+'Inputs'!$B$10))/SQRT((((589-43)*MAX('Inputs'!$B$33,'Inputs'!$B$29+'Inputs'!$B$31+'Inputs'!$B$32,'Inputs'!$B$30+'Inputs'!$B$31+'Inputs'!$B$32)/1000+'Inputs'!$B$21+'Inputs'!$B$9+'Inputs'!$B$10))^2+('Inputs'!$B$6/2)^2))))*'Results'!$B$8))),"")</x:f>
        <x:v>3.2402720879595632</x:v>
      </x:c>
      <x:c r="P589" t="n">
        <x:f>IF(AND(MAX(J589,J588)&gt;0,J589&gt;J588+0.00000001),1,0)</x:f>
        <x:v>0</x:v>
      </x:c>
      <x:c r="Q589" t="n">
        <x:f>IF(AND(MAX(K589,K588)&gt;0,K589&gt;K588+0.00000001),1,0)</x:f>
        <x:v>0</x:v>
      </x:c>
      <x:c r="R589" t="n">
        <x:f>IF(AND(MAX(L589,L588)&gt;0,L589&gt;L588+0.00000001),1,0)</x:f>
        <x:v>0</x:v>
      </x:c>
      <x:c r="S589" t="n">
        <x:f>IF(AND(MAX(M589,M588)&gt;0,M589&gt;M588+0.00000001),1,0)</x:f>
        <x:v>0</x:v>
      </x:c>
      <x:c r="T589" t="n">
        <x:f>IF(AND(MAX(N589,N588)&gt;0,N589&gt;N588+0.00000001),1,0)</x:f>
        <x:v>0</x:v>
      </x:c>
      <x:c r="U589" t="n">
        <x:f>IF(AND(MAX(O589,O588)&gt;0,O589&gt;O588+0.00000001),1,0)</x:f>
        <x:v>0</x:v>
      </x:c>
    </x:row>
    <x:row r="590">
      <x:c r="J590" t="n">
        <x:f>IF(AND(ISNUMBER('Results'!B7),ISNUMBER('Results'!C7),ISNUMBER('Results'!$B$8),ISNUMBER('Inputs'!$B$6),ISNUMBER('Inputs'!$B$7),ISNUMBER('Inputs'!$B$8),ISNUMBER('Inputs'!$B$9),ISNUMBER('Inputs'!$B$10),ISNUMBER('Inputs'!$B$21),ISNUMBER('Inputs'!$B$24),ISNUMBER('Inputs'!$B$28)),(('Results'!B7*(0.5*((((590-43)*MAX('Inputs'!$B$33,'Inputs'!$B$29+'Inputs'!$B$31+'Inputs'!$B$32,'Inputs'!$B$30+'Inputs'!$B$31+'Inputs'!$B$32)/1000+'Inputs'!$B$21)+'Inputs'!$B$7)/SQRT((((590-43)*MAX('Inputs'!$B$33,'Inputs'!$B$29+'Inputs'!$B$31+'Inputs'!$B$32,'Inputs'!$B$30+'Inputs'!$B$31+'Inputs'!$B$32)/1000+'Inputs'!$B$21)+'Inputs'!$B$7)^2+('Inputs'!$B$6/2)^2)-(((590-43)*MAX('Inputs'!$B$33,'Inputs'!$B$29+'Inputs'!$B$31+'Inputs'!$B$32,'Inputs'!$B$30+'Inputs'!$B$31+'Inputs'!$B$32)/1000+'Inputs'!$B$21))/SQRT((((590-43)*MAX('Inputs'!$B$33,'Inputs'!$B$29+'Inputs'!$B$31+'Inputs'!$B$32,'Inputs'!$B$30+'Inputs'!$B$31+'Inputs'!$B$32)/1000+'Inputs'!$B$21))^2+('Inputs'!$B$6/2)^2)))-'Results'!C7*(0.5*((((590-43)*MAX('Inputs'!$B$33,'Inputs'!$B$29+'Inputs'!$B$31+'Inputs'!$B$32,'Inputs'!$B$30+'Inputs'!$B$31+'Inputs'!$B$32)/1000+'Inputs'!$B$21+'Inputs'!$B$7+'Inputs'!$B$10)+'Inputs'!$B$9)/SQRT((((590-43)*MAX('Inputs'!$B$33,'Inputs'!$B$29+'Inputs'!$B$31+'Inputs'!$B$32,'Inputs'!$B$30+'Inputs'!$B$31+'Inputs'!$B$32)/1000+'Inputs'!$B$21+'Inputs'!$B$7+'Inputs'!$B$10)+'Inputs'!$B$9)^2+('Inputs'!$B$8/2)^2)-(((590-43)*MAX('Inputs'!$B$33,'Inputs'!$B$29+'Inputs'!$B$31+'Inputs'!$B$32,'Inputs'!$B$30+'Inputs'!$B$31+'Inputs'!$B$32)/1000+'Inputs'!$B$21+'Inputs'!$B$7+'Inputs'!$B$10))/SQRT((((590-43)*MAX('Inputs'!$B$33,'Inputs'!$B$29+'Inputs'!$B$31+'Inputs'!$B$32,'Inputs'!$B$30+'Inputs'!$B$31+'Inputs'!$B$32)/1000+'Inputs'!$B$21+'Inputs'!$B$7+'Inputs'!$B$10))^2+('Inputs'!$B$8/2)^2))))*'Results'!$B$8),"")</x:f>
        <x:v>3.069358902047141</x:v>
      </x:c>
      <x:c r="K590" t="n">
        <x:f>IF(AND(ISNUMBER('Results'!B7),ISNUMBER('Results'!C7),ISNUMBER('Results'!$B$8),ISNUMBER('Inputs'!$B$6),ISNUMBER('Inputs'!$B$7),ISNUMBER('Inputs'!$B$8),ISNUMBER('Inputs'!$B$9),ISNUMBER('Inputs'!$B$10),ISNUMBER('Inputs'!$B$21),ISNUMBER('Inputs'!$B$24),ISNUMBER('Inputs'!$B$28)),((('Results'!B7*(1-'Inputs'!$B$24)*(0.5*((((590-43)*MAX('Inputs'!$B$33,'Inputs'!$B$29+'Inputs'!$B$31+'Inputs'!$B$32,'Inputs'!$B$30+'Inputs'!$B$31+'Inputs'!$B$32)/1000+'Inputs'!$B$21)+'Inputs'!$B$7)/SQRT((((590-43)*MAX('Inputs'!$B$33,'Inputs'!$B$29+'Inputs'!$B$31+'Inputs'!$B$32,'Inputs'!$B$30+'Inputs'!$B$31+'Inputs'!$B$32)/1000+'Inputs'!$B$21)+'Inputs'!$B$7)^2+('Inputs'!$B$6/2)^2)-(((590-43)*MAX('Inputs'!$B$33,'Inputs'!$B$29+'Inputs'!$B$31+'Inputs'!$B$32,'Inputs'!$B$30+'Inputs'!$B$31+'Inputs'!$B$32)/1000+'Inputs'!$B$21))/SQRT((((590-43)*MAX('Inputs'!$B$33,'Inputs'!$B$29+'Inputs'!$B$31+'Inputs'!$B$32,'Inputs'!$B$30+'Inputs'!$B$31+'Inputs'!$B$32)/1000+'Inputs'!$B$21))^2+('Inputs'!$B$6/2)^2)))-'Results'!C7*(1+'Inputs'!$B$24)*(0.5*((((590-43)*MAX('Inputs'!$B$33,'Inputs'!$B$29+'Inputs'!$B$31+'Inputs'!$B$32,'Inputs'!$B$30+'Inputs'!$B$31+'Inputs'!$B$32)/1000+'Inputs'!$B$21+'Inputs'!$B$7+'Inputs'!$B$10)+'Inputs'!$B$9)/SQRT((((590-43)*MAX('Inputs'!$B$33,'Inputs'!$B$29+'Inputs'!$B$31+'Inputs'!$B$32,'Inputs'!$B$30+'Inputs'!$B$31+'Inputs'!$B$32)/1000+'Inputs'!$B$21+'Inputs'!$B$7+'Inputs'!$B$10)+'Inputs'!$B$9)^2+('Inputs'!$B$8/2)^2)-(((590-43)*MAX('Inputs'!$B$33,'Inputs'!$B$29+'Inputs'!$B$31+'Inputs'!$B$32,'Inputs'!$B$30+'Inputs'!$B$31+'Inputs'!$B$32)/1000+'Inputs'!$B$21+'Inputs'!$B$7+'Inputs'!$B$10))/SQRT((((590-43)*MAX('Inputs'!$B$33,'Inputs'!$B$29+'Inputs'!$B$31+'Inputs'!$B$32,'Inputs'!$B$30+'Inputs'!$B$31+'Inputs'!$B$32)/1000+'Inputs'!$B$21+'Inputs'!$B$7+'Inputs'!$B$10))^2+('Inputs'!$B$8/2)^2))))*'Results'!$B$8)-'Inputs'!$B$28*ABS((('Results'!B7*(1-'Inputs'!$B$24)*(0.5*((((590-43)*MAX('Inputs'!$B$33,'Inputs'!$B$29+'Inputs'!$B$31+'Inputs'!$B$32,'Inputs'!$B$30+'Inputs'!$B$31+'Inputs'!$B$32)/1000+'Inputs'!$B$21)+'Inputs'!$B$7)/SQRT((((590-43)*MAX('Inputs'!$B$33,'Inputs'!$B$29+'Inputs'!$B$31+'Inputs'!$B$32,'Inputs'!$B$30+'Inputs'!$B$31+'Inputs'!$B$32)/1000+'Inputs'!$B$21)+'Inputs'!$B$7)^2+('Inputs'!$B$6/2)^2)-(((590-43)*MAX('Inputs'!$B$33,'Inputs'!$B$29+'Inputs'!$B$31+'Inputs'!$B$32,'Inputs'!$B$30+'Inputs'!$B$31+'Inputs'!$B$32)/1000+'Inputs'!$B$21))/SQRT((((590-43)*MAX('Inputs'!$B$33,'Inputs'!$B$29+'Inputs'!$B$31+'Inputs'!$B$32,'Inputs'!$B$30+'Inputs'!$B$31+'Inputs'!$B$32)/1000+'Inputs'!$B$21))^2+('Inputs'!$B$6/2)^2)))-'Results'!C7*(1+'Inputs'!$B$24)*(0.5*((((590-43)*MAX('Inputs'!$B$33,'Inputs'!$B$29+'Inputs'!$B$31+'Inputs'!$B$32,'Inputs'!$B$30+'Inputs'!$B$31+'Inputs'!$B$32)/1000+'Inputs'!$B$21+'Inputs'!$B$7+'Inputs'!$B$10)+'Inputs'!$B$9)/SQRT((((590-43)*MAX('Inputs'!$B$33,'Inputs'!$B$29+'Inputs'!$B$31+'Inputs'!$B$32,'Inputs'!$B$30+'Inputs'!$B$31+'Inputs'!$B$32)/1000+'Inputs'!$B$21+'Inputs'!$B$7+'Inputs'!$B$10)+'Inputs'!$B$9)^2+('Inputs'!$B$8/2)^2)-(((590-43)*MAX('Inputs'!$B$33,'Inputs'!$B$29+'Inputs'!$B$31+'Inputs'!$B$32,'Inputs'!$B$30+'Inputs'!$B$31+'Inputs'!$B$32)/1000+'Inputs'!$B$21+'Inputs'!$B$7+'Inputs'!$B$10))/SQRT((((590-43)*MAX('Inputs'!$B$33,'Inputs'!$B$29+'Inputs'!$B$31+'Inputs'!$B$32,'Inputs'!$B$30+'Inputs'!$B$31+'Inputs'!$B$32)/1000+'Inputs'!$B$21+'Inputs'!$B$7+'Inputs'!$B$10))^2+('Inputs'!$B$8/2)^2))))*'Results'!$B$8))),"")</x:f>
        <x:v>2.7039087487084106</x:v>
      </x:c>
      <x:c r="L590" t="n">
        <x:f>IF(AND(ISNUMBER('Results'!B7),ISNUMBER('Results'!C7),ISNUMBER('Results'!$B$8),ISNUMBER('Inputs'!$B$6),ISNUMBER('Inputs'!$B$7),ISNUMBER('Inputs'!$B$8),ISNUMBER('Inputs'!$B$9),ISNUMBER('Inputs'!$B$10),ISNUMBER('Inputs'!$B$21),ISNUMBER('Inputs'!$B$24),ISNUMBER('Inputs'!$B$28)),((('Results'!B7*(1+'Inputs'!$B$24)*(0.5*((((590-43)*MAX('Inputs'!$B$33,'Inputs'!$B$29+'Inputs'!$B$31+'Inputs'!$B$32,'Inputs'!$B$30+'Inputs'!$B$31+'Inputs'!$B$32)/1000+'Inputs'!$B$21)+'Inputs'!$B$7)/SQRT((((590-43)*MAX('Inputs'!$B$33,'Inputs'!$B$29+'Inputs'!$B$31+'Inputs'!$B$32,'Inputs'!$B$30+'Inputs'!$B$31+'Inputs'!$B$32)/1000+'Inputs'!$B$21)+'Inputs'!$B$7)^2+('Inputs'!$B$6/2)^2)-(((590-43)*MAX('Inputs'!$B$33,'Inputs'!$B$29+'Inputs'!$B$31+'Inputs'!$B$32,'Inputs'!$B$30+'Inputs'!$B$31+'Inputs'!$B$32)/1000+'Inputs'!$B$21))/SQRT((((590-43)*MAX('Inputs'!$B$33,'Inputs'!$B$29+'Inputs'!$B$31+'Inputs'!$B$32,'Inputs'!$B$30+'Inputs'!$B$31+'Inputs'!$B$32)/1000+'Inputs'!$B$21))^2+('Inputs'!$B$6/2)^2)))-'Results'!C7*(1-'Inputs'!$B$24)*(0.5*((((590-43)*MAX('Inputs'!$B$33,'Inputs'!$B$29+'Inputs'!$B$31+'Inputs'!$B$32,'Inputs'!$B$30+'Inputs'!$B$31+'Inputs'!$B$32)/1000+'Inputs'!$B$21+'Inputs'!$B$7+'Inputs'!$B$10)+'Inputs'!$B$9)/SQRT((((590-43)*MAX('Inputs'!$B$33,'Inputs'!$B$29+'Inputs'!$B$31+'Inputs'!$B$32,'Inputs'!$B$30+'Inputs'!$B$31+'Inputs'!$B$32)/1000+'Inputs'!$B$21+'Inputs'!$B$7+'Inputs'!$B$10)+'Inputs'!$B$9)^2+('Inputs'!$B$8/2)^2)-(((590-43)*MAX('Inputs'!$B$33,'Inputs'!$B$29+'Inputs'!$B$31+'Inputs'!$B$32,'Inputs'!$B$30+'Inputs'!$B$31+'Inputs'!$B$32)/1000+'Inputs'!$B$21+'Inputs'!$B$7+'Inputs'!$B$10))/SQRT((((590-43)*MAX('Inputs'!$B$33,'Inputs'!$B$29+'Inputs'!$B$31+'Inputs'!$B$32,'Inputs'!$B$30+'Inputs'!$B$31+'Inputs'!$B$32)/1000+'Inputs'!$B$21+'Inputs'!$B$7+'Inputs'!$B$10))^2+('Inputs'!$B$8/2)^2))))*'Results'!$B$8)+'Inputs'!$B$28*ABS((('Results'!B7*(1+'Inputs'!$B$24)*(0.5*((((590-43)*MAX('Inputs'!$B$33,'Inputs'!$B$29+'Inputs'!$B$31+'Inputs'!$B$32,'Inputs'!$B$30+'Inputs'!$B$31+'Inputs'!$B$32)/1000+'Inputs'!$B$21)+'Inputs'!$B$7)/SQRT((((590-43)*MAX('Inputs'!$B$33,'Inputs'!$B$29+'Inputs'!$B$31+'Inputs'!$B$32,'Inputs'!$B$30+'Inputs'!$B$31+'Inputs'!$B$32)/1000+'Inputs'!$B$21)+'Inputs'!$B$7)^2+('Inputs'!$B$6/2)^2)-(((590-43)*MAX('Inputs'!$B$33,'Inputs'!$B$29+'Inputs'!$B$31+'Inputs'!$B$32,'Inputs'!$B$30+'Inputs'!$B$31+'Inputs'!$B$32)/1000+'Inputs'!$B$21))/SQRT((((590-43)*MAX('Inputs'!$B$33,'Inputs'!$B$29+'Inputs'!$B$31+'Inputs'!$B$32,'Inputs'!$B$30+'Inputs'!$B$31+'Inputs'!$B$32)/1000+'Inputs'!$B$21))^2+('Inputs'!$B$6/2)^2)))-'Results'!C7*(1-'Inputs'!$B$24)*(0.5*((((590-43)*MAX('Inputs'!$B$33,'Inputs'!$B$29+'Inputs'!$B$31+'Inputs'!$B$32,'Inputs'!$B$30+'Inputs'!$B$31+'Inputs'!$B$32)/1000+'Inputs'!$B$21+'Inputs'!$B$7+'Inputs'!$B$10)+'Inputs'!$B$9)/SQRT((((590-43)*MAX('Inputs'!$B$33,'Inputs'!$B$29+'Inputs'!$B$31+'Inputs'!$B$32,'Inputs'!$B$30+'Inputs'!$B$31+'Inputs'!$B$32)/1000+'Inputs'!$B$21+'Inputs'!$B$7+'Inputs'!$B$10)+'Inputs'!$B$9)^2+('Inputs'!$B$8/2)^2)-(((590-43)*MAX('Inputs'!$B$33,'Inputs'!$B$29+'Inputs'!$B$31+'Inputs'!$B$32,'Inputs'!$B$30+'Inputs'!$B$31+'Inputs'!$B$32)/1000+'Inputs'!$B$21+'Inputs'!$B$7+'Inputs'!$B$10))/SQRT((((590-43)*MAX('Inputs'!$B$33,'Inputs'!$B$29+'Inputs'!$B$31+'Inputs'!$B$32,'Inputs'!$B$30+'Inputs'!$B$31+'Inputs'!$B$32)/1000+'Inputs'!$B$21+'Inputs'!$B$7+'Inputs'!$B$10))^2+('Inputs'!$B$8/2)^2))))*'Results'!$B$8))),"")</x:f>
        <x:v>3.4571229720423307</x:v>
      </x:c>
      <x:c r="M590" t="n">
        <x:f>IF(AND(ISNUMBER('Results'!C7),ISNUMBER('Results'!B7),ISNUMBER('Results'!$B$8),ISNUMBER('Inputs'!$B$6),ISNUMBER('Inputs'!$B$7),ISNUMBER('Inputs'!$B$8),ISNUMBER('Inputs'!$B$9),ISNUMBER('Inputs'!$B$10),ISNUMBER('Inputs'!$B$21),ISNUMBER('Inputs'!$B$24),ISNUMBER('Inputs'!$B$28)),(('Results'!C7*(0.5*((((590-43)*MAX('Inputs'!$B$33,'Inputs'!$B$29+'Inputs'!$B$31+'Inputs'!$B$32,'Inputs'!$B$30+'Inputs'!$B$31+'Inputs'!$B$32)/1000+'Inputs'!$B$21)+'Inputs'!$B$9)/SQRT((((590-43)*MAX('Inputs'!$B$33,'Inputs'!$B$29+'Inputs'!$B$31+'Inputs'!$B$32,'Inputs'!$B$30+'Inputs'!$B$31+'Inputs'!$B$32)/1000+'Inputs'!$B$21)+'Inputs'!$B$9)^2+('Inputs'!$B$8/2)^2)-(((590-43)*MAX('Inputs'!$B$33,'Inputs'!$B$29+'Inputs'!$B$31+'Inputs'!$B$32,'Inputs'!$B$30+'Inputs'!$B$31+'Inputs'!$B$32)/1000+'Inputs'!$B$21))/SQRT((((590-43)*MAX('Inputs'!$B$33,'Inputs'!$B$29+'Inputs'!$B$31+'Inputs'!$B$32,'Inputs'!$B$30+'Inputs'!$B$31+'Inputs'!$B$32)/1000+'Inputs'!$B$21))^2+('Inputs'!$B$8/2)^2)))-'Results'!B7*(0.5*((((590-43)*MAX('Inputs'!$B$33,'Inputs'!$B$29+'Inputs'!$B$31+'Inputs'!$B$32,'Inputs'!$B$30+'Inputs'!$B$31+'Inputs'!$B$32)/1000+'Inputs'!$B$21+'Inputs'!$B$9+'Inputs'!$B$10)+'Inputs'!$B$7)/SQRT((((590-43)*MAX('Inputs'!$B$33,'Inputs'!$B$29+'Inputs'!$B$31+'Inputs'!$B$32,'Inputs'!$B$30+'Inputs'!$B$31+'Inputs'!$B$32)/1000+'Inputs'!$B$21+'Inputs'!$B$9+'Inputs'!$B$10)+'Inputs'!$B$7)^2+('Inputs'!$B$6/2)^2)-(((590-43)*MAX('Inputs'!$B$33,'Inputs'!$B$29+'Inputs'!$B$31+'Inputs'!$B$32,'Inputs'!$B$30+'Inputs'!$B$31+'Inputs'!$B$32)/1000+'Inputs'!$B$21+'Inputs'!$B$9+'Inputs'!$B$10))/SQRT((((590-43)*MAX('Inputs'!$B$33,'Inputs'!$B$29+'Inputs'!$B$31+'Inputs'!$B$32,'Inputs'!$B$30+'Inputs'!$B$31+'Inputs'!$B$32)/1000+'Inputs'!$B$21+'Inputs'!$B$9+'Inputs'!$B$10))^2+('Inputs'!$B$6/2)^2))))*'Results'!$B$8),"")</x:f>
        <x:v>2.844569204987398</x:v>
      </x:c>
      <x:c r="N590" t="n">
        <x:f>IF(AND(ISNUMBER('Results'!C7),ISNUMBER('Results'!B7),ISNUMBER('Results'!$B$8),ISNUMBER('Inputs'!$B$6),ISNUMBER('Inputs'!$B$7),ISNUMBER('Inputs'!$B$8),ISNUMBER('Inputs'!$B$9),ISNUMBER('Inputs'!$B$10),ISNUMBER('Inputs'!$B$21),ISNUMBER('Inputs'!$B$24),ISNUMBER('Inputs'!$B$28)),((('Results'!C7*(1-'Inputs'!$B$24)*(0.5*((((590-43)*MAX('Inputs'!$B$33,'Inputs'!$B$29+'Inputs'!$B$31+'Inputs'!$B$32,'Inputs'!$B$30+'Inputs'!$B$31+'Inputs'!$B$32)/1000+'Inputs'!$B$21)+'Inputs'!$B$9)/SQRT((((590-43)*MAX('Inputs'!$B$33,'Inputs'!$B$29+'Inputs'!$B$31+'Inputs'!$B$32,'Inputs'!$B$30+'Inputs'!$B$31+'Inputs'!$B$32)/1000+'Inputs'!$B$21)+'Inputs'!$B$9)^2+('Inputs'!$B$8/2)^2)-(((590-43)*MAX('Inputs'!$B$33,'Inputs'!$B$29+'Inputs'!$B$31+'Inputs'!$B$32,'Inputs'!$B$30+'Inputs'!$B$31+'Inputs'!$B$32)/1000+'Inputs'!$B$21))/SQRT((((590-43)*MAX('Inputs'!$B$33,'Inputs'!$B$29+'Inputs'!$B$31+'Inputs'!$B$32,'Inputs'!$B$30+'Inputs'!$B$31+'Inputs'!$B$32)/1000+'Inputs'!$B$21))^2+('Inputs'!$B$8/2)^2)))-'Results'!B7*(1+'Inputs'!$B$24)*(0.5*((((590-43)*MAX('Inputs'!$B$33,'Inputs'!$B$29+'Inputs'!$B$31+'Inputs'!$B$32,'Inputs'!$B$30+'Inputs'!$B$31+'Inputs'!$B$32)/1000+'Inputs'!$B$21+'Inputs'!$B$9+'Inputs'!$B$10)+'Inputs'!$B$7)/SQRT((((590-43)*MAX('Inputs'!$B$33,'Inputs'!$B$29+'Inputs'!$B$31+'Inputs'!$B$32,'Inputs'!$B$30+'Inputs'!$B$31+'Inputs'!$B$32)/1000+'Inputs'!$B$21+'Inputs'!$B$9+'Inputs'!$B$10)+'Inputs'!$B$7)^2+('Inputs'!$B$6/2)^2)-(((590-43)*MAX('Inputs'!$B$33,'Inputs'!$B$29+'Inputs'!$B$31+'Inputs'!$B$32,'Inputs'!$B$30+'Inputs'!$B$31+'Inputs'!$B$32)/1000+'Inputs'!$B$21+'Inputs'!$B$9+'Inputs'!$B$10))/SQRT((((590-43)*MAX('Inputs'!$B$33,'Inputs'!$B$29+'Inputs'!$B$31+'Inputs'!$B$32,'Inputs'!$B$30+'Inputs'!$B$31+'Inputs'!$B$32)/1000+'Inputs'!$B$21+'Inputs'!$B$9+'Inputs'!$B$10))^2+('Inputs'!$B$6/2)^2))))*'Results'!$B$8)-'Inputs'!$B$28*ABS((('Results'!C7*(1-'Inputs'!$B$24)*(0.5*((((590-43)*MAX('Inputs'!$B$33,'Inputs'!$B$29+'Inputs'!$B$31+'Inputs'!$B$32,'Inputs'!$B$30+'Inputs'!$B$31+'Inputs'!$B$32)/1000+'Inputs'!$B$21)+'Inputs'!$B$9)/SQRT((((590-43)*MAX('Inputs'!$B$33,'Inputs'!$B$29+'Inputs'!$B$31+'Inputs'!$B$32,'Inputs'!$B$30+'Inputs'!$B$31+'Inputs'!$B$32)/1000+'Inputs'!$B$21)+'Inputs'!$B$9)^2+('Inputs'!$B$8/2)^2)-(((590-43)*MAX('Inputs'!$B$33,'Inputs'!$B$29+'Inputs'!$B$31+'Inputs'!$B$32,'Inputs'!$B$30+'Inputs'!$B$31+'Inputs'!$B$32)/1000+'Inputs'!$B$21))/SQRT((((590-43)*MAX('Inputs'!$B$33,'Inputs'!$B$29+'Inputs'!$B$31+'Inputs'!$B$32,'Inputs'!$B$30+'Inputs'!$B$31+'Inputs'!$B$32)/1000+'Inputs'!$B$21))^2+('Inputs'!$B$8/2)^2)))-'Results'!B7*(1+'Inputs'!$B$24)*(0.5*((((590-43)*MAX('Inputs'!$B$33,'Inputs'!$B$29+'Inputs'!$B$31+'Inputs'!$B$32,'Inputs'!$B$30+'Inputs'!$B$31+'Inputs'!$B$32)/1000+'Inputs'!$B$21+'Inputs'!$B$9+'Inputs'!$B$10)+'Inputs'!$B$7)/SQRT((((590-43)*MAX('Inputs'!$B$33,'Inputs'!$B$29+'Inputs'!$B$31+'Inputs'!$B$32,'Inputs'!$B$30+'Inputs'!$B$31+'Inputs'!$B$32)/1000+'Inputs'!$B$21+'Inputs'!$B$9+'Inputs'!$B$10)+'Inputs'!$B$7)^2+('Inputs'!$B$6/2)^2)-(((590-43)*MAX('Inputs'!$B$33,'Inputs'!$B$29+'Inputs'!$B$31+'Inputs'!$B$32,'Inputs'!$B$30+'Inputs'!$B$31+'Inputs'!$B$32)/1000+'Inputs'!$B$21+'Inputs'!$B$9+'Inputs'!$B$10))/SQRT((((590-43)*MAX('Inputs'!$B$33,'Inputs'!$B$29+'Inputs'!$B$31+'Inputs'!$B$32,'Inputs'!$B$30+'Inputs'!$B$31+'Inputs'!$B$32)/1000+'Inputs'!$B$21+'Inputs'!$B$9+'Inputs'!$B$10))^2+('Inputs'!$B$6/2)^2))))*'Results'!$B$8))),"")</x:f>
        <x:v>2.4914935328050247</x:v>
      </x:c>
      <x:c r="O590" t="n">
        <x:f>IF(AND(ISNUMBER('Results'!C7),ISNUMBER('Results'!B7),ISNUMBER('Results'!$B$8),ISNUMBER('Inputs'!$B$6),ISNUMBER('Inputs'!$B$7),ISNUMBER('Inputs'!$B$8),ISNUMBER('Inputs'!$B$9),ISNUMBER('Inputs'!$B$10),ISNUMBER('Inputs'!$B$21),ISNUMBER('Inputs'!$B$24),ISNUMBER('Inputs'!$B$28)),((('Results'!C7*(1+'Inputs'!$B$24)*(0.5*((((590-43)*MAX('Inputs'!$B$33,'Inputs'!$B$29+'Inputs'!$B$31+'Inputs'!$B$32,'Inputs'!$B$30+'Inputs'!$B$31+'Inputs'!$B$32)/1000+'Inputs'!$B$21)+'Inputs'!$B$9)/SQRT((((590-43)*MAX('Inputs'!$B$33,'Inputs'!$B$29+'Inputs'!$B$31+'Inputs'!$B$32,'Inputs'!$B$30+'Inputs'!$B$31+'Inputs'!$B$32)/1000+'Inputs'!$B$21)+'Inputs'!$B$9)^2+('Inputs'!$B$8/2)^2)-(((590-43)*MAX('Inputs'!$B$33,'Inputs'!$B$29+'Inputs'!$B$31+'Inputs'!$B$32,'Inputs'!$B$30+'Inputs'!$B$31+'Inputs'!$B$32)/1000+'Inputs'!$B$21))/SQRT((((590-43)*MAX('Inputs'!$B$33,'Inputs'!$B$29+'Inputs'!$B$31+'Inputs'!$B$32,'Inputs'!$B$30+'Inputs'!$B$31+'Inputs'!$B$32)/1000+'Inputs'!$B$21))^2+('Inputs'!$B$8/2)^2)))-'Results'!B7*(1-'Inputs'!$B$24)*(0.5*((((590-43)*MAX('Inputs'!$B$33,'Inputs'!$B$29+'Inputs'!$B$31+'Inputs'!$B$32,'Inputs'!$B$30+'Inputs'!$B$31+'Inputs'!$B$32)/1000+'Inputs'!$B$21+'Inputs'!$B$9+'Inputs'!$B$10)+'Inputs'!$B$7)/SQRT((((590-43)*MAX('Inputs'!$B$33,'Inputs'!$B$29+'Inputs'!$B$31+'Inputs'!$B$32,'Inputs'!$B$30+'Inputs'!$B$31+'Inputs'!$B$32)/1000+'Inputs'!$B$21+'Inputs'!$B$9+'Inputs'!$B$10)+'Inputs'!$B$7)^2+('Inputs'!$B$6/2)^2)-(((590-43)*MAX('Inputs'!$B$33,'Inputs'!$B$29+'Inputs'!$B$31+'Inputs'!$B$32,'Inputs'!$B$30+'Inputs'!$B$31+'Inputs'!$B$32)/1000+'Inputs'!$B$21+'Inputs'!$B$9+'Inputs'!$B$10))/SQRT((((590-43)*MAX('Inputs'!$B$33,'Inputs'!$B$29+'Inputs'!$B$31+'Inputs'!$B$32,'Inputs'!$B$30+'Inputs'!$B$31+'Inputs'!$B$32)/1000+'Inputs'!$B$21+'Inputs'!$B$9+'Inputs'!$B$10))^2+('Inputs'!$B$6/2)^2))))*'Results'!$B$8)+'Inputs'!$B$28*ABS((('Results'!C7*(1+'Inputs'!$B$24)*(0.5*((((590-43)*MAX('Inputs'!$B$33,'Inputs'!$B$29+'Inputs'!$B$31+'Inputs'!$B$32,'Inputs'!$B$30+'Inputs'!$B$31+'Inputs'!$B$32)/1000+'Inputs'!$B$21)+'Inputs'!$B$9)/SQRT((((590-43)*MAX('Inputs'!$B$33,'Inputs'!$B$29+'Inputs'!$B$31+'Inputs'!$B$32,'Inputs'!$B$30+'Inputs'!$B$31+'Inputs'!$B$32)/1000+'Inputs'!$B$21)+'Inputs'!$B$9)^2+('Inputs'!$B$8/2)^2)-(((590-43)*MAX('Inputs'!$B$33,'Inputs'!$B$29+'Inputs'!$B$31+'Inputs'!$B$32,'Inputs'!$B$30+'Inputs'!$B$31+'Inputs'!$B$32)/1000+'Inputs'!$B$21))/SQRT((((590-43)*MAX('Inputs'!$B$33,'Inputs'!$B$29+'Inputs'!$B$31+'Inputs'!$B$32,'Inputs'!$B$30+'Inputs'!$B$31+'Inputs'!$B$32)/1000+'Inputs'!$B$21))^2+('Inputs'!$B$8/2)^2)))-'Results'!B7*(1-'Inputs'!$B$24)*(0.5*((((590-43)*MAX('Inputs'!$B$33,'Inputs'!$B$29+'Inputs'!$B$31+'Inputs'!$B$32,'Inputs'!$B$30+'Inputs'!$B$31+'Inputs'!$B$32)/1000+'Inputs'!$B$21+'Inputs'!$B$9+'Inputs'!$B$10)+'Inputs'!$B$7)/SQRT((((590-43)*MAX('Inputs'!$B$33,'Inputs'!$B$29+'Inputs'!$B$31+'Inputs'!$B$32,'Inputs'!$B$30+'Inputs'!$B$31+'Inputs'!$B$32)/1000+'Inputs'!$B$21+'Inputs'!$B$9+'Inputs'!$B$10)+'Inputs'!$B$7)^2+('Inputs'!$B$6/2)^2)-(((590-43)*MAX('Inputs'!$B$33,'Inputs'!$B$29+'Inputs'!$B$31+'Inputs'!$B$32,'Inputs'!$B$30+'Inputs'!$B$31+'Inputs'!$B$32)/1000+'Inputs'!$B$21+'Inputs'!$B$9+'Inputs'!$B$10))/SQRT((((590-43)*MAX('Inputs'!$B$33,'Inputs'!$B$29+'Inputs'!$B$31+'Inputs'!$B$32,'Inputs'!$B$30+'Inputs'!$B$31+'Inputs'!$B$32)/1000+'Inputs'!$B$21+'Inputs'!$B$9+'Inputs'!$B$10))^2+('Inputs'!$B$6/2)^2))))*'Results'!$B$8))),"")</x:f>
        <x:v>3.2198393205311406</x:v>
      </x:c>
      <x:c r="P590" t="n">
        <x:f>IF(AND(MAX(J590,J589)&gt;0,J590&gt;J589+0.00000001),1,0)</x:f>
        <x:v>0</x:v>
      </x:c>
      <x:c r="Q590" t="n">
        <x:f>IF(AND(MAX(K590,K589)&gt;0,K590&gt;K589+0.00000001),1,0)</x:f>
        <x:v>0</x:v>
      </x:c>
      <x:c r="R590" t="n">
        <x:f>IF(AND(MAX(L590,L589)&gt;0,L590&gt;L589+0.00000001),1,0)</x:f>
        <x:v>0</x:v>
      </x:c>
      <x:c r="S590" t="n">
        <x:f>IF(AND(MAX(M590,M589)&gt;0,M590&gt;M589+0.00000001),1,0)</x:f>
        <x:v>0</x:v>
      </x:c>
      <x:c r="T590" t="n">
        <x:f>IF(AND(MAX(N590,N589)&gt;0,N590&gt;N589+0.00000001),1,0)</x:f>
        <x:v>0</x:v>
      </x:c>
      <x:c r="U590" t="n">
        <x:f>IF(AND(MAX(O590,O589)&gt;0,O590&gt;O589+0.00000001),1,0)</x:f>
        <x:v>0</x:v>
      </x:c>
    </x:row>
    <x:row r="591">
      <x:c r="J591" t="n">
        <x:f>IF(AND(ISNUMBER('Results'!B7),ISNUMBER('Results'!C7),ISNUMBER('Results'!$B$8),ISNUMBER('Inputs'!$B$6),ISNUMBER('Inputs'!$B$7),ISNUMBER('Inputs'!$B$8),ISNUMBER('Inputs'!$B$9),ISNUMBER('Inputs'!$B$10),ISNUMBER('Inputs'!$B$21),ISNUMBER('Inputs'!$B$24),ISNUMBER('Inputs'!$B$28)),(('Results'!B7*(0.5*((((591-43)*MAX('Inputs'!$B$33,'Inputs'!$B$29+'Inputs'!$B$31+'Inputs'!$B$32,'Inputs'!$B$30+'Inputs'!$B$31+'Inputs'!$B$32)/1000+'Inputs'!$B$21)+'Inputs'!$B$7)/SQRT((((591-43)*MAX('Inputs'!$B$33,'Inputs'!$B$29+'Inputs'!$B$31+'Inputs'!$B$32,'Inputs'!$B$30+'Inputs'!$B$31+'Inputs'!$B$32)/1000+'Inputs'!$B$21)+'Inputs'!$B$7)^2+('Inputs'!$B$6/2)^2)-(((591-43)*MAX('Inputs'!$B$33,'Inputs'!$B$29+'Inputs'!$B$31+'Inputs'!$B$32,'Inputs'!$B$30+'Inputs'!$B$31+'Inputs'!$B$32)/1000+'Inputs'!$B$21))/SQRT((((591-43)*MAX('Inputs'!$B$33,'Inputs'!$B$29+'Inputs'!$B$31+'Inputs'!$B$32,'Inputs'!$B$30+'Inputs'!$B$31+'Inputs'!$B$32)/1000+'Inputs'!$B$21))^2+('Inputs'!$B$6/2)^2)))-'Results'!C7*(0.5*((((591-43)*MAX('Inputs'!$B$33,'Inputs'!$B$29+'Inputs'!$B$31+'Inputs'!$B$32,'Inputs'!$B$30+'Inputs'!$B$31+'Inputs'!$B$32)/1000+'Inputs'!$B$21+'Inputs'!$B$7+'Inputs'!$B$10)+'Inputs'!$B$9)/SQRT((((591-43)*MAX('Inputs'!$B$33,'Inputs'!$B$29+'Inputs'!$B$31+'Inputs'!$B$32,'Inputs'!$B$30+'Inputs'!$B$31+'Inputs'!$B$32)/1000+'Inputs'!$B$21+'Inputs'!$B$7+'Inputs'!$B$10)+'Inputs'!$B$9)^2+('Inputs'!$B$8/2)^2)-(((591-43)*MAX('Inputs'!$B$33,'Inputs'!$B$29+'Inputs'!$B$31+'Inputs'!$B$32,'Inputs'!$B$30+'Inputs'!$B$31+'Inputs'!$B$32)/1000+'Inputs'!$B$21+'Inputs'!$B$7+'Inputs'!$B$10))/SQRT((((591-43)*MAX('Inputs'!$B$33,'Inputs'!$B$29+'Inputs'!$B$31+'Inputs'!$B$32,'Inputs'!$B$30+'Inputs'!$B$31+'Inputs'!$B$32)/1000+'Inputs'!$B$21+'Inputs'!$B$7+'Inputs'!$B$10))^2+('Inputs'!$B$8/2)^2))))*'Results'!$B$8),"")</x:f>
        <x:v>3.050037837313766</x:v>
      </x:c>
      <x:c r="K591" t="n">
        <x:f>IF(AND(ISNUMBER('Results'!B7),ISNUMBER('Results'!C7),ISNUMBER('Results'!$B$8),ISNUMBER('Inputs'!$B$6),ISNUMBER('Inputs'!$B$7),ISNUMBER('Inputs'!$B$8),ISNUMBER('Inputs'!$B$9),ISNUMBER('Inputs'!$B$10),ISNUMBER('Inputs'!$B$21),ISNUMBER('Inputs'!$B$24),ISNUMBER('Inputs'!$B$28)),((('Results'!B7*(1-'Inputs'!$B$24)*(0.5*((((591-43)*MAX('Inputs'!$B$33,'Inputs'!$B$29+'Inputs'!$B$31+'Inputs'!$B$32,'Inputs'!$B$30+'Inputs'!$B$31+'Inputs'!$B$32)/1000+'Inputs'!$B$21)+'Inputs'!$B$7)/SQRT((((591-43)*MAX('Inputs'!$B$33,'Inputs'!$B$29+'Inputs'!$B$31+'Inputs'!$B$32,'Inputs'!$B$30+'Inputs'!$B$31+'Inputs'!$B$32)/1000+'Inputs'!$B$21)+'Inputs'!$B$7)^2+('Inputs'!$B$6/2)^2)-(((591-43)*MAX('Inputs'!$B$33,'Inputs'!$B$29+'Inputs'!$B$31+'Inputs'!$B$32,'Inputs'!$B$30+'Inputs'!$B$31+'Inputs'!$B$32)/1000+'Inputs'!$B$21))/SQRT((((591-43)*MAX('Inputs'!$B$33,'Inputs'!$B$29+'Inputs'!$B$31+'Inputs'!$B$32,'Inputs'!$B$30+'Inputs'!$B$31+'Inputs'!$B$32)/1000+'Inputs'!$B$21))^2+('Inputs'!$B$6/2)^2)))-'Results'!C7*(1+'Inputs'!$B$24)*(0.5*((((591-43)*MAX('Inputs'!$B$33,'Inputs'!$B$29+'Inputs'!$B$31+'Inputs'!$B$32,'Inputs'!$B$30+'Inputs'!$B$31+'Inputs'!$B$32)/1000+'Inputs'!$B$21+'Inputs'!$B$7+'Inputs'!$B$10)+'Inputs'!$B$9)/SQRT((((591-43)*MAX('Inputs'!$B$33,'Inputs'!$B$29+'Inputs'!$B$31+'Inputs'!$B$32,'Inputs'!$B$30+'Inputs'!$B$31+'Inputs'!$B$32)/1000+'Inputs'!$B$21+'Inputs'!$B$7+'Inputs'!$B$10)+'Inputs'!$B$9)^2+('Inputs'!$B$8/2)^2)-(((591-43)*MAX('Inputs'!$B$33,'Inputs'!$B$29+'Inputs'!$B$31+'Inputs'!$B$32,'Inputs'!$B$30+'Inputs'!$B$31+'Inputs'!$B$32)/1000+'Inputs'!$B$21+'Inputs'!$B$7+'Inputs'!$B$10))/SQRT((((591-43)*MAX('Inputs'!$B$33,'Inputs'!$B$29+'Inputs'!$B$31+'Inputs'!$B$32,'Inputs'!$B$30+'Inputs'!$B$31+'Inputs'!$B$32)/1000+'Inputs'!$B$21+'Inputs'!$B$7+'Inputs'!$B$10))^2+('Inputs'!$B$8/2)^2))))*'Results'!$B$8)-'Inputs'!$B$28*ABS((('Results'!B7*(1-'Inputs'!$B$24)*(0.5*((((591-43)*MAX('Inputs'!$B$33,'Inputs'!$B$29+'Inputs'!$B$31+'Inputs'!$B$32,'Inputs'!$B$30+'Inputs'!$B$31+'Inputs'!$B$32)/1000+'Inputs'!$B$21)+'Inputs'!$B$7)/SQRT((((591-43)*MAX('Inputs'!$B$33,'Inputs'!$B$29+'Inputs'!$B$31+'Inputs'!$B$32,'Inputs'!$B$30+'Inputs'!$B$31+'Inputs'!$B$32)/1000+'Inputs'!$B$21)+'Inputs'!$B$7)^2+('Inputs'!$B$6/2)^2)-(((591-43)*MAX('Inputs'!$B$33,'Inputs'!$B$29+'Inputs'!$B$31+'Inputs'!$B$32,'Inputs'!$B$30+'Inputs'!$B$31+'Inputs'!$B$32)/1000+'Inputs'!$B$21))/SQRT((((591-43)*MAX('Inputs'!$B$33,'Inputs'!$B$29+'Inputs'!$B$31+'Inputs'!$B$32,'Inputs'!$B$30+'Inputs'!$B$31+'Inputs'!$B$32)/1000+'Inputs'!$B$21))^2+('Inputs'!$B$6/2)^2)))-'Results'!C7*(1+'Inputs'!$B$24)*(0.5*((((591-43)*MAX('Inputs'!$B$33,'Inputs'!$B$29+'Inputs'!$B$31+'Inputs'!$B$32,'Inputs'!$B$30+'Inputs'!$B$31+'Inputs'!$B$32)/1000+'Inputs'!$B$21+'Inputs'!$B$7+'Inputs'!$B$10)+'Inputs'!$B$9)/SQRT((((591-43)*MAX('Inputs'!$B$33,'Inputs'!$B$29+'Inputs'!$B$31+'Inputs'!$B$32,'Inputs'!$B$30+'Inputs'!$B$31+'Inputs'!$B$32)/1000+'Inputs'!$B$21+'Inputs'!$B$7+'Inputs'!$B$10)+'Inputs'!$B$9)^2+('Inputs'!$B$8/2)^2)-(((591-43)*MAX('Inputs'!$B$33,'Inputs'!$B$29+'Inputs'!$B$31+'Inputs'!$B$32,'Inputs'!$B$30+'Inputs'!$B$31+'Inputs'!$B$32)/1000+'Inputs'!$B$21+'Inputs'!$B$7+'Inputs'!$B$10))/SQRT((((591-43)*MAX('Inputs'!$B$33,'Inputs'!$B$29+'Inputs'!$B$31+'Inputs'!$B$32,'Inputs'!$B$30+'Inputs'!$B$31+'Inputs'!$B$32)/1000+'Inputs'!$B$21+'Inputs'!$B$7+'Inputs'!$B$10))^2+('Inputs'!$B$8/2)^2))))*'Results'!$B$8))),"")</x:f>
        <x:v>2.68658698746703</x:v>
      </x:c>
      <x:c r="L591" t="n">
        <x:f>IF(AND(ISNUMBER('Results'!B7),ISNUMBER('Results'!C7),ISNUMBER('Results'!$B$8),ISNUMBER('Inputs'!$B$6),ISNUMBER('Inputs'!$B$7),ISNUMBER('Inputs'!$B$8),ISNUMBER('Inputs'!$B$9),ISNUMBER('Inputs'!$B$10),ISNUMBER('Inputs'!$B$21),ISNUMBER('Inputs'!$B$24),ISNUMBER('Inputs'!$B$28)),((('Results'!B7*(1+'Inputs'!$B$24)*(0.5*((((591-43)*MAX('Inputs'!$B$33,'Inputs'!$B$29+'Inputs'!$B$31+'Inputs'!$B$32,'Inputs'!$B$30+'Inputs'!$B$31+'Inputs'!$B$32)/1000+'Inputs'!$B$21)+'Inputs'!$B$7)/SQRT((((591-43)*MAX('Inputs'!$B$33,'Inputs'!$B$29+'Inputs'!$B$31+'Inputs'!$B$32,'Inputs'!$B$30+'Inputs'!$B$31+'Inputs'!$B$32)/1000+'Inputs'!$B$21)+'Inputs'!$B$7)^2+('Inputs'!$B$6/2)^2)-(((591-43)*MAX('Inputs'!$B$33,'Inputs'!$B$29+'Inputs'!$B$31+'Inputs'!$B$32,'Inputs'!$B$30+'Inputs'!$B$31+'Inputs'!$B$32)/1000+'Inputs'!$B$21))/SQRT((((591-43)*MAX('Inputs'!$B$33,'Inputs'!$B$29+'Inputs'!$B$31+'Inputs'!$B$32,'Inputs'!$B$30+'Inputs'!$B$31+'Inputs'!$B$32)/1000+'Inputs'!$B$21))^2+('Inputs'!$B$6/2)^2)))-'Results'!C7*(1-'Inputs'!$B$24)*(0.5*((((591-43)*MAX('Inputs'!$B$33,'Inputs'!$B$29+'Inputs'!$B$31+'Inputs'!$B$32,'Inputs'!$B$30+'Inputs'!$B$31+'Inputs'!$B$32)/1000+'Inputs'!$B$21+'Inputs'!$B$7+'Inputs'!$B$10)+'Inputs'!$B$9)/SQRT((((591-43)*MAX('Inputs'!$B$33,'Inputs'!$B$29+'Inputs'!$B$31+'Inputs'!$B$32,'Inputs'!$B$30+'Inputs'!$B$31+'Inputs'!$B$32)/1000+'Inputs'!$B$21+'Inputs'!$B$7+'Inputs'!$B$10)+'Inputs'!$B$9)^2+('Inputs'!$B$8/2)^2)-(((591-43)*MAX('Inputs'!$B$33,'Inputs'!$B$29+'Inputs'!$B$31+'Inputs'!$B$32,'Inputs'!$B$30+'Inputs'!$B$31+'Inputs'!$B$32)/1000+'Inputs'!$B$21+'Inputs'!$B$7+'Inputs'!$B$10))/SQRT((((591-43)*MAX('Inputs'!$B$33,'Inputs'!$B$29+'Inputs'!$B$31+'Inputs'!$B$32,'Inputs'!$B$30+'Inputs'!$B$31+'Inputs'!$B$32)/1000+'Inputs'!$B$21+'Inputs'!$B$7+'Inputs'!$B$10))^2+('Inputs'!$B$8/2)^2))))*'Results'!$B$8)+'Inputs'!$B$28*ABS((('Results'!B7*(1+'Inputs'!$B$24)*(0.5*((((591-43)*MAX('Inputs'!$B$33,'Inputs'!$B$29+'Inputs'!$B$31+'Inputs'!$B$32,'Inputs'!$B$30+'Inputs'!$B$31+'Inputs'!$B$32)/1000+'Inputs'!$B$21)+'Inputs'!$B$7)/SQRT((((591-43)*MAX('Inputs'!$B$33,'Inputs'!$B$29+'Inputs'!$B$31+'Inputs'!$B$32,'Inputs'!$B$30+'Inputs'!$B$31+'Inputs'!$B$32)/1000+'Inputs'!$B$21)+'Inputs'!$B$7)^2+('Inputs'!$B$6/2)^2)-(((591-43)*MAX('Inputs'!$B$33,'Inputs'!$B$29+'Inputs'!$B$31+'Inputs'!$B$32,'Inputs'!$B$30+'Inputs'!$B$31+'Inputs'!$B$32)/1000+'Inputs'!$B$21))/SQRT((((591-43)*MAX('Inputs'!$B$33,'Inputs'!$B$29+'Inputs'!$B$31+'Inputs'!$B$32,'Inputs'!$B$30+'Inputs'!$B$31+'Inputs'!$B$32)/1000+'Inputs'!$B$21))^2+('Inputs'!$B$6/2)^2)))-'Results'!C7*(1-'Inputs'!$B$24)*(0.5*((((591-43)*MAX('Inputs'!$B$33,'Inputs'!$B$29+'Inputs'!$B$31+'Inputs'!$B$32,'Inputs'!$B$30+'Inputs'!$B$31+'Inputs'!$B$32)/1000+'Inputs'!$B$21+'Inputs'!$B$7+'Inputs'!$B$10)+'Inputs'!$B$9)/SQRT((((591-43)*MAX('Inputs'!$B$33,'Inputs'!$B$29+'Inputs'!$B$31+'Inputs'!$B$32,'Inputs'!$B$30+'Inputs'!$B$31+'Inputs'!$B$32)/1000+'Inputs'!$B$21+'Inputs'!$B$7+'Inputs'!$B$10)+'Inputs'!$B$9)^2+('Inputs'!$B$8/2)^2)-(((591-43)*MAX('Inputs'!$B$33,'Inputs'!$B$29+'Inputs'!$B$31+'Inputs'!$B$32,'Inputs'!$B$30+'Inputs'!$B$31+'Inputs'!$B$32)/1000+'Inputs'!$B$21+'Inputs'!$B$7+'Inputs'!$B$10))/SQRT((((591-43)*MAX('Inputs'!$B$33,'Inputs'!$B$29+'Inputs'!$B$31+'Inputs'!$B$32,'Inputs'!$B$30+'Inputs'!$B$31+'Inputs'!$B$32)/1000+'Inputs'!$B$21+'Inputs'!$B$7+'Inputs'!$B$10))^2+('Inputs'!$B$8/2)^2))))*'Results'!$B$8))),"")</x:f>
        <x:v>3.43569384063219</x:v>
      </x:c>
      <x:c r="M591" t="n">
        <x:f>IF(AND(ISNUMBER('Results'!C7),ISNUMBER('Results'!B7),ISNUMBER('Results'!$B$8),ISNUMBER('Inputs'!$B$6),ISNUMBER('Inputs'!$B$7),ISNUMBER('Inputs'!$B$8),ISNUMBER('Inputs'!$B$9),ISNUMBER('Inputs'!$B$10),ISNUMBER('Inputs'!$B$21),ISNUMBER('Inputs'!$B$24),ISNUMBER('Inputs'!$B$28)),(('Results'!C7*(0.5*((((591-43)*MAX('Inputs'!$B$33,'Inputs'!$B$29+'Inputs'!$B$31+'Inputs'!$B$32,'Inputs'!$B$30+'Inputs'!$B$31+'Inputs'!$B$32)/1000+'Inputs'!$B$21)+'Inputs'!$B$9)/SQRT((((591-43)*MAX('Inputs'!$B$33,'Inputs'!$B$29+'Inputs'!$B$31+'Inputs'!$B$32,'Inputs'!$B$30+'Inputs'!$B$31+'Inputs'!$B$32)/1000+'Inputs'!$B$21)+'Inputs'!$B$9)^2+('Inputs'!$B$8/2)^2)-(((591-43)*MAX('Inputs'!$B$33,'Inputs'!$B$29+'Inputs'!$B$31+'Inputs'!$B$32,'Inputs'!$B$30+'Inputs'!$B$31+'Inputs'!$B$32)/1000+'Inputs'!$B$21))/SQRT((((591-43)*MAX('Inputs'!$B$33,'Inputs'!$B$29+'Inputs'!$B$31+'Inputs'!$B$32,'Inputs'!$B$30+'Inputs'!$B$31+'Inputs'!$B$32)/1000+'Inputs'!$B$21))^2+('Inputs'!$B$8/2)^2)))-'Results'!B7*(0.5*((((591-43)*MAX('Inputs'!$B$33,'Inputs'!$B$29+'Inputs'!$B$31+'Inputs'!$B$32,'Inputs'!$B$30+'Inputs'!$B$31+'Inputs'!$B$32)/1000+'Inputs'!$B$21+'Inputs'!$B$9+'Inputs'!$B$10)+'Inputs'!$B$7)/SQRT((((591-43)*MAX('Inputs'!$B$33,'Inputs'!$B$29+'Inputs'!$B$31+'Inputs'!$B$32,'Inputs'!$B$30+'Inputs'!$B$31+'Inputs'!$B$32)/1000+'Inputs'!$B$21+'Inputs'!$B$9+'Inputs'!$B$10)+'Inputs'!$B$7)^2+('Inputs'!$B$6/2)^2)-(((591-43)*MAX('Inputs'!$B$33,'Inputs'!$B$29+'Inputs'!$B$31+'Inputs'!$B$32,'Inputs'!$B$30+'Inputs'!$B$31+'Inputs'!$B$32)/1000+'Inputs'!$B$21+'Inputs'!$B$9+'Inputs'!$B$10))/SQRT((((591-43)*MAX('Inputs'!$B$33,'Inputs'!$B$29+'Inputs'!$B$31+'Inputs'!$B$32,'Inputs'!$B$30+'Inputs'!$B$31+'Inputs'!$B$32)/1000+'Inputs'!$B$21+'Inputs'!$B$9+'Inputs'!$B$10))^2+('Inputs'!$B$6/2)^2))))*'Results'!$B$8),"")</x:f>
        <x:v>2.8263429273114595</x:v>
      </x:c>
      <x:c r="N591" t="n">
        <x:f>IF(AND(ISNUMBER('Results'!C7),ISNUMBER('Results'!B7),ISNUMBER('Results'!$B$8),ISNUMBER('Inputs'!$B$6),ISNUMBER('Inputs'!$B$7),ISNUMBER('Inputs'!$B$8),ISNUMBER('Inputs'!$B$9),ISNUMBER('Inputs'!$B$10),ISNUMBER('Inputs'!$B$21),ISNUMBER('Inputs'!$B$24),ISNUMBER('Inputs'!$B$28)),((('Results'!C7*(1-'Inputs'!$B$24)*(0.5*((((591-43)*MAX('Inputs'!$B$33,'Inputs'!$B$29+'Inputs'!$B$31+'Inputs'!$B$32,'Inputs'!$B$30+'Inputs'!$B$31+'Inputs'!$B$32)/1000+'Inputs'!$B$21)+'Inputs'!$B$9)/SQRT((((591-43)*MAX('Inputs'!$B$33,'Inputs'!$B$29+'Inputs'!$B$31+'Inputs'!$B$32,'Inputs'!$B$30+'Inputs'!$B$31+'Inputs'!$B$32)/1000+'Inputs'!$B$21)+'Inputs'!$B$9)^2+('Inputs'!$B$8/2)^2)-(((591-43)*MAX('Inputs'!$B$33,'Inputs'!$B$29+'Inputs'!$B$31+'Inputs'!$B$32,'Inputs'!$B$30+'Inputs'!$B$31+'Inputs'!$B$32)/1000+'Inputs'!$B$21))/SQRT((((591-43)*MAX('Inputs'!$B$33,'Inputs'!$B$29+'Inputs'!$B$31+'Inputs'!$B$32,'Inputs'!$B$30+'Inputs'!$B$31+'Inputs'!$B$32)/1000+'Inputs'!$B$21))^2+('Inputs'!$B$8/2)^2)))-'Results'!B7*(1+'Inputs'!$B$24)*(0.5*((((591-43)*MAX('Inputs'!$B$33,'Inputs'!$B$29+'Inputs'!$B$31+'Inputs'!$B$32,'Inputs'!$B$30+'Inputs'!$B$31+'Inputs'!$B$32)/1000+'Inputs'!$B$21+'Inputs'!$B$9+'Inputs'!$B$10)+'Inputs'!$B$7)/SQRT((((591-43)*MAX('Inputs'!$B$33,'Inputs'!$B$29+'Inputs'!$B$31+'Inputs'!$B$32,'Inputs'!$B$30+'Inputs'!$B$31+'Inputs'!$B$32)/1000+'Inputs'!$B$21+'Inputs'!$B$9+'Inputs'!$B$10)+'Inputs'!$B$7)^2+('Inputs'!$B$6/2)^2)-(((591-43)*MAX('Inputs'!$B$33,'Inputs'!$B$29+'Inputs'!$B$31+'Inputs'!$B$32,'Inputs'!$B$30+'Inputs'!$B$31+'Inputs'!$B$32)/1000+'Inputs'!$B$21+'Inputs'!$B$9+'Inputs'!$B$10))/SQRT((((591-43)*MAX('Inputs'!$B$33,'Inputs'!$B$29+'Inputs'!$B$31+'Inputs'!$B$32,'Inputs'!$B$30+'Inputs'!$B$31+'Inputs'!$B$32)/1000+'Inputs'!$B$21+'Inputs'!$B$9+'Inputs'!$B$10))^2+('Inputs'!$B$6/2)^2))))*'Results'!$B$8)-'Inputs'!$B$28*ABS((('Results'!C7*(1-'Inputs'!$B$24)*(0.5*((((591-43)*MAX('Inputs'!$B$33,'Inputs'!$B$29+'Inputs'!$B$31+'Inputs'!$B$32,'Inputs'!$B$30+'Inputs'!$B$31+'Inputs'!$B$32)/1000+'Inputs'!$B$21)+'Inputs'!$B$9)/SQRT((((591-43)*MAX('Inputs'!$B$33,'Inputs'!$B$29+'Inputs'!$B$31+'Inputs'!$B$32,'Inputs'!$B$30+'Inputs'!$B$31+'Inputs'!$B$32)/1000+'Inputs'!$B$21)+'Inputs'!$B$9)^2+('Inputs'!$B$8/2)^2)-(((591-43)*MAX('Inputs'!$B$33,'Inputs'!$B$29+'Inputs'!$B$31+'Inputs'!$B$32,'Inputs'!$B$30+'Inputs'!$B$31+'Inputs'!$B$32)/1000+'Inputs'!$B$21))/SQRT((((591-43)*MAX('Inputs'!$B$33,'Inputs'!$B$29+'Inputs'!$B$31+'Inputs'!$B$32,'Inputs'!$B$30+'Inputs'!$B$31+'Inputs'!$B$32)/1000+'Inputs'!$B$21))^2+('Inputs'!$B$8/2)^2)))-'Results'!B7*(1+'Inputs'!$B$24)*(0.5*((((591-43)*MAX('Inputs'!$B$33,'Inputs'!$B$29+'Inputs'!$B$31+'Inputs'!$B$32,'Inputs'!$B$30+'Inputs'!$B$31+'Inputs'!$B$32)/1000+'Inputs'!$B$21+'Inputs'!$B$9+'Inputs'!$B$10)+'Inputs'!$B$7)/SQRT((((591-43)*MAX('Inputs'!$B$33,'Inputs'!$B$29+'Inputs'!$B$31+'Inputs'!$B$32,'Inputs'!$B$30+'Inputs'!$B$31+'Inputs'!$B$32)/1000+'Inputs'!$B$21+'Inputs'!$B$9+'Inputs'!$B$10)+'Inputs'!$B$7)^2+('Inputs'!$B$6/2)^2)-(((591-43)*MAX('Inputs'!$B$33,'Inputs'!$B$29+'Inputs'!$B$31+'Inputs'!$B$32,'Inputs'!$B$30+'Inputs'!$B$31+'Inputs'!$B$32)/1000+'Inputs'!$B$21+'Inputs'!$B$9+'Inputs'!$B$10))/SQRT((((591-43)*MAX('Inputs'!$B$33,'Inputs'!$B$29+'Inputs'!$B$31+'Inputs'!$B$32,'Inputs'!$B$30+'Inputs'!$B$31+'Inputs'!$B$32)/1000+'Inputs'!$B$21+'Inputs'!$B$9+'Inputs'!$B$10))^2+('Inputs'!$B$6/2)^2))))*'Results'!$B$8))),"")</x:f>
        <x:v>2.475204613212596</x:v>
      </x:c>
      <x:c r="O591" t="n">
        <x:f>IF(AND(ISNUMBER('Results'!C7),ISNUMBER('Results'!B7),ISNUMBER('Results'!$B$8),ISNUMBER('Inputs'!$B$6),ISNUMBER('Inputs'!$B$7),ISNUMBER('Inputs'!$B$8),ISNUMBER('Inputs'!$B$9),ISNUMBER('Inputs'!$B$10),ISNUMBER('Inputs'!$B$21),ISNUMBER('Inputs'!$B$24),ISNUMBER('Inputs'!$B$28)),((('Results'!C7*(1+'Inputs'!$B$24)*(0.5*((((591-43)*MAX('Inputs'!$B$33,'Inputs'!$B$29+'Inputs'!$B$31+'Inputs'!$B$32,'Inputs'!$B$30+'Inputs'!$B$31+'Inputs'!$B$32)/1000+'Inputs'!$B$21)+'Inputs'!$B$9)/SQRT((((591-43)*MAX('Inputs'!$B$33,'Inputs'!$B$29+'Inputs'!$B$31+'Inputs'!$B$32,'Inputs'!$B$30+'Inputs'!$B$31+'Inputs'!$B$32)/1000+'Inputs'!$B$21)+'Inputs'!$B$9)^2+('Inputs'!$B$8/2)^2)-(((591-43)*MAX('Inputs'!$B$33,'Inputs'!$B$29+'Inputs'!$B$31+'Inputs'!$B$32,'Inputs'!$B$30+'Inputs'!$B$31+'Inputs'!$B$32)/1000+'Inputs'!$B$21))/SQRT((((591-43)*MAX('Inputs'!$B$33,'Inputs'!$B$29+'Inputs'!$B$31+'Inputs'!$B$32,'Inputs'!$B$30+'Inputs'!$B$31+'Inputs'!$B$32)/1000+'Inputs'!$B$21))^2+('Inputs'!$B$8/2)^2)))-'Results'!B7*(1-'Inputs'!$B$24)*(0.5*((((591-43)*MAX('Inputs'!$B$33,'Inputs'!$B$29+'Inputs'!$B$31+'Inputs'!$B$32,'Inputs'!$B$30+'Inputs'!$B$31+'Inputs'!$B$32)/1000+'Inputs'!$B$21+'Inputs'!$B$9+'Inputs'!$B$10)+'Inputs'!$B$7)/SQRT((((591-43)*MAX('Inputs'!$B$33,'Inputs'!$B$29+'Inputs'!$B$31+'Inputs'!$B$32,'Inputs'!$B$30+'Inputs'!$B$31+'Inputs'!$B$32)/1000+'Inputs'!$B$21+'Inputs'!$B$9+'Inputs'!$B$10)+'Inputs'!$B$7)^2+('Inputs'!$B$6/2)^2)-(((591-43)*MAX('Inputs'!$B$33,'Inputs'!$B$29+'Inputs'!$B$31+'Inputs'!$B$32,'Inputs'!$B$30+'Inputs'!$B$31+'Inputs'!$B$32)/1000+'Inputs'!$B$21+'Inputs'!$B$9+'Inputs'!$B$10))/SQRT((((591-43)*MAX('Inputs'!$B$33,'Inputs'!$B$29+'Inputs'!$B$31+'Inputs'!$B$32,'Inputs'!$B$30+'Inputs'!$B$31+'Inputs'!$B$32)/1000+'Inputs'!$B$21+'Inputs'!$B$9+'Inputs'!$B$10))^2+('Inputs'!$B$6/2)^2))))*'Results'!$B$8)+'Inputs'!$B$28*ABS((('Results'!C7*(1+'Inputs'!$B$24)*(0.5*((((591-43)*MAX('Inputs'!$B$33,'Inputs'!$B$29+'Inputs'!$B$31+'Inputs'!$B$32,'Inputs'!$B$30+'Inputs'!$B$31+'Inputs'!$B$32)/1000+'Inputs'!$B$21)+'Inputs'!$B$9)/SQRT((((591-43)*MAX('Inputs'!$B$33,'Inputs'!$B$29+'Inputs'!$B$31+'Inputs'!$B$32,'Inputs'!$B$30+'Inputs'!$B$31+'Inputs'!$B$32)/1000+'Inputs'!$B$21)+'Inputs'!$B$9)^2+('Inputs'!$B$8/2)^2)-(((591-43)*MAX('Inputs'!$B$33,'Inputs'!$B$29+'Inputs'!$B$31+'Inputs'!$B$32,'Inputs'!$B$30+'Inputs'!$B$31+'Inputs'!$B$32)/1000+'Inputs'!$B$21))/SQRT((((591-43)*MAX('Inputs'!$B$33,'Inputs'!$B$29+'Inputs'!$B$31+'Inputs'!$B$32,'Inputs'!$B$30+'Inputs'!$B$31+'Inputs'!$B$32)/1000+'Inputs'!$B$21))^2+('Inputs'!$B$8/2)^2)))-'Results'!B7*(1-'Inputs'!$B$24)*(0.5*((((591-43)*MAX('Inputs'!$B$33,'Inputs'!$B$29+'Inputs'!$B$31+'Inputs'!$B$32,'Inputs'!$B$30+'Inputs'!$B$31+'Inputs'!$B$32)/1000+'Inputs'!$B$21+'Inputs'!$B$9+'Inputs'!$B$10)+'Inputs'!$B$7)/SQRT((((591-43)*MAX('Inputs'!$B$33,'Inputs'!$B$29+'Inputs'!$B$31+'Inputs'!$B$32,'Inputs'!$B$30+'Inputs'!$B$31+'Inputs'!$B$32)/1000+'Inputs'!$B$21+'Inputs'!$B$9+'Inputs'!$B$10)+'Inputs'!$B$7)^2+('Inputs'!$B$6/2)^2)-(((591-43)*MAX('Inputs'!$B$33,'Inputs'!$B$29+'Inputs'!$B$31+'Inputs'!$B$32,'Inputs'!$B$30+'Inputs'!$B$31+'Inputs'!$B$32)/1000+'Inputs'!$B$21+'Inputs'!$B$9+'Inputs'!$B$10))/SQRT((((591-43)*MAX('Inputs'!$B$33,'Inputs'!$B$29+'Inputs'!$B$31+'Inputs'!$B$32,'Inputs'!$B$30+'Inputs'!$B$31+'Inputs'!$B$32)/1000+'Inputs'!$B$21+'Inputs'!$B$9+'Inputs'!$B$10))^2+('Inputs'!$B$6/2)^2))))*'Results'!$B$8))),"")</x:f>
        <x:v>3.1995676801190918</x:v>
      </x:c>
      <x:c r="P591" t="n">
        <x:f>IF(AND(MAX(J591,J590)&gt;0,J591&gt;J590+0.00000001),1,0)</x:f>
        <x:v>0</x:v>
      </x:c>
      <x:c r="Q591" t="n">
        <x:f>IF(AND(MAX(K591,K590)&gt;0,K591&gt;K590+0.00000001),1,0)</x:f>
        <x:v>0</x:v>
      </x:c>
      <x:c r="R591" t="n">
        <x:f>IF(AND(MAX(L591,L590)&gt;0,L591&gt;L590+0.00000001),1,0)</x:f>
        <x:v>0</x:v>
      </x:c>
      <x:c r="S591" t="n">
        <x:f>IF(AND(MAX(M591,M590)&gt;0,M591&gt;M590+0.00000001),1,0)</x:f>
        <x:v>0</x:v>
      </x:c>
      <x:c r="T591" t="n">
        <x:f>IF(AND(MAX(N591,N590)&gt;0,N591&gt;N590+0.00000001),1,0)</x:f>
        <x:v>0</x:v>
      </x:c>
      <x:c r="U591" t="n">
        <x:f>IF(AND(MAX(O591,O590)&gt;0,O591&gt;O590+0.00000001),1,0)</x:f>
        <x:v>0</x:v>
      </x:c>
    </x:row>
    <x:row r="592">
      <x:c r="J592" t="n">
        <x:f>IF(AND(ISNUMBER('Results'!B7),ISNUMBER('Results'!C7),ISNUMBER('Results'!$B$8),ISNUMBER('Inputs'!$B$6),ISNUMBER('Inputs'!$B$7),ISNUMBER('Inputs'!$B$8),ISNUMBER('Inputs'!$B$9),ISNUMBER('Inputs'!$B$10),ISNUMBER('Inputs'!$B$21),ISNUMBER('Inputs'!$B$24),ISNUMBER('Inputs'!$B$28)),(('Results'!B7*(0.5*((((592-43)*MAX('Inputs'!$B$33,'Inputs'!$B$29+'Inputs'!$B$31+'Inputs'!$B$32,'Inputs'!$B$30+'Inputs'!$B$31+'Inputs'!$B$32)/1000+'Inputs'!$B$21)+'Inputs'!$B$7)/SQRT((((592-43)*MAX('Inputs'!$B$33,'Inputs'!$B$29+'Inputs'!$B$31+'Inputs'!$B$32,'Inputs'!$B$30+'Inputs'!$B$31+'Inputs'!$B$32)/1000+'Inputs'!$B$21)+'Inputs'!$B$7)^2+('Inputs'!$B$6/2)^2)-(((592-43)*MAX('Inputs'!$B$33,'Inputs'!$B$29+'Inputs'!$B$31+'Inputs'!$B$32,'Inputs'!$B$30+'Inputs'!$B$31+'Inputs'!$B$32)/1000+'Inputs'!$B$21))/SQRT((((592-43)*MAX('Inputs'!$B$33,'Inputs'!$B$29+'Inputs'!$B$31+'Inputs'!$B$32,'Inputs'!$B$30+'Inputs'!$B$31+'Inputs'!$B$32)/1000+'Inputs'!$B$21))^2+('Inputs'!$B$6/2)^2)))-'Results'!C7*(0.5*((((592-43)*MAX('Inputs'!$B$33,'Inputs'!$B$29+'Inputs'!$B$31+'Inputs'!$B$32,'Inputs'!$B$30+'Inputs'!$B$31+'Inputs'!$B$32)/1000+'Inputs'!$B$21+'Inputs'!$B$7+'Inputs'!$B$10)+'Inputs'!$B$9)/SQRT((((592-43)*MAX('Inputs'!$B$33,'Inputs'!$B$29+'Inputs'!$B$31+'Inputs'!$B$32,'Inputs'!$B$30+'Inputs'!$B$31+'Inputs'!$B$32)/1000+'Inputs'!$B$21+'Inputs'!$B$7+'Inputs'!$B$10)+'Inputs'!$B$9)^2+('Inputs'!$B$8/2)^2)-(((592-43)*MAX('Inputs'!$B$33,'Inputs'!$B$29+'Inputs'!$B$31+'Inputs'!$B$32,'Inputs'!$B$30+'Inputs'!$B$31+'Inputs'!$B$32)/1000+'Inputs'!$B$21+'Inputs'!$B$7+'Inputs'!$B$10))/SQRT((((592-43)*MAX('Inputs'!$B$33,'Inputs'!$B$29+'Inputs'!$B$31+'Inputs'!$B$32,'Inputs'!$B$30+'Inputs'!$B$31+'Inputs'!$B$32)/1000+'Inputs'!$B$21+'Inputs'!$B$7+'Inputs'!$B$10))^2+('Inputs'!$B$8/2)^2))))*'Results'!$B$8),"")</x:f>
        <x:v>3.030868878054254</x:v>
      </x:c>
      <x:c r="K592" t="n">
        <x:f>IF(AND(ISNUMBER('Results'!B7),ISNUMBER('Results'!C7),ISNUMBER('Results'!$B$8),ISNUMBER('Inputs'!$B$6),ISNUMBER('Inputs'!$B$7),ISNUMBER('Inputs'!$B$8),ISNUMBER('Inputs'!$B$9),ISNUMBER('Inputs'!$B$10),ISNUMBER('Inputs'!$B$21),ISNUMBER('Inputs'!$B$24),ISNUMBER('Inputs'!$B$28)),((('Results'!B7*(1-'Inputs'!$B$24)*(0.5*((((592-43)*MAX('Inputs'!$B$33,'Inputs'!$B$29+'Inputs'!$B$31+'Inputs'!$B$32,'Inputs'!$B$30+'Inputs'!$B$31+'Inputs'!$B$32)/1000+'Inputs'!$B$21)+'Inputs'!$B$7)/SQRT((((592-43)*MAX('Inputs'!$B$33,'Inputs'!$B$29+'Inputs'!$B$31+'Inputs'!$B$32,'Inputs'!$B$30+'Inputs'!$B$31+'Inputs'!$B$32)/1000+'Inputs'!$B$21)+'Inputs'!$B$7)^2+('Inputs'!$B$6/2)^2)-(((592-43)*MAX('Inputs'!$B$33,'Inputs'!$B$29+'Inputs'!$B$31+'Inputs'!$B$32,'Inputs'!$B$30+'Inputs'!$B$31+'Inputs'!$B$32)/1000+'Inputs'!$B$21))/SQRT((((592-43)*MAX('Inputs'!$B$33,'Inputs'!$B$29+'Inputs'!$B$31+'Inputs'!$B$32,'Inputs'!$B$30+'Inputs'!$B$31+'Inputs'!$B$32)/1000+'Inputs'!$B$21))^2+('Inputs'!$B$6/2)^2)))-'Results'!C7*(1+'Inputs'!$B$24)*(0.5*((((592-43)*MAX('Inputs'!$B$33,'Inputs'!$B$29+'Inputs'!$B$31+'Inputs'!$B$32,'Inputs'!$B$30+'Inputs'!$B$31+'Inputs'!$B$32)/1000+'Inputs'!$B$21+'Inputs'!$B$7+'Inputs'!$B$10)+'Inputs'!$B$9)/SQRT((((592-43)*MAX('Inputs'!$B$33,'Inputs'!$B$29+'Inputs'!$B$31+'Inputs'!$B$32,'Inputs'!$B$30+'Inputs'!$B$31+'Inputs'!$B$32)/1000+'Inputs'!$B$21+'Inputs'!$B$7+'Inputs'!$B$10)+'Inputs'!$B$9)^2+('Inputs'!$B$8/2)^2)-(((592-43)*MAX('Inputs'!$B$33,'Inputs'!$B$29+'Inputs'!$B$31+'Inputs'!$B$32,'Inputs'!$B$30+'Inputs'!$B$31+'Inputs'!$B$32)/1000+'Inputs'!$B$21+'Inputs'!$B$7+'Inputs'!$B$10))/SQRT((((592-43)*MAX('Inputs'!$B$33,'Inputs'!$B$29+'Inputs'!$B$31+'Inputs'!$B$32,'Inputs'!$B$30+'Inputs'!$B$31+'Inputs'!$B$32)/1000+'Inputs'!$B$21+'Inputs'!$B$7+'Inputs'!$B$10))^2+('Inputs'!$B$8/2)^2))))*'Results'!$B$8)-'Inputs'!$B$28*ABS((('Results'!B7*(1-'Inputs'!$B$24)*(0.5*((((592-43)*MAX('Inputs'!$B$33,'Inputs'!$B$29+'Inputs'!$B$31+'Inputs'!$B$32,'Inputs'!$B$30+'Inputs'!$B$31+'Inputs'!$B$32)/1000+'Inputs'!$B$21)+'Inputs'!$B$7)/SQRT((((592-43)*MAX('Inputs'!$B$33,'Inputs'!$B$29+'Inputs'!$B$31+'Inputs'!$B$32,'Inputs'!$B$30+'Inputs'!$B$31+'Inputs'!$B$32)/1000+'Inputs'!$B$21)+'Inputs'!$B$7)^2+('Inputs'!$B$6/2)^2)-(((592-43)*MAX('Inputs'!$B$33,'Inputs'!$B$29+'Inputs'!$B$31+'Inputs'!$B$32,'Inputs'!$B$30+'Inputs'!$B$31+'Inputs'!$B$32)/1000+'Inputs'!$B$21))/SQRT((((592-43)*MAX('Inputs'!$B$33,'Inputs'!$B$29+'Inputs'!$B$31+'Inputs'!$B$32,'Inputs'!$B$30+'Inputs'!$B$31+'Inputs'!$B$32)/1000+'Inputs'!$B$21))^2+('Inputs'!$B$6/2)^2)))-'Results'!C7*(1+'Inputs'!$B$24)*(0.5*((((592-43)*MAX('Inputs'!$B$33,'Inputs'!$B$29+'Inputs'!$B$31+'Inputs'!$B$32,'Inputs'!$B$30+'Inputs'!$B$31+'Inputs'!$B$32)/1000+'Inputs'!$B$21+'Inputs'!$B$7+'Inputs'!$B$10)+'Inputs'!$B$9)/SQRT((((592-43)*MAX('Inputs'!$B$33,'Inputs'!$B$29+'Inputs'!$B$31+'Inputs'!$B$32,'Inputs'!$B$30+'Inputs'!$B$31+'Inputs'!$B$32)/1000+'Inputs'!$B$21+'Inputs'!$B$7+'Inputs'!$B$10)+'Inputs'!$B$9)^2+('Inputs'!$B$8/2)^2)-(((592-43)*MAX('Inputs'!$B$33,'Inputs'!$B$29+'Inputs'!$B$31+'Inputs'!$B$32,'Inputs'!$B$30+'Inputs'!$B$31+'Inputs'!$B$32)/1000+'Inputs'!$B$21+'Inputs'!$B$7+'Inputs'!$B$10))/SQRT((((592-43)*MAX('Inputs'!$B$33,'Inputs'!$B$29+'Inputs'!$B$31+'Inputs'!$B$32,'Inputs'!$B$30+'Inputs'!$B$31+'Inputs'!$B$32)/1000+'Inputs'!$B$21+'Inputs'!$B$7+'Inputs'!$B$10))^2+('Inputs'!$B$8/2)^2))))*'Results'!$B$8))),"")</x:f>
        <x:v>2.669403003501813</x:v>
      </x:c>
      <x:c r="L592" t="n">
        <x:f>IF(AND(ISNUMBER('Results'!B7),ISNUMBER('Results'!C7),ISNUMBER('Results'!$B$8),ISNUMBER('Inputs'!$B$6),ISNUMBER('Inputs'!$B$7),ISNUMBER('Inputs'!$B$8),ISNUMBER('Inputs'!$B$9),ISNUMBER('Inputs'!$B$10),ISNUMBER('Inputs'!$B$21),ISNUMBER('Inputs'!$B$24),ISNUMBER('Inputs'!$B$28)),((('Results'!B7*(1+'Inputs'!$B$24)*(0.5*((((592-43)*MAX('Inputs'!$B$33,'Inputs'!$B$29+'Inputs'!$B$31+'Inputs'!$B$32,'Inputs'!$B$30+'Inputs'!$B$31+'Inputs'!$B$32)/1000+'Inputs'!$B$21)+'Inputs'!$B$7)/SQRT((((592-43)*MAX('Inputs'!$B$33,'Inputs'!$B$29+'Inputs'!$B$31+'Inputs'!$B$32,'Inputs'!$B$30+'Inputs'!$B$31+'Inputs'!$B$32)/1000+'Inputs'!$B$21)+'Inputs'!$B$7)^2+('Inputs'!$B$6/2)^2)-(((592-43)*MAX('Inputs'!$B$33,'Inputs'!$B$29+'Inputs'!$B$31+'Inputs'!$B$32,'Inputs'!$B$30+'Inputs'!$B$31+'Inputs'!$B$32)/1000+'Inputs'!$B$21))/SQRT((((592-43)*MAX('Inputs'!$B$33,'Inputs'!$B$29+'Inputs'!$B$31+'Inputs'!$B$32,'Inputs'!$B$30+'Inputs'!$B$31+'Inputs'!$B$32)/1000+'Inputs'!$B$21))^2+('Inputs'!$B$6/2)^2)))-'Results'!C7*(1-'Inputs'!$B$24)*(0.5*((((592-43)*MAX('Inputs'!$B$33,'Inputs'!$B$29+'Inputs'!$B$31+'Inputs'!$B$32,'Inputs'!$B$30+'Inputs'!$B$31+'Inputs'!$B$32)/1000+'Inputs'!$B$21+'Inputs'!$B$7+'Inputs'!$B$10)+'Inputs'!$B$9)/SQRT((((592-43)*MAX('Inputs'!$B$33,'Inputs'!$B$29+'Inputs'!$B$31+'Inputs'!$B$32,'Inputs'!$B$30+'Inputs'!$B$31+'Inputs'!$B$32)/1000+'Inputs'!$B$21+'Inputs'!$B$7+'Inputs'!$B$10)+'Inputs'!$B$9)^2+('Inputs'!$B$8/2)^2)-(((592-43)*MAX('Inputs'!$B$33,'Inputs'!$B$29+'Inputs'!$B$31+'Inputs'!$B$32,'Inputs'!$B$30+'Inputs'!$B$31+'Inputs'!$B$32)/1000+'Inputs'!$B$21+'Inputs'!$B$7+'Inputs'!$B$10))/SQRT((((592-43)*MAX('Inputs'!$B$33,'Inputs'!$B$29+'Inputs'!$B$31+'Inputs'!$B$32,'Inputs'!$B$30+'Inputs'!$B$31+'Inputs'!$B$32)/1000+'Inputs'!$B$21+'Inputs'!$B$7+'Inputs'!$B$10))^2+('Inputs'!$B$8/2)^2))))*'Results'!$B$8)+'Inputs'!$B$28*ABS((('Results'!B7*(1+'Inputs'!$B$24)*(0.5*((((592-43)*MAX('Inputs'!$B$33,'Inputs'!$B$29+'Inputs'!$B$31+'Inputs'!$B$32,'Inputs'!$B$30+'Inputs'!$B$31+'Inputs'!$B$32)/1000+'Inputs'!$B$21)+'Inputs'!$B$7)/SQRT((((592-43)*MAX('Inputs'!$B$33,'Inputs'!$B$29+'Inputs'!$B$31+'Inputs'!$B$32,'Inputs'!$B$30+'Inputs'!$B$31+'Inputs'!$B$32)/1000+'Inputs'!$B$21)+'Inputs'!$B$7)^2+('Inputs'!$B$6/2)^2)-(((592-43)*MAX('Inputs'!$B$33,'Inputs'!$B$29+'Inputs'!$B$31+'Inputs'!$B$32,'Inputs'!$B$30+'Inputs'!$B$31+'Inputs'!$B$32)/1000+'Inputs'!$B$21))/SQRT((((592-43)*MAX('Inputs'!$B$33,'Inputs'!$B$29+'Inputs'!$B$31+'Inputs'!$B$32,'Inputs'!$B$30+'Inputs'!$B$31+'Inputs'!$B$32)/1000+'Inputs'!$B$21))^2+('Inputs'!$B$6/2)^2)))-'Results'!C7*(1-'Inputs'!$B$24)*(0.5*((((592-43)*MAX('Inputs'!$B$33,'Inputs'!$B$29+'Inputs'!$B$31+'Inputs'!$B$32,'Inputs'!$B$30+'Inputs'!$B$31+'Inputs'!$B$32)/1000+'Inputs'!$B$21+'Inputs'!$B$7+'Inputs'!$B$10)+'Inputs'!$B$9)/SQRT((((592-43)*MAX('Inputs'!$B$33,'Inputs'!$B$29+'Inputs'!$B$31+'Inputs'!$B$32,'Inputs'!$B$30+'Inputs'!$B$31+'Inputs'!$B$32)/1000+'Inputs'!$B$21+'Inputs'!$B$7+'Inputs'!$B$10)+'Inputs'!$B$9)^2+('Inputs'!$B$8/2)^2)-(((592-43)*MAX('Inputs'!$B$33,'Inputs'!$B$29+'Inputs'!$B$31+'Inputs'!$B$32,'Inputs'!$B$30+'Inputs'!$B$31+'Inputs'!$B$32)/1000+'Inputs'!$B$21+'Inputs'!$B$7+'Inputs'!$B$10))/SQRT((((592-43)*MAX('Inputs'!$B$33,'Inputs'!$B$29+'Inputs'!$B$31+'Inputs'!$B$32,'Inputs'!$B$30+'Inputs'!$B$31+'Inputs'!$B$32)/1000+'Inputs'!$B$21+'Inputs'!$B$7+'Inputs'!$B$10))^2+('Inputs'!$B$8/2)^2))))*'Results'!$B$8))),"")</x:f>
        <x:v>3.4144318505698235</x:v>
      </x:c>
      <x:c r="M592" t="n">
        <x:f>IF(AND(ISNUMBER('Results'!C7),ISNUMBER('Results'!B7),ISNUMBER('Results'!$B$8),ISNUMBER('Inputs'!$B$6),ISNUMBER('Inputs'!$B$7),ISNUMBER('Inputs'!$B$8),ISNUMBER('Inputs'!$B$9),ISNUMBER('Inputs'!$B$10),ISNUMBER('Inputs'!$B$21),ISNUMBER('Inputs'!$B$24),ISNUMBER('Inputs'!$B$28)),(('Results'!C7*(0.5*((((592-43)*MAX('Inputs'!$B$33,'Inputs'!$B$29+'Inputs'!$B$31+'Inputs'!$B$32,'Inputs'!$B$30+'Inputs'!$B$31+'Inputs'!$B$32)/1000+'Inputs'!$B$21)+'Inputs'!$B$9)/SQRT((((592-43)*MAX('Inputs'!$B$33,'Inputs'!$B$29+'Inputs'!$B$31+'Inputs'!$B$32,'Inputs'!$B$30+'Inputs'!$B$31+'Inputs'!$B$32)/1000+'Inputs'!$B$21)+'Inputs'!$B$9)^2+('Inputs'!$B$8/2)^2)-(((592-43)*MAX('Inputs'!$B$33,'Inputs'!$B$29+'Inputs'!$B$31+'Inputs'!$B$32,'Inputs'!$B$30+'Inputs'!$B$31+'Inputs'!$B$32)/1000+'Inputs'!$B$21))/SQRT((((592-43)*MAX('Inputs'!$B$33,'Inputs'!$B$29+'Inputs'!$B$31+'Inputs'!$B$32,'Inputs'!$B$30+'Inputs'!$B$31+'Inputs'!$B$32)/1000+'Inputs'!$B$21))^2+('Inputs'!$B$8/2)^2)))-'Results'!B7*(0.5*((((592-43)*MAX('Inputs'!$B$33,'Inputs'!$B$29+'Inputs'!$B$31+'Inputs'!$B$32,'Inputs'!$B$30+'Inputs'!$B$31+'Inputs'!$B$32)/1000+'Inputs'!$B$21+'Inputs'!$B$9+'Inputs'!$B$10)+'Inputs'!$B$7)/SQRT((((592-43)*MAX('Inputs'!$B$33,'Inputs'!$B$29+'Inputs'!$B$31+'Inputs'!$B$32,'Inputs'!$B$30+'Inputs'!$B$31+'Inputs'!$B$32)/1000+'Inputs'!$B$21+'Inputs'!$B$9+'Inputs'!$B$10)+'Inputs'!$B$7)^2+('Inputs'!$B$6/2)^2)-(((592-43)*MAX('Inputs'!$B$33,'Inputs'!$B$29+'Inputs'!$B$31+'Inputs'!$B$32,'Inputs'!$B$30+'Inputs'!$B$31+'Inputs'!$B$32)/1000+'Inputs'!$B$21+'Inputs'!$B$9+'Inputs'!$B$10))/SQRT((((592-43)*MAX('Inputs'!$B$33,'Inputs'!$B$29+'Inputs'!$B$31+'Inputs'!$B$32,'Inputs'!$B$30+'Inputs'!$B$31+'Inputs'!$B$32)/1000+'Inputs'!$B$21+'Inputs'!$B$9+'Inputs'!$B$10))^2+('Inputs'!$B$6/2)^2))))*'Results'!$B$8),"")</x:f>
        <x:v>2.8082616371773477</x:v>
      </x:c>
      <x:c r="N592" t="n">
        <x:f>IF(AND(ISNUMBER('Results'!C7),ISNUMBER('Results'!B7),ISNUMBER('Results'!$B$8),ISNUMBER('Inputs'!$B$6),ISNUMBER('Inputs'!$B$7),ISNUMBER('Inputs'!$B$8),ISNUMBER('Inputs'!$B$9),ISNUMBER('Inputs'!$B$10),ISNUMBER('Inputs'!$B$21),ISNUMBER('Inputs'!$B$24),ISNUMBER('Inputs'!$B$28)),((('Results'!C7*(1-'Inputs'!$B$24)*(0.5*((((592-43)*MAX('Inputs'!$B$33,'Inputs'!$B$29+'Inputs'!$B$31+'Inputs'!$B$32,'Inputs'!$B$30+'Inputs'!$B$31+'Inputs'!$B$32)/1000+'Inputs'!$B$21)+'Inputs'!$B$9)/SQRT((((592-43)*MAX('Inputs'!$B$33,'Inputs'!$B$29+'Inputs'!$B$31+'Inputs'!$B$32,'Inputs'!$B$30+'Inputs'!$B$31+'Inputs'!$B$32)/1000+'Inputs'!$B$21)+'Inputs'!$B$9)^2+('Inputs'!$B$8/2)^2)-(((592-43)*MAX('Inputs'!$B$33,'Inputs'!$B$29+'Inputs'!$B$31+'Inputs'!$B$32,'Inputs'!$B$30+'Inputs'!$B$31+'Inputs'!$B$32)/1000+'Inputs'!$B$21))/SQRT((((592-43)*MAX('Inputs'!$B$33,'Inputs'!$B$29+'Inputs'!$B$31+'Inputs'!$B$32,'Inputs'!$B$30+'Inputs'!$B$31+'Inputs'!$B$32)/1000+'Inputs'!$B$21))^2+('Inputs'!$B$8/2)^2)))-'Results'!B7*(1+'Inputs'!$B$24)*(0.5*((((592-43)*MAX('Inputs'!$B$33,'Inputs'!$B$29+'Inputs'!$B$31+'Inputs'!$B$32,'Inputs'!$B$30+'Inputs'!$B$31+'Inputs'!$B$32)/1000+'Inputs'!$B$21+'Inputs'!$B$9+'Inputs'!$B$10)+'Inputs'!$B$7)/SQRT((((592-43)*MAX('Inputs'!$B$33,'Inputs'!$B$29+'Inputs'!$B$31+'Inputs'!$B$32,'Inputs'!$B$30+'Inputs'!$B$31+'Inputs'!$B$32)/1000+'Inputs'!$B$21+'Inputs'!$B$9+'Inputs'!$B$10)+'Inputs'!$B$7)^2+('Inputs'!$B$6/2)^2)-(((592-43)*MAX('Inputs'!$B$33,'Inputs'!$B$29+'Inputs'!$B$31+'Inputs'!$B$32,'Inputs'!$B$30+'Inputs'!$B$31+'Inputs'!$B$32)/1000+'Inputs'!$B$21+'Inputs'!$B$9+'Inputs'!$B$10))/SQRT((((592-43)*MAX('Inputs'!$B$33,'Inputs'!$B$29+'Inputs'!$B$31+'Inputs'!$B$32,'Inputs'!$B$30+'Inputs'!$B$31+'Inputs'!$B$32)/1000+'Inputs'!$B$21+'Inputs'!$B$9+'Inputs'!$B$10))^2+('Inputs'!$B$6/2)^2))))*'Results'!$B$8)-'Inputs'!$B$28*ABS((('Results'!C7*(1-'Inputs'!$B$24)*(0.5*((((592-43)*MAX('Inputs'!$B$33,'Inputs'!$B$29+'Inputs'!$B$31+'Inputs'!$B$32,'Inputs'!$B$30+'Inputs'!$B$31+'Inputs'!$B$32)/1000+'Inputs'!$B$21)+'Inputs'!$B$9)/SQRT((((592-43)*MAX('Inputs'!$B$33,'Inputs'!$B$29+'Inputs'!$B$31+'Inputs'!$B$32,'Inputs'!$B$30+'Inputs'!$B$31+'Inputs'!$B$32)/1000+'Inputs'!$B$21)+'Inputs'!$B$9)^2+('Inputs'!$B$8/2)^2)-(((592-43)*MAX('Inputs'!$B$33,'Inputs'!$B$29+'Inputs'!$B$31+'Inputs'!$B$32,'Inputs'!$B$30+'Inputs'!$B$31+'Inputs'!$B$32)/1000+'Inputs'!$B$21))/SQRT((((592-43)*MAX('Inputs'!$B$33,'Inputs'!$B$29+'Inputs'!$B$31+'Inputs'!$B$32,'Inputs'!$B$30+'Inputs'!$B$31+'Inputs'!$B$32)/1000+'Inputs'!$B$21))^2+('Inputs'!$B$8/2)^2)))-'Results'!B7*(1+'Inputs'!$B$24)*(0.5*((((592-43)*MAX('Inputs'!$B$33,'Inputs'!$B$29+'Inputs'!$B$31+'Inputs'!$B$32,'Inputs'!$B$30+'Inputs'!$B$31+'Inputs'!$B$32)/1000+'Inputs'!$B$21+'Inputs'!$B$9+'Inputs'!$B$10)+'Inputs'!$B$7)/SQRT((((592-43)*MAX('Inputs'!$B$33,'Inputs'!$B$29+'Inputs'!$B$31+'Inputs'!$B$32,'Inputs'!$B$30+'Inputs'!$B$31+'Inputs'!$B$32)/1000+'Inputs'!$B$21+'Inputs'!$B$9+'Inputs'!$B$10)+'Inputs'!$B$7)^2+('Inputs'!$B$6/2)^2)-(((592-43)*MAX('Inputs'!$B$33,'Inputs'!$B$29+'Inputs'!$B$31+'Inputs'!$B$32,'Inputs'!$B$30+'Inputs'!$B$31+'Inputs'!$B$32)/1000+'Inputs'!$B$21+'Inputs'!$B$9+'Inputs'!$B$10))/SQRT((((592-43)*MAX('Inputs'!$B$33,'Inputs'!$B$29+'Inputs'!$B$31+'Inputs'!$B$32,'Inputs'!$B$30+'Inputs'!$B$31+'Inputs'!$B$32)/1000+'Inputs'!$B$21+'Inputs'!$B$9+'Inputs'!$B$10))^2+('Inputs'!$B$6/2)^2))))*'Results'!$B$8))),"")</x:f>
        <x:v>2.459046765878746</x:v>
      </x:c>
      <x:c r="O592" t="n">
        <x:f>IF(AND(ISNUMBER('Results'!C7),ISNUMBER('Results'!B7),ISNUMBER('Results'!$B$8),ISNUMBER('Inputs'!$B$6),ISNUMBER('Inputs'!$B$7),ISNUMBER('Inputs'!$B$8),ISNUMBER('Inputs'!$B$9),ISNUMBER('Inputs'!$B$10),ISNUMBER('Inputs'!$B$21),ISNUMBER('Inputs'!$B$24),ISNUMBER('Inputs'!$B$28)),((('Results'!C7*(1+'Inputs'!$B$24)*(0.5*((((592-43)*MAX('Inputs'!$B$33,'Inputs'!$B$29+'Inputs'!$B$31+'Inputs'!$B$32,'Inputs'!$B$30+'Inputs'!$B$31+'Inputs'!$B$32)/1000+'Inputs'!$B$21)+'Inputs'!$B$9)/SQRT((((592-43)*MAX('Inputs'!$B$33,'Inputs'!$B$29+'Inputs'!$B$31+'Inputs'!$B$32,'Inputs'!$B$30+'Inputs'!$B$31+'Inputs'!$B$32)/1000+'Inputs'!$B$21)+'Inputs'!$B$9)^2+('Inputs'!$B$8/2)^2)-(((592-43)*MAX('Inputs'!$B$33,'Inputs'!$B$29+'Inputs'!$B$31+'Inputs'!$B$32,'Inputs'!$B$30+'Inputs'!$B$31+'Inputs'!$B$32)/1000+'Inputs'!$B$21))/SQRT((((592-43)*MAX('Inputs'!$B$33,'Inputs'!$B$29+'Inputs'!$B$31+'Inputs'!$B$32,'Inputs'!$B$30+'Inputs'!$B$31+'Inputs'!$B$32)/1000+'Inputs'!$B$21))^2+('Inputs'!$B$8/2)^2)))-'Results'!B7*(1-'Inputs'!$B$24)*(0.5*((((592-43)*MAX('Inputs'!$B$33,'Inputs'!$B$29+'Inputs'!$B$31+'Inputs'!$B$32,'Inputs'!$B$30+'Inputs'!$B$31+'Inputs'!$B$32)/1000+'Inputs'!$B$21+'Inputs'!$B$9+'Inputs'!$B$10)+'Inputs'!$B$7)/SQRT((((592-43)*MAX('Inputs'!$B$33,'Inputs'!$B$29+'Inputs'!$B$31+'Inputs'!$B$32,'Inputs'!$B$30+'Inputs'!$B$31+'Inputs'!$B$32)/1000+'Inputs'!$B$21+'Inputs'!$B$9+'Inputs'!$B$10)+'Inputs'!$B$7)^2+('Inputs'!$B$6/2)^2)-(((592-43)*MAX('Inputs'!$B$33,'Inputs'!$B$29+'Inputs'!$B$31+'Inputs'!$B$32,'Inputs'!$B$30+'Inputs'!$B$31+'Inputs'!$B$32)/1000+'Inputs'!$B$21+'Inputs'!$B$9+'Inputs'!$B$10))/SQRT((((592-43)*MAX('Inputs'!$B$33,'Inputs'!$B$29+'Inputs'!$B$31+'Inputs'!$B$32,'Inputs'!$B$30+'Inputs'!$B$31+'Inputs'!$B$32)/1000+'Inputs'!$B$21+'Inputs'!$B$9+'Inputs'!$B$10))^2+('Inputs'!$B$6/2)^2))))*'Results'!$B$8)+'Inputs'!$B$28*ABS((('Results'!C7*(1+'Inputs'!$B$24)*(0.5*((((592-43)*MAX('Inputs'!$B$33,'Inputs'!$B$29+'Inputs'!$B$31+'Inputs'!$B$32,'Inputs'!$B$30+'Inputs'!$B$31+'Inputs'!$B$32)/1000+'Inputs'!$B$21)+'Inputs'!$B$9)/SQRT((((592-43)*MAX('Inputs'!$B$33,'Inputs'!$B$29+'Inputs'!$B$31+'Inputs'!$B$32,'Inputs'!$B$30+'Inputs'!$B$31+'Inputs'!$B$32)/1000+'Inputs'!$B$21)+'Inputs'!$B$9)^2+('Inputs'!$B$8/2)^2)-(((592-43)*MAX('Inputs'!$B$33,'Inputs'!$B$29+'Inputs'!$B$31+'Inputs'!$B$32,'Inputs'!$B$30+'Inputs'!$B$31+'Inputs'!$B$32)/1000+'Inputs'!$B$21))/SQRT((((592-43)*MAX('Inputs'!$B$33,'Inputs'!$B$29+'Inputs'!$B$31+'Inputs'!$B$32,'Inputs'!$B$30+'Inputs'!$B$31+'Inputs'!$B$32)/1000+'Inputs'!$B$21))^2+('Inputs'!$B$8/2)^2)))-'Results'!B7*(1-'Inputs'!$B$24)*(0.5*((((592-43)*MAX('Inputs'!$B$33,'Inputs'!$B$29+'Inputs'!$B$31+'Inputs'!$B$32,'Inputs'!$B$30+'Inputs'!$B$31+'Inputs'!$B$32)/1000+'Inputs'!$B$21+'Inputs'!$B$9+'Inputs'!$B$10)+'Inputs'!$B$7)/SQRT((((592-43)*MAX('Inputs'!$B$33,'Inputs'!$B$29+'Inputs'!$B$31+'Inputs'!$B$32,'Inputs'!$B$30+'Inputs'!$B$31+'Inputs'!$B$32)/1000+'Inputs'!$B$21+'Inputs'!$B$9+'Inputs'!$B$10)+'Inputs'!$B$7)^2+('Inputs'!$B$6/2)^2)-(((592-43)*MAX('Inputs'!$B$33,'Inputs'!$B$29+'Inputs'!$B$31+'Inputs'!$B$32,'Inputs'!$B$30+'Inputs'!$B$31+'Inputs'!$B$32)/1000+'Inputs'!$B$21+'Inputs'!$B$9+'Inputs'!$B$10))/SQRT((((592-43)*MAX('Inputs'!$B$33,'Inputs'!$B$29+'Inputs'!$B$31+'Inputs'!$B$32,'Inputs'!$B$30+'Inputs'!$B$31+'Inputs'!$B$32)/1000+'Inputs'!$B$21+'Inputs'!$B$9+'Inputs'!$B$10))^2+('Inputs'!$B$6/2)^2))))*'Results'!$B$8))),"")</x:f>
        <x:v>3.179455644206447</x:v>
      </x:c>
      <x:c r="P592" t="n">
        <x:f>IF(AND(MAX(J592,J591)&gt;0,J592&gt;J591+0.00000001),1,0)</x:f>
        <x:v>0</x:v>
      </x:c>
      <x:c r="Q592" t="n">
        <x:f>IF(AND(MAX(K592,K591)&gt;0,K592&gt;K591+0.00000001),1,0)</x:f>
        <x:v>0</x:v>
      </x:c>
      <x:c r="R592" t="n">
        <x:f>IF(AND(MAX(L592,L591)&gt;0,L592&gt;L591+0.00000001),1,0)</x:f>
        <x:v>0</x:v>
      </x:c>
      <x:c r="S592" t="n">
        <x:f>IF(AND(MAX(M592,M591)&gt;0,M592&gt;M591+0.00000001),1,0)</x:f>
        <x:v>0</x:v>
      </x:c>
      <x:c r="T592" t="n">
        <x:f>IF(AND(MAX(N592,N591)&gt;0,N592&gt;N591+0.00000001),1,0)</x:f>
        <x:v>0</x:v>
      </x:c>
      <x:c r="U592" t="n">
        <x:f>IF(AND(MAX(O592,O591)&gt;0,O592&gt;O591+0.00000001),1,0)</x:f>
        <x:v>0</x:v>
      </x:c>
    </x:row>
    <x:row r="593">
      <x:c r="J593" t="n">
        <x:f>IF(AND(ISNUMBER('Results'!B7),ISNUMBER('Results'!C7),ISNUMBER('Results'!$B$8),ISNUMBER('Inputs'!$B$6),ISNUMBER('Inputs'!$B$7),ISNUMBER('Inputs'!$B$8),ISNUMBER('Inputs'!$B$9),ISNUMBER('Inputs'!$B$10),ISNUMBER('Inputs'!$B$21),ISNUMBER('Inputs'!$B$24),ISNUMBER('Inputs'!$B$28)),(('Results'!B7*(0.5*((((593-43)*MAX('Inputs'!$B$33,'Inputs'!$B$29+'Inputs'!$B$31+'Inputs'!$B$32,'Inputs'!$B$30+'Inputs'!$B$31+'Inputs'!$B$32)/1000+'Inputs'!$B$21)+'Inputs'!$B$7)/SQRT((((593-43)*MAX('Inputs'!$B$33,'Inputs'!$B$29+'Inputs'!$B$31+'Inputs'!$B$32,'Inputs'!$B$30+'Inputs'!$B$31+'Inputs'!$B$32)/1000+'Inputs'!$B$21)+'Inputs'!$B$7)^2+('Inputs'!$B$6/2)^2)-(((593-43)*MAX('Inputs'!$B$33,'Inputs'!$B$29+'Inputs'!$B$31+'Inputs'!$B$32,'Inputs'!$B$30+'Inputs'!$B$31+'Inputs'!$B$32)/1000+'Inputs'!$B$21))/SQRT((((593-43)*MAX('Inputs'!$B$33,'Inputs'!$B$29+'Inputs'!$B$31+'Inputs'!$B$32,'Inputs'!$B$30+'Inputs'!$B$31+'Inputs'!$B$32)/1000+'Inputs'!$B$21))^2+('Inputs'!$B$6/2)^2)))-'Results'!C7*(0.5*((((593-43)*MAX('Inputs'!$B$33,'Inputs'!$B$29+'Inputs'!$B$31+'Inputs'!$B$32,'Inputs'!$B$30+'Inputs'!$B$31+'Inputs'!$B$32)/1000+'Inputs'!$B$21+'Inputs'!$B$7+'Inputs'!$B$10)+'Inputs'!$B$9)/SQRT((((593-43)*MAX('Inputs'!$B$33,'Inputs'!$B$29+'Inputs'!$B$31+'Inputs'!$B$32,'Inputs'!$B$30+'Inputs'!$B$31+'Inputs'!$B$32)/1000+'Inputs'!$B$21+'Inputs'!$B$7+'Inputs'!$B$10)+'Inputs'!$B$9)^2+('Inputs'!$B$8/2)^2)-(((593-43)*MAX('Inputs'!$B$33,'Inputs'!$B$29+'Inputs'!$B$31+'Inputs'!$B$32,'Inputs'!$B$30+'Inputs'!$B$31+'Inputs'!$B$32)/1000+'Inputs'!$B$21+'Inputs'!$B$7+'Inputs'!$B$10))/SQRT((((593-43)*MAX('Inputs'!$B$33,'Inputs'!$B$29+'Inputs'!$B$31+'Inputs'!$B$32,'Inputs'!$B$30+'Inputs'!$B$31+'Inputs'!$B$32)/1000+'Inputs'!$B$21+'Inputs'!$B$7+'Inputs'!$B$10))^2+('Inputs'!$B$8/2)^2))))*'Results'!$B$8),"")</x:f>
        <x:v>3.0118505893378837</x:v>
      </x:c>
      <x:c r="K593" t="n">
        <x:f>IF(AND(ISNUMBER('Results'!B7),ISNUMBER('Results'!C7),ISNUMBER('Results'!$B$8),ISNUMBER('Inputs'!$B$6),ISNUMBER('Inputs'!$B$7),ISNUMBER('Inputs'!$B$8),ISNUMBER('Inputs'!$B$9),ISNUMBER('Inputs'!$B$10),ISNUMBER('Inputs'!$B$21),ISNUMBER('Inputs'!$B$24),ISNUMBER('Inputs'!$B$28)),((('Results'!B7*(1-'Inputs'!$B$24)*(0.5*((((593-43)*MAX('Inputs'!$B$33,'Inputs'!$B$29+'Inputs'!$B$31+'Inputs'!$B$32,'Inputs'!$B$30+'Inputs'!$B$31+'Inputs'!$B$32)/1000+'Inputs'!$B$21)+'Inputs'!$B$7)/SQRT((((593-43)*MAX('Inputs'!$B$33,'Inputs'!$B$29+'Inputs'!$B$31+'Inputs'!$B$32,'Inputs'!$B$30+'Inputs'!$B$31+'Inputs'!$B$32)/1000+'Inputs'!$B$21)+'Inputs'!$B$7)^2+('Inputs'!$B$6/2)^2)-(((593-43)*MAX('Inputs'!$B$33,'Inputs'!$B$29+'Inputs'!$B$31+'Inputs'!$B$32,'Inputs'!$B$30+'Inputs'!$B$31+'Inputs'!$B$32)/1000+'Inputs'!$B$21))/SQRT((((593-43)*MAX('Inputs'!$B$33,'Inputs'!$B$29+'Inputs'!$B$31+'Inputs'!$B$32,'Inputs'!$B$30+'Inputs'!$B$31+'Inputs'!$B$32)/1000+'Inputs'!$B$21))^2+('Inputs'!$B$6/2)^2)))-'Results'!C7*(1+'Inputs'!$B$24)*(0.5*((((593-43)*MAX('Inputs'!$B$33,'Inputs'!$B$29+'Inputs'!$B$31+'Inputs'!$B$32,'Inputs'!$B$30+'Inputs'!$B$31+'Inputs'!$B$32)/1000+'Inputs'!$B$21+'Inputs'!$B$7+'Inputs'!$B$10)+'Inputs'!$B$9)/SQRT((((593-43)*MAX('Inputs'!$B$33,'Inputs'!$B$29+'Inputs'!$B$31+'Inputs'!$B$32,'Inputs'!$B$30+'Inputs'!$B$31+'Inputs'!$B$32)/1000+'Inputs'!$B$21+'Inputs'!$B$7+'Inputs'!$B$10)+'Inputs'!$B$9)^2+('Inputs'!$B$8/2)^2)-(((593-43)*MAX('Inputs'!$B$33,'Inputs'!$B$29+'Inputs'!$B$31+'Inputs'!$B$32,'Inputs'!$B$30+'Inputs'!$B$31+'Inputs'!$B$32)/1000+'Inputs'!$B$21+'Inputs'!$B$7+'Inputs'!$B$10))/SQRT((((593-43)*MAX('Inputs'!$B$33,'Inputs'!$B$29+'Inputs'!$B$31+'Inputs'!$B$32,'Inputs'!$B$30+'Inputs'!$B$31+'Inputs'!$B$32)/1000+'Inputs'!$B$21+'Inputs'!$B$7+'Inputs'!$B$10))^2+('Inputs'!$B$8/2)^2))))*'Results'!$B$8)-'Inputs'!$B$28*ABS((('Results'!B7*(1-'Inputs'!$B$24)*(0.5*((((593-43)*MAX('Inputs'!$B$33,'Inputs'!$B$29+'Inputs'!$B$31+'Inputs'!$B$32,'Inputs'!$B$30+'Inputs'!$B$31+'Inputs'!$B$32)/1000+'Inputs'!$B$21)+'Inputs'!$B$7)/SQRT((((593-43)*MAX('Inputs'!$B$33,'Inputs'!$B$29+'Inputs'!$B$31+'Inputs'!$B$32,'Inputs'!$B$30+'Inputs'!$B$31+'Inputs'!$B$32)/1000+'Inputs'!$B$21)+'Inputs'!$B$7)^2+('Inputs'!$B$6/2)^2)-(((593-43)*MAX('Inputs'!$B$33,'Inputs'!$B$29+'Inputs'!$B$31+'Inputs'!$B$32,'Inputs'!$B$30+'Inputs'!$B$31+'Inputs'!$B$32)/1000+'Inputs'!$B$21))/SQRT((((593-43)*MAX('Inputs'!$B$33,'Inputs'!$B$29+'Inputs'!$B$31+'Inputs'!$B$32,'Inputs'!$B$30+'Inputs'!$B$31+'Inputs'!$B$32)/1000+'Inputs'!$B$21))^2+('Inputs'!$B$6/2)^2)))-'Results'!C7*(1+'Inputs'!$B$24)*(0.5*((((593-43)*MAX('Inputs'!$B$33,'Inputs'!$B$29+'Inputs'!$B$31+'Inputs'!$B$32,'Inputs'!$B$30+'Inputs'!$B$31+'Inputs'!$B$32)/1000+'Inputs'!$B$21+'Inputs'!$B$7+'Inputs'!$B$10)+'Inputs'!$B$9)/SQRT((((593-43)*MAX('Inputs'!$B$33,'Inputs'!$B$29+'Inputs'!$B$31+'Inputs'!$B$32,'Inputs'!$B$30+'Inputs'!$B$31+'Inputs'!$B$32)/1000+'Inputs'!$B$21+'Inputs'!$B$7+'Inputs'!$B$10)+'Inputs'!$B$9)^2+('Inputs'!$B$8/2)^2)-(((593-43)*MAX('Inputs'!$B$33,'Inputs'!$B$29+'Inputs'!$B$31+'Inputs'!$B$32,'Inputs'!$B$30+'Inputs'!$B$31+'Inputs'!$B$32)/1000+'Inputs'!$B$21+'Inputs'!$B$7+'Inputs'!$B$10))/SQRT((((593-43)*MAX('Inputs'!$B$33,'Inputs'!$B$29+'Inputs'!$B$31+'Inputs'!$B$32,'Inputs'!$B$30+'Inputs'!$B$31+'Inputs'!$B$32)/1000+'Inputs'!$B$21+'Inputs'!$B$7+'Inputs'!$B$10))^2+('Inputs'!$B$8/2)^2))))*'Results'!$B$8))),"")</x:f>
        <x:v>2.652355488333737</x:v>
      </x:c>
      <x:c r="L593" t="n">
        <x:f>IF(AND(ISNUMBER('Results'!B7),ISNUMBER('Results'!C7),ISNUMBER('Results'!$B$8),ISNUMBER('Inputs'!$B$6),ISNUMBER('Inputs'!$B$7),ISNUMBER('Inputs'!$B$8),ISNUMBER('Inputs'!$B$9),ISNUMBER('Inputs'!$B$10),ISNUMBER('Inputs'!$B$21),ISNUMBER('Inputs'!$B$24),ISNUMBER('Inputs'!$B$28)),((('Results'!B7*(1+'Inputs'!$B$24)*(0.5*((((593-43)*MAX('Inputs'!$B$33,'Inputs'!$B$29+'Inputs'!$B$31+'Inputs'!$B$32,'Inputs'!$B$30+'Inputs'!$B$31+'Inputs'!$B$32)/1000+'Inputs'!$B$21)+'Inputs'!$B$7)/SQRT((((593-43)*MAX('Inputs'!$B$33,'Inputs'!$B$29+'Inputs'!$B$31+'Inputs'!$B$32,'Inputs'!$B$30+'Inputs'!$B$31+'Inputs'!$B$32)/1000+'Inputs'!$B$21)+'Inputs'!$B$7)^2+('Inputs'!$B$6/2)^2)-(((593-43)*MAX('Inputs'!$B$33,'Inputs'!$B$29+'Inputs'!$B$31+'Inputs'!$B$32,'Inputs'!$B$30+'Inputs'!$B$31+'Inputs'!$B$32)/1000+'Inputs'!$B$21))/SQRT((((593-43)*MAX('Inputs'!$B$33,'Inputs'!$B$29+'Inputs'!$B$31+'Inputs'!$B$32,'Inputs'!$B$30+'Inputs'!$B$31+'Inputs'!$B$32)/1000+'Inputs'!$B$21))^2+('Inputs'!$B$6/2)^2)))-'Results'!C7*(1-'Inputs'!$B$24)*(0.5*((((593-43)*MAX('Inputs'!$B$33,'Inputs'!$B$29+'Inputs'!$B$31+'Inputs'!$B$32,'Inputs'!$B$30+'Inputs'!$B$31+'Inputs'!$B$32)/1000+'Inputs'!$B$21+'Inputs'!$B$7+'Inputs'!$B$10)+'Inputs'!$B$9)/SQRT((((593-43)*MAX('Inputs'!$B$33,'Inputs'!$B$29+'Inputs'!$B$31+'Inputs'!$B$32,'Inputs'!$B$30+'Inputs'!$B$31+'Inputs'!$B$32)/1000+'Inputs'!$B$21+'Inputs'!$B$7+'Inputs'!$B$10)+'Inputs'!$B$9)^2+('Inputs'!$B$8/2)^2)-(((593-43)*MAX('Inputs'!$B$33,'Inputs'!$B$29+'Inputs'!$B$31+'Inputs'!$B$32,'Inputs'!$B$30+'Inputs'!$B$31+'Inputs'!$B$32)/1000+'Inputs'!$B$21+'Inputs'!$B$7+'Inputs'!$B$10))/SQRT((((593-43)*MAX('Inputs'!$B$33,'Inputs'!$B$29+'Inputs'!$B$31+'Inputs'!$B$32,'Inputs'!$B$30+'Inputs'!$B$31+'Inputs'!$B$32)/1000+'Inputs'!$B$21+'Inputs'!$B$7+'Inputs'!$B$10))^2+('Inputs'!$B$8/2)^2))))*'Results'!$B$8)+'Inputs'!$B$28*ABS((('Results'!B7*(1+'Inputs'!$B$24)*(0.5*((((593-43)*MAX('Inputs'!$B$33,'Inputs'!$B$29+'Inputs'!$B$31+'Inputs'!$B$32,'Inputs'!$B$30+'Inputs'!$B$31+'Inputs'!$B$32)/1000+'Inputs'!$B$21)+'Inputs'!$B$7)/SQRT((((593-43)*MAX('Inputs'!$B$33,'Inputs'!$B$29+'Inputs'!$B$31+'Inputs'!$B$32,'Inputs'!$B$30+'Inputs'!$B$31+'Inputs'!$B$32)/1000+'Inputs'!$B$21)+'Inputs'!$B$7)^2+('Inputs'!$B$6/2)^2)-(((593-43)*MAX('Inputs'!$B$33,'Inputs'!$B$29+'Inputs'!$B$31+'Inputs'!$B$32,'Inputs'!$B$30+'Inputs'!$B$31+'Inputs'!$B$32)/1000+'Inputs'!$B$21))/SQRT((((593-43)*MAX('Inputs'!$B$33,'Inputs'!$B$29+'Inputs'!$B$31+'Inputs'!$B$32,'Inputs'!$B$30+'Inputs'!$B$31+'Inputs'!$B$32)/1000+'Inputs'!$B$21))^2+('Inputs'!$B$6/2)^2)))-'Results'!C7*(1-'Inputs'!$B$24)*(0.5*((((593-43)*MAX('Inputs'!$B$33,'Inputs'!$B$29+'Inputs'!$B$31+'Inputs'!$B$32,'Inputs'!$B$30+'Inputs'!$B$31+'Inputs'!$B$32)/1000+'Inputs'!$B$21+'Inputs'!$B$7+'Inputs'!$B$10)+'Inputs'!$B$9)/SQRT((((593-43)*MAX('Inputs'!$B$33,'Inputs'!$B$29+'Inputs'!$B$31+'Inputs'!$B$32,'Inputs'!$B$30+'Inputs'!$B$31+'Inputs'!$B$32)/1000+'Inputs'!$B$21+'Inputs'!$B$7+'Inputs'!$B$10)+'Inputs'!$B$9)^2+('Inputs'!$B$8/2)^2)-(((593-43)*MAX('Inputs'!$B$33,'Inputs'!$B$29+'Inputs'!$B$31+'Inputs'!$B$32,'Inputs'!$B$30+'Inputs'!$B$31+'Inputs'!$B$32)/1000+'Inputs'!$B$21+'Inputs'!$B$7+'Inputs'!$B$10))/SQRT((((593-43)*MAX('Inputs'!$B$33,'Inputs'!$B$29+'Inputs'!$B$31+'Inputs'!$B$32,'Inputs'!$B$30+'Inputs'!$B$31+'Inputs'!$B$32)/1000+'Inputs'!$B$21+'Inputs'!$B$7+'Inputs'!$B$10))^2+('Inputs'!$B$8/2)^2))))*'Results'!$B$8))),"")</x:f>
        <x:v>3.3933354347143734</x:v>
      </x:c>
      <x:c r="M593" t="n">
        <x:f>IF(AND(ISNUMBER('Results'!C7),ISNUMBER('Results'!B7),ISNUMBER('Results'!$B$8),ISNUMBER('Inputs'!$B$6),ISNUMBER('Inputs'!$B$7),ISNUMBER('Inputs'!$B$8),ISNUMBER('Inputs'!$B$9),ISNUMBER('Inputs'!$B$10),ISNUMBER('Inputs'!$B$21),ISNUMBER('Inputs'!$B$24),ISNUMBER('Inputs'!$B$28)),(('Results'!C7*(0.5*((((593-43)*MAX('Inputs'!$B$33,'Inputs'!$B$29+'Inputs'!$B$31+'Inputs'!$B$32,'Inputs'!$B$30+'Inputs'!$B$31+'Inputs'!$B$32)/1000+'Inputs'!$B$21)+'Inputs'!$B$9)/SQRT((((593-43)*MAX('Inputs'!$B$33,'Inputs'!$B$29+'Inputs'!$B$31+'Inputs'!$B$32,'Inputs'!$B$30+'Inputs'!$B$31+'Inputs'!$B$32)/1000+'Inputs'!$B$21)+'Inputs'!$B$9)^2+('Inputs'!$B$8/2)^2)-(((593-43)*MAX('Inputs'!$B$33,'Inputs'!$B$29+'Inputs'!$B$31+'Inputs'!$B$32,'Inputs'!$B$30+'Inputs'!$B$31+'Inputs'!$B$32)/1000+'Inputs'!$B$21))/SQRT((((593-43)*MAX('Inputs'!$B$33,'Inputs'!$B$29+'Inputs'!$B$31+'Inputs'!$B$32,'Inputs'!$B$30+'Inputs'!$B$31+'Inputs'!$B$32)/1000+'Inputs'!$B$21))^2+('Inputs'!$B$8/2)^2)))-'Results'!B7*(0.5*((((593-43)*MAX('Inputs'!$B$33,'Inputs'!$B$29+'Inputs'!$B$31+'Inputs'!$B$32,'Inputs'!$B$30+'Inputs'!$B$31+'Inputs'!$B$32)/1000+'Inputs'!$B$21+'Inputs'!$B$9+'Inputs'!$B$10)+'Inputs'!$B$7)/SQRT((((593-43)*MAX('Inputs'!$B$33,'Inputs'!$B$29+'Inputs'!$B$31+'Inputs'!$B$32,'Inputs'!$B$30+'Inputs'!$B$31+'Inputs'!$B$32)/1000+'Inputs'!$B$21+'Inputs'!$B$9+'Inputs'!$B$10)+'Inputs'!$B$7)^2+('Inputs'!$B$6/2)^2)-(((593-43)*MAX('Inputs'!$B$33,'Inputs'!$B$29+'Inputs'!$B$31+'Inputs'!$B$32,'Inputs'!$B$30+'Inputs'!$B$31+'Inputs'!$B$32)/1000+'Inputs'!$B$21+'Inputs'!$B$9+'Inputs'!$B$10))/SQRT((((593-43)*MAX('Inputs'!$B$33,'Inputs'!$B$29+'Inputs'!$B$31+'Inputs'!$B$32,'Inputs'!$B$30+'Inputs'!$B$31+'Inputs'!$B$32)/1000+'Inputs'!$B$21+'Inputs'!$B$9+'Inputs'!$B$10))^2+('Inputs'!$B$6/2)^2))))*'Results'!$B$8),"")</x:f>
        <x:v>2.7903239575334746</x:v>
      </x:c>
      <x:c r="N593" t="n">
        <x:f>IF(AND(ISNUMBER('Results'!C7),ISNUMBER('Results'!B7),ISNUMBER('Results'!$B$8),ISNUMBER('Inputs'!$B$6),ISNUMBER('Inputs'!$B$7),ISNUMBER('Inputs'!$B$8),ISNUMBER('Inputs'!$B$9),ISNUMBER('Inputs'!$B$10),ISNUMBER('Inputs'!$B$21),ISNUMBER('Inputs'!$B$24),ISNUMBER('Inputs'!$B$28)),((('Results'!C7*(1-'Inputs'!$B$24)*(0.5*((((593-43)*MAX('Inputs'!$B$33,'Inputs'!$B$29+'Inputs'!$B$31+'Inputs'!$B$32,'Inputs'!$B$30+'Inputs'!$B$31+'Inputs'!$B$32)/1000+'Inputs'!$B$21)+'Inputs'!$B$9)/SQRT((((593-43)*MAX('Inputs'!$B$33,'Inputs'!$B$29+'Inputs'!$B$31+'Inputs'!$B$32,'Inputs'!$B$30+'Inputs'!$B$31+'Inputs'!$B$32)/1000+'Inputs'!$B$21)+'Inputs'!$B$9)^2+('Inputs'!$B$8/2)^2)-(((593-43)*MAX('Inputs'!$B$33,'Inputs'!$B$29+'Inputs'!$B$31+'Inputs'!$B$32,'Inputs'!$B$30+'Inputs'!$B$31+'Inputs'!$B$32)/1000+'Inputs'!$B$21))/SQRT((((593-43)*MAX('Inputs'!$B$33,'Inputs'!$B$29+'Inputs'!$B$31+'Inputs'!$B$32,'Inputs'!$B$30+'Inputs'!$B$31+'Inputs'!$B$32)/1000+'Inputs'!$B$21))^2+('Inputs'!$B$8/2)^2)))-'Results'!B7*(1+'Inputs'!$B$24)*(0.5*((((593-43)*MAX('Inputs'!$B$33,'Inputs'!$B$29+'Inputs'!$B$31+'Inputs'!$B$32,'Inputs'!$B$30+'Inputs'!$B$31+'Inputs'!$B$32)/1000+'Inputs'!$B$21+'Inputs'!$B$9+'Inputs'!$B$10)+'Inputs'!$B$7)/SQRT((((593-43)*MAX('Inputs'!$B$33,'Inputs'!$B$29+'Inputs'!$B$31+'Inputs'!$B$32,'Inputs'!$B$30+'Inputs'!$B$31+'Inputs'!$B$32)/1000+'Inputs'!$B$21+'Inputs'!$B$9+'Inputs'!$B$10)+'Inputs'!$B$7)^2+('Inputs'!$B$6/2)^2)-(((593-43)*MAX('Inputs'!$B$33,'Inputs'!$B$29+'Inputs'!$B$31+'Inputs'!$B$32,'Inputs'!$B$30+'Inputs'!$B$31+'Inputs'!$B$32)/1000+'Inputs'!$B$21+'Inputs'!$B$9+'Inputs'!$B$10))/SQRT((((593-43)*MAX('Inputs'!$B$33,'Inputs'!$B$29+'Inputs'!$B$31+'Inputs'!$B$32,'Inputs'!$B$30+'Inputs'!$B$31+'Inputs'!$B$32)/1000+'Inputs'!$B$21+'Inputs'!$B$9+'Inputs'!$B$10))^2+('Inputs'!$B$6/2)^2))))*'Results'!$B$8)-'Inputs'!$B$28*ABS((('Results'!C7*(1-'Inputs'!$B$24)*(0.5*((((593-43)*MAX('Inputs'!$B$33,'Inputs'!$B$29+'Inputs'!$B$31+'Inputs'!$B$32,'Inputs'!$B$30+'Inputs'!$B$31+'Inputs'!$B$32)/1000+'Inputs'!$B$21)+'Inputs'!$B$9)/SQRT((((593-43)*MAX('Inputs'!$B$33,'Inputs'!$B$29+'Inputs'!$B$31+'Inputs'!$B$32,'Inputs'!$B$30+'Inputs'!$B$31+'Inputs'!$B$32)/1000+'Inputs'!$B$21)+'Inputs'!$B$9)^2+('Inputs'!$B$8/2)^2)-(((593-43)*MAX('Inputs'!$B$33,'Inputs'!$B$29+'Inputs'!$B$31+'Inputs'!$B$32,'Inputs'!$B$30+'Inputs'!$B$31+'Inputs'!$B$32)/1000+'Inputs'!$B$21))/SQRT((((593-43)*MAX('Inputs'!$B$33,'Inputs'!$B$29+'Inputs'!$B$31+'Inputs'!$B$32,'Inputs'!$B$30+'Inputs'!$B$31+'Inputs'!$B$32)/1000+'Inputs'!$B$21))^2+('Inputs'!$B$8/2)^2)))-'Results'!B7*(1+'Inputs'!$B$24)*(0.5*((((593-43)*MAX('Inputs'!$B$33,'Inputs'!$B$29+'Inputs'!$B$31+'Inputs'!$B$32,'Inputs'!$B$30+'Inputs'!$B$31+'Inputs'!$B$32)/1000+'Inputs'!$B$21+'Inputs'!$B$9+'Inputs'!$B$10)+'Inputs'!$B$7)/SQRT((((593-43)*MAX('Inputs'!$B$33,'Inputs'!$B$29+'Inputs'!$B$31+'Inputs'!$B$32,'Inputs'!$B$30+'Inputs'!$B$31+'Inputs'!$B$32)/1000+'Inputs'!$B$21+'Inputs'!$B$9+'Inputs'!$B$10)+'Inputs'!$B$7)^2+('Inputs'!$B$6/2)^2)-(((593-43)*MAX('Inputs'!$B$33,'Inputs'!$B$29+'Inputs'!$B$31+'Inputs'!$B$32,'Inputs'!$B$30+'Inputs'!$B$31+'Inputs'!$B$32)/1000+'Inputs'!$B$21+'Inputs'!$B$9+'Inputs'!$B$10))/SQRT((((593-43)*MAX('Inputs'!$B$33,'Inputs'!$B$29+'Inputs'!$B$31+'Inputs'!$B$32,'Inputs'!$B$30+'Inputs'!$B$31+'Inputs'!$B$32)/1000+'Inputs'!$B$21+'Inputs'!$B$9+'Inputs'!$B$10))^2+('Inputs'!$B$6/2)^2))))*'Results'!$B$8))),"")</x:f>
        <x:v>2.443018736769958</x:v>
      </x:c>
      <x:c r="O593" t="n">
        <x:f>IF(AND(ISNUMBER('Results'!C7),ISNUMBER('Results'!B7),ISNUMBER('Results'!$B$8),ISNUMBER('Inputs'!$B$6),ISNUMBER('Inputs'!$B$7),ISNUMBER('Inputs'!$B$8),ISNUMBER('Inputs'!$B$9),ISNUMBER('Inputs'!$B$10),ISNUMBER('Inputs'!$B$21),ISNUMBER('Inputs'!$B$24),ISNUMBER('Inputs'!$B$28)),((('Results'!C7*(1+'Inputs'!$B$24)*(0.5*((((593-43)*MAX('Inputs'!$B$33,'Inputs'!$B$29+'Inputs'!$B$31+'Inputs'!$B$32,'Inputs'!$B$30+'Inputs'!$B$31+'Inputs'!$B$32)/1000+'Inputs'!$B$21)+'Inputs'!$B$9)/SQRT((((593-43)*MAX('Inputs'!$B$33,'Inputs'!$B$29+'Inputs'!$B$31+'Inputs'!$B$32,'Inputs'!$B$30+'Inputs'!$B$31+'Inputs'!$B$32)/1000+'Inputs'!$B$21)+'Inputs'!$B$9)^2+('Inputs'!$B$8/2)^2)-(((593-43)*MAX('Inputs'!$B$33,'Inputs'!$B$29+'Inputs'!$B$31+'Inputs'!$B$32,'Inputs'!$B$30+'Inputs'!$B$31+'Inputs'!$B$32)/1000+'Inputs'!$B$21))/SQRT((((593-43)*MAX('Inputs'!$B$33,'Inputs'!$B$29+'Inputs'!$B$31+'Inputs'!$B$32,'Inputs'!$B$30+'Inputs'!$B$31+'Inputs'!$B$32)/1000+'Inputs'!$B$21))^2+('Inputs'!$B$8/2)^2)))-'Results'!B7*(1-'Inputs'!$B$24)*(0.5*((((593-43)*MAX('Inputs'!$B$33,'Inputs'!$B$29+'Inputs'!$B$31+'Inputs'!$B$32,'Inputs'!$B$30+'Inputs'!$B$31+'Inputs'!$B$32)/1000+'Inputs'!$B$21+'Inputs'!$B$9+'Inputs'!$B$10)+'Inputs'!$B$7)/SQRT((((593-43)*MAX('Inputs'!$B$33,'Inputs'!$B$29+'Inputs'!$B$31+'Inputs'!$B$32,'Inputs'!$B$30+'Inputs'!$B$31+'Inputs'!$B$32)/1000+'Inputs'!$B$21+'Inputs'!$B$9+'Inputs'!$B$10)+'Inputs'!$B$7)^2+('Inputs'!$B$6/2)^2)-(((593-43)*MAX('Inputs'!$B$33,'Inputs'!$B$29+'Inputs'!$B$31+'Inputs'!$B$32,'Inputs'!$B$30+'Inputs'!$B$31+'Inputs'!$B$32)/1000+'Inputs'!$B$21+'Inputs'!$B$9+'Inputs'!$B$10))/SQRT((((593-43)*MAX('Inputs'!$B$33,'Inputs'!$B$29+'Inputs'!$B$31+'Inputs'!$B$32,'Inputs'!$B$30+'Inputs'!$B$31+'Inputs'!$B$32)/1000+'Inputs'!$B$21+'Inputs'!$B$9+'Inputs'!$B$10))^2+('Inputs'!$B$6/2)^2))))*'Results'!$B$8)+'Inputs'!$B$28*ABS((('Results'!C7*(1+'Inputs'!$B$24)*(0.5*((((593-43)*MAX('Inputs'!$B$33,'Inputs'!$B$29+'Inputs'!$B$31+'Inputs'!$B$32,'Inputs'!$B$30+'Inputs'!$B$31+'Inputs'!$B$32)/1000+'Inputs'!$B$21)+'Inputs'!$B$9)/SQRT((((593-43)*MAX('Inputs'!$B$33,'Inputs'!$B$29+'Inputs'!$B$31+'Inputs'!$B$32,'Inputs'!$B$30+'Inputs'!$B$31+'Inputs'!$B$32)/1000+'Inputs'!$B$21)+'Inputs'!$B$9)^2+('Inputs'!$B$8/2)^2)-(((593-43)*MAX('Inputs'!$B$33,'Inputs'!$B$29+'Inputs'!$B$31+'Inputs'!$B$32,'Inputs'!$B$30+'Inputs'!$B$31+'Inputs'!$B$32)/1000+'Inputs'!$B$21))/SQRT((((593-43)*MAX('Inputs'!$B$33,'Inputs'!$B$29+'Inputs'!$B$31+'Inputs'!$B$32,'Inputs'!$B$30+'Inputs'!$B$31+'Inputs'!$B$32)/1000+'Inputs'!$B$21))^2+('Inputs'!$B$8/2)^2)))-'Results'!B7*(1-'Inputs'!$B$24)*(0.5*((((593-43)*MAX('Inputs'!$B$33,'Inputs'!$B$29+'Inputs'!$B$31+'Inputs'!$B$32,'Inputs'!$B$30+'Inputs'!$B$31+'Inputs'!$B$32)/1000+'Inputs'!$B$21+'Inputs'!$B$9+'Inputs'!$B$10)+'Inputs'!$B$7)/SQRT((((593-43)*MAX('Inputs'!$B$33,'Inputs'!$B$29+'Inputs'!$B$31+'Inputs'!$B$32,'Inputs'!$B$30+'Inputs'!$B$31+'Inputs'!$B$32)/1000+'Inputs'!$B$21+'Inputs'!$B$9+'Inputs'!$B$10)+'Inputs'!$B$7)^2+('Inputs'!$B$6/2)^2)-(((593-43)*MAX('Inputs'!$B$33,'Inputs'!$B$29+'Inputs'!$B$31+'Inputs'!$B$32,'Inputs'!$B$30+'Inputs'!$B$31+'Inputs'!$B$32)/1000+'Inputs'!$B$21+'Inputs'!$B$9+'Inputs'!$B$10))/SQRT((((593-43)*MAX('Inputs'!$B$33,'Inputs'!$B$29+'Inputs'!$B$31+'Inputs'!$B$32,'Inputs'!$B$30+'Inputs'!$B$31+'Inputs'!$B$32)/1000+'Inputs'!$B$21+'Inputs'!$B$9+'Inputs'!$B$10))^2+('Inputs'!$B$6/2)^2))))*'Results'!$B$8))),"")</x:f>
        <x:v>3.1595017070219216</x:v>
      </x:c>
      <x:c r="P593" t="n">
        <x:f>IF(AND(MAX(J593,J592)&gt;0,J593&gt;J592+0.00000001),1,0)</x:f>
        <x:v>0</x:v>
      </x:c>
      <x:c r="Q593" t="n">
        <x:f>IF(AND(MAX(K593,K592)&gt;0,K593&gt;K592+0.00000001),1,0)</x:f>
        <x:v>0</x:v>
      </x:c>
      <x:c r="R593" t="n">
        <x:f>IF(AND(MAX(L593,L592)&gt;0,L593&gt;L592+0.00000001),1,0)</x:f>
        <x:v>0</x:v>
      </x:c>
      <x:c r="S593" t="n">
        <x:f>IF(AND(MAX(M593,M592)&gt;0,M593&gt;M592+0.00000001),1,0)</x:f>
        <x:v>0</x:v>
      </x:c>
      <x:c r="T593" t="n">
        <x:f>IF(AND(MAX(N593,N592)&gt;0,N593&gt;N592+0.00000001),1,0)</x:f>
        <x:v>0</x:v>
      </x:c>
      <x:c r="U593" t="n">
        <x:f>IF(AND(MAX(O593,O592)&gt;0,O593&gt;O592+0.00000001),1,0)</x:f>
        <x:v>0</x:v>
      </x:c>
    </x:row>
    <x:row r="594">
      <x:c r="J594" t="n">
        <x:f>IF(AND(ISNUMBER('Results'!B7),ISNUMBER('Results'!C7),ISNUMBER('Results'!$B$8),ISNUMBER('Inputs'!$B$6),ISNUMBER('Inputs'!$B$7),ISNUMBER('Inputs'!$B$8),ISNUMBER('Inputs'!$B$9),ISNUMBER('Inputs'!$B$10),ISNUMBER('Inputs'!$B$21),ISNUMBER('Inputs'!$B$24),ISNUMBER('Inputs'!$B$28)),(('Results'!B7*(0.5*((((594-43)*MAX('Inputs'!$B$33,'Inputs'!$B$29+'Inputs'!$B$31+'Inputs'!$B$32,'Inputs'!$B$30+'Inputs'!$B$31+'Inputs'!$B$32)/1000+'Inputs'!$B$21)+'Inputs'!$B$7)/SQRT((((594-43)*MAX('Inputs'!$B$33,'Inputs'!$B$29+'Inputs'!$B$31+'Inputs'!$B$32,'Inputs'!$B$30+'Inputs'!$B$31+'Inputs'!$B$32)/1000+'Inputs'!$B$21)+'Inputs'!$B$7)^2+('Inputs'!$B$6/2)^2)-(((594-43)*MAX('Inputs'!$B$33,'Inputs'!$B$29+'Inputs'!$B$31+'Inputs'!$B$32,'Inputs'!$B$30+'Inputs'!$B$31+'Inputs'!$B$32)/1000+'Inputs'!$B$21))/SQRT((((594-43)*MAX('Inputs'!$B$33,'Inputs'!$B$29+'Inputs'!$B$31+'Inputs'!$B$32,'Inputs'!$B$30+'Inputs'!$B$31+'Inputs'!$B$32)/1000+'Inputs'!$B$21))^2+('Inputs'!$B$6/2)^2)))-'Results'!C7*(0.5*((((594-43)*MAX('Inputs'!$B$33,'Inputs'!$B$29+'Inputs'!$B$31+'Inputs'!$B$32,'Inputs'!$B$30+'Inputs'!$B$31+'Inputs'!$B$32)/1000+'Inputs'!$B$21+'Inputs'!$B$7+'Inputs'!$B$10)+'Inputs'!$B$9)/SQRT((((594-43)*MAX('Inputs'!$B$33,'Inputs'!$B$29+'Inputs'!$B$31+'Inputs'!$B$32,'Inputs'!$B$30+'Inputs'!$B$31+'Inputs'!$B$32)/1000+'Inputs'!$B$21+'Inputs'!$B$7+'Inputs'!$B$10)+'Inputs'!$B$9)^2+('Inputs'!$B$8/2)^2)-(((594-43)*MAX('Inputs'!$B$33,'Inputs'!$B$29+'Inputs'!$B$31+'Inputs'!$B$32,'Inputs'!$B$30+'Inputs'!$B$31+'Inputs'!$B$32)/1000+'Inputs'!$B$21+'Inputs'!$B$7+'Inputs'!$B$10))/SQRT((((594-43)*MAX('Inputs'!$B$33,'Inputs'!$B$29+'Inputs'!$B$31+'Inputs'!$B$32,'Inputs'!$B$30+'Inputs'!$B$31+'Inputs'!$B$32)/1000+'Inputs'!$B$21+'Inputs'!$B$7+'Inputs'!$B$10))^2+('Inputs'!$B$8/2)^2))))*'Results'!$B$8),"")</x:f>
        <x:v>2.9929815519866056</x:v>
      </x:c>
      <x:c r="K594" t="n">
        <x:f>IF(AND(ISNUMBER('Results'!B7),ISNUMBER('Results'!C7),ISNUMBER('Results'!$B$8),ISNUMBER('Inputs'!$B$6),ISNUMBER('Inputs'!$B$7),ISNUMBER('Inputs'!$B$8),ISNUMBER('Inputs'!$B$9),ISNUMBER('Inputs'!$B$10),ISNUMBER('Inputs'!$B$21),ISNUMBER('Inputs'!$B$24),ISNUMBER('Inputs'!$B$28)),((('Results'!B7*(1-'Inputs'!$B$24)*(0.5*((((594-43)*MAX('Inputs'!$B$33,'Inputs'!$B$29+'Inputs'!$B$31+'Inputs'!$B$32,'Inputs'!$B$30+'Inputs'!$B$31+'Inputs'!$B$32)/1000+'Inputs'!$B$21)+'Inputs'!$B$7)/SQRT((((594-43)*MAX('Inputs'!$B$33,'Inputs'!$B$29+'Inputs'!$B$31+'Inputs'!$B$32,'Inputs'!$B$30+'Inputs'!$B$31+'Inputs'!$B$32)/1000+'Inputs'!$B$21)+'Inputs'!$B$7)^2+('Inputs'!$B$6/2)^2)-(((594-43)*MAX('Inputs'!$B$33,'Inputs'!$B$29+'Inputs'!$B$31+'Inputs'!$B$32,'Inputs'!$B$30+'Inputs'!$B$31+'Inputs'!$B$32)/1000+'Inputs'!$B$21))/SQRT((((594-43)*MAX('Inputs'!$B$33,'Inputs'!$B$29+'Inputs'!$B$31+'Inputs'!$B$32,'Inputs'!$B$30+'Inputs'!$B$31+'Inputs'!$B$32)/1000+'Inputs'!$B$21))^2+('Inputs'!$B$6/2)^2)))-'Results'!C7*(1+'Inputs'!$B$24)*(0.5*((((594-43)*MAX('Inputs'!$B$33,'Inputs'!$B$29+'Inputs'!$B$31+'Inputs'!$B$32,'Inputs'!$B$30+'Inputs'!$B$31+'Inputs'!$B$32)/1000+'Inputs'!$B$21+'Inputs'!$B$7+'Inputs'!$B$10)+'Inputs'!$B$9)/SQRT((((594-43)*MAX('Inputs'!$B$33,'Inputs'!$B$29+'Inputs'!$B$31+'Inputs'!$B$32,'Inputs'!$B$30+'Inputs'!$B$31+'Inputs'!$B$32)/1000+'Inputs'!$B$21+'Inputs'!$B$7+'Inputs'!$B$10)+'Inputs'!$B$9)^2+('Inputs'!$B$8/2)^2)-(((594-43)*MAX('Inputs'!$B$33,'Inputs'!$B$29+'Inputs'!$B$31+'Inputs'!$B$32,'Inputs'!$B$30+'Inputs'!$B$31+'Inputs'!$B$32)/1000+'Inputs'!$B$21+'Inputs'!$B$7+'Inputs'!$B$10))/SQRT((((594-43)*MAX('Inputs'!$B$33,'Inputs'!$B$29+'Inputs'!$B$31+'Inputs'!$B$32,'Inputs'!$B$30+'Inputs'!$B$31+'Inputs'!$B$32)/1000+'Inputs'!$B$21+'Inputs'!$B$7+'Inputs'!$B$10))^2+('Inputs'!$B$8/2)^2))))*'Results'!$B$8)-'Inputs'!$B$28*ABS((('Results'!B7*(1-'Inputs'!$B$24)*(0.5*((((594-43)*MAX('Inputs'!$B$33,'Inputs'!$B$29+'Inputs'!$B$31+'Inputs'!$B$32,'Inputs'!$B$30+'Inputs'!$B$31+'Inputs'!$B$32)/1000+'Inputs'!$B$21)+'Inputs'!$B$7)/SQRT((((594-43)*MAX('Inputs'!$B$33,'Inputs'!$B$29+'Inputs'!$B$31+'Inputs'!$B$32,'Inputs'!$B$30+'Inputs'!$B$31+'Inputs'!$B$32)/1000+'Inputs'!$B$21)+'Inputs'!$B$7)^2+('Inputs'!$B$6/2)^2)-(((594-43)*MAX('Inputs'!$B$33,'Inputs'!$B$29+'Inputs'!$B$31+'Inputs'!$B$32,'Inputs'!$B$30+'Inputs'!$B$31+'Inputs'!$B$32)/1000+'Inputs'!$B$21))/SQRT((((594-43)*MAX('Inputs'!$B$33,'Inputs'!$B$29+'Inputs'!$B$31+'Inputs'!$B$32,'Inputs'!$B$30+'Inputs'!$B$31+'Inputs'!$B$32)/1000+'Inputs'!$B$21))^2+('Inputs'!$B$6/2)^2)))-'Results'!C7*(1+'Inputs'!$B$24)*(0.5*((((594-43)*MAX('Inputs'!$B$33,'Inputs'!$B$29+'Inputs'!$B$31+'Inputs'!$B$32,'Inputs'!$B$30+'Inputs'!$B$31+'Inputs'!$B$32)/1000+'Inputs'!$B$21+'Inputs'!$B$7+'Inputs'!$B$10)+'Inputs'!$B$9)/SQRT((((594-43)*MAX('Inputs'!$B$33,'Inputs'!$B$29+'Inputs'!$B$31+'Inputs'!$B$32,'Inputs'!$B$30+'Inputs'!$B$31+'Inputs'!$B$32)/1000+'Inputs'!$B$21+'Inputs'!$B$7+'Inputs'!$B$10)+'Inputs'!$B$9)^2+('Inputs'!$B$8/2)^2)-(((594-43)*MAX('Inputs'!$B$33,'Inputs'!$B$29+'Inputs'!$B$31+'Inputs'!$B$32,'Inputs'!$B$30+'Inputs'!$B$31+'Inputs'!$B$32)/1000+'Inputs'!$B$21+'Inputs'!$B$7+'Inputs'!$B$10))/SQRT((((594-43)*MAX('Inputs'!$B$33,'Inputs'!$B$29+'Inputs'!$B$31+'Inputs'!$B$32,'Inputs'!$B$30+'Inputs'!$B$31+'Inputs'!$B$32)/1000+'Inputs'!$B$21+'Inputs'!$B$7+'Inputs'!$B$10))^2+('Inputs'!$B$8/2)^2))))*'Results'!$B$8))),"")</x:f>
        <x:v>2.6354431479148106</x:v>
      </x:c>
      <x:c r="L594" t="n">
        <x:f>IF(AND(ISNUMBER('Results'!B7),ISNUMBER('Results'!C7),ISNUMBER('Results'!$B$8),ISNUMBER('Inputs'!$B$6),ISNUMBER('Inputs'!$B$7),ISNUMBER('Inputs'!$B$8),ISNUMBER('Inputs'!$B$9),ISNUMBER('Inputs'!$B$10),ISNUMBER('Inputs'!$B$21),ISNUMBER('Inputs'!$B$24),ISNUMBER('Inputs'!$B$28)),((('Results'!B7*(1+'Inputs'!$B$24)*(0.5*((((594-43)*MAX('Inputs'!$B$33,'Inputs'!$B$29+'Inputs'!$B$31+'Inputs'!$B$32,'Inputs'!$B$30+'Inputs'!$B$31+'Inputs'!$B$32)/1000+'Inputs'!$B$21)+'Inputs'!$B$7)/SQRT((((594-43)*MAX('Inputs'!$B$33,'Inputs'!$B$29+'Inputs'!$B$31+'Inputs'!$B$32,'Inputs'!$B$30+'Inputs'!$B$31+'Inputs'!$B$32)/1000+'Inputs'!$B$21)+'Inputs'!$B$7)^2+('Inputs'!$B$6/2)^2)-(((594-43)*MAX('Inputs'!$B$33,'Inputs'!$B$29+'Inputs'!$B$31+'Inputs'!$B$32,'Inputs'!$B$30+'Inputs'!$B$31+'Inputs'!$B$32)/1000+'Inputs'!$B$21))/SQRT((((594-43)*MAX('Inputs'!$B$33,'Inputs'!$B$29+'Inputs'!$B$31+'Inputs'!$B$32,'Inputs'!$B$30+'Inputs'!$B$31+'Inputs'!$B$32)/1000+'Inputs'!$B$21))^2+('Inputs'!$B$6/2)^2)))-'Results'!C7*(1-'Inputs'!$B$24)*(0.5*((((594-43)*MAX('Inputs'!$B$33,'Inputs'!$B$29+'Inputs'!$B$31+'Inputs'!$B$32,'Inputs'!$B$30+'Inputs'!$B$31+'Inputs'!$B$32)/1000+'Inputs'!$B$21+'Inputs'!$B$7+'Inputs'!$B$10)+'Inputs'!$B$9)/SQRT((((594-43)*MAX('Inputs'!$B$33,'Inputs'!$B$29+'Inputs'!$B$31+'Inputs'!$B$32,'Inputs'!$B$30+'Inputs'!$B$31+'Inputs'!$B$32)/1000+'Inputs'!$B$21+'Inputs'!$B$7+'Inputs'!$B$10)+'Inputs'!$B$9)^2+('Inputs'!$B$8/2)^2)-(((594-43)*MAX('Inputs'!$B$33,'Inputs'!$B$29+'Inputs'!$B$31+'Inputs'!$B$32,'Inputs'!$B$30+'Inputs'!$B$31+'Inputs'!$B$32)/1000+'Inputs'!$B$21+'Inputs'!$B$7+'Inputs'!$B$10))/SQRT((((594-43)*MAX('Inputs'!$B$33,'Inputs'!$B$29+'Inputs'!$B$31+'Inputs'!$B$32,'Inputs'!$B$30+'Inputs'!$B$31+'Inputs'!$B$32)/1000+'Inputs'!$B$21+'Inputs'!$B$7+'Inputs'!$B$10))^2+('Inputs'!$B$8/2)^2))))*'Results'!$B$8)+'Inputs'!$B$28*ABS((('Results'!B7*(1+'Inputs'!$B$24)*(0.5*((((594-43)*MAX('Inputs'!$B$33,'Inputs'!$B$29+'Inputs'!$B$31+'Inputs'!$B$32,'Inputs'!$B$30+'Inputs'!$B$31+'Inputs'!$B$32)/1000+'Inputs'!$B$21)+'Inputs'!$B$7)/SQRT((((594-43)*MAX('Inputs'!$B$33,'Inputs'!$B$29+'Inputs'!$B$31+'Inputs'!$B$32,'Inputs'!$B$30+'Inputs'!$B$31+'Inputs'!$B$32)/1000+'Inputs'!$B$21)+'Inputs'!$B$7)^2+('Inputs'!$B$6/2)^2)-(((594-43)*MAX('Inputs'!$B$33,'Inputs'!$B$29+'Inputs'!$B$31+'Inputs'!$B$32,'Inputs'!$B$30+'Inputs'!$B$31+'Inputs'!$B$32)/1000+'Inputs'!$B$21))/SQRT((((594-43)*MAX('Inputs'!$B$33,'Inputs'!$B$29+'Inputs'!$B$31+'Inputs'!$B$32,'Inputs'!$B$30+'Inputs'!$B$31+'Inputs'!$B$32)/1000+'Inputs'!$B$21))^2+('Inputs'!$B$6/2)^2)))-'Results'!C7*(1-'Inputs'!$B$24)*(0.5*((((594-43)*MAX('Inputs'!$B$33,'Inputs'!$B$29+'Inputs'!$B$31+'Inputs'!$B$32,'Inputs'!$B$30+'Inputs'!$B$31+'Inputs'!$B$32)/1000+'Inputs'!$B$21+'Inputs'!$B$7+'Inputs'!$B$10)+'Inputs'!$B$9)/SQRT((((594-43)*MAX('Inputs'!$B$33,'Inputs'!$B$29+'Inputs'!$B$31+'Inputs'!$B$32,'Inputs'!$B$30+'Inputs'!$B$31+'Inputs'!$B$32)/1000+'Inputs'!$B$21+'Inputs'!$B$7+'Inputs'!$B$10)+'Inputs'!$B$9)^2+('Inputs'!$B$8/2)^2)-(((594-43)*MAX('Inputs'!$B$33,'Inputs'!$B$29+'Inputs'!$B$31+'Inputs'!$B$32,'Inputs'!$B$30+'Inputs'!$B$31+'Inputs'!$B$32)/1000+'Inputs'!$B$21+'Inputs'!$B$7+'Inputs'!$B$10))/SQRT((((594-43)*MAX('Inputs'!$B$33,'Inputs'!$B$29+'Inputs'!$B$31+'Inputs'!$B$32,'Inputs'!$B$30+'Inputs'!$B$31+'Inputs'!$B$32)/1000+'Inputs'!$B$21+'Inputs'!$B$7+'Inputs'!$B$10))^2+('Inputs'!$B$8/2)^2))))*'Results'!$B$8))),"")</x:f>
        <x:v>3.3724030430555034</x:v>
      </x:c>
      <x:c r="M594" t="n">
        <x:f>IF(AND(ISNUMBER('Results'!C7),ISNUMBER('Results'!B7),ISNUMBER('Results'!$B$8),ISNUMBER('Inputs'!$B$6),ISNUMBER('Inputs'!$B$7),ISNUMBER('Inputs'!$B$8),ISNUMBER('Inputs'!$B$9),ISNUMBER('Inputs'!$B$10),ISNUMBER('Inputs'!$B$21),ISNUMBER('Inputs'!$B$24),ISNUMBER('Inputs'!$B$28)),(('Results'!C7*(0.5*((((594-43)*MAX('Inputs'!$B$33,'Inputs'!$B$29+'Inputs'!$B$31+'Inputs'!$B$32,'Inputs'!$B$30+'Inputs'!$B$31+'Inputs'!$B$32)/1000+'Inputs'!$B$21)+'Inputs'!$B$9)/SQRT((((594-43)*MAX('Inputs'!$B$33,'Inputs'!$B$29+'Inputs'!$B$31+'Inputs'!$B$32,'Inputs'!$B$30+'Inputs'!$B$31+'Inputs'!$B$32)/1000+'Inputs'!$B$21)+'Inputs'!$B$9)^2+('Inputs'!$B$8/2)^2)-(((594-43)*MAX('Inputs'!$B$33,'Inputs'!$B$29+'Inputs'!$B$31+'Inputs'!$B$32,'Inputs'!$B$30+'Inputs'!$B$31+'Inputs'!$B$32)/1000+'Inputs'!$B$21))/SQRT((((594-43)*MAX('Inputs'!$B$33,'Inputs'!$B$29+'Inputs'!$B$31+'Inputs'!$B$32,'Inputs'!$B$30+'Inputs'!$B$31+'Inputs'!$B$32)/1000+'Inputs'!$B$21))^2+('Inputs'!$B$8/2)^2)))-'Results'!B7*(0.5*((((594-43)*MAX('Inputs'!$B$33,'Inputs'!$B$29+'Inputs'!$B$31+'Inputs'!$B$32,'Inputs'!$B$30+'Inputs'!$B$31+'Inputs'!$B$32)/1000+'Inputs'!$B$21+'Inputs'!$B$9+'Inputs'!$B$10)+'Inputs'!$B$7)/SQRT((((594-43)*MAX('Inputs'!$B$33,'Inputs'!$B$29+'Inputs'!$B$31+'Inputs'!$B$32,'Inputs'!$B$30+'Inputs'!$B$31+'Inputs'!$B$32)/1000+'Inputs'!$B$21+'Inputs'!$B$9+'Inputs'!$B$10)+'Inputs'!$B$7)^2+('Inputs'!$B$6/2)^2)-(((594-43)*MAX('Inputs'!$B$33,'Inputs'!$B$29+'Inputs'!$B$31+'Inputs'!$B$32,'Inputs'!$B$30+'Inputs'!$B$31+'Inputs'!$B$32)/1000+'Inputs'!$B$21+'Inputs'!$B$9+'Inputs'!$B$10))/SQRT((((594-43)*MAX('Inputs'!$B$33,'Inputs'!$B$29+'Inputs'!$B$31+'Inputs'!$B$32,'Inputs'!$B$30+'Inputs'!$B$31+'Inputs'!$B$32)/1000+'Inputs'!$B$21+'Inputs'!$B$9+'Inputs'!$B$10))^2+('Inputs'!$B$6/2)^2))))*'Results'!$B$8),"")</x:f>
        <x:v>2.772528526516292</x:v>
      </x:c>
      <x:c r="N594" t="n">
        <x:f>IF(AND(ISNUMBER('Results'!C7),ISNUMBER('Results'!B7),ISNUMBER('Results'!$B$8),ISNUMBER('Inputs'!$B$6),ISNUMBER('Inputs'!$B$7),ISNUMBER('Inputs'!$B$8),ISNUMBER('Inputs'!$B$9),ISNUMBER('Inputs'!$B$10),ISNUMBER('Inputs'!$B$21),ISNUMBER('Inputs'!$B$24),ISNUMBER('Inputs'!$B$28)),((('Results'!C7*(1-'Inputs'!$B$24)*(0.5*((((594-43)*MAX('Inputs'!$B$33,'Inputs'!$B$29+'Inputs'!$B$31+'Inputs'!$B$32,'Inputs'!$B$30+'Inputs'!$B$31+'Inputs'!$B$32)/1000+'Inputs'!$B$21)+'Inputs'!$B$9)/SQRT((((594-43)*MAX('Inputs'!$B$33,'Inputs'!$B$29+'Inputs'!$B$31+'Inputs'!$B$32,'Inputs'!$B$30+'Inputs'!$B$31+'Inputs'!$B$32)/1000+'Inputs'!$B$21)+'Inputs'!$B$9)^2+('Inputs'!$B$8/2)^2)-(((594-43)*MAX('Inputs'!$B$33,'Inputs'!$B$29+'Inputs'!$B$31+'Inputs'!$B$32,'Inputs'!$B$30+'Inputs'!$B$31+'Inputs'!$B$32)/1000+'Inputs'!$B$21))/SQRT((((594-43)*MAX('Inputs'!$B$33,'Inputs'!$B$29+'Inputs'!$B$31+'Inputs'!$B$32,'Inputs'!$B$30+'Inputs'!$B$31+'Inputs'!$B$32)/1000+'Inputs'!$B$21))^2+('Inputs'!$B$8/2)^2)))-'Results'!B7*(1+'Inputs'!$B$24)*(0.5*((((594-43)*MAX('Inputs'!$B$33,'Inputs'!$B$29+'Inputs'!$B$31+'Inputs'!$B$32,'Inputs'!$B$30+'Inputs'!$B$31+'Inputs'!$B$32)/1000+'Inputs'!$B$21+'Inputs'!$B$9+'Inputs'!$B$10)+'Inputs'!$B$7)/SQRT((((594-43)*MAX('Inputs'!$B$33,'Inputs'!$B$29+'Inputs'!$B$31+'Inputs'!$B$32,'Inputs'!$B$30+'Inputs'!$B$31+'Inputs'!$B$32)/1000+'Inputs'!$B$21+'Inputs'!$B$9+'Inputs'!$B$10)+'Inputs'!$B$7)^2+('Inputs'!$B$6/2)^2)-(((594-43)*MAX('Inputs'!$B$33,'Inputs'!$B$29+'Inputs'!$B$31+'Inputs'!$B$32,'Inputs'!$B$30+'Inputs'!$B$31+'Inputs'!$B$32)/1000+'Inputs'!$B$21+'Inputs'!$B$9+'Inputs'!$B$10))/SQRT((((594-43)*MAX('Inputs'!$B$33,'Inputs'!$B$29+'Inputs'!$B$31+'Inputs'!$B$32,'Inputs'!$B$30+'Inputs'!$B$31+'Inputs'!$B$32)/1000+'Inputs'!$B$21+'Inputs'!$B$9+'Inputs'!$B$10))^2+('Inputs'!$B$6/2)^2))))*'Results'!$B$8)-'Inputs'!$B$28*ABS((('Results'!C7*(1-'Inputs'!$B$24)*(0.5*((((594-43)*MAX('Inputs'!$B$33,'Inputs'!$B$29+'Inputs'!$B$31+'Inputs'!$B$32,'Inputs'!$B$30+'Inputs'!$B$31+'Inputs'!$B$32)/1000+'Inputs'!$B$21)+'Inputs'!$B$9)/SQRT((((594-43)*MAX('Inputs'!$B$33,'Inputs'!$B$29+'Inputs'!$B$31+'Inputs'!$B$32,'Inputs'!$B$30+'Inputs'!$B$31+'Inputs'!$B$32)/1000+'Inputs'!$B$21)+'Inputs'!$B$9)^2+('Inputs'!$B$8/2)^2)-(((594-43)*MAX('Inputs'!$B$33,'Inputs'!$B$29+'Inputs'!$B$31+'Inputs'!$B$32,'Inputs'!$B$30+'Inputs'!$B$31+'Inputs'!$B$32)/1000+'Inputs'!$B$21))/SQRT((((594-43)*MAX('Inputs'!$B$33,'Inputs'!$B$29+'Inputs'!$B$31+'Inputs'!$B$32,'Inputs'!$B$30+'Inputs'!$B$31+'Inputs'!$B$32)/1000+'Inputs'!$B$21))^2+('Inputs'!$B$8/2)^2)))-'Results'!B7*(1+'Inputs'!$B$24)*(0.5*((((594-43)*MAX('Inputs'!$B$33,'Inputs'!$B$29+'Inputs'!$B$31+'Inputs'!$B$32,'Inputs'!$B$30+'Inputs'!$B$31+'Inputs'!$B$32)/1000+'Inputs'!$B$21+'Inputs'!$B$9+'Inputs'!$B$10)+'Inputs'!$B$7)/SQRT((((594-43)*MAX('Inputs'!$B$33,'Inputs'!$B$29+'Inputs'!$B$31+'Inputs'!$B$32,'Inputs'!$B$30+'Inputs'!$B$31+'Inputs'!$B$32)/1000+'Inputs'!$B$21+'Inputs'!$B$9+'Inputs'!$B$10)+'Inputs'!$B$7)^2+('Inputs'!$B$6/2)^2)-(((594-43)*MAX('Inputs'!$B$33,'Inputs'!$B$29+'Inputs'!$B$31+'Inputs'!$B$32,'Inputs'!$B$30+'Inputs'!$B$31+'Inputs'!$B$32)/1000+'Inputs'!$B$21+'Inputs'!$B$9+'Inputs'!$B$10))/SQRT((((594-43)*MAX('Inputs'!$B$33,'Inputs'!$B$29+'Inputs'!$B$31+'Inputs'!$B$32,'Inputs'!$B$30+'Inputs'!$B$31+'Inputs'!$B$32)/1000+'Inputs'!$B$21+'Inputs'!$B$9+'Inputs'!$B$10))^2+('Inputs'!$B$6/2)^2))))*'Results'!$B$8))),"")</x:f>
        <x:v>2.4271192857532795</x:v>
      </x:c>
      <x:c r="O594" t="n">
        <x:f>IF(AND(ISNUMBER('Results'!C7),ISNUMBER('Results'!B7),ISNUMBER('Results'!$B$8),ISNUMBER('Inputs'!$B$6),ISNUMBER('Inputs'!$B$7),ISNUMBER('Inputs'!$B$8),ISNUMBER('Inputs'!$B$9),ISNUMBER('Inputs'!$B$10),ISNUMBER('Inputs'!$B$21),ISNUMBER('Inputs'!$B$24),ISNUMBER('Inputs'!$B$28)),((('Results'!C7*(1+'Inputs'!$B$24)*(0.5*((((594-43)*MAX('Inputs'!$B$33,'Inputs'!$B$29+'Inputs'!$B$31+'Inputs'!$B$32,'Inputs'!$B$30+'Inputs'!$B$31+'Inputs'!$B$32)/1000+'Inputs'!$B$21)+'Inputs'!$B$9)/SQRT((((594-43)*MAX('Inputs'!$B$33,'Inputs'!$B$29+'Inputs'!$B$31+'Inputs'!$B$32,'Inputs'!$B$30+'Inputs'!$B$31+'Inputs'!$B$32)/1000+'Inputs'!$B$21)+'Inputs'!$B$9)^2+('Inputs'!$B$8/2)^2)-(((594-43)*MAX('Inputs'!$B$33,'Inputs'!$B$29+'Inputs'!$B$31+'Inputs'!$B$32,'Inputs'!$B$30+'Inputs'!$B$31+'Inputs'!$B$32)/1000+'Inputs'!$B$21))/SQRT((((594-43)*MAX('Inputs'!$B$33,'Inputs'!$B$29+'Inputs'!$B$31+'Inputs'!$B$32,'Inputs'!$B$30+'Inputs'!$B$31+'Inputs'!$B$32)/1000+'Inputs'!$B$21))^2+('Inputs'!$B$8/2)^2)))-'Results'!B7*(1-'Inputs'!$B$24)*(0.5*((((594-43)*MAX('Inputs'!$B$33,'Inputs'!$B$29+'Inputs'!$B$31+'Inputs'!$B$32,'Inputs'!$B$30+'Inputs'!$B$31+'Inputs'!$B$32)/1000+'Inputs'!$B$21+'Inputs'!$B$9+'Inputs'!$B$10)+'Inputs'!$B$7)/SQRT((((594-43)*MAX('Inputs'!$B$33,'Inputs'!$B$29+'Inputs'!$B$31+'Inputs'!$B$32,'Inputs'!$B$30+'Inputs'!$B$31+'Inputs'!$B$32)/1000+'Inputs'!$B$21+'Inputs'!$B$9+'Inputs'!$B$10)+'Inputs'!$B$7)^2+('Inputs'!$B$6/2)^2)-(((594-43)*MAX('Inputs'!$B$33,'Inputs'!$B$29+'Inputs'!$B$31+'Inputs'!$B$32,'Inputs'!$B$30+'Inputs'!$B$31+'Inputs'!$B$32)/1000+'Inputs'!$B$21+'Inputs'!$B$9+'Inputs'!$B$10))/SQRT((((594-43)*MAX('Inputs'!$B$33,'Inputs'!$B$29+'Inputs'!$B$31+'Inputs'!$B$32,'Inputs'!$B$30+'Inputs'!$B$31+'Inputs'!$B$32)/1000+'Inputs'!$B$21+'Inputs'!$B$9+'Inputs'!$B$10))^2+('Inputs'!$B$6/2)^2))))*'Results'!$B$8)+'Inputs'!$B$28*ABS((('Results'!C7*(1+'Inputs'!$B$24)*(0.5*((((594-43)*MAX('Inputs'!$B$33,'Inputs'!$B$29+'Inputs'!$B$31+'Inputs'!$B$32,'Inputs'!$B$30+'Inputs'!$B$31+'Inputs'!$B$32)/1000+'Inputs'!$B$21)+'Inputs'!$B$9)/SQRT((((594-43)*MAX('Inputs'!$B$33,'Inputs'!$B$29+'Inputs'!$B$31+'Inputs'!$B$32,'Inputs'!$B$30+'Inputs'!$B$31+'Inputs'!$B$32)/1000+'Inputs'!$B$21)+'Inputs'!$B$9)^2+('Inputs'!$B$8/2)^2)-(((594-43)*MAX('Inputs'!$B$33,'Inputs'!$B$29+'Inputs'!$B$31+'Inputs'!$B$32,'Inputs'!$B$30+'Inputs'!$B$31+'Inputs'!$B$32)/1000+'Inputs'!$B$21))/SQRT((((594-43)*MAX('Inputs'!$B$33,'Inputs'!$B$29+'Inputs'!$B$31+'Inputs'!$B$32,'Inputs'!$B$30+'Inputs'!$B$31+'Inputs'!$B$32)/1000+'Inputs'!$B$21))^2+('Inputs'!$B$8/2)^2)))-'Results'!B7*(1-'Inputs'!$B$24)*(0.5*((((594-43)*MAX('Inputs'!$B$33,'Inputs'!$B$29+'Inputs'!$B$31+'Inputs'!$B$32,'Inputs'!$B$30+'Inputs'!$B$31+'Inputs'!$B$32)/1000+'Inputs'!$B$21+'Inputs'!$B$9+'Inputs'!$B$10)+'Inputs'!$B$7)/SQRT((((594-43)*MAX('Inputs'!$B$33,'Inputs'!$B$29+'Inputs'!$B$31+'Inputs'!$B$32,'Inputs'!$B$30+'Inputs'!$B$31+'Inputs'!$B$32)/1000+'Inputs'!$B$21+'Inputs'!$B$9+'Inputs'!$B$10)+'Inputs'!$B$7)^2+('Inputs'!$B$6/2)^2)-(((594-43)*MAX('Inputs'!$B$33,'Inputs'!$B$29+'Inputs'!$B$31+'Inputs'!$B$32,'Inputs'!$B$30+'Inputs'!$B$31+'Inputs'!$B$32)/1000+'Inputs'!$B$21+'Inputs'!$B$9+'Inputs'!$B$10))/SQRT((((594-43)*MAX('Inputs'!$B$33,'Inputs'!$B$29+'Inputs'!$B$31+'Inputs'!$B$32,'Inputs'!$B$30+'Inputs'!$B$31+'Inputs'!$B$32)/1000+'Inputs'!$B$21+'Inputs'!$B$9+'Inputs'!$B$10))^2+('Inputs'!$B$6/2)^2))))*'Results'!$B$8))),"")</x:f>
        <x:v>3.1397043793253236</x:v>
      </x:c>
      <x:c r="P594" t="n">
        <x:f>IF(AND(MAX(J594,J593)&gt;0,J594&gt;J593+0.00000001),1,0)</x:f>
        <x:v>0</x:v>
      </x:c>
      <x:c r="Q594" t="n">
        <x:f>IF(AND(MAX(K594,K593)&gt;0,K594&gt;K593+0.00000001),1,0)</x:f>
        <x:v>0</x:v>
      </x:c>
      <x:c r="R594" t="n">
        <x:f>IF(AND(MAX(L594,L593)&gt;0,L594&gt;L593+0.00000001),1,0)</x:f>
        <x:v>0</x:v>
      </x:c>
      <x:c r="S594" t="n">
        <x:f>IF(AND(MAX(M594,M593)&gt;0,M594&gt;M593+0.00000001),1,0)</x:f>
        <x:v>0</x:v>
      </x:c>
      <x:c r="T594" t="n">
        <x:f>IF(AND(MAX(N594,N593)&gt;0,N594&gt;N593+0.00000001),1,0)</x:f>
        <x:v>0</x:v>
      </x:c>
      <x:c r="U594" t="n">
        <x:f>IF(AND(MAX(O594,O593)&gt;0,O594&gt;O593+0.00000001),1,0)</x:f>
        <x:v>0</x:v>
      </x:c>
    </x:row>
    <x:row r="595">
      <x:c r="J595" t="n">
        <x:f>IF(AND(ISNUMBER('Results'!B7),ISNUMBER('Results'!C7),ISNUMBER('Results'!$B$8),ISNUMBER('Inputs'!$B$6),ISNUMBER('Inputs'!$B$7),ISNUMBER('Inputs'!$B$8),ISNUMBER('Inputs'!$B$9),ISNUMBER('Inputs'!$B$10),ISNUMBER('Inputs'!$B$21),ISNUMBER('Inputs'!$B$24),ISNUMBER('Inputs'!$B$28)),(('Results'!B7*(0.5*((((595-43)*MAX('Inputs'!$B$33,'Inputs'!$B$29+'Inputs'!$B$31+'Inputs'!$B$32,'Inputs'!$B$30+'Inputs'!$B$31+'Inputs'!$B$32)/1000+'Inputs'!$B$21)+'Inputs'!$B$7)/SQRT((((595-43)*MAX('Inputs'!$B$33,'Inputs'!$B$29+'Inputs'!$B$31+'Inputs'!$B$32,'Inputs'!$B$30+'Inputs'!$B$31+'Inputs'!$B$32)/1000+'Inputs'!$B$21)+'Inputs'!$B$7)^2+('Inputs'!$B$6/2)^2)-(((595-43)*MAX('Inputs'!$B$33,'Inputs'!$B$29+'Inputs'!$B$31+'Inputs'!$B$32,'Inputs'!$B$30+'Inputs'!$B$31+'Inputs'!$B$32)/1000+'Inputs'!$B$21))/SQRT((((595-43)*MAX('Inputs'!$B$33,'Inputs'!$B$29+'Inputs'!$B$31+'Inputs'!$B$32,'Inputs'!$B$30+'Inputs'!$B$31+'Inputs'!$B$32)/1000+'Inputs'!$B$21))^2+('Inputs'!$B$6/2)^2)))-'Results'!C7*(0.5*((((595-43)*MAX('Inputs'!$B$33,'Inputs'!$B$29+'Inputs'!$B$31+'Inputs'!$B$32,'Inputs'!$B$30+'Inputs'!$B$31+'Inputs'!$B$32)/1000+'Inputs'!$B$21+'Inputs'!$B$7+'Inputs'!$B$10)+'Inputs'!$B$9)/SQRT((((595-43)*MAX('Inputs'!$B$33,'Inputs'!$B$29+'Inputs'!$B$31+'Inputs'!$B$32,'Inputs'!$B$30+'Inputs'!$B$31+'Inputs'!$B$32)/1000+'Inputs'!$B$21+'Inputs'!$B$7+'Inputs'!$B$10)+'Inputs'!$B$9)^2+('Inputs'!$B$8/2)^2)-(((595-43)*MAX('Inputs'!$B$33,'Inputs'!$B$29+'Inputs'!$B$31+'Inputs'!$B$32,'Inputs'!$B$30+'Inputs'!$B$31+'Inputs'!$B$32)/1000+'Inputs'!$B$21+'Inputs'!$B$7+'Inputs'!$B$10))/SQRT((((595-43)*MAX('Inputs'!$B$33,'Inputs'!$B$29+'Inputs'!$B$31+'Inputs'!$B$32,'Inputs'!$B$30+'Inputs'!$B$31+'Inputs'!$B$32)/1000+'Inputs'!$B$21+'Inputs'!$B$7+'Inputs'!$B$10))^2+('Inputs'!$B$8/2)^2))))*'Results'!$B$8),"")</x:f>
        <x:v>2.974260362381784</x:v>
      </x:c>
      <x:c r="K595" t="n">
        <x:f>IF(AND(ISNUMBER('Results'!B7),ISNUMBER('Results'!C7),ISNUMBER('Results'!$B$8),ISNUMBER('Inputs'!$B$6),ISNUMBER('Inputs'!$B$7),ISNUMBER('Inputs'!$B$8),ISNUMBER('Inputs'!$B$9),ISNUMBER('Inputs'!$B$10),ISNUMBER('Inputs'!$B$21),ISNUMBER('Inputs'!$B$24),ISNUMBER('Inputs'!$B$28)),((('Results'!B7*(1-'Inputs'!$B$24)*(0.5*((((595-43)*MAX('Inputs'!$B$33,'Inputs'!$B$29+'Inputs'!$B$31+'Inputs'!$B$32,'Inputs'!$B$30+'Inputs'!$B$31+'Inputs'!$B$32)/1000+'Inputs'!$B$21)+'Inputs'!$B$7)/SQRT((((595-43)*MAX('Inputs'!$B$33,'Inputs'!$B$29+'Inputs'!$B$31+'Inputs'!$B$32,'Inputs'!$B$30+'Inputs'!$B$31+'Inputs'!$B$32)/1000+'Inputs'!$B$21)+'Inputs'!$B$7)^2+('Inputs'!$B$6/2)^2)-(((595-43)*MAX('Inputs'!$B$33,'Inputs'!$B$29+'Inputs'!$B$31+'Inputs'!$B$32,'Inputs'!$B$30+'Inputs'!$B$31+'Inputs'!$B$32)/1000+'Inputs'!$B$21))/SQRT((((595-43)*MAX('Inputs'!$B$33,'Inputs'!$B$29+'Inputs'!$B$31+'Inputs'!$B$32,'Inputs'!$B$30+'Inputs'!$B$31+'Inputs'!$B$32)/1000+'Inputs'!$B$21))^2+('Inputs'!$B$6/2)^2)))-'Results'!C7*(1+'Inputs'!$B$24)*(0.5*((((595-43)*MAX('Inputs'!$B$33,'Inputs'!$B$29+'Inputs'!$B$31+'Inputs'!$B$32,'Inputs'!$B$30+'Inputs'!$B$31+'Inputs'!$B$32)/1000+'Inputs'!$B$21+'Inputs'!$B$7+'Inputs'!$B$10)+'Inputs'!$B$9)/SQRT((((595-43)*MAX('Inputs'!$B$33,'Inputs'!$B$29+'Inputs'!$B$31+'Inputs'!$B$32,'Inputs'!$B$30+'Inputs'!$B$31+'Inputs'!$B$32)/1000+'Inputs'!$B$21+'Inputs'!$B$7+'Inputs'!$B$10)+'Inputs'!$B$9)^2+('Inputs'!$B$8/2)^2)-(((595-43)*MAX('Inputs'!$B$33,'Inputs'!$B$29+'Inputs'!$B$31+'Inputs'!$B$32,'Inputs'!$B$30+'Inputs'!$B$31+'Inputs'!$B$32)/1000+'Inputs'!$B$21+'Inputs'!$B$7+'Inputs'!$B$10))/SQRT((((595-43)*MAX('Inputs'!$B$33,'Inputs'!$B$29+'Inputs'!$B$31+'Inputs'!$B$32,'Inputs'!$B$30+'Inputs'!$B$31+'Inputs'!$B$32)/1000+'Inputs'!$B$21+'Inputs'!$B$7+'Inputs'!$B$10))^2+('Inputs'!$B$8/2)^2))))*'Results'!$B$8)-'Inputs'!$B$28*ABS((('Results'!B7*(1-'Inputs'!$B$24)*(0.5*((((595-43)*MAX('Inputs'!$B$33,'Inputs'!$B$29+'Inputs'!$B$31+'Inputs'!$B$32,'Inputs'!$B$30+'Inputs'!$B$31+'Inputs'!$B$32)/1000+'Inputs'!$B$21)+'Inputs'!$B$7)/SQRT((((595-43)*MAX('Inputs'!$B$33,'Inputs'!$B$29+'Inputs'!$B$31+'Inputs'!$B$32,'Inputs'!$B$30+'Inputs'!$B$31+'Inputs'!$B$32)/1000+'Inputs'!$B$21)+'Inputs'!$B$7)^2+('Inputs'!$B$6/2)^2)-(((595-43)*MAX('Inputs'!$B$33,'Inputs'!$B$29+'Inputs'!$B$31+'Inputs'!$B$32,'Inputs'!$B$30+'Inputs'!$B$31+'Inputs'!$B$32)/1000+'Inputs'!$B$21))/SQRT((((595-43)*MAX('Inputs'!$B$33,'Inputs'!$B$29+'Inputs'!$B$31+'Inputs'!$B$32,'Inputs'!$B$30+'Inputs'!$B$31+'Inputs'!$B$32)/1000+'Inputs'!$B$21))^2+('Inputs'!$B$6/2)^2)))-'Results'!C7*(1+'Inputs'!$B$24)*(0.5*((((595-43)*MAX('Inputs'!$B$33,'Inputs'!$B$29+'Inputs'!$B$31+'Inputs'!$B$32,'Inputs'!$B$30+'Inputs'!$B$31+'Inputs'!$B$32)/1000+'Inputs'!$B$21+'Inputs'!$B$7+'Inputs'!$B$10)+'Inputs'!$B$9)/SQRT((((595-43)*MAX('Inputs'!$B$33,'Inputs'!$B$29+'Inputs'!$B$31+'Inputs'!$B$32,'Inputs'!$B$30+'Inputs'!$B$31+'Inputs'!$B$32)/1000+'Inputs'!$B$21+'Inputs'!$B$7+'Inputs'!$B$10)+'Inputs'!$B$9)^2+('Inputs'!$B$8/2)^2)-(((595-43)*MAX('Inputs'!$B$33,'Inputs'!$B$29+'Inputs'!$B$31+'Inputs'!$B$32,'Inputs'!$B$30+'Inputs'!$B$31+'Inputs'!$B$32)/1000+'Inputs'!$B$21+'Inputs'!$B$7+'Inputs'!$B$10))/SQRT((((595-43)*MAX('Inputs'!$B$33,'Inputs'!$B$29+'Inputs'!$B$31+'Inputs'!$B$32,'Inputs'!$B$30+'Inputs'!$B$31+'Inputs'!$B$32)/1000+'Inputs'!$B$21+'Inputs'!$B$7+'Inputs'!$B$10))^2+('Inputs'!$B$8/2)^2))))*'Results'!$B$8))),"")</x:f>
        <x:v>2.6186647024504395</x:v>
      </x:c>
      <x:c r="L595" t="n">
        <x:f>IF(AND(ISNUMBER('Results'!B7),ISNUMBER('Results'!C7),ISNUMBER('Results'!$B$8),ISNUMBER('Inputs'!$B$6),ISNUMBER('Inputs'!$B$7),ISNUMBER('Inputs'!$B$8),ISNUMBER('Inputs'!$B$9),ISNUMBER('Inputs'!$B$10),ISNUMBER('Inputs'!$B$21),ISNUMBER('Inputs'!$B$24),ISNUMBER('Inputs'!$B$28)),((('Results'!B7*(1+'Inputs'!$B$24)*(0.5*((((595-43)*MAX('Inputs'!$B$33,'Inputs'!$B$29+'Inputs'!$B$31+'Inputs'!$B$32,'Inputs'!$B$30+'Inputs'!$B$31+'Inputs'!$B$32)/1000+'Inputs'!$B$21)+'Inputs'!$B$7)/SQRT((((595-43)*MAX('Inputs'!$B$33,'Inputs'!$B$29+'Inputs'!$B$31+'Inputs'!$B$32,'Inputs'!$B$30+'Inputs'!$B$31+'Inputs'!$B$32)/1000+'Inputs'!$B$21)+'Inputs'!$B$7)^2+('Inputs'!$B$6/2)^2)-(((595-43)*MAX('Inputs'!$B$33,'Inputs'!$B$29+'Inputs'!$B$31+'Inputs'!$B$32,'Inputs'!$B$30+'Inputs'!$B$31+'Inputs'!$B$32)/1000+'Inputs'!$B$21))/SQRT((((595-43)*MAX('Inputs'!$B$33,'Inputs'!$B$29+'Inputs'!$B$31+'Inputs'!$B$32,'Inputs'!$B$30+'Inputs'!$B$31+'Inputs'!$B$32)/1000+'Inputs'!$B$21))^2+('Inputs'!$B$6/2)^2)))-'Results'!C7*(1-'Inputs'!$B$24)*(0.5*((((595-43)*MAX('Inputs'!$B$33,'Inputs'!$B$29+'Inputs'!$B$31+'Inputs'!$B$32,'Inputs'!$B$30+'Inputs'!$B$31+'Inputs'!$B$32)/1000+'Inputs'!$B$21+'Inputs'!$B$7+'Inputs'!$B$10)+'Inputs'!$B$9)/SQRT((((595-43)*MAX('Inputs'!$B$33,'Inputs'!$B$29+'Inputs'!$B$31+'Inputs'!$B$32,'Inputs'!$B$30+'Inputs'!$B$31+'Inputs'!$B$32)/1000+'Inputs'!$B$21+'Inputs'!$B$7+'Inputs'!$B$10)+'Inputs'!$B$9)^2+('Inputs'!$B$8/2)^2)-(((595-43)*MAX('Inputs'!$B$33,'Inputs'!$B$29+'Inputs'!$B$31+'Inputs'!$B$32,'Inputs'!$B$30+'Inputs'!$B$31+'Inputs'!$B$32)/1000+'Inputs'!$B$21+'Inputs'!$B$7+'Inputs'!$B$10))/SQRT((((595-43)*MAX('Inputs'!$B$33,'Inputs'!$B$29+'Inputs'!$B$31+'Inputs'!$B$32,'Inputs'!$B$30+'Inputs'!$B$31+'Inputs'!$B$32)/1000+'Inputs'!$B$21+'Inputs'!$B$7+'Inputs'!$B$10))^2+('Inputs'!$B$8/2)^2))))*'Results'!$B$8)+'Inputs'!$B$28*ABS((('Results'!B7*(1+'Inputs'!$B$24)*(0.5*((((595-43)*MAX('Inputs'!$B$33,'Inputs'!$B$29+'Inputs'!$B$31+'Inputs'!$B$32,'Inputs'!$B$30+'Inputs'!$B$31+'Inputs'!$B$32)/1000+'Inputs'!$B$21)+'Inputs'!$B$7)/SQRT((((595-43)*MAX('Inputs'!$B$33,'Inputs'!$B$29+'Inputs'!$B$31+'Inputs'!$B$32,'Inputs'!$B$30+'Inputs'!$B$31+'Inputs'!$B$32)/1000+'Inputs'!$B$21)+'Inputs'!$B$7)^2+('Inputs'!$B$6/2)^2)-(((595-43)*MAX('Inputs'!$B$33,'Inputs'!$B$29+'Inputs'!$B$31+'Inputs'!$B$32,'Inputs'!$B$30+'Inputs'!$B$31+'Inputs'!$B$32)/1000+'Inputs'!$B$21))/SQRT((((595-43)*MAX('Inputs'!$B$33,'Inputs'!$B$29+'Inputs'!$B$31+'Inputs'!$B$32,'Inputs'!$B$30+'Inputs'!$B$31+'Inputs'!$B$32)/1000+'Inputs'!$B$21))^2+('Inputs'!$B$6/2)^2)))-'Results'!C7*(1-'Inputs'!$B$24)*(0.5*((((595-43)*MAX('Inputs'!$B$33,'Inputs'!$B$29+'Inputs'!$B$31+'Inputs'!$B$32,'Inputs'!$B$30+'Inputs'!$B$31+'Inputs'!$B$32)/1000+'Inputs'!$B$21+'Inputs'!$B$7+'Inputs'!$B$10)+'Inputs'!$B$9)/SQRT((((595-43)*MAX('Inputs'!$B$33,'Inputs'!$B$29+'Inputs'!$B$31+'Inputs'!$B$32,'Inputs'!$B$30+'Inputs'!$B$31+'Inputs'!$B$32)/1000+'Inputs'!$B$21+'Inputs'!$B$7+'Inputs'!$B$10)+'Inputs'!$B$9)^2+('Inputs'!$B$8/2)^2)-(((595-43)*MAX('Inputs'!$B$33,'Inputs'!$B$29+'Inputs'!$B$31+'Inputs'!$B$32,'Inputs'!$B$30+'Inputs'!$B$31+'Inputs'!$B$32)/1000+'Inputs'!$B$21+'Inputs'!$B$7+'Inputs'!$B$10))/SQRT((((595-43)*MAX('Inputs'!$B$33,'Inputs'!$B$29+'Inputs'!$B$31+'Inputs'!$B$32,'Inputs'!$B$30+'Inputs'!$B$31+'Inputs'!$B$32)/1000+'Inputs'!$B$21+'Inputs'!$B$7+'Inputs'!$B$10))^2+('Inputs'!$B$8/2)^2))))*'Results'!$B$8))),"")</x:f>
        <x:v>3.351633142503893</x:v>
      </x:c>
      <x:c r="M595" t="n">
        <x:f>IF(AND(ISNUMBER('Results'!C7),ISNUMBER('Results'!B7),ISNUMBER('Results'!$B$8),ISNUMBER('Inputs'!$B$6),ISNUMBER('Inputs'!$B$7),ISNUMBER('Inputs'!$B$8),ISNUMBER('Inputs'!$B$9),ISNUMBER('Inputs'!$B$10),ISNUMBER('Inputs'!$B$21),ISNUMBER('Inputs'!$B$24),ISNUMBER('Inputs'!$B$28)),(('Results'!C7*(0.5*((((595-43)*MAX('Inputs'!$B$33,'Inputs'!$B$29+'Inputs'!$B$31+'Inputs'!$B$32,'Inputs'!$B$30+'Inputs'!$B$31+'Inputs'!$B$32)/1000+'Inputs'!$B$21)+'Inputs'!$B$9)/SQRT((((595-43)*MAX('Inputs'!$B$33,'Inputs'!$B$29+'Inputs'!$B$31+'Inputs'!$B$32,'Inputs'!$B$30+'Inputs'!$B$31+'Inputs'!$B$32)/1000+'Inputs'!$B$21)+'Inputs'!$B$9)^2+('Inputs'!$B$8/2)^2)-(((595-43)*MAX('Inputs'!$B$33,'Inputs'!$B$29+'Inputs'!$B$31+'Inputs'!$B$32,'Inputs'!$B$30+'Inputs'!$B$31+'Inputs'!$B$32)/1000+'Inputs'!$B$21))/SQRT((((595-43)*MAX('Inputs'!$B$33,'Inputs'!$B$29+'Inputs'!$B$31+'Inputs'!$B$32,'Inputs'!$B$30+'Inputs'!$B$31+'Inputs'!$B$32)/1000+'Inputs'!$B$21))^2+('Inputs'!$B$8/2)^2)))-'Results'!B7*(0.5*((((595-43)*MAX('Inputs'!$B$33,'Inputs'!$B$29+'Inputs'!$B$31+'Inputs'!$B$32,'Inputs'!$B$30+'Inputs'!$B$31+'Inputs'!$B$32)/1000+'Inputs'!$B$21+'Inputs'!$B$9+'Inputs'!$B$10)+'Inputs'!$B$7)/SQRT((((595-43)*MAX('Inputs'!$B$33,'Inputs'!$B$29+'Inputs'!$B$31+'Inputs'!$B$32,'Inputs'!$B$30+'Inputs'!$B$31+'Inputs'!$B$32)/1000+'Inputs'!$B$21+'Inputs'!$B$9+'Inputs'!$B$10)+'Inputs'!$B$7)^2+('Inputs'!$B$6/2)^2)-(((595-43)*MAX('Inputs'!$B$33,'Inputs'!$B$29+'Inputs'!$B$31+'Inputs'!$B$32,'Inputs'!$B$30+'Inputs'!$B$31+'Inputs'!$B$32)/1000+'Inputs'!$B$21+'Inputs'!$B$9+'Inputs'!$B$10))/SQRT((((595-43)*MAX('Inputs'!$B$33,'Inputs'!$B$29+'Inputs'!$B$31+'Inputs'!$B$32,'Inputs'!$B$30+'Inputs'!$B$31+'Inputs'!$B$32)/1000+'Inputs'!$B$21+'Inputs'!$B$9+'Inputs'!$B$10))^2+('Inputs'!$B$6/2)^2))))*'Results'!$B$8),"")</x:f>
        <x:v>2.7548739972633305</x:v>
      </x:c>
      <x:c r="N595" t="n">
        <x:f>IF(AND(ISNUMBER('Results'!C7),ISNUMBER('Results'!B7),ISNUMBER('Results'!$B$8),ISNUMBER('Inputs'!$B$6),ISNUMBER('Inputs'!$B$7),ISNUMBER('Inputs'!$B$8),ISNUMBER('Inputs'!$B$9),ISNUMBER('Inputs'!$B$10),ISNUMBER('Inputs'!$B$21),ISNUMBER('Inputs'!$B$24),ISNUMBER('Inputs'!$B$28)),((('Results'!C7*(1-'Inputs'!$B$24)*(0.5*((((595-43)*MAX('Inputs'!$B$33,'Inputs'!$B$29+'Inputs'!$B$31+'Inputs'!$B$32,'Inputs'!$B$30+'Inputs'!$B$31+'Inputs'!$B$32)/1000+'Inputs'!$B$21)+'Inputs'!$B$9)/SQRT((((595-43)*MAX('Inputs'!$B$33,'Inputs'!$B$29+'Inputs'!$B$31+'Inputs'!$B$32,'Inputs'!$B$30+'Inputs'!$B$31+'Inputs'!$B$32)/1000+'Inputs'!$B$21)+'Inputs'!$B$9)^2+('Inputs'!$B$8/2)^2)-(((595-43)*MAX('Inputs'!$B$33,'Inputs'!$B$29+'Inputs'!$B$31+'Inputs'!$B$32,'Inputs'!$B$30+'Inputs'!$B$31+'Inputs'!$B$32)/1000+'Inputs'!$B$21))/SQRT((((595-43)*MAX('Inputs'!$B$33,'Inputs'!$B$29+'Inputs'!$B$31+'Inputs'!$B$32,'Inputs'!$B$30+'Inputs'!$B$31+'Inputs'!$B$32)/1000+'Inputs'!$B$21))^2+('Inputs'!$B$8/2)^2)))-'Results'!B7*(1+'Inputs'!$B$24)*(0.5*((((595-43)*MAX('Inputs'!$B$33,'Inputs'!$B$29+'Inputs'!$B$31+'Inputs'!$B$32,'Inputs'!$B$30+'Inputs'!$B$31+'Inputs'!$B$32)/1000+'Inputs'!$B$21+'Inputs'!$B$9+'Inputs'!$B$10)+'Inputs'!$B$7)/SQRT((((595-43)*MAX('Inputs'!$B$33,'Inputs'!$B$29+'Inputs'!$B$31+'Inputs'!$B$32,'Inputs'!$B$30+'Inputs'!$B$31+'Inputs'!$B$32)/1000+'Inputs'!$B$21+'Inputs'!$B$9+'Inputs'!$B$10)+'Inputs'!$B$7)^2+('Inputs'!$B$6/2)^2)-(((595-43)*MAX('Inputs'!$B$33,'Inputs'!$B$29+'Inputs'!$B$31+'Inputs'!$B$32,'Inputs'!$B$30+'Inputs'!$B$31+'Inputs'!$B$32)/1000+'Inputs'!$B$21+'Inputs'!$B$9+'Inputs'!$B$10))/SQRT((((595-43)*MAX('Inputs'!$B$33,'Inputs'!$B$29+'Inputs'!$B$31+'Inputs'!$B$32,'Inputs'!$B$30+'Inputs'!$B$31+'Inputs'!$B$32)/1000+'Inputs'!$B$21+'Inputs'!$B$9+'Inputs'!$B$10))^2+('Inputs'!$B$6/2)^2))))*'Results'!$B$8)-'Inputs'!$B$28*ABS((('Results'!C7*(1-'Inputs'!$B$24)*(0.5*((((595-43)*MAX('Inputs'!$B$33,'Inputs'!$B$29+'Inputs'!$B$31+'Inputs'!$B$32,'Inputs'!$B$30+'Inputs'!$B$31+'Inputs'!$B$32)/1000+'Inputs'!$B$21)+'Inputs'!$B$9)/SQRT((((595-43)*MAX('Inputs'!$B$33,'Inputs'!$B$29+'Inputs'!$B$31+'Inputs'!$B$32,'Inputs'!$B$30+'Inputs'!$B$31+'Inputs'!$B$32)/1000+'Inputs'!$B$21)+'Inputs'!$B$9)^2+('Inputs'!$B$8/2)^2)-(((595-43)*MAX('Inputs'!$B$33,'Inputs'!$B$29+'Inputs'!$B$31+'Inputs'!$B$32,'Inputs'!$B$30+'Inputs'!$B$31+'Inputs'!$B$32)/1000+'Inputs'!$B$21))/SQRT((((595-43)*MAX('Inputs'!$B$33,'Inputs'!$B$29+'Inputs'!$B$31+'Inputs'!$B$32,'Inputs'!$B$30+'Inputs'!$B$31+'Inputs'!$B$32)/1000+'Inputs'!$B$21))^2+('Inputs'!$B$8/2)^2)))-'Results'!B7*(1+'Inputs'!$B$24)*(0.5*((((595-43)*MAX('Inputs'!$B$33,'Inputs'!$B$29+'Inputs'!$B$31+'Inputs'!$B$32,'Inputs'!$B$30+'Inputs'!$B$31+'Inputs'!$B$32)/1000+'Inputs'!$B$21+'Inputs'!$B$9+'Inputs'!$B$10)+'Inputs'!$B$7)/SQRT((((595-43)*MAX('Inputs'!$B$33,'Inputs'!$B$29+'Inputs'!$B$31+'Inputs'!$B$32,'Inputs'!$B$30+'Inputs'!$B$31+'Inputs'!$B$32)/1000+'Inputs'!$B$21+'Inputs'!$B$9+'Inputs'!$B$10)+'Inputs'!$B$7)^2+('Inputs'!$B$6/2)^2)-(((595-43)*MAX('Inputs'!$B$33,'Inputs'!$B$29+'Inputs'!$B$31+'Inputs'!$B$32,'Inputs'!$B$30+'Inputs'!$B$31+'Inputs'!$B$32)/1000+'Inputs'!$B$21+'Inputs'!$B$9+'Inputs'!$B$10))/SQRT((((595-43)*MAX('Inputs'!$B$33,'Inputs'!$B$29+'Inputs'!$B$31+'Inputs'!$B$32,'Inputs'!$B$30+'Inputs'!$B$31+'Inputs'!$B$32)/1000+'Inputs'!$B$21+'Inputs'!$B$9+'Inputs'!$B$10))^2+('Inputs'!$B$6/2)^2))))*'Results'!$B$8))),"")</x:f>
        <x:v>2.411347186424607</x:v>
      </x:c>
      <x:c r="O595" t="n">
        <x:f>IF(AND(ISNUMBER('Results'!C7),ISNUMBER('Results'!B7),ISNUMBER('Results'!$B$8),ISNUMBER('Inputs'!$B$6),ISNUMBER('Inputs'!$B$7),ISNUMBER('Inputs'!$B$8),ISNUMBER('Inputs'!$B$9),ISNUMBER('Inputs'!$B$10),ISNUMBER('Inputs'!$B$21),ISNUMBER('Inputs'!$B$24),ISNUMBER('Inputs'!$B$28)),((('Results'!C7*(1+'Inputs'!$B$24)*(0.5*((((595-43)*MAX('Inputs'!$B$33,'Inputs'!$B$29+'Inputs'!$B$31+'Inputs'!$B$32,'Inputs'!$B$30+'Inputs'!$B$31+'Inputs'!$B$32)/1000+'Inputs'!$B$21)+'Inputs'!$B$9)/SQRT((((595-43)*MAX('Inputs'!$B$33,'Inputs'!$B$29+'Inputs'!$B$31+'Inputs'!$B$32,'Inputs'!$B$30+'Inputs'!$B$31+'Inputs'!$B$32)/1000+'Inputs'!$B$21)+'Inputs'!$B$9)^2+('Inputs'!$B$8/2)^2)-(((595-43)*MAX('Inputs'!$B$33,'Inputs'!$B$29+'Inputs'!$B$31+'Inputs'!$B$32,'Inputs'!$B$30+'Inputs'!$B$31+'Inputs'!$B$32)/1000+'Inputs'!$B$21))/SQRT((((595-43)*MAX('Inputs'!$B$33,'Inputs'!$B$29+'Inputs'!$B$31+'Inputs'!$B$32,'Inputs'!$B$30+'Inputs'!$B$31+'Inputs'!$B$32)/1000+'Inputs'!$B$21))^2+('Inputs'!$B$8/2)^2)))-'Results'!B7*(1-'Inputs'!$B$24)*(0.5*((((595-43)*MAX('Inputs'!$B$33,'Inputs'!$B$29+'Inputs'!$B$31+'Inputs'!$B$32,'Inputs'!$B$30+'Inputs'!$B$31+'Inputs'!$B$32)/1000+'Inputs'!$B$21+'Inputs'!$B$9+'Inputs'!$B$10)+'Inputs'!$B$7)/SQRT((((595-43)*MAX('Inputs'!$B$33,'Inputs'!$B$29+'Inputs'!$B$31+'Inputs'!$B$32,'Inputs'!$B$30+'Inputs'!$B$31+'Inputs'!$B$32)/1000+'Inputs'!$B$21+'Inputs'!$B$9+'Inputs'!$B$10)+'Inputs'!$B$7)^2+('Inputs'!$B$6/2)^2)-(((595-43)*MAX('Inputs'!$B$33,'Inputs'!$B$29+'Inputs'!$B$31+'Inputs'!$B$32,'Inputs'!$B$30+'Inputs'!$B$31+'Inputs'!$B$32)/1000+'Inputs'!$B$21+'Inputs'!$B$9+'Inputs'!$B$10))/SQRT((((595-43)*MAX('Inputs'!$B$33,'Inputs'!$B$29+'Inputs'!$B$31+'Inputs'!$B$32,'Inputs'!$B$30+'Inputs'!$B$31+'Inputs'!$B$32)/1000+'Inputs'!$B$21+'Inputs'!$B$9+'Inputs'!$B$10))^2+('Inputs'!$B$6/2)^2))))*'Results'!$B$8)+'Inputs'!$B$28*ABS((('Results'!C7*(1+'Inputs'!$B$24)*(0.5*((((595-43)*MAX('Inputs'!$B$33,'Inputs'!$B$29+'Inputs'!$B$31+'Inputs'!$B$32,'Inputs'!$B$30+'Inputs'!$B$31+'Inputs'!$B$32)/1000+'Inputs'!$B$21)+'Inputs'!$B$9)/SQRT((((595-43)*MAX('Inputs'!$B$33,'Inputs'!$B$29+'Inputs'!$B$31+'Inputs'!$B$32,'Inputs'!$B$30+'Inputs'!$B$31+'Inputs'!$B$32)/1000+'Inputs'!$B$21)+'Inputs'!$B$9)^2+('Inputs'!$B$8/2)^2)-(((595-43)*MAX('Inputs'!$B$33,'Inputs'!$B$29+'Inputs'!$B$31+'Inputs'!$B$32,'Inputs'!$B$30+'Inputs'!$B$31+'Inputs'!$B$32)/1000+'Inputs'!$B$21))/SQRT((((595-43)*MAX('Inputs'!$B$33,'Inputs'!$B$29+'Inputs'!$B$31+'Inputs'!$B$32,'Inputs'!$B$30+'Inputs'!$B$31+'Inputs'!$B$32)/1000+'Inputs'!$B$21))^2+('Inputs'!$B$8/2)^2)))-'Results'!B7*(1-'Inputs'!$B$24)*(0.5*((((595-43)*MAX('Inputs'!$B$33,'Inputs'!$B$29+'Inputs'!$B$31+'Inputs'!$B$32,'Inputs'!$B$30+'Inputs'!$B$31+'Inputs'!$B$32)/1000+'Inputs'!$B$21+'Inputs'!$B$9+'Inputs'!$B$10)+'Inputs'!$B$7)/SQRT((((595-43)*MAX('Inputs'!$B$33,'Inputs'!$B$29+'Inputs'!$B$31+'Inputs'!$B$32,'Inputs'!$B$30+'Inputs'!$B$31+'Inputs'!$B$32)/1000+'Inputs'!$B$21+'Inputs'!$B$9+'Inputs'!$B$10)+'Inputs'!$B$7)^2+('Inputs'!$B$6/2)^2)-(((595-43)*MAX('Inputs'!$B$33,'Inputs'!$B$29+'Inputs'!$B$31+'Inputs'!$B$32,'Inputs'!$B$30+'Inputs'!$B$31+'Inputs'!$B$32)/1000+'Inputs'!$B$21+'Inputs'!$B$9+'Inputs'!$B$10))/SQRT((((595-43)*MAX('Inputs'!$B$33,'Inputs'!$B$29+'Inputs'!$B$31+'Inputs'!$B$32,'Inputs'!$B$30+'Inputs'!$B$31+'Inputs'!$B$32)/1000+'Inputs'!$B$21+'Inputs'!$B$9+'Inputs'!$B$10))^2+('Inputs'!$B$6/2)^2))))*'Results'!$B$8))),"")</x:f>
        <x:v>3.1200621882047437</x:v>
      </x:c>
      <x:c r="P595" t="n">
        <x:f>IF(AND(MAX(J595,J594)&gt;0,J595&gt;J594+0.00000001),1,0)</x:f>
        <x:v>0</x:v>
      </x:c>
      <x:c r="Q595" t="n">
        <x:f>IF(AND(MAX(K595,K594)&gt;0,K595&gt;K594+0.00000001),1,0)</x:f>
        <x:v>0</x:v>
      </x:c>
      <x:c r="R595" t="n">
        <x:f>IF(AND(MAX(L595,L594)&gt;0,L595&gt;L594+0.00000001),1,0)</x:f>
        <x:v>0</x:v>
      </x:c>
      <x:c r="S595" t="n">
        <x:f>IF(AND(MAX(M595,M594)&gt;0,M595&gt;M594+0.00000001),1,0)</x:f>
        <x:v>0</x:v>
      </x:c>
      <x:c r="T595" t="n">
        <x:f>IF(AND(MAX(N595,N594)&gt;0,N595&gt;N594+0.00000001),1,0)</x:f>
        <x:v>0</x:v>
      </x:c>
      <x:c r="U595" t="n">
        <x:f>IF(AND(MAX(O595,O594)&gt;0,O595&gt;O594+0.00000001),1,0)</x:f>
        <x:v>0</x:v>
      </x:c>
    </x:row>
    <x:row r="596">
      <x:c r="J596" t="n">
        <x:f>IF(AND(ISNUMBER('Results'!B7),ISNUMBER('Results'!C7),ISNUMBER('Results'!$B$8),ISNUMBER('Inputs'!$B$6),ISNUMBER('Inputs'!$B$7),ISNUMBER('Inputs'!$B$8),ISNUMBER('Inputs'!$B$9),ISNUMBER('Inputs'!$B$10),ISNUMBER('Inputs'!$B$21),ISNUMBER('Inputs'!$B$24),ISNUMBER('Inputs'!$B$28)),(('Results'!B7*(0.5*((((596-43)*MAX('Inputs'!$B$33,'Inputs'!$B$29+'Inputs'!$B$31+'Inputs'!$B$32,'Inputs'!$B$30+'Inputs'!$B$31+'Inputs'!$B$32)/1000+'Inputs'!$B$21)+'Inputs'!$B$7)/SQRT((((596-43)*MAX('Inputs'!$B$33,'Inputs'!$B$29+'Inputs'!$B$31+'Inputs'!$B$32,'Inputs'!$B$30+'Inputs'!$B$31+'Inputs'!$B$32)/1000+'Inputs'!$B$21)+'Inputs'!$B$7)^2+('Inputs'!$B$6/2)^2)-(((596-43)*MAX('Inputs'!$B$33,'Inputs'!$B$29+'Inputs'!$B$31+'Inputs'!$B$32,'Inputs'!$B$30+'Inputs'!$B$31+'Inputs'!$B$32)/1000+'Inputs'!$B$21))/SQRT((((596-43)*MAX('Inputs'!$B$33,'Inputs'!$B$29+'Inputs'!$B$31+'Inputs'!$B$32,'Inputs'!$B$30+'Inputs'!$B$31+'Inputs'!$B$32)/1000+'Inputs'!$B$21))^2+('Inputs'!$B$6/2)^2)))-'Results'!C7*(0.5*((((596-43)*MAX('Inputs'!$B$33,'Inputs'!$B$29+'Inputs'!$B$31+'Inputs'!$B$32,'Inputs'!$B$30+'Inputs'!$B$31+'Inputs'!$B$32)/1000+'Inputs'!$B$21+'Inputs'!$B$7+'Inputs'!$B$10)+'Inputs'!$B$9)/SQRT((((596-43)*MAX('Inputs'!$B$33,'Inputs'!$B$29+'Inputs'!$B$31+'Inputs'!$B$32,'Inputs'!$B$30+'Inputs'!$B$31+'Inputs'!$B$32)/1000+'Inputs'!$B$21+'Inputs'!$B$7+'Inputs'!$B$10)+'Inputs'!$B$9)^2+('Inputs'!$B$8/2)^2)-(((596-43)*MAX('Inputs'!$B$33,'Inputs'!$B$29+'Inputs'!$B$31+'Inputs'!$B$32,'Inputs'!$B$30+'Inputs'!$B$31+'Inputs'!$B$32)/1000+'Inputs'!$B$21+'Inputs'!$B$7+'Inputs'!$B$10))/SQRT((((596-43)*MAX('Inputs'!$B$33,'Inputs'!$B$29+'Inputs'!$B$31+'Inputs'!$B$32,'Inputs'!$B$30+'Inputs'!$B$31+'Inputs'!$B$32)/1000+'Inputs'!$B$21+'Inputs'!$B$7+'Inputs'!$B$10))^2+('Inputs'!$B$8/2)^2))))*'Results'!$B$8),"")</x:f>
        <x:v>2.955685632273772</x:v>
      </x:c>
      <x:c r="K596" t="n">
        <x:f>IF(AND(ISNUMBER('Results'!B7),ISNUMBER('Results'!C7),ISNUMBER('Results'!$B$8),ISNUMBER('Inputs'!$B$6),ISNUMBER('Inputs'!$B$7),ISNUMBER('Inputs'!$B$8),ISNUMBER('Inputs'!$B$9),ISNUMBER('Inputs'!$B$10),ISNUMBER('Inputs'!$B$21),ISNUMBER('Inputs'!$B$24),ISNUMBER('Inputs'!$B$28)),((('Results'!B7*(1-'Inputs'!$B$24)*(0.5*((((596-43)*MAX('Inputs'!$B$33,'Inputs'!$B$29+'Inputs'!$B$31+'Inputs'!$B$32,'Inputs'!$B$30+'Inputs'!$B$31+'Inputs'!$B$32)/1000+'Inputs'!$B$21)+'Inputs'!$B$7)/SQRT((((596-43)*MAX('Inputs'!$B$33,'Inputs'!$B$29+'Inputs'!$B$31+'Inputs'!$B$32,'Inputs'!$B$30+'Inputs'!$B$31+'Inputs'!$B$32)/1000+'Inputs'!$B$21)+'Inputs'!$B$7)^2+('Inputs'!$B$6/2)^2)-(((596-43)*MAX('Inputs'!$B$33,'Inputs'!$B$29+'Inputs'!$B$31+'Inputs'!$B$32,'Inputs'!$B$30+'Inputs'!$B$31+'Inputs'!$B$32)/1000+'Inputs'!$B$21))/SQRT((((596-43)*MAX('Inputs'!$B$33,'Inputs'!$B$29+'Inputs'!$B$31+'Inputs'!$B$32,'Inputs'!$B$30+'Inputs'!$B$31+'Inputs'!$B$32)/1000+'Inputs'!$B$21))^2+('Inputs'!$B$6/2)^2)))-'Results'!C7*(1+'Inputs'!$B$24)*(0.5*((((596-43)*MAX('Inputs'!$B$33,'Inputs'!$B$29+'Inputs'!$B$31+'Inputs'!$B$32,'Inputs'!$B$30+'Inputs'!$B$31+'Inputs'!$B$32)/1000+'Inputs'!$B$21+'Inputs'!$B$7+'Inputs'!$B$10)+'Inputs'!$B$9)/SQRT((((596-43)*MAX('Inputs'!$B$33,'Inputs'!$B$29+'Inputs'!$B$31+'Inputs'!$B$32,'Inputs'!$B$30+'Inputs'!$B$31+'Inputs'!$B$32)/1000+'Inputs'!$B$21+'Inputs'!$B$7+'Inputs'!$B$10)+'Inputs'!$B$9)^2+('Inputs'!$B$8/2)^2)-(((596-43)*MAX('Inputs'!$B$33,'Inputs'!$B$29+'Inputs'!$B$31+'Inputs'!$B$32,'Inputs'!$B$30+'Inputs'!$B$31+'Inputs'!$B$32)/1000+'Inputs'!$B$21+'Inputs'!$B$7+'Inputs'!$B$10))/SQRT((((596-43)*MAX('Inputs'!$B$33,'Inputs'!$B$29+'Inputs'!$B$31+'Inputs'!$B$32,'Inputs'!$B$30+'Inputs'!$B$31+'Inputs'!$B$32)/1000+'Inputs'!$B$21+'Inputs'!$B$7+'Inputs'!$B$10))^2+('Inputs'!$B$8/2)^2))))*'Results'!$B$8)-'Inputs'!$B$28*ABS((('Results'!B7*(1-'Inputs'!$B$24)*(0.5*((((596-43)*MAX('Inputs'!$B$33,'Inputs'!$B$29+'Inputs'!$B$31+'Inputs'!$B$32,'Inputs'!$B$30+'Inputs'!$B$31+'Inputs'!$B$32)/1000+'Inputs'!$B$21)+'Inputs'!$B$7)/SQRT((((596-43)*MAX('Inputs'!$B$33,'Inputs'!$B$29+'Inputs'!$B$31+'Inputs'!$B$32,'Inputs'!$B$30+'Inputs'!$B$31+'Inputs'!$B$32)/1000+'Inputs'!$B$21)+'Inputs'!$B$7)^2+('Inputs'!$B$6/2)^2)-(((596-43)*MAX('Inputs'!$B$33,'Inputs'!$B$29+'Inputs'!$B$31+'Inputs'!$B$32,'Inputs'!$B$30+'Inputs'!$B$31+'Inputs'!$B$32)/1000+'Inputs'!$B$21))/SQRT((((596-43)*MAX('Inputs'!$B$33,'Inputs'!$B$29+'Inputs'!$B$31+'Inputs'!$B$32,'Inputs'!$B$30+'Inputs'!$B$31+'Inputs'!$B$32)/1000+'Inputs'!$B$21))^2+('Inputs'!$B$6/2)^2)))-'Results'!C7*(1+'Inputs'!$B$24)*(0.5*((((596-43)*MAX('Inputs'!$B$33,'Inputs'!$B$29+'Inputs'!$B$31+'Inputs'!$B$32,'Inputs'!$B$30+'Inputs'!$B$31+'Inputs'!$B$32)/1000+'Inputs'!$B$21+'Inputs'!$B$7+'Inputs'!$B$10)+'Inputs'!$B$9)/SQRT((((596-43)*MAX('Inputs'!$B$33,'Inputs'!$B$29+'Inputs'!$B$31+'Inputs'!$B$32,'Inputs'!$B$30+'Inputs'!$B$31+'Inputs'!$B$32)/1000+'Inputs'!$B$21+'Inputs'!$B$7+'Inputs'!$B$10)+'Inputs'!$B$9)^2+('Inputs'!$B$8/2)^2)-(((596-43)*MAX('Inputs'!$B$33,'Inputs'!$B$29+'Inputs'!$B$31+'Inputs'!$B$32,'Inputs'!$B$30+'Inputs'!$B$31+'Inputs'!$B$32)/1000+'Inputs'!$B$21+'Inputs'!$B$7+'Inputs'!$B$10))/SQRT((((596-43)*MAX('Inputs'!$B$33,'Inputs'!$B$29+'Inputs'!$B$31+'Inputs'!$B$32,'Inputs'!$B$30+'Inputs'!$B$31+'Inputs'!$B$32)/1000+'Inputs'!$B$21+'Inputs'!$B$7+'Inputs'!$B$10))^2+('Inputs'!$B$8/2)^2))))*'Results'!$B$8))),"")</x:f>
        <x:v>2.602018886224669</x:v>
      </x:c>
      <x:c r="L596" t="n">
        <x:f>IF(AND(ISNUMBER('Results'!B7),ISNUMBER('Results'!C7),ISNUMBER('Results'!$B$8),ISNUMBER('Inputs'!$B$6),ISNUMBER('Inputs'!$B$7),ISNUMBER('Inputs'!$B$8),ISNUMBER('Inputs'!$B$9),ISNUMBER('Inputs'!$B$10),ISNUMBER('Inputs'!$B$21),ISNUMBER('Inputs'!$B$24),ISNUMBER('Inputs'!$B$28)),((('Results'!B7*(1+'Inputs'!$B$24)*(0.5*((((596-43)*MAX('Inputs'!$B$33,'Inputs'!$B$29+'Inputs'!$B$31+'Inputs'!$B$32,'Inputs'!$B$30+'Inputs'!$B$31+'Inputs'!$B$32)/1000+'Inputs'!$B$21)+'Inputs'!$B$7)/SQRT((((596-43)*MAX('Inputs'!$B$33,'Inputs'!$B$29+'Inputs'!$B$31+'Inputs'!$B$32,'Inputs'!$B$30+'Inputs'!$B$31+'Inputs'!$B$32)/1000+'Inputs'!$B$21)+'Inputs'!$B$7)^2+('Inputs'!$B$6/2)^2)-(((596-43)*MAX('Inputs'!$B$33,'Inputs'!$B$29+'Inputs'!$B$31+'Inputs'!$B$32,'Inputs'!$B$30+'Inputs'!$B$31+'Inputs'!$B$32)/1000+'Inputs'!$B$21))/SQRT((((596-43)*MAX('Inputs'!$B$33,'Inputs'!$B$29+'Inputs'!$B$31+'Inputs'!$B$32,'Inputs'!$B$30+'Inputs'!$B$31+'Inputs'!$B$32)/1000+'Inputs'!$B$21))^2+('Inputs'!$B$6/2)^2)))-'Results'!C7*(1-'Inputs'!$B$24)*(0.5*((((596-43)*MAX('Inputs'!$B$33,'Inputs'!$B$29+'Inputs'!$B$31+'Inputs'!$B$32,'Inputs'!$B$30+'Inputs'!$B$31+'Inputs'!$B$32)/1000+'Inputs'!$B$21+'Inputs'!$B$7+'Inputs'!$B$10)+'Inputs'!$B$9)/SQRT((((596-43)*MAX('Inputs'!$B$33,'Inputs'!$B$29+'Inputs'!$B$31+'Inputs'!$B$32,'Inputs'!$B$30+'Inputs'!$B$31+'Inputs'!$B$32)/1000+'Inputs'!$B$21+'Inputs'!$B$7+'Inputs'!$B$10)+'Inputs'!$B$9)^2+('Inputs'!$B$8/2)^2)-(((596-43)*MAX('Inputs'!$B$33,'Inputs'!$B$29+'Inputs'!$B$31+'Inputs'!$B$32,'Inputs'!$B$30+'Inputs'!$B$31+'Inputs'!$B$32)/1000+'Inputs'!$B$21+'Inputs'!$B$7+'Inputs'!$B$10))/SQRT((((596-43)*MAX('Inputs'!$B$33,'Inputs'!$B$29+'Inputs'!$B$31+'Inputs'!$B$32,'Inputs'!$B$30+'Inputs'!$B$31+'Inputs'!$B$32)/1000+'Inputs'!$B$21+'Inputs'!$B$7+'Inputs'!$B$10))^2+('Inputs'!$B$8/2)^2))))*'Results'!$B$8)+'Inputs'!$B$28*ABS((('Results'!B7*(1+'Inputs'!$B$24)*(0.5*((((596-43)*MAX('Inputs'!$B$33,'Inputs'!$B$29+'Inputs'!$B$31+'Inputs'!$B$32,'Inputs'!$B$30+'Inputs'!$B$31+'Inputs'!$B$32)/1000+'Inputs'!$B$21)+'Inputs'!$B$7)/SQRT((((596-43)*MAX('Inputs'!$B$33,'Inputs'!$B$29+'Inputs'!$B$31+'Inputs'!$B$32,'Inputs'!$B$30+'Inputs'!$B$31+'Inputs'!$B$32)/1000+'Inputs'!$B$21)+'Inputs'!$B$7)^2+('Inputs'!$B$6/2)^2)-(((596-43)*MAX('Inputs'!$B$33,'Inputs'!$B$29+'Inputs'!$B$31+'Inputs'!$B$32,'Inputs'!$B$30+'Inputs'!$B$31+'Inputs'!$B$32)/1000+'Inputs'!$B$21))/SQRT((((596-43)*MAX('Inputs'!$B$33,'Inputs'!$B$29+'Inputs'!$B$31+'Inputs'!$B$32,'Inputs'!$B$30+'Inputs'!$B$31+'Inputs'!$B$32)/1000+'Inputs'!$B$21))^2+('Inputs'!$B$6/2)^2)))-'Results'!C7*(1-'Inputs'!$B$24)*(0.5*((((596-43)*MAX('Inputs'!$B$33,'Inputs'!$B$29+'Inputs'!$B$31+'Inputs'!$B$32,'Inputs'!$B$30+'Inputs'!$B$31+'Inputs'!$B$32)/1000+'Inputs'!$B$21+'Inputs'!$B$7+'Inputs'!$B$10)+'Inputs'!$B$9)/SQRT((((596-43)*MAX('Inputs'!$B$33,'Inputs'!$B$29+'Inputs'!$B$31+'Inputs'!$B$32,'Inputs'!$B$30+'Inputs'!$B$31+'Inputs'!$B$32)/1000+'Inputs'!$B$21+'Inputs'!$B$7+'Inputs'!$B$10)+'Inputs'!$B$9)^2+('Inputs'!$B$8/2)^2)-(((596-43)*MAX('Inputs'!$B$33,'Inputs'!$B$29+'Inputs'!$B$31+'Inputs'!$B$32,'Inputs'!$B$30+'Inputs'!$B$31+'Inputs'!$B$32)/1000+'Inputs'!$B$21+'Inputs'!$B$7+'Inputs'!$B$10))/SQRT((((596-43)*MAX('Inputs'!$B$33,'Inputs'!$B$29+'Inputs'!$B$31+'Inputs'!$B$32,'Inputs'!$B$30+'Inputs'!$B$31+'Inputs'!$B$32)/1000+'Inputs'!$B$21+'Inputs'!$B$7+'Inputs'!$B$10))^2+('Inputs'!$B$8/2)^2))))*'Results'!$B$8))),"")</x:f>
        <x:v>3.331024216684497</x:v>
      </x:c>
      <x:c r="M596" t="n">
        <x:f>IF(AND(ISNUMBER('Results'!C7),ISNUMBER('Results'!B7),ISNUMBER('Results'!$B$8),ISNUMBER('Inputs'!$B$6),ISNUMBER('Inputs'!$B$7),ISNUMBER('Inputs'!$B$8),ISNUMBER('Inputs'!$B$9),ISNUMBER('Inputs'!$B$10),ISNUMBER('Inputs'!$B$21),ISNUMBER('Inputs'!$B$24),ISNUMBER('Inputs'!$B$28)),(('Results'!C7*(0.5*((((596-43)*MAX('Inputs'!$B$33,'Inputs'!$B$29+'Inputs'!$B$31+'Inputs'!$B$32,'Inputs'!$B$30+'Inputs'!$B$31+'Inputs'!$B$32)/1000+'Inputs'!$B$21)+'Inputs'!$B$9)/SQRT((((596-43)*MAX('Inputs'!$B$33,'Inputs'!$B$29+'Inputs'!$B$31+'Inputs'!$B$32,'Inputs'!$B$30+'Inputs'!$B$31+'Inputs'!$B$32)/1000+'Inputs'!$B$21)+'Inputs'!$B$9)^2+('Inputs'!$B$8/2)^2)-(((596-43)*MAX('Inputs'!$B$33,'Inputs'!$B$29+'Inputs'!$B$31+'Inputs'!$B$32,'Inputs'!$B$30+'Inputs'!$B$31+'Inputs'!$B$32)/1000+'Inputs'!$B$21))/SQRT((((596-43)*MAX('Inputs'!$B$33,'Inputs'!$B$29+'Inputs'!$B$31+'Inputs'!$B$32,'Inputs'!$B$30+'Inputs'!$B$31+'Inputs'!$B$32)/1000+'Inputs'!$B$21))^2+('Inputs'!$B$8/2)^2)))-'Results'!B7*(0.5*((((596-43)*MAX('Inputs'!$B$33,'Inputs'!$B$29+'Inputs'!$B$31+'Inputs'!$B$32,'Inputs'!$B$30+'Inputs'!$B$31+'Inputs'!$B$32)/1000+'Inputs'!$B$21+'Inputs'!$B$9+'Inputs'!$B$10)+'Inputs'!$B$7)/SQRT((((596-43)*MAX('Inputs'!$B$33,'Inputs'!$B$29+'Inputs'!$B$31+'Inputs'!$B$32,'Inputs'!$B$30+'Inputs'!$B$31+'Inputs'!$B$32)/1000+'Inputs'!$B$21+'Inputs'!$B$9+'Inputs'!$B$10)+'Inputs'!$B$7)^2+('Inputs'!$B$6/2)^2)-(((596-43)*MAX('Inputs'!$B$33,'Inputs'!$B$29+'Inputs'!$B$31+'Inputs'!$B$32,'Inputs'!$B$30+'Inputs'!$B$31+'Inputs'!$B$32)/1000+'Inputs'!$B$21+'Inputs'!$B$9+'Inputs'!$B$10))/SQRT((((596-43)*MAX('Inputs'!$B$33,'Inputs'!$B$29+'Inputs'!$B$31+'Inputs'!$B$32,'Inputs'!$B$30+'Inputs'!$B$31+'Inputs'!$B$32)/1000+'Inputs'!$B$21+'Inputs'!$B$9+'Inputs'!$B$10))^2+('Inputs'!$B$6/2)^2))))*'Results'!$B$8),"")</x:f>
        <x:v>2.7373590377292736</x:v>
      </x:c>
      <x:c r="N596" t="n">
        <x:f>IF(AND(ISNUMBER('Results'!C7),ISNUMBER('Results'!B7),ISNUMBER('Results'!$B$8),ISNUMBER('Inputs'!$B$6),ISNUMBER('Inputs'!$B$7),ISNUMBER('Inputs'!$B$8),ISNUMBER('Inputs'!$B$9),ISNUMBER('Inputs'!$B$10),ISNUMBER('Inputs'!$B$21),ISNUMBER('Inputs'!$B$24),ISNUMBER('Inputs'!$B$28)),((('Results'!C7*(1-'Inputs'!$B$24)*(0.5*((((596-43)*MAX('Inputs'!$B$33,'Inputs'!$B$29+'Inputs'!$B$31+'Inputs'!$B$32,'Inputs'!$B$30+'Inputs'!$B$31+'Inputs'!$B$32)/1000+'Inputs'!$B$21)+'Inputs'!$B$9)/SQRT((((596-43)*MAX('Inputs'!$B$33,'Inputs'!$B$29+'Inputs'!$B$31+'Inputs'!$B$32,'Inputs'!$B$30+'Inputs'!$B$31+'Inputs'!$B$32)/1000+'Inputs'!$B$21)+'Inputs'!$B$9)^2+('Inputs'!$B$8/2)^2)-(((596-43)*MAX('Inputs'!$B$33,'Inputs'!$B$29+'Inputs'!$B$31+'Inputs'!$B$32,'Inputs'!$B$30+'Inputs'!$B$31+'Inputs'!$B$32)/1000+'Inputs'!$B$21))/SQRT((((596-43)*MAX('Inputs'!$B$33,'Inputs'!$B$29+'Inputs'!$B$31+'Inputs'!$B$32,'Inputs'!$B$30+'Inputs'!$B$31+'Inputs'!$B$32)/1000+'Inputs'!$B$21))^2+('Inputs'!$B$8/2)^2)))-'Results'!B7*(1+'Inputs'!$B$24)*(0.5*((((596-43)*MAX('Inputs'!$B$33,'Inputs'!$B$29+'Inputs'!$B$31+'Inputs'!$B$32,'Inputs'!$B$30+'Inputs'!$B$31+'Inputs'!$B$32)/1000+'Inputs'!$B$21+'Inputs'!$B$9+'Inputs'!$B$10)+'Inputs'!$B$7)/SQRT((((596-43)*MAX('Inputs'!$B$33,'Inputs'!$B$29+'Inputs'!$B$31+'Inputs'!$B$32,'Inputs'!$B$30+'Inputs'!$B$31+'Inputs'!$B$32)/1000+'Inputs'!$B$21+'Inputs'!$B$9+'Inputs'!$B$10)+'Inputs'!$B$7)^2+('Inputs'!$B$6/2)^2)-(((596-43)*MAX('Inputs'!$B$33,'Inputs'!$B$29+'Inputs'!$B$31+'Inputs'!$B$32,'Inputs'!$B$30+'Inputs'!$B$31+'Inputs'!$B$32)/1000+'Inputs'!$B$21+'Inputs'!$B$9+'Inputs'!$B$10))/SQRT((((596-43)*MAX('Inputs'!$B$33,'Inputs'!$B$29+'Inputs'!$B$31+'Inputs'!$B$32,'Inputs'!$B$30+'Inputs'!$B$31+'Inputs'!$B$32)/1000+'Inputs'!$B$21+'Inputs'!$B$9+'Inputs'!$B$10))^2+('Inputs'!$B$6/2)^2))))*'Results'!$B$8)-'Inputs'!$B$28*ABS((('Results'!C7*(1-'Inputs'!$B$24)*(0.5*((((596-43)*MAX('Inputs'!$B$33,'Inputs'!$B$29+'Inputs'!$B$31+'Inputs'!$B$32,'Inputs'!$B$30+'Inputs'!$B$31+'Inputs'!$B$32)/1000+'Inputs'!$B$21)+'Inputs'!$B$9)/SQRT((((596-43)*MAX('Inputs'!$B$33,'Inputs'!$B$29+'Inputs'!$B$31+'Inputs'!$B$32,'Inputs'!$B$30+'Inputs'!$B$31+'Inputs'!$B$32)/1000+'Inputs'!$B$21)+'Inputs'!$B$9)^2+('Inputs'!$B$8/2)^2)-(((596-43)*MAX('Inputs'!$B$33,'Inputs'!$B$29+'Inputs'!$B$31+'Inputs'!$B$32,'Inputs'!$B$30+'Inputs'!$B$31+'Inputs'!$B$32)/1000+'Inputs'!$B$21))/SQRT((((596-43)*MAX('Inputs'!$B$33,'Inputs'!$B$29+'Inputs'!$B$31+'Inputs'!$B$32,'Inputs'!$B$30+'Inputs'!$B$31+'Inputs'!$B$32)/1000+'Inputs'!$B$21))^2+('Inputs'!$B$8/2)^2)))-'Results'!B7*(1+'Inputs'!$B$24)*(0.5*((((596-43)*MAX('Inputs'!$B$33,'Inputs'!$B$29+'Inputs'!$B$31+'Inputs'!$B$32,'Inputs'!$B$30+'Inputs'!$B$31+'Inputs'!$B$32)/1000+'Inputs'!$B$21+'Inputs'!$B$9+'Inputs'!$B$10)+'Inputs'!$B$7)/SQRT((((596-43)*MAX('Inputs'!$B$33,'Inputs'!$B$29+'Inputs'!$B$31+'Inputs'!$B$32,'Inputs'!$B$30+'Inputs'!$B$31+'Inputs'!$B$32)/1000+'Inputs'!$B$21+'Inputs'!$B$9+'Inputs'!$B$10)+'Inputs'!$B$7)^2+('Inputs'!$B$6/2)^2)-(((596-43)*MAX('Inputs'!$B$33,'Inputs'!$B$29+'Inputs'!$B$31+'Inputs'!$B$32,'Inputs'!$B$30+'Inputs'!$B$31+'Inputs'!$B$32)/1000+'Inputs'!$B$21+'Inputs'!$B$9+'Inputs'!$B$10))/SQRT((((596-43)*MAX('Inputs'!$B$33,'Inputs'!$B$29+'Inputs'!$B$31+'Inputs'!$B$32,'Inputs'!$B$30+'Inputs'!$B$31+'Inputs'!$B$32)/1000+'Inputs'!$B$21+'Inputs'!$B$9+'Inputs'!$B$10))^2+('Inputs'!$B$6/2)^2))))*'Results'!$B$8))),"")</x:f>
        <x:v>2.3957012259400225</x:v>
      </x:c>
      <x:c r="O596" t="n">
        <x:f>IF(AND(ISNUMBER('Results'!C7),ISNUMBER('Results'!B7),ISNUMBER('Results'!$B$8),ISNUMBER('Inputs'!$B$6),ISNUMBER('Inputs'!$B$7),ISNUMBER('Inputs'!$B$8),ISNUMBER('Inputs'!$B$9),ISNUMBER('Inputs'!$B$10),ISNUMBER('Inputs'!$B$21),ISNUMBER('Inputs'!$B$24),ISNUMBER('Inputs'!$B$28)),((('Results'!C7*(1+'Inputs'!$B$24)*(0.5*((((596-43)*MAX('Inputs'!$B$33,'Inputs'!$B$29+'Inputs'!$B$31+'Inputs'!$B$32,'Inputs'!$B$30+'Inputs'!$B$31+'Inputs'!$B$32)/1000+'Inputs'!$B$21)+'Inputs'!$B$9)/SQRT((((596-43)*MAX('Inputs'!$B$33,'Inputs'!$B$29+'Inputs'!$B$31+'Inputs'!$B$32,'Inputs'!$B$30+'Inputs'!$B$31+'Inputs'!$B$32)/1000+'Inputs'!$B$21)+'Inputs'!$B$9)^2+('Inputs'!$B$8/2)^2)-(((596-43)*MAX('Inputs'!$B$33,'Inputs'!$B$29+'Inputs'!$B$31+'Inputs'!$B$32,'Inputs'!$B$30+'Inputs'!$B$31+'Inputs'!$B$32)/1000+'Inputs'!$B$21))/SQRT((((596-43)*MAX('Inputs'!$B$33,'Inputs'!$B$29+'Inputs'!$B$31+'Inputs'!$B$32,'Inputs'!$B$30+'Inputs'!$B$31+'Inputs'!$B$32)/1000+'Inputs'!$B$21))^2+('Inputs'!$B$8/2)^2)))-'Results'!B7*(1-'Inputs'!$B$24)*(0.5*((((596-43)*MAX('Inputs'!$B$33,'Inputs'!$B$29+'Inputs'!$B$31+'Inputs'!$B$32,'Inputs'!$B$30+'Inputs'!$B$31+'Inputs'!$B$32)/1000+'Inputs'!$B$21+'Inputs'!$B$9+'Inputs'!$B$10)+'Inputs'!$B$7)/SQRT((((596-43)*MAX('Inputs'!$B$33,'Inputs'!$B$29+'Inputs'!$B$31+'Inputs'!$B$32,'Inputs'!$B$30+'Inputs'!$B$31+'Inputs'!$B$32)/1000+'Inputs'!$B$21+'Inputs'!$B$9+'Inputs'!$B$10)+'Inputs'!$B$7)^2+('Inputs'!$B$6/2)^2)-(((596-43)*MAX('Inputs'!$B$33,'Inputs'!$B$29+'Inputs'!$B$31+'Inputs'!$B$32,'Inputs'!$B$30+'Inputs'!$B$31+'Inputs'!$B$32)/1000+'Inputs'!$B$21+'Inputs'!$B$9+'Inputs'!$B$10))/SQRT((((596-43)*MAX('Inputs'!$B$33,'Inputs'!$B$29+'Inputs'!$B$31+'Inputs'!$B$32,'Inputs'!$B$30+'Inputs'!$B$31+'Inputs'!$B$32)/1000+'Inputs'!$B$21+'Inputs'!$B$9+'Inputs'!$B$10))^2+('Inputs'!$B$6/2)^2))))*'Results'!$B$8)+'Inputs'!$B$28*ABS((('Results'!C7*(1+'Inputs'!$B$24)*(0.5*((((596-43)*MAX('Inputs'!$B$33,'Inputs'!$B$29+'Inputs'!$B$31+'Inputs'!$B$32,'Inputs'!$B$30+'Inputs'!$B$31+'Inputs'!$B$32)/1000+'Inputs'!$B$21)+'Inputs'!$B$9)/SQRT((((596-43)*MAX('Inputs'!$B$33,'Inputs'!$B$29+'Inputs'!$B$31+'Inputs'!$B$32,'Inputs'!$B$30+'Inputs'!$B$31+'Inputs'!$B$32)/1000+'Inputs'!$B$21)+'Inputs'!$B$9)^2+('Inputs'!$B$8/2)^2)-(((596-43)*MAX('Inputs'!$B$33,'Inputs'!$B$29+'Inputs'!$B$31+'Inputs'!$B$32,'Inputs'!$B$30+'Inputs'!$B$31+'Inputs'!$B$32)/1000+'Inputs'!$B$21))/SQRT((((596-43)*MAX('Inputs'!$B$33,'Inputs'!$B$29+'Inputs'!$B$31+'Inputs'!$B$32,'Inputs'!$B$30+'Inputs'!$B$31+'Inputs'!$B$32)/1000+'Inputs'!$B$21))^2+('Inputs'!$B$8/2)^2)))-'Results'!B7*(1-'Inputs'!$B$24)*(0.5*((((596-43)*MAX('Inputs'!$B$33,'Inputs'!$B$29+'Inputs'!$B$31+'Inputs'!$B$32,'Inputs'!$B$30+'Inputs'!$B$31+'Inputs'!$B$32)/1000+'Inputs'!$B$21+'Inputs'!$B$9+'Inputs'!$B$10)+'Inputs'!$B$7)/SQRT((((596-43)*MAX('Inputs'!$B$33,'Inputs'!$B$29+'Inputs'!$B$31+'Inputs'!$B$32,'Inputs'!$B$30+'Inputs'!$B$31+'Inputs'!$B$32)/1000+'Inputs'!$B$21+'Inputs'!$B$9+'Inputs'!$B$10)+'Inputs'!$B$7)^2+('Inputs'!$B$6/2)^2)-(((596-43)*MAX('Inputs'!$B$33,'Inputs'!$B$29+'Inputs'!$B$31+'Inputs'!$B$32,'Inputs'!$B$30+'Inputs'!$B$31+'Inputs'!$B$32)/1000+'Inputs'!$B$21+'Inputs'!$B$9+'Inputs'!$B$10))/SQRT((((596-43)*MAX('Inputs'!$B$33,'Inputs'!$B$29+'Inputs'!$B$31+'Inputs'!$B$32,'Inputs'!$B$30+'Inputs'!$B$31+'Inputs'!$B$32)/1000+'Inputs'!$B$21+'Inputs'!$B$9+'Inputs'!$B$10))^2+('Inputs'!$B$6/2)^2))))*'Results'!$B$8))),"")</x:f>
        <x:v>3.100573676876713</x:v>
      </x:c>
      <x:c r="P596" t="n">
        <x:f>IF(AND(MAX(J596,J595)&gt;0,J596&gt;J595+0.00000001),1,0)</x:f>
        <x:v>0</x:v>
      </x:c>
      <x:c r="Q596" t="n">
        <x:f>IF(AND(MAX(K596,K595)&gt;0,K596&gt;K595+0.00000001),1,0)</x:f>
        <x:v>0</x:v>
      </x:c>
      <x:c r="R596" t="n">
        <x:f>IF(AND(MAX(L596,L595)&gt;0,L596&gt;L595+0.00000001),1,0)</x:f>
        <x:v>0</x:v>
      </x:c>
      <x:c r="S596" t="n">
        <x:f>IF(AND(MAX(M596,M595)&gt;0,M596&gt;M595+0.00000001),1,0)</x:f>
        <x:v>0</x:v>
      </x:c>
      <x:c r="T596" t="n">
        <x:f>IF(AND(MAX(N596,N595)&gt;0,N596&gt;N595+0.00000001),1,0)</x:f>
        <x:v>0</x:v>
      </x:c>
      <x:c r="U596" t="n">
        <x:f>IF(AND(MAX(O596,O595)&gt;0,O596&gt;O595+0.00000001),1,0)</x:f>
        <x:v>0</x:v>
      </x:c>
    </x:row>
    <x:row r="597">
      <x:c r="J597" t="n">
        <x:f>IF(AND(ISNUMBER('Results'!B7),ISNUMBER('Results'!C7),ISNUMBER('Results'!$B$8),ISNUMBER('Inputs'!$B$6),ISNUMBER('Inputs'!$B$7),ISNUMBER('Inputs'!$B$8),ISNUMBER('Inputs'!$B$9),ISNUMBER('Inputs'!$B$10),ISNUMBER('Inputs'!$B$21),ISNUMBER('Inputs'!$B$24),ISNUMBER('Inputs'!$B$28)),(('Results'!B7*(0.5*((((597-43)*MAX('Inputs'!$B$33,'Inputs'!$B$29+'Inputs'!$B$31+'Inputs'!$B$32,'Inputs'!$B$30+'Inputs'!$B$31+'Inputs'!$B$32)/1000+'Inputs'!$B$21)+'Inputs'!$B$7)/SQRT((((597-43)*MAX('Inputs'!$B$33,'Inputs'!$B$29+'Inputs'!$B$31+'Inputs'!$B$32,'Inputs'!$B$30+'Inputs'!$B$31+'Inputs'!$B$32)/1000+'Inputs'!$B$21)+'Inputs'!$B$7)^2+('Inputs'!$B$6/2)^2)-(((597-43)*MAX('Inputs'!$B$33,'Inputs'!$B$29+'Inputs'!$B$31+'Inputs'!$B$32,'Inputs'!$B$30+'Inputs'!$B$31+'Inputs'!$B$32)/1000+'Inputs'!$B$21))/SQRT((((597-43)*MAX('Inputs'!$B$33,'Inputs'!$B$29+'Inputs'!$B$31+'Inputs'!$B$32,'Inputs'!$B$30+'Inputs'!$B$31+'Inputs'!$B$32)/1000+'Inputs'!$B$21))^2+('Inputs'!$B$6/2)^2)))-'Results'!C7*(0.5*((((597-43)*MAX('Inputs'!$B$33,'Inputs'!$B$29+'Inputs'!$B$31+'Inputs'!$B$32,'Inputs'!$B$30+'Inputs'!$B$31+'Inputs'!$B$32)/1000+'Inputs'!$B$21+'Inputs'!$B$7+'Inputs'!$B$10)+'Inputs'!$B$9)/SQRT((((597-43)*MAX('Inputs'!$B$33,'Inputs'!$B$29+'Inputs'!$B$31+'Inputs'!$B$32,'Inputs'!$B$30+'Inputs'!$B$31+'Inputs'!$B$32)/1000+'Inputs'!$B$21+'Inputs'!$B$7+'Inputs'!$B$10)+'Inputs'!$B$9)^2+('Inputs'!$B$8/2)^2)-(((597-43)*MAX('Inputs'!$B$33,'Inputs'!$B$29+'Inputs'!$B$31+'Inputs'!$B$32,'Inputs'!$B$30+'Inputs'!$B$31+'Inputs'!$B$32)/1000+'Inputs'!$B$21+'Inputs'!$B$7+'Inputs'!$B$10))/SQRT((((597-43)*MAX('Inputs'!$B$33,'Inputs'!$B$29+'Inputs'!$B$31+'Inputs'!$B$32,'Inputs'!$B$30+'Inputs'!$B$31+'Inputs'!$B$32)/1000+'Inputs'!$B$21+'Inputs'!$B$7+'Inputs'!$B$10))^2+('Inputs'!$B$8/2)^2))))*'Results'!$B$8),"")</x:f>
        <x:v>2.937255988576415</x:v>
      </x:c>
      <x:c r="K597" t="n">
        <x:f>IF(AND(ISNUMBER('Results'!B7),ISNUMBER('Results'!C7),ISNUMBER('Results'!$B$8),ISNUMBER('Inputs'!$B$6),ISNUMBER('Inputs'!$B$7),ISNUMBER('Inputs'!$B$8),ISNUMBER('Inputs'!$B$9),ISNUMBER('Inputs'!$B$10),ISNUMBER('Inputs'!$B$21),ISNUMBER('Inputs'!$B$24),ISNUMBER('Inputs'!$B$28)),((('Results'!B7*(1-'Inputs'!$B$24)*(0.5*((((597-43)*MAX('Inputs'!$B$33,'Inputs'!$B$29+'Inputs'!$B$31+'Inputs'!$B$32,'Inputs'!$B$30+'Inputs'!$B$31+'Inputs'!$B$32)/1000+'Inputs'!$B$21)+'Inputs'!$B$7)/SQRT((((597-43)*MAX('Inputs'!$B$33,'Inputs'!$B$29+'Inputs'!$B$31+'Inputs'!$B$32,'Inputs'!$B$30+'Inputs'!$B$31+'Inputs'!$B$32)/1000+'Inputs'!$B$21)+'Inputs'!$B$7)^2+('Inputs'!$B$6/2)^2)-(((597-43)*MAX('Inputs'!$B$33,'Inputs'!$B$29+'Inputs'!$B$31+'Inputs'!$B$32,'Inputs'!$B$30+'Inputs'!$B$31+'Inputs'!$B$32)/1000+'Inputs'!$B$21))/SQRT((((597-43)*MAX('Inputs'!$B$33,'Inputs'!$B$29+'Inputs'!$B$31+'Inputs'!$B$32,'Inputs'!$B$30+'Inputs'!$B$31+'Inputs'!$B$32)/1000+'Inputs'!$B$21))^2+('Inputs'!$B$6/2)^2)))-'Results'!C7*(1+'Inputs'!$B$24)*(0.5*((((597-43)*MAX('Inputs'!$B$33,'Inputs'!$B$29+'Inputs'!$B$31+'Inputs'!$B$32,'Inputs'!$B$30+'Inputs'!$B$31+'Inputs'!$B$32)/1000+'Inputs'!$B$21+'Inputs'!$B$7+'Inputs'!$B$10)+'Inputs'!$B$9)/SQRT((((597-43)*MAX('Inputs'!$B$33,'Inputs'!$B$29+'Inputs'!$B$31+'Inputs'!$B$32,'Inputs'!$B$30+'Inputs'!$B$31+'Inputs'!$B$32)/1000+'Inputs'!$B$21+'Inputs'!$B$7+'Inputs'!$B$10)+'Inputs'!$B$9)^2+('Inputs'!$B$8/2)^2)-(((597-43)*MAX('Inputs'!$B$33,'Inputs'!$B$29+'Inputs'!$B$31+'Inputs'!$B$32,'Inputs'!$B$30+'Inputs'!$B$31+'Inputs'!$B$32)/1000+'Inputs'!$B$21+'Inputs'!$B$7+'Inputs'!$B$10))/SQRT((((597-43)*MAX('Inputs'!$B$33,'Inputs'!$B$29+'Inputs'!$B$31+'Inputs'!$B$32,'Inputs'!$B$30+'Inputs'!$B$31+'Inputs'!$B$32)/1000+'Inputs'!$B$21+'Inputs'!$B$7+'Inputs'!$B$10))^2+('Inputs'!$B$8/2)^2))))*'Results'!$B$8)-'Inputs'!$B$28*ABS((('Results'!B7*(1-'Inputs'!$B$24)*(0.5*((((597-43)*MAX('Inputs'!$B$33,'Inputs'!$B$29+'Inputs'!$B$31+'Inputs'!$B$32,'Inputs'!$B$30+'Inputs'!$B$31+'Inputs'!$B$32)/1000+'Inputs'!$B$21)+'Inputs'!$B$7)/SQRT((((597-43)*MAX('Inputs'!$B$33,'Inputs'!$B$29+'Inputs'!$B$31+'Inputs'!$B$32,'Inputs'!$B$30+'Inputs'!$B$31+'Inputs'!$B$32)/1000+'Inputs'!$B$21)+'Inputs'!$B$7)^2+('Inputs'!$B$6/2)^2)-(((597-43)*MAX('Inputs'!$B$33,'Inputs'!$B$29+'Inputs'!$B$31+'Inputs'!$B$32,'Inputs'!$B$30+'Inputs'!$B$31+'Inputs'!$B$32)/1000+'Inputs'!$B$21))/SQRT((((597-43)*MAX('Inputs'!$B$33,'Inputs'!$B$29+'Inputs'!$B$31+'Inputs'!$B$32,'Inputs'!$B$30+'Inputs'!$B$31+'Inputs'!$B$32)/1000+'Inputs'!$B$21))^2+('Inputs'!$B$6/2)^2)))-'Results'!C7*(1+'Inputs'!$B$24)*(0.5*((((597-43)*MAX('Inputs'!$B$33,'Inputs'!$B$29+'Inputs'!$B$31+'Inputs'!$B$32,'Inputs'!$B$30+'Inputs'!$B$31+'Inputs'!$B$32)/1000+'Inputs'!$B$21+'Inputs'!$B$7+'Inputs'!$B$10)+'Inputs'!$B$9)/SQRT((((597-43)*MAX('Inputs'!$B$33,'Inputs'!$B$29+'Inputs'!$B$31+'Inputs'!$B$32,'Inputs'!$B$30+'Inputs'!$B$31+'Inputs'!$B$32)/1000+'Inputs'!$B$21+'Inputs'!$B$7+'Inputs'!$B$10)+'Inputs'!$B$9)^2+('Inputs'!$B$8/2)^2)-(((597-43)*MAX('Inputs'!$B$33,'Inputs'!$B$29+'Inputs'!$B$31+'Inputs'!$B$32,'Inputs'!$B$30+'Inputs'!$B$31+'Inputs'!$B$32)/1000+'Inputs'!$B$21+'Inputs'!$B$7+'Inputs'!$B$10))/SQRT((((597-43)*MAX('Inputs'!$B$33,'Inputs'!$B$29+'Inputs'!$B$31+'Inputs'!$B$32,'Inputs'!$B$30+'Inputs'!$B$31+'Inputs'!$B$32)/1000+'Inputs'!$B$21+'Inputs'!$B$7+'Inputs'!$B$10))^2+('Inputs'!$B$8/2)^2))))*'Results'!$B$8))),"")</x:f>
        <x:v>2.585504447410853</x:v>
      </x:c>
      <x:c r="L597" t="n">
        <x:f>IF(AND(ISNUMBER('Results'!B7),ISNUMBER('Results'!C7),ISNUMBER('Results'!$B$8),ISNUMBER('Inputs'!$B$6),ISNUMBER('Inputs'!$B$7),ISNUMBER('Inputs'!$B$8),ISNUMBER('Inputs'!$B$9),ISNUMBER('Inputs'!$B$10),ISNUMBER('Inputs'!$B$21),ISNUMBER('Inputs'!$B$24),ISNUMBER('Inputs'!$B$28)),((('Results'!B7*(1+'Inputs'!$B$24)*(0.5*((((597-43)*MAX('Inputs'!$B$33,'Inputs'!$B$29+'Inputs'!$B$31+'Inputs'!$B$32,'Inputs'!$B$30+'Inputs'!$B$31+'Inputs'!$B$32)/1000+'Inputs'!$B$21)+'Inputs'!$B$7)/SQRT((((597-43)*MAX('Inputs'!$B$33,'Inputs'!$B$29+'Inputs'!$B$31+'Inputs'!$B$32,'Inputs'!$B$30+'Inputs'!$B$31+'Inputs'!$B$32)/1000+'Inputs'!$B$21)+'Inputs'!$B$7)^2+('Inputs'!$B$6/2)^2)-(((597-43)*MAX('Inputs'!$B$33,'Inputs'!$B$29+'Inputs'!$B$31+'Inputs'!$B$32,'Inputs'!$B$30+'Inputs'!$B$31+'Inputs'!$B$32)/1000+'Inputs'!$B$21))/SQRT((((597-43)*MAX('Inputs'!$B$33,'Inputs'!$B$29+'Inputs'!$B$31+'Inputs'!$B$32,'Inputs'!$B$30+'Inputs'!$B$31+'Inputs'!$B$32)/1000+'Inputs'!$B$21))^2+('Inputs'!$B$6/2)^2)))-'Results'!C7*(1-'Inputs'!$B$24)*(0.5*((((597-43)*MAX('Inputs'!$B$33,'Inputs'!$B$29+'Inputs'!$B$31+'Inputs'!$B$32,'Inputs'!$B$30+'Inputs'!$B$31+'Inputs'!$B$32)/1000+'Inputs'!$B$21+'Inputs'!$B$7+'Inputs'!$B$10)+'Inputs'!$B$9)/SQRT((((597-43)*MAX('Inputs'!$B$33,'Inputs'!$B$29+'Inputs'!$B$31+'Inputs'!$B$32,'Inputs'!$B$30+'Inputs'!$B$31+'Inputs'!$B$32)/1000+'Inputs'!$B$21+'Inputs'!$B$7+'Inputs'!$B$10)+'Inputs'!$B$9)^2+('Inputs'!$B$8/2)^2)-(((597-43)*MAX('Inputs'!$B$33,'Inputs'!$B$29+'Inputs'!$B$31+'Inputs'!$B$32,'Inputs'!$B$30+'Inputs'!$B$31+'Inputs'!$B$32)/1000+'Inputs'!$B$21+'Inputs'!$B$7+'Inputs'!$B$10))/SQRT((((597-43)*MAX('Inputs'!$B$33,'Inputs'!$B$29+'Inputs'!$B$31+'Inputs'!$B$32,'Inputs'!$B$30+'Inputs'!$B$31+'Inputs'!$B$32)/1000+'Inputs'!$B$21+'Inputs'!$B$7+'Inputs'!$B$10))^2+('Inputs'!$B$8/2)^2))))*'Results'!$B$8)+'Inputs'!$B$28*ABS((('Results'!B7*(1+'Inputs'!$B$24)*(0.5*((((597-43)*MAX('Inputs'!$B$33,'Inputs'!$B$29+'Inputs'!$B$31+'Inputs'!$B$32,'Inputs'!$B$30+'Inputs'!$B$31+'Inputs'!$B$32)/1000+'Inputs'!$B$21)+'Inputs'!$B$7)/SQRT((((597-43)*MAX('Inputs'!$B$33,'Inputs'!$B$29+'Inputs'!$B$31+'Inputs'!$B$32,'Inputs'!$B$30+'Inputs'!$B$31+'Inputs'!$B$32)/1000+'Inputs'!$B$21)+'Inputs'!$B$7)^2+('Inputs'!$B$6/2)^2)-(((597-43)*MAX('Inputs'!$B$33,'Inputs'!$B$29+'Inputs'!$B$31+'Inputs'!$B$32,'Inputs'!$B$30+'Inputs'!$B$31+'Inputs'!$B$32)/1000+'Inputs'!$B$21))/SQRT((((597-43)*MAX('Inputs'!$B$33,'Inputs'!$B$29+'Inputs'!$B$31+'Inputs'!$B$32,'Inputs'!$B$30+'Inputs'!$B$31+'Inputs'!$B$32)/1000+'Inputs'!$B$21))^2+('Inputs'!$B$6/2)^2)))-'Results'!C7*(1-'Inputs'!$B$24)*(0.5*((((597-43)*MAX('Inputs'!$B$33,'Inputs'!$B$29+'Inputs'!$B$31+'Inputs'!$B$32,'Inputs'!$B$30+'Inputs'!$B$31+'Inputs'!$B$32)/1000+'Inputs'!$B$21+'Inputs'!$B$7+'Inputs'!$B$10)+'Inputs'!$B$9)/SQRT((((597-43)*MAX('Inputs'!$B$33,'Inputs'!$B$29+'Inputs'!$B$31+'Inputs'!$B$32,'Inputs'!$B$30+'Inputs'!$B$31+'Inputs'!$B$32)/1000+'Inputs'!$B$21+'Inputs'!$B$7+'Inputs'!$B$10)+'Inputs'!$B$9)^2+('Inputs'!$B$8/2)^2)-(((597-43)*MAX('Inputs'!$B$33,'Inputs'!$B$29+'Inputs'!$B$31+'Inputs'!$B$32,'Inputs'!$B$30+'Inputs'!$B$31+'Inputs'!$B$32)/1000+'Inputs'!$B$21+'Inputs'!$B$7+'Inputs'!$B$10))/SQRT((((597-43)*MAX('Inputs'!$B$33,'Inputs'!$B$29+'Inputs'!$B$31+'Inputs'!$B$32,'Inputs'!$B$30+'Inputs'!$B$31+'Inputs'!$B$32)/1000+'Inputs'!$B$21+'Inputs'!$B$7+'Inputs'!$B$10))^2+('Inputs'!$B$8/2)^2))))*'Results'!$B$8))),"")</x:f>
        <x:v>3.3105747657142643</x:v>
      </x:c>
      <x:c r="M597" t="n">
        <x:f>IF(AND(ISNUMBER('Results'!C7),ISNUMBER('Results'!B7),ISNUMBER('Results'!$B$8),ISNUMBER('Inputs'!$B$6),ISNUMBER('Inputs'!$B$7),ISNUMBER('Inputs'!$B$8),ISNUMBER('Inputs'!$B$9),ISNUMBER('Inputs'!$B$10),ISNUMBER('Inputs'!$B$21),ISNUMBER('Inputs'!$B$24),ISNUMBER('Inputs'!$B$28)),(('Results'!C7*(0.5*((((597-43)*MAX('Inputs'!$B$33,'Inputs'!$B$29+'Inputs'!$B$31+'Inputs'!$B$32,'Inputs'!$B$30+'Inputs'!$B$31+'Inputs'!$B$32)/1000+'Inputs'!$B$21)+'Inputs'!$B$9)/SQRT((((597-43)*MAX('Inputs'!$B$33,'Inputs'!$B$29+'Inputs'!$B$31+'Inputs'!$B$32,'Inputs'!$B$30+'Inputs'!$B$31+'Inputs'!$B$32)/1000+'Inputs'!$B$21)+'Inputs'!$B$9)^2+('Inputs'!$B$8/2)^2)-(((597-43)*MAX('Inputs'!$B$33,'Inputs'!$B$29+'Inputs'!$B$31+'Inputs'!$B$32,'Inputs'!$B$30+'Inputs'!$B$31+'Inputs'!$B$32)/1000+'Inputs'!$B$21))/SQRT((((597-43)*MAX('Inputs'!$B$33,'Inputs'!$B$29+'Inputs'!$B$31+'Inputs'!$B$32,'Inputs'!$B$30+'Inputs'!$B$31+'Inputs'!$B$32)/1000+'Inputs'!$B$21))^2+('Inputs'!$B$8/2)^2)))-'Results'!B7*(0.5*((((597-43)*MAX('Inputs'!$B$33,'Inputs'!$B$29+'Inputs'!$B$31+'Inputs'!$B$32,'Inputs'!$B$30+'Inputs'!$B$31+'Inputs'!$B$32)/1000+'Inputs'!$B$21+'Inputs'!$B$9+'Inputs'!$B$10)+'Inputs'!$B$7)/SQRT((((597-43)*MAX('Inputs'!$B$33,'Inputs'!$B$29+'Inputs'!$B$31+'Inputs'!$B$32,'Inputs'!$B$30+'Inputs'!$B$31+'Inputs'!$B$32)/1000+'Inputs'!$B$21+'Inputs'!$B$9+'Inputs'!$B$10)+'Inputs'!$B$7)^2+('Inputs'!$B$6/2)^2)-(((597-43)*MAX('Inputs'!$B$33,'Inputs'!$B$29+'Inputs'!$B$31+'Inputs'!$B$32,'Inputs'!$B$30+'Inputs'!$B$31+'Inputs'!$B$32)/1000+'Inputs'!$B$21+'Inputs'!$B$9+'Inputs'!$B$10))/SQRT((((597-43)*MAX('Inputs'!$B$33,'Inputs'!$B$29+'Inputs'!$B$31+'Inputs'!$B$32,'Inputs'!$B$30+'Inputs'!$B$31+'Inputs'!$B$32)/1000+'Inputs'!$B$21+'Inputs'!$B$9+'Inputs'!$B$10))^2+('Inputs'!$B$6/2)^2))))*'Results'!$B$8),"")</x:f>
        <x:v>2.7199823304866797</x:v>
      </x:c>
      <x:c r="N597" t="n">
        <x:f>IF(AND(ISNUMBER('Results'!C7),ISNUMBER('Results'!B7),ISNUMBER('Results'!$B$8),ISNUMBER('Inputs'!$B$6),ISNUMBER('Inputs'!$B$7),ISNUMBER('Inputs'!$B$8),ISNUMBER('Inputs'!$B$9),ISNUMBER('Inputs'!$B$10),ISNUMBER('Inputs'!$B$21),ISNUMBER('Inputs'!$B$24),ISNUMBER('Inputs'!$B$28)),((('Results'!C7*(1-'Inputs'!$B$24)*(0.5*((((597-43)*MAX('Inputs'!$B$33,'Inputs'!$B$29+'Inputs'!$B$31+'Inputs'!$B$32,'Inputs'!$B$30+'Inputs'!$B$31+'Inputs'!$B$32)/1000+'Inputs'!$B$21)+'Inputs'!$B$9)/SQRT((((597-43)*MAX('Inputs'!$B$33,'Inputs'!$B$29+'Inputs'!$B$31+'Inputs'!$B$32,'Inputs'!$B$30+'Inputs'!$B$31+'Inputs'!$B$32)/1000+'Inputs'!$B$21)+'Inputs'!$B$9)^2+('Inputs'!$B$8/2)^2)-(((597-43)*MAX('Inputs'!$B$33,'Inputs'!$B$29+'Inputs'!$B$31+'Inputs'!$B$32,'Inputs'!$B$30+'Inputs'!$B$31+'Inputs'!$B$32)/1000+'Inputs'!$B$21))/SQRT((((597-43)*MAX('Inputs'!$B$33,'Inputs'!$B$29+'Inputs'!$B$31+'Inputs'!$B$32,'Inputs'!$B$30+'Inputs'!$B$31+'Inputs'!$B$32)/1000+'Inputs'!$B$21))^2+('Inputs'!$B$8/2)^2)))-'Results'!B7*(1+'Inputs'!$B$24)*(0.5*((((597-43)*MAX('Inputs'!$B$33,'Inputs'!$B$29+'Inputs'!$B$31+'Inputs'!$B$32,'Inputs'!$B$30+'Inputs'!$B$31+'Inputs'!$B$32)/1000+'Inputs'!$B$21+'Inputs'!$B$9+'Inputs'!$B$10)+'Inputs'!$B$7)/SQRT((((597-43)*MAX('Inputs'!$B$33,'Inputs'!$B$29+'Inputs'!$B$31+'Inputs'!$B$32,'Inputs'!$B$30+'Inputs'!$B$31+'Inputs'!$B$32)/1000+'Inputs'!$B$21+'Inputs'!$B$9+'Inputs'!$B$10)+'Inputs'!$B$7)^2+('Inputs'!$B$6/2)^2)-(((597-43)*MAX('Inputs'!$B$33,'Inputs'!$B$29+'Inputs'!$B$31+'Inputs'!$B$32,'Inputs'!$B$30+'Inputs'!$B$31+'Inputs'!$B$32)/1000+'Inputs'!$B$21+'Inputs'!$B$9+'Inputs'!$B$10))/SQRT((((597-43)*MAX('Inputs'!$B$33,'Inputs'!$B$29+'Inputs'!$B$31+'Inputs'!$B$32,'Inputs'!$B$30+'Inputs'!$B$31+'Inputs'!$B$32)/1000+'Inputs'!$B$21+'Inputs'!$B$9+'Inputs'!$B$10))^2+('Inputs'!$B$6/2)^2))))*'Results'!$B$8)-'Inputs'!$B$28*ABS((('Results'!C7*(1-'Inputs'!$B$24)*(0.5*((((597-43)*MAX('Inputs'!$B$33,'Inputs'!$B$29+'Inputs'!$B$31+'Inputs'!$B$32,'Inputs'!$B$30+'Inputs'!$B$31+'Inputs'!$B$32)/1000+'Inputs'!$B$21)+'Inputs'!$B$9)/SQRT((((597-43)*MAX('Inputs'!$B$33,'Inputs'!$B$29+'Inputs'!$B$31+'Inputs'!$B$32,'Inputs'!$B$30+'Inputs'!$B$31+'Inputs'!$B$32)/1000+'Inputs'!$B$21)+'Inputs'!$B$9)^2+('Inputs'!$B$8/2)^2)-(((597-43)*MAX('Inputs'!$B$33,'Inputs'!$B$29+'Inputs'!$B$31+'Inputs'!$B$32,'Inputs'!$B$30+'Inputs'!$B$31+'Inputs'!$B$32)/1000+'Inputs'!$B$21))/SQRT((((597-43)*MAX('Inputs'!$B$33,'Inputs'!$B$29+'Inputs'!$B$31+'Inputs'!$B$32,'Inputs'!$B$30+'Inputs'!$B$31+'Inputs'!$B$32)/1000+'Inputs'!$B$21))^2+('Inputs'!$B$8/2)^2)))-'Results'!B7*(1+'Inputs'!$B$24)*(0.5*((((597-43)*MAX('Inputs'!$B$33,'Inputs'!$B$29+'Inputs'!$B$31+'Inputs'!$B$32,'Inputs'!$B$30+'Inputs'!$B$31+'Inputs'!$B$32)/1000+'Inputs'!$B$21+'Inputs'!$B$9+'Inputs'!$B$10)+'Inputs'!$B$7)/SQRT((((597-43)*MAX('Inputs'!$B$33,'Inputs'!$B$29+'Inputs'!$B$31+'Inputs'!$B$32,'Inputs'!$B$30+'Inputs'!$B$31+'Inputs'!$B$32)/1000+'Inputs'!$B$21+'Inputs'!$B$9+'Inputs'!$B$10)+'Inputs'!$B$7)^2+('Inputs'!$B$6/2)^2)-(((597-43)*MAX('Inputs'!$B$33,'Inputs'!$B$29+'Inputs'!$B$31+'Inputs'!$B$32,'Inputs'!$B$30+'Inputs'!$B$31+'Inputs'!$B$32)/1000+'Inputs'!$B$21+'Inputs'!$B$9+'Inputs'!$B$10))/SQRT((((597-43)*MAX('Inputs'!$B$33,'Inputs'!$B$29+'Inputs'!$B$31+'Inputs'!$B$32,'Inputs'!$B$30+'Inputs'!$B$31+'Inputs'!$B$32)/1000+'Inputs'!$B$21+'Inputs'!$B$9+'Inputs'!$B$10))^2+('Inputs'!$B$6/2)^2))))*'Results'!$B$8))),"")</x:f>
        <x:v>2.3801802048322935</x:v>
      </x:c>
      <x:c r="O597" t="n">
        <x:f>IF(AND(ISNUMBER('Results'!C7),ISNUMBER('Results'!B7),ISNUMBER('Results'!$B$8),ISNUMBER('Inputs'!$B$6),ISNUMBER('Inputs'!$B$7),ISNUMBER('Inputs'!$B$8),ISNUMBER('Inputs'!$B$9),ISNUMBER('Inputs'!$B$10),ISNUMBER('Inputs'!$B$21),ISNUMBER('Inputs'!$B$24),ISNUMBER('Inputs'!$B$28)),((('Results'!C7*(1+'Inputs'!$B$24)*(0.5*((((597-43)*MAX('Inputs'!$B$33,'Inputs'!$B$29+'Inputs'!$B$31+'Inputs'!$B$32,'Inputs'!$B$30+'Inputs'!$B$31+'Inputs'!$B$32)/1000+'Inputs'!$B$21)+'Inputs'!$B$9)/SQRT((((597-43)*MAX('Inputs'!$B$33,'Inputs'!$B$29+'Inputs'!$B$31+'Inputs'!$B$32,'Inputs'!$B$30+'Inputs'!$B$31+'Inputs'!$B$32)/1000+'Inputs'!$B$21)+'Inputs'!$B$9)^2+('Inputs'!$B$8/2)^2)-(((597-43)*MAX('Inputs'!$B$33,'Inputs'!$B$29+'Inputs'!$B$31+'Inputs'!$B$32,'Inputs'!$B$30+'Inputs'!$B$31+'Inputs'!$B$32)/1000+'Inputs'!$B$21))/SQRT((((597-43)*MAX('Inputs'!$B$33,'Inputs'!$B$29+'Inputs'!$B$31+'Inputs'!$B$32,'Inputs'!$B$30+'Inputs'!$B$31+'Inputs'!$B$32)/1000+'Inputs'!$B$21))^2+('Inputs'!$B$8/2)^2)))-'Results'!B7*(1-'Inputs'!$B$24)*(0.5*((((597-43)*MAX('Inputs'!$B$33,'Inputs'!$B$29+'Inputs'!$B$31+'Inputs'!$B$32,'Inputs'!$B$30+'Inputs'!$B$31+'Inputs'!$B$32)/1000+'Inputs'!$B$21+'Inputs'!$B$9+'Inputs'!$B$10)+'Inputs'!$B$7)/SQRT((((597-43)*MAX('Inputs'!$B$33,'Inputs'!$B$29+'Inputs'!$B$31+'Inputs'!$B$32,'Inputs'!$B$30+'Inputs'!$B$31+'Inputs'!$B$32)/1000+'Inputs'!$B$21+'Inputs'!$B$9+'Inputs'!$B$10)+'Inputs'!$B$7)^2+('Inputs'!$B$6/2)^2)-(((597-43)*MAX('Inputs'!$B$33,'Inputs'!$B$29+'Inputs'!$B$31+'Inputs'!$B$32,'Inputs'!$B$30+'Inputs'!$B$31+'Inputs'!$B$32)/1000+'Inputs'!$B$21+'Inputs'!$B$9+'Inputs'!$B$10))/SQRT((((597-43)*MAX('Inputs'!$B$33,'Inputs'!$B$29+'Inputs'!$B$31+'Inputs'!$B$32,'Inputs'!$B$30+'Inputs'!$B$31+'Inputs'!$B$32)/1000+'Inputs'!$B$21+'Inputs'!$B$9+'Inputs'!$B$10))^2+('Inputs'!$B$6/2)^2))))*'Results'!$B$8)+'Inputs'!$B$28*ABS((('Results'!C7*(1+'Inputs'!$B$24)*(0.5*((((597-43)*MAX('Inputs'!$B$33,'Inputs'!$B$29+'Inputs'!$B$31+'Inputs'!$B$32,'Inputs'!$B$30+'Inputs'!$B$31+'Inputs'!$B$32)/1000+'Inputs'!$B$21)+'Inputs'!$B$9)/SQRT((((597-43)*MAX('Inputs'!$B$33,'Inputs'!$B$29+'Inputs'!$B$31+'Inputs'!$B$32,'Inputs'!$B$30+'Inputs'!$B$31+'Inputs'!$B$32)/1000+'Inputs'!$B$21)+'Inputs'!$B$9)^2+('Inputs'!$B$8/2)^2)-(((597-43)*MAX('Inputs'!$B$33,'Inputs'!$B$29+'Inputs'!$B$31+'Inputs'!$B$32,'Inputs'!$B$30+'Inputs'!$B$31+'Inputs'!$B$32)/1000+'Inputs'!$B$21))/SQRT((((597-43)*MAX('Inputs'!$B$33,'Inputs'!$B$29+'Inputs'!$B$31+'Inputs'!$B$32,'Inputs'!$B$30+'Inputs'!$B$31+'Inputs'!$B$32)/1000+'Inputs'!$B$21))^2+('Inputs'!$B$8/2)^2)))-'Results'!B7*(1-'Inputs'!$B$24)*(0.5*((((597-43)*MAX('Inputs'!$B$33,'Inputs'!$B$29+'Inputs'!$B$31+'Inputs'!$B$32,'Inputs'!$B$30+'Inputs'!$B$31+'Inputs'!$B$32)/1000+'Inputs'!$B$21+'Inputs'!$B$9+'Inputs'!$B$10)+'Inputs'!$B$7)/SQRT((((597-43)*MAX('Inputs'!$B$33,'Inputs'!$B$29+'Inputs'!$B$31+'Inputs'!$B$32,'Inputs'!$B$30+'Inputs'!$B$31+'Inputs'!$B$32)/1000+'Inputs'!$B$21+'Inputs'!$B$9+'Inputs'!$B$10)+'Inputs'!$B$7)^2+('Inputs'!$B$6/2)^2)-(((597-43)*MAX('Inputs'!$B$33,'Inputs'!$B$29+'Inputs'!$B$31+'Inputs'!$B$32,'Inputs'!$B$30+'Inputs'!$B$31+'Inputs'!$B$32)/1000+'Inputs'!$B$21+'Inputs'!$B$9+'Inputs'!$B$10))/SQRT((((597-43)*MAX('Inputs'!$B$33,'Inputs'!$B$29+'Inputs'!$B$31+'Inputs'!$B$32,'Inputs'!$B$30+'Inputs'!$B$31+'Inputs'!$B$32)/1000+'Inputs'!$B$21+'Inputs'!$B$9+'Inputs'!$B$10))^2+('Inputs'!$B$6/2)^2))))*'Results'!$B$8))),"")</x:f>
        <x:v>3.081237404470545</x:v>
      </x:c>
      <x:c r="P597" t="n">
        <x:f>IF(AND(MAX(J597,J596)&gt;0,J597&gt;J596+0.00000001),1,0)</x:f>
        <x:v>0</x:v>
      </x:c>
      <x:c r="Q597" t="n">
        <x:f>IF(AND(MAX(K597,K596)&gt;0,K597&gt;K596+0.00000001),1,0)</x:f>
        <x:v>0</x:v>
      </x:c>
      <x:c r="R597" t="n">
        <x:f>IF(AND(MAX(L597,L596)&gt;0,L597&gt;L596+0.00000001),1,0)</x:f>
        <x:v>0</x:v>
      </x:c>
      <x:c r="S597" t="n">
        <x:f>IF(AND(MAX(M597,M596)&gt;0,M597&gt;M596+0.00000001),1,0)</x:f>
        <x:v>0</x:v>
      </x:c>
      <x:c r="T597" t="n">
        <x:f>IF(AND(MAX(N597,N596)&gt;0,N597&gt;N596+0.00000001),1,0)</x:f>
        <x:v>0</x:v>
      </x:c>
      <x:c r="U597" t="n">
        <x:f>IF(AND(MAX(O597,O596)&gt;0,O597&gt;O596+0.00000001),1,0)</x:f>
        <x:v>0</x:v>
      </x:c>
    </x:row>
    <x:row r="598">
      <x:c r="J598" t="n">
        <x:f>IF(AND(ISNUMBER('Results'!B7),ISNUMBER('Results'!C7),ISNUMBER('Results'!$B$8),ISNUMBER('Inputs'!$B$6),ISNUMBER('Inputs'!$B$7),ISNUMBER('Inputs'!$B$8),ISNUMBER('Inputs'!$B$9),ISNUMBER('Inputs'!$B$10),ISNUMBER('Inputs'!$B$21),ISNUMBER('Inputs'!$B$24),ISNUMBER('Inputs'!$B$28)),(('Results'!B7*(0.5*((((598-43)*MAX('Inputs'!$B$33,'Inputs'!$B$29+'Inputs'!$B$31+'Inputs'!$B$32,'Inputs'!$B$30+'Inputs'!$B$31+'Inputs'!$B$32)/1000+'Inputs'!$B$21)+'Inputs'!$B$7)/SQRT((((598-43)*MAX('Inputs'!$B$33,'Inputs'!$B$29+'Inputs'!$B$31+'Inputs'!$B$32,'Inputs'!$B$30+'Inputs'!$B$31+'Inputs'!$B$32)/1000+'Inputs'!$B$21)+'Inputs'!$B$7)^2+('Inputs'!$B$6/2)^2)-(((598-43)*MAX('Inputs'!$B$33,'Inputs'!$B$29+'Inputs'!$B$31+'Inputs'!$B$32,'Inputs'!$B$30+'Inputs'!$B$31+'Inputs'!$B$32)/1000+'Inputs'!$B$21))/SQRT((((598-43)*MAX('Inputs'!$B$33,'Inputs'!$B$29+'Inputs'!$B$31+'Inputs'!$B$32,'Inputs'!$B$30+'Inputs'!$B$31+'Inputs'!$B$32)/1000+'Inputs'!$B$21))^2+('Inputs'!$B$6/2)^2)))-'Results'!C7*(0.5*((((598-43)*MAX('Inputs'!$B$33,'Inputs'!$B$29+'Inputs'!$B$31+'Inputs'!$B$32,'Inputs'!$B$30+'Inputs'!$B$31+'Inputs'!$B$32)/1000+'Inputs'!$B$21+'Inputs'!$B$7+'Inputs'!$B$10)+'Inputs'!$B$9)/SQRT((((598-43)*MAX('Inputs'!$B$33,'Inputs'!$B$29+'Inputs'!$B$31+'Inputs'!$B$32,'Inputs'!$B$30+'Inputs'!$B$31+'Inputs'!$B$32)/1000+'Inputs'!$B$21+'Inputs'!$B$7+'Inputs'!$B$10)+'Inputs'!$B$9)^2+('Inputs'!$B$8/2)^2)-(((598-43)*MAX('Inputs'!$B$33,'Inputs'!$B$29+'Inputs'!$B$31+'Inputs'!$B$32,'Inputs'!$B$30+'Inputs'!$B$31+'Inputs'!$B$32)/1000+'Inputs'!$B$21+'Inputs'!$B$7+'Inputs'!$B$10))/SQRT((((598-43)*MAX('Inputs'!$B$33,'Inputs'!$B$29+'Inputs'!$B$31+'Inputs'!$B$32,'Inputs'!$B$30+'Inputs'!$B$31+'Inputs'!$B$32)/1000+'Inputs'!$B$21+'Inputs'!$B$7+'Inputs'!$B$10))^2+('Inputs'!$B$8/2)^2))))*'Results'!$B$8),"")</x:f>
        <x:v>2.9189700731984956</x:v>
      </x:c>
      <x:c r="K598" t="n">
        <x:f>IF(AND(ISNUMBER('Results'!B7),ISNUMBER('Results'!C7),ISNUMBER('Results'!$B$8),ISNUMBER('Inputs'!$B$6),ISNUMBER('Inputs'!$B$7),ISNUMBER('Inputs'!$B$8),ISNUMBER('Inputs'!$B$9),ISNUMBER('Inputs'!$B$10),ISNUMBER('Inputs'!$B$21),ISNUMBER('Inputs'!$B$24),ISNUMBER('Inputs'!$B$28)),((('Results'!B7*(1-'Inputs'!$B$24)*(0.5*((((598-43)*MAX('Inputs'!$B$33,'Inputs'!$B$29+'Inputs'!$B$31+'Inputs'!$B$32,'Inputs'!$B$30+'Inputs'!$B$31+'Inputs'!$B$32)/1000+'Inputs'!$B$21)+'Inputs'!$B$7)/SQRT((((598-43)*MAX('Inputs'!$B$33,'Inputs'!$B$29+'Inputs'!$B$31+'Inputs'!$B$32,'Inputs'!$B$30+'Inputs'!$B$31+'Inputs'!$B$32)/1000+'Inputs'!$B$21)+'Inputs'!$B$7)^2+('Inputs'!$B$6/2)^2)-(((598-43)*MAX('Inputs'!$B$33,'Inputs'!$B$29+'Inputs'!$B$31+'Inputs'!$B$32,'Inputs'!$B$30+'Inputs'!$B$31+'Inputs'!$B$32)/1000+'Inputs'!$B$21))/SQRT((((598-43)*MAX('Inputs'!$B$33,'Inputs'!$B$29+'Inputs'!$B$31+'Inputs'!$B$32,'Inputs'!$B$30+'Inputs'!$B$31+'Inputs'!$B$32)/1000+'Inputs'!$B$21))^2+('Inputs'!$B$6/2)^2)))-'Results'!C7*(1+'Inputs'!$B$24)*(0.5*((((598-43)*MAX('Inputs'!$B$33,'Inputs'!$B$29+'Inputs'!$B$31+'Inputs'!$B$32,'Inputs'!$B$30+'Inputs'!$B$31+'Inputs'!$B$32)/1000+'Inputs'!$B$21+'Inputs'!$B$7+'Inputs'!$B$10)+'Inputs'!$B$9)/SQRT((((598-43)*MAX('Inputs'!$B$33,'Inputs'!$B$29+'Inputs'!$B$31+'Inputs'!$B$32,'Inputs'!$B$30+'Inputs'!$B$31+'Inputs'!$B$32)/1000+'Inputs'!$B$21+'Inputs'!$B$7+'Inputs'!$B$10)+'Inputs'!$B$9)^2+('Inputs'!$B$8/2)^2)-(((598-43)*MAX('Inputs'!$B$33,'Inputs'!$B$29+'Inputs'!$B$31+'Inputs'!$B$32,'Inputs'!$B$30+'Inputs'!$B$31+'Inputs'!$B$32)/1000+'Inputs'!$B$21+'Inputs'!$B$7+'Inputs'!$B$10))/SQRT((((598-43)*MAX('Inputs'!$B$33,'Inputs'!$B$29+'Inputs'!$B$31+'Inputs'!$B$32,'Inputs'!$B$30+'Inputs'!$B$31+'Inputs'!$B$32)/1000+'Inputs'!$B$21+'Inputs'!$B$7+'Inputs'!$B$10))^2+('Inputs'!$B$8/2)^2))))*'Results'!$B$8)-'Inputs'!$B$28*ABS((('Results'!B7*(1-'Inputs'!$B$24)*(0.5*((((598-43)*MAX('Inputs'!$B$33,'Inputs'!$B$29+'Inputs'!$B$31+'Inputs'!$B$32,'Inputs'!$B$30+'Inputs'!$B$31+'Inputs'!$B$32)/1000+'Inputs'!$B$21)+'Inputs'!$B$7)/SQRT((((598-43)*MAX('Inputs'!$B$33,'Inputs'!$B$29+'Inputs'!$B$31+'Inputs'!$B$32,'Inputs'!$B$30+'Inputs'!$B$31+'Inputs'!$B$32)/1000+'Inputs'!$B$21)+'Inputs'!$B$7)^2+('Inputs'!$B$6/2)^2)-(((598-43)*MAX('Inputs'!$B$33,'Inputs'!$B$29+'Inputs'!$B$31+'Inputs'!$B$32,'Inputs'!$B$30+'Inputs'!$B$31+'Inputs'!$B$32)/1000+'Inputs'!$B$21))/SQRT((((598-43)*MAX('Inputs'!$B$33,'Inputs'!$B$29+'Inputs'!$B$31+'Inputs'!$B$32,'Inputs'!$B$30+'Inputs'!$B$31+'Inputs'!$B$32)/1000+'Inputs'!$B$21))^2+('Inputs'!$B$6/2)^2)))-'Results'!C7*(1+'Inputs'!$B$24)*(0.5*((((598-43)*MAX('Inputs'!$B$33,'Inputs'!$B$29+'Inputs'!$B$31+'Inputs'!$B$32,'Inputs'!$B$30+'Inputs'!$B$31+'Inputs'!$B$32)/1000+'Inputs'!$B$21+'Inputs'!$B$7+'Inputs'!$B$10)+'Inputs'!$B$9)/SQRT((((598-43)*MAX('Inputs'!$B$33,'Inputs'!$B$29+'Inputs'!$B$31+'Inputs'!$B$32,'Inputs'!$B$30+'Inputs'!$B$31+'Inputs'!$B$32)/1000+'Inputs'!$B$21+'Inputs'!$B$7+'Inputs'!$B$10)+'Inputs'!$B$9)^2+('Inputs'!$B$8/2)^2)-(((598-43)*MAX('Inputs'!$B$33,'Inputs'!$B$29+'Inputs'!$B$31+'Inputs'!$B$32,'Inputs'!$B$30+'Inputs'!$B$31+'Inputs'!$B$32)/1000+'Inputs'!$B$21+'Inputs'!$B$7+'Inputs'!$B$10))/SQRT((((598-43)*MAX('Inputs'!$B$33,'Inputs'!$B$29+'Inputs'!$B$31+'Inputs'!$B$32,'Inputs'!$B$30+'Inputs'!$B$31+'Inputs'!$B$32)/1000+'Inputs'!$B$21+'Inputs'!$B$7+'Inputs'!$B$10))^2+('Inputs'!$B$8/2)^2))))*'Results'!$B$8))),"")</x:f>
        <x:v>2.56912014791723</x:v>
      </x:c>
      <x:c r="L598" t="n">
        <x:f>IF(AND(ISNUMBER('Results'!B7),ISNUMBER('Results'!C7),ISNUMBER('Results'!$B$8),ISNUMBER('Inputs'!$B$6),ISNUMBER('Inputs'!$B$7),ISNUMBER('Inputs'!$B$8),ISNUMBER('Inputs'!$B$9),ISNUMBER('Inputs'!$B$10),ISNUMBER('Inputs'!$B$21),ISNUMBER('Inputs'!$B$24),ISNUMBER('Inputs'!$B$28)),((('Results'!B7*(1+'Inputs'!$B$24)*(0.5*((((598-43)*MAX('Inputs'!$B$33,'Inputs'!$B$29+'Inputs'!$B$31+'Inputs'!$B$32,'Inputs'!$B$30+'Inputs'!$B$31+'Inputs'!$B$32)/1000+'Inputs'!$B$21)+'Inputs'!$B$7)/SQRT((((598-43)*MAX('Inputs'!$B$33,'Inputs'!$B$29+'Inputs'!$B$31+'Inputs'!$B$32,'Inputs'!$B$30+'Inputs'!$B$31+'Inputs'!$B$32)/1000+'Inputs'!$B$21)+'Inputs'!$B$7)^2+('Inputs'!$B$6/2)^2)-(((598-43)*MAX('Inputs'!$B$33,'Inputs'!$B$29+'Inputs'!$B$31+'Inputs'!$B$32,'Inputs'!$B$30+'Inputs'!$B$31+'Inputs'!$B$32)/1000+'Inputs'!$B$21))/SQRT((((598-43)*MAX('Inputs'!$B$33,'Inputs'!$B$29+'Inputs'!$B$31+'Inputs'!$B$32,'Inputs'!$B$30+'Inputs'!$B$31+'Inputs'!$B$32)/1000+'Inputs'!$B$21))^2+('Inputs'!$B$6/2)^2)))-'Results'!C7*(1-'Inputs'!$B$24)*(0.5*((((598-43)*MAX('Inputs'!$B$33,'Inputs'!$B$29+'Inputs'!$B$31+'Inputs'!$B$32,'Inputs'!$B$30+'Inputs'!$B$31+'Inputs'!$B$32)/1000+'Inputs'!$B$21+'Inputs'!$B$7+'Inputs'!$B$10)+'Inputs'!$B$9)/SQRT((((598-43)*MAX('Inputs'!$B$33,'Inputs'!$B$29+'Inputs'!$B$31+'Inputs'!$B$32,'Inputs'!$B$30+'Inputs'!$B$31+'Inputs'!$B$32)/1000+'Inputs'!$B$21+'Inputs'!$B$7+'Inputs'!$B$10)+'Inputs'!$B$9)^2+('Inputs'!$B$8/2)^2)-(((598-43)*MAX('Inputs'!$B$33,'Inputs'!$B$29+'Inputs'!$B$31+'Inputs'!$B$32,'Inputs'!$B$30+'Inputs'!$B$31+'Inputs'!$B$32)/1000+'Inputs'!$B$21+'Inputs'!$B$7+'Inputs'!$B$10))/SQRT((((598-43)*MAX('Inputs'!$B$33,'Inputs'!$B$29+'Inputs'!$B$31+'Inputs'!$B$32,'Inputs'!$B$30+'Inputs'!$B$31+'Inputs'!$B$32)/1000+'Inputs'!$B$21+'Inputs'!$B$7+'Inputs'!$B$10))^2+('Inputs'!$B$8/2)^2))))*'Results'!$B$8)+'Inputs'!$B$28*ABS((('Results'!B7*(1+'Inputs'!$B$24)*(0.5*((((598-43)*MAX('Inputs'!$B$33,'Inputs'!$B$29+'Inputs'!$B$31+'Inputs'!$B$32,'Inputs'!$B$30+'Inputs'!$B$31+'Inputs'!$B$32)/1000+'Inputs'!$B$21)+'Inputs'!$B$7)/SQRT((((598-43)*MAX('Inputs'!$B$33,'Inputs'!$B$29+'Inputs'!$B$31+'Inputs'!$B$32,'Inputs'!$B$30+'Inputs'!$B$31+'Inputs'!$B$32)/1000+'Inputs'!$B$21)+'Inputs'!$B$7)^2+('Inputs'!$B$6/2)^2)-(((598-43)*MAX('Inputs'!$B$33,'Inputs'!$B$29+'Inputs'!$B$31+'Inputs'!$B$32,'Inputs'!$B$30+'Inputs'!$B$31+'Inputs'!$B$32)/1000+'Inputs'!$B$21))/SQRT((((598-43)*MAX('Inputs'!$B$33,'Inputs'!$B$29+'Inputs'!$B$31+'Inputs'!$B$32,'Inputs'!$B$30+'Inputs'!$B$31+'Inputs'!$B$32)/1000+'Inputs'!$B$21))^2+('Inputs'!$B$6/2)^2)))-'Results'!C7*(1-'Inputs'!$B$24)*(0.5*((((598-43)*MAX('Inputs'!$B$33,'Inputs'!$B$29+'Inputs'!$B$31+'Inputs'!$B$32,'Inputs'!$B$30+'Inputs'!$B$31+'Inputs'!$B$32)/1000+'Inputs'!$B$21+'Inputs'!$B$7+'Inputs'!$B$10)+'Inputs'!$B$9)/SQRT((((598-43)*MAX('Inputs'!$B$33,'Inputs'!$B$29+'Inputs'!$B$31+'Inputs'!$B$32,'Inputs'!$B$30+'Inputs'!$B$31+'Inputs'!$B$32)/1000+'Inputs'!$B$21+'Inputs'!$B$7+'Inputs'!$B$10)+'Inputs'!$B$9)^2+('Inputs'!$B$8/2)^2)-(((598-43)*MAX('Inputs'!$B$33,'Inputs'!$B$29+'Inputs'!$B$31+'Inputs'!$B$32,'Inputs'!$B$30+'Inputs'!$B$31+'Inputs'!$B$32)/1000+'Inputs'!$B$21+'Inputs'!$B$7+'Inputs'!$B$10))/SQRT((((598-43)*MAX('Inputs'!$B$33,'Inputs'!$B$29+'Inputs'!$B$31+'Inputs'!$B$32,'Inputs'!$B$30+'Inputs'!$B$31+'Inputs'!$B$32)/1000+'Inputs'!$B$21+'Inputs'!$B$7+'Inputs'!$B$10))^2+('Inputs'!$B$8/2)^2))))*'Results'!$B$8))),"")</x:f>
        <x:v>3.2902833060188494</x:v>
      </x:c>
      <x:c r="M598" t="n">
        <x:f>IF(AND(ISNUMBER('Results'!C7),ISNUMBER('Results'!B7),ISNUMBER('Results'!$B$8),ISNUMBER('Inputs'!$B$6),ISNUMBER('Inputs'!$B$7),ISNUMBER('Inputs'!$B$8),ISNUMBER('Inputs'!$B$9),ISNUMBER('Inputs'!$B$10),ISNUMBER('Inputs'!$B$21),ISNUMBER('Inputs'!$B$24),ISNUMBER('Inputs'!$B$28)),(('Results'!C7*(0.5*((((598-43)*MAX('Inputs'!$B$33,'Inputs'!$B$29+'Inputs'!$B$31+'Inputs'!$B$32,'Inputs'!$B$30+'Inputs'!$B$31+'Inputs'!$B$32)/1000+'Inputs'!$B$21)+'Inputs'!$B$9)/SQRT((((598-43)*MAX('Inputs'!$B$33,'Inputs'!$B$29+'Inputs'!$B$31+'Inputs'!$B$32,'Inputs'!$B$30+'Inputs'!$B$31+'Inputs'!$B$32)/1000+'Inputs'!$B$21)+'Inputs'!$B$9)^2+('Inputs'!$B$8/2)^2)-(((598-43)*MAX('Inputs'!$B$33,'Inputs'!$B$29+'Inputs'!$B$31+'Inputs'!$B$32,'Inputs'!$B$30+'Inputs'!$B$31+'Inputs'!$B$32)/1000+'Inputs'!$B$21))/SQRT((((598-43)*MAX('Inputs'!$B$33,'Inputs'!$B$29+'Inputs'!$B$31+'Inputs'!$B$32,'Inputs'!$B$30+'Inputs'!$B$31+'Inputs'!$B$32)/1000+'Inputs'!$B$21))^2+('Inputs'!$B$8/2)^2)))-'Results'!B7*(0.5*((((598-43)*MAX('Inputs'!$B$33,'Inputs'!$B$29+'Inputs'!$B$31+'Inputs'!$B$32,'Inputs'!$B$30+'Inputs'!$B$31+'Inputs'!$B$32)/1000+'Inputs'!$B$21+'Inputs'!$B$9+'Inputs'!$B$10)+'Inputs'!$B$7)/SQRT((((598-43)*MAX('Inputs'!$B$33,'Inputs'!$B$29+'Inputs'!$B$31+'Inputs'!$B$32,'Inputs'!$B$30+'Inputs'!$B$31+'Inputs'!$B$32)/1000+'Inputs'!$B$21+'Inputs'!$B$9+'Inputs'!$B$10)+'Inputs'!$B$7)^2+('Inputs'!$B$6/2)^2)-(((598-43)*MAX('Inputs'!$B$33,'Inputs'!$B$29+'Inputs'!$B$31+'Inputs'!$B$32,'Inputs'!$B$30+'Inputs'!$B$31+'Inputs'!$B$32)/1000+'Inputs'!$B$21+'Inputs'!$B$9+'Inputs'!$B$10))/SQRT((((598-43)*MAX('Inputs'!$B$33,'Inputs'!$B$29+'Inputs'!$B$31+'Inputs'!$B$32,'Inputs'!$B$30+'Inputs'!$B$31+'Inputs'!$B$32)/1000+'Inputs'!$B$21+'Inputs'!$B$9+'Inputs'!$B$10))^2+('Inputs'!$B$6/2)^2))))*'Results'!$B$8),"")</x:f>
        <x:v>2.7027425725634586</x:v>
      </x:c>
      <x:c r="N598" t="n">
        <x:f>IF(AND(ISNUMBER('Results'!C7),ISNUMBER('Results'!B7),ISNUMBER('Results'!$B$8),ISNUMBER('Inputs'!$B$6),ISNUMBER('Inputs'!$B$7),ISNUMBER('Inputs'!$B$8),ISNUMBER('Inputs'!$B$9),ISNUMBER('Inputs'!$B$10),ISNUMBER('Inputs'!$B$21),ISNUMBER('Inputs'!$B$24),ISNUMBER('Inputs'!$B$28)),((('Results'!C7*(1-'Inputs'!$B$24)*(0.5*((((598-43)*MAX('Inputs'!$B$33,'Inputs'!$B$29+'Inputs'!$B$31+'Inputs'!$B$32,'Inputs'!$B$30+'Inputs'!$B$31+'Inputs'!$B$32)/1000+'Inputs'!$B$21)+'Inputs'!$B$9)/SQRT((((598-43)*MAX('Inputs'!$B$33,'Inputs'!$B$29+'Inputs'!$B$31+'Inputs'!$B$32,'Inputs'!$B$30+'Inputs'!$B$31+'Inputs'!$B$32)/1000+'Inputs'!$B$21)+'Inputs'!$B$9)^2+('Inputs'!$B$8/2)^2)-(((598-43)*MAX('Inputs'!$B$33,'Inputs'!$B$29+'Inputs'!$B$31+'Inputs'!$B$32,'Inputs'!$B$30+'Inputs'!$B$31+'Inputs'!$B$32)/1000+'Inputs'!$B$21))/SQRT((((598-43)*MAX('Inputs'!$B$33,'Inputs'!$B$29+'Inputs'!$B$31+'Inputs'!$B$32,'Inputs'!$B$30+'Inputs'!$B$31+'Inputs'!$B$32)/1000+'Inputs'!$B$21))^2+('Inputs'!$B$8/2)^2)))-'Results'!B7*(1+'Inputs'!$B$24)*(0.5*((((598-43)*MAX('Inputs'!$B$33,'Inputs'!$B$29+'Inputs'!$B$31+'Inputs'!$B$32,'Inputs'!$B$30+'Inputs'!$B$31+'Inputs'!$B$32)/1000+'Inputs'!$B$21+'Inputs'!$B$9+'Inputs'!$B$10)+'Inputs'!$B$7)/SQRT((((598-43)*MAX('Inputs'!$B$33,'Inputs'!$B$29+'Inputs'!$B$31+'Inputs'!$B$32,'Inputs'!$B$30+'Inputs'!$B$31+'Inputs'!$B$32)/1000+'Inputs'!$B$21+'Inputs'!$B$9+'Inputs'!$B$10)+'Inputs'!$B$7)^2+('Inputs'!$B$6/2)^2)-(((598-43)*MAX('Inputs'!$B$33,'Inputs'!$B$29+'Inputs'!$B$31+'Inputs'!$B$32,'Inputs'!$B$30+'Inputs'!$B$31+'Inputs'!$B$32)/1000+'Inputs'!$B$21+'Inputs'!$B$9+'Inputs'!$B$10))/SQRT((((598-43)*MAX('Inputs'!$B$33,'Inputs'!$B$29+'Inputs'!$B$31+'Inputs'!$B$32,'Inputs'!$B$30+'Inputs'!$B$31+'Inputs'!$B$32)/1000+'Inputs'!$B$21+'Inputs'!$B$9+'Inputs'!$B$10))^2+('Inputs'!$B$6/2)^2))))*'Results'!$B$8)-'Inputs'!$B$28*ABS((('Results'!C7*(1-'Inputs'!$B$24)*(0.5*((((598-43)*MAX('Inputs'!$B$33,'Inputs'!$B$29+'Inputs'!$B$31+'Inputs'!$B$32,'Inputs'!$B$30+'Inputs'!$B$31+'Inputs'!$B$32)/1000+'Inputs'!$B$21)+'Inputs'!$B$9)/SQRT((((598-43)*MAX('Inputs'!$B$33,'Inputs'!$B$29+'Inputs'!$B$31+'Inputs'!$B$32,'Inputs'!$B$30+'Inputs'!$B$31+'Inputs'!$B$32)/1000+'Inputs'!$B$21)+'Inputs'!$B$9)^2+('Inputs'!$B$8/2)^2)-(((598-43)*MAX('Inputs'!$B$33,'Inputs'!$B$29+'Inputs'!$B$31+'Inputs'!$B$32,'Inputs'!$B$30+'Inputs'!$B$31+'Inputs'!$B$32)/1000+'Inputs'!$B$21))/SQRT((((598-43)*MAX('Inputs'!$B$33,'Inputs'!$B$29+'Inputs'!$B$31+'Inputs'!$B$32,'Inputs'!$B$30+'Inputs'!$B$31+'Inputs'!$B$32)/1000+'Inputs'!$B$21))^2+('Inputs'!$B$8/2)^2)))-'Results'!B7*(1+'Inputs'!$B$24)*(0.5*((((598-43)*MAX('Inputs'!$B$33,'Inputs'!$B$29+'Inputs'!$B$31+'Inputs'!$B$32,'Inputs'!$B$30+'Inputs'!$B$31+'Inputs'!$B$32)/1000+'Inputs'!$B$21+'Inputs'!$B$9+'Inputs'!$B$10)+'Inputs'!$B$7)/SQRT((((598-43)*MAX('Inputs'!$B$33,'Inputs'!$B$29+'Inputs'!$B$31+'Inputs'!$B$32,'Inputs'!$B$30+'Inputs'!$B$31+'Inputs'!$B$32)/1000+'Inputs'!$B$21+'Inputs'!$B$9+'Inputs'!$B$10)+'Inputs'!$B$7)^2+('Inputs'!$B$6/2)^2)-(((598-43)*MAX('Inputs'!$B$33,'Inputs'!$B$29+'Inputs'!$B$31+'Inputs'!$B$32,'Inputs'!$B$30+'Inputs'!$B$31+'Inputs'!$B$32)/1000+'Inputs'!$B$21+'Inputs'!$B$9+'Inputs'!$B$10))/SQRT((((598-43)*MAX('Inputs'!$B$33,'Inputs'!$B$29+'Inputs'!$B$31+'Inputs'!$B$32,'Inputs'!$B$30+'Inputs'!$B$31+'Inputs'!$B$32)/1000+'Inputs'!$B$21+'Inputs'!$B$9+'Inputs'!$B$10))^2+('Inputs'!$B$6/2)^2))))*'Results'!$B$8))),"")</x:f>
        <x:v>2.364782936862122</x:v>
      </x:c>
      <x:c r="O598" t="n">
        <x:f>IF(AND(ISNUMBER('Results'!C7),ISNUMBER('Results'!B7),ISNUMBER('Results'!$B$8),ISNUMBER('Inputs'!$B$6),ISNUMBER('Inputs'!$B$7),ISNUMBER('Inputs'!$B$8),ISNUMBER('Inputs'!$B$9),ISNUMBER('Inputs'!$B$10),ISNUMBER('Inputs'!$B$21),ISNUMBER('Inputs'!$B$24),ISNUMBER('Inputs'!$B$28)),((('Results'!C7*(1+'Inputs'!$B$24)*(0.5*((((598-43)*MAX('Inputs'!$B$33,'Inputs'!$B$29+'Inputs'!$B$31+'Inputs'!$B$32,'Inputs'!$B$30+'Inputs'!$B$31+'Inputs'!$B$32)/1000+'Inputs'!$B$21)+'Inputs'!$B$9)/SQRT((((598-43)*MAX('Inputs'!$B$33,'Inputs'!$B$29+'Inputs'!$B$31+'Inputs'!$B$32,'Inputs'!$B$30+'Inputs'!$B$31+'Inputs'!$B$32)/1000+'Inputs'!$B$21)+'Inputs'!$B$9)^2+('Inputs'!$B$8/2)^2)-(((598-43)*MAX('Inputs'!$B$33,'Inputs'!$B$29+'Inputs'!$B$31+'Inputs'!$B$32,'Inputs'!$B$30+'Inputs'!$B$31+'Inputs'!$B$32)/1000+'Inputs'!$B$21))/SQRT((((598-43)*MAX('Inputs'!$B$33,'Inputs'!$B$29+'Inputs'!$B$31+'Inputs'!$B$32,'Inputs'!$B$30+'Inputs'!$B$31+'Inputs'!$B$32)/1000+'Inputs'!$B$21))^2+('Inputs'!$B$8/2)^2)))-'Results'!B7*(1-'Inputs'!$B$24)*(0.5*((((598-43)*MAX('Inputs'!$B$33,'Inputs'!$B$29+'Inputs'!$B$31+'Inputs'!$B$32,'Inputs'!$B$30+'Inputs'!$B$31+'Inputs'!$B$32)/1000+'Inputs'!$B$21+'Inputs'!$B$9+'Inputs'!$B$10)+'Inputs'!$B$7)/SQRT((((598-43)*MAX('Inputs'!$B$33,'Inputs'!$B$29+'Inputs'!$B$31+'Inputs'!$B$32,'Inputs'!$B$30+'Inputs'!$B$31+'Inputs'!$B$32)/1000+'Inputs'!$B$21+'Inputs'!$B$9+'Inputs'!$B$10)+'Inputs'!$B$7)^2+('Inputs'!$B$6/2)^2)-(((598-43)*MAX('Inputs'!$B$33,'Inputs'!$B$29+'Inputs'!$B$31+'Inputs'!$B$32,'Inputs'!$B$30+'Inputs'!$B$31+'Inputs'!$B$32)/1000+'Inputs'!$B$21+'Inputs'!$B$9+'Inputs'!$B$10))/SQRT((((598-43)*MAX('Inputs'!$B$33,'Inputs'!$B$29+'Inputs'!$B$31+'Inputs'!$B$32,'Inputs'!$B$30+'Inputs'!$B$31+'Inputs'!$B$32)/1000+'Inputs'!$B$21+'Inputs'!$B$9+'Inputs'!$B$10))^2+('Inputs'!$B$6/2)^2))))*'Results'!$B$8)+'Inputs'!$B$28*ABS((('Results'!C7*(1+'Inputs'!$B$24)*(0.5*((((598-43)*MAX('Inputs'!$B$33,'Inputs'!$B$29+'Inputs'!$B$31+'Inputs'!$B$32,'Inputs'!$B$30+'Inputs'!$B$31+'Inputs'!$B$32)/1000+'Inputs'!$B$21)+'Inputs'!$B$9)/SQRT((((598-43)*MAX('Inputs'!$B$33,'Inputs'!$B$29+'Inputs'!$B$31+'Inputs'!$B$32,'Inputs'!$B$30+'Inputs'!$B$31+'Inputs'!$B$32)/1000+'Inputs'!$B$21)+'Inputs'!$B$9)^2+('Inputs'!$B$8/2)^2)-(((598-43)*MAX('Inputs'!$B$33,'Inputs'!$B$29+'Inputs'!$B$31+'Inputs'!$B$32,'Inputs'!$B$30+'Inputs'!$B$31+'Inputs'!$B$32)/1000+'Inputs'!$B$21))/SQRT((((598-43)*MAX('Inputs'!$B$33,'Inputs'!$B$29+'Inputs'!$B$31+'Inputs'!$B$32,'Inputs'!$B$30+'Inputs'!$B$31+'Inputs'!$B$32)/1000+'Inputs'!$B$21))^2+('Inputs'!$B$8/2)^2)))-'Results'!B7*(1-'Inputs'!$B$24)*(0.5*((((598-43)*MAX('Inputs'!$B$33,'Inputs'!$B$29+'Inputs'!$B$31+'Inputs'!$B$32,'Inputs'!$B$30+'Inputs'!$B$31+'Inputs'!$B$32)/1000+'Inputs'!$B$21+'Inputs'!$B$9+'Inputs'!$B$10)+'Inputs'!$B$7)/SQRT((((598-43)*MAX('Inputs'!$B$33,'Inputs'!$B$29+'Inputs'!$B$31+'Inputs'!$B$32,'Inputs'!$B$30+'Inputs'!$B$31+'Inputs'!$B$32)/1000+'Inputs'!$B$21+'Inputs'!$B$9+'Inputs'!$B$10)+'Inputs'!$B$7)^2+('Inputs'!$B$6/2)^2)-(((598-43)*MAX('Inputs'!$B$33,'Inputs'!$B$29+'Inputs'!$B$31+'Inputs'!$B$32,'Inputs'!$B$30+'Inputs'!$B$31+'Inputs'!$B$32)/1000+'Inputs'!$B$21+'Inputs'!$B$9+'Inputs'!$B$10))/SQRT((((598-43)*MAX('Inputs'!$B$33,'Inputs'!$B$29+'Inputs'!$B$31+'Inputs'!$B$32,'Inputs'!$B$30+'Inputs'!$B$31+'Inputs'!$B$32)/1000+'Inputs'!$B$21+'Inputs'!$B$9+'Inputs'!$B$10))^2+('Inputs'!$B$6/2)^2))))*'Results'!$B$8))),"")</x:f>
        <x:v>3.0620519458514455</x:v>
      </x:c>
      <x:c r="P598" t="n">
        <x:f>IF(AND(MAX(J598,J597)&gt;0,J598&gt;J597+0.00000001),1,0)</x:f>
        <x:v>0</x:v>
      </x:c>
      <x:c r="Q598" t="n">
        <x:f>IF(AND(MAX(K598,K597)&gt;0,K598&gt;K597+0.00000001),1,0)</x:f>
        <x:v>0</x:v>
      </x:c>
      <x:c r="R598" t="n">
        <x:f>IF(AND(MAX(L598,L597)&gt;0,L598&gt;L597+0.00000001),1,0)</x:f>
        <x:v>0</x:v>
      </x:c>
      <x:c r="S598" t="n">
        <x:f>IF(AND(MAX(M598,M597)&gt;0,M598&gt;M597+0.00000001),1,0)</x:f>
        <x:v>0</x:v>
      </x:c>
      <x:c r="T598" t="n">
        <x:f>IF(AND(MAX(N598,N597)&gt;0,N598&gt;N597+0.00000001),1,0)</x:f>
        <x:v>0</x:v>
      </x:c>
      <x:c r="U598" t="n">
        <x:f>IF(AND(MAX(O598,O597)&gt;0,O598&gt;O597+0.00000001),1,0)</x:f>
        <x:v>0</x:v>
      </x:c>
    </x:row>
    <x:row r="599">
      <x:c r="J599" t="n">
        <x:f>IF(AND(ISNUMBER('Results'!B7),ISNUMBER('Results'!C7),ISNUMBER('Results'!$B$8),ISNUMBER('Inputs'!$B$6),ISNUMBER('Inputs'!$B$7),ISNUMBER('Inputs'!$B$8),ISNUMBER('Inputs'!$B$9),ISNUMBER('Inputs'!$B$10),ISNUMBER('Inputs'!$B$21),ISNUMBER('Inputs'!$B$24),ISNUMBER('Inputs'!$B$28)),(('Results'!B7*(0.5*((((599-43)*MAX('Inputs'!$B$33,'Inputs'!$B$29+'Inputs'!$B$31+'Inputs'!$B$32,'Inputs'!$B$30+'Inputs'!$B$31+'Inputs'!$B$32)/1000+'Inputs'!$B$21)+'Inputs'!$B$7)/SQRT((((599-43)*MAX('Inputs'!$B$33,'Inputs'!$B$29+'Inputs'!$B$31+'Inputs'!$B$32,'Inputs'!$B$30+'Inputs'!$B$31+'Inputs'!$B$32)/1000+'Inputs'!$B$21)+'Inputs'!$B$7)^2+('Inputs'!$B$6/2)^2)-(((599-43)*MAX('Inputs'!$B$33,'Inputs'!$B$29+'Inputs'!$B$31+'Inputs'!$B$32,'Inputs'!$B$30+'Inputs'!$B$31+'Inputs'!$B$32)/1000+'Inputs'!$B$21))/SQRT((((599-43)*MAX('Inputs'!$B$33,'Inputs'!$B$29+'Inputs'!$B$31+'Inputs'!$B$32,'Inputs'!$B$30+'Inputs'!$B$31+'Inputs'!$B$32)/1000+'Inputs'!$B$21))^2+('Inputs'!$B$6/2)^2)))-'Results'!C7*(0.5*((((599-43)*MAX('Inputs'!$B$33,'Inputs'!$B$29+'Inputs'!$B$31+'Inputs'!$B$32,'Inputs'!$B$30+'Inputs'!$B$31+'Inputs'!$B$32)/1000+'Inputs'!$B$21+'Inputs'!$B$7+'Inputs'!$B$10)+'Inputs'!$B$9)/SQRT((((599-43)*MAX('Inputs'!$B$33,'Inputs'!$B$29+'Inputs'!$B$31+'Inputs'!$B$32,'Inputs'!$B$30+'Inputs'!$B$31+'Inputs'!$B$32)/1000+'Inputs'!$B$21+'Inputs'!$B$7+'Inputs'!$B$10)+'Inputs'!$B$9)^2+('Inputs'!$B$8/2)^2)-(((599-43)*MAX('Inputs'!$B$33,'Inputs'!$B$29+'Inputs'!$B$31+'Inputs'!$B$32,'Inputs'!$B$30+'Inputs'!$B$31+'Inputs'!$B$32)/1000+'Inputs'!$B$21+'Inputs'!$B$7+'Inputs'!$B$10))/SQRT((((599-43)*MAX('Inputs'!$B$33,'Inputs'!$B$29+'Inputs'!$B$31+'Inputs'!$B$32,'Inputs'!$B$30+'Inputs'!$B$31+'Inputs'!$B$32)/1000+'Inputs'!$B$21+'Inputs'!$B$7+'Inputs'!$B$10))^2+('Inputs'!$B$8/2)^2))))*'Results'!$B$8),"")</x:f>
        <x:v>2.900826542838155</x:v>
      </x:c>
      <x:c r="K599" t="n">
        <x:f>IF(AND(ISNUMBER('Results'!B7),ISNUMBER('Results'!C7),ISNUMBER('Results'!$B$8),ISNUMBER('Inputs'!$B$6),ISNUMBER('Inputs'!$B$7),ISNUMBER('Inputs'!$B$8),ISNUMBER('Inputs'!$B$9),ISNUMBER('Inputs'!$B$10),ISNUMBER('Inputs'!$B$21),ISNUMBER('Inputs'!$B$24),ISNUMBER('Inputs'!$B$28)),((('Results'!B7*(1-'Inputs'!$B$24)*(0.5*((((599-43)*MAX('Inputs'!$B$33,'Inputs'!$B$29+'Inputs'!$B$31+'Inputs'!$B$32,'Inputs'!$B$30+'Inputs'!$B$31+'Inputs'!$B$32)/1000+'Inputs'!$B$21)+'Inputs'!$B$7)/SQRT((((599-43)*MAX('Inputs'!$B$33,'Inputs'!$B$29+'Inputs'!$B$31+'Inputs'!$B$32,'Inputs'!$B$30+'Inputs'!$B$31+'Inputs'!$B$32)/1000+'Inputs'!$B$21)+'Inputs'!$B$7)^2+('Inputs'!$B$6/2)^2)-(((599-43)*MAX('Inputs'!$B$33,'Inputs'!$B$29+'Inputs'!$B$31+'Inputs'!$B$32,'Inputs'!$B$30+'Inputs'!$B$31+'Inputs'!$B$32)/1000+'Inputs'!$B$21))/SQRT((((599-43)*MAX('Inputs'!$B$33,'Inputs'!$B$29+'Inputs'!$B$31+'Inputs'!$B$32,'Inputs'!$B$30+'Inputs'!$B$31+'Inputs'!$B$32)/1000+'Inputs'!$B$21))^2+('Inputs'!$B$6/2)^2)))-'Results'!C7*(1+'Inputs'!$B$24)*(0.5*((((599-43)*MAX('Inputs'!$B$33,'Inputs'!$B$29+'Inputs'!$B$31+'Inputs'!$B$32,'Inputs'!$B$30+'Inputs'!$B$31+'Inputs'!$B$32)/1000+'Inputs'!$B$21+'Inputs'!$B$7+'Inputs'!$B$10)+'Inputs'!$B$9)/SQRT((((599-43)*MAX('Inputs'!$B$33,'Inputs'!$B$29+'Inputs'!$B$31+'Inputs'!$B$32,'Inputs'!$B$30+'Inputs'!$B$31+'Inputs'!$B$32)/1000+'Inputs'!$B$21+'Inputs'!$B$7+'Inputs'!$B$10)+'Inputs'!$B$9)^2+('Inputs'!$B$8/2)^2)-(((599-43)*MAX('Inputs'!$B$33,'Inputs'!$B$29+'Inputs'!$B$31+'Inputs'!$B$32,'Inputs'!$B$30+'Inputs'!$B$31+'Inputs'!$B$32)/1000+'Inputs'!$B$21+'Inputs'!$B$7+'Inputs'!$B$10))/SQRT((((599-43)*MAX('Inputs'!$B$33,'Inputs'!$B$29+'Inputs'!$B$31+'Inputs'!$B$32,'Inputs'!$B$30+'Inputs'!$B$31+'Inputs'!$B$32)/1000+'Inputs'!$B$21+'Inputs'!$B$7+'Inputs'!$B$10))^2+('Inputs'!$B$8/2)^2))))*'Results'!$B$8)-'Inputs'!$B$28*ABS((('Results'!B7*(1-'Inputs'!$B$24)*(0.5*((((599-43)*MAX('Inputs'!$B$33,'Inputs'!$B$29+'Inputs'!$B$31+'Inputs'!$B$32,'Inputs'!$B$30+'Inputs'!$B$31+'Inputs'!$B$32)/1000+'Inputs'!$B$21)+'Inputs'!$B$7)/SQRT((((599-43)*MAX('Inputs'!$B$33,'Inputs'!$B$29+'Inputs'!$B$31+'Inputs'!$B$32,'Inputs'!$B$30+'Inputs'!$B$31+'Inputs'!$B$32)/1000+'Inputs'!$B$21)+'Inputs'!$B$7)^2+('Inputs'!$B$6/2)^2)-(((599-43)*MAX('Inputs'!$B$33,'Inputs'!$B$29+'Inputs'!$B$31+'Inputs'!$B$32,'Inputs'!$B$30+'Inputs'!$B$31+'Inputs'!$B$32)/1000+'Inputs'!$B$21))/SQRT((((599-43)*MAX('Inputs'!$B$33,'Inputs'!$B$29+'Inputs'!$B$31+'Inputs'!$B$32,'Inputs'!$B$30+'Inputs'!$B$31+'Inputs'!$B$32)/1000+'Inputs'!$B$21))^2+('Inputs'!$B$6/2)^2)))-'Results'!C7*(1+'Inputs'!$B$24)*(0.5*((((599-43)*MAX('Inputs'!$B$33,'Inputs'!$B$29+'Inputs'!$B$31+'Inputs'!$B$32,'Inputs'!$B$30+'Inputs'!$B$31+'Inputs'!$B$32)/1000+'Inputs'!$B$21+'Inputs'!$B$7+'Inputs'!$B$10)+'Inputs'!$B$9)/SQRT((((599-43)*MAX('Inputs'!$B$33,'Inputs'!$B$29+'Inputs'!$B$31+'Inputs'!$B$32,'Inputs'!$B$30+'Inputs'!$B$31+'Inputs'!$B$32)/1000+'Inputs'!$B$21+'Inputs'!$B$7+'Inputs'!$B$10)+'Inputs'!$B$9)^2+('Inputs'!$B$8/2)^2)-(((599-43)*MAX('Inputs'!$B$33,'Inputs'!$B$29+'Inputs'!$B$31+'Inputs'!$B$32,'Inputs'!$B$30+'Inputs'!$B$31+'Inputs'!$B$32)/1000+'Inputs'!$B$21+'Inputs'!$B$7+'Inputs'!$B$10))/SQRT((((599-43)*MAX('Inputs'!$B$33,'Inputs'!$B$29+'Inputs'!$B$31+'Inputs'!$B$32,'Inputs'!$B$30+'Inputs'!$B$31+'Inputs'!$B$32)/1000+'Inputs'!$B$21+'Inputs'!$B$7+'Inputs'!$B$10))^2+('Inputs'!$B$8/2)^2))))*'Results'!$B$8))),"")</x:f>
        <x:v>2.5528647631976673</x:v>
      </x:c>
      <x:c r="L599" t="n">
        <x:f>IF(AND(ISNUMBER('Results'!B7),ISNUMBER('Results'!C7),ISNUMBER('Results'!$B$8),ISNUMBER('Inputs'!$B$6),ISNUMBER('Inputs'!$B$7),ISNUMBER('Inputs'!$B$8),ISNUMBER('Inputs'!$B$9),ISNUMBER('Inputs'!$B$10),ISNUMBER('Inputs'!$B$21),ISNUMBER('Inputs'!$B$24),ISNUMBER('Inputs'!$B$28)),((('Results'!B7*(1+'Inputs'!$B$24)*(0.5*((((599-43)*MAX('Inputs'!$B$33,'Inputs'!$B$29+'Inputs'!$B$31+'Inputs'!$B$32,'Inputs'!$B$30+'Inputs'!$B$31+'Inputs'!$B$32)/1000+'Inputs'!$B$21)+'Inputs'!$B$7)/SQRT((((599-43)*MAX('Inputs'!$B$33,'Inputs'!$B$29+'Inputs'!$B$31+'Inputs'!$B$32,'Inputs'!$B$30+'Inputs'!$B$31+'Inputs'!$B$32)/1000+'Inputs'!$B$21)+'Inputs'!$B$7)^2+('Inputs'!$B$6/2)^2)-(((599-43)*MAX('Inputs'!$B$33,'Inputs'!$B$29+'Inputs'!$B$31+'Inputs'!$B$32,'Inputs'!$B$30+'Inputs'!$B$31+'Inputs'!$B$32)/1000+'Inputs'!$B$21))/SQRT((((599-43)*MAX('Inputs'!$B$33,'Inputs'!$B$29+'Inputs'!$B$31+'Inputs'!$B$32,'Inputs'!$B$30+'Inputs'!$B$31+'Inputs'!$B$32)/1000+'Inputs'!$B$21))^2+('Inputs'!$B$6/2)^2)))-'Results'!C7*(1-'Inputs'!$B$24)*(0.5*((((599-43)*MAX('Inputs'!$B$33,'Inputs'!$B$29+'Inputs'!$B$31+'Inputs'!$B$32,'Inputs'!$B$30+'Inputs'!$B$31+'Inputs'!$B$32)/1000+'Inputs'!$B$21+'Inputs'!$B$7+'Inputs'!$B$10)+'Inputs'!$B$9)/SQRT((((599-43)*MAX('Inputs'!$B$33,'Inputs'!$B$29+'Inputs'!$B$31+'Inputs'!$B$32,'Inputs'!$B$30+'Inputs'!$B$31+'Inputs'!$B$32)/1000+'Inputs'!$B$21+'Inputs'!$B$7+'Inputs'!$B$10)+'Inputs'!$B$9)^2+('Inputs'!$B$8/2)^2)-(((599-43)*MAX('Inputs'!$B$33,'Inputs'!$B$29+'Inputs'!$B$31+'Inputs'!$B$32,'Inputs'!$B$30+'Inputs'!$B$31+'Inputs'!$B$32)/1000+'Inputs'!$B$21+'Inputs'!$B$7+'Inputs'!$B$10))/SQRT((((599-43)*MAX('Inputs'!$B$33,'Inputs'!$B$29+'Inputs'!$B$31+'Inputs'!$B$32,'Inputs'!$B$30+'Inputs'!$B$31+'Inputs'!$B$32)/1000+'Inputs'!$B$21+'Inputs'!$B$7+'Inputs'!$B$10))^2+('Inputs'!$B$8/2)^2))))*'Results'!$B$8)+'Inputs'!$B$28*ABS((('Results'!B7*(1+'Inputs'!$B$24)*(0.5*((((599-43)*MAX('Inputs'!$B$33,'Inputs'!$B$29+'Inputs'!$B$31+'Inputs'!$B$32,'Inputs'!$B$30+'Inputs'!$B$31+'Inputs'!$B$32)/1000+'Inputs'!$B$21)+'Inputs'!$B$7)/SQRT((((599-43)*MAX('Inputs'!$B$33,'Inputs'!$B$29+'Inputs'!$B$31+'Inputs'!$B$32,'Inputs'!$B$30+'Inputs'!$B$31+'Inputs'!$B$32)/1000+'Inputs'!$B$21)+'Inputs'!$B$7)^2+('Inputs'!$B$6/2)^2)-(((599-43)*MAX('Inputs'!$B$33,'Inputs'!$B$29+'Inputs'!$B$31+'Inputs'!$B$32,'Inputs'!$B$30+'Inputs'!$B$31+'Inputs'!$B$32)/1000+'Inputs'!$B$21))/SQRT((((599-43)*MAX('Inputs'!$B$33,'Inputs'!$B$29+'Inputs'!$B$31+'Inputs'!$B$32,'Inputs'!$B$30+'Inputs'!$B$31+'Inputs'!$B$32)/1000+'Inputs'!$B$21))^2+('Inputs'!$B$6/2)^2)))-'Results'!C7*(1-'Inputs'!$B$24)*(0.5*((((599-43)*MAX('Inputs'!$B$33,'Inputs'!$B$29+'Inputs'!$B$31+'Inputs'!$B$32,'Inputs'!$B$30+'Inputs'!$B$31+'Inputs'!$B$32)/1000+'Inputs'!$B$21+'Inputs'!$B$7+'Inputs'!$B$10)+'Inputs'!$B$9)/SQRT((((599-43)*MAX('Inputs'!$B$33,'Inputs'!$B$29+'Inputs'!$B$31+'Inputs'!$B$32,'Inputs'!$B$30+'Inputs'!$B$31+'Inputs'!$B$32)/1000+'Inputs'!$B$21+'Inputs'!$B$7+'Inputs'!$B$10)+'Inputs'!$B$9)^2+('Inputs'!$B$8/2)^2)-(((599-43)*MAX('Inputs'!$B$33,'Inputs'!$B$29+'Inputs'!$B$31+'Inputs'!$B$32,'Inputs'!$B$30+'Inputs'!$B$31+'Inputs'!$B$32)/1000+'Inputs'!$B$21+'Inputs'!$B$7+'Inputs'!$B$10))/SQRT((((599-43)*MAX('Inputs'!$B$33,'Inputs'!$B$29+'Inputs'!$B$31+'Inputs'!$B$32,'Inputs'!$B$30+'Inputs'!$B$31+'Inputs'!$B$32)/1000+'Inputs'!$B$21+'Inputs'!$B$7+'Inputs'!$B$10))^2+('Inputs'!$B$8/2)^2))))*'Results'!$B$8))),"")</x:f>
        <x:v>3.270148370110073</x:v>
      </x:c>
      <x:c r="M599" t="n">
        <x:f>IF(AND(ISNUMBER('Results'!C7),ISNUMBER('Results'!B7),ISNUMBER('Results'!$B$8),ISNUMBER('Inputs'!$B$6),ISNUMBER('Inputs'!$B$7),ISNUMBER('Inputs'!$B$8),ISNUMBER('Inputs'!$B$9),ISNUMBER('Inputs'!$B$10),ISNUMBER('Inputs'!$B$21),ISNUMBER('Inputs'!$B$24),ISNUMBER('Inputs'!$B$28)),(('Results'!C7*(0.5*((((599-43)*MAX('Inputs'!$B$33,'Inputs'!$B$29+'Inputs'!$B$31+'Inputs'!$B$32,'Inputs'!$B$30+'Inputs'!$B$31+'Inputs'!$B$32)/1000+'Inputs'!$B$21)+'Inputs'!$B$9)/SQRT((((599-43)*MAX('Inputs'!$B$33,'Inputs'!$B$29+'Inputs'!$B$31+'Inputs'!$B$32,'Inputs'!$B$30+'Inputs'!$B$31+'Inputs'!$B$32)/1000+'Inputs'!$B$21)+'Inputs'!$B$9)^2+('Inputs'!$B$8/2)^2)-(((599-43)*MAX('Inputs'!$B$33,'Inputs'!$B$29+'Inputs'!$B$31+'Inputs'!$B$32,'Inputs'!$B$30+'Inputs'!$B$31+'Inputs'!$B$32)/1000+'Inputs'!$B$21))/SQRT((((599-43)*MAX('Inputs'!$B$33,'Inputs'!$B$29+'Inputs'!$B$31+'Inputs'!$B$32,'Inputs'!$B$30+'Inputs'!$B$31+'Inputs'!$B$32)/1000+'Inputs'!$B$21))^2+('Inputs'!$B$8/2)^2)))-'Results'!B7*(0.5*((((599-43)*MAX('Inputs'!$B$33,'Inputs'!$B$29+'Inputs'!$B$31+'Inputs'!$B$32,'Inputs'!$B$30+'Inputs'!$B$31+'Inputs'!$B$32)/1000+'Inputs'!$B$21+'Inputs'!$B$9+'Inputs'!$B$10)+'Inputs'!$B$7)/SQRT((((599-43)*MAX('Inputs'!$B$33,'Inputs'!$B$29+'Inputs'!$B$31+'Inputs'!$B$32,'Inputs'!$B$30+'Inputs'!$B$31+'Inputs'!$B$32)/1000+'Inputs'!$B$21+'Inputs'!$B$9+'Inputs'!$B$10)+'Inputs'!$B$7)^2+('Inputs'!$B$6/2)^2)-(((599-43)*MAX('Inputs'!$B$33,'Inputs'!$B$29+'Inputs'!$B$31+'Inputs'!$B$32,'Inputs'!$B$30+'Inputs'!$B$31+'Inputs'!$B$32)/1000+'Inputs'!$B$21+'Inputs'!$B$9+'Inputs'!$B$10))/SQRT((((599-43)*MAX('Inputs'!$B$33,'Inputs'!$B$29+'Inputs'!$B$31+'Inputs'!$B$32,'Inputs'!$B$30+'Inputs'!$B$31+'Inputs'!$B$32)/1000+'Inputs'!$B$21+'Inputs'!$B$9+'Inputs'!$B$10))^2+('Inputs'!$B$6/2)^2))))*'Results'!$B$8),"")</x:f>
        <x:v>2.685638475243682</x:v>
      </x:c>
      <x:c r="N599" t="n">
        <x:f>IF(AND(ISNUMBER('Results'!C7),ISNUMBER('Results'!B7),ISNUMBER('Results'!$B$8),ISNUMBER('Inputs'!$B$6),ISNUMBER('Inputs'!$B$7),ISNUMBER('Inputs'!$B$8),ISNUMBER('Inputs'!$B$9),ISNUMBER('Inputs'!$B$10),ISNUMBER('Inputs'!$B$21),ISNUMBER('Inputs'!$B$24),ISNUMBER('Inputs'!$B$28)),((('Results'!C7*(1-'Inputs'!$B$24)*(0.5*((((599-43)*MAX('Inputs'!$B$33,'Inputs'!$B$29+'Inputs'!$B$31+'Inputs'!$B$32,'Inputs'!$B$30+'Inputs'!$B$31+'Inputs'!$B$32)/1000+'Inputs'!$B$21)+'Inputs'!$B$9)/SQRT((((599-43)*MAX('Inputs'!$B$33,'Inputs'!$B$29+'Inputs'!$B$31+'Inputs'!$B$32,'Inputs'!$B$30+'Inputs'!$B$31+'Inputs'!$B$32)/1000+'Inputs'!$B$21)+'Inputs'!$B$9)^2+('Inputs'!$B$8/2)^2)-(((599-43)*MAX('Inputs'!$B$33,'Inputs'!$B$29+'Inputs'!$B$31+'Inputs'!$B$32,'Inputs'!$B$30+'Inputs'!$B$31+'Inputs'!$B$32)/1000+'Inputs'!$B$21))/SQRT((((599-43)*MAX('Inputs'!$B$33,'Inputs'!$B$29+'Inputs'!$B$31+'Inputs'!$B$32,'Inputs'!$B$30+'Inputs'!$B$31+'Inputs'!$B$32)/1000+'Inputs'!$B$21))^2+('Inputs'!$B$8/2)^2)))-'Results'!B7*(1+'Inputs'!$B$24)*(0.5*((((599-43)*MAX('Inputs'!$B$33,'Inputs'!$B$29+'Inputs'!$B$31+'Inputs'!$B$32,'Inputs'!$B$30+'Inputs'!$B$31+'Inputs'!$B$32)/1000+'Inputs'!$B$21+'Inputs'!$B$9+'Inputs'!$B$10)+'Inputs'!$B$7)/SQRT((((599-43)*MAX('Inputs'!$B$33,'Inputs'!$B$29+'Inputs'!$B$31+'Inputs'!$B$32,'Inputs'!$B$30+'Inputs'!$B$31+'Inputs'!$B$32)/1000+'Inputs'!$B$21+'Inputs'!$B$9+'Inputs'!$B$10)+'Inputs'!$B$7)^2+('Inputs'!$B$6/2)^2)-(((599-43)*MAX('Inputs'!$B$33,'Inputs'!$B$29+'Inputs'!$B$31+'Inputs'!$B$32,'Inputs'!$B$30+'Inputs'!$B$31+'Inputs'!$B$32)/1000+'Inputs'!$B$21+'Inputs'!$B$9+'Inputs'!$B$10))/SQRT((((599-43)*MAX('Inputs'!$B$33,'Inputs'!$B$29+'Inputs'!$B$31+'Inputs'!$B$32,'Inputs'!$B$30+'Inputs'!$B$31+'Inputs'!$B$32)/1000+'Inputs'!$B$21+'Inputs'!$B$9+'Inputs'!$B$10))^2+('Inputs'!$B$6/2)^2))))*'Results'!$B$8)-'Inputs'!$B$28*ABS((('Results'!C7*(1-'Inputs'!$B$24)*(0.5*((((599-43)*MAX('Inputs'!$B$33,'Inputs'!$B$29+'Inputs'!$B$31+'Inputs'!$B$32,'Inputs'!$B$30+'Inputs'!$B$31+'Inputs'!$B$32)/1000+'Inputs'!$B$21)+'Inputs'!$B$9)/SQRT((((599-43)*MAX('Inputs'!$B$33,'Inputs'!$B$29+'Inputs'!$B$31+'Inputs'!$B$32,'Inputs'!$B$30+'Inputs'!$B$31+'Inputs'!$B$32)/1000+'Inputs'!$B$21)+'Inputs'!$B$9)^2+('Inputs'!$B$8/2)^2)-(((599-43)*MAX('Inputs'!$B$33,'Inputs'!$B$29+'Inputs'!$B$31+'Inputs'!$B$32,'Inputs'!$B$30+'Inputs'!$B$31+'Inputs'!$B$32)/1000+'Inputs'!$B$21))/SQRT((((599-43)*MAX('Inputs'!$B$33,'Inputs'!$B$29+'Inputs'!$B$31+'Inputs'!$B$32,'Inputs'!$B$30+'Inputs'!$B$31+'Inputs'!$B$32)/1000+'Inputs'!$B$21))^2+('Inputs'!$B$8/2)^2)))-'Results'!B7*(1+'Inputs'!$B$24)*(0.5*((((599-43)*MAX('Inputs'!$B$33,'Inputs'!$B$29+'Inputs'!$B$31+'Inputs'!$B$32,'Inputs'!$B$30+'Inputs'!$B$31+'Inputs'!$B$32)/1000+'Inputs'!$B$21+'Inputs'!$B$9+'Inputs'!$B$10)+'Inputs'!$B$7)/SQRT((((599-43)*MAX('Inputs'!$B$33,'Inputs'!$B$29+'Inputs'!$B$31+'Inputs'!$B$32,'Inputs'!$B$30+'Inputs'!$B$31+'Inputs'!$B$32)/1000+'Inputs'!$B$21+'Inputs'!$B$9+'Inputs'!$B$10)+'Inputs'!$B$7)^2+('Inputs'!$B$6/2)^2)-(((599-43)*MAX('Inputs'!$B$33,'Inputs'!$B$29+'Inputs'!$B$31+'Inputs'!$B$32,'Inputs'!$B$30+'Inputs'!$B$31+'Inputs'!$B$32)/1000+'Inputs'!$B$21+'Inputs'!$B$9+'Inputs'!$B$10))/SQRT((((599-43)*MAX('Inputs'!$B$33,'Inputs'!$B$29+'Inputs'!$B$31+'Inputs'!$B$32,'Inputs'!$B$30+'Inputs'!$B$31+'Inputs'!$B$32)/1000+'Inputs'!$B$21+'Inputs'!$B$9+'Inputs'!$B$10))^2+('Inputs'!$B$6/2)^2))))*'Results'!$B$8))),"")</x:f>
        <x:v>2.3495082488348724</x:v>
      </x:c>
      <x:c r="O599" t="n">
        <x:f>IF(AND(ISNUMBER('Results'!C7),ISNUMBER('Results'!B7),ISNUMBER('Results'!$B$8),ISNUMBER('Inputs'!$B$6),ISNUMBER('Inputs'!$B$7),ISNUMBER('Inputs'!$B$8),ISNUMBER('Inputs'!$B$9),ISNUMBER('Inputs'!$B$10),ISNUMBER('Inputs'!$B$21),ISNUMBER('Inputs'!$B$24),ISNUMBER('Inputs'!$B$28)),((('Results'!C7*(1+'Inputs'!$B$24)*(0.5*((((599-43)*MAX('Inputs'!$B$33,'Inputs'!$B$29+'Inputs'!$B$31+'Inputs'!$B$32,'Inputs'!$B$30+'Inputs'!$B$31+'Inputs'!$B$32)/1000+'Inputs'!$B$21)+'Inputs'!$B$9)/SQRT((((599-43)*MAX('Inputs'!$B$33,'Inputs'!$B$29+'Inputs'!$B$31+'Inputs'!$B$32,'Inputs'!$B$30+'Inputs'!$B$31+'Inputs'!$B$32)/1000+'Inputs'!$B$21)+'Inputs'!$B$9)^2+('Inputs'!$B$8/2)^2)-(((599-43)*MAX('Inputs'!$B$33,'Inputs'!$B$29+'Inputs'!$B$31+'Inputs'!$B$32,'Inputs'!$B$30+'Inputs'!$B$31+'Inputs'!$B$32)/1000+'Inputs'!$B$21))/SQRT((((599-43)*MAX('Inputs'!$B$33,'Inputs'!$B$29+'Inputs'!$B$31+'Inputs'!$B$32,'Inputs'!$B$30+'Inputs'!$B$31+'Inputs'!$B$32)/1000+'Inputs'!$B$21))^2+('Inputs'!$B$8/2)^2)))-'Results'!B7*(1-'Inputs'!$B$24)*(0.5*((((599-43)*MAX('Inputs'!$B$33,'Inputs'!$B$29+'Inputs'!$B$31+'Inputs'!$B$32,'Inputs'!$B$30+'Inputs'!$B$31+'Inputs'!$B$32)/1000+'Inputs'!$B$21+'Inputs'!$B$9+'Inputs'!$B$10)+'Inputs'!$B$7)/SQRT((((599-43)*MAX('Inputs'!$B$33,'Inputs'!$B$29+'Inputs'!$B$31+'Inputs'!$B$32,'Inputs'!$B$30+'Inputs'!$B$31+'Inputs'!$B$32)/1000+'Inputs'!$B$21+'Inputs'!$B$9+'Inputs'!$B$10)+'Inputs'!$B$7)^2+('Inputs'!$B$6/2)^2)-(((599-43)*MAX('Inputs'!$B$33,'Inputs'!$B$29+'Inputs'!$B$31+'Inputs'!$B$32,'Inputs'!$B$30+'Inputs'!$B$31+'Inputs'!$B$32)/1000+'Inputs'!$B$21+'Inputs'!$B$9+'Inputs'!$B$10))/SQRT((((599-43)*MAX('Inputs'!$B$33,'Inputs'!$B$29+'Inputs'!$B$31+'Inputs'!$B$32,'Inputs'!$B$30+'Inputs'!$B$31+'Inputs'!$B$32)/1000+'Inputs'!$B$21+'Inputs'!$B$9+'Inputs'!$B$10))^2+('Inputs'!$B$6/2)^2))))*'Results'!$B$8)+'Inputs'!$B$28*ABS((('Results'!C7*(1+'Inputs'!$B$24)*(0.5*((((599-43)*MAX('Inputs'!$B$33,'Inputs'!$B$29+'Inputs'!$B$31+'Inputs'!$B$32,'Inputs'!$B$30+'Inputs'!$B$31+'Inputs'!$B$32)/1000+'Inputs'!$B$21)+'Inputs'!$B$9)/SQRT((((599-43)*MAX('Inputs'!$B$33,'Inputs'!$B$29+'Inputs'!$B$31+'Inputs'!$B$32,'Inputs'!$B$30+'Inputs'!$B$31+'Inputs'!$B$32)/1000+'Inputs'!$B$21)+'Inputs'!$B$9)^2+('Inputs'!$B$8/2)^2)-(((599-43)*MAX('Inputs'!$B$33,'Inputs'!$B$29+'Inputs'!$B$31+'Inputs'!$B$32,'Inputs'!$B$30+'Inputs'!$B$31+'Inputs'!$B$32)/1000+'Inputs'!$B$21))/SQRT((((599-43)*MAX('Inputs'!$B$33,'Inputs'!$B$29+'Inputs'!$B$31+'Inputs'!$B$32,'Inputs'!$B$30+'Inputs'!$B$31+'Inputs'!$B$32)/1000+'Inputs'!$B$21))^2+('Inputs'!$B$8/2)^2)))-'Results'!B7*(1-'Inputs'!$B$24)*(0.5*((((599-43)*MAX('Inputs'!$B$33,'Inputs'!$B$29+'Inputs'!$B$31+'Inputs'!$B$32,'Inputs'!$B$30+'Inputs'!$B$31+'Inputs'!$B$32)/1000+'Inputs'!$B$21+'Inputs'!$B$9+'Inputs'!$B$10)+'Inputs'!$B$7)/SQRT((((599-43)*MAX('Inputs'!$B$33,'Inputs'!$B$29+'Inputs'!$B$31+'Inputs'!$B$32,'Inputs'!$B$30+'Inputs'!$B$31+'Inputs'!$B$32)/1000+'Inputs'!$B$21+'Inputs'!$B$9+'Inputs'!$B$10)+'Inputs'!$B$7)^2+('Inputs'!$B$6/2)^2)-(((599-43)*MAX('Inputs'!$B$33,'Inputs'!$B$29+'Inputs'!$B$31+'Inputs'!$B$32,'Inputs'!$B$30+'Inputs'!$B$31+'Inputs'!$B$32)/1000+'Inputs'!$B$21+'Inputs'!$B$9+'Inputs'!$B$10))/SQRT((((599-43)*MAX('Inputs'!$B$33,'Inputs'!$B$29+'Inputs'!$B$31+'Inputs'!$B$32,'Inputs'!$B$30+'Inputs'!$B$31+'Inputs'!$B$32)/1000+'Inputs'!$B$21+'Inputs'!$B$9+'Inputs'!$B$10))^2+('Inputs'!$B$6/2)^2))))*'Results'!$B$8))),"")</x:f>
        <x:v>3.0430158914047682</x:v>
      </x:c>
      <x:c r="P599" t="n">
        <x:f>IF(AND(MAX(J599,J598)&gt;0,J599&gt;J598+0.00000001),1,0)</x:f>
        <x:v>0</x:v>
      </x:c>
      <x:c r="Q599" t="n">
        <x:f>IF(AND(MAX(K599,K598)&gt;0,K599&gt;K598+0.00000001),1,0)</x:f>
        <x:v>0</x:v>
      </x:c>
      <x:c r="R599" t="n">
        <x:f>IF(AND(MAX(L599,L598)&gt;0,L599&gt;L598+0.00000001),1,0)</x:f>
        <x:v>0</x:v>
      </x:c>
      <x:c r="S599" t="n">
        <x:f>IF(AND(MAX(M599,M598)&gt;0,M599&gt;M598+0.00000001),1,0)</x:f>
        <x:v>0</x:v>
      </x:c>
      <x:c r="T599" t="n">
        <x:f>IF(AND(MAX(N599,N598)&gt;0,N599&gt;N598+0.00000001),1,0)</x:f>
        <x:v>0</x:v>
      </x:c>
      <x:c r="U599" t="n">
        <x:f>IF(AND(MAX(O599,O598)&gt;0,O599&gt;O598+0.00000001),1,0)</x:f>
        <x:v>0</x:v>
      </x:c>
    </x:row>
    <x:row r="600">
      <x:c r="J600" t="n">
        <x:f>IF(AND(ISNUMBER('Results'!B7),ISNUMBER('Results'!C7),ISNUMBER('Results'!$B$8),ISNUMBER('Inputs'!$B$6),ISNUMBER('Inputs'!$B$7),ISNUMBER('Inputs'!$B$8),ISNUMBER('Inputs'!$B$9),ISNUMBER('Inputs'!$B$10),ISNUMBER('Inputs'!$B$21),ISNUMBER('Inputs'!$B$24),ISNUMBER('Inputs'!$B$28)),(('Results'!B7*(0.5*((((600-43)*MAX('Inputs'!$B$33,'Inputs'!$B$29+'Inputs'!$B$31+'Inputs'!$B$32,'Inputs'!$B$30+'Inputs'!$B$31+'Inputs'!$B$32)/1000+'Inputs'!$B$21)+'Inputs'!$B$7)/SQRT((((600-43)*MAX('Inputs'!$B$33,'Inputs'!$B$29+'Inputs'!$B$31+'Inputs'!$B$32,'Inputs'!$B$30+'Inputs'!$B$31+'Inputs'!$B$32)/1000+'Inputs'!$B$21)+'Inputs'!$B$7)^2+('Inputs'!$B$6/2)^2)-(((600-43)*MAX('Inputs'!$B$33,'Inputs'!$B$29+'Inputs'!$B$31+'Inputs'!$B$32,'Inputs'!$B$30+'Inputs'!$B$31+'Inputs'!$B$32)/1000+'Inputs'!$B$21))/SQRT((((600-43)*MAX('Inputs'!$B$33,'Inputs'!$B$29+'Inputs'!$B$31+'Inputs'!$B$32,'Inputs'!$B$30+'Inputs'!$B$31+'Inputs'!$B$32)/1000+'Inputs'!$B$21))^2+('Inputs'!$B$6/2)^2)))-'Results'!C7*(0.5*((((600-43)*MAX('Inputs'!$B$33,'Inputs'!$B$29+'Inputs'!$B$31+'Inputs'!$B$32,'Inputs'!$B$30+'Inputs'!$B$31+'Inputs'!$B$32)/1000+'Inputs'!$B$21+'Inputs'!$B$7+'Inputs'!$B$10)+'Inputs'!$B$9)/SQRT((((600-43)*MAX('Inputs'!$B$33,'Inputs'!$B$29+'Inputs'!$B$31+'Inputs'!$B$32,'Inputs'!$B$30+'Inputs'!$B$31+'Inputs'!$B$32)/1000+'Inputs'!$B$21+'Inputs'!$B$7+'Inputs'!$B$10)+'Inputs'!$B$9)^2+('Inputs'!$B$8/2)^2)-(((600-43)*MAX('Inputs'!$B$33,'Inputs'!$B$29+'Inputs'!$B$31+'Inputs'!$B$32,'Inputs'!$B$30+'Inputs'!$B$31+'Inputs'!$B$32)/1000+'Inputs'!$B$21+'Inputs'!$B$7+'Inputs'!$B$10))/SQRT((((600-43)*MAX('Inputs'!$B$33,'Inputs'!$B$29+'Inputs'!$B$31+'Inputs'!$B$32,'Inputs'!$B$30+'Inputs'!$B$31+'Inputs'!$B$32)/1000+'Inputs'!$B$21+'Inputs'!$B$7+'Inputs'!$B$10))^2+('Inputs'!$B$8/2)^2))))*'Results'!$B$8),"")</x:f>
        <x:v>2.882824068809282</x:v>
      </x:c>
      <x:c r="K600" t="n">
        <x:f>IF(AND(ISNUMBER('Results'!B7),ISNUMBER('Results'!C7),ISNUMBER('Results'!$B$8),ISNUMBER('Inputs'!$B$6),ISNUMBER('Inputs'!$B$7),ISNUMBER('Inputs'!$B$8),ISNUMBER('Inputs'!$B$9),ISNUMBER('Inputs'!$B$10),ISNUMBER('Inputs'!$B$21),ISNUMBER('Inputs'!$B$24),ISNUMBER('Inputs'!$B$28)),((('Results'!B7*(1-'Inputs'!$B$24)*(0.5*((((600-43)*MAX('Inputs'!$B$33,'Inputs'!$B$29+'Inputs'!$B$31+'Inputs'!$B$32,'Inputs'!$B$30+'Inputs'!$B$31+'Inputs'!$B$32)/1000+'Inputs'!$B$21)+'Inputs'!$B$7)/SQRT((((600-43)*MAX('Inputs'!$B$33,'Inputs'!$B$29+'Inputs'!$B$31+'Inputs'!$B$32,'Inputs'!$B$30+'Inputs'!$B$31+'Inputs'!$B$32)/1000+'Inputs'!$B$21)+'Inputs'!$B$7)^2+('Inputs'!$B$6/2)^2)-(((600-43)*MAX('Inputs'!$B$33,'Inputs'!$B$29+'Inputs'!$B$31+'Inputs'!$B$32,'Inputs'!$B$30+'Inputs'!$B$31+'Inputs'!$B$32)/1000+'Inputs'!$B$21))/SQRT((((600-43)*MAX('Inputs'!$B$33,'Inputs'!$B$29+'Inputs'!$B$31+'Inputs'!$B$32,'Inputs'!$B$30+'Inputs'!$B$31+'Inputs'!$B$32)/1000+'Inputs'!$B$21))^2+('Inputs'!$B$6/2)^2)))-'Results'!C7*(1+'Inputs'!$B$24)*(0.5*((((600-43)*MAX('Inputs'!$B$33,'Inputs'!$B$29+'Inputs'!$B$31+'Inputs'!$B$32,'Inputs'!$B$30+'Inputs'!$B$31+'Inputs'!$B$32)/1000+'Inputs'!$B$21+'Inputs'!$B$7+'Inputs'!$B$10)+'Inputs'!$B$9)/SQRT((((600-43)*MAX('Inputs'!$B$33,'Inputs'!$B$29+'Inputs'!$B$31+'Inputs'!$B$32,'Inputs'!$B$30+'Inputs'!$B$31+'Inputs'!$B$32)/1000+'Inputs'!$B$21+'Inputs'!$B$7+'Inputs'!$B$10)+'Inputs'!$B$9)^2+('Inputs'!$B$8/2)^2)-(((600-43)*MAX('Inputs'!$B$33,'Inputs'!$B$29+'Inputs'!$B$31+'Inputs'!$B$32,'Inputs'!$B$30+'Inputs'!$B$31+'Inputs'!$B$32)/1000+'Inputs'!$B$21+'Inputs'!$B$7+'Inputs'!$B$10))/SQRT((((600-43)*MAX('Inputs'!$B$33,'Inputs'!$B$29+'Inputs'!$B$31+'Inputs'!$B$32,'Inputs'!$B$30+'Inputs'!$B$31+'Inputs'!$B$32)/1000+'Inputs'!$B$21+'Inputs'!$B$7+'Inputs'!$B$10))^2+('Inputs'!$B$8/2)^2))))*'Results'!$B$8)-'Inputs'!$B$28*ABS((('Results'!B7*(1-'Inputs'!$B$24)*(0.5*((((600-43)*MAX('Inputs'!$B$33,'Inputs'!$B$29+'Inputs'!$B$31+'Inputs'!$B$32,'Inputs'!$B$30+'Inputs'!$B$31+'Inputs'!$B$32)/1000+'Inputs'!$B$21)+'Inputs'!$B$7)/SQRT((((600-43)*MAX('Inputs'!$B$33,'Inputs'!$B$29+'Inputs'!$B$31+'Inputs'!$B$32,'Inputs'!$B$30+'Inputs'!$B$31+'Inputs'!$B$32)/1000+'Inputs'!$B$21)+'Inputs'!$B$7)^2+('Inputs'!$B$6/2)^2)-(((600-43)*MAX('Inputs'!$B$33,'Inputs'!$B$29+'Inputs'!$B$31+'Inputs'!$B$32,'Inputs'!$B$30+'Inputs'!$B$31+'Inputs'!$B$32)/1000+'Inputs'!$B$21))/SQRT((((600-43)*MAX('Inputs'!$B$33,'Inputs'!$B$29+'Inputs'!$B$31+'Inputs'!$B$32,'Inputs'!$B$30+'Inputs'!$B$31+'Inputs'!$B$32)/1000+'Inputs'!$B$21))^2+('Inputs'!$B$6/2)^2)))-'Results'!C7*(1+'Inputs'!$B$24)*(0.5*((((600-43)*MAX('Inputs'!$B$33,'Inputs'!$B$29+'Inputs'!$B$31+'Inputs'!$B$32,'Inputs'!$B$30+'Inputs'!$B$31+'Inputs'!$B$32)/1000+'Inputs'!$B$21+'Inputs'!$B$7+'Inputs'!$B$10)+'Inputs'!$B$9)/SQRT((((600-43)*MAX('Inputs'!$B$33,'Inputs'!$B$29+'Inputs'!$B$31+'Inputs'!$B$32,'Inputs'!$B$30+'Inputs'!$B$31+'Inputs'!$B$32)/1000+'Inputs'!$B$21+'Inputs'!$B$7+'Inputs'!$B$10)+'Inputs'!$B$9)^2+('Inputs'!$B$8/2)^2)-(((600-43)*MAX('Inputs'!$B$33,'Inputs'!$B$29+'Inputs'!$B$31+'Inputs'!$B$32,'Inputs'!$B$30+'Inputs'!$B$31+'Inputs'!$B$32)/1000+'Inputs'!$B$21+'Inputs'!$B$7+'Inputs'!$B$10))/SQRT((((600-43)*MAX('Inputs'!$B$33,'Inputs'!$B$29+'Inputs'!$B$31+'Inputs'!$B$32,'Inputs'!$B$30+'Inputs'!$B$31+'Inputs'!$B$32)/1000+'Inputs'!$B$21+'Inputs'!$B$7+'Inputs'!$B$10))^2+('Inputs'!$B$8/2)^2))))*'Results'!$B$8))),"")</x:f>
        <x:v>2.5367370820920523</x:v>
      </x:c>
      <x:c r="L600" t="n">
        <x:f>IF(AND(ISNUMBER('Results'!B7),ISNUMBER('Results'!C7),ISNUMBER('Results'!$B$8),ISNUMBER('Inputs'!$B$6),ISNUMBER('Inputs'!$B$7),ISNUMBER('Inputs'!$B$8),ISNUMBER('Inputs'!$B$9),ISNUMBER('Inputs'!$B$10),ISNUMBER('Inputs'!$B$21),ISNUMBER('Inputs'!$B$24),ISNUMBER('Inputs'!$B$28)),((('Results'!B7*(1+'Inputs'!$B$24)*(0.5*((((600-43)*MAX('Inputs'!$B$33,'Inputs'!$B$29+'Inputs'!$B$31+'Inputs'!$B$32,'Inputs'!$B$30+'Inputs'!$B$31+'Inputs'!$B$32)/1000+'Inputs'!$B$21)+'Inputs'!$B$7)/SQRT((((600-43)*MAX('Inputs'!$B$33,'Inputs'!$B$29+'Inputs'!$B$31+'Inputs'!$B$32,'Inputs'!$B$30+'Inputs'!$B$31+'Inputs'!$B$32)/1000+'Inputs'!$B$21)+'Inputs'!$B$7)^2+('Inputs'!$B$6/2)^2)-(((600-43)*MAX('Inputs'!$B$33,'Inputs'!$B$29+'Inputs'!$B$31+'Inputs'!$B$32,'Inputs'!$B$30+'Inputs'!$B$31+'Inputs'!$B$32)/1000+'Inputs'!$B$21))/SQRT((((600-43)*MAX('Inputs'!$B$33,'Inputs'!$B$29+'Inputs'!$B$31+'Inputs'!$B$32,'Inputs'!$B$30+'Inputs'!$B$31+'Inputs'!$B$32)/1000+'Inputs'!$B$21))^2+('Inputs'!$B$6/2)^2)))-'Results'!C7*(1-'Inputs'!$B$24)*(0.5*((((600-43)*MAX('Inputs'!$B$33,'Inputs'!$B$29+'Inputs'!$B$31+'Inputs'!$B$32,'Inputs'!$B$30+'Inputs'!$B$31+'Inputs'!$B$32)/1000+'Inputs'!$B$21+'Inputs'!$B$7+'Inputs'!$B$10)+'Inputs'!$B$9)/SQRT((((600-43)*MAX('Inputs'!$B$33,'Inputs'!$B$29+'Inputs'!$B$31+'Inputs'!$B$32,'Inputs'!$B$30+'Inputs'!$B$31+'Inputs'!$B$32)/1000+'Inputs'!$B$21+'Inputs'!$B$7+'Inputs'!$B$10)+'Inputs'!$B$9)^2+('Inputs'!$B$8/2)^2)-(((600-43)*MAX('Inputs'!$B$33,'Inputs'!$B$29+'Inputs'!$B$31+'Inputs'!$B$32,'Inputs'!$B$30+'Inputs'!$B$31+'Inputs'!$B$32)/1000+'Inputs'!$B$21+'Inputs'!$B$7+'Inputs'!$B$10))/SQRT((((600-43)*MAX('Inputs'!$B$33,'Inputs'!$B$29+'Inputs'!$B$31+'Inputs'!$B$32,'Inputs'!$B$30+'Inputs'!$B$31+'Inputs'!$B$32)/1000+'Inputs'!$B$21+'Inputs'!$B$7+'Inputs'!$B$10))^2+('Inputs'!$B$8/2)^2))))*'Results'!$B$8)+'Inputs'!$B$28*ABS((('Results'!B7*(1+'Inputs'!$B$24)*(0.5*((((600-43)*MAX('Inputs'!$B$33,'Inputs'!$B$29+'Inputs'!$B$31+'Inputs'!$B$32,'Inputs'!$B$30+'Inputs'!$B$31+'Inputs'!$B$32)/1000+'Inputs'!$B$21)+'Inputs'!$B$7)/SQRT((((600-43)*MAX('Inputs'!$B$33,'Inputs'!$B$29+'Inputs'!$B$31+'Inputs'!$B$32,'Inputs'!$B$30+'Inputs'!$B$31+'Inputs'!$B$32)/1000+'Inputs'!$B$21)+'Inputs'!$B$7)^2+('Inputs'!$B$6/2)^2)-(((600-43)*MAX('Inputs'!$B$33,'Inputs'!$B$29+'Inputs'!$B$31+'Inputs'!$B$32,'Inputs'!$B$30+'Inputs'!$B$31+'Inputs'!$B$32)/1000+'Inputs'!$B$21))/SQRT((((600-43)*MAX('Inputs'!$B$33,'Inputs'!$B$29+'Inputs'!$B$31+'Inputs'!$B$32,'Inputs'!$B$30+'Inputs'!$B$31+'Inputs'!$B$32)/1000+'Inputs'!$B$21))^2+('Inputs'!$B$6/2)^2)))-'Results'!C7*(1-'Inputs'!$B$24)*(0.5*((((600-43)*MAX('Inputs'!$B$33,'Inputs'!$B$29+'Inputs'!$B$31+'Inputs'!$B$32,'Inputs'!$B$30+'Inputs'!$B$31+'Inputs'!$B$32)/1000+'Inputs'!$B$21+'Inputs'!$B$7+'Inputs'!$B$10)+'Inputs'!$B$9)/SQRT((((600-43)*MAX('Inputs'!$B$33,'Inputs'!$B$29+'Inputs'!$B$31+'Inputs'!$B$32,'Inputs'!$B$30+'Inputs'!$B$31+'Inputs'!$B$32)/1000+'Inputs'!$B$21+'Inputs'!$B$7+'Inputs'!$B$10)+'Inputs'!$B$9)^2+('Inputs'!$B$8/2)^2)-(((600-43)*MAX('Inputs'!$B$33,'Inputs'!$B$29+'Inputs'!$B$31+'Inputs'!$B$32,'Inputs'!$B$30+'Inputs'!$B$31+'Inputs'!$B$32)/1000+'Inputs'!$B$21+'Inputs'!$B$7+'Inputs'!$B$10))/SQRT((((600-43)*MAX('Inputs'!$B$33,'Inputs'!$B$29+'Inputs'!$B$31+'Inputs'!$B$32,'Inputs'!$B$30+'Inputs'!$B$31+'Inputs'!$B$32)/1000+'Inputs'!$B$21+'Inputs'!$B$7+'Inputs'!$B$10))^2+('Inputs'!$B$8/2)^2))))*'Results'!$B$8))),"")</x:f>
        <x:v>3.2501685063977517</x:v>
      </x:c>
      <x:c r="M600" t="n">
        <x:f>IF(AND(ISNUMBER('Results'!C7),ISNUMBER('Results'!B7),ISNUMBER('Results'!$B$8),ISNUMBER('Inputs'!$B$6),ISNUMBER('Inputs'!$B$7),ISNUMBER('Inputs'!$B$8),ISNUMBER('Inputs'!$B$9),ISNUMBER('Inputs'!$B$10),ISNUMBER('Inputs'!$B$21),ISNUMBER('Inputs'!$B$24),ISNUMBER('Inputs'!$B$28)),(('Results'!C7*(0.5*((((600-43)*MAX('Inputs'!$B$33,'Inputs'!$B$29+'Inputs'!$B$31+'Inputs'!$B$32,'Inputs'!$B$30+'Inputs'!$B$31+'Inputs'!$B$32)/1000+'Inputs'!$B$21)+'Inputs'!$B$9)/SQRT((((600-43)*MAX('Inputs'!$B$33,'Inputs'!$B$29+'Inputs'!$B$31+'Inputs'!$B$32,'Inputs'!$B$30+'Inputs'!$B$31+'Inputs'!$B$32)/1000+'Inputs'!$B$21)+'Inputs'!$B$9)^2+('Inputs'!$B$8/2)^2)-(((600-43)*MAX('Inputs'!$B$33,'Inputs'!$B$29+'Inputs'!$B$31+'Inputs'!$B$32,'Inputs'!$B$30+'Inputs'!$B$31+'Inputs'!$B$32)/1000+'Inputs'!$B$21))/SQRT((((600-43)*MAX('Inputs'!$B$33,'Inputs'!$B$29+'Inputs'!$B$31+'Inputs'!$B$32,'Inputs'!$B$30+'Inputs'!$B$31+'Inputs'!$B$32)/1000+'Inputs'!$B$21))^2+('Inputs'!$B$8/2)^2)))-'Results'!B7*(0.5*((((600-43)*MAX('Inputs'!$B$33,'Inputs'!$B$29+'Inputs'!$B$31+'Inputs'!$B$32,'Inputs'!$B$30+'Inputs'!$B$31+'Inputs'!$B$32)/1000+'Inputs'!$B$21+'Inputs'!$B$9+'Inputs'!$B$10)+'Inputs'!$B$7)/SQRT((((600-43)*MAX('Inputs'!$B$33,'Inputs'!$B$29+'Inputs'!$B$31+'Inputs'!$B$32,'Inputs'!$B$30+'Inputs'!$B$31+'Inputs'!$B$32)/1000+'Inputs'!$B$21+'Inputs'!$B$9+'Inputs'!$B$10)+'Inputs'!$B$7)^2+('Inputs'!$B$6/2)^2)-(((600-43)*MAX('Inputs'!$B$33,'Inputs'!$B$29+'Inputs'!$B$31+'Inputs'!$B$32,'Inputs'!$B$30+'Inputs'!$B$31+'Inputs'!$B$32)/1000+'Inputs'!$B$21+'Inputs'!$B$9+'Inputs'!$B$10))/SQRT((((600-43)*MAX('Inputs'!$B$33,'Inputs'!$B$29+'Inputs'!$B$31+'Inputs'!$B$32,'Inputs'!$B$30+'Inputs'!$B$31+'Inputs'!$B$32)/1000+'Inputs'!$B$21+'Inputs'!$B$9+'Inputs'!$B$10))^2+('Inputs'!$B$6/2)^2))))*'Results'!$B$8),"")</x:f>
        <x:v>2.668668763899589</x:v>
      </x:c>
      <x:c r="N600" t="n">
        <x:f>IF(AND(ISNUMBER('Results'!C7),ISNUMBER('Results'!B7),ISNUMBER('Results'!$B$8),ISNUMBER('Inputs'!$B$6),ISNUMBER('Inputs'!$B$7),ISNUMBER('Inputs'!$B$8),ISNUMBER('Inputs'!$B$9),ISNUMBER('Inputs'!$B$10),ISNUMBER('Inputs'!$B$21),ISNUMBER('Inputs'!$B$24),ISNUMBER('Inputs'!$B$28)),((('Results'!C7*(1-'Inputs'!$B$24)*(0.5*((((600-43)*MAX('Inputs'!$B$33,'Inputs'!$B$29+'Inputs'!$B$31+'Inputs'!$B$32,'Inputs'!$B$30+'Inputs'!$B$31+'Inputs'!$B$32)/1000+'Inputs'!$B$21)+'Inputs'!$B$9)/SQRT((((600-43)*MAX('Inputs'!$B$33,'Inputs'!$B$29+'Inputs'!$B$31+'Inputs'!$B$32,'Inputs'!$B$30+'Inputs'!$B$31+'Inputs'!$B$32)/1000+'Inputs'!$B$21)+'Inputs'!$B$9)^2+('Inputs'!$B$8/2)^2)-(((600-43)*MAX('Inputs'!$B$33,'Inputs'!$B$29+'Inputs'!$B$31+'Inputs'!$B$32,'Inputs'!$B$30+'Inputs'!$B$31+'Inputs'!$B$32)/1000+'Inputs'!$B$21))/SQRT((((600-43)*MAX('Inputs'!$B$33,'Inputs'!$B$29+'Inputs'!$B$31+'Inputs'!$B$32,'Inputs'!$B$30+'Inputs'!$B$31+'Inputs'!$B$32)/1000+'Inputs'!$B$21))^2+('Inputs'!$B$8/2)^2)))-'Results'!B7*(1+'Inputs'!$B$24)*(0.5*((((600-43)*MAX('Inputs'!$B$33,'Inputs'!$B$29+'Inputs'!$B$31+'Inputs'!$B$32,'Inputs'!$B$30+'Inputs'!$B$31+'Inputs'!$B$32)/1000+'Inputs'!$B$21+'Inputs'!$B$9+'Inputs'!$B$10)+'Inputs'!$B$7)/SQRT((((600-43)*MAX('Inputs'!$B$33,'Inputs'!$B$29+'Inputs'!$B$31+'Inputs'!$B$32,'Inputs'!$B$30+'Inputs'!$B$31+'Inputs'!$B$32)/1000+'Inputs'!$B$21+'Inputs'!$B$9+'Inputs'!$B$10)+'Inputs'!$B$7)^2+('Inputs'!$B$6/2)^2)-(((600-43)*MAX('Inputs'!$B$33,'Inputs'!$B$29+'Inputs'!$B$31+'Inputs'!$B$32,'Inputs'!$B$30+'Inputs'!$B$31+'Inputs'!$B$32)/1000+'Inputs'!$B$21+'Inputs'!$B$9+'Inputs'!$B$10))/SQRT((((600-43)*MAX('Inputs'!$B$33,'Inputs'!$B$29+'Inputs'!$B$31+'Inputs'!$B$32,'Inputs'!$B$30+'Inputs'!$B$31+'Inputs'!$B$32)/1000+'Inputs'!$B$21+'Inputs'!$B$9+'Inputs'!$B$10))^2+('Inputs'!$B$6/2)^2))))*'Results'!$B$8)-'Inputs'!$B$28*ABS((('Results'!C7*(1-'Inputs'!$B$24)*(0.5*((((600-43)*MAX('Inputs'!$B$33,'Inputs'!$B$29+'Inputs'!$B$31+'Inputs'!$B$32,'Inputs'!$B$30+'Inputs'!$B$31+'Inputs'!$B$32)/1000+'Inputs'!$B$21)+'Inputs'!$B$9)/SQRT((((600-43)*MAX('Inputs'!$B$33,'Inputs'!$B$29+'Inputs'!$B$31+'Inputs'!$B$32,'Inputs'!$B$30+'Inputs'!$B$31+'Inputs'!$B$32)/1000+'Inputs'!$B$21)+'Inputs'!$B$9)^2+('Inputs'!$B$8/2)^2)-(((600-43)*MAX('Inputs'!$B$33,'Inputs'!$B$29+'Inputs'!$B$31+'Inputs'!$B$32,'Inputs'!$B$30+'Inputs'!$B$31+'Inputs'!$B$32)/1000+'Inputs'!$B$21))/SQRT((((600-43)*MAX('Inputs'!$B$33,'Inputs'!$B$29+'Inputs'!$B$31+'Inputs'!$B$32,'Inputs'!$B$30+'Inputs'!$B$31+'Inputs'!$B$32)/1000+'Inputs'!$B$21))^2+('Inputs'!$B$8/2)^2)))-'Results'!B7*(1+'Inputs'!$B$24)*(0.5*((((600-43)*MAX('Inputs'!$B$33,'Inputs'!$B$29+'Inputs'!$B$31+'Inputs'!$B$32,'Inputs'!$B$30+'Inputs'!$B$31+'Inputs'!$B$32)/1000+'Inputs'!$B$21+'Inputs'!$B$9+'Inputs'!$B$10)+'Inputs'!$B$7)/SQRT((((600-43)*MAX('Inputs'!$B$33,'Inputs'!$B$29+'Inputs'!$B$31+'Inputs'!$B$32,'Inputs'!$B$30+'Inputs'!$B$31+'Inputs'!$B$32)/1000+'Inputs'!$B$21+'Inputs'!$B$9+'Inputs'!$B$10)+'Inputs'!$B$7)^2+('Inputs'!$B$6/2)^2)-(((600-43)*MAX('Inputs'!$B$33,'Inputs'!$B$29+'Inputs'!$B$31+'Inputs'!$B$32,'Inputs'!$B$30+'Inputs'!$B$31+'Inputs'!$B$32)/1000+'Inputs'!$B$21+'Inputs'!$B$9+'Inputs'!$B$10))/SQRT((((600-43)*MAX('Inputs'!$B$33,'Inputs'!$B$29+'Inputs'!$B$31+'Inputs'!$B$32,'Inputs'!$B$30+'Inputs'!$B$31+'Inputs'!$B$32)/1000+'Inputs'!$B$21+'Inputs'!$B$9+'Inputs'!$B$10))^2+('Inputs'!$B$6/2)^2))))*'Results'!$B$8))),"")</x:f>
        <x:v>2.3343549804462413</x:v>
      </x:c>
      <x:c r="O600" t="n">
        <x:f>IF(AND(ISNUMBER('Results'!C7),ISNUMBER('Results'!B7),ISNUMBER('Results'!$B$8),ISNUMBER('Inputs'!$B$6),ISNUMBER('Inputs'!$B$7),ISNUMBER('Inputs'!$B$8),ISNUMBER('Inputs'!$B$9),ISNUMBER('Inputs'!$B$10),ISNUMBER('Inputs'!$B$21),ISNUMBER('Inputs'!$B$24),ISNUMBER('Inputs'!$B$28)),((('Results'!C7*(1+'Inputs'!$B$24)*(0.5*((((600-43)*MAX('Inputs'!$B$33,'Inputs'!$B$29+'Inputs'!$B$31+'Inputs'!$B$32,'Inputs'!$B$30+'Inputs'!$B$31+'Inputs'!$B$32)/1000+'Inputs'!$B$21)+'Inputs'!$B$9)/SQRT((((600-43)*MAX('Inputs'!$B$33,'Inputs'!$B$29+'Inputs'!$B$31+'Inputs'!$B$32,'Inputs'!$B$30+'Inputs'!$B$31+'Inputs'!$B$32)/1000+'Inputs'!$B$21)+'Inputs'!$B$9)^2+('Inputs'!$B$8/2)^2)-(((600-43)*MAX('Inputs'!$B$33,'Inputs'!$B$29+'Inputs'!$B$31+'Inputs'!$B$32,'Inputs'!$B$30+'Inputs'!$B$31+'Inputs'!$B$32)/1000+'Inputs'!$B$21))/SQRT((((600-43)*MAX('Inputs'!$B$33,'Inputs'!$B$29+'Inputs'!$B$31+'Inputs'!$B$32,'Inputs'!$B$30+'Inputs'!$B$31+'Inputs'!$B$32)/1000+'Inputs'!$B$21))^2+('Inputs'!$B$8/2)^2)))-'Results'!B7*(1-'Inputs'!$B$24)*(0.5*((((600-43)*MAX('Inputs'!$B$33,'Inputs'!$B$29+'Inputs'!$B$31+'Inputs'!$B$32,'Inputs'!$B$30+'Inputs'!$B$31+'Inputs'!$B$32)/1000+'Inputs'!$B$21+'Inputs'!$B$9+'Inputs'!$B$10)+'Inputs'!$B$7)/SQRT((((600-43)*MAX('Inputs'!$B$33,'Inputs'!$B$29+'Inputs'!$B$31+'Inputs'!$B$32,'Inputs'!$B$30+'Inputs'!$B$31+'Inputs'!$B$32)/1000+'Inputs'!$B$21+'Inputs'!$B$9+'Inputs'!$B$10)+'Inputs'!$B$7)^2+('Inputs'!$B$6/2)^2)-(((600-43)*MAX('Inputs'!$B$33,'Inputs'!$B$29+'Inputs'!$B$31+'Inputs'!$B$32,'Inputs'!$B$30+'Inputs'!$B$31+'Inputs'!$B$32)/1000+'Inputs'!$B$21+'Inputs'!$B$9+'Inputs'!$B$10))/SQRT((((600-43)*MAX('Inputs'!$B$33,'Inputs'!$B$29+'Inputs'!$B$31+'Inputs'!$B$32,'Inputs'!$B$30+'Inputs'!$B$31+'Inputs'!$B$32)/1000+'Inputs'!$B$21+'Inputs'!$B$9+'Inputs'!$B$10))^2+('Inputs'!$B$6/2)^2))))*'Results'!$B$8)+'Inputs'!$B$28*ABS((('Results'!C7*(1+'Inputs'!$B$24)*(0.5*((((600-43)*MAX('Inputs'!$B$33,'Inputs'!$B$29+'Inputs'!$B$31+'Inputs'!$B$32,'Inputs'!$B$30+'Inputs'!$B$31+'Inputs'!$B$32)/1000+'Inputs'!$B$21)+'Inputs'!$B$9)/SQRT((((600-43)*MAX('Inputs'!$B$33,'Inputs'!$B$29+'Inputs'!$B$31+'Inputs'!$B$32,'Inputs'!$B$30+'Inputs'!$B$31+'Inputs'!$B$32)/1000+'Inputs'!$B$21)+'Inputs'!$B$9)^2+('Inputs'!$B$8/2)^2)-(((600-43)*MAX('Inputs'!$B$33,'Inputs'!$B$29+'Inputs'!$B$31+'Inputs'!$B$32,'Inputs'!$B$30+'Inputs'!$B$31+'Inputs'!$B$32)/1000+'Inputs'!$B$21))/SQRT((((600-43)*MAX('Inputs'!$B$33,'Inputs'!$B$29+'Inputs'!$B$31+'Inputs'!$B$32,'Inputs'!$B$30+'Inputs'!$B$31+'Inputs'!$B$32)/1000+'Inputs'!$B$21))^2+('Inputs'!$B$8/2)^2)))-'Results'!B7*(1-'Inputs'!$B$24)*(0.5*((((600-43)*MAX('Inputs'!$B$33,'Inputs'!$B$29+'Inputs'!$B$31+'Inputs'!$B$32,'Inputs'!$B$30+'Inputs'!$B$31+'Inputs'!$B$32)/1000+'Inputs'!$B$21+'Inputs'!$B$9+'Inputs'!$B$10)+'Inputs'!$B$7)/SQRT((((600-43)*MAX('Inputs'!$B$33,'Inputs'!$B$29+'Inputs'!$B$31+'Inputs'!$B$32,'Inputs'!$B$30+'Inputs'!$B$31+'Inputs'!$B$32)/1000+'Inputs'!$B$21+'Inputs'!$B$9+'Inputs'!$B$10)+'Inputs'!$B$7)^2+('Inputs'!$B$6/2)^2)-(((600-43)*MAX('Inputs'!$B$33,'Inputs'!$B$29+'Inputs'!$B$31+'Inputs'!$B$32,'Inputs'!$B$30+'Inputs'!$B$31+'Inputs'!$B$32)/1000+'Inputs'!$B$21+'Inputs'!$B$9+'Inputs'!$B$10))/SQRT((((600-43)*MAX('Inputs'!$B$33,'Inputs'!$B$29+'Inputs'!$B$31+'Inputs'!$B$32,'Inputs'!$B$30+'Inputs'!$B$31+'Inputs'!$B$32)/1000+'Inputs'!$B$21+'Inputs'!$B$9+'Inputs'!$B$10))^2+('Inputs'!$B$6/2)^2))))*'Results'!$B$8))),"")</x:f>
        <x:v>3.024127846853817</x:v>
      </x:c>
      <x:c r="P600" t="n">
        <x:f>IF(AND(MAX(J600,J599)&gt;0,J600&gt;J599+0.00000001),1,0)</x:f>
        <x:v>0</x:v>
      </x:c>
      <x:c r="Q600" t="n">
        <x:f>IF(AND(MAX(K600,K599)&gt;0,K600&gt;K599+0.00000001),1,0)</x:f>
        <x:v>0</x:v>
      </x:c>
      <x:c r="R600" t="n">
        <x:f>IF(AND(MAX(L600,L599)&gt;0,L600&gt;L599+0.00000001),1,0)</x:f>
        <x:v>0</x:v>
      </x:c>
      <x:c r="S600" t="n">
        <x:f>IF(AND(MAX(M600,M599)&gt;0,M600&gt;M599+0.00000001),1,0)</x:f>
        <x:v>0</x:v>
      </x:c>
      <x:c r="T600" t="n">
        <x:f>IF(AND(MAX(N600,N599)&gt;0,N600&gt;N599+0.00000001),1,0)</x:f>
        <x:v>0</x:v>
      </x:c>
      <x:c r="U600" t="n">
        <x:f>IF(AND(MAX(O600,O599)&gt;0,O600&gt;O599+0.00000001),1,0)</x:f>
        <x:v>0</x:v>
      </x:c>
    </x:row>
    <x:row r="601">
      <x:c r="J601" t="n">
        <x:f>IF(AND(ISNUMBER('Results'!B7),ISNUMBER('Results'!C7),ISNUMBER('Results'!$B$8),ISNUMBER('Inputs'!$B$6),ISNUMBER('Inputs'!$B$7),ISNUMBER('Inputs'!$B$8),ISNUMBER('Inputs'!$B$9),ISNUMBER('Inputs'!$B$10),ISNUMBER('Inputs'!$B$21),ISNUMBER('Inputs'!$B$24),ISNUMBER('Inputs'!$B$28)),(('Results'!B7*(0.5*((((601-43)*MAX('Inputs'!$B$33,'Inputs'!$B$29+'Inputs'!$B$31+'Inputs'!$B$32,'Inputs'!$B$30+'Inputs'!$B$31+'Inputs'!$B$32)/1000+'Inputs'!$B$21)+'Inputs'!$B$7)/SQRT((((601-43)*MAX('Inputs'!$B$33,'Inputs'!$B$29+'Inputs'!$B$31+'Inputs'!$B$32,'Inputs'!$B$30+'Inputs'!$B$31+'Inputs'!$B$32)/1000+'Inputs'!$B$21)+'Inputs'!$B$7)^2+('Inputs'!$B$6/2)^2)-(((601-43)*MAX('Inputs'!$B$33,'Inputs'!$B$29+'Inputs'!$B$31+'Inputs'!$B$32,'Inputs'!$B$30+'Inputs'!$B$31+'Inputs'!$B$32)/1000+'Inputs'!$B$21))/SQRT((((601-43)*MAX('Inputs'!$B$33,'Inputs'!$B$29+'Inputs'!$B$31+'Inputs'!$B$32,'Inputs'!$B$30+'Inputs'!$B$31+'Inputs'!$B$32)/1000+'Inputs'!$B$21))^2+('Inputs'!$B$6/2)^2)))-'Results'!C7*(0.5*((((601-43)*MAX('Inputs'!$B$33,'Inputs'!$B$29+'Inputs'!$B$31+'Inputs'!$B$32,'Inputs'!$B$30+'Inputs'!$B$31+'Inputs'!$B$32)/1000+'Inputs'!$B$21+'Inputs'!$B$7+'Inputs'!$B$10)+'Inputs'!$B$9)/SQRT((((601-43)*MAX('Inputs'!$B$33,'Inputs'!$B$29+'Inputs'!$B$31+'Inputs'!$B$32,'Inputs'!$B$30+'Inputs'!$B$31+'Inputs'!$B$32)/1000+'Inputs'!$B$21+'Inputs'!$B$7+'Inputs'!$B$10)+'Inputs'!$B$9)^2+('Inputs'!$B$8/2)^2)-(((601-43)*MAX('Inputs'!$B$33,'Inputs'!$B$29+'Inputs'!$B$31+'Inputs'!$B$32,'Inputs'!$B$30+'Inputs'!$B$31+'Inputs'!$B$32)/1000+'Inputs'!$B$21+'Inputs'!$B$7+'Inputs'!$B$10))/SQRT((((601-43)*MAX('Inputs'!$B$33,'Inputs'!$B$29+'Inputs'!$B$31+'Inputs'!$B$32,'Inputs'!$B$30+'Inputs'!$B$31+'Inputs'!$B$32)/1000+'Inputs'!$B$21+'Inputs'!$B$7+'Inputs'!$B$10))^2+('Inputs'!$B$8/2)^2))))*'Results'!$B$8),"")</x:f>
        <x:v>2.8649613368599534</x:v>
      </x:c>
      <x:c r="K601" t="n">
        <x:f>IF(AND(ISNUMBER('Results'!B7),ISNUMBER('Results'!C7),ISNUMBER('Results'!$B$8),ISNUMBER('Inputs'!$B$6),ISNUMBER('Inputs'!$B$7),ISNUMBER('Inputs'!$B$8),ISNUMBER('Inputs'!$B$9),ISNUMBER('Inputs'!$B$10),ISNUMBER('Inputs'!$B$21),ISNUMBER('Inputs'!$B$24),ISNUMBER('Inputs'!$B$28)),((('Results'!B7*(1-'Inputs'!$B$24)*(0.5*((((601-43)*MAX('Inputs'!$B$33,'Inputs'!$B$29+'Inputs'!$B$31+'Inputs'!$B$32,'Inputs'!$B$30+'Inputs'!$B$31+'Inputs'!$B$32)/1000+'Inputs'!$B$21)+'Inputs'!$B$7)/SQRT((((601-43)*MAX('Inputs'!$B$33,'Inputs'!$B$29+'Inputs'!$B$31+'Inputs'!$B$32,'Inputs'!$B$30+'Inputs'!$B$31+'Inputs'!$B$32)/1000+'Inputs'!$B$21)+'Inputs'!$B$7)^2+('Inputs'!$B$6/2)^2)-(((601-43)*MAX('Inputs'!$B$33,'Inputs'!$B$29+'Inputs'!$B$31+'Inputs'!$B$32,'Inputs'!$B$30+'Inputs'!$B$31+'Inputs'!$B$32)/1000+'Inputs'!$B$21))/SQRT((((601-43)*MAX('Inputs'!$B$33,'Inputs'!$B$29+'Inputs'!$B$31+'Inputs'!$B$32,'Inputs'!$B$30+'Inputs'!$B$31+'Inputs'!$B$32)/1000+'Inputs'!$B$21))^2+('Inputs'!$B$6/2)^2)))-'Results'!C7*(1+'Inputs'!$B$24)*(0.5*((((601-43)*MAX('Inputs'!$B$33,'Inputs'!$B$29+'Inputs'!$B$31+'Inputs'!$B$32,'Inputs'!$B$30+'Inputs'!$B$31+'Inputs'!$B$32)/1000+'Inputs'!$B$21+'Inputs'!$B$7+'Inputs'!$B$10)+'Inputs'!$B$9)/SQRT((((601-43)*MAX('Inputs'!$B$33,'Inputs'!$B$29+'Inputs'!$B$31+'Inputs'!$B$32,'Inputs'!$B$30+'Inputs'!$B$31+'Inputs'!$B$32)/1000+'Inputs'!$B$21+'Inputs'!$B$7+'Inputs'!$B$10)+'Inputs'!$B$9)^2+('Inputs'!$B$8/2)^2)-(((601-43)*MAX('Inputs'!$B$33,'Inputs'!$B$29+'Inputs'!$B$31+'Inputs'!$B$32,'Inputs'!$B$30+'Inputs'!$B$31+'Inputs'!$B$32)/1000+'Inputs'!$B$21+'Inputs'!$B$7+'Inputs'!$B$10))/SQRT((((601-43)*MAX('Inputs'!$B$33,'Inputs'!$B$29+'Inputs'!$B$31+'Inputs'!$B$32,'Inputs'!$B$30+'Inputs'!$B$31+'Inputs'!$B$32)/1000+'Inputs'!$B$21+'Inputs'!$B$7+'Inputs'!$B$10))^2+('Inputs'!$B$8/2)^2))))*'Results'!$B$8)-'Inputs'!$B$28*ABS((('Results'!B7*(1-'Inputs'!$B$24)*(0.5*((((601-43)*MAX('Inputs'!$B$33,'Inputs'!$B$29+'Inputs'!$B$31+'Inputs'!$B$32,'Inputs'!$B$30+'Inputs'!$B$31+'Inputs'!$B$32)/1000+'Inputs'!$B$21)+'Inputs'!$B$7)/SQRT((((601-43)*MAX('Inputs'!$B$33,'Inputs'!$B$29+'Inputs'!$B$31+'Inputs'!$B$32,'Inputs'!$B$30+'Inputs'!$B$31+'Inputs'!$B$32)/1000+'Inputs'!$B$21)+'Inputs'!$B$7)^2+('Inputs'!$B$6/2)^2)-(((601-43)*MAX('Inputs'!$B$33,'Inputs'!$B$29+'Inputs'!$B$31+'Inputs'!$B$32,'Inputs'!$B$30+'Inputs'!$B$31+'Inputs'!$B$32)/1000+'Inputs'!$B$21))/SQRT((((601-43)*MAX('Inputs'!$B$33,'Inputs'!$B$29+'Inputs'!$B$31+'Inputs'!$B$32,'Inputs'!$B$30+'Inputs'!$B$31+'Inputs'!$B$32)/1000+'Inputs'!$B$21))^2+('Inputs'!$B$6/2)^2)))-'Results'!C7*(1+'Inputs'!$B$24)*(0.5*((((601-43)*MAX('Inputs'!$B$33,'Inputs'!$B$29+'Inputs'!$B$31+'Inputs'!$B$32,'Inputs'!$B$30+'Inputs'!$B$31+'Inputs'!$B$32)/1000+'Inputs'!$B$21+'Inputs'!$B$7+'Inputs'!$B$10)+'Inputs'!$B$9)/SQRT((((601-43)*MAX('Inputs'!$B$33,'Inputs'!$B$29+'Inputs'!$B$31+'Inputs'!$B$32,'Inputs'!$B$30+'Inputs'!$B$31+'Inputs'!$B$32)/1000+'Inputs'!$B$21+'Inputs'!$B$7+'Inputs'!$B$10)+'Inputs'!$B$9)^2+('Inputs'!$B$8/2)^2)-(((601-43)*MAX('Inputs'!$B$33,'Inputs'!$B$29+'Inputs'!$B$31+'Inputs'!$B$32,'Inputs'!$B$30+'Inputs'!$B$31+'Inputs'!$B$32)/1000+'Inputs'!$B$21+'Inputs'!$B$7+'Inputs'!$B$10))/SQRT((((601-43)*MAX('Inputs'!$B$33,'Inputs'!$B$29+'Inputs'!$B$31+'Inputs'!$B$32,'Inputs'!$B$30+'Inputs'!$B$31+'Inputs'!$B$32)/1000+'Inputs'!$B$21+'Inputs'!$B$7+'Inputs'!$B$10))^2+('Inputs'!$B$8/2)^2))))*'Results'!$B$8))),"")</x:f>
        <x:v>2.5207359066597697</x:v>
      </x:c>
      <x:c r="L601" t="n">
        <x:f>IF(AND(ISNUMBER('Results'!B7),ISNUMBER('Results'!C7),ISNUMBER('Results'!$B$8),ISNUMBER('Inputs'!$B$6),ISNUMBER('Inputs'!$B$7),ISNUMBER('Inputs'!$B$8),ISNUMBER('Inputs'!$B$9),ISNUMBER('Inputs'!$B$10),ISNUMBER('Inputs'!$B$21),ISNUMBER('Inputs'!$B$24),ISNUMBER('Inputs'!$B$28)),((('Results'!B7*(1+'Inputs'!$B$24)*(0.5*((((601-43)*MAX('Inputs'!$B$33,'Inputs'!$B$29+'Inputs'!$B$31+'Inputs'!$B$32,'Inputs'!$B$30+'Inputs'!$B$31+'Inputs'!$B$32)/1000+'Inputs'!$B$21)+'Inputs'!$B$7)/SQRT((((601-43)*MAX('Inputs'!$B$33,'Inputs'!$B$29+'Inputs'!$B$31+'Inputs'!$B$32,'Inputs'!$B$30+'Inputs'!$B$31+'Inputs'!$B$32)/1000+'Inputs'!$B$21)+'Inputs'!$B$7)^2+('Inputs'!$B$6/2)^2)-(((601-43)*MAX('Inputs'!$B$33,'Inputs'!$B$29+'Inputs'!$B$31+'Inputs'!$B$32,'Inputs'!$B$30+'Inputs'!$B$31+'Inputs'!$B$32)/1000+'Inputs'!$B$21))/SQRT((((601-43)*MAX('Inputs'!$B$33,'Inputs'!$B$29+'Inputs'!$B$31+'Inputs'!$B$32,'Inputs'!$B$30+'Inputs'!$B$31+'Inputs'!$B$32)/1000+'Inputs'!$B$21))^2+('Inputs'!$B$6/2)^2)))-'Results'!C7*(1-'Inputs'!$B$24)*(0.5*((((601-43)*MAX('Inputs'!$B$33,'Inputs'!$B$29+'Inputs'!$B$31+'Inputs'!$B$32,'Inputs'!$B$30+'Inputs'!$B$31+'Inputs'!$B$32)/1000+'Inputs'!$B$21+'Inputs'!$B$7+'Inputs'!$B$10)+'Inputs'!$B$9)/SQRT((((601-43)*MAX('Inputs'!$B$33,'Inputs'!$B$29+'Inputs'!$B$31+'Inputs'!$B$32,'Inputs'!$B$30+'Inputs'!$B$31+'Inputs'!$B$32)/1000+'Inputs'!$B$21+'Inputs'!$B$7+'Inputs'!$B$10)+'Inputs'!$B$9)^2+('Inputs'!$B$8/2)^2)-(((601-43)*MAX('Inputs'!$B$33,'Inputs'!$B$29+'Inputs'!$B$31+'Inputs'!$B$32,'Inputs'!$B$30+'Inputs'!$B$31+'Inputs'!$B$32)/1000+'Inputs'!$B$21+'Inputs'!$B$7+'Inputs'!$B$10))/SQRT((((601-43)*MAX('Inputs'!$B$33,'Inputs'!$B$29+'Inputs'!$B$31+'Inputs'!$B$32,'Inputs'!$B$30+'Inputs'!$B$31+'Inputs'!$B$32)/1000+'Inputs'!$B$21+'Inputs'!$B$7+'Inputs'!$B$10))^2+('Inputs'!$B$8/2)^2))))*'Results'!$B$8)+'Inputs'!$B$28*ABS((('Results'!B7*(1+'Inputs'!$B$24)*(0.5*((((601-43)*MAX('Inputs'!$B$33,'Inputs'!$B$29+'Inputs'!$B$31+'Inputs'!$B$32,'Inputs'!$B$30+'Inputs'!$B$31+'Inputs'!$B$32)/1000+'Inputs'!$B$21)+'Inputs'!$B$7)/SQRT((((601-43)*MAX('Inputs'!$B$33,'Inputs'!$B$29+'Inputs'!$B$31+'Inputs'!$B$32,'Inputs'!$B$30+'Inputs'!$B$31+'Inputs'!$B$32)/1000+'Inputs'!$B$21)+'Inputs'!$B$7)^2+('Inputs'!$B$6/2)^2)-(((601-43)*MAX('Inputs'!$B$33,'Inputs'!$B$29+'Inputs'!$B$31+'Inputs'!$B$32,'Inputs'!$B$30+'Inputs'!$B$31+'Inputs'!$B$32)/1000+'Inputs'!$B$21))/SQRT((((601-43)*MAX('Inputs'!$B$33,'Inputs'!$B$29+'Inputs'!$B$31+'Inputs'!$B$32,'Inputs'!$B$30+'Inputs'!$B$31+'Inputs'!$B$32)/1000+'Inputs'!$B$21))^2+('Inputs'!$B$6/2)^2)))-'Results'!C7*(1-'Inputs'!$B$24)*(0.5*((((601-43)*MAX('Inputs'!$B$33,'Inputs'!$B$29+'Inputs'!$B$31+'Inputs'!$B$32,'Inputs'!$B$30+'Inputs'!$B$31+'Inputs'!$B$32)/1000+'Inputs'!$B$21+'Inputs'!$B$7+'Inputs'!$B$10)+'Inputs'!$B$9)/SQRT((((601-43)*MAX('Inputs'!$B$33,'Inputs'!$B$29+'Inputs'!$B$31+'Inputs'!$B$32,'Inputs'!$B$30+'Inputs'!$B$31+'Inputs'!$B$32)/1000+'Inputs'!$B$21+'Inputs'!$B$7+'Inputs'!$B$10)+'Inputs'!$B$9)^2+('Inputs'!$B$8/2)^2)-(((601-43)*MAX('Inputs'!$B$33,'Inputs'!$B$29+'Inputs'!$B$31+'Inputs'!$B$32,'Inputs'!$B$30+'Inputs'!$B$31+'Inputs'!$B$32)/1000+'Inputs'!$B$21+'Inputs'!$B$7+'Inputs'!$B$10))/SQRT((((601-43)*MAX('Inputs'!$B$33,'Inputs'!$B$29+'Inputs'!$B$31+'Inputs'!$B$32,'Inputs'!$B$30+'Inputs'!$B$31+'Inputs'!$B$32)/1000+'Inputs'!$B$21+'Inputs'!$B$7+'Inputs'!$B$10))^2+('Inputs'!$B$8/2)^2))))*'Results'!$B$8))),"")</x:f>
        <x:v>3.230342278992473</x:v>
      </x:c>
      <x:c r="M601" t="n">
        <x:f>IF(AND(ISNUMBER('Results'!C7),ISNUMBER('Results'!B7),ISNUMBER('Results'!$B$8),ISNUMBER('Inputs'!$B$6),ISNUMBER('Inputs'!$B$7),ISNUMBER('Inputs'!$B$8),ISNUMBER('Inputs'!$B$9),ISNUMBER('Inputs'!$B$10),ISNUMBER('Inputs'!$B$21),ISNUMBER('Inputs'!$B$24),ISNUMBER('Inputs'!$B$28)),(('Results'!C7*(0.5*((((601-43)*MAX('Inputs'!$B$33,'Inputs'!$B$29+'Inputs'!$B$31+'Inputs'!$B$32,'Inputs'!$B$30+'Inputs'!$B$31+'Inputs'!$B$32)/1000+'Inputs'!$B$21)+'Inputs'!$B$9)/SQRT((((601-43)*MAX('Inputs'!$B$33,'Inputs'!$B$29+'Inputs'!$B$31+'Inputs'!$B$32,'Inputs'!$B$30+'Inputs'!$B$31+'Inputs'!$B$32)/1000+'Inputs'!$B$21)+'Inputs'!$B$9)^2+('Inputs'!$B$8/2)^2)-(((601-43)*MAX('Inputs'!$B$33,'Inputs'!$B$29+'Inputs'!$B$31+'Inputs'!$B$32,'Inputs'!$B$30+'Inputs'!$B$31+'Inputs'!$B$32)/1000+'Inputs'!$B$21))/SQRT((((601-43)*MAX('Inputs'!$B$33,'Inputs'!$B$29+'Inputs'!$B$31+'Inputs'!$B$32,'Inputs'!$B$30+'Inputs'!$B$31+'Inputs'!$B$32)/1000+'Inputs'!$B$21))^2+('Inputs'!$B$8/2)^2)))-'Results'!B7*(0.5*((((601-43)*MAX('Inputs'!$B$33,'Inputs'!$B$29+'Inputs'!$B$31+'Inputs'!$B$32,'Inputs'!$B$30+'Inputs'!$B$31+'Inputs'!$B$32)/1000+'Inputs'!$B$21+'Inputs'!$B$9+'Inputs'!$B$10)+'Inputs'!$B$7)/SQRT((((601-43)*MAX('Inputs'!$B$33,'Inputs'!$B$29+'Inputs'!$B$31+'Inputs'!$B$32,'Inputs'!$B$30+'Inputs'!$B$31+'Inputs'!$B$32)/1000+'Inputs'!$B$21+'Inputs'!$B$9+'Inputs'!$B$10)+'Inputs'!$B$7)^2+('Inputs'!$B$6/2)^2)-(((601-43)*MAX('Inputs'!$B$33,'Inputs'!$B$29+'Inputs'!$B$31+'Inputs'!$B$32,'Inputs'!$B$30+'Inputs'!$B$31+'Inputs'!$B$32)/1000+'Inputs'!$B$21+'Inputs'!$B$9+'Inputs'!$B$10))/SQRT((((601-43)*MAX('Inputs'!$B$33,'Inputs'!$B$29+'Inputs'!$B$31+'Inputs'!$B$32,'Inputs'!$B$30+'Inputs'!$B$31+'Inputs'!$B$32)/1000+'Inputs'!$B$21+'Inputs'!$B$9+'Inputs'!$B$10))^2+('Inputs'!$B$6/2)^2))))*'Results'!$B$8),"")</x:f>
        <x:v>2.651832177816334</x:v>
      </x:c>
      <x:c r="N601" t="n">
        <x:f>IF(AND(ISNUMBER('Results'!C7),ISNUMBER('Results'!B7),ISNUMBER('Results'!$B$8),ISNUMBER('Inputs'!$B$6),ISNUMBER('Inputs'!$B$7),ISNUMBER('Inputs'!$B$8),ISNUMBER('Inputs'!$B$9),ISNUMBER('Inputs'!$B$10),ISNUMBER('Inputs'!$B$21),ISNUMBER('Inputs'!$B$24),ISNUMBER('Inputs'!$B$28)),((('Results'!C7*(1-'Inputs'!$B$24)*(0.5*((((601-43)*MAX('Inputs'!$B$33,'Inputs'!$B$29+'Inputs'!$B$31+'Inputs'!$B$32,'Inputs'!$B$30+'Inputs'!$B$31+'Inputs'!$B$32)/1000+'Inputs'!$B$21)+'Inputs'!$B$9)/SQRT((((601-43)*MAX('Inputs'!$B$33,'Inputs'!$B$29+'Inputs'!$B$31+'Inputs'!$B$32,'Inputs'!$B$30+'Inputs'!$B$31+'Inputs'!$B$32)/1000+'Inputs'!$B$21)+'Inputs'!$B$9)^2+('Inputs'!$B$8/2)^2)-(((601-43)*MAX('Inputs'!$B$33,'Inputs'!$B$29+'Inputs'!$B$31+'Inputs'!$B$32,'Inputs'!$B$30+'Inputs'!$B$31+'Inputs'!$B$32)/1000+'Inputs'!$B$21))/SQRT((((601-43)*MAX('Inputs'!$B$33,'Inputs'!$B$29+'Inputs'!$B$31+'Inputs'!$B$32,'Inputs'!$B$30+'Inputs'!$B$31+'Inputs'!$B$32)/1000+'Inputs'!$B$21))^2+('Inputs'!$B$8/2)^2)))-'Results'!B7*(1+'Inputs'!$B$24)*(0.5*((((601-43)*MAX('Inputs'!$B$33,'Inputs'!$B$29+'Inputs'!$B$31+'Inputs'!$B$32,'Inputs'!$B$30+'Inputs'!$B$31+'Inputs'!$B$32)/1000+'Inputs'!$B$21+'Inputs'!$B$9+'Inputs'!$B$10)+'Inputs'!$B$7)/SQRT((((601-43)*MAX('Inputs'!$B$33,'Inputs'!$B$29+'Inputs'!$B$31+'Inputs'!$B$32,'Inputs'!$B$30+'Inputs'!$B$31+'Inputs'!$B$32)/1000+'Inputs'!$B$21+'Inputs'!$B$9+'Inputs'!$B$10)+'Inputs'!$B$7)^2+('Inputs'!$B$6/2)^2)-(((601-43)*MAX('Inputs'!$B$33,'Inputs'!$B$29+'Inputs'!$B$31+'Inputs'!$B$32,'Inputs'!$B$30+'Inputs'!$B$31+'Inputs'!$B$32)/1000+'Inputs'!$B$21+'Inputs'!$B$9+'Inputs'!$B$10))/SQRT((((601-43)*MAX('Inputs'!$B$33,'Inputs'!$B$29+'Inputs'!$B$31+'Inputs'!$B$32,'Inputs'!$B$30+'Inputs'!$B$31+'Inputs'!$B$32)/1000+'Inputs'!$B$21+'Inputs'!$B$9+'Inputs'!$B$10))^2+('Inputs'!$B$6/2)^2))))*'Results'!$B$8)-'Inputs'!$B$28*ABS((('Results'!C7*(1-'Inputs'!$B$24)*(0.5*((((601-43)*MAX('Inputs'!$B$33,'Inputs'!$B$29+'Inputs'!$B$31+'Inputs'!$B$32,'Inputs'!$B$30+'Inputs'!$B$31+'Inputs'!$B$32)/1000+'Inputs'!$B$21)+'Inputs'!$B$9)/SQRT((((601-43)*MAX('Inputs'!$B$33,'Inputs'!$B$29+'Inputs'!$B$31+'Inputs'!$B$32,'Inputs'!$B$30+'Inputs'!$B$31+'Inputs'!$B$32)/1000+'Inputs'!$B$21)+'Inputs'!$B$9)^2+('Inputs'!$B$8/2)^2)-(((601-43)*MAX('Inputs'!$B$33,'Inputs'!$B$29+'Inputs'!$B$31+'Inputs'!$B$32,'Inputs'!$B$30+'Inputs'!$B$31+'Inputs'!$B$32)/1000+'Inputs'!$B$21))/SQRT((((601-43)*MAX('Inputs'!$B$33,'Inputs'!$B$29+'Inputs'!$B$31+'Inputs'!$B$32,'Inputs'!$B$30+'Inputs'!$B$31+'Inputs'!$B$32)/1000+'Inputs'!$B$21))^2+('Inputs'!$B$8/2)^2)))-'Results'!B7*(1+'Inputs'!$B$24)*(0.5*((((601-43)*MAX('Inputs'!$B$33,'Inputs'!$B$29+'Inputs'!$B$31+'Inputs'!$B$32,'Inputs'!$B$30+'Inputs'!$B$31+'Inputs'!$B$32)/1000+'Inputs'!$B$21+'Inputs'!$B$9+'Inputs'!$B$10)+'Inputs'!$B$7)/SQRT((((601-43)*MAX('Inputs'!$B$33,'Inputs'!$B$29+'Inputs'!$B$31+'Inputs'!$B$32,'Inputs'!$B$30+'Inputs'!$B$31+'Inputs'!$B$32)/1000+'Inputs'!$B$21+'Inputs'!$B$9+'Inputs'!$B$10)+'Inputs'!$B$7)^2+('Inputs'!$B$6/2)^2)-(((601-43)*MAX('Inputs'!$B$33,'Inputs'!$B$29+'Inputs'!$B$31+'Inputs'!$B$32,'Inputs'!$B$30+'Inputs'!$B$31+'Inputs'!$B$32)/1000+'Inputs'!$B$21+'Inputs'!$B$9+'Inputs'!$B$10))/SQRT((((601-43)*MAX('Inputs'!$B$33,'Inputs'!$B$29+'Inputs'!$B$31+'Inputs'!$B$32,'Inputs'!$B$30+'Inputs'!$B$31+'Inputs'!$B$32)/1000+'Inputs'!$B$21+'Inputs'!$B$9+'Inputs'!$B$10))^2+('Inputs'!$B$6/2)^2))))*'Results'!$B$8))),"")</x:f>
        <x:v>2.319321984121652</x:v>
      </x:c>
      <x:c r="O601" t="n">
        <x:f>IF(AND(ISNUMBER('Results'!C7),ISNUMBER('Results'!B7),ISNUMBER('Results'!$B$8),ISNUMBER('Inputs'!$B$6),ISNUMBER('Inputs'!$B$7),ISNUMBER('Inputs'!$B$8),ISNUMBER('Inputs'!$B$9),ISNUMBER('Inputs'!$B$10),ISNUMBER('Inputs'!$B$21),ISNUMBER('Inputs'!$B$24),ISNUMBER('Inputs'!$B$28)),((('Results'!C7*(1+'Inputs'!$B$24)*(0.5*((((601-43)*MAX('Inputs'!$B$33,'Inputs'!$B$29+'Inputs'!$B$31+'Inputs'!$B$32,'Inputs'!$B$30+'Inputs'!$B$31+'Inputs'!$B$32)/1000+'Inputs'!$B$21)+'Inputs'!$B$9)/SQRT((((601-43)*MAX('Inputs'!$B$33,'Inputs'!$B$29+'Inputs'!$B$31+'Inputs'!$B$32,'Inputs'!$B$30+'Inputs'!$B$31+'Inputs'!$B$32)/1000+'Inputs'!$B$21)+'Inputs'!$B$9)^2+('Inputs'!$B$8/2)^2)-(((601-43)*MAX('Inputs'!$B$33,'Inputs'!$B$29+'Inputs'!$B$31+'Inputs'!$B$32,'Inputs'!$B$30+'Inputs'!$B$31+'Inputs'!$B$32)/1000+'Inputs'!$B$21))/SQRT((((601-43)*MAX('Inputs'!$B$33,'Inputs'!$B$29+'Inputs'!$B$31+'Inputs'!$B$32,'Inputs'!$B$30+'Inputs'!$B$31+'Inputs'!$B$32)/1000+'Inputs'!$B$21))^2+('Inputs'!$B$8/2)^2)))-'Results'!B7*(1-'Inputs'!$B$24)*(0.5*((((601-43)*MAX('Inputs'!$B$33,'Inputs'!$B$29+'Inputs'!$B$31+'Inputs'!$B$32,'Inputs'!$B$30+'Inputs'!$B$31+'Inputs'!$B$32)/1000+'Inputs'!$B$21+'Inputs'!$B$9+'Inputs'!$B$10)+'Inputs'!$B$7)/SQRT((((601-43)*MAX('Inputs'!$B$33,'Inputs'!$B$29+'Inputs'!$B$31+'Inputs'!$B$32,'Inputs'!$B$30+'Inputs'!$B$31+'Inputs'!$B$32)/1000+'Inputs'!$B$21+'Inputs'!$B$9+'Inputs'!$B$10)+'Inputs'!$B$7)^2+('Inputs'!$B$6/2)^2)-(((601-43)*MAX('Inputs'!$B$33,'Inputs'!$B$29+'Inputs'!$B$31+'Inputs'!$B$32,'Inputs'!$B$30+'Inputs'!$B$31+'Inputs'!$B$32)/1000+'Inputs'!$B$21+'Inputs'!$B$9+'Inputs'!$B$10))/SQRT((((601-43)*MAX('Inputs'!$B$33,'Inputs'!$B$29+'Inputs'!$B$31+'Inputs'!$B$32,'Inputs'!$B$30+'Inputs'!$B$31+'Inputs'!$B$32)/1000+'Inputs'!$B$21+'Inputs'!$B$9+'Inputs'!$B$10))^2+('Inputs'!$B$6/2)^2))))*'Results'!$B$8)+'Inputs'!$B$28*ABS((('Results'!C7*(1+'Inputs'!$B$24)*(0.5*((((601-43)*MAX('Inputs'!$B$33,'Inputs'!$B$29+'Inputs'!$B$31+'Inputs'!$B$32,'Inputs'!$B$30+'Inputs'!$B$31+'Inputs'!$B$32)/1000+'Inputs'!$B$21)+'Inputs'!$B$9)/SQRT((((601-43)*MAX('Inputs'!$B$33,'Inputs'!$B$29+'Inputs'!$B$31+'Inputs'!$B$32,'Inputs'!$B$30+'Inputs'!$B$31+'Inputs'!$B$32)/1000+'Inputs'!$B$21)+'Inputs'!$B$9)^2+('Inputs'!$B$8/2)^2)-(((601-43)*MAX('Inputs'!$B$33,'Inputs'!$B$29+'Inputs'!$B$31+'Inputs'!$B$32,'Inputs'!$B$30+'Inputs'!$B$31+'Inputs'!$B$32)/1000+'Inputs'!$B$21))/SQRT((((601-43)*MAX('Inputs'!$B$33,'Inputs'!$B$29+'Inputs'!$B$31+'Inputs'!$B$32,'Inputs'!$B$30+'Inputs'!$B$31+'Inputs'!$B$32)/1000+'Inputs'!$B$21))^2+('Inputs'!$B$8/2)^2)))-'Results'!B7*(1-'Inputs'!$B$24)*(0.5*((((601-43)*MAX('Inputs'!$B$33,'Inputs'!$B$29+'Inputs'!$B$31+'Inputs'!$B$32,'Inputs'!$B$30+'Inputs'!$B$31+'Inputs'!$B$32)/1000+'Inputs'!$B$21+'Inputs'!$B$9+'Inputs'!$B$10)+'Inputs'!$B$7)/SQRT((((601-43)*MAX('Inputs'!$B$33,'Inputs'!$B$29+'Inputs'!$B$31+'Inputs'!$B$32,'Inputs'!$B$30+'Inputs'!$B$31+'Inputs'!$B$32)/1000+'Inputs'!$B$21+'Inputs'!$B$9+'Inputs'!$B$10)+'Inputs'!$B$7)^2+('Inputs'!$B$6/2)^2)-(((601-43)*MAX('Inputs'!$B$33,'Inputs'!$B$29+'Inputs'!$B$31+'Inputs'!$B$32,'Inputs'!$B$30+'Inputs'!$B$31+'Inputs'!$B$32)/1000+'Inputs'!$B$21+'Inputs'!$B$9+'Inputs'!$B$10))/SQRT((((601-43)*MAX('Inputs'!$B$33,'Inputs'!$B$29+'Inputs'!$B$31+'Inputs'!$B$32,'Inputs'!$B$30+'Inputs'!$B$31+'Inputs'!$B$32)/1000+'Inputs'!$B$21+'Inputs'!$B$9+'Inputs'!$B$10))^2+('Inputs'!$B$6/2)^2))))*'Results'!$B$8))),"")</x:f>
        <x:v>3.005386433069316</x:v>
      </x:c>
      <x:c r="P601" t="n">
        <x:f>IF(AND(MAX(J601,J600)&gt;0,J601&gt;J600+0.00000001),1,0)</x:f>
        <x:v>0</x:v>
      </x:c>
      <x:c r="Q601" t="n">
        <x:f>IF(AND(MAX(K601,K600)&gt;0,K601&gt;K600+0.00000001),1,0)</x:f>
        <x:v>0</x:v>
      </x:c>
      <x:c r="R601" t="n">
        <x:f>IF(AND(MAX(L601,L600)&gt;0,L601&gt;L600+0.00000001),1,0)</x:f>
        <x:v>0</x:v>
      </x:c>
      <x:c r="S601" t="n">
        <x:f>IF(AND(MAX(M601,M600)&gt;0,M601&gt;M600+0.00000001),1,0)</x:f>
        <x:v>0</x:v>
      </x:c>
      <x:c r="T601" t="n">
        <x:f>IF(AND(MAX(N601,N600)&gt;0,N601&gt;N600+0.00000001),1,0)</x:f>
        <x:v>0</x:v>
      </x:c>
      <x:c r="U601" t="n">
        <x:f>IF(AND(MAX(O601,O600)&gt;0,O601&gt;O600+0.00000001),1,0)</x:f>
        <x:v>0</x:v>
      </x:c>
    </x:row>
    <x:row r="602">
      <x:c r="J602" t="n">
        <x:f>IF(AND(ISNUMBER('Results'!B7),ISNUMBER('Results'!C7),ISNUMBER('Results'!$B$8),ISNUMBER('Inputs'!$B$6),ISNUMBER('Inputs'!$B$7),ISNUMBER('Inputs'!$B$8),ISNUMBER('Inputs'!$B$9),ISNUMBER('Inputs'!$B$10),ISNUMBER('Inputs'!$B$21),ISNUMBER('Inputs'!$B$24),ISNUMBER('Inputs'!$B$28)),(('Results'!B7*(0.5*((((602-43)*MAX('Inputs'!$B$33,'Inputs'!$B$29+'Inputs'!$B$31+'Inputs'!$B$32,'Inputs'!$B$30+'Inputs'!$B$31+'Inputs'!$B$32)/1000+'Inputs'!$B$21)+'Inputs'!$B$7)/SQRT((((602-43)*MAX('Inputs'!$B$33,'Inputs'!$B$29+'Inputs'!$B$31+'Inputs'!$B$32,'Inputs'!$B$30+'Inputs'!$B$31+'Inputs'!$B$32)/1000+'Inputs'!$B$21)+'Inputs'!$B$7)^2+('Inputs'!$B$6/2)^2)-(((602-43)*MAX('Inputs'!$B$33,'Inputs'!$B$29+'Inputs'!$B$31+'Inputs'!$B$32,'Inputs'!$B$30+'Inputs'!$B$31+'Inputs'!$B$32)/1000+'Inputs'!$B$21))/SQRT((((602-43)*MAX('Inputs'!$B$33,'Inputs'!$B$29+'Inputs'!$B$31+'Inputs'!$B$32,'Inputs'!$B$30+'Inputs'!$B$31+'Inputs'!$B$32)/1000+'Inputs'!$B$21))^2+('Inputs'!$B$6/2)^2)))-'Results'!C7*(0.5*((((602-43)*MAX('Inputs'!$B$33,'Inputs'!$B$29+'Inputs'!$B$31+'Inputs'!$B$32,'Inputs'!$B$30+'Inputs'!$B$31+'Inputs'!$B$32)/1000+'Inputs'!$B$21+'Inputs'!$B$7+'Inputs'!$B$10)+'Inputs'!$B$9)/SQRT((((602-43)*MAX('Inputs'!$B$33,'Inputs'!$B$29+'Inputs'!$B$31+'Inputs'!$B$32,'Inputs'!$B$30+'Inputs'!$B$31+'Inputs'!$B$32)/1000+'Inputs'!$B$21+'Inputs'!$B$7+'Inputs'!$B$10)+'Inputs'!$B$9)^2+('Inputs'!$B$8/2)^2)-(((602-43)*MAX('Inputs'!$B$33,'Inputs'!$B$29+'Inputs'!$B$31+'Inputs'!$B$32,'Inputs'!$B$30+'Inputs'!$B$31+'Inputs'!$B$32)/1000+'Inputs'!$B$21+'Inputs'!$B$7+'Inputs'!$B$10))/SQRT((((602-43)*MAX('Inputs'!$B$33,'Inputs'!$B$29+'Inputs'!$B$31+'Inputs'!$B$32,'Inputs'!$B$30+'Inputs'!$B$31+'Inputs'!$B$32)/1000+'Inputs'!$B$21+'Inputs'!$B$7+'Inputs'!$B$10))^2+('Inputs'!$B$8/2)^2))))*'Results'!$B$8),"")</x:f>
        <x:v>2.8472370469893957</x:v>
      </x:c>
      <x:c r="K602" t="n">
        <x:f>IF(AND(ISNUMBER('Results'!B7),ISNUMBER('Results'!C7),ISNUMBER('Results'!$B$8),ISNUMBER('Inputs'!$B$6),ISNUMBER('Inputs'!$B$7),ISNUMBER('Inputs'!$B$8),ISNUMBER('Inputs'!$B$9),ISNUMBER('Inputs'!$B$10),ISNUMBER('Inputs'!$B$21),ISNUMBER('Inputs'!$B$24),ISNUMBER('Inputs'!$B$28)),((('Results'!B7*(1-'Inputs'!$B$24)*(0.5*((((602-43)*MAX('Inputs'!$B$33,'Inputs'!$B$29+'Inputs'!$B$31+'Inputs'!$B$32,'Inputs'!$B$30+'Inputs'!$B$31+'Inputs'!$B$32)/1000+'Inputs'!$B$21)+'Inputs'!$B$7)/SQRT((((602-43)*MAX('Inputs'!$B$33,'Inputs'!$B$29+'Inputs'!$B$31+'Inputs'!$B$32,'Inputs'!$B$30+'Inputs'!$B$31+'Inputs'!$B$32)/1000+'Inputs'!$B$21)+'Inputs'!$B$7)^2+('Inputs'!$B$6/2)^2)-(((602-43)*MAX('Inputs'!$B$33,'Inputs'!$B$29+'Inputs'!$B$31+'Inputs'!$B$32,'Inputs'!$B$30+'Inputs'!$B$31+'Inputs'!$B$32)/1000+'Inputs'!$B$21))/SQRT((((602-43)*MAX('Inputs'!$B$33,'Inputs'!$B$29+'Inputs'!$B$31+'Inputs'!$B$32,'Inputs'!$B$30+'Inputs'!$B$31+'Inputs'!$B$32)/1000+'Inputs'!$B$21))^2+('Inputs'!$B$6/2)^2)))-'Results'!C7*(1+'Inputs'!$B$24)*(0.5*((((602-43)*MAX('Inputs'!$B$33,'Inputs'!$B$29+'Inputs'!$B$31+'Inputs'!$B$32,'Inputs'!$B$30+'Inputs'!$B$31+'Inputs'!$B$32)/1000+'Inputs'!$B$21+'Inputs'!$B$7+'Inputs'!$B$10)+'Inputs'!$B$9)/SQRT((((602-43)*MAX('Inputs'!$B$33,'Inputs'!$B$29+'Inputs'!$B$31+'Inputs'!$B$32,'Inputs'!$B$30+'Inputs'!$B$31+'Inputs'!$B$32)/1000+'Inputs'!$B$21+'Inputs'!$B$7+'Inputs'!$B$10)+'Inputs'!$B$9)^2+('Inputs'!$B$8/2)^2)-(((602-43)*MAX('Inputs'!$B$33,'Inputs'!$B$29+'Inputs'!$B$31+'Inputs'!$B$32,'Inputs'!$B$30+'Inputs'!$B$31+'Inputs'!$B$32)/1000+'Inputs'!$B$21+'Inputs'!$B$7+'Inputs'!$B$10))/SQRT((((602-43)*MAX('Inputs'!$B$33,'Inputs'!$B$29+'Inputs'!$B$31+'Inputs'!$B$32,'Inputs'!$B$30+'Inputs'!$B$31+'Inputs'!$B$32)/1000+'Inputs'!$B$21+'Inputs'!$B$7+'Inputs'!$B$10))^2+('Inputs'!$B$8/2)^2))))*'Results'!$B$8)-'Inputs'!$B$28*ABS((('Results'!B7*(1-'Inputs'!$B$24)*(0.5*((((602-43)*MAX('Inputs'!$B$33,'Inputs'!$B$29+'Inputs'!$B$31+'Inputs'!$B$32,'Inputs'!$B$30+'Inputs'!$B$31+'Inputs'!$B$32)/1000+'Inputs'!$B$21)+'Inputs'!$B$7)/SQRT((((602-43)*MAX('Inputs'!$B$33,'Inputs'!$B$29+'Inputs'!$B$31+'Inputs'!$B$32,'Inputs'!$B$30+'Inputs'!$B$31+'Inputs'!$B$32)/1000+'Inputs'!$B$21)+'Inputs'!$B$7)^2+('Inputs'!$B$6/2)^2)-(((602-43)*MAX('Inputs'!$B$33,'Inputs'!$B$29+'Inputs'!$B$31+'Inputs'!$B$32,'Inputs'!$B$30+'Inputs'!$B$31+'Inputs'!$B$32)/1000+'Inputs'!$B$21))/SQRT((((602-43)*MAX('Inputs'!$B$33,'Inputs'!$B$29+'Inputs'!$B$31+'Inputs'!$B$32,'Inputs'!$B$30+'Inputs'!$B$31+'Inputs'!$B$32)/1000+'Inputs'!$B$21))^2+('Inputs'!$B$6/2)^2)))-'Results'!C7*(1+'Inputs'!$B$24)*(0.5*((((602-43)*MAX('Inputs'!$B$33,'Inputs'!$B$29+'Inputs'!$B$31+'Inputs'!$B$32,'Inputs'!$B$30+'Inputs'!$B$31+'Inputs'!$B$32)/1000+'Inputs'!$B$21+'Inputs'!$B$7+'Inputs'!$B$10)+'Inputs'!$B$9)/SQRT((((602-43)*MAX('Inputs'!$B$33,'Inputs'!$B$29+'Inputs'!$B$31+'Inputs'!$B$32,'Inputs'!$B$30+'Inputs'!$B$31+'Inputs'!$B$32)/1000+'Inputs'!$B$21+'Inputs'!$B$7+'Inputs'!$B$10)+'Inputs'!$B$9)^2+('Inputs'!$B$8/2)^2)-(((602-43)*MAX('Inputs'!$B$33,'Inputs'!$B$29+'Inputs'!$B$31+'Inputs'!$B$32,'Inputs'!$B$30+'Inputs'!$B$31+'Inputs'!$B$32)/1000+'Inputs'!$B$21+'Inputs'!$B$7+'Inputs'!$B$10))/SQRT((((602-43)*MAX('Inputs'!$B$33,'Inputs'!$B$29+'Inputs'!$B$31+'Inputs'!$B$32,'Inputs'!$B$30+'Inputs'!$B$31+'Inputs'!$B$32)/1000+'Inputs'!$B$21+'Inputs'!$B$7+'Inputs'!$B$10))^2+('Inputs'!$B$8/2)^2))))*'Results'!$B$8))),"")</x:f>
        <x:v>2.5048600520112765</x:v>
      </x:c>
      <x:c r="L602" t="n">
        <x:f>IF(AND(ISNUMBER('Results'!B7),ISNUMBER('Results'!C7),ISNUMBER('Results'!$B$8),ISNUMBER('Inputs'!$B$6),ISNUMBER('Inputs'!$B$7),ISNUMBER('Inputs'!$B$8),ISNUMBER('Inputs'!$B$9),ISNUMBER('Inputs'!$B$10),ISNUMBER('Inputs'!$B$21),ISNUMBER('Inputs'!$B$24),ISNUMBER('Inputs'!$B$28)),((('Results'!B7*(1+'Inputs'!$B$24)*(0.5*((((602-43)*MAX('Inputs'!$B$33,'Inputs'!$B$29+'Inputs'!$B$31+'Inputs'!$B$32,'Inputs'!$B$30+'Inputs'!$B$31+'Inputs'!$B$32)/1000+'Inputs'!$B$21)+'Inputs'!$B$7)/SQRT((((602-43)*MAX('Inputs'!$B$33,'Inputs'!$B$29+'Inputs'!$B$31+'Inputs'!$B$32,'Inputs'!$B$30+'Inputs'!$B$31+'Inputs'!$B$32)/1000+'Inputs'!$B$21)+'Inputs'!$B$7)^2+('Inputs'!$B$6/2)^2)-(((602-43)*MAX('Inputs'!$B$33,'Inputs'!$B$29+'Inputs'!$B$31+'Inputs'!$B$32,'Inputs'!$B$30+'Inputs'!$B$31+'Inputs'!$B$32)/1000+'Inputs'!$B$21))/SQRT((((602-43)*MAX('Inputs'!$B$33,'Inputs'!$B$29+'Inputs'!$B$31+'Inputs'!$B$32,'Inputs'!$B$30+'Inputs'!$B$31+'Inputs'!$B$32)/1000+'Inputs'!$B$21))^2+('Inputs'!$B$6/2)^2)))-'Results'!C7*(1-'Inputs'!$B$24)*(0.5*((((602-43)*MAX('Inputs'!$B$33,'Inputs'!$B$29+'Inputs'!$B$31+'Inputs'!$B$32,'Inputs'!$B$30+'Inputs'!$B$31+'Inputs'!$B$32)/1000+'Inputs'!$B$21+'Inputs'!$B$7+'Inputs'!$B$10)+'Inputs'!$B$9)/SQRT((((602-43)*MAX('Inputs'!$B$33,'Inputs'!$B$29+'Inputs'!$B$31+'Inputs'!$B$32,'Inputs'!$B$30+'Inputs'!$B$31+'Inputs'!$B$32)/1000+'Inputs'!$B$21+'Inputs'!$B$7+'Inputs'!$B$10)+'Inputs'!$B$9)^2+('Inputs'!$B$8/2)^2)-(((602-43)*MAX('Inputs'!$B$33,'Inputs'!$B$29+'Inputs'!$B$31+'Inputs'!$B$32,'Inputs'!$B$30+'Inputs'!$B$31+'Inputs'!$B$32)/1000+'Inputs'!$B$21+'Inputs'!$B$7+'Inputs'!$B$10))/SQRT((((602-43)*MAX('Inputs'!$B$33,'Inputs'!$B$29+'Inputs'!$B$31+'Inputs'!$B$32,'Inputs'!$B$30+'Inputs'!$B$31+'Inputs'!$B$32)/1000+'Inputs'!$B$21+'Inputs'!$B$7+'Inputs'!$B$10))^2+('Inputs'!$B$8/2)^2))))*'Results'!$B$8)+'Inputs'!$B$28*ABS((('Results'!B7*(1+'Inputs'!$B$24)*(0.5*((((602-43)*MAX('Inputs'!$B$33,'Inputs'!$B$29+'Inputs'!$B$31+'Inputs'!$B$32,'Inputs'!$B$30+'Inputs'!$B$31+'Inputs'!$B$32)/1000+'Inputs'!$B$21)+'Inputs'!$B$7)/SQRT((((602-43)*MAX('Inputs'!$B$33,'Inputs'!$B$29+'Inputs'!$B$31+'Inputs'!$B$32,'Inputs'!$B$30+'Inputs'!$B$31+'Inputs'!$B$32)/1000+'Inputs'!$B$21)+'Inputs'!$B$7)^2+('Inputs'!$B$6/2)^2)-(((602-43)*MAX('Inputs'!$B$33,'Inputs'!$B$29+'Inputs'!$B$31+'Inputs'!$B$32,'Inputs'!$B$30+'Inputs'!$B$31+'Inputs'!$B$32)/1000+'Inputs'!$B$21))/SQRT((((602-43)*MAX('Inputs'!$B$33,'Inputs'!$B$29+'Inputs'!$B$31+'Inputs'!$B$32,'Inputs'!$B$30+'Inputs'!$B$31+'Inputs'!$B$32)/1000+'Inputs'!$B$21))^2+('Inputs'!$B$6/2)^2)))-'Results'!C7*(1-'Inputs'!$B$24)*(0.5*((((602-43)*MAX('Inputs'!$B$33,'Inputs'!$B$29+'Inputs'!$B$31+'Inputs'!$B$32,'Inputs'!$B$30+'Inputs'!$B$31+'Inputs'!$B$32)/1000+'Inputs'!$B$21+'Inputs'!$B$7+'Inputs'!$B$10)+'Inputs'!$B$9)/SQRT((((602-43)*MAX('Inputs'!$B$33,'Inputs'!$B$29+'Inputs'!$B$31+'Inputs'!$B$32,'Inputs'!$B$30+'Inputs'!$B$31+'Inputs'!$B$32)/1000+'Inputs'!$B$21+'Inputs'!$B$7+'Inputs'!$B$10)+'Inputs'!$B$9)^2+('Inputs'!$B$8/2)^2)-(((602-43)*MAX('Inputs'!$B$33,'Inputs'!$B$29+'Inputs'!$B$31+'Inputs'!$B$32,'Inputs'!$B$30+'Inputs'!$B$31+'Inputs'!$B$32)/1000+'Inputs'!$B$21+'Inputs'!$B$7+'Inputs'!$B$10))/SQRT((((602-43)*MAX('Inputs'!$B$33,'Inputs'!$B$29+'Inputs'!$B$31+'Inputs'!$B$32,'Inputs'!$B$30+'Inputs'!$B$31+'Inputs'!$B$32)/1000+'Inputs'!$B$21+'Inputs'!$B$7+'Inputs'!$B$10))^2+('Inputs'!$B$8/2)^2))))*'Results'!$B$8))),"")</x:f>
        <x:v>3.2106682675073728</x:v>
      </x:c>
      <x:c r="M602" t="n">
        <x:f>IF(AND(ISNUMBER('Results'!C7),ISNUMBER('Results'!B7),ISNUMBER('Results'!$B$8),ISNUMBER('Inputs'!$B$6),ISNUMBER('Inputs'!$B$7),ISNUMBER('Inputs'!$B$8),ISNUMBER('Inputs'!$B$9),ISNUMBER('Inputs'!$B$10),ISNUMBER('Inputs'!$B$21),ISNUMBER('Inputs'!$B$24),ISNUMBER('Inputs'!$B$28)),(('Results'!C7*(0.5*((((602-43)*MAX('Inputs'!$B$33,'Inputs'!$B$29+'Inputs'!$B$31+'Inputs'!$B$32,'Inputs'!$B$30+'Inputs'!$B$31+'Inputs'!$B$32)/1000+'Inputs'!$B$21)+'Inputs'!$B$9)/SQRT((((602-43)*MAX('Inputs'!$B$33,'Inputs'!$B$29+'Inputs'!$B$31+'Inputs'!$B$32,'Inputs'!$B$30+'Inputs'!$B$31+'Inputs'!$B$32)/1000+'Inputs'!$B$21)+'Inputs'!$B$9)^2+('Inputs'!$B$8/2)^2)-(((602-43)*MAX('Inputs'!$B$33,'Inputs'!$B$29+'Inputs'!$B$31+'Inputs'!$B$32,'Inputs'!$B$30+'Inputs'!$B$31+'Inputs'!$B$32)/1000+'Inputs'!$B$21))/SQRT((((602-43)*MAX('Inputs'!$B$33,'Inputs'!$B$29+'Inputs'!$B$31+'Inputs'!$B$32,'Inputs'!$B$30+'Inputs'!$B$31+'Inputs'!$B$32)/1000+'Inputs'!$B$21))^2+('Inputs'!$B$8/2)^2)))-'Results'!B7*(0.5*((((602-43)*MAX('Inputs'!$B$33,'Inputs'!$B$29+'Inputs'!$B$31+'Inputs'!$B$32,'Inputs'!$B$30+'Inputs'!$B$31+'Inputs'!$B$32)/1000+'Inputs'!$B$21+'Inputs'!$B$9+'Inputs'!$B$10)+'Inputs'!$B$7)/SQRT((((602-43)*MAX('Inputs'!$B$33,'Inputs'!$B$29+'Inputs'!$B$31+'Inputs'!$B$32,'Inputs'!$B$30+'Inputs'!$B$31+'Inputs'!$B$32)/1000+'Inputs'!$B$21+'Inputs'!$B$9+'Inputs'!$B$10)+'Inputs'!$B$7)^2+('Inputs'!$B$6/2)^2)-(((602-43)*MAX('Inputs'!$B$33,'Inputs'!$B$29+'Inputs'!$B$31+'Inputs'!$B$32,'Inputs'!$B$30+'Inputs'!$B$31+'Inputs'!$B$32)/1000+'Inputs'!$B$21+'Inputs'!$B$9+'Inputs'!$B$10))/SQRT((((602-43)*MAX('Inputs'!$B$33,'Inputs'!$B$29+'Inputs'!$B$31+'Inputs'!$B$32,'Inputs'!$B$30+'Inputs'!$B$31+'Inputs'!$B$32)/1000+'Inputs'!$B$21+'Inputs'!$B$9+'Inputs'!$B$10))^2+('Inputs'!$B$6/2)^2))))*'Results'!$B$8),"")</x:f>
        <x:v>2.635127470014708</x:v>
      </x:c>
      <x:c r="N602" t="n">
        <x:f>IF(AND(ISNUMBER('Results'!C7),ISNUMBER('Results'!B7),ISNUMBER('Results'!$B$8),ISNUMBER('Inputs'!$B$6),ISNUMBER('Inputs'!$B$7),ISNUMBER('Inputs'!$B$8),ISNUMBER('Inputs'!$B$9),ISNUMBER('Inputs'!$B$10),ISNUMBER('Inputs'!$B$21),ISNUMBER('Inputs'!$B$24),ISNUMBER('Inputs'!$B$28)),((('Results'!C7*(1-'Inputs'!$B$24)*(0.5*((((602-43)*MAX('Inputs'!$B$33,'Inputs'!$B$29+'Inputs'!$B$31+'Inputs'!$B$32,'Inputs'!$B$30+'Inputs'!$B$31+'Inputs'!$B$32)/1000+'Inputs'!$B$21)+'Inputs'!$B$9)/SQRT((((602-43)*MAX('Inputs'!$B$33,'Inputs'!$B$29+'Inputs'!$B$31+'Inputs'!$B$32,'Inputs'!$B$30+'Inputs'!$B$31+'Inputs'!$B$32)/1000+'Inputs'!$B$21)+'Inputs'!$B$9)^2+('Inputs'!$B$8/2)^2)-(((602-43)*MAX('Inputs'!$B$33,'Inputs'!$B$29+'Inputs'!$B$31+'Inputs'!$B$32,'Inputs'!$B$30+'Inputs'!$B$31+'Inputs'!$B$32)/1000+'Inputs'!$B$21))/SQRT((((602-43)*MAX('Inputs'!$B$33,'Inputs'!$B$29+'Inputs'!$B$31+'Inputs'!$B$32,'Inputs'!$B$30+'Inputs'!$B$31+'Inputs'!$B$32)/1000+'Inputs'!$B$21))^2+('Inputs'!$B$8/2)^2)))-'Results'!B7*(1+'Inputs'!$B$24)*(0.5*((((602-43)*MAX('Inputs'!$B$33,'Inputs'!$B$29+'Inputs'!$B$31+'Inputs'!$B$32,'Inputs'!$B$30+'Inputs'!$B$31+'Inputs'!$B$32)/1000+'Inputs'!$B$21+'Inputs'!$B$9+'Inputs'!$B$10)+'Inputs'!$B$7)/SQRT((((602-43)*MAX('Inputs'!$B$33,'Inputs'!$B$29+'Inputs'!$B$31+'Inputs'!$B$32,'Inputs'!$B$30+'Inputs'!$B$31+'Inputs'!$B$32)/1000+'Inputs'!$B$21+'Inputs'!$B$9+'Inputs'!$B$10)+'Inputs'!$B$7)^2+('Inputs'!$B$6/2)^2)-(((602-43)*MAX('Inputs'!$B$33,'Inputs'!$B$29+'Inputs'!$B$31+'Inputs'!$B$32,'Inputs'!$B$30+'Inputs'!$B$31+'Inputs'!$B$32)/1000+'Inputs'!$B$21+'Inputs'!$B$9+'Inputs'!$B$10))/SQRT((((602-43)*MAX('Inputs'!$B$33,'Inputs'!$B$29+'Inputs'!$B$31+'Inputs'!$B$32,'Inputs'!$B$30+'Inputs'!$B$31+'Inputs'!$B$32)/1000+'Inputs'!$B$21+'Inputs'!$B$9+'Inputs'!$B$10))^2+('Inputs'!$B$6/2)^2))))*'Results'!$B$8)-'Inputs'!$B$28*ABS((('Results'!C7*(1-'Inputs'!$B$24)*(0.5*((((602-43)*MAX('Inputs'!$B$33,'Inputs'!$B$29+'Inputs'!$B$31+'Inputs'!$B$32,'Inputs'!$B$30+'Inputs'!$B$31+'Inputs'!$B$32)/1000+'Inputs'!$B$21)+'Inputs'!$B$9)/SQRT((((602-43)*MAX('Inputs'!$B$33,'Inputs'!$B$29+'Inputs'!$B$31+'Inputs'!$B$32,'Inputs'!$B$30+'Inputs'!$B$31+'Inputs'!$B$32)/1000+'Inputs'!$B$21)+'Inputs'!$B$9)^2+('Inputs'!$B$8/2)^2)-(((602-43)*MAX('Inputs'!$B$33,'Inputs'!$B$29+'Inputs'!$B$31+'Inputs'!$B$32,'Inputs'!$B$30+'Inputs'!$B$31+'Inputs'!$B$32)/1000+'Inputs'!$B$21))/SQRT((((602-43)*MAX('Inputs'!$B$33,'Inputs'!$B$29+'Inputs'!$B$31+'Inputs'!$B$32,'Inputs'!$B$30+'Inputs'!$B$31+'Inputs'!$B$32)/1000+'Inputs'!$B$21))^2+('Inputs'!$B$8/2)^2)))-'Results'!B7*(1+'Inputs'!$B$24)*(0.5*((((602-43)*MAX('Inputs'!$B$33,'Inputs'!$B$29+'Inputs'!$B$31+'Inputs'!$B$32,'Inputs'!$B$30+'Inputs'!$B$31+'Inputs'!$B$32)/1000+'Inputs'!$B$21+'Inputs'!$B$9+'Inputs'!$B$10)+'Inputs'!$B$7)/SQRT((((602-43)*MAX('Inputs'!$B$33,'Inputs'!$B$29+'Inputs'!$B$31+'Inputs'!$B$32,'Inputs'!$B$30+'Inputs'!$B$31+'Inputs'!$B$32)/1000+'Inputs'!$B$21+'Inputs'!$B$9+'Inputs'!$B$10)+'Inputs'!$B$7)^2+('Inputs'!$B$6/2)^2)-(((602-43)*MAX('Inputs'!$B$33,'Inputs'!$B$29+'Inputs'!$B$31+'Inputs'!$B$32,'Inputs'!$B$30+'Inputs'!$B$31+'Inputs'!$B$32)/1000+'Inputs'!$B$21+'Inputs'!$B$9+'Inputs'!$B$10))/SQRT((((602-43)*MAX('Inputs'!$B$33,'Inputs'!$B$29+'Inputs'!$B$31+'Inputs'!$B$32,'Inputs'!$B$30+'Inputs'!$B$31+'Inputs'!$B$32)/1000+'Inputs'!$B$21+'Inputs'!$B$9+'Inputs'!$B$10))^2+('Inputs'!$B$6/2)^2))))*'Results'!$B$8))),"")</x:f>
        <x:v>2.304408124853232</x:v>
      </x:c>
      <x:c r="O602" t="n">
        <x:f>IF(AND(ISNUMBER('Results'!C7),ISNUMBER('Results'!B7),ISNUMBER('Results'!$B$8),ISNUMBER('Inputs'!$B$6),ISNUMBER('Inputs'!$B$7),ISNUMBER('Inputs'!$B$8),ISNUMBER('Inputs'!$B$9),ISNUMBER('Inputs'!$B$10),ISNUMBER('Inputs'!$B$21),ISNUMBER('Inputs'!$B$24),ISNUMBER('Inputs'!$B$28)),((('Results'!C7*(1+'Inputs'!$B$24)*(0.5*((((602-43)*MAX('Inputs'!$B$33,'Inputs'!$B$29+'Inputs'!$B$31+'Inputs'!$B$32,'Inputs'!$B$30+'Inputs'!$B$31+'Inputs'!$B$32)/1000+'Inputs'!$B$21)+'Inputs'!$B$9)/SQRT((((602-43)*MAX('Inputs'!$B$33,'Inputs'!$B$29+'Inputs'!$B$31+'Inputs'!$B$32,'Inputs'!$B$30+'Inputs'!$B$31+'Inputs'!$B$32)/1000+'Inputs'!$B$21)+'Inputs'!$B$9)^2+('Inputs'!$B$8/2)^2)-(((602-43)*MAX('Inputs'!$B$33,'Inputs'!$B$29+'Inputs'!$B$31+'Inputs'!$B$32,'Inputs'!$B$30+'Inputs'!$B$31+'Inputs'!$B$32)/1000+'Inputs'!$B$21))/SQRT((((602-43)*MAX('Inputs'!$B$33,'Inputs'!$B$29+'Inputs'!$B$31+'Inputs'!$B$32,'Inputs'!$B$30+'Inputs'!$B$31+'Inputs'!$B$32)/1000+'Inputs'!$B$21))^2+('Inputs'!$B$8/2)^2)))-'Results'!B7*(1-'Inputs'!$B$24)*(0.5*((((602-43)*MAX('Inputs'!$B$33,'Inputs'!$B$29+'Inputs'!$B$31+'Inputs'!$B$32,'Inputs'!$B$30+'Inputs'!$B$31+'Inputs'!$B$32)/1000+'Inputs'!$B$21+'Inputs'!$B$9+'Inputs'!$B$10)+'Inputs'!$B$7)/SQRT((((602-43)*MAX('Inputs'!$B$33,'Inputs'!$B$29+'Inputs'!$B$31+'Inputs'!$B$32,'Inputs'!$B$30+'Inputs'!$B$31+'Inputs'!$B$32)/1000+'Inputs'!$B$21+'Inputs'!$B$9+'Inputs'!$B$10)+'Inputs'!$B$7)^2+('Inputs'!$B$6/2)^2)-(((602-43)*MAX('Inputs'!$B$33,'Inputs'!$B$29+'Inputs'!$B$31+'Inputs'!$B$32,'Inputs'!$B$30+'Inputs'!$B$31+'Inputs'!$B$32)/1000+'Inputs'!$B$21+'Inputs'!$B$9+'Inputs'!$B$10))/SQRT((((602-43)*MAX('Inputs'!$B$33,'Inputs'!$B$29+'Inputs'!$B$31+'Inputs'!$B$32,'Inputs'!$B$30+'Inputs'!$B$31+'Inputs'!$B$32)/1000+'Inputs'!$B$21+'Inputs'!$B$9+'Inputs'!$B$10))^2+('Inputs'!$B$6/2)^2))))*'Results'!$B$8)+'Inputs'!$B$28*ABS((('Results'!C7*(1+'Inputs'!$B$24)*(0.5*((((602-43)*MAX('Inputs'!$B$33,'Inputs'!$B$29+'Inputs'!$B$31+'Inputs'!$B$32,'Inputs'!$B$30+'Inputs'!$B$31+'Inputs'!$B$32)/1000+'Inputs'!$B$21)+'Inputs'!$B$9)/SQRT((((602-43)*MAX('Inputs'!$B$33,'Inputs'!$B$29+'Inputs'!$B$31+'Inputs'!$B$32,'Inputs'!$B$30+'Inputs'!$B$31+'Inputs'!$B$32)/1000+'Inputs'!$B$21)+'Inputs'!$B$9)^2+('Inputs'!$B$8/2)^2)-(((602-43)*MAX('Inputs'!$B$33,'Inputs'!$B$29+'Inputs'!$B$31+'Inputs'!$B$32,'Inputs'!$B$30+'Inputs'!$B$31+'Inputs'!$B$32)/1000+'Inputs'!$B$21))/SQRT((((602-43)*MAX('Inputs'!$B$33,'Inputs'!$B$29+'Inputs'!$B$31+'Inputs'!$B$32,'Inputs'!$B$30+'Inputs'!$B$31+'Inputs'!$B$32)/1000+'Inputs'!$B$21))^2+('Inputs'!$B$8/2)^2)))-'Results'!B7*(1-'Inputs'!$B$24)*(0.5*((((602-43)*MAX('Inputs'!$B$33,'Inputs'!$B$29+'Inputs'!$B$31+'Inputs'!$B$32,'Inputs'!$B$30+'Inputs'!$B$31+'Inputs'!$B$32)/1000+'Inputs'!$B$21+'Inputs'!$B$9+'Inputs'!$B$10)+'Inputs'!$B$7)/SQRT((((602-43)*MAX('Inputs'!$B$33,'Inputs'!$B$29+'Inputs'!$B$31+'Inputs'!$B$32,'Inputs'!$B$30+'Inputs'!$B$31+'Inputs'!$B$32)/1000+'Inputs'!$B$21+'Inputs'!$B$9+'Inputs'!$B$10)+'Inputs'!$B$7)^2+('Inputs'!$B$6/2)^2)-(((602-43)*MAX('Inputs'!$B$33,'Inputs'!$B$29+'Inputs'!$B$31+'Inputs'!$B$32,'Inputs'!$B$30+'Inputs'!$B$31+'Inputs'!$B$32)/1000+'Inputs'!$B$21+'Inputs'!$B$9+'Inputs'!$B$10))/SQRT((((602-43)*MAX('Inputs'!$B$33,'Inputs'!$B$29+'Inputs'!$B$31+'Inputs'!$B$32,'Inputs'!$B$30+'Inputs'!$B$31+'Inputs'!$B$32)/1000+'Inputs'!$B$21+'Inputs'!$B$9+'Inputs'!$B$10))^2+('Inputs'!$B$6/2)^2))))*'Results'!$B$8))),"")</x:f>
        <x:v>2.986790285877313</x:v>
      </x:c>
      <x:c r="P602" t="n">
        <x:f>IF(AND(MAX(J602,J601)&gt;0,J602&gt;J601+0.00000001),1,0)</x:f>
        <x:v>0</x:v>
      </x:c>
      <x:c r="Q602" t="n">
        <x:f>IF(AND(MAX(K602,K601)&gt;0,K602&gt;K601+0.00000001),1,0)</x:f>
        <x:v>0</x:v>
      </x:c>
      <x:c r="R602" t="n">
        <x:f>IF(AND(MAX(L602,L601)&gt;0,L602&gt;L601+0.00000001),1,0)</x:f>
        <x:v>0</x:v>
      </x:c>
      <x:c r="S602" t="n">
        <x:f>IF(AND(MAX(M602,M601)&gt;0,M602&gt;M601+0.00000001),1,0)</x:f>
        <x:v>0</x:v>
      </x:c>
      <x:c r="T602" t="n">
        <x:f>IF(AND(MAX(N602,N601)&gt;0,N602&gt;N601+0.00000001),1,0)</x:f>
        <x:v>0</x:v>
      </x:c>
      <x:c r="U602" t="n">
        <x:f>IF(AND(MAX(O602,O601)&gt;0,O602&gt;O601+0.00000001),1,0)</x:f>
        <x:v>0</x:v>
      </x:c>
    </x:row>
    <x:row r="603">
      <x:c r="J603" t="n">
        <x:f>IF(AND(ISNUMBER('Results'!B7),ISNUMBER('Results'!C7),ISNUMBER('Results'!$B$8),ISNUMBER('Inputs'!$B$6),ISNUMBER('Inputs'!$B$7),ISNUMBER('Inputs'!$B$8),ISNUMBER('Inputs'!$B$9),ISNUMBER('Inputs'!$B$10),ISNUMBER('Inputs'!$B$21),ISNUMBER('Inputs'!$B$24),ISNUMBER('Inputs'!$B$28)),(('Results'!B7*(0.5*((((603-43)*MAX('Inputs'!$B$33,'Inputs'!$B$29+'Inputs'!$B$31+'Inputs'!$B$32,'Inputs'!$B$30+'Inputs'!$B$31+'Inputs'!$B$32)/1000+'Inputs'!$B$21)+'Inputs'!$B$7)/SQRT((((603-43)*MAX('Inputs'!$B$33,'Inputs'!$B$29+'Inputs'!$B$31+'Inputs'!$B$32,'Inputs'!$B$30+'Inputs'!$B$31+'Inputs'!$B$32)/1000+'Inputs'!$B$21)+'Inputs'!$B$7)^2+('Inputs'!$B$6/2)^2)-(((603-43)*MAX('Inputs'!$B$33,'Inputs'!$B$29+'Inputs'!$B$31+'Inputs'!$B$32,'Inputs'!$B$30+'Inputs'!$B$31+'Inputs'!$B$32)/1000+'Inputs'!$B$21))/SQRT((((603-43)*MAX('Inputs'!$B$33,'Inputs'!$B$29+'Inputs'!$B$31+'Inputs'!$B$32,'Inputs'!$B$30+'Inputs'!$B$31+'Inputs'!$B$32)/1000+'Inputs'!$B$21))^2+('Inputs'!$B$6/2)^2)))-'Results'!C7*(0.5*((((603-43)*MAX('Inputs'!$B$33,'Inputs'!$B$29+'Inputs'!$B$31+'Inputs'!$B$32,'Inputs'!$B$30+'Inputs'!$B$31+'Inputs'!$B$32)/1000+'Inputs'!$B$21+'Inputs'!$B$7+'Inputs'!$B$10)+'Inputs'!$B$9)/SQRT((((603-43)*MAX('Inputs'!$B$33,'Inputs'!$B$29+'Inputs'!$B$31+'Inputs'!$B$32,'Inputs'!$B$30+'Inputs'!$B$31+'Inputs'!$B$32)/1000+'Inputs'!$B$21+'Inputs'!$B$7+'Inputs'!$B$10)+'Inputs'!$B$9)^2+('Inputs'!$B$8/2)^2)-(((603-43)*MAX('Inputs'!$B$33,'Inputs'!$B$29+'Inputs'!$B$31+'Inputs'!$B$32,'Inputs'!$B$30+'Inputs'!$B$31+'Inputs'!$B$32)/1000+'Inputs'!$B$21+'Inputs'!$B$7+'Inputs'!$B$10))/SQRT((((603-43)*MAX('Inputs'!$B$33,'Inputs'!$B$29+'Inputs'!$B$31+'Inputs'!$B$32,'Inputs'!$B$30+'Inputs'!$B$31+'Inputs'!$B$32)/1000+'Inputs'!$B$21+'Inputs'!$B$7+'Inputs'!$B$10))^2+('Inputs'!$B$8/2)^2))))*'Results'!$B$8),"")</x:f>
        <x:v>2.829649913280255</x:v>
      </x:c>
      <x:c r="K603" t="n">
        <x:f>IF(AND(ISNUMBER('Results'!B7),ISNUMBER('Results'!C7),ISNUMBER('Results'!$B$8),ISNUMBER('Inputs'!$B$6),ISNUMBER('Inputs'!$B$7),ISNUMBER('Inputs'!$B$8),ISNUMBER('Inputs'!$B$9),ISNUMBER('Inputs'!$B$10),ISNUMBER('Inputs'!$B$21),ISNUMBER('Inputs'!$B$24),ISNUMBER('Inputs'!$B$28)),((('Results'!B7*(1-'Inputs'!$B$24)*(0.5*((((603-43)*MAX('Inputs'!$B$33,'Inputs'!$B$29+'Inputs'!$B$31+'Inputs'!$B$32,'Inputs'!$B$30+'Inputs'!$B$31+'Inputs'!$B$32)/1000+'Inputs'!$B$21)+'Inputs'!$B$7)/SQRT((((603-43)*MAX('Inputs'!$B$33,'Inputs'!$B$29+'Inputs'!$B$31+'Inputs'!$B$32,'Inputs'!$B$30+'Inputs'!$B$31+'Inputs'!$B$32)/1000+'Inputs'!$B$21)+'Inputs'!$B$7)^2+('Inputs'!$B$6/2)^2)-(((603-43)*MAX('Inputs'!$B$33,'Inputs'!$B$29+'Inputs'!$B$31+'Inputs'!$B$32,'Inputs'!$B$30+'Inputs'!$B$31+'Inputs'!$B$32)/1000+'Inputs'!$B$21))/SQRT((((603-43)*MAX('Inputs'!$B$33,'Inputs'!$B$29+'Inputs'!$B$31+'Inputs'!$B$32,'Inputs'!$B$30+'Inputs'!$B$31+'Inputs'!$B$32)/1000+'Inputs'!$B$21))^2+('Inputs'!$B$6/2)^2)))-'Results'!C7*(1+'Inputs'!$B$24)*(0.5*((((603-43)*MAX('Inputs'!$B$33,'Inputs'!$B$29+'Inputs'!$B$31+'Inputs'!$B$32,'Inputs'!$B$30+'Inputs'!$B$31+'Inputs'!$B$32)/1000+'Inputs'!$B$21+'Inputs'!$B$7+'Inputs'!$B$10)+'Inputs'!$B$9)/SQRT((((603-43)*MAX('Inputs'!$B$33,'Inputs'!$B$29+'Inputs'!$B$31+'Inputs'!$B$32,'Inputs'!$B$30+'Inputs'!$B$31+'Inputs'!$B$32)/1000+'Inputs'!$B$21+'Inputs'!$B$7+'Inputs'!$B$10)+'Inputs'!$B$9)^2+('Inputs'!$B$8/2)^2)-(((603-43)*MAX('Inputs'!$B$33,'Inputs'!$B$29+'Inputs'!$B$31+'Inputs'!$B$32,'Inputs'!$B$30+'Inputs'!$B$31+'Inputs'!$B$32)/1000+'Inputs'!$B$21+'Inputs'!$B$7+'Inputs'!$B$10))/SQRT((((603-43)*MAX('Inputs'!$B$33,'Inputs'!$B$29+'Inputs'!$B$31+'Inputs'!$B$32,'Inputs'!$B$30+'Inputs'!$B$31+'Inputs'!$B$32)/1000+'Inputs'!$B$21+'Inputs'!$B$7+'Inputs'!$B$10))^2+('Inputs'!$B$8/2)^2))))*'Results'!$B$8)-'Inputs'!$B$28*ABS((('Results'!B7*(1-'Inputs'!$B$24)*(0.5*((((603-43)*MAX('Inputs'!$B$33,'Inputs'!$B$29+'Inputs'!$B$31+'Inputs'!$B$32,'Inputs'!$B$30+'Inputs'!$B$31+'Inputs'!$B$32)/1000+'Inputs'!$B$21)+'Inputs'!$B$7)/SQRT((((603-43)*MAX('Inputs'!$B$33,'Inputs'!$B$29+'Inputs'!$B$31+'Inputs'!$B$32,'Inputs'!$B$30+'Inputs'!$B$31+'Inputs'!$B$32)/1000+'Inputs'!$B$21)+'Inputs'!$B$7)^2+('Inputs'!$B$6/2)^2)-(((603-43)*MAX('Inputs'!$B$33,'Inputs'!$B$29+'Inputs'!$B$31+'Inputs'!$B$32,'Inputs'!$B$30+'Inputs'!$B$31+'Inputs'!$B$32)/1000+'Inputs'!$B$21))/SQRT((((603-43)*MAX('Inputs'!$B$33,'Inputs'!$B$29+'Inputs'!$B$31+'Inputs'!$B$32,'Inputs'!$B$30+'Inputs'!$B$31+'Inputs'!$B$32)/1000+'Inputs'!$B$21))^2+('Inputs'!$B$6/2)^2)))-'Results'!C7*(1+'Inputs'!$B$24)*(0.5*((((603-43)*MAX('Inputs'!$B$33,'Inputs'!$B$29+'Inputs'!$B$31+'Inputs'!$B$32,'Inputs'!$B$30+'Inputs'!$B$31+'Inputs'!$B$32)/1000+'Inputs'!$B$21+'Inputs'!$B$7+'Inputs'!$B$10)+'Inputs'!$B$9)/SQRT((((603-43)*MAX('Inputs'!$B$33,'Inputs'!$B$29+'Inputs'!$B$31+'Inputs'!$B$32,'Inputs'!$B$30+'Inputs'!$B$31+'Inputs'!$B$32)/1000+'Inputs'!$B$21+'Inputs'!$B$7+'Inputs'!$B$10)+'Inputs'!$B$9)^2+('Inputs'!$B$8/2)^2)-(((603-43)*MAX('Inputs'!$B$33,'Inputs'!$B$29+'Inputs'!$B$31+'Inputs'!$B$32,'Inputs'!$B$30+'Inputs'!$B$31+'Inputs'!$B$32)/1000+'Inputs'!$B$21+'Inputs'!$B$7+'Inputs'!$B$10))/SQRT((((603-43)*MAX('Inputs'!$B$33,'Inputs'!$B$29+'Inputs'!$B$31+'Inputs'!$B$32,'Inputs'!$B$30+'Inputs'!$B$31+'Inputs'!$B$32)/1000+'Inputs'!$B$21+'Inputs'!$B$7+'Inputs'!$B$10))^2+('Inputs'!$B$8/2)^2))))*'Results'!$B$8))),"")</x:f>
        <x:v>2.489108346154006</x:v>
      </x:c>
      <x:c r="L603" t="n">
        <x:f>IF(AND(ISNUMBER('Results'!B7),ISNUMBER('Results'!C7),ISNUMBER('Results'!$B$8),ISNUMBER('Inputs'!$B$6),ISNUMBER('Inputs'!$B$7),ISNUMBER('Inputs'!$B$8),ISNUMBER('Inputs'!$B$9),ISNUMBER('Inputs'!$B$10),ISNUMBER('Inputs'!$B$21),ISNUMBER('Inputs'!$B$24),ISNUMBER('Inputs'!$B$28)),((('Results'!B7*(1+'Inputs'!$B$24)*(0.5*((((603-43)*MAX('Inputs'!$B$33,'Inputs'!$B$29+'Inputs'!$B$31+'Inputs'!$B$32,'Inputs'!$B$30+'Inputs'!$B$31+'Inputs'!$B$32)/1000+'Inputs'!$B$21)+'Inputs'!$B$7)/SQRT((((603-43)*MAX('Inputs'!$B$33,'Inputs'!$B$29+'Inputs'!$B$31+'Inputs'!$B$32,'Inputs'!$B$30+'Inputs'!$B$31+'Inputs'!$B$32)/1000+'Inputs'!$B$21)+'Inputs'!$B$7)^2+('Inputs'!$B$6/2)^2)-(((603-43)*MAX('Inputs'!$B$33,'Inputs'!$B$29+'Inputs'!$B$31+'Inputs'!$B$32,'Inputs'!$B$30+'Inputs'!$B$31+'Inputs'!$B$32)/1000+'Inputs'!$B$21))/SQRT((((603-43)*MAX('Inputs'!$B$33,'Inputs'!$B$29+'Inputs'!$B$31+'Inputs'!$B$32,'Inputs'!$B$30+'Inputs'!$B$31+'Inputs'!$B$32)/1000+'Inputs'!$B$21))^2+('Inputs'!$B$6/2)^2)))-'Results'!C7*(1-'Inputs'!$B$24)*(0.5*((((603-43)*MAX('Inputs'!$B$33,'Inputs'!$B$29+'Inputs'!$B$31+'Inputs'!$B$32,'Inputs'!$B$30+'Inputs'!$B$31+'Inputs'!$B$32)/1000+'Inputs'!$B$21+'Inputs'!$B$7+'Inputs'!$B$10)+'Inputs'!$B$9)/SQRT((((603-43)*MAX('Inputs'!$B$33,'Inputs'!$B$29+'Inputs'!$B$31+'Inputs'!$B$32,'Inputs'!$B$30+'Inputs'!$B$31+'Inputs'!$B$32)/1000+'Inputs'!$B$21+'Inputs'!$B$7+'Inputs'!$B$10)+'Inputs'!$B$9)^2+('Inputs'!$B$8/2)^2)-(((603-43)*MAX('Inputs'!$B$33,'Inputs'!$B$29+'Inputs'!$B$31+'Inputs'!$B$32,'Inputs'!$B$30+'Inputs'!$B$31+'Inputs'!$B$32)/1000+'Inputs'!$B$21+'Inputs'!$B$7+'Inputs'!$B$10))/SQRT((((603-43)*MAX('Inputs'!$B$33,'Inputs'!$B$29+'Inputs'!$B$31+'Inputs'!$B$32,'Inputs'!$B$30+'Inputs'!$B$31+'Inputs'!$B$32)/1000+'Inputs'!$B$21+'Inputs'!$B$7+'Inputs'!$B$10))^2+('Inputs'!$B$8/2)^2))))*'Results'!$B$8)+'Inputs'!$B$28*ABS((('Results'!B7*(1+'Inputs'!$B$24)*(0.5*((((603-43)*MAX('Inputs'!$B$33,'Inputs'!$B$29+'Inputs'!$B$31+'Inputs'!$B$32,'Inputs'!$B$30+'Inputs'!$B$31+'Inputs'!$B$32)/1000+'Inputs'!$B$21)+'Inputs'!$B$7)/SQRT((((603-43)*MAX('Inputs'!$B$33,'Inputs'!$B$29+'Inputs'!$B$31+'Inputs'!$B$32,'Inputs'!$B$30+'Inputs'!$B$31+'Inputs'!$B$32)/1000+'Inputs'!$B$21)+'Inputs'!$B$7)^2+('Inputs'!$B$6/2)^2)-(((603-43)*MAX('Inputs'!$B$33,'Inputs'!$B$29+'Inputs'!$B$31+'Inputs'!$B$32,'Inputs'!$B$30+'Inputs'!$B$31+'Inputs'!$B$32)/1000+'Inputs'!$B$21))/SQRT((((603-43)*MAX('Inputs'!$B$33,'Inputs'!$B$29+'Inputs'!$B$31+'Inputs'!$B$32,'Inputs'!$B$30+'Inputs'!$B$31+'Inputs'!$B$32)/1000+'Inputs'!$B$21))^2+('Inputs'!$B$6/2)^2)))-'Results'!C7*(1-'Inputs'!$B$24)*(0.5*((((603-43)*MAX('Inputs'!$B$33,'Inputs'!$B$29+'Inputs'!$B$31+'Inputs'!$B$32,'Inputs'!$B$30+'Inputs'!$B$31+'Inputs'!$B$32)/1000+'Inputs'!$B$21+'Inputs'!$B$7+'Inputs'!$B$10)+'Inputs'!$B$9)/SQRT((((603-43)*MAX('Inputs'!$B$33,'Inputs'!$B$29+'Inputs'!$B$31+'Inputs'!$B$32,'Inputs'!$B$30+'Inputs'!$B$31+'Inputs'!$B$32)/1000+'Inputs'!$B$21+'Inputs'!$B$7+'Inputs'!$B$10)+'Inputs'!$B$9)^2+('Inputs'!$B$8/2)^2)-(((603-43)*MAX('Inputs'!$B$33,'Inputs'!$B$29+'Inputs'!$B$31+'Inputs'!$B$32,'Inputs'!$B$30+'Inputs'!$B$31+'Inputs'!$B$32)/1000+'Inputs'!$B$21+'Inputs'!$B$7+'Inputs'!$B$10))/SQRT((((603-43)*MAX('Inputs'!$B$33,'Inputs'!$B$29+'Inputs'!$B$31+'Inputs'!$B$32,'Inputs'!$B$30+'Inputs'!$B$31+'Inputs'!$B$32)/1000+'Inputs'!$B$21+'Inputs'!$B$7+'Inputs'!$B$10))^2+('Inputs'!$B$8/2)^2))))*'Results'!$B$8))),"")</x:f>
        <x:v>3.1911450668762127</x:v>
      </x:c>
      <x:c r="M603" t="n">
        <x:f>IF(AND(ISNUMBER('Results'!C7),ISNUMBER('Results'!B7),ISNUMBER('Results'!$B$8),ISNUMBER('Inputs'!$B$6),ISNUMBER('Inputs'!$B$7),ISNUMBER('Inputs'!$B$8),ISNUMBER('Inputs'!$B$9),ISNUMBER('Inputs'!$B$10),ISNUMBER('Inputs'!$B$21),ISNUMBER('Inputs'!$B$24),ISNUMBER('Inputs'!$B$28)),(('Results'!C7*(0.5*((((603-43)*MAX('Inputs'!$B$33,'Inputs'!$B$29+'Inputs'!$B$31+'Inputs'!$B$32,'Inputs'!$B$30+'Inputs'!$B$31+'Inputs'!$B$32)/1000+'Inputs'!$B$21)+'Inputs'!$B$9)/SQRT((((603-43)*MAX('Inputs'!$B$33,'Inputs'!$B$29+'Inputs'!$B$31+'Inputs'!$B$32,'Inputs'!$B$30+'Inputs'!$B$31+'Inputs'!$B$32)/1000+'Inputs'!$B$21)+'Inputs'!$B$9)^2+('Inputs'!$B$8/2)^2)-(((603-43)*MAX('Inputs'!$B$33,'Inputs'!$B$29+'Inputs'!$B$31+'Inputs'!$B$32,'Inputs'!$B$30+'Inputs'!$B$31+'Inputs'!$B$32)/1000+'Inputs'!$B$21))/SQRT((((603-43)*MAX('Inputs'!$B$33,'Inputs'!$B$29+'Inputs'!$B$31+'Inputs'!$B$32,'Inputs'!$B$30+'Inputs'!$B$31+'Inputs'!$B$32)/1000+'Inputs'!$B$21))^2+('Inputs'!$B$8/2)^2)))-'Results'!B7*(0.5*((((603-43)*MAX('Inputs'!$B$33,'Inputs'!$B$29+'Inputs'!$B$31+'Inputs'!$B$32,'Inputs'!$B$30+'Inputs'!$B$31+'Inputs'!$B$32)/1000+'Inputs'!$B$21+'Inputs'!$B$9+'Inputs'!$B$10)+'Inputs'!$B$7)/SQRT((((603-43)*MAX('Inputs'!$B$33,'Inputs'!$B$29+'Inputs'!$B$31+'Inputs'!$B$32,'Inputs'!$B$30+'Inputs'!$B$31+'Inputs'!$B$32)/1000+'Inputs'!$B$21+'Inputs'!$B$9+'Inputs'!$B$10)+'Inputs'!$B$7)^2+('Inputs'!$B$6/2)^2)-(((603-43)*MAX('Inputs'!$B$33,'Inputs'!$B$29+'Inputs'!$B$31+'Inputs'!$B$32,'Inputs'!$B$30+'Inputs'!$B$31+'Inputs'!$B$32)/1000+'Inputs'!$B$21+'Inputs'!$B$9+'Inputs'!$B$10))/SQRT((((603-43)*MAX('Inputs'!$B$33,'Inputs'!$B$29+'Inputs'!$B$31+'Inputs'!$B$32,'Inputs'!$B$30+'Inputs'!$B$31+'Inputs'!$B$32)/1000+'Inputs'!$B$21+'Inputs'!$B$9+'Inputs'!$B$10))^2+('Inputs'!$B$6/2)^2))))*'Results'!$B$8),"")</x:f>
        <x:v>2.618553407088965</x:v>
      </x:c>
      <x:c r="N603" t="n">
        <x:f>IF(AND(ISNUMBER('Results'!C7),ISNUMBER('Results'!B7),ISNUMBER('Results'!$B$8),ISNUMBER('Inputs'!$B$6),ISNUMBER('Inputs'!$B$7),ISNUMBER('Inputs'!$B$8),ISNUMBER('Inputs'!$B$9),ISNUMBER('Inputs'!$B$10),ISNUMBER('Inputs'!$B$21),ISNUMBER('Inputs'!$B$24),ISNUMBER('Inputs'!$B$28)),((('Results'!C7*(1-'Inputs'!$B$24)*(0.5*((((603-43)*MAX('Inputs'!$B$33,'Inputs'!$B$29+'Inputs'!$B$31+'Inputs'!$B$32,'Inputs'!$B$30+'Inputs'!$B$31+'Inputs'!$B$32)/1000+'Inputs'!$B$21)+'Inputs'!$B$9)/SQRT((((603-43)*MAX('Inputs'!$B$33,'Inputs'!$B$29+'Inputs'!$B$31+'Inputs'!$B$32,'Inputs'!$B$30+'Inputs'!$B$31+'Inputs'!$B$32)/1000+'Inputs'!$B$21)+'Inputs'!$B$9)^2+('Inputs'!$B$8/2)^2)-(((603-43)*MAX('Inputs'!$B$33,'Inputs'!$B$29+'Inputs'!$B$31+'Inputs'!$B$32,'Inputs'!$B$30+'Inputs'!$B$31+'Inputs'!$B$32)/1000+'Inputs'!$B$21))/SQRT((((603-43)*MAX('Inputs'!$B$33,'Inputs'!$B$29+'Inputs'!$B$31+'Inputs'!$B$32,'Inputs'!$B$30+'Inputs'!$B$31+'Inputs'!$B$32)/1000+'Inputs'!$B$21))^2+('Inputs'!$B$8/2)^2)))-'Results'!B7*(1+'Inputs'!$B$24)*(0.5*((((603-43)*MAX('Inputs'!$B$33,'Inputs'!$B$29+'Inputs'!$B$31+'Inputs'!$B$32,'Inputs'!$B$30+'Inputs'!$B$31+'Inputs'!$B$32)/1000+'Inputs'!$B$21+'Inputs'!$B$9+'Inputs'!$B$10)+'Inputs'!$B$7)/SQRT((((603-43)*MAX('Inputs'!$B$33,'Inputs'!$B$29+'Inputs'!$B$31+'Inputs'!$B$32,'Inputs'!$B$30+'Inputs'!$B$31+'Inputs'!$B$32)/1000+'Inputs'!$B$21+'Inputs'!$B$9+'Inputs'!$B$10)+'Inputs'!$B$7)^2+('Inputs'!$B$6/2)^2)-(((603-43)*MAX('Inputs'!$B$33,'Inputs'!$B$29+'Inputs'!$B$31+'Inputs'!$B$32,'Inputs'!$B$30+'Inputs'!$B$31+'Inputs'!$B$32)/1000+'Inputs'!$B$21+'Inputs'!$B$9+'Inputs'!$B$10))/SQRT((((603-43)*MAX('Inputs'!$B$33,'Inputs'!$B$29+'Inputs'!$B$31+'Inputs'!$B$32,'Inputs'!$B$30+'Inputs'!$B$31+'Inputs'!$B$32)/1000+'Inputs'!$B$21+'Inputs'!$B$9+'Inputs'!$B$10))^2+('Inputs'!$B$6/2)^2))))*'Results'!$B$8)-'Inputs'!$B$28*ABS((('Results'!C7*(1-'Inputs'!$B$24)*(0.5*((((603-43)*MAX('Inputs'!$B$33,'Inputs'!$B$29+'Inputs'!$B$31+'Inputs'!$B$32,'Inputs'!$B$30+'Inputs'!$B$31+'Inputs'!$B$32)/1000+'Inputs'!$B$21)+'Inputs'!$B$9)/SQRT((((603-43)*MAX('Inputs'!$B$33,'Inputs'!$B$29+'Inputs'!$B$31+'Inputs'!$B$32,'Inputs'!$B$30+'Inputs'!$B$31+'Inputs'!$B$32)/1000+'Inputs'!$B$21)+'Inputs'!$B$9)^2+('Inputs'!$B$8/2)^2)-(((603-43)*MAX('Inputs'!$B$33,'Inputs'!$B$29+'Inputs'!$B$31+'Inputs'!$B$32,'Inputs'!$B$30+'Inputs'!$B$31+'Inputs'!$B$32)/1000+'Inputs'!$B$21))/SQRT((((603-43)*MAX('Inputs'!$B$33,'Inputs'!$B$29+'Inputs'!$B$31+'Inputs'!$B$32,'Inputs'!$B$30+'Inputs'!$B$31+'Inputs'!$B$32)/1000+'Inputs'!$B$21))^2+('Inputs'!$B$8/2)^2)))-'Results'!B7*(1+'Inputs'!$B$24)*(0.5*((((603-43)*MAX('Inputs'!$B$33,'Inputs'!$B$29+'Inputs'!$B$31+'Inputs'!$B$32,'Inputs'!$B$30+'Inputs'!$B$31+'Inputs'!$B$32)/1000+'Inputs'!$B$21+'Inputs'!$B$9+'Inputs'!$B$10)+'Inputs'!$B$7)/SQRT((((603-43)*MAX('Inputs'!$B$33,'Inputs'!$B$29+'Inputs'!$B$31+'Inputs'!$B$32,'Inputs'!$B$30+'Inputs'!$B$31+'Inputs'!$B$32)/1000+'Inputs'!$B$21+'Inputs'!$B$9+'Inputs'!$B$10)+'Inputs'!$B$7)^2+('Inputs'!$B$6/2)^2)-(((603-43)*MAX('Inputs'!$B$33,'Inputs'!$B$29+'Inputs'!$B$31+'Inputs'!$B$32,'Inputs'!$B$30+'Inputs'!$B$31+'Inputs'!$B$32)/1000+'Inputs'!$B$21+'Inputs'!$B$9+'Inputs'!$B$10))/SQRT((((603-43)*MAX('Inputs'!$B$33,'Inputs'!$B$29+'Inputs'!$B$31+'Inputs'!$B$32,'Inputs'!$B$30+'Inputs'!$B$31+'Inputs'!$B$32)/1000+'Inputs'!$B$21+'Inputs'!$B$9+'Inputs'!$B$10))^2+('Inputs'!$B$6/2)^2))))*'Results'!$B$8))),"")</x:f>
        <x:v>2.2896122800509366</x:v>
      </x:c>
      <x:c r="O603" t="n">
        <x:f>IF(AND(ISNUMBER('Results'!C7),ISNUMBER('Results'!B7),ISNUMBER('Results'!$B$8),ISNUMBER('Inputs'!$B$6),ISNUMBER('Inputs'!$B$7),ISNUMBER('Inputs'!$B$8),ISNUMBER('Inputs'!$B$9),ISNUMBER('Inputs'!$B$10),ISNUMBER('Inputs'!$B$21),ISNUMBER('Inputs'!$B$24),ISNUMBER('Inputs'!$B$28)),((('Results'!C7*(1+'Inputs'!$B$24)*(0.5*((((603-43)*MAX('Inputs'!$B$33,'Inputs'!$B$29+'Inputs'!$B$31+'Inputs'!$B$32,'Inputs'!$B$30+'Inputs'!$B$31+'Inputs'!$B$32)/1000+'Inputs'!$B$21)+'Inputs'!$B$9)/SQRT((((603-43)*MAX('Inputs'!$B$33,'Inputs'!$B$29+'Inputs'!$B$31+'Inputs'!$B$32,'Inputs'!$B$30+'Inputs'!$B$31+'Inputs'!$B$32)/1000+'Inputs'!$B$21)+'Inputs'!$B$9)^2+('Inputs'!$B$8/2)^2)-(((603-43)*MAX('Inputs'!$B$33,'Inputs'!$B$29+'Inputs'!$B$31+'Inputs'!$B$32,'Inputs'!$B$30+'Inputs'!$B$31+'Inputs'!$B$32)/1000+'Inputs'!$B$21))/SQRT((((603-43)*MAX('Inputs'!$B$33,'Inputs'!$B$29+'Inputs'!$B$31+'Inputs'!$B$32,'Inputs'!$B$30+'Inputs'!$B$31+'Inputs'!$B$32)/1000+'Inputs'!$B$21))^2+('Inputs'!$B$8/2)^2)))-'Results'!B7*(1-'Inputs'!$B$24)*(0.5*((((603-43)*MAX('Inputs'!$B$33,'Inputs'!$B$29+'Inputs'!$B$31+'Inputs'!$B$32,'Inputs'!$B$30+'Inputs'!$B$31+'Inputs'!$B$32)/1000+'Inputs'!$B$21+'Inputs'!$B$9+'Inputs'!$B$10)+'Inputs'!$B$7)/SQRT((((603-43)*MAX('Inputs'!$B$33,'Inputs'!$B$29+'Inputs'!$B$31+'Inputs'!$B$32,'Inputs'!$B$30+'Inputs'!$B$31+'Inputs'!$B$32)/1000+'Inputs'!$B$21+'Inputs'!$B$9+'Inputs'!$B$10)+'Inputs'!$B$7)^2+('Inputs'!$B$6/2)^2)-(((603-43)*MAX('Inputs'!$B$33,'Inputs'!$B$29+'Inputs'!$B$31+'Inputs'!$B$32,'Inputs'!$B$30+'Inputs'!$B$31+'Inputs'!$B$32)/1000+'Inputs'!$B$21+'Inputs'!$B$9+'Inputs'!$B$10))/SQRT((((603-43)*MAX('Inputs'!$B$33,'Inputs'!$B$29+'Inputs'!$B$31+'Inputs'!$B$32,'Inputs'!$B$30+'Inputs'!$B$31+'Inputs'!$B$32)/1000+'Inputs'!$B$21+'Inputs'!$B$9+'Inputs'!$B$10))^2+('Inputs'!$B$6/2)^2))))*'Results'!$B$8)+'Inputs'!$B$28*ABS((('Results'!C7*(1+'Inputs'!$B$24)*(0.5*((((603-43)*MAX('Inputs'!$B$33,'Inputs'!$B$29+'Inputs'!$B$31+'Inputs'!$B$32,'Inputs'!$B$30+'Inputs'!$B$31+'Inputs'!$B$32)/1000+'Inputs'!$B$21)+'Inputs'!$B$9)/SQRT((((603-43)*MAX('Inputs'!$B$33,'Inputs'!$B$29+'Inputs'!$B$31+'Inputs'!$B$32,'Inputs'!$B$30+'Inputs'!$B$31+'Inputs'!$B$32)/1000+'Inputs'!$B$21)+'Inputs'!$B$9)^2+('Inputs'!$B$8/2)^2)-(((603-43)*MAX('Inputs'!$B$33,'Inputs'!$B$29+'Inputs'!$B$31+'Inputs'!$B$32,'Inputs'!$B$30+'Inputs'!$B$31+'Inputs'!$B$32)/1000+'Inputs'!$B$21))/SQRT((((603-43)*MAX('Inputs'!$B$33,'Inputs'!$B$29+'Inputs'!$B$31+'Inputs'!$B$32,'Inputs'!$B$30+'Inputs'!$B$31+'Inputs'!$B$32)/1000+'Inputs'!$B$21))^2+('Inputs'!$B$8/2)^2)))-'Results'!B7*(1-'Inputs'!$B$24)*(0.5*((((603-43)*MAX('Inputs'!$B$33,'Inputs'!$B$29+'Inputs'!$B$31+'Inputs'!$B$32,'Inputs'!$B$30+'Inputs'!$B$31+'Inputs'!$B$32)/1000+'Inputs'!$B$21+'Inputs'!$B$9+'Inputs'!$B$10)+'Inputs'!$B$7)/SQRT((((603-43)*MAX('Inputs'!$B$33,'Inputs'!$B$29+'Inputs'!$B$31+'Inputs'!$B$32,'Inputs'!$B$30+'Inputs'!$B$31+'Inputs'!$B$32)/1000+'Inputs'!$B$21+'Inputs'!$B$9+'Inputs'!$B$10)+'Inputs'!$B$7)^2+('Inputs'!$B$6/2)^2)-(((603-43)*MAX('Inputs'!$B$33,'Inputs'!$B$29+'Inputs'!$B$31+'Inputs'!$B$32,'Inputs'!$B$30+'Inputs'!$B$31+'Inputs'!$B$32)/1000+'Inputs'!$B$21+'Inputs'!$B$9+'Inputs'!$B$10))/SQRT((((603-43)*MAX('Inputs'!$B$33,'Inputs'!$B$29+'Inputs'!$B$31+'Inputs'!$B$32,'Inputs'!$B$30+'Inputs'!$B$31+'Inputs'!$B$32)/1000+'Inputs'!$B$21+'Inputs'!$B$9+'Inputs'!$B$10))^2+('Inputs'!$B$6/2)^2))))*'Results'!$B$8))),"")</x:f>
        <x:v>2.9683380558831605</x:v>
      </x:c>
      <x:c r="P603" t="n">
        <x:f>IF(AND(MAX(J603,J602)&gt;0,J603&gt;J602+0.00000001),1,0)</x:f>
        <x:v>0</x:v>
      </x:c>
      <x:c r="Q603" t="n">
        <x:f>IF(AND(MAX(K603,K602)&gt;0,K603&gt;K602+0.00000001),1,0)</x:f>
        <x:v>0</x:v>
      </x:c>
      <x:c r="R603" t="n">
        <x:f>IF(AND(MAX(L603,L602)&gt;0,L603&gt;L602+0.00000001),1,0)</x:f>
        <x:v>0</x:v>
      </x:c>
      <x:c r="S603" t="n">
        <x:f>IF(AND(MAX(M603,M602)&gt;0,M603&gt;M602+0.00000001),1,0)</x:f>
        <x:v>0</x:v>
      </x:c>
      <x:c r="T603" t="n">
        <x:f>IF(AND(MAX(N603,N602)&gt;0,N603&gt;N602+0.00000001),1,0)</x:f>
        <x:v>0</x:v>
      </x:c>
      <x:c r="U603" t="n">
        <x:f>IF(AND(MAX(O603,O602)&gt;0,O603&gt;O602+0.00000001),1,0)</x:f>
        <x:v>0</x:v>
      </x:c>
    </x:row>
    <x:row r="604">
      <x:c r="J604" t="n">
        <x:f>IF(AND(ISNUMBER('Results'!B7),ISNUMBER('Results'!C7),ISNUMBER('Results'!$B$8),ISNUMBER('Inputs'!$B$6),ISNUMBER('Inputs'!$B$7),ISNUMBER('Inputs'!$B$8),ISNUMBER('Inputs'!$B$9),ISNUMBER('Inputs'!$B$10),ISNUMBER('Inputs'!$B$21),ISNUMBER('Inputs'!$B$24),ISNUMBER('Inputs'!$B$28)),(('Results'!B7*(0.5*((((604-43)*MAX('Inputs'!$B$33,'Inputs'!$B$29+'Inputs'!$B$31+'Inputs'!$B$32,'Inputs'!$B$30+'Inputs'!$B$31+'Inputs'!$B$32)/1000+'Inputs'!$B$21)+'Inputs'!$B$7)/SQRT((((604-43)*MAX('Inputs'!$B$33,'Inputs'!$B$29+'Inputs'!$B$31+'Inputs'!$B$32,'Inputs'!$B$30+'Inputs'!$B$31+'Inputs'!$B$32)/1000+'Inputs'!$B$21)+'Inputs'!$B$7)^2+('Inputs'!$B$6/2)^2)-(((604-43)*MAX('Inputs'!$B$33,'Inputs'!$B$29+'Inputs'!$B$31+'Inputs'!$B$32,'Inputs'!$B$30+'Inputs'!$B$31+'Inputs'!$B$32)/1000+'Inputs'!$B$21))/SQRT((((604-43)*MAX('Inputs'!$B$33,'Inputs'!$B$29+'Inputs'!$B$31+'Inputs'!$B$32,'Inputs'!$B$30+'Inputs'!$B$31+'Inputs'!$B$32)/1000+'Inputs'!$B$21))^2+('Inputs'!$B$6/2)^2)))-'Results'!C7*(0.5*((((604-43)*MAX('Inputs'!$B$33,'Inputs'!$B$29+'Inputs'!$B$31+'Inputs'!$B$32,'Inputs'!$B$30+'Inputs'!$B$31+'Inputs'!$B$32)/1000+'Inputs'!$B$21+'Inputs'!$B$7+'Inputs'!$B$10)+'Inputs'!$B$9)/SQRT((((604-43)*MAX('Inputs'!$B$33,'Inputs'!$B$29+'Inputs'!$B$31+'Inputs'!$B$32,'Inputs'!$B$30+'Inputs'!$B$31+'Inputs'!$B$32)/1000+'Inputs'!$B$21+'Inputs'!$B$7+'Inputs'!$B$10)+'Inputs'!$B$9)^2+('Inputs'!$B$8/2)^2)-(((604-43)*MAX('Inputs'!$B$33,'Inputs'!$B$29+'Inputs'!$B$31+'Inputs'!$B$32,'Inputs'!$B$30+'Inputs'!$B$31+'Inputs'!$B$32)/1000+'Inputs'!$B$21+'Inputs'!$B$7+'Inputs'!$B$10))/SQRT((((604-43)*MAX('Inputs'!$B$33,'Inputs'!$B$29+'Inputs'!$B$31+'Inputs'!$B$32,'Inputs'!$B$30+'Inputs'!$B$31+'Inputs'!$B$32)/1000+'Inputs'!$B$21+'Inputs'!$B$7+'Inputs'!$B$10))^2+('Inputs'!$B$8/2)^2))))*'Results'!$B$8),"")</x:f>
        <x:v>2.8121986637131067</x:v>
      </x:c>
      <x:c r="K604" t="n">
        <x:f>IF(AND(ISNUMBER('Results'!B7),ISNUMBER('Results'!C7),ISNUMBER('Results'!$B$8),ISNUMBER('Inputs'!$B$6),ISNUMBER('Inputs'!$B$7),ISNUMBER('Inputs'!$B$8),ISNUMBER('Inputs'!$B$9),ISNUMBER('Inputs'!$B$10),ISNUMBER('Inputs'!$B$21),ISNUMBER('Inputs'!$B$24),ISNUMBER('Inputs'!$B$28)),((('Results'!B7*(1-'Inputs'!$B$24)*(0.5*((((604-43)*MAX('Inputs'!$B$33,'Inputs'!$B$29+'Inputs'!$B$31+'Inputs'!$B$32,'Inputs'!$B$30+'Inputs'!$B$31+'Inputs'!$B$32)/1000+'Inputs'!$B$21)+'Inputs'!$B$7)/SQRT((((604-43)*MAX('Inputs'!$B$33,'Inputs'!$B$29+'Inputs'!$B$31+'Inputs'!$B$32,'Inputs'!$B$30+'Inputs'!$B$31+'Inputs'!$B$32)/1000+'Inputs'!$B$21)+'Inputs'!$B$7)^2+('Inputs'!$B$6/2)^2)-(((604-43)*MAX('Inputs'!$B$33,'Inputs'!$B$29+'Inputs'!$B$31+'Inputs'!$B$32,'Inputs'!$B$30+'Inputs'!$B$31+'Inputs'!$B$32)/1000+'Inputs'!$B$21))/SQRT((((604-43)*MAX('Inputs'!$B$33,'Inputs'!$B$29+'Inputs'!$B$31+'Inputs'!$B$32,'Inputs'!$B$30+'Inputs'!$B$31+'Inputs'!$B$32)/1000+'Inputs'!$B$21))^2+('Inputs'!$B$6/2)^2)))-'Results'!C7*(1+'Inputs'!$B$24)*(0.5*((((604-43)*MAX('Inputs'!$B$33,'Inputs'!$B$29+'Inputs'!$B$31+'Inputs'!$B$32,'Inputs'!$B$30+'Inputs'!$B$31+'Inputs'!$B$32)/1000+'Inputs'!$B$21+'Inputs'!$B$7+'Inputs'!$B$10)+'Inputs'!$B$9)/SQRT((((604-43)*MAX('Inputs'!$B$33,'Inputs'!$B$29+'Inputs'!$B$31+'Inputs'!$B$32,'Inputs'!$B$30+'Inputs'!$B$31+'Inputs'!$B$32)/1000+'Inputs'!$B$21+'Inputs'!$B$7+'Inputs'!$B$10)+'Inputs'!$B$9)^2+('Inputs'!$B$8/2)^2)-(((604-43)*MAX('Inputs'!$B$33,'Inputs'!$B$29+'Inputs'!$B$31+'Inputs'!$B$32,'Inputs'!$B$30+'Inputs'!$B$31+'Inputs'!$B$32)/1000+'Inputs'!$B$21+'Inputs'!$B$7+'Inputs'!$B$10))/SQRT((((604-43)*MAX('Inputs'!$B$33,'Inputs'!$B$29+'Inputs'!$B$31+'Inputs'!$B$32,'Inputs'!$B$30+'Inputs'!$B$31+'Inputs'!$B$32)/1000+'Inputs'!$B$21+'Inputs'!$B$7+'Inputs'!$B$10))^2+('Inputs'!$B$8/2)^2))))*'Results'!$B$8)-'Inputs'!$B$28*ABS((('Results'!B7*(1-'Inputs'!$B$24)*(0.5*((((604-43)*MAX('Inputs'!$B$33,'Inputs'!$B$29+'Inputs'!$B$31+'Inputs'!$B$32,'Inputs'!$B$30+'Inputs'!$B$31+'Inputs'!$B$32)/1000+'Inputs'!$B$21)+'Inputs'!$B$7)/SQRT((((604-43)*MAX('Inputs'!$B$33,'Inputs'!$B$29+'Inputs'!$B$31+'Inputs'!$B$32,'Inputs'!$B$30+'Inputs'!$B$31+'Inputs'!$B$32)/1000+'Inputs'!$B$21)+'Inputs'!$B$7)^2+('Inputs'!$B$6/2)^2)-(((604-43)*MAX('Inputs'!$B$33,'Inputs'!$B$29+'Inputs'!$B$31+'Inputs'!$B$32,'Inputs'!$B$30+'Inputs'!$B$31+'Inputs'!$B$32)/1000+'Inputs'!$B$21))/SQRT((((604-43)*MAX('Inputs'!$B$33,'Inputs'!$B$29+'Inputs'!$B$31+'Inputs'!$B$32,'Inputs'!$B$30+'Inputs'!$B$31+'Inputs'!$B$32)/1000+'Inputs'!$B$21))^2+('Inputs'!$B$6/2)^2)))-'Results'!C7*(1+'Inputs'!$B$24)*(0.5*((((604-43)*MAX('Inputs'!$B$33,'Inputs'!$B$29+'Inputs'!$B$31+'Inputs'!$B$32,'Inputs'!$B$30+'Inputs'!$B$31+'Inputs'!$B$32)/1000+'Inputs'!$B$21+'Inputs'!$B$7+'Inputs'!$B$10)+'Inputs'!$B$9)/SQRT((((604-43)*MAX('Inputs'!$B$33,'Inputs'!$B$29+'Inputs'!$B$31+'Inputs'!$B$32,'Inputs'!$B$30+'Inputs'!$B$31+'Inputs'!$B$32)/1000+'Inputs'!$B$21+'Inputs'!$B$7+'Inputs'!$B$10)+'Inputs'!$B$9)^2+('Inputs'!$B$8/2)^2)-(((604-43)*MAX('Inputs'!$B$33,'Inputs'!$B$29+'Inputs'!$B$31+'Inputs'!$B$32,'Inputs'!$B$30+'Inputs'!$B$31+'Inputs'!$B$32)/1000+'Inputs'!$B$21+'Inputs'!$B$7+'Inputs'!$B$10))/SQRT((((604-43)*MAX('Inputs'!$B$33,'Inputs'!$B$29+'Inputs'!$B$31+'Inputs'!$B$32,'Inputs'!$B$30+'Inputs'!$B$31+'Inputs'!$B$32)/1000+'Inputs'!$B$21+'Inputs'!$B$7+'Inputs'!$B$10))^2+('Inputs'!$B$8/2)^2))))*'Results'!$B$8))),"")</x:f>
        <x:v>2.4734796298218162</x:v>
      </x:c>
      <x:c r="L604" t="n">
        <x:f>IF(AND(ISNUMBER('Results'!B7),ISNUMBER('Results'!C7),ISNUMBER('Results'!$B$8),ISNUMBER('Inputs'!$B$6),ISNUMBER('Inputs'!$B$7),ISNUMBER('Inputs'!$B$8),ISNUMBER('Inputs'!$B$9),ISNUMBER('Inputs'!$B$10),ISNUMBER('Inputs'!$B$21),ISNUMBER('Inputs'!$B$24),ISNUMBER('Inputs'!$B$28)),((('Results'!B7*(1+'Inputs'!$B$24)*(0.5*((((604-43)*MAX('Inputs'!$B$33,'Inputs'!$B$29+'Inputs'!$B$31+'Inputs'!$B$32,'Inputs'!$B$30+'Inputs'!$B$31+'Inputs'!$B$32)/1000+'Inputs'!$B$21)+'Inputs'!$B$7)/SQRT((((604-43)*MAX('Inputs'!$B$33,'Inputs'!$B$29+'Inputs'!$B$31+'Inputs'!$B$32,'Inputs'!$B$30+'Inputs'!$B$31+'Inputs'!$B$32)/1000+'Inputs'!$B$21)+'Inputs'!$B$7)^2+('Inputs'!$B$6/2)^2)-(((604-43)*MAX('Inputs'!$B$33,'Inputs'!$B$29+'Inputs'!$B$31+'Inputs'!$B$32,'Inputs'!$B$30+'Inputs'!$B$31+'Inputs'!$B$32)/1000+'Inputs'!$B$21))/SQRT((((604-43)*MAX('Inputs'!$B$33,'Inputs'!$B$29+'Inputs'!$B$31+'Inputs'!$B$32,'Inputs'!$B$30+'Inputs'!$B$31+'Inputs'!$B$32)/1000+'Inputs'!$B$21))^2+('Inputs'!$B$6/2)^2)))-'Results'!C7*(1-'Inputs'!$B$24)*(0.5*((((604-43)*MAX('Inputs'!$B$33,'Inputs'!$B$29+'Inputs'!$B$31+'Inputs'!$B$32,'Inputs'!$B$30+'Inputs'!$B$31+'Inputs'!$B$32)/1000+'Inputs'!$B$21+'Inputs'!$B$7+'Inputs'!$B$10)+'Inputs'!$B$9)/SQRT((((604-43)*MAX('Inputs'!$B$33,'Inputs'!$B$29+'Inputs'!$B$31+'Inputs'!$B$32,'Inputs'!$B$30+'Inputs'!$B$31+'Inputs'!$B$32)/1000+'Inputs'!$B$21+'Inputs'!$B$7+'Inputs'!$B$10)+'Inputs'!$B$9)^2+('Inputs'!$B$8/2)^2)-(((604-43)*MAX('Inputs'!$B$33,'Inputs'!$B$29+'Inputs'!$B$31+'Inputs'!$B$32,'Inputs'!$B$30+'Inputs'!$B$31+'Inputs'!$B$32)/1000+'Inputs'!$B$21+'Inputs'!$B$7+'Inputs'!$B$10))/SQRT((((604-43)*MAX('Inputs'!$B$33,'Inputs'!$B$29+'Inputs'!$B$31+'Inputs'!$B$32,'Inputs'!$B$30+'Inputs'!$B$31+'Inputs'!$B$32)/1000+'Inputs'!$B$21+'Inputs'!$B$7+'Inputs'!$B$10))^2+('Inputs'!$B$8/2)^2))))*'Results'!$B$8)+'Inputs'!$B$28*ABS((('Results'!B7*(1+'Inputs'!$B$24)*(0.5*((((604-43)*MAX('Inputs'!$B$33,'Inputs'!$B$29+'Inputs'!$B$31+'Inputs'!$B$32,'Inputs'!$B$30+'Inputs'!$B$31+'Inputs'!$B$32)/1000+'Inputs'!$B$21)+'Inputs'!$B$7)/SQRT((((604-43)*MAX('Inputs'!$B$33,'Inputs'!$B$29+'Inputs'!$B$31+'Inputs'!$B$32,'Inputs'!$B$30+'Inputs'!$B$31+'Inputs'!$B$32)/1000+'Inputs'!$B$21)+'Inputs'!$B$7)^2+('Inputs'!$B$6/2)^2)-(((604-43)*MAX('Inputs'!$B$33,'Inputs'!$B$29+'Inputs'!$B$31+'Inputs'!$B$32,'Inputs'!$B$30+'Inputs'!$B$31+'Inputs'!$B$32)/1000+'Inputs'!$B$21))/SQRT((((604-43)*MAX('Inputs'!$B$33,'Inputs'!$B$29+'Inputs'!$B$31+'Inputs'!$B$32,'Inputs'!$B$30+'Inputs'!$B$31+'Inputs'!$B$32)/1000+'Inputs'!$B$21))^2+('Inputs'!$B$6/2)^2)))-'Results'!C7*(1-'Inputs'!$B$24)*(0.5*((((604-43)*MAX('Inputs'!$B$33,'Inputs'!$B$29+'Inputs'!$B$31+'Inputs'!$B$32,'Inputs'!$B$30+'Inputs'!$B$31+'Inputs'!$B$32)/1000+'Inputs'!$B$21+'Inputs'!$B$7+'Inputs'!$B$10)+'Inputs'!$B$9)/SQRT((((604-43)*MAX('Inputs'!$B$33,'Inputs'!$B$29+'Inputs'!$B$31+'Inputs'!$B$32,'Inputs'!$B$30+'Inputs'!$B$31+'Inputs'!$B$32)/1000+'Inputs'!$B$21+'Inputs'!$B$7+'Inputs'!$B$10)+'Inputs'!$B$9)^2+('Inputs'!$B$8/2)^2)-(((604-43)*MAX('Inputs'!$B$33,'Inputs'!$B$29+'Inputs'!$B$31+'Inputs'!$B$32,'Inputs'!$B$30+'Inputs'!$B$31+'Inputs'!$B$32)/1000+'Inputs'!$B$21+'Inputs'!$B$7+'Inputs'!$B$10))/SQRT((((604-43)*MAX('Inputs'!$B$33,'Inputs'!$B$29+'Inputs'!$B$31+'Inputs'!$B$32,'Inputs'!$B$30+'Inputs'!$B$31+'Inputs'!$B$32)/1000+'Inputs'!$B$21+'Inputs'!$B$7+'Inputs'!$B$10))^2+('Inputs'!$B$8/2)^2))))*'Results'!$B$8))),"")</x:f>
        <x:v>3.171771287152359</x:v>
      </x:c>
      <x:c r="M604" t="n">
        <x:f>IF(AND(ISNUMBER('Results'!C7),ISNUMBER('Results'!B7),ISNUMBER('Results'!$B$8),ISNUMBER('Inputs'!$B$6),ISNUMBER('Inputs'!$B$7),ISNUMBER('Inputs'!$B$8),ISNUMBER('Inputs'!$B$9),ISNUMBER('Inputs'!$B$10),ISNUMBER('Inputs'!$B$21),ISNUMBER('Inputs'!$B$24),ISNUMBER('Inputs'!$B$28)),(('Results'!C7*(0.5*((((604-43)*MAX('Inputs'!$B$33,'Inputs'!$B$29+'Inputs'!$B$31+'Inputs'!$B$32,'Inputs'!$B$30+'Inputs'!$B$31+'Inputs'!$B$32)/1000+'Inputs'!$B$21)+'Inputs'!$B$9)/SQRT((((604-43)*MAX('Inputs'!$B$33,'Inputs'!$B$29+'Inputs'!$B$31+'Inputs'!$B$32,'Inputs'!$B$30+'Inputs'!$B$31+'Inputs'!$B$32)/1000+'Inputs'!$B$21)+'Inputs'!$B$9)^2+('Inputs'!$B$8/2)^2)-(((604-43)*MAX('Inputs'!$B$33,'Inputs'!$B$29+'Inputs'!$B$31+'Inputs'!$B$32,'Inputs'!$B$30+'Inputs'!$B$31+'Inputs'!$B$32)/1000+'Inputs'!$B$21))/SQRT((((604-43)*MAX('Inputs'!$B$33,'Inputs'!$B$29+'Inputs'!$B$31+'Inputs'!$B$32,'Inputs'!$B$30+'Inputs'!$B$31+'Inputs'!$B$32)/1000+'Inputs'!$B$21))^2+('Inputs'!$B$8/2)^2)))-'Results'!B7*(0.5*((((604-43)*MAX('Inputs'!$B$33,'Inputs'!$B$29+'Inputs'!$B$31+'Inputs'!$B$32,'Inputs'!$B$30+'Inputs'!$B$31+'Inputs'!$B$32)/1000+'Inputs'!$B$21+'Inputs'!$B$9+'Inputs'!$B$10)+'Inputs'!$B$7)/SQRT((((604-43)*MAX('Inputs'!$B$33,'Inputs'!$B$29+'Inputs'!$B$31+'Inputs'!$B$32,'Inputs'!$B$30+'Inputs'!$B$31+'Inputs'!$B$32)/1000+'Inputs'!$B$21+'Inputs'!$B$9+'Inputs'!$B$10)+'Inputs'!$B$7)^2+('Inputs'!$B$6/2)^2)-(((604-43)*MAX('Inputs'!$B$33,'Inputs'!$B$29+'Inputs'!$B$31+'Inputs'!$B$32,'Inputs'!$B$30+'Inputs'!$B$31+'Inputs'!$B$32)/1000+'Inputs'!$B$21+'Inputs'!$B$9+'Inputs'!$B$10))/SQRT((((604-43)*MAX('Inputs'!$B$33,'Inputs'!$B$29+'Inputs'!$B$31+'Inputs'!$B$32,'Inputs'!$B$30+'Inputs'!$B$31+'Inputs'!$B$32)/1000+'Inputs'!$B$21+'Inputs'!$B$9+'Inputs'!$B$10))^2+('Inputs'!$B$6/2)^2))))*'Results'!$B$8),"")</x:f>
        <x:v>2.6021087690273137</x:v>
      </x:c>
      <x:c r="N604" t="n">
        <x:f>IF(AND(ISNUMBER('Results'!C7),ISNUMBER('Results'!B7),ISNUMBER('Results'!$B$8),ISNUMBER('Inputs'!$B$6),ISNUMBER('Inputs'!$B$7),ISNUMBER('Inputs'!$B$8),ISNUMBER('Inputs'!$B$9),ISNUMBER('Inputs'!$B$10),ISNUMBER('Inputs'!$B$21),ISNUMBER('Inputs'!$B$24),ISNUMBER('Inputs'!$B$28)),((('Results'!C7*(1-'Inputs'!$B$24)*(0.5*((((604-43)*MAX('Inputs'!$B$33,'Inputs'!$B$29+'Inputs'!$B$31+'Inputs'!$B$32,'Inputs'!$B$30+'Inputs'!$B$31+'Inputs'!$B$32)/1000+'Inputs'!$B$21)+'Inputs'!$B$9)/SQRT((((604-43)*MAX('Inputs'!$B$33,'Inputs'!$B$29+'Inputs'!$B$31+'Inputs'!$B$32,'Inputs'!$B$30+'Inputs'!$B$31+'Inputs'!$B$32)/1000+'Inputs'!$B$21)+'Inputs'!$B$9)^2+('Inputs'!$B$8/2)^2)-(((604-43)*MAX('Inputs'!$B$33,'Inputs'!$B$29+'Inputs'!$B$31+'Inputs'!$B$32,'Inputs'!$B$30+'Inputs'!$B$31+'Inputs'!$B$32)/1000+'Inputs'!$B$21))/SQRT((((604-43)*MAX('Inputs'!$B$33,'Inputs'!$B$29+'Inputs'!$B$31+'Inputs'!$B$32,'Inputs'!$B$30+'Inputs'!$B$31+'Inputs'!$B$32)/1000+'Inputs'!$B$21))^2+('Inputs'!$B$8/2)^2)))-'Results'!B7*(1+'Inputs'!$B$24)*(0.5*((((604-43)*MAX('Inputs'!$B$33,'Inputs'!$B$29+'Inputs'!$B$31+'Inputs'!$B$32,'Inputs'!$B$30+'Inputs'!$B$31+'Inputs'!$B$32)/1000+'Inputs'!$B$21+'Inputs'!$B$9+'Inputs'!$B$10)+'Inputs'!$B$7)/SQRT((((604-43)*MAX('Inputs'!$B$33,'Inputs'!$B$29+'Inputs'!$B$31+'Inputs'!$B$32,'Inputs'!$B$30+'Inputs'!$B$31+'Inputs'!$B$32)/1000+'Inputs'!$B$21+'Inputs'!$B$9+'Inputs'!$B$10)+'Inputs'!$B$7)^2+('Inputs'!$B$6/2)^2)-(((604-43)*MAX('Inputs'!$B$33,'Inputs'!$B$29+'Inputs'!$B$31+'Inputs'!$B$32,'Inputs'!$B$30+'Inputs'!$B$31+'Inputs'!$B$32)/1000+'Inputs'!$B$21+'Inputs'!$B$9+'Inputs'!$B$10))/SQRT((((604-43)*MAX('Inputs'!$B$33,'Inputs'!$B$29+'Inputs'!$B$31+'Inputs'!$B$32,'Inputs'!$B$30+'Inputs'!$B$31+'Inputs'!$B$32)/1000+'Inputs'!$B$21+'Inputs'!$B$9+'Inputs'!$B$10))^2+('Inputs'!$B$6/2)^2))))*'Results'!$B$8)-'Inputs'!$B$28*ABS((('Results'!C7*(1-'Inputs'!$B$24)*(0.5*((((604-43)*MAX('Inputs'!$B$33,'Inputs'!$B$29+'Inputs'!$B$31+'Inputs'!$B$32,'Inputs'!$B$30+'Inputs'!$B$31+'Inputs'!$B$32)/1000+'Inputs'!$B$21)+'Inputs'!$B$9)/SQRT((((604-43)*MAX('Inputs'!$B$33,'Inputs'!$B$29+'Inputs'!$B$31+'Inputs'!$B$32,'Inputs'!$B$30+'Inputs'!$B$31+'Inputs'!$B$32)/1000+'Inputs'!$B$21)+'Inputs'!$B$9)^2+('Inputs'!$B$8/2)^2)-(((604-43)*MAX('Inputs'!$B$33,'Inputs'!$B$29+'Inputs'!$B$31+'Inputs'!$B$32,'Inputs'!$B$30+'Inputs'!$B$31+'Inputs'!$B$32)/1000+'Inputs'!$B$21))/SQRT((((604-43)*MAX('Inputs'!$B$33,'Inputs'!$B$29+'Inputs'!$B$31+'Inputs'!$B$32,'Inputs'!$B$30+'Inputs'!$B$31+'Inputs'!$B$32)/1000+'Inputs'!$B$21))^2+('Inputs'!$B$8/2)^2)))-'Results'!B7*(1+'Inputs'!$B$24)*(0.5*((((604-43)*MAX('Inputs'!$B$33,'Inputs'!$B$29+'Inputs'!$B$31+'Inputs'!$B$32,'Inputs'!$B$30+'Inputs'!$B$31+'Inputs'!$B$32)/1000+'Inputs'!$B$21+'Inputs'!$B$9+'Inputs'!$B$10)+'Inputs'!$B$7)/SQRT((((604-43)*MAX('Inputs'!$B$33,'Inputs'!$B$29+'Inputs'!$B$31+'Inputs'!$B$32,'Inputs'!$B$30+'Inputs'!$B$31+'Inputs'!$B$32)/1000+'Inputs'!$B$21+'Inputs'!$B$9+'Inputs'!$B$10)+'Inputs'!$B$7)^2+('Inputs'!$B$6/2)^2)-(((604-43)*MAX('Inputs'!$B$33,'Inputs'!$B$29+'Inputs'!$B$31+'Inputs'!$B$32,'Inputs'!$B$30+'Inputs'!$B$31+'Inputs'!$B$32)/1000+'Inputs'!$B$21+'Inputs'!$B$9+'Inputs'!$B$10))/SQRT((((604-43)*MAX('Inputs'!$B$33,'Inputs'!$B$29+'Inputs'!$B$31+'Inputs'!$B$32,'Inputs'!$B$30+'Inputs'!$B$31+'Inputs'!$B$32)/1000+'Inputs'!$B$21+'Inputs'!$B$9+'Inputs'!$B$10))^2+('Inputs'!$B$6/2)^2))))*'Results'!$B$8))),"")</x:f>
        <x:v>2.2749333393776063</x:v>
      </x:c>
      <x:c r="O604" t="n">
        <x:f>IF(AND(ISNUMBER('Results'!C7),ISNUMBER('Results'!B7),ISNUMBER('Results'!$B$8),ISNUMBER('Inputs'!$B$6),ISNUMBER('Inputs'!$B$7),ISNUMBER('Inputs'!$B$8),ISNUMBER('Inputs'!$B$9),ISNUMBER('Inputs'!$B$10),ISNUMBER('Inputs'!$B$21),ISNUMBER('Inputs'!$B$24),ISNUMBER('Inputs'!$B$28)),((('Results'!C7*(1+'Inputs'!$B$24)*(0.5*((((604-43)*MAX('Inputs'!$B$33,'Inputs'!$B$29+'Inputs'!$B$31+'Inputs'!$B$32,'Inputs'!$B$30+'Inputs'!$B$31+'Inputs'!$B$32)/1000+'Inputs'!$B$21)+'Inputs'!$B$9)/SQRT((((604-43)*MAX('Inputs'!$B$33,'Inputs'!$B$29+'Inputs'!$B$31+'Inputs'!$B$32,'Inputs'!$B$30+'Inputs'!$B$31+'Inputs'!$B$32)/1000+'Inputs'!$B$21)+'Inputs'!$B$9)^2+('Inputs'!$B$8/2)^2)-(((604-43)*MAX('Inputs'!$B$33,'Inputs'!$B$29+'Inputs'!$B$31+'Inputs'!$B$32,'Inputs'!$B$30+'Inputs'!$B$31+'Inputs'!$B$32)/1000+'Inputs'!$B$21))/SQRT((((604-43)*MAX('Inputs'!$B$33,'Inputs'!$B$29+'Inputs'!$B$31+'Inputs'!$B$32,'Inputs'!$B$30+'Inputs'!$B$31+'Inputs'!$B$32)/1000+'Inputs'!$B$21))^2+('Inputs'!$B$8/2)^2)))-'Results'!B7*(1-'Inputs'!$B$24)*(0.5*((((604-43)*MAX('Inputs'!$B$33,'Inputs'!$B$29+'Inputs'!$B$31+'Inputs'!$B$32,'Inputs'!$B$30+'Inputs'!$B$31+'Inputs'!$B$32)/1000+'Inputs'!$B$21+'Inputs'!$B$9+'Inputs'!$B$10)+'Inputs'!$B$7)/SQRT((((604-43)*MAX('Inputs'!$B$33,'Inputs'!$B$29+'Inputs'!$B$31+'Inputs'!$B$32,'Inputs'!$B$30+'Inputs'!$B$31+'Inputs'!$B$32)/1000+'Inputs'!$B$21+'Inputs'!$B$9+'Inputs'!$B$10)+'Inputs'!$B$7)^2+('Inputs'!$B$6/2)^2)-(((604-43)*MAX('Inputs'!$B$33,'Inputs'!$B$29+'Inputs'!$B$31+'Inputs'!$B$32,'Inputs'!$B$30+'Inputs'!$B$31+'Inputs'!$B$32)/1000+'Inputs'!$B$21+'Inputs'!$B$9+'Inputs'!$B$10))/SQRT((((604-43)*MAX('Inputs'!$B$33,'Inputs'!$B$29+'Inputs'!$B$31+'Inputs'!$B$32,'Inputs'!$B$30+'Inputs'!$B$31+'Inputs'!$B$32)/1000+'Inputs'!$B$21+'Inputs'!$B$9+'Inputs'!$B$10))^2+('Inputs'!$B$6/2)^2))))*'Results'!$B$8)+'Inputs'!$B$28*ABS((('Results'!C7*(1+'Inputs'!$B$24)*(0.5*((((604-43)*MAX('Inputs'!$B$33,'Inputs'!$B$29+'Inputs'!$B$31+'Inputs'!$B$32,'Inputs'!$B$30+'Inputs'!$B$31+'Inputs'!$B$32)/1000+'Inputs'!$B$21)+'Inputs'!$B$9)/SQRT((((604-43)*MAX('Inputs'!$B$33,'Inputs'!$B$29+'Inputs'!$B$31+'Inputs'!$B$32,'Inputs'!$B$30+'Inputs'!$B$31+'Inputs'!$B$32)/1000+'Inputs'!$B$21)+'Inputs'!$B$9)^2+('Inputs'!$B$8/2)^2)-(((604-43)*MAX('Inputs'!$B$33,'Inputs'!$B$29+'Inputs'!$B$31+'Inputs'!$B$32,'Inputs'!$B$30+'Inputs'!$B$31+'Inputs'!$B$32)/1000+'Inputs'!$B$21))/SQRT((((604-43)*MAX('Inputs'!$B$33,'Inputs'!$B$29+'Inputs'!$B$31+'Inputs'!$B$32,'Inputs'!$B$30+'Inputs'!$B$31+'Inputs'!$B$32)/1000+'Inputs'!$B$21))^2+('Inputs'!$B$8/2)^2)))-'Results'!B7*(1-'Inputs'!$B$24)*(0.5*((((604-43)*MAX('Inputs'!$B$33,'Inputs'!$B$29+'Inputs'!$B$31+'Inputs'!$B$32,'Inputs'!$B$30+'Inputs'!$B$31+'Inputs'!$B$32)/1000+'Inputs'!$B$21+'Inputs'!$B$9+'Inputs'!$B$10)+'Inputs'!$B$7)/SQRT((((604-43)*MAX('Inputs'!$B$33,'Inputs'!$B$29+'Inputs'!$B$31+'Inputs'!$B$32,'Inputs'!$B$30+'Inputs'!$B$31+'Inputs'!$B$32)/1000+'Inputs'!$B$21+'Inputs'!$B$9+'Inputs'!$B$10)+'Inputs'!$B$7)^2+('Inputs'!$B$6/2)^2)-(((604-43)*MAX('Inputs'!$B$33,'Inputs'!$B$29+'Inputs'!$B$31+'Inputs'!$B$32,'Inputs'!$B$30+'Inputs'!$B$31+'Inputs'!$B$32)/1000+'Inputs'!$B$21+'Inputs'!$B$9+'Inputs'!$B$10))/SQRT((((604-43)*MAX('Inputs'!$B$33,'Inputs'!$B$29+'Inputs'!$B$31+'Inputs'!$B$32,'Inputs'!$B$30+'Inputs'!$B$31+'Inputs'!$B$32)/1000+'Inputs'!$B$21+'Inputs'!$B$9+'Inputs'!$B$10))^2+('Inputs'!$B$6/2)^2))))*'Results'!$B$8))),"")</x:f>
        <x:v>2.950028408276847</x:v>
      </x:c>
      <x:c r="P604" t="n">
        <x:f>IF(AND(MAX(J604,J603)&gt;0,J604&gt;J603+0.00000001),1,0)</x:f>
        <x:v>0</x:v>
      </x:c>
      <x:c r="Q604" t="n">
        <x:f>IF(AND(MAX(K604,K603)&gt;0,K604&gt;K603+0.00000001),1,0)</x:f>
        <x:v>0</x:v>
      </x:c>
      <x:c r="R604" t="n">
        <x:f>IF(AND(MAX(L604,L603)&gt;0,L604&gt;L603+0.00000001),1,0)</x:f>
        <x:v>0</x:v>
      </x:c>
      <x:c r="S604" t="n">
        <x:f>IF(AND(MAX(M604,M603)&gt;0,M604&gt;M603+0.00000001),1,0)</x:f>
        <x:v>0</x:v>
      </x:c>
      <x:c r="T604" t="n">
        <x:f>IF(AND(MAX(N604,N603)&gt;0,N604&gt;N603+0.00000001),1,0)</x:f>
        <x:v>0</x:v>
      </x:c>
      <x:c r="U604" t="n">
        <x:f>IF(AND(MAX(O604,O603)&gt;0,O604&gt;O603+0.00000001),1,0)</x:f>
        <x:v>0</x:v>
      </x:c>
    </x:row>
    <x:row r="605">
      <x:c r="J605" t="n">
        <x:f>IF(AND(ISNUMBER('Results'!B7),ISNUMBER('Results'!C7),ISNUMBER('Results'!$B$8),ISNUMBER('Inputs'!$B$6),ISNUMBER('Inputs'!$B$7),ISNUMBER('Inputs'!$B$8),ISNUMBER('Inputs'!$B$9),ISNUMBER('Inputs'!$B$10),ISNUMBER('Inputs'!$B$21),ISNUMBER('Inputs'!$B$24),ISNUMBER('Inputs'!$B$28)),(('Results'!B7*(0.5*((((605-43)*MAX('Inputs'!$B$33,'Inputs'!$B$29+'Inputs'!$B$31+'Inputs'!$B$32,'Inputs'!$B$30+'Inputs'!$B$31+'Inputs'!$B$32)/1000+'Inputs'!$B$21)+'Inputs'!$B$7)/SQRT((((605-43)*MAX('Inputs'!$B$33,'Inputs'!$B$29+'Inputs'!$B$31+'Inputs'!$B$32,'Inputs'!$B$30+'Inputs'!$B$31+'Inputs'!$B$32)/1000+'Inputs'!$B$21)+'Inputs'!$B$7)^2+('Inputs'!$B$6/2)^2)-(((605-43)*MAX('Inputs'!$B$33,'Inputs'!$B$29+'Inputs'!$B$31+'Inputs'!$B$32,'Inputs'!$B$30+'Inputs'!$B$31+'Inputs'!$B$32)/1000+'Inputs'!$B$21))/SQRT((((605-43)*MAX('Inputs'!$B$33,'Inputs'!$B$29+'Inputs'!$B$31+'Inputs'!$B$32,'Inputs'!$B$30+'Inputs'!$B$31+'Inputs'!$B$32)/1000+'Inputs'!$B$21))^2+('Inputs'!$B$6/2)^2)))-'Results'!C7*(0.5*((((605-43)*MAX('Inputs'!$B$33,'Inputs'!$B$29+'Inputs'!$B$31+'Inputs'!$B$32,'Inputs'!$B$30+'Inputs'!$B$31+'Inputs'!$B$32)/1000+'Inputs'!$B$21+'Inputs'!$B$7+'Inputs'!$B$10)+'Inputs'!$B$9)/SQRT((((605-43)*MAX('Inputs'!$B$33,'Inputs'!$B$29+'Inputs'!$B$31+'Inputs'!$B$32,'Inputs'!$B$30+'Inputs'!$B$31+'Inputs'!$B$32)/1000+'Inputs'!$B$21+'Inputs'!$B$7+'Inputs'!$B$10)+'Inputs'!$B$9)^2+('Inputs'!$B$8/2)^2)-(((605-43)*MAX('Inputs'!$B$33,'Inputs'!$B$29+'Inputs'!$B$31+'Inputs'!$B$32,'Inputs'!$B$30+'Inputs'!$B$31+'Inputs'!$B$32)/1000+'Inputs'!$B$21+'Inputs'!$B$7+'Inputs'!$B$10))/SQRT((((605-43)*MAX('Inputs'!$B$33,'Inputs'!$B$29+'Inputs'!$B$31+'Inputs'!$B$32,'Inputs'!$B$30+'Inputs'!$B$31+'Inputs'!$B$32)/1000+'Inputs'!$B$21+'Inputs'!$B$7+'Inputs'!$B$10))^2+('Inputs'!$B$8/2)^2))))*'Results'!$B$8),"")</x:f>
        <x:v>2.7948820400009993</x:v>
      </x:c>
      <x:c r="K605" t="n">
        <x:f>IF(AND(ISNUMBER('Results'!B7),ISNUMBER('Results'!C7),ISNUMBER('Results'!$B$8),ISNUMBER('Inputs'!$B$6),ISNUMBER('Inputs'!$B$7),ISNUMBER('Inputs'!$B$8),ISNUMBER('Inputs'!$B$9),ISNUMBER('Inputs'!$B$10),ISNUMBER('Inputs'!$B$21),ISNUMBER('Inputs'!$B$24),ISNUMBER('Inputs'!$B$28)),((('Results'!B7*(1-'Inputs'!$B$24)*(0.5*((((605-43)*MAX('Inputs'!$B$33,'Inputs'!$B$29+'Inputs'!$B$31+'Inputs'!$B$32,'Inputs'!$B$30+'Inputs'!$B$31+'Inputs'!$B$32)/1000+'Inputs'!$B$21)+'Inputs'!$B$7)/SQRT((((605-43)*MAX('Inputs'!$B$33,'Inputs'!$B$29+'Inputs'!$B$31+'Inputs'!$B$32,'Inputs'!$B$30+'Inputs'!$B$31+'Inputs'!$B$32)/1000+'Inputs'!$B$21)+'Inputs'!$B$7)^2+('Inputs'!$B$6/2)^2)-(((605-43)*MAX('Inputs'!$B$33,'Inputs'!$B$29+'Inputs'!$B$31+'Inputs'!$B$32,'Inputs'!$B$30+'Inputs'!$B$31+'Inputs'!$B$32)/1000+'Inputs'!$B$21))/SQRT((((605-43)*MAX('Inputs'!$B$33,'Inputs'!$B$29+'Inputs'!$B$31+'Inputs'!$B$32,'Inputs'!$B$30+'Inputs'!$B$31+'Inputs'!$B$32)/1000+'Inputs'!$B$21))^2+('Inputs'!$B$6/2)^2)))-'Results'!C7*(1+'Inputs'!$B$24)*(0.5*((((605-43)*MAX('Inputs'!$B$33,'Inputs'!$B$29+'Inputs'!$B$31+'Inputs'!$B$32,'Inputs'!$B$30+'Inputs'!$B$31+'Inputs'!$B$32)/1000+'Inputs'!$B$21+'Inputs'!$B$7+'Inputs'!$B$10)+'Inputs'!$B$9)/SQRT((((605-43)*MAX('Inputs'!$B$33,'Inputs'!$B$29+'Inputs'!$B$31+'Inputs'!$B$32,'Inputs'!$B$30+'Inputs'!$B$31+'Inputs'!$B$32)/1000+'Inputs'!$B$21+'Inputs'!$B$7+'Inputs'!$B$10)+'Inputs'!$B$9)^2+('Inputs'!$B$8/2)^2)-(((605-43)*MAX('Inputs'!$B$33,'Inputs'!$B$29+'Inputs'!$B$31+'Inputs'!$B$32,'Inputs'!$B$30+'Inputs'!$B$31+'Inputs'!$B$32)/1000+'Inputs'!$B$21+'Inputs'!$B$7+'Inputs'!$B$10))/SQRT((((605-43)*MAX('Inputs'!$B$33,'Inputs'!$B$29+'Inputs'!$B$31+'Inputs'!$B$32,'Inputs'!$B$30+'Inputs'!$B$31+'Inputs'!$B$32)/1000+'Inputs'!$B$21+'Inputs'!$B$7+'Inputs'!$B$10))^2+('Inputs'!$B$8/2)^2))))*'Results'!$B$8)-'Inputs'!$B$28*ABS((('Results'!B7*(1-'Inputs'!$B$24)*(0.5*((((605-43)*MAX('Inputs'!$B$33,'Inputs'!$B$29+'Inputs'!$B$31+'Inputs'!$B$32,'Inputs'!$B$30+'Inputs'!$B$31+'Inputs'!$B$32)/1000+'Inputs'!$B$21)+'Inputs'!$B$7)/SQRT((((605-43)*MAX('Inputs'!$B$33,'Inputs'!$B$29+'Inputs'!$B$31+'Inputs'!$B$32,'Inputs'!$B$30+'Inputs'!$B$31+'Inputs'!$B$32)/1000+'Inputs'!$B$21)+'Inputs'!$B$7)^2+('Inputs'!$B$6/2)^2)-(((605-43)*MAX('Inputs'!$B$33,'Inputs'!$B$29+'Inputs'!$B$31+'Inputs'!$B$32,'Inputs'!$B$30+'Inputs'!$B$31+'Inputs'!$B$32)/1000+'Inputs'!$B$21))/SQRT((((605-43)*MAX('Inputs'!$B$33,'Inputs'!$B$29+'Inputs'!$B$31+'Inputs'!$B$32,'Inputs'!$B$30+'Inputs'!$B$31+'Inputs'!$B$32)/1000+'Inputs'!$B$21))^2+('Inputs'!$B$6/2)^2)))-'Results'!C7*(1+'Inputs'!$B$24)*(0.5*((((605-43)*MAX('Inputs'!$B$33,'Inputs'!$B$29+'Inputs'!$B$31+'Inputs'!$B$32,'Inputs'!$B$30+'Inputs'!$B$31+'Inputs'!$B$32)/1000+'Inputs'!$B$21+'Inputs'!$B$7+'Inputs'!$B$10)+'Inputs'!$B$9)/SQRT((((605-43)*MAX('Inputs'!$B$33,'Inputs'!$B$29+'Inputs'!$B$31+'Inputs'!$B$32,'Inputs'!$B$30+'Inputs'!$B$31+'Inputs'!$B$32)/1000+'Inputs'!$B$21+'Inputs'!$B$7+'Inputs'!$B$10)+'Inputs'!$B$9)^2+('Inputs'!$B$8/2)^2)-(((605-43)*MAX('Inputs'!$B$33,'Inputs'!$B$29+'Inputs'!$B$31+'Inputs'!$B$32,'Inputs'!$B$30+'Inputs'!$B$31+'Inputs'!$B$32)/1000+'Inputs'!$B$21+'Inputs'!$B$7+'Inputs'!$B$10))/SQRT((((605-43)*MAX('Inputs'!$B$33,'Inputs'!$B$29+'Inputs'!$B$31+'Inputs'!$B$32,'Inputs'!$B$30+'Inputs'!$B$31+'Inputs'!$B$32)/1000+'Inputs'!$B$21+'Inputs'!$B$7+'Inputs'!$B$10))^2+('Inputs'!$B$8/2)^2))))*'Results'!$B$8))),"")</x:f>
        <x:v>2.4579727563231923</x:v>
      </x:c>
      <x:c r="L605" t="n">
        <x:f>IF(AND(ISNUMBER('Results'!B7),ISNUMBER('Results'!C7),ISNUMBER('Results'!$B$8),ISNUMBER('Inputs'!$B$6),ISNUMBER('Inputs'!$B$7),ISNUMBER('Inputs'!$B$8),ISNUMBER('Inputs'!$B$9),ISNUMBER('Inputs'!$B$10),ISNUMBER('Inputs'!$B$21),ISNUMBER('Inputs'!$B$24),ISNUMBER('Inputs'!$B$28)),((('Results'!B7*(1+'Inputs'!$B$24)*(0.5*((((605-43)*MAX('Inputs'!$B$33,'Inputs'!$B$29+'Inputs'!$B$31+'Inputs'!$B$32,'Inputs'!$B$30+'Inputs'!$B$31+'Inputs'!$B$32)/1000+'Inputs'!$B$21)+'Inputs'!$B$7)/SQRT((((605-43)*MAX('Inputs'!$B$33,'Inputs'!$B$29+'Inputs'!$B$31+'Inputs'!$B$32,'Inputs'!$B$30+'Inputs'!$B$31+'Inputs'!$B$32)/1000+'Inputs'!$B$21)+'Inputs'!$B$7)^2+('Inputs'!$B$6/2)^2)-(((605-43)*MAX('Inputs'!$B$33,'Inputs'!$B$29+'Inputs'!$B$31+'Inputs'!$B$32,'Inputs'!$B$30+'Inputs'!$B$31+'Inputs'!$B$32)/1000+'Inputs'!$B$21))/SQRT((((605-43)*MAX('Inputs'!$B$33,'Inputs'!$B$29+'Inputs'!$B$31+'Inputs'!$B$32,'Inputs'!$B$30+'Inputs'!$B$31+'Inputs'!$B$32)/1000+'Inputs'!$B$21))^2+('Inputs'!$B$6/2)^2)))-'Results'!C7*(1-'Inputs'!$B$24)*(0.5*((((605-43)*MAX('Inputs'!$B$33,'Inputs'!$B$29+'Inputs'!$B$31+'Inputs'!$B$32,'Inputs'!$B$30+'Inputs'!$B$31+'Inputs'!$B$32)/1000+'Inputs'!$B$21+'Inputs'!$B$7+'Inputs'!$B$10)+'Inputs'!$B$9)/SQRT((((605-43)*MAX('Inputs'!$B$33,'Inputs'!$B$29+'Inputs'!$B$31+'Inputs'!$B$32,'Inputs'!$B$30+'Inputs'!$B$31+'Inputs'!$B$32)/1000+'Inputs'!$B$21+'Inputs'!$B$7+'Inputs'!$B$10)+'Inputs'!$B$9)^2+('Inputs'!$B$8/2)^2)-(((605-43)*MAX('Inputs'!$B$33,'Inputs'!$B$29+'Inputs'!$B$31+'Inputs'!$B$32,'Inputs'!$B$30+'Inputs'!$B$31+'Inputs'!$B$32)/1000+'Inputs'!$B$21+'Inputs'!$B$7+'Inputs'!$B$10))/SQRT((((605-43)*MAX('Inputs'!$B$33,'Inputs'!$B$29+'Inputs'!$B$31+'Inputs'!$B$32,'Inputs'!$B$30+'Inputs'!$B$31+'Inputs'!$B$32)/1000+'Inputs'!$B$21+'Inputs'!$B$7+'Inputs'!$B$10))^2+('Inputs'!$B$8/2)^2))))*'Results'!$B$8)+'Inputs'!$B$28*ABS((('Results'!B7*(1+'Inputs'!$B$24)*(0.5*((((605-43)*MAX('Inputs'!$B$33,'Inputs'!$B$29+'Inputs'!$B$31+'Inputs'!$B$32,'Inputs'!$B$30+'Inputs'!$B$31+'Inputs'!$B$32)/1000+'Inputs'!$B$21)+'Inputs'!$B$7)/SQRT((((605-43)*MAX('Inputs'!$B$33,'Inputs'!$B$29+'Inputs'!$B$31+'Inputs'!$B$32,'Inputs'!$B$30+'Inputs'!$B$31+'Inputs'!$B$32)/1000+'Inputs'!$B$21)+'Inputs'!$B$7)^2+('Inputs'!$B$6/2)^2)-(((605-43)*MAX('Inputs'!$B$33,'Inputs'!$B$29+'Inputs'!$B$31+'Inputs'!$B$32,'Inputs'!$B$30+'Inputs'!$B$31+'Inputs'!$B$32)/1000+'Inputs'!$B$21))/SQRT((((605-43)*MAX('Inputs'!$B$33,'Inputs'!$B$29+'Inputs'!$B$31+'Inputs'!$B$32,'Inputs'!$B$30+'Inputs'!$B$31+'Inputs'!$B$32)/1000+'Inputs'!$B$21))^2+('Inputs'!$B$6/2)^2)))-'Results'!C7*(1-'Inputs'!$B$24)*(0.5*((((605-43)*MAX('Inputs'!$B$33,'Inputs'!$B$29+'Inputs'!$B$31+'Inputs'!$B$32,'Inputs'!$B$30+'Inputs'!$B$31+'Inputs'!$B$32)/1000+'Inputs'!$B$21+'Inputs'!$B$7+'Inputs'!$B$10)+'Inputs'!$B$9)/SQRT((((605-43)*MAX('Inputs'!$B$33,'Inputs'!$B$29+'Inputs'!$B$31+'Inputs'!$B$32,'Inputs'!$B$30+'Inputs'!$B$31+'Inputs'!$B$32)/1000+'Inputs'!$B$21+'Inputs'!$B$7+'Inputs'!$B$10)+'Inputs'!$B$9)^2+('Inputs'!$B$8/2)^2)-(((605-43)*MAX('Inputs'!$B$33,'Inputs'!$B$29+'Inputs'!$B$31+'Inputs'!$B$32,'Inputs'!$B$30+'Inputs'!$B$31+'Inputs'!$B$32)/1000+'Inputs'!$B$21+'Inputs'!$B$7+'Inputs'!$B$10))/SQRT((((605-43)*MAX('Inputs'!$B$33,'Inputs'!$B$29+'Inputs'!$B$31+'Inputs'!$B$32,'Inputs'!$B$30+'Inputs'!$B$31+'Inputs'!$B$32)/1000+'Inputs'!$B$21+'Inputs'!$B$7+'Inputs'!$B$10))^2+('Inputs'!$B$8/2)^2))))*'Results'!$B$8))),"")</x:f>
        <x:v>3.1525455533290954</x:v>
      </x:c>
      <x:c r="M605" t="n">
        <x:f>IF(AND(ISNUMBER('Results'!C7),ISNUMBER('Results'!B7),ISNUMBER('Results'!$B$8),ISNUMBER('Inputs'!$B$6),ISNUMBER('Inputs'!$B$7),ISNUMBER('Inputs'!$B$8),ISNUMBER('Inputs'!$B$9),ISNUMBER('Inputs'!$B$10),ISNUMBER('Inputs'!$B$21),ISNUMBER('Inputs'!$B$24),ISNUMBER('Inputs'!$B$28)),(('Results'!C7*(0.5*((((605-43)*MAX('Inputs'!$B$33,'Inputs'!$B$29+'Inputs'!$B$31+'Inputs'!$B$32,'Inputs'!$B$30+'Inputs'!$B$31+'Inputs'!$B$32)/1000+'Inputs'!$B$21)+'Inputs'!$B$9)/SQRT((((605-43)*MAX('Inputs'!$B$33,'Inputs'!$B$29+'Inputs'!$B$31+'Inputs'!$B$32,'Inputs'!$B$30+'Inputs'!$B$31+'Inputs'!$B$32)/1000+'Inputs'!$B$21)+'Inputs'!$B$9)^2+('Inputs'!$B$8/2)^2)-(((605-43)*MAX('Inputs'!$B$33,'Inputs'!$B$29+'Inputs'!$B$31+'Inputs'!$B$32,'Inputs'!$B$30+'Inputs'!$B$31+'Inputs'!$B$32)/1000+'Inputs'!$B$21))/SQRT((((605-43)*MAX('Inputs'!$B$33,'Inputs'!$B$29+'Inputs'!$B$31+'Inputs'!$B$32,'Inputs'!$B$30+'Inputs'!$B$31+'Inputs'!$B$32)/1000+'Inputs'!$B$21))^2+('Inputs'!$B$8/2)^2)))-'Results'!B7*(0.5*((((605-43)*MAX('Inputs'!$B$33,'Inputs'!$B$29+'Inputs'!$B$31+'Inputs'!$B$32,'Inputs'!$B$30+'Inputs'!$B$31+'Inputs'!$B$32)/1000+'Inputs'!$B$21+'Inputs'!$B$9+'Inputs'!$B$10)+'Inputs'!$B$7)/SQRT((((605-43)*MAX('Inputs'!$B$33,'Inputs'!$B$29+'Inputs'!$B$31+'Inputs'!$B$32,'Inputs'!$B$30+'Inputs'!$B$31+'Inputs'!$B$32)/1000+'Inputs'!$B$21+'Inputs'!$B$9+'Inputs'!$B$10)+'Inputs'!$B$7)^2+('Inputs'!$B$6/2)^2)-(((605-43)*MAX('Inputs'!$B$33,'Inputs'!$B$29+'Inputs'!$B$31+'Inputs'!$B$32,'Inputs'!$B$30+'Inputs'!$B$31+'Inputs'!$B$32)/1000+'Inputs'!$B$21+'Inputs'!$B$9+'Inputs'!$B$10))/SQRT((((605-43)*MAX('Inputs'!$B$33,'Inputs'!$B$29+'Inputs'!$B$31+'Inputs'!$B$32,'Inputs'!$B$30+'Inputs'!$B$31+'Inputs'!$B$32)/1000+'Inputs'!$B$21+'Inputs'!$B$9+'Inputs'!$B$10))^2+('Inputs'!$B$6/2)^2))))*'Results'!$B$8),"")</x:f>
        <x:v>2.58579234905215</x:v>
      </x:c>
      <x:c r="N605" t="n">
        <x:f>IF(AND(ISNUMBER('Results'!C7),ISNUMBER('Results'!B7),ISNUMBER('Results'!$B$8),ISNUMBER('Inputs'!$B$6),ISNUMBER('Inputs'!$B$7),ISNUMBER('Inputs'!$B$8),ISNUMBER('Inputs'!$B$9),ISNUMBER('Inputs'!$B$10),ISNUMBER('Inputs'!$B$21),ISNUMBER('Inputs'!$B$24),ISNUMBER('Inputs'!$B$28)),((('Results'!C7*(1-'Inputs'!$B$24)*(0.5*((((605-43)*MAX('Inputs'!$B$33,'Inputs'!$B$29+'Inputs'!$B$31+'Inputs'!$B$32,'Inputs'!$B$30+'Inputs'!$B$31+'Inputs'!$B$32)/1000+'Inputs'!$B$21)+'Inputs'!$B$9)/SQRT((((605-43)*MAX('Inputs'!$B$33,'Inputs'!$B$29+'Inputs'!$B$31+'Inputs'!$B$32,'Inputs'!$B$30+'Inputs'!$B$31+'Inputs'!$B$32)/1000+'Inputs'!$B$21)+'Inputs'!$B$9)^2+('Inputs'!$B$8/2)^2)-(((605-43)*MAX('Inputs'!$B$33,'Inputs'!$B$29+'Inputs'!$B$31+'Inputs'!$B$32,'Inputs'!$B$30+'Inputs'!$B$31+'Inputs'!$B$32)/1000+'Inputs'!$B$21))/SQRT((((605-43)*MAX('Inputs'!$B$33,'Inputs'!$B$29+'Inputs'!$B$31+'Inputs'!$B$32,'Inputs'!$B$30+'Inputs'!$B$31+'Inputs'!$B$32)/1000+'Inputs'!$B$21))^2+('Inputs'!$B$8/2)^2)))-'Results'!B7*(1+'Inputs'!$B$24)*(0.5*((((605-43)*MAX('Inputs'!$B$33,'Inputs'!$B$29+'Inputs'!$B$31+'Inputs'!$B$32,'Inputs'!$B$30+'Inputs'!$B$31+'Inputs'!$B$32)/1000+'Inputs'!$B$21+'Inputs'!$B$9+'Inputs'!$B$10)+'Inputs'!$B$7)/SQRT((((605-43)*MAX('Inputs'!$B$33,'Inputs'!$B$29+'Inputs'!$B$31+'Inputs'!$B$32,'Inputs'!$B$30+'Inputs'!$B$31+'Inputs'!$B$32)/1000+'Inputs'!$B$21+'Inputs'!$B$9+'Inputs'!$B$10)+'Inputs'!$B$7)^2+('Inputs'!$B$6/2)^2)-(((605-43)*MAX('Inputs'!$B$33,'Inputs'!$B$29+'Inputs'!$B$31+'Inputs'!$B$32,'Inputs'!$B$30+'Inputs'!$B$31+'Inputs'!$B$32)/1000+'Inputs'!$B$21+'Inputs'!$B$9+'Inputs'!$B$10))/SQRT((((605-43)*MAX('Inputs'!$B$33,'Inputs'!$B$29+'Inputs'!$B$31+'Inputs'!$B$32,'Inputs'!$B$30+'Inputs'!$B$31+'Inputs'!$B$32)/1000+'Inputs'!$B$21+'Inputs'!$B$9+'Inputs'!$B$10))^2+('Inputs'!$B$6/2)^2))))*'Results'!$B$8)-'Inputs'!$B$28*ABS((('Results'!C7*(1-'Inputs'!$B$24)*(0.5*((((605-43)*MAX('Inputs'!$B$33,'Inputs'!$B$29+'Inputs'!$B$31+'Inputs'!$B$32,'Inputs'!$B$30+'Inputs'!$B$31+'Inputs'!$B$32)/1000+'Inputs'!$B$21)+'Inputs'!$B$9)/SQRT((((605-43)*MAX('Inputs'!$B$33,'Inputs'!$B$29+'Inputs'!$B$31+'Inputs'!$B$32,'Inputs'!$B$30+'Inputs'!$B$31+'Inputs'!$B$32)/1000+'Inputs'!$B$21)+'Inputs'!$B$9)^2+('Inputs'!$B$8/2)^2)-(((605-43)*MAX('Inputs'!$B$33,'Inputs'!$B$29+'Inputs'!$B$31+'Inputs'!$B$32,'Inputs'!$B$30+'Inputs'!$B$31+'Inputs'!$B$32)/1000+'Inputs'!$B$21))/SQRT((((605-43)*MAX('Inputs'!$B$33,'Inputs'!$B$29+'Inputs'!$B$31+'Inputs'!$B$32,'Inputs'!$B$30+'Inputs'!$B$31+'Inputs'!$B$32)/1000+'Inputs'!$B$21))^2+('Inputs'!$B$8/2)^2)))-'Results'!B7*(1+'Inputs'!$B$24)*(0.5*((((605-43)*MAX('Inputs'!$B$33,'Inputs'!$B$29+'Inputs'!$B$31+'Inputs'!$B$32,'Inputs'!$B$30+'Inputs'!$B$31+'Inputs'!$B$32)/1000+'Inputs'!$B$21+'Inputs'!$B$9+'Inputs'!$B$10)+'Inputs'!$B$7)/SQRT((((605-43)*MAX('Inputs'!$B$33,'Inputs'!$B$29+'Inputs'!$B$31+'Inputs'!$B$32,'Inputs'!$B$30+'Inputs'!$B$31+'Inputs'!$B$32)/1000+'Inputs'!$B$21+'Inputs'!$B$9+'Inputs'!$B$10)+'Inputs'!$B$7)^2+('Inputs'!$B$6/2)^2)-(((605-43)*MAX('Inputs'!$B$33,'Inputs'!$B$29+'Inputs'!$B$31+'Inputs'!$B$32,'Inputs'!$B$30+'Inputs'!$B$31+'Inputs'!$B$32)/1000+'Inputs'!$B$21+'Inputs'!$B$9+'Inputs'!$B$10))/SQRT((((605-43)*MAX('Inputs'!$B$33,'Inputs'!$B$29+'Inputs'!$B$31+'Inputs'!$B$32,'Inputs'!$B$30+'Inputs'!$B$31+'Inputs'!$B$32)/1000+'Inputs'!$B$21+'Inputs'!$B$9+'Inputs'!$B$10))^2+('Inputs'!$B$6/2)^2))))*'Results'!$B$8))),"")</x:f>
        <x:v>2.260370204602513</x:v>
      </x:c>
      <x:c r="O605" t="n">
        <x:f>IF(AND(ISNUMBER('Results'!C7),ISNUMBER('Results'!B7),ISNUMBER('Results'!$B$8),ISNUMBER('Inputs'!$B$6),ISNUMBER('Inputs'!$B$7),ISNUMBER('Inputs'!$B$8),ISNUMBER('Inputs'!$B$9),ISNUMBER('Inputs'!$B$10),ISNUMBER('Inputs'!$B$21),ISNUMBER('Inputs'!$B$24),ISNUMBER('Inputs'!$B$28)),((('Results'!C7*(1+'Inputs'!$B$24)*(0.5*((((605-43)*MAX('Inputs'!$B$33,'Inputs'!$B$29+'Inputs'!$B$31+'Inputs'!$B$32,'Inputs'!$B$30+'Inputs'!$B$31+'Inputs'!$B$32)/1000+'Inputs'!$B$21)+'Inputs'!$B$9)/SQRT((((605-43)*MAX('Inputs'!$B$33,'Inputs'!$B$29+'Inputs'!$B$31+'Inputs'!$B$32,'Inputs'!$B$30+'Inputs'!$B$31+'Inputs'!$B$32)/1000+'Inputs'!$B$21)+'Inputs'!$B$9)^2+('Inputs'!$B$8/2)^2)-(((605-43)*MAX('Inputs'!$B$33,'Inputs'!$B$29+'Inputs'!$B$31+'Inputs'!$B$32,'Inputs'!$B$30+'Inputs'!$B$31+'Inputs'!$B$32)/1000+'Inputs'!$B$21))/SQRT((((605-43)*MAX('Inputs'!$B$33,'Inputs'!$B$29+'Inputs'!$B$31+'Inputs'!$B$32,'Inputs'!$B$30+'Inputs'!$B$31+'Inputs'!$B$32)/1000+'Inputs'!$B$21))^2+('Inputs'!$B$8/2)^2)))-'Results'!B7*(1-'Inputs'!$B$24)*(0.5*((((605-43)*MAX('Inputs'!$B$33,'Inputs'!$B$29+'Inputs'!$B$31+'Inputs'!$B$32,'Inputs'!$B$30+'Inputs'!$B$31+'Inputs'!$B$32)/1000+'Inputs'!$B$21+'Inputs'!$B$9+'Inputs'!$B$10)+'Inputs'!$B$7)/SQRT((((605-43)*MAX('Inputs'!$B$33,'Inputs'!$B$29+'Inputs'!$B$31+'Inputs'!$B$32,'Inputs'!$B$30+'Inputs'!$B$31+'Inputs'!$B$32)/1000+'Inputs'!$B$21+'Inputs'!$B$9+'Inputs'!$B$10)+'Inputs'!$B$7)^2+('Inputs'!$B$6/2)^2)-(((605-43)*MAX('Inputs'!$B$33,'Inputs'!$B$29+'Inputs'!$B$31+'Inputs'!$B$32,'Inputs'!$B$30+'Inputs'!$B$31+'Inputs'!$B$32)/1000+'Inputs'!$B$21+'Inputs'!$B$9+'Inputs'!$B$10))/SQRT((((605-43)*MAX('Inputs'!$B$33,'Inputs'!$B$29+'Inputs'!$B$31+'Inputs'!$B$32,'Inputs'!$B$30+'Inputs'!$B$31+'Inputs'!$B$32)/1000+'Inputs'!$B$21+'Inputs'!$B$9+'Inputs'!$B$10))^2+('Inputs'!$B$6/2)^2))))*'Results'!$B$8)+'Inputs'!$B$28*ABS((('Results'!C7*(1+'Inputs'!$B$24)*(0.5*((((605-43)*MAX('Inputs'!$B$33,'Inputs'!$B$29+'Inputs'!$B$31+'Inputs'!$B$32,'Inputs'!$B$30+'Inputs'!$B$31+'Inputs'!$B$32)/1000+'Inputs'!$B$21)+'Inputs'!$B$9)/SQRT((((605-43)*MAX('Inputs'!$B$33,'Inputs'!$B$29+'Inputs'!$B$31+'Inputs'!$B$32,'Inputs'!$B$30+'Inputs'!$B$31+'Inputs'!$B$32)/1000+'Inputs'!$B$21)+'Inputs'!$B$9)^2+('Inputs'!$B$8/2)^2)-(((605-43)*MAX('Inputs'!$B$33,'Inputs'!$B$29+'Inputs'!$B$31+'Inputs'!$B$32,'Inputs'!$B$30+'Inputs'!$B$31+'Inputs'!$B$32)/1000+'Inputs'!$B$21))/SQRT((((605-43)*MAX('Inputs'!$B$33,'Inputs'!$B$29+'Inputs'!$B$31+'Inputs'!$B$32,'Inputs'!$B$30+'Inputs'!$B$31+'Inputs'!$B$32)/1000+'Inputs'!$B$21))^2+('Inputs'!$B$8/2)^2)))-'Results'!B7*(1-'Inputs'!$B$24)*(0.5*((((605-43)*MAX('Inputs'!$B$33,'Inputs'!$B$29+'Inputs'!$B$31+'Inputs'!$B$32,'Inputs'!$B$30+'Inputs'!$B$31+'Inputs'!$B$32)/1000+'Inputs'!$B$21+'Inputs'!$B$9+'Inputs'!$B$10)+'Inputs'!$B$7)/SQRT((((605-43)*MAX('Inputs'!$B$33,'Inputs'!$B$29+'Inputs'!$B$31+'Inputs'!$B$32,'Inputs'!$B$30+'Inputs'!$B$31+'Inputs'!$B$32)/1000+'Inputs'!$B$21+'Inputs'!$B$9+'Inputs'!$B$10)+'Inputs'!$B$7)^2+('Inputs'!$B$6/2)^2)-(((605-43)*MAX('Inputs'!$B$33,'Inputs'!$B$29+'Inputs'!$B$31+'Inputs'!$B$32,'Inputs'!$B$30+'Inputs'!$B$31+'Inputs'!$B$32)/1000+'Inputs'!$B$21+'Inputs'!$B$9+'Inputs'!$B$10))/SQRT((((605-43)*MAX('Inputs'!$B$33,'Inputs'!$B$29+'Inputs'!$B$31+'Inputs'!$B$32,'Inputs'!$B$30+'Inputs'!$B$31+'Inputs'!$B$32)/1000+'Inputs'!$B$21+'Inputs'!$B$9+'Inputs'!$B$10))^2+('Inputs'!$B$6/2)^2))))*'Results'!$B$8))),"")</x:f>
        <x:v>2.9318600226593694</x:v>
      </x:c>
      <x:c r="P605" t="n">
        <x:f>IF(AND(MAX(J605,J604)&gt;0,J605&gt;J604+0.00000001),1,0)</x:f>
        <x:v>0</x:v>
      </x:c>
      <x:c r="Q605" t="n">
        <x:f>IF(AND(MAX(K605,K604)&gt;0,K605&gt;K604+0.00000001),1,0)</x:f>
        <x:v>0</x:v>
      </x:c>
      <x:c r="R605" t="n">
        <x:f>IF(AND(MAX(L605,L604)&gt;0,L605&gt;L604+0.00000001),1,0)</x:f>
        <x:v>0</x:v>
      </x:c>
      <x:c r="S605" t="n">
        <x:f>IF(AND(MAX(M605,M604)&gt;0,M605&gt;M604+0.00000001),1,0)</x:f>
        <x:v>0</x:v>
      </x:c>
      <x:c r="T605" t="n">
        <x:f>IF(AND(MAX(N605,N604)&gt;0,N605&gt;N604+0.00000001),1,0)</x:f>
        <x:v>0</x:v>
      </x:c>
      <x:c r="U605" t="n">
        <x:f>IF(AND(MAX(O605,O604)&gt;0,O605&gt;O604+0.00000001),1,0)</x:f>
        <x:v>0</x:v>
      </x:c>
    </x:row>
    <x:row r="606">
      <x:c r="J606" t="n">
        <x:f>IF(AND(ISNUMBER('Results'!B7),ISNUMBER('Results'!C7),ISNUMBER('Results'!$B$8),ISNUMBER('Inputs'!$B$6),ISNUMBER('Inputs'!$B$7),ISNUMBER('Inputs'!$B$8),ISNUMBER('Inputs'!$B$9),ISNUMBER('Inputs'!$B$10),ISNUMBER('Inputs'!$B$21),ISNUMBER('Inputs'!$B$24),ISNUMBER('Inputs'!$B$28)),(('Results'!B7*(0.5*((((606-43)*MAX('Inputs'!$B$33,'Inputs'!$B$29+'Inputs'!$B$31+'Inputs'!$B$32,'Inputs'!$B$30+'Inputs'!$B$31+'Inputs'!$B$32)/1000+'Inputs'!$B$21)+'Inputs'!$B$7)/SQRT((((606-43)*MAX('Inputs'!$B$33,'Inputs'!$B$29+'Inputs'!$B$31+'Inputs'!$B$32,'Inputs'!$B$30+'Inputs'!$B$31+'Inputs'!$B$32)/1000+'Inputs'!$B$21)+'Inputs'!$B$7)^2+('Inputs'!$B$6/2)^2)-(((606-43)*MAX('Inputs'!$B$33,'Inputs'!$B$29+'Inputs'!$B$31+'Inputs'!$B$32,'Inputs'!$B$30+'Inputs'!$B$31+'Inputs'!$B$32)/1000+'Inputs'!$B$21))/SQRT((((606-43)*MAX('Inputs'!$B$33,'Inputs'!$B$29+'Inputs'!$B$31+'Inputs'!$B$32,'Inputs'!$B$30+'Inputs'!$B$31+'Inputs'!$B$32)/1000+'Inputs'!$B$21))^2+('Inputs'!$B$6/2)^2)))-'Results'!C7*(0.5*((((606-43)*MAX('Inputs'!$B$33,'Inputs'!$B$29+'Inputs'!$B$31+'Inputs'!$B$32,'Inputs'!$B$30+'Inputs'!$B$31+'Inputs'!$B$32)/1000+'Inputs'!$B$21+'Inputs'!$B$7+'Inputs'!$B$10)+'Inputs'!$B$9)/SQRT((((606-43)*MAX('Inputs'!$B$33,'Inputs'!$B$29+'Inputs'!$B$31+'Inputs'!$B$32,'Inputs'!$B$30+'Inputs'!$B$31+'Inputs'!$B$32)/1000+'Inputs'!$B$21+'Inputs'!$B$7+'Inputs'!$B$10)+'Inputs'!$B$9)^2+('Inputs'!$B$8/2)^2)-(((606-43)*MAX('Inputs'!$B$33,'Inputs'!$B$29+'Inputs'!$B$31+'Inputs'!$B$32,'Inputs'!$B$30+'Inputs'!$B$31+'Inputs'!$B$32)/1000+'Inputs'!$B$21+'Inputs'!$B$7+'Inputs'!$B$10))/SQRT((((606-43)*MAX('Inputs'!$B$33,'Inputs'!$B$29+'Inputs'!$B$31+'Inputs'!$B$32,'Inputs'!$B$30+'Inputs'!$B$31+'Inputs'!$B$32)/1000+'Inputs'!$B$21+'Inputs'!$B$7+'Inputs'!$B$10))^2+('Inputs'!$B$8/2)^2))))*'Results'!$B$8),"")</x:f>
        <x:v>2.777698797425406</x:v>
      </x:c>
      <x:c r="K606" t="n">
        <x:f>IF(AND(ISNUMBER('Results'!B7),ISNUMBER('Results'!C7),ISNUMBER('Results'!$B$8),ISNUMBER('Inputs'!$B$6),ISNUMBER('Inputs'!$B$7),ISNUMBER('Inputs'!$B$8),ISNUMBER('Inputs'!$B$9),ISNUMBER('Inputs'!$B$10),ISNUMBER('Inputs'!$B$21),ISNUMBER('Inputs'!$B$24),ISNUMBER('Inputs'!$B$28)),((('Results'!B7*(1-'Inputs'!$B$24)*(0.5*((((606-43)*MAX('Inputs'!$B$33,'Inputs'!$B$29+'Inputs'!$B$31+'Inputs'!$B$32,'Inputs'!$B$30+'Inputs'!$B$31+'Inputs'!$B$32)/1000+'Inputs'!$B$21)+'Inputs'!$B$7)/SQRT((((606-43)*MAX('Inputs'!$B$33,'Inputs'!$B$29+'Inputs'!$B$31+'Inputs'!$B$32,'Inputs'!$B$30+'Inputs'!$B$31+'Inputs'!$B$32)/1000+'Inputs'!$B$21)+'Inputs'!$B$7)^2+('Inputs'!$B$6/2)^2)-(((606-43)*MAX('Inputs'!$B$33,'Inputs'!$B$29+'Inputs'!$B$31+'Inputs'!$B$32,'Inputs'!$B$30+'Inputs'!$B$31+'Inputs'!$B$32)/1000+'Inputs'!$B$21))/SQRT((((606-43)*MAX('Inputs'!$B$33,'Inputs'!$B$29+'Inputs'!$B$31+'Inputs'!$B$32,'Inputs'!$B$30+'Inputs'!$B$31+'Inputs'!$B$32)/1000+'Inputs'!$B$21))^2+('Inputs'!$B$6/2)^2)))-'Results'!C7*(1+'Inputs'!$B$24)*(0.5*((((606-43)*MAX('Inputs'!$B$33,'Inputs'!$B$29+'Inputs'!$B$31+'Inputs'!$B$32,'Inputs'!$B$30+'Inputs'!$B$31+'Inputs'!$B$32)/1000+'Inputs'!$B$21+'Inputs'!$B$7+'Inputs'!$B$10)+'Inputs'!$B$9)/SQRT((((606-43)*MAX('Inputs'!$B$33,'Inputs'!$B$29+'Inputs'!$B$31+'Inputs'!$B$32,'Inputs'!$B$30+'Inputs'!$B$31+'Inputs'!$B$32)/1000+'Inputs'!$B$21+'Inputs'!$B$7+'Inputs'!$B$10)+'Inputs'!$B$9)^2+('Inputs'!$B$8/2)^2)-(((606-43)*MAX('Inputs'!$B$33,'Inputs'!$B$29+'Inputs'!$B$31+'Inputs'!$B$32,'Inputs'!$B$30+'Inputs'!$B$31+'Inputs'!$B$32)/1000+'Inputs'!$B$21+'Inputs'!$B$7+'Inputs'!$B$10))/SQRT((((606-43)*MAX('Inputs'!$B$33,'Inputs'!$B$29+'Inputs'!$B$31+'Inputs'!$B$32,'Inputs'!$B$30+'Inputs'!$B$31+'Inputs'!$B$32)/1000+'Inputs'!$B$21+'Inputs'!$B$7+'Inputs'!$B$10))^2+('Inputs'!$B$8/2)^2))))*'Results'!$B$8)-'Inputs'!$B$28*ABS((('Results'!B7*(1-'Inputs'!$B$24)*(0.5*((((606-43)*MAX('Inputs'!$B$33,'Inputs'!$B$29+'Inputs'!$B$31+'Inputs'!$B$32,'Inputs'!$B$30+'Inputs'!$B$31+'Inputs'!$B$32)/1000+'Inputs'!$B$21)+'Inputs'!$B$7)/SQRT((((606-43)*MAX('Inputs'!$B$33,'Inputs'!$B$29+'Inputs'!$B$31+'Inputs'!$B$32,'Inputs'!$B$30+'Inputs'!$B$31+'Inputs'!$B$32)/1000+'Inputs'!$B$21)+'Inputs'!$B$7)^2+('Inputs'!$B$6/2)^2)-(((606-43)*MAX('Inputs'!$B$33,'Inputs'!$B$29+'Inputs'!$B$31+'Inputs'!$B$32,'Inputs'!$B$30+'Inputs'!$B$31+'Inputs'!$B$32)/1000+'Inputs'!$B$21))/SQRT((((606-43)*MAX('Inputs'!$B$33,'Inputs'!$B$29+'Inputs'!$B$31+'Inputs'!$B$32,'Inputs'!$B$30+'Inputs'!$B$31+'Inputs'!$B$32)/1000+'Inputs'!$B$21))^2+('Inputs'!$B$6/2)^2)))-'Results'!C7*(1+'Inputs'!$B$24)*(0.5*((((606-43)*MAX('Inputs'!$B$33,'Inputs'!$B$29+'Inputs'!$B$31+'Inputs'!$B$32,'Inputs'!$B$30+'Inputs'!$B$31+'Inputs'!$B$32)/1000+'Inputs'!$B$21+'Inputs'!$B$7+'Inputs'!$B$10)+'Inputs'!$B$9)/SQRT((((606-43)*MAX('Inputs'!$B$33,'Inputs'!$B$29+'Inputs'!$B$31+'Inputs'!$B$32,'Inputs'!$B$30+'Inputs'!$B$31+'Inputs'!$B$32)/1000+'Inputs'!$B$21+'Inputs'!$B$7+'Inputs'!$B$10)+'Inputs'!$B$9)^2+('Inputs'!$B$8/2)^2)-(((606-43)*MAX('Inputs'!$B$33,'Inputs'!$B$29+'Inputs'!$B$31+'Inputs'!$B$32,'Inputs'!$B$30+'Inputs'!$B$31+'Inputs'!$B$32)/1000+'Inputs'!$B$21+'Inputs'!$B$7+'Inputs'!$B$10))/SQRT((((606-43)*MAX('Inputs'!$B$33,'Inputs'!$B$29+'Inputs'!$B$31+'Inputs'!$B$32,'Inputs'!$B$30+'Inputs'!$B$31+'Inputs'!$B$32)/1000+'Inputs'!$B$21+'Inputs'!$B$7+'Inputs'!$B$10))^2+('Inputs'!$B$8/2)^2))))*'Results'!$B$8))),"")</x:f>
        <x:v>2.442586591390325</x:v>
      </x:c>
      <x:c r="L606" t="n">
        <x:f>IF(AND(ISNUMBER('Results'!B7),ISNUMBER('Results'!C7),ISNUMBER('Results'!$B$8),ISNUMBER('Inputs'!$B$6),ISNUMBER('Inputs'!$B$7),ISNUMBER('Inputs'!$B$8),ISNUMBER('Inputs'!$B$9),ISNUMBER('Inputs'!$B$10),ISNUMBER('Inputs'!$B$21),ISNUMBER('Inputs'!$B$24),ISNUMBER('Inputs'!$B$28)),((('Results'!B7*(1+'Inputs'!$B$24)*(0.5*((((606-43)*MAX('Inputs'!$B$33,'Inputs'!$B$29+'Inputs'!$B$31+'Inputs'!$B$32,'Inputs'!$B$30+'Inputs'!$B$31+'Inputs'!$B$32)/1000+'Inputs'!$B$21)+'Inputs'!$B$7)/SQRT((((606-43)*MAX('Inputs'!$B$33,'Inputs'!$B$29+'Inputs'!$B$31+'Inputs'!$B$32,'Inputs'!$B$30+'Inputs'!$B$31+'Inputs'!$B$32)/1000+'Inputs'!$B$21)+'Inputs'!$B$7)^2+('Inputs'!$B$6/2)^2)-(((606-43)*MAX('Inputs'!$B$33,'Inputs'!$B$29+'Inputs'!$B$31+'Inputs'!$B$32,'Inputs'!$B$30+'Inputs'!$B$31+'Inputs'!$B$32)/1000+'Inputs'!$B$21))/SQRT((((606-43)*MAX('Inputs'!$B$33,'Inputs'!$B$29+'Inputs'!$B$31+'Inputs'!$B$32,'Inputs'!$B$30+'Inputs'!$B$31+'Inputs'!$B$32)/1000+'Inputs'!$B$21))^2+('Inputs'!$B$6/2)^2)))-'Results'!C7*(1-'Inputs'!$B$24)*(0.5*((((606-43)*MAX('Inputs'!$B$33,'Inputs'!$B$29+'Inputs'!$B$31+'Inputs'!$B$32,'Inputs'!$B$30+'Inputs'!$B$31+'Inputs'!$B$32)/1000+'Inputs'!$B$21+'Inputs'!$B$7+'Inputs'!$B$10)+'Inputs'!$B$9)/SQRT((((606-43)*MAX('Inputs'!$B$33,'Inputs'!$B$29+'Inputs'!$B$31+'Inputs'!$B$32,'Inputs'!$B$30+'Inputs'!$B$31+'Inputs'!$B$32)/1000+'Inputs'!$B$21+'Inputs'!$B$7+'Inputs'!$B$10)+'Inputs'!$B$9)^2+('Inputs'!$B$8/2)^2)-(((606-43)*MAX('Inputs'!$B$33,'Inputs'!$B$29+'Inputs'!$B$31+'Inputs'!$B$32,'Inputs'!$B$30+'Inputs'!$B$31+'Inputs'!$B$32)/1000+'Inputs'!$B$21+'Inputs'!$B$7+'Inputs'!$B$10))/SQRT((((606-43)*MAX('Inputs'!$B$33,'Inputs'!$B$29+'Inputs'!$B$31+'Inputs'!$B$32,'Inputs'!$B$30+'Inputs'!$B$31+'Inputs'!$B$32)/1000+'Inputs'!$B$21+'Inputs'!$B$7+'Inputs'!$B$10))^2+('Inputs'!$B$8/2)^2))))*'Results'!$B$8)+'Inputs'!$B$28*ABS((('Results'!B7*(1+'Inputs'!$B$24)*(0.5*((((606-43)*MAX('Inputs'!$B$33,'Inputs'!$B$29+'Inputs'!$B$31+'Inputs'!$B$32,'Inputs'!$B$30+'Inputs'!$B$31+'Inputs'!$B$32)/1000+'Inputs'!$B$21)+'Inputs'!$B$7)/SQRT((((606-43)*MAX('Inputs'!$B$33,'Inputs'!$B$29+'Inputs'!$B$31+'Inputs'!$B$32,'Inputs'!$B$30+'Inputs'!$B$31+'Inputs'!$B$32)/1000+'Inputs'!$B$21)+'Inputs'!$B$7)^2+('Inputs'!$B$6/2)^2)-(((606-43)*MAX('Inputs'!$B$33,'Inputs'!$B$29+'Inputs'!$B$31+'Inputs'!$B$32,'Inputs'!$B$30+'Inputs'!$B$31+'Inputs'!$B$32)/1000+'Inputs'!$B$21))/SQRT((((606-43)*MAX('Inputs'!$B$33,'Inputs'!$B$29+'Inputs'!$B$31+'Inputs'!$B$32,'Inputs'!$B$30+'Inputs'!$B$31+'Inputs'!$B$32)/1000+'Inputs'!$B$21))^2+('Inputs'!$B$6/2)^2)))-'Results'!C7*(1-'Inputs'!$B$24)*(0.5*((((606-43)*MAX('Inputs'!$B$33,'Inputs'!$B$29+'Inputs'!$B$31+'Inputs'!$B$32,'Inputs'!$B$30+'Inputs'!$B$31+'Inputs'!$B$32)/1000+'Inputs'!$B$21+'Inputs'!$B$7+'Inputs'!$B$10)+'Inputs'!$B$9)/SQRT((((606-43)*MAX('Inputs'!$B$33,'Inputs'!$B$29+'Inputs'!$B$31+'Inputs'!$B$32,'Inputs'!$B$30+'Inputs'!$B$31+'Inputs'!$B$32)/1000+'Inputs'!$B$21+'Inputs'!$B$7+'Inputs'!$B$10)+'Inputs'!$B$9)^2+('Inputs'!$B$8/2)^2)-(((606-43)*MAX('Inputs'!$B$33,'Inputs'!$B$29+'Inputs'!$B$31+'Inputs'!$B$32,'Inputs'!$B$30+'Inputs'!$B$31+'Inputs'!$B$32)/1000+'Inputs'!$B$21+'Inputs'!$B$7+'Inputs'!$B$10))/SQRT((((606-43)*MAX('Inputs'!$B$33,'Inputs'!$B$29+'Inputs'!$B$31+'Inputs'!$B$32,'Inputs'!$B$30+'Inputs'!$B$31+'Inputs'!$B$32)/1000+'Inputs'!$B$21+'Inputs'!$B$7+'Inputs'!$B$10))^2+('Inputs'!$B$8/2)^2))))*'Results'!$B$8))),"")</x:f>
        <x:v>3.13346650516194</x:v>
      </x:c>
      <x:c r="M606" t="n">
        <x:f>IF(AND(ISNUMBER('Results'!C7),ISNUMBER('Results'!B7),ISNUMBER('Results'!$B$8),ISNUMBER('Inputs'!$B$6),ISNUMBER('Inputs'!$B$7),ISNUMBER('Inputs'!$B$8),ISNUMBER('Inputs'!$B$9),ISNUMBER('Inputs'!$B$10),ISNUMBER('Inputs'!$B$21),ISNUMBER('Inputs'!$B$24),ISNUMBER('Inputs'!$B$28)),(('Results'!C7*(0.5*((((606-43)*MAX('Inputs'!$B$33,'Inputs'!$B$29+'Inputs'!$B$31+'Inputs'!$B$32,'Inputs'!$B$30+'Inputs'!$B$31+'Inputs'!$B$32)/1000+'Inputs'!$B$21)+'Inputs'!$B$9)/SQRT((((606-43)*MAX('Inputs'!$B$33,'Inputs'!$B$29+'Inputs'!$B$31+'Inputs'!$B$32,'Inputs'!$B$30+'Inputs'!$B$31+'Inputs'!$B$32)/1000+'Inputs'!$B$21)+'Inputs'!$B$9)^2+('Inputs'!$B$8/2)^2)-(((606-43)*MAX('Inputs'!$B$33,'Inputs'!$B$29+'Inputs'!$B$31+'Inputs'!$B$32,'Inputs'!$B$30+'Inputs'!$B$31+'Inputs'!$B$32)/1000+'Inputs'!$B$21))/SQRT((((606-43)*MAX('Inputs'!$B$33,'Inputs'!$B$29+'Inputs'!$B$31+'Inputs'!$B$32,'Inputs'!$B$30+'Inputs'!$B$31+'Inputs'!$B$32)/1000+'Inputs'!$B$21))^2+('Inputs'!$B$8/2)^2)))-'Results'!B7*(0.5*((((606-43)*MAX('Inputs'!$B$33,'Inputs'!$B$29+'Inputs'!$B$31+'Inputs'!$B$32,'Inputs'!$B$30+'Inputs'!$B$31+'Inputs'!$B$32)/1000+'Inputs'!$B$21+'Inputs'!$B$9+'Inputs'!$B$10)+'Inputs'!$B$7)/SQRT((((606-43)*MAX('Inputs'!$B$33,'Inputs'!$B$29+'Inputs'!$B$31+'Inputs'!$B$32,'Inputs'!$B$30+'Inputs'!$B$31+'Inputs'!$B$32)/1000+'Inputs'!$B$21+'Inputs'!$B$9+'Inputs'!$B$10)+'Inputs'!$B$7)^2+('Inputs'!$B$6/2)^2)-(((606-43)*MAX('Inputs'!$B$33,'Inputs'!$B$29+'Inputs'!$B$31+'Inputs'!$B$32,'Inputs'!$B$30+'Inputs'!$B$31+'Inputs'!$B$32)/1000+'Inputs'!$B$21+'Inputs'!$B$9+'Inputs'!$B$10))/SQRT((((606-43)*MAX('Inputs'!$B$33,'Inputs'!$B$29+'Inputs'!$B$31+'Inputs'!$B$32,'Inputs'!$B$30+'Inputs'!$B$31+'Inputs'!$B$32)/1000+'Inputs'!$B$21+'Inputs'!$B$9+'Inputs'!$B$10))^2+('Inputs'!$B$6/2)^2))))*'Results'!$B$8),"")</x:f>
        <x:v>2.5696029534612155</x:v>
      </x:c>
      <x:c r="N606" t="n">
        <x:f>IF(AND(ISNUMBER('Results'!C7),ISNUMBER('Results'!B7),ISNUMBER('Results'!$B$8),ISNUMBER('Inputs'!$B$6),ISNUMBER('Inputs'!$B$7),ISNUMBER('Inputs'!$B$8),ISNUMBER('Inputs'!$B$9),ISNUMBER('Inputs'!$B$10),ISNUMBER('Inputs'!$B$21),ISNUMBER('Inputs'!$B$24),ISNUMBER('Inputs'!$B$28)),((('Results'!C7*(1-'Inputs'!$B$24)*(0.5*((((606-43)*MAX('Inputs'!$B$33,'Inputs'!$B$29+'Inputs'!$B$31+'Inputs'!$B$32,'Inputs'!$B$30+'Inputs'!$B$31+'Inputs'!$B$32)/1000+'Inputs'!$B$21)+'Inputs'!$B$9)/SQRT((((606-43)*MAX('Inputs'!$B$33,'Inputs'!$B$29+'Inputs'!$B$31+'Inputs'!$B$32,'Inputs'!$B$30+'Inputs'!$B$31+'Inputs'!$B$32)/1000+'Inputs'!$B$21)+'Inputs'!$B$9)^2+('Inputs'!$B$8/2)^2)-(((606-43)*MAX('Inputs'!$B$33,'Inputs'!$B$29+'Inputs'!$B$31+'Inputs'!$B$32,'Inputs'!$B$30+'Inputs'!$B$31+'Inputs'!$B$32)/1000+'Inputs'!$B$21))/SQRT((((606-43)*MAX('Inputs'!$B$33,'Inputs'!$B$29+'Inputs'!$B$31+'Inputs'!$B$32,'Inputs'!$B$30+'Inputs'!$B$31+'Inputs'!$B$32)/1000+'Inputs'!$B$21))^2+('Inputs'!$B$8/2)^2)))-'Results'!B7*(1+'Inputs'!$B$24)*(0.5*((((606-43)*MAX('Inputs'!$B$33,'Inputs'!$B$29+'Inputs'!$B$31+'Inputs'!$B$32,'Inputs'!$B$30+'Inputs'!$B$31+'Inputs'!$B$32)/1000+'Inputs'!$B$21+'Inputs'!$B$9+'Inputs'!$B$10)+'Inputs'!$B$7)/SQRT((((606-43)*MAX('Inputs'!$B$33,'Inputs'!$B$29+'Inputs'!$B$31+'Inputs'!$B$32,'Inputs'!$B$30+'Inputs'!$B$31+'Inputs'!$B$32)/1000+'Inputs'!$B$21+'Inputs'!$B$9+'Inputs'!$B$10)+'Inputs'!$B$7)^2+('Inputs'!$B$6/2)^2)-(((606-43)*MAX('Inputs'!$B$33,'Inputs'!$B$29+'Inputs'!$B$31+'Inputs'!$B$32,'Inputs'!$B$30+'Inputs'!$B$31+'Inputs'!$B$32)/1000+'Inputs'!$B$21+'Inputs'!$B$9+'Inputs'!$B$10))/SQRT((((606-43)*MAX('Inputs'!$B$33,'Inputs'!$B$29+'Inputs'!$B$31+'Inputs'!$B$32,'Inputs'!$B$30+'Inputs'!$B$31+'Inputs'!$B$32)/1000+'Inputs'!$B$21+'Inputs'!$B$9+'Inputs'!$B$10))^2+('Inputs'!$B$6/2)^2))))*'Results'!$B$8)-'Inputs'!$B$28*ABS((('Results'!C7*(1-'Inputs'!$B$24)*(0.5*((((606-43)*MAX('Inputs'!$B$33,'Inputs'!$B$29+'Inputs'!$B$31+'Inputs'!$B$32,'Inputs'!$B$30+'Inputs'!$B$31+'Inputs'!$B$32)/1000+'Inputs'!$B$21)+'Inputs'!$B$9)/SQRT((((606-43)*MAX('Inputs'!$B$33,'Inputs'!$B$29+'Inputs'!$B$31+'Inputs'!$B$32,'Inputs'!$B$30+'Inputs'!$B$31+'Inputs'!$B$32)/1000+'Inputs'!$B$21)+'Inputs'!$B$9)^2+('Inputs'!$B$8/2)^2)-(((606-43)*MAX('Inputs'!$B$33,'Inputs'!$B$29+'Inputs'!$B$31+'Inputs'!$B$32,'Inputs'!$B$30+'Inputs'!$B$31+'Inputs'!$B$32)/1000+'Inputs'!$B$21))/SQRT((((606-43)*MAX('Inputs'!$B$33,'Inputs'!$B$29+'Inputs'!$B$31+'Inputs'!$B$32,'Inputs'!$B$30+'Inputs'!$B$31+'Inputs'!$B$32)/1000+'Inputs'!$B$21))^2+('Inputs'!$B$8/2)^2)))-'Results'!B7*(1+'Inputs'!$B$24)*(0.5*((((606-43)*MAX('Inputs'!$B$33,'Inputs'!$B$29+'Inputs'!$B$31+'Inputs'!$B$32,'Inputs'!$B$30+'Inputs'!$B$31+'Inputs'!$B$32)/1000+'Inputs'!$B$21+'Inputs'!$B$9+'Inputs'!$B$10)+'Inputs'!$B$7)/SQRT((((606-43)*MAX('Inputs'!$B$33,'Inputs'!$B$29+'Inputs'!$B$31+'Inputs'!$B$32,'Inputs'!$B$30+'Inputs'!$B$31+'Inputs'!$B$32)/1000+'Inputs'!$B$21+'Inputs'!$B$9+'Inputs'!$B$10)+'Inputs'!$B$7)^2+('Inputs'!$B$6/2)^2)-(((606-43)*MAX('Inputs'!$B$33,'Inputs'!$B$29+'Inputs'!$B$31+'Inputs'!$B$32,'Inputs'!$B$30+'Inputs'!$B$31+'Inputs'!$B$32)/1000+'Inputs'!$B$21+'Inputs'!$B$9+'Inputs'!$B$10))/SQRT((((606-43)*MAX('Inputs'!$B$33,'Inputs'!$B$29+'Inputs'!$B$31+'Inputs'!$B$32,'Inputs'!$B$30+'Inputs'!$B$31+'Inputs'!$B$32)/1000+'Inputs'!$B$21+'Inputs'!$B$9+'Inputs'!$B$10))^2+('Inputs'!$B$6/2)^2))))*'Results'!$B$8))),"")</x:f>
        <x:v>2.2459217894553216</x:v>
      </x:c>
      <x:c r="O606" t="n">
        <x:f>IF(AND(ISNUMBER('Results'!C7),ISNUMBER('Results'!B7),ISNUMBER('Results'!$B$8),ISNUMBER('Inputs'!$B$6),ISNUMBER('Inputs'!$B$7),ISNUMBER('Inputs'!$B$8),ISNUMBER('Inputs'!$B$9),ISNUMBER('Inputs'!$B$10),ISNUMBER('Inputs'!$B$21),ISNUMBER('Inputs'!$B$24),ISNUMBER('Inputs'!$B$28)),((('Results'!C7*(1+'Inputs'!$B$24)*(0.5*((((606-43)*MAX('Inputs'!$B$33,'Inputs'!$B$29+'Inputs'!$B$31+'Inputs'!$B$32,'Inputs'!$B$30+'Inputs'!$B$31+'Inputs'!$B$32)/1000+'Inputs'!$B$21)+'Inputs'!$B$9)/SQRT((((606-43)*MAX('Inputs'!$B$33,'Inputs'!$B$29+'Inputs'!$B$31+'Inputs'!$B$32,'Inputs'!$B$30+'Inputs'!$B$31+'Inputs'!$B$32)/1000+'Inputs'!$B$21)+'Inputs'!$B$9)^2+('Inputs'!$B$8/2)^2)-(((606-43)*MAX('Inputs'!$B$33,'Inputs'!$B$29+'Inputs'!$B$31+'Inputs'!$B$32,'Inputs'!$B$30+'Inputs'!$B$31+'Inputs'!$B$32)/1000+'Inputs'!$B$21))/SQRT((((606-43)*MAX('Inputs'!$B$33,'Inputs'!$B$29+'Inputs'!$B$31+'Inputs'!$B$32,'Inputs'!$B$30+'Inputs'!$B$31+'Inputs'!$B$32)/1000+'Inputs'!$B$21))^2+('Inputs'!$B$8/2)^2)))-'Results'!B7*(1-'Inputs'!$B$24)*(0.5*((((606-43)*MAX('Inputs'!$B$33,'Inputs'!$B$29+'Inputs'!$B$31+'Inputs'!$B$32,'Inputs'!$B$30+'Inputs'!$B$31+'Inputs'!$B$32)/1000+'Inputs'!$B$21+'Inputs'!$B$9+'Inputs'!$B$10)+'Inputs'!$B$7)/SQRT((((606-43)*MAX('Inputs'!$B$33,'Inputs'!$B$29+'Inputs'!$B$31+'Inputs'!$B$32,'Inputs'!$B$30+'Inputs'!$B$31+'Inputs'!$B$32)/1000+'Inputs'!$B$21+'Inputs'!$B$9+'Inputs'!$B$10)+'Inputs'!$B$7)^2+('Inputs'!$B$6/2)^2)-(((606-43)*MAX('Inputs'!$B$33,'Inputs'!$B$29+'Inputs'!$B$31+'Inputs'!$B$32,'Inputs'!$B$30+'Inputs'!$B$31+'Inputs'!$B$32)/1000+'Inputs'!$B$21+'Inputs'!$B$9+'Inputs'!$B$10))/SQRT((((606-43)*MAX('Inputs'!$B$33,'Inputs'!$B$29+'Inputs'!$B$31+'Inputs'!$B$32,'Inputs'!$B$30+'Inputs'!$B$31+'Inputs'!$B$32)/1000+'Inputs'!$B$21+'Inputs'!$B$9+'Inputs'!$B$10))^2+('Inputs'!$B$6/2)^2))))*'Results'!$B$8)+'Inputs'!$B$28*ABS((('Results'!C7*(1+'Inputs'!$B$24)*(0.5*((((606-43)*MAX('Inputs'!$B$33,'Inputs'!$B$29+'Inputs'!$B$31+'Inputs'!$B$32,'Inputs'!$B$30+'Inputs'!$B$31+'Inputs'!$B$32)/1000+'Inputs'!$B$21)+'Inputs'!$B$9)/SQRT((((606-43)*MAX('Inputs'!$B$33,'Inputs'!$B$29+'Inputs'!$B$31+'Inputs'!$B$32,'Inputs'!$B$30+'Inputs'!$B$31+'Inputs'!$B$32)/1000+'Inputs'!$B$21)+'Inputs'!$B$9)^2+('Inputs'!$B$8/2)^2)-(((606-43)*MAX('Inputs'!$B$33,'Inputs'!$B$29+'Inputs'!$B$31+'Inputs'!$B$32,'Inputs'!$B$30+'Inputs'!$B$31+'Inputs'!$B$32)/1000+'Inputs'!$B$21))/SQRT((((606-43)*MAX('Inputs'!$B$33,'Inputs'!$B$29+'Inputs'!$B$31+'Inputs'!$B$32,'Inputs'!$B$30+'Inputs'!$B$31+'Inputs'!$B$32)/1000+'Inputs'!$B$21))^2+('Inputs'!$B$8/2)^2)))-'Results'!B7*(1-'Inputs'!$B$24)*(0.5*((((606-43)*MAX('Inputs'!$B$33,'Inputs'!$B$29+'Inputs'!$B$31+'Inputs'!$B$32,'Inputs'!$B$30+'Inputs'!$B$31+'Inputs'!$B$32)/1000+'Inputs'!$B$21+'Inputs'!$B$9+'Inputs'!$B$10)+'Inputs'!$B$7)/SQRT((((606-43)*MAX('Inputs'!$B$33,'Inputs'!$B$29+'Inputs'!$B$31+'Inputs'!$B$32,'Inputs'!$B$30+'Inputs'!$B$31+'Inputs'!$B$32)/1000+'Inputs'!$B$21+'Inputs'!$B$9+'Inputs'!$B$10)+'Inputs'!$B$7)^2+('Inputs'!$B$6/2)^2)-(((606-43)*MAX('Inputs'!$B$33,'Inputs'!$B$29+'Inputs'!$B$31+'Inputs'!$B$32,'Inputs'!$B$30+'Inputs'!$B$31+'Inputs'!$B$32)/1000+'Inputs'!$B$21+'Inputs'!$B$9+'Inputs'!$B$10))/SQRT((((606-43)*MAX('Inputs'!$B$33,'Inputs'!$B$29+'Inputs'!$B$31+'Inputs'!$B$32,'Inputs'!$B$30+'Inputs'!$B$31+'Inputs'!$B$32)/1000+'Inputs'!$B$21+'Inputs'!$B$9+'Inputs'!$B$10))^2+('Inputs'!$B$6/2)^2))))*'Results'!$B$8))),"")</x:f>
        <x:v>2.913831592870565</x:v>
      </x:c>
      <x:c r="P606" t="n">
        <x:f>IF(AND(MAX(J606,J605)&gt;0,J606&gt;J605+0.00000001),1,0)</x:f>
        <x:v>0</x:v>
      </x:c>
      <x:c r="Q606" t="n">
        <x:f>IF(AND(MAX(K606,K605)&gt;0,K606&gt;K605+0.00000001),1,0)</x:f>
        <x:v>0</x:v>
      </x:c>
      <x:c r="R606" t="n">
        <x:f>IF(AND(MAX(L606,L605)&gt;0,L606&gt;L605+0.00000001),1,0)</x:f>
        <x:v>0</x:v>
      </x:c>
      <x:c r="S606" t="n">
        <x:f>IF(AND(MAX(M606,M605)&gt;0,M606&gt;M605+0.00000001),1,0)</x:f>
        <x:v>0</x:v>
      </x:c>
      <x:c r="T606" t="n">
        <x:f>IF(AND(MAX(N606,N605)&gt;0,N606&gt;N605+0.00000001),1,0)</x:f>
        <x:v>0</x:v>
      </x:c>
      <x:c r="U606" t="n">
        <x:f>IF(AND(MAX(O606,O605)&gt;0,O606&gt;O605+0.00000001),1,0)</x:f>
        <x:v>0</x:v>
      </x:c>
    </x:row>
    <x:row r="607">
      <x:c r="J607" t="n">
        <x:f>IF(AND(ISNUMBER('Results'!B7),ISNUMBER('Results'!C7),ISNUMBER('Results'!$B$8),ISNUMBER('Inputs'!$B$6),ISNUMBER('Inputs'!$B$7),ISNUMBER('Inputs'!$B$8),ISNUMBER('Inputs'!$B$9),ISNUMBER('Inputs'!$B$10),ISNUMBER('Inputs'!$B$21),ISNUMBER('Inputs'!$B$24),ISNUMBER('Inputs'!$B$28)),(('Results'!B7*(0.5*((((607-43)*MAX('Inputs'!$B$33,'Inputs'!$B$29+'Inputs'!$B$31+'Inputs'!$B$32,'Inputs'!$B$30+'Inputs'!$B$31+'Inputs'!$B$32)/1000+'Inputs'!$B$21)+'Inputs'!$B$7)/SQRT((((607-43)*MAX('Inputs'!$B$33,'Inputs'!$B$29+'Inputs'!$B$31+'Inputs'!$B$32,'Inputs'!$B$30+'Inputs'!$B$31+'Inputs'!$B$32)/1000+'Inputs'!$B$21)+'Inputs'!$B$7)^2+('Inputs'!$B$6/2)^2)-(((607-43)*MAX('Inputs'!$B$33,'Inputs'!$B$29+'Inputs'!$B$31+'Inputs'!$B$32,'Inputs'!$B$30+'Inputs'!$B$31+'Inputs'!$B$32)/1000+'Inputs'!$B$21))/SQRT((((607-43)*MAX('Inputs'!$B$33,'Inputs'!$B$29+'Inputs'!$B$31+'Inputs'!$B$32,'Inputs'!$B$30+'Inputs'!$B$31+'Inputs'!$B$32)/1000+'Inputs'!$B$21))^2+('Inputs'!$B$6/2)^2)))-'Results'!C7*(0.5*((((607-43)*MAX('Inputs'!$B$33,'Inputs'!$B$29+'Inputs'!$B$31+'Inputs'!$B$32,'Inputs'!$B$30+'Inputs'!$B$31+'Inputs'!$B$32)/1000+'Inputs'!$B$21+'Inputs'!$B$7+'Inputs'!$B$10)+'Inputs'!$B$9)/SQRT((((607-43)*MAX('Inputs'!$B$33,'Inputs'!$B$29+'Inputs'!$B$31+'Inputs'!$B$32,'Inputs'!$B$30+'Inputs'!$B$31+'Inputs'!$B$32)/1000+'Inputs'!$B$21+'Inputs'!$B$7+'Inputs'!$B$10)+'Inputs'!$B$9)^2+('Inputs'!$B$8/2)^2)-(((607-43)*MAX('Inputs'!$B$33,'Inputs'!$B$29+'Inputs'!$B$31+'Inputs'!$B$32,'Inputs'!$B$30+'Inputs'!$B$31+'Inputs'!$B$32)/1000+'Inputs'!$B$21+'Inputs'!$B$7+'Inputs'!$B$10))/SQRT((((607-43)*MAX('Inputs'!$B$33,'Inputs'!$B$29+'Inputs'!$B$31+'Inputs'!$B$32,'Inputs'!$B$30+'Inputs'!$B$31+'Inputs'!$B$32)/1000+'Inputs'!$B$21+'Inputs'!$B$7+'Inputs'!$B$10))^2+('Inputs'!$B$8/2)^2))))*'Results'!$B$8),"")</x:f>
        <x:v>2.7606477046618982</x:v>
      </x:c>
      <x:c r="K607" t="n">
        <x:f>IF(AND(ISNUMBER('Results'!B7),ISNUMBER('Results'!C7),ISNUMBER('Results'!$B$8),ISNUMBER('Inputs'!$B$6),ISNUMBER('Inputs'!$B$7),ISNUMBER('Inputs'!$B$8),ISNUMBER('Inputs'!$B$9),ISNUMBER('Inputs'!$B$10),ISNUMBER('Inputs'!$B$21),ISNUMBER('Inputs'!$B$24),ISNUMBER('Inputs'!$B$28)),((('Results'!B7*(1-'Inputs'!$B$24)*(0.5*((((607-43)*MAX('Inputs'!$B$33,'Inputs'!$B$29+'Inputs'!$B$31+'Inputs'!$B$32,'Inputs'!$B$30+'Inputs'!$B$31+'Inputs'!$B$32)/1000+'Inputs'!$B$21)+'Inputs'!$B$7)/SQRT((((607-43)*MAX('Inputs'!$B$33,'Inputs'!$B$29+'Inputs'!$B$31+'Inputs'!$B$32,'Inputs'!$B$30+'Inputs'!$B$31+'Inputs'!$B$32)/1000+'Inputs'!$B$21)+'Inputs'!$B$7)^2+('Inputs'!$B$6/2)^2)-(((607-43)*MAX('Inputs'!$B$33,'Inputs'!$B$29+'Inputs'!$B$31+'Inputs'!$B$32,'Inputs'!$B$30+'Inputs'!$B$31+'Inputs'!$B$32)/1000+'Inputs'!$B$21))/SQRT((((607-43)*MAX('Inputs'!$B$33,'Inputs'!$B$29+'Inputs'!$B$31+'Inputs'!$B$32,'Inputs'!$B$30+'Inputs'!$B$31+'Inputs'!$B$32)/1000+'Inputs'!$B$21))^2+('Inputs'!$B$6/2)^2)))-'Results'!C7*(1+'Inputs'!$B$24)*(0.5*((((607-43)*MAX('Inputs'!$B$33,'Inputs'!$B$29+'Inputs'!$B$31+'Inputs'!$B$32,'Inputs'!$B$30+'Inputs'!$B$31+'Inputs'!$B$32)/1000+'Inputs'!$B$21+'Inputs'!$B$7+'Inputs'!$B$10)+'Inputs'!$B$9)/SQRT((((607-43)*MAX('Inputs'!$B$33,'Inputs'!$B$29+'Inputs'!$B$31+'Inputs'!$B$32,'Inputs'!$B$30+'Inputs'!$B$31+'Inputs'!$B$32)/1000+'Inputs'!$B$21+'Inputs'!$B$7+'Inputs'!$B$10)+'Inputs'!$B$9)^2+('Inputs'!$B$8/2)^2)-(((607-43)*MAX('Inputs'!$B$33,'Inputs'!$B$29+'Inputs'!$B$31+'Inputs'!$B$32,'Inputs'!$B$30+'Inputs'!$B$31+'Inputs'!$B$32)/1000+'Inputs'!$B$21+'Inputs'!$B$7+'Inputs'!$B$10))/SQRT((((607-43)*MAX('Inputs'!$B$33,'Inputs'!$B$29+'Inputs'!$B$31+'Inputs'!$B$32,'Inputs'!$B$30+'Inputs'!$B$31+'Inputs'!$B$32)/1000+'Inputs'!$B$21+'Inputs'!$B$7+'Inputs'!$B$10))^2+('Inputs'!$B$8/2)^2))))*'Results'!$B$8)-'Inputs'!$B$28*ABS((('Results'!B7*(1-'Inputs'!$B$24)*(0.5*((((607-43)*MAX('Inputs'!$B$33,'Inputs'!$B$29+'Inputs'!$B$31+'Inputs'!$B$32,'Inputs'!$B$30+'Inputs'!$B$31+'Inputs'!$B$32)/1000+'Inputs'!$B$21)+'Inputs'!$B$7)/SQRT((((607-43)*MAX('Inputs'!$B$33,'Inputs'!$B$29+'Inputs'!$B$31+'Inputs'!$B$32,'Inputs'!$B$30+'Inputs'!$B$31+'Inputs'!$B$32)/1000+'Inputs'!$B$21)+'Inputs'!$B$7)^2+('Inputs'!$B$6/2)^2)-(((607-43)*MAX('Inputs'!$B$33,'Inputs'!$B$29+'Inputs'!$B$31+'Inputs'!$B$32,'Inputs'!$B$30+'Inputs'!$B$31+'Inputs'!$B$32)/1000+'Inputs'!$B$21))/SQRT((((607-43)*MAX('Inputs'!$B$33,'Inputs'!$B$29+'Inputs'!$B$31+'Inputs'!$B$32,'Inputs'!$B$30+'Inputs'!$B$31+'Inputs'!$B$32)/1000+'Inputs'!$B$21))^2+('Inputs'!$B$6/2)^2)))-'Results'!C7*(1+'Inputs'!$B$24)*(0.5*((((607-43)*MAX('Inputs'!$B$33,'Inputs'!$B$29+'Inputs'!$B$31+'Inputs'!$B$32,'Inputs'!$B$30+'Inputs'!$B$31+'Inputs'!$B$32)/1000+'Inputs'!$B$21+'Inputs'!$B$7+'Inputs'!$B$10)+'Inputs'!$B$9)/SQRT((((607-43)*MAX('Inputs'!$B$33,'Inputs'!$B$29+'Inputs'!$B$31+'Inputs'!$B$32,'Inputs'!$B$30+'Inputs'!$B$31+'Inputs'!$B$32)/1000+'Inputs'!$B$21+'Inputs'!$B$7+'Inputs'!$B$10)+'Inputs'!$B$9)^2+('Inputs'!$B$8/2)^2)-(((607-43)*MAX('Inputs'!$B$33,'Inputs'!$B$29+'Inputs'!$B$31+'Inputs'!$B$32,'Inputs'!$B$30+'Inputs'!$B$31+'Inputs'!$B$32)/1000+'Inputs'!$B$21+'Inputs'!$B$7+'Inputs'!$B$10))/SQRT((((607-43)*MAX('Inputs'!$B$33,'Inputs'!$B$29+'Inputs'!$B$31+'Inputs'!$B$32,'Inputs'!$B$30+'Inputs'!$B$31+'Inputs'!$B$32)/1000+'Inputs'!$B$21+'Inputs'!$B$7+'Inputs'!$B$10))^2+('Inputs'!$B$8/2)^2))))*'Results'!$B$8))),"")</x:f>
        <x:v>2.427320013019073</x:v>
      </x:c>
      <x:c r="L607" t="n">
        <x:f>IF(AND(ISNUMBER('Results'!B7),ISNUMBER('Results'!C7),ISNUMBER('Results'!$B$8),ISNUMBER('Inputs'!$B$6),ISNUMBER('Inputs'!$B$7),ISNUMBER('Inputs'!$B$8),ISNUMBER('Inputs'!$B$9),ISNUMBER('Inputs'!$B$10),ISNUMBER('Inputs'!$B$21),ISNUMBER('Inputs'!$B$24),ISNUMBER('Inputs'!$B$28)),((('Results'!B7*(1+'Inputs'!$B$24)*(0.5*((((607-43)*MAX('Inputs'!$B$33,'Inputs'!$B$29+'Inputs'!$B$31+'Inputs'!$B$32,'Inputs'!$B$30+'Inputs'!$B$31+'Inputs'!$B$32)/1000+'Inputs'!$B$21)+'Inputs'!$B$7)/SQRT((((607-43)*MAX('Inputs'!$B$33,'Inputs'!$B$29+'Inputs'!$B$31+'Inputs'!$B$32,'Inputs'!$B$30+'Inputs'!$B$31+'Inputs'!$B$32)/1000+'Inputs'!$B$21)+'Inputs'!$B$7)^2+('Inputs'!$B$6/2)^2)-(((607-43)*MAX('Inputs'!$B$33,'Inputs'!$B$29+'Inputs'!$B$31+'Inputs'!$B$32,'Inputs'!$B$30+'Inputs'!$B$31+'Inputs'!$B$32)/1000+'Inputs'!$B$21))/SQRT((((607-43)*MAX('Inputs'!$B$33,'Inputs'!$B$29+'Inputs'!$B$31+'Inputs'!$B$32,'Inputs'!$B$30+'Inputs'!$B$31+'Inputs'!$B$32)/1000+'Inputs'!$B$21))^2+('Inputs'!$B$6/2)^2)))-'Results'!C7*(1-'Inputs'!$B$24)*(0.5*((((607-43)*MAX('Inputs'!$B$33,'Inputs'!$B$29+'Inputs'!$B$31+'Inputs'!$B$32,'Inputs'!$B$30+'Inputs'!$B$31+'Inputs'!$B$32)/1000+'Inputs'!$B$21+'Inputs'!$B$7+'Inputs'!$B$10)+'Inputs'!$B$9)/SQRT((((607-43)*MAX('Inputs'!$B$33,'Inputs'!$B$29+'Inputs'!$B$31+'Inputs'!$B$32,'Inputs'!$B$30+'Inputs'!$B$31+'Inputs'!$B$32)/1000+'Inputs'!$B$21+'Inputs'!$B$7+'Inputs'!$B$10)+'Inputs'!$B$9)^2+('Inputs'!$B$8/2)^2)-(((607-43)*MAX('Inputs'!$B$33,'Inputs'!$B$29+'Inputs'!$B$31+'Inputs'!$B$32,'Inputs'!$B$30+'Inputs'!$B$31+'Inputs'!$B$32)/1000+'Inputs'!$B$21+'Inputs'!$B$7+'Inputs'!$B$10))/SQRT((((607-43)*MAX('Inputs'!$B$33,'Inputs'!$B$29+'Inputs'!$B$31+'Inputs'!$B$32,'Inputs'!$B$30+'Inputs'!$B$31+'Inputs'!$B$32)/1000+'Inputs'!$B$21+'Inputs'!$B$7+'Inputs'!$B$10))^2+('Inputs'!$B$8/2)^2))))*'Results'!$B$8)+'Inputs'!$B$28*ABS((('Results'!B7*(1+'Inputs'!$B$24)*(0.5*((((607-43)*MAX('Inputs'!$B$33,'Inputs'!$B$29+'Inputs'!$B$31+'Inputs'!$B$32,'Inputs'!$B$30+'Inputs'!$B$31+'Inputs'!$B$32)/1000+'Inputs'!$B$21)+'Inputs'!$B$7)/SQRT((((607-43)*MAX('Inputs'!$B$33,'Inputs'!$B$29+'Inputs'!$B$31+'Inputs'!$B$32,'Inputs'!$B$30+'Inputs'!$B$31+'Inputs'!$B$32)/1000+'Inputs'!$B$21)+'Inputs'!$B$7)^2+('Inputs'!$B$6/2)^2)-(((607-43)*MAX('Inputs'!$B$33,'Inputs'!$B$29+'Inputs'!$B$31+'Inputs'!$B$32,'Inputs'!$B$30+'Inputs'!$B$31+'Inputs'!$B$32)/1000+'Inputs'!$B$21))/SQRT((((607-43)*MAX('Inputs'!$B$33,'Inputs'!$B$29+'Inputs'!$B$31+'Inputs'!$B$32,'Inputs'!$B$30+'Inputs'!$B$31+'Inputs'!$B$32)/1000+'Inputs'!$B$21))^2+('Inputs'!$B$6/2)^2)))-'Results'!C7*(1-'Inputs'!$B$24)*(0.5*((((607-43)*MAX('Inputs'!$B$33,'Inputs'!$B$29+'Inputs'!$B$31+'Inputs'!$B$32,'Inputs'!$B$30+'Inputs'!$B$31+'Inputs'!$B$32)/1000+'Inputs'!$B$21+'Inputs'!$B$7+'Inputs'!$B$10)+'Inputs'!$B$9)/SQRT((((607-43)*MAX('Inputs'!$B$33,'Inputs'!$B$29+'Inputs'!$B$31+'Inputs'!$B$32,'Inputs'!$B$30+'Inputs'!$B$31+'Inputs'!$B$32)/1000+'Inputs'!$B$21+'Inputs'!$B$7+'Inputs'!$B$10)+'Inputs'!$B$9)^2+('Inputs'!$B$8/2)^2)-(((607-43)*MAX('Inputs'!$B$33,'Inputs'!$B$29+'Inputs'!$B$31+'Inputs'!$B$32,'Inputs'!$B$30+'Inputs'!$B$31+'Inputs'!$B$32)/1000+'Inputs'!$B$21+'Inputs'!$B$7+'Inputs'!$B$10))/SQRT((((607-43)*MAX('Inputs'!$B$33,'Inputs'!$B$29+'Inputs'!$B$31+'Inputs'!$B$32,'Inputs'!$B$30+'Inputs'!$B$31+'Inputs'!$B$32)/1000+'Inputs'!$B$21+'Inputs'!$B$7+'Inputs'!$B$10))^2+('Inputs'!$B$8/2)^2))))*'Results'!$B$8))),"")</x:f>
        <x:v>3.1145327969794323</x:v>
      </x:c>
      <x:c r="M607" t="n">
        <x:f>IF(AND(ISNUMBER('Results'!C7),ISNUMBER('Results'!B7),ISNUMBER('Results'!$B$8),ISNUMBER('Inputs'!$B$6),ISNUMBER('Inputs'!$B$7),ISNUMBER('Inputs'!$B$8),ISNUMBER('Inputs'!$B$9),ISNUMBER('Inputs'!$B$10),ISNUMBER('Inputs'!$B$21),ISNUMBER('Inputs'!$B$24),ISNUMBER('Inputs'!$B$28)),(('Results'!C7*(0.5*((((607-43)*MAX('Inputs'!$B$33,'Inputs'!$B$29+'Inputs'!$B$31+'Inputs'!$B$32,'Inputs'!$B$30+'Inputs'!$B$31+'Inputs'!$B$32)/1000+'Inputs'!$B$21)+'Inputs'!$B$9)/SQRT((((607-43)*MAX('Inputs'!$B$33,'Inputs'!$B$29+'Inputs'!$B$31+'Inputs'!$B$32,'Inputs'!$B$30+'Inputs'!$B$31+'Inputs'!$B$32)/1000+'Inputs'!$B$21)+'Inputs'!$B$9)^2+('Inputs'!$B$8/2)^2)-(((607-43)*MAX('Inputs'!$B$33,'Inputs'!$B$29+'Inputs'!$B$31+'Inputs'!$B$32,'Inputs'!$B$30+'Inputs'!$B$31+'Inputs'!$B$32)/1000+'Inputs'!$B$21))/SQRT((((607-43)*MAX('Inputs'!$B$33,'Inputs'!$B$29+'Inputs'!$B$31+'Inputs'!$B$32,'Inputs'!$B$30+'Inputs'!$B$31+'Inputs'!$B$32)/1000+'Inputs'!$B$21))^2+('Inputs'!$B$8/2)^2)))-'Results'!B7*(0.5*((((607-43)*MAX('Inputs'!$B$33,'Inputs'!$B$29+'Inputs'!$B$31+'Inputs'!$B$32,'Inputs'!$B$30+'Inputs'!$B$31+'Inputs'!$B$32)/1000+'Inputs'!$B$21+'Inputs'!$B$9+'Inputs'!$B$10)+'Inputs'!$B$7)/SQRT((((607-43)*MAX('Inputs'!$B$33,'Inputs'!$B$29+'Inputs'!$B$31+'Inputs'!$B$32,'Inputs'!$B$30+'Inputs'!$B$31+'Inputs'!$B$32)/1000+'Inputs'!$B$21+'Inputs'!$B$9+'Inputs'!$B$10)+'Inputs'!$B$7)^2+('Inputs'!$B$6/2)^2)-(((607-43)*MAX('Inputs'!$B$33,'Inputs'!$B$29+'Inputs'!$B$31+'Inputs'!$B$32,'Inputs'!$B$30+'Inputs'!$B$31+'Inputs'!$B$32)/1000+'Inputs'!$B$21+'Inputs'!$B$9+'Inputs'!$B$10))/SQRT((((607-43)*MAX('Inputs'!$B$33,'Inputs'!$B$29+'Inputs'!$B$31+'Inputs'!$B$32,'Inputs'!$B$30+'Inputs'!$B$31+'Inputs'!$B$32)/1000+'Inputs'!$B$21+'Inputs'!$B$9+'Inputs'!$B$10))^2+('Inputs'!$B$6/2)^2))))*'Results'!$B$8),"")</x:f>
        <x:v>2.5535394014591626</x:v>
      </x:c>
      <x:c r="N607" t="n">
        <x:f>IF(AND(ISNUMBER('Results'!C7),ISNUMBER('Results'!B7),ISNUMBER('Results'!$B$8),ISNUMBER('Inputs'!$B$6),ISNUMBER('Inputs'!$B$7),ISNUMBER('Inputs'!$B$8),ISNUMBER('Inputs'!$B$9),ISNUMBER('Inputs'!$B$10),ISNUMBER('Inputs'!$B$21),ISNUMBER('Inputs'!$B$24),ISNUMBER('Inputs'!$B$28)),((('Results'!C7*(1-'Inputs'!$B$24)*(0.5*((((607-43)*MAX('Inputs'!$B$33,'Inputs'!$B$29+'Inputs'!$B$31+'Inputs'!$B$32,'Inputs'!$B$30+'Inputs'!$B$31+'Inputs'!$B$32)/1000+'Inputs'!$B$21)+'Inputs'!$B$9)/SQRT((((607-43)*MAX('Inputs'!$B$33,'Inputs'!$B$29+'Inputs'!$B$31+'Inputs'!$B$32,'Inputs'!$B$30+'Inputs'!$B$31+'Inputs'!$B$32)/1000+'Inputs'!$B$21)+'Inputs'!$B$9)^2+('Inputs'!$B$8/2)^2)-(((607-43)*MAX('Inputs'!$B$33,'Inputs'!$B$29+'Inputs'!$B$31+'Inputs'!$B$32,'Inputs'!$B$30+'Inputs'!$B$31+'Inputs'!$B$32)/1000+'Inputs'!$B$21))/SQRT((((607-43)*MAX('Inputs'!$B$33,'Inputs'!$B$29+'Inputs'!$B$31+'Inputs'!$B$32,'Inputs'!$B$30+'Inputs'!$B$31+'Inputs'!$B$32)/1000+'Inputs'!$B$21))^2+('Inputs'!$B$8/2)^2)))-'Results'!B7*(1+'Inputs'!$B$24)*(0.5*((((607-43)*MAX('Inputs'!$B$33,'Inputs'!$B$29+'Inputs'!$B$31+'Inputs'!$B$32,'Inputs'!$B$30+'Inputs'!$B$31+'Inputs'!$B$32)/1000+'Inputs'!$B$21+'Inputs'!$B$9+'Inputs'!$B$10)+'Inputs'!$B$7)/SQRT((((607-43)*MAX('Inputs'!$B$33,'Inputs'!$B$29+'Inputs'!$B$31+'Inputs'!$B$32,'Inputs'!$B$30+'Inputs'!$B$31+'Inputs'!$B$32)/1000+'Inputs'!$B$21+'Inputs'!$B$9+'Inputs'!$B$10)+'Inputs'!$B$7)^2+('Inputs'!$B$6/2)^2)-(((607-43)*MAX('Inputs'!$B$33,'Inputs'!$B$29+'Inputs'!$B$31+'Inputs'!$B$32,'Inputs'!$B$30+'Inputs'!$B$31+'Inputs'!$B$32)/1000+'Inputs'!$B$21+'Inputs'!$B$9+'Inputs'!$B$10))/SQRT((((607-43)*MAX('Inputs'!$B$33,'Inputs'!$B$29+'Inputs'!$B$31+'Inputs'!$B$32,'Inputs'!$B$30+'Inputs'!$B$31+'Inputs'!$B$32)/1000+'Inputs'!$B$21+'Inputs'!$B$9+'Inputs'!$B$10))^2+('Inputs'!$B$6/2)^2))))*'Results'!$B$8)-'Inputs'!$B$28*ABS((('Results'!C7*(1-'Inputs'!$B$24)*(0.5*((((607-43)*MAX('Inputs'!$B$33,'Inputs'!$B$29+'Inputs'!$B$31+'Inputs'!$B$32,'Inputs'!$B$30+'Inputs'!$B$31+'Inputs'!$B$32)/1000+'Inputs'!$B$21)+'Inputs'!$B$9)/SQRT((((607-43)*MAX('Inputs'!$B$33,'Inputs'!$B$29+'Inputs'!$B$31+'Inputs'!$B$32,'Inputs'!$B$30+'Inputs'!$B$31+'Inputs'!$B$32)/1000+'Inputs'!$B$21)+'Inputs'!$B$9)^2+('Inputs'!$B$8/2)^2)-(((607-43)*MAX('Inputs'!$B$33,'Inputs'!$B$29+'Inputs'!$B$31+'Inputs'!$B$32,'Inputs'!$B$30+'Inputs'!$B$31+'Inputs'!$B$32)/1000+'Inputs'!$B$21))/SQRT((((607-43)*MAX('Inputs'!$B$33,'Inputs'!$B$29+'Inputs'!$B$31+'Inputs'!$B$32,'Inputs'!$B$30+'Inputs'!$B$31+'Inputs'!$B$32)/1000+'Inputs'!$B$21))^2+('Inputs'!$B$8/2)^2)))-'Results'!B7*(1+'Inputs'!$B$24)*(0.5*((((607-43)*MAX('Inputs'!$B$33,'Inputs'!$B$29+'Inputs'!$B$31+'Inputs'!$B$32,'Inputs'!$B$30+'Inputs'!$B$31+'Inputs'!$B$32)/1000+'Inputs'!$B$21+'Inputs'!$B$9+'Inputs'!$B$10)+'Inputs'!$B$7)/SQRT((((607-43)*MAX('Inputs'!$B$33,'Inputs'!$B$29+'Inputs'!$B$31+'Inputs'!$B$32,'Inputs'!$B$30+'Inputs'!$B$31+'Inputs'!$B$32)/1000+'Inputs'!$B$21+'Inputs'!$B$9+'Inputs'!$B$10)+'Inputs'!$B$7)^2+('Inputs'!$B$6/2)^2)-(((607-43)*MAX('Inputs'!$B$33,'Inputs'!$B$29+'Inputs'!$B$31+'Inputs'!$B$32,'Inputs'!$B$30+'Inputs'!$B$31+'Inputs'!$B$32)/1000+'Inputs'!$B$21+'Inputs'!$B$9+'Inputs'!$B$10))/SQRT((((607-43)*MAX('Inputs'!$B$33,'Inputs'!$B$29+'Inputs'!$B$31+'Inputs'!$B$32,'Inputs'!$B$30+'Inputs'!$B$31+'Inputs'!$B$32)/1000+'Inputs'!$B$21+'Inputs'!$B$9+'Inputs'!$B$10))^2+('Inputs'!$B$6/2)^2))))*'Results'!$B$8))),"")</x:f>
        <x:v>2.231587019471588</x:v>
      </x:c>
      <x:c r="O607" t="n">
        <x:f>IF(AND(ISNUMBER('Results'!C7),ISNUMBER('Results'!B7),ISNUMBER('Results'!$B$8),ISNUMBER('Inputs'!$B$6),ISNUMBER('Inputs'!$B$7),ISNUMBER('Inputs'!$B$8),ISNUMBER('Inputs'!$B$9),ISNUMBER('Inputs'!$B$10),ISNUMBER('Inputs'!$B$21),ISNUMBER('Inputs'!$B$24),ISNUMBER('Inputs'!$B$28)),((('Results'!C7*(1+'Inputs'!$B$24)*(0.5*((((607-43)*MAX('Inputs'!$B$33,'Inputs'!$B$29+'Inputs'!$B$31+'Inputs'!$B$32,'Inputs'!$B$30+'Inputs'!$B$31+'Inputs'!$B$32)/1000+'Inputs'!$B$21)+'Inputs'!$B$9)/SQRT((((607-43)*MAX('Inputs'!$B$33,'Inputs'!$B$29+'Inputs'!$B$31+'Inputs'!$B$32,'Inputs'!$B$30+'Inputs'!$B$31+'Inputs'!$B$32)/1000+'Inputs'!$B$21)+'Inputs'!$B$9)^2+('Inputs'!$B$8/2)^2)-(((607-43)*MAX('Inputs'!$B$33,'Inputs'!$B$29+'Inputs'!$B$31+'Inputs'!$B$32,'Inputs'!$B$30+'Inputs'!$B$31+'Inputs'!$B$32)/1000+'Inputs'!$B$21))/SQRT((((607-43)*MAX('Inputs'!$B$33,'Inputs'!$B$29+'Inputs'!$B$31+'Inputs'!$B$32,'Inputs'!$B$30+'Inputs'!$B$31+'Inputs'!$B$32)/1000+'Inputs'!$B$21))^2+('Inputs'!$B$8/2)^2)))-'Results'!B7*(1-'Inputs'!$B$24)*(0.5*((((607-43)*MAX('Inputs'!$B$33,'Inputs'!$B$29+'Inputs'!$B$31+'Inputs'!$B$32,'Inputs'!$B$30+'Inputs'!$B$31+'Inputs'!$B$32)/1000+'Inputs'!$B$21+'Inputs'!$B$9+'Inputs'!$B$10)+'Inputs'!$B$7)/SQRT((((607-43)*MAX('Inputs'!$B$33,'Inputs'!$B$29+'Inputs'!$B$31+'Inputs'!$B$32,'Inputs'!$B$30+'Inputs'!$B$31+'Inputs'!$B$32)/1000+'Inputs'!$B$21+'Inputs'!$B$9+'Inputs'!$B$10)+'Inputs'!$B$7)^2+('Inputs'!$B$6/2)^2)-(((607-43)*MAX('Inputs'!$B$33,'Inputs'!$B$29+'Inputs'!$B$31+'Inputs'!$B$32,'Inputs'!$B$30+'Inputs'!$B$31+'Inputs'!$B$32)/1000+'Inputs'!$B$21+'Inputs'!$B$9+'Inputs'!$B$10))/SQRT((((607-43)*MAX('Inputs'!$B$33,'Inputs'!$B$29+'Inputs'!$B$31+'Inputs'!$B$32,'Inputs'!$B$30+'Inputs'!$B$31+'Inputs'!$B$32)/1000+'Inputs'!$B$21+'Inputs'!$B$9+'Inputs'!$B$10))^2+('Inputs'!$B$6/2)^2))))*'Results'!$B$8)+'Inputs'!$B$28*ABS((('Results'!C7*(1+'Inputs'!$B$24)*(0.5*((((607-43)*MAX('Inputs'!$B$33,'Inputs'!$B$29+'Inputs'!$B$31+'Inputs'!$B$32,'Inputs'!$B$30+'Inputs'!$B$31+'Inputs'!$B$32)/1000+'Inputs'!$B$21)+'Inputs'!$B$9)/SQRT((((607-43)*MAX('Inputs'!$B$33,'Inputs'!$B$29+'Inputs'!$B$31+'Inputs'!$B$32,'Inputs'!$B$30+'Inputs'!$B$31+'Inputs'!$B$32)/1000+'Inputs'!$B$21)+'Inputs'!$B$9)^2+('Inputs'!$B$8/2)^2)-(((607-43)*MAX('Inputs'!$B$33,'Inputs'!$B$29+'Inputs'!$B$31+'Inputs'!$B$32,'Inputs'!$B$30+'Inputs'!$B$31+'Inputs'!$B$32)/1000+'Inputs'!$B$21))/SQRT((((607-43)*MAX('Inputs'!$B$33,'Inputs'!$B$29+'Inputs'!$B$31+'Inputs'!$B$32,'Inputs'!$B$30+'Inputs'!$B$31+'Inputs'!$B$32)/1000+'Inputs'!$B$21))^2+('Inputs'!$B$8/2)^2)))-'Results'!B7*(1-'Inputs'!$B$24)*(0.5*((((607-43)*MAX('Inputs'!$B$33,'Inputs'!$B$29+'Inputs'!$B$31+'Inputs'!$B$32,'Inputs'!$B$30+'Inputs'!$B$31+'Inputs'!$B$32)/1000+'Inputs'!$B$21+'Inputs'!$B$9+'Inputs'!$B$10)+'Inputs'!$B$7)/SQRT((((607-43)*MAX('Inputs'!$B$33,'Inputs'!$B$29+'Inputs'!$B$31+'Inputs'!$B$32,'Inputs'!$B$30+'Inputs'!$B$31+'Inputs'!$B$32)/1000+'Inputs'!$B$21+'Inputs'!$B$9+'Inputs'!$B$10)+'Inputs'!$B$7)^2+('Inputs'!$B$6/2)^2)-(((607-43)*MAX('Inputs'!$B$33,'Inputs'!$B$29+'Inputs'!$B$31+'Inputs'!$B$32,'Inputs'!$B$30+'Inputs'!$B$31+'Inputs'!$B$32)/1000+'Inputs'!$B$21+'Inputs'!$B$9+'Inputs'!$B$10))/SQRT((((607-43)*MAX('Inputs'!$B$33,'Inputs'!$B$29+'Inputs'!$B$31+'Inputs'!$B$32,'Inputs'!$B$30+'Inputs'!$B$31+'Inputs'!$B$32)/1000+'Inputs'!$B$21+'Inputs'!$B$9+'Inputs'!$B$10))^2+('Inputs'!$B$6/2)^2))))*'Results'!$B$8))),"")</x:f>
        <x:v>2.895941826806171</x:v>
      </x:c>
      <x:c r="P607" t="n">
        <x:f>IF(AND(MAX(J607,J606)&gt;0,J607&gt;J606+0.00000001),1,0)</x:f>
        <x:v>0</x:v>
      </x:c>
      <x:c r="Q607" t="n">
        <x:f>IF(AND(MAX(K607,K606)&gt;0,K607&gt;K606+0.00000001),1,0)</x:f>
        <x:v>0</x:v>
      </x:c>
      <x:c r="R607" t="n">
        <x:f>IF(AND(MAX(L607,L606)&gt;0,L607&gt;L606+0.00000001),1,0)</x:f>
        <x:v>0</x:v>
      </x:c>
      <x:c r="S607" t="n">
        <x:f>IF(AND(MAX(M607,M606)&gt;0,M607&gt;M606+0.00000001),1,0)</x:f>
        <x:v>0</x:v>
      </x:c>
      <x:c r="T607" t="n">
        <x:f>IF(AND(MAX(N607,N606)&gt;0,N607&gt;N606+0.00000001),1,0)</x:f>
        <x:v>0</x:v>
      </x:c>
      <x:c r="U607" t="n">
        <x:f>IF(AND(MAX(O607,O606)&gt;0,O607&gt;O606+0.00000001),1,0)</x:f>
        <x:v>0</x:v>
      </x:c>
    </x:row>
    <x:row r="608">
      <x:c r="J608" t="n">
        <x:f>IF(AND(ISNUMBER('Results'!B7),ISNUMBER('Results'!C7),ISNUMBER('Results'!$B$8),ISNUMBER('Inputs'!$B$6),ISNUMBER('Inputs'!$B$7),ISNUMBER('Inputs'!$B$8),ISNUMBER('Inputs'!$B$9),ISNUMBER('Inputs'!$B$10),ISNUMBER('Inputs'!$B$21),ISNUMBER('Inputs'!$B$24),ISNUMBER('Inputs'!$B$28)),(('Results'!B7*(0.5*((((608-43)*MAX('Inputs'!$B$33,'Inputs'!$B$29+'Inputs'!$B$31+'Inputs'!$B$32,'Inputs'!$B$30+'Inputs'!$B$31+'Inputs'!$B$32)/1000+'Inputs'!$B$21)+'Inputs'!$B$7)/SQRT((((608-43)*MAX('Inputs'!$B$33,'Inputs'!$B$29+'Inputs'!$B$31+'Inputs'!$B$32,'Inputs'!$B$30+'Inputs'!$B$31+'Inputs'!$B$32)/1000+'Inputs'!$B$21)+'Inputs'!$B$7)^2+('Inputs'!$B$6/2)^2)-(((608-43)*MAX('Inputs'!$B$33,'Inputs'!$B$29+'Inputs'!$B$31+'Inputs'!$B$32,'Inputs'!$B$30+'Inputs'!$B$31+'Inputs'!$B$32)/1000+'Inputs'!$B$21))/SQRT((((608-43)*MAX('Inputs'!$B$33,'Inputs'!$B$29+'Inputs'!$B$31+'Inputs'!$B$32,'Inputs'!$B$30+'Inputs'!$B$31+'Inputs'!$B$32)/1000+'Inputs'!$B$21))^2+('Inputs'!$B$6/2)^2)))-'Results'!C7*(0.5*((((608-43)*MAX('Inputs'!$B$33,'Inputs'!$B$29+'Inputs'!$B$31+'Inputs'!$B$32,'Inputs'!$B$30+'Inputs'!$B$31+'Inputs'!$B$32)/1000+'Inputs'!$B$21+'Inputs'!$B$7+'Inputs'!$B$10)+'Inputs'!$B$9)/SQRT((((608-43)*MAX('Inputs'!$B$33,'Inputs'!$B$29+'Inputs'!$B$31+'Inputs'!$B$32,'Inputs'!$B$30+'Inputs'!$B$31+'Inputs'!$B$32)/1000+'Inputs'!$B$21+'Inputs'!$B$7+'Inputs'!$B$10)+'Inputs'!$B$9)^2+('Inputs'!$B$8/2)^2)-(((608-43)*MAX('Inputs'!$B$33,'Inputs'!$B$29+'Inputs'!$B$31+'Inputs'!$B$32,'Inputs'!$B$30+'Inputs'!$B$31+'Inputs'!$B$32)/1000+'Inputs'!$B$21+'Inputs'!$B$7+'Inputs'!$B$10))/SQRT((((608-43)*MAX('Inputs'!$B$33,'Inputs'!$B$29+'Inputs'!$B$31+'Inputs'!$B$32,'Inputs'!$B$30+'Inputs'!$B$31+'Inputs'!$B$32)/1000+'Inputs'!$B$21+'Inputs'!$B$7+'Inputs'!$B$10))^2+('Inputs'!$B$8/2)^2))))*'Results'!$B$8),"")</x:f>
        <x:v>2.7437275436196322</x:v>
      </x:c>
      <x:c r="K608" t="n">
        <x:f>IF(AND(ISNUMBER('Results'!B7),ISNUMBER('Results'!C7),ISNUMBER('Results'!$B$8),ISNUMBER('Inputs'!$B$6),ISNUMBER('Inputs'!$B$7),ISNUMBER('Inputs'!$B$8),ISNUMBER('Inputs'!$B$9),ISNUMBER('Inputs'!$B$10),ISNUMBER('Inputs'!$B$21),ISNUMBER('Inputs'!$B$24),ISNUMBER('Inputs'!$B$28)),((('Results'!B7*(1-'Inputs'!$B$24)*(0.5*((((608-43)*MAX('Inputs'!$B$33,'Inputs'!$B$29+'Inputs'!$B$31+'Inputs'!$B$32,'Inputs'!$B$30+'Inputs'!$B$31+'Inputs'!$B$32)/1000+'Inputs'!$B$21)+'Inputs'!$B$7)/SQRT((((608-43)*MAX('Inputs'!$B$33,'Inputs'!$B$29+'Inputs'!$B$31+'Inputs'!$B$32,'Inputs'!$B$30+'Inputs'!$B$31+'Inputs'!$B$32)/1000+'Inputs'!$B$21)+'Inputs'!$B$7)^2+('Inputs'!$B$6/2)^2)-(((608-43)*MAX('Inputs'!$B$33,'Inputs'!$B$29+'Inputs'!$B$31+'Inputs'!$B$32,'Inputs'!$B$30+'Inputs'!$B$31+'Inputs'!$B$32)/1000+'Inputs'!$B$21))/SQRT((((608-43)*MAX('Inputs'!$B$33,'Inputs'!$B$29+'Inputs'!$B$31+'Inputs'!$B$32,'Inputs'!$B$30+'Inputs'!$B$31+'Inputs'!$B$32)/1000+'Inputs'!$B$21))^2+('Inputs'!$B$6/2)^2)))-'Results'!C7*(1+'Inputs'!$B$24)*(0.5*((((608-43)*MAX('Inputs'!$B$33,'Inputs'!$B$29+'Inputs'!$B$31+'Inputs'!$B$32,'Inputs'!$B$30+'Inputs'!$B$31+'Inputs'!$B$32)/1000+'Inputs'!$B$21+'Inputs'!$B$7+'Inputs'!$B$10)+'Inputs'!$B$9)/SQRT((((608-43)*MAX('Inputs'!$B$33,'Inputs'!$B$29+'Inputs'!$B$31+'Inputs'!$B$32,'Inputs'!$B$30+'Inputs'!$B$31+'Inputs'!$B$32)/1000+'Inputs'!$B$21+'Inputs'!$B$7+'Inputs'!$B$10)+'Inputs'!$B$9)^2+('Inputs'!$B$8/2)^2)-(((608-43)*MAX('Inputs'!$B$33,'Inputs'!$B$29+'Inputs'!$B$31+'Inputs'!$B$32,'Inputs'!$B$30+'Inputs'!$B$31+'Inputs'!$B$32)/1000+'Inputs'!$B$21+'Inputs'!$B$7+'Inputs'!$B$10))/SQRT((((608-43)*MAX('Inputs'!$B$33,'Inputs'!$B$29+'Inputs'!$B$31+'Inputs'!$B$32,'Inputs'!$B$30+'Inputs'!$B$31+'Inputs'!$B$32)/1000+'Inputs'!$B$21+'Inputs'!$B$7+'Inputs'!$B$10))^2+('Inputs'!$B$8/2)^2))))*'Results'!$B$8)-'Inputs'!$B$28*ABS((('Results'!B7*(1-'Inputs'!$B$24)*(0.5*((((608-43)*MAX('Inputs'!$B$33,'Inputs'!$B$29+'Inputs'!$B$31+'Inputs'!$B$32,'Inputs'!$B$30+'Inputs'!$B$31+'Inputs'!$B$32)/1000+'Inputs'!$B$21)+'Inputs'!$B$7)/SQRT((((608-43)*MAX('Inputs'!$B$33,'Inputs'!$B$29+'Inputs'!$B$31+'Inputs'!$B$32,'Inputs'!$B$30+'Inputs'!$B$31+'Inputs'!$B$32)/1000+'Inputs'!$B$21)+'Inputs'!$B$7)^2+('Inputs'!$B$6/2)^2)-(((608-43)*MAX('Inputs'!$B$33,'Inputs'!$B$29+'Inputs'!$B$31+'Inputs'!$B$32,'Inputs'!$B$30+'Inputs'!$B$31+'Inputs'!$B$32)/1000+'Inputs'!$B$21))/SQRT((((608-43)*MAX('Inputs'!$B$33,'Inputs'!$B$29+'Inputs'!$B$31+'Inputs'!$B$32,'Inputs'!$B$30+'Inputs'!$B$31+'Inputs'!$B$32)/1000+'Inputs'!$B$21))^2+('Inputs'!$B$6/2)^2)))-'Results'!C7*(1+'Inputs'!$B$24)*(0.5*((((608-43)*MAX('Inputs'!$B$33,'Inputs'!$B$29+'Inputs'!$B$31+'Inputs'!$B$32,'Inputs'!$B$30+'Inputs'!$B$31+'Inputs'!$B$32)/1000+'Inputs'!$B$21+'Inputs'!$B$7+'Inputs'!$B$10)+'Inputs'!$B$9)/SQRT((((608-43)*MAX('Inputs'!$B$33,'Inputs'!$B$29+'Inputs'!$B$31+'Inputs'!$B$32,'Inputs'!$B$30+'Inputs'!$B$31+'Inputs'!$B$32)/1000+'Inputs'!$B$21+'Inputs'!$B$7+'Inputs'!$B$10)+'Inputs'!$B$9)^2+('Inputs'!$B$8/2)^2)-(((608-43)*MAX('Inputs'!$B$33,'Inputs'!$B$29+'Inputs'!$B$31+'Inputs'!$B$32,'Inputs'!$B$30+'Inputs'!$B$31+'Inputs'!$B$32)/1000+'Inputs'!$B$21+'Inputs'!$B$7+'Inputs'!$B$10))/SQRT((((608-43)*MAX('Inputs'!$B$33,'Inputs'!$B$29+'Inputs'!$B$31+'Inputs'!$B$32,'Inputs'!$B$30+'Inputs'!$B$31+'Inputs'!$B$32)/1000+'Inputs'!$B$21+'Inputs'!$B$7+'Inputs'!$B$10))^2+('Inputs'!$B$8/2)^2))))*'Results'!$B$8))),"")</x:f>
        <x:v>2.412171911321357</x:v>
      </x:c>
      <x:c r="L608" t="n">
        <x:f>IF(AND(ISNUMBER('Results'!B7),ISNUMBER('Results'!C7),ISNUMBER('Results'!$B$8),ISNUMBER('Inputs'!$B$6),ISNUMBER('Inputs'!$B$7),ISNUMBER('Inputs'!$B$8),ISNUMBER('Inputs'!$B$9),ISNUMBER('Inputs'!$B$10),ISNUMBER('Inputs'!$B$21),ISNUMBER('Inputs'!$B$24),ISNUMBER('Inputs'!$B$28)),((('Results'!B7*(1+'Inputs'!$B$24)*(0.5*((((608-43)*MAX('Inputs'!$B$33,'Inputs'!$B$29+'Inputs'!$B$31+'Inputs'!$B$32,'Inputs'!$B$30+'Inputs'!$B$31+'Inputs'!$B$32)/1000+'Inputs'!$B$21)+'Inputs'!$B$7)/SQRT((((608-43)*MAX('Inputs'!$B$33,'Inputs'!$B$29+'Inputs'!$B$31+'Inputs'!$B$32,'Inputs'!$B$30+'Inputs'!$B$31+'Inputs'!$B$32)/1000+'Inputs'!$B$21)+'Inputs'!$B$7)^2+('Inputs'!$B$6/2)^2)-(((608-43)*MAX('Inputs'!$B$33,'Inputs'!$B$29+'Inputs'!$B$31+'Inputs'!$B$32,'Inputs'!$B$30+'Inputs'!$B$31+'Inputs'!$B$32)/1000+'Inputs'!$B$21))/SQRT((((608-43)*MAX('Inputs'!$B$33,'Inputs'!$B$29+'Inputs'!$B$31+'Inputs'!$B$32,'Inputs'!$B$30+'Inputs'!$B$31+'Inputs'!$B$32)/1000+'Inputs'!$B$21))^2+('Inputs'!$B$6/2)^2)))-'Results'!C7*(1-'Inputs'!$B$24)*(0.5*((((608-43)*MAX('Inputs'!$B$33,'Inputs'!$B$29+'Inputs'!$B$31+'Inputs'!$B$32,'Inputs'!$B$30+'Inputs'!$B$31+'Inputs'!$B$32)/1000+'Inputs'!$B$21+'Inputs'!$B$7+'Inputs'!$B$10)+'Inputs'!$B$9)/SQRT((((608-43)*MAX('Inputs'!$B$33,'Inputs'!$B$29+'Inputs'!$B$31+'Inputs'!$B$32,'Inputs'!$B$30+'Inputs'!$B$31+'Inputs'!$B$32)/1000+'Inputs'!$B$21+'Inputs'!$B$7+'Inputs'!$B$10)+'Inputs'!$B$9)^2+('Inputs'!$B$8/2)^2)-(((608-43)*MAX('Inputs'!$B$33,'Inputs'!$B$29+'Inputs'!$B$31+'Inputs'!$B$32,'Inputs'!$B$30+'Inputs'!$B$31+'Inputs'!$B$32)/1000+'Inputs'!$B$21+'Inputs'!$B$7+'Inputs'!$B$10))/SQRT((((608-43)*MAX('Inputs'!$B$33,'Inputs'!$B$29+'Inputs'!$B$31+'Inputs'!$B$32,'Inputs'!$B$30+'Inputs'!$B$31+'Inputs'!$B$32)/1000+'Inputs'!$B$21+'Inputs'!$B$7+'Inputs'!$B$10))^2+('Inputs'!$B$8/2)^2))))*'Results'!$B$8)+'Inputs'!$B$28*ABS((('Results'!B7*(1+'Inputs'!$B$24)*(0.5*((((608-43)*MAX('Inputs'!$B$33,'Inputs'!$B$29+'Inputs'!$B$31+'Inputs'!$B$32,'Inputs'!$B$30+'Inputs'!$B$31+'Inputs'!$B$32)/1000+'Inputs'!$B$21)+'Inputs'!$B$7)/SQRT((((608-43)*MAX('Inputs'!$B$33,'Inputs'!$B$29+'Inputs'!$B$31+'Inputs'!$B$32,'Inputs'!$B$30+'Inputs'!$B$31+'Inputs'!$B$32)/1000+'Inputs'!$B$21)+'Inputs'!$B$7)^2+('Inputs'!$B$6/2)^2)-(((608-43)*MAX('Inputs'!$B$33,'Inputs'!$B$29+'Inputs'!$B$31+'Inputs'!$B$32,'Inputs'!$B$30+'Inputs'!$B$31+'Inputs'!$B$32)/1000+'Inputs'!$B$21))/SQRT((((608-43)*MAX('Inputs'!$B$33,'Inputs'!$B$29+'Inputs'!$B$31+'Inputs'!$B$32,'Inputs'!$B$30+'Inputs'!$B$31+'Inputs'!$B$32)/1000+'Inputs'!$B$21))^2+('Inputs'!$B$6/2)^2)))-'Results'!C7*(1-'Inputs'!$B$24)*(0.5*((((608-43)*MAX('Inputs'!$B$33,'Inputs'!$B$29+'Inputs'!$B$31+'Inputs'!$B$32,'Inputs'!$B$30+'Inputs'!$B$31+'Inputs'!$B$32)/1000+'Inputs'!$B$21+'Inputs'!$B$7+'Inputs'!$B$10)+'Inputs'!$B$9)/SQRT((((608-43)*MAX('Inputs'!$B$33,'Inputs'!$B$29+'Inputs'!$B$31+'Inputs'!$B$32,'Inputs'!$B$30+'Inputs'!$B$31+'Inputs'!$B$32)/1000+'Inputs'!$B$21+'Inputs'!$B$7+'Inputs'!$B$10)+'Inputs'!$B$9)^2+('Inputs'!$B$8/2)^2)-(((608-43)*MAX('Inputs'!$B$33,'Inputs'!$B$29+'Inputs'!$B$31+'Inputs'!$B$32,'Inputs'!$B$30+'Inputs'!$B$31+'Inputs'!$B$32)/1000+'Inputs'!$B$21+'Inputs'!$B$7+'Inputs'!$B$10))/SQRT((((608-43)*MAX('Inputs'!$B$33,'Inputs'!$B$29+'Inputs'!$B$31+'Inputs'!$B$32,'Inputs'!$B$30+'Inputs'!$B$31+'Inputs'!$B$32)/1000+'Inputs'!$B$21+'Inputs'!$B$7+'Inputs'!$B$10))^2+('Inputs'!$B$8/2)^2))))*'Results'!$B$8))),"")</x:f>
        <x:v>3.095743097509203</x:v>
      </x:c>
      <x:c r="M608" t="n">
        <x:f>IF(AND(ISNUMBER('Results'!C7),ISNUMBER('Results'!B7),ISNUMBER('Results'!$B$8),ISNUMBER('Inputs'!$B$6),ISNUMBER('Inputs'!$B$7),ISNUMBER('Inputs'!$B$8),ISNUMBER('Inputs'!$B$9),ISNUMBER('Inputs'!$B$10),ISNUMBER('Inputs'!$B$21),ISNUMBER('Inputs'!$B$24),ISNUMBER('Inputs'!$B$28)),(('Results'!C7*(0.5*((((608-43)*MAX('Inputs'!$B$33,'Inputs'!$B$29+'Inputs'!$B$31+'Inputs'!$B$32,'Inputs'!$B$30+'Inputs'!$B$31+'Inputs'!$B$32)/1000+'Inputs'!$B$21)+'Inputs'!$B$9)/SQRT((((608-43)*MAX('Inputs'!$B$33,'Inputs'!$B$29+'Inputs'!$B$31+'Inputs'!$B$32,'Inputs'!$B$30+'Inputs'!$B$31+'Inputs'!$B$32)/1000+'Inputs'!$B$21)+'Inputs'!$B$9)^2+('Inputs'!$B$8/2)^2)-(((608-43)*MAX('Inputs'!$B$33,'Inputs'!$B$29+'Inputs'!$B$31+'Inputs'!$B$32,'Inputs'!$B$30+'Inputs'!$B$31+'Inputs'!$B$32)/1000+'Inputs'!$B$21))/SQRT((((608-43)*MAX('Inputs'!$B$33,'Inputs'!$B$29+'Inputs'!$B$31+'Inputs'!$B$32,'Inputs'!$B$30+'Inputs'!$B$31+'Inputs'!$B$32)/1000+'Inputs'!$B$21))^2+('Inputs'!$B$8/2)^2)))-'Results'!B7*(0.5*((((608-43)*MAX('Inputs'!$B$33,'Inputs'!$B$29+'Inputs'!$B$31+'Inputs'!$B$32,'Inputs'!$B$30+'Inputs'!$B$31+'Inputs'!$B$32)/1000+'Inputs'!$B$21+'Inputs'!$B$9+'Inputs'!$B$10)+'Inputs'!$B$7)/SQRT((((608-43)*MAX('Inputs'!$B$33,'Inputs'!$B$29+'Inputs'!$B$31+'Inputs'!$B$32,'Inputs'!$B$30+'Inputs'!$B$31+'Inputs'!$B$32)/1000+'Inputs'!$B$21+'Inputs'!$B$9+'Inputs'!$B$10)+'Inputs'!$B$7)^2+('Inputs'!$B$6/2)^2)-(((608-43)*MAX('Inputs'!$B$33,'Inputs'!$B$29+'Inputs'!$B$31+'Inputs'!$B$32,'Inputs'!$B$30+'Inputs'!$B$31+'Inputs'!$B$32)/1000+'Inputs'!$B$21+'Inputs'!$B$9+'Inputs'!$B$10))/SQRT((((608-43)*MAX('Inputs'!$B$33,'Inputs'!$B$29+'Inputs'!$B$31+'Inputs'!$B$32,'Inputs'!$B$30+'Inputs'!$B$31+'Inputs'!$B$32)/1000+'Inputs'!$B$21+'Inputs'!$B$9+'Inputs'!$B$10))^2+('Inputs'!$B$6/2)^2))))*'Results'!$B$8),"")</x:f>
        <x:v>2.5376005250021962</x:v>
      </x:c>
      <x:c r="N608" t="n">
        <x:f>IF(AND(ISNUMBER('Results'!C7),ISNUMBER('Results'!B7),ISNUMBER('Results'!$B$8),ISNUMBER('Inputs'!$B$6),ISNUMBER('Inputs'!$B$7),ISNUMBER('Inputs'!$B$8),ISNUMBER('Inputs'!$B$9),ISNUMBER('Inputs'!$B$10),ISNUMBER('Inputs'!$B$21),ISNUMBER('Inputs'!$B$24),ISNUMBER('Inputs'!$B$28)),((('Results'!C7*(1-'Inputs'!$B$24)*(0.5*((((608-43)*MAX('Inputs'!$B$33,'Inputs'!$B$29+'Inputs'!$B$31+'Inputs'!$B$32,'Inputs'!$B$30+'Inputs'!$B$31+'Inputs'!$B$32)/1000+'Inputs'!$B$21)+'Inputs'!$B$9)/SQRT((((608-43)*MAX('Inputs'!$B$33,'Inputs'!$B$29+'Inputs'!$B$31+'Inputs'!$B$32,'Inputs'!$B$30+'Inputs'!$B$31+'Inputs'!$B$32)/1000+'Inputs'!$B$21)+'Inputs'!$B$9)^2+('Inputs'!$B$8/2)^2)-(((608-43)*MAX('Inputs'!$B$33,'Inputs'!$B$29+'Inputs'!$B$31+'Inputs'!$B$32,'Inputs'!$B$30+'Inputs'!$B$31+'Inputs'!$B$32)/1000+'Inputs'!$B$21))/SQRT((((608-43)*MAX('Inputs'!$B$33,'Inputs'!$B$29+'Inputs'!$B$31+'Inputs'!$B$32,'Inputs'!$B$30+'Inputs'!$B$31+'Inputs'!$B$32)/1000+'Inputs'!$B$21))^2+('Inputs'!$B$8/2)^2)))-'Results'!B7*(1+'Inputs'!$B$24)*(0.5*((((608-43)*MAX('Inputs'!$B$33,'Inputs'!$B$29+'Inputs'!$B$31+'Inputs'!$B$32,'Inputs'!$B$30+'Inputs'!$B$31+'Inputs'!$B$32)/1000+'Inputs'!$B$21+'Inputs'!$B$9+'Inputs'!$B$10)+'Inputs'!$B$7)/SQRT((((608-43)*MAX('Inputs'!$B$33,'Inputs'!$B$29+'Inputs'!$B$31+'Inputs'!$B$32,'Inputs'!$B$30+'Inputs'!$B$31+'Inputs'!$B$32)/1000+'Inputs'!$B$21+'Inputs'!$B$9+'Inputs'!$B$10)+'Inputs'!$B$7)^2+('Inputs'!$B$6/2)^2)-(((608-43)*MAX('Inputs'!$B$33,'Inputs'!$B$29+'Inputs'!$B$31+'Inputs'!$B$32,'Inputs'!$B$30+'Inputs'!$B$31+'Inputs'!$B$32)/1000+'Inputs'!$B$21+'Inputs'!$B$9+'Inputs'!$B$10))/SQRT((((608-43)*MAX('Inputs'!$B$33,'Inputs'!$B$29+'Inputs'!$B$31+'Inputs'!$B$32,'Inputs'!$B$30+'Inputs'!$B$31+'Inputs'!$B$32)/1000+'Inputs'!$B$21+'Inputs'!$B$9+'Inputs'!$B$10))^2+('Inputs'!$B$6/2)^2))))*'Results'!$B$8)-'Inputs'!$B$28*ABS((('Results'!C7*(1-'Inputs'!$B$24)*(0.5*((((608-43)*MAX('Inputs'!$B$33,'Inputs'!$B$29+'Inputs'!$B$31+'Inputs'!$B$32,'Inputs'!$B$30+'Inputs'!$B$31+'Inputs'!$B$32)/1000+'Inputs'!$B$21)+'Inputs'!$B$9)/SQRT((((608-43)*MAX('Inputs'!$B$33,'Inputs'!$B$29+'Inputs'!$B$31+'Inputs'!$B$32,'Inputs'!$B$30+'Inputs'!$B$31+'Inputs'!$B$32)/1000+'Inputs'!$B$21)+'Inputs'!$B$9)^2+('Inputs'!$B$8/2)^2)-(((608-43)*MAX('Inputs'!$B$33,'Inputs'!$B$29+'Inputs'!$B$31+'Inputs'!$B$32,'Inputs'!$B$30+'Inputs'!$B$31+'Inputs'!$B$32)/1000+'Inputs'!$B$21))/SQRT((((608-43)*MAX('Inputs'!$B$33,'Inputs'!$B$29+'Inputs'!$B$31+'Inputs'!$B$32,'Inputs'!$B$30+'Inputs'!$B$31+'Inputs'!$B$32)/1000+'Inputs'!$B$21))^2+('Inputs'!$B$8/2)^2)))-'Results'!B7*(1+'Inputs'!$B$24)*(0.5*((((608-43)*MAX('Inputs'!$B$33,'Inputs'!$B$29+'Inputs'!$B$31+'Inputs'!$B$32,'Inputs'!$B$30+'Inputs'!$B$31+'Inputs'!$B$32)/1000+'Inputs'!$B$21+'Inputs'!$B$9+'Inputs'!$B$10)+'Inputs'!$B$7)/SQRT((((608-43)*MAX('Inputs'!$B$33,'Inputs'!$B$29+'Inputs'!$B$31+'Inputs'!$B$32,'Inputs'!$B$30+'Inputs'!$B$31+'Inputs'!$B$32)/1000+'Inputs'!$B$21+'Inputs'!$B$9+'Inputs'!$B$10)+'Inputs'!$B$7)^2+('Inputs'!$B$6/2)^2)-(((608-43)*MAX('Inputs'!$B$33,'Inputs'!$B$29+'Inputs'!$B$31+'Inputs'!$B$32,'Inputs'!$B$30+'Inputs'!$B$31+'Inputs'!$B$32)/1000+'Inputs'!$B$21+'Inputs'!$B$9+'Inputs'!$B$10))/SQRT((((608-43)*MAX('Inputs'!$B$33,'Inputs'!$B$29+'Inputs'!$B$31+'Inputs'!$B$32,'Inputs'!$B$30+'Inputs'!$B$31+'Inputs'!$B$32)/1000+'Inputs'!$B$21+'Inputs'!$B$9+'Inputs'!$B$10))^2+('Inputs'!$B$6/2)^2))))*'Results'!$B$8))),"")</x:f>
        <x:v>2.2173648318499812</x:v>
      </x:c>
      <x:c r="O608" t="n">
        <x:f>IF(AND(ISNUMBER('Results'!C7),ISNUMBER('Results'!B7),ISNUMBER('Results'!$B$8),ISNUMBER('Inputs'!$B$6),ISNUMBER('Inputs'!$B$7),ISNUMBER('Inputs'!$B$8),ISNUMBER('Inputs'!$B$9),ISNUMBER('Inputs'!$B$10),ISNUMBER('Inputs'!$B$21),ISNUMBER('Inputs'!$B$24),ISNUMBER('Inputs'!$B$28)),((('Results'!C7*(1+'Inputs'!$B$24)*(0.5*((((608-43)*MAX('Inputs'!$B$33,'Inputs'!$B$29+'Inputs'!$B$31+'Inputs'!$B$32,'Inputs'!$B$30+'Inputs'!$B$31+'Inputs'!$B$32)/1000+'Inputs'!$B$21)+'Inputs'!$B$9)/SQRT((((608-43)*MAX('Inputs'!$B$33,'Inputs'!$B$29+'Inputs'!$B$31+'Inputs'!$B$32,'Inputs'!$B$30+'Inputs'!$B$31+'Inputs'!$B$32)/1000+'Inputs'!$B$21)+'Inputs'!$B$9)^2+('Inputs'!$B$8/2)^2)-(((608-43)*MAX('Inputs'!$B$33,'Inputs'!$B$29+'Inputs'!$B$31+'Inputs'!$B$32,'Inputs'!$B$30+'Inputs'!$B$31+'Inputs'!$B$32)/1000+'Inputs'!$B$21))/SQRT((((608-43)*MAX('Inputs'!$B$33,'Inputs'!$B$29+'Inputs'!$B$31+'Inputs'!$B$32,'Inputs'!$B$30+'Inputs'!$B$31+'Inputs'!$B$32)/1000+'Inputs'!$B$21))^2+('Inputs'!$B$8/2)^2)))-'Results'!B7*(1-'Inputs'!$B$24)*(0.5*((((608-43)*MAX('Inputs'!$B$33,'Inputs'!$B$29+'Inputs'!$B$31+'Inputs'!$B$32,'Inputs'!$B$30+'Inputs'!$B$31+'Inputs'!$B$32)/1000+'Inputs'!$B$21+'Inputs'!$B$9+'Inputs'!$B$10)+'Inputs'!$B$7)/SQRT((((608-43)*MAX('Inputs'!$B$33,'Inputs'!$B$29+'Inputs'!$B$31+'Inputs'!$B$32,'Inputs'!$B$30+'Inputs'!$B$31+'Inputs'!$B$32)/1000+'Inputs'!$B$21+'Inputs'!$B$9+'Inputs'!$B$10)+'Inputs'!$B$7)^2+('Inputs'!$B$6/2)^2)-(((608-43)*MAX('Inputs'!$B$33,'Inputs'!$B$29+'Inputs'!$B$31+'Inputs'!$B$32,'Inputs'!$B$30+'Inputs'!$B$31+'Inputs'!$B$32)/1000+'Inputs'!$B$21+'Inputs'!$B$9+'Inputs'!$B$10))/SQRT((((608-43)*MAX('Inputs'!$B$33,'Inputs'!$B$29+'Inputs'!$B$31+'Inputs'!$B$32,'Inputs'!$B$30+'Inputs'!$B$31+'Inputs'!$B$32)/1000+'Inputs'!$B$21+'Inputs'!$B$9+'Inputs'!$B$10))^2+('Inputs'!$B$6/2)^2))))*'Results'!$B$8)+'Inputs'!$B$28*ABS((('Results'!C7*(1+'Inputs'!$B$24)*(0.5*((((608-43)*MAX('Inputs'!$B$33,'Inputs'!$B$29+'Inputs'!$B$31+'Inputs'!$B$32,'Inputs'!$B$30+'Inputs'!$B$31+'Inputs'!$B$32)/1000+'Inputs'!$B$21)+'Inputs'!$B$9)/SQRT((((608-43)*MAX('Inputs'!$B$33,'Inputs'!$B$29+'Inputs'!$B$31+'Inputs'!$B$32,'Inputs'!$B$30+'Inputs'!$B$31+'Inputs'!$B$32)/1000+'Inputs'!$B$21)+'Inputs'!$B$9)^2+('Inputs'!$B$8/2)^2)-(((608-43)*MAX('Inputs'!$B$33,'Inputs'!$B$29+'Inputs'!$B$31+'Inputs'!$B$32,'Inputs'!$B$30+'Inputs'!$B$31+'Inputs'!$B$32)/1000+'Inputs'!$B$21))/SQRT((((608-43)*MAX('Inputs'!$B$33,'Inputs'!$B$29+'Inputs'!$B$31+'Inputs'!$B$32,'Inputs'!$B$30+'Inputs'!$B$31+'Inputs'!$B$32)/1000+'Inputs'!$B$21))^2+('Inputs'!$B$8/2)^2)))-'Results'!B7*(1-'Inputs'!$B$24)*(0.5*((((608-43)*MAX('Inputs'!$B$33,'Inputs'!$B$29+'Inputs'!$B$31+'Inputs'!$B$32,'Inputs'!$B$30+'Inputs'!$B$31+'Inputs'!$B$32)/1000+'Inputs'!$B$21+'Inputs'!$B$9+'Inputs'!$B$10)+'Inputs'!$B$7)/SQRT((((608-43)*MAX('Inputs'!$B$33,'Inputs'!$B$29+'Inputs'!$B$31+'Inputs'!$B$32,'Inputs'!$B$30+'Inputs'!$B$31+'Inputs'!$B$32)/1000+'Inputs'!$B$21+'Inputs'!$B$9+'Inputs'!$B$10)+'Inputs'!$B$7)^2+('Inputs'!$B$6/2)^2)-(((608-43)*MAX('Inputs'!$B$33,'Inputs'!$B$29+'Inputs'!$B$31+'Inputs'!$B$32,'Inputs'!$B$30+'Inputs'!$B$31+'Inputs'!$B$32)/1000+'Inputs'!$B$21+'Inputs'!$B$9+'Inputs'!$B$10))/SQRT((((608-43)*MAX('Inputs'!$B$33,'Inputs'!$B$29+'Inputs'!$B$31+'Inputs'!$B$32,'Inputs'!$B$30+'Inputs'!$B$31+'Inputs'!$B$32)/1000+'Inputs'!$B$21+'Inputs'!$B$9+'Inputs'!$B$10))^2+('Inputs'!$B$6/2)^2))))*'Results'!$B$8))),"")</x:f>
        <x:v>2.878189446249369</x:v>
      </x:c>
      <x:c r="P608" t="n">
        <x:f>IF(AND(MAX(J608,J607)&gt;0,J608&gt;J607+0.00000001),1,0)</x:f>
        <x:v>0</x:v>
      </x:c>
      <x:c r="Q608" t="n">
        <x:f>IF(AND(MAX(K608,K607)&gt;0,K608&gt;K607+0.00000001),1,0)</x:f>
        <x:v>0</x:v>
      </x:c>
      <x:c r="R608" t="n">
        <x:f>IF(AND(MAX(L608,L607)&gt;0,L608&gt;L607+0.00000001),1,0)</x:f>
        <x:v>0</x:v>
      </x:c>
      <x:c r="S608" t="n">
        <x:f>IF(AND(MAX(M608,M607)&gt;0,M608&gt;M607+0.00000001),1,0)</x:f>
        <x:v>0</x:v>
      </x:c>
      <x:c r="T608" t="n">
        <x:f>IF(AND(MAX(N608,N607)&gt;0,N608&gt;N607+0.00000001),1,0)</x:f>
        <x:v>0</x:v>
      </x:c>
      <x:c r="U608" t="n">
        <x:f>IF(AND(MAX(O608,O607)&gt;0,O608&gt;O607+0.00000001),1,0)</x:f>
        <x:v>0</x:v>
      </x:c>
    </x:row>
    <x:row r="609">
      <x:c r="J609" t="n">
        <x:f>IF(AND(ISNUMBER('Results'!B7),ISNUMBER('Results'!C7),ISNUMBER('Results'!$B$8),ISNUMBER('Inputs'!$B$6),ISNUMBER('Inputs'!$B$7),ISNUMBER('Inputs'!$B$8),ISNUMBER('Inputs'!$B$9),ISNUMBER('Inputs'!$B$10),ISNUMBER('Inputs'!$B$21),ISNUMBER('Inputs'!$B$24),ISNUMBER('Inputs'!$B$28)),(('Results'!B7*(0.5*((((609-43)*MAX('Inputs'!$B$33,'Inputs'!$B$29+'Inputs'!$B$31+'Inputs'!$B$32,'Inputs'!$B$30+'Inputs'!$B$31+'Inputs'!$B$32)/1000+'Inputs'!$B$21)+'Inputs'!$B$7)/SQRT((((609-43)*MAX('Inputs'!$B$33,'Inputs'!$B$29+'Inputs'!$B$31+'Inputs'!$B$32,'Inputs'!$B$30+'Inputs'!$B$31+'Inputs'!$B$32)/1000+'Inputs'!$B$21)+'Inputs'!$B$7)^2+('Inputs'!$B$6/2)^2)-(((609-43)*MAX('Inputs'!$B$33,'Inputs'!$B$29+'Inputs'!$B$31+'Inputs'!$B$32,'Inputs'!$B$30+'Inputs'!$B$31+'Inputs'!$B$32)/1000+'Inputs'!$B$21))/SQRT((((609-43)*MAX('Inputs'!$B$33,'Inputs'!$B$29+'Inputs'!$B$31+'Inputs'!$B$32,'Inputs'!$B$30+'Inputs'!$B$31+'Inputs'!$B$32)/1000+'Inputs'!$B$21))^2+('Inputs'!$B$6/2)^2)))-'Results'!C7*(0.5*((((609-43)*MAX('Inputs'!$B$33,'Inputs'!$B$29+'Inputs'!$B$31+'Inputs'!$B$32,'Inputs'!$B$30+'Inputs'!$B$31+'Inputs'!$B$32)/1000+'Inputs'!$B$21+'Inputs'!$B$7+'Inputs'!$B$10)+'Inputs'!$B$9)/SQRT((((609-43)*MAX('Inputs'!$B$33,'Inputs'!$B$29+'Inputs'!$B$31+'Inputs'!$B$32,'Inputs'!$B$30+'Inputs'!$B$31+'Inputs'!$B$32)/1000+'Inputs'!$B$21+'Inputs'!$B$7+'Inputs'!$B$10)+'Inputs'!$B$9)^2+('Inputs'!$B$8/2)^2)-(((609-43)*MAX('Inputs'!$B$33,'Inputs'!$B$29+'Inputs'!$B$31+'Inputs'!$B$32,'Inputs'!$B$30+'Inputs'!$B$31+'Inputs'!$B$32)/1000+'Inputs'!$B$21+'Inputs'!$B$7+'Inputs'!$B$10))/SQRT((((609-43)*MAX('Inputs'!$B$33,'Inputs'!$B$29+'Inputs'!$B$31+'Inputs'!$B$32,'Inputs'!$B$30+'Inputs'!$B$31+'Inputs'!$B$32)/1000+'Inputs'!$B$21+'Inputs'!$B$7+'Inputs'!$B$10))^2+('Inputs'!$B$8/2)^2))))*'Results'!$B$8),"")</x:f>
        <x:v>2.7269371092771446</x:v>
      </x:c>
      <x:c r="K609" t="n">
        <x:f>IF(AND(ISNUMBER('Results'!B7),ISNUMBER('Results'!C7),ISNUMBER('Results'!$B$8),ISNUMBER('Inputs'!$B$6),ISNUMBER('Inputs'!$B$7),ISNUMBER('Inputs'!$B$8),ISNUMBER('Inputs'!$B$9),ISNUMBER('Inputs'!$B$10),ISNUMBER('Inputs'!$B$21),ISNUMBER('Inputs'!$B$24),ISNUMBER('Inputs'!$B$28)),((('Results'!B7*(1-'Inputs'!$B$24)*(0.5*((((609-43)*MAX('Inputs'!$B$33,'Inputs'!$B$29+'Inputs'!$B$31+'Inputs'!$B$32,'Inputs'!$B$30+'Inputs'!$B$31+'Inputs'!$B$32)/1000+'Inputs'!$B$21)+'Inputs'!$B$7)/SQRT((((609-43)*MAX('Inputs'!$B$33,'Inputs'!$B$29+'Inputs'!$B$31+'Inputs'!$B$32,'Inputs'!$B$30+'Inputs'!$B$31+'Inputs'!$B$32)/1000+'Inputs'!$B$21)+'Inputs'!$B$7)^2+('Inputs'!$B$6/2)^2)-(((609-43)*MAX('Inputs'!$B$33,'Inputs'!$B$29+'Inputs'!$B$31+'Inputs'!$B$32,'Inputs'!$B$30+'Inputs'!$B$31+'Inputs'!$B$32)/1000+'Inputs'!$B$21))/SQRT((((609-43)*MAX('Inputs'!$B$33,'Inputs'!$B$29+'Inputs'!$B$31+'Inputs'!$B$32,'Inputs'!$B$30+'Inputs'!$B$31+'Inputs'!$B$32)/1000+'Inputs'!$B$21))^2+('Inputs'!$B$6/2)^2)))-'Results'!C7*(1+'Inputs'!$B$24)*(0.5*((((609-43)*MAX('Inputs'!$B$33,'Inputs'!$B$29+'Inputs'!$B$31+'Inputs'!$B$32,'Inputs'!$B$30+'Inputs'!$B$31+'Inputs'!$B$32)/1000+'Inputs'!$B$21+'Inputs'!$B$7+'Inputs'!$B$10)+'Inputs'!$B$9)/SQRT((((609-43)*MAX('Inputs'!$B$33,'Inputs'!$B$29+'Inputs'!$B$31+'Inputs'!$B$32,'Inputs'!$B$30+'Inputs'!$B$31+'Inputs'!$B$32)/1000+'Inputs'!$B$21+'Inputs'!$B$7+'Inputs'!$B$10)+'Inputs'!$B$9)^2+('Inputs'!$B$8/2)^2)-(((609-43)*MAX('Inputs'!$B$33,'Inputs'!$B$29+'Inputs'!$B$31+'Inputs'!$B$32,'Inputs'!$B$30+'Inputs'!$B$31+'Inputs'!$B$32)/1000+'Inputs'!$B$21+'Inputs'!$B$7+'Inputs'!$B$10))/SQRT((((609-43)*MAX('Inputs'!$B$33,'Inputs'!$B$29+'Inputs'!$B$31+'Inputs'!$B$32,'Inputs'!$B$30+'Inputs'!$B$31+'Inputs'!$B$32)/1000+'Inputs'!$B$21+'Inputs'!$B$7+'Inputs'!$B$10))^2+('Inputs'!$B$8/2)^2))))*'Results'!$B$8)-'Inputs'!$B$28*ABS((('Results'!B7*(1-'Inputs'!$B$24)*(0.5*((((609-43)*MAX('Inputs'!$B$33,'Inputs'!$B$29+'Inputs'!$B$31+'Inputs'!$B$32,'Inputs'!$B$30+'Inputs'!$B$31+'Inputs'!$B$32)/1000+'Inputs'!$B$21)+'Inputs'!$B$7)/SQRT((((609-43)*MAX('Inputs'!$B$33,'Inputs'!$B$29+'Inputs'!$B$31+'Inputs'!$B$32,'Inputs'!$B$30+'Inputs'!$B$31+'Inputs'!$B$32)/1000+'Inputs'!$B$21)+'Inputs'!$B$7)^2+('Inputs'!$B$6/2)^2)-(((609-43)*MAX('Inputs'!$B$33,'Inputs'!$B$29+'Inputs'!$B$31+'Inputs'!$B$32,'Inputs'!$B$30+'Inputs'!$B$31+'Inputs'!$B$32)/1000+'Inputs'!$B$21))/SQRT((((609-43)*MAX('Inputs'!$B$33,'Inputs'!$B$29+'Inputs'!$B$31+'Inputs'!$B$32,'Inputs'!$B$30+'Inputs'!$B$31+'Inputs'!$B$32)/1000+'Inputs'!$B$21))^2+('Inputs'!$B$6/2)^2)))-'Results'!C7*(1+'Inputs'!$B$24)*(0.5*((((609-43)*MAX('Inputs'!$B$33,'Inputs'!$B$29+'Inputs'!$B$31+'Inputs'!$B$32,'Inputs'!$B$30+'Inputs'!$B$31+'Inputs'!$B$32)/1000+'Inputs'!$B$21+'Inputs'!$B$7+'Inputs'!$B$10)+'Inputs'!$B$9)/SQRT((((609-43)*MAX('Inputs'!$B$33,'Inputs'!$B$29+'Inputs'!$B$31+'Inputs'!$B$32,'Inputs'!$B$30+'Inputs'!$B$31+'Inputs'!$B$32)/1000+'Inputs'!$B$21+'Inputs'!$B$7+'Inputs'!$B$10)+'Inputs'!$B$9)^2+('Inputs'!$B$8/2)^2)-(((609-43)*MAX('Inputs'!$B$33,'Inputs'!$B$29+'Inputs'!$B$31+'Inputs'!$B$32,'Inputs'!$B$30+'Inputs'!$B$31+'Inputs'!$B$32)/1000+'Inputs'!$B$21+'Inputs'!$B$7+'Inputs'!$B$10))/SQRT((((609-43)*MAX('Inputs'!$B$33,'Inputs'!$B$29+'Inputs'!$B$31+'Inputs'!$B$32,'Inputs'!$B$30+'Inputs'!$B$31+'Inputs'!$B$32)/1000+'Inputs'!$B$21+'Inputs'!$B$7+'Inputs'!$B$10))^2+('Inputs'!$B$8/2)^2))))*'Results'!$B$8))),"")</x:f>
        <x:v>2.3971411883743916</x:v>
      </x:c>
      <x:c r="L609" t="n">
        <x:f>IF(AND(ISNUMBER('Results'!B7),ISNUMBER('Results'!C7),ISNUMBER('Results'!$B$8),ISNUMBER('Inputs'!$B$6),ISNUMBER('Inputs'!$B$7),ISNUMBER('Inputs'!$B$8),ISNUMBER('Inputs'!$B$9),ISNUMBER('Inputs'!$B$10),ISNUMBER('Inputs'!$B$21),ISNUMBER('Inputs'!$B$24),ISNUMBER('Inputs'!$B$28)),((('Results'!B7*(1+'Inputs'!$B$24)*(0.5*((((609-43)*MAX('Inputs'!$B$33,'Inputs'!$B$29+'Inputs'!$B$31+'Inputs'!$B$32,'Inputs'!$B$30+'Inputs'!$B$31+'Inputs'!$B$32)/1000+'Inputs'!$B$21)+'Inputs'!$B$7)/SQRT((((609-43)*MAX('Inputs'!$B$33,'Inputs'!$B$29+'Inputs'!$B$31+'Inputs'!$B$32,'Inputs'!$B$30+'Inputs'!$B$31+'Inputs'!$B$32)/1000+'Inputs'!$B$21)+'Inputs'!$B$7)^2+('Inputs'!$B$6/2)^2)-(((609-43)*MAX('Inputs'!$B$33,'Inputs'!$B$29+'Inputs'!$B$31+'Inputs'!$B$32,'Inputs'!$B$30+'Inputs'!$B$31+'Inputs'!$B$32)/1000+'Inputs'!$B$21))/SQRT((((609-43)*MAX('Inputs'!$B$33,'Inputs'!$B$29+'Inputs'!$B$31+'Inputs'!$B$32,'Inputs'!$B$30+'Inputs'!$B$31+'Inputs'!$B$32)/1000+'Inputs'!$B$21))^2+('Inputs'!$B$6/2)^2)))-'Results'!C7*(1-'Inputs'!$B$24)*(0.5*((((609-43)*MAX('Inputs'!$B$33,'Inputs'!$B$29+'Inputs'!$B$31+'Inputs'!$B$32,'Inputs'!$B$30+'Inputs'!$B$31+'Inputs'!$B$32)/1000+'Inputs'!$B$21+'Inputs'!$B$7+'Inputs'!$B$10)+'Inputs'!$B$9)/SQRT((((609-43)*MAX('Inputs'!$B$33,'Inputs'!$B$29+'Inputs'!$B$31+'Inputs'!$B$32,'Inputs'!$B$30+'Inputs'!$B$31+'Inputs'!$B$32)/1000+'Inputs'!$B$21+'Inputs'!$B$7+'Inputs'!$B$10)+'Inputs'!$B$9)^2+('Inputs'!$B$8/2)^2)-(((609-43)*MAX('Inputs'!$B$33,'Inputs'!$B$29+'Inputs'!$B$31+'Inputs'!$B$32,'Inputs'!$B$30+'Inputs'!$B$31+'Inputs'!$B$32)/1000+'Inputs'!$B$21+'Inputs'!$B$7+'Inputs'!$B$10))/SQRT((((609-43)*MAX('Inputs'!$B$33,'Inputs'!$B$29+'Inputs'!$B$31+'Inputs'!$B$32,'Inputs'!$B$30+'Inputs'!$B$31+'Inputs'!$B$32)/1000+'Inputs'!$B$21+'Inputs'!$B$7+'Inputs'!$B$10))^2+('Inputs'!$B$8/2)^2))))*'Results'!$B$8)+'Inputs'!$B$28*ABS((('Results'!B7*(1+'Inputs'!$B$24)*(0.5*((((609-43)*MAX('Inputs'!$B$33,'Inputs'!$B$29+'Inputs'!$B$31+'Inputs'!$B$32,'Inputs'!$B$30+'Inputs'!$B$31+'Inputs'!$B$32)/1000+'Inputs'!$B$21)+'Inputs'!$B$7)/SQRT((((609-43)*MAX('Inputs'!$B$33,'Inputs'!$B$29+'Inputs'!$B$31+'Inputs'!$B$32,'Inputs'!$B$30+'Inputs'!$B$31+'Inputs'!$B$32)/1000+'Inputs'!$B$21)+'Inputs'!$B$7)^2+('Inputs'!$B$6/2)^2)-(((609-43)*MAX('Inputs'!$B$33,'Inputs'!$B$29+'Inputs'!$B$31+'Inputs'!$B$32,'Inputs'!$B$30+'Inputs'!$B$31+'Inputs'!$B$32)/1000+'Inputs'!$B$21))/SQRT((((609-43)*MAX('Inputs'!$B$33,'Inputs'!$B$29+'Inputs'!$B$31+'Inputs'!$B$32,'Inputs'!$B$30+'Inputs'!$B$31+'Inputs'!$B$32)/1000+'Inputs'!$B$21))^2+('Inputs'!$B$6/2)^2)))-'Results'!C7*(1-'Inputs'!$B$24)*(0.5*((((609-43)*MAX('Inputs'!$B$33,'Inputs'!$B$29+'Inputs'!$B$31+'Inputs'!$B$32,'Inputs'!$B$30+'Inputs'!$B$31+'Inputs'!$B$32)/1000+'Inputs'!$B$21+'Inputs'!$B$7+'Inputs'!$B$10)+'Inputs'!$B$9)/SQRT((((609-43)*MAX('Inputs'!$B$33,'Inputs'!$B$29+'Inputs'!$B$31+'Inputs'!$B$32,'Inputs'!$B$30+'Inputs'!$B$31+'Inputs'!$B$32)/1000+'Inputs'!$B$21+'Inputs'!$B$7+'Inputs'!$B$10)+'Inputs'!$B$9)^2+('Inputs'!$B$8/2)^2)-(((609-43)*MAX('Inputs'!$B$33,'Inputs'!$B$29+'Inputs'!$B$31+'Inputs'!$B$32,'Inputs'!$B$30+'Inputs'!$B$31+'Inputs'!$B$32)/1000+'Inputs'!$B$21+'Inputs'!$B$7+'Inputs'!$B$10))/SQRT((((609-43)*MAX('Inputs'!$B$33,'Inputs'!$B$29+'Inputs'!$B$31+'Inputs'!$B$32,'Inputs'!$B$30+'Inputs'!$B$31+'Inputs'!$B$32)/1000+'Inputs'!$B$21+'Inputs'!$B$7+'Inputs'!$B$10))^2+('Inputs'!$B$8/2)^2))))*'Results'!$B$8))),"")</x:f>
        <x:v>3.077096089699782</x:v>
      </x:c>
      <x:c r="M609" t="n">
        <x:f>IF(AND(ISNUMBER('Results'!C7),ISNUMBER('Results'!B7),ISNUMBER('Results'!$B$8),ISNUMBER('Inputs'!$B$6),ISNUMBER('Inputs'!$B$7),ISNUMBER('Inputs'!$B$8),ISNUMBER('Inputs'!$B$9),ISNUMBER('Inputs'!$B$10),ISNUMBER('Inputs'!$B$21),ISNUMBER('Inputs'!$B$24),ISNUMBER('Inputs'!$B$28)),(('Results'!C7*(0.5*((((609-43)*MAX('Inputs'!$B$33,'Inputs'!$B$29+'Inputs'!$B$31+'Inputs'!$B$32,'Inputs'!$B$30+'Inputs'!$B$31+'Inputs'!$B$32)/1000+'Inputs'!$B$21)+'Inputs'!$B$9)/SQRT((((609-43)*MAX('Inputs'!$B$33,'Inputs'!$B$29+'Inputs'!$B$31+'Inputs'!$B$32,'Inputs'!$B$30+'Inputs'!$B$31+'Inputs'!$B$32)/1000+'Inputs'!$B$21)+'Inputs'!$B$9)^2+('Inputs'!$B$8/2)^2)-(((609-43)*MAX('Inputs'!$B$33,'Inputs'!$B$29+'Inputs'!$B$31+'Inputs'!$B$32,'Inputs'!$B$30+'Inputs'!$B$31+'Inputs'!$B$32)/1000+'Inputs'!$B$21))/SQRT((((609-43)*MAX('Inputs'!$B$33,'Inputs'!$B$29+'Inputs'!$B$31+'Inputs'!$B$32,'Inputs'!$B$30+'Inputs'!$B$31+'Inputs'!$B$32)/1000+'Inputs'!$B$21))^2+('Inputs'!$B$8/2)^2)))-'Results'!B7*(0.5*((((609-43)*MAX('Inputs'!$B$33,'Inputs'!$B$29+'Inputs'!$B$31+'Inputs'!$B$32,'Inputs'!$B$30+'Inputs'!$B$31+'Inputs'!$B$32)/1000+'Inputs'!$B$21+'Inputs'!$B$9+'Inputs'!$B$10)+'Inputs'!$B$7)/SQRT((((609-43)*MAX('Inputs'!$B$33,'Inputs'!$B$29+'Inputs'!$B$31+'Inputs'!$B$32,'Inputs'!$B$30+'Inputs'!$B$31+'Inputs'!$B$32)/1000+'Inputs'!$B$21+'Inputs'!$B$9+'Inputs'!$B$10)+'Inputs'!$B$7)^2+('Inputs'!$B$6/2)^2)-(((609-43)*MAX('Inputs'!$B$33,'Inputs'!$B$29+'Inputs'!$B$31+'Inputs'!$B$32,'Inputs'!$B$30+'Inputs'!$B$31+'Inputs'!$B$32)/1000+'Inputs'!$B$21+'Inputs'!$B$9+'Inputs'!$B$10))/SQRT((((609-43)*MAX('Inputs'!$B$33,'Inputs'!$B$29+'Inputs'!$B$31+'Inputs'!$B$32,'Inputs'!$B$30+'Inputs'!$B$31+'Inputs'!$B$32)/1000+'Inputs'!$B$21+'Inputs'!$B$9+'Inputs'!$B$10))^2+('Inputs'!$B$6/2)^2))))*'Results'!$B$8),"")</x:f>
        <x:v>2.5217851686393957</x:v>
      </x:c>
      <x:c r="N609" t="n">
        <x:f>IF(AND(ISNUMBER('Results'!C7),ISNUMBER('Results'!B7),ISNUMBER('Results'!$B$8),ISNUMBER('Inputs'!$B$6),ISNUMBER('Inputs'!$B$7),ISNUMBER('Inputs'!$B$8),ISNUMBER('Inputs'!$B$9),ISNUMBER('Inputs'!$B$10),ISNUMBER('Inputs'!$B$21),ISNUMBER('Inputs'!$B$24),ISNUMBER('Inputs'!$B$28)),((('Results'!C7*(1-'Inputs'!$B$24)*(0.5*((((609-43)*MAX('Inputs'!$B$33,'Inputs'!$B$29+'Inputs'!$B$31+'Inputs'!$B$32,'Inputs'!$B$30+'Inputs'!$B$31+'Inputs'!$B$32)/1000+'Inputs'!$B$21)+'Inputs'!$B$9)/SQRT((((609-43)*MAX('Inputs'!$B$33,'Inputs'!$B$29+'Inputs'!$B$31+'Inputs'!$B$32,'Inputs'!$B$30+'Inputs'!$B$31+'Inputs'!$B$32)/1000+'Inputs'!$B$21)+'Inputs'!$B$9)^2+('Inputs'!$B$8/2)^2)-(((609-43)*MAX('Inputs'!$B$33,'Inputs'!$B$29+'Inputs'!$B$31+'Inputs'!$B$32,'Inputs'!$B$30+'Inputs'!$B$31+'Inputs'!$B$32)/1000+'Inputs'!$B$21))/SQRT((((609-43)*MAX('Inputs'!$B$33,'Inputs'!$B$29+'Inputs'!$B$31+'Inputs'!$B$32,'Inputs'!$B$30+'Inputs'!$B$31+'Inputs'!$B$32)/1000+'Inputs'!$B$21))^2+('Inputs'!$B$8/2)^2)))-'Results'!B7*(1+'Inputs'!$B$24)*(0.5*((((609-43)*MAX('Inputs'!$B$33,'Inputs'!$B$29+'Inputs'!$B$31+'Inputs'!$B$32,'Inputs'!$B$30+'Inputs'!$B$31+'Inputs'!$B$32)/1000+'Inputs'!$B$21+'Inputs'!$B$9+'Inputs'!$B$10)+'Inputs'!$B$7)/SQRT((((609-43)*MAX('Inputs'!$B$33,'Inputs'!$B$29+'Inputs'!$B$31+'Inputs'!$B$32,'Inputs'!$B$30+'Inputs'!$B$31+'Inputs'!$B$32)/1000+'Inputs'!$B$21+'Inputs'!$B$9+'Inputs'!$B$10)+'Inputs'!$B$7)^2+('Inputs'!$B$6/2)^2)-(((609-43)*MAX('Inputs'!$B$33,'Inputs'!$B$29+'Inputs'!$B$31+'Inputs'!$B$32,'Inputs'!$B$30+'Inputs'!$B$31+'Inputs'!$B$32)/1000+'Inputs'!$B$21+'Inputs'!$B$9+'Inputs'!$B$10))/SQRT((((609-43)*MAX('Inputs'!$B$33,'Inputs'!$B$29+'Inputs'!$B$31+'Inputs'!$B$32,'Inputs'!$B$30+'Inputs'!$B$31+'Inputs'!$B$32)/1000+'Inputs'!$B$21+'Inputs'!$B$9+'Inputs'!$B$10))^2+('Inputs'!$B$6/2)^2))))*'Results'!$B$8)-'Inputs'!$B$28*ABS((('Results'!C7*(1-'Inputs'!$B$24)*(0.5*((((609-43)*MAX('Inputs'!$B$33,'Inputs'!$B$29+'Inputs'!$B$31+'Inputs'!$B$32,'Inputs'!$B$30+'Inputs'!$B$31+'Inputs'!$B$32)/1000+'Inputs'!$B$21)+'Inputs'!$B$9)/SQRT((((609-43)*MAX('Inputs'!$B$33,'Inputs'!$B$29+'Inputs'!$B$31+'Inputs'!$B$32,'Inputs'!$B$30+'Inputs'!$B$31+'Inputs'!$B$32)/1000+'Inputs'!$B$21)+'Inputs'!$B$9)^2+('Inputs'!$B$8/2)^2)-(((609-43)*MAX('Inputs'!$B$33,'Inputs'!$B$29+'Inputs'!$B$31+'Inputs'!$B$32,'Inputs'!$B$30+'Inputs'!$B$31+'Inputs'!$B$32)/1000+'Inputs'!$B$21))/SQRT((((609-43)*MAX('Inputs'!$B$33,'Inputs'!$B$29+'Inputs'!$B$31+'Inputs'!$B$32,'Inputs'!$B$30+'Inputs'!$B$31+'Inputs'!$B$32)/1000+'Inputs'!$B$21))^2+('Inputs'!$B$8/2)^2)))-'Results'!B7*(1+'Inputs'!$B$24)*(0.5*((((609-43)*MAX('Inputs'!$B$33,'Inputs'!$B$29+'Inputs'!$B$31+'Inputs'!$B$32,'Inputs'!$B$30+'Inputs'!$B$31+'Inputs'!$B$32)/1000+'Inputs'!$B$21+'Inputs'!$B$9+'Inputs'!$B$10)+'Inputs'!$B$7)/SQRT((((609-43)*MAX('Inputs'!$B$33,'Inputs'!$B$29+'Inputs'!$B$31+'Inputs'!$B$32,'Inputs'!$B$30+'Inputs'!$B$31+'Inputs'!$B$32)/1000+'Inputs'!$B$21+'Inputs'!$B$9+'Inputs'!$B$10)+'Inputs'!$B$7)^2+('Inputs'!$B$6/2)^2)-(((609-43)*MAX('Inputs'!$B$33,'Inputs'!$B$29+'Inputs'!$B$31+'Inputs'!$B$32,'Inputs'!$B$30+'Inputs'!$B$31+'Inputs'!$B$32)/1000+'Inputs'!$B$21+'Inputs'!$B$9+'Inputs'!$B$10))/SQRT((((609-43)*MAX('Inputs'!$B$33,'Inputs'!$B$29+'Inputs'!$B$31+'Inputs'!$B$32,'Inputs'!$B$30+'Inputs'!$B$31+'Inputs'!$B$32)/1000+'Inputs'!$B$21+'Inputs'!$B$9+'Inputs'!$B$10))^2+('Inputs'!$B$6/2)^2))))*'Results'!$B$8))),"")</x:f>
        <x:v>2.2032541753067156</x:v>
      </x:c>
      <x:c r="O609" t="n">
        <x:f>IF(AND(ISNUMBER('Results'!C7),ISNUMBER('Results'!B7),ISNUMBER('Results'!$B$8),ISNUMBER('Inputs'!$B$6),ISNUMBER('Inputs'!$B$7),ISNUMBER('Inputs'!$B$8),ISNUMBER('Inputs'!$B$9),ISNUMBER('Inputs'!$B$10),ISNUMBER('Inputs'!$B$21),ISNUMBER('Inputs'!$B$24),ISNUMBER('Inputs'!$B$28)),((('Results'!C7*(1+'Inputs'!$B$24)*(0.5*((((609-43)*MAX('Inputs'!$B$33,'Inputs'!$B$29+'Inputs'!$B$31+'Inputs'!$B$32,'Inputs'!$B$30+'Inputs'!$B$31+'Inputs'!$B$32)/1000+'Inputs'!$B$21)+'Inputs'!$B$9)/SQRT((((609-43)*MAX('Inputs'!$B$33,'Inputs'!$B$29+'Inputs'!$B$31+'Inputs'!$B$32,'Inputs'!$B$30+'Inputs'!$B$31+'Inputs'!$B$32)/1000+'Inputs'!$B$21)+'Inputs'!$B$9)^2+('Inputs'!$B$8/2)^2)-(((609-43)*MAX('Inputs'!$B$33,'Inputs'!$B$29+'Inputs'!$B$31+'Inputs'!$B$32,'Inputs'!$B$30+'Inputs'!$B$31+'Inputs'!$B$32)/1000+'Inputs'!$B$21))/SQRT((((609-43)*MAX('Inputs'!$B$33,'Inputs'!$B$29+'Inputs'!$B$31+'Inputs'!$B$32,'Inputs'!$B$30+'Inputs'!$B$31+'Inputs'!$B$32)/1000+'Inputs'!$B$21))^2+('Inputs'!$B$8/2)^2)))-'Results'!B7*(1-'Inputs'!$B$24)*(0.5*((((609-43)*MAX('Inputs'!$B$33,'Inputs'!$B$29+'Inputs'!$B$31+'Inputs'!$B$32,'Inputs'!$B$30+'Inputs'!$B$31+'Inputs'!$B$32)/1000+'Inputs'!$B$21+'Inputs'!$B$9+'Inputs'!$B$10)+'Inputs'!$B$7)/SQRT((((609-43)*MAX('Inputs'!$B$33,'Inputs'!$B$29+'Inputs'!$B$31+'Inputs'!$B$32,'Inputs'!$B$30+'Inputs'!$B$31+'Inputs'!$B$32)/1000+'Inputs'!$B$21+'Inputs'!$B$9+'Inputs'!$B$10)+'Inputs'!$B$7)^2+('Inputs'!$B$6/2)^2)-(((609-43)*MAX('Inputs'!$B$33,'Inputs'!$B$29+'Inputs'!$B$31+'Inputs'!$B$32,'Inputs'!$B$30+'Inputs'!$B$31+'Inputs'!$B$32)/1000+'Inputs'!$B$21+'Inputs'!$B$9+'Inputs'!$B$10))/SQRT((((609-43)*MAX('Inputs'!$B$33,'Inputs'!$B$29+'Inputs'!$B$31+'Inputs'!$B$32,'Inputs'!$B$30+'Inputs'!$B$31+'Inputs'!$B$32)/1000+'Inputs'!$B$21+'Inputs'!$B$9+'Inputs'!$B$10))^2+('Inputs'!$B$6/2)^2))))*'Results'!$B$8)+'Inputs'!$B$28*ABS((('Results'!C7*(1+'Inputs'!$B$24)*(0.5*((((609-43)*MAX('Inputs'!$B$33,'Inputs'!$B$29+'Inputs'!$B$31+'Inputs'!$B$32,'Inputs'!$B$30+'Inputs'!$B$31+'Inputs'!$B$32)/1000+'Inputs'!$B$21)+'Inputs'!$B$9)/SQRT((((609-43)*MAX('Inputs'!$B$33,'Inputs'!$B$29+'Inputs'!$B$31+'Inputs'!$B$32,'Inputs'!$B$30+'Inputs'!$B$31+'Inputs'!$B$32)/1000+'Inputs'!$B$21)+'Inputs'!$B$9)^2+('Inputs'!$B$8/2)^2)-(((609-43)*MAX('Inputs'!$B$33,'Inputs'!$B$29+'Inputs'!$B$31+'Inputs'!$B$32,'Inputs'!$B$30+'Inputs'!$B$31+'Inputs'!$B$32)/1000+'Inputs'!$B$21))/SQRT((((609-43)*MAX('Inputs'!$B$33,'Inputs'!$B$29+'Inputs'!$B$31+'Inputs'!$B$32,'Inputs'!$B$30+'Inputs'!$B$31+'Inputs'!$B$32)/1000+'Inputs'!$B$21))^2+('Inputs'!$B$8/2)^2)))-'Results'!B7*(1-'Inputs'!$B$24)*(0.5*((((609-43)*MAX('Inputs'!$B$33,'Inputs'!$B$29+'Inputs'!$B$31+'Inputs'!$B$32,'Inputs'!$B$30+'Inputs'!$B$31+'Inputs'!$B$32)/1000+'Inputs'!$B$21+'Inputs'!$B$9+'Inputs'!$B$10)+'Inputs'!$B$7)/SQRT((((609-43)*MAX('Inputs'!$B$33,'Inputs'!$B$29+'Inputs'!$B$31+'Inputs'!$B$32,'Inputs'!$B$30+'Inputs'!$B$31+'Inputs'!$B$32)/1000+'Inputs'!$B$21+'Inputs'!$B$9+'Inputs'!$B$10)+'Inputs'!$B$7)^2+('Inputs'!$B$6/2)^2)-(((609-43)*MAX('Inputs'!$B$33,'Inputs'!$B$29+'Inputs'!$B$31+'Inputs'!$B$32,'Inputs'!$B$30+'Inputs'!$B$31+'Inputs'!$B$32)/1000+'Inputs'!$B$21+'Inputs'!$B$9+'Inputs'!$B$10))/SQRT((((609-43)*MAX('Inputs'!$B$33,'Inputs'!$B$29+'Inputs'!$B$31+'Inputs'!$B$32,'Inputs'!$B$30+'Inputs'!$B$31+'Inputs'!$B$32)/1000+'Inputs'!$B$21+'Inputs'!$B$9+'Inputs'!$B$10))^2+('Inputs'!$B$6/2)^2))))*'Results'!$B$8))),"")</x:f>
        <x:v>2.860573186698466</x:v>
      </x:c>
      <x:c r="P609" t="n">
        <x:f>IF(AND(MAX(J609,J608)&gt;0,J609&gt;J608+0.00000001),1,0)</x:f>
        <x:v>0</x:v>
      </x:c>
      <x:c r="Q609" t="n">
        <x:f>IF(AND(MAX(K609,K608)&gt;0,K609&gt;K608+0.00000001),1,0)</x:f>
        <x:v>0</x:v>
      </x:c>
      <x:c r="R609" t="n">
        <x:f>IF(AND(MAX(L609,L608)&gt;0,L609&gt;L608+0.00000001),1,0)</x:f>
        <x:v>0</x:v>
      </x:c>
      <x:c r="S609" t="n">
        <x:f>IF(AND(MAX(M609,M608)&gt;0,M609&gt;M608+0.00000001),1,0)</x:f>
        <x:v>0</x:v>
      </x:c>
      <x:c r="T609" t="n">
        <x:f>IF(AND(MAX(N609,N608)&gt;0,N609&gt;N608+0.00000001),1,0)</x:f>
        <x:v>0</x:v>
      </x:c>
      <x:c r="U609" t="n">
        <x:f>IF(AND(MAX(O609,O608)&gt;0,O609&gt;O608+0.00000001),1,0)</x:f>
        <x:v>0</x:v>
      </x:c>
    </x:row>
    <x:row r="610">
      <x:c r="J610" t="n">
        <x:f>IF(AND(ISNUMBER('Results'!B7),ISNUMBER('Results'!C7),ISNUMBER('Results'!$B$8),ISNUMBER('Inputs'!$B$6),ISNUMBER('Inputs'!$B$7),ISNUMBER('Inputs'!$B$8),ISNUMBER('Inputs'!$B$9),ISNUMBER('Inputs'!$B$10),ISNUMBER('Inputs'!$B$21),ISNUMBER('Inputs'!$B$24),ISNUMBER('Inputs'!$B$28)),(('Results'!B7*(0.5*((((610-43)*MAX('Inputs'!$B$33,'Inputs'!$B$29+'Inputs'!$B$31+'Inputs'!$B$32,'Inputs'!$B$30+'Inputs'!$B$31+'Inputs'!$B$32)/1000+'Inputs'!$B$21)+'Inputs'!$B$7)/SQRT((((610-43)*MAX('Inputs'!$B$33,'Inputs'!$B$29+'Inputs'!$B$31+'Inputs'!$B$32,'Inputs'!$B$30+'Inputs'!$B$31+'Inputs'!$B$32)/1000+'Inputs'!$B$21)+'Inputs'!$B$7)^2+('Inputs'!$B$6/2)^2)-(((610-43)*MAX('Inputs'!$B$33,'Inputs'!$B$29+'Inputs'!$B$31+'Inputs'!$B$32,'Inputs'!$B$30+'Inputs'!$B$31+'Inputs'!$B$32)/1000+'Inputs'!$B$21))/SQRT((((610-43)*MAX('Inputs'!$B$33,'Inputs'!$B$29+'Inputs'!$B$31+'Inputs'!$B$32,'Inputs'!$B$30+'Inputs'!$B$31+'Inputs'!$B$32)/1000+'Inputs'!$B$21))^2+('Inputs'!$B$6/2)^2)))-'Results'!C7*(0.5*((((610-43)*MAX('Inputs'!$B$33,'Inputs'!$B$29+'Inputs'!$B$31+'Inputs'!$B$32,'Inputs'!$B$30+'Inputs'!$B$31+'Inputs'!$B$32)/1000+'Inputs'!$B$21+'Inputs'!$B$7+'Inputs'!$B$10)+'Inputs'!$B$9)/SQRT((((610-43)*MAX('Inputs'!$B$33,'Inputs'!$B$29+'Inputs'!$B$31+'Inputs'!$B$32,'Inputs'!$B$30+'Inputs'!$B$31+'Inputs'!$B$32)/1000+'Inputs'!$B$21+'Inputs'!$B$7+'Inputs'!$B$10)+'Inputs'!$B$9)^2+('Inputs'!$B$8/2)^2)-(((610-43)*MAX('Inputs'!$B$33,'Inputs'!$B$29+'Inputs'!$B$31+'Inputs'!$B$32,'Inputs'!$B$30+'Inputs'!$B$31+'Inputs'!$B$32)/1000+'Inputs'!$B$21+'Inputs'!$B$7+'Inputs'!$B$10))/SQRT((((610-43)*MAX('Inputs'!$B$33,'Inputs'!$B$29+'Inputs'!$B$31+'Inputs'!$B$32,'Inputs'!$B$30+'Inputs'!$B$31+'Inputs'!$B$32)/1000+'Inputs'!$B$21+'Inputs'!$B$7+'Inputs'!$B$10))^2+('Inputs'!$B$8/2)^2))))*'Results'!$B$8),"")</x:f>
        <x:v>2.7102752095270626</x:v>
      </x:c>
      <x:c r="K610" t="n">
        <x:f>IF(AND(ISNUMBER('Results'!B7),ISNUMBER('Results'!C7),ISNUMBER('Results'!$B$8),ISNUMBER('Inputs'!$B$6),ISNUMBER('Inputs'!$B$7),ISNUMBER('Inputs'!$B$8),ISNUMBER('Inputs'!$B$9),ISNUMBER('Inputs'!$B$10),ISNUMBER('Inputs'!$B$21),ISNUMBER('Inputs'!$B$24),ISNUMBER('Inputs'!$B$28)),((('Results'!B7*(1-'Inputs'!$B$24)*(0.5*((((610-43)*MAX('Inputs'!$B$33,'Inputs'!$B$29+'Inputs'!$B$31+'Inputs'!$B$32,'Inputs'!$B$30+'Inputs'!$B$31+'Inputs'!$B$32)/1000+'Inputs'!$B$21)+'Inputs'!$B$7)/SQRT((((610-43)*MAX('Inputs'!$B$33,'Inputs'!$B$29+'Inputs'!$B$31+'Inputs'!$B$32,'Inputs'!$B$30+'Inputs'!$B$31+'Inputs'!$B$32)/1000+'Inputs'!$B$21)+'Inputs'!$B$7)^2+('Inputs'!$B$6/2)^2)-(((610-43)*MAX('Inputs'!$B$33,'Inputs'!$B$29+'Inputs'!$B$31+'Inputs'!$B$32,'Inputs'!$B$30+'Inputs'!$B$31+'Inputs'!$B$32)/1000+'Inputs'!$B$21))/SQRT((((610-43)*MAX('Inputs'!$B$33,'Inputs'!$B$29+'Inputs'!$B$31+'Inputs'!$B$32,'Inputs'!$B$30+'Inputs'!$B$31+'Inputs'!$B$32)/1000+'Inputs'!$B$21))^2+('Inputs'!$B$6/2)^2)))-'Results'!C7*(1+'Inputs'!$B$24)*(0.5*((((610-43)*MAX('Inputs'!$B$33,'Inputs'!$B$29+'Inputs'!$B$31+'Inputs'!$B$32,'Inputs'!$B$30+'Inputs'!$B$31+'Inputs'!$B$32)/1000+'Inputs'!$B$21+'Inputs'!$B$7+'Inputs'!$B$10)+'Inputs'!$B$9)/SQRT((((610-43)*MAX('Inputs'!$B$33,'Inputs'!$B$29+'Inputs'!$B$31+'Inputs'!$B$32,'Inputs'!$B$30+'Inputs'!$B$31+'Inputs'!$B$32)/1000+'Inputs'!$B$21+'Inputs'!$B$7+'Inputs'!$B$10)+'Inputs'!$B$9)^2+('Inputs'!$B$8/2)^2)-(((610-43)*MAX('Inputs'!$B$33,'Inputs'!$B$29+'Inputs'!$B$31+'Inputs'!$B$32,'Inputs'!$B$30+'Inputs'!$B$31+'Inputs'!$B$32)/1000+'Inputs'!$B$21+'Inputs'!$B$7+'Inputs'!$B$10))/SQRT((((610-43)*MAX('Inputs'!$B$33,'Inputs'!$B$29+'Inputs'!$B$31+'Inputs'!$B$32,'Inputs'!$B$30+'Inputs'!$B$31+'Inputs'!$B$32)/1000+'Inputs'!$B$21+'Inputs'!$B$7+'Inputs'!$B$10))^2+('Inputs'!$B$8/2)^2))))*'Results'!$B$8)-'Inputs'!$B$28*ABS((('Results'!B7*(1-'Inputs'!$B$24)*(0.5*((((610-43)*MAX('Inputs'!$B$33,'Inputs'!$B$29+'Inputs'!$B$31+'Inputs'!$B$32,'Inputs'!$B$30+'Inputs'!$B$31+'Inputs'!$B$32)/1000+'Inputs'!$B$21)+'Inputs'!$B$7)/SQRT((((610-43)*MAX('Inputs'!$B$33,'Inputs'!$B$29+'Inputs'!$B$31+'Inputs'!$B$32,'Inputs'!$B$30+'Inputs'!$B$31+'Inputs'!$B$32)/1000+'Inputs'!$B$21)+'Inputs'!$B$7)^2+('Inputs'!$B$6/2)^2)-(((610-43)*MAX('Inputs'!$B$33,'Inputs'!$B$29+'Inputs'!$B$31+'Inputs'!$B$32,'Inputs'!$B$30+'Inputs'!$B$31+'Inputs'!$B$32)/1000+'Inputs'!$B$21))/SQRT((((610-43)*MAX('Inputs'!$B$33,'Inputs'!$B$29+'Inputs'!$B$31+'Inputs'!$B$32,'Inputs'!$B$30+'Inputs'!$B$31+'Inputs'!$B$32)/1000+'Inputs'!$B$21))^2+('Inputs'!$B$6/2)^2)))-'Results'!C7*(1+'Inputs'!$B$24)*(0.5*((((610-43)*MAX('Inputs'!$B$33,'Inputs'!$B$29+'Inputs'!$B$31+'Inputs'!$B$32,'Inputs'!$B$30+'Inputs'!$B$31+'Inputs'!$B$32)/1000+'Inputs'!$B$21+'Inputs'!$B$7+'Inputs'!$B$10)+'Inputs'!$B$9)/SQRT((((610-43)*MAX('Inputs'!$B$33,'Inputs'!$B$29+'Inputs'!$B$31+'Inputs'!$B$32,'Inputs'!$B$30+'Inputs'!$B$31+'Inputs'!$B$32)/1000+'Inputs'!$B$21+'Inputs'!$B$7+'Inputs'!$B$10)+'Inputs'!$B$9)^2+('Inputs'!$B$8/2)^2)-(((610-43)*MAX('Inputs'!$B$33,'Inputs'!$B$29+'Inputs'!$B$31+'Inputs'!$B$32,'Inputs'!$B$30+'Inputs'!$B$31+'Inputs'!$B$32)/1000+'Inputs'!$B$21+'Inputs'!$B$7+'Inputs'!$B$10))/SQRT((((610-43)*MAX('Inputs'!$B$33,'Inputs'!$B$29+'Inputs'!$B$31+'Inputs'!$B$32,'Inputs'!$B$30+'Inputs'!$B$31+'Inputs'!$B$32)/1000+'Inputs'!$B$21+'Inputs'!$B$7+'Inputs'!$B$10))^2+('Inputs'!$B$8/2)^2))))*'Results'!$B$8))),"")</x:f>
        <x:v>2.3822267580781222</x:v>
      </x:c>
      <x:c r="L610" t="n">
        <x:f>IF(AND(ISNUMBER('Results'!B7),ISNUMBER('Results'!C7),ISNUMBER('Results'!$B$8),ISNUMBER('Inputs'!$B$6),ISNUMBER('Inputs'!$B$7),ISNUMBER('Inputs'!$B$8),ISNUMBER('Inputs'!$B$9),ISNUMBER('Inputs'!$B$10),ISNUMBER('Inputs'!$B$21),ISNUMBER('Inputs'!$B$24),ISNUMBER('Inputs'!$B$28)),((('Results'!B7*(1+'Inputs'!$B$24)*(0.5*((((610-43)*MAX('Inputs'!$B$33,'Inputs'!$B$29+'Inputs'!$B$31+'Inputs'!$B$32,'Inputs'!$B$30+'Inputs'!$B$31+'Inputs'!$B$32)/1000+'Inputs'!$B$21)+'Inputs'!$B$7)/SQRT((((610-43)*MAX('Inputs'!$B$33,'Inputs'!$B$29+'Inputs'!$B$31+'Inputs'!$B$32,'Inputs'!$B$30+'Inputs'!$B$31+'Inputs'!$B$32)/1000+'Inputs'!$B$21)+'Inputs'!$B$7)^2+('Inputs'!$B$6/2)^2)-(((610-43)*MAX('Inputs'!$B$33,'Inputs'!$B$29+'Inputs'!$B$31+'Inputs'!$B$32,'Inputs'!$B$30+'Inputs'!$B$31+'Inputs'!$B$32)/1000+'Inputs'!$B$21))/SQRT((((610-43)*MAX('Inputs'!$B$33,'Inputs'!$B$29+'Inputs'!$B$31+'Inputs'!$B$32,'Inputs'!$B$30+'Inputs'!$B$31+'Inputs'!$B$32)/1000+'Inputs'!$B$21))^2+('Inputs'!$B$6/2)^2)))-'Results'!C7*(1-'Inputs'!$B$24)*(0.5*((((610-43)*MAX('Inputs'!$B$33,'Inputs'!$B$29+'Inputs'!$B$31+'Inputs'!$B$32,'Inputs'!$B$30+'Inputs'!$B$31+'Inputs'!$B$32)/1000+'Inputs'!$B$21+'Inputs'!$B$7+'Inputs'!$B$10)+'Inputs'!$B$9)/SQRT((((610-43)*MAX('Inputs'!$B$33,'Inputs'!$B$29+'Inputs'!$B$31+'Inputs'!$B$32,'Inputs'!$B$30+'Inputs'!$B$31+'Inputs'!$B$32)/1000+'Inputs'!$B$21+'Inputs'!$B$7+'Inputs'!$B$10)+'Inputs'!$B$9)^2+('Inputs'!$B$8/2)^2)-(((610-43)*MAX('Inputs'!$B$33,'Inputs'!$B$29+'Inputs'!$B$31+'Inputs'!$B$32,'Inputs'!$B$30+'Inputs'!$B$31+'Inputs'!$B$32)/1000+'Inputs'!$B$21+'Inputs'!$B$7+'Inputs'!$B$10))/SQRT((((610-43)*MAX('Inputs'!$B$33,'Inputs'!$B$29+'Inputs'!$B$31+'Inputs'!$B$32,'Inputs'!$B$30+'Inputs'!$B$31+'Inputs'!$B$32)/1000+'Inputs'!$B$21+'Inputs'!$B$7+'Inputs'!$B$10))^2+('Inputs'!$B$8/2)^2))))*'Results'!$B$8)+'Inputs'!$B$28*ABS((('Results'!B7*(1+'Inputs'!$B$24)*(0.5*((((610-43)*MAX('Inputs'!$B$33,'Inputs'!$B$29+'Inputs'!$B$31+'Inputs'!$B$32,'Inputs'!$B$30+'Inputs'!$B$31+'Inputs'!$B$32)/1000+'Inputs'!$B$21)+'Inputs'!$B$7)/SQRT((((610-43)*MAX('Inputs'!$B$33,'Inputs'!$B$29+'Inputs'!$B$31+'Inputs'!$B$32,'Inputs'!$B$30+'Inputs'!$B$31+'Inputs'!$B$32)/1000+'Inputs'!$B$21)+'Inputs'!$B$7)^2+('Inputs'!$B$6/2)^2)-(((610-43)*MAX('Inputs'!$B$33,'Inputs'!$B$29+'Inputs'!$B$31+'Inputs'!$B$32,'Inputs'!$B$30+'Inputs'!$B$31+'Inputs'!$B$32)/1000+'Inputs'!$B$21))/SQRT((((610-43)*MAX('Inputs'!$B$33,'Inputs'!$B$29+'Inputs'!$B$31+'Inputs'!$B$32,'Inputs'!$B$30+'Inputs'!$B$31+'Inputs'!$B$32)/1000+'Inputs'!$B$21))^2+('Inputs'!$B$6/2)^2)))-'Results'!C7*(1-'Inputs'!$B$24)*(0.5*((((610-43)*MAX('Inputs'!$B$33,'Inputs'!$B$29+'Inputs'!$B$31+'Inputs'!$B$32,'Inputs'!$B$30+'Inputs'!$B$31+'Inputs'!$B$32)/1000+'Inputs'!$B$21+'Inputs'!$B$7+'Inputs'!$B$10)+'Inputs'!$B$9)/SQRT((((610-43)*MAX('Inputs'!$B$33,'Inputs'!$B$29+'Inputs'!$B$31+'Inputs'!$B$32,'Inputs'!$B$30+'Inputs'!$B$31+'Inputs'!$B$32)/1000+'Inputs'!$B$21+'Inputs'!$B$7+'Inputs'!$B$10)+'Inputs'!$B$9)^2+('Inputs'!$B$8/2)^2)-(((610-43)*MAX('Inputs'!$B$33,'Inputs'!$B$29+'Inputs'!$B$31+'Inputs'!$B$32,'Inputs'!$B$30+'Inputs'!$B$31+'Inputs'!$B$32)/1000+'Inputs'!$B$21+'Inputs'!$B$7+'Inputs'!$B$10))/SQRT((((610-43)*MAX('Inputs'!$B$33,'Inputs'!$B$29+'Inputs'!$B$31+'Inputs'!$B$32,'Inputs'!$B$30+'Inputs'!$B$31+'Inputs'!$B$32)/1000+'Inputs'!$B$21+'Inputs'!$B$7+'Inputs'!$B$10))^2+('Inputs'!$B$8/2)^2))))*'Results'!$B$8))),"")</x:f>
        <x:v>3.0585904705520646</x:v>
      </x:c>
      <x:c r="M610" t="n">
        <x:f>IF(AND(ISNUMBER('Results'!C7),ISNUMBER('Results'!B7),ISNUMBER('Results'!$B$8),ISNUMBER('Inputs'!$B$6),ISNUMBER('Inputs'!$B$7),ISNUMBER('Inputs'!$B$8),ISNUMBER('Inputs'!$B$9),ISNUMBER('Inputs'!$B$10),ISNUMBER('Inputs'!$B$21),ISNUMBER('Inputs'!$B$24),ISNUMBER('Inputs'!$B$28)),(('Results'!C7*(0.5*((((610-43)*MAX('Inputs'!$B$33,'Inputs'!$B$29+'Inputs'!$B$31+'Inputs'!$B$32,'Inputs'!$B$30+'Inputs'!$B$31+'Inputs'!$B$32)/1000+'Inputs'!$B$21)+'Inputs'!$B$9)/SQRT((((610-43)*MAX('Inputs'!$B$33,'Inputs'!$B$29+'Inputs'!$B$31+'Inputs'!$B$32,'Inputs'!$B$30+'Inputs'!$B$31+'Inputs'!$B$32)/1000+'Inputs'!$B$21)+'Inputs'!$B$9)^2+('Inputs'!$B$8/2)^2)-(((610-43)*MAX('Inputs'!$B$33,'Inputs'!$B$29+'Inputs'!$B$31+'Inputs'!$B$32,'Inputs'!$B$30+'Inputs'!$B$31+'Inputs'!$B$32)/1000+'Inputs'!$B$21))/SQRT((((610-43)*MAX('Inputs'!$B$33,'Inputs'!$B$29+'Inputs'!$B$31+'Inputs'!$B$32,'Inputs'!$B$30+'Inputs'!$B$31+'Inputs'!$B$32)/1000+'Inputs'!$B$21))^2+('Inputs'!$B$8/2)^2)))-'Results'!B7*(0.5*((((610-43)*MAX('Inputs'!$B$33,'Inputs'!$B$29+'Inputs'!$B$31+'Inputs'!$B$32,'Inputs'!$B$30+'Inputs'!$B$31+'Inputs'!$B$32)/1000+'Inputs'!$B$21+'Inputs'!$B$9+'Inputs'!$B$10)+'Inputs'!$B$7)/SQRT((((610-43)*MAX('Inputs'!$B$33,'Inputs'!$B$29+'Inputs'!$B$31+'Inputs'!$B$32,'Inputs'!$B$30+'Inputs'!$B$31+'Inputs'!$B$32)/1000+'Inputs'!$B$21+'Inputs'!$B$9+'Inputs'!$B$10)+'Inputs'!$B$7)^2+('Inputs'!$B$6/2)^2)-(((610-43)*MAX('Inputs'!$B$33,'Inputs'!$B$29+'Inputs'!$B$31+'Inputs'!$B$32,'Inputs'!$B$30+'Inputs'!$B$31+'Inputs'!$B$32)/1000+'Inputs'!$B$21+'Inputs'!$B$9+'Inputs'!$B$10))/SQRT((((610-43)*MAX('Inputs'!$B$33,'Inputs'!$B$29+'Inputs'!$B$31+'Inputs'!$B$32,'Inputs'!$B$30+'Inputs'!$B$31+'Inputs'!$B$32)/1000+'Inputs'!$B$21+'Inputs'!$B$9+'Inputs'!$B$10))^2+('Inputs'!$B$6/2)^2))))*'Results'!$B$8),"")</x:f>
        <x:v>2.506092189362668</x:v>
      </x:c>
      <x:c r="N610" t="n">
        <x:f>IF(AND(ISNUMBER('Results'!C7),ISNUMBER('Results'!B7),ISNUMBER('Results'!$B$8),ISNUMBER('Inputs'!$B$6),ISNUMBER('Inputs'!$B$7),ISNUMBER('Inputs'!$B$8),ISNUMBER('Inputs'!$B$9),ISNUMBER('Inputs'!$B$10),ISNUMBER('Inputs'!$B$21),ISNUMBER('Inputs'!$B$24),ISNUMBER('Inputs'!$B$28)),((('Results'!C7*(1-'Inputs'!$B$24)*(0.5*((((610-43)*MAX('Inputs'!$B$33,'Inputs'!$B$29+'Inputs'!$B$31+'Inputs'!$B$32,'Inputs'!$B$30+'Inputs'!$B$31+'Inputs'!$B$32)/1000+'Inputs'!$B$21)+'Inputs'!$B$9)/SQRT((((610-43)*MAX('Inputs'!$B$33,'Inputs'!$B$29+'Inputs'!$B$31+'Inputs'!$B$32,'Inputs'!$B$30+'Inputs'!$B$31+'Inputs'!$B$32)/1000+'Inputs'!$B$21)+'Inputs'!$B$9)^2+('Inputs'!$B$8/2)^2)-(((610-43)*MAX('Inputs'!$B$33,'Inputs'!$B$29+'Inputs'!$B$31+'Inputs'!$B$32,'Inputs'!$B$30+'Inputs'!$B$31+'Inputs'!$B$32)/1000+'Inputs'!$B$21))/SQRT((((610-43)*MAX('Inputs'!$B$33,'Inputs'!$B$29+'Inputs'!$B$31+'Inputs'!$B$32,'Inputs'!$B$30+'Inputs'!$B$31+'Inputs'!$B$32)/1000+'Inputs'!$B$21))^2+('Inputs'!$B$8/2)^2)))-'Results'!B7*(1+'Inputs'!$B$24)*(0.5*((((610-43)*MAX('Inputs'!$B$33,'Inputs'!$B$29+'Inputs'!$B$31+'Inputs'!$B$32,'Inputs'!$B$30+'Inputs'!$B$31+'Inputs'!$B$32)/1000+'Inputs'!$B$21+'Inputs'!$B$9+'Inputs'!$B$10)+'Inputs'!$B$7)/SQRT((((610-43)*MAX('Inputs'!$B$33,'Inputs'!$B$29+'Inputs'!$B$31+'Inputs'!$B$32,'Inputs'!$B$30+'Inputs'!$B$31+'Inputs'!$B$32)/1000+'Inputs'!$B$21+'Inputs'!$B$9+'Inputs'!$B$10)+'Inputs'!$B$7)^2+('Inputs'!$B$6/2)^2)-(((610-43)*MAX('Inputs'!$B$33,'Inputs'!$B$29+'Inputs'!$B$31+'Inputs'!$B$32,'Inputs'!$B$30+'Inputs'!$B$31+'Inputs'!$B$32)/1000+'Inputs'!$B$21+'Inputs'!$B$9+'Inputs'!$B$10))/SQRT((((610-43)*MAX('Inputs'!$B$33,'Inputs'!$B$29+'Inputs'!$B$31+'Inputs'!$B$32,'Inputs'!$B$30+'Inputs'!$B$31+'Inputs'!$B$32)/1000+'Inputs'!$B$21+'Inputs'!$B$9+'Inputs'!$B$10))^2+('Inputs'!$B$6/2)^2))))*'Results'!$B$8)-'Inputs'!$B$28*ABS((('Results'!C7*(1-'Inputs'!$B$24)*(0.5*((((610-43)*MAX('Inputs'!$B$33,'Inputs'!$B$29+'Inputs'!$B$31+'Inputs'!$B$32,'Inputs'!$B$30+'Inputs'!$B$31+'Inputs'!$B$32)/1000+'Inputs'!$B$21)+'Inputs'!$B$9)/SQRT((((610-43)*MAX('Inputs'!$B$33,'Inputs'!$B$29+'Inputs'!$B$31+'Inputs'!$B$32,'Inputs'!$B$30+'Inputs'!$B$31+'Inputs'!$B$32)/1000+'Inputs'!$B$21)+'Inputs'!$B$9)^2+('Inputs'!$B$8/2)^2)-(((610-43)*MAX('Inputs'!$B$33,'Inputs'!$B$29+'Inputs'!$B$31+'Inputs'!$B$32,'Inputs'!$B$30+'Inputs'!$B$31+'Inputs'!$B$32)/1000+'Inputs'!$B$21))/SQRT((((610-43)*MAX('Inputs'!$B$33,'Inputs'!$B$29+'Inputs'!$B$31+'Inputs'!$B$32,'Inputs'!$B$30+'Inputs'!$B$31+'Inputs'!$B$32)/1000+'Inputs'!$B$21))^2+('Inputs'!$B$8/2)^2)))-'Results'!B7*(1+'Inputs'!$B$24)*(0.5*((((610-43)*MAX('Inputs'!$B$33,'Inputs'!$B$29+'Inputs'!$B$31+'Inputs'!$B$32,'Inputs'!$B$30+'Inputs'!$B$31+'Inputs'!$B$32)/1000+'Inputs'!$B$21+'Inputs'!$B$9+'Inputs'!$B$10)+'Inputs'!$B$7)/SQRT((((610-43)*MAX('Inputs'!$B$33,'Inputs'!$B$29+'Inputs'!$B$31+'Inputs'!$B$32,'Inputs'!$B$30+'Inputs'!$B$31+'Inputs'!$B$32)/1000+'Inputs'!$B$21+'Inputs'!$B$9+'Inputs'!$B$10)+'Inputs'!$B$7)^2+('Inputs'!$B$6/2)^2)-(((610-43)*MAX('Inputs'!$B$33,'Inputs'!$B$29+'Inputs'!$B$31+'Inputs'!$B$32,'Inputs'!$B$30+'Inputs'!$B$31+'Inputs'!$B$32)/1000+'Inputs'!$B$21+'Inputs'!$B$9+'Inputs'!$B$10))/SQRT((((610-43)*MAX('Inputs'!$B$33,'Inputs'!$B$29+'Inputs'!$B$31+'Inputs'!$B$32,'Inputs'!$B$30+'Inputs'!$B$31+'Inputs'!$B$32)/1000+'Inputs'!$B$21+'Inputs'!$B$9+'Inputs'!$B$10))^2+('Inputs'!$B$6/2)^2))))*'Results'!$B$8))),"")</x:f>
        <x:v>2.189254009937895</x:v>
      </x:c>
      <x:c r="O610" t="n">
        <x:f>IF(AND(ISNUMBER('Results'!C7),ISNUMBER('Results'!B7),ISNUMBER('Results'!$B$8),ISNUMBER('Inputs'!$B$6),ISNUMBER('Inputs'!$B$7),ISNUMBER('Inputs'!$B$8),ISNUMBER('Inputs'!$B$9),ISNUMBER('Inputs'!$B$10),ISNUMBER('Inputs'!$B$21),ISNUMBER('Inputs'!$B$24),ISNUMBER('Inputs'!$B$28)),((('Results'!C7*(1+'Inputs'!$B$24)*(0.5*((((610-43)*MAX('Inputs'!$B$33,'Inputs'!$B$29+'Inputs'!$B$31+'Inputs'!$B$32,'Inputs'!$B$30+'Inputs'!$B$31+'Inputs'!$B$32)/1000+'Inputs'!$B$21)+'Inputs'!$B$9)/SQRT((((610-43)*MAX('Inputs'!$B$33,'Inputs'!$B$29+'Inputs'!$B$31+'Inputs'!$B$32,'Inputs'!$B$30+'Inputs'!$B$31+'Inputs'!$B$32)/1000+'Inputs'!$B$21)+'Inputs'!$B$9)^2+('Inputs'!$B$8/2)^2)-(((610-43)*MAX('Inputs'!$B$33,'Inputs'!$B$29+'Inputs'!$B$31+'Inputs'!$B$32,'Inputs'!$B$30+'Inputs'!$B$31+'Inputs'!$B$32)/1000+'Inputs'!$B$21))/SQRT((((610-43)*MAX('Inputs'!$B$33,'Inputs'!$B$29+'Inputs'!$B$31+'Inputs'!$B$32,'Inputs'!$B$30+'Inputs'!$B$31+'Inputs'!$B$32)/1000+'Inputs'!$B$21))^2+('Inputs'!$B$8/2)^2)))-'Results'!B7*(1-'Inputs'!$B$24)*(0.5*((((610-43)*MAX('Inputs'!$B$33,'Inputs'!$B$29+'Inputs'!$B$31+'Inputs'!$B$32,'Inputs'!$B$30+'Inputs'!$B$31+'Inputs'!$B$32)/1000+'Inputs'!$B$21+'Inputs'!$B$9+'Inputs'!$B$10)+'Inputs'!$B$7)/SQRT((((610-43)*MAX('Inputs'!$B$33,'Inputs'!$B$29+'Inputs'!$B$31+'Inputs'!$B$32,'Inputs'!$B$30+'Inputs'!$B$31+'Inputs'!$B$32)/1000+'Inputs'!$B$21+'Inputs'!$B$9+'Inputs'!$B$10)+'Inputs'!$B$7)^2+('Inputs'!$B$6/2)^2)-(((610-43)*MAX('Inputs'!$B$33,'Inputs'!$B$29+'Inputs'!$B$31+'Inputs'!$B$32,'Inputs'!$B$30+'Inputs'!$B$31+'Inputs'!$B$32)/1000+'Inputs'!$B$21+'Inputs'!$B$9+'Inputs'!$B$10))/SQRT((((610-43)*MAX('Inputs'!$B$33,'Inputs'!$B$29+'Inputs'!$B$31+'Inputs'!$B$32,'Inputs'!$B$30+'Inputs'!$B$31+'Inputs'!$B$32)/1000+'Inputs'!$B$21+'Inputs'!$B$9+'Inputs'!$B$10))^2+('Inputs'!$B$6/2)^2))))*'Results'!$B$8)+'Inputs'!$B$28*ABS((('Results'!C7*(1+'Inputs'!$B$24)*(0.5*((((610-43)*MAX('Inputs'!$B$33,'Inputs'!$B$29+'Inputs'!$B$31+'Inputs'!$B$32,'Inputs'!$B$30+'Inputs'!$B$31+'Inputs'!$B$32)/1000+'Inputs'!$B$21)+'Inputs'!$B$9)/SQRT((((610-43)*MAX('Inputs'!$B$33,'Inputs'!$B$29+'Inputs'!$B$31+'Inputs'!$B$32,'Inputs'!$B$30+'Inputs'!$B$31+'Inputs'!$B$32)/1000+'Inputs'!$B$21)+'Inputs'!$B$9)^2+('Inputs'!$B$8/2)^2)-(((610-43)*MAX('Inputs'!$B$33,'Inputs'!$B$29+'Inputs'!$B$31+'Inputs'!$B$32,'Inputs'!$B$30+'Inputs'!$B$31+'Inputs'!$B$32)/1000+'Inputs'!$B$21))/SQRT((((610-43)*MAX('Inputs'!$B$33,'Inputs'!$B$29+'Inputs'!$B$31+'Inputs'!$B$32,'Inputs'!$B$30+'Inputs'!$B$31+'Inputs'!$B$32)/1000+'Inputs'!$B$21))^2+('Inputs'!$B$8/2)^2)))-'Results'!B7*(1-'Inputs'!$B$24)*(0.5*((((610-43)*MAX('Inputs'!$B$33,'Inputs'!$B$29+'Inputs'!$B$31+'Inputs'!$B$32,'Inputs'!$B$30+'Inputs'!$B$31+'Inputs'!$B$32)/1000+'Inputs'!$B$21+'Inputs'!$B$9+'Inputs'!$B$10)+'Inputs'!$B$7)/SQRT((((610-43)*MAX('Inputs'!$B$33,'Inputs'!$B$29+'Inputs'!$B$31+'Inputs'!$B$32,'Inputs'!$B$30+'Inputs'!$B$31+'Inputs'!$B$32)/1000+'Inputs'!$B$21+'Inputs'!$B$9+'Inputs'!$B$10)+'Inputs'!$B$7)^2+('Inputs'!$B$6/2)^2)-(((610-43)*MAX('Inputs'!$B$33,'Inputs'!$B$29+'Inputs'!$B$31+'Inputs'!$B$32,'Inputs'!$B$30+'Inputs'!$B$31+'Inputs'!$B$32)/1000+'Inputs'!$B$21+'Inputs'!$B$9+'Inputs'!$B$10))/SQRT((((610-43)*MAX('Inputs'!$B$33,'Inputs'!$B$29+'Inputs'!$B$31+'Inputs'!$B$32,'Inputs'!$B$30+'Inputs'!$B$31+'Inputs'!$B$32)/1000+'Inputs'!$B$21+'Inputs'!$B$9+'Inputs'!$B$10))^2+('Inputs'!$B$6/2)^2))))*'Results'!$B$8))),"")</x:f>
        <x:v>2.843091797203929</x:v>
      </x:c>
      <x:c r="P610" t="n">
        <x:f>IF(AND(MAX(J610,J609)&gt;0,J610&gt;J609+0.00000001),1,0)</x:f>
        <x:v>0</x:v>
      </x:c>
      <x:c r="Q610" t="n">
        <x:f>IF(AND(MAX(K610,K609)&gt;0,K610&gt;K609+0.00000001),1,0)</x:f>
        <x:v>0</x:v>
      </x:c>
      <x:c r="R610" t="n">
        <x:f>IF(AND(MAX(L610,L609)&gt;0,L610&gt;L609+0.00000001),1,0)</x:f>
        <x:v>0</x:v>
      </x:c>
      <x:c r="S610" t="n">
        <x:f>IF(AND(MAX(M610,M609)&gt;0,M610&gt;M609+0.00000001),1,0)</x:f>
        <x:v>0</x:v>
      </x:c>
      <x:c r="T610" t="n">
        <x:f>IF(AND(MAX(N610,N609)&gt;0,N610&gt;N609+0.00000001),1,0)</x:f>
        <x:v>0</x:v>
      </x:c>
      <x:c r="U610" t="n">
        <x:f>IF(AND(MAX(O610,O609)&gt;0,O610&gt;O609+0.00000001),1,0)</x:f>
        <x:v>0</x:v>
      </x:c>
    </x:row>
    <x:row r="611">
      <x:c r="J611" t="n">
        <x:f>IF(AND(ISNUMBER('Results'!B7),ISNUMBER('Results'!C7),ISNUMBER('Results'!$B$8),ISNUMBER('Inputs'!$B$6),ISNUMBER('Inputs'!$B$7),ISNUMBER('Inputs'!$B$8),ISNUMBER('Inputs'!$B$9),ISNUMBER('Inputs'!$B$10),ISNUMBER('Inputs'!$B$21),ISNUMBER('Inputs'!$B$24),ISNUMBER('Inputs'!$B$28)),(('Results'!B7*(0.5*((((611-43)*MAX('Inputs'!$B$33,'Inputs'!$B$29+'Inputs'!$B$31+'Inputs'!$B$32,'Inputs'!$B$30+'Inputs'!$B$31+'Inputs'!$B$32)/1000+'Inputs'!$B$21)+'Inputs'!$B$7)/SQRT((((611-43)*MAX('Inputs'!$B$33,'Inputs'!$B$29+'Inputs'!$B$31+'Inputs'!$B$32,'Inputs'!$B$30+'Inputs'!$B$31+'Inputs'!$B$32)/1000+'Inputs'!$B$21)+'Inputs'!$B$7)^2+('Inputs'!$B$6/2)^2)-(((611-43)*MAX('Inputs'!$B$33,'Inputs'!$B$29+'Inputs'!$B$31+'Inputs'!$B$32,'Inputs'!$B$30+'Inputs'!$B$31+'Inputs'!$B$32)/1000+'Inputs'!$B$21))/SQRT((((611-43)*MAX('Inputs'!$B$33,'Inputs'!$B$29+'Inputs'!$B$31+'Inputs'!$B$32,'Inputs'!$B$30+'Inputs'!$B$31+'Inputs'!$B$32)/1000+'Inputs'!$B$21))^2+('Inputs'!$B$6/2)^2)))-'Results'!C7*(0.5*((((611-43)*MAX('Inputs'!$B$33,'Inputs'!$B$29+'Inputs'!$B$31+'Inputs'!$B$32,'Inputs'!$B$30+'Inputs'!$B$31+'Inputs'!$B$32)/1000+'Inputs'!$B$21+'Inputs'!$B$7+'Inputs'!$B$10)+'Inputs'!$B$9)/SQRT((((611-43)*MAX('Inputs'!$B$33,'Inputs'!$B$29+'Inputs'!$B$31+'Inputs'!$B$32,'Inputs'!$B$30+'Inputs'!$B$31+'Inputs'!$B$32)/1000+'Inputs'!$B$21+'Inputs'!$B$7+'Inputs'!$B$10)+'Inputs'!$B$9)^2+('Inputs'!$B$8/2)^2)-(((611-43)*MAX('Inputs'!$B$33,'Inputs'!$B$29+'Inputs'!$B$31+'Inputs'!$B$32,'Inputs'!$B$30+'Inputs'!$B$31+'Inputs'!$B$32)/1000+'Inputs'!$B$21+'Inputs'!$B$7+'Inputs'!$B$10))/SQRT((((611-43)*MAX('Inputs'!$B$33,'Inputs'!$B$29+'Inputs'!$B$31+'Inputs'!$B$32,'Inputs'!$B$30+'Inputs'!$B$31+'Inputs'!$B$32)/1000+'Inputs'!$B$21+'Inputs'!$B$7+'Inputs'!$B$10))^2+('Inputs'!$B$8/2)^2))))*'Results'!$B$8),"")</x:f>
        <x:v>2.693740665010343</x:v>
      </x:c>
      <x:c r="K611" t="n">
        <x:f>IF(AND(ISNUMBER('Results'!B7),ISNUMBER('Results'!C7),ISNUMBER('Results'!$B$8),ISNUMBER('Inputs'!$B$6),ISNUMBER('Inputs'!$B$7),ISNUMBER('Inputs'!$B$8),ISNUMBER('Inputs'!$B$9),ISNUMBER('Inputs'!$B$10),ISNUMBER('Inputs'!$B$21),ISNUMBER('Inputs'!$B$24),ISNUMBER('Inputs'!$B$28)),((('Results'!B7*(1-'Inputs'!$B$24)*(0.5*((((611-43)*MAX('Inputs'!$B$33,'Inputs'!$B$29+'Inputs'!$B$31+'Inputs'!$B$32,'Inputs'!$B$30+'Inputs'!$B$31+'Inputs'!$B$32)/1000+'Inputs'!$B$21)+'Inputs'!$B$7)/SQRT((((611-43)*MAX('Inputs'!$B$33,'Inputs'!$B$29+'Inputs'!$B$31+'Inputs'!$B$32,'Inputs'!$B$30+'Inputs'!$B$31+'Inputs'!$B$32)/1000+'Inputs'!$B$21)+'Inputs'!$B$7)^2+('Inputs'!$B$6/2)^2)-(((611-43)*MAX('Inputs'!$B$33,'Inputs'!$B$29+'Inputs'!$B$31+'Inputs'!$B$32,'Inputs'!$B$30+'Inputs'!$B$31+'Inputs'!$B$32)/1000+'Inputs'!$B$21))/SQRT((((611-43)*MAX('Inputs'!$B$33,'Inputs'!$B$29+'Inputs'!$B$31+'Inputs'!$B$32,'Inputs'!$B$30+'Inputs'!$B$31+'Inputs'!$B$32)/1000+'Inputs'!$B$21))^2+('Inputs'!$B$6/2)^2)))-'Results'!C7*(1+'Inputs'!$B$24)*(0.5*((((611-43)*MAX('Inputs'!$B$33,'Inputs'!$B$29+'Inputs'!$B$31+'Inputs'!$B$32,'Inputs'!$B$30+'Inputs'!$B$31+'Inputs'!$B$32)/1000+'Inputs'!$B$21+'Inputs'!$B$7+'Inputs'!$B$10)+'Inputs'!$B$9)/SQRT((((611-43)*MAX('Inputs'!$B$33,'Inputs'!$B$29+'Inputs'!$B$31+'Inputs'!$B$32,'Inputs'!$B$30+'Inputs'!$B$31+'Inputs'!$B$32)/1000+'Inputs'!$B$21+'Inputs'!$B$7+'Inputs'!$B$10)+'Inputs'!$B$9)^2+('Inputs'!$B$8/2)^2)-(((611-43)*MAX('Inputs'!$B$33,'Inputs'!$B$29+'Inputs'!$B$31+'Inputs'!$B$32,'Inputs'!$B$30+'Inputs'!$B$31+'Inputs'!$B$32)/1000+'Inputs'!$B$21+'Inputs'!$B$7+'Inputs'!$B$10))/SQRT((((611-43)*MAX('Inputs'!$B$33,'Inputs'!$B$29+'Inputs'!$B$31+'Inputs'!$B$32,'Inputs'!$B$30+'Inputs'!$B$31+'Inputs'!$B$32)/1000+'Inputs'!$B$21+'Inputs'!$B$7+'Inputs'!$B$10))^2+('Inputs'!$B$8/2)^2))))*'Results'!$B$8)-'Inputs'!$B$28*ABS((('Results'!B7*(1-'Inputs'!$B$24)*(0.5*((((611-43)*MAX('Inputs'!$B$33,'Inputs'!$B$29+'Inputs'!$B$31+'Inputs'!$B$32,'Inputs'!$B$30+'Inputs'!$B$31+'Inputs'!$B$32)/1000+'Inputs'!$B$21)+'Inputs'!$B$7)/SQRT((((611-43)*MAX('Inputs'!$B$33,'Inputs'!$B$29+'Inputs'!$B$31+'Inputs'!$B$32,'Inputs'!$B$30+'Inputs'!$B$31+'Inputs'!$B$32)/1000+'Inputs'!$B$21)+'Inputs'!$B$7)^2+('Inputs'!$B$6/2)^2)-(((611-43)*MAX('Inputs'!$B$33,'Inputs'!$B$29+'Inputs'!$B$31+'Inputs'!$B$32,'Inputs'!$B$30+'Inputs'!$B$31+'Inputs'!$B$32)/1000+'Inputs'!$B$21))/SQRT((((611-43)*MAX('Inputs'!$B$33,'Inputs'!$B$29+'Inputs'!$B$31+'Inputs'!$B$32,'Inputs'!$B$30+'Inputs'!$B$31+'Inputs'!$B$32)/1000+'Inputs'!$B$21))^2+('Inputs'!$B$6/2)^2)))-'Results'!C7*(1+'Inputs'!$B$24)*(0.5*((((611-43)*MAX('Inputs'!$B$33,'Inputs'!$B$29+'Inputs'!$B$31+'Inputs'!$B$32,'Inputs'!$B$30+'Inputs'!$B$31+'Inputs'!$B$32)/1000+'Inputs'!$B$21+'Inputs'!$B$7+'Inputs'!$B$10)+'Inputs'!$B$9)/SQRT((((611-43)*MAX('Inputs'!$B$33,'Inputs'!$B$29+'Inputs'!$B$31+'Inputs'!$B$32,'Inputs'!$B$30+'Inputs'!$B$31+'Inputs'!$B$32)/1000+'Inputs'!$B$21+'Inputs'!$B$7+'Inputs'!$B$10)+'Inputs'!$B$9)^2+('Inputs'!$B$8/2)^2)-(((611-43)*MAX('Inputs'!$B$33,'Inputs'!$B$29+'Inputs'!$B$31+'Inputs'!$B$32,'Inputs'!$B$30+'Inputs'!$B$31+'Inputs'!$B$32)/1000+'Inputs'!$B$21+'Inputs'!$B$7+'Inputs'!$B$10))/SQRT((((611-43)*MAX('Inputs'!$B$33,'Inputs'!$B$29+'Inputs'!$B$31+'Inputs'!$B$32,'Inputs'!$B$30+'Inputs'!$B$31+'Inputs'!$B$32)/1000+'Inputs'!$B$21+'Inputs'!$B$7+'Inputs'!$B$10))^2+('Inputs'!$B$8/2)^2))))*'Results'!$B$8))),"")</x:f>
        <x:v>2.367427546002607</x:v>
      </x:c>
      <x:c r="L611" t="n">
        <x:f>IF(AND(ISNUMBER('Results'!B7),ISNUMBER('Results'!C7),ISNUMBER('Results'!$B$8),ISNUMBER('Inputs'!$B$6),ISNUMBER('Inputs'!$B$7),ISNUMBER('Inputs'!$B$8),ISNUMBER('Inputs'!$B$9),ISNUMBER('Inputs'!$B$10),ISNUMBER('Inputs'!$B$21),ISNUMBER('Inputs'!$B$24),ISNUMBER('Inputs'!$B$28)),((('Results'!B7*(1+'Inputs'!$B$24)*(0.5*((((611-43)*MAX('Inputs'!$B$33,'Inputs'!$B$29+'Inputs'!$B$31+'Inputs'!$B$32,'Inputs'!$B$30+'Inputs'!$B$31+'Inputs'!$B$32)/1000+'Inputs'!$B$21)+'Inputs'!$B$7)/SQRT((((611-43)*MAX('Inputs'!$B$33,'Inputs'!$B$29+'Inputs'!$B$31+'Inputs'!$B$32,'Inputs'!$B$30+'Inputs'!$B$31+'Inputs'!$B$32)/1000+'Inputs'!$B$21)+'Inputs'!$B$7)^2+('Inputs'!$B$6/2)^2)-(((611-43)*MAX('Inputs'!$B$33,'Inputs'!$B$29+'Inputs'!$B$31+'Inputs'!$B$32,'Inputs'!$B$30+'Inputs'!$B$31+'Inputs'!$B$32)/1000+'Inputs'!$B$21))/SQRT((((611-43)*MAX('Inputs'!$B$33,'Inputs'!$B$29+'Inputs'!$B$31+'Inputs'!$B$32,'Inputs'!$B$30+'Inputs'!$B$31+'Inputs'!$B$32)/1000+'Inputs'!$B$21))^2+('Inputs'!$B$6/2)^2)))-'Results'!C7*(1-'Inputs'!$B$24)*(0.5*((((611-43)*MAX('Inputs'!$B$33,'Inputs'!$B$29+'Inputs'!$B$31+'Inputs'!$B$32,'Inputs'!$B$30+'Inputs'!$B$31+'Inputs'!$B$32)/1000+'Inputs'!$B$21+'Inputs'!$B$7+'Inputs'!$B$10)+'Inputs'!$B$9)/SQRT((((611-43)*MAX('Inputs'!$B$33,'Inputs'!$B$29+'Inputs'!$B$31+'Inputs'!$B$32,'Inputs'!$B$30+'Inputs'!$B$31+'Inputs'!$B$32)/1000+'Inputs'!$B$21+'Inputs'!$B$7+'Inputs'!$B$10)+'Inputs'!$B$9)^2+('Inputs'!$B$8/2)^2)-(((611-43)*MAX('Inputs'!$B$33,'Inputs'!$B$29+'Inputs'!$B$31+'Inputs'!$B$32,'Inputs'!$B$30+'Inputs'!$B$31+'Inputs'!$B$32)/1000+'Inputs'!$B$21+'Inputs'!$B$7+'Inputs'!$B$10))/SQRT((((611-43)*MAX('Inputs'!$B$33,'Inputs'!$B$29+'Inputs'!$B$31+'Inputs'!$B$32,'Inputs'!$B$30+'Inputs'!$B$31+'Inputs'!$B$32)/1000+'Inputs'!$B$21+'Inputs'!$B$7+'Inputs'!$B$10))^2+('Inputs'!$B$8/2)^2))))*'Results'!$B$8)+'Inputs'!$B$28*ABS((('Results'!B7*(1+'Inputs'!$B$24)*(0.5*((((611-43)*MAX('Inputs'!$B$33,'Inputs'!$B$29+'Inputs'!$B$31+'Inputs'!$B$32,'Inputs'!$B$30+'Inputs'!$B$31+'Inputs'!$B$32)/1000+'Inputs'!$B$21)+'Inputs'!$B$7)/SQRT((((611-43)*MAX('Inputs'!$B$33,'Inputs'!$B$29+'Inputs'!$B$31+'Inputs'!$B$32,'Inputs'!$B$30+'Inputs'!$B$31+'Inputs'!$B$32)/1000+'Inputs'!$B$21)+'Inputs'!$B$7)^2+('Inputs'!$B$6/2)^2)-(((611-43)*MAX('Inputs'!$B$33,'Inputs'!$B$29+'Inputs'!$B$31+'Inputs'!$B$32,'Inputs'!$B$30+'Inputs'!$B$31+'Inputs'!$B$32)/1000+'Inputs'!$B$21))/SQRT((((611-43)*MAX('Inputs'!$B$33,'Inputs'!$B$29+'Inputs'!$B$31+'Inputs'!$B$32,'Inputs'!$B$30+'Inputs'!$B$31+'Inputs'!$B$32)/1000+'Inputs'!$B$21))^2+('Inputs'!$B$6/2)^2)))-'Results'!C7*(1-'Inputs'!$B$24)*(0.5*((((611-43)*MAX('Inputs'!$B$33,'Inputs'!$B$29+'Inputs'!$B$31+'Inputs'!$B$32,'Inputs'!$B$30+'Inputs'!$B$31+'Inputs'!$B$32)/1000+'Inputs'!$B$21+'Inputs'!$B$7+'Inputs'!$B$10)+'Inputs'!$B$9)/SQRT((((611-43)*MAX('Inputs'!$B$33,'Inputs'!$B$29+'Inputs'!$B$31+'Inputs'!$B$32,'Inputs'!$B$30+'Inputs'!$B$31+'Inputs'!$B$32)/1000+'Inputs'!$B$21+'Inputs'!$B$7+'Inputs'!$B$10)+'Inputs'!$B$9)^2+('Inputs'!$B$8/2)^2)-(((611-43)*MAX('Inputs'!$B$33,'Inputs'!$B$29+'Inputs'!$B$31+'Inputs'!$B$32,'Inputs'!$B$30+'Inputs'!$B$31+'Inputs'!$B$32)/1000+'Inputs'!$B$21+'Inputs'!$B$7+'Inputs'!$B$10))/SQRT((((611-43)*MAX('Inputs'!$B$33,'Inputs'!$B$29+'Inputs'!$B$31+'Inputs'!$B$32,'Inputs'!$B$30+'Inputs'!$B$31+'Inputs'!$B$32)/1000+'Inputs'!$B$21+'Inputs'!$B$7+'Inputs'!$B$10))^2+('Inputs'!$B$8/2)^2))))*'Results'!$B$8))),"")</x:f>
        <x:v>3.040224950939891</x:v>
      </x:c>
      <x:c r="M611" t="n">
        <x:f>IF(AND(ISNUMBER('Results'!C7),ISNUMBER('Results'!B7),ISNUMBER('Results'!$B$8),ISNUMBER('Inputs'!$B$6),ISNUMBER('Inputs'!$B$7),ISNUMBER('Inputs'!$B$8),ISNUMBER('Inputs'!$B$9),ISNUMBER('Inputs'!$B$10),ISNUMBER('Inputs'!$B$21),ISNUMBER('Inputs'!$B$24),ISNUMBER('Inputs'!$B$28)),(('Results'!C7*(0.5*((((611-43)*MAX('Inputs'!$B$33,'Inputs'!$B$29+'Inputs'!$B$31+'Inputs'!$B$32,'Inputs'!$B$30+'Inputs'!$B$31+'Inputs'!$B$32)/1000+'Inputs'!$B$21)+'Inputs'!$B$9)/SQRT((((611-43)*MAX('Inputs'!$B$33,'Inputs'!$B$29+'Inputs'!$B$31+'Inputs'!$B$32,'Inputs'!$B$30+'Inputs'!$B$31+'Inputs'!$B$32)/1000+'Inputs'!$B$21)+'Inputs'!$B$9)^2+('Inputs'!$B$8/2)^2)-(((611-43)*MAX('Inputs'!$B$33,'Inputs'!$B$29+'Inputs'!$B$31+'Inputs'!$B$32,'Inputs'!$B$30+'Inputs'!$B$31+'Inputs'!$B$32)/1000+'Inputs'!$B$21))/SQRT((((611-43)*MAX('Inputs'!$B$33,'Inputs'!$B$29+'Inputs'!$B$31+'Inputs'!$B$32,'Inputs'!$B$30+'Inputs'!$B$31+'Inputs'!$B$32)/1000+'Inputs'!$B$21))^2+('Inputs'!$B$8/2)^2)))-'Results'!B7*(0.5*((((611-43)*MAX('Inputs'!$B$33,'Inputs'!$B$29+'Inputs'!$B$31+'Inputs'!$B$32,'Inputs'!$B$30+'Inputs'!$B$31+'Inputs'!$B$32)/1000+'Inputs'!$B$21+'Inputs'!$B$9+'Inputs'!$B$10)+'Inputs'!$B$7)/SQRT((((611-43)*MAX('Inputs'!$B$33,'Inputs'!$B$29+'Inputs'!$B$31+'Inputs'!$B$32,'Inputs'!$B$30+'Inputs'!$B$31+'Inputs'!$B$32)/1000+'Inputs'!$B$21+'Inputs'!$B$9+'Inputs'!$B$10)+'Inputs'!$B$7)^2+('Inputs'!$B$6/2)^2)-(((611-43)*MAX('Inputs'!$B$33,'Inputs'!$B$29+'Inputs'!$B$31+'Inputs'!$B$32,'Inputs'!$B$30+'Inputs'!$B$31+'Inputs'!$B$32)/1000+'Inputs'!$B$21+'Inputs'!$B$9+'Inputs'!$B$10))/SQRT((((611-43)*MAX('Inputs'!$B$33,'Inputs'!$B$29+'Inputs'!$B$31+'Inputs'!$B$32,'Inputs'!$B$30+'Inputs'!$B$31+'Inputs'!$B$32)/1000+'Inputs'!$B$21+'Inputs'!$B$9+'Inputs'!$B$10))^2+('Inputs'!$B$6/2)^2))))*'Results'!$B$8),"")</x:f>
        <x:v>2.4905204564461174</x:v>
      </x:c>
      <x:c r="N611" t="n">
        <x:f>IF(AND(ISNUMBER('Results'!C7),ISNUMBER('Results'!B7),ISNUMBER('Results'!$B$8),ISNUMBER('Inputs'!$B$6),ISNUMBER('Inputs'!$B$7),ISNUMBER('Inputs'!$B$8),ISNUMBER('Inputs'!$B$9),ISNUMBER('Inputs'!$B$10),ISNUMBER('Inputs'!$B$21),ISNUMBER('Inputs'!$B$24),ISNUMBER('Inputs'!$B$28)),((('Results'!C7*(1-'Inputs'!$B$24)*(0.5*((((611-43)*MAX('Inputs'!$B$33,'Inputs'!$B$29+'Inputs'!$B$31+'Inputs'!$B$32,'Inputs'!$B$30+'Inputs'!$B$31+'Inputs'!$B$32)/1000+'Inputs'!$B$21)+'Inputs'!$B$9)/SQRT((((611-43)*MAX('Inputs'!$B$33,'Inputs'!$B$29+'Inputs'!$B$31+'Inputs'!$B$32,'Inputs'!$B$30+'Inputs'!$B$31+'Inputs'!$B$32)/1000+'Inputs'!$B$21)+'Inputs'!$B$9)^2+('Inputs'!$B$8/2)^2)-(((611-43)*MAX('Inputs'!$B$33,'Inputs'!$B$29+'Inputs'!$B$31+'Inputs'!$B$32,'Inputs'!$B$30+'Inputs'!$B$31+'Inputs'!$B$32)/1000+'Inputs'!$B$21))/SQRT((((611-43)*MAX('Inputs'!$B$33,'Inputs'!$B$29+'Inputs'!$B$31+'Inputs'!$B$32,'Inputs'!$B$30+'Inputs'!$B$31+'Inputs'!$B$32)/1000+'Inputs'!$B$21))^2+('Inputs'!$B$8/2)^2)))-'Results'!B7*(1+'Inputs'!$B$24)*(0.5*((((611-43)*MAX('Inputs'!$B$33,'Inputs'!$B$29+'Inputs'!$B$31+'Inputs'!$B$32,'Inputs'!$B$30+'Inputs'!$B$31+'Inputs'!$B$32)/1000+'Inputs'!$B$21+'Inputs'!$B$9+'Inputs'!$B$10)+'Inputs'!$B$7)/SQRT((((611-43)*MAX('Inputs'!$B$33,'Inputs'!$B$29+'Inputs'!$B$31+'Inputs'!$B$32,'Inputs'!$B$30+'Inputs'!$B$31+'Inputs'!$B$32)/1000+'Inputs'!$B$21+'Inputs'!$B$9+'Inputs'!$B$10)+'Inputs'!$B$7)^2+('Inputs'!$B$6/2)^2)-(((611-43)*MAX('Inputs'!$B$33,'Inputs'!$B$29+'Inputs'!$B$31+'Inputs'!$B$32,'Inputs'!$B$30+'Inputs'!$B$31+'Inputs'!$B$32)/1000+'Inputs'!$B$21+'Inputs'!$B$9+'Inputs'!$B$10))/SQRT((((611-43)*MAX('Inputs'!$B$33,'Inputs'!$B$29+'Inputs'!$B$31+'Inputs'!$B$32,'Inputs'!$B$30+'Inputs'!$B$31+'Inputs'!$B$32)/1000+'Inputs'!$B$21+'Inputs'!$B$9+'Inputs'!$B$10))^2+('Inputs'!$B$6/2)^2))))*'Results'!$B$8)-'Inputs'!$B$28*ABS((('Results'!C7*(1-'Inputs'!$B$24)*(0.5*((((611-43)*MAX('Inputs'!$B$33,'Inputs'!$B$29+'Inputs'!$B$31+'Inputs'!$B$32,'Inputs'!$B$30+'Inputs'!$B$31+'Inputs'!$B$32)/1000+'Inputs'!$B$21)+'Inputs'!$B$9)/SQRT((((611-43)*MAX('Inputs'!$B$33,'Inputs'!$B$29+'Inputs'!$B$31+'Inputs'!$B$32,'Inputs'!$B$30+'Inputs'!$B$31+'Inputs'!$B$32)/1000+'Inputs'!$B$21)+'Inputs'!$B$9)^2+('Inputs'!$B$8/2)^2)-(((611-43)*MAX('Inputs'!$B$33,'Inputs'!$B$29+'Inputs'!$B$31+'Inputs'!$B$32,'Inputs'!$B$30+'Inputs'!$B$31+'Inputs'!$B$32)/1000+'Inputs'!$B$21))/SQRT((((611-43)*MAX('Inputs'!$B$33,'Inputs'!$B$29+'Inputs'!$B$31+'Inputs'!$B$32,'Inputs'!$B$30+'Inputs'!$B$31+'Inputs'!$B$32)/1000+'Inputs'!$B$21))^2+('Inputs'!$B$8/2)^2)))-'Results'!B7*(1+'Inputs'!$B$24)*(0.5*((((611-43)*MAX('Inputs'!$B$33,'Inputs'!$B$29+'Inputs'!$B$31+'Inputs'!$B$32,'Inputs'!$B$30+'Inputs'!$B$31+'Inputs'!$B$32)/1000+'Inputs'!$B$21+'Inputs'!$B$9+'Inputs'!$B$10)+'Inputs'!$B$7)/SQRT((((611-43)*MAX('Inputs'!$B$33,'Inputs'!$B$29+'Inputs'!$B$31+'Inputs'!$B$32,'Inputs'!$B$30+'Inputs'!$B$31+'Inputs'!$B$32)/1000+'Inputs'!$B$21+'Inputs'!$B$9+'Inputs'!$B$10)+'Inputs'!$B$7)^2+('Inputs'!$B$6/2)^2)-(((611-43)*MAX('Inputs'!$B$33,'Inputs'!$B$29+'Inputs'!$B$31+'Inputs'!$B$32,'Inputs'!$B$30+'Inputs'!$B$31+'Inputs'!$B$32)/1000+'Inputs'!$B$21+'Inputs'!$B$9+'Inputs'!$B$10))/SQRT((((611-43)*MAX('Inputs'!$B$33,'Inputs'!$B$29+'Inputs'!$B$31+'Inputs'!$B$32,'Inputs'!$B$30+'Inputs'!$B$31+'Inputs'!$B$32)/1000+'Inputs'!$B$21+'Inputs'!$B$9+'Inputs'!$B$10))^2+('Inputs'!$B$6/2)^2))))*'Results'!$B$8))),"")</x:f>
        <x:v>2.175363307071721</x:v>
      </x:c>
      <x:c r="O611" t="n">
        <x:f>IF(AND(ISNUMBER('Results'!C7),ISNUMBER('Results'!B7),ISNUMBER('Results'!$B$8),ISNUMBER('Inputs'!$B$6),ISNUMBER('Inputs'!$B$7),ISNUMBER('Inputs'!$B$8),ISNUMBER('Inputs'!$B$9),ISNUMBER('Inputs'!$B$10),ISNUMBER('Inputs'!$B$21),ISNUMBER('Inputs'!$B$24),ISNUMBER('Inputs'!$B$28)),((('Results'!C7*(1+'Inputs'!$B$24)*(0.5*((((611-43)*MAX('Inputs'!$B$33,'Inputs'!$B$29+'Inputs'!$B$31+'Inputs'!$B$32,'Inputs'!$B$30+'Inputs'!$B$31+'Inputs'!$B$32)/1000+'Inputs'!$B$21)+'Inputs'!$B$9)/SQRT((((611-43)*MAX('Inputs'!$B$33,'Inputs'!$B$29+'Inputs'!$B$31+'Inputs'!$B$32,'Inputs'!$B$30+'Inputs'!$B$31+'Inputs'!$B$32)/1000+'Inputs'!$B$21)+'Inputs'!$B$9)^2+('Inputs'!$B$8/2)^2)-(((611-43)*MAX('Inputs'!$B$33,'Inputs'!$B$29+'Inputs'!$B$31+'Inputs'!$B$32,'Inputs'!$B$30+'Inputs'!$B$31+'Inputs'!$B$32)/1000+'Inputs'!$B$21))/SQRT((((611-43)*MAX('Inputs'!$B$33,'Inputs'!$B$29+'Inputs'!$B$31+'Inputs'!$B$32,'Inputs'!$B$30+'Inputs'!$B$31+'Inputs'!$B$32)/1000+'Inputs'!$B$21))^2+('Inputs'!$B$8/2)^2)))-'Results'!B7*(1-'Inputs'!$B$24)*(0.5*((((611-43)*MAX('Inputs'!$B$33,'Inputs'!$B$29+'Inputs'!$B$31+'Inputs'!$B$32,'Inputs'!$B$30+'Inputs'!$B$31+'Inputs'!$B$32)/1000+'Inputs'!$B$21+'Inputs'!$B$9+'Inputs'!$B$10)+'Inputs'!$B$7)/SQRT((((611-43)*MAX('Inputs'!$B$33,'Inputs'!$B$29+'Inputs'!$B$31+'Inputs'!$B$32,'Inputs'!$B$30+'Inputs'!$B$31+'Inputs'!$B$32)/1000+'Inputs'!$B$21+'Inputs'!$B$9+'Inputs'!$B$10)+'Inputs'!$B$7)^2+('Inputs'!$B$6/2)^2)-(((611-43)*MAX('Inputs'!$B$33,'Inputs'!$B$29+'Inputs'!$B$31+'Inputs'!$B$32,'Inputs'!$B$30+'Inputs'!$B$31+'Inputs'!$B$32)/1000+'Inputs'!$B$21+'Inputs'!$B$9+'Inputs'!$B$10))/SQRT((((611-43)*MAX('Inputs'!$B$33,'Inputs'!$B$29+'Inputs'!$B$31+'Inputs'!$B$32,'Inputs'!$B$30+'Inputs'!$B$31+'Inputs'!$B$32)/1000+'Inputs'!$B$21+'Inputs'!$B$9+'Inputs'!$B$10))^2+('Inputs'!$B$6/2)^2))))*'Results'!$B$8)+'Inputs'!$B$28*ABS((('Results'!C7*(1+'Inputs'!$B$24)*(0.5*((((611-43)*MAX('Inputs'!$B$33,'Inputs'!$B$29+'Inputs'!$B$31+'Inputs'!$B$32,'Inputs'!$B$30+'Inputs'!$B$31+'Inputs'!$B$32)/1000+'Inputs'!$B$21)+'Inputs'!$B$9)/SQRT((((611-43)*MAX('Inputs'!$B$33,'Inputs'!$B$29+'Inputs'!$B$31+'Inputs'!$B$32,'Inputs'!$B$30+'Inputs'!$B$31+'Inputs'!$B$32)/1000+'Inputs'!$B$21)+'Inputs'!$B$9)^2+('Inputs'!$B$8/2)^2)-(((611-43)*MAX('Inputs'!$B$33,'Inputs'!$B$29+'Inputs'!$B$31+'Inputs'!$B$32,'Inputs'!$B$30+'Inputs'!$B$31+'Inputs'!$B$32)/1000+'Inputs'!$B$21))/SQRT((((611-43)*MAX('Inputs'!$B$33,'Inputs'!$B$29+'Inputs'!$B$31+'Inputs'!$B$32,'Inputs'!$B$30+'Inputs'!$B$31+'Inputs'!$B$32)/1000+'Inputs'!$B$21))^2+('Inputs'!$B$8/2)^2)))-'Results'!B7*(1-'Inputs'!$B$24)*(0.5*((((611-43)*MAX('Inputs'!$B$33,'Inputs'!$B$29+'Inputs'!$B$31+'Inputs'!$B$32,'Inputs'!$B$30+'Inputs'!$B$31+'Inputs'!$B$32)/1000+'Inputs'!$B$21+'Inputs'!$B$9+'Inputs'!$B$10)+'Inputs'!$B$7)/SQRT((((611-43)*MAX('Inputs'!$B$33,'Inputs'!$B$29+'Inputs'!$B$31+'Inputs'!$B$32,'Inputs'!$B$30+'Inputs'!$B$31+'Inputs'!$B$32)/1000+'Inputs'!$B$21+'Inputs'!$B$9+'Inputs'!$B$10)+'Inputs'!$B$7)^2+('Inputs'!$B$6/2)^2)-(((611-43)*MAX('Inputs'!$B$33,'Inputs'!$B$29+'Inputs'!$B$31+'Inputs'!$B$32,'Inputs'!$B$30+'Inputs'!$B$31+'Inputs'!$B$32)/1000+'Inputs'!$B$21+'Inputs'!$B$9+'Inputs'!$B$10))/SQRT((((611-43)*MAX('Inputs'!$B$33,'Inputs'!$B$29+'Inputs'!$B$31+'Inputs'!$B$32,'Inputs'!$B$30+'Inputs'!$B$31+'Inputs'!$B$32)/1000+'Inputs'!$B$21+'Inputs'!$B$9+'Inputs'!$B$10))^2+('Inputs'!$B$6/2)^2))))*'Results'!$B$8))),"")</x:f>
        <x:v>2.8257440401944187</x:v>
      </x:c>
      <x:c r="P611" t="n">
        <x:f>IF(AND(MAX(J611,J610)&gt;0,J611&gt;J610+0.00000001),1,0)</x:f>
        <x:v>0</x:v>
      </x:c>
      <x:c r="Q611" t="n">
        <x:f>IF(AND(MAX(K611,K610)&gt;0,K611&gt;K610+0.00000001),1,0)</x:f>
        <x:v>0</x:v>
      </x:c>
      <x:c r="R611" t="n">
        <x:f>IF(AND(MAX(L611,L610)&gt;0,L611&gt;L610+0.00000001),1,0)</x:f>
        <x:v>0</x:v>
      </x:c>
      <x:c r="S611" t="n">
        <x:f>IF(AND(MAX(M611,M610)&gt;0,M611&gt;M610+0.00000001),1,0)</x:f>
        <x:v>0</x:v>
      </x:c>
      <x:c r="T611" t="n">
        <x:f>IF(AND(MAX(N611,N610)&gt;0,N611&gt;N610+0.00000001),1,0)</x:f>
        <x:v>0</x:v>
      </x:c>
      <x:c r="U611" t="n">
        <x:f>IF(AND(MAX(O611,O610)&gt;0,O611&gt;O610+0.00000001),1,0)</x:f>
        <x:v>0</x:v>
      </x:c>
    </x:row>
    <x:row r="612">
      <x:c r="J612" t="n">
        <x:f>IF(AND(ISNUMBER('Results'!B7),ISNUMBER('Results'!C7),ISNUMBER('Results'!$B$8),ISNUMBER('Inputs'!$B$6),ISNUMBER('Inputs'!$B$7),ISNUMBER('Inputs'!$B$8),ISNUMBER('Inputs'!$B$9),ISNUMBER('Inputs'!$B$10),ISNUMBER('Inputs'!$B$21),ISNUMBER('Inputs'!$B$24),ISNUMBER('Inputs'!$B$28)),(('Results'!B7*(0.5*((((612-43)*MAX('Inputs'!$B$33,'Inputs'!$B$29+'Inputs'!$B$31+'Inputs'!$B$32,'Inputs'!$B$30+'Inputs'!$B$31+'Inputs'!$B$32)/1000+'Inputs'!$B$21)+'Inputs'!$B$7)/SQRT((((612-43)*MAX('Inputs'!$B$33,'Inputs'!$B$29+'Inputs'!$B$31+'Inputs'!$B$32,'Inputs'!$B$30+'Inputs'!$B$31+'Inputs'!$B$32)/1000+'Inputs'!$B$21)+'Inputs'!$B$7)^2+('Inputs'!$B$6/2)^2)-(((612-43)*MAX('Inputs'!$B$33,'Inputs'!$B$29+'Inputs'!$B$31+'Inputs'!$B$32,'Inputs'!$B$30+'Inputs'!$B$31+'Inputs'!$B$32)/1000+'Inputs'!$B$21))/SQRT((((612-43)*MAX('Inputs'!$B$33,'Inputs'!$B$29+'Inputs'!$B$31+'Inputs'!$B$32,'Inputs'!$B$30+'Inputs'!$B$31+'Inputs'!$B$32)/1000+'Inputs'!$B$21))^2+('Inputs'!$B$6/2)^2)))-'Results'!C7*(0.5*((((612-43)*MAX('Inputs'!$B$33,'Inputs'!$B$29+'Inputs'!$B$31+'Inputs'!$B$32,'Inputs'!$B$30+'Inputs'!$B$31+'Inputs'!$B$32)/1000+'Inputs'!$B$21+'Inputs'!$B$7+'Inputs'!$B$10)+'Inputs'!$B$9)/SQRT((((612-43)*MAX('Inputs'!$B$33,'Inputs'!$B$29+'Inputs'!$B$31+'Inputs'!$B$32,'Inputs'!$B$30+'Inputs'!$B$31+'Inputs'!$B$32)/1000+'Inputs'!$B$21+'Inputs'!$B$7+'Inputs'!$B$10)+'Inputs'!$B$9)^2+('Inputs'!$B$8/2)^2)-(((612-43)*MAX('Inputs'!$B$33,'Inputs'!$B$29+'Inputs'!$B$31+'Inputs'!$B$32,'Inputs'!$B$30+'Inputs'!$B$31+'Inputs'!$B$32)/1000+'Inputs'!$B$21+'Inputs'!$B$7+'Inputs'!$B$10))/SQRT((((612-43)*MAX('Inputs'!$B$33,'Inputs'!$B$29+'Inputs'!$B$31+'Inputs'!$B$32,'Inputs'!$B$30+'Inputs'!$B$31+'Inputs'!$B$32)/1000+'Inputs'!$B$21+'Inputs'!$B$7+'Inputs'!$B$10))^2+('Inputs'!$B$8/2)^2))))*'Results'!$B$8),"")</x:f>
        <x:v>2.677332308967956</x:v>
      </x:c>
      <x:c r="K612" t="n">
        <x:f>IF(AND(ISNUMBER('Results'!B7),ISNUMBER('Results'!C7),ISNUMBER('Results'!$B$8),ISNUMBER('Inputs'!$B$6),ISNUMBER('Inputs'!$B$7),ISNUMBER('Inputs'!$B$8),ISNUMBER('Inputs'!$B$9),ISNUMBER('Inputs'!$B$10),ISNUMBER('Inputs'!$B$21),ISNUMBER('Inputs'!$B$24),ISNUMBER('Inputs'!$B$28)),((('Results'!B7*(1-'Inputs'!$B$24)*(0.5*((((612-43)*MAX('Inputs'!$B$33,'Inputs'!$B$29+'Inputs'!$B$31+'Inputs'!$B$32,'Inputs'!$B$30+'Inputs'!$B$31+'Inputs'!$B$32)/1000+'Inputs'!$B$21)+'Inputs'!$B$7)/SQRT((((612-43)*MAX('Inputs'!$B$33,'Inputs'!$B$29+'Inputs'!$B$31+'Inputs'!$B$32,'Inputs'!$B$30+'Inputs'!$B$31+'Inputs'!$B$32)/1000+'Inputs'!$B$21)+'Inputs'!$B$7)^2+('Inputs'!$B$6/2)^2)-(((612-43)*MAX('Inputs'!$B$33,'Inputs'!$B$29+'Inputs'!$B$31+'Inputs'!$B$32,'Inputs'!$B$30+'Inputs'!$B$31+'Inputs'!$B$32)/1000+'Inputs'!$B$21))/SQRT((((612-43)*MAX('Inputs'!$B$33,'Inputs'!$B$29+'Inputs'!$B$31+'Inputs'!$B$32,'Inputs'!$B$30+'Inputs'!$B$31+'Inputs'!$B$32)/1000+'Inputs'!$B$21))^2+('Inputs'!$B$6/2)^2)))-'Results'!C7*(1+'Inputs'!$B$24)*(0.5*((((612-43)*MAX('Inputs'!$B$33,'Inputs'!$B$29+'Inputs'!$B$31+'Inputs'!$B$32,'Inputs'!$B$30+'Inputs'!$B$31+'Inputs'!$B$32)/1000+'Inputs'!$B$21+'Inputs'!$B$7+'Inputs'!$B$10)+'Inputs'!$B$9)/SQRT((((612-43)*MAX('Inputs'!$B$33,'Inputs'!$B$29+'Inputs'!$B$31+'Inputs'!$B$32,'Inputs'!$B$30+'Inputs'!$B$31+'Inputs'!$B$32)/1000+'Inputs'!$B$21+'Inputs'!$B$7+'Inputs'!$B$10)+'Inputs'!$B$9)^2+('Inputs'!$B$8/2)^2)-(((612-43)*MAX('Inputs'!$B$33,'Inputs'!$B$29+'Inputs'!$B$31+'Inputs'!$B$32,'Inputs'!$B$30+'Inputs'!$B$31+'Inputs'!$B$32)/1000+'Inputs'!$B$21+'Inputs'!$B$7+'Inputs'!$B$10))/SQRT((((612-43)*MAX('Inputs'!$B$33,'Inputs'!$B$29+'Inputs'!$B$31+'Inputs'!$B$32,'Inputs'!$B$30+'Inputs'!$B$31+'Inputs'!$B$32)/1000+'Inputs'!$B$21+'Inputs'!$B$7+'Inputs'!$B$10))^2+('Inputs'!$B$8/2)^2))))*'Results'!$B$8)-'Inputs'!$B$28*ABS((('Results'!B7*(1-'Inputs'!$B$24)*(0.5*((((612-43)*MAX('Inputs'!$B$33,'Inputs'!$B$29+'Inputs'!$B$31+'Inputs'!$B$32,'Inputs'!$B$30+'Inputs'!$B$31+'Inputs'!$B$32)/1000+'Inputs'!$B$21)+'Inputs'!$B$7)/SQRT((((612-43)*MAX('Inputs'!$B$33,'Inputs'!$B$29+'Inputs'!$B$31+'Inputs'!$B$32,'Inputs'!$B$30+'Inputs'!$B$31+'Inputs'!$B$32)/1000+'Inputs'!$B$21)+'Inputs'!$B$7)^2+('Inputs'!$B$6/2)^2)-(((612-43)*MAX('Inputs'!$B$33,'Inputs'!$B$29+'Inputs'!$B$31+'Inputs'!$B$32,'Inputs'!$B$30+'Inputs'!$B$31+'Inputs'!$B$32)/1000+'Inputs'!$B$21))/SQRT((((612-43)*MAX('Inputs'!$B$33,'Inputs'!$B$29+'Inputs'!$B$31+'Inputs'!$B$32,'Inputs'!$B$30+'Inputs'!$B$31+'Inputs'!$B$32)/1000+'Inputs'!$B$21))^2+('Inputs'!$B$6/2)^2)))-'Results'!C7*(1+'Inputs'!$B$24)*(0.5*((((612-43)*MAX('Inputs'!$B$33,'Inputs'!$B$29+'Inputs'!$B$31+'Inputs'!$B$32,'Inputs'!$B$30+'Inputs'!$B$31+'Inputs'!$B$32)/1000+'Inputs'!$B$21+'Inputs'!$B$7+'Inputs'!$B$10)+'Inputs'!$B$9)/SQRT((((612-43)*MAX('Inputs'!$B$33,'Inputs'!$B$29+'Inputs'!$B$31+'Inputs'!$B$32,'Inputs'!$B$30+'Inputs'!$B$31+'Inputs'!$B$32)/1000+'Inputs'!$B$21+'Inputs'!$B$7+'Inputs'!$B$10)+'Inputs'!$B$9)^2+('Inputs'!$B$8/2)^2)-(((612-43)*MAX('Inputs'!$B$33,'Inputs'!$B$29+'Inputs'!$B$31+'Inputs'!$B$32,'Inputs'!$B$30+'Inputs'!$B$31+'Inputs'!$B$32)/1000+'Inputs'!$B$21+'Inputs'!$B$7+'Inputs'!$B$10))/SQRT((((612-43)*MAX('Inputs'!$B$33,'Inputs'!$B$29+'Inputs'!$B$31+'Inputs'!$B$32,'Inputs'!$B$30+'Inputs'!$B$31+'Inputs'!$B$32)/1000+'Inputs'!$B$21+'Inputs'!$B$7+'Inputs'!$B$10))^2+('Inputs'!$B$8/2)^2))))*'Results'!$B$8))),"")</x:f>
        <x:v>2.352742489252165</x:v>
      </x:c>
      <x:c r="L612" t="n">
        <x:f>IF(AND(ISNUMBER('Results'!B7),ISNUMBER('Results'!C7),ISNUMBER('Results'!$B$8),ISNUMBER('Inputs'!$B$6),ISNUMBER('Inputs'!$B$7),ISNUMBER('Inputs'!$B$8),ISNUMBER('Inputs'!$B$9),ISNUMBER('Inputs'!$B$10),ISNUMBER('Inputs'!$B$21),ISNUMBER('Inputs'!$B$24),ISNUMBER('Inputs'!$B$28)),((('Results'!B7*(1+'Inputs'!$B$24)*(0.5*((((612-43)*MAX('Inputs'!$B$33,'Inputs'!$B$29+'Inputs'!$B$31+'Inputs'!$B$32,'Inputs'!$B$30+'Inputs'!$B$31+'Inputs'!$B$32)/1000+'Inputs'!$B$21)+'Inputs'!$B$7)/SQRT((((612-43)*MAX('Inputs'!$B$33,'Inputs'!$B$29+'Inputs'!$B$31+'Inputs'!$B$32,'Inputs'!$B$30+'Inputs'!$B$31+'Inputs'!$B$32)/1000+'Inputs'!$B$21)+'Inputs'!$B$7)^2+('Inputs'!$B$6/2)^2)-(((612-43)*MAX('Inputs'!$B$33,'Inputs'!$B$29+'Inputs'!$B$31+'Inputs'!$B$32,'Inputs'!$B$30+'Inputs'!$B$31+'Inputs'!$B$32)/1000+'Inputs'!$B$21))/SQRT((((612-43)*MAX('Inputs'!$B$33,'Inputs'!$B$29+'Inputs'!$B$31+'Inputs'!$B$32,'Inputs'!$B$30+'Inputs'!$B$31+'Inputs'!$B$32)/1000+'Inputs'!$B$21))^2+('Inputs'!$B$6/2)^2)))-'Results'!C7*(1-'Inputs'!$B$24)*(0.5*((((612-43)*MAX('Inputs'!$B$33,'Inputs'!$B$29+'Inputs'!$B$31+'Inputs'!$B$32,'Inputs'!$B$30+'Inputs'!$B$31+'Inputs'!$B$32)/1000+'Inputs'!$B$21+'Inputs'!$B$7+'Inputs'!$B$10)+'Inputs'!$B$9)/SQRT((((612-43)*MAX('Inputs'!$B$33,'Inputs'!$B$29+'Inputs'!$B$31+'Inputs'!$B$32,'Inputs'!$B$30+'Inputs'!$B$31+'Inputs'!$B$32)/1000+'Inputs'!$B$21+'Inputs'!$B$7+'Inputs'!$B$10)+'Inputs'!$B$9)^2+('Inputs'!$B$8/2)^2)-(((612-43)*MAX('Inputs'!$B$33,'Inputs'!$B$29+'Inputs'!$B$31+'Inputs'!$B$32,'Inputs'!$B$30+'Inputs'!$B$31+'Inputs'!$B$32)/1000+'Inputs'!$B$21+'Inputs'!$B$7+'Inputs'!$B$10))/SQRT((((612-43)*MAX('Inputs'!$B$33,'Inputs'!$B$29+'Inputs'!$B$31+'Inputs'!$B$32,'Inputs'!$B$30+'Inputs'!$B$31+'Inputs'!$B$32)/1000+'Inputs'!$B$21+'Inputs'!$B$7+'Inputs'!$B$10))^2+('Inputs'!$B$8/2)^2))))*'Results'!$B$8)+'Inputs'!$B$28*ABS((('Results'!B7*(1+'Inputs'!$B$24)*(0.5*((((612-43)*MAX('Inputs'!$B$33,'Inputs'!$B$29+'Inputs'!$B$31+'Inputs'!$B$32,'Inputs'!$B$30+'Inputs'!$B$31+'Inputs'!$B$32)/1000+'Inputs'!$B$21)+'Inputs'!$B$7)/SQRT((((612-43)*MAX('Inputs'!$B$33,'Inputs'!$B$29+'Inputs'!$B$31+'Inputs'!$B$32,'Inputs'!$B$30+'Inputs'!$B$31+'Inputs'!$B$32)/1000+'Inputs'!$B$21)+'Inputs'!$B$7)^2+('Inputs'!$B$6/2)^2)-(((612-43)*MAX('Inputs'!$B$33,'Inputs'!$B$29+'Inputs'!$B$31+'Inputs'!$B$32,'Inputs'!$B$30+'Inputs'!$B$31+'Inputs'!$B$32)/1000+'Inputs'!$B$21))/SQRT((((612-43)*MAX('Inputs'!$B$33,'Inputs'!$B$29+'Inputs'!$B$31+'Inputs'!$B$32,'Inputs'!$B$30+'Inputs'!$B$31+'Inputs'!$B$32)/1000+'Inputs'!$B$21))^2+('Inputs'!$B$6/2)^2)))-'Results'!C7*(1-'Inputs'!$B$24)*(0.5*((((612-43)*MAX('Inputs'!$B$33,'Inputs'!$B$29+'Inputs'!$B$31+'Inputs'!$B$32,'Inputs'!$B$30+'Inputs'!$B$31+'Inputs'!$B$32)/1000+'Inputs'!$B$21+'Inputs'!$B$7+'Inputs'!$B$10)+'Inputs'!$B$9)/SQRT((((612-43)*MAX('Inputs'!$B$33,'Inputs'!$B$29+'Inputs'!$B$31+'Inputs'!$B$32,'Inputs'!$B$30+'Inputs'!$B$31+'Inputs'!$B$32)/1000+'Inputs'!$B$21+'Inputs'!$B$7+'Inputs'!$B$10)+'Inputs'!$B$9)^2+('Inputs'!$B$8/2)^2)-(((612-43)*MAX('Inputs'!$B$33,'Inputs'!$B$29+'Inputs'!$B$31+'Inputs'!$B$32,'Inputs'!$B$30+'Inputs'!$B$31+'Inputs'!$B$32)/1000+'Inputs'!$B$21+'Inputs'!$B$7+'Inputs'!$B$10))/SQRT((((612-43)*MAX('Inputs'!$B$33,'Inputs'!$B$29+'Inputs'!$B$31+'Inputs'!$B$32,'Inputs'!$B$30+'Inputs'!$B$31+'Inputs'!$B$32)/1000+'Inputs'!$B$21+'Inputs'!$B$7+'Inputs'!$B$10))^2+('Inputs'!$B$8/2)^2))))*'Results'!$B$8))),"")</x:f>
        <x:v>3.0219982554487346</x:v>
      </x:c>
      <x:c r="M612" t="n">
        <x:f>IF(AND(ISNUMBER('Results'!C7),ISNUMBER('Results'!B7),ISNUMBER('Results'!$B$8),ISNUMBER('Inputs'!$B$6),ISNUMBER('Inputs'!$B$7),ISNUMBER('Inputs'!$B$8),ISNUMBER('Inputs'!$B$9),ISNUMBER('Inputs'!$B$10),ISNUMBER('Inputs'!$B$21),ISNUMBER('Inputs'!$B$24),ISNUMBER('Inputs'!$B$28)),(('Results'!C7*(0.5*((((612-43)*MAX('Inputs'!$B$33,'Inputs'!$B$29+'Inputs'!$B$31+'Inputs'!$B$32,'Inputs'!$B$30+'Inputs'!$B$31+'Inputs'!$B$32)/1000+'Inputs'!$B$21)+'Inputs'!$B$9)/SQRT((((612-43)*MAX('Inputs'!$B$33,'Inputs'!$B$29+'Inputs'!$B$31+'Inputs'!$B$32,'Inputs'!$B$30+'Inputs'!$B$31+'Inputs'!$B$32)/1000+'Inputs'!$B$21)+'Inputs'!$B$9)^2+('Inputs'!$B$8/2)^2)-(((612-43)*MAX('Inputs'!$B$33,'Inputs'!$B$29+'Inputs'!$B$31+'Inputs'!$B$32,'Inputs'!$B$30+'Inputs'!$B$31+'Inputs'!$B$32)/1000+'Inputs'!$B$21))/SQRT((((612-43)*MAX('Inputs'!$B$33,'Inputs'!$B$29+'Inputs'!$B$31+'Inputs'!$B$32,'Inputs'!$B$30+'Inputs'!$B$31+'Inputs'!$B$32)/1000+'Inputs'!$B$21))^2+('Inputs'!$B$8/2)^2)))-'Results'!B7*(0.5*((((612-43)*MAX('Inputs'!$B$33,'Inputs'!$B$29+'Inputs'!$B$31+'Inputs'!$B$32,'Inputs'!$B$30+'Inputs'!$B$31+'Inputs'!$B$32)/1000+'Inputs'!$B$21+'Inputs'!$B$9+'Inputs'!$B$10)+'Inputs'!$B$7)/SQRT((((612-43)*MAX('Inputs'!$B$33,'Inputs'!$B$29+'Inputs'!$B$31+'Inputs'!$B$32,'Inputs'!$B$30+'Inputs'!$B$31+'Inputs'!$B$32)/1000+'Inputs'!$B$21+'Inputs'!$B$9+'Inputs'!$B$10)+'Inputs'!$B$7)^2+('Inputs'!$B$6/2)^2)-(((612-43)*MAX('Inputs'!$B$33,'Inputs'!$B$29+'Inputs'!$B$31+'Inputs'!$B$32,'Inputs'!$B$30+'Inputs'!$B$31+'Inputs'!$B$32)/1000+'Inputs'!$B$21+'Inputs'!$B$9+'Inputs'!$B$10))/SQRT((((612-43)*MAX('Inputs'!$B$33,'Inputs'!$B$29+'Inputs'!$B$31+'Inputs'!$B$32,'Inputs'!$B$30+'Inputs'!$B$31+'Inputs'!$B$32)/1000+'Inputs'!$B$21+'Inputs'!$B$9+'Inputs'!$B$10))^2+('Inputs'!$B$6/2)^2))))*'Results'!$B$8),"")</x:f>
        <x:v>2.475068851303064</x:v>
      </x:c>
      <x:c r="N612" t="n">
        <x:f>IF(AND(ISNUMBER('Results'!C7),ISNUMBER('Results'!B7),ISNUMBER('Results'!$B$8),ISNUMBER('Inputs'!$B$6),ISNUMBER('Inputs'!$B$7),ISNUMBER('Inputs'!$B$8),ISNUMBER('Inputs'!$B$9),ISNUMBER('Inputs'!$B$10),ISNUMBER('Inputs'!$B$21),ISNUMBER('Inputs'!$B$24),ISNUMBER('Inputs'!$B$28)),((('Results'!C7*(1-'Inputs'!$B$24)*(0.5*((((612-43)*MAX('Inputs'!$B$33,'Inputs'!$B$29+'Inputs'!$B$31+'Inputs'!$B$32,'Inputs'!$B$30+'Inputs'!$B$31+'Inputs'!$B$32)/1000+'Inputs'!$B$21)+'Inputs'!$B$9)/SQRT((((612-43)*MAX('Inputs'!$B$33,'Inputs'!$B$29+'Inputs'!$B$31+'Inputs'!$B$32,'Inputs'!$B$30+'Inputs'!$B$31+'Inputs'!$B$32)/1000+'Inputs'!$B$21)+'Inputs'!$B$9)^2+('Inputs'!$B$8/2)^2)-(((612-43)*MAX('Inputs'!$B$33,'Inputs'!$B$29+'Inputs'!$B$31+'Inputs'!$B$32,'Inputs'!$B$30+'Inputs'!$B$31+'Inputs'!$B$32)/1000+'Inputs'!$B$21))/SQRT((((612-43)*MAX('Inputs'!$B$33,'Inputs'!$B$29+'Inputs'!$B$31+'Inputs'!$B$32,'Inputs'!$B$30+'Inputs'!$B$31+'Inputs'!$B$32)/1000+'Inputs'!$B$21))^2+('Inputs'!$B$8/2)^2)))-'Results'!B7*(1+'Inputs'!$B$24)*(0.5*((((612-43)*MAX('Inputs'!$B$33,'Inputs'!$B$29+'Inputs'!$B$31+'Inputs'!$B$32,'Inputs'!$B$30+'Inputs'!$B$31+'Inputs'!$B$32)/1000+'Inputs'!$B$21+'Inputs'!$B$9+'Inputs'!$B$10)+'Inputs'!$B$7)/SQRT((((612-43)*MAX('Inputs'!$B$33,'Inputs'!$B$29+'Inputs'!$B$31+'Inputs'!$B$32,'Inputs'!$B$30+'Inputs'!$B$31+'Inputs'!$B$32)/1000+'Inputs'!$B$21+'Inputs'!$B$9+'Inputs'!$B$10)+'Inputs'!$B$7)^2+('Inputs'!$B$6/2)^2)-(((612-43)*MAX('Inputs'!$B$33,'Inputs'!$B$29+'Inputs'!$B$31+'Inputs'!$B$32,'Inputs'!$B$30+'Inputs'!$B$31+'Inputs'!$B$32)/1000+'Inputs'!$B$21+'Inputs'!$B$9+'Inputs'!$B$10))/SQRT((((612-43)*MAX('Inputs'!$B$33,'Inputs'!$B$29+'Inputs'!$B$31+'Inputs'!$B$32,'Inputs'!$B$30+'Inputs'!$B$31+'Inputs'!$B$32)/1000+'Inputs'!$B$21+'Inputs'!$B$9+'Inputs'!$B$10))^2+('Inputs'!$B$6/2)^2))))*'Results'!$B$8)-'Inputs'!$B$28*ABS((('Results'!C7*(1-'Inputs'!$B$24)*(0.5*((((612-43)*MAX('Inputs'!$B$33,'Inputs'!$B$29+'Inputs'!$B$31+'Inputs'!$B$32,'Inputs'!$B$30+'Inputs'!$B$31+'Inputs'!$B$32)/1000+'Inputs'!$B$21)+'Inputs'!$B$9)/SQRT((((612-43)*MAX('Inputs'!$B$33,'Inputs'!$B$29+'Inputs'!$B$31+'Inputs'!$B$32,'Inputs'!$B$30+'Inputs'!$B$31+'Inputs'!$B$32)/1000+'Inputs'!$B$21)+'Inputs'!$B$9)^2+('Inputs'!$B$8/2)^2)-(((612-43)*MAX('Inputs'!$B$33,'Inputs'!$B$29+'Inputs'!$B$31+'Inputs'!$B$32,'Inputs'!$B$30+'Inputs'!$B$31+'Inputs'!$B$32)/1000+'Inputs'!$B$21))/SQRT((((612-43)*MAX('Inputs'!$B$33,'Inputs'!$B$29+'Inputs'!$B$31+'Inputs'!$B$32,'Inputs'!$B$30+'Inputs'!$B$31+'Inputs'!$B$32)/1000+'Inputs'!$B$21))^2+('Inputs'!$B$8/2)^2)))-'Results'!B7*(1+'Inputs'!$B$24)*(0.5*((((612-43)*MAX('Inputs'!$B$33,'Inputs'!$B$29+'Inputs'!$B$31+'Inputs'!$B$32,'Inputs'!$B$30+'Inputs'!$B$31+'Inputs'!$B$32)/1000+'Inputs'!$B$21+'Inputs'!$B$9+'Inputs'!$B$10)+'Inputs'!$B$7)/SQRT((((612-43)*MAX('Inputs'!$B$33,'Inputs'!$B$29+'Inputs'!$B$31+'Inputs'!$B$32,'Inputs'!$B$30+'Inputs'!$B$31+'Inputs'!$B$32)/1000+'Inputs'!$B$21+'Inputs'!$B$9+'Inputs'!$B$10)+'Inputs'!$B$7)^2+('Inputs'!$B$6/2)^2)-(((612-43)*MAX('Inputs'!$B$33,'Inputs'!$B$29+'Inputs'!$B$31+'Inputs'!$B$32,'Inputs'!$B$30+'Inputs'!$B$31+'Inputs'!$B$32)/1000+'Inputs'!$B$21+'Inputs'!$B$9+'Inputs'!$B$10))/SQRT((((612-43)*MAX('Inputs'!$B$33,'Inputs'!$B$29+'Inputs'!$B$31+'Inputs'!$B$32,'Inputs'!$B$30+'Inputs'!$B$31+'Inputs'!$B$32)/1000+'Inputs'!$B$21+'Inputs'!$B$9+'Inputs'!$B$10))^2+('Inputs'!$B$6/2)^2))))*'Results'!$B$8))),"")</x:f>
        <x:v>2.1615810491376393</x:v>
      </x:c>
      <x:c r="O612" t="n">
        <x:f>IF(AND(ISNUMBER('Results'!C7),ISNUMBER('Results'!B7),ISNUMBER('Results'!$B$8),ISNUMBER('Inputs'!$B$6),ISNUMBER('Inputs'!$B$7),ISNUMBER('Inputs'!$B$8),ISNUMBER('Inputs'!$B$9),ISNUMBER('Inputs'!$B$10),ISNUMBER('Inputs'!$B$21),ISNUMBER('Inputs'!$B$24),ISNUMBER('Inputs'!$B$28)),((('Results'!C7*(1+'Inputs'!$B$24)*(0.5*((((612-43)*MAX('Inputs'!$B$33,'Inputs'!$B$29+'Inputs'!$B$31+'Inputs'!$B$32,'Inputs'!$B$30+'Inputs'!$B$31+'Inputs'!$B$32)/1000+'Inputs'!$B$21)+'Inputs'!$B$9)/SQRT((((612-43)*MAX('Inputs'!$B$33,'Inputs'!$B$29+'Inputs'!$B$31+'Inputs'!$B$32,'Inputs'!$B$30+'Inputs'!$B$31+'Inputs'!$B$32)/1000+'Inputs'!$B$21)+'Inputs'!$B$9)^2+('Inputs'!$B$8/2)^2)-(((612-43)*MAX('Inputs'!$B$33,'Inputs'!$B$29+'Inputs'!$B$31+'Inputs'!$B$32,'Inputs'!$B$30+'Inputs'!$B$31+'Inputs'!$B$32)/1000+'Inputs'!$B$21))/SQRT((((612-43)*MAX('Inputs'!$B$33,'Inputs'!$B$29+'Inputs'!$B$31+'Inputs'!$B$32,'Inputs'!$B$30+'Inputs'!$B$31+'Inputs'!$B$32)/1000+'Inputs'!$B$21))^2+('Inputs'!$B$8/2)^2)))-'Results'!B7*(1-'Inputs'!$B$24)*(0.5*((((612-43)*MAX('Inputs'!$B$33,'Inputs'!$B$29+'Inputs'!$B$31+'Inputs'!$B$32,'Inputs'!$B$30+'Inputs'!$B$31+'Inputs'!$B$32)/1000+'Inputs'!$B$21+'Inputs'!$B$9+'Inputs'!$B$10)+'Inputs'!$B$7)/SQRT((((612-43)*MAX('Inputs'!$B$33,'Inputs'!$B$29+'Inputs'!$B$31+'Inputs'!$B$32,'Inputs'!$B$30+'Inputs'!$B$31+'Inputs'!$B$32)/1000+'Inputs'!$B$21+'Inputs'!$B$9+'Inputs'!$B$10)+'Inputs'!$B$7)^2+('Inputs'!$B$6/2)^2)-(((612-43)*MAX('Inputs'!$B$33,'Inputs'!$B$29+'Inputs'!$B$31+'Inputs'!$B$32,'Inputs'!$B$30+'Inputs'!$B$31+'Inputs'!$B$32)/1000+'Inputs'!$B$21+'Inputs'!$B$9+'Inputs'!$B$10))/SQRT((((612-43)*MAX('Inputs'!$B$33,'Inputs'!$B$29+'Inputs'!$B$31+'Inputs'!$B$32,'Inputs'!$B$30+'Inputs'!$B$31+'Inputs'!$B$32)/1000+'Inputs'!$B$21+'Inputs'!$B$9+'Inputs'!$B$10))^2+('Inputs'!$B$6/2)^2))))*'Results'!$B$8)+'Inputs'!$B$28*ABS((('Results'!C7*(1+'Inputs'!$B$24)*(0.5*((((612-43)*MAX('Inputs'!$B$33,'Inputs'!$B$29+'Inputs'!$B$31+'Inputs'!$B$32,'Inputs'!$B$30+'Inputs'!$B$31+'Inputs'!$B$32)/1000+'Inputs'!$B$21)+'Inputs'!$B$9)/SQRT((((612-43)*MAX('Inputs'!$B$33,'Inputs'!$B$29+'Inputs'!$B$31+'Inputs'!$B$32,'Inputs'!$B$30+'Inputs'!$B$31+'Inputs'!$B$32)/1000+'Inputs'!$B$21)+'Inputs'!$B$9)^2+('Inputs'!$B$8/2)^2)-(((612-43)*MAX('Inputs'!$B$33,'Inputs'!$B$29+'Inputs'!$B$31+'Inputs'!$B$32,'Inputs'!$B$30+'Inputs'!$B$31+'Inputs'!$B$32)/1000+'Inputs'!$B$21))/SQRT((((612-43)*MAX('Inputs'!$B$33,'Inputs'!$B$29+'Inputs'!$B$31+'Inputs'!$B$32,'Inputs'!$B$30+'Inputs'!$B$31+'Inputs'!$B$32)/1000+'Inputs'!$B$21))^2+('Inputs'!$B$8/2)^2)))-'Results'!B7*(1-'Inputs'!$B$24)*(0.5*((((612-43)*MAX('Inputs'!$B$33,'Inputs'!$B$29+'Inputs'!$B$31+'Inputs'!$B$32,'Inputs'!$B$30+'Inputs'!$B$31+'Inputs'!$B$32)/1000+'Inputs'!$B$21+'Inputs'!$B$9+'Inputs'!$B$10)+'Inputs'!$B$7)/SQRT((((612-43)*MAX('Inputs'!$B$33,'Inputs'!$B$29+'Inputs'!$B$31+'Inputs'!$B$32,'Inputs'!$B$30+'Inputs'!$B$31+'Inputs'!$B$32)/1000+'Inputs'!$B$21+'Inputs'!$B$9+'Inputs'!$B$10)+'Inputs'!$B$7)^2+('Inputs'!$B$6/2)^2)-(((612-43)*MAX('Inputs'!$B$33,'Inputs'!$B$29+'Inputs'!$B$31+'Inputs'!$B$32,'Inputs'!$B$30+'Inputs'!$B$31+'Inputs'!$B$32)/1000+'Inputs'!$B$21+'Inputs'!$B$9+'Inputs'!$B$10))/SQRT((((612-43)*MAX('Inputs'!$B$33,'Inputs'!$B$29+'Inputs'!$B$31+'Inputs'!$B$32,'Inputs'!$B$30+'Inputs'!$B$31+'Inputs'!$B$32)/1000+'Inputs'!$B$21+'Inputs'!$B$9+'Inputs'!$B$10))^2+('Inputs'!$B$6/2)^2))))*'Results'!$B$8))),"")</x:f>
        <x:v>2.8085286913211474</x:v>
      </x:c>
      <x:c r="P612" t="n">
        <x:f>IF(AND(MAX(J612,J611)&gt;0,J612&gt;J611+0.00000001),1,0)</x:f>
        <x:v>0</x:v>
      </x:c>
      <x:c r="Q612" t="n">
        <x:f>IF(AND(MAX(K612,K611)&gt;0,K612&gt;K611+0.00000001),1,0)</x:f>
        <x:v>0</x:v>
      </x:c>
      <x:c r="R612" t="n">
        <x:f>IF(AND(MAX(L612,L611)&gt;0,L612&gt;L611+0.00000001),1,0)</x:f>
        <x:v>0</x:v>
      </x:c>
      <x:c r="S612" t="n">
        <x:f>IF(AND(MAX(M612,M611)&gt;0,M612&gt;M611+0.00000001),1,0)</x:f>
        <x:v>0</x:v>
      </x:c>
      <x:c r="T612" t="n">
        <x:f>IF(AND(MAX(N612,N611)&gt;0,N612&gt;N611+0.00000001),1,0)</x:f>
        <x:v>0</x:v>
      </x:c>
      <x:c r="U612" t="n">
        <x:f>IF(AND(MAX(O612,O611)&gt;0,O612&gt;O611+0.00000001),1,0)</x:f>
        <x:v>0</x:v>
      </x:c>
    </x:row>
    <x:row r="613">
      <x:c r="J613" t="n">
        <x:f>IF(AND(ISNUMBER('Results'!B7),ISNUMBER('Results'!C7),ISNUMBER('Results'!$B$8),ISNUMBER('Inputs'!$B$6),ISNUMBER('Inputs'!$B$7),ISNUMBER('Inputs'!$B$8),ISNUMBER('Inputs'!$B$9),ISNUMBER('Inputs'!$B$10),ISNUMBER('Inputs'!$B$21),ISNUMBER('Inputs'!$B$24),ISNUMBER('Inputs'!$B$28)),(('Results'!B7*(0.5*((((613-43)*MAX('Inputs'!$B$33,'Inputs'!$B$29+'Inputs'!$B$31+'Inputs'!$B$32,'Inputs'!$B$30+'Inputs'!$B$31+'Inputs'!$B$32)/1000+'Inputs'!$B$21)+'Inputs'!$B$7)/SQRT((((613-43)*MAX('Inputs'!$B$33,'Inputs'!$B$29+'Inputs'!$B$31+'Inputs'!$B$32,'Inputs'!$B$30+'Inputs'!$B$31+'Inputs'!$B$32)/1000+'Inputs'!$B$21)+'Inputs'!$B$7)^2+('Inputs'!$B$6/2)^2)-(((613-43)*MAX('Inputs'!$B$33,'Inputs'!$B$29+'Inputs'!$B$31+'Inputs'!$B$32,'Inputs'!$B$30+'Inputs'!$B$31+'Inputs'!$B$32)/1000+'Inputs'!$B$21))/SQRT((((613-43)*MAX('Inputs'!$B$33,'Inputs'!$B$29+'Inputs'!$B$31+'Inputs'!$B$32,'Inputs'!$B$30+'Inputs'!$B$31+'Inputs'!$B$32)/1000+'Inputs'!$B$21))^2+('Inputs'!$B$6/2)^2)))-'Results'!C7*(0.5*((((613-43)*MAX('Inputs'!$B$33,'Inputs'!$B$29+'Inputs'!$B$31+'Inputs'!$B$32,'Inputs'!$B$30+'Inputs'!$B$31+'Inputs'!$B$32)/1000+'Inputs'!$B$21+'Inputs'!$B$7+'Inputs'!$B$10)+'Inputs'!$B$9)/SQRT((((613-43)*MAX('Inputs'!$B$33,'Inputs'!$B$29+'Inputs'!$B$31+'Inputs'!$B$32,'Inputs'!$B$30+'Inputs'!$B$31+'Inputs'!$B$32)/1000+'Inputs'!$B$21+'Inputs'!$B$7+'Inputs'!$B$10)+'Inputs'!$B$9)^2+('Inputs'!$B$8/2)^2)-(((613-43)*MAX('Inputs'!$B$33,'Inputs'!$B$29+'Inputs'!$B$31+'Inputs'!$B$32,'Inputs'!$B$30+'Inputs'!$B$31+'Inputs'!$B$32)/1000+'Inputs'!$B$21+'Inputs'!$B$7+'Inputs'!$B$10))/SQRT((((613-43)*MAX('Inputs'!$B$33,'Inputs'!$B$29+'Inputs'!$B$31+'Inputs'!$B$32,'Inputs'!$B$30+'Inputs'!$B$31+'Inputs'!$B$32)/1000+'Inputs'!$B$21+'Inputs'!$B$7+'Inputs'!$B$10))^2+('Inputs'!$B$8/2)^2))))*'Results'!$B$8),"")</x:f>
        <x:v>2.6610489870881255</x:v>
      </x:c>
      <x:c r="K613" t="n">
        <x:f>IF(AND(ISNUMBER('Results'!B7),ISNUMBER('Results'!C7),ISNUMBER('Results'!$B$8),ISNUMBER('Inputs'!$B$6),ISNUMBER('Inputs'!$B$7),ISNUMBER('Inputs'!$B$8),ISNUMBER('Inputs'!$B$9),ISNUMBER('Inputs'!$B$10),ISNUMBER('Inputs'!$B$21),ISNUMBER('Inputs'!$B$24),ISNUMBER('Inputs'!$B$28)),((('Results'!B7*(1-'Inputs'!$B$24)*(0.5*((((613-43)*MAX('Inputs'!$B$33,'Inputs'!$B$29+'Inputs'!$B$31+'Inputs'!$B$32,'Inputs'!$B$30+'Inputs'!$B$31+'Inputs'!$B$32)/1000+'Inputs'!$B$21)+'Inputs'!$B$7)/SQRT((((613-43)*MAX('Inputs'!$B$33,'Inputs'!$B$29+'Inputs'!$B$31+'Inputs'!$B$32,'Inputs'!$B$30+'Inputs'!$B$31+'Inputs'!$B$32)/1000+'Inputs'!$B$21)+'Inputs'!$B$7)^2+('Inputs'!$B$6/2)^2)-(((613-43)*MAX('Inputs'!$B$33,'Inputs'!$B$29+'Inputs'!$B$31+'Inputs'!$B$32,'Inputs'!$B$30+'Inputs'!$B$31+'Inputs'!$B$32)/1000+'Inputs'!$B$21))/SQRT((((613-43)*MAX('Inputs'!$B$33,'Inputs'!$B$29+'Inputs'!$B$31+'Inputs'!$B$32,'Inputs'!$B$30+'Inputs'!$B$31+'Inputs'!$B$32)/1000+'Inputs'!$B$21))^2+('Inputs'!$B$6/2)^2)))-'Results'!C7*(1+'Inputs'!$B$24)*(0.5*((((613-43)*MAX('Inputs'!$B$33,'Inputs'!$B$29+'Inputs'!$B$31+'Inputs'!$B$32,'Inputs'!$B$30+'Inputs'!$B$31+'Inputs'!$B$32)/1000+'Inputs'!$B$21+'Inputs'!$B$7+'Inputs'!$B$10)+'Inputs'!$B$9)/SQRT((((613-43)*MAX('Inputs'!$B$33,'Inputs'!$B$29+'Inputs'!$B$31+'Inputs'!$B$32,'Inputs'!$B$30+'Inputs'!$B$31+'Inputs'!$B$32)/1000+'Inputs'!$B$21+'Inputs'!$B$7+'Inputs'!$B$10)+'Inputs'!$B$9)^2+('Inputs'!$B$8/2)^2)-(((613-43)*MAX('Inputs'!$B$33,'Inputs'!$B$29+'Inputs'!$B$31+'Inputs'!$B$32,'Inputs'!$B$30+'Inputs'!$B$31+'Inputs'!$B$32)/1000+'Inputs'!$B$21+'Inputs'!$B$7+'Inputs'!$B$10))/SQRT((((613-43)*MAX('Inputs'!$B$33,'Inputs'!$B$29+'Inputs'!$B$31+'Inputs'!$B$32,'Inputs'!$B$30+'Inputs'!$B$31+'Inputs'!$B$32)/1000+'Inputs'!$B$21+'Inputs'!$B$7+'Inputs'!$B$10))^2+('Inputs'!$B$8/2)^2))))*'Results'!$B$8)-'Inputs'!$B$28*ABS((('Results'!B7*(1-'Inputs'!$B$24)*(0.5*((((613-43)*MAX('Inputs'!$B$33,'Inputs'!$B$29+'Inputs'!$B$31+'Inputs'!$B$32,'Inputs'!$B$30+'Inputs'!$B$31+'Inputs'!$B$32)/1000+'Inputs'!$B$21)+'Inputs'!$B$7)/SQRT((((613-43)*MAX('Inputs'!$B$33,'Inputs'!$B$29+'Inputs'!$B$31+'Inputs'!$B$32,'Inputs'!$B$30+'Inputs'!$B$31+'Inputs'!$B$32)/1000+'Inputs'!$B$21)+'Inputs'!$B$7)^2+('Inputs'!$B$6/2)^2)-(((613-43)*MAX('Inputs'!$B$33,'Inputs'!$B$29+'Inputs'!$B$31+'Inputs'!$B$32,'Inputs'!$B$30+'Inputs'!$B$31+'Inputs'!$B$32)/1000+'Inputs'!$B$21))/SQRT((((613-43)*MAX('Inputs'!$B$33,'Inputs'!$B$29+'Inputs'!$B$31+'Inputs'!$B$32,'Inputs'!$B$30+'Inputs'!$B$31+'Inputs'!$B$32)/1000+'Inputs'!$B$21))^2+('Inputs'!$B$6/2)^2)))-'Results'!C7*(1+'Inputs'!$B$24)*(0.5*((((613-43)*MAX('Inputs'!$B$33,'Inputs'!$B$29+'Inputs'!$B$31+'Inputs'!$B$32,'Inputs'!$B$30+'Inputs'!$B$31+'Inputs'!$B$32)/1000+'Inputs'!$B$21+'Inputs'!$B$7+'Inputs'!$B$10)+'Inputs'!$B$9)/SQRT((((613-43)*MAX('Inputs'!$B$33,'Inputs'!$B$29+'Inputs'!$B$31+'Inputs'!$B$32,'Inputs'!$B$30+'Inputs'!$B$31+'Inputs'!$B$32)/1000+'Inputs'!$B$21+'Inputs'!$B$7+'Inputs'!$B$10)+'Inputs'!$B$9)^2+('Inputs'!$B$8/2)^2)-(((613-43)*MAX('Inputs'!$B$33,'Inputs'!$B$29+'Inputs'!$B$31+'Inputs'!$B$32,'Inputs'!$B$30+'Inputs'!$B$31+'Inputs'!$B$32)/1000+'Inputs'!$B$21+'Inputs'!$B$7+'Inputs'!$B$10))/SQRT((((613-43)*MAX('Inputs'!$B$33,'Inputs'!$B$29+'Inputs'!$B$31+'Inputs'!$B$32,'Inputs'!$B$30+'Inputs'!$B$31+'Inputs'!$B$32)/1000+'Inputs'!$B$21+'Inputs'!$B$7+'Inputs'!$B$10))^2+('Inputs'!$B$8/2)^2))))*'Results'!$B$8))),"")</x:f>
        <x:v>2.3381705363248475</x:v>
      </x:c>
      <x:c r="L613" t="n">
        <x:f>IF(AND(ISNUMBER('Results'!B7),ISNUMBER('Results'!C7),ISNUMBER('Results'!$B$8),ISNUMBER('Inputs'!$B$6),ISNUMBER('Inputs'!$B$7),ISNUMBER('Inputs'!$B$8),ISNUMBER('Inputs'!$B$9),ISNUMBER('Inputs'!$B$10),ISNUMBER('Inputs'!$B$21),ISNUMBER('Inputs'!$B$24),ISNUMBER('Inputs'!$B$28)),((('Results'!B7*(1+'Inputs'!$B$24)*(0.5*((((613-43)*MAX('Inputs'!$B$33,'Inputs'!$B$29+'Inputs'!$B$31+'Inputs'!$B$32,'Inputs'!$B$30+'Inputs'!$B$31+'Inputs'!$B$32)/1000+'Inputs'!$B$21)+'Inputs'!$B$7)/SQRT((((613-43)*MAX('Inputs'!$B$33,'Inputs'!$B$29+'Inputs'!$B$31+'Inputs'!$B$32,'Inputs'!$B$30+'Inputs'!$B$31+'Inputs'!$B$32)/1000+'Inputs'!$B$21)+'Inputs'!$B$7)^2+('Inputs'!$B$6/2)^2)-(((613-43)*MAX('Inputs'!$B$33,'Inputs'!$B$29+'Inputs'!$B$31+'Inputs'!$B$32,'Inputs'!$B$30+'Inputs'!$B$31+'Inputs'!$B$32)/1000+'Inputs'!$B$21))/SQRT((((613-43)*MAX('Inputs'!$B$33,'Inputs'!$B$29+'Inputs'!$B$31+'Inputs'!$B$32,'Inputs'!$B$30+'Inputs'!$B$31+'Inputs'!$B$32)/1000+'Inputs'!$B$21))^2+('Inputs'!$B$6/2)^2)))-'Results'!C7*(1-'Inputs'!$B$24)*(0.5*((((613-43)*MAX('Inputs'!$B$33,'Inputs'!$B$29+'Inputs'!$B$31+'Inputs'!$B$32,'Inputs'!$B$30+'Inputs'!$B$31+'Inputs'!$B$32)/1000+'Inputs'!$B$21+'Inputs'!$B$7+'Inputs'!$B$10)+'Inputs'!$B$9)/SQRT((((613-43)*MAX('Inputs'!$B$33,'Inputs'!$B$29+'Inputs'!$B$31+'Inputs'!$B$32,'Inputs'!$B$30+'Inputs'!$B$31+'Inputs'!$B$32)/1000+'Inputs'!$B$21+'Inputs'!$B$7+'Inputs'!$B$10)+'Inputs'!$B$9)^2+('Inputs'!$B$8/2)^2)-(((613-43)*MAX('Inputs'!$B$33,'Inputs'!$B$29+'Inputs'!$B$31+'Inputs'!$B$32,'Inputs'!$B$30+'Inputs'!$B$31+'Inputs'!$B$32)/1000+'Inputs'!$B$21+'Inputs'!$B$7+'Inputs'!$B$10))/SQRT((((613-43)*MAX('Inputs'!$B$33,'Inputs'!$B$29+'Inputs'!$B$31+'Inputs'!$B$32,'Inputs'!$B$30+'Inputs'!$B$31+'Inputs'!$B$32)/1000+'Inputs'!$B$21+'Inputs'!$B$7+'Inputs'!$B$10))^2+('Inputs'!$B$8/2)^2))))*'Results'!$B$8)+'Inputs'!$B$28*ABS((('Results'!B7*(1+'Inputs'!$B$24)*(0.5*((((613-43)*MAX('Inputs'!$B$33,'Inputs'!$B$29+'Inputs'!$B$31+'Inputs'!$B$32,'Inputs'!$B$30+'Inputs'!$B$31+'Inputs'!$B$32)/1000+'Inputs'!$B$21)+'Inputs'!$B$7)/SQRT((((613-43)*MAX('Inputs'!$B$33,'Inputs'!$B$29+'Inputs'!$B$31+'Inputs'!$B$32,'Inputs'!$B$30+'Inputs'!$B$31+'Inputs'!$B$32)/1000+'Inputs'!$B$21)+'Inputs'!$B$7)^2+('Inputs'!$B$6/2)^2)-(((613-43)*MAX('Inputs'!$B$33,'Inputs'!$B$29+'Inputs'!$B$31+'Inputs'!$B$32,'Inputs'!$B$30+'Inputs'!$B$31+'Inputs'!$B$32)/1000+'Inputs'!$B$21))/SQRT((((613-43)*MAX('Inputs'!$B$33,'Inputs'!$B$29+'Inputs'!$B$31+'Inputs'!$B$32,'Inputs'!$B$30+'Inputs'!$B$31+'Inputs'!$B$32)/1000+'Inputs'!$B$21))^2+('Inputs'!$B$6/2)^2)))-'Results'!C7*(1-'Inputs'!$B$24)*(0.5*((((613-43)*MAX('Inputs'!$B$33,'Inputs'!$B$29+'Inputs'!$B$31+'Inputs'!$B$32,'Inputs'!$B$30+'Inputs'!$B$31+'Inputs'!$B$32)/1000+'Inputs'!$B$21+'Inputs'!$B$7+'Inputs'!$B$10)+'Inputs'!$B$9)/SQRT((((613-43)*MAX('Inputs'!$B$33,'Inputs'!$B$29+'Inputs'!$B$31+'Inputs'!$B$32,'Inputs'!$B$30+'Inputs'!$B$31+'Inputs'!$B$32)/1000+'Inputs'!$B$21+'Inputs'!$B$7+'Inputs'!$B$10)+'Inputs'!$B$9)^2+('Inputs'!$B$8/2)^2)-(((613-43)*MAX('Inputs'!$B$33,'Inputs'!$B$29+'Inputs'!$B$31+'Inputs'!$B$32,'Inputs'!$B$30+'Inputs'!$B$31+'Inputs'!$B$32)/1000+'Inputs'!$B$21+'Inputs'!$B$7+'Inputs'!$B$10))/SQRT((((613-43)*MAX('Inputs'!$B$33,'Inputs'!$B$29+'Inputs'!$B$31+'Inputs'!$B$32,'Inputs'!$B$30+'Inputs'!$B$31+'Inputs'!$B$32)/1000+'Inputs'!$B$21+'Inputs'!$B$7+'Inputs'!$B$10))^2+('Inputs'!$B$8/2)^2))))*'Results'!$B$8))),"")</x:f>
        <x:v>3.0039091222102328</x:v>
      </x:c>
      <x:c r="M613" t="n">
        <x:f>IF(AND(ISNUMBER('Results'!C7),ISNUMBER('Results'!B7),ISNUMBER('Results'!$B$8),ISNUMBER('Inputs'!$B$6),ISNUMBER('Inputs'!$B$7),ISNUMBER('Inputs'!$B$8),ISNUMBER('Inputs'!$B$9),ISNUMBER('Inputs'!$B$10),ISNUMBER('Inputs'!$B$21),ISNUMBER('Inputs'!$B$24),ISNUMBER('Inputs'!$B$28)),(('Results'!C7*(0.5*((((613-43)*MAX('Inputs'!$B$33,'Inputs'!$B$29+'Inputs'!$B$31+'Inputs'!$B$32,'Inputs'!$B$30+'Inputs'!$B$31+'Inputs'!$B$32)/1000+'Inputs'!$B$21)+'Inputs'!$B$9)/SQRT((((613-43)*MAX('Inputs'!$B$33,'Inputs'!$B$29+'Inputs'!$B$31+'Inputs'!$B$32,'Inputs'!$B$30+'Inputs'!$B$31+'Inputs'!$B$32)/1000+'Inputs'!$B$21)+'Inputs'!$B$9)^2+('Inputs'!$B$8/2)^2)-(((613-43)*MAX('Inputs'!$B$33,'Inputs'!$B$29+'Inputs'!$B$31+'Inputs'!$B$32,'Inputs'!$B$30+'Inputs'!$B$31+'Inputs'!$B$32)/1000+'Inputs'!$B$21))/SQRT((((613-43)*MAX('Inputs'!$B$33,'Inputs'!$B$29+'Inputs'!$B$31+'Inputs'!$B$32,'Inputs'!$B$30+'Inputs'!$B$31+'Inputs'!$B$32)/1000+'Inputs'!$B$21))^2+('Inputs'!$B$8/2)^2)))-'Results'!B7*(0.5*((((613-43)*MAX('Inputs'!$B$33,'Inputs'!$B$29+'Inputs'!$B$31+'Inputs'!$B$32,'Inputs'!$B$30+'Inputs'!$B$31+'Inputs'!$B$32)/1000+'Inputs'!$B$21+'Inputs'!$B$9+'Inputs'!$B$10)+'Inputs'!$B$7)/SQRT((((613-43)*MAX('Inputs'!$B$33,'Inputs'!$B$29+'Inputs'!$B$31+'Inputs'!$B$32,'Inputs'!$B$30+'Inputs'!$B$31+'Inputs'!$B$32)/1000+'Inputs'!$B$21+'Inputs'!$B$9+'Inputs'!$B$10)+'Inputs'!$B$7)^2+('Inputs'!$B$6/2)^2)-(((613-43)*MAX('Inputs'!$B$33,'Inputs'!$B$29+'Inputs'!$B$31+'Inputs'!$B$32,'Inputs'!$B$30+'Inputs'!$B$31+'Inputs'!$B$32)/1000+'Inputs'!$B$21+'Inputs'!$B$9+'Inputs'!$B$10))/SQRT((((613-43)*MAX('Inputs'!$B$33,'Inputs'!$B$29+'Inputs'!$B$31+'Inputs'!$B$32,'Inputs'!$B$30+'Inputs'!$B$31+'Inputs'!$B$32)/1000+'Inputs'!$B$21+'Inputs'!$B$9+'Inputs'!$B$10))^2+('Inputs'!$B$6/2)^2))))*'Results'!$B$8),"")</x:f>
        <x:v>2.4597362673381404</x:v>
      </x:c>
      <x:c r="N613" t="n">
        <x:f>IF(AND(ISNUMBER('Results'!C7),ISNUMBER('Results'!B7),ISNUMBER('Results'!$B$8),ISNUMBER('Inputs'!$B$6),ISNUMBER('Inputs'!$B$7),ISNUMBER('Inputs'!$B$8),ISNUMBER('Inputs'!$B$9),ISNUMBER('Inputs'!$B$10),ISNUMBER('Inputs'!$B$21),ISNUMBER('Inputs'!$B$24),ISNUMBER('Inputs'!$B$28)),((('Results'!C7*(1-'Inputs'!$B$24)*(0.5*((((613-43)*MAX('Inputs'!$B$33,'Inputs'!$B$29+'Inputs'!$B$31+'Inputs'!$B$32,'Inputs'!$B$30+'Inputs'!$B$31+'Inputs'!$B$32)/1000+'Inputs'!$B$21)+'Inputs'!$B$9)/SQRT((((613-43)*MAX('Inputs'!$B$33,'Inputs'!$B$29+'Inputs'!$B$31+'Inputs'!$B$32,'Inputs'!$B$30+'Inputs'!$B$31+'Inputs'!$B$32)/1000+'Inputs'!$B$21)+'Inputs'!$B$9)^2+('Inputs'!$B$8/2)^2)-(((613-43)*MAX('Inputs'!$B$33,'Inputs'!$B$29+'Inputs'!$B$31+'Inputs'!$B$32,'Inputs'!$B$30+'Inputs'!$B$31+'Inputs'!$B$32)/1000+'Inputs'!$B$21))/SQRT((((613-43)*MAX('Inputs'!$B$33,'Inputs'!$B$29+'Inputs'!$B$31+'Inputs'!$B$32,'Inputs'!$B$30+'Inputs'!$B$31+'Inputs'!$B$32)/1000+'Inputs'!$B$21))^2+('Inputs'!$B$8/2)^2)))-'Results'!B7*(1+'Inputs'!$B$24)*(0.5*((((613-43)*MAX('Inputs'!$B$33,'Inputs'!$B$29+'Inputs'!$B$31+'Inputs'!$B$32,'Inputs'!$B$30+'Inputs'!$B$31+'Inputs'!$B$32)/1000+'Inputs'!$B$21+'Inputs'!$B$9+'Inputs'!$B$10)+'Inputs'!$B$7)/SQRT((((613-43)*MAX('Inputs'!$B$33,'Inputs'!$B$29+'Inputs'!$B$31+'Inputs'!$B$32,'Inputs'!$B$30+'Inputs'!$B$31+'Inputs'!$B$32)/1000+'Inputs'!$B$21+'Inputs'!$B$9+'Inputs'!$B$10)+'Inputs'!$B$7)^2+('Inputs'!$B$6/2)^2)-(((613-43)*MAX('Inputs'!$B$33,'Inputs'!$B$29+'Inputs'!$B$31+'Inputs'!$B$32,'Inputs'!$B$30+'Inputs'!$B$31+'Inputs'!$B$32)/1000+'Inputs'!$B$21+'Inputs'!$B$9+'Inputs'!$B$10))/SQRT((((613-43)*MAX('Inputs'!$B$33,'Inputs'!$B$29+'Inputs'!$B$31+'Inputs'!$B$32,'Inputs'!$B$30+'Inputs'!$B$31+'Inputs'!$B$32)/1000+'Inputs'!$B$21+'Inputs'!$B$9+'Inputs'!$B$10))^2+('Inputs'!$B$6/2)^2))))*'Results'!$B$8)-'Inputs'!$B$28*ABS((('Results'!C7*(1-'Inputs'!$B$24)*(0.5*((((613-43)*MAX('Inputs'!$B$33,'Inputs'!$B$29+'Inputs'!$B$31+'Inputs'!$B$32,'Inputs'!$B$30+'Inputs'!$B$31+'Inputs'!$B$32)/1000+'Inputs'!$B$21)+'Inputs'!$B$9)/SQRT((((613-43)*MAX('Inputs'!$B$33,'Inputs'!$B$29+'Inputs'!$B$31+'Inputs'!$B$32,'Inputs'!$B$30+'Inputs'!$B$31+'Inputs'!$B$32)/1000+'Inputs'!$B$21)+'Inputs'!$B$9)^2+('Inputs'!$B$8/2)^2)-(((613-43)*MAX('Inputs'!$B$33,'Inputs'!$B$29+'Inputs'!$B$31+'Inputs'!$B$32,'Inputs'!$B$30+'Inputs'!$B$31+'Inputs'!$B$32)/1000+'Inputs'!$B$21))/SQRT((((613-43)*MAX('Inputs'!$B$33,'Inputs'!$B$29+'Inputs'!$B$31+'Inputs'!$B$32,'Inputs'!$B$30+'Inputs'!$B$31+'Inputs'!$B$32)/1000+'Inputs'!$B$21))^2+('Inputs'!$B$8/2)^2)))-'Results'!B7*(1+'Inputs'!$B$24)*(0.5*((((613-43)*MAX('Inputs'!$B$33,'Inputs'!$B$29+'Inputs'!$B$31+'Inputs'!$B$32,'Inputs'!$B$30+'Inputs'!$B$31+'Inputs'!$B$32)/1000+'Inputs'!$B$21+'Inputs'!$B$9+'Inputs'!$B$10)+'Inputs'!$B$7)/SQRT((((613-43)*MAX('Inputs'!$B$33,'Inputs'!$B$29+'Inputs'!$B$31+'Inputs'!$B$32,'Inputs'!$B$30+'Inputs'!$B$31+'Inputs'!$B$32)/1000+'Inputs'!$B$21+'Inputs'!$B$9+'Inputs'!$B$10)+'Inputs'!$B$7)^2+('Inputs'!$B$6/2)^2)-(((613-43)*MAX('Inputs'!$B$33,'Inputs'!$B$29+'Inputs'!$B$31+'Inputs'!$B$32,'Inputs'!$B$30+'Inputs'!$B$31+'Inputs'!$B$32)/1000+'Inputs'!$B$21+'Inputs'!$B$9+'Inputs'!$B$10))/SQRT((((613-43)*MAX('Inputs'!$B$33,'Inputs'!$B$29+'Inputs'!$B$31+'Inputs'!$B$32,'Inputs'!$B$30+'Inputs'!$B$31+'Inputs'!$B$32)/1000+'Inputs'!$B$21+'Inputs'!$B$9+'Inputs'!$B$10))^2+('Inputs'!$B$6/2)^2))))*'Results'!$B$8))),"")</x:f>
        <x:v>2.1479062295303817</x:v>
      </x:c>
      <x:c r="O613" t="n">
        <x:f>IF(AND(ISNUMBER('Results'!C7),ISNUMBER('Results'!B7),ISNUMBER('Results'!$B$8),ISNUMBER('Inputs'!$B$6),ISNUMBER('Inputs'!$B$7),ISNUMBER('Inputs'!$B$8),ISNUMBER('Inputs'!$B$9),ISNUMBER('Inputs'!$B$10),ISNUMBER('Inputs'!$B$21),ISNUMBER('Inputs'!$B$24),ISNUMBER('Inputs'!$B$28)),((('Results'!C7*(1+'Inputs'!$B$24)*(0.5*((((613-43)*MAX('Inputs'!$B$33,'Inputs'!$B$29+'Inputs'!$B$31+'Inputs'!$B$32,'Inputs'!$B$30+'Inputs'!$B$31+'Inputs'!$B$32)/1000+'Inputs'!$B$21)+'Inputs'!$B$9)/SQRT((((613-43)*MAX('Inputs'!$B$33,'Inputs'!$B$29+'Inputs'!$B$31+'Inputs'!$B$32,'Inputs'!$B$30+'Inputs'!$B$31+'Inputs'!$B$32)/1000+'Inputs'!$B$21)+'Inputs'!$B$9)^2+('Inputs'!$B$8/2)^2)-(((613-43)*MAX('Inputs'!$B$33,'Inputs'!$B$29+'Inputs'!$B$31+'Inputs'!$B$32,'Inputs'!$B$30+'Inputs'!$B$31+'Inputs'!$B$32)/1000+'Inputs'!$B$21))/SQRT((((613-43)*MAX('Inputs'!$B$33,'Inputs'!$B$29+'Inputs'!$B$31+'Inputs'!$B$32,'Inputs'!$B$30+'Inputs'!$B$31+'Inputs'!$B$32)/1000+'Inputs'!$B$21))^2+('Inputs'!$B$8/2)^2)))-'Results'!B7*(1-'Inputs'!$B$24)*(0.5*((((613-43)*MAX('Inputs'!$B$33,'Inputs'!$B$29+'Inputs'!$B$31+'Inputs'!$B$32,'Inputs'!$B$30+'Inputs'!$B$31+'Inputs'!$B$32)/1000+'Inputs'!$B$21+'Inputs'!$B$9+'Inputs'!$B$10)+'Inputs'!$B$7)/SQRT((((613-43)*MAX('Inputs'!$B$33,'Inputs'!$B$29+'Inputs'!$B$31+'Inputs'!$B$32,'Inputs'!$B$30+'Inputs'!$B$31+'Inputs'!$B$32)/1000+'Inputs'!$B$21+'Inputs'!$B$9+'Inputs'!$B$10)+'Inputs'!$B$7)^2+('Inputs'!$B$6/2)^2)-(((613-43)*MAX('Inputs'!$B$33,'Inputs'!$B$29+'Inputs'!$B$31+'Inputs'!$B$32,'Inputs'!$B$30+'Inputs'!$B$31+'Inputs'!$B$32)/1000+'Inputs'!$B$21+'Inputs'!$B$9+'Inputs'!$B$10))/SQRT((((613-43)*MAX('Inputs'!$B$33,'Inputs'!$B$29+'Inputs'!$B$31+'Inputs'!$B$32,'Inputs'!$B$30+'Inputs'!$B$31+'Inputs'!$B$32)/1000+'Inputs'!$B$21+'Inputs'!$B$9+'Inputs'!$B$10))^2+('Inputs'!$B$6/2)^2))))*'Results'!$B$8)+'Inputs'!$B$28*ABS((('Results'!C7*(1+'Inputs'!$B$24)*(0.5*((((613-43)*MAX('Inputs'!$B$33,'Inputs'!$B$29+'Inputs'!$B$31+'Inputs'!$B$32,'Inputs'!$B$30+'Inputs'!$B$31+'Inputs'!$B$32)/1000+'Inputs'!$B$21)+'Inputs'!$B$9)/SQRT((((613-43)*MAX('Inputs'!$B$33,'Inputs'!$B$29+'Inputs'!$B$31+'Inputs'!$B$32,'Inputs'!$B$30+'Inputs'!$B$31+'Inputs'!$B$32)/1000+'Inputs'!$B$21)+'Inputs'!$B$9)^2+('Inputs'!$B$8/2)^2)-(((613-43)*MAX('Inputs'!$B$33,'Inputs'!$B$29+'Inputs'!$B$31+'Inputs'!$B$32,'Inputs'!$B$30+'Inputs'!$B$31+'Inputs'!$B$32)/1000+'Inputs'!$B$21))/SQRT((((613-43)*MAX('Inputs'!$B$33,'Inputs'!$B$29+'Inputs'!$B$31+'Inputs'!$B$32,'Inputs'!$B$30+'Inputs'!$B$31+'Inputs'!$B$32)/1000+'Inputs'!$B$21))^2+('Inputs'!$B$8/2)^2)))-'Results'!B7*(1-'Inputs'!$B$24)*(0.5*((((613-43)*MAX('Inputs'!$B$33,'Inputs'!$B$29+'Inputs'!$B$31+'Inputs'!$B$32,'Inputs'!$B$30+'Inputs'!$B$31+'Inputs'!$B$32)/1000+'Inputs'!$B$21+'Inputs'!$B$9+'Inputs'!$B$10)+'Inputs'!$B$7)/SQRT((((613-43)*MAX('Inputs'!$B$33,'Inputs'!$B$29+'Inputs'!$B$31+'Inputs'!$B$32,'Inputs'!$B$30+'Inputs'!$B$31+'Inputs'!$B$32)/1000+'Inputs'!$B$21+'Inputs'!$B$9+'Inputs'!$B$10)+'Inputs'!$B$7)^2+('Inputs'!$B$6/2)^2)-(((613-43)*MAX('Inputs'!$B$33,'Inputs'!$B$29+'Inputs'!$B$31+'Inputs'!$B$32,'Inputs'!$B$30+'Inputs'!$B$31+'Inputs'!$B$32)/1000+'Inputs'!$B$21+'Inputs'!$B$9+'Inputs'!$B$10))/SQRT((((613-43)*MAX('Inputs'!$B$33,'Inputs'!$B$29+'Inputs'!$B$31+'Inputs'!$B$32,'Inputs'!$B$30+'Inputs'!$B$31+'Inputs'!$B$32)/1000+'Inputs'!$B$21+'Inputs'!$B$9+'Inputs'!$B$10))^2+('Inputs'!$B$6/2)^2))))*'Results'!$B$8))),"")</x:f>
        <x:v>2.791444539297567</x:v>
      </x:c>
      <x:c r="P613" t="n">
        <x:f>IF(AND(MAX(J613,J612)&gt;0,J613&gt;J612+0.00000001),1,0)</x:f>
        <x:v>0</x:v>
      </x:c>
      <x:c r="Q613" t="n">
        <x:f>IF(AND(MAX(K613,K612)&gt;0,K613&gt;K612+0.00000001),1,0)</x:f>
        <x:v>0</x:v>
      </x:c>
      <x:c r="R613" t="n">
        <x:f>IF(AND(MAX(L613,L612)&gt;0,L613&gt;L612+0.00000001),1,0)</x:f>
        <x:v>0</x:v>
      </x:c>
      <x:c r="S613" t="n">
        <x:f>IF(AND(MAX(M613,M612)&gt;0,M613&gt;M612+0.00000001),1,0)</x:f>
        <x:v>0</x:v>
      </x:c>
      <x:c r="T613" t="n">
        <x:f>IF(AND(MAX(N613,N612)&gt;0,N613&gt;N612+0.00000001),1,0)</x:f>
        <x:v>0</x:v>
      </x:c>
      <x:c r="U613" t="n">
        <x:f>IF(AND(MAX(O613,O612)&gt;0,O613&gt;O612+0.00000001),1,0)</x:f>
        <x:v>0</x:v>
      </x:c>
    </x:row>
    <x:row r="614">
      <x:c r="J614" t="n">
        <x:f>IF(AND(ISNUMBER('Results'!B7),ISNUMBER('Results'!C7),ISNUMBER('Results'!$B$8),ISNUMBER('Inputs'!$B$6),ISNUMBER('Inputs'!$B$7),ISNUMBER('Inputs'!$B$8),ISNUMBER('Inputs'!$B$9),ISNUMBER('Inputs'!$B$10),ISNUMBER('Inputs'!$B$21),ISNUMBER('Inputs'!$B$24),ISNUMBER('Inputs'!$B$28)),(('Results'!B7*(0.5*((((614-43)*MAX('Inputs'!$B$33,'Inputs'!$B$29+'Inputs'!$B$31+'Inputs'!$B$32,'Inputs'!$B$30+'Inputs'!$B$31+'Inputs'!$B$32)/1000+'Inputs'!$B$21)+'Inputs'!$B$7)/SQRT((((614-43)*MAX('Inputs'!$B$33,'Inputs'!$B$29+'Inputs'!$B$31+'Inputs'!$B$32,'Inputs'!$B$30+'Inputs'!$B$31+'Inputs'!$B$32)/1000+'Inputs'!$B$21)+'Inputs'!$B$7)^2+('Inputs'!$B$6/2)^2)-(((614-43)*MAX('Inputs'!$B$33,'Inputs'!$B$29+'Inputs'!$B$31+'Inputs'!$B$32,'Inputs'!$B$30+'Inputs'!$B$31+'Inputs'!$B$32)/1000+'Inputs'!$B$21))/SQRT((((614-43)*MAX('Inputs'!$B$33,'Inputs'!$B$29+'Inputs'!$B$31+'Inputs'!$B$32,'Inputs'!$B$30+'Inputs'!$B$31+'Inputs'!$B$32)/1000+'Inputs'!$B$21))^2+('Inputs'!$B$6/2)^2)))-'Results'!C7*(0.5*((((614-43)*MAX('Inputs'!$B$33,'Inputs'!$B$29+'Inputs'!$B$31+'Inputs'!$B$32,'Inputs'!$B$30+'Inputs'!$B$31+'Inputs'!$B$32)/1000+'Inputs'!$B$21+'Inputs'!$B$7+'Inputs'!$B$10)+'Inputs'!$B$9)/SQRT((((614-43)*MAX('Inputs'!$B$33,'Inputs'!$B$29+'Inputs'!$B$31+'Inputs'!$B$32,'Inputs'!$B$30+'Inputs'!$B$31+'Inputs'!$B$32)/1000+'Inputs'!$B$21+'Inputs'!$B$7+'Inputs'!$B$10)+'Inputs'!$B$9)^2+('Inputs'!$B$8/2)^2)-(((614-43)*MAX('Inputs'!$B$33,'Inputs'!$B$29+'Inputs'!$B$31+'Inputs'!$B$32,'Inputs'!$B$30+'Inputs'!$B$31+'Inputs'!$B$32)/1000+'Inputs'!$B$21+'Inputs'!$B$7+'Inputs'!$B$10))/SQRT((((614-43)*MAX('Inputs'!$B$33,'Inputs'!$B$29+'Inputs'!$B$31+'Inputs'!$B$32,'Inputs'!$B$30+'Inputs'!$B$31+'Inputs'!$B$32)/1000+'Inputs'!$B$21+'Inputs'!$B$7+'Inputs'!$B$10))^2+('Inputs'!$B$8/2)^2))))*'Results'!$B$8),"")</x:f>
        <x:v>2.6448895573480846</x:v>
      </x:c>
      <x:c r="K614" t="n">
        <x:f>IF(AND(ISNUMBER('Results'!B7),ISNUMBER('Results'!C7),ISNUMBER('Results'!$B$8),ISNUMBER('Inputs'!$B$6),ISNUMBER('Inputs'!$B$7),ISNUMBER('Inputs'!$B$8),ISNUMBER('Inputs'!$B$9),ISNUMBER('Inputs'!$B$10),ISNUMBER('Inputs'!$B$21),ISNUMBER('Inputs'!$B$24),ISNUMBER('Inputs'!$B$28)),((('Results'!B7*(1-'Inputs'!$B$24)*(0.5*((((614-43)*MAX('Inputs'!$B$33,'Inputs'!$B$29+'Inputs'!$B$31+'Inputs'!$B$32,'Inputs'!$B$30+'Inputs'!$B$31+'Inputs'!$B$32)/1000+'Inputs'!$B$21)+'Inputs'!$B$7)/SQRT((((614-43)*MAX('Inputs'!$B$33,'Inputs'!$B$29+'Inputs'!$B$31+'Inputs'!$B$32,'Inputs'!$B$30+'Inputs'!$B$31+'Inputs'!$B$32)/1000+'Inputs'!$B$21)+'Inputs'!$B$7)^2+('Inputs'!$B$6/2)^2)-(((614-43)*MAX('Inputs'!$B$33,'Inputs'!$B$29+'Inputs'!$B$31+'Inputs'!$B$32,'Inputs'!$B$30+'Inputs'!$B$31+'Inputs'!$B$32)/1000+'Inputs'!$B$21))/SQRT((((614-43)*MAX('Inputs'!$B$33,'Inputs'!$B$29+'Inputs'!$B$31+'Inputs'!$B$32,'Inputs'!$B$30+'Inputs'!$B$31+'Inputs'!$B$32)/1000+'Inputs'!$B$21))^2+('Inputs'!$B$6/2)^2)))-'Results'!C7*(1+'Inputs'!$B$24)*(0.5*((((614-43)*MAX('Inputs'!$B$33,'Inputs'!$B$29+'Inputs'!$B$31+'Inputs'!$B$32,'Inputs'!$B$30+'Inputs'!$B$31+'Inputs'!$B$32)/1000+'Inputs'!$B$21+'Inputs'!$B$7+'Inputs'!$B$10)+'Inputs'!$B$9)/SQRT((((614-43)*MAX('Inputs'!$B$33,'Inputs'!$B$29+'Inputs'!$B$31+'Inputs'!$B$32,'Inputs'!$B$30+'Inputs'!$B$31+'Inputs'!$B$32)/1000+'Inputs'!$B$21+'Inputs'!$B$7+'Inputs'!$B$10)+'Inputs'!$B$9)^2+('Inputs'!$B$8/2)^2)-(((614-43)*MAX('Inputs'!$B$33,'Inputs'!$B$29+'Inputs'!$B$31+'Inputs'!$B$32,'Inputs'!$B$30+'Inputs'!$B$31+'Inputs'!$B$32)/1000+'Inputs'!$B$21+'Inputs'!$B$7+'Inputs'!$B$10))/SQRT((((614-43)*MAX('Inputs'!$B$33,'Inputs'!$B$29+'Inputs'!$B$31+'Inputs'!$B$32,'Inputs'!$B$30+'Inputs'!$B$31+'Inputs'!$B$32)/1000+'Inputs'!$B$21+'Inputs'!$B$7+'Inputs'!$B$10))^2+('Inputs'!$B$8/2)^2))))*'Results'!$B$8)-'Inputs'!$B$28*ABS((('Results'!B7*(1-'Inputs'!$B$24)*(0.5*((((614-43)*MAX('Inputs'!$B$33,'Inputs'!$B$29+'Inputs'!$B$31+'Inputs'!$B$32,'Inputs'!$B$30+'Inputs'!$B$31+'Inputs'!$B$32)/1000+'Inputs'!$B$21)+'Inputs'!$B$7)/SQRT((((614-43)*MAX('Inputs'!$B$33,'Inputs'!$B$29+'Inputs'!$B$31+'Inputs'!$B$32,'Inputs'!$B$30+'Inputs'!$B$31+'Inputs'!$B$32)/1000+'Inputs'!$B$21)+'Inputs'!$B$7)^2+('Inputs'!$B$6/2)^2)-(((614-43)*MAX('Inputs'!$B$33,'Inputs'!$B$29+'Inputs'!$B$31+'Inputs'!$B$32,'Inputs'!$B$30+'Inputs'!$B$31+'Inputs'!$B$32)/1000+'Inputs'!$B$21))/SQRT((((614-43)*MAX('Inputs'!$B$33,'Inputs'!$B$29+'Inputs'!$B$31+'Inputs'!$B$32,'Inputs'!$B$30+'Inputs'!$B$31+'Inputs'!$B$32)/1000+'Inputs'!$B$21))^2+('Inputs'!$B$6/2)^2)))-'Results'!C7*(1+'Inputs'!$B$24)*(0.5*((((614-43)*MAX('Inputs'!$B$33,'Inputs'!$B$29+'Inputs'!$B$31+'Inputs'!$B$32,'Inputs'!$B$30+'Inputs'!$B$31+'Inputs'!$B$32)/1000+'Inputs'!$B$21+'Inputs'!$B$7+'Inputs'!$B$10)+'Inputs'!$B$9)/SQRT((((614-43)*MAX('Inputs'!$B$33,'Inputs'!$B$29+'Inputs'!$B$31+'Inputs'!$B$32,'Inputs'!$B$30+'Inputs'!$B$31+'Inputs'!$B$32)/1000+'Inputs'!$B$21+'Inputs'!$B$7+'Inputs'!$B$10)+'Inputs'!$B$9)^2+('Inputs'!$B$8/2)^2)-(((614-43)*MAX('Inputs'!$B$33,'Inputs'!$B$29+'Inputs'!$B$31+'Inputs'!$B$32,'Inputs'!$B$30+'Inputs'!$B$31+'Inputs'!$B$32)/1000+'Inputs'!$B$21+'Inputs'!$B$7+'Inputs'!$B$10))/SQRT((((614-43)*MAX('Inputs'!$B$33,'Inputs'!$B$29+'Inputs'!$B$31+'Inputs'!$B$32,'Inputs'!$B$30+'Inputs'!$B$31+'Inputs'!$B$32)/1000+'Inputs'!$B$21+'Inputs'!$B$7+'Inputs'!$B$10))^2+('Inputs'!$B$8/2)^2))))*'Results'!$B$8))),"")</x:f>
        <x:v>2.323710646967134</x:v>
      </x:c>
      <x:c r="L614" t="n">
        <x:f>IF(AND(ISNUMBER('Results'!B7),ISNUMBER('Results'!C7),ISNUMBER('Results'!$B$8),ISNUMBER('Inputs'!$B$6),ISNUMBER('Inputs'!$B$7),ISNUMBER('Inputs'!$B$8),ISNUMBER('Inputs'!$B$9),ISNUMBER('Inputs'!$B$10),ISNUMBER('Inputs'!$B$21),ISNUMBER('Inputs'!$B$24),ISNUMBER('Inputs'!$B$28)),((('Results'!B7*(1+'Inputs'!$B$24)*(0.5*((((614-43)*MAX('Inputs'!$B$33,'Inputs'!$B$29+'Inputs'!$B$31+'Inputs'!$B$32,'Inputs'!$B$30+'Inputs'!$B$31+'Inputs'!$B$32)/1000+'Inputs'!$B$21)+'Inputs'!$B$7)/SQRT((((614-43)*MAX('Inputs'!$B$33,'Inputs'!$B$29+'Inputs'!$B$31+'Inputs'!$B$32,'Inputs'!$B$30+'Inputs'!$B$31+'Inputs'!$B$32)/1000+'Inputs'!$B$21)+'Inputs'!$B$7)^2+('Inputs'!$B$6/2)^2)-(((614-43)*MAX('Inputs'!$B$33,'Inputs'!$B$29+'Inputs'!$B$31+'Inputs'!$B$32,'Inputs'!$B$30+'Inputs'!$B$31+'Inputs'!$B$32)/1000+'Inputs'!$B$21))/SQRT((((614-43)*MAX('Inputs'!$B$33,'Inputs'!$B$29+'Inputs'!$B$31+'Inputs'!$B$32,'Inputs'!$B$30+'Inputs'!$B$31+'Inputs'!$B$32)/1000+'Inputs'!$B$21))^2+('Inputs'!$B$6/2)^2)))-'Results'!C7*(1-'Inputs'!$B$24)*(0.5*((((614-43)*MAX('Inputs'!$B$33,'Inputs'!$B$29+'Inputs'!$B$31+'Inputs'!$B$32,'Inputs'!$B$30+'Inputs'!$B$31+'Inputs'!$B$32)/1000+'Inputs'!$B$21+'Inputs'!$B$7+'Inputs'!$B$10)+'Inputs'!$B$9)/SQRT((((614-43)*MAX('Inputs'!$B$33,'Inputs'!$B$29+'Inputs'!$B$31+'Inputs'!$B$32,'Inputs'!$B$30+'Inputs'!$B$31+'Inputs'!$B$32)/1000+'Inputs'!$B$21+'Inputs'!$B$7+'Inputs'!$B$10)+'Inputs'!$B$9)^2+('Inputs'!$B$8/2)^2)-(((614-43)*MAX('Inputs'!$B$33,'Inputs'!$B$29+'Inputs'!$B$31+'Inputs'!$B$32,'Inputs'!$B$30+'Inputs'!$B$31+'Inputs'!$B$32)/1000+'Inputs'!$B$21+'Inputs'!$B$7+'Inputs'!$B$10))/SQRT((((614-43)*MAX('Inputs'!$B$33,'Inputs'!$B$29+'Inputs'!$B$31+'Inputs'!$B$32,'Inputs'!$B$30+'Inputs'!$B$31+'Inputs'!$B$32)/1000+'Inputs'!$B$21+'Inputs'!$B$7+'Inputs'!$B$10))^2+('Inputs'!$B$8/2)^2))))*'Results'!$B$8)+'Inputs'!$B$28*ABS((('Results'!B7*(1+'Inputs'!$B$24)*(0.5*((((614-43)*MAX('Inputs'!$B$33,'Inputs'!$B$29+'Inputs'!$B$31+'Inputs'!$B$32,'Inputs'!$B$30+'Inputs'!$B$31+'Inputs'!$B$32)/1000+'Inputs'!$B$21)+'Inputs'!$B$7)/SQRT((((614-43)*MAX('Inputs'!$B$33,'Inputs'!$B$29+'Inputs'!$B$31+'Inputs'!$B$32,'Inputs'!$B$30+'Inputs'!$B$31+'Inputs'!$B$32)/1000+'Inputs'!$B$21)+'Inputs'!$B$7)^2+('Inputs'!$B$6/2)^2)-(((614-43)*MAX('Inputs'!$B$33,'Inputs'!$B$29+'Inputs'!$B$31+'Inputs'!$B$32,'Inputs'!$B$30+'Inputs'!$B$31+'Inputs'!$B$32)/1000+'Inputs'!$B$21))/SQRT((((614-43)*MAX('Inputs'!$B$33,'Inputs'!$B$29+'Inputs'!$B$31+'Inputs'!$B$32,'Inputs'!$B$30+'Inputs'!$B$31+'Inputs'!$B$32)/1000+'Inputs'!$B$21))^2+('Inputs'!$B$6/2)^2)))-'Results'!C7*(1-'Inputs'!$B$24)*(0.5*((((614-43)*MAX('Inputs'!$B$33,'Inputs'!$B$29+'Inputs'!$B$31+'Inputs'!$B$32,'Inputs'!$B$30+'Inputs'!$B$31+'Inputs'!$B$32)/1000+'Inputs'!$B$21+'Inputs'!$B$7+'Inputs'!$B$10)+'Inputs'!$B$9)/SQRT((((614-43)*MAX('Inputs'!$B$33,'Inputs'!$B$29+'Inputs'!$B$31+'Inputs'!$B$32,'Inputs'!$B$30+'Inputs'!$B$31+'Inputs'!$B$32)/1000+'Inputs'!$B$21+'Inputs'!$B$7+'Inputs'!$B$10)+'Inputs'!$B$9)^2+('Inputs'!$B$8/2)^2)-(((614-43)*MAX('Inputs'!$B$33,'Inputs'!$B$29+'Inputs'!$B$31+'Inputs'!$B$32,'Inputs'!$B$30+'Inputs'!$B$31+'Inputs'!$B$32)/1000+'Inputs'!$B$21+'Inputs'!$B$7+'Inputs'!$B$10))/SQRT((((614-43)*MAX('Inputs'!$B$33,'Inputs'!$B$29+'Inputs'!$B$31+'Inputs'!$B$32,'Inputs'!$B$30+'Inputs'!$B$31+'Inputs'!$B$32)/1000+'Inputs'!$B$21+'Inputs'!$B$7+'Inputs'!$B$10))^2+('Inputs'!$B$8/2)^2))))*'Results'!$B$8))),"")</x:f>
        <x:v>2.9859563027304614</x:v>
      </x:c>
      <x:c r="M614" t="n">
        <x:f>IF(AND(ISNUMBER('Results'!C7),ISNUMBER('Results'!B7),ISNUMBER('Results'!$B$8),ISNUMBER('Inputs'!$B$6),ISNUMBER('Inputs'!$B$7),ISNUMBER('Inputs'!$B$8),ISNUMBER('Inputs'!$B$9),ISNUMBER('Inputs'!$B$10),ISNUMBER('Inputs'!$B$21),ISNUMBER('Inputs'!$B$24),ISNUMBER('Inputs'!$B$28)),(('Results'!C7*(0.5*((((614-43)*MAX('Inputs'!$B$33,'Inputs'!$B$29+'Inputs'!$B$31+'Inputs'!$B$32,'Inputs'!$B$30+'Inputs'!$B$31+'Inputs'!$B$32)/1000+'Inputs'!$B$21)+'Inputs'!$B$9)/SQRT((((614-43)*MAX('Inputs'!$B$33,'Inputs'!$B$29+'Inputs'!$B$31+'Inputs'!$B$32,'Inputs'!$B$30+'Inputs'!$B$31+'Inputs'!$B$32)/1000+'Inputs'!$B$21)+'Inputs'!$B$9)^2+('Inputs'!$B$8/2)^2)-(((614-43)*MAX('Inputs'!$B$33,'Inputs'!$B$29+'Inputs'!$B$31+'Inputs'!$B$32,'Inputs'!$B$30+'Inputs'!$B$31+'Inputs'!$B$32)/1000+'Inputs'!$B$21))/SQRT((((614-43)*MAX('Inputs'!$B$33,'Inputs'!$B$29+'Inputs'!$B$31+'Inputs'!$B$32,'Inputs'!$B$30+'Inputs'!$B$31+'Inputs'!$B$32)/1000+'Inputs'!$B$21))^2+('Inputs'!$B$8/2)^2)))-'Results'!B7*(0.5*((((614-43)*MAX('Inputs'!$B$33,'Inputs'!$B$29+'Inputs'!$B$31+'Inputs'!$B$32,'Inputs'!$B$30+'Inputs'!$B$31+'Inputs'!$B$32)/1000+'Inputs'!$B$21+'Inputs'!$B$9+'Inputs'!$B$10)+'Inputs'!$B$7)/SQRT((((614-43)*MAX('Inputs'!$B$33,'Inputs'!$B$29+'Inputs'!$B$31+'Inputs'!$B$32,'Inputs'!$B$30+'Inputs'!$B$31+'Inputs'!$B$32)/1000+'Inputs'!$B$21+'Inputs'!$B$9+'Inputs'!$B$10)+'Inputs'!$B$7)^2+('Inputs'!$B$6/2)^2)-(((614-43)*MAX('Inputs'!$B$33,'Inputs'!$B$29+'Inputs'!$B$31+'Inputs'!$B$32,'Inputs'!$B$30+'Inputs'!$B$31+'Inputs'!$B$32)/1000+'Inputs'!$B$21+'Inputs'!$B$9+'Inputs'!$B$10))/SQRT((((614-43)*MAX('Inputs'!$B$33,'Inputs'!$B$29+'Inputs'!$B$31+'Inputs'!$B$32,'Inputs'!$B$30+'Inputs'!$B$31+'Inputs'!$B$32)/1000+'Inputs'!$B$21+'Inputs'!$B$9+'Inputs'!$B$10))^2+('Inputs'!$B$6/2)^2))))*'Results'!$B$8),"")</x:f>
        <x:v>2.4445216097943634</x:v>
      </x:c>
      <x:c r="N614" t="n">
        <x:f>IF(AND(ISNUMBER('Results'!C7),ISNUMBER('Results'!B7),ISNUMBER('Results'!$B$8),ISNUMBER('Inputs'!$B$6),ISNUMBER('Inputs'!$B$7),ISNUMBER('Inputs'!$B$8),ISNUMBER('Inputs'!$B$9),ISNUMBER('Inputs'!$B$10),ISNUMBER('Inputs'!$B$21),ISNUMBER('Inputs'!$B$24),ISNUMBER('Inputs'!$B$28)),((('Results'!C7*(1-'Inputs'!$B$24)*(0.5*((((614-43)*MAX('Inputs'!$B$33,'Inputs'!$B$29+'Inputs'!$B$31+'Inputs'!$B$32,'Inputs'!$B$30+'Inputs'!$B$31+'Inputs'!$B$32)/1000+'Inputs'!$B$21)+'Inputs'!$B$9)/SQRT((((614-43)*MAX('Inputs'!$B$33,'Inputs'!$B$29+'Inputs'!$B$31+'Inputs'!$B$32,'Inputs'!$B$30+'Inputs'!$B$31+'Inputs'!$B$32)/1000+'Inputs'!$B$21)+'Inputs'!$B$9)^2+('Inputs'!$B$8/2)^2)-(((614-43)*MAX('Inputs'!$B$33,'Inputs'!$B$29+'Inputs'!$B$31+'Inputs'!$B$32,'Inputs'!$B$30+'Inputs'!$B$31+'Inputs'!$B$32)/1000+'Inputs'!$B$21))/SQRT((((614-43)*MAX('Inputs'!$B$33,'Inputs'!$B$29+'Inputs'!$B$31+'Inputs'!$B$32,'Inputs'!$B$30+'Inputs'!$B$31+'Inputs'!$B$32)/1000+'Inputs'!$B$21))^2+('Inputs'!$B$8/2)^2)))-'Results'!B7*(1+'Inputs'!$B$24)*(0.5*((((614-43)*MAX('Inputs'!$B$33,'Inputs'!$B$29+'Inputs'!$B$31+'Inputs'!$B$32,'Inputs'!$B$30+'Inputs'!$B$31+'Inputs'!$B$32)/1000+'Inputs'!$B$21+'Inputs'!$B$9+'Inputs'!$B$10)+'Inputs'!$B$7)/SQRT((((614-43)*MAX('Inputs'!$B$33,'Inputs'!$B$29+'Inputs'!$B$31+'Inputs'!$B$32,'Inputs'!$B$30+'Inputs'!$B$31+'Inputs'!$B$32)/1000+'Inputs'!$B$21+'Inputs'!$B$9+'Inputs'!$B$10)+'Inputs'!$B$7)^2+('Inputs'!$B$6/2)^2)-(((614-43)*MAX('Inputs'!$B$33,'Inputs'!$B$29+'Inputs'!$B$31+'Inputs'!$B$32,'Inputs'!$B$30+'Inputs'!$B$31+'Inputs'!$B$32)/1000+'Inputs'!$B$21+'Inputs'!$B$9+'Inputs'!$B$10))/SQRT((((614-43)*MAX('Inputs'!$B$33,'Inputs'!$B$29+'Inputs'!$B$31+'Inputs'!$B$32,'Inputs'!$B$30+'Inputs'!$B$31+'Inputs'!$B$32)/1000+'Inputs'!$B$21+'Inputs'!$B$9+'Inputs'!$B$10))^2+('Inputs'!$B$6/2)^2))))*'Results'!$B$8)-'Inputs'!$B$28*ABS((('Results'!C7*(1-'Inputs'!$B$24)*(0.5*((((614-43)*MAX('Inputs'!$B$33,'Inputs'!$B$29+'Inputs'!$B$31+'Inputs'!$B$32,'Inputs'!$B$30+'Inputs'!$B$31+'Inputs'!$B$32)/1000+'Inputs'!$B$21)+'Inputs'!$B$9)/SQRT((((614-43)*MAX('Inputs'!$B$33,'Inputs'!$B$29+'Inputs'!$B$31+'Inputs'!$B$32,'Inputs'!$B$30+'Inputs'!$B$31+'Inputs'!$B$32)/1000+'Inputs'!$B$21)+'Inputs'!$B$9)^2+('Inputs'!$B$8/2)^2)-(((614-43)*MAX('Inputs'!$B$33,'Inputs'!$B$29+'Inputs'!$B$31+'Inputs'!$B$32,'Inputs'!$B$30+'Inputs'!$B$31+'Inputs'!$B$32)/1000+'Inputs'!$B$21))/SQRT((((614-43)*MAX('Inputs'!$B$33,'Inputs'!$B$29+'Inputs'!$B$31+'Inputs'!$B$32,'Inputs'!$B$30+'Inputs'!$B$31+'Inputs'!$B$32)/1000+'Inputs'!$B$21))^2+('Inputs'!$B$8/2)^2)))-'Results'!B7*(1+'Inputs'!$B$24)*(0.5*((((614-43)*MAX('Inputs'!$B$33,'Inputs'!$B$29+'Inputs'!$B$31+'Inputs'!$B$32,'Inputs'!$B$30+'Inputs'!$B$31+'Inputs'!$B$32)/1000+'Inputs'!$B$21+'Inputs'!$B$9+'Inputs'!$B$10)+'Inputs'!$B$7)/SQRT((((614-43)*MAX('Inputs'!$B$33,'Inputs'!$B$29+'Inputs'!$B$31+'Inputs'!$B$32,'Inputs'!$B$30+'Inputs'!$B$31+'Inputs'!$B$32)/1000+'Inputs'!$B$21+'Inputs'!$B$9+'Inputs'!$B$10)+'Inputs'!$B$7)^2+('Inputs'!$B$6/2)^2)-(((614-43)*MAX('Inputs'!$B$33,'Inputs'!$B$29+'Inputs'!$B$31+'Inputs'!$B$32,'Inputs'!$B$30+'Inputs'!$B$31+'Inputs'!$B$32)/1000+'Inputs'!$B$21+'Inputs'!$B$9+'Inputs'!$B$10))/SQRT((((614-43)*MAX('Inputs'!$B$33,'Inputs'!$B$29+'Inputs'!$B$31+'Inputs'!$B$32,'Inputs'!$B$30+'Inputs'!$B$31+'Inputs'!$B$32)/1000+'Inputs'!$B$21+'Inputs'!$B$9+'Inputs'!$B$10))^2+('Inputs'!$B$6/2)^2))))*'Results'!$B$8))),"")</x:f>
        <x:v>2.1343378524696415</x:v>
      </x:c>
      <x:c r="O614" t="n">
        <x:f>IF(AND(ISNUMBER('Results'!C7),ISNUMBER('Results'!B7),ISNUMBER('Results'!$B$8),ISNUMBER('Inputs'!$B$6),ISNUMBER('Inputs'!$B$7),ISNUMBER('Inputs'!$B$8),ISNUMBER('Inputs'!$B$9),ISNUMBER('Inputs'!$B$10),ISNUMBER('Inputs'!$B$21),ISNUMBER('Inputs'!$B$24),ISNUMBER('Inputs'!$B$28)),((('Results'!C7*(1+'Inputs'!$B$24)*(0.5*((((614-43)*MAX('Inputs'!$B$33,'Inputs'!$B$29+'Inputs'!$B$31+'Inputs'!$B$32,'Inputs'!$B$30+'Inputs'!$B$31+'Inputs'!$B$32)/1000+'Inputs'!$B$21)+'Inputs'!$B$9)/SQRT((((614-43)*MAX('Inputs'!$B$33,'Inputs'!$B$29+'Inputs'!$B$31+'Inputs'!$B$32,'Inputs'!$B$30+'Inputs'!$B$31+'Inputs'!$B$32)/1000+'Inputs'!$B$21)+'Inputs'!$B$9)^2+('Inputs'!$B$8/2)^2)-(((614-43)*MAX('Inputs'!$B$33,'Inputs'!$B$29+'Inputs'!$B$31+'Inputs'!$B$32,'Inputs'!$B$30+'Inputs'!$B$31+'Inputs'!$B$32)/1000+'Inputs'!$B$21))/SQRT((((614-43)*MAX('Inputs'!$B$33,'Inputs'!$B$29+'Inputs'!$B$31+'Inputs'!$B$32,'Inputs'!$B$30+'Inputs'!$B$31+'Inputs'!$B$32)/1000+'Inputs'!$B$21))^2+('Inputs'!$B$8/2)^2)))-'Results'!B7*(1-'Inputs'!$B$24)*(0.5*((((614-43)*MAX('Inputs'!$B$33,'Inputs'!$B$29+'Inputs'!$B$31+'Inputs'!$B$32,'Inputs'!$B$30+'Inputs'!$B$31+'Inputs'!$B$32)/1000+'Inputs'!$B$21+'Inputs'!$B$9+'Inputs'!$B$10)+'Inputs'!$B$7)/SQRT((((614-43)*MAX('Inputs'!$B$33,'Inputs'!$B$29+'Inputs'!$B$31+'Inputs'!$B$32,'Inputs'!$B$30+'Inputs'!$B$31+'Inputs'!$B$32)/1000+'Inputs'!$B$21+'Inputs'!$B$9+'Inputs'!$B$10)+'Inputs'!$B$7)^2+('Inputs'!$B$6/2)^2)-(((614-43)*MAX('Inputs'!$B$33,'Inputs'!$B$29+'Inputs'!$B$31+'Inputs'!$B$32,'Inputs'!$B$30+'Inputs'!$B$31+'Inputs'!$B$32)/1000+'Inputs'!$B$21+'Inputs'!$B$9+'Inputs'!$B$10))/SQRT((((614-43)*MAX('Inputs'!$B$33,'Inputs'!$B$29+'Inputs'!$B$31+'Inputs'!$B$32,'Inputs'!$B$30+'Inputs'!$B$31+'Inputs'!$B$32)/1000+'Inputs'!$B$21+'Inputs'!$B$9+'Inputs'!$B$10))^2+('Inputs'!$B$6/2)^2))))*'Results'!$B$8)+'Inputs'!$B$28*ABS((('Results'!C7*(1+'Inputs'!$B$24)*(0.5*((((614-43)*MAX('Inputs'!$B$33,'Inputs'!$B$29+'Inputs'!$B$31+'Inputs'!$B$32,'Inputs'!$B$30+'Inputs'!$B$31+'Inputs'!$B$32)/1000+'Inputs'!$B$21)+'Inputs'!$B$9)/SQRT((((614-43)*MAX('Inputs'!$B$33,'Inputs'!$B$29+'Inputs'!$B$31+'Inputs'!$B$32,'Inputs'!$B$30+'Inputs'!$B$31+'Inputs'!$B$32)/1000+'Inputs'!$B$21)+'Inputs'!$B$9)^2+('Inputs'!$B$8/2)^2)-(((614-43)*MAX('Inputs'!$B$33,'Inputs'!$B$29+'Inputs'!$B$31+'Inputs'!$B$32,'Inputs'!$B$30+'Inputs'!$B$31+'Inputs'!$B$32)/1000+'Inputs'!$B$21))/SQRT((((614-43)*MAX('Inputs'!$B$33,'Inputs'!$B$29+'Inputs'!$B$31+'Inputs'!$B$32,'Inputs'!$B$30+'Inputs'!$B$31+'Inputs'!$B$32)/1000+'Inputs'!$B$21))^2+('Inputs'!$B$8/2)^2)))-'Results'!B7*(1-'Inputs'!$B$24)*(0.5*((((614-43)*MAX('Inputs'!$B$33,'Inputs'!$B$29+'Inputs'!$B$31+'Inputs'!$B$32,'Inputs'!$B$30+'Inputs'!$B$31+'Inputs'!$B$32)/1000+'Inputs'!$B$21+'Inputs'!$B$9+'Inputs'!$B$10)+'Inputs'!$B$7)/SQRT((((614-43)*MAX('Inputs'!$B$33,'Inputs'!$B$29+'Inputs'!$B$31+'Inputs'!$B$32,'Inputs'!$B$30+'Inputs'!$B$31+'Inputs'!$B$32)/1000+'Inputs'!$B$21+'Inputs'!$B$9+'Inputs'!$B$10)+'Inputs'!$B$7)^2+('Inputs'!$B$6/2)^2)-(((614-43)*MAX('Inputs'!$B$33,'Inputs'!$B$29+'Inputs'!$B$31+'Inputs'!$B$32,'Inputs'!$B$30+'Inputs'!$B$31+'Inputs'!$B$32)/1000+'Inputs'!$B$21+'Inputs'!$B$9+'Inputs'!$B$10))/SQRT((((614-43)*MAX('Inputs'!$B$33,'Inputs'!$B$29+'Inputs'!$B$31+'Inputs'!$B$32,'Inputs'!$B$30+'Inputs'!$B$31+'Inputs'!$B$32)/1000+'Inputs'!$B$21+'Inputs'!$B$9+'Inputs'!$B$10))^2+('Inputs'!$B$6/2)^2))))*'Results'!$B$8))),"")</x:f>
        <x:v>2.774490385733297</x:v>
      </x:c>
      <x:c r="P614" t="n">
        <x:f>IF(AND(MAX(J614,J613)&gt;0,J614&gt;J613+0.00000001),1,0)</x:f>
        <x:v>0</x:v>
      </x:c>
      <x:c r="Q614" t="n">
        <x:f>IF(AND(MAX(K614,K613)&gt;0,K614&gt;K613+0.00000001),1,0)</x:f>
        <x:v>0</x:v>
      </x:c>
      <x:c r="R614" t="n">
        <x:f>IF(AND(MAX(L614,L613)&gt;0,L614&gt;L613+0.00000001),1,0)</x:f>
        <x:v>0</x:v>
      </x:c>
      <x:c r="S614" t="n">
        <x:f>IF(AND(MAX(M614,M613)&gt;0,M614&gt;M613+0.00000001),1,0)</x:f>
        <x:v>0</x:v>
      </x:c>
      <x:c r="T614" t="n">
        <x:f>IF(AND(MAX(N614,N613)&gt;0,N614&gt;N613+0.00000001),1,0)</x:f>
        <x:v>0</x:v>
      </x:c>
      <x:c r="U614" t="n">
        <x:f>IF(AND(MAX(O614,O613)&gt;0,O614&gt;O613+0.00000001),1,0)</x:f>
        <x:v>0</x:v>
      </x:c>
    </x:row>
    <x:row r="615">
      <x:c r="J615" t="n">
        <x:f>IF(AND(ISNUMBER('Results'!B7),ISNUMBER('Results'!C7),ISNUMBER('Results'!$B$8),ISNUMBER('Inputs'!$B$6),ISNUMBER('Inputs'!$B$7),ISNUMBER('Inputs'!$B$8),ISNUMBER('Inputs'!$B$9),ISNUMBER('Inputs'!$B$10),ISNUMBER('Inputs'!$B$21),ISNUMBER('Inputs'!$B$24),ISNUMBER('Inputs'!$B$28)),(('Results'!B7*(0.5*((((615-43)*MAX('Inputs'!$B$33,'Inputs'!$B$29+'Inputs'!$B$31+'Inputs'!$B$32,'Inputs'!$B$30+'Inputs'!$B$31+'Inputs'!$B$32)/1000+'Inputs'!$B$21)+'Inputs'!$B$7)/SQRT((((615-43)*MAX('Inputs'!$B$33,'Inputs'!$B$29+'Inputs'!$B$31+'Inputs'!$B$32,'Inputs'!$B$30+'Inputs'!$B$31+'Inputs'!$B$32)/1000+'Inputs'!$B$21)+'Inputs'!$B$7)^2+('Inputs'!$B$6/2)^2)-(((615-43)*MAX('Inputs'!$B$33,'Inputs'!$B$29+'Inputs'!$B$31+'Inputs'!$B$32,'Inputs'!$B$30+'Inputs'!$B$31+'Inputs'!$B$32)/1000+'Inputs'!$B$21))/SQRT((((615-43)*MAX('Inputs'!$B$33,'Inputs'!$B$29+'Inputs'!$B$31+'Inputs'!$B$32,'Inputs'!$B$30+'Inputs'!$B$31+'Inputs'!$B$32)/1000+'Inputs'!$B$21))^2+('Inputs'!$B$6/2)^2)))-'Results'!C7*(0.5*((((615-43)*MAX('Inputs'!$B$33,'Inputs'!$B$29+'Inputs'!$B$31+'Inputs'!$B$32,'Inputs'!$B$30+'Inputs'!$B$31+'Inputs'!$B$32)/1000+'Inputs'!$B$21+'Inputs'!$B$7+'Inputs'!$B$10)+'Inputs'!$B$9)/SQRT((((615-43)*MAX('Inputs'!$B$33,'Inputs'!$B$29+'Inputs'!$B$31+'Inputs'!$B$32,'Inputs'!$B$30+'Inputs'!$B$31+'Inputs'!$B$32)/1000+'Inputs'!$B$21+'Inputs'!$B$7+'Inputs'!$B$10)+'Inputs'!$B$9)^2+('Inputs'!$B$8/2)^2)-(((615-43)*MAX('Inputs'!$B$33,'Inputs'!$B$29+'Inputs'!$B$31+'Inputs'!$B$32,'Inputs'!$B$30+'Inputs'!$B$31+'Inputs'!$B$32)/1000+'Inputs'!$B$21+'Inputs'!$B$7+'Inputs'!$B$10))/SQRT((((615-43)*MAX('Inputs'!$B$33,'Inputs'!$B$29+'Inputs'!$B$31+'Inputs'!$B$32,'Inputs'!$B$30+'Inputs'!$B$31+'Inputs'!$B$32)/1000+'Inputs'!$B$21+'Inputs'!$B$7+'Inputs'!$B$10))^2+('Inputs'!$B$8/2)^2))))*'Results'!$B$8),"")</x:f>
        <x:v>2.6288528898695973</x:v>
      </x:c>
      <x:c r="K615" t="n">
        <x:f>IF(AND(ISNUMBER('Results'!B7),ISNUMBER('Results'!C7),ISNUMBER('Results'!$B$8),ISNUMBER('Inputs'!$B$6),ISNUMBER('Inputs'!$B$7),ISNUMBER('Inputs'!$B$8),ISNUMBER('Inputs'!$B$9),ISNUMBER('Inputs'!$B$10),ISNUMBER('Inputs'!$B$21),ISNUMBER('Inputs'!$B$24),ISNUMBER('Inputs'!$B$28)),((('Results'!B7*(1-'Inputs'!$B$24)*(0.5*((((615-43)*MAX('Inputs'!$B$33,'Inputs'!$B$29+'Inputs'!$B$31+'Inputs'!$B$32,'Inputs'!$B$30+'Inputs'!$B$31+'Inputs'!$B$32)/1000+'Inputs'!$B$21)+'Inputs'!$B$7)/SQRT((((615-43)*MAX('Inputs'!$B$33,'Inputs'!$B$29+'Inputs'!$B$31+'Inputs'!$B$32,'Inputs'!$B$30+'Inputs'!$B$31+'Inputs'!$B$32)/1000+'Inputs'!$B$21)+'Inputs'!$B$7)^2+('Inputs'!$B$6/2)^2)-(((615-43)*MAX('Inputs'!$B$33,'Inputs'!$B$29+'Inputs'!$B$31+'Inputs'!$B$32,'Inputs'!$B$30+'Inputs'!$B$31+'Inputs'!$B$32)/1000+'Inputs'!$B$21))/SQRT((((615-43)*MAX('Inputs'!$B$33,'Inputs'!$B$29+'Inputs'!$B$31+'Inputs'!$B$32,'Inputs'!$B$30+'Inputs'!$B$31+'Inputs'!$B$32)/1000+'Inputs'!$B$21))^2+('Inputs'!$B$6/2)^2)))-'Results'!C7*(1+'Inputs'!$B$24)*(0.5*((((615-43)*MAX('Inputs'!$B$33,'Inputs'!$B$29+'Inputs'!$B$31+'Inputs'!$B$32,'Inputs'!$B$30+'Inputs'!$B$31+'Inputs'!$B$32)/1000+'Inputs'!$B$21+'Inputs'!$B$7+'Inputs'!$B$10)+'Inputs'!$B$9)/SQRT((((615-43)*MAX('Inputs'!$B$33,'Inputs'!$B$29+'Inputs'!$B$31+'Inputs'!$B$32,'Inputs'!$B$30+'Inputs'!$B$31+'Inputs'!$B$32)/1000+'Inputs'!$B$21+'Inputs'!$B$7+'Inputs'!$B$10)+'Inputs'!$B$9)^2+('Inputs'!$B$8/2)^2)-(((615-43)*MAX('Inputs'!$B$33,'Inputs'!$B$29+'Inputs'!$B$31+'Inputs'!$B$32,'Inputs'!$B$30+'Inputs'!$B$31+'Inputs'!$B$32)/1000+'Inputs'!$B$21+'Inputs'!$B$7+'Inputs'!$B$10))/SQRT((((615-43)*MAX('Inputs'!$B$33,'Inputs'!$B$29+'Inputs'!$B$31+'Inputs'!$B$32,'Inputs'!$B$30+'Inputs'!$B$31+'Inputs'!$B$32)/1000+'Inputs'!$B$21+'Inputs'!$B$7+'Inputs'!$B$10))^2+('Inputs'!$B$8/2)^2))))*'Results'!$B$8)-'Inputs'!$B$28*ABS((('Results'!B7*(1-'Inputs'!$B$24)*(0.5*((((615-43)*MAX('Inputs'!$B$33,'Inputs'!$B$29+'Inputs'!$B$31+'Inputs'!$B$32,'Inputs'!$B$30+'Inputs'!$B$31+'Inputs'!$B$32)/1000+'Inputs'!$B$21)+'Inputs'!$B$7)/SQRT((((615-43)*MAX('Inputs'!$B$33,'Inputs'!$B$29+'Inputs'!$B$31+'Inputs'!$B$32,'Inputs'!$B$30+'Inputs'!$B$31+'Inputs'!$B$32)/1000+'Inputs'!$B$21)+'Inputs'!$B$7)^2+('Inputs'!$B$6/2)^2)-(((615-43)*MAX('Inputs'!$B$33,'Inputs'!$B$29+'Inputs'!$B$31+'Inputs'!$B$32,'Inputs'!$B$30+'Inputs'!$B$31+'Inputs'!$B$32)/1000+'Inputs'!$B$21))/SQRT((((615-43)*MAX('Inputs'!$B$33,'Inputs'!$B$29+'Inputs'!$B$31+'Inputs'!$B$32,'Inputs'!$B$30+'Inputs'!$B$31+'Inputs'!$B$32)/1000+'Inputs'!$B$21))^2+('Inputs'!$B$6/2)^2)))-'Results'!C7*(1+'Inputs'!$B$24)*(0.5*((((615-43)*MAX('Inputs'!$B$33,'Inputs'!$B$29+'Inputs'!$B$31+'Inputs'!$B$32,'Inputs'!$B$30+'Inputs'!$B$31+'Inputs'!$B$32)/1000+'Inputs'!$B$21+'Inputs'!$B$7+'Inputs'!$B$10)+'Inputs'!$B$9)/SQRT((((615-43)*MAX('Inputs'!$B$33,'Inputs'!$B$29+'Inputs'!$B$31+'Inputs'!$B$32,'Inputs'!$B$30+'Inputs'!$B$31+'Inputs'!$B$32)/1000+'Inputs'!$B$21+'Inputs'!$B$7+'Inputs'!$B$10)+'Inputs'!$B$9)^2+('Inputs'!$B$8/2)^2)-(((615-43)*MAX('Inputs'!$B$33,'Inputs'!$B$29+'Inputs'!$B$31+'Inputs'!$B$32,'Inputs'!$B$30+'Inputs'!$B$31+'Inputs'!$B$32)/1000+'Inputs'!$B$21+'Inputs'!$B$7+'Inputs'!$B$10))/SQRT((((615-43)*MAX('Inputs'!$B$33,'Inputs'!$B$29+'Inputs'!$B$31+'Inputs'!$B$32,'Inputs'!$B$30+'Inputs'!$B$31+'Inputs'!$B$32)/1000+'Inputs'!$B$21+'Inputs'!$B$7+'Inputs'!$B$10))^2+('Inputs'!$B$8/2)^2))))*'Results'!$B$8))),"")</x:f>
        <x:v>2.3093617920411025</x:v>
      </x:c>
      <x:c r="L615" t="n">
        <x:f>IF(AND(ISNUMBER('Results'!B7),ISNUMBER('Results'!C7),ISNUMBER('Results'!$B$8),ISNUMBER('Inputs'!$B$6),ISNUMBER('Inputs'!$B$7),ISNUMBER('Inputs'!$B$8),ISNUMBER('Inputs'!$B$9),ISNUMBER('Inputs'!$B$10),ISNUMBER('Inputs'!$B$21),ISNUMBER('Inputs'!$B$24),ISNUMBER('Inputs'!$B$28)),((('Results'!B7*(1+'Inputs'!$B$24)*(0.5*((((615-43)*MAX('Inputs'!$B$33,'Inputs'!$B$29+'Inputs'!$B$31+'Inputs'!$B$32,'Inputs'!$B$30+'Inputs'!$B$31+'Inputs'!$B$32)/1000+'Inputs'!$B$21)+'Inputs'!$B$7)/SQRT((((615-43)*MAX('Inputs'!$B$33,'Inputs'!$B$29+'Inputs'!$B$31+'Inputs'!$B$32,'Inputs'!$B$30+'Inputs'!$B$31+'Inputs'!$B$32)/1000+'Inputs'!$B$21)+'Inputs'!$B$7)^2+('Inputs'!$B$6/2)^2)-(((615-43)*MAX('Inputs'!$B$33,'Inputs'!$B$29+'Inputs'!$B$31+'Inputs'!$B$32,'Inputs'!$B$30+'Inputs'!$B$31+'Inputs'!$B$32)/1000+'Inputs'!$B$21))/SQRT((((615-43)*MAX('Inputs'!$B$33,'Inputs'!$B$29+'Inputs'!$B$31+'Inputs'!$B$32,'Inputs'!$B$30+'Inputs'!$B$31+'Inputs'!$B$32)/1000+'Inputs'!$B$21))^2+('Inputs'!$B$6/2)^2)))-'Results'!C7*(1-'Inputs'!$B$24)*(0.5*((((615-43)*MAX('Inputs'!$B$33,'Inputs'!$B$29+'Inputs'!$B$31+'Inputs'!$B$32,'Inputs'!$B$30+'Inputs'!$B$31+'Inputs'!$B$32)/1000+'Inputs'!$B$21+'Inputs'!$B$7+'Inputs'!$B$10)+'Inputs'!$B$9)/SQRT((((615-43)*MAX('Inputs'!$B$33,'Inputs'!$B$29+'Inputs'!$B$31+'Inputs'!$B$32,'Inputs'!$B$30+'Inputs'!$B$31+'Inputs'!$B$32)/1000+'Inputs'!$B$21+'Inputs'!$B$7+'Inputs'!$B$10)+'Inputs'!$B$9)^2+('Inputs'!$B$8/2)^2)-(((615-43)*MAX('Inputs'!$B$33,'Inputs'!$B$29+'Inputs'!$B$31+'Inputs'!$B$32,'Inputs'!$B$30+'Inputs'!$B$31+'Inputs'!$B$32)/1000+'Inputs'!$B$21+'Inputs'!$B$7+'Inputs'!$B$10))/SQRT((((615-43)*MAX('Inputs'!$B$33,'Inputs'!$B$29+'Inputs'!$B$31+'Inputs'!$B$32,'Inputs'!$B$30+'Inputs'!$B$31+'Inputs'!$B$32)/1000+'Inputs'!$B$21+'Inputs'!$B$7+'Inputs'!$B$10))^2+('Inputs'!$B$8/2)^2))))*'Results'!$B$8)+'Inputs'!$B$28*ABS((('Results'!B7*(1+'Inputs'!$B$24)*(0.5*((((615-43)*MAX('Inputs'!$B$33,'Inputs'!$B$29+'Inputs'!$B$31+'Inputs'!$B$32,'Inputs'!$B$30+'Inputs'!$B$31+'Inputs'!$B$32)/1000+'Inputs'!$B$21)+'Inputs'!$B$7)/SQRT((((615-43)*MAX('Inputs'!$B$33,'Inputs'!$B$29+'Inputs'!$B$31+'Inputs'!$B$32,'Inputs'!$B$30+'Inputs'!$B$31+'Inputs'!$B$32)/1000+'Inputs'!$B$21)+'Inputs'!$B$7)^2+('Inputs'!$B$6/2)^2)-(((615-43)*MAX('Inputs'!$B$33,'Inputs'!$B$29+'Inputs'!$B$31+'Inputs'!$B$32,'Inputs'!$B$30+'Inputs'!$B$31+'Inputs'!$B$32)/1000+'Inputs'!$B$21))/SQRT((((615-43)*MAX('Inputs'!$B$33,'Inputs'!$B$29+'Inputs'!$B$31+'Inputs'!$B$32,'Inputs'!$B$30+'Inputs'!$B$31+'Inputs'!$B$32)/1000+'Inputs'!$B$21))^2+('Inputs'!$B$6/2)^2)))-'Results'!C7*(1-'Inputs'!$B$24)*(0.5*((((615-43)*MAX('Inputs'!$B$33,'Inputs'!$B$29+'Inputs'!$B$31+'Inputs'!$B$32,'Inputs'!$B$30+'Inputs'!$B$31+'Inputs'!$B$32)/1000+'Inputs'!$B$21+'Inputs'!$B$7+'Inputs'!$B$10)+'Inputs'!$B$9)/SQRT((((615-43)*MAX('Inputs'!$B$33,'Inputs'!$B$29+'Inputs'!$B$31+'Inputs'!$B$32,'Inputs'!$B$30+'Inputs'!$B$31+'Inputs'!$B$32)/1000+'Inputs'!$B$21+'Inputs'!$B$7+'Inputs'!$B$10)+'Inputs'!$B$9)^2+('Inputs'!$B$8/2)^2)-(((615-43)*MAX('Inputs'!$B$33,'Inputs'!$B$29+'Inputs'!$B$31+'Inputs'!$B$32,'Inputs'!$B$30+'Inputs'!$B$31+'Inputs'!$B$32)/1000+'Inputs'!$B$21+'Inputs'!$B$7+'Inputs'!$B$10))/SQRT((((615-43)*MAX('Inputs'!$B$33,'Inputs'!$B$29+'Inputs'!$B$31+'Inputs'!$B$32,'Inputs'!$B$30+'Inputs'!$B$31+'Inputs'!$B$32)/1000+'Inputs'!$B$21+'Inputs'!$B$7+'Inputs'!$B$10))^2+('Inputs'!$B$8/2)^2))))*'Results'!$B$8))),"")</x:f>
        <x:v>2.968138561733357</x:v>
      </x:c>
      <x:c r="M615" t="n">
        <x:f>IF(AND(ISNUMBER('Results'!C7),ISNUMBER('Results'!B7),ISNUMBER('Results'!$B$8),ISNUMBER('Inputs'!$B$6),ISNUMBER('Inputs'!$B$7),ISNUMBER('Inputs'!$B$8),ISNUMBER('Inputs'!$B$9),ISNUMBER('Inputs'!$B$10),ISNUMBER('Inputs'!$B$21),ISNUMBER('Inputs'!$B$24),ISNUMBER('Inputs'!$B$28)),(('Results'!C7*(0.5*((((615-43)*MAX('Inputs'!$B$33,'Inputs'!$B$29+'Inputs'!$B$31+'Inputs'!$B$32,'Inputs'!$B$30+'Inputs'!$B$31+'Inputs'!$B$32)/1000+'Inputs'!$B$21)+'Inputs'!$B$9)/SQRT((((615-43)*MAX('Inputs'!$B$33,'Inputs'!$B$29+'Inputs'!$B$31+'Inputs'!$B$32,'Inputs'!$B$30+'Inputs'!$B$31+'Inputs'!$B$32)/1000+'Inputs'!$B$21)+'Inputs'!$B$9)^2+('Inputs'!$B$8/2)^2)-(((615-43)*MAX('Inputs'!$B$33,'Inputs'!$B$29+'Inputs'!$B$31+'Inputs'!$B$32,'Inputs'!$B$30+'Inputs'!$B$31+'Inputs'!$B$32)/1000+'Inputs'!$B$21))/SQRT((((615-43)*MAX('Inputs'!$B$33,'Inputs'!$B$29+'Inputs'!$B$31+'Inputs'!$B$32,'Inputs'!$B$30+'Inputs'!$B$31+'Inputs'!$B$32)/1000+'Inputs'!$B$21))^2+('Inputs'!$B$8/2)^2)))-'Results'!B7*(0.5*((((615-43)*MAX('Inputs'!$B$33,'Inputs'!$B$29+'Inputs'!$B$31+'Inputs'!$B$32,'Inputs'!$B$30+'Inputs'!$B$31+'Inputs'!$B$32)/1000+'Inputs'!$B$21+'Inputs'!$B$9+'Inputs'!$B$10)+'Inputs'!$B$7)/SQRT((((615-43)*MAX('Inputs'!$B$33,'Inputs'!$B$29+'Inputs'!$B$31+'Inputs'!$B$32,'Inputs'!$B$30+'Inputs'!$B$31+'Inputs'!$B$32)/1000+'Inputs'!$B$21+'Inputs'!$B$9+'Inputs'!$B$10)+'Inputs'!$B$7)^2+('Inputs'!$B$6/2)^2)-(((615-43)*MAX('Inputs'!$B$33,'Inputs'!$B$29+'Inputs'!$B$31+'Inputs'!$B$32,'Inputs'!$B$30+'Inputs'!$B$31+'Inputs'!$B$32)/1000+'Inputs'!$B$21+'Inputs'!$B$9+'Inputs'!$B$10))/SQRT((((615-43)*MAX('Inputs'!$B$33,'Inputs'!$B$29+'Inputs'!$B$31+'Inputs'!$B$32,'Inputs'!$B$30+'Inputs'!$B$31+'Inputs'!$B$32)/1000+'Inputs'!$B$21+'Inputs'!$B$9+'Inputs'!$B$10))^2+('Inputs'!$B$6/2)^2))))*'Results'!$B$8),"")</x:f>
        <x:v>2.429423795613325</x:v>
      </x:c>
      <x:c r="N615" t="n">
        <x:f>IF(AND(ISNUMBER('Results'!C7),ISNUMBER('Results'!B7),ISNUMBER('Results'!$B$8),ISNUMBER('Inputs'!$B$6),ISNUMBER('Inputs'!$B$7),ISNUMBER('Inputs'!$B$8),ISNUMBER('Inputs'!$B$9),ISNUMBER('Inputs'!$B$10),ISNUMBER('Inputs'!$B$21),ISNUMBER('Inputs'!$B$24),ISNUMBER('Inputs'!$B$28)),((('Results'!C7*(1-'Inputs'!$B$24)*(0.5*((((615-43)*MAX('Inputs'!$B$33,'Inputs'!$B$29+'Inputs'!$B$31+'Inputs'!$B$32,'Inputs'!$B$30+'Inputs'!$B$31+'Inputs'!$B$32)/1000+'Inputs'!$B$21)+'Inputs'!$B$9)/SQRT((((615-43)*MAX('Inputs'!$B$33,'Inputs'!$B$29+'Inputs'!$B$31+'Inputs'!$B$32,'Inputs'!$B$30+'Inputs'!$B$31+'Inputs'!$B$32)/1000+'Inputs'!$B$21)+'Inputs'!$B$9)^2+('Inputs'!$B$8/2)^2)-(((615-43)*MAX('Inputs'!$B$33,'Inputs'!$B$29+'Inputs'!$B$31+'Inputs'!$B$32,'Inputs'!$B$30+'Inputs'!$B$31+'Inputs'!$B$32)/1000+'Inputs'!$B$21))/SQRT((((615-43)*MAX('Inputs'!$B$33,'Inputs'!$B$29+'Inputs'!$B$31+'Inputs'!$B$32,'Inputs'!$B$30+'Inputs'!$B$31+'Inputs'!$B$32)/1000+'Inputs'!$B$21))^2+('Inputs'!$B$8/2)^2)))-'Results'!B7*(1+'Inputs'!$B$24)*(0.5*((((615-43)*MAX('Inputs'!$B$33,'Inputs'!$B$29+'Inputs'!$B$31+'Inputs'!$B$32,'Inputs'!$B$30+'Inputs'!$B$31+'Inputs'!$B$32)/1000+'Inputs'!$B$21+'Inputs'!$B$9+'Inputs'!$B$10)+'Inputs'!$B$7)/SQRT((((615-43)*MAX('Inputs'!$B$33,'Inputs'!$B$29+'Inputs'!$B$31+'Inputs'!$B$32,'Inputs'!$B$30+'Inputs'!$B$31+'Inputs'!$B$32)/1000+'Inputs'!$B$21+'Inputs'!$B$9+'Inputs'!$B$10)+'Inputs'!$B$7)^2+('Inputs'!$B$6/2)^2)-(((615-43)*MAX('Inputs'!$B$33,'Inputs'!$B$29+'Inputs'!$B$31+'Inputs'!$B$32,'Inputs'!$B$30+'Inputs'!$B$31+'Inputs'!$B$32)/1000+'Inputs'!$B$21+'Inputs'!$B$9+'Inputs'!$B$10))/SQRT((((615-43)*MAX('Inputs'!$B$33,'Inputs'!$B$29+'Inputs'!$B$31+'Inputs'!$B$32,'Inputs'!$B$30+'Inputs'!$B$31+'Inputs'!$B$32)/1000+'Inputs'!$B$21+'Inputs'!$B$9+'Inputs'!$B$10))^2+('Inputs'!$B$6/2)^2))))*'Results'!$B$8)-'Inputs'!$B$28*ABS((('Results'!C7*(1-'Inputs'!$B$24)*(0.5*((((615-43)*MAX('Inputs'!$B$33,'Inputs'!$B$29+'Inputs'!$B$31+'Inputs'!$B$32,'Inputs'!$B$30+'Inputs'!$B$31+'Inputs'!$B$32)/1000+'Inputs'!$B$21)+'Inputs'!$B$9)/SQRT((((615-43)*MAX('Inputs'!$B$33,'Inputs'!$B$29+'Inputs'!$B$31+'Inputs'!$B$32,'Inputs'!$B$30+'Inputs'!$B$31+'Inputs'!$B$32)/1000+'Inputs'!$B$21)+'Inputs'!$B$9)^2+('Inputs'!$B$8/2)^2)-(((615-43)*MAX('Inputs'!$B$33,'Inputs'!$B$29+'Inputs'!$B$31+'Inputs'!$B$32,'Inputs'!$B$30+'Inputs'!$B$31+'Inputs'!$B$32)/1000+'Inputs'!$B$21))/SQRT((((615-43)*MAX('Inputs'!$B$33,'Inputs'!$B$29+'Inputs'!$B$31+'Inputs'!$B$32,'Inputs'!$B$30+'Inputs'!$B$31+'Inputs'!$B$32)/1000+'Inputs'!$B$21))^2+('Inputs'!$B$8/2)^2)))-'Results'!B7*(1+'Inputs'!$B$24)*(0.5*((((615-43)*MAX('Inputs'!$B$33,'Inputs'!$B$29+'Inputs'!$B$31+'Inputs'!$B$32,'Inputs'!$B$30+'Inputs'!$B$31+'Inputs'!$B$32)/1000+'Inputs'!$B$21+'Inputs'!$B$9+'Inputs'!$B$10)+'Inputs'!$B$7)/SQRT((((615-43)*MAX('Inputs'!$B$33,'Inputs'!$B$29+'Inputs'!$B$31+'Inputs'!$B$32,'Inputs'!$B$30+'Inputs'!$B$31+'Inputs'!$B$32)/1000+'Inputs'!$B$21+'Inputs'!$B$9+'Inputs'!$B$10)+'Inputs'!$B$7)^2+('Inputs'!$B$6/2)^2)-(((615-43)*MAX('Inputs'!$B$33,'Inputs'!$B$29+'Inputs'!$B$31+'Inputs'!$B$32,'Inputs'!$B$30+'Inputs'!$B$31+'Inputs'!$B$32)/1000+'Inputs'!$B$21+'Inputs'!$B$9+'Inputs'!$B$10))/SQRT((((615-43)*MAX('Inputs'!$B$33,'Inputs'!$B$29+'Inputs'!$B$31+'Inputs'!$B$32,'Inputs'!$B$30+'Inputs'!$B$31+'Inputs'!$B$32)/1000+'Inputs'!$B$21+'Inputs'!$B$9+'Inputs'!$B$10))^2+('Inputs'!$B$6/2)^2))))*'Results'!$B$8))),"")</x:f>
        <x:v>2.120874932871625</x:v>
      </x:c>
      <x:c r="O615" t="n">
        <x:f>IF(AND(ISNUMBER('Results'!C7),ISNUMBER('Results'!B7),ISNUMBER('Results'!$B$8),ISNUMBER('Inputs'!$B$6),ISNUMBER('Inputs'!$B$7),ISNUMBER('Inputs'!$B$8),ISNUMBER('Inputs'!$B$9),ISNUMBER('Inputs'!$B$10),ISNUMBER('Inputs'!$B$21),ISNUMBER('Inputs'!$B$24),ISNUMBER('Inputs'!$B$28)),((('Results'!C7*(1+'Inputs'!$B$24)*(0.5*((((615-43)*MAX('Inputs'!$B$33,'Inputs'!$B$29+'Inputs'!$B$31+'Inputs'!$B$32,'Inputs'!$B$30+'Inputs'!$B$31+'Inputs'!$B$32)/1000+'Inputs'!$B$21)+'Inputs'!$B$9)/SQRT((((615-43)*MAX('Inputs'!$B$33,'Inputs'!$B$29+'Inputs'!$B$31+'Inputs'!$B$32,'Inputs'!$B$30+'Inputs'!$B$31+'Inputs'!$B$32)/1000+'Inputs'!$B$21)+'Inputs'!$B$9)^2+('Inputs'!$B$8/2)^2)-(((615-43)*MAX('Inputs'!$B$33,'Inputs'!$B$29+'Inputs'!$B$31+'Inputs'!$B$32,'Inputs'!$B$30+'Inputs'!$B$31+'Inputs'!$B$32)/1000+'Inputs'!$B$21))/SQRT((((615-43)*MAX('Inputs'!$B$33,'Inputs'!$B$29+'Inputs'!$B$31+'Inputs'!$B$32,'Inputs'!$B$30+'Inputs'!$B$31+'Inputs'!$B$32)/1000+'Inputs'!$B$21))^2+('Inputs'!$B$8/2)^2)))-'Results'!B7*(1-'Inputs'!$B$24)*(0.5*((((615-43)*MAX('Inputs'!$B$33,'Inputs'!$B$29+'Inputs'!$B$31+'Inputs'!$B$32,'Inputs'!$B$30+'Inputs'!$B$31+'Inputs'!$B$32)/1000+'Inputs'!$B$21+'Inputs'!$B$9+'Inputs'!$B$10)+'Inputs'!$B$7)/SQRT((((615-43)*MAX('Inputs'!$B$33,'Inputs'!$B$29+'Inputs'!$B$31+'Inputs'!$B$32,'Inputs'!$B$30+'Inputs'!$B$31+'Inputs'!$B$32)/1000+'Inputs'!$B$21+'Inputs'!$B$9+'Inputs'!$B$10)+'Inputs'!$B$7)^2+('Inputs'!$B$6/2)^2)-(((615-43)*MAX('Inputs'!$B$33,'Inputs'!$B$29+'Inputs'!$B$31+'Inputs'!$B$32,'Inputs'!$B$30+'Inputs'!$B$31+'Inputs'!$B$32)/1000+'Inputs'!$B$21+'Inputs'!$B$9+'Inputs'!$B$10))/SQRT((((615-43)*MAX('Inputs'!$B$33,'Inputs'!$B$29+'Inputs'!$B$31+'Inputs'!$B$32,'Inputs'!$B$30+'Inputs'!$B$31+'Inputs'!$B$32)/1000+'Inputs'!$B$21+'Inputs'!$B$9+'Inputs'!$B$10))^2+('Inputs'!$B$6/2)^2))))*'Results'!$B$8)+'Inputs'!$B$28*ABS((('Results'!C7*(1+'Inputs'!$B$24)*(0.5*((((615-43)*MAX('Inputs'!$B$33,'Inputs'!$B$29+'Inputs'!$B$31+'Inputs'!$B$32,'Inputs'!$B$30+'Inputs'!$B$31+'Inputs'!$B$32)/1000+'Inputs'!$B$21)+'Inputs'!$B$9)/SQRT((((615-43)*MAX('Inputs'!$B$33,'Inputs'!$B$29+'Inputs'!$B$31+'Inputs'!$B$32,'Inputs'!$B$30+'Inputs'!$B$31+'Inputs'!$B$32)/1000+'Inputs'!$B$21)+'Inputs'!$B$9)^2+('Inputs'!$B$8/2)^2)-(((615-43)*MAX('Inputs'!$B$33,'Inputs'!$B$29+'Inputs'!$B$31+'Inputs'!$B$32,'Inputs'!$B$30+'Inputs'!$B$31+'Inputs'!$B$32)/1000+'Inputs'!$B$21))/SQRT((((615-43)*MAX('Inputs'!$B$33,'Inputs'!$B$29+'Inputs'!$B$31+'Inputs'!$B$32,'Inputs'!$B$30+'Inputs'!$B$31+'Inputs'!$B$32)/1000+'Inputs'!$B$21))^2+('Inputs'!$B$8/2)^2)))-'Results'!B7*(1-'Inputs'!$B$24)*(0.5*((((615-43)*MAX('Inputs'!$B$33,'Inputs'!$B$29+'Inputs'!$B$31+'Inputs'!$B$32,'Inputs'!$B$30+'Inputs'!$B$31+'Inputs'!$B$32)/1000+'Inputs'!$B$21+'Inputs'!$B$9+'Inputs'!$B$10)+'Inputs'!$B$7)/SQRT((((615-43)*MAX('Inputs'!$B$33,'Inputs'!$B$29+'Inputs'!$B$31+'Inputs'!$B$32,'Inputs'!$B$30+'Inputs'!$B$31+'Inputs'!$B$32)/1000+'Inputs'!$B$21+'Inputs'!$B$9+'Inputs'!$B$10)+'Inputs'!$B$7)^2+('Inputs'!$B$6/2)^2)-(((615-43)*MAX('Inputs'!$B$33,'Inputs'!$B$29+'Inputs'!$B$31+'Inputs'!$B$32,'Inputs'!$B$30+'Inputs'!$B$31+'Inputs'!$B$32)/1000+'Inputs'!$B$21+'Inputs'!$B$9+'Inputs'!$B$10))/SQRT((((615-43)*MAX('Inputs'!$B$33,'Inputs'!$B$29+'Inputs'!$B$31+'Inputs'!$B$32,'Inputs'!$B$30+'Inputs'!$B$31+'Inputs'!$B$32)/1000+'Inputs'!$B$21+'Inputs'!$B$9+'Inputs'!$B$10))^2+('Inputs'!$B$6/2)^2))))*'Results'!$B$8))),"")</x:f>
        <x:v>2.7576650449825015</x:v>
      </x:c>
      <x:c r="P615" t="n">
        <x:f>IF(AND(MAX(J615,J614)&gt;0,J615&gt;J614+0.00000001),1,0)</x:f>
        <x:v>0</x:v>
      </x:c>
      <x:c r="Q615" t="n">
        <x:f>IF(AND(MAX(K615,K614)&gt;0,K615&gt;K614+0.00000001),1,0)</x:f>
        <x:v>0</x:v>
      </x:c>
      <x:c r="R615" t="n">
        <x:f>IF(AND(MAX(L615,L614)&gt;0,L615&gt;L614+0.00000001),1,0)</x:f>
        <x:v>0</x:v>
      </x:c>
      <x:c r="S615" t="n">
        <x:f>IF(AND(MAX(M615,M614)&gt;0,M615&gt;M614+0.00000001),1,0)</x:f>
        <x:v>0</x:v>
      </x:c>
      <x:c r="T615" t="n">
        <x:f>IF(AND(MAX(N615,N614)&gt;0,N615&gt;N614+0.00000001),1,0)</x:f>
        <x:v>0</x:v>
      </x:c>
      <x:c r="U615" t="n">
        <x:f>IF(AND(MAX(O615,O614)&gt;0,O615&gt;O614+0.00000001),1,0)</x:f>
        <x:v>0</x:v>
      </x:c>
    </x:row>
    <x:row r="616">
      <x:c r="J616" t="n">
        <x:f>IF(AND(ISNUMBER('Results'!B7),ISNUMBER('Results'!C7),ISNUMBER('Results'!$B$8),ISNUMBER('Inputs'!$B$6),ISNUMBER('Inputs'!$B$7),ISNUMBER('Inputs'!$B$8),ISNUMBER('Inputs'!$B$9),ISNUMBER('Inputs'!$B$10),ISNUMBER('Inputs'!$B$21),ISNUMBER('Inputs'!$B$24),ISNUMBER('Inputs'!$B$28)),(('Results'!B7*(0.5*((((616-43)*MAX('Inputs'!$B$33,'Inputs'!$B$29+'Inputs'!$B$31+'Inputs'!$B$32,'Inputs'!$B$30+'Inputs'!$B$31+'Inputs'!$B$32)/1000+'Inputs'!$B$21)+'Inputs'!$B$7)/SQRT((((616-43)*MAX('Inputs'!$B$33,'Inputs'!$B$29+'Inputs'!$B$31+'Inputs'!$B$32,'Inputs'!$B$30+'Inputs'!$B$31+'Inputs'!$B$32)/1000+'Inputs'!$B$21)+'Inputs'!$B$7)^2+('Inputs'!$B$6/2)^2)-(((616-43)*MAX('Inputs'!$B$33,'Inputs'!$B$29+'Inputs'!$B$31+'Inputs'!$B$32,'Inputs'!$B$30+'Inputs'!$B$31+'Inputs'!$B$32)/1000+'Inputs'!$B$21))/SQRT((((616-43)*MAX('Inputs'!$B$33,'Inputs'!$B$29+'Inputs'!$B$31+'Inputs'!$B$32,'Inputs'!$B$30+'Inputs'!$B$31+'Inputs'!$B$32)/1000+'Inputs'!$B$21))^2+('Inputs'!$B$6/2)^2)))-'Results'!C7*(0.5*((((616-43)*MAX('Inputs'!$B$33,'Inputs'!$B$29+'Inputs'!$B$31+'Inputs'!$B$32,'Inputs'!$B$30+'Inputs'!$B$31+'Inputs'!$B$32)/1000+'Inputs'!$B$21+'Inputs'!$B$7+'Inputs'!$B$10)+'Inputs'!$B$9)/SQRT((((616-43)*MAX('Inputs'!$B$33,'Inputs'!$B$29+'Inputs'!$B$31+'Inputs'!$B$32,'Inputs'!$B$30+'Inputs'!$B$31+'Inputs'!$B$32)/1000+'Inputs'!$B$21+'Inputs'!$B$7+'Inputs'!$B$10)+'Inputs'!$B$9)^2+('Inputs'!$B$8/2)^2)-(((616-43)*MAX('Inputs'!$B$33,'Inputs'!$B$29+'Inputs'!$B$31+'Inputs'!$B$32,'Inputs'!$B$30+'Inputs'!$B$31+'Inputs'!$B$32)/1000+'Inputs'!$B$21+'Inputs'!$B$7+'Inputs'!$B$10))/SQRT((((616-43)*MAX('Inputs'!$B$33,'Inputs'!$B$29+'Inputs'!$B$31+'Inputs'!$B$32,'Inputs'!$B$30+'Inputs'!$B$31+'Inputs'!$B$32)/1000+'Inputs'!$B$21+'Inputs'!$B$7+'Inputs'!$B$10))^2+('Inputs'!$B$8/2)^2))))*'Results'!$B$8),"")</x:f>
        <x:v>2.612937866772488</x:v>
      </x:c>
      <x:c r="K616" t="n">
        <x:f>IF(AND(ISNUMBER('Results'!B7),ISNUMBER('Results'!C7),ISNUMBER('Results'!$B$8),ISNUMBER('Inputs'!$B$6),ISNUMBER('Inputs'!$B$7),ISNUMBER('Inputs'!$B$8),ISNUMBER('Inputs'!$B$9),ISNUMBER('Inputs'!$B$10),ISNUMBER('Inputs'!$B$21),ISNUMBER('Inputs'!$B$24),ISNUMBER('Inputs'!$B$28)),((('Results'!B7*(1-'Inputs'!$B$24)*(0.5*((((616-43)*MAX('Inputs'!$B$33,'Inputs'!$B$29+'Inputs'!$B$31+'Inputs'!$B$32,'Inputs'!$B$30+'Inputs'!$B$31+'Inputs'!$B$32)/1000+'Inputs'!$B$21)+'Inputs'!$B$7)/SQRT((((616-43)*MAX('Inputs'!$B$33,'Inputs'!$B$29+'Inputs'!$B$31+'Inputs'!$B$32,'Inputs'!$B$30+'Inputs'!$B$31+'Inputs'!$B$32)/1000+'Inputs'!$B$21)+'Inputs'!$B$7)^2+('Inputs'!$B$6/2)^2)-(((616-43)*MAX('Inputs'!$B$33,'Inputs'!$B$29+'Inputs'!$B$31+'Inputs'!$B$32,'Inputs'!$B$30+'Inputs'!$B$31+'Inputs'!$B$32)/1000+'Inputs'!$B$21))/SQRT((((616-43)*MAX('Inputs'!$B$33,'Inputs'!$B$29+'Inputs'!$B$31+'Inputs'!$B$32,'Inputs'!$B$30+'Inputs'!$B$31+'Inputs'!$B$32)/1000+'Inputs'!$B$21))^2+('Inputs'!$B$6/2)^2)))-'Results'!C7*(1+'Inputs'!$B$24)*(0.5*((((616-43)*MAX('Inputs'!$B$33,'Inputs'!$B$29+'Inputs'!$B$31+'Inputs'!$B$32,'Inputs'!$B$30+'Inputs'!$B$31+'Inputs'!$B$32)/1000+'Inputs'!$B$21+'Inputs'!$B$7+'Inputs'!$B$10)+'Inputs'!$B$9)/SQRT((((616-43)*MAX('Inputs'!$B$33,'Inputs'!$B$29+'Inputs'!$B$31+'Inputs'!$B$32,'Inputs'!$B$30+'Inputs'!$B$31+'Inputs'!$B$32)/1000+'Inputs'!$B$21+'Inputs'!$B$7+'Inputs'!$B$10)+'Inputs'!$B$9)^2+('Inputs'!$B$8/2)^2)-(((616-43)*MAX('Inputs'!$B$33,'Inputs'!$B$29+'Inputs'!$B$31+'Inputs'!$B$32,'Inputs'!$B$30+'Inputs'!$B$31+'Inputs'!$B$32)/1000+'Inputs'!$B$21+'Inputs'!$B$7+'Inputs'!$B$10))/SQRT((((616-43)*MAX('Inputs'!$B$33,'Inputs'!$B$29+'Inputs'!$B$31+'Inputs'!$B$32,'Inputs'!$B$30+'Inputs'!$B$31+'Inputs'!$B$32)/1000+'Inputs'!$B$21+'Inputs'!$B$7+'Inputs'!$B$10))^2+('Inputs'!$B$8/2)^2))))*'Results'!$B$8)-'Inputs'!$B$28*ABS((('Results'!B7*(1-'Inputs'!$B$24)*(0.5*((((616-43)*MAX('Inputs'!$B$33,'Inputs'!$B$29+'Inputs'!$B$31+'Inputs'!$B$32,'Inputs'!$B$30+'Inputs'!$B$31+'Inputs'!$B$32)/1000+'Inputs'!$B$21)+'Inputs'!$B$7)/SQRT((((616-43)*MAX('Inputs'!$B$33,'Inputs'!$B$29+'Inputs'!$B$31+'Inputs'!$B$32,'Inputs'!$B$30+'Inputs'!$B$31+'Inputs'!$B$32)/1000+'Inputs'!$B$21)+'Inputs'!$B$7)^2+('Inputs'!$B$6/2)^2)-(((616-43)*MAX('Inputs'!$B$33,'Inputs'!$B$29+'Inputs'!$B$31+'Inputs'!$B$32,'Inputs'!$B$30+'Inputs'!$B$31+'Inputs'!$B$32)/1000+'Inputs'!$B$21))/SQRT((((616-43)*MAX('Inputs'!$B$33,'Inputs'!$B$29+'Inputs'!$B$31+'Inputs'!$B$32,'Inputs'!$B$30+'Inputs'!$B$31+'Inputs'!$B$32)/1000+'Inputs'!$B$21))^2+('Inputs'!$B$6/2)^2)))-'Results'!C7*(1+'Inputs'!$B$24)*(0.5*((((616-43)*MAX('Inputs'!$B$33,'Inputs'!$B$29+'Inputs'!$B$31+'Inputs'!$B$32,'Inputs'!$B$30+'Inputs'!$B$31+'Inputs'!$B$32)/1000+'Inputs'!$B$21+'Inputs'!$B$7+'Inputs'!$B$10)+'Inputs'!$B$9)/SQRT((((616-43)*MAX('Inputs'!$B$33,'Inputs'!$B$29+'Inputs'!$B$31+'Inputs'!$B$32,'Inputs'!$B$30+'Inputs'!$B$31+'Inputs'!$B$32)/1000+'Inputs'!$B$21+'Inputs'!$B$7+'Inputs'!$B$10)+'Inputs'!$B$9)^2+('Inputs'!$B$8/2)^2)-(((616-43)*MAX('Inputs'!$B$33,'Inputs'!$B$29+'Inputs'!$B$31+'Inputs'!$B$32,'Inputs'!$B$30+'Inputs'!$B$31+'Inputs'!$B$32)/1000+'Inputs'!$B$21+'Inputs'!$B$7+'Inputs'!$B$10))/SQRT((((616-43)*MAX('Inputs'!$B$33,'Inputs'!$B$29+'Inputs'!$B$31+'Inputs'!$B$32,'Inputs'!$B$30+'Inputs'!$B$31+'Inputs'!$B$32)/1000+'Inputs'!$B$21+'Inputs'!$B$7+'Inputs'!$B$10))^2+('Inputs'!$B$8/2)^2))))*'Results'!$B$8))),"")</x:f>
        <x:v>2.295122953390148</x:v>
      </x:c>
      <x:c r="L616" t="n">
        <x:f>IF(AND(ISNUMBER('Results'!B7),ISNUMBER('Results'!C7),ISNUMBER('Results'!$B$8),ISNUMBER('Inputs'!$B$6),ISNUMBER('Inputs'!$B$7),ISNUMBER('Inputs'!$B$8),ISNUMBER('Inputs'!$B$9),ISNUMBER('Inputs'!$B$10),ISNUMBER('Inputs'!$B$21),ISNUMBER('Inputs'!$B$24),ISNUMBER('Inputs'!$B$28)),((('Results'!B7*(1+'Inputs'!$B$24)*(0.5*((((616-43)*MAX('Inputs'!$B$33,'Inputs'!$B$29+'Inputs'!$B$31+'Inputs'!$B$32,'Inputs'!$B$30+'Inputs'!$B$31+'Inputs'!$B$32)/1000+'Inputs'!$B$21)+'Inputs'!$B$7)/SQRT((((616-43)*MAX('Inputs'!$B$33,'Inputs'!$B$29+'Inputs'!$B$31+'Inputs'!$B$32,'Inputs'!$B$30+'Inputs'!$B$31+'Inputs'!$B$32)/1000+'Inputs'!$B$21)+'Inputs'!$B$7)^2+('Inputs'!$B$6/2)^2)-(((616-43)*MAX('Inputs'!$B$33,'Inputs'!$B$29+'Inputs'!$B$31+'Inputs'!$B$32,'Inputs'!$B$30+'Inputs'!$B$31+'Inputs'!$B$32)/1000+'Inputs'!$B$21))/SQRT((((616-43)*MAX('Inputs'!$B$33,'Inputs'!$B$29+'Inputs'!$B$31+'Inputs'!$B$32,'Inputs'!$B$30+'Inputs'!$B$31+'Inputs'!$B$32)/1000+'Inputs'!$B$21))^2+('Inputs'!$B$6/2)^2)))-'Results'!C7*(1-'Inputs'!$B$24)*(0.5*((((616-43)*MAX('Inputs'!$B$33,'Inputs'!$B$29+'Inputs'!$B$31+'Inputs'!$B$32,'Inputs'!$B$30+'Inputs'!$B$31+'Inputs'!$B$32)/1000+'Inputs'!$B$21+'Inputs'!$B$7+'Inputs'!$B$10)+'Inputs'!$B$9)/SQRT((((616-43)*MAX('Inputs'!$B$33,'Inputs'!$B$29+'Inputs'!$B$31+'Inputs'!$B$32,'Inputs'!$B$30+'Inputs'!$B$31+'Inputs'!$B$32)/1000+'Inputs'!$B$21+'Inputs'!$B$7+'Inputs'!$B$10)+'Inputs'!$B$9)^2+('Inputs'!$B$8/2)^2)-(((616-43)*MAX('Inputs'!$B$33,'Inputs'!$B$29+'Inputs'!$B$31+'Inputs'!$B$32,'Inputs'!$B$30+'Inputs'!$B$31+'Inputs'!$B$32)/1000+'Inputs'!$B$21+'Inputs'!$B$7+'Inputs'!$B$10))/SQRT((((616-43)*MAX('Inputs'!$B$33,'Inputs'!$B$29+'Inputs'!$B$31+'Inputs'!$B$32,'Inputs'!$B$30+'Inputs'!$B$31+'Inputs'!$B$32)/1000+'Inputs'!$B$21+'Inputs'!$B$7+'Inputs'!$B$10))^2+('Inputs'!$B$8/2)^2))))*'Results'!$B$8)+'Inputs'!$B$28*ABS((('Results'!B7*(1+'Inputs'!$B$24)*(0.5*((((616-43)*MAX('Inputs'!$B$33,'Inputs'!$B$29+'Inputs'!$B$31+'Inputs'!$B$32,'Inputs'!$B$30+'Inputs'!$B$31+'Inputs'!$B$32)/1000+'Inputs'!$B$21)+'Inputs'!$B$7)/SQRT((((616-43)*MAX('Inputs'!$B$33,'Inputs'!$B$29+'Inputs'!$B$31+'Inputs'!$B$32,'Inputs'!$B$30+'Inputs'!$B$31+'Inputs'!$B$32)/1000+'Inputs'!$B$21)+'Inputs'!$B$7)^2+('Inputs'!$B$6/2)^2)-(((616-43)*MAX('Inputs'!$B$33,'Inputs'!$B$29+'Inputs'!$B$31+'Inputs'!$B$32,'Inputs'!$B$30+'Inputs'!$B$31+'Inputs'!$B$32)/1000+'Inputs'!$B$21))/SQRT((((616-43)*MAX('Inputs'!$B$33,'Inputs'!$B$29+'Inputs'!$B$31+'Inputs'!$B$32,'Inputs'!$B$30+'Inputs'!$B$31+'Inputs'!$B$32)/1000+'Inputs'!$B$21))^2+('Inputs'!$B$6/2)^2)))-'Results'!C7*(1-'Inputs'!$B$24)*(0.5*((((616-43)*MAX('Inputs'!$B$33,'Inputs'!$B$29+'Inputs'!$B$31+'Inputs'!$B$32,'Inputs'!$B$30+'Inputs'!$B$31+'Inputs'!$B$32)/1000+'Inputs'!$B$21+'Inputs'!$B$7+'Inputs'!$B$10)+'Inputs'!$B$9)/SQRT((((616-43)*MAX('Inputs'!$B$33,'Inputs'!$B$29+'Inputs'!$B$31+'Inputs'!$B$32,'Inputs'!$B$30+'Inputs'!$B$31+'Inputs'!$B$32)/1000+'Inputs'!$B$21+'Inputs'!$B$7+'Inputs'!$B$10)+'Inputs'!$B$9)^2+('Inputs'!$B$8/2)^2)-(((616-43)*MAX('Inputs'!$B$33,'Inputs'!$B$29+'Inputs'!$B$31+'Inputs'!$B$32,'Inputs'!$B$30+'Inputs'!$B$31+'Inputs'!$B$32)/1000+'Inputs'!$B$21+'Inputs'!$B$7+'Inputs'!$B$10))/SQRT((((616-43)*MAX('Inputs'!$B$33,'Inputs'!$B$29+'Inputs'!$B$31+'Inputs'!$B$32,'Inputs'!$B$30+'Inputs'!$B$31+'Inputs'!$B$32)/1000+'Inputs'!$B$21+'Inputs'!$B$7+'Inputs'!$B$10))^2+('Inputs'!$B$8/2)^2))))*'Results'!$B$8))),"")</x:f>
        <x:v>2.9504546770015345</x:v>
      </x:c>
      <x:c r="M616" t="n">
        <x:f>IF(AND(ISNUMBER('Results'!C7),ISNUMBER('Results'!B7),ISNUMBER('Results'!$B$8),ISNUMBER('Inputs'!$B$6),ISNUMBER('Inputs'!$B$7),ISNUMBER('Inputs'!$B$8),ISNUMBER('Inputs'!$B$9),ISNUMBER('Inputs'!$B$10),ISNUMBER('Inputs'!$B$21),ISNUMBER('Inputs'!$B$24),ISNUMBER('Inputs'!$B$28)),(('Results'!C7*(0.5*((((616-43)*MAX('Inputs'!$B$33,'Inputs'!$B$29+'Inputs'!$B$31+'Inputs'!$B$32,'Inputs'!$B$30+'Inputs'!$B$31+'Inputs'!$B$32)/1000+'Inputs'!$B$21)+'Inputs'!$B$9)/SQRT((((616-43)*MAX('Inputs'!$B$33,'Inputs'!$B$29+'Inputs'!$B$31+'Inputs'!$B$32,'Inputs'!$B$30+'Inputs'!$B$31+'Inputs'!$B$32)/1000+'Inputs'!$B$21)+'Inputs'!$B$9)^2+('Inputs'!$B$8/2)^2)-(((616-43)*MAX('Inputs'!$B$33,'Inputs'!$B$29+'Inputs'!$B$31+'Inputs'!$B$32,'Inputs'!$B$30+'Inputs'!$B$31+'Inputs'!$B$32)/1000+'Inputs'!$B$21))/SQRT((((616-43)*MAX('Inputs'!$B$33,'Inputs'!$B$29+'Inputs'!$B$31+'Inputs'!$B$32,'Inputs'!$B$30+'Inputs'!$B$31+'Inputs'!$B$32)/1000+'Inputs'!$B$21))^2+('Inputs'!$B$8/2)^2)))-'Results'!B7*(0.5*((((616-43)*MAX('Inputs'!$B$33,'Inputs'!$B$29+'Inputs'!$B$31+'Inputs'!$B$32,'Inputs'!$B$30+'Inputs'!$B$31+'Inputs'!$B$32)/1000+'Inputs'!$B$21+'Inputs'!$B$9+'Inputs'!$B$10)+'Inputs'!$B$7)/SQRT((((616-43)*MAX('Inputs'!$B$33,'Inputs'!$B$29+'Inputs'!$B$31+'Inputs'!$B$32,'Inputs'!$B$30+'Inputs'!$B$31+'Inputs'!$B$32)/1000+'Inputs'!$B$21+'Inputs'!$B$9+'Inputs'!$B$10)+'Inputs'!$B$7)^2+('Inputs'!$B$6/2)^2)-(((616-43)*MAX('Inputs'!$B$33,'Inputs'!$B$29+'Inputs'!$B$31+'Inputs'!$B$32,'Inputs'!$B$30+'Inputs'!$B$31+'Inputs'!$B$32)/1000+'Inputs'!$B$21+'Inputs'!$B$9+'Inputs'!$B$10))/SQRT((((616-43)*MAX('Inputs'!$B$33,'Inputs'!$B$29+'Inputs'!$B$31+'Inputs'!$B$32,'Inputs'!$B$30+'Inputs'!$B$31+'Inputs'!$B$32)/1000+'Inputs'!$B$21+'Inputs'!$B$9+'Inputs'!$B$10))^2+('Inputs'!$B$6/2)^2))))*'Results'!$B$8),"")</x:f>
        <x:v>2.4144417532938722</x:v>
      </x:c>
      <x:c r="N616" t="n">
        <x:f>IF(AND(ISNUMBER('Results'!C7),ISNUMBER('Results'!B7),ISNUMBER('Results'!$B$8),ISNUMBER('Inputs'!$B$6),ISNUMBER('Inputs'!$B$7),ISNUMBER('Inputs'!$B$8),ISNUMBER('Inputs'!$B$9),ISNUMBER('Inputs'!$B$10),ISNUMBER('Inputs'!$B$21),ISNUMBER('Inputs'!$B$24),ISNUMBER('Inputs'!$B$28)),((('Results'!C7*(1-'Inputs'!$B$24)*(0.5*((((616-43)*MAX('Inputs'!$B$33,'Inputs'!$B$29+'Inputs'!$B$31+'Inputs'!$B$32,'Inputs'!$B$30+'Inputs'!$B$31+'Inputs'!$B$32)/1000+'Inputs'!$B$21)+'Inputs'!$B$9)/SQRT((((616-43)*MAX('Inputs'!$B$33,'Inputs'!$B$29+'Inputs'!$B$31+'Inputs'!$B$32,'Inputs'!$B$30+'Inputs'!$B$31+'Inputs'!$B$32)/1000+'Inputs'!$B$21)+'Inputs'!$B$9)^2+('Inputs'!$B$8/2)^2)-(((616-43)*MAX('Inputs'!$B$33,'Inputs'!$B$29+'Inputs'!$B$31+'Inputs'!$B$32,'Inputs'!$B$30+'Inputs'!$B$31+'Inputs'!$B$32)/1000+'Inputs'!$B$21))/SQRT((((616-43)*MAX('Inputs'!$B$33,'Inputs'!$B$29+'Inputs'!$B$31+'Inputs'!$B$32,'Inputs'!$B$30+'Inputs'!$B$31+'Inputs'!$B$32)/1000+'Inputs'!$B$21))^2+('Inputs'!$B$8/2)^2)))-'Results'!B7*(1+'Inputs'!$B$24)*(0.5*((((616-43)*MAX('Inputs'!$B$33,'Inputs'!$B$29+'Inputs'!$B$31+'Inputs'!$B$32,'Inputs'!$B$30+'Inputs'!$B$31+'Inputs'!$B$32)/1000+'Inputs'!$B$21+'Inputs'!$B$9+'Inputs'!$B$10)+'Inputs'!$B$7)/SQRT((((616-43)*MAX('Inputs'!$B$33,'Inputs'!$B$29+'Inputs'!$B$31+'Inputs'!$B$32,'Inputs'!$B$30+'Inputs'!$B$31+'Inputs'!$B$32)/1000+'Inputs'!$B$21+'Inputs'!$B$9+'Inputs'!$B$10)+'Inputs'!$B$7)^2+('Inputs'!$B$6/2)^2)-(((616-43)*MAX('Inputs'!$B$33,'Inputs'!$B$29+'Inputs'!$B$31+'Inputs'!$B$32,'Inputs'!$B$30+'Inputs'!$B$31+'Inputs'!$B$32)/1000+'Inputs'!$B$21+'Inputs'!$B$9+'Inputs'!$B$10))/SQRT((((616-43)*MAX('Inputs'!$B$33,'Inputs'!$B$29+'Inputs'!$B$31+'Inputs'!$B$32,'Inputs'!$B$30+'Inputs'!$B$31+'Inputs'!$B$32)/1000+'Inputs'!$B$21+'Inputs'!$B$9+'Inputs'!$B$10))^2+('Inputs'!$B$6/2)^2))))*'Results'!$B$8)-'Inputs'!$B$28*ABS((('Results'!C7*(1-'Inputs'!$B$24)*(0.5*((((616-43)*MAX('Inputs'!$B$33,'Inputs'!$B$29+'Inputs'!$B$31+'Inputs'!$B$32,'Inputs'!$B$30+'Inputs'!$B$31+'Inputs'!$B$32)/1000+'Inputs'!$B$21)+'Inputs'!$B$9)/SQRT((((616-43)*MAX('Inputs'!$B$33,'Inputs'!$B$29+'Inputs'!$B$31+'Inputs'!$B$32,'Inputs'!$B$30+'Inputs'!$B$31+'Inputs'!$B$32)/1000+'Inputs'!$B$21)+'Inputs'!$B$9)^2+('Inputs'!$B$8/2)^2)-(((616-43)*MAX('Inputs'!$B$33,'Inputs'!$B$29+'Inputs'!$B$31+'Inputs'!$B$32,'Inputs'!$B$30+'Inputs'!$B$31+'Inputs'!$B$32)/1000+'Inputs'!$B$21))/SQRT((((616-43)*MAX('Inputs'!$B$33,'Inputs'!$B$29+'Inputs'!$B$31+'Inputs'!$B$32,'Inputs'!$B$30+'Inputs'!$B$31+'Inputs'!$B$32)/1000+'Inputs'!$B$21))^2+('Inputs'!$B$8/2)^2)))-'Results'!B7*(1+'Inputs'!$B$24)*(0.5*((((616-43)*MAX('Inputs'!$B$33,'Inputs'!$B$29+'Inputs'!$B$31+'Inputs'!$B$32,'Inputs'!$B$30+'Inputs'!$B$31+'Inputs'!$B$32)/1000+'Inputs'!$B$21+'Inputs'!$B$9+'Inputs'!$B$10)+'Inputs'!$B$7)/SQRT((((616-43)*MAX('Inputs'!$B$33,'Inputs'!$B$29+'Inputs'!$B$31+'Inputs'!$B$32,'Inputs'!$B$30+'Inputs'!$B$31+'Inputs'!$B$32)/1000+'Inputs'!$B$21+'Inputs'!$B$9+'Inputs'!$B$10)+'Inputs'!$B$7)^2+('Inputs'!$B$6/2)^2)-(((616-43)*MAX('Inputs'!$B$33,'Inputs'!$B$29+'Inputs'!$B$31+'Inputs'!$B$32,'Inputs'!$B$30+'Inputs'!$B$31+'Inputs'!$B$32)/1000+'Inputs'!$B$21+'Inputs'!$B$9+'Inputs'!$B$10))/SQRT((((616-43)*MAX('Inputs'!$B$33,'Inputs'!$B$29+'Inputs'!$B$31+'Inputs'!$B$32,'Inputs'!$B$30+'Inputs'!$B$31+'Inputs'!$B$32)/1000+'Inputs'!$B$21+'Inputs'!$B$9+'Inputs'!$B$10))^2+('Inputs'!$B$6/2)^2))))*'Results'!$B$8))),"")</x:f>
        <x:v>2.1075164962196173</x:v>
      </x:c>
      <x:c r="O616" t="n">
        <x:f>IF(AND(ISNUMBER('Results'!C7),ISNUMBER('Results'!B7),ISNUMBER('Results'!$B$8),ISNUMBER('Inputs'!$B$6),ISNUMBER('Inputs'!$B$7),ISNUMBER('Inputs'!$B$8),ISNUMBER('Inputs'!$B$9),ISNUMBER('Inputs'!$B$10),ISNUMBER('Inputs'!$B$21),ISNUMBER('Inputs'!$B$24),ISNUMBER('Inputs'!$B$28)),((('Results'!C7*(1+'Inputs'!$B$24)*(0.5*((((616-43)*MAX('Inputs'!$B$33,'Inputs'!$B$29+'Inputs'!$B$31+'Inputs'!$B$32,'Inputs'!$B$30+'Inputs'!$B$31+'Inputs'!$B$32)/1000+'Inputs'!$B$21)+'Inputs'!$B$9)/SQRT((((616-43)*MAX('Inputs'!$B$33,'Inputs'!$B$29+'Inputs'!$B$31+'Inputs'!$B$32,'Inputs'!$B$30+'Inputs'!$B$31+'Inputs'!$B$32)/1000+'Inputs'!$B$21)+'Inputs'!$B$9)^2+('Inputs'!$B$8/2)^2)-(((616-43)*MAX('Inputs'!$B$33,'Inputs'!$B$29+'Inputs'!$B$31+'Inputs'!$B$32,'Inputs'!$B$30+'Inputs'!$B$31+'Inputs'!$B$32)/1000+'Inputs'!$B$21))/SQRT((((616-43)*MAX('Inputs'!$B$33,'Inputs'!$B$29+'Inputs'!$B$31+'Inputs'!$B$32,'Inputs'!$B$30+'Inputs'!$B$31+'Inputs'!$B$32)/1000+'Inputs'!$B$21))^2+('Inputs'!$B$8/2)^2)))-'Results'!B7*(1-'Inputs'!$B$24)*(0.5*((((616-43)*MAX('Inputs'!$B$33,'Inputs'!$B$29+'Inputs'!$B$31+'Inputs'!$B$32,'Inputs'!$B$30+'Inputs'!$B$31+'Inputs'!$B$32)/1000+'Inputs'!$B$21+'Inputs'!$B$9+'Inputs'!$B$10)+'Inputs'!$B$7)/SQRT((((616-43)*MAX('Inputs'!$B$33,'Inputs'!$B$29+'Inputs'!$B$31+'Inputs'!$B$32,'Inputs'!$B$30+'Inputs'!$B$31+'Inputs'!$B$32)/1000+'Inputs'!$B$21+'Inputs'!$B$9+'Inputs'!$B$10)+'Inputs'!$B$7)^2+('Inputs'!$B$6/2)^2)-(((616-43)*MAX('Inputs'!$B$33,'Inputs'!$B$29+'Inputs'!$B$31+'Inputs'!$B$32,'Inputs'!$B$30+'Inputs'!$B$31+'Inputs'!$B$32)/1000+'Inputs'!$B$21+'Inputs'!$B$9+'Inputs'!$B$10))/SQRT((((616-43)*MAX('Inputs'!$B$33,'Inputs'!$B$29+'Inputs'!$B$31+'Inputs'!$B$32,'Inputs'!$B$30+'Inputs'!$B$31+'Inputs'!$B$32)/1000+'Inputs'!$B$21+'Inputs'!$B$9+'Inputs'!$B$10))^2+('Inputs'!$B$6/2)^2))))*'Results'!$B$8)+'Inputs'!$B$28*ABS((('Results'!C7*(1+'Inputs'!$B$24)*(0.5*((((616-43)*MAX('Inputs'!$B$33,'Inputs'!$B$29+'Inputs'!$B$31+'Inputs'!$B$32,'Inputs'!$B$30+'Inputs'!$B$31+'Inputs'!$B$32)/1000+'Inputs'!$B$21)+'Inputs'!$B$9)/SQRT((((616-43)*MAX('Inputs'!$B$33,'Inputs'!$B$29+'Inputs'!$B$31+'Inputs'!$B$32,'Inputs'!$B$30+'Inputs'!$B$31+'Inputs'!$B$32)/1000+'Inputs'!$B$21)+'Inputs'!$B$9)^2+('Inputs'!$B$8/2)^2)-(((616-43)*MAX('Inputs'!$B$33,'Inputs'!$B$29+'Inputs'!$B$31+'Inputs'!$B$32,'Inputs'!$B$30+'Inputs'!$B$31+'Inputs'!$B$32)/1000+'Inputs'!$B$21))/SQRT((((616-43)*MAX('Inputs'!$B$33,'Inputs'!$B$29+'Inputs'!$B$31+'Inputs'!$B$32,'Inputs'!$B$30+'Inputs'!$B$31+'Inputs'!$B$32)/1000+'Inputs'!$B$21))^2+('Inputs'!$B$8/2)^2)))-'Results'!B7*(1-'Inputs'!$B$24)*(0.5*((((616-43)*MAX('Inputs'!$B$33,'Inputs'!$B$29+'Inputs'!$B$31+'Inputs'!$B$32,'Inputs'!$B$30+'Inputs'!$B$31+'Inputs'!$B$32)/1000+'Inputs'!$B$21+'Inputs'!$B$9+'Inputs'!$B$10)+'Inputs'!$B$7)/SQRT((((616-43)*MAX('Inputs'!$B$33,'Inputs'!$B$29+'Inputs'!$B$31+'Inputs'!$B$32,'Inputs'!$B$30+'Inputs'!$B$31+'Inputs'!$B$32)/1000+'Inputs'!$B$21+'Inputs'!$B$9+'Inputs'!$B$10)+'Inputs'!$B$7)^2+('Inputs'!$B$6/2)^2)-(((616-43)*MAX('Inputs'!$B$33,'Inputs'!$B$29+'Inputs'!$B$31+'Inputs'!$B$32,'Inputs'!$B$30+'Inputs'!$B$31+'Inputs'!$B$32)/1000+'Inputs'!$B$21+'Inputs'!$B$9+'Inputs'!$B$10))/SQRT((((616-43)*MAX('Inputs'!$B$33,'Inputs'!$B$29+'Inputs'!$B$31+'Inputs'!$B$32,'Inputs'!$B$30+'Inputs'!$B$31+'Inputs'!$B$32)/1000+'Inputs'!$B$21+'Inputs'!$B$9+'Inputs'!$B$10))^2+('Inputs'!$B$6/2)^2))))*'Results'!$B$8))),"")</x:f>
        <x:v>2.7409673439901865</x:v>
      </x:c>
      <x:c r="P616" t="n">
        <x:f>IF(AND(MAX(J616,J615)&gt;0,J616&gt;J615+0.00000001),1,0)</x:f>
        <x:v>0</x:v>
      </x:c>
      <x:c r="Q616" t="n">
        <x:f>IF(AND(MAX(K616,K615)&gt;0,K616&gt;K615+0.00000001),1,0)</x:f>
        <x:v>0</x:v>
      </x:c>
      <x:c r="R616" t="n">
        <x:f>IF(AND(MAX(L616,L615)&gt;0,L616&gt;L615+0.00000001),1,0)</x:f>
        <x:v>0</x:v>
      </x:c>
      <x:c r="S616" t="n">
        <x:f>IF(AND(MAX(M616,M615)&gt;0,M616&gt;M615+0.00000001),1,0)</x:f>
        <x:v>0</x:v>
      </x:c>
      <x:c r="T616" t="n">
        <x:f>IF(AND(MAX(N616,N615)&gt;0,N616&gt;N615+0.00000001),1,0)</x:f>
        <x:v>0</x:v>
      </x:c>
      <x:c r="U616" t="n">
        <x:f>IF(AND(MAX(O616,O615)&gt;0,O616&gt;O615+0.00000001),1,0)</x:f>
        <x:v>0</x:v>
      </x:c>
    </x:row>
    <x:row r="617">
      <x:c r="J617" t="n">
        <x:f>IF(AND(ISNUMBER('Results'!B7),ISNUMBER('Results'!C7),ISNUMBER('Results'!$B$8),ISNUMBER('Inputs'!$B$6),ISNUMBER('Inputs'!$B$7),ISNUMBER('Inputs'!$B$8),ISNUMBER('Inputs'!$B$9),ISNUMBER('Inputs'!$B$10),ISNUMBER('Inputs'!$B$21),ISNUMBER('Inputs'!$B$24),ISNUMBER('Inputs'!$B$28)),(('Results'!B7*(0.5*((((617-43)*MAX('Inputs'!$B$33,'Inputs'!$B$29+'Inputs'!$B$31+'Inputs'!$B$32,'Inputs'!$B$30+'Inputs'!$B$31+'Inputs'!$B$32)/1000+'Inputs'!$B$21)+'Inputs'!$B$7)/SQRT((((617-43)*MAX('Inputs'!$B$33,'Inputs'!$B$29+'Inputs'!$B$31+'Inputs'!$B$32,'Inputs'!$B$30+'Inputs'!$B$31+'Inputs'!$B$32)/1000+'Inputs'!$B$21)+'Inputs'!$B$7)^2+('Inputs'!$B$6/2)^2)-(((617-43)*MAX('Inputs'!$B$33,'Inputs'!$B$29+'Inputs'!$B$31+'Inputs'!$B$32,'Inputs'!$B$30+'Inputs'!$B$31+'Inputs'!$B$32)/1000+'Inputs'!$B$21))/SQRT((((617-43)*MAX('Inputs'!$B$33,'Inputs'!$B$29+'Inputs'!$B$31+'Inputs'!$B$32,'Inputs'!$B$30+'Inputs'!$B$31+'Inputs'!$B$32)/1000+'Inputs'!$B$21))^2+('Inputs'!$B$6/2)^2)))-'Results'!C7*(0.5*((((617-43)*MAX('Inputs'!$B$33,'Inputs'!$B$29+'Inputs'!$B$31+'Inputs'!$B$32,'Inputs'!$B$30+'Inputs'!$B$31+'Inputs'!$B$32)/1000+'Inputs'!$B$21+'Inputs'!$B$7+'Inputs'!$B$10)+'Inputs'!$B$9)/SQRT((((617-43)*MAX('Inputs'!$B$33,'Inputs'!$B$29+'Inputs'!$B$31+'Inputs'!$B$32,'Inputs'!$B$30+'Inputs'!$B$31+'Inputs'!$B$32)/1000+'Inputs'!$B$21+'Inputs'!$B$7+'Inputs'!$B$10)+'Inputs'!$B$9)^2+('Inputs'!$B$8/2)^2)-(((617-43)*MAX('Inputs'!$B$33,'Inputs'!$B$29+'Inputs'!$B$31+'Inputs'!$B$32,'Inputs'!$B$30+'Inputs'!$B$31+'Inputs'!$B$32)/1000+'Inputs'!$B$21+'Inputs'!$B$7+'Inputs'!$B$10))/SQRT((((617-43)*MAX('Inputs'!$B$33,'Inputs'!$B$29+'Inputs'!$B$31+'Inputs'!$B$32,'Inputs'!$B$30+'Inputs'!$B$31+'Inputs'!$B$32)/1000+'Inputs'!$B$21+'Inputs'!$B$7+'Inputs'!$B$10))^2+('Inputs'!$B$8/2)^2))))*'Results'!$B$8),"")</x:f>
        <x:v>2.5971433820260614</x:v>
      </x:c>
      <x:c r="K617" t="n">
        <x:f>IF(AND(ISNUMBER('Results'!B7),ISNUMBER('Results'!C7),ISNUMBER('Results'!$B$8),ISNUMBER('Inputs'!$B$6),ISNUMBER('Inputs'!$B$7),ISNUMBER('Inputs'!$B$8),ISNUMBER('Inputs'!$B$9),ISNUMBER('Inputs'!$B$10),ISNUMBER('Inputs'!$B$21),ISNUMBER('Inputs'!$B$24),ISNUMBER('Inputs'!$B$28)),((('Results'!B7*(1-'Inputs'!$B$24)*(0.5*((((617-43)*MAX('Inputs'!$B$33,'Inputs'!$B$29+'Inputs'!$B$31+'Inputs'!$B$32,'Inputs'!$B$30+'Inputs'!$B$31+'Inputs'!$B$32)/1000+'Inputs'!$B$21)+'Inputs'!$B$7)/SQRT((((617-43)*MAX('Inputs'!$B$33,'Inputs'!$B$29+'Inputs'!$B$31+'Inputs'!$B$32,'Inputs'!$B$30+'Inputs'!$B$31+'Inputs'!$B$32)/1000+'Inputs'!$B$21)+'Inputs'!$B$7)^2+('Inputs'!$B$6/2)^2)-(((617-43)*MAX('Inputs'!$B$33,'Inputs'!$B$29+'Inputs'!$B$31+'Inputs'!$B$32,'Inputs'!$B$30+'Inputs'!$B$31+'Inputs'!$B$32)/1000+'Inputs'!$B$21))/SQRT((((617-43)*MAX('Inputs'!$B$33,'Inputs'!$B$29+'Inputs'!$B$31+'Inputs'!$B$32,'Inputs'!$B$30+'Inputs'!$B$31+'Inputs'!$B$32)/1000+'Inputs'!$B$21))^2+('Inputs'!$B$6/2)^2)))-'Results'!C7*(1+'Inputs'!$B$24)*(0.5*((((617-43)*MAX('Inputs'!$B$33,'Inputs'!$B$29+'Inputs'!$B$31+'Inputs'!$B$32,'Inputs'!$B$30+'Inputs'!$B$31+'Inputs'!$B$32)/1000+'Inputs'!$B$21+'Inputs'!$B$7+'Inputs'!$B$10)+'Inputs'!$B$9)/SQRT((((617-43)*MAX('Inputs'!$B$33,'Inputs'!$B$29+'Inputs'!$B$31+'Inputs'!$B$32,'Inputs'!$B$30+'Inputs'!$B$31+'Inputs'!$B$32)/1000+'Inputs'!$B$21+'Inputs'!$B$7+'Inputs'!$B$10)+'Inputs'!$B$9)^2+('Inputs'!$B$8/2)^2)-(((617-43)*MAX('Inputs'!$B$33,'Inputs'!$B$29+'Inputs'!$B$31+'Inputs'!$B$32,'Inputs'!$B$30+'Inputs'!$B$31+'Inputs'!$B$32)/1000+'Inputs'!$B$21+'Inputs'!$B$7+'Inputs'!$B$10))/SQRT((((617-43)*MAX('Inputs'!$B$33,'Inputs'!$B$29+'Inputs'!$B$31+'Inputs'!$B$32,'Inputs'!$B$30+'Inputs'!$B$31+'Inputs'!$B$32)/1000+'Inputs'!$B$21+'Inputs'!$B$7+'Inputs'!$B$10))^2+('Inputs'!$B$8/2)^2))))*'Results'!$B$8)-'Inputs'!$B$28*ABS((('Results'!B7*(1-'Inputs'!$B$24)*(0.5*((((617-43)*MAX('Inputs'!$B$33,'Inputs'!$B$29+'Inputs'!$B$31+'Inputs'!$B$32,'Inputs'!$B$30+'Inputs'!$B$31+'Inputs'!$B$32)/1000+'Inputs'!$B$21)+'Inputs'!$B$7)/SQRT((((617-43)*MAX('Inputs'!$B$33,'Inputs'!$B$29+'Inputs'!$B$31+'Inputs'!$B$32,'Inputs'!$B$30+'Inputs'!$B$31+'Inputs'!$B$32)/1000+'Inputs'!$B$21)+'Inputs'!$B$7)^2+('Inputs'!$B$6/2)^2)-(((617-43)*MAX('Inputs'!$B$33,'Inputs'!$B$29+'Inputs'!$B$31+'Inputs'!$B$32,'Inputs'!$B$30+'Inputs'!$B$31+'Inputs'!$B$32)/1000+'Inputs'!$B$21))/SQRT((((617-43)*MAX('Inputs'!$B$33,'Inputs'!$B$29+'Inputs'!$B$31+'Inputs'!$B$32,'Inputs'!$B$30+'Inputs'!$B$31+'Inputs'!$B$32)/1000+'Inputs'!$B$21))^2+('Inputs'!$B$6/2)^2)))-'Results'!C7*(1+'Inputs'!$B$24)*(0.5*((((617-43)*MAX('Inputs'!$B$33,'Inputs'!$B$29+'Inputs'!$B$31+'Inputs'!$B$32,'Inputs'!$B$30+'Inputs'!$B$31+'Inputs'!$B$32)/1000+'Inputs'!$B$21+'Inputs'!$B$7+'Inputs'!$B$10)+'Inputs'!$B$9)/SQRT((((617-43)*MAX('Inputs'!$B$33,'Inputs'!$B$29+'Inputs'!$B$31+'Inputs'!$B$32,'Inputs'!$B$30+'Inputs'!$B$31+'Inputs'!$B$32)/1000+'Inputs'!$B$21+'Inputs'!$B$7+'Inputs'!$B$10)+'Inputs'!$B$9)^2+('Inputs'!$B$8/2)^2)-(((617-43)*MAX('Inputs'!$B$33,'Inputs'!$B$29+'Inputs'!$B$31+'Inputs'!$B$32,'Inputs'!$B$30+'Inputs'!$B$31+'Inputs'!$B$32)/1000+'Inputs'!$B$21+'Inputs'!$B$7+'Inputs'!$B$10))/SQRT((((617-43)*MAX('Inputs'!$B$33,'Inputs'!$B$29+'Inputs'!$B$31+'Inputs'!$B$32,'Inputs'!$B$30+'Inputs'!$B$31+'Inputs'!$B$32)/1000+'Inputs'!$B$21+'Inputs'!$B$7+'Inputs'!$B$10))^2+('Inputs'!$B$8/2)^2))))*'Results'!$B$8))),"")</x:f>
        <x:v>2.280993123702289</x:v>
      </x:c>
      <x:c r="L617" t="n">
        <x:f>IF(AND(ISNUMBER('Results'!B7),ISNUMBER('Results'!C7),ISNUMBER('Results'!$B$8),ISNUMBER('Inputs'!$B$6),ISNUMBER('Inputs'!$B$7),ISNUMBER('Inputs'!$B$8),ISNUMBER('Inputs'!$B$9),ISNUMBER('Inputs'!$B$10),ISNUMBER('Inputs'!$B$21),ISNUMBER('Inputs'!$B$24),ISNUMBER('Inputs'!$B$28)),((('Results'!B7*(1+'Inputs'!$B$24)*(0.5*((((617-43)*MAX('Inputs'!$B$33,'Inputs'!$B$29+'Inputs'!$B$31+'Inputs'!$B$32,'Inputs'!$B$30+'Inputs'!$B$31+'Inputs'!$B$32)/1000+'Inputs'!$B$21)+'Inputs'!$B$7)/SQRT((((617-43)*MAX('Inputs'!$B$33,'Inputs'!$B$29+'Inputs'!$B$31+'Inputs'!$B$32,'Inputs'!$B$30+'Inputs'!$B$31+'Inputs'!$B$32)/1000+'Inputs'!$B$21)+'Inputs'!$B$7)^2+('Inputs'!$B$6/2)^2)-(((617-43)*MAX('Inputs'!$B$33,'Inputs'!$B$29+'Inputs'!$B$31+'Inputs'!$B$32,'Inputs'!$B$30+'Inputs'!$B$31+'Inputs'!$B$32)/1000+'Inputs'!$B$21))/SQRT((((617-43)*MAX('Inputs'!$B$33,'Inputs'!$B$29+'Inputs'!$B$31+'Inputs'!$B$32,'Inputs'!$B$30+'Inputs'!$B$31+'Inputs'!$B$32)/1000+'Inputs'!$B$21))^2+('Inputs'!$B$6/2)^2)))-'Results'!C7*(1-'Inputs'!$B$24)*(0.5*((((617-43)*MAX('Inputs'!$B$33,'Inputs'!$B$29+'Inputs'!$B$31+'Inputs'!$B$32,'Inputs'!$B$30+'Inputs'!$B$31+'Inputs'!$B$32)/1000+'Inputs'!$B$21+'Inputs'!$B$7+'Inputs'!$B$10)+'Inputs'!$B$9)/SQRT((((617-43)*MAX('Inputs'!$B$33,'Inputs'!$B$29+'Inputs'!$B$31+'Inputs'!$B$32,'Inputs'!$B$30+'Inputs'!$B$31+'Inputs'!$B$32)/1000+'Inputs'!$B$21+'Inputs'!$B$7+'Inputs'!$B$10)+'Inputs'!$B$9)^2+('Inputs'!$B$8/2)^2)-(((617-43)*MAX('Inputs'!$B$33,'Inputs'!$B$29+'Inputs'!$B$31+'Inputs'!$B$32,'Inputs'!$B$30+'Inputs'!$B$31+'Inputs'!$B$32)/1000+'Inputs'!$B$21+'Inputs'!$B$7+'Inputs'!$B$10))/SQRT((((617-43)*MAX('Inputs'!$B$33,'Inputs'!$B$29+'Inputs'!$B$31+'Inputs'!$B$32,'Inputs'!$B$30+'Inputs'!$B$31+'Inputs'!$B$32)/1000+'Inputs'!$B$21+'Inputs'!$B$7+'Inputs'!$B$10))^2+('Inputs'!$B$8/2)^2))))*'Results'!$B$8)+'Inputs'!$B$28*ABS((('Results'!B7*(1+'Inputs'!$B$24)*(0.5*((((617-43)*MAX('Inputs'!$B$33,'Inputs'!$B$29+'Inputs'!$B$31+'Inputs'!$B$32,'Inputs'!$B$30+'Inputs'!$B$31+'Inputs'!$B$32)/1000+'Inputs'!$B$21)+'Inputs'!$B$7)/SQRT((((617-43)*MAX('Inputs'!$B$33,'Inputs'!$B$29+'Inputs'!$B$31+'Inputs'!$B$32,'Inputs'!$B$30+'Inputs'!$B$31+'Inputs'!$B$32)/1000+'Inputs'!$B$21)+'Inputs'!$B$7)^2+('Inputs'!$B$6/2)^2)-(((617-43)*MAX('Inputs'!$B$33,'Inputs'!$B$29+'Inputs'!$B$31+'Inputs'!$B$32,'Inputs'!$B$30+'Inputs'!$B$31+'Inputs'!$B$32)/1000+'Inputs'!$B$21))/SQRT((((617-43)*MAX('Inputs'!$B$33,'Inputs'!$B$29+'Inputs'!$B$31+'Inputs'!$B$32,'Inputs'!$B$30+'Inputs'!$B$31+'Inputs'!$B$32)/1000+'Inputs'!$B$21))^2+('Inputs'!$B$6/2)^2)))-'Results'!C7*(1-'Inputs'!$B$24)*(0.5*((((617-43)*MAX('Inputs'!$B$33,'Inputs'!$B$29+'Inputs'!$B$31+'Inputs'!$B$32,'Inputs'!$B$30+'Inputs'!$B$31+'Inputs'!$B$32)/1000+'Inputs'!$B$21+'Inputs'!$B$7+'Inputs'!$B$10)+'Inputs'!$B$9)/SQRT((((617-43)*MAX('Inputs'!$B$33,'Inputs'!$B$29+'Inputs'!$B$31+'Inputs'!$B$32,'Inputs'!$B$30+'Inputs'!$B$31+'Inputs'!$B$32)/1000+'Inputs'!$B$21+'Inputs'!$B$7+'Inputs'!$B$10)+'Inputs'!$B$9)^2+('Inputs'!$B$8/2)^2)-(((617-43)*MAX('Inputs'!$B$33,'Inputs'!$B$29+'Inputs'!$B$31+'Inputs'!$B$32,'Inputs'!$B$30+'Inputs'!$B$31+'Inputs'!$B$32)/1000+'Inputs'!$B$21+'Inputs'!$B$7+'Inputs'!$B$10))/SQRT((((617-43)*MAX('Inputs'!$B$33,'Inputs'!$B$29+'Inputs'!$B$31+'Inputs'!$B$32,'Inputs'!$B$30+'Inputs'!$B$31+'Inputs'!$B$32)/1000+'Inputs'!$B$21+'Inputs'!$B$7+'Inputs'!$B$10))^2+('Inputs'!$B$8/2)^2))))*'Results'!$B$8))),"")</x:f>
        <x:v>2.9329034392153566</x:v>
      </x:c>
      <x:c r="M617" t="n">
        <x:f>IF(AND(ISNUMBER('Results'!C7),ISNUMBER('Results'!B7),ISNUMBER('Results'!$B$8),ISNUMBER('Inputs'!$B$6),ISNUMBER('Inputs'!$B$7),ISNUMBER('Inputs'!$B$8),ISNUMBER('Inputs'!$B$9),ISNUMBER('Inputs'!$B$10),ISNUMBER('Inputs'!$B$21),ISNUMBER('Inputs'!$B$24),ISNUMBER('Inputs'!$B$28)),(('Results'!C7*(0.5*((((617-43)*MAX('Inputs'!$B$33,'Inputs'!$B$29+'Inputs'!$B$31+'Inputs'!$B$32,'Inputs'!$B$30+'Inputs'!$B$31+'Inputs'!$B$32)/1000+'Inputs'!$B$21)+'Inputs'!$B$9)/SQRT((((617-43)*MAX('Inputs'!$B$33,'Inputs'!$B$29+'Inputs'!$B$31+'Inputs'!$B$32,'Inputs'!$B$30+'Inputs'!$B$31+'Inputs'!$B$32)/1000+'Inputs'!$B$21)+'Inputs'!$B$9)^2+('Inputs'!$B$8/2)^2)-(((617-43)*MAX('Inputs'!$B$33,'Inputs'!$B$29+'Inputs'!$B$31+'Inputs'!$B$32,'Inputs'!$B$30+'Inputs'!$B$31+'Inputs'!$B$32)/1000+'Inputs'!$B$21))/SQRT((((617-43)*MAX('Inputs'!$B$33,'Inputs'!$B$29+'Inputs'!$B$31+'Inputs'!$B$32,'Inputs'!$B$30+'Inputs'!$B$31+'Inputs'!$B$32)/1000+'Inputs'!$B$21))^2+('Inputs'!$B$8/2)^2)))-'Results'!B7*(0.5*((((617-43)*MAX('Inputs'!$B$33,'Inputs'!$B$29+'Inputs'!$B$31+'Inputs'!$B$32,'Inputs'!$B$30+'Inputs'!$B$31+'Inputs'!$B$32)/1000+'Inputs'!$B$21+'Inputs'!$B$9+'Inputs'!$B$10)+'Inputs'!$B$7)/SQRT((((617-43)*MAX('Inputs'!$B$33,'Inputs'!$B$29+'Inputs'!$B$31+'Inputs'!$B$32,'Inputs'!$B$30+'Inputs'!$B$31+'Inputs'!$B$32)/1000+'Inputs'!$B$21+'Inputs'!$B$9+'Inputs'!$B$10)+'Inputs'!$B$7)^2+('Inputs'!$B$6/2)^2)-(((617-43)*MAX('Inputs'!$B$33,'Inputs'!$B$29+'Inputs'!$B$31+'Inputs'!$B$32,'Inputs'!$B$30+'Inputs'!$B$31+'Inputs'!$B$32)/1000+'Inputs'!$B$21+'Inputs'!$B$9+'Inputs'!$B$10))/SQRT((((617-43)*MAX('Inputs'!$B$33,'Inputs'!$B$29+'Inputs'!$B$31+'Inputs'!$B$32,'Inputs'!$B$30+'Inputs'!$B$31+'Inputs'!$B$32)/1000+'Inputs'!$B$21+'Inputs'!$B$9+'Inputs'!$B$10))^2+('Inputs'!$B$6/2)^2))))*'Results'!$B$8),"")</x:f>
        <x:v>2.3995744227482314</x:v>
      </x:c>
      <x:c r="N617" t="n">
        <x:f>IF(AND(ISNUMBER('Results'!C7),ISNUMBER('Results'!B7),ISNUMBER('Results'!$B$8),ISNUMBER('Inputs'!$B$6),ISNUMBER('Inputs'!$B$7),ISNUMBER('Inputs'!$B$8),ISNUMBER('Inputs'!$B$9),ISNUMBER('Inputs'!$B$10),ISNUMBER('Inputs'!$B$21),ISNUMBER('Inputs'!$B$24),ISNUMBER('Inputs'!$B$28)),((('Results'!C7*(1-'Inputs'!$B$24)*(0.5*((((617-43)*MAX('Inputs'!$B$33,'Inputs'!$B$29+'Inputs'!$B$31+'Inputs'!$B$32,'Inputs'!$B$30+'Inputs'!$B$31+'Inputs'!$B$32)/1000+'Inputs'!$B$21)+'Inputs'!$B$9)/SQRT((((617-43)*MAX('Inputs'!$B$33,'Inputs'!$B$29+'Inputs'!$B$31+'Inputs'!$B$32,'Inputs'!$B$30+'Inputs'!$B$31+'Inputs'!$B$32)/1000+'Inputs'!$B$21)+'Inputs'!$B$9)^2+('Inputs'!$B$8/2)^2)-(((617-43)*MAX('Inputs'!$B$33,'Inputs'!$B$29+'Inputs'!$B$31+'Inputs'!$B$32,'Inputs'!$B$30+'Inputs'!$B$31+'Inputs'!$B$32)/1000+'Inputs'!$B$21))/SQRT((((617-43)*MAX('Inputs'!$B$33,'Inputs'!$B$29+'Inputs'!$B$31+'Inputs'!$B$32,'Inputs'!$B$30+'Inputs'!$B$31+'Inputs'!$B$32)/1000+'Inputs'!$B$21))^2+('Inputs'!$B$8/2)^2)))-'Results'!B7*(1+'Inputs'!$B$24)*(0.5*((((617-43)*MAX('Inputs'!$B$33,'Inputs'!$B$29+'Inputs'!$B$31+'Inputs'!$B$32,'Inputs'!$B$30+'Inputs'!$B$31+'Inputs'!$B$32)/1000+'Inputs'!$B$21+'Inputs'!$B$9+'Inputs'!$B$10)+'Inputs'!$B$7)/SQRT((((617-43)*MAX('Inputs'!$B$33,'Inputs'!$B$29+'Inputs'!$B$31+'Inputs'!$B$32,'Inputs'!$B$30+'Inputs'!$B$31+'Inputs'!$B$32)/1000+'Inputs'!$B$21+'Inputs'!$B$9+'Inputs'!$B$10)+'Inputs'!$B$7)^2+('Inputs'!$B$6/2)^2)-(((617-43)*MAX('Inputs'!$B$33,'Inputs'!$B$29+'Inputs'!$B$31+'Inputs'!$B$32,'Inputs'!$B$30+'Inputs'!$B$31+'Inputs'!$B$32)/1000+'Inputs'!$B$21+'Inputs'!$B$9+'Inputs'!$B$10))/SQRT((((617-43)*MAX('Inputs'!$B$33,'Inputs'!$B$29+'Inputs'!$B$31+'Inputs'!$B$32,'Inputs'!$B$30+'Inputs'!$B$31+'Inputs'!$B$32)/1000+'Inputs'!$B$21+'Inputs'!$B$9+'Inputs'!$B$10))^2+('Inputs'!$B$6/2)^2))))*'Results'!$B$8)-'Inputs'!$B$28*ABS((('Results'!C7*(1-'Inputs'!$B$24)*(0.5*((((617-43)*MAX('Inputs'!$B$33,'Inputs'!$B$29+'Inputs'!$B$31+'Inputs'!$B$32,'Inputs'!$B$30+'Inputs'!$B$31+'Inputs'!$B$32)/1000+'Inputs'!$B$21)+'Inputs'!$B$9)/SQRT((((617-43)*MAX('Inputs'!$B$33,'Inputs'!$B$29+'Inputs'!$B$31+'Inputs'!$B$32,'Inputs'!$B$30+'Inputs'!$B$31+'Inputs'!$B$32)/1000+'Inputs'!$B$21)+'Inputs'!$B$9)^2+('Inputs'!$B$8/2)^2)-(((617-43)*MAX('Inputs'!$B$33,'Inputs'!$B$29+'Inputs'!$B$31+'Inputs'!$B$32,'Inputs'!$B$30+'Inputs'!$B$31+'Inputs'!$B$32)/1000+'Inputs'!$B$21))/SQRT((((617-43)*MAX('Inputs'!$B$33,'Inputs'!$B$29+'Inputs'!$B$31+'Inputs'!$B$32,'Inputs'!$B$30+'Inputs'!$B$31+'Inputs'!$B$32)/1000+'Inputs'!$B$21))^2+('Inputs'!$B$8/2)^2)))-'Results'!B7*(1+'Inputs'!$B$24)*(0.5*((((617-43)*MAX('Inputs'!$B$33,'Inputs'!$B$29+'Inputs'!$B$31+'Inputs'!$B$32,'Inputs'!$B$30+'Inputs'!$B$31+'Inputs'!$B$32)/1000+'Inputs'!$B$21+'Inputs'!$B$9+'Inputs'!$B$10)+'Inputs'!$B$7)/SQRT((((617-43)*MAX('Inputs'!$B$33,'Inputs'!$B$29+'Inputs'!$B$31+'Inputs'!$B$32,'Inputs'!$B$30+'Inputs'!$B$31+'Inputs'!$B$32)/1000+'Inputs'!$B$21+'Inputs'!$B$9+'Inputs'!$B$10)+'Inputs'!$B$7)^2+('Inputs'!$B$6/2)^2)-(((617-43)*MAX('Inputs'!$B$33,'Inputs'!$B$29+'Inputs'!$B$31+'Inputs'!$B$32,'Inputs'!$B$30+'Inputs'!$B$31+'Inputs'!$B$32)/1000+'Inputs'!$B$21+'Inputs'!$B$9+'Inputs'!$B$10))/SQRT((((617-43)*MAX('Inputs'!$B$33,'Inputs'!$B$29+'Inputs'!$B$31+'Inputs'!$B$32,'Inputs'!$B$30+'Inputs'!$B$31+'Inputs'!$B$32)/1000+'Inputs'!$B$21+'Inputs'!$B$9+'Inputs'!$B$10))^2+('Inputs'!$B$6/2)^2))))*'Results'!$B$8))),"")</x:f>
        <x:v>2.0942615784316914</x:v>
      </x:c>
      <x:c r="O617" t="n">
        <x:f>IF(AND(ISNUMBER('Results'!C7),ISNUMBER('Results'!B7),ISNUMBER('Results'!$B$8),ISNUMBER('Inputs'!$B$6),ISNUMBER('Inputs'!$B$7),ISNUMBER('Inputs'!$B$8),ISNUMBER('Inputs'!$B$9),ISNUMBER('Inputs'!$B$10),ISNUMBER('Inputs'!$B$21),ISNUMBER('Inputs'!$B$24),ISNUMBER('Inputs'!$B$28)),((('Results'!C7*(1+'Inputs'!$B$24)*(0.5*((((617-43)*MAX('Inputs'!$B$33,'Inputs'!$B$29+'Inputs'!$B$31+'Inputs'!$B$32,'Inputs'!$B$30+'Inputs'!$B$31+'Inputs'!$B$32)/1000+'Inputs'!$B$21)+'Inputs'!$B$9)/SQRT((((617-43)*MAX('Inputs'!$B$33,'Inputs'!$B$29+'Inputs'!$B$31+'Inputs'!$B$32,'Inputs'!$B$30+'Inputs'!$B$31+'Inputs'!$B$32)/1000+'Inputs'!$B$21)+'Inputs'!$B$9)^2+('Inputs'!$B$8/2)^2)-(((617-43)*MAX('Inputs'!$B$33,'Inputs'!$B$29+'Inputs'!$B$31+'Inputs'!$B$32,'Inputs'!$B$30+'Inputs'!$B$31+'Inputs'!$B$32)/1000+'Inputs'!$B$21))/SQRT((((617-43)*MAX('Inputs'!$B$33,'Inputs'!$B$29+'Inputs'!$B$31+'Inputs'!$B$32,'Inputs'!$B$30+'Inputs'!$B$31+'Inputs'!$B$32)/1000+'Inputs'!$B$21))^2+('Inputs'!$B$8/2)^2)))-'Results'!B7*(1-'Inputs'!$B$24)*(0.5*((((617-43)*MAX('Inputs'!$B$33,'Inputs'!$B$29+'Inputs'!$B$31+'Inputs'!$B$32,'Inputs'!$B$30+'Inputs'!$B$31+'Inputs'!$B$32)/1000+'Inputs'!$B$21+'Inputs'!$B$9+'Inputs'!$B$10)+'Inputs'!$B$7)/SQRT((((617-43)*MAX('Inputs'!$B$33,'Inputs'!$B$29+'Inputs'!$B$31+'Inputs'!$B$32,'Inputs'!$B$30+'Inputs'!$B$31+'Inputs'!$B$32)/1000+'Inputs'!$B$21+'Inputs'!$B$9+'Inputs'!$B$10)+'Inputs'!$B$7)^2+('Inputs'!$B$6/2)^2)-(((617-43)*MAX('Inputs'!$B$33,'Inputs'!$B$29+'Inputs'!$B$31+'Inputs'!$B$32,'Inputs'!$B$30+'Inputs'!$B$31+'Inputs'!$B$32)/1000+'Inputs'!$B$21+'Inputs'!$B$9+'Inputs'!$B$10))/SQRT((((617-43)*MAX('Inputs'!$B$33,'Inputs'!$B$29+'Inputs'!$B$31+'Inputs'!$B$32,'Inputs'!$B$30+'Inputs'!$B$31+'Inputs'!$B$32)/1000+'Inputs'!$B$21+'Inputs'!$B$9+'Inputs'!$B$10))^2+('Inputs'!$B$6/2)^2))))*'Results'!$B$8)+'Inputs'!$B$28*ABS((('Results'!C7*(1+'Inputs'!$B$24)*(0.5*((((617-43)*MAX('Inputs'!$B$33,'Inputs'!$B$29+'Inputs'!$B$31+'Inputs'!$B$32,'Inputs'!$B$30+'Inputs'!$B$31+'Inputs'!$B$32)/1000+'Inputs'!$B$21)+'Inputs'!$B$9)/SQRT((((617-43)*MAX('Inputs'!$B$33,'Inputs'!$B$29+'Inputs'!$B$31+'Inputs'!$B$32,'Inputs'!$B$30+'Inputs'!$B$31+'Inputs'!$B$32)/1000+'Inputs'!$B$21)+'Inputs'!$B$9)^2+('Inputs'!$B$8/2)^2)-(((617-43)*MAX('Inputs'!$B$33,'Inputs'!$B$29+'Inputs'!$B$31+'Inputs'!$B$32,'Inputs'!$B$30+'Inputs'!$B$31+'Inputs'!$B$32)/1000+'Inputs'!$B$21))/SQRT((((617-43)*MAX('Inputs'!$B$33,'Inputs'!$B$29+'Inputs'!$B$31+'Inputs'!$B$32,'Inputs'!$B$30+'Inputs'!$B$31+'Inputs'!$B$32)/1000+'Inputs'!$B$21))^2+('Inputs'!$B$8/2)^2)))-'Results'!B7*(1-'Inputs'!$B$24)*(0.5*((((617-43)*MAX('Inputs'!$B$33,'Inputs'!$B$29+'Inputs'!$B$31+'Inputs'!$B$32,'Inputs'!$B$30+'Inputs'!$B$31+'Inputs'!$B$32)/1000+'Inputs'!$B$21+'Inputs'!$B$9+'Inputs'!$B$10)+'Inputs'!$B$7)/SQRT((((617-43)*MAX('Inputs'!$B$33,'Inputs'!$B$29+'Inputs'!$B$31+'Inputs'!$B$32,'Inputs'!$B$30+'Inputs'!$B$31+'Inputs'!$B$32)/1000+'Inputs'!$B$21+'Inputs'!$B$9+'Inputs'!$B$10)+'Inputs'!$B$7)^2+('Inputs'!$B$6/2)^2)-(((617-43)*MAX('Inputs'!$B$33,'Inputs'!$B$29+'Inputs'!$B$31+'Inputs'!$B$32,'Inputs'!$B$30+'Inputs'!$B$31+'Inputs'!$B$32)/1000+'Inputs'!$B$21+'Inputs'!$B$9+'Inputs'!$B$10))/SQRT((((617-43)*MAX('Inputs'!$B$33,'Inputs'!$B$29+'Inputs'!$B$31+'Inputs'!$B$32,'Inputs'!$B$30+'Inputs'!$B$31+'Inputs'!$B$32)/1000+'Inputs'!$B$21+'Inputs'!$B$9+'Inputs'!$B$10))^2+('Inputs'!$B$6/2)^2))))*'Results'!$B$8))),"")</x:f>
        <x:v>2.724396122136259</x:v>
      </x:c>
      <x:c r="P617" t="n">
        <x:f>IF(AND(MAX(J617,J616)&gt;0,J617&gt;J616+0.00000001),1,0)</x:f>
        <x:v>0</x:v>
      </x:c>
      <x:c r="Q617" t="n">
        <x:f>IF(AND(MAX(K617,K616)&gt;0,K617&gt;K616+0.00000001),1,0)</x:f>
        <x:v>0</x:v>
      </x:c>
      <x:c r="R617" t="n">
        <x:f>IF(AND(MAX(L617,L616)&gt;0,L617&gt;L616+0.00000001),1,0)</x:f>
        <x:v>0</x:v>
      </x:c>
      <x:c r="S617" t="n">
        <x:f>IF(AND(MAX(M617,M616)&gt;0,M617&gt;M616+0.00000001),1,0)</x:f>
        <x:v>0</x:v>
      </x:c>
      <x:c r="T617" t="n">
        <x:f>IF(AND(MAX(N617,N616)&gt;0,N617&gt;N616+0.00000001),1,0)</x:f>
        <x:v>0</x:v>
      </x:c>
      <x:c r="U617" t="n">
        <x:f>IF(AND(MAX(O617,O616)&gt;0,O617&gt;O616+0.00000001),1,0)</x:f>
        <x:v>0</x:v>
      </x:c>
    </x:row>
    <x:row r="618">
      <x:c r="J618" t="n">
        <x:f>IF(AND(ISNUMBER('Results'!B7),ISNUMBER('Results'!C7),ISNUMBER('Results'!$B$8),ISNUMBER('Inputs'!$B$6),ISNUMBER('Inputs'!$B$7),ISNUMBER('Inputs'!$B$8),ISNUMBER('Inputs'!$B$9),ISNUMBER('Inputs'!$B$10),ISNUMBER('Inputs'!$B$21),ISNUMBER('Inputs'!$B$24),ISNUMBER('Inputs'!$B$28)),(('Results'!B7*(0.5*((((618-43)*MAX('Inputs'!$B$33,'Inputs'!$B$29+'Inputs'!$B$31+'Inputs'!$B$32,'Inputs'!$B$30+'Inputs'!$B$31+'Inputs'!$B$32)/1000+'Inputs'!$B$21)+'Inputs'!$B$7)/SQRT((((618-43)*MAX('Inputs'!$B$33,'Inputs'!$B$29+'Inputs'!$B$31+'Inputs'!$B$32,'Inputs'!$B$30+'Inputs'!$B$31+'Inputs'!$B$32)/1000+'Inputs'!$B$21)+'Inputs'!$B$7)^2+('Inputs'!$B$6/2)^2)-(((618-43)*MAX('Inputs'!$B$33,'Inputs'!$B$29+'Inputs'!$B$31+'Inputs'!$B$32,'Inputs'!$B$30+'Inputs'!$B$31+'Inputs'!$B$32)/1000+'Inputs'!$B$21))/SQRT((((618-43)*MAX('Inputs'!$B$33,'Inputs'!$B$29+'Inputs'!$B$31+'Inputs'!$B$32,'Inputs'!$B$30+'Inputs'!$B$31+'Inputs'!$B$32)/1000+'Inputs'!$B$21))^2+('Inputs'!$B$6/2)^2)))-'Results'!C7*(0.5*((((618-43)*MAX('Inputs'!$B$33,'Inputs'!$B$29+'Inputs'!$B$31+'Inputs'!$B$32,'Inputs'!$B$30+'Inputs'!$B$31+'Inputs'!$B$32)/1000+'Inputs'!$B$21+'Inputs'!$B$7+'Inputs'!$B$10)+'Inputs'!$B$9)/SQRT((((618-43)*MAX('Inputs'!$B$33,'Inputs'!$B$29+'Inputs'!$B$31+'Inputs'!$B$32,'Inputs'!$B$30+'Inputs'!$B$31+'Inputs'!$B$32)/1000+'Inputs'!$B$21+'Inputs'!$B$7+'Inputs'!$B$10)+'Inputs'!$B$9)^2+('Inputs'!$B$8/2)^2)-(((618-43)*MAX('Inputs'!$B$33,'Inputs'!$B$29+'Inputs'!$B$31+'Inputs'!$B$32,'Inputs'!$B$30+'Inputs'!$B$31+'Inputs'!$B$32)/1000+'Inputs'!$B$21+'Inputs'!$B$7+'Inputs'!$B$10))/SQRT((((618-43)*MAX('Inputs'!$B$33,'Inputs'!$B$29+'Inputs'!$B$31+'Inputs'!$B$32,'Inputs'!$B$30+'Inputs'!$B$31+'Inputs'!$B$32)/1000+'Inputs'!$B$21+'Inputs'!$B$7+'Inputs'!$B$10))^2+('Inputs'!$B$8/2)^2))))*'Results'!$B$8),"")</x:f>
        <x:v>2.5814683413098467</x:v>
      </x:c>
      <x:c r="K618" t="n">
        <x:f>IF(AND(ISNUMBER('Results'!B7),ISNUMBER('Results'!C7),ISNUMBER('Results'!$B$8),ISNUMBER('Inputs'!$B$6),ISNUMBER('Inputs'!$B$7),ISNUMBER('Inputs'!$B$8),ISNUMBER('Inputs'!$B$9),ISNUMBER('Inputs'!$B$10),ISNUMBER('Inputs'!$B$21),ISNUMBER('Inputs'!$B$24),ISNUMBER('Inputs'!$B$28)),((('Results'!B7*(1-'Inputs'!$B$24)*(0.5*((((618-43)*MAX('Inputs'!$B$33,'Inputs'!$B$29+'Inputs'!$B$31+'Inputs'!$B$32,'Inputs'!$B$30+'Inputs'!$B$31+'Inputs'!$B$32)/1000+'Inputs'!$B$21)+'Inputs'!$B$7)/SQRT((((618-43)*MAX('Inputs'!$B$33,'Inputs'!$B$29+'Inputs'!$B$31+'Inputs'!$B$32,'Inputs'!$B$30+'Inputs'!$B$31+'Inputs'!$B$32)/1000+'Inputs'!$B$21)+'Inputs'!$B$7)^2+('Inputs'!$B$6/2)^2)-(((618-43)*MAX('Inputs'!$B$33,'Inputs'!$B$29+'Inputs'!$B$31+'Inputs'!$B$32,'Inputs'!$B$30+'Inputs'!$B$31+'Inputs'!$B$32)/1000+'Inputs'!$B$21))/SQRT((((618-43)*MAX('Inputs'!$B$33,'Inputs'!$B$29+'Inputs'!$B$31+'Inputs'!$B$32,'Inputs'!$B$30+'Inputs'!$B$31+'Inputs'!$B$32)/1000+'Inputs'!$B$21))^2+('Inputs'!$B$6/2)^2)))-'Results'!C7*(1+'Inputs'!$B$24)*(0.5*((((618-43)*MAX('Inputs'!$B$33,'Inputs'!$B$29+'Inputs'!$B$31+'Inputs'!$B$32,'Inputs'!$B$30+'Inputs'!$B$31+'Inputs'!$B$32)/1000+'Inputs'!$B$21+'Inputs'!$B$7+'Inputs'!$B$10)+'Inputs'!$B$9)/SQRT((((618-43)*MAX('Inputs'!$B$33,'Inputs'!$B$29+'Inputs'!$B$31+'Inputs'!$B$32,'Inputs'!$B$30+'Inputs'!$B$31+'Inputs'!$B$32)/1000+'Inputs'!$B$21+'Inputs'!$B$7+'Inputs'!$B$10)+'Inputs'!$B$9)^2+('Inputs'!$B$8/2)^2)-(((618-43)*MAX('Inputs'!$B$33,'Inputs'!$B$29+'Inputs'!$B$31+'Inputs'!$B$32,'Inputs'!$B$30+'Inputs'!$B$31+'Inputs'!$B$32)/1000+'Inputs'!$B$21+'Inputs'!$B$7+'Inputs'!$B$10))/SQRT((((618-43)*MAX('Inputs'!$B$33,'Inputs'!$B$29+'Inputs'!$B$31+'Inputs'!$B$32,'Inputs'!$B$30+'Inputs'!$B$31+'Inputs'!$B$32)/1000+'Inputs'!$B$21+'Inputs'!$B$7+'Inputs'!$B$10))^2+('Inputs'!$B$8/2)^2))))*'Results'!$B$8)-'Inputs'!$B$28*ABS((('Results'!B7*(1-'Inputs'!$B$24)*(0.5*((((618-43)*MAX('Inputs'!$B$33,'Inputs'!$B$29+'Inputs'!$B$31+'Inputs'!$B$32,'Inputs'!$B$30+'Inputs'!$B$31+'Inputs'!$B$32)/1000+'Inputs'!$B$21)+'Inputs'!$B$7)/SQRT((((618-43)*MAX('Inputs'!$B$33,'Inputs'!$B$29+'Inputs'!$B$31+'Inputs'!$B$32,'Inputs'!$B$30+'Inputs'!$B$31+'Inputs'!$B$32)/1000+'Inputs'!$B$21)+'Inputs'!$B$7)^2+('Inputs'!$B$6/2)^2)-(((618-43)*MAX('Inputs'!$B$33,'Inputs'!$B$29+'Inputs'!$B$31+'Inputs'!$B$32,'Inputs'!$B$30+'Inputs'!$B$31+'Inputs'!$B$32)/1000+'Inputs'!$B$21))/SQRT((((618-43)*MAX('Inputs'!$B$33,'Inputs'!$B$29+'Inputs'!$B$31+'Inputs'!$B$32,'Inputs'!$B$30+'Inputs'!$B$31+'Inputs'!$B$32)/1000+'Inputs'!$B$21))^2+('Inputs'!$B$6/2)^2)))-'Results'!C7*(1+'Inputs'!$B$24)*(0.5*((((618-43)*MAX('Inputs'!$B$33,'Inputs'!$B$29+'Inputs'!$B$31+'Inputs'!$B$32,'Inputs'!$B$30+'Inputs'!$B$31+'Inputs'!$B$32)/1000+'Inputs'!$B$21+'Inputs'!$B$7+'Inputs'!$B$10)+'Inputs'!$B$9)/SQRT((((618-43)*MAX('Inputs'!$B$33,'Inputs'!$B$29+'Inputs'!$B$31+'Inputs'!$B$32,'Inputs'!$B$30+'Inputs'!$B$31+'Inputs'!$B$32)/1000+'Inputs'!$B$21+'Inputs'!$B$7+'Inputs'!$B$10)+'Inputs'!$B$9)^2+('Inputs'!$B$8/2)^2)-(((618-43)*MAX('Inputs'!$B$33,'Inputs'!$B$29+'Inputs'!$B$31+'Inputs'!$B$32,'Inputs'!$B$30+'Inputs'!$B$31+'Inputs'!$B$32)/1000+'Inputs'!$B$21+'Inputs'!$B$7+'Inputs'!$B$10))/SQRT((((618-43)*MAX('Inputs'!$B$33,'Inputs'!$B$29+'Inputs'!$B$31+'Inputs'!$B$32,'Inputs'!$B$30+'Inputs'!$B$31+'Inputs'!$B$32)/1000+'Inputs'!$B$21+'Inputs'!$B$7+'Inputs'!$B$10))^2+('Inputs'!$B$8/2)^2))))*'Results'!$B$8))),"")</x:f>
        <x:v>2.2669713063823638</x:v>
      </x:c>
      <x:c r="L618" t="n">
        <x:f>IF(AND(ISNUMBER('Results'!B7),ISNUMBER('Results'!C7),ISNUMBER('Results'!$B$8),ISNUMBER('Inputs'!$B$6),ISNUMBER('Inputs'!$B$7),ISNUMBER('Inputs'!$B$8),ISNUMBER('Inputs'!$B$9),ISNUMBER('Inputs'!$B$10),ISNUMBER('Inputs'!$B$21),ISNUMBER('Inputs'!$B$24),ISNUMBER('Inputs'!$B$28)),((('Results'!B7*(1+'Inputs'!$B$24)*(0.5*((((618-43)*MAX('Inputs'!$B$33,'Inputs'!$B$29+'Inputs'!$B$31+'Inputs'!$B$32,'Inputs'!$B$30+'Inputs'!$B$31+'Inputs'!$B$32)/1000+'Inputs'!$B$21)+'Inputs'!$B$7)/SQRT((((618-43)*MAX('Inputs'!$B$33,'Inputs'!$B$29+'Inputs'!$B$31+'Inputs'!$B$32,'Inputs'!$B$30+'Inputs'!$B$31+'Inputs'!$B$32)/1000+'Inputs'!$B$21)+'Inputs'!$B$7)^2+('Inputs'!$B$6/2)^2)-(((618-43)*MAX('Inputs'!$B$33,'Inputs'!$B$29+'Inputs'!$B$31+'Inputs'!$B$32,'Inputs'!$B$30+'Inputs'!$B$31+'Inputs'!$B$32)/1000+'Inputs'!$B$21))/SQRT((((618-43)*MAX('Inputs'!$B$33,'Inputs'!$B$29+'Inputs'!$B$31+'Inputs'!$B$32,'Inputs'!$B$30+'Inputs'!$B$31+'Inputs'!$B$32)/1000+'Inputs'!$B$21))^2+('Inputs'!$B$6/2)^2)))-'Results'!C7*(1-'Inputs'!$B$24)*(0.5*((((618-43)*MAX('Inputs'!$B$33,'Inputs'!$B$29+'Inputs'!$B$31+'Inputs'!$B$32,'Inputs'!$B$30+'Inputs'!$B$31+'Inputs'!$B$32)/1000+'Inputs'!$B$21+'Inputs'!$B$7+'Inputs'!$B$10)+'Inputs'!$B$9)/SQRT((((618-43)*MAX('Inputs'!$B$33,'Inputs'!$B$29+'Inputs'!$B$31+'Inputs'!$B$32,'Inputs'!$B$30+'Inputs'!$B$31+'Inputs'!$B$32)/1000+'Inputs'!$B$21+'Inputs'!$B$7+'Inputs'!$B$10)+'Inputs'!$B$9)^2+('Inputs'!$B$8/2)^2)-(((618-43)*MAX('Inputs'!$B$33,'Inputs'!$B$29+'Inputs'!$B$31+'Inputs'!$B$32,'Inputs'!$B$30+'Inputs'!$B$31+'Inputs'!$B$32)/1000+'Inputs'!$B$21+'Inputs'!$B$7+'Inputs'!$B$10))/SQRT((((618-43)*MAX('Inputs'!$B$33,'Inputs'!$B$29+'Inputs'!$B$31+'Inputs'!$B$32,'Inputs'!$B$30+'Inputs'!$B$31+'Inputs'!$B$32)/1000+'Inputs'!$B$21+'Inputs'!$B$7+'Inputs'!$B$10))^2+('Inputs'!$B$8/2)^2))))*'Results'!$B$8)+'Inputs'!$B$28*ABS((('Results'!B7*(1+'Inputs'!$B$24)*(0.5*((((618-43)*MAX('Inputs'!$B$33,'Inputs'!$B$29+'Inputs'!$B$31+'Inputs'!$B$32,'Inputs'!$B$30+'Inputs'!$B$31+'Inputs'!$B$32)/1000+'Inputs'!$B$21)+'Inputs'!$B$7)/SQRT((((618-43)*MAX('Inputs'!$B$33,'Inputs'!$B$29+'Inputs'!$B$31+'Inputs'!$B$32,'Inputs'!$B$30+'Inputs'!$B$31+'Inputs'!$B$32)/1000+'Inputs'!$B$21)+'Inputs'!$B$7)^2+('Inputs'!$B$6/2)^2)-(((618-43)*MAX('Inputs'!$B$33,'Inputs'!$B$29+'Inputs'!$B$31+'Inputs'!$B$32,'Inputs'!$B$30+'Inputs'!$B$31+'Inputs'!$B$32)/1000+'Inputs'!$B$21))/SQRT((((618-43)*MAX('Inputs'!$B$33,'Inputs'!$B$29+'Inputs'!$B$31+'Inputs'!$B$32,'Inputs'!$B$30+'Inputs'!$B$31+'Inputs'!$B$32)/1000+'Inputs'!$B$21))^2+('Inputs'!$B$6/2)^2)))-'Results'!C7*(1-'Inputs'!$B$24)*(0.5*((((618-43)*MAX('Inputs'!$B$33,'Inputs'!$B$29+'Inputs'!$B$31+'Inputs'!$B$32,'Inputs'!$B$30+'Inputs'!$B$31+'Inputs'!$B$32)/1000+'Inputs'!$B$21+'Inputs'!$B$7+'Inputs'!$B$10)+'Inputs'!$B$9)/SQRT((((618-43)*MAX('Inputs'!$B$33,'Inputs'!$B$29+'Inputs'!$B$31+'Inputs'!$B$32,'Inputs'!$B$30+'Inputs'!$B$31+'Inputs'!$B$32)/1000+'Inputs'!$B$21+'Inputs'!$B$7+'Inputs'!$B$10)+'Inputs'!$B$9)^2+('Inputs'!$B$8/2)^2)-(((618-43)*MAX('Inputs'!$B$33,'Inputs'!$B$29+'Inputs'!$B$31+'Inputs'!$B$32,'Inputs'!$B$30+'Inputs'!$B$31+'Inputs'!$B$32)/1000+'Inputs'!$B$21+'Inputs'!$B$7+'Inputs'!$B$10))/SQRT((((618-43)*MAX('Inputs'!$B$33,'Inputs'!$B$29+'Inputs'!$B$31+'Inputs'!$B$32,'Inputs'!$B$30+'Inputs'!$B$31+'Inputs'!$B$32)/1000+'Inputs'!$B$21+'Inputs'!$B$7+'Inputs'!$B$10))^2+('Inputs'!$B$8/2)^2))))*'Results'!$B$8))),"")</x:f>
        <x:v>2.9154836518017486</x:v>
      </x:c>
      <x:c r="M618" t="n">
        <x:f>IF(AND(ISNUMBER('Results'!C7),ISNUMBER('Results'!B7),ISNUMBER('Results'!$B$8),ISNUMBER('Inputs'!$B$6),ISNUMBER('Inputs'!$B$7),ISNUMBER('Inputs'!$B$8),ISNUMBER('Inputs'!$B$9),ISNUMBER('Inputs'!$B$10),ISNUMBER('Inputs'!$B$21),ISNUMBER('Inputs'!$B$24),ISNUMBER('Inputs'!$B$28)),(('Results'!C7*(0.5*((((618-43)*MAX('Inputs'!$B$33,'Inputs'!$B$29+'Inputs'!$B$31+'Inputs'!$B$32,'Inputs'!$B$30+'Inputs'!$B$31+'Inputs'!$B$32)/1000+'Inputs'!$B$21)+'Inputs'!$B$9)/SQRT((((618-43)*MAX('Inputs'!$B$33,'Inputs'!$B$29+'Inputs'!$B$31+'Inputs'!$B$32,'Inputs'!$B$30+'Inputs'!$B$31+'Inputs'!$B$32)/1000+'Inputs'!$B$21)+'Inputs'!$B$9)^2+('Inputs'!$B$8/2)^2)-(((618-43)*MAX('Inputs'!$B$33,'Inputs'!$B$29+'Inputs'!$B$31+'Inputs'!$B$32,'Inputs'!$B$30+'Inputs'!$B$31+'Inputs'!$B$32)/1000+'Inputs'!$B$21))/SQRT((((618-43)*MAX('Inputs'!$B$33,'Inputs'!$B$29+'Inputs'!$B$31+'Inputs'!$B$32,'Inputs'!$B$30+'Inputs'!$B$31+'Inputs'!$B$32)/1000+'Inputs'!$B$21))^2+('Inputs'!$B$8/2)^2)))-'Results'!B7*(0.5*((((618-43)*MAX('Inputs'!$B$33,'Inputs'!$B$29+'Inputs'!$B$31+'Inputs'!$B$32,'Inputs'!$B$30+'Inputs'!$B$31+'Inputs'!$B$32)/1000+'Inputs'!$B$21+'Inputs'!$B$9+'Inputs'!$B$10)+'Inputs'!$B$7)/SQRT((((618-43)*MAX('Inputs'!$B$33,'Inputs'!$B$29+'Inputs'!$B$31+'Inputs'!$B$32,'Inputs'!$B$30+'Inputs'!$B$31+'Inputs'!$B$32)/1000+'Inputs'!$B$21+'Inputs'!$B$9+'Inputs'!$B$10)+'Inputs'!$B$7)^2+('Inputs'!$B$6/2)^2)-(((618-43)*MAX('Inputs'!$B$33,'Inputs'!$B$29+'Inputs'!$B$31+'Inputs'!$B$32,'Inputs'!$B$30+'Inputs'!$B$31+'Inputs'!$B$32)/1000+'Inputs'!$B$21+'Inputs'!$B$9+'Inputs'!$B$10))/SQRT((((618-43)*MAX('Inputs'!$B$33,'Inputs'!$B$29+'Inputs'!$B$31+'Inputs'!$B$32,'Inputs'!$B$30+'Inputs'!$B$31+'Inputs'!$B$32)/1000+'Inputs'!$B$21+'Inputs'!$B$9+'Inputs'!$B$10))^2+('Inputs'!$B$6/2)^2))))*'Results'!$B$8),"")</x:f>
        <x:v>2.384820755167504</x:v>
      </x:c>
      <x:c r="N618" t="n">
        <x:f>IF(AND(ISNUMBER('Results'!C7),ISNUMBER('Results'!B7),ISNUMBER('Results'!$B$8),ISNUMBER('Inputs'!$B$6),ISNUMBER('Inputs'!$B$7),ISNUMBER('Inputs'!$B$8),ISNUMBER('Inputs'!$B$9),ISNUMBER('Inputs'!$B$10),ISNUMBER('Inputs'!$B$21),ISNUMBER('Inputs'!$B$24),ISNUMBER('Inputs'!$B$28)),((('Results'!C7*(1-'Inputs'!$B$24)*(0.5*((((618-43)*MAX('Inputs'!$B$33,'Inputs'!$B$29+'Inputs'!$B$31+'Inputs'!$B$32,'Inputs'!$B$30+'Inputs'!$B$31+'Inputs'!$B$32)/1000+'Inputs'!$B$21)+'Inputs'!$B$9)/SQRT((((618-43)*MAX('Inputs'!$B$33,'Inputs'!$B$29+'Inputs'!$B$31+'Inputs'!$B$32,'Inputs'!$B$30+'Inputs'!$B$31+'Inputs'!$B$32)/1000+'Inputs'!$B$21)+'Inputs'!$B$9)^2+('Inputs'!$B$8/2)^2)-(((618-43)*MAX('Inputs'!$B$33,'Inputs'!$B$29+'Inputs'!$B$31+'Inputs'!$B$32,'Inputs'!$B$30+'Inputs'!$B$31+'Inputs'!$B$32)/1000+'Inputs'!$B$21))/SQRT((((618-43)*MAX('Inputs'!$B$33,'Inputs'!$B$29+'Inputs'!$B$31+'Inputs'!$B$32,'Inputs'!$B$30+'Inputs'!$B$31+'Inputs'!$B$32)/1000+'Inputs'!$B$21))^2+('Inputs'!$B$8/2)^2)))-'Results'!B7*(1+'Inputs'!$B$24)*(0.5*((((618-43)*MAX('Inputs'!$B$33,'Inputs'!$B$29+'Inputs'!$B$31+'Inputs'!$B$32,'Inputs'!$B$30+'Inputs'!$B$31+'Inputs'!$B$32)/1000+'Inputs'!$B$21+'Inputs'!$B$9+'Inputs'!$B$10)+'Inputs'!$B$7)/SQRT((((618-43)*MAX('Inputs'!$B$33,'Inputs'!$B$29+'Inputs'!$B$31+'Inputs'!$B$32,'Inputs'!$B$30+'Inputs'!$B$31+'Inputs'!$B$32)/1000+'Inputs'!$B$21+'Inputs'!$B$9+'Inputs'!$B$10)+'Inputs'!$B$7)^2+('Inputs'!$B$6/2)^2)-(((618-43)*MAX('Inputs'!$B$33,'Inputs'!$B$29+'Inputs'!$B$31+'Inputs'!$B$32,'Inputs'!$B$30+'Inputs'!$B$31+'Inputs'!$B$32)/1000+'Inputs'!$B$21+'Inputs'!$B$9+'Inputs'!$B$10))/SQRT((((618-43)*MAX('Inputs'!$B$33,'Inputs'!$B$29+'Inputs'!$B$31+'Inputs'!$B$32,'Inputs'!$B$30+'Inputs'!$B$31+'Inputs'!$B$32)/1000+'Inputs'!$B$21+'Inputs'!$B$9+'Inputs'!$B$10))^2+('Inputs'!$B$6/2)^2))))*'Results'!$B$8)-'Inputs'!$B$28*ABS((('Results'!C7*(1-'Inputs'!$B$24)*(0.5*((((618-43)*MAX('Inputs'!$B$33,'Inputs'!$B$29+'Inputs'!$B$31+'Inputs'!$B$32,'Inputs'!$B$30+'Inputs'!$B$31+'Inputs'!$B$32)/1000+'Inputs'!$B$21)+'Inputs'!$B$9)/SQRT((((618-43)*MAX('Inputs'!$B$33,'Inputs'!$B$29+'Inputs'!$B$31+'Inputs'!$B$32,'Inputs'!$B$30+'Inputs'!$B$31+'Inputs'!$B$32)/1000+'Inputs'!$B$21)+'Inputs'!$B$9)^2+('Inputs'!$B$8/2)^2)-(((618-43)*MAX('Inputs'!$B$33,'Inputs'!$B$29+'Inputs'!$B$31+'Inputs'!$B$32,'Inputs'!$B$30+'Inputs'!$B$31+'Inputs'!$B$32)/1000+'Inputs'!$B$21))/SQRT((((618-43)*MAX('Inputs'!$B$33,'Inputs'!$B$29+'Inputs'!$B$31+'Inputs'!$B$32,'Inputs'!$B$30+'Inputs'!$B$31+'Inputs'!$B$32)/1000+'Inputs'!$B$21))^2+('Inputs'!$B$8/2)^2)))-'Results'!B7*(1+'Inputs'!$B$24)*(0.5*((((618-43)*MAX('Inputs'!$B$33,'Inputs'!$B$29+'Inputs'!$B$31+'Inputs'!$B$32,'Inputs'!$B$30+'Inputs'!$B$31+'Inputs'!$B$32)/1000+'Inputs'!$B$21+'Inputs'!$B$9+'Inputs'!$B$10)+'Inputs'!$B$7)/SQRT((((618-43)*MAX('Inputs'!$B$33,'Inputs'!$B$29+'Inputs'!$B$31+'Inputs'!$B$32,'Inputs'!$B$30+'Inputs'!$B$31+'Inputs'!$B$32)/1000+'Inputs'!$B$21+'Inputs'!$B$9+'Inputs'!$B$10)+'Inputs'!$B$7)^2+('Inputs'!$B$6/2)^2)-(((618-43)*MAX('Inputs'!$B$33,'Inputs'!$B$29+'Inputs'!$B$31+'Inputs'!$B$32,'Inputs'!$B$30+'Inputs'!$B$31+'Inputs'!$B$32)/1000+'Inputs'!$B$21+'Inputs'!$B$9+'Inputs'!$B$10))/SQRT((((618-43)*MAX('Inputs'!$B$33,'Inputs'!$B$29+'Inputs'!$B$31+'Inputs'!$B$32,'Inputs'!$B$30+'Inputs'!$B$31+'Inputs'!$B$32)/1000+'Inputs'!$B$21+'Inputs'!$B$9+'Inputs'!$B$10))^2+('Inputs'!$B$6/2)^2))))*'Results'!$B$8))),"")</x:f>
        <x:v>2.081109225737372</x:v>
      </x:c>
      <x:c r="O618" t="n">
        <x:f>IF(AND(ISNUMBER('Results'!C7),ISNUMBER('Results'!B7),ISNUMBER('Results'!$B$8),ISNUMBER('Inputs'!$B$6),ISNUMBER('Inputs'!$B$7),ISNUMBER('Inputs'!$B$8),ISNUMBER('Inputs'!$B$9),ISNUMBER('Inputs'!$B$10),ISNUMBER('Inputs'!$B$21),ISNUMBER('Inputs'!$B$24),ISNUMBER('Inputs'!$B$28)),((('Results'!C7*(1+'Inputs'!$B$24)*(0.5*((((618-43)*MAX('Inputs'!$B$33,'Inputs'!$B$29+'Inputs'!$B$31+'Inputs'!$B$32,'Inputs'!$B$30+'Inputs'!$B$31+'Inputs'!$B$32)/1000+'Inputs'!$B$21)+'Inputs'!$B$9)/SQRT((((618-43)*MAX('Inputs'!$B$33,'Inputs'!$B$29+'Inputs'!$B$31+'Inputs'!$B$32,'Inputs'!$B$30+'Inputs'!$B$31+'Inputs'!$B$32)/1000+'Inputs'!$B$21)+'Inputs'!$B$9)^2+('Inputs'!$B$8/2)^2)-(((618-43)*MAX('Inputs'!$B$33,'Inputs'!$B$29+'Inputs'!$B$31+'Inputs'!$B$32,'Inputs'!$B$30+'Inputs'!$B$31+'Inputs'!$B$32)/1000+'Inputs'!$B$21))/SQRT((((618-43)*MAX('Inputs'!$B$33,'Inputs'!$B$29+'Inputs'!$B$31+'Inputs'!$B$32,'Inputs'!$B$30+'Inputs'!$B$31+'Inputs'!$B$32)/1000+'Inputs'!$B$21))^2+('Inputs'!$B$8/2)^2)))-'Results'!B7*(1-'Inputs'!$B$24)*(0.5*((((618-43)*MAX('Inputs'!$B$33,'Inputs'!$B$29+'Inputs'!$B$31+'Inputs'!$B$32,'Inputs'!$B$30+'Inputs'!$B$31+'Inputs'!$B$32)/1000+'Inputs'!$B$21+'Inputs'!$B$9+'Inputs'!$B$10)+'Inputs'!$B$7)/SQRT((((618-43)*MAX('Inputs'!$B$33,'Inputs'!$B$29+'Inputs'!$B$31+'Inputs'!$B$32,'Inputs'!$B$30+'Inputs'!$B$31+'Inputs'!$B$32)/1000+'Inputs'!$B$21+'Inputs'!$B$9+'Inputs'!$B$10)+'Inputs'!$B$7)^2+('Inputs'!$B$6/2)^2)-(((618-43)*MAX('Inputs'!$B$33,'Inputs'!$B$29+'Inputs'!$B$31+'Inputs'!$B$32,'Inputs'!$B$30+'Inputs'!$B$31+'Inputs'!$B$32)/1000+'Inputs'!$B$21+'Inputs'!$B$9+'Inputs'!$B$10))/SQRT((((618-43)*MAX('Inputs'!$B$33,'Inputs'!$B$29+'Inputs'!$B$31+'Inputs'!$B$32,'Inputs'!$B$30+'Inputs'!$B$31+'Inputs'!$B$32)/1000+'Inputs'!$B$21+'Inputs'!$B$9+'Inputs'!$B$10))^2+('Inputs'!$B$6/2)^2))))*'Results'!$B$8)+'Inputs'!$B$28*ABS((('Results'!C7*(1+'Inputs'!$B$24)*(0.5*((((618-43)*MAX('Inputs'!$B$33,'Inputs'!$B$29+'Inputs'!$B$31+'Inputs'!$B$32,'Inputs'!$B$30+'Inputs'!$B$31+'Inputs'!$B$32)/1000+'Inputs'!$B$21)+'Inputs'!$B$9)/SQRT((((618-43)*MAX('Inputs'!$B$33,'Inputs'!$B$29+'Inputs'!$B$31+'Inputs'!$B$32,'Inputs'!$B$30+'Inputs'!$B$31+'Inputs'!$B$32)/1000+'Inputs'!$B$21)+'Inputs'!$B$9)^2+('Inputs'!$B$8/2)^2)-(((618-43)*MAX('Inputs'!$B$33,'Inputs'!$B$29+'Inputs'!$B$31+'Inputs'!$B$32,'Inputs'!$B$30+'Inputs'!$B$31+'Inputs'!$B$32)/1000+'Inputs'!$B$21))/SQRT((((618-43)*MAX('Inputs'!$B$33,'Inputs'!$B$29+'Inputs'!$B$31+'Inputs'!$B$32,'Inputs'!$B$30+'Inputs'!$B$31+'Inputs'!$B$32)/1000+'Inputs'!$B$21))^2+('Inputs'!$B$8/2)^2)))-'Results'!B7*(1-'Inputs'!$B$24)*(0.5*((((618-43)*MAX('Inputs'!$B$33,'Inputs'!$B$29+'Inputs'!$B$31+'Inputs'!$B$32,'Inputs'!$B$30+'Inputs'!$B$31+'Inputs'!$B$32)/1000+'Inputs'!$B$21+'Inputs'!$B$9+'Inputs'!$B$10)+'Inputs'!$B$7)/SQRT((((618-43)*MAX('Inputs'!$B$33,'Inputs'!$B$29+'Inputs'!$B$31+'Inputs'!$B$32,'Inputs'!$B$30+'Inputs'!$B$31+'Inputs'!$B$32)/1000+'Inputs'!$B$21+'Inputs'!$B$9+'Inputs'!$B$10)+'Inputs'!$B$7)^2+('Inputs'!$B$6/2)^2)-(((618-43)*MAX('Inputs'!$B$33,'Inputs'!$B$29+'Inputs'!$B$31+'Inputs'!$B$32,'Inputs'!$B$30+'Inputs'!$B$31+'Inputs'!$B$32)/1000+'Inputs'!$B$21+'Inputs'!$B$9+'Inputs'!$B$10))/SQRT((((618-43)*MAX('Inputs'!$B$33,'Inputs'!$B$29+'Inputs'!$B$31+'Inputs'!$B$32,'Inputs'!$B$30+'Inputs'!$B$31+'Inputs'!$B$32)/1000+'Inputs'!$B$21+'Inputs'!$B$9+'Inputs'!$B$10))^2+('Inputs'!$B$6/2)^2))))*'Results'!$B$8))),"")</x:f>
        <x:v>2.7079502310894004</x:v>
      </x:c>
      <x:c r="P618" t="n">
        <x:f>IF(AND(MAX(J618,J617)&gt;0,J618&gt;J617+0.00000001),1,0)</x:f>
        <x:v>0</x:v>
      </x:c>
      <x:c r="Q618" t="n">
        <x:f>IF(AND(MAX(K618,K617)&gt;0,K618&gt;K617+0.00000001),1,0)</x:f>
        <x:v>0</x:v>
      </x:c>
      <x:c r="R618" t="n">
        <x:f>IF(AND(MAX(L618,L617)&gt;0,L618&gt;L617+0.00000001),1,0)</x:f>
        <x:v>0</x:v>
      </x:c>
      <x:c r="S618" t="n">
        <x:f>IF(AND(MAX(M618,M617)&gt;0,M618&gt;M617+0.00000001),1,0)</x:f>
        <x:v>0</x:v>
      </x:c>
      <x:c r="T618" t="n">
        <x:f>IF(AND(MAX(N618,N617)&gt;0,N618&gt;N617+0.00000001),1,0)</x:f>
        <x:v>0</x:v>
      </x:c>
      <x:c r="U618" t="n">
        <x:f>IF(AND(MAX(O618,O617)&gt;0,O618&gt;O617+0.00000001),1,0)</x:f>
        <x:v>0</x:v>
      </x:c>
    </x:row>
    <x:row r="619">
      <x:c r="J619" t="n">
        <x:f>IF(AND(ISNUMBER('Results'!B7),ISNUMBER('Results'!C7),ISNUMBER('Results'!$B$8),ISNUMBER('Inputs'!$B$6),ISNUMBER('Inputs'!$B$7),ISNUMBER('Inputs'!$B$8),ISNUMBER('Inputs'!$B$9),ISNUMBER('Inputs'!$B$10),ISNUMBER('Inputs'!$B$21),ISNUMBER('Inputs'!$B$24),ISNUMBER('Inputs'!$B$28)),(('Results'!B7*(0.5*((((619-43)*MAX('Inputs'!$B$33,'Inputs'!$B$29+'Inputs'!$B$31+'Inputs'!$B$32,'Inputs'!$B$30+'Inputs'!$B$31+'Inputs'!$B$32)/1000+'Inputs'!$B$21)+'Inputs'!$B$7)/SQRT((((619-43)*MAX('Inputs'!$B$33,'Inputs'!$B$29+'Inputs'!$B$31+'Inputs'!$B$32,'Inputs'!$B$30+'Inputs'!$B$31+'Inputs'!$B$32)/1000+'Inputs'!$B$21)+'Inputs'!$B$7)^2+('Inputs'!$B$6/2)^2)-(((619-43)*MAX('Inputs'!$B$33,'Inputs'!$B$29+'Inputs'!$B$31+'Inputs'!$B$32,'Inputs'!$B$30+'Inputs'!$B$31+'Inputs'!$B$32)/1000+'Inputs'!$B$21))/SQRT((((619-43)*MAX('Inputs'!$B$33,'Inputs'!$B$29+'Inputs'!$B$31+'Inputs'!$B$32,'Inputs'!$B$30+'Inputs'!$B$31+'Inputs'!$B$32)/1000+'Inputs'!$B$21))^2+('Inputs'!$B$6/2)^2)))-'Results'!C7*(0.5*((((619-43)*MAX('Inputs'!$B$33,'Inputs'!$B$29+'Inputs'!$B$31+'Inputs'!$B$32,'Inputs'!$B$30+'Inputs'!$B$31+'Inputs'!$B$32)/1000+'Inputs'!$B$21+'Inputs'!$B$7+'Inputs'!$B$10)+'Inputs'!$B$9)/SQRT((((619-43)*MAX('Inputs'!$B$33,'Inputs'!$B$29+'Inputs'!$B$31+'Inputs'!$B$32,'Inputs'!$B$30+'Inputs'!$B$31+'Inputs'!$B$32)/1000+'Inputs'!$B$21+'Inputs'!$B$7+'Inputs'!$B$10)+'Inputs'!$B$9)^2+('Inputs'!$B$8/2)^2)-(((619-43)*MAX('Inputs'!$B$33,'Inputs'!$B$29+'Inputs'!$B$31+'Inputs'!$B$32,'Inputs'!$B$30+'Inputs'!$B$31+'Inputs'!$B$32)/1000+'Inputs'!$B$21+'Inputs'!$B$7+'Inputs'!$B$10))/SQRT((((619-43)*MAX('Inputs'!$B$33,'Inputs'!$B$29+'Inputs'!$B$31+'Inputs'!$B$32,'Inputs'!$B$30+'Inputs'!$B$31+'Inputs'!$B$32)/1000+'Inputs'!$B$21+'Inputs'!$B$7+'Inputs'!$B$10))^2+('Inputs'!$B$8/2)^2))))*'Results'!$B$8),"")</x:f>
        <x:v>2.5659116618690105</x:v>
      </x:c>
      <x:c r="K619" t="n">
        <x:f>IF(AND(ISNUMBER('Results'!B7),ISNUMBER('Results'!C7),ISNUMBER('Results'!$B$8),ISNUMBER('Inputs'!$B$6),ISNUMBER('Inputs'!$B$7),ISNUMBER('Inputs'!$B$8),ISNUMBER('Inputs'!$B$9),ISNUMBER('Inputs'!$B$10),ISNUMBER('Inputs'!$B$21),ISNUMBER('Inputs'!$B$24),ISNUMBER('Inputs'!$B$28)),((('Results'!B7*(1-'Inputs'!$B$24)*(0.5*((((619-43)*MAX('Inputs'!$B$33,'Inputs'!$B$29+'Inputs'!$B$31+'Inputs'!$B$32,'Inputs'!$B$30+'Inputs'!$B$31+'Inputs'!$B$32)/1000+'Inputs'!$B$21)+'Inputs'!$B$7)/SQRT((((619-43)*MAX('Inputs'!$B$33,'Inputs'!$B$29+'Inputs'!$B$31+'Inputs'!$B$32,'Inputs'!$B$30+'Inputs'!$B$31+'Inputs'!$B$32)/1000+'Inputs'!$B$21)+'Inputs'!$B$7)^2+('Inputs'!$B$6/2)^2)-(((619-43)*MAX('Inputs'!$B$33,'Inputs'!$B$29+'Inputs'!$B$31+'Inputs'!$B$32,'Inputs'!$B$30+'Inputs'!$B$31+'Inputs'!$B$32)/1000+'Inputs'!$B$21))/SQRT((((619-43)*MAX('Inputs'!$B$33,'Inputs'!$B$29+'Inputs'!$B$31+'Inputs'!$B$32,'Inputs'!$B$30+'Inputs'!$B$31+'Inputs'!$B$32)/1000+'Inputs'!$B$21))^2+('Inputs'!$B$6/2)^2)))-'Results'!C7*(1+'Inputs'!$B$24)*(0.5*((((619-43)*MAX('Inputs'!$B$33,'Inputs'!$B$29+'Inputs'!$B$31+'Inputs'!$B$32,'Inputs'!$B$30+'Inputs'!$B$31+'Inputs'!$B$32)/1000+'Inputs'!$B$21+'Inputs'!$B$7+'Inputs'!$B$10)+'Inputs'!$B$9)/SQRT((((619-43)*MAX('Inputs'!$B$33,'Inputs'!$B$29+'Inputs'!$B$31+'Inputs'!$B$32,'Inputs'!$B$30+'Inputs'!$B$31+'Inputs'!$B$32)/1000+'Inputs'!$B$21+'Inputs'!$B$7+'Inputs'!$B$10)+'Inputs'!$B$9)^2+('Inputs'!$B$8/2)^2)-(((619-43)*MAX('Inputs'!$B$33,'Inputs'!$B$29+'Inputs'!$B$31+'Inputs'!$B$32,'Inputs'!$B$30+'Inputs'!$B$31+'Inputs'!$B$32)/1000+'Inputs'!$B$21+'Inputs'!$B$7+'Inputs'!$B$10))/SQRT((((619-43)*MAX('Inputs'!$B$33,'Inputs'!$B$29+'Inputs'!$B$31+'Inputs'!$B$32,'Inputs'!$B$30+'Inputs'!$B$31+'Inputs'!$B$32)/1000+'Inputs'!$B$21+'Inputs'!$B$7+'Inputs'!$B$10))^2+('Inputs'!$B$8/2)^2))))*'Results'!$B$8)-'Inputs'!$B$28*ABS((('Results'!B7*(1-'Inputs'!$B$24)*(0.5*((((619-43)*MAX('Inputs'!$B$33,'Inputs'!$B$29+'Inputs'!$B$31+'Inputs'!$B$32,'Inputs'!$B$30+'Inputs'!$B$31+'Inputs'!$B$32)/1000+'Inputs'!$B$21)+'Inputs'!$B$7)/SQRT((((619-43)*MAX('Inputs'!$B$33,'Inputs'!$B$29+'Inputs'!$B$31+'Inputs'!$B$32,'Inputs'!$B$30+'Inputs'!$B$31+'Inputs'!$B$32)/1000+'Inputs'!$B$21)+'Inputs'!$B$7)^2+('Inputs'!$B$6/2)^2)-(((619-43)*MAX('Inputs'!$B$33,'Inputs'!$B$29+'Inputs'!$B$31+'Inputs'!$B$32,'Inputs'!$B$30+'Inputs'!$B$31+'Inputs'!$B$32)/1000+'Inputs'!$B$21))/SQRT((((619-43)*MAX('Inputs'!$B$33,'Inputs'!$B$29+'Inputs'!$B$31+'Inputs'!$B$32,'Inputs'!$B$30+'Inputs'!$B$31+'Inputs'!$B$32)/1000+'Inputs'!$B$21))^2+('Inputs'!$B$6/2)^2)))-'Results'!C7*(1+'Inputs'!$B$24)*(0.5*((((619-43)*MAX('Inputs'!$B$33,'Inputs'!$B$29+'Inputs'!$B$31+'Inputs'!$B$32,'Inputs'!$B$30+'Inputs'!$B$31+'Inputs'!$B$32)/1000+'Inputs'!$B$21+'Inputs'!$B$7+'Inputs'!$B$10)+'Inputs'!$B$9)/SQRT((((619-43)*MAX('Inputs'!$B$33,'Inputs'!$B$29+'Inputs'!$B$31+'Inputs'!$B$32,'Inputs'!$B$30+'Inputs'!$B$31+'Inputs'!$B$32)/1000+'Inputs'!$B$21+'Inputs'!$B$7+'Inputs'!$B$10)+'Inputs'!$B$9)^2+('Inputs'!$B$8/2)^2)-(((619-43)*MAX('Inputs'!$B$33,'Inputs'!$B$29+'Inputs'!$B$31+'Inputs'!$B$32,'Inputs'!$B$30+'Inputs'!$B$31+'Inputs'!$B$32)/1000+'Inputs'!$B$21+'Inputs'!$B$7+'Inputs'!$B$10))/SQRT((((619-43)*MAX('Inputs'!$B$33,'Inputs'!$B$29+'Inputs'!$B$31+'Inputs'!$B$32,'Inputs'!$B$30+'Inputs'!$B$31+'Inputs'!$B$32)/1000+'Inputs'!$B$21+'Inputs'!$B$7+'Inputs'!$B$10))^2+('Inputs'!$B$8/2)^2))))*'Results'!$B$8))),"")</x:f>
        <x:v>2.2530565154193165</x:v>
      </x:c>
      <x:c r="L619" t="n">
        <x:f>IF(AND(ISNUMBER('Results'!B7),ISNUMBER('Results'!C7),ISNUMBER('Results'!$B$8),ISNUMBER('Inputs'!$B$6),ISNUMBER('Inputs'!$B$7),ISNUMBER('Inputs'!$B$8),ISNUMBER('Inputs'!$B$9),ISNUMBER('Inputs'!$B$10),ISNUMBER('Inputs'!$B$21),ISNUMBER('Inputs'!$B$24),ISNUMBER('Inputs'!$B$28)),((('Results'!B7*(1+'Inputs'!$B$24)*(0.5*((((619-43)*MAX('Inputs'!$B$33,'Inputs'!$B$29+'Inputs'!$B$31+'Inputs'!$B$32,'Inputs'!$B$30+'Inputs'!$B$31+'Inputs'!$B$32)/1000+'Inputs'!$B$21)+'Inputs'!$B$7)/SQRT((((619-43)*MAX('Inputs'!$B$33,'Inputs'!$B$29+'Inputs'!$B$31+'Inputs'!$B$32,'Inputs'!$B$30+'Inputs'!$B$31+'Inputs'!$B$32)/1000+'Inputs'!$B$21)+'Inputs'!$B$7)^2+('Inputs'!$B$6/2)^2)-(((619-43)*MAX('Inputs'!$B$33,'Inputs'!$B$29+'Inputs'!$B$31+'Inputs'!$B$32,'Inputs'!$B$30+'Inputs'!$B$31+'Inputs'!$B$32)/1000+'Inputs'!$B$21))/SQRT((((619-43)*MAX('Inputs'!$B$33,'Inputs'!$B$29+'Inputs'!$B$31+'Inputs'!$B$32,'Inputs'!$B$30+'Inputs'!$B$31+'Inputs'!$B$32)/1000+'Inputs'!$B$21))^2+('Inputs'!$B$6/2)^2)))-'Results'!C7*(1-'Inputs'!$B$24)*(0.5*((((619-43)*MAX('Inputs'!$B$33,'Inputs'!$B$29+'Inputs'!$B$31+'Inputs'!$B$32,'Inputs'!$B$30+'Inputs'!$B$31+'Inputs'!$B$32)/1000+'Inputs'!$B$21+'Inputs'!$B$7+'Inputs'!$B$10)+'Inputs'!$B$9)/SQRT((((619-43)*MAX('Inputs'!$B$33,'Inputs'!$B$29+'Inputs'!$B$31+'Inputs'!$B$32,'Inputs'!$B$30+'Inputs'!$B$31+'Inputs'!$B$32)/1000+'Inputs'!$B$21+'Inputs'!$B$7+'Inputs'!$B$10)+'Inputs'!$B$9)^2+('Inputs'!$B$8/2)^2)-(((619-43)*MAX('Inputs'!$B$33,'Inputs'!$B$29+'Inputs'!$B$31+'Inputs'!$B$32,'Inputs'!$B$30+'Inputs'!$B$31+'Inputs'!$B$32)/1000+'Inputs'!$B$21+'Inputs'!$B$7+'Inputs'!$B$10))/SQRT((((619-43)*MAX('Inputs'!$B$33,'Inputs'!$B$29+'Inputs'!$B$31+'Inputs'!$B$32,'Inputs'!$B$30+'Inputs'!$B$31+'Inputs'!$B$32)/1000+'Inputs'!$B$21+'Inputs'!$B$7+'Inputs'!$B$10))^2+('Inputs'!$B$8/2)^2))))*'Results'!$B$8)+'Inputs'!$B$28*ABS((('Results'!B7*(1+'Inputs'!$B$24)*(0.5*((((619-43)*MAX('Inputs'!$B$33,'Inputs'!$B$29+'Inputs'!$B$31+'Inputs'!$B$32,'Inputs'!$B$30+'Inputs'!$B$31+'Inputs'!$B$32)/1000+'Inputs'!$B$21)+'Inputs'!$B$7)/SQRT((((619-43)*MAX('Inputs'!$B$33,'Inputs'!$B$29+'Inputs'!$B$31+'Inputs'!$B$32,'Inputs'!$B$30+'Inputs'!$B$31+'Inputs'!$B$32)/1000+'Inputs'!$B$21)+'Inputs'!$B$7)^2+('Inputs'!$B$6/2)^2)-(((619-43)*MAX('Inputs'!$B$33,'Inputs'!$B$29+'Inputs'!$B$31+'Inputs'!$B$32,'Inputs'!$B$30+'Inputs'!$B$31+'Inputs'!$B$32)/1000+'Inputs'!$B$21))/SQRT((((619-43)*MAX('Inputs'!$B$33,'Inputs'!$B$29+'Inputs'!$B$31+'Inputs'!$B$32,'Inputs'!$B$30+'Inputs'!$B$31+'Inputs'!$B$32)/1000+'Inputs'!$B$21))^2+('Inputs'!$B$6/2)^2)))-'Results'!C7*(1-'Inputs'!$B$24)*(0.5*((((619-43)*MAX('Inputs'!$B$33,'Inputs'!$B$29+'Inputs'!$B$31+'Inputs'!$B$32,'Inputs'!$B$30+'Inputs'!$B$31+'Inputs'!$B$32)/1000+'Inputs'!$B$21+'Inputs'!$B$7+'Inputs'!$B$10)+'Inputs'!$B$9)/SQRT((((619-43)*MAX('Inputs'!$B$33,'Inputs'!$B$29+'Inputs'!$B$31+'Inputs'!$B$32,'Inputs'!$B$30+'Inputs'!$B$31+'Inputs'!$B$32)/1000+'Inputs'!$B$21+'Inputs'!$B$7+'Inputs'!$B$10)+'Inputs'!$B$9)^2+('Inputs'!$B$8/2)^2)-(((619-43)*MAX('Inputs'!$B$33,'Inputs'!$B$29+'Inputs'!$B$31+'Inputs'!$B$32,'Inputs'!$B$30+'Inputs'!$B$31+'Inputs'!$B$32)/1000+'Inputs'!$B$21+'Inputs'!$B$7+'Inputs'!$B$10))/SQRT((((619-43)*MAX('Inputs'!$B$33,'Inputs'!$B$29+'Inputs'!$B$31+'Inputs'!$B$32,'Inputs'!$B$30+'Inputs'!$B$31+'Inputs'!$B$32)/1000+'Inputs'!$B$21+'Inputs'!$B$7+'Inputs'!$B$10))^2+('Inputs'!$B$8/2)^2))))*'Results'!$B$8))),"")</x:f>
        <x:v>2.8981941307772576</x:v>
      </x:c>
      <x:c r="M619" t="n">
        <x:f>IF(AND(ISNUMBER('Results'!C7),ISNUMBER('Results'!B7),ISNUMBER('Results'!$B$8),ISNUMBER('Inputs'!$B$6),ISNUMBER('Inputs'!$B$7),ISNUMBER('Inputs'!$B$8),ISNUMBER('Inputs'!$B$9),ISNUMBER('Inputs'!$B$10),ISNUMBER('Inputs'!$B$21),ISNUMBER('Inputs'!$B$24),ISNUMBER('Inputs'!$B$28)),(('Results'!C7*(0.5*((((619-43)*MAX('Inputs'!$B$33,'Inputs'!$B$29+'Inputs'!$B$31+'Inputs'!$B$32,'Inputs'!$B$30+'Inputs'!$B$31+'Inputs'!$B$32)/1000+'Inputs'!$B$21)+'Inputs'!$B$9)/SQRT((((619-43)*MAX('Inputs'!$B$33,'Inputs'!$B$29+'Inputs'!$B$31+'Inputs'!$B$32,'Inputs'!$B$30+'Inputs'!$B$31+'Inputs'!$B$32)/1000+'Inputs'!$B$21)+'Inputs'!$B$9)^2+('Inputs'!$B$8/2)^2)-(((619-43)*MAX('Inputs'!$B$33,'Inputs'!$B$29+'Inputs'!$B$31+'Inputs'!$B$32,'Inputs'!$B$30+'Inputs'!$B$31+'Inputs'!$B$32)/1000+'Inputs'!$B$21))/SQRT((((619-43)*MAX('Inputs'!$B$33,'Inputs'!$B$29+'Inputs'!$B$31+'Inputs'!$B$32,'Inputs'!$B$30+'Inputs'!$B$31+'Inputs'!$B$32)/1000+'Inputs'!$B$21))^2+('Inputs'!$B$8/2)^2)))-'Results'!B7*(0.5*((((619-43)*MAX('Inputs'!$B$33,'Inputs'!$B$29+'Inputs'!$B$31+'Inputs'!$B$32,'Inputs'!$B$30+'Inputs'!$B$31+'Inputs'!$B$32)/1000+'Inputs'!$B$21+'Inputs'!$B$9+'Inputs'!$B$10)+'Inputs'!$B$7)/SQRT((((619-43)*MAX('Inputs'!$B$33,'Inputs'!$B$29+'Inputs'!$B$31+'Inputs'!$B$32,'Inputs'!$B$30+'Inputs'!$B$31+'Inputs'!$B$32)/1000+'Inputs'!$B$21+'Inputs'!$B$9+'Inputs'!$B$10)+'Inputs'!$B$7)^2+('Inputs'!$B$6/2)^2)-(((619-43)*MAX('Inputs'!$B$33,'Inputs'!$B$29+'Inputs'!$B$31+'Inputs'!$B$32,'Inputs'!$B$30+'Inputs'!$B$31+'Inputs'!$B$32)/1000+'Inputs'!$B$21+'Inputs'!$B$9+'Inputs'!$B$10))/SQRT((((619-43)*MAX('Inputs'!$B$33,'Inputs'!$B$29+'Inputs'!$B$31+'Inputs'!$B$32,'Inputs'!$B$30+'Inputs'!$B$31+'Inputs'!$B$32)/1000+'Inputs'!$B$21+'Inputs'!$B$9+'Inputs'!$B$10))^2+('Inputs'!$B$6/2)^2))))*'Results'!$B$8),"")</x:f>
        <x:v>2.3701797128819795</x:v>
      </x:c>
      <x:c r="N619" t="n">
        <x:f>IF(AND(ISNUMBER('Results'!C7),ISNUMBER('Results'!B7),ISNUMBER('Results'!$B$8),ISNUMBER('Inputs'!$B$6),ISNUMBER('Inputs'!$B$7),ISNUMBER('Inputs'!$B$8),ISNUMBER('Inputs'!$B$9),ISNUMBER('Inputs'!$B$10),ISNUMBER('Inputs'!$B$21),ISNUMBER('Inputs'!$B$24),ISNUMBER('Inputs'!$B$28)),((('Results'!C7*(1-'Inputs'!$B$24)*(0.5*((((619-43)*MAX('Inputs'!$B$33,'Inputs'!$B$29+'Inputs'!$B$31+'Inputs'!$B$32,'Inputs'!$B$30+'Inputs'!$B$31+'Inputs'!$B$32)/1000+'Inputs'!$B$21)+'Inputs'!$B$9)/SQRT((((619-43)*MAX('Inputs'!$B$33,'Inputs'!$B$29+'Inputs'!$B$31+'Inputs'!$B$32,'Inputs'!$B$30+'Inputs'!$B$31+'Inputs'!$B$32)/1000+'Inputs'!$B$21)+'Inputs'!$B$9)^2+('Inputs'!$B$8/2)^2)-(((619-43)*MAX('Inputs'!$B$33,'Inputs'!$B$29+'Inputs'!$B$31+'Inputs'!$B$32,'Inputs'!$B$30+'Inputs'!$B$31+'Inputs'!$B$32)/1000+'Inputs'!$B$21))/SQRT((((619-43)*MAX('Inputs'!$B$33,'Inputs'!$B$29+'Inputs'!$B$31+'Inputs'!$B$32,'Inputs'!$B$30+'Inputs'!$B$31+'Inputs'!$B$32)/1000+'Inputs'!$B$21))^2+('Inputs'!$B$8/2)^2)))-'Results'!B7*(1+'Inputs'!$B$24)*(0.5*((((619-43)*MAX('Inputs'!$B$33,'Inputs'!$B$29+'Inputs'!$B$31+'Inputs'!$B$32,'Inputs'!$B$30+'Inputs'!$B$31+'Inputs'!$B$32)/1000+'Inputs'!$B$21+'Inputs'!$B$9+'Inputs'!$B$10)+'Inputs'!$B$7)/SQRT((((619-43)*MAX('Inputs'!$B$33,'Inputs'!$B$29+'Inputs'!$B$31+'Inputs'!$B$32,'Inputs'!$B$30+'Inputs'!$B$31+'Inputs'!$B$32)/1000+'Inputs'!$B$21+'Inputs'!$B$9+'Inputs'!$B$10)+'Inputs'!$B$7)^2+('Inputs'!$B$6/2)^2)-(((619-43)*MAX('Inputs'!$B$33,'Inputs'!$B$29+'Inputs'!$B$31+'Inputs'!$B$32,'Inputs'!$B$30+'Inputs'!$B$31+'Inputs'!$B$32)/1000+'Inputs'!$B$21+'Inputs'!$B$9+'Inputs'!$B$10))/SQRT((((619-43)*MAX('Inputs'!$B$33,'Inputs'!$B$29+'Inputs'!$B$31+'Inputs'!$B$32,'Inputs'!$B$30+'Inputs'!$B$31+'Inputs'!$B$32)/1000+'Inputs'!$B$21+'Inputs'!$B$9+'Inputs'!$B$10))^2+('Inputs'!$B$6/2)^2))))*'Results'!$B$8)-'Inputs'!$B$28*ABS((('Results'!C7*(1-'Inputs'!$B$24)*(0.5*((((619-43)*MAX('Inputs'!$B$33,'Inputs'!$B$29+'Inputs'!$B$31+'Inputs'!$B$32,'Inputs'!$B$30+'Inputs'!$B$31+'Inputs'!$B$32)/1000+'Inputs'!$B$21)+'Inputs'!$B$9)/SQRT((((619-43)*MAX('Inputs'!$B$33,'Inputs'!$B$29+'Inputs'!$B$31+'Inputs'!$B$32,'Inputs'!$B$30+'Inputs'!$B$31+'Inputs'!$B$32)/1000+'Inputs'!$B$21)+'Inputs'!$B$9)^2+('Inputs'!$B$8/2)^2)-(((619-43)*MAX('Inputs'!$B$33,'Inputs'!$B$29+'Inputs'!$B$31+'Inputs'!$B$32,'Inputs'!$B$30+'Inputs'!$B$31+'Inputs'!$B$32)/1000+'Inputs'!$B$21))/SQRT((((619-43)*MAX('Inputs'!$B$33,'Inputs'!$B$29+'Inputs'!$B$31+'Inputs'!$B$32,'Inputs'!$B$30+'Inputs'!$B$31+'Inputs'!$B$32)/1000+'Inputs'!$B$21))^2+('Inputs'!$B$8/2)^2)))-'Results'!B7*(1+'Inputs'!$B$24)*(0.5*((((619-43)*MAX('Inputs'!$B$33,'Inputs'!$B$29+'Inputs'!$B$31+'Inputs'!$B$32,'Inputs'!$B$30+'Inputs'!$B$31+'Inputs'!$B$32)/1000+'Inputs'!$B$21+'Inputs'!$B$9+'Inputs'!$B$10)+'Inputs'!$B$7)/SQRT((((619-43)*MAX('Inputs'!$B$33,'Inputs'!$B$29+'Inputs'!$B$31+'Inputs'!$B$32,'Inputs'!$B$30+'Inputs'!$B$31+'Inputs'!$B$32)/1000+'Inputs'!$B$21+'Inputs'!$B$9+'Inputs'!$B$10)+'Inputs'!$B$7)^2+('Inputs'!$B$6/2)^2)-(((619-43)*MAX('Inputs'!$B$33,'Inputs'!$B$29+'Inputs'!$B$31+'Inputs'!$B$32,'Inputs'!$B$30+'Inputs'!$B$31+'Inputs'!$B$32)/1000+'Inputs'!$B$21+'Inputs'!$B$9+'Inputs'!$B$10))/SQRT((((619-43)*MAX('Inputs'!$B$33,'Inputs'!$B$29+'Inputs'!$B$31+'Inputs'!$B$32,'Inputs'!$B$30+'Inputs'!$B$31+'Inputs'!$B$32)/1000+'Inputs'!$B$21+'Inputs'!$B$9+'Inputs'!$B$10))^2+('Inputs'!$B$6/2)^2))))*'Results'!$B$8))),"")</x:f>
        <x:v>2.068058494549518</x:v>
      </x:c>
      <x:c r="O619" t="n">
        <x:f>IF(AND(ISNUMBER('Results'!C7),ISNUMBER('Results'!B7),ISNUMBER('Results'!$B$8),ISNUMBER('Inputs'!$B$6),ISNUMBER('Inputs'!$B$7),ISNUMBER('Inputs'!$B$8),ISNUMBER('Inputs'!$B$9),ISNUMBER('Inputs'!$B$10),ISNUMBER('Inputs'!$B$21),ISNUMBER('Inputs'!$B$24),ISNUMBER('Inputs'!$B$28)),((('Results'!C7*(1+'Inputs'!$B$24)*(0.5*((((619-43)*MAX('Inputs'!$B$33,'Inputs'!$B$29+'Inputs'!$B$31+'Inputs'!$B$32,'Inputs'!$B$30+'Inputs'!$B$31+'Inputs'!$B$32)/1000+'Inputs'!$B$21)+'Inputs'!$B$9)/SQRT((((619-43)*MAX('Inputs'!$B$33,'Inputs'!$B$29+'Inputs'!$B$31+'Inputs'!$B$32,'Inputs'!$B$30+'Inputs'!$B$31+'Inputs'!$B$32)/1000+'Inputs'!$B$21)+'Inputs'!$B$9)^2+('Inputs'!$B$8/2)^2)-(((619-43)*MAX('Inputs'!$B$33,'Inputs'!$B$29+'Inputs'!$B$31+'Inputs'!$B$32,'Inputs'!$B$30+'Inputs'!$B$31+'Inputs'!$B$32)/1000+'Inputs'!$B$21))/SQRT((((619-43)*MAX('Inputs'!$B$33,'Inputs'!$B$29+'Inputs'!$B$31+'Inputs'!$B$32,'Inputs'!$B$30+'Inputs'!$B$31+'Inputs'!$B$32)/1000+'Inputs'!$B$21))^2+('Inputs'!$B$8/2)^2)))-'Results'!B7*(1-'Inputs'!$B$24)*(0.5*((((619-43)*MAX('Inputs'!$B$33,'Inputs'!$B$29+'Inputs'!$B$31+'Inputs'!$B$32,'Inputs'!$B$30+'Inputs'!$B$31+'Inputs'!$B$32)/1000+'Inputs'!$B$21+'Inputs'!$B$9+'Inputs'!$B$10)+'Inputs'!$B$7)/SQRT((((619-43)*MAX('Inputs'!$B$33,'Inputs'!$B$29+'Inputs'!$B$31+'Inputs'!$B$32,'Inputs'!$B$30+'Inputs'!$B$31+'Inputs'!$B$32)/1000+'Inputs'!$B$21+'Inputs'!$B$9+'Inputs'!$B$10)+'Inputs'!$B$7)^2+('Inputs'!$B$6/2)^2)-(((619-43)*MAX('Inputs'!$B$33,'Inputs'!$B$29+'Inputs'!$B$31+'Inputs'!$B$32,'Inputs'!$B$30+'Inputs'!$B$31+'Inputs'!$B$32)/1000+'Inputs'!$B$21+'Inputs'!$B$9+'Inputs'!$B$10))/SQRT((((619-43)*MAX('Inputs'!$B$33,'Inputs'!$B$29+'Inputs'!$B$31+'Inputs'!$B$32,'Inputs'!$B$30+'Inputs'!$B$31+'Inputs'!$B$32)/1000+'Inputs'!$B$21+'Inputs'!$B$9+'Inputs'!$B$10))^2+('Inputs'!$B$6/2)^2))))*'Results'!$B$8)+'Inputs'!$B$28*ABS((('Results'!C7*(1+'Inputs'!$B$24)*(0.5*((((619-43)*MAX('Inputs'!$B$33,'Inputs'!$B$29+'Inputs'!$B$31+'Inputs'!$B$32,'Inputs'!$B$30+'Inputs'!$B$31+'Inputs'!$B$32)/1000+'Inputs'!$B$21)+'Inputs'!$B$9)/SQRT((((619-43)*MAX('Inputs'!$B$33,'Inputs'!$B$29+'Inputs'!$B$31+'Inputs'!$B$32,'Inputs'!$B$30+'Inputs'!$B$31+'Inputs'!$B$32)/1000+'Inputs'!$B$21)+'Inputs'!$B$9)^2+('Inputs'!$B$8/2)^2)-(((619-43)*MAX('Inputs'!$B$33,'Inputs'!$B$29+'Inputs'!$B$31+'Inputs'!$B$32,'Inputs'!$B$30+'Inputs'!$B$31+'Inputs'!$B$32)/1000+'Inputs'!$B$21))/SQRT((((619-43)*MAX('Inputs'!$B$33,'Inputs'!$B$29+'Inputs'!$B$31+'Inputs'!$B$32,'Inputs'!$B$30+'Inputs'!$B$31+'Inputs'!$B$32)/1000+'Inputs'!$B$21))^2+('Inputs'!$B$8/2)^2)))-'Results'!B7*(1-'Inputs'!$B$24)*(0.5*((((619-43)*MAX('Inputs'!$B$33,'Inputs'!$B$29+'Inputs'!$B$31+'Inputs'!$B$32,'Inputs'!$B$30+'Inputs'!$B$31+'Inputs'!$B$32)/1000+'Inputs'!$B$21+'Inputs'!$B$9+'Inputs'!$B$10)+'Inputs'!$B$7)/SQRT((((619-43)*MAX('Inputs'!$B$33,'Inputs'!$B$29+'Inputs'!$B$31+'Inputs'!$B$32,'Inputs'!$B$30+'Inputs'!$B$31+'Inputs'!$B$32)/1000+'Inputs'!$B$21+'Inputs'!$B$9+'Inputs'!$B$10)+'Inputs'!$B$7)^2+('Inputs'!$B$6/2)^2)-(((619-43)*MAX('Inputs'!$B$33,'Inputs'!$B$29+'Inputs'!$B$31+'Inputs'!$B$32,'Inputs'!$B$30+'Inputs'!$B$31+'Inputs'!$B$32)/1000+'Inputs'!$B$21+'Inputs'!$B$9+'Inputs'!$B$10))/SQRT((((619-43)*MAX('Inputs'!$B$33,'Inputs'!$B$29+'Inputs'!$B$31+'Inputs'!$B$32,'Inputs'!$B$30+'Inputs'!$B$31+'Inputs'!$B$32)/1000+'Inputs'!$B$21+'Inputs'!$B$9+'Inputs'!$B$10))^2+('Inputs'!$B$6/2)^2))))*'Results'!$B$8))),"")</x:f>
        <x:v>2.691628534655321</x:v>
      </x:c>
      <x:c r="P619" t="n">
        <x:f>IF(AND(MAX(J619,J618)&gt;0,J619&gt;J618+0.00000001),1,0)</x:f>
        <x:v>0</x:v>
      </x:c>
      <x:c r="Q619" t="n">
        <x:f>IF(AND(MAX(K619,K618)&gt;0,K619&gt;K618+0.00000001),1,0)</x:f>
        <x:v>0</x:v>
      </x:c>
      <x:c r="R619" t="n">
        <x:f>IF(AND(MAX(L619,L618)&gt;0,L619&gt;L618+0.00000001),1,0)</x:f>
        <x:v>0</x:v>
      </x:c>
      <x:c r="S619" t="n">
        <x:f>IF(AND(MAX(M619,M618)&gt;0,M619&gt;M618+0.00000001),1,0)</x:f>
        <x:v>0</x:v>
      </x:c>
      <x:c r="T619" t="n">
        <x:f>IF(AND(MAX(N619,N618)&gt;0,N619&gt;N618+0.00000001),1,0)</x:f>
        <x:v>0</x:v>
      </x:c>
      <x:c r="U619" t="n">
        <x:f>IF(AND(MAX(O619,O618)&gt;0,O619&gt;O618+0.00000001),1,0)</x:f>
        <x:v>0</x:v>
      </x:c>
    </x:row>
    <x:row r="620">
      <x:c r="J620" t="n">
        <x:f>IF(AND(ISNUMBER('Results'!B7),ISNUMBER('Results'!C7),ISNUMBER('Results'!$B$8),ISNUMBER('Inputs'!$B$6),ISNUMBER('Inputs'!$B$7),ISNUMBER('Inputs'!$B$8),ISNUMBER('Inputs'!$B$9),ISNUMBER('Inputs'!$B$10),ISNUMBER('Inputs'!$B$21),ISNUMBER('Inputs'!$B$24),ISNUMBER('Inputs'!$B$28)),(('Results'!B7*(0.5*((((620-43)*MAX('Inputs'!$B$33,'Inputs'!$B$29+'Inputs'!$B$31+'Inputs'!$B$32,'Inputs'!$B$30+'Inputs'!$B$31+'Inputs'!$B$32)/1000+'Inputs'!$B$21)+'Inputs'!$B$7)/SQRT((((620-43)*MAX('Inputs'!$B$33,'Inputs'!$B$29+'Inputs'!$B$31+'Inputs'!$B$32,'Inputs'!$B$30+'Inputs'!$B$31+'Inputs'!$B$32)/1000+'Inputs'!$B$21)+'Inputs'!$B$7)^2+('Inputs'!$B$6/2)^2)-(((620-43)*MAX('Inputs'!$B$33,'Inputs'!$B$29+'Inputs'!$B$31+'Inputs'!$B$32,'Inputs'!$B$30+'Inputs'!$B$31+'Inputs'!$B$32)/1000+'Inputs'!$B$21))/SQRT((((620-43)*MAX('Inputs'!$B$33,'Inputs'!$B$29+'Inputs'!$B$31+'Inputs'!$B$32,'Inputs'!$B$30+'Inputs'!$B$31+'Inputs'!$B$32)/1000+'Inputs'!$B$21))^2+('Inputs'!$B$6/2)^2)))-'Results'!C7*(0.5*((((620-43)*MAX('Inputs'!$B$33,'Inputs'!$B$29+'Inputs'!$B$31+'Inputs'!$B$32,'Inputs'!$B$30+'Inputs'!$B$31+'Inputs'!$B$32)/1000+'Inputs'!$B$21+'Inputs'!$B$7+'Inputs'!$B$10)+'Inputs'!$B$9)/SQRT((((620-43)*MAX('Inputs'!$B$33,'Inputs'!$B$29+'Inputs'!$B$31+'Inputs'!$B$32,'Inputs'!$B$30+'Inputs'!$B$31+'Inputs'!$B$32)/1000+'Inputs'!$B$21+'Inputs'!$B$7+'Inputs'!$B$10)+'Inputs'!$B$9)^2+('Inputs'!$B$8/2)^2)-(((620-43)*MAX('Inputs'!$B$33,'Inputs'!$B$29+'Inputs'!$B$31+'Inputs'!$B$32,'Inputs'!$B$30+'Inputs'!$B$31+'Inputs'!$B$32)/1000+'Inputs'!$B$21+'Inputs'!$B$7+'Inputs'!$B$10))/SQRT((((620-43)*MAX('Inputs'!$B$33,'Inputs'!$B$29+'Inputs'!$B$31+'Inputs'!$B$32,'Inputs'!$B$30+'Inputs'!$B$31+'Inputs'!$B$32)/1000+'Inputs'!$B$21+'Inputs'!$B$7+'Inputs'!$B$10))^2+('Inputs'!$B$8/2)^2))))*'Results'!$B$8),"")</x:f>
        <x:v>2.5504722723770556</x:v>
      </x:c>
      <x:c r="K620" t="n">
        <x:f>IF(AND(ISNUMBER('Results'!B7),ISNUMBER('Results'!C7),ISNUMBER('Results'!$B$8),ISNUMBER('Inputs'!$B$6),ISNUMBER('Inputs'!$B$7),ISNUMBER('Inputs'!$B$8),ISNUMBER('Inputs'!$B$9),ISNUMBER('Inputs'!$B$10),ISNUMBER('Inputs'!$B$21),ISNUMBER('Inputs'!$B$24),ISNUMBER('Inputs'!$B$28)),((('Results'!B7*(1-'Inputs'!$B$24)*(0.5*((((620-43)*MAX('Inputs'!$B$33,'Inputs'!$B$29+'Inputs'!$B$31+'Inputs'!$B$32,'Inputs'!$B$30+'Inputs'!$B$31+'Inputs'!$B$32)/1000+'Inputs'!$B$21)+'Inputs'!$B$7)/SQRT((((620-43)*MAX('Inputs'!$B$33,'Inputs'!$B$29+'Inputs'!$B$31+'Inputs'!$B$32,'Inputs'!$B$30+'Inputs'!$B$31+'Inputs'!$B$32)/1000+'Inputs'!$B$21)+'Inputs'!$B$7)^2+('Inputs'!$B$6/2)^2)-(((620-43)*MAX('Inputs'!$B$33,'Inputs'!$B$29+'Inputs'!$B$31+'Inputs'!$B$32,'Inputs'!$B$30+'Inputs'!$B$31+'Inputs'!$B$32)/1000+'Inputs'!$B$21))/SQRT((((620-43)*MAX('Inputs'!$B$33,'Inputs'!$B$29+'Inputs'!$B$31+'Inputs'!$B$32,'Inputs'!$B$30+'Inputs'!$B$31+'Inputs'!$B$32)/1000+'Inputs'!$B$21))^2+('Inputs'!$B$6/2)^2)))-'Results'!C7*(1+'Inputs'!$B$24)*(0.5*((((620-43)*MAX('Inputs'!$B$33,'Inputs'!$B$29+'Inputs'!$B$31+'Inputs'!$B$32,'Inputs'!$B$30+'Inputs'!$B$31+'Inputs'!$B$32)/1000+'Inputs'!$B$21+'Inputs'!$B$7+'Inputs'!$B$10)+'Inputs'!$B$9)/SQRT((((620-43)*MAX('Inputs'!$B$33,'Inputs'!$B$29+'Inputs'!$B$31+'Inputs'!$B$32,'Inputs'!$B$30+'Inputs'!$B$31+'Inputs'!$B$32)/1000+'Inputs'!$B$21+'Inputs'!$B$7+'Inputs'!$B$10)+'Inputs'!$B$9)^2+('Inputs'!$B$8/2)^2)-(((620-43)*MAX('Inputs'!$B$33,'Inputs'!$B$29+'Inputs'!$B$31+'Inputs'!$B$32,'Inputs'!$B$30+'Inputs'!$B$31+'Inputs'!$B$32)/1000+'Inputs'!$B$21+'Inputs'!$B$7+'Inputs'!$B$10))/SQRT((((620-43)*MAX('Inputs'!$B$33,'Inputs'!$B$29+'Inputs'!$B$31+'Inputs'!$B$32,'Inputs'!$B$30+'Inputs'!$B$31+'Inputs'!$B$32)/1000+'Inputs'!$B$21+'Inputs'!$B$7+'Inputs'!$B$10))^2+('Inputs'!$B$8/2)^2))))*'Results'!$B$8)-'Inputs'!$B$28*ABS((('Results'!B7*(1-'Inputs'!$B$24)*(0.5*((((620-43)*MAX('Inputs'!$B$33,'Inputs'!$B$29+'Inputs'!$B$31+'Inputs'!$B$32,'Inputs'!$B$30+'Inputs'!$B$31+'Inputs'!$B$32)/1000+'Inputs'!$B$21)+'Inputs'!$B$7)/SQRT((((620-43)*MAX('Inputs'!$B$33,'Inputs'!$B$29+'Inputs'!$B$31+'Inputs'!$B$32,'Inputs'!$B$30+'Inputs'!$B$31+'Inputs'!$B$32)/1000+'Inputs'!$B$21)+'Inputs'!$B$7)^2+('Inputs'!$B$6/2)^2)-(((620-43)*MAX('Inputs'!$B$33,'Inputs'!$B$29+'Inputs'!$B$31+'Inputs'!$B$32,'Inputs'!$B$30+'Inputs'!$B$31+'Inputs'!$B$32)/1000+'Inputs'!$B$21))/SQRT((((620-43)*MAX('Inputs'!$B$33,'Inputs'!$B$29+'Inputs'!$B$31+'Inputs'!$B$32,'Inputs'!$B$30+'Inputs'!$B$31+'Inputs'!$B$32)/1000+'Inputs'!$B$21))^2+('Inputs'!$B$6/2)^2)))-'Results'!C7*(1+'Inputs'!$B$24)*(0.5*((((620-43)*MAX('Inputs'!$B$33,'Inputs'!$B$29+'Inputs'!$B$31+'Inputs'!$B$32,'Inputs'!$B$30+'Inputs'!$B$31+'Inputs'!$B$32)/1000+'Inputs'!$B$21+'Inputs'!$B$7+'Inputs'!$B$10)+'Inputs'!$B$9)/SQRT((((620-43)*MAX('Inputs'!$B$33,'Inputs'!$B$29+'Inputs'!$B$31+'Inputs'!$B$32,'Inputs'!$B$30+'Inputs'!$B$31+'Inputs'!$B$32)/1000+'Inputs'!$B$21+'Inputs'!$B$7+'Inputs'!$B$10)+'Inputs'!$B$9)^2+('Inputs'!$B$8/2)^2)-(((620-43)*MAX('Inputs'!$B$33,'Inputs'!$B$29+'Inputs'!$B$31+'Inputs'!$B$32,'Inputs'!$B$30+'Inputs'!$B$31+'Inputs'!$B$32)/1000+'Inputs'!$B$21+'Inputs'!$B$7+'Inputs'!$B$10))/SQRT((((620-43)*MAX('Inputs'!$B$33,'Inputs'!$B$29+'Inputs'!$B$31+'Inputs'!$B$32,'Inputs'!$B$30+'Inputs'!$B$31+'Inputs'!$B$32)/1000+'Inputs'!$B$21+'Inputs'!$B$7+'Inputs'!$B$10))^2+('Inputs'!$B$8/2)^2))))*'Results'!$B$8))),"")</x:f>
        <x:v>2.2392477752598814</x:v>
      </x:c>
      <x:c r="L620" t="n">
        <x:f>IF(AND(ISNUMBER('Results'!B7),ISNUMBER('Results'!C7),ISNUMBER('Results'!$B$8),ISNUMBER('Inputs'!$B$6),ISNUMBER('Inputs'!$B$7),ISNUMBER('Inputs'!$B$8),ISNUMBER('Inputs'!$B$9),ISNUMBER('Inputs'!$B$10),ISNUMBER('Inputs'!$B$21),ISNUMBER('Inputs'!$B$24),ISNUMBER('Inputs'!$B$28)),((('Results'!B7*(1+'Inputs'!$B$24)*(0.5*((((620-43)*MAX('Inputs'!$B$33,'Inputs'!$B$29+'Inputs'!$B$31+'Inputs'!$B$32,'Inputs'!$B$30+'Inputs'!$B$31+'Inputs'!$B$32)/1000+'Inputs'!$B$21)+'Inputs'!$B$7)/SQRT((((620-43)*MAX('Inputs'!$B$33,'Inputs'!$B$29+'Inputs'!$B$31+'Inputs'!$B$32,'Inputs'!$B$30+'Inputs'!$B$31+'Inputs'!$B$32)/1000+'Inputs'!$B$21)+'Inputs'!$B$7)^2+('Inputs'!$B$6/2)^2)-(((620-43)*MAX('Inputs'!$B$33,'Inputs'!$B$29+'Inputs'!$B$31+'Inputs'!$B$32,'Inputs'!$B$30+'Inputs'!$B$31+'Inputs'!$B$32)/1000+'Inputs'!$B$21))/SQRT((((620-43)*MAX('Inputs'!$B$33,'Inputs'!$B$29+'Inputs'!$B$31+'Inputs'!$B$32,'Inputs'!$B$30+'Inputs'!$B$31+'Inputs'!$B$32)/1000+'Inputs'!$B$21))^2+('Inputs'!$B$6/2)^2)))-'Results'!C7*(1-'Inputs'!$B$24)*(0.5*((((620-43)*MAX('Inputs'!$B$33,'Inputs'!$B$29+'Inputs'!$B$31+'Inputs'!$B$32,'Inputs'!$B$30+'Inputs'!$B$31+'Inputs'!$B$32)/1000+'Inputs'!$B$21+'Inputs'!$B$7+'Inputs'!$B$10)+'Inputs'!$B$9)/SQRT((((620-43)*MAX('Inputs'!$B$33,'Inputs'!$B$29+'Inputs'!$B$31+'Inputs'!$B$32,'Inputs'!$B$30+'Inputs'!$B$31+'Inputs'!$B$32)/1000+'Inputs'!$B$21+'Inputs'!$B$7+'Inputs'!$B$10)+'Inputs'!$B$9)^2+('Inputs'!$B$8/2)^2)-(((620-43)*MAX('Inputs'!$B$33,'Inputs'!$B$29+'Inputs'!$B$31+'Inputs'!$B$32,'Inputs'!$B$30+'Inputs'!$B$31+'Inputs'!$B$32)/1000+'Inputs'!$B$21+'Inputs'!$B$7+'Inputs'!$B$10))/SQRT((((620-43)*MAX('Inputs'!$B$33,'Inputs'!$B$29+'Inputs'!$B$31+'Inputs'!$B$32,'Inputs'!$B$30+'Inputs'!$B$31+'Inputs'!$B$32)/1000+'Inputs'!$B$21+'Inputs'!$B$7+'Inputs'!$B$10))^2+('Inputs'!$B$8/2)^2))))*'Results'!$B$8)+'Inputs'!$B$28*ABS((('Results'!B7*(1+'Inputs'!$B$24)*(0.5*((((620-43)*MAX('Inputs'!$B$33,'Inputs'!$B$29+'Inputs'!$B$31+'Inputs'!$B$32,'Inputs'!$B$30+'Inputs'!$B$31+'Inputs'!$B$32)/1000+'Inputs'!$B$21)+'Inputs'!$B$7)/SQRT((((620-43)*MAX('Inputs'!$B$33,'Inputs'!$B$29+'Inputs'!$B$31+'Inputs'!$B$32,'Inputs'!$B$30+'Inputs'!$B$31+'Inputs'!$B$32)/1000+'Inputs'!$B$21)+'Inputs'!$B$7)^2+('Inputs'!$B$6/2)^2)-(((620-43)*MAX('Inputs'!$B$33,'Inputs'!$B$29+'Inputs'!$B$31+'Inputs'!$B$32,'Inputs'!$B$30+'Inputs'!$B$31+'Inputs'!$B$32)/1000+'Inputs'!$B$21))/SQRT((((620-43)*MAX('Inputs'!$B$33,'Inputs'!$B$29+'Inputs'!$B$31+'Inputs'!$B$32,'Inputs'!$B$30+'Inputs'!$B$31+'Inputs'!$B$32)/1000+'Inputs'!$B$21))^2+('Inputs'!$B$6/2)^2)))-'Results'!C7*(1-'Inputs'!$B$24)*(0.5*((((620-43)*MAX('Inputs'!$B$33,'Inputs'!$B$29+'Inputs'!$B$31+'Inputs'!$B$32,'Inputs'!$B$30+'Inputs'!$B$31+'Inputs'!$B$32)/1000+'Inputs'!$B$21+'Inputs'!$B$7+'Inputs'!$B$10)+'Inputs'!$B$9)/SQRT((((620-43)*MAX('Inputs'!$B$33,'Inputs'!$B$29+'Inputs'!$B$31+'Inputs'!$B$32,'Inputs'!$B$30+'Inputs'!$B$31+'Inputs'!$B$32)/1000+'Inputs'!$B$21+'Inputs'!$B$7+'Inputs'!$B$10)+'Inputs'!$B$9)^2+('Inputs'!$B$8/2)^2)-(((620-43)*MAX('Inputs'!$B$33,'Inputs'!$B$29+'Inputs'!$B$31+'Inputs'!$B$32,'Inputs'!$B$30+'Inputs'!$B$31+'Inputs'!$B$32)/1000+'Inputs'!$B$21+'Inputs'!$B$7+'Inputs'!$B$10))/SQRT((((620-43)*MAX('Inputs'!$B$33,'Inputs'!$B$29+'Inputs'!$B$31+'Inputs'!$B$32,'Inputs'!$B$30+'Inputs'!$B$31+'Inputs'!$B$32)/1000+'Inputs'!$B$21+'Inputs'!$B$7+'Inputs'!$B$10))^2+('Inputs'!$B$8/2)^2))))*'Results'!$B$8))),"")</x:f>
        <x:v>2.8810337045993166</x:v>
      </x:c>
      <x:c r="M620" t="n">
        <x:f>IF(AND(ISNUMBER('Results'!C7),ISNUMBER('Results'!B7),ISNUMBER('Results'!$B$8),ISNUMBER('Inputs'!$B$6),ISNUMBER('Inputs'!$B$7),ISNUMBER('Inputs'!$B$8),ISNUMBER('Inputs'!$B$9),ISNUMBER('Inputs'!$B$10),ISNUMBER('Inputs'!$B$21),ISNUMBER('Inputs'!$B$24),ISNUMBER('Inputs'!$B$28)),(('Results'!C7*(0.5*((((620-43)*MAX('Inputs'!$B$33,'Inputs'!$B$29+'Inputs'!$B$31+'Inputs'!$B$32,'Inputs'!$B$30+'Inputs'!$B$31+'Inputs'!$B$32)/1000+'Inputs'!$B$21)+'Inputs'!$B$9)/SQRT((((620-43)*MAX('Inputs'!$B$33,'Inputs'!$B$29+'Inputs'!$B$31+'Inputs'!$B$32,'Inputs'!$B$30+'Inputs'!$B$31+'Inputs'!$B$32)/1000+'Inputs'!$B$21)+'Inputs'!$B$9)^2+('Inputs'!$B$8/2)^2)-(((620-43)*MAX('Inputs'!$B$33,'Inputs'!$B$29+'Inputs'!$B$31+'Inputs'!$B$32,'Inputs'!$B$30+'Inputs'!$B$31+'Inputs'!$B$32)/1000+'Inputs'!$B$21))/SQRT((((620-43)*MAX('Inputs'!$B$33,'Inputs'!$B$29+'Inputs'!$B$31+'Inputs'!$B$32,'Inputs'!$B$30+'Inputs'!$B$31+'Inputs'!$B$32)/1000+'Inputs'!$B$21))^2+('Inputs'!$B$8/2)^2)))-'Results'!B7*(0.5*((((620-43)*MAX('Inputs'!$B$33,'Inputs'!$B$29+'Inputs'!$B$31+'Inputs'!$B$32,'Inputs'!$B$30+'Inputs'!$B$31+'Inputs'!$B$32)/1000+'Inputs'!$B$21+'Inputs'!$B$9+'Inputs'!$B$10)+'Inputs'!$B$7)/SQRT((((620-43)*MAX('Inputs'!$B$33,'Inputs'!$B$29+'Inputs'!$B$31+'Inputs'!$B$32,'Inputs'!$B$30+'Inputs'!$B$31+'Inputs'!$B$32)/1000+'Inputs'!$B$21+'Inputs'!$B$9+'Inputs'!$B$10)+'Inputs'!$B$7)^2+('Inputs'!$B$6/2)^2)-(((620-43)*MAX('Inputs'!$B$33,'Inputs'!$B$29+'Inputs'!$B$31+'Inputs'!$B$32,'Inputs'!$B$30+'Inputs'!$B$31+'Inputs'!$B$32)/1000+'Inputs'!$B$21+'Inputs'!$B$9+'Inputs'!$B$10))/SQRT((((620-43)*MAX('Inputs'!$B$33,'Inputs'!$B$29+'Inputs'!$B$31+'Inputs'!$B$32,'Inputs'!$B$30+'Inputs'!$B$31+'Inputs'!$B$32)/1000+'Inputs'!$B$21+'Inputs'!$B$9+'Inputs'!$B$10))^2+('Inputs'!$B$6/2)^2))))*'Results'!$B$8),"")</x:f>
        <x:v>2.355650269228198</x:v>
      </x:c>
      <x:c r="N620" t="n">
        <x:f>IF(AND(ISNUMBER('Results'!C7),ISNUMBER('Results'!B7),ISNUMBER('Results'!$B$8),ISNUMBER('Inputs'!$B$6),ISNUMBER('Inputs'!$B$7),ISNUMBER('Inputs'!$B$8),ISNUMBER('Inputs'!$B$9),ISNUMBER('Inputs'!$B$10),ISNUMBER('Inputs'!$B$21),ISNUMBER('Inputs'!$B$24),ISNUMBER('Inputs'!$B$28)),((('Results'!C7*(1-'Inputs'!$B$24)*(0.5*((((620-43)*MAX('Inputs'!$B$33,'Inputs'!$B$29+'Inputs'!$B$31+'Inputs'!$B$32,'Inputs'!$B$30+'Inputs'!$B$31+'Inputs'!$B$32)/1000+'Inputs'!$B$21)+'Inputs'!$B$9)/SQRT((((620-43)*MAX('Inputs'!$B$33,'Inputs'!$B$29+'Inputs'!$B$31+'Inputs'!$B$32,'Inputs'!$B$30+'Inputs'!$B$31+'Inputs'!$B$32)/1000+'Inputs'!$B$21)+'Inputs'!$B$9)^2+('Inputs'!$B$8/2)^2)-(((620-43)*MAX('Inputs'!$B$33,'Inputs'!$B$29+'Inputs'!$B$31+'Inputs'!$B$32,'Inputs'!$B$30+'Inputs'!$B$31+'Inputs'!$B$32)/1000+'Inputs'!$B$21))/SQRT((((620-43)*MAX('Inputs'!$B$33,'Inputs'!$B$29+'Inputs'!$B$31+'Inputs'!$B$32,'Inputs'!$B$30+'Inputs'!$B$31+'Inputs'!$B$32)/1000+'Inputs'!$B$21))^2+('Inputs'!$B$8/2)^2)))-'Results'!B7*(1+'Inputs'!$B$24)*(0.5*((((620-43)*MAX('Inputs'!$B$33,'Inputs'!$B$29+'Inputs'!$B$31+'Inputs'!$B$32,'Inputs'!$B$30+'Inputs'!$B$31+'Inputs'!$B$32)/1000+'Inputs'!$B$21+'Inputs'!$B$9+'Inputs'!$B$10)+'Inputs'!$B$7)/SQRT((((620-43)*MAX('Inputs'!$B$33,'Inputs'!$B$29+'Inputs'!$B$31+'Inputs'!$B$32,'Inputs'!$B$30+'Inputs'!$B$31+'Inputs'!$B$32)/1000+'Inputs'!$B$21+'Inputs'!$B$9+'Inputs'!$B$10)+'Inputs'!$B$7)^2+('Inputs'!$B$6/2)^2)-(((620-43)*MAX('Inputs'!$B$33,'Inputs'!$B$29+'Inputs'!$B$31+'Inputs'!$B$32,'Inputs'!$B$30+'Inputs'!$B$31+'Inputs'!$B$32)/1000+'Inputs'!$B$21+'Inputs'!$B$9+'Inputs'!$B$10))/SQRT((((620-43)*MAX('Inputs'!$B$33,'Inputs'!$B$29+'Inputs'!$B$31+'Inputs'!$B$32,'Inputs'!$B$30+'Inputs'!$B$31+'Inputs'!$B$32)/1000+'Inputs'!$B$21+'Inputs'!$B$9+'Inputs'!$B$10))^2+('Inputs'!$B$6/2)^2))))*'Results'!$B$8)-'Inputs'!$B$28*ABS((('Results'!C7*(1-'Inputs'!$B$24)*(0.5*((((620-43)*MAX('Inputs'!$B$33,'Inputs'!$B$29+'Inputs'!$B$31+'Inputs'!$B$32,'Inputs'!$B$30+'Inputs'!$B$31+'Inputs'!$B$32)/1000+'Inputs'!$B$21)+'Inputs'!$B$9)/SQRT((((620-43)*MAX('Inputs'!$B$33,'Inputs'!$B$29+'Inputs'!$B$31+'Inputs'!$B$32,'Inputs'!$B$30+'Inputs'!$B$31+'Inputs'!$B$32)/1000+'Inputs'!$B$21)+'Inputs'!$B$9)^2+('Inputs'!$B$8/2)^2)-(((620-43)*MAX('Inputs'!$B$33,'Inputs'!$B$29+'Inputs'!$B$31+'Inputs'!$B$32,'Inputs'!$B$30+'Inputs'!$B$31+'Inputs'!$B$32)/1000+'Inputs'!$B$21))/SQRT((((620-43)*MAX('Inputs'!$B$33,'Inputs'!$B$29+'Inputs'!$B$31+'Inputs'!$B$32,'Inputs'!$B$30+'Inputs'!$B$31+'Inputs'!$B$32)/1000+'Inputs'!$B$21))^2+('Inputs'!$B$8/2)^2)))-'Results'!B7*(1+'Inputs'!$B$24)*(0.5*((((620-43)*MAX('Inputs'!$B$33,'Inputs'!$B$29+'Inputs'!$B$31+'Inputs'!$B$32,'Inputs'!$B$30+'Inputs'!$B$31+'Inputs'!$B$32)/1000+'Inputs'!$B$21+'Inputs'!$B$9+'Inputs'!$B$10)+'Inputs'!$B$7)/SQRT((((620-43)*MAX('Inputs'!$B$33,'Inputs'!$B$29+'Inputs'!$B$31+'Inputs'!$B$32,'Inputs'!$B$30+'Inputs'!$B$31+'Inputs'!$B$32)/1000+'Inputs'!$B$21+'Inputs'!$B$9+'Inputs'!$B$10)+'Inputs'!$B$7)^2+('Inputs'!$B$6/2)^2)-(((620-43)*MAX('Inputs'!$B$33,'Inputs'!$B$29+'Inputs'!$B$31+'Inputs'!$B$32,'Inputs'!$B$30+'Inputs'!$B$31+'Inputs'!$B$32)/1000+'Inputs'!$B$21+'Inputs'!$B$9+'Inputs'!$B$10))/SQRT((((620-43)*MAX('Inputs'!$B$33,'Inputs'!$B$29+'Inputs'!$B$31+'Inputs'!$B$32,'Inputs'!$B$30+'Inputs'!$B$31+'Inputs'!$B$32)/1000+'Inputs'!$B$21+'Inputs'!$B$9+'Inputs'!$B$10))^2+('Inputs'!$B$6/2)^2))))*'Results'!$B$8))),"")</x:f>
        <x:v>2.0551084513421074</x:v>
      </x:c>
      <x:c r="O620" t="n">
        <x:f>IF(AND(ISNUMBER('Results'!C7),ISNUMBER('Results'!B7),ISNUMBER('Results'!$B$8),ISNUMBER('Inputs'!$B$6),ISNUMBER('Inputs'!$B$7),ISNUMBER('Inputs'!$B$8),ISNUMBER('Inputs'!$B$9),ISNUMBER('Inputs'!$B$10),ISNUMBER('Inputs'!$B$21),ISNUMBER('Inputs'!$B$24),ISNUMBER('Inputs'!$B$28)),((('Results'!C7*(1+'Inputs'!$B$24)*(0.5*((((620-43)*MAX('Inputs'!$B$33,'Inputs'!$B$29+'Inputs'!$B$31+'Inputs'!$B$32,'Inputs'!$B$30+'Inputs'!$B$31+'Inputs'!$B$32)/1000+'Inputs'!$B$21)+'Inputs'!$B$9)/SQRT((((620-43)*MAX('Inputs'!$B$33,'Inputs'!$B$29+'Inputs'!$B$31+'Inputs'!$B$32,'Inputs'!$B$30+'Inputs'!$B$31+'Inputs'!$B$32)/1000+'Inputs'!$B$21)+'Inputs'!$B$9)^2+('Inputs'!$B$8/2)^2)-(((620-43)*MAX('Inputs'!$B$33,'Inputs'!$B$29+'Inputs'!$B$31+'Inputs'!$B$32,'Inputs'!$B$30+'Inputs'!$B$31+'Inputs'!$B$32)/1000+'Inputs'!$B$21))/SQRT((((620-43)*MAX('Inputs'!$B$33,'Inputs'!$B$29+'Inputs'!$B$31+'Inputs'!$B$32,'Inputs'!$B$30+'Inputs'!$B$31+'Inputs'!$B$32)/1000+'Inputs'!$B$21))^2+('Inputs'!$B$8/2)^2)))-'Results'!B7*(1-'Inputs'!$B$24)*(0.5*((((620-43)*MAX('Inputs'!$B$33,'Inputs'!$B$29+'Inputs'!$B$31+'Inputs'!$B$32,'Inputs'!$B$30+'Inputs'!$B$31+'Inputs'!$B$32)/1000+'Inputs'!$B$21+'Inputs'!$B$9+'Inputs'!$B$10)+'Inputs'!$B$7)/SQRT((((620-43)*MAX('Inputs'!$B$33,'Inputs'!$B$29+'Inputs'!$B$31+'Inputs'!$B$32,'Inputs'!$B$30+'Inputs'!$B$31+'Inputs'!$B$32)/1000+'Inputs'!$B$21+'Inputs'!$B$9+'Inputs'!$B$10)+'Inputs'!$B$7)^2+('Inputs'!$B$6/2)^2)-(((620-43)*MAX('Inputs'!$B$33,'Inputs'!$B$29+'Inputs'!$B$31+'Inputs'!$B$32,'Inputs'!$B$30+'Inputs'!$B$31+'Inputs'!$B$32)/1000+'Inputs'!$B$21+'Inputs'!$B$9+'Inputs'!$B$10))/SQRT((((620-43)*MAX('Inputs'!$B$33,'Inputs'!$B$29+'Inputs'!$B$31+'Inputs'!$B$32,'Inputs'!$B$30+'Inputs'!$B$31+'Inputs'!$B$32)/1000+'Inputs'!$B$21+'Inputs'!$B$9+'Inputs'!$B$10))^2+('Inputs'!$B$6/2)^2))))*'Results'!$B$8)+'Inputs'!$B$28*ABS((('Results'!C7*(1+'Inputs'!$B$24)*(0.5*((((620-43)*MAX('Inputs'!$B$33,'Inputs'!$B$29+'Inputs'!$B$31+'Inputs'!$B$32,'Inputs'!$B$30+'Inputs'!$B$31+'Inputs'!$B$32)/1000+'Inputs'!$B$21)+'Inputs'!$B$9)/SQRT((((620-43)*MAX('Inputs'!$B$33,'Inputs'!$B$29+'Inputs'!$B$31+'Inputs'!$B$32,'Inputs'!$B$30+'Inputs'!$B$31+'Inputs'!$B$32)/1000+'Inputs'!$B$21)+'Inputs'!$B$9)^2+('Inputs'!$B$8/2)^2)-(((620-43)*MAX('Inputs'!$B$33,'Inputs'!$B$29+'Inputs'!$B$31+'Inputs'!$B$32,'Inputs'!$B$30+'Inputs'!$B$31+'Inputs'!$B$32)/1000+'Inputs'!$B$21))/SQRT((((620-43)*MAX('Inputs'!$B$33,'Inputs'!$B$29+'Inputs'!$B$31+'Inputs'!$B$32,'Inputs'!$B$30+'Inputs'!$B$31+'Inputs'!$B$32)/1000+'Inputs'!$B$21))^2+('Inputs'!$B$8/2)^2)))-'Results'!B7*(1-'Inputs'!$B$24)*(0.5*((((620-43)*MAX('Inputs'!$B$33,'Inputs'!$B$29+'Inputs'!$B$31+'Inputs'!$B$32,'Inputs'!$B$30+'Inputs'!$B$31+'Inputs'!$B$32)/1000+'Inputs'!$B$21+'Inputs'!$B$9+'Inputs'!$B$10)+'Inputs'!$B$7)/SQRT((((620-43)*MAX('Inputs'!$B$33,'Inputs'!$B$29+'Inputs'!$B$31+'Inputs'!$B$32,'Inputs'!$B$30+'Inputs'!$B$31+'Inputs'!$B$32)/1000+'Inputs'!$B$21+'Inputs'!$B$9+'Inputs'!$B$10)+'Inputs'!$B$7)^2+('Inputs'!$B$6/2)^2)-(((620-43)*MAX('Inputs'!$B$33,'Inputs'!$B$29+'Inputs'!$B$31+'Inputs'!$B$32,'Inputs'!$B$30+'Inputs'!$B$31+'Inputs'!$B$32)/1000+'Inputs'!$B$21+'Inputs'!$B$9+'Inputs'!$B$10))/SQRT((((620-43)*MAX('Inputs'!$B$33,'Inputs'!$B$29+'Inputs'!$B$31+'Inputs'!$B$32,'Inputs'!$B$30+'Inputs'!$B$31+'Inputs'!$B$32)/1000+'Inputs'!$B$21+'Inputs'!$B$9+'Inputs'!$B$10))^2+('Inputs'!$B$6/2)^2))))*'Results'!$B$8))),"")</x:f>
        <x:v>2.6754299086326756</x:v>
      </x:c>
      <x:c r="P620" t="n">
        <x:f>IF(AND(MAX(J620,J619)&gt;0,J620&gt;J619+0.00000001),1,0)</x:f>
        <x:v>0</x:v>
      </x:c>
      <x:c r="Q620" t="n">
        <x:f>IF(AND(MAX(K620,K619)&gt;0,K620&gt;K619+0.00000001),1,0)</x:f>
        <x:v>0</x:v>
      </x:c>
      <x:c r="R620" t="n">
        <x:f>IF(AND(MAX(L620,L619)&gt;0,L620&gt;L619+0.00000001),1,0)</x:f>
        <x:v>0</x:v>
      </x:c>
      <x:c r="S620" t="n">
        <x:f>IF(AND(MAX(M620,M619)&gt;0,M620&gt;M619+0.00000001),1,0)</x:f>
        <x:v>0</x:v>
      </x:c>
      <x:c r="T620" t="n">
        <x:f>IF(AND(MAX(N620,N619)&gt;0,N620&gt;N619+0.00000001),1,0)</x:f>
        <x:v>0</x:v>
      </x:c>
      <x:c r="U620" t="n">
        <x:f>IF(AND(MAX(O620,O619)&gt;0,O620&gt;O619+0.00000001),1,0)</x:f>
        <x:v>0</x:v>
      </x:c>
    </x:row>
    <x:row r="621">
      <x:c r="J621" t="n">
        <x:f>IF(AND(ISNUMBER('Results'!B7),ISNUMBER('Results'!C7),ISNUMBER('Results'!$B$8),ISNUMBER('Inputs'!$B$6),ISNUMBER('Inputs'!$B$7),ISNUMBER('Inputs'!$B$8),ISNUMBER('Inputs'!$B$9),ISNUMBER('Inputs'!$B$10),ISNUMBER('Inputs'!$B$21),ISNUMBER('Inputs'!$B$24),ISNUMBER('Inputs'!$B$28)),(('Results'!B7*(0.5*((((621-43)*MAX('Inputs'!$B$33,'Inputs'!$B$29+'Inputs'!$B$31+'Inputs'!$B$32,'Inputs'!$B$30+'Inputs'!$B$31+'Inputs'!$B$32)/1000+'Inputs'!$B$21)+'Inputs'!$B$7)/SQRT((((621-43)*MAX('Inputs'!$B$33,'Inputs'!$B$29+'Inputs'!$B$31+'Inputs'!$B$32,'Inputs'!$B$30+'Inputs'!$B$31+'Inputs'!$B$32)/1000+'Inputs'!$B$21)+'Inputs'!$B$7)^2+('Inputs'!$B$6/2)^2)-(((621-43)*MAX('Inputs'!$B$33,'Inputs'!$B$29+'Inputs'!$B$31+'Inputs'!$B$32,'Inputs'!$B$30+'Inputs'!$B$31+'Inputs'!$B$32)/1000+'Inputs'!$B$21))/SQRT((((621-43)*MAX('Inputs'!$B$33,'Inputs'!$B$29+'Inputs'!$B$31+'Inputs'!$B$32,'Inputs'!$B$30+'Inputs'!$B$31+'Inputs'!$B$32)/1000+'Inputs'!$B$21))^2+('Inputs'!$B$6/2)^2)))-'Results'!C7*(0.5*((((621-43)*MAX('Inputs'!$B$33,'Inputs'!$B$29+'Inputs'!$B$31+'Inputs'!$B$32,'Inputs'!$B$30+'Inputs'!$B$31+'Inputs'!$B$32)/1000+'Inputs'!$B$21+'Inputs'!$B$7+'Inputs'!$B$10)+'Inputs'!$B$9)/SQRT((((621-43)*MAX('Inputs'!$B$33,'Inputs'!$B$29+'Inputs'!$B$31+'Inputs'!$B$32,'Inputs'!$B$30+'Inputs'!$B$31+'Inputs'!$B$32)/1000+'Inputs'!$B$21+'Inputs'!$B$7+'Inputs'!$B$10)+'Inputs'!$B$9)^2+('Inputs'!$B$8/2)^2)-(((621-43)*MAX('Inputs'!$B$33,'Inputs'!$B$29+'Inputs'!$B$31+'Inputs'!$B$32,'Inputs'!$B$30+'Inputs'!$B$31+'Inputs'!$B$32)/1000+'Inputs'!$B$21+'Inputs'!$B$7+'Inputs'!$B$10))/SQRT((((621-43)*MAX('Inputs'!$B$33,'Inputs'!$B$29+'Inputs'!$B$31+'Inputs'!$B$32,'Inputs'!$B$30+'Inputs'!$B$31+'Inputs'!$B$32)/1000+'Inputs'!$B$21+'Inputs'!$B$7+'Inputs'!$B$10))^2+('Inputs'!$B$8/2)^2))))*'Results'!$B$8),"")</x:f>
        <x:v>2.535149112797067</x:v>
      </x:c>
      <x:c r="K621" t="n">
        <x:f>IF(AND(ISNUMBER('Results'!B7),ISNUMBER('Results'!C7),ISNUMBER('Results'!$B$8),ISNUMBER('Inputs'!$B$6),ISNUMBER('Inputs'!$B$7),ISNUMBER('Inputs'!$B$8),ISNUMBER('Inputs'!$B$9),ISNUMBER('Inputs'!$B$10),ISNUMBER('Inputs'!$B$21),ISNUMBER('Inputs'!$B$24),ISNUMBER('Inputs'!$B$28)),((('Results'!B7*(1-'Inputs'!$B$24)*(0.5*((((621-43)*MAX('Inputs'!$B$33,'Inputs'!$B$29+'Inputs'!$B$31+'Inputs'!$B$32,'Inputs'!$B$30+'Inputs'!$B$31+'Inputs'!$B$32)/1000+'Inputs'!$B$21)+'Inputs'!$B$7)/SQRT((((621-43)*MAX('Inputs'!$B$33,'Inputs'!$B$29+'Inputs'!$B$31+'Inputs'!$B$32,'Inputs'!$B$30+'Inputs'!$B$31+'Inputs'!$B$32)/1000+'Inputs'!$B$21)+'Inputs'!$B$7)^2+('Inputs'!$B$6/2)^2)-(((621-43)*MAX('Inputs'!$B$33,'Inputs'!$B$29+'Inputs'!$B$31+'Inputs'!$B$32,'Inputs'!$B$30+'Inputs'!$B$31+'Inputs'!$B$32)/1000+'Inputs'!$B$21))/SQRT((((621-43)*MAX('Inputs'!$B$33,'Inputs'!$B$29+'Inputs'!$B$31+'Inputs'!$B$32,'Inputs'!$B$30+'Inputs'!$B$31+'Inputs'!$B$32)/1000+'Inputs'!$B$21))^2+('Inputs'!$B$6/2)^2)))-'Results'!C7*(1+'Inputs'!$B$24)*(0.5*((((621-43)*MAX('Inputs'!$B$33,'Inputs'!$B$29+'Inputs'!$B$31+'Inputs'!$B$32,'Inputs'!$B$30+'Inputs'!$B$31+'Inputs'!$B$32)/1000+'Inputs'!$B$21+'Inputs'!$B$7+'Inputs'!$B$10)+'Inputs'!$B$9)/SQRT((((621-43)*MAX('Inputs'!$B$33,'Inputs'!$B$29+'Inputs'!$B$31+'Inputs'!$B$32,'Inputs'!$B$30+'Inputs'!$B$31+'Inputs'!$B$32)/1000+'Inputs'!$B$21+'Inputs'!$B$7+'Inputs'!$B$10)+'Inputs'!$B$9)^2+('Inputs'!$B$8/2)^2)-(((621-43)*MAX('Inputs'!$B$33,'Inputs'!$B$29+'Inputs'!$B$31+'Inputs'!$B$32,'Inputs'!$B$30+'Inputs'!$B$31+'Inputs'!$B$32)/1000+'Inputs'!$B$21+'Inputs'!$B$7+'Inputs'!$B$10))/SQRT((((621-43)*MAX('Inputs'!$B$33,'Inputs'!$B$29+'Inputs'!$B$31+'Inputs'!$B$32,'Inputs'!$B$30+'Inputs'!$B$31+'Inputs'!$B$32)/1000+'Inputs'!$B$21+'Inputs'!$B$7+'Inputs'!$B$10))^2+('Inputs'!$B$8/2)^2))))*'Results'!$B$8)-'Inputs'!$B$28*ABS((('Results'!B7*(1-'Inputs'!$B$24)*(0.5*((((621-43)*MAX('Inputs'!$B$33,'Inputs'!$B$29+'Inputs'!$B$31+'Inputs'!$B$32,'Inputs'!$B$30+'Inputs'!$B$31+'Inputs'!$B$32)/1000+'Inputs'!$B$21)+'Inputs'!$B$7)/SQRT((((621-43)*MAX('Inputs'!$B$33,'Inputs'!$B$29+'Inputs'!$B$31+'Inputs'!$B$32,'Inputs'!$B$30+'Inputs'!$B$31+'Inputs'!$B$32)/1000+'Inputs'!$B$21)+'Inputs'!$B$7)^2+('Inputs'!$B$6/2)^2)-(((621-43)*MAX('Inputs'!$B$33,'Inputs'!$B$29+'Inputs'!$B$31+'Inputs'!$B$32,'Inputs'!$B$30+'Inputs'!$B$31+'Inputs'!$B$32)/1000+'Inputs'!$B$21))/SQRT((((621-43)*MAX('Inputs'!$B$33,'Inputs'!$B$29+'Inputs'!$B$31+'Inputs'!$B$32,'Inputs'!$B$30+'Inputs'!$B$31+'Inputs'!$B$32)/1000+'Inputs'!$B$21))^2+('Inputs'!$B$6/2)^2)))-'Results'!C7*(1+'Inputs'!$B$24)*(0.5*((((621-43)*MAX('Inputs'!$B$33,'Inputs'!$B$29+'Inputs'!$B$31+'Inputs'!$B$32,'Inputs'!$B$30+'Inputs'!$B$31+'Inputs'!$B$32)/1000+'Inputs'!$B$21+'Inputs'!$B$7+'Inputs'!$B$10)+'Inputs'!$B$9)/SQRT((((621-43)*MAX('Inputs'!$B$33,'Inputs'!$B$29+'Inputs'!$B$31+'Inputs'!$B$32,'Inputs'!$B$30+'Inputs'!$B$31+'Inputs'!$B$32)/1000+'Inputs'!$B$21+'Inputs'!$B$7+'Inputs'!$B$10)+'Inputs'!$B$9)^2+('Inputs'!$B$8/2)^2)-(((621-43)*MAX('Inputs'!$B$33,'Inputs'!$B$29+'Inputs'!$B$31+'Inputs'!$B$32,'Inputs'!$B$30+'Inputs'!$B$31+'Inputs'!$B$32)/1000+'Inputs'!$B$21+'Inputs'!$B$7+'Inputs'!$B$10))/SQRT((((621-43)*MAX('Inputs'!$B$33,'Inputs'!$B$29+'Inputs'!$B$31+'Inputs'!$B$32,'Inputs'!$B$30+'Inputs'!$B$31+'Inputs'!$B$32)/1000+'Inputs'!$B$21+'Inputs'!$B$7+'Inputs'!$B$10))^2+('Inputs'!$B$8/2)^2))))*'Results'!$B$8))),"")</x:f>
        <x:v>2.2255441206814335</x:v>
      </x:c>
      <x:c r="L621" t="n">
        <x:f>IF(AND(ISNUMBER('Results'!B7),ISNUMBER('Results'!C7),ISNUMBER('Results'!$B$8),ISNUMBER('Inputs'!$B$6),ISNUMBER('Inputs'!$B$7),ISNUMBER('Inputs'!$B$8),ISNUMBER('Inputs'!$B$9),ISNUMBER('Inputs'!$B$10),ISNUMBER('Inputs'!$B$21),ISNUMBER('Inputs'!$B$24),ISNUMBER('Inputs'!$B$28)),((('Results'!B7*(1+'Inputs'!$B$24)*(0.5*((((621-43)*MAX('Inputs'!$B$33,'Inputs'!$B$29+'Inputs'!$B$31+'Inputs'!$B$32,'Inputs'!$B$30+'Inputs'!$B$31+'Inputs'!$B$32)/1000+'Inputs'!$B$21)+'Inputs'!$B$7)/SQRT((((621-43)*MAX('Inputs'!$B$33,'Inputs'!$B$29+'Inputs'!$B$31+'Inputs'!$B$32,'Inputs'!$B$30+'Inputs'!$B$31+'Inputs'!$B$32)/1000+'Inputs'!$B$21)+'Inputs'!$B$7)^2+('Inputs'!$B$6/2)^2)-(((621-43)*MAX('Inputs'!$B$33,'Inputs'!$B$29+'Inputs'!$B$31+'Inputs'!$B$32,'Inputs'!$B$30+'Inputs'!$B$31+'Inputs'!$B$32)/1000+'Inputs'!$B$21))/SQRT((((621-43)*MAX('Inputs'!$B$33,'Inputs'!$B$29+'Inputs'!$B$31+'Inputs'!$B$32,'Inputs'!$B$30+'Inputs'!$B$31+'Inputs'!$B$32)/1000+'Inputs'!$B$21))^2+('Inputs'!$B$6/2)^2)))-'Results'!C7*(1-'Inputs'!$B$24)*(0.5*((((621-43)*MAX('Inputs'!$B$33,'Inputs'!$B$29+'Inputs'!$B$31+'Inputs'!$B$32,'Inputs'!$B$30+'Inputs'!$B$31+'Inputs'!$B$32)/1000+'Inputs'!$B$21+'Inputs'!$B$7+'Inputs'!$B$10)+'Inputs'!$B$9)/SQRT((((621-43)*MAX('Inputs'!$B$33,'Inputs'!$B$29+'Inputs'!$B$31+'Inputs'!$B$32,'Inputs'!$B$30+'Inputs'!$B$31+'Inputs'!$B$32)/1000+'Inputs'!$B$21+'Inputs'!$B$7+'Inputs'!$B$10)+'Inputs'!$B$9)^2+('Inputs'!$B$8/2)^2)-(((621-43)*MAX('Inputs'!$B$33,'Inputs'!$B$29+'Inputs'!$B$31+'Inputs'!$B$32,'Inputs'!$B$30+'Inputs'!$B$31+'Inputs'!$B$32)/1000+'Inputs'!$B$21+'Inputs'!$B$7+'Inputs'!$B$10))/SQRT((((621-43)*MAX('Inputs'!$B$33,'Inputs'!$B$29+'Inputs'!$B$31+'Inputs'!$B$32,'Inputs'!$B$30+'Inputs'!$B$31+'Inputs'!$B$32)/1000+'Inputs'!$B$21+'Inputs'!$B$7+'Inputs'!$B$10))^2+('Inputs'!$B$8/2)^2))))*'Results'!$B$8)+'Inputs'!$B$28*ABS((('Results'!B7*(1+'Inputs'!$B$24)*(0.5*((((621-43)*MAX('Inputs'!$B$33,'Inputs'!$B$29+'Inputs'!$B$31+'Inputs'!$B$32,'Inputs'!$B$30+'Inputs'!$B$31+'Inputs'!$B$32)/1000+'Inputs'!$B$21)+'Inputs'!$B$7)/SQRT((((621-43)*MAX('Inputs'!$B$33,'Inputs'!$B$29+'Inputs'!$B$31+'Inputs'!$B$32,'Inputs'!$B$30+'Inputs'!$B$31+'Inputs'!$B$32)/1000+'Inputs'!$B$21)+'Inputs'!$B$7)^2+('Inputs'!$B$6/2)^2)-(((621-43)*MAX('Inputs'!$B$33,'Inputs'!$B$29+'Inputs'!$B$31+'Inputs'!$B$32,'Inputs'!$B$30+'Inputs'!$B$31+'Inputs'!$B$32)/1000+'Inputs'!$B$21))/SQRT((((621-43)*MAX('Inputs'!$B$33,'Inputs'!$B$29+'Inputs'!$B$31+'Inputs'!$B$32,'Inputs'!$B$30+'Inputs'!$B$31+'Inputs'!$B$32)/1000+'Inputs'!$B$21))^2+('Inputs'!$B$6/2)^2)))-'Results'!C7*(1-'Inputs'!$B$24)*(0.5*((((621-43)*MAX('Inputs'!$B$33,'Inputs'!$B$29+'Inputs'!$B$31+'Inputs'!$B$32,'Inputs'!$B$30+'Inputs'!$B$31+'Inputs'!$B$32)/1000+'Inputs'!$B$21+'Inputs'!$B$7+'Inputs'!$B$10)+'Inputs'!$B$9)/SQRT((((621-43)*MAX('Inputs'!$B$33,'Inputs'!$B$29+'Inputs'!$B$31+'Inputs'!$B$32,'Inputs'!$B$30+'Inputs'!$B$31+'Inputs'!$B$32)/1000+'Inputs'!$B$21+'Inputs'!$B$7+'Inputs'!$B$10)+'Inputs'!$B$9)^2+('Inputs'!$B$8/2)^2)-(((621-43)*MAX('Inputs'!$B$33,'Inputs'!$B$29+'Inputs'!$B$31+'Inputs'!$B$32,'Inputs'!$B$30+'Inputs'!$B$31+'Inputs'!$B$32)/1000+'Inputs'!$B$21+'Inputs'!$B$7+'Inputs'!$B$10))/SQRT((((621-43)*MAX('Inputs'!$B$33,'Inputs'!$B$29+'Inputs'!$B$31+'Inputs'!$B$32,'Inputs'!$B$30+'Inputs'!$B$31+'Inputs'!$B$32)/1000+'Inputs'!$B$21+'Inputs'!$B$7+'Inputs'!$B$10))^2+('Inputs'!$B$8/2)^2))))*'Results'!$B$8))),"")</x:f>
        <x:v>2.864001214015413</x:v>
      </x:c>
      <x:c r="M621" t="n">
        <x:f>IF(AND(ISNUMBER('Results'!C7),ISNUMBER('Results'!B7),ISNUMBER('Results'!$B$8),ISNUMBER('Inputs'!$B$6),ISNUMBER('Inputs'!$B$7),ISNUMBER('Inputs'!$B$8),ISNUMBER('Inputs'!$B$9),ISNUMBER('Inputs'!$B$10),ISNUMBER('Inputs'!$B$21),ISNUMBER('Inputs'!$B$24),ISNUMBER('Inputs'!$B$28)),(('Results'!C7*(0.5*((((621-43)*MAX('Inputs'!$B$33,'Inputs'!$B$29+'Inputs'!$B$31+'Inputs'!$B$32,'Inputs'!$B$30+'Inputs'!$B$31+'Inputs'!$B$32)/1000+'Inputs'!$B$21)+'Inputs'!$B$9)/SQRT((((621-43)*MAX('Inputs'!$B$33,'Inputs'!$B$29+'Inputs'!$B$31+'Inputs'!$B$32,'Inputs'!$B$30+'Inputs'!$B$31+'Inputs'!$B$32)/1000+'Inputs'!$B$21)+'Inputs'!$B$9)^2+('Inputs'!$B$8/2)^2)-(((621-43)*MAX('Inputs'!$B$33,'Inputs'!$B$29+'Inputs'!$B$31+'Inputs'!$B$32,'Inputs'!$B$30+'Inputs'!$B$31+'Inputs'!$B$32)/1000+'Inputs'!$B$21))/SQRT((((621-43)*MAX('Inputs'!$B$33,'Inputs'!$B$29+'Inputs'!$B$31+'Inputs'!$B$32,'Inputs'!$B$30+'Inputs'!$B$31+'Inputs'!$B$32)/1000+'Inputs'!$B$21))^2+('Inputs'!$B$8/2)^2)))-'Results'!B7*(0.5*((((621-43)*MAX('Inputs'!$B$33,'Inputs'!$B$29+'Inputs'!$B$31+'Inputs'!$B$32,'Inputs'!$B$30+'Inputs'!$B$31+'Inputs'!$B$32)/1000+'Inputs'!$B$21+'Inputs'!$B$9+'Inputs'!$B$10)+'Inputs'!$B$7)/SQRT((((621-43)*MAX('Inputs'!$B$33,'Inputs'!$B$29+'Inputs'!$B$31+'Inputs'!$B$32,'Inputs'!$B$30+'Inputs'!$B$31+'Inputs'!$B$32)/1000+'Inputs'!$B$21+'Inputs'!$B$9+'Inputs'!$B$10)+'Inputs'!$B$7)^2+('Inputs'!$B$6/2)^2)-(((621-43)*MAX('Inputs'!$B$33,'Inputs'!$B$29+'Inputs'!$B$31+'Inputs'!$B$32,'Inputs'!$B$30+'Inputs'!$B$31+'Inputs'!$B$32)/1000+'Inputs'!$B$21+'Inputs'!$B$9+'Inputs'!$B$10))/SQRT((((621-43)*MAX('Inputs'!$B$33,'Inputs'!$B$29+'Inputs'!$B$31+'Inputs'!$B$32,'Inputs'!$B$30+'Inputs'!$B$31+'Inputs'!$B$32)/1000+'Inputs'!$B$21+'Inputs'!$B$9+'Inputs'!$B$10))^2+('Inputs'!$B$6/2)^2))))*'Results'!$B$8),"")</x:f>
        <x:v>2.3412314084151222</x:v>
      </x:c>
      <x:c r="N621" t="n">
        <x:f>IF(AND(ISNUMBER('Results'!C7),ISNUMBER('Results'!B7),ISNUMBER('Results'!$B$8),ISNUMBER('Inputs'!$B$6),ISNUMBER('Inputs'!$B$7),ISNUMBER('Inputs'!$B$8),ISNUMBER('Inputs'!$B$9),ISNUMBER('Inputs'!$B$10),ISNUMBER('Inputs'!$B$21),ISNUMBER('Inputs'!$B$24),ISNUMBER('Inputs'!$B$28)),((('Results'!C7*(1-'Inputs'!$B$24)*(0.5*((((621-43)*MAX('Inputs'!$B$33,'Inputs'!$B$29+'Inputs'!$B$31+'Inputs'!$B$32,'Inputs'!$B$30+'Inputs'!$B$31+'Inputs'!$B$32)/1000+'Inputs'!$B$21)+'Inputs'!$B$9)/SQRT((((621-43)*MAX('Inputs'!$B$33,'Inputs'!$B$29+'Inputs'!$B$31+'Inputs'!$B$32,'Inputs'!$B$30+'Inputs'!$B$31+'Inputs'!$B$32)/1000+'Inputs'!$B$21)+'Inputs'!$B$9)^2+('Inputs'!$B$8/2)^2)-(((621-43)*MAX('Inputs'!$B$33,'Inputs'!$B$29+'Inputs'!$B$31+'Inputs'!$B$32,'Inputs'!$B$30+'Inputs'!$B$31+'Inputs'!$B$32)/1000+'Inputs'!$B$21))/SQRT((((621-43)*MAX('Inputs'!$B$33,'Inputs'!$B$29+'Inputs'!$B$31+'Inputs'!$B$32,'Inputs'!$B$30+'Inputs'!$B$31+'Inputs'!$B$32)/1000+'Inputs'!$B$21))^2+('Inputs'!$B$8/2)^2)))-'Results'!B7*(1+'Inputs'!$B$24)*(0.5*((((621-43)*MAX('Inputs'!$B$33,'Inputs'!$B$29+'Inputs'!$B$31+'Inputs'!$B$32,'Inputs'!$B$30+'Inputs'!$B$31+'Inputs'!$B$32)/1000+'Inputs'!$B$21+'Inputs'!$B$9+'Inputs'!$B$10)+'Inputs'!$B$7)/SQRT((((621-43)*MAX('Inputs'!$B$33,'Inputs'!$B$29+'Inputs'!$B$31+'Inputs'!$B$32,'Inputs'!$B$30+'Inputs'!$B$31+'Inputs'!$B$32)/1000+'Inputs'!$B$21+'Inputs'!$B$9+'Inputs'!$B$10)+'Inputs'!$B$7)^2+('Inputs'!$B$6/2)^2)-(((621-43)*MAX('Inputs'!$B$33,'Inputs'!$B$29+'Inputs'!$B$31+'Inputs'!$B$32,'Inputs'!$B$30+'Inputs'!$B$31+'Inputs'!$B$32)/1000+'Inputs'!$B$21+'Inputs'!$B$9+'Inputs'!$B$10))/SQRT((((621-43)*MAX('Inputs'!$B$33,'Inputs'!$B$29+'Inputs'!$B$31+'Inputs'!$B$32,'Inputs'!$B$30+'Inputs'!$B$31+'Inputs'!$B$32)/1000+'Inputs'!$B$21+'Inputs'!$B$9+'Inputs'!$B$10))^2+('Inputs'!$B$6/2)^2))))*'Results'!$B$8)-'Inputs'!$B$28*ABS((('Results'!C7*(1-'Inputs'!$B$24)*(0.5*((((621-43)*MAX('Inputs'!$B$33,'Inputs'!$B$29+'Inputs'!$B$31+'Inputs'!$B$32,'Inputs'!$B$30+'Inputs'!$B$31+'Inputs'!$B$32)/1000+'Inputs'!$B$21)+'Inputs'!$B$9)/SQRT((((621-43)*MAX('Inputs'!$B$33,'Inputs'!$B$29+'Inputs'!$B$31+'Inputs'!$B$32,'Inputs'!$B$30+'Inputs'!$B$31+'Inputs'!$B$32)/1000+'Inputs'!$B$21)+'Inputs'!$B$9)^2+('Inputs'!$B$8/2)^2)-(((621-43)*MAX('Inputs'!$B$33,'Inputs'!$B$29+'Inputs'!$B$31+'Inputs'!$B$32,'Inputs'!$B$30+'Inputs'!$B$31+'Inputs'!$B$32)/1000+'Inputs'!$B$21))/SQRT((((621-43)*MAX('Inputs'!$B$33,'Inputs'!$B$29+'Inputs'!$B$31+'Inputs'!$B$32,'Inputs'!$B$30+'Inputs'!$B$31+'Inputs'!$B$32)/1000+'Inputs'!$B$21))^2+('Inputs'!$B$8/2)^2)))-'Results'!B7*(1+'Inputs'!$B$24)*(0.5*((((621-43)*MAX('Inputs'!$B$33,'Inputs'!$B$29+'Inputs'!$B$31+'Inputs'!$B$32,'Inputs'!$B$30+'Inputs'!$B$31+'Inputs'!$B$32)/1000+'Inputs'!$B$21+'Inputs'!$B$9+'Inputs'!$B$10)+'Inputs'!$B$7)/SQRT((((621-43)*MAX('Inputs'!$B$33,'Inputs'!$B$29+'Inputs'!$B$31+'Inputs'!$B$32,'Inputs'!$B$30+'Inputs'!$B$31+'Inputs'!$B$32)/1000+'Inputs'!$B$21+'Inputs'!$B$9+'Inputs'!$B$10)+'Inputs'!$B$7)^2+('Inputs'!$B$6/2)^2)-(((621-43)*MAX('Inputs'!$B$33,'Inputs'!$B$29+'Inputs'!$B$31+'Inputs'!$B$32,'Inputs'!$B$30+'Inputs'!$B$31+'Inputs'!$B$32)/1000+'Inputs'!$B$21+'Inputs'!$B$9+'Inputs'!$B$10))/SQRT((((621-43)*MAX('Inputs'!$B$33,'Inputs'!$B$29+'Inputs'!$B$31+'Inputs'!$B$32,'Inputs'!$B$30+'Inputs'!$B$31+'Inputs'!$B$32)/1000+'Inputs'!$B$21+'Inputs'!$B$9+'Inputs'!$B$10))^2+('Inputs'!$B$6/2)^2))))*'Results'!$B$8))),"")</x:f>
        <x:v>2.0422581725277085</x:v>
      </x:c>
      <x:c r="O621" t="n">
        <x:f>IF(AND(ISNUMBER('Results'!C7),ISNUMBER('Results'!B7),ISNUMBER('Results'!$B$8),ISNUMBER('Inputs'!$B$6),ISNUMBER('Inputs'!$B$7),ISNUMBER('Inputs'!$B$8),ISNUMBER('Inputs'!$B$9),ISNUMBER('Inputs'!$B$10),ISNUMBER('Inputs'!$B$21),ISNUMBER('Inputs'!$B$24),ISNUMBER('Inputs'!$B$28)),((('Results'!C7*(1+'Inputs'!$B$24)*(0.5*((((621-43)*MAX('Inputs'!$B$33,'Inputs'!$B$29+'Inputs'!$B$31+'Inputs'!$B$32,'Inputs'!$B$30+'Inputs'!$B$31+'Inputs'!$B$32)/1000+'Inputs'!$B$21)+'Inputs'!$B$9)/SQRT((((621-43)*MAX('Inputs'!$B$33,'Inputs'!$B$29+'Inputs'!$B$31+'Inputs'!$B$32,'Inputs'!$B$30+'Inputs'!$B$31+'Inputs'!$B$32)/1000+'Inputs'!$B$21)+'Inputs'!$B$9)^2+('Inputs'!$B$8/2)^2)-(((621-43)*MAX('Inputs'!$B$33,'Inputs'!$B$29+'Inputs'!$B$31+'Inputs'!$B$32,'Inputs'!$B$30+'Inputs'!$B$31+'Inputs'!$B$32)/1000+'Inputs'!$B$21))/SQRT((((621-43)*MAX('Inputs'!$B$33,'Inputs'!$B$29+'Inputs'!$B$31+'Inputs'!$B$32,'Inputs'!$B$30+'Inputs'!$B$31+'Inputs'!$B$32)/1000+'Inputs'!$B$21))^2+('Inputs'!$B$8/2)^2)))-'Results'!B7*(1-'Inputs'!$B$24)*(0.5*((((621-43)*MAX('Inputs'!$B$33,'Inputs'!$B$29+'Inputs'!$B$31+'Inputs'!$B$32,'Inputs'!$B$30+'Inputs'!$B$31+'Inputs'!$B$32)/1000+'Inputs'!$B$21+'Inputs'!$B$9+'Inputs'!$B$10)+'Inputs'!$B$7)/SQRT((((621-43)*MAX('Inputs'!$B$33,'Inputs'!$B$29+'Inputs'!$B$31+'Inputs'!$B$32,'Inputs'!$B$30+'Inputs'!$B$31+'Inputs'!$B$32)/1000+'Inputs'!$B$21+'Inputs'!$B$9+'Inputs'!$B$10)+'Inputs'!$B$7)^2+('Inputs'!$B$6/2)^2)-(((621-43)*MAX('Inputs'!$B$33,'Inputs'!$B$29+'Inputs'!$B$31+'Inputs'!$B$32,'Inputs'!$B$30+'Inputs'!$B$31+'Inputs'!$B$32)/1000+'Inputs'!$B$21+'Inputs'!$B$9+'Inputs'!$B$10))/SQRT((((621-43)*MAX('Inputs'!$B$33,'Inputs'!$B$29+'Inputs'!$B$31+'Inputs'!$B$32,'Inputs'!$B$30+'Inputs'!$B$31+'Inputs'!$B$32)/1000+'Inputs'!$B$21+'Inputs'!$B$9+'Inputs'!$B$10))^2+('Inputs'!$B$6/2)^2))))*'Results'!$B$8)+'Inputs'!$B$28*ABS((('Results'!C7*(1+'Inputs'!$B$24)*(0.5*((((621-43)*MAX('Inputs'!$B$33,'Inputs'!$B$29+'Inputs'!$B$31+'Inputs'!$B$32,'Inputs'!$B$30+'Inputs'!$B$31+'Inputs'!$B$32)/1000+'Inputs'!$B$21)+'Inputs'!$B$9)/SQRT((((621-43)*MAX('Inputs'!$B$33,'Inputs'!$B$29+'Inputs'!$B$31+'Inputs'!$B$32,'Inputs'!$B$30+'Inputs'!$B$31+'Inputs'!$B$32)/1000+'Inputs'!$B$21)+'Inputs'!$B$9)^2+('Inputs'!$B$8/2)^2)-(((621-43)*MAX('Inputs'!$B$33,'Inputs'!$B$29+'Inputs'!$B$31+'Inputs'!$B$32,'Inputs'!$B$30+'Inputs'!$B$31+'Inputs'!$B$32)/1000+'Inputs'!$B$21))/SQRT((((621-43)*MAX('Inputs'!$B$33,'Inputs'!$B$29+'Inputs'!$B$31+'Inputs'!$B$32,'Inputs'!$B$30+'Inputs'!$B$31+'Inputs'!$B$32)/1000+'Inputs'!$B$21))^2+('Inputs'!$B$8/2)^2)))-'Results'!B7*(1-'Inputs'!$B$24)*(0.5*((((621-43)*MAX('Inputs'!$B$33,'Inputs'!$B$29+'Inputs'!$B$31+'Inputs'!$B$32,'Inputs'!$B$30+'Inputs'!$B$31+'Inputs'!$B$32)/1000+'Inputs'!$B$21+'Inputs'!$B$9+'Inputs'!$B$10)+'Inputs'!$B$7)/SQRT((((621-43)*MAX('Inputs'!$B$33,'Inputs'!$B$29+'Inputs'!$B$31+'Inputs'!$B$32,'Inputs'!$B$30+'Inputs'!$B$31+'Inputs'!$B$32)/1000+'Inputs'!$B$21+'Inputs'!$B$9+'Inputs'!$B$10)+'Inputs'!$B$7)^2+('Inputs'!$B$6/2)^2)-(((621-43)*MAX('Inputs'!$B$33,'Inputs'!$B$29+'Inputs'!$B$31+'Inputs'!$B$32,'Inputs'!$B$30+'Inputs'!$B$31+'Inputs'!$B$32)/1000+'Inputs'!$B$21+'Inputs'!$B$9+'Inputs'!$B$10))/SQRT((((621-43)*MAX('Inputs'!$B$33,'Inputs'!$B$29+'Inputs'!$B$31+'Inputs'!$B$32,'Inputs'!$B$30+'Inputs'!$B$31+'Inputs'!$B$32)/1000+'Inputs'!$B$21+'Inputs'!$B$9+'Inputs'!$B$10))^2+('Inputs'!$B$6/2)^2))))*'Results'!$B$8))),"")</x:f>
        <x:v>2.6593532406674485</x:v>
      </x:c>
      <x:c r="P621" t="n">
        <x:f>IF(AND(MAX(J621,J620)&gt;0,J621&gt;J620+0.00000001),1,0)</x:f>
        <x:v>0</x:v>
      </x:c>
      <x:c r="Q621" t="n">
        <x:f>IF(AND(MAX(K621,K620)&gt;0,K621&gt;K620+0.00000001),1,0)</x:f>
        <x:v>0</x:v>
      </x:c>
      <x:c r="R621" t="n">
        <x:f>IF(AND(MAX(L621,L620)&gt;0,L621&gt;L620+0.00000001),1,0)</x:f>
        <x:v>0</x:v>
      </x:c>
      <x:c r="S621" t="n">
        <x:f>IF(AND(MAX(M621,M620)&gt;0,M621&gt;M620+0.00000001),1,0)</x:f>
        <x:v>0</x:v>
      </x:c>
      <x:c r="T621" t="n">
        <x:f>IF(AND(MAX(N621,N620)&gt;0,N621&gt;N620+0.00000001),1,0)</x:f>
        <x:v>0</x:v>
      </x:c>
      <x:c r="U621" t="n">
        <x:f>IF(AND(MAX(O621,O620)&gt;0,O621&gt;O620+0.00000001),1,0)</x:f>
        <x:v>0</x:v>
      </x:c>
    </x:row>
    <x:row r="622">
      <x:c r="J622" t="n">
        <x:f>IF(AND(ISNUMBER('Results'!B7),ISNUMBER('Results'!C7),ISNUMBER('Results'!$B$8),ISNUMBER('Inputs'!$B$6),ISNUMBER('Inputs'!$B$7),ISNUMBER('Inputs'!$B$8),ISNUMBER('Inputs'!$B$9),ISNUMBER('Inputs'!$B$10),ISNUMBER('Inputs'!$B$21),ISNUMBER('Inputs'!$B$24),ISNUMBER('Inputs'!$B$28)),(('Results'!B7*(0.5*((((622-43)*MAX('Inputs'!$B$33,'Inputs'!$B$29+'Inputs'!$B$31+'Inputs'!$B$32,'Inputs'!$B$30+'Inputs'!$B$31+'Inputs'!$B$32)/1000+'Inputs'!$B$21)+'Inputs'!$B$7)/SQRT((((622-43)*MAX('Inputs'!$B$33,'Inputs'!$B$29+'Inputs'!$B$31+'Inputs'!$B$32,'Inputs'!$B$30+'Inputs'!$B$31+'Inputs'!$B$32)/1000+'Inputs'!$B$21)+'Inputs'!$B$7)^2+('Inputs'!$B$6/2)^2)-(((622-43)*MAX('Inputs'!$B$33,'Inputs'!$B$29+'Inputs'!$B$31+'Inputs'!$B$32,'Inputs'!$B$30+'Inputs'!$B$31+'Inputs'!$B$32)/1000+'Inputs'!$B$21))/SQRT((((622-43)*MAX('Inputs'!$B$33,'Inputs'!$B$29+'Inputs'!$B$31+'Inputs'!$B$32,'Inputs'!$B$30+'Inputs'!$B$31+'Inputs'!$B$32)/1000+'Inputs'!$B$21))^2+('Inputs'!$B$6/2)^2)))-'Results'!C7*(0.5*((((622-43)*MAX('Inputs'!$B$33,'Inputs'!$B$29+'Inputs'!$B$31+'Inputs'!$B$32,'Inputs'!$B$30+'Inputs'!$B$31+'Inputs'!$B$32)/1000+'Inputs'!$B$21+'Inputs'!$B$7+'Inputs'!$B$10)+'Inputs'!$B$9)/SQRT((((622-43)*MAX('Inputs'!$B$33,'Inputs'!$B$29+'Inputs'!$B$31+'Inputs'!$B$32,'Inputs'!$B$30+'Inputs'!$B$31+'Inputs'!$B$32)/1000+'Inputs'!$B$21+'Inputs'!$B$7+'Inputs'!$B$10)+'Inputs'!$B$9)^2+('Inputs'!$B$8/2)^2)-(((622-43)*MAX('Inputs'!$B$33,'Inputs'!$B$29+'Inputs'!$B$31+'Inputs'!$B$32,'Inputs'!$B$30+'Inputs'!$B$31+'Inputs'!$B$32)/1000+'Inputs'!$B$21+'Inputs'!$B$7+'Inputs'!$B$10))/SQRT((((622-43)*MAX('Inputs'!$B$33,'Inputs'!$B$29+'Inputs'!$B$31+'Inputs'!$B$32,'Inputs'!$B$30+'Inputs'!$B$31+'Inputs'!$B$32)/1000+'Inputs'!$B$21+'Inputs'!$B$7+'Inputs'!$B$10))^2+('Inputs'!$B$8/2)^2))))*'Results'!$B$8),"")</x:f>
        <x:v>2.519941134246738</x:v>
      </x:c>
      <x:c r="K622" t="n">
        <x:f>IF(AND(ISNUMBER('Results'!B7),ISNUMBER('Results'!C7),ISNUMBER('Results'!$B$8),ISNUMBER('Inputs'!$B$6),ISNUMBER('Inputs'!$B$7),ISNUMBER('Inputs'!$B$8),ISNUMBER('Inputs'!$B$9),ISNUMBER('Inputs'!$B$10),ISNUMBER('Inputs'!$B$21),ISNUMBER('Inputs'!$B$24),ISNUMBER('Inputs'!$B$28)),((('Results'!B7*(1-'Inputs'!$B$24)*(0.5*((((622-43)*MAX('Inputs'!$B$33,'Inputs'!$B$29+'Inputs'!$B$31+'Inputs'!$B$32,'Inputs'!$B$30+'Inputs'!$B$31+'Inputs'!$B$32)/1000+'Inputs'!$B$21)+'Inputs'!$B$7)/SQRT((((622-43)*MAX('Inputs'!$B$33,'Inputs'!$B$29+'Inputs'!$B$31+'Inputs'!$B$32,'Inputs'!$B$30+'Inputs'!$B$31+'Inputs'!$B$32)/1000+'Inputs'!$B$21)+'Inputs'!$B$7)^2+('Inputs'!$B$6/2)^2)-(((622-43)*MAX('Inputs'!$B$33,'Inputs'!$B$29+'Inputs'!$B$31+'Inputs'!$B$32,'Inputs'!$B$30+'Inputs'!$B$31+'Inputs'!$B$32)/1000+'Inputs'!$B$21))/SQRT((((622-43)*MAX('Inputs'!$B$33,'Inputs'!$B$29+'Inputs'!$B$31+'Inputs'!$B$32,'Inputs'!$B$30+'Inputs'!$B$31+'Inputs'!$B$32)/1000+'Inputs'!$B$21))^2+('Inputs'!$B$6/2)^2)))-'Results'!C7*(1+'Inputs'!$B$24)*(0.5*((((622-43)*MAX('Inputs'!$B$33,'Inputs'!$B$29+'Inputs'!$B$31+'Inputs'!$B$32,'Inputs'!$B$30+'Inputs'!$B$31+'Inputs'!$B$32)/1000+'Inputs'!$B$21+'Inputs'!$B$7+'Inputs'!$B$10)+'Inputs'!$B$9)/SQRT((((622-43)*MAX('Inputs'!$B$33,'Inputs'!$B$29+'Inputs'!$B$31+'Inputs'!$B$32,'Inputs'!$B$30+'Inputs'!$B$31+'Inputs'!$B$32)/1000+'Inputs'!$B$21+'Inputs'!$B$7+'Inputs'!$B$10)+'Inputs'!$B$9)^2+('Inputs'!$B$8/2)^2)-(((622-43)*MAX('Inputs'!$B$33,'Inputs'!$B$29+'Inputs'!$B$31+'Inputs'!$B$32,'Inputs'!$B$30+'Inputs'!$B$31+'Inputs'!$B$32)/1000+'Inputs'!$B$21+'Inputs'!$B$7+'Inputs'!$B$10))/SQRT((((622-43)*MAX('Inputs'!$B$33,'Inputs'!$B$29+'Inputs'!$B$31+'Inputs'!$B$32,'Inputs'!$B$30+'Inputs'!$B$31+'Inputs'!$B$32)/1000+'Inputs'!$B$21+'Inputs'!$B$7+'Inputs'!$B$10))^2+('Inputs'!$B$8/2)^2))))*'Results'!$B$8)-'Inputs'!$B$28*ABS((('Results'!B7*(1-'Inputs'!$B$24)*(0.5*((((622-43)*MAX('Inputs'!$B$33,'Inputs'!$B$29+'Inputs'!$B$31+'Inputs'!$B$32,'Inputs'!$B$30+'Inputs'!$B$31+'Inputs'!$B$32)/1000+'Inputs'!$B$21)+'Inputs'!$B$7)/SQRT((((622-43)*MAX('Inputs'!$B$33,'Inputs'!$B$29+'Inputs'!$B$31+'Inputs'!$B$32,'Inputs'!$B$30+'Inputs'!$B$31+'Inputs'!$B$32)/1000+'Inputs'!$B$21)+'Inputs'!$B$7)^2+('Inputs'!$B$6/2)^2)-(((622-43)*MAX('Inputs'!$B$33,'Inputs'!$B$29+'Inputs'!$B$31+'Inputs'!$B$32,'Inputs'!$B$30+'Inputs'!$B$31+'Inputs'!$B$32)/1000+'Inputs'!$B$21))/SQRT((((622-43)*MAX('Inputs'!$B$33,'Inputs'!$B$29+'Inputs'!$B$31+'Inputs'!$B$32,'Inputs'!$B$30+'Inputs'!$B$31+'Inputs'!$B$32)/1000+'Inputs'!$B$21))^2+('Inputs'!$B$6/2)^2)))-'Results'!C7*(1+'Inputs'!$B$24)*(0.5*((((622-43)*MAX('Inputs'!$B$33,'Inputs'!$B$29+'Inputs'!$B$31+'Inputs'!$B$32,'Inputs'!$B$30+'Inputs'!$B$31+'Inputs'!$B$32)/1000+'Inputs'!$B$21+'Inputs'!$B$7+'Inputs'!$B$10)+'Inputs'!$B$9)/SQRT((((622-43)*MAX('Inputs'!$B$33,'Inputs'!$B$29+'Inputs'!$B$31+'Inputs'!$B$32,'Inputs'!$B$30+'Inputs'!$B$31+'Inputs'!$B$32)/1000+'Inputs'!$B$21+'Inputs'!$B$7+'Inputs'!$B$10)+'Inputs'!$B$9)^2+('Inputs'!$B$8/2)^2)-(((622-43)*MAX('Inputs'!$B$33,'Inputs'!$B$29+'Inputs'!$B$31+'Inputs'!$B$32,'Inputs'!$B$30+'Inputs'!$B$31+'Inputs'!$B$32)/1000+'Inputs'!$B$21+'Inputs'!$B$7+'Inputs'!$B$10))/SQRT((((622-43)*MAX('Inputs'!$B$33,'Inputs'!$B$29+'Inputs'!$B$31+'Inputs'!$B$32,'Inputs'!$B$30+'Inputs'!$B$31+'Inputs'!$B$32)/1000+'Inputs'!$B$21+'Inputs'!$B$7+'Inputs'!$B$10))^2+('Inputs'!$B$8/2)^2))))*'Results'!$B$8))),"")</x:f>
        <x:v>2.2119445966679128</x:v>
      </x:c>
      <x:c r="L622" t="n">
        <x:f>IF(AND(ISNUMBER('Results'!B7),ISNUMBER('Results'!C7),ISNUMBER('Results'!$B$8),ISNUMBER('Inputs'!$B$6),ISNUMBER('Inputs'!$B$7),ISNUMBER('Inputs'!$B$8),ISNUMBER('Inputs'!$B$9),ISNUMBER('Inputs'!$B$10),ISNUMBER('Inputs'!$B$21),ISNUMBER('Inputs'!$B$24),ISNUMBER('Inputs'!$B$28)),((('Results'!B7*(1+'Inputs'!$B$24)*(0.5*((((622-43)*MAX('Inputs'!$B$33,'Inputs'!$B$29+'Inputs'!$B$31+'Inputs'!$B$32,'Inputs'!$B$30+'Inputs'!$B$31+'Inputs'!$B$32)/1000+'Inputs'!$B$21)+'Inputs'!$B$7)/SQRT((((622-43)*MAX('Inputs'!$B$33,'Inputs'!$B$29+'Inputs'!$B$31+'Inputs'!$B$32,'Inputs'!$B$30+'Inputs'!$B$31+'Inputs'!$B$32)/1000+'Inputs'!$B$21)+'Inputs'!$B$7)^2+('Inputs'!$B$6/2)^2)-(((622-43)*MAX('Inputs'!$B$33,'Inputs'!$B$29+'Inputs'!$B$31+'Inputs'!$B$32,'Inputs'!$B$30+'Inputs'!$B$31+'Inputs'!$B$32)/1000+'Inputs'!$B$21))/SQRT((((622-43)*MAX('Inputs'!$B$33,'Inputs'!$B$29+'Inputs'!$B$31+'Inputs'!$B$32,'Inputs'!$B$30+'Inputs'!$B$31+'Inputs'!$B$32)/1000+'Inputs'!$B$21))^2+('Inputs'!$B$6/2)^2)))-'Results'!C7*(1-'Inputs'!$B$24)*(0.5*((((622-43)*MAX('Inputs'!$B$33,'Inputs'!$B$29+'Inputs'!$B$31+'Inputs'!$B$32,'Inputs'!$B$30+'Inputs'!$B$31+'Inputs'!$B$32)/1000+'Inputs'!$B$21+'Inputs'!$B$7+'Inputs'!$B$10)+'Inputs'!$B$9)/SQRT((((622-43)*MAX('Inputs'!$B$33,'Inputs'!$B$29+'Inputs'!$B$31+'Inputs'!$B$32,'Inputs'!$B$30+'Inputs'!$B$31+'Inputs'!$B$32)/1000+'Inputs'!$B$21+'Inputs'!$B$7+'Inputs'!$B$10)+'Inputs'!$B$9)^2+('Inputs'!$B$8/2)^2)-(((622-43)*MAX('Inputs'!$B$33,'Inputs'!$B$29+'Inputs'!$B$31+'Inputs'!$B$32,'Inputs'!$B$30+'Inputs'!$B$31+'Inputs'!$B$32)/1000+'Inputs'!$B$21+'Inputs'!$B$7+'Inputs'!$B$10))/SQRT((((622-43)*MAX('Inputs'!$B$33,'Inputs'!$B$29+'Inputs'!$B$31+'Inputs'!$B$32,'Inputs'!$B$30+'Inputs'!$B$31+'Inputs'!$B$32)/1000+'Inputs'!$B$21+'Inputs'!$B$7+'Inputs'!$B$10))^2+('Inputs'!$B$8/2)^2))))*'Results'!$B$8)+'Inputs'!$B$28*ABS((('Results'!B7*(1+'Inputs'!$B$24)*(0.5*((((622-43)*MAX('Inputs'!$B$33,'Inputs'!$B$29+'Inputs'!$B$31+'Inputs'!$B$32,'Inputs'!$B$30+'Inputs'!$B$31+'Inputs'!$B$32)/1000+'Inputs'!$B$21)+'Inputs'!$B$7)/SQRT((((622-43)*MAX('Inputs'!$B$33,'Inputs'!$B$29+'Inputs'!$B$31+'Inputs'!$B$32,'Inputs'!$B$30+'Inputs'!$B$31+'Inputs'!$B$32)/1000+'Inputs'!$B$21)+'Inputs'!$B$7)^2+('Inputs'!$B$6/2)^2)-(((622-43)*MAX('Inputs'!$B$33,'Inputs'!$B$29+'Inputs'!$B$31+'Inputs'!$B$32,'Inputs'!$B$30+'Inputs'!$B$31+'Inputs'!$B$32)/1000+'Inputs'!$B$21))/SQRT((((622-43)*MAX('Inputs'!$B$33,'Inputs'!$B$29+'Inputs'!$B$31+'Inputs'!$B$32,'Inputs'!$B$30+'Inputs'!$B$31+'Inputs'!$B$32)/1000+'Inputs'!$B$21))^2+('Inputs'!$B$6/2)^2)))-'Results'!C7*(1-'Inputs'!$B$24)*(0.5*((((622-43)*MAX('Inputs'!$B$33,'Inputs'!$B$29+'Inputs'!$B$31+'Inputs'!$B$32,'Inputs'!$B$30+'Inputs'!$B$31+'Inputs'!$B$32)/1000+'Inputs'!$B$21+'Inputs'!$B$7+'Inputs'!$B$10)+'Inputs'!$B$9)/SQRT((((622-43)*MAX('Inputs'!$B$33,'Inputs'!$B$29+'Inputs'!$B$31+'Inputs'!$B$32,'Inputs'!$B$30+'Inputs'!$B$31+'Inputs'!$B$32)/1000+'Inputs'!$B$21+'Inputs'!$B$7+'Inputs'!$B$10)+'Inputs'!$B$9)^2+('Inputs'!$B$8/2)^2)-(((622-43)*MAX('Inputs'!$B$33,'Inputs'!$B$29+'Inputs'!$B$31+'Inputs'!$B$32,'Inputs'!$B$30+'Inputs'!$B$31+'Inputs'!$B$32)/1000+'Inputs'!$B$21+'Inputs'!$B$7+'Inputs'!$B$10))/SQRT((((622-43)*MAX('Inputs'!$B$33,'Inputs'!$B$29+'Inputs'!$B$31+'Inputs'!$B$32,'Inputs'!$B$30+'Inputs'!$B$31+'Inputs'!$B$32)/1000+'Inputs'!$B$21+'Inputs'!$B$7+'Inputs'!$B$10))^2+('Inputs'!$B$8/2)^2))))*'Results'!$B$8))),"")</x:f>
        <x:v>2.847095511916773</x:v>
      </x:c>
      <x:c r="M622" t="n">
        <x:f>IF(AND(ISNUMBER('Results'!C7),ISNUMBER('Results'!B7),ISNUMBER('Results'!$B$8),ISNUMBER('Inputs'!$B$6),ISNUMBER('Inputs'!$B$7),ISNUMBER('Inputs'!$B$8),ISNUMBER('Inputs'!$B$9),ISNUMBER('Inputs'!$B$10),ISNUMBER('Inputs'!$B$21),ISNUMBER('Inputs'!$B$24),ISNUMBER('Inputs'!$B$28)),(('Results'!C7*(0.5*((((622-43)*MAX('Inputs'!$B$33,'Inputs'!$B$29+'Inputs'!$B$31+'Inputs'!$B$32,'Inputs'!$B$30+'Inputs'!$B$31+'Inputs'!$B$32)/1000+'Inputs'!$B$21)+'Inputs'!$B$9)/SQRT((((622-43)*MAX('Inputs'!$B$33,'Inputs'!$B$29+'Inputs'!$B$31+'Inputs'!$B$32,'Inputs'!$B$30+'Inputs'!$B$31+'Inputs'!$B$32)/1000+'Inputs'!$B$21)+'Inputs'!$B$9)^2+('Inputs'!$B$8/2)^2)-(((622-43)*MAX('Inputs'!$B$33,'Inputs'!$B$29+'Inputs'!$B$31+'Inputs'!$B$32,'Inputs'!$B$30+'Inputs'!$B$31+'Inputs'!$B$32)/1000+'Inputs'!$B$21))/SQRT((((622-43)*MAX('Inputs'!$B$33,'Inputs'!$B$29+'Inputs'!$B$31+'Inputs'!$B$32,'Inputs'!$B$30+'Inputs'!$B$31+'Inputs'!$B$32)/1000+'Inputs'!$B$21))^2+('Inputs'!$B$8/2)^2)))-'Results'!B7*(0.5*((((622-43)*MAX('Inputs'!$B$33,'Inputs'!$B$29+'Inputs'!$B$31+'Inputs'!$B$32,'Inputs'!$B$30+'Inputs'!$B$31+'Inputs'!$B$32)/1000+'Inputs'!$B$21+'Inputs'!$B$9+'Inputs'!$B$10)+'Inputs'!$B$7)/SQRT((((622-43)*MAX('Inputs'!$B$33,'Inputs'!$B$29+'Inputs'!$B$31+'Inputs'!$B$32,'Inputs'!$B$30+'Inputs'!$B$31+'Inputs'!$B$32)/1000+'Inputs'!$B$21+'Inputs'!$B$9+'Inputs'!$B$10)+'Inputs'!$B$7)^2+('Inputs'!$B$6/2)^2)-(((622-43)*MAX('Inputs'!$B$33,'Inputs'!$B$29+'Inputs'!$B$31+'Inputs'!$B$32,'Inputs'!$B$30+'Inputs'!$B$31+'Inputs'!$B$32)/1000+'Inputs'!$B$21+'Inputs'!$B$9+'Inputs'!$B$10))/SQRT((((622-43)*MAX('Inputs'!$B$33,'Inputs'!$B$29+'Inputs'!$B$31+'Inputs'!$B$32,'Inputs'!$B$30+'Inputs'!$B$31+'Inputs'!$B$32)/1000+'Inputs'!$B$21+'Inputs'!$B$9+'Inputs'!$B$10))^2+('Inputs'!$B$6/2)^2))))*'Results'!$B$8),"")</x:f>
        <x:v>2.3269221253935517</x:v>
      </x:c>
      <x:c r="N622" t="n">
        <x:f>IF(AND(ISNUMBER('Results'!C7),ISNUMBER('Results'!B7),ISNUMBER('Results'!$B$8),ISNUMBER('Inputs'!$B$6),ISNUMBER('Inputs'!$B$7),ISNUMBER('Inputs'!$B$8),ISNUMBER('Inputs'!$B$9),ISNUMBER('Inputs'!$B$10),ISNUMBER('Inputs'!$B$21),ISNUMBER('Inputs'!$B$24),ISNUMBER('Inputs'!$B$28)),((('Results'!C7*(1-'Inputs'!$B$24)*(0.5*((((622-43)*MAX('Inputs'!$B$33,'Inputs'!$B$29+'Inputs'!$B$31+'Inputs'!$B$32,'Inputs'!$B$30+'Inputs'!$B$31+'Inputs'!$B$32)/1000+'Inputs'!$B$21)+'Inputs'!$B$9)/SQRT((((622-43)*MAX('Inputs'!$B$33,'Inputs'!$B$29+'Inputs'!$B$31+'Inputs'!$B$32,'Inputs'!$B$30+'Inputs'!$B$31+'Inputs'!$B$32)/1000+'Inputs'!$B$21)+'Inputs'!$B$9)^2+('Inputs'!$B$8/2)^2)-(((622-43)*MAX('Inputs'!$B$33,'Inputs'!$B$29+'Inputs'!$B$31+'Inputs'!$B$32,'Inputs'!$B$30+'Inputs'!$B$31+'Inputs'!$B$32)/1000+'Inputs'!$B$21))/SQRT((((622-43)*MAX('Inputs'!$B$33,'Inputs'!$B$29+'Inputs'!$B$31+'Inputs'!$B$32,'Inputs'!$B$30+'Inputs'!$B$31+'Inputs'!$B$32)/1000+'Inputs'!$B$21))^2+('Inputs'!$B$8/2)^2)))-'Results'!B7*(1+'Inputs'!$B$24)*(0.5*((((622-43)*MAX('Inputs'!$B$33,'Inputs'!$B$29+'Inputs'!$B$31+'Inputs'!$B$32,'Inputs'!$B$30+'Inputs'!$B$31+'Inputs'!$B$32)/1000+'Inputs'!$B$21+'Inputs'!$B$9+'Inputs'!$B$10)+'Inputs'!$B$7)/SQRT((((622-43)*MAX('Inputs'!$B$33,'Inputs'!$B$29+'Inputs'!$B$31+'Inputs'!$B$32,'Inputs'!$B$30+'Inputs'!$B$31+'Inputs'!$B$32)/1000+'Inputs'!$B$21+'Inputs'!$B$9+'Inputs'!$B$10)+'Inputs'!$B$7)^2+('Inputs'!$B$6/2)^2)-(((622-43)*MAX('Inputs'!$B$33,'Inputs'!$B$29+'Inputs'!$B$31+'Inputs'!$B$32,'Inputs'!$B$30+'Inputs'!$B$31+'Inputs'!$B$32)/1000+'Inputs'!$B$21+'Inputs'!$B$9+'Inputs'!$B$10))/SQRT((((622-43)*MAX('Inputs'!$B$33,'Inputs'!$B$29+'Inputs'!$B$31+'Inputs'!$B$32,'Inputs'!$B$30+'Inputs'!$B$31+'Inputs'!$B$32)/1000+'Inputs'!$B$21+'Inputs'!$B$9+'Inputs'!$B$10))^2+('Inputs'!$B$6/2)^2))))*'Results'!$B$8)-'Inputs'!$B$28*ABS((('Results'!C7*(1-'Inputs'!$B$24)*(0.5*((((622-43)*MAX('Inputs'!$B$33,'Inputs'!$B$29+'Inputs'!$B$31+'Inputs'!$B$32,'Inputs'!$B$30+'Inputs'!$B$31+'Inputs'!$B$32)/1000+'Inputs'!$B$21)+'Inputs'!$B$9)/SQRT((((622-43)*MAX('Inputs'!$B$33,'Inputs'!$B$29+'Inputs'!$B$31+'Inputs'!$B$32,'Inputs'!$B$30+'Inputs'!$B$31+'Inputs'!$B$32)/1000+'Inputs'!$B$21)+'Inputs'!$B$9)^2+('Inputs'!$B$8/2)^2)-(((622-43)*MAX('Inputs'!$B$33,'Inputs'!$B$29+'Inputs'!$B$31+'Inputs'!$B$32,'Inputs'!$B$30+'Inputs'!$B$31+'Inputs'!$B$32)/1000+'Inputs'!$B$21))/SQRT((((622-43)*MAX('Inputs'!$B$33,'Inputs'!$B$29+'Inputs'!$B$31+'Inputs'!$B$32,'Inputs'!$B$30+'Inputs'!$B$31+'Inputs'!$B$32)/1000+'Inputs'!$B$21))^2+('Inputs'!$B$8/2)^2)))-'Results'!B7*(1+'Inputs'!$B$24)*(0.5*((((622-43)*MAX('Inputs'!$B$33,'Inputs'!$B$29+'Inputs'!$B$31+'Inputs'!$B$32,'Inputs'!$B$30+'Inputs'!$B$31+'Inputs'!$B$32)/1000+'Inputs'!$B$21+'Inputs'!$B$9+'Inputs'!$B$10)+'Inputs'!$B$7)/SQRT((((622-43)*MAX('Inputs'!$B$33,'Inputs'!$B$29+'Inputs'!$B$31+'Inputs'!$B$32,'Inputs'!$B$30+'Inputs'!$B$31+'Inputs'!$B$32)/1000+'Inputs'!$B$21+'Inputs'!$B$9+'Inputs'!$B$10)+'Inputs'!$B$7)^2+('Inputs'!$B$6/2)^2)-(((622-43)*MAX('Inputs'!$B$33,'Inputs'!$B$29+'Inputs'!$B$31+'Inputs'!$B$32,'Inputs'!$B$30+'Inputs'!$B$31+'Inputs'!$B$32)/1000+'Inputs'!$B$21+'Inputs'!$B$9+'Inputs'!$B$10))/SQRT((((622-43)*MAX('Inputs'!$B$33,'Inputs'!$B$29+'Inputs'!$B$31+'Inputs'!$B$32,'Inputs'!$B$30+'Inputs'!$B$31+'Inputs'!$B$32)/1000+'Inputs'!$B$21+'Inputs'!$B$9+'Inputs'!$B$10))^2+('Inputs'!$B$6/2)^2))))*'Results'!$B$8))),"")</x:f>
        <x:v>2.029506744337518</x:v>
      </x:c>
      <x:c r="O622" t="n">
        <x:f>IF(AND(ISNUMBER('Results'!C7),ISNUMBER('Results'!B7),ISNUMBER('Results'!$B$8),ISNUMBER('Inputs'!$B$6),ISNUMBER('Inputs'!$B$7),ISNUMBER('Inputs'!$B$8),ISNUMBER('Inputs'!$B$9),ISNUMBER('Inputs'!$B$10),ISNUMBER('Inputs'!$B$21),ISNUMBER('Inputs'!$B$24),ISNUMBER('Inputs'!$B$28)),((('Results'!C7*(1+'Inputs'!$B$24)*(0.5*((((622-43)*MAX('Inputs'!$B$33,'Inputs'!$B$29+'Inputs'!$B$31+'Inputs'!$B$32,'Inputs'!$B$30+'Inputs'!$B$31+'Inputs'!$B$32)/1000+'Inputs'!$B$21)+'Inputs'!$B$9)/SQRT((((622-43)*MAX('Inputs'!$B$33,'Inputs'!$B$29+'Inputs'!$B$31+'Inputs'!$B$32,'Inputs'!$B$30+'Inputs'!$B$31+'Inputs'!$B$32)/1000+'Inputs'!$B$21)+'Inputs'!$B$9)^2+('Inputs'!$B$8/2)^2)-(((622-43)*MAX('Inputs'!$B$33,'Inputs'!$B$29+'Inputs'!$B$31+'Inputs'!$B$32,'Inputs'!$B$30+'Inputs'!$B$31+'Inputs'!$B$32)/1000+'Inputs'!$B$21))/SQRT((((622-43)*MAX('Inputs'!$B$33,'Inputs'!$B$29+'Inputs'!$B$31+'Inputs'!$B$32,'Inputs'!$B$30+'Inputs'!$B$31+'Inputs'!$B$32)/1000+'Inputs'!$B$21))^2+('Inputs'!$B$8/2)^2)))-'Results'!B7*(1-'Inputs'!$B$24)*(0.5*((((622-43)*MAX('Inputs'!$B$33,'Inputs'!$B$29+'Inputs'!$B$31+'Inputs'!$B$32,'Inputs'!$B$30+'Inputs'!$B$31+'Inputs'!$B$32)/1000+'Inputs'!$B$21+'Inputs'!$B$9+'Inputs'!$B$10)+'Inputs'!$B$7)/SQRT((((622-43)*MAX('Inputs'!$B$33,'Inputs'!$B$29+'Inputs'!$B$31+'Inputs'!$B$32,'Inputs'!$B$30+'Inputs'!$B$31+'Inputs'!$B$32)/1000+'Inputs'!$B$21+'Inputs'!$B$9+'Inputs'!$B$10)+'Inputs'!$B$7)^2+('Inputs'!$B$6/2)^2)-(((622-43)*MAX('Inputs'!$B$33,'Inputs'!$B$29+'Inputs'!$B$31+'Inputs'!$B$32,'Inputs'!$B$30+'Inputs'!$B$31+'Inputs'!$B$32)/1000+'Inputs'!$B$21+'Inputs'!$B$9+'Inputs'!$B$10))/SQRT((((622-43)*MAX('Inputs'!$B$33,'Inputs'!$B$29+'Inputs'!$B$31+'Inputs'!$B$32,'Inputs'!$B$30+'Inputs'!$B$31+'Inputs'!$B$32)/1000+'Inputs'!$B$21+'Inputs'!$B$9+'Inputs'!$B$10))^2+('Inputs'!$B$6/2)^2))))*'Results'!$B$8)+'Inputs'!$B$28*ABS((('Results'!C7*(1+'Inputs'!$B$24)*(0.5*((((622-43)*MAX('Inputs'!$B$33,'Inputs'!$B$29+'Inputs'!$B$31+'Inputs'!$B$32,'Inputs'!$B$30+'Inputs'!$B$31+'Inputs'!$B$32)/1000+'Inputs'!$B$21)+'Inputs'!$B$9)/SQRT((((622-43)*MAX('Inputs'!$B$33,'Inputs'!$B$29+'Inputs'!$B$31+'Inputs'!$B$32,'Inputs'!$B$30+'Inputs'!$B$31+'Inputs'!$B$32)/1000+'Inputs'!$B$21)+'Inputs'!$B$9)^2+('Inputs'!$B$8/2)^2)-(((622-43)*MAX('Inputs'!$B$33,'Inputs'!$B$29+'Inputs'!$B$31+'Inputs'!$B$32,'Inputs'!$B$30+'Inputs'!$B$31+'Inputs'!$B$32)/1000+'Inputs'!$B$21))/SQRT((((622-43)*MAX('Inputs'!$B$33,'Inputs'!$B$29+'Inputs'!$B$31+'Inputs'!$B$32,'Inputs'!$B$30+'Inputs'!$B$31+'Inputs'!$B$32)/1000+'Inputs'!$B$21))^2+('Inputs'!$B$8/2)^2)))-'Results'!B7*(1-'Inputs'!$B$24)*(0.5*((((622-43)*MAX('Inputs'!$B$33,'Inputs'!$B$29+'Inputs'!$B$31+'Inputs'!$B$32,'Inputs'!$B$30+'Inputs'!$B$31+'Inputs'!$B$32)/1000+'Inputs'!$B$21+'Inputs'!$B$9+'Inputs'!$B$10)+'Inputs'!$B$7)/SQRT((((622-43)*MAX('Inputs'!$B$33,'Inputs'!$B$29+'Inputs'!$B$31+'Inputs'!$B$32,'Inputs'!$B$30+'Inputs'!$B$31+'Inputs'!$B$32)/1000+'Inputs'!$B$21+'Inputs'!$B$9+'Inputs'!$B$10)+'Inputs'!$B$7)^2+('Inputs'!$B$6/2)^2)-(((622-43)*MAX('Inputs'!$B$33,'Inputs'!$B$29+'Inputs'!$B$31+'Inputs'!$B$32,'Inputs'!$B$30+'Inputs'!$B$31+'Inputs'!$B$32)/1000+'Inputs'!$B$21+'Inputs'!$B$9+'Inputs'!$B$10))/SQRT((((622-43)*MAX('Inputs'!$B$33,'Inputs'!$B$29+'Inputs'!$B$31+'Inputs'!$B$32,'Inputs'!$B$30+'Inputs'!$B$31+'Inputs'!$B$32)/1000+'Inputs'!$B$21+'Inputs'!$B$9+'Inputs'!$B$10))^2+('Inputs'!$B$6/2)^2))))*'Results'!$B$8))),"")</x:f>
        <x:v>2.643397430111307</x:v>
      </x:c>
      <x:c r="P622" t="n">
        <x:f>IF(AND(MAX(J622,J621)&gt;0,J622&gt;J621+0.00000001),1,0)</x:f>
        <x:v>0</x:v>
      </x:c>
      <x:c r="Q622" t="n">
        <x:f>IF(AND(MAX(K622,K621)&gt;0,K622&gt;K621+0.00000001),1,0)</x:f>
        <x:v>0</x:v>
      </x:c>
      <x:c r="R622" t="n">
        <x:f>IF(AND(MAX(L622,L621)&gt;0,L622&gt;L621+0.00000001),1,0)</x:f>
        <x:v>0</x:v>
      </x:c>
      <x:c r="S622" t="n">
        <x:f>IF(AND(MAX(M622,M621)&gt;0,M622&gt;M621+0.00000001),1,0)</x:f>
        <x:v>0</x:v>
      </x:c>
      <x:c r="T622" t="n">
        <x:f>IF(AND(MAX(N622,N621)&gt;0,N622&gt;N621+0.00000001),1,0)</x:f>
        <x:v>0</x:v>
      </x:c>
      <x:c r="U622" t="n">
        <x:f>IF(AND(MAX(O622,O621)&gt;0,O622&gt;O621+0.00000001),1,0)</x:f>
        <x:v>0</x:v>
      </x:c>
    </x:row>
    <x:row r="623">
      <x:c r="J623" t="n">
        <x:f>IF(AND(ISNUMBER('Results'!B7),ISNUMBER('Results'!C7),ISNUMBER('Results'!$B$8),ISNUMBER('Inputs'!$B$6),ISNUMBER('Inputs'!$B$7),ISNUMBER('Inputs'!$B$8),ISNUMBER('Inputs'!$B$9),ISNUMBER('Inputs'!$B$10),ISNUMBER('Inputs'!$B$21),ISNUMBER('Inputs'!$B$24),ISNUMBER('Inputs'!$B$28)),(('Results'!B7*(0.5*((((623-43)*MAX('Inputs'!$B$33,'Inputs'!$B$29+'Inputs'!$B$31+'Inputs'!$B$32,'Inputs'!$B$30+'Inputs'!$B$31+'Inputs'!$B$32)/1000+'Inputs'!$B$21)+'Inputs'!$B$7)/SQRT((((623-43)*MAX('Inputs'!$B$33,'Inputs'!$B$29+'Inputs'!$B$31+'Inputs'!$B$32,'Inputs'!$B$30+'Inputs'!$B$31+'Inputs'!$B$32)/1000+'Inputs'!$B$21)+'Inputs'!$B$7)^2+('Inputs'!$B$6/2)^2)-(((623-43)*MAX('Inputs'!$B$33,'Inputs'!$B$29+'Inputs'!$B$31+'Inputs'!$B$32,'Inputs'!$B$30+'Inputs'!$B$31+'Inputs'!$B$32)/1000+'Inputs'!$B$21))/SQRT((((623-43)*MAX('Inputs'!$B$33,'Inputs'!$B$29+'Inputs'!$B$31+'Inputs'!$B$32,'Inputs'!$B$30+'Inputs'!$B$31+'Inputs'!$B$32)/1000+'Inputs'!$B$21))^2+('Inputs'!$B$6/2)^2)))-'Results'!C7*(0.5*((((623-43)*MAX('Inputs'!$B$33,'Inputs'!$B$29+'Inputs'!$B$31+'Inputs'!$B$32,'Inputs'!$B$30+'Inputs'!$B$31+'Inputs'!$B$32)/1000+'Inputs'!$B$21+'Inputs'!$B$7+'Inputs'!$B$10)+'Inputs'!$B$9)/SQRT((((623-43)*MAX('Inputs'!$B$33,'Inputs'!$B$29+'Inputs'!$B$31+'Inputs'!$B$32,'Inputs'!$B$30+'Inputs'!$B$31+'Inputs'!$B$32)/1000+'Inputs'!$B$21+'Inputs'!$B$7+'Inputs'!$B$10)+'Inputs'!$B$9)^2+('Inputs'!$B$8/2)^2)-(((623-43)*MAX('Inputs'!$B$33,'Inputs'!$B$29+'Inputs'!$B$31+'Inputs'!$B$32,'Inputs'!$B$30+'Inputs'!$B$31+'Inputs'!$B$32)/1000+'Inputs'!$B$21+'Inputs'!$B$7+'Inputs'!$B$10))/SQRT((((623-43)*MAX('Inputs'!$B$33,'Inputs'!$B$29+'Inputs'!$B$31+'Inputs'!$B$32,'Inputs'!$B$30+'Inputs'!$B$31+'Inputs'!$B$32)/1000+'Inputs'!$B$21+'Inputs'!$B$7+'Inputs'!$B$10))^2+('Inputs'!$B$8/2)^2))))*'Results'!$B$8),"")</x:f>
        <x:v>2.504847298864585</x:v>
      </x:c>
      <x:c r="K623" t="n">
        <x:f>IF(AND(ISNUMBER('Results'!B7),ISNUMBER('Results'!C7),ISNUMBER('Results'!$B$8),ISNUMBER('Inputs'!$B$6),ISNUMBER('Inputs'!$B$7),ISNUMBER('Inputs'!$B$8),ISNUMBER('Inputs'!$B$9),ISNUMBER('Inputs'!$B$10),ISNUMBER('Inputs'!$B$21),ISNUMBER('Inputs'!$B$24),ISNUMBER('Inputs'!$B$28)),((('Results'!B7*(1-'Inputs'!$B$24)*(0.5*((((623-43)*MAX('Inputs'!$B$33,'Inputs'!$B$29+'Inputs'!$B$31+'Inputs'!$B$32,'Inputs'!$B$30+'Inputs'!$B$31+'Inputs'!$B$32)/1000+'Inputs'!$B$21)+'Inputs'!$B$7)/SQRT((((623-43)*MAX('Inputs'!$B$33,'Inputs'!$B$29+'Inputs'!$B$31+'Inputs'!$B$32,'Inputs'!$B$30+'Inputs'!$B$31+'Inputs'!$B$32)/1000+'Inputs'!$B$21)+'Inputs'!$B$7)^2+('Inputs'!$B$6/2)^2)-(((623-43)*MAX('Inputs'!$B$33,'Inputs'!$B$29+'Inputs'!$B$31+'Inputs'!$B$32,'Inputs'!$B$30+'Inputs'!$B$31+'Inputs'!$B$32)/1000+'Inputs'!$B$21))/SQRT((((623-43)*MAX('Inputs'!$B$33,'Inputs'!$B$29+'Inputs'!$B$31+'Inputs'!$B$32,'Inputs'!$B$30+'Inputs'!$B$31+'Inputs'!$B$32)/1000+'Inputs'!$B$21))^2+('Inputs'!$B$6/2)^2)))-'Results'!C7*(1+'Inputs'!$B$24)*(0.5*((((623-43)*MAX('Inputs'!$B$33,'Inputs'!$B$29+'Inputs'!$B$31+'Inputs'!$B$32,'Inputs'!$B$30+'Inputs'!$B$31+'Inputs'!$B$32)/1000+'Inputs'!$B$21+'Inputs'!$B$7+'Inputs'!$B$10)+'Inputs'!$B$9)/SQRT((((623-43)*MAX('Inputs'!$B$33,'Inputs'!$B$29+'Inputs'!$B$31+'Inputs'!$B$32,'Inputs'!$B$30+'Inputs'!$B$31+'Inputs'!$B$32)/1000+'Inputs'!$B$21+'Inputs'!$B$7+'Inputs'!$B$10)+'Inputs'!$B$9)^2+('Inputs'!$B$8/2)^2)-(((623-43)*MAX('Inputs'!$B$33,'Inputs'!$B$29+'Inputs'!$B$31+'Inputs'!$B$32,'Inputs'!$B$30+'Inputs'!$B$31+'Inputs'!$B$32)/1000+'Inputs'!$B$21+'Inputs'!$B$7+'Inputs'!$B$10))/SQRT((((623-43)*MAX('Inputs'!$B$33,'Inputs'!$B$29+'Inputs'!$B$31+'Inputs'!$B$32,'Inputs'!$B$30+'Inputs'!$B$31+'Inputs'!$B$32)/1000+'Inputs'!$B$21+'Inputs'!$B$7+'Inputs'!$B$10))^2+('Inputs'!$B$8/2)^2))))*'Results'!$B$8)-'Inputs'!$B$28*ABS((('Results'!B7*(1-'Inputs'!$B$24)*(0.5*((((623-43)*MAX('Inputs'!$B$33,'Inputs'!$B$29+'Inputs'!$B$31+'Inputs'!$B$32,'Inputs'!$B$30+'Inputs'!$B$31+'Inputs'!$B$32)/1000+'Inputs'!$B$21)+'Inputs'!$B$7)/SQRT((((623-43)*MAX('Inputs'!$B$33,'Inputs'!$B$29+'Inputs'!$B$31+'Inputs'!$B$32,'Inputs'!$B$30+'Inputs'!$B$31+'Inputs'!$B$32)/1000+'Inputs'!$B$21)+'Inputs'!$B$7)^2+('Inputs'!$B$6/2)^2)-(((623-43)*MAX('Inputs'!$B$33,'Inputs'!$B$29+'Inputs'!$B$31+'Inputs'!$B$32,'Inputs'!$B$30+'Inputs'!$B$31+'Inputs'!$B$32)/1000+'Inputs'!$B$21))/SQRT((((623-43)*MAX('Inputs'!$B$33,'Inputs'!$B$29+'Inputs'!$B$31+'Inputs'!$B$32,'Inputs'!$B$30+'Inputs'!$B$31+'Inputs'!$B$32)/1000+'Inputs'!$B$21))^2+('Inputs'!$B$6/2)^2)))-'Results'!C7*(1+'Inputs'!$B$24)*(0.5*((((623-43)*MAX('Inputs'!$B$33,'Inputs'!$B$29+'Inputs'!$B$31+'Inputs'!$B$32,'Inputs'!$B$30+'Inputs'!$B$31+'Inputs'!$B$32)/1000+'Inputs'!$B$21+'Inputs'!$B$7+'Inputs'!$B$10)+'Inputs'!$B$9)/SQRT((((623-43)*MAX('Inputs'!$B$33,'Inputs'!$B$29+'Inputs'!$B$31+'Inputs'!$B$32,'Inputs'!$B$30+'Inputs'!$B$31+'Inputs'!$B$32)/1000+'Inputs'!$B$21+'Inputs'!$B$7+'Inputs'!$B$10)+'Inputs'!$B$9)^2+('Inputs'!$B$8/2)^2)-(((623-43)*MAX('Inputs'!$B$33,'Inputs'!$B$29+'Inputs'!$B$31+'Inputs'!$B$32,'Inputs'!$B$30+'Inputs'!$B$31+'Inputs'!$B$32)/1000+'Inputs'!$B$21+'Inputs'!$B$7+'Inputs'!$B$10))/SQRT((((623-43)*MAX('Inputs'!$B$33,'Inputs'!$B$29+'Inputs'!$B$31+'Inputs'!$B$32,'Inputs'!$B$30+'Inputs'!$B$31+'Inputs'!$B$32)/1000+'Inputs'!$B$21+'Inputs'!$B$7+'Inputs'!$B$10))^2+('Inputs'!$B$8/2)^2))))*'Results'!$B$8))),"")</x:f>
        <x:v>2.1984482582868448</x:v>
      </x:c>
      <x:c r="L623" t="n">
        <x:f>IF(AND(ISNUMBER('Results'!B7),ISNUMBER('Results'!C7),ISNUMBER('Results'!$B$8),ISNUMBER('Inputs'!$B$6),ISNUMBER('Inputs'!$B$7),ISNUMBER('Inputs'!$B$8),ISNUMBER('Inputs'!$B$9),ISNUMBER('Inputs'!$B$10),ISNUMBER('Inputs'!$B$21),ISNUMBER('Inputs'!$B$24),ISNUMBER('Inputs'!$B$28)),((('Results'!B7*(1+'Inputs'!$B$24)*(0.5*((((623-43)*MAX('Inputs'!$B$33,'Inputs'!$B$29+'Inputs'!$B$31+'Inputs'!$B$32,'Inputs'!$B$30+'Inputs'!$B$31+'Inputs'!$B$32)/1000+'Inputs'!$B$21)+'Inputs'!$B$7)/SQRT((((623-43)*MAX('Inputs'!$B$33,'Inputs'!$B$29+'Inputs'!$B$31+'Inputs'!$B$32,'Inputs'!$B$30+'Inputs'!$B$31+'Inputs'!$B$32)/1000+'Inputs'!$B$21)+'Inputs'!$B$7)^2+('Inputs'!$B$6/2)^2)-(((623-43)*MAX('Inputs'!$B$33,'Inputs'!$B$29+'Inputs'!$B$31+'Inputs'!$B$32,'Inputs'!$B$30+'Inputs'!$B$31+'Inputs'!$B$32)/1000+'Inputs'!$B$21))/SQRT((((623-43)*MAX('Inputs'!$B$33,'Inputs'!$B$29+'Inputs'!$B$31+'Inputs'!$B$32,'Inputs'!$B$30+'Inputs'!$B$31+'Inputs'!$B$32)/1000+'Inputs'!$B$21))^2+('Inputs'!$B$6/2)^2)))-'Results'!C7*(1-'Inputs'!$B$24)*(0.5*((((623-43)*MAX('Inputs'!$B$33,'Inputs'!$B$29+'Inputs'!$B$31+'Inputs'!$B$32,'Inputs'!$B$30+'Inputs'!$B$31+'Inputs'!$B$32)/1000+'Inputs'!$B$21+'Inputs'!$B$7+'Inputs'!$B$10)+'Inputs'!$B$9)/SQRT((((623-43)*MAX('Inputs'!$B$33,'Inputs'!$B$29+'Inputs'!$B$31+'Inputs'!$B$32,'Inputs'!$B$30+'Inputs'!$B$31+'Inputs'!$B$32)/1000+'Inputs'!$B$21+'Inputs'!$B$7+'Inputs'!$B$10)+'Inputs'!$B$9)^2+('Inputs'!$B$8/2)^2)-(((623-43)*MAX('Inputs'!$B$33,'Inputs'!$B$29+'Inputs'!$B$31+'Inputs'!$B$32,'Inputs'!$B$30+'Inputs'!$B$31+'Inputs'!$B$32)/1000+'Inputs'!$B$21+'Inputs'!$B$7+'Inputs'!$B$10))/SQRT((((623-43)*MAX('Inputs'!$B$33,'Inputs'!$B$29+'Inputs'!$B$31+'Inputs'!$B$32,'Inputs'!$B$30+'Inputs'!$B$31+'Inputs'!$B$32)/1000+'Inputs'!$B$21+'Inputs'!$B$7+'Inputs'!$B$10))^2+('Inputs'!$B$8/2)^2))))*'Results'!$B$8)+'Inputs'!$B$28*ABS((('Results'!B7*(1+'Inputs'!$B$24)*(0.5*((((623-43)*MAX('Inputs'!$B$33,'Inputs'!$B$29+'Inputs'!$B$31+'Inputs'!$B$32,'Inputs'!$B$30+'Inputs'!$B$31+'Inputs'!$B$32)/1000+'Inputs'!$B$21)+'Inputs'!$B$7)/SQRT((((623-43)*MAX('Inputs'!$B$33,'Inputs'!$B$29+'Inputs'!$B$31+'Inputs'!$B$32,'Inputs'!$B$30+'Inputs'!$B$31+'Inputs'!$B$32)/1000+'Inputs'!$B$21)+'Inputs'!$B$7)^2+('Inputs'!$B$6/2)^2)-(((623-43)*MAX('Inputs'!$B$33,'Inputs'!$B$29+'Inputs'!$B$31+'Inputs'!$B$32,'Inputs'!$B$30+'Inputs'!$B$31+'Inputs'!$B$32)/1000+'Inputs'!$B$21))/SQRT((((623-43)*MAX('Inputs'!$B$33,'Inputs'!$B$29+'Inputs'!$B$31+'Inputs'!$B$32,'Inputs'!$B$30+'Inputs'!$B$31+'Inputs'!$B$32)/1000+'Inputs'!$B$21))^2+('Inputs'!$B$6/2)^2)))-'Results'!C7*(1-'Inputs'!$B$24)*(0.5*((((623-43)*MAX('Inputs'!$B$33,'Inputs'!$B$29+'Inputs'!$B$31+'Inputs'!$B$32,'Inputs'!$B$30+'Inputs'!$B$31+'Inputs'!$B$32)/1000+'Inputs'!$B$21+'Inputs'!$B$7+'Inputs'!$B$10)+'Inputs'!$B$9)/SQRT((((623-43)*MAX('Inputs'!$B$33,'Inputs'!$B$29+'Inputs'!$B$31+'Inputs'!$B$32,'Inputs'!$B$30+'Inputs'!$B$31+'Inputs'!$B$32)/1000+'Inputs'!$B$21+'Inputs'!$B$7+'Inputs'!$B$10)+'Inputs'!$B$9)^2+('Inputs'!$B$8/2)^2)-(((623-43)*MAX('Inputs'!$B$33,'Inputs'!$B$29+'Inputs'!$B$31+'Inputs'!$B$32,'Inputs'!$B$30+'Inputs'!$B$31+'Inputs'!$B$32)/1000+'Inputs'!$B$21+'Inputs'!$B$7+'Inputs'!$B$10))/SQRT((((623-43)*MAX('Inputs'!$B$33,'Inputs'!$B$29+'Inputs'!$B$31+'Inputs'!$B$32,'Inputs'!$B$30+'Inputs'!$B$31+'Inputs'!$B$32)/1000+'Inputs'!$B$21+'Inputs'!$B$7+'Inputs'!$B$10))^2+('Inputs'!$B$8/2)^2))))*'Results'!$B$8))),"")</x:f>
        <x:v>2.8303154631933256</x:v>
      </x:c>
      <x:c r="M623" t="n">
        <x:f>IF(AND(ISNUMBER('Results'!C7),ISNUMBER('Results'!B7),ISNUMBER('Results'!$B$8),ISNUMBER('Inputs'!$B$6),ISNUMBER('Inputs'!$B$7),ISNUMBER('Inputs'!$B$8),ISNUMBER('Inputs'!$B$9),ISNUMBER('Inputs'!$B$10),ISNUMBER('Inputs'!$B$21),ISNUMBER('Inputs'!$B$24),ISNUMBER('Inputs'!$B$28)),(('Results'!C7*(0.5*((((623-43)*MAX('Inputs'!$B$33,'Inputs'!$B$29+'Inputs'!$B$31+'Inputs'!$B$32,'Inputs'!$B$30+'Inputs'!$B$31+'Inputs'!$B$32)/1000+'Inputs'!$B$21)+'Inputs'!$B$9)/SQRT((((623-43)*MAX('Inputs'!$B$33,'Inputs'!$B$29+'Inputs'!$B$31+'Inputs'!$B$32,'Inputs'!$B$30+'Inputs'!$B$31+'Inputs'!$B$32)/1000+'Inputs'!$B$21)+'Inputs'!$B$9)^2+('Inputs'!$B$8/2)^2)-(((623-43)*MAX('Inputs'!$B$33,'Inputs'!$B$29+'Inputs'!$B$31+'Inputs'!$B$32,'Inputs'!$B$30+'Inputs'!$B$31+'Inputs'!$B$32)/1000+'Inputs'!$B$21))/SQRT((((623-43)*MAX('Inputs'!$B$33,'Inputs'!$B$29+'Inputs'!$B$31+'Inputs'!$B$32,'Inputs'!$B$30+'Inputs'!$B$31+'Inputs'!$B$32)/1000+'Inputs'!$B$21))^2+('Inputs'!$B$8/2)^2)))-'Results'!B7*(0.5*((((623-43)*MAX('Inputs'!$B$33,'Inputs'!$B$29+'Inputs'!$B$31+'Inputs'!$B$32,'Inputs'!$B$30+'Inputs'!$B$31+'Inputs'!$B$32)/1000+'Inputs'!$B$21+'Inputs'!$B$9+'Inputs'!$B$10)+'Inputs'!$B$7)/SQRT((((623-43)*MAX('Inputs'!$B$33,'Inputs'!$B$29+'Inputs'!$B$31+'Inputs'!$B$32,'Inputs'!$B$30+'Inputs'!$B$31+'Inputs'!$B$32)/1000+'Inputs'!$B$21+'Inputs'!$B$9+'Inputs'!$B$10)+'Inputs'!$B$7)^2+('Inputs'!$B$6/2)^2)-(((623-43)*MAX('Inputs'!$B$33,'Inputs'!$B$29+'Inputs'!$B$31+'Inputs'!$B$32,'Inputs'!$B$30+'Inputs'!$B$31+'Inputs'!$B$32)/1000+'Inputs'!$B$21+'Inputs'!$B$9+'Inputs'!$B$10))/SQRT((((623-43)*MAX('Inputs'!$B$33,'Inputs'!$B$29+'Inputs'!$B$31+'Inputs'!$B$32,'Inputs'!$B$30+'Inputs'!$B$31+'Inputs'!$B$32)/1000+'Inputs'!$B$21+'Inputs'!$B$9+'Inputs'!$B$10))^2+('Inputs'!$B$6/2)^2))))*'Results'!$B$8),"")</x:f>
        <x:v>2.3127214257266893</x:v>
      </x:c>
      <x:c r="N623" t="n">
        <x:f>IF(AND(ISNUMBER('Results'!C7),ISNUMBER('Results'!B7),ISNUMBER('Results'!$B$8),ISNUMBER('Inputs'!$B$6),ISNUMBER('Inputs'!$B$7),ISNUMBER('Inputs'!$B$8),ISNUMBER('Inputs'!$B$9),ISNUMBER('Inputs'!$B$10),ISNUMBER('Inputs'!$B$21),ISNUMBER('Inputs'!$B$24),ISNUMBER('Inputs'!$B$28)),((('Results'!C7*(1-'Inputs'!$B$24)*(0.5*((((623-43)*MAX('Inputs'!$B$33,'Inputs'!$B$29+'Inputs'!$B$31+'Inputs'!$B$32,'Inputs'!$B$30+'Inputs'!$B$31+'Inputs'!$B$32)/1000+'Inputs'!$B$21)+'Inputs'!$B$9)/SQRT((((623-43)*MAX('Inputs'!$B$33,'Inputs'!$B$29+'Inputs'!$B$31+'Inputs'!$B$32,'Inputs'!$B$30+'Inputs'!$B$31+'Inputs'!$B$32)/1000+'Inputs'!$B$21)+'Inputs'!$B$9)^2+('Inputs'!$B$8/2)^2)-(((623-43)*MAX('Inputs'!$B$33,'Inputs'!$B$29+'Inputs'!$B$31+'Inputs'!$B$32,'Inputs'!$B$30+'Inputs'!$B$31+'Inputs'!$B$32)/1000+'Inputs'!$B$21))/SQRT((((623-43)*MAX('Inputs'!$B$33,'Inputs'!$B$29+'Inputs'!$B$31+'Inputs'!$B$32,'Inputs'!$B$30+'Inputs'!$B$31+'Inputs'!$B$32)/1000+'Inputs'!$B$21))^2+('Inputs'!$B$8/2)^2)))-'Results'!B7*(1+'Inputs'!$B$24)*(0.5*((((623-43)*MAX('Inputs'!$B$33,'Inputs'!$B$29+'Inputs'!$B$31+'Inputs'!$B$32,'Inputs'!$B$30+'Inputs'!$B$31+'Inputs'!$B$32)/1000+'Inputs'!$B$21+'Inputs'!$B$9+'Inputs'!$B$10)+'Inputs'!$B$7)/SQRT((((623-43)*MAX('Inputs'!$B$33,'Inputs'!$B$29+'Inputs'!$B$31+'Inputs'!$B$32,'Inputs'!$B$30+'Inputs'!$B$31+'Inputs'!$B$32)/1000+'Inputs'!$B$21+'Inputs'!$B$9+'Inputs'!$B$10)+'Inputs'!$B$7)^2+('Inputs'!$B$6/2)^2)-(((623-43)*MAX('Inputs'!$B$33,'Inputs'!$B$29+'Inputs'!$B$31+'Inputs'!$B$32,'Inputs'!$B$30+'Inputs'!$B$31+'Inputs'!$B$32)/1000+'Inputs'!$B$21+'Inputs'!$B$9+'Inputs'!$B$10))/SQRT((((623-43)*MAX('Inputs'!$B$33,'Inputs'!$B$29+'Inputs'!$B$31+'Inputs'!$B$32,'Inputs'!$B$30+'Inputs'!$B$31+'Inputs'!$B$32)/1000+'Inputs'!$B$21+'Inputs'!$B$9+'Inputs'!$B$10))^2+('Inputs'!$B$6/2)^2))))*'Results'!$B$8)-'Inputs'!$B$28*ABS((('Results'!C7*(1-'Inputs'!$B$24)*(0.5*((((623-43)*MAX('Inputs'!$B$33,'Inputs'!$B$29+'Inputs'!$B$31+'Inputs'!$B$32,'Inputs'!$B$30+'Inputs'!$B$31+'Inputs'!$B$32)/1000+'Inputs'!$B$21)+'Inputs'!$B$9)/SQRT((((623-43)*MAX('Inputs'!$B$33,'Inputs'!$B$29+'Inputs'!$B$31+'Inputs'!$B$32,'Inputs'!$B$30+'Inputs'!$B$31+'Inputs'!$B$32)/1000+'Inputs'!$B$21)+'Inputs'!$B$9)^2+('Inputs'!$B$8/2)^2)-(((623-43)*MAX('Inputs'!$B$33,'Inputs'!$B$29+'Inputs'!$B$31+'Inputs'!$B$32,'Inputs'!$B$30+'Inputs'!$B$31+'Inputs'!$B$32)/1000+'Inputs'!$B$21))/SQRT((((623-43)*MAX('Inputs'!$B$33,'Inputs'!$B$29+'Inputs'!$B$31+'Inputs'!$B$32,'Inputs'!$B$30+'Inputs'!$B$31+'Inputs'!$B$32)/1000+'Inputs'!$B$21))^2+('Inputs'!$B$8/2)^2)))-'Results'!B7*(1+'Inputs'!$B$24)*(0.5*((((623-43)*MAX('Inputs'!$B$33,'Inputs'!$B$29+'Inputs'!$B$31+'Inputs'!$B$32,'Inputs'!$B$30+'Inputs'!$B$31+'Inputs'!$B$32)/1000+'Inputs'!$B$21+'Inputs'!$B$9+'Inputs'!$B$10)+'Inputs'!$B$7)/SQRT((((623-43)*MAX('Inputs'!$B$33,'Inputs'!$B$29+'Inputs'!$B$31+'Inputs'!$B$32,'Inputs'!$B$30+'Inputs'!$B$31+'Inputs'!$B$32)/1000+'Inputs'!$B$21+'Inputs'!$B$9+'Inputs'!$B$10)+'Inputs'!$B$7)^2+('Inputs'!$B$6/2)^2)-(((623-43)*MAX('Inputs'!$B$33,'Inputs'!$B$29+'Inputs'!$B$31+'Inputs'!$B$32,'Inputs'!$B$30+'Inputs'!$B$31+'Inputs'!$B$32)/1000+'Inputs'!$B$21+'Inputs'!$B$9+'Inputs'!$B$10))/SQRT((((623-43)*MAX('Inputs'!$B$33,'Inputs'!$B$29+'Inputs'!$B$31+'Inputs'!$B$32,'Inputs'!$B$30+'Inputs'!$B$31+'Inputs'!$B$32)/1000+'Inputs'!$B$21+'Inputs'!$B$9+'Inputs'!$B$10))^2+('Inputs'!$B$6/2)^2))))*'Results'!$B$8))),"")</x:f>
        <x:v>2.016853262702483</x:v>
      </x:c>
      <x:c r="O623" t="n">
        <x:f>IF(AND(ISNUMBER('Results'!C7),ISNUMBER('Results'!B7),ISNUMBER('Results'!$B$8),ISNUMBER('Inputs'!$B$6),ISNUMBER('Inputs'!$B$7),ISNUMBER('Inputs'!$B$8),ISNUMBER('Inputs'!$B$9),ISNUMBER('Inputs'!$B$10),ISNUMBER('Inputs'!$B$21),ISNUMBER('Inputs'!$B$24),ISNUMBER('Inputs'!$B$28)),((('Results'!C7*(1+'Inputs'!$B$24)*(0.5*((((623-43)*MAX('Inputs'!$B$33,'Inputs'!$B$29+'Inputs'!$B$31+'Inputs'!$B$32,'Inputs'!$B$30+'Inputs'!$B$31+'Inputs'!$B$32)/1000+'Inputs'!$B$21)+'Inputs'!$B$9)/SQRT((((623-43)*MAX('Inputs'!$B$33,'Inputs'!$B$29+'Inputs'!$B$31+'Inputs'!$B$32,'Inputs'!$B$30+'Inputs'!$B$31+'Inputs'!$B$32)/1000+'Inputs'!$B$21)+'Inputs'!$B$9)^2+('Inputs'!$B$8/2)^2)-(((623-43)*MAX('Inputs'!$B$33,'Inputs'!$B$29+'Inputs'!$B$31+'Inputs'!$B$32,'Inputs'!$B$30+'Inputs'!$B$31+'Inputs'!$B$32)/1000+'Inputs'!$B$21))/SQRT((((623-43)*MAX('Inputs'!$B$33,'Inputs'!$B$29+'Inputs'!$B$31+'Inputs'!$B$32,'Inputs'!$B$30+'Inputs'!$B$31+'Inputs'!$B$32)/1000+'Inputs'!$B$21))^2+('Inputs'!$B$8/2)^2)))-'Results'!B7*(1-'Inputs'!$B$24)*(0.5*((((623-43)*MAX('Inputs'!$B$33,'Inputs'!$B$29+'Inputs'!$B$31+'Inputs'!$B$32,'Inputs'!$B$30+'Inputs'!$B$31+'Inputs'!$B$32)/1000+'Inputs'!$B$21+'Inputs'!$B$9+'Inputs'!$B$10)+'Inputs'!$B$7)/SQRT((((623-43)*MAX('Inputs'!$B$33,'Inputs'!$B$29+'Inputs'!$B$31+'Inputs'!$B$32,'Inputs'!$B$30+'Inputs'!$B$31+'Inputs'!$B$32)/1000+'Inputs'!$B$21+'Inputs'!$B$9+'Inputs'!$B$10)+'Inputs'!$B$7)^2+('Inputs'!$B$6/2)^2)-(((623-43)*MAX('Inputs'!$B$33,'Inputs'!$B$29+'Inputs'!$B$31+'Inputs'!$B$32,'Inputs'!$B$30+'Inputs'!$B$31+'Inputs'!$B$32)/1000+'Inputs'!$B$21+'Inputs'!$B$9+'Inputs'!$B$10))/SQRT((((623-43)*MAX('Inputs'!$B$33,'Inputs'!$B$29+'Inputs'!$B$31+'Inputs'!$B$32,'Inputs'!$B$30+'Inputs'!$B$31+'Inputs'!$B$32)/1000+'Inputs'!$B$21+'Inputs'!$B$9+'Inputs'!$B$10))^2+('Inputs'!$B$6/2)^2))))*'Results'!$B$8)+'Inputs'!$B$28*ABS((('Results'!C7*(1+'Inputs'!$B$24)*(0.5*((((623-43)*MAX('Inputs'!$B$33,'Inputs'!$B$29+'Inputs'!$B$31+'Inputs'!$B$32,'Inputs'!$B$30+'Inputs'!$B$31+'Inputs'!$B$32)/1000+'Inputs'!$B$21)+'Inputs'!$B$9)/SQRT((((623-43)*MAX('Inputs'!$B$33,'Inputs'!$B$29+'Inputs'!$B$31+'Inputs'!$B$32,'Inputs'!$B$30+'Inputs'!$B$31+'Inputs'!$B$32)/1000+'Inputs'!$B$21)+'Inputs'!$B$9)^2+('Inputs'!$B$8/2)^2)-(((623-43)*MAX('Inputs'!$B$33,'Inputs'!$B$29+'Inputs'!$B$31+'Inputs'!$B$32,'Inputs'!$B$30+'Inputs'!$B$31+'Inputs'!$B$32)/1000+'Inputs'!$B$21))/SQRT((((623-43)*MAX('Inputs'!$B$33,'Inputs'!$B$29+'Inputs'!$B$31+'Inputs'!$B$32,'Inputs'!$B$30+'Inputs'!$B$31+'Inputs'!$B$32)/1000+'Inputs'!$B$21))^2+('Inputs'!$B$8/2)^2)))-'Results'!B7*(1-'Inputs'!$B$24)*(0.5*((((623-43)*MAX('Inputs'!$B$33,'Inputs'!$B$29+'Inputs'!$B$31+'Inputs'!$B$32,'Inputs'!$B$30+'Inputs'!$B$31+'Inputs'!$B$32)/1000+'Inputs'!$B$21+'Inputs'!$B$9+'Inputs'!$B$10)+'Inputs'!$B$7)/SQRT((((623-43)*MAX('Inputs'!$B$33,'Inputs'!$B$29+'Inputs'!$B$31+'Inputs'!$B$32,'Inputs'!$B$30+'Inputs'!$B$31+'Inputs'!$B$32)/1000+'Inputs'!$B$21+'Inputs'!$B$9+'Inputs'!$B$10)+'Inputs'!$B$7)^2+('Inputs'!$B$6/2)^2)-(((623-43)*MAX('Inputs'!$B$33,'Inputs'!$B$29+'Inputs'!$B$31+'Inputs'!$B$32,'Inputs'!$B$30+'Inputs'!$B$31+'Inputs'!$B$32)/1000+'Inputs'!$B$21+'Inputs'!$B$9+'Inputs'!$B$10))/SQRT((((623-43)*MAX('Inputs'!$B$33,'Inputs'!$B$29+'Inputs'!$B$31+'Inputs'!$B$32,'Inputs'!$B$30+'Inputs'!$B$31+'Inputs'!$B$32)/1000+'Inputs'!$B$21+'Inputs'!$B$9+'Inputs'!$B$10))^2+('Inputs'!$B$6/2)^2))))*'Results'!$B$8))),"")</x:f>
        <x:v>2.6275613878811983</x:v>
      </x:c>
      <x:c r="P623" t="n">
        <x:f>IF(AND(MAX(J623,J622)&gt;0,J623&gt;J622+0.00000001),1,0)</x:f>
        <x:v>0</x:v>
      </x:c>
      <x:c r="Q623" t="n">
        <x:f>IF(AND(MAX(K623,K622)&gt;0,K623&gt;K622+0.00000001),1,0)</x:f>
        <x:v>0</x:v>
      </x:c>
      <x:c r="R623" t="n">
        <x:f>IF(AND(MAX(L623,L622)&gt;0,L623&gt;L622+0.00000001),1,0)</x:f>
        <x:v>0</x:v>
      </x:c>
      <x:c r="S623" t="n">
        <x:f>IF(AND(MAX(M623,M622)&gt;0,M623&gt;M622+0.00000001),1,0)</x:f>
        <x:v>0</x:v>
      </x:c>
      <x:c r="T623" t="n">
        <x:f>IF(AND(MAX(N623,N622)&gt;0,N623&gt;N622+0.00000001),1,0)</x:f>
        <x:v>0</x:v>
      </x:c>
      <x:c r="U623" t="n">
        <x:f>IF(AND(MAX(O623,O622)&gt;0,O623&gt;O622+0.00000001),1,0)</x:f>
        <x:v>0</x:v>
      </x:c>
    </x:row>
    <x:row r="624">
      <x:c r="J624" t="n">
        <x:f>IF(AND(ISNUMBER('Results'!B7),ISNUMBER('Results'!C7),ISNUMBER('Results'!$B$8),ISNUMBER('Inputs'!$B$6),ISNUMBER('Inputs'!$B$7),ISNUMBER('Inputs'!$B$8),ISNUMBER('Inputs'!$B$9),ISNUMBER('Inputs'!$B$10),ISNUMBER('Inputs'!$B$21),ISNUMBER('Inputs'!$B$24),ISNUMBER('Inputs'!$B$28)),(('Results'!B7*(0.5*((((624-43)*MAX('Inputs'!$B$33,'Inputs'!$B$29+'Inputs'!$B$31+'Inputs'!$B$32,'Inputs'!$B$30+'Inputs'!$B$31+'Inputs'!$B$32)/1000+'Inputs'!$B$21)+'Inputs'!$B$7)/SQRT((((624-43)*MAX('Inputs'!$B$33,'Inputs'!$B$29+'Inputs'!$B$31+'Inputs'!$B$32,'Inputs'!$B$30+'Inputs'!$B$31+'Inputs'!$B$32)/1000+'Inputs'!$B$21)+'Inputs'!$B$7)^2+('Inputs'!$B$6/2)^2)-(((624-43)*MAX('Inputs'!$B$33,'Inputs'!$B$29+'Inputs'!$B$31+'Inputs'!$B$32,'Inputs'!$B$30+'Inputs'!$B$31+'Inputs'!$B$32)/1000+'Inputs'!$B$21))/SQRT((((624-43)*MAX('Inputs'!$B$33,'Inputs'!$B$29+'Inputs'!$B$31+'Inputs'!$B$32,'Inputs'!$B$30+'Inputs'!$B$31+'Inputs'!$B$32)/1000+'Inputs'!$B$21))^2+('Inputs'!$B$6/2)^2)))-'Results'!C7*(0.5*((((624-43)*MAX('Inputs'!$B$33,'Inputs'!$B$29+'Inputs'!$B$31+'Inputs'!$B$32,'Inputs'!$B$30+'Inputs'!$B$31+'Inputs'!$B$32)/1000+'Inputs'!$B$21+'Inputs'!$B$7+'Inputs'!$B$10)+'Inputs'!$B$9)/SQRT((((624-43)*MAX('Inputs'!$B$33,'Inputs'!$B$29+'Inputs'!$B$31+'Inputs'!$B$32,'Inputs'!$B$30+'Inputs'!$B$31+'Inputs'!$B$32)/1000+'Inputs'!$B$21+'Inputs'!$B$7+'Inputs'!$B$10)+'Inputs'!$B$9)^2+('Inputs'!$B$8/2)^2)-(((624-43)*MAX('Inputs'!$B$33,'Inputs'!$B$29+'Inputs'!$B$31+'Inputs'!$B$32,'Inputs'!$B$30+'Inputs'!$B$31+'Inputs'!$B$32)/1000+'Inputs'!$B$21+'Inputs'!$B$7+'Inputs'!$B$10))/SQRT((((624-43)*MAX('Inputs'!$B$33,'Inputs'!$B$29+'Inputs'!$B$31+'Inputs'!$B$32,'Inputs'!$B$30+'Inputs'!$B$31+'Inputs'!$B$32)/1000+'Inputs'!$B$21+'Inputs'!$B$7+'Inputs'!$B$10))^2+('Inputs'!$B$8/2)^2))))*'Results'!$B$8),"")</x:f>
        <x:v>2.4898665796788566</x:v>
      </x:c>
      <x:c r="K624" t="n">
        <x:f>IF(AND(ISNUMBER('Results'!B7),ISNUMBER('Results'!C7),ISNUMBER('Results'!$B$8),ISNUMBER('Inputs'!$B$6),ISNUMBER('Inputs'!$B$7),ISNUMBER('Inputs'!$B$8),ISNUMBER('Inputs'!$B$9),ISNUMBER('Inputs'!$B$10),ISNUMBER('Inputs'!$B$21),ISNUMBER('Inputs'!$B$24),ISNUMBER('Inputs'!$B$28)),((('Results'!B7*(1-'Inputs'!$B$24)*(0.5*((((624-43)*MAX('Inputs'!$B$33,'Inputs'!$B$29+'Inputs'!$B$31+'Inputs'!$B$32,'Inputs'!$B$30+'Inputs'!$B$31+'Inputs'!$B$32)/1000+'Inputs'!$B$21)+'Inputs'!$B$7)/SQRT((((624-43)*MAX('Inputs'!$B$33,'Inputs'!$B$29+'Inputs'!$B$31+'Inputs'!$B$32,'Inputs'!$B$30+'Inputs'!$B$31+'Inputs'!$B$32)/1000+'Inputs'!$B$21)+'Inputs'!$B$7)^2+('Inputs'!$B$6/2)^2)-(((624-43)*MAX('Inputs'!$B$33,'Inputs'!$B$29+'Inputs'!$B$31+'Inputs'!$B$32,'Inputs'!$B$30+'Inputs'!$B$31+'Inputs'!$B$32)/1000+'Inputs'!$B$21))/SQRT((((624-43)*MAX('Inputs'!$B$33,'Inputs'!$B$29+'Inputs'!$B$31+'Inputs'!$B$32,'Inputs'!$B$30+'Inputs'!$B$31+'Inputs'!$B$32)/1000+'Inputs'!$B$21))^2+('Inputs'!$B$6/2)^2)))-'Results'!C7*(1+'Inputs'!$B$24)*(0.5*((((624-43)*MAX('Inputs'!$B$33,'Inputs'!$B$29+'Inputs'!$B$31+'Inputs'!$B$32,'Inputs'!$B$30+'Inputs'!$B$31+'Inputs'!$B$32)/1000+'Inputs'!$B$21+'Inputs'!$B$7+'Inputs'!$B$10)+'Inputs'!$B$9)/SQRT((((624-43)*MAX('Inputs'!$B$33,'Inputs'!$B$29+'Inputs'!$B$31+'Inputs'!$B$32,'Inputs'!$B$30+'Inputs'!$B$31+'Inputs'!$B$32)/1000+'Inputs'!$B$21+'Inputs'!$B$7+'Inputs'!$B$10)+'Inputs'!$B$9)^2+('Inputs'!$B$8/2)^2)-(((624-43)*MAX('Inputs'!$B$33,'Inputs'!$B$29+'Inputs'!$B$31+'Inputs'!$B$32,'Inputs'!$B$30+'Inputs'!$B$31+'Inputs'!$B$32)/1000+'Inputs'!$B$21+'Inputs'!$B$7+'Inputs'!$B$10))/SQRT((((624-43)*MAX('Inputs'!$B$33,'Inputs'!$B$29+'Inputs'!$B$31+'Inputs'!$B$32,'Inputs'!$B$30+'Inputs'!$B$31+'Inputs'!$B$32)/1000+'Inputs'!$B$21+'Inputs'!$B$7+'Inputs'!$B$10))^2+('Inputs'!$B$8/2)^2))))*'Results'!$B$8)-'Inputs'!$B$28*ABS((('Results'!B7*(1-'Inputs'!$B$24)*(0.5*((((624-43)*MAX('Inputs'!$B$33,'Inputs'!$B$29+'Inputs'!$B$31+'Inputs'!$B$32,'Inputs'!$B$30+'Inputs'!$B$31+'Inputs'!$B$32)/1000+'Inputs'!$B$21)+'Inputs'!$B$7)/SQRT((((624-43)*MAX('Inputs'!$B$33,'Inputs'!$B$29+'Inputs'!$B$31+'Inputs'!$B$32,'Inputs'!$B$30+'Inputs'!$B$31+'Inputs'!$B$32)/1000+'Inputs'!$B$21)+'Inputs'!$B$7)^2+('Inputs'!$B$6/2)^2)-(((624-43)*MAX('Inputs'!$B$33,'Inputs'!$B$29+'Inputs'!$B$31+'Inputs'!$B$32,'Inputs'!$B$30+'Inputs'!$B$31+'Inputs'!$B$32)/1000+'Inputs'!$B$21))/SQRT((((624-43)*MAX('Inputs'!$B$33,'Inputs'!$B$29+'Inputs'!$B$31+'Inputs'!$B$32,'Inputs'!$B$30+'Inputs'!$B$31+'Inputs'!$B$32)/1000+'Inputs'!$B$21))^2+('Inputs'!$B$6/2)^2)))-'Results'!C7*(1+'Inputs'!$B$24)*(0.5*((((624-43)*MAX('Inputs'!$B$33,'Inputs'!$B$29+'Inputs'!$B$31+'Inputs'!$B$32,'Inputs'!$B$30+'Inputs'!$B$31+'Inputs'!$B$32)/1000+'Inputs'!$B$21+'Inputs'!$B$7+'Inputs'!$B$10)+'Inputs'!$B$9)/SQRT((((624-43)*MAX('Inputs'!$B$33,'Inputs'!$B$29+'Inputs'!$B$31+'Inputs'!$B$32,'Inputs'!$B$30+'Inputs'!$B$31+'Inputs'!$B$32)/1000+'Inputs'!$B$21+'Inputs'!$B$7+'Inputs'!$B$10)+'Inputs'!$B$9)^2+('Inputs'!$B$8/2)^2)-(((624-43)*MAX('Inputs'!$B$33,'Inputs'!$B$29+'Inputs'!$B$31+'Inputs'!$B$32,'Inputs'!$B$30+'Inputs'!$B$31+'Inputs'!$B$32)/1000+'Inputs'!$B$21+'Inputs'!$B$7+'Inputs'!$B$10))/SQRT((((624-43)*MAX('Inputs'!$B$33,'Inputs'!$B$29+'Inputs'!$B$31+'Inputs'!$B$32,'Inputs'!$B$30+'Inputs'!$B$31+'Inputs'!$B$32)/1000+'Inputs'!$B$21+'Inputs'!$B$7+'Inputs'!$B$10))^2+('Inputs'!$B$8/2)^2))))*'Results'!$B$8))),"")</x:f>
        <x:v>2.1850541705693547</x:v>
      </x:c>
      <x:c r="L624" t="n">
        <x:f>IF(AND(ISNUMBER('Results'!B7),ISNUMBER('Results'!C7),ISNUMBER('Results'!$B$8),ISNUMBER('Inputs'!$B$6),ISNUMBER('Inputs'!$B$7),ISNUMBER('Inputs'!$B$8),ISNUMBER('Inputs'!$B$9),ISNUMBER('Inputs'!$B$10),ISNUMBER('Inputs'!$B$21),ISNUMBER('Inputs'!$B$24),ISNUMBER('Inputs'!$B$28)),((('Results'!B7*(1+'Inputs'!$B$24)*(0.5*((((624-43)*MAX('Inputs'!$B$33,'Inputs'!$B$29+'Inputs'!$B$31+'Inputs'!$B$32,'Inputs'!$B$30+'Inputs'!$B$31+'Inputs'!$B$32)/1000+'Inputs'!$B$21)+'Inputs'!$B$7)/SQRT((((624-43)*MAX('Inputs'!$B$33,'Inputs'!$B$29+'Inputs'!$B$31+'Inputs'!$B$32,'Inputs'!$B$30+'Inputs'!$B$31+'Inputs'!$B$32)/1000+'Inputs'!$B$21)+'Inputs'!$B$7)^2+('Inputs'!$B$6/2)^2)-(((624-43)*MAX('Inputs'!$B$33,'Inputs'!$B$29+'Inputs'!$B$31+'Inputs'!$B$32,'Inputs'!$B$30+'Inputs'!$B$31+'Inputs'!$B$32)/1000+'Inputs'!$B$21))/SQRT((((624-43)*MAX('Inputs'!$B$33,'Inputs'!$B$29+'Inputs'!$B$31+'Inputs'!$B$32,'Inputs'!$B$30+'Inputs'!$B$31+'Inputs'!$B$32)/1000+'Inputs'!$B$21))^2+('Inputs'!$B$6/2)^2)))-'Results'!C7*(1-'Inputs'!$B$24)*(0.5*((((624-43)*MAX('Inputs'!$B$33,'Inputs'!$B$29+'Inputs'!$B$31+'Inputs'!$B$32,'Inputs'!$B$30+'Inputs'!$B$31+'Inputs'!$B$32)/1000+'Inputs'!$B$21+'Inputs'!$B$7+'Inputs'!$B$10)+'Inputs'!$B$9)/SQRT((((624-43)*MAX('Inputs'!$B$33,'Inputs'!$B$29+'Inputs'!$B$31+'Inputs'!$B$32,'Inputs'!$B$30+'Inputs'!$B$31+'Inputs'!$B$32)/1000+'Inputs'!$B$21+'Inputs'!$B$7+'Inputs'!$B$10)+'Inputs'!$B$9)^2+('Inputs'!$B$8/2)^2)-(((624-43)*MAX('Inputs'!$B$33,'Inputs'!$B$29+'Inputs'!$B$31+'Inputs'!$B$32,'Inputs'!$B$30+'Inputs'!$B$31+'Inputs'!$B$32)/1000+'Inputs'!$B$21+'Inputs'!$B$7+'Inputs'!$B$10))/SQRT((((624-43)*MAX('Inputs'!$B$33,'Inputs'!$B$29+'Inputs'!$B$31+'Inputs'!$B$32,'Inputs'!$B$30+'Inputs'!$B$31+'Inputs'!$B$32)/1000+'Inputs'!$B$21+'Inputs'!$B$7+'Inputs'!$B$10))^2+('Inputs'!$B$8/2)^2))))*'Results'!$B$8)+'Inputs'!$B$28*ABS((('Results'!B7*(1+'Inputs'!$B$24)*(0.5*((((624-43)*MAX('Inputs'!$B$33,'Inputs'!$B$29+'Inputs'!$B$31+'Inputs'!$B$32,'Inputs'!$B$30+'Inputs'!$B$31+'Inputs'!$B$32)/1000+'Inputs'!$B$21)+'Inputs'!$B$7)/SQRT((((624-43)*MAX('Inputs'!$B$33,'Inputs'!$B$29+'Inputs'!$B$31+'Inputs'!$B$32,'Inputs'!$B$30+'Inputs'!$B$31+'Inputs'!$B$32)/1000+'Inputs'!$B$21)+'Inputs'!$B$7)^2+('Inputs'!$B$6/2)^2)-(((624-43)*MAX('Inputs'!$B$33,'Inputs'!$B$29+'Inputs'!$B$31+'Inputs'!$B$32,'Inputs'!$B$30+'Inputs'!$B$31+'Inputs'!$B$32)/1000+'Inputs'!$B$21))/SQRT((((624-43)*MAX('Inputs'!$B$33,'Inputs'!$B$29+'Inputs'!$B$31+'Inputs'!$B$32,'Inputs'!$B$30+'Inputs'!$B$31+'Inputs'!$B$32)/1000+'Inputs'!$B$21))^2+('Inputs'!$B$6/2)^2)))-'Results'!C7*(1-'Inputs'!$B$24)*(0.5*((((624-43)*MAX('Inputs'!$B$33,'Inputs'!$B$29+'Inputs'!$B$31+'Inputs'!$B$32,'Inputs'!$B$30+'Inputs'!$B$31+'Inputs'!$B$32)/1000+'Inputs'!$B$21+'Inputs'!$B$7+'Inputs'!$B$10)+'Inputs'!$B$9)/SQRT((((624-43)*MAX('Inputs'!$B$33,'Inputs'!$B$29+'Inputs'!$B$31+'Inputs'!$B$32,'Inputs'!$B$30+'Inputs'!$B$31+'Inputs'!$B$32)/1000+'Inputs'!$B$21+'Inputs'!$B$7+'Inputs'!$B$10)+'Inputs'!$B$9)^2+('Inputs'!$B$8/2)^2)-(((624-43)*MAX('Inputs'!$B$33,'Inputs'!$B$29+'Inputs'!$B$31+'Inputs'!$B$32,'Inputs'!$B$30+'Inputs'!$B$31+'Inputs'!$B$32)/1000+'Inputs'!$B$21+'Inputs'!$B$7+'Inputs'!$B$10))/SQRT((((624-43)*MAX('Inputs'!$B$33,'Inputs'!$B$29+'Inputs'!$B$31+'Inputs'!$B$32,'Inputs'!$B$30+'Inputs'!$B$31+'Inputs'!$B$32)/1000+'Inputs'!$B$21+'Inputs'!$B$7+'Inputs'!$B$10))^2+('Inputs'!$B$8/2)^2))))*'Results'!$B$8))),"")</x:f>
        <x:v>2.813659944591049</x:v>
      </x:c>
      <x:c r="M624" t="n">
        <x:f>IF(AND(ISNUMBER('Results'!C7),ISNUMBER('Results'!B7),ISNUMBER('Results'!$B$8),ISNUMBER('Inputs'!$B$6),ISNUMBER('Inputs'!$B$7),ISNUMBER('Inputs'!$B$8),ISNUMBER('Inputs'!$B$9),ISNUMBER('Inputs'!$B$10),ISNUMBER('Inputs'!$B$21),ISNUMBER('Inputs'!$B$24),ISNUMBER('Inputs'!$B$28)),(('Results'!C7*(0.5*((((624-43)*MAX('Inputs'!$B$33,'Inputs'!$B$29+'Inputs'!$B$31+'Inputs'!$B$32,'Inputs'!$B$30+'Inputs'!$B$31+'Inputs'!$B$32)/1000+'Inputs'!$B$21)+'Inputs'!$B$9)/SQRT((((624-43)*MAX('Inputs'!$B$33,'Inputs'!$B$29+'Inputs'!$B$31+'Inputs'!$B$32,'Inputs'!$B$30+'Inputs'!$B$31+'Inputs'!$B$32)/1000+'Inputs'!$B$21)+'Inputs'!$B$9)^2+('Inputs'!$B$8/2)^2)-(((624-43)*MAX('Inputs'!$B$33,'Inputs'!$B$29+'Inputs'!$B$31+'Inputs'!$B$32,'Inputs'!$B$30+'Inputs'!$B$31+'Inputs'!$B$32)/1000+'Inputs'!$B$21))/SQRT((((624-43)*MAX('Inputs'!$B$33,'Inputs'!$B$29+'Inputs'!$B$31+'Inputs'!$B$32,'Inputs'!$B$30+'Inputs'!$B$31+'Inputs'!$B$32)/1000+'Inputs'!$B$21))^2+('Inputs'!$B$8/2)^2)))-'Results'!B7*(0.5*((((624-43)*MAX('Inputs'!$B$33,'Inputs'!$B$29+'Inputs'!$B$31+'Inputs'!$B$32,'Inputs'!$B$30+'Inputs'!$B$31+'Inputs'!$B$32)/1000+'Inputs'!$B$21+'Inputs'!$B$9+'Inputs'!$B$10)+'Inputs'!$B$7)/SQRT((((624-43)*MAX('Inputs'!$B$33,'Inputs'!$B$29+'Inputs'!$B$31+'Inputs'!$B$32,'Inputs'!$B$30+'Inputs'!$B$31+'Inputs'!$B$32)/1000+'Inputs'!$B$21+'Inputs'!$B$9+'Inputs'!$B$10)+'Inputs'!$B$7)^2+('Inputs'!$B$6/2)^2)-(((624-43)*MAX('Inputs'!$B$33,'Inputs'!$B$29+'Inputs'!$B$31+'Inputs'!$B$32,'Inputs'!$B$30+'Inputs'!$B$31+'Inputs'!$B$32)/1000+'Inputs'!$B$21+'Inputs'!$B$9+'Inputs'!$B$10))/SQRT((((624-43)*MAX('Inputs'!$B$33,'Inputs'!$B$29+'Inputs'!$B$31+'Inputs'!$B$32,'Inputs'!$B$30+'Inputs'!$B$31+'Inputs'!$B$32)/1000+'Inputs'!$B$21+'Inputs'!$B$9+'Inputs'!$B$10))^2+('Inputs'!$B$6/2)^2))))*'Results'!$B$8),"")</x:f>
        <x:v>2.298628325463858</x:v>
      </x:c>
      <x:c r="N624" t="n">
        <x:f>IF(AND(ISNUMBER('Results'!C7),ISNUMBER('Results'!B7),ISNUMBER('Results'!$B$8),ISNUMBER('Inputs'!$B$6),ISNUMBER('Inputs'!$B$7),ISNUMBER('Inputs'!$B$8),ISNUMBER('Inputs'!$B$9),ISNUMBER('Inputs'!$B$10),ISNUMBER('Inputs'!$B$21),ISNUMBER('Inputs'!$B$24),ISNUMBER('Inputs'!$B$28)),((('Results'!C7*(1-'Inputs'!$B$24)*(0.5*((((624-43)*MAX('Inputs'!$B$33,'Inputs'!$B$29+'Inputs'!$B$31+'Inputs'!$B$32,'Inputs'!$B$30+'Inputs'!$B$31+'Inputs'!$B$32)/1000+'Inputs'!$B$21)+'Inputs'!$B$9)/SQRT((((624-43)*MAX('Inputs'!$B$33,'Inputs'!$B$29+'Inputs'!$B$31+'Inputs'!$B$32,'Inputs'!$B$30+'Inputs'!$B$31+'Inputs'!$B$32)/1000+'Inputs'!$B$21)+'Inputs'!$B$9)^2+('Inputs'!$B$8/2)^2)-(((624-43)*MAX('Inputs'!$B$33,'Inputs'!$B$29+'Inputs'!$B$31+'Inputs'!$B$32,'Inputs'!$B$30+'Inputs'!$B$31+'Inputs'!$B$32)/1000+'Inputs'!$B$21))/SQRT((((624-43)*MAX('Inputs'!$B$33,'Inputs'!$B$29+'Inputs'!$B$31+'Inputs'!$B$32,'Inputs'!$B$30+'Inputs'!$B$31+'Inputs'!$B$32)/1000+'Inputs'!$B$21))^2+('Inputs'!$B$8/2)^2)))-'Results'!B7*(1+'Inputs'!$B$24)*(0.5*((((624-43)*MAX('Inputs'!$B$33,'Inputs'!$B$29+'Inputs'!$B$31+'Inputs'!$B$32,'Inputs'!$B$30+'Inputs'!$B$31+'Inputs'!$B$32)/1000+'Inputs'!$B$21+'Inputs'!$B$9+'Inputs'!$B$10)+'Inputs'!$B$7)/SQRT((((624-43)*MAX('Inputs'!$B$33,'Inputs'!$B$29+'Inputs'!$B$31+'Inputs'!$B$32,'Inputs'!$B$30+'Inputs'!$B$31+'Inputs'!$B$32)/1000+'Inputs'!$B$21+'Inputs'!$B$9+'Inputs'!$B$10)+'Inputs'!$B$7)^2+('Inputs'!$B$6/2)^2)-(((624-43)*MAX('Inputs'!$B$33,'Inputs'!$B$29+'Inputs'!$B$31+'Inputs'!$B$32,'Inputs'!$B$30+'Inputs'!$B$31+'Inputs'!$B$32)/1000+'Inputs'!$B$21+'Inputs'!$B$9+'Inputs'!$B$10))/SQRT((((624-43)*MAX('Inputs'!$B$33,'Inputs'!$B$29+'Inputs'!$B$31+'Inputs'!$B$32,'Inputs'!$B$30+'Inputs'!$B$31+'Inputs'!$B$32)/1000+'Inputs'!$B$21+'Inputs'!$B$9+'Inputs'!$B$10))^2+('Inputs'!$B$6/2)^2))))*'Results'!$B$8)-'Inputs'!$B$28*ABS((('Results'!C7*(1-'Inputs'!$B$24)*(0.5*((((624-43)*MAX('Inputs'!$B$33,'Inputs'!$B$29+'Inputs'!$B$31+'Inputs'!$B$32,'Inputs'!$B$30+'Inputs'!$B$31+'Inputs'!$B$32)/1000+'Inputs'!$B$21)+'Inputs'!$B$9)/SQRT((((624-43)*MAX('Inputs'!$B$33,'Inputs'!$B$29+'Inputs'!$B$31+'Inputs'!$B$32,'Inputs'!$B$30+'Inputs'!$B$31+'Inputs'!$B$32)/1000+'Inputs'!$B$21)+'Inputs'!$B$9)^2+('Inputs'!$B$8/2)^2)-(((624-43)*MAX('Inputs'!$B$33,'Inputs'!$B$29+'Inputs'!$B$31+'Inputs'!$B$32,'Inputs'!$B$30+'Inputs'!$B$31+'Inputs'!$B$32)/1000+'Inputs'!$B$21))/SQRT((((624-43)*MAX('Inputs'!$B$33,'Inputs'!$B$29+'Inputs'!$B$31+'Inputs'!$B$32,'Inputs'!$B$30+'Inputs'!$B$31+'Inputs'!$B$32)/1000+'Inputs'!$B$21))^2+('Inputs'!$B$8/2)^2)))-'Results'!B7*(1+'Inputs'!$B$24)*(0.5*((((624-43)*MAX('Inputs'!$B$33,'Inputs'!$B$29+'Inputs'!$B$31+'Inputs'!$B$32,'Inputs'!$B$30+'Inputs'!$B$31+'Inputs'!$B$32)/1000+'Inputs'!$B$21+'Inputs'!$B$9+'Inputs'!$B$10)+'Inputs'!$B$7)/SQRT((((624-43)*MAX('Inputs'!$B$33,'Inputs'!$B$29+'Inputs'!$B$31+'Inputs'!$B$32,'Inputs'!$B$30+'Inputs'!$B$31+'Inputs'!$B$32)/1000+'Inputs'!$B$21+'Inputs'!$B$9+'Inputs'!$B$10)+'Inputs'!$B$7)^2+('Inputs'!$B$6/2)^2)-(((624-43)*MAX('Inputs'!$B$33,'Inputs'!$B$29+'Inputs'!$B$31+'Inputs'!$B$32,'Inputs'!$B$30+'Inputs'!$B$31+'Inputs'!$B$32)/1000+'Inputs'!$B$21+'Inputs'!$B$9+'Inputs'!$B$10))/SQRT((((624-43)*MAX('Inputs'!$B$33,'Inputs'!$B$29+'Inputs'!$B$31+'Inputs'!$B$32,'Inputs'!$B$30+'Inputs'!$B$31+'Inputs'!$B$32)/1000+'Inputs'!$B$21+'Inputs'!$B$9+'Inputs'!$B$10))^2+('Inputs'!$B$6/2)^2))))*'Results'!$B$8))),"")</x:f>
        <x:v>2.0042968331378104</x:v>
      </x:c>
      <x:c r="O624" t="n">
        <x:f>IF(AND(ISNUMBER('Results'!C7),ISNUMBER('Results'!B7),ISNUMBER('Results'!$B$8),ISNUMBER('Inputs'!$B$6),ISNUMBER('Inputs'!$B$7),ISNUMBER('Inputs'!$B$8),ISNUMBER('Inputs'!$B$9),ISNUMBER('Inputs'!$B$10),ISNUMBER('Inputs'!$B$21),ISNUMBER('Inputs'!$B$24),ISNUMBER('Inputs'!$B$28)),((('Results'!C7*(1+'Inputs'!$B$24)*(0.5*((((624-43)*MAX('Inputs'!$B$33,'Inputs'!$B$29+'Inputs'!$B$31+'Inputs'!$B$32,'Inputs'!$B$30+'Inputs'!$B$31+'Inputs'!$B$32)/1000+'Inputs'!$B$21)+'Inputs'!$B$9)/SQRT((((624-43)*MAX('Inputs'!$B$33,'Inputs'!$B$29+'Inputs'!$B$31+'Inputs'!$B$32,'Inputs'!$B$30+'Inputs'!$B$31+'Inputs'!$B$32)/1000+'Inputs'!$B$21)+'Inputs'!$B$9)^2+('Inputs'!$B$8/2)^2)-(((624-43)*MAX('Inputs'!$B$33,'Inputs'!$B$29+'Inputs'!$B$31+'Inputs'!$B$32,'Inputs'!$B$30+'Inputs'!$B$31+'Inputs'!$B$32)/1000+'Inputs'!$B$21))/SQRT((((624-43)*MAX('Inputs'!$B$33,'Inputs'!$B$29+'Inputs'!$B$31+'Inputs'!$B$32,'Inputs'!$B$30+'Inputs'!$B$31+'Inputs'!$B$32)/1000+'Inputs'!$B$21))^2+('Inputs'!$B$8/2)^2)))-'Results'!B7*(1-'Inputs'!$B$24)*(0.5*((((624-43)*MAX('Inputs'!$B$33,'Inputs'!$B$29+'Inputs'!$B$31+'Inputs'!$B$32,'Inputs'!$B$30+'Inputs'!$B$31+'Inputs'!$B$32)/1000+'Inputs'!$B$21+'Inputs'!$B$9+'Inputs'!$B$10)+'Inputs'!$B$7)/SQRT((((624-43)*MAX('Inputs'!$B$33,'Inputs'!$B$29+'Inputs'!$B$31+'Inputs'!$B$32,'Inputs'!$B$30+'Inputs'!$B$31+'Inputs'!$B$32)/1000+'Inputs'!$B$21+'Inputs'!$B$9+'Inputs'!$B$10)+'Inputs'!$B$7)^2+('Inputs'!$B$6/2)^2)-(((624-43)*MAX('Inputs'!$B$33,'Inputs'!$B$29+'Inputs'!$B$31+'Inputs'!$B$32,'Inputs'!$B$30+'Inputs'!$B$31+'Inputs'!$B$32)/1000+'Inputs'!$B$21+'Inputs'!$B$9+'Inputs'!$B$10))/SQRT((((624-43)*MAX('Inputs'!$B$33,'Inputs'!$B$29+'Inputs'!$B$31+'Inputs'!$B$32,'Inputs'!$B$30+'Inputs'!$B$31+'Inputs'!$B$32)/1000+'Inputs'!$B$21+'Inputs'!$B$9+'Inputs'!$B$10))^2+('Inputs'!$B$6/2)^2))))*'Results'!$B$8)+'Inputs'!$B$28*ABS((('Results'!C7*(1+'Inputs'!$B$24)*(0.5*((((624-43)*MAX('Inputs'!$B$33,'Inputs'!$B$29+'Inputs'!$B$31+'Inputs'!$B$32,'Inputs'!$B$30+'Inputs'!$B$31+'Inputs'!$B$32)/1000+'Inputs'!$B$21)+'Inputs'!$B$9)/SQRT((((624-43)*MAX('Inputs'!$B$33,'Inputs'!$B$29+'Inputs'!$B$31+'Inputs'!$B$32,'Inputs'!$B$30+'Inputs'!$B$31+'Inputs'!$B$32)/1000+'Inputs'!$B$21)+'Inputs'!$B$9)^2+('Inputs'!$B$8/2)^2)-(((624-43)*MAX('Inputs'!$B$33,'Inputs'!$B$29+'Inputs'!$B$31+'Inputs'!$B$32,'Inputs'!$B$30+'Inputs'!$B$31+'Inputs'!$B$32)/1000+'Inputs'!$B$21))/SQRT((((624-43)*MAX('Inputs'!$B$33,'Inputs'!$B$29+'Inputs'!$B$31+'Inputs'!$B$32,'Inputs'!$B$30+'Inputs'!$B$31+'Inputs'!$B$32)/1000+'Inputs'!$B$21))^2+('Inputs'!$B$8/2)^2)))-'Results'!B7*(1-'Inputs'!$B$24)*(0.5*((((624-43)*MAX('Inputs'!$B$33,'Inputs'!$B$29+'Inputs'!$B$31+'Inputs'!$B$32,'Inputs'!$B$30+'Inputs'!$B$31+'Inputs'!$B$32)/1000+'Inputs'!$B$21+'Inputs'!$B$9+'Inputs'!$B$10)+'Inputs'!$B$7)/SQRT((((624-43)*MAX('Inputs'!$B$33,'Inputs'!$B$29+'Inputs'!$B$31+'Inputs'!$B$32,'Inputs'!$B$30+'Inputs'!$B$31+'Inputs'!$B$32)/1000+'Inputs'!$B$21+'Inputs'!$B$9+'Inputs'!$B$10)+'Inputs'!$B$7)^2+('Inputs'!$B$6/2)^2)-(((624-43)*MAX('Inputs'!$B$33,'Inputs'!$B$29+'Inputs'!$B$31+'Inputs'!$B$32,'Inputs'!$B$30+'Inputs'!$B$31+'Inputs'!$B$32)/1000+'Inputs'!$B$21+'Inputs'!$B$9+'Inputs'!$B$10))/SQRT((((624-43)*MAX('Inputs'!$B$33,'Inputs'!$B$29+'Inputs'!$B$31+'Inputs'!$B$32,'Inputs'!$B$30+'Inputs'!$B$31+'Inputs'!$B$32)/1000+'Inputs'!$B$21+'Inputs'!$B$9+'Inputs'!$B$10))^2+('Inputs'!$B$6/2)^2))))*'Results'!$B$8))),"")</x:f>
        <x:v>2.6118440363217843</x:v>
      </x:c>
      <x:c r="P624" t="n">
        <x:f>IF(AND(MAX(J624,J623)&gt;0,J624&gt;J623+0.00000001),1,0)</x:f>
        <x:v>0</x:v>
      </x:c>
      <x:c r="Q624" t="n">
        <x:f>IF(AND(MAX(K624,K623)&gt;0,K624&gt;K623+0.00000001),1,0)</x:f>
        <x:v>0</x:v>
      </x:c>
      <x:c r="R624" t="n">
        <x:f>IF(AND(MAX(L624,L623)&gt;0,L624&gt;L623+0.00000001),1,0)</x:f>
        <x:v>0</x:v>
      </x:c>
      <x:c r="S624" t="n">
        <x:f>IF(AND(MAX(M624,M623)&gt;0,M624&gt;M623+0.00000001),1,0)</x:f>
        <x:v>0</x:v>
      </x:c>
      <x:c r="T624" t="n">
        <x:f>IF(AND(MAX(N624,N623)&gt;0,N624&gt;N623+0.00000001),1,0)</x:f>
        <x:v>0</x:v>
      </x:c>
      <x:c r="U624" t="n">
        <x:f>IF(AND(MAX(O624,O623)&gt;0,O624&gt;O623+0.00000001),1,0)</x:f>
        <x:v>0</x:v>
      </x:c>
    </x:row>
    <x:row r="625">
      <x:c r="J625" t="n">
        <x:f>IF(AND(ISNUMBER('Results'!B7),ISNUMBER('Results'!C7),ISNUMBER('Results'!$B$8),ISNUMBER('Inputs'!$B$6),ISNUMBER('Inputs'!$B$7),ISNUMBER('Inputs'!$B$8),ISNUMBER('Inputs'!$B$9),ISNUMBER('Inputs'!$B$10),ISNUMBER('Inputs'!$B$21),ISNUMBER('Inputs'!$B$24),ISNUMBER('Inputs'!$B$28)),(('Results'!B7*(0.5*((((625-43)*MAX('Inputs'!$B$33,'Inputs'!$B$29+'Inputs'!$B$31+'Inputs'!$B$32,'Inputs'!$B$30+'Inputs'!$B$31+'Inputs'!$B$32)/1000+'Inputs'!$B$21)+'Inputs'!$B$7)/SQRT((((625-43)*MAX('Inputs'!$B$33,'Inputs'!$B$29+'Inputs'!$B$31+'Inputs'!$B$32,'Inputs'!$B$30+'Inputs'!$B$31+'Inputs'!$B$32)/1000+'Inputs'!$B$21)+'Inputs'!$B$7)^2+('Inputs'!$B$6/2)^2)-(((625-43)*MAX('Inputs'!$B$33,'Inputs'!$B$29+'Inputs'!$B$31+'Inputs'!$B$32,'Inputs'!$B$30+'Inputs'!$B$31+'Inputs'!$B$32)/1000+'Inputs'!$B$21))/SQRT((((625-43)*MAX('Inputs'!$B$33,'Inputs'!$B$29+'Inputs'!$B$31+'Inputs'!$B$32,'Inputs'!$B$30+'Inputs'!$B$31+'Inputs'!$B$32)/1000+'Inputs'!$B$21))^2+('Inputs'!$B$6/2)^2)))-'Results'!C7*(0.5*((((625-43)*MAX('Inputs'!$B$33,'Inputs'!$B$29+'Inputs'!$B$31+'Inputs'!$B$32,'Inputs'!$B$30+'Inputs'!$B$31+'Inputs'!$B$32)/1000+'Inputs'!$B$21+'Inputs'!$B$7+'Inputs'!$B$10)+'Inputs'!$B$9)/SQRT((((625-43)*MAX('Inputs'!$B$33,'Inputs'!$B$29+'Inputs'!$B$31+'Inputs'!$B$32,'Inputs'!$B$30+'Inputs'!$B$31+'Inputs'!$B$32)/1000+'Inputs'!$B$21+'Inputs'!$B$7+'Inputs'!$B$10)+'Inputs'!$B$9)^2+('Inputs'!$B$8/2)^2)-(((625-43)*MAX('Inputs'!$B$33,'Inputs'!$B$29+'Inputs'!$B$31+'Inputs'!$B$32,'Inputs'!$B$30+'Inputs'!$B$31+'Inputs'!$B$32)/1000+'Inputs'!$B$21+'Inputs'!$B$7+'Inputs'!$B$10))/SQRT((((625-43)*MAX('Inputs'!$B$33,'Inputs'!$B$29+'Inputs'!$B$31+'Inputs'!$B$32,'Inputs'!$B$30+'Inputs'!$B$31+'Inputs'!$B$32)/1000+'Inputs'!$B$21+'Inputs'!$B$7+'Inputs'!$B$10))^2+('Inputs'!$B$8/2)^2))))*'Results'!$B$8),"")</x:f>
        <x:v>2.474997960473357</x:v>
      </x:c>
      <x:c r="K625" t="n">
        <x:f>IF(AND(ISNUMBER('Results'!B7),ISNUMBER('Results'!C7),ISNUMBER('Results'!$B$8),ISNUMBER('Inputs'!$B$6),ISNUMBER('Inputs'!$B$7),ISNUMBER('Inputs'!$B$8),ISNUMBER('Inputs'!$B$9),ISNUMBER('Inputs'!$B$10),ISNUMBER('Inputs'!$B$21),ISNUMBER('Inputs'!$B$24),ISNUMBER('Inputs'!$B$28)),((('Results'!B7*(1-'Inputs'!$B$24)*(0.5*((((625-43)*MAX('Inputs'!$B$33,'Inputs'!$B$29+'Inputs'!$B$31+'Inputs'!$B$32,'Inputs'!$B$30+'Inputs'!$B$31+'Inputs'!$B$32)/1000+'Inputs'!$B$21)+'Inputs'!$B$7)/SQRT((((625-43)*MAX('Inputs'!$B$33,'Inputs'!$B$29+'Inputs'!$B$31+'Inputs'!$B$32,'Inputs'!$B$30+'Inputs'!$B$31+'Inputs'!$B$32)/1000+'Inputs'!$B$21)+'Inputs'!$B$7)^2+('Inputs'!$B$6/2)^2)-(((625-43)*MAX('Inputs'!$B$33,'Inputs'!$B$29+'Inputs'!$B$31+'Inputs'!$B$32,'Inputs'!$B$30+'Inputs'!$B$31+'Inputs'!$B$32)/1000+'Inputs'!$B$21))/SQRT((((625-43)*MAX('Inputs'!$B$33,'Inputs'!$B$29+'Inputs'!$B$31+'Inputs'!$B$32,'Inputs'!$B$30+'Inputs'!$B$31+'Inputs'!$B$32)/1000+'Inputs'!$B$21))^2+('Inputs'!$B$6/2)^2)))-'Results'!C7*(1+'Inputs'!$B$24)*(0.5*((((625-43)*MAX('Inputs'!$B$33,'Inputs'!$B$29+'Inputs'!$B$31+'Inputs'!$B$32,'Inputs'!$B$30+'Inputs'!$B$31+'Inputs'!$B$32)/1000+'Inputs'!$B$21+'Inputs'!$B$7+'Inputs'!$B$10)+'Inputs'!$B$9)/SQRT((((625-43)*MAX('Inputs'!$B$33,'Inputs'!$B$29+'Inputs'!$B$31+'Inputs'!$B$32,'Inputs'!$B$30+'Inputs'!$B$31+'Inputs'!$B$32)/1000+'Inputs'!$B$21+'Inputs'!$B$7+'Inputs'!$B$10)+'Inputs'!$B$9)^2+('Inputs'!$B$8/2)^2)-(((625-43)*MAX('Inputs'!$B$33,'Inputs'!$B$29+'Inputs'!$B$31+'Inputs'!$B$32,'Inputs'!$B$30+'Inputs'!$B$31+'Inputs'!$B$32)/1000+'Inputs'!$B$21+'Inputs'!$B$7+'Inputs'!$B$10))/SQRT((((625-43)*MAX('Inputs'!$B$33,'Inputs'!$B$29+'Inputs'!$B$31+'Inputs'!$B$32,'Inputs'!$B$30+'Inputs'!$B$31+'Inputs'!$B$32)/1000+'Inputs'!$B$21+'Inputs'!$B$7+'Inputs'!$B$10))^2+('Inputs'!$B$8/2)^2))))*'Results'!$B$8)-'Inputs'!$B$28*ABS((('Results'!B7*(1-'Inputs'!$B$24)*(0.5*((((625-43)*MAX('Inputs'!$B$33,'Inputs'!$B$29+'Inputs'!$B$31+'Inputs'!$B$32,'Inputs'!$B$30+'Inputs'!$B$31+'Inputs'!$B$32)/1000+'Inputs'!$B$21)+'Inputs'!$B$7)/SQRT((((625-43)*MAX('Inputs'!$B$33,'Inputs'!$B$29+'Inputs'!$B$31+'Inputs'!$B$32,'Inputs'!$B$30+'Inputs'!$B$31+'Inputs'!$B$32)/1000+'Inputs'!$B$21)+'Inputs'!$B$7)^2+('Inputs'!$B$6/2)^2)-(((625-43)*MAX('Inputs'!$B$33,'Inputs'!$B$29+'Inputs'!$B$31+'Inputs'!$B$32,'Inputs'!$B$30+'Inputs'!$B$31+'Inputs'!$B$32)/1000+'Inputs'!$B$21))/SQRT((((625-43)*MAX('Inputs'!$B$33,'Inputs'!$B$29+'Inputs'!$B$31+'Inputs'!$B$32,'Inputs'!$B$30+'Inputs'!$B$31+'Inputs'!$B$32)/1000+'Inputs'!$B$21))^2+('Inputs'!$B$6/2)^2)))-'Results'!C7*(1+'Inputs'!$B$24)*(0.5*((((625-43)*MAX('Inputs'!$B$33,'Inputs'!$B$29+'Inputs'!$B$31+'Inputs'!$B$32,'Inputs'!$B$30+'Inputs'!$B$31+'Inputs'!$B$32)/1000+'Inputs'!$B$21+'Inputs'!$B$7+'Inputs'!$B$10)+'Inputs'!$B$9)/SQRT((((625-43)*MAX('Inputs'!$B$33,'Inputs'!$B$29+'Inputs'!$B$31+'Inputs'!$B$32,'Inputs'!$B$30+'Inputs'!$B$31+'Inputs'!$B$32)/1000+'Inputs'!$B$21+'Inputs'!$B$7+'Inputs'!$B$10)+'Inputs'!$B$9)^2+('Inputs'!$B$8/2)^2)-(((625-43)*MAX('Inputs'!$B$33,'Inputs'!$B$29+'Inputs'!$B$31+'Inputs'!$B$32,'Inputs'!$B$30+'Inputs'!$B$31+'Inputs'!$B$32)/1000+'Inputs'!$B$21+'Inputs'!$B$7+'Inputs'!$B$10))/SQRT((((625-43)*MAX('Inputs'!$B$33,'Inputs'!$B$29+'Inputs'!$B$31+'Inputs'!$B$32,'Inputs'!$B$30+'Inputs'!$B$31+'Inputs'!$B$32)/1000+'Inputs'!$B$21+'Inputs'!$B$7+'Inputs'!$B$10))^2+('Inputs'!$B$8/2)^2))))*'Results'!$B$8))),"")</x:f>
        <x:v>2.1717614083864483</x:v>
      </x:c>
      <x:c r="L625" t="n">
        <x:f>IF(AND(ISNUMBER('Results'!B7),ISNUMBER('Results'!C7),ISNUMBER('Results'!$B$8),ISNUMBER('Inputs'!$B$6),ISNUMBER('Inputs'!$B$7),ISNUMBER('Inputs'!$B$8),ISNUMBER('Inputs'!$B$9),ISNUMBER('Inputs'!$B$10),ISNUMBER('Inputs'!$B$21),ISNUMBER('Inputs'!$B$24),ISNUMBER('Inputs'!$B$28)),((('Results'!B7*(1+'Inputs'!$B$24)*(0.5*((((625-43)*MAX('Inputs'!$B$33,'Inputs'!$B$29+'Inputs'!$B$31+'Inputs'!$B$32,'Inputs'!$B$30+'Inputs'!$B$31+'Inputs'!$B$32)/1000+'Inputs'!$B$21)+'Inputs'!$B$7)/SQRT((((625-43)*MAX('Inputs'!$B$33,'Inputs'!$B$29+'Inputs'!$B$31+'Inputs'!$B$32,'Inputs'!$B$30+'Inputs'!$B$31+'Inputs'!$B$32)/1000+'Inputs'!$B$21)+'Inputs'!$B$7)^2+('Inputs'!$B$6/2)^2)-(((625-43)*MAX('Inputs'!$B$33,'Inputs'!$B$29+'Inputs'!$B$31+'Inputs'!$B$32,'Inputs'!$B$30+'Inputs'!$B$31+'Inputs'!$B$32)/1000+'Inputs'!$B$21))/SQRT((((625-43)*MAX('Inputs'!$B$33,'Inputs'!$B$29+'Inputs'!$B$31+'Inputs'!$B$32,'Inputs'!$B$30+'Inputs'!$B$31+'Inputs'!$B$32)/1000+'Inputs'!$B$21))^2+('Inputs'!$B$6/2)^2)))-'Results'!C7*(1-'Inputs'!$B$24)*(0.5*((((625-43)*MAX('Inputs'!$B$33,'Inputs'!$B$29+'Inputs'!$B$31+'Inputs'!$B$32,'Inputs'!$B$30+'Inputs'!$B$31+'Inputs'!$B$32)/1000+'Inputs'!$B$21+'Inputs'!$B$7+'Inputs'!$B$10)+'Inputs'!$B$9)/SQRT((((625-43)*MAX('Inputs'!$B$33,'Inputs'!$B$29+'Inputs'!$B$31+'Inputs'!$B$32,'Inputs'!$B$30+'Inputs'!$B$31+'Inputs'!$B$32)/1000+'Inputs'!$B$21+'Inputs'!$B$7+'Inputs'!$B$10)+'Inputs'!$B$9)^2+('Inputs'!$B$8/2)^2)-(((625-43)*MAX('Inputs'!$B$33,'Inputs'!$B$29+'Inputs'!$B$31+'Inputs'!$B$32,'Inputs'!$B$30+'Inputs'!$B$31+'Inputs'!$B$32)/1000+'Inputs'!$B$21+'Inputs'!$B$7+'Inputs'!$B$10))/SQRT((((625-43)*MAX('Inputs'!$B$33,'Inputs'!$B$29+'Inputs'!$B$31+'Inputs'!$B$32,'Inputs'!$B$30+'Inputs'!$B$31+'Inputs'!$B$32)/1000+'Inputs'!$B$21+'Inputs'!$B$7+'Inputs'!$B$10))^2+('Inputs'!$B$8/2)^2))))*'Results'!$B$8)+'Inputs'!$B$28*ABS((('Results'!B7*(1+'Inputs'!$B$24)*(0.5*((((625-43)*MAX('Inputs'!$B$33,'Inputs'!$B$29+'Inputs'!$B$31+'Inputs'!$B$32,'Inputs'!$B$30+'Inputs'!$B$31+'Inputs'!$B$32)/1000+'Inputs'!$B$21)+'Inputs'!$B$7)/SQRT((((625-43)*MAX('Inputs'!$B$33,'Inputs'!$B$29+'Inputs'!$B$31+'Inputs'!$B$32,'Inputs'!$B$30+'Inputs'!$B$31+'Inputs'!$B$32)/1000+'Inputs'!$B$21)+'Inputs'!$B$7)^2+('Inputs'!$B$6/2)^2)-(((625-43)*MAX('Inputs'!$B$33,'Inputs'!$B$29+'Inputs'!$B$31+'Inputs'!$B$32,'Inputs'!$B$30+'Inputs'!$B$31+'Inputs'!$B$32)/1000+'Inputs'!$B$21))/SQRT((((625-43)*MAX('Inputs'!$B$33,'Inputs'!$B$29+'Inputs'!$B$31+'Inputs'!$B$32,'Inputs'!$B$30+'Inputs'!$B$31+'Inputs'!$B$32)/1000+'Inputs'!$B$21))^2+('Inputs'!$B$6/2)^2)))-'Results'!C7*(1-'Inputs'!$B$24)*(0.5*((((625-43)*MAX('Inputs'!$B$33,'Inputs'!$B$29+'Inputs'!$B$31+'Inputs'!$B$32,'Inputs'!$B$30+'Inputs'!$B$31+'Inputs'!$B$32)/1000+'Inputs'!$B$21+'Inputs'!$B$7+'Inputs'!$B$10)+'Inputs'!$B$9)/SQRT((((625-43)*MAX('Inputs'!$B$33,'Inputs'!$B$29+'Inputs'!$B$31+'Inputs'!$B$32,'Inputs'!$B$30+'Inputs'!$B$31+'Inputs'!$B$32)/1000+'Inputs'!$B$21+'Inputs'!$B$7+'Inputs'!$B$10)+'Inputs'!$B$9)^2+('Inputs'!$B$8/2)^2)-(((625-43)*MAX('Inputs'!$B$33,'Inputs'!$B$29+'Inputs'!$B$31+'Inputs'!$B$32,'Inputs'!$B$30+'Inputs'!$B$31+'Inputs'!$B$32)/1000+'Inputs'!$B$21+'Inputs'!$B$7+'Inputs'!$B$10))/SQRT((((625-43)*MAX('Inputs'!$B$33,'Inputs'!$B$29+'Inputs'!$B$31+'Inputs'!$B$32,'Inputs'!$B$30+'Inputs'!$B$31+'Inputs'!$B$32)/1000+'Inputs'!$B$21+'Inputs'!$B$7+'Inputs'!$B$10))^2+('Inputs'!$B$8/2)^2))))*'Results'!$B$8))),"")</x:f>
        <x:v>2.797127844566922</x:v>
      </x:c>
      <x:c r="M625" t="n">
        <x:f>IF(AND(ISNUMBER('Results'!C7),ISNUMBER('Results'!B7),ISNUMBER('Results'!$B$8),ISNUMBER('Inputs'!$B$6),ISNUMBER('Inputs'!$B$7),ISNUMBER('Inputs'!$B$8),ISNUMBER('Inputs'!$B$9),ISNUMBER('Inputs'!$B$10),ISNUMBER('Inputs'!$B$21),ISNUMBER('Inputs'!$B$24),ISNUMBER('Inputs'!$B$28)),(('Results'!C7*(0.5*((((625-43)*MAX('Inputs'!$B$33,'Inputs'!$B$29+'Inputs'!$B$31+'Inputs'!$B$32,'Inputs'!$B$30+'Inputs'!$B$31+'Inputs'!$B$32)/1000+'Inputs'!$B$21)+'Inputs'!$B$9)/SQRT((((625-43)*MAX('Inputs'!$B$33,'Inputs'!$B$29+'Inputs'!$B$31+'Inputs'!$B$32,'Inputs'!$B$30+'Inputs'!$B$31+'Inputs'!$B$32)/1000+'Inputs'!$B$21)+'Inputs'!$B$9)^2+('Inputs'!$B$8/2)^2)-(((625-43)*MAX('Inputs'!$B$33,'Inputs'!$B$29+'Inputs'!$B$31+'Inputs'!$B$32,'Inputs'!$B$30+'Inputs'!$B$31+'Inputs'!$B$32)/1000+'Inputs'!$B$21))/SQRT((((625-43)*MAX('Inputs'!$B$33,'Inputs'!$B$29+'Inputs'!$B$31+'Inputs'!$B$32,'Inputs'!$B$30+'Inputs'!$B$31+'Inputs'!$B$32)/1000+'Inputs'!$B$21))^2+('Inputs'!$B$8/2)^2)))-'Results'!B7*(0.5*((((625-43)*MAX('Inputs'!$B$33,'Inputs'!$B$29+'Inputs'!$B$31+'Inputs'!$B$32,'Inputs'!$B$30+'Inputs'!$B$31+'Inputs'!$B$32)/1000+'Inputs'!$B$21+'Inputs'!$B$9+'Inputs'!$B$10)+'Inputs'!$B$7)/SQRT((((625-43)*MAX('Inputs'!$B$33,'Inputs'!$B$29+'Inputs'!$B$31+'Inputs'!$B$32,'Inputs'!$B$30+'Inputs'!$B$31+'Inputs'!$B$32)/1000+'Inputs'!$B$21+'Inputs'!$B$9+'Inputs'!$B$10)+'Inputs'!$B$7)^2+('Inputs'!$B$6/2)^2)-(((625-43)*MAX('Inputs'!$B$33,'Inputs'!$B$29+'Inputs'!$B$31+'Inputs'!$B$32,'Inputs'!$B$30+'Inputs'!$B$31+'Inputs'!$B$32)/1000+'Inputs'!$B$21+'Inputs'!$B$9+'Inputs'!$B$10))/SQRT((((625-43)*MAX('Inputs'!$B$33,'Inputs'!$B$29+'Inputs'!$B$31+'Inputs'!$B$32,'Inputs'!$B$30+'Inputs'!$B$31+'Inputs'!$B$32)/1000+'Inputs'!$B$21+'Inputs'!$B$9+'Inputs'!$B$10))^2+('Inputs'!$B$6/2)^2))))*'Results'!$B$8),"")</x:f>
        <x:v>2.2846418510102873</x:v>
      </x:c>
      <x:c r="N625" t="n">
        <x:f>IF(AND(ISNUMBER('Results'!C7),ISNUMBER('Results'!B7),ISNUMBER('Results'!$B$8),ISNUMBER('Inputs'!$B$6),ISNUMBER('Inputs'!$B$7),ISNUMBER('Inputs'!$B$8),ISNUMBER('Inputs'!$B$9),ISNUMBER('Inputs'!$B$10),ISNUMBER('Inputs'!$B$21),ISNUMBER('Inputs'!$B$24),ISNUMBER('Inputs'!$B$28)),((('Results'!C7*(1-'Inputs'!$B$24)*(0.5*((((625-43)*MAX('Inputs'!$B$33,'Inputs'!$B$29+'Inputs'!$B$31+'Inputs'!$B$32,'Inputs'!$B$30+'Inputs'!$B$31+'Inputs'!$B$32)/1000+'Inputs'!$B$21)+'Inputs'!$B$9)/SQRT((((625-43)*MAX('Inputs'!$B$33,'Inputs'!$B$29+'Inputs'!$B$31+'Inputs'!$B$32,'Inputs'!$B$30+'Inputs'!$B$31+'Inputs'!$B$32)/1000+'Inputs'!$B$21)+'Inputs'!$B$9)^2+('Inputs'!$B$8/2)^2)-(((625-43)*MAX('Inputs'!$B$33,'Inputs'!$B$29+'Inputs'!$B$31+'Inputs'!$B$32,'Inputs'!$B$30+'Inputs'!$B$31+'Inputs'!$B$32)/1000+'Inputs'!$B$21))/SQRT((((625-43)*MAX('Inputs'!$B$33,'Inputs'!$B$29+'Inputs'!$B$31+'Inputs'!$B$32,'Inputs'!$B$30+'Inputs'!$B$31+'Inputs'!$B$32)/1000+'Inputs'!$B$21))^2+('Inputs'!$B$8/2)^2)))-'Results'!B7*(1+'Inputs'!$B$24)*(0.5*((((625-43)*MAX('Inputs'!$B$33,'Inputs'!$B$29+'Inputs'!$B$31+'Inputs'!$B$32,'Inputs'!$B$30+'Inputs'!$B$31+'Inputs'!$B$32)/1000+'Inputs'!$B$21+'Inputs'!$B$9+'Inputs'!$B$10)+'Inputs'!$B$7)/SQRT((((625-43)*MAX('Inputs'!$B$33,'Inputs'!$B$29+'Inputs'!$B$31+'Inputs'!$B$32,'Inputs'!$B$30+'Inputs'!$B$31+'Inputs'!$B$32)/1000+'Inputs'!$B$21+'Inputs'!$B$9+'Inputs'!$B$10)+'Inputs'!$B$7)^2+('Inputs'!$B$6/2)^2)-(((625-43)*MAX('Inputs'!$B$33,'Inputs'!$B$29+'Inputs'!$B$31+'Inputs'!$B$32,'Inputs'!$B$30+'Inputs'!$B$31+'Inputs'!$B$32)/1000+'Inputs'!$B$21+'Inputs'!$B$9+'Inputs'!$B$10))/SQRT((((625-43)*MAX('Inputs'!$B$33,'Inputs'!$B$29+'Inputs'!$B$31+'Inputs'!$B$32,'Inputs'!$B$30+'Inputs'!$B$31+'Inputs'!$B$32)/1000+'Inputs'!$B$21+'Inputs'!$B$9+'Inputs'!$B$10))^2+('Inputs'!$B$6/2)^2))))*'Results'!$B$8)-'Inputs'!$B$28*ABS((('Results'!C7*(1-'Inputs'!$B$24)*(0.5*((((625-43)*MAX('Inputs'!$B$33,'Inputs'!$B$29+'Inputs'!$B$31+'Inputs'!$B$32,'Inputs'!$B$30+'Inputs'!$B$31+'Inputs'!$B$32)/1000+'Inputs'!$B$21)+'Inputs'!$B$9)/SQRT((((625-43)*MAX('Inputs'!$B$33,'Inputs'!$B$29+'Inputs'!$B$31+'Inputs'!$B$32,'Inputs'!$B$30+'Inputs'!$B$31+'Inputs'!$B$32)/1000+'Inputs'!$B$21)+'Inputs'!$B$9)^2+('Inputs'!$B$8/2)^2)-(((625-43)*MAX('Inputs'!$B$33,'Inputs'!$B$29+'Inputs'!$B$31+'Inputs'!$B$32,'Inputs'!$B$30+'Inputs'!$B$31+'Inputs'!$B$32)/1000+'Inputs'!$B$21))/SQRT((((625-43)*MAX('Inputs'!$B$33,'Inputs'!$B$29+'Inputs'!$B$31+'Inputs'!$B$32,'Inputs'!$B$30+'Inputs'!$B$31+'Inputs'!$B$32)/1000+'Inputs'!$B$21))^2+('Inputs'!$B$8/2)^2)))-'Results'!B7*(1+'Inputs'!$B$24)*(0.5*((((625-43)*MAX('Inputs'!$B$33,'Inputs'!$B$29+'Inputs'!$B$31+'Inputs'!$B$32,'Inputs'!$B$30+'Inputs'!$B$31+'Inputs'!$B$32)/1000+'Inputs'!$B$21+'Inputs'!$B$9+'Inputs'!$B$10)+'Inputs'!$B$7)/SQRT((((625-43)*MAX('Inputs'!$B$33,'Inputs'!$B$29+'Inputs'!$B$31+'Inputs'!$B$32,'Inputs'!$B$30+'Inputs'!$B$31+'Inputs'!$B$32)/1000+'Inputs'!$B$21+'Inputs'!$B$9+'Inputs'!$B$10)+'Inputs'!$B$7)^2+('Inputs'!$B$6/2)^2)-(((625-43)*MAX('Inputs'!$B$33,'Inputs'!$B$29+'Inputs'!$B$31+'Inputs'!$B$32,'Inputs'!$B$30+'Inputs'!$B$31+'Inputs'!$B$32)/1000+'Inputs'!$B$21+'Inputs'!$B$9+'Inputs'!$B$10))/SQRT((((625-43)*MAX('Inputs'!$B$33,'Inputs'!$B$29+'Inputs'!$B$31+'Inputs'!$B$32,'Inputs'!$B$30+'Inputs'!$B$31+'Inputs'!$B$32)/1000+'Inputs'!$B$21+'Inputs'!$B$9+'Inputs'!$B$10))^2+('Inputs'!$B$6/2)^2))))*'Results'!$B$8))),"")</x:f>
        <x:v>1.9918365706229784</x:v>
      </x:c>
      <x:c r="O625" t="n">
        <x:f>IF(AND(ISNUMBER('Results'!C7),ISNUMBER('Results'!B7),ISNUMBER('Results'!$B$8),ISNUMBER('Inputs'!$B$6),ISNUMBER('Inputs'!$B$7),ISNUMBER('Inputs'!$B$8),ISNUMBER('Inputs'!$B$9),ISNUMBER('Inputs'!$B$10),ISNUMBER('Inputs'!$B$21),ISNUMBER('Inputs'!$B$24),ISNUMBER('Inputs'!$B$28)),((('Results'!C7*(1+'Inputs'!$B$24)*(0.5*((((625-43)*MAX('Inputs'!$B$33,'Inputs'!$B$29+'Inputs'!$B$31+'Inputs'!$B$32,'Inputs'!$B$30+'Inputs'!$B$31+'Inputs'!$B$32)/1000+'Inputs'!$B$21)+'Inputs'!$B$9)/SQRT((((625-43)*MAX('Inputs'!$B$33,'Inputs'!$B$29+'Inputs'!$B$31+'Inputs'!$B$32,'Inputs'!$B$30+'Inputs'!$B$31+'Inputs'!$B$32)/1000+'Inputs'!$B$21)+'Inputs'!$B$9)^2+('Inputs'!$B$8/2)^2)-(((625-43)*MAX('Inputs'!$B$33,'Inputs'!$B$29+'Inputs'!$B$31+'Inputs'!$B$32,'Inputs'!$B$30+'Inputs'!$B$31+'Inputs'!$B$32)/1000+'Inputs'!$B$21))/SQRT((((625-43)*MAX('Inputs'!$B$33,'Inputs'!$B$29+'Inputs'!$B$31+'Inputs'!$B$32,'Inputs'!$B$30+'Inputs'!$B$31+'Inputs'!$B$32)/1000+'Inputs'!$B$21))^2+('Inputs'!$B$8/2)^2)))-'Results'!B7*(1-'Inputs'!$B$24)*(0.5*((((625-43)*MAX('Inputs'!$B$33,'Inputs'!$B$29+'Inputs'!$B$31+'Inputs'!$B$32,'Inputs'!$B$30+'Inputs'!$B$31+'Inputs'!$B$32)/1000+'Inputs'!$B$21+'Inputs'!$B$9+'Inputs'!$B$10)+'Inputs'!$B$7)/SQRT((((625-43)*MAX('Inputs'!$B$33,'Inputs'!$B$29+'Inputs'!$B$31+'Inputs'!$B$32,'Inputs'!$B$30+'Inputs'!$B$31+'Inputs'!$B$32)/1000+'Inputs'!$B$21+'Inputs'!$B$9+'Inputs'!$B$10)+'Inputs'!$B$7)^2+('Inputs'!$B$6/2)^2)-(((625-43)*MAX('Inputs'!$B$33,'Inputs'!$B$29+'Inputs'!$B$31+'Inputs'!$B$32,'Inputs'!$B$30+'Inputs'!$B$31+'Inputs'!$B$32)/1000+'Inputs'!$B$21+'Inputs'!$B$9+'Inputs'!$B$10))/SQRT((((625-43)*MAX('Inputs'!$B$33,'Inputs'!$B$29+'Inputs'!$B$31+'Inputs'!$B$32,'Inputs'!$B$30+'Inputs'!$B$31+'Inputs'!$B$32)/1000+'Inputs'!$B$21+'Inputs'!$B$9+'Inputs'!$B$10))^2+('Inputs'!$B$6/2)^2))))*'Results'!$B$8)+'Inputs'!$B$28*ABS((('Results'!C7*(1+'Inputs'!$B$24)*(0.5*((((625-43)*MAX('Inputs'!$B$33,'Inputs'!$B$29+'Inputs'!$B$31+'Inputs'!$B$32,'Inputs'!$B$30+'Inputs'!$B$31+'Inputs'!$B$32)/1000+'Inputs'!$B$21)+'Inputs'!$B$9)/SQRT((((625-43)*MAX('Inputs'!$B$33,'Inputs'!$B$29+'Inputs'!$B$31+'Inputs'!$B$32,'Inputs'!$B$30+'Inputs'!$B$31+'Inputs'!$B$32)/1000+'Inputs'!$B$21)+'Inputs'!$B$9)^2+('Inputs'!$B$8/2)^2)-(((625-43)*MAX('Inputs'!$B$33,'Inputs'!$B$29+'Inputs'!$B$31+'Inputs'!$B$32,'Inputs'!$B$30+'Inputs'!$B$31+'Inputs'!$B$32)/1000+'Inputs'!$B$21))/SQRT((((625-43)*MAX('Inputs'!$B$33,'Inputs'!$B$29+'Inputs'!$B$31+'Inputs'!$B$32,'Inputs'!$B$30+'Inputs'!$B$31+'Inputs'!$B$32)/1000+'Inputs'!$B$21))^2+('Inputs'!$B$8/2)^2)))-'Results'!B7*(1-'Inputs'!$B$24)*(0.5*((((625-43)*MAX('Inputs'!$B$33,'Inputs'!$B$29+'Inputs'!$B$31+'Inputs'!$B$32,'Inputs'!$B$30+'Inputs'!$B$31+'Inputs'!$B$32)/1000+'Inputs'!$B$21+'Inputs'!$B$9+'Inputs'!$B$10)+'Inputs'!$B$7)/SQRT((((625-43)*MAX('Inputs'!$B$33,'Inputs'!$B$29+'Inputs'!$B$31+'Inputs'!$B$32,'Inputs'!$B$30+'Inputs'!$B$31+'Inputs'!$B$32)/1000+'Inputs'!$B$21+'Inputs'!$B$9+'Inputs'!$B$10)+'Inputs'!$B$7)^2+('Inputs'!$B$6/2)^2)-(((625-43)*MAX('Inputs'!$B$33,'Inputs'!$B$29+'Inputs'!$B$31+'Inputs'!$B$32,'Inputs'!$B$30+'Inputs'!$B$31+'Inputs'!$B$32)/1000+'Inputs'!$B$21+'Inputs'!$B$9+'Inputs'!$B$10))/SQRT((((625-43)*MAX('Inputs'!$B$33,'Inputs'!$B$29+'Inputs'!$B$31+'Inputs'!$B$32,'Inputs'!$B$30+'Inputs'!$B$31+'Inputs'!$B$32)/1000+'Inputs'!$B$21+'Inputs'!$B$9+'Inputs'!$B$10))^2+('Inputs'!$B$6/2)^2))))*'Results'!$B$8))),"")</x:f>
        <x:v>2.5962443090646268</x:v>
      </x:c>
      <x:c r="P625" t="n">
        <x:f>IF(AND(MAX(J625,J624)&gt;0,J625&gt;J624+0.00000001),1,0)</x:f>
        <x:v>0</x:v>
      </x:c>
      <x:c r="Q625" t="n">
        <x:f>IF(AND(MAX(K625,K624)&gt;0,K625&gt;K624+0.00000001),1,0)</x:f>
        <x:v>0</x:v>
      </x:c>
      <x:c r="R625" t="n">
        <x:f>IF(AND(MAX(L625,L624)&gt;0,L625&gt;L624+0.00000001),1,0)</x:f>
        <x:v>0</x:v>
      </x:c>
      <x:c r="S625" t="n">
        <x:f>IF(AND(MAX(M625,M624)&gt;0,M625&gt;M624+0.00000001),1,0)</x:f>
        <x:v>0</x:v>
      </x:c>
      <x:c r="T625" t="n">
        <x:f>IF(AND(MAX(N625,N624)&gt;0,N625&gt;N624+0.00000001),1,0)</x:f>
        <x:v>0</x:v>
      </x:c>
      <x:c r="U625" t="n">
        <x:f>IF(AND(MAX(O625,O624)&gt;0,O625&gt;O624+0.00000001),1,0)</x:f>
        <x:v>0</x:v>
      </x:c>
    </x:row>
    <x:row r="626">
      <x:c r="J626" t="n">
        <x:f>IF(AND(ISNUMBER('Results'!B7),ISNUMBER('Results'!C7),ISNUMBER('Results'!$B$8),ISNUMBER('Inputs'!$B$6),ISNUMBER('Inputs'!$B$7),ISNUMBER('Inputs'!$B$8),ISNUMBER('Inputs'!$B$9),ISNUMBER('Inputs'!$B$10),ISNUMBER('Inputs'!$B$21),ISNUMBER('Inputs'!$B$24),ISNUMBER('Inputs'!$B$28)),(('Results'!B7*(0.5*((((626-43)*MAX('Inputs'!$B$33,'Inputs'!$B$29+'Inputs'!$B$31+'Inputs'!$B$32,'Inputs'!$B$30+'Inputs'!$B$31+'Inputs'!$B$32)/1000+'Inputs'!$B$21)+'Inputs'!$B$7)/SQRT((((626-43)*MAX('Inputs'!$B$33,'Inputs'!$B$29+'Inputs'!$B$31+'Inputs'!$B$32,'Inputs'!$B$30+'Inputs'!$B$31+'Inputs'!$B$32)/1000+'Inputs'!$B$21)+'Inputs'!$B$7)^2+('Inputs'!$B$6/2)^2)-(((626-43)*MAX('Inputs'!$B$33,'Inputs'!$B$29+'Inputs'!$B$31+'Inputs'!$B$32,'Inputs'!$B$30+'Inputs'!$B$31+'Inputs'!$B$32)/1000+'Inputs'!$B$21))/SQRT((((626-43)*MAX('Inputs'!$B$33,'Inputs'!$B$29+'Inputs'!$B$31+'Inputs'!$B$32,'Inputs'!$B$30+'Inputs'!$B$31+'Inputs'!$B$32)/1000+'Inputs'!$B$21))^2+('Inputs'!$B$6/2)^2)))-'Results'!C7*(0.5*((((626-43)*MAX('Inputs'!$B$33,'Inputs'!$B$29+'Inputs'!$B$31+'Inputs'!$B$32,'Inputs'!$B$30+'Inputs'!$B$31+'Inputs'!$B$32)/1000+'Inputs'!$B$21+'Inputs'!$B$7+'Inputs'!$B$10)+'Inputs'!$B$9)/SQRT((((626-43)*MAX('Inputs'!$B$33,'Inputs'!$B$29+'Inputs'!$B$31+'Inputs'!$B$32,'Inputs'!$B$30+'Inputs'!$B$31+'Inputs'!$B$32)/1000+'Inputs'!$B$21+'Inputs'!$B$7+'Inputs'!$B$10)+'Inputs'!$B$9)^2+('Inputs'!$B$8/2)^2)-(((626-43)*MAX('Inputs'!$B$33,'Inputs'!$B$29+'Inputs'!$B$31+'Inputs'!$B$32,'Inputs'!$B$30+'Inputs'!$B$31+'Inputs'!$B$32)/1000+'Inputs'!$B$21+'Inputs'!$B$7+'Inputs'!$B$10))/SQRT((((626-43)*MAX('Inputs'!$B$33,'Inputs'!$B$29+'Inputs'!$B$31+'Inputs'!$B$32,'Inputs'!$B$30+'Inputs'!$B$31+'Inputs'!$B$32)/1000+'Inputs'!$B$21+'Inputs'!$B$7+'Inputs'!$B$10))^2+('Inputs'!$B$8/2)^2))))*'Results'!$B$8),"")</x:f>
        <x:v>2.460240435664621</x:v>
      </x:c>
      <x:c r="K626" t="n">
        <x:f>IF(AND(ISNUMBER('Results'!B7),ISNUMBER('Results'!C7),ISNUMBER('Results'!$B$8),ISNUMBER('Inputs'!$B$6),ISNUMBER('Inputs'!$B$7),ISNUMBER('Inputs'!$B$8),ISNUMBER('Inputs'!$B$9),ISNUMBER('Inputs'!$B$10),ISNUMBER('Inputs'!$B$21),ISNUMBER('Inputs'!$B$24),ISNUMBER('Inputs'!$B$28)),((('Results'!B7*(1-'Inputs'!$B$24)*(0.5*((((626-43)*MAX('Inputs'!$B$33,'Inputs'!$B$29+'Inputs'!$B$31+'Inputs'!$B$32,'Inputs'!$B$30+'Inputs'!$B$31+'Inputs'!$B$32)/1000+'Inputs'!$B$21)+'Inputs'!$B$7)/SQRT((((626-43)*MAX('Inputs'!$B$33,'Inputs'!$B$29+'Inputs'!$B$31+'Inputs'!$B$32,'Inputs'!$B$30+'Inputs'!$B$31+'Inputs'!$B$32)/1000+'Inputs'!$B$21)+'Inputs'!$B$7)^2+('Inputs'!$B$6/2)^2)-(((626-43)*MAX('Inputs'!$B$33,'Inputs'!$B$29+'Inputs'!$B$31+'Inputs'!$B$32,'Inputs'!$B$30+'Inputs'!$B$31+'Inputs'!$B$32)/1000+'Inputs'!$B$21))/SQRT((((626-43)*MAX('Inputs'!$B$33,'Inputs'!$B$29+'Inputs'!$B$31+'Inputs'!$B$32,'Inputs'!$B$30+'Inputs'!$B$31+'Inputs'!$B$32)/1000+'Inputs'!$B$21))^2+('Inputs'!$B$6/2)^2)))-'Results'!C7*(1+'Inputs'!$B$24)*(0.5*((((626-43)*MAX('Inputs'!$B$33,'Inputs'!$B$29+'Inputs'!$B$31+'Inputs'!$B$32,'Inputs'!$B$30+'Inputs'!$B$31+'Inputs'!$B$32)/1000+'Inputs'!$B$21+'Inputs'!$B$7+'Inputs'!$B$10)+'Inputs'!$B$9)/SQRT((((626-43)*MAX('Inputs'!$B$33,'Inputs'!$B$29+'Inputs'!$B$31+'Inputs'!$B$32,'Inputs'!$B$30+'Inputs'!$B$31+'Inputs'!$B$32)/1000+'Inputs'!$B$21+'Inputs'!$B$7+'Inputs'!$B$10)+'Inputs'!$B$9)^2+('Inputs'!$B$8/2)^2)-(((626-43)*MAX('Inputs'!$B$33,'Inputs'!$B$29+'Inputs'!$B$31+'Inputs'!$B$32,'Inputs'!$B$30+'Inputs'!$B$31+'Inputs'!$B$32)/1000+'Inputs'!$B$21+'Inputs'!$B$7+'Inputs'!$B$10))/SQRT((((626-43)*MAX('Inputs'!$B$33,'Inputs'!$B$29+'Inputs'!$B$31+'Inputs'!$B$32,'Inputs'!$B$30+'Inputs'!$B$31+'Inputs'!$B$32)/1000+'Inputs'!$B$21+'Inputs'!$B$7+'Inputs'!$B$10))^2+('Inputs'!$B$8/2)^2))))*'Results'!$B$8)-'Inputs'!$B$28*ABS((('Results'!B7*(1-'Inputs'!$B$24)*(0.5*((((626-43)*MAX('Inputs'!$B$33,'Inputs'!$B$29+'Inputs'!$B$31+'Inputs'!$B$32,'Inputs'!$B$30+'Inputs'!$B$31+'Inputs'!$B$32)/1000+'Inputs'!$B$21)+'Inputs'!$B$7)/SQRT((((626-43)*MAX('Inputs'!$B$33,'Inputs'!$B$29+'Inputs'!$B$31+'Inputs'!$B$32,'Inputs'!$B$30+'Inputs'!$B$31+'Inputs'!$B$32)/1000+'Inputs'!$B$21)+'Inputs'!$B$7)^2+('Inputs'!$B$6/2)^2)-(((626-43)*MAX('Inputs'!$B$33,'Inputs'!$B$29+'Inputs'!$B$31+'Inputs'!$B$32,'Inputs'!$B$30+'Inputs'!$B$31+'Inputs'!$B$32)/1000+'Inputs'!$B$21))/SQRT((((626-43)*MAX('Inputs'!$B$33,'Inputs'!$B$29+'Inputs'!$B$31+'Inputs'!$B$32,'Inputs'!$B$30+'Inputs'!$B$31+'Inputs'!$B$32)/1000+'Inputs'!$B$21))^2+('Inputs'!$B$6/2)^2)))-'Results'!C7*(1+'Inputs'!$B$24)*(0.5*((((626-43)*MAX('Inputs'!$B$33,'Inputs'!$B$29+'Inputs'!$B$31+'Inputs'!$B$32,'Inputs'!$B$30+'Inputs'!$B$31+'Inputs'!$B$32)/1000+'Inputs'!$B$21+'Inputs'!$B$7+'Inputs'!$B$10)+'Inputs'!$B$9)/SQRT((((626-43)*MAX('Inputs'!$B$33,'Inputs'!$B$29+'Inputs'!$B$31+'Inputs'!$B$32,'Inputs'!$B$30+'Inputs'!$B$31+'Inputs'!$B$32)/1000+'Inputs'!$B$21+'Inputs'!$B$7+'Inputs'!$B$10)+'Inputs'!$B$9)^2+('Inputs'!$B$8/2)^2)-(((626-43)*MAX('Inputs'!$B$33,'Inputs'!$B$29+'Inputs'!$B$31+'Inputs'!$B$32,'Inputs'!$B$30+'Inputs'!$B$31+'Inputs'!$B$32)/1000+'Inputs'!$B$21+'Inputs'!$B$7+'Inputs'!$B$10))/SQRT((((626-43)*MAX('Inputs'!$B$33,'Inputs'!$B$29+'Inputs'!$B$31+'Inputs'!$B$32,'Inputs'!$B$30+'Inputs'!$B$31+'Inputs'!$B$32)/1000+'Inputs'!$B$21+'Inputs'!$B$7+'Inputs'!$B$10))^2+('Inputs'!$B$8/2)^2))))*'Results'!$B$8))),"")</x:f>
        <x:v>2.1585690563367357</x:v>
      </x:c>
      <x:c r="L626" t="n">
        <x:f>IF(AND(ISNUMBER('Results'!B7),ISNUMBER('Results'!C7),ISNUMBER('Results'!$B$8),ISNUMBER('Inputs'!$B$6),ISNUMBER('Inputs'!$B$7),ISNUMBER('Inputs'!$B$8),ISNUMBER('Inputs'!$B$9),ISNUMBER('Inputs'!$B$10),ISNUMBER('Inputs'!$B$21),ISNUMBER('Inputs'!$B$24),ISNUMBER('Inputs'!$B$28)),((('Results'!B7*(1+'Inputs'!$B$24)*(0.5*((((626-43)*MAX('Inputs'!$B$33,'Inputs'!$B$29+'Inputs'!$B$31+'Inputs'!$B$32,'Inputs'!$B$30+'Inputs'!$B$31+'Inputs'!$B$32)/1000+'Inputs'!$B$21)+'Inputs'!$B$7)/SQRT((((626-43)*MAX('Inputs'!$B$33,'Inputs'!$B$29+'Inputs'!$B$31+'Inputs'!$B$32,'Inputs'!$B$30+'Inputs'!$B$31+'Inputs'!$B$32)/1000+'Inputs'!$B$21)+'Inputs'!$B$7)^2+('Inputs'!$B$6/2)^2)-(((626-43)*MAX('Inputs'!$B$33,'Inputs'!$B$29+'Inputs'!$B$31+'Inputs'!$B$32,'Inputs'!$B$30+'Inputs'!$B$31+'Inputs'!$B$32)/1000+'Inputs'!$B$21))/SQRT((((626-43)*MAX('Inputs'!$B$33,'Inputs'!$B$29+'Inputs'!$B$31+'Inputs'!$B$32,'Inputs'!$B$30+'Inputs'!$B$31+'Inputs'!$B$32)/1000+'Inputs'!$B$21))^2+('Inputs'!$B$6/2)^2)))-'Results'!C7*(1-'Inputs'!$B$24)*(0.5*((((626-43)*MAX('Inputs'!$B$33,'Inputs'!$B$29+'Inputs'!$B$31+'Inputs'!$B$32,'Inputs'!$B$30+'Inputs'!$B$31+'Inputs'!$B$32)/1000+'Inputs'!$B$21+'Inputs'!$B$7+'Inputs'!$B$10)+'Inputs'!$B$9)/SQRT((((626-43)*MAX('Inputs'!$B$33,'Inputs'!$B$29+'Inputs'!$B$31+'Inputs'!$B$32,'Inputs'!$B$30+'Inputs'!$B$31+'Inputs'!$B$32)/1000+'Inputs'!$B$21+'Inputs'!$B$7+'Inputs'!$B$10)+'Inputs'!$B$9)^2+('Inputs'!$B$8/2)^2)-(((626-43)*MAX('Inputs'!$B$33,'Inputs'!$B$29+'Inputs'!$B$31+'Inputs'!$B$32,'Inputs'!$B$30+'Inputs'!$B$31+'Inputs'!$B$32)/1000+'Inputs'!$B$21+'Inputs'!$B$7+'Inputs'!$B$10))/SQRT((((626-43)*MAX('Inputs'!$B$33,'Inputs'!$B$29+'Inputs'!$B$31+'Inputs'!$B$32,'Inputs'!$B$30+'Inputs'!$B$31+'Inputs'!$B$32)/1000+'Inputs'!$B$21+'Inputs'!$B$7+'Inputs'!$B$10))^2+('Inputs'!$B$8/2)^2))))*'Results'!$B$8)+'Inputs'!$B$28*ABS((('Results'!B7*(1+'Inputs'!$B$24)*(0.5*((((626-43)*MAX('Inputs'!$B$33,'Inputs'!$B$29+'Inputs'!$B$31+'Inputs'!$B$32,'Inputs'!$B$30+'Inputs'!$B$31+'Inputs'!$B$32)/1000+'Inputs'!$B$21)+'Inputs'!$B$7)/SQRT((((626-43)*MAX('Inputs'!$B$33,'Inputs'!$B$29+'Inputs'!$B$31+'Inputs'!$B$32,'Inputs'!$B$30+'Inputs'!$B$31+'Inputs'!$B$32)/1000+'Inputs'!$B$21)+'Inputs'!$B$7)^2+('Inputs'!$B$6/2)^2)-(((626-43)*MAX('Inputs'!$B$33,'Inputs'!$B$29+'Inputs'!$B$31+'Inputs'!$B$32,'Inputs'!$B$30+'Inputs'!$B$31+'Inputs'!$B$32)/1000+'Inputs'!$B$21))/SQRT((((626-43)*MAX('Inputs'!$B$33,'Inputs'!$B$29+'Inputs'!$B$31+'Inputs'!$B$32,'Inputs'!$B$30+'Inputs'!$B$31+'Inputs'!$B$32)/1000+'Inputs'!$B$21))^2+('Inputs'!$B$6/2)^2)))-'Results'!C7*(1-'Inputs'!$B$24)*(0.5*((((626-43)*MAX('Inputs'!$B$33,'Inputs'!$B$29+'Inputs'!$B$31+'Inputs'!$B$32,'Inputs'!$B$30+'Inputs'!$B$31+'Inputs'!$B$32)/1000+'Inputs'!$B$21+'Inputs'!$B$7+'Inputs'!$B$10)+'Inputs'!$B$9)/SQRT((((626-43)*MAX('Inputs'!$B$33,'Inputs'!$B$29+'Inputs'!$B$31+'Inputs'!$B$32,'Inputs'!$B$30+'Inputs'!$B$31+'Inputs'!$B$32)/1000+'Inputs'!$B$21+'Inputs'!$B$7+'Inputs'!$B$10)+'Inputs'!$B$9)^2+('Inputs'!$B$8/2)^2)-(((626-43)*MAX('Inputs'!$B$33,'Inputs'!$B$29+'Inputs'!$B$31+'Inputs'!$B$32,'Inputs'!$B$30+'Inputs'!$B$31+'Inputs'!$B$32)/1000+'Inputs'!$B$21+'Inputs'!$B$7+'Inputs'!$B$10))/SQRT((((626-43)*MAX('Inputs'!$B$33,'Inputs'!$B$29+'Inputs'!$B$31+'Inputs'!$B$32,'Inputs'!$B$30+'Inputs'!$B$31+'Inputs'!$B$32)/1000+'Inputs'!$B$21+'Inputs'!$B$7+'Inputs'!$B$10))^2+('Inputs'!$B$8/2)^2))))*'Results'!$B$8))),"")</x:f>
        <x:v>2.780718063155102</x:v>
      </x:c>
      <x:c r="M626" t="n">
        <x:f>IF(AND(ISNUMBER('Results'!C7),ISNUMBER('Results'!B7),ISNUMBER('Results'!$B$8),ISNUMBER('Inputs'!$B$6),ISNUMBER('Inputs'!$B$7),ISNUMBER('Inputs'!$B$8),ISNUMBER('Inputs'!$B$9),ISNUMBER('Inputs'!$B$10),ISNUMBER('Inputs'!$B$21),ISNUMBER('Inputs'!$B$24),ISNUMBER('Inputs'!$B$28)),(('Results'!C7*(0.5*((((626-43)*MAX('Inputs'!$B$33,'Inputs'!$B$29+'Inputs'!$B$31+'Inputs'!$B$32,'Inputs'!$B$30+'Inputs'!$B$31+'Inputs'!$B$32)/1000+'Inputs'!$B$21)+'Inputs'!$B$9)/SQRT((((626-43)*MAX('Inputs'!$B$33,'Inputs'!$B$29+'Inputs'!$B$31+'Inputs'!$B$32,'Inputs'!$B$30+'Inputs'!$B$31+'Inputs'!$B$32)/1000+'Inputs'!$B$21)+'Inputs'!$B$9)^2+('Inputs'!$B$8/2)^2)-(((626-43)*MAX('Inputs'!$B$33,'Inputs'!$B$29+'Inputs'!$B$31+'Inputs'!$B$32,'Inputs'!$B$30+'Inputs'!$B$31+'Inputs'!$B$32)/1000+'Inputs'!$B$21))/SQRT((((626-43)*MAX('Inputs'!$B$33,'Inputs'!$B$29+'Inputs'!$B$31+'Inputs'!$B$32,'Inputs'!$B$30+'Inputs'!$B$31+'Inputs'!$B$32)/1000+'Inputs'!$B$21))^2+('Inputs'!$B$8/2)^2)))-'Results'!B7*(0.5*((((626-43)*MAX('Inputs'!$B$33,'Inputs'!$B$29+'Inputs'!$B$31+'Inputs'!$B$32,'Inputs'!$B$30+'Inputs'!$B$31+'Inputs'!$B$32)/1000+'Inputs'!$B$21+'Inputs'!$B$9+'Inputs'!$B$10)+'Inputs'!$B$7)/SQRT((((626-43)*MAX('Inputs'!$B$33,'Inputs'!$B$29+'Inputs'!$B$31+'Inputs'!$B$32,'Inputs'!$B$30+'Inputs'!$B$31+'Inputs'!$B$32)/1000+'Inputs'!$B$21+'Inputs'!$B$9+'Inputs'!$B$10)+'Inputs'!$B$7)^2+('Inputs'!$B$6/2)^2)-(((626-43)*MAX('Inputs'!$B$33,'Inputs'!$B$29+'Inputs'!$B$31+'Inputs'!$B$32,'Inputs'!$B$30+'Inputs'!$B$31+'Inputs'!$B$32)/1000+'Inputs'!$B$21+'Inputs'!$B$9+'Inputs'!$B$10))/SQRT((((626-43)*MAX('Inputs'!$B$33,'Inputs'!$B$29+'Inputs'!$B$31+'Inputs'!$B$32,'Inputs'!$B$30+'Inputs'!$B$31+'Inputs'!$B$32)/1000+'Inputs'!$B$21+'Inputs'!$B$9+'Inputs'!$B$10))^2+('Inputs'!$B$6/2)^2))))*'Results'!$B$8),"")</x:f>
        <x:v>2.270761039008948</x:v>
      </x:c>
      <x:c r="N626" t="n">
        <x:f>IF(AND(ISNUMBER('Results'!C7),ISNUMBER('Results'!B7),ISNUMBER('Results'!$B$8),ISNUMBER('Inputs'!$B$6),ISNUMBER('Inputs'!$B$7),ISNUMBER('Inputs'!$B$8),ISNUMBER('Inputs'!$B$9),ISNUMBER('Inputs'!$B$10),ISNUMBER('Inputs'!$B$21),ISNUMBER('Inputs'!$B$24),ISNUMBER('Inputs'!$B$28)),((('Results'!C7*(1-'Inputs'!$B$24)*(0.5*((((626-43)*MAX('Inputs'!$B$33,'Inputs'!$B$29+'Inputs'!$B$31+'Inputs'!$B$32,'Inputs'!$B$30+'Inputs'!$B$31+'Inputs'!$B$32)/1000+'Inputs'!$B$21)+'Inputs'!$B$9)/SQRT((((626-43)*MAX('Inputs'!$B$33,'Inputs'!$B$29+'Inputs'!$B$31+'Inputs'!$B$32,'Inputs'!$B$30+'Inputs'!$B$31+'Inputs'!$B$32)/1000+'Inputs'!$B$21)+'Inputs'!$B$9)^2+('Inputs'!$B$8/2)^2)-(((626-43)*MAX('Inputs'!$B$33,'Inputs'!$B$29+'Inputs'!$B$31+'Inputs'!$B$32,'Inputs'!$B$30+'Inputs'!$B$31+'Inputs'!$B$32)/1000+'Inputs'!$B$21))/SQRT((((626-43)*MAX('Inputs'!$B$33,'Inputs'!$B$29+'Inputs'!$B$31+'Inputs'!$B$32,'Inputs'!$B$30+'Inputs'!$B$31+'Inputs'!$B$32)/1000+'Inputs'!$B$21))^2+('Inputs'!$B$8/2)^2)))-'Results'!B7*(1+'Inputs'!$B$24)*(0.5*((((626-43)*MAX('Inputs'!$B$33,'Inputs'!$B$29+'Inputs'!$B$31+'Inputs'!$B$32,'Inputs'!$B$30+'Inputs'!$B$31+'Inputs'!$B$32)/1000+'Inputs'!$B$21+'Inputs'!$B$9+'Inputs'!$B$10)+'Inputs'!$B$7)/SQRT((((626-43)*MAX('Inputs'!$B$33,'Inputs'!$B$29+'Inputs'!$B$31+'Inputs'!$B$32,'Inputs'!$B$30+'Inputs'!$B$31+'Inputs'!$B$32)/1000+'Inputs'!$B$21+'Inputs'!$B$9+'Inputs'!$B$10)+'Inputs'!$B$7)^2+('Inputs'!$B$6/2)^2)-(((626-43)*MAX('Inputs'!$B$33,'Inputs'!$B$29+'Inputs'!$B$31+'Inputs'!$B$32,'Inputs'!$B$30+'Inputs'!$B$31+'Inputs'!$B$32)/1000+'Inputs'!$B$21+'Inputs'!$B$9+'Inputs'!$B$10))/SQRT((((626-43)*MAX('Inputs'!$B$33,'Inputs'!$B$29+'Inputs'!$B$31+'Inputs'!$B$32,'Inputs'!$B$30+'Inputs'!$B$31+'Inputs'!$B$32)/1000+'Inputs'!$B$21+'Inputs'!$B$9+'Inputs'!$B$10))^2+('Inputs'!$B$6/2)^2))))*'Results'!$B$8)-'Inputs'!$B$28*ABS((('Results'!C7*(1-'Inputs'!$B$24)*(0.5*((((626-43)*MAX('Inputs'!$B$33,'Inputs'!$B$29+'Inputs'!$B$31+'Inputs'!$B$32,'Inputs'!$B$30+'Inputs'!$B$31+'Inputs'!$B$32)/1000+'Inputs'!$B$21)+'Inputs'!$B$9)/SQRT((((626-43)*MAX('Inputs'!$B$33,'Inputs'!$B$29+'Inputs'!$B$31+'Inputs'!$B$32,'Inputs'!$B$30+'Inputs'!$B$31+'Inputs'!$B$32)/1000+'Inputs'!$B$21)+'Inputs'!$B$9)^2+('Inputs'!$B$8/2)^2)-(((626-43)*MAX('Inputs'!$B$33,'Inputs'!$B$29+'Inputs'!$B$31+'Inputs'!$B$32,'Inputs'!$B$30+'Inputs'!$B$31+'Inputs'!$B$32)/1000+'Inputs'!$B$21))/SQRT((((626-43)*MAX('Inputs'!$B$33,'Inputs'!$B$29+'Inputs'!$B$31+'Inputs'!$B$32,'Inputs'!$B$30+'Inputs'!$B$31+'Inputs'!$B$32)/1000+'Inputs'!$B$21))^2+('Inputs'!$B$8/2)^2)))-'Results'!B7*(1+'Inputs'!$B$24)*(0.5*((((626-43)*MAX('Inputs'!$B$33,'Inputs'!$B$29+'Inputs'!$B$31+'Inputs'!$B$32,'Inputs'!$B$30+'Inputs'!$B$31+'Inputs'!$B$32)/1000+'Inputs'!$B$21+'Inputs'!$B$9+'Inputs'!$B$10)+'Inputs'!$B$7)/SQRT((((626-43)*MAX('Inputs'!$B$33,'Inputs'!$B$29+'Inputs'!$B$31+'Inputs'!$B$32,'Inputs'!$B$30+'Inputs'!$B$31+'Inputs'!$B$32)/1000+'Inputs'!$B$21+'Inputs'!$B$9+'Inputs'!$B$10)+'Inputs'!$B$7)^2+('Inputs'!$B$6/2)^2)-(((626-43)*MAX('Inputs'!$B$33,'Inputs'!$B$29+'Inputs'!$B$31+'Inputs'!$B$32,'Inputs'!$B$30+'Inputs'!$B$31+'Inputs'!$B$32)/1000+'Inputs'!$B$21+'Inputs'!$B$9+'Inputs'!$B$10))/SQRT((((626-43)*MAX('Inputs'!$B$33,'Inputs'!$B$29+'Inputs'!$B$31+'Inputs'!$B$32,'Inputs'!$B$30+'Inputs'!$B$31+'Inputs'!$B$32)/1000+'Inputs'!$B$21+'Inputs'!$B$9+'Inputs'!$B$10))^2+('Inputs'!$B$6/2)^2))))*'Results'!$B$8))),"")</x:f>
        <x:v>1.9794715994938334</x:v>
      </x:c>
      <x:c r="O626" t="n">
        <x:f>IF(AND(ISNUMBER('Results'!C7),ISNUMBER('Results'!B7),ISNUMBER('Results'!$B$8),ISNUMBER('Inputs'!$B$6),ISNUMBER('Inputs'!$B$7),ISNUMBER('Inputs'!$B$8),ISNUMBER('Inputs'!$B$9),ISNUMBER('Inputs'!$B$10),ISNUMBER('Inputs'!$B$21),ISNUMBER('Inputs'!$B$24),ISNUMBER('Inputs'!$B$28)),((('Results'!C7*(1+'Inputs'!$B$24)*(0.5*((((626-43)*MAX('Inputs'!$B$33,'Inputs'!$B$29+'Inputs'!$B$31+'Inputs'!$B$32,'Inputs'!$B$30+'Inputs'!$B$31+'Inputs'!$B$32)/1000+'Inputs'!$B$21)+'Inputs'!$B$9)/SQRT((((626-43)*MAX('Inputs'!$B$33,'Inputs'!$B$29+'Inputs'!$B$31+'Inputs'!$B$32,'Inputs'!$B$30+'Inputs'!$B$31+'Inputs'!$B$32)/1000+'Inputs'!$B$21)+'Inputs'!$B$9)^2+('Inputs'!$B$8/2)^2)-(((626-43)*MAX('Inputs'!$B$33,'Inputs'!$B$29+'Inputs'!$B$31+'Inputs'!$B$32,'Inputs'!$B$30+'Inputs'!$B$31+'Inputs'!$B$32)/1000+'Inputs'!$B$21))/SQRT((((626-43)*MAX('Inputs'!$B$33,'Inputs'!$B$29+'Inputs'!$B$31+'Inputs'!$B$32,'Inputs'!$B$30+'Inputs'!$B$31+'Inputs'!$B$32)/1000+'Inputs'!$B$21))^2+('Inputs'!$B$8/2)^2)))-'Results'!B7*(1-'Inputs'!$B$24)*(0.5*((((626-43)*MAX('Inputs'!$B$33,'Inputs'!$B$29+'Inputs'!$B$31+'Inputs'!$B$32,'Inputs'!$B$30+'Inputs'!$B$31+'Inputs'!$B$32)/1000+'Inputs'!$B$21+'Inputs'!$B$9+'Inputs'!$B$10)+'Inputs'!$B$7)/SQRT((((626-43)*MAX('Inputs'!$B$33,'Inputs'!$B$29+'Inputs'!$B$31+'Inputs'!$B$32,'Inputs'!$B$30+'Inputs'!$B$31+'Inputs'!$B$32)/1000+'Inputs'!$B$21+'Inputs'!$B$9+'Inputs'!$B$10)+'Inputs'!$B$7)^2+('Inputs'!$B$6/2)^2)-(((626-43)*MAX('Inputs'!$B$33,'Inputs'!$B$29+'Inputs'!$B$31+'Inputs'!$B$32,'Inputs'!$B$30+'Inputs'!$B$31+'Inputs'!$B$32)/1000+'Inputs'!$B$21+'Inputs'!$B$9+'Inputs'!$B$10))/SQRT((((626-43)*MAX('Inputs'!$B$33,'Inputs'!$B$29+'Inputs'!$B$31+'Inputs'!$B$32,'Inputs'!$B$30+'Inputs'!$B$31+'Inputs'!$B$32)/1000+'Inputs'!$B$21+'Inputs'!$B$9+'Inputs'!$B$10))^2+('Inputs'!$B$6/2)^2))))*'Results'!$B$8)+'Inputs'!$B$28*ABS((('Results'!C7*(1+'Inputs'!$B$24)*(0.5*((((626-43)*MAX('Inputs'!$B$33,'Inputs'!$B$29+'Inputs'!$B$31+'Inputs'!$B$32,'Inputs'!$B$30+'Inputs'!$B$31+'Inputs'!$B$32)/1000+'Inputs'!$B$21)+'Inputs'!$B$9)/SQRT((((626-43)*MAX('Inputs'!$B$33,'Inputs'!$B$29+'Inputs'!$B$31+'Inputs'!$B$32,'Inputs'!$B$30+'Inputs'!$B$31+'Inputs'!$B$32)/1000+'Inputs'!$B$21)+'Inputs'!$B$9)^2+('Inputs'!$B$8/2)^2)-(((626-43)*MAX('Inputs'!$B$33,'Inputs'!$B$29+'Inputs'!$B$31+'Inputs'!$B$32,'Inputs'!$B$30+'Inputs'!$B$31+'Inputs'!$B$32)/1000+'Inputs'!$B$21))/SQRT((((626-43)*MAX('Inputs'!$B$33,'Inputs'!$B$29+'Inputs'!$B$31+'Inputs'!$B$32,'Inputs'!$B$30+'Inputs'!$B$31+'Inputs'!$B$32)/1000+'Inputs'!$B$21))^2+('Inputs'!$B$8/2)^2)))-'Results'!B7*(1-'Inputs'!$B$24)*(0.5*((((626-43)*MAX('Inputs'!$B$33,'Inputs'!$B$29+'Inputs'!$B$31+'Inputs'!$B$32,'Inputs'!$B$30+'Inputs'!$B$31+'Inputs'!$B$32)/1000+'Inputs'!$B$21+'Inputs'!$B$9+'Inputs'!$B$10)+'Inputs'!$B$7)/SQRT((((626-43)*MAX('Inputs'!$B$33,'Inputs'!$B$29+'Inputs'!$B$31+'Inputs'!$B$32,'Inputs'!$B$30+'Inputs'!$B$31+'Inputs'!$B$32)/1000+'Inputs'!$B$21+'Inputs'!$B$9+'Inputs'!$B$10)+'Inputs'!$B$7)^2+('Inputs'!$B$6/2)^2)-(((626-43)*MAX('Inputs'!$B$33,'Inputs'!$B$29+'Inputs'!$B$31+'Inputs'!$B$32,'Inputs'!$B$30+'Inputs'!$B$31+'Inputs'!$B$32)/1000+'Inputs'!$B$21+'Inputs'!$B$9+'Inputs'!$B$10))/SQRT((((626-43)*MAX('Inputs'!$B$33,'Inputs'!$B$29+'Inputs'!$B$31+'Inputs'!$B$32,'Inputs'!$B$30+'Inputs'!$B$31+'Inputs'!$B$32)/1000+'Inputs'!$B$21+'Inputs'!$B$9+'Inputs'!$B$10))^2+('Inputs'!$B$6/2)^2))))*'Results'!$B$8))),"")</x:f>
        <x:v>2.580761150899291</x:v>
      </x:c>
      <x:c r="P626" t="n">
        <x:f>IF(AND(MAX(J626,J625)&gt;0,J626&gt;J625+0.00000001),1,0)</x:f>
        <x:v>0</x:v>
      </x:c>
      <x:c r="Q626" t="n">
        <x:f>IF(AND(MAX(K626,K625)&gt;0,K626&gt;K625+0.00000001),1,0)</x:f>
        <x:v>0</x:v>
      </x:c>
      <x:c r="R626" t="n">
        <x:f>IF(AND(MAX(L626,L625)&gt;0,L626&gt;L625+0.00000001),1,0)</x:f>
        <x:v>0</x:v>
      </x:c>
      <x:c r="S626" t="n">
        <x:f>IF(AND(MAX(M626,M625)&gt;0,M626&gt;M625+0.00000001),1,0)</x:f>
        <x:v>0</x:v>
      </x:c>
      <x:c r="T626" t="n">
        <x:f>IF(AND(MAX(N626,N625)&gt;0,N626&gt;N625+0.00000001),1,0)</x:f>
        <x:v>0</x:v>
      </x:c>
      <x:c r="U626" t="n">
        <x:f>IF(AND(MAX(O626,O625)&gt;0,O626&gt;O625+0.00000001),1,0)</x:f>
        <x:v>0</x:v>
      </x:c>
    </x:row>
    <x:row r="627">
      <x:c r="J627" t="n">
        <x:f>IF(AND(ISNUMBER('Results'!B7),ISNUMBER('Results'!C7),ISNUMBER('Results'!$B$8),ISNUMBER('Inputs'!$B$6),ISNUMBER('Inputs'!$B$7),ISNUMBER('Inputs'!$B$8),ISNUMBER('Inputs'!$B$9),ISNUMBER('Inputs'!$B$10),ISNUMBER('Inputs'!$B$21),ISNUMBER('Inputs'!$B$24),ISNUMBER('Inputs'!$B$28)),(('Results'!B7*(0.5*((((627-43)*MAX('Inputs'!$B$33,'Inputs'!$B$29+'Inputs'!$B$31+'Inputs'!$B$32,'Inputs'!$B$30+'Inputs'!$B$31+'Inputs'!$B$32)/1000+'Inputs'!$B$21)+'Inputs'!$B$7)/SQRT((((627-43)*MAX('Inputs'!$B$33,'Inputs'!$B$29+'Inputs'!$B$31+'Inputs'!$B$32,'Inputs'!$B$30+'Inputs'!$B$31+'Inputs'!$B$32)/1000+'Inputs'!$B$21)+'Inputs'!$B$7)^2+('Inputs'!$B$6/2)^2)-(((627-43)*MAX('Inputs'!$B$33,'Inputs'!$B$29+'Inputs'!$B$31+'Inputs'!$B$32,'Inputs'!$B$30+'Inputs'!$B$31+'Inputs'!$B$32)/1000+'Inputs'!$B$21))/SQRT((((627-43)*MAX('Inputs'!$B$33,'Inputs'!$B$29+'Inputs'!$B$31+'Inputs'!$B$32,'Inputs'!$B$30+'Inputs'!$B$31+'Inputs'!$B$32)/1000+'Inputs'!$B$21))^2+('Inputs'!$B$6/2)^2)))-'Results'!C7*(0.5*((((627-43)*MAX('Inputs'!$B$33,'Inputs'!$B$29+'Inputs'!$B$31+'Inputs'!$B$32,'Inputs'!$B$30+'Inputs'!$B$31+'Inputs'!$B$32)/1000+'Inputs'!$B$21+'Inputs'!$B$7+'Inputs'!$B$10)+'Inputs'!$B$9)/SQRT((((627-43)*MAX('Inputs'!$B$33,'Inputs'!$B$29+'Inputs'!$B$31+'Inputs'!$B$32,'Inputs'!$B$30+'Inputs'!$B$31+'Inputs'!$B$32)/1000+'Inputs'!$B$21+'Inputs'!$B$7+'Inputs'!$B$10)+'Inputs'!$B$9)^2+('Inputs'!$B$8/2)^2)-(((627-43)*MAX('Inputs'!$B$33,'Inputs'!$B$29+'Inputs'!$B$31+'Inputs'!$B$32,'Inputs'!$B$30+'Inputs'!$B$31+'Inputs'!$B$32)/1000+'Inputs'!$B$21+'Inputs'!$B$7+'Inputs'!$B$10))/SQRT((((627-43)*MAX('Inputs'!$B$33,'Inputs'!$B$29+'Inputs'!$B$31+'Inputs'!$B$32,'Inputs'!$B$30+'Inputs'!$B$31+'Inputs'!$B$32)/1000+'Inputs'!$B$21+'Inputs'!$B$7+'Inputs'!$B$10))^2+('Inputs'!$B$8/2)^2))))*'Results'!$B$8),"")</x:f>
        <x:v>2.4455930101712307</x:v>
      </x:c>
      <x:c r="K627" t="n">
        <x:f>IF(AND(ISNUMBER('Results'!B7),ISNUMBER('Results'!C7),ISNUMBER('Results'!$B$8),ISNUMBER('Inputs'!$B$6),ISNUMBER('Inputs'!$B$7),ISNUMBER('Inputs'!$B$8),ISNUMBER('Inputs'!$B$9),ISNUMBER('Inputs'!$B$10),ISNUMBER('Inputs'!$B$21),ISNUMBER('Inputs'!$B$24),ISNUMBER('Inputs'!$B$28)),((('Results'!B7*(1-'Inputs'!$B$24)*(0.5*((((627-43)*MAX('Inputs'!$B$33,'Inputs'!$B$29+'Inputs'!$B$31+'Inputs'!$B$32,'Inputs'!$B$30+'Inputs'!$B$31+'Inputs'!$B$32)/1000+'Inputs'!$B$21)+'Inputs'!$B$7)/SQRT((((627-43)*MAX('Inputs'!$B$33,'Inputs'!$B$29+'Inputs'!$B$31+'Inputs'!$B$32,'Inputs'!$B$30+'Inputs'!$B$31+'Inputs'!$B$32)/1000+'Inputs'!$B$21)+'Inputs'!$B$7)^2+('Inputs'!$B$6/2)^2)-(((627-43)*MAX('Inputs'!$B$33,'Inputs'!$B$29+'Inputs'!$B$31+'Inputs'!$B$32,'Inputs'!$B$30+'Inputs'!$B$31+'Inputs'!$B$32)/1000+'Inputs'!$B$21))/SQRT((((627-43)*MAX('Inputs'!$B$33,'Inputs'!$B$29+'Inputs'!$B$31+'Inputs'!$B$32,'Inputs'!$B$30+'Inputs'!$B$31+'Inputs'!$B$32)/1000+'Inputs'!$B$21))^2+('Inputs'!$B$6/2)^2)))-'Results'!C7*(1+'Inputs'!$B$24)*(0.5*((((627-43)*MAX('Inputs'!$B$33,'Inputs'!$B$29+'Inputs'!$B$31+'Inputs'!$B$32,'Inputs'!$B$30+'Inputs'!$B$31+'Inputs'!$B$32)/1000+'Inputs'!$B$21+'Inputs'!$B$7+'Inputs'!$B$10)+'Inputs'!$B$9)/SQRT((((627-43)*MAX('Inputs'!$B$33,'Inputs'!$B$29+'Inputs'!$B$31+'Inputs'!$B$32,'Inputs'!$B$30+'Inputs'!$B$31+'Inputs'!$B$32)/1000+'Inputs'!$B$21+'Inputs'!$B$7+'Inputs'!$B$10)+'Inputs'!$B$9)^2+('Inputs'!$B$8/2)^2)-(((627-43)*MAX('Inputs'!$B$33,'Inputs'!$B$29+'Inputs'!$B$31+'Inputs'!$B$32,'Inputs'!$B$30+'Inputs'!$B$31+'Inputs'!$B$32)/1000+'Inputs'!$B$21+'Inputs'!$B$7+'Inputs'!$B$10))/SQRT((((627-43)*MAX('Inputs'!$B$33,'Inputs'!$B$29+'Inputs'!$B$31+'Inputs'!$B$32,'Inputs'!$B$30+'Inputs'!$B$31+'Inputs'!$B$32)/1000+'Inputs'!$B$21+'Inputs'!$B$7+'Inputs'!$B$10))^2+('Inputs'!$B$8/2)^2))))*'Results'!$B$8)-'Inputs'!$B$28*ABS((('Results'!B7*(1-'Inputs'!$B$24)*(0.5*((((627-43)*MAX('Inputs'!$B$33,'Inputs'!$B$29+'Inputs'!$B$31+'Inputs'!$B$32,'Inputs'!$B$30+'Inputs'!$B$31+'Inputs'!$B$32)/1000+'Inputs'!$B$21)+'Inputs'!$B$7)/SQRT((((627-43)*MAX('Inputs'!$B$33,'Inputs'!$B$29+'Inputs'!$B$31+'Inputs'!$B$32,'Inputs'!$B$30+'Inputs'!$B$31+'Inputs'!$B$32)/1000+'Inputs'!$B$21)+'Inputs'!$B$7)^2+('Inputs'!$B$6/2)^2)-(((627-43)*MAX('Inputs'!$B$33,'Inputs'!$B$29+'Inputs'!$B$31+'Inputs'!$B$32,'Inputs'!$B$30+'Inputs'!$B$31+'Inputs'!$B$32)/1000+'Inputs'!$B$21))/SQRT((((627-43)*MAX('Inputs'!$B$33,'Inputs'!$B$29+'Inputs'!$B$31+'Inputs'!$B$32,'Inputs'!$B$30+'Inputs'!$B$31+'Inputs'!$B$32)/1000+'Inputs'!$B$21))^2+('Inputs'!$B$6/2)^2)))-'Results'!C7*(1+'Inputs'!$B$24)*(0.5*((((627-43)*MAX('Inputs'!$B$33,'Inputs'!$B$29+'Inputs'!$B$31+'Inputs'!$B$32,'Inputs'!$B$30+'Inputs'!$B$31+'Inputs'!$B$32)/1000+'Inputs'!$B$21+'Inputs'!$B$7+'Inputs'!$B$10)+'Inputs'!$B$9)/SQRT((((627-43)*MAX('Inputs'!$B$33,'Inputs'!$B$29+'Inputs'!$B$31+'Inputs'!$B$32,'Inputs'!$B$30+'Inputs'!$B$31+'Inputs'!$B$32)/1000+'Inputs'!$B$21+'Inputs'!$B$7+'Inputs'!$B$10)+'Inputs'!$B$9)^2+('Inputs'!$B$8/2)^2)-(((627-43)*MAX('Inputs'!$B$33,'Inputs'!$B$29+'Inputs'!$B$31+'Inputs'!$B$32,'Inputs'!$B$30+'Inputs'!$B$31+'Inputs'!$B$32)/1000+'Inputs'!$B$21+'Inputs'!$B$7+'Inputs'!$B$10))/SQRT((((627-43)*MAX('Inputs'!$B$33,'Inputs'!$B$29+'Inputs'!$B$31+'Inputs'!$B$32,'Inputs'!$B$30+'Inputs'!$B$31+'Inputs'!$B$32)/1000+'Inputs'!$B$21+'Inputs'!$B$7+'Inputs'!$B$10))^2+('Inputs'!$B$8/2)^2))))*'Results'!$B$8))),"")</x:f>
        <x:v>2.1454762086260604</x:v>
      </x:c>
      <x:c r="L627" t="n">
        <x:f>IF(AND(ISNUMBER('Results'!B7),ISNUMBER('Results'!C7),ISNUMBER('Results'!$B$8),ISNUMBER('Inputs'!$B$6),ISNUMBER('Inputs'!$B$7),ISNUMBER('Inputs'!$B$8),ISNUMBER('Inputs'!$B$9),ISNUMBER('Inputs'!$B$10),ISNUMBER('Inputs'!$B$21),ISNUMBER('Inputs'!$B$24),ISNUMBER('Inputs'!$B$28)),((('Results'!B7*(1+'Inputs'!$B$24)*(0.5*((((627-43)*MAX('Inputs'!$B$33,'Inputs'!$B$29+'Inputs'!$B$31+'Inputs'!$B$32,'Inputs'!$B$30+'Inputs'!$B$31+'Inputs'!$B$32)/1000+'Inputs'!$B$21)+'Inputs'!$B$7)/SQRT((((627-43)*MAX('Inputs'!$B$33,'Inputs'!$B$29+'Inputs'!$B$31+'Inputs'!$B$32,'Inputs'!$B$30+'Inputs'!$B$31+'Inputs'!$B$32)/1000+'Inputs'!$B$21)+'Inputs'!$B$7)^2+('Inputs'!$B$6/2)^2)-(((627-43)*MAX('Inputs'!$B$33,'Inputs'!$B$29+'Inputs'!$B$31+'Inputs'!$B$32,'Inputs'!$B$30+'Inputs'!$B$31+'Inputs'!$B$32)/1000+'Inputs'!$B$21))/SQRT((((627-43)*MAX('Inputs'!$B$33,'Inputs'!$B$29+'Inputs'!$B$31+'Inputs'!$B$32,'Inputs'!$B$30+'Inputs'!$B$31+'Inputs'!$B$32)/1000+'Inputs'!$B$21))^2+('Inputs'!$B$6/2)^2)))-'Results'!C7*(1-'Inputs'!$B$24)*(0.5*((((627-43)*MAX('Inputs'!$B$33,'Inputs'!$B$29+'Inputs'!$B$31+'Inputs'!$B$32,'Inputs'!$B$30+'Inputs'!$B$31+'Inputs'!$B$32)/1000+'Inputs'!$B$21+'Inputs'!$B$7+'Inputs'!$B$10)+'Inputs'!$B$9)/SQRT((((627-43)*MAX('Inputs'!$B$33,'Inputs'!$B$29+'Inputs'!$B$31+'Inputs'!$B$32,'Inputs'!$B$30+'Inputs'!$B$31+'Inputs'!$B$32)/1000+'Inputs'!$B$21+'Inputs'!$B$7+'Inputs'!$B$10)+'Inputs'!$B$9)^2+('Inputs'!$B$8/2)^2)-(((627-43)*MAX('Inputs'!$B$33,'Inputs'!$B$29+'Inputs'!$B$31+'Inputs'!$B$32,'Inputs'!$B$30+'Inputs'!$B$31+'Inputs'!$B$32)/1000+'Inputs'!$B$21+'Inputs'!$B$7+'Inputs'!$B$10))/SQRT((((627-43)*MAX('Inputs'!$B$33,'Inputs'!$B$29+'Inputs'!$B$31+'Inputs'!$B$32,'Inputs'!$B$30+'Inputs'!$B$31+'Inputs'!$B$32)/1000+'Inputs'!$B$21+'Inputs'!$B$7+'Inputs'!$B$10))^2+('Inputs'!$B$8/2)^2))))*'Results'!$B$8)+'Inputs'!$B$28*ABS((('Results'!B7*(1+'Inputs'!$B$24)*(0.5*((((627-43)*MAX('Inputs'!$B$33,'Inputs'!$B$29+'Inputs'!$B$31+'Inputs'!$B$32,'Inputs'!$B$30+'Inputs'!$B$31+'Inputs'!$B$32)/1000+'Inputs'!$B$21)+'Inputs'!$B$7)/SQRT((((627-43)*MAX('Inputs'!$B$33,'Inputs'!$B$29+'Inputs'!$B$31+'Inputs'!$B$32,'Inputs'!$B$30+'Inputs'!$B$31+'Inputs'!$B$32)/1000+'Inputs'!$B$21)+'Inputs'!$B$7)^2+('Inputs'!$B$6/2)^2)-(((627-43)*MAX('Inputs'!$B$33,'Inputs'!$B$29+'Inputs'!$B$31+'Inputs'!$B$32,'Inputs'!$B$30+'Inputs'!$B$31+'Inputs'!$B$32)/1000+'Inputs'!$B$21))/SQRT((((627-43)*MAX('Inputs'!$B$33,'Inputs'!$B$29+'Inputs'!$B$31+'Inputs'!$B$32,'Inputs'!$B$30+'Inputs'!$B$31+'Inputs'!$B$32)/1000+'Inputs'!$B$21))^2+('Inputs'!$B$6/2)^2)))-'Results'!C7*(1-'Inputs'!$B$24)*(0.5*((((627-43)*MAX('Inputs'!$B$33,'Inputs'!$B$29+'Inputs'!$B$31+'Inputs'!$B$32,'Inputs'!$B$30+'Inputs'!$B$31+'Inputs'!$B$32)/1000+'Inputs'!$B$21+'Inputs'!$B$7+'Inputs'!$B$10)+'Inputs'!$B$9)/SQRT((((627-43)*MAX('Inputs'!$B$33,'Inputs'!$B$29+'Inputs'!$B$31+'Inputs'!$B$32,'Inputs'!$B$30+'Inputs'!$B$31+'Inputs'!$B$32)/1000+'Inputs'!$B$21+'Inputs'!$B$7+'Inputs'!$B$10)+'Inputs'!$B$9)^2+('Inputs'!$B$8/2)^2)-(((627-43)*MAX('Inputs'!$B$33,'Inputs'!$B$29+'Inputs'!$B$31+'Inputs'!$B$32,'Inputs'!$B$30+'Inputs'!$B$31+'Inputs'!$B$32)/1000+'Inputs'!$B$21+'Inputs'!$B$7+'Inputs'!$B$10))/SQRT((((627-43)*MAX('Inputs'!$B$33,'Inputs'!$B$29+'Inputs'!$B$31+'Inputs'!$B$32,'Inputs'!$B$30+'Inputs'!$B$31+'Inputs'!$B$32)/1000+'Inputs'!$B$21+'Inputs'!$B$7+'Inputs'!$B$10))^2+('Inputs'!$B$8/2)^2))))*'Results'!$B$8))),"")</x:f>
        <x:v>2.7644295118255187</x:v>
      </x:c>
      <x:c r="M627" t="n">
        <x:f>IF(AND(ISNUMBER('Results'!C7),ISNUMBER('Results'!B7),ISNUMBER('Results'!$B$8),ISNUMBER('Inputs'!$B$6),ISNUMBER('Inputs'!$B$7),ISNUMBER('Inputs'!$B$8),ISNUMBER('Inputs'!$B$9),ISNUMBER('Inputs'!$B$10),ISNUMBER('Inputs'!$B$21),ISNUMBER('Inputs'!$B$24),ISNUMBER('Inputs'!$B$28)),(('Results'!C7*(0.5*((((627-43)*MAX('Inputs'!$B$33,'Inputs'!$B$29+'Inputs'!$B$31+'Inputs'!$B$32,'Inputs'!$B$30+'Inputs'!$B$31+'Inputs'!$B$32)/1000+'Inputs'!$B$21)+'Inputs'!$B$9)/SQRT((((627-43)*MAX('Inputs'!$B$33,'Inputs'!$B$29+'Inputs'!$B$31+'Inputs'!$B$32,'Inputs'!$B$30+'Inputs'!$B$31+'Inputs'!$B$32)/1000+'Inputs'!$B$21)+'Inputs'!$B$9)^2+('Inputs'!$B$8/2)^2)-(((627-43)*MAX('Inputs'!$B$33,'Inputs'!$B$29+'Inputs'!$B$31+'Inputs'!$B$32,'Inputs'!$B$30+'Inputs'!$B$31+'Inputs'!$B$32)/1000+'Inputs'!$B$21))/SQRT((((627-43)*MAX('Inputs'!$B$33,'Inputs'!$B$29+'Inputs'!$B$31+'Inputs'!$B$32,'Inputs'!$B$30+'Inputs'!$B$31+'Inputs'!$B$32)/1000+'Inputs'!$B$21))^2+('Inputs'!$B$8/2)^2)))-'Results'!B7*(0.5*((((627-43)*MAX('Inputs'!$B$33,'Inputs'!$B$29+'Inputs'!$B$31+'Inputs'!$B$32,'Inputs'!$B$30+'Inputs'!$B$31+'Inputs'!$B$32)/1000+'Inputs'!$B$21+'Inputs'!$B$9+'Inputs'!$B$10)+'Inputs'!$B$7)/SQRT((((627-43)*MAX('Inputs'!$B$33,'Inputs'!$B$29+'Inputs'!$B$31+'Inputs'!$B$32,'Inputs'!$B$30+'Inputs'!$B$31+'Inputs'!$B$32)/1000+'Inputs'!$B$21+'Inputs'!$B$9+'Inputs'!$B$10)+'Inputs'!$B$7)^2+('Inputs'!$B$6/2)^2)-(((627-43)*MAX('Inputs'!$B$33,'Inputs'!$B$29+'Inputs'!$B$31+'Inputs'!$B$32,'Inputs'!$B$30+'Inputs'!$B$31+'Inputs'!$B$32)/1000+'Inputs'!$B$21+'Inputs'!$B$9+'Inputs'!$B$10))/SQRT((((627-43)*MAX('Inputs'!$B$33,'Inputs'!$B$29+'Inputs'!$B$31+'Inputs'!$B$32,'Inputs'!$B$30+'Inputs'!$B$31+'Inputs'!$B$32)/1000+'Inputs'!$B$21+'Inputs'!$B$9+'Inputs'!$B$10))^2+('Inputs'!$B$6/2)^2))))*'Results'!$B$8),"")</x:f>
        <x:v>2.256984936213862</x:v>
      </x:c>
      <x:c r="N627" t="n">
        <x:f>IF(AND(ISNUMBER('Results'!C7),ISNUMBER('Results'!B7),ISNUMBER('Results'!$B$8),ISNUMBER('Inputs'!$B$6),ISNUMBER('Inputs'!$B$7),ISNUMBER('Inputs'!$B$8),ISNUMBER('Inputs'!$B$9),ISNUMBER('Inputs'!$B$10),ISNUMBER('Inputs'!$B$21),ISNUMBER('Inputs'!$B$24),ISNUMBER('Inputs'!$B$28)),((('Results'!C7*(1-'Inputs'!$B$24)*(0.5*((((627-43)*MAX('Inputs'!$B$33,'Inputs'!$B$29+'Inputs'!$B$31+'Inputs'!$B$32,'Inputs'!$B$30+'Inputs'!$B$31+'Inputs'!$B$32)/1000+'Inputs'!$B$21)+'Inputs'!$B$9)/SQRT((((627-43)*MAX('Inputs'!$B$33,'Inputs'!$B$29+'Inputs'!$B$31+'Inputs'!$B$32,'Inputs'!$B$30+'Inputs'!$B$31+'Inputs'!$B$32)/1000+'Inputs'!$B$21)+'Inputs'!$B$9)^2+('Inputs'!$B$8/2)^2)-(((627-43)*MAX('Inputs'!$B$33,'Inputs'!$B$29+'Inputs'!$B$31+'Inputs'!$B$32,'Inputs'!$B$30+'Inputs'!$B$31+'Inputs'!$B$32)/1000+'Inputs'!$B$21))/SQRT((((627-43)*MAX('Inputs'!$B$33,'Inputs'!$B$29+'Inputs'!$B$31+'Inputs'!$B$32,'Inputs'!$B$30+'Inputs'!$B$31+'Inputs'!$B$32)/1000+'Inputs'!$B$21))^2+('Inputs'!$B$8/2)^2)))-'Results'!B7*(1+'Inputs'!$B$24)*(0.5*((((627-43)*MAX('Inputs'!$B$33,'Inputs'!$B$29+'Inputs'!$B$31+'Inputs'!$B$32,'Inputs'!$B$30+'Inputs'!$B$31+'Inputs'!$B$32)/1000+'Inputs'!$B$21+'Inputs'!$B$9+'Inputs'!$B$10)+'Inputs'!$B$7)/SQRT((((627-43)*MAX('Inputs'!$B$33,'Inputs'!$B$29+'Inputs'!$B$31+'Inputs'!$B$32,'Inputs'!$B$30+'Inputs'!$B$31+'Inputs'!$B$32)/1000+'Inputs'!$B$21+'Inputs'!$B$9+'Inputs'!$B$10)+'Inputs'!$B$7)^2+('Inputs'!$B$6/2)^2)-(((627-43)*MAX('Inputs'!$B$33,'Inputs'!$B$29+'Inputs'!$B$31+'Inputs'!$B$32,'Inputs'!$B$30+'Inputs'!$B$31+'Inputs'!$B$32)/1000+'Inputs'!$B$21+'Inputs'!$B$9+'Inputs'!$B$10))/SQRT((((627-43)*MAX('Inputs'!$B$33,'Inputs'!$B$29+'Inputs'!$B$31+'Inputs'!$B$32,'Inputs'!$B$30+'Inputs'!$B$31+'Inputs'!$B$32)/1000+'Inputs'!$B$21+'Inputs'!$B$9+'Inputs'!$B$10))^2+('Inputs'!$B$6/2)^2))))*'Results'!$B$8)-'Inputs'!$B$28*ABS((('Results'!C7*(1-'Inputs'!$B$24)*(0.5*((((627-43)*MAX('Inputs'!$B$33,'Inputs'!$B$29+'Inputs'!$B$31+'Inputs'!$B$32,'Inputs'!$B$30+'Inputs'!$B$31+'Inputs'!$B$32)/1000+'Inputs'!$B$21)+'Inputs'!$B$9)/SQRT((((627-43)*MAX('Inputs'!$B$33,'Inputs'!$B$29+'Inputs'!$B$31+'Inputs'!$B$32,'Inputs'!$B$30+'Inputs'!$B$31+'Inputs'!$B$32)/1000+'Inputs'!$B$21)+'Inputs'!$B$9)^2+('Inputs'!$B$8/2)^2)-(((627-43)*MAX('Inputs'!$B$33,'Inputs'!$B$29+'Inputs'!$B$31+'Inputs'!$B$32,'Inputs'!$B$30+'Inputs'!$B$31+'Inputs'!$B$32)/1000+'Inputs'!$B$21))/SQRT((((627-43)*MAX('Inputs'!$B$33,'Inputs'!$B$29+'Inputs'!$B$31+'Inputs'!$B$32,'Inputs'!$B$30+'Inputs'!$B$31+'Inputs'!$B$32)/1000+'Inputs'!$B$21))^2+('Inputs'!$B$8/2)^2)))-'Results'!B7*(1+'Inputs'!$B$24)*(0.5*((((627-43)*MAX('Inputs'!$B$33,'Inputs'!$B$29+'Inputs'!$B$31+'Inputs'!$B$32,'Inputs'!$B$30+'Inputs'!$B$31+'Inputs'!$B$32)/1000+'Inputs'!$B$21+'Inputs'!$B$9+'Inputs'!$B$10)+'Inputs'!$B$7)/SQRT((((627-43)*MAX('Inputs'!$B$33,'Inputs'!$B$29+'Inputs'!$B$31+'Inputs'!$B$32,'Inputs'!$B$30+'Inputs'!$B$31+'Inputs'!$B$32)/1000+'Inputs'!$B$21+'Inputs'!$B$9+'Inputs'!$B$10)+'Inputs'!$B$7)^2+('Inputs'!$B$6/2)^2)-(((627-43)*MAX('Inputs'!$B$33,'Inputs'!$B$29+'Inputs'!$B$31+'Inputs'!$B$32,'Inputs'!$B$30+'Inputs'!$B$31+'Inputs'!$B$32)/1000+'Inputs'!$B$21+'Inputs'!$B$9+'Inputs'!$B$10))/SQRT((((627-43)*MAX('Inputs'!$B$33,'Inputs'!$B$29+'Inputs'!$B$31+'Inputs'!$B$32,'Inputs'!$B$30+'Inputs'!$B$31+'Inputs'!$B$32)/1000+'Inputs'!$B$21+'Inputs'!$B$9+'Inputs'!$B$10))^2+('Inputs'!$B$6/2)^2))))*'Results'!$B$8))),"")</x:f>
        <x:v>1.967201053325967</x:v>
      </x:c>
      <x:c r="O627" t="n">
        <x:f>IF(AND(ISNUMBER('Results'!C7),ISNUMBER('Results'!B7),ISNUMBER('Results'!$B$8),ISNUMBER('Inputs'!$B$6),ISNUMBER('Inputs'!$B$7),ISNUMBER('Inputs'!$B$8),ISNUMBER('Inputs'!$B$9),ISNUMBER('Inputs'!$B$10),ISNUMBER('Inputs'!$B$21),ISNUMBER('Inputs'!$B$24),ISNUMBER('Inputs'!$B$28)),((('Results'!C7*(1+'Inputs'!$B$24)*(0.5*((((627-43)*MAX('Inputs'!$B$33,'Inputs'!$B$29+'Inputs'!$B$31+'Inputs'!$B$32,'Inputs'!$B$30+'Inputs'!$B$31+'Inputs'!$B$32)/1000+'Inputs'!$B$21)+'Inputs'!$B$9)/SQRT((((627-43)*MAX('Inputs'!$B$33,'Inputs'!$B$29+'Inputs'!$B$31+'Inputs'!$B$32,'Inputs'!$B$30+'Inputs'!$B$31+'Inputs'!$B$32)/1000+'Inputs'!$B$21)+'Inputs'!$B$9)^2+('Inputs'!$B$8/2)^2)-(((627-43)*MAX('Inputs'!$B$33,'Inputs'!$B$29+'Inputs'!$B$31+'Inputs'!$B$32,'Inputs'!$B$30+'Inputs'!$B$31+'Inputs'!$B$32)/1000+'Inputs'!$B$21))/SQRT((((627-43)*MAX('Inputs'!$B$33,'Inputs'!$B$29+'Inputs'!$B$31+'Inputs'!$B$32,'Inputs'!$B$30+'Inputs'!$B$31+'Inputs'!$B$32)/1000+'Inputs'!$B$21))^2+('Inputs'!$B$8/2)^2)))-'Results'!B7*(1-'Inputs'!$B$24)*(0.5*((((627-43)*MAX('Inputs'!$B$33,'Inputs'!$B$29+'Inputs'!$B$31+'Inputs'!$B$32,'Inputs'!$B$30+'Inputs'!$B$31+'Inputs'!$B$32)/1000+'Inputs'!$B$21+'Inputs'!$B$9+'Inputs'!$B$10)+'Inputs'!$B$7)/SQRT((((627-43)*MAX('Inputs'!$B$33,'Inputs'!$B$29+'Inputs'!$B$31+'Inputs'!$B$32,'Inputs'!$B$30+'Inputs'!$B$31+'Inputs'!$B$32)/1000+'Inputs'!$B$21+'Inputs'!$B$9+'Inputs'!$B$10)+'Inputs'!$B$7)^2+('Inputs'!$B$6/2)^2)-(((627-43)*MAX('Inputs'!$B$33,'Inputs'!$B$29+'Inputs'!$B$31+'Inputs'!$B$32,'Inputs'!$B$30+'Inputs'!$B$31+'Inputs'!$B$32)/1000+'Inputs'!$B$21+'Inputs'!$B$9+'Inputs'!$B$10))/SQRT((((627-43)*MAX('Inputs'!$B$33,'Inputs'!$B$29+'Inputs'!$B$31+'Inputs'!$B$32,'Inputs'!$B$30+'Inputs'!$B$31+'Inputs'!$B$32)/1000+'Inputs'!$B$21+'Inputs'!$B$9+'Inputs'!$B$10))^2+('Inputs'!$B$6/2)^2))))*'Results'!$B$8)+'Inputs'!$B$28*ABS((('Results'!C7*(1+'Inputs'!$B$24)*(0.5*((((627-43)*MAX('Inputs'!$B$33,'Inputs'!$B$29+'Inputs'!$B$31+'Inputs'!$B$32,'Inputs'!$B$30+'Inputs'!$B$31+'Inputs'!$B$32)/1000+'Inputs'!$B$21)+'Inputs'!$B$9)/SQRT((((627-43)*MAX('Inputs'!$B$33,'Inputs'!$B$29+'Inputs'!$B$31+'Inputs'!$B$32,'Inputs'!$B$30+'Inputs'!$B$31+'Inputs'!$B$32)/1000+'Inputs'!$B$21)+'Inputs'!$B$9)^2+('Inputs'!$B$8/2)^2)-(((627-43)*MAX('Inputs'!$B$33,'Inputs'!$B$29+'Inputs'!$B$31+'Inputs'!$B$32,'Inputs'!$B$30+'Inputs'!$B$31+'Inputs'!$B$32)/1000+'Inputs'!$B$21))/SQRT((((627-43)*MAX('Inputs'!$B$33,'Inputs'!$B$29+'Inputs'!$B$31+'Inputs'!$B$32,'Inputs'!$B$30+'Inputs'!$B$31+'Inputs'!$B$32)/1000+'Inputs'!$B$21))^2+('Inputs'!$B$8/2)^2)))-'Results'!B7*(1-'Inputs'!$B$24)*(0.5*((((627-43)*MAX('Inputs'!$B$33,'Inputs'!$B$29+'Inputs'!$B$31+'Inputs'!$B$32,'Inputs'!$B$30+'Inputs'!$B$31+'Inputs'!$B$32)/1000+'Inputs'!$B$21+'Inputs'!$B$9+'Inputs'!$B$10)+'Inputs'!$B$7)/SQRT((((627-43)*MAX('Inputs'!$B$33,'Inputs'!$B$29+'Inputs'!$B$31+'Inputs'!$B$32,'Inputs'!$B$30+'Inputs'!$B$31+'Inputs'!$B$32)/1000+'Inputs'!$B$21+'Inputs'!$B$9+'Inputs'!$B$10)+'Inputs'!$B$7)^2+('Inputs'!$B$6/2)^2)-(((627-43)*MAX('Inputs'!$B$33,'Inputs'!$B$29+'Inputs'!$B$31+'Inputs'!$B$32,'Inputs'!$B$30+'Inputs'!$B$31+'Inputs'!$B$32)/1000+'Inputs'!$B$21+'Inputs'!$B$9+'Inputs'!$B$10))/SQRT((((627-43)*MAX('Inputs'!$B$33,'Inputs'!$B$29+'Inputs'!$B$31+'Inputs'!$B$32,'Inputs'!$B$30+'Inputs'!$B$31+'Inputs'!$B$32)/1000+'Inputs'!$B$21+'Inputs'!$B$9+'Inputs'!$B$10))^2+('Inputs'!$B$6/2)^2))))*'Results'!$B$8))),"")</x:f>
        <x:v>2.5653935176362</x:v>
      </x:c>
      <x:c r="P627" t="n">
        <x:f>IF(AND(MAX(J627,J626)&gt;0,J627&gt;J626+0.00000001),1,0)</x:f>
        <x:v>0</x:v>
      </x:c>
      <x:c r="Q627" t="n">
        <x:f>IF(AND(MAX(K627,K626)&gt;0,K627&gt;K626+0.00000001),1,0)</x:f>
        <x:v>0</x:v>
      </x:c>
      <x:c r="R627" t="n">
        <x:f>IF(AND(MAX(L627,L626)&gt;0,L627&gt;L626+0.00000001),1,0)</x:f>
        <x:v>0</x:v>
      </x:c>
      <x:c r="S627" t="n">
        <x:f>IF(AND(MAX(M627,M626)&gt;0,M627&gt;M626+0.00000001),1,0)</x:f>
        <x:v>0</x:v>
      </x:c>
      <x:c r="T627" t="n">
        <x:f>IF(AND(MAX(N627,N626)&gt;0,N627&gt;N626+0.00000001),1,0)</x:f>
        <x:v>0</x:v>
      </x:c>
      <x:c r="U627" t="n">
        <x:f>IF(AND(MAX(O627,O626)&gt;0,O627&gt;O626+0.00000001),1,0)</x:f>
        <x:v>0</x:v>
      </x:c>
    </x:row>
    <x:row r="628">
      <x:c r="J628" t="n">
        <x:f>IF(AND(ISNUMBER('Results'!B7),ISNUMBER('Results'!C7),ISNUMBER('Results'!$B$8),ISNUMBER('Inputs'!$B$6),ISNUMBER('Inputs'!$B$7),ISNUMBER('Inputs'!$B$8),ISNUMBER('Inputs'!$B$9),ISNUMBER('Inputs'!$B$10),ISNUMBER('Inputs'!$B$21),ISNUMBER('Inputs'!$B$24),ISNUMBER('Inputs'!$B$28)),(('Results'!B7*(0.5*((((628-43)*MAX('Inputs'!$B$33,'Inputs'!$B$29+'Inputs'!$B$31+'Inputs'!$B$32,'Inputs'!$B$30+'Inputs'!$B$31+'Inputs'!$B$32)/1000+'Inputs'!$B$21)+'Inputs'!$B$7)/SQRT((((628-43)*MAX('Inputs'!$B$33,'Inputs'!$B$29+'Inputs'!$B$31+'Inputs'!$B$32,'Inputs'!$B$30+'Inputs'!$B$31+'Inputs'!$B$32)/1000+'Inputs'!$B$21)+'Inputs'!$B$7)^2+('Inputs'!$B$6/2)^2)-(((628-43)*MAX('Inputs'!$B$33,'Inputs'!$B$29+'Inputs'!$B$31+'Inputs'!$B$32,'Inputs'!$B$30+'Inputs'!$B$31+'Inputs'!$B$32)/1000+'Inputs'!$B$21))/SQRT((((628-43)*MAX('Inputs'!$B$33,'Inputs'!$B$29+'Inputs'!$B$31+'Inputs'!$B$32,'Inputs'!$B$30+'Inputs'!$B$31+'Inputs'!$B$32)/1000+'Inputs'!$B$21))^2+('Inputs'!$B$6/2)^2)))-'Results'!C7*(0.5*((((628-43)*MAX('Inputs'!$B$33,'Inputs'!$B$29+'Inputs'!$B$31+'Inputs'!$B$32,'Inputs'!$B$30+'Inputs'!$B$31+'Inputs'!$B$32)/1000+'Inputs'!$B$21+'Inputs'!$B$7+'Inputs'!$B$10)+'Inputs'!$B$9)/SQRT((((628-43)*MAX('Inputs'!$B$33,'Inputs'!$B$29+'Inputs'!$B$31+'Inputs'!$B$32,'Inputs'!$B$30+'Inputs'!$B$31+'Inputs'!$B$32)/1000+'Inputs'!$B$21+'Inputs'!$B$7+'Inputs'!$B$10)+'Inputs'!$B$9)^2+('Inputs'!$B$8/2)^2)-(((628-43)*MAX('Inputs'!$B$33,'Inputs'!$B$29+'Inputs'!$B$31+'Inputs'!$B$32,'Inputs'!$B$30+'Inputs'!$B$31+'Inputs'!$B$32)/1000+'Inputs'!$B$21+'Inputs'!$B$7+'Inputs'!$B$10))/SQRT((((628-43)*MAX('Inputs'!$B$33,'Inputs'!$B$29+'Inputs'!$B$31+'Inputs'!$B$32,'Inputs'!$B$30+'Inputs'!$B$31+'Inputs'!$B$32)/1000+'Inputs'!$B$21+'Inputs'!$B$7+'Inputs'!$B$10))^2+('Inputs'!$B$8/2)^2))))*'Results'!$B$8),"")</x:f>
        <x:v>2.431054699291724</x:v>
      </x:c>
      <x:c r="K628" t="n">
        <x:f>IF(AND(ISNUMBER('Results'!B7),ISNUMBER('Results'!C7),ISNUMBER('Results'!$B$8),ISNUMBER('Inputs'!$B$6),ISNUMBER('Inputs'!$B$7),ISNUMBER('Inputs'!$B$8),ISNUMBER('Inputs'!$B$9),ISNUMBER('Inputs'!$B$10),ISNUMBER('Inputs'!$B$21),ISNUMBER('Inputs'!$B$24),ISNUMBER('Inputs'!$B$28)),((('Results'!B7*(1-'Inputs'!$B$24)*(0.5*((((628-43)*MAX('Inputs'!$B$33,'Inputs'!$B$29+'Inputs'!$B$31+'Inputs'!$B$32,'Inputs'!$B$30+'Inputs'!$B$31+'Inputs'!$B$32)/1000+'Inputs'!$B$21)+'Inputs'!$B$7)/SQRT((((628-43)*MAX('Inputs'!$B$33,'Inputs'!$B$29+'Inputs'!$B$31+'Inputs'!$B$32,'Inputs'!$B$30+'Inputs'!$B$31+'Inputs'!$B$32)/1000+'Inputs'!$B$21)+'Inputs'!$B$7)^2+('Inputs'!$B$6/2)^2)-(((628-43)*MAX('Inputs'!$B$33,'Inputs'!$B$29+'Inputs'!$B$31+'Inputs'!$B$32,'Inputs'!$B$30+'Inputs'!$B$31+'Inputs'!$B$32)/1000+'Inputs'!$B$21))/SQRT((((628-43)*MAX('Inputs'!$B$33,'Inputs'!$B$29+'Inputs'!$B$31+'Inputs'!$B$32,'Inputs'!$B$30+'Inputs'!$B$31+'Inputs'!$B$32)/1000+'Inputs'!$B$21))^2+('Inputs'!$B$6/2)^2)))-'Results'!C7*(1+'Inputs'!$B$24)*(0.5*((((628-43)*MAX('Inputs'!$B$33,'Inputs'!$B$29+'Inputs'!$B$31+'Inputs'!$B$32,'Inputs'!$B$30+'Inputs'!$B$31+'Inputs'!$B$32)/1000+'Inputs'!$B$21+'Inputs'!$B$7+'Inputs'!$B$10)+'Inputs'!$B$9)/SQRT((((628-43)*MAX('Inputs'!$B$33,'Inputs'!$B$29+'Inputs'!$B$31+'Inputs'!$B$32,'Inputs'!$B$30+'Inputs'!$B$31+'Inputs'!$B$32)/1000+'Inputs'!$B$21+'Inputs'!$B$7+'Inputs'!$B$10)+'Inputs'!$B$9)^2+('Inputs'!$B$8/2)^2)-(((628-43)*MAX('Inputs'!$B$33,'Inputs'!$B$29+'Inputs'!$B$31+'Inputs'!$B$32,'Inputs'!$B$30+'Inputs'!$B$31+'Inputs'!$B$32)/1000+'Inputs'!$B$21+'Inputs'!$B$7+'Inputs'!$B$10))/SQRT((((628-43)*MAX('Inputs'!$B$33,'Inputs'!$B$29+'Inputs'!$B$31+'Inputs'!$B$32,'Inputs'!$B$30+'Inputs'!$B$31+'Inputs'!$B$32)/1000+'Inputs'!$B$21+'Inputs'!$B$7+'Inputs'!$B$10))^2+('Inputs'!$B$8/2)^2))))*'Results'!$B$8)-'Inputs'!$B$28*ABS((('Results'!B7*(1-'Inputs'!$B$24)*(0.5*((((628-43)*MAX('Inputs'!$B$33,'Inputs'!$B$29+'Inputs'!$B$31+'Inputs'!$B$32,'Inputs'!$B$30+'Inputs'!$B$31+'Inputs'!$B$32)/1000+'Inputs'!$B$21)+'Inputs'!$B$7)/SQRT((((628-43)*MAX('Inputs'!$B$33,'Inputs'!$B$29+'Inputs'!$B$31+'Inputs'!$B$32,'Inputs'!$B$30+'Inputs'!$B$31+'Inputs'!$B$32)/1000+'Inputs'!$B$21)+'Inputs'!$B$7)^2+('Inputs'!$B$6/2)^2)-(((628-43)*MAX('Inputs'!$B$33,'Inputs'!$B$29+'Inputs'!$B$31+'Inputs'!$B$32,'Inputs'!$B$30+'Inputs'!$B$31+'Inputs'!$B$32)/1000+'Inputs'!$B$21))/SQRT((((628-43)*MAX('Inputs'!$B$33,'Inputs'!$B$29+'Inputs'!$B$31+'Inputs'!$B$32,'Inputs'!$B$30+'Inputs'!$B$31+'Inputs'!$B$32)/1000+'Inputs'!$B$21))^2+('Inputs'!$B$6/2)^2)))-'Results'!C7*(1+'Inputs'!$B$24)*(0.5*((((628-43)*MAX('Inputs'!$B$33,'Inputs'!$B$29+'Inputs'!$B$31+'Inputs'!$B$32,'Inputs'!$B$30+'Inputs'!$B$31+'Inputs'!$B$32)/1000+'Inputs'!$B$21+'Inputs'!$B$7+'Inputs'!$B$10)+'Inputs'!$B$9)/SQRT((((628-43)*MAX('Inputs'!$B$33,'Inputs'!$B$29+'Inputs'!$B$31+'Inputs'!$B$32,'Inputs'!$B$30+'Inputs'!$B$31+'Inputs'!$B$32)/1000+'Inputs'!$B$21+'Inputs'!$B$7+'Inputs'!$B$10)+'Inputs'!$B$9)^2+('Inputs'!$B$8/2)^2)-(((628-43)*MAX('Inputs'!$B$33,'Inputs'!$B$29+'Inputs'!$B$31+'Inputs'!$B$32,'Inputs'!$B$30+'Inputs'!$B$31+'Inputs'!$B$32)/1000+'Inputs'!$B$21+'Inputs'!$B$7+'Inputs'!$B$10))/SQRT((((628-43)*MAX('Inputs'!$B$33,'Inputs'!$B$29+'Inputs'!$B$31+'Inputs'!$B$32,'Inputs'!$B$30+'Inputs'!$B$31+'Inputs'!$B$32)/1000+'Inputs'!$B$21+'Inputs'!$B$7+'Inputs'!$B$10))^2+('Inputs'!$B$8/2)^2))))*'Results'!$B$8))),"")</x:f>
        <x:v>2.132481968955639</x:v>
      </x:c>
      <x:c r="L628" t="n">
        <x:f>IF(AND(ISNUMBER('Results'!B7),ISNUMBER('Results'!C7),ISNUMBER('Results'!$B$8),ISNUMBER('Inputs'!$B$6),ISNUMBER('Inputs'!$B$7),ISNUMBER('Inputs'!$B$8),ISNUMBER('Inputs'!$B$9),ISNUMBER('Inputs'!$B$10),ISNUMBER('Inputs'!$B$21),ISNUMBER('Inputs'!$B$24),ISNUMBER('Inputs'!$B$28)),((('Results'!B7*(1+'Inputs'!$B$24)*(0.5*((((628-43)*MAX('Inputs'!$B$33,'Inputs'!$B$29+'Inputs'!$B$31+'Inputs'!$B$32,'Inputs'!$B$30+'Inputs'!$B$31+'Inputs'!$B$32)/1000+'Inputs'!$B$21)+'Inputs'!$B$7)/SQRT((((628-43)*MAX('Inputs'!$B$33,'Inputs'!$B$29+'Inputs'!$B$31+'Inputs'!$B$32,'Inputs'!$B$30+'Inputs'!$B$31+'Inputs'!$B$32)/1000+'Inputs'!$B$21)+'Inputs'!$B$7)^2+('Inputs'!$B$6/2)^2)-(((628-43)*MAX('Inputs'!$B$33,'Inputs'!$B$29+'Inputs'!$B$31+'Inputs'!$B$32,'Inputs'!$B$30+'Inputs'!$B$31+'Inputs'!$B$32)/1000+'Inputs'!$B$21))/SQRT((((628-43)*MAX('Inputs'!$B$33,'Inputs'!$B$29+'Inputs'!$B$31+'Inputs'!$B$32,'Inputs'!$B$30+'Inputs'!$B$31+'Inputs'!$B$32)/1000+'Inputs'!$B$21))^2+('Inputs'!$B$6/2)^2)))-'Results'!C7*(1-'Inputs'!$B$24)*(0.5*((((628-43)*MAX('Inputs'!$B$33,'Inputs'!$B$29+'Inputs'!$B$31+'Inputs'!$B$32,'Inputs'!$B$30+'Inputs'!$B$31+'Inputs'!$B$32)/1000+'Inputs'!$B$21+'Inputs'!$B$7+'Inputs'!$B$10)+'Inputs'!$B$9)/SQRT((((628-43)*MAX('Inputs'!$B$33,'Inputs'!$B$29+'Inputs'!$B$31+'Inputs'!$B$32,'Inputs'!$B$30+'Inputs'!$B$31+'Inputs'!$B$32)/1000+'Inputs'!$B$21+'Inputs'!$B$7+'Inputs'!$B$10)+'Inputs'!$B$9)^2+('Inputs'!$B$8/2)^2)-(((628-43)*MAX('Inputs'!$B$33,'Inputs'!$B$29+'Inputs'!$B$31+'Inputs'!$B$32,'Inputs'!$B$30+'Inputs'!$B$31+'Inputs'!$B$32)/1000+'Inputs'!$B$21+'Inputs'!$B$7+'Inputs'!$B$10))/SQRT((((628-43)*MAX('Inputs'!$B$33,'Inputs'!$B$29+'Inputs'!$B$31+'Inputs'!$B$32,'Inputs'!$B$30+'Inputs'!$B$31+'Inputs'!$B$32)/1000+'Inputs'!$B$21+'Inputs'!$B$7+'Inputs'!$B$10))^2+('Inputs'!$B$8/2)^2))))*'Results'!$B$8)+'Inputs'!$B$28*ABS((('Results'!B7*(1+'Inputs'!$B$24)*(0.5*((((628-43)*MAX('Inputs'!$B$33,'Inputs'!$B$29+'Inputs'!$B$31+'Inputs'!$B$32,'Inputs'!$B$30+'Inputs'!$B$31+'Inputs'!$B$32)/1000+'Inputs'!$B$21)+'Inputs'!$B$7)/SQRT((((628-43)*MAX('Inputs'!$B$33,'Inputs'!$B$29+'Inputs'!$B$31+'Inputs'!$B$32,'Inputs'!$B$30+'Inputs'!$B$31+'Inputs'!$B$32)/1000+'Inputs'!$B$21)+'Inputs'!$B$7)^2+('Inputs'!$B$6/2)^2)-(((628-43)*MAX('Inputs'!$B$33,'Inputs'!$B$29+'Inputs'!$B$31+'Inputs'!$B$32,'Inputs'!$B$30+'Inputs'!$B$31+'Inputs'!$B$32)/1000+'Inputs'!$B$21))/SQRT((((628-43)*MAX('Inputs'!$B$33,'Inputs'!$B$29+'Inputs'!$B$31+'Inputs'!$B$32,'Inputs'!$B$30+'Inputs'!$B$31+'Inputs'!$B$32)/1000+'Inputs'!$B$21))^2+('Inputs'!$B$6/2)^2)))-'Results'!C7*(1-'Inputs'!$B$24)*(0.5*((((628-43)*MAX('Inputs'!$B$33,'Inputs'!$B$29+'Inputs'!$B$31+'Inputs'!$B$32,'Inputs'!$B$30+'Inputs'!$B$31+'Inputs'!$B$32)/1000+'Inputs'!$B$21+'Inputs'!$B$7+'Inputs'!$B$10)+'Inputs'!$B$9)/SQRT((((628-43)*MAX('Inputs'!$B$33,'Inputs'!$B$29+'Inputs'!$B$31+'Inputs'!$B$32,'Inputs'!$B$30+'Inputs'!$B$31+'Inputs'!$B$32)/1000+'Inputs'!$B$21+'Inputs'!$B$7+'Inputs'!$B$10)+'Inputs'!$B$9)^2+('Inputs'!$B$8/2)^2)-(((628-43)*MAX('Inputs'!$B$33,'Inputs'!$B$29+'Inputs'!$B$31+'Inputs'!$B$32,'Inputs'!$B$30+'Inputs'!$B$31+'Inputs'!$B$32)/1000+'Inputs'!$B$21+'Inputs'!$B$7+'Inputs'!$B$10))/SQRT((((628-43)*MAX('Inputs'!$B$33,'Inputs'!$B$29+'Inputs'!$B$31+'Inputs'!$B$32,'Inputs'!$B$30+'Inputs'!$B$31+'Inputs'!$B$32)/1000+'Inputs'!$B$21+'Inputs'!$B$7+'Inputs'!$B$10))^2+('Inputs'!$B$8/2)^2))))*'Results'!$B$8))),"")</x:f>
        <x:v>2.7482611133511248</x:v>
      </x:c>
      <x:c r="M628" t="n">
        <x:f>IF(AND(ISNUMBER('Results'!C7),ISNUMBER('Results'!B7),ISNUMBER('Results'!$B$8),ISNUMBER('Inputs'!$B$6),ISNUMBER('Inputs'!$B$7),ISNUMBER('Inputs'!$B$8),ISNUMBER('Inputs'!$B$9),ISNUMBER('Inputs'!$B$10),ISNUMBER('Inputs'!$B$21),ISNUMBER('Inputs'!$B$24),ISNUMBER('Inputs'!$B$28)),(('Results'!C7*(0.5*((((628-43)*MAX('Inputs'!$B$33,'Inputs'!$B$29+'Inputs'!$B$31+'Inputs'!$B$32,'Inputs'!$B$30+'Inputs'!$B$31+'Inputs'!$B$32)/1000+'Inputs'!$B$21)+'Inputs'!$B$9)/SQRT((((628-43)*MAX('Inputs'!$B$33,'Inputs'!$B$29+'Inputs'!$B$31+'Inputs'!$B$32,'Inputs'!$B$30+'Inputs'!$B$31+'Inputs'!$B$32)/1000+'Inputs'!$B$21)+'Inputs'!$B$9)^2+('Inputs'!$B$8/2)^2)-(((628-43)*MAX('Inputs'!$B$33,'Inputs'!$B$29+'Inputs'!$B$31+'Inputs'!$B$32,'Inputs'!$B$30+'Inputs'!$B$31+'Inputs'!$B$32)/1000+'Inputs'!$B$21))/SQRT((((628-43)*MAX('Inputs'!$B$33,'Inputs'!$B$29+'Inputs'!$B$31+'Inputs'!$B$32,'Inputs'!$B$30+'Inputs'!$B$31+'Inputs'!$B$32)/1000+'Inputs'!$B$21))^2+('Inputs'!$B$8/2)^2)))-'Results'!B7*(0.5*((((628-43)*MAX('Inputs'!$B$33,'Inputs'!$B$29+'Inputs'!$B$31+'Inputs'!$B$32,'Inputs'!$B$30+'Inputs'!$B$31+'Inputs'!$B$32)/1000+'Inputs'!$B$21+'Inputs'!$B$9+'Inputs'!$B$10)+'Inputs'!$B$7)/SQRT((((628-43)*MAX('Inputs'!$B$33,'Inputs'!$B$29+'Inputs'!$B$31+'Inputs'!$B$32,'Inputs'!$B$30+'Inputs'!$B$31+'Inputs'!$B$32)/1000+'Inputs'!$B$21+'Inputs'!$B$9+'Inputs'!$B$10)+'Inputs'!$B$7)^2+('Inputs'!$B$6/2)^2)-(((628-43)*MAX('Inputs'!$B$33,'Inputs'!$B$29+'Inputs'!$B$31+'Inputs'!$B$32,'Inputs'!$B$30+'Inputs'!$B$31+'Inputs'!$B$32)/1000+'Inputs'!$B$21+'Inputs'!$B$9+'Inputs'!$B$10))/SQRT((((628-43)*MAX('Inputs'!$B$33,'Inputs'!$B$29+'Inputs'!$B$31+'Inputs'!$B$32,'Inputs'!$B$30+'Inputs'!$B$31+'Inputs'!$B$32)/1000+'Inputs'!$B$21+'Inputs'!$B$9+'Inputs'!$B$10))^2+('Inputs'!$B$6/2)^2))))*'Results'!$B$8),"")</x:f>
        <x:v>2.243312599372371</x:v>
      </x:c>
      <x:c r="N628" t="n">
        <x:f>IF(AND(ISNUMBER('Results'!C7),ISNUMBER('Results'!B7),ISNUMBER('Results'!$B$8),ISNUMBER('Inputs'!$B$6),ISNUMBER('Inputs'!$B$7),ISNUMBER('Inputs'!$B$8),ISNUMBER('Inputs'!$B$9),ISNUMBER('Inputs'!$B$10),ISNUMBER('Inputs'!$B$21),ISNUMBER('Inputs'!$B$24),ISNUMBER('Inputs'!$B$28)),((('Results'!C7*(1-'Inputs'!$B$24)*(0.5*((((628-43)*MAX('Inputs'!$B$33,'Inputs'!$B$29+'Inputs'!$B$31+'Inputs'!$B$32,'Inputs'!$B$30+'Inputs'!$B$31+'Inputs'!$B$32)/1000+'Inputs'!$B$21)+'Inputs'!$B$9)/SQRT((((628-43)*MAX('Inputs'!$B$33,'Inputs'!$B$29+'Inputs'!$B$31+'Inputs'!$B$32,'Inputs'!$B$30+'Inputs'!$B$31+'Inputs'!$B$32)/1000+'Inputs'!$B$21)+'Inputs'!$B$9)^2+('Inputs'!$B$8/2)^2)-(((628-43)*MAX('Inputs'!$B$33,'Inputs'!$B$29+'Inputs'!$B$31+'Inputs'!$B$32,'Inputs'!$B$30+'Inputs'!$B$31+'Inputs'!$B$32)/1000+'Inputs'!$B$21))/SQRT((((628-43)*MAX('Inputs'!$B$33,'Inputs'!$B$29+'Inputs'!$B$31+'Inputs'!$B$32,'Inputs'!$B$30+'Inputs'!$B$31+'Inputs'!$B$32)/1000+'Inputs'!$B$21))^2+('Inputs'!$B$8/2)^2)))-'Results'!B7*(1+'Inputs'!$B$24)*(0.5*((((628-43)*MAX('Inputs'!$B$33,'Inputs'!$B$29+'Inputs'!$B$31+'Inputs'!$B$32,'Inputs'!$B$30+'Inputs'!$B$31+'Inputs'!$B$32)/1000+'Inputs'!$B$21+'Inputs'!$B$9+'Inputs'!$B$10)+'Inputs'!$B$7)/SQRT((((628-43)*MAX('Inputs'!$B$33,'Inputs'!$B$29+'Inputs'!$B$31+'Inputs'!$B$32,'Inputs'!$B$30+'Inputs'!$B$31+'Inputs'!$B$32)/1000+'Inputs'!$B$21+'Inputs'!$B$9+'Inputs'!$B$10)+'Inputs'!$B$7)^2+('Inputs'!$B$6/2)^2)-(((628-43)*MAX('Inputs'!$B$33,'Inputs'!$B$29+'Inputs'!$B$31+'Inputs'!$B$32,'Inputs'!$B$30+'Inputs'!$B$31+'Inputs'!$B$32)/1000+'Inputs'!$B$21+'Inputs'!$B$9+'Inputs'!$B$10))/SQRT((((628-43)*MAX('Inputs'!$B$33,'Inputs'!$B$29+'Inputs'!$B$31+'Inputs'!$B$32,'Inputs'!$B$30+'Inputs'!$B$31+'Inputs'!$B$32)/1000+'Inputs'!$B$21+'Inputs'!$B$9+'Inputs'!$B$10))^2+('Inputs'!$B$6/2)^2))))*'Results'!$B$8)-'Inputs'!$B$28*ABS((('Results'!C7*(1-'Inputs'!$B$24)*(0.5*((((628-43)*MAX('Inputs'!$B$33,'Inputs'!$B$29+'Inputs'!$B$31+'Inputs'!$B$32,'Inputs'!$B$30+'Inputs'!$B$31+'Inputs'!$B$32)/1000+'Inputs'!$B$21)+'Inputs'!$B$9)/SQRT((((628-43)*MAX('Inputs'!$B$33,'Inputs'!$B$29+'Inputs'!$B$31+'Inputs'!$B$32,'Inputs'!$B$30+'Inputs'!$B$31+'Inputs'!$B$32)/1000+'Inputs'!$B$21)+'Inputs'!$B$9)^2+('Inputs'!$B$8/2)^2)-(((628-43)*MAX('Inputs'!$B$33,'Inputs'!$B$29+'Inputs'!$B$31+'Inputs'!$B$32,'Inputs'!$B$30+'Inputs'!$B$31+'Inputs'!$B$32)/1000+'Inputs'!$B$21))/SQRT((((628-43)*MAX('Inputs'!$B$33,'Inputs'!$B$29+'Inputs'!$B$31+'Inputs'!$B$32,'Inputs'!$B$30+'Inputs'!$B$31+'Inputs'!$B$32)/1000+'Inputs'!$B$21))^2+('Inputs'!$B$8/2)^2)))-'Results'!B7*(1+'Inputs'!$B$24)*(0.5*((((628-43)*MAX('Inputs'!$B$33,'Inputs'!$B$29+'Inputs'!$B$31+'Inputs'!$B$32,'Inputs'!$B$30+'Inputs'!$B$31+'Inputs'!$B$32)/1000+'Inputs'!$B$21+'Inputs'!$B$9+'Inputs'!$B$10)+'Inputs'!$B$7)/SQRT((((628-43)*MAX('Inputs'!$B$33,'Inputs'!$B$29+'Inputs'!$B$31+'Inputs'!$B$32,'Inputs'!$B$30+'Inputs'!$B$31+'Inputs'!$B$32)/1000+'Inputs'!$B$21+'Inputs'!$B$9+'Inputs'!$B$10)+'Inputs'!$B$7)^2+('Inputs'!$B$6/2)^2)-(((628-43)*MAX('Inputs'!$B$33,'Inputs'!$B$29+'Inputs'!$B$31+'Inputs'!$B$32,'Inputs'!$B$30+'Inputs'!$B$31+'Inputs'!$B$32)/1000+'Inputs'!$B$21+'Inputs'!$B$9+'Inputs'!$B$10))/SQRT((((628-43)*MAX('Inputs'!$B$33,'Inputs'!$B$29+'Inputs'!$B$31+'Inputs'!$B$32,'Inputs'!$B$30+'Inputs'!$B$31+'Inputs'!$B$32)/1000+'Inputs'!$B$21+'Inputs'!$B$9+'Inputs'!$B$10))^2+('Inputs'!$B$6/2)^2))))*'Results'!$B$8))),"")</x:f>
        <x:v>1.9550240748269458</x:v>
      </x:c>
      <x:c r="O628" t="n">
        <x:f>IF(AND(ISNUMBER('Results'!C7),ISNUMBER('Results'!B7),ISNUMBER('Results'!$B$8),ISNUMBER('Inputs'!$B$6),ISNUMBER('Inputs'!$B$7),ISNUMBER('Inputs'!$B$8),ISNUMBER('Inputs'!$B$9),ISNUMBER('Inputs'!$B$10),ISNUMBER('Inputs'!$B$21),ISNUMBER('Inputs'!$B$24),ISNUMBER('Inputs'!$B$28)),((('Results'!C7*(1+'Inputs'!$B$24)*(0.5*((((628-43)*MAX('Inputs'!$B$33,'Inputs'!$B$29+'Inputs'!$B$31+'Inputs'!$B$32,'Inputs'!$B$30+'Inputs'!$B$31+'Inputs'!$B$32)/1000+'Inputs'!$B$21)+'Inputs'!$B$9)/SQRT((((628-43)*MAX('Inputs'!$B$33,'Inputs'!$B$29+'Inputs'!$B$31+'Inputs'!$B$32,'Inputs'!$B$30+'Inputs'!$B$31+'Inputs'!$B$32)/1000+'Inputs'!$B$21)+'Inputs'!$B$9)^2+('Inputs'!$B$8/2)^2)-(((628-43)*MAX('Inputs'!$B$33,'Inputs'!$B$29+'Inputs'!$B$31+'Inputs'!$B$32,'Inputs'!$B$30+'Inputs'!$B$31+'Inputs'!$B$32)/1000+'Inputs'!$B$21))/SQRT((((628-43)*MAX('Inputs'!$B$33,'Inputs'!$B$29+'Inputs'!$B$31+'Inputs'!$B$32,'Inputs'!$B$30+'Inputs'!$B$31+'Inputs'!$B$32)/1000+'Inputs'!$B$21))^2+('Inputs'!$B$8/2)^2)))-'Results'!B7*(1-'Inputs'!$B$24)*(0.5*((((628-43)*MAX('Inputs'!$B$33,'Inputs'!$B$29+'Inputs'!$B$31+'Inputs'!$B$32,'Inputs'!$B$30+'Inputs'!$B$31+'Inputs'!$B$32)/1000+'Inputs'!$B$21+'Inputs'!$B$9+'Inputs'!$B$10)+'Inputs'!$B$7)/SQRT((((628-43)*MAX('Inputs'!$B$33,'Inputs'!$B$29+'Inputs'!$B$31+'Inputs'!$B$32,'Inputs'!$B$30+'Inputs'!$B$31+'Inputs'!$B$32)/1000+'Inputs'!$B$21+'Inputs'!$B$9+'Inputs'!$B$10)+'Inputs'!$B$7)^2+('Inputs'!$B$6/2)^2)-(((628-43)*MAX('Inputs'!$B$33,'Inputs'!$B$29+'Inputs'!$B$31+'Inputs'!$B$32,'Inputs'!$B$30+'Inputs'!$B$31+'Inputs'!$B$32)/1000+'Inputs'!$B$21+'Inputs'!$B$9+'Inputs'!$B$10))/SQRT((((628-43)*MAX('Inputs'!$B$33,'Inputs'!$B$29+'Inputs'!$B$31+'Inputs'!$B$32,'Inputs'!$B$30+'Inputs'!$B$31+'Inputs'!$B$32)/1000+'Inputs'!$B$21+'Inputs'!$B$9+'Inputs'!$B$10))^2+('Inputs'!$B$6/2)^2))))*'Results'!$B$8)+'Inputs'!$B$28*ABS((('Results'!C7*(1+'Inputs'!$B$24)*(0.5*((((628-43)*MAX('Inputs'!$B$33,'Inputs'!$B$29+'Inputs'!$B$31+'Inputs'!$B$32,'Inputs'!$B$30+'Inputs'!$B$31+'Inputs'!$B$32)/1000+'Inputs'!$B$21)+'Inputs'!$B$9)/SQRT((((628-43)*MAX('Inputs'!$B$33,'Inputs'!$B$29+'Inputs'!$B$31+'Inputs'!$B$32,'Inputs'!$B$30+'Inputs'!$B$31+'Inputs'!$B$32)/1000+'Inputs'!$B$21)+'Inputs'!$B$9)^2+('Inputs'!$B$8/2)^2)-(((628-43)*MAX('Inputs'!$B$33,'Inputs'!$B$29+'Inputs'!$B$31+'Inputs'!$B$32,'Inputs'!$B$30+'Inputs'!$B$31+'Inputs'!$B$32)/1000+'Inputs'!$B$21))/SQRT((((628-43)*MAX('Inputs'!$B$33,'Inputs'!$B$29+'Inputs'!$B$31+'Inputs'!$B$32,'Inputs'!$B$30+'Inputs'!$B$31+'Inputs'!$B$32)/1000+'Inputs'!$B$21))^2+('Inputs'!$B$8/2)^2)))-'Results'!B7*(1-'Inputs'!$B$24)*(0.5*((((628-43)*MAX('Inputs'!$B$33,'Inputs'!$B$29+'Inputs'!$B$31+'Inputs'!$B$32,'Inputs'!$B$30+'Inputs'!$B$31+'Inputs'!$B$32)/1000+'Inputs'!$B$21+'Inputs'!$B$9+'Inputs'!$B$10)+'Inputs'!$B$7)/SQRT((((628-43)*MAX('Inputs'!$B$33,'Inputs'!$B$29+'Inputs'!$B$31+'Inputs'!$B$32,'Inputs'!$B$30+'Inputs'!$B$31+'Inputs'!$B$32)/1000+'Inputs'!$B$21+'Inputs'!$B$9+'Inputs'!$B$10)+'Inputs'!$B$7)^2+('Inputs'!$B$6/2)^2)-(((628-43)*MAX('Inputs'!$B$33,'Inputs'!$B$29+'Inputs'!$B$31+'Inputs'!$B$32,'Inputs'!$B$30+'Inputs'!$B$31+'Inputs'!$B$32)/1000+'Inputs'!$B$21+'Inputs'!$B$9+'Inputs'!$B$10))/SQRT((((628-43)*MAX('Inputs'!$B$33,'Inputs'!$B$29+'Inputs'!$B$31+'Inputs'!$B$32,'Inputs'!$B$30+'Inputs'!$B$31+'Inputs'!$B$32)/1000+'Inputs'!$B$21+'Inputs'!$B$9+'Inputs'!$B$10))^2+('Inputs'!$B$6/2)^2))))*'Results'!$B$8))),"")</x:f>
        <x:v>2.5501403759785113</x:v>
      </x:c>
      <x:c r="P628" t="n">
        <x:f>IF(AND(MAX(J628,J627)&gt;0,J628&gt;J627+0.00000001),1,0)</x:f>
        <x:v>0</x:v>
      </x:c>
      <x:c r="Q628" t="n">
        <x:f>IF(AND(MAX(K628,K627)&gt;0,K628&gt;K627+0.00000001),1,0)</x:f>
        <x:v>0</x:v>
      </x:c>
      <x:c r="R628" t="n">
        <x:f>IF(AND(MAX(L628,L627)&gt;0,L628&gt;L627+0.00000001),1,0)</x:f>
        <x:v>0</x:v>
      </x:c>
      <x:c r="S628" t="n">
        <x:f>IF(AND(MAX(M628,M627)&gt;0,M628&gt;M627+0.00000001),1,0)</x:f>
        <x:v>0</x:v>
      </x:c>
      <x:c r="T628" t="n">
        <x:f>IF(AND(MAX(N628,N627)&gt;0,N628&gt;N627+0.00000001),1,0)</x:f>
        <x:v>0</x:v>
      </x:c>
      <x:c r="U628" t="n">
        <x:f>IF(AND(MAX(O628,O627)&gt;0,O628&gt;O627+0.00000001),1,0)</x:f>
        <x:v>0</x:v>
      </x:c>
    </x:row>
    <x:row r="629">
      <x:c r="J629" t="n">
        <x:f>IF(AND(ISNUMBER('Results'!B7),ISNUMBER('Results'!C7),ISNUMBER('Results'!$B$8),ISNUMBER('Inputs'!$B$6),ISNUMBER('Inputs'!$B$7),ISNUMBER('Inputs'!$B$8),ISNUMBER('Inputs'!$B$9),ISNUMBER('Inputs'!$B$10),ISNUMBER('Inputs'!$B$21),ISNUMBER('Inputs'!$B$24),ISNUMBER('Inputs'!$B$28)),(('Results'!B7*(0.5*((((629-43)*MAX('Inputs'!$B$33,'Inputs'!$B$29+'Inputs'!$B$31+'Inputs'!$B$32,'Inputs'!$B$30+'Inputs'!$B$31+'Inputs'!$B$32)/1000+'Inputs'!$B$21)+'Inputs'!$B$7)/SQRT((((629-43)*MAX('Inputs'!$B$33,'Inputs'!$B$29+'Inputs'!$B$31+'Inputs'!$B$32,'Inputs'!$B$30+'Inputs'!$B$31+'Inputs'!$B$32)/1000+'Inputs'!$B$21)+'Inputs'!$B$7)^2+('Inputs'!$B$6/2)^2)-(((629-43)*MAX('Inputs'!$B$33,'Inputs'!$B$29+'Inputs'!$B$31+'Inputs'!$B$32,'Inputs'!$B$30+'Inputs'!$B$31+'Inputs'!$B$32)/1000+'Inputs'!$B$21))/SQRT((((629-43)*MAX('Inputs'!$B$33,'Inputs'!$B$29+'Inputs'!$B$31+'Inputs'!$B$32,'Inputs'!$B$30+'Inputs'!$B$31+'Inputs'!$B$32)/1000+'Inputs'!$B$21))^2+('Inputs'!$B$6/2)^2)))-'Results'!C7*(0.5*((((629-43)*MAX('Inputs'!$B$33,'Inputs'!$B$29+'Inputs'!$B$31+'Inputs'!$B$32,'Inputs'!$B$30+'Inputs'!$B$31+'Inputs'!$B$32)/1000+'Inputs'!$B$21+'Inputs'!$B$7+'Inputs'!$B$10)+'Inputs'!$B$9)/SQRT((((629-43)*MAX('Inputs'!$B$33,'Inputs'!$B$29+'Inputs'!$B$31+'Inputs'!$B$32,'Inputs'!$B$30+'Inputs'!$B$31+'Inputs'!$B$32)/1000+'Inputs'!$B$21+'Inputs'!$B$7+'Inputs'!$B$10)+'Inputs'!$B$9)^2+('Inputs'!$B$8/2)^2)-(((629-43)*MAX('Inputs'!$B$33,'Inputs'!$B$29+'Inputs'!$B$31+'Inputs'!$B$32,'Inputs'!$B$30+'Inputs'!$B$31+'Inputs'!$B$32)/1000+'Inputs'!$B$21+'Inputs'!$B$7+'Inputs'!$B$10))/SQRT((((629-43)*MAX('Inputs'!$B$33,'Inputs'!$B$29+'Inputs'!$B$31+'Inputs'!$B$32,'Inputs'!$B$30+'Inputs'!$B$31+'Inputs'!$B$32)/1000+'Inputs'!$B$21+'Inputs'!$B$7+'Inputs'!$B$10))^2+('Inputs'!$B$8/2)^2))))*'Results'!$B$8),"")</x:f>
        <x:v>2.416624528576098</x:v>
      </x:c>
      <x:c r="K629" t="n">
        <x:f>IF(AND(ISNUMBER('Results'!B7),ISNUMBER('Results'!C7),ISNUMBER('Results'!$B$8),ISNUMBER('Inputs'!$B$6),ISNUMBER('Inputs'!$B$7),ISNUMBER('Inputs'!$B$8),ISNUMBER('Inputs'!$B$9),ISNUMBER('Inputs'!$B$10),ISNUMBER('Inputs'!$B$21),ISNUMBER('Inputs'!$B$24),ISNUMBER('Inputs'!$B$28)),((('Results'!B7*(1-'Inputs'!$B$24)*(0.5*((((629-43)*MAX('Inputs'!$B$33,'Inputs'!$B$29+'Inputs'!$B$31+'Inputs'!$B$32,'Inputs'!$B$30+'Inputs'!$B$31+'Inputs'!$B$32)/1000+'Inputs'!$B$21)+'Inputs'!$B$7)/SQRT((((629-43)*MAX('Inputs'!$B$33,'Inputs'!$B$29+'Inputs'!$B$31+'Inputs'!$B$32,'Inputs'!$B$30+'Inputs'!$B$31+'Inputs'!$B$32)/1000+'Inputs'!$B$21)+'Inputs'!$B$7)^2+('Inputs'!$B$6/2)^2)-(((629-43)*MAX('Inputs'!$B$33,'Inputs'!$B$29+'Inputs'!$B$31+'Inputs'!$B$32,'Inputs'!$B$30+'Inputs'!$B$31+'Inputs'!$B$32)/1000+'Inputs'!$B$21))/SQRT((((629-43)*MAX('Inputs'!$B$33,'Inputs'!$B$29+'Inputs'!$B$31+'Inputs'!$B$32,'Inputs'!$B$30+'Inputs'!$B$31+'Inputs'!$B$32)/1000+'Inputs'!$B$21))^2+('Inputs'!$B$6/2)^2)))-'Results'!C7*(1+'Inputs'!$B$24)*(0.5*((((629-43)*MAX('Inputs'!$B$33,'Inputs'!$B$29+'Inputs'!$B$31+'Inputs'!$B$32,'Inputs'!$B$30+'Inputs'!$B$31+'Inputs'!$B$32)/1000+'Inputs'!$B$21+'Inputs'!$B$7+'Inputs'!$B$10)+'Inputs'!$B$9)/SQRT((((629-43)*MAX('Inputs'!$B$33,'Inputs'!$B$29+'Inputs'!$B$31+'Inputs'!$B$32,'Inputs'!$B$30+'Inputs'!$B$31+'Inputs'!$B$32)/1000+'Inputs'!$B$21+'Inputs'!$B$7+'Inputs'!$B$10)+'Inputs'!$B$9)^2+('Inputs'!$B$8/2)^2)-(((629-43)*MAX('Inputs'!$B$33,'Inputs'!$B$29+'Inputs'!$B$31+'Inputs'!$B$32,'Inputs'!$B$30+'Inputs'!$B$31+'Inputs'!$B$32)/1000+'Inputs'!$B$21+'Inputs'!$B$7+'Inputs'!$B$10))/SQRT((((629-43)*MAX('Inputs'!$B$33,'Inputs'!$B$29+'Inputs'!$B$31+'Inputs'!$B$32,'Inputs'!$B$30+'Inputs'!$B$31+'Inputs'!$B$32)/1000+'Inputs'!$B$21+'Inputs'!$B$7+'Inputs'!$B$10))^2+('Inputs'!$B$8/2)^2))))*'Results'!$B$8)-'Inputs'!$B$28*ABS((('Results'!B7*(1-'Inputs'!$B$24)*(0.5*((((629-43)*MAX('Inputs'!$B$33,'Inputs'!$B$29+'Inputs'!$B$31+'Inputs'!$B$32,'Inputs'!$B$30+'Inputs'!$B$31+'Inputs'!$B$32)/1000+'Inputs'!$B$21)+'Inputs'!$B$7)/SQRT((((629-43)*MAX('Inputs'!$B$33,'Inputs'!$B$29+'Inputs'!$B$31+'Inputs'!$B$32,'Inputs'!$B$30+'Inputs'!$B$31+'Inputs'!$B$32)/1000+'Inputs'!$B$21)+'Inputs'!$B$7)^2+('Inputs'!$B$6/2)^2)-(((629-43)*MAX('Inputs'!$B$33,'Inputs'!$B$29+'Inputs'!$B$31+'Inputs'!$B$32,'Inputs'!$B$30+'Inputs'!$B$31+'Inputs'!$B$32)/1000+'Inputs'!$B$21))/SQRT((((629-43)*MAX('Inputs'!$B$33,'Inputs'!$B$29+'Inputs'!$B$31+'Inputs'!$B$32,'Inputs'!$B$30+'Inputs'!$B$31+'Inputs'!$B$32)/1000+'Inputs'!$B$21))^2+('Inputs'!$B$6/2)^2)))-'Results'!C7*(1+'Inputs'!$B$24)*(0.5*((((629-43)*MAX('Inputs'!$B$33,'Inputs'!$B$29+'Inputs'!$B$31+'Inputs'!$B$32,'Inputs'!$B$30+'Inputs'!$B$31+'Inputs'!$B$32)/1000+'Inputs'!$B$21+'Inputs'!$B$7+'Inputs'!$B$10)+'Inputs'!$B$9)/SQRT((((629-43)*MAX('Inputs'!$B$33,'Inputs'!$B$29+'Inputs'!$B$31+'Inputs'!$B$32,'Inputs'!$B$30+'Inputs'!$B$31+'Inputs'!$B$32)/1000+'Inputs'!$B$21+'Inputs'!$B$7+'Inputs'!$B$10)+'Inputs'!$B$9)^2+('Inputs'!$B$8/2)^2)-(((629-43)*MAX('Inputs'!$B$33,'Inputs'!$B$29+'Inputs'!$B$31+'Inputs'!$B$32,'Inputs'!$B$30+'Inputs'!$B$31+'Inputs'!$B$32)/1000+'Inputs'!$B$21+'Inputs'!$B$7+'Inputs'!$B$10))/SQRT((((629-43)*MAX('Inputs'!$B$33,'Inputs'!$B$29+'Inputs'!$B$31+'Inputs'!$B$32,'Inputs'!$B$30+'Inputs'!$B$31+'Inputs'!$B$32)/1000+'Inputs'!$B$21+'Inputs'!$B$7+'Inputs'!$B$10))^2+('Inputs'!$B$8/2)^2))))*'Results'!$B$8))),"")</x:f>
        <x:v>2.1195854504040583</x:v>
      </x:c>
      <x:c r="L629" t="n">
        <x:f>IF(AND(ISNUMBER('Results'!B7),ISNUMBER('Results'!C7),ISNUMBER('Results'!$B$8),ISNUMBER('Inputs'!$B$6),ISNUMBER('Inputs'!$B$7),ISNUMBER('Inputs'!$B$8),ISNUMBER('Inputs'!$B$9),ISNUMBER('Inputs'!$B$10),ISNUMBER('Inputs'!$B$21),ISNUMBER('Inputs'!$B$24),ISNUMBER('Inputs'!$B$28)),((('Results'!B7*(1+'Inputs'!$B$24)*(0.5*((((629-43)*MAX('Inputs'!$B$33,'Inputs'!$B$29+'Inputs'!$B$31+'Inputs'!$B$32,'Inputs'!$B$30+'Inputs'!$B$31+'Inputs'!$B$32)/1000+'Inputs'!$B$21)+'Inputs'!$B$7)/SQRT((((629-43)*MAX('Inputs'!$B$33,'Inputs'!$B$29+'Inputs'!$B$31+'Inputs'!$B$32,'Inputs'!$B$30+'Inputs'!$B$31+'Inputs'!$B$32)/1000+'Inputs'!$B$21)+'Inputs'!$B$7)^2+('Inputs'!$B$6/2)^2)-(((629-43)*MAX('Inputs'!$B$33,'Inputs'!$B$29+'Inputs'!$B$31+'Inputs'!$B$32,'Inputs'!$B$30+'Inputs'!$B$31+'Inputs'!$B$32)/1000+'Inputs'!$B$21))/SQRT((((629-43)*MAX('Inputs'!$B$33,'Inputs'!$B$29+'Inputs'!$B$31+'Inputs'!$B$32,'Inputs'!$B$30+'Inputs'!$B$31+'Inputs'!$B$32)/1000+'Inputs'!$B$21))^2+('Inputs'!$B$6/2)^2)))-'Results'!C7*(1-'Inputs'!$B$24)*(0.5*((((629-43)*MAX('Inputs'!$B$33,'Inputs'!$B$29+'Inputs'!$B$31+'Inputs'!$B$32,'Inputs'!$B$30+'Inputs'!$B$31+'Inputs'!$B$32)/1000+'Inputs'!$B$21+'Inputs'!$B$7+'Inputs'!$B$10)+'Inputs'!$B$9)/SQRT((((629-43)*MAX('Inputs'!$B$33,'Inputs'!$B$29+'Inputs'!$B$31+'Inputs'!$B$32,'Inputs'!$B$30+'Inputs'!$B$31+'Inputs'!$B$32)/1000+'Inputs'!$B$21+'Inputs'!$B$7+'Inputs'!$B$10)+'Inputs'!$B$9)^2+('Inputs'!$B$8/2)^2)-(((629-43)*MAX('Inputs'!$B$33,'Inputs'!$B$29+'Inputs'!$B$31+'Inputs'!$B$32,'Inputs'!$B$30+'Inputs'!$B$31+'Inputs'!$B$32)/1000+'Inputs'!$B$21+'Inputs'!$B$7+'Inputs'!$B$10))/SQRT((((629-43)*MAX('Inputs'!$B$33,'Inputs'!$B$29+'Inputs'!$B$31+'Inputs'!$B$32,'Inputs'!$B$30+'Inputs'!$B$31+'Inputs'!$B$32)/1000+'Inputs'!$B$21+'Inputs'!$B$7+'Inputs'!$B$10))^2+('Inputs'!$B$8/2)^2))))*'Results'!$B$8)+'Inputs'!$B$28*ABS((('Results'!B7*(1+'Inputs'!$B$24)*(0.5*((((629-43)*MAX('Inputs'!$B$33,'Inputs'!$B$29+'Inputs'!$B$31+'Inputs'!$B$32,'Inputs'!$B$30+'Inputs'!$B$31+'Inputs'!$B$32)/1000+'Inputs'!$B$21)+'Inputs'!$B$7)/SQRT((((629-43)*MAX('Inputs'!$B$33,'Inputs'!$B$29+'Inputs'!$B$31+'Inputs'!$B$32,'Inputs'!$B$30+'Inputs'!$B$31+'Inputs'!$B$32)/1000+'Inputs'!$B$21)+'Inputs'!$B$7)^2+('Inputs'!$B$6/2)^2)-(((629-43)*MAX('Inputs'!$B$33,'Inputs'!$B$29+'Inputs'!$B$31+'Inputs'!$B$32,'Inputs'!$B$30+'Inputs'!$B$31+'Inputs'!$B$32)/1000+'Inputs'!$B$21))/SQRT((((629-43)*MAX('Inputs'!$B$33,'Inputs'!$B$29+'Inputs'!$B$31+'Inputs'!$B$32,'Inputs'!$B$30+'Inputs'!$B$31+'Inputs'!$B$32)/1000+'Inputs'!$B$21))^2+('Inputs'!$B$6/2)^2)))-'Results'!C7*(1-'Inputs'!$B$24)*(0.5*((((629-43)*MAX('Inputs'!$B$33,'Inputs'!$B$29+'Inputs'!$B$31+'Inputs'!$B$32,'Inputs'!$B$30+'Inputs'!$B$31+'Inputs'!$B$32)/1000+'Inputs'!$B$21+'Inputs'!$B$7+'Inputs'!$B$10)+'Inputs'!$B$9)/SQRT((((629-43)*MAX('Inputs'!$B$33,'Inputs'!$B$29+'Inputs'!$B$31+'Inputs'!$B$32,'Inputs'!$B$30+'Inputs'!$B$31+'Inputs'!$B$32)/1000+'Inputs'!$B$21+'Inputs'!$B$7+'Inputs'!$B$10)+'Inputs'!$B$9)^2+('Inputs'!$B$8/2)^2)-(((629-43)*MAX('Inputs'!$B$33,'Inputs'!$B$29+'Inputs'!$B$31+'Inputs'!$B$32,'Inputs'!$B$30+'Inputs'!$B$31+'Inputs'!$B$32)/1000+'Inputs'!$B$21+'Inputs'!$B$7+'Inputs'!$B$10))/SQRT((((629-43)*MAX('Inputs'!$B$33,'Inputs'!$B$29+'Inputs'!$B$31+'Inputs'!$B$32,'Inputs'!$B$30+'Inputs'!$B$31+'Inputs'!$B$32)/1000+'Inputs'!$B$21+'Inputs'!$B$7+'Inputs'!$B$10))^2+('Inputs'!$B$8/2)^2))))*'Results'!$B$8))),"")</x:f>
        <x:v>2.732211801668478</x:v>
      </x:c>
      <x:c r="M629" t="n">
        <x:f>IF(AND(ISNUMBER('Results'!C7),ISNUMBER('Results'!B7),ISNUMBER('Results'!$B$8),ISNUMBER('Inputs'!$B$6),ISNUMBER('Inputs'!$B$7),ISNUMBER('Inputs'!$B$8),ISNUMBER('Inputs'!$B$9),ISNUMBER('Inputs'!$B$10),ISNUMBER('Inputs'!$B$21),ISNUMBER('Inputs'!$B$24),ISNUMBER('Inputs'!$B$28)),(('Results'!C7*(0.5*((((629-43)*MAX('Inputs'!$B$33,'Inputs'!$B$29+'Inputs'!$B$31+'Inputs'!$B$32,'Inputs'!$B$30+'Inputs'!$B$31+'Inputs'!$B$32)/1000+'Inputs'!$B$21)+'Inputs'!$B$9)/SQRT((((629-43)*MAX('Inputs'!$B$33,'Inputs'!$B$29+'Inputs'!$B$31+'Inputs'!$B$32,'Inputs'!$B$30+'Inputs'!$B$31+'Inputs'!$B$32)/1000+'Inputs'!$B$21)+'Inputs'!$B$9)^2+('Inputs'!$B$8/2)^2)-(((629-43)*MAX('Inputs'!$B$33,'Inputs'!$B$29+'Inputs'!$B$31+'Inputs'!$B$32,'Inputs'!$B$30+'Inputs'!$B$31+'Inputs'!$B$32)/1000+'Inputs'!$B$21))/SQRT((((629-43)*MAX('Inputs'!$B$33,'Inputs'!$B$29+'Inputs'!$B$31+'Inputs'!$B$32,'Inputs'!$B$30+'Inputs'!$B$31+'Inputs'!$B$32)/1000+'Inputs'!$B$21))^2+('Inputs'!$B$8/2)^2)))-'Results'!B7*(0.5*((((629-43)*MAX('Inputs'!$B$33,'Inputs'!$B$29+'Inputs'!$B$31+'Inputs'!$B$32,'Inputs'!$B$30+'Inputs'!$B$31+'Inputs'!$B$32)/1000+'Inputs'!$B$21+'Inputs'!$B$9+'Inputs'!$B$10)+'Inputs'!$B$7)/SQRT((((629-43)*MAX('Inputs'!$B$33,'Inputs'!$B$29+'Inputs'!$B$31+'Inputs'!$B$32,'Inputs'!$B$30+'Inputs'!$B$31+'Inputs'!$B$32)/1000+'Inputs'!$B$21+'Inputs'!$B$9+'Inputs'!$B$10)+'Inputs'!$B$7)^2+('Inputs'!$B$6/2)^2)-(((629-43)*MAX('Inputs'!$B$33,'Inputs'!$B$29+'Inputs'!$B$31+'Inputs'!$B$32,'Inputs'!$B$30+'Inputs'!$B$31+'Inputs'!$B$32)/1000+'Inputs'!$B$21+'Inputs'!$B$9+'Inputs'!$B$10))/SQRT((((629-43)*MAX('Inputs'!$B$33,'Inputs'!$B$29+'Inputs'!$B$31+'Inputs'!$B$32,'Inputs'!$B$30+'Inputs'!$B$31+'Inputs'!$B$32)/1000+'Inputs'!$B$21+'Inputs'!$B$9+'Inputs'!$B$10))^2+('Inputs'!$B$6/2)^2))))*'Results'!$B$8),"")</x:f>
        <x:v>2.2297430951009396</x:v>
      </x:c>
      <x:c r="N629" t="n">
        <x:f>IF(AND(ISNUMBER('Results'!C7),ISNUMBER('Results'!B7),ISNUMBER('Results'!$B$8),ISNUMBER('Inputs'!$B$6),ISNUMBER('Inputs'!$B$7),ISNUMBER('Inputs'!$B$8),ISNUMBER('Inputs'!$B$9),ISNUMBER('Inputs'!$B$10),ISNUMBER('Inputs'!$B$21),ISNUMBER('Inputs'!$B$24),ISNUMBER('Inputs'!$B$28)),((('Results'!C7*(1-'Inputs'!$B$24)*(0.5*((((629-43)*MAX('Inputs'!$B$33,'Inputs'!$B$29+'Inputs'!$B$31+'Inputs'!$B$32,'Inputs'!$B$30+'Inputs'!$B$31+'Inputs'!$B$32)/1000+'Inputs'!$B$21)+'Inputs'!$B$9)/SQRT((((629-43)*MAX('Inputs'!$B$33,'Inputs'!$B$29+'Inputs'!$B$31+'Inputs'!$B$32,'Inputs'!$B$30+'Inputs'!$B$31+'Inputs'!$B$32)/1000+'Inputs'!$B$21)+'Inputs'!$B$9)^2+('Inputs'!$B$8/2)^2)-(((629-43)*MAX('Inputs'!$B$33,'Inputs'!$B$29+'Inputs'!$B$31+'Inputs'!$B$32,'Inputs'!$B$30+'Inputs'!$B$31+'Inputs'!$B$32)/1000+'Inputs'!$B$21))/SQRT((((629-43)*MAX('Inputs'!$B$33,'Inputs'!$B$29+'Inputs'!$B$31+'Inputs'!$B$32,'Inputs'!$B$30+'Inputs'!$B$31+'Inputs'!$B$32)/1000+'Inputs'!$B$21))^2+('Inputs'!$B$8/2)^2)))-'Results'!B7*(1+'Inputs'!$B$24)*(0.5*((((629-43)*MAX('Inputs'!$B$33,'Inputs'!$B$29+'Inputs'!$B$31+'Inputs'!$B$32,'Inputs'!$B$30+'Inputs'!$B$31+'Inputs'!$B$32)/1000+'Inputs'!$B$21+'Inputs'!$B$9+'Inputs'!$B$10)+'Inputs'!$B$7)/SQRT((((629-43)*MAX('Inputs'!$B$33,'Inputs'!$B$29+'Inputs'!$B$31+'Inputs'!$B$32,'Inputs'!$B$30+'Inputs'!$B$31+'Inputs'!$B$32)/1000+'Inputs'!$B$21+'Inputs'!$B$9+'Inputs'!$B$10)+'Inputs'!$B$7)^2+('Inputs'!$B$6/2)^2)-(((629-43)*MAX('Inputs'!$B$33,'Inputs'!$B$29+'Inputs'!$B$31+'Inputs'!$B$32,'Inputs'!$B$30+'Inputs'!$B$31+'Inputs'!$B$32)/1000+'Inputs'!$B$21+'Inputs'!$B$9+'Inputs'!$B$10))/SQRT((((629-43)*MAX('Inputs'!$B$33,'Inputs'!$B$29+'Inputs'!$B$31+'Inputs'!$B$32,'Inputs'!$B$30+'Inputs'!$B$31+'Inputs'!$B$32)/1000+'Inputs'!$B$21+'Inputs'!$B$9+'Inputs'!$B$10))^2+('Inputs'!$B$6/2)^2))))*'Results'!$B$8)-'Inputs'!$B$28*ABS((('Results'!C7*(1-'Inputs'!$B$24)*(0.5*((((629-43)*MAX('Inputs'!$B$33,'Inputs'!$B$29+'Inputs'!$B$31+'Inputs'!$B$32,'Inputs'!$B$30+'Inputs'!$B$31+'Inputs'!$B$32)/1000+'Inputs'!$B$21)+'Inputs'!$B$9)/SQRT((((629-43)*MAX('Inputs'!$B$33,'Inputs'!$B$29+'Inputs'!$B$31+'Inputs'!$B$32,'Inputs'!$B$30+'Inputs'!$B$31+'Inputs'!$B$32)/1000+'Inputs'!$B$21)+'Inputs'!$B$9)^2+('Inputs'!$B$8/2)^2)-(((629-43)*MAX('Inputs'!$B$33,'Inputs'!$B$29+'Inputs'!$B$31+'Inputs'!$B$32,'Inputs'!$B$30+'Inputs'!$B$31+'Inputs'!$B$32)/1000+'Inputs'!$B$21))/SQRT((((629-43)*MAX('Inputs'!$B$33,'Inputs'!$B$29+'Inputs'!$B$31+'Inputs'!$B$32,'Inputs'!$B$30+'Inputs'!$B$31+'Inputs'!$B$32)/1000+'Inputs'!$B$21))^2+('Inputs'!$B$8/2)^2)))-'Results'!B7*(1+'Inputs'!$B$24)*(0.5*((((629-43)*MAX('Inputs'!$B$33,'Inputs'!$B$29+'Inputs'!$B$31+'Inputs'!$B$32,'Inputs'!$B$30+'Inputs'!$B$31+'Inputs'!$B$32)/1000+'Inputs'!$B$21+'Inputs'!$B$9+'Inputs'!$B$10)+'Inputs'!$B$7)/SQRT((((629-43)*MAX('Inputs'!$B$33,'Inputs'!$B$29+'Inputs'!$B$31+'Inputs'!$B$32,'Inputs'!$B$30+'Inputs'!$B$31+'Inputs'!$B$32)/1000+'Inputs'!$B$21+'Inputs'!$B$9+'Inputs'!$B$10)+'Inputs'!$B$7)^2+('Inputs'!$B$6/2)^2)-(((629-43)*MAX('Inputs'!$B$33,'Inputs'!$B$29+'Inputs'!$B$31+'Inputs'!$B$32,'Inputs'!$B$30+'Inputs'!$B$31+'Inputs'!$B$32)/1000+'Inputs'!$B$21+'Inputs'!$B$9+'Inputs'!$B$10))/SQRT((((629-43)*MAX('Inputs'!$B$33,'Inputs'!$B$29+'Inputs'!$B$31+'Inputs'!$B$32,'Inputs'!$B$30+'Inputs'!$B$31+'Inputs'!$B$32)/1000+'Inputs'!$B$21+'Inputs'!$B$9+'Inputs'!$B$10))^2+('Inputs'!$B$6/2)^2))))*'Results'!$B$8))),"")</x:f>
        <x:v>1.9429398157223534</x:v>
      </x:c>
      <x:c r="O629" t="n">
        <x:f>IF(AND(ISNUMBER('Results'!C7),ISNUMBER('Results'!B7),ISNUMBER('Results'!$B$8),ISNUMBER('Inputs'!$B$6),ISNUMBER('Inputs'!$B$7),ISNUMBER('Inputs'!$B$8),ISNUMBER('Inputs'!$B$9),ISNUMBER('Inputs'!$B$10),ISNUMBER('Inputs'!$B$21),ISNUMBER('Inputs'!$B$24),ISNUMBER('Inputs'!$B$28)),((('Results'!C7*(1+'Inputs'!$B$24)*(0.5*((((629-43)*MAX('Inputs'!$B$33,'Inputs'!$B$29+'Inputs'!$B$31+'Inputs'!$B$32,'Inputs'!$B$30+'Inputs'!$B$31+'Inputs'!$B$32)/1000+'Inputs'!$B$21)+'Inputs'!$B$9)/SQRT((((629-43)*MAX('Inputs'!$B$33,'Inputs'!$B$29+'Inputs'!$B$31+'Inputs'!$B$32,'Inputs'!$B$30+'Inputs'!$B$31+'Inputs'!$B$32)/1000+'Inputs'!$B$21)+'Inputs'!$B$9)^2+('Inputs'!$B$8/2)^2)-(((629-43)*MAX('Inputs'!$B$33,'Inputs'!$B$29+'Inputs'!$B$31+'Inputs'!$B$32,'Inputs'!$B$30+'Inputs'!$B$31+'Inputs'!$B$32)/1000+'Inputs'!$B$21))/SQRT((((629-43)*MAX('Inputs'!$B$33,'Inputs'!$B$29+'Inputs'!$B$31+'Inputs'!$B$32,'Inputs'!$B$30+'Inputs'!$B$31+'Inputs'!$B$32)/1000+'Inputs'!$B$21))^2+('Inputs'!$B$8/2)^2)))-'Results'!B7*(1-'Inputs'!$B$24)*(0.5*((((629-43)*MAX('Inputs'!$B$33,'Inputs'!$B$29+'Inputs'!$B$31+'Inputs'!$B$32,'Inputs'!$B$30+'Inputs'!$B$31+'Inputs'!$B$32)/1000+'Inputs'!$B$21+'Inputs'!$B$9+'Inputs'!$B$10)+'Inputs'!$B$7)/SQRT((((629-43)*MAX('Inputs'!$B$33,'Inputs'!$B$29+'Inputs'!$B$31+'Inputs'!$B$32,'Inputs'!$B$30+'Inputs'!$B$31+'Inputs'!$B$32)/1000+'Inputs'!$B$21+'Inputs'!$B$9+'Inputs'!$B$10)+'Inputs'!$B$7)^2+('Inputs'!$B$6/2)^2)-(((629-43)*MAX('Inputs'!$B$33,'Inputs'!$B$29+'Inputs'!$B$31+'Inputs'!$B$32,'Inputs'!$B$30+'Inputs'!$B$31+'Inputs'!$B$32)/1000+'Inputs'!$B$21+'Inputs'!$B$9+'Inputs'!$B$10))/SQRT((((629-43)*MAX('Inputs'!$B$33,'Inputs'!$B$29+'Inputs'!$B$31+'Inputs'!$B$32,'Inputs'!$B$30+'Inputs'!$B$31+'Inputs'!$B$32)/1000+'Inputs'!$B$21+'Inputs'!$B$9+'Inputs'!$B$10))^2+('Inputs'!$B$6/2)^2))))*'Results'!$B$8)+'Inputs'!$B$28*ABS((('Results'!C7*(1+'Inputs'!$B$24)*(0.5*((((629-43)*MAX('Inputs'!$B$33,'Inputs'!$B$29+'Inputs'!$B$31+'Inputs'!$B$32,'Inputs'!$B$30+'Inputs'!$B$31+'Inputs'!$B$32)/1000+'Inputs'!$B$21)+'Inputs'!$B$9)/SQRT((((629-43)*MAX('Inputs'!$B$33,'Inputs'!$B$29+'Inputs'!$B$31+'Inputs'!$B$32,'Inputs'!$B$30+'Inputs'!$B$31+'Inputs'!$B$32)/1000+'Inputs'!$B$21)+'Inputs'!$B$9)^2+('Inputs'!$B$8/2)^2)-(((629-43)*MAX('Inputs'!$B$33,'Inputs'!$B$29+'Inputs'!$B$31+'Inputs'!$B$32,'Inputs'!$B$30+'Inputs'!$B$31+'Inputs'!$B$32)/1000+'Inputs'!$B$21))/SQRT((((629-43)*MAX('Inputs'!$B$33,'Inputs'!$B$29+'Inputs'!$B$31+'Inputs'!$B$32,'Inputs'!$B$30+'Inputs'!$B$31+'Inputs'!$B$32)/1000+'Inputs'!$B$21))^2+('Inputs'!$B$8/2)^2)))-'Results'!B7*(1-'Inputs'!$B$24)*(0.5*((((629-43)*MAX('Inputs'!$B$33,'Inputs'!$B$29+'Inputs'!$B$31+'Inputs'!$B$32,'Inputs'!$B$30+'Inputs'!$B$31+'Inputs'!$B$32)/1000+'Inputs'!$B$21+'Inputs'!$B$9+'Inputs'!$B$10)+'Inputs'!$B$7)/SQRT((((629-43)*MAX('Inputs'!$B$33,'Inputs'!$B$29+'Inputs'!$B$31+'Inputs'!$B$32,'Inputs'!$B$30+'Inputs'!$B$31+'Inputs'!$B$32)/1000+'Inputs'!$B$21+'Inputs'!$B$9+'Inputs'!$B$10)+'Inputs'!$B$7)^2+('Inputs'!$B$6/2)^2)-(((629-43)*MAX('Inputs'!$B$33,'Inputs'!$B$29+'Inputs'!$B$31+'Inputs'!$B$32,'Inputs'!$B$30+'Inputs'!$B$31+'Inputs'!$B$32)/1000+'Inputs'!$B$21+'Inputs'!$B$9+'Inputs'!$B$10))/SQRT((((629-43)*MAX('Inputs'!$B$33,'Inputs'!$B$29+'Inputs'!$B$31+'Inputs'!$B$32,'Inputs'!$B$30+'Inputs'!$B$31+'Inputs'!$B$32)/1000+'Inputs'!$B$21+'Inputs'!$B$9+'Inputs'!$B$10))^2+('Inputs'!$B$6/2)^2))))*'Results'!$B$8))),"")</x:f>
        <x:v>2.5350007033872672</x:v>
      </x:c>
      <x:c r="P629" t="n">
        <x:f>IF(AND(MAX(J629,J628)&gt;0,J629&gt;J628+0.00000001),1,0)</x:f>
        <x:v>0</x:v>
      </x:c>
      <x:c r="Q629" t="n">
        <x:f>IF(AND(MAX(K629,K628)&gt;0,K629&gt;K628+0.00000001),1,0)</x:f>
        <x:v>0</x:v>
      </x:c>
      <x:c r="R629" t="n">
        <x:f>IF(AND(MAX(L629,L628)&gt;0,L629&gt;L628+0.00000001),1,0)</x:f>
        <x:v>0</x:v>
      </x:c>
      <x:c r="S629" t="n">
        <x:f>IF(AND(MAX(M629,M628)&gt;0,M629&gt;M628+0.00000001),1,0)</x:f>
        <x:v>0</x:v>
      </x:c>
      <x:c r="T629" t="n">
        <x:f>IF(AND(MAX(N629,N628)&gt;0,N629&gt;N628+0.00000001),1,0)</x:f>
        <x:v>0</x:v>
      </x:c>
      <x:c r="U629" t="n">
        <x:f>IF(AND(MAX(O629,O628)&gt;0,O629&gt;O628+0.00000001),1,0)</x:f>
        <x:v>0</x:v>
      </x:c>
    </x:row>
    <x:row r="630">
      <x:c r="J630" t="n">
        <x:f>IF(AND(ISNUMBER('Results'!B7),ISNUMBER('Results'!C7),ISNUMBER('Results'!$B$8),ISNUMBER('Inputs'!$B$6),ISNUMBER('Inputs'!$B$7),ISNUMBER('Inputs'!$B$8),ISNUMBER('Inputs'!$B$9),ISNUMBER('Inputs'!$B$10),ISNUMBER('Inputs'!$B$21),ISNUMBER('Inputs'!$B$24),ISNUMBER('Inputs'!$B$28)),(('Results'!B7*(0.5*((((630-43)*MAX('Inputs'!$B$33,'Inputs'!$B$29+'Inputs'!$B$31+'Inputs'!$B$32,'Inputs'!$B$30+'Inputs'!$B$31+'Inputs'!$B$32)/1000+'Inputs'!$B$21)+'Inputs'!$B$7)/SQRT((((630-43)*MAX('Inputs'!$B$33,'Inputs'!$B$29+'Inputs'!$B$31+'Inputs'!$B$32,'Inputs'!$B$30+'Inputs'!$B$31+'Inputs'!$B$32)/1000+'Inputs'!$B$21)+'Inputs'!$B$7)^2+('Inputs'!$B$6/2)^2)-(((630-43)*MAX('Inputs'!$B$33,'Inputs'!$B$29+'Inputs'!$B$31+'Inputs'!$B$32,'Inputs'!$B$30+'Inputs'!$B$31+'Inputs'!$B$32)/1000+'Inputs'!$B$21))/SQRT((((630-43)*MAX('Inputs'!$B$33,'Inputs'!$B$29+'Inputs'!$B$31+'Inputs'!$B$32,'Inputs'!$B$30+'Inputs'!$B$31+'Inputs'!$B$32)/1000+'Inputs'!$B$21))^2+('Inputs'!$B$6/2)^2)))-'Results'!C7*(0.5*((((630-43)*MAX('Inputs'!$B$33,'Inputs'!$B$29+'Inputs'!$B$31+'Inputs'!$B$32,'Inputs'!$B$30+'Inputs'!$B$31+'Inputs'!$B$32)/1000+'Inputs'!$B$21+'Inputs'!$B$7+'Inputs'!$B$10)+'Inputs'!$B$9)/SQRT((((630-43)*MAX('Inputs'!$B$33,'Inputs'!$B$29+'Inputs'!$B$31+'Inputs'!$B$32,'Inputs'!$B$30+'Inputs'!$B$31+'Inputs'!$B$32)/1000+'Inputs'!$B$21+'Inputs'!$B$7+'Inputs'!$B$10)+'Inputs'!$B$9)^2+('Inputs'!$B$8/2)^2)-(((630-43)*MAX('Inputs'!$B$33,'Inputs'!$B$29+'Inputs'!$B$31+'Inputs'!$B$32,'Inputs'!$B$30+'Inputs'!$B$31+'Inputs'!$B$32)/1000+'Inputs'!$B$21+'Inputs'!$B$7+'Inputs'!$B$10))/SQRT((((630-43)*MAX('Inputs'!$B$33,'Inputs'!$B$29+'Inputs'!$B$31+'Inputs'!$B$32,'Inputs'!$B$30+'Inputs'!$B$31+'Inputs'!$B$32)/1000+'Inputs'!$B$21+'Inputs'!$B$7+'Inputs'!$B$10))^2+('Inputs'!$B$8/2)^2))))*'Results'!$B$8),"")</x:f>
        <x:v>2.4023015337121776</x:v>
      </x:c>
      <x:c r="K630" t="n">
        <x:f>IF(AND(ISNUMBER('Results'!B7),ISNUMBER('Results'!C7),ISNUMBER('Results'!$B$8),ISNUMBER('Inputs'!$B$6),ISNUMBER('Inputs'!$B$7),ISNUMBER('Inputs'!$B$8),ISNUMBER('Inputs'!$B$9),ISNUMBER('Inputs'!$B$10),ISNUMBER('Inputs'!$B$21),ISNUMBER('Inputs'!$B$24),ISNUMBER('Inputs'!$B$28)),((('Results'!B7*(1-'Inputs'!$B$24)*(0.5*((((630-43)*MAX('Inputs'!$B$33,'Inputs'!$B$29+'Inputs'!$B$31+'Inputs'!$B$32,'Inputs'!$B$30+'Inputs'!$B$31+'Inputs'!$B$32)/1000+'Inputs'!$B$21)+'Inputs'!$B$7)/SQRT((((630-43)*MAX('Inputs'!$B$33,'Inputs'!$B$29+'Inputs'!$B$31+'Inputs'!$B$32,'Inputs'!$B$30+'Inputs'!$B$31+'Inputs'!$B$32)/1000+'Inputs'!$B$21)+'Inputs'!$B$7)^2+('Inputs'!$B$6/2)^2)-(((630-43)*MAX('Inputs'!$B$33,'Inputs'!$B$29+'Inputs'!$B$31+'Inputs'!$B$32,'Inputs'!$B$30+'Inputs'!$B$31+'Inputs'!$B$32)/1000+'Inputs'!$B$21))/SQRT((((630-43)*MAX('Inputs'!$B$33,'Inputs'!$B$29+'Inputs'!$B$31+'Inputs'!$B$32,'Inputs'!$B$30+'Inputs'!$B$31+'Inputs'!$B$32)/1000+'Inputs'!$B$21))^2+('Inputs'!$B$6/2)^2)))-'Results'!C7*(1+'Inputs'!$B$24)*(0.5*((((630-43)*MAX('Inputs'!$B$33,'Inputs'!$B$29+'Inputs'!$B$31+'Inputs'!$B$32,'Inputs'!$B$30+'Inputs'!$B$31+'Inputs'!$B$32)/1000+'Inputs'!$B$21+'Inputs'!$B$7+'Inputs'!$B$10)+'Inputs'!$B$9)/SQRT((((630-43)*MAX('Inputs'!$B$33,'Inputs'!$B$29+'Inputs'!$B$31+'Inputs'!$B$32,'Inputs'!$B$30+'Inputs'!$B$31+'Inputs'!$B$32)/1000+'Inputs'!$B$21+'Inputs'!$B$7+'Inputs'!$B$10)+'Inputs'!$B$9)^2+('Inputs'!$B$8/2)^2)-(((630-43)*MAX('Inputs'!$B$33,'Inputs'!$B$29+'Inputs'!$B$31+'Inputs'!$B$32,'Inputs'!$B$30+'Inputs'!$B$31+'Inputs'!$B$32)/1000+'Inputs'!$B$21+'Inputs'!$B$7+'Inputs'!$B$10))/SQRT((((630-43)*MAX('Inputs'!$B$33,'Inputs'!$B$29+'Inputs'!$B$31+'Inputs'!$B$32,'Inputs'!$B$30+'Inputs'!$B$31+'Inputs'!$B$32)/1000+'Inputs'!$B$21+'Inputs'!$B$7+'Inputs'!$B$10))^2+('Inputs'!$B$8/2)^2))))*'Results'!$B$8)-'Inputs'!$B$28*ABS((('Results'!B7*(1-'Inputs'!$B$24)*(0.5*((((630-43)*MAX('Inputs'!$B$33,'Inputs'!$B$29+'Inputs'!$B$31+'Inputs'!$B$32,'Inputs'!$B$30+'Inputs'!$B$31+'Inputs'!$B$32)/1000+'Inputs'!$B$21)+'Inputs'!$B$7)/SQRT((((630-43)*MAX('Inputs'!$B$33,'Inputs'!$B$29+'Inputs'!$B$31+'Inputs'!$B$32,'Inputs'!$B$30+'Inputs'!$B$31+'Inputs'!$B$32)/1000+'Inputs'!$B$21)+'Inputs'!$B$7)^2+('Inputs'!$B$6/2)^2)-(((630-43)*MAX('Inputs'!$B$33,'Inputs'!$B$29+'Inputs'!$B$31+'Inputs'!$B$32,'Inputs'!$B$30+'Inputs'!$B$31+'Inputs'!$B$32)/1000+'Inputs'!$B$21))/SQRT((((630-43)*MAX('Inputs'!$B$33,'Inputs'!$B$29+'Inputs'!$B$31+'Inputs'!$B$32,'Inputs'!$B$30+'Inputs'!$B$31+'Inputs'!$B$32)/1000+'Inputs'!$B$21))^2+('Inputs'!$B$6/2)^2)))-'Results'!C7*(1+'Inputs'!$B$24)*(0.5*((((630-43)*MAX('Inputs'!$B$33,'Inputs'!$B$29+'Inputs'!$B$31+'Inputs'!$B$32,'Inputs'!$B$30+'Inputs'!$B$31+'Inputs'!$B$32)/1000+'Inputs'!$B$21+'Inputs'!$B$7+'Inputs'!$B$10)+'Inputs'!$B$9)/SQRT((((630-43)*MAX('Inputs'!$B$33,'Inputs'!$B$29+'Inputs'!$B$31+'Inputs'!$B$32,'Inputs'!$B$30+'Inputs'!$B$31+'Inputs'!$B$32)/1000+'Inputs'!$B$21+'Inputs'!$B$7+'Inputs'!$B$10)+'Inputs'!$B$9)^2+('Inputs'!$B$8/2)^2)-(((630-43)*MAX('Inputs'!$B$33,'Inputs'!$B$29+'Inputs'!$B$31+'Inputs'!$B$32,'Inputs'!$B$30+'Inputs'!$B$31+'Inputs'!$B$32)/1000+'Inputs'!$B$21+'Inputs'!$B$7+'Inputs'!$B$10))/SQRT((((630-43)*MAX('Inputs'!$B$33,'Inputs'!$B$29+'Inputs'!$B$31+'Inputs'!$B$32,'Inputs'!$B$30+'Inputs'!$B$31+'Inputs'!$B$32)/1000+'Inputs'!$B$21+'Inputs'!$B$7+'Inputs'!$B$10))^2+('Inputs'!$B$8/2)^2))))*'Results'!$B$8))),"")</x:f>
        <x:v>2.106785775322935</x:v>
      </x:c>
      <x:c r="L630" t="n">
        <x:f>IF(AND(ISNUMBER('Results'!B7),ISNUMBER('Results'!C7),ISNUMBER('Results'!$B$8),ISNUMBER('Inputs'!$B$6),ISNUMBER('Inputs'!$B$7),ISNUMBER('Inputs'!$B$8),ISNUMBER('Inputs'!$B$9),ISNUMBER('Inputs'!$B$10),ISNUMBER('Inputs'!$B$21),ISNUMBER('Inputs'!$B$24),ISNUMBER('Inputs'!$B$28)),((('Results'!B7*(1+'Inputs'!$B$24)*(0.5*((((630-43)*MAX('Inputs'!$B$33,'Inputs'!$B$29+'Inputs'!$B$31+'Inputs'!$B$32,'Inputs'!$B$30+'Inputs'!$B$31+'Inputs'!$B$32)/1000+'Inputs'!$B$21)+'Inputs'!$B$7)/SQRT((((630-43)*MAX('Inputs'!$B$33,'Inputs'!$B$29+'Inputs'!$B$31+'Inputs'!$B$32,'Inputs'!$B$30+'Inputs'!$B$31+'Inputs'!$B$32)/1000+'Inputs'!$B$21)+'Inputs'!$B$7)^2+('Inputs'!$B$6/2)^2)-(((630-43)*MAX('Inputs'!$B$33,'Inputs'!$B$29+'Inputs'!$B$31+'Inputs'!$B$32,'Inputs'!$B$30+'Inputs'!$B$31+'Inputs'!$B$32)/1000+'Inputs'!$B$21))/SQRT((((630-43)*MAX('Inputs'!$B$33,'Inputs'!$B$29+'Inputs'!$B$31+'Inputs'!$B$32,'Inputs'!$B$30+'Inputs'!$B$31+'Inputs'!$B$32)/1000+'Inputs'!$B$21))^2+('Inputs'!$B$6/2)^2)))-'Results'!C7*(1-'Inputs'!$B$24)*(0.5*((((630-43)*MAX('Inputs'!$B$33,'Inputs'!$B$29+'Inputs'!$B$31+'Inputs'!$B$32,'Inputs'!$B$30+'Inputs'!$B$31+'Inputs'!$B$32)/1000+'Inputs'!$B$21+'Inputs'!$B$7+'Inputs'!$B$10)+'Inputs'!$B$9)/SQRT((((630-43)*MAX('Inputs'!$B$33,'Inputs'!$B$29+'Inputs'!$B$31+'Inputs'!$B$32,'Inputs'!$B$30+'Inputs'!$B$31+'Inputs'!$B$32)/1000+'Inputs'!$B$21+'Inputs'!$B$7+'Inputs'!$B$10)+'Inputs'!$B$9)^2+('Inputs'!$B$8/2)^2)-(((630-43)*MAX('Inputs'!$B$33,'Inputs'!$B$29+'Inputs'!$B$31+'Inputs'!$B$32,'Inputs'!$B$30+'Inputs'!$B$31+'Inputs'!$B$32)/1000+'Inputs'!$B$21+'Inputs'!$B$7+'Inputs'!$B$10))/SQRT((((630-43)*MAX('Inputs'!$B$33,'Inputs'!$B$29+'Inputs'!$B$31+'Inputs'!$B$32,'Inputs'!$B$30+'Inputs'!$B$31+'Inputs'!$B$32)/1000+'Inputs'!$B$21+'Inputs'!$B$7+'Inputs'!$B$10))^2+('Inputs'!$B$8/2)^2))))*'Results'!$B$8)+'Inputs'!$B$28*ABS((('Results'!B7*(1+'Inputs'!$B$24)*(0.5*((((630-43)*MAX('Inputs'!$B$33,'Inputs'!$B$29+'Inputs'!$B$31+'Inputs'!$B$32,'Inputs'!$B$30+'Inputs'!$B$31+'Inputs'!$B$32)/1000+'Inputs'!$B$21)+'Inputs'!$B$7)/SQRT((((630-43)*MAX('Inputs'!$B$33,'Inputs'!$B$29+'Inputs'!$B$31+'Inputs'!$B$32,'Inputs'!$B$30+'Inputs'!$B$31+'Inputs'!$B$32)/1000+'Inputs'!$B$21)+'Inputs'!$B$7)^2+('Inputs'!$B$6/2)^2)-(((630-43)*MAX('Inputs'!$B$33,'Inputs'!$B$29+'Inputs'!$B$31+'Inputs'!$B$32,'Inputs'!$B$30+'Inputs'!$B$31+'Inputs'!$B$32)/1000+'Inputs'!$B$21))/SQRT((((630-43)*MAX('Inputs'!$B$33,'Inputs'!$B$29+'Inputs'!$B$31+'Inputs'!$B$32,'Inputs'!$B$30+'Inputs'!$B$31+'Inputs'!$B$32)/1000+'Inputs'!$B$21))^2+('Inputs'!$B$6/2)^2)))-'Results'!C7*(1-'Inputs'!$B$24)*(0.5*((((630-43)*MAX('Inputs'!$B$33,'Inputs'!$B$29+'Inputs'!$B$31+'Inputs'!$B$32,'Inputs'!$B$30+'Inputs'!$B$31+'Inputs'!$B$32)/1000+'Inputs'!$B$21+'Inputs'!$B$7+'Inputs'!$B$10)+'Inputs'!$B$9)/SQRT((((630-43)*MAX('Inputs'!$B$33,'Inputs'!$B$29+'Inputs'!$B$31+'Inputs'!$B$32,'Inputs'!$B$30+'Inputs'!$B$31+'Inputs'!$B$32)/1000+'Inputs'!$B$21+'Inputs'!$B$7+'Inputs'!$B$10)+'Inputs'!$B$9)^2+('Inputs'!$B$8/2)^2)-(((630-43)*MAX('Inputs'!$B$33,'Inputs'!$B$29+'Inputs'!$B$31+'Inputs'!$B$32,'Inputs'!$B$30+'Inputs'!$B$31+'Inputs'!$B$32)/1000+'Inputs'!$B$21+'Inputs'!$B$7+'Inputs'!$B$10))/SQRT((((630-43)*MAX('Inputs'!$B$33,'Inputs'!$B$29+'Inputs'!$B$31+'Inputs'!$B$32,'Inputs'!$B$30+'Inputs'!$B$31+'Inputs'!$B$32)/1000+'Inputs'!$B$21+'Inputs'!$B$7+'Inputs'!$B$10))^2+('Inputs'!$B$8/2)^2))))*'Results'!$B$8))),"")</x:f>
        <x:v>2.716280521754434</x:v>
      </x:c>
      <x:c r="M630" t="n">
        <x:f>IF(AND(ISNUMBER('Results'!C7),ISNUMBER('Results'!B7),ISNUMBER('Results'!$B$8),ISNUMBER('Inputs'!$B$6),ISNUMBER('Inputs'!$B$7),ISNUMBER('Inputs'!$B$8),ISNUMBER('Inputs'!$B$9),ISNUMBER('Inputs'!$B$10),ISNUMBER('Inputs'!$B$21),ISNUMBER('Inputs'!$B$24),ISNUMBER('Inputs'!$B$28)),(('Results'!C7*(0.5*((((630-43)*MAX('Inputs'!$B$33,'Inputs'!$B$29+'Inputs'!$B$31+'Inputs'!$B$32,'Inputs'!$B$30+'Inputs'!$B$31+'Inputs'!$B$32)/1000+'Inputs'!$B$21)+'Inputs'!$B$9)/SQRT((((630-43)*MAX('Inputs'!$B$33,'Inputs'!$B$29+'Inputs'!$B$31+'Inputs'!$B$32,'Inputs'!$B$30+'Inputs'!$B$31+'Inputs'!$B$32)/1000+'Inputs'!$B$21)+'Inputs'!$B$9)^2+('Inputs'!$B$8/2)^2)-(((630-43)*MAX('Inputs'!$B$33,'Inputs'!$B$29+'Inputs'!$B$31+'Inputs'!$B$32,'Inputs'!$B$30+'Inputs'!$B$31+'Inputs'!$B$32)/1000+'Inputs'!$B$21))/SQRT((((630-43)*MAX('Inputs'!$B$33,'Inputs'!$B$29+'Inputs'!$B$31+'Inputs'!$B$32,'Inputs'!$B$30+'Inputs'!$B$31+'Inputs'!$B$32)/1000+'Inputs'!$B$21))^2+('Inputs'!$B$8/2)^2)))-'Results'!B7*(0.5*((((630-43)*MAX('Inputs'!$B$33,'Inputs'!$B$29+'Inputs'!$B$31+'Inputs'!$B$32,'Inputs'!$B$30+'Inputs'!$B$31+'Inputs'!$B$32)/1000+'Inputs'!$B$21+'Inputs'!$B$9+'Inputs'!$B$10)+'Inputs'!$B$7)/SQRT((((630-43)*MAX('Inputs'!$B$33,'Inputs'!$B$29+'Inputs'!$B$31+'Inputs'!$B$32,'Inputs'!$B$30+'Inputs'!$B$31+'Inputs'!$B$32)/1000+'Inputs'!$B$21+'Inputs'!$B$9+'Inputs'!$B$10)+'Inputs'!$B$7)^2+('Inputs'!$B$6/2)^2)-(((630-43)*MAX('Inputs'!$B$33,'Inputs'!$B$29+'Inputs'!$B$31+'Inputs'!$B$32,'Inputs'!$B$30+'Inputs'!$B$31+'Inputs'!$B$32)/1000+'Inputs'!$B$21+'Inputs'!$B$9+'Inputs'!$B$10))/SQRT((((630-43)*MAX('Inputs'!$B$33,'Inputs'!$B$29+'Inputs'!$B$31+'Inputs'!$B$32,'Inputs'!$B$30+'Inputs'!$B$31+'Inputs'!$B$32)/1000+'Inputs'!$B$21+'Inputs'!$B$9+'Inputs'!$B$10))^2+('Inputs'!$B$6/2)^2))))*'Results'!$B$8),"")</x:f>
        <x:v>2.216275499775344</x:v>
      </x:c>
      <x:c r="N630" t="n">
        <x:f>IF(AND(ISNUMBER('Results'!C7),ISNUMBER('Results'!B7),ISNUMBER('Results'!$B$8),ISNUMBER('Inputs'!$B$6),ISNUMBER('Inputs'!$B$7),ISNUMBER('Inputs'!$B$8),ISNUMBER('Inputs'!$B$9),ISNUMBER('Inputs'!$B$10),ISNUMBER('Inputs'!$B$21),ISNUMBER('Inputs'!$B$24),ISNUMBER('Inputs'!$B$28)),((('Results'!C7*(1-'Inputs'!$B$24)*(0.5*((((630-43)*MAX('Inputs'!$B$33,'Inputs'!$B$29+'Inputs'!$B$31+'Inputs'!$B$32,'Inputs'!$B$30+'Inputs'!$B$31+'Inputs'!$B$32)/1000+'Inputs'!$B$21)+'Inputs'!$B$9)/SQRT((((630-43)*MAX('Inputs'!$B$33,'Inputs'!$B$29+'Inputs'!$B$31+'Inputs'!$B$32,'Inputs'!$B$30+'Inputs'!$B$31+'Inputs'!$B$32)/1000+'Inputs'!$B$21)+'Inputs'!$B$9)^2+('Inputs'!$B$8/2)^2)-(((630-43)*MAX('Inputs'!$B$33,'Inputs'!$B$29+'Inputs'!$B$31+'Inputs'!$B$32,'Inputs'!$B$30+'Inputs'!$B$31+'Inputs'!$B$32)/1000+'Inputs'!$B$21))/SQRT((((630-43)*MAX('Inputs'!$B$33,'Inputs'!$B$29+'Inputs'!$B$31+'Inputs'!$B$32,'Inputs'!$B$30+'Inputs'!$B$31+'Inputs'!$B$32)/1000+'Inputs'!$B$21))^2+('Inputs'!$B$8/2)^2)))-'Results'!B7*(1+'Inputs'!$B$24)*(0.5*((((630-43)*MAX('Inputs'!$B$33,'Inputs'!$B$29+'Inputs'!$B$31+'Inputs'!$B$32,'Inputs'!$B$30+'Inputs'!$B$31+'Inputs'!$B$32)/1000+'Inputs'!$B$21+'Inputs'!$B$9+'Inputs'!$B$10)+'Inputs'!$B$7)/SQRT((((630-43)*MAX('Inputs'!$B$33,'Inputs'!$B$29+'Inputs'!$B$31+'Inputs'!$B$32,'Inputs'!$B$30+'Inputs'!$B$31+'Inputs'!$B$32)/1000+'Inputs'!$B$21+'Inputs'!$B$9+'Inputs'!$B$10)+'Inputs'!$B$7)^2+('Inputs'!$B$6/2)^2)-(((630-43)*MAX('Inputs'!$B$33,'Inputs'!$B$29+'Inputs'!$B$31+'Inputs'!$B$32,'Inputs'!$B$30+'Inputs'!$B$31+'Inputs'!$B$32)/1000+'Inputs'!$B$21+'Inputs'!$B$9+'Inputs'!$B$10))/SQRT((((630-43)*MAX('Inputs'!$B$33,'Inputs'!$B$29+'Inputs'!$B$31+'Inputs'!$B$32,'Inputs'!$B$30+'Inputs'!$B$31+'Inputs'!$B$32)/1000+'Inputs'!$B$21+'Inputs'!$B$9+'Inputs'!$B$10))^2+('Inputs'!$B$6/2)^2))))*'Results'!$B$8)-'Inputs'!$B$28*ABS((('Results'!C7*(1-'Inputs'!$B$24)*(0.5*((((630-43)*MAX('Inputs'!$B$33,'Inputs'!$B$29+'Inputs'!$B$31+'Inputs'!$B$32,'Inputs'!$B$30+'Inputs'!$B$31+'Inputs'!$B$32)/1000+'Inputs'!$B$21)+'Inputs'!$B$9)/SQRT((((630-43)*MAX('Inputs'!$B$33,'Inputs'!$B$29+'Inputs'!$B$31+'Inputs'!$B$32,'Inputs'!$B$30+'Inputs'!$B$31+'Inputs'!$B$32)/1000+'Inputs'!$B$21)+'Inputs'!$B$9)^2+('Inputs'!$B$8/2)^2)-(((630-43)*MAX('Inputs'!$B$33,'Inputs'!$B$29+'Inputs'!$B$31+'Inputs'!$B$32,'Inputs'!$B$30+'Inputs'!$B$31+'Inputs'!$B$32)/1000+'Inputs'!$B$21))/SQRT((((630-43)*MAX('Inputs'!$B$33,'Inputs'!$B$29+'Inputs'!$B$31+'Inputs'!$B$32,'Inputs'!$B$30+'Inputs'!$B$31+'Inputs'!$B$32)/1000+'Inputs'!$B$21))^2+('Inputs'!$B$8/2)^2)))-'Results'!B7*(1+'Inputs'!$B$24)*(0.5*((((630-43)*MAX('Inputs'!$B$33,'Inputs'!$B$29+'Inputs'!$B$31+'Inputs'!$B$32,'Inputs'!$B$30+'Inputs'!$B$31+'Inputs'!$B$32)/1000+'Inputs'!$B$21+'Inputs'!$B$9+'Inputs'!$B$10)+'Inputs'!$B$7)/SQRT((((630-43)*MAX('Inputs'!$B$33,'Inputs'!$B$29+'Inputs'!$B$31+'Inputs'!$B$32,'Inputs'!$B$30+'Inputs'!$B$31+'Inputs'!$B$32)/1000+'Inputs'!$B$21+'Inputs'!$B$9+'Inputs'!$B$10)+'Inputs'!$B$7)^2+('Inputs'!$B$6/2)^2)-(((630-43)*MAX('Inputs'!$B$33,'Inputs'!$B$29+'Inputs'!$B$31+'Inputs'!$B$32,'Inputs'!$B$30+'Inputs'!$B$31+'Inputs'!$B$32)/1000+'Inputs'!$B$21+'Inputs'!$B$9+'Inputs'!$B$10))/SQRT((((630-43)*MAX('Inputs'!$B$33,'Inputs'!$B$29+'Inputs'!$B$31+'Inputs'!$B$32,'Inputs'!$B$30+'Inputs'!$B$31+'Inputs'!$B$32)/1000+'Inputs'!$B$21+'Inputs'!$B$9+'Inputs'!$B$10))^2+('Inputs'!$B$6/2)^2))))*'Results'!$B$8))),"")</x:f>
        <x:v>1.9309474366550268</x:v>
      </x:c>
      <x:c r="O630" t="n">
        <x:f>IF(AND(ISNUMBER('Results'!C7),ISNUMBER('Results'!B7),ISNUMBER('Results'!$B$8),ISNUMBER('Inputs'!$B$6),ISNUMBER('Inputs'!$B$7),ISNUMBER('Inputs'!$B$8),ISNUMBER('Inputs'!$B$9),ISNUMBER('Inputs'!$B$10),ISNUMBER('Inputs'!$B$21),ISNUMBER('Inputs'!$B$24),ISNUMBER('Inputs'!$B$28)),((('Results'!C7*(1+'Inputs'!$B$24)*(0.5*((((630-43)*MAX('Inputs'!$B$33,'Inputs'!$B$29+'Inputs'!$B$31+'Inputs'!$B$32,'Inputs'!$B$30+'Inputs'!$B$31+'Inputs'!$B$32)/1000+'Inputs'!$B$21)+'Inputs'!$B$9)/SQRT((((630-43)*MAX('Inputs'!$B$33,'Inputs'!$B$29+'Inputs'!$B$31+'Inputs'!$B$32,'Inputs'!$B$30+'Inputs'!$B$31+'Inputs'!$B$32)/1000+'Inputs'!$B$21)+'Inputs'!$B$9)^2+('Inputs'!$B$8/2)^2)-(((630-43)*MAX('Inputs'!$B$33,'Inputs'!$B$29+'Inputs'!$B$31+'Inputs'!$B$32,'Inputs'!$B$30+'Inputs'!$B$31+'Inputs'!$B$32)/1000+'Inputs'!$B$21))/SQRT((((630-43)*MAX('Inputs'!$B$33,'Inputs'!$B$29+'Inputs'!$B$31+'Inputs'!$B$32,'Inputs'!$B$30+'Inputs'!$B$31+'Inputs'!$B$32)/1000+'Inputs'!$B$21))^2+('Inputs'!$B$8/2)^2)))-'Results'!B7*(1-'Inputs'!$B$24)*(0.5*((((630-43)*MAX('Inputs'!$B$33,'Inputs'!$B$29+'Inputs'!$B$31+'Inputs'!$B$32,'Inputs'!$B$30+'Inputs'!$B$31+'Inputs'!$B$32)/1000+'Inputs'!$B$21+'Inputs'!$B$9+'Inputs'!$B$10)+'Inputs'!$B$7)/SQRT((((630-43)*MAX('Inputs'!$B$33,'Inputs'!$B$29+'Inputs'!$B$31+'Inputs'!$B$32,'Inputs'!$B$30+'Inputs'!$B$31+'Inputs'!$B$32)/1000+'Inputs'!$B$21+'Inputs'!$B$9+'Inputs'!$B$10)+'Inputs'!$B$7)^2+('Inputs'!$B$6/2)^2)-(((630-43)*MAX('Inputs'!$B$33,'Inputs'!$B$29+'Inputs'!$B$31+'Inputs'!$B$32,'Inputs'!$B$30+'Inputs'!$B$31+'Inputs'!$B$32)/1000+'Inputs'!$B$21+'Inputs'!$B$9+'Inputs'!$B$10))/SQRT((((630-43)*MAX('Inputs'!$B$33,'Inputs'!$B$29+'Inputs'!$B$31+'Inputs'!$B$32,'Inputs'!$B$30+'Inputs'!$B$31+'Inputs'!$B$32)/1000+'Inputs'!$B$21+'Inputs'!$B$9+'Inputs'!$B$10))^2+('Inputs'!$B$6/2)^2))))*'Results'!$B$8)+'Inputs'!$B$28*ABS((('Results'!C7*(1+'Inputs'!$B$24)*(0.5*((((630-43)*MAX('Inputs'!$B$33,'Inputs'!$B$29+'Inputs'!$B$31+'Inputs'!$B$32,'Inputs'!$B$30+'Inputs'!$B$31+'Inputs'!$B$32)/1000+'Inputs'!$B$21)+'Inputs'!$B$9)/SQRT((((630-43)*MAX('Inputs'!$B$33,'Inputs'!$B$29+'Inputs'!$B$31+'Inputs'!$B$32,'Inputs'!$B$30+'Inputs'!$B$31+'Inputs'!$B$32)/1000+'Inputs'!$B$21)+'Inputs'!$B$9)^2+('Inputs'!$B$8/2)^2)-(((630-43)*MAX('Inputs'!$B$33,'Inputs'!$B$29+'Inputs'!$B$31+'Inputs'!$B$32,'Inputs'!$B$30+'Inputs'!$B$31+'Inputs'!$B$32)/1000+'Inputs'!$B$21))/SQRT((((630-43)*MAX('Inputs'!$B$33,'Inputs'!$B$29+'Inputs'!$B$31+'Inputs'!$B$32,'Inputs'!$B$30+'Inputs'!$B$31+'Inputs'!$B$32)/1000+'Inputs'!$B$21))^2+('Inputs'!$B$8/2)^2)))-'Results'!B7*(1-'Inputs'!$B$24)*(0.5*((((630-43)*MAX('Inputs'!$B$33,'Inputs'!$B$29+'Inputs'!$B$31+'Inputs'!$B$32,'Inputs'!$B$30+'Inputs'!$B$31+'Inputs'!$B$32)/1000+'Inputs'!$B$21+'Inputs'!$B$9+'Inputs'!$B$10)+'Inputs'!$B$7)/SQRT((((630-43)*MAX('Inputs'!$B$33,'Inputs'!$B$29+'Inputs'!$B$31+'Inputs'!$B$32,'Inputs'!$B$30+'Inputs'!$B$31+'Inputs'!$B$32)/1000+'Inputs'!$B$21+'Inputs'!$B$9+'Inputs'!$B$10)+'Inputs'!$B$7)^2+('Inputs'!$B$6/2)^2)-(((630-43)*MAX('Inputs'!$B$33,'Inputs'!$B$29+'Inputs'!$B$31+'Inputs'!$B$32,'Inputs'!$B$30+'Inputs'!$B$31+'Inputs'!$B$32)/1000+'Inputs'!$B$21+'Inputs'!$B$9+'Inputs'!$B$10))/SQRT((((630-43)*MAX('Inputs'!$B$33,'Inputs'!$B$29+'Inputs'!$B$31+'Inputs'!$B$32,'Inputs'!$B$30+'Inputs'!$B$31+'Inputs'!$B$32)/1000+'Inputs'!$B$21+'Inputs'!$B$9+'Inputs'!$B$10))^2+('Inputs'!$B$6/2)^2))))*'Results'!$B$8))),"")</x:f>
        <x:v>2.519973487962141</x:v>
      </x:c>
      <x:c r="P630" t="n">
        <x:f>IF(AND(MAX(J630,J629)&gt;0,J630&gt;J629+0.00000001),1,0)</x:f>
        <x:v>0</x:v>
      </x:c>
      <x:c r="Q630" t="n">
        <x:f>IF(AND(MAX(K630,K629)&gt;0,K630&gt;K629+0.00000001),1,0)</x:f>
        <x:v>0</x:v>
      </x:c>
      <x:c r="R630" t="n">
        <x:f>IF(AND(MAX(L630,L629)&gt;0,L630&gt;L629+0.00000001),1,0)</x:f>
        <x:v>0</x:v>
      </x:c>
      <x:c r="S630" t="n">
        <x:f>IF(AND(MAX(M630,M629)&gt;0,M630&gt;M629+0.00000001),1,0)</x:f>
        <x:v>0</x:v>
      </x:c>
      <x:c r="T630" t="n">
        <x:f>IF(AND(MAX(N630,N629)&gt;0,N630&gt;N629+0.00000001),1,0)</x:f>
        <x:v>0</x:v>
      </x:c>
      <x:c r="U630" t="n">
        <x:f>IF(AND(MAX(O630,O629)&gt;0,O630&gt;O629+0.00000001),1,0)</x:f>
        <x:v>0</x:v>
      </x:c>
    </x:row>
    <x:row r="631">
      <x:c r="J631" t="n">
        <x:f>IF(AND(ISNUMBER('Results'!B7),ISNUMBER('Results'!C7),ISNUMBER('Results'!$B$8),ISNUMBER('Inputs'!$B$6),ISNUMBER('Inputs'!$B$7),ISNUMBER('Inputs'!$B$8),ISNUMBER('Inputs'!$B$9),ISNUMBER('Inputs'!$B$10),ISNUMBER('Inputs'!$B$21),ISNUMBER('Inputs'!$B$24),ISNUMBER('Inputs'!$B$28)),(('Results'!B7*(0.5*((((631-43)*MAX('Inputs'!$B$33,'Inputs'!$B$29+'Inputs'!$B$31+'Inputs'!$B$32,'Inputs'!$B$30+'Inputs'!$B$31+'Inputs'!$B$32)/1000+'Inputs'!$B$21)+'Inputs'!$B$7)/SQRT((((631-43)*MAX('Inputs'!$B$33,'Inputs'!$B$29+'Inputs'!$B$31+'Inputs'!$B$32,'Inputs'!$B$30+'Inputs'!$B$31+'Inputs'!$B$32)/1000+'Inputs'!$B$21)+'Inputs'!$B$7)^2+('Inputs'!$B$6/2)^2)-(((631-43)*MAX('Inputs'!$B$33,'Inputs'!$B$29+'Inputs'!$B$31+'Inputs'!$B$32,'Inputs'!$B$30+'Inputs'!$B$31+'Inputs'!$B$32)/1000+'Inputs'!$B$21))/SQRT((((631-43)*MAX('Inputs'!$B$33,'Inputs'!$B$29+'Inputs'!$B$31+'Inputs'!$B$32,'Inputs'!$B$30+'Inputs'!$B$31+'Inputs'!$B$32)/1000+'Inputs'!$B$21))^2+('Inputs'!$B$6/2)^2)))-'Results'!C7*(0.5*((((631-43)*MAX('Inputs'!$B$33,'Inputs'!$B$29+'Inputs'!$B$31+'Inputs'!$B$32,'Inputs'!$B$30+'Inputs'!$B$31+'Inputs'!$B$32)/1000+'Inputs'!$B$21+'Inputs'!$B$7+'Inputs'!$B$10)+'Inputs'!$B$9)/SQRT((((631-43)*MAX('Inputs'!$B$33,'Inputs'!$B$29+'Inputs'!$B$31+'Inputs'!$B$32,'Inputs'!$B$30+'Inputs'!$B$31+'Inputs'!$B$32)/1000+'Inputs'!$B$21+'Inputs'!$B$7+'Inputs'!$B$10)+'Inputs'!$B$9)^2+('Inputs'!$B$8/2)^2)-(((631-43)*MAX('Inputs'!$B$33,'Inputs'!$B$29+'Inputs'!$B$31+'Inputs'!$B$32,'Inputs'!$B$30+'Inputs'!$B$31+'Inputs'!$B$32)/1000+'Inputs'!$B$21+'Inputs'!$B$7+'Inputs'!$B$10))/SQRT((((631-43)*MAX('Inputs'!$B$33,'Inputs'!$B$29+'Inputs'!$B$31+'Inputs'!$B$32,'Inputs'!$B$30+'Inputs'!$B$31+'Inputs'!$B$32)/1000+'Inputs'!$B$21+'Inputs'!$B$7+'Inputs'!$B$10))^2+('Inputs'!$B$8/2)^2))))*'Results'!$B$8),"")</x:f>
        <x:v>2.3880847603947912</x:v>
      </x:c>
      <x:c r="K631" t="n">
        <x:f>IF(AND(ISNUMBER('Results'!B7),ISNUMBER('Results'!C7),ISNUMBER('Results'!$B$8),ISNUMBER('Inputs'!$B$6),ISNUMBER('Inputs'!$B$7),ISNUMBER('Inputs'!$B$8),ISNUMBER('Inputs'!$B$9),ISNUMBER('Inputs'!$B$10),ISNUMBER('Inputs'!$B$21),ISNUMBER('Inputs'!$B$24),ISNUMBER('Inputs'!$B$28)),((('Results'!B7*(1-'Inputs'!$B$24)*(0.5*((((631-43)*MAX('Inputs'!$B$33,'Inputs'!$B$29+'Inputs'!$B$31+'Inputs'!$B$32,'Inputs'!$B$30+'Inputs'!$B$31+'Inputs'!$B$32)/1000+'Inputs'!$B$21)+'Inputs'!$B$7)/SQRT((((631-43)*MAX('Inputs'!$B$33,'Inputs'!$B$29+'Inputs'!$B$31+'Inputs'!$B$32,'Inputs'!$B$30+'Inputs'!$B$31+'Inputs'!$B$32)/1000+'Inputs'!$B$21)+'Inputs'!$B$7)^2+('Inputs'!$B$6/2)^2)-(((631-43)*MAX('Inputs'!$B$33,'Inputs'!$B$29+'Inputs'!$B$31+'Inputs'!$B$32,'Inputs'!$B$30+'Inputs'!$B$31+'Inputs'!$B$32)/1000+'Inputs'!$B$21))/SQRT((((631-43)*MAX('Inputs'!$B$33,'Inputs'!$B$29+'Inputs'!$B$31+'Inputs'!$B$32,'Inputs'!$B$30+'Inputs'!$B$31+'Inputs'!$B$32)/1000+'Inputs'!$B$21))^2+('Inputs'!$B$6/2)^2)))-'Results'!C7*(1+'Inputs'!$B$24)*(0.5*((((631-43)*MAX('Inputs'!$B$33,'Inputs'!$B$29+'Inputs'!$B$31+'Inputs'!$B$32,'Inputs'!$B$30+'Inputs'!$B$31+'Inputs'!$B$32)/1000+'Inputs'!$B$21+'Inputs'!$B$7+'Inputs'!$B$10)+'Inputs'!$B$9)/SQRT((((631-43)*MAX('Inputs'!$B$33,'Inputs'!$B$29+'Inputs'!$B$31+'Inputs'!$B$32,'Inputs'!$B$30+'Inputs'!$B$31+'Inputs'!$B$32)/1000+'Inputs'!$B$21+'Inputs'!$B$7+'Inputs'!$B$10)+'Inputs'!$B$9)^2+('Inputs'!$B$8/2)^2)-(((631-43)*MAX('Inputs'!$B$33,'Inputs'!$B$29+'Inputs'!$B$31+'Inputs'!$B$32,'Inputs'!$B$30+'Inputs'!$B$31+'Inputs'!$B$32)/1000+'Inputs'!$B$21+'Inputs'!$B$7+'Inputs'!$B$10))/SQRT((((631-43)*MAX('Inputs'!$B$33,'Inputs'!$B$29+'Inputs'!$B$31+'Inputs'!$B$32,'Inputs'!$B$30+'Inputs'!$B$31+'Inputs'!$B$32)/1000+'Inputs'!$B$21+'Inputs'!$B$7+'Inputs'!$B$10))^2+('Inputs'!$B$8/2)^2))))*'Results'!$B$8)-'Inputs'!$B$28*ABS((('Results'!B7*(1-'Inputs'!$B$24)*(0.5*((((631-43)*MAX('Inputs'!$B$33,'Inputs'!$B$29+'Inputs'!$B$31+'Inputs'!$B$32,'Inputs'!$B$30+'Inputs'!$B$31+'Inputs'!$B$32)/1000+'Inputs'!$B$21)+'Inputs'!$B$7)/SQRT((((631-43)*MAX('Inputs'!$B$33,'Inputs'!$B$29+'Inputs'!$B$31+'Inputs'!$B$32,'Inputs'!$B$30+'Inputs'!$B$31+'Inputs'!$B$32)/1000+'Inputs'!$B$21)+'Inputs'!$B$7)^2+('Inputs'!$B$6/2)^2)-(((631-43)*MAX('Inputs'!$B$33,'Inputs'!$B$29+'Inputs'!$B$31+'Inputs'!$B$32,'Inputs'!$B$30+'Inputs'!$B$31+'Inputs'!$B$32)/1000+'Inputs'!$B$21))/SQRT((((631-43)*MAX('Inputs'!$B$33,'Inputs'!$B$29+'Inputs'!$B$31+'Inputs'!$B$32,'Inputs'!$B$30+'Inputs'!$B$31+'Inputs'!$B$32)/1000+'Inputs'!$B$21))^2+('Inputs'!$B$6/2)^2)))-'Results'!C7*(1+'Inputs'!$B$24)*(0.5*((((631-43)*MAX('Inputs'!$B$33,'Inputs'!$B$29+'Inputs'!$B$31+'Inputs'!$B$32,'Inputs'!$B$30+'Inputs'!$B$31+'Inputs'!$B$32)/1000+'Inputs'!$B$21+'Inputs'!$B$7+'Inputs'!$B$10)+'Inputs'!$B$9)/SQRT((((631-43)*MAX('Inputs'!$B$33,'Inputs'!$B$29+'Inputs'!$B$31+'Inputs'!$B$32,'Inputs'!$B$30+'Inputs'!$B$31+'Inputs'!$B$32)/1000+'Inputs'!$B$21+'Inputs'!$B$7+'Inputs'!$B$10)+'Inputs'!$B$9)^2+('Inputs'!$B$8/2)^2)-(((631-43)*MAX('Inputs'!$B$33,'Inputs'!$B$29+'Inputs'!$B$31+'Inputs'!$B$32,'Inputs'!$B$30+'Inputs'!$B$31+'Inputs'!$B$32)/1000+'Inputs'!$B$21+'Inputs'!$B$7+'Inputs'!$B$10))/SQRT((((631-43)*MAX('Inputs'!$B$33,'Inputs'!$B$29+'Inputs'!$B$31+'Inputs'!$B$32,'Inputs'!$B$30+'Inputs'!$B$31+'Inputs'!$B$32)/1000+'Inputs'!$B$21+'Inputs'!$B$7+'Inputs'!$B$10))^2+('Inputs'!$B$8/2)^2))))*'Results'!$B$8))),"")</x:f>
        <x:v>2.0940820752166833</x:v>
      </x:c>
      <x:c r="L631" t="n">
        <x:f>IF(AND(ISNUMBER('Results'!B7),ISNUMBER('Results'!C7),ISNUMBER('Results'!$B$8),ISNUMBER('Inputs'!$B$6),ISNUMBER('Inputs'!$B$7),ISNUMBER('Inputs'!$B$8),ISNUMBER('Inputs'!$B$9),ISNUMBER('Inputs'!$B$10),ISNUMBER('Inputs'!$B$21),ISNUMBER('Inputs'!$B$24),ISNUMBER('Inputs'!$B$28)),((('Results'!B7*(1+'Inputs'!$B$24)*(0.5*((((631-43)*MAX('Inputs'!$B$33,'Inputs'!$B$29+'Inputs'!$B$31+'Inputs'!$B$32,'Inputs'!$B$30+'Inputs'!$B$31+'Inputs'!$B$32)/1000+'Inputs'!$B$21)+'Inputs'!$B$7)/SQRT((((631-43)*MAX('Inputs'!$B$33,'Inputs'!$B$29+'Inputs'!$B$31+'Inputs'!$B$32,'Inputs'!$B$30+'Inputs'!$B$31+'Inputs'!$B$32)/1000+'Inputs'!$B$21)+'Inputs'!$B$7)^2+('Inputs'!$B$6/2)^2)-(((631-43)*MAX('Inputs'!$B$33,'Inputs'!$B$29+'Inputs'!$B$31+'Inputs'!$B$32,'Inputs'!$B$30+'Inputs'!$B$31+'Inputs'!$B$32)/1000+'Inputs'!$B$21))/SQRT((((631-43)*MAX('Inputs'!$B$33,'Inputs'!$B$29+'Inputs'!$B$31+'Inputs'!$B$32,'Inputs'!$B$30+'Inputs'!$B$31+'Inputs'!$B$32)/1000+'Inputs'!$B$21))^2+('Inputs'!$B$6/2)^2)))-'Results'!C7*(1-'Inputs'!$B$24)*(0.5*((((631-43)*MAX('Inputs'!$B$33,'Inputs'!$B$29+'Inputs'!$B$31+'Inputs'!$B$32,'Inputs'!$B$30+'Inputs'!$B$31+'Inputs'!$B$32)/1000+'Inputs'!$B$21+'Inputs'!$B$7+'Inputs'!$B$10)+'Inputs'!$B$9)/SQRT((((631-43)*MAX('Inputs'!$B$33,'Inputs'!$B$29+'Inputs'!$B$31+'Inputs'!$B$32,'Inputs'!$B$30+'Inputs'!$B$31+'Inputs'!$B$32)/1000+'Inputs'!$B$21+'Inputs'!$B$7+'Inputs'!$B$10)+'Inputs'!$B$9)^2+('Inputs'!$B$8/2)^2)-(((631-43)*MAX('Inputs'!$B$33,'Inputs'!$B$29+'Inputs'!$B$31+'Inputs'!$B$32,'Inputs'!$B$30+'Inputs'!$B$31+'Inputs'!$B$32)/1000+'Inputs'!$B$21+'Inputs'!$B$7+'Inputs'!$B$10))/SQRT((((631-43)*MAX('Inputs'!$B$33,'Inputs'!$B$29+'Inputs'!$B$31+'Inputs'!$B$32,'Inputs'!$B$30+'Inputs'!$B$31+'Inputs'!$B$32)/1000+'Inputs'!$B$21+'Inputs'!$B$7+'Inputs'!$B$10))^2+('Inputs'!$B$8/2)^2))))*'Results'!$B$8)+'Inputs'!$B$28*ABS((('Results'!B7*(1+'Inputs'!$B$24)*(0.5*((((631-43)*MAX('Inputs'!$B$33,'Inputs'!$B$29+'Inputs'!$B$31+'Inputs'!$B$32,'Inputs'!$B$30+'Inputs'!$B$31+'Inputs'!$B$32)/1000+'Inputs'!$B$21)+'Inputs'!$B$7)/SQRT((((631-43)*MAX('Inputs'!$B$33,'Inputs'!$B$29+'Inputs'!$B$31+'Inputs'!$B$32,'Inputs'!$B$30+'Inputs'!$B$31+'Inputs'!$B$32)/1000+'Inputs'!$B$21)+'Inputs'!$B$7)^2+('Inputs'!$B$6/2)^2)-(((631-43)*MAX('Inputs'!$B$33,'Inputs'!$B$29+'Inputs'!$B$31+'Inputs'!$B$32,'Inputs'!$B$30+'Inputs'!$B$31+'Inputs'!$B$32)/1000+'Inputs'!$B$21))/SQRT((((631-43)*MAX('Inputs'!$B$33,'Inputs'!$B$29+'Inputs'!$B$31+'Inputs'!$B$32,'Inputs'!$B$30+'Inputs'!$B$31+'Inputs'!$B$32)/1000+'Inputs'!$B$21))^2+('Inputs'!$B$6/2)^2)))-'Results'!C7*(1-'Inputs'!$B$24)*(0.5*((((631-43)*MAX('Inputs'!$B$33,'Inputs'!$B$29+'Inputs'!$B$31+'Inputs'!$B$32,'Inputs'!$B$30+'Inputs'!$B$31+'Inputs'!$B$32)/1000+'Inputs'!$B$21+'Inputs'!$B$7+'Inputs'!$B$10)+'Inputs'!$B$9)/SQRT((((631-43)*MAX('Inputs'!$B$33,'Inputs'!$B$29+'Inputs'!$B$31+'Inputs'!$B$32,'Inputs'!$B$30+'Inputs'!$B$31+'Inputs'!$B$32)/1000+'Inputs'!$B$21+'Inputs'!$B$7+'Inputs'!$B$10)+'Inputs'!$B$9)^2+('Inputs'!$B$8/2)^2)-(((631-43)*MAX('Inputs'!$B$33,'Inputs'!$B$29+'Inputs'!$B$31+'Inputs'!$B$32,'Inputs'!$B$30+'Inputs'!$B$31+'Inputs'!$B$32)/1000+'Inputs'!$B$21+'Inputs'!$B$7+'Inputs'!$B$10))/SQRT((((631-43)*MAX('Inputs'!$B$33,'Inputs'!$B$29+'Inputs'!$B$31+'Inputs'!$B$32,'Inputs'!$B$30+'Inputs'!$B$31+'Inputs'!$B$32)/1000+'Inputs'!$B$21+'Inputs'!$B$7+'Inputs'!$B$10))^2+('Inputs'!$B$8/2)^2))))*'Results'!$B$8))),"")</x:f>
        <x:v>2.7004662294843063</x:v>
      </x:c>
      <x:c r="M631" t="n">
        <x:f>IF(AND(ISNUMBER('Results'!C7),ISNUMBER('Results'!B7),ISNUMBER('Results'!$B$8),ISNUMBER('Inputs'!$B$6),ISNUMBER('Inputs'!$B$7),ISNUMBER('Inputs'!$B$8),ISNUMBER('Inputs'!$B$9),ISNUMBER('Inputs'!$B$10),ISNUMBER('Inputs'!$B$21),ISNUMBER('Inputs'!$B$24),ISNUMBER('Inputs'!$B$28)),(('Results'!C7*(0.5*((((631-43)*MAX('Inputs'!$B$33,'Inputs'!$B$29+'Inputs'!$B$31+'Inputs'!$B$32,'Inputs'!$B$30+'Inputs'!$B$31+'Inputs'!$B$32)/1000+'Inputs'!$B$21)+'Inputs'!$B$9)/SQRT((((631-43)*MAX('Inputs'!$B$33,'Inputs'!$B$29+'Inputs'!$B$31+'Inputs'!$B$32,'Inputs'!$B$30+'Inputs'!$B$31+'Inputs'!$B$32)/1000+'Inputs'!$B$21)+'Inputs'!$B$9)^2+('Inputs'!$B$8/2)^2)-(((631-43)*MAX('Inputs'!$B$33,'Inputs'!$B$29+'Inputs'!$B$31+'Inputs'!$B$32,'Inputs'!$B$30+'Inputs'!$B$31+'Inputs'!$B$32)/1000+'Inputs'!$B$21))/SQRT((((631-43)*MAX('Inputs'!$B$33,'Inputs'!$B$29+'Inputs'!$B$31+'Inputs'!$B$32,'Inputs'!$B$30+'Inputs'!$B$31+'Inputs'!$B$32)/1000+'Inputs'!$B$21))^2+('Inputs'!$B$8/2)^2)))-'Results'!B7*(0.5*((((631-43)*MAX('Inputs'!$B$33,'Inputs'!$B$29+'Inputs'!$B$31+'Inputs'!$B$32,'Inputs'!$B$30+'Inputs'!$B$31+'Inputs'!$B$32)/1000+'Inputs'!$B$21+'Inputs'!$B$9+'Inputs'!$B$10)+'Inputs'!$B$7)/SQRT((((631-43)*MAX('Inputs'!$B$33,'Inputs'!$B$29+'Inputs'!$B$31+'Inputs'!$B$32,'Inputs'!$B$30+'Inputs'!$B$31+'Inputs'!$B$32)/1000+'Inputs'!$B$21+'Inputs'!$B$9+'Inputs'!$B$10)+'Inputs'!$B$7)^2+('Inputs'!$B$6/2)^2)-(((631-43)*MAX('Inputs'!$B$33,'Inputs'!$B$29+'Inputs'!$B$31+'Inputs'!$B$32,'Inputs'!$B$30+'Inputs'!$B$31+'Inputs'!$B$32)/1000+'Inputs'!$B$21+'Inputs'!$B$9+'Inputs'!$B$10))/SQRT((((631-43)*MAX('Inputs'!$B$33,'Inputs'!$B$29+'Inputs'!$B$31+'Inputs'!$B$32,'Inputs'!$B$30+'Inputs'!$B$31+'Inputs'!$B$32)/1000+'Inputs'!$B$21+'Inputs'!$B$9+'Inputs'!$B$10))^2+('Inputs'!$B$6/2)^2))))*'Results'!$B$8),"")</x:f>
        <x:v>2.202908899404126</x:v>
      </x:c>
      <x:c r="N631" t="n">
        <x:f>IF(AND(ISNUMBER('Results'!C7),ISNUMBER('Results'!B7),ISNUMBER('Results'!$B$8),ISNUMBER('Inputs'!$B$6),ISNUMBER('Inputs'!$B$7),ISNUMBER('Inputs'!$B$8),ISNUMBER('Inputs'!$B$9),ISNUMBER('Inputs'!$B$10),ISNUMBER('Inputs'!$B$21),ISNUMBER('Inputs'!$B$24),ISNUMBER('Inputs'!$B$28)),((('Results'!C7*(1-'Inputs'!$B$24)*(0.5*((((631-43)*MAX('Inputs'!$B$33,'Inputs'!$B$29+'Inputs'!$B$31+'Inputs'!$B$32,'Inputs'!$B$30+'Inputs'!$B$31+'Inputs'!$B$32)/1000+'Inputs'!$B$21)+'Inputs'!$B$9)/SQRT((((631-43)*MAX('Inputs'!$B$33,'Inputs'!$B$29+'Inputs'!$B$31+'Inputs'!$B$32,'Inputs'!$B$30+'Inputs'!$B$31+'Inputs'!$B$32)/1000+'Inputs'!$B$21)+'Inputs'!$B$9)^2+('Inputs'!$B$8/2)^2)-(((631-43)*MAX('Inputs'!$B$33,'Inputs'!$B$29+'Inputs'!$B$31+'Inputs'!$B$32,'Inputs'!$B$30+'Inputs'!$B$31+'Inputs'!$B$32)/1000+'Inputs'!$B$21))/SQRT((((631-43)*MAX('Inputs'!$B$33,'Inputs'!$B$29+'Inputs'!$B$31+'Inputs'!$B$32,'Inputs'!$B$30+'Inputs'!$B$31+'Inputs'!$B$32)/1000+'Inputs'!$B$21))^2+('Inputs'!$B$8/2)^2)))-'Results'!B7*(1+'Inputs'!$B$24)*(0.5*((((631-43)*MAX('Inputs'!$B$33,'Inputs'!$B$29+'Inputs'!$B$31+'Inputs'!$B$32,'Inputs'!$B$30+'Inputs'!$B$31+'Inputs'!$B$32)/1000+'Inputs'!$B$21+'Inputs'!$B$9+'Inputs'!$B$10)+'Inputs'!$B$7)/SQRT((((631-43)*MAX('Inputs'!$B$33,'Inputs'!$B$29+'Inputs'!$B$31+'Inputs'!$B$32,'Inputs'!$B$30+'Inputs'!$B$31+'Inputs'!$B$32)/1000+'Inputs'!$B$21+'Inputs'!$B$9+'Inputs'!$B$10)+'Inputs'!$B$7)^2+('Inputs'!$B$6/2)^2)-(((631-43)*MAX('Inputs'!$B$33,'Inputs'!$B$29+'Inputs'!$B$31+'Inputs'!$B$32,'Inputs'!$B$30+'Inputs'!$B$31+'Inputs'!$B$32)/1000+'Inputs'!$B$21+'Inputs'!$B$9+'Inputs'!$B$10))/SQRT((((631-43)*MAX('Inputs'!$B$33,'Inputs'!$B$29+'Inputs'!$B$31+'Inputs'!$B$32,'Inputs'!$B$30+'Inputs'!$B$31+'Inputs'!$B$32)/1000+'Inputs'!$B$21+'Inputs'!$B$9+'Inputs'!$B$10))^2+('Inputs'!$B$6/2)^2))))*'Results'!$B$8)-'Inputs'!$B$28*ABS((('Results'!C7*(1-'Inputs'!$B$24)*(0.5*((((631-43)*MAX('Inputs'!$B$33,'Inputs'!$B$29+'Inputs'!$B$31+'Inputs'!$B$32,'Inputs'!$B$30+'Inputs'!$B$31+'Inputs'!$B$32)/1000+'Inputs'!$B$21)+'Inputs'!$B$9)/SQRT((((631-43)*MAX('Inputs'!$B$33,'Inputs'!$B$29+'Inputs'!$B$31+'Inputs'!$B$32,'Inputs'!$B$30+'Inputs'!$B$31+'Inputs'!$B$32)/1000+'Inputs'!$B$21)+'Inputs'!$B$9)^2+('Inputs'!$B$8/2)^2)-(((631-43)*MAX('Inputs'!$B$33,'Inputs'!$B$29+'Inputs'!$B$31+'Inputs'!$B$32,'Inputs'!$B$30+'Inputs'!$B$31+'Inputs'!$B$32)/1000+'Inputs'!$B$21))/SQRT((((631-43)*MAX('Inputs'!$B$33,'Inputs'!$B$29+'Inputs'!$B$31+'Inputs'!$B$32,'Inputs'!$B$30+'Inputs'!$B$31+'Inputs'!$B$32)/1000+'Inputs'!$B$21))^2+('Inputs'!$B$8/2)^2)))-'Results'!B7*(1+'Inputs'!$B$24)*(0.5*((((631-43)*MAX('Inputs'!$B$33,'Inputs'!$B$29+'Inputs'!$B$31+'Inputs'!$B$32,'Inputs'!$B$30+'Inputs'!$B$31+'Inputs'!$B$32)/1000+'Inputs'!$B$21+'Inputs'!$B$9+'Inputs'!$B$10)+'Inputs'!$B$7)/SQRT((((631-43)*MAX('Inputs'!$B$33,'Inputs'!$B$29+'Inputs'!$B$31+'Inputs'!$B$32,'Inputs'!$B$30+'Inputs'!$B$31+'Inputs'!$B$32)/1000+'Inputs'!$B$21+'Inputs'!$B$9+'Inputs'!$B$10)+'Inputs'!$B$7)^2+('Inputs'!$B$6/2)^2)-(((631-43)*MAX('Inputs'!$B$33,'Inputs'!$B$29+'Inputs'!$B$31+'Inputs'!$B$32,'Inputs'!$B$30+'Inputs'!$B$31+'Inputs'!$B$32)/1000+'Inputs'!$B$21+'Inputs'!$B$9+'Inputs'!$B$10))/SQRT((((631-43)*MAX('Inputs'!$B$33,'Inputs'!$B$29+'Inputs'!$B$31+'Inputs'!$B$32,'Inputs'!$B$30+'Inputs'!$B$31+'Inputs'!$B$32)/1000+'Inputs'!$B$21+'Inputs'!$B$9+'Inputs'!$B$10))^2+('Inputs'!$B$6/2)^2))))*'Results'!$B$8))),"")</x:f>
        <x:v>1.9190461070688467</x:v>
      </x:c>
      <x:c r="O631" t="n">
        <x:f>IF(AND(ISNUMBER('Results'!C7),ISNUMBER('Results'!B7),ISNUMBER('Results'!$B$8),ISNUMBER('Inputs'!$B$6),ISNUMBER('Inputs'!$B$7),ISNUMBER('Inputs'!$B$8),ISNUMBER('Inputs'!$B$9),ISNUMBER('Inputs'!$B$10),ISNUMBER('Inputs'!$B$21),ISNUMBER('Inputs'!$B$24),ISNUMBER('Inputs'!$B$28)),((('Results'!C7*(1+'Inputs'!$B$24)*(0.5*((((631-43)*MAX('Inputs'!$B$33,'Inputs'!$B$29+'Inputs'!$B$31+'Inputs'!$B$32,'Inputs'!$B$30+'Inputs'!$B$31+'Inputs'!$B$32)/1000+'Inputs'!$B$21)+'Inputs'!$B$9)/SQRT((((631-43)*MAX('Inputs'!$B$33,'Inputs'!$B$29+'Inputs'!$B$31+'Inputs'!$B$32,'Inputs'!$B$30+'Inputs'!$B$31+'Inputs'!$B$32)/1000+'Inputs'!$B$21)+'Inputs'!$B$9)^2+('Inputs'!$B$8/2)^2)-(((631-43)*MAX('Inputs'!$B$33,'Inputs'!$B$29+'Inputs'!$B$31+'Inputs'!$B$32,'Inputs'!$B$30+'Inputs'!$B$31+'Inputs'!$B$32)/1000+'Inputs'!$B$21))/SQRT((((631-43)*MAX('Inputs'!$B$33,'Inputs'!$B$29+'Inputs'!$B$31+'Inputs'!$B$32,'Inputs'!$B$30+'Inputs'!$B$31+'Inputs'!$B$32)/1000+'Inputs'!$B$21))^2+('Inputs'!$B$8/2)^2)))-'Results'!B7*(1-'Inputs'!$B$24)*(0.5*((((631-43)*MAX('Inputs'!$B$33,'Inputs'!$B$29+'Inputs'!$B$31+'Inputs'!$B$32,'Inputs'!$B$30+'Inputs'!$B$31+'Inputs'!$B$32)/1000+'Inputs'!$B$21+'Inputs'!$B$9+'Inputs'!$B$10)+'Inputs'!$B$7)/SQRT((((631-43)*MAX('Inputs'!$B$33,'Inputs'!$B$29+'Inputs'!$B$31+'Inputs'!$B$32,'Inputs'!$B$30+'Inputs'!$B$31+'Inputs'!$B$32)/1000+'Inputs'!$B$21+'Inputs'!$B$9+'Inputs'!$B$10)+'Inputs'!$B$7)^2+('Inputs'!$B$6/2)^2)-(((631-43)*MAX('Inputs'!$B$33,'Inputs'!$B$29+'Inputs'!$B$31+'Inputs'!$B$32,'Inputs'!$B$30+'Inputs'!$B$31+'Inputs'!$B$32)/1000+'Inputs'!$B$21+'Inputs'!$B$9+'Inputs'!$B$10))/SQRT((((631-43)*MAX('Inputs'!$B$33,'Inputs'!$B$29+'Inputs'!$B$31+'Inputs'!$B$32,'Inputs'!$B$30+'Inputs'!$B$31+'Inputs'!$B$32)/1000+'Inputs'!$B$21+'Inputs'!$B$9+'Inputs'!$B$10))^2+('Inputs'!$B$6/2)^2))))*'Results'!$B$8)+'Inputs'!$B$28*ABS((('Results'!C7*(1+'Inputs'!$B$24)*(0.5*((((631-43)*MAX('Inputs'!$B$33,'Inputs'!$B$29+'Inputs'!$B$31+'Inputs'!$B$32,'Inputs'!$B$30+'Inputs'!$B$31+'Inputs'!$B$32)/1000+'Inputs'!$B$21)+'Inputs'!$B$9)/SQRT((((631-43)*MAX('Inputs'!$B$33,'Inputs'!$B$29+'Inputs'!$B$31+'Inputs'!$B$32,'Inputs'!$B$30+'Inputs'!$B$31+'Inputs'!$B$32)/1000+'Inputs'!$B$21)+'Inputs'!$B$9)^2+('Inputs'!$B$8/2)^2)-(((631-43)*MAX('Inputs'!$B$33,'Inputs'!$B$29+'Inputs'!$B$31+'Inputs'!$B$32,'Inputs'!$B$30+'Inputs'!$B$31+'Inputs'!$B$32)/1000+'Inputs'!$B$21))/SQRT((((631-43)*MAX('Inputs'!$B$33,'Inputs'!$B$29+'Inputs'!$B$31+'Inputs'!$B$32,'Inputs'!$B$30+'Inputs'!$B$31+'Inputs'!$B$32)/1000+'Inputs'!$B$21))^2+('Inputs'!$B$8/2)^2)))-'Results'!B7*(1-'Inputs'!$B$24)*(0.5*((((631-43)*MAX('Inputs'!$B$33,'Inputs'!$B$29+'Inputs'!$B$31+'Inputs'!$B$32,'Inputs'!$B$30+'Inputs'!$B$31+'Inputs'!$B$32)/1000+'Inputs'!$B$21+'Inputs'!$B$9+'Inputs'!$B$10)+'Inputs'!$B$7)/SQRT((((631-43)*MAX('Inputs'!$B$33,'Inputs'!$B$29+'Inputs'!$B$31+'Inputs'!$B$32,'Inputs'!$B$30+'Inputs'!$B$31+'Inputs'!$B$32)/1000+'Inputs'!$B$21+'Inputs'!$B$9+'Inputs'!$B$10)+'Inputs'!$B$7)^2+('Inputs'!$B$6/2)^2)-(((631-43)*MAX('Inputs'!$B$33,'Inputs'!$B$29+'Inputs'!$B$31+'Inputs'!$B$32,'Inputs'!$B$30+'Inputs'!$B$31+'Inputs'!$B$32)/1000+'Inputs'!$B$21+'Inputs'!$B$9+'Inputs'!$B$10))/SQRT((((631-43)*MAX('Inputs'!$B$33,'Inputs'!$B$29+'Inputs'!$B$31+'Inputs'!$B$32,'Inputs'!$B$30+'Inputs'!$B$31+'Inputs'!$B$32)/1000+'Inputs'!$B$21+'Inputs'!$B$9+'Inputs'!$B$10))^2+('Inputs'!$B$6/2)^2))))*'Results'!$B$8))),"")</x:f>
        <x:v>2.505057728304151</x:v>
      </x:c>
      <x:c r="P631" t="n">
        <x:f>IF(AND(MAX(J631,J630)&gt;0,J631&gt;J630+0.00000001),1,0)</x:f>
        <x:v>0</x:v>
      </x:c>
      <x:c r="Q631" t="n">
        <x:f>IF(AND(MAX(K631,K630)&gt;0,K631&gt;K630+0.00000001),1,0)</x:f>
        <x:v>0</x:v>
      </x:c>
      <x:c r="R631" t="n">
        <x:f>IF(AND(MAX(L631,L630)&gt;0,L631&gt;L630+0.00000001),1,0)</x:f>
        <x:v>0</x:v>
      </x:c>
      <x:c r="S631" t="n">
        <x:f>IF(AND(MAX(M631,M630)&gt;0,M631&gt;M630+0.00000001),1,0)</x:f>
        <x:v>0</x:v>
      </x:c>
      <x:c r="T631" t="n">
        <x:f>IF(AND(MAX(N631,N630)&gt;0,N631&gt;N630+0.00000001),1,0)</x:f>
        <x:v>0</x:v>
      </x:c>
      <x:c r="U631" t="n">
        <x:f>IF(AND(MAX(O631,O630)&gt;0,O631&gt;O630+0.00000001),1,0)</x:f>
        <x:v>0</x:v>
      </x:c>
    </x:row>
    <x:row r="632">
      <x:c r="J632" t="n">
        <x:f>IF(AND(ISNUMBER('Results'!B7),ISNUMBER('Results'!C7),ISNUMBER('Results'!$B$8),ISNUMBER('Inputs'!$B$6),ISNUMBER('Inputs'!$B$7),ISNUMBER('Inputs'!$B$8),ISNUMBER('Inputs'!$B$9),ISNUMBER('Inputs'!$B$10),ISNUMBER('Inputs'!$B$21),ISNUMBER('Inputs'!$B$24),ISNUMBER('Inputs'!$B$28)),(('Results'!B7*(0.5*((((632-43)*MAX('Inputs'!$B$33,'Inputs'!$B$29+'Inputs'!$B$31+'Inputs'!$B$32,'Inputs'!$B$30+'Inputs'!$B$31+'Inputs'!$B$32)/1000+'Inputs'!$B$21)+'Inputs'!$B$7)/SQRT((((632-43)*MAX('Inputs'!$B$33,'Inputs'!$B$29+'Inputs'!$B$31+'Inputs'!$B$32,'Inputs'!$B$30+'Inputs'!$B$31+'Inputs'!$B$32)/1000+'Inputs'!$B$21)+'Inputs'!$B$7)^2+('Inputs'!$B$6/2)^2)-(((632-43)*MAX('Inputs'!$B$33,'Inputs'!$B$29+'Inputs'!$B$31+'Inputs'!$B$32,'Inputs'!$B$30+'Inputs'!$B$31+'Inputs'!$B$32)/1000+'Inputs'!$B$21))/SQRT((((632-43)*MAX('Inputs'!$B$33,'Inputs'!$B$29+'Inputs'!$B$31+'Inputs'!$B$32,'Inputs'!$B$30+'Inputs'!$B$31+'Inputs'!$B$32)/1000+'Inputs'!$B$21))^2+('Inputs'!$B$6/2)^2)))-'Results'!C7*(0.5*((((632-43)*MAX('Inputs'!$B$33,'Inputs'!$B$29+'Inputs'!$B$31+'Inputs'!$B$32,'Inputs'!$B$30+'Inputs'!$B$31+'Inputs'!$B$32)/1000+'Inputs'!$B$21+'Inputs'!$B$7+'Inputs'!$B$10)+'Inputs'!$B$9)/SQRT((((632-43)*MAX('Inputs'!$B$33,'Inputs'!$B$29+'Inputs'!$B$31+'Inputs'!$B$32,'Inputs'!$B$30+'Inputs'!$B$31+'Inputs'!$B$32)/1000+'Inputs'!$B$21+'Inputs'!$B$7+'Inputs'!$B$10)+'Inputs'!$B$9)^2+('Inputs'!$B$8/2)^2)-(((632-43)*MAX('Inputs'!$B$33,'Inputs'!$B$29+'Inputs'!$B$31+'Inputs'!$B$32,'Inputs'!$B$30+'Inputs'!$B$31+'Inputs'!$B$32)/1000+'Inputs'!$B$21+'Inputs'!$B$7+'Inputs'!$B$10))/SQRT((((632-43)*MAX('Inputs'!$B$33,'Inputs'!$B$29+'Inputs'!$B$31+'Inputs'!$B$32,'Inputs'!$B$30+'Inputs'!$B$31+'Inputs'!$B$32)/1000+'Inputs'!$B$21+'Inputs'!$B$7+'Inputs'!$B$10))^2+('Inputs'!$B$8/2)^2))))*'Results'!$B$8),"")</x:f>
        <x:v>2.3739732642173412</x:v>
      </x:c>
      <x:c r="K632" t="n">
        <x:f>IF(AND(ISNUMBER('Results'!B7),ISNUMBER('Results'!C7),ISNUMBER('Results'!$B$8),ISNUMBER('Inputs'!$B$6),ISNUMBER('Inputs'!$B$7),ISNUMBER('Inputs'!$B$8),ISNUMBER('Inputs'!$B$9),ISNUMBER('Inputs'!$B$10),ISNUMBER('Inputs'!$B$21),ISNUMBER('Inputs'!$B$24),ISNUMBER('Inputs'!$B$28)),((('Results'!B7*(1-'Inputs'!$B$24)*(0.5*((((632-43)*MAX('Inputs'!$B$33,'Inputs'!$B$29+'Inputs'!$B$31+'Inputs'!$B$32,'Inputs'!$B$30+'Inputs'!$B$31+'Inputs'!$B$32)/1000+'Inputs'!$B$21)+'Inputs'!$B$7)/SQRT((((632-43)*MAX('Inputs'!$B$33,'Inputs'!$B$29+'Inputs'!$B$31+'Inputs'!$B$32,'Inputs'!$B$30+'Inputs'!$B$31+'Inputs'!$B$32)/1000+'Inputs'!$B$21)+'Inputs'!$B$7)^2+('Inputs'!$B$6/2)^2)-(((632-43)*MAX('Inputs'!$B$33,'Inputs'!$B$29+'Inputs'!$B$31+'Inputs'!$B$32,'Inputs'!$B$30+'Inputs'!$B$31+'Inputs'!$B$32)/1000+'Inputs'!$B$21))/SQRT((((632-43)*MAX('Inputs'!$B$33,'Inputs'!$B$29+'Inputs'!$B$31+'Inputs'!$B$32,'Inputs'!$B$30+'Inputs'!$B$31+'Inputs'!$B$32)/1000+'Inputs'!$B$21))^2+('Inputs'!$B$6/2)^2)))-'Results'!C7*(1+'Inputs'!$B$24)*(0.5*((((632-43)*MAX('Inputs'!$B$33,'Inputs'!$B$29+'Inputs'!$B$31+'Inputs'!$B$32,'Inputs'!$B$30+'Inputs'!$B$31+'Inputs'!$B$32)/1000+'Inputs'!$B$21+'Inputs'!$B$7+'Inputs'!$B$10)+'Inputs'!$B$9)/SQRT((((632-43)*MAX('Inputs'!$B$33,'Inputs'!$B$29+'Inputs'!$B$31+'Inputs'!$B$32,'Inputs'!$B$30+'Inputs'!$B$31+'Inputs'!$B$32)/1000+'Inputs'!$B$21+'Inputs'!$B$7+'Inputs'!$B$10)+'Inputs'!$B$9)^2+('Inputs'!$B$8/2)^2)-(((632-43)*MAX('Inputs'!$B$33,'Inputs'!$B$29+'Inputs'!$B$31+'Inputs'!$B$32,'Inputs'!$B$30+'Inputs'!$B$31+'Inputs'!$B$32)/1000+'Inputs'!$B$21+'Inputs'!$B$7+'Inputs'!$B$10))/SQRT((((632-43)*MAX('Inputs'!$B$33,'Inputs'!$B$29+'Inputs'!$B$31+'Inputs'!$B$32,'Inputs'!$B$30+'Inputs'!$B$31+'Inputs'!$B$32)/1000+'Inputs'!$B$21+'Inputs'!$B$7+'Inputs'!$B$10))^2+('Inputs'!$B$8/2)^2))))*'Results'!$B$8)-'Inputs'!$B$28*ABS((('Results'!B7*(1-'Inputs'!$B$24)*(0.5*((((632-43)*MAX('Inputs'!$B$33,'Inputs'!$B$29+'Inputs'!$B$31+'Inputs'!$B$32,'Inputs'!$B$30+'Inputs'!$B$31+'Inputs'!$B$32)/1000+'Inputs'!$B$21)+'Inputs'!$B$7)/SQRT((((632-43)*MAX('Inputs'!$B$33,'Inputs'!$B$29+'Inputs'!$B$31+'Inputs'!$B$32,'Inputs'!$B$30+'Inputs'!$B$31+'Inputs'!$B$32)/1000+'Inputs'!$B$21)+'Inputs'!$B$7)^2+('Inputs'!$B$6/2)^2)-(((632-43)*MAX('Inputs'!$B$33,'Inputs'!$B$29+'Inputs'!$B$31+'Inputs'!$B$32,'Inputs'!$B$30+'Inputs'!$B$31+'Inputs'!$B$32)/1000+'Inputs'!$B$21))/SQRT((((632-43)*MAX('Inputs'!$B$33,'Inputs'!$B$29+'Inputs'!$B$31+'Inputs'!$B$32,'Inputs'!$B$30+'Inputs'!$B$31+'Inputs'!$B$32)/1000+'Inputs'!$B$21))^2+('Inputs'!$B$6/2)^2)))-'Results'!C7*(1+'Inputs'!$B$24)*(0.5*((((632-43)*MAX('Inputs'!$B$33,'Inputs'!$B$29+'Inputs'!$B$31+'Inputs'!$B$32,'Inputs'!$B$30+'Inputs'!$B$31+'Inputs'!$B$32)/1000+'Inputs'!$B$21+'Inputs'!$B$7+'Inputs'!$B$10)+'Inputs'!$B$9)/SQRT((((632-43)*MAX('Inputs'!$B$33,'Inputs'!$B$29+'Inputs'!$B$31+'Inputs'!$B$32,'Inputs'!$B$30+'Inputs'!$B$31+'Inputs'!$B$32)/1000+'Inputs'!$B$21+'Inputs'!$B$7+'Inputs'!$B$10)+'Inputs'!$B$9)^2+('Inputs'!$B$8/2)^2)-(((632-43)*MAX('Inputs'!$B$33,'Inputs'!$B$29+'Inputs'!$B$31+'Inputs'!$B$32,'Inputs'!$B$30+'Inputs'!$B$31+'Inputs'!$B$32)/1000+'Inputs'!$B$21+'Inputs'!$B$7+'Inputs'!$B$10))/SQRT((((632-43)*MAX('Inputs'!$B$33,'Inputs'!$B$29+'Inputs'!$B$31+'Inputs'!$B$32,'Inputs'!$B$30+'Inputs'!$B$31+'Inputs'!$B$32)/1000+'Inputs'!$B$21+'Inputs'!$B$7+'Inputs'!$B$10))^2+('Inputs'!$B$8/2)^2))))*'Results'!$B$8))),"")</x:f>
        <x:v>2.081473490643236</x:v>
      </x:c>
      <x:c r="L632" t="n">
        <x:f>IF(AND(ISNUMBER('Results'!B7),ISNUMBER('Results'!C7),ISNUMBER('Results'!$B$8),ISNUMBER('Inputs'!$B$6),ISNUMBER('Inputs'!$B$7),ISNUMBER('Inputs'!$B$8),ISNUMBER('Inputs'!$B$9),ISNUMBER('Inputs'!$B$10),ISNUMBER('Inputs'!$B$21),ISNUMBER('Inputs'!$B$24),ISNUMBER('Inputs'!$B$28)),((('Results'!B7*(1+'Inputs'!$B$24)*(0.5*((((632-43)*MAX('Inputs'!$B$33,'Inputs'!$B$29+'Inputs'!$B$31+'Inputs'!$B$32,'Inputs'!$B$30+'Inputs'!$B$31+'Inputs'!$B$32)/1000+'Inputs'!$B$21)+'Inputs'!$B$7)/SQRT((((632-43)*MAX('Inputs'!$B$33,'Inputs'!$B$29+'Inputs'!$B$31+'Inputs'!$B$32,'Inputs'!$B$30+'Inputs'!$B$31+'Inputs'!$B$32)/1000+'Inputs'!$B$21)+'Inputs'!$B$7)^2+('Inputs'!$B$6/2)^2)-(((632-43)*MAX('Inputs'!$B$33,'Inputs'!$B$29+'Inputs'!$B$31+'Inputs'!$B$32,'Inputs'!$B$30+'Inputs'!$B$31+'Inputs'!$B$32)/1000+'Inputs'!$B$21))/SQRT((((632-43)*MAX('Inputs'!$B$33,'Inputs'!$B$29+'Inputs'!$B$31+'Inputs'!$B$32,'Inputs'!$B$30+'Inputs'!$B$31+'Inputs'!$B$32)/1000+'Inputs'!$B$21))^2+('Inputs'!$B$6/2)^2)))-'Results'!C7*(1-'Inputs'!$B$24)*(0.5*((((632-43)*MAX('Inputs'!$B$33,'Inputs'!$B$29+'Inputs'!$B$31+'Inputs'!$B$32,'Inputs'!$B$30+'Inputs'!$B$31+'Inputs'!$B$32)/1000+'Inputs'!$B$21+'Inputs'!$B$7+'Inputs'!$B$10)+'Inputs'!$B$9)/SQRT((((632-43)*MAX('Inputs'!$B$33,'Inputs'!$B$29+'Inputs'!$B$31+'Inputs'!$B$32,'Inputs'!$B$30+'Inputs'!$B$31+'Inputs'!$B$32)/1000+'Inputs'!$B$21+'Inputs'!$B$7+'Inputs'!$B$10)+'Inputs'!$B$9)^2+('Inputs'!$B$8/2)^2)-(((632-43)*MAX('Inputs'!$B$33,'Inputs'!$B$29+'Inputs'!$B$31+'Inputs'!$B$32,'Inputs'!$B$30+'Inputs'!$B$31+'Inputs'!$B$32)/1000+'Inputs'!$B$21+'Inputs'!$B$7+'Inputs'!$B$10))/SQRT((((632-43)*MAX('Inputs'!$B$33,'Inputs'!$B$29+'Inputs'!$B$31+'Inputs'!$B$32,'Inputs'!$B$30+'Inputs'!$B$31+'Inputs'!$B$32)/1000+'Inputs'!$B$21+'Inputs'!$B$7+'Inputs'!$B$10))^2+('Inputs'!$B$8/2)^2))))*'Results'!$B$8)+'Inputs'!$B$28*ABS((('Results'!B7*(1+'Inputs'!$B$24)*(0.5*((((632-43)*MAX('Inputs'!$B$33,'Inputs'!$B$29+'Inputs'!$B$31+'Inputs'!$B$32,'Inputs'!$B$30+'Inputs'!$B$31+'Inputs'!$B$32)/1000+'Inputs'!$B$21)+'Inputs'!$B$7)/SQRT((((632-43)*MAX('Inputs'!$B$33,'Inputs'!$B$29+'Inputs'!$B$31+'Inputs'!$B$32,'Inputs'!$B$30+'Inputs'!$B$31+'Inputs'!$B$32)/1000+'Inputs'!$B$21)+'Inputs'!$B$7)^2+('Inputs'!$B$6/2)^2)-(((632-43)*MAX('Inputs'!$B$33,'Inputs'!$B$29+'Inputs'!$B$31+'Inputs'!$B$32,'Inputs'!$B$30+'Inputs'!$B$31+'Inputs'!$B$32)/1000+'Inputs'!$B$21))/SQRT((((632-43)*MAX('Inputs'!$B$33,'Inputs'!$B$29+'Inputs'!$B$31+'Inputs'!$B$32,'Inputs'!$B$30+'Inputs'!$B$31+'Inputs'!$B$32)/1000+'Inputs'!$B$21))^2+('Inputs'!$B$6/2)^2)))-'Results'!C7*(1-'Inputs'!$B$24)*(0.5*((((632-43)*MAX('Inputs'!$B$33,'Inputs'!$B$29+'Inputs'!$B$31+'Inputs'!$B$32,'Inputs'!$B$30+'Inputs'!$B$31+'Inputs'!$B$32)/1000+'Inputs'!$B$21+'Inputs'!$B$7+'Inputs'!$B$10)+'Inputs'!$B$9)/SQRT((((632-43)*MAX('Inputs'!$B$33,'Inputs'!$B$29+'Inputs'!$B$31+'Inputs'!$B$32,'Inputs'!$B$30+'Inputs'!$B$31+'Inputs'!$B$32)/1000+'Inputs'!$B$21+'Inputs'!$B$7+'Inputs'!$B$10)+'Inputs'!$B$9)^2+('Inputs'!$B$8/2)^2)-(((632-43)*MAX('Inputs'!$B$33,'Inputs'!$B$29+'Inputs'!$B$31+'Inputs'!$B$32,'Inputs'!$B$30+'Inputs'!$B$31+'Inputs'!$B$32)/1000+'Inputs'!$B$21+'Inputs'!$B$7+'Inputs'!$B$10))/SQRT((((632-43)*MAX('Inputs'!$B$33,'Inputs'!$B$29+'Inputs'!$B$31+'Inputs'!$B$32,'Inputs'!$B$30+'Inputs'!$B$31+'Inputs'!$B$32)/1000+'Inputs'!$B$21+'Inputs'!$B$7+'Inputs'!$B$10))^2+('Inputs'!$B$8/2)^2))))*'Results'!$B$8))),"")</x:f>
        <x:v>2.6847678915138915</x:v>
      </x:c>
      <x:c r="M632" t="n">
        <x:f>IF(AND(ISNUMBER('Results'!C7),ISNUMBER('Results'!B7),ISNUMBER('Results'!$B$8),ISNUMBER('Inputs'!$B$6),ISNUMBER('Inputs'!$B$7),ISNUMBER('Inputs'!$B$8),ISNUMBER('Inputs'!$B$9),ISNUMBER('Inputs'!$B$10),ISNUMBER('Inputs'!$B$21),ISNUMBER('Inputs'!$B$24),ISNUMBER('Inputs'!$B$28)),(('Results'!C7*(0.5*((((632-43)*MAX('Inputs'!$B$33,'Inputs'!$B$29+'Inputs'!$B$31+'Inputs'!$B$32,'Inputs'!$B$30+'Inputs'!$B$31+'Inputs'!$B$32)/1000+'Inputs'!$B$21)+'Inputs'!$B$9)/SQRT((((632-43)*MAX('Inputs'!$B$33,'Inputs'!$B$29+'Inputs'!$B$31+'Inputs'!$B$32,'Inputs'!$B$30+'Inputs'!$B$31+'Inputs'!$B$32)/1000+'Inputs'!$B$21)+'Inputs'!$B$9)^2+('Inputs'!$B$8/2)^2)-(((632-43)*MAX('Inputs'!$B$33,'Inputs'!$B$29+'Inputs'!$B$31+'Inputs'!$B$32,'Inputs'!$B$30+'Inputs'!$B$31+'Inputs'!$B$32)/1000+'Inputs'!$B$21))/SQRT((((632-43)*MAX('Inputs'!$B$33,'Inputs'!$B$29+'Inputs'!$B$31+'Inputs'!$B$32,'Inputs'!$B$30+'Inputs'!$B$31+'Inputs'!$B$32)/1000+'Inputs'!$B$21))^2+('Inputs'!$B$8/2)^2)))-'Results'!B7*(0.5*((((632-43)*MAX('Inputs'!$B$33,'Inputs'!$B$29+'Inputs'!$B$31+'Inputs'!$B$32,'Inputs'!$B$30+'Inputs'!$B$31+'Inputs'!$B$32)/1000+'Inputs'!$B$21+'Inputs'!$B$9+'Inputs'!$B$10)+'Inputs'!$B$7)/SQRT((((632-43)*MAX('Inputs'!$B$33,'Inputs'!$B$29+'Inputs'!$B$31+'Inputs'!$B$32,'Inputs'!$B$30+'Inputs'!$B$31+'Inputs'!$B$32)/1000+'Inputs'!$B$21+'Inputs'!$B$9+'Inputs'!$B$10)+'Inputs'!$B$7)^2+('Inputs'!$B$6/2)^2)-(((632-43)*MAX('Inputs'!$B$33,'Inputs'!$B$29+'Inputs'!$B$31+'Inputs'!$B$32,'Inputs'!$B$30+'Inputs'!$B$31+'Inputs'!$B$32)/1000+'Inputs'!$B$21+'Inputs'!$B$9+'Inputs'!$B$10))/SQRT((((632-43)*MAX('Inputs'!$B$33,'Inputs'!$B$29+'Inputs'!$B$31+'Inputs'!$B$32,'Inputs'!$B$30+'Inputs'!$B$31+'Inputs'!$B$32)/1000+'Inputs'!$B$21+'Inputs'!$B$9+'Inputs'!$B$10))^2+('Inputs'!$B$6/2)^2))))*'Results'!$B$8),"")</x:f>
        <x:v>2.1896423895241037</x:v>
      </x:c>
      <x:c r="N632" t="n">
        <x:f>IF(AND(ISNUMBER('Results'!C7),ISNUMBER('Results'!B7),ISNUMBER('Results'!$B$8),ISNUMBER('Inputs'!$B$6),ISNUMBER('Inputs'!$B$7),ISNUMBER('Inputs'!$B$8),ISNUMBER('Inputs'!$B$9),ISNUMBER('Inputs'!$B$10),ISNUMBER('Inputs'!$B$21),ISNUMBER('Inputs'!$B$24),ISNUMBER('Inputs'!$B$28)),((('Results'!C7*(1-'Inputs'!$B$24)*(0.5*((((632-43)*MAX('Inputs'!$B$33,'Inputs'!$B$29+'Inputs'!$B$31+'Inputs'!$B$32,'Inputs'!$B$30+'Inputs'!$B$31+'Inputs'!$B$32)/1000+'Inputs'!$B$21)+'Inputs'!$B$9)/SQRT((((632-43)*MAX('Inputs'!$B$33,'Inputs'!$B$29+'Inputs'!$B$31+'Inputs'!$B$32,'Inputs'!$B$30+'Inputs'!$B$31+'Inputs'!$B$32)/1000+'Inputs'!$B$21)+'Inputs'!$B$9)^2+('Inputs'!$B$8/2)^2)-(((632-43)*MAX('Inputs'!$B$33,'Inputs'!$B$29+'Inputs'!$B$31+'Inputs'!$B$32,'Inputs'!$B$30+'Inputs'!$B$31+'Inputs'!$B$32)/1000+'Inputs'!$B$21))/SQRT((((632-43)*MAX('Inputs'!$B$33,'Inputs'!$B$29+'Inputs'!$B$31+'Inputs'!$B$32,'Inputs'!$B$30+'Inputs'!$B$31+'Inputs'!$B$32)/1000+'Inputs'!$B$21))^2+('Inputs'!$B$8/2)^2)))-'Results'!B7*(1+'Inputs'!$B$24)*(0.5*((((632-43)*MAX('Inputs'!$B$33,'Inputs'!$B$29+'Inputs'!$B$31+'Inputs'!$B$32,'Inputs'!$B$30+'Inputs'!$B$31+'Inputs'!$B$32)/1000+'Inputs'!$B$21+'Inputs'!$B$9+'Inputs'!$B$10)+'Inputs'!$B$7)/SQRT((((632-43)*MAX('Inputs'!$B$33,'Inputs'!$B$29+'Inputs'!$B$31+'Inputs'!$B$32,'Inputs'!$B$30+'Inputs'!$B$31+'Inputs'!$B$32)/1000+'Inputs'!$B$21+'Inputs'!$B$9+'Inputs'!$B$10)+'Inputs'!$B$7)^2+('Inputs'!$B$6/2)^2)-(((632-43)*MAX('Inputs'!$B$33,'Inputs'!$B$29+'Inputs'!$B$31+'Inputs'!$B$32,'Inputs'!$B$30+'Inputs'!$B$31+'Inputs'!$B$32)/1000+'Inputs'!$B$21+'Inputs'!$B$9+'Inputs'!$B$10))/SQRT((((632-43)*MAX('Inputs'!$B$33,'Inputs'!$B$29+'Inputs'!$B$31+'Inputs'!$B$32,'Inputs'!$B$30+'Inputs'!$B$31+'Inputs'!$B$32)/1000+'Inputs'!$B$21+'Inputs'!$B$9+'Inputs'!$B$10))^2+('Inputs'!$B$6/2)^2))))*'Results'!$B$8)-'Inputs'!$B$28*ABS((('Results'!C7*(1-'Inputs'!$B$24)*(0.5*((((632-43)*MAX('Inputs'!$B$33,'Inputs'!$B$29+'Inputs'!$B$31+'Inputs'!$B$32,'Inputs'!$B$30+'Inputs'!$B$31+'Inputs'!$B$32)/1000+'Inputs'!$B$21)+'Inputs'!$B$9)/SQRT((((632-43)*MAX('Inputs'!$B$33,'Inputs'!$B$29+'Inputs'!$B$31+'Inputs'!$B$32,'Inputs'!$B$30+'Inputs'!$B$31+'Inputs'!$B$32)/1000+'Inputs'!$B$21)+'Inputs'!$B$9)^2+('Inputs'!$B$8/2)^2)-(((632-43)*MAX('Inputs'!$B$33,'Inputs'!$B$29+'Inputs'!$B$31+'Inputs'!$B$32,'Inputs'!$B$30+'Inputs'!$B$31+'Inputs'!$B$32)/1000+'Inputs'!$B$21))/SQRT((((632-43)*MAX('Inputs'!$B$33,'Inputs'!$B$29+'Inputs'!$B$31+'Inputs'!$B$32,'Inputs'!$B$30+'Inputs'!$B$31+'Inputs'!$B$32)/1000+'Inputs'!$B$21))^2+('Inputs'!$B$8/2)^2)))-'Results'!B7*(1+'Inputs'!$B$24)*(0.5*((((632-43)*MAX('Inputs'!$B$33,'Inputs'!$B$29+'Inputs'!$B$31+'Inputs'!$B$32,'Inputs'!$B$30+'Inputs'!$B$31+'Inputs'!$B$32)/1000+'Inputs'!$B$21+'Inputs'!$B$9+'Inputs'!$B$10)+'Inputs'!$B$7)/SQRT((((632-43)*MAX('Inputs'!$B$33,'Inputs'!$B$29+'Inputs'!$B$31+'Inputs'!$B$32,'Inputs'!$B$30+'Inputs'!$B$31+'Inputs'!$B$32)/1000+'Inputs'!$B$21+'Inputs'!$B$9+'Inputs'!$B$10)+'Inputs'!$B$7)^2+('Inputs'!$B$6/2)^2)-(((632-43)*MAX('Inputs'!$B$33,'Inputs'!$B$29+'Inputs'!$B$31+'Inputs'!$B$32,'Inputs'!$B$30+'Inputs'!$B$31+'Inputs'!$B$32)/1000+'Inputs'!$B$21+'Inputs'!$B$9+'Inputs'!$B$10))/SQRT((((632-43)*MAX('Inputs'!$B$33,'Inputs'!$B$29+'Inputs'!$B$31+'Inputs'!$B$32,'Inputs'!$B$30+'Inputs'!$B$31+'Inputs'!$B$32)/1000+'Inputs'!$B$21+'Inputs'!$B$9+'Inputs'!$B$10))^2+('Inputs'!$B$6/2)^2))))*'Results'!$B$8))),"")</x:f>
        <x:v>1.9072350051131566</x:v>
      </x:c>
      <x:c r="O632" t="n">
        <x:f>IF(AND(ISNUMBER('Results'!C7),ISNUMBER('Results'!B7),ISNUMBER('Results'!$B$8),ISNUMBER('Inputs'!$B$6),ISNUMBER('Inputs'!$B$7),ISNUMBER('Inputs'!$B$8),ISNUMBER('Inputs'!$B$9),ISNUMBER('Inputs'!$B$10),ISNUMBER('Inputs'!$B$21),ISNUMBER('Inputs'!$B$24),ISNUMBER('Inputs'!$B$28)),((('Results'!C7*(1+'Inputs'!$B$24)*(0.5*((((632-43)*MAX('Inputs'!$B$33,'Inputs'!$B$29+'Inputs'!$B$31+'Inputs'!$B$32,'Inputs'!$B$30+'Inputs'!$B$31+'Inputs'!$B$32)/1000+'Inputs'!$B$21)+'Inputs'!$B$9)/SQRT((((632-43)*MAX('Inputs'!$B$33,'Inputs'!$B$29+'Inputs'!$B$31+'Inputs'!$B$32,'Inputs'!$B$30+'Inputs'!$B$31+'Inputs'!$B$32)/1000+'Inputs'!$B$21)+'Inputs'!$B$9)^2+('Inputs'!$B$8/2)^2)-(((632-43)*MAX('Inputs'!$B$33,'Inputs'!$B$29+'Inputs'!$B$31+'Inputs'!$B$32,'Inputs'!$B$30+'Inputs'!$B$31+'Inputs'!$B$32)/1000+'Inputs'!$B$21))/SQRT((((632-43)*MAX('Inputs'!$B$33,'Inputs'!$B$29+'Inputs'!$B$31+'Inputs'!$B$32,'Inputs'!$B$30+'Inputs'!$B$31+'Inputs'!$B$32)/1000+'Inputs'!$B$21))^2+('Inputs'!$B$8/2)^2)))-'Results'!B7*(1-'Inputs'!$B$24)*(0.5*((((632-43)*MAX('Inputs'!$B$33,'Inputs'!$B$29+'Inputs'!$B$31+'Inputs'!$B$32,'Inputs'!$B$30+'Inputs'!$B$31+'Inputs'!$B$32)/1000+'Inputs'!$B$21+'Inputs'!$B$9+'Inputs'!$B$10)+'Inputs'!$B$7)/SQRT((((632-43)*MAX('Inputs'!$B$33,'Inputs'!$B$29+'Inputs'!$B$31+'Inputs'!$B$32,'Inputs'!$B$30+'Inputs'!$B$31+'Inputs'!$B$32)/1000+'Inputs'!$B$21+'Inputs'!$B$9+'Inputs'!$B$10)+'Inputs'!$B$7)^2+('Inputs'!$B$6/2)^2)-(((632-43)*MAX('Inputs'!$B$33,'Inputs'!$B$29+'Inputs'!$B$31+'Inputs'!$B$32,'Inputs'!$B$30+'Inputs'!$B$31+'Inputs'!$B$32)/1000+'Inputs'!$B$21+'Inputs'!$B$9+'Inputs'!$B$10))/SQRT((((632-43)*MAX('Inputs'!$B$33,'Inputs'!$B$29+'Inputs'!$B$31+'Inputs'!$B$32,'Inputs'!$B$30+'Inputs'!$B$31+'Inputs'!$B$32)/1000+'Inputs'!$B$21+'Inputs'!$B$9+'Inputs'!$B$10))^2+('Inputs'!$B$6/2)^2))))*'Results'!$B$8)+'Inputs'!$B$28*ABS((('Results'!C7*(1+'Inputs'!$B$24)*(0.5*((((632-43)*MAX('Inputs'!$B$33,'Inputs'!$B$29+'Inputs'!$B$31+'Inputs'!$B$32,'Inputs'!$B$30+'Inputs'!$B$31+'Inputs'!$B$32)/1000+'Inputs'!$B$21)+'Inputs'!$B$9)/SQRT((((632-43)*MAX('Inputs'!$B$33,'Inputs'!$B$29+'Inputs'!$B$31+'Inputs'!$B$32,'Inputs'!$B$30+'Inputs'!$B$31+'Inputs'!$B$32)/1000+'Inputs'!$B$21)+'Inputs'!$B$9)^2+('Inputs'!$B$8/2)^2)-(((632-43)*MAX('Inputs'!$B$33,'Inputs'!$B$29+'Inputs'!$B$31+'Inputs'!$B$32,'Inputs'!$B$30+'Inputs'!$B$31+'Inputs'!$B$32)/1000+'Inputs'!$B$21))/SQRT((((632-43)*MAX('Inputs'!$B$33,'Inputs'!$B$29+'Inputs'!$B$31+'Inputs'!$B$32,'Inputs'!$B$30+'Inputs'!$B$31+'Inputs'!$B$32)/1000+'Inputs'!$B$21))^2+('Inputs'!$B$8/2)^2)))-'Results'!B7*(1-'Inputs'!$B$24)*(0.5*((((632-43)*MAX('Inputs'!$B$33,'Inputs'!$B$29+'Inputs'!$B$31+'Inputs'!$B$32,'Inputs'!$B$30+'Inputs'!$B$31+'Inputs'!$B$32)/1000+'Inputs'!$B$21+'Inputs'!$B$9+'Inputs'!$B$10)+'Inputs'!$B$7)/SQRT((((632-43)*MAX('Inputs'!$B$33,'Inputs'!$B$29+'Inputs'!$B$31+'Inputs'!$B$32,'Inputs'!$B$30+'Inputs'!$B$31+'Inputs'!$B$32)/1000+'Inputs'!$B$21+'Inputs'!$B$9+'Inputs'!$B$10)+'Inputs'!$B$7)^2+('Inputs'!$B$6/2)^2)-(((632-43)*MAX('Inputs'!$B$33,'Inputs'!$B$29+'Inputs'!$B$31+'Inputs'!$B$32,'Inputs'!$B$30+'Inputs'!$B$31+'Inputs'!$B$32)/1000+'Inputs'!$B$21+'Inputs'!$B$9+'Inputs'!$B$10))/SQRT((((632-43)*MAX('Inputs'!$B$33,'Inputs'!$B$29+'Inputs'!$B$31+'Inputs'!$B$32,'Inputs'!$B$30+'Inputs'!$B$31+'Inputs'!$B$32)/1000+'Inputs'!$B$21+'Inputs'!$B$9+'Inputs'!$B$10))^2+('Inputs'!$B$6/2)^2))))*'Results'!$B$8))),"")</x:f>
        <x:v>2.4902524334018663</x:v>
      </x:c>
      <x:c r="P632" t="n">
        <x:f>IF(AND(MAX(J632,J631)&gt;0,J632&gt;J631+0.00000001),1,0)</x:f>
        <x:v>0</x:v>
      </x:c>
      <x:c r="Q632" t="n">
        <x:f>IF(AND(MAX(K632,K631)&gt;0,K632&gt;K631+0.00000001),1,0)</x:f>
        <x:v>0</x:v>
      </x:c>
      <x:c r="R632" t="n">
        <x:f>IF(AND(MAX(L632,L631)&gt;0,L632&gt;L631+0.00000001),1,0)</x:f>
        <x:v>0</x:v>
      </x:c>
      <x:c r="S632" t="n">
        <x:f>IF(AND(MAX(M632,M631)&gt;0,M632&gt;M631+0.00000001),1,0)</x:f>
        <x:v>0</x:v>
      </x:c>
      <x:c r="T632" t="n">
        <x:f>IF(AND(MAX(N632,N631)&gt;0,N632&gt;N631+0.00000001),1,0)</x:f>
        <x:v>0</x:v>
      </x:c>
      <x:c r="U632" t="n">
        <x:f>IF(AND(MAX(O632,O631)&gt;0,O632&gt;O631+0.00000001),1,0)</x:f>
        <x:v>0</x:v>
      </x:c>
    </x:row>
    <x:row r="633">
      <x:c r="J633" t="n">
        <x:f>IF(AND(ISNUMBER('Results'!B7),ISNUMBER('Results'!C7),ISNUMBER('Results'!$B$8),ISNUMBER('Inputs'!$B$6),ISNUMBER('Inputs'!$B$7),ISNUMBER('Inputs'!$B$8),ISNUMBER('Inputs'!$B$9),ISNUMBER('Inputs'!$B$10),ISNUMBER('Inputs'!$B$21),ISNUMBER('Inputs'!$B$24),ISNUMBER('Inputs'!$B$28)),(('Results'!B7*(0.5*((((633-43)*MAX('Inputs'!$B$33,'Inputs'!$B$29+'Inputs'!$B$31+'Inputs'!$B$32,'Inputs'!$B$30+'Inputs'!$B$31+'Inputs'!$B$32)/1000+'Inputs'!$B$21)+'Inputs'!$B$7)/SQRT((((633-43)*MAX('Inputs'!$B$33,'Inputs'!$B$29+'Inputs'!$B$31+'Inputs'!$B$32,'Inputs'!$B$30+'Inputs'!$B$31+'Inputs'!$B$32)/1000+'Inputs'!$B$21)+'Inputs'!$B$7)^2+('Inputs'!$B$6/2)^2)-(((633-43)*MAX('Inputs'!$B$33,'Inputs'!$B$29+'Inputs'!$B$31+'Inputs'!$B$32,'Inputs'!$B$30+'Inputs'!$B$31+'Inputs'!$B$32)/1000+'Inputs'!$B$21))/SQRT((((633-43)*MAX('Inputs'!$B$33,'Inputs'!$B$29+'Inputs'!$B$31+'Inputs'!$B$32,'Inputs'!$B$30+'Inputs'!$B$31+'Inputs'!$B$32)/1000+'Inputs'!$B$21))^2+('Inputs'!$B$6/2)^2)))-'Results'!C7*(0.5*((((633-43)*MAX('Inputs'!$B$33,'Inputs'!$B$29+'Inputs'!$B$31+'Inputs'!$B$32,'Inputs'!$B$30+'Inputs'!$B$31+'Inputs'!$B$32)/1000+'Inputs'!$B$21+'Inputs'!$B$7+'Inputs'!$B$10)+'Inputs'!$B$9)/SQRT((((633-43)*MAX('Inputs'!$B$33,'Inputs'!$B$29+'Inputs'!$B$31+'Inputs'!$B$32,'Inputs'!$B$30+'Inputs'!$B$31+'Inputs'!$B$32)/1000+'Inputs'!$B$21+'Inputs'!$B$7+'Inputs'!$B$10)+'Inputs'!$B$9)^2+('Inputs'!$B$8/2)^2)-(((633-43)*MAX('Inputs'!$B$33,'Inputs'!$B$29+'Inputs'!$B$31+'Inputs'!$B$32,'Inputs'!$B$30+'Inputs'!$B$31+'Inputs'!$B$32)/1000+'Inputs'!$B$21+'Inputs'!$B$7+'Inputs'!$B$10))/SQRT((((633-43)*MAX('Inputs'!$B$33,'Inputs'!$B$29+'Inputs'!$B$31+'Inputs'!$B$32,'Inputs'!$B$30+'Inputs'!$B$31+'Inputs'!$B$32)/1000+'Inputs'!$B$21+'Inputs'!$B$7+'Inputs'!$B$10))^2+('Inputs'!$B$8/2)^2))))*'Results'!$B$8),"")</x:f>
        <x:v>2.359966110550476</x:v>
      </x:c>
      <x:c r="K633" t="n">
        <x:f>IF(AND(ISNUMBER('Results'!B7),ISNUMBER('Results'!C7),ISNUMBER('Results'!$B$8),ISNUMBER('Inputs'!$B$6),ISNUMBER('Inputs'!$B$7),ISNUMBER('Inputs'!$B$8),ISNUMBER('Inputs'!$B$9),ISNUMBER('Inputs'!$B$10),ISNUMBER('Inputs'!$B$21),ISNUMBER('Inputs'!$B$24),ISNUMBER('Inputs'!$B$28)),((('Results'!B7*(1-'Inputs'!$B$24)*(0.5*((((633-43)*MAX('Inputs'!$B$33,'Inputs'!$B$29+'Inputs'!$B$31+'Inputs'!$B$32,'Inputs'!$B$30+'Inputs'!$B$31+'Inputs'!$B$32)/1000+'Inputs'!$B$21)+'Inputs'!$B$7)/SQRT((((633-43)*MAX('Inputs'!$B$33,'Inputs'!$B$29+'Inputs'!$B$31+'Inputs'!$B$32,'Inputs'!$B$30+'Inputs'!$B$31+'Inputs'!$B$32)/1000+'Inputs'!$B$21)+'Inputs'!$B$7)^2+('Inputs'!$B$6/2)^2)-(((633-43)*MAX('Inputs'!$B$33,'Inputs'!$B$29+'Inputs'!$B$31+'Inputs'!$B$32,'Inputs'!$B$30+'Inputs'!$B$31+'Inputs'!$B$32)/1000+'Inputs'!$B$21))/SQRT((((633-43)*MAX('Inputs'!$B$33,'Inputs'!$B$29+'Inputs'!$B$31+'Inputs'!$B$32,'Inputs'!$B$30+'Inputs'!$B$31+'Inputs'!$B$32)/1000+'Inputs'!$B$21))^2+('Inputs'!$B$6/2)^2)))-'Results'!C7*(1+'Inputs'!$B$24)*(0.5*((((633-43)*MAX('Inputs'!$B$33,'Inputs'!$B$29+'Inputs'!$B$31+'Inputs'!$B$32,'Inputs'!$B$30+'Inputs'!$B$31+'Inputs'!$B$32)/1000+'Inputs'!$B$21+'Inputs'!$B$7+'Inputs'!$B$10)+'Inputs'!$B$9)/SQRT((((633-43)*MAX('Inputs'!$B$33,'Inputs'!$B$29+'Inputs'!$B$31+'Inputs'!$B$32,'Inputs'!$B$30+'Inputs'!$B$31+'Inputs'!$B$32)/1000+'Inputs'!$B$21+'Inputs'!$B$7+'Inputs'!$B$10)+'Inputs'!$B$9)^2+('Inputs'!$B$8/2)^2)-(((633-43)*MAX('Inputs'!$B$33,'Inputs'!$B$29+'Inputs'!$B$31+'Inputs'!$B$32,'Inputs'!$B$30+'Inputs'!$B$31+'Inputs'!$B$32)/1000+'Inputs'!$B$21+'Inputs'!$B$7+'Inputs'!$B$10))/SQRT((((633-43)*MAX('Inputs'!$B$33,'Inputs'!$B$29+'Inputs'!$B$31+'Inputs'!$B$32,'Inputs'!$B$30+'Inputs'!$B$31+'Inputs'!$B$32)/1000+'Inputs'!$B$21+'Inputs'!$B$7+'Inputs'!$B$10))^2+('Inputs'!$B$8/2)^2))))*'Results'!$B$8)-'Inputs'!$B$28*ABS((('Results'!B7*(1-'Inputs'!$B$24)*(0.5*((((633-43)*MAX('Inputs'!$B$33,'Inputs'!$B$29+'Inputs'!$B$31+'Inputs'!$B$32,'Inputs'!$B$30+'Inputs'!$B$31+'Inputs'!$B$32)/1000+'Inputs'!$B$21)+'Inputs'!$B$7)/SQRT((((633-43)*MAX('Inputs'!$B$33,'Inputs'!$B$29+'Inputs'!$B$31+'Inputs'!$B$32,'Inputs'!$B$30+'Inputs'!$B$31+'Inputs'!$B$32)/1000+'Inputs'!$B$21)+'Inputs'!$B$7)^2+('Inputs'!$B$6/2)^2)-(((633-43)*MAX('Inputs'!$B$33,'Inputs'!$B$29+'Inputs'!$B$31+'Inputs'!$B$32,'Inputs'!$B$30+'Inputs'!$B$31+'Inputs'!$B$32)/1000+'Inputs'!$B$21))/SQRT((((633-43)*MAX('Inputs'!$B$33,'Inputs'!$B$29+'Inputs'!$B$31+'Inputs'!$B$32,'Inputs'!$B$30+'Inputs'!$B$31+'Inputs'!$B$32)/1000+'Inputs'!$B$21))^2+('Inputs'!$B$6/2)^2)))-'Results'!C7*(1+'Inputs'!$B$24)*(0.5*((((633-43)*MAX('Inputs'!$B$33,'Inputs'!$B$29+'Inputs'!$B$31+'Inputs'!$B$32,'Inputs'!$B$30+'Inputs'!$B$31+'Inputs'!$B$32)/1000+'Inputs'!$B$21+'Inputs'!$B$7+'Inputs'!$B$10)+'Inputs'!$B$9)/SQRT((((633-43)*MAX('Inputs'!$B$33,'Inputs'!$B$29+'Inputs'!$B$31+'Inputs'!$B$32,'Inputs'!$B$30+'Inputs'!$B$31+'Inputs'!$B$32)/1000+'Inputs'!$B$21+'Inputs'!$B$7+'Inputs'!$B$10)+'Inputs'!$B$9)^2+('Inputs'!$B$8/2)^2)-(((633-43)*MAX('Inputs'!$B$33,'Inputs'!$B$29+'Inputs'!$B$31+'Inputs'!$B$32,'Inputs'!$B$30+'Inputs'!$B$31+'Inputs'!$B$32)/1000+'Inputs'!$B$21+'Inputs'!$B$7+'Inputs'!$B$10))/SQRT((((633-43)*MAX('Inputs'!$B$33,'Inputs'!$B$29+'Inputs'!$B$31+'Inputs'!$B$32,'Inputs'!$B$30+'Inputs'!$B$31+'Inputs'!$B$32)/1000+'Inputs'!$B$21+'Inputs'!$B$7+'Inputs'!$B$10))^2+('Inputs'!$B$8/2)^2))))*'Results'!$B$8))),"")</x:f>
        <x:v>2.068959171102565</x:v>
      </x:c>
      <x:c r="L633" t="n">
        <x:f>IF(AND(ISNUMBER('Results'!B7),ISNUMBER('Results'!C7),ISNUMBER('Results'!$B$8),ISNUMBER('Inputs'!$B$6),ISNUMBER('Inputs'!$B$7),ISNUMBER('Inputs'!$B$8),ISNUMBER('Inputs'!$B$9),ISNUMBER('Inputs'!$B$10),ISNUMBER('Inputs'!$B$21),ISNUMBER('Inputs'!$B$24),ISNUMBER('Inputs'!$B$28)),((('Results'!B7*(1+'Inputs'!$B$24)*(0.5*((((633-43)*MAX('Inputs'!$B$33,'Inputs'!$B$29+'Inputs'!$B$31+'Inputs'!$B$32,'Inputs'!$B$30+'Inputs'!$B$31+'Inputs'!$B$32)/1000+'Inputs'!$B$21)+'Inputs'!$B$7)/SQRT((((633-43)*MAX('Inputs'!$B$33,'Inputs'!$B$29+'Inputs'!$B$31+'Inputs'!$B$32,'Inputs'!$B$30+'Inputs'!$B$31+'Inputs'!$B$32)/1000+'Inputs'!$B$21)+'Inputs'!$B$7)^2+('Inputs'!$B$6/2)^2)-(((633-43)*MAX('Inputs'!$B$33,'Inputs'!$B$29+'Inputs'!$B$31+'Inputs'!$B$32,'Inputs'!$B$30+'Inputs'!$B$31+'Inputs'!$B$32)/1000+'Inputs'!$B$21))/SQRT((((633-43)*MAX('Inputs'!$B$33,'Inputs'!$B$29+'Inputs'!$B$31+'Inputs'!$B$32,'Inputs'!$B$30+'Inputs'!$B$31+'Inputs'!$B$32)/1000+'Inputs'!$B$21))^2+('Inputs'!$B$6/2)^2)))-'Results'!C7*(1-'Inputs'!$B$24)*(0.5*((((633-43)*MAX('Inputs'!$B$33,'Inputs'!$B$29+'Inputs'!$B$31+'Inputs'!$B$32,'Inputs'!$B$30+'Inputs'!$B$31+'Inputs'!$B$32)/1000+'Inputs'!$B$21+'Inputs'!$B$7+'Inputs'!$B$10)+'Inputs'!$B$9)/SQRT((((633-43)*MAX('Inputs'!$B$33,'Inputs'!$B$29+'Inputs'!$B$31+'Inputs'!$B$32,'Inputs'!$B$30+'Inputs'!$B$31+'Inputs'!$B$32)/1000+'Inputs'!$B$21+'Inputs'!$B$7+'Inputs'!$B$10)+'Inputs'!$B$9)^2+('Inputs'!$B$8/2)^2)-(((633-43)*MAX('Inputs'!$B$33,'Inputs'!$B$29+'Inputs'!$B$31+'Inputs'!$B$32,'Inputs'!$B$30+'Inputs'!$B$31+'Inputs'!$B$32)/1000+'Inputs'!$B$21+'Inputs'!$B$7+'Inputs'!$B$10))/SQRT((((633-43)*MAX('Inputs'!$B$33,'Inputs'!$B$29+'Inputs'!$B$31+'Inputs'!$B$32,'Inputs'!$B$30+'Inputs'!$B$31+'Inputs'!$B$32)/1000+'Inputs'!$B$21+'Inputs'!$B$7+'Inputs'!$B$10))^2+('Inputs'!$B$8/2)^2))))*'Results'!$B$8)+'Inputs'!$B$28*ABS((('Results'!B7*(1+'Inputs'!$B$24)*(0.5*((((633-43)*MAX('Inputs'!$B$33,'Inputs'!$B$29+'Inputs'!$B$31+'Inputs'!$B$32,'Inputs'!$B$30+'Inputs'!$B$31+'Inputs'!$B$32)/1000+'Inputs'!$B$21)+'Inputs'!$B$7)/SQRT((((633-43)*MAX('Inputs'!$B$33,'Inputs'!$B$29+'Inputs'!$B$31+'Inputs'!$B$32,'Inputs'!$B$30+'Inputs'!$B$31+'Inputs'!$B$32)/1000+'Inputs'!$B$21)+'Inputs'!$B$7)^2+('Inputs'!$B$6/2)^2)-(((633-43)*MAX('Inputs'!$B$33,'Inputs'!$B$29+'Inputs'!$B$31+'Inputs'!$B$32,'Inputs'!$B$30+'Inputs'!$B$31+'Inputs'!$B$32)/1000+'Inputs'!$B$21))/SQRT((((633-43)*MAX('Inputs'!$B$33,'Inputs'!$B$29+'Inputs'!$B$31+'Inputs'!$B$32,'Inputs'!$B$30+'Inputs'!$B$31+'Inputs'!$B$32)/1000+'Inputs'!$B$21))^2+('Inputs'!$B$6/2)^2)))-'Results'!C7*(1-'Inputs'!$B$24)*(0.5*((((633-43)*MAX('Inputs'!$B$33,'Inputs'!$B$29+'Inputs'!$B$31+'Inputs'!$B$32,'Inputs'!$B$30+'Inputs'!$B$31+'Inputs'!$B$32)/1000+'Inputs'!$B$21+'Inputs'!$B$7+'Inputs'!$B$10)+'Inputs'!$B$9)/SQRT((((633-43)*MAX('Inputs'!$B$33,'Inputs'!$B$29+'Inputs'!$B$31+'Inputs'!$B$32,'Inputs'!$B$30+'Inputs'!$B$31+'Inputs'!$B$32)/1000+'Inputs'!$B$21+'Inputs'!$B$7+'Inputs'!$B$10)+'Inputs'!$B$9)^2+('Inputs'!$B$8/2)^2)-(((633-43)*MAX('Inputs'!$B$33,'Inputs'!$B$29+'Inputs'!$B$31+'Inputs'!$B$32,'Inputs'!$B$30+'Inputs'!$B$31+'Inputs'!$B$32)/1000+'Inputs'!$B$21+'Inputs'!$B$7+'Inputs'!$B$10))/SQRT((((633-43)*MAX('Inputs'!$B$33,'Inputs'!$B$29+'Inputs'!$B$31+'Inputs'!$B$32,'Inputs'!$B$30+'Inputs'!$B$31+'Inputs'!$B$32)/1000+'Inputs'!$B$21+'Inputs'!$B$7+'Inputs'!$B$10))^2+('Inputs'!$B$8/2)^2))))*'Results'!$B$8))),"")</x:f>
        <x:v>2.6691844851479</x:v>
      </x:c>
      <x:c r="M633" t="n">
        <x:f>IF(AND(ISNUMBER('Results'!C7),ISNUMBER('Results'!B7),ISNUMBER('Results'!$B$8),ISNUMBER('Inputs'!$B$6),ISNUMBER('Inputs'!$B$7),ISNUMBER('Inputs'!$B$8),ISNUMBER('Inputs'!$B$9),ISNUMBER('Inputs'!$B$10),ISNUMBER('Inputs'!$B$21),ISNUMBER('Inputs'!$B$24),ISNUMBER('Inputs'!$B$28)),(('Results'!C7*(0.5*((((633-43)*MAX('Inputs'!$B$33,'Inputs'!$B$29+'Inputs'!$B$31+'Inputs'!$B$32,'Inputs'!$B$30+'Inputs'!$B$31+'Inputs'!$B$32)/1000+'Inputs'!$B$21)+'Inputs'!$B$9)/SQRT((((633-43)*MAX('Inputs'!$B$33,'Inputs'!$B$29+'Inputs'!$B$31+'Inputs'!$B$32,'Inputs'!$B$30+'Inputs'!$B$31+'Inputs'!$B$32)/1000+'Inputs'!$B$21)+'Inputs'!$B$9)^2+('Inputs'!$B$8/2)^2)-(((633-43)*MAX('Inputs'!$B$33,'Inputs'!$B$29+'Inputs'!$B$31+'Inputs'!$B$32,'Inputs'!$B$30+'Inputs'!$B$31+'Inputs'!$B$32)/1000+'Inputs'!$B$21))/SQRT((((633-43)*MAX('Inputs'!$B$33,'Inputs'!$B$29+'Inputs'!$B$31+'Inputs'!$B$32,'Inputs'!$B$30+'Inputs'!$B$31+'Inputs'!$B$32)/1000+'Inputs'!$B$21))^2+('Inputs'!$B$8/2)^2)))-'Results'!B7*(0.5*((((633-43)*MAX('Inputs'!$B$33,'Inputs'!$B$29+'Inputs'!$B$31+'Inputs'!$B$32,'Inputs'!$B$30+'Inputs'!$B$31+'Inputs'!$B$32)/1000+'Inputs'!$B$21+'Inputs'!$B$9+'Inputs'!$B$10)+'Inputs'!$B$7)/SQRT((((633-43)*MAX('Inputs'!$B$33,'Inputs'!$B$29+'Inputs'!$B$31+'Inputs'!$B$32,'Inputs'!$B$30+'Inputs'!$B$31+'Inputs'!$B$32)/1000+'Inputs'!$B$21+'Inputs'!$B$9+'Inputs'!$B$10)+'Inputs'!$B$7)^2+('Inputs'!$B$6/2)^2)-(((633-43)*MAX('Inputs'!$B$33,'Inputs'!$B$29+'Inputs'!$B$31+'Inputs'!$B$32,'Inputs'!$B$30+'Inputs'!$B$31+'Inputs'!$B$32)/1000+'Inputs'!$B$21+'Inputs'!$B$9+'Inputs'!$B$10))/SQRT((((633-43)*MAX('Inputs'!$B$33,'Inputs'!$B$29+'Inputs'!$B$31+'Inputs'!$B$32,'Inputs'!$B$30+'Inputs'!$B$31+'Inputs'!$B$32)/1000+'Inputs'!$B$21+'Inputs'!$B$9+'Inputs'!$B$10))^2+('Inputs'!$B$6/2)^2))))*'Results'!$B$8),"")</x:f>
        <x:v>2.176475075083045</x:v>
      </x:c>
      <x:c r="N633" t="n">
        <x:f>IF(AND(ISNUMBER('Results'!C7),ISNUMBER('Results'!B7),ISNUMBER('Results'!$B$8),ISNUMBER('Inputs'!$B$6),ISNUMBER('Inputs'!$B$7),ISNUMBER('Inputs'!$B$8),ISNUMBER('Inputs'!$B$9),ISNUMBER('Inputs'!$B$10),ISNUMBER('Inputs'!$B$21),ISNUMBER('Inputs'!$B$24),ISNUMBER('Inputs'!$B$28)),((('Results'!C7*(1-'Inputs'!$B$24)*(0.5*((((633-43)*MAX('Inputs'!$B$33,'Inputs'!$B$29+'Inputs'!$B$31+'Inputs'!$B$32,'Inputs'!$B$30+'Inputs'!$B$31+'Inputs'!$B$32)/1000+'Inputs'!$B$21)+'Inputs'!$B$9)/SQRT((((633-43)*MAX('Inputs'!$B$33,'Inputs'!$B$29+'Inputs'!$B$31+'Inputs'!$B$32,'Inputs'!$B$30+'Inputs'!$B$31+'Inputs'!$B$32)/1000+'Inputs'!$B$21)+'Inputs'!$B$9)^2+('Inputs'!$B$8/2)^2)-(((633-43)*MAX('Inputs'!$B$33,'Inputs'!$B$29+'Inputs'!$B$31+'Inputs'!$B$32,'Inputs'!$B$30+'Inputs'!$B$31+'Inputs'!$B$32)/1000+'Inputs'!$B$21))/SQRT((((633-43)*MAX('Inputs'!$B$33,'Inputs'!$B$29+'Inputs'!$B$31+'Inputs'!$B$32,'Inputs'!$B$30+'Inputs'!$B$31+'Inputs'!$B$32)/1000+'Inputs'!$B$21))^2+('Inputs'!$B$8/2)^2)))-'Results'!B7*(1+'Inputs'!$B$24)*(0.5*((((633-43)*MAX('Inputs'!$B$33,'Inputs'!$B$29+'Inputs'!$B$31+'Inputs'!$B$32,'Inputs'!$B$30+'Inputs'!$B$31+'Inputs'!$B$32)/1000+'Inputs'!$B$21+'Inputs'!$B$9+'Inputs'!$B$10)+'Inputs'!$B$7)/SQRT((((633-43)*MAX('Inputs'!$B$33,'Inputs'!$B$29+'Inputs'!$B$31+'Inputs'!$B$32,'Inputs'!$B$30+'Inputs'!$B$31+'Inputs'!$B$32)/1000+'Inputs'!$B$21+'Inputs'!$B$9+'Inputs'!$B$10)+'Inputs'!$B$7)^2+('Inputs'!$B$6/2)^2)-(((633-43)*MAX('Inputs'!$B$33,'Inputs'!$B$29+'Inputs'!$B$31+'Inputs'!$B$32,'Inputs'!$B$30+'Inputs'!$B$31+'Inputs'!$B$32)/1000+'Inputs'!$B$21+'Inputs'!$B$9+'Inputs'!$B$10))/SQRT((((633-43)*MAX('Inputs'!$B$33,'Inputs'!$B$29+'Inputs'!$B$31+'Inputs'!$B$32,'Inputs'!$B$30+'Inputs'!$B$31+'Inputs'!$B$32)/1000+'Inputs'!$B$21+'Inputs'!$B$9+'Inputs'!$B$10))^2+('Inputs'!$B$6/2)^2))))*'Results'!$B$8)-'Inputs'!$B$28*ABS((('Results'!C7*(1-'Inputs'!$B$24)*(0.5*((((633-43)*MAX('Inputs'!$B$33,'Inputs'!$B$29+'Inputs'!$B$31+'Inputs'!$B$32,'Inputs'!$B$30+'Inputs'!$B$31+'Inputs'!$B$32)/1000+'Inputs'!$B$21)+'Inputs'!$B$9)/SQRT((((633-43)*MAX('Inputs'!$B$33,'Inputs'!$B$29+'Inputs'!$B$31+'Inputs'!$B$32,'Inputs'!$B$30+'Inputs'!$B$31+'Inputs'!$B$32)/1000+'Inputs'!$B$21)+'Inputs'!$B$9)^2+('Inputs'!$B$8/2)^2)-(((633-43)*MAX('Inputs'!$B$33,'Inputs'!$B$29+'Inputs'!$B$31+'Inputs'!$B$32,'Inputs'!$B$30+'Inputs'!$B$31+'Inputs'!$B$32)/1000+'Inputs'!$B$21))/SQRT((((633-43)*MAX('Inputs'!$B$33,'Inputs'!$B$29+'Inputs'!$B$31+'Inputs'!$B$32,'Inputs'!$B$30+'Inputs'!$B$31+'Inputs'!$B$32)/1000+'Inputs'!$B$21))^2+('Inputs'!$B$8/2)^2)))-'Results'!B7*(1+'Inputs'!$B$24)*(0.5*((((633-43)*MAX('Inputs'!$B$33,'Inputs'!$B$29+'Inputs'!$B$31+'Inputs'!$B$32,'Inputs'!$B$30+'Inputs'!$B$31+'Inputs'!$B$32)/1000+'Inputs'!$B$21+'Inputs'!$B$9+'Inputs'!$B$10)+'Inputs'!$B$7)/SQRT((((633-43)*MAX('Inputs'!$B$33,'Inputs'!$B$29+'Inputs'!$B$31+'Inputs'!$B$32,'Inputs'!$B$30+'Inputs'!$B$31+'Inputs'!$B$32)/1000+'Inputs'!$B$21+'Inputs'!$B$9+'Inputs'!$B$10)+'Inputs'!$B$7)^2+('Inputs'!$B$6/2)^2)-(((633-43)*MAX('Inputs'!$B$33,'Inputs'!$B$29+'Inputs'!$B$31+'Inputs'!$B$32,'Inputs'!$B$30+'Inputs'!$B$31+'Inputs'!$B$32)/1000+'Inputs'!$B$21+'Inputs'!$B$9+'Inputs'!$B$10))/SQRT((((633-43)*MAX('Inputs'!$B$33,'Inputs'!$B$29+'Inputs'!$B$31+'Inputs'!$B$32,'Inputs'!$B$30+'Inputs'!$B$31+'Inputs'!$B$32)/1000+'Inputs'!$B$21+'Inputs'!$B$9+'Inputs'!$B$10))^2+('Inputs'!$B$6/2)^2))))*'Results'!$B$8))),"")</x:f>
        <x:v>1.8955133175350416</x:v>
      </x:c>
      <x:c r="O633" t="n">
        <x:f>IF(AND(ISNUMBER('Results'!C7),ISNUMBER('Results'!B7),ISNUMBER('Results'!$B$8),ISNUMBER('Inputs'!$B$6),ISNUMBER('Inputs'!$B$7),ISNUMBER('Inputs'!$B$8),ISNUMBER('Inputs'!$B$9),ISNUMBER('Inputs'!$B$10),ISNUMBER('Inputs'!$B$21),ISNUMBER('Inputs'!$B$24),ISNUMBER('Inputs'!$B$28)),((('Results'!C7*(1+'Inputs'!$B$24)*(0.5*((((633-43)*MAX('Inputs'!$B$33,'Inputs'!$B$29+'Inputs'!$B$31+'Inputs'!$B$32,'Inputs'!$B$30+'Inputs'!$B$31+'Inputs'!$B$32)/1000+'Inputs'!$B$21)+'Inputs'!$B$9)/SQRT((((633-43)*MAX('Inputs'!$B$33,'Inputs'!$B$29+'Inputs'!$B$31+'Inputs'!$B$32,'Inputs'!$B$30+'Inputs'!$B$31+'Inputs'!$B$32)/1000+'Inputs'!$B$21)+'Inputs'!$B$9)^2+('Inputs'!$B$8/2)^2)-(((633-43)*MAX('Inputs'!$B$33,'Inputs'!$B$29+'Inputs'!$B$31+'Inputs'!$B$32,'Inputs'!$B$30+'Inputs'!$B$31+'Inputs'!$B$32)/1000+'Inputs'!$B$21))/SQRT((((633-43)*MAX('Inputs'!$B$33,'Inputs'!$B$29+'Inputs'!$B$31+'Inputs'!$B$32,'Inputs'!$B$30+'Inputs'!$B$31+'Inputs'!$B$32)/1000+'Inputs'!$B$21))^2+('Inputs'!$B$8/2)^2)))-'Results'!B7*(1-'Inputs'!$B$24)*(0.5*((((633-43)*MAX('Inputs'!$B$33,'Inputs'!$B$29+'Inputs'!$B$31+'Inputs'!$B$32,'Inputs'!$B$30+'Inputs'!$B$31+'Inputs'!$B$32)/1000+'Inputs'!$B$21+'Inputs'!$B$9+'Inputs'!$B$10)+'Inputs'!$B$7)/SQRT((((633-43)*MAX('Inputs'!$B$33,'Inputs'!$B$29+'Inputs'!$B$31+'Inputs'!$B$32,'Inputs'!$B$30+'Inputs'!$B$31+'Inputs'!$B$32)/1000+'Inputs'!$B$21+'Inputs'!$B$9+'Inputs'!$B$10)+'Inputs'!$B$7)^2+('Inputs'!$B$6/2)^2)-(((633-43)*MAX('Inputs'!$B$33,'Inputs'!$B$29+'Inputs'!$B$31+'Inputs'!$B$32,'Inputs'!$B$30+'Inputs'!$B$31+'Inputs'!$B$32)/1000+'Inputs'!$B$21+'Inputs'!$B$9+'Inputs'!$B$10))/SQRT((((633-43)*MAX('Inputs'!$B$33,'Inputs'!$B$29+'Inputs'!$B$31+'Inputs'!$B$32,'Inputs'!$B$30+'Inputs'!$B$31+'Inputs'!$B$32)/1000+'Inputs'!$B$21+'Inputs'!$B$9+'Inputs'!$B$10))^2+('Inputs'!$B$6/2)^2))))*'Results'!$B$8)+'Inputs'!$B$28*ABS((('Results'!C7*(1+'Inputs'!$B$24)*(0.5*((((633-43)*MAX('Inputs'!$B$33,'Inputs'!$B$29+'Inputs'!$B$31+'Inputs'!$B$32,'Inputs'!$B$30+'Inputs'!$B$31+'Inputs'!$B$32)/1000+'Inputs'!$B$21)+'Inputs'!$B$9)/SQRT((((633-43)*MAX('Inputs'!$B$33,'Inputs'!$B$29+'Inputs'!$B$31+'Inputs'!$B$32,'Inputs'!$B$30+'Inputs'!$B$31+'Inputs'!$B$32)/1000+'Inputs'!$B$21)+'Inputs'!$B$9)^2+('Inputs'!$B$8/2)^2)-(((633-43)*MAX('Inputs'!$B$33,'Inputs'!$B$29+'Inputs'!$B$31+'Inputs'!$B$32,'Inputs'!$B$30+'Inputs'!$B$31+'Inputs'!$B$32)/1000+'Inputs'!$B$21))/SQRT((((633-43)*MAX('Inputs'!$B$33,'Inputs'!$B$29+'Inputs'!$B$31+'Inputs'!$B$32,'Inputs'!$B$30+'Inputs'!$B$31+'Inputs'!$B$32)/1000+'Inputs'!$B$21))^2+('Inputs'!$B$8/2)^2)))-'Results'!B7*(1-'Inputs'!$B$24)*(0.5*((((633-43)*MAX('Inputs'!$B$33,'Inputs'!$B$29+'Inputs'!$B$31+'Inputs'!$B$32,'Inputs'!$B$30+'Inputs'!$B$31+'Inputs'!$B$32)/1000+'Inputs'!$B$21+'Inputs'!$B$9+'Inputs'!$B$10)+'Inputs'!$B$7)/SQRT((((633-43)*MAX('Inputs'!$B$33,'Inputs'!$B$29+'Inputs'!$B$31+'Inputs'!$B$32,'Inputs'!$B$30+'Inputs'!$B$31+'Inputs'!$B$32)/1000+'Inputs'!$B$21+'Inputs'!$B$9+'Inputs'!$B$10)+'Inputs'!$B$7)^2+('Inputs'!$B$6/2)^2)-(((633-43)*MAX('Inputs'!$B$33,'Inputs'!$B$29+'Inputs'!$B$31+'Inputs'!$B$32,'Inputs'!$B$30+'Inputs'!$B$31+'Inputs'!$B$32)/1000+'Inputs'!$B$21+'Inputs'!$B$9+'Inputs'!$B$10))/SQRT((((633-43)*MAX('Inputs'!$B$33,'Inputs'!$B$29+'Inputs'!$B$31+'Inputs'!$B$32,'Inputs'!$B$30+'Inputs'!$B$31+'Inputs'!$B$32)/1000+'Inputs'!$B$21+'Inputs'!$B$9+'Inputs'!$B$10))^2+('Inputs'!$B$6/2)^2))))*'Results'!$B$8))),"")</x:f>
        <x:v>2.4755566225040853</x:v>
      </x:c>
      <x:c r="P633" t="n">
        <x:f>IF(AND(MAX(J633,J632)&gt;0,J633&gt;J632+0.00000001),1,0)</x:f>
        <x:v>0</x:v>
      </x:c>
      <x:c r="Q633" t="n">
        <x:f>IF(AND(MAX(K633,K632)&gt;0,K633&gt;K632+0.00000001),1,0)</x:f>
        <x:v>0</x:v>
      </x:c>
      <x:c r="R633" t="n">
        <x:f>IF(AND(MAX(L633,L632)&gt;0,L633&gt;L632+0.00000001),1,0)</x:f>
        <x:v>0</x:v>
      </x:c>
      <x:c r="S633" t="n">
        <x:f>IF(AND(MAX(M633,M632)&gt;0,M633&gt;M632+0.00000001),1,0)</x:f>
        <x:v>0</x:v>
      </x:c>
      <x:c r="T633" t="n">
        <x:f>IF(AND(MAX(N633,N632)&gt;0,N633&gt;N632+0.00000001),1,0)</x:f>
        <x:v>0</x:v>
      </x:c>
      <x:c r="U633" t="n">
        <x:f>IF(AND(MAX(O633,O632)&gt;0,O633&gt;O632+0.00000001),1,0)</x:f>
        <x:v>0</x:v>
      </x:c>
    </x:row>
    <x:row r="634">
      <x:c r="J634" t="n">
        <x:f>IF(AND(ISNUMBER('Results'!B7),ISNUMBER('Results'!C7),ISNUMBER('Results'!$B$8),ISNUMBER('Inputs'!$B$6),ISNUMBER('Inputs'!$B$7),ISNUMBER('Inputs'!$B$8),ISNUMBER('Inputs'!$B$9),ISNUMBER('Inputs'!$B$10),ISNUMBER('Inputs'!$B$21),ISNUMBER('Inputs'!$B$24),ISNUMBER('Inputs'!$B$28)),(('Results'!B7*(0.5*((((634-43)*MAX('Inputs'!$B$33,'Inputs'!$B$29+'Inputs'!$B$31+'Inputs'!$B$32,'Inputs'!$B$30+'Inputs'!$B$31+'Inputs'!$B$32)/1000+'Inputs'!$B$21)+'Inputs'!$B$7)/SQRT((((634-43)*MAX('Inputs'!$B$33,'Inputs'!$B$29+'Inputs'!$B$31+'Inputs'!$B$32,'Inputs'!$B$30+'Inputs'!$B$31+'Inputs'!$B$32)/1000+'Inputs'!$B$21)+'Inputs'!$B$7)^2+('Inputs'!$B$6/2)^2)-(((634-43)*MAX('Inputs'!$B$33,'Inputs'!$B$29+'Inputs'!$B$31+'Inputs'!$B$32,'Inputs'!$B$30+'Inputs'!$B$31+'Inputs'!$B$32)/1000+'Inputs'!$B$21))/SQRT((((634-43)*MAX('Inputs'!$B$33,'Inputs'!$B$29+'Inputs'!$B$31+'Inputs'!$B$32,'Inputs'!$B$30+'Inputs'!$B$31+'Inputs'!$B$32)/1000+'Inputs'!$B$21))^2+('Inputs'!$B$6/2)^2)))-'Results'!C7*(0.5*((((634-43)*MAX('Inputs'!$B$33,'Inputs'!$B$29+'Inputs'!$B$31+'Inputs'!$B$32,'Inputs'!$B$30+'Inputs'!$B$31+'Inputs'!$B$32)/1000+'Inputs'!$B$21+'Inputs'!$B$7+'Inputs'!$B$10)+'Inputs'!$B$9)/SQRT((((634-43)*MAX('Inputs'!$B$33,'Inputs'!$B$29+'Inputs'!$B$31+'Inputs'!$B$32,'Inputs'!$B$30+'Inputs'!$B$31+'Inputs'!$B$32)/1000+'Inputs'!$B$21+'Inputs'!$B$7+'Inputs'!$B$10)+'Inputs'!$B$9)^2+('Inputs'!$B$8/2)^2)-(((634-43)*MAX('Inputs'!$B$33,'Inputs'!$B$29+'Inputs'!$B$31+'Inputs'!$B$32,'Inputs'!$B$30+'Inputs'!$B$31+'Inputs'!$B$32)/1000+'Inputs'!$B$21+'Inputs'!$B$7+'Inputs'!$B$10))/SQRT((((634-43)*MAX('Inputs'!$B$33,'Inputs'!$B$29+'Inputs'!$B$31+'Inputs'!$B$32,'Inputs'!$B$30+'Inputs'!$B$31+'Inputs'!$B$32)/1000+'Inputs'!$B$21+'Inputs'!$B$7+'Inputs'!$B$10))^2+('Inputs'!$B$8/2)^2))))*'Results'!$B$8),"")</x:f>
        <x:v>2.3460623744261104</x:v>
      </x:c>
      <x:c r="K634" t="n">
        <x:f>IF(AND(ISNUMBER('Results'!B7),ISNUMBER('Results'!C7),ISNUMBER('Results'!$B$8),ISNUMBER('Inputs'!$B$6),ISNUMBER('Inputs'!$B$7),ISNUMBER('Inputs'!$B$8),ISNUMBER('Inputs'!$B$9),ISNUMBER('Inputs'!$B$10),ISNUMBER('Inputs'!$B$21),ISNUMBER('Inputs'!$B$24),ISNUMBER('Inputs'!$B$28)),((('Results'!B7*(1-'Inputs'!$B$24)*(0.5*((((634-43)*MAX('Inputs'!$B$33,'Inputs'!$B$29+'Inputs'!$B$31+'Inputs'!$B$32,'Inputs'!$B$30+'Inputs'!$B$31+'Inputs'!$B$32)/1000+'Inputs'!$B$21)+'Inputs'!$B$7)/SQRT((((634-43)*MAX('Inputs'!$B$33,'Inputs'!$B$29+'Inputs'!$B$31+'Inputs'!$B$32,'Inputs'!$B$30+'Inputs'!$B$31+'Inputs'!$B$32)/1000+'Inputs'!$B$21)+'Inputs'!$B$7)^2+('Inputs'!$B$6/2)^2)-(((634-43)*MAX('Inputs'!$B$33,'Inputs'!$B$29+'Inputs'!$B$31+'Inputs'!$B$32,'Inputs'!$B$30+'Inputs'!$B$31+'Inputs'!$B$32)/1000+'Inputs'!$B$21))/SQRT((((634-43)*MAX('Inputs'!$B$33,'Inputs'!$B$29+'Inputs'!$B$31+'Inputs'!$B$32,'Inputs'!$B$30+'Inputs'!$B$31+'Inputs'!$B$32)/1000+'Inputs'!$B$21))^2+('Inputs'!$B$6/2)^2)))-'Results'!C7*(1+'Inputs'!$B$24)*(0.5*((((634-43)*MAX('Inputs'!$B$33,'Inputs'!$B$29+'Inputs'!$B$31+'Inputs'!$B$32,'Inputs'!$B$30+'Inputs'!$B$31+'Inputs'!$B$32)/1000+'Inputs'!$B$21+'Inputs'!$B$7+'Inputs'!$B$10)+'Inputs'!$B$9)/SQRT((((634-43)*MAX('Inputs'!$B$33,'Inputs'!$B$29+'Inputs'!$B$31+'Inputs'!$B$32,'Inputs'!$B$30+'Inputs'!$B$31+'Inputs'!$B$32)/1000+'Inputs'!$B$21+'Inputs'!$B$7+'Inputs'!$B$10)+'Inputs'!$B$9)^2+('Inputs'!$B$8/2)^2)-(((634-43)*MAX('Inputs'!$B$33,'Inputs'!$B$29+'Inputs'!$B$31+'Inputs'!$B$32,'Inputs'!$B$30+'Inputs'!$B$31+'Inputs'!$B$32)/1000+'Inputs'!$B$21+'Inputs'!$B$7+'Inputs'!$B$10))/SQRT((((634-43)*MAX('Inputs'!$B$33,'Inputs'!$B$29+'Inputs'!$B$31+'Inputs'!$B$32,'Inputs'!$B$30+'Inputs'!$B$31+'Inputs'!$B$32)/1000+'Inputs'!$B$21+'Inputs'!$B$7+'Inputs'!$B$10))^2+('Inputs'!$B$8/2)^2))))*'Results'!$B$8)-'Inputs'!$B$28*ABS((('Results'!B7*(1-'Inputs'!$B$24)*(0.5*((((634-43)*MAX('Inputs'!$B$33,'Inputs'!$B$29+'Inputs'!$B$31+'Inputs'!$B$32,'Inputs'!$B$30+'Inputs'!$B$31+'Inputs'!$B$32)/1000+'Inputs'!$B$21)+'Inputs'!$B$7)/SQRT((((634-43)*MAX('Inputs'!$B$33,'Inputs'!$B$29+'Inputs'!$B$31+'Inputs'!$B$32,'Inputs'!$B$30+'Inputs'!$B$31+'Inputs'!$B$32)/1000+'Inputs'!$B$21)+'Inputs'!$B$7)^2+('Inputs'!$B$6/2)^2)-(((634-43)*MAX('Inputs'!$B$33,'Inputs'!$B$29+'Inputs'!$B$31+'Inputs'!$B$32,'Inputs'!$B$30+'Inputs'!$B$31+'Inputs'!$B$32)/1000+'Inputs'!$B$21))/SQRT((((634-43)*MAX('Inputs'!$B$33,'Inputs'!$B$29+'Inputs'!$B$31+'Inputs'!$B$32,'Inputs'!$B$30+'Inputs'!$B$31+'Inputs'!$B$32)/1000+'Inputs'!$B$21))^2+('Inputs'!$B$6/2)^2)))-'Results'!C7*(1+'Inputs'!$B$24)*(0.5*((((634-43)*MAX('Inputs'!$B$33,'Inputs'!$B$29+'Inputs'!$B$31+'Inputs'!$B$32,'Inputs'!$B$30+'Inputs'!$B$31+'Inputs'!$B$32)/1000+'Inputs'!$B$21+'Inputs'!$B$7+'Inputs'!$B$10)+'Inputs'!$B$9)/SQRT((((634-43)*MAX('Inputs'!$B$33,'Inputs'!$B$29+'Inputs'!$B$31+'Inputs'!$B$32,'Inputs'!$B$30+'Inputs'!$B$31+'Inputs'!$B$32)/1000+'Inputs'!$B$21+'Inputs'!$B$7+'Inputs'!$B$10)+'Inputs'!$B$9)^2+('Inputs'!$B$8/2)^2)-(((634-43)*MAX('Inputs'!$B$33,'Inputs'!$B$29+'Inputs'!$B$31+'Inputs'!$B$32,'Inputs'!$B$30+'Inputs'!$B$31+'Inputs'!$B$32)/1000+'Inputs'!$B$21+'Inputs'!$B$7+'Inputs'!$B$10))/SQRT((((634-43)*MAX('Inputs'!$B$33,'Inputs'!$B$29+'Inputs'!$B$31+'Inputs'!$B$32,'Inputs'!$B$30+'Inputs'!$B$31+'Inputs'!$B$32)/1000+'Inputs'!$B$21+'Inputs'!$B$7+'Inputs'!$B$10))^2+('Inputs'!$B$8/2)^2))))*'Results'!$B$8))),"")</x:f>
        <x:v>2.0565382749301344</x:v>
      </x:c>
      <x:c r="L634" t="n">
        <x:f>IF(AND(ISNUMBER('Results'!B7),ISNUMBER('Results'!C7),ISNUMBER('Results'!$B$8),ISNUMBER('Inputs'!$B$6),ISNUMBER('Inputs'!$B$7),ISNUMBER('Inputs'!$B$8),ISNUMBER('Inputs'!$B$9),ISNUMBER('Inputs'!$B$10),ISNUMBER('Inputs'!$B$21),ISNUMBER('Inputs'!$B$24),ISNUMBER('Inputs'!$B$28)),((('Results'!B7*(1+'Inputs'!$B$24)*(0.5*((((634-43)*MAX('Inputs'!$B$33,'Inputs'!$B$29+'Inputs'!$B$31+'Inputs'!$B$32,'Inputs'!$B$30+'Inputs'!$B$31+'Inputs'!$B$32)/1000+'Inputs'!$B$21)+'Inputs'!$B$7)/SQRT((((634-43)*MAX('Inputs'!$B$33,'Inputs'!$B$29+'Inputs'!$B$31+'Inputs'!$B$32,'Inputs'!$B$30+'Inputs'!$B$31+'Inputs'!$B$32)/1000+'Inputs'!$B$21)+'Inputs'!$B$7)^2+('Inputs'!$B$6/2)^2)-(((634-43)*MAX('Inputs'!$B$33,'Inputs'!$B$29+'Inputs'!$B$31+'Inputs'!$B$32,'Inputs'!$B$30+'Inputs'!$B$31+'Inputs'!$B$32)/1000+'Inputs'!$B$21))/SQRT((((634-43)*MAX('Inputs'!$B$33,'Inputs'!$B$29+'Inputs'!$B$31+'Inputs'!$B$32,'Inputs'!$B$30+'Inputs'!$B$31+'Inputs'!$B$32)/1000+'Inputs'!$B$21))^2+('Inputs'!$B$6/2)^2)))-'Results'!C7*(1-'Inputs'!$B$24)*(0.5*((((634-43)*MAX('Inputs'!$B$33,'Inputs'!$B$29+'Inputs'!$B$31+'Inputs'!$B$32,'Inputs'!$B$30+'Inputs'!$B$31+'Inputs'!$B$32)/1000+'Inputs'!$B$21+'Inputs'!$B$7+'Inputs'!$B$10)+'Inputs'!$B$9)/SQRT((((634-43)*MAX('Inputs'!$B$33,'Inputs'!$B$29+'Inputs'!$B$31+'Inputs'!$B$32,'Inputs'!$B$30+'Inputs'!$B$31+'Inputs'!$B$32)/1000+'Inputs'!$B$21+'Inputs'!$B$7+'Inputs'!$B$10)+'Inputs'!$B$9)^2+('Inputs'!$B$8/2)^2)-(((634-43)*MAX('Inputs'!$B$33,'Inputs'!$B$29+'Inputs'!$B$31+'Inputs'!$B$32,'Inputs'!$B$30+'Inputs'!$B$31+'Inputs'!$B$32)/1000+'Inputs'!$B$21+'Inputs'!$B$7+'Inputs'!$B$10))/SQRT((((634-43)*MAX('Inputs'!$B$33,'Inputs'!$B$29+'Inputs'!$B$31+'Inputs'!$B$32,'Inputs'!$B$30+'Inputs'!$B$31+'Inputs'!$B$32)/1000+'Inputs'!$B$21+'Inputs'!$B$7+'Inputs'!$B$10))^2+('Inputs'!$B$8/2)^2))))*'Results'!$B$8)+'Inputs'!$B$28*ABS((('Results'!B7*(1+'Inputs'!$B$24)*(0.5*((((634-43)*MAX('Inputs'!$B$33,'Inputs'!$B$29+'Inputs'!$B$31+'Inputs'!$B$32,'Inputs'!$B$30+'Inputs'!$B$31+'Inputs'!$B$32)/1000+'Inputs'!$B$21)+'Inputs'!$B$7)/SQRT((((634-43)*MAX('Inputs'!$B$33,'Inputs'!$B$29+'Inputs'!$B$31+'Inputs'!$B$32,'Inputs'!$B$30+'Inputs'!$B$31+'Inputs'!$B$32)/1000+'Inputs'!$B$21)+'Inputs'!$B$7)^2+('Inputs'!$B$6/2)^2)-(((634-43)*MAX('Inputs'!$B$33,'Inputs'!$B$29+'Inputs'!$B$31+'Inputs'!$B$32,'Inputs'!$B$30+'Inputs'!$B$31+'Inputs'!$B$32)/1000+'Inputs'!$B$21))/SQRT((((634-43)*MAX('Inputs'!$B$33,'Inputs'!$B$29+'Inputs'!$B$31+'Inputs'!$B$32,'Inputs'!$B$30+'Inputs'!$B$31+'Inputs'!$B$32)/1000+'Inputs'!$B$21))^2+('Inputs'!$B$6/2)^2)))-'Results'!C7*(1-'Inputs'!$B$24)*(0.5*((((634-43)*MAX('Inputs'!$B$33,'Inputs'!$B$29+'Inputs'!$B$31+'Inputs'!$B$32,'Inputs'!$B$30+'Inputs'!$B$31+'Inputs'!$B$32)/1000+'Inputs'!$B$21+'Inputs'!$B$7+'Inputs'!$B$10)+'Inputs'!$B$9)/SQRT((((634-43)*MAX('Inputs'!$B$33,'Inputs'!$B$29+'Inputs'!$B$31+'Inputs'!$B$32,'Inputs'!$B$30+'Inputs'!$B$31+'Inputs'!$B$32)/1000+'Inputs'!$B$21+'Inputs'!$B$7+'Inputs'!$B$10)+'Inputs'!$B$9)^2+('Inputs'!$B$8/2)^2)-(((634-43)*MAX('Inputs'!$B$33,'Inputs'!$B$29+'Inputs'!$B$31+'Inputs'!$B$32,'Inputs'!$B$30+'Inputs'!$B$31+'Inputs'!$B$32)/1000+'Inputs'!$B$21+'Inputs'!$B$7+'Inputs'!$B$10))/SQRT((((634-43)*MAX('Inputs'!$B$33,'Inputs'!$B$29+'Inputs'!$B$31+'Inputs'!$B$32,'Inputs'!$B$30+'Inputs'!$B$31+'Inputs'!$B$32)/1000+'Inputs'!$B$21+'Inputs'!$B$7+'Inputs'!$B$10))^2+('Inputs'!$B$8/2)^2))))*'Results'!$B$8))),"")</x:f>
        <x:v>2.6537149982141566</x:v>
      </x:c>
      <x:c r="M634" t="n">
        <x:f>IF(AND(ISNUMBER('Results'!C7),ISNUMBER('Results'!B7),ISNUMBER('Results'!$B$8),ISNUMBER('Inputs'!$B$6),ISNUMBER('Inputs'!$B$7),ISNUMBER('Inputs'!$B$8),ISNUMBER('Inputs'!$B$9),ISNUMBER('Inputs'!$B$10),ISNUMBER('Inputs'!$B$21),ISNUMBER('Inputs'!$B$24),ISNUMBER('Inputs'!$B$28)),(('Results'!C7*(0.5*((((634-43)*MAX('Inputs'!$B$33,'Inputs'!$B$29+'Inputs'!$B$31+'Inputs'!$B$32,'Inputs'!$B$30+'Inputs'!$B$31+'Inputs'!$B$32)/1000+'Inputs'!$B$21)+'Inputs'!$B$9)/SQRT((((634-43)*MAX('Inputs'!$B$33,'Inputs'!$B$29+'Inputs'!$B$31+'Inputs'!$B$32,'Inputs'!$B$30+'Inputs'!$B$31+'Inputs'!$B$32)/1000+'Inputs'!$B$21)+'Inputs'!$B$9)^2+('Inputs'!$B$8/2)^2)-(((634-43)*MAX('Inputs'!$B$33,'Inputs'!$B$29+'Inputs'!$B$31+'Inputs'!$B$32,'Inputs'!$B$30+'Inputs'!$B$31+'Inputs'!$B$32)/1000+'Inputs'!$B$21))/SQRT((((634-43)*MAX('Inputs'!$B$33,'Inputs'!$B$29+'Inputs'!$B$31+'Inputs'!$B$32,'Inputs'!$B$30+'Inputs'!$B$31+'Inputs'!$B$32)/1000+'Inputs'!$B$21))^2+('Inputs'!$B$8/2)^2)))-'Results'!B7*(0.5*((((634-43)*MAX('Inputs'!$B$33,'Inputs'!$B$29+'Inputs'!$B$31+'Inputs'!$B$32,'Inputs'!$B$30+'Inputs'!$B$31+'Inputs'!$B$32)/1000+'Inputs'!$B$21+'Inputs'!$B$9+'Inputs'!$B$10)+'Inputs'!$B$7)/SQRT((((634-43)*MAX('Inputs'!$B$33,'Inputs'!$B$29+'Inputs'!$B$31+'Inputs'!$B$32,'Inputs'!$B$30+'Inputs'!$B$31+'Inputs'!$B$32)/1000+'Inputs'!$B$21+'Inputs'!$B$9+'Inputs'!$B$10)+'Inputs'!$B$7)^2+('Inputs'!$B$6/2)^2)-(((634-43)*MAX('Inputs'!$B$33,'Inputs'!$B$29+'Inputs'!$B$31+'Inputs'!$B$32,'Inputs'!$B$30+'Inputs'!$B$31+'Inputs'!$B$32)/1000+'Inputs'!$B$21+'Inputs'!$B$9+'Inputs'!$B$10))/SQRT((((634-43)*MAX('Inputs'!$B$33,'Inputs'!$B$29+'Inputs'!$B$31+'Inputs'!$B$32,'Inputs'!$B$30+'Inputs'!$B$31+'Inputs'!$B$32)/1000+'Inputs'!$B$21+'Inputs'!$B$9+'Inputs'!$B$10))^2+('Inputs'!$B$6/2)^2))))*'Results'!$B$8),"")</x:f>
        <x:v>2.1634060703275257</x:v>
      </x:c>
      <x:c r="N634" t="n">
        <x:f>IF(AND(ISNUMBER('Results'!C7),ISNUMBER('Results'!B7),ISNUMBER('Results'!$B$8),ISNUMBER('Inputs'!$B$6),ISNUMBER('Inputs'!$B$7),ISNUMBER('Inputs'!$B$8),ISNUMBER('Inputs'!$B$9),ISNUMBER('Inputs'!$B$10),ISNUMBER('Inputs'!$B$21),ISNUMBER('Inputs'!$B$24),ISNUMBER('Inputs'!$B$28)),((('Results'!C7*(1-'Inputs'!$B$24)*(0.5*((((634-43)*MAX('Inputs'!$B$33,'Inputs'!$B$29+'Inputs'!$B$31+'Inputs'!$B$32,'Inputs'!$B$30+'Inputs'!$B$31+'Inputs'!$B$32)/1000+'Inputs'!$B$21)+'Inputs'!$B$9)/SQRT((((634-43)*MAX('Inputs'!$B$33,'Inputs'!$B$29+'Inputs'!$B$31+'Inputs'!$B$32,'Inputs'!$B$30+'Inputs'!$B$31+'Inputs'!$B$32)/1000+'Inputs'!$B$21)+'Inputs'!$B$9)^2+('Inputs'!$B$8/2)^2)-(((634-43)*MAX('Inputs'!$B$33,'Inputs'!$B$29+'Inputs'!$B$31+'Inputs'!$B$32,'Inputs'!$B$30+'Inputs'!$B$31+'Inputs'!$B$32)/1000+'Inputs'!$B$21))/SQRT((((634-43)*MAX('Inputs'!$B$33,'Inputs'!$B$29+'Inputs'!$B$31+'Inputs'!$B$32,'Inputs'!$B$30+'Inputs'!$B$31+'Inputs'!$B$32)/1000+'Inputs'!$B$21))^2+('Inputs'!$B$8/2)^2)))-'Results'!B7*(1+'Inputs'!$B$24)*(0.5*((((634-43)*MAX('Inputs'!$B$33,'Inputs'!$B$29+'Inputs'!$B$31+'Inputs'!$B$32,'Inputs'!$B$30+'Inputs'!$B$31+'Inputs'!$B$32)/1000+'Inputs'!$B$21+'Inputs'!$B$9+'Inputs'!$B$10)+'Inputs'!$B$7)/SQRT((((634-43)*MAX('Inputs'!$B$33,'Inputs'!$B$29+'Inputs'!$B$31+'Inputs'!$B$32,'Inputs'!$B$30+'Inputs'!$B$31+'Inputs'!$B$32)/1000+'Inputs'!$B$21+'Inputs'!$B$9+'Inputs'!$B$10)+'Inputs'!$B$7)^2+('Inputs'!$B$6/2)^2)-(((634-43)*MAX('Inputs'!$B$33,'Inputs'!$B$29+'Inputs'!$B$31+'Inputs'!$B$32,'Inputs'!$B$30+'Inputs'!$B$31+'Inputs'!$B$32)/1000+'Inputs'!$B$21+'Inputs'!$B$9+'Inputs'!$B$10))/SQRT((((634-43)*MAX('Inputs'!$B$33,'Inputs'!$B$29+'Inputs'!$B$31+'Inputs'!$B$32,'Inputs'!$B$30+'Inputs'!$B$31+'Inputs'!$B$32)/1000+'Inputs'!$B$21+'Inputs'!$B$9+'Inputs'!$B$10))^2+('Inputs'!$B$6/2)^2))))*'Results'!$B$8)-'Inputs'!$B$28*ABS((('Results'!C7*(1-'Inputs'!$B$24)*(0.5*((((634-43)*MAX('Inputs'!$B$33,'Inputs'!$B$29+'Inputs'!$B$31+'Inputs'!$B$32,'Inputs'!$B$30+'Inputs'!$B$31+'Inputs'!$B$32)/1000+'Inputs'!$B$21)+'Inputs'!$B$9)/SQRT((((634-43)*MAX('Inputs'!$B$33,'Inputs'!$B$29+'Inputs'!$B$31+'Inputs'!$B$32,'Inputs'!$B$30+'Inputs'!$B$31+'Inputs'!$B$32)/1000+'Inputs'!$B$21)+'Inputs'!$B$9)^2+('Inputs'!$B$8/2)^2)-(((634-43)*MAX('Inputs'!$B$33,'Inputs'!$B$29+'Inputs'!$B$31+'Inputs'!$B$32,'Inputs'!$B$30+'Inputs'!$B$31+'Inputs'!$B$32)/1000+'Inputs'!$B$21))/SQRT((((634-43)*MAX('Inputs'!$B$33,'Inputs'!$B$29+'Inputs'!$B$31+'Inputs'!$B$32,'Inputs'!$B$30+'Inputs'!$B$31+'Inputs'!$B$32)/1000+'Inputs'!$B$21))^2+('Inputs'!$B$8/2)^2)))-'Results'!B7*(1+'Inputs'!$B$24)*(0.5*((((634-43)*MAX('Inputs'!$B$33,'Inputs'!$B$29+'Inputs'!$B$31+'Inputs'!$B$32,'Inputs'!$B$30+'Inputs'!$B$31+'Inputs'!$B$32)/1000+'Inputs'!$B$21+'Inputs'!$B$9+'Inputs'!$B$10)+'Inputs'!$B$7)/SQRT((((634-43)*MAX('Inputs'!$B$33,'Inputs'!$B$29+'Inputs'!$B$31+'Inputs'!$B$32,'Inputs'!$B$30+'Inputs'!$B$31+'Inputs'!$B$32)/1000+'Inputs'!$B$21+'Inputs'!$B$9+'Inputs'!$B$10)+'Inputs'!$B$7)^2+('Inputs'!$B$6/2)^2)-(((634-43)*MAX('Inputs'!$B$33,'Inputs'!$B$29+'Inputs'!$B$31+'Inputs'!$B$32,'Inputs'!$B$30+'Inputs'!$B$31+'Inputs'!$B$32)/1000+'Inputs'!$B$21+'Inputs'!$B$9+'Inputs'!$B$10))/SQRT((((634-43)*MAX('Inputs'!$B$33,'Inputs'!$B$29+'Inputs'!$B$31+'Inputs'!$B$32,'Inputs'!$B$30+'Inputs'!$B$31+'Inputs'!$B$32)/1000+'Inputs'!$B$21+'Inputs'!$B$9+'Inputs'!$B$10))^2+('Inputs'!$B$6/2)^2))))*'Results'!$B$8))),"")</x:f>
        <x:v>1.8838802395763823</x:v>
      </x:c>
      <x:c r="O634" t="n">
        <x:f>IF(AND(ISNUMBER('Results'!C7),ISNUMBER('Results'!B7),ISNUMBER('Results'!$B$8),ISNUMBER('Inputs'!$B$6),ISNUMBER('Inputs'!$B$7),ISNUMBER('Inputs'!$B$8),ISNUMBER('Inputs'!$B$9),ISNUMBER('Inputs'!$B$10),ISNUMBER('Inputs'!$B$21),ISNUMBER('Inputs'!$B$24),ISNUMBER('Inputs'!$B$28)),((('Results'!C7*(1+'Inputs'!$B$24)*(0.5*((((634-43)*MAX('Inputs'!$B$33,'Inputs'!$B$29+'Inputs'!$B$31+'Inputs'!$B$32,'Inputs'!$B$30+'Inputs'!$B$31+'Inputs'!$B$32)/1000+'Inputs'!$B$21)+'Inputs'!$B$9)/SQRT((((634-43)*MAX('Inputs'!$B$33,'Inputs'!$B$29+'Inputs'!$B$31+'Inputs'!$B$32,'Inputs'!$B$30+'Inputs'!$B$31+'Inputs'!$B$32)/1000+'Inputs'!$B$21)+'Inputs'!$B$9)^2+('Inputs'!$B$8/2)^2)-(((634-43)*MAX('Inputs'!$B$33,'Inputs'!$B$29+'Inputs'!$B$31+'Inputs'!$B$32,'Inputs'!$B$30+'Inputs'!$B$31+'Inputs'!$B$32)/1000+'Inputs'!$B$21))/SQRT((((634-43)*MAX('Inputs'!$B$33,'Inputs'!$B$29+'Inputs'!$B$31+'Inputs'!$B$32,'Inputs'!$B$30+'Inputs'!$B$31+'Inputs'!$B$32)/1000+'Inputs'!$B$21))^2+('Inputs'!$B$8/2)^2)))-'Results'!B7*(1-'Inputs'!$B$24)*(0.5*((((634-43)*MAX('Inputs'!$B$33,'Inputs'!$B$29+'Inputs'!$B$31+'Inputs'!$B$32,'Inputs'!$B$30+'Inputs'!$B$31+'Inputs'!$B$32)/1000+'Inputs'!$B$21+'Inputs'!$B$9+'Inputs'!$B$10)+'Inputs'!$B$7)/SQRT((((634-43)*MAX('Inputs'!$B$33,'Inputs'!$B$29+'Inputs'!$B$31+'Inputs'!$B$32,'Inputs'!$B$30+'Inputs'!$B$31+'Inputs'!$B$32)/1000+'Inputs'!$B$21+'Inputs'!$B$9+'Inputs'!$B$10)+'Inputs'!$B$7)^2+('Inputs'!$B$6/2)^2)-(((634-43)*MAX('Inputs'!$B$33,'Inputs'!$B$29+'Inputs'!$B$31+'Inputs'!$B$32,'Inputs'!$B$30+'Inputs'!$B$31+'Inputs'!$B$32)/1000+'Inputs'!$B$21+'Inputs'!$B$9+'Inputs'!$B$10))/SQRT((((634-43)*MAX('Inputs'!$B$33,'Inputs'!$B$29+'Inputs'!$B$31+'Inputs'!$B$32,'Inputs'!$B$30+'Inputs'!$B$31+'Inputs'!$B$32)/1000+'Inputs'!$B$21+'Inputs'!$B$9+'Inputs'!$B$10))^2+('Inputs'!$B$6/2)^2))))*'Results'!$B$8)+'Inputs'!$B$28*ABS((('Results'!C7*(1+'Inputs'!$B$24)*(0.5*((((634-43)*MAX('Inputs'!$B$33,'Inputs'!$B$29+'Inputs'!$B$31+'Inputs'!$B$32,'Inputs'!$B$30+'Inputs'!$B$31+'Inputs'!$B$32)/1000+'Inputs'!$B$21)+'Inputs'!$B$9)/SQRT((((634-43)*MAX('Inputs'!$B$33,'Inputs'!$B$29+'Inputs'!$B$31+'Inputs'!$B$32,'Inputs'!$B$30+'Inputs'!$B$31+'Inputs'!$B$32)/1000+'Inputs'!$B$21)+'Inputs'!$B$9)^2+('Inputs'!$B$8/2)^2)-(((634-43)*MAX('Inputs'!$B$33,'Inputs'!$B$29+'Inputs'!$B$31+'Inputs'!$B$32,'Inputs'!$B$30+'Inputs'!$B$31+'Inputs'!$B$32)/1000+'Inputs'!$B$21))/SQRT((((634-43)*MAX('Inputs'!$B$33,'Inputs'!$B$29+'Inputs'!$B$31+'Inputs'!$B$32,'Inputs'!$B$30+'Inputs'!$B$31+'Inputs'!$B$32)/1000+'Inputs'!$B$21))^2+('Inputs'!$B$8/2)^2)))-'Results'!B7*(1-'Inputs'!$B$24)*(0.5*((((634-43)*MAX('Inputs'!$B$33,'Inputs'!$B$29+'Inputs'!$B$31+'Inputs'!$B$32,'Inputs'!$B$30+'Inputs'!$B$31+'Inputs'!$B$32)/1000+'Inputs'!$B$21+'Inputs'!$B$9+'Inputs'!$B$10)+'Inputs'!$B$7)/SQRT((((634-43)*MAX('Inputs'!$B$33,'Inputs'!$B$29+'Inputs'!$B$31+'Inputs'!$B$32,'Inputs'!$B$30+'Inputs'!$B$31+'Inputs'!$B$32)/1000+'Inputs'!$B$21+'Inputs'!$B$9+'Inputs'!$B$10)+'Inputs'!$B$7)^2+('Inputs'!$B$6/2)^2)-(((634-43)*MAX('Inputs'!$B$33,'Inputs'!$B$29+'Inputs'!$B$31+'Inputs'!$B$32,'Inputs'!$B$30+'Inputs'!$B$31+'Inputs'!$B$32)/1000+'Inputs'!$B$21+'Inputs'!$B$9+'Inputs'!$B$10))/SQRT((((634-43)*MAX('Inputs'!$B$33,'Inputs'!$B$29+'Inputs'!$B$31+'Inputs'!$B$32,'Inputs'!$B$30+'Inputs'!$B$31+'Inputs'!$B$32)/1000+'Inputs'!$B$21+'Inputs'!$B$9+'Inputs'!$B$10))^2+('Inputs'!$B$6/2)^2))))*'Results'!$B$8))),"")</x:f>
        <x:v>2.4609693249981195</x:v>
      </x:c>
      <x:c r="P634" t="n">
        <x:f>IF(AND(MAX(J634,J633)&gt;0,J634&gt;J633+0.00000001),1,0)</x:f>
        <x:v>0</x:v>
      </x:c>
      <x:c r="Q634" t="n">
        <x:f>IF(AND(MAX(K634,K633)&gt;0,K634&gt;K633+0.00000001),1,0)</x:f>
        <x:v>0</x:v>
      </x:c>
      <x:c r="R634" t="n">
        <x:f>IF(AND(MAX(L634,L633)&gt;0,L634&gt;L633+0.00000001),1,0)</x:f>
        <x:v>0</x:v>
      </x:c>
      <x:c r="S634" t="n">
        <x:f>IF(AND(MAX(M634,M633)&gt;0,M634&gt;M633+0.00000001),1,0)</x:f>
        <x:v>0</x:v>
      </x:c>
      <x:c r="T634" t="n">
        <x:f>IF(AND(MAX(N634,N633)&gt;0,N634&gt;N633+0.00000001),1,0)</x:f>
        <x:v>0</x:v>
      </x:c>
      <x:c r="U634" t="n">
        <x:f>IF(AND(MAX(O634,O633)&gt;0,O634&gt;O633+0.00000001),1,0)</x:f>
        <x:v>0</x:v>
      </x:c>
    </x:row>
    <x:row r="635">
      <x:c r="J635" t="n">
        <x:f>IF(AND(ISNUMBER('Results'!B7),ISNUMBER('Results'!C7),ISNUMBER('Results'!$B$8),ISNUMBER('Inputs'!$B$6),ISNUMBER('Inputs'!$B$7),ISNUMBER('Inputs'!$B$8),ISNUMBER('Inputs'!$B$9),ISNUMBER('Inputs'!$B$10),ISNUMBER('Inputs'!$B$21),ISNUMBER('Inputs'!$B$24),ISNUMBER('Inputs'!$B$28)),(('Results'!B7*(0.5*((((635-43)*MAX('Inputs'!$B$33,'Inputs'!$B$29+'Inputs'!$B$31+'Inputs'!$B$32,'Inputs'!$B$30+'Inputs'!$B$31+'Inputs'!$B$32)/1000+'Inputs'!$B$21)+'Inputs'!$B$7)/SQRT((((635-43)*MAX('Inputs'!$B$33,'Inputs'!$B$29+'Inputs'!$B$31+'Inputs'!$B$32,'Inputs'!$B$30+'Inputs'!$B$31+'Inputs'!$B$32)/1000+'Inputs'!$B$21)+'Inputs'!$B$7)^2+('Inputs'!$B$6/2)^2)-(((635-43)*MAX('Inputs'!$B$33,'Inputs'!$B$29+'Inputs'!$B$31+'Inputs'!$B$32,'Inputs'!$B$30+'Inputs'!$B$31+'Inputs'!$B$32)/1000+'Inputs'!$B$21))/SQRT((((635-43)*MAX('Inputs'!$B$33,'Inputs'!$B$29+'Inputs'!$B$31+'Inputs'!$B$32,'Inputs'!$B$30+'Inputs'!$B$31+'Inputs'!$B$32)/1000+'Inputs'!$B$21))^2+('Inputs'!$B$6/2)^2)))-'Results'!C7*(0.5*((((635-43)*MAX('Inputs'!$B$33,'Inputs'!$B$29+'Inputs'!$B$31+'Inputs'!$B$32,'Inputs'!$B$30+'Inputs'!$B$31+'Inputs'!$B$32)/1000+'Inputs'!$B$21+'Inputs'!$B$7+'Inputs'!$B$10)+'Inputs'!$B$9)/SQRT((((635-43)*MAX('Inputs'!$B$33,'Inputs'!$B$29+'Inputs'!$B$31+'Inputs'!$B$32,'Inputs'!$B$30+'Inputs'!$B$31+'Inputs'!$B$32)/1000+'Inputs'!$B$21+'Inputs'!$B$7+'Inputs'!$B$10)+'Inputs'!$B$9)^2+('Inputs'!$B$8/2)^2)-(((635-43)*MAX('Inputs'!$B$33,'Inputs'!$B$29+'Inputs'!$B$31+'Inputs'!$B$32,'Inputs'!$B$30+'Inputs'!$B$31+'Inputs'!$B$32)/1000+'Inputs'!$B$21+'Inputs'!$B$7+'Inputs'!$B$10))/SQRT((((635-43)*MAX('Inputs'!$B$33,'Inputs'!$B$29+'Inputs'!$B$31+'Inputs'!$B$32,'Inputs'!$B$30+'Inputs'!$B$31+'Inputs'!$B$32)/1000+'Inputs'!$B$21+'Inputs'!$B$7+'Inputs'!$B$10))^2+('Inputs'!$B$8/2)^2))))*'Results'!$B$8),"")</x:f>
        <x:v>2.332261140424304</x:v>
      </x:c>
      <x:c r="K635" t="n">
        <x:f>IF(AND(ISNUMBER('Results'!B7),ISNUMBER('Results'!C7),ISNUMBER('Results'!$B$8),ISNUMBER('Inputs'!$B$6),ISNUMBER('Inputs'!$B$7),ISNUMBER('Inputs'!$B$8),ISNUMBER('Inputs'!$B$9),ISNUMBER('Inputs'!$B$10),ISNUMBER('Inputs'!$B$21),ISNUMBER('Inputs'!$B$24),ISNUMBER('Inputs'!$B$28)),((('Results'!B7*(1-'Inputs'!$B$24)*(0.5*((((635-43)*MAX('Inputs'!$B$33,'Inputs'!$B$29+'Inputs'!$B$31+'Inputs'!$B$32,'Inputs'!$B$30+'Inputs'!$B$31+'Inputs'!$B$32)/1000+'Inputs'!$B$21)+'Inputs'!$B$7)/SQRT((((635-43)*MAX('Inputs'!$B$33,'Inputs'!$B$29+'Inputs'!$B$31+'Inputs'!$B$32,'Inputs'!$B$30+'Inputs'!$B$31+'Inputs'!$B$32)/1000+'Inputs'!$B$21)+'Inputs'!$B$7)^2+('Inputs'!$B$6/2)^2)-(((635-43)*MAX('Inputs'!$B$33,'Inputs'!$B$29+'Inputs'!$B$31+'Inputs'!$B$32,'Inputs'!$B$30+'Inputs'!$B$31+'Inputs'!$B$32)/1000+'Inputs'!$B$21))/SQRT((((635-43)*MAX('Inputs'!$B$33,'Inputs'!$B$29+'Inputs'!$B$31+'Inputs'!$B$32,'Inputs'!$B$30+'Inputs'!$B$31+'Inputs'!$B$32)/1000+'Inputs'!$B$21))^2+('Inputs'!$B$6/2)^2)))-'Results'!C7*(1+'Inputs'!$B$24)*(0.5*((((635-43)*MAX('Inputs'!$B$33,'Inputs'!$B$29+'Inputs'!$B$31+'Inputs'!$B$32,'Inputs'!$B$30+'Inputs'!$B$31+'Inputs'!$B$32)/1000+'Inputs'!$B$21+'Inputs'!$B$7+'Inputs'!$B$10)+'Inputs'!$B$9)/SQRT((((635-43)*MAX('Inputs'!$B$33,'Inputs'!$B$29+'Inputs'!$B$31+'Inputs'!$B$32,'Inputs'!$B$30+'Inputs'!$B$31+'Inputs'!$B$32)/1000+'Inputs'!$B$21+'Inputs'!$B$7+'Inputs'!$B$10)+'Inputs'!$B$9)^2+('Inputs'!$B$8/2)^2)-(((635-43)*MAX('Inputs'!$B$33,'Inputs'!$B$29+'Inputs'!$B$31+'Inputs'!$B$32,'Inputs'!$B$30+'Inputs'!$B$31+'Inputs'!$B$32)/1000+'Inputs'!$B$21+'Inputs'!$B$7+'Inputs'!$B$10))/SQRT((((635-43)*MAX('Inputs'!$B$33,'Inputs'!$B$29+'Inputs'!$B$31+'Inputs'!$B$32,'Inputs'!$B$30+'Inputs'!$B$31+'Inputs'!$B$32)/1000+'Inputs'!$B$21+'Inputs'!$B$7+'Inputs'!$B$10))^2+('Inputs'!$B$8/2)^2))))*'Results'!$B$8)-'Inputs'!$B$28*ABS((('Results'!B7*(1-'Inputs'!$B$24)*(0.5*((((635-43)*MAX('Inputs'!$B$33,'Inputs'!$B$29+'Inputs'!$B$31+'Inputs'!$B$32,'Inputs'!$B$30+'Inputs'!$B$31+'Inputs'!$B$32)/1000+'Inputs'!$B$21)+'Inputs'!$B$7)/SQRT((((635-43)*MAX('Inputs'!$B$33,'Inputs'!$B$29+'Inputs'!$B$31+'Inputs'!$B$32,'Inputs'!$B$30+'Inputs'!$B$31+'Inputs'!$B$32)/1000+'Inputs'!$B$21)+'Inputs'!$B$7)^2+('Inputs'!$B$6/2)^2)-(((635-43)*MAX('Inputs'!$B$33,'Inputs'!$B$29+'Inputs'!$B$31+'Inputs'!$B$32,'Inputs'!$B$30+'Inputs'!$B$31+'Inputs'!$B$32)/1000+'Inputs'!$B$21))/SQRT((((635-43)*MAX('Inputs'!$B$33,'Inputs'!$B$29+'Inputs'!$B$31+'Inputs'!$B$32,'Inputs'!$B$30+'Inputs'!$B$31+'Inputs'!$B$32)/1000+'Inputs'!$B$21))^2+('Inputs'!$B$6/2)^2)))-'Results'!C7*(1+'Inputs'!$B$24)*(0.5*((((635-43)*MAX('Inputs'!$B$33,'Inputs'!$B$29+'Inputs'!$B$31+'Inputs'!$B$32,'Inputs'!$B$30+'Inputs'!$B$31+'Inputs'!$B$32)/1000+'Inputs'!$B$21+'Inputs'!$B$7+'Inputs'!$B$10)+'Inputs'!$B$9)/SQRT((((635-43)*MAX('Inputs'!$B$33,'Inputs'!$B$29+'Inputs'!$B$31+'Inputs'!$B$32,'Inputs'!$B$30+'Inputs'!$B$31+'Inputs'!$B$32)/1000+'Inputs'!$B$21+'Inputs'!$B$7+'Inputs'!$B$10)+'Inputs'!$B$9)^2+('Inputs'!$B$8/2)^2)-(((635-43)*MAX('Inputs'!$B$33,'Inputs'!$B$29+'Inputs'!$B$31+'Inputs'!$B$32,'Inputs'!$B$30+'Inputs'!$B$31+'Inputs'!$B$32)/1000+'Inputs'!$B$21+'Inputs'!$B$7+'Inputs'!$B$10))/SQRT((((635-43)*MAX('Inputs'!$B$33,'Inputs'!$B$29+'Inputs'!$B$31+'Inputs'!$B$32,'Inputs'!$B$30+'Inputs'!$B$31+'Inputs'!$B$32)/1000+'Inputs'!$B$21+'Inputs'!$B$7+'Inputs'!$B$10))^2+('Inputs'!$B$8/2)^2))))*'Results'!$B$8))),"")</x:f>
        <x:v>2.0442099691931883</x:v>
      </x:c>
      <x:c r="L635" t="n">
        <x:f>IF(AND(ISNUMBER('Results'!B7),ISNUMBER('Results'!C7),ISNUMBER('Results'!$B$8),ISNUMBER('Inputs'!$B$6),ISNUMBER('Inputs'!$B$7),ISNUMBER('Inputs'!$B$8),ISNUMBER('Inputs'!$B$9),ISNUMBER('Inputs'!$B$10),ISNUMBER('Inputs'!$B$21),ISNUMBER('Inputs'!$B$24),ISNUMBER('Inputs'!$B$28)),((('Results'!B7*(1+'Inputs'!$B$24)*(0.5*((((635-43)*MAX('Inputs'!$B$33,'Inputs'!$B$29+'Inputs'!$B$31+'Inputs'!$B$32,'Inputs'!$B$30+'Inputs'!$B$31+'Inputs'!$B$32)/1000+'Inputs'!$B$21)+'Inputs'!$B$7)/SQRT((((635-43)*MAX('Inputs'!$B$33,'Inputs'!$B$29+'Inputs'!$B$31+'Inputs'!$B$32,'Inputs'!$B$30+'Inputs'!$B$31+'Inputs'!$B$32)/1000+'Inputs'!$B$21)+'Inputs'!$B$7)^2+('Inputs'!$B$6/2)^2)-(((635-43)*MAX('Inputs'!$B$33,'Inputs'!$B$29+'Inputs'!$B$31+'Inputs'!$B$32,'Inputs'!$B$30+'Inputs'!$B$31+'Inputs'!$B$32)/1000+'Inputs'!$B$21))/SQRT((((635-43)*MAX('Inputs'!$B$33,'Inputs'!$B$29+'Inputs'!$B$31+'Inputs'!$B$32,'Inputs'!$B$30+'Inputs'!$B$31+'Inputs'!$B$32)/1000+'Inputs'!$B$21))^2+('Inputs'!$B$6/2)^2)))-'Results'!C7*(1-'Inputs'!$B$24)*(0.5*((((635-43)*MAX('Inputs'!$B$33,'Inputs'!$B$29+'Inputs'!$B$31+'Inputs'!$B$32,'Inputs'!$B$30+'Inputs'!$B$31+'Inputs'!$B$32)/1000+'Inputs'!$B$21+'Inputs'!$B$7+'Inputs'!$B$10)+'Inputs'!$B$9)/SQRT((((635-43)*MAX('Inputs'!$B$33,'Inputs'!$B$29+'Inputs'!$B$31+'Inputs'!$B$32,'Inputs'!$B$30+'Inputs'!$B$31+'Inputs'!$B$32)/1000+'Inputs'!$B$21+'Inputs'!$B$7+'Inputs'!$B$10)+'Inputs'!$B$9)^2+('Inputs'!$B$8/2)^2)-(((635-43)*MAX('Inputs'!$B$33,'Inputs'!$B$29+'Inputs'!$B$31+'Inputs'!$B$32,'Inputs'!$B$30+'Inputs'!$B$31+'Inputs'!$B$32)/1000+'Inputs'!$B$21+'Inputs'!$B$7+'Inputs'!$B$10))/SQRT((((635-43)*MAX('Inputs'!$B$33,'Inputs'!$B$29+'Inputs'!$B$31+'Inputs'!$B$32,'Inputs'!$B$30+'Inputs'!$B$31+'Inputs'!$B$32)/1000+'Inputs'!$B$21+'Inputs'!$B$7+'Inputs'!$B$10))^2+('Inputs'!$B$8/2)^2))))*'Results'!$B$8)+'Inputs'!$B$28*ABS((('Results'!B7*(1+'Inputs'!$B$24)*(0.5*((((635-43)*MAX('Inputs'!$B$33,'Inputs'!$B$29+'Inputs'!$B$31+'Inputs'!$B$32,'Inputs'!$B$30+'Inputs'!$B$31+'Inputs'!$B$32)/1000+'Inputs'!$B$21)+'Inputs'!$B$7)/SQRT((((635-43)*MAX('Inputs'!$B$33,'Inputs'!$B$29+'Inputs'!$B$31+'Inputs'!$B$32,'Inputs'!$B$30+'Inputs'!$B$31+'Inputs'!$B$32)/1000+'Inputs'!$B$21)+'Inputs'!$B$7)^2+('Inputs'!$B$6/2)^2)-(((635-43)*MAX('Inputs'!$B$33,'Inputs'!$B$29+'Inputs'!$B$31+'Inputs'!$B$32,'Inputs'!$B$30+'Inputs'!$B$31+'Inputs'!$B$32)/1000+'Inputs'!$B$21))/SQRT((((635-43)*MAX('Inputs'!$B$33,'Inputs'!$B$29+'Inputs'!$B$31+'Inputs'!$B$32,'Inputs'!$B$30+'Inputs'!$B$31+'Inputs'!$B$32)/1000+'Inputs'!$B$21))^2+('Inputs'!$B$6/2)^2)))-'Results'!C7*(1-'Inputs'!$B$24)*(0.5*((((635-43)*MAX('Inputs'!$B$33,'Inputs'!$B$29+'Inputs'!$B$31+'Inputs'!$B$32,'Inputs'!$B$30+'Inputs'!$B$31+'Inputs'!$B$32)/1000+'Inputs'!$B$21+'Inputs'!$B$7+'Inputs'!$B$10)+'Inputs'!$B$9)/SQRT((((635-43)*MAX('Inputs'!$B$33,'Inputs'!$B$29+'Inputs'!$B$31+'Inputs'!$B$32,'Inputs'!$B$30+'Inputs'!$B$31+'Inputs'!$B$32)/1000+'Inputs'!$B$21+'Inputs'!$B$7+'Inputs'!$B$10)+'Inputs'!$B$9)^2+('Inputs'!$B$8/2)^2)-(((635-43)*MAX('Inputs'!$B$33,'Inputs'!$B$29+'Inputs'!$B$31+'Inputs'!$B$32,'Inputs'!$B$30+'Inputs'!$B$31+'Inputs'!$B$32)/1000+'Inputs'!$B$21+'Inputs'!$B$7+'Inputs'!$B$10))/SQRT((((635-43)*MAX('Inputs'!$B$33,'Inputs'!$B$29+'Inputs'!$B$31+'Inputs'!$B$32,'Inputs'!$B$30+'Inputs'!$B$31+'Inputs'!$B$32)/1000+'Inputs'!$B$21+'Inputs'!$B$7+'Inputs'!$B$10))^2+('Inputs'!$B$8/2)^2))))*'Results'!$B$8))),"")</x:f>
        <x:v>2.6383584289406725</x:v>
      </x:c>
      <x:c r="M635" t="n">
        <x:f>IF(AND(ISNUMBER('Results'!C7),ISNUMBER('Results'!B7),ISNUMBER('Results'!$B$8),ISNUMBER('Inputs'!$B$6),ISNUMBER('Inputs'!$B$7),ISNUMBER('Inputs'!$B$8),ISNUMBER('Inputs'!$B$9),ISNUMBER('Inputs'!$B$10),ISNUMBER('Inputs'!$B$21),ISNUMBER('Inputs'!$B$24),ISNUMBER('Inputs'!$B$28)),(('Results'!C7*(0.5*((((635-43)*MAX('Inputs'!$B$33,'Inputs'!$B$29+'Inputs'!$B$31+'Inputs'!$B$32,'Inputs'!$B$30+'Inputs'!$B$31+'Inputs'!$B$32)/1000+'Inputs'!$B$21)+'Inputs'!$B$9)/SQRT((((635-43)*MAX('Inputs'!$B$33,'Inputs'!$B$29+'Inputs'!$B$31+'Inputs'!$B$32,'Inputs'!$B$30+'Inputs'!$B$31+'Inputs'!$B$32)/1000+'Inputs'!$B$21)+'Inputs'!$B$9)^2+('Inputs'!$B$8/2)^2)-(((635-43)*MAX('Inputs'!$B$33,'Inputs'!$B$29+'Inputs'!$B$31+'Inputs'!$B$32,'Inputs'!$B$30+'Inputs'!$B$31+'Inputs'!$B$32)/1000+'Inputs'!$B$21))/SQRT((((635-43)*MAX('Inputs'!$B$33,'Inputs'!$B$29+'Inputs'!$B$31+'Inputs'!$B$32,'Inputs'!$B$30+'Inputs'!$B$31+'Inputs'!$B$32)/1000+'Inputs'!$B$21))^2+('Inputs'!$B$8/2)^2)))-'Results'!B7*(0.5*((((635-43)*MAX('Inputs'!$B$33,'Inputs'!$B$29+'Inputs'!$B$31+'Inputs'!$B$32,'Inputs'!$B$30+'Inputs'!$B$31+'Inputs'!$B$32)/1000+'Inputs'!$B$21+'Inputs'!$B$9+'Inputs'!$B$10)+'Inputs'!$B$7)/SQRT((((635-43)*MAX('Inputs'!$B$33,'Inputs'!$B$29+'Inputs'!$B$31+'Inputs'!$B$32,'Inputs'!$B$30+'Inputs'!$B$31+'Inputs'!$B$32)/1000+'Inputs'!$B$21+'Inputs'!$B$9+'Inputs'!$B$10)+'Inputs'!$B$7)^2+('Inputs'!$B$6/2)^2)-(((635-43)*MAX('Inputs'!$B$33,'Inputs'!$B$29+'Inputs'!$B$31+'Inputs'!$B$32,'Inputs'!$B$30+'Inputs'!$B$31+'Inputs'!$B$32)/1000+'Inputs'!$B$21+'Inputs'!$B$9+'Inputs'!$B$10))/SQRT((((635-43)*MAX('Inputs'!$B$33,'Inputs'!$B$29+'Inputs'!$B$31+'Inputs'!$B$32,'Inputs'!$B$30+'Inputs'!$B$31+'Inputs'!$B$32)/1000+'Inputs'!$B$21+'Inputs'!$B$9+'Inputs'!$B$10))^2+('Inputs'!$B$6/2)^2))))*'Results'!$B$8),"")</x:f>
        <x:v>2.150434498693777</x:v>
      </x:c>
      <x:c r="N635" t="n">
        <x:f>IF(AND(ISNUMBER('Results'!C7),ISNUMBER('Results'!B7),ISNUMBER('Results'!$B$8),ISNUMBER('Inputs'!$B$6),ISNUMBER('Inputs'!$B$7),ISNUMBER('Inputs'!$B$8),ISNUMBER('Inputs'!$B$9),ISNUMBER('Inputs'!$B$10),ISNUMBER('Inputs'!$B$21),ISNUMBER('Inputs'!$B$24),ISNUMBER('Inputs'!$B$28)),((('Results'!C7*(1-'Inputs'!$B$24)*(0.5*((((635-43)*MAX('Inputs'!$B$33,'Inputs'!$B$29+'Inputs'!$B$31+'Inputs'!$B$32,'Inputs'!$B$30+'Inputs'!$B$31+'Inputs'!$B$32)/1000+'Inputs'!$B$21)+'Inputs'!$B$9)/SQRT((((635-43)*MAX('Inputs'!$B$33,'Inputs'!$B$29+'Inputs'!$B$31+'Inputs'!$B$32,'Inputs'!$B$30+'Inputs'!$B$31+'Inputs'!$B$32)/1000+'Inputs'!$B$21)+'Inputs'!$B$9)^2+('Inputs'!$B$8/2)^2)-(((635-43)*MAX('Inputs'!$B$33,'Inputs'!$B$29+'Inputs'!$B$31+'Inputs'!$B$32,'Inputs'!$B$30+'Inputs'!$B$31+'Inputs'!$B$32)/1000+'Inputs'!$B$21))/SQRT((((635-43)*MAX('Inputs'!$B$33,'Inputs'!$B$29+'Inputs'!$B$31+'Inputs'!$B$32,'Inputs'!$B$30+'Inputs'!$B$31+'Inputs'!$B$32)/1000+'Inputs'!$B$21))^2+('Inputs'!$B$8/2)^2)))-'Results'!B7*(1+'Inputs'!$B$24)*(0.5*((((635-43)*MAX('Inputs'!$B$33,'Inputs'!$B$29+'Inputs'!$B$31+'Inputs'!$B$32,'Inputs'!$B$30+'Inputs'!$B$31+'Inputs'!$B$32)/1000+'Inputs'!$B$21+'Inputs'!$B$9+'Inputs'!$B$10)+'Inputs'!$B$7)/SQRT((((635-43)*MAX('Inputs'!$B$33,'Inputs'!$B$29+'Inputs'!$B$31+'Inputs'!$B$32,'Inputs'!$B$30+'Inputs'!$B$31+'Inputs'!$B$32)/1000+'Inputs'!$B$21+'Inputs'!$B$9+'Inputs'!$B$10)+'Inputs'!$B$7)^2+('Inputs'!$B$6/2)^2)-(((635-43)*MAX('Inputs'!$B$33,'Inputs'!$B$29+'Inputs'!$B$31+'Inputs'!$B$32,'Inputs'!$B$30+'Inputs'!$B$31+'Inputs'!$B$32)/1000+'Inputs'!$B$21+'Inputs'!$B$9+'Inputs'!$B$10))/SQRT((((635-43)*MAX('Inputs'!$B$33,'Inputs'!$B$29+'Inputs'!$B$31+'Inputs'!$B$32,'Inputs'!$B$30+'Inputs'!$B$31+'Inputs'!$B$32)/1000+'Inputs'!$B$21+'Inputs'!$B$9+'Inputs'!$B$10))^2+('Inputs'!$B$6/2)^2))))*'Results'!$B$8)-'Inputs'!$B$28*ABS((('Results'!C7*(1-'Inputs'!$B$24)*(0.5*((((635-43)*MAX('Inputs'!$B$33,'Inputs'!$B$29+'Inputs'!$B$31+'Inputs'!$B$32,'Inputs'!$B$30+'Inputs'!$B$31+'Inputs'!$B$32)/1000+'Inputs'!$B$21)+'Inputs'!$B$9)/SQRT((((635-43)*MAX('Inputs'!$B$33,'Inputs'!$B$29+'Inputs'!$B$31+'Inputs'!$B$32,'Inputs'!$B$30+'Inputs'!$B$31+'Inputs'!$B$32)/1000+'Inputs'!$B$21)+'Inputs'!$B$9)^2+('Inputs'!$B$8/2)^2)-(((635-43)*MAX('Inputs'!$B$33,'Inputs'!$B$29+'Inputs'!$B$31+'Inputs'!$B$32,'Inputs'!$B$30+'Inputs'!$B$31+'Inputs'!$B$32)/1000+'Inputs'!$B$21))/SQRT((((635-43)*MAX('Inputs'!$B$33,'Inputs'!$B$29+'Inputs'!$B$31+'Inputs'!$B$32,'Inputs'!$B$30+'Inputs'!$B$31+'Inputs'!$B$32)/1000+'Inputs'!$B$21))^2+('Inputs'!$B$8/2)^2)))-'Results'!B7*(1+'Inputs'!$B$24)*(0.5*((((635-43)*MAX('Inputs'!$B$33,'Inputs'!$B$29+'Inputs'!$B$31+'Inputs'!$B$32,'Inputs'!$B$30+'Inputs'!$B$31+'Inputs'!$B$32)/1000+'Inputs'!$B$21+'Inputs'!$B$9+'Inputs'!$B$10)+'Inputs'!$B$7)/SQRT((((635-43)*MAX('Inputs'!$B$33,'Inputs'!$B$29+'Inputs'!$B$31+'Inputs'!$B$32,'Inputs'!$B$30+'Inputs'!$B$31+'Inputs'!$B$32)/1000+'Inputs'!$B$21+'Inputs'!$B$9+'Inputs'!$B$10)+'Inputs'!$B$7)^2+('Inputs'!$B$6/2)^2)-(((635-43)*MAX('Inputs'!$B$33,'Inputs'!$B$29+'Inputs'!$B$31+'Inputs'!$B$32,'Inputs'!$B$30+'Inputs'!$B$31+'Inputs'!$B$32)/1000+'Inputs'!$B$21+'Inputs'!$B$9+'Inputs'!$B$10))/SQRT((((635-43)*MAX('Inputs'!$B$33,'Inputs'!$B$29+'Inputs'!$B$31+'Inputs'!$B$32,'Inputs'!$B$30+'Inputs'!$B$31+'Inputs'!$B$32)/1000+'Inputs'!$B$21+'Inputs'!$B$9+'Inputs'!$B$10))^2+('Inputs'!$B$6/2)^2))))*'Results'!$B$8))),"")</x:f>
        <x:v>1.8723349748738665</x:v>
      </x:c>
      <x:c r="O635" t="n">
        <x:f>IF(AND(ISNUMBER('Results'!C7),ISNUMBER('Results'!B7),ISNUMBER('Results'!$B$8),ISNUMBER('Inputs'!$B$6),ISNUMBER('Inputs'!$B$7),ISNUMBER('Inputs'!$B$8),ISNUMBER('Inputs'!$B$9),ISNUMBER('Inputs'!$B$10),ISNUMBER('Inputs'!$B$21),ISNUMBER('Inputs'!$B$24),ISNUMBER('Inputs'!$B$28)),((('Results'!C7*(1+'Inputs'!$B$24)*(0.5*((((635-43)*MAX('Inputs'!$B$33,'Inputs'!$B$29+'Inputs'!$B$31+'Inputs'!$B$32,'Inputs'!$B$30+'Inputs'!$B$31+'Inputs'!$B$32)/1000+'Inputs'!$B$21)+'Inputs'!$B$9)/SQRT((((635-43)*MAX('Inputs'!$B$33,'Inputs'!$B$29+'Inputs'!$B$31+'Inputs'!$B$32,'Inputs'!$B$30+'Inputs'!$B$31+'Inputs'!$B$32)/1000+'Inputs'!$B$21)+'Inputs'!$B$9)^2+('Inputs'!$B$8/2)^2)-(((635-43)*MAX('Inputs'!$B$33,'Inputs'!$B$29+'Inputs'!$B$31+'Inputs'!$B$32,'Inputs'!$B$30+'Inputs'!$B$31+'Inputs'!$B$32)/1000+'Inputs'!$B$21))/SQRT((((635-43)*MAX('Inputs'!$B$33,'Inputs'!$B$29+'Inputs'!$B$31+'Inputs'!$B$32,'Inputs'!$B$30+'Inputs'!$B$31+'Inputs'!$B$32)/1000+'Inputs'!$B$21))^2+('Inputs'!$B$8/2)^2)))-'Results'!B7*(1-'Inputs'!$B$24)*(0.5*((((635-43)*MAX('Inputs'!$B$33,'Inputs'!$B$29+'Inputs'!$B$31+'Inputs'!$B$32,'Inputs'!$B$30+'Inputs'!$B$31+'Inputs'!$B$32)/1000+'Inputs'!$B$21+'Inputs'!$B$9+'Inputs'!$B$10)+'Inputs'!$B$7)/SQRT((((635-43)*MAX('Inputs'!$B$33,'Inputs'!$B$29+'Inputs'!$B$31+'Inputs'!$B$32,'Inputs'!$B$30+'Inputs'!$B$31+'Inputs'!$B$32)/1000+'Inputs'!$B$21+'Inputs'!$B$9+'Inputs'!$B$10)+'Inputs'!$B$7)^2+('Inputs'!$B$6/2)^2)-(((635-43)*MAX('Inputs'!$B$33,'Inputs'!$B$29+'Inputs'!$B$31+'Inputs'!$B$32,'Inputs'!$B$30+'Inputs'!$B$31+'Inputs'!$B$32)/1000+'Inputs'!$B$21+'Inputs'!$B$9+'Inputs'!$B$10))/SQRT((((635-43)*MAX('Inputs'!$B$33,'Inputs'!$B$29+'Inputs'!$B$31+'Inputs'!$B$32,'Inputs'!$B$30+'Inputs'!$B$31+'Inputs'!$B$32)/1000+'Inputs'!$B$21+'Inputs'!$B$9+'Inputs'!$B$10))^2+('Inputs'!$B$6/2)^2))))*'Results'!$B$8)+'Inputs'!$B$28*ABS((('Results'!C7*(1+'Inputs'!$B$24)*(0.5*((((635-43)*MAX('Inputs'!$B$33,'Inputs'!$B$29+'Inputs'!$B$31+'Inputs'!$B$32,'Inputs'!$B$30+'Inputs'!$B$31+'Inputs'!$B$32)/1000+'Inputs'!$B$21)+'Inputs'!$B$9)/SQRT((((635-43)*MAX('Inputs'!$B$33,'Inputs'!$B$29+'Inputs'!$B$31+'Inputs'!$B$32,'Inputs'!$B$30+'Inputs'!$B$31+'Inputs'!$B$32)/1000+'Inputs'!$B$21)+'Inputs'!$B$9)^2+('Inputs'!$B$8/2)^2)-(((635-43)*MAX('Inputs'!$B$33,'Inputs'!$B$29+'Inputs'!$B$31+'Inputs'!$B$32,'Inputs'!$B$30+'Inputs'!$B$31+'Inputs'!$B$32)/1000+'Inputs'!$B$21))/SQRT((((635-43)*MAX('Inputs'!$B$33,'Inputs'!$B$29+'Inputs'!$B$31+'Inputs'!$B$32,'Inputs'!$B$30+'Inputs'!$B$31+'Inputs'!$B$32)/1000+'Inputs'!$B$21))^2+('Inputs'!$B$8/2)^2)))-'Results'!B7*(1-'Inputs'!$B$24)*(0.5*((((635-43)*MAX('Inputs'!$B$33,'Inputs'!$B$29+'Inputs'!$B$31+'Inputs'!$B$32,'Inputs'!$B$30+'Inputs'!$B$31+'Inputs'!$B$32)/1000+'Inputs'!$B$21+'Inputs'!$B$9+'Inputs'!$B$10)+'Inputs'!$B$7)/SQRT((((635-43)*MAX('Inputs'!$B$33,'Inputs'!$B$29+'Inputs'!$B$31+'Inputs'!$B$32,'Inputs'!$B$30+'Inputs'!$B$31+'Inputs'!$B$32)/1000+'Inputs'!$B$21+'Inputs'!$B$9+'Inputs'!$B$10)+'Inputs'!$B$7)^2+('Inputs'!$B$6/2)^2)-(((635-43)*MAX('Inputs'!$B$33,'Inputs'!$B$29+'Inputs'!$B$31+'Inputs'!$B$32,'Inputs'!$B$30+'Inputs'!$B$31+'Inputs'!$B$32)/1000+'Inputs'!$B$21+'Inputs'!$B$9+'Inputs'!$B$10))/SQRT((((635-43)*MAX('Inputs'!$B$33,'Inputs'!$B$29+'Inputs'!$B$31+'Inputs'!$B$32,'Inputs'!$B$30+'Inputs'!$B$31+'Inputs'!$B$32)/1000+'Inputs'!$B$21+'Inputs'!$B$9+'Inputs'!$B$10))^2+('Inputs'!$B$6/2)^2))))*'Results'!$B$8))),"")</x:f>
        <x:v>2.4464895802910798</x:v>
      </x:c>
      <x:c r="P635" t="n">
        <x:f>IF(AND(MAX(J635,J634)&gt;0,J635&gt;J634+0.00000001),1,0)</x:f>
        <x:v>0</x:v>
      </x:c>
      <x:c r="Q635" t="n">
        <x:f>IF(AND(MAX(K635,K634)&gt;0,K635&gt;K634+0.00000001),1,0)</x:f>
        <x:v>0</x:v>
      </x:c>
      <x:c r="R635" t="n">
        <x:f>IF(AND(MAX(L635,L634)&gt;0,L635&gt;L634+0.00000001),1,0)</x:f>
        <x:v>0</x:v>
      </x:c>
      <x:c r="S635" t="n">
        <x:f>IF(AND(MAX(M635,M634)&gt;0,M635&gt;M634+0.00000001),1,0)</x:f>
        <x:v>0</x:v>
      </x:c>
      <x:c r="T635" t="n">
        <x:f>IF(AND(MAX(N635,N634)&gt;0,N635&gt;N634+0.00000001),1,0)</x:f>
        <x:v>0</x:v>
      </x:c>
      <x:c r="U635" t="n">
        <x:f>IF(AND(MAX(O635,O634)&gt;0,O635&gt;O634+0.00000001),1,0)</x:f>
        <x:v>0</x:v>
      </x:c>
    </x:row>
    <x:row r="636">
      <x:c r="J636" t="n">
        <x:f>IF(AND(ISNUMBER('Results'!B7),ISNUMBER('Results'!C7),ISNUMBER('Results'!$B$8),ISNUMBER('Inputs'!$B$6),ISNUMBER('Inputs'!$B$7),ISNUMBER('Inputs'!$B$8),ISNUMBER('Inputs'!$B$9),ISNUMBER('Inputs'!$B$10),ISNUMBER('Inputs'!$B$21),ISNUMBER('Inputs'!$B$24),ISNUMBER('Inputs'!$B$28)),(('Results'!B7*(0.5*((((636-43)*MAX('Inputs'!$B$33,'Inputs'!$B$29+'Inputs'!$B$31+'Inputs'!$B$32,'Inputs'!$B$30+'Inputs'!$B$31+'Inputs'!$B$32)/1000+'Inputs'!$B$21)+'Inputs'!$B$7)/SQRT((((636-43)*MAX('Inputs'!$B$33,'Inputs'!$B$29+'Inputs'!$B$31+'Inputs'!$B$32,'Inputs'!$B$30+'Inputs'!$B$31+'Inputs'!$B$32)/1000+'Inputs'!$B$21)+'Inputs'!$B$7)^2+('Inputs'!$B$6/2)^2)-(((636-43)*MAX('Inputs'!$B$33,'Inputs'!$B$29+'Inputs'!$B$31+'Inputs'!$B$32,'Inputs'!$B$30+'Inputs'!$B$31+'Inputs'!$B$32)/1000+'Inputs'!$B$21))/SQRT((((636-43)*MAX('Inputs'!$B$33,'Inputs'!$B$29+'Inputs'!$B$31+'Inputs'!$B$32,'Inputs'!$B$30+'Inputs'!$B$31+'Inputs'!$B$32)/1000+'Inputs'!$B$21))^2+('Inputs'!$B$6/2)^2)))-'Results'!C7*(0.5*((((636-43)*MAX('Inputs'!$B$33,'Inputs'!$B$29+'Inputs'!$B$31+'Inputs'!$B$32,'Inputs'!$B$30+'Inputs'!$B$31+'Inputs'!$B$32)/1000+'Inputs'!$B$21+'Inputs'!$B$7+'Inputs'!$B$10)+'Inputs'!$B$9)/SQRT((((636-43)*MAX('Inputs'!$B$33,'Inputs'!$B$29+'Inputs'!$B$31+'Inputs'!$B$32,'Inputs'!$B$30+'Inputs'!$B$31+'Inputs'!$B$32)/1000+'Inputs'!$B$21+'Inputs'!$B$7+'Inputs'!$B$10)+'Inputs'!$B$9)^2+('Inputs'!$B$8/2)^2)-(((636-43)*MAX('Inputs'!$B$33,'Inputs'!$B$29+'Inputs'!$B$31+'Inputs'!$B$32,'Inputs'!$B$30+'Inputs'!$B$31+'Inputs'!$B$32)/1000+'Inputs'!$B$21+'Inputs'!$B$7+'Inputs'!$B$10))/SQRT((((636-43)*MAX('Inputs'!$B$33,'Inputs'!$B$29+'Inputs'!$B$31+'Inputs'!$B$32,'Inputs'!$B$30+'Inputs'!$B$31+'Inputs'!$B$32)/1000+'Inputs'!$B$21+'Inputs'!$B$7+'Inputs'!$B$10))^2+('Inputs'!$B$8/2)^2))))*'Results'!$B$8),"")</x:f>
        <x:v>2.318561502558482</x:v>
      </x:c>
      <x:c r="K636" t="n">
        <x:f>IF(AND(ISNUMBER('Results'!B7),ISNUMBER('Results'!C7),ISNUMBER('Results'!$B$8),ISNUMBER('Inputs'!$B$6),ISNUMBER('Inputs'!$B$7),ISNUMBER('Inputs'!$B$8),ISNUMBER('Inputs'!$B$9),ISNUMBER('Inputs'!$B$10),ISNUMBER('Inputs'!$B$21),ISNUMBER('Inputs'!$B$24),ISNUMBER('Inputs'!$B$28)),((('Results'!B7*(1-'Inputs'!$B$24)*(0.5*((((636-43)*MAX('Inputs'!$B$33,'Inputs'!$B$29+'Inputs'!$B$31+'Inputs'!$B$32,'Inputs'!$B$30+'Inputs'!$B$31+'Inputs'!$B$32)/1000+'Inputs'!$B$21)+'Inputs'!$B$7)/SQRT((((636-43)*MAX('Inputs'!$B$33,'Inputs'!$B$29+'Inputs'!$B$31+'Inputs'!$B$32,'Inputs'!$B$30+'Inputs'!$B$31+'Inputs'!$B$32)/1000+'Inputs'!$B$21)+'Inputs'!$B$7)^2+('Inputs'!$B$6/2)^2)-(((636-43)*MAX('Inputs'!$B$33,'Inputs'!$B$29+'Inputs'!$B$31+'Inputs'!$B$32,'Inputs'!$B$30+'Inputs'!$B$31+'Inputs'!$B$32)/1000+'Inputs'!$B$21))/SQRT((((636-43)*MAX('Inputs'!$B$33,'Inputs'!$B$29+'Inputs'!$B$31+'Inputs'!$B$32,'Inputs'!$B$30+'Inputs'!$B$31+'Inputs'!$B$32)/1000+'Inputs'!$B$21))^2+('Inputs'!$B$6/2)^2)))-'Results'!C7*(1+'Inputs'!$B$24)*(0.5*((((636-43)*MAX('Inputs'!$B$33,'Inputs'!$B$29+'Inputs'!$B$31+'Inputs'!$B$32,'Inputs'!$B$30+'Inputs'!$B$31+'Inputs'!$B$32)/1000+'Inputs'!$B$21+'Inputs'!$B$7+'Inputs'!$B$10)+'Inputs'!$B$9)/SQRT((((636-43)*MAX('Inputs'!$B$33,'Inputs'!$B$29+'Inputs'!$B$31+'Inputs'!$B$32,'Inputs'!$B$30+'Inputs'!$B$31+'Inputs'!$B$32)/1000+'Inputs'!$B$21+'Inputs'!$B$7+'Inputs'!$B$10)+'Inputs'!$B$9)^2+('Inputs'!$B$8/2)^2)-(((636-43)*MAX('Inputs'!$B$33,'Inputs'!$B$29+'Inputs'!$B$31+'Inputs'!$B$32,'Inputs'!$B$30+'Inputs'!$B$31+'Inputs'!$B$32)/1000+'Inputs'!$B$21+'Inputs'!$B$7+'Inputs'!$B$10))/SQRT((((636-43)*MAX('Inputs'!$B$33,'Inputs'!$B$29+'Inputs'!$B$31+'Inputs'!$B$32,'Inputs'!$B$30+'Inputs'!$B$31+'Inputs'!$B$32)/1000+'Inputs'!$B$21+'Inputs'!$B$7+'Inputs'!$B$10))^2+('Inputs'!$B$8/2)^2))))*'Results'!$B$8)-'Inputs'!$B$28*ABS((('Results'!B7*(1-'Inputs'!$B$24)*(0.5*((((636-43)*MAX('Inputs'!$B$33,'Inputs'!$B$29+'Inputs'!$B$31+'Inputs'!$B$32,'Inputs'!$B$30+'Inputs'!$B$31+'Inputs'!$B$32)/1000+'Inputs'!$B$21)+'Inputs'!$B$7)/SQRT((((636-43)*MAX('Inputs'!$B$33,'Inputs'!$B$29+'Inputs'!$B$31+'Inputs'!$B$32,'Inputs'!$B$30+'Inputs'!$B$31+'Inputs'!$B$32)/1000+'Inputs'!$B$21)+'Inputs'!$B$7)^2+('Inputs'!$B$6/2)^2)-(((636-43)*MAX('Inputs'!$B$33,'Inputs'!$B$29+'Inputs'!$B$31+'Inputs'!$B$32,'Inputs'!$B$30+'Inputs'!$B$31+'Inputs'!$B$32)/1000+'Inputs'!$B$21))/SQRT((((636-43)*MAX('Inputs'!$B$33,'Inputs'!$B$29+'Inputs'!$B$31+'Inputs'!$B$32,'Inputs'!$B$30+'Inputs'!$B$31+'Inputs'!$B$32)/1000+'Inputs'!$B$21))^2+('Inputs'!$B$6/2)^2)))-'Results'!C7*(1+'Inputs'!$B$24)*(0.5*((((636-43)*MAX('Inputs'!$B$33,'Inputs'!$B$29+'Inputs'!$B$31+'Inputs'!$B$32,'Inputs'!$B$30+'Inputs'!$B$31+'Inputs'!$B$32)/1000+'Inputs'!$B$21+'Inputs'!$B$7+'Inputs'!$B$10)+'Inputs'!$B$9)/SQRT((((636-43)*MAX('Inputs'!$B$33,'Inputs'!$B$29+'Inputs'!$B$31+'Inputs'!$B$32,'Inputs'!$B$30+'Inputs'!$B$31+'Inputs'!$B$32)/1000+'Inputs'!$B$21+'Inputs'!$B$7+'Inputs'!$B$10)+'Inputs'!$B$9)^2+('Inputs'!$B$8/2)^2)-(((636-43)*MAX('Inputs'!$B$33,'Inputs'!$B$29+'Inputs'!$B$31+'Inputs'!$B$32,'Inputs'!$B$30+'Inputs'!$B$31+'Inputs'!$B$32)/1000+'Inputs'!$B$21+'Inputs'!$B$7+'Inputs'!$B$10))/SQRT((((636-43)*MAX('Inputs'!$B$33,'Inputs'!$B$29+'Inputs'!$B$31+'Inputs'!$B$32,'Inputs'!$B$30+'Inputs'!$B$31+'Inputs'!$B$32)/1000+'Inputs'!$B$21+'Inputs'!$B$7+'Inputs'!$B$10))^2+('Inputs'!$B$8/2)^2))))*'Results'!$B$8))),"")</x:f>
        <x:v>2.0319734295852774</x:v>
      </x:c>
      <x:c r="L636" t="n">
        <x:f>IF(AND(ISNUMBER('Results'!B7),ISNUMBER('Results'!C7),ISNUMBER('Results'!$B$8),ISNUMBER('Inputs'!$B$6),ISNUMBER('Inputs'!$B$7),ISNUMBER('Inputs'!$B$8),ISNUMBER('Inputs'!$B$9),ISNUMBER('Inputs'!$B$10),ISNUMBER('Inputs'!$B$21),ISNUMBER('Inputs'!$B$24),ISNUMBER('Inputs'!$B$28)),((('Results'!B7*(1+'Inputs'!$B$24)*(0.5*((((636-43)*MAX('Inputs'!$B$33,'Inputs'!$B$29+'Inputs'!$B$31+'Inputs'!$B$32,'Inputs'!$B$30+'Inputs'!$B$31+'Inputs'!$B$32)/1000+'Inputs'!$B$21)+'Inputs'!$B$7)/SQRT((((636-43)*MAX('Inputs'!$B$33,'Inputs'!$B$29+'Inputs'!$B$31+'Inputs'!$B$32,'Inputs'!$B$30+'Inputs'!$B$31+'Inputs'!$B$32)/1000+'Inputs'!$B$21)+'Inputs'!$B$7)^2+('Inputs'!$B$6/2)^2)-(((636-43)*MAX('Inputs'!$B$33,'Inputs'!$B$29+'Inputs'!$B$31+'Inputs'!$B$32,'Inputs'!$B$30+'Inputs'!$B$31+'Inputs'!$B$32)/1000+'Inputs'!$B$21))/SQRT((((636-43)*MAX('Inputs'!$B$33,'Inputs'!$B$29+'Inputs'!$B$31+'Inputs'!$B$32,'Inputs'!$B$30+'Inputs'!$B$31+'Inputs'!$B$32)/1000+'Inputs'!$B$21))^2+('Inputs'!$B$6/2)^2)))-'Results'!C7*(1-'Inputs'!$B$24)*(0.5*((((636-43)*MAX('Inputs'!$B$33,'Inputs'!$B$29+'Inputs'!$B$31+'Inputs'!$B$32,'Inputs'!$B$30+'Inputs'!$B$31+'Inputs'!$B$32)/1000+'Inputs'!$B$21+'Inputs'!$B$7+'Inputs'!$B$10)+'Inputs'!$B$9)/SQRT((((636-43)*MAX('Inputs'!$B$33,'Inputs'!$B$29+'Inputs'!$B$31+'Inputs'!$B$32,'Inputs'!$B$30+'Inputs'!$B$31+'Inputs'!$B$32)/1000+'Inputs'!$B$21+'Inputs'!$B$7+'Inputs'!$B$10)+'Inputs'!$B$9)^2+('Inputs'!$B$8/2)^2)-(((636-43)*MAX('Inputs'!$B$33,'Inputs'!$B$29+'Inputs'!$B$31+'Inputs'!$B$32,'Inputs'!$B$30+'Inputs'!$B$31+'Inputs'!$B$32)/1000+'Inputs'!$B$21+'Inputs'!$B$7+'Inputs'!$B$10))/SQRT((((636-43)*MAX('Inputs'!$B$33,'Inputs'!$B$29+'Inputs'!$B$31+'Inputs'!$B$32,'Inputs'!$B$30+'Inputs'!$B$31+'Inputs'!$B$32)/1000+'Inputs'!$B$21+'Inputs'!$B$7+'Inputs'!$B$10))^2+('Inputs'!$B$8/2)^2))))*'Results'!$B$8)+'Inputs'!$B$28*ABS((('Results'!B7*(1+'Inputs'!$B$24)*(0.5*((((636-43)*MAX('Inputs'!$B$33,'Inputs'!$B$29+'Inputs'!$B$31+'Inputs'!$B$32,'Inputs'!$B$30+'Inputs'!$B$31+'Inputs'!$B$32)/1000+'Inputs'!$B$21)+'Inputs'!$B$7)/SQRT((((636-43)*MAX('Inputs'!$B$33,'Inputs'!$B$29+'Inputs'!$B$31+'Inputs'!$B$32,'Inputs'!$B$30+'Inputs'!$B$31+'Inputs'!$B$32)/1000+'Inputs'!$B$21)+'Inputs'!$B$7)^2+('Inputs'!$B$6/2)^2)-(((636-43)*MAX('Inputs'!$B$33,'Inputs'!$B$29+'Inputs'!$B$31+'Inputs'!$B$32,'Inputs'!$B$30+'Inputs'!$B$31+'Inputs'!$B$32)/1000+'Inputs'!$B$21))/SQRT((((636-43)*MAX('Inputs'!$B$33,'Inputs'!$B$29+'Inputs'!$B$31+'Inputs'!$B$32,'Inputs'!$B$30+'Inputs'!$B$31+'Inputs'!$B$32)/1000+'Inputs'!$B$21))^2+('Inputs'!$B$6/2)^2)))-'Results'!C7*(1-'Inputs'!$B$24)*(0.5*((((636-43)*MAX('Inputs'!$B$33,'Inputs'!$B$29+'Inputs'!$B$31+'Inputs'!$B$32,'Inputs'!$B$30+'Inputs'!$B$31+'Inputs'!$B$32)/1000+'Inputs'!$B$21+'Inputs'!$B$7+'Inputs'!$B$10)+'Inputs'!$B$9)/SQRT((((636-43)*MAX('Inputs'!$B$33,'Inputs'!$B$29+'Inputs'!$B$31+'Inputs'!$B$32,'Inputs'!$B$30+'Inputs'!$B$31+'Inputs'!$B$32)/1000+'Inputs'!$B$21+'Inputs'!$B$7+'Inputs'!$B$10)+'Inputs'!$B$9)^2+('Inputs'!$B$8/2)^2)-(((636-43)*MAX('Inputs'!$B$33,'Inputs'!$B$29+'Inputs'!$B$31+'Inputs'!$B$32,'Inputs'!$B$30+'Inputs'!$B$31+'Inputs'!$B$32)/1000+'Inputs'!$B$21+'Inputs'!$B$7+'Inputs'!$B$10))/SQRT((((636-43)*MAX('Inputs'!$B$33,'Inputs'!$B$29+'Inputs'!$B$31+'Inputs'!$B$32,'Inputs'!$B$30+'Inputs'!$B$31+'Inputs'!$B$32)/1000+'Inputs'!$B$21+'Inputs'!$B$7+'Inputs'!$B$10))^2+('Inputs'!$B$8/2)^2))))*'Results'!$B$8))),"")</x:f>
        <x:v>2.623113785831189</x:v>
      </x:c>
      <x:c r="M636" t="n">
        <x:f>IF(AND(ISNUMBER('Results'!C7),ISNUMBER('Results'!B7),ISNUMBER('Results'!$B$8),ISNUMBER('Inputs'!$B$6),ISNUMBER('Inputs'!$B$7),ISNUMBER('Inputs'!$B$8),ISNUMBER('Inputs'!$B$9),ISNUMBER('Inputs'!$B$10),ISNUMBER('Inputs'!$B$21),ISNUMBER('Inputs'!$B$24),ISNUMBER('Inputs'!$B$28)),(('Results'!C7*(0.5*((((636-43)*MAX('Inputs'!$B$33,'Inputs'!$B$29+'Inputs'!$B$31+'Inputs'!$B$32,'Inputs'!$B$30+'Inputs'!$B$31+'Inputs'!$B$32)/1000+'Inputs'!$B$21)+'Inputs'!$B$9)/SQRT((((636-43)*MAX('Inputs'!$B$33,'Inputs'!$B$29+'Inputs'!$B$31+'Inputs'!$B$32,'Inputs'!$B$30+'Inputs'!$B$31+'Inputs'!$B$32)/1000+'Inputs'!$B$21)+'Inputs'!$B$9)^2+('Inputs'!$B$8/2)^2)-(((636-43)*MAX('Inputs'!$B$33,'Inputs'!$B$29+'Inputs'!$B$31+'Inputs'!$B$32,'Inputs'!$B$30+'Inputs'!$B$31+'Inputs'!$B$32)/1000+'Inputs'!$B$21))/SQRT((((636-43)*MAX('Inputs'!$B$33,'Inputs'!$B$29+'Inputs'!$B$31+'Inputs'!$B$32,'Inputs'!$B$30+'Inputs'!$B$31+'Inputs'!$B$32)/1000+'Inputs'!$B$21))^2+('Inputs'!$B$8/2)^2)))-'Results'!B7*(0.5*((((636-43)*MAX('Inputs'!$B$33,'Inputs'!$B$29+'Inputs'!$B$31+'Inputs'!$B$32,'Inputs'!$B$30+'Inputs'!$B$31+'Inputs'!$B$32)/1000+'Inputs'!$B$21+'Inputs'!$B$9+'Inputs'!$B$10)+'Inputs'!$B$7)/SQRT((((636-43)*MAX('Inputs'!$B$33,'Inputs'!$B$29+'Inputs'!$B$31+'Inputs'!$B$32,'Inputs'!$B$30+'Inputs'!$B$31+'Inputs'!$B$32)/1000+'Inputs'!$B$21+'Inputs'!$B$9+'Inputs'!$B$10)+'Inputs'!$B$7)^2+('Inputs'!$B$6/2)^2)-(((636-43)*MAX('Inputs'!$B$33,'Inputs'!$B$29+'Inputs'!$B$31+'Inputs'!$B$32,'Inputs'!$B$30+'Inputs'!$B$31+'Inputs'!$B$32)/1000+'Inputs'!$B$21+'Inputs'!$B$9+'Inputs'!$B$10))/SQRT((((636-43)*MAX('Inputs'!$B$33,'Inputs'!$B$29+'Inputs'!$B$31+'Inputs'!$B$32,'Inputs'!$B$30+'Inputs'!$B$31+'Inputs'!$B$32)/1000+'Inputs'!$B$21+'Inputs'!$B$9+'Inputs'!$B$10))^2+('Inputs'!$B$6/2)^2))))*'Results'!$B$8),"")</x:f>
        <x:v>2.1375594926966763</x:v>
      </x:c>
      <x:c r="N636" t="n">
        <x:f>IF(AND(ISNUMBER('Results'!C7),ISNUMBER('Results'!B7),ISNUMBER('Results'!$B$8),ISNUMBER('Inputs'!$B$6),ISNUMBER('Inputs'!$B$7),ISNUMBER('Inputs'!$B$8),ISNUMBER('Inputs'!$B$9),ISNUMBER('Inputs'!$B$10),ISNUMBER('Inputs'!$B$21),ISNUMBER('Inputs'!$B$24),ISNUMBER('Inputs'!$B$28)),((('Results'!C7*(1-'Inputs'!$B$24)*(0.5*((((636-43)*MAX('Inputs'!$B$33,'Inputs'!$B$29+'Inputs'!$B$31+'Inputs'!$B$32,'Inputs'!$B$30+'Inputs'!$B$31+'Inputs'!$B$32)/1000+'Inputs'!$B$21)+'Inputs'!$B$9)/SQRT((((636-43)*MAX('Inputs'!$B$33,'Inputs'!$B$29+'Inputs'!$B$31+'Inputs'!$B$32,'Inputs'!$B$30+'Inputs'!$B$31+'Inputs'!$B$32)/1000+'Inputs'!$B$21)+'Inputs'!$B$9)^2+('Inputs'!$B$8/2)^2)-(((636-43)*MAX('Inputs'!$B$33,'Inputs'!$B$29+'Inputs'!$B$31+'Inputs'!$B$32,'Inputs'!$B$30+'Inputs'!$B$31+'Inputs'!$B$32)/1000+'Inputs'!$B$21))/SQRT((((636-43)*MAX('Inputs'!$B$33,'Inputs'!$B$29+'Inputs'!$B$31+'Inputs'!$B$32,'Inputs'!$B$30+'Inputs'!$B$31+'Inputs'!$B$32)/1000+'Inputs'!$B$21))^2+('Inputs'!$B$8/2)^2)))-'Results'!B7*(1+'Inputs'!$B$24)*(0.5*((((636-43)*MAX('Inputs'!$B$33,'Inputs'!$B$29+'Inputs'!$B$31+'Inputs'!$B$32,'Inputs'!$B$30+'Inputs'!$B$31+'Inputs'!$B$32)/1000+'Inputs'!$B$21+'Inputs'!$B$9+'Inputs'!$B$10)+'Inputs'!$B$7)/SQRT((((636-43)*MAX('Inputs'!$B$33,'Inputs'!$B$29+'Inputs'!$B$31+'Inputs'!$B$32,'Inputs'!$B$30+'Inputs'!$B$31+'Inputs'!$B$32)/1000+'Inputs'!$B$21+'Inputs'!$B$9+'Inputs'!$B$10)+'Inputs'!$B$7)^2+('Inputs'!$B$6/2)^2)-(((636-43)*MAX('Inputs'!$B$33,'Inputs'!$B$29+'Inputs'!$B$31+'Inputs'!$B$32,'Inputs'!$B$30+'Inputs'!$B$31+'Inputs'!$B$32)/1000+'Inputs'!$B$21+'Inputs'!$B$9+'Inputs'!$B$10))/SQRT((((636-43)*MAX('Inputs'!$B$33,'Inputs'!$B$29+'Inputs'!$B$31+'Inputs'!$B$32,'Inputs'!$B$30+'Inputs'!$B$31+'Inputs'!$B$32)/1000+'Inputs'!$B$21+'Inputs'!$B$9+'Inputs'!$B$10))^2+('Inputs'!$B$6/2)^2))))*'Results'!$B$8)-'Inputs'!$B$28*ABS((('Results'!C7*(1-'Inputs'!$B$24)*(0.5*((((636-43)*MAX('Inputs'!$B$33,'Inputs'!$B$29+'Inputs'!$B$31+'Inputs'!$B$32,'Inputs'!$B$30+'Inputs'!$B$31+'Inputs'!$B$32)/1000+'Inputs'!$B$21)+'Inputs'!$B$9)/SQRT((((636-43)*MAX('Inputs'!$B$33,'Inputs'!$B$29+'Inputs'!$B$31+'Inputs'!$B$32,'Inputs'!$B$30+'Inputs'!$B$31+'Inputs'!$B$32)/1000+'Inputs'!$B$21)+'Inputs'!$B$9)^2+('Inputs'!$B$8/2)^2)-(((636-43)*MAX('Inputs'!$B$33,'Inputs'!$B$29+'Inputs'!$B$31+'Inputs'!$B$32,'Inputs'!$B$30+'Inputs'!$B$31+'Inputs'!$B$32)/1000+'Inputs'!$B$21))/SQRT((((636-43)*MAX('Inputs'!$B$33,'Inputs'!$B$29+'Inputs'!$B$31+'Inputs'!$B$32,'Inputs'!$B$30+'Inputs'!$B$31+'Inputs'!$B$32)/1000+'Inputs'!$B$21))^2+('Inputs'!$B$8/2)^2)))-'Results'!B7*(1+'Inputs'!$B$24)*(0.5*((((636-43)*MAX('Inputs'!$B$33,'Inputs'!$B$29+'Inputs'!$B$31+'Inputs'!$B$32,'Inputs'!$B$30+'Inputs'!$B$31+'Inputs'!$B$32)/1000+'Inputs'!$B$21+'Inputs'!$B$9+'Inputs'!$B$10)+'Inputs'!$B$7)/SQRT((((636-43)*MAX('Inputs'!$B$33,'Inputs'!$B$29+'Inputs'!$B$31+'Inputs'!$B$32,'Inputs'!$B$30+'Inputs'!$B$31+'Inputs'!$B$32)/1000+'Inputs'!$B$21+'Inputs'!$B$9+'Inputs'!$B$10)+'Inputs'!$B$7)^2+('Inputs'!$B$6/2)^2)-(((636-43)*MAX('Inputs'!$B$33,'Inputs'!$B$29+'Inputs'!$B$31+'Inputs'!$B$32,'Inputs'!$B$30+'Inputs'!$B$31+'Inputs'!$B$32)/1000+'Inputs'!$B$21+'Inputs'!$B$9+'Inputs'!$B$10))/SQRT((((636-43)*MAX('Inputs'!$B$33,'Inputs'!$B$29+'Inputs'!$B$31+'Inputs'!$B$32,'Inputs'!$B$30+'Inputs'!$B$31+'Inputs'!$B$32)/1000+'Inputs'!$B$21+'Inputs'!$B$9+'Inputs'!$B$10))^2+('Inputs'!$B$6/2)^2))))*'Results'!$B$8))),"")</x:f>
        <x:v>1.8608767353570657</x:v>
      </x:c>
      <x:c r="O636" t="n">
        <x:f>IF(AND(ISNUMBER('Results'!C7),ISNUMBER('Results'!B7),ISNUMBER('Results'!$B$8),ISNUMBER('Inputs'!$B$6),ISNUMBER('Inputs'!$B$7),ISNUMBER('Inputs'!$B$8),ISNUMBER('Inputs'!$B$9),ISNUMBER('Inputs'!$B$10),ISNUMBER('Inputs'!$B$21),ISNUMBER('Inputs'!$B$24),ISNUMBER('Inputs'!$B$28)),((('Results'!C7*(1+'Inputs'!$B$24)*(0.5*((((636-43)*MAX('Inputs'!$B$33,'Inputs'!$B$29+'Inputs'!$B$31+'Inputs'!$B$32,'Inputs'!$B$30+'Inputs'!$B$31+'Inputs'!$B$32)/1000+'Inputs'!$B$21)+'Inputs'!$B$9)/SQRT((((636-43)*MAX('Inputs'!$B$33,'Inputs'!$B$29+'Inputs'!$B$31+'Inputs'!$B$32,'Inputs'!$B$30+'Inputs'!$B$31+'Inputs'!$B$32)/1000+'Inputs'!$B$21)+'Inputs'!$B$9)^2+('Inputs'!$B$8/2)^2)-(((636-43)*MAX('Inputs'!$B$33,'Inputs'!$B$29+'Inputs'!$B$31+'Inputs'!$B$32,'Inputs'!$B$30+'Inputs'!$B$31+'Inputs'!$B$32)/1000+'Inputs'!$B$21))/SQRT((((636-43)*MAX('Inputs'!$B$33,'Inputs'!$B$29+'Inputs'!$B$31+'Inputs'!$B$32,'Inputs'!$B$30+'Inputs'!$B$31+'Inputs'!$B$32)/1000+'Inputs'!$B$21))^2+('Inputs'!$B$8/2)^2)))-'Results'!B7*(1-'Inputs'!$B$24)*(0.5*((((636-43)*MAX('Inputs'!$B$33,'Inputs'!$B$29+'Inputs'!$B$31+'Inputs'!$B$32,'Inputs'!$B$30+'Inputs'!$B$31+'Inputs'!$B$32)/1000+'Inputs'!$B$21+'Inputs'!$B$9+'Inputs'!$B$10)+'Inputs'!$B$7)/SQRT((((636-43)*MAX('Inputs'!$B$33,'Inputs'!$B$29+'Inputs'!$B$31+'Inputs'!$B$32,'Inputs'!$B$30+'Inputs'!$B$31+'Inputs'!$B$32)/1000+'Inputs'!$B$21+'Inputs'!$B$9+'Inputs'!$B$10)+'Inputs'!$B$7)^2+('Inputs'!$B$6/2)^2)-(((636-43)*MAX('Inputs'!$B$33,'Inputs'!$B$29+'Inputs'!$B$31+'Inputs'!$B$32,'Inputs'!$B$30+'Inputs'!$B$31+'Inputs'!$B$32)/1000+'Inputs'!$B$21+'Inputs'!$B$9+'Inputs'!$B$10))/SQRT((((636-43)*MAX('Inputs'!$B$33,'Inputs'!$B$29+'Inputs'!$B$31+'Inputs'!$B$32,'Inputs'!$B$30+'Inputs'!$B$31+'Inputs'!$B$32)/1000+'Inputs'!$B$21+'Inputs'!$B$9+'Inputs'!$B$10))^2+('Inputs'!$B$6/2)^2))))*'Results'!$B$8)+'Inputs'!$B$28*ABS((('Results'!C7*(1+'Inputs'!$B$24)*(0.5*((((636-43)*MAX('Inputs'!$B$33,'Inputs'!$B$29+'Inputs'!$B$31+'Inputs'!$B$32,'Inputs'!$B$30+'Inputs'!$B$31+'Inputs'!$B$32)/1000+'Inputs'!$B$21)+'Inputs'!$B$9)/SQRT((((636-43)*MAX('Inputs'!$B$33,'Inputs'!$B$29+'Inputs'!$B$31+'Inputs'!$B$32,'Inputs'!$B$30+'Inputs'!$B$31+'Inputs'!$B$32)/1000+'Inputs'!$B$21)+'Inputs'!$B$9)^2+('Inputs'!$B$8/2)^2)-(((636-43)*MAX('Inputs'!$B$33,'Inputs'!$B$29+'Inputs'!$B$31+'Inputs'!$B$32,'Inputs'!$B$30+'Inputs'!$B$31+'Inputs'!$B$32)/1000+'Inputs'!$B$21))/SQRT((((636-43)*MAX('Inputs'!$B$33,'Inputs'!$B$29+'Inputs'!$B$31+'Inputs'!$B$32,'Inputs'!$B$30+'Inputs'!$B$31+'Inputs'!$B$32)/1000+'Inputs'!$B$21))^2+('Inputs'!$B$8/2)^2)))-'Results'!B7*(1-'Inputs'!$B$24)*(0.5*((((636-43)*MAX('Inputs'!$B$33,'Inputs'!$B$29+'Inputs'!$B$31+'Inputs'!$B$32,'Inputs'!$B$30+'Inputs'!$B$31+'Inputs'!$B$32)/1000+'Inputs'!$B$21+'Inputs'!$B$9+'Inputs'!$B$10)+'Inputs'!$B$7)/SQRT((((636-43)*MAX('Inputs'!$B$33,'Inputs'!$B$29+'Inputs'!$B$31+'Inputs'!$B$32,'Inputs'!$B$30+'Inputs'!$B$31+'Inputs'!$B$32)/1000+'Inputs'!$B$21+'Inputs'!$B$9+'Inputs'!$B$10)+'Inputs'!$B$7)^2+('Inputs'!$B$6/2)^2)-(((636-43)*MAX('Inputs'!$B$33,'Inputs'!$B$29+'Inputs'!$B$31+'Inputs'!$B$32,'Inputs'!$B$30+'Inputs'!$B$31+'Inputs'!$B$32)/1000+'Inputs'!$B$21+'Inputs'!$B$9+'Inputs'!$B$10))/SQRT((((636-43)*MAX('Inputs'!$B$33,'Inputs'!$B$29+'Inputs'!$B$31+'Inputs'!$B$32,'Inputs'!$B$30+'Inputs'!$B$31+'Inputs'!$B$32)/1000+'Inputs'!$B$21+'Inputs'!$B$9+'Inputs'!$B$10))^2+('Inputs'!$B$6/2)^2))))*'Results'!$B$8))),"")</x:f>
        <x:v>2.4321164376894213</x:v>
      </x:c>
      <x:c r="P636" t="n">
        <x:f>IF(AND(MAX(J636,J635)&gt;0,J636&gt;J635+0.00000001),1,0)</x:f>
        <x:v>0</x:v>
      </x:c>
      <x:c r="Q636" t="n">
        <x:f>IF(AND(MAX(K636,K635)&gt;0,K636&gt;K635+0.00000001),1,0)</x:f>
        <x:v>0</x:v>
      </x:c>
      <x:c r="R636" t="n">
        <x:f>IF(AND(MAX(L636,L635)&gt;0,L636&gt;L635+0.00000001),1,0)</x:f>
        <x:v>0</x:v>
      </x:c>
      <x:c r="S636" t="n">
        <x:f>IF(AND(MAX(M636,M635)&gt;0,M636&gt;M635+0.00000001),1,0)</x:f>
        <x:v>0</x:v>
      </x:c>
      <x:c r="T636" t="n">
        <x:f>IF(AND(MAX(N636,N635)&gt;0,N636&gt;N635+0.00000001),1,0)</x:f>
        <x:v>0</x:v>
      </x:c>
      <x:c r="U636" t="n">
        <x:f>IF(AND(MAX(O636,O635)&gt;0,O636&gt;O635+0.00000001),1,0)</x:f>
        <x:v>0</x:v>
      </x:c>
    </x:row>
    <x:row r="637">
      <x:c r="J637" t="n">
        <x:f>IF(AND(ISNUMBER('Results'!B7),ISNUMBER('Results'!C7),ISNUMBER('Results'!$B$8),ISNUMBER('Inputs'!$B$6),ISNUMBER('Inputs'!$B$7),ISNUMBER('Inputs'!$B$8),ISNUMBER('Inputs'!$B$9),ISNUMBER('Inputs'!$B$10),ISNUMBER('Inputs'!$B$21),ISNUMBER('Inputs'!$B$24),ISNUMBER('Inputs'!$B$28)),(('Results'!B7*(0.5*((((637-43)*MAX('Inputs'!$B$33,'Inputs'!$B$29+'Inputs'!$B$31+'Inputs'!$B$32,'Inputs'!$B$30+'Inputs'!$B$31+'Inputs'!$B$32)/1000+'Inputs'!$B$21)+'Inputs'!$B$7)/SQRT((((637-43)*MAX('Inputs'!$B$33,'Inputs'!$B$29+'Inputs'!$B$31+'Inputs'!$B$32,'Inputs'!$B$30+'Inputs'!$B$31+'Inputs'!$B$32)/1000+'Inputs'!$B$21)+'Inputs'!$B$7)^2+('Inputs'!$B$6/2)^2)-(((637-43)*MAX('Inputs'!$B$33,'Inputs'!$B$29+'Inputs'!$B$31+'Inputs'!$B$32,'Inputs'!$B$30+'Inputs'!$B$31+'Inputs'!$B$32)/1000+'Inputs'!$B$21))/SQRT((((637-43)*MAX('Inputs'!$B$33,'Inputs'!$B$29+'Inputs'!$B$31+'Inputs'!$B$32,'Inputs'!$B$30+'Inputs'!$B$31+'Inputs'!$B$32)/1000+'Inputs'!$B$21))^2+('Inputs'!$B$6/2)^2)))-'Results'!C7*(0.5*((((637-43)*MAX('Inputs'!$B$33,'Inputs'!$B$29+'Inputs'!$B$31+'Inputs'!$B$32,'Inputs'!$B$30+'Inputs'!$B$31+'Inputs'!$B$32)/1000+'Inputs'!$B$21+'Inputs'!$B$7+'Inputs'!$B$10)+'Inputs'!$B$9)/SQRT((((637-43)*MAX('Inputs'!$B$33,'Inputs'!$B$29+'Inputs'!$B$31+'Inputs'!$B$32,'Inputs'!$B$30+'Inputs'!$B$31+'Inputs'!$B$32)/1000+'Inputs'!$B$21+'Inputs'!$B$7+'Inputs'!$B$10)+'Inputs'!$B$9)^2+('Inputs'!$B$8/2)^2)-(((637-43)*MAX('Inputs'!$B$33,'Inputs'!$B$29+'Inputs'!$B$31+'Inputs'!$B$32,'Inputs'!$B$30+'Inputs'!$B$31+'Inputs'!$B$32)/1000+'Inputs'!$B$21+'Inputs'!$B$7+'Inputs'!$B$10))/SQRT((((637-43)*MAX('Inputs'!$B$33,'Inputs'!$B$29+'Inputs'!$B$31+'Inputs'!$B$32,'Inputs'!$B$30+'Inputs'!$B$31+'Inputs'!$B$32)/1000+'Inputs'!$B$21+'Inputs'!$B$7+'Inputs'!$B$10))^2+('Inputs'!$B$8/2)^2))))*'Results'!$B$8),"")</x:f>
        <x:v>2.304962564173525</x:v>
      </x:c>
      <x:c r="K637" t="n">
        <x:f>IF(AND(ISNUMBER('Results'!B7),ISNUMBER('Results'!C7),ISNUMBER('Results'!$B$8),ISNUMBER('Inputs'!$B$6),ISNUMBER('Inputs'!$B$7),ISNUMBER('Inputs'!$B$8),ISNUMBER('Inputs'!$B$9),ISNUMBER('Inputs'!$B$10),ISNUMBER('Inputs'!$B$21),ISNUMBER('Inputs'!$B$24),ISNUMBER('Inputs'!$B$28)),((('Results'!B7*(1-'Inputs'!$B$24)*(0.5*((((637-43)*MAX('Inputs'!$B$33,'Inputs'!$B$29+'Inputs'!$B$31+'Inputs'!$B$32,'Inputs'!$B$30+'Inputs'!$B$31+'Inputs'!$B$32)/1000+'Inputs'!$B$21)+'Inputs'!$B$7)/SQRT((((637-43)*MAX('Inputs'!$B$33,'Inputs'!$B$29+'Inputs'!$B$31+'Inputs'!$B$32,'Inputs'!$B$30+'Inputs'!$B$31+'Inputs'!$B$32)/1000+'Inputs'!$B$21)+'Inputs'!$B$7)^2+('Inputs'!$B$6/2)^2)-(((637-43)*MAX('Inputs'!$B$33,'Inputs'!$B$29+'Inputs'!$B$31+'Inputs'!$B$32,'Inputs'!$B$30+'Inputs'!$B$31+'Inputs'!$B$32)/1000+'Inputs'!$B$21))/SQRT((((637-43)*MAX('Inputs'!$B$33,'Inputs'!$B$29+'Inputs'!$B$31+'Inputs'!$B$32,'Inputs'!$B$30+'Inputs'!$B$31+'Inputs'!$B$32)/1000+'Inputs'!$B$21))^2+('Inputs'!$B$6/2)^2)))-'Results'!C7*(1+'Inputs'!$B$24)*(0.5*((((637-43)*MAX('Inputs'!$B$33,'Inputs'!$B$29+'Inputs'!$B$31+'Inputs'!$B$32,'Inputs'!$B$30+'Inputs'!$B$31+'Inputs'!$B$32)/1000+'Inputs'!$B$21+'Inputs'!$B$7+'Inputs'!$B$10)+'Inputs'!$B$9)/SQRT((((637-43)*MAX('Inputs'!$B$33,'Inputs'!$B$29+'Inputs'!$B$31+'Inputs'!$B$32,'Inputs'!$B$30+'Inputs'!$B$31+'Inputs'!$B$32)/1000+'Inputs'!$B$21+'Inputs'!$B$7+'Inputs'!$B$10)+'Inputs'!$B$9)^2+('Inputs'!$B$8/2)^2)-(((637-43)*MAX('Inputs'!$B$33,'Inputs'!$B$29+'Inputs'!$B$31+'Inputs'!$B$32,'Inputs'!$B$30+'Inputs'!$B$31+'Inputs'!$B$32)/1000+'Inputs'!$B$21+'Inputs'!$B$7+'Inputs'!$B$10))/SQRT((((637-43)*MAX('Inputs'!$B$33,'Inputs'!$B$29+'Inputs'!$B$31+'Inputs'!$B$32,'Inputs'!$B$30+'Inputs'!$B$31+'Inputs'!$B$32)/1000+'Inputs'!$B$21+'Inputs'!$B$7+'Inputs'!$B$10))^2+('Inputs'!$B$8/2)^2))))*'Results'!$B$8)-'Inputs'!$B$28*ABS((('Results'!B7*(1-'Inputs'!$B$24)*(0.5*((((637-43)*MAX('Inputs'!$B$33,'Inputs'!$B$29+'Inputs'!$B$31+'Inputs'!$B$32,'Inputs'!$B$30+'Inputs'!$B$31+'Inputs'!$B$32)/1000+'Inputs'!$B$21)+'Inputs'!$B$7)/SQRT((((637-43)*MAX('Inputs'!$B$33,'Inputs'!$B$29+'Inputs'!$B$31+'Inputs'!$B$32,'Inputs'!$B$30+'Inputs'!$B$31+'Inputs'!$B$32)/1000+'Inputs'!$B$21)+'Inputs'!$B$7)^2+('Inputs'!$B$6/2)^2)-(((637-43)*MAX('Inputs'!$B$33,'Inputs'!$B$29+'Inputs'!$B$31+'Inputs'!$B$32,'Inputs'!$B$30+'Inputs'!$B$31+'Inputs'!$B$32)/1000+'Inputs'!$B$21))/SQRT((((637-43)*MAX('Inputs'!$B$33,'Inputs'!$B$29+'Inputs'!$B$31+'Inputs'!$B$32,'Inputs'!$B$30+'Inputs'!$B$31+'Inputs'!$B$32)/1000+'Inputs'!$B$21))^2+('Inputs'!$B$6/2)^2)))-'Results'!C7*(1+'Inputs'!$B$24)*(0.5*((((637-43)*MAX('Inputs'!$B$33,'Inputs'!$B$29+'Inputs'!$B$31+'Inputs'!$B$32,'Inputs'!$B$30+'Inputs'!$B$31+'Inputs'!$B$32)/1000+'Inputs'!$B$21+'Inputs'!$B$7+'Inputs'!$B$10)+'Inputs'!$B$9)/SQRT((((637-43)*MAX('Inputs'!$B$33,'Inputs'!$B$29+'Inputs'!$B$31+'Inputs'!$B$32,'Inputs'!$B$30+'Inputs'!$B$31+'Inputs'!$B$32)/1000+'Inputs'!$B$21+'Inputs'!$B$7+'Inputs'!$B$10)+'Inputs'!$B$9)^2+('Inputs'!$B$8/2)^2)-(((637-43)*MAX('Inputs'!$B$33,'Inputs'!$B$29+'Inputs'!$B$31+'Inputs'!$B$32,'Inputs'!$B$30+'Inputs'!$B$31+'Inputs'!$B$32)/1000+'Inputs'!$B$21+'Inputs'!$B$7+'Inputs'!$B$10))/SQRT((((637-43)*MAX('Inputs'!$B$33,'Inputs'!$B$29+'Inputs'!$B$31+'Inputs'!$B$32,'Inputs'!$B$30+'Inputs'!$B$31+'Inputs'!$B$32)/1000+'Inputs'!$B$21+'Inputs'!$B$7+'Inputs'!$B$10))^2+('Inputs'!$B$8/2)^2))))*'Results'!$B$8))),"")</x:f>
        <x:v>2.019827840333014</x:v>
      </x:c>
      <x:c r="L637" t="n">
        <x:f>IF(AND(ISNUMBER('Results'!B7),ISNUMBER('Results'!C7),ISNUMBER('Results'!$B$8),ISNUMBER('Inputs'!$B$6),ISNUMBER('Inputs'!$B$7),ISNUMBER('Inputs'!$B$8),ISNUMBER('Inputs'!$B$9),ISNUMBER('Inputs'!$B$10),ISNUMBER('Inputs'!$B$21),ISNUMBER('Inputs'!$B$24),ISNUMBER('Inputs'!$B$28)),((('Results'!B7*(1+'Inputs'!$B$24)*(0.5*((((637-43)*MAX('Inputs'!$B$33,'Inputs'!$B$29+'Inputs'!$B$31+'Inputs'!$B$32,'Inputs'!$B$30+'Inputs'!$B$31+'Inputs'!$B$32)/1000+'Inputs'!$B$21)+'Inputs'!$B$7)/SQRT((((637-43)*MAX('Inputs'!$B$33,'Inputs'!$B$29+'Inputs'!$B$31+'Inputs'!$B$32,'Inputs'!$B$30+'Inputs'!$B$31+'Inputs'!$B$32)/1000+'Inputs'!$B$21)+'Inputs'!$B$7)^2+('Inputs'!$B$6/2)^2)-(((637-43)*MAX('Inputs'!$B$33,'Inputs'!$B$29+'Inputs'!$B$31+'Inputs'!$B$32,'Inputs'!$B$30+'Inputs'!$B$31+'Inputs'!$B$32)/1000+'Inputs'!$B$21))/SQRT((((637-43)*MAX('Inputs'!$B$33,'Inputs'!$B$29+'Inputs'!$B$31+'Inputs'!$B$32,'Inputs'!$B$30+'Inputs'!$B$31+'Inputs'!$B$32)/1000+'Inputs'!$B$21))^2+('Inputs'!$B$6/2)^2)))-'Results'!C7*(1-'Inputs'!$B$24)*(0.5*((((637-43)*MAX('Inputs'!$B$33,'Inputs'!$B$29+'Inputs'!$B$31+'Inputs'!$B$32,'Inputs'!$B$30+'Inputs'!$B$31+'Inputs'!$B$32)/1000+'Inputs'!$B$21+'Inputs'!$B$7+'Inputs'!$B$10)+'Inputs'!$B$9)/SQRT((((637-43)*MAX('Inputs'!$B$33,'Inputs'!$B$29+'Inputs'!$B$31+'Inputs'!$B$32,'Inputs'!$B$30+'Inputs'!$B$31+'Inputs'!$B$32)/1000+'Inputs'!$B$21+'Inputs'!$B$7+'Inputs'!$B$10)+'Inputs'!$B$9)^2+('Inputs'!$B$8/2)^2)-(((637-43)*MAX('Inputs'!$B$33,'Inputs'!$B$29+'Inputs'!$B$31+'Inputs'!$B$32,'Inputs'!$B$30+'Inputs'!$B$31+'Inputs'!$B$32)/1000+'Inputs'!$B$21+'Inputs'!$B$7+'Inputs'!$B$10))/SQRT((((637-43)*MAX('Inputs'!$B$33,'Inputs'!$B$29+'Inputs'!$B$31+'Inputs'!$B$32,'Inputs'!$B$30+'Inputs'!$B$31+'Inputs'!$B$32)/1000+'Inputs'!$B$21+'Inputs'!$B$7+'Inputs'!$B$10))^2+('Inputs'!$B$8/2)^2))))*'Results'!$B$8)+'Inputs'!$B$28*ABS((('Results'!B7*(1+'Inputs'!$B$24)*(0.5*((((637-43)*MAX('Inputs'!$B$33,'Inputs'!$B$29+'Inputs'!$B$31+'Inputs'!$B$32,'Inputs'!$B$30+'Inputs'!$B$31+'Inputs'!$B$32)/1000+'Inputs'!$B$21)+'Inputs'!$B$7)/SQRT((((637-43)*MAX('Inputs'!$B$33,'Inputs'!$B$29+'Inputs'!$B$31+'Inputs'!$B$32,'Inputs'!$B$30+'Inputs'!$B$31+'Inputs'!$B$32)/1000+'Inputs'!$B$21)+'Inputs'!$B$7)^2+('Inputs'!$B$6/2)^2)-(((637-43)*MAX('Inputs'!$B$33,'Inputs'!$B$29+'Inputs'!$B$31+'Inputs'!$B$32,'Inputs'!$B$30+'Inputs'!$B$31+'Inputs'!$B$32)/1000+'Inputs'!$B$21))/SQRT((((637-43)*MAX('Inputs'!$B$33,'Inputs'!$B$29+'Inputs'!$B$31+'Inputs'!$B$32,'Inputs'!$B$30+'Inputs'!$B$31+'Inputs'!$B$32)/1000+'Inputs'!$B$21))^2+('Inputs'!$B$6/2)^2)))-'Results'!C7*(1-'Inputs'!$B$24)*(0.5*((((637-43)*MAX('Inputs'!$B$33,'Inputs'!$B$29+'Inputs'!$B$31+'Inputs'!$B$32,'Inputs'!$B$30+'Inputs'!$B$31+'Inputs'!$B$32)/1000+'Inputs'!$B$21+'Inputs'!$B$7+'Inputs'!$B$10)+'Inputs'!$B$9)/SQRT((((637-43)*MAX('Inputs'!$B$33,'Inputs'!$B$29+'Inputs'!$B$31+'Inputs'!$B$32,'Inputs'!$B$30+'Inputs'!$B$31+'Inputs'!$B$32)/1000+'Inputs'!$B$21+'Inputs'!$B$7+'Inputs'!$B$10)+'Inputs'!$B$9)^2+('Inputs'!$B$8/2)^2)-(((637-43)*MAX('Inputs'!$B$33,'Inputs'!$B$29+'Inputs'!$B$31+'Inputs'!$B$32,'Inputs'!$B$30+'Inputs'!$B$31+'Inputs'!$B$32)/1000+'Inputs'!$B$21+'Inputs'!$B$7+'Inputs'!$B$10))/SQRT((((637-43)*MAX('Inputs'!$B$33,'Inputs'!$B$29+'Inputs'!$B$31+'Inputs'!$B$32,'Inputs'!$B$30+'Inputs'!$B$31+'Inputs'!$B$32)/1000+'Inputs'!$B$21+'Inputs'!$B$7+'Inputs'!$B$10))^2+('Inputs'!$B$8/2)^2))))*'Results'!$B$8))),"")</x:f>
        <x:v>2.607980087554228</x:v>
      </x:c>
      <x:c r="M637" t="n">
        <x:f>IF(AND(ISNUMBER('Results'!C7),ISNUMBER('Results'!B7),ISNUMBER('Results'!$B$8),ISNUMBER('Inputs'!$B$6),ISNUMBER('Inputs'!$B$7),ISNUMBER('Inputs'!$B$8),ISNUMBER('Inputs'!$B$9),ISNUMBER('Inputs'!$B$10),ISNUMBER('Inputs'!$B$21),ISNUMBER('Inputs'!$B$24),ISNUMBER('Inputs'!$B$28)),(('Results'!C7*(0.5*((((637-43)*MAX('Inputs'!$B$33,'Inputs'!$B$29+'Inputs'!$B$31+'Inputs'!$B$32,'Inputs'!$B$30+'Inputs'!$B$31+'Inputs'!$B$32)/1000+'Inputs'!$B$21)+'Inputs'!$B$9)/SQRT((((637-43)*MAX('Inputs'!$B$33,'Inputs'!$B$29+'Inputs'!$B$31+'Inputs'!$B$32,'Inputs'!$B$30+'Inputs'!$B$31+'Inputs'!$B$32)/1000+'Inputs'!$B$21)+'Inputs'!$B$9)^2+('Inputs'!$B$8/2)^2)-(((637-43)*MAX('Inputs'!$B$33,'Inputs'!$B$29+'Inputs'!$B$31+'Inputs'!$B$32,'Inputs'!$B$30+'Inputs'!$B$31+'Inputs'!$B$32)/1000+'Inputs'!$B$21))/SQRT((((637-43)*MAX('Inputs'!$B$33,'Inputs'!$B$29+'Inputs'!$B$31+'Inputs'!$B$32,'Inputs'!$B$30+'Inputs'!$B$31+'Inputs'!$B$32)/1000+'Inputs'!$B$21))^2+('Inputs'!$B$8/2)^2)))-'Results'!B7*(0.5*((((637-43)*MAX('Inputs'!$B$33,'Inputs'!$B$29+'Inputs'!$B$31+'Inputs'!$B$32,'Inputs'!$B$30+'Inputs'!$B$31+'Inputs'!$B$32)/1000+'Inputs'!$B$21+'Inputs'!$B$9+'Inputs'!$B$10)+'Inputs'!$B$7)/SQRT((((637-43)*MAX('Inputs'!$B$33,'Inputs'!$B$29+'Inputs'!$B$31+'Inputs'!$B$32,'Inputs'!$B$30+'Inputs'!$B$31+'Inputs'!$B$32)/1000+'Inputs'!$B$21+'Inputs'!$B$9+'Inputs'!$B$10)+'Inputs'!$B$7)^2+('Inputs'!$B$6/2)^2)-(((637-43)*MAX('Inputs'!$B$33,'Inputs'!$B$29+'Inputs'!$B$31+'Inputs'!$B$32,'Inputs'!$B$30+'Inputs'!$B$31+'Inputs'!$B$32)/1000+'Inputs'!$B$21+'Inputs'!$B$9+'Inputs'!$B$10))/SQRT((((637-43)*MAX('Inputs'!$B$33,'Inputs'!$B$29+'Inputs'!$B$31+'Inputs'!$B$32,'Inputs'!$B$30+'Inputs'!$B$31+'Inputs'!$B$32)/1000+'Inputs'!$B$21+'Inputs'!$B$9+'Inputs'!$B$10))^2+('Inputs'!$B$6/2)^2))))*'Results'!$B$8),"")</x:f>
        <x:v>2.12478019383161</x:v>
      </x:c>
      <x:c r="N637" t="n">
        <x:f>IF(AND(ISNUMBER('Results'!C7),ISNUMBER('Results'!B7),ISNUMBER('Results'!$B$8),ISNUMBER('Inputs'!$B$6),ISNUMBER('Inputs'!$B$7),ISNUMBER('Inputs'!$B$8),ISNUMBER('Inputs'!$B$9),ISNUMBER('Inputs'!$B$10),ISNUMBER('Inputs'!$B$21),ISNUMBER('Inputs'!$B$24),ISNUMBER('Inputs'!$B$28)),((('Results'!C7*(1-'Inputs'!$B$24)*(0.5*((((637-43)*MAX('Inputs'!$B$33,'Inputs'!$B$29+'Inputs'!$B$31+'Inputs'!$B$32,'Inputs'!$B$30+'Inputs'!$B$31+'Inputs'!$B$32)/1000+'Inputs'!$B$21)+'Inputs'!$B$9)/SQRT((((637-43)*MAX('Inputs'!$B$33,'Inputs'!$B$29+'Inputs'!$B$31+'Inputs'!$B$32,'Inputs'!$B$30+'Inputs'!$B$31+'Inputs'!$B$32)/1000+'Inputs'!$B$21)+'Inputs'!$B$9)^2+('Inputs'!$B$8/2)^2)-(((637-43)*MAX('Inputs'!$B$33,'Inputs'!$B$29+'Inputs'!$B$31+'Inputs'!$B$32,'Inputs'!$B$30+'Inputs'!$B$31+'Inputs'!$B$32)/1000+'Inputs'!$B$21))/SQRT((((637-43)*MAX('Inputs'!$B$33,'Inputs'!$B$29+'Inputs'!$B$31+'Inputs'!$B$32,'Inputs'!$B$30+'Inputs'!$B$31+'Inputs'!$B$32)/1000+'Inputs'!$B$21))^2+('Inputs'!$B$8/2)^2)))-'Results'!B7*(1+'Inputs'!$B$24)*(0.5*((((637-43)*MAX('Inputs'!$B$33,'Inputs'!$B$29+'Inputs'!$B$31+'Inputs'!$B$32,'Inputs'!$B$30+'Inputs'!$B$31+'Inputs'!$B$32)/1000+'Inputs'!$B$21+'Inputs'!$B$9+'Inputs'!$B$10)+'Inputs'!$B$7)/SQRT((((637-43)*MAX('Inputs'!$B$33,'Inputs'!$B$29+'Inputs'!$B$31+'Inputs'!$B$32,'Inputs'!$B$30+'Inputs'!$B$31+'Inputs'!$B$32)/1000+'Inputs'!$B$21+'Inputs'!$B$9+'Inputs'!$B$10)+'Inputs'!$B$7)^2+('Inputs'!$B$6/2)^2)-(((637-43)*MAX('Inputs'!$B$33,'Inputs'!$B$29+'Inputs'!$B$31+'Inputs'!$B$32,'Inputs'!$B$30+'Inputs'!$B$31+'Inputs'!$B$32)/1000+'Inputs'!$B$21+'Inputs'!$B$9+'Inputs'!$B$10))/SQRT((((637-43)*MAX('Inputs'!$B$33,'Inputs'!$B$29+'Inputs'!$B$31+'Inputs'!$B$32,'Inputs'!$B$30+'Inputs'!$B$31+'Inputs'!$B$32)/1000+'Inputs'!$B$21+'Inputs'!$B$9+'Inputs'!$B$10))^2+('Inputs'!$B$6/2)^2))))*'Results'!$B$8)-'Inputs'!$B$28*ABS((('Results'!C7*(1-'Inputs'!$B$24)*(0.5*((((637-43)*MAX('Inputs'!$B$33,'Inputs'!$B$29+'Inputs'!$B$31+'Inputs'!$B$32,'Inputs'!$B$30+'Inputs'!$B$31+'Inputs'!$B$32)/1000+'Inputs'!$B$21)+'Inputs'!$B$9)/SQRT((((637-43)*MAX('Inputs'!$B$33,'Inputs'!$B$29+'Inputs'!$B$31+'Inputs'!$B$32,'Inputs'!$B$30+'Inputs'!$B$31+'Inputs'!$B$32)/1000+'Inputs'!$B$21)+'Inputs'!$B$9)^2+('Inputs'!$B$8/2)^2)-(((637-43)*MAX('Inputs'!$B$33,'Inputs'!$B$29+'Inputs'!$B$31+'Inputs'!$B$32,'Inputs'!$B$30+'Inputs'!$B$31+'Inputs'!$B$32)/1000+'Inputs'!$B$21))/SQRT((((637-43)*MAX('Inputs'!$B$33,'Inputs'!$B$29+'Inputs'!$B$31+'Inputs'!$B$32,'Inputs'!$B$30+'Inputs'!$B$31+'Inputs'!$B$32)/1000+'Inputs'!$B$21))^2+('Inputs'!$B$8/2)^2)))-'Results'!B7*(1+'Inputs'!$B$24)*(0.5*((((637-43)*MAX('Inputs'!$B$33,'Inputs'!$B$29+'Inputs'!$B$31+'Inputs'!$B$32,'Inputs'!$B$30+'Inputs'!$B$31+'Inputs'!$B$32)/1000+'Inputs'!$B$21+'Inputs'!$B$9+'Inputs'!$B$10)+'Inputs'!$B$7)/SQRT((((637-43)*MAX('Inputs'!$B$33,'Inputs'!$B$29+'Inputs'!$B$31+'Inputs'!$B$32,'Inputs'!$B$30+'Inputs'!$B$31+'Inputs'!$B$32)/1000+'Inputs'!$B$21+'Inputs'!$B$9+'Inputs'!$B$10)+'Inputs'!$B$7)^2+('Inputs'!$B$6/2)^2)-(((637-43)*MAX('Inputs'!$B$33,'Inputs'!$B$29+'Inputs'!$B$31+'Inputs'!$B$32,'Inputs'!$B$30+'Inputs'!$B$31+'Inputs'!$B$32)/1000+'Inputs'!$B$21+'Inputs'!$B$9+'Inputs'!$B$10))/SQRT((((637-43)*MAX('Inputs'!$B$33,'Inputs'!$B$29+'Inputs'!$B$31+'Inputs'!$B$32,'Inputs'!$B$30+'Inputs'!$B$31+'Inputs'!$B$32)/1000+'Inputs'!$B$21+'Inputs'!$B$9+'Inputs'!$B$10))^2+('Inputs'!$B$6/2)^2))))*'Results'!$B$8))),"")</x:f>
        <x:v>1.849504741158722</x:v>
      </x:c>
      <x:c r="O637" t="n">
        <x:f>IF(AND(ISNUMBER('Results'!C7),ISNUMBER('Results'!B7),ISNUMBER('Results'!$B$8),ISNUMBER('Inputs'!$B$6),ISNUMBER('Inputs'!$B$7),ISNUMBER('Inputs'!$B$8),ISNUMBER('Inputs'!$B$9),ISNUMBER('Inputs'!$B$10),ISNUMBER('Inputs'!$B$21),ISNUMBER('Inputs'!$B$24),ISNUMBER('Inputs'!$B$28)),((('Results'!C7*(1+'Inputs'!$B$24)*(0.5*((((637-43)*MAX('Inputs'!$B$33,'Inputs'!$B$29+'Inputs'!$B$31+'Inputs'!$B$32,'Inputs'!$B$30+'Inputs'!$B$31+'Inputs'!$B$32)/1000+'Inputs'!$B$21)+'Inputs'!$B$9)/SQRT((((637-43)*MAX('Inputs'!$B$33,'Inputs'!$B$29+'Inputs'!$B$31+'Inputs'!$B$32,'Inputs'!$B$30+'Inputs'!$B$31+'Inputs'!$B$32)/1000+'Inputs'!$B$21)+'Inputs'!$B$9)^2+('Inputs'!$B$8/2)^2)-(((637-43)*MAX('Inputs'!$B$33,'Inputs'!$B$29+'Inputs'!$B$31+'Inputs'!$B$32,'Inputs'!$B$30+'Inputs'!$B$31+'Inputs'!$B$32)/1000+'Inputs'!$B$21))/SQRT((((637-43)*MAX('Inputs'!$B$33,'Inputs'!$B$29+'Inputs'!$B$31+'Inputs'!$B$32,'Inputs'!$B$30+'Inputs'!$B$31+'Inputs'!$B$32)/1000+'Inputs'!$B$21))^2+('Inputs'!$B$8/2)^2)))-'Results'!B7*(1-'Inputs'!$B$24)*(0.5*((((637-43)*MAX('Inputs'!$B$33,'Inputs'!$B$29+'Inputs'!$B$31+'Inputs'!$B$32,'Inputs'!$B$30+'Inputs'!$B$31+'Inputs'!$B$32)/1000+'Inputs'!$B$21+'Inputs'!$B$9+'Inputs'!$B$10)+'Inputs'!$B$7)/SQRT((((637-43)*MAX('Inputs'!$B$33,'Inputs'!$B$29+'Inputs'!$B$31+'Inputs'!$B$32,'Inputs'!$B$30+'Inputs'!$B$31+'Inputs'!$B$32)/1000+'Inputs'!$B$21+'Inputs'!$B$9+'Inputs'!$B$10)+'Inputs'!$B$7)^2+('Inputs'!$B$6/2)^2)-(((637-43)*MAX('Inputs'!$B$33,'Inputs'!$B$29+'Inputs'!$B$31+'Inputs'!$B$32,'Inputs'!$B$30+'Inputs'!$B$31+'Inputs'!$B$32)/1000+'Inputs'!$B$21+'Inputs'!$B$9+'Inputs'!$B$10))/SQRT((((637-43)*MAX('Inputs'!$B$33,'Inputs'!$B$29+'Inputs'!$B$31+'Inputs'!$B$32,'Inputs'!$B$30+'Inputs'!$B$31+'Inputs'!$B$32)/1000+'Inputs'!$B$21+'Inputs'!$B$9+'Inputs'!$B$10))^2+('Inputs'!$B$6/2)^2))))*'Results'!$B$8)+'Inputs'!$B$28*ABS((('Results'!C7*(1+'Inputs'!$B$24)*(0.5*((((637-43)*MAX('Inputs'!$B$33,'Inputs'!$B$29+'Inputs'!$B$31+'Inputs'!$B$32,'Inputs'!$B$30+'Inputs'!$B$31+'Inputs'!$B$32)/1000+'Inputs'!$B$21)+'Inputs'!$B$9)/SQRT((((637-43)*MAX('Inputs'!$B$33,'Inputs'!$B$29+'Inputs'!$B$31+'Inputs'!$B$32,'Inputs'!$B$30+'Inputs'!$B$31+'Inputs'!$B$32)/1000+'Inputs'!$B$21)+'Inputs'!$B$9)^2+('Inputs'!$B$8/2)^2)-(((637-43)*MAX('Inputs'!$B$33,'Inputs'!$B$29+'Inputs'!$B$31+'Inputs'!$B$32,'Inputs'!$B$30+'Inputs'!$B$31+'Inputs'!$B$32)/1000+'Inputs'!$B$21))/SQRT((((637-43)*MAX('Inputs'!$B$33,'Inputs'!$B$29+'Inputs'!$B$31+'Inputs'!$B$32,'Inputs'!$B$30+'Inputs'!$B$31+'Inputs'!$B$32)/1000+'Inputs'!$B$21))^2+('Inputs'!$B$8/2)^2)))-'Results'!B7*(1-'Inputs'!$B$24)*(0.5*((((637-43)*MAX('Inputs'!$B$33,'Inputs'!$B$29+'Inputs'!$B$31+'Inputs'!$B$32,'Inputs'!$B$30+'Inputs'!$B$31+'Inputs'!$B$32)/1000+'Inputs'!$B$21+'Inputs'!$B$9+'Inputs'!$B$10)+'Inputs'!$B$7)/SQRT((((637-43)*MAX('Inputs'!$B$33,'Inputs'!$B$29+'Inputs'!$B$31+'Inputs'!$B$32,'Inputs'!$B$30+'Inputs'!$B$31+'Inputs'!$B$32)/1000+'Inputs'!$B$21+'Inputs'!$B$9+'Inputs'!$B$10)+'Inputs'!$B$7)^2+('Inputs'!$B$6/2)^2)-(((637-43)*MAX('Inputs'!$B$33,'Inputs'!$B$29+'Inputs'!$B$31+'Inputs'!$B$32,'Inputs'!$B$30+'Inputs'!$B$31+'Inputs'!$B$32)/1000+'Inputs'!$B$21+'Inputs'!$B$9+'Inputs'!$B$10))/SQRT((((637-43)*MAX('Inputs'!$B$33,'Inputs'!$B$29+'Inputs'!$B$31+'Inputs'!$B$32,'Inputs'!$B$30+'Inputs'!$B$31+'Inputs'!$B$32)/1000+'Inputs'!$B$21+'Inputs'!$B$9+'Inputs'!$B$10))^2+('Inputs'!$B$6/2)^2))))*'Results'!$B$8))),"")</x:f>
        <x:v>2.4178489562920054</x:v>
      </x:c>
      <x:c r="P637" t="n">
        <x:f>IF(AND(MAX(J637,J636)&gt;0,J637&gt;J636+0.00000001),1,0)</x:f>
        <x:v>0</x:v>
      </x:c>
      <x:c r="Q637" t="n">
        <x:f>IF(AND(MAX(K637,K636)&gt;0,K637&gt;K636+0.00000001),1,0)</x:f>
        <x:v>0</x:v>
      </x:c>
      <x:c r="R637" t="n">
        <x:f>IF(AND(MAX(L637,L636)&gt;0,L637&gt;L636+0.00000001),1,0)</x:f>
        <x:v>0</x:v>
      </x:c>
      <x:c r="S637" t="n">
        <x:f>IF(AND(MAX(M637,M636)&gt;0,M637&gt;M636+0.00000001),1,0)</x:f>
        <x:v>0</x:v>
      </x:c>
      <x:c r="T637" t="n">
        <x:f>IF(AND(MAX(N637,N636)&gt;0,N637&gt;N636+0.00000001),1,0)</x:f>
        <x:v>0</x:v>
      </x:c>
      <x:c r="U637" t="n">
        <x:f>IF(AND(MAX(O637,O636)&gt;0,O637&gt;O636+0.00000001),1,0)</x:f>
        <x:v>0</x:v>
      </x:c>
    </x:row>
    <x:row r="638">
      <x:c r="J638" t="n">
        <x:f>IF(AND(ISNUMBER('Results'!B7),ISNUMBER('Results'!C7),ISNUMBER('Results'!$B$8),ISNUMBER('Inputs'!$B$6),ISNUMBER('Inputs'!$B$7),ISNUMBER('Inputs'!$B$8),ISNUMBER('Inputs'!$B$9),ISNUMBER('Inputs'!$B$10),ISNUMBER('Inputs'!$B$21),ISNUMBER('Inputs'!$B$24),ISNUMBER('Inputs'!$B$28)),(('Results'!B7*(0.5*((((638-43)*MAX('Inputs'!$B$33,'Inputs'!$B$29+'Inputs'!$B$31+'Inputs'!$B$32,'Inputs'!$B$30+'Inputs'!$B$31+'Inputs'!$B$32)/1000+'Inputs'!$B$21)+'Inputs'!$B$7)/SQRT((((638-43)*MAX('Inputs'!$B$33,'Inputs'!$B$29+'Inputs'!$B$31+'Inputs'!$B$32,'Inputs'!$B$30+'Inputs'!$B$31+'Inputs'!$B$32)/1000+'Inputs'!$B$21)+'Inputs'!$B$7)^2+('Inputs'!$B$6/2)^2)-(((638-43)*MAX('Inputs'!$B$33,'Inputs'!$B$29+'Inputs'!$B$31+'Inputs'!$B$32,'Inputs'!$B$30+'Inputs'!$B$31+'Inputs'!$B$32)/1000+'Inputs'!$B$21))/SQRT((((638-43)*MAX('Inputs'!$B$33,'Inputs'!$B$29+'Inputs'!$B$31+'Inputs'!$B$32,'Inputs'!$B$30+'Inputs'!$B$31+'Inputs'!$B$32)/1000+'Inputs'!$B$21))^2+('Inputs'!$B$6/2)^2)))-'Results'!C7*(0.5*((((638-43)*MAX('Inputs'!$B$33,'Inputs'!$B$29+'Inputs'!$B$31+'Inputs'!$B$32,'Inputs'!$B$30+'Inputs'!$B$31+'Inputs'!$B$32)/1000+'Inputs'!$B$21+'Inputs'!$B$7+'Inputs'!$B$10)+'Inputs'!$B$9)/SQRT((((638-43)*MAX('Inputs'!$B$33,'Inputs'!$B$29+'Inputs'!$B$31+'Inputs'!$B$32,'Inputs'!$B$30+'Inputs'!$B$31+'Inputs'!$B$32)/1000+'Inputs'!$B$21+'Inputs'!$B$7+'Inputs'!$B$10)+'Inputs'!$B$9)^2+('Inputs'!$B$8/2)^2)-(((638-43)*MAX('Inputs'!$B$33,'Inputs'!$B$29+'Inputs'!$B$31+'Inputs'!$B$32,'Inputs'!$B$30+'Inputs'!$B$31+'Inputs'!$B$32)/1000+'Inputs'!$B$21+'Inputs'!$B$7+'Inputs'!$B$10))/SQRT((((638-43)*MAX('Inputs'!$B$33,'Inputs'!$B$29+'Inputs'!$B$31+'Inputs'!$B$32,'Inputs'!$B$30+'Inputs'!$B$31+'Inputs'!$B$32)/1000+'Inputs'!$B$21+'Inputs'!$B$7+'Inputs'!$B$10))^2+('Inputs'!$B$8/2)^2))))*'Results'!$B$8),"")</x:f>
        <x:v>2.291463437825134</x:v>
      </x:c>
      <x:c r="K638" t="n">
        <x:f>IF(AND(ISNUMBER('Results'!B7),ISNUMBER('Results'!C7),ISNUMBER('Results'!$B$8),ISNUMBER('Inputs'!$B$6),ISNUMBER('Inputs'!$B$7),ISNUMBER('Inputs'!$B$8),ISNUMBER('Inputs'!$B$9),ISNUMBER('Inputs'!$B$10),ISNUMBER('Inputs'!$B$21),ISNUMBER('Inputs'!$B$24),ISNUMBER('Inputs'!$B$28)),((('Results'!B7*(1-'Inputs'!$B$24)*(0.5*((((638-43)*MAX('Inputs'!$B$33,'Inputs'!$B$29+'Inputs'!$B$31+'Inputs'!$B$32,'Inputs'!$B$30+'Inputs'!$B$31+'Inputs'!$B$32)/1000+'Inputs'!$B$21)+'Inputs'!$B$7)/SQRT((((638-43)*MAX('Inputs'!$B$33,'Inputs'!$B$29+'Inputs'!$B$31+'Inputs'!$B$32,'Inputs'!$B$30+'Inputs'!$B$31+'Inputs'!$B$32)/1000+'Inputs'!$B$21)+'Inputs'!$B$7)^2+('Inputs'!$B$6/2)^2)-(((638-43)*MAX('Inputs'!$B$33,'Inputs'!$B$29+'Inputs'!$B$31+'Inputs'!$B$32,'Inputs'!$B$30+'Inputs'!$B$31+'Inputs'!$B$32)/1000+'Inputs'!$B$21))/SQRT((((638-43)*MAX('Inputs'!$B$33,'Inputs'!$B$29+'Inputs'!$B$31+'Inputs'!$B$32,'Inputs'!$B$30+'Inputs'!$B$31+'Inputs'!$B$32)/1000+'Inputs'!$B$21))^2+('Inputs'!$B$6/2)^2)))-'Results'!C7*(1+'Inputs'!$B$24)*(0.5*((((638-43)*MAX('Inputs'!$B$33,'Inputs'!$B$29+'Inputs'!$B$31+'Inputs'!$B$32,'Inputs'!$B$30+'Inputs'!$B$31+'Inputs'!$B$32)/1000+'Inputs'!$B$21+'Inputs'!$B$7+'Inputs'!$B$10)+'Inputs'!$B$9)/SQRT((((638-43)*MAX('Inputs'!$B$33,'Inputs'!$B$29+'Inputs'!$B$31+'Inputs'!$B$32,'Inputs'!$B$30+'Inputs'!$B$31+'Inputs'!$B$32)/1000+'Inputs'!$B$21+'Inputs'!$B$7+'Inputs'!$B$10)+'Inputs'!$B$9)^2+('Inputs'!$B$8/2)^2)-(((638-43)*MAX('Inputs'!$B$33,'Inputs'!$B$29+'Inputs'!$B$31+'Inputs'!$B$32,'Inputs'!$B$30+'Inputs'!$B$31+'Inputs'!$B$32)/1000+'Inputs'!$B$21+'Inputs'!$B$7+'Inputs'!$B$10))/SQRT((((638-43)*MAX('Inputs'!$B$33,'Inputs'!$B$29+'Inputs'!$B$31+'Inputs'!$B$32,'Inputs'!$B$30+'Inputs'!$B$31+'Inputs'!$B$32)/1000+'Inputs'!$B$21+'Inputs'!$B$7+'Inputs'!$B$10))^2+('Inputs'!$B$8/2)^2))))*'Results'!$B$8)-'Inputs'!$B$28*ABS((('Results'!B7*(1-'Inputs'!$B$24)*(0.5*((((638-43)*MAX('Inputs'!$B$33,'Inputs'!$B$29+'Inputs'!$B$31+'Inputs'!$B$32,'Inputs'!$B$30+'Inputs'!$B$31+'Inputs'!$B$32)/1000+'Inputs'!$B$21)+'Inputs'!$B$7)/SQRT((((638-43)*MAX('Inputs'!$B$33,'Inputs'!$B$29+'Inputs'!$B$31+'Inputs'!$B$32,'Inputs'!$B$30+'Inputs'!$B$31+'Inputs'!$B$32)/1000+'Inputs'!$B$21)+'Inputs'!$B$7)^2+('Inputs'!$B$6/2)^2)-(((638-43)*MAX('Inputs'!$B$33,'Inputs'!$B$29+'Inputs'!$B$31+'Inputs'!$B$32,'Inputs'!$B$30+'Inputs'!$B$31+'Inputs'!$B$32)/1000+'Inputs'!$B$21))/SQRT((((638-43)*MAX('Inputs'!$B$33,'Inputs'!$B$29+'Inputs'!$B$31+'Inputs'!$B$32,'Inputs'!$B$30+'Inputs'!$B$31+'Inputs'!$B$32)/1000+'Inputs'!$B$21))^2+('Inputs'!$B$6/2)^2)))-'Results'!C7*(1+'Inputs'!$B$24)*(0.5*((((638-43)*MAX('Inputs'!$B$33,'Inputs'!$B$29+'Inputs'!$B$31+'Inputs'!$B$32,'Inputs'!$B$30+'Inputs'!$B$31+'Inputs'!$B$32)/1000+'Inputs'!$B$21+'Inputs'!$B$7+'Inputs'!$B$10)+'Inputs'!$B$9)/SQRT((((638-43)*MAX('Inputs'!$B$33,'Inputs'!$B$29+'Inputs'!$B$31+'Inputs'!$B$32,'Inputs'!$B$30+'Inputs'!$B$31+'Inputs'!$B$32)/1000+'Inputs'!$B$21+'Inputs'!$B$7+'Inputs'!$B$10)+'Inputs'!$B$9)^2+('Inputs'!$B$8/2)^2)-(((638-43)*MAX('Inputs'!$B$33,'Inputs'!$B$29+'Inputs'!$B$31+'Inputs'!$B$32,'Inputs'!$B$30+'Inputs'!$B$31+'Inputs'!$B$32)/1000+'Inputs'!$B$21+'Inputs'!$B$7+'Inputs'!$B$10))/SQRT((((638-43)*MAX('Inputs'!$B$33,'Inputs'!$B$29+'Inputs'!$B$31+'Inputs'!$B$32,'Inputs'!$B$30+'Inputs'!$B$31+'Inputs'!$B$32)/1000+'Inputs'!$B$21+'Inputs'!$B$7+'Inputs'!$B$10))^2+('Inputs'!$B$8/2)^2))))*'Results'!$B$8))),"")</x:f>
        <x:v>2.0077723940850536</x:v>
      </x:c>
      <x:c r="L638" t="n">
        <x:f>IF(AND(ISNUMBER('Results'!B7),ISNUMBER('Results'!C7),ISNUMBER('Results'!$B$8),ISNUMBER('Inputs'!$B$6),ISNUMBER('Inputs'!$B$7),ISNUMBER('Inputs'!$B$8),ISNUMBER('Inputs'!$B$9),ISNUMBER('Inputs'!$B$10),ISNUMBER('Inputs'!$B$21),ISNUMBER('Inputs'!$B$24),ISNUMBER('Inputs'!$B$28)),((('Results'!B7*(1+'Inputs'!$B$24)*(0.5*((((638-43)*MAX('Inputs'!$B$33,'Inputs'!$B$29+'Inputs'!$B$31+'Inputs'!$B$32,'Inputs'!$B$30+'Inputs'!$B$31+'Inputs'!$B$32)/1000+'Inputs'!$B$21)+'Inputs'!$B$7)/SQRT((((638-43)*MAX('Inputs'!$B$33,'Inputs'!$B$29+'Inputs'!$B$31+'Inputs'!$B$32,'Inputs'!$B$30+'Inputs'!$B$31+'Inputs'!$B$32)/1000+'Inputs'!$B$21)+'Inputs'!$B$7)^2+('Inputs'!$B$6/2)^2)-(((638-43)*MAX('Inputs'!$B$33,'Inputs'!$B$29+'Inputs'!$B$31+'Inputs'!$B$32,'Inputs'!$B$30+'Inputs'!$B$31+'Inputs'!$B$32)/1000+'Inputs'!$B$21))/SQRT((((638-43)*MAX('Inputs'!$B$33,'Inputs'!$B$29+'Inputs'!$B$31+'Inputs'!$B$32,'Inputs'!$B$30+'Inputs'!$B$31+'Inputs'!$B$32)/1000+'Inputs'!$B$21))^2+('Inputs'!$B$6/2)^2)))-'Results'!C7*(1-'Inputs'!$B$24)*(0.5*((((638-43)*MAX('Inputs'!$B$33,'Inputs'!$B$29+'Inputs'!$B$31+'Inputs'!$B$32,'Inputs'!$B$30+'Inputs'!$B$31+'Inputs'!$B$32)/1000+'Inputs'!$B$21+'Inputs'!$B$7+'Inputs'!$B$10)+'Inputs'!$B$9)/SQRT((((638-43)*MAX('Inputs'!$B$33,'Inputs'!$B$29+'Inputs'!$B$31+'Inputs'!$B$32,'Inputs'!$B$30+'Inputs'!$B$31+'Inputs'!$B$32)/1000+'Inputs'!$B$21+'Inputs'!$B$7+'Inputs'!$B$10)+'Inputs'!$B$9)^2+('Inputs'!$B$8/2)^2)-(((638-43)*MAX('Inputs'!$B$33,'Inputs'!$B$29+'Inputs'!$B$31+'Inputs'!$B$32,'Inputs'!$B$30+'Inputs'!$B$31+'Inputs'!$B$32)/1000+'Inputs'!$B$21+'Inputs'!$B$7+'Inputs'!$B$10))/SQRT((((638-43)*MAX('Inputs'!$B$33,'Inputs'!$B$29+'Inputs'!$B$31+'Inputs'!$B$32,'Inputs'!$B$30+'Inputs'!$B$31+'Inputs'!$B$32)/1000+'Inputs'!$B$21+'Inputs'!$B$7+'Inputs'!$B$10))^2+('Inputs'!$B$8/2)^2))))*'Results'!$B$8)+'Inputs'!$B$28*ABS((('Results'!B7*(1+'Inputs'!$B$24)*(0.5*((((638-43)*MAX('Inputs'!$B$33,'Inputs'!$B$29+'Inputs'!$B$31+'Inputs'!$B$32,'Inputs'!$B$30+'Inputs'!$B$31+'Inputs'!$B$32)/1000+'Inputs'!$B$21)+'Inputs'!$B$7)/SQRT((((638-43)*MAX('Inputs'!$B$33,'Inputs'!$B$29+'Inputs'!$B$31+'Inputs'!$B$32,'Inputs'!$B$30+'Inputs'!$B$31+'Inputs'!$B$32)/1000+'Inputs'!$B$21)+'Inputs'!$B$7)^2+('Inputs'!$B$6/2)^2)-(((638-43)*MAX('Inputs'!$B$33,'Inputs'!$B$29+'Inputs'!$B$31+'Inputs'!$B$32,'Inputs'!$B$30+'Inputs'!$B$31+'Inputs'!$B$32)/1000+'Inputs'!$B$21))/SQRT((((638-43)*MAX('Inputs'!$B$33,'Inputs'!$B$29+'Inputs'!$B$31+'Inputs'!$B$32,'Inputs'!$B$30+'Inputs'!$B$31+'Inputs'!$B$32)/1000+'Inputs'!$B$21))^2+('Inputs'!$B$6/2)^2)))-'Results'!C7*(1-'Inputs'!$B$24)*(0.5*((((638-43)*MAX('Inputs'!$B$33,'Inputs'!$B$29+'Inputs'!$B$31+'Inputs'!$B$32,'Inputs'!$B$30+'Inputs'!$B$31+'Inputs'!$B$32)/1000+'Inputs'!$B$21+'Inputs'!$B$7+'Inputs'!$B$10)+'Inputs'!$B$9)/SQRT((((638-43)*MAX('Inputs'!$B$33,'Inputs'!$B$29+'Inputs'!$B$31+'Inputs'!$B$32,'Inputs'!$B$30+'Inputs'!$B$31+'Inputs'!$B$32)/1000+'Inputs'!$B$21+'Inputs'!$B$7+'Inputs'!$B$10)+'Inputs'!$B$9)^2+('Inputs'!$B$8/2)^2)-(((638-43)*MAX('Inputs'!$B$33,'Inputs'!$B$29+'Inputs'!$B$31+'Inputs'!$B$32,'Inputs'!$B$30+'Inputs'!$B$31+'Inputs'!$B$32)/1000+'Inputs'!$B$21+'Inputs'!$B$7+'Inputs'!$B$10))/SQRT((((638-43)*MAX('Inputs'!$B$33,'Inputs'!$B$29+'Inputs'!$B$31+'Inputs'!$B$32,'Inputs'!$B$30+'Inputs'!$B$31+'Inputs'!$B$32)/1000+'Inputs'!$B$21+'Inputs'!$B$7+'Inputs'!$B$10))^2+('Inputs'!$B$8/2)^2))))*'Results'!$B$8))),"")</x:f>
        <x:v>2.5929563628124583</x:v>
      </x:c>
      <x:c r="M638" t="n">
        <x:f>IF(AND(ISNUMBER('Results'!C7),ISNUMBER('Results'!B7),ISNUMBER('Results'!$B$8),ISNUMBER('Inputs'!$B$6),ISNUMBER('Inputs'!$B$7),ISNUMBER('Inputs'!$B$8),ISNUMBER('Inputs'!$B$9),ISNUMBER('Inputs'!$B$10),ISNUMBER('Inputs'!$B$21),ISNUMBER('Inputs'!$B$24),ISNUMBER('Inputs'!$B$28)),(('Results'!C7*(0.5*((((638-43)*MAX('Inputs'!$B$33,'Inputs'!$B$29+'Inputs'!$B$31+'Inputs'!$B$32,'Inputs'!$B$30+'Inputs'!$B$31+'Inputs'!$B$32)/1000+'Inputs'!$B$21)+'Inputs'!$B$9)/SQRT((((638-43)*MAX('Inputs'!$B$33,'Inputs'!$B$29+'Inputs'!$B$31+'Inputs'!$B$32,'Inputs'!$B$30+'Inputs'!$B$31+'Inputs'!$B$32)/1000+'Inputs'!$B$21)+'Inputs'!$B$9)^2+('Inputs'!$B$8/2)^2)-(((638-43)*MAX('Inputs'!$B$33,'Inputs'!$B$29+'Inputs'!$B$31+'Inputs'!$B$32,'Inputs'!$B$30+'Inputs'!$B$31+'Inputs'!$B$32)/1000+'Inputs'!$B$21))/SQRT((((638-43)*MAX('Inputs'!$B$33,'Inputs'!$B$29+'Inputs'!$B$31+'Inputs'!$B$32,'Inputs'!$B$30+'Inputs'!$B$31+'Inputs'!$B$32)/1000+'Inputs'!$B$21))^2+('Inputs'!$B$8/2)^2)))-'Results'!B7*(0.5*((((638-43)*MAX('Inputs'!$B$33,'Inputs'!$B$29+'Inputs'!$B$31+'Inputs'!$B$32,'Inputs'!$B$30+'Inputs'!$B$31+'Inputs'!$B$32)/1000+'Inputs'!$B$21+'Inputs'!$B$9+'Inputs'!$B$10)+'Inputs'!$B$7)/SQRT((((638-43)*MAX('Inputs'!$B$33,'Inputs'!$B$29+'Inputs'!$B$31+'Inputs'!$B$32,'Inputs'!$B$30+'Inputs'!$B$31+'Inputs'!$B$32)/1000+'Inputs'!$B$21+'Inputs'!$B$9+'Inputs'!$B$10)+'Inputs'!$B$7)^2+('Inputs'!$B$6/2)^2)-(((638-43)*MAX('Inputs'!$B$33,'Inputs'!$B$29+'Inputs'!$B$31+'Inputs'!$B$32,'Inputs'!$B$30+'Inputs'!$B$31+'Inputs'!$B$32)/1000+'Inputs'!$B$21+'Inputs'!$B$9+'Inputs'!$B$10))/SQRT((((638-43)*MAX('Inputs'!$B$33,'Inputs'!$B$29+'Inputs'!$B$31+'Inputs'!$B$32,'Inputs'!$B$30+'Inputs'!$B$31+'Inputs'!$B$32)/1000+'Inputs'!$B$21+'Inputs'!$B$9+'Inputs'!$B$10))^2+('Inputs'!$B$6/2)^2))))*'Results'!$B$8),"")</x:f>
        <x:v>2.112095752457628</x:v>
      </x:c>
      <x:c r="N638" t="n">
        <x:f>IF(AND(ISNUMBER('Results'!C7),ISNUMBER('Results'!B7),ISNUMBER('Results'!$B$8),ISNUMBER('Inputs'!$B$6),ISNUMBER('Inputs'!$B$7),ISNUMBER('Inputs'!$B$8),ISNUMBER('Inputs'!$B$9),ISNUMBER('Inputs'!$B$10),ISNUMBER('Inputs'!$B$21),ISNUMBER('Inputs'!$B$24),ISNUMBER('Inputs'!$B$28)),((('Results'!C7*(1-'Inputs'!$B$24)*(0.5*((((638-43)*MAX('Inputs'!$B$33,'Inputs'!$B$29+'Inputs'!$B$31+'Inputs'!$B$32,'Inputs'!$B$30+'Inputs'!$B$31+'Inputs'!$B$32)/1000+'Inputs'!$B$21)+'Inputs'!$B$9)/SQRT((((638-43)*MAX('Inputs'!$B$33,'Inputs'!$B$29+'Inputs'!$B$31+'Inputs'!$B$32,'Inputs'!$B$30+'Inputs'!$B$31+'Inputs'!$B$32)/1000+'Inputs'!$B$21)+'Inputs'!$B$9)^2+('Inputs'!$B$8/2)^2)-(((638-43)*MAX('Inputs'!$B$33,'Inputs'!$B$29+'Inputs'!$B$31+'Inputs'!$B$32,'Inputs'!$B$30+'Inputs'!$B$31+'Inputs'!$B$32)/1000+'Inputs'!$B$21))/SQRT((((638-43)*MAX('Inputs'!$B$33,'Inputs'!$B$29+'Inputs'!$B$31+'Inputs'!$B$32,'Inputs'!$B$30+'Inputs'!$B$31+'Inputs'!$B$32)/1000+'Inputs'!$B$21))^2+('Inputs'!$B$8/2)^2)))-'Results'!B7*(1+'Inputs'!$B$24)*(0.5*((((638-43)*MAX('Inputs'!$B$33,'Inputs'!$B$29+'Inputs'!$B$31+'Inputs'!$B$32,'Inputs'!$B$30+'Inputs'!$B$31+'Inputs'!$B$32)/1000+'Inputs'!$B$21+'Inputs'!$B$9+'Inputs'!$B$10)+'Inputs'!$B$7)/SQRT((((638-43)*MAX('Inputs'!$B$33,'Inputs'!$B$29+'Inputs'!$B$31+'Inputs'!$B$32,'Inputs'!$B$30+'Inputs'!$B$31+'Inputs'!$B$32)/1000+'Inputs'!$B$21+'Inputs'!$B$9+'Inputs'!$B$10)+'Inputs'!$B$7)^2+('Inputs'!$B$6/2)^2)-(((638-43)*MAX('Inputs'!$B$33,'Inputs'!$B$29+'Inputs'!$B$31+'Inputs'!$B$32,'Inputs'!$B$30+'Inputs'!$B$31+'Inputs'!$B$32)/1000+'Inputs'!$B$21+'Inputs'!$B$9+'Inputs'!$B$10))/SQRT((((638-43)*MAX('Inputs'!$B$33,'Inputs'!$B$29+'Inputs'!$B$31+'Inputs'!$B$32,'Inputs'!$B$30+'Inputs'!$B$31+'Inputs'!$B$32)/1000+'Inputs'!$B$21+'Inputs'!$B$9+'Inputs'!$B$10))^2+('Inputs'!$B$6/2)^2))))*'Results'!$B$8)-'Inputs'!$B$28*ABS((('Results'!C7*(1-'Inputs'!$B$24)*(0.5*((((638-43)*MAX('Inputs'!$B$33,'Inputs'!$B$29+'Inputs'!$B$31+'Inputs'!$B$32,'Inputs'!$B$30+'Inputs'!$B$31+'Inputs'!$B$32)/1000+'Inputs'!$B$21)+'Inputs'!$B$9)/SQRT((((638-43)*MAX('Inputs'!$B$33,'Inputs'!$B$29+'Inputs'!$B$31+'Inputs'!$B$32,'Inputs'!$B$30+'Inputs'!$B$31+'Inputs'!$B$32)/1000+'Inputs'!$B$21)+'Inputs'!$B$9)^2+('Inputs'!$B$8/2)^2)-(((638-43)*MAX('Inputs'!$B$33,'Inputs'!$B$29+'Inputs'!$B$31+'Inputs'!$B$32,'Inputs'!$B$30+'Inputs'!$B$31+'Inputs'!$B$32)/1000+'Inputs'!$B$21))/SQRT((((638-43)*MAX('Inputs'!$B$33,'Inputs'!$B$29+'Inputs'!$B$31+'Inputs'!$B$32,'Inputs'!$B$30+'Inputs'!$B$31+'Inputs'!$B$32)/1000+'Inputs'!$B$21))^2+('Inputs'!$B$8/2)^2)))-'Results'!B7*(1+'Inputs'!$B$24)*(0.5*((((638-43)*MAX('Inputs'!$B$33,'Inputs'!$B$29+'Inputs'!$B$31+'Inputs'!$B$32,'Inputs'!$B$30+'Inputs'!$B$31+'Inputs'!$B$32)/1000+'Inputs'!$B$21+'Inputs'!$B$9+'Inputs'!$B$10)+'Inputs'!$B$7)/SQRT((((638-43)*MAX('Inputs'!$B$33,'Inputs'!$B$29+'Inputs'!$B$31+'Inputs'!$B$32,'Inputs'!$B$30+'Inputs'!$B$31+'Inputs'!$B$32)/1000+'Inputs'!$B$21+'Inputs'!$B$9+'Inputs'!$B$10)+'Inputs'!$B$7)^2+('Inputs'!$B$6/2)^2)-(((638-43)*MAX('Inputs'!$B$33,'Inputs'!$B$29+'Inputs'!$B$31+'Inputs'!$B$32,'Inputs'!$B$30+'Inputs'!$B$31+'Inputs'!$B$32)/1000+'Inputs'!$B$21+'Inputs'!$B$9+'Inputs'!$B$10))/SQRT((((638-43)*MAX('Inputs'!$B$33,'Inputs'!$B$29+'Inputs'!$B$31+'Inputs'!$B$32,'Inputs'!$B$30+'Inputs'!$B$31+'Inputs'!$B$32)/1000+'Inputs'!$B$21+'Inputs'!$B$9+'Inputs'!$B$10))^2+('Inputs'!$B$6/2)^2))))*'Results'!$B$8))),"")</x:f>
        <x:v>1.8382182205072906</x:v>
      </x:c>
      <x:c r="O638" t="n">
        <x:f>IF(AND(ISNUMBER('Results'!C7),ISNUMBER('Results'!B7),ISNUMBER('Results'!$B$8),ISNUMBER('Inputs'!$B$6),ISNUMBER('Inputs'!$B$7),ISNUMBER('Inputs'!$B$8),ISNUMBER('Inputs'!$B$9),ISNUMBER('Inputs'!$B$10),ISNUMBER('Inputs'!$B$21),ISNUMBER('Inputs'!$B$24),ISNUMBER('Inputs'!$B$28)),((('Results'!C7*(1+'Inputs'!$B$24)*(0.5*((((638-43)*MAX('Inputs'!$B$33,'Inputs'!$B$29+'Inputs'!$B$31+'Inputs'!$B$32,'Inputs'!$B$30+'Inputs'!$B$31+'Inputs'!$B$32)/1000+'Inputs'!$B$21)+'Inputs'!$B$9)/SQRT((((638-43)*MAX('Inputs'!$B$33,'Inputs'!$B$29+'Inputs'!$B$31+'Inputs'!$B$32,'Inputs'!$B$30+'Inputs'!$B$31+'Inputs'!$B$32)/1000+'Inputs'!$B$21)+'Inputs'!$B$9)^2+('Inputs'!$B$8/2)^2)-(((638-43)*MAX('Inputs'!$B$33,'Inputs'!$B$29+'Inputs'!$B$31+'Inputs'!$B$32,'Inputs'!$B$30+'Inputs'!$B$31+'Inputs'!$B$32)/1000+'Inputs'!$B$21))/SQRT((((638-43)*MAX('Inputs'!$B$33,'Inputs'!$B$29+'Inputs'!$B$31+'Inputs'!$B$32,'Inputs'!$B$30+'Inputs'!$B$31+'Inputs'!$B$32)/1000+'Inputs'!$B$21))^2+('Inputs'!$B$8/2)^2)))-'Results'!B7*(1-'Inputs'!$B$24)*(0.5*((((638-43)*MAX('Inputs'!$B$33,'Inputs'!$B$29+'Inputs'!$B$31+'Inputs'!$B$32,'Inputs'!$B$30+'Inputs'!$B$31+'Inputs'!$B$32)/1000+'Inputs'!$B$21+'Inputs'!$B$9+'Inputs'!$B$10)+'Inputs'!$B$7)/SQRT((((638-43)*MAX('Inputs'!$B$33,'Inputs'!$B$29+'Inputs'!$B$31+'Inputs'!$B$32,'Inputs'!$B$30+'Inputs'!$B$31+'Inputs'!$B$32)/1000+'Inputs'!$B$21+'Inputs'!$B$9+'Inputs'!$B$10)+'Inputs'!$B$7)^2+('Inputs'!$B$6/2)^2)-(((638-43)*MAX('Inputs'!$B$33,'Inputs'!$B$29+'Inputs'!$B$31+'Inputs'!$B$32,'Inputs'!$B$30+'Inputs'!$B$31+'Inputs'!$B$32)/1000+'Inputs'!$B$21+'Inputs'!$B$9+'Inputs'!$B$10))/SQRT((((638-43)*MAX('Inputs'!$B$33,'Inputs'!$B$29+'Inputs'!$B$31+'Inputs'!$B$32,'Inputs'!$B$30+'Inputs'!$B$31+'Inputs'!$B$32)/1000+'Inputs'!$B$21+'Inputs'!$B$9+'Inputs'!$B$10))^2+('Inputs'!$B$6/2)^2))))*'Results'!$B$8)+'Inputs'!$B$28*ABS((('Results'!C7*(1+'Inputs'!$B$24)*(0.5*((((638-43)*MAX('Inputs'!$B$33,'Inputs'!$B$29+'Inputs'!$B$31+'Inputs'!$B$32,'Inputs'!$B$30+'Inputs'!$B$31+'Inputs'!$B$32)/1000+'Inputs'!$B$21)+'Inputs'!$B$9)/SQRT((((638-43)*MAX('Inputs'!$B$33,'Inputs'!$B$29+'Inputs'!$B$31+'Inputs'!$B$32,'Inputs'!$B$30+'Inputs'!$B$31+'Inputs'!$B$32)/1000+'Inputs'!$B$21)+'Inputs'!$B$9)^2+('Inputs'!$B$8/2)^2)-(((638-43)*MAX('Inputs'!$B$33,'Inputs'!$B$29+'Inputs'!$B$31+'Inputs'!$B$32,'Inputs'!$B$30+'Inputs'!$B$31+'Inputs'!$B$32)/1000+'Inputs'!$B$21))/SQRT((((638-43)*MAX('Inputs'!$B$33,'Inputs'!$B$29+'Inputs'!$B$31+'Inputs'!$B$32,'Inputs'!$B$30+'Inputs'!$B$31+'Inputs'!$B$32)/1000+'Inputs'!$B$21))^2+('Inputs'!$B$8/2)^2)))-'Results'!B7*(1-'Inputs'!$B$24)*(0.5*((((638-43)*MAX('Inputs'!$B$33,'Inputs'!$B$29+'Inputs'!$B$31+'Inputs'!$B$32,'Inputs'!$B$30+'Inputs'!$B$31+'Inputs'!$B$32)/1000+'Inputs'!$B$21+'Inputs'!$B$9+'Inputs'!$B$10)+'Inputs'!$B$7)/SQRT((((638-43)*MAX('Inputs'!$B$33,'Inputs'!$B$29+'Inputs'!$B$31+'Inputs'!$B$32,'Inputs'!$B$30+'Inputs'!$B$31+'Inputs'!$B$32)/1000+'Inputs'!$B$21+'Inputs'!$B$9+'Inputs'!$B$10)+'Inputs'!$B$7)^2+('Inputs'!$B$6/2)^2)-(((638-43)*MAX('Inputs'!$B$33,'Inputs'!$B$29+'Inputs'!$B$31+'Inputs'!$B$32,'Inputs'!$B$30+'Inputs'!$B$31+'Inputs'!$B$32)/1000+'Inputs'!$B$21+'Inputs'!$B$9+'Inputs'!$B$10))/SQRT((((638-43)*MAX('Inputs'!$B$33,'Inputs'!$B$29+'Inputs'!$B$31+'Inputs'!$B$32,'Inputs'!$B$30+'Inputs'!$B$31+'Inputs'!$B$32)/1000+'Inputs'!$B$21+'Inputs'!$B$9+'Inputs'!$B$10))^2+('Inputs'!$B$6/2)^2))))*'Results'!$B$8))),"")</x:f>
        <x:v>2.4036862048634875</x:v>
      </x:c>
      <x:c r="P638" t="n">
        <x:f>IF(AND(MAX(J638,J637)&gt;0,J638&gt;J637+0.00000001),1,0)</x:f>
        <x:v>0</x:v>
      </x:c>
      <x:c r="Q638" t="n">
        <x:f>IF(AND(MAX(K638,K637)&gt;0,K638&gt;K637+0.00000001),1,0)</x:f>
        <x:v>0</x:v>
      </x:c>
      <x:c r="R638" t="n">
        <x:f>IF(AND(MAX(L638,L637)&gt;0,L638&gt;L637+0.00000001),1,0)</x:f>
        <x:v>0</x:v>
      </x:c>
      <x:c r="S638" t="n">
        <x:f>IF(AND(MAX(M638,M637)&gt;0,M638&gt;M637+0.00000001),1,0)</x:f>
        <x:v>0</x:v>
      </x:c>
      <x:c r="T638" t="n">
        <x:f>IF(AND(MAX(N638,N637)&gt;0,N638&gt;N637+0.00000001),1,0)</x:f>
        <x:v>0</x:v>
      </x:c>
      <x:c r="U638" t="n">
        <x:f>IF(AND(MAX(O638,O637)&gt;0,O638&gt;O637+0.00000001),1,0)</x:f>
        <x:v>0</x:v>
      </x:c>
    </x:row>
    <x:row r="639">
      <x:c r="J639" t="n">
        <x:f>IF(AND(ISNUMBER('Results'!B7),ISNUMBER('Results'!C7),ISNUMBER('Results'!$B$8),ISNUMBER('Inputs'!$B$6),ISNUMBER('Inputs'!$B$7),ISNUMBER('Inputs'!$B$8),ISNUMBER('Inputs'!$B$9),ISNUMBER('Inputs'!$B$10),ISNUMBER('Inputs'!$B$21),ISNUMBER('Inputs'!$B$24),ISNUMBER('Inputs'!$B$28)),(('Results'!B7*(0.5*((((639-43)*MAX('Inputs'!$B$33,'Inputs'!$B$29+'Inputs'!$B$31+'Inputs'!$B$32,'Inputs'!$B$30+'Inputs'!$B$31+'Inputs'!$B$32)/1000+'Inputs'!$B$21)+'Inputs'!$B$7)/SQRT((((639-43)*MAX('Inputs'!$B$33,'Inputs'!$B$29+'Inputs'!$B$31+'Inputs'!$B$32,'Inputs'!$B$30+'Inputs'!$B$31+'Inputs'!$B$32)/1000+'Inputs'!$B$21)+'Inputs'!$B$7)^2+('Inputs'!$B$6/2)^2)-(((639-43)*MAX('Inputs'!$B$33,'Inputs'!$B$29+'Inputs'!$B$31+'Inputs'!$B$32,'Inputs'!$B$30+'Inputs'!$B$31+'Inputs'!$B$32)/1000+'Inputs'!$B$21))/SQRT((((639-43)*MAX('Inputs'!$B$33,'Inputs'!$B$29+'Inputs'!$B$31+'Inputs'!$B$32,'Inputs'!$B$30+'Inputs'!$B$31+'Inputs'!$B$32)/1000+'Inputs'!$B$21))^2+('Inputs'!$B$6/2)^2)))-'Results'!C7*(0.5*((((639-43)*MAX('Inputs'!$B$33,'Inputs'!$B$29+'Inputs'!$B$31+'Inputs'!$B$32,'Inputs'!$B$30+'Inputs'!$B$31+'Inputs'!$B$32)/1000+'Inputs'!$B$21+'Inputs'!$B$7+'Inputs'!$B$10)+'Inputs'!$B$9)/SQRT((((639-43)*MAX('Inputs'!$B$33,'Inputs'!$B$29+'Inputs'!$B$31+'Inputs'!$B$32,'Inputs'!$B$30+'Inputs'!$B$31+'Inputs'!$B$32)/1000+'Inputs'!$B$21+'Inputs'!$B$7+'Inputs'!$B$10)+'Inputs'!$B$9)^2+('Inputs'!$B$8/2)^2)-(((639-43)*MAX('Inputs'!$B$33,'Inputs'!$B$29+'Inputs'!$B$31+'Inputs'!$B$32,'Inputs'!$B$30+'Inputs'!$B$31+'Inputs'!$B$32)/1000+'Inputs'!$B$21+'Inputs'!$B$7+'Inputs'!$B$10))/SQRT((((639-43)*MAX('Inputs'!$B$33,'Inputs'!$B$29+'Inputs'!$B$31+'Inputs'!$B$32,'Inputs'!$B$30+'Inputs'!$B$31+'Inputs'!$B$32)/1000+'Inputs'!$B$21+'Inputs'!$B$7+'Inputs'!$B$10))^2+('Inputs'!$B$8/2)^2))))*'Results'!$B$8),"")</x:f>
        <x:v>2.2780632451745406</x:v>
      </x:c>
      <x:c r="K639" t="n">
        <x:f>IF(AND(ISNUMBER('Results'!B7),ISNUMBER('Results'!C7),ISNUMBER('Results'!$B$8),ISNUMBER('Inputs'!$B$6),ISNUMBER('Inputs'!$B$7),ISNUMBER('Inputs'!$B$8),ISNUMBER('Inputs'!$B$9),ISNUMBER('Inputs'!$B$10),ISNUMBER('Inputs'!$B$21),ISNUMBER('Inputs'!$B$24),ISNUMBER('Inputs'!$B$28)),((('Results'!B7*(1-'Inputs'!$B$24)*(0.5*((((639-43)*MAX('Inputs'!$B$33,'Inputs'!$B$29+'Inputs'!$B$31+'Inputs'!$B$32,'Inputs'!$B$30+'Inputs'!$B$31+'Inputs'!$B$32)/1000+'Inputs'!$B$21)+'Inputs'!$B$7)/SQRT((((639-43)*MAX('Inputs'!$B$33,'Inputs'!$B$29+'Inputs'!$B$31+'Inputs'!$B$32,'Inputs'!$B$30+'Inputs'!$B$31+'Inputs'!$B$32)/1000+'Inputs'!$B$21)+'Inputs'!$B$7)^2+('Inputs'!$B$6/2)^2)-(((639-43)*MAX('Inputs'!$B$33,'Inputs'!$B$29+'Inputs'!$B$31+'Inputs'!$B$32,'Inputs'!$B$30+'Inputs'!$B$31+'Inputs'!$B$32)/1000+'Inputs'!$B$21))/SQRT((((639-43)*MAX('Inputs'!$B$33,'Inputs'!$B$29+'Inputs'!$B$31+'Inputs'!$B$32,'Inputs'!$B$30+'Inputs'!$B$31+'Inputs'!$B$32)/1000+'Inputs'!$B$21))^2+('Inputs'!$B$6/2)^2)))-'Results'!C7*(1+'Inputs'!$B$24)*(0.5*((((639-43)*MAX('Inputs'!$B$33,'Inputs'!$B$29+'Inputs'!$B$31+'Inputs'!$B$32,'Inputs'!$B$30+'Inputs'!$B$31+'Inputs'!$B$32)/1000+'Inputs'!$B$21+'Inputs'!$B$7+'Inputs'!$B$10)+'Inputs'!$B$9)/SQRT((((639-43)*MAX('Inputs'!$B$33,'Inputs'!$B$29+'Inputs'!$B$31+'Inputs'!$B$32,'Inputs'!$B$30+'Inputs'!$B$31+'Inputs'!$B$32)/1000+'Inputs'!$B$21+'Inputs'!$B$7+'Inputs'!$B$10)+'Inputs'!$B$9)^2+('Inputs'!$B$8/2)^2)-(((639-43)*MAX('Inputs'!$B$33,'Inputs'!$B$29+'Inputs'!$B$31+'Inputs'!$B$32,'Inputs'!$B$30+'Inputs'!$B$31+'Inputs'!$B$32)/1000+'Inputs'!$B$21+'Inputs'!$B$7+'Inputs'!$B$10))/SQRT((((639-43)*MAX('Inputs'!$B$33,'Inputs'!$B$29+'Inputs'!$B$31+'Inputs'!$B$32,'Inputs'!$B$30+'Inputs'!$B$31+'Inputs'!$B$32)/1000+'Inputs'!$B$21+'Inputs'!$B$7+'Inputs'!$B$10))^2+('Inputs'!$B$8/2)^2))))*'Results'!$B$8)-'Inputs'!$B$28*ABS((('Results'!B7*(1-'Inputs'!$B$24)*(0.5*((((639-43)*MAX('Inputs'!$B$33,'Inputs'!$B$29+'Inputs'!$B$31+'Inputs'!$B$32,'Inputs'!$B$30+'Inputs'!$B$31+'Inputs'!$B$32)/1000+'Inputs'!$B$21)+'Inputs'!$B$7)/SQRT((((639-43)*MAX('Inputs'!$B$33,'Inputs'!$B$29+'Inputs'!$B$31+'Inputs'!$B$32,'Inputs'!$B$30+'Inputs'!$B$31+'Inputs'!$B$32)/1000+'Inputs'!$B$21)+'Inputs'!$B$7)^2+('Inputs'!$B$6/2)^2)-(((639-43)*MAX('Inputs'!$B$33,'Inputs'!$B$29+'Inputs'!$B$31+'Inputs'!$B$32,'Inputs'!$B$30+'Inputs'!$B$31+'Inputs'!$B$32)/1000+'Inputs'!$B$21))/SQRT((((639-43)*MAX('Inputs'!$B$33,'Inputs'!$B$29+'Inputs'!$B$31+'Inputs'!$B$32,'Inputs'!$B$30+'Inputs'!$B$31+'Inputs'!$B$32)/1000+'Inputs'!$B$21))^2+('Inputs'!$B$6/2)^2)))-'Results'!C7*(1+'Inputs'!$B$24)*(0.5*((((639-43)*MAX('Inputs'!$B$33,'Inputs'!$B$29+'Inputs'!$B$31+'Inputs'!$B$32,'Inputs'!$B$30+'Inputs'!$B$31+'Inputs'!$B$32)/1000+'Inputs'!$B$21+'Inputs'!$B$7+'Inputs'!$B$10)+'Inputs'!$B$9)/SQRT((((639-43)*MAX('Inputs'!$B$33,'Inputs'!$B$29+'Inputs'!$B$31+'Inputs'!$B$32,'Inputs'!$B$30+'Inputs'!$B$31+'Inputs'!$B$32)/1000+'Inputs'!$B$21+'Inputs'!$B$7+'Inputs'!$B$10)+'Inputs'!$B$9)^2+('Inputs'!$B$8/2)^2)-(((639-43)*MAX('Inputs'!$B$33,'Inputs'!$B$29+'Inputs'!$B$31+'Inputs'!$B$32,'Inputs'!$B$30+'Inputs'!$B$31+'Inputs'!$B$32)/1000+'Inputs'!$B$21+'Inputs'!$B$7+'Inputs'!$B$10))/SQRT((((639-43)*MAX('Inputs'!$B$33,'Inputs'!$B$29+'Inputs'!$B$31+'Inputs'!$B$32,'Inputs'!$B$30+'Inputs'!$B$31+'Inputs'!$B$32)/1000+'Inputs'!$B$21+'Inputs'!$B$7+'Inputs'!$B$10))^2+('Inputs'!$B$8/2)^2))))*'Results'!$B$8))),"")</x:f>
        <x:v>1.9958062918153914</x:v>
      </x:c>
      <x:c r="L639" t="n">
        <x:f>IF(AND(ISNUMBER('Results'!B7),ISNUMBER('Results'!C7),ISNUMBER('Results'!$B$8),ISNUMBER('Inputs'!$B$6),ISNUMBER('Inputs'!$B$7),ISNUMBER('Inputs'!$B$8),ISNUMBER('Inputs'!$B$9),ISNUMBER('Inputs'!$B$10),ISNUMBER('Inputs'!$B$21),ISNUMBER('Inputs'!$B$24),ISNUMBER('Inputs'!$B$28)),((('Results'!B7*(1+'Inputs'!$B$24)*(0.5*((((639-43)*MAX('Inputs'!$B$33,'Inputs'!$B$29+'Inputs'!$B$31+'Inputs'!$B$32,'Inputs'!$B$30+'Inputs'!$B$31+'Inputs'!$B$32)/1000+'Inputs'!$B$21)+'Inputs'!$B$7)/SQRT((((639-43)*MAX('Inputs'!$B$33,'Inputs'!$B$29+'Inputs'!$B$31+'Inputs'!$B$32,'Inputs'!$B$30+'Inputs'!$B$31+'Inputs'!$B$32)/1000+'Inputs'!$B$21)+'Inputs'!$B$7)^2+('Inputs'!$B$6/2)^2)-(((639-43)*MAX('Inputs'!$B$33,'Inputs'!$B$29+'Inputs'!$B$31+'Inputs'!$B$32,'Inputs'!$B$30+'Inputs'!$B$31+'Inputs'!$B$32)/1000+'Inputs'!$B$21))/SQRT((((639-43)*MAX('Inputs'!$B$33,'Inputs'!$B$29+'Inputs'!$B$31+'Inputs'!$B$32,'Inputs'!$B$30+'Inputs'!$B$31+'Inputs'!$B$32)/1000+'Inputs'!$B$21))^2+('Inputs'!$B$6/2)^2)))-'Results'!C7*(1-'Inputs'!$B$24)*(0.5*((((639-43)*MAX('Inputs'!$B$33,'Inputs'!$B$29+'Inputs'!$B$31+'Inputs'!$B$32,'Inputs'!$B$30+'Inputs'!$B$31+'Inputs'!$B$32)/1000+'Inputs'!$B$21+'Inputs'!$B$7+'Inputs'!$B$10)+'Inputs'!$B$9)/SQRT((((639-43)*MAX('Inputs'!$B$33,'Inputs'!$B$29+'Inputs'!$B$31+'Inputs'!$B$32,'Inputs'!$B$30+'Inputs'!$B$31+'Inputs'!$B$32)/1000+'Inputs'!$B$21+'Inputs'!$B$7+'Inputs'!$B$10)+'Inputs'!$B$9)^2+('Inputs'!$B$8/2)^2)-(((639-43)*MAX('Inputs'!$B$33,'Inputs'!$B$29+'Inputs'!$B$31+'Inputs'!$B$32,'Inputs'!$B$30+'Inputs'!$B$31+'Inputs'!$B$32)/1000+'Inputs'!$B$21+'Inputs'!$B$7+'Inputs'!$B$10))/SQRT((((639-43)*MAX('Inputs'!$B$33,'Inputs'!$B$29+'Inputs'!$B$31+'Inputs'!$B$32,'Inputs'!$B$30+'Inputs'!$B$31+'Inputs'!$B$32)/1000+'Inputs'!$B$21+'Inputs'!$B$7+'Inputs'!$B$10))^2+('Inputs'!$B$8/2)^2))))*'Results'!$B$8)+'Inputs'!$B$28*ABS((('Results'!B7*(1+'Inputs'!$B$24)*(0.5*((((639-43)*MAX('Inputs'!$B$33,'Inputs'!$B$29+'Inputs'!$B$31+'Inputs'!$B$32,'Inputs'!$B$30+'Inputs'!$B$31+'Inputs'!$B$32)/1000+'Inputs'!$B$21)+'Inputs'!$B$7)/SQRT((((639-43)*MAX('Inputs'!$B$33,'Inputs'!$B$29+'Inputs'!$B$31+'Inputs'!$B$32,'Inputs'!$B$30+'Inputs'!$B$31+'Inputs'!$B$32)/1000+'Inputs'!$B$21)+'Inputs'!$B$7)^2+('Inputs'!$B$6/2)^2)-(((639-43)*MAX('Inputs'!$B$33,'Inputs'!$B$29+'Inputs'!$B$31+'Inputs'!$B$32,'Inputs'!$B$30+'Inputs'!$B$31+'Inputs'!$B$32)/1000+'Inputs'!$B$21))/SQRT((((639-43)*MAX('Inputs'!$B$33,'Inputs'!$B$29+'Inputs'!$B$31+'Inputs'!$B$32,'Inputs'!$B$30+'Inputs'!$B$31+'Inputs'!$B$32)/1000+'Inputs'!$B$21))^2+('Inputs'!$B$6/2)^2)))-'Results'!C7*(1-'Inputs'!$B$24)*(0.5*((((639-43)*MAX('Inputs'!$B$33,'Inputs'!$B$29+'Inputs'!$B$31+'Inputs'!$B$32,'Inputs'!$B$30+'Inputs'!$B$31+'Inputs'!$B$32)/1000+'Inputs'!$B$21+'Inputs'!$B$7+'Inputs'!$B$10)+'Inputs'!$B$9)/SQRT((((639-43)*MAX('Inputs'!$B$33,'Inputs'!$B$29+'Inputs'!$B$31+'Inputs'!$B$32,'Inputs'!$B$30+'Inputs'!$B$31+'Inputs'!$B$32)/1000+'Inputs'!$B$21+'Inputs'!$B$7+'Inputs'!$B$10)+'Inputs'!$B$9)^2+('Inputs'!$B$8/2)^2)-(((639-43)*MAX('Inputs'!$B$33,'Inputs'!$B$29+'Inputs'!$B$31+'Inputs'!$B$32,'Inputs'!$B$30+'Inputs'!$B$31+'Inputs'!$B$32)/1000+'Inputs'!$B$21+'Inputs'!$B$7+'Inputs'!$B$10))/SQRT((((639-43)*MAX('Inputs'!$B$33,'Inputs'!$B$29+'Inputs'!$B$31+'Inputs'!$B$32,'Inputs'!$B$30+'Inputs'!$B$31+'Inputs'!$B$32)/1000+'Inputs'!$B$21+'Inputs'!$B$7+'Inputs'!$B$10))^2+('Inputs'!$B$8/2)^2))))*'Results'!$B$8))),"")</x:f>
        <x:v>2.5780416502284713</x:v>
      </x:c>
      <x:c r="M639" t="n">
        <x:f>IF(AND(ISNUMBER('Results'!C7),ISNUMBER('Results'!B7),ISNUMBER('Results'!$B$8),ISNUMBER('Inputs'!$B$6),ISNUMBER('Inputs'!$B$7),ISNUMBER('Inputs'!$B$8),ISNUMBER('Inputs'!$B$9),ISNUMBER('Inputs'!$B$10),ISNUMBER('Inputs'!$B$21),ISNUMBER('Inputs'!$B$24),ISNUMBER('Inputs'!$B$28)),(('Results'!C7*(0.5*((((639-43)*MAX('Inputs'!$B$33,'Inputs'!$B$29+'Inputs'!$B$31+'Inputs'!$B$32,'Inputs'!$B$30+'Inputs'!$B$31+'Inputs'!$B$32)/1000+'Inputs'!$B$21)+'Inputs'!$B$9)/SQRT((((639-43)*MAX('Inputs'!$B$33,'Inputs'!$B$29+'Inputs'!$B$31+'Inputs'!$B$32,'Inputs'!$B$30+'Inputs'!$B$31+'Inputs'!$B$32)/1000+'Inputs'!$B$21)+'Inputs'!$B$9)^2+('Inputs'!$B$8/2)^2)-(((639-43)*MAX('Inputs'!$B$33,'Inputs'!$B$29+'Inputs'!$B$31+'Inputs'!$B$32,'Inputs'!$B$30+'Inputs'!$B$31+'Inputs'!$B$32)/1000+'Inputs'!$B$21))/SQRT((((639-43)*MAX('Inputs'!$B$33,'Inputs'!$B$29+'Inputs'!$B$31+'Inputs'!$B$32,'Inputs'!$B$30+'Inputs'!$B$31+'Inputs'!$B$32)/1000+'Inputs'!$B$21))^2+('Inputs'!$B$8/2)^2)))-'Results'!B7*(0.5*((((639-43)*MAX('Inputs'!$B$33,'Inputs'!$B$29+'Inputs'!$B$31+'Inputs'!$B$32,'Inputs'!$B$30+'Inputs'!$B$31+'Inputs'!$B$32)/1000+'Inputs'!$B$21+'Inputs'!$B$9+'Inputs'!$B$10)+'Inputs'!$B$7)/SQRT((((639-43)*MAX('Inputs'!$B$33,'Inputs'!$B$29+'Inputs'!$B$31+'Inputs'!$B$32,'Inputs'!$B$30+'Inputs'!$B$31+'Inputs'!$B$32)/1000+'Inputs'!$B$21+'Inputs'!$B$9+'Inputs'!$B$10)+'Inputs'!$B$7)^2+('Inputs'!$B$6/2)^2)-(((639-43)*MAX('Inputs'!$B$33,'Inputs'!$B$29+'Inputs'!$B$31+'Inputs'!$B$32,'Inputs'!$B$30+'Inputs'!$B$31+'Inputs'!$B$32)/1000+'Inputs'!$B$21+'Inputs'!$B$9+'Inputs'!$B$10))/SQRT((((639-43)*MAX('Inputs'!$B$33,'Inputs'!$B$29+'Inputs'!$B$31+'Inputs'!$B$32,'Inputs'!$B$30+'Inputs'!$B$31+'Inputs'!$B$32)/1000+'Inputs'!$B$21+'Inputs'!$B$9+'Inputs'!$B$10))^2+('Inputs'!$B$6/2)^2))))*'Results'!$B$8),"")</x:f>
        <x:v>2.099505327695664</x:v>
      </x:c>
      <x:c r="N639" t="n">
        <x:f>IF(AND(ISNUMBER('Results'!C7),ISNUMBER('Results'!B7),ISNUMBER('Results'!$B$8),ISNUMBER('Inputs'!$B$6),ISNUMBER('Inputs'!$B$7),ISNUMBER('Inputs'!$B$8),ISNUMBER('Inputs'!$B$9),ISNUMBER('Inputs'!$B$10),ISNUMBER('Inputs'!$B$21),ISNUMBER('Inputs'!$B$24),ISNUMBER('Inputs'!$B$28)),((('Results'!C7*(1-'Inputs'!$B$24)*(0.5*((((639-43)*MAX('Inputs'!$B$33,'Inputs'!$B$29+'Inputs'!$B$31+'Inputs'!$B$32,'Inputs'!$B$30+'Inputs'!$B$31+'Inputs'!$B$32)/1000+'Inputs'!$B$21)+'Inputs'!$B$9)/SQRT((((639-43)*MAX('Inputs'!$B$33,'Inputs'!$B$29+'Inputs'!$B$31+'Inputs'!$B$32,'Inputs'!$B$30+'Inputs'!$B$31+'Inputs'!$B$32)/1000+'Inputs'!$B$21)+'Inputs'!$B$9)^2+('Inputs'!$B$8/2)^2)-(((639-43)*MAX('Inputs'!$B$33,'Inputs'!$B$29+'Inputs'!$B$31+'Inputs'!$B$32,'Inputs'!$B$30+'Inputs'!$B$31+'Inputs'!$B$32)/1000+'Inputs'!$B$21))/SQRT((((639-43)*MAX('Inputs'!$B$33,'Inputs'!$B$29+'Inputs'!$B$31+'Inputs'!$B$32,'Inputs'!$B$30+'Inputs'!$B$31+'Inputs'!$B$32)/1000+'Inputs'!$B$21))^2+('Inputs'!$B$8/2)^2)))-'Results'!B7*(1+'Inputs'!$B$24)*(0.5*((((639-43)*MAX('Inputs'!$B$33,'Inputs'!$B$29+'Inputs'!$B$31+'Inputs'!$B$32,'Inputs'!$B$30+'Inputs'!$B$31+'Inputs'!$B$32)/1000+'Inputs'!$B$21+'Inputs'!$B$9+'Inputs'!$B$10)+'Inputs'!$B$7)/SQRT((((639-43)*MAX('Inputs'!$B$33,'Inputs'!$B$29+'Inputs'!$B$31+'Inputs'!$B$32,'Inputs'!$B$30+'Inputs'!$B$31+'Inputs'!$B$32)/1000+'Inputs'!$B$21+'Inputs'!$B$9+'Inputs'!$B$10)+'Inputs'!$B$7)^2+('Inputs'!$B$6/2)^2)-(((639-43)*MAX('Inputs'!$B$33,'Inputs'!$B$29+'Inputs'!$B$31+'Inputs'!$B$32,'Inputs'!$B$30+'Inputs'!$B$31+'Inputs'!$B$32)/1000+'Inputs'!$B$21+'Inputs'!$B$9+'Inputs'!$B$10))/SQRT((((639-43)*MAX('Inputs'!$B$33,'Inputs'!$B$29+'Inputs'!$B$31+'Inputs'!$B$32,'Inputs'!$B$30+'Inputs'!$B$31+'Inputs'!$B$32)/1000+'Inputs'!$B$21+'Inputs'!$B$9+'Inputs'!$B$10))^2+('Inputs'!$B$6/2)^2))))*'Results'!$B$8)-'Inputs'!$B$28*ABS((('Results'!C7*(1-'Inputs'!$B$24)*(0.5*((((639-43)*MAX('Inputs'!$B$33,'Inputs'!$B$29+'Inputs'!$B$31+'Inputs'!$B$32,'Inputs'!$B$30+'Inputs'!$B$31+'Inputs'!$B$32)/1000+'Inputs'!$B$21)+'Inputs'!$B$9)/SQRT((((639-43)*MAX('Inputs'!$B$33,'Inputs'!$B$29+'Inputs'!$B$31+'Inputs'!$B$32,'Inputs'!$B$30+'Inputs'!$B$31+'Inputs'!$B$32)/1000+'Inputs'!$B$21)+'Inputs'!$B$9)^2+('Inputs'!$B$8/2)^2)-(((639-43)*MAX('Inputs'!$B$33,'Inputs'!$B$29+'Inputs'!$B$31+'Inputs'!$B$32,'Inputs'!$B$30+'Inputs'!$B$31+'Inputs'!$B$32)/1000+'Inputs'!$B$21))/SQRT((((639-43)*MAX('Inputs'!$B$33,'Inputs'!$B$29+'Inputs'!$B$31+'Inputs'!$B$32,'Inputs'!$B$30+'Inputs'!$B$31+'Inputs'!$B$32)/1000+'Inputs'!$B$21))^2+('Inputs'!$B$8/2)^2)))-'Results'!B7*(1+'Inputs'!$B$24)*(0.5*((((639-43)*MAX('Inputs'!$B$33,'Inputs'!$B$29+'Inputs'!$B$31+'Inputs'!$B$32,'Inputs'!$B$30+'Inputs'!$B$31+'Inputs'!$B$32)/1000+'Inputs'!$B$21+'Inputs'!$B$9+'Inputs'!$B$10)+'Inputs'!$B$7)/SQRT((((639-43)*MAX('Inputs'!$B$33,'Inputs'!$B$29+'Inputs'!$B$31+'Inputs'!$B$32,'Inputs'!$B$30+'Inputs'!$B$31+'Inputs'!$B$32)/1000+'Inputs'!$B$21+'Inputs'!$B$9+'Inputs'!$B$10)+'Inputs'!$B$7)^2+('Inputs'!$B$6/2)^2)-(((639-43)*MAX('Inputs'!$B$33,'Inputs'!$B$29+'Inputs'!$B$31+'Inputs'!$B$32,'Inputs'!$B$30+'Inputs'!$B$31+'Inputs'!$B$32)/1000+'Inputs'!$B$21+'Inputs'!$B$9+'Inputs'!$B$10))/SQRT((((639-43)*MAX('Inputs'!$B$33,'Inputs'!$B$29+'Inputs'!$B$31+'Inputs'!$B$32,'Inputs'!$B$30+'Inputs'!$B$31+'Inputs'!$B$32)/1000+'Inputs'!$B$21+'Inputs'!$B$9+'Inputs'!$B$10))^2+('Inputs'!$B$6/2)^2))))*'Results'!$B$8))),"")</x:f>
        <x:v>1.827016409633534</x:v>
      </x:c>
      <x:c r="O639" t="n">
        <x:f>IF(AND(ISNUMBER('Results'!C7),ISNUMBER('Results'!B7),ISNUMBER('Results'!$B$8),ISNUMBER('Inputs'!$B$6),ISNUMBER('Inputs'!$B$7),ISNUMBER('Inputs'!$B$8),ISNUMBER('Inputs'!$B$9),ISNUMBER('Inputs'!$B$10),ISNUMBER('Inputs'!$B$21),ISNUMBER('Inputs'!$B$24),ISNUMBER('Inputs'!$B$28)),((('Results'!C7*(1+'Inputs'!$B$24)*(0.5*((((639-43)*MAX('Inputs'!$B$33,'Inputs'!$B$29+'Inputs'!$B$31+'Inputs'!$B$32,'Inputs'!$B$30+'Inputs'!$B$31+'Inputs'!$B$32)/1000+'Inputs'!$B$21)+'Inputs'!$B$9)/SQRT((((639-43)*MAX('Inputs'!$B$33,'Inputs'!$B$29+'Inputs'!$B$31+'Inputs'!$B$32,'Inputs'!$B$30+'Inputs'!$B$31+'Inputs'!$B$32)/1000+'Inputs'!$B$21)+'Inputs'!$B$9)^2+('Inputs'!$B$8/2)^2)-(((639-43)*MAX('Inputs'!$B$33,'Inputs'!$B$29+'Inputs'!$B$31+'Inputs'!$B$32,'Inputs'!$B$30+'Inputs'!$B$31+'Inputs'!$B$32)/1000+'Inputs'!$B$21))/SQRT((((639-43)*MAX('Inputs'!$B$33,'Inputs'!$B$29+'Inputs'!$B$31+'Inputs'!$B$32,'Inputs'!$B$30+'Inputs'!$B$31+'Inputs'!$B$32)/1000+'Inputs'!$B$21))^2+('Inputs'!$B$8/2)^2)))-'Results'!B7*(1-'Inputs'!$B$24)*(0.5*((((639-43)*MAX('Inputs'!$B$33,'Inputs'!$B$29+'Inputs'!$B$31+'Inputs'!$B$32,'Inputs'!$B$30+'Inputs'!$B$31+'Inputs'!$B$32)/1000+'Inputs'!$B$21+'Inputs'!$B$9+'Inputs'!$B$10)+'Inputs'!$B$7)/SQRT((((639-43)*MAX('Inputs'!$B$33,'Inputs'!$B$29+'Inputs'!$B$31+'Inputs'!$B$32,'Inputs'!$B$30+'Inputs'!$B$31+'Inputs'!$B$32)/1000+'Inputs'!$B$21+'Inputs'!$B$9+'Inputs'!$B$10)+'Inputs'!$B$7)^2+('Inputs'!$B$6/2)^2)-(((639-43)*MAX('Inputs'!$B$33,'Inputs'!$B$29+'Inputs'!$B$31+'Inputs'!$B$32,'Inputs'!$B$30+'Inputs'!$B$31+'Inputs'!$B$32)/1000+'Inputs'!$B$21+'Inputs'!$B$9+'Inputs'!$B$10))/SQRT((((639-43)*MAX('Inputs'!$B$33,'Inputs'!$B$29+'Inputs'!$B$31+'Inputs'!$B$32,'Inputs'!$B$30+'Inputs'!$B$31+'Inputs'!$B$32)/1000+'Inputs'!$B$21+'Inputs'!$B$9+'Inputs'!$B$10))^2+('Inputs'!$B$6/2)^2))))*'Results'!$B$8)+'Inputs'!$B$28*ABS((('Results'!C7*(1+'Inputs'!$B$24)*(0.5*((((639-43)*MAX('Inputs'!$B$33,'Inputs'!$B$29+'Inputs'!$B$31+'Inputs'!$B$32,'Inputs'!$B$30+'Inputs'!$B$31+'Inputs'!$B$32)/1000+'Inputs'!$B$21)+'Inputs'!$B$9)/SQRT((((639-43)*MAX('Inputs'!$B$33,'Inputs'!$B$29+'Inputs'!$B$31+'Inputs'!$B$32,'Inputs'!$B$30+'Inputs'!$B$31+'Inputs'!$B$32)/1000+'Inputs'!$B$21)+'Inputs'!$B$9)^2+('Inputs'!$B$8/2)^2)-(((639-43)*MAX('Inputs'!$B$33,'Inputs'!$B$29+'Inputs'!$B$31+'Inputs'!$B$32,'Inputs'!$B$30+'Inputs'!$B$31+'Inputs'!$B$32)/1000+'Inputs'!$B$21))/SQRT((((639-43)*MAX('Inputs'!$B$33,'Inputs'!$B$29+'Inputs'!$B$31+'Inputs'!$B$32,'Inputs'!$B$30+'Inputs'!$B$31+'Inputs'!$B$32)/1000+'Inputs'!$B$21))^2+('Inputs'!$B$8/2)^2)))-'Results'!B7*(1-'Inputs'!$B$24)*(0.5*((((639-43)*MAX('Inputs'!$B$33,'Inputs'!$B$29+'Inputs'!$B$31+'Inputs'!$B$32,'Inputs'!$B$30+'Inputs'!$B$31+'Inputs'!$B$32)/1000+'Inputs'!$B$21+'Inputs'!$B$9+'Inputs'!$B$10)+'Inputs'!$B$7)/SQRT((((639-43)*MAX('Inputs'!$B$33,'Inputs'!$B$29+'Inputs'!$B$31+'Inputs'!$B$32,'Inputs'!$B$30+'Inputs'!$B$31+'Inputs'!$B$32)/1000+'Inputs'!$B$21+'Inputs'!$B$9+'Inputs'!$B$10)+'Inputs'!$B$7)^2+('Inputs'!$B$6/2)^2)-(((639-43)*MAX('Inputs'!$B$33,'Inputs'!$B$29+'Inputs'!$B$31+'Inputs'!$B$32,'Inputs'!$B$30+'Inputs'!$B$31+'Inputs'!$B$32)/1000+'Inputs'!$B$21+'Inputs'!$B$9+'Inputs'!$B$10))/SQRT((((639-43)*MAX('Inputs'!$B$33,'Inputs'!$B$29+'Inputs'!$B$31+'Inputs'!$B$32,'Inputs'!$B$30+'Inputs'!$B$31+'Inputs'!$B$32)/1000+'Inputs'!$B$21+'Inputs'!$B$9+'Inputs'!$B$10))^2+('Inputs'!$B$6/2)^2))))*'Results'!$B$8))),"")</x:f>
        <x:v>2.3896272617238297</x:v>
      </x:c>
      <x:c r="P639" t="n">
        <x:f>IF(AND(MAX(J639,J638)&gt;0,J639&gt;J638+0.00000001),1,0)</x:f>
        <x:v>0</x:v>
      </x:c>
      <x:c r="Q639" t="n">
        <x:f>IF(AND(MAX(K639,K638)&gt;0,K639&gt;K638+0.00000001),1,0)</x:f>
        <x:v>0</x:v>
      </x:c>
      <x:c r="R639" t="n">
        <x:f>IF(AND(MAX(L639,L638)&gt;0,L639&gt;L638+0.00000001),1,0)</x:f>
        <x:v>0</x:v>
      </x:c>
      <x:c r="S639" t="n">
        <x:f>IF(AND(MAX(M639,M638)&gt;0,M639&gt;M638+0.00000001),1,0)</x:f>
        <x:v>0</x:v>
      </x:c>
      <x:c r="T639" t="n">
        <x:f>IF(AND(MAX(N639,N638)&gt;0,N639&gt;N638+0.00000001),1,0)</x:f>
        <x:v>0</x:v>
      </x:c>
      <x:c r="U639" t="n">
        <x:f>IF(AND(MAX(O639,O638)&gt;0,O639&gt;O638+0.00000001),1,0)</x:f>
        <x:v>0</x:v>
      </x:c>
    </x:row>
    <x:row r="640">
      <x:c r="J640" t="n">
        <x:f>IF(AND(ISNUMBER('Results'!B7),ISNUMBER('Results'!C7),ISNUMBER('Results'!$B$8),ISNUMBER('Inputs'!$B$6),ISNUMBER('Inputs'!$B$7),ISNUMBER('Inputs'!$B$8),ISNUMBER('Inputs'!$B$9),ISNUMBER('Inputs'!$B$10),ISNUMBER('Inputs'!$B$21),ISNUMBER('Inputs'!$B$24),ISNUMBER('Inputs'!$B$28)),(('Results'!B7*(0.5*((((640-43)*MAX('Inputs'!$B$33,'Inputs'!$B$29+'Inputs'!$B$31+'Inputs'!$B$32,'Inputs'!$B$30+'Inputs'!$B$31+'Inputs'!$B$32)/1000+'Inputs'!$B$21)+'Inputs'!$B$7)/SQRT((((640-43)*MAX('Inputs'!$B$33,'Inputs'!$B$29+'Inputs'!$B$31+'Inputs'!$B$32,'Inputs'!$B$30+'Inputs'!$B$31+'Inputs'!$B$32)/1000+'Inputs'!$B$21)+'Inputs'!$B$7)^2+('Inputs'!$B$6/2)^2)-(((640-43)*MAX('Inputs'!$B$33,'Inputs'!$B$29+'Inputs'!$B$31+'Inputs'!$B$32,'Inputs'!$B$30+'Inputs'!$B$31+'Inputs'!$B$32)/1000+'Inputs'!$B$21))/SQRT((((640-43)*MAX('Inputs'!$B$33,'Inputs'!$B$29+'Inputs'!$B$31+'Inputs'!$B$32,'Inputs'!$B$30+'Inputs'!$B$31+'Inputs'!$B$32)/1000+'Inputs'!$B$21))^2+('Inputs'!$B$6/2)^2)))-'Results'!C7*(0.5*((((640-43)*MAX('Inputs'!$B$33,'Inputs'!$B$29+'Inputs'!$B$31+'Inputs'!$B$32,'Inputs'!$B$30+'Inputs'!$B$31+'Inputs'!$B$32)/1000+'Inputs'!$B$21+'Inputs'!$B$7+'Inputs'!$B$10)+'Inputs'!$B$9)/SQRT((((640-43)*MAX('Inputs'!$B$33,'Inputs'!$B$29+'Inputs'!$B$31+'Inputs'!$B$32,'Inputs'!$B$30+'Inputs'!$B$31+'Inputs'!$B$32)/1000+'Inputs'!$B$21+'Inputs'!$B$7+'Inputs'!$B$10)+'Inputs'!$B$9)^2+('Inputs'!$B$8/2)^2)-(((640-43)*MAX('Inputs'!$B$33,'Inputs'!$B$29+'Inputs'!$B$31+'Inputs'!$B$32,'Inputs'!$B$30+'Inputs'!$B$31+'Inputs'!$B$32)/1000+'Inputs'!$B$21+'Inputs'!$B$7+'Inputs'!$B$10))/SQRT((((640-43)*MAX('Inputs'!$B$33,'Inputs'!$B$29+'Inputs'!$B$31+'Inputs'!$B$32,'Inputs'!$B$30+'Inputs'!$B$31+'Inputs'!$B$32)/1000+'Inputs'!$B$21+'Inputs'!$B$7+'Inputs'!$B$10))^2+('Inputs'!$B$8/2)^2))))*'Results'!$B$8),"")</x:f>
        <x:v>2.2647611168888564</x:v>
      </x:c>
      <x:c r="K640" t="n">
        <x:f>IF(AND(ISNUMBER('Results'!B7),ISNUMBER('Results'!C7),ISNUMBER('Results'!$B$8),ISNUMBER('Inputs'!$B$6),ISNUMBER('Inputs'!$B$7),ISNUMBER('Inputs'!$B$8),ISNUMBER('Inputs'!$B$9),ISNUMBER('Inputs'!$B$10),ISNUMBER('Inputs'!$B$21),ISNUMBER('Inputs'!$B$24),ISNUMBER('Inputs'!$B$28)),((('Results'!B7*(1-'Inputs'!$B$24)*(0.5*((((640-43)*MAX('Inputs'!$B$33,'Inputs'!$B$29+'Inputs'!$B$31+'Inputs'!$B$32,'Inputs'!$B$30+'Inputs'!$B$31+'Inputs'!$B$32)/1000+'Inputs'!$B$21)+'Inputs'!$B$7)/SQRT((((640-43)*MAX('Inputs'!$B$33,'Inputs'!$B$29+'Inputs'!$B$31+'Inputs'!$B$32,'Inputs'!$B$30+'Inputs'!$B$31+'Inputs'!$B$32)/1000+'Inputs'!$B$21)+'Inputs'!$B$7)^2+('Inputs'!$B$6/2)^2)-(((640-43)*MAX('Inputs'!$B$33,'Inputs'!$B$29+'Inputs'!$B$31+'Inputs'!$B$32,'Inputs'!$B$30+'Inputs'!$B$31+'Inputs'!$B$32)/1000+'Inputs'!$B$21))/SQRT((((640-43)*MAX('Inputs'!$B$33,'Inputs'!$B$29+'Inputs'!$B$31+'Inputs'!$B$32,'Inputs'!$B$30+'Inputs'!$B$31+'Inputs'!$B$32)/1000+'Inputs'!$B$21))^2+('Inputs'!$B$6/2)^2)))-'Results'!C7*(1+'Inputs'!$B$24)*(0.5*((((640-43)*MAX('Inputs'!$B$33,'Inputs'!$B$29+'Inputs'!$B$31+'Inputs'!$B$32,'Inputs'!$B$30+'Inputs'!$B$31+'Inputs'!$B$32)/1000+'Inputs'!$B$21+'Inputs'!$B$7+'Inputs'!$B$10)+'Inputs'!$B$9)/SQRT((((640-43)*MAX('Inputs'!$B$33,'Inputs'!$B$29+'Inputs'!$B$31+'Inputs'!$B$32,'Inputs'!$B$30+'Inputs'!$B$31+'Inputs'!$B$32)/1000+'Inputs'!$B$21+'Inputs'!$B$7+'Inputs'!$B$10)+'Inputs'!$B$9)^2+('Inputs'!$B$8/2)^2)-(((640-43)*MAX('Inputs'!$B$33,'Inputs'!$B$29+'Inputs'!$B$31+'Inputs'!$B$32,'Inputs'!$B$30+'Inputs'!$B$31+'Inputs'!$B$32)/1000+'Inputs'!$B$21+'Inputs'!$B$7+'Inputs'!$B$10))/SQRT((((640-43)*MAX('Inputs'!$B$33,'Inputs'!$B$29+'Inputs'!$B$31+'Inputs'!$B$32,'Inputs'!$B$30+'Inputs'!$B$31+'Inputs'!$B$32)/1000+'Inputs'!$B$21+'Inputs'!$B$7+'Inputs'!$B$10))^2+('Inputs'!$B$8/2)^2))))*'Results'!$B$8)-'Inputs'!$B$28*ABS((('Results'!B7*(1-'Inputs'!$B$24)*(0.5*((((640-43)*MAX('Inputs'!$B$33,'Inputs'!$B$29+'Inputs'!$B$31+'Inputs'!$B$32,'Inputs'!$B$30+'Inputs'!$B$31+'Inputs'!$B$32)/1000+'Inputs'!$B$21)+'Inputs'!$B$7)/SQRT((((640-43)*MAX('Inputs'!$B$33,'Inputs'!$B$29+'Inputs'!$B$31+'Inputs'!$B$32,'Inputs'!$B$30+'Inputs'!$B$31+'Inputs'!$B$32)/1000+'Inputs'!$B$21)+'Inputs'!$B$7)^2+('Inputs'!$B$6/2)^2)-(((640-43)*MAX('Inputs'!$B$33,'Inputs'!$B$29+'Inputs'!$B$31+'Inputs'!$B$32,'Inputs'!$B$30+'Inputs'!$B$31+'Inputs'!$B$32)/1000+'Inputs'!$B$21))/SQRT((((640-43)*MAX('Inputs'!$B$33,'Inputs'!$B$29+'Inputs'!$B$31+'Inputs'!$B$32,'Inputs'!$B$30+'Inputs'!$B$31+'Inputs'!$B$32)/1000+'Inputs'!$B$21))^2+('Inputs'!$B$6/2)^2)))-'Results'!C7*(1+'Inputs'!$B$24)*(0.5*((((640-43)*MAX('Inputs'!$B$33,'Inputs'!$B$29+'Inputs'!$B$31+'Inputs'!$B$32,'Inputs'!$B$30+'Inputs'!$B$31+'Inputs'!$B$32)/1000+'Inputs'!$B$21+'Inputs'!$B$7+'Inputs'!$B$10)+'Inputs'!$B$9)/SQRT((((640-43)*MAX('Inputs'!$B$33,'Inputs'!$B$29+'Inputs'!$B$31+'Inputs'!$B$32,'Inputs'!$B$30+'Inputs'!$B$31+'Inputs'!$B$32)/1000+'Inputs'!$B$21+'Inputs'!$B$7+'Inputs'!$B$10)+'Inputs'!$B$9)^2+('Inputs'!$B$8/2)^2)-(((640-43)*MAX('Inputs'!$B$33,'Inputs'!$B$29+'Inputs'!$B$31+'Inputs'!$B$32,'Inputs'!$B$30+'Inputs'!$B$31+'Inputs'!$B$32)/1000+'Inputs'!$B$21+'Inputs'!$B$7+'Inputs'!$B$10))/SQRT((((640-43)*MAX('Inputs'!$B$33,'Inputs'!$B$29+'Inputs'!$B$31+'Inputs'!$B$32,'Inputs'!$B$30+'Inputs'!$B$31+'Inputs'!$B$32)/1000+'Inputs'!$B$21+'Inputs'!$B$7+'Inputs'!$B$10))^2+('Inputs'!$B$8/2)^2))))*'Results'!$B$8))),"")</x:f>
        <x:v>1.983928742732414</x:v>
      </x:c>
      <x:c r="L640" t="n">
        <x:f>IF(AND(ISNUMBER('Results'!B7),ISNUMBER('Results'!C7),ISNUMBER('Results'!$B$8),ISNUMBER('Inputs'!$B$6),ISNUMBER('Inputs'!$B$7),ISNUMBER('Inputs'!$B$8),ISNUMBER('Inputs'!$B$9),ISNUMBER('Inputs'!$B$10),ISNUMBER('Inputs'!$B$21),ISNUMBER('Inputs'!$B$24),ISNUMBER('Inputs'!$B$28)),((('Results'!B7*(1+'Inputs'!$B$24)*(0.5*((((640-43)*MAX('Inputs'!$B$33,'Inputs'!$B$29+'Inputs'!$B$31+'Inputs'!$B$32,'Inputs'!$B$30+'Inputs'!$B$31+'Inputs'!$B$32)/1000+'Inputs'!$B$21)+'Inputs'!$B$7)/SQRT((((640-43)*MAX('Inputs'!$B$33,'Inputs'!$B$29+'Inputs'!$B$31+'Inputs'!$B$32,'Inputs'!$B$30+'Inputs'!$B$31+'Inputs'!$B$32)/1000+'Inputs'!$B$21)+'Inputs'!$B$7)^2+('Inputs'!$B$6/2)^2)-(((640-43)*MAX('Inputs'!$B$33,'Inputs'!$B$29+'Inputs'!$B$31+'Inputs'!$B$32,'Inputs'!$B$30+'Inputs'!$B$31+'Inputs'!$B$32)/1000+'Inputs'!$B$21))/SQRT((((640-43)*MAX('Inputs'!$B$33,'Inputs'!$B$29+'Inputs'!$B$31+'Inputs'!$B$32,'Inputs'!$B$30+'Inputs'!$B$31+'Inputs'!$B$32)/1000+'Inputs'!$B$21))^2+('Inputs'!$B$6/2)^2)))-'Results'!C7*(1-'Inputs'!$B$24)*(0.5*((((640-43)*MAX('Inputs'!$B$33,'Inputs'!$B$29+'Inputs'!$B$31+'Inputs'!$B$32,'Inputs'!$B$30+'Inputs'!$B$31+'Inputs'!$B$32)/1000+'Inputs'!$B$21+'Inputs'!$B$7+'Inputs'!$B$10)+'Inputs'!$B$9)/SQRT((((640-43)*MAX('Inputs'!$B$33,'Inputs'!$B$29+'Inputs'!$B$31+'Inputs'!$B$32,'Inputs'!$B$30+'Inputs'!$B$31+'Inputs'!$B$32)/1000+'Inputs'!$B$21+'Inputs'!$B$7+'Inputs'!$B$10)+'Inputs'!$B$9)^2+('Inputs'!$B$8/2)^2)-(((640-43)*MAX('Inputs'!$B$33,'Inputs'!$B$29+'Inputs'!$B$31+'Inputs'!$B$32,'Inputs'!$B$30+'Inputs'!$B$31+'Inputs'!$B$32)/1000+'Inputs'!$B$21+'Inputs'!$B$7+'Inputs'!$B$10))/SQRT((((640-43)*MAX('Inputs'!$B$33,'Inputs'!$B$29+'Inputs'!$B$31+'Inputs'!$B$32,'Inputs'!$B$30+'Inputs'!$B$31+'Inputs'!$B$32)/1000+'Inputs'!$B$21+'Inputs'!$B$7+'Inputs'!$B$10))^2+('Inputs'!$B$8/2)^2))))*'Results'!$B$8)+'Inputs'!$B$28*ABS((('Results'!B7*(1+'Inputs'!$B$24)*(0.5*((((640-43)*MAX('Inputs'!$B$33,'Inputs'!$B$29+'Inputs'!$B$31+'Inputs'!$B$32,'Inputs'!$B$30+'Inputs'!$B$31+'Inputs'!$B$32)/1000+'Inputs'!$B$21)+'Inputs'!$B$7)/SQRT((((640-43)*MAX('Inputs'!$B$33,'Inputs'!$B$29+'Inputs'!$B$31+'Inputs'!$B$32,'Inputs'!$B$30+'Inputs'!$B$31+'Inputs'!$B$32)/1000+'Inputs'!$B$21)+'Inputs'!$B$7)^2+('Inputs'!$B$6/2)^2)-(((640-43)*MAX('Inputs'!$B$33,'Inputs'!$B$29+'Inputs'!$B$31+'Inputs'!$B$32,'Inputs'!$B$30+'Inputs'!$B$31+'Inputs'!$B$32)/1000+'Inputs'!$B$21))/SQRT((((640-43)*MAX('Inputs'!$B$33,'Inputs'!$B$29+'Inputs'!$B$31+'Inputs'!$B$32,'Inputs'!$B$30+'Inputs'!$B$31+'Inputs'!$B$32)/1000+'Inputs'!$B$21))^2+('Inputs'!$B$6/2)^2)))-'Results'!C7*(1-'Inputs'!$B$24)*(0.5*((((640-43)*MAX('Inputs'!$B$33,'Inputs'!$B$29+'Inputs'!$B$31+'Inputs'!$B$32,'Inputs'!$B$30+'Inputs'!$B$31+'Inputs'!$B$32)/1000+'Inputs'!$B$21+'Inputs'!$B$7+'Inputs'!$B$10)+'Inputs'!$B$9)/SQRT((((640-43)*MAX('Inputs'!$B$33,'Inputs'!$B$29+'Inputs'!$B$31+'Inputs'!$B$32,'Inputs'!$B$30+'Inputs'!$B$31+'Inputs'!$B$32)/1000+'Inputs'!$B$21+'Inputs'!$B$7+'Inputs'!$B$10)+'Inputs'!$B$9)^2+('Inputs'!$B$8/2)^2)-(((640-43)*MAX('Inputs'!$B$33,'Inputs'!$B$29+'Inputs'!$B$31+'Inputs'!$B$32,'Inputs'!$B$30+'Inputs'!$B$31+'Inputs'!$B$32)/1000+'Inputs'!$B$21+'Inputs'!$B$7+'Inputs'!$B$10))/SQRT((((640-43)*MAX('Inputs'!$B$33,'Inputs'!$B$29+'Inputs'!$B$31+'Inputs'!$B$32,'Inputs'!$B$30+'Inputs'!$B$31+'Inputs'!$B$32)/1000+'Inputs'!$B$21+'Inputs'!$B$7+'Inputs'!$B$10))^2+('Inputs'!$B$8/2)^2))))*'Results'!$B$8))),"")</x:f>
        <x:v>2.563234998236035</x:v>
      </x:c>
      <x:c r="M640" t="n">
        <x:f>IF(AND(ISNUMBER('Results'!C7),ISNUMBER('Results'!B7),ISNUMBER('Results'!$B$8),ISNUMBER('Inputs'!$B$6),ISNUMBER('Inputs'!$B$7),ISNUMBER('Inputs'!$B$8),ISNUMBER('Inputs'!$B$9),ISNUMBER('Inputs'!$B$10),ISNUMBER('Inputs'!$B$21),ISNUMBER('Inputs'!$B$24),ISNUMBER('Inputs'!$B$28)),(('Results'!C7*(0.5*((((640-43)*MAX('Inputs'!$B$33,'Inputs'!$B$29+'Inputs'!$B$31+'Inputs'!$B$32,'Inputs'!$B$30+'Inputs'!$B$31+'Inputs'!$B$32)/1000+'Inputs'!$B$21)+'Inputs'!$B$9)/SQRT((((640-43)*MAX('Inputs'!$B$33,'Inputs'!$B$29+'Inputs'!$B$31+'Inputs'!$B$32,'Inputs'!$B$30+'Inputs'!$B$31+'Inputs'!$B$32)/1000+'Inputs'!$B$21)+'Inputs'!$B$9)^2+('Inputs'!$B$8/2)^2)-(((640-43)*MAX('Inputs'!$B$33,'Inputs'!$B$29+'Inputs'!$B$31+'Inputs'!$B$32,'Inputs'!$B$30+'Inputs'!$B$31+'Inputs'!$B$32)/1000+'Inputs'!$B$21))/SQRT((((640-43)*MAX('Inputs'!$B$33,'Inputs'!$B$29+'Inputs'!$B$31+'Inputs'!$B$32,'Inputs'!$B$30+'Inputs'!$B$31+'Inputs'!$B$32)/1000+'Inputs'!$B$21))^2+('Inputs'!$B$8/2)^2)))-'Results'!B7*(0.5*((((640-43)*MAX('Inputs'!$B$33,'Inputs'!$B$29+'Inputs'!$B$31+'Inputs'!$B$32,'Inputs'!$B$30+'Inputs'!$B$31+'Inputs'!$B$32)/1000+'Inputs'!$B$21+'Inputs'!$B$9+'Inputs'!$B$10)+'Inputs'!$B$7)/SQRT((((640-43)*MAX('Inputs'!$B$33,'Inputs'!$B$29+'Inputs'!$B$31+'Inputs'!$B$32,'Inputs'!$B$30+'Inputs'!$B$31+'Inputs'!$B$32)/1000+'Inputs'!$B$21+'Inputs'!$B$9+'Inputs'!$B$10)+'Inputs'!$B$7)^2+('Inputs'!$B$6/2)^2)-(((640-43)*MAX('Inputs'!$B$33,'Inputs'!$B$29+'Inputs'!$B$31+'Inputs'!$B$32,'Inputs'!$B$30+'Inputs'!$B$31+'Inputs'!$B$32)/1000+'Inputs'!$B$21+'Inputs'!$B$9+'Inputs'!$B$10))/SQRT((((640-43)*MAX('Inputs'!$B$33,'Inputs'!$B$29+'Inputs'!$B$31+'Inputs'!$B$32,'Inputs'!$B$30+'Inputs'!$B$31+'Inputs'!$B$32)/1000+'Inputs'!$B$21+'Inputs'!$B$9+'Inputs'!$B$10))^2+('Inputs'!$B$6/2)^2))))*'Results'!$B$8),"")</x:f>
        <x:v>2.087008087332819</x:v>
      </x:c>
      <x:c r="N640" t="n">
        <x:f>IF(AND(ISNUMBER('Results'!C7),ISNUMBER('Results'!B7),ISNUMBER('Results'!$B$8),ISNUMBER('Inputs'!$B$6),ISNUMBER('Inputs'!$B$7),ISNUMBER('Inputs'!$B$8),ISNUMBER('Inputs'!$B$9),ISNUMBER('Inputs'!$B$10),ISNUMBER('Inputs'!$B$21),ISNUMBER('Inputs'!$B$24),ISNUMBER('Inputs'!$B$28)),((('Results'!C7*(1-'Inputs'!$B$24)*(0.5*((((640-43)*MAX('Inputs'!$B$33,'Inputs'!$B$29+'Inputs'!$B$31+'Inputs'!$B$32,'Inputs'!$B$30+'Inputs'!$B$31+'Inputs'!$B$32)/1000+'Inputs'!$B$21)+'Inputs'!$B$9)/SQRT((((640-43)*MAX('Inputs'!$B$33,'Inputs'!$B$29+'Inputs'!$B$31+'Inputs'!$B$32,'Inputs'!$B$30+'Inputs'!$B$31+'Inputs'!$B$32)/1000+'Inputs'!$B$21)+'Inputs'!$B$9)^2+('Inputs'!$B$8/2)^2)-(((640-43)*MAX('Inputs'!$B$33,'Inputs'!$B$29+'Inputs'!$B$31+'Inputs'!$B$32,'Inputs'!$B$30+'Inputs'!$B$31+'Inputs'!$B$32)/1000+'Inputs'!$B$21))/SQRT((((640-43)*MAX('Inputs'!$B$33,'Inputs'!$B$29+'Inputs'!$B$31+'Inputs'!$B$32,'Inputs'!$B$30+'Inputs'!$B$31+'Inputs'!$B$32)/1000+'Inputs'!$B$21))^2+('Inputs'!$B$8/2)^2)))-'Results'!B7*(1+'Inputs'!$B$24)*(0.5*((((640-43)*MAX('Inputs'!$B$33,'Inputs'!$B$29+'Inputs'!$B$31+'Inputs'!$B$32,'Inputs'!$B$30+'Inputs'!$B$31+'Inputs'!$B$32)/1000+'Inputs'!$B$21+'Inputs'!$B$9+'Inputs'!$B$10)+'Inputs'!$B$7)/SQRT((((640-43)*MAX('Inputs'!$B$33,'Inputs'!$B$29+'Inputs'!$B$31+'Inputs'!$B$32,'Inputs'!$B$30+'Inputs'!$B$31+'Inputs'!$B$32)/1000+'Inputs'!$B$21+'Inputs'!$B$9+'Inputs'!$B$10)+'Inputs'!$B$7)^2+('Inputs'!$B$6/2)^2)-(((640-43)*MAX('Inputs'!$B$33,'Inputs'!$B$29+'Inputs'!$B$31+'Inputs'!$B$32,'Inputs'!$B$30+'Inputs'!$B$31+'Inputs'!$B$32)/1000+'Inputs'!$B$21+'Inputs'!$B$9+'Inputs'!$B$10))/SQRT((((640-43)*MAX('Inputs'!$B$33,'Inputs'!$B$29+'Inputs'!$B$31+'Inputs'!$B$32,'Inputs'!$B$30+'Inputs'!$B$31+'Inputs'!$B$32)/1000+'Inputs'!$B$21+'Inputs'!$B$9+'Inputs'!$B$10))^2+('Inputs'!$B$6/2)^2))))*'Results'!$B$8)-'Inputs'!$B$28*ABS((('Results'!C7*(1-'Inputs'!$B$24)*(0.5*((((640-43)*MAX('Inputs'!$B$33,'Inputs'!$B$29+'Inputs'!$B$31+'Inputs'!$B$32,'Inputs'!$B$30+'Inputs'!$B$31+'Inputs'!$B$32)/1000+'Inputs'!$B$21)+'Inputs'!$B$9)/SQRT((((640-43)*MAX('Inputs'!$B$33,'Inputs'!$B$29+'Inputs'!$B$31+'Inputs'!$B$32,'Inputs'!$B$30+'Inputs'!$B$31+'Inputs'!$B$32)/1000+'Inputs'!$B$21)+'Inputs'!$B$9)^2+('Inputs'!$B$8/2)^2)-(((640-43)*MAX('Inputs'!$B$33,'Inputs'!$B$29+'Inputs'!$B$31+'Inputs'!$B$32,'Inputs'!$B$30+'Inputs'!$B$31+'Inputs'!$B$32)/1000+'Inputs'!$B$21))/SQRT((((640-43)*MAX('Inputs'!$B$33,'Inputs'!$B$29+'Inputs'!$B$31+'Inputs'!$B$32,'Inputs'!$B$30+'Inputs'!$B$31+'Inputs'!$B$32)/1000+'Inputs'!$B$21))^2+('Inputs'!$B$8/2)^2)))-'Results'!B7*(1+'Inputs'!$B$24)*(0.5*((((640-43)*MAX('Inputs'!$B$33,'Inputs'!$B$29+'Inputs'!$B$31+'Inputs'!$B$32,'Inputs'!$B$30+'Inputs'!$B$31+'Inputs'!$B$32)/1000+'Inputs'!$B$21+'Inputs'!$B$9+'Inputs'!$B$10)+'Inputs'!$B$7)/SQRT((((640-43)*MAX('Inputs'!$B$33,'Inputs'!$B$29+'Inputs'!$B$31+'Inputs'!$B$32,'Inputs'!$B$30+'Inputs'!$B$31+'Inputs'!$B$32)/1000+'Inputs'!$B$21+'Inputs'!$B$9+'Inputs'!$B$10)+'Inputs'!$B$7)^2+('Inputs'!$B$6/2)^2)-(((640-43)*MAX('Inputs'!$B$33,'Inputs'!$B$29+'Inputs'!$B$31+'Inputs'!$B$32,'Inputs'!$B$30+'Inputs'!$B$31+'Inputs'!$B$32)/1000+'Inputs'!$B$21+'Inputs'!$B$9+'Inputs'!$B$10))/SQRT((((640-43)*MAX('Inputs'!$B$33,'Inputs'!$B$29+'Inputs'!$B$31+'Inputs'!$B$32,'Inputs'!$B$30+'Inputs'!$B$31+'Inputs'!$B$32)/1000+'Inputs'!$B$21+'Inputs'!$B$9+'Inputs'!$B$10))^2+('Inputs'!$B$6/2)^2))))*'Results'!$B$8))),"")</x:f>
        <x:v>1.8158985526832723</x:v>
      </x:c>
      <x:c r="O640" t="n">
        <x:f>IF(AND(ISNUMBER('Results'!C7),ISNUMBER('Results'!B7),ISNUMBER('Results'!$B$8),ISNUMBER('Inputs'!$B$6),ISNUMBER('Inputs'!$B$7),ISNUMBER('Inputs'!$B$8),ISNUMBER('Inputs'!$B$9),ISNUMBER('Inputs'!$B$10),ISNUMBER('Inputs'!$B$21),ISNUMBER('Inputs'!$B$24),ISNUMBER('Inputs'!$B$28)),((('Results'!C7*(1+'Inputs'!$B$24)*(0.5*((((640-43)*MAX('Inputs'!$B$33,'Inputs'!$B$29+'Inputs'!$B$31+'Inputs'!$B$32,'Inputs'!$B$30+'Inputs'!$B$31+'Inputs'!$B$32)/1000+'Inputs'!$B$21)+'Inputs'!$B$9)/SQRT((((640-43)*MAX('Inputs'!$B$33,'Inputs'!$B$29+'Inputs'!$B$31+'Inputs'!$B$32,'Inputs'!$B$30+'Inputs'!$B$31+'Inputs'!$B$32)/1000+'Inputs'!$B$21)+'Inputs'!$B$9)^2+('Inputs'!$B$8/2)^2)-(((640-43)*MAX('Inputs'!$B$33,'Inputs'!$B$29+'Inputs'!$B$31+'Inputs'!$B$32,'Inputs'!$B$30+'Inputs'!$B$31+'Inputs'!$B$32)/1000+'Inputs'!$B$21))/SQRT((((640-43)*MAX('Inputs'!$B$33,'Inputs'!$B$29+'Inputs'!$B$31+'Inputs'!$B$32,'Inputs'!$B$30+'Inputs'!$B$31+'Inputs'!$B$32)/1000+'Inputs'!$B$21))^2+('Inputs'!$B$8/2)^2)))-'Results'!B7*(1-'Inputs'!$B$24)*(0.5*((((640-43)*MAX('Inputs'!$B$33,'Inputs'!$B$29+'Inputs'!$B$31+'Inputs'!$B$32,'Inputs'!$B$30+'Inputs'!$B$31+'Inputs'!$B$32)/1000+'Inputs'!$B$21+'Inputs'!$B$9+'Inputs'!$B$10)+'Inputs'!$B$7)/SQRT((((640-43)*MAX('Inputs'!$B$33,'Inputs'!$B$29+'Inputs'!$B$31+'Inputs'!$B$32,'Inputs'!$B$30+'Inputs'!$B$31+'Inputs'!$B$32)/1000+'Inputs'!$B$21+'Inputs'!$B$9+'Inputs'!$B$10)+'Inputs'!$B$7)^2+('Inputs'!$B$6/2)^2)-(((640-43)*MAX('Inputs'!$B$33,'Inputs'!$B$29+'Inputs'!$B$31+'Inputs'!$B$32,'Inputs'!$B$30+'Inputs'!$B$31+'Inputs'!$B$32)/1000+'Inputs'!$B$21+'Inputs'!$B$9+'Inputs'!$B$10))/SQRT((((640-43)*MAX('Inputs'!$B$33,'Inputs'!$B$29+'Inputs'!$B$31+'Inputs'!$B$32,'Inputs'!$B$30+'Inputs'!$B$31+'Inputs'!$B$32)/1000+'Inputs'!$B$21+'Inputs'!$B$9+'Inputs'!$B$10))^2+('Inputs'!$B$6/2)^2))))*'Results'!$B$8)+'Inputs'!$B$28*ABS((('Results'!C7*(1+'Inputs'!$B$24)*(0.5*((((640-43)*MAX('Inputs'!$B$33,'Inputs'!$B$29+'Inputs'!$B$31+'Inputs'!$B$32,'Inputs'!$B$30+'Inputs'!$B$31+'Inputs'!$B$32)/1000+'Inputs'!$B$21)+'Inputs'!$B$9)/SQRT((((640-43)*MAX('Inputs'!$B$33,'Inputs'!$B$29+'Inputs'!$B$31+'Inputs'!$B$32,'Inputs'!$B$30+'Inputs'!$B$31+'Inputs'!$B$32)/1000+'Inputs'!$B$21)+'Inputs'!$B$9)^2+('Inputs'!$B$8/2)^2)-(((640-43)*MAX('Inputs'!$B$33,'Inputs'!$B$29+'Inputs'!$B$31+'Inputs'!$B$32,'Inputs'!$B$30+'Inputs'!$B$31+'Inputs'!$B$32)/1000+'Inputs'!$B$21))/SQRT((((640-43)*MAX('Inputs'!$B$33,'Inputs'!$B$29+'Inputs'!$B$31+'Inputs'!$B$32,'Inputs'!$B$30+'Inputs'!$B$31+'Inputs'!$B$32)/1000+'Inputs'!$B$21))^2+('Inputs'!$B$8/2)^2)))-'Results'!B7*(1-'Inputs'!$B$24)*(0.5*((((640-43)*MAX('Inputs'!$B$33,'Inputs'!$B$29+'Inputs'!$B$31+'Inputs'!$B$32,'Inputs'!$B$30+'Inputs'!$B$31+'Inputs'!$B$32)/1000+'Inputs'!$B$21+'Inputs'!$B$9+'Inputs'!$B$10)+'Inputs'!$B$7)/SQRT((((640-43)*MAX('Inputs'!$B$33,'Inputs'!$B$29+'Inputs'!$B$31+'Inputs'!$B$32,'Inputs'!$B$30+'Inputs'!$B$31+'Inputs'!$B$32)/1000+'Inputs'!$B$21+'Inputs'!$B$9+'Inputs'!$B$10)+'Inputs'!$B$7)^2+('Inputs'!$B$6/2)^2)-(((640-43)*MAX('Inputs'!$B$33,'Inputs'!$B$29+'Inputs'!$B$31+'Inputs'!$B$32,'Inputs'!$B$30+'Inputs'!$B$31+'Inputs'!$B$32)/1000+'Inputs'!$B$21+'Inputs'!$B$9+'Inputs'!$B$10))/SQRT((((640-43)*MAX('Inputs'!$B$33,'Inputs'!$B$29+'Inputs'!$B$31+'Inputs'!$B$32,'Inputs'!$B$30+'Inputs'!$B$31+'Inputs'!$B$32)/1000+'Inputs'!$B$21+'Inputs'!$B$9+'Inputs'!$B$10))^2+('Inputs'!$B$6/2)^2))))*'Results'!$B$8))),"")</x:f>
        <x:v>2.3756712146437255</x:v>
      </x:c>
      <x:c r="P640" t="n">
        <x:f>IF(AND(MAX(J640,J639)&gt;0,J640&gt;J639+0.00000001),1,0)</x:f>
        <x:v>0</x:v>
      </x:c>
      <x:c r="Q640" t="n">
        <x:f>IF(AND(MAX(K640,K639)&gt;0,K640&gt;K639+0.00000001),1,0)</x:f>
        <x:v>0</x:v>
      </x:c>
      <x:c r="R640" t="n">
        <x:f>IF(AND(MAX(L640,L639)&gt;0,L640&gt;L639+0.00000001),1,0)</x:f>
        <x:v>0</x:v>
      </x:c>
      <x:c r="S640" t="n">
        <x:f>IF(AND(MAX(M640,M639)&gt;0,M640&gt;M639+0.00000001),1,0)</x:f>
        <x:v>0</x:v>
      </x:c>
      <x:c r="T640" t="n">
        <x:f>IF(AND(MAX(N640,N639)&gt;0,N640&gt;N639+0.00000001),1,0)</x:f>
        <x:v>0</x:v>
      </x:c>
      <x:c r="U640" t="n">
        <x:f>IF(AND(MAX(O640,O639)&gt;0,O640&gt;O639+0.00000001),1,0)</x:f>
        <x:v>0</x:v>
      </x:c>
    </x:row>
    <x:row r="641">
      <x:c r="J641" t="n">
        <x:f>IF(AND(ISNUMBER('Results'!B7),ISNUMBER('Results'!C7),ISNUMBER('Results'!$B$8),ISNUMBER('Inputs'!$B$6),ISNUMBER('Inputs'!$B$7),ISNUMBER('Inputs'!$B$8),ISNUMBER('Inputs'!$B$9),ISNUMBER('Inputs'!$B$10),ISNUMBER('Inputs'!$B$21),ISNUMBER('Inputs'!$B$24),ISNUMBER('Inputs'!$B$28)),(('Results'!B7*(0.5*((((641-43)*MAX('Inputs'!$B$33,'Inputs'!$B$29+'Inputs'!$B$31+'Inputs'!$B$32,'Inputs'!$B$30+'Inputs'!$B$31+'Inputs'!$B$32)/1000+'Inputs'!$B$21)+'Inputs'!$B$7)/SQRT((((641-43)*MAX('Inputs'!$B$33,'Inputs'!$B$29+'Inputs'!$B$31+'Inputs'!$B$32,'Inputs'!$B$30+'Inputs'!$B$31+'Inputs'!$B$32)/1000+'Inputs'!$B$21)+'Inputs'!$B$7)^2+('Inputs'!$B$6/2)^2)-(((641-43)*MAX('Inputs'!$B$33,'Inputs'!$B$29+'Inputs'!$B$31+'Inputs'!$B$32,'Inputs'!$B$30+'Inputs'!$B$31+'Inputs'!$B$32)/1000+'Inputs'!$B$21))/SQRT((((641-43)*MAX('Inputs'!$B$33,'Inputs'!$B$29+'Inputs'!$B$31+'Inputs'!$B$32,'Inputs'!$B$30+'Inputs'!$B$31+'Inputs'!$B$32)/1000+'Inputs'!$B$21))^2+('Inputs'!$B$6/2)^2)))-'Results'!C7*(0.5*((((641-43)*MAX('Inputs'!$B$33,'Inputs'!$B$29+'Inputs'!$B$31+'Inputs'!$B$32,'Inputs'!$B$30+'Inputs'!$B$31+'Inputs'!$B$32)/1000+'Inputs'!$B$21+'Inputs'!$B$7+'Inputs'!$B$10)+'Inputs'!$B$9)/SQRT((((641-43)*MAX('Inputs'!$B$33,'Inputs'!$B$29+'Inputs'!$B$31+'Inputs'!$B$32,'Inputs'!$B$30+'Inputs'!$B$31+'Inputs'!$B$32)/1000+'Inputs'!$B$21+'Inputs'!$B$7+'Inputs'!$B$10)+'Inputs'!$B$9)^2+('Inputs'!$B$8/2)^2)-(((641-43)*MAX('Inputs'!$B$33,'Inputs'!$B$29+'Inputs'!$B$31+'Inputs'!$B$32,'Inputs'!$B$30+'Inputs'!$B$31+'Inputs'!$B$32)/1000+'Inputs'!$B$21+'Inputs'!$B$7+'Inputs'!$B$10))/SQRT((((641-43)*MAX('Inputs'!$B$33,'Inputs'!$B$29+'Inputs'!$B$31+'Inputs'!$B$32,'Inputs'!$B$30+'Inputs'!$B$31+'Inputs'!$B$32)/1000+'Inputs'!$B$21+'Inputs'!$B$7+'Inputs'!$B$10))^2+('Inputs'!$B$8/2)^2))))*'Results'!$B$8),"")</x:f>
        <x:v>2.2515561925265524</x:v>
      </x:c>
      <x:c r="K641" t="n">
        <x:f>IF(AND(ISNUMBER('Results'!B7),ISNUMBER('Results'!C7),ISNUMBER('Results'!$B$8),ISNUMBER('Inputs'!$B$6),ISNUMBER('Inputs'!$B$7),ISNUMBER('Inputs'!$B$8),ISNUMBER('Inputs'!$B$9),ISNUMBER('Inputs'!$B$10),ISNUMBER('Inputs'!$B$21),ISNUMBER('Inputs'!$B$24),ISNUMBER('Inputs'!$B$28)),((('Results'!B7*(1-'Inputs'!$B$24)*(0.5*((((641-43)*MAX('Inputs'!$B$33,'Inputs'!$B$29+'Inputs'!$B$31+'Inputs'!$B$32,'Inputs'!$B$30+'Inputs'!$B$31+'Inputs'!$B$32)/1000+'Inputs'!$B$21)+'Inputs'!$B$7)/SQRT((((641-43)*MAX('Inputs'!$B$33,'Inputs'!$B$29+'Inputs'!$B$31+'Inputs'!$B$32,'Inputs'!$B$30+'Inputs'!$B$31+'Inputs'!$B$32)/1000+'Inputs'!$B$21)+'Inputs'!$B$7)^2+('Inputs'!$B$6/2)^2)-(((641-43)*MAX('Inputs'!$B$33,'Inputs'!$B$29+'Inputs'!$B$31+'Inputs'!$B$32,'Inputs'!$B$30+'Inputs'!$B$31+'Inputs'!$B$32)/1000+'Inputs'!$B$21))/SQRT((((641-43)*MAX('Inputs'!$B$33,'Inputs'!$B$29+'Inputs'!$B$31+'Inputs'!$B$32,'Inputs'!$B$30+'Inputs'!$B$31+'Inputs'!$B$32)/1000+'Inputs'!$B$21))^2+('Inputs'!$B$6/2)^2)))-'Results'!C7*(1+'Inputs'!$B$24)*(0.5*((((641-43)*MAX('Inputs'!$B$33,'Inputs'!$B$29+'Inputs'!$B$31+'Inputs'!$B$32,'Inputs'!$B$30+'Inputs'!$B$31+'Inputs'!$B$32)/1000+'Inputs'!$B$21+'Inputs'!$B$7+'Inputs'!$B$10)+'Inputs'!$B$9)/SQRT((((641-43)*MAX('Inputs'!$B$33,'Inputs'!$B$29+'Inputs'!$B$31+'Inputs'!$B$32,'Inputs'!$B$30+'Inputs'!$B$31+'Inputs'!$B$32)/1000+'Inputs'!$B$21+'Inputs'!$B$7+'Inputs'!$B$10)+'Inputs'!$B$9)^2+('Inputs'!$B$8/2)^2)-(((641-43)*MAX('Inputs'!$B$33,'Inputs'!$B$29+'Inputs'!$B$31+'Inputs'!$B$32,'Inputs'!$B$30+'Inputs'!$B$31+'Inputs'!$B$32)/1000+'Inputs'!$B$21+'Inputs'!$B$7+'Inputs'!$B$10))/SQRT((((641-43)*MAX('Inputs'!$B$33,'Inputs'!$B$29+'Inputs'!$B$31+'Inputs'!$B$32,'Inputs'!$B$30+'Inputs'!$B$31+'Inputs'!$B$32)/1000+'Inputs'!$B$21+'Inputs'!$B$7+'Inputs'!$B$10))^2+('Inputs'!$B$8/2)^2))))*'Results'!$B$8)-'Inputs'!$B$28*ABS((('Results'!B7*(1-'Inputs'!$B$24)*(0.5*((((641-43)*MAX('Inputs'!$B$33,'Inputs'!$B$29+'Inputs'!$B$31+'Inputs'!$B$32,'Inputs'!$B$30+'Inputs'!$B$31+'Inputs'!$B$32)/1000+'Inputs'!$B$21)+'Inputs'!$B$7)/SQRT((((641-43)*MAX('Inputs'!$B$33,'Inputs'!$B$29+'Inputs'!$B$31+'Inputs'!$B$32,'Inputs'!$B$30+'Inputs'!$B$31+'Inputs'!$B$32)/1000+'Inputs'!$B$21)+'Inputs'!$B$7)^2+('Inputs'!$B$6/2)^2)-(((641-43)*MAX('Inputs'!$B$33,'Inputs'!$B$29+'Inputs'!$B$31+'Inputs'!$B$32,'Inputs'!$B$30+'Inputs'!$B$31+'Inputs'!$B$32)/1000+'Inputs'!$B$21))/SQRT((((641-43)*MAX('Inputs'!$B$33,'Inputs'!$B$29+'Inputs'!$B$31+'Inputs'!$B$32,'Inputs'!$B$30+'Inputs'!$B$31+'Inputs'!$B$32)/1000+'Inputs'!$B$21))^2+('Inputs'!$B$6/2)^2)))-'Results'!C7*(1+'Inputs'!$B$24)*(0.5*((((641-43)*MAX('Inputs'!$B$33,'Inputs'!$B$29+'Inputs'!$B$31+'Inputs'!$B$32,'Inputs'!$B$30+'Inputs'!$B$31+'Inputs'!$B$32)/1000+'Inputs'!$B$21+'Inputs'!$B$7+'Inputs'!$B$10)+'Inputs'!$B$9)/SQRT((((641-43)*MAX('Inputs'!$B$33,'Inputs'!$B$29+'Inputs'!$B$31+'Inputs'!$B$32,'Inputs'!$B$30+'Inputs'!$B$31+'Inputs'!$B$32)/1000+'Inputs'!$B$21+'Inputs'!$B$7+'Inputs'!$B$10)+'Inputs'!$B$9)^2+('Inputs'!$B$8/2)^2)-(((641-43)*MAX('Inputs'!$B$33,'Inputs'!$B$29+'Inputs'!$B$31+'Inputs'!$B$32,'Inputs'!$B$30+'Inputs'!$B$31+'Inputs'!$B$32)/1000+'Inputs'!$B$21+'Inputs'!$B$7+'Inputs'!$B$10))/SQRT((((641-43)*MAX('Inputs'!$B$33,'Inputs'!$B$29+'Inputs'!$B$31+'Inputs'!$B$32,'Inputs'!$B$30+'Inputs'!$B$31+'Inputs'!$B$32)/1000+'Inputs'!$B$21+'Inputs'!$B$7+'Inputs'!$B$10))^2+('Inputs'!$B$8/2)^2))))*'Results'!$B$8))),"")</x:f>
        <x:v>1.9721389641731855</x:v>
      </x:c>
      <x:c r="L641" t="n">
        <x:f>IF(AND(ISNUMBER('Results'!B7),ISNUMBER('Results'!C7),ISNUMBER('Results'!$B$8),ISNUMBER('Inputs'!$B$6),ISNUMBER('Inputs'!$B$7),ISNUMBER('Inputs'!$B$8),ISNUMBER('Inputs'!$B$9),ISNUMBER('Inputs'!$B$10),ISNUMBER('Inputs'!$B$21),ISNUMBER('Inputs'!$B$24),ISNUMBER('Inputs'!$B$28)),((('Results'!B7*(1+'Inputs'!$B$24)*(0.5*((((641-43)*MAX('Inputs'!$B$33,'Inputs'!$B$29+'Inputs'!$B$31+'Inputs'!$B$32,'Inputs'!$B$30+'Inputs'!$B$31+'Inputs'!$B$32)/1000+'Inputs'!$B$21)+'Inputs'!$B$7)/SQRT((((641-43)*MAX('Inputs'!$B$33,'Inputs'!$B$29+'Inputs'!$B$31+'Inputs'!$B$32,'Inputs'!$B$30+'Inputs'!$B$31+'Inputs'!$B$32)/1000+'Inputs'!$B$21)+'Inputs'!$B$7)^2+('Inputs'!$B$6/2)^2)-(((641-43)*MAX('Inputs'!$B$33,'Inputs'!$B$29+'Inputs'!$B$31+'Inputs'!$B$32,'Inputs'!$B$30+'Inputs'!$B$31+'Inputs'!$B$32)/1000+'Inputs'!$B$21))/SQRT((((641-43)*MAX('Inputs'!$B$33,'Inputs'!$B$29+'Inputs'!$B$31+'Inputs'!$B$32,'Inputs'!$B$30+'Inputs'!$B$31+'Inputs'!$B$32)/1000+'Inputs'!$B$21))^2+('Inputs'!$B$6/2)^2)))-'Results'!C7*(1-'Inputs'!$B$24)*(0.5*((((641-43)*MAX('Inputs'!$B$33,'Inputs'!$B$29+'Inputs'!$B$31+'Inputs'!$B$32,'Inputs'!$B$30+'Inputs'!$B$31+'Inputs'!$B$32)/1000+'Inputs'!$B$21+'Inputs'!$B$7+'Inputs'!$B$10)+'Inputs'!$B$9)/SQRT((((641-43)*MAX('Inputs'!$B$33,'Inputs'!$B$29+'Inputs'!$B$31+'Inputs'!$B$32,'Inputs'!$B$30+'Inputs'!$B$31+'Inputs'!$B$32)/1000+'Inputs'!$B$21+'Inputs'!$B$7+'Inputs'!$B$10)+'Inputs'!$B$9)^2+('Inputs'!$B$8/2)^2)-(((641-43)*MAX('Inputs'!$B$33,'Inputs'!$B$29+'Inputs'!$B$31+'Inputs'!$B$32,'Inputs'!$B$30+'Inputs'!$B$31+'Inputs'!$B$32)/1000+'Inputs'!$B$21+'Inputs'!$B$7+'Inputs'!$B$10))/SQRT((((641-43)*MAX('Inputs'!$B$33,'Inputs'!$B$29+'Inputs'!$B$31+'Inputs'!$B$32,'Inputs'!$B$30+'Inputs'!$B$31+'Inputs'!$B$32)/1000+'Inputs'!$B$21+'Inputs'!$B$7+'Inputs'!$B$10))^2+('Inputs'!$B$8/2)^2))))*'Results'!$B$8)+'Inputs'!$B$28*ABS((('Results'!B7*(1+'Inputs'!$B$24)*(0.5*((((641-43)*MAX('Inputs'!$B$33,'Inputs'!$B$29+'Inputs'!$B$31+'Inputs'!$B$32,'Inputs'!$B$30+'Inputs'!$B$31+'Inputs'!$B$32)/1000+'Inputs'!$B$21)+'Inputs'!$B$7)/SQRT((((641-43)*MAX('Inputs'!$B$33,'Inputs'!$B$29+'Inputs'!$B$31+'Inputs'!$B$32,'Inputs'!$B$30+'Inputs'!$B$31+'Inputs'!$B$32)/1000+'Inputs'!$B$21)+'Inputs'!$B$7)^2+('Inputs'!$B$6/2)^2)-(((641-43)*MAX('Inputs'!$B$33,'Inputs'!$B$29+'Inputs'!$B$31+'Inputs'!$B$32,'Inputs'!$B$30+'Inputs'!$B$31+'Inputs'!$B$32)/1000+'Inputs'!$B$21))/SQRT((((641-43)*MAX('Inputs'!$B$33,'Inputs'!$B$29+'Inputs'!$B$31+'Inputs'!$B$32,'Inputs'!$B$30+'Inputs'!$B$31+'Inputs'!$B$32)/1000+'Inputs'!$B$21))^2+('Inputs'!$B$6/2)^2)))-'Results'!C7*(1-'Inputs'!$B$24)*(0.5*((((641-43)*MAX('Inputs'!$B$33,'Inputs'!$B$29+'Inputs'!$B$31+'Inputs'!$B$32,'Inputs'!$B$30+'Inputs'!$B$31+'Inputs'!$B$32)/1000+'Inputs'!$B$21+'Inputs'!$B$7+'Inputs'!$B$10)+'Inputs'!$B$9)/SQRT((((641-43)*MAX('Inputs'!$B$33,'Inputs'!$B$29+'Inputs'!$B$31+'Inputs'!$B$32,'Inputs'!$B$30+'Inputs'!$B$31+'Inputs'!$B$32)/1000+'Inputs'!$B$21+'Inputs'!$B$7+'Inputs'!$B$10)+'Inputs'!$B$9)^2+('Inputs'!$B$8/2)^2)-(((641-43)*MAX('Inputs'!$B$33,'Inputs'!$B$29+'Inputs'!$B$31+'Inputs'!$B$32,'Inputs'!$B$30+'Inputs'!$B$31+'Inputs'!$B$32)/1000+'Inputs'!$B$21+'Inputs'!$B$7+'Inputs'!$B$10))/SQRT((((641-43)*MAX('Inputs'!$B$33,'Inputs'!$B$29+'Inputs'!$B$31+'Inputs'!$B$32,'Inputs'!$B$30+'Inputs'!$B$31+'Inputs'!$B$32)/1000+'Inputs'!$B$21+'Inputs'!$B$7+'Inputs'!$B$10))^2+('Inputs'!$B$8/2)^2))))*'Results'!$B$8))),"")</x:f>
        <x:v>2.54853546495645</x:v>
      </x:c>
      <x:c r="M641" t="n">
        <x:f>IF(AND(ISNUMBER('Results'!C7),ISNUMBER('Results'!B7),ISNUMBER('Results'!$B$8),ISNUMBER('Inputs'!$B$6),ISNUMBER('Inputs'!$B$7),ISNUMBER('Inputs'!$B$8),ISNUMBER('Inputs'!$B$9),ISNUMBER('Inputs'!$B$10),ISNUMBER('Inputs'!$B$21),ISNUMBER('Inputs'!$B$24),ISNUMBER('Inputs'!$B$28)),(('Results'!C7*(0.5*((((641-43)*MAX('Inputs'!$B$33,'Inputs'!$B$29+'Inputs'!$B$31+'Inputs'!$B$32,'Inputs'!$B$30+'Inputs'!$B$31+'Inputs'!$B$32)/1000+'Inputs'!$B$21)+'Inputs'!$B$9)/SQRT((((641-43)*MAX('Inputs'!$B$33,'Inputs'!$B$29+'Inputs'!$B$31+'Inputs'!$B$32,'Inputs'!$B$30+'Inputs'!$B$31+'Inputs'!$B$32)/1000+'Inputs'!$B$21)+'Inputs'!$B$9)^2+('Inputs'!$B$8/2)^2)-(((641-43)*MAX('Inputs'!$B$33,'Inputs'!$B$29+'Inputs'!$B$31+'Inputs'!$B$32,'Inputs'!$B$30+'Inputs'!$B$31+'Inputs'!$B$32)/1000+'Inputs'!$B$21))/SQRT((((641-43)*MAX('Inputs'!$B$33,'Inputs'!$B$29+'Inputs'!$B$31+'Inputs'!$B$32,'Inputs'!$B$30+'Inputs'!$B$31+'Inputs'!$B$32)/1000+'Inputs'!$B$21))^2+('Inputs'!$B$8/2)^2)))-'Results'!B7*(0.5*((((641-43)*MAX('Inputs'!$B$33,'Inputs'!$B$29+'Inputs'!$B$31+'Inputs'!$B$32,'Inputs'!$B$30+'Inputs'!$B$31+'Inputs'!$B$32)/1000+'Inputs'!$B$21+'Inputs'!$B$9+'Inputs'!$B$10)+'Inputs'!$B$7)/SQRT((((641-43)*MAX('Inputs'!$B$33,'Inputs'!$B$29+'Inputs'!$B$31+'Inputs'!$B$32,'Inputs'!$B$30+'Inputs'!$B$31+'Inputs'!$B$32)/1000+'Inputs'!$B$21+'Inputs'!$B$9+'Inputs'!$B$10)+'Inputs'!$B$7)^2+('Inputs'!$B$6/2)^2)-(((641-43)*MAX('Inputs'!$B$33,'Inputs'!$B$29+'Inputs'!$B$31+'Inputs'!$B$32,'Inputs'!$B$30+'Inputs'!$B$31+'Inputs'!$B$32)/1000+'Inputs'!$B$21+'Inputs'!$B$9+'Inputs'!$B$10))/SQRT((((641-43)*MAX('Inputs'!$B$33,'Inputs'!$B$29+'Inputs'!$B$31+'Inputs'!$B$32,'Inputs'!$B$30+'Inputs'!$B$31+'Inputs'!$B$32)/1000+'Inputs'!$B$21+'Inputs'!$B$9+'Inputs'!$B$10))^2+('Inputs'!$B$6/2)^2))))*'Results'!$B$8),"")</x:f>
        <x:v>2.074603207711098</x:v>
      </x:c>
      <x:c r="N641" t="n">
        <x:f>IF(AND(ISNUMBER('Results'!C7),ISNUMBER('Results'!B7),ISNUMBER('Results'!$B$8),ISNUMBER('Inputs'!$B$6),ISNUMBER('Inputs'!$B$7),ISNUMBER('Inputs'!$B$8),ISNUMBER('Inputs'!$B$9),ISNUMBER('Inputs'!$B$10),ISNUMBER('Inputs'!$B$21),ISNUMBER('Inputs'!$B$24),ISNUMBER('Inputs'!$B$28)),((('Results'!C7*(1-'Inputs'!$B$24)*(0.5*((((641-43)*MAX('Inputs'!$B$33,'Inputs'!$B$29+'Inputs'!$B$31+'Inputs'!$B$32,'Inputs'!$B$30+'Inputs'!$B$31+'Inputs'!$B$32)/1000+'Inputs'!$B$21)+'Inputs'!$B$9)/SQRT((((641-43)*MAX('Inputs'!$B$33,'Inputs'!$B$29+'Inputs'!$B$31+'Inputs'!$B$32,'Inputs'!$B$30+'Inputs'!$B$31+'Inputs'!$B$32)/1000+'Inputs'!$B$21)+'Inputs'!$B$9)^2+('Inputs'!$B$8/2)^2)-(((641-43)*MAX('Inputs'!$B$33,'Inputs'!$B$29+'Inputs'!$B$31+'Inputs'!$B$32,'Inputs'!$B$30+'Inputs'!$B$31+'Inputs'!$B$32)/1000+'Inputs'!$B$21))/SQRT((((641-43)*MAX('Inputs'!$B$33,'Inputs'!$B$29+'Inputs'!$B$31+'Inputs'!$B$32,'Inputs'!$B$30+'Inputs'!$B$31+'Inputs'!$B$32)/1000+'Inputs'!$B$21))^2+('Inputs'!$B$8/2)^2)))-'Results'!B7*(1+'Inputs'!$B$24)*(0.5*((((641-43)*MAX('Inputs'!$B$33,'Inputs'!$B$29+'Inputs'!$B$31+'Inputs'!$B$32,'Inputs'!$B$30+'Inputs'!$B$31+'Inputs'!$B$32)/1000+'Inputs'!$B$21+'Inputs'!$B$9+'Inputs'!$B$10)+'Inputs'!$B$7)/SQRT((((641-43)*MAX('Inputs'!$B$33,'Inputs'!$B$29+'Inputs'!$B$31+'Inputs'!$B$32,'Inputs'!$B$30+'Inputs'!$B$31+'Inputs'!$B$32)/1000+'Inputs'!$B$21+'Inputs'!$B$9+'Inputs'!$B$10)+'Inputs'!$B$7)^2+('Inputs'!$B$6/2)^2)-(((641-43)*MAX('Inputs'!$B$33,'Inputs'!$B$29+'Inputs'!$B$31+'Inputs'!$B$32,'Inputs'!$B$30+'Inputs'!$B$31+'Inputs'!$B$32)/1000+'Inputs'!$B$21+'Inputs'!$B$9+'Inputs'!$B$10))/SQRT((((641-43)*MAX('Inputs'!$B$33,'Inputs'!$B$29+'Inputs'!$B$31+'Inputs'!$B$32,'Inputs'!$B$30+'Inputs'!$B$31+'Inputs'!$B$32)/1000+'Inputs'!$B$21+'Inputs'!$B$9+'Inputs'!$B$10))^2+('Inputs'!$B$6/2)^2))))*'Results'!$B$8)-'Inputs'!$B$28*ABS((('Results'!C7*(1-'Inputs'!$B$24)*(0.5*((((641-43)*MAX('Inputs'!$B$33,'Inputs'!$B$29+'Inputs'!$B$31+'Inputs'!$B$32,'Inputs'!$B$30+'Inputs'!$B$31+'Inputs'!$B$32)/1000+'Inputs'!$B$21)+'Inputs'!$B$9)/SQRT((((641-43)*MAX('Inputs'!$B$33,'Inputs'!$B$29+'Inputs'!$B$31+'Inputs'!$B$32,'Inputs'!$B$30+'Inputs'!$B$31+'Inputs'!$B$32)/1000+'Inputs'!$B$21)+'Inputs'!$B$9)^2+('Inputs'!$B$8/2)^2)-(((641-43)*MAX('Inputs'!$B$33,'Inputs'!$B$29+'Inputs'!$B$31+'Inputs'!$B$32,'Inputs'!$B$30+'Inputs'!$B$31+'Inputs'!$B$32)/1000+'Inputs'!$B$21))/SQRT((((641-43)*MAX('Inputs'!$B$33,'Inputs'!$B$29+'Inputs'!$B$31+'Inputs'!$B$32,'Inputs'!$B$30+'Inputs'!$B$31+'Inputs'!$B$32)/1000+'Inputs'!$B$21))^2+('Inputs'!$B$8/2)^2)))-'Results'!B7*(1+'Inputs'!$B$24)*(0.5*((((641-43)*MAX('Inputs'!$B$33,'Inputs'!$B$29+'Inputs'!$B$31+'Inputs'!$B$32,'Inputs'!$B$30+'Inputs'!$B$31+'Inputs'!$B$32)/1000+'Inputs'!$B$21+'Inputs'!$B$9+'Inputs'!$B$10)+'Inputs'!$B$7)/SQRT((((641-43)*MAX('Inputs'!$B$33,'Inputs'!$B$29+'Inputs'!$B$31+'Inputs'!$B$32,'Inputs'!$B$30+'Inputs'!$B$31+'Inputs'!$B$32)/1000+'Inputs'!$B$21+'Inputs'!$B$9+'Inputs'!$B$10)+'Inputs'!$B$7)^2+('Inputs'!$B$6/2)^2)-(((641-43)*MAX('Inputs'!$B$33,'Inputs'!$B$29+'Inputs'!$B$31+'Inputs'!$B$32,'Inputs'!$B$30+'Inputs'!$B$31+'Inputs'!$B$32)/1000+'Inputs'!$B$21+'Inputs'!$B$9+'Inputs'!$B$10))/SQRT((((641-43)*MAX('Inputs'!$B$33,'Inputs'!$B$29+'Inputs'!$B$31+'Inputs'!$B$32,'Inputs'!$B$30+'Inputs'!$B$31+'Inputs'!$B$32)/1000+'Inputs'!$B$21+'Inputs'!$B$9+'Inputs'!$B$10))^2+('Inputs'!$B$6/2)^2))))*'Results'!$B$8))),"")</x:f>
        <x:v>1.804863901614711</x:v>
      </x:c>
      <x:c r="O641" t="n">
        <x:f>IF(AND(ISNUMBER('Results'!C7),ISNUMBER('Results'!B7),ISNUMBER('Results'!$B$8),ISNUMBER('Inputs'!$B$6),ISNUMBER('Inputs'!$B$7),ISNUMBER('Inputs'!$B$8),ISNUMBER('Inputs'!$B$9),ISNUMBER('Inputs'!$B$10),ISNUMBER('Inputs'!$B$21),ISNUMBER('Inputs'!$B$24),ISNUMBER('Inputs'!$B$28)),((('Results'!C7*(1+'Inputs'!$B$24)*(0.5*((((641-43)*MAX('Inputs'!$B$33,'Inputs'!$B$29+'Inputs'!$B$31+'Inputs'!$B$32,'Inputs'!$B$30+'Inputs'!$B$31+'Inputs'!$B$32)/1000+'Inputs'!$B$21)+'Inputs'!$B$9)/SQRT((((641-43)*MAX('Inputs'!$B$33,'Inputs'!$B$29+'Inputs'!$B$31+'Inputs'!$B$32,'Inputs'!$B$30+'Inputs'!$B$31+'Inputs'!$B$32)/1000+'Inputs'!$B$21)+'Inputs'!$B$9)^2+('Inputs'!$B$8/2)^2)-(((641-43)*MAX('Inputs'!$B$33,'Inputs'!$B$29+'Inputs'!$B$31+'Inputs'!$B$32,'Inputs'!$B$30+'Inputs'!$B$31+'Inputs'!$B$32)/1000+'Inputs'!$B$21))/SQRT((((641-43)*MAX('Inputs'!$B$33,'Inputs'!$B$29+'Inputs'!$B$31+'Inputs'!$B$32,'Inputs'!$B$30+'Inputs'!$B$31+'Inputs'!$B$32)/1000+'Inputs'!$B$21))^2+('Inputs'!$B$8/2)^2)))-'Results'!B7*(1-'Inputs'!$B$24)*(0.5*((((641-43)*MAX('Inputs'!$B$33,'Inputs'!$B$29+'Inputs'!$B$31+'Inputs'!$B$32,'Inputs'!$B$30+'Inputs'!$B$31+'Inputs'!$B$32)/1000+'Inputs'!$B$21+'Inputs'!$B$9+'Inputs'!$B$10)+'Inputs'!$B$7)/SQRT((((641-43)*MAX('Inputs'!$B$33,'Inputs'!$B$29+'Inputs'!$B$31+'Inputs'!$B$32,'Inputs'!$B$30+'Inputs'!$B$31+'Inputs'!$B$32)/1000+'Inputs'!$B$21+'Inputs'!$B$9+'Inputs'!$B$10)+'Inputs'!$B$7)^2+('Inputs'!$B$6/2)^2)-(((641-43)*MAX('Inputs'!$B$33,'Inputs'!$B$29+'Inputs'!$B$31+'Inputs'!$B$32,'Inputs'!$B$30+'Inputs'!$B$31+'Inputs'!$B$32)/1000+'Inputs'!$B$21+'Inputs'!$B$9+'Inputs'!$B$10))/SQRT((((641-43)*MAX('Inputs'!$B$33,'Inputs'!$B$29+'Inputs'!$B$31+'Inputs'!$B$32,'Inputs'!$B$30+'Inputs'!$B$31+'Inputs'!$B$32)/1000+'Inputs'!$B$21+'Inputs'!$B$9+'Inputs'!$B$10))^2+('Inputs'!$B$6/2)^2))))*'Results'!$B$8)+'Inputs'!$B$28*ABS((('Results'!C7*(1+'Inputs'!$B$24)*(0.5*((((641-43)*MAX('Inputs'!$B$33,'Inputs'!$B$29+'Inputs'!$B$31+'Inputs'!$B$32,'Inputs'!$B$30+'Inputs'!$B$31+'Inputs'!$B$32)/1000+'Inputs'!$B$21)+'Inputs'!$B$9)/SQRT((((641-43)*MAX('Inputs'!$B$33,'Inputs'!$B$29+'Inputs'!$B$31+'Inputs'!$B$32,'Inputs'!$B$30+'Inputs'!$B$31+'Inputs'!$B$32)/1000+'Inputs'!$B$21)+'Inputs'!$B$9)^2+('Inputs'!$B$8/2)^2)-(((641-43)*MAX('Inputs'!$B$33,'Inputs'!$B$29+'Inputs'!$B$31+'Inputs'!$B$32,'Inputs'!$B$30+'Inputs'!$B$31+'Inputs'!$B$32)/1000+'Inputs'!$B$21))/SQRT((((641-43)*MAX('Inputs'!$B$33,'Inputs'!$B$29+'Inputs'!$B$31+'Inputs'!$B$32,'Inputs'!$B$30+'Inputs'!$B$31+'Inputs'!$B$32)/1000+'Inputs'!$B$21))^2+('Inputs'!$B$8/2)^2)))-'Results'!B7*(1-'Inputs'!$B$24)*(0.5*((((641-43)*MAX('Inputs'!$B$33,'Inputs'!$B$29+'Inputs'!$B$31+'Inputs'!$B$32,'Inputs'!$B$30+'Inputs'!$B$31+'Inputs'!$B$32)/1000+'Inputs'!$B$21+'Inputs'!$B$9+'Inputs'!$B$10)+'Inputs'!$B$7)/SQRT((((641-43)*MAX('Inputs'!$B$33,'Inputs'!$B$29+'Inputs'!$B$31+'Inputs'!$B$32,'Inputs'!$B$30+'Inputs'!$B$31+'Inputs'!$B$32)/1000+'Inputs'!$B$21+'Inputs'!$B$9+'Inputs'!$B$10)+'Inputs'!$B$7)^2+('Inputs'!$B$6/2)^2)-(((641-43)*MAX('Inputs'!$B$33,'Inputs'!$B$29+'Inputs'!$B$31+'Inputs'!$B$32,'Inputs'!$B$30+'Inputs'!$B$31+'Inputs'!$B$32)/1000+'Inputs'!$B$21+'Inputs'!$B$9+'Inputs'!$B$10))/SQRT((((641-43)*MAX('Inputs'!$B$33,'Inputs'!$B$29+'Inputs'!$B$31+'Inputs'!$B$32,'Inputs'!$B$30+'Inputs'!$B$31+'Inputs'!$B$32)/1000+'Inputs'!$B$21+'Inputs'!$B$9+'Inputs'!$B$10))^2+('Inputs'!$B$6/2)^2))))*'Results'!$B$8))),"")</x:f>
        <x:v>2.3618171607244145</x:v>
      </x:c>
      <x:c r="P641" t="n">
        <x:f>IF(AND(MAX(J641,J640)&gt;0,J641&gt;J640+0.00000001),1,0)</x:f>
        <x:v>0</x:v>
      </x:c>
      <x:c r="Q641" t="n">
        <x:f>IF(AND(MAX(K641,K640)&gt;0,K641&gt;K640+0.00000001),1,0)</x:f>
        <x:v>0</x:v>
      </x:c>
      <x:c r="R641" t="n">
        <x:f>IF(AND(MAX(L641,L640)&gt;0,L641&gt;L640+0.00000001),1,0)</x:f>
        <x:v>0</x:v>
      </x:c>
      <x:c r="S641" t="n">
        <x:f>IF(AND(MAX(M641,M640)&gt;0,M641&gt;M640+0.00000001),1,0)</x:f>
        <x:v>0</x:v>
      </x:c>
      <x:c r="T641" t="n">
        <x:f>IF(AND(MAX(N641,N640)&gt;0,N641&gt;N640+0.00000001),1,0)</x:f>
        <x:v>0</x:v>
      </x:c>
      <x:c r="U641" t="n">
        <x:f>IF(AND(MAX(O641,O640)&gt;0,O641&gt;O640+0.00000001),1,0)</x:f>
        <x:v>0</x:v>
      </x:c>
    </x:row>
    <x:row r="642">
      <x:c r="J642" t="n">
        <x:f>IF(AND(ISNUMBER('Results'!B7),ISNUMBER('Results'!C7),ISNUMBER('Results'!$B$8),ISNUMBER('Inputs'!$B$6),ISNUMBER('Inputs'!$B$7),ISNUMBER('Inputs'!$B$8),ISNUMBER('Inputs'!$B$9),ISNUMBER('Inputs'!$B$10),ISNUMBER('Inputs'!$B$21),ISNUMBER('Inputs'!$B$24),ISNUMBER('Inputs'!$B$28)),(('Results'!B7*(0.5*((((642-43)*MAX('Inputs'!$B$33,'Inputs'!$B$29+'Inputs'!$B$31+'Inputs'!$B$32,'Inputs'!$B$30+'Inputs'!$B$31+'Inputs'!$B$32)/1000+'Inputs'!$B$21)+'Inputs'!$B$7)/SQRT((((642-43)*MAX('Inputs'!$B$33,'Inputs'!$B$29+'Inputs'!$B$31+'Inputs'!$B$32,'Inputs'!$B$30+'Inputs'!$B$31+'Inputs'!$B$32)/1000+'Inputs'!$B$21)+'Inputs'!$B$7)^2+('Inputs'!$B$6/2)^2)-(((642-43)*MAX('Inputs'!$B$33,'Inputs'!$B$29+'Inputs'!$B$31+'Inputs'!$B$32,'Inputs'!$B$30+'Inputs'!$B$31+'Inputs'!$B$32)/1000+'Inputs'!$B$21))/SQRT((((642-43)*MAX('Inputs'!$B$33,'Inputs'!$B$29+'Inputs'!$B$31+'Inputs'!$B$32,'Inputs'!$B$30+'Inputs'!$B$31+'Inputs'!$B$32)/1000+'Inputs'!$B$21))^2+('Inputs'!$B$6/2)^2)))-'Results'!C7*(0.5*((((642-43)*MAX('Inputs'!$B$33,'Inputs'!$B$29+'Inputs'!$B$31+'Inputs'!$B$32,'Inputs'!$B$30+'Inputs'!$B$31+'Inputs'!$B$32)/1000+'Inputs'!$B$21+'Inputs'!$B$7+'Inputs'!$B$10)+'Inputs'!$B$9)/SQRT((((642-43)*MAX('Inputs'!$B$33,'Inputs'!$B$29+'Inputs'!$B$31+'Inputs'!$B$32,'Inputs'!$B$30+'Inputs'!$B$31+'Inputs'!$B$32)/1000+'Inputs'!$B$21+'Inputs'!$B$7+'Inputs'!$B$10)+'Inputs'!$B$9)^2+('Inputs'!$B$8/2)^2)-(((642-43)*MAX('Inputs'!$B$33,'Inputs'!$B$29+'Inputs'!$B$31+'Inputs'!$B$32,'Inputs'!$B$30+'Inputs'!$B$31+'Inputs'!$B$32)/1000+'Inputs'!$B$21+'Inputs'!$B$7+'Inputs'!$B$10))/SQRT((((642-43)*MAX('Inputs'!$B$33,'Inputs'!$B$29+'Inputs'!$B$31+'Inputs'!$B$32,'Inputs'!$B$30+'Inputs'!$B$31+'Inputs'!$B$32)/1000+'Inputs'!$B$21+'Inputs'!$B$7+'Inputs'!$B$10))^2+('Inputs'!$B$8/2)^2))))*'Results'!$B$8),"")</x:f>
        <x:v>2.2384476204442643</x:v>
      </x:c>
      <x:c r="K642" t="n">
        <x:f>IF(AND(ISNUMBER('Results'!B7),ISNUMBER('Results'!C7),ISNUMBER('Results'!$B$8),ISNUMBER('Inputs'!$B$6),ISNUMBER('Inputs'!$B$7),ISNUMBER('Inputs'!$B$8),ISNUMBER('Inputs'!$B$9),ISNUMBER('Inputs'!$B$10),ISNUMBER('Inputs'!$B$21),ISNUMBER('Inputs'!$B$24),ISNUMBER('Inputs'!$B$28)),((('Results'!B7*(1-'Inputs'!$B$24)*(0.5*((((642-43)*MAX('Inputs'!$B$33,'Inputs'!$B$29+'Inputs'!$B$31+'Inputs'!$B$32,'Inputs'!$B$30+'Inputs'!$B$31+'Inputs'!$B$32)/1000+'Inputs'!$B$21)+'Inputs'!$B$7)/SQRT((((642-43)*MAX('Inputs'!$B$33,'Inputs'!$B$29+'Inputs'!$B$31+'Inputs'!$B$32,'Inputs'!$B$30+'Inputs'!$B$31+'Inputs'!$B$32)/1000+'Inputs'!$B$21)+'Inputs'!$B$7)^2+('Inputs'!$B$6/2)^2)-(((642-43)*MAX('Inputs'!$B$33,'Inputs'!$B$29+'Inputs'!$B$31+'Inputs'!$B$32,'Inputs'!$B$30+'Inputs'!$B$31+'Inputs'!$B$32)/1000+'Inputs'!$B$21))/SQRT((((642-43)*MAX('Inputs'!$B$33,'Inputs'!$B$29+'Inputs'!$B$31+'Inputs'!$B$32,'Inputs'!$B$30+'Inputs'!$B$31+'Inputs'!$B$32)/1000+'Inputs'!$B$21))^2+('Inputs'!$B$6/2)^2)))-'Results'!C7*(1+'Inputs'!$B$24)*(0.5*((((642-43)*MAX('Inputs'!$B$33,'Inputs'!$B$29+'Inputs'!$B$31+'Inputs'!$B$32,'Inputs'!$B$30+'Inputs'!$B$31+'Inputs'!$B$32)/1000+'Inputs'!$B$21+'Inputs'!$B$7+'Inputs'!$B$10)+'Inputs'!$B$9)/SQRT((((642-43)*MAX('Inputs'!$B$33,'Inputs'!$B$29+'Inputs'!$B$31+'Inputs'!$B$32,'Inputs'!$B$30+'Inputs'!$B$31+'Inputs'!$B$32)/1000+'Inputs'!$B$21+'Inputs'!$B$7+'Inputs'!$B$10)+'Inputs'!$B$9)^2+('Inputs'!$B$8/2)^2)-(((642-43)*MAX('Inputs'!$B$33,'Inputs'!$B$29+'Inputs'!$B$31+'Inputs'!$B$32,'Inputs'!$B$30+'Inputs'!$B$31+'Inputs'!$B$32)/1000+'Inputs'!$B$21+'Inputs'!$B$7+'Inputs'!$B$10))/SQRT((((642-43)*MAX('Inputs'!$B$33,'Inputs'!$B$29+'Inputs'!$B$31+'Inputs'!$B$32,'Inputs'!$B$30+'Inputs'!$B$31+'Inputs'!$B$32)/1000+'Inputs'!$B$21+'Inputs'!$B$7+'Inputs'!$B$10))^2+('Inputs'!$B$8/2)^2))))*'Results'!$B$8)-'Inputs'!$B$28*ABS((('Results'!B7*(1-'Inputs'!$B$24)*(0.5*((((642-43)*MAX('Inputs'!$B$33,'Inputs'!$B$29+'Inputs'!$B$31+'Inputs'!$B$32,'Inputs'!$B$30+'Inputs'!$B$31+'Inputs'!$B$32)/1000+'Inputs'!$B$21)+'Inputs'!$B$7)/SQRT((((642-43)*MAX('Inputs'!$B$33,'Inputs'!$B$29+'Inputs'!$B$31+'Inputs'!$B$32,'Inputs'!$B$30+'Inputs'!$B$31+'Inputs'!$B$32)/1000+'Inputs'!$B$21)+'Inputs'!$B$7)^2+('Inputs'!$B$6/2)^2)-(((642-43)*MAX('Inputs'!$B$33,'Inputs'!$B$29+'Inputs'!$B$31+'Inputs'!$B$32,'Inputs'!$B$30+'Inputs'!$B$31+'Inputs'!$B$32)/1000+'Inputs'!$B$21))/SQRT((((642-43)*MAX('Inputs'!$B$33,'Inputs'!$B$29+'Inputs'!$B$31+'Inputs'!$B$32,'Inputs'!$B$30+'Inputs'!$B$31+'Inputs'!$B$32)/1000+'Inputs'!$B$21))^2+('Inputs'!$B$6/2)^2)))-'Results'!C7*(1+'Inputs'!$B$24)*(0.5*((((642-43)*MAX('Inputs'!$B$33,'Inputs'!$B$29+'Inputs'!$B$31+'Inputs'!$B$32,'Inputs'!$B$30+'Inputs'!$B$31+'Inputs'!$B$32)/1000+'Inputs'!$B$21+'Inputs'!$B$7+'Inputs'!$B$10)+'Inputs'!$B$9)/SQRT((((642-43)*MAX('Inputs'!$B$33,'Inputs'!$B$29+'Inputs'!$B$31+'Inputs'!$B$32,'Inputs'!$B$30+'Inputs'!$B$31+'Inputs'!$B$32)/1000+'Inputs'!$B$21+'Inputs'!$B$7+'Inputs'!$B$10)+'Inputs'!$B$9)^2+('Inputs'!$B$8/2)^2)-(((642-43)*MAX('Inputs'!$B$33,'Inputs'!$B$29+'Inputs'!$B$31+'Inputs'!$B$32,'Inputs'!$B$30+'Inputs'!$B$31+'Inputs'!$B$32)/1000+'Inputs'!$B$21+'Inputs'!$B$7+'Inputs'!$B$10))/SQRT((((642-43)*MAX('Inputs'!$B$33,'Inputs'!$B$29+'Inputs'!$B$31+'Inputs'!$B$32,'Inputs'!$B$30+'Inputs'!$B$31+'Inputs'!$B$32)/1000+'Inputs'!$B$21+'Inputs'!$B$7+'Inputs'!$B$10))^2+('Inputs'!$B$8/2)^2))))*'Results'!$B$8))),"")</x:f>
        <x:v>1.9604361815185936</x:v>
      </x:c>
      <x:c r="L642" t="n">
        <x:f>IF(AND(ISNUMBER('Results'!B7),ISNUMBER('Results'!C7),ISNUMBER('Results'!$B$8),ISNUMBER('Inputs'!$B$6),ISNUMBER('Inputs'!$B$7),ISNUMBER('Inputs'!$B$8),ISNUMBER('Inputs'!$B$9),ISNUMBER('Inputs'!$B$10),ISNUMBER('Inputs'!$B$21),ISNUMBER('Inputs'!$B$24),ISNUMBER('Inputs'!$B$28)),((('Results'!B7*(1+'Inputs'!$B$24)*(0.5*((((642-43)*MAX('Inputs'!$B$33,'Inputs'!$B$29+'Inputs'!$B$31+'Inputs'!$B$32,'Inputs'!$B$30+'Inputs'!$B$31+'Inputs'!$B$32)/1000+'Inputs'!$B$21)+'Inputs'!$B$7)/SQRT((((642-43)*MAX('Inputs'!$B$33,'Inputs'!$B$29+'Inputs'!$B$31+'Inputs'!$B$32,'Inputs'!$B$30+'Inputs'!$B$31+'Inputs'!$B$32)/1000+'Inputs'!$B$21)+'Inputs'!$B$7)^2+('Inputs'!$B$6/2)^2)-(((642-43)*MAX('Inputs'!$B$33,'Inputs'!$B$29+'Inputs'!$B$31+'Inputs'!$B$32,'Inputs'!$B$30+'Inputs'!$B$31+'Inputs'!$B$32)/1000+'Inputs'!$B$21))/SQRT((((642-43)*MAX('Inputs'!$B$33,'Inputs'!$B$29+'Inputs'!$B$31+'Inputs'!$B$32,'Inputs'!$B$30+'Inputs'!$B$31+'Inputs'!$B$32)/1000+'Inputs'!$B$21))^2+('Inputs'!$B$6/2)^2)))-'Results'!C7*(1-'Inputs'!$B$24)*(0.5*((((642-43)*MAX('Inputs'!$B$33,'Inputs'!$B$29+'Inputs'!$B$31+'Inputs'!$B$32,'Inputs'!$B$30+'Inputs'!$B$31+'Inputs'!$B$32)/1000+'Inputs'!$B$21+'Inputs'!$B$7+'Inputs'!$B$10)+'Inputs'!$B$9)/SQRT((((642-43)*MAX('Inputs'!$B$33,'Inputs'!$B$29+'Inputs'!$B$31+'Inputs'!$B$32,'Inputs'!$B$30+'Inputs'!$B$31+'Inputs'!$B$32)/1000+'Inputs'!$B$21+'Inputs'!$B$7+'Inputs'!$B$10)+'Inputs'!$B$9)^2+('Inputs'!$B$8/2)^2)-(((642-43)*MAX('Inputs'!$B$33,'Inputs'!$B$29+'Inputs'!$B$31+'Inputs'!$B$32,'Inputs'!$B$30+'Inputs'!$B$31+'Inputs'!$B$32)/1000+'Inputs'!$B$21+'Inputs'!$B$7+'Inputs'!$B$10))/SQRT((((642-43)*MAX('Inputs'!$B$33,'Inputs'!$B$29+'Inputs'!$B$31+'Inputs'!$B$32,'Inputs'!$B$30+'Inputs'!$B$31+'Inputs'!$B$32)/1000+'Inputs'!$B$21+'Inputs'!$B$7+'Inputs'!$B$10))^2+('Inputs'!$B$8/2)^2))))*'Results'!$B$8)+'Inputs'!$B$28*ABS((('Results'!B7*(1+'Inputs'!$B$24)*(0.5*((((642-43)*MAX('Inputs'!$B$33,'Inputs'!$B$29+'Inputs'!$B$31+'Inputs'!$B$32,'Inputs'!$B$30+'Inputs'!$B$31+'Inputs'!$B$32)/1000+'Inputs'!$B$21)+'Inputs'!$B$7)/SQRT((((642-43)*MAX('Inputs'!$B$33,'Inputs'!$B$29+'Inputs'!$B$31+'Inputs'!$B$32,'Inputs'!$B$30+'Inputs'!$B$31+'Inputs'!$B$32)/1000+'Inputs'!$B$21)+'Inputs'!$B$7)^2+('Inputs'!$B$6/2)^2)-(((642-43)*MAX('Inputs'!$B$33,'Inputs'!$B$29+'Inputs'!$B$31+'Inputs'!$B$32,'Inputs'!$B$30+'Inputs'!$B$31+'Inputs'!$B$32)/1000+'Inputs'!$B$21))/SQRT((((642-43)*MAX('Inputs'!$B$33,'Inputs'!$B$29+'Inputs'!$B$31+'Inputs'!$B$32,'Inputs'!$B$30+'Inputs'!$B$31+'Inputs'!$B$32)/1000+'Inputs'!$B$21))^2+('Inputs'!$B$6/2)^2)))-'Results'!C7*(1-'Inputs'!$B$24)*(0.5*((((642-43)*MAX('Inputs'!$B$33,'Inputs'!$B$29+'Inputs'!$B$31+'Inputs'!$B$32,'Inputs'!$B$30+'Inputs'!$B$31+'Inputs'!$B$32)/1000+'Inputs'!$B$21+'Inputs'!$B$7+'Inputs'!$B$10)+'Inputs'!$B$9)/SQRT((((642-43)*MAX('Inputs'!$B$33,'Inputs'!$B$29+'Inputs'!$B$31+'Inputs'!$B$32,'Inputs'!$B$30+'Inputs'!$B$31+'Inputs'!$B$32)/1000+'Inputs'!$B$21+'Inputs'!$B$7+'Inputs'!$B$10)+'Inputs'!$B$9)^2+('Inputs'!$B$8/2)^2)-(((642-43)*MAX('Inputs'!$B$33,'Inputs'!$B$29+'Inputs'!$B$31+'Inputs'!$B$32,'Inputs'!$B$30+'Inputs'!$B$31+'Inputs'!$B$32)/1000+'Inputs'!$B$21+'Inputs'!$B$7+'Inputs'!$B$10))/SQRT((((642-43)*MAX('Inputs'!$B$33,'Inputs'!$B$29+'Inputs'!$B$31+'Inputs'!$B$32,'Inputs'!$B$30+'Inputs'!$B$31+'Inputs'!$B$32)/1000+'Inputs'!$B$21+'Inputs'!$B$7+'Inputs'!$B$10))^2+('Inputs'!$B$8/2)^2))))*'Results'!$B$8))),"")</x:f>
        <x:v>2.533942118096615</x:v>
      </x:c>
      <x:c r="M642" t="n">
        <x:f>IF(AND(ISNUMBER('Results'!C7),ISNUMBER('Results'!B7),ISNUMBER('Results'!$B$8),ISNUMBER('Inputs'!$B$6),ISNUMBER('Inputs'!$B$7),ISNUMBER('Inputs'!$B$8),ISNUMBER('Inputs'!$B$9),ISNUMBER('Inputs'!$B$10),ISNUMBER('Inputs'!$B$21),ISNUMBER('Inputs'!$B$24),ISNUMBER('Inputs'!$B$28)),(('Results'!C7*(0.5*((((642-43)*MAX('Inputs'!$B$33,'Inputs'!$B$29+'Inputs'!$B$31+'Inputs'!$B$32,'Inputs'!$B$30+'Inputs'!$B$31+'Inputs'!$B$32)/1000+'Inputs'!$B$21)+'Inputs'!$B$9)/SQRT((((642-43)*MAX('Inputs'!$B$33,'Inputs'!$B$29+'Inputs'!$B$31+'Inputs'!$B$32,'Inputs'!$B$30+'Inputs'!$B$31+'Inputs'!$B$32)/1000+'Inputs'!$B$21)+'Inputs'!$B$9)^2+('Inputs'!$B$8/2)^2)-(((642-43)*MAX('Inputs'!$B$33,'Inputs'!$B$29+'Inputs'!$B$31+'Inputs'!$B$32,'Inputs'!$B$30+'Inputs'!$B$31+'Inputs'!$B$32)/1000+'Inputs'!$B$21))/SQRT((((642-43)*MAX('Inputs'!$B$33,'Inputs'!$B$29+'Inputs'!$B$31+'Inputs'!$B$32,'Inputs'!$B$30+'Inputs'!$B$31+'Inputs'!$B$32)/1000+'Inputs'!$B$21))^2+('Inputs'!$B$8/2)^2)))-'Results'!B7*(0.5*((((642-43)*MAX('Inputs'!$B$33,'Inputs'!$B$29+'Inputs'!$B$31+'Inputs'!$B$32,'Inputs'!$B$30+'Inputs'!$B$31+'Inputs'!$B$32)/1000+'Inputs'!$B$21+'Inputs'!$B$9+'Inputs'!$B$10)+'Inputs'!$B$7)/SQRT((((642-43)*MAX('Inputs'!$B$33,'Inputs'!$B$29+'Inputs'!$B$31+'Inputs'!$B$32,'Inputs'!$B$30+'Inputs'!$B$31+'Inputs'!$B$32)/1000+'Inputs'!$B$21+'Inputs'!$B$9+'Inputs'!$B$10)+'Inputs'!$B$7)^2+('Inputs'!$B$6/2)^2)-(((642-43)*MAX('Inputs'!$B$33,'Inputs'!$B$29+'Inputs'!$B$31+'Inputs'!$B$32,'Inputs'!$B$30+'Inputs'!$B$31+'Inputs'!$B$32)/1000+'Inputs'!$B$21+'Inputs'!$B$9+'Inputs'!$B$10))/SQRT((((642-43)*MAX('Inputs'!$B$33,'Inputs'!$B$29+'Inputs'!$B$31+'Inputs'!$B$32,'Inputs'!$B$30+'Inputs'!$B$31+'Inputs'!$B$32)/1000+'Inputs'!$B$21+'Inputs'!$B$9+'Inputs'!$B$10))^2+('Inputs'!$B$6/2)^2))))*'Results'!$B$8),"")</x:f>
        <x:v>2.062289873638101</x:v>
      </x:c>
      <x:c r="N642" t="n">
        <x:f>IF(AND(ISNUMBER('Results'!C7),ISNUMBER('Results'!B7),ISNUMBER('Results'!$B$8),ISNUMBER('Inputs'!$B$6),ISNUMBER('Inputs'!$B$7),ISNUMBER('Inputs'!$B$8),ISNUMBER('Inputs'!$B$9),ISNUMBER('Inputs'!$B$10),ISNUMBER('Inputs'!$B$21),ISNUMBER('Inputs'!$B$24),ISNUMBER('Inputs'!$B$28)),((('Results'!C7*(1-'Inputs'!$B$24)*(0.5*((((642-43)*MAX('Inputs'!$B$33,'Inputs'!$B$29+'Inputs'!$B$31+'Inputs'!$B$32,'Inputs'!$B$30+'Inputs'!$B$31+'Inputs'!$B$32)/1000+'Inputs'!$B$21)+'Inputs'!$B$9)/SQRT((((642-43)*MAX('Inputs'!$B$33,'Inputs'!$B$29+'Inputs'!$B$31+'Inputs'!$B$32,'Inputs'!$B$30+'Inputs'!$B$31+'Inputs'!$B$32)/1000+'Inputs'!$B$21)+'Inputs'!$B$9)^2+('Inputs'!$B$8/2)^2)-(((642-43)*MAX('Inputs'!$B$33,'Inputs'!$B$29+'Inputs'!$B$31+'Inputs'!$B$32,'Inputs'!$B$30+'Inputs'!$B$31+'Inputs'!$B$32)/1000+'Inputs'!$B$21))/SQRT((((642-43)*MAX('Inputs'!$B$33,'Inputs'!$B$29+'Inputs'!$B$31+'Inputs'!$B$32,'Inputs'!$B$30+'Inputs'!$B$31+'Inputs'!$B$32)/1000+'Inputs'!$B$21))^2+('Inputs'!$B$8/2)^2)))-'Results'!B7*(1+'Inputs'!$B$24)*(0.5*((((642-43)*MAX('Inputs'!$B$33,'Inputs'!$B$29+'Inputs'!$B$31+'Inputs'!$B$32,'Inputs'!$B$30+'Inputs'!$B$31+'Inputs'!$B$32)/1000+'Inputs'!$B$21+'Inputs'!$B$9+'Inputs'!$B$10)+'Inputs'!$B$7)/SQRT((((642-43)*MAX('Inputs'!$B$33,'Inputs'!$B$29+'Inputs'!$B$31+'Inputs'!$B$32,'Inputs'!$B$30+'Inputs'!$B$31+'Inputs'!$B$32)/1000+'Inputs'!$B$21+'Inputs'!$B$9+'Inputs'!$B$10)+'Inputs'!$B$7)^2+('Inputs'!$B$6/2)^2)-(((642-43)*MAX('Inputs'!$B$33,'Inputs'!$B$29+'Inputs'!$B$31+'Inputs'!$B$32,'Inputs'!$B$30+'Inputs'!$B$31+'Inputs'!$B$32)/1000+'Inputs'!$B$21+'Inputs'!$B$9+'Inputs'!$B$10))/SQRT((((642-43)*MAX('Inputs'!$B$33,'Inputs'!$B$29+'Inputs'!$B$31+'Inputs'!$B$32,'Inputs'!$B$30+'Inputs'!$B$31+'Inputs'!$B$32)/1000+'Inputs'!$B$21+'Inputs'!$B$9+'Inputs'!$B$10))^2+('Inputs'!$B$6/2)^2))))*'Results'!$B$8)-'Inputs'!$B$28*ABS((('Results'!C7*(1-'Inputs'!$B$24)*(0.5*((((642-43)*MAX('Inputs'!$B$33,'Inputs'!$B$29+'Inputs'!$B$31+'Inputs'!$B$32,'Inputs'!$B$30+'Inputs'!$B$31+'Inputs'!$B$32)/1000+'Inputs'!$B$21)+'Inputs'!$B$9)/SQRT((((642-43)*MAX('Inputs'!$B$33,'Inputs'!$B$29+'Inputs'!$B$31+'Inputs'!$B$32,'Inputs'!$B$30+'Inputs'!$B$31+'Inputs'!$B$32)/1000+'Inputs'!$B$21)+'Inputs'!$B$9)^2+('Inputs'!$B$8/2)^2)-(((642-43)*MAX('Inputs'!$B$33,'Inputs'!$B$29+'Inputs'!$B$31+'Inputs'!$B$32,'Inputs'!$B$30+'Inputs'!$B$31+'Inputs'!$B$32)/1000+'Inputs'!$B$21))/SQRT((((642-43)*MAX('Inputs'!$B$33,'Inputs'!$B$29+'Inputs'!$B$31+'Inputs'!$B$32,'Inputs'!$B$30+'Inputs'!$B$31+'Inputs'!$B$32)/1000+'Inputs'!$B$21))^2+('Inputs'!$B$8/2)^2)))-'Results'!B7*(1+'Inputs'!$B$24)*(0.5*((((642-43)*MAX('Inputs'!$B$33,'Inputs'!$B$29+'Inputs'!$B$31+'Inputs'!$B$32,'Inputs'!$B$30+'Inputs'!$B$31+'Inputs'!$B$32)/1000+'Inputs'!$B$21+'Inputs'!$B$9+'Inputs'!$B$10)+'Inputs'!$B$7)/SQRT((((642-43)*MAX('Inputs'!$B$33,'Inputs'!$B$29+'Inputs'!$B$31+'Inputs'!$B$32,'Inputs'!$B$30+'Inputs'!$B$31+'Inputs'!$B$32)/1000+'Inputs'!$B$21+'Inputs'!$B$9+'Inputs'!$B$10)+'Inputs'!$B$7)^2+('Inputs'!$B$6/2)^2)-(((642-43)*MAX('Inputs'!$B$33,'Inputs'!$B$29+'Inputs'!$B$31+'Inputs'!$B$32,'Inputs'!$B$30+'Inputs'!$B$31+'Inputs'!$B$32)/1000+'Inputs'!$B$21+'Inputs'!$B$9+'Inputs'!$B$10))/SQRT((((642-43)*MAX('Inputs'!$B$33,'Inputs'!$B$29+'Inputs'!$B$31+'Inputs'!$B$32,'Inputs'!$B$30+'Inputs'!$B$31+'Inputs'!$B$32)/1000+'Inputs'!$B$21+'Inputs'!$B$9+'Inputs'!$B$10))^2+('Inputs'!$B$6/2)^2))))*'Results'!$B$8))),"")</x:f>
        <x:v>1.7939117161172593</x:v>
      </x:c>
      <x:c r="O642" t="n">
        <x:f>IF(AND(ISNUMBER('Results'!C7),ISNUMBER('Results'!B7),ISNUMBER('Results'!$B$8),ISNUMBER('Inputs'!$B$6),ISNUMBER('Inputs'!$B$7),ISNUMBER('Inputs'!$B$8),ISNUMBER('Inputs'!$B$9),ISNUMBER('Inputs'!$B$10),ISNUMBER('Inputs'!$B$21),ISNUMBER('Inputs'!$B$24),ISNUMBER('Inputs'!$B$28)),((('Results'!C7*(1+'Inputs'!$B$24)*(0.5*((((642-43)*MAX('Inputs'!$B$33,'Inputs'!$B$29+'Inputs'!$B$31+'Inputs'!$B$32,'Inputs'!$B$30+'Inputs'!$B$31+'Inputs'!$B$32)/1000+'Inputs'!$B$21)+'Inputs'!$B$9)/SQRT((((642-43)*MAX('Inputs'!$B$33,'Inputs'!$B$29+'Inputs'!$B$31+'Inputs'!$B$32,'Inputs'!$B$30+'Inputs'!$B$31+'Inputs'!$B$32)/1000+'Inputs'!$B$21)+'Inputs'!$B$9)^2+('Inputs'!$B$8/2)^2)-(((642-43)*MAX('Inputs'!$B$33,'Inputs'!$B$29+'Inputs'!$B$31+'Inputs'!$B$32,'Inputs'!$B$30+'Inputs'!$B$31+'Inputs'!$B$32)/1000+'Inputs'!$B$21))/SQRT((((642-43)*MAX('Inputs'!$B$33,'Inputs'!$B$29+'Inputs'!$B$31+'Inputs'!$B$32,'Inputs'!$B$30+'Inputs'!$B$31+'Inputs'!$B$32)/1000+'Inputs'!$B$21))^2+('Inputs'!$B$8/2)^2)))-'Results'!B7*(1-'Inputs'!$B$24)*(0.5*((((642-43)*MAX('Inputs'!$B$33,'Inputs'!$B$29+'Inputs'!$B$31+'Inputs'!$B$32,'Inputs'!$B$30+'Inputs'!$B$31+'Inputs'!$B$32)/1000+'Inputs'!$B$21+'Inputs'!$B$9+'Inputs'!$B$10)+'Inputs'!$B$7)/SQRT((((642-43)*MAX('Inputs'!$B$33,'Inputs'!$B$29+'Inputs'!$B$31+'Inputs'!$B$32,'Inputs'!$B$30+'Inputs'!$B$31+'Inputs'!$B$32)/1000+'Inputs'!$B$21+'Inputs'!$B$9+'Inputs'!$B$10)+'Inputs'!$B$7)^2+('Inputs'!$B$6/2)^2)-(((642-43)*MAX('Inputs'!$B$33,'Inputs'!$B$29+'Inputs'!$B$31+'Inputs'!$B$32,'Inputs'!$B$30+'Inputs'!$B$31+'Inputs'!$B$32)/1000+'Inputs'!$B$21+'Inputs'!$B$9+'Inputs'!$B$10))/SQRT((((642-43)*MAX('Inputs'!$B$33,'Inputs'!$B$29+'Inputs'!$B$31+'Inputs'!$B$32,'Inputs'!$B$30+'Inputs'!$B$31+'Inputs'!$B$32)/1000+'Inputs'!$B$21+'Inputs'!$B$9+'Inputs'!$B$10))^2+('Inputs'!$B$6/2)^2))))*'Results'!$B$8)+'Inputs'!$B$28*ABS((('Results'!C7*(1+'Inputs'!$B$24)*(0.5*((((642-43)*MAX('Inputs'!$B$33,'Inputs'!$B$29+'Inputs'!$B$31+'Inputs'!$B$32,'Inputs'!$B$30+'Inputs'!$B$31+'Inputs'!$B$32)/1000+'Inputs'!$B$21)+'Inputs'!$B$9)/SQRT((((642-43)*MAX('Inputs'!$B$33,'Inputs'!$B$29+'Inputs'!$B$31+'Inputs'!$B$32,'Inputs'!$B$30+'Inputs'!$B$31+'Inputs'!$B$32)/1000+'Inputs'!$B$21)+'Inputs'!$B$9)^2+('Inputs'!$B$8/2)^2)-(((642-43)*MAX('Inputs'!$B$33,'Inputs'!$B$29+'Inputs'!$B$31+'Inputs'!$B$32,'Inputs'!$B$30+'Inputs'!$B$31+'Inputs'!$B$32)/1000+'Inputs'!$B$21))/SQRT((((642-43)*MAX('Inputs'!$B$33,'Inputs'!$B$29+'Inputs'!$B$31+'Inputs'!$B$32,'Inputs'!$B$30+'Inputs'!$B$31+'Inputs'!$B$32)/1000+'Inputs'!$B$21))^2+('Inputs'!$B$8/2)^2)))-'Results'!B7*(1-'Inputs'!$B$24)*(0.5*((((642-43)*MAX('Inputs'!$B$33,'Inputs'!$B$29+'Inputs'!$B$31+'Inputs'!$B$32,'Inputs'!$B$30+'Inputs'!$B$31+'Inputs'!$B$32)/1000+'Inputs'!$B$21+'Inputs'!$B$9+'Inputs'!$B$10)+'Inputs'!$B$7)/SQRT((((642-43)*MAX('Inputs'!$B$33,'Inputs'!$B$29+'Inputs'!$B$31+'Inputs'!$B$32,'Inputs'!$B$30+'Inputs'!$B$31+'Inputs'!$B$32)/1000+'Inputs'!$B$21+'Inputs'!$B$9+'Inputs'!$B$10)+'Inputs'!$B$7)^2+('Inputs'!$B$6/2)^2)-(((642-43)*MAX('Inputs'!$B$33,'Inputs'!$B$29+'Inputs'!$B$31+'Inputs'!$B$32,'Inputs'!$B$30+'Inputs'!$B$31+'Inputs'!$B$32)/1000+'Inputs'!$B$21+'Inputs'!$B$9+'Inputs'!$B$10))/SQRT((((642-43)*MAX('Inputs'!$B$33,'Inputs'!$B$29+'Inputs'!$B$31+'Inputs'!$B$32,'Inputs'!$B$30+'Inputs'!$B$31+'Inputs'!$B$32)/1000+'Inputs'!$B$21+'Inputs'!$B$9+'Inputs'!$B$10))^2+('Inputs'!$B$6/2)^2))))*'Results'!$B$8))),"")</x:f>
        <x:v>2.3480642062998833</x:v>
      </x:c>
      <x:c r="P642" t="n">
        <x:f>IF(AND(MAX(J642,J641)&gt;0,J642&gt;J641+0.00000001),1,0)</x:f>
        <x:v>0</x:v>
      </x:c>
      <x:c r="Q642" t="n">
        <x:f>IF(AND(MAX(K642,K641)&gt;0,K642&gt;K641+0.00000001),1,0)</x:f>
        <x:v>0</x:v>
      </x:c>
      <x:c r="R642" t="n">
        <x:f>IF(AND(MAX(L642,L641)&gt;0,L642&gt;L641+0.00000001),1,0)</x:f>
        <x:v>0</x:v>
      </x:c>
      <x:c r="S642" t="n">
        <x:f>IF(AND(MAX(M642,M641)&gt;0,M642&gt;M641+0.00000001),1,0)</x:f>
        <x:v>0</x:v>
      </x:c>
      <x:c r="T642" t="n">
        <x:f>IF(AND(MAX(N642,N641)&gt;0,N642&gt;N641+0.00000001),1,0)</x:f>
        <x:v>0</x:v>
      </x:c>
      <x:c r="U642" t="n">
        <x:f>IF(AND(MAX(O642,O641)&gt;0,O642&gt;O641+0.00000001),1,0)</x:f>
        <x:v>0</x:v>
      </x:c>
    </x:row>
    <x:row r="643">
      <x:c r="J643" t="n">
        <x:f>IF(AND(ISNUMBER('Results'!B7),ISNUMBER('Results'!C7),ISNUMBER('Results'!$B$8),ISNUMBER('Inputs'!$B$6),ISNUMBER('Inputs'!$B$7),ISNUMBER('Inputs'!$B$8),ISNUMBER('Inputs'!$B$9),ISNUMBER('Inputs'!$B$10),ISNUMBER('Inputs'!$B$21),ISNUMBER('Inputs'!$B$24),ISNUMBER('Inputs'!$B$28)),(('Results'!B7*(0.5*((((643-43)*MAX('Inputs'!$B$33,'Inputs'!$B$29+'Inputs'!$B$31+'Inputs'!$B$32,'Inputs'!$B$30+'Inputs'!$B$31+'Inputs'!$B$32)/1000+'Inputs'!$B$21)+'Inputs'!$B$7)/SQRT((((643-43)*MAX('Inputs'!$B$33,'Inputs'!$B$29+'Inputs'!$B$31+'Inputs'!$B$32,'Inputs'!$B$30+'Inputs'!$B$31+'Inputs'!$B$32)/1000+'Inputs'!$B$21)+'Inputs'!$B$7)^2+('Inputs'!$B$6/2)^2)-(((643-43)*MAX('Inputs'!$B$33,'Inputs'!$B$29+'Inputs'!$B$31+'Inputs'!$B$32,'Inputs'!$B$30+'Inputs'!$B$31+'Inputs'!$B$32)/1000+'Inputs'!$B$21))/SQRT((((643-43)*MAX('Inputs'!$B$33,'Inputs'!$B$29+'Inputs'!$B$31+'Inputs'!$B$32,'Inputs'!$B$30+'Inputs'!$B$31+'Inputs'!$B$32)/1000+'Inputs'!$B$21))^2+('Inputs'!$B$6/2)^2)))-'Results'!C7*(0.5*((((643-43)*MAX('Inputs'!$B$33,'Inputs'!$B$29+'Inputs'!$B$31+'Inputs'!$B$32,'Inputs'!$B$30+'Inputs'!$B$31+'Inputs'!$B$32)/1000+'Inputs'!$B$21+'Inputs'!$B$7+'Inputs'!$B$10)+'Inputs'!$B$9)/SQRT((((643-43)*MAX('Inputs'!$B$33,'Inputs'!$B$29+'Inputs'!$B$31+'Inputs'!$B$32,'Inputs'!$B$30+'Inputs'!$B$31+'Inputs'!$B$32)/1000+'Inputs'!$B$21+'Inputs'!$B$7+'Inputs'!$B$10)+'Inputs'!$B$9)^2+('Inputs'!$B$8/2)^2)-(((643-43)*MAX('Inputs'!$B$33,'Inputs'!$B$29+'Inputs'!$B$31+'Inputs'!$B$32,'Inputs'!$B$30+'Inputs'!$B$31+'Inputs'!$B$32)/1000+'Inputs'!$B$21+'Inputs'!$B$7+'Inputs'!$B$10))/SQRT((((643-43)*MAX('Inputs'!$B$33,'Inputs'!$B$29+'Inputs'!$B$31+'Inputs'!$B$32,'Inputs'!$B$30+'Inputs'!$B$31+'Inputs'!$B$32)/1000+'Inputs'!$B$21+'Inputs'!$B$7+'Inputs'!$B$10))^2+('Inputs'!$B$8/2)^2))))*'Results'!$B$8),"")</x:f>
        <x:v>2.225434557681717</x:v>
      </x:c>
      <x:c r="K643" t="n">
        <x:f>IF(AND(ISNUMBER('Results'!B7),ISNUMBER('Results'!C7),ISNUMBER('Results'!$B$8),ISNUMBER('Inputs'!$B$6),ISNUMBER('Inputs'!$B$7),ISNUMBER('Inputs'!$B$8),ISNUMBER('Inputs'!$B$9),ISNUMBER('Inputs'!$B$10),ISNUMBER('Inputs'!$B$21),ISNUMBER('Inputs'!$B$24),ISNUMBER('Inputs'!$B$28)),((('Results'!B7*(1-'Inputs'!$B$24)*(0.5*((((643-43)*MAX('Inputs'!$B$33,'Inputs'!$B$29+'Inputs'!$B$31+'Inputs'!$B$32,'Inputs'!$B$30+'Inputs'!$B$31+'Inputs'!$B$32)/1000+'Inputs'!$B$21)+'Inputs'!$B$7)/SQRT((((643-43)*MAX('Inputs'!$B$33,'Inputs'!$B$29+'Inputs'!$B$31+'Inputs'!$B$32,'Inputs'!$B$30+'Inputs'!$B$31+'Inputs'!$B$32)/1000+'Inputs'!$B$21)+'Inputs'!$B$7)^2+('Inputs'!$B$6/2)^2)-(((643-43)*MAX('Inputs'!$B$33,'Inputs'!$B$29+'Inputs'!$B$31+'Inputs'!$B$32,'Inputs'!$B$30+'Inputs'!$B$31+'Inputs'!$B$32)/1000+'Inputs'!$B$21))/SQRT((((643-43)*MAX('Inputs'!$B$33,'Inputs'!$B$29+'Inputs'!$B$31+'Inputs'!$B$32,'Inputs'!$B$30+'Inputs'!$B$31+'Inputs'!$B$32)/1000+'Inputs'!$B$21))^2+('Inputs'!$B$6/2)^2)))-'Results'!C7*(1+'Inputs'!$B$24)*(0.5*((((643-43)*MAX('Inputs'!$B$33,'Inputs'!$B$29+'Inputs'!$B$31+'Inputs'!$B$32,'Inputs'!$B$30+'Inputs'!$B$31+'Inputs'!$B$32)/1000+'Inputs'!$B$21+'Inputs'!$B$7+'Inputs'!$B$10)+'Inputs'!$B$9)/SQRT((((643-43)*MAX('Inputs'!$B$33,'Inputs'!$B$29+'Inputs'!$B$31+'Inputs'!$B$32,'Inputs'!$B$30+'Inputs'!$B$31+'Inputs'!$B$32)/1000+'Inputs'!$B$21+'Inputs'!$B$7+'Inputs'!$B$10)+'Inputs'!$B$9)^2+('Inputs'!$B$8/2)^2)-(((643-43)*MAX('Inputs'!$B$33,'Inputs'!$B$29+'Inputs'!$B$31+'Inputs'!$B$32,'Inputs'!$B$30+'Inputs'!$B$31+'Inputs'!$B$32)/1000+'Inputs'!$B$21+'Inputs'!$B$7+'Inputs'!$B$10))/SQRT((((643-43)*MAX('Inputs'!$B$33,'Inputs'!$B$29+'Inputs'!$B$31+'Inputs'!$B$32,'Inputs'!$B$30+'Inputs'!$B$31+'Inputs'!$B$32)/1000+'Inputs'!$B$21+'Inputs'!$B$7+'Inputs'!$B$10))^2+('Inputs'!$B$8/2)^2))))*'Results'!$B$8)-'Inputs'!$B$28*ABS((('Results'!B7*(1-'Inputs'!$B$24)*(0.5*((((643-43)*MAX('Inputs'!$B$33,'Inputs'!$B$29+'Inputs'!$B$31+'Inputs'!$B$32,'Inputs'!$B$30+'Inputs'!$B$31+'Inputs'!$B$32)/1000+'Inputs'!$B$21)+'Inputs'!$B$7)/SQRT((((643-43)*MAX('Inputs'!$B$33,'Inputs'!$B$29+'Inputs'!$B$31+'Inputs'!$B$32,'Inputs'!$B$30+'Inputs'!$B$31+'Inputs'!$B$32)/1000+'Inputs'!$B$21)+'Inputs'!$B$7)^2+('Inputs'!$B$6/2)^2)-(((643-43)*MAX('Inputs'!$B$33,'Inputs'!$B$29+'Inputs'!$B$31+'Inputs'!$B$32,'Inputs'!$B$30+'Inputs'!$B$31+'Inputs'!$B$32)/1000+'Inputs'!$B$21))/SQRT((((643-43)*MAX('Inputs'!$B$33,'Inputs'!$B$29+'Inputs'!$B$31+'Inputs'!$B$32,'Inputs'!$B$30+'Inputs'!$B$31+'Inputs'!$B$32)/1000+'Inputs'!$B$21))^2+('Inputs'!$B$6/2)^2)))-'Results'!C7*(1+'Inputs'!$B$24)*(0.5*((((643-43)*MAX('Inputs'!$B$33,'Inputs'!$B$29+'Inputs'!$B$31+'Inputs'!$B$32,'Inputs'!$B$30+'Inputs'!$B$31+'Inputs'!$B$32)/1000+'Inputs'!$B$21+'Inputs'!$B$7+'Inputs'!$B$10)+'Inputs'!$B$9)/SQRT((((643-43)*MAX('Inputs'!$B$33,'Inputs'!$B$29+'Inputs'!$B$31+'Inputs'!$B$32,'Inputs'!$B$30+'Inputs'!$B$31+'Inputs'!$B$32)/1000+'Inputs'!$B$21+'Inputs'!$B$7+'Inputs'!$B$10)+'Inputs'!$B$9)^2+('Inputs'!$B$8/2)^2)-(((643-43)*MAX('Inputs'!$B$33,'Inputs'!$B$29+'Inputs'!$B$31+'Inputs'!$B$32,'Inputs'!$B$30+'Inputs'!$B$31+'Inputs'!$B$32)/1000+'Inputs'!$B$21+'Inputs'!$B$7+'Inputs'!$B$10))/SQRT((((643-43)*MAX('Inputs'!$B$33,'Inputs'!$B$29+'Inputs'!$B$31+'Inputs'!$B$32,'Inputs'!$B$30+'Inputs'!$B$31+'Inputs'!$B$32)/1000+'Inputs'!$B$21+'Inputs'!$B$7+'Inputs'!$B$10))^2+('Inputs'!$B$8/2)^2))))*'Results'!$B$8))),"")</x:f>
        <x:v>1.9488196280870516</x:v>
      </x:c>
      <x:c r="L643" t="n">
        <x:f>IF(AND(ISNUMBER('Results'!B7),ISNUMBER('Results'!C7),ISNUMBER('Results'!$B$8),ISNUMBER('Inputs'!$B$6),ISNUMBER('Inputs'!$B$7),ISNUMBER('Inputs'!$B$8),ISNUMBER('Inputs'!$B$9),ISNUMBER('Inputs'!$B$10),ISNUMBER('Inputs'!$B$21),ISNUMBER('Inputs'!$B$24),ISNUMBER('Inputs'!$B$28)),((('Results'!B7*(1+'Inputs'!$B$24)*(0.5*((((643-43)*MAX('Inputs'!$B$33,'Inputs'!$B$29+'Inputs'!$B$31+'Inputs'!$B$32,'Inputs'!$B$30+'Inputs'!$B$31+'Inputs'!$B$32)/1000+'Inputs'!$B$21)+'Inputs'!$B$7)/SQRT((((643-43)*MAX('Inputs'!$B$33,'Inputs'!$B$29+'Inputs'!$B$31+'Inputs'!$B$32,'Inputs'!$B$30+'Inputs'!$B$31+'Inputs'!$B$32)/1000+'Inputs'!$B$21)+'Inputs'!$B$7)^2+('Inputs'!$B$6/2)^2)-(((643-43)*MAX('Inputs'!$B$33,'Inputs'!$B$29+'Inputs'!$B$31+'Inputs'!$B$32,'Inputs'!$B$30+'Inputs'!$B$31+'Inputs'!$B$32)/1000+'Inputs'!$B$21))/SQRT((((643-43)*MAX('Inputs'!$B$33,'Inputs'!$B$29+'Inputs'!$B$31+'Inputs'!$B$32,'Inputs'!$B$30+'Inputs'!$B$31+'Inputs'!$B$32)/1000+'Inputs'!$B$21))^2+('Inputs'!$B$6/2)^2)))-'Results'!C7*(1-'Inputs'!$B$24)*(0.5*((((643-43)*MAX('Inputs'!$B$33,'Inputs'!$B$29+'Inputs'!$B$31+'Inputs'!$B$32,'Inputs'!$B$30+'Inputs'!$B$31+'Inputs'!$B$32)/1000+'Inputs'!$B$21+'Inputs'!$B$7+'Inputs'!$B$10)+'Inputs'!$B$9)/SQRT((((643-43)*MAX('Inputs'!$B$33,'Inputs'!$B$29+'Inputs'!$B$31+'Inputs'!$B$32,'Inputs'!$B$30+'Inputs'!$B$31+'Inputs'!$B$32)/1000+'Inputs'!$B$21+'Inputs'!$B$7+'Inputs'!$B$10)+'Inputs'!$B$9)^2+('Inputs'!$B$8/2)^2)-(((643-43)*MAX('Inputs'!$B$33,'Inputs'!$B$29+'Inputs'!$B$31+'Inputs'!$B$32,'Inputs'!$B$30+'Inputs'!$B$31+'Inputs'!$B$32)/1000+'Inputs'!$B$21+'Inputs'!$B$7+'Inputs'!$B$10))/SQRT((((643-43)*MAX('Inputs'!$B$33,'Inputs'!$B$29+'Inputs'!$B$31+'Inputs'!$B$32,'Inputs'!$B$30+'Inputs'!$B$31+'Inputs'!$B$32)/1000+'Inputs'!$B$21+'Inputs'!$B$7+'Inputs'!$B$10))^2+('Inputs'!$B$8/2)^2))))*'Results'!$B$8)+'Inputs'!$B$28*ABS((('Results'!B7*(1+'Inputs'!$B$24)*(0.5*((((643-43)*MAX('Inputs'!$B$33,'Inputs'!$B$29+'Inputs'!$B$31+'Inputs'!$B$32,'Inputs'!$B$30+'Inputs'!$B$31+'Inputs'!$B$32)/1000+'Inputs'!$B$21)+'Inputs'!$B$7)/SQRT((((643-43)*MAX('Inputs'!$B$33,'Inputs'!$B$29+'Inputs'!$B$31+'Inputs'!$B$32,'Inputs'!$B$30+'Inputs'!$B$31+'Inputs'!$B$32)/1000+'Inputs'!$B$21)+'Inputs'!$B$7)^2+('Inputs'!$B$6/2)^2)-(((643-43)*MAX('Inputs'!$B$33,'Inputs'!$B$29+'Inputs'!$B$31+'Inputs'!$B$32,'Inputs'!$B$30+'Inputs'!$B$31+'Inputs'!$B$32)/1000+'Inputs'!$B$21))/SQRT((((643-43)*MAX('Inputs'!$B$33,'Inputs'!$B$29+'Inputs'!$B$31+'Inputs'!$B$32,'Inputs'!$B$30+'Inputs'!$B$31+'Inputs'!$B$32)/1000+'Inputs'!$B$21))^2+('Inputs'!$B$6/2)^2)))-'Results'!C7*(1-'Inputs'!$B$24)*(0.5*((((643-43)*MAX('Inputs'!$B$33,'Inputs'!$B$29+'Inputs'!$B$31+'Inputs'!$B$32,'Inputs'!$B$30+'Inputs'!$B$31+'Inputs'!$B$32)/1000+'Inputs'!$B$21+'Inputs'!$B$7+'Inputs'!$B$10)+'Inputs'!$B$9)/SQRT((((643-43)*MAX('Inputs'!$B$33,'Inputs'!$B$29+'Inputs'!$B$31+'Inputs'!$B$32,'Inputs'!$B$30+'Inputs'!$B$31+'Inputs'!$B$32)/1000+'Inputs'!$B$21+'Inputs'!$B$7+'Inputs'!$B$10)+'Inputs'!$B$9)^2+('Inputs'!$B$8/2)^2)-(((643-43)*MAX('Inputs'!$B$33,'Inputs'!$B$29+'Inputs'!$B$31+'Inputs'!$B$32,'Inputs'!$B$30+'Inputs'!$B$31+'Inputs'!$B$32)/1000+'Inputs'!$B$21+'Inputs'!$B$7+'Inputs'!$B$10))/SQRT((((643-43)*MAX('Inputs'!$B$33,'Inputs'!$B$29+'Inputs'!$B$31+'Inputs'!$B$32,'Inputs'!$B$30+'Inputs'!$B$31+'Inputs'!$B$32)/1000+'Inputs'!$B$21+'Inputs'!$B$7+'Inputs'!$B$10))^2+('Inputs'!$B$8/2)^2))))*'Results'!$B$8))),"")</x:f>
        <x:v>2.519454034824864</x:v>
      </x:c>
      <x:c r="M643" t="n">
        <x:f>IF(AND(ISNUMBER('Results'!C7),ISNUMBER('Results'!B7),ISNUMBER('Results'!$B$8),ISNUMBER('Inputs'!$B$6),ISNUMBER('Inputs'!$B$7),ISNUMBER('Inputs'!$B$8),ISNUMBER('Inputs'!$B$9),ISNUMBER('Inputs'!$B$10),ISNUMBER('Inputs'!$B$21),ISNUMBER('Inputs'!$B$24),ISNUMBER('Inputs'!$B$28)),(('Results'!C7*(0.5*((((643-43)*MAX('Inputs'!$B$33,'Inputs'!$B$29+'Inputs'!$B$31+'Inputs'!$B$32,'Inputs'!$B$30+'Inputs'!$B$31+'Inputs'!$B$32)/1000+'Inputs'!$B$21)+'Inputs'!$B$9)/SQRT((((643-43)*MAX('Inputs'!$B$33,'Inputs'!$B$29+'Inputs'!$B$31+'Inputs'!$B$32,'Inputs'!$B$30+'Inputs'!$B$31+'Inputs'!$B$32)/1000+'Inputs'!$B$21)+'Inputs'!$B$9)^2+('Inputs'!$B$8/2)^2)-(((643-43)*MAX('Inputs'!$B$33,'Inputs'!$B$29+'Inputs'!$B$31+'Inputs'!$B$32,'Inputs'!$B$30+'Inputs'!$B$31+'Inputs'!$B$32)/1000+'Inputs'!$B$21))/SQRT((((643-43)*MAX('Inputs'!$B$33,'Inputs'!$B$29+'Inputs'!$B$31+'Inputs'!$B$32,'Inputs'!$B$30+'Inputs'!$B$31+'Inputs'!$B$32)/1000+'Inputs'!$B$21))^2+('Inputs'!$B$8/2)^2)))-'Results'!B7*(0.5*((((643-43)*MAX('Inputs'!$B$33,'Inputs'!$B$29+'Inputs'!$B$31+'Inputs'!$B$32,'Inputs'!$B$30+'Inputs'!$B$31+'Inputs'!$B$32)/1000+'Inputs'!$B$21+'Inputs'!$B$9+'Inputs'!$B$10)+'Inputs'!$B$7)/SQRT((((643-43)*MAX('Inputs'!$B$33,'Inputs'!$B$29+'Inputs'!$B$31+'Inputs'!$B$32,'Inputs'!$B$30+'Inputs'!$B$31+'Inputs'!$B$32)/1000+'Inputs'!$B$21+'Inputs'!$B$9+'Inputs'!$B$10)+'Inputs'!$B$7)^2+('Inputs'!$B$6/2)^2)-(((643-43)*MAX('Inputs'!$B$33,'Inputs'!$B$29+'Inputs'!$B$31+'Inputs'!$B$32,'Inputs'!$B$30+'Inputs'!$B$31+'Inputs'!$B$32)/1000+'Inputs'!$B$21+'Inputs'!$B$9+'Inputs'!$B$10))/SQRT((((643-43)*MAX('Inputs'!$B$33,'Inputs'!$B$29+'Inputs'!$B$31+'Inputs'!$B$32,'Inputs'!$B$30+'Inputs'!$B$31+'Inputs'!$B$32)/1000+'Inputs'!$B$21+'Inputs'!$B$9+'Inputs'!$B$10))^2+('Inputs'!$B$6/2)^2))))*'Results'!$B$8),"")</x:f>
        <x:v>2.05006727827515</x:v>
      </x:c>
      <x:c r="N643" t="n">
        <x:f>IF(AND(ISNUMBER('Results'!C7),ISNUMBER('Results'!B7),ISNUMBER('Results'!$B$8),ISNUMBER('Inputs'!$B$6),ISNUMBER('Inputs'!$B$7),ISNUMBER('Inputs'!$B$8),ISNUMBER('Inputs'!$B$9),ISNUMBER('Inputs'!$B$10),ISNUMBER('Inputs'!$B$21),ISNUMBER('Inputs'!$B$24),ISNUMBER('Inputs'!$B$28)),((('Results'!C7*(1-'Inputs'!$B$24)*(0.5*((((643-43)*MAX('Inputs'!$B$33,'Inputs'!$B$29+'Inputs'!$B$31+'Inputs'!$B$32,'Inputs'!$B$30+'Inputs'!$B$31+'Inputs'!$B$32)/1000+'Inputs'!$B$21)+'Inputs'!$B$9)/SQRT((((643-43)*MAX('Inputs'!$B$33,'Inputs'!$B$29+'Inputs'!$B$31+'Inputs'!$B$32,'Inputs'!$B$30+'Inputs'!$B$31+'Inputs'!$B$32)/1000+'Inputs'!$B$21)+'Inputs'!$B$9)^2+('Inputs'!$B$8/2)^2)-(((643-43)*MAX('Inputs'!$B$33,'Inputs'!$B$29+'Inputs'!$B$31+'Inputs'!$B$32,'Inputs'!$B$30+'Inputs'!$B$31+'Inputs'!$B$32)/1000+'Inputs'!$B$21))/SQRT((((643-43)*MAX('Inputs'!$B$33,'Inputs'!$B$29+'Inputs'!$B$31+'Inputs'!$B$32,'Inputs'!$B$30+'Inputs'!$B$31+'Inputs'!$B$32)/1000+'Inputs'!$B$21))^2+('Inputs'!$B$8/2)^2)))-'Results'!B7*(1+'Inputs'!$B$24)*(0.5*((((643-43)*MAX('Inputs'!$B$33,'Inputs'!$B$29+'Inputs'!$B$31+'Inputs'!$B$32,'Inputs'!$B$30+'Inputs'!$B$31+'Inputs'!$B$32)/1000+'Inputs'!$B$21+'Inputs'!$B$9+'Inputs'!$B$10)+'Inputs'!$B$7)/SQRT((((643-43)*MAX('Inputs'!$B$33,'Inputs'!$B$29+'Inputs'!$B$31+'Inputs'!$B$32,'Inputs'!$B$30+'Inputs'!$B$31+'Inputs'!$B$32)/1000+'Inputs'!$B$21+'Inputs'!$B$9+'Inputs'!$B$10)+'Inputs'!$B$7)^2+('Inputs'!$B$6/2)^2)-(((643-43)*MAX('Inputs'!$B$33,'Inputs'!$B$29+'Inputs'!$B$31+'Inputs'!$B$32,'Inputs'!$B$30+'Inputs'!$B$31+'Inputs'!$B$32)/1000+'Inputs'!$B$21+'Inputs'!$B$9+'Inputs'!$B$10))/SQRT((((643-43)*MAX('Inputs'!$B$33,'Inputs'!$B$29+'Inputs'!$B$31+'Inputs'!$B$32,'Inputs'!$B$30+'Inputs'!$B$31+'Inputs'!$B$32)/1000+'Inputs'!$B$21+'Inputs'!$B$9+'Inputs'!$B$10))^2+('Inputs'!$B$6/2)^2))))*'Results'!$B$8)-'Inputs'!$B$28*ABS((('Results'!C7*(1-'Inputs'!$B$24)*(0.5*((((643-43)*MAX('Inputs'!$B$33,'Inputs'!$B$29+'Inputs'!$B$31+'Inputs'!$B$32,'Inputs'!$B$30+'Inputs'!$B$31+'Inputs'!$B$32)/1000+'Inputs'!$B$21)+'Inputs'!$B$9)/SQRT((((643-43)*MAX('Inputs'!$B$33,'Inputs'!$B$29+'Inputs'!$B$31+'Inputs'!$B$32,'Inputs'!$B$30+'Inputs'!$B$31+'Inputs'!$B$32)/1000+'Inputs'!$B$21)+'Inputs'!$B$9)^2+('Inputs'!$B$8/2)^2)-(((643-43)*MAX('Inputs'!$B$33,'Inputs'!$B$29+'Inputs'!$B$31+'Inputs'!$B$32,'Inputs'!$B$30+'Inputs'!$B$31+'Inputs'!$B$32)/1000+'Inputs'!$B$21))/SQRT((((643-43)*MAX('Inputs'!$B$33,'Inputs'!$B$29+'Inputs'!$B$31+'Inputs'!$B$32,'Inputs'!$B$30+'Inputs'!$B$31+'Inputs'!$B$32)/1000+'Inputs'!$B$21))^2+('Inputs'!$B$8/2)^2)))-'Results'!B7*(1+'Inputs'!$B$24)*(0.5*((((643-43)*MAX('Inputs'!$B$33,'Inputs'!$B$29+'Inputs'!$B$31+'Inputs'!$B$32,'Inputs'!$B$30+'Inputs'!$B$31+'Inputs'!$B$32)/1000+'Inputs'!$B$21+'Inputs'!$B$9+'Inputs'!$B$10)+'Inputs'!$B$7)/SQRT((((643-43)*MAX('Inputs'!$B$33,'Inputs'!$B$29+'Inputs'!$B$31+'Inputs'!$B$32,'Inputs'!$B$30+'Inputs'!$B$31+'Inputs'!$B$32)/1000+'Inputs'!$B$21+'Inputs'!$B$9+'Inputs'!$B$10)+'Inputs'!$B$7)^2+('Inputs'!$B$6/2)^2)-(((643-43)*MAX('Inputs'!$B$33,'Inputs'!$B$29+'Inputs'!$B$31+'Inputs'!$B$32,'Inputs'!$B$30+'Inputs'!$B$31+'Inputs'!$B$32)/1000+'Inputs'!$B$21+'Inputs'!$B$9+'Inputs'!$B$10))/SQRT((((643-43)*MAX('Inputs'!$B$33,'Inputs'!$B$29+'Inputs'!$B$31+'Inputs'!$B$32,'Inputs'!$B$30+'Inputs'!$B$31+'Inputs'!$B$32)/1000+'Inputs'!$B$21+'Inputs'!$B$9+'Inputs'!$B$10))^2+('Inputs'!$B$6/2)^2))))*'Results'!$B$8))),"")</x:f>
        <x:v>1.7830412635082187</x:v>
      </x:c>
      <x:c r="O643" t="n">
        <x:f>IF(AND(ISNUMBER('Results'!C7),ISNUMBER('Results'!B7),ISNUMBER('Results'!$B$8),ISNUMBER('Inputs'!$B$6),ISNUMBER('Inputs'!$B$7),ISNUMBER('Inputs'!$B$8),ISNUMBER('Inputs'!$B$9),ISNUMBER('Inputs'!$B$10),ISNUMBER('Inputs'!$B$21),ISNUMBER('Inputs'!$B$24),ISNUMBER('Inputs'!$B$28)),((('Results'!C7*(1+'Inputs'!$B$24)*(0.5*((((643-43)*MAX('Inputs'!$B$33,'Inputs'!$B$29+'Inputs'!$B$31+'Inputs'!$B$32,'Inputs'!$B$30+'Inputs'!$B$31+'Inputs'!$B$32)/1000+'Inputs'!$B$21)+'Inputs'!$B$9)/SQRT((((643-43)*MAX('Inputs'!$B$33,'Inputs'!$B$29+'Inputs'!$B$31+'Inputs'!$B$32,'Inputs'!$B$30+'Inputs'!$B$31+'Inputs'!$B$32)/1000+'Inputs'!$B$21)+'Inputs'!$B$9)^2+('Inputs'!$B$8/2)^2)-(((643-43)*MAX('Inputs'!$B$33,'Inputs'!$B$29+'Inputs'!$B$31+'Inputs'!$B$32,'Inputs'!$B$30+'Inputs'!$B$31+'Inputs'!$B$32)/1000+'Inputs'!$B$21))/SQRT((((643-43)*MAX('Inputs'!$B$33,'Inputs'!$B$29+'Inputs'!$B$31+'Inputs'!$B$32,'Inputs'!$B$30+'Inputs'!$B$31+'Inputs'!$B$32)/1000+'Inputs'!$B$21))^2+('Inputs'!$B$8/2)^2)))-'Results'!B7*(1-'Inputs'!$B$24)*(0.5*((((643-43)*MAX('Inputs'!$B$33,'Inputs'!$B$29+'Inputs'!$B$31+'Inputs'!$B$32,'Inputs'!$B$30+'Inputs'!$B$31+'Inputs'!$B$32)/1000+'Inputs'!$B$21+'Inputs'!$B$9+'Inputs'!$B$10)+'Inputs'!$B$7)/SQRT((((643-43)*MAX('Inputs'!$B$33,'Inputs'!$B$29+'Inputs'!$B$31+'Inputs'!$B$32,'Inputs'!$B$30+'Inputs'!$B$31+'Inputs'!$B$32)/1000+'Inputs'!$B$21+'Inputs'!$B$9+'Inputs'!$B$10)+'Inputs'!$B$7)^2+('Inputs'!$B$6/2)^2)-(((643-43)*MAX('Inputs'!$B$33,'Inputs'!$B$29+'Inputs'!$B$31+'Inputs'!$B$32,'Inputs'!$B$30+'Inputs'!$B$31+'Inputs'!$B$32)/1000+'Inputs'!$B$21+'Inputs'!$B$9+'Inputs'!$B$10))/SQRT((((643-43)*MAX('Inputs'!$B$33,'Inputs'!$B$29+'Inputs'!$B$31+'Inputs'!$B$32,'Inputs'!$B$30+'Inputs'!$B$31+'Inputs'!$B$32)/1000+'Inputs'!$B$21+'Inputs'!$B$9+'Inputs'!$B$10))^2+('Inputs'!$B$6/2)^2))))*'Results'!$B$8)+'Inputs'!$B$28*ABS((('Results'!C7*(1+'Inputs'!$B$24)*(0.5*((((643-43)*MAX('Inputs'!$B$33,'Inputs'!$B$29+'Inputs'!$B$31+'Inputs'!$B$32,'Inputs'!$B$30+'Inputs'!$B$31+'Inputs'!$B$32)/1000+'Inputs'!$B$21)+'Inputs'!$B$9)/SQRT((((643-43)*MAX('Inputs'!$B$33,'Inputs'!$B$29+'Inputs'!$B$31+'Inputs'!$B$32,'Inputs'!$B$30+'Inputs'!$B$31+'Inputs'!$B$32)/1000+'Inputs'!$B$21)+'Inputs'!$B$9)^2+('Inputs'!$B$8/2)^2)-(((643-43)*MAX('Inputs'!$B$33,'Inputs'!$B$29+'Inputs'!$B$31+'Inputs'!$B$32,'Inputs'!$B$30+'Inputs'!$B$31+'Inputs'!$B$32)/1000+'Inputs'!$B$21))/SQRT((((643-43)*MAX('Inputs'!$B$33,'Inputs'!$B$29+'Inputs'!$B$31+'Inputs'!$B$32,'Inputs'!$B$30+'Inputs'!$B$31+'Inputs'!$B$32)/1000+'Inputs'!$B$21))^2+('Inputs'!$B$8/2)^2)))-'Results'!B7*(1-'Inputs'!$B$24)*(0.5*((((643-43)*MAX('Inputs'!$B$33,'Inputs'!$B$29+'Inputs'!$B$31+'Inputs'!$B$32,'Inputs'!$B$30+'Inputs'!$B$31+'Inputs'!$B$32)/1000+'Inputs'!$B$21+'Inputs'!$B$9+'Inputs'!$B$10)+'Inputs'!$B$7)/SQRT((((643-43)*MAX('Inputs'!$B$33,'Inputs'!$B$29+'Inputs'!$B$31+'Inputs'!$B$32,'Inputs'!$B$30+'Inputs'!$B$31+'Inputs'!$B$32)/1000+'Inputs'!$B$21+'Inputs'!$B$9+'Inputs'!$B$10)+'Inputs'!$B$7)^2+('Inputs'!$B$6/2)^2)-(((643-43)*MAX('Inputs'!$B$33,'Inputs'!$B$29+'Inputs'!$B$31+'Inputs'!$B$32,'Inputs'!$B$30+'Inputs'!$B$31+'Inputs'!$B$32)/1000+'Inputs'!$B$21+'Inputs'!$B$9+'Inputs'!$B$10))/SQRT((((643-43)*MAX('Inputs'!$B$33,'Inputs'!$B$29+'Inputs'!$B$31+'Inputs'!$B$32,'Inputs'!$B$30+'Inputs'!$B$31+'Inputs'!$B$32)/1000+'Inputs'!$B$21+'Inputs'!$B$9+'Inputs'!$B$10))^2+('Inputs'!$B$6/2)^2))))*'Results'!$B$8))),"")</x:f>
        <x:v>2.3344114668160993</x:v>
      </x:c>
      <x:c r="P643" t="n">
        <x:f>IF(AND(MAX(J643,J642)&gt;0,J643&gt;J642+0.00000001),1,0)</x:f>
        <x:v>0</x:v>
      </x:c>
      <x:c r="Q643" t="n">
        <x:f>IF(AND(MAX(K643,K642)&gt;0,K643&gt;K642+0.00000001),1,0)</x:f>
        <x:v>0</x:v>
      </x:c>
      <x:c r="R643" t="n">
        <x:f>IF(AND(MAX(L643,L642)&gt;0,L643&gt;L642+0.00000001),1,0)</x:f>
        <x:v>0</x:v>
      </x:c>
      <x:c r="S643" t="n">
        <x:f>IF(AND(MAX(M643,M642)&gt;0,M643&gt;M642+0.00000001),1,0)</x:f>
        <x:v>0</x:v>
      </x:c>
      <x:c r="T643" t="n">
        <x:f>IF(AND(MAX(N643,N642)&gt;0,N643&gt;N642+0.00000001),1,0)</x:f>
        <x:v>0</x:v>
      </x:c>
      <x:c r="U643" t="n">
        <x:f>IF(AND(MAX(O643,O642)&gt;0,O643&gt;O642+0.00000001),1,0)</x:f>
        <x:v>0</x:v>
      </x:c>
    </x:row>
    <x:row r="644">
      <x:c r="J644" t="n">
        <x:f>IF(AND(ISNUMBER('Results'!B7),ISNUMBER('Results'!C7),ISNUMBER('Results'!$B$8),ISNUMBER('Inputs'!$B$6),ISNUMBER('Inputs'!$B$7),ISNUMBER('Inputs'!$B$8),ISNUMBER('Inputs'!$B$9),ISNUMBER('Inputs'!$B$10),ISNUMBER('Inputs'!$B$21),ISNUMBER('Inputs'!$B$24),ISNUMBER('Inputs'!$B$28)),(('Results'!B7*(0.5*((((644-43)*MAX('Inputs'!$B$33,'Inputs'!$B$29+'Inputs'!$B$31+'Inputs'!$B$32,'Inputs'!$B$30+'Inputs'!$B$31+'Inputs'!$B$32)/1000+'Inputs'!$B$21)+'Inputs'!$B$7)/SQRT((((644-43)*MAX('Inputs'!$B$33,'Inputs'!$B$29+'Inputs'!$B$31+'Inputs'!$B$32,'Inputs'!$B$30+'Inputs'!$B$31+'Inputs'!$B$32)/1000+'Inputs'!$B$21)+'Inputs'!$B$7)^2+('Inputs'!$B$6/2)^2)-(((644-43)*MAX('Inputs'!$B$33,'Inputs'!$B$29+'Inputs'!$B$31+'Inputs'!$B$32,'Inputs'!$B$30+'Inputs'!$B$31+'Inputs'!$B$32)/1000+'Inputs'!$B$21))/SQRT((((644-43)*MAX('Inputs'!$B$33,'Inputs'!$B$29+'Inputs'!$B$31+'Inputs'!$B$32,'Inputs'!$B$30+'Inputs'!$B$31+'Inputs'!$B$32)/1000+'Inputs'!$B$21))^2+('Inputs'!$B$6/2)^2)))-'Results'!C7*(0.5*((((644-43)*MAX('Inputs'!$B$33,'Inputs'!$B$29+'Inputs'!$B$31+'Inputs'!$B$32,'Inputs'!$B$30+'Inputs'!$B$31+'Inputs'!$B$32)/1000+'Inputs'!$B$21+'Inputs'!$B$7+'Inputs'!$B$10)+'Inputs'!$B$9)/SQRT((((644-43)*MAX('Inputs'!$B$33,'Inputs'!$B$29+'Inputs'!$B$31+'Inputs'!$B$32,'Inputs'!$B$30+'Inputs'!$B$31+'Inputs'!$B$32)/1000+'Inputs'!$B$21+'Inputs'!$B$7+'Inputs'!$B$10)+'Inputs'!$B$9)^2+('Inputs'!$B$8/2)^2)-(((644-43)*MAX('Inputs'!$B$33,'Inputs'!$B$29+'Inputs'!$B$31+'Inputs'!$B$32,'Inputs'!$B$30+'Inputs'!$B$31+'Inputs'!$B$32)/1000+'Inputs'!$B$21+'Inputs'!$B$7+'Inputs'!$B$10))/SQRT((((644-43)*MAX('Inputs'!$B$33,'Inputs'!$B$29+'Inputs'!$B$31+'Inputs'!$B$32,'Inputs'!$B$30+'Inputs'!$B$31+'Inputs'!$B$32)/1000+'Inputs'!$B$21+'Inputs'!$B$7+'Inputs'!$B$10))^2+('Inputs'!$B$8/2)^2))))*'Results'!$B$8),"")</x:f>
        <x:v>2.2125161698692213</x:v>
      </x:c>
      <x:c r="K644" t="n">
        <x:f>IF(AND(ISNUMBER('Results'!B7),ISNUMBER('Results'!C7),ISNUMBER('Results'!$B$8),ISNUMBER('Inputs'!$B$6),ISNUMBER('Inputs'!$B$7),ISNUMBER('Inputs'!$B$8),ISNUMBER('Inputs'!$B$9),ISNUMBER('Inputs'!$B$10),ISNUMBER('Inputs'!$B$21),ISNUMBER('Inputs'!$B$24),ISNUMBER('Inputs'!$B$28)),((('Results'!B7*(1-'Inputs'!$B$24)*(0.5*((((644-43)*MAX('Inputs'!$B$33,'Inputs'!$B$29+'Inputs'!$B$31+'Inputs'!$B$32,'Inputs'!$B$30+'Inputs'!$B$31+'Inputs'!$B$32)/1000+'Inputs'!$B$21)+'Inputs'!$B$7)/SQRT((((644-43)*MAX('Inputs'!$B$33,'Inputs'!$B$29+'Inputs'!$B$31+'Inputs'!$B$32,'Inputs'!$B$30+'Inputs'!$B$31+'Inputs'!$B$32)/1000+'Inputs'!$B$21)+'Inputs'!$B$7)^2+('Inputs'!$B$6/2)^2)-(((644-43)*MAX('Inputs'!$B$33,'Inputs'!$B$29+'Inputs'!$B$31+'Inputs'!$B$32,'Inputs'!$B$30+'Inputs'!$B$31+'Inputs'!$B$32)/1000+'Inputs'!$B$21))/SQRT((((644-43)*MAX('Inputs'!$B$33,'Inputs'!$B$29+'Inputs'!$B$31+'Inputs'!$B$32,'Inputs'!$B$30+'Inputs'!$B$31+'Inputs'!$B$32)/1000+'Inputs'!$B$21))^2+('Inputs'!$B$6/2)^2)))-'Results'!C7*(1+'Inputs'!$B$24)*(0.5*((((644-43)*MAX('Inputs'!$B$33,'Inputs'!$B$29+'Inputs'!$B$31+'Inputs'!$B$32,'Inputs'!$B$30+'Inputs'!$B$31+'Inputs'!$B$32)/1000+'Inputs'!$B$21+'Inputs'!$B$7+'Inputs'!$B$10)+'Inputs'!$B$9)/SQRT((((644-43)*MAX('Inputs'!$B$33,'Inputs'!$B$29+'Inputs'!$B$31+'Inputs'!$B$32,'Inputs'!$B$30+'Inputs'!$B$31+'Inputs'!$B$32)/1000+'Inputs'!$B$21+'Inputs'!$B$7+'Inputs'!$B$10)+'Inputs'!$B$9)^2+('Inputs'!$B$8/2)^2)-(((644-43)*MAX('Inputs'!$B$33,'Inputs'!$B$29+'Inputs'!$B$31+'Inputs'!$B$32,'Inputs'!$B$30+'Inputs'!$B$31+'Inputs'!$B$32)/1000+'Inputs'!$B$21+'Inputs'!$B$7+'Inputs'!$B$10))/SQRT((((644-43)*MAX('Inputs'!$B$33,'Inputs'!$B$29+'Inputs'!$B$31+'Inputs'!$B$32,'Inputs'!$B$30+'Inputs'!$B$31+'Inputs'!$B$32)/1000+'Inputs'!$B$21+'Inputs'!$B$7+'Inputs'!$B$10))^2+('Inputs'!$B$8/2)^2))))*'Results'!$B$8)-'Inputs'!$B$28*ABS((('Results'!B7*(1-'Inputs'!$B$24)*(0.5*((((644-43)*MAX('Inputs'!$B$33,'Inputs'!$B$29+'Inputs'!$B$31+'Inputs'!$B$32,'Inputs'!$B$30+'Inputs'!$B$31+'Inputs'!$B$32)/1000+'Inputs'!$B$21)+'Inputs'!$B$7)/SQRT((((644-43)*MAX('Inputs'!$B$33,'Inputs'!$B$29+'Inputs'!$B$31+'Inputs'!$B$32,'Inputs'!$B$30+'Inputs'!$B$31+'Inputs'!$B$32)/1000+'Inputs'!$B$21)+'Inputs'!$B$7)^2+('Inputs'!$B$6/2)^2)-(((644-43)*MAX('Inputs'!$B$33,'Inputs'!$B$29+'Inputs'!$B$31+'Inputs'!$B$32,'Inputs'!$B$30+'Inputs'!$B$31+'Inputs'!$B$32)/1000+'Inputs'!$B$21))/SQRT((((644-43)*MAX('Inputs'!$B$33,'Inputs'!$B$29+'Inputs'!$B$31+'Inputs'!$B$32,'Inputs'!$B$30+'Inputs'!$B$31+'Inputs'!$B$32)/1000+'Inputs'!$B$21))^2+('Inputs'!$B$6/2)^2)))-'Results'!C7*(1+'Inputs'!$B$24)*(0.5*((((644-43)*MAX('Inputs'!$B$33,'Inputs'!$B$29+'Inputs'!$B$31+'Inputs'!$B$32,'Inputs'!$B$30+'Inputs'!$B$31+'Inputs'!$B$32)/1000+'Inputs'!$B$21+'Inputs'!$B$7+'Inputs'!$B$10)+'Inputs'!$B$9)/SQRT((((644-43)*MAX('Inputs'!$B$33,'Inputs'!$B$29+'Inputs'!$B$31+'Inputs'!$B$32,'Inputs'!$B$30+'Inputs'!$B$31+'Inputs'!$B$32)/1000+'Inputs'!$B$21+'Inputs'!$B$7+'Inputs'!$B$10)+'Inputs'!$B$9)^2+('Inputs'!$B$8/2)^2)-(((644-43)*MAX('Inputs'!$B$33,'Inputs'!$B$29+'Inputs'!$B$31+'Inputs'!$B$32,'Inputs'!$B$30+'Inputs'!$B$31+'Inputs'!$B$32)/1000+'Inputs'!$B$21+'Inputs'!$B$7+'Inputs'!$B$10))/SQRT((((644-43)*MAX('Inputs'!$B$33,'Inputs'!$B$29+'Inputs'!$B$31+'Inputs'!$B$32,'Inputs'!$B$30+'Inputs'!$B$31+'Inputs'!$B$32)/1000+'Inputs'!$B$21+'Inputs'!$B$7+'Inputs'!$B$10))^2+('Inputs'!$B$8/2)^2))))*'Results'!$B$8))),"")</x:f>
        <x:v>1.9372885450500967</x:v>
      </x:c>
      <x:c r="L644" t="n">
        <x:f>IF(AND(ISNUMBER('Results'!B7),ISNUMBER('Results'!C7),ISNUMBER('Results'!$B$8),ISNUMBER('Inputs'!$B$6),ISNUMBER('Inputs'!$B$7),ISNUMBER('Inputs'!$B$8),ISNUMBER('Inputs'!$B$9),ISNUMBER('Inputs'!$B$10),ISNUMBER('Inputs'!$B$21),ISNUMBER('Inputs'!$B$24),ISNUMBER('Inputs'!$B$28)),((('Results'!B7*(1+'Inputs'!$B$24)*(0.5*((((644-43)*MAX('Inputs'!$B$33,'Inputs'!$B$29+'Inputs'!$B$31+'Inputs'!$B$32,'Inputs'!$B$30+'Inputs'!$B$31+'Inputs'!$B$32)/1000+'Inputs'!$B$21)+'Inputs'!$B$7)/SQRT((((644-43)*MAX('Inputs'!$B$33,'Inputs'!$B$29+'Inputs'!$B$31+'Inputs'!$B$32,'Inputs'!$B$30+'Inputs'!$B$31+'Inputs'!$B$32)/1000+'Inputs'!$B$21)+'Inputs'!$B$7)^2+('Inputs'!$B$6/2)^2)-(((644-43)*MAX('Inputs'!$B$33,'Inputs'!$B$29+'Inputs'!$B$31+'Inputs'!$B$32,'Inputs'!$B$30+'Inputs'!$B$31+'Inputs'!$B$32)/1000+'Inputs'!$B$21))/SQRT((((644-43)*MAX('Inputs'!$B$33,'Inputs'!$B$29+'Inputs'!$B$31+'Inputs'!$B$32,'Inputs'!$B$30+'Inputs'!$B$31+'Inputs'!$B$32)/1000+'Inputs'!$B$21))^2+('Inputs'!$B$6/2)^2)))-'Results'!C7*(1-'Inputs'!$B$24)*(0.5*((((644-43)*MAX('Inputs'!$B$33,'Inputs'!$B$29+'Inputs'!$B$31+'Inputs'!$B$32,'Inputs'!$B$30+'Inputs'!$B$31+'Inputs'!$B$32)/1000+'Inputs'!$B$21+'Inputs'!$B$7+'Inputs'!$B$10)+'Inputs'!$B$9)/SQRT((((644-43)*MAX('Inputs'!$B$33,'Inputs'!$B$29+'Inputs'!$B$31+'Inputs'!$B$32,'Inputs'!$B$30+'Inputs'!$B$31+'Inputs'!$B$32)/1000+'Inputs'!$B$21+'Inputs'!$B$7+'Inputs'!$B$10)+'Inputs'!$B$9)^2+('Inputs'!$B$8/2)^2)-(((644-43)*MAX('Inputs'!$B$33,'Inputs'!$B$29+'Inputs'!$B$31+'Inputs'!$B$32,'Inputs'!$B$30+'Inputs'!$B$31+'Inputs'!$B$32)/1000+'Inputs'!$B$21+'Inputs'!$B$7+'Inputs'!$B$10))/SQRT((((644-43)*MAX('Inputs'!$B$33,'Inputs'!$B$29+'Inputs'!$B$31+'Inputs'!$B$32,'Inputs'!$B$30+'Inputs'!$B$31+'Inputs'!$B$32)/1000+'Inputs'!$B$21+'Inputs'!$B$7+'Inputs'!$B$10))^2+('Inputs'!$B$8/2)^2))))*'Results'!$B$8)+'Inputs'!$B$28*ABS((('Results'!B7*(1+'Inputs'!$B$24)*(0.5*((((644-43)*MAX('Inputs'!$B$33,'Inputs'!$B$29+'Inputs'!$B$31+'Inputs'!$B$32,'Inputs'!$B$30+'Inputs'!$B$31+'Inputs'!$B$32)/1000+'Inputs'!$B$21)+'Inputs'!$B$7)/SQRT((((644-43)*MAX('Inputs'!$B$33,'Inputs'!$B$29+'Inputs'!$B$31+'Inputs'!$B$32,'Inputs'!$B$30+'Inputs'!$B$31+'Inputs'!$B$32)/1000+'Inputs'!$B$21)+'Inputs'!$B$7)^2+('Inputs'!$B$6/2)^2)-(((644-43)*MAX('Inputs'!$B$33,'Inputs'!$B$29+'Inputs'!$B$31+'Inputs'!$B$32,'Inputs'!$B$30+'Inputs'!$B$31+'Inputs'!$B$32)/1000+'Inputs'!$B$21))/SQRT((((644-43)*MAX('Inputs'!$B$33,'Inputs'!$B$29+'Inputs'!$B$31+'Inputs'!$B$32,'Inputs'!$B$30+'Inputs'!$B$31+'Inputs'!$B$32)/1000+'Inputs'!$B$21))^2+('Inputs'!$B$6/2)^2)))-'Results'!C7*(1-'Inputs'!$B$24)*(0.5*((((644-43)*MAX('Inputs'!$B$33,'Inputs'!$B$29+'Inputs'!$B$31+'Inputs'!$B$32,'Inputs'!$B$30+'Inputs'!$B$31+'Inputs'!$B$32)/1000+'Inputs'!$B$21+'Inputs'!$B$7+'Inputs'!$B$10)+'Inputs'!$B$9)/SQRT((((644-43)*MAX('Inputs'!$B$33,'Inputs'!$B$29+'Inputs'!$B$31+'Inputs'!$B$32,'Inputs'!$B$30+'Inputs'!$B$31+'Inputs'!$B$32)/1000+'Inputs'!$B$21+'Inputs'!$B$7+'Inputs'!$B$10)+'Inputs'!$B$9)^2+('Inputs'!$B$8/2)^2)-(((644-43)*MAX('Inputs'!$B$33,'Inputs'!$B$29+'Inputs'!$B$31+'Inputs'!$B$32,'Inputs'!$B$30+'Inputs'!$B$31+'Inputs'!$B$32)/1000+'Inputs'!$B$21+'Inputs'!$B$7+'Inputs'!$B$10))/SQRT((((644-43)*MAX('Inputs'!$B$33,'Inputs'!$B$29+'Inputs'!$B$31+'Inputs'!$B$32,'Inputs'!$B$30+'Inputs'!$B$31+'Inputs'!$B$32)/1000+'Inputs'!$B$21+'Inputs'!$B$7+'Inputs'!$B$10))^2+('Inputs'!$B$8/2)^2))))*'Results'!$B$8))),"")</x:f>
        <x:v>2.5050703016699947</x:v>
      </x:c>
      <x:c r="M644" t="n">
        <x:f>IF(AND(ISNUMBER('Results'!C7),ISNUMBER('Results'!B7),ISNUMBER('Results'!$B$8),ISNUMBER('Inputs'!$B$6),ISNUMBER('Inputs'!$B$7),ISNUMBER('Inputs'!$B$8),ISNUMBER('Inputs'!$B$9),ISNUMBER('Inputs'!$B$10),ISNUMBER('Inputs'!$B$21),ISNUMBER('Inputs'!$B$24),ISNUMBER('Inputs'!$B$28)),(('Results'!C7*(0.5*((((644-43)*MAX('Inputs'!$B$33,'Inputs'!$B$29+'Inputs'!$B$31+'Inputs'!$B$32,'Inputs'!$B$30+'Inputs'!$B$31+'Inputs'!$B$32)/1000+'Inputs'!$B$21)+'Inputs'!$B$9)/SQRT((((644-43)*MAX('Inputs'!$B$33,'Inputs'!$B$29+'Inputs'!$B$31+'Inputs'!$B$32,'Inputs'!$B$30+'Inputs'!$B$31+'Inputs'!$B$32)/1000+'Inputs'!$B$21)+'Inputs'!$B$9)^2+('Inputs'!$B$8/2)^2)-(((644-43)*MAX('Inputs'!$B$33,'Inputs'!$B$29+'Inputs'!$B$31+'Inputs'!$B$32,'Inputs'!$B$30+'Inputs'!$B$31+'Inputs'!$B$32)/1000+'Inputs'!$B$21))/SQRT((((644-43)*MAX('Inputs'!$B$33,'Inputs'!$B$29+'Inputs'!$B$31+'Inputs'!$B$32,'Inputs'!$B$30+'Inputs'!$B$31+'Inputs'!$B$32)/1000+'Inputs'!$B$21))^2+('Inputs'!$B$8/2)^2)))-'Results'!B7*(0.5*((((644-43)*MAX('Inputs'!$B$33,'Inputs'!$B$29+'Inputs'!$B$31+'Inputs'!$B$32,'Inputs'!$B$30+'Inputs'!$B$31+'Inputs'!$B$32)/1000+'Inputs'!$B$21+'Inputs'!$B$9+'Inputs'!$B$10)+'Inputs'!$B$7)/SQRT((((644-43)*MAX('Inputs'!$B$33,'Inputs'!$B$29+'Inputs'!$B$31+'Inputs'!$B$32,'Inputs'!$B$30+'Inputs'!$B$31+'Inputs'!$B$32)/1000+'Inputs'!$B$21+'Inputs'!$B$9+'Inputs'!$B$10)+'Inputs'!$B$7)^2+('Inputs'!$B$6/2)^2)-(((644-43)*MAX('Inputs'!$B$33,'Inputs'!$B$29+'Inputs'!$B$31+'Inputs'!$B$32,'Inputs'!$B$30+'Inputs'!$B$31+'Inputs'!$B$32)/1000+'Inputs'!$B$21+'Inputs'!$B$9+'Inputs'!$B$10))/SQRT((((644-43)*MAX('Inputs'!$B$33,'Inputs'!$B$29+'Inputs'!$B$31+'Inputs'!$B$32,'Inputs'!$B$30+'Inputs'!$B$31+'Inputs'!$B$32)/1000+'Inputs'!$B$21+'Inputs'!$B$9+'Inputs'!$B$10))^2+('Inputs'!$B$6/2)^2))))*'Results'!$B$8),"")</x:f>
        <x:v>2.0379346230484567</x:v>
      </x:c>
      <x:c r="N644" t="n">
        <x:f>IF(AND(ISNUMBER('Results'!C7),ISNUMBER('Results'!B7),ISNUMBER('Results'!$B$8),ISNUMBER('Inputs'!$B$6),ISNUMBER('Inputs'!$B$7),ISNUMBER('Inputs'!$B$8),ISNUMBER('Inputs'!$B$9),ISNUMBER('Inputs'!$B$10),ISNUMBER('Inputs'!$B$21),ISNUMBER('Inputs'!$B$24),ISNUMBER('Inputs'!$B$28)),((('Results'!C7*(1-'Inputs'!$B$24)*(0.5*((((644-43)*MAX('Inputs'!$B$33,'Inputs'!$B$29+'Inputs'!$B$31+'Inputs'!$B$32,'Inputs'!$B$30+'Inputs'!$B$31+'Inputs'!$B$32)/1000+'Inputs'!$B$21)+'Inputs'!$B$9)/SQRT((((644-43)*MAX('Inputs'!$B$33,'Inputs'!$B$29+'Inputs'!$B$31+'Inputs'!$B$32,'Inputs'!$B$30+'Inputs'!$B$31+'Inputs'!$B$32)/1000+'Inputs'!$B$21)+'Inputs'!$B$9)^2+('Inputs'!$B$8/2)^2)-(((644-43)*MAX('Inputs'!$B$33,'Inputs'!$B$29+'Inputs'!$B$31+'Inputs'!$B$32,'Inputs'!$B$30+'Inputs'!$B$31+'Inputs'!$B$32)/1000+'Inputs'!$B$21))/SQRT((((644-43)*MAX('Inputs'!$B$33,'Inputs'!$B$29+'Inputs'!$B$31+'Inputs'!$B$32,'Inputs'!$B$30+'Inputs'!$B$31+'Inputs'!$B$32)/1000+'Inputs'!$B$21))^2+('Inputs'!$B$8/2)^2)))-'Results'!B7*(1+'Inputs'!$B$24)*(0.5*((((644-43)*MAX('Inputs'!$B$33,'Inputs'!$B$29+'Inputs'!$B$31+'Inputs'!$B$32,'Inputs'!$B$30+'Inputs'!$B$31+'Inputs'!$B$32)/1000+'Inputs'!$B$21+'Inputs'!$B$9+'Inputs'!$B$10)+'Inputs'!$B$7)/SQRT((((644-43)*MAX('Inputs'!$B$33,'Inputs'!$B$29+'Inputs'!$B$31+'Inputs'!$B$32,'Inputs'!$B$30+'Inputs'!$B$31+'Inputs'!$B$32)/1000+'Inputs'!$B$21+'Inputs'!$B$9+'Inputs'!$B$10)+'Inputs'!$B$7)^2+('Inputs'!$B$6/2)^2)-(((644-43)*MAX('Inputs'!$B$33,'Inputs'!$B$29+'Inputs'!$B$31+'Inputs'!$B$32,'Inputs'!$B$30+'Inputs'!$B$31+'Inputs'!$B$32)/1000+'Inputs'!$B$21+'Inputs'!$B$9+'Inputs'!$B$10))/SQRT((((644-43)*MAX('Inputs'!$B$33,'Inputs'!$B$29+'Inputs'!$B$31+'Inputs'!$B$32,'Inputs'!$B$30+'Inputs'!$B$31+'Inputs'!$B$32)/1000+'Inputs'!$B$21+'Inputs'!$B$9+'Inputs'!$B$10))^2+('Inputs'!$B$6/2)^2))))*'Results'!$B$8)-'Inputs'!$B$28*ABS((('Results'!C7*(1-'Inputs'!$B$24)*(0.5*((((644-43)*MAX('Inputs'!$B$33,'Inputs'!$B$29+'Inputs'!$B$31+'Inputs'!$B$32,'Inputs'!$B$30+'Inputs'!$B$31+'Inputs'!$B$32)/1000+'Inputs'!$B$21)+'Inputs'!$B$9)/SQRT((((644-43)*MAX('Inputs'!$B$33,'Inputs'!$B$29+'Inputs'!$B$31+'Inputs'!$B$32,'Inputs'!$B$30+'Inputs'!$B$31+'Inputs'!$B$32)/1000+'Inputs'!$B$21)+'Inputs'!$B$9)^2+('Inputs'!$B$8/2)^2)-(((644-43)*MAX('Inputs'!$B$33,'Inputs'!$B$29+'Inputs'!$B$31+'Inputs'!$B$32,'Inputs'!$B$30+'Inputs'!$B$31+'Inputs'!$B$32)/1000+'Inputs'!$B$21))/SQRT((((644-43)*MAX('Inputs'!$B$33,'Inputs'!$B$29+'Inputs'!$B$31+'Inputs'!$B$32,'Inputs'!$B$30+'Inputs'!$B$31+'Inputs'!$B$32)/1000+'Inputs'!$B$21))^2+('Inputs'!$B$8/2)^2)))-'Results'!B7*(1+'Inputs'!$B$24)*(0.5*((((644-43)*MAX('Inputs'!$B$33,'Inputs'!$B$29+'Inputs'!$B$31+'Inputs'!$B$32,'Inputs'!$B$30+'Inputs'!$B$31+'Inputs'!$B$32)/1000+'Inputs'!$B$21+'Inputs'!$B$9+'Inputs'!$B$10)+'Inputs'!$B$7)/SQRT((((644-43)*MAX('Inputs'!$B$33,'Inputs'!$B$29+'Inputs'!$B$31+'Inputs'!$B$32,'Inputs'!$B$30+'Inputs'!$B$31+'Inputs'!$B$32)/1000+'Inputs'!$B$21+'Inputs'!$B$9+'Inputs'!$B$10)+'Inputs'!$B$7)^2+('Inputs'!$B$6/2)^2)-(((644-43)*MAX('Inputs'!$B$33,'Inputs'!$B$29+'Inputs'!$B$31+'Inputs'!$B$32,'Inputs'!$B$30+'Inputs'!$B$31+'Inputs'!$B$32)/1000+'Inputs'!$B$21+'Inputs'!$B$9+'Inputs'!$B$10))/SQRT((((644-43)*MAX('Inputs'!$B$33,'Inputs'!$B$29+'Inputs'!$B$31+'Inputs'!$B$32,'Inputs'!$B$30+'Inputs'!$B$31+'Inputs'!$B$32)/1000+'Inputs'!$B$21+'Inputs'!$B$9+'Inputs'!$B$10))^2+('Inputs'!$B$6/2)^2))))*'Results'!$B$8))),"")</x:f>
        <x:v>1.7722518186518397</x:v>
      </x:c>
      <x:c r="O644" t="n">
        <x:f>IF(AND(ISNUMBER('Results'!C7),ISNUMBER('Results'!B7),ISNUMBER('Results'!$B$8),ISNUMBER('Inputs'!$B$6),ISNUMBER('Inputs'!$B$7),ISNUMBER('Inputs'!$B$8),ISNUMBER('Inputs'!$B$9),ISNUMBER('Inputs'!$B$10),ISNUMBER('Inputs'!$B$21),ISNUMBER('Inputs'!$B$24),ISNUMBER('Inputs'!$B$28)),((('Results'!C7*(1+'Inputs'!$B$24)*(0.5*((((644-43)*MAX('Inputs'!$B$33,'Inputs'!$B$29+'Inputs'!$B$31+'Inputs'!$B$32,'Inputs'!$B$30+'Inputs'!$B$31+'Inputs'!$B$32)/1000+'Inputs'!$B$21)+'Inputs'!$B$9)/SQRT((((644-43)*MAX('Inputs'!$B$33,'Inputs'!$B$29+'Inputs'!$B$31+'Inputs'!$B$32,'Inputs'!$B$30+'Inputs'!$B$31+'Inputs'!$B$32)/1000+'Inputs'!$B$21)+'Inputs'!$B$9)^2+('Inputs'!$B$8/2)^2)-(((644-43)*MAX('Inputs'!$B$33,'Inputs'!$B$29+'Inputs'!$B$31+'Inputs'!$B$32,'Inputs'!$B$30+'Inputs'!$B$31+'Inputs'!$B$32)/1000+'Inputs'!$B$21))/SQRT((((644-43)*MAX('Inputs'!$B$33,'Inputs'!$B$29+'Inputs'!$B$31+'Inputs'!$B$32,'Inputs'!$B$30+'Inputs'!$B$31+'Inputs'!$B$32)/1000+'Inputs'!$B$21))^2+('Inputs'!$B$8/2)^2)))-'Results'!B7*(1-'Inputs'!$B$24)*(0.5*((((644-43)*MAX('Inputs'!$B$33,'Inputs'!$B$29+'Inputs'!$B$31+'Inputs'!$B$32,'Inputs'!$B$30+'Inputs'!$B$31+'Inputs'!$B$32)/1000+'Inputs'!$B$21+'Inputs'!$B$9+'Inputs'!$B$10)+'Inputs'!$B$7)/SQRT((((644-43)*MAX('Inputs'!$B$33,'Inputs'!$B$29+'Inputs'!$B$31+'Inputs'!$B$32,'Inputs'!$B$30+'Inputs'!$B$31+'Inputs'!$B$32)/1000+'Inputs'!$B$21+'Inputs'!$B$9+'Inputs'!$B$10)+'Inputs'!$B$7)^2+('Inputs'!$B$6/2)^2)-(((644-43)*MAX('Inputs'!$B$33,'Inputs'!$B$29+'Inputs'!$B$31+'Inputs'!$B$32,'Inputs'!$B$30+'Inputs'!$B$31+'Inputs'!$B$32)/1000+'Inputs'!$B$21+'Inputs'!$B$9+'Inputs'!$B$10))/SQRT((((644-43)*MAX('Inputs'!$B$33,'Inputs'!$B$29+'Inputs'!$B$31+'Inputs'!$B$32,'Inputs'!$B$30+'Inputs'!$B$31+'Inputs'!$B$32)/1000+'Inputs'!$B$21+'Inputs'!$B$9+'Inputs'!$B$10))^2+('Inputs'!$B$6/2)^2))))*'Results'!$B$8)+'Inputs'!$B$28*ABS((('Results'!C7*(1+'Inputs'!$B$24)*(0.5*((((644-43)*MAX('Inputs'!$B$33,'Inputs'!$B$29+'Inputs'!$B$31+'Inputs'!$B$32,'Inputs'!$B$30+'Inputs'!$B$31+'Inputs'!$B$32)/1000+'Inputs'!$B$21)+'Inputs'!$B$9)/SQRT((((644-43)*MAX('Inputs'!$B$33,'Inputs'!$B$29+'Inputs'!$B$31+'Inputs'!$B$32,'Inputs'!$B$30+'Inputs'!$B$31+'Inputs'!$B$32)/1000+'Inputs'!$B$21)+'Inputs'!$B$9)^2+('Inputs'!$B$8/2)^2)-(((644-43)*MAX('Inputs'!$B$33,'Inputs'!$B$29+'Inputs'!$B$31+'Inputs'!$B$32,'Inputs'!$B$30+'Inputs'!$B$31+'Inputs'!$B$32)/1000+'Inputs'!$B$21))/SQRT((((644-43)*MAX('Inputs'!$B$33,'Inputs'!$B$29+'Inputs'!$B$31+'Inputs'!$B$32,'Inputs'!$B$30+'Inputs'!$B$31+'Inputs'!$B$32)/1000+'Inputs'!$B$21))^2+('Inputs'!$B$8/2)^2)))-'Results'!B7*(1-'Inputs'!$B$24)*(0.5*((((644-43)*MAX('Inputs'!$B$33,'Inputs'!$B$29+'Inputs'!$B$31+'Inputs'!$B$32,'Inputs'!$B$30+'Inputs'!$B$31+'Inputs'!$B$32)/1000+'Inputs'!$B$21+'Inputs'!$B$9+'Inputs'!$B$10)+'Inputs'!$B$7)/SQRT((((644-43)*MAX('Inputs'!$B$33,'Inputs'!$B$29+'Inputs'!$B$31+'Inputs'!$B$32,'Inputs'!$B$30+'Inputs'!$B$31+'Inputs'!$B$32)/1000+'Inputs'!$B$21+'Inputs'!$B$9+'Inputs'!$B$10)+'Inputs'!$B$7)^2+('Inputs'!$B$6/2)^2)-(((644-43)*MAX('Inputs'!$B$33,'Inputs'!$B$29+'Inputs'!$B$31+'Inputs'!$B$32,'Inputs'!$B$30+'Inputs'!$B$31+'Inputs'!$B$32)/1000+'Inputs'!$B$21+'Inputs'!$B$9+'Inputs'!$B$10))/SQRT((((644-43)*MAX('Inputs'!$B$33,'Inputs'!$B$29+'Inputs'!$B$31+'Inputs'!$B$32,'Inputs'!$B$30+'Inputs'!$B$31+'Inputs'!$B$32)/1000+'Inputs'!$B$21+'Inputs'!$B$9+'Inputs'!$B$10))^2+('Inputs'!$B$6/2)^2))))*'Results'!$B$8))),"")</x:f>
        <x:v>2.3208580667339374</x:v>
      </x:c>
      <x:c r="P644" t="n">
        <x:f>IF(AND(MAX(J644,J643)&gt;0,J644&gt;J643+0.00000001),1,0)</x:f>
        <x:v>0</x:v>
      </x:c>
      <x:c r="Q644" t="n">
        <x:f>IF(AND(MAX(K644,K643)&gt;0,K644&gt;K643+0.00000001),1,0)</x:f>
        <x:v>0</x:v>
      </x:c>
      <x:c r="R644" t="n">
        <x:f>IF(AND(MAX(L644,L643)&gt;0,L644&gt;L643+0.00000001),1,0)</x:f>
        <x:v>0</x:v>
      </x:c>
      <x:c r="S644" t="n">
        <x:f>IF(AND(MAX(M644,M643)&gt;0,M644&gt;M643+0.00000001),1,0)</x:f>
        <x:v>0</x:v>
      </x:c>
      <x:c r="T644" t="n">
        <x:f>IF(AND(MAX(N644,N643)&gt;0,N644&gt;N643+0.00000001),1,0)</x:f>
        <x:v>0</x:v>
      </x:c>
      <x:c r="U644" t="n">
        <x:f>IF(AND(MAX(O644,O643)&gt;0,O644&gt;O643+0.00000001),1,0)</x:f>
        <x:v>0</x:v>
      </x:c>
    </x:row>
    <x:row r="645">
      <x:c r="J645" t="n">
        <x:f>IF(AND(ISNUMBER('Results'!B7),ISNUMBER('Results'!C7),ISNUMBER('Results'!$B$8),ISNUMBER('Inputs'!$B$6),ISNUMBER('Inputs'!$B$7),ISNUMBER('Inputs'!$B$8),ISNUMBER('Inputs'!$B$9),ISNUMBER('Inputs'!$B$10),ISNUMBER('Inputs'!$B$21),ISNUMBER('Inputs'!$B$24),ISNUMBER('Inputs'!$B$28)),(('Results'!B7*(0.5*((((645-43)*MAX('Inputs'!$B$33,'Inputs'!$B$29+'Inputs'!$B$31+'Inputs'!$B$32,'Inputs'!$B$30+'Inputs'!$B$31+'Inputs'!$B$32)/1000+'Inputs'!$B$21)+'Inputs'!$B$7)/SQRT((((645-43)*MAX('Inputs'!$B$33,'Inputs'!$B$29+'Inputs'!$B$31+'Inputs'!$B$32,'Inputs'!$B$30+'Inputs'!$B$31+'Inputs'!$B$32)/1000+'Inputs'!$B$21)+'Inputs'!$B$7)^2+('Inputs'!$B$6/2)^2)-(((645-43)*MAX('Inputs'!$B$33,'Inputs'!$B$29+'Inputs'!$B$31+'Inputs'!$B$32,'Inputs'!$B$30+'Inputs'!$B$31+'Inputs'!$B$32)/1000+'Inputs'!$B$21))/SQRT((((645-43)*MAX('Inputs'!$B$33,'Inputs'!$B$29+'Inputs'!$B$31+'Inputs'!$B$32,'Inputs'!$B$30+'Inputs'!$B$31+'Inputs'!$B$32)/1000+'Inputs'!$B$21))^2+('Inputs'!$B$6/2)^2)))-'Results'!C7*(0.5*((((645-43)*MAX('Inputs'!$B$33,'Inputs'!$B$29+'Inputs'!$B$31+'Inputs'!$B$32,'Inputs'!$B$30+'Inputs'!$B$31+'Inputs'!$B$32)/1000+'Inputs'!$B$21+'Inputs'!$B$7+'Inputs'!$B$10)+'Inputs'!$B$9)/SQRT((((645-43)*MAX('Inputs'!$B$33,'Inputs'!$B$29+'Inputs'!$B$31+'Inputs'!$B$32,'Inputs'!$B$30+'Inputs'!$B$31+'Inputs'!$B$32)/1000+'Inputs'!$B$21+'Inputs'!$B$7+'Inputs'!$B$10)+'Inputs'!$B$9)^2+('Inputs'!$B$8/2)^2)-(((645-43)*MAX('Inputs'!$B$33,'Inputs'!$B$29+'Inputs'!$B$31+'Inputs'!$B$32,'Inputs'!$B$30+'Inputs'!$B$31+'Inputs'!$B$32)/1000+'Inputs'!$B$21+'Inputs'!$B$7+'Inputs'!$B$10))/SQRT((((645-43)*MAX('Inputs'!$B$33,'Inputs'!$B$29+'Inputs'!$B$31+'Inputs'!$B$32,'Inputs'!$B$30+'Inputs'!$B$31+'Inputs'!$B$32)/1000+'Inputs'!$B$21+'Inputs'!$B$7+'Inputs'!$B$10))^2+('Inputs'!$B$8/2)^2))))*'Results'!$B$8),"")</x:f>
        <x:v>2.1996916311282977</x:v>
      </x:c>
      <x:c r="K645" t="n">
        <x:f>IF(AND(ISNUMBER('Results'!B7),ISNUMBER('Results'!C7),ISNUMBER('Results'!$B$8),ISNUMBER('Inputs'!$B$6),ISNUMBER('Inputs'!$B$7),ISNUMBER('Inputs'!$B$8),ISNUMBER('Inputs'!$B$9),ISNUMBER('Inputs'!$B$10),ISNUMBER('Inputs'!$B$21),ISNUMBER('Inputs'!$B$24),ISNUMBER('Inputs'!$B$28)),((('Results'!B7*(1-'Inputs'!$B$24)*(0.5*((((645-43)*MAX('Inputs'!$B$33,'Inputs'!$B$29+'Inputs'!$B$31+'Inputs'!$B$32,'Inputs'!$B$30+'Inputs'!$B$31+'Inputs'!$B$32)/1000+'Inputs'!$B$21)+'Inputs'!$B$7)/SQRT((((645-43)*MAX('Inputs'!$B$33,'Inputs'!$B$29+'Inputs'!$B$31+'Inputs'!$B$32,'Inputs'!$B$30+'Inputs'!$B$31+'Inputs'!$B$32)/1000+'Inputs'!$B$21)+'Inputs'!$B$7)^2+('Inputs'!$B$6/2)^2)-(((645-43)*MAX('Inputs'!$B$33,'Inputs'!$B$29+'Inputs'!$B$31+'Inputs'!$B$32,'Inputs'!$B$30+'Inputs'!$B$31+'Inputs'!$B$32)/1000+'Inputs'!$B$21))/SQRT((((645-43)*MAX('Inputs'!$B$33,'Inputs'!$B$29+'Inputs'!$B$31+'Inputs'!$B$32,'Inputs'!$B$30+'Inputs'!$B$31+'Inputs'!$B$32)/1000+'Inputs'!$B$21))^2+('Inputs'!$B$6/2)^2)))-'Results'!C7*(1+'Inputs'!$B$24)*(0.5*((((645-43)*MAX('Inputs'!$B$33,'Inputs'!$B$29+'Inputs'!$B$31+'Inputs'!$B$32,'Inputs'!$B$30+'Inputs'!$B$31+'Inputs'!$B$32)/1000+'Inputs'!$B$21+'Inputs'!$B$7+'Inputs'!$B$10)+'Inputs'!$B$9)/SQRT((((645-43)*MAX('Inputs'!$B$33,'Inputs'!$B$29+'Inputs'!$B$31+'Inputs'!$B$32,'Inputs'!$B$30+'Inputs'!$B$31+'Inputs'!$B$32)/1000+'Inputs'!$B$21+'Inputs'!$B$7+'Inputs'!$B$10)+'Inputs'!$B$9)^2+('Inputs'!$B$8/2)^2)-(((645-43)*MAX('Inputs'!$B$33,'Inputs'!$B$29+'Inputs'!$B$31+'Inputs'!$B$32,'Inputs'!$B$30+'Inputs'!$B$31+'Inputs'!$B$32)/1000+'Inputs'!$B$21+'Inputs'!$B$7+'Inputs'!$B$10))/SQRT((((645-43)*MAX('Inputs'!$B$33,'Inputs'!$B$29+'Inputs'!$B$31+'Inputs'!$B$32,'Inputs'!$B$30+'Inputs'!$B$31+'Inputs'!$B$32)/1000+'Inputs'!$B$21+'Inputs'!$B$7+'Inputs'!$B$10))^2+('Inputs'!$B$8/2)^2))))*'Results'!$B$8)-'Inputs'!$B$28*ABS((('Results'!B7*(1-'Inputs'!$B$24)*(0.5*((((645-43)*MAX('Inputs'!$B$33,'Inputs'!$B$29+'Inputs'!$B$31+'Inputs'!$B$32,'Inputs'!$B$30+'Inputs'!$B$31+'Inputs'!$B$32)/1000+'Inputs'!$B$21)+'Inputs'!$B$7)/SQRT((((645-43)*MAX('Inputs'!$B$33,'Inputs'!$B$29+'Inputs'!$B$31+'Inputs'!$B$32,'Inputs'!$B$30+'Inputs'!$B$31+'Inputs'!$B$32)/1000+'Inputs'!$B$21)+'Inputs'!$B$7)^2+('Inputs'!$B$6/2)^2)-(((645-43)*MAX('Inputs'!$B$33,'Inputs'!$B$29+'Inputs'!$B$31+'Inputs'!$B$32,'Inputs'!$B$30+'Inputs'!$B$31+'Inputs'!$B$32)/1000+'Inputs'!$B$21))/SQRT((((645-43)*MAX('Inputs'!$B$33,'Inputs'!$B$29+'Inputs'!$B$31+'Inputs'!$B$32,'Inputs'!$B$30+'Inputs'!$B$31+'Inputs'!$B$32)/1000+'Inputs'!$B$21))^2+('Inputs'!$B$6/2)^2)))-'Results'!C7*(1+'Inputs'!$B$24)*(0.5*((((645-43)*MAX('Inputs'!$B$33,'Inputs'!$B$29+'Inputs'!$B$31+'Inputs'!$B$32,'Inputs'!$B$30+'Inputs'!$B$31+'Inputs'!$B$32)/1000+'Inputs'!$B$21+'Inputs'!$B$7+'Inputs'!$B$10)+'Inputs'!$B$9)/SQRT((((645-43)*MAX('Inputs'!$B$33,'Inputs'!$B$29+'Inputs'!$B$31+'Inputs'!$B$32,'Inputs'!$B$30+'Inputs'!$B$31+'Inputs'!$B$32)/1000+'Inputs'!$B$21+'Inputs'!$B$7+'Inputs'!$B$10)+'Inputs'!$B$9)^2+('Inputs'!$B$8/2)^2)-(((645-43)*MAX('Inputs'!$B$33,'Inputs'!$B$29+'Inputs'!$B$31+'Inputs'!$B$32,'Inputs'!$B$30+'Inputs'!$B$31+'Inputs'!$B$32)/1000+'Inputs'!$B$21+'Inputs'!$B$7+'Inputs'!$B$10))/SQRT((((645-43)*MAX('Inputs'!$B$33,'Inputs'!$B$29+'Inputs'!$B$31+'Inputs'!$B$32,'Inputs'!$B$30+'Inputs'!$B$31+'Inputs'!$B$32)/1000+'Inputs'!$B$21+'Inputs'!$B$7+'Inputs'!$B$10))^2+('Inputs'!$B$8/2)^2))))*'Results'!$B$8))),"")</x:f>
        <x:v>1.9258421813411863</x:v>
      </x:c>
      <x:c r="L645" t="n">
        <x:f>IF(AND(ISNUMBER('Results'!B7),ISNUMBER('Results'!C7),ISNUMBER('Results'!$B$8),ISNUMBER('Inputs'!$B$6),ISNUMBER('Inputs'!$B$7),ISNUMBER('Inputs'!$B$8),ISNUMBER('Inputs'!$B$9),ISNUMBER('Inputs'!$B$10),ISNUMBER('Inputs'!$B$21),ISNUMBER('Inputs'!$B$24),ISNUMBER('Inputs'!$B$28)),((('Results'!B7*(1+'Inputs'!$B$24)*(0.5*((((645-43)*MAX('Inputs'!$B$33,'Inputs'!$B$29+'Inputs'!$B$31+'Inputs'!$B$32,'Inputs'!$B$30+'Inputs'!$B$31+'Inputs'!$B$32)/1000+'Inputs'!$B$21)+'Inputs'!$B$7)/SQRT((((645-43)*MAX('Inputs'!$B$33,'Inputs'!$B$29+'Inputs'!$B$31+'Inputs'!$B$32,'Inputs'!$B$30+'Inputs'!$B$31+'Inputs'!$B$32)/1000+'Inputs'!$B$21)+'Inputs'!$B$7)^2+('Inputs'!$B$6/2)^2)-(((645-43)*MAX('Inputs'!$B$33,'Inputs'!$B$29+'Inputs'!$B$31+'Inputs'!$B$32,'Inputs'!$B$30+'Inputs'!$B$31+'Inputs'!$B$32)/1000+'Inputs'!$B$21))/SQRT((((645-43)*MAX('Inputs'!$B$33,'Inputs'!$B$29+'Inputs'!$B$31+'Inputs'!$B$32,'Inputs'!$B$30+'Inputs'!$B$31+'Inputs'!$B$32)/1000+'Inputs'!$B$21))^2+('Inputs'!$B$6/2)^2)))-'Results'!C7*(1-'Inputs'!$B$24)*(0.5*((((645-43)*MAX('Inputs'!$B$33,'Inputs'!$B$29+'Inputs'!$B$31+'Inputs'!$B$32,'Inputs'!$B$30+'Inputs'!$B$31+'Inputs'!$B$32)/1000+'Inputs'!$B$21+'Inputs'!$B$7+'Inputs'!$B$10)+'Inputs'!$B$9)/SQRT((((645-43)*MAX('Inputs'!$B$33,'Inputs'!$B$29+'Inputs'!$B$31+'Inputs'!$B$32,'Inputs'!$B$30+'Inputs'!$B$31+'Inputs'!$B$32)/1000+'Inputs'!$B$21+'Inputs'!$B$7+'Inputs'!$B$10)+'Inputs'!$B$9)^2+('Inputs'!$B$8/2)^2)-(((645-43)*MAX('Inputs'!$B$33,'Inputs'!$B$29+'Inputs'!$B$31+'Inputs'!$B$32,'Inputs'!$B$30+'Inputs'!$B$31+'Inputs'!$B$32)/1000+'Inputs'!$B$21+'Inputs'!$B$7+'Inputs'!$B$10))/SQRT((((645-43)*MAX('Inputs'!$B$33,'Inputs'!$B$29+'Inputs'!$B$31+'Inputs'!$B$32,'Inputs'!$B$30+'Inputs'!$B$31+'Inputs'!$B$32)/1000+'Inputs'!$B$21+'Inputs'!$B$7+'Inputs'!$B$10))^2+('Inputs'!$B$8/2)^2))))*'Results'!$B$8)+'Inputs'!$B$28*ABS((('Results'!B7*(1+'Inputs'!$B$24)*(0.5*((((645-43)*MAX('Inputs'!$B$33,'Inputs'!$B$29+'Inputs'!$B$31+'Inputs'!$B$32,'Inputs'!$B$30+'Inputs'!$B$31+'Inputs'!$B$32)/1000+'Inputs'!$B$21)+'Inputs'!$B$7)/SQRT((((645-43)*MAX('Inputs'!$B$33,'Inputs'!$B$29+'Inputs'!$B$31+'Inputs'!$B$32,'Inputs'!$B$30+'Inputs'!$B$31+'Inputs'!$B$32)/1000+'Inputs'!$B$21)+'Inputs'!$B$7)^2+('Inputs'!$B$6/2)^2)-(((645-43)*MAX('Inputs'!$B$33,'Inputs'!$B$29+'Inputs'!$B$31+'Inputs'!$B$32,'Inputs'!$B$30+'Inputs'!$B$31+'Inputs'!$B$32)/1000+'Inputs'!$B$21))/SQRT((((645-43)*MAX('Inputs'!$B$33,'Inputs'!$B$29+'Inputs'!$B$31+'Inputs'!$B$32,'Inputs'!$B$30+'Inputs'!$B$31+'Inputs'!$B$32)/1000+'Inputs'!$B$21))^2+('Inputs'!$B$6/2)^2)))-'Results'!C7*(1-'Inputs'!$B$24)*(0.5*((((645-43)*MAX('Inputs'!$B$33,'Inputs'!$B$29+'Inputs'!$B$31+'Inputs'!$B$32,'Inputs'!$B$30+'Inputs'!$B$31+'Inputs'!$B$32)/1000+'Inputs'!$B$21+'Inputs'!$B$7+'Inputs'!$B$10)+'Inputs'!$B$9)/SQRT((((645-43)*MAX('Inputs'!$B$33,'Inputs'!$B$29+'Inputs'!$B$31+'Inputs'!$B$32,'Inputs'!$B$30+'Inputs'!$B$31+'Inputs'!$B$32)/1000+'Inputs'!$B$21+'Inputs'!$B$7+'Inputs'!$B$10)+'Inputs'!$B$9)^2+('Inputs'!$B$8/2)^2)-(((645-43)*MAX('Inputs'!$B$33,'Inputs'!$B$29+'Inputs'!$B$31+'Inputs'!$B$32,'Inputs'!$B$30+'Inputs'!$B$31+'Inputs'!$B$32)/1000+'Inputs'!$B$21+'Inputs'!$B$7+'Inputs'!$B$10))/SQRT((((645-43)*MAX('Inputs'!$B$33,'Inputs'!$B$29+'Inputs'!$B$31+'Inputs'!$B$32,'Inputs'!$B$30+'Inputs'!$B$31+'Inputs'!$B$32)/1000+'Inputs'!$B$21+'Inputs'!$B$7+'Inputs'!$B$10))^2+('Inputs'!$B$8/2)^2))))*'Results'!$B$8))),"")</x:f>
        <x:v>2.4907900144133768</x:v>
      </x:c>
      <x:c r="M645" t="n">
        <x:f>IF(AND(ISNUMBER('Results'!C7),ISNUMBER('Results'!B7),ISNUMBER('Results'!$B$8),ISNUMBER('Inputs'!$B$6),ISNUMBER('Inputs'!$B$7),ISNUMBER('Inputs'!$B$8),ISNUMBER('Inputs'!$B$9),ISNUMBER('Inputs'!$B$10),ISNUMBER('Inputs'!$B$21),ISNUMBER('Inputs'!$B$24),ISNUMBER('Inputs'!$B$28)),(('Results'!C7*(0.5*((((645-43)*MAX('Inputs'!$B$33,'Inputs'!$B$29+'Inputs'!$B$31+'Inputs'!$B$32,'Inputs'!$B$30+'Inputs'!$B$31+'Inputs'!$B$32)/1000+'Inputs'!$B$21)+'Inputs'!$B$9)/SQRT((((645-43)*MAX('Inputs'!$B$33,'Inputs'!$B$29+'Inputs'!$B$31+'Inputs'!$B$32,'Inputs'!$B$30+'Inputs'!$B$31+'Inputs'!$B$32)/1000+'Inputs'!$B$21)+'Inputs'!$B$9)^2+('Inputs'!$B$8/2)^2)-(((645-43)*MAX('Inputs'!$B$33,'Inputs'!$B$29+'Inputs'!$B$31+'Inputs'!$B$32,'Inputs'!$B$30+'Inputs'!$B$31+'Inputs'!$B$32)/1000+'Inputs'!$B$21))/SQRT((((645-43)*MAX('Inputs'!$B$33,'Inputs'!$B$29+'Inputs'!$B$31+'Inputs'!$B$32,'Inputs'!$B$30+'Inputs'!$B$31+'Inputs'!$B$32)/1000+'Inputs'!$B$21))^2+('Inputs'!$B$8/2)^2)))-'Results'!B7*(0.5*((((645-43)*MAX('Inputs'!$B$33,'Inputs'!$B$29+'Inputs'!$B$31+'Inputs'!$B$32,'Inputs'!$B$30+'Inputs'!$B$31+'Inputs'!$B$32)/1000+'Inputs'!$B$21+'Inputs'!$B$9+'Inputs'!$B$10)+'Inputs'!$B$7)/SQRT((((645-43)*MAX('Inputs'!$B$33,'Inputs'!$B$29+'Inputs'!$B$31+'Inputs'!$B$32,'Inputs'!$B$30+'Inputs'!$B$31+'Inputs'!$B$32)/1000+'Inputs'!$B$21+'Inputs'!$B$9+'Inputs'!$B$10)+'Inputs'!$B$7)^2+('Inputs'!$B$6/2)^2)-(((645-43)*MAX('Inputs'!$B$33,'Inputs'!$B$29+'Inputs'!$B$31+'Inputs'!$B$32,'Inputs'!$B$30+'Inputs'!$B$31+'Inputs'!$B$32)/1000+'Inputs'!$B$21+'Inputs'!$B$9+'Inputs'!$B$10))/SQRT((((645-43)*MAX('Inputs'!$B$33,'Inputs'!$B$29+'Inputs'!$B$31+'Inputs'!$B$32,'Inputs'!$B$30+'Inputs'!$B$31+'Inputs'!$B$32)/1000+'Inputs'!$B$21+'Inputs'!$B$9+'Inputs'!$B$10))^2+('Inputs'!$B$6/2)^2))))*'Results'!$B$8),"")</x:f>
        <x:v>2.0258911175531367</x:v>
      </x:c>
      <x:c r="N645" t="n">
        <x:f>IF(AND(ISNUMBER('Results'!C7),ISNUMBER('Results'!B7),ISNUMBER('Results'!$B$8),ISNUMBER('Inputs'!$B$6),ISNUMBER('Inputs'!$B$7),ISNUMBER('Inputs'!$B$8),ISNUMBER('Inputs'!$B$9),ISNUMBER('Inputs'!$B$10),ISNUMBER('Inputs'!$B$21),ISNUMBER('Inputs'!$B$24),ISNUMBER('Inputs'!$B$28)),((('Results'!C7*(1-'Inputs'!$B$24)*(0.5*((((645-43)*MAX('Inputs'!$B$33,'Inputs'!$B$29+'Inputs'!$B$31+'Inputs'!$B$32,'Inputs'!$B$30+'Inputs'!$B$31+'Inputs'!$B$32)/1000+'Inputs'!$B$21)+'Inputs'!$B$9)/SQRT((((645-43)*MAX('Inputs'!$B$33,'Inputs'!$B$29+'Inputs'!$B$31+'Inputs'!$B$32,'Inputs'!$B$30+'Inputs'!$B$31+'Inputs'!$B$32)/1000+'Inputs'!$B$21)+'Inputs'!$B$9)^2+('Inputs'!$B$8/2)^2)-(((645-43)*MAX('Inputs'!$B$33,'Inputs'!$B$29+'Inputs'!$B$31+'Inputs'!$B$32,'Inputs'!$B$30+'Inputs'!$B$31+'Inputs'!$B$32)/1000+'Inputs'!$B$21))/SQRT((((645-43)*MAX('Inputs'!$B$33,'Inputs'!$B$29+'Inputs'!$B$31+'Inputs'!$B$32,'Inputs'!$B$30+'Inputs'!$B$31+'Inputs'!$B$32)/1000+'Inputs'!$B$21))^2+('Inputs'!$B$8/2)^2)))-'Results'!B7*(1+'Inputs'!$B$24)*(0.5*((((645-43)*MAX('Inputs'!$B$33,'Inputs'!$B$29+'Inputs'!$B$31+'Inputs'!$B$32,'Inputs'!$B$30+'Inputs'!$B$31+'Inputs'!$B$32)/1000+'Inputs'!$B$21+'Inputs'!$B$9+'Inputs'!$B$10)+'Inputs'!$B$7)/SQRT((((645-43)*MAX('Inputs'!$B$33,'Inputs'!$B$29+'Inputs'!$B$31+'Inputs'!$B$32,'Inputs'!$B$30+'Inputs'!$B$31+'Inputs'!$B$32)/1000+'Inputs'!$B$21+'Inputs'!$B$9+'Inputs'!$B$10)+'Inputs'!$B$7)^2+('Inputs'!$B$6/2)^2)-(((645-43)*MAX('Inputs'!$B$33,'Inputs'!$B$29+'Inputs'!$B$31+'Inputs'!$B$32,'Inputs'!$B$30+'Inputs'!$B$31+'Inputs'!$B$32)/1000+'Inputs'!$B$21+'Inputs'!$B$9+'Inputs'!$B$10))/SQRT((((645-43)*MAX('Inputs'!$B$33,'Inputs'!$B$29+'Inputs'!$B$31+'Inputs'!$B$32,'Inputs'!$B$30+'Inputs'!$B$31+'Inputs'!$B$32)/1000+'Inputs'!$B$21+'Inputs'!$B$9+'Inputs'!$B$10))^2+('Inputs'!$B$6/2)^2))))*'Results'!$B$8)-'Inputs'!$B$28*ABS((('Results'!C7*(1-'Inputs'!$B$24)*(0.5*((((645-43)*MAX('Inputs'!$B$33,'Inputs'!$B$29+'Inputs'!$B$31+'Inputs'!$B$32,'Inputs'!$B$30+'Inputs'!$B$31+'Inputs'!$B$32)/1000+'Inputs'!$B$21)+'Inputs'!$B$9)/SQRT((((645-43)*MAX('Inputs'!$B$33,'Inputs'!$B$29+'Inputs'!$B$31+'Inputs'!$B$32,'Inputs'!$B$30+'Inputs'!$B$31+'Inputs'!$B$32)/1000+'Inputs'!$B$21)+'Inputs'!$B$9)^2+('Inputs'!$B$8/2)^2)-(((645-43)*MAX('Inputs'!$B$33,'Inputs'!$B$29+'Inputs'!$B$31+'Inputs'!$B$32,'Inputs'!$B$30+'Inputs'!$B$31+'Inputs'!$B$32)/1000+'Inputs'!$B$21))/SQRT((((645-43)*MAX('Inputs'!$B$33,'Inputs'!$B$29+'Inputs'!$B$31+'Inputs'!$B$32,'Inputs'!$B$30+'Inputs'!$B$31+'Inputs'!$B$32)/1000+'Inputs'!$B$21))^2+('Inputs'!$B$8/2)^2)))-'Results'!B7*(1+'Inputs'!$B$24)*(0.5*((((645-43)*MAX('Inputs'!$B$33,'Inputs'!$B$29+'Inputs'!$B$31+'Inputs'!$B$32,'Inputs'!$B$30+'Inputs'!$B$31+'Inputs'!$B$32)/1000+'Inputs'!$B$21+'Inputs'!$B$9+'Inputs'!$B$10)+'Inputs'!$B$7)/SQRT((((645-43)*MAX('Inputs'!$B$33,'Inputs'!$B$29+'Inputs'!$B$31+'Inputs'!$B$32,'Inputs'!$B$30+'Inputs'!$B$31+'Inputs'!$B$32)/1000+'Inputs'!$B$21+'Inputs'!$B$9+'Inputs'!$B$10)+'Inputs'!$B$7)^2+('Inputs'!$B$6/2)^2)-(((645-43)*MAX('Inputs'!$B$33,'Inputs'!$B$29+'Inputs'!$B$31+'Inputs'!$B$32,'Inputs'!$B$30+'Inputs'!$B$31+'Inputs'!$B$32)/1000+'Inputs'!$B$21+'Inputs'!$B$9+'Inputs'!$B$10))/SQRT((((645-43)*MAX('Inputs'!$B$33,'Inputs'!$B$29+'Inputs'!$B$31+'Inputs'!$B$32,'Inputs'!$B$30+'Inputs'!$B$31+'Inputs'!$B$32)/1000+'Inputs'!$B$21+'Inputs'!$B$9+'Inputs'!$B$10))^2+('Inputs'!$B$6/2)^2))))*'Results'!$B$8))),"")</x:f>
        <x:v>1.7615426638712977</x:v>
      </x:c>
      <x:c r="O645" t="n">
        <x:f>IF(AND(ISNUMBER('Results'!C7),ISNUMBER('Results'!B7),ISNUMBER('Results'!$B$8),ISNUMBER('Inputs'!$B$6),ISNUMBER('Inputs'!$B$7),ISNUMBER('Inputs'!$B$8),ISNUMBER('Inputs'!$B$9),ISNUMBER('Inputs'!$B$10),ISNUMBER('Inputs'!$B$21),ISNUMBER('Inputs'!$B$24),ISNUMBER('Inputs'!$B$28)),((('Results'!C7*(1+'Inputs'!$B$24)*(0.5*((((645-43)*MAX('Inputs'!$B$33,'Inputs'!$B$29+'Inputs'!$B$31+'Inputs'!$B$32,'Inputs'!$B$30+'Inputs'!$B$31+'Inputs'!$B$32)/1000+'Inputs'!$B$21)+'Inputs'!$B$9)/SQRT((((645-43)*MAX('Inputs'!$B$33,'Inputs'!$B$29+'Inputs'!$B$31+'Inputs'!$B$32,'Inputs'!$B$30+'Inputs'!$B$31+'Inputs'!$B$32)/1000+'Inputs'!$B$21)+'Inputs'!$B$9)^2+('Inputs'!$B$8/2)^2)-(((645-43)*MAX('Inputs'!$B$33,'Inputs'!$B$29+'Inputs'!$B$31+'Inputs'!$B$32,'Inputs'!$B$30+'Inputs'!$B$31+'Inputs'!$B$32)/1000+'Inputs'!$B$21))/SQRT((((645-43)*MAX('Inputs'!$B$33,'Inputs'!$B$29+'Inputs'!$B$31+'Inputs'!$B$32,'Inputs'!$B$30+'Inputs'!$B$31+'Inputs'!$B$32)/1000+'Inputs'!$B$21))^2+('Inputs'!$B$8/2)^2)))-'Results'!B7*(1-'Inputs'!$B$24)*(0.5*((((645-43)*MAX('Inputs'!$B$33,'Inputs'!$B$29+'Inputs'!$B$31+'Inputs'!$B$32,'Inputs'!$B$30+'Inputs'!$B$31+'Inputs'!$B$32)/1000+'Inputs'!$B$21+'Inputs'!$B$9+'Inputs'!$B$10)+'Inputs'!$B$7)/SQRT((((645-43)*MAX('Inputs'!$B$33,'Inputs'!$B$29+'Inputs'!$B$31+'Inputs'!$B$32,'Inputs'!$B$30+'Inputs'!$B$31+'Inputs'!$B$32)/1000+'Inputs'!$B$21+'Inputs'!$B$9+'Inputs'!$B$10)+'Inputs'!$B$7)^2+('Inputs'!$B$6/2)^2)-(((645-43)*MAX('Inputs'!$B$33,'Inputs'!$B$29+'Inputs'!$B$31+'Inputs'!$B$32,'Inputs'!$B$30+'Inputs'!$B$31+'Inputs'!$B$32)/1000+'Inputs'!$B$21+'Inputs'!$B$9+'Inputs'!$B$10))/SQRT((((645-43)*MAX('Inputs'!$B$33,'Inputs'!$B$29+'Inputs'!$B$31+'Inputs'!$B$32,'Inputs'!$B$30+'Inputs'!$B$31+'Inputs'!$B$32)/1000+'Inputs'!$B$21+'Inputs'!$B$9+'Inputs'!$B$10))^2+('Inputs'!$B$6/2)^2))))*'Results'!$B$8)+'Inputs'!$B$28*ABS((('Results'!C7*(1+'Inputs'!$B$24)*(0.5*((((645-43)*MAX('Inputs'!$B$33,'Inputs'!$B$29+'Inputs'!$B$31+'Inputs'!$B$32,'Inputs'!$B$30+'Inputs'!$B$31+'Inputs'!$B$32)/1000+'Inputs'!$B$21)+'Inputs'!$B$9)/SQRT((((645-43)*MAX('Inputs'!$B$33,'Inputs'!$B$29+'Inputs'!$B$31+'Inputs'!$B$32,'Inputs'!$B$30+'Inputs'!$B$31+'Inputs'!$B$32)/1000+'Inputs'!$B$21)+'Inputs'!$B$9)^2+('Inputs'!$B$8/2)^2)-(((645-43)*MAX('Inputs'!$B$33,'Inputs'!$B$29+'Inputs'!$B$31+'Inputs'!$B$32,'Inputs'!$B$30+'Inputs'!$B$31+'Inputs'!$B$32)/1000+'Inputs'!$B$21))/SQRT((((645-43)*MAX('Inputs'!$B$33,'Inputs'!$B$29+'Inputs'!$B$31+'Inputs'!$B$32,'Inputs'!$B$30+'Inputs'!$B$31+'Inputs'!$B$32)/1000+'Inputs'!$B$21))^2+('Inputs'!$B$8/2)^2)))-'Results'!B7*(1-'Inputs'!$B$24)*(0.5*((((645-43)*MAX('Inputs'!$B$33,'Inputs'!$B$29+'Inputs'!$B$31+'Inputs'!$B$32,'Inputs'!$B$30+'Inputs'!$B$31+'Inputs'!$B$32)/1000+'Inputs'!$B$21+'Inputs'!$B$9+'Inputs'!$B$10)+'Inputs'!$B$7)/SQRT((((645-43)*MAX('Inputs'!$B$33,'Inputs'!$B$29+'Inputs'!$B$31+'Inputs'!$B$32,'Inputs'!$B$30+'Inputs'!$B$31+'Inputs'!$B$32)/1000+'Inputs'!$B$21+'Inputs'!$B$9+'Inputs'!$B$10)+'Inputs'!$B$7)^2+('Inputs'!$B$6/2)^2)-(((645-43)*MAX('Inputs'!$B$33,'Inputs'!$B$29+'Inputs'!$B$31+'Inputs'!$B$32,'Inputs'!$B$30+'Inputs'!$B$31+'Inputs'!$B$32)/1000+'Inputs'!$B$21+'Inputs'!$B$9+'Inputs'!$B$10))/SQRT((((645-43)*MAX('Inputs'!$B$33,'Inputs'!$B$29+'Inputs'!$B$31+'Inputs'!$B$32,'Inputs'!$B$30+'Inputs'!$B$31+'Inputs'!$B$32)/1000+'Inputs'!$B$21+'Inputs'!$B$9+'Inputs'!$B$10))^2+('Inputs'!$B$6/2)^2))))*'Results'!$B$8))),"")</x:f>
        <x:v>2.3074031394248897</x:v>
      </x:c>
      <x:c r="P645" t="n">
        <x:f>IF(AND(MAX(J645,J644)&gt;0,J645&gt;J644+0.00000001),1,0)</x:f>
        <x:v>0</x:v>
      </x:c>
      <x:c r="Q645" t="n">
        <x:f>IF(AND(MAX(K645,K644)&gt;0,K645&gt;K644+0.00000001),1,0)</x:f>
        <x:v>0</x:v>
      </x:c>
      <x:c r="R645" t="n">
        <x:f>IF(AND(MAX(L645,L644)&gt;0,L645&gt;L644+0.00000001),1,0)</x:f>
        <x:v>0</x:v>
      </x:c>
      <x:c r="S645" t="n">
        <x:f>IF(AND(MAX(M645,M644)&gt;0,M645&gt;M644+0.00000001),1,0)</x:f>
        <x:v>0</x:v>
      </x:c>
      <x:c r="T645" t="n">
        <x:f>IF(AND(MAX(N645,N644)&gt;0,N645&gt;N644+0.00000001),1,0)</x:f>
        <x:v>0</x:v>
      </x:c>
      <x:c r="U645" t="n">
        <x:f>IF(AND(MAX(O645,O644)&gt;0,O645&gt;O644+0.00000001),1,0)</x:f>
        <x:v>0</x:v>
      </x:c>
    </x:row>
    <x:row r="646">
      <x:c r="J646" t="n">
        <x:f>IF(AND(ISNUMBER('Results'!B7),ISNUMBER('Results'!C7),ISNUMBER('Results'!$B$8),ISNUMBER('Inputs'!$B$6),ISNUMBER('Inputs'!$B$7),ISNUMBER('Inputs'!$B$8),ISNUMBER('Inputs'!$B$9),ISNUMBER('Inputs'!$B$10),ISNUMBER('Inputs'!$B$21),ISNUMBER('Inputs'!$B$24),ISNUMBER('Inputs'!$B$28)),(('Results'!B7*(0.5*((((646-43)*MAX('Inputs'!$B$33,'Inputs'!$B$29+'Inputs'!$B$31+'Inputs'!$B$32,'Inputs'!$B$30+'Inputs'!$B$31+'Inputs'!$B$32)/1000+'Inputs'!$B$21)+'Inputs'!$B$7)/SQRT((((646-43)*MAX('Inputs'!$B$33,'Inputs'!$B$29+'Inputs'!$B$31+'Inputs'!$B$32,'Inputs'!$B$30+'Inputs'!$B$31+'Inputs'!$B$32)/1000+'Inputs'!$B$21)+'Inputs'!$B$7)^2+('Inputs'!$B$6/2)^2)-(((646-43)*MAX('Inputs'!$B$33,'Inputs'!$B$29+'Inputs'!$B$31+'Inputs'!$B$32,'Inputs'!$B$30+'Inputs'!$B$31+'Inputs'!$B$32)/1000+'Inputs'!$B$21))/SQRT((((646-43)*MAX('Inputs'!$B$33,'Inputs'!$B$29+'Inputs'!$B$31+'Inputs'!$B$32,'Inputs'!$B$30+'Inputs'!$B$31+'Inputs'!$B$32)/1000+'Inputs'!$B$21))^2+('Inputs'!$B$6/2)^2)))-'Results'!C7*(0.5*((((646-43)*MAX('Inputs'!$B$33,'Inputs'!$B$29+'Inputs'!$B$31+'Inputs'!$B$32,'Inputs'!$B$30+'Inputs'!$B$31+'Inputs'!$B$32)/1000+'Inputs'!$B$21+'Inputs'!$B$7+'Inputs'!$B$10)+'Inputs'!$B$9)/SQRT((((646-43)*MAX('Inputs'!$B$33,'Inputs'!$B$29+'Inputs'!$B$31+'Inputs'!$B$32,'Inputs'!$B$30+'Inputs'!$B$31+'Inputs'!$B$32)/1000+'Inputs'!$B$21+'Inputs'!$B$7+'Inputs'!$B$10)+'Inputs'!$B$9)^2+('Inputs'!$B$8/2)^2)-(((646-43)*MAX('Inputs'!$B$33,'Inputs'!$B$29+'Inputs'!$B$31+'Inputs'!$B$32,'Inputs'!$B$30+'Inputs'!$B$31+'Inputs'!$B$32)/1000+'Inputs'!$B$21+'Inputs'!$B$7+'Inputs'!$B$10))/SQRT((((646-43)*MAX('Inputs'!$B$33,'Inputs'!$B$29+'Inputs'!$B$31+'Inputs'!$B$32,'Inputs'!$B$30+'Inputs'!$B$31+'Inputs'!$B$32)/1000+'Inputs'!$B$21+'Inputs'!$B$7+'Inputs'!$B$10))^2+('Inputs'!$B$8/2)^2))))*'Results'!$B$8),"")</x:f>
        <x:v>2.186960123969409</x:v>
      </x:c>
      <x:c r="K646" t="n">
        <x:f>IF(AND(ISNUMBER('Results'!B7),ISNUMBER('Results'!C7),ISNUMBER('Results'!$B$8),ISNUMBER('Inputs'!$B$6),ISNUMBER('Inputs'!$B$7),ISNUMBER('Inputs'!$B$8),ISNUMBER('Inputs'!$B$9),ISNUMBER('Inputs'!$B$10),ISNUMBER('Inputs'!$B$21),ISNUMBER('Inputs'!$B$24),ISNUMBER('Inputs'!$B$28)),((('Results'!B7*(1-'Inputs'!$B$24)*(0.5*((((646-43)*MAX('Inputs'!$B$33,'Inputs'!$B$29+'Inputs'!$B$31+'Inputs'!$B$32,'Inputs'!$B$30+'Inputs'!$B$31+'Inputs'!$B$32)/1000+'Inputs'!$B$21)+'Inputs'!$B$7)/SQRT((((646-43)*MAX('Inputs'!$B$33,'Inputs'!$B$29+'Inputs'!$B$31+'Inputs'!$B$32,'Inputs'!$B$30+'Inputs'!$B$31+'Inputs'!$B$32)/1000+'Inputs'!$B$21)+'Inputs'!$B$7)^2+('Inputs'!$B$6/2)^2)-(((646-43)*MAX('Inputs'!$B$33,'Inputs'!$B$29+'Inputs'!$B$31+'Inputs'!$B$32,'Inputs'!$B$30+'Inputs'!$B$31+'Inputs'!$B$32)/1000+'Inputs'!$B$21))/SQRT((((646-43)*MAX('Inputs'!$B$33,'Inputs'!$B$29+'Inputs'!$B$31+'Inputs'!$B$32,'Inputs'!$B$30+'Inputs'!$B$31+'Inputs'!$B$32)/1000+'Inputs'!$B$21))^2+('Inputs'!$B$6/2)^2)))-'Results'!C7*(1+'Inputs'!$B$24)*(0.5*((((646-43)*MAX('Inputs'!$B$33,'Inputs'!$B$29+'Inputs'!$B$31+'Inputs'!$B$32,'Inputs'!$B$30+'Inputs'!$B$31+'Inputs'!$B$32)/1000+'Inputs'!$B$21+'Inputs'!$B$7+'Inputs'!$B$10)+'Inputs'!$B$9)/SQRT((((646-43)*MAX('Inputs'!$B$33,'Inputs'!$B$29+'Inputs'!$B$31+'Inputs'!$B$32,'Inputs'!$B$30+'Inputs'!$B$31+'Inputs'!$B$32)/1000+'Inputs'!$B$21+'Inputs'!$B$7+'Inputs'!$B$10)+'Inputs'!$B$9)^2+('Inputs'!$B$8/2)^2)-(((646-43)*MAX('Inputs'!$B$33,'Inputs'!$B$29+'Inputs'!$B$31+'Inputs'!$B$32,'Inputs'!$B$30+'Inputs'!$B$31+'Inputs'!$B$32)/1000+'Inputs'!$B$21+'Inputs'!$B$7+'Inputs'!$B$10))/SQRT((((646-43)*MAX('Inputs'!$B$33,'Inputs'!$B$29+'Inputs'!$B$31+'Inputs'!$B$32,'Inputs'!$B$30+'Inputs'!$B$31+'Inputs'!$B$32)/1000+'Inputs'!$B$21+'Inputs'!$B$7+'Inputs'!$B$10))^2+('Inputs'!$B$8/2)^2))))*'Results'!$B$8)-'Inputs'!$B$28*ABS((('Results'!B7*(1-'Inputs'!$B$24)*(0.5*((((646-43)*MAX('Inputs'!$B$33,'Inputs'!$B$29+'Inputs'!$B$31+'Inputs'!$B$32,'Inputs'!$B$30+'Inputs'!$B$31+'Inputs'!$B$32)/1000+'Inputs'!$B$21)+'Inputs'!$B$7)/SQRT((((646-43)*MAX('Inputs'!$B$33,'Inputs'!$B$29+'Inputs'!$B$31+'Inputs'!$B$32,'Inputs'!$B$30+'Inputs'!$B$31+'Inputs'!$B$32)/1000+'Inputs'!$B$21)+'Inputs'!$B$7)^2+('Inputs'!$B$6/2)^2)-(((646-43)*MAX('Inputs'!$B$33,'Inputs'!$B$29+'Inputs'!$B$31+'Inputs'!$B$32,'Inputs'!$B$30+'Inputs'!$B$31+'Inputs'!$B$32)/1000+'Inputs'!$B$21))/SQRT((((646-43)*MAX('Inputs'!$B$33,'Inputs'!$B$29+'Inputs'!$B$31+'Inputs'!$B$32,'Inputs'!$B$30+'Inputs'!$B$31+'Inputs'!$B$32)/1000+'Inputs'!$B$21))^2+('Inputs'!$B$6/2)^2)))-'Results'!C7*(1+'Inputs'!$B$24)*(0.5*((((646-43)*MAX('Inputs'!$B$33,'Inputs'!$B$29+'Inputs'!$B$31+'Inputs'!$B$32,'Inputs'!$B$30+'Inputs'!$B$31+'Inputs'!$B$32)/1000+'Inputs'!$B$21+'Inputs'!$B$7+'Inputs'!$B$10)+'Inputs'!$B$9)/SQRT((((646-43)*MAX('Inputs'!$B$33,'Inputs'!$B$29+'Inputs'!$B$31+'Inputs'!$B$32,'Inputs'!$B$30+'Inputs'!$B$31+'Inputs'!$B$32)/1000+'Inputs'!$B$21+'Inputs'!$B$7+'Inputs'!$B$10)+'Inputs'!$B$9)^2+('Inputs'!$B$8/2)^2)-(((646-43)*MAX('Inputs'!$B$33,'Inputs'!$B$29+'Inputs'!$B$31+'Inputs'!$B$32,'Inputs'!$B$30+'Inputs'!$B$31+'Inputs'!$B$32)/1000+'Inputs'!$B$21+'Inputs'!$B$7+'Inputs'!$B$10))/SQRT((((646-43)*MAX('Inputs'!$B$33,'Inputs'!$B$29+'Inputs'!$B$31+'Inputs'!$B$32,'Inputs'!$B$30+'Inputs'!$B$31+'Inputs'!$B$32)/1000+'Inputs'!$B$21+'Inputs'!$B$7+'Inputs'!$B$10))^2+('Inputs'!$B$8/2)^2))))*'Results'!$B$8))),"")</x:f>
        <x:v>1.9144797935616795</x:v>
      </x:c>
      <x:c r="L646" t="n">
        <x:f>IF(AND(ISNUMBER('Results'!B7),ISNUMBER('Results'!C7),ISNUMBER('Results'!$B$8),ISNUMBER('Inputs'!$B$6),ISNUMBER('Inputs'!$B$7),ISNUMBER('Inputs'!$B$8),ISNUMBER('Inputs'!$B$9),ISNUMBER('Inputs'!$B$10),ISNUMBER('Inputs'!$B$21),ISNUMBER('Inputs'!$B$24),ISNUMBER('Inputs'!$B$28)),((('Results'!B7*(1+'Inputs'!$B$24)*(0.5*((((646-43)*MAX('Inputs'!$B$33,'Inputs'!$B$29+'Inputs'!$B$31+'Inputs'!$B$32,'Inputs'!$B$30+'Inputs'!$B$31+'Inputs'!$B$32)/1000+'Inputs'!$B$21)+'Inputs'!$B$7)/SQRT((((646-43)*MAX('Inputs'!$B$33,'Inputs'!$B$29+'Inputs'!$B$31+'Inputs'!$B$32,'Inputs'!$B$30+'Inputs'!$B$31+'Inputs'!$B$32)/1000+'Inputs'!$B$21)+'Inputs'!$B$7)^2+('Inputs'!$B$6/2)^2)-(((646-43)*MAX('Inputs'!$B$33,'Inputs'!$B$29+'Inputs'!$B$31+'Inputs'!$B$32,'Inputs'!$B$30+'Inputs'!$B$31+'Inputs'!$B$32)/1000+'Inputs'!$B$21))/SQRT((((646-43)*MAX('Inputs'!$B$33,'Inputs'!$B$29+'Inputs'!$B$31+'Inputs'!$B$32,'Inputs'!$B$30+'Inputs'!$B$31+'Inputs'!$B$32)/1000+'Inputs'!$B$21))^2+('Inputs'!$B$6/2)^2)))-'Results'!C7*(1-'Inputs'!$B$24)*(0.5*((((646-43)*MAX('Inputs'!$B$33,'Inputs'!$B$29+'Inputs'!$B$31+'Inputs'!$B$32,'Inputs'!$B$30+'Inputs'!$B$31+'Inputs'!$B$32)/1000+'Inputs'!$B$21+'Inputs'!$B$7+'Inputs'!$B$10)+'Inputs'!$B$9)/SQRT((((646-43)*MAX('Inputs'!$B$33,'Inputs'!$B$29+'Inputs'!$B$31+'Inputs'!$B$32,'Inputs'!$B$30+'Inputs'!$B$31+'Inputs'!$B$32)/1000+'Inputs'!$B$21+'Inputs'!$B$7+'Inputs'!$B$10)+'Inputs'!$B$9)^2+('Inputs'!$B$8/2)^2)-(((646-43)*MAX('Inputs'!$B$33,'Inputs'!$B$29+'Inputs'!$B$31+'Inputs'!$B$32,'Inputs'!$B$30+'Inputs'!$B$31+'Inputs'!$B$32)/1000+'Inputs'!$B$21+'Inputs'!$B$7+'Inputs'!$B$10))/SQRT((((646-43)*MAX('Inputs'!$B$33,'Inputs'!$B$29+'Inputs'!$B$31+'Inputs'!$B$32,'Inputs'!$B$30+'Inputs'!$B$31+'Inputs'!$B$32)/1000+'Inputs'!$B$21+'Inputs'!$B$7+'Inputs'!$B$10))^2+('Inputs'!$B$8/2)^2))))*'Results'!$B$8)+'Inputs'!$B$28*ABS((('Results'!B7*(1+'Inputs'!$B$24)*(0.5*((((646-43)*MAX('Inputs'!$B$33,'Inputs'!$B$29+'Inputs'!$B$31+'Inputs'!$B$32,'Inputs'!$B$30+'Inputs'!$B$31+'Inputs'!$B$32)/1000+'Inputs'!$B$21)+'Inputs'!$B$7)/SQRT((((646-43)*MAX('Inputs'!$B$33,'Inputs'!$B$29+'Inputs'!$B$31+'Inputs'!$B$32,'Inputs'!$B$30+'Inputs'!$B$31+'Inputs'!$B$32)/1000+'Inputs'!$B$21)+'Inputs'!$B$7)^2+('Inputs'!$B$6/2)^2)-(((646-43)*MAX('Inputs'!$B$33,'Inputs'!$B$29+'Inputs'!$B$31+'Inputs'!$B$32,'Inputs'!$B$30+'Inputs'!$B$31+'Inputs'!$B$32)/1000+'Inputs'!$B$21))/SQRT((((646-43)*MAX('Inputs'!$B$33,'Inputs'!$B$29+'Inputs'!$B$31+'Inputs'!$B$32,'Inputs'!$B$30+'Inputs'!$B$31+'Inputs'!$B$32)/1000+'Inputs'!$B$21))^2+('Inputs'!$B$6/2)^2)))-'Results'!C7*(1-'Inputs'!$B$24)*(0.5*((((646-43)*MAX('Inputs'!$B$33,'Inputs'!$B$29+'Inputs'!$B$31+'Inputs'!$B$32,'Inputs'!$B$30+'Inputs'!$B$31+'Inputs'!$B$32)/1000+'Inputs'!$B$21+'Inputs'!$B$7+'Inputs'!$B$10)+'Inputs'!$B$9)/SQRT((((646-43)*MAX('Inputs'!$B$33,'Inputs'!$B$29+'Inputs'!$B$31+'Inputs'!$B$32,'Inputs'!$B$30+'Inputs'!$B$31+'Inputs'!$B$32)/1000+'Inputs'!$B$21+'Inputs'!$B$7+'Inputs'!$B$10)+'Inputs'!$B$9)^2+('Inputs'!$B$8/2)^2)-(((646-43)*MAX('Inputs'!$B$33,'Inputs'!$B$29+'Inputs'!$B$31+'Inputs'!$B$32,'Inputs'!$B$30+'Inputs'!$B$31+'Inputs'!$B$32)/1000+'Inputs'!$B$21+'Inputs'!$B$7+'Inputs'!$B$10))/SQRT((((646-43)*MAX('Inputs'!$B$33,'Inputs'!$B$29+'Inputs'!$B$31+'Inputs'!$B$32,'Inputs'!$B$30+'Inputs'!$B$31+'Inputs'!$B$32)/1000+'Inputs'!$B$21+'Inputs'!$B$7+'Inputs'!$B$10))^2+('Inputs'!$B$8/2)^2))))*'Results'!$B$8))),"")</x:f>
        <x:v>2.4766122779781123</x:v>
      </x:c>
      <x:c r="M646" t="n">
        <x:f>IF(AND(ISNUMBER('Results'!C7),ISNUMBER('Results'!B7),ISNUMBER('Results'!$B$8),ISNUMBER('Inputs'!$B$6),ISNUMBER('Inputs'!$B$7),ISNUMBER('Inputs'!$B$8),ISNUMBER('Inputs'!$B$9),ISNUMBER('Inputs'!$B$10),ISNUMBER('Inputs'!$B$21),ISNUMBER('Inputs'!$B$24),ISNUMBER('Inputs'!$B$28)),(('Results'!C7*(0.5*((((646-43)*MAX('Inputs'!$B$33,'Inputs'!$B$29+'Inputs'!$B$31+'Inputs'!$B$32,'Inputs'!$B$30+'Inputs'!$B$31+'Inputs'!$B$32)/1000+'Inputs'!$B$21)+'Inputs'!$B$9)/SQRT((((646-43)*MAX('Inputs'!$B$33,'Inputs'!$B$29+'Inputs'!$B$31+'Inputs'!$B$32,'Inputs'!$B$30+'Inputs'!$B$31+'Inputs'!$B$32)/1000+'Inputs'!$B$21)+'Inputs'!$B$9)^2+('Inputs'!$B$8/2)^2)-(((646-43)*MAX('Inputs'!$B$33,'Inputs'!$B$29+'Inputs'!$B$31+'Inputs'!$B$32,'Inputs'!$B$30+'Inputs'!$B$31+'Inputs'!$B$32)/1000+'Inputs'!$B$21))/SQRT((((646-43)*MAX('Inputs'!$B$33,'Inputs'!$B$29+'Inputs'!$B$31+'Inputs'!$B$32,'Inputs'!$B$30+'Inputs'!$B$31+'Inputs'!$B$32)/1000+'Inputs'!$B$21))^2+('Inputs'!$B$8/2)^2)))-'Results'!B7*(0.5*((((646-43)*MAX('Inputs'!$B$33,'Inputs'!$B$29+'Inputs'!$B$31+'Inputs'!$B$32,'Inputs'!$B$30+'Inputs'!$B$31+'Inputs'!$B$32)/1000+'Inputs'!$B$21+'Inputs'!$B$9+'Inputs'!$B$10)+'Inputs'!$B$7)/SQRT((((646-43)*MAX('Inputs'!$B$33,'Inputs'!$B$29+'Inputs'!$B$31+'Inputs'!$B$32,'Inputs'!$B$30+'Inputs'!$B$31+'Inputs'!$B$32)/1000+'Inputs'!$B$21+'Inputs'!$B$9+'Inputs'!$B$10)+'Inputs'!$B$7)^2+('Inputs'!$B$6/2)^2)-(((646-43)*MAX('Inputs'!$B$33,'Inputs'!$B$29+'Inputs'!$B$31+'Inputs'!$B$32,'Inputs'!$B$30+'Inputs'!$B$31+'Inputs'!$B$32)/1000+'Inputs'!$B$21+'Inputs'!$B$9+'Inputs'!$B$10))/SQRT((((646-43)*MAX('Inputs'!$B$33,'Inputs'!$B$29+'Inputs'!$B$31+'Inputs'!$B$32,'Inputs'!$B$30+'Inputs'!$B$31+'Inputs'!$B$32)/1000+'Inputs'!$B$21+'Inputs'!$B$9+'Inputs'!$B$10))^2+('Inputs'!$B$6/2)^2))))*'Results'!$B$8),"")</x:f>
        <x:v>2.013935979454251</x:v>
      </x:c>
      <x:c r="N646" t="n">
        <x:f>IF(AND(ISNUMBER('Results'!C7),ISNUMBER('Results'!B7),ISNUMBER('Results'!$B$8),ISNUMBER('Inputs'!$B$6),ISNUMBER('Inputs'!$B$7),ISNUMBER('Inputs'!$B$8),ISNUMBER('Inputs'!$B$9),ISNUMBER('Inputs'!$B$10),ISNUMBER('Inputs'!$B$21),ISNUMBER('Inputs'!$B$24),ISNUMBER('Inputs'!$B$28)),((('Results'!C7*(1-'Inputs'!$B$24)*(0.5*((((646-43)*MAX('Inputs'!$B$33,'Inputs'!$B$29+'Inputs'!$B$31+'Inputs'!$B$32,'Inputs'!$B$30+'Inputs'!$B$31+'Inputs'!$B$32)/1000+'Inputs'!$B$21)+'Inputs'!$B$9)/SQRT((((646-43)*MAX('Inputs'!$B$33,'Inputs'!$B$29+'Inputs'!$B$31+'Inputs'!$B$32,'Inputs'!$B$30+'Inputs'!$B$31+'Inputs'!$B$32)/1000+'Inputs'!$B$21)+'Inputs'!$B$9)^2+('Inputs'!$B$8/2)^2)-(((646-43)*MAX('Inputs'!$B$33,'Inputs'!$B$29+'Inputs'!$B$31+'Inputs'!$B$32,'Inputs'!$B$30+'Inputs'!$B$31+'Inputs'!$B$32)/1000+'Inputs'!$B$21))/SQRT((((646-43)*MAX('Inputs'!$B$33,'Inputs'!$B$29+'Inputs'!$B$31+'Inputs'!$B$32,'Inputs'!$B$30+'Inputs'!$B$31+'Inputs'!$B$32)/1000+'Inputs'!$B$21))^2+('Inputs'!$B$8/2)^2)))-'Results'!B7*(1+'Inputs'!$B$24)*(0.5*((((646-43)*MAX('Inputs'!$B$33,'Inputs'!$B$29+'Inputs'!$B$31+'Inputs'!$B$32,'Inputs'!$B$30+'Inputs'!$B$31+'Inputs'!$B$32)/1000+'Inputs'!$B$21+'Inputs'!$B$9+'Inputs'!$B$10)+'Inputs'!$B$7)/SQRT((((646-43)*MAX('Inputs'!$B$33,'Inputs'!$B$29+'Inputs'!$B$31+'Inputs'!$B$32,'Inputs'!$B$30+'Inputs'!$B$31+'Inputs'!$B$32)/1000+'Inputs'!$B$21+'Inputs'!$B$9+'Inputs'!$B$10)+'Inputs'!$B$7)^2+('Inputs'!$B$6/2)^2)-(((646-43)*MAX('Inputs'!$B$33,'Inputs'!$B$29+'Inputs'!$B$31+'Inputs'!$B$32,'Inputs'!$B$30+'Inputs'!$B$31+'Inputs'!$B$32)/1000+'Inputs'!$B$21+'Inputs'!$B$9+'Inputs'!$B$10))/SQRT((((646-43)*MAX('Inputs'!$B$33,'Inputs'!$B$29+'Inputs'!$B$31+'Inputs'!$B$32,'Inputs'!$B$30+'Inputs'!$B$31+'Inputs'!$B$32)/1000+'Inputs'!$B$21+'Inputs'!$B$9+'Inputs'!$B$10))^2+('Inputs'!$B$6/2)^2))))*'Results'!$B$8)-'Inputs'!$B$28*ABS((('Results'!C7*(1-'Inputs'!$B$24)*(0.5*((((646-43)*MAX('Inputs'!$B$33,'Inputs'!$B$29+'Inputs'!$B$31+'Inputs'!$B$32,'Inputs'!$B$30+'Inputs'!$B$31+'Inputs'!$B$32)/1000+'Inputs'!$B$21)+'Inputs'!$B$9)/SQRT((((646-43)*MAX('Inputs'!$B$33,'Inputs'!$B$29+'Inputs'!$B$31+'Inputs'!$B$32,'Inputs'!$B$30+'Inputs'!$B$31+'Inputs'!$B$32)/1000+'Inputs'!$B$21)+'Inputs'!$B$9)^2+('Inputs'!$B$8/2)^2)-(((646-43)*MAX('Inputs'!$B$33,'Inputs'!$B$29+'Inputs'!$B$31+'Inputs'!$B$32,'Inputs'!$B$30+'Inputs'!$B$31+'Inputs'!$B$32)/1000+'Inputs'!$B$21))/SQRT((((646-43)*MAX('Inputs'!$B$33,'Inputs'!$B$29+'Inputs'!$B$31+'Inputs'!$B$32,'Inputs'!$B$30+'Inputs'!$B$31+'Inputs'!$B$32)/1000+'Inputs'!$B$21))^2+('Inputs'!$B$8/2)^2)))-'Results'!B7*(1+'Inputs'!$B$24)*(0.5*((((646-43)*MAX('Inputs'!$B$33,'Inputs'!$B$29+'Inputs'!$B$31+'Inputs'!$B$32,'Inputs'!$B$30+'Inputs'!$B$31+'Inputs'!$B$32)/1000+'Inputs'!$B$21+'Inputs'!$B$9+'Inputs'!$B$10)+'Inputs'!$B$7)/SQRT((((646-43)*MAX('Inputs'!$B$33,'Inputs'!$B$29+'Inputs'!$B$31+'Inputs'!$B$32,'Inputs'!$B$30+'Inputs'!$B$31+'Inputs'!$B$32)/1000+'Inputs'!$B$21+'Inputs'!$B$9+'Inputs'!$B$10)+'Inputs'!$B$7)^2+('Inputs'!$B$6/2)^2)-(((646-43)*MAX('Inputs'!$B$33,'Inputs'!$B$29+'Inputs'!$B$31+'Inputs'!$B$32,'Inputs'!$B$30+'Inputs'!$B$31+'Inputs'!$B$32)/1000+'Inputs'!$B$21+'Inputs'!$B$9+'Inputs'!$B$10))/SQRT((((646-43)*MAX('Inputs'!$B$33,'Inputs'!$B$29+'Inputs'!$B$31+'Inputs'!$B$32,'Inputs'!$B$30+'Inputs'!$B$31+'Inputs'!$B$32)/1000+'Inputs'!$B$21+'Inputs'!$B$9+'Inputs'!$B$10))^2+('Inputs'!$B$6/2)^2))))*'Results'!$B$8))),"")</x:f>
        <x:v>1.7509130888577853</x:v>
      </x:c>
      <x:c r="O646" t="n">
        <x:f>IF(AND(ISNUMBER('Results'!C7),ISNUMBER('Results'!B7),ISNUMBER('Results'!$B$8),ISNUMBER('Inputs'!$B$6),ISNUMBER('Inputs'!$B$7),ISNUMBER('Inputs'!$B$8),ISNUMBER('Inputs'!$B$9),ISNUMBER('Inputs'!$B$10),ISNUMBER('Inputs'!$B$21),ISNUMBER('Inputs'!$B$24),ISNUMBER('Inputs'!$B$28)),((('Results'!C7*(1+'Inputs'!$B$24)*(0.5*((((646-43)*MAX('Inputs'!$B$33,'Inputs'!$B$29+'Inputs'!$B$31+'Inputs'!$B$32,'Inputs'!$B$30+'Inputs'!$B$31+'Inputs'!$B$32)/1000+'Inputs'!$B$21)+'Inputs'!$B$9)/SQRT((((646-43)*MAX('Inputs'!$B$33,'Inputs'!$B$29+'Inputs'!$B$31+'Inputs'!$B$32,'Inputs'!$B$30+'Inputs'!$B$31+'Inputs'!$B$32)/1000+'Inputs'!$B$21)+'Inputs'!$B$9)^2+('Inputs'!$B$8/2)^2)-(((646-43)*MAX('Inputs'!$B$33,'Inputs'!$B$29+'Inputs'!$B$31+'Inputs'!$B$32,'Inputs'!$B$30+'Inputs'!$B$31+'Inputs'!$B$32)/1000+'Inputs'!$B$21))/SQRT((((646-43)*MAX('Inputs'!$B$33,'Inputs'!$B$29+'Inputs'!$B$31+'Inputs'!$B$32,'Inputs'!$B$30+'Inputs'!$B$31+'Inputs'!$B$32)/1000+'Inputs'!$B$21))^2+('Inputs'!$B$8/2)^2)))-'Results'!B7*(1-'Inputs'!$B$24)*(0.5*((((646-43)*MAX('Inputs'!$B$33,'Inputs'!$B$29+'Inputs'!$B$31+'Inputs'!$B$32,'Inputs'!$B$30+'Inputs'!$B$31+'Inputs'!$B$32)/1000+'Inputs'!$B$21+'Inputs'!$B$9+'Inputs'!$B$10)+'Inputs'!$B$7)/SQRT((((646-43)*MAX('Inputs'!$B$33,'Inputs'!$B$29+'Inputs'!$B$31+'Inputs'!$B$32,'Inputs'!$B$30+'Inputs'!$B$31+'Inputs'!$B$32)/1000+'Inputs'!$B$21+'Inputs'!$B$9+'Inputs'!$B$10)+'Inputs'!$B$7)^2+('Inputs'!$B$6/2)^2)-(((646-43)*MAX('Inputs'!$B$33,'Inputs'!$B$29+'Inputs'!$B$31+'Inputs'!$B$32,'Inputs'!$B$30+'Inputs'!$B$31+'Inputs'!$B$32)/1000+'Inputs'!$B$21+'Inputs'!$B$9+'Inputs'!$B$10))/SQRT((((646-43)*MAX('Inputs'!$B$33,'Inputs'!$B$29+'Inputs'!$B$31+'Inputs'!$B$32,'Inputs'!$B$30+'Inputs'!$B$31+'Inputs'!$B$32)/1000+'Inputs'!$B$21+'Inputs'!$B$9+'Inputs'!$B$10))^2+('Inputs'!$B$6/2)^2))))*'Results'!$B$8)+'Inputs'!$B$28*ABS((('Results'!C7*(1+'Inputs'!$B$24)*(0.5*((((646-43)*MAX('Inputs'!$B$33,'Inputs'!$B$29+'Inputs'!$B$31+'Inputs'!$B$32,'Inputs'!$B$30+'Inputs'!$B$31+'Inputs'!$B$32)/1000+'Inputs'!$B$21)+'Inputs'!$B$9)/SQRT((((646-43)*MAX('Inputs'!$B$33,'Inputs'!$B$29+'Inputs'!$B$31+'Inputs'!$B$32,'Inputs'!$B$30+'Inputs'!$B$31+'Inputs'!$B$32)/1000+'Inputs'!$B$21)+'Inputs'!$B$9)^2+('Inputs'!$B$8/2)^2)-(((646-43)*MAX('Inputs'!$B$33,'Inputs'!$B$29+'Inputs'!$B$31+'Inputs'!$B$32,'Inputs'!$B$30+'Inputs'!$B$31+'Inputs'!$B$32)/1000+'Inputs'!$B$21))/SQRT((((646-43)*MAX('Inputs'!$B$33,'Inputs'!$B$29+'Inputs'!$B$31+'Inputs'!$B$32,'Inputs'!$B$30+'Inputs'!$B$31+'Inputs'!$B$32)/1000+'Inputs'!$B$21))^2+('Inputs'!$B$8/2)^2)))-'Results'!B7*(1-'Inputs'!$B$24)*(0.5*((((646-43)*MAX('Inputs'!$B$33,'Inputs'!$B$29+'Inputs'!$B$31+'Inputs'!$B$32,'Inputs'!$B$30+'Inputs'!$B$31+'Inputs'!$B$32)/1000+'Inputs'!$B$21+'Inputs'!$B$9+'Inputs'!$B$10)+'Inputs'!$B$7)/SQRT((((646-43)*MAX('Inputs'!$B$33,'Inputs'!$B$29+'Inputs'!$B$31+'Inputs'!$B$32,'Inputs'!$B$30+'Inputs'!$B$31+'Inputs'!$B$32)/1000+'Inputs'!$B$21+'Inputs'!$B$9+'Inputs'!$B$10)+'Inputs'!$B$7)^2+('Inputs'!$B$6/2)^2)-(((646-43)*MAX('Inputs'!$B$33,'Inputs'!$B$29+'Inputs'!$B$31+'Inputs'!$B$32,'Inputs'!$B$30+'Inputs'!$B$31+'Inputs'!$B$32)/1000+'Inputs'!$B$21+'Inputs'!$B$9+'Inputs'!$B$10))/SQRT((((646-43)*MAX('Inputs'!$B$33,'Inputs'!$B$29+'Inputs'!$B$31+'Inputs'!$B$32,'Inputs'!$B$30+'Inputs'!$B$31+'Inputs'!$B$32)/1000+'Inputs'!$B$21+'Inputs'!$B$9+'Inputs'!$B$10))^2+('Inputs'!$B$6/2)^2))))*'Results'!$B$8))),"")</x:f>
        <x:v>2.294045827063744</x:v>
      </x:c>
      <x:c r="P646" t="n">
        <x:f>IF(AND(MAX(J646,J645)&gt;0,J646&gt;J645+0.00000001),1,0)</x:f>
        <x:v>0</x:v>
      </x:c>
      <x:c r="Q646" t="n">
        <x:f>IF(AND(MAX(K646,K645)&gt;0,K646&gt;K645+0.00000001),1,0)</x:f>
        <x:v>0</x:v>
      </x:c>
      <x:c r="R646" t="n">
        <x:f>IF(AND(MAX(L646,L645)&gt;0,L646&gt;L645+0.00000001),1,0)</x:f>
        <x:v>0</x:v>
      </x:c>
      <x:c r="S646" t="n">
        <x:f>IF(AND(MAX(M646,M645)&gt;0,M646&gt;M645+0.00000001),1,0)</x:f>
        <x:v>0</x:v>
      </x:c>
      <x:c r="T646" t="n">
        <x:f>IF(AND(MAX(N646,N645)&gt;0,N646&gt;N645+0.00000001),1,0)</x:f>
        <x:v>0</x:v>
      </x:c>
      <x:c r="U646" t="n">
        <x:f>IF(AND(MAX(O646,O645)&gt;0,O646&gt;O645+0.00000001),1,0)</x:f>
        <x:v>0</x:v>
      </x:c>
    </x:row>
    <x:row r="647">
      <x:c r="J647" t="n">
        <x:f>IF(AND(ISNUMBER('Results'!B7),ISNUMBER('Results'!C7),ISNUMBER('Results'!$B$8),ISNUMBER('Inputs'!$B$6),ISNUMBER('Inputs'!$B$7),ISNUMBER('Inputs'!$B$8),ISNUMBER('Inputs'!$B$9),ISNUMBER('Inputs'!$B$10),ISNUMBER('Inputs'!$B$21),ISNUMBER('Inputs'!$B$24),ISNUMBER('Inputs'!$B$28)),(('Results'!B7*(0.5*((((647-43)*MAX('Inputs'!$B$33,'Inputs'!$B$29+'Inputs'!$B$31+'Inputs'!$B$32,'Inputs'!$B$30+'Inputs'!$B$31+'Inputs'!$B$32)/1000+'Inputs'!$B$21)+'Inputs'!$B$7)/SQRT((((647-43)*MAX('Inputs'!$B$33,'Inputs'!$B$29+'Inputs'!$B$31+'Inputs'!$B$32,'Inputs'!$B$30+'Inputs'!$B$31+'Inputs'!$B$32)/1000+'Inputs'!$B$21)+'Inputs'!$B$7)^2+('Inputs'!$B$6/2)^2)-(((647-43)*MAX('Inputs'!$B$33,'Inputs'!$B$29+'Inputs'!$B$31+'Inputs'!$B$32,'Inputs'!$B$30+'Inputs'!$B$31+'Inputs'!$B$32)/1000+'Inputs'!$B$21))/SQRT((((647-43)*MAX('Inputs'!$B$33,'Inputs'!$B$29+'Inputs'!$B$31+'Inputs'!$B$32,'Inputs'!$B$30+'Inputs'!$B$31+'Inputs'!$B$32)/1000+'Inputs'!$B$21))^2+('Inputs'!$B$6/2)^2)))-'Results'!C7*(0.5*((((647-43)*MAX('Inputs'!$B$33,'Inputs'!$B$29+'Inputs'!$B$31+'Inputs'!$B$32,'Inputs'!$B$30+'Inputs'!$B$31+'Inputs'!$B$32)/1000+'Inputs'!$B$21+'Inputs'!$B$7+'Inputs'!$B$10)+'Inputs'!$B$9)/SQRT((((647-43)*MAX('Inputs'!$B$33,'Inputs'!$B$29+'Inputs'!$B$31+'Inputs'!$B$32,'Inputs'!$B$30+'Inputs'!$B$31+'Inputs'!$B$32)/1000+'Inputs'!$B$21+'Inputs'!$B$7+'Inputs'!$B$10)+'Inputs'!$B$9)^2+('Inputs'!$B$8/2)^2)-(((647-43)*MAX('Inputs'!$B$33,'Inputs'!$B$29+'Inputs'!$B$31+'Inputs'!$B$32,'Inputs'!$B$30+'Inputs'!$B$31+'Inputs'!$B$32)/1000+'Inputs'!$B$21+'Inputs'!$B$7+'Inputs'!$B$10))/SQRT((((647-43)*MAX('Inputs'!$B$33,'Inputs'!$B$29+'Inputs'!$B$31+'Inputs'!$B$32,'Inputs'!$B$30+'Inputs'!$B$31+'Inputs'!$B$32)/1000+'Inputs'!$B$21+'Inputs'!$B$7+'Inputs'!$B$10))^2+('Inputs'!$B$8/2)^2))))*'Results'!$B$8),"")</x:f>
        <x:v>2.17432083919432</x:v>
      </x:c>
      <x:c r="K647" t="n">
        <x:f>IF(AND(ISNUMBER('Results'!B7),ISNUMBER('Results'!C7),ISNUMBER('Results'!$B$8),ISNUMBER('Inputs'!$B$6),ISNUMBER('Inputs'!$B$7),ISNUMBER('Inputs'!$B$8),ISNUMBER('Inputs'!$B$9),ISNUMBER('Inputs'!$B$10),ISNUMBER('Inputs'!$B$21),ISNUMBER('Inputs'!$B$24),ISNUMBER('Inputs'!$B$28)),((('Results'!B7*(1-'Inputs'!$B$24)*(0.5*((((647-43)*MAX('Inputs'!$B$33,'Inputs'!$B$29+'Inputs'!$B$31+'Inputs'!$B$32,'Inputs'!$B$30+'Inputs'!$B$31+'Inputs'!$B$32)/1000+'Inputs'!$B$21)+'Inputs'!$B$7)/SQRT((((647-43)*MAX('Inputs'!$B$33,'Inputs'!$B$29+'Inputs'!$B$31+'Inputs'!$B$32,'Inputs'!$B$30+'Inputs'!$B$31+'Inputs'!$B$32)/1000+'Inputs'!$B$21)+'Inputs'!$B$7)^2+('Inputs'!$B$6/2)^2)-(((647-43)*MAX('Inputs'!$B$33,'Inputs'!$B$29+'Inputs'!$B$31+'Inputs'!$B$32,'Inputs'!$B$30+'Inputs'!$B$31+'Inputs'!$B$32)/1000+'Inputs'!$B$21))/SQRT((((647-43)*MAX('Inputs'!$B$33,'Inputs'!$B$29+'Inputs'!$B$31+'Inputs'!$B$32,'Inputs'!$B$30+'Inputs'!$B$31+'Inputs'!$B$32)/1000+'Inputs'!$B$21))^2+('Inputs'!$B$6/2)^2)))-'Results'!C7*(1+'Inputs'!$B$24)*(0.5*((((647-43)*MAX('Inputs'!$B$33,'Inputs'!$B$29+'Inputs'!$B$31+'Inputs'!$B$32,'Inputs'!$B$30+'Inputs'!$B$31+'Inputs'!$B$32)/1000+'Inputs'!$B$21+'Inputs'!$B$7+'Inputs'!$B$10)+'Inputs'!$B$9)/SQRT((((647-43)*MAX('Inputs'!$B$33,'Inputs'!$B$29+'Inputs'!$B$31+'Inputs'!$B$32,'Inputs'!$B$30+'Inputs'!$B$31+'Inputs'!$B$32)/1000+'Inputs'!$B$21+'Inputs'!$B$7+'Inputs'!$B$10)+'Inputs'!$B$9)^2+('Inputs'!$B$8/2)^2)-(((647-43)*MAX('Inputs'!$B$33,'Inputs'!$B$29+'Inputs'!$B$31+'Inputs'!$B$32,'Inputs'!$B$30+'Inputs'!$B$31+'Inputs'!$B$32)/1000+'Inputs'!$B$21+'Inputs'!$B$7+'Inputs'!$B$10))/SQRT((((647-43)*MAX('Inputs'!$B$33,'Inputs'!$B$29+'Inputs'!$B$31+'Inputs'!$B$32,'Inputs'!$B$30+'Inputs'!$B$31+'Inputs'!$B$32)/1000+'Inputs'!$B$21+'Inputs'!$B$7+'Inputs'!$B$10))^2+('Inputs'!$B$8/2)^2))))*'Results'!$B$8)-'Inputs'!$B$28*ABS((('Results'!B7*(1-'Inputs'!$B$24)*(0.5*((((647-43)*MAX('Inputs'!$B$33,'Inputs'!$B$29+'Inputs'!$B$31+'Inputs'!$B$32,'Inputs'!$B$30+'Inputs'!$B$31+'Inputs'!$B$32)/1000+'Inputs'!$B$21)+'Inputs'!$B$7)/SQRT((((647-43)*MAX('Inputs'!$B$33,'Inputs'!$B$29+'Inputs'!$B$31+'Inputs'!$B$32,'Inputs'!$B$30+'Inputs'!$B$31+'Inputs'!$B$32)/1000+'Inputs'!$B$21)+'Inputs'!$B$7)^2+('Inputs'!$B$6/2)^2)-(((647-43)*MAX('Inputs'!$B$33,'Inputs'!$B$29+'Inputs'!$B$31+'Inputs'!$B$32,'Inputs'!$B$30+'Inputs'!$B$31+'Inputs'!$B$32)/1000+'Inputs'!$B$21))/SQRT((((647-43)*MAX('Inputs'!$B$33,'Inputs'!$B$29+'Inputs'!$B$31+'Inputs'!$B$32,'Inputs'!$B$30+'Inputs'!$B$31+'Inputs'!$B$32)/1000+'Inputs'!$B$21))^2+('Inputs'!$B$6/2)^2)))-'Results'!C7*(1+'Inputs'!$B$24)*(0.5*((((647-43)*MAX('Inputs'!$B$33,'Inputs'!$B$29+'Inputs'!$B$31+'Inputs'!$B$32,'Inputs'!$B$30+'Inputs'!$B$31+'Inputs'!$B$32)/1000+'Inputs'!$B$21+'Inputs'!$B$7+'Inputs'!$B$10)+'Inputs'!$B$9)/SQRT((((647-43)*MAX('Inputs'!$B$33,'Inputs'!$B$29+'Inputs'!$B$31+'Inputs'!$B$32,'Inputs'!$B$30+'Inputs'!$B$31+'Inputs'!$B$32)/1000+'Inputs'!$B$21+'Inputs'!$B$7+'Inputs'!$B$10)+'Inputs'!$B$9)^2+('Inputs'!$B$8/2)^2)-(((647-43)*MAX('Inputs'!$B$33,'Inputs'!$B$29+'Inputs'!$B$31+'Inputs'!$B$32,'Inputs'!$B$30+'Inputs'!$B$31+'Inputs'!$B$32)/1000+'Inputs'!$B$21+'Inputs'!$B$7+'Inputs'!$B$10))/SQRT((((647-43)*MAX('Inputs'!$B$33,'Inputs'!$B$29+'Inputs'!$B$31+'Inputs'!$B$32,'Inputs'!$B$30+'Inputs'!$B$31+'Inputs'!$B$32)/1000+'Inputs'!$B$21+'Inputs'!$B$7+'Inputs'!$B$10))^2+('Inputs'!$B$8/2)^2))))*'Results'!$B$8))),"")</x:f>
        <x:v>1.9032006458913189</x:v>
      </x:c>
      <x:c r="L647" t="n">
        <x:f>IF(AND(ISNUMBER('Results'!B7),ISNUMBER('Results'!C7),ISNUMBER('Results'!$B$8),ISNUMBER('Inputs'!$B$6),ISNUMBER('Inputs'!$B$7),ISNUMBER('Inputs'!$B$8),ISNUMBER('Inputs'!$B$9),ISNUMBER('Inputs'!$B$10),ISNUMBER('Inputs'!$B$21),ISNUMBER('Inputs'!$B$24),ISNUMBER('Inputs'!$B$28)),((('Results'!B7*(1+'Inputs'!$B$24)*(0.5*((((647-43)*MAX('Inputs'!$B$33,'Inputs'!$B$29+'Inputs'!$B$31+'Inputs'!$B$32,'Inputs'!$B$30+'Inputs'!$B$31+'Inputs'!$B$32)/1000+'Inputs'!$B$21)+'Inputs'!$B$7)/SQRT((((647-43)*MAX('Inputs'!$B$33,'Inputs'!$B$29+'Inputs'!$B$31+'Inputs'!$B$32,'Inputs'!$B$30+'Inputs'!$B$31+'Inputs'!$B$32)/1000+'Inputs'!$B$21)+'Inputs'!$B$7)^2+('Inputs'!$B$6/2)^2)-(((647-43)*MAX('Inputs'!$B$33,'Inputs'!$B$29+'Inputs'!$B$31+'Inputs'!$B$32,'Inputs'!$B$30+'Inputs'!$B$31+'Inputs'!$B$32)/1000+'Inputs'!$B$21))/SQRT((((647-43)*MAX('Inputs'!$B$33,'Inputs'!$B$29+'Inputs'!$B$31+'Inputs'!$B$32,'Inputs'!$B$30+'Inputs'!$B$31+'Inputs'!$B$32)/1000+'Inputs'!$B$21))^2+('Inputs'!$B$6/2)^2)))-'Results'!C7*(1-'Inputs'!$B$24)*(0.5*((((647-43)*MAX('Inputs'!$B$33,'Inputs'!$B$29+'Inputs'!$B$31+'Inputs'!$B$32,'Inputs'!$B$30+'Inputs'!$B$31+'Inputs'!$B$32)/1000+'Inputs'!$B$21+'Inputs'!$B$7+'Inputs'!$B$10)+'Inputs'!$B$9)/SQRT((((647-43)*MAX('Inputs'!$B$33,'Inputs'!$B$29+'Inputs'!$B$31+'Inputs'!$B$32,'Inputs'!$B$30+'Inputs'!$B$31+'Inputs'!$B$32)/1000+'Inputs'!$B$21+'Inputs'!$B$7+'Inputs'!$B$10)+'Inputs'!$B$9)^2+('Inputs'!$B$8/2)^2)-(((647-43)*MAX('Inputs'!$B$33,'Inputs'!$B$29+'Inputs'!$B$31+'Inputs'!$B$32,'Inputs'!$B$30+'Inputs'!$B$31+'Inputs'!$B$32)/1000+'Inputs'!$B$21+'Inputs'!$B$7+'Inputs'!$B$10))/SQRT((((647-43)*MAX('Inputs'!$B$33,'Inputs'!$B$29+'Inputs'!$B$31+'Inputs'!$B$32,'Inputs'!$B$30+'Inputs'!$B$31+'Inputs'!$B$32)/1000+'Inputs'!$B$21+'Inputs'!$B$7+'Inputs'!$B$10))^2+('Inputs'!$B$8/2)^2))))*'Results'!$B$8)+'Inputs'!$B$28*ABS((('Results'!B7*(1+'Inputs'!$B$24)*(0.5*((((647-43)*MAX('Inputs'!$B$33,'Inputs'!$B$29+'Inputs'!$B$31+'Inputs'!$B$32,'Inputs'!$B$30+'Inputs'!$B$31+'Inputs'!$B$32)/1000+'Inputs'!$B$21)+'Inputs'!$B$7)/SQRT((((647-43)*MAX('Inputs'!$B$33,'Inputs'!$B$29+'Inputs'!$B$31+'Inputs'!$B$32,'Inputs'!$B$30+'Inputs'!$B$31+'Inputs'!$B$32)/1000+'Inputs'!$B$21)+'Inputs'!$B$7)^2+('Inputs'!$B$6/2)^2)-(((647-43)*MAX('Inputs'!$B$33,'Inputs'!$B$29+'Inputs'!$B$31+'Inputs'!$B$32,'Inputs'!$B$30+'Inputs'!$B$31+'Inputs'!$B$32)/1000+'Inputs'!$B$21))/SQRT((((647-43)*MAX('Inputs'!$B$33,'Inputs'!$B$29+'Inputs'!$B$31+'Inputs'!$B$32,'Inputs'!$B$30+'Inputs'!$B$31+'Inputs'!$B$32)/1000+'Inputs'!$B$21))^2+('Inputs'!$B$6/2)^2)))-'Results'!C7*(1-'Inputs'!$B$24)*(0.5*((((647-43)*MAX('Inputs'!$B$33,'Inputs'!$B$29+'Inputs'!$B$31+'Inputs'!$B$32,'Inputs'!$B$30+'Inputs'!$B$31+'Inputs'!$B$32)/1000+'Inputs'!$B$21+'Inputs'!$B$7+'Inputs'!$B$10)+'Inputs'!$B$9)/SQRT((((647-43)*MAX('Inputs'!$B$33,'Inputs'!$B$29+'Inputs'!$B$31+'Inputs'!$B$32,'Inputs'!$B$30+'Inputs'!$B$31+'Inputs'!$B$32)/1000+'Inputs'!$B$21+'Inputs'!$B$7+'Inputs'!$B$10)+'Inputs'!$B$9)^2+('Inputs'!$B$8/2)^2)-(((647-43)*MAX('Inputs'!$B$33,'Inputs'!$B$29+'Inputs'!$B$31+'Inputs'!$B$32,'Inputs'!$B$30+'Inputs'!$B$31+'Inputs'!$B$32)/1000+'Inputs'!$B$21+'Inputs'!$B$7+'Inputs'!$B$10))/SQRT((((647-43)*MAX('Inputs'!$B$33,'Inputs'!$B$29+'Inputs'!$B$31+'Inputs'!$B$32,'Inputs'!$B$30+'Inputs'!$B$31+'Inputs'!$B$32)/1000+'Inputs'!$B$21+'Inputs'!$B$7+'Inputs'!$B$10))^2+('Inputs'!$B$8/2)^2))))*'Results'!$B$8))),"")</x:f>
        <x:v>2.4625362063229312</x:v>
      </x:c>
      <x:c r="M647" t="n">
        <x:f>IF(AND(ISNUMBER('Results'!C7),ISNUMBER('Results'!B7),ISNUMBER('Results'!$B$8),ISNUMBER('Inputs'!$B$6),ISNUMBER('Inputs'!$B$7),ISNUMBER('Inputs'!$B$8),ISNUMBER('Inputs'!$B$9),ISNUMBER('Inputs'!$B$10),ISNUMBER('Inputs'!$B$21),ISNUMBER('Inputs'!$B$24),ISNUMBER('Inputs'!$B$28)),(('Results'!C7*(0.5*((((647-43)*MAX('Inputs'!$B$33,'Inputs'!$B$29+'Inputs'!$B$31+'Inputs'!$B$32,'Inputs'!$B$30+'Inputs'!$B$31+'Inputs'!$B$32)/1000+'Inputs'!$B$21)+'Inputs'!$B$9)/SQRT((((647-43)*MAX('Inputs'!$B$33,'Inputs'!$B$29+'Inputs'!$B$31+'Inputs'!$B$32,'Inputs'!$B$30+'Inputs'!$B$31+'Inputs'!$B$32)/1000+'Inputs'!$B$21)+'Inputs'!$B$9)^2+('Inputs'!$B$8/2)^2)-(((647-43)*MAX('Inputs'!$B$33,'Inputs'!$B$29+'Inputs'!$B$31+'Inputs'!$B$32,'Inputs'!$B$30+'Inputs'!$B$31+'Inputs'!$B$32)/1000+'Inputs'!$B$21))/SQRT((((647-43)*MAX('Inputs'!$B$33,'Inputs'!$B$29+'Inputs'!$B$31+'Inputs'!$B$32,'Inputs'!$B$30+'Inputs'!$B$31+'Inputs'!$B$32)/1000+'Inputs'!$B$21))^2+('Inputs'!$B$8/2)^2)))-'Results'!B7*(0.5*((((647-43)*MAX('Inputs'!$B$33,'Inputs'!$B$29+'Inputs'!$B$31+'Inputs'!$B$32,'Inputs'!$B$30+'Inputs'!$B$31+'Inputs'!$B$32)/1000+'Inputs'!$B$21+'Inputs'!$B$9+'Inputs'!$B$10)+'Inputs'!$B$7)/SQRT((((647-43)*MAX('Inputs'!$B$33,'Inputs'!$B$29+'Inputs'!$B$31+'Inputs'!$B$32,'Inputs'!$B$30+'Inputs'!$B$31+'Inputs'!$B$32)/1000+'Inputs'!$B$21+'Inputs'!$B$9+'Inputs'!$B$10)+'Inputs'!$B$7)^2+('Inputs'!$B$6/2)^2)-(((647-43)*MAX('Inputs'!$B$33,'Inputs'!$B$29+'Inputs'!$B$31+'Inputs'!$B$32,'Inputs'!$B$30+'Inputs'!$B$31+'Inputs'!$B$32)/1000+'Inputs'!$B$21+'Inputs'!$B$9+'Inputs'!$B$10))/SQRT((((647-43)*MAX('Inputs'!$B$33,'Inputs'!$B$29+'Inputs'!$B$31+'Inputs'!$B$32,'Inputs'!$B$30+'Inputs'!$B$31+'Inputs'!$B$32)/1000+'Inputs'!$B$21+'Inputs'!$B$9+'Inputs'!$B$10))^2+('Inputs'!$B$6/2)^2))))*'Results'!$B$8),"")</x:f>
        <x:v>2.0020684343925956</x:v>
      </x:c>
      <x:c r="N647" t="n">
        <x:f>IF(AND(ISNUMBER('Results'!C7),ISNUMBER('Results'!B7),ISNUMBER('Results'!$B$8),ISNUMBER('Inputs'!$B$6),ISNUMBER('Inputs'!$B$7),ISNUMBER('Inputs'!$B$8),ISNUMBER('Inputs'!$B$9),ISNUMBER('Inputs'!$B$10),ISNUMBER('Inputs'!$B$21),ISNUMBER('Inputs'!$B$24),ISNUMBER('Inputs'!$B$28)),((('Results'!C7*(1-'Inputs'!$B$24)*(0.5*((((647-43)*MAX('Inputs'!$B$33,'Inputs'!$B$29+'Inputs'!$B$31+'Inputs'!$B$32,'Inputs'!$B$30+'Inputs'!$B$31+'Inputs'!$B$32)/1000+'Inputs'!$B$21)+'Inputs'!$B$9)/SQRT((((647-43)*MAX('Inputs'!$B$33,'Inputs'!$B$29+'Inputs'!$B$31+'Inputs'!$B$32,'Inputs'!$B$30+'Inputs'!$B$31+'Inputs'!$B$32)/1000+'Inputs'!$B$21)+'Inputs'!$B$9)^2+('Inputs'!$B$8/2)^2)-(((647-43)*MAX('Inputs'!$B$33,'Inputs'!$B$29+'Inputs'!$B$31+'Inputs'!$B$32,'Inputs'!$B$30+'Inputs'!$B$31+'Inputs'!$B$32)/1000+'Inputs'!$B$21))/SQRT((((647-43)*MAX('Inputs'!$B$33,'Inputs'!$B$29+'Inputs'!$B$31+'Inputs'!$B$32,'Inputs'!$B$30+'Inputs'!$B$31+'Inputs'!$B$32)/1000+'Inputs'!$B$21))^2+('Inputs'!$B$8/2)^2)))-'Results'!B7*(1+'Inputs'!$B$24)*(0.5*((((647-43)*MAX('Inputs'!$B$33,'Inputs'!$B$29+'Inputs'!$B$31+'Inputs'!$B$32,'Inputs'!$B$30+'Inputs'!$B$31+'Inputs'!$B$32)/1000+'Inputs'!$B$21+'Inputs'!$B$9+'Inputs'!$B$10)+'Inputs'!$B$7)/SQRT((((647-43)*MAX('Inputs'!$B$33,'Inputs'!$B$29+'Inputs'!$B$31+'Inputs'!$B$32,'Inputs'!$B$30+'Inputs'!$B$31+'Inputs'!$B$32)/1000+'Inputs'!$B$21+'Inputs'!$B$9+'Inputs'!$B$10)+'Inputs'!$B$7)^2+('Inputs'!$B$6/2)^2)-(((647-43)*MAX('Inputs'!$B$33,'Inputs'!$B$29+'Inputs'!$B$31+'Inputs'!$B$32,'Inputs'!$B$30+'Inputs'!$B$31+'Inputs'!$B$32)/1000+'Inputs'!$B$21+'Inputs'!$B$9+'Inputs'!$B$10))/SQRT((((647-43)*MAX('Inputs'!$B$33,'Inputs'!$B$29+'Inputs'!$B$31+'Inputs'!$B$32,'Inputs'!$B$30+'Inputs'!$B$31+'Inputs'!$B$32)/1000+'Inputs'!$B$21+'Inputs'!$B$9+'Inputs'!$B$10))^2+('Inputs'!$B$6/2)^2))))*'Results'!$B$8)-'Inputs'!$B$28*ABS((('Results'!C7*(1-'Inputs'!$B$24)*(0.5*((((647-43)*MAX('Inputs'!$B$33,'Inputs'!$B$29+'Inputs'!$B$31+'Inputs'!$B$32,'Inputs'!$B$30+'Inputs'!$B$31+'Inputs'!$B$32)/1000+'Inputs'!$B$21)+'Inputs'!$B$9)/SQRT((((647-43)*MAX('Inputs'!$B$33,'Inputs'!$B$29+'Inputs'!$B$31+'Inputs'!$B$32,'Inputs'!$B$30+'Inputs'!$B$31+'Inputs'!$B$32)/1000+'Inputs'!$B$21)+'Inputs'!$B$9)^2+('Inputs'!$B$8/2)^2)-(((647-43)*MAX('Inputs'!$B$33,'Inputs'!$B$29+'Inputs'!$B$31+'Inputs'!$B$32,'Inputs'!$B$30+'Inputs'!$B$31+'Inputs'!$B$32)/1000+'Inputs'!$B$21))/SQRT((((647-43)*MAX('Inputs'!$B$33,'Inputs'!$B$29+'Inputs'!$B$31+'Inputs'!$B$32,'Inputs'!$B$30+'Inputs'!$B$31+'Inputs'!$B$32)/1000+'Inputs'!$B$21))^2+('Inputs'!$B$8/2)^2)))-'Results'!B7*(1+'Inputs'!$B$24)*(0.5*((((647-43)*MAX('Inputs'!$B$33,'Inputs'!$B$29+'Inputs'!$B$31+'Inputs'!$B$32,'Inputs'!$B$30+'Inputs'!$B$31+'Inputs'!$B$32)/1000+'Inputs'!$B$21+'Inputs'!$B$9+'Inputs'!$B$10)+'Inputs'!$B$7)/SQRT((((647-43)*MAX('Inputs'!$B$33,'Inputs'!$B$29+'Inputs'!$B$31+'Inputs'!$B$32,'Inputs'!$B$30+'Inputs'!$B$31+'Inputs'!$B$32)/1000+'Inputs'!$B$21+'Inputs'!$B$9+'Inputs'!$B$10)+'Inputs'!$B$7)^2+('Inputs'!$B$6/2)^2)-(((647-43)*MAX('Inputs'!$B$33,'Inputs'!$B$29+'Inputs'!$B$31+'Inputs'!$B$32,'Inputs'!$B$30+'Inputs'!$B$31+'Inputs'!$B$32)/1000+'Inputs'!$B$21+'Inputs'!$B$9+'Inputs'!$B$10))/SQRT((((647-43)*MAX('Inputs'!$B$33,'Inputs'!$B$29+'Inputs'!$B$31+'Inputs'!$B$32,'Inputs'!$B$30+'Inputs'!$B$31+'Inputs'!$B$32)/1000+'Inputs'!$B$21+'Inputs'!$B$9+'Inputs'!$B$10))^2+('Inputs'!$B$6/2)^2))))*'Results'!$B$8))),"")</x:f>
        <x:v>1.7403623905842072</x:v>
      </x:c>
      <x:c r="O647" t="n">
        <x:f>IF(AND(ISNUMBER('Results'!C7),ISNUMBER('Results'!B7),ISNUMBER('Results'!$B$8),ISNUMBER('Inputs'!$B$6),ISNUMBER('Inputs'!$B$7),ISNUMBER('Inputs'!$B$8),ISNUMBER('Inputs'!$B$9),ISNUMBER('Inputs'!$B$10),ISNUMBER('Inputs'!$B$21),ISNUMBER('Inputs'!$B$24),ISNUMBER('Inputs'!$B$28)),((('Results'!C7*(1+'Inputs'!$B$24)*(0.5*((((647-43)*MAX('Inputs'!$B$33,'Inputs'!$B$29+'Inputs'!$B$31+'Inputs'!$B$32,'Inputs'!$B$30+'Inputs'!$B$31+'Inputs'!$B$32)/1000+'Inputs'!$B$21)+'Inputs'!$B$9)/SQRT((((647-43)*MAX('Inputs'!$B$33,'Inputs'!$B$29+'Inputs'!$B$31+'Inputs'!$B$32,'Inputs'!$B$30+'Inputs'!$B$31+'Inputs'!$B$32)/1000+'Inputs'!$B$21)+'Inputs'!$B$9)^2+('Inputs'!$B$8/2)^2)-(((647-43)*MAX('Inputs'!$B$33,'Inputs'!$B$29+'Inputs'!$B$31+'Inputs'!$B$32,'Inputs'!$B$30+'Inputs'!$B$31+'Inputs'!$B$32)/1000+'Inputs'!$B$21))/SQRT((((647-43)*MAX('Inputs'!$B$33,'Inputs'!$B$29+'Inputs'!$B$31+'Inputs'!$B$32,'Inputs'!$B$30+'Inputs'!$B$31+'Inputs'!$B$32)/1000+'Inputs'!$B$21))^2+('Inputs'!$B$8/2)^2)))-'Results'!B7*(1-'Inputs'!$B$24)*(0.5*((((647-43)*MAX('Inputs'!$B$33,'Inputs'!$B$29+'Inputs'!$B$31+'Inputs'!$B$32,'Inputs'!$B$30+'Inputs'!$B$31+'Inputs'!$B$32)/1000+'Inputs'!$B$21+'Inputs'!$B$9+'Inputs'!$B$10)+'Inputs'!$B$7)/SQRT((((647-43)*MAX('Inputs'!$B$33,'Inputs'!$B$29+'Inputs'!$B$31+'Inputs'!$B$32,'Inputs'!$B$30+'Inputs'!$B$31+'Inputs'!$B$32)/1000+'Inputs'!$B$21+'Inputs'!$B$9+'Inputs'!$B$10)+'Inputs'!$B$7)^2+('Inputs'!$B$6/2)^2)-(((647-43)*MAX('Inputs'!$B$33,'Inputs'!$B$29+'Inputs'!$B$31+'Inputs'!$B$32,'Inputs'!$B$30+'Inputs'!$B$31+'Inputs'!$B$32)/1000+'Inputs'!$B$21+'Inputs'!$B$9+'Inputs'!$B$10))/SQRT((((647-43)*MAX('Inputs'!$B$33,'Inputs'!$B$29+'Inputs'!$B$31+'Inputs'!$B$32,'Inputs'!$B$30+'Inputs'!$B$31+'Inputs'!$B$32)/1000+'Inputs'!$B$21+'Inputs'!$B$9+'Inputs'!$B$10))^2+('Inputs'!$B$6/2)^2))))*'Results'!$B$8)+'Inputs'!$B$28*ABS((('Results'!C7*(1+'Inputs'!$B$24)*(0.5*((((647-43)*MAX('Inputs'!$B$33,'Inputs'!$B$29+'Inputs'!$B$31+'Inputs'!$B$32,'Inputs'!$B$30+'Inputs'!$B$31+'Inputs'!$B$32)/1000+'Inputs'!$B$21)+'Inputs'!$B$9)/SQRT((((647-43)*MAX('Inputs'!$B$33,'Inputs'!$B$29+'Inputs'!$B$31+'Inputs'!$B$32,'Inputs'!$B$30+'Inputs'!$B$31+'Inputs'!$B$32)/1000+'Inputs'!$B$21)+'Inputs'!$B$9)^2+('Inputs'!$B$8/2)^2)-(((647-43)*MAX('Inputs'!$B$33,'Inputs'!$B$29+'Inputs'!$B$31+'Inputs'!$B$32,'Inputs'!$B$30+'Inputs'!$B$31+'Inputs'!$B$32)/1000+'Inputs'!$B$21))/SQRT((((647-43)*MAX('Inputs'!$B$33,'Inputs'!$B$29+'Inputs'!$B$31+'Inputs'!$B$32,'Inputs'!$B$30+'Inputs'!$B$31+'Inputs'!$B$32)/1000+'Inputs'!$B$21))^2+('Inputs'!$B$8/2)^2)))-'Results'!B7*(1-'Inputs'!$B$24)*(0.5*((((647-43)*MAX('Inputs'!$B$33,'Inputs'!$B$29+'Inputs'!$B$31+'Inputs'!$B$32,'Inputs'!$B$30+'Inputs'!$B$31+'Inputs'!$B$32)/1000+'Inputs'!$B$21+'Inputs'!$B$9+'Inputs'!$B$10)+'Inputs'!$B$7)/SQRT((((647-43)*MAX('Inputs'!$B$33,'Inputs'!$B$29+'Inputs'!$B$31+'Inputs'!$B$32,'Inputs'!$B$30+'Inputs'!$B$31+'Inputs'!$B$32)/1000+'Inputs'!$B$21+'Inputs'!$B$9+'Inputs'!$B$10)+'Inputs'!$B$7)^2+('Inputs'!$B$6/2)^2)-(((647-43)*MAX('Inputs'!$B$33,'Inputs'!$B$29+'Inputs'!$B$31+'Inputs'!$B$32,'Inputs'!$B$30+'Inputs'!$B$31+'Inputs'!$B$32)/1000+'Inputs'!$B$21+'Inputs'!$B$9+'Inputs'!$B$10))/SQRT((((647-43)*MAX('Inputs'!$B$33,'Inputs'!$B$29+'Inputs'!$B$31+'Inputs'!$B$32,'Inputs'!$B$30+'Inputs'!$B$31+'Inputs'!$B$32)/1000+'Inputs'!$B$21+'Inputs'!$B$9+'Inputs'!$B$10))^2+('Inputs'!$B$6/2)^2))))*'Results'!$B$8))),"")</x:f>
        <x:v>2.2807852805261173</x:v>
      </x:c>
      <x:c r="P647" t="n">
        <x:f>IF(AND(MAX(J647,J646)&gt;0,J647&gt;J646+0.00000001),1,0)</x:f>
        <x:v>0</x:v>
      </x:c>
      <x:c r="Q647" t="n">
        <x:f>IF(AND(MAX(K647,K646)&gt;0,K647&gt;K646+0.00000001),1,0)</x:f>
        <x:v>0</x:v>
      </x:c>
      <x:c r="R647" t="n">
        <x:f>IF(AND(MAX(L647,L646)&gt;0,L647&gt;L646+0.00000001),1,0)</x:f>
        <x:v>0</x:v>
      </x:c>
      <x:c r="S647" t="n">
        <x:f>IF(AND(MAX(M647,M646)&gt;0,M647&gt;M646+0.00000001),1,0)</x:f>
        <x:v>0</x:v>
      </x:c>
      <x:c r="T647" t="n">
        <x:f>IF(AND(MAX(N647,N646)&gt;0,N647&gt;N646+0.00000001),1,0)</x:f>
        <x:v>0</x:v>
      </x:c>
      <x:c r="U647" t="n">
        <x:f>IF(AND(MAX(O647,O646)&gt;0,O647&gt;O646+0.00000001),1,0)</x:f>
        <x:v>0</x:v>
      </x:c>
    </x:row>
    <x:row r="648">
      <x:c r="J648" t="n">
        <x:f>IF(AND(ISNUMBER('Results'!B7),ISNUMBER('Results'!C7),ISNUMBER('Results'!$B$8),ISNUMBER('Inputs'!$B$6),ISNUMBER('Inputs'!$B$7),ISNUMBER('Inputs'!$B$8),ISNUMBER('Inputs'!$B$9),ISNUMBER('Inputs'!$B$10),ISNUMBER('Inputs'!$B$21),ISNUMBER('Inputs'!$B$24),ISNUMBER('Inputs'!$B$28)),(('Results'!B7*(0.5*((((648-43)*MAX('Inputs'!$B$33,'Inputs'!$B$29+'Inputs'!$B$31+'Inputs'!$B$32,'Inputs'!$B$30+'Inputs'!$B$31+'Inputs'!$B$32)/1000+'Inputs'!$B$21)+'Inputs'!$B$7)/SQRT((((648-43)*MAX('Inputs'!$B$33,'Inputs'!$B$29+'Inputs'!$B$31+'Inputs'!$B$32,'Inputs'!$B$30+'Inputs'!$B$31+'Inputs'!$B$32)/1000+'Inputs'!$B$21)+'Inputs'!$B$7)^2+('Inputs'!$B$6/2)^2)-(((648-43)*MAX('Inputs'!$B$33,'Inputs'!$B$29+'Inputs'!$B$31+'Inputs'!$B$32,'Inputs'!$B$30+'Inputs'!$B$31+'Inputs'!$B$32)/1000+'Inputs'!$B$21))/SQRT((((648-43)*MAX('Inputs'!$B$33,'Inputs'!$B$29+'Inputs'!$B$31+'Inputs'!$B$32,'Inputs'!$B$30+'Inputs'!$B$31+'Inputs'!$B$32)/1000+'Inputs'!$B$21))^2+('Inputs'!$B$6/2)^2)))-'Results'!C7*(0.5*((((648-43)*MAX('Inputs'!$B$33,'Inputs'!$B$29+'Inputs'!$B$31+'Inputs'!$B$32,'Inputs'!$B$30+'Inputs'!$B$31+'Inputs'!$B$32)/1000+'Inputs'!$B$21+'Inputs'!$B$7+'Inputs'!$B$10)+'Inputs'!$B$9)/SQRT((((648-43)*MAX('Inputs'!$B$33,'Inputs'!$B$29+'Inputs'!$B$31+'Inputs'!$B$32,'Inputs'!$B$30+'Inputs'!$B$31+'Inputs'!$B$32)/1000+'Inputs'!$B$21+'Inputs'!$B$7+'Inputs'!$B$10)+'Inputs'!$B$9)^2+('Inputs'!$B$8/2)^2)-(((648-43)*MAX('Inputs'!$B$33,'Inputs'!$B$29+'Inputs'!$B$31+'Inputs'!$B$32,'Inputs'!$B$30+'Inputs'!$B$31+'Inputs'!$B$32)/1000+'Inputs'!$B$21+'Inputs'!$B$7+'Inputs'!$B$10))/SQRT((((648-43)*MAX('Inputs'!$B$33,'Inputs'!$B$29+'Inputs'!$B$31+'Inputs'!$B$32,'Inputs'!$B$30+'Inputs'!$B$31+'Inputs'!$B$32)/1000+'Inputs'!$B$21+'Inputs'!$B$7+'Inputs'!$B$10))^2+('Inputs'!$B$8/2)^2))))*'Results'!$B$8),"")</x:f>
        <x:v>2.1617729758020494</x:v>
      </x:c>
      <x:c r="K648" t="n">
        <x:f>IF(AND(ISNUMBER('Results'!B7),ISNUMBER('Results'!C7),ISNUMBER('Results'!$B$8),ISNUMBER('Inputs'!$B$6),ISNUMBER('Inputs'!$B$7),ISNUMBER('Inputs'!$B$8),ISNUMBER('Inputs'!$B$9),ISNUMBER('Inputs'!$B$10),ISNUMBER('Inputs'!$B$21),ISNUMBER('Inputs'!$B$24),ISNUMBER('Inputs'!$B$28)),((('Results'!B7*(1-'Inputs'!$B$24)*(0.5*((((648-43)*MAX('Inputs'!$B$33,'Inputs'!$B$29+'Inputs'!$B$31+'Inputs'!$B$32,'Inputs'!$B$30+'Inputs'!$B$31+'Inputs'!$B$32)/1000+'Inputs'!$B$21)+'Inputs'!$B$7)/SQRT((((648-43)*MAX('Inputs'!$B$33,'Inputs'!$B$29+'Inputs'!$B$31+'Inputs'!$B$32,'Inputs'!$B$30+'Inputs'!$B$31+'Inputs'!$B$32)/1000+'Inputs'!$B$21)+'Inputs'!$B$7)^2+('Inputs'!$B$6/2)^2)-(((648-43)*MAX('Inputs'!$B$33,'Inputs'!$B$29+'Inputs'!$B$31+'Inputs'!$B$32,'Inputs'!$B$30+'Inputs'!$B$31+'Inputs'!$B$32)/1000+'Inputs'!$B$21))/SQRT((((648-43)*MAX('Inputs'!$B$33,'Inputs'!$B$29+'Inputs'!$B$31+'Inputs'!$B$32,'Inputs'!$B$30+'Inputs'!$B$31+'Inputs'!$B$32)/1000+'Inputs'!$B$21))^2+('Inputs'!$B$6/2)^2)))-'Results'!C7*(1+'Inputs'!$B$24)*(0.5*((((648-43)*MAX('Inputs'!$B$33,'Inputs'!$B$29+'Inputs'!$B$31+'Inputs'!$B$32,'Inputs'!$B$30+'Inputs'!$B$31+'Inputs'!$B$32)/1000+'Inputs'!$B$21+'Inputs'!$B$7+'Inputs'!$B$10)+'Inputs'!$B$9)/SQRT((((648-43)*MAX('Inputs'!$B$33,'Inputs'!$B$29+'Inputs'!$B$31+'Inputs'!$B$32,'Inputs'!$B$30+'Inputs'!$B$31+'Inputs'!$B$32)/1000+'Inputs'!$B$21+'Inputs'!$B$7+'Inputs'!$B$10)+'Inputs'!$B$9)^2+('Inputs'!$B$8/2)^2)-(((648-43)*MAX('Inputs'!$B$33,'Inputs'!$B$29+'Inputs'!$B$31+'Inputs'!$B$32,'Inputs'!$B$30+'Inputs'!$B$31+'Inputs'!$B$32)/1000+'Inputs'!$B$21+'Inputs'!$B$7+'Inputs'!$B$10))/SQRT((((648-43)*MAX('Inputs'!$B$33,'Inputs'!$B$29+'Inputs'!$B$31+'Inputs'!$B$32,'Inputs'!$B$30+'Inputs'!$B$31+'Inputs'!$B$32)/1000+'Inputs'!$B$21+'Inputs'!$B$7+'Inputs'!$B$10))^2+('Inputs'!$B$8/2)^2))))*'Results'!$B$8)-'Inputs'!$B$28*ABS((('Results'!B7*(1-'Inputs'!$B$24)*(0.5*((((648-43)*MAX('Inputs'!$B$33,'Inputs'!$B$29+'Inputs'!$B$31+'Inputs'!$B$32,'Inputs'!$B$30+'Inputs'!$B$31+'Inputs'!$B$32)/1000+'Inputs'!$B$21)+'Inputs'!$B$7)/SQRT((((648-43)*MAX('Inputs'!$B$33,'Inputs'!$B$29+'Inputs'!$B$31+'Inputs'!$B$32,'Inputs'!$B$30+'Inputs'!$B$31+'Inputs'!$B$32)/1000+'Inputs'!$B$21)+'Inputs'!$B$7)^2+('Inputs'!$B$6/2)^2)-(((648-43)*MAX('Inputs'!$B$33,'Inputs'!$B$29+'Inputs'!$B$31+'Inputs'!$B$32,'Inputs'!$B$30+'Inputs'!$B$31+'Inputs'!$B$32)/1000+'Inputs'!$B$21))/SQRT((((648-43)*MAX('Inputs'!$B$33,'Inputs'!$B$29+'Inputs'!$B$31+'Inputs'!$B$32,'Inputs'!$B$30+'Inputs'!$B$31+'Inputs'!$B$32)/1000+'Inputs'!$B$21))^2+('Inputs'!$B$6/2)^2)))-'Results'!C7*(1+'Inputs'!$B$24)*(0.5*((((648-43)*MAX('Inputs'!$B$33,'Inputs'!$B$29+'Inputs'!$B$31+'Inputs'!$B$32,'Inputs'!$B$30+'Inputs'!$B$31+'Inputs'!$B$32)/1000+'Inputs'!$B$21+'Inputs'!$B$7+'Inputs'!$B$10)+'Inputs'!$B$9)/SQRT((((648-43)*MAX('Inputs'!$B$33,'Inputs'!$B$29+'Inputs'!$B$31+'Inputs'!$B$32,'Inputs'!$B$30+'Inputs'!$B$31+'Inputs'!$B$32)/1000+'Inputs'!$B$21+'Inputs'!$B$7+'Inputs'!$B$10)+'Inputs'!$B$9)^2+('Inputs'!$B$8/2)^2)-(((648-43)*MAX('Inputs'!$B$33,'Inputs'!$B$29+'Inputs'!$B$31+'Inputs'!$B$32,'Inputs'!$B$30+'Inputs'!$B$31+'Inputs'!$B$32)/1000+'Inputs'!$B$21+'Inputs'!$B$7+'Inputs'!$B$10))/SQRT((((648-43)*MAX('Inputs'!$B$33,'Inputs'!$B$29+'Inputs'!$B$31+'Inputs'!$B$32,'Inputs'!$B$30+'Inputs'!$B$31+'Inputs'!$B$32)/1000+'Inputs'!$B$21+'Inputs'!$B$7+'Inputs'!$B$10))^2+('Inputs'!$B$8/2)^2))))*'Results'!$B$8))),"")</x:f>
        <x:v>1.8920040100019648</x:v>
      </x:c>
      <x:c r="L648" t="n">
        <x:f>IF(AND(ISNUMBER('Results'!B7),ISNUMBER('Results'!C7),ISNUMBER('Results'!$B$8),ISNUMBER('Inputs'!$B$6),ISNUMBER('Inputs'!$B$7),ISNUMBER('Inputs'!$B$8),ISNUMBER('Inputs'!$B$9),ISNUMBER('Inputs'!$B$10),ISNUMBER('Inputs'!$B$21),ISNUMBER('Inputs'!$B$24),ISNUMBER('Inputs'!$B$28)),((('Results'!B7*(1+'Inputs'!$B$24)*(0.5*((((648-43)*MAX('Inputs'!$B$33,'Inputs'!$B$29+'Inputs'!$B$31+'Inputs'!$B$32,'Inputs'!$B$30+'Inputs'!$B$31+'Inputs'!$B$32)/1000+'Inputs'!$B$21)+'Inputs'!$B$7)/SQRT((((648-43)*MAX('Inputs'!$B$33,'Inputs'!$B$29+'Inputs'!$B$31+'Inputs'!$B$32,'Inputs'!$B$30+'Inputs'!$B$31+'Inputs'!$B$32)/1000+'Inputs'!$B$21)+'Inputs'!$B$7)^2+('Inputs'!$B$6/2)^2)-(((648-43)*MAX('Inputs'!$B$33,'Inputs'!$B$29+'Inputs'!$B$31+'Inputs'!$B$32,'Inputs'!$B$30+'Inputs'!$B$31+'Inputs'!$B$32)/1000+'Inputs'!$B$21))/SQRT((((648-43)*MAX('Inputs'!$B$33,'Inputs'!$B$29+'Inputs'!$B$31+'Inputs'!$B$32,'Inputs'!$B$30+'Inputs'!$B$31+'Inputs'!$B$32)/1000+'Inputs'!$B$21))^2+('Inputs'!$B$6/2)^2)))-'Results'!C7*(1-'Inputs'!$B$24)*(0.5*((((648-43)*MAX('Inputs'!$B$33,'Inputs'!$B$29+'Inputs'!$B$31+'Inputs'!$B$32,'Inputs'!$B$30+'Inputs'!$B$31+'Inputs'!$B$32)/1000+'Inputs'!$B$21+'Inputs'!$B$7+'Inputs'!$B$10)+'Inputs'!$B$9)/SQRT((((648-43)*MAX('Inputs'!$B$33,'Inputs'!$B$29+'Inputs'!$B$31+'Inputs'!$B$32,'Inputs'!$B$30+'Inputs'!$B$31+'Inputs'!$B$32)/1000+'Inputs'!$B$21+'Inputs'!$B$7+'Inputs'!$B$10)+'Inputs'!$B$9)^2+('Inputs'!$B$8/2)^2)-(((648-43)*MAX('Inputs'!$B$33,'Inputs'!$B$29+'Inputs'!$B$31+'Inputs'!$B$32,'Inputs'!$B$30+'Inputs'!$B$31+'Inputs'!$B$32)/1000+'Inputs'!$B$21+'Inputs'!$B$7+'Inputs'!$B$10))/SQRT((((648-43)*MAX('Inputs'!$B$33,'Inputs'!$B$29+'Inputs'!$B$31+'Inputs'!$B$32,'Inputs'!$B$30+'Inputs'!$B$31+'Inputs'!$B$32)/1000+'Inputs'!$B$21+'Inputs'!$B$7+'Inputs'!$B$10))^2+('Inputs'!$B$8/2)^2))))*'Results'!$B$8)+'Inputs'!$B$28*ABS((('Results'!B7*(1+'Inputs'!$B$24)*(0.5*((((648-43)*MAX('Inputs'!$B$33,'Inputs'!$B$29+'Inputs'!$B$31+'Inputs'!$B$32,'Inputs'!$B$30+'Inputs'!$B$31+'Inputs'!$B$32)/1000+'Inputs'!$B$21)+'Inputs'!$B$7)/SQRT((((648-43)*MAX('Inputs'!$B$33,'Inputs'!$B$29+'Inputs'!$B$31+'Inputs'!$B$32,'Inputs'!$B$30+'Inputs'!$B$31+'Inputs'!$B$32)/1000+'Inputs'!$B$21)+'Inputs'!$B$7)^2+('Inputs'!$B$6/2)^2)-(((648-43)*MAX('Inputs'!$B$33,'Inputs'!$B$29+'Inputs'!$B$31+'Inputs'!$B$32,'Inputs'!$B$30+'Inputs'!$B$31+'Inputs'!$B$32)/1000+'Inputs'!$B$21))/SQRT((((648-43)*MAX('Inputs'!$B$33,'Inputs'!$B$29+'Inputs'!$B$31+'Inputs'!$B$32,'Inputs'!$B$30+'Inputs'!$B$31+'Inputs'!$B$32)/1000+'Inputs'!$B$21))^2+('Inputs'!$B$6/2)^2)))-'Results'!C7*(1-'Inputs'!$B$24)*(0.5*((((648-43)*MAX('Inputs'!$B$33,'Inputs'!$B$29+'Inputs'!$B$31+'Inputs'!$B$32,'Inputs'!$B$30+'Inputs'!$B$31+'Inputs'!$B$32)/1000+'Inputs'!$B$21+'Inputs'!$B$7+'Inputs'!$B$10)+'Inputs'!$B$9)/SQRT((((648-43)*MAX('Inputs'!$B$33,'Inputs'!$B$29+'Inputs'!$B$31+'Inputs'!$B$32,'Inputs'!$B$30+'Inputs'!$B$31+'Inputs'!$B$32)/1000+'Inputs'!$B$21+'Inputs'!$B$7+'Inputs'!$B$10)+'Inputs'!$B$9)^2+('Inputs'!$B$8/2)^2)-(((648-43)*MAX('Inputs'!$B$33,'Inputs'!$B$29+'Inputs'!$B$31+'Inputs'!$B$32,'Inputs'!$B$30+'Inputs'!$B$31+'Inputs'!$B$32)/1000+'Inputs'!$B$21+'Inputs'!$B$7+'Inputs'!$B$10))/SQRT((((648-43)*MAX('Inputs'!$B$33,'Inputs'!$B$29+'Inputs'!$B$31+'Inputs'!$B$32,'Inputs'!$B$30+'Inputs'!$B$31+'Inputs'!$B$32)/1000+'Inputs'!$B$21+'Inputs'!$B$7+'Inputs'!$B$10))^2+('Inputs'!$B$8/2)^2))))*'Results'!$B$8))),"")</x:f>
        <x:v>2.448560922340026</x:v>
      </x:c>
      <x:c r="M648" t="n">
        <x:f>IF(AND(ISNUMBER('Results'!C7),ISNUMBER('Results'!B7),ISNUMBER('Results'!$B$8),ISNUMBER('Inputs'!$B$6),ISNUMBER('Inputs'!$B$7),ISNUMBER('Inputs'!$B$8),ISNUMBER('Inputs'!$B$9),ISNUMBER('Inputs'!$B$10),ISNUMBER('Inputs'!$B$21),ISNUMBER('Inputs'!$B$24),ISNUMBER('Inputs'!$B$28)),(('Results'!C7*(0.5*((((648-43)*MAX('Inputs'!$B$33,'Inputs'!$B$29+'Inputs'!$B$31+'Inputs'!$B$32,'Inputs'!$B$30+'Inputs'!$B$31+'Inputs'!$B$32)/1000+'Inputs'!$B$21)+'Inputs'!$B$9)/SQRT((((648-43)*MAX('Inputs'!$B$33,'Inputs'!$B$29+'Inputs'!$B$31+'Inputs'!$B$32,'Inputs'!$B$30+'Inputs'!$B$31+'Inputs'!$B$32)/1000+'Inputs'!$B$21)+'Inputs'!$B$9)^2+('Inputs'!$B$8/2)^2)-(((648-43)*MAX('Inputs'!$B$33,'Inputs'!$B$29+'Inputs'!$B$31+'Inputs'!$B$32,'Inputs'!$B$30+'Inputs'!$B$31+'Inputs'!$B$32)/1000+'Inputs'!$B$21))/SQRT((((648-43)*MAX('Inputs'!$B$33,'Inputs'!$B$29+'Inputs'!$B$31+'Inputs'!$B$32,'Inputs'!$B$30+'Inputs'!$B$31+'Inputs'!$B$32)/1000+'Inputs'!$B$21))^2+('Inputs'!$B$8/2)^2)))-'Results'!B7*(0.5*((((648-43)*MAX('Inputs'!$B$33,'Inputs'!$B$29+'Inputs'!$B$31+'Inputs'!$B$32,'Inputs'!$B$30+'Inputs'!$B$31+'Inputs'!$B$32)/1000+'Inputs'!$B$21+'Inputs'!$B$9+'Inputs'!$B$10)+'Inputs'!$B$7)/SQRT((((648-43)*MAX('Inputs'!$B$33,'Inputs'!$B$29+'Inputs'!$B$31+'Inputs'!$B$32,'Inputs'!$B$30+'Inputs'!$B$31+'Inputs'!$B$32)/1000+'Inputs'!$B$21+'Inputs'!$B$9+'Inputs'!$B$10)+'Inputs'!$B$7)^2+('Inputs'!$B$6/2)^2)-(((648-43)*MAX('Inputs'!$B$33,'Inputs'!$B$29+'Inputs'!$B$31+'Inputs'!$B$32,'Inputs'!$B$30+'Inputs'!$B$31+'Inputs'!$B$32)/1000+'Inputs'!$B$21+'Inputs'!$B$9+'Inputs'!$B$10))/SQRT((((648-43)*MAX('Inputs'!$B$33,'Inputs'!$B$29+'Inputs'!$B$31+'Inputs'!$B$32,'Inputs'!$B$30+'Inputs'!$B$31+'Inputs'!$B$32)/1000+'Inputs'!$B$21+'Inputs'!$B$9+'Inputs'!$B$10))^2+('Inputs'!$B$6/2)^2))))*'Results'!$B$8),"")</x:f>
        <x:v>1.990287715893908</x:v>
      </x:c>
      <x:c r="N648" t="n">
        <x:f>IF(AND(ISNUMBER('Results'!C7),ISNUMBER('Results'!B7),ISNUMBER('Results'!$B$8),ISNUMBER('Inputs'!$B$6),ISNUMBER('Inputs'!$B$7),ISNUMBER('Inputs'!$B$8),ISNUMBER('Inputs'!$B$9),ISNUMBER('Inputs'!$B$10),ISNUMBER('Inputs'!$B$21),ISNUMBER('Inputs'!$B$24),ISNUMBER('Inputs'!$B$28)),((('Results'!C7*(1-'Inputs'!$B$24)*(0.5*((((648-43)*MAX('Inputs'!$B$33,'Inputs'!$B$29+'Inputs'!$B$31+'Inputs'!$B$32,'Inputs'!$B$30+'Inputs'!$B$31+'Inputs'!$B$32)/1000+'Inputs'!$B$21)+'Inputs'!$B$9)/SQRT((((648-43)*MAX('Inputs'!$B$33,'Inputs'!$B$29+'Inputs'!$B$31+'Inputs'!$B$32,'Inputs'!$B$30+'Inputs'!$B$31+'Inputs'!$B$32)/1000+'Inputs'!$B$21)+'Inputs'!$B$9)^2+('Inputs'!$B$8/2)^2)-(((648-43)*MAX('Inputs'!$B$33,'Inputs'!$B$29+'Inputs'!$B$31+'Inputs'!$B$32,'Inputs'!$B$30+'Inputs'!$B$31+'Inputs'!$B$32)/1000+'Inputs'!$B$21))/SQRT((((648-43)*MAX('Inputs'!$B$33,'Inputs'!$B$29+'Inputs'!$B$31+'Inputs'!$B$32,'Inputs'!$B$30+'Inputs'!$B$31+'Inputs'!$B$32)/1000+'Inputs'!$B$21))^2+('Inputs'!$B$8/2)^2)))-'Results'!B7*(1+'Inputs'!$B$24)*(0.5*((((648-43)*MAX('Inputs'!$B$33,'Inputs'!$B$29+'Inputs'!$B$31+'Inputs'!$B$32,'Inputs'!$B$30+'Inputs'!$B$31+'Inputs'!$B$32)/1000+'Inputs'!$B$21+'Inputs'!$B$9+'Inputs'!$B$10)+'Inputs'!$B$7)/SQRT((((648-43)*MAX('Inputs'!$B$33,'Inputs'!$B$29+'Inputs'!$B$31+'Inputs'!$B$32,'Inputs'!$B$30+'Inputs'!$B$31+'Inputs'!$B$32)/1000+'Inputs'!$B$21+'Inputs'!$B$9+'Inputs'!$B$10)+'Inputs'!$B$7)^2+('Inputs'!$B$6/2)^2)-(((648-43)*MAX('Inputs'!$B$33,'Inputs'!$B$29+'Inputs'!$B$31+'Inputs'!$B$32,'Inputs'!$B$30+'Inputs'!$B$31+'Inputs'!$B$32)/1000+'Inputs'!$B$21+'Inputs'!$B$9+'Inputs'!$B$10))/SQRT((((648-43)*MAX('Inputs'!$B$33,'Inputs'!$B$29+'Inputs'!$B$31+'Inputs'!$B$32,'Inputs'!$B$30+'Inputs'!$B$31+'Inputs'!$B$32)/1000+'Inputs'!$B$21+'Inputs'!$B$9+'Inputs'!$B$10))^2+('Inputs'!$B$6/2)^2))))*'Results'!$B$8)-'Inputs'!$B$28*ABS((('Results'!C7*(1-'Inputs'!$B$24)*(0.5*((((648-43)*MAX('Inputs'!$B$33,'Inputs'!$B$29+'Inputs'!$B$31+'Inputs'!$B$32,'Inputs'!$B$30+'Inputs'!$B$31+'Inputs'!$B$32)/1000+'Inputs'!$B$21)+'Inputs'!$B$9)/SQRT((((648-43)*MAX('Inputs'!$B$33,'Inputs'!$B$29+'Inputs'!$B$31+'Inputs'!$B$32,'Inputs'!$B$30+'Inputs'!$B$31+'Inputs'!$B$32)/1000+'Inputs'!$B$21)+'Inputs'!$B$9)^2+('Inputs'!$B$8/2)^2)-(((648-43)*MAX('Inputs'!$B$33,'Inputs'!$B$29+'Inputs'!$B$31+'Inputs'!$B$32,'Inputs'!$B$30+'Inputs'!$B$31+'Inputs'!$B$32)/1000+'Inputs'!$B$21))/SQRT((((648-43)*MAX('Inputs'!$B$33,'Inputs'!$B$29+'Inputs'!$B$31+'Inputs'!$B$32,'Inputs'!$B$30+'Inputs'!$B$31+'Inputs'!$B$32)/1000+'Inputs'!$B$21))^2+('Inputs'!$B$8/2)^2)))-'Results'!B7*(1+'Inputs'!$B$24)*(0.5*((((648-43)*MAX('Inputs'!$B$33,'Inputs'!$B$29+'Inputs'!$B$31+'Inputs'!$B$32,'Inputs'!$B$30+'Inputs'!$B$31+'Inputs'!$B$32)/1000+'Inputs'!$B$21+'Inputs'!$B$9+'Inputs'!$B$10)+'Inputs'!$B$7)/SQRT((((648-43)*MAX('Inputs'!$B$33,'Inputs'!$B$29+'Inputs'!$B$31+'Inputs'!$B$32,'Inputs'!$B$30+'Inputs'!$B$31+'Inputs'!$B$32)/1000+'Inputs'!$B$21+'Inputs'!$B$9+'Inputs'!$B$10)+'Inputs'!$B$7)^2+('Inputs'!$B$6/2)^2)-(((648-43)*MAX('Inputs'!$B$33,'Inputs'!$B$29+'Inputs'!$B$31+'Inputs'!$B$32,'Inputs'!$B$30+'Inputs'!$B$31+'Inputs'!$B$32)/1000+'Inputs'!$B$21+'Inputs'!$B$9+'Inputs'!$B$10))/SQRT((((648-43)*MAX('Inputs'!$B$33,'Inputs'!$B$29+'Inputs'!$B$31+'Inputs'!$B$32,'Inputs'!$B$30+'Inputs'!$B$31+'Inputs'!$B$32)/1000+'Inputs'!$B$21+'Inputs'!$B$9+'Inputs'!$B$10))^2+('Inputs'!$B$6/2)^2))))*'Results'!$B$8))),"")</x:f>
        <x:v>1.7298898732219812</x:v>
      </x:c>
      <x:c r="O648" t="n">
        <x:f>IF(AND(ISNUMBER('Results'!C7),ISNUMBER('Results'!B7),ISNUMBER('Results'!$B$8),ISNUMBER('Inputs'!$B$6),ISNUMBER('Inputs'!$B$7),ISNUMBER('Inputs'!$B$8),ISNUMBER('Inputs'!$B$9),ISNUMBER('Inputs'!$B$10),ISNUMBER('Inputs'!$B$21),ISNUMBER('Inputs'!$B$24),ISNUMBER('Inputs'!$B$28)),((('Results'!C7*(1+'Inputs'!$B$24)*(0.5*((((648-43)*MAX('Inputs'!$B$33,'Inputs'!$B$29+'Inputs'!$B$31+'Inputs'!$B$32,'Inputs'!$B$30+'Inputs'!$B$31+'Inputs'!$B$32)/1000+'Inputs'!$B$21)+'Inputs'!$B$9)/SQRT((((648-43)*MAX('Inputs'!$B$33,'Inputs'!$B$29+'Inputs'!$B$31+'Inputs'!$B$32,'Inputs'!$B$30+'Inputs'!$B$31+'Inputs'!$B$32)/1000+'Inputs'!$B$21)+'Inputs'!$B$9)^2+('Inputs'!$B$8/2)^2)-(((648-43)*MAX('Inputs'!$B$33,'Inputs'!$B$29+'Inputs'!$B$31+'Inputs'!$B$32,'Inputs'!$B$30+'Inputs'!$B$31+'Inputs'!$B$32)/1000+'Inputs'!$B$21))/SQRT((((648-43)*MAX('Inputs'!$B$33,'Inputs'!$B$29+'Inputs'!$B$31+'Inputs'!$B$32,'Inputs'!$B$30+'Inputs'!$B$31+'Inputs'!$B$32)/1000+'Inputs'!$B$21))^2+('Inputs'!$B$8/2)^2)))-'Results'!B7*(1-'Inputs'!$B$24)*(0.5*((((648-43)*MAX('Inputs'!$B$33,'Inputs'!$B$29+'Inputs'!$B$31+'Inputs'!$B$32,'Inputs'!$B$30+'Inputs'!$B$31+'Inputs'!$B$32)/1000+'Inputs'!$B$21+'Inputs'!$B$9+'Inputs'!$B$10)+'Inputs'!$B$7)/SQRT((((648-43)*MAX('Inputs'!$B$33,'Inputs'!$B$29+'Inputs'!$B$31+'Inputs'!$B$32,'Inputs'!$B$30+'Inputs'!$B$31+'Inputs'!$B$32)/1000+'Inputs'!$B$21+'Inputs'!$B$9+'Inputs'!$B$10)+'Inputs'!$B$7)^2+('Inputs'!$B$6/2)^2)-(((648-43)*MAX('Inputs'!$B$33,'Inputs'!$B$29+'Inputs'!$B$31+'Inputs'!$B$32,'Inputs'!$B$30+'Inputs'!$B$31+'Inputs'!$B$32)/1000+'Inputs'!$B$21+'Inputs'!$B$9+'Inputs'!$B$10))/SQRT((((648-43)*MAX('Inputs'!$B$33,'Inputs'!$B$29+'Inputs'!$B$31+'Inputs'!$B$32,'Inputs'!$B$30+'Inputs'!$B$31+'Inputs'!$B$32)/1000+'Inputs'!$B$21+'Inputs'!$B$9+'Inputs'!$B$10))^2+('Inputs'!$B$6/2)^2))))*'Results'!$B$8)+'Inputs'!$B$28*ABS((('Results'!C7*(1+'Inputs'!$B$24)*(0.5*((((648-43)*MAX('Inputs'!$B$33,'Inputs'!$B$29+'Inputs'!$B$31+'Inputs'!$B$32,'Inputs'!$B$30+'Inputs'!$B$31+'Inputs'!$B$32)/1000+'Inputs'!$B$21)+'Inputs'!$B$9)/SQRT((((648-43)*MAX('Inputs'!$B$33,'Inputs'!$B$29+'Inputs'!$B$31+'Inputs'!$B$32,'Inputs'!$B$30+'Inputs'!$B$31+'Inputs'!$B$32)/1000+'Inputs'!$B$21)+'Inputs'!$B$9)^2+('Inputs'!$B$8/2)^2)-(((648-43)*MAX('Inputs'!$B$33,'Inputs'!$B$29+'Inputs'!$B$31+'Inputs'!$B$32,'Inputs'!$B$30+'Inputs'!$B$31+'Inputs'!$B$32)/1000+'Inputs'!$B$21))/SQRT((((648-43)*MAX('Inputs'!$B$33,'Inputs'!$B$29+'Inputs'!$B$31+'Inputs'!$B$32,'Inputs'!$B$30+'Inputs'!$B$31+'Inputs'!$B$32)/1000+'Inputs'!$B$21))^2+('Inputs'!$B$8/2)^2)))-'Results'!B7*(1-'Inputs'!$B$24)*(0.5*((((648-43)*MAX('Inputs'!$B$33,'Inputs'!$B$29+'Inputs'!$B$31+'Inputs'!$B$32,'Inputs'!$B$30+'Inputs'!$B$31+'Inputs'!$B$32)/1000+'Inputs'!$B$21+'Inputs'!$B$9+'Inputs'!$B$10)+'Inputs'!$B$7)/SQRT((((648-43)*MAX('Inputs'!$B$33,'Inputs'!$B$29+'Inputs'!$B$31+'Inputs'!$B$32,'Inputs'!$B$30+'Inputs'!$B$31+'Inputs'!$B$32)/1000+'Inputs'!$B$21+'Inputs'!$B$9+'Inputs'!$B$10)+'Inputs'!$B$7)^2+('Inputs'!$B$6/2)^2)-(((648-43)*MAX('Inputs'!$B$33,'Inputs'!$B$29+'Inputs'!$B$31+'Inputs'!$B$32,'Inputs'!$B$30+'Inputs'!$B$31+'Inputs'!$B$32)/1000+'Inputs'!$B$21+'Inputs'!$B$9+'Inputs'!$B$10))/SQRT((((648-43)*MAX('Inputs'!$B$33,'Inputs'!$B$29+'Inputs'!$B$31+'Inputs'!$B$32,'Inputs'!$B$30+'Inputs'!$B$31+'Inputs'!$B$32)/1000+'Inputs'!$B$21+'Inputs'!$B$9+'Inputs'!$B$10))^2+('Inputs'!$B$6/2)^2))))*'Results'!$B$8))),"")</x:f>
        <x:v>2.267620659289755</x:v>
      </x:c>
      <x:c r="P648" t="n">
        <x:f>IF(AND(MAX(J648,J647)&gt;0,J648&gt;J647+0.00000001),1,0)</x:f>
        <x:v>0</x:v>
      </x:c>
      <x:c r="Q648" t="n">
        <x:f>IF(AND(MAX(K648,K647)&gt;0,K648&gt;K647+0.00000001),1,0)</x:f>
        <x:v>0</x:v>
      </x:c>
      <x:c r="R648" t="n">
        <x:f>IF(AND(MAX(L648,L647)&gt;0,L648&gt;L647+0.00000001),1,0)</x:f>
        <x:v>0</x:v>
      </x:c>
      <x:c r="S648" t="n">
        <x:f>IF(AND(MAX(M648,M647)&gt;0,M648&gt;M647+0.00000001),1,0)</x:f>
        <x:v>0</x:v>
      </x:c>
      <x:c r="T648" t="n">
        <x:f>IF(AND(MAX(N648,N647)&gt;0,N648&gt;N647+0.00000001),1,0)</x:f>
        <x:v>0</x:v>
      </x:c>
      <x:c r="U648" t="n">
        <x:f>IF(AND(MAX(O648,O647)&gt;0,O648&gt;O647+0.00000001),1,0)</x:f>
        <x:v>0</x:v>
      </x:c>
    </x:row>
    <x:row r="649">
      <x:c r="J649" t="n">
        <x:f>IF(AND(ISNUMBER('Results'!B7),ISNUMBER('Results'!C7),ISNUMBER('Results'!$B$8),ISNUMBER('Inputs'!$B$6),ISNUMBER('Inputs'!$B$7),ISNUMBER('Inputs'!$B$8),ISNUMBER('Inputs'!$B$9),ISNUMBER('Inputs'!$B$10),ISNUMBER('Inputs'!$B$21),ISNUMBER('Inputs'!$B$24),ISNUMBER('Inputs'!$B$28)),(('Results'!B7*(0.5*((((649-43)*MAX('Inputs'!$B$33,'Inputs'!$B$29+'Inputs'!$B$31+'Inputs'!$B$32,'Inputs'!$B$30+'Inputs'!$B$31+'Inputs'!$B$32)/1000+'Inputs'!$B$21)+'Inputs'!$B$7)/SQRT((((649-43)*MAX('Inputs'!$B$33,'Inputs'!$B$29+'Inputs'!$B$31+'Inputs'!$B$32,'Inputs'!$B$30+'Inputs'!$B$31+'Inputs'!$B$32)/1000+'Inputs'!$B$21)+'Inputs'!$B$7)^2+('Inputs'!$B$6/2)^2)-(((649-43)*MAX('Inputs'!$B$33,'Inputs'!$B$29+'Inputs'!$B$31+'Inputs'!$B$32,'Inputs'!$B$30+'Inputs'!$B$31+'Inputs'!$B$32)/1000+'Inputs'!$B$21))/SQRT((((649-43)*MAX('Inputs'!$B$33,'Inputs'!$B$29+'Inputs'!$B$31+'Inputs'!$B$32,'Inputs'!$B$30+'Inputs'!$B$31+'Inputs'!$B$32)/1000+'Inputs'!$B$21))^2+('Inputs'!$B$6/2)^2)))-'Results'!C7*(0.5*((((649-43)*MAX('Inputs'!$B$33,'Inputs'!$B$29+'Inputs'!$B$31+'Inputs'!$B$32,'Inputs'!$B$30+'Inputs'!$B$31+'Inputs'!$B$32)/1000+'Inputs'!$B$21+'Inputs'!$B$7+'Inputs'!$B$10)+'Inputs'!$B$9)/SQRT((((649-43)*MAX('Inputs'!$B$33,'Inputs'!$B$29+'Inputs'!$B$31+'Inputs'!$B$32,'Inputs'!$B$30+'Inputs'!$B$31+'Inputs'!$B$32)/1000+'Inputs'!$B$21+'Inputs'!$B$7+'Inputs'!$B$10)+'Inputs'!$B$9)^2+('Inputs'!$B$8/2)^2)-(((649-43)*MAX('Inputs'!$B$33,'Inputs'!$B$29+'Inputs'!$B$31+'Inputs'!$B$32,'Inputs'!$B$30+'Inputs'!$B$31+'Inputs'!$B$32)/1000+'Inputs'!$B$21+'Inputs'!$B$7+'Inputs'!$B$10))/SQRT((((649-43)*MAX('Inputs'!$B$33,'Inputs'!$B$29+'Inputs'!$B$31+'Inputs'!$B$32,'Inputs'!$B$30+'Inputs'!$B$31+'Inputs'!$B$32)/1000+'Inputs'!$B$21+'Inputs'!$B$7+'Inputs'!$B$10))^2+('Inputs'!$B$8/2)^2))))*'Results'!$B$8),"")</x:f>
        <x:v>2.1493157408954042</x:v>
      </x:c>
      <x:c r="K649" t="n">
        <x:f>IF(AND(ISNUMBER('Results'!B7),ISNUMBER('Results'!C7),ISNUMBER('Results'!$B$8),ISNUMBER('Inputs'!$B$6),ISNUMBER('Inputs'!$B$7),ISNUMBER('Inputs'!$B$8),ISNUMBER('Inputs'!$B$9),ISNUMBER('Inputs'!$B$10),ISNUMBER('Inputs'!$B$21),ISNUMBER('Inputs'!$B$24),ISNUMBER('Inputs'!$B$28)),((('Results'!B7*(1-'Inputs'!$B$24)*(0.5*((((649-43)*MAX('Inputs'!$B$33,'Inputs'!$B$29+'Inputs'!$B$31+'Inputs'!$B$32,'Inputs'!$B$30+'Inputs'!$B$31+'Inputs'!$B$32)/1000+'Inputs'!$B$21)+'Inputs'!$B$7)/SQRT((((649-43)*MAX('Inputs'!$B$33,'Inputs'!$B$29+'Inputs'!$B$31+'Inputs'!$B$32,'Inputs'!$B$30+'Inputs'!$B$31+'Inputs'!$B$32)/1000+'Inputs'!$B$21)+'Inputs'!$B$7)^2+('Inputs'!$B$6/2)^2)-(((649-43)*MAX('Inputs'!$B$33,'Inputs'!$B$29+'Inputs'!$B$31+'Inputs'!$B$32,'Inputs'!$B$30+'Inputs'!$B$31+'Inputs'!$B$32)/1000+'Inputs'!$B$21))/SQRT((((649-43)*MAX('Inputs'!$B$33,'Inputs'!$B$29+'Inputs'!$B$31+'Inputs'!$B$32,'Inputs'!$B$30+'Inputs'!$B$31+'Inputs'!$B$32)/1000+'Inputs'!$B$21))^2+('Inputs'!$B$6/2)^2)))-'Results'!C7*(1+'Inputs'!$B$24)*(0.5*((((649-43)*MAX('Inputs'!$B$33,'Inputs'!$B$29+'Inputs'!$B$31+'Inputs'!$B$32,'Inputs'!$B$30+'Inputs'!$B$31+'Inputs'!$B$32)/1000+'Inputs'!$B$21+'Inputs'!$B$7+'Inputs'!$B$10)+'Inputs'!$B$9)/SQRT((((649-43)*MAX('Inputs'!$B$33,'Inputs'!$B$29+'Inputs'!$B$31+'Inputs'!$B$32,'Inputs'!$B$30+'Inputs'!$B$31+'Inputs'!$B$32)/1000+'Inputs'!$B$21+'Inputs'!$B$7+'Inputs'!$B$10)+'Inputs'!$B$9)^2+('Inputs'!$B$8/2)^2)-(((649-43)*MAX('Inputs'!$B$33,'Inputs'!$B$29+'Inputs'!$B$31+'Inputs'!$B$32,'Inputs'!$B$30+'Inputs'!$B$31+'Inputs'!$B$32)/1000+'Inputs'!$B$21+'Inputs'!$B$7+'Inputs'!$B$10))/SQRT((((649-43)*MAX('Inputs'!$B$33,'Inputs'!$B$29+'Inputs'!$B$31+'Inputs'!$B$32,'Inputs'!$B$30+'Inputs'!$B$31+'Inputs'!$B$32)/1000+'Inputs'!$B$21+'Inputs'!$B$7+'Inputs'!$B$10))^2+('Inputs'!$B$8/2)^2))))*'Results'!$B$8)-'Inputs'!$B$28*ABS((('Results'!B7*(1-'Inputs'!$B$24)*(0.5*((((649-43)*MAX('Inputs'!$B$33,'Inputs'!$B$29+'Inputs'!$B$31+'Inputs'!$B$32,'Inputs'!$B$30+'Inputs'!$B$31+'Inputs'!$B$32)/1000+'Inputs'!$B$21)+'Inputs'!$B$7)/SQRT((((649-43)*MAX('Inputs'!$B$33,'Inputs'!$B$29+'Inputs'!$B$31+'Inputs'!$B$32,'Inputs'!$B$30+'Inputs'!$B$31+'Inputs'!$B$32)/1000+'Inputs'!$B$21)+'Inputs'!$B$7)^2+('Inputs'!$B$6/2)^2)-(((649-43)*MAX('Inputs'!$B$33,'Inputs'!$B$29+'Inputs'!$B$31+'Inputs'!$B$32,'Inputs'!$B$30+'Inputs'!$B$31+'Inputs'!$B$32)/1000+'Inputs'!$B$21))/SQRT((((649-43)*MAX('Inputs'!$B$33,'Inputs'!$B$29+'Inputs'!$B$31+'Inputs'!$B$32,'Inputs'!$B$30+'Inputs'!$B$31+'Inputs'!$B$32)/1000+'Inputs'!$B$21))^2+('Inputs'!$B$6/2)^2)))-'Results'!C7*(1+'Inputs'!$B$24)*(0.5*((((649-43)*MAX('Inputs'!$B$33,'Inputs'!$B$29+'Inputs'!$B$31+'Inputs'!$B$32,'Inputs'!$B$30+'Inputs'!$B$31+'Inputs'!$B$32)/1000+'Inputs'!$B$21+'Inputs'!$B$7+'Inputs'!$B$10)+'Inputs'!$B$9)/SQRT((((649-43)*MAX('Inputs'!$B$33,'Inputs'!$B$29+'Inputs'!$B$31+'Inputs'!$B$32,'Inputs'!$B$30+'Inputs'!$B$31+'Inputs'!$B$32)/1000+'Inputs'!$B$21+'Inputs'!$B$7+'Inputs'!$B$10)+'Inputs'!$B$9)^2+('Inputs'!$B$8/2)^2)-(((649-43)*MAX('Inputs'!$B$33,'Inputs'!$B$29+'Inputs'!$B$31+'Inputs'!$B$32,'Inputs'!$B$30+'Inputs'!$B$31+'Inputs'!$B$32)/1000+'Inputs'!$B$21+'Inputs'!$B$7+'Inputs'!$B$10))/SQRT((((649-43)*MAX('Inputs'!$B$33,'Inputs'!$B$29+'Inputs'!$B$31+'Inputs'!$B$32,'Inputs'!$B$30+'Inputs'!$B$31+'Inputs'!$B$32)/1000+'Inputs'!$B$21+'Inputs'!$B$7+'Inputs'!$B$10))^2+('Inputs'!$B$8/2)^2))))*'Results'!$B$8))),"")</x:f>
        <x:v>1.8808891649718882</x:v>
      </x:c>
      <x:c r="L649" t="n">
        <x:f>IF(AND(ISNUMBER('Results'!B7),ISNUMBER('Results'!C7),ISNUMBER('Results'!$B$8),ISNUMBER('Inputs'!$B$6),ISNUMBER('Inputs'!$B$7),ISNUMBER('Inputs'!$B$8),ISNUMBER('Inputs'!$B$9),ISNUMBER('Inputs'!$B$10),ISNUMBER('Inputs'!$B$21),ISNUMBER('Inputs'!$B$24),ISNUMBER('Inputs'!$B$28)),((('Results'!B7*(1+'Inputs'!$B$24)*(0.5*((((649-43)*MAX('Inputs'!$B$33,'Inputs'!$B$29+'Inputs'!$B$31+'Inputs'!$B$32,'Inputs'!$B$30+'Inputs'!$B$31+'Inputs'!$B$32)/1000+'Inputs'!$B$21)+'Inputs'!$B$7)/SQRT((((649-43)*MAX('Inputs'!$B$33,'Inputs'!$B$29+'Inputs'!$B$31+'Inputs'!$B$32,'Inputs'!$B$30+'Inputs'!$B$31+'Inputs'!$B$32)/1000+'Inputs'!$B$21)+'Inputs'!$B$7)^2+('Inputs'!$B$6/2)^2)-(((649-43)*MAX('Inputs'!$B$33,'Inputs'!$B$29+'Inputs'!$B$31+'Inputs'!$B$32,'Inputs'!$B$30+'Inputs'!$B$31+'Inputs'!$B$32)/1000+'Inputs'!$B$21))/SQRT((((649-43)*MAX('Inputs'!$B$33,'Inputs'!$B$29+'Inputs'!$B$31+'Inputs'!$B$32,'Inputs'!$B$30+'Inputs'!$B$31+'Inputs'!$B$32)/1000+'Inputs'!$B$21))^2+('Inputs'!$B$6/2)^2)))-'Results'!C7*(1-'Inputs'!$B$24)*(0.5*((((649-43)*MAX('Inputs'!$B$33,'Inputs'!$B$29+'Inputs'!$B$31+'Inputs'!$B$32,'Inputs'!$B$30+'Inputs'!$B$31+'Inputs'!$B$32)/1000+'Inputs'!$B$21+'Inputs'!$B$7+'Inputs'!$B$10)+'Inputs'!$B$9)/SQRT((((649-43)*MAX('Inputs'!$B$33,'Inputs'!$B$29+'Inputs'!$B$31+'Inputs'!$B$32,'Inputs'!$B$30+'Inputs'!$B$31+'Inputs'!$B$32)/1000+'Inputs'!$B$21+'Inputs'!$B$7+'Inputs'!$B$10)+'Inputs'!$B$9)^2+('Inputs'!$B$8/2)^2)-(((649-43)*MAX('Inputs'!$B$33,'Inputs'!$B$29+'Inputs'!$B$31+'Inputs'!$B$32,'Inputs'!$B$30+'Inputs'!$B$31+'Inputs'!$B$32)/1000+'Inputs'!$B$21+'Inputs'!$B$7+'Inputs'!$B$10))/SQRT((((649-43)*MAX('Inputs'!$B$33,'Inputs'!$B$29+'Inputs'!$B$31+'Inputs'!$B$32,'Inputs'!$B$30+'Inputs'!$B$31+'Inputs'!$B$32)/1000+'Inputs'!$B$21+'Inputs'!$B$7+'Inputs'!$B$10))^2+('Inputs'!$B$8/2)^2))))*'Results'!$B$8)+'Inputs'!$B$28*ABS((('Results'!B7*(1+'Inputs'!$B$24)*(0.5*((((649-43)*MAX('Inputs'!$B$33,'Inputs'!$B$29+'Inputs'!$B$31+'Inputs'!$B$32,'Inputs'!$B$30+'Inputs'!$B$31+'Inputs'!$B$32)/1000+'Inputs'!$B$21)+'Inputs'!$B$7)/SQRT((((649-43)*MAX('Inputs'!$B$33,'Inputs'!$B$29+'Inputs'!$B$31+'Inputs'!$B$32,'Inputs'!$B$30+'Inputs'!$B$31+'Inputs'!$B$32)/1000+'Inputs'!$B$21)+'Inputs'!$B$7)^2+('Inputs'!$B$6/2)^2)-(((649-43)*MAX('Inputs'!$B$33,'Inputs'!$B$29+'Inputs'!$B$31+'Inputs'!$B$32,'Inputs'!$B$30+'Inputs'!$B$31+'Inputs'!$B$32)/1000+'Inputs'!$B$21))/SQRT((((649-43)*MAX('Inputs'!$B$33,'Inputs'!$B$29+'Inputs'!$B$31+'Inputs'!$B$32,'Inputs'!$B$30+'Inputs'!$B$31+'Inputs'!$B$32)/1000+'Inputs'!$B$21))^2+('Inputs'!$B$6/2)^2)))-'Results'!C7*(1-'Inputs'!$B$24)*(0.5*((((649-43)*MAX('Inputs'!$B$33,'Inputs'!$B$29+'Inputs'!$B$31+'Inputs'!$B$32,'Inputs'!$B$30+'Inputs'!$B$31+'Inputs'!$B$32)/1000+'Inputs'!$B$21+'Inputs'!$B$7+'Inputs'!$B$10)+'Inputs'!$B$9)/SQRT((((649-43)*MAX('Inputs'!$B$33,'Inputs'!$B$29+'Inputs'!$B$31+'Inputs'!$B$32,'Inputs'!$B$30+'Inputs'!$B$31+'Inputs'!$B$32)/1000+'Inputs'!$B$21+'Inputs'!$B$7+'Inputs'!$B$10)+'Inputs'!$B$9)^2+('Inputs'!$B$8/2)^2)-(((649-43)*MAX('Inputs'!$B$33,'Inputs'!$B$29+'Inputs'!$B$31+'Inputs'!$B$32,'Inputs'!$B$30+'Inputs'!$B$31+'Inputs'!$B$32)/1000+'Inputs'!$B$21+'Inputs'!$B$7+'Inputs'!$B$10))/SQRT((((649-43)*MAX('Inputs'!$B$33,'Inputs'!$B$29+'Inputs'!$B$31+'Inputs'!$B$32,'Inputs'!$B$30+'Inputs'!$B$31+'Inputs'!$B$32)/1000+'Inputs'!$B$21+'Inputs'!$B$7+'Inputs'!$B$10))^2+('Inputs'!$B$8/2)^2))))*'Results'!$B$8))),"")</x:f>
        <x:v>2.4346855577535234</x:v>
      </x:c>
      <x:c r="M649" t="n">
        <x:f>IF(AND(ISNUMBER('Results'!C7),ISNUMBER('Results'!B7),ISNUMBER('Results'!$B$8),ISNUMBER('Inputs'!$B$6),ISNUMBER('Inputs'!$B$7),ISNUMBER('Inputs'!$B$8),ISNUMBER('Inputs'!$B$9),ISNUMBER('Inputs'!$B$10),ISNUMBER('Inputs'!$B$21),ISNUMBER('Inputs'!$B$24),ISNUMBER('Inputs'!$B$28)),(('Results'!C7*(0.5*((((649-43)*MAX('Inputs'!$B$33,'Inputs'!$B$29+'Inputs'!$B$31+'Inputs'!$B$32,'Inputs'!$B$30+'Inputs'!$B$31+'Inputs'!$B$32)/1000+'Inputs'!$B$21)+'Inputs'!$B$9)/SQRT((((649-43)*MAX('Inputs'!$B$33,'Inputs'!$B$29+'Inputs'!$B$31+'Inputs'!$B$32,'Inputs'!$B$30+'Inputs'!$B$31+'Inputs'!$B$32)/1000+'Inputs'!$B$21)+'Inputs'!$B$9)^2+('Inputs'!$B$8/2)^2)-(((649-43)*MAX('Inputs'!$B$33,'Inputs'!$B$29+'Inputs'!$B$31+'Inputs'!$B$32,'Inputs'!$B$30+'Inputs'!$B$31+'Inputs'!$B$32)/1000+'Inputs'!$B$21))/SQRT((((649-43)*MAX('Inputs'!$B$33,'Inputs'!$B$29+'Inputs'!$B$31+'Inputs'!$B$32,'Inputs'!$B$30+'Inputs'!$B$31+'Inputs'!$B$32)/1000+'Inputs'!$B$21))^2+('Inputs'!$B$8/2)^2)))-'Results'!B7*(0.5*((((649-43)*MAX('Inputs'!$B$33,'Inputs'!$B$29+'Inputs'!$B$31+'Inputs'!$B$32,'Inputs'!$B$30+'Inputs'!$B$31+'Inputs'!$B$32)/1000+'Inputs'!$B$21+'Inputs'!$B$9+'Inputs'!$B$10)+'Inputs'!$B$7)/SQRT((((649-43)*MAX('Inputs'!$B$33,'Inputs'!$B$29+'Inputs'!$B$31+'Inputs'!$B$32,'Inputs'!$B$30+'Inputs'!$B$31+'Inputs'!$B$32)/1000+'Inputs'!$B$21+'Inputs'!$B$9+'Inputs'!$B$10)+'Inputs'!$B$7)^2+('Inputs'!$B$6/2)^2)-(((649-43)*MAX('Inputs'!$B$33,'Inputs'!$B$29+'Inputs'!$B$31+'Inputs'!$B$32,'Inputs'!$B$30+'Inputs'!$B$31+'Inputs'!$B$32)/1000+'Inputs'!$B$21+'Inputs'!$B$9+'Inputs'!$B$10))/SQRT((((649-43)*MAX('Inputs'!$B$33,'Inputs'!$B$29+'Inputs'!$B$31+'Inputs'!$B$32,'Inputs'!$B$30+'Inputs'!$B$31+'Inputs'!$B$32)/1000+'Inputs'!$B$21+'Inputs'!$B$9+'Inputs'!$B$10))^2+('Inputs'!$B$6/2)^2))))*'Results'!$B$8),"")</x:f>
        <x:v>1.9785930652786612</x:v>
      </x:c>
      <x:c r="N649" t="n">
        <x:f>IF(AND(ISNUMBER('Results'!C7),ISNUMBER('Results'!B7),ISNUMBER('Results'!$B$8),ISNUMBER('Inputs'!$B$6),ISNUMBER('Inputs'!$B$7),ISNUMBER('Inputs'!$B$8),ISNUMBER('Inputs'!$B$9),ISNUMBER('Inputs'!$B$10),ISNUMBER('Inputs'!$B$21),ISNUMBER('Inputs'!$B$24),ISNUMBER('Inputs'!$B$28)),((('Results'!C7*(1-'Inputs'!$B$24)*(0.5*((((649-43)*MAX('Inputs'!$B$33,'Inputs'!$B$29+'Inputs'!$B$31+'Inputs'!$B$32,'Inputs'!$B$30+'Inputs'!$B$31+'Inputs'!$B$32)/1000+'Inputs'!$B$21)+'Inputs'!$B$9)/SQRT((((649-43)*MAX('Inputs'!$B$33,'Inputs'!$B$29+'Inputs'!$B$31+'Inputs'!$B$32,'Inputs'!$B$30+'Inputs'!$B$31+'Inputs'!$B$32)/1000+'Inputs'!$B$21)+'Inputs'!$B$9)^2+('Inputs'!$B$8/2)^2)-(((649-43)*MAX('Inputs'!$B$33,'Inputs'!$B$29+'Inputs'!$B$31+'Inputs'!$B$32,'Inputs'!$B$30+'Inputs'!$B$31+'Inputs'!$B$32)/1000+'Inputs'!$B$21))/SQRT((((649-43)*MAX('Inputs'!$B$33,'Inputs'!$B$29+'Inputs'!$B$31+'Inputs'!$B$32,'Inputs'!$B$30+'Inputs'!$B$31+'Inputs'!$B$32)/1000+'Inputs'!$B$21))^2+('Inputs'!$B$8/2)^2)))-'Results'!B7*(1+'Inputs'!$B$24)*(0.5*((((649-43)*MAX('Inputs'!$B$33,'Inputs'!$B$29+'Inputs'!$B$31+'Inputs'!$B$32,'Inputs'!$B$30+'Inputs'!$B$31+'Inputs'!$B$32)/1000+'Inputs'!$B$21+'Inputs'!$B$9+'Inputs'!$B$10)+'Inputs'!$B$7)/SQRT((((649-43)*MAX('Inputs'!$B$33,'Inputs'!$B$29+'Inputs'!$B$31+'Inputs'!$B$32,'Inputs'!$B$30+'Inputs'!$B$31+'Inputs'!$B$32)/1000+'Inputs'!$B$21+'Inputs'!$B$9+'Inputs'!$B$10)+'Inputs'!$B$7)^2+('Inputs'!$B$6/2)^2)-(((649-43)*MAX('Inputs'!$B$33,'Inputs'!$B$29+'Inputs'!$B$31+'Inputs'!$B$32,'Inputs'!$B$30+'Inputs'!$B$31+'Inputs'!$B$32)/1000+'Inputs'!$B$21+'Inputs'!$B$9+'Inputs'!$B$10))/SQRT((((649-43)*MAX('Inputs'!$B$33,'Inputs'!$B$29+'Inputs'!$B$31+'Inputs'!$B$32,'Inputs'!$B$30+'Inputs'!$B$31+'Inputs'!$B$32)/1000+'Inputs'!$B$21+'Inputs'!$B$9+'Inputs'!$B$10))^2+('Inputs'!$B$6/2)^2))))*'Results'!$B$8)-'Inputs'!$B$28*ABS((('Results'!C7*(1-'Inputs'!$B$24)*(0.5*((((649-43)*MAX('Inputs'!$B$33,'Inputs'!$B$29+'Inputs'!$B$31+'Inputs'!$B$32,'Inputs'!$B$30+'Inputs'!$B$31+'Inputs'!$B$32)/1000+'Inputs'!$B$21)+'Inputs'!$B$9)/SQRT((((649-43)*MAX('Inputs'!$B$33,'Inputs'!$B$29+'Inputs'!$B$31+'Inputs'!$B$32,'Inputs'!$B$30+'Inputs'!$B$31+'Inputs'!$B$32)/1000+'Inputs'!$B$21)+'Inputs'!$B$9)^2+('Inputs'!$B$8/2)^2)-(((649-43)*MAX('Inputs'!$B$33,'Inputs'!$B$29+'Inputs'!$B$31+'Inputs'!$B$32,'Inputs'!$B$30+'Inputs'!$B$31+'Inputs'!$B$32)/1000+'Inputs'!$B$21))/SQRT((((649-43)*MAX('Inputs'!$B$33,'Inputs'!$B$29+'Inputs'!$B$31+'Inputs'!$B$32,'Inputs'!$B$30+'Inputs'!$B$31+'Inputs'!$B$32)/1000+'Inputs'!$B$21))^2+('Inputs'!$B$8/2)^2)))-'Results'!B7*(1+'Inputs'!$B$24)*(0.5*((((649-43)*MAX('Inputs'!$B$33,'Inputs'!$B$29+'Inputs'!$B$31+'Inputs'!$B$32,'Inputs'!$B$30+'Inputs'!$B$31+'Inputs'!$B$32)/1000+'Inputs'!$B$21+'Inputs'!$B$9+'Inputs'!$B$10)+'Inputs'!$B$7)/SQRT((((649-43)*MAX('Inputs'!$B$33,'Inputs'!$B$29+'Inputs'!$B$31+'Inputs'!$B$32,'Inputs'!$B$30+'Inputs'!$B$31+'Inputs'!$B$32)/1000+'Inputs'!$B$21+'Inputs'!$B$9+'Inputs'!$B$10)+'Inputs'!$B$7)^2+('Inputs'!$B$6/2)^2)-(((649-43)*MAX('Inputs'!$B$33,'Inputs'!$B$29+'Inputs'!$B$31+'Inputs'!$B$32,'Inputs'!$B$30+'Inputs'!$B$31+'Inputs'!$B$32)/1000+'Inputs'!$B$21+'Inputs'!$B$9+'Inputs'!$B$10))/SQRT((((649-43)*MAX('Inputs'!$B$33,'Inputs'!$B$29+'Inputs'!$B$31+'Inputs'!$B$32,'Inputs'!$B$30+'Inputs'!$B$31+'Inputs'!$B$32)/1000+'Inputs'!$B$21+'Inputs'!$B$9+'Inputs'!$B$10))^2+('Inputs'!$B$6/2)^2))))*'Results'!$B$8))),"")</x:f>
        <x:v>1.7194948480583803</x:v>
      </x:c>
      <x:c r="O649" t="n">
        <x:f>IF(AND(ISNUMBER('Results'!C7),ISNUMBER('Results'!B7),ISNUMBER('Results'!$B$8),ISNUMBER('Inputs'!$B$6),ISNUMBER('Inputs'!$B$7),ISNUMBER('Inputs'!$B$8),ISNUMBER('Inputs'!$B$9),ISNUMBER('Inputs'!$B$10),ISNUMBER('Inputs'!$B$21),ISNUMBER('Inputs'!$B$24),ISNUMBER('Inputs'!$B$28)),((('Results'!C7*(1+'Inputs'!$B$24)*(0.5*((((649-43)*MAX('Inputs'!$B$33,'Inputs'!$B$29+'Inputs'!$B$31+'Inputs'!$B$32,'Inputs'!$B$30+'Inputs'!$B$31+'Inputs'!$B$32)/1000+'Inputs'!$B$21)+'Inputs'!$B$9)/SQRT((((649-43)*MAX('Inputs'!$B$33,'Inputs'!$B$29+'Inputs'!$B$31+'Inputs'!$B$32,'Inputs'!$B$30+'Inputs'!$B$31+'Inputs'!$B$32)/1000+'Inputs'!$B$21)+'Inputs'!$B$9)^2+('Inputs'!$B$8/2)^2)-(((649-43)*MAX('Inputs'!$B$33,'Inputs'!$B$29+'Inputs'!$B$31+'Inputs'!$B$32,'Inputs'!$B$30+'Inputs'!$B$31+'Inputs'!$B$32)/1000+'Inputs'!$B$21))/SQRT((((649-43)*MAX('Inputs'!$B$33,'Inputs'!$B$29+'Inputs'!$B$31+'Inputs'!$B$32,'Inputs'!$B$30+'Inputs'!$B$31+'Inputs'!$B$32)/1000+'Inputs'!$B$21))^2+('Inputs'!$B$8/2)^2)))-'Results'!B7*(1-'Inputs'!$B$24)*(0.5*((((649-43)*MAX('Inputs'!$B$33,'Inputs'!$B$29+'Inputs'!$B$31+'Inputs'!$B$32,'Inputs'!$B$30+'Inputs'!$B$31+'Inputs'!$B$32)/1000+'Inputs'!$B$21+'Inputs'!$B$9+'Inputs'!$B$10)+'Inputs'!$B$7)/SQRT((((649-43)*MAX('Inputs'!$B$33,'Inputs'!$B$29+'Inputs'!$B$31+'Inputs'!$B$32,'Inputs'!$B$30+'Inputs'!$B$31+'Inputs'!$B$32)/1000+'Inputs'!$B$21+'Inputs'!$B$9+'Inputs'!$B$10)+'Inputs'!$B$7)^2+('Inputs'!$B$6/2)^2)-(((649-43)*MAX('Inputs'!$B$33,'Inputs'!$B$29+'Inputs'!$B$31+'Inputs'!$B$32,'Inputs'!$B$30+'Inputs'!$B$31+'Inputs'!$B$32)/1000+'Inputs'!$B$21+'Inputs'!$B$9+'Inputs'!$B$10))/SQRT((((649-43)*MAX('Inputs'!$B$33,'Inputs'!$B$29+'Inputs'!$B$31+'Inputs'!$B$32,'Inputs'!$B$30+'Inputs'!$B$31+'Inputs'!$B$32)/1000+'Inputs'!$B$21+'Inputs'!$B$9+'Inputs'!$B$10))^2+('Inputs'!$B$6/2)^2))))*'Results'!$B$8)+'Inputs'!$B$28*ABS((('Results'!C7*(1+'Inputs'!$B$24)*(0.5*((((649-43)*MAX('Inputs'!$B$33,'Inputs'!$B$29+'Inputs'!$B$31+'Inputs'!$B$32,'Inputs'!$B$30+'Inputs'!$B$31+'Inputs'!$B$32)/1000+'Inputs'!$B$21)+'Inputs'!$B$9)/SQRT((((649-43)*MAX('Inputs'!$B$33,'Inputs'!$B$29+'Inputs'!$B$31+'Inputs'!$B$32,'Inputs'!$B$30+'Inputs'!$B$31+'Inputs'!$B$32)/1000+'Inputs'!$B$21)+'Inputs'!$B$9)^2+('Inputs'!$B$8/2)^2)-(((649-43)*MAX('Inputs'!$B$33,'Inputs'!$B$29+'Inputs'!$B$31+'Inputs'!$B$32,'Inputs'!$B$30+'Inputs'!$B$31+'Inputs'!$B$32)/1000+'Inputs'!$B$21))/SQRT((((649-43)*MAX('Inputs'!$B$33,'Inputs'!$B$29+'Inputs'!$B$31+'Inputs'!$B$32,'Inputs'!$B$30+'Inputs'!$B$31+'Inputs'!$B$32)/1000+'Inputs'!$B$21))^2+('Inputs'!$B$8/2)^2)))-'Results'!B7*(1-'Inputs'!$B$24)*(0.5*((((649-43)*MAX('Inputs'!$B$33,'Inputs'!$B$29+'Inputs'!$B$31+'Inputs'!$B$32,'Inputs'!$B$30+'Inputs'!$B$31+'Inputs'!$B$32)/1000+'Inputs'!$B$21+'Inputs'!$B$9+'Inputs'!$B$10)+'Inputs'!$B$7)/SQRT((((649-43)*MAX('Inputs'!$B$33,'Inputs'!$B$29+'Inputs'!$B$31+'Inputs'!$B$32,'Inputs'!$B$30+'Inputs'!$B$31+'Inputs'!$B$32)/1000+'Inputs'!$B$21+'Inputs'!$B$9+'Inputs'!$B$10)+'Inputs'!$B$7)^2+('Inputs'!$B$6/2)^2)-(((649-43)*MAX('Inputs'!$B$33,'Inputs'!$B$29+'Inputs'!$B$31+'Inputs'!$B$32,'Inputs'!$B$30+'Inputs'!$B$31+'Inputs'!$B$32)/1000+'Inputs'!$B$21+'Inputs'!$B$9+'Inputs'!$B$10))/SQRT((((649-43)*MAX('Inputs'!$B$33,'Inputs'!$B$29+'Inputs'!$B$31+'Inputs'!$B$32,'Inputs'!$B$30+'Inputs'!$B$31+'Inputs'!$B$32)/1000+'Inputs'!$B$21+'Inputs'!$B$9+'Inputs'!$B$10))^2+('Inputs'!$B$6/2)^2))))*'Results'!$B$8))),"")</x:f>
        <x:v>2.2545511313364526</x:v>
      </x:c>
      <x:c r="P649" t="n">
        <x:f>IF(AND(MAX(J649,J648)&gt;0,J649&gt;J648+0.00000001),1,0)</x:f>
        <x:v>0</x:v>
      </x:c>
      <x:c r="Q649" t="n">
        <x:f>IF(AND(MAX(K649,K648)&gt;0,K649&gt;K648+0.00000001),1,0)</x:f>
        <x:v>0</x:v>
      </x:c>
      <x:c r="R649" t="n">
        <x:f>IF(AND(MAX(L649,L648)&gt;0,L649&gt;L648+0.00000001),1,0)</x:f>
        <x:v>0</x:v>
      </x:c>
      <x:c r="S649" t="n">
        <x:f>IF(AND(MAX(M649,M648)&gt;0,M649&gt;M648+0.00000001),1,0)</x:f>
        <x:v>0</x:v>
      </x:c>
      <x:c r="T649" t="n">
        <x:f>IF(AND(MAX(N649,N648)&gt;0,N649&gt;N648+0.00000001),1,0)</x:f>
        <x:v>0</x:v>
      </x:c>
      <x:c r="U649" t="n">
        <x:f>IF(AND(MAX(O649,O648)&gt;0,O649&gt;O648+0.00000001),1,0)</x:f>
        <x:v>0</x:v>
      </x:c>
    </x:row>
    <x:row r="650">
      <x:c r="J650" t="n">
        <x:f>IF(AND(ISNUMBER('Results'!B7),ISNUMBER('Results'!C7),ISNUMBER('Results'!$B$8),ISNUMBER('Inputs'!$B$6),ISNUMBER('Inputs'!$B$7),ISNUMBER('Inputs'!$B$8),ISNUMBER('Inputs'!$B$9),ISNUMBER('Inputs'!$B$10),ISNUMBER('Inputs'!$B$21),ISNUMBER('Inputs'!$B$24),ISNUMBER('Inputs'!$B$28)),(('Results'!B7*(0.5*((((650-43)*MAX('Inputs'!$B$33,'Inputs'!$B$29+'Inputs'!$B$31+'Inputs'!$B$32,'Inputs'!$B$30+'Inputs'!$B$31+'Inputs'!$B$32)/1000+'Inputs'!$B$21)+'Inputs'!$B$7)/SQRT((((650-43)*MAX('Inputs'!$B$33,'Inputs'!$B$29+'Inputs'!$B$31+'Inputs'!$B$32,'Inputs'!$B$30+'Inputs'!$B$31+'Inputs'!$B$32)/1000+'Inputs'!$B$21)+'Inputs'!$B$7)^2+('Inputs'!$B$6/2)^2)-(((650-43)*MAX('Inputs'!$B$33,'Inputs'!$B$29+'Inputs'!$B$31+'Inputs'!$B$32,'Inputs'!$B$30+'Inputs'!$B$31+'Inputs'!$B$32)/1000+'Inputs'!$B$21))/SQRT((((650-43)*MAX('Inputs'!$B$33,'Inputs'!$B$29+'Inputs'!$B$31+'Inputs'!$B$32,'Inputs'!$B$30+'Inputs'!$B$31+'Inputs'!$B$32)/1000+'Inputs'!$B$21))^2+('Inputs'!$B$6/2)^2)))-'Results'!C7*(0.5*((((650-43)*MAX('Inputs'!$B$33,'Inputs'!$B$29+'Inputs'!$B$31+'Inputs'!$B$32,'Inputs'!$B$30+'Inputs'!$B$31+'Inputs'!$B$32)/1000+'Inputs'!$B$21+'Inputs'!$B$7+'Inputs'!$B$10)+'Inputs'!$B$9)/SQRT((((650-43)*MAX('Inputs'!$B$33,'Inputs'!$B$29+'Inputs'!$B$31+'Inputs'!$B$32,'Inputs'!$B$30+'Inputs'!$B$31+'Inputs'!$B$32)/1000+'Inputs'!$B$21+'Inputs'!$B$7+'Inputs'!$B$10)+'Inputs'!$B$9)^2+('Inputs'!$B$8/2)^2)-(((650-43)*MAX('Inputs'!$B$33,'Inputs'!$B$29+'Inputs'!$B$31+'Inputs'!$B$32,'Inputs'!$B$30+'Inputs'!$B$31+'Inputs'!$B$32)/1000+'Inputs'!$B$21+'Inputs'!$B$7+'Inputs'!$B$10))/SQRT((((650-43)*MAX('Inputs'!$B$33,'Inputs'!$B$29+'Inputs'!$B$31+'Inputs'!$B$32,'Inputs'!$B$30+'Inputs'!$B$31+'Inputs'!$B$32)/1000+'Inputs'!$B$21+'Inputs'!$B$7+'Inputs'!$B$10))^2+('Inputs'!$B$8/2)^2))))*'Results'!$B$8),"")</x:f>
        <x:v>2.1369483495874997</x:v>
      </x:c>
      <x:c r="K650" t="n">
        <x:f>IF(AND(ISNUMBER('Results'!B7),ISNUMBER('Results'!C7),ISNUMBER('Results'!$B$8),ISNUMBER('Inputs'!$B$6),ISNUMBER('Inputs'!$B$7),ISNUMBER('Inputs'!$B$8),ISNUMBER('Inputs'!$B$9),ISNUMBER('Inputs'!$B$10),ISNUMBER('Inputs'!$B$21),ISNUMBER('Inputs'!$B$24),ISNUMBER('Inputs'!$B$28)),((('Results'!B7*(1-'Inputs'!$B$24)*(0.5*((((650-43)*MAX('Inputs'!$B$33,'Inputs'!$B$29+'Inputs'!$B$31+'Inputs'!$B$32,'Inputs'!$B$30+'Inputs'!$B$31+'Inputs'!$B$32)/1000+'Inputs'!$B$21)+'Inputs'!$B$7)/SQRT((((650-43)*MAX('Inputs'!$B$33,'Inputs'!$B$29+'Inputs'!$B$31+'Inputs'!$B$32,'Inputs'!$B$30+'Inputs'!$B$31+'Inputs'!$B$32)/1000+'Inputs'!$B$21)+'Inputs'!$B$7)^2+('Inputs'!$B$6/2)^2)-(((650-43)*MAX('Inputs'!$B$33,'Inputs'!$B$29+'Inputs'!$B$31+'Inputs'!$B$32,'Inputs'!$B$30+'Inputs'!$B$31+'Inputs'!$B$32)/1000+'Inputs'!$B$21))/SQRT((((650-43)*MAX('Inputs'!$B$33,'Inputs'!$B$29+'Inputs'!$B$31+'Inputs'!$B$32,'Inputs'!$B$30+'Inputs'!$B$31+'Inputs'!$B$32)/1000+'Inputs'!$B$21))^2+('Inputs'!$B$6/2)^2)))-'Results'!C7*(1+'Inputs'!$B$24)*(0.5*((((650-43)*MAX('Inputs'!$B$33,'Inputs'!$B$29+'Inputs'!$B$31+'Inputs'!$B$32,'Inputs'!$B$30+'Inputs'!$B$31+'Inputs'!$B$32)/1000+'Inputs'!$B$21+'Inputs'!$B$7+'Inputs'!$B$10)+'Inputs'!$B$9)/SQRT((((650-43)*MAX('Inputs'!$B$33,'Inputs'!$B$29+'Inputs'!$B$31+'Inputs'!$B$32,'Inputs'!$B$30+'Inputs'!$B$31+'Inputs'!$B$32)/1000+'Inputs'!$B$21+'Inputs'!$B$7+'Inputs'!$B$10)+'Inputs'!$B$9)^2+('Inputs'!$B$8/2)^2)-(((650-43)*MAX('Inputs'!$B$33,'Inputs'!$B$29+'Inputs'!$B$31+'Inputs'!$B$32,'Inputs'!$B$30+'Inputs'!$B$31+'Inputs'!$B$32)/1000+'Inputs'!$B$21+'Inputs'!$B$7+'Inputs'!$B$10))/SQRT((((650-43)*MAX('Inputs'!$B$33,'Inputs'!$B$29+'Inputs'!$B$31+'Inputs'!$B$32,'Inputs'!$B$30+'Inputs'!$B$31+'Inputs'!$B$32)/1000+'Inputs'!$B$21+'Inputs'!$B$7+'Inputs'!$B$10))^2+('Inputs'!$B$8/2)^2))))*'Results'!$B$8)-'Inputs'!$B$28*ABS((('Results'!B7*(1-'Inputs'!$B$24)*(0.5*((((650-43)*MAX('Inputs'!$B$33,'Inputs'!$B$29+'Inputs'!$B$31+'Inputs'!$B$32,'Inputs'!$B$30+'Inputs'!$B$31+'Inputs'!$B$32)/1000+'Inputs'!$B$21)+'Inputs'!$B$7)/SQRT((((650-43)*MAX('Inputs'!$B$33,'Inputs'!$B$29+'Inputs'!$B$31+'Inputs'!$B$32,'Inputs'!$B$30+'Inputs'!$B$31+'Inputs'!$B$32)/1000+'Inputs'!$B$21)+'Inputs'!$B$7)^2+('Inputs'!$B$6/2)^2)-(((650-43)*MAX('Inputs'!$B$33,'Inputs'!$B$29+'Inputs'!$B$31+'Inputs'!$B$32,'Inputs'!$B$30+'Inputs'!$B$31+'Inputs'!$B$32)/1000+'Inputs'!$B$21))/SQRT((((650-43)*MAX('Inputs'!$B$33,'Inputs'!$B$29+'Inputs'!$B$31+'Inputs'!$B$32,'Inputs'!$B$30+'Inputs'!$B$31+'Inputs'!$B$32)/1000+'Inputs'!$B$21))^2+('Inputs'!$B$6/2)^2)))-'Results'!C7*(1+'Inputs'!$B$24)*(0.5*((((650-43)*MAX('Inputs'!$B$33,'Inputs'!$B$29+'Inputs'!$B$31+'Inputs'!$B$32,'Inputs'!$B$30+'Inputs'!$B$31+'Inputs'!$B$32)/1000+'Inputs'!$B$21+'Inputs'!$B$7+'Inputs'!$B$10)+'Inputs'!$B$9)/SQRT((((650-43)*MAX('Inputs'!$B$33,'Inputs'!$B$29+'Inputs'!$B$31+'Inputs'!$B$32,'Inputs'!$B$30+'Inputs'!$B$31+'Inputs'!$B$32)/1000+'Inputs'!$B$21+'Inputs'!$B$7+'Inputs'!$B$10)+'Inputs'!$B$9)^2+('Inputs'!$B$8/2)^2)-(((650-43)*MAX('Inputs'!$B$33,'Inputs'!$B$29+'Inputs'!$B$31+'Inputs'!$B$32,'Inputs'!$B$30+'Inputs'!$B$31+'Inputs'!$B$32)/1000+'Inputs'!$B$21+'Inputs'!$B$7+'Inputs'!$B$10))/SQRT((((650-43)*MAX('Inputs'!$B$33,'Inputs'!$B$29+'Inputs'!$B$31+'Inputs'!$B$32,'Inputs'!$B$30+'Inputs'!$B$31+'Inputs'!$B$32)/1000+'Inputs'!$B$21+'Inputs'!$B$7+'Inputs'!$B$10))^2+('Inputs'!$B$8/2)^2))))*'Results'!$B$8))),"")</x:f>
        <x:v>1.869855397200074</x:v>
      </x:c>
      <x:c r="L650" t="n">
        <x:f>IF(AND(ISNUMBER('Results'!B7),ISNUMBER('Results'!C7),ISNUMBER('Results'!$B$8),ISNUMBER('Inputs'!$B$6),ISNUMBER('Inputs'!$B$7),ISNUMBER('Inputs'!$B$8),ISNUMBER('Inputs'!$B$9),ISNUMBER('Inputs'!$B$10),ISNUMBER('Inputs'!$B$21),ISNUMBER('Inputs'!$B$24),ISNUMBER('Inputs'!$B$28)),((('Results'!B7*(1+'Inputs'!$B$24)*(0.5*((((650-43)*MAX('Inputs'!$B$33,'Inputs'!$B$29+'Inputs'!$B$31+'Inputs'!$B$32,'Inputs'!$B$30+'Inputs'!$B$31+'Inputs'!$B$32)/1000+'Inputs'!$B$21)+'Inputs'!$B$7)/SQRT((((650-43)*MAX('Inputs'!$B$33,'Inputs'!$B$29+'Inputs'!$B$31+'Inputs'!$B$32,'Inputs'!$B$30+'Inputs'!$B$31+'Inputs'!$B$32)/1000+'Inputs'!$B$21)+'Inputs'!$B$7)^2+('Inputs'!$B$6/2)^2)-(((650-43)*MAX('Inputs'!$B$33,'Inputs'!$B$29+'Inputs'!$B$31+'Inputs'!$B$32,'Inputs'!$B$30+'Inputs'!$B$31+'Inputs'!$B$32)/1000+'Inputs'!$B$21))/SQRT((((650-43)*MAX('Inputs'!$B$33,'Inputs'!$B$29+'Inputs'!$B$31+'Inputs'!$B$32,'Inputs'!$B$30+'Inputs'!$B$31+'Inputs'!$B$32)/1000+'Inputs'!$B$21))^2+('Inputs'!$B$6/2)^2)))-'Results'!C7*(1-'Inputs'!$B$24)*(0.5*((((650-43)*MAX('Inputs'!$B$33,'Inputs'!$B$29+'Inputs'!$B$31+'Inputs'!$B$32,'Inputs'!$B$30+'Inputs'!$B$31+'Inputs'!$B$32)/1000+'Inputs'!$B$21+'Inputs'!$B$7+'Inputs'!$B$10)+'Inputs'!$B$9)/SQRT((((650-43)*MAX('Inputs'!$B$33,'Inputs'!$B$29+'Inputs'!$B$31+'Inputs'!$B$32,'Inputs'!$B$30+'Inputs'!$B$31+'Inputs'!$B$32)/1000+'Inputs'!$B$21+'Inputs'!$B$7+'Inputs'!$B$10)+'Inputs'!$B$9)^2+('Inputs'!$B$8/2)^2)-(((650-43)*MAX('Inputs'!$B$33,'Inputs'!$B$29+'Inputs'!$B$31+'Inputs'!$B$32,'Inputs'!$B$30+'Inputs'!$B$31+'Inputs'!$B$32)/1000+'Inputs'!$B$21+'Inputs'!$B$7+'Inputs'!$B$10))/SQRT((((650-43)*MAX('Inputs'!$B$33,'Inputs'!$B$29+'Inputs'!$B$31+'Inputs'!$B$32,'Inputs'!$B$30+'Inputs'!$B$31+'Inputs'!$B$32)/1000+'Inputs'!$B$21+'Inputs'!$B$7+'Inputs'!$B$10))^2+('Inputs'!$B$8/2)^2))))*'Results'!$B$8)+'Inputs'!$B$28*ABS((('Results'!B7*(1+'Inputs'!$B$24)*(0.5*((((650-43)*MAX('Inputs'!$B$33,'Inputs'!$B$29+'Inputs'!$B$31+'Inputs'!$B$32,'Inputs'!$B$30+'Inputs'!$B$31+'Inputs'!$B$32)/1000+'Inputs'!$B$21)+'Inputs'!$B$7)/SQRT((((650-43)*MAX('Inputs'!$B$33,'Inputs'!$B$29+'Inputs'!$B$31+'Inputs'!$B$32,'Inputs'!$B$30+'Inputs'!$B$31+'Inputs'!$B$32)/1000+'Inputs'!$B$21)+'Inputs'!$B$7)^2+('Inputs'!$B$6/2)^2)-(((650-43)*MAX('Inputs'!$B$33,'Inputs'!$B$29+'Inputs'!$B$31+'Inputs'!$B$32,'Inputs'!$B$30+'Inputs'!$B$31+'Inputs'!$B$32)/1000+'Inputs'!$B$21))/SQRT((((650-43)*MAX('Inputs'!$B$33,'Inputs'!$B$29+'Inputs'!$B$31+'Inputs'!$B$32,'Inputs'!$B$30+'Inputs'!$B$31+'Inputs'!$B$32)/1000+'Inputs'!$B$21))^2+('Inputs'!$B$6/2)^2)))-'Results'!C7*(1-'Inputs'!$B$24)*(0.5*((((650-43)*MAX('Inputs'!$B$33,'Inputs'!$B$29+'Inputs'!$B$31+'Inputs'!$B$32,'Inputs'!$B$30+'Inputs'!$B$31+'Inputs'!$B$32)/1000+'Inputs'!$B$21+'Inputs'!$B$7+'Inputs'!$B$10)+'Inputs'!$B$9)/SQRT((((650-43)*MAX('Inputs'!$B$33,'Inputs'!$B$29+'Inputs'!$B$31+'Inputs'!$B$32,'Inputs'!$B$30+'Inputs'!$B$31+'Inputs'!$B$32)/1000+'Inputs'!$B$21+'Inputs'!$B$7+'Inputs'!$B$10)+'Inputs'!$B$9)^2+('Inputs'!$B$8/2)^2)-(((650-43)*MAX('Inputs'!$B$33,'Inputs'!$B$29+'Inputs'!$B$31+'Inputs'!$B$32,'Inputs'!$B$30+'Inputs'!$B$31+'Inputs'!$B$32)/1000+'Inputs'!$B$21+'Inputs'!$B$7+'Inputs'!$B$10))/SQRT((((650-43)*MAX('Inputs'!$B$33,'Inputs'!$B$29+'Inputs'!$B$31+'Inputs'!$B$32,'Inputs'!$B$30+'Inputs'!$B$31+'Inputs'!$B$32)/1000+'Inputs'!$B$21+'Inputs'!$B$7+'Inputs'!$B$10))^2+('Inputs'!$B$8/2)^2))))*'Results'!$B$8))),"")</x:f>
        <x:v>2.420909253017878</x:v>
      </x:c>
      <x:c r="M650" t="n">
        <x:f>IF(AND(ISNUMBER('Results'!C7),ISNUMBER('Results'!B7),ISNUMBER('Results'!$B$8),ISNUMBER('Inputs'!$B$6),ISNUMBER('Inputs'!$B$7),ISNUMBER('Inputs'!$B$8),ISNUMBER('Inputs'!$B$9),ISNUMBER('Inputs'!$B$10),ISNUMBER('Inputs'!$B$21),ISNUMBER('Inputs'!$B$24),ISNUMBER('Inputs'!$B$28)),(('Results'!C7*(0.5*((((650-43)*MAX('Inputs'!$B$33,'Inputs'!$B$29+'Inputs'!$B$31+'Inputs'!$B$32,'Inputs'!$B$30+'Inputs'!$B$31+'Inputs'!$B$32)/1000+'Inputs'!$B$21)+'Inputs'!$B$9)/SQRT((((650-43)*MAX('Inputs'!$B$33,'Inputs'!$B$29+'Inputs'!$B$31+'Inputs'!$B$32,'Inputs'!$B$30+'Inputs'!$B$31+'Inputs'!$B$32)/1000+'Inputs'!$B$21)+'Inputs'!$B$9)^2+('Inputs'!$B$8/2)^2)-(((650-43)*MAX('Inputs'!$B$33,'Inputs'!$B$29+'Inputs'!$B$31+'Inputs'!$B$32,'Inputs'!$B$30+'Inputs'!$B$31+'Inputs'!$B$32)/1000+'Inputs'!$B$21))/SQRT((((650-43)*MAX('Inputs'!$B$33,'Inputs'!$B$29+'Inputs'!$B$31+'Inputs'!$B$32,'Inputs'!$B$30+'Inputs'!$B$31+'Inputs'!$B$32)/1000+'Inputs'!$B$21))^2+('Inputs'!$B$8/2)^2)))-'Results'!B7*(0.5*((((650-43)*MAX('Inputs'!$B$33,'Inputs'!$B$29+'Inputs'!$B$31+'Inputs'!$B$32,'Inputs'!$B$30+'Inputs'!$B$31+'Inputs'!$B$32)/1000+'Inputs'!$B$21+'Inputs'!$B$9+'Inputs'!$B$10)+'Inputs'!$B$7)/SQRT((((650-43)*MAX('Inputs'!$B$33,'Inputs'!$B$29+'Inputs'!$B$31+'Inputs'!$B$32,'Inputs'!$B$30+'Inputs'!$B$31+'Inputs'!$B$32)/1000+'Inputs'!$B$21+'Inputs'!$B$9+'Inputs'!$B$10)+'Inputs'!$B$7)^2+('Inputs'!$B$6/2)^2)-(((650-43)*MAX('Inputs'!$B$33,'Inputs'!$B$29+'Inputs'!$B$31+'Inputs'!$B$32,'Inputs'!$B$30+'Inputs'!$B$31+'Inputs'!$B$32)/1000+'Inputs'!$B$21+'Inputs'!$B$9+'Inputs'!$B$10))/SQRT((((650-43)*MAX('Inputs'!$B$33,'Inputs'!$B$29+'Inputs'!$B$31+'Inputs'!$B$32,'Inputs'!$B$30+'Inputs'!$B$31+'Inputs'!$B$32)/1000+'Inputs'!$B$21+'Inputs'!$B$9+'Inputs'!$B$10))^2+('Inputs'!$B$6/2)^2))))*'Results'!$B$8),"")</x:f>
        <x:v>1.966983731571873</x:v>
      </x:c>
      <x:c r="N650" t="n">
        <x:f>IF(AND(ISNUMBER('Results'!C7),ISNUMBER('Results'!B7),ISNUMBER('Results'!$B$8),ISNUMBER('Inputs'!$B$6),ISNUMBER('Inputs'!$B$7),ISNUMBER('Inputs'!$B$8),ISNUMBER('Inputs'!$B$9),ISNUMBER('Inputs'!$B$10),ISNUMBER('Inputs'!$B$21),ISNUMBER('Inputs'!$B$24),ISNUMBER('Inputs'!$B$28)),((('Results'!C7*(1-'Inputs'!$B$24)*(0.5*((((650-43)*MAX('Inputs'!$B$33,'Inputs'!$B$29+'Inputs'!$B$31+'Inputs'!$B$32,'Inputs'!$B$30+'Inputs'!$B$31+'Inputs'!$B$32)/1000+'Inputs'!$B$21)+'Inputs'!$B$9)/SQRT((((650-43)*MAX('Inputs'!$B$33,'Inputs'!$B$29+'Inputs'!$B$31+'Inputs'!$B$32,'Inputs'!$B$30+'Inputs'!$B$31+'Inputs'!$B$32)/1000+'Inputs'!$B$21)+'Inputs'!$B$9)^2+('Inputs'!$B$8/2)^2)-(((650-43)*MAX('Inputs'!$B$33,'Inputs'!$B$29+'Inputs'!$B$31+'Inputs'!$B$32,'Inputs'!$B$30+'Inputs'!$B$31+'Inputs'!$B$32)/1000+'Inputs'!$B$21))/SQRT((((650-43)*MAX('Inputs'!$B$33,'Inputs'!$B$29+'Inputs'!$B$31+'Inputs'!$B$32,'Inputs'!$B$30+'Inputs'!$B$31+'Inputs'!$B$32)/1000+'Inputs'!$B$21))^2+('Inputs'!$B$8/2)^2)))-'Results'!B7*(1+'Inputs'!$B$24)*(0.5*((((650-43)*MAX('Inputs'!$B$33,'Inputs'!$B$29+'Inputs'!$B$31+'Inputs'!$B$32,'Inputs'!$B$30+'Inputs'!$B$31+'Inputs'!$B$32)/1000+'Inputs'!$B$21+'Inputs'!$B$9+'Inputs'!$B$10)+'Inputs'!$B$7)/SQRT((((650-43)*MAX('Inputs'!$B$33,'Inputs'!$B$29+'Inputs'!$B$31+'Inputs'!$B$32,'Inputs'!$B$30+'Inputs'!$B$31+'Inputs'!$B$32)/1000+'Inputs'!$B$21+'Inputs'!$B$9+'Inputs'!$B$10)+'Inputs'!$B$7)^2+('Inputs'!$B$6/2)^2)-(((650-43)*MAX('Inputs'!$B$33,'Inputs'!$B$29+'Inputs'!$B$31+'Inputs'!$B$32,'Inputs'!$B$30+'Inputs'!$B$31+'Inputs'!$B$32)/1000+'Inputs'!$B$21+'Inputs'!$B$9+'Inputs'!$B$10))/SQRT((((650-43)*MAX('Inputs'!$B$33,'Inputs'!$B$29+'Inputs'!$B$31+'Inputs'!$B$32,'Inputs'!$B$30+'Inputs'!$B$31+'Inputs'!$B$32)/1000+'Inputs'!$B$21+'Inputs'!$B$9+'Inputs'!$B$10))^2+('Inputs'!$B$6/2)^2))))*'Results'!$B$8)-'Inputs'!$B$28*ABS((('Results'!C7*(1-'Inputs'!$B$24)*(0.5*((((650-43)*MAX('Inputs'!$B$33,'Inputs'!$B$29+'Inputs'!$B$31+'Inputs'!$B$32,'Inputs'!$B$30+'Inputs'!$B$31+'Inputs'!$B$32)/1000+'Inputs'!$B$21)+'Inputs'!$B$9)/SQRT((((650-43)*MAX('Inputs'!$B$33,'Inputs'!$B$29+'Inputs'!$B$31+'Inputs'!$B$32,'Inputs'!$B$30+'Inputs'!$B$31+'Inputs'!$B$32)/1000+'Inputs'!$B$21)+'Inputs'!$B$9)^2+('Inputs'!$B$8/2)^2)-(((650-43)*MAX('Inputs'!$B$33,'Inputs'!$B$29+'Inputs'!$B$31+'Inputs'!$B$32,'Inputs'!$B$30+'Inputs'!$B$31+'Inputs'!$B$32)/1000+'Inputs'!$B$21))/SQRT((((650-43)*MAX('Inputs'!$B$33,'Inputs'!$B$29+'Inputs'!$B$31+'Inputs'!$B$32,'Inputs'!$B$30+'Inputs'!$B$31+'Inputs'!$B$32)/1000+'Inputs'!$B$21))^2+('Inputs'!$B$8/2)^2)))-'Results'!B7*(1+'Inputs'!$B$24)*(0.5*((((650-43)*MAX('Inputs'!$B$33,'Inputs'!$B$29+'Inputs'!$B$31+'Inputs'!$B$32,'Inputs'!$B$30+'Inputs'!$B$31+'Inputs'!$B$32)/1000+'Inputs'!$B$21+'Inputs'!$B$9+'Inputs'!$B$10)+'Inputs'!$B$7)/SQRT((((650-43)*MAX('Inputs'!$B$33,'Inputs'!$B$29+'Inputs'!$B$31+'Inputs'!$B$32,'Inputs'!$B$30+'Inputs'!$B$31+'Inputs'!$B$32)/1000+'Inputs'!$B$21+'Inputs'!$B$9+'Inputs'!$B$10)+'Inputs'!$B$7)^2+('Inputs'!$B$6/2)^2)-(((650-43)*MAX('Inputs'!$B$33,'Inputs'!$B$29+'Inputs'!$B$31+'Inputs'!$B$32,'Inputs'!$B$30+'Inputs'!$B$31+'Inputs'!$B$32)/1000+'Inputs'!$B$21+'Inputs'!$B$9+'Inputs'!$B$10))/SQRT((((650-43)*MAX('Inputs'!$B$33,'Inputs'!$B$29+'Inputs'!$B$31+'Inputs'!$B$32,'Inputs'!$B$30+'Inputs'!$B$31+'Inputs'!$B$32)/1000+'Inputs'!$B$21+'Inputs'!$B$9+'Inputs'!$B$10))^2+('Inputs'!$B$6/2)^2))))*'Results'!$B$8))),"")</x:f>
        <x:v>1.7091766334139362</x:v>
      </x:c>
      <x:c r="O650" t="n">
        <x:f>IF(AND(ISNUMBER('Results'!C7),ISNUMBER('Results'!B7),ISNUMBER('Results'!$B$8),ISNUMBER('Inputs'!$B$6),ISNUMBER('Inputs'!$B$7),ISNUMBER('Inputs'!$B$8),ISNUMBER('Inputs'!$B$9),ISNUMBER('Inputs'!$B$10),ISNUMBER('Inputs'!$B$21),ISNUMBER('Inputs'!$B$24),ISNUMBER('Inputs'!$B$28)),((('Results'!C7*(1+'Inputs'!$B$24)*(0.5*((((650-43)*MAX('Inputs'!$B$33,'Inputs'!$B$29+'Inputs'!$B$31+'Inputs'!$B$32,'Inputs'!$B$30+'Inputs'!$B$31+'Inputs'!$B$32)/1000+'Inputs'!$B$21)+'Inputs'!$B$9)/SQRT((((650-43)*MAX('Inputs'!$B$33,'Inputs'!$B$29+'Inputs'!$B$31+'Inputs'!$B$32,'Inputs'!$B$30+'Inputs'!$B$31+'Inputs'!$B$32)/1000+'Inputs'!$B$21)+'Inputs'!$B$9)^2+('Inputs'!$B$8/2)^2)-(((650-43)*MAX('Inputs'!$B$33,'Inputs'!$B$29+'Inputs'!$B$31+'Inputs'!$B$32,'Inputs'!$B$30+'Inputs'!$B$31+'Inputs'!$B$32)/1000+'Inputs'!$B$21))/SQRT((((650-43)*MAX('Inputs'!$B$33,'Inputs'!$B$29+'Inputs'!$B$31+'Inputs'!$B$32,'Inputs'!$B$30+'Inputs'!$B$31+'Inputs'!$B$32)/1000+'Inputs'!$B$21))^2+('Inputs'!$B$8/2)^2)))-'Results'!B7*(1-'Inputs'!$B$24)*(0.5*((((650-43)*MAX('Inputs'!$B$33,'Inputs'!$B$29+'Inputs'!$B$31+'Inputs'!$B$32,'Inputs'!$B$30+'Inputs'!$B$31+'Inputs'!$B$32)/1000+'Inputs'!$B$21+'Inputs'!$B$9+'Inputs'!$B$10)+'Inputs'!$B$7)/SQRT((((650-43)*MAX('Inputs'!$B$33,'Inputs'!$B$29+'Inputs'!$B$31+'Inputs'!$B$32,'Inputs'!$B$30+'Inputs'!$B$31+'Inputs'!$B$32)/1000+'Inputs'!$B$21+'Inputs'!$B$9+'Inputs'!$B$10)+'Inputs'!$B$7)^2+('Inputs'!$B$6/2)^2)-(((650-43)*MAX('Inputs'!$B$33,'Inputs'!$B$29+'Inputs'!$B$31+'Inputs'!$B$32,'Inputs'!$B$30+'Inputs'!$B$31+'Inputs'!$B$32)/1000+'Inputs'!$B$21+'Inputs'!$B$9+'Inputs'!$B$10))/SQRT((((650-43)*MAX('Inputs'!$B$33,'Inputs'!$B$29+'Inputs'!$B$31+'Inputs'!$B$32,'Inputs'!$B$30+'Inputs'!$B$31+'Inputs'!$B$32)/1000+'Inputs'!$B$21+'Inputs'!$B$9+'Inputs'!$B$10))^2+('Inputs'!$B$6/2)^2))))*'Results'!$B$8)+'Inputs'!$B$28*ABS((('Results'!C7*(1+'Inputs'!$B$24)*(0.5*((((650-43)*MAX('Inputs'!$B$33,'Inputs'!$B$29+'Inputs'!$B$31+'Inputs'!$B$32,'Inputs'!$B$30+'Inputs'!$B$31+'Inputs'!$B$32)/1000+'Inputs'!$B$21)+'Inputs'!$B$9)/SQRT((((650-43)*MAX('Inputs'!$B$33,'Inputs'!$B$29+'Inputs'!$B$31+'Inputs'!$B$32,'Inputs'!$B$30+'Inputs'!$B$31+'Inputs'!$B$32)/1000+'Inputs'!$B$21)+'Inputs'!$B$9)^2+('Inputs'!$B$8/2)^2)-(((650-43)*MAX('Inputs'!$B$33,'Inputs'!$B$29+'Inputs'!$B$31+'Inputs'!$B$32,'Inputs'!$B$30+'Inputs'!$B$31+'Inputs'!$B$32)/1000+'Inputs'!$B$21))/SQRT((((650-43)*MAX('Inputs'!$B$33,'Inputs'!$B$29+'Inputs'!$B$31+'Inputs'!$B$32,'Inputs'!$B$30+'Inputs'!$B$31+'Inputs'!$B$32)/1000+'Inputs'!$B$21))^2+('Inputs'!$B$8/2)^2)))-'Results'!B7*(1-'Inputs'!$B$24)*(0.5*((((650-43)*MAX('Inputs'!$B$33,'Inputs'!$B$29+'Inputs'!$B$31+'Inputs'!$B$32,'Inputs'!$B$30+'Inputs'!$B$31+'Inputs'!$B$32)/1000+'Inputs'!$B$21+'Inputs'!$B$9+'Inputs'!$B$10)+'Inputs'!$B$7)/SQRT((((650-43)*MAX('Inputs'!$B$33,'Inputs'!$B$29+'Inputs'!$B$31+'Inputs'!$B$32,'Inputs'!$B$30+'Inputs'!$B$31+'Inputs'!$B$32)/1000+'Inputs'!$B$21+'Inputs'!$B$9+'Inputs'!$B$10)+'Inputs'!$B$7)^2+('Inputs'!$B$6/2)^2)-(((650-43)*MAX('Inputs'!$B$33,'Inputs'!$B$29+'Inputs'!$B$31+'Inputs'!$B$32,'Inputs'!$B$30+'Inputs'!$B$31+'Inputs'!$B$32)/1000+'Inputs'!$B$21+'Inputs'!$B$9+'Inputs'!$B$10))/SQRT((((650-43)*MAX('Inputs'!$B$33,'Inputs'!$B$29+'Inputs'!$B$31+'Inputs'!$B$32,'Inputs'!$B$30+'Inputs'!$B$31+'Inputs'!$B$32)/1000+'Inputs'!$B$21+'Inputs'!$B$9+'Inputs'!$B$10))^2+('Inputs'!$B$6/2)^2))))*'Results'!$B$8))),"")</x:f>
        <x:v>2.2415758730539515</x:v>
      </x:c>
      <x:c r="P650" t="n">
        <x:f>IF(AND(MAX(J650,J649)&gt;0,J650&gt;J649+0.00000001),1,0)</x:f>
        <x:v>0</x:v>
      </x:c>
      <x:c r="Q650" t="n">
        <x:f>IF(AND(MAX(K650,K649)&gt;0,K650&gt;K649+0.00000001),1,0)</x:f>
        <x:v>0</x:v>
      </x:c>
      <x:c r="R650" t="n">
        <x:f>IF(AND(MAX(L650,L649)&gt;0,L650&gt;L649+0.00000001),1,0)</x:f>
        <x:v>0</x:v>
      </x:c>
      <x:c r="S650" t="n">
        <x:f>IF(AND(MAX(M650,M649)&gt;0,M650&gt;M649+0.00000001),1,0)</x:f>
        <x:v>0</x:v>
      </x:c>
      <x:c r="T650" t="n">
        <x:f>IF(AND(MAX(N650,N649)&gt;0,N650&gt;N649+0.00000001),1,0)</x:f>
        <x:v>0</x:v>
      </x:c>
      <x:c r="U650" t="n">
        <x:f>IF(AND(MAX(O650,O649)&gt;0,O650&gt;O649+0.00000001),1,0)</x:f>
        <x:v>0</x:v>
      </x:c>
    </x:row>
    <x:row r="651">
      <x:c r="J651" t="n">
        <x:f>IF(AND(ISNUMBER('Results'!B7),ISNUMBER('Results'!C7),ISNUMBER('Results'!$B$8),ISNUMBER('Inputs'!$B$6),ISNUMBER('Inputs'!$B$7),ISNUMBER('Inputs'!$B$8),ISNUMBER('Inputs'!$B$9),ISNUMBER('Inputs'!$B$10),ISNUMBER('Inputs'!$B$21),ISNUMBER('Inputs'!$B$24),ISNUMBER('Inputs'!$B$28)),(('Results'!B7*(0.5*((((651-43)*MAX('Inputs'!$B$33,'Inputs'!$B$29+'Inputs'!$B$31+'Inputs'!$B$32,'Inputs'!$B$30+'Inputs'!$B$31+'Inputs'!$B$32)/1000+'Inputs'!$B$21)+'Inputs'!$B$7)/SQRT((((651-43)*MAX('Inputs'!$B$33,'Inputs'!$B$29+'Inputs'!$B$31+'Inputs'!$B$32,'Inputs'!$B$30+'Inputs'!$B$31+'Inputs'!$B$32)/1000+'Inputs'!$B$21)+'Inputs'!$B$7)^2+('Inputs'!$B$6/2)^2)-(((651-43)*MAX('Inputs'!$B$33,'Inputs'!$B$29+'Inputs'!$B$31+'Inputs'!$B$32,'Inputs'!$B$30+'Inputs'!$B$31+'Inputs'!$B$32)/1000+'Inputs'!$B$21))/SQRT((((651-43)*MAX('Inputs'!$B$33,'Inputs'!$B$29+'Inputs'!$B$31+'Inputs'!$B$32,'Inputs'!$B$30+'Inputs'!$B$31+'Inputs'!$B$32)/1000+'Inputs'!$B$21))^2+('Inputs'!$B$6/2)^2)))-'Results'!C7*(0.5*((((651-43)*MAX('Inputs'!$B$33,'Inputs'!$B$29+'Inputs'!$B$31+'Inputs'!$B$32,'Inputs'!$B$30+'Inputs'!$B$31+'Inputs'!$B$32)/1000+'Inputs'!$B$21+'Inputs'!$B$7+'Inputs'!$B$10)+'Inputs'!$B$9)/SQRT((((651-43)*MAX('Inputs'!$B$33,'Inputs'!$B$29+'Inputs'!$B$31+'Inputs'!$B$32,'Inputs'!$B$30+'Inputs'!$B$31+'Inputs'!$B$32)/1000+'Inputs'!$B$21+'Inputs'!$B$7+'Inputs'!$B$10)+'Inputs'!$B$9)^2+('Inputs'!$B$8/2)^2)-(((651-43)*MAX('Inputs'!$B$33,'Inputs'!$B$29+'Inputs'!$B$31+'Inputs'!$B$32,'Inputs'!$B$30+'Inputs'!$B$31+'Inputs'!$B$32)/1000+'Inputs'!$B$21+'Inputs'!$B$7+'Inputs'!$B$10))/SQRT((((651-43)*MAX('Inputs'!$B$33,'Inputs'!$B$29+'Inputs'!$B$31+'Inputs'!$B$32,'Inputs'!$B$30+'Inputs'!$B$31+'Inputs'!$B$32)/1000+'Inputs'!$B$21+'Inputs'!$B$7+'Inputs'!$B$10))^2+('Inputs'!$B$8/2)^2))))*'Results'!$B$8),"")</x:f>
        <x:v>2.124670024908397</x:v>
      </x:c>
      <x:c r="K651" t="n">
        <x:f>IF(AND(ISNUMBER('Results'!B7),ISNUMBER('Results'!C7),ISNUMBER('Results'!$B$8),ISNUMBER('Inputs'!$B$6),ISNUMBER('Inputs'!$B$7),ISNUMBER('Inputs'!$B$8),ISNUMBER('Inputs'!$B$9),ISNUMBER('Inputs'!$B$10),ISNUMBER('Inputs'!$B$21),ISNUMBER('Inputs'!$B$24),ISNUMBER('Inputs'!$B$28)),((('Results'!B7*(1-'Inputs'!$B$24)*(0.5*((((651-43)*MAX('Inputs'!$B$33,'Inputs'!$B$29+'Inputs'!$B$31+'Inputs'!$B$32,'Inputs'!$B$30+'Inputs'!$B$31+'Inputs'!$B$32)/1000+'Inputs'!$B$21)+'Inputs'!$B$7)/SQRT((((651-43)*MAX('Inputs'!$B$33,'Inputs'!$B$29+'Inputs'!$B$31+'Inputs'!$B$32,'Inputs'!$B$30+'Inputs'!$B$31+'Inputs'!$B$32)/1000+'Inputs'!$B$21)+'Inputs'!$B$7)^2+('Inputs'!$B$6/2)^2)-(((651-43)*MAX('Inputs'!$B$33,'Inputs'!$B$29+'Inputs'!$B$31+'Inputs'!$B$32,'Inputs'!$B$30+'Inputs'!$B$31+'Inputs'!$B$32)/1000+'Inputs'!$B$21))/SQRT((((651-43)*MAX('Inputs'!$B$33,'Inputs'!$B$29+'Inputs'!$B$31+'Inputs'!$B$32,'Inputs'!$B$30+'Inputs'!$B$31+'Inputs'!$B$32)/1000+'Inputs'!$B$21))^2+('Inputs'!$B$6/2)^2)))-'Results'!C7*(1+'Inputs'!$B$24)*(0.5*((((651-43)*MAX('Inputs'!$B$33,'Inputs'!$B$29+'Inputs'!$B$31+'Inputs'!$B$32,'Inputs'!$B$30+'Inputs'!$B$31+'Inputs'!$B$32)/1000+'Inputs'!$B$21+'Inputs'!$B$7+'Inputs'!$B$10)+'Inputs'!$B$9)/SQRT((((651-43)*MAX('Inputs'!$B$33,'Inputs'!$B$29+'Inputs'!$B$31+'Inputs'!$B$32,'Inputs'!$B$30+'Inputs'!$B$31+'Inputs'!$B$32)/1000+'Inputs'!$B$21+'Inputs'!$B$7+'Inputs'!$B$10)+'Inputs'!$B$9)^2+('Inputs'!$B$8/2)^2)-(((651-43)*MAX('Inputs'!$B$33,'Inputs'!$B$29+'Inputs'!$B$31+'Inputs'!$B$32,'Inputs'!$B$30+'Inputs'!$B$31+'Inputs'!$B$32)/1000+'Inputs'!$B$21+'Inputs'!$B$7+'Inputs'!$B$10))/SQRT((((651-43)*MAX('Inputs'!$B$33,'Inputs'!$B$29+'Inputs'!$B$31+'Inputs'!$B$32,'Inputs'!$B$30+'Inputs'!$B$31+'Inputs'!$B$32)/1000+'Inputs'!$B$21+'Inputs'!$B$7+'Inputs'!$B$10))^2+('Inputs'!$B$8/2)^2))))*'Results'!$B$8)-'Inputs'!$B$28*ABS((('Results'!B7*(1-'Inputs'!$B$24)*(0.5*((((651-43)*MAX('Inputs'!$B$33,'Inputs'!$B$29+'Inputs'!$B$31+'Inputs'!$B$32,'Inputs'!$B$30+'Inputs'!$B$31+'Inputs'!$B$32)/1000+'Inputs'!$B$21)+'Inputs'!$B$7)/SQRT((((651-43)*MAX('Inputs'!$B$33,'Inputs'!$B$29+'Inputs'!$B$31+'Inputs'!$B$32,'Inputs'!$B$30+'Inputs'!$B$31+'Inputs'!$B$32)/1000+'Inputs'!$B$21)+'Inputs'!$B$7)^2+('Inputs'!$B$6/2)^2)-(((651-43)*MAX('Inputs'!$B$33,'Inputs'!$B$29+'Inputs'!$B$31+'Inputs'!$B$32,'Inputs'!$B$30+'Inputs'!$B$31+'Inputs'!$B$32)/1000+'Inputs'!$B$21))/SQRT((((651-43)*MAX('Inputs'!$B$33,'Inputs'!$B$29+'Inputs'!$B$31+'Inputs'!$B$32,'Inputs'!$B$30+'Inputs'!$B$31+'Inputs'!$B$32)/1000+'Inputs'!$B$21))^2+('Inputs'!$B$6/2)^2)))-'Results'!C7*(1+'Inputs'!$B$24)*(0.5*((((651-43)*MAX('Inputs'!$B$33,'Inputs'!$B$29+'Inputs'!$B$31+'Inputs'!$B$32,'Inputs'!$B$30+'Inputs'!$B$31+'Inputs'!$B$32)/1000+'Inputs'!$B$21+'Inputs'!$B$7+'Inputs'!$B$10)+'Inputs'!$B$9)/SQRT((((651-43)*MAX('Inputs'!$B$33,'Inputs'!$B$29+'Inputs'!$B$31+'Inputs'!$B$32,'Inputs'!$B$30+'Inputs'!$B$31+'Inputs'!$B$32)/1000+'Inputs'!$B$21+'Inputs'!$B$7+'Inputs'!$B$10)+'Inputs'!$B$9)^2+('Inputs'!$B$8/2)^2)-(((651-43)*MAX('Inputs'!$B$33,'Inputs'!$B$29+'Inputs'!$B$31+'Inputs'!$B$32,'Inputs'!$B$30+'Inputs'!$B$31+'Inputs'!$B$32)/1000+'Inputs'!$B$21+'Inputs'!$B$7+'Inputs'!$B$10))/SQRT((((651-43)*MAX('Inputs'!$B$33,'Inputs'!$B$29+'Inputs'!$B$31+'Inputs'!$B$32,'Inputs'!$B$30+'Inputs'!$B$31+'Inputs'!$B$32)/1000+'Inputs'!$B$21+'Inputs'!$B$7+'Inputs'!$B$10))^2+('Inputs'!$B$8/2)^2))))*'Results'!$B$8))),"")</x:f>
        <x:v>1.8589020003204226</x:v>
      </x:c>
      <x:c r="L651" t="n">
        <x:f>IF(AND(ISNUMBER('Results'!B7),ISNUMBER('Results'!C7),ISNUMBER('Results'!$B$8),ISNUMBER('Inputs'!$B$6),ISNUMBER('Inputs'!$B$7),ISNUMBER('Inputs'!$B$8),ISNUMBER('Inputs'!$B$9),ISNUMBER('Inputs'!$B$10),ISNUMBER('Inputs'!$B$21),ISNUMBER('Inputs'!$B$24),ISNUMBER('Inputs'!$B$28)),((('Results'!B7*(1+'Inputs'!$B$24)*(0.5*((((651-43)*MAX('Inputs'!$B$33,'Inputs'!$B$29+'Inputs'!$B$31+'Inputs'!$B$32,'Inputs'!$B$30+'Inputs'!$B$31+'Inputs'!$B$32)/1000+'Inputs'!$B$21)+'Inputs'!$B$7)/SQRT((((651-43)*MAX('Inputs'!$B$33,'Inputs'!$B$29+'Inputs'!$B$31+'Inputs'!$B$32,'Inputs'!$B$30+'Inputs'!$B$31+'Inputs'!$B$32)/1000+'Inputs'!$B$21)+'Inputs'!$B$7)^2+('Inputs'!$B$6/2)^2)-(((651-43)*MAX('Inputs'!$B$33,'Inputs'!$B$29+'Inputs'!$B$31+'Inputs'!$B$32,'Inputs'!$B$30+'Inputs'!$B$31+'Inputs'!$B$32)/1000+'Inputs'!$B$21))/SQRT((((651-43)*MAX('Inputs'!$B$33,'Inputs'!$B$29+'Inputs'!$B$31+'Inputs'!$B$32,'Inputs'!$B$30+'Inputs'!$B$31+'Inputs'!$B$32)/1000+'Inputs'!$B$21))^2+('Inputs'!$B$6/2)^2)))-'Results'!C7*(1-'Inputs'!$B$24)*(0.5*((((651-43)*MAX('Inputs'!$B$33,'Inputs'!$B$29+'Inputs'!$B$31+'Inputs'!$B$32,'Inputs'!$B$30+'Inputs'!$B$31+'Inputs'!$B$32)/1000+'Inputs'!$B$21+'Inputs'!$B$7+'Inputs'!$B$10)+'Inputs'!$B$9)/SQRT((((651-43)*MAX('Inputs'!$B$33,'Inputs'!$B$29+'Inputs'!$B$31+'Inputs'!$B$32,'Inputs'!$B$30+'Inputs'!$B$31+'Inputs'!$B$32)/1000+'Inputs'!$B$21+'Inputs'!$B$7+'Inputs'!$B$10)+'Inputs'!$B$9)^2+('Inputs'!$B$8/2)^2)-(((651-43)*MAX('Inputs'!$B$33,'Inputs'!$B$29+'Inputs'!$B$31+'Inputs'!$B$32,'Inputs'!$B$30+'Inputs'!$B$31+'Inputs'!$B$32)/1000+'Inputs'!$B$21+'Inputs'!$B$7+'Inputs'!$B$10))/SQRT((((651-43)*MAX('Inputs'!$B$33,'Inputs'!$B$29+'Inputs'!$B$31+'Inputs'!$B$32,'Inputs'!$B$30+'Inputs'!$B$31+'Inputs'!$B$32)/1000+'Inputs'!$B$21+'Inputs'!$B$7+'Inputs'!$B$10))^2+('Inputs'!$B$8/2)^2))))*'Results'!$B$8)+'Inputs'!$B$28*ABS((('Results'!B7*(1+'Inputs'!$B$24)*(0.5*((((651-43)*MAX('Inputs'!$B$33,'Inputs'!$B$29+'Inputs'!$B$31+'Inputs'!$B$32,'Inputs'!$B$30+'Inputs'!$B$31+'Inputs'!$B$32)/1000+'Inputs'!$B$21)+'Inputs'!$B$7)/SQRT((((651-43)*MAX('Inputs'!$B$33,'Inputs'!$B$29+'Inputs'!$B$31+'Inputs'!$B$32,'Inputs'!$B$30+'Inputs'!$B$31+'Inputs'!$B$32)/1000+'Inputs'!$B$21)+'Inputs'!$B$7)^2+('Inputs'!$B$6/2)^2)-(((651-43)*MAX('Inputs'!$B$33,'Inputs'!$B$29+'Inputs'!$B$31+'Inputs'!$B$32,'Inputs'!$B$30+'Inputs'!$B$31+'Inputs'!$B$32)/1000+'Inputs'!$B$21))/SQRT((((651-43)*MAX('Inputs'!$B$33,'Inputs'!$B$29+'Inputs'!$B$31+'Inputs'!$B$32,'Inputs'!$B$30+'Inputs'!$B$31+'Inputs'!$B$32)/1000+'Inputs'!$B$21))^2+('Inputs'!$B$6/2)^2)))-'Results'!C7*(1-'Inputs'!$B$24)*(0.5*((((651-43)*MAX('Inputs'!$B$33,'Inputs'!$B$29+'Inputs'!$B$31+'Inputs'!$B$32,'Inputs'!$B$30+'Inputs'!$B$31+'Inputs'!$B$32)/1000+'Inputs'!$B$21+'Inputs'!$B$7+'Inputs'!$B$10)+'Inputs'!$B$9)/SQRT((((651-43)*MAX('Inputs'!$B$33,'Inputs'!$B$29+'Inputs'!$B$31+'Inputs'!$B$32,'Inputs'!$B$30+'Inputs'!$B$31+'Inputs'!$B$32)/1000+'Inputs'!$B$21+'Inputs'!$B$7+'Inputs'!$B$10)+'Inputs'!$B$9)^2+('Inputs'!$B$8/2)^2)-(((651-43)*MAX('Inputs'!$B$33,'Inputs'!$B$29+'Inputs'!$B$31+'Inputs'!$B$32,'Inputs'!$B$30+'Inputs'!$B$31+'Inputs'!$B$32)/1000+'Inputs'!$B$21+'Inputs'!$B$7+'Inputs'!$B$10))/SQRT((((651-43)*MAX('Inputs'!$B$33,'Inputs'!$B$29+'Inputs'!$B$31+'Inputs'!$B$32,'Inputs'!$B$30+'Inputs'!$B$31+'Inputs'!$B$32)/1000+'Inputs'!$B$21+'Inputs'!$B$7+'Inputs'!$B$10))^2+('Inputs'!$B$8/2)^2))))*'Results'!$B$8))),"")</x:f>
        <x:v>2.407231157216641</x:v>
      </x:c>
      <x:c r="M651" t="n">
        <x:f>IF(AND(ISNUMBER('Results'!C7),ISNUMBER('Results'!B7),ISNUMBER('Results'!$B$8),ISNUMBER('Inputs'!$B$6),ISNUMBER('Inputs'!$B$7),ISNUMBER('Inputs'!$B$8),ISNUMBER('Inputs'!$B$9),ISNUMBER('Inputs'!$B$10),ISNUMBER('Inputs'!$B$21),ISNUMBER('Inputs'!$B$24),ISNUMBER('Inputs'!$B$28)),(('Results'!C7*(0.5*((((651-43)*MAX('Inputs'!$B$33,'Inputs'!$B$29+'Inputs'!$B$31+'Inputs'!$B$32,'Inputs'!$B$30+'Inputs'!$B$31+'Inputs'!$B$32)/1000+'Inputs'!$B$21)+'Inputs'!$B$9)/SQRT((((651-43)*MAX('Inputs'!$B$33,'Inputs'!$B$29+'Inputs'!$B$31+'Inputs'!$B$32,'Inputs'!$B$30+'Inputs'!$B$31+'Inputs'!$B$32)/1000+'Inputs'!$B$21)+'Inputs'!$B$9)^2+('Inputs'!$B$8/2)^2)-(((651-43)*MAX('Inputs'!$B$33,'Inputs'!$B$29+'Inputs'!$B$31+'Inputs'!$B$32,'Inputs'!$B$30+'Inputs'!$B$31+'Inputs'!$B$32)/1000+'Inputs'!$B$21))/SQRT((((651-43)*MAX('Inputs'!$B$33,'Inputs'!$B$29+'Inputs'!$B$31+'Inputs'!$B$32,'Inputs'!$B$30+'Inputs'!$B$31+'Inputs'!$B$32)/1000+'Inputs'!$B$21))^2+('Inputs'!$B$8/2)^2)))-'Results'!B7*(0.5*((((651-43)*MAX('Inputs'!$B$33,'Inputs'!$B$29+'Inputs'!$B$31+'Inputs'!$B$32,'Inputs'!$B$30+'Inputs'!$B$31+'Inputs'!$B$32)/1000+'Inputs'!$B$21+'Inputs'!$B$9+'Inputs'!$B$10)+'Inputs'!$B$7)/SQRT((((651-43)*MAX('Inputs'!$B$33,'Inputs'!$B$29+'Inputs'!$B$31+'Inputs'!$B$32,'Inputs'!$B$30+'Inputs'!$B$31+'Inputs'!$B$32)/1000+'Inputs'!$B$21+'Inputs'!$B$9+'Inputs'!$B$10)+'Inputs'!$B$7)^2+('Inputs'!$B$6/2)^2)-(((651-43)*MAX('Inputs'!$B$33,'Inputs'!$B$29+'Inputs'!$B$31+'Inputs'!$B$32,'Inputs'!$B$30+'Inputs'!$B$31+'Inputs'!$B$32)/1000+'Inputs'!$B$21+'Inputs'!$B$9+'Inputs'!$B$10))/SQRT((((651-43)*MAX('Inputs'!$B$33,'Inputs'!$B$29+'Inputs'!$B$31+'Inputs'!$B$32,'Inputs'!$B$30+'Inputs'!$B$31+'Inputs'!$B$32)/1000+'Inputs'!$B$21+'Inputs'!$B$9+'Inputs'!$B$10))^2+('Inputs'!$B$6/2)^2))))*'Results'!$B$8),"")</x:f>
        <x:v>1.955458971412805</x:v>
      </x:c>
      <x:c r="N651" t="n">
        <x:f>IF(AND(ISNUMBER('Results'!C7),ISNUMBER('Results'!B7),ISNUMBER('Results'!$B$8),ISNUMBER('Inputs'!$B$6),ISNUMBER('Inputs'!$B$7),ISNUMBER('Inputs'!$B$8),ISNUMBER('Inputs'!$B$9),ISNUMBER('Inputs'!$B$10),ISNUMBER('Inputs'!$B$21),ISNUMBER('Inputs'!$B$24),ISNUMBER('Inputs'!$B$28)),((('Results'!C7*(1-'Inputs'!$B$24)*(0.5*((((651-43)*MAX('Inputs'!$B$33,'Inputs'!$B$29+'Inputs'!$B$31+'Inputs'!$B$32,'Inputs'!$B$30+'Inputs'!$B$31+'Inputs'!$B$32)/1000+'Inputs'!$B$21)+'Inputs'!$B$9)/SQRT((((651-43)*MAX('Inputs'!$B$33,'Inputs'!$B$29+'Inputs'!$B$31+'Inputs'!$B$32,'Inputs'!$B$30+'Inputs'!$B$31+'Inputs'!$B$32)/1000+'Inputs'!$B$21)+'Inputs'!$B$9)^2+('Inputs'!$B$8/2)^2)-(((651-43)*MAX('Inputs'!$B$33,'Inputs'!$B$29+'Inputs'!$B$31+'Inputs'!$B$32,'Inputs'!$B$30+'Inputs'!$B$31+'Inputs'!$B$32)/1000+'Inputs'!$B$21))/SQRT((((651-43)*MAX('Inputs'!$B$33,'Inputs'!$B$29+'Inputs'!$B$31+'Inputs'!$B$32,'Inputs'!$B$30+'Inputs'!$B$31+'Inputs'!$B$32)/1000+'Inputs'!$B$21))^2+('Inputs'!$B$8/2)^2)))-'Results'!B7*(1+'Inputs'!$B$24)*(0.5*((((651-43)*MAX('Inputs'!$B$33,'Inputs'!$B$29+'Inputs'!$B$31+'Inputs'!$B$32,'Inputs'!$B$30+'Inputs'!$B$31+'Inputs'!$B$32)/1000+'Inputs'!$B$21+'Inputs'!$B$9+'Inputs'!$B$10)+'Inputs'!$B$7)/SQRT((((651-43)*MAX('Inputs'!$B$33,'Inputs'!$B$29+'Inputs'!$B$31+'Inputs'!$B$32,'Inputs'!$B$30+'Inputs'!$B$31+'Inputs'!$B$32)/1000+'Inputs'!$B$21+'Inputs'!$B$9+'Inputs'!$B$10)+'Inputs'!$B$7)^2+('Inputs'!$B$6/2)^2)-(((651-43)*MAX('Inputs'!$B$33,'Inputs'!$B$29+'Inputs'!$B$31+'Inputs'!$B$32,'Inputs'!$B$30+'Inputs'!$B$31+'Inputs'!$B$32)/1000+'Inputs'!$B$21+'Inputs'!$B$9+'Inputs'!$B$10))/SQRT((((651-43)*MAX('Inputs'!$B$33,'Inputs'!$B$29+'Inputs'!$B$31+'Inputs'!$B$32,'Inputs'!$B$30+'Inputs'!$B$31+'Inputs'!$B$32)/1000+'Inputs'!$B$21+'Inputs'!$B$9+'Inputs'!$B$10))^2+('Inputs'!$B$6/2)^2))))*'Results'!$B$8)-'Inputs'!$B$28*ABS((('Results'!C7*(1-'Inputs'!$B$24)*(0.5*((((651-43)*MAX('Inputs'!$B$33,'Inputs'!$B$29+'Inputs'!$B$31+'Inputs'!$B$32,'Inputs'!$B$30+'Inputs'!$B$31+'Inputs'!$B$32)/1000+'Inputs'!$B$21)+'Inputs'!$B$9)/SQRT((((651-43)*MAX('Inputs'!$B$33,'Inputs'!$B$29+'Inputs'!$B$31+'Inputs'!$B$32,'Inputs'!$B$30+'Inputs'!$B$31+'Inputs'!$B$32)/1000+'Inputs'!$B$21)+'Inputs'!$B$9)^2+('Inputs'!$B$8/2)^2)-(((651-43)*MAX('Inputs'!$B$33,'Inputs'!$B$29+'Inputs'!$B$31+'Inputs'!$B$32,'Inputs'!$B$30+'Inputs'!$B$31+'Inputs'!$B$32)/1000+'Inputs'!$B$21))/SQRT((((651-43)*MAX('Inputs'!$B$33,'Inputs'!$B$29+'Inputs'!$B$31+'Inputs'!$B$32,'Inputs'!$B$30+'Inputs'!$B$31+'Inputs'!$B$32)/1000+'Inputs'!$B$21))^2+('Inputs'!$B$8/2)^2)))-'Results'!B7*(1+'Inputs'!$B$24)*(0.5*((((651-43)*MAX('Inputs'!$B$33,'Inputs'!$B$29+'Inputs'!$B$31+'Inputs'!$B$32,'Inputs'!$B$30+'Inputs'!$B$31+'Inputs'!$B$32)/1000+'Inputs'!$B$21+'Inputs'!$B$9+'Inputs'!$B$10)+'Inputs'!$B$7)/SQRT((((651-43)*MAX('Inputs'!$B$33,'Inputs'!$B$29+'Inputs'!$B$31+'Inputs'!$B$32,'Inputs'!$B$30+'Inputs'!$B$31+'Inputs'!$B$32)/1000+'Inputs'!$B$21+'Inputs'!$B$9+'Inputs'!$B$10)+'Inputs'!$B$7)^2+('Inputs'!$B$6/2)^2)-(((651-43)*MAX('Inputs'!$B$33,'Inputs'!$B$29+'Inputs'!$B$31+'Inputs'!$B$32,'Inputs'!$B$30+'Inputs'!$B$31+'Inputs'!$B$32)/1000+'Inputs'!$B$21+'Inputs'!$B$9+'Inputs'!$B$10))/SQRT((((651-43)*MAX('Inputs'!$B$33,'Inputs'!$B$29+'Inputs'!$B$31+'Inputs'!$B$32,'Inputs'!$B$30+'Inputs'!$B$31+'Inputs'!$B$32)/1000+'Inputs'!$B$21+'Inputs'!$B$9+'Inputs'!$B$10))^2+('Inputs'!$B$6/2)^2))))*'Results'!$B$8))),"")</x:f>
        <x:v>1.6989345545595098</x:v>
      </x:c>
      <x:c r="O651" t="n">
        <x:f>IF(AND(ISNUMBER('Results'!C7),ISNUMBER('Results'!B7),ISNUMBER('Results'!$B$8),ISNUMBER('Inputs'!$B$6),ISNUMBER('Inputs'!$B$7),ISNUMBER('Inputs'!$B$8),ISNUMBER('Inputs'!$B$9),ISNUMBER('Inputs'!$B$10),ISNUMBER('Inputs'!$B$21),ISNUMBER('Inputs'!$B$24),ISNUMBER('Inputs'!$B$28)),((('Results'!C7*(1+'Inputs'!$B$24)*(0.5*((((651-43)*MAX('Inputs'!$B$33,'Inputs'!$B$29+'Inputs'!$B$31+'Inputs'!$B$32,'Inputs'!$B$30+'Inputs'!$B$31+'Inputs'!$B$32)/1000+'Inputs'!$B$21)+'Inputs'!$B$9)/SQRT((((651-43)*MAX('Inputs'!$B$33,'Inputs'!$B$29+'Inputs'!$B$31+'Inputs'!$B$32,'Inputs'!$B$30+'Inputs'!$B$31+'Inputs'!$B$32)/1000+'Inputs'!$B$21)+'Inputs'!$B$9)^2+('Inputs'!$B$8/2)^2)-(((651-43)*MAX('Inputs'!$B$33,'Inputs'!$B$29+'Inputs'!$B$31+'Inputs'!$B$32,'Inputs'!$B$30+'Inputs'!$B$31+'Inputs'!$B$32)/1000+'Inputs'!$B$21))/SQRT((((651-43)*MAX('Inputs'!$B$33,'Inputs'!$B$29+'Inputs'!$B$31+'Inputs'!$B$32,'Inputs'!$B$30+'Inputs'!$B$31+'Inputs'!$B$32)/1000+'Inputs'!$B$21))^2+('Inputs'!$B$8/2)^2)))-'Results'!B7*(1-'Inputs'!$B$24)*(0.5*((((651-43)*MAX('Inputs'!$B$33,'Inputs'!$B$29+'Inputs'!$B$31+'Inputs'!$B$32,'Inputs'!$B$30+'Inputs'!$B$31+'Inputs'!$B$32)/1000+'Inputs'!$B$21+'Inputs'!$B$9+'Inputs'!$B$10)+'Inputs'!$B$7)/SQRT((((651-43)*MAX('Inputs'!$B$33,'Inputs'!$B$29+'Inputs'!$B$31+'Inputs'!$B$32,'Inputs'!$B$30+'Inputs'!$B$31+'Inputs'!$B$32)/1000+'Inputs'!$B$21+'Inputs'!$B$9+'Inputs'!$B$10)+'Inputs'!$B$7)^2+('Inputs'!$B$6/2)^2)-(((651-43)*MAX('Inputs'!$B$33,'Inputs'!$B$29+'Inputs'!$B$31+'Inputs'!$B$32,'Inputs'!$B$30+'Inputs'!$B$31+'Inputs'!$B$32)/1000+'Inputs'!$B$21+'Inputs'!$B$9+'Inputs'!$B$10))/SQRT((((651-43)*MAX('Inputs'!$B$33,'Inputs'!$B$29+'Inputs'!$B$31+'Inputs'!$B$32,'Inputs'!$B$30+'Inputs'!$B$31+'Inputs'!$B$32)/1000+'Inputs'!$B$21+'Inputs'!$B$9+'Inputs'!$B$10))^2+('Inputs'!$B$6/2)^2))))*'Results'!$B$8)+'Inputs'!$B$28*ABS((('Results'!C7*(1+'Inputs'!$B$24)*(0.5*((((651-43)*MAX('Inputs'!$B$33,'Inputs'!$B$29+'Inputs'!$B$31+'Inputs'!$B$32,'Inputs'!$B$30+'Inputs'!$B$31+'Inputs'!$B$32)/1000+'Inputs'!$B$21)+'Inputs'!$B$9)/SQRT((((651-43)*MAX('Inputs'!$B$33,'Inputs'!$B$29+'Inputs'!$B$31+'Inputs'!$B$32,'Inputs'!$B$30+'Inputs'!$B$31+'Inputs'!$B$32)/1000+'Inputs'!$B$21)+'Inputs'!$B$9)^2+('Inputs'!$B$8/2)^2)-(((651-43)*MAX('Inputs'!$B$33,'Inputs'!$B$29+'Inputs'!$B$31+'Inputs'!$B$32,'Inputs'!$B$30+'Inputs'!$B$31+'Inputs'!$B$32)/1000+'Inputs'!$B$21))/SQRT((((651-43)*MAX('Inputs'!$B$33,'Inputs'!$B$29+'Inputs'!$B$31+'Inputs'!$B$32,'Inputs'!$B$30+'Inputs'!$B$31+'Inputs'!$B$32)/1000+'Inputs'!$B$21))^2+('Inputs'!$B$8/2)^2)))-'Results'!B7*(1-'Inputs'!$B$24)*(0.5*((((651-43)*MAX('Inputs'!$B$33,'Inputs'!$B$29+'Inputs'!$B$31+'Inputs'!$B$32,'Inputs'!$B$30+'Inputs'!$B$31+'Inputs'!$B$32)/1000+'Inputs'!$B$21+'Inputs'!$B$9+'Inputs'!$B$10)+'Inputs'!$B$7)/SQRT((((651-43)*MAX('Inputs'!$B$33,'Inputs'!$B$29+'Inputs'!$B$31+'Inputs'!$B$32,'Inputs'!$B$30+'Inputs'!$B$31+'Inputs'!$B$32)/1000+'Inputs'!$B$21+'Inputs'!$B$9+'Inputs'!$B$10)+'Inputs'!$B$7)^2+('Inputs'!$B$6/2)^2)-(((651-43)*MAX('Inputs'!$B$33,'Inputs'!$B$29+'Inputs'!$B$31+'Inputs'!$B$32,'Inputs'!$B$30+'Inputs'!$B$31+'Inputs'!$B$32)/1000+'Inputs'!$B$21+'Inputs'!$B$9+'Inputs'!$B$10))/SQRT((((651-43)*MAX('Inputs'!$B$33,'Inputs'!$B$29+'Inputs'!$B$31+'Inputs'!$B$32,'Inputs'!$B$30+'Inputs'!$B$31+'Inputs'!$B$32)/1000+'Inputs'!$B$21+'Inputs'!$B$9+'Inputs'!$B$10))^2+('Inputs'!$B$6/2)^2))))*'Results'!$B$8))),"")</x:f>
        <x:v>2.2286940691379584</x:v>
      </x:c>
      <x:c r="P651" t="n">
        <x:f>IF(AND(MAX(J651,J650)&gt;0,J651&gt;J650+0.00000001),1,0)</x:f>
        <x:v>0</x:v>
      </x:c>
      <x:c r="Q651" t="n">
        <x:f>IF(AND(MAX(K651,K650)&gt;0,K651&gt;K650+0.00000001),1,0)</x:f>
        <x:v>0</x:v>
      </x:c>
      <x:c r="R651" t="n">
        <x:f>IF(AND(MAX(L651,L650)&gt;0,L651&gt;L650+0.00000001),1,0)</x:f>
        <x:v>0</x:v>
      </x:c>
      <x:c r="S651" t="n">
        <x:f>IF(AND(MAX(M651,M650)&gt;0,M651&gt;M650+0.00000001),1,0)</x:f>
        <x:v>0</x:v>
      </x:c>
      <x:c r="T651" t="n">
        <x:f>IF(AND(MAX(N651,N650)&gt;0,N651&gt;N650+0.00000001),1,0)</x:f>
        <x:v>0</x:v>
      </x:c>
      <x:c r="U651" t="n">
        <x:f>IF(AND(MAX(O651,O650)&gt;0,O651&gt;O650+0.00000001),1,0)</x:f>
        <x:v>0</x:v>
      </x:c>
    </x:row>
    <x:row r="652">
      <x:c r="J652" t="n">
        <x:f>IF(AND(ISNUMBER('Results'!B7),ISNUMBER('Results'!C7),ISNUMBER('Results'!$B$8),ISNUMBER('Inputs'!$B$6),ISNUMBER('Inputs'!$B$7),ISNUMBER('Inputs'!$B$8),ISNUMBER('Inputs'!$B$9),ISNUMBER('Inputs'!$B$10),ISNUMBER('Inputs'!$B$21),ISNUMBER('Inputs'!$B$24),ISNUMBER('Inputs'!$B$28)),(('Results'!B7*(0.5*((((652-43)*MAX('Inputs'!$B$33,'Inputs'!$B$29+'Inputs'!$B$31+'Inputs'!$B$32,'Inputs'!$B$30+'Inputs'!$B$31+'Inputs'!$B$32)/1000+'Inputs'!$B$21)+'Inputs'!$B$7)/SQRT((((652-43)*MAX('Inputs'!$B$33,'Inputs'!$B$29+'Inputs'!$B$31+'Inputs'!$B$32,'Inputs'!$B$30+'Inputs'!$B$31+'Inputs'!$B$32)/1000+'Inputs'!$B$21)+'Inputs'!$B$7)^2+('Inputs'!$B$6/2)^2)-(((652-43)*MAX('Inputs'!$B$33,'Inputs'!$B$29+'Inputs'!$B$31+'Inputs'!$B$32,'Inputs'!$B$30+'Inputs'!$B$31+'Inputs'!$B$32)/1000+'Inputs'!$B$21))/SQRT((((652-43)*MAX('Inputs'!$B$33,'Inputs'!$B$29+'Inputs'!$B$31+'Inputs'!$B$32,'Inputs'!$B$30+'Inputs'!$B$31+'Inputs'!$B$32)/1000+'Inputs'!$B$21))^2+('Inputs'!$B$6/2)^2)))-'Results'!C7*(0.5*((((652-43)*MAX('Inputs'!$B$33,'Inputs'!$B$29+'Inputs'!$B$31+'Inputs'!$B$32,'Inputs'!$B$30+'Inputs'!$B$31+'Inputs'!$B$32)/1000+'Inputs'!$B$21+'Inputs'!$B$7+'Inputs'!$B$10)+'Inputs'!$B$9)/SQRT((((652-43)*MAX('Inputs'!$B$33,'Inputs'!$B$29+'Inputs'!$B$31+'Inputs'!$B$32,'Inputs'!$B$30+'Inputs'!$B$31+'Inputs'!$B$32)/1000+'Inputs'!$B$21+'Inputs'!$B$7+'Inputs'!$B$10)+'Inputs'!$B$9)^2+('Inputs'!$B$8/2)^2)-(((652-43)*MAX('Inputs'!$B$33,'Inputs'!$B$29+'Inputs'!$B$31+'Inputs'!$B$32,'Inputs'!$B$30+'Inputs'!$B$31+'Inputs'!$B$32)/1000+'Inputs'!$B$21+'Inputs'!$B$7+'Inputs'!$B$10))/SQRT((((652-43)*MAX('Inputs'!$B$33,'Inputs'!$B$29+'Inputs'!$B$31+'Inputs'!$B$32,'Inputs'!$B$30+'Inputs'!$B$31+'Inputs'!$B$32)/1000+'Inputs'!$B$21+'Inputs'!$B$7+'Inputs'!$B$10))^2+('Inputs'!$B$8/2)^2))))*'Results'!$B$8),"")</x:f>
        <x:v>2.112479997708072</x:v>
      </x:c>
      <x:c r="K652" t="n">
        <x:f>IF(AND(ISNUMBER('Results'!B7),ISNUMBER('Results'!C7),ISNUMBER('Results'!$B$8),ISNUMBER('Inputs'!$B$6),ISNUMBER('Inputs'!$B$7),ISNUMBER('Inputs'!$B$8),ISNUMBER('Inputs'!$B$9),ISNUMBER('Inputs'!$B$10),ISNUMBER('Inputs'!$B$21),ISNUMBER('Inputs'!$B$24),ISNUMBER('Inputs'!$B$28)),((('Results'!B7*(1-'Inputs'!$B$24)*(0.5*((((652-43)*MAX('Inputs'!$B$33,'Inputs'!$B$29+'Inputs'!$B$31+'Inputs'!$B$32,'Inputs'!$B$30+'Inputs'!$B$31+'Inputs'!$B$32)/1000+'Inputs'!$B$21)+'Inputs'!$B$7)/SQRT((((652-43)*MAX('Inputs'!$B$33,'Inputs'!$B$29+'Inputs'!$B$31+'Inputs'!$B$32,'Inputs'!$B$30+'Inputs'!$B$31+'Inputs'!$B$32)/1000+'Inputs'!$B$21)+'Inputs'!$B$7)^2+('Inputs'!$B$6/2)^2)-(((652-43)*MAX('Inputs'!$B$33,'Inputs'!$B$29+'Inputs'!$B$31+'Inputs'!$B$32,'Inputs'!$B$30+'Inputs'!$B$31+'Inputs'!$B$32)/1000+'Inputs'!$B$21))/SQRT((((652-43)*MAX('Inputs'!$B$33,'Inputs'!$B$29+'Inputs'!$B$31+'Inputs'!$B$32,'Inputs'!$B$30+'Inputs'!$B$31+'Inputs'!$B$32)/1000+'Inputs'!$B$21))^2+('Inputs'!$B$6/2)^2)))-'Results'!C7*(1+'Inputs'!$B$24)*(0.5*((((652-43)*MAX('Inputs'!$B$33,'Inputs'!$B$29+'Inputs'!$B$31+'Inputs'!$B$32,'Inputs'!$B$30+'Inputs'!$B$31+'Inputs'!$B$32)/1000+'Inputs'!$B$21+'Inputs'!$B$7+'Inputs'!$B$10)+'Inputs'!$B$9)/SQRT((((652-43)*MAX('Inputs'!$B$33,'Inputs'!$B$29+'Inputs'!$B$31+'Inputs'!$B$32,'Inputs'!$B$30+'Inputs'!$B$31+'Inputs'!$B$32)/1000+'Inputs'!$B$21+'Inputs'!$B$7+'Inputs'!$B$10)+'Inputs'!$B$9)^2+('Inputs'!$B$8/2)^2)-(((652-43)*MAX('Inputs'!$B$33,'Inputs'!$B$29+'Inputs'!$B$31+'Inputs'!$B$32,'Inputs'!$B$30+'Inputs'!$B$31+'Inputs'!$B$32)/1000+'Inputs'!$B$21+'Inputs'!$B$7+'Inputs'!$B$10))/SQRT((((652-43)*MAX('Inputs'!$B$33,'Inputs'!$B$29+'Inputs'!$B$31+'Inputs'!$B$32,'Inputs'!$B$30+'Inputs'!$B$31+'Inputs'!$B$32)/1000+'Inputs'!$B$21+'Inputs'!$B$7+'Inputs'!$B$10))^2+('Inputs'!$B$8/2)^2))))*'Results'!$B$8)-'Inputs'!$B$28*ABS((('Results'!B7*(1-'Inputs'!$B$24)*(0.5*((((652-43)*MAX('Inputs'!$B$33,'Inputs'!$B$29+'Inputs'!$B$31+'Inputs'!$B$32,'Inputs'!$B$30+'Inputs'!$B$31+'Inputs'!$B$32)/1000+'Inputs'!$B$21)+'Inputs'!$B$7)/SQRT((((652-43)*MAX('Inputs'!$B$33,'Inputs'!$B$29+'Inputs'!$B$31+'Inputs'!$B$32,'Inputs'!$B$30+'Inputs'!$B$31+'Inputs'!$B$32)/1000+'Inputs'!$B$21)+'Inputs'!$B$7)^2+('Inputs'!$B$6/2)^2)-(((652-43)*MAX('Inputs'!$B$33,'Inputs'!$B$29+'Inputs'!$B$31+'Inputs'!$B$32,'Inputs'!$B$30+'Inputs'!$B$31+'Inputs'!$B$32)/1000+'Inputs'!$B$21))/SQRT((((652-43)*MAX('Inputs'!$B$33,'Inputs'!$B$29+'Inputs'!$B$31+'Inputs'!$B$32,'Inputs'!$B$30+'Inputs'!$B$31+'Inputs'!$B$32)/1000+'Inputs'!$B$21))^2+('Inputs'!$B$6/2)^2)))-'Results'!C7*(1+'Inputs'!$B$24)*(0.5*((((652-43)*MAX('Inputs'!$B$33,'Inputs'!$B$29+'Inputs'!$B$31+'Inputs'!$B$32,'Inputs'!$B$30+'Inputs'!$B$31+'Inputs'!$B$32)/1000+'Inputs'!$B$21+'Inputs'!$B$7+'Inputs'!$B$10)+'Inputs'!$B$9)/SQRT((((652-43)*MAX('Inputs'!$B$33,'Inputs'!$B$29+'Inputs'!$B$31+'Inputs'!$B$32,'Inputs'!$B$30+'Inputs'!$B$31+'Inputs'!$B$32)/1000+'Inputs'!$B$21+'Inputs'!$B$7+'Inputs'!$B$10)+'Inputs'!$B$9)^2+('Inputs'!$B$8/2)^2)-(((652-43)*MAX('Inputs'!$B$33,'Inputs'!$B$29+'Inputs'!$B$31+'Inputs'!$B$32,'Inputs'!$B$30+'Inputs'!$B$31+'Inputs'!$B$32)/1000+'Inputs'!$B$21+'Inputs'!$B$7+'Inputs'!$B$10))/SQRT((((652-43)*MAX('Inputs'!$B$33,'Inputs'!$B$29+'Inputs'!$B$31+'Inputs'!$B$32,'Inputs'!$B$30+'Inputs'!$B$31+'Inputs'!$B$32)/1000+'Inputs'!$B$21+'Inputs'!$B$7+'Inputs'!$B$10))^2+('Inputs'!$B$8/2)^2))))*'Results'!$B$8))),"")</x:f>
        <x:v>1.8480282751127608</x:v>
      </x:c>
      <x:c r="L652" t="n">
        <x:f>IF(AND(ISNUMBER('Results'!B7),ISNUMBER('Results'!C7),ISNUMBER('Results'!$B$8),ISNUMBER('Inputs'!$B$6),ISNUMBER('Inputs'!$B$7),ISNUMBER('Inputs'!$B$8),ISNUMBER('Inputs'!$B$9),ISNUMBER('Inputs'!$B$10),ISNUMBER('Inputs'!$B$21),ISNUMBER('Inputs'!$B$24),ISNUMBER('Inputs'!$B$28)),((('Results'!B7*(1+'Inputs'!$B$24)*(0.5*((((652-43)*MAX('Inputs'!$B$33,'Inputs'!$B$29+'Inputs'!$B$31+'Inputs'!$B$32,'Inputs'!$B$30+'Inputs'!$B$31+'Inputs'!$B$32)/1000+'Inputs'!$B$21)+'Inputs'!$B$7)/SQRT((((652-43)*MAX('Inputs'!$B$33,'Inputs'!$B$29+'Inputs'!$B$31+'Inputs'!$B$32,'Inputs'!$B$30+'Inputs'!$B$31+'Inputs'!$B$32)/1000+'Inputs'!$B$21)+'Inputs'!$B$7)^2+('Inputs'!$B$6/2)^2)-(((652-43)*MAX('Inputs'!$B$33,'Inputs'!$B$29+'Inputs'!$B$31+'Inputs'!$B$32,'Inputs'!$B$30+'Inputs'!$B$31+'Inputs'!$B$32)/1000+'Inputs'!$B$21))/SQRT((((652-43)*MAX('Inputs'!$B$33,'Inputs'!$B$29+'Inputs'!$B$31+'Inputs'!$B$32,'Inputs'!$B$30+'Inputs'!$B$31+'Inputs'!$B$32)/1000+'Inputs'!$B$21))^2+('Inputs'!$B$6/2)^2)))-'Results'!C7*(1-'Inputs'!$B$24)*(0.5*((((652-43)*MAX('Inputs'!$B$33,'Inputs'!$B$29+'Inputs'!$B$31+'Inputs'!$B$32,'Inputs'!$B$30+'Inputs'!$B$31+'Inputs'!$B$32)/1000+'Inputs'!$B$21+'Inputs'!$B$7+'Inputs'!$B$10)+'Inputs'!$B$9)/SQRT((((652-43)*MAX('Inputs'!$B$33,'Inputs'!$B$29+'Inputs'!$B$31+'Inputs'!$B$32,'Inputs'!$B$30+'Inputs'!$B$31+'Inputs'!$B$32)/1000+'Inputs'!$B$21+'Inputs'!$B$7+'Inputs'!$B$10)+'Inputs'!$B$9)^2+('Inputs'!$B$8/2)^2)-(((652-43)*MAX('Inputs'!$B$33,'Inputs'!$B$29+'Inputs'!$B$31+'Inputs'!$B$32,'Inputs'!$B$30+'Inputs'!$B$31+'Inputs'!$B$32)/1000+'Inputs'!$B$21+'Inputs'!$B$7+'Inputs'!$B$10))/SQRT((((652-43)*MAX('Inputs'!$B$33,'Inputs'!$B$29+'Inputs'!$B$31+'Inputs'!$B$32,'Inputs'!$B$30+'Inputs'!$B$31+'Inputs'!$B$32)/1000+'Inputs'!$B$21+'Inputs'!$B$7+'Inputs'!$B$10))^2+('Inputs'!$B$8/2)^2))))*'Results'!$B$8)+'Inputs'!$B$28*ABS((('Results'!B7*(1+'Inputs'!$B$24)*(0.5*((((652-43)*MAX('Inputs'!$B$33,'Inputs'!$B$29+'Inputs'!$B$31+'Inputs'!$B$32,'Inputs'!$B$30+'Inputs'!$B$31+'Inputs'!$B$32)/1000+'Inputs'!$B$21)+'Inputs'!$B$7)/SQRT((((652-43)*MAX('Inputs'!$B$33,'Inputs'!$B$29+'Inputs'!$B$31+'Inputs'!$B$32,'Inputs'!$B$30+'Inputs'!$B$31+'Inputs'!$B$32)/1000+'Inputs'!$B$21)+'Inputs'!$B$7)^2+('Inputs'!$B$6/2)^2)-(((652-43)*MAX('Inputs'!$B$33,'Inputs'!$B$29+'Inputs'!$B$31+'Inputs'!$B$32,'Inputs'!$B$30+'Inputs'!$B$31+'Inputs'!$B$32)/1000+'Inputs'!$B$21))/SQRT((((652-43)*MAX('Inputs'!$B$33,'Inputs'!$B$29+'Inputs'!$B$31+'Inputs'!$B$32,'Inputs'!$B$30+'Inputs'!$B$31+'Inputs'!$B$32)/1000+'Inputs'!$B$21))^2+('Inputs'!$B$6/2)^2)))-'Results'!C7*(1-'Inputs'!$B$24)*(0.5*((((652-43)*MAX('Inputs'!$B$33,'Inputs'!$B$29+'Inputs'!$B$31+'Inputs'!$B$32,'Inputs'!$B$30+'Inputs'!$B$31+'Inputs'!$B$32)/1000+'Inputs'!$B$21+'Inputs'!$B$7+'Inputs'!$B$10)+'Inputs'!$B$9)/SQRT((((652-43)*MAX('Inputs'!$B$33,'Inputs'!$B$29+'Inputs'!$B$31+'Inputs'!$B$32,'Inputs'!$B$30+'Inputs'!$B$31+'Inputs'!$B$32)/1000+'Inputs'!$B$21+'Inputs'!$B$7+'Inputs'!$B$10)+'Inputs'!$B$9)^2+('Inputs'!$B$8/2)^2)-(((652-43)*MAX('Inputs'!$B$33,'Inputs'!$B$29+'Inputs'!$B$31+'Inputs'!$B$32,'Inputs'!$B$30+'Inputs'!$B$31+'Inputs'!$B$32)/1000+'Inputs'!$B$21+'Inputs'!$B$7+'Inputs'!$B$10))/SQRT((((652-43)*MAX('Inputs'!$B$33,'Inputs'!$B$29+'Inputs'!$B$31+'Inputs'!$B$32,'Inputs'!$B$30+'Inputs'!$B$31+'Inputs'!$B$32)/1000+'Inputs'!$B$21+'Inputs'!$B$7+'Inputs'!$B$10))^2+('Inputs'!$B$8/2)^2))))*'Results'!$B$8))),"")</x:f>
        <x:v>2.3936504279570583</x:v>
      </x:c>
      <x:c r="M652" t="n">
        <x:f>IF(AND(ISNUMBER('Results'!C7),ISNUMBER('Results'!B7),ISNUMBER('Results'!$B$8),ISNUMBER('Inputs'!$B$6),ISNUMBER('Inputs'!$B$7),ISNUMBER('Inputs'!$B$8),ISNUMBER('Inputs'!$B$9),ISNUMBER('Inputs'!$B$10),ISNUMBER('Inputs'!$B$21),ISNUMBER('Inputs'!$B$24),ISNUMBER('Inputs'!$B$28)),(('Results'!C7*(0.5*((((652-43)*MAX('Inputs'!$B$33,'Inputs'!$B$29+'Inputs'!$B$31+'Inputs'!$B$32,'Inputs'!$B$30+'Inputs'!$B$31+'Inputs'!$B$32)/1000+'Inputs'!$B$21)+'Inputs'!$B$9)/SQRT((((652-43)*MAX('Inputs'!$B$33,'Inputs'!$B$29+'Inputs'!$B$31+'Inputs'!$B$32,'Inputs'!$B$30+'Inputs'!$B$31+'Inputs'!$B$32)/1000+'Inputs'!$B$21)+'Inputs'!$B$9)^2+('Inputs'!$B$8/2)^2)-(((652-43)*MAX('Inputs'!$B$33,'Inputs'!$B$29+'Inputs'!$B$31+'Inputs'!$B$32,'Inputs'!$B$30+'Inputs'!$B$31+'Inputs'!$B$32)/1000+'Inputs'!$B$21))/SQRT((((652-43)*MAX('Inputs'!$B$33,'Inputs'!$B$29+'Inputs'!$B$31+'Inputs'!$B$32,'Inputs'!$B$30+'Inputs'!$B$31+'Inputs'!$B$32)/1000+'Inputs'!$B$21))^2+('Inputs'!$B$8/2)^2)))-'Results'!B7*(0.5*((((652-43)*MAX('Inputs'!$B$33,'Inputs'!$B$29+'Inputs'!$B$31+'Inputs'!$B$32,'Inputs'!$B$30+'Inputs'!$B$31+'Inputs'!$B$32)/1000+'Inputs'!$B$21+'Inputs'!$B$9+'Inputs'!$B$10)+'Inputs'!$B$7)/SQRT((((652-43)*MAX('Inputs'!$B$33,'Inputs'!$B$29+'Inputs'!$B$31+'Inputs'!$B$32,'Inputs'!$B$30+'Inputs'!$B$31+'Inputs'!$B$32)/1000+'Inputs'!$B$21+'Inputs'!$B$9+'Inputs'!$B$10)+'Inputs'!$B$7)^2+('Inputs'!$B$6/2)^2)-(((652-43)*MAX('Inputs'!$B$33,'Inputs'!$B$29+'Inputs'!$B$31+'Inputs'!$B$32,'Inputs'!$B$30+'Inputs'!$B$31+'Inputs'!$B$32)/1000+'Inputs'!$B$21+'Inputs'!$B$9+'Inputs'!$B$10))/SQRT((((652-43)*MAX('Inputs'!$B$33,'Inputs'!$B$29+'Inputs'!$B$31+'Inputs'!$B$32,'Inputs'!$B$30+'Inputs'!$B$31+'Inputs'!$B$32)/1000+'Inputs'!$B$21+'Inputs'!$B$9+'Inputs'!$B$10))^2+('Inputs'!$B$6/2)^2))))*'Results'!$B$8),"")</x:f>
        <x:v>1.944018048961301</x:v>
      </x:c>
      <x:c r="N652" t="n">
        <x:f>IF(AND(ISNUMBER('Results'!C7),ISNUMBER('Results'!B7),ISNUMBER('Results'!$B$8),ISNUMBER('Inputs'!$B$6),ISNUMBER('Inputs'!$B$7),ISNUMBER('Inputs'!$B$8),ISNUMBER('Inputs'!$B$9),ISNUMBER('Inputs'!$B$10),ISNUMBER('Inputs'!$B$21),ISNUMBER('Inputs'!$B$24),ISNUMBER('Inputs'!$B$28)),((('Results'!C7*(1-'Inputs'!$B$24)*(0.5*((((652-43)*MAX('Inputs'!$B$33,'Inputs'!$B$29+'Inputs'!$B$31+'Inputs'!$B$32,'Inputs'!$B$30+'Inputs'!$B$31+'Inputs'!$B$32)/1000+'Inputs'!$B$21)+'Inputs'!$B$9)/SQRT((((652-43)*MAX('Inputs'!$B$33,'Inputs'!$B$29+'Inputs'!$B$31+'Inputs'!$B$32,'Inputs'!$B$30+'Inputs'!$B$31+'Inputs'!$B$32)/1000+'Inputs'!$B$21)+'Inputs'!$B$9)^2+('Inputs'!$B$8/2)^2)-(((652-43)*MAX('Inputs'!$B$33,'Inputs'!$B$29+'Inputs'!$B$31+'Inputs'!$B$32,'Inputs'!$B$30+'Inputs'!$B$31+'Inputs'!$B$32)/1000+'Inputs'!$B$21))/SQRT((((652-43)*MAX('Inputs'!$B$33,'Inputs'!$B$29+'Inputs'!$B$31+'Inputs'!$B$32,'Inputs'!$B$30+'Inputs'!$B$31+'Inputs'!$B$32)/1000+'Inputs'!$B$21))^2+('Inputs'!$B$8/2)^2)))-'Results'!B7*(1+'Inputs'!$B$24)*(0.5*((((652-43)*MAX('Inputs'!$B$33,'Inputs'!$B$29+'Inputs'!$B$31+'Inputs'!$B$32,'Inputs'!$B$30+'Inputs'!$B$31+'Inputs'!$B$32)/1000+'Inputs'!$B$21+'Inputs'!$B$9+'Inputs'!$B$10)+'Inputs'!$B$7)/SQRT((((652-43)*MAX('Inputs'!$B$33,'Inputs'!$B$29+'Inputs'!$B$31+'Inputs'!$B$32,'Inputs'!$B$30+'Inputs'!$B$31+'Inputs'!$B$32)/1000+'Inputs'!$B$21+'Inputs'!$B$9+'Inputs'!$B$10)+'Inputs'!$B$7)^2+('Inputs'!$B$6/2)^2)-(((652-43)*MAX('Inputs'!$B$33,'Inputs'!$B$29+'Inputs'!$B$31+'Inputs'!$B$32,'Inputs'!$B$30+'Inputs'!$B$31+'Inputs'!$B$32)/1000+'Inputs'!$B$21+'Inputs'!$B$9+'Inputs'!$B$10))/SQRT((((652-43)*MAX('Inputs'!$B$33,'Inputs'!$B$29+'Inputs'!$B$31+'Inputs'!$B$32,'Inputs'!$B$30+'Inputs'!$B$31+'Inputs'!$B$32)/1000+'Inputs'!$B$21+'Inputs'!$B$9+'Inputs'!$B$10))^2+('Inputs'!$B$6/2)^2))))*'Results'!$B$8)-'Inputs'!$B$28*ABS((('Results'!C7*(1-'Inputs'!$B$24)*(0.5*((((652-43)*MAX('Inputs'!$B$33,'Inputs'!$B$29+'Inputs'!$B$31+'Inputs'!$B$32,'Inputs'!$B$30+'Inputs'!$B$31+'Inputs'!$B$32)/1000+'Inputs'!$B$21)+'Inputs'!$B$9)/SQRT((((652-43)*MAX('Inputs'!$B$33,'Inputs'!$B$29+'Inputs'!$B$31+'Inputs'!$B$32,'Inputs'!$B$30+'Inputs'!$B$31+'Inputs'!$B$32)/1000+'Inputs'!$B$21)+'Inputs'!$B$9)^2+('Inputs'!$B$8/2)^2)-(((652-43)*MAX('Inputs'!$B$33,'Inputs'!$B$29+'Inputs'!$B$31+'Inputs'!$B$32,'Inputs'!$B$30+'Inputs'!$B$31+'Inputs'!$B$32)/1000+'Inputs'!$B$21))/SQRT((((652-43)*MAX('Inputs'!$B$33,'Inputs'!$B$29+'Inputs'!$B$31+'Inputs'!$B$32,'Inputs'!$B$30+'Inputs'!$B$31+'Inputs'!$B$32)/1000+'Inputs'!$B$21))^2+('Inputs'!$B$8/2)^2)))-'Results'!B7*(1+'Inputs'!$B$24)*(0.5*((((652-43)*MAX('Inputs'!$B$33,'Inputs'!$B$29+'Inputs'!$B$31+'Inputs'!$B$32,'Inputs'!$B$30+'Inputs'!$B$31+'Inputs'!$B$32)/1000+'Inputs'!$B$21+'Inputs'!$B$9+'Inputs'!$B$10)+'Inputs'!$B$7)/SQRT((((652-43)*MAX('Inputs'!$B$33,'Inputs'!$B$29+'Inputs'!$B$31+'Inputs'!$B$32,'Inputs'!$B$30+'Inputs'!$B$31+'Inputs'!$B$32)/1000+'Inputs'!$B$21+'Inputs'!$B$9+'Inputs'!$B$10)+'Inputs'!$B$7)^2+('Inputs'!$B$6/2)^2)-(((652-43)*MAX('Inputs'!$B$33,'Inputs'!$B$29+'Inputs'!$B$31+'Inputs'!$B$32,'Inputs'!$B$30+'Inputs'!$B$31+'Inputs'!$B$32)/1000+'Inputs'!$B$21+'Inputs'!$B$9+'Inputs'!$B$10))/SQRT((((652-43)*MAX('Inputs'!$B$33,'Inputs'!$B$29+'Inputs'!$B$31+'Inputs'!$B$32,'Inputs'!$B$30+'Inputs'!$B$31+'Inputs'!$B$32)/1000+'Inputs'!$B$21+'Inputs'!$B$9+'Inputs'!$B$10))^2+('Inputs'!$B$6/2)^2))))*'Results'!$B$8))),"")</x:f>
        <x:v>1.688767943630466</x:v>
      </x:c>
      <x:c r="O652" t="n">
        <x:f>IF(AND(ISNUMBER('Results'!C7),ISNUMBER('Results'!B7),ISNUMBER('Results'!$B$8),ISNUMBER('Inputs'!$B$6),ISNUMBER('Inputs'!$B$7),ISNUMBER('Inputs'!$B$8),ISNUMBER('Inputs'!$B$9),ISNUMBER('Inputs'!$B$10),ISNUMBER('Inputs'!$B$21),ISNUMBER('Inputs'!$B$24),ISNUMBER('Inputs'!$B$28)),((('Results'!C7*(1+'Inputs'!$B$24)*(0.5*((((652-43)*MAX('Inputs'!$B$33,'Inputs'!$B$29+'Inputs'!$B$31+'Inputs'!$B$32,'Inputs'!$B$30+'Inputs'!$B$31+'Inputs'!$B$32)/1000+'Inputs'!$B$21)+'Inputs'!$B$9)/SQRT((((652-43)*MAX('Inputs'!$B$33,'Inputs'!$B$29+'Inputs'!$B$31+'Inputs'!$B$32,'Inputs'!$B$30+'Inputs'!$B$31+'Inputs'!$B$32)/1000+'Inputs'!$B$21)+'Inputs'!$B$9)^2+('Inputs'!$B$8/2)^2)-(((652-43)*MAX('Inputs'!$B$33,'Inputs'!$B$29+'Inputs'!$B$31+'Inputs'!$B$32,'Inputs'!$B$30+'Inputs'!$B$31+'Inputs'!$B$32)/1000+'Inputs'!$B$21))/SQRT((((652-43)*MAX('Inputs'!$B$33,'Inputs'!$B$29+'Inputs'!$B$31+'Inputs'!$B$32,'Inputs'!$B$30+'Inputs'!$B$31+'Inputs'!$B$32)/1000+'Inputs'!$B$21))^2+('Inputs'!$B$8/2)^2)))-'Results'!B7*(1-'Inputs'!$B$24)*(0.5*((((652-43)*MAX('Inputs'!$B$33,'Inputs'!$B$29+'Inputs'!$B$31+'Inputs'!$B$32,'Inputs'!$B$30+'Inputs'!$B$31+'Inputs'!$B$32)/1000+'Inputs'!$B$21+'Inputs'!$B$9+'Inputs'!$B$10)+'Inputs'!$B$7)/SQRT((((652-43)*MAX('Inputs'!$B$33,'Inputs'!$B$29+'Inputs'!$B$31+'Inputs'!$B$32,'Inputs'!$B$30+'Inputs'!$B$31+'Inputs'!$B$32)/1000+'Inputs'!$B$21+'Inputs'!$B$9+'Inputs'!$B$10)+'Inputs'!$B$7)^2+('Inputs'!$B$6/2)^2)-(((652-43)*MAX('Inputs'!$B$33,'Inputs'!$B$29+'Inputs'!$B$31+'Inputs'!$B$32,'Inputs'!$B$30+'Inputs'!$B$31+'Inputs'!$B$32)/1000+'Inputs'!$B$21+'Inputs'!$B$9+'Inputs'!$B$10))/SQRT((((652-43)*MAX('Inputs'!$B$33,'Inputs'!$B$29+'Inputs'!$B$31+'Inputs'!$B$32,'Inputs'!$B$30+'Inputs'!$B$31+'Inputs'!$B$32)/1000+'Inputs'!$B$21+'Inputs'!$B$9+'Inputs'!$B$10))^2+('Inputs'!$B$6/2)^2))))*'Results'!$B$8)+'Inputs'!$B$28*ABS((('Results'!C7*(1+'Inputs'!$B$24)*(0.5*((((652-43)*MAX('Inputs'!$B$33,'Inputs'!$B$29+'Inputs'!$B$31+'Inputs'!$B$32,'Inputs'!$B$30+'Inputs'!$B$31+'Inputs'!$B$32)/1000+'Inputs'!$B$21)+'Inputs'!$B$9)/SQRT((((652-43)*MAX('Inputs'!$B$33,'Inputs'!$B$29+'Inputs'!$B$31+'Inputs'!$B$32,'Inputs'!$B$30+'Inputs'!$B$31+'Inputs'!$B$32)/1000+'Inputs'!$B$21)+'Inputs'!$B$9)^2+('Inputs'!$B$8/2)^2)-(((652-43)*MAX('Inputs'!$B$33,'Inputs'!$B$29+'Inputs'!$B$31+'Inputs'!$B$32,'Inputs'!$B$30+'Inputs'!$B$31+'Inputs'!$B$32)/1000+'Inputs'!$B$21))/SQRT((((652-43)*MAX('Inputs'!$B$33,'Inputs'!$B$29+'Inputs'!$B$31+'Inputs'!$B$32,'Inputs'!$B$30+'Inputs'!$B$31+'Inputs'!$B$32)/1000+'Inputs'!$B$21))^2+('Inputs'!$B$8/2)^2)))-'Results'!B7*(1-'Inputs'!$B$24)*(0.5*((((652-43)*MAX('Inputs'!$B$33,'Inputs'!$B$29+'Inputs'!$B$31+'Inputs'!$B$32,'Inputs'!$B$30+'Inputs'!$B$31+'Inputs'!$B$32)/1000+'Inputs'!$B$21+'Inputs'!$B$9+'Inputs'!$B$10)+'Inputs'!$B$7)/SQRT((((652-43)*MAX('Inputs'!$B$33,'Inputs'!$B$29+'Inputs'!$B$31+'Inputs'!$B$32,'Inputs'!$B$30+'Inputs'!$B$31+'Inputs'!$B$32)/1000+'Inputs'!$B$21+'Inputs'!$B$9+'Inputs'!$B$10)+'Inputs'!$B$7)^2+('Inputs'!$B$6/2)^2)-(((652-43)*MAX('Inputs'!$B$33,'Inputs'!$B$29+'Inputs'!$B$31+'Inputs'!$B$32,'Inputs'!$B$30+'Inputs'!$B$31+'Inputs'!$B$32)/1000+'Inputs'!$B$21+'Inputs'!$B$9+'Inputs'!$B$10))/SQRT((((652-43)*MAX('Inputs'!$B$33,'Inputs'!$B$29+'Inputs'!$B$31+'Inputs'!$B$32,'Inputs'!$B$30+'Inputs'!$B$31+'Inputs'!$B$32)/1000+'Inputs'!$B$21+'Inputs'!$B$9+'Inputs'!$B$10))^2+('Inputs'!$B$6/2)^2))))*'Results'!$B$8))),"")</x:f>
        <x:v>2.215904912490321</x:v>
      </x:c>
      <x:c r="P652" t="n">
        <x:f>IF(AND(MAX(J652,J651)&gt;0,J652&gt;J651+0.00000001),1,0)</x:f>
        <x:v>0</x:v>
      </x:c>
      <x:c r="Q652" t="n">
        <x:f>IF(AND(MAX(K652,K651)&gt;0,K652&gt;K651+0.00000001),1,0)</x:f>
        <x:v>0</x:v>
      </x:c>
      <x:c r="R652" t="n">
        <x:f>IF(AND(MAX(L652,L651)&gt;0,L652&gt;L651+0.00000001),1,0)</x:f>
        <x:v>0</x:v>
      </x:c>
      <x:c r="S652" t="n">
        <x:f>IF(AND(MAX(M652,M651)&gt;0,M652&gt;M651+0.00000001),1,0)</x:f>
        <x:v>0</x:v>
      </x:c>
      <x:c r="T652" t="n">
        <x:f>IF(AND(MAX(N652,N651)&gt;0,N652&gt;N651+0.00000001),1,0)</x:f>
        <x:v>0</x:v>
      </x:c>
      <x:c r="U652" t="n">
        <x:f>IF(AND(MAX(O652,O651)&gt;0,O652&gt;O651+0.00000001),1,0)</x:f>
        <x:v>0</x:v>
      </x:c>
    </x:row>
    <x:row r="653">
      <x:c r="J653" t="n">
        <x:f>IF(AND(ISNUMBER('Results'!B7),ISNUMBER('Results'!C7),ISNUMBER('Results'!$B$8),ISNUMBER('Inputs'!$B$6),ISNUMBER('Inputs'!$B$7),ISNUMBER('Inputs'!$B$8),ISNUMBER('Inputs'!$B$9),ISNUMBER('Inputs'!$B$10),ISNUMBER('Inputs'!$B$21),ISNUMBER('Inputs'!$B$24),ISNUMBER('Inputs'!$B$28)),(('Results'!B7*(0.5*((((653-43)*MAX('Inputs'!$B$33,'Inputs'!$B$29+'Inputs'!$B$31+'Inputs'!$B$32,'Inputs'!$B$30+'Inputs'!$B$31+'Inputs'!$B$32)/1000+'Inputs'!$B$21)+'Inputs'!$B$7)/SQRT((((653-43)*MAX('Inputs'!$B$33,'Inputs'!$B$29+'Inputs'!$B$31+'Inputs'!$B$32,'Inputs'!$B$30+'Inputs'!$B$31+'Inputs'!$B$32)/1000+'Inputs'!$B$21)+'Inputs'!$B$7)^2+('Inputs'!$B$6/2)^2)-(((653-43)*MAX('Inputs'!$B$33,'Inputs'!$B$29+'Inputs'!$B$31+'Inputs'!$B$32,'Inputs'!$B$30+'Inputs'!$B$31+'Inputs'!$B$32)/1000+'Inputs'!$B$21))/SQRT((((653-43)*MAX('Inputs'!$B$33,'Inputs'!$B$29+'Inputs'!$B$31+'Inputs'!$B$32,'Inputs'!$B$30+'Inputs'!$B$31+'Inputs'!$B$32)/1000+'Inputs'!$B$21))^2+('Inputs'!$B$6/2)^2)))-'Results'!C7*(0.5*((((653-43)*MAX('Inputs'!$B$33,'Inputs'!$B$29+'Inputs'!$B$31+'Inputs'!$B$32,'Inputs'!$B$30+'Inputs'!$B$31+'Inputs'!$B$32)/1000+'Inputs'!$B$21+'Inputs'!$B$7+'Inputs'!$B$10)+'Inputs'!$B$9)/SQRT((((653-43)*MAX('Inputs'!$B$33,'Inputs'!$B$29+'Inputs'!$B$31+'Inputs'!$B$32,'Inputs'!$B$30+'Inputs'!$B$31+'Inputs'!$B$32)/1000+'Inputs'!$B$21+'Inputs'!$B$7+'Inputs'!$B$10)+'Inputs'!$B$9)^2+('Inputs'!$B$8/2)^2)-(((653-43)*MAX('Inputs'!$B$33,'Inputs'!$B$29+'Inputs'!$B$31+'Inputs'!$B$32,'Inputs'!$B$30+'Inputs'!$B$31+'Inputs'!$B$32)/1000+'Inputs'!$B$21+'Inputs'!$B$7+'Inputs'!$B$10))/SQRT((((653-43)*MAX('Inputs'!$B$33,'Inputs'!$B$29+'Inputs'!$B$31+'Inputs'!$B$32,'Inputs'!$B$30+'Inputs'!$B$31+'Inputs'!$B$32)/1000+'Inputs'!$B$21+'Inputs'!$B$7+'Inputs'!$B$10))^2+('Inputs'!$B$8/2)^2))))*'Results'!$B$8),"")</x:f>
        <x:v>2.100377506580739</x:v>
      </x:c>
      <x:c r="K653" t="n">
        <x:f>IF(AND(ISNUMBER('Results'!B7),ISNUMBER('Results'!C7),ISNUMBER('Results'!$B$8),ISNUMBER('Inputs'!$B$6),ISNUMBER('Inputs'!$B$7),ISNUMBER('Inputs'!$B$8),ISNUMBER('Inputs'!$B$9),ISNUMBER('Inputs'!$B$10),ISNUMBER('Inputs'!$B$21),ISNUMBER('Inputs'!$B$24),ISNUMBER('Inputs'!$B$28)),((('Results'!B7*(1-'Inputs'!$B$24)*(0.5*((((653-43)*MAX('Inputs'!$B$33,'Inputs'!$B$29+'Inputs'!$B$31+'Inputs'!$B$32,'Inputs'!$B$30+'Inputs'!$B$31+'Inputs'!$B$32)/1000+'Inputs'!$B$21)+'Inputs'!$B$7)/SQRT((((653-43)*MAX('Inputs'!$B$33,'Inputs'!$B$29+'Inputs'!$B$31+'Inputs'!$B$32,'Inputs'!$B$30+'Inputs'!$B$31+'Inputs'!$B$32)/1000+'Inputs'!$B$21)+'Inputs'!$B$7)^2+('Inputs'!$B$6/2)^2)-(((653-43)*MAX('Inputs'!$B$33,'Inputs'!$B$29+'Inputs'!$B$31+'Inputs'!$B$32,'Inputs'!$B$30+'Inputs'!$B$31+'Inputs'!$B$32)/1000+'Inputs'!$B$21))/SQRT((((653-43)*MAX('Inputs'!$B$33,'Inputs'!$B$29+'Inputs'!$B$31+'Inputs'!$B$32,'Inputs'!$B$30+'Inputs'!$B$31+'Inputs'!$B$32)/1000+'Inputs'!$B$21))^2+('Inputs'!$B$6/2)^2)))-'Results'!C7*(1+'Inputs'!$B$24)*(0.5*((((653-43)*MAX('Inputs'!$B$33,'Inputs'!$B$29+'Inputs'!$B$31+'Inputs'!$B$32,'Inputs'!$B$30+'Inputs'!$B$31+'Inputs'!$B$32)/1000+'Inputs'!$B$21+'Inputs'!$B$7+'Inputs'!$B$10)+'Inputs'!$B$9)/SQRT((((653-43)*MAX('Inputs'!$B$33,'Inputs'!$B$29+'Inputs'!$B$31+'Inputs'!$B$32,'Inputs'!$B$30+'Inputs'!$B$31+'Inputs'!$B$32)/1000+'Inputs'!$B$21+'Inputs'!$B$7+'Inputs'!$B$10)+'Inputs'!$B$9)^2+('Inputs'!$B$8/2)^2)-(((653-43)*MAX('Inputs'!$B$33,'Inputs'!$B$29+'Inputs'!$B$31+'Inputs'!$B$32,'Inputs'!$B$30+'Inputs'!$B$31+'Inputs'!$B$32)/1000+'Inputs'!$B$21+'Inputs'!$B$7+'Inputs'!$B$10))/SQRT((((653-43)*MAX('Inputs'!$B$33,'Inputs'!$B$29+'Inputs'!$B$31+'Inputs'!$B$32,'Inputs'!$B$30+'Inputs'!$B$31+'Inputs'!$B$32)/1000+'Inputs'!$B$21+'Inputs'!$B$7+'Inputs'!$B$10))^2+('Inputs'!$B$8/2)^2))))*'Results'!$B$8)-'Inputs'!$B$28*ABS((('Results'!B7*(1-'Inputs'!$B$24)*(0.5*((((653-43)*MAX('Inputs'!$B$33,'Inputs'!$B$29+'Inputs'!$B$31+'Inputs'!$B$32,'Inputs'!$B$30+'Inputs'!$B$31+'Inputs'!$B$32)/1000+'Inputs'!$B$21)+'Inputs'!$B$7)/SQRT((((653-43)*MAX('Inputs'!$B$33,'Inputs'!$B$29+'Inputs'!$B$31+'Inputs'!$B$32,'Inputs'!$B$30+'Inputs'!$B$31+'Inputs'!$B$32)/1000+'Inputs'!$B$21)+'Inputs'!$B$7)^2+('Inputs'!$B$6/2)^2)-(((653-43)*MAX('Inputs'!$B$33,'Inputs'!$B$29+'Inputs'!$B$31+'Inputs'!$B$32,'Inputs'!$B$30+'Inputs'!$B$31+'Inputs'!$B$32)/1000+'Inputs'!$B$21))/SQRT((((653-43)*MAX('Inputs'!$B$33,'Inputs'!$B$29+'Inputs'!$B$31+'Inputs'!$B$32,'Inputs'!$B$30+'Inputs'!$B$31+'Inputs'!$B$32)/1000+'Inputs'!$B$21))^2+('Inputs'!$B$6/2)^2)))-'Results'!C7*(1+'Inputs'!$B$24)*(0.5*((((653-43)*MAX('Inputs'!$B$33,'Inputs'!$B$29+'Inputs'!$B$31+'Inputs'!$B$32,'Inputs'!$B$30+'Inputs'!$B$31+'Inputs'!$B$32)/1000+'Inputs'!$B$21+'Inputs'!$B$7+'Inputs'!$B$10)+'Inputs'!$B$9)/SQRT((((653-43)*MAX('Inputs'!$B$33,'Inputs'!$B$29+'Inputs'!$B$31+'Inputs'!$B$32,'Inputs'!$B$30+'Inputs'!$B$31+'Inputs'!$B$32)/1000+'Inputs'!$B$21+'Inputs'!$B$7+'Inputs'!$B$10)+'Inputs'!$B$9)^2+('Inputs'!$B$8/2)^2)-(((653-43)*MAX('Inputs'!$B$33,'Inputs'!$B$29+'Inputs'!$B$31+'Inputs'!$B$32,'Inputs'!$B$30+'Inputs'!$B$31+'Inputs'!$B$32)/1000+'Inputs'!$B$21+'Inputs'!$B$7+'Inputs'!$B$10))/SQRT((((653-43)*MAX('Inputs'!$B$33,'Inputs'!$B$29+'Inputs'!$B$31+'Inputs'!$B$32,'Inputs'!$B$30+'Inputs'!$B$31+'Inputs'!$B$32)/1000+'Inputs'!$B$21+'Inputs'!$B$7+'Inputs'!$B$10))^2+('Inputs'!$B$8/2)^2))))*'Results'!$B$8))),"")</x:f>
        <x:v>1.8372335294335733</x:v>
      </x:c>
      <x:c r="L653" t="n">
        <x:f>IF(AND(ISNUMBER('Results'!B7),ISNUMBER('Results'!C7),ISNUMBER('Results'!$B$8),ISNUMBER('Inputs'!$B$6),ISNUMBER('Inputs'!$B$7),ISNUMBER('Inputs'!$B$8),ISNUMBER('Inputs'!$B$9),ISNUMBER('Inputs'!$B$10),ISNUMBER('Inputs'!$B$21),ISNUMBER('Inputs'!$B$24),ISNUMBER('Inputs'!$B$28)),((('Results'!B7*(1+'Inputs'!$B$24)*(0.5*((((653-43)*MAX('Inputs'!$B$33,'Inputs'!$B$29+'Inputs'!$B$31+'Inputs'!$B$32,'Inputs'!$B$30+'Inputs'!$B$31+'Inputs'!$B$32)/1000+'Inputs'!$B$21)+'Inputs'!$B$7)/SQRT((((653-43)*MAX('Inputs'!$B$33,'Inputs'!$B$29+'Inputs'!$B$31+'Inputs'!$B$32,'Inputs'!$B$30+'Inputs'!$B$31+'Inputs'!$B$32)/1000+'Inputs'!$B$21)+'Inputs'!$B$7)^2+('Inputs'!$B$6/2)^2)-(((653-43)*MAX('Inputs'!$B$33,'Inputs'!$B$29+'Inputs'!$B$31+'Inputs'!$B$32,'Inputs'!$B$30+'Inputs'!$B$31+'Inputs'!$B$32)/1000+'Inputs'!$B$21))/SQRT((((653-43)*MAX('Inputs'!$B$33,'Inputs'!$B$29+'Inputs'!$B$31+'Inputs'!$B$32,'Inputs'!$B$30+'Inputs'!$B$31+'Inputs'!$B$32)/1000+'Inputs'!$B$21))^2+('Inputs'!$B$6/2)^2)))-'Results'!C7*(1-'Inputs'!$B$24)*(0.5*((((653-43)*MAX('Inputs'!$B$33,'Inputs'!$B$29+'Inputs'!$B$31+'Inputs'!$B$32,'Inputs'!$B$30+'Inputs'!$B$31+'Inputs'!$B$32)/1000+'Inputs'!$B$21+'Inputs'!$B$7+'Inputs'!$B$10)+'Inputs'!$B$9)/SQRT((((653-43)*MAX('Inputs'!$B$33,'Inputs'!$B$29+'Inputs'!$B$31+'Inputs'!$B$32,'Inputs'!$B$30+'Inputs'!$B$31+'Inputs'!$B$32)/1000+'Inputs'!$B$21+'Inputs'!$B$7+'Inputs'!$B$10)+'Inputs'!$B$9)^2+('Inputs'!$B$8/2)^2)-(((653-43)*MAX('Inputs'!$B$33,'Inputs'!$B$29+'Inputs'!$B$31+'Inputs'!$B$32,'Inputs'!$B$30+'Inputs'!$B$31+'Inputs'!$B$32)/1000+'Inputs'!$B$21+'Inputs'!$B$7+'Inputs'!$B$10))/SQRT((((653-43)*MAX('Inputs'!$B$33,'Inputs'!$B$29+'Inputs'!$B$31+'Inputs'!$B$32,'Inputs'!$B$30+'Inputs'!$B$31+'Inputs'!$B$32)/1000+'Inputs'!$B$21+'Inputs'!$B$7+'Inputs'!$B$10))^2+('Inputs'!$B$8/2)^2))))*'Results'!$B$8)+'Inputs'!$B$28*ABS((('Results'!B7*(1+'Inputs'!$B$24)*(0.5*((((653-43)*MAX('Inputs'!$B$33,'Inputs'!$B$29+'Inputs'!$B$31+'Inputs'!$B$32,'Inputs'!$B$30+'Inputs'!$B$31+'Inputs'!$B$32)/1000+'Inputs'!$B$21)+'Inputs'!$B$7)/SQRT((((653-43)*MAX('Inputs'!$B$33,'Inputs'!$B$29+'Inputs'!$B$31+'Inputs'!$B$32,'Inputs'!$B$30+'Inputs'!$B$31+'Inputs'!$B$32)/1000+'Inputs'!$B$21)+'Inputs'!$B$7)^2+('Inputs'!$B$6/2)^2)-(((653-43)*MAX('Inputs'!$B$33,'Inputs'!$B$29+'Inputs'!$B$31+'Inputs'!$B$32,'Inputs'!$B$30+'Inputs'!$B$31+'Inputs'!$B$32)/1000+'Inputs'!$B$21))/SQRT((((653-43)*MAX('Inputs'!$B$33,'Inputs'!$B$29+'Inputs'!$B$31+'Inputs'!$B$32,'Inputs'!$B$30+'Inputs'!$B$31+'Inputs'!$B$32)/1000+'Inputs'!$B$21))^2+('Inputs'!$B$6/2)^2)))-'Results'!C7*(1-'Inputs'!$B$24)*(0.5*((((653-43)*MAX('Inputs'!$B$33,'Inputs'!$B$29+'Inputs'!$B$31+'Inputs'!$B$32,'Inputs'!$B$30+'Inputs'!$B$31+'Inputs'!$B$32)/1000+'Inputs'!$B$21+'Inputs'!$B$7+'Inputs'!$B$10)+'Inputs'!$B$9)/SQRT((((653-43)*MAX('Inputs'!$B$33,'Inputs'!$B$29+'Inputs'!$B$31+'Inputs'!$B$32,'Inputs'!$B$30+'Inputs'!$B$31+'Inputs'!$B$32)/1000+'Inputs'!$B$21+'Inputs'!$B$7+'Inputs'!$B$10)+'Inputs'!$B$9)^2+('Inputs'!$B$8/2)^2)-(((653-43)*MAX('Inputs'!$B$33,'Inputs'!$B$29+'Inputs'!$B$31+'Inputs'!$B$32,'Inputs'!$B$30+'Inputs'!$B$31+'Inputs'!$B$32)/1000+'Inputs'!$B$21+'Inputs'!$B$7+'Inputs'!$B$10))/SQRT((((653-43)*MAX('Inputs'!$B$33,'Inputs'!$B$29+'Inputs'!$B$31+'Inputs'!$B$32,'Inputs'!$B$30+'Inputs'!$B$31+'Inputs'!$B$32)/1000+'Inputs'!$B$21+'Inputs'!$B$7+'Inputs'!$B$10))^2+('Inputs'!$B$8/2)^2))))*'Results'!$B$8))),"")</x:f>
        <x:v>2.380166231287708</x:v>
      </x:c>
      <x:c r="M653" t="n">
        <x:f>IF(AND(ISNUMBER('Results'!C7),ISNUMBER('Results'!B7),ISNUMBER('Results'!$B$8),ISNUMBER('Inputs'!$B$6),ISNUMBER('Inputs'!$B$7),ISNUMBER('Inputs'!$B$8),ISNUMBER('Inputs'!$B$9),ISNUMBER('Inputs'!$B$10),ISNUMBER('Inputs'!$B$21),ISNUMBER('Inputs'!$B$24),ISNUMBER('Inputs'!$B$28)),(('Results'!C7*(0.5*((((653-43)*MAX('Inputs'!$B$33,'Inputs'!$B$29+'Inputs'!$B$31+'Inputs'!$B$32,'Inputs'!$B$30+'Inputs'!$B$31+'Inputs'!$B$32)/1000+'Inputs'!$B$21)+'Inputs'!$B$9)/SQRT((((653-43)*MAX('Inputs'!$B$33,'Inputs'!$B$29+'Inputs'!$B$31+'Inputs'!$B$32,'Inputs'!$B$30+'Inputs'!$B$31+'Inputs'!$B$32)/1000+'Inputs'!$B$21)+'Inputs'!$B$9)^2+('Inputs'!$B$8/2)^2)-(((653-43)*MAX('Inputs'!$B$33,'Inputs'!$B$29+'Inputs'!$B$31+'Inputs'!$B$32,'Inputs'!$B$30+'Inputs'!$B$31+'Inputs'!$B$32)/1000+'Inputs'!$B$21))/SQRT((((653-43)*MAX('Inputs'!$B$33,'Inputs'!$B$29+'Inputs'!$B$31+'Inputs'!$B$32,'Inputs'!$B$30+'Inputs'!$B$31+'Inputs'!$B$32)/1000+'Inputs'!$B$21))^2+('Inputs'!$B$8/2)^2)))-'Results'!B7*(0.5*((((653-43)*MAX('Inputs'!$B$33,'Inputs'!$B$29+'Inputs'!$B$31+'Inputs'!$B$32,'Inputs'!$B$30+'Inputs'!$B$31+'Inputs'!$B$32)/1000+'Inputs'!$B$21+'Inputs'!$B$9+'Inputs'!$B$10)+'Inputs'!$B$7)/SQRT((((653-43)*MAX('Inputs'!$B$33,'Inputs'!$B$29+'Inputs'!$B$31+'Inputs'!$B$32,'Inputs'!$B$30+'Inputs'!$B$31+'Inputs'!$B$32)/1000+'Inputs'!$B$21+'Inputs'!$B$9+'Inputs'!$B$10)+'Inputs'!$B$7)^2+('Inputs'!$B$6/2)^2)-(((653-43)*MAX('Inputs'!$B$33,'Inputs'!$B$29+'Inputs'!$B$31+'Inputs'!$B$32,'Inputs'!$B$30+'Inputs'!$B$31+'Inputs'!$B$32)/1000+'Inputs'!$B$21+'Inputs'!$B$9+'Inputs'!$B$10))/SQRT((((653-43)*MAX('Inputs'!$B$33,'Inputs'!$B$29+'Inputs'!$B$31+'Inputs'!$B$32,'Inputs'!$B$30+'Inputs'!$B$31+'Inputs'!$B$32)/1000+'Inputs'!$B$21+'Inputs'!$B$9+'Inputs'!$B$10))^2+('Inputs'!$B$6/2)^2))))*'Results'!$B$8),"")</x:f>
        <x:v>1.9326602358248883</x:v>
      </x:c>
      <x:c r="N653" t="n">
        <x:f>IF(AND(ISNUMBER('Results'!C7),ISNUMBER('Results'!B7),ISNUMBER('Results'!$B$8),ISNUMBER('Inputs'!$B$6),ISNUMBER('Inputs'!$B$7),ISNUMBER('Inputs'!$B$8),ISNUMBER('Inputs'!$B$9),ISNUMBER('Inputs'!$B$10),ISNUMBER('Inputs'!$B$21),ISNUMBER('Inputs'!$B$24),ISNUMBER('Inputs'!$B$28)),((('Results'!C7*(1-'Inputs'!$B$24)*(0.5*((((653-43)*MAX('Inputs'!$B$33,'Inputs'!$B$29+'Inputs'!$B$31+'Inputs'!$B$32,'Inputs'!$B$30+'Inputs'!$B$31+'Inputs'!$B$32)/1000+'Inputs'!$B$21)+'Inputs'!$B$9)/SQRT((((653-43)*MAX('Inputs'!$B$33,'Inputs'!$B$29+'Inputs'!$B$31+'Inputs'!$B$32,'Inputs'!$B$30+'Inputs'!$B$31+'Inputs'!$B$32)/1000+'Inputs'!$B$21)+'Inputs'!$B$9)^2+('Inputs'!$B$8/2)^2)-(((653-43)*MAX('Inputs'!$B$33,'Inputs'!$B$29+'Inputs'!$B$31+'Inputs'!$B$32,'Inputs'!$B$30+'Inputs'!$B$31+'Inputs'!$B$32)/1000+'Inputs'!$B$21))/SQRT((((653-43)*MAX('Inputs'!$B$33,'Inputs'!$B$29+'Inputs'!$B$31+'Inputs'!$B$32,'Inputs'!$B$30+'Inputs'!$B$31+'Inputs'!$B$32)/1000+'Inputs'!$B$21))^2+('Inputs'!$B$8/2)^2)))-'Results'!B7*(1+'Inputs'!$B$24)*(0.5*((((653-43)*MAX('Inputs'!$B$33,'Inputs'!$B$29+'Inputs'!$B$31+'Inputs'!$B$32,'Inputs'!$B$30+'Inputs'!$B$31+'Inputs'!$B$32)/1000+'Inputs'!$B$21+'Inputs'!$B$9+'Inputs'!$B$10)+'Inputs'!$B$7)/SQRT((((653-43)*MAX('Inputs'!$B$33,'Inputs'!$B$29+'Inputs'!$B$31+'Inputs'!$B$32,'Inputs'!$B$30+'Inputs'!$B$31+'Inputs'!$B$32)/1000+'Inputs'!$B$21+'Inputs'!$B$9+'Inputs'!$B$10)+'Inputs'!$B$7)^2+('Inputs'!$B$6/2)^2)-(((653-43)*MAX('Inputs'!$B$33,'Inputs'!$B$29+'Inputs'!$B$31+'Inputs'!$B$32,'Inputs'!$B$30+'Inputs'!$B$31+'Inputs'!$B$32)/1000+'Inputs'!$B$21+'Inputs'!$B$9+'Inputs'!$B$10))/SQRT((((653-43)*MAX('Inputs'!$B$33,'Inputs'!$B$29+'Inputs'!$B$31+'Inputs'!$B$32,'Inputs'!$B$30+'Inputs'!$B$31+'Inputs'!$B$32)/1000+'Inputs'!$B$21+'Inputs'!$B$9+'Inputs'!$B$10))^2+('Inputs'!$B$6/2)^2))))*'Results'!$B$8)-'Inputs'!$B$28*ABS((('Results'!C7*(1-'Inputs'!$B$24)*(0.5*((((653-43)*MAX('Inputs'!$B$33,'Inputs'!$B$29+'Inputs'!$B$31+'Inputs'!$B$32,'Inputs'!$B$30+'Inputs'!$B$31+'Inputs'!$B$32)/1000+'Inputs'!$B$21)+'Inputs'!$B$9)/SQRT((((653-43)*MAX('Inputs'!$B$33,'Inputs'!$B$29+'Inputs'!$B$31+'Inputs'!$B$32,'Inputs'!$B$30+'Inputs'!$B$31+'Inputs'!$B$32)/1000+'Inputs'!$B$21)+'Inputs'!$B$9)^2+('Inputs'!$B$8/2)^2)-(((653-43)*MAX('Inputs'!$B$33,'Inputs'!$B$29+'Inputs'!$B$31+'Inputs'!$B$32,'Inputs'!$B$30+'Inputs'!$B$31+'Inputs'!$B$32)/1000+'Inputs'!$B$21))/SQRT((((653-43)*MAX('Inputs'!$B$33,'Inputs'!$B$29+'Inputs'!$B$31+'Inputs'!$B$32,'Inputs'!$B$30+'Inputs'!$B$31+'Inputs'!$B$32)/1000+'Inputs'!$B$21))^2+('Inputs'!$B$8/2)^2)))-'Results'!B7*(1+'Inputs'!$B$24)*(0.5*((((653-43)*MAX('Inputs'!$B$33,'Inputs'!$B$29+'Inputs'!$B$31+'Inputs'!$B$32,'Inputs'!$B$30+'Inputs'!$B$31+'Inputs'!$B$32)/1000+'Inputs'!$B$21+'Inputs'!$B$9+'Inputs'!$B$10)+'Inputs'!$B$7)/SQRT((((653-43)*MAX('Inputs'!$B$33,'Inputs'!$B$29+'Inputs'!$B$31+'Inputs'!$B$32,'Inputs'!$B$30+'Inputs'!$B$31+'Inputs'!$B$32)/1000+'Inputs'!$B$21+'Inputs'!$B$9+'Inputs'!$B$10)+'Inputs'!$B$7)^2+('Inputs'!$B$6/2)^2)-(((653-43)*MAX('Inputs'!$B$33,'Inputs'!$B$29+'Inputs'!$B$31+'Inputs'!$B$32,'Inputs'!$B$30+'Inputs'!$B$31+'Inputs'!$B$32)/1000+'Inputs'!$B$21+'Inputs'!$B$9+'Inputs'!$B$10))/SQRT((((653-43)*MAX('Inputs'!$B$33,'Inputs'!$B$29+'Inputs'!$B$31+'Inputs'!$B$32,'Inputs'!$B$30+'Inputs'!$B$31+'Inputs'!$B$32)/1000+'Inputs'!$B$21+'Inputs'!$B$9+'Inputs'!$B$10))^2+('Inputs'!$B$6/2)^2))))*'Results'!$B$8))),"")</x:f>
        <x:v>1.6786761395600167</x:v>
      </x:c>
      <x:c r="O653" t="n">
        <x:f>IF(AND(ISNUMBER('Results'!C7),ISNUMBER('Results'!B7),ISNUMBER('Results'!$B$8),ISNUMBER('Inputs'!$B$6),ISNUMBER('Inputs'!$B$7),ISNUMBER('Inputs'!$B$8),ISNUMBER('Inputs'!$B$9),ISNUMBER('Inputs'!$B$10),ISNUMBER('Inputs'!$B$21),ISNUMBER('Inputs'!$B$24),ISNUMBER('Inputs'!$B$28)),((('Results'!C7*(1+'Inputs'!$B$24)*(0.5*((((653-43)*MAX('Inputs'!$B$33,'Inputs'!$B$29+'Inputs'!$B$31+'Inputs'!$B$32,'Inputs'!$B$30+'Inputs'!$B$31+'Inputs'!$B$32)/1000+'Inputs'!$B$21)+'Inputs'!$B$9)/SQRT((((653-43)*MAX('Inputs'!$B$33,'Inputs'!$B$29+'Inputs'!$B$31+'Inputs'!$B$32,'Inputs'!$B$30+'Inputs'!$B$31+'Inputs'!$B$32)/1000+'Inputs'!$B$21)+'Inputs'!$B$9)^2+('Inputs'!$B$8/2)^2)-(((653-43)*MAX('Inputs'!$B$33,'Inputs'!$B$29+'Inputs'!$B$31+'Inputs'!$B$32,'Inputs'!$B$30+'Inputs'!$B$31+'Inputs'!$B$32)/1000+'Inputs'!$B$21))/SQRT((((653-43)*MAX('Inputs'!$B$33,'Inputs'!$B$29+'Inputs'!$B$31+'Inputs'!$B$32,'Inputs'!$B$30+'Inputs'!$B$31+'Inputs'!$B$32)/1000+'Inputs'!$B$21))^2+('Inputs'!$B$8/2)^2)))-'Results'!B7*(1-'Inputs'!$B$24)*(0.5*((((653-43)*MAX('Inputs'!$B$33,'Inputs'!$B$29+'Inputs'!$B$31+'Inputs'!$B$32,'Inputs'!$B$30+'Inputs'!$B$31+'Inputs'!$B$32)/1000+'Inputs'!$B$21+'Inputs'!$B$9+'Inputs'!$B$10)+'Inputs'!$B$7)/SQRT((((653-43)*MAX('Inputs'!$B$33,'Inputs'!$B$29+'Inputs'!$B$31+'Inputs'!$B$32,'Inputs'!$B$30+'Inputs'!$B$31+'Inputs'!$B$32)/1000+'Inputs'!$B$21+'Inputs'!$B$9+'Inputs'!$B$10)+'Inputs'!$B$7)^2+('Inputs'!$B$6/2)^2)-(((653-43)*MAX('Inputs'!$B$33,'Inputs'!$B$29+'Inputs'!$B$31+'Inputs'!$B$32,'Inputs'!$B$30+'Inputs'!$B$31+'Inputs'!$B$32)/1000+'Inputs'!$B$21+'Inputs'!$B$9+'Inputs'!$B$10))/SQRT((((653-43)*MAX('Inputs'!$B$33,'Inputs'!$B$29+'Inputs'!$B$31+'Inputs'!$B$32,'Inputs'!$B$30+'Inputs'!$B$31+'Inputs'!$B$32)/1000+'Inputs'!$B$21+'Inputs'!$B$9+'Inputs'!$B$10))^2+('Inputs'!$B$6/2)^2))))*'Results'!$B$8)+'Inputs'!$B$28*ABS((('Results'!C7*(1+'Inputs'!$B$24)*(0.5*((((653-43)*MAX('Inputs'!$B$33,'Inputs'!$B$29+'Inputs'!$B$31+'Inputs'!$B$32,'Inputs'!$B$30+'Inputs'!$B$31+'Inputs'!$B$32)/1000+'Inputs'!$B$21)+'Inputs'!$B$9)/SQRT((((653-43)*MAX('Inputs'!$B$33,'Inputs'!$B$29+'Inputs'!$B$31+'Inputs'!$B$32,'Inputs'!$B$30+'Inputs'!$B$31+'Inputs'!$B$32)/1000+'Inputs'!$B$21)+'Inputs'!$B$9)^2+('Inputs'!$B$8/2)^2)-(((653-43)*MAX('Inputs'!$B$33,'Inputs'!$B$29+'Inputs'!$B$31+'Inputs'!$B$32,'Inputs'!$B$30+'Inputs'!$B$31+'Inputs'!$B$32)/1000+'Inputs'!$B$21))/SQRT((((653-43)*MAX('Inputs'!$B$33,'Inputs'!$B$29+'Inputs'!$B$31+'Inputs'!$B$32,'Inputs'!$B$30+'Inputs'!$B$31+'Inputs'!$B$32)/1000+'Inputs'!$B$21))^2+('Inputs'!$B$8/2)^2)))-'Results'!B7*(1-'Inputs'!$B$24)*(0.5*((((653-43)*MAX('Inputs'!$B$33,'Inputs'!$B$29+'Inputs'!$B$31+'Inputs'!$B$32,'Inputs'!$B$30+'Inputs'!$B$31+'Inputs'!$B$32)/1000+'Inputs'!$B$21+'Inputs'!$B$9+'Inputs'!$B$10)+'Inputs'!$B$7)/SQRT((((653-43)*MAX('Inputs'!$B$33,'Inputs'!$B$29+'Inputs'!$B$31+'Inputs'!$B$32,'Inputs'!$B$30+'Inputs'!$B$31+'Inputs'!$B$32)/1000+'Inputs'!$B$21+'Inputs'!$B$9+'Inputs'!$B$10)+'Inputs'!$B$7)^2+('Inputs'!$B$6/2)^2)-(((653-43)*MAX('Inputs'!$B$33,'Inputs'!$B$29+'Inputs'!$B$31+'Inputs'!$B$32,'Inputs'!$B$30+'Inputs'!$B$31+'Inputs'!$B$32)/1000+'Inputs'!$B$21+'Inputs'!$B$9+'Inputs'!$B$10))/SQRT((((653-43)*MAX('Inputs'!$B$33,'Inputs'!$B$29+'Inputs'!$B$31+'Inputs'!$B$32,'Inputs'!$B$30+'Inputs'!$B$31+'Inputs'!$B$32)/1000+'Inputs'!$B$21+'Inputs'!$B$9+'Inputs'!$B$10))^2+('Inputs'!$B$6/2)^2))))*'Results'!$B$8))),"")</x:f>
        <x:v>2.2032076041396156</x:v>
      </x:c>
      <x:c r="P653" t="n">
        <x:f>IF(AND(MAX(J653,J652)&gt;0,J653&gt;J652+0.00000001),1,0)</x:f>
        <x:v>0</x:v>
      </x:c>
      <x:c r="Q653" t="n">
        <x:f>IF(AND(MAX(K653,K652)&gt;0,K653&gt;K652+0.00000001),1,0)</x:f>
        <x:v>0</x:v>
      </x:c>
      <x:c r="R653" t="n">
        <x:f>IF(AND(MAX(L653,L652)&gt;0,L653&gt;L652+0.00000001),1,0)</x:f>
        <x:v>0</x:v>
      </x:c>
      <x:c r="S653" t="n">
        <x:f>IF(AND(MAX(M653,M652)&gt;0,M653&gt;M652+0.00000001),1,0)</x:f>
        <x:v>0</x:v>
      </x:c>
      <x:c r="T653" t="n">
        <x:f>IF(AND(MAX(N653,N652)&gt;0,N653&gt;N652+0.00000001),1,0)</x:f>
        <x:v>0</x:v>
      </x:c>
      <x:c r="U653" t="n">
        <x:f>IF(AND(MAX(O653,O652)&gt;0,O653&gt;O652+0.00000001),1,0)</x:f>
        <x:v>0</x:v>
      </x:c>
    </x:row>
    <x:row r="654">
      <x:c r="J654" t="n">
        <x:f>IF(AND(ISNUMBER('Results'!B7),ISNUMBER('Results'!C7),ISNUMBER('Results'!$B$8),ISNUMBER('Inputs'!$B$6),ISNUMBER('Inputs'!$B$7),ISNUMBER('Inputs'!$B$8),ISNUMBER('Inputs'!$B$9),ISNUMBER('Inputs'!$B$10),ISNUMBER('Inputs'!$B$21),ISNUMBER('Inputs'!$B$24),ISNUMBER('Inputs'!$B$28)),(('Results'!B7*(0.5*((((654-43)*MAX('Inputs'!$B$33,'Inputs'!$B$29+'Inputs'!$B$31+'Inputs'!$B$32,'Inputs'!$B$30+'Inputs'!$B$31+'Inputs'!$B$32)/1000+'Inputs'!$B$21)+'Inputs'!$B$7)/SQRT((((654-43)*MAX('Inputs'!$B$33,'Inputs'!$B$29+'Inputs'!$B$31+'Inputs'!$B$32,'Inputs'!$B$30+'Inputs'!$B$31+'Inputs'!$B$32)/1000+'Inputs'!$B$21)+'Inputs'!$B$7)^2+('Inputs'!$B$6/2)^2)-(((654-43)*MAX('Inputs'!$B$33,'Inputs'!$B$29+'Inputs'!$B$31+'Inputs'!$B$32,'Inputs'!$B$30+'Inputs'!$B$31+'Inputs'!$B$32)/1000+'Inputs'!$B$21))/SQRT((((654-43)*MAX('Inputs'!$B$33,'Inputs'!$B$29+'Inputs'!$B$31+'Inputs'!$B$32,'Inputs'!$B$30+'Inputs'!$B$31+'Inputs'!$B$32)/1000+'Inputs'!$B$21))^2+('Inputs'!$B$6/2)^2)))-'Results'!C7*(0.5*((((654-43)*MAX('Inputs'!$B$33,'Inputs'!$B$29+'Inputs'!$B$31+'Inputs'!$B$32,'Inputs'!$B$30+'Inputs'!$B$31+'Inputs'!$B$32)/1000+'Inputs'!$B$21+'Inputs'!$B$7+'Inputs'!$B$10)+'Inputs'!$B$9)/SQRT((((654-43)*MAX('Inputs'!$B$33,'Inputs'!$B$29+'Inputs'!$B$31+'Inputs'!$B$32,'Inputs'!$B$30+'Inputs'!$B$31+'Inputs'!$B$32)/1000+'Inputs'!$B$21+'Inputs'!$B$7+'Inputs'!$B$10)+'Inputs'!$B$9)^2+('Inputs'!$B$8/2)^2)-(((654-43)*MAX('Inputs'!$B$33,'Inputs'!$B$29+'Inputs'!$B$31+'Inputs'!$B$32,'Inputs'!$B$30+'Inputs'!$B$31+'Inputs'!$B$32)/1000+'Inputs'!$B$21+'Inputs'!$B$7+'Inputs'!$B$10))/SQRT((((654-43)*MAX('Inputs'!$B$33,'Inputs'!$B$29+'Inputs'!$B$31+'Inputs'!$B$32,'Inputs'!$B$30+'Inputs'!$B$31+'Inputs'!$B$32)/1000+'Inputs'!$B$21+'Inputs'!$B$7+'Inputs'!$B$10))^2+('Inputs'!$B$8/2)^2))))*'Results'!$B$8),"")</x:f>
        <x:v>2.0883617977619404</x:v>
      </x:c>
      <x:c r="K654" t="n">
        <x:f>IF(AND(ISNUMBER('Results'!B7),ISNUMBER('Results'!C7),ISNUMBER('Results'!$B$8),ISNUMBER('Inputs'!$B$6),ISNUMBER('Inputs'!$B$7),ISNUMBER('Inputs'!$B$8),ISNUMBER('Inputs'!$B$9),ISNUMBER('Inputs'!$B$10),ISNUMBER('Inputs'!$B$21),ISNUMBER('Inputs'!$B$24),ISNUMBER('Inputs'!$B$28)),((('Results'!B7*(1-'Inputs'!$B$24)*(0.5*((((654-43)*MAX('Inputs'!$B$33,'Inputs'!$B$29+'Inputs'!$B$31+'Inputs'!$B$32,'Inputs'!$B$30+'Inputs'!$B$31+'Inputs'!$B$32)/1000+'Inputs'!$B$21)+'Inputs'!$B$7)/SQRT((((654-43)*MAX('Inputs'!$B$33,'Inputs'!$B$29+'Inputs'!$B$31+'Inputs'!$B$32,'Inputs'!$B$30+'Inputs'!$B$31+'Inputs'!$B$32)/1000+'Inputs'!$B$21)+'Inputs'!$B$7)^2+('Inputs'!$B$6/2)^2)-(((654-43)*MAX('Inputs'!$B$33,'Inputs'!$B$29+'Inputs'!$B$31+'Inputs'!$B$32,'Inputs'!$B$30+'Inputs'!$B$31+'Inputs'!$B$32)/1000+'Inputs'!$B$21))/SQRT((((654-43)*MAX('Inputs'!$B$33,'Inputs'!$B$29+'Inputs'!$B$31+'Inputs'!$B$32,'Inputs'!$B$30+'Inputs'!$B$31+'Inputs'!$B$32)/1000+'Inputs'!$B$21))^2+('Inputs'!$B$6/2)^2)))-'Results'!C7*(1+'Inputs'!$B$24)*(0.5*((((654-43)*MAX('Inputs'!$B$33,'Inputs'!$B$29+'Inputs'!$B$31+'Inputs'!$B$32,'Inputs'!$B$30+'Inputs'!$B$31+'Inputs'!$B$32)/1000+'Inputs'!$B$21+'Inputs'!$B$7+'Inputs'!$B$10)+'Inputs'!$B$9)/SQRT((((654-43)*MAX('Inputs'!$B$33,'Inputs'!$B$29+'Inputs'!$B$31+'Inputs'!$B$32,'Inputs'!$B$30+'Inputs'!$B$31+'Inputs'!$B$32)/1000+'Inputs'!$B$21+'Inputs'!$B$7+'Inputs'!$B$10)+'Inputs'!$B$9)^2+('Inputs'!$B$8/2)^2)-(((654-43)*MAX('Inputs'!$B$33,'Inputs'!$B$29+'Inputs'!$B$31+'Inputs'!$B$32,'Inputs'!$B$30+'Inputs'!$B$31+'Inputs'!$B$32)/1000+'Inputs'!$B$21+'Inputs'!$B$7+'Inputs'!$B$10))/SQRT((((654-43)*MAX('Inputs'!$B$33,'Inputs'!$B$29+'Inputs'!$B$31+'Inputs'!$B$32,'Inputs'!$B$30+'Inputs'!$B$31+'Inputs'!$B$32)/1000+'Inputs'!$B$21+'Inputs'!$B$7+'Inputs'!$B$10))^2+('Inputs'!$B$8/2)^2))))*'Results'!$B$8)-'Inputs'!$B$28*ABS((('Results'!B7*(1-'Inputs'!$B$24)*(0.5*((((654-43)*MAX('Inputs'!$B$33,'Inputs'!$B$29+'Inputs'!$B$31+'Inputs'!$B$32,'Inputs'!$B$30+'Inputs'!$B$31+'Inputs'!$B$32)/1000+'Inputs'!$B$21)+'Inputs'!$B$7)/SQRT((((654-43)*MAX('Inputs'!$B$33,'Inputs'!$B$29+'Inputs'!$B$31+'Inputs'!$B$32,'Inputs'!$B$30+'Inputs'!$B$31+'Inputs'!$B$32)/1000+'Inputs'!$B$21)+'Inputs'!$B$7)^2+('Inputs'!$B$6/2)^2)-(((654-43)*MAX('Inputs'!$B$33,'Inputs'!$B$29+'Inputs'!$B$31+'Inputs'!$B$32,'Inputs'!$B$30+'Inputs'!$B$31+'Inputs'!$B$32)/1000+'Inputs'!$B$21))/SQRT((((654-43)*MAX('Inputs'!$B$33,'Inputs'!$B$29+'Inputs'!$B$31+'Inputs'!$B$32,'Inputs'!$B$30+'Inputs'!$B$31+'Inputs'!$B$32)/1000+'Inputs'!$B$21))^2+('Inputs'!$B$6/2)^2)))-'Results'!C7*(1+'Inputs'!$B$24)*(0.5*((((654-43)*MAX('Inputs'!$B$33,'Inputs'!$B$29+'Inputs'!$B$31+'Inputs'!$B$32,'Inputs'!$B$30+'Inputs'!$B$31+'Inputs'!$B$32)/1000+'Inputs'!$B$21+'Inputs'!$B$7+'Inputs'!$B$10)+'Inputs'!$B$9)/SQRT((((654-43)*MAX('Inputs'!$B$33,'Inputs'!$B$29+'Inputs'!$B$31+'Inputs'!$B$32,'Inputs'!$B$30+'Inputs'!$B$31+'Inputs'!$B$32)/1000+'Inputs'!$B$21+'Inputs'!$B$7+'Inputs'!$B$10)+'Inputs'!$B$9)^2+('Inputs'!$B$8/2)^2)-(((654-43)*MAX('Inputs'!$B$33,'Inputs'!$B$29+'Inputs'!$B$31+'Inputs'!$B$32,'Inputs'!$B$30+'Inputs'!$B$31+'Inputs'!$B$32)/1000+'Inputs'!$B$21+'Inputs'!$B$7+'Inputs'!$B$10))/SQRT((((654-43)*MAX('Inputs'!$B$33,'Inputs'!$B$29+'Inputs'!$B$31+'Inputs'!$B$32,'Inputs'!$B$30+'Inputs'!$B$31+'Inputs'!$B$32)/1000+'Inputs'!$B$21+'Inputs'!$B$7+'Inputs'!$B$10))^2+('Inputs'!$B$8/2)^2))))*'Results'!$B$8))),"")</x:f>
        <x:v>1.8265170781214914</x:v>
      </x:c>
      <x:c r="L654" t="n">
        <x:f>IF(AND(ISNUMBER('Results'!B7),ISNUMBER('Results'!C7),ISNUMBER('Results'!$B$8),ISNUMBER('Inputs'!$B$6),ISNUMBER('Inputs'!$B$7),ISNUMBER('Inputs'!$B$8),ISNUMBER('Inputs'!$B$9),ISNUMBER('Inputs'!$B$10),ISNUMBER('Inputs'!$B$21),ISNUMBER('Inputs'!$B$24),ISNUMBER('Inputs'!$B$28)),((('Results'!B7*(1+'Inputs'!$B$24)*(0.5*((((654-43)*MAX('Inputs'!$B$33,'Inputs'!$B$29+'Inputs'!$B$31+'Inputs'!$B$32,'Inputs'!$B$30+'Inputs'!$B$31+'Inputs'!$B$32)/1000+'Inputs'!$B$21)+'Inputs'!$B$7)/SQRT((((654-43)*MAX('Inputs'!$B$33,'Inputs'!$B$29+'Inputs'!$B$31+'Inputs'!$B$32,'Inputs'!$B$30+'Inputs'!$B$31+'Inputs'!$B$32)/1000+'Inputs'!$B$21)+'Inputs'!$B$7)^2+('Inputs'!$B$6/2)^2)-(((654-43)*MAX('Inputs'!$B$33,'Inputs'!$B$29+'Inputs'!$B$31+'Inputs'!$B$32,'Inputs'!$B$30+'Inputs'!$B$31+'Inputs'!$B$32)/1000+'Inputs'!$B$21))/SQRT((((654-43)*MAX('Inputs'!$B$33,'Inputs'!$B$29+'Inputs'!$B$31+'Inputs'!$B$32,'Inputs'!$B$30+'Inputs'!$B$31+'Inputs'!$B$32)/1000+'Inputs'!$B$21))^2+('Inputs'!$B$6/2)^2)))-'Results'!C7*(1-'Inputs'!$B$24)*(0.5*((((654-43)*MAX('Inputs'!$B$33,'Inputs'!$B$29+'Inputs'!$B$31+'Inputs'!$B$32,'Inputs'!$B$30+'Inputs'!$B$31+'Inputs'!$B$32)/1000+'Inputs'!$B$21+'Inputs'!$B$7+'Inputs'!$B$10)+'Inputs'!$B$9)/SQRT((((654-43)*MAX('Inputs'!$B$33,'Inputs'!$B$29+'Inputs'!$B$31+'Inputs'!$B$32,'Inputs'!$B$30+'Inputs'!$B$31+'Inputs'!$B$32)/1000+'Inputs'!$B$21+'Inputs'!$B$7+'Inputs'!$B$10)+'Inputs'!$B$9)^2+('Inputs'!$B$8/2)^2)-(((654-43)*MAX('Inputs'!$B$33,'Inputs'!$B$29+'Inputs'!$B$31+'Inputs'!$B$32,'Inputs'!$B$30+'Inputs'!$B$31+'Inputs'!$B$32)/1000+'Inputs'!$B$21+'Inputs'!$B$7+'Inputs'!$B$10))/SQRT((((654-43)*MAX('Inputs'!$B$33,'Inputs'!$B$29+'Inputs'!$B$31+'Inputs'!$B$32,'Inputs'!$B$30+'Inputs'!$B$31+'Inputs'!$B$32)/1000+'Inputs'!$B$21+'Inputs'!$B$7+'Inputs'!$B$10))^2+('Inputs'!$B$8/2)^2))))*'Results'!$B$8)+'Inputs'!$B$28*ABS((('Results'!B7*(1+'Inputs'!$B$24)*(0.5*((((654-43)*MAX('Inputs'!$B$33,'Inputs'!$B$29+'Inputs'!$B$31+'Inputs'!$B$32,'Inputs'!$B$30+'Inputs'!$B$31+'Inputs'!$B$32)/1000+'Inputs'!$B$21)+'Inputs'!$B$7)/SQRT((((654-43)*MAX('Inputs'!$B$33,'Inputs'!$B$29+'Inputs'!$B$31+'Inputs'!$B$32,'Inputs'!$B$30+'Inputs'!$B$31+'Inputs'!$B$32)/1000+'Inputs'!$B$21)+'Inputs'!$B$7)^2+('Inputs'!$B$6/2)^2)-(((654-43)*MAX('Inputs'!$B$33,'Inputs'!$B$29+'Inputs'!$B$31+'Inputs'!$B$32,'Inputs'!$B$30+'Inputs'!$B$31+'Inputs'!$B$32)/1000+'Inputs'!$B$21))/SQRT((((654-43)*MAX('Inputs'!$B$33,'Inputs'!$B$29+'Inputs'!$B$31+'Inputs'!$B$32,'Inputs'!$B$30+'Inputs'!$B$31+'Inputs'!$B$32)/1000+'Inputs'!$B$21))^2+('Inputs'!$B$6/2)^2)))-'Results'!C7*(1-'Inputs'!$B$24)*(0.5*((((654-43)*MAX('Inputs'!$B$33,'Inputs'!$B$29+'Inputs'!$B$31+'Inputs'!$B$32,'Inputs'!$B$30+'Inputs'!$B$31+'Inputs'!$B$32)/1000+'Inputs'!$B$21+'Inputs'!$B$7+'Inputs'!$B$10)+'Inputs'!$B$9)/SQRT((((654-43)*MAX('Inputs'!$B$33,'Inputs'!$B$29+'Inputs'!$B$31+'Inputs'!$B$32,'Inputs'!$B$30+'Inputs'!$B$31+'Inputs'!$B$32)/1000+'Inputs'!$B$21+'Inputs'!$B$7+'Inputs'!$B$10)+'Inputs'!$B$9)^2+('Inputs'!$B$8/2)^2)-(((654-43)*MAX('Inputs'!$B$33,'Inputs'!$B$29+'Inputs'!$B$31+'Inputs'!$B$32,'Inputs'!$B$30+'Inputs'!$B$31+'Inputs'!$B$32)/1000+'Inputs'!$B$21+'Inputs'!$B$7+'Inputs'!$B$10))/SQRT((((654-43)*MAX('Inputs'!$B$33,'Inputs'!$B$29+'Inputs'!$B$31+'Inputs'!$B$32,'Inputs'!$B$30+'Inputs'!$B$31+'Inputs'!$B$32)/1000+'Inputs'!$B$21+'Inputs'!$B$7+'Inputs'!$B$10))^2+('Inputs'!$B$8/2)^2))))*'Results'!$B$8))),"")</x:f>
        <x:v>2.3667777415868487</x:v>
      </x:c>
      <x:c r="M654" t="n">
        <x:f>IF(AND(ISNUMBER('Results'!C7),ISNUMBER('Results'!B7),ISNUMBER('Results'!$B$8),ISNUMBER('Inputs'!$B$6),ISNUMBER('Inputs'!$B$7),ISNUMBER('Inputs'!$B$8),ISNUMBER('Inputs'!$B$9),ISNUMBER('Inputs'!$B$10),ISNUMBER('Inputs'!$B$21),ISNUMBER('Inputs'!$B$24),ISNUMBER('Inputs'!$B$28)),(('Results'!C7*(0.5*((((654-43)*MAX('Inputs'!$B$33,'Inputs'!$B$29+'Inputs'!$B$31+'Inputs'!$B$32,'Inputs'!$B$30+'Inputs'!$B$31+'Inputs'!$B$32)/1000+'Inputs'!$B$21)+'Inputs'!$B$9)/SQRT((((654-43)*MAX('Inputs'!$B$33,'Inputs'!$B$29+'Inputs'!$B$31+'Inputs'!$B$32,'Inputs'!$B$30+'Inputs'!$B$31+'Inputs'!$B$32)/1000+'Inputs'!$B$21)+'Inputs'!$B$9)^2+('Inputs'!$B$8/2)^2)-(((654-43)*MAX('Inputs'!$B$33,'Inputs'!$B$29+'Inputs'!$B$31+'Inputs'!$B$32,'Inputs'!$B$30+'Inputs'!$B$31+'Inputs'!$B$32)/1000+'Inputs'!$B$21))/SQRT((((654-43)*MAX('Inputs'!$B$33,'Inputs'!$B$29+'Inputs'!$B$31+'Inputs'!$B$32,'Inputs'!$B$30+'Inputs'!$B$31+'Inputs'!$B$32)/1000+'Inputs'!$B$21))^2+('Inputs'!$B$8/2)^2)))-'Results'!B7*(0.5*((((654-43)*MAX('Inputs'!$B$33,'Inputs'!$B$29+'Inputs'!$B$31+'Inputs'!$B$32,'Inputs'!$B$30+'Inputs'!$B$31+'Inputs'!$B$32)/1000+'Inputs'!$B$21+'Inputs'!$B$9+'Inputs'!$B$10)+'Inputs'!$B$7)/SQRT((((654-43)*MAX('Inputs'!$B$33,'Inputs'!$B$29+'Inputs'!$B$31+'Inputs'!$B$32,'Inputs'!$B$30+'Inputs'!$B$31+'Inputs'!$B$32)/1000+'Inputs'!$B$21+'Inputs'!$B$9+'Inputs'!$B$10)+'Inputs'!$B$7)^2+('Inputs'!$B$6/2)^2)-(((654-43)*MAX('Inputs'!$B$33,'Inputs'!$B$29+'Inputs'!$B$31+'Inputs'!$B$32,'Inputs'!$B$30+'Inputs'!$B$31+'Inputs'!$B$32)/1000+'Inputs'!$B$21+'Inputs'!$B$9+'Inputs'!$B$10))/SQRT((((654-43)*MAX('Inputs'!$B$33,'Inputs'!$B$29+'Inputs'!$B$31+'Inputs'!$B$32,'Inputs'!$B$30+'Inputs'!$B$31+'Inputs'!$B$32)/1000+'Inputs'!$B$21+'Inputs'!$B$9+'Inputs'!$B$10))^2+('Inputs'!$B$6/2)^2))))*'Results'!$B$8),"")</x:f>
        <x:v>1.9213848109593052</x:v>
      </x:c>
      <x:c r="N654" t="n">
        <x:f>IF(AND(ISNUMBER('Results'!C7),ISNUMBER('Results'!B7),ISNUMBER('Results'!$B$8),ISNUMBER('Inputs'!$B$6),ISNUMBER('Inputs'!$B$7),ISNUMBER('Inputs'!$B$8),ISNUMBER('Inputs'!$B$9),ISNUMBER('Inputs'!$B$10),ISNUMBER('Inputs'!$B$21),ISNUMBER('Inputs'!$B$24),ISNUMBER('Inputs'!$B$28)),((('Results'!C7*(1-'Inputs'!$B$24)*(0.5*((((654-43)*MAX('Inputs'!$B$33,'Inputs'!$B$29+'Inputs'!$B$31+'Inputs'!$B$32,'Inputs'!$B$30+'Inputs'!$B$31+'Inputs'!$B$32)/1000+'Inputs'!$B$21)+'Inputs'!$B$9)/SQRT((((654-43)*MAX('Inputs'!$B$33,'Inputs'!$B$29+'Inputs'!$B$31+'Inputs'!$B$32,'Inputs'!$B$30+'Inputs'!$B$31+'Inputs'!$B$32)/1000+'Inputs'!$B$21)+'Inputs'!$B$9)^2+('Inputs'!$B$8/2)^2)-(((654-43)*MAX('Inputs'!$B$33,'Inputs'!$B$29+'Inputs'!$B$31+'Inputs'!$B$32,'Inputs'!$B$30+'Inputs'!$B$31+'Inputs'!$B$32)/1000+'Inputs'!$B$21))/SQRT((((654-43)*MAX('Inputs'!$B$33,'Inputs'!$B$29+'Inputs'!$B$31+'Inputs'!$B$32,'Inputs'!$B$30+'Inputs'!$B$31+'Inputs'!$B$32)/1000+'Inputs'!$B$21))^2+('Inputs'!$B$8/2)^2)))-'Results'!B7*(1+'Inputs'!$B$24)*(0.5*((((654-43)*MAX('Inputs'!$B$33,'Inputs'!$B$29+'Inputs'!$B$31+'Inputs'!$B$32,'Inputs'!$B$30+'Inputs'!$B$31+'Inputs'!$B$32)/1000+'Inputs'!$B$21+'Inputs'!$B$9+'Inputs'!$B$10)+'Inputs'!$B$7)/SQRT((((654-43)*MAX('Inputs'!$B$33,'Inputs'!$B$29+'Inputs'!$B$31+'Inputs'!$B$32,'Inputs'!$B$30+'Inputs'!$B$31+'Inputs'!$B$32)/1000+'Inputs'!$B$21+'Inputs'!$B$9+'Inputs'!$B$10)+'Inputs'!$B$7)^2+('Inputs'!$B$6/2)^2)-(((654-43)*MAX('Inputs'!$B$33,'Inputs'!$B$29+'Inputs'!$B$31+'Inputs'!$B$32,'Inputs'!$B$30+'Inputs'!$B$31+'Inputs'!$B$32)/1000+'Inputs'!$B$21+'Inputs'!$B$9+'Inputs'!$B$10))/SQRT((((654-43)*MAX('Inputs'!$B$33,'Inputs'!$B$29+'Inputs'!$B$31+'Inputs'!$B$32,'Inputs'!$B$30+'Inputs'!$B$31+'Inputs'!$B$32)/1000+'Inputs'!$B$21+'Inputs'!$B$9+'Inputs'!$B$10))^2+('Inputs'!$B$6/2)^2))))*'Results'!$B$8)-'Inputs'!$B$28*ABS((('Results'!C7*(1-'Inputs'!$B$24)*(0.5*((((654-43)*MAX('Inputs'!$B$33,'Inputs'!$B$29+'Inputs'!$B$31+'Inputs'!$B$32,'Inputs'!$B$30+'Inputs'!$B$31+'Inputs'!$B$32)/1000+'Inputs'!$B$21)+'Inputs'!$B$9)/SQRT((((654-43)*MAX('Inputs'!$B$33,'Inputs'!$B$29+'Inputs'!$B$31+'Inputs'!$B$32,'Inputs'!$B$30+'Inputs'!$B$31+'Inputs'!$B$32)/1000+'Inputs'!$B$21)+'Inputs'!$B$9)^2+('Inputs'!$B$8/2)^2)-(((654-43)*MAX('Inputs'!$B$33,'Inputs'!$B$29+'Inputs'!$B$31+'Inputs'!$B$32,'Inputs'!$B$30+'Inputs'!$B$31+'Inputs'!$B$32)/1000+'Inputs'!$B$21))/SQRT((((654-43)*MAX('Inputs'!$B$33,'Inputs'!$B$29+'Inputs'!$B$31+'Inputs'!$B$32,'Inputs'!$B$30+'Inputs'!$B$31+'Inputs'!$B$32)/1000+'Inputs'!$B$21))^2+('Inputs'!$B$8/2)^2)))-'Results'!B7*(1+'Inputs'!$B$24)*(0.5*((((654-43)*MAX('Inputs'!$B$33,'Inputs'!$B$29+'Inputs'!$B$31+'Inputs'!$B$32,'Inputs'!$B$30+'Inputs'!$B$31+'Inputs'!$B$32)/1000+'Inputs'!$B$21+'Inputs'!$B$9+'Inputs'!$B$10)+'Inputs'!$B$7)/SQRT((((654-43)*MAX('Inputs'!$B$33,'Inputs'!$B$29+'Inputs'!$B$31+'Inputs'!$B$32,'Inputs'!$B$30+'Inputs'!$B$31+'Inputs'!$B$32)/1000+'Inputs'!$B$21+'Inputs'!$B$9+'Inputs'!$B$10)+'Inputs'!$B$7)^2+('Inputs'!$B$6/2)^2)-(((654-43)*MAX('Inputs'!$B$33,'Inputs'!$B$29+'Inputs'!$B$31+'Inputs'!$B$32,'Inputs'!$B$30+'Inputs'!$B$31+'Inputs'!$B$32)/1000+'Inputs'!$B$21+'Inputs'!$B$9+'Inputs'!$B$10))/SQRT((((654-43)*MAX('Inputs'!$B$33,'Inputs'!$B$29+'Inputs'!$B$31+'Inputs'!$B$32,'Inputs'!$B$30+'Inputs'!$B$31+'Inputs'!$B$32)/1000+'Inputs'!$B$21+'Inputs'!$B$9+'Inputs'!$B$10))^2+('Inputs'!$B$6/2)^2))))*'Results'!$B$8))),"")</x:f>
        <x:v>1.6686584879879338</x:v>
      </x:c>
      <x:c r="O654" t="n">
        <x:f>IF(AND(ISNUMBER('Results'!C7),ISNUMBER('Results'!B7),ISNUMBER('Results'!$B$8),ISNUMBER('Inputs'!$B$6),ISNUMBER('Inputs'!$B$7),ISNUMBER('Inputs'!$B$8),ISNUMBER('Inputs'!$B$9),ISNUMBER('Inputs'!$B$10),ISNUMBER('Inputs'!$B$21),ISNUMBER('Inputs'!$B$24),ISNUMBER('Inputs'!$B$28)),((('Results'!C7*(1+'Inputs'!$B$24)*(0.5*((((654-43)*MAX('Inputs'!$B$33,'Inputs'!$B$29+'Inputs'!$B$31+'Inputs'!$B$32,'Inputs'!$B$30+'Inputs'!$B$31+'Inputs'!$B$32)/1000+'Inputs'!$B$21)+'Inputs'!$B$9)/SQRT((((654-43)*MAX('Inputs'!$B$33,'Inputs'!$B$29+'Inputs'!$B$31+'Inputs'!$B$32,'Inputs'!$B$30+'Inputs'!$B$31+'Inputs'!$B$32)/1000+'Inputs'!$B$21)+'Inputs'!$B$9)^2+('Inputs'!$B$8/2)^2)-(((654-43)*MAX('Inputs'!$B$33,'Inputs'!$B$29+'Inputs'!$B$31+'Inputs'!$B$32,'Inputs'!$B$30+'Inputs'!$B$31+'Inputs'!$B$32)/1000+'Inputs'!$B$21))/SQRT((((654-43)*MAX('Inputs'!$B$33,'Inputs'!$B$29+'Inputs'!$B$31+'Inputs'!$B$32,'Inputs'!$B$30+'Inputs'!$B$31+'Inputs'!$B$32)/1000+'Inputs'!$B$21))^2+('Inputs'!$B$8/2)^2)))-'Results'!B7*(1-'Inputs'!$B$24)*(0.5*((((654-43)*MAX('Inputs'!$B$33,'Inputs'!$B$29+'Inputs'!$B$31+'Inputs'!$B$32,'Inputs'!$B$30+'Inputs'!$B$31+'Inputs'!$B$32)/1000+'Inputs'!$B$21+'Inputs'!$B$9+'Inputs'!$B$10)+'Inputs'!$B$7)/SQRT((((654-43)*MAX('Inputs'!$B$33,'Inputs'!$B$29+'Inputs'!$B$31+'Inputs'!$B$32,'Inputs'!$B$30+'Inputs'!$B$31+'Inputs'!$B$32)/1000+'Inputs'!$B$21+'Inputs'!$B$9+'Inputs'!$B$10)+'Inputs'!$B$7)^2+('Inputs'!$B$6/2)^2)-(((654-43)*MAX('Inputs'!$B$33,'Inputs'!$B$29+'Inputs'!$B$31+'Inputs'!$B$32,'Inputs'!$B$30+'Inputs'!$B$31+'Inputs'!$B$32)/1000+'Inputs'!$B$21+'Inputs'!$B$9+'Inputs'!$B$10))/SQRT((((654-43)*MAX('Inputs'!$B$33,'Inputs'!$B$29+'Inputs'!$B$31+'Inputs'!$B$32,'Inputs'!$B$30+'Inputs'!$B$31+'Inputs'!$B$32)/1000+'Inputs'!$B$21+'Inputs'!$B$9+'Inputs'!$B$10))^2+('Inputs'!$B$6/2)^2))))*'Results'!$B$8)+'Inputs'!$B$28*ABS((('Results'!C7*(1+'Inputs'!$B$24)*(0.5*((((654-43)*MAX('Inputs'!$B$33,'Inputs'!$B$29+'Inputs'!$B$31+'Inputs'!$B$32,'Inputs'!$B$30+'Inputs'!$B$31+'Inputs'!$B$32)/1000+'Inputs'!$B$21)+'Inputs'!$B$9)/SQRT((((654-43)*MAX('Inputs'!$B$33,'Inputs'!$B$29+'Inputs'!$B$31+'Inputs'!$B$32,'Inputs'!$B$30+'Inputs'!$B$31+'Inputs'!$B$32)/1000+'Inputs'!$B$21)+'Inputs'!$B$9)^2+('Inputs'!$B$8/2)^2)-(((654-43)*MAX('Inputs'!$B$33,'Inputs'!$B$29+'Inputs'!$B$31+'Inputs'!$B$32,'Inputs'!$B$30+'Inputs'!$B$31+'Inputs'!$B$32)/1000+'Inputs'!$B$21))/SQRT((((654-43)*MAX('Inputs'!$B$33,'Inputs'!$B$29+'Inputs'!$B$31+'Inputs'!$B$32,'Inputs'!$B$30+'Inputs'!$B$31+'Inputs'!$B$32)/1000+'Inputs'!$B$21))^2+('Inputs'!$B$8/2)^2)))-'Results'!B7*(1-'Inputs'!$B$24)*(0.5*((((654-43)*MAX('Inputs'!$B$33,'Inputs'!$B$29+'Inputs'!$B$31+'Inputs'!$B$32,'Inputs'!$B$30+'Inputs'!$B$31+'Inputs'!$B$32)/1000+'Inputs'!$B$21+'Inputs'!$B$9+'Inputs'!$B$10)+'Inputs'!$B$7)/SQRT((((654-43)*MAX('Inputs'!$B$33,'Inputs'!$B$29+'Inputs'!$B$31+'Inputs'!$B$32,'Inputs'!$B$30+'Inputs'!$B$31+'Inputs'!$B$32)/1000+'Inputs'!$B$21+'Inputs'!$B$9+'Inputs'!$B$10)+'Inputs'!$B$7)^2+('Inputs'!$B$6/2)^2)-(((654-43)*MAX('Inputs'!$B$33,'Inputs'!$B$29+'Inputs'!$B$31+'Inputs'!$B$32,'Inputs'!$B$30+'Inputs'!$B$31+'Inputs'!$B$32)/1000+'Inputs'!$B$21+'Inputs'!$B$9+'Inputs'!$B$10))/SQRT((((654-43)*MAX('Inputs'!$B$33,'Inputs'!$B$29+'Inputs'!$B$31+'Inputs'!$B$32,'Inputs'!$B$30+'Inputs'!$B$31+'Inputs'!$B$32)/1000+'Inputs'!$B$21+'Inputs'!$B$9+'Inputs'!$B$10))^2+('Inputs'!$B$6/2)^2))))*'Results'!$B$8))),"")</x:f>
        <x:v>2.19060135313314</x:v>
      </x:c>
      <x:c r="P654" t="n">
        <x:f>IF(AND(MAX(J654,J653)&gt;0,J654&gt;J653+0.00000001),1,0)</x:f>
        <x:v>0</x:v>
      </x:c>
      <x:c r="Q654" t="n">
        <x:f>IF(AND(MAX(K654,K653)&gt;0,K654&gt;K653+0.00000001),1,0)</x:f>
        <x:v>0</x:v>
      </x:c>
      <x:c r="R654" t="n">
        <x:f>IF(AND(MAX(L654,L653)&gt;0,L654&gt;L653+0.00000001),1,0)</x:f>
        <x:v>0</x:v>
      </x:c>
      <x:c r="S654" t="n">
        <x:f>IF(AND(MAX(M654,M653)&gt;0,M654&gt;M653+0.00000001),1,0)</x:f>
        <x:v>0</x:v>
      </x:c>
      <x:c r="T654" t="n">
        <x:f>IF(AND(MAX(N654,N653)&gt;0,N654&gt;N653+0.00000001),1,0)</x:f>
        <x:v>0</x:v>
      </x:c>
      <x:c r="U654" t="n">
        <x:f>IF(AND(MAX(O654,O653)&gt;0,O654&gt;O653+0.00000001),1,0)</x:f>
        <x:v>0</x:v>
      </x:c>
    </x:row>
    <x:row r="655">
      <x:c r="J655" t="n">
        <x:f>IF(AND(ISNUMBER('Results'!B7),ISNUMBER('Results'!C7),ISNUMBER('Results'!$B$8),ISNUMBER('Inputs'!$B$6),ISNUMBER('Inputs'!$B$7),ISNUMBER('Inputs'!$B$8),ISNUMBER('Inputs'!$B$9),ISNUMBER('Inputs'!$B$10),ISNUMBER('Inputs'!$B$21),ISNUMBER('Inputs'!$B$24),ISNUMBER('Inputs'!$B$28)),(('Results'!B7*(0.5*((((655-43)*MAX('Inputs'!$B$33,'Inputs'!$B$29+'Inputs'!$B$31+'Inputs'!$B$32,'Inputs'!$B$30+'Inputs'!$B$31+'Inputs'!$B$32)/1000+'Inputs'!$B$21)+'Inputs'!$B$7)/SQRT((((655-43)*MAX('Inputs'!$B$33,'Inputs'!$B$29+'Inputs'!$B$31+'Inputs'!$B$32,'Inputs'!$B$30+'Inputs'!$B$31+'Inputs'!$B$32)/1000+'Inputs'!$B$21)+'Inputs'!$B$7)^2+('Inputs'!$B$6/2)^2)-(((655-43)*MAX('Inputs'!$B$33,'Inputs'!$B$29+'Inputs'!$B$31+'Inputs'!$B$32,'Inputs'!$B$30+'Inputs'!$B$31+'Inputs'!$B$32)/1000+'Inputs'!$B$21))/SQRT((((655-43)*MAX('Inputs'!$B$33,'Inputs'!$B$29+'Inputs'!$B$31+'Inputs'!$B$32,'Inputs'!$B$30+'Inputs'!$B$31+'Inputs'!$B$32)/1000+'Inputs'!$B$21))^2+('Inputs'!$B$6/2)^2)))-'Results'!C7*(0.5*((((655-43)*MAX('Inputs'!$B$33,'Inputs'!$B$29+'Inputs'!$B$31+'Inputs'!$B$32,'Inputs'!$B$30+'Inputs'!$B$31+'Inputs'!$B$32)/1000+'Inputs'!$B$21+'Inputs'!$B$7+'Inputs'!$B$10)+'Inputs'!$B$9)/SQRT((((655-43)*MAX('Inputs'!$B$33,'Inputs'!$B$29+'Inputs'!$B$31+'Inputs'!$B$32,'Inputs'!$B$30+'Inputs'!$B$31+'Inputs'!$B$32)/1000+'Inputs'!$B$21+'Inputs'!$B$7+'Inputs'!$B$10)+'Inputs'!$B$9)^2+('Inputs'!$B$8/2)^2)-(((655-43)*MAX('Inputs'!$B$33,'Inputs'!$B$29+'Inputs'!$B$31+'Inputs'!$B$32,'Inputs'!$B$30+'Inputs'!$B$31+'Inputs'!$B$32)/1000+'Inputs'!$B$21+'Inputs'!$B$7+'Inputs'!$B$10))/SQRT((((655-43)*MAX('Inputs'!$B$33,'Inputs'!$B$29+'Inputs'!$B$31+'Inputs'!$B$32,'Inputs'!$B$30+'Inputs'!$B$31+'Inputs'!$B$32)/1000+'Inputs'!$B$21+'Inputs'!$B$7+'Inputs'!$B$10))^2+('Inputs'!$B$8/2)^2))))*'Results'!$B$8),"")</x:f>
        <x:v>2.076432125046419</x:v>
      </x:c>
      <x:c r="K655" t="n">
        <x:f>IF(AND(ISNUMBER('Results'!B7),ISNUMBER('Results'!C7),ISNUMBER('Results'!$B$8),ISNUMBER('Inputs'!$B$6),ISNUMBER('Inputs'!$B$7),ISNUMBER('Inputs'!$B$8),ISNUMBER('Inputs'!$B$9),ISNUMBER('Inputs'!$B$10),ISNUMBER('Inputs'!$B$21),ISNUMBER('Inputs'!$B$24),ISNUMBER('Inputs'!$B$28)),((('Results'!B7*(1-'Inputs'!$B$24)*(0.5*((((655-43)*MAX('Inputs'!$B$33,'Inputs'!$B$29+'Inputs'!$B$31+'Inputs'!$B$32,'Inputs'!$B$30+'Inputs'!$B$31+'Inputs'!$B$32)/1000+'Inputs'!$B$21)+'Inputs'!$B$7)/SQRT((((655-43)*MAX('Inputs'!$B$33,'Inputs'!$B$29+'Inputs'!$B$31+'Inputs'!$B$32,'Inputs'!$B$30+'Inputs'!$B$31+'Inputs'!$B$32)/1000+'Inputs'!$B$21)+'Inputs'!$B$7)^2+('Inputs'!$B$6/2)^2)-(((655-43)*MAX('Inputs'!$B$33,'Inputs'!$B$29+'Inputs'!$B$31+'Inputs'!$B$32,'Inputs'!$B$30+'Inputs'!$B$31+'Inputs'!$B$32)/1000+'Inputs'!$B$21))/SQRT((((655-43)*MAX('Inputs'!$B$33,'Inputs'!$B$29+'Inputs'!$B$31+'Inputs'!$B$32,'Inputs'!$B$30+'Inputs'!$B$31+'Inputs'!$B$32)/1000+'Inputs'!$B$21))^2+('Inputs'!$B$6/2)^2)))-'Results'!C7*(1+'Inputs'!$B$24)*(0.5*((((655-43)*MAX('Inputs'!$B$33,'Inputs'!$B$29+'Inputs'!$B$31+'Inputs'!$B$32,'Inputs'!$B$30+'Inputs'!$B$31+'Inputs'!$B$32)/1000+'Inputs'!$B$21+'Inputs'!$B$7+'Inputs'!$B$10)+'Inputs'!$B$9)/SQRT((((655-43)*MAX('Inputs'!$B$33,'Inputs'!$B$29+'Inputs'!$B$31+'Inputs'!$B$32,'Inputs'!$B$30+'Inputs'!$B$31+'Inputs'!$B$32)/1000+'Inputs'!$B$21+'Inputs'!$B$7+'Inputs'!$B$10)+'Inputs'!$B$9)^2+('Inputs'!$B$8/2)^2)-(((655-43)*MAX('Inputs'!$B$33,'Inputs'!$B$29+'Inputs'!$B$31+'Inputs'!$B$32,'Inputs'!$B$30+'Inputs'!$B$31+'Inputs'!$B$32)/1000+'Inputs'!$B$21+'Inputs'!$B$7+'Inputs'!$B$10))/SQRT((((655-43)*MAX('Inputs'!$B$33,'Inputs'!$B$29+'Inputs'!$B$31+'Inputs'!$B$32,'Inputs'!$B$30+'Inputs'!$B$31+'Inputs'!$B$32)/1000+'Inputs'!$B$21+'Inputs'!$B$7+'Inputs'!$B$10))^2+('Inputs'!$B$8/2)^2))))*'Results'!$B$8)-'Inputs'!$B$28*ABS((('Results'!B7*(1-'Inputs'!$B$24)*(0.5*((((655-43)*MAX('Inputs'!$B$33,'Inputs'!$B$29+'Inputs'!$B$31+'Inputs'!$B$32,'Inputs'!$B$30+'Inputs'!$B$31+'Inputs'!$B$32)/1000+'Inputs'!$B$21)+'Inputs'!$B$7)/SQRT((((655-43)*MAX('Inputs'!$B$33,'Inputs'!$B$29+'Inputs'!$B$31+'Inputs'!$B$32,'Inputs'!$B$30+'Inputs'!$B$31+'Inputs'!$B$32)/1000+'Inputs'!$B$21)+'Inputs'!$B$7)^2+('Inputs'!$B$6/2)^2)-(((655-43)*MAX('Inputs'!$B$33,'Inputs'!$B$29+'Inputs'!$B$31+'Inputs'!$B$32,'Inputs'!$B$30+'Inputs'!$B$31+'Inputs'!$B$32)/1000+'Inputs'!$B$21))/SQRT((((655-43)*MAX('Inputs'!$B$33,'Inputs'!$B$29+'Inputs'!$B$31+'Inputs'!$B$32,'Inputs'!$B$30+'Inputs'!$B$31+'Inputs'!$B$32)/1000+'Inputs'!$B$21))^2+('Inputs'!$B$6/2)^2)))-'Results'!C7*(1+'Inputs'!$B$24)*(0.5*((((655-43)*MAX('Inputs'!$B$33,'Inputs'!$B$29+'Inputs'!$B$31+'Inputs'!$B$32,'Inputs'!$B$30+'Inputs'!$B$31+'Inputs'!$B$32)/1000+'Inputs'!$B$21+'Inputs'!$B$7+'Inputs'!$B$10)+'Inputs'!$B$9)/SQRT((((655-43)*MAX('Inputs'!$B$33,'Inputs'!$B$29+'Inputs'!$B$31+'Inputs'!$B$32,'Inputs'!$B$30+'Inputs'!$B$31+'Inputs'!$B$32)/1000+'Inputs'!$B$21+'Inputs'!$B$7+'Inputs'!$B$10)+'Inputs'!$B$9)^2+('Inputs'!$B$8/2)^2)-(((655-43)*MAX('Inputs'!$B$33,'Inputs'!$B$29+'Inputs'!$B$31+'Inputs'!$B$32,'Inputs'!$B$30+'Inputs'!$B$31+'Inputs'!$B$32)/1000+'Inputs'!$B$21+'Inputs'!$B$7+'Inputs'!$B$10))/SQRT((((655-43)*MAX('Inputs'!$B$33,'Inputs'!$B$29+'Inputs'!$B$31+'Inputs'!$B$32,'Inputs'!$B$30+'Inputs'!$B$31+'Inputs'!$B$32)/1000+'Inputs'!$B$21+'Inputs'!$B$7+'Inputs'!$B$10))^2+('Inputs'!$B$8/2)^2))))*'Results'!$B$8))),"")</x:f>
        <x:v>1.8158782429219307</x:v>
      </x:c>
      <x:c r="L655" t="n">
        <x:f>IF(AND(ISNUMBER('Results'!B7),ISNUMBER('Results'!C7),ISNUMBER('Results'!$B$8),ISNUMBER('Inputs'!$B$6),ISNUMBER('Inputs'!$B$7),ISNUMBER('Inputs'!$B$8),ISNUMBER('Inputs'!$B$9),ISNUMBER('Inputs'!$B$10),ISNUMBER('Inputs'!$B$21),ISNUMBER('Inputs'!$B$24),ISNUMBER('Inputs'!$B$28)),((('Results'!B7*(1+'Inputs'!$B$24)*(0.5*((((655-43)*MAX('Inputs'!$B$33,'Inputs'!$B$29+'Inputs'!$B$31+'Inputs'!$B$32,'Inputs'!$B$30+'Inputs'!$B$31+'Inputs'!$B$32)/1000+'Inputs'!$B$21)+'Inputs'!$B$7)/SQRT((((655-43)*MAX('Inputs'!$B$33,'Inputs'!$B$29+'Inputs'!$B$31+'Inputs'!$B$32,'Inputs'!$B$30+'Inputs'!$B$31+'Inputs'!$B$32)/1000+'Inputs'!$B$21)+'Inputs'!$B$7)^2+('Inputs'!$B$6/2)^2)-(((655-43)*MAX('Inputs'!$B$33,'Inputs'!$B$29+'Inputs'!$B$31+'Inputs'!$B$32,'Inputs'!$B$30+'Inputs'!$B$31+'Inputs'!$B$32)/1000+'Inputs'!$B$21))/SQRT((((655-43)*MAX('Inputs'!$B$33,'Inputs'!$B$29+'Inputs'!$B$31+'Inputs'!$B$32,'Inputs'!$B$30+'Inputs'!$B$31+'Inputs'!$B$32)/1000+'Inputs'!$B$21))^2+('Inputs'!$B$6/2)^2)))-'Results'!C7*(1-'Inputs'!$B$24)*(0.5*((((655-43)*MAX('Inputs'!$B$33,'Inputs'!$B$29+'Inputs'!$B$31+'Inputs'!$B$32,'Inputs'!$B$30+'Inputs'!$B$31+'Inputs'!$B$32)/1000+'Inputs'!$B$21+'Inputs'!$B$7+'Inputs'!$B$10)+'Inputs'!$B$9)/SQRT((((655-43)*MAX('Inputs'!$B$33,'Inputs'!$B$29+'Inputs'!$B$31+'Inputs'!$B$32,'Inputs'!$B$30+'Inputs'!$B$31+'Inputs'!$B$32)/1000+'Inputs'!$B$21+'Inputs'!$B$7+'Inputs'!$B$10)+'Inputs'!$B$9)^2+('Inputs'!$B$8/2)^2)-(((655-43)*MAX('Inputs'!$B$33,'Inputs'!$B$29+'Inputs'!$B$31+'Inputs'!$B$32,'Inputs'!$B$30+'Inputs'!$B$31+'Inputs'!$B$32)/1000+'Inputs'!$B$21+'Inputs'!$B$7+'Inputs'!$B$10))/SQRT((((655-43)*MAX('Inputs'!$B$33,'Inputs'!$B$29+'Inputs'!$B$31+'Inputs'!$B$32,'Inputs'!$B$30+'Inputs'!$B$31+'Inputs'!$B$32)/1000+'Inputs'!$B$21+'Inputs'!$B$7+'Inputs'!$B$10))^2+('Inputs'!$B$8/2)^2))))*'Results'!$B$8)+'Inputs'!$B$28*ABS((('Results'!B7*(1+'Inputs'!$B$24)*(0.5*((((655-43)*MAX('Inputs'!$B$33,'Inputs'!$B$29+'Inputs'!$B$31+'Inputs'!$B$32,'Inputs'!$B$30+'Inputs'!$B$31+'Inputs'!$B$32)/1000+'Inputs'!$B$21)+'Inputs'!$B$7)/SQRT((((655-43)*MAX('Inputs'!$B$33,'Inputs'!$B$29+'Inputs'!$B$31+'Inputs'!$B$32,'Inputs'!$B$30+'Inputs'!$B$31+'Inputs'!$B$32)/1000+'Inputs'!$B$21)+'Inputs'!$B$7)^2+('Inputs'!$B$6/2)^2)-(((655-43)*MAX('Inputs'!$B$33,'Inputs'!$B$29+'Inputs'!$B$31+'Inputs'!$B$32,'Inputs'!$B$30+'Inputs'!$B$31+'Inputs'!$B$32)/1000+'Inputs'!$B$21))/SQRT((((655-43)*MAX('Inputs'!$B$33,'Inputs'!$B$29+'Inputs'!$B$31+'Inputs'!$B$32,'Inputs'!$B$30+'Inputs'!$B$31+'Inputs'!$B$32)/1000+'Inputs'!$B$21))^2+('Inputs'!$B$6/2)^2)))-'Results'!C7*(1-'Inputs'!$B$24)*(0.5*((((655-43)*MAX('Inputs'!$B$33,'Inputs'!$B$29+'Inputs'!$B$31+'Inputs'!$B$32,'Inputs'!$B$30+'Inputs'!$B$31+'Inputs'!$B$32)/1000+'Inputs'!$B$21+'Inputs'!$B$7+'Inputs'!$B$10)+'Inputs'!$B$9)/SQRT((((655-43)*MAX('Inputs'!$B$33,'Inputs'!$B$29+'Inputs'!$B$31+'Inputs'!$B$32,'Inputs'!$B$30+'Inputs'!$B$31+'Inputs'!$B$32)/1000+'Inputs'!$B$21+'Inputs'!$B$7+'Inputs'!$B$10)+'Inputs'!$B$9)^2+('Inputs'!$B$8/2)^2)-(((655-43)*MAX('Inputs'!$B$33,'Inputs'!$B$29+'Inputs'!$B$31+'Inputs'!$B$32,'Inputs'!$B$30+'Inputs'!$B$31+'Inputs'!$B$32)/1000+'Inputs'!$B$21+'Inputs'!$B$7+'Inputs'!$B$10))/SQRT((((655-43)*MAX('Inputs'!$B$33,'Inputs'!$B$29+'Inputs'!$B$31+'Inputs'!$B$32,'Inputs'!$B$30+'Inputs'!$B$31+'Inputs'!$B$32)/1000+'Inputs'!$B$21+'Inputs'!$B$7+'Inputs'!$B$10))^2+('Inputs'!$B$8/2)^2))))*'Results'!$B$8))),"")</x:f>
        <x:v>2.35348414147324</x:v>
      </x:c>
      <x:c r="M655" t="n">
        <x:f>IF(AND(ISNUMBER('Results'!C7),ISNUMBER('Results'!B7),ISNUMBER('Results'!$B$8),ISNUMBER('Inputs'!$B$6),ISNUMBER('Inputs'!$B$7),ISNUMBER('Inputs'!$B$8),ISNUMBER('Inputs'!$B$9),ISNUMBER('Inputs'!$B$10),ISNUMBER('Inputs'!$B$21),ISNUMBER('Inputs'!$B$24),ISNUMBER('Inputs'!$B$28)),(('Results'!C7*(0.5*((((655-43)*MAX('Inputs'!$B$33,'Inputs'!$B$29+'Inputs'!$B$31+'Inputs'!$B$32,'Inputs'!$B$30+'Inputs'!$B$31+'Inputs'!$B$32)/1000+'Inputs'!$B$21)+'Inputs'!$B$9)/SQRT((((655-43)*MAX('Inputs'!$B$33,'Inputs'!$B$29+'Inputs'!$B$31+'Inputs'!$B$32,'Inputs'!$B$30+'Inputs'!$B$31+'Inputs'!$B$32)/1000+'Inputs'!$B$21)+'Inputs'!$B$9)^2+('Inputs'!$B$8/2)^2)-(((655-43)*MAX('Inputs'!$B$33,'Inputs'!$B$29+'Inputs'!$B$31+'Inputs'!$B$32,'Inputs'!$B$30+'Inputs'!$B$31+'Inputs'!$B$32)/1000+'Inputs'!$B$21))/SQRT((((655-43)*MAX('Inputs'!$B$33,'Inputs'!$B$29+'Inputs'!$B$31+'Inputs'!$B$32,'Inputs'!$B$30+'Inputs'!$B$31+'Inputs'!$B$32)/1000+'Inputs'!$B$21))^2+('Inputs'!$B$8/2)^2)))-'Results'!B7*(0.5*((((655-43)*MAX('Inputs'!$B$33,'Inputs'!$B$29+'Inputs'!$B$31+'Inputs'!$B$32,'Inputs'!$B$30+'Inputs'!$B$31+'Inputs'!$B$32)/1000+'Inputs'!$B$21+'Inputs'!$B$9+'Inputs'!$B$10)+'Inputs'!$B$7)/SQRT((((655-43)*MAX('Inputs'!$B$33,'Inputs'!$B$29+'Inputs'!$B$31+'Inputs'!$B$32,'Inputs'!$B$30+'Inputs'!$B$31+'Inputs'!$B$32)/1000+'Inputs'!$B$21+'Inputs'!$B$9+'Inputs'!$B$10)+'Inputs'!$B$7)^2+('Inputs'!$B$6/2)^2)-(((655-43)*MAX('Inputs'!$B$33,'Inputs'!$B$29+'Inputs'!$B$31+'Inputs'!$B$32,'Inputs'!$B$30+'Inputs'!$B$31+'Inputs'!$B$32)/1000+'Inputs'!$B$21+'Inputs'!$B$9+'Inputs'!$B$10))/SQRT((((655-43)*MAX('Inputs'!$B$33,'Inputs'!$B$29+'Inputs'!$B$31+'Inputs'!$B$32,'Inputs'!$B$30+'Inputs'!$B$31+'Inputs'!$B$32)/1000+'Inputs'!$B$21+'Inputs'!$B$9+'Inputs'!$B$10))^2+('Inputs'!$B$6/2)^2))))*'Results'!$B$8),"")</x:f>
        <x:v>1.9101910605891832</x:v>
      </x:c>
      <x:c r="N655" t="n">
        <x:f>IF(AND(ISNUMBER('Results'!C7),ISNUMBER('Results'!B7),ISNUMBER('Results'!$B$8),ISNUMBER('Inputs'!$B$6),ISNUMBER('Inputs'!$B$7),ISNUMBER('Inputs'!$B$8),ISNUMBER('Inputs'!$B$9),ISNUMBER('Inputs'!$B$10),ISNUMBER('Inputs'!$B$21),ISNUMBER('Inputs'!$B$24),ISNUMBER('Inputs'!$B$28)),((('Results'!C7*(1-'Inputs'!$B$24)*(0.5*((((655-43)*MAX('Inputs'!$B$33,'Inputs'!$B$29+'Inputs'!$B$31+'Inputs'!$B$32,'Inputs'!$B$30+'Inputs'!$B$31+'Inputs'!$B$32)/1000+'Inputs'!$B$21)+'Inputs'!$B$9)/SQRT((((655-43)*MAX('Inputs'!$B$33,'Inputs'!$B$29+'Inputs'!$B$31+'Inputs'!$B$32,'Inputs'!$B$30+'Inputs'!$B$31+'Inputs'!$B$32)/1000+'Inputs'!$B$21)+'Inputs'!$B$9)^2+('Inputs'!$B$8/2)^2)-(((655-43)*MAX('Inputs'!$B$33,'Inputs'!$B$29+'Inputs'!$B$31+'Inputs'!$B$32,'Inputs'!$B$30+'Inputs'!$B$31+'Inputs'!$B$32)/1000+'Inputs'!$B$21))/SQRT((((655-43)*MAX('Inputs'!$B$33,'Inputs'!$B$29+'Inputs'!$B$31+'Inputs'!$B$32,'Inputs'!$B$30+'Inputs'!$B$31+'Inputs'!$B$32)/1000+'Inputs'!$B$21))^2+('Inputs'!$B$8/2)^2)))-'Results'!B7*(1+'Inputs'!$B$24)*(0.5*((((655-43)*MAX('Inputs'!$B$33,'Inputs'!$B$29+'Inputs'!$B$31+'Inputs'!$B$32,'Inputs'!$B$30+'Inputs'!$B$31+'Inputs'!$B$32)/1000+'Inputs'!$B$21+'Inputs'!$B$9+'Inputs'!$B$10)+'Inputs'!$B$7)/SQRT((((655-43)*MAX('Inputs'!$B$33,'Inputs'!$B$29+'Inputs'!$B$31+'Inputs'!$B$32,'Inputs'!$B$30+'Inputs'!$B$31+'Inputs'!$B$32)/1000+'Inputs'!$B$21+'Inputs'!$B$9+'Inputs'!$B$10)+'Inputs'!$B$7)^2+('Inputs'!$B$6/2)^2)-(((655-43)*MAX('Inputs'!$B$33,'Inputs'!$B$29+'Inputs'!$B$31+'Inputs'!$B$32,'Inputs'!$B$30+'Inputs'!$B$31+'Inputs'!$B$32)/1000+'Inputs'!$B$21+'Inputs'!$B$9+'Inputs'!$B$10))/SQRT((((655-43)*MAX('Inputs'!$B$33,'Inputs'!$B$29+'Inputs'!$B$31+'Inputs'!$B$32,'Inputs'!$B$30+'Inputs'!$B$31+'Inputs'!$B$32)/1000+'Inputs'!$B$21+'Inputs'!$B$9+'Inputs'!$B$10))^2+('Inputs'!$B$6/2)^2))))*'Results'!$B$8)-'Inputs'!$B$28*ABS((('Results'!C7*(1-'Inputs'!$B$24)*(0.5*((((655-43)*MAX('Inputs'!$B$33,'Inputs'!$B$29+'Inputs'!$B$31+'Inputs'!$B$32,'Inputs'!$B$30+'Inputs'!$B$31+'Inputs'!$B$32)/1000+'Inputs'!$B$21)+'Inputs'!$B$9)/SQRT((((655-43)*MAX('Inputs'!$B$33,'Inputs'!$B$29+'Inputs'!$B$31+'Inputs'!$B$32,'Inputs'!$B$30+'Inputs'!$B$31+'Inputs'!$B$32)/1000+'Inputs'!$B$21)+'Inputs'!$B$9)^2+('Inputs'!$B$8/2)^2)-(((655-43)*MAX('Inputs'!$B$33,'Inputs'!$B$29+'Inputs'!$B$31+'Inputs'!$B$32,'Inputs'!$B$30+'Inputs'!$B$31+'Inputs'!$B$32)/1000+'Inputs'!$B$21))/SQRT((((655-43)*MAX('Inputs'!$B$33,'Inputs'!$B$29+'Inputs'!$B$31+'Inputs'!$B$32,'Inputs'!$B$30+'Inputs'!$B$31+'Inputs'!$B$32)/1000+'Inputs'!$B$21))^2+('Inputs'!$B$8/2)^2)))-'Results'!B7*(1+'Inputs'!$B$24)*(0.5*((((655-43)*MAX('Inputs'!$B$33,'Inputs'!$B$29+'Inputs'!$B$31+'Inputs'!$B$32,'Inputs'!$B$30+'Inputs'!$B$31+'Inputs'!$B$32)/1000+'Inputs'!$B$21+'Inputs'!$B$9+'Inputs'!$B$10)+'Inputs'!$B$7)/SQRT((((655-43)*MAX('Inputs'!$B$33,'Inputs'!$B$29+'Inputs'!$B$31+'Inputs'!$B$32,'Inputs'!$B$30+'Inputs'!$B$31+'Inputs'!$B$32)/1000+'Inputs'!$B$21+'Inputs'!$B$9+'Inputs'!$B$10)+'Inputs'!$B$7)^2+('Inputs'!$B$6/2)^2)-(((655-43)*MAX('Inputs'!$B$33,'Inputs'!$B$29+'Inputs'!$B$31+'Inputs'!$B$32,'Inputs'!$B$30+'Inputs'!$B$31+'Inputs'!$B$32)/1000+'Inputs'!$B$21+'Inputs'!$B$9+'Inputs'!$B$10))/SQRT((((655-43)*MAX('Inputs'!$B$33,'Inputs'!$B$29+'Inputs'!$B$31+'Inputs'!$B$32,'Inputs'!$B$30+'Inputs'!$B$31+'Inputs'!$B$32)/1000+'Inputs'!$B$21+'Inputs'!$B$9+'Inputs'!$B$10))^2+('Inputs'!$B$6/2)^2))))*'Results'!$B$8))),"")</x:f>
        <x:v>1.6587143411878307</x:v>
      </x:c>
      <x:c r="O655" t="n">
        <x:f>IF(AND(ISNUMBER('Results'!C7),ISNUMBER('Results'!B7),ISNUMBER('Results'!$B$8),ISNUMBER('Inputs'!$B$6),ISNUMBER('Inputs'!$B$7),ISNUMBER('Inputs'!$B$8),ISNUMBER('Inputs'!$B$9),ISNUMBER('Inputs'!$B$10),ISNUMBER('Inputs'!$B$21),ISNUMBER('Inputs'!$B$24),ISNUMBER('Inputs'!$B$28)),((('Results'!C7*(1+'Inputs'!$B$24)*(0.5*((((655-43)*MAX('Inputs'!$B$33,'Inputs'!$B$29+'Inputs'!$B$31+'Inputs'!$B$32,'Inputs'!$B$30+'Inputs'!$B$31+'Inputs'!$B$32)/1000+'Inputs'!$B$21)+'Inputs'!$B$9)/SQRT((((655-43)*MAX('Inputs'!$B$33,'Inputs'!$B$29+'Inputs'!$B$31+'Inputs'!$B$32,'Inputs'!$B$30+'Inputs'!$B$31+'Inputs'!$B$32)/1000+'Inputs'!$B$21)+'Inputs'!$B$9)^2+('Inputs'!$B$8/2)^2)-(((655-43)*MAX('Inputs'!$B$33,'Inputs'!$B$29+'Inputs'!$B$31+'Inputs'!$B$32,'Inputs'!$B$30+'Inputs'!$B$31+'Inputs'!$B$32)/1000+'Inputs'!$B$21))/SQRT((((655-43)*MAX('Inputs'!$B$33,'Inputs'!$B$29+'Inputs'!$B$31+'Inputs'!$B$32,'Inputs'!$B$30+'Inputs'!$B$31+'Inputs'!$B$32)/1000+'Inputs'!$B$21))^2+('Inputs'!$B$8/2)^2)))-'Results'!B7*(1-'Inputs'!$B$24)*(0.5*((((655-43)*MAX('Inputs'!$B$33,'Inputs'!$B$29+'Inputs'!$B$31+'Inputs'!$B$32,'Inputs'!$B$30+'Inputs'!$B$31+'Inputs'!$B$32)/1000+'Inputs'!$B$21+'Inputs'!$B$9+'Inputs'!$B$10)+'Inputs'!$B$7)/SQRT((((655-43)*MAX('Inputs'!$B$33,'Inputs'!$B$29+'Inputs'!$B$31+'Inputs'!$B$32,'Inputs'!$B$30+'Inputs'!$B$31+'Inputs'!$B$32)/1000+'Inputs'!$B$21+'Inputs'!$B$9+'Inputs'!$B$10)+'Inputs'!$B$7)^2+('Inputs'!$B$6/2)^2)-(((655-43)*MAX('Inputs'!$B$33,'Inputs'!$B$29+'Inputs'!$B$31+'Inputs'!$B$32,'Inputs'!$B$30+'Inputs'!$B$31+'Inputs'!$B$32)/1000+'Inputs'!$B$21+'Inputs'!$B$9+'Inputs'!$B$10))/SQRT((((655-43)*MAX('Inputs'!$B$33,'Inputs'!$B$29+'Inputs'!$B$31+'Inputs'!$B$32,'Inputs'!$B$30+'Inputs'!$B$31+'Inputs'!$B$32)/1000+'Inputs'!$B$21+'Inputs'!$B$9+'Inputs'!$B$10))^2+('Inputs'!$B$6/2)^2))))*'Results'!$B$8)+'Inputs'!$B$28*ABS((('Results'!C7*(1+'Inputs'!$B$24)*(0.5*((((655-43)*MAX('Inputs'!$B$33,'Inputs'!$B$29+'Inputs'!$B$31+'Inputs'!$B$32,'Inputs'!$B$30+'Inputs'!$B$31+'Inputs'!$B$32)/1000+'Inputs'!$B$21)+'Inputs'!$B$9)/SQRT((((655-43)*MAX('Inputs'!$B$33,'Inputs'!$B$29+'Inputs'!$B$31+'Inputs'!$B$32,'Inputs'!$B$30+'Inputs'!$B$31+'Inputs'!$B$32)/1000+'Inputs'!$B$21)+'Inputs'!$B$9)^2+('Inputs'!$B$8/2)^2)-(((655-43)*MAX('Inputs'!$B$33,'Inputs'!$B$29+'Inputs'!$B$31+'Inputs'!$B$32,'Inputs'!$B$30+'Inputs'!$B$31+'Inputs'!$B$32)/1000+'Inputs'!$B$21))/SQRT((((655-43)*MAX('Inputs'!$B$33,'Inputs'!$B$29+'Inputs'!$B$31+'Inputs'!$B$32,'Inputs'!$B$30+'Inputs'!$B$31+'Inputs'!$B$32)/1000+'Inputs'!$B$21))^2+('Inputs'!$B$8/2)^2)))-'Results'!B7*(1-'Inputs'!$B$24)*(0.5*((((655-43)*MAX('Inputs'!$B$33,'Inputs'!$B$29+'Inputs'!$B$31+'Inputs'!$B$32,'Inputs'!$B$30+'Inputs'!$B$31+'Inputs'!$B$32)/1000+'Inputs'!$B$21+'Inputs'!$B$9+'Inputs'!$B$10)+'Inputs'!$B$7)/SQRT((((655-43)*MAX('Inputs'!$B$33,'Inputs'!$B$29+'Inputs'!$B$31+'Inputs'!$B$32,'Inputs'!$B$30+'Inputs'!$B$31+'Inputs'!$B$32)/1000+'Inputs'!$B$21+'Inputs'!$B$9+'Inputs'!$B$10)+'Inputs'!$B$7)^2+('Inputs'!$B$6/2)^2)-(((655-43)*MAX('Inputs'!$B$33,'Inputs'!$B$29+'Inputs'!$B$31+'Inputs'!$B$32,'Inputs'!$B$30+'Inputs'!$B$31+'Inputs'!$B$32)/1000+'Inputs'!$B$21+'Inputs'!$B$9+'Inputs'!$B$10))/SQRT((((655-43)*MAX('Inputs'!$B$33,'Inputs'!$B$29+'Inputs'!$B$31+'Inputs'!$B$32,'Inputs'!$B$30+'Inputs'!$B$31+'Inputs'!$B$32)/1000+'Inputs'!$B$21+'Inputs'!$B$9+'Inputs'!$B$10))^2+('Inputs'!$B$6/2)^2))))*'Results'!$B$8))),"")</x:f>
        <x:v>2.1780853764507353</x:v>
      </x:c>
      <x:c r="P655" t="n">
        <x:f>IF(AND(MAX(J655,J654)&gt;0,J655&gt;J654+0.00000001),1,0)</x:f>
        <x:v>0</x:v>
      </x:c>
      <x:c r="Q655" t="n">
        <x:f>IF(AND(MAX(K655,K654)&gt;0,K655&gt;K654+0.00000001),1,0)</x:f>
        <x:v>0</x:v>
      </x:c>
      <x:c r="R655" t="n">
        <x:f>IF(AND(MAX(L655,L654)&gt;0,L655&gt;L654+0.00000001),1,0)</x:f>
        <x:v>0</x:v>
      </x:c>
      <x:c r="S655" t="n">
        <x:f>IF(AND(MAX(M655,M654)&gt;0,M655&gt;M654+0.00000001),1,0)</x:f>
        <x:v>0</x:v>
      </x:c>
      <x:c r="T655" t="n">
        <x:f>IF(AND(MAX(N655,N654)&gt;0,N655&gt;N654+0.00000001),1,0)</x:f>
        <x:v>0</x:v>
      </x:c>
      <x:c r="U655" t="n">
        <x:f>IF(AND(MAX(O655,O654)&gt;0,O655&gt;O654+0.00000001),1,0)</x:f>
        <x:v>0</x:v>
      </x:c>
    </x:row>
    <x:row r="656">
      <x:c r="J656" t="n">
        <x:f>IF(AND(ISNUMBER('Results'!B7),ISNUMBER('Results'!C7),ISNUMBER('Results'!$B$8),ISNUMBER('Inputs'!$B$6),ISNUMBER('Inputs'!$B$7),ISNUMBER('Inputs'!$B$8),ISNUMBER('Inputs'!$B$9),ISNUMBER('Inputs'!$B$10),ISNUMBER('Inputs'!$B$21),ISNUMBER('Inputs'!$B$24),ISNUMBER('Inputs'!$B$28)),(('Results'!B7*(0.5*((((656-43)*MAX('Inputs'!$B$33,'Inputs'!$B$29+'Inputs'!$B$31+'Inputs'!$B$32,'Inputs'!$B$30+'Inputs'!$B$31+'Inputs'!$B$32)/1000+'Inputs'!$B$21)+'Inputs'!$B$7)/SQRT((((656-43)*MAX('Inputs'!$B$33,'Inputs'!$B$29+'Inputs'!$B$31+'Inputs'!$B$32,'Inputs'!$B$30+'Inputs'!$B$31+'Inputs'!$B$32)/1000+'Inputs'!$B$21)+'Inputs'!$B$7)^2+('Inputs'!$B$6/2)^2)-(((656-43)*MAX('Inputs'!$B$33,'Inputs'!$B$29+'Inputs'!$B$31+'Inputs'!$B$32,'Inputs'!$B$30+'Inputs'!$B$31+'Inputs'!$B$32)/1000+'Inputs'!$B$21))/SQRT((((656-43)*MAX('Inputs'!$B$33,'Inputs'!$B$29+'Inputs'!$B$31+'Inputs'!$B$32,'Inputs'!$B$30+'Inputs'!$B$31+'Inputs'!$B$32)/1000+'Inputs'!$B$21))^2+('Inputs'!$B$6/2)^2)))-'Results'!C7*(0.5*((((656-43)*MAX('Inputs'!$B$33,'Inputs'!$B$29+'Inputs'!$B$31+'Inputs'!$B$32,'Inputs'!$B$30+'Inputs'!$B$31+'Inputs'!$B$32)/1000+'Inputs'!$B$21+'Inputs'!$B$7+'Inputs'!$B$10)+'Inputs'!$B$9)/SQRT((((656-43)*MAX('Inputs'!$B$33,'Inputs'!$B$29+'Inputs'!$B$31+'Inputs'!$B$32,'Inputs'!$B$30+'Inputs'!$B$31+'Inputs'!$B$32)/1000+'Inputs'!$B$21+'Inputs'!$B$7+'Inputs'!$B$10)+'Inputs'!$B$9)^2+('Inputs'!$B$8/2)^2)-(((656-43)*MAX('Inputs'!$B$33,'Inputs'!$B$29+'Inputs'!$B$31+'Inputs'!$B$32,'Inputs'!$B$30+'Inputs'!$B$31+'Inputs'!$B$32)/1000+'Inputs'!$B$21+'Inputs'!$B$7+'Inputs'!$B$10))/SQRT((((656-43)*MAX('Inputs'!$B$33,'Inputs'!$B$29+'Inputs'!$B$31+'Inputs'!$B$32,'Inputs'!$B$30+'Inputs'!$B$31+'Inputs'!$B$32)/1000+'Inputs'!$B$21+'Inputs'!$B$7+'Inputs'!$B$10))^2+('Inputs'!$B$8/2)^2))))*'Results'!$B$8),"")</x:f>
        <x:v>2.0645877497082434</x:v>
      </x:c>
      <x:c r="K656" t="n">
        <x:f>IF(AND(ISNUMBER('Results'!B7),ISNUMBER('Results'!C7),ISNUMBER('Results'!$B$8),ISNUMBER('Inputs'!$B$6),ISNUMBER('Inputs'!$B$7),ISNUMBER('Inputs'!$B$8),ISNUMBER('Inputs'!$B$9),ISNUMBER('Inputs'!$B$10),ISNUMBER('Inputs'!$B$21),ISNUMBER('Inputs'!$B$24),ISNUMBER('Inputs'!$B$28)),((('Results'!B7*(1-'Inputs'!$B$24)*(0.5*((((656-43)*MAX('Inputs'!$B$33,'Inputs'!$B$29+'Inputs'!$B$31+'Inputs'!$B$32,'Inputs'!$B$30+'Inputs'!$B$31+'Inputs'!$B$32)/1000+'Inputs'!$B$21)+'Inputs'!$B$7)/SQRT((((656-43)*MAX('Inputs'!$B$33,'Inputs'!$B$29+'Inputs'!$B$31+'Inputs'!$B$32,'Inputs'!$B$30+'Inputs'!$B$31+'Inputs'!$B$32)/1000+'Inputs'!$B$21)+'Inputs'!$B$7)^2+('Inputs'!$B$6/2)^2)-(((656-43)*MAX('Inputs'!$B$33,'Inputs'!$B$29+'Inputs'!$B$31+'Inputs'!$B$32,'Inputs'!$B$30+'Inputs'!$B$31+'Inputs'!$B$32)/1000+'Inputs'!$B$21))/SQRT((((656-43)*MAX('Inputs'!$B$33,'Inputs'!$B$29+'Inputs'!$B$31+'Inputs'!$B$32,'Inputs'!$B$30+'Inputs'!$B$31+'Inputs'!$B$32)/1000+'Inputs'!$B$21))^2+('Inputs'!$B$6/2)^2)))-'Results'!C7*(1+'Inputs'!$B$24)*(0.5*((((656-43)*MAX('Inputs'!$B$33,'Inputs'!$B$29+'Inputs'!$B$31+'Inputs'!$B$32,'Inputs'!$B$30+'Inputs'!$B$31+'Inputs'!$B$32)/1000+'Inputs'!$B$21+'Inputs'!$B$7+'Inputs'!$B$10)+'Inputs'!$B$9)/SQRT((((656-43)*MAX('Inputs'!$B$33,'Inputs'!$B$29+'Inputs'!$B$31+'Inputs'!$B$32,'Inputs'!$B$30+'Inputs'!$B$31+'Inputs'!$B$32)/1000+'Inputs'!$B$21+'Inputs'!$B$7+'Inputs'!$B$10)+'Inputs'!$B$9)^2+('Inputs'!$B$8/2)^2)-(((656-43)*MAX('Inputs'!$B$33,'Inputs'!$B$29+'Inputs'!$B$31+'Inputs'!$B$32,'Inputs'!$B$30+'Inputs'!$B$31+'Inputs'!$B$32)/1000+'Inputs'!$B$21+'Inputs'!$B$7+'Inputs'!$B$10))/SQRT((((656-43)*MAX('Inputs'!$B$33,'Inputs'!$B$29+'Inputs'!$B$31+'Inputs'!$B$32,'Inputs'!$B$30+'Inputs'!$B$31+'Inputs'!$B$32)/1000+'Inputs'!$B$21+'Inputs'!$B$7+'Inputs'!$B$10))^2+('Inputs'!$B$8/2)^2))))*'Results'!$B$8)-'Inputs'!$B$28*ABS((('Results'!B7*(1-'Inputs'!$B$24)*(0.5*((((656-43)*MAX('Inputs'!$B$33,'Inputs'!$B$29+'Inputs'!$B$31+'Inputs'!$B$32,'Inputs'!$B$30+'Inputs'!$B$31+'Inputs'!$B$32)/1000+'Inputs'!$B$21)+'Inputs'!$B$7)/SQRT((((656-43)*MAX('Inputs'!$B$33,'Inputs'!$B$29+'Inputs'!$B$31+'Inputs'!$B$32,'Inputs'!$B$30+'Inputs'!$B$31+'Inputs'!$B$32)/1000+'Inputs'!$B$21)+'Inputs'!$B$7)^2+('Inputs'!$B$6/2)^2)-(((656-43)*MAX('Inputs'!$B$33,'Inputs'!$B$29+'Inputs'!$B$31+'Inputs'!$B$32,'Inputs'!$B$30+'Inputs'!$B$31+'Inputs'!$B$32)/1000+'Inputs'!$B$21))/SQRT((((656-43)*MAX('Inputs'!$B$33,'Inputs'!$B$29+'Inputs'!$B$31+'Inputs'!$B$32,'Inputs'!$B$30+'Inputs'!$B$31+'Inputs'!$B$32)/1000+'Inputs'!$B$21))^2+('Inputs'!$B$6/2)^2)))-'Results'!C7*(1+'Inputs'!$B$24)*(0.5*((((656-43)*MAX('Inputs'!$B$33,'Inputs'!$B$29+'Inputs'!$B$31+'Inputs'!$B$32,'Inputs'!$B$30+'Inputs'!$B$31+'Inputs'!$B$32)/1000+'Inputs'!$B$21+'Inputs'!$B$7+'Inputs'!$B$10)+'Inputs'!$B$9)/SQRT((((656-43)*MAX('Inputs'!$B$33,'Inputs'!$B$29+'Inputs'!$B$31+'Inputs'!$B$32,'Inputs'!$B$30+'Inputs'!$B$31+'Inputs'!$B$32)/1000+'Inputs'!$B$21+'Inputs'!$B$7+'Inputs'!$B$10)+'Inputs'!$B$9)^2+('Inputs'!$B$8/2)^2)-(((656-43)*MAX('Inputs'!$B$33,'Inputs'!$B$29+'Inputs'!$B$31+'Inputs'!$B$32,'Inputs'!$B$30+'Inputs'!$B$31+'Inputs'!$B$32)/1000+'Inputs'!$B$21+'Inputs'!$B$7+'Inputs'!$B$10))/SQRT((((656-43)*MAX('Inputs'!$B$33,'Inputs'!$B$29+'Inputs'!$B$31+'Inputs'!$B$32,'Inputs'!$B$30+'Inputs'!$B$31+'Inputs'!$B$32)/1000+'Inputs'!$B$21+'Inputs'!$B$7+'Inputs'!$B$10))^2+('Inputs'!$B$8/2)^2))))*'Results'!$B$8))),"")</x:f>
        <x:v>1.8053163524140312</x:v>
      </x:c>
      <x:c r="L656" t="n">
        <x:f>IF(AND(ISNUMBER('Results'!B7),ISNUMBER('Results'!C7),ISNUMBER('Results'!$B$8),ISNUMBER('Inputs'!$B$6),ISNUMBER('Inputs'!$B$7),ISNUMBER('Inputs'!$B$8),ISNUMBER('Inputs'!$B$9),ISNUMBER('Inputs'!$B$10),ISNUMBER('Inputs'!$B$21),ISNUMBER('Inputs'!$B$24),ISNUMBER('Inputs'!$B$28)),((('Results'!B7*(1+'Inputs'!$B$24)*(0.5*((((656-43)*MAX('Inputs'!$B$33,'Inputs'!$B$29+'Inputs'!$B$31+'Inputs'!$B$32,'Inputs'!$B$30+'Inputs'!$B$31+'Inputs'!$B$32)/1000+'Inputs'!$B$21)+'Inputs'!$B$7)/SQRT((((656-43)*MAX('Inputs'!$B$33,'Inputs'!$B$29+'Inputs'!$B$31+'Inputs'!$B$32,'Inputs'!$B$30+'Inputs'!$B$31+'Inputs'!$B$32)/1000+'Inputs'!$B$21)+'Inputs'!$B$7)^2+('Inputs'!$B$6/2)^2)-(((656-43)*MAX('Inputs'!$B$33,'Inputs'!$B$29+'Inputs'!$B$31+'Inputs'!$B$32,'Inputs'!$B$30+'Inputs'!$B$31+'Inputs'!$B$32)/1000+'Inputs'!$B$21))/SQRT((((656-43)*MAX('Inputs'!$B$33,'Inputs'!$B$29+'Inputs'!$B$31+'Inputs'!$B$32,'Inputs'!$B$30+'Inputs'!$B$31+'Inputs'!$B$32)/1000+'Inputs'!$B$21))^2+('Inputs'!$B$6/2)^2)))-'Results'!C7*(1-'Inputs'!$B$24)*(0.5*((((656-43)*MAX('Inputs'!$B$33,'Inputs'!$B$29+'Inputs'!$B$31+'Inputs'!$B$32,'Inputs'!$B$30+'Inputs'!$B$31+'Inputs'!$B$32)/1000+'Inputs'!$B$21+'Inputs'!$B$7+'Inputs'!$B$10)+'Inputs'!$B$9)/SQRT((((656-43)*MAX('Inputs'!$B$33,'Inputs'!$B$29+'Inputs'!$B$31+'Inputs'!$B$32,'Inputs'!$B$30+'Inputs'!$B$31+'Inputs'!$B$32)/1000+'Inputs'!$B$21+'Inputs'!$B$7+'Inputs'!$B$10)+'Inputs'!$B$9)^2+('Inputs'!$B$8/2)^2)-(((656-43)*MAX('Inputs'!$B$33,'Inputs'!$B$29+'Inputs'!$B$31+'Inputs'!$B$32,'Inputs'!$B$30+'Inputs'!$B$31+'Inputs'!$B$32)/1000+'Inputs'!$B$21+'Inputs'!$B$7+'Inputs'!$B$10))/SQRT((((656-43)*MAX('Inputs'!$B$33,'Inputs'!$B$29+'Inputs'!$B$31+'Inputs'!$B$32,'Inputs'!$B$30+'Inputs'!$B$31+'Inputs'!$B$32)/1000+'Inputs'!$B$21+'Inputs'!$B$7+'Inputs'!$B$10))^2+('Inputs'!$B$8/2)^2))))*'Results'!$B$8)+'Inputs'!$B$28*ABS((('Results'!B7*(1+'Inputs'!$B$24)*(0.5*((((656-43)*MAX('Inputs'!$B$33,'Inputs'!$B$29+'Inputs'!$B$31+'Inputs'!$B$32,'Inputs'!$B$30+'Inputs'!$B$31+'Inputs'!$B$32)/1000+'Inputs'!$B$21)+'Inputs'!$B$7)/SQRT((((656-43)*MAX('Inputs'!$B$33,'Inputs'!$B$29+'Inputs'!$B$31+'Inputs'!$B$32,'Inputs'!$B$30+'Inputs'!$B$31+'Inputs'!$B$32)/1000+'Inputs'!$B$21)+'Inputs'!$B$7)^2+('Inputs'!$B$6/2)^2)-(((656-43)*MAX('Inputs'!$B$33,'Inputs'!$B$29+'Inputs'!$B$31+'Inputs'!$B$32,'Inputs'!$B$30+'Inputs'!$B$31+'Inputs'!$B$32)/1000+'Inputs'!$B$21))/SQRT((((656-43)*MAX('Inputs'!$B$33,'Inputs'!$B$29+'Inputs'!$B$31+'Inputs'!$B$32,'Inputs'!$B$30+'Inputs'!$B$31+'Inputs'!$B$32)/1000+'Inputs'!$B$21))^2+('Inputs'!$B$6/2)^2)))-'Results'!C7*(1-'Inputs'!$B$24)*(0.5*((((656-43)*MAX('Inputs'!$B$33,'Inputs'!$B$29+'Inputs'!$B$31+'Inputs'!$B$32,'Inputs'!$B$30+'Inputs'!$B$31+'Inputs'!$B$32)/1000+'Inputs'!$B$21+'Inputs'!$B$7+'Inputs'!$B$10)+'Inputs'!$B$9)/SQRT((((656-43)*MAX('Inputs'!$B$33,'Inputs'!$B$29+'Inputs'!$B$31+'Inputs'!$B$32,'Inputs'!$B$30+'Inputs'!$B$31+'Inputs'!$B$32)/1000+'Inputs'!$B$21+'Inputs'!$B$7+'Inputs'!$B$10)+'Inputs'!$B$9)^2+('Inputs'!$B$8/2)^2)-(((656-43)*MAX('Inputs'!$B$33,'Inputs'!$B$29+'Inputs'!$B$31+'Inputs'!$B$32,'Inputs'!$B$30+'Inputs'!$B$31+'Inputs'!$B$32)/1000+'Inputs'!$B$21+'Inputs'!$B$7+'Inputs'!$B$10))/SQRT((((656-43)*MAX('Inputs'!$B$33,'Inputs'!$B$29+'Inputs'!$B$31+'Inputs'!$B$32,'Inputs'!$B$30+'Inputs'!$B$31+'Inputs'!$B$32)/1000+'Inputs'!$B$21+'Inputs'!$B$7+'Inputs'!$B$10))^2+('Inputs'!$B$8/2)^2))))*'Results'!$B$8))),"")</x:f>
        <x:v>2.3402846217191726</x:v>
      </x:c>
      <x:c r="M656" t="n">
        <x:f>IF(AND(ISNUMBER('Results'!C7),ISNUMBER('Results'!B7),ISNUMBER('Results'!$B$8),ISNUMBER('Inputs'!$B$6),ISNUMBER('Inputs'!$B$7),ISNUMBER('Inputs'!$B$8),ISNUMBER('Inputs'!$B$9),ISNUMBER('Inputs'!$B$10),ISNUMBER('Inputs'!$B$21),ISNUMBER('Inputs'!$B$24),ISNUMBER('Inputs'!$B$28)),(('Results'!C7*(0.5*((((656-43)*MAX('Inputs'!$B$33,'Inputs'!$B$29+'Inputs'!$B$31+'Inputs'!$B$32,'Inputs'!$B$30+'Inputs'!$B$31+'Inputs'!$B$32)/1000+'Inputs'!$B$21)+'Inputs'!$B$9)/SQRT((((656-43)*MAX('Inputs'!$B$33,'Inputs'!$B$29+'Inputs'!$B$31+'Inputs'!$B$32,'Inputs'!$B$30+'Inputs'!$B$31+'Inputs'!$B$32)/1000+'Inputs'!$B$21)+'Inputs'!$B$9)^2+('Inputs'!$B$8/2)^2)-(((656-43)*MAX('Inputs'!$B$33,'Inputs'!$B$29+'Inputs'!$B$31+'Inputs'!$B$32,'Inputs'!$B$30+'Inputs'!$B$31+'Inputs'!$B$32)/1000+'Inputs'!$B$21))/SQRT((((656-43)*MAX('Inputs'!$B$33,'Inputs'!$B$29+'Inputs'!$B$31+'Inputs'!$B$32,'Inputs'!$B$30+'Inputs'!$B$31+'Inputs'!$B$32)/1000+'Inputs'!$B$21))^2+('Inputs'!$B$8/2)^2)))-'Results'!B7*(0.5*((((656-43)*MAX('Inputs'!$B$33,'Inputs'!$B$29+'Inputs'!$B$31+'Inputs'!$B$32,'Inputs'!$B$30+'Inputs'!$B$31+'Inputs'!$B$32)/1000+'Inputs'!$B$21+'Inputs'!$B$9+'Inputs'!$B$10)+'Inputs'!$B$7)/SQRT((((656-43)*MAX('Inputs'!$B$33,'Inputs'!$B$29+'Inputs'!$B$31+'Inputs'!$B$32,'Inputs'!$B$30+'Inputs'!$B$31+'Inputs'!$B$32)/1000+'Inputs'!$B$21+'Inputs'!$B$9+'Inputs'!$B$10)+'Inputs'!$B$7)^2+('Inputs'!$B$6/2)^2)-(((656-43)*MAX('Inputs'!$B$33,'Inputs'!$B$29+'Inputs'!$B$31+'Inputs'!$B$32,'Inputs'!$B$30+'Inputs'!$B$31+'Inputs'!$B$32)/1000+'Inputs'!$B$21+'Inputs'!$B$9+'Inputs'!$B$10))/SQRT((((656-43)*MAX('Inputs'!$B$33,'Inputs'!$B$29+'Inputs'!$B$31+'Inputs'!$B$32,'Inputs'!$B$30+'Inputs'!$B$31+'Inputs'!$B$32)/1000+'Inputs'!$B$21+'Inputs'!$B$9+'Inputs'!$B$10))^2+('Inputs'!$B$6/2)^2))))*'Results'!$B$8),"")</x:f>
        <x:v>1.8990782781311573</x:v>
      </x:c>
      <x:c r="N656" t="n">
        <x:f>IF(AND(ISNUMBER('Results'!C7),ISNUMBER('Results'!B7),ISNUMBER('Results'!$B$8),ISNUMBER('Inputs'!$B$6),ISNUMBER('Inputs'!$B$7),ISNUMBER('Inputs'!$B$8),ISNUMBER('Inputs'!$B$9),ISNUMBER('Inputs'!$B$10),ISNUMBER('Inputs'!$B$21),ISNUMBER('Inputs'!$B$24),ISNUMBER('Inputs'!$B$28)),((('Results'!C7*(1-'Inputs'!$B$24)*(0.5*((((656-43)*MAX('Inputs'!$B$33,'Inputs'!$B$29+'Inputs'!$B$31+'Inputs'!$B$32,'Inputs'!$B$30+'Inputs'!$B$31+'Inputs'!$B$32)/1000+'Inputs'!$B$21)+'Inputs'!$B$9)/SQRT((((656-43)*MAX('Inputs'!$B$33,'Inputs'!$B$29+'Inputs'!$B$31+'Inputs'!$B$32,'Inputs'!$B$30+'Inputs'!$B$31+'Inputs'!$B$32)/1000+'Inputs'!$B$21)+'Inputs'!$B$9)^2+('Inputs'!$B$8/2)^2)-(((656-43)*MAX('Inputs'!$B$33,'Inputs'!$B$29+'Inputs'!$B$31+'Inputs'!$B$32,'Inputs'!$B$30+'Inputs'!$B$31+'Inputs'!$B$32)/1000+'Inputs'!$B$21))/SQRT((((656-43)*MAX('Inputs'!$B$33,'Inputs'!$B$29+'Inputs'!$B$31+'Inputs'!$B$32,'Inputs'!$B$30+'Inputs'!$B$31+'Inputs'!$B$32)/1000+'Inputs'!$B$21))^2+('Inputs'!$B$8/2)^2)))-'Results'!B7*(1+'Inputs'!$B$24)*(0.5*((((656-43)*MAX('Inputs'!$B$33,'Inputs'!$B$29+'Inputs'!$B$31+'Inputs'!$B$32,'Inputs'!$B$30+'Inputs'!$B$31+'Inputs'!$B$32)/1000+'Inputs'!$B$21+'Inputs'!$B$9+'Inputs'!$B$10)+'Inputs'!$B$7)/SQRT((((656-43)*MAX('Inputs'!$B$33,'Inputs'!$B$29+'Inputs'!$B$31+'Inputs'!$B$32,'Inputs'!$B$30+'Inputs'!$B$31+'Inputs'!$B$32)/1000+'Inputs'!$B$21+'Inputs'!$B$9+'Inputs'!$B$10)+'Inputs'!$B$7)^2+('Inputs'!$B$6/2)^2)-(((656-43)*MAX('Inputs'!$B$33,'Inputs'!$B$29+'Inputs'!$B$31+'Inputs'!$B$32,'Inputs'!$B$30+'Inputs'!$B$31+'Inputs'!$B$32)/1000+'Inputs'!$B$21+'Inputs'!$B$9+'Inputs'!$B$10))/SQRT((((656-43)*MAX('Inputs'!$B$33,'Inputs'!$B$29+'Inputs'!$B$31+'Inputs'!$B$32,'Inputs'!$B$30+'Inputs'!$B$31+'Inputs'!$B$32)/1000+'Inputs'!$B$21+'Inputs'!$B$9+'Inputs'!$B$10))^2+('Inputs'!$B$6/2)^2))))*'Results'!$B$8)-'Inputs'!$B$28*ABS((('Results'!C7*(1-'Inputs'!$B$24)*(0.5*((((656-43)*MAX('Inputs'!$B$33,'Inputs'!$B$29+'Inputs'!$B$31+'Inputs'!$B$32,'Inputs'!$B$30+'Inputs'!$B$31+'Inputs'!$B$32)/1000+'Inputs'!$B$21)+'Inputs'!$B$9)/SQRT((((656-43)*MAX('Inputs'!$B$33,'Inputs'!$B$29+'Inputs'!$B$31+'Inputs'!$B$32,'Inputs'!$B$30+'Inputs'!$B$31+'Inputs'!$B$32)/1000+'Inputs'!$B$21)+'Inputs'!$B$9)^2+('Inputs'!$B$8/2)^2)-(((656-43)*MAX('Inputs'!$B$33,'Inputs'!$B$29+'Inputs'!$B$31+'Inputs'!$B$32,'Inputs'!$B$30+'Inputs'!$B$31+'Inputs'!$B$32)/1000+'Inputs'!$B$21))/SQRT((((656-43)*MAX('Inputs'!$B$33,'Inputs'!$B$29+'Inputs'!$B$31+'Inputs'!$B$32,'Inputs'!$B$30+'Inputs'!$B$31+'Inputs'!$B$32)/1000+'Inputs'!$B$21))^2+('Inputs'!$B$8/2)^2)))-'Results'!B7*(1+'Inputs'!$B$24)*(0.5*((((656-43)*MAX('Inputs'!$B$33,'Inputs'!$B$29+'Inputs'!$B$31+'Inputs'!$B$32,'Inputs'!$B$30+'Inputs'!$B$31+'Inputs'!$B$32)/1000+'Inputs'!$B$21+'Inputs'!$B$9+'Inputs'!$B$10)+'Inputs'!$B$7)/SQRT((((656-43)*MAX('Inputs'!$B$33,'Inputs'!$B$29+'Inputs'!$B$31+'Inputs'!$B$32,'Inputs'!$B$30+'Inputs'!$B$31+'Inputs'!$B$32)/1000+'Inputs'!$B$21+'Inputs'!$B$9+'Inputs'!$B$10)+'Inputs'!$B$7)^2+('Inputs'!$B$6/2)^2)-(((656-43)*MAX('Inputs'!$B$33,'Inputs'!$B$29+'Inputs'!$B$31+'Inputs'!$B$32,'Inputs'!$B$30+'Inputs'!$B$31+'Inputs'!$B$32)/1000+'Inputs'!$B$21+'Inputs'!$B$9+'Inputs'!$B$10))/SQRT((((656-43)*MAX('Inputs'!$B$33,'Inputs'!$B$29+'Inputs'!$B$31+'Inputs'!$B$32,'Inputs'!$B$30+'Inputs'!$B$31+'Inputs'!$B$32)/1000+'Inputs'!$B$21+'Inputs'!$B$9+'Inputs'!$B$10))^2+('Inputs'!$B$6/2)^2))))*'Results'!$B$8))),"")</x:f>
        <x:v>1.648843057996899</x:v>
      </x:c>
      <x:c r="O656" t="n">
        <x:f>IF(AND(ISNUMBER('Results'!C7),ISNUMBER('Results'!B7),ISNUMBER('Results'!$B$8),ISNUMBER('Inputs'!$B$6),ISNUMBER('Inputs'!$B$7),ISNUMBER('Inputs'!$B$8),ISNUMBER('Inputs'!$B$9),ISNUMBER('Inputs'!$B$10),ISNUMBER('Inputs'!$B$21),ISNUMBER('Inputs'!$B$24),ISNUMBER('Inputs'!$B$28)),((('Results'!C7*(1+'Inputs'!$B$24)*(0.5*((((656-43)*MAX('Inputs'!$B$33,'Inputs'!$B$29+'Inputs'!$B$31+'Inputs'!$B$32,'Inputs'!$B$30+'Inputs'!$B$31+'Inputs'!$B$32)/1000+'Inputs'!$B$21)+'Inputs'!$B$9)/SQRT((((656-43)*MAX('Inputs'!$B$33,'Inputs'!$B$29+'Inputs'!$B$31+'Inputs'!$B$32,'Inputs'!$B$30+'Inputs'!$B$31+'Inputs'!$B$32)/1000+'Inputs'!$B$21)+'Inputs'!$B$9)^2+('Inputs'!$B$8/2)^2)-(((656-43)*MAX('Inputs'!$B$33,'Inputs'!$B$29+'Inputs'!$B$31+'Inputs'!$B$32,'Inputs'!$B$30+'Inputs'!$B$31+'Inputs'!$B$32)/1000+'Inputs'!$B$21))/SQRT((((656-43)*MAX('Inputs'!$B$33,'Inputs'!$B$29+'Inputs'!$B$31+'Inputs'!$B$32,'Inputs'!$B$30+'Inputs'!$B$31+'Inputs'!$B$32)/1000+'Inputs'!$B$21))^2+('Inputs'!$B$8/2)^2)))-'Results'!B7*(1-'Inputs'!$B$24)*(0.5*((((656-43)*MAX('Inputs'!$B$33,'Inputs'!$B$29+'Inputs'!$B$31+'Inputs'!$B$32,'Inputs'!$B$30+'Inputs'!$B$31+'Inputs'!$B$32)/1000+'Inputs'!$B$21+'Inputs'!$B$9+'Inputs'!$B$10)+'Inputs'!$B$7)/SQRT((((656-43)*MAX('Inputs'!$B$33,'Inputs'!$B$29+'Inputs'!$B$31+'Inputs'!$B$32,'Inputs'!$B$30+'Inputs'!$B$31+'Inputs'!$B$32)/1000+'Inputs'!$B$21+'Inputs'!$B$9+'Inputs'!$B$10)+'Inputs'!$B$7)^2+('Inputs'!$B$6/2)^2)-(((656-43)*MAX('Inputs'!$B$33,'Inputs'!$B$29+'Inputs'!$B$31+'Inputs'!$B$32,'Inputs'!$B$30+'Inputs'!$B$31+'Inputs'!$B$32)/1000+'Inputs'!$B$21+'Inputs'!$B$9+'Inputs'!$B$10))/SQRT((((656-43)*MAX('Inputs'!$B$33,'Inputs'!$B$29+'Inputs'!$B$31+'Inputs'!$B$32,'Inputs'!$B$30+'Inputs'!$B$31+'Inputs'!$B$32)/1000+'Inputs'!$B$21+'Inputs'!$B$9+'Inputs'!$B$10))^2+('Inputs'!$B$6/2)^2))))*'Results'!$B$8)+'Inputs'!$B$28*ABS((('Results'!C7*(1+'Inputs'!$B$24)*(0.5*((((656-43)*MAX('Inputs'!$B$33,'Inputs'!$B$29+'Inputs'!$B$31+'Inputs'!$B$32,'Inputs'!$B$30+'Inputs'!$B$31+'Inputs'!$B$32)/1000+'Inputs'!$B$21)+'Inputs'!$B$9)/SQRT((((656-43)*MAX('Inputs'!$B$33,'Inputs'!$B$29+'Inputs'!$B$31+'Inputs'!$B$32,'Inputs'!$B$30+'Inputs'!$B$31+'Inputs'!$B$32)/1000+'Inputs'!$B$21)+'Inputs'!$B$9)^2+('Inputs'!$B$8/2)^2)-(((656-43)*MAX('Inputs'!$B$33,'Inputs'!$B$29+'Inputs'!$B$31+'Inputs'!$B$32,'Inputs'!$B$30+'Inputs'!$B$31+'Inputs'!$B$32)/1000+'Inputs'!$B$21))/SQRT((((656-43)*MAX('Inputs'!$B$33,'Inputs'!$B$29+'Inputs'!$B$31+'Inputs'!$B$32,'Inputs'!$B$30+'Inputs'!$B$31+'Inputs'!$B$32)/1000+'Inputs'!$B$21))^2+('Inputs'!$B$8/2)^2)))-'Results'!B7*(1-'Inputs'!$B$24)*(0.5*((((656-43)*MAX('Inputs'!$B$33,'Inputs'!$B$29+'Inputs'!$B$31+'Inputs'!$B$32,'Inputs'!$B$30+'Inputs'!$B$31+'Inputs'!$B$32)/1000+'Inputs'!$B$21+'Inputs'!$B$9+'Inputs'!$B$10)+'Inputs'!$B$7)/SQRT((((656-43)*MAX('Inputs'!$B$33,'Inputs'!$B$29+'Inputs'!$B$31+'Inputs'!$B$32,'Inputs'!$B$30+'Inputs'!$B$31+'Inputs'!$B$32)/1000+'Inputs'!$B$21+'Inputs'!$B$9+'Inputs'!$B$10)+'Inputs'!$B$7)^2+('Inputs'!$B$6/2)^2)-(((656-43)*MAX('Inputs'!$B$33,'Inputs'!$B$29+'Inputs'!$B$31+'Inputs'!$B$32,'Inputs'!$B$30+'Inputs'!$B$31+'Inputs'!$B$32)/1000+'Inputs'!$B$21+'Inputs'!$B$9+'Inputs'!$B$10))/SQRT((((656-43)*MAX('Inputs'!$B$33,'Inputs'!$B$29+'Inputs'!$B$31+'Inputs'!$B$32,'Inputs'!$B$30+'Inputs'!$B$31+'Inputs'!$B$32)/1000+'Inputs'!$B$21+'Inputs'!$B$9+'Inputs'!$B$10))^2+('Inputs'!$B$6/2)^2))))*'Results'!$B$8))),"")</x:f>
        <x:v>2.165658898920962</x:v>
      </x:c>
      <x:c r="P656" t="n">
        <x:f>IF(AND(MAX(J656,J655)&gt;0,J656&gt;J655+0.00000001),1,0)</x:f>
        <x:v>0</x:v>
      </x:c>
      <x:c r="Q656" t="n">
        <x:f>IF(AND(MAX(K656,K655)&gt;0,K656&gt;K655+0.00000001),1,0)</x:f>
        <x:v>0</x:v>
      </x:c>
      <x:c r="R656" t="n">
        <x:f>IF(AND(MAX(L656,L655)&gt;0,L656&gt;L655+0.00000001),1,0)</x:f>
        <x:v>0</x:v>
      </x:c>
      <x:c r="S656" t="n">
        <x:f>IF(AND(MAX(M656,M655)&gt;0,M656&gt;M655+0.00000001),1,0)</x:f>
        <x:v>0</x:v>
      </x:c>
      <x:c r="T656" t="n">
        <x:f>IF(AND(MAX(N656,N655)&gt;0,N656&gt;N655+0.00000001),1,0)</x:f>
        <x:v>0</x:v>
      </x:c>
      <x:c r="U656" t="n">
        <x:f>IF(AND(MAX(O656,O655)&gt;0,O656&gt;O655+0.00000001),1,0)</x:f>
        <x:v>0</x:v>
      </x:c>
    </x:row>
    <x:row r="657">
      <x:c r="J657" t="n">
        <x:f>IF(AND(ISNUMBER('Results'!B7),ISNUMBER('Results'!C7),ISNUMBER('Results'!$B$8),ISNUMBER('Inputs'!$B$6),ISNUMBER('Inputs'!$B$7),ISNUMBER('Inputs'!$B$8),ISNUMBER('Inputs'!$B$9),ISNUMBER('Inputs'!$B$10),ISNUMBER('Inputs'!$B$21),ISNUMBER('Inputs'!$B$24),ISNUMBER('Inputs'!$B$28)),(('Results'!B7*(0.5*((((657-43)*MAX('Inputs'!$B$33,'Inputs'!$B$29+'Inputs'!$B$31+'Inputs'!$B$32,'Inputs'!$B$30+'Inputs'!$B$31+'Inputs'!$B$32)/1000+'Inputs'!$B$21)+'Inputs'!$B$7)/SQRT((((657-43)*MAX('Inputs'!$B$33,'Inputs'!$B$29+'Inputs'!$B$31+'Inputs'!$B$32,'Inputs'!$B$30+'Inputs'!$B$31+'Inputs'!$B$32)/1000+'Inputs'!$B$21)+'Inputs'!$B$7)^2+('Inputs'!$B$6/2)^2)-(((657-43)*MAX('Inputs'!$B$33,'Inputs'!$B$29+'Inputs'!$B$31+'Inputs'!$B$32,'Inputs'!$B$30+'Inputs'!$B$31+'Inputs'!$B$32)/1000+'Inputs'!$B$21))/SQRT((((657-43)*MAX('Inputs'!$B$33,'Inputs'!$B$29+'Inputs'!$B$31+'Inputs'!$B$32,'Inputs'!$B$30+'Inputs'!$B$31+'Inputs'!$B$32)/1000+'Inputs'!$B$21))^2+('Inputs'!$B$6/2)^2)))-'Results'!C7*(0.5*((((657-43)*MAX('Inputs'!$B$33,'Inputs'!$B$29+'Inputs'!$B$31+'Inputs'!$B$32,'Inputs'!$B$30+'Inputs'!$B$31+'Inputs'!$B$32)/1000+'Inputs'!$B$21+'Inputs'!$B$7+'Inputs'!$B$10)+'Inputs'!$B$9)/SQRT((((657-43)*MAX('Inputs'!$B$33,'Inputs'!$B$29+'Inputs'!$B$31+'Inputs'!$B$32,'Inputs'!$B$30+'Inputs'!$B$31+'Inputs'!$B$32)/1000+'Inputs'!$B$21+'Inputs'!$B$7+'Inputs'!$B$10)+'Inputs'!$B$9)^2+('Inputs'!$B$8/2)^2)-(((657-43)*MAX('Inputs'!$B$33,'Inputs'!$B$29+'Inputs'!$B$31+'Inputs'!$B$32,'Inputs'!$B$30+'Inputs'!$B$31+'Inputs'!$B$32)/1000+'Inputs'!$B$21+'Inputs'!$B$7+'Inputs'!$B$10))/SQRT((((657-43)*MAX('Inputs'!$B$33,'Inputs'!$B$29+'Inputs'!$B$31+'Inputs'!$B$32,'Inputs'!$B$30+'Inputs'!$B$31+'Inputs'!$B$32)/1000+'Inputs'!$B$21+'Inputs'!$B$7+'Inputs'!$B$10))^2+('Inputs'!$B$8/2)^2))))*'Results'!$B$8),"")</x:f>
        <x:v>2.05282794040152</x:v>
      </x:c>
      <x:c r="K657" t="n">
        <x:f>IF(AND(ISNUMBER('Results'!B7),ISNUMBER('Results'!C7),ISNUMBER('Results'!$B$8),ISNUMBER('Inputs'!$B$6),ISNUMBER('Inputs'!$B$7),ISNUMBER('Inputs'!$B$8),ISNUMBER('Inputs'!$B$9),ISNUMBER('Inputs'!$B$10),ISNUMBER('Inputs'!$B$21),ISNUMBER('Inputs'!$B$24),ISNUMBER('Inputs'!$B$28)),((('Results'!B7*(1-'Inputs'!$B$24)*(0.5*((((657-43)*MAX('Inputs'!$B$33,'Inputs'!$B$29+'Inputs'!$B$31+'Inputs'!$B$32,'Inputs'!$B$30+'Inputs'!$B$31+'Inputs'!$B$32)/1000+'Inputs'!$B$21)+'Inputs'!$B$7)/SQRT((((657-43)*MAX('Inputs'!$B$33,'Inputs'!$B$29+'Inputs'!$B$31+'Inputs'!$B$32,'Inputs'!$B$30+'Inputs'!$B$31+'Inputs'!$B$32)/1000+'Inputs'!$B$21)+'Inputs'!$B$7)^2+('Inputs'!$B$6/2)^2)-(((657-43)*MAX('Inputs'!$B$33,'Inputs'!$B$29+'Inputs'!$B$31+'Inputs'!$B$32,'Inputs'!$B$30+'Inputs'!$B$31+'Inputs'!$B$32)/1000+'Inputs'!$B$21))/SQRT((((657-43)*MAX('Inputs'!$B$33,'Inputs'!$B$29+'Inputs'!$B$31+'Inputs'!$B$32,'Inputs'!$B$30+'Inputs'!$B$31+'Inputs'!$B$32)/1000+'Inputs'!$B$21))^2+('Inputs'!$B$6/2)^2)))-'Results'!C7*(1+'Inputs'!$B$24)*(0.5*((((657-43)*MAX('Inputs'!$B$33,'Inputs'!$B$29+'Inputs'!$B$31+'Inputs'!$B$32,'Inputs'!$B$30+'Inputs'!$B$31+'Inputs'!$B$32)/1000+'Inputs'!$B$21+'Inputs'!$B$7+'Inputs'!$B$10)+'Inputs'!$B$9)/SQRT((((657-43)*MAX('Inputs'!$B$33,'Inputs'!$B$29+'Inputs'!$B$31+'Inputs'!$B$32,'Inputs'!$B$30+'Inputs'!$B$31+'Inputs'!$B$32)/1000+'Inputs'!$B$21+'Inputs'!$B$7+'Inputs'!$B$10)+'Inputs'!$B$9)^2+('Inputs'!$B$8/2)^2)-(((657-43)*MAX('Inputs'!$B$33,'Inputs'!$B$29+'Inputs'!$B$31+'Inputs'!$B$32,'Inputs'!$B$30+'Inputs'!$B$31+'Inputs'!$B$32)/1000+'Inputs'!$B$21+'Inputs'!$B$7+'Inputs'!$B$10))/SQRT((((657-43)*MAX('Inputs'!$B$33,'Inputs'!$B$29+'Inputs'!$B$31+'Inputs'!$B$32,'Inputs'!$B$30+'Inputs'!$B$31+'Inputs'!$B$32)/1000+'Inputs'!$B$21+'Inputs'!$B$7+'Inputs'!$B$10))^2+('Inputs'!$B$8/2)^2))))*'Results'!$B$8)-'Inputs'!$B$28*ABS((('Results'!B7*(1-'Inputs'!$B$24)*(0.5*((((657-43)*MAX('Inputs'!$B$33,'Inputs'!$B$29+'Inputs'!$B$31+'Inputs'!$B$32,'Inputs'!$B$30+'Inputs'!$B$31+'Inputs'!$B$32)/1000+'Inputs'!$B$21)+'Inputs'!$B$7)/SQRT((((657-43)*MAX('Inputs'!$B$33,'Inputs'!$B$29+'Inputs'!$B$31+'Inputs'!$B$32,'Inputs'!$B$30+'Inputs'!$B$31+'Inputs'!$B$32)/1000+'Inputs'!$B$21)+'Inputs'!$B$7)^2+('Inputs'!$B$6/2)^2)-(((657-43)*MAX('Inputs'!$B$33,'Inputs'!$B$29+'Inputs'!$B$31+'Inputs'!$B$32,'Inputs'!$B$30+'Inputs'!$B$31+'Inputs'!$B$32)/1000+'Inputs'!$B$21))/SQRT((((657-43)*MAX('Inputs'!$B$33,'Inputs'!$B$29+'Inputs'!$B$31+'Inputs'!$B$32,'Inputs'!$B$30+'Inputs'!$B$31+'Inputs'!$B$32)/1000+'Inputs'!$B$21))^2+('Inputs'!$B$6/2)^2)))-'Results'!C7*(1+'Inputs'!$B$24)*(0.5*((((657-43)*MAX('Inputs'!$B$33,'Inputs'!$B$29+'Inputs'!$B$31+'Inputs'!$B$32,'Inputs'!$B$30+'Inputs'!$B$31+'Inputs'!$B$32)/1000+'Inputs'!$B$21+'Inputs'!$B$7+'Inputs'!$B$10)+'Inputs'!$B$9)/SQRT((((657-43)*MAX('Inputs'!$B$33,'Inputs'!$B$29+'Inputs'!$B$31+'Inputs'!$B$32,'Inputs'!$B$30+'Inputs'!$B$31+'Inputs'!$B$32)/1000+'Inputs'!$B$21+'Inputs'!$B$7+'Inputs'!$B$10)+'Inputs'!$B$9)^2+('Inputs'!$B$8/2)^2)-(((657-43)*MAX('Inputs'!$B$33,'Inputs'!$B$29+'Inputs'!$B$31+'Inputs'!$B$32,'Inputs'!$B$30+'Inputs'!$B$31+'Inputs'!$B$32)/1000+'Inputs'!$B$21+'Inputs'!$B$7+'Inputs'!$B$10))/SQRT((((657-43)*MAX('Inputs'!$B$33,'Inputs'!$B$29+'Inputs'!$B$31+'Inputs'!$B$32,'Inputs'!$B$30+'Inputs'!$B$31+'Inputs'!$B$32)/1000+'Inputs'!$B$21+'Inputs'!$B$7+'Inputs'!$B$10))^2+('Inputs'!$B$8/2)^2))))*'Results'!$B$8))),"")</x:f>
        <x:v>1.794830741919377</x:v>
      </x:c>
      <x:c r="L657" t="n">
        <x:f>IF(AND(ISNUMBER('Results'!B7),ISNUMBER('Results'!C7),ISNUMBER('Results'!$B$8),ISNUMBER('Inputs'!$B$6),ISNUMBER('Inputs'!$B$7),ISNUMBER('Inputs'!$B$8),ISNUMBER('Inputs'!$B$9),ISNUMBER('Inputs'!$B$10),ISNUMBER('Inputs'!$B$21),ISNUMBER('Inputs'!$B$24),ISNUMBER('Inputs'!$B$28)),((('Results'!B7*(1+'Inputs'!$B$24)*(0.5*((((657-43)*MAX('Inputs'!$B$33,'Inputs'!$B$29+'Inputs'!$B$31+'Inputs'!$B$32,'Inputs'!$B$30+'Inputs'!$B$31+'Inputs'!$B$32)/1000+'Inputs'!$B$21)+'Inputs'!$B$7)/SQRT((((657-43)*MAX('Inputs'!$B$33,'Inputs'!$B$29+'Inputs'!$B$31+'Inputs'!$B$32,'Inputs'!$B$30+'Inputs'!$B$31+'Inputs'!$B$32)/1000+'Inputs'!$B$21)+'Inputs'!$B$7)^2+('Inputs'!$B$6/2)^2)-(((657-43)*MAX('Inputs'!$B$33,'Inputs'!$B$29+'Inputs'!$B$31+'Inputs'!$B$32,'Inputs'!$B$30+'Inputs'!$B$31+'Inputs'!$B$32)/1000+'Inputs'!$B$21))/SQRT((((657-43)*MAX('Inputs'!$B$33,'Inputs'!$B$29+'Inputs'!$B$31+'Inputs'!$B$32,'Inputs'!$B$30+'Inputs'!$B$31+'Inputs'!$B$32)/1000+'Inputs'!$B$21))^2+('Inputs'!$B$6/2)^2)))-'Results'!C7*(1-'Inputs'!$B$24)*(0.5*((((657-43)*MAX('Inputs'!$B$33,'Inputs'!$B$29+'Inputs'!$B$31+'Inputs'!$B$32,'Inputs'!$B$30+'Inputs'!$B$31+'Inputs'!$B$32)/1000+'Inputs'!$B$21+'Inputs'!$B$7+'Inputs'!$B$10)+'Inputs'!$B$9)/SQRT((((657-43)*MAX('Inputs'!$B$33,'Inputs'!$B$29+'Inputs'!$B$31+'Inputs'!$B$32,'Inputs'!$B$30+'Inputs'!$B$31+'Inputs'!$B$32)/1000+'Inputs'!$B$21+'Inputs'!$B$7+'Inputs'!$B$10)+'Inputs'!$B$9)^2+('Inputs'!$B$8/2)^2)-(((657-43)*MAX('Inputs'!$B$33,'Inputs'!$B$29+'Inputs'!$B$31+'Inputs'!$B$32,'Inputs'!$B$30+'Inputs'!$B$31+'Inputs'!$B$32)/1000+'Inputs'!$B$21+'Inputs'!$B$7+'Inputs'!$B$10))/SQRT((((657-43)*MAX('Inputs'!$B$33,'Inputs'!$B$29+'Inputs'!$B$31+'Inputs'!$B$32,'Inputs'!$B$30+'Inputs'!$B$31+'Inputs'!$B$32)/1000+'Inputs'!$B$21+'Inputs'!$B$7+'Inputs'!$B$10))^2+('Inputs'!$B$8/2)^2))))*'Results'!$B$8)+'Inputs'!$B$28*ABS((('Results'!B7*(1+'Inputs'!$B$24)*(0.5*((((657-43)*MAX('Inputs'!$B$33,'Inputs'!$B$29+'Inputs'!$B$31+'Inputs'!$B$32,'Inputs'!$B$30+'Inputs'!$B$31+'Inputs'!$B$32)/1000+'Inputs'!$B$21)+'Inputs'!$B$7)/SQRT((((657-43)*MAX('Inputs'!$B$33,'Inputs'!$B$29+'Inputs'!$B$31+'Inputs'!$B$32,'Inputs'!$B$30+'Inputs'!$B$31+'Inputs'!$B$32)/1000+'Inputs'!$B$21)+'Inputs'!$B$7)^2+('Inputs'!$B$6/2)^2)-(((657-43)*MAX('Inputs'!$B$33,'Inputs'!$B$29+'Inputs'!$B$31+'Inputs'!$B$32,'Inputs'!$B$30+'Inputs'!$B$31+'Inputs'!$B$32)/1000+'Inputs'!$B$21))/SQRT((((657-43)*MAX('Inputs'!$B$33,'Inputs'!$B$29+'Inputs'!$B$31+'Inputs'!$B$32,'Inputs'!$B$30+'Inputs'!$B$31+'Inputs'!$B$32)/1000+'Inputs'!$B$21))^2+('Inputs'!$B$6/2)^2)))-'Results'!C7*(1-'Inputs'!$B$24)*(0.5*((((657-43)*MAX('Inputs'!$B$33,'Inputs'!$B$29+'Inputs'!$B$31+'Inputs'!$B$32,'Inputs'!$B$30+'Inputs'!$B$31+'Inputs'!$B$32)/1000+'Inputs'!$B$21+'Inputs'!$B$7+'Inputs'!$B$10)+'Inputs'!$B$9)/SQRT((((657-43)*MAX('Inputs'!$B$33,'Inputs'!$B$29+'Inputs'!$B$31+'Inputs'!$B$32,'Inputs'!$B$30+'Inputs'!$B$31+'Inputs'!$B$32)/1000+'Inputs'!$B$21+'Inputs'!$B$7+'Inputs'!$B$10)+'Inputs'!$B$9)^2+('Inputs'!$B$8/2)^2)-(((657-43)*MAX('Inputs'!$B$33,'Inputs'!$B$29+'Inputs'!$B$31+'Inputs'!$B$32,'Inputs'!$B$30+'Inputs'!$B$31+'Inputs'!$B$32)/1000+'Inputs'!$B$21+'Inputs'!$B$7+'Inputs'!$B$10))/SQRT((((657-43)*MAX('Inputs'!$B$33,'Inputs'!$B$29+'Inputs'!$B$31+'Inputs'!$B$32,'Inputs'!$B$30+'Inputs'!$B$31+'Inputs'!$B$32)/1000+'Inputs'!$B$21+'Inputs'!$B$7+'Inputs'!$B$10))^2+('Inputs'!$B$8/2)^2))))*'Results'!$B$8))),"")</x:f>
        <x:v>2.3271783811428275</x:v>
      </x:c>
      <x:c r="M657" t="n">
        <x:f>IF(AND(ISNUMBER('Results'!C7),ISNUMBER('Results'!B7),ISNUMBER('Results'!$B$8),ISNUMBER('Inputs'!$B$6),ISNUMBER('Inputs'!$B$7),ISNUMBER('Inputs'!$B$8),ISNUMBER('Inputs'!$B$9),ISNUMBER('Inputs'!$B$10),ISNUMBER('Inputs'!$B$21),ISNUMBER('Inputs'!$B$24),ISNUMBER('Inputs'!$B$28)),(('Results'!C7*(0.5*((((657-43)*MAX('Inputs'!$B$33,'Inputs'!$B$29+'Inputs'!$B$31+'Inputs'!$B$32,'Inputs'!$B$30+'Inputs'!$B$31+'Inputs'!$B$32)/1000+'Inputs'!$B$21)+'Inputs'!$B$9)/SQRT((((657-43)*MAX('Inputs'!$B$33,'Inputs'!$B$29+'Inputs'!$B$31+'Inputs'!$B$32,'Inputs'!$B$30+'Inputs'!$B$31+'Inputs'!$B$32)/1000+'Inputs'!$B$21)+'Inputs'!$B$9)^2+('Inputs'!$B$8/2)^2)-(((657-43)*MAX('Inputs'!$B$33,'Inputs'!$B$29+'Inputs'!$B$31+'Inputs'!$B$32,'Inputs'!$B$30+'Inputs'!$B$31+'Inputs'!$B$32)/1000+'Inputs'!$B$21))/SQRT((((657-43)*MAX('Inputs'!$B$33,'Inputs'!$B$29+'Inputs'!$B$31+'Inputs'!$B$32,'Inputs'!$B$30+'Inputs'!$B$31+'Inputs'!$B$32)/1000+'Inputs'!$B$21))^2+('Inputs'!$B$8/2)^2)))-'Results'!B7*(0.5*((((657-43)*MAX('Inputs'!$B$33,'Inputs'!$B$29+'Inputs'!$B$31+'Inputs'!$B$32,'Inputs'!$B$30+'Inputs'!$B$31+'Inputs'!$B$32)/1000+'Inputs'!$B$21+'Inputs'!$B$9+'Inputs'!$B$10)+'Inputs'!$B$7)/SQRT((((657-43)*MAX('Inputs'!$B$33,'Inputs'!$B$29+'Inputs'!$B$31+'Inputs'!$B$32,'Inputs'!$B$30+'Inputs'!$B$31+'Inputs'!$B$32)/1000+'Inputs'!$B$21+'Inputs'!$B$9+'Inputs'!$B$10)+'Inputs'!$B$7)^2+('Inputs'!$B$6/2)^2)-(((657-43)*MAX('Inputs'!$B$33,'Inputs'!$B$29+'Inputs'!$B$31+'Inputs'!$B$32,'Inputs'!$B$30+'Inputs'!$B$31+'Inputs'!$B$32)/1000+'Inputs'!$B$21+'Inputs'!$B$9+'Inputs'!$B$10))/SQRT((((657-43)*MAX('Inputs'!$B$33,'Inputs'!$B$29+'Inputs'!$B$31+'Inputs'!$B$32,'Inputs'!$B$30+'Inputs'!$B$31+'Inputs'!$B$32)/1000+'Inputs'!$B$21+'Inputs'!$B$9+'Inputs'!$B$10))^2+('Inputs'!$B$6/2)^2))))*'Results'!$B$8),"")</x:f>
        <x:v>1.8880457640977935</x:v>
      </x:c>
      <x:c r="N657" t="n">
        <x:f>IF(AND(ISNUMBER('Results'!C7),ISNUMBER('Results'!B7),ISNUMBER('Results'!$B$8),ISNUMBER('Inputs'!$B$6),ISNUMBER('Inputs'!$B$7),ISNUMBER('Inputs'!$B$8),ISNUMBER('Inputs'!$B$9),ISNUMBER('Inputs'!$B$10),ISNUMBER('Inputs'!$B$21),ISNUMBER('Inputs'!$B$24),ISNUMBER('Inputs'!$B$28)),((('Results'!C7*(1-'Inputs'!$B$24)*(0.5*((((657-43)*MAX('Inputs'!$B$33,'Inputs'!$B$29+'Inputs'!$B$31+'Inputs'!$B$32,'Inputs'!$B$30+'Inputs'!$B$31+'Inputs'!$B$32)/1000+'Inputs'!$B$21)+'Inputs'!$B$9)/SQRT((((657-43)*MAX('Inputs'!$B$33,'Inputs'!$B$29+'Inputs'!$B$31+'Inputs'!$B$32,'Inputs'!$B$30+'Inputs'!$B$31+'Inputs'!$B$32)/1000+'Inputs'!$B$21)+'Inputs'!$B$9)^2+('Inputs'!$B$8/2)^2)-(((657-43)*MAX('Inputs'!$B$33,'Inputs'!$B$29+'Inputs'!$B$31+'Inputs'!$B$32,'Inputs'!$B$30+'Inputs'!$B$31+'Inputs'!$B$32)/1000+'Inputs'!$B$21))/SQRT((((657-43)*MAX('Inputs'!$B$33,'Inputs'!$B$29+'Inputs'!$B$31+'Inputs'!$B$32,'Inputs'!$B$30+'Inputs'!$B$31+'Inputs'!$B$32)/1000+'Inputs'!$B$21))^2+('Inputs'!$B$8/2)^2)))-'Results'!B7*(1+'Inputs'!$B$24)*(0.5*((((657-43)*MAX('Inputs'!$B$33,'Inputs'!$B$29+'Inputs'!$B$31+'Inputs'!$B$32,'Inputs'!$B$30+'Inputs'!$B$31+'Inputs'!$B$32)/1000+'Inputs'!$B$21+'Inputs'!$B$9+'Inputs'!$B$10)+'Inputs'!$B$7)/SQRT((((657-43)*MAX('Inputs'!$B$33,'Inputs'!$B$29+'Inputs'!$B$31+'Inputs'!$B$32,'Inputs'!$B$30+'Inputs'!$B$31+'Inputs'!$B$32)/1000+'Inputs'!$B$21+'Inputs'!$B$9+'Inputs'!$B$10)+'Inputs'!$B$7)^2+('Inputs'!$B$6/2)^2)-(((657-43)*MAX('Inputs'!$B$33,'Inputs'!$B$29+'Inputs'!$B$31+'Inputs'!$B$32,'Inputs'!$B$30+'Inputs'!$B$31+'Inputs'!$B$32)/1000+'Inputs'!$B$21+'Inputs'!$B$9+'Inputs'!$B$10))/SQRT((((657-43)*MAX('Inputs'!$B$33,'Inputs'!$B$29+'Inputs'!$B$31+'Inputs'!$B$32,'Inputs'!$B$30+'Inputs'!$B$31+'Inputs'!$B$32)/1000+'Inputs'!$B$21+'Inputs'!$B$9+'Inputs'!$B$10))^2+('Inputs'!$B$6/2)^2))))*'Results'!$B$8)-'Inputs'!$B$28*ABS((('Results'!C7*(1-'Inputs'!$B$24)*(0.5*((((657-43)*MAX('Inputs'!$B$33,'Inputs'!$B$29+'Inputs'!$B$31+'Inputs'!$B$32,'Inputs'!$B$30+'Inputs'!$B$31+'Inputs'!$B$32)/1000+'Inputs'!$B$21)+'Inputs'!$B$9)/SQRT((((657-43)*MAX('Inputs'!$B$33,'Inputs'!$B$29+'Inputs'!$B$31+'Inputs'!$B$32,'Inputs'!$B$30+'Inputs'!$B$31+'Inputs'!$B$32)/1000+'Inputs'!$B$21)+'Inputs'!$B$9)^2+('Inputs'!$B$8/2)^2)-(((657-43)*MAX('Inputs'!$B$33,'Inputs'!$B$29+'Inputs'!$B$31+'Inputs'!$B$32,'Inputs'!$B$30+'Inputs'!$B$31+'Inputs'!$B$32)/1000+'Inputs'!$B$21))/SQRT((((657-43)*MAX('Inputs'!$B$33,'Inputs'!$B$29+'Inputs'!$B$31+'Inputs'!$B$32,'Inputs'!$B$30+'Inputs'!$B$31+'Inputs'!$B$32)/1000+'Inputs'!$B$21))^2+('Inputs'!$B$8/2)^2)))-'Results'!B7*(1+'Inputs'!$B$24)*(0.5*((((657-43)*MAX('Inputs'!$B$33,'Inputs'!$B$29+'Inputs'!$B$31+'Inputs'!$B$32,'Inputs'!$B$30+'Inputs'!$B$31+'Inputs'!$B$32)/1000+'Inputs'!$B$21+'Inputs'!$B$9+'Inputs'!$B$10)+'Inputs'!$B$7)/SQRT((((657-43)*MAX('Inputs'!$B$33,'Inputs'!$B$29+'Inputs'!$B$31+'Inputs'!$B$32,'Inputs'!$B$30+'Inputs'!$B$31+'Inputs'!$B$32)/1000+'Inputs'!$B$21+'Inputs'!$B$9+'Inputs'!$B$10)+'Inputs'!$B$7)^2+('Inputs'!$B$6/2)^2)-(((657-43)*MAX('Inputs'!$B$33,'Inputs'!$B$29+'Inputs'!$B$31+'Inputs'!$B$32,'Inputs'!$B$30+'Inputs'!$B$31+'Inputs'!$B$32)/1000+'Inputs'!$B$21+'Inputs'!$B$9+'Inputs'!$B$10))/SQRT((((657-43)*MAX('Inputs'!$B$33,'Inputs'!$B$29+'Inputs'!$B$31+'Inputs'!$B$32,'Inputs'!$B$30+'Inputs'!$B$31+'Inputs'!$B$32)/1000+'Inputs'!$B$21+'Inputs'!$B$9+'Inputs'!$B$10))^2+('Inputs'!$B$6/2)^2))))*'Results'!$B$8))),"")</x:f>
        <x:v>1.63904400372766</x:v>
      </x:c>
      <x:c r="O657" t="n">
        <x:f>IF(AND(ISNUMBER('Results'!C7),ISNUMBER('Results'!B7),ISNUMBER('Results'!$B$8),ISNUMBER('Inputs'!$B$6),ISNUMBER('Inputs'!$B$7),ISNUMBER('Inputs'!$B$8),ISNUMBER('Inputs'!$B$9),ISNUMBER('Inputs'!$B$10),ISNUMBER('Inputs'!$B$21),ISNUMBER('Inputs'!$B$24),ISNUMBER('Inputs'!$B$28)),((('Results'!C7*(1+'Inputs'!$B$24)*(0.5*((((657-43)*MAX('Inputs'!$B$33,'Inputs'!$B$29+'Inputs'!$B$31+'Inputs'!$B$32,'Inputs'!$B$30+'Inputs'!$B$31+'Inputs'!$B$32)/1000+'Inputs'!$B$21)+'Inputs'!$B$9)/SQRT((((657-43)*MAX('Inputs'!$B$33,'Inputs'!$B$29+'Inputs'!$B$31+'Inputs'!$B$32,'Inputs'!$B$30+'Inputs'!$B$31+'Inputs'!$B$32)/1000+'Inputs'!$B$21)+'Inputs'!$B$9)^2+('Inputs'!$B$8/2)^2)-(((657-43)*MAX('Inputs'!$B$33,'Inputs'!$B$29+'Inputs'!$B$31+'Inputs'!$B$32,'Inputs'!$B$30+'Inputs'!$B$31+'Inputs'!$B$32)/1000+'Inputs'!$B$21))/SQRT((((657-43)*MAX('Inputs'!$B$33,'Inputs'!$B$29+'Inputs'!$B$31+'Inputs'!$B$32,'Inputs'!$B$30+'Inputs'!$B$31+'Inputs'!$B$32)/1000+'Inputs'!$B$21))^2+('Inputs'!$B$8/2)^2)))-'Results'!B7*(1-'Inputs'!$B$24)*(0.5*((((657-43)*MAX('Inputs'!$B$33,'Inputs'!$B$29+'Inputs'!$B$31+'Inputs'!$B$32,'Inputs'!$B$30+'Inputs'!$B$31+'Inputs'!$B$32)/1000+'Inputs'!$B$21+'Inputs'!$B$9+'Inputs'!$B$10)+'Inputs'!$B$7)/SQRT((((657-43)*MAX('Inputs'!$B$33,'Inputs'!$B$29+'Inputs'!$B$31+'Inputs'!$B$32,'Inputs'!$B$30+'Inputs'!$B$31+'Inputs'!$B$32)/1000+'Inputs'!$B$21+'Inputs'!$B$9+'Inputs'!$B$10)+'Inputs'!$B$7)^2+('Inputs'!$B$6/2)^2)-(((657-43)*MAX('Inputs'!$B$33,'Inputs'!$B$29+'Inputs'!$B$31+'Inputs'!$B$32,'Inputs'!$B$30+'Inputs'!$B$31+'Inputs'!$B$32)/1000+'Inputs'!$B$21+'Inputs'!$B$9+'Inputs'!$B$10))/SQRT((((657-43)*MAX('Inputs'!$B$33,'Inputs'!$B$29+'Inputs'!$B$31+'Inputs'!$B$32,'Inputs'!$B$30+'Inputs'!$B$31+'Inputs'!$B$32)/1000+'Inputs'!$B$21+'Inputs'!$B$9+'Inputs'!$B$10))^2+('Inputs'!$B$6/2)^2))))*'Results'!$B$8)+'Inputs'!$B$28*ABS((('Results'!C7*(1+'Inputs'!$B$24)*(0.5*((((657-43)*MAX('Inputs'!$B$33,'Inputs'!$B$29+'Inputs'!$B$31+'Inputs'!$B$32,'Inputs'!$B$30+'Inputs'!$B$31+'Inputs'!$B$32)/1000+'Inputs'!$B$21)+'Inputs'!$B$9)/SQRT((((657-43)*MAX('Inputs'!$B$33,'Inputs'!$B$29+'Inputs'!$B$31+'Inputs'!$B$32,'Inputs'!$B$30+'Inputs'!$B$31+'Inputs'!$B$32)/1000+'Inputs'!$B$21)+'Inputs'!$B$9)^2+('Inputs'!$B$8/2)^2)-(((657-43)*MAX('Inputs'!$B$33,'Inputs'!$B$29+'Inputs'!$B$31+'Inputs'!$B$32,'Inputs'!$B$30+'Inputs'!$B$31+'Inputs'!$B$32)/1000+'Inputs'!$B$21))/SQRT((((657-43)*MAX('Inputs'!$B$33,'Inputs'!$B$29+'Inputs'!$B$31+'Inputs'!$B$32,'Inputs'!$B$30+'Inputs'!$B$31+'Inputs'!$B$32)/1000+'Inputs'!$B$21))^2+('Inputs'!$B$8/2)^2)))-'Results'!B7*(1-'Inputs'!$B$24)*(0.5*((((657-43)*MAX('Inputs'!$B$33,'Inputs'!$B$29+'Inputs'!$B$31+'Inputs'!$B$32,'Inputs'!$B$30+'Inputs'!$B$31+'Inputs'!$B$32)/1000+'Inputs'!$B$21+'Inputs'!$B$9+'Inputs'!$B$10)+'Inputs'!$B$7)/SQRT((((657-43)*MAX('Inputs'!$B$33,'Inputs'!$B$29+'Inputs'!$B$31+'Inputs'!$B$32,'Inputs'!$B$30+'Inputs'!$B$31+'Inputs'!$B$32)/1000+'Inputs'!$B$21+'Inputs'!$B$9+'Inputs'!$B$10)+'Inputs'!$B$7)^2+('Inputs'!$B$6/2)^2)-(((657-43)*MAX('Inputs'!$B$33,'Inputs'!$B$29+'Inputs'!$B$31+'Inputs'!$B$32,'Inputs'!$B$30+'Inputs'!$B$31+'Inputs'!$B$32)/1000+'Inputs'!$B$21+'Inputs'!$B$9+'Inputs'!$B$10))/SQRT((((657-43)*MAX('Inputs'!$B$33,'Inputs'!$B$29+'Inputs'!$B$31+'Inputs'!$B$32,'Inputs'!$B$30+'Inputs'!$B$31+'Inputs'!$B$32)/1000+'Inputs'!$B$21+'Inputs'!$B$9+'Inputs'!$B$10))^2+('Inputs'!$B$6/2)^2))))*'Results'!$B$8))),"")</x:f>
        <x:v>2.1533211531169</x:v>
      </x:c>
      <x:c r="P657" t="n">
        <x:f>IF(AND(MAX(J657,J656)&gt;0,J657&gt;J656+0.00000001),1,0)</x:f>
        <x:v>0</x:v>
      </x:c>
      <x:c r="Q657" t="n">
        <x:f>IF(AND(MAX(K657,K656)&gt;0,K657&gt;K656+0.00000001),1,0)</x:f>
        <x:v>0</x:v>
      </x:c>
      <x:c r="R657" t="n">
        <x:f>IF(AND(MAX(L657,L656)&gt;0,L657&gt;L656+0.00000001),1,0)</x:f>
        <x:v>0</x:v>
      </x:c>
      <x:c r="S657" t="n">
        <x:f>IF(AND(MAX(M657,M656)&gt;0,M657&gt;M656+0.00000001),1,0)</x:f>
        <x:v>0</x:v>
      </x:c>
      <x:c r="T657" t="n">
        <x:f>IF(AND(MAX(N657,N656)&gt;0,N657&gt;N656+0.00000001),1,0)</x:f>
        <x:v>0</x:v>
      </x:c>
      <x:c r="U657" t="n">
        <x:f>IF(AND(MAX(O657,O656)&gt;0,O657&gt;O656+0.00000001),1,0)</x:f>
        <x:v>0</x:v>
      </x:c>
    </x:row>
    <x:row r="658">
      <x:c r="J658" t="n">
        <x:f>IF(AND(ISNUMBER('Results'!B7),ISNUMBER('Results'!C7),ISNUMBER('Results'!$B$8),ISNUMBER('Inputs'!$B$6),ISNUMBER('Inputs'!$B$7),ISNUMBER('Inputs'!$B$8),ISNUMBER('Inputs'!$B$9),ISNUMBER('Inputs'!$B$10),ISNUMBER('Inputs'!$B$21),ISNUMBER('Inputs'!$B$24),ISNUMBER('Inputs'!$B$28)),(('Results'!B7*(0.5*((((658-43)*MAX('Inputs'!$B$33,'Inputs'!$B$29+'Inputs'!$B$31+'Inputs'!$B$32,'Inputs'!$B$30+'Inputs'!$B$31+'Inputs'!$B$32)/1000+'Inputs'!$B$21)+'Inputs'!$B$7)/SQRT((((658-43)*MAX('Inputs'!$B$33,'Inputs'!$B$29+'Inputs'!$B$31+'Inputs'!$B$32,'Inputs'!$B$30+'Inputs'!$B$31+'Inputs'!$B$32)/1000+'Inputs'!$B$21)+'Inputs'!$B$7)^2+('Inputs'!$B$6/2)^2)-(((658-43)*MAX('Inputs'!$B$33,'Inputs'!$B$29+'Inputs'!$B$31+'Inputs'!$B$32,'Inputs'!$B$30+'Inputs'!$B$31+'Inputs'!$B$32)/1000+'Inputs'!$B$21))/SQRT((((658-43)*MAX('Inputs'!$B$33,'Inputs'!$B$29+'Inputs'!$B$31+'Inputs'!$B$32,'Inputs'!$B$30+'Inputs'!$B$31+'Inputs'!$B$32)/1000+'Inputs'!$B$21))^2+('Inputs'!$B$6/2)^2)))-'Results'!C7*(0.5*((((658-43)*MAX('Inputs'!$B$33,'Inputs'!$B$29+'Inputs'!$B$31+'Inputs'!$B$32,'Inputs'!$B$30+'Inputs'!$B$31+'Inputs'!$B$32)/1000+'Inputs'!$B$21+'Inputs'!$B$7+'Inputs'!$B$10)+'Inputs'!$B$9)/SQRT((((658-43)*MAX('Inputs'!$B$33,'Inputs'!$B$29+'Inputs'!$B$31+'Inputs'!$B$32,'Inputs'!$B$30+'Inputs'!$B$31+'Inputs'!$B$32)/1000+'Inputs'!$B$21+'Inputs'!$B$7+'Inputs'!$B$10)+'Inputs'!$B$9)^2+('Inputs'!$B$8/2)^2)-(((658-43)*MAX('Inputs'!$B$33,'Inputs'!$B$29+'Inputs'!$B$31+'Inputs'!$B$32,'Inputs'!$B$30+'Inputs'!$B$31+'Inputs'!$B$32)/1000+'Inputs'!$B$21+'Inputs'!$B$7+'Inputs'!$B$10))/SQRT((((658-43)*MAX('Inputs'!$B$33,'Inputs'!$B$29+'Inputs'!$B$31+'Inputs'!$B$32,'Inputs'!$B$30+'Inputs'!$B$31+'Inputs'!$B$32)/1000+'Inputs'!$B$21+'Inputs'!$B$7+'Inputs'!$B$10))^2+('Inputs'!$B$8/2)^2))))*'Results'!$B$8),"")</x:f>
        <x:v>2.0411519730883367</x:v>
      </x:c>
      <x:c r="K658" t="n">
        <x:f>IF(AND(ISNUMBER('Results'!B7),ISNUMBER('Results'!C7),ISNUMBER('Results'!$B$8),ISNUMBER('Inputs'!$B$6),ISNUMBER('Inputs'!$B$7),ISNUMBER('Inputs'!$B$8),ISNUMBER('Inputs'!$B$9),ISNUMBER('Inputs'!$B$10),ISNUMBER('Inputs'!$B$21),ISNUMBER('Inputs'!$B$24),ISNUMBER('Inputs'!$B$28)),((('Results'!B7*(1-'Inputs'!$B$24)*(0.5*((((658-43)*MAX('Inputs'!$B$33,'Inputs'!$B$29+'Inputs'!$B$31+'Inputs'!$B$32,'Inputs'!$B$30+'Inputs'!$B$31+'Inputs'!$B$32)/1000+'Inputs'!$B$21)+'Inputs'!$B$7)/SQRT((((658-43)*MAX('Inputs'!$B$33,'Inputs'!$B$29+'Inputs'!$B$31+'Inputs'!$B$32,'Inputs'!$B$30+'Inputs'!$B$31+'Inputs'!$B$32)/1000+'Inputs'!$B$21)+'Inputs'!$B$7)^2+('Inputs'!$B$6/2)^2)-(((658-43)*MAX('Inputs'!$B$33,'Inputs'!$B$29+'Inputs'!$B$31+'Inputs'!$B$32,'Inputs'!$B$30+'Inputs'!$B$31+'Inputs'!$B$32)/1000+'Inputs'!$B$21))/SQRT((((658-43)*MAX('Inputs'!$B$33,'Inputs'!$B$29+'Inputs'!$B$31+'Inputs'!$B$32,'Inputs'!$B$30+'Inputs'!$B$31+'Inputs'!$B$32)/1000+'Inputs'!$B$21))^2+('Inputs'!$B$6/2)^2)))-'Results'!C7*(1+'Inputs'!$B$24)*(0.5*((((658-43)*MAX('Inputs'!$B$33,'Inputs'!$B$29+'Inputs'!$B$31+'Inputs'!$B$32,'Inputs'!$B$30+'Inputs'!$B$31+'Inputs'!$B$32)/1000+'Inputs'!$B$21+'Inputs'!$B$7+'Inputs'!$B$10)+'Inputs'!$B$9)/SQRT((((658-43)*MAX('Inputs'!$B$33,'Inputs'!$B$29+'Inputs'!$B$31+'Inputs'!$B$32,'Inputs'!$B$30+'Inputs'!$B$31+'Inputs'!$B$32)/1000+'Inputs'!$B$21+'Inputs'!$B$7+'Inputs'!$B$10)+'Inputs'!$B$9)^2+('Inputs'!$B$8/2)^2)-(((658-43)*MAX('Inputs'!$B$33,'Inputs'!$B$29+'Inputs'!$B$31+'Inputs'!$B$32,'Inputs'!$B$30+'Inputs'!$B$31+'Inputs'!$B$32)/1000+'Inputs'!$B$21+'Inputs'!$B$7+'Inputs'!$B$10))/SQRT((((658-43)*MAX('Inputs'!$B$33,'Inputs'!$B$29+'Inputs'!$B$31+'Inputs'!$B$32,'Inputs'!$B$30+'Inputs'!$B$31+'Inputs'!$B$32)/1000+'Inputs'!$B$21+'Inputs'!$B$7+'Inputs'!$B$10))^2+('Inputs'!$B$8/2)^2))))*'Results'!$B$8)-'Inputs'!$B$28*ABS((('Results'!B7*(1-'Inputs'!$B$24)*(0.5*((((658-43)*MAX('Inputs'!$B$33,'Inputs'!$B$29+'Inputs'!$B$31+'Inputs'!$B$32,'Inputs'!$B$30+'Inputs'!$B$31+'Inputs'!$B$32)/1000+'Inputs'!$B$21)+'Inputs'!$B$7)/SQRT((((658-43)*MAX('Inputs'!$B$33,'Inputs'!$B$29+'Inputs'!$B$31+'Inputs'!$B$32,'Inputs'!$B$30+'Inputs'!$B$31+'Inputs'!$B$32)/1000+'Inputs'!$B$21)+'Inputs'!$B$7)^2+('Inputs'!$B$6/2)^2)-(((658-43)*MAX('Inputs'!$B$33,'Inputs'!$B$29+'Inputs'!$B$31+'Inputs'!$B$32,'Inputs'!$B$30+'Inputs'!$B$31+'Inputs'!$B$32)/1000+'Inputs'!$B$21))/SQRT((((658-43)*MAX('Inputs'!$B$33,'Inputs'!$B$29+'Inputs'!$B$31+'Inputs'!$B$32,'Inputs'!$B$30+'Inputs'!$B$31+'Inputs'!$B$32)/1000+'Inputs'!$B$21))^2+('Inputs'!$B$6/2)^2)))-'Results'!C7*(1+'Inputs'!$B$24)*(0.5*((((658-43)*MAX('Inputs'!$B$33,'Inputs'!$B$29+'Inputs'!$B$31+'Inputs'!$B$32,'Inputs'!$B$30+'Inputs'!$B$31+'Inputs'!$B$32)/1000+'Inputs'!$B$21+'Inputs'!$B$7+'Inputs'!$B$10)+'Inputs'!$B$9)/SQRT((((658-43)*MAX('Inputs'!$B$33,'Inputs'!$B$29+'Inputs'!$B$31+'Inputs'!$B$32,'Inputs'!$B$30+'Inputs'!$B$31+'Inputs'!$B$32)/1000+'Inputs'!$B$21+'Inputs'!$B$7+'Inputs'!$B$10)+'Inputs'!$B$9)^2+('Inputs'!$B$8/2)^2)-(((658-43)*MAX('Inputs'!$B$33,'Inputs'!$B$29+'Inputs'!$B$31+'Inputs'!$B$32,'Inputs'!$B$30+'Inputs'!$B$31+'Inputs'!$B$32)/1000+'Inputs'!$B$21+'Inputs'!$B$7+'Inputs'!$B$10))/SQRT((((658-43)*MAX('Inputs'!$B$33,'Inputs'!$B$29+'Inputs'!$B$31+'Inputs'!$B$32,'Inputs'!$B$30+'Inputs'!$B$31+'Inputs'!$B$32)/1000+'Inputs'!$B$21+'Inputs'!$B$7+'Inputs'!$B$10))^2+('Inputs'!$B$8/2)^2))))*'Results'!$B$8))),"")</x:f>
        <x:v>1.7844207534359566</x:v>
      </x:c>
      <x:c r="L658" t="n">
        <x:f>IF(AND(ISNUMBER('Results'!B7),ISNUMBER('Results'!C7),ISNUMBER('Results'!$B$8),ISNUMBER('Inputs'!$B$6),ISNUMBER('Inputs'!$B$7),ISNUMBER('Inputs'!$B$8),ISNUMBER('Inputs'!$B$9),ISNUMBER('Inputs'!$B$10),ISNUMBER('Inputs'!$B$21),ISNUMBER('Inputs'!$B$24),ISNUMBER('Inputs'!$B$28)),((('Results'!B7*(1+'Inputs'!$B$24)*(0.5*((((658-43)*MAX('Inputs'!$B$33,'Inputs'!$B$29+'Inputs'!$B$31+'Inputs'!$B$32,'Inputs'!$B$30+'Inputs'!$B$31+'Inputs'!$B$32)/1000+'Inputs'!$B$21)+'Inputs'!$B$7)/SQRT((((658-43)*MAX('Inputs'!$B$33,'Inputs'!$B$29+'Inputs'!$B$31+'Inputs'!$B$32,'Inputs'!$B$30+'Inputs'!$B$31+'Inputs'!$B$32)/1000+'Inputs'!$B$21)+'Inputs'!$B$7)^2+('Inputs'!$B$6/2)^2)-(((658-43)*MAX('Inputs'!$B$33,'Inputs'!$B$29+'Inputs'!$B$31+'Inputs'!$B$32,'Inputs'!$B$30+'Inputs'!$B$31+'Inputs'!$B$32)/1000+'Inputs'!$B$21))/SQRT((((658-43)*MAX('Inputs'!$B$33,'Inputs'!$B$29+'Inputs'!$B$31+'Inputs'!$B$32,'Inputs'!$B$30+'Inputs'!$B$31+'Inputs'!$B$32)/1000+'Inputs'!$B$21))^2+('Inputs'!$B$6/2)^2)))-'Results'!C7*(1-'Inputs'!$B$24)*(0.5*((((658-43)*MAX('Inputs'!$B$33,'Inputs'!$B$29+'Inputs'!$B$31+'Inputs'!$B$32,'Inputs'!$B$30+'Inputs'!$B$31+'Inputs'!$B$32)/1000+'Inputs'!$B$21+'Inputs'!$B$7+'Inputs'!$B$10)+'Inputs'!$B$9)/SQRT((((658-43)*MAX('Inputs'!$B$33,'Inputs'!$B$29+'Inputs'!$B$31+'Inputs'!$B$32,'Inputs'!$B$30+'Inputs'!$B$31+'Inputs'!$B$32)/1000+'Inputs'!$B$21+'Inputs'!$B$7+'Inputs'!$B$10)+'Inputs'!$B$9)^2+('Inputs'!$B$8/2)^2)-(((658-43)*MAX('Inputs'!$B$33,'Inputs'!$B$29+'Inputs'!$B$31+'Inputs'!$B$32,'Inputs'!$B$30+'Inputs'!$B$31+'Inputs'!$B$32)/1000+'Inputs'!$B$21+'Inputs'!$B$7+'Inputs'!$B$10))/SQRT((((658-43)*MAX('Inputs'!$B$33,'Inputs'!$B$29+'Inputs'!$B$31+'Inputs'!$B$32,'Inputs'!$B$30+'Inputs'!$B$31+'Inputs'!$B$32)/1000+'Inputs'!$B$21+'Inputs'!$B$7+'Inputs'!$B$10))^2+('Inputs'!$B$8/2)^2))))*'Results'!$B$8)+'Inputs'!$B$28*ABS((('Results'!B7*(1+'Inputs'!$B$24)*(0.5*((((658-43)*MAX('Inputs'!$B$33,'Inputs'!$B$29+'Inputs'!$B$31+'Inputs'!$B$32,'Inputs'!$B$30+'Inputs'!$B$31+'Inputs'!$B$32)/1000+'Inputs'!$B$21)+'Inputs'!$B$7)/SQRT((((658-43)*MAX('Inputs'!$B$33,'Inputs'!$B$29+'Inputs'!$B$31+'Inputs'!$B$32,'Inputs'!$B$30+'Inputs'!$B$31+'Inputs'!$B$32)/1000+'Inputs'!$B$21)+'Inputs'!$B$7)^2+('Inputs'!$B$6/2)^2)-(((658-43)*MAX('Inputs'!$B$33,'Inputs'!$B$29+'Inputs'!$B$31+'Inputs'!$B$32,'Inputs'!$B$30+'Inputs'!$B$31+'Inputs'!$B$32)/1000+'Inputs'!$B$21))/SQRT((((658-43)*MAX('Inputs'!$B$33,'Inputs'!$B$29+'Inputs'!$B$31+'Inputs'!$B$32,'Inputs'!$B$30+'Inputs'!$B$31+'Inputs'!$B$32)/1000+'Inputs'!$B$21))^2+('Inputs'!$B$6/2)^2)))-'Results'!C7*(1-'Inputs'!$B$24)*(0.5*((((658-43)*MAX('Inputs'!$B$33,'Inputs'!$B$29+'Inputs'!$B$31+'Inputs'!$B$32,'Inputs'!$B$30+'Inputs'!$B$31+'Inputs'!$B$32)/1000+'Inputs'!$B$21+'Inputs'!$B$7+'Inputs'!$B$10)+'Inputs'!$B$9)/SQRT((((658-43)*MAX('Inputs'!$B$33,'Inputs'!$B$29+'Inputs'!$B$31+'Inputs'!$B$32,'Inputs'!$B$30+'Inputs'!$B$31+'Inputs'!$B$32)/1000+'Inputs'!$B$21+'Inputs'!$B$7+'Inputs'!$B$10)+'Inputs'!$B$9)^2+('Inputs'!$B$8/2)^2)-(((658-43)*MAX('Inputs'!$B$33,'Inputs'!$B$29+'Inputs'!$B$31+'Inputs'!$B$32,'Inputs'!$B$30+'Inputs'!$B$31+'Inputs'!$B$32)/1000+'Inputs'!$B$21+'Inputs'!$B$7+'Inputs'!$B$10))/SQRT((((658-43)*MAX('Inputs'!$B$33,'Inputs'!$B$29+'Inputs'!$B$31+'Inputs'!$B$32,'Inputs'!$B$30+'Inputs'!$B$31+'Inputs'!$B$32)/1000+'Inputs'!$B$21+'Inputs'!$B$7+'Inputs'!$B$10))^2+('Inputs'!$B$8/2)^2))))*'Results'!$B$8))),"")</x:f>
        <x:v>2.314164626529976</x:v>
      </x:c>
      <x:c r="M658" t="n">
        <x:f>IF(AND(ISNUMBER('Results'!C7),ISNUMBER('Results'!B7),ISNUMBER('Results'!$B$8),ISNUMBER('Inputs'!$B$6),ISNUMBER('Inputs'!$B$7),ISNUMBER('Inputs'!$B$8),ISNUMBER('Inputs'!$B$9),ISNUMBER('Inputs'!$B$10),ISNUMBER('Inputs'!$B$21),ISNUMBER('Inputs'!$B$24),ISNUMBER('Inputs'!$B$28)),(('Results'!C7*(0.5*((((658-43)*MAX('Inputs'!$B$33,'Inputs'!$B$29+'Inputs'!$B$31+'Inputs'!$B$32,'Inputs'!$B$30+'Inputs'!$B$31+'Inputs'!$B$32)/1000+'Inputs'!$B$21)+'Inputs'!$B$9)/SQRT((((658-43)*MAX('Inputs'!$B$33,'Inputs'!$B$29+'Inputs'!$B$31+'Inputs'!$B$32,'Inputs'!$B$30+'Inputs'!$B$31+'Inputs'!$B$32)/1000+'Inputs'!$B$21)+'Inputs'!$B$9)^2+('Inputs'!$B$8/2)^2)-(((658-43)*MAX('Inputs'!$B$33,'Inputs'!$B$29+'Inputs'!$B$31+'Inputs'!$B$32,'Inputs'!$B$30+'Inputs'!$B$31+'Inputs'!$B$32)/1000+'Inputs'!$B$21))/SQRT((((658-43)*MAX('Inputs'!$B$33,'Inputs'!$B$29+'Inputs'!$B$31+'Inputs'!$B$32,'Inputs'!$B$30+'Inputs'!$B$31+'Inputs'!$B$32)/1000+'Inputs'!$B$21))^2+('Inputs'!$B$8/2)^2)))-'Results'!B7*(0.5*((((658-43)*MAX('Inputs'!$B$33,'Inputs'!$B$29+'Inputs'!$B$31+'Inputs'!$B$32,'Inputs'!$B$30+'Inputs'!$B$31+'Inputs'!$B$32)/1000+'Inputs'!$B$21+'Inputs'!$B$9+'Inputs'!$B$10)+'Inputs'!$B$7)/SQRT((((658-43)*MAX('Inputs'!$B$33,'Inputs'!$B$29+'Inputs'!$B$31+'Inputs'!$B$32,'Inputs'!$B$30+'Inputs'!$B$31+'Inputs'!$B$32)/1000+'Inputs'!$B$21+'Inputs'!$B$9+'Inputs'!$B$10)+'Inputs'!$B$7)^2+('Inputs'!$B$6/2)^2)-(((658-43)*MAX('Inputs'!$B$33,'Inputs'!$B$29+'Inputs'!$B$31+'Inputs'!$B$32,'Inputs'!$B$30+'Inputs'!$B$31+'Inputs'!$B$32)/1000+'Inputs'!$B$21+'Inputs'!$B$9+'Inputs'!$B$10))/SQRT((((658-43)*MAX('Inputs'!$B$33,'Inputs'!$B$29+'Inputs'!$B$31+'Inputs'!$B$32,'Inputs'!$B$30+'Inputs'!$B$31+'Inputs'!$B$32)/1000+'Inputs'!$B$21+'Inputs'!$B$9+'Inputs'!$B$10))^2+('Inputs'!$B$6/2)^2))))*'Results'!$B$8),"")</x:f>
        <x:v>1.8770928260280828</x:v>
      </x:c>
      <x:c r="N658" t="n">
        <x:f>IF(AND(ISNUMBER('Results'!C7),ISNUMBER('Results'!B7),ISNUMBER('Results'!$B$8),ISNUMBER('Inputs'!$B$6),ISNUMBER('Inputs'!$B$7),ISNUMBER('Inputs'!$B$8),ISNUMBER('Inputs'!$B$9),ISNUMBER('Inputs'!$B$10),ISNUMBER('Inputs'!$B$21),ISNUMBER('Inputs'!$B$24),ISNUMBER('Inputs'!$B$28)),((('Results'!C7*(1-'Inputs'!$B$24)*(0.5*((((658-43)*MAX('Inputs'!$B$33,'Inputs'!$B$29+'Inputs'!$B$31+'Inputs'!$B$32,'Inputs'!$B$30+'Inputs'!$B$31+'Inputs'!$B$32)/1000+'Inputs'!$B$21)+'Inputs'!$B$9)/SQRT((((658-43)*MAX('Inputs'!$B$33,'Inputs'!$B$29+'Inputs'!$B$31+'Inputs'!$B$32,'Inputs'!$B$30+'Inputs'!$B$31+'Inputs'!$B$32)/1000+'Inputs'!$B$21)+'Inputs'!$B$9)^2+('Inputs'!$B$8/2)^2)-(((658-43)*MAX('Inputs'!$B$33,'Inputs'!$B$29+'Inputs'!$B$31+'Inputs'!$B$32,'Inputs'!$B$30+'Inputs'!$B$31+'Inputs'!$B$32)/1000+'Inputs'!$B$21))/SQRT((((658-43)*MAX('Inputs'!$B$33,'Inputs'!$B$29+'Inputs'!$B$31+'Inputs'!$B$32,'Inputs'!$B$30+'Inputs'!$B$31+'Inputs'!$B$32)/1000+'Inputs'!$B$21))^2+('Inputs'!$B$8/2)^2)))-'Results'!B7*(1+'Inputs'!$B$24)*(0.5*((((658-43)*MAX('Inputs'!$B$33,'Inputs'!$B$29+'Inputs'!$B$31+'Inputs'!$B$32,'Inputs'!$B$30+'Inputs'!$B$31+'Inputs'!$B$32)/1000+'Inputs'!$B$21+'Inputs'!$B$9+'Inputs'!$B$10)+'Inputs'!$B$7)/SQRT((((658-43)*MAX('Inputs'!$B$33,'Inputs'!$B$29+'Inputs'!$B$31+'Inputs'!$B$32,'Inputs'!$B$30+'Inputs'!$B$31+'Inputs'!$B$32)/1000+'Inputs'!$B$21+'Inputs'!$B$9+'Inputs'!$B$10)+'Inputs'!$B$7)^2+('Inputs'!$B$6/2)^2)-(((658-43)*MAX('Inputs'!$B$33,'Inputs'!$B$29+'Inputs'!$B$31+'Inputs'!$B$32,'Inputs'!$B$30+'Inputs'!$B$31+'Inputs'!$B$32)/1000+'Inputs'!$B$21+'Inputs'!$B$9+'Inputs'!$B$10))/SQRT((((658-43)*MAX('Inputs'!$B$33,'Inputs'!$B$29+'Inputs'!$B$31+'Inputs'!$B$32,'Inputs'!$B$30+'Inputs'!$B$31+'Inputs'!$B$32)/1000+'Inputs'!$B$21+'Inputs'!$B$9+'Inputs'!$B$10))^2+('Inputs'!$B$6/2)^2))))*'Results'!$B$8)-'Inputs'!$B$28*ABS((('Results'!C7*(1-'Inputs'!$B$24)*(0.5*((((658-43)*MAX('Inputs'!$B$33,'Inputs'!$B$29+'Inputs'!$B$31+'Inputs'!$B$32,'Inputs'!$B$30+'Inputs'!$B$31+'Inputs'!$B$32)/1000+'Inputs'!$B$21)+'Inputs'!$B$9)/SQRT((((658-43)*MAX('Inputs'!$B$33,'Inputs'!$B$29+'Inputs'!$B$31+'Inputs'!$B$32,'Inputs'!$B$30+'Inputs'!$B$31+'Inputs'!$B$32)/1000+'Inputs'!$B$21)+'Inputs'!$B$9)^2+('Inputs'!$B$8/2)^2)-(((658-43)*MAX('Inputs'!$B$33,'Inputs'!$B$29+'Inputs'!$B$31+'Inputs'!$B$32,'Inputs'!$B$30+'Inputs'!$B$31+'Inputs'!$B$32)/1000+'Inputs'!$B$21))/SQRT((((658-43)*MAX('Inputs'!$B$33,'Inputs'!$B$29+'Inputs'!$B$31+'Inputs'!$B$32,'Inputs'!$B$30+'Inputs'!$B$31+'Inputs'!$B$32)/1000+'Inputs'!$B$21))^2+('Inputs'!$B$8/2)^2)))-'Results'!B7*(1+'Inputs'!$B$24)*(0.5*((((658-43)*MAX('Inputs'!$B$33,'Inputs'!$B$29+'Inputs'!$B$31+'Inputs'!$B$32,'Inputs'!$B$30+'Inputs'!$B$31+'Inputs'!$B$32)/1000+'Inputs'!$B$21+'Inputs'!$B$9+'Inputs'!$B$10)+'Inputs'!$B$7)/SQRT((((658-43)*MAX('Inputs'!$B$33,'Inputs'!$B$29+'Inputs'!$B$31+'Inputs'!$B$32,'Inputs'!$B$30+'Inputs'!$B$31+'Inputs'!$B$32)/1000+'Inputs'!$B$21+'Inputs'!$B$9+'Inputs'!$B$10)+'Inputs'!$B$7)^2+('Inputs'!$B$6/2)^2)-(((658-43)*MAX('Inputs'!$B$33,'Inputs'!$B$29+'Inputs'!$B$31+'Inputs'!$B$32,'Inputs'!$B$30+'Inputs'!$B$31+'Inputs'!$B$32)/1000+'Inputs'!$B$21+'Inputs'!$B$9+'Inputs'!$B$10))/SQRT((((658-43)*MAX('Inputs'!$B$33,'Inputs'!$B$29+'Inputs'!$B$31+'Inputs'!$B$32,'Inputs'!$B$30+'Inputs'!$B$31+'Inputs'!$B$32)/1000+'Inputs'!$B$21+'Inputs'!$B$9+'Inputs'!$B$10))^2+('Inputs'!$B$6/2)^2))))*'Results'!$B$8))),"")</x:f>
        <x:v>1.6293165501043028</x:v>
      </x:c>
      <x:c r="O658" t="n">
        <x:f>IF(AND(ISNUMBER('Results'!C7),ISNUMBER('Results'!B7),ISNUMBER('Results'!$B$8),ISNUMBER('Inputs'!$B$6),ISNUMBER('Inputs'!$B$7),ISNUMBER('Inputs'!$B$8),ISNUMBER('Inputs'!$B$9),ISNUMBER('Inputs'!$B$10),ISNUMBER('Inputs'!$B$21),ISNUMBER('Inputs'!$B$24),ISNUMBER('Inputs'!$B$28)),((('Results'!C7*(1+'Inputs'!$B$24)*(0.5*((((658-43)*MAX('Inputs'!$B$33,'Inputs'!$B$29+'Inputs'!$B$31+'Inputs'!$B$32,'Inputs'!$B$30+'Inputs'!$B$31+'Inputs'!$B$32)/1000+'Inputs'!$B$21)+'Inputs'!$B$9)/SQRT((((658-43)*MAX('Inputs'!$B$33,'Inputs'!$B$29+'Inputs'!$B$31+'Inputs'!$B$32,'Inputs'!$B$30+'Inputs'!$B$31+'Inputs'!$B$32)/1000+'Inputs'!$B$21)+'Inputs'!$B$9)^2+('Inputs'!$B$8/2)^2)-(((658-43)*MAX('Inputs'!$B$33,'Inputs'!$B$29+'Inputs'!$B$31+'Inputs'!$B$32,'Inputs'!$B$30+'Inputs'!$B$31+'Inputs'!$B$32)/1000+'Inputs'!$B$21))/SQRT((((658-43)*MAX('Inputs'!$B$33,'Inputs'!$B$29+'Inputs'!$B$31+'Inputs'!$B$32,'Inputs'!$B$30+'Inputs'!$B$31+'Inputs'!$B$32)/1000+'Inputs'!$B$21))^2+('Inputs'!$B$8/2)^2)))-'Results'!B7*(1-'Inputs'!$B$24)*(0.5*((((658-43)*MAX('Inputs'!$B$33,'Inputs'!$B$29+'Inputs'!$B$31+'Inputs'!$B$32,'Inputs'!$B$30+'Inputs'!$B$31+'Inputs'!$B$32)/1000+'Inputs'!$B$21+'Inputs'!$B$9+'Inputs'!$B$10)+'Inputs'!$B$7)/SQRT((((658-43)*MAX('Inputs'!$B$33,'Inputs'!$B$29+'Inputs'!$B$31+'Inputs'!$B$32,'Inputs'!$B$30+'Inputs'!$B$31+'Inputs'!$B$32)/1000+'Inputs'!$B$21+'Inputs'!$B$9+'Inputs'!$B$10)+'Inputs'!$B$7)^2+('Inputs'!$B$6/2)^2)-(((658-43)*MAX('Inputs'!$B$33,'Inputs'!$B$29+'Inputs'!$B$31+'Inputs'!$B$32,'Inputs'!$B$30+'Inputs'!$B$31+'Inputs'!$B$32)/1000+'Inputs'!$B$21+'Inputs'!$B$9+'Inputs'!$B$10))/SQRT((((658-43)*MAX('Inputs'!$B$33,'Inputs'!$B$29+'Inputs'!$B$31+'Inputs'!$B$32,'Inputs'!$B$30+'Inputs'!$B$31+'Inputs'!$B$32)/1000+'Inputs'!$B$21+'Inputs'!$B$9+'Inputs'!$B$10))^2+('Inputs'!$B$6/2)^2))))*'Results'!$B$8)+'Inputs'!$B$28*ABS((('Results'!C7*(1+'Inputs'!$B$24)*(0.5*((((658-43)*MAX('Inputs'!$B$33,'Inputs'!$B$29+'Inputs'!$B$31+'Inputs'!$B$32,'Inputs'!$B$30+'Inputs'!$B$31+'Inputs'!$B$32)/1000+'Inputs'!$B$21)+'Inputs'!$B$9)/SQRT((((658-43)*MAX('Inputs'!$B$33,'Inputs'!$B$29+'Inputs'!$B$31+'Inputs'!$B$32,'Inputs'!$B$30+'Inputs'!$B$31+'Inputs'!$B$32)/1000+'Inputs'!$B$21)+'Inputs'!$B$9)^2+('Inputs'!$B$8/2)^2)-(((658-43)*MAX('Inputs'!$B$33,'Inputs'!$B$29+'Inputs'!$B$31+'Inputs'!$B$32,'Inputs'!$B$30+'Inputs'!$B$31+'Inputs'!$B$32)/1000+'Inputs'!$B$21))/SQRT((((658-43)*MAX('Inputs'!$B$33,'Inputs'!$B$29+'Inputs'!$B$31+'Inputs'!$B$32,'Inputs'!$B$30+'Inputs'!$B$31+'Inputs'!$B$32)/1000+'Inputs'!$B$21))^2+('Inputs'!$B$8/2)^2)))-'Results'!B7*(1-'Inputs'!$B$24)*(0.5*((((658-43)*MAX('Inputs'!$B$33,'Inputs'!$B$29+'Inputs'!$B$31+'Inputs'!$B$32,'Inputs'!$B$30+'Inputs'!$B$31+'Inputs'!$B$32)/1000+'Inputs'!$B$21+'Inputs'!$B$9+'Inputs'!$B$10)+'Inputs'!$B$7)/SQRT((((658-43)*MAX('Inputs'!$B$33,'Inputs'!$B$29+'Inputs'!$B$31+'Inputs'!$B$32,'Inputs'!$B$30+'Inputs'!$B$31+'Inputs'!$B$32)/1000+'Inputs'!$B$21+'Inputs'!$B$9+'Inputs'!$B$10)+'Inputs'!$B$7)^2+('Inputs'!$B$6/2)^2)-(((658-43)*MAX('Inputs'!$B$33,'Inputs'!$B$29+'Inputs'!$B$31+'Inputs'!$B$32,'Inputs'!$B$30+'Inputs'!$B$31+'Inputs'!$B$32)/1000+'Inputs'!$B$21+'Inputs'!$B$9+'Inputs'!$B$10))/SQRT((((658-43)*MAX('Inputs'!$B$33,'Inputs'!$B$29+'Inputs'!$B$31+'Inputs'!$B$32,'Inputs'!$B$30+'Inputs'!$B$31+'Inputs'!$B$32)/1000+'Inputs'!$B$21+'Inputs'!$B$9+'Inputs'!$B$10))^2+('Inputs'!$B$6/2)^2))))*'Results'!$B$8))),"")</x:f>
        <x:v>2.141071379280533</x:v>
      </x:c>
      <x:c r="P658" t="n">
        <x:f>IF(AND(MAX(J658,J657)&gt;0,J658&gt;J657+0.00000001),1,0)</x:f>
        <x:v>0</x:v>
      </x:c>
      <x:c r="Q658" t="n">
        <x:f>IF(AND(MAX(K658,K657)&gt;0,K658&gt;K657+0.00000001),1,0)</x:f>
        <x:v>0</x:v>
      </x:c>
      <x:c r="R658" t="n">
        <x:f>IF(AND(MAX(L658,L657)&gt;0,L658&gt;L657+0.00000001),1,0)</x:f>
        <x:v>0</x:v>
      </x:c>
      <x:c r="S658" t="n">
        <x:f>IF(AND(MAX(M658,M657)&gt;0,M658&gt;M657+0.00000001),1,0)</x:f>
        <x:v>0</x:v>
      </x:c>
      <x:c r="T658" t="n">
        <x:f>IF(AND(MAX(N658,N657)&gt;0,N658&gt;N657+0.00000001),1,0)</x:f>
        <x:v>0</x:v>
      </x:c>
      <x:c r="U658" t="n">
        <x:f>IF(AND(MAX(O658,O657)&gt;0,O658&gt;O657+0.00000001),1,0)</x:f>
        <x:v>0</x:v>
      </x:c>
    </x:row>
    <x:row r="659">
      <x:c r="J659" t="n">
        <x:f>IF(AND(ISNUMBER('Results'!B7),ISNUMBER('Results'!C7),ISNUMBER('Results'!$B$8),ISNUMBER('Inputs'!$B$6),ISNUMBER('Inputs'!$B$7),ISNUMBER('Inputs'!$B$8),ISNUMBER('Inputs'!$B$9),ISNUMBER('Inputs'!$B$10),ISNUMBER('Inputs'!$B$21),ISNUMBER('Inputs'!$B$24),ISNUMBER('Inputs'!$B$28)),(('Results'!B7*(0.5*((((659-43)*MAX('Inputs'!$B$33,'Inputs'!$B$29+'Inputs'!$B$31+'Inputs'!$B$32,'Inputs'!$B$30+'Inputs'!$B$31+'Inputs'!$B$32)/1000+'Inputs'!$B$21)+'Inputs'!$B$7)/SQRT((((659-43)*MAX('Inputs'!$B$33,'Inputs'!$B$29+'Inputs'!$B$31+'Inputs'!$B$32,'Inputs'!$B$30+'Inputs'!$B$31+'Inputs'!$B$32)/1000+'Inputs'!$B$21)+'Inputs'!$B$7)^2+('Inputs'!$B$6/2)^2)-(((659-43)*MAX('Inputs'!$B$33,'Inputs'!$B$29+'Inputs'!$B$31+'Inputs'!$B$32,'Inputs'!$B$30+'Inputs'!$B$31+'Inputs'!$B$32)/1000+'Inputs'!$B$21))/SQRT((((659-43)*MAX('Inputs'!$B$33,'Inputs'!$B$29+'Inputs'!$B$31+'Inputs'!$B$32,'Inputs'!$B$30+'Inputs'!$B$31+'Inputs'!$B$32)/1000+'Inputs'!$B$21))^2+('Inputs'!$B$6/2)^2)))-'Results'!C7*(0.5*((((659-43)*MAX('Inputs'!$B$33,'Inputs'!$B$29+'Inputs'!$B$31+'Inputs'!$B$32,'Inputs'!$B$30+'Inputs'!$B$31+'Inputs'!$B$32)/1000+'Inputs'!$B$21+'Inputs'!$B$7+'Inputs'!$B$10)+'Inputs'!$B$9)/SQRT((((659-43)*MAX('Inputs'!$B$33,'Inputs'!$B$29+'Inputs'!$B$31+'Inputs'!$B$32,'Inputs'!$B$30+'Inputs'!$B$31+'Inputs'!$B$32)/1000+'Inputs'!$B$21+'Inputs'!$B$7+'Inputs'!$B$10)+'Inputs'!$B$9)^2+('Inputs'!$B$8/2)^2)-(((659-43)*MAX('Inputs'!$B$33,'Inputs'!$B$29+'Inputs'!$B$31+'Inputs'!$B$32,'Inputs'!$B$30+'Inputs'!$B$31+'Inputs'!$B$32)/1000+'Inputs'!$B$21+'Inputs'!$B$7+'Inputs'!$B$10))/SQRT((((659-43)*MAX('Inputs'!$B$33,'Inputs'!$B$29+'Inputs'!$B$31+'Inputs'!$B$32,'Inputs'!$B$30+'Inputs'!$B$31+'Inputs'!$B$32)/1000+'Inputs'!$B$21+'Inputs'!$B$7+'Inputs'!$B$10))^2+('Inputs'!$B$8/2)^2))))*'Results'!$B$8),"")</x:f>
        <x:v>2.0295591309517236</x:v>
      </x:c>
      <x:c r="K659" t="n">
        <x:f>IF(AND(ISNUMBER('Results'!B7),ISNUMBER('Results'!C7),ISNUMBER('Results'!$B$8),ISNUMBER('Inputs'!$B$6),ISNUMBER('Inputs'!$B$7),ISNUMBER('Inputs'!$B$8),ISNUMBER('Inputs'!$B$9),ISNUMBER('Inputs'!$B$10),ISNUMBER('Inputs'!$B$21),ISNUMBER('Inputs'!$B$24),ISNUMBER('Inputs'!$B$28)),((('Results'!B7*(1-'Inputs'!$B$24)*(0.5*((((659-43)*MAX('Inputs'!$B$33,'Inputs'!$B$29+'Inputs'!$B$31+'Inputs'!$B$32,'Inputs'!$B$30+'Inputs'!$B$31+'Inputs'!$B$32)/1000+'Inputs'!$B$21)+'Inputs'!$B$7)/SQRT((((659-43)*MAX('Inputs'!$B$33,'Inputs'!$B$29+'Inputs'!$B$31+'Inputs'!$B$32,'Inputs'!$B$30+'Inputs'!$B$31+'Inputs'!$B$32)/1000+'Inputs'!$B$21)+'Inputs'!$B$7)^2+('Inputs'!$B$6/2)^2)-(((659-43)*MAX('Inputs'!$B$33,'Inputs'!$B$29+'Inputs'!$B$31+'Inputs'!$B$32,'Inputs'!$B$30+'Inputs'!$B$31+'Inputs'!$B$32)/1000+'Inputs'!$B$21))/SQRT((((659-43)*MAX('Inputs'!$B$33,'Inputs'!$B$29+'Inputs'!$B$31+'Inputs'!$B$32,'Inputs'!$B$30+'Inputs'!$B$31+'Inputs'!$B$32)/1000+'Inputs'!$B$21))^2+('Inputs'!$B$6/2)^2)))-'Results'!C7*(1+'Inputs'!$B$24)*(0.5*((((659-43)*MAX('Inputs'!$B$33,'Inputs'!$B$29+'Inputs'!$B$31+'Inputs'!$B$32,'Inputs'!$B$30+'Inputs'!$B$31+'Inputs'!$B$32)/1000+'Inputs'!$B$21+'Inputs'!$B$7+'Inputs'!$B$10)+'Inputs'!$B$9)/SQRT((((659-43)*MAX('Inputs'!$B$33,'Inputs'!$B$29+'Inputs'!$B$31+'Inputs'!$B$32,'Inputs'!$B$30+'Inputs'!$B$31+'Inputs'!$B$32)/1000+'Inputs'!$B$21+'Inputs'!$B$7+'Inputs'!$B$10)+'Inputs'!$B$9)^2+('Inputs'!$B$8/2)^2)-(((659-43)*MAX('Inputs'!$B$33,'Inputs'!$B$29+'Inputs'!$B$31+'Inputs'!$B$32,'Inputs'!$B$30+'Inputs'!$B$31+'Inputs'!$B$32)/1000+'Inputs'!$B$21+'Inputs'!$B$7+'Inputs'!$B$10))/SQRT((((659-43)*MAX('Inputs'!$B$33,'Inputs'!$B$29+'Inputs'!$B$31+'Inputs'!$B$32,'Inputs'!$B$30+'Inputs'!$B$31+'Inputs'!$B$32)/1000+'Inputs'!$B$21+'Inputs'!$B$7+'Inputs'!$B$10))^2+('Inputs'!$B$8/2)^2))))*'Results'!$B$8)-'Inputs'!$B$28*ABS((('Results'!B7*(1-'Inputs'!$B$24)*(0.5*((((659-43)*MAX('Inputs'!$B$33,'Inputs'!$B$29+'Inputs'!$B$31+'Inputs'!$B$32,'Inputs'!$B$30+'Inputs'!$B$31+'Inputs'!$B$32)/1000+'Inputs'!$B$21)+'Inputs'!$B$7)/SQRT((((659-43)*MAX('Inputs'!$B$33,'Inputs'!$B$29+'Inputs'!$B$31+'Inputs'!$B$32,'Inputs'!$B$30+'Inputs'!$B$31+'Inputs'!$B$32)/1000+'Inputs'!$B$21)+'Inputs'!$B$7)^2+('Inputs'!$B$6/2)^2)-(((659-43)*MAX('Inputs'!$B$33,'Inputs'!$B$29+'Inputs'!$B$31+'Inputs'!$B$32,'Inputs'!$B$30+'Inputs'!$B$31+'Inputs'!$B$32)/1000+'Inputs'!$B$21))/SQRT((((659-43)*MAX('Inputs'!$B$33,'Inputs'!$B$29+'Inputs'!$B$31+'Inputs'!$B$32,'Inputs'!$B$30+'Inputs'!$B$31+'Inputs'!$B$32)/1000+'Inputs'!$B$21))^2+('Inputs'!$B$6/2)^2)))-'Results'!C7*(1+'Inputs'!$B$24)*(0.5*((((659-43)*MAX('Inputs'!$B$33,'Inputs'!$B$29+'Inputs'!$B$31+'Inputs'!$B$32,'Inputs'!$B$30+'Inputs'!$B$31+'Inputs'!$B$32)/1000+'Inputs'!$B$21+'Inputs'!$B$7+'Inputs'!$B$10)+'Inputs'!$B$9)/SQRT((((659-43)*MAX('Inputs'!$B$33,'Inputs'!$B$29+'Inputs'!$B$31+'Inputs'!$B$32,'Inputs'!$B$30+'Inputs'!$B$31+'Inputs'!$B$32)/1000+'Inputs'!$B$21+'Inputs'!$B$7+'Inputs'!$B$10)+'Inputs'!$B$9)^2+('Inputs'!$B$8/2)^2)-(((659-43)*MAX('Inputs'!$B$33,'Inputs'!$B$29+'Inputs'!$B$31+'Inputs'!$B$32,'Inputs'!$B$30+'Inputs'!$B$31+'Inputs'!$B$32)/1000+'Inputs'!$B$21+'Inputs'!$B$7+'Inputs'!$B$10))/SQRT((((659-43)*MAX('Inputs'!$B$33,'Inputs'!$B$29+'Inputs'!$B$31+'Inputs'!$B$32,'Inputs'!$B$30+'Inputs'!$B$31+'Inputs'!$B$32)/1000+'Inputs'!$B$21+'Inputs'!$B$7+'Inputs'!$B$10))^2+('Inputs'!$B$8/2)^2))))*'Results'!$B$8))),"")</x:f>
        <x:v>1.7740857355585737</x:v>
      </x:c>
      <x:c r="L659" t="n">
        <x:f>IF(AND(ISNUMBER('Results'!B7),ISNUMBER('Results'!C7),ISNUMBER('Results'!$B$8),ISNUMBER('Inputs'!$B$6),ISNUMBER('Inputs'!$B$7),ISNUMBER('Inputs'!$B$8),ISNUMBER('Inputs'!$B$9),ISNUMBER('Inputs'!$B$10),ISNUMBER('Inputs'!$B$21),ISNUMBER('Inputs'!$B$24),ISNUMBER('Inputs'!$B$28)),((('Results'!B7*(1+'Inputs'!$B$24)*(0.5*((((659-43)*MAX('Inputs'!$B$33,'Inputs'!$B$29+'Inputs'!$B$31+'Inputs'!$B$32,'Inputs'!$B$30+'Inputs'!$B$31+'Inputs'!$B$32)/1000+'Inputs'!$B$21)+'Inputs'!$B$7)/SQRT((((659-43)*MAX('Inputs'!$B$33,'Inputs'!$B$29+'Inputs'!$B$31+'Inputs'!$B$32,'Inputs'!$B$30+'Inputs'!$B$31+'Inputs'!$B$32)/1000+'Inputs'!$B$21)+'Inputs'!$B$7)^2+('Inputs'!$B$6/2)^2)-(((659-43)*MAX('Inputs'!$B$33,'Inputs'!$B$29+'Inputs'!$B$31+'Inputs'!$B$32,'Inputs'!$B$30+'Inputs'!$B$31+'Inputs'!$B$32)/1000+'Inputs'!$B$21))/SQRT((((659-43)*MAX('Inputs'!$B$33,'Inputs'!$B$29+'Inputs'!$B$31+'Inputs'!$B$32,'Inputs'!$B$30+'Inputs'!$B$31+'Inputs'!$B$32)/1000+'Inputs'!$B$21))^2+('Inputs'!$B$6/2)^2)))-'Results'!C7*(1-'Inputs'!$B$24)*(0.5*((((659-43)*MAX('Inputs'!$B$33,'Inputs'!$B$29+'Inputs'!$B$31+'Inputs'!$B$32,'Inputs'!$B$30+'Inputs'!$B$31+'Inputs'!$B$32)/1000+'Inputs'!$B$21+'Inputs'!$B$7+'Inputs'!$B$10)+'Inputs'!$B$9)/SQRT((((659-43)*MAX('Inputs'!$B$33,'Inputs'!$B$29+'Inputs'!$B$31+'Inputs'!$B$32,'Inputs'!$B$30+'Inputs'!$B$31+'Inputs'!$B$32)/1000+'Inputs'!$B$21+'Inputs'!$B$7+'Inputs'!$B$10)+'Inputs'!$B$9)^2+('Inputs'!$B$8/2)^2)-(((659-43)*MAX('Inputs'!$B$33,'Inputs'!$B$29+'Inputs'!$B$31+'Inputs'!$B$32,'Inputs'!$B$30+'Inputs'!$B$31+'Inputs'!$B$32)/1000+'Inputs'!$B$21+'Inputs'!$B$7+'Inputs'!$B$10))/SQRT((((659-43)*MAX('Inputs'!$B$33,'Inputs'!$B$29+'Inputs'!$B$31+'Inputs'!$B$32,'Inputs'!$B$30+'Inputs'!$B$31+'Inputs'!$B$32)/1000+'Inputs'!$B$21+'Inputs'!$B$7+'Inputs'!$B$10))^2+('Inputs'!$B$8/2)^2))))*'Results'!$B$8)+'Inputs'!$B$28*ABS((('Results'!B7*(1+'Inputs'!$B$24)*(0.5*((((659-43)*MAX('Inputs'!$B$33,'Inputs'!$B$29+'Inputs'!$B$31+'Inputs'!$B$32,'Inputs'!$B$30+'Inputs'!$B$31+'Inputs'!$B$32)/1000+'Inputs'!$B$21)+'Inputs'!$B$7)/SQRT((((659-43)*MAX('Inputs'!$B$33,'Inputs'!$B$29+'Inputs'!$B$31+'Inputs'!$B$32,'Inputs'!$B$30+'Inputs'!$B$31+'Inputs'!$B$32)/1000+'Inputs'!$B$21)+'Inputs'!$B$7)^2+('Inputs'!$B$6/2)^2)-(((659-43)*MAX('Inputs'!$B$33,'Inputs'!$B$29+'Inputs'!$B$31+'Inputs'!$B$32,'Inputs'!$B$30+'Inputs'!$B$31+'Inputs'!$B$32)/1000+'Inputs'!$B$21))/SQRT((((659-43)*MAX('Inputs'!$B$33,'Inputs'!$B$29+'Inputs'!$B$31+'Inputs'!$B$32,'Inputs'!$B$30+'Inputs'!$B$31+'Inputs'!$B$32)/1000+'Inputs'!$B$21))^2+('Inputs'!$B$6/2)^2)))-'Results'!C7*(1-'Inputs'!$B$24)*(0.5*((((659-43)*MAX('Inputs'!$B$33,'Inputs'!$B$29+'Inputs'!$B$31+'Inputs'!$B$32,'Inputs'!$B$30+'Inputs'!$B$31+'Inputs'!$B$32)/1000+'Inputs'!$B$21+'Inputs'!$B$7+'Inputs'!$B$10)+'Inputs'!$B$9)/SQRT((((659-43)*MAX('Inputs'!$B$33,'Inputs'!$B$29+'Inputs'!$B$31+'Inputs'!$B$32,'Inputs'!$B$30+'Inputs'!$B$31+'Inputs'!$B$32)/1000+'Inputs'!$B$21+'Inputs'!$B$7+'Inputs'!$B$10)+'Inputs'!$B$9)^2+('Inputs'!$B$8/2)^2)-(((659-43)*MAX('Inputs'!$B$33,'Inputs'!$B$29+'Inputs'!$B$31+'Inputs'!$B$32,'Inputs'!$B$30+'Inputs'!$B$31+'Inputs'!$B$32)/1000+'Inputs'!$B$21+'Inputs'!$B$7+'Inputs'!$B$10))/SQRT((((659-43)*MAX('Inputs'!$B$33,'Inputs'!$B$29+'Inputs'!$B$31+'Inputs'!$B$32,'Inputs'!$B$30+'Inputs'!$B$31+'Inputs'!$B$32)/1000+'Inputs'!$B$21+'Inputs'!$B$7+'Inputs'!$B$10))^2+('Inputs'!$B$8/2)^2))))*'Results'!$B$8))),"")</x:f>
        <x:v>2.3012425725391434</x:v>
      </x:c>
      <x:c r="M659" t="n">
        <x:f>IF(AND(ISNUMBER('Results'!C7),ISNUMBER('Results'!B7),ISNUMBER('Results'!$B$8),ISNUMBER('Inputs'!$B$6),ISNUMBER('Inputs'!$B$7),ISNUMBER('Inputs'!$B$8),ISNUMBER('Inputs'!$B$9),ISNUMBER('Inputs'!$B$10),ISNUMBER('Inputs'!$B$21),ISNUMBER('Inputs'!$B$24),ISNUMBER('Inputs'!$B$28)),(('Results'!C7*(0.5*((((659-43)*MAX('Inputs'!$B$33,'Inputs'!$B$29+'Inputs'!$B$31+'Inputs'!$B$32,'Inputs'!$B$30+'Inputs'!$B$31+'Inputs'!$B$32)/1000+'Inputs'!$B$21)+'Inputs'!$B$9)/SQRT((((659-43)*MAX('Inputs'!$B$33,'Inputs'!$B$29+'Inputs'!$B$31+'Inputs'!$B$32,'Inputs'!$B$30+'Inputs'!$B$31+'Inputs'!$B$32)/1000+'Inputs'!$B$21)+'Inputs'!$B$9)^2+('Inputs'!$B$8/2)^2)-(((659-43)*MAX('Inputs'!$B$33,'Inputs'!$B$29+'Inputs'!$B$31+'Inputs'!$B$32,'Inputs'!$B$30+'Inputs'!$B$31+'Inputs'!$B$32)/1000+'Inputs'!$B$21))/SQRT((((659-43)*MAX('Inputs'!$B$33,'Inputs'!$B$29+'Inputs'!$B$31+'Inputs'!$B$32,'Inputs'!$B$30+'Inputs'!$B$31+'Inputs'!$B$32)/1000+'Inputs'!$B$21))^2+('Inputs'!$B$8/2)^2)))-'Results'!B7*(0.5*((((659-43)*MAX('Inputs'!$B$33,'Inputs'!$B$29+'Inputs'!$B$31+'Inputs'!$B$32,'Inputs'!$B$30+'Inputs'!$B$31+'Inputs'!$B$32)/1000+'Inputs'!$B$21+'Inputs'!$B$9+'Inputs'!$B$10)+'Inputs'!$B$7)/SQRT((((659-43)*MAX('Inputs'!$B$33,'Inputs'!$B$29+'Inputs'!$B$31+'Inputs'!$B$32,'Inputs'!$B$30+'Inputs'!$B$31+'Inputs'!$B$32)/1000+'Inputs'!$B$21+'Inputs'!$B$9+'Inputs'!$B$10)+'Inputs'!$B$7)^2+('Inputs'!$B$6/2)^2)-(((659-43)*MAX('Inputs'!$B$33,'Inputs'!$B$29+'Inputs'!$B$31+'Inputs'!$B$32,'Inputs'!$B$30+'Inputs'!$B$31+'Inputs'!$B$32)/1000+'Inputs'!$B$21+'Inputs'!$B$9+'Inputs'!$B$10))/SQRT((((659-43)*MAX('Inputs'!$B$33,'Inputs'!$B$29+'Inputs'!$B$31+'Inputs'!$B$32,'Inputs'!$B$30+'Inputs'!$B$31+'Inputs'!$B$32)/1000+'Inputs'!$B$21+'Inputs'!$B$9+'Inputs'!$B$10))^2+('Inputs'!$B$6/2)^2))))*'Results'!$B$8),"")</x:f>
        <x:v>1.8662187784036819</x:v>
      </x:c>
      <x:c r="N659" t="n">
        <x:f>IF(AND(ISNUMBER('Results'!C7),ISNUMBER('Results'!B7),ISNUMBER('Results'!$B$8),ISNUMBER('Inputs'!$B$6),ISNUMBER('Inputs'!$B$7),ISNUMBER('Inputs'!$B$8),ISNUMBER('Inputs'!$B$9),ISNUMBER('Inputs'!$B$10),ISNUMBER('Inputs'!$B$21),ISNUMBER('Inputs'!$B$24),ISNUMBER('Inputs'!$B$28)),((('Results'!C7*(1-'Inputs'!$B$24)*(0.5*((((659-43)*MAX('Inputs'!$B$33,'Inputs'!$B$29+'Inputs'!$B$31+'Inputs'!$B$32,'Inputs'!$B$30+'Inputs'!$B$31+'Inputs'!$B$32)/1000+'Inputs'!$B$21)+'Inputs'!$B$9)/SQRT((((659-43)*MAX('Inputs'!$B$33,'Inputs'!$B$29+'Inputs'!$B$31+'Inputs'!$B$32,'Inputs'!$B$30+'Inputs'!$B$31+'Inputs'!$B$32)/1000+'Inputs'!$B$21)+'Inputs'!$B$9)^2+('Inputs'!$B$8/2)^2)-(((659-43)*MAX('Inputs'!$B$33,'Inputs'!$B$29+'Inputs'!$B$31+'Inputs'!$B$32,'Inputs'!$B$30+'Inputs'!$B$31+'Inputs'!$B$32)/1000+'Inputs'!$B$21))/SQRT((((659-43)*MAX('Inputs'!$B$33,'Inputs'!$B$29+'Inputs'!$B$31+'Inputs'!$B$32,'Inputs'!$B$30+'Inputs'!$B$31+'Inputs'!$B$32)/1000+'Inputs'!$B$21))^2+('Inputs'!$B$8/2)^2)))-'Results'!B7*(1+'Inputs'!$B$24)*(0.5*((((659-43)*MAX('Inputs'!$B$33,'Inputs'!$B$29+'Inputs'!$B$31+'Inputs'!$B$32,'Inputs'!$B$30+'Inputs'!$B$31+'Inputs'!$B$32)/1000+'Inputs'!$B$21+'Inputs'!$B$9+'Inputs'!$B$10)+'Inputs'!$B$7)/SQRT((((659-43)*MAX('Inputs'!$B$33,'Inputs'!$B$29+'Inputs'!$B$31+'Inputs'!$B$32,'Inputs'!$B$30+'Inputs'!$B$31+'Inputs'!$B$32)/1000+'Inputs'!$B$21+'Inputs'!$B$9+'Inputs'!$B$10)+'Inputs'!$B$7)^2+('Inputs'!$B$6/2)^2)-(((659-43)*MAX('Inputs'!$B$33,'Inputs'!$B$29+'Inputs'!$B$31+'Inputs'!$B$32,'Inputs'!$B$30+'Inputs'!$B$31+'Inputs'!$B$32)/1000+'Inputs'!$B$21+'Inputs'!$B$9+'Inputs'!$B$10))/SQRT((((659-43)*MAX('Inputs'!$B$33,'Inputs'!$B$29+'Inputs'!$B$31+'Inputs'!$B$32,'Inputs'!$B$30+'Inputs'!$B$31+'Inputs'!$B$32)/1000+'Inputs'!$B$21+'Inputs'!$B$9+'Inputs'!$B$10))^2+('Inputs'!$B$6/2)^2))))*'Results'!$B$8)-'Inputs'!$B$28*ABS((('Results'!C7*(1-'Inputs'!$B$24)*(0.5*((((659-43)*MAX('Inputs'!$B$33,'Inputs'!$B$29+'Inputs'!$B$31+'Inputs'!$B$32,'Inputs'!$B$30+'Inputs'!$B$31+'Inputs'!$B$32)/1000+'Inputs'!$B$21)+'Inputs'!$B$9)/SQRT((((659-43)*MAX('Inputs'!$B$33,'Inputs'!$B$29+'Inputs'!$B$31+'Inputs'!$B$32,'Inputs'!$B$30+'Inputs'!$B$31+'Inputs'!$B$32)/1000+'Inputs'!$B$21)+'Inputs'!$B$9)^2+('Inputs'!$B$8/2)^2)-(((659-43)*MAX('Inputs'!$B$33,'Inputs'!$B$29+'Inputs'!$B$31+'Inputs'!$B$32,'Inputs'!$B$30+'Inputs'!$B$31+'Inputs'!$B$32)/1000+'Inputs'!$B$21))/SQRT((((659-43)*MAX('Inputs'!$B$33,'Inputs'!$B$29+'Inputs'!$B$31+'Inputs'!$B$32,'Inputs'!$B$30+'Inputs'!$B$31+'Inputs'!$B$32)/1000+'Inputs'!$B$21))^2+('Inputs'!$B$8/2)^2)))-'Results'!B7*(1+'Inputs'!$B$24)*(0.5*((((659-43)*MAX('Inputs'!$B$33,'Inputs'!$B$29+'Inputs'!$B$31+'Inputs'!$B$32,'Inputs'!$B$30+'Inputs'!$B$31+'Inputs'!$B$32)/1000+'Inputs'!$B$21+'Inputs'!$B$9+'Inputs'!$B$10)+'Inputs'!$B$7)/SQRT((((659-43)*MAX('Inputs'!$B$33,'Inputs'!$B$29+'Inputs'!$B$31+'Inputs'!$B$32,'Inputs'!$B$30+'Inputs'!$B$31+'Inputs'!$B$32)/1000+'Inputs'!$B$21+'Inputs'!$B$9+'Inputs'!$B$10)+'Inputs'!$B$7)^2+('Inputs'!$B$6/2)^2)-(((659-43)*MAX('Inputs'!$B$33,'Inputs'!$B$29+'Inputs'!$B$31+'Inputs'!$B$32,'Inputs'!$B$30+'Inputs'!$B$31+'Inputs'!$B$32)/1000+'Inputs'!$B$21+'Inputs'!$B$9+'Inputs'!$B$10))/SQRT((((659-43)*MAX('Inputs'!$B$33,'Inputs'!$B$29+'Inputs'!$B$31+'Inputs'!$B$32,'Inputs'!$B$30+'Inputs'!$B$31+'Inputs'!$B$32)/1000+'Inputs'!$B$21+'Inputs'!$B$9+'Inputs'!$B$10))^2+('Inputs'!$B$6/2)^2))))*'Results'!$B$8))),"")</x:f>
        <x:v>1.6196600751861943</x:v>
      </x:c>
      <x:c r="O659" t="n">
        <x:f>IF(AND(ISNUMBER('Results'!C7),ISNUMBER('Results'!B7),ISNUMBER('Results'!$B$8),ISNUMBER('Inputs'!$B$6),ISNUMBER('Inputs'!$B$7),ISNUMBER('Inputs'!$B$8),ISNUMBER('Inputs'!$B$9),ISNUMBER('Inputs'!$B$10),ISNUMBER('Inputs'!$B$21),ISNUMBER('Inputs'!$B$24),ISNUMBER('Inputs'!$B$28)),((('Results'!C7*(1+'Inputs'!$B$24)*(0.5*((((659-43)*MAX('Inputs'!$B$33,'Inputs'!$B$29+'Inputs'!$B$31+'Inputs'!$B$32,'Inputs'!$B$30+'Inputs'!$B$31+'Inputs'!$B$32)/1000+'Inputs'!$B$21)+'Inputs'!$B$9)/SQRT((((659-43)*MAX('Inputs'!$B$33,'Inputs'!$B$29+'Inputs'!$B$31+'Inputs'!$B$32,'Inputs'!$B$30+'Inputs'!$B$31+'Inputs'!$B$32)/1000+'Inputs'!$B$21)+'Inputs'!$B$9)^2+('Inputs'!$B$8/2)^2)-(((659-43)*MAX('Inputs'!$B$33,'Inputs'!$B$29+'Inputs'!$B$31+'Inputs'!$B$32,'Inputs'!$B$30+'Inputs'!$B$31+'Inputs'!$B$32)/1000+'Inputs'!$B$21))/SQRT((((659-43)*MAX('Inputs'!$B$33,'Inputs'!$B$29+'Inputs'!$B$31+'Inputs'!$B$32,'Inputs'!$B$30+'Inputs'!$B$31+'Inputs'!$B$32)/1000+'Inputs'!$B$21))^2+('Inputs'!$B$8/2)^2)))-'Results'!B7*(1-'Inputs'!$B$24)*(0.5*((((659-43)*MAX('Inputs'!$B$33,'Inputs'!$B$29+'Inputs'!$B$31+'Inputs'!$B$32,'Inputs'!$B$30+'Inputs'!$B$31+'Inputs'!$B$32)/1000+'Inputs'!$B$21+'Inputs'!$B$9+'Inputs'!$B$10)+'Inputs'!$B$7)/SQRT((((659-43)*MAX('Inputs'!$B$33,'Inputs'!$B$29+'Inputs'!$B$31+'Inputs'!$B$32,'Inputs'!$B$30+'Inputs'!$B$31+'Inputs'!$B$32)/1000+'Inputs'!$B$21+'Inputs'!$B$9+'Inputs'!$B$10)+'Inputs'!$B$7)^2+('Inputs'!$B$6/2)^2)-(((659-43)*MAX('Inputs'!$B$33,'Inputs'!$B$29+'Inputs'!$B$31+'Inputs'!$B$32,'Inputs'!$B$30+'Inputs'!$B$31+'Inputs'!$B$32)/1000+'Inputs'!$B$21+'Inputs'!$B$9+'Inputs'!$B$10))/SQRT((((659-43)*MAX('Inputs'!$B$33,'Inputs'!$B$29+'Inputs'!$B$31+'Inputs'!$B$32,'Inputs'!$B$30+'Inputs'!$B$31+'Inputs'!$B$32)/1000+'Inputs'!$B$21+'Inputs'!$B$9+'Inputs'!$B$10))^2+('Inputs'!$B$6/2)^2))))*'Results'!$B$8)+'Inputs'!$B$28*ABS((('Results'!C7*(1+'Inputs'!$B$24)*(0.5*((((659-43)*MAX('Inputs'!$B$33,'Inputs'!$B$29+'Inputs'!$B$31+'Inputs'!$B$32,'Inputs'!$B$30+'Inputs'!$B$31+'Inputs'!$B$32)/1000+'Inputs'!$B$21)+'Inputs'!$B$9)/SQRT((((659-43)*MAX('Inputs'!$B$33,'Inputs'!$B$29+'Inputs'!$B$31+'Inputs'!$B$32,'Inputs'!$B$30+'Inputs'!$B$31+'Inputs'!$B$32)/1000+'Inputs'!$B$21)+'Inputs'!$B$9)^2+('Inputs'!$B$8/2)^2)-(((659-43)*MAX('Inputs'!$B$33,'Inputs'!$B$29+'Inputs'!$B$31+'Inputs'!$B$32,'Inputs'!$B$30+'Inputs'!$B$31+'Inputs'!$B$32)/1000+'Inputs'!$B$21))/SQRT((((659-43)*MAX('Inputs'!$B$33,'Inputs'!$B$29+'Inputs'!$B$31+'Inputs'!$B$32,'Inputs'!$B$30+'Inputs'!$B$31+'Inputs'!$B$32)/1000+'Inputs'!$B$21))^2+('Inputs'!$B$8/2)^2)))-'Results'!B7*(1-'Inputs'!$B$24)*(0.5*((((659-43)*MAX('Inputs'!$B$33,'Inputs'!$B$29+'Inputs'!$B$31+'Inputs'!$B$32,'Inputs'!$B$30+'Inputs'!$B$31+'Inputs'!$B$32)/1000+'Inputs'!$B$21+'Inputs'!$B$9+'Inputs'!$B$10)+'Inputs'!$B$7)/SQRT((((659-43)*MAX('Inputs'!$B$33,'Inputs'!$B$29+'Inputs'!$B$31+'Inputs'!$B$32,'Inputs'!$B$30+'Inputs'!$B$31+'Inputs'!$B$32)/1000+'Inputs'!$B$21+'Inputs'!$B$9+'Inputs'!$B$10)+'Inputs'!$B$7)^2+('Inputs'!$B$6/2)^2)-(((659-43)*MAX('Inputs'!$B$33,'Inputs'!$B$29+'Inputs'!$B$31+'Inputs'!$B$32,'Inputs'!$B$30+'Inputs'!$B$31+'Inputs'!$B$32)/1000+'Inputs'!$B$21+'Inputs'!$B$9+'Inputs'!$B$10))/SQRT((((659-43)*MAX('Inputs'!$B$33,'Inputs'!$B$29+'Inputs'!$B$31+'Inputs'!$B$32,'Inputs'!$B$30+'Inputs'!$B$31+'Inputs'!$B$32)/1000+'Inputs'!$B$21+'Inputs'!$B$9+'Inputs'!$B$10))^2+('Inputs'!$B$6/2)^2))))*'Results'!$B$8))),"")</x:f>
        <x:v>2.128908825231412</x:v>
      </x:c>
      <x:c r="P659" t="n">
        <x:f>IF(AND(MAX(J659,J658)&gt;0,J659&gt;J658+0.00000001),1,0)</x:f>
        <x:v>0</x:v>
      </x:c>
      <x:c r="Q659" t="n">
        <x:f>IF(AND(MAX(K659,K658)&gt;0,K659&gt;K658+0.00000001),1,0)</x:f>
        <x:v>0</x:v>
      </x:c>
      <x:c r="R659" t="n">
        <x:f>IF(AND(MAX(L659,L658)&gt;0,L659&gt;L658+0.00000001),1,0)</x:f>
        <x:v>0</x:v>
      </x:c>
      <x:c r="S659" t="n">
        <x:f>IF(AND(MAX(M659,M658)&gt;0,M659&gt;M658+0.00000001),1,0)</x:f>
        <x:v>0</x:v>
      </x:c>
      <x:c r="T659" t="n">
        <x:f>IF(AND(MAX(N659,N658)&gt;0,N659&gt;N658+0.00000001),1,0)</x:f>
        <x:v>0</x:v>
      </x:c>
      <x:c r="U659" t="n">
        <x:f>IF(AND(MAX(O659,O658)&gt;0,O659&gt;O658+0.00000001),1,0)</x:f>
        <x:v>0</x:v>
      </x:c>
    </x:row>
    <x:row r="660">
      <x:c r="J660" t="n">
        <x:f>IF(AND(ISNUMBER('Results'!B7),ISNUMBER('Results'!C7),ISNUMBER('Results'!$B$8),ISNUMBER('Inputs'!$B$6),ISNUMBER('Inputs'!$B$7),ISNUMBER('Inputs'!$B$8),ISNUMBER('Inputs'!$B$9),ISNUMBER('Inputs'!$B$10),ISNUMBER('Inputs'!$B$21),ISNUMBER('Inputs'!$B$24),ISNUMBER('Inputs'!$B$28)),(('Results'!B7*(0.5*((((660-43)*MAX('Inputs'!$B$33,'Inputs'!$B$29+'Inputs'!$B$31+'Inputs'!$B$32,'Inputs'!$B$30+'Inputs'!$B$31+'Inputs'!$B$32)/1000+'Inputs'!$B$21)+'Inputs'!$B$7)/SQRT((((660-43)*MAX('Inputs'!$B$33,'Inputs'!$B$29+'Inputs'!$B$31+'Inputs'!$B$32,'Inputs'!$B$30+'Inputs'!$B$31+'Inputs'!$B$32)/1000+'Inputs'!$B$21)+'Inputs'!$B$7)^2+('Inputs'!$B$6/2)^2)-(((660-43)*MAX('Inputs'!$B$33,'Inputs'!$B$29+'Inputs'!$B$31+'Inputs'!$B$32,'Inputs'!$B$30+'Inputs'!$B$31+'Inputs'!$B$32)/1000+'Inputs'!$B$21))/SQRT((((660-43)*MAX('Inputs'!$B$33,'Inputs'!$B$29+'Inputs'!$B$31+'Inputs'!$B$32,'Inputs'!$B$30+'Inputs'!$B$31+'Inputs'!$B$32)/1000+'Inputs'!$B$21))^2+('Inputs'!$B$6/2)^2)))-'Results'!C7*(0.5*((((660-43)*MAX('Inputs'!$B$33,'Inputs'!$B$29+'Inputs'!$B$31+'Inputs'!$B$32,'Inputs'!$B$30+'Inputs'!$B$31+'Inputs'!$B$32)/1000+'Inputs'!$B$21+'Inputs'!$B$7+'Inputs'!$B$10)+'Inputs'!$B$9)/SQRT((((660-43)*MAX('Inputs'!$B$33,'Inputs'!$B$29+'Inputs'!$B$31+'Inputs'!$B$32,'Inputs'!$B$30+'Inputs'!$B$31+'Inputs'!$B$32)/1000+'Inputs'!$B$21+'Inputs'!$B$7+'Inputs'!$B$10)+'Inputs'!$B$9)^2+('Inputs'!$B$8/2)^2)-(((660-43)*MAX('Inputs'!$B$33,'Inputs'!$B$29+'Inputs'!$B$31+'Inputs'!$B$32,'Inputs'!$B$30+'Inputs'!$B$31+'Inputs'!$B$32)/1000+'Inputs'!$B$21+'Inputs'!$B$7+'Inputs'!$B$10))/SQRT((((660-43)*MAX('Inputs'!$B$33,'Inputs'!$B$29+'Inputs'!$B$31+'Inputs'!$B$32,'Inputs'!$B$30+'Inputs'!$B$31+'Inputs'!$B$32)/1000+'Inputs'!$B$21+'Inputs'!$B$7+'Inputs'!$B$10))^2+('Inputs'!$B$8/2)^2))))*'Results'!$B$8),"")</x:f>
        <x:v>2.018048704310704</x:v>
      </x:c>
      <x:c r="K660" t="n">
        <x:f>IF(AND(ISNUMBER('Results'!B7),ISNUMBER('Results'!C7),ISNUMBER('Results'!$B$8),ISNUMBER('Inputs'!$B$6),ISNUMBER('Inputs'!$B$7),ISNUMBER('Inputs'!$B$8),ISNUMBER('Inputs'!$B$9),ISNUMBER('Inputs'!$B$10),ISNUMBER('Inputs'!$B$21),ISNUMBER('Inputs'!$B$24),ISNUMBER('Inputs'!$B$28)),((('Results'!B7*(1-'Inputs'!$B$24)*(0.5*((((660-43)*MAX('Inputs'!$B$33,'Inputs'!$B$29+'Inputs'!$B$31+'Inputs'!$B$32,'Inputs'!$B$30+'Inputs'!$B$31+'Inputs'!$B$32)/1000+'Inputs'!$B$21)+'Inputs'!$B$7)/SQRT((((660-43)*MAX('Inputs'!$B$33,'Inputs'!$B$29+'Inputs'!$B$31+'Inputs'!$B$32,'Inputs'!$B$30+'Inputs'!$B$31+'Inputs'!$B$32)/1000+'Inputs'!$B$21)+'Inputs'!$B$7)^2+('Inputs'!$B$6/2)^2)-(((660-43)*MAX('Inputs'!$B$33,'Inputs'!$B$29+'Inputs'!$B$31+'Inputs'!$B$32,'Inputs'!$B$30+'Inputs'!$B$31+'Inputs'!$B$32)/1000+'Inputs'!$B$21))/SQRT((((660-43)*MAX('Inputs'!$B$33,'Inputs'!$B$29+'Inputs'!$B$31+'Inputs'!$B$32,'Inputs'!$B$30+'Inputs'!$B$31+'Inputs'!$B$32)/1000+'Inputs'!$B$21))^2+('Inputs'!$B$6/2)^2)))-'Results'!C7*(1+'Inputs'!$B$24)*(0.5*((((660-43)*MAX('Inputs'!$B$33,'Inputs'!$B$29+'Inputs'!$B$31+'Inputs'!$B$32,'Inputs'!$B$30+'Inputs'!$B$31+'Inputs'!$B$32)/1000+'Inputs'!$B$21+'Inputs'!$B$7+'Inputs'!$B$10)+'Inputs'!$B$9)/SQRT((((660-43)*MAX('Inputs'!$B$33,'Inputs'!$B$29+'Inputs'!$B$31+'Inputs'!$B$32,'Inputs'!$B$30+'Inputs'!$B$31+'Inputs'!$B$32)/1000+'Inputs'!$B$21+'Inputs'!$B$7+'Inputs'!$B$10)+'Inputs'!$B$9)^2+('Inputs'!$B$8/2)^2)-(((660-43)*MAX('Inputs'!$B$33,'Inputs'!$B$29+'Inputs'!$B$31+'Inputs'!$B$32,'Inputs'!$B$30+'Inputs'!$B$31+'Inputs'!$B$32)/1000+'Inputs'!$B$21+'Inputs'!$B$7+'Inputs'!$B$10))/SQRT((((660-43)*MAX('Inputs'!$B$33,'Inputs'!$B$29+'Inputs'!$B$31+'Inputs'!$B$32,'Inputs'!$B$30+'Inputs'!$B$31+'Inputs'!$B$32)/1000+'Inputs'!$B$21+'Inputs'!$B$7+'Inputs'!$B$10))^2+('Inputs'!$B$8/2)^2))))*'Results'!$B$8)-'Inputs'!$B$28*ABS((('Results'!B7*(1-'Inputs'!$B$24)*(0.5*((((660-43)*MAX('Inputs'!$B$33,'Inputs'!$B$29+'Inputs'!$B$31+'Inputs'!$B$32,'Inputs'!$B$30+'Inputs'!$B$31+'Inputs'!$B$32)/1000+'Inputs'!$B$21)+'Inputs'!$B$7)/SQRT((((660-43)*MAX('Inputs'!$B$33,'Inputs'!$B$29+'Inputs'!$B$31+'Inputs'!$B$32,'Inputs'!$B$30+'Inputs'!$B$31+'Inputs'!$B$32)/1000+'Inputs'!$B$21)+'Inputs'!$B$7)^2+('Inputs'!$B$6/2)^2)-(((660-43)*MAX('Inputs'!$B$33,'Inputs'!$B$29+'Inputs'!$B$31+'Inputs'!$B$32,'Inputs'!$B$30+'Inputs'!$B$31+'Inputs'!$B$32)/1000+'Inputs'!$B$21))/SQRT((((660-43)*MAX('Inputs'!$B$33,'Inputs'!$B$29+'Inputs'!$B$31+'Inputs'!$B$32,'Inputs'!$B$30+'Inputs'!$B$31+'Inputs'!$B$32)/1000+'Inputs'!$B$21))^2+('Inputs'!$B$6/2)^2)))-'Results'!C7*(1+'Inputs'!$B$24)*(0.5*((((660-43)*MAX('Inputs'!$B$33,'Inputs'!$B$29+'Inputs'!$B$31+'Inputs'!$B$32,'Inputs'!$B$30+'Inputs'!$B$31+'Inputs'!$B$32)/1000+'Inputs'!$B$21+'Inputs'!$B$7+'Inputs'!$B$10)+'Inputs'!$B$9)/SQRT((((660-43)*MAX('Inputs'!$B$33,'Inputs'!$B$29+'Inputs'!$B$31+'Inputs'!$B$32,'Inputs'!$B$30+'Inputs'!$B$31+'Inputs'!$B$32)/1000+'Inputs'!$B$21+'Inputs'!$B$7+'Inputs'!$B$10)+'Inputs'!$B$9)^2+('Inputs'!$B$8/2)^2)-(((660-43)*MAX('Inputs'!$B$33,'Inputs'!$B$29+'Inputs'!$B$31+'Inputs'!$B$32,'Inputs'!$B$30+'Inputs'!$B$31+'Inputs'!$B$32)/1000+'Inputs'!$B$21+'Inputs'!$B$7+'Inputs'!$B$10))/SQRT((((660-43)*MAX('Inputs'!$B$33,'Inputs'!$B$29+'Inputs'!$B$31+'Inputs'!$B$32,'Inputs'!$B$30+'Inputs'!$B$31+'Inputs'!$B$32)/1000+'Inputs'!$B$21+'Inputs'!$B$7+'Inputs'!$B$10))^2+('Inputs'!$B$8/2)^2))))*'Results'!$B$8))),"")</x:f>
        <x:v>1.7638250434006213</x:v>
      </x:c>
      <x:c r="L660" t="n">
        <x:f>IF(AND(ISNUMBER('Results'!B7),ISNUMBER('Results'!C7),ISNUMBER('Results'!$B$8),ISNUMBER('Inputs'!$B$6),ISNUMBER('Inputs'!$B$7),ISNUMBER('Inputs'!$B$8),ISNUMBER('Inputs'!$B$9),ISNUMBER('Inputs'!$B$10),ISNUMBER('Inputs'!$B$21),ISNUMBER('Inputs'!$B$24),ISNUMBER('Inputs'!$B$28)),((('Results'!B7*(1+'Inputs'!$B$24)*(0.5*((((660-43)*MAX('Inputs'!$B$33,'Inputs'!$B$29+'Inputs'!$B$31+'Inputs'!$B$32,'Inputs'!$B$30+'Inputs'!$B$31+'Inputs'!$B$32)/1000+'Inputs'!$B$21)+'Inputs'!$B$7)/SQRT((((660-43)*MAX('Inputs'!$B$33,'Inputs'!$B$29+'Inputs'!$B$31+'Inputs'!$B$32,'Inputs'!$B$30+'Inputs'!$B$31+'Inputs'!$B$32)/1000+'Inputs'!$B$21)+'Inputs'!$B$7)^2+('Inputs'!$B$6/2)^2)-(((660-43)*MAX('Inputs'!$B$33,'Inputs'!$B$29+'Inputs'!$B$31+'Inputs'!$B$32,'Inputs'!$B$30+'Inputs'!$B$31+'Inputs'!$B$32)/1000+'Inputs'!$B$21))/SQRT((((660-43)*MAX('Inputs'!$B$33,'Inputs'!$B$29+'Inputs'!$B$31+'Inputs'!$B$32,'Inputs'!$B$30+'Inputs'!$B$31+'Inputs'!$B$32)/1000+'Inputs'!$B$21))^2+('Inputs'!$B$6/2)^2)))-'Results'!C7*(1-'Inputs'!$B$24)*(0.5*((((660-43)*MAX('Inputs'!$B$33,'Inputs'!$B$29+'Inputs'!$B$31+'Inputs'!$B$32,'Inputs'!$B$30+'Inputs'!$B$31+'Inputs'!$B$32)/1000+'Inputs'!$B$21+'Inputs'!$B$7+'Inputs'!$B$10)+'Inputs'!$B$9)/SQRT((((660-43)*MAX('Inputs'!$B$33,'Inputs'!$B$29+'Inputs'!$B$31+'Inputs'!$B$32,'Inputs'!$B$30+'Inputs'!$B$31+'Inputs'!$B$32)/1000+'Inputs'!$B$21+'Inputs'!$B$7+'Inputs'!$B$10)+'Inputs'!$B$9)^2+('Inputs'!$B$8/2)^2)-(((660-43)*MAX('Inputs'!$B$33,'Inputs'!$B$29+'Inputs'!$B$31+'Inputs'!$B$32,'Inputs'!$B$30+'Inputs'!$B$31+'Inputs'!$B$32)/1000+'Inputs'!$B$21+'Inputs'!$B$7+'Inputs'!$B$10))/SQRT((((660-43)*MAX('Inputs'!$B$33,'Inputs'!$B$29+'Inputs'!$B$31+'Inputs'!$B$32,'Inputs'!$B$30+'Inputs'!$B$31+'Inputs'!$B$32)/1000+'Inputs'!$B$21+'Inputs'!$B$7+'Inputs'!$B$10))^2+('Inputs'!$B$8/2)^2))))*'Results'!$B$8)+'Inputs'!$B$28*ABS((('Results'!B7*(1+'Inputs'!$B$24)*(0.5*((((660-43)*MAX('Inputs'!$B$33,'Inputs'!$B$29+'Inputs'!$B$31+'Inputs'!$B$32,'Inputs'!$B$30+'Inputs'!$B$31+'Inputs'!$B$32)/1000+'Inputs'!$B$21)+'Inputs'!$B$7)/SQRT((((660-43)*MAX('Inputs'!$B$33,'Inputs'!$B$29+'Inputs'!$B$31+'Inputs'!$B$32,'Inputs'!$B$30+'Inputs'!$B$31+'Inputs'!$B$32)/1000+'Inputs'!$B$21)+'Inputs'!$B$7)^2+('Inputs'!$B$6/2)^2)-(((660-43)*MAX('Inputs'!$B$33,'Inputs'!$B$29+'Inputs'!$B$31+'Inputs'!$B$32,'Inputs'!$B$30+'Inputs'!$B$31+'Inputs'!$B$32)/1000+'Inputs'!$B$21))/SQRT((((660-43)*MAX('Inputs'!$B$33,'Inputs'!$B$29+'Inputs'!$B$31+'Inputs'!$B$32,'Inputs'!$B$30+'Inputs'!$B$31+'Inputs'!$B$32)/1000+'Inputs'!$B$21))^2+('Inputs'!$B$6/2)^2)))-'Results'!C7*(1-'Inputs'!$B$24)*(0.5*((((660-43)*MAX('Inputs'!$B$33,'Inputs'!$B$29+'Inputs'!$B$31+'Inputs'!$B$32,'Inputs'!$B$30+'Inputs'!$B$31+'Inputs'!$B$32)/1000+'Inputs'!$B$21+'Inputs'!$B$7+'Inputs'!$B$10)+'Inputs'!$B$9)/SQRT((((660-43)*MAX('Inputs'!$B$33,'Inputs'!$B$29+'Inputs'!$B$31+'Inputs'!$B$32,'Inputs'!$B$30+'Inputs'!$B$31+'Inputs'!$B$32)/1000+'Inputs'!$B$21+'Inputs'!$B$7+'Inputs'!$B$10)+'Inputs'!$B$9)^2+('Inputs'!$B$8/2)^2)-(((660-43)*MAX('Inputs'!$B$33,'Inputs'!$B$29+'Inputs'!$B$31+'Inputs'!$B$32,'Inputs'!$B$30+'Inputs'!$B$31+'Inputs'!$B$32)/1000+'Inputs'!$B$21+'Inputs'!$B$7+'Inputs'!$B$10))/SQRT((((660-43)*MAX('Inputs'!$B$33,'Inputs'!$B$29+'Inputs'!$B$31+'Inputs'!$B$32,'Inputs'!$B$30+'Inputs'!$B$31+'Inputs'!$B$32)/1000+'Inputs'!$B$21+'Inputs'!$B$7+'Inputs'!$B$10))^2+('Inputs'!$B$8/2)^2))))*'Results'!$B$8))),"")</x:f>
        <x:v>2.2884114416096857</x:v>
      </x:c>
      <x:c r="M660" t="n">
        <x:f>IF(AND(ISNUMBER('Results'!C7),ISNUMBER('Results'!B7),ISNUMBER('Results'!$B$8),ISNUMBER('Inputs'!$B$6),ISNUMBER('Inputs'!$B$7),ISNUMBER('Inputs'!$B$8),ISNUMBER('Inputs'!$B$9),ISNUMBER('Inputs'!$B$10),ISNUMBER('Inputs'!$B$21),ISNUMBER('Inputs'!$B$24),ISNUMBER('Inputs'!$B$28)),(('Results'!C7*(0.5*((((660-43)*MAX('Inputs'!$B$33,'Inputs'!$B$29+'Inputs'!$B$31+'Inputs'!$B$32,'Inputs'!$B$30+'Inputs'!$B$31+'Inputs'!$B$32)/1000+'Inputs'!$B$21)+'Inputs'!$B$9)/SQRT((((660-43)*MAX('Inputs'!$B$33,'Inputs'!$B$29+'Inputs'!$B$31+'Inputs'!$B$32,'Inputs'!$B$30+'Inputs'!$B$31+'Inputs'!$B$32)/1000+'Inputs'!$B$21)+'Inputs'!$B$9)^2+('Inputs'!$B$8/2)^2)-(((660-43)*MAX('Inputs'!$B$33,'Inputs'!$B$29+'Inputs'!$B$31+'Inputs'!$B$32,'Inputs'!$B$30+'Inputs'!$B$31+'Inputs'!$B$32)/1000+'Inputs'!$B$21))/SQRT((((660-43)*MAX('Inputs'!$B$33,'Inputs'!$B$29+'Inputs'!$B$31+'Inputs'!$B$32,'Inputs'!$B$30+'Inputs'!$B$31+'Inputs'!$B$32)/1000+'Inputs'!$B$21))^2+('Inputs'!$B$8/2)^2)))-'Results'!B7*(0.5*((((660-43)*MAX('Inputs'!$B$33,'Inputs'!$B$29+'Inputs'!$B$31+'Inputs'!$B$32,'Inputs'!$B$30+'Inputs'!$B$31+'Inputs'!$B$32)/1000+'Inputs'!$B$21+'Inputs'!$B$9+'Inputs'!$B$10)+'Inputs'!$B$7)/SQRT((((660-43)*MAX('Inputs'!$B$33,'Inputs'!$B$29+'Inputs'!$B$31+'Inputs'!$B$32,'Inputs'!$B$30+'Inputs'!$B$31+'Inputs'!$B$32)/1000+'Inputs'!$B$21+'Inputs'!$B$9+'Inputs'!$B$10)+'Inputs'!$B$7)^2+('Inputs'!$B$6/2)^2)-(((660-43)*MAX('Inputs'!$B$33,'Inputs'!$B$29+'Inputs'!$B$31+'Inputs'!$B$32,'Inputs'!$B$30+'Inputs'!$B$31+'Inputs'!$B$32)/1000+'Inputs'!$B$21+'Inputs'!$B$9+'Inputs'!$B$10))/SQRT((((660-43)*MAX('Inputs'!$B$33,'Inputs'!$B$29+'Inputs'!$B$31+'Inputs'!$B$32,'Inputs'!$B$30+'Inputs'!$B$31+'Inputs'!$B$32)/1000+'Inputs'!$B$21+'Inputs'!$B$9+'Inputs'!$B$10))^2+('Inputs'!$B$6/2)^2))))*'Results'!$B$8),"")</x:f>
        <x:v>1.8554229425665765</x:v>
      </x:c>
      <x:c r="N660" t="n">
        <x:f>IF(AND(ISNUMBER('Results'!C7),ISNUMBER('Results'!B7),ISNUMBER('Results'!$B$8),ISNUMBER('Inputs'!$B$6),ISNUMBER('Inputs'!$B$7),ISNUMBER('Inputs'!$B$8),ISNUMBER('Inputs'!$B$9),ISNUMBER('Inputs'!$B$10),ISNUMBER('Inputs'!$B$21),ISNUMBER('Inputs'!$B$24),ISNUMBER('Inputs'!$B$28)),((('Results'!C7*(1-'Inputs'!$B$24)*(0.5*((((660-43)*MAX('Inputs'!$B$33,'Inputs'!$B$29+'Inputs'!$B$31+'Inputs'!$B$32,'Inputs'!$B$30+'Inputs'!$B$31+'Inputs'!$B$32)/1000+'Inputs'!$B$21)+'Inputs'!$B$9)/SQRT((((660-43)*MAX('Inputs'!$B$33,'Inputs'!$B$29+'Inputs'!$B$31+'Inputs'!$B$32,'Inputs'!$B$30+'Inputs'!$B$31+'Inputs'!$B$32)/1000+'Inputs'!$B$21)+'Inputs'!$B$9)^2+('Inputs'!$B$8/2)^2)-(((660-43)*MAX('Inputs'!$B$33,'Inputs'!$B$29+'Inputs'!$B$31+'Inputs'!$B$32,'Inputs'!$B$30+'Inputs'!$B$31+'Inputs'!$B$32)/1000+'Inputs'!$B$21))/SQRT((((660-43)*MAX('Inputs'!$B$33,'Inputs'!$B$29+'Inputs'!$B$31+'Inputs'!$B$32,'Inputs'!$B$30+'Inputs'!$B$31+'Inputs'!$B$32)/1000+'Inputs'!$B$21))^2+('Inputs'!$B$8/2)^2)))-'Results'!B7*(1+'Inputs'!$B$24)*(0.5*((((660-43)*MAX('Inputs'!$B$33,'Inputs'!$B$29+'Inputs'!$B$31+'Inputs'!$B$32,'Inputs'!$B$30+'Inputs'!$B$31+'Inputs'!$B$32)/1000+'Inputs'!$B$21+'Inputs'!$B$9+'Inputs'!$B$10)+'Inputs'!$B$7)/SQRT((((660-43)*MAX('Inputs'!$B$33,'Inputs'!$B$29+'Inputs'!$B$31+'Inputs'!$B$32,'Inputs'!$B$30+'Inputs'!$B$31+'Inputs'!$B$32)/1000+'Inputs'!$B$21+'Inputs'!$B$9+'Inputs'!$B$10)+'Inputs'!$B$7)^2+('Inputs'!$B$6/2)^2)-(((660-43)*MAX('Inputs'!$B$33,'Inputs'!$B$29+'Inputs'!$B$31+'Inputs'!$B$32,'Inputs'!$B$30+'Inputs'!$B$31+'Inputs'!$B$32)/1000+'Inputs'!$B$21+'Inputs'!$B$9+'Inputs'!$B$10))/SQRT((((660-43)*MAX('Inputs'!$B$33,'Inputs'!$B$29+'Inputs'!$B$31+'Inputs'!$B$32,'Inputs'!$B$30+'Inputs'!$B$31+'Inputs'!$B$32)/1000+'Inputs'!$B$21+'Inputs'!$B$9+'Inputs'!$B$10))^2+('Inputs'!$B$6/2)^2))))*'Results'!$B$8)-'Inputs'!$B$28*ABS((('Results'!C7*(1-'Inputs'!$B$24)*(0.5*((((660-43)*MAX('Inputs'!$B$33,'Inputs'!$B$29+'Inputs'!$B$31+'Inputs'!$B$32,'Inputs'!$B$30+'Inputs'!$B$31+'Inputs'!$B$32)/1000+'Inputs'!$B$21)+'Inputs'!$B$9)/SQRT((((660-43)*MAX('Inputs'!$B$33,'Inputs'!$B$29+'Inputs'!$B$31+'Inputs'!$B$32,'Inputs'!$B$30+'Inputs'!$B$31+'Inputs'!$B$32)/1000+'Inputs'!$B$21)+'Inputs'!$B$9)^2+('Inputs'!$B$8/2)^2)-(((660-43)*MAX('Inputs'!$B$33,'Inputs'!$B$29+'Inputs'!$B$31+'Inputs'!$B$32,'Inputs'!$B$30+'Inputs'!$B$31+'Inputs'!$B$32)/1000+'Inputs'!$B$21))/SQRT((((660-43)*MAX('Inputs'!$B$33,'Inputs'!$B$29+'Inputs'!$B$31+'Inputs'!$B$32,'Inputs'!$B$30+'Inputs'!$B$31+'Inputs'!$B$32)/1000+'Inputs'!$B$21))^2+('Inputs'!$B$8/2)^2)))-'Results'!B7*(1+'Inputs'!$B$24)*(0.5*((((660-43)*MAX('Inputs'!$B$33,'Inputs'!$B$29+'Inputs'!$B$31+'Inputs'!$B$32,'Inputs'!$B$30+'Inputs'!$B$31+'Inputs'!$B$32)/1000+'Inputs'!$B$21+'Inputs'!$B$9+'Inputs'!$B$10)+'Inputs'!$B$7)/SQRT((((660-43)*MAX('Inputs'!$B$33,'Inputs'!$B$29+'Inputs'!$B$31+'Inputs'!$B$32,'Inputs'!$B$30+'Inputs'!$B$31+'Inputs'!$B$32)/1000+'Inputs'!$B$21+'Inputs'!$B$9+'Inputs'!$B$10)+'Inputs'!$B$7)^2+('Inputs'!$B$6/2)^2)-(((660-43)*MAX('Inputs'!$B$33,'Inputs'!$B$29+'Inputs'!$B$31+'Inputs'!$B$32,'Inputs'!$B$30+'Inputs'!$B$31+'Inputs'!$B$32)/1000+'Inputs'!$B$21+'Inputs'!$B$9+'Inputs'!$B$10))/SQRT((((660-43)*MAX('Inputs'!$B$33,'Inputs'!$B$29+'Inputs'!$B$31+'Inputs'!$B$32,'Inputs'!$B$30+'Inputs'!$B$31+'Inputs'!$B$32)/1000+'Inputs'!$B$21+'Inputs'!$B$9+'Inputs'!$B$10))^2+('Inputs'!$B$6/2)^2))))*'Results'!$B$8))),"")</x:f>
        <x:v>1.610073963292091</x:v>
      </x:c>
      <x:c r="O660" t="n">
        <x:f>IF(AND(ISNUMBER('Results'!C7),ISNUMBER('Results'!B7),ISNUMBER('Results'!$B$8),ISNUMBER('Inputs'!$B$6),ISNUMBER('Inputs'!$B$7),ISNUMBER('Inputs'!$B$8),ISNUMBER('Inputs'!$B$9),ISNUMBER('Inputs'!$B$10),ISNUMBER('Inputs'!$B$21),ISNUMBER('Inputs'!$B$24),ISNUMBER('Inputs'!$B$28)),((('Results'!C7*(1+'Inputs'!$B$24)*(0.5*((((660-43)*MAX('Inputs'!$B$33,'Inputs'!$B$29+'Inputs'!$B$31+'Inputs'!$B$32,'Inputs'!$B$30+'Inputs'!$B$31+'Inputs'!$B$32)/1000+'Inputs'!$B$21)+'Inputs'!$B$9)/SQRT((((660-43)*MAX('Inputs'!$B$33,'Inputs'!$B$29+'Inputs'!$B$31+'Inputs'!$B$32,'Inputs'!$B$30+'Inputs'!$B$31+'Inputs'!$B$32)/1000+'Inputs'!$B$21)+'Inputs'!$B$9)^2+('Inputs'!$B$8/2)^2)-(((660-43)*MAX('Inputs'!$B$33,'Inputs'!$B$29+'Inputs'!$B$31+'Inputs'!$B$32,'Inputs'!$B$30+'Inputs'!$B$31+'Inputs'!$B$32)/1000+'Inputs'!$B$21))/SQRT((((660-43)*MAX('Inputs'!$B$33,'Inputs'!$B$29+'Inputs'!$B$31+'Inputs'!$B$32,'Inputs'!$B$30+'Inputs'!$B$31+'Inputs'!$B$32)/1000+'Inputs'!$B$21))^2+('Inputs'!$B$8/2)^2)))-'Results'!B7*(1-'Inputs'!$B$24)*(0.5*((((660-43)*MAX('Inputs'!$B$33,'Inputs'!$B$29+'Inputs'!$B$31+'Inputs'!$B$32,'Inputs'!$B$30+'Inputs'!$B$31+'Inputs'!$B$32)/1000+'Inputs'!$B$21+'Inputs'!$B$9+'Inputs'!$B$10)+'Inputs'!$B$7)/SQRT((((660-43)*MAX('Inputs'!$B$33,'Inputs'!$B$29+'Inputs'!$B$31+'Inputs'!$B$32,'Inputs'!$B$30+'Inputs'!$B$31+'Inputs'!$B$32)/1000+'Inputs'!$B$21+'Inputs'!$B$9+'Inputs'!$B$10)+'Inputs'!$B$7)^2+('Inputs'!$B$6/2)^2)-(((660-43)*MAX('Inputs'!$B$33,'Inputs'!$B$29+'Inputs'!$B$31+'Inputs'!$B$32,'Inputs'!$B$30+'Inputs'!$B$31+'Inputs'!$B$32)/1000+'Inputs'!$B$21+'Inputs'!$B$9+'Inputs'!$B$10))/SQRT((((660-43)*MAX('Inputs'!$B$33,'Inputs'!$B$29+'Inputs'!$B$31+'Inputs'!$B$32,'Inputs'!$B$30+'Inputs'!$B$31+'Inputs'!$B$32)/1000+'Inputs'!$B$21+'Inputs'!$B$9+'Inputs'!$B$10))^2+('Inputs'!$B$6/2)^2))))*'Results'!$B$8)+'Inputs'!$B$28*ABS((('Results'!C7*(1+'Inputs'!$B$24)*(0.5*((((660-43)*MAX('Inputs'!$B$33,'Inputs'!$B$29+'Inputs'!$B$31+'Inputs'!$B$32,'Inputs'!$B$30+'Inputs'!$B$31+'Inputs'!$B$32)/1000+'Inputs'!$B$21)+'Inputs'!$B$9)/SQRT((((660-43)*MAX('Inputs'!$B$33,'Inputs'!$B$29+'Inputs'!$B$31+'Inputs'!$B$32,'Inputs'!$B$30+'Inputs'!$B$31+'Inputs'!$B$32)/1000+'Inputs'!$B$21)+'Inputs'!$B$9)^2+('Inputs'!$B$8/2)^2)-(((660-43)*MAX('Inputs'!$B$33,'Inputs'!$B$29+'Inputs'!$B$31+'Inputs'!$B$32,'Inputs'!$B$30+'Inputs'!$B$31+'Inputs'!$B$32)/1000+'Inputs'!$B$21))/SQRT((((660-43)*MAX('Inputs'!$B$33,'Inputs'!$B$29+'Inputs'!$B$31+'Inputs'!$B$32,'Inputs'!$B$30+'Inputs'!$B$31+'Inputs'!$B$32)/1000+'Inputs'!$B$21))^2+('Inputs'!$B$8/2)^2)))-'Results'!B7*(1-'Inputs'!$B$24)*(0.5*((((660-43)*MAX('Inputs'!$B$33,'Inputs'!$B$29+'Inputs'!$B$31+'Inputs'!$B$32,'Inputs'!$B$30+'Inputs'!$B$31+'Inputs'!$B$32)/1000+'Inputs'!$B$21+'Inputs'!$B$9+'Inputs'!$B$10)+'Inputs'!$B$7)/SQRT((((660-43)*MAX('Inputs'!$B$33,'Inputs'!$B$29+'Inputs'!$B$31+'Inputs'!$B$32,'Inputs'!$B$30+'Inputs'!$B$31+'Inputs'!$B$32)/1000+'Inputs'!$B$21+'Inputs'!$B$9+'Inputs'!$B$10)+'Inputs'!$B$7)^2+('Inputs'!$B$6/2)^2)-(((660-43)*MAX('Inputs'!$B$33,'Inputs'!$B$29+'Inputs'!$B$31+'Inputs'!$B$32,'Inputs'!$B$30+'Inputs'!$B$31+'Inputs'!$B$32)/1000+'Inputs'!$B$21+'Inputs'!$B$9+'Inputs'!$B$10))/SQRT((((660-43)*MAX('Inputs'!$B$33,'Inputs'!$B$29+'Inputs'!$B$31+'Inputs'!$B$32,'Inputs'!$B$30+'Inputs'!$B$31+'Inputs'!$B$32)/1000+'Inputs'!$B$21+'Inputs'!$B$9+'Inputs'!$B$10))^2+('Inputs'!$B$6/2)^2))))*'Results'!$B$8))),"")</x:f>
        <x:v>2.1168327462775003</x:v>
      </x:c>
      <x:c r="P660" t="n">
        <x:f>IF(AND(MAX(J660,J659)&gt;0,J660&gt;J659+0.00000001),1,0)</x:f>
        <x:v>0</x:v>
      </x:c>
      <x:c r="Q660" t="n">
        <x:f>IF(AND(MAX(K660,K659)&gt;0,K660&gt;K659+0.00000001),1,0)</x:f>
        <x:v>0</x:v>
      </x:c>
      <x:c r="R660" t="n">
        <x:f>IF(AND(MAX(L660,L659)&gt;0,L660&gt;L659+0.00000001),1,0)</x:f>
        <x:v>0</x:v>
      </x:c>
      <x:c r="S660" t="n">
        <x:f>IF(AND(MAX(M660,M659)&gt;0,M660&gt;M659+0.00000001),1,0)</x:f>
        <x:v>0</x:v>
      </x:c>
      <x:c r="T660" t="n">
        <x:f>IF(AND(MAX(N660,N659)&gt;0,N660&gt;N659+0.00000001),1,0)</x:f>
        <x:v>0</x:v>
      </x:c>
      <x:c r="U660" t="n">
        <x:f>IF(AND(MAX(O660,O659)&gt;0,O660&gt;O659+0.00000001),1,0)</x:f>
        <x:v>0</x:v>
      </x:c>
    </x:row>
    <x:row r="661">
      <x:c r="J661" t="n">
        <x:f>IF(AND(ISNUMBER('Results'!B7),ISNUMBER('Results'!C7),ISNUMBER('Results'!$B$8),ISNUMBER('Inputs'!$B$6),ISNUMBER('Inputs'!$B$7),ISNUMBER('Inputs'!$B$8),ISNUMBER('Inputs'!$B$9),ISNUMBER('Inputs'!$B$10),ISNUMBER('Inputs'!$B$21),ISNUMBER('Inputs'!$B$24),ISNUMBER('Inputs'!$B$28)),(('Results'!B7*(0.5*((((661-43)*MAX('Inputs'!$B$33,'Inputs'!$B$29+'Inputs'!$B$31+'Inputs'!$B$32,'Inputs'!$B$30+'Inputs'!$B$31+'Inputs'!$B$32)/1000+'Inputs'!$B$21)+'Inputs'!$B$7)/SQRT((((661-43)*MAX('Inputs'!$B$33,'Inputs'!$B$29+'Inputs'!$B$31+'Inputs'!$B$32,'Inputs'!$B$30+'Inputs'!$B$31+'Inputs'!$B$32)/1000+'Inputs'!$B$21)+'Inputs'!$B$7)^2+('Inputs'!$B$6/2)^2)-(((661-43)*MAX('Inputs'!$B$33,'Inputs'!$B$29+'Inputs'!$B$31+'Inputs'!$B$32,'Inputs'!$B$30+'Inputs'!$B$31+'Inputs'!$B$32)/1000+'Inputs'!$B$21))/SQRT((((661-43)*MAX('Inputs'!$B$33,'Inputs'!$B$29+'Inputs'!$B$31+'Inputs'!$B$32,'Inputs'!$B$30+'Inputs'!$B$31+'Inputs'!$B$32)/1000+'Inputs'!$B$21))^2+('Inputs'!$B$6/2)^2)))-'Results'!C7*(0.5*((((661-43)*MAX('Inputs'!$B$33,'Inputs'!$B$29+'Inputs'!$B$31+'Inputs'!$B$32,'Inputs'!$B$30+'Inputs'!$B$31+'Inputs'!$B$32)/1000+'Inputs'!$B$21+'Inputs'!$B$7+'Inputs'!$B$10)+'Inputs'!$B$9)/SQRT((((661-43)*MAX('Inputs'!$B$33,'Inputs'!$B$29+'Inputs'!$B$31+'Inputs'!$B$32,'Inputs'!$B$30+'Inputs'!$B$31+'Inputs'!$B$32)/1000+'Inputs'!$B$21+'Inputs'!$B$7+'Inputs'!$B$10)+'Inputs'!$B$9)^2+('Inputs'!$B$8/2)^2)-(((661-43)*MAX('Inputs'!$B$33,'Inputs'!$B$29+'Inputs'!$B$31+'Inputs'!$B$32,'Inputs'!$B$30+'Inputs'!$B$31+'Inputs'!$B$32)/1000+'Inputs'!$B$21+'Inputs'!$B$7+'Inputs'!$B$10))/SQRT((((661-43)*MAX('Inputs'!$B$33,'Inputs'!$B$29+'Inputs'!$B$31+'Inputs'!$B$32,'Inputs'!$B$30+'Inputs'!$B$31+'Inputs'!$B$32)/1000+'Inputs'!$B$21+'Inputs'!$B$7+'Inputs'!$B$10))^2+('Inputs'!$B$8/2)^2))))*'Results'!$B$8),"")</x:f>
        <x:v>2.006619990542793</x:v>
      </x:c>
      <x:c r="K661" t="n">
        <x:f>IF(AND(ISNUMBER('Results'!B7),ISNUMBER('Results'!C7),ISNUMBER('Results'!$B$8),ISNUMBER('Inputs'!$B$6),ISNUMBER('Inputs'!$B$7),ISNUMBER('Inputs'!$B$8),ISNUMBER('Inputs'!$B$9),ISNUMBER('Inputs'!$B$10),ISNUMBER('Inputs'!$B$21),ISNUMBER('Inputs'!$B$24),ISNUMBER('Inputs'!$B$28)),((('Results'!B7*(1-'Inputs'!$B$24)*(0.5*((((661-43)*MAX('Inputs'!$B$33,'Inputs'!$B$29+'Inputs'!$B$31+'Inputs'!$B$32,'Inputs'!$B$30+'Inputs'!$B$31+'Inputs'!$B$32)/1000+'Inputs'!$B$21)+'Inputs'!$B$7)/SQRT((((661-43)*MAX('Inputs'!$B$33,'Inputs'!$B$29+'Inputs'!$B$31+'Inputs'!$B$32,'Inputs'!$B$30+'Inputs'!$B$31+'Inputs'!$B$32)/1000+'Inputs'!$B$21)+'Inputs'!$B$7)^2+('Inputs'!$B$6/2)^2)-(((661-43)*MAX('Inputs'!$B$33,'Inputs'!$B$29+'Inputs'!$B$31+'Inputs'!$B$32,'Inputs'!$B$30+'Inputs'!$B$31+'Inputs'!$B$32)/1000+'Inputs'!$B$21))/SQRT((((661-43)*MAX('Inputs'!$B$33,'Inputs'!$B$29+'Inputs'!$B$31+'Inputs'!$B$32,'Inputs'!$B$30+'Inputs'!$B$31+'Inputs'!$B$32)/1000+'Inputs'!$B$21))^2+('Inputs'!$B$6/2)^2)))-'Results'!C7*(1+'Inputs'!$B$24)*(0.5*((((661-43)*MAX('Inputs'!$B$33,'Inputs'!$B$29+'Inputs'!$B$31+'Inputs'!$B$32,'Inputs'!$B$30+'Inputs'!$B$31+'Inputs'!$B$32)/1000+'Inputs'!$B$21+'Inputs'!$B$7+'Inputs'!$B$10)+'Inputs'!$B$9)/SQRT((((661-43)*MAX('Inputs'!$B$33,'Inputs'!$B$29+'Inputs'!$B$31+'Inputs'!$B$32,'Inputs'!$B$30+'Inputs'!$B$31+'Inputs'!$B$32)/1000+'Inputs'!$B$21+'Inputs'!$B$7+'Inputs'!$B$10)+'Inputs'!$B$9)^2+('Inputs'!$B$8/2)^2)-(((661-43)*MAX('Inputs'!$B$33,'Inputs'!$B$29+'Inputs'!$B$31+'Inputs'!$B$32,'Inputs'!$B$30+'Inputs'!$B$31+'Inputs'!$B$32)/1000+'Inputs'!$B$21+'Inputs'!$B$7+'Inputs'!$B$10))/SQRT((((661-43)*MAX('Inputs'!$B$33,'Inputs'!$B$29+'Inputs'!$B$31+'Inputs'!$B$32,'Inputs'!$B$30+'Inputs'!$B$31+'Inputs'!$B$32)/1000+'Inputs'!$B$21+'Inputs'!$B$7+'Inputs'!$B$10))^2+('Inputs'!$B$8/2)^2))))*'Results'!$B$8)-'Inputs'!$B$28*ABS((('Results'!B7*(1-'Inputs'!$B$24)*(0.5*((((661-43)*MAX('Inputs'!$B$33,'Inputs'!$B$29+'Inputs'!$B$31+'Inputs'!$B$32,'Inputs'!$B$30+'Inputs'!$B$31+'Inputs'!$B$32)/1000+'Inputs'!$B$21)+'Inputs'!$B$7)/SQRT((((661-43)*MAX('Inputs'!$B$33,'Inputs'!$B$29+'Inputs'!$B$31+'Inputs'!$B$32,'Inputs'!$B$30+'Inputs'!$B$31+'Inputs'!$B$32)/1000+'Inputs'!$B$21)+'Inputs'!$B$7)^2+('Inputs'!$B$6/2)^2)-(((661-43)*MAX('Inputs'!$B$33,'Inputs'!$B$29+'Inputs'!$B$31+'Inputs'!$B$32,'Inputs'!$B$30+'Inputs'!$B$31+'Inputs'!$B$32)/1000+'Inputs'!$B$21))/SQRT((((661-43)*MAX('Inputs'!$B$33,'Inputs'!$B$29+'Inputs'!$B$31+'Inputs'!$B$32,'Inputs'!$B$30+'Inputs'!$B$31+'Inputs'!$B$32)/1000+'Inputs'!$B$21))^2+('Inputs'!$B$6/2)^2)))-'Results'!C7*(1+'Inputs'!$B$24)*(0.5*((((661-43)*MAX('Inputs'!$B$33,'Inputs'!$B$29+'Inputs'!$B$31+'Inputs'!$B$32,'Inputs'!$B$30+'Inputs'!$B$31+'Inputs'!$B$32)/1000+'Inputs'!$B$21+'Inputs'!$B$7+'Inputs'!$B$10)+'Inputs'!$B$9)/SQRT((((661-43)*MAX('Inputs'!$B$33,'Inputs'!$B$29+'Inputs'!$B$31+'Inputs'!$B$32,'Inputs'!$B$30+'Inputs'!$B$31+'Inputs'!$B$32)/1000+'Inputs'!$B$21+'Inputs'!$B$7+'Inputs'!$B$10)+'Inputs'!$B$9)^2+('Inputs'!$B$8/2)^2)-(((661-43)*MAX('Inputs'!$B$33,'Inputs'!$B$29+'Inputs'!$B$31+'Inputs'!$B$32,'Inputs'!$B$30+'Inputs'!$B$31+'Inputs'!$B$32)/1000+'Inputs'!$B$21+'Inputs'!$B$7+'Inputs'!$B$10))/SQRT((((661-43)*MAX('Inputs'!$B$33,'Inputs'!$B$29+'Inputs'!$B$31+'Inputs'!$B$32,'Inputs'!$B$30+'Inputs'!$B$31+'Inputs'!$B$32)/1000+'Inputs'!$B$21+'Inputs'!$B$7+'Inputs'!$B$10))^2+('Inputs'!$B$8/2)^2))))*'Results'!$B$8))),"")</x:f>
        <x:v>1.7536380385232047</x:v>
      </x:c>
      <x:c r="L661" t="n">
        <x:f>IF(AND(ISNUMBER('Results'!B7),ISNUMBER('Results'!C7),ISNUMBER('Results'!$B$8),ISNUMBER('Inputs'!$B$6),ISNUMBER('Inputs'!$B$7),ISNUMBER('Inputs'!$B$8),ISNUMBER('Inputs'!$B$9),ISNUMBER('Inputs'!$B$10),ISNUMBER('Inputs'!$B$21),ISNUMBER('Inputs'!$B$24),ISNUMBER('Inputs'!$B$28)),((('Results'!B7*(1+'Inputs'!$B$24)*(0.5*((((661-43)*MAX('Inputs'!$B$33,'Inputs'!$B$29+'Inputs'!$B$31+'Inputs'!$B$32,'Inputs'!$B$30+'Inputs'!$B$31+'Inputs'!$B$32)/1000+'Inputs'!$B$21)+'Inputs'!$B$7)/SQRT((((661-43)*MAX('Inputs'!$B$33,'Inputs'!$B$29+'Inputs'!$B$31+'Inputs'!$B$32,'Inputs'!$B$30+'Inputs'!$B$31+'Inputs'!$B$32)/1000+'Inputs'!$B$21)+'Inputs'!$B$7)^2+('Inputs'!$B$6/2)^2)-(((661-43)*MAX('Inputs'!$B$33,'Inputs'!$B$29+'Inputs'!$B$31+'Inputs'!$B$32,'Inputs'!$B$30+'Inputs'!$B$31+'Inputs'!$B$32)/1000+'Inputs'!$B$21))/SQRT((((661-43)*MAX('Inputs'!$B$33,'Inputs'!$B$29+'Inputs'!$B$31+'Inputs'!$B$32,'Inputs'!$B$30+'Inputs'!$B$31+'Inputs'!$B$32)/1000+'Inputs'!$B$21))^2+('Inputs'!$B$6/2)^2)))-'Results'!C7*(1-'Inputs'!$B$24)*(0.5*((((661-43)*MAX('Inputs'!$B$33,'Inputs'!$B$29+'Inputs'!$B$31+'Inputs'!$B$32,'Inputs'!$B$30+'Inputs'!$B$31+'Inputs'!$B$32)/1000+'Inputs'!$B$21+'Inputs'!$B$7+'Inputs'!$B$10)+'Inputs'!$B$9)/SQRT((((661-43)*MAX('Inputs'!$B$33,'Inputs'!$B$29+'Inputs'!$B$31+'Inputs'!$B$32,'Inputs'!$B$30+'Inputs'!$B$31+'Inputs'!$B$32)/1000+'Inputs'!$B$21+'Inputs'!$B$7+'Inputs'!$B$10)+'Inputs'!$B$9)^2+('Inputs'!$B$8/2)^2)-(((661-43)*MAX('Inputs'!$B$33,'Inputs'!$B$29+'Inputs'!$B$31+'Inputs'!$B$32,'Inputs'!$B$30+'Inputs'!$B$31+'Inputs'!$B$32)/1000+'Inputs'!$B$21+'Inputs'!$B$7+'Inputs'!$B$10))/SQRT((((661-43)*MAX('Inputs'!$B$33,'Inputs'!$B$29+'Inputs'!$B$31+'Inputs'!$B$32,'Inputs'!$B$30+'Inputs'!$B$31+'Inputs'!$B$32)/1000+'Inputs'!$B$21+'Inputs'!$B$7+'Inputs'!$B$10))^2+('Inputs'!$B$8/2)^2))))*'Results'!$B$8)+'Inputs'!$B$28*ABS((('Results'!B7*(1+'Inputs'!$B$24)*(0.5*((((661-43)*MAX('Inputs'!$B$33,'Inputs'!$B$29+'Inputs'!$B$31+'Inputs'!$B$32,'Inputs'!$B$30+'Inputs'!$B$31+'Inputs'!$B$32)/1000+'Inputs'!$B$21)+'Inputs'!$B$7)/SQRT((((661-43)*MAX('Inputs'!$B$33,'Inputs'!$B$29+'Inputs'!$B$31+'Inputs'!$B$32,'Inputs'!$B$30+'Inputs'!$B$31+'Inputs'!$B$32)/1000+'Inputs'!$B$21)+'Inputs'!$B$7)^2+('Inputs'!$B$6/2)^2)-(((661-43)*MAX('Inputs'!$B$33,'Inputs'!$B$29+'Inputs'!$B$31+'Inputs'!$B$32,'Inputs'!$B$30+'Inputs'!$B$31+'Inputs'!$B$32)/1000+'Inputs'!$B$21))/SQRT((((661-43)*MAX('Inputs'!$B$33,'Inputs'!$B$29+'Inputs'!$B$31+'Inputs'!$B$32,'Inputs'!$B$30+'Inputs'!$B$31+'Inputs'!$B$32)/1000+'Inputs'!$B$21))^2+('Inputs'!$B$6/2)^2)))-'Results'!C7*(1-'Inputs'!$B$24)*(0.5*((((661-43)*MAX('Inputs'!$B$33,'Inputs'!$B$29+'Inputs'!$B$31+'Inputs'!$B$32,'Inputs'!$B$30+'Inputs'!$B$31+'Inputs'!$B$32)/1000+'Inputs'!$B$21+'Inputs'!$B$7+'Inputs'!$B$10)+'Inputs'!$B$9)/SQRT((((661-43)*MAX('Inputs'!$B$33,'Inputs'!$B$29+'Inputs'!$B$31+'Inputs'!$B$32,'Inputs'!$B$30+'Inputs'!$B$31+'Inputs'!$B$32)/1000+'Inputs'!$B$21+'Inputs'!$B$7+'Inputs'!$B$10)+'Inputs'!$B$9)^2+('Inputs'!$B$8/2)^2)-(((661-43)*MAX('Inputs'!$B$33,'Inputs'!$B$29+'Inputs'!$B$31+'Inputs'!$B$32,'Inputs'!$B$30+'Inputs'!$B$31+'Inputs'!$B$32)/1000+'Inputs'!$B$21+'Inputs'!$B$7+'Inputs'!$B$10))/SQRT((((661-43)*MAX('Inputs'!$B$33,'Inputs'!$B$29+'Inputs'!$B$31+'Inputs'!$B$32,'Inputs'!$B$30+'Inputs'!$B$31+'Inputs'!$B$32)/1000+'Inputs'!$B$21+'Inputs'!$B$7+'Inputs'!$B$10))^2+('Inputs'!$B$8/2)^2))))*'Results'!$B$8))),"")</x:f>
        <x:v>2.2756704638773764</x:v>
      </x:c>
      <x:c r="M661" t="n">
        <x:f>IF(AND(ISNUMBER('Results'!C7),ISNUMBER('Results'!B7),ISNUMBER('Results'!$B$8),ISNUMBER('Inputs'!$B$6),ISNUMBER('Inputs'!$B$7),ISNUMBER('Inputs'!$B$8),ISNUMBER('Inputs'!$B$9),ISNUMBER('Inputs'!$B$10),ISNUMBER('Inputs'!$B$21),ISNUMBER('Inputs'!$B$24),ISNUMBER('Inputs'!$B$28)),(('Results'!C7*(0.5*((((661-43)*MAX('Inputs'!$B$33,'Inputs'!$B$29+'Inputs'!$B$31+'Inputs'!$B$32,'Inputs'!$B$30+'Inputs'!$B$31+'Inputs'!$B$32)/1000+'Inputs'!$B$21)+'Inputs'!$B$9)/SQRT((((661-43)*MAX('Inputs'!$B$33,'Inputs'!$B$29+'Inputs'!$B$31+'Inputs'!$B$32,'Inputs'!$B$30+'Inputs'!$B$31+'Inputs'!$B$32)/1000+'Inputs'!$B$21)+'Inputs'!$B$9)^2+('Inputs'!$B$8/2)^2)-(((661-43)*MAX('Inputs'!$B$33,'Inputs'!$B$29+'Inputs'!$B$31+'Inputs'!$B$32,'Inputs'!$B$30+'Inputs'!$B$31+'Inputs'!$B$32)/1000+'Inputs'!$B$21))/SQRT((((661-43)*MAX('Inputs'!$B$33,'Inputs'!$B$29+'Inputs'!$B$31+'Inputs'!$B$32,'Inputs'!$B$30+'Inputs'!$B$31+'Inputs'!$B$32)/1000+'Inputs'!$B$21))^2+('Inputs'!$B$8/2)^2)))-'Results'!B7*(0.5*((((661-43)*MAX('Inputs'!$B$33,'Inputs'!$B$29+'Inputs'!$B$31+'Inputs'!$B$32,'Inputs'!$B$30+'Inputs'!$B$31+'Inputs'!$B$32)/1000+'Inputs'!$B$21+'Inputs'!$B$9+'Inputs'!$B$10)+'Inputs'!$B$7)/SQRT((((661-43)*MAX('Inputs'!$B$33,'Inputs'!$B$29+'Inputs'!$B$31+'Inputs'!$B$32,'Inputs'!$B$30+'Inputs'!$B$31+'Inputs'!$B$32)/1000+'Inputs'!$B$21+'Inputs'!$B$9+'Inputs'!$B$10)+'Inputs'!$B$7)^2+('Inputs'!$B$6/2)^2)-(((661-43)*MAX('Inputs'!$B$33,'Inputs'!$B$29+'Inputs'!$B$31+'Inputs'!$B$32,'Inputs'!$B$30+'Inputs'!$B$31+'Inputs'!$B$32)/1000+'Inputs'!$B$21+'Inputs'!$B$9+'Inputs'!$B$10))/SQRT((((661-43)*MAX('Inputs'!$B$33,'Inputs'!$B$29+'Inputs'!$B$31+'Inputs'!$B$32,'Inputs'!$B$30+'Inputs'!$B$31+'Inputs'!$B$32)/1000+'Inputs'!$B$21+'Inputs'!$B$9+'Inputs'!$B$10))^2+('Inputs'!$B$6/2)^2))))*'Results'!$B$8),"")</x:f>
        <x:v>1.8447046466444892</x:v>
      </x:c>
      <x:c r="N661" t="n">
        <x:f>IF(AND(ISNUMBER('Results'!C7),ISNUMBER('Results'!B7),ISNUMBER('Results'!$B$8),ISNUMBER('Inputs'!$B$6),ISNUMBER('Inputs'!$B$7),ISNUMBER('Inputs'!$B$8),ISNUMBER('Inputs'!$B$9),ISNUMBER('Inputs'!$B$10),ISNUMBER('Inputs'!$B$21),ISNUMBER('Inputs'!$B$24),ISNUMBER('Inputs'!$B$28)),((('Results'!C7*(1-'Inputs'!$B$24)*(0.5*((((661-43)*MAX('Inputs'!$B$33,'Inputs'!$B$29+'Inputs'!$B$31+'Inputs'!$B$32,'Inputs'!$B$30+'Inputs'!$B$31+'Inputs'!$B$32)/1000+'Inputs'!$B$21)+'Inputs'!$B$9)/SQRT((((661-43)*MAX('Inputs'!$B$33,'Inputs'!$B$29+'Inputs'!$B$31+'Inputs'!$B$32,'Inputs'!$B$30+'Inputs'!$B$31+'Inputs'!$B$32)/1000+'Inputs'!$B$21)+'Inputs'!$B$9)^2+('Inputs'!$B$8/2)^2)-(((661-43)*MAX('Inputs'!$B$33,'Inputs'!$B$29+'Inputs'!$B$31+'Inputs'!$B$32,'Inputs'!$B$30+'Inputs'!$B$31+'Inputs'!$B$32)/1000+'Inputs'!$B$21))/SQRT((((661-43)*MAX('Inputs'!$B$33,'Inputs'!$B$29+'Inputs'!$B$31+'Inputs'!$B$32,'Inputs'!$B$30+'Inputs'!$B$31+'Inputs'!$B$32)/1000+'Inputs'!$B$21))^2+('Inputs'!$B$8/2)^2)))-'Results'!B7*(1+'Inputs'!$B$24)*(0.5*((((661-43)*MAX('Inputs'!$B$33,'Inputs'!$B$29+'Inputs'!$B$31+'Inputs'!$B$32,'Inputs'!$B$30+'Inputs'!$B$31+'Inputs'!$B$32)/1000+'Inputs'!$B$21+'Inputs'!$B$9+'Inputs'!$B$10)+'Inputs'!$B$7)/SQRT((((661-43)*MAX('Inputs'!$B$33,'Inputs'!$B$29+'Inputs'!$B$31+'Inputs'!$B$32,'Inputs'!$B$30+'Inputs'!$B$31+'Inputs'!$B$32)/1000+'Inputs'!$B$21+'Inputs'!$B$9+'Inputs'!$B$10)+'Inputs'!$B$7)^2+('Inputs'!$B$6/2)^2)-(((661-43)*MAX('Inputs'!$B$33,'Inputs'!$B$29+'Inputs'!$B$31+'Inputs'!$B$32,'Inputs'!$B$30+'Inputs'!$B$31+'Inputs'!$B$32)/1000+'Inputs'!$B$21+'Inputs'!$B$9+'Inputs'!$B$10))/SQRT((((661-43)*MAX('Inputs'!$B$33,'Inputs'!$B$29+'Inputs'!$B$31+'Inputs'!$B$32,'Inputs'!$B$30+'Inputs'!$B$31+'Inputs'!$B$32)/1000+'Inputs'!$B$21+'Inputs'!$B$9+'Inputs'!$B$10))^2+('Inputs'!$B$6/2)^2))))*'Results'!$B$8)-'Inputs'!$B$28*ABS((('Results'!C7*(1-'Inputs'!$B$24)*(0.5*((((661-43)*MAX('Inputs'!$B$33,'Inputs'!$B$29+'Inputs'!$B$31+'Inputs'!$B$32,'Inputs'!$B$30+'Inputs'!$B$31+'Inputs'!$B$32)/1000+'Inputs'!$B$21)+'Inputs'!$B$9)/SQRT((((661-43)*MAX('Inputs'!$B$33,'Inputs'!$B$29+'Inputs'!$B$31+'Inputs'!$B$32,'Inputs'!$B$30+'Inputs'!$B$31+'Inputs'!$B$32)/1000+'Inputs'!$B$21)+'Inputs'!$B$9)^2+('Inputs'!$B$8/2)^2)-(((661-43)*MAX('Inputs'!$B$33,'Inputs'!$B$29+'Inputs'!$B$31+'Inputs'!$B$32,'Inputs'!$B$30+'Inputs'!$B$31+'Inputs'!$B$32)/1000+'Inputs'!$B$21))/SQRT((((661-43)*MAX('Inputs'!$B$33,'Inputs'!$B$29+'Inputs'!$B$31+'Inputs'!$B$32,'Inputs'!$B$30+'Inputs'!$B$31+'Inputs'!$B$32)/1000+'Inputs'!$B$21))^2+('Inputs'!$B$8/2)^2)))-'Results'!B7*(1+'Inputs'!$B$24)*(0.5*((((661-43)*MAX('Inputs'!$B$33,'Inputs'!$B$29+'Inputs'!$B$31+'Inputs'!$B$32,'Inputs'!$B$30+'Inputs'!$B$31+'Inputs'!$B$32)/1000+'Inputs'!$B$21+'Inputs'!$B$9+'Inputs'!$B$10)+'Inputs'!$B$7)/SQRT((((661-43)*MAX('Inputs'!$B$33,'Inputs'!$B$29+'Inputs'!$B$31+'Inputs'!$B$32,'Inputs'!$B$30+'Inputs'!$B$31+'Inputs'!$B$32)/1000+'Inputs'!$B$21+'Inputs'!$B$9+'Inputs'!$B$10)+'Inputs'!$B$7)^2+('Inputs'!$B$6/2)^2)-(((661-43)*MAX('Inputs'!$B$33,'Inputs'!$B$29+'Inputs'!$B$31+'Inputs'!$B$32,'Inputs'!$B$30+'Inputs'!$B$31+'Inputs'!$B$32)/1000+'Inputs'!$B$21+'Inputs'!$B$9+'Inputs'!$B$10))/SQRT((((661-43)*MAX('Inputs'!$B$33,'Inputs'!$B$29+'Inputs'!$B$31+'Inputs'!$B$32,'Inputs'!$B$30+'Inputs'!$B$31+'Inputs'!$B$32)/1000+'Inputs'!$B$21+'Inputs'!$B$9+'Inputs'!$B$10))^2+('Inputs'!$B$6/2)^2))))*'Results'!$B$8))),"")</x:f>
        <x:v>1.6005576049320034</x:v>
      </x:c>
      <x:c r="O661" t="n">
        <x:f>IF(AND(ISNUMBER('Results'!C7),ISNUMBER('Results'!B7),ISNUMBER('Results'!$B$8),ISNUMBER('Inputs'!$B$6),ISNUMBER('Inputs'!$B$7),ISNUMBER('Inputs'!$B$8),ISNUMBER('Inputs'!$B$9),ISNUMBER('Inputs'!$B$10),ISNUMBER('Inputs'!$B$21),ISNUMBER('Inputs'!$B$24),ISNUMBER('Inputs'!$B$28)),((('Results'!C7*(1+'Inputs'!$B$24)*(0.5*((((661-43)*MAX('Inputs'!$B$33,'Inputs'!$B$29+'Inputs'!$B$31+'Inputs'!$B$32,'Inputs'!$B$30+'Inputs'!$B$31+'Inputs'!$B$32)/1000+'Inputs'!$B$21)+'Inputs'!$B$9)/SQRT((((661-43)*MAX('Inputs'!$B$33,'Inputs'!$B$29+'Inputs'!$B$31+'Inputs'!$B$32,'Inputs'!$B$30+'Inputs'!$B$31+'Inputs'!$B$32)/1000+'Inputs'!$B$21)+'Inputs'!$B$9)^2+('Inputs'!$B$8/2)^2)-(((661-43)*MAX('Inputs'!$B$33,'Inputs'!$B$29+'Inputs'!$B$31+'Inputs'!$B$32,'Inputs'!$B$30+'Inputs'!$B$31+'Inputs'!$B$32)/1000+'Inputs'!$B$21))/SQRT((((661-43)*MAX('Inputs'!$B$33,'Inputs'!$B$29+'Inputs'!$B$31+'Inputs'!$B$32,'Inputs'!$B$30+'Inputs'!$B$31+'Inputs'!$B$32)/1000+'Inputs'!$B$21))^2+('Inputs'!$B$8/2)^2)))-'Results'!B7*(1-'Inputs'!$B$24)*(0.5*((((661-43)*MAX('Inputs'!$B$33,'Inputs'!$B$29+'Inputs'!$B$31+'Inputs'!$B$32,'Inputs'!$B$30+'Inputs'!$B$31+'Inputs'!$B$32)/1000+'Inputs'!$B$21+'Inputs'!$B$9+'Inputs'!$B$10)+'Inputs'!$B$7)/SQRT((((661-43)*MAX('Inputs'!$B$33,'Inputs'!$B$29+'Inputs'!$B$31+'Inputs'!$B$32,'Inputs'!$B$30+'Inputs'!$B$31+'Inputs'!$B$32)/1000+'Inputs'!$B$21+'Inputs'!$B$9+'Inputs'!$B$10)+'Inputs'!$B$7)^2+('Inputs'!$B$6/2)^2)-(((661-43)*MAX('Inputs'!$B$33,'Inputs'!$B$29+'Inputs'!$B$31+'Inputs'!$B$32,'Inputs'!$B$30+'Inputs'!$B$31+'Inputs'!$B$32)/1000+'Inputs'!$B$21+'Inputs'!$B$9+'Inputs'!$B$10))/SQRT((((661-43)*MAX('Inputs'!$B$33,'Inputs'!$B$29+'Inputs'!$B$31+'Inputs'!$B$32,'Inputs'!$B$30+'Inputs'!$B$31+'Inputs'!$B$32)/1000+'Inputs'!$B$21+'Inputs'!$B$9+'Inputs'!$B$10))^2+('Inputs'!$B$6/2)^2))))*'Results'!$B$8)+'Inputs'!$B$28*ABS((('Results'!C7*(1+'Inputs'!$B$24)*(0.5*((((661-43)*MAX('Inputs'!$B$33,'Inputs'!$B$29+'Inputs'!$B$31+'Inputs'!$B$32,'Inputs'!$B$30+'Inputs'!$B$31+'Inputs'!$B$32)/1000+'Inputs'!$B$21)+'Inputs'!$B$9)/SQRT((((661-43)*MAX('Inputs'!$B$33,'Inputs'!$B$29+'Inputs'!$B$31+'Inputs'!$B$32,'Inputs'!$B$30+'Inputs'!$B$31+'Inputs'!$B$32)/1000+'Inputs'!$B$21)+'Inputs'!$B$9)^2+('Inputs'!$B$8/2)^2)-(((661-43)*MAX('Inputs'!$B$33,'Inputs'!$B$29+'Inputs'!$B$31+'Inputs'!$B$32,'Inputs'!$B$30+'Inputs'!$B$31+'Inputs'!$B$32)/1000+'Inputs'!$B$21))/SQRT((((661-43)*MAX('Inputs'!$B$33,'Inputs'!$B$29+'Inputs'!$B$31+'Inputs'!$B$32,'Inputs'!$B$30+'Inputs'!$B$31+'Inputs'!$B$32)/1000+'Inputs'!$B$21))^2+('Inputs'!$B$8/2)^2)))-'Results'!B7*(1-'Inputs'!$B$24)*(0.5*((((661-43)*MAX('Inputs'!$B$33,'Inputs'!$B$29+'Inputs'!$B$31+'Inputs'!$B$32,'Inputs'!$B$30+'Inputs'!$B$31+'Inputs'!$B$32)/1000+'Inputs'!$B$21+'Inputs'!$B$9+'Inputs'!$B$10)+'Inputs'!$B$7)/SQRT((((661-43)*MAX('Inputs'!$B$33,'Inputs'!$B$29+'Inputs'!$B$31+'Inputs'!$B$32,'Inputs'!$B$30+'Inputs'!$B$31+'Inputs'!$B$32)/1000+'Inputs'!$B$21+'Inputs'!$B$9+'Inputs'!$B$10)+'Inputs'!$B$7)^2+('Inputs'!$B$6/2)^2)-(((661-43)*MAX('Inputs'!$B$33,'Inputs'!$B$29+'Inputs'!$B$31+'Inputs'!$B$32,'Inputs'!$B$30+'Inputs'!$B$31+'Inputs'!$B$32)/1000+'Inputs'!$B$21+'Inputs'!$B$9+'Inputs'!$B$10))/SQRT((((661-43)*MAX('Inputs'!$B$33,'Inputs'!$B$29+'Inputs'!$B$31+'Inputs'!$B$32,'Inputs'!$B$30+'Inputs'!$B$31+'Inputs'!$B$32)/1000+'Inputs'!$B$21+'Inputs'!$B$9+'Inputs'!$B$10))^2+('Inputs'!$B$6/2)^2))))*'Results'!$B$8))),"")</x:f>
        <x:v>2.104842405133845</x:v>
      </x:c>
      <x:c r="P661" t="n">
        <x:f>IF(AND(MAX(J661,J660)&gt;0,J661&gt;J660+0.00000001),1,0)</x:f>
        <x:v>0</x:v>
      </x:c>
      <x:c r="Q661" t="n">
        <x:f>IF(AND(MAX(K661,K660)&gt;0,K661&gt;K660+0.00000001),1,0)</x:f>
        <x:v>0</x:v>
      </x:c>
      <x:c r="R661" t="n">
        <x:f>IF(AND(MAX(L661,L660)&gt;0,L661&gt;L660+0.00000001),1,0)</x:f>
        <x:v>0</x:v>
      </x:c>
      <x:c r="S661" t="n">
        <x:f>IF(AND(MAX(M661,M660)&gt;0,M661&gt;M660+0.00000001),1,0)</x:f>
        <x:v>0</x:v>
      </x:c>
      <x:c r="T661" t="n">
        <x:f>IF(AND(MAX(N661,N660)&gt;0,N661&gt;N660+0.00000001),1,0)</x:f>
        <x:v>0</x:v>
      </x:c>
      <x:c r="U661" t="n">
        <x:f>IF(AND(MAX(O661,O660)&gt;0,O661&gt;O660+0.00000001),1,0)</x:f>
        <x:v>0</x:v>
      </x:c>
    </x:row>
    <x:row r="662">
      <x:c r="J662" t="n">
        <x:f>IF(AND(ISNUMBER('Results'!B7),ISNUMBER('Results'!C7),ISNUMBER('Results'!$B$8),ISNUMBER('Inputs'!$B$6),ISNUMBER('Inputs'!$B$7),ISNUMBER('Inputs'!$B$8),ISNUMBER('Inputs'!$B$9),ISNUMBER('Inputs'!$B$10),ISNUMBER('Inputs'!$B$21),ISNUMBER('Inputs'!$B$24),ISNUMBER('Inputs'!$B$28)),(('Results'!B7*(0.5*((((662-43)*MAX('Inputs'!$B$33,'Inputs'!$B$29+'Inputs'!$B$31+'Inputs'!$B$32,'Inputs'!$B$30+'Inputs'!$B$31+'Inputs'!$B$32)/1000+'Inputs'!$B$21)+'Inputs'!$B$7)/SQRT((((662-43)*MAX('Inputs'!$B$33,'Inputs'!$B$29+'Inputs'!$B$31+'Inputs'!$B$32,'Inputs'!$B$30+'Inputs'!$B$31+'Inputs'!$B$32)/1000+'Inputs'!$B$21)+'Inputs'!$B$7)^2+('Inputs'!$B$6/2)^2)-(((662-43)*MAX('Inputs'!$B$33,'Inputs'!$B$29+'Inputs'!$B$31+'Inputs'!$B$32,'Inputs'!$B$30+'Inputs'!$B$31+'Inputs'!$B$32)/1000+'Inputs'!$B$21))/SQRT((((662-43)*MAX('Inputs'!$B$33,'Inputs'!$B$29+'Inputs'!$B$31+'Inputs'!$B$32,'Inputs'!$B$30+'Inputs'!$B$31+'Inputs'!$B$32)/1000+'Inputs'!$B$21))^2+('Inputs'!$B$6/2)^2)))-'Results'!C7*(0.5*((((662-43)*MAX('Inputs'!$B$33,'Inputs'!$B$29+'Inputs'!$B$31+'Inputs'!$B$32,'Inputs'!$B$30+'Inputs'!$B$31+'Inputs'!$B$32)/1000+'Inputs'!$B$21+'Inputs'!$B$7+'Inputs'!$B$10)+'Inputs'!$B$9)/SQRT((((662-43)*MAX('Inputs'!$B$33,'Inputs'!$B$29+'Inputs'!$B$31+'Inputs'!$B$32,'Inputs'!$B$30+'Inputs'!$B$31+'Inputs'!$B$32)/1000+'Inputs'!$B$21+'Inputs'!$B$7+'Inputs'!$B$10)+'Inputs'!$B$9)^2+('Inputs'!$B$8/2)^2)-(((662-43)*MAX('Inputs'!$B$33,'Inputs'!$B$29+'Inputs'!$B$31+'Inputs'!$B$32,'Inputs'!$B$30+'Inputs'!$B$31+'Inputs'!$B$32)/1000+'Inputs'!$B$21+'Inputs'!$B$7+'Inputs'!$B$10))/SQRT((((662-43)*MAX('Inputs'!$B$33,'Inputs'!$B$29+'Inputs'!$B$31+'Inputs'!$B$32,'Inputs'!$B$30+'Inputs'!$B$31+'Inputs'!$B$32)/1000+'Inputs'!$B$21+'Inputs'!$B$7+'Inputs'!$B$10))^2+('Inputs'!$B$8/2)^2))))*'Results'!$B$8),"")</x:f>
        <x:v>1.995272294000129</x:v>
      </x:c>
      <x:c r="K662" t="n">
        <x:f>IF(AND(ISNUMBER('Results'!B7),ISNUMBER('Results'!C7),ISNUMBER('Results'!$B$8),ISNUMBER('Inputs'!$B$6),ISNUMBER('Inputs'!$B$7),ISNUMBER('Inputs'!$B$8),ISNUMBER('Inputs'!$B$9),ISNUMBER('Inputs'!$B$10),ISNUMBER('Inputs'!$B$21),ISNUMBER('Inputs'!$B$24),ISNUMBER('Inputs'!$B$28)),((('Results'!B7*(1-'Inputs'!$B$24)*(0.5*((((662-43)*MAX('Inputs'!$B$33,'Inputs'!$B$29+'Inputs'!$B$31+'Inputs'!$B$32,'Inputs'!$B$30+'Inputs'!$B$31+'Inputs'!$B$32)/1000+'Inputs'!$B$21)+'Inputs'!$B$7)/SQRT((((662-43)*MAX('Inputs'!$B$33,'Inputs'!$B$29+'Inputs'!$B$31+'Inputs'!$B$32,'Inputs'!$B$30+'Inputs'!$B$31+'Inputs'!$B$32)/1000+'Inputs'!$B$21)+'Inputs'!$B$7)^2+('Inputs'!$B$6/2)^2)-(((662-43)*MAX('Inputs'!$B$33,'Inputs'!$B$29+'Inputs'!$B$31+'Inputs'!$B$32,'Inputs'!$B$30+'Inputs'!$B$31+'Inputs'!$B$32)/1000+'Inputs'!$B$21))/SQRT((((662-43)*MAX('Inputs'!$B$33,'Inputs'!$B$29+'Inputs'!$B$31+'Inputs'!$B$32,'Inputs'!$B$30+'Inputs'!$B$31+'Inputs'!$B$32)/1000+'Inputs'!$B$21))^2+('Inputs'!$B$6/2)^2)))-'Results'!C7*(1+'Inputs'!$B$24)*(0.5*((((662-43)*MAX('Inputs'!$B$33,'Inputs'!$B$29+'Inputs'!$B$31+'Inputs'!$B$32,'Inputs'!$B$30+'Inputs'!$B$31+'Inputs'!$B$32)/1000+'Inputs'!$B$21+'Inputs'!$B$7+'Inputs'!$B$10)+'Inputs'!$B$9)/SQRT((((662-43)*MAX('Inputs'!$B$33,'Inputs'!$B$29+'Inputs'!$B$31+'Inputs'!$B$32,'Inputs'!$B$30+'Inputs'!$B$31+'Inputs'!$B$32)/1000+'Inputs'!$B$21+'Inputs'!$B$7+'Inputs'!$B$10)+'Inputs'!$B$9)^2+('Inputs'!$B$8/2)^2)-(((662-43)*MAX('Inputs'!$B$33,'Inputs'!$B$29+'Inputs'!$B$31+'Inputs'!$B$32,'Inputs'!$B$30+'Inputs'!$B$31+'Inputs'!$B$32)/1000+'Inputs'!$B$21+'Inputs'!$B$7+'Inputs'!$B$10))/SQRT((((662-43)*MAX('Inputs'!$B$33,'Inputs'!$B$29+'Inputs'!$B$31+'Inputs'!$B$32,'Inputs'!$B$30+'Inputs'!$B$31+'Inputs'!$B$32)/1000+'Inputs'!$B$21+'Inputs'!$B$7+'Inputs'!$B$10))^2+('Inputs'!$B$8/2)^2))))*'Results'!$B$8)-'Inputs'!$B$28*ABS((('Results'!B7*(1-'Inputs'!$B$24)*(0.5*((((662-43)*MAX('Inputs'!$B$33,'Inputs'!$B$29+'Inputs'!$B$31+'Inputs'!$B$32,'Inputs'!$B$30+'Inputs'!$B$31+'Inputs'!$B$32)/1000+'Inputs'!$B$21)+'Inputs'!$B$7)/SQRT((((662-43)*MAX('Inputs'!$B$33,'Inputs'!$B$29+'Inputs'!$B$31+'Inputs'!$B$32,'Inputs'!$B$30+'Inputs'!$B$31+'Inputs'!$B$32)/1000+'Inputs'!$B$21)+'Inputs'!$B$7)^2+('Inputs'!$B$6/2)^2)-(((662-43)*MAX('Inputs'!$B$33,'Inputs'!$B$29+'Inputs'!$B$31+'Inputs'!$B$32,'Inputs'!$B$30+'Inputs'!$B$31+'Inputs'!$B$32)/1000+'Inputs'!$B$21))/SQRT((((662-43)*MAX('Inputs'!$B$33,'Inputs'!$B$29+'Inputs'!$B$31+'Inputs'!$B$32,'Inputs'!$B$30+'Inputs'!$B$31+'Inputs'!$B$32)/1000+'Inputs'!$B$21))^2+('Inputs'!$B$6/2)^2)))-'Results'!C7*(1+'Inputs'!$B$24)*(0.5*((((662-43)*MAX('Inputs'!$B$33,'Inputs'!$B$29+'Inputs'!$B$31+'Inputs'!$B$32,'Inputs'!$B$30+'Inputs'!$B$31+'Inputs'!$B$32)/1000+'Inputs'!$B$21+'Inputs'!$B$7+'Inputs'!$B$10)+'Inputs'!$B$9)/SQRT((((662-43)*MAX('Inputs'!$B$33,'Inputs'!$B$29+'Inputs'!$B$31+'Inputs'!$B$32,'Inputs'!$B$30+'Inputs'!$B$31+'Inputs'!$B$32)/1000+'Inputs'!$B$21+'Inputs'!$B$7+'Inputs'!$B$10)+'Inputs'!$B$9)^2+('Inputs'!$B$8/2)^2)-(((662-43)*MAX('Inputs'!$B$33,'Inputs'!$B$29+'Inputs'!$B$31+'Inputs'!$B$32,'Inputs'!$B$30+'Inputs'!$B$31+'Inputs'!$B$32)/1000+'Inputs'!$B$21+'Inputs'!$B$7+'Inputs'!$B$10))/SQRT((((662-43)*MAX('Inputs'!$B$33,'Inputs'!$B$29+'Inputs'!$B$31+'Inputs'!$B$32,'Inputs'!$B$30+'Inputs'!$B$31+'Inputs'!$B$32)/1000+'Inputs'!$B$21+'Inputs'!$B$7+'Inputs'!$B$10))^2+('Inputs'!$B$8/2)^2))))*'Results'!$B$8))),"")</x:f>
        <x:v>1.7435240888581118</x:v>
      </x:c>
      <x:c r="L662" t="n">
        <x:f>IF(AND(ISNUMBER('Results'!B7),ISNUMBER('Results'!C7),ISNUMBER('Results'!$B$8),ISNUMBER('Inputs'!$B$6),ISNUMBER('Inputs'!$B$7),ISNUMBER('Inputs'!$B$8),ISNUMBER('Inputs'!$B$9),ISNUMBER('Inputs'!$B$10),ISNUMBER('Inputs'!$B$21),ISNUMBER('Inputs'!$B$24),ISNUMBER('Inputs'!$B$28)),((('Results'!B7*(1+'Inputs'!$B$24)*(0.5*((((662-43)*MAX('Inputs'!$B$33,'Inputs'!$B$29+'Inputs'!$B$31+'Inputs'!$B$32,'Inputs'!$B$30+'Inputs'!$B$31+'Inputs'!$B$32)/1000+'Inputs'!$B$21)+'Inputs'!$B$7)/SQRT((((662-43)*MAX('Inputs'!$B$33,'Inputs'!$B$29+'Inputs'!$B$31+'Inputs'!$B$32,'Inputs'!$B$30+'Inputs'!$B$31+'Inputs'!$B$32)/1000+'Inputs'!$B$21)+'Inputs'!$B$7)^2+('Inputs'!$B$6/2)^2)-(((662-43)*MAX('Inputs'!$B$33,'Inputs'!$B$29+'Inputs'!$B$31+'Inputs'!$B$32,'Inputs'!$B$30+'Inputs'!$B$31+'Inputs'!$B$32)/1000+'Inputs'!$B$21))/SQRT((((662-43)*MAX('Inputs'!$B$33,'Inputs'!$B$29+'Inputs'!$B$31+'Inputs'!$B$32,'Inputs'!$B$30+'Inputs'!$B$31+'Inputs'!$B$32)/1000+'Inputs'!$B$21))^2+('Inputs'!$B$6/2)^2)))-'Results'!C7*(1-'Inputs'!$B$24)*(0.5*((((662-43)*MAX('Inputs'!$B$33,'Inputs'!$B$29+'Inputs'!$B$31+'Inputs'!$B$32,'Inputs'!$B$30+'Inputs'!$B$31+'Inputs'!$B$32)/1000+'Inputs'!$B$21+'Inputs'!$B$7+'Inputs'!$B$10)+'Inputs'!$B$9)/SQRT((((662-43)*MAX('Inputs'!$B$33,'Inputs'!$B$29+'Inputs'!$B$31+'Inputs'!$B$32,'Inputs'!$B$30+'Inputs'!$B$31+'Inputs'!$B$32)/1000+'Inputs'!$B$21+'Inputs'!$B$7+'Inputs'!$B$10)+'Inputs'!$B$9)^2+('Inputs'!$B$8/2)^2)-(((662-43)*MAX('Inputs'!$B$33,'Inputs'!$B$29+'Inputs'!$B$31+'Inputs'!$B$32,'Inputs'!$B$30+'Inputs'!$B$31+'Inputs'!$B$32)/1000+'Inputs'!$B$21+'Inputs'!$B$7+'Inputs'!$B$10))/SQRT((((662-43)*MAX('Inputs'!$B$33,'Inputs'!$B$29+'Inputs'!$B$31+'Inputs'!$B$32,'Inputs'!$B$30+'Inputs'!$B$31+'Inputs'!$B$32)/1000+'Inputs'!$B$21+'Inputs'!$B$7+'Inputs'!$B$10))^2+('Inputs'!$B$8/2)^2))))*'Results'!$B$8)+'Inputs'!$B$28*ABS((('Results'!B7*(1+'Inputs'!$B$24)*(0.5*((((662-43)*MAX('Inputs'!$B$33,'Inputs'!$B$29+'Inputs'!$B$31+'Inputs'!$B$32,'Inputs'!$B$30+'Inputs'!$B$31+'Inputs'!$B$32)/1000+'Inputs'!$B$21)+'Inputs'!$B$7)/SQRT((((662-43)*MAX('Inputs'!$B$33,'Inputs'!$B$29+'Inputs'!$B$31+'Inputs'!$B$32,'Inputs'!$B$30+'Inputs'!$B$31+'Inputs'!$B$32)/1000+'Inputs'!$B$21)+'Inputs'!$B$7)^2+('Inputs'!$B$6/2)^2)-(((662-43)*MAX('Inputs'!$B$33,'Inputs'!$B$29+'Inputs'!$B$31+'Inputs'!$B$32,'Inputs'!$B$30+'Inputs'!$B$31+'Inputs'!$B$32)/1000+'Inputs'!$B$21))/SQRT((((662-43)*MAX('Inputs'!$B$33,'Inputs'!$B$29+'Inputs'!$B$31+'Inputs'!$B$32,'Inputs'!$B$30+'Inputs'!$B$31+'Inputs'!$B$32)/1000+'Inputs'!$B$21))^2+('Inputs'!$B$6/2)^2)))-'Results'!C7*(1-'Inputs'!$B$24)*(0.5*((((662-43)*MAX('Inputs'!$B$33,'Inputs'!$B$29+'Inputs'!$B$31+'Inputs'!$B$32,'Inputs'!$B$30+'Inputs'!$B$31+'Inputs'!$B$32)/1000+'Inputs'!$B$21+'Inputs'!$B$7+'Inputs'!$B$10)+'Inputs'!$B$9)/SQRT((((662-43)*MAX('Inputs'!$B$33,'Inputs'!$B$29+'Inputs'!$B$31+'Inputs'!$B$32,'Inputs'!$B$30+'Inputs'!$B$31+'Inputs'!$B$32)/1000+'Inputs'!$B$21+'Inputs'!$B$7+'Inputs'!$B$10)+'Inputs'!$B$9)^2+('Inputs'!$B$8/2)^2)-(((662-43)*MAX('Inputs'!$B$33,'Inputs'!$B$29+'Inputs'!$B$31+'Inputs'!$B$32,'Inputs'!$B$30+'Inputs'!$B$31+'Inputs'!$B$32)/1000+'Inputs'!$B$21+'Inputs'!$B$7+'Inputs'!$B$10))/SQRT((((662-43)*MAX('Inputs'!$B$33,'Inputs'!$B$29+'Inputs'!$B$31+'Inputs'!$B$32,'Inputs'!$B$30+'Inputs'!$B$31+'Inputs'!$B$32)/1000+'Inputs'!$B$21+'Inputs'!$B$7+'Inputs'!$B$10))^2+('Inputs'!$B$8/2)^2))))*'Results'!$B$8))),"")</x:f>
        <x:v>2.2630188770834097</x:v>
      </x:c>
      <x:c r="M662" t="n">
        <x:f>IF(AND(ISNUMBER('Results'!C7),ISNUMBER('Results'!B7),ISNUMBER('Results'!$B$8),ISNUMBER('Inputs'!$B$6),ISNUMBER('Inputs'!$B$7),ISNUMBER('Inputs'!$B$8),ISNUMBER('Inputs'!$B$9),ISNUMBER('Inputs'!$B$10),ISNUMBER('Inputs'!$B$21),ISNUMBER('Inputs'!$B$24),ISNUMBER('Inputs'!$B$28)),(('Results'!C7*(0.5*((((662-43)*MAX('Inputs'!$B$33,'Inputs'!$B$29+'Inputs'!$B$31+'Inputs'!$B$32,'Inputs'!$B$30+'Inputs'!$B$31+'Inputs'!$B$32)/1000+'Inputs'!$B$21)+'Inputs'!$B$9)/SQRT((((662-43)*MAX('Inputs'!$B$33,'Inputs'!$B$29+'Inputs'!$B$31+'Inputs'!$B$32,'Inputs'!$B$30+'Inputs'!$B$31+'Inputs'!$B$32)/1000+'Inputs'!$B$21)+'Inputs'!$B$9)^2+('Inputs'!$B$8/2)^2)-(((662-43)*MAX('Inputs'!$B$33,'Inputs'!$B$29+'Inputs'!$B$31+'Inputs'!$B$32,'Inputs'!$B$30+'Inputs'!$B$31+'Inputs'!$B$32)/1000+'Inputs'!$B$21))/SQRT((((662-43)*MAX('Inputs'!$B$33,'Inputs'!$B$29+'Inputs'!$B$31+'Inputs'!$B$32,'Inputs'!$B$30+'Inputs'!$B$31+'Inputs'!$B$32)/1000+'Inputs'!$B$21))^2+('Inputs'!$B$8/2)^2)))-'Results'!B7*(0.5*((((662-43)*MAX('Inputs'!$B$33,'Inputs'!$B$29+'Inputs'!$B$31+'Inputs'!$B$32,'Inputs'!$B$30+'Inputs'!$B$31+'Inputs'!$B$32)/1000+'Inputs'!$B$21+'Inputs'!$B$9+'Inputs'!$B$10)+'Inputs'!$B$7)/SQRT((((662-43)*MAX('Inputs'!$B$33,'Inputs'!$B$29+'Inputs'!$B$31+'Inputs'!$B$32,'Inputs'!$B$30+'Inputs'!$B$31+'Inputs'!$B$32)/1000+'Inputs'!$B$21+'Inputs'!$B$9+'Inputs'!$B$10)+'Inputs'!$B$7)^2+('Inputs'!$B$6/2)^2)-(((662-43)*MAX('Inputs'!$B$33,'Inputs'!$B$29+'Inputs'!$B$31+'Inputs'!$B$32,'Inputs'!$B$30+'Inputs'!$B$31+'Inputs'!$B$32)/1000+'Inputs'!$B$21+'Inputs'!$B$9+'Inputs'!$B$10))/SQRT((((662-43)*MAX('Inputs'!$B$33,'Inputs'!$B$29+'Inputs'!$B$31+'Inputs'!$B$32,'Inputs'!$B$30+'Inputs'!$B$31+'Inputs'!$B$32)/1000+'Inputs'!$B$21+'Inputs'!$B$9+'Inputs'!$B$10))^2+('Inputs'!$B$6/2)^2))))*'Results'!$B$8),"")</x:f>
        <x:v>1.8340632254698066</x:v>
      </x:c>
      <x:c r="N662" t="n">
        <x:f>IF(AND(ISNUMBER('Results'!C7),ISNUMBER('Results'!B7),ISNUMBER('Results'!$B$8),ISNUMBER('Inputs'!$B$6),ISNUMBER('Inputs'!$B$7),ISNUMBER('Inputs'!$B$8),ISNUMBER('Inputs'!$B$9),ISNUMBER('Inputs'!$B$10),ISNUMBER('Inputs'!$B$21),ISNUMBER('Inputs'!$B$24),ISNUMBER('Inputs'!$B$28)),((('Results'!C7*(1-'Inputs'!$B$24)*(0.5*((((662-43)*MAX('Inputs'!$B$33,'Inputs'!$B$29+'Inputs'!$B$31+'Inputs'!$B$32,'Inputs'!$B$30+'Inputs'!$B$31+'Inputs'!$B$32)/1000+'Inputs'!$B$21)+'Inputs'!$B$9)/SQRT((((662-43)*MAX('Inputs'!$B$33,'Inputs'!$B$29+'Inputs'!$B$31+'Inputs'!$B$32,'Inputs'!$B$30+'Inputs'!$B$31+'Inputs'!$B$32)/1000+'Inputs'!$B$21)+'Inputs'!$B$9)^2+('Inputs'!$B$8/2)^2)-(((662-43)*MAX('Inputs'!$B$33,'Inputs'!$B$29+'Inputs'!$B$31+'Inputs'!$B$32,'Inputs'!$B$30+'Inputs'!$B$31+'Inputs'!$B$32)/1000+'Inputs'!$B$21))/SQRT((((662-43)*MAX('Inputs'!$B$33,'Inputs'!$B$29+'Inputs'!$B$31+'Inputs'!$B$32,'Inputs'!$B$30+'Inputs'!$B$31+'Inputs'!$B$32)/1000+'Inputs'!$B$21))^2+('Inputs'!$B$8/2)^2)))-'Results'!B7*(1+'Inputs'!$B$24)*(0.5*((((662-43)*MAX('Inputs'!$B$33,'Inputs'!$B$29+'Inputs'!$B$31+'Inputs'!$B$32,'Inputs'!$B$30+'Inputs'!$B$31+'Inputs'!$B$32)/1000+'Inputs'!$B$21+'Inputs'!$B$9+'Inputs'!$B$10)+'Inputs'!$B$7)/SQRT((((662-43)*MAX('Inputs'!$B$33,'Inputs'!$B$29+'Inputs'!$B$31+'Inputs'!$B$32,'Inputs'!$B$30+'Inputs'!$B$31+'Inputs'!$B$32)/1000+'Inputs'!$B$21+'Inputs'!$B$9+'Inputs'!$B$10)+'Inputs'!$B$7)^2+('Inputs'!$B$6/2)^2)-(((662-43)*MAX('Inputs'!$B$33,'Inputs'!$B$29+'Inputs'!$B$31+'Inputs'!$B$32,'Inputs'!$B$30+'Inputs'!$B$31+'Inputs'!$B$32)/1000+'Inputs'!$B$21+'Inputs'!$B$9+'Inputs'!$B$10))/SQRT((((662-43)*MAX('Inputs'!$B$33,'Inputs'!$B$29+'Inputs'!$B$31+'Inputs'!$B$32,'Inputs'!$B$30+'Inputs'!$B$31+'Inputs'!$B$32)/1000+'Inputs'!$B$21+'Inputs'!$B$9+'Inputs'!$B$10))^2+('Inputs'!$B$6/2)^2))))*'Results'!$B$8)-'Inputs'!$B$28*ABS((('Results'!C7*(1-'Inputs'!$B$24)*(0.5*((((662-43)*MAX('Inputs'!$B$33,'Inputs'!$B$29+'Inputs'!$B$31+'Inputs'!$B$32,'Inputs'!$B$30+'Inputs'!$B$31+'Inputs'!$B$32)/1000+'Inputs'!$B$21)+'Inputs'!$B$9)/SQRT((((662-43)*MAX('Inputs'!$B$33,'Inputs'!$B$29+'Inputs'!$B$31+'Inputs'!$B$32,'Inputs'!$B$30+'Inputs'!$B$31+'Inputs'!$B$32)/1000+'Inputs'!$B$21)+'Inputs'!$B$9)^2+('Inputs'!$B$8/2)^2)-(((662-43)*MAX('Inputs'!$B$33,'Inputs'!$B$29+'Inputs'!$B$31+'Inputs'!$B$32,'Inputs'!$B$30+'Inputs'!$B$31+'Inputs'!$B$32)/1000+'Inputs'!$B$21))/SQRT((((662-43)*MAX('Inputs'!$B$33,'Inputs'!$B$29+'Inputs'!$B$31+'Inputs'!$B$32,'Inputs'!$B$30+'Inputs'!$B$31+'Inputs'!$B$32)/1000+'Inputs'!$B$21))^2+('Inputs'!$B$8/2)^2)))-'Results'!B7*(1+'Inputs'!$B$24)*(0.5*((((662-43)*MAX('Inputs'!$B$33,'Inputs'!$B$29+'Inputs'!$B$31+'Inputs'!$B$32,'Inputs'!$B$30+'Inputs'!$B$31+'Inputs'!$B$32)/1000+'Inputs'!$B$21+'Inputs'!$B$9+'Inputs'!$B$10)+'Inputs'!$B$7)/SQRT((((662-43)*MAX('Inputs'!$B$33,'Inputs'!$B$29+'Inputs'!$B$31+'Inputs'!$B$32,'Inputs'!$B$30+'Inputs'!$B$31+'Inputs'!$B$32)/1000+'Inputs'!$B$21+'Inputs'!$B$9+'Inputs'!$B$10)+'Inputs'!$B$7)^2+('Inputs'!$B$6/2)^2)-(((662-43)*MAX('Inputs'!$B$33,'Inputs'!$B$29+'Inputs'!$B$31+'Inputs'!$B$32,'Inputs'!$B$30+'Inputs'!$B$31+'Inputs'!$B$32)/1000+'Inputs'!$B$21+'Inputs'!$B$9+'Inputs'!$B$10))/SQRT((((662-43)*MAX('Inputs'!$B$33,'Inputs'!$B$29+'Inputs'!$B$31+'Inputs'!$B$32,'Inputs'!$B$30+'Inputs'!$B$31+'Inputs'!$B$32)/1000+'Inputs'!$B$21+'Inputs'!$B$9+'Inputs'!$B$10))^2+('Inputs'!$B$6/2)^2))))*'Results'!$B$8))),"")</x:f>
        <x:v>1.59111039673279</x:v>
      </x:c>
      <x:c r="O662" t="n">
        <x:f>IF(AND(ISNUMBER('Results'!C7),ISNUMBER('Results'!B7),ISNUMBER('Results'!$B$8),ISNUMBER('Inputs'!$B$6),ISNUMBER('Inputs'!$B$7),ISNUMBER('Inputs'!$B$8),ISNUMBER('Inputs'!$B$9),ISNUMBER('Inputs'!$B$10),ISNUMBER('Inputs'!$B$21),ISNUMBER('Inputs'!$B$24),ISNUMBER('Inputs'!$B$28)),((('Results'!C7*(1+'Inputs'!$B$24)*(0.5*((((662-43)*MAX('Inputs'!$B$33,'Inputs'!$B$29+'Inputs'!$B$31+'Inputs'!$B$32,'Inputs'!$B$30+'Inputs'!$B$31+'Inputs'!$B$32)/1000+'Inputs'!$B$21)+'Inputs'!$B$9)/SQRT((((662-43)*MAX('Inputs'!$B$33,'Inputs'!$B$29+'Inputs'!$B$31+'Inputs'!$B$32,'Inputs'!$B$30+'Inputs'!$B$31+'Inputs'!$B$32)/1000+'Inputs'!$B$21)+'Inputs'!$B$9)^2+('Inputs'!$B$8/2)^2)-(((662-43)*MAX('Inputs'!$B$33,'Inputs'!$B$29+'Inputs'!$B$31+'Inputs'!$B$32,'Inputs'!$B$30+'Inputs'!$B$31+'Inputs'!$B$32)/1000+'Inputs'!$B$21))/SQRT((((662-43)*MAX('Inputs'!$B$33,'Inputs'!$B$29+'Inputs'!$B$31+'Inputs'!$B$32,'Inputs'!$B$30+'Inputs'!$B$31+'Inputs'!$B$32)/1000+'Inputs'!$B$21))^2+('Inputs'!$B$8/2)^2)))-'Results'!B7*(1-'Inputs'!$B$24)*(0.5*((((662-43)*MAX('Inputs'!$B$33,'Inputs'!$B$29+'Inputs'!$B$31+'Inputs'!$B$32,'Inputs'!$B$30+'Inputs'!$B$31+'Inputs'!$B$32)/1000+'Inputs'!$B$21+'Inputs'!$B$9+'Inputs'!$B$10)+'Inputs'!$B$7)/SQRT((((662-43)*MAX('Inputs'!$B$33,'Inputs'!$B$29+'Inputs'!$B$31+'Inputs'!$B$32,'Inputs'!$B$30+'Inputs'!$B$31+'Inputs'!$B$32)/1000+'Inputs'!$B$21+'Inputs'!$B$9+'Inputs'!$B$10)+'Inputs'!$B$7)^2+('Inputs'!$B$6/2)^2)-(((662-43)*MAX('Inputs'!$B$33,'Inputs'!$B$29+'Inputs'!$B$31+'Inputs'!$B$32,'Inputs'!$B$30+'Inputs'!$B$31+'Inputs'!$B$32)/1000+'Inputs'!$B$21+'Inputs'!$B$9+'Inputs'!$B$10))/SQRT((((662-43)*MAX('Inputs'!$B$33,'Inputs'!$B$29+'Inputs'!$B$31+'Inputs'!$B$32,'Inputs'!$B$30+'Inputs'!$B$31+'Inputs'!$B$32)/1000+'Inputs'!$B$21+'Inputs'!$B$9+'Inputs'!$B$10))^2+('Inputs'!$B$6/2)^2))))*'Results'!$B$8)+'Inputs'!$B$28*ABS((('Results'!C7*(1+'Inputs'!$B$24)*(0.5*((((662-43)*MAX('Inputs'!$B$33,'Inputs'!$B$29+'Inputs'!$B$31+'Inputs'!$B$32,'Inputs'!$B$30+'Inputs'!$B$31+'Inputs'!$B$32)/1000+'Inputs'!$B$21)+'Inputs'!$B$9)/SQRT((((662-43)*MAX('Inputs'!$B$33,'Inputs'!$B$29+'Inputs'!$B$31+'Inputs'!$B$32,'Inputs'!$B$30+'Inputs'!$B$31+'Inputs'!$B$32)/1000+'Inputs'!$B$21)+'Inputs'!$B$9)^2+('Inputs'!$B$8/2)^2)-(((662-43)*MAX('Inputs'!$B$33,'Inputs'!$B$29+'Inputs'!$B$31+'Inputs'!$B$32,'Inputs'!$B$30+'Inputs'!$B$31+'Inputs'!$B$32)/1000+'Inputs'!$B$21))/SQRT((((662-43)*MAX('Inputs'!$B$33,'Inputs'!$B$29+'Inputs'!$B$31+'Inputs'!$B$32,'Inputs'!$B$30+'Inputs'!$B$31+'Inputs'!$B$32)/1000+'Inputs'!$B$21))^2+('Inputs'!$B$8/2)^2)))-'Results'!B7*(1-'Inputs'!$B$24)*(0.5*((((662-43)*MAX('Inputs'!$B$33,'Inputs'!$B$29+'Inputs'!$B$31+'Inputs'!$B$32,'Inputs'!$B$30+'Inputs'!$B$31+'Inputs'!$B$32)/1000+'Inputs'!$B$21+'Inputs'!$B$9+'Inputs'!$B$10)+'Inputs'!$B$7)/SQRT((((662-43)*MAX('Inputs'!$B$33,'Inputs'!$B$29+'Inputs'!$B$31+'Inputs'!$B$32,'Inputs'!$B$30+'Inputs'!$B$31+'Inputs'!$B$32)/1000+'Inputs'!$B$21+'Inputs'!$B$9+'Inputs'!$B$10)+'Inputs'!$B$7)^2+('Inputs'!$B$6/2)^2)-(((662-43)*MAX('Inputs'!$B$33,'Inputs'!$B$29+'Inputs'!$B$31+'Inputs'!$B$32,'Inputs'!$B$30+'Inputs'!$B$31+'Inputs'!$B$32)/1000+'Inputs'!$B$21+'Inputs'!$B$9+'Inputs'!$B$10))/SQRT((((662-43)*MAX('Inputs'!$B$33,'Inputs'!$B$29+'Inputs'!$B$31+'Inputs'!$B$32,'Inputs'!$B$30+'Inputs'!$B$31+'Inputs'!$B$32)/1000+'Inputs'!$B$21+'Inputs'!$B$9+'Inputs'!$B$10))^2+('Inputs'!$B$6/2)^2))))*'Results'!$B$8))),"")</x:f>
        <x:v>2.092937071834563</x:v>
      </x:c>
      <x:c r="P662" t="n">
        <x:f>IF(AND(MAX(J662,J661)&gt;0,J662&gt;J661+0.00000001),1,0)</x:f>
        <x:v>0</x:v>
      </x:c>
      <x:c r="Q662" t="n">
        <x:f>IF(AND(MAX(K662,K661)&gt;0,K662&gt;K661+0.00000001),1,0)</x:f>
        <x:v>0</x:v>
      </x:c>
      <x:c r="R662" t="n">
        <x:f>IF(AND(MAX(L662,L661)&gt;0,L662&gt;L661+0.00000001),1,0)</x:f>
        <x:v>0</x:v>
      </x:c>
      <x:c r="S662" t="n">
        <x:f>IF(AND(MAX(M662,M661)&gt;0,M662&gt;M661+0.00000001),1,0)</x:f>
        <x:v>0</x:v>
      </x:c>
      <x:c r="T662" t="n">
        <x:f>IF(AND(MAX(N662,N661)&gt;0,N662&gt;N661+0.00000001),1,0)</x:f>
        <x:v>0</x:v>
      </x:c>
      <x:c r="U662" t="n">
        <x:f>IF(AND(MAX(O662,O661)&gt;0,O662&gt;O661+0.00000001),1,0)</x:f>
        <x:v>0</x:v>
      </x:c>
    </x:row>
    <x:row r="663">
      <x:c r="J663" t="n">
        <x:f>IF(AND(ISNUMBER('Results'!B7),ISNUMBER('Results'!C7),ISNUMBER('Results'!$B$8),ISNUMBER('Inputs'!$B$6),ISNUMBER('Inputs'!$B$7),ISNUMBER('Inputs'!$B$8),ISNUMBER('Inputs'!$B$9),ISNUMBER('Inputs'!$B$10),ISNUMBER('Inputs'!$B$21),ISNUMBER('Inputs'!$B$24),ISNUMBER('Inputs'!$B$28)),(('Results'!B7*(0.5*((((663-43)*MAX('Inputs'!$B$33,'Inputs'!$B$29+'Inputs'!$B$31+'Inputs'!$B$32,'Inputs'!$B$30+'Inputs'!$B$31+'Inputs'!$B$32)/1000+'Inputs'!$B$21)+'Inputs'!$B$7)/SQRT((((663-43)*MAX('Inputs'!$B$33,'Inputs'!$B$29+'Inputs'!$B$31+'Inputs'!$B$32,'Inputs'!$B$30+'Inputs'!$B$31+'Inputs'!$B$32)/1000+'Inputs'!$B$21)+'Inputs'!$B$7)^2+('Inputs'!$B$6/2)^2)-(((663-43)*MAX('Inputs'!$B$33,'Inputs'!$B$29+'Inputs'!$B$31+'Inputs'!$B$32,'Inputs'!$B$30+'Inputs'!$B$31+'Inputs'!$B$32)/1000+'Inputs'!$B$21))/SQRT((((663-43)*MAX('Inputs'!$B$33,'Inputs'!$B$29+'Inputs'!$B$31+'Inputs'!$B$32,'Inputs'!$B$30+'Inputs'!$B$31+'Inputs'!$B$32)/1000+'Inputs'!$B$21))^2+('Inputs'!$B$6/2)^2)))-'Results'!C7*(0.5*((((663-43)*MAX('Inputs'!$B$33,'Inputs'!$B$29+'Inputs'!$B$31+'Inputs'!$B$32,'Inputs'!$B$30+'Inputs'!$B$31+'Inputs'!$B$32)/1000+'Inputs'!$B$21+'Inputs'!$B$7+'Inputs'!$B$10)+'Inputs'!$B$9)/SQRT((((663-43)*MAX('Inputs'!$B$33,'Inputs'!$B$29+'Inputs'!$B$31+'Inputs'!$B$32,'Inputs'!$B$30+'Inputs'!$B$31+'Inputs'!$B$32)/1000+'Inputs'!$B$21+'Inputs'!$B$7+'Inputs'!$B$10)+'Inputs'!$B$9)^2+('Inputs'!$B$8/2)^2)-(((663-43)*MAX('Inputs'!$B$33,'Inputs'!$B$29+'Inputs'!$B$31+'Inputs'!$B$32,'Inputs'!$B$30+'Inputs'!$B$31+'Inputs'!$B$32)/1000+'Inputs'!$B$21+'Inputs'!$B$7+'Inputs'!$B$10))/SQRT((((663-43)*MAX('Inputs'!$B$33,'Inputs'!$B$29+'Inputs'!$B$31+'Inputs'!$B$32,'Inputs'!$B$30+'Inputs'!$B$31+'Inputs'!$B$32)/1000+'Inputs'!$B$21+'Inputs'!$B$7+'Inputs'!$B$10))^2+('Inputs'!$B$8/2)^2))))*'Results'!$B$8),"")</x:f>
        <x:v>1.9840049259373007</x:v>
      </x:c>
      <x:c r="K663" t="n">
        <x:f>IF(AND(ISNUMBER('Results'!B7),ISNUMBER('Results'!C7),ISNUMBER('Results'!$B$8),ISNUMBER('Inputs'!$B$6),ISNUMBER('Inputs'!$B$7),ISNUMBER('Inputs'!$B$8),ISNUMBER('Inputs'!$B$9),ISNUMBER('Inputs'!$B$10),ISNUMBER('Inputs'!$B$21),ISNUMBER('Inputs'!$B$24),ISNUMBER('Inputs'!$B$28)),((('Results'!B7*(1-'Inputs'!$B$24)*(0.5*((((663-43)*MAX('Inputs'!$B$33,'Inputs'!$B$29+'Inputs'!$B$31+'Inputs'!$B$32,'Inputs'!$B$30+'Inputs'!$B$31+'Inputs'!$B$32)/1000+'Inputs'!$B$21)+'Inputs'!$B$7)/SQRT((((663-43)*MAX('Inputs'!$B$33,'Inputs'!$B$29+'Inputs'!$B$31+'Inputs'!$B$32,'Inputs'!$B$30+'Inputs'!$B$31+'Inputs'!$B$32)/1000+'Inputs'!$B$21)+'Inputs'!$B$7)^2+('Inputs'!$B$6/2)^2)-(((663-43)*MAX('Inputs'!$B$33,'Inputs'!$B$29+'Inputs'!$B$31+'Inputs'!$B$32,'Inputs'!$B$30+'Inputs'!$B$31+'Inputs'!$B$32)/1000+'Inputs'!$B$21))/SQRT((((663-43)*MAX('Inputs'!$B$33,'Inputs'!$B$29+'Inputs'!$B$31+'Inputs'!$B$32,'Inputs'!$B$30+'Inputs'!$B$31+'Inputs'!$B$32)/1000+'Inputs'!$B$21))^2+('Inputs'!$B$6/2)^2)))-'Results'!C7*(1+'Inputs'!$B$24)*(0.5*((((663-43)*MAX('Inputs'!$B$33,'Inputs'!$B$29+'Inputs'!$B$31+'Inputs'!$B$32,'Inputs'!$B$30+'Inputs'!$B$31+'Inputs'!$B$32)/1000+'Inputs'!$B$21+'Inputs'!$B$7+'Inputs'!$B$10)+'Inputs'!$B$9)/SQRT((((663-43)*MAX('Inputs'!$B$33,'Inputs'!$B$29+'Inputs'!$B$31+'Inputs'!$B$32,'Inputs'!$B$30+'Inputs'!$B$31+'Inputs'!$B$32)/1000+'Inputs'!$B$21+'Inputs'!$B$7+'Inputs'!$B$10)+'Inputs'!$B$9)^2+('Inputs'!$B$8/2)^2)-(((663-43)*MAX('Inputs'!$B$33,'Inputs'!$B$29+'Inputs'!$B$31+'Inputs'!$B$32,'Inputs'!$B$30+'Inputs'!$B$31+'Inputs'!$B$32)/1000+'Inputs'!$B$21+'Inputs'!$B$7+'Inputs'!$B$10))/SQRT((((663-43)*MAX('Inputs'!$B$33,'Inputs'!$B$29+'Inputs'!$B$31+'Inputs'!$B$32,'Inputs'!$B$30+'Inputs'!$B$31+'Inputs'!$B$32)/1000+'Inputs'!$B$21+'Inputs'!$B$7+'Inputs'!$B$10))^2+('Inputs'!$B$8/2)^2))))*'Results'!$B$8)-'Inputs'!$B$28*ABS((('Results'!B7*(1-'Inputs'!$B$24)*(0.5*((((663-43)*MAX('Inputs'!$B$33,'Inputs'!$B$29+'Inputs'!$B$31+'Inputs'!$B$32,'Inputs'!$B$30+'Inputs'!$B$31+'Inputs'!$B$32)/1000+'Inputs'!$B$21)+'Inputs'!$B$7)/SQRT((((663-43)*MAX('Inputs'!$B$33,'Inputs'!$B$29+'Inputs'!$B$31+'Inputs'!$B$32,'Inputs'!$B$30+'Inputs'!$B$31+'Inputs'!$B$32)/1000+'Inputs'!$B$21)+'Inputs'!$B$7)^2+('Inputs'!$B$6/2)^2)-(((663-43)*MAX('Inputs'!$B$33,'Inputs'!$B$29+'Inputs'!$B$31+'Inputs'!$B$32,'Inputs'!$B$30+'Inputs'!$B$31+'Inputs'!$B$32)/1000+'Inputs'!$B$21))/SQRT((((663-43)*MAX('Inputs'!$B$33,'Inputs'!$B$29+'Inputs'!$B$31+'Inputs'!$B$32,'Inputs'!$B$30+'Inputs'!$B$31+'Inputs'!$B$32)/1000+'Inputs'!$B$21))^2+('Inputs'!$B$6/2)^2)))-'Results'!C7*(1+'Inputs'!$B$24)*(0.5*((((663-43)*MAX('Inputs'!$B$33,'Inputs'!$B$29+'Inputs'!$B$31+'Inputs'!$B$32,'Inputs'!$B$30+'Inputs'!$B$31+'Inputs'!$B$32)/1000+'Inputs'!$B$21+'Inputs'!$B$7+'Inputs'!$B$10)+'Inputs'!$B$9)/SQRT((((663-43)*MAX('Inputs'!$B$33,'Inputs'!$B$29+'Inputs'!$B$31+'Inputs'!$B$32,'Inputs'!$B$30+'Inputs'!$B$31+'Inputs'!$B$32)/1000+'Inputs'!$B$21+'Inputs'!$B$7+'Inputs'!$B$10)+'Inputs'!$B$9)^2+('Inputs'!$B$8/2)^2)-(((663-43)*MAX('Inputs'!$B$33,'Inputs'!$B$29+'Inputs'!$B$31+'Inputs'!$B$32,'Inputs'!$B$30+'Inputs'!$B$31+'Inputs'!$B$32)/1000+'Inputs'!$B$21+'Inputs'!$B$7+'Inputs'!$B$10))/SQRT((((663-43)*MAX('Inputs'!$B$33,'Inputs'!$B$29+'Inputs'!$B$31+'Inputs'!$B$32,'Inputs'!$B$30+'Inputs'!$B$31+'Inputs'!$B$32)/1000+'Inputs'!$B$21+'Inputs'!$B$7+'Inputs'!$B$10))^2+('Inputs'!$B$8/2)^2))))*'Results'!$B$8))),"")</x:f>
        <x:v>1.733482568641881</x:v>
      </x:c>
      <x:c r="L663" t="n">
        <x:f>IF(AND(ISNUMBER('Results'!B7),ISNUMBER('Results'!C7),ISNUMBER('Results'!$B$8),ISNUMBER('Inputs'!$B$6),ISNUMBER('Inputs'!$B$7),ISNUMBER('Inputs'!$B$8),ISNUMBER('Inputs'!$B$9),ISNUMBER('Inputs'!$B$10),ISNUMBER('Inputs'!$B$21),ISNUMBER('Inputs'!$B$24),ISNUMBER('Inputs'!$B$28)),((('Results'!B7*(1+'Inputs'!$B$24)*(0.5*((((663-43)*MAX('Inputs'!$B$33,'Inputs'!$B$29+'Inputs'!$B$31+'Inputs'!$B$32,'Inputs'!$B$30+'Inputs'!$B$31+'Inputs'!$B$32)/1000+'Inputs'!$B$21)+'Inputs'!$B$7)/SQRT((((663-43)*MAX('Inputs'!$B$33,'Inputs'!$B$29+'Inputs'!$B$31+'Inputs'!$B$32,'Inputs'!$B$30+'Inputs'!$B$31+'Inputs'!$B$32)/1000+'Inputs'!$B$21)+'Inputs'!$B$7)^2+('Inputs'!$B$6/2)^2)-(((663-43)*MAX('Inputs'!$B$33,'Inputs'!$B$29+'Inputs'!$B$31+'Inputs'!$B$32,'Inputs'!$B$30+'Inputs'!$B$31+'Inputs'!$B$32)/1000+'Inputs'!$B$21))/SQRT((((663-43)*MAX('Inputs'!$B$33,'Inputs'!$B$29+'Inputs'!$B$31+'Inputs'!$B$32,'Inputs'!$B$30+'Inputs'!$B$31+'Inputs'!$B$32)/1000+'Inputs'!$B$21))^2+('Inputs'!$B$6/2)^2)))-'Results'!C7*(1-'Inputs'!$B$24)*(0.5*((((663-43)*MAX('Inputs'!$B$33,'Inputs'!$B$29+'Inputs'!$B$31+'Inputs'!$B$32,'Inputs'!$B$30+'Inputs'!$B$31+'Inputs'!$B$32)/1000+'Inputs'!$B$21+'Inputs'!$B$7+'Inputs'!$B$10)+'Inputs'!$B$9)/SQRT((((663-43)*MAX('Inputs'!$B$33,'Inputs'!$B$29+'Inputs'!$B$31+'Inputs'!$B$32,'Inputs'!$B$30+'Inputs'!$B$31+'Inputs'!$B$32)/1000+'Inputs'!$B$21+'Inputs'!$B$7+'Inputs'!$B$10)+'Inputs'!$B$9)^2+('Inputs'!$B$8/2)^2)-(((663-43)*MAX('Inputs'!$B$33,'Inputs'!$B$29+'Inputs'!$B$31+'Inputs'!$B$32,'Inputs'!$B$30+'Inputs'!$B$31+'Inputs'!$B$32)/1000+'Inputs'!$B$21+'Inputs'!$B$7+'Inputs'!$B$10))/SQRT((((663-43)*MAX('Inputs'!$B$33,'Inputs'!$B$29+'Inputs'!$B$31+'Inputs'!$B$32,'Inputs'!$B$30+'Inputs'!$B$31+'Inputs'!$B$32)/1000+'Inputs'!$B$21+'Inputs'!$B$7+'Inputs'!$B$10))^2+('Inputs'!$B$8/2)^2))))*'Results'!$B$8)+'Inputs'!$B$28*ABS((('Results'!B7*(1+'Inputs'!$B$24)*(0.5*((((663-43)*MAX('Inputs'!$B$33,'Inputs'!$B$29+'Inputs'!$B$31+'Inputs'!$B$32,'Inputs'!$B$30+'Inputs'!$B$31+'Inputs'!$B$32)/1000+'Inputs'!$B$21)+'Inputs'!$B$7)/SQRT((((663-43)*MAX('Inputs'!$B$33,'Inputs'!$B$29+'Inputs'!$B$31+'Inputs'!$B$32,'Inputs'!$B$30+'Inputs'!$B$31+'Inputs'!$B$32)/1000+'Inputs'!$B$21)+'Inputs'!$B$7)^2+('Inputs'!$B$6/2)^2)-(((663-43)*MAX('Inputs'!$B$33,'Inputs'!$B$29+'Inputs'!$B$31+'Inputs'!$B$32,'Inputs'!$B$30+'Inputs'!$B$31+'Inputs'!$B$32)/1000+'Inputs'!$B$21))/SQRT((((663-43)*MAX('Inputs'!$B$33,'Inputs'!$B$29+'Inputs'!$B$31+'Inputs'!$B$32,'Inputs'!$B$30+'Inputs'!$B$31+'Inputs'!$B$32)/1000+'Inputs'!$B$21))^2+('Inputs'!$B$6/2)^2)))-'Results'!C7*(1-'Inputs'!$B$24)*(0.5*((((663-43)*MAX('Inputs'!$B$33,'Inputs'!$B$29+'Inputs'!$B$31+'Inputs'!$B$32,'Inputs'!$B$30+'Inputs'!$B$31+'Inputs'!$B$32)/1000+'Inputs'!$B$21+'Inputs'!$B$7+'Inputs'!$B$10)+'Inputs'!$B$9)/SQRT((((663-43)*MAX('Inputs'!$B$33,'Inputs'!$B$29+'Inputs'!$B$31+'Inputs'!$B$32,'Inputs'!$B$30+'Inputs'!$B$31+'Inputs'!$B$32)/1000+'Inputs'!$B$21+'Inputs'!$B$7+'Inputs'!$B$10)+'Inputs'!$B$9)^2+('Inputs'!$B$8/2)^2)-(((663-43)*MAX('Inputs'!$B$33,'Inputs'!$B$29+'Inputs'!$B$31+'Inputs'!$B$32,'Inputs'!$B$30+'Inputs'!$B$31+'Inputs'!$B$32)/1000+'Inputs'!$B$21+'Inputs'!$B$7+'Inputs'!$B$10))/SQRT((((663-43)*MAX('Inputs'!$B$33,'Inputs'!$B$29+'Inputs'!$B$31+'Inputs'!$B$32,'Inputs'!$B$30+'Inputs'!$B$31+'Inputs'!$B$32)/1000+'Inputs'!$B$21+'Inputs'!$B$7+'Inputs'!$B$10))^2+('Inputs'!$B$8/2)^2))))*'Results'!$B$8))),"")</x:f>
        <x:v>2.2504559264957256</x:v>
      </x:c>
      <x:c r="M663" t="n">
        <x:f>IF(AND(ISNUMBER('Results'!C7),ISNUMBER('Results'!B7),ISNUMBER('Results'!$B$8),ISNUMBER('Inputs'!$B$6),ISNUMBER('Inputs'!$B$7),ISNUMBER('Inputs'!$B$8),ISNUMBER('Inputs'!$B$9),ISNUMBER('Inputs'!$B$10),ISNUMBER('Inputs'!$B$21),ISNUMBER('Inputs'!$B$24),ISNUMBER('Inputs'!$B$28)),(('Results'!C7*(0.5*((((663-43)*MAX('Inputs'!$B$33,'Inputs'!$B$29+'Inputs'!$B$31+'Inputs'!$B$32,'Inputs'!$B$30+'Inputs'!$B$31+'Inputs'!$B$32)/1000+'Inputs'!$B$21)+'Inputs'!$B$9)/SQRT((((663-43)*MAX('Inputs'!$B$33,'Inputs'!$B$29+'Inputs'!$B$31+'Inputs'!$B$32,'Inputs'!$B$30+'Inputs'!$B$31+'Inputs'!$B$32)/1000+'Inputs'!$B$21)+'Inputs'!$B$9)^2+('Inputs'!$B$8/2)^2)-(((663-43)*MAX('Inputs'!$B$33,'Inputs'!$B$29+'Inputs'!$B$31+'Inputs'!$B$32,'Inputs'!$B$30+'Inputs'!$B$31+'Inputs'!$B$32)/1000+'Inputs'!$B$21))/SQRT((((663-43)*MAX('Inputs'!$B$33,'Inputs'!$B$29+'Inputs'!$B$31+'Inputs'!$B$32,'Inputs'!$B$30+'Inputs'!$B$31+'Inputs'!$B$32)/1000+'Inputs'!$B$21))^2+('Inputs'!$B$8/2)^2)))-'Results'!B7*(0.5*((((663-43)*MAX('Inputs'!$B$33,'Inputs'!$B$29+'Inputs'!$B$31+'Inputs'!$B$32,'Inputs'!$B$30+'Inputs'!$B$31+'Inputs'!$B$32)/1000+'Inputs'!$B$21+'Inputs'!$B$9+'Inputs'!$B$10)+'Inputs'!$B$7)/SQRT((((663-43)*MAX('Inputs'!$B$33,'Inputs'!$B$29+'Inputs'!$B$31+'Inputs'!$B$32,'Inputs'!$B$30+'Inputs'!$B$31+'Inputs'!$B$32)/1000+'Inputs'!$B$21+'Inputs'!$B$9+'Inputs'!$B$10)+'Inputs'!$B$7)^2+('Inputs'!$B$6/2)^2)-(((663-43)*MAX('Inputs'!$B$33,'Inputs'!$B$29+'Inputs'!$B$31+'Inputs'!$B$32,'Inputs'!$B$30+'Inputs'!$B$31+'Inputs'!$B$32)/1000+'Inputs'!$B$21+'Inputs'!$B$9+'Inputs'!$B$10))/SQRT((((663-43)*MAX('Inputs'!$B$33,'Inputs'!$B$29+'Inputs'!$B$31+'Inputs'!$B$32,'Inputs'!$B$30+'Inputs'!$B$31+'Inputs'!$B$32)/1000+'Inputs'!$B$21+'Inputs'!$B$9+'Inputs'!$B$10))^2+('Inputs'!$B$6/2)^2))))*'Results'!$B$8),"")</x:f>
        <x:v>1.8234980205101892</x:v>
      </x:c>
      <x:c r="N663" t="n">
        <x:f>IF(AND(ISNUMBER('Results'!C7),ISNUMBER('Results'!B7),ISNUMBER('Results'!$B$8),ISNUMBER('Inputs'!$B$6),ISNUMBER('Inputs'!$B$7),ISNUMBER('Inputs'!$B$8),ISNUMBER('Inputs'!$B$9),ISNUMBER('Inputs'!$B$10),ISNUMBER('Inputs'!$B$21),ISNUMBER('Inputs'!$B$24),ISNUMBER('Inputs'!$B$28)),((('Results'!C7*(1-'Inputs'!$B$24)*(0.5*((((663-43)*MAX('Inputs'!$B$33,'Inputs'!$B$29+'Inputs'!$B$31+'Inputs'!$B$32,'Inputs'!$B$30+'Inputs'!$B$31+'Inputs'!$B$32)/1000+'Inputs'!$B$21)+'Inputs'!$B$9)/SQRT((((663-43)*MAX('Inputs'!$B$33,'Inputs'!$B$29+'Inputs'!$B$31+'Inputs'!$B$32,'Inputs'!$B$30+'Inputs'!$B$31+'Inputs'!$B$32)/1000+'Inputs'!$B$21)+'Inputs'!$B$9)^2+('Inputs'!$B$8/2)^2)-(((663-43)*MAX('Inputs'!$B$33,'Inputs'!$B$29+'Inputs'!$B$31+'Inputs'!$B$32,'Inputs'!$B$30+'Inputs'!$B$31+'Inputs'!$B$32)/1000+'Inputs'!$B$21))/SQRT((((663-43)*MAX('Inputs'!$B$33,'Inputs'!$B$29+'Inputs'!$B$31+'Inputs'!$B$32,'Inputs'!$B$30+'Inputs'!$B$31+'Inputs'!$B$32)/1000+'Inputs'!$B$21))^2+('Inputs'!$B$8/2)^2)))-'Results'!B7*(1+'Inputs'!$B$24)*(0.5*((((663-43)*MAX('Inputs'!$B$33,'Inputs'!$B$29+'Inputs'!$B$31+'Inputs'!$B$32,'Inputs'!$B$30+'Inputs'!$B$31+'Inputs'!$B$32)/1000+'Inputs'!$B$21+'Inputs'!$B$9+'Inputs'!$B$10)+'Inputs'!$B$7)/SQRT((((663-43)*MAX('Inputs'!$B$33,'Inputs'!$B$29+'Inputs'!$B$31+'Inputs'!$B$32,'Inputs'!$B$30+'Inputs'!$B$31+'Inputs'!$B$32)/1000+'Inputs'!$B$21+'Inputs'!$B$9+'Inputs'!$B$10)+'Inputs'!$B$7)^2+('Inputs'!$B$6/2)^2)-(((663-43)*MAX('Inputs'!$B$33,'Inputs'!$B$29+'Inputs'!$B$31+'Inputs'!$B$32,'Inputs'!$B$30+'Inputs'!$B$31+'Inputs'!$B$32)/1000+'Inputs'!$B$21+'Inputs'!$B$9+'Inputs'!$B$10))/SQRT((((663-43)*MAX('Inputs'!$B$33,'Inputs'!$B$29+'Inputs'!$B$31+'Inputs'!$B$32,'Inputs'!$B$30+'Inputs'!$B$31+'Inputs'!$B$32)/1000+'Inputs'!$B$21+'Inputs'!$B$9+'Inputs'!$B$10))^2+('Inputs'!$B$6/2)^2))))*'Results'!$B$8)-'Inputs'!$B$28*ABS((('Results'!C7*(1-'Inputs'!$B$24)*(0.5*((((663-43)*MAX('Inputs'!$B$33,'Inputs'!$B$29+'Inputs'!$B$31+'Inputs'!$B$32,'Inputs'!$B$30+'Inputs'!$B$31+'Inputs'!$B$32)/1000+'Inputs'!$B$21)+'Inputs'!$B$9)/SQRT((((663-43)*MAX('Inputs'!$B$33,'Inputs'!$B$29+'Inputs'!$B$31+'Inputs'!$B$32,'Inputs'!$B$30+'Inputs'!$B$31+'Inputs'!$B$32)/1000+'Inputs'!$B$21)+'Inputs'!$B$9)^2+('Inputs'!$B$8/2)^2)-(((663-43)*MAX('Inputs'!$B$33,'Inputs'!$B$29+'Inputs'!$B$31+'Inputs'!$B$32,'Inputs'!$B$30+'Inputs'!$B$31+'Inputs'!$B$32)/1000+'Inputs'!$B$21))/SQRT((((663-43)*MAX('Inputs'!$B$33,'Inputs'!$B$29+'Inputs'!$B$31+'Inputs'!$B$32,'Inputs'!$B$30+'Inputs'!$B$31+'Inputs'!$B$32)/1000+'Inputs'!$B$21))^2+('Inputs'!$B$8/2)^2)))-'Results'!B7*(1+'Inputs'!$B$24)*(0.5*((((663-43)*MAX('Inputs'!$B$33,'Inputs'!$B$29+'Inputs'!$B$31+'Inputs'!$B$32,'Inputs'!$B$30+'Inputs'!$B$31+'Inputs'!$B$32)/1000+'Inputs'!$B$21+'Inputs'!$B$9+'Inputs'!$B$10)+'Inputs'!$B$7)/SQRT((((663-43)*MAX('Inputs'!$B$33,'Inputs'!$B$29+'Inputs'!$B$31+'Inputs'!$B$32,'Inputs'!$B$30+'Inputs'!$B$31+'Inputs'!$B$32)/1000+'Inputs'!$B$21+'Inputs'!$B$9+'Inputs'!$B$10)+'Inputs'!$B$7)^2+('Inputs'!$B$6/2)^2)-(((663-43)*MAX('Inputs'!$B$33,'Inputs'!$B$29+'Inputs'!$B$31+'Inputs'!$B$32,'Inputs'!$B$30+'Inputs'!$B$31+'Inputs'!$B$32)/1000+'Inputs'!$B$21+'Inputs'!$B$9+'Inputs'!$B$10))/SQRT((((663-43)*MAX('Inputs'!$B$33,'Inputs'!$B$29+'Inputs'!$B$31+'Inputs'!$B$32,'Inputs'!$B$30+'Inputs'!$B$31+'Inputs'!$B$32)/1000+'Inputs'!$B$21+'Inputs'!$B$9+'Inputs'!$B$10))^2+('Inputs'!$B$6/2)^2))))*'Results'!$B$8))),"")</x:f>
        <x:v>1.5817317413748375</x:v>
      </x:c>
      <x:c r="O663" t="n">
        <x:f>IF(AND(ISNUMBER('Results'!C7),ISNUMBER('Results'!B7),ISNUMBER('Results'!$B$8),ISNUMBER('Inputs'!$B$6),ISNUMBER('Inputs'!$B$7),ISNUMBER('Inputs'!$B$8),ISNUMBER('Inputs'!$B$9),ISNUMBER('Inputs'!$B$10),ISNUMBER('Inputs'!$B$21),ISNUMBER('Inputs'!$B$24),ISNUMBER('Inputs'!$B$28)),((('Results'!C7*(1+'Inputs'!$B$24)*(0.5*((((663-43)*MAX('Inputs'!$B$33,'Inputs'!$B$29+'Inputs'!$B$31+'Inputs'!$B$32,'Inputs'!$B$30+'Inputs'!$B$31+'Inputs'!$B$32)/1000+'Inputs'!$B$21)+'Inputs'!$B$9)/SQRT((((663-43)*MAX('Inputs'!$B$33,'Inputs'!$B$29+'Inputs'!$B$31+'Inputs'!$B$32,'Inputs'!$B$30+'Inputs'!$B$31+'Inputs'!$B$32)/1000+'Inputs'!$B$21)+'Inputs'!$B$9)^2+('Inputs'!$B$8/2)^2)-(((663-43)*MAX('Inputs'!$B$33,'Inputs'!$B$29+'Inputs'!$B$31+'Inputs'!$B$32,'Inputs'!$B$30+'Inputs'!$B$31+'Inputs'!$B$32)/1000+'Inputs'!$B$21))/SQRT((((663-43)*MAX('Inputs'!$B$33,'Inputs'!$B$29+'Inputs'!$B$31+'Inputs'!$B$32,'Inputs'!$B$30+'Inputs'!$B$31+'Inputs'!$B$32)/1000+'Inputs'!$B$21))^2+('Inputs'!$B$8/2)^2)))-'Results'!B7*(1-'Inputs'!$B$24)*(0.5*((((663-43)*MAX('Inputs'!$B$33,'Inputs'!$B$29+'Inputs'!$B$31+'Inputs'!$B$32,'Inputs'!$B$30+'Inputs'!$B$31+'Inputs'!$B$32)/1000+'Inputs'!$B$21+'Inputs'!$B$9+'Inputs'!$B$10)+'Inputs'!$B$7)/SQRT((((663-43)*MAX('Inputs'!$B$33,'Inputs'!$B$29+'Inputs'!$B$31+'Inputs'!$B$32,'Inputs'!$B$30+'Inputs'!$B$31+'Inputs'!$B$32)/1000+'Inputs'!$B$21+'Inputs'!$B$9+'Inputs'!$B$10)+'Inputs'!$B$7)^2+('Inputs'!$B$6/2)^2)-(((663-43)*MAX('Inputs'!$B$33,'Inputs'!$B$29+'Inputs'!$B$31+'Inputs'!$B$32,'Inputs'!$B$30+'Inputs'!$B$31+'Inputs'!$B$32)/1000+'Inputs'!$B$21+'Inputs'!$B$9+'Inputs'!$B$10))/SQRT((((663-43)*MAX('Inputs'!$B$33,'Inputs'!$B$29+'Inputs'!$B$31+'Inputs'!$B$32,'Inputs'!$B$30+'Inputs'!$B$31+'Inputs'!$B$32)/1000+'Inputs'!$B$21+'Inputs'!$B$9+'Inputs'!$B$10))^2+('Inputs'!$B$6/2)^2))))*'Results'!$B$8)+'Inputs'!$B$28*ABS((('Results'!C7*(1+'Inputs'!$B$24)*(0.5*((((663-43)*MAX('Inputs'!$B$33,'Inputs'!$B$29+'Inputs'!$B$31+'Inputs'!$B$32,'Inputs'!$B$30+'Inputs'!$B$31+'Inputs'!$B$32)/1000+'Inputs'!$B$21)+'Inputs'!$B$9)/SQRT((((663-43)*MAX('Inputs'!$B$33,'Inputs'!$B$29+'Inputs'!$B$31+'Inputs'!$B$32,'Inputs'!$B$30+'Inputs'!$B$31+'Inputs'!$B$32)/1000+'Inputs'!$B$21)+'Inputs'!$B$9)^2+('Inputs'!$B$8/2)^2)-(((663-43)*MAX('Inputs'!$B$33,'Inputs'!$B$29+'Inputs'!$B$31+'Inputs'!$B$32,'Inputs'!$B$30+'Inputs'!$B$31+'Inputs'!$B$32)/1000+'Inputs'!$B$21))/SQRT((((663-43)*MAX('Inputs'!$B$33,'Inputs'!$B$29+'Inputs'!$B$31+'Inputs'!$B$32,'Inputs'!$B$30+'Inputs'!$B$31+'Inputs'!$B$32)/1000+'Inputs'!$B$21))^2+('Inputs'!$B$8/2)^2)))-'Results'!B7*(1-'Inputs'!$B$24)*(0.5*((((663-43)*MAX('Inputs'!$B$33,'Inputs'!$B$29+'Inputs'!$B$31+'Inputs'!$B$32,'Inputs'!$B$30+'Inputs'!$B$31+'Inputs'!$B$32)/1000+'Inputs'!$B$21+'Inputs'!$B$9+'Inputs'!$B$10)+'Inputs'!$B$7)/SQRT((((663-43)*MAX('Inputs'!$B$33,'Inputs'!$B$29+'Inputs'!$B$31+'Inputs'!$B$32,'Inputs'!$B$30+'Inputs'!$B$31+'Inputs'!$B$32)/1000+'Inputs'!$B$21+'Inputs'!$B$9+'Inputs'!$B$10)+'Inputs'!$B$7)^2+('Inputs'!$B$6/2)^2)-(((663-43)*MAX('Inputs'!$B$33,'Inputs'!$B$29+'Inputs'!$B$31+'Inputs'!$B$32,'Inputs'!$B$30+'Inputs'!$B$31+'Inputs'!$B$32)/1000+'Inputs'!$B$21+'Inputs'!$B$9+'Inputs'!$B$10))/SQRT((((663-43)*MAX('Inputs'!$B$33,'Inputs'!$B$29+'Inputs'!$B$31+'Inputs'!$B$32,'Inputs'!$B$30+'Inputs'!$B$31+'Inputs'!$B$32)/1000+'Inputs'!$B$21+'Inputs'!$B$9+'Inputs'!$B$10))^2+('Inputs'!$B$6/2)^2))))*'Results'!$B$8))),"")</x:f>
        <x:v>2.0811160236571036</x:v>
      </x:c>
      <x:c r="P663" t="n">
        <x:f>IF(AND(MAX(J663,J662)&gt;0,J663&gt;J662+0.00000001),1,0)</x:f>
        <x:v>0</x:v>
      </x:c>
      <x:c r="Q663" t="n">
        <x:f>IF(AND(MAX(K663,K662)&gt;0,K663&gt;K662+0.00000001),1,0)</x:f>
        <x:v>0</x:v>
      </x:c>
      <x:c r="R663" t="n">
        <x:f>IF(AND(MAX(L663,L662)&gt;0,L663&gt;L662+0.00000001),1,0)</x:f>
        <x:v>0</x:v>
      </x:c>
      <x:c r="S663" t="n">
        <x:f>IF(AND(MAX(M663,M662)&gt;0,M663&gt;M662+0.00000001),1,0)</x:f>
        <x:v>0</x:v>
      </x:c>
      <x:c r="T663" t="n">
        <x:f>IF(AND(MAX(N663,N662)&gt;0,N663&gt;N662+0.00000001),1,0)</x:f>
        <x:v>0</x:v>
      </x:c>
      <x:c r="U663" t="n">
        <x:f>IF(AND(MAX(O663,O662)&gt;0,O663&gt;O662+0.00000001),1,0)</x:f>
        <x:v>0</x:v>
      </x:c>
    </x:row>
    <x:row r="664">
      <x:c r="J664" t="n">
        <x:f>IF(AND(ISNUMBER('Results'!B7),ISNUMBER('Results'!C7),ISNUMBER('Results'!$B$8),ISNUMBER('Inputs'!$B$6),ISNUMBER('Inputs'!$B$7),ISNUMBER('Inputs'!$B$8),ISNUMBER('Inputs'!$B$9),ISNUMBER('Inputs'!$B$10),ISNUMBER('Inputs'!$B$21),ISNUMBER('Inputs'!$B$24),ISNUMBER('Inputs'!$B$28)),(('Results'!B7*(0.5*((((664-43)*MAX('Inputs'!$B$33,'Inputs'!$B$29+'Inputs'!$B$31+'Inputs'!$B$32,'Inputs'!$B$30+'Inputs'!$B$31+'Inputs'!$B$32)/1000+'Inputs'!$B$21)+'Inputs'!$B$7)/SQRT((((664-43)*MAX('Inputs'!$B$33,'Inputs'!$B$29+'Inputs'!$B$31+'Inputs'!$B$32,'Inputs'!$B$30+'Inputs'!$B$31+'Inputs'!$B$32)/1000+'Inputs'!$B$21)+'Inputs'!$B$7)^2+('Inputs'!$B$6/2)^2)-(((664-43)*MAX('Inputs'!$B$33,'Inputs'!$B$29+'Inputs'!$B$31+'Inputs'!$B$32,'Inputs'!$B$30+'Inputs'!$B$31+'Inputs'!$B$32)/1000+'Inputs'!$B$21))/SQRT((((664-43)*MAX('Inputs'!$B$33,'Inputs'!$B$29+'Inputs'!$B$31+'Inputs'!$B$32,'Inputs'!$B$30+'Inputs'!$B$31+'Inputs'!$B$32)/1000+'Inputs'!$B$21))^2+('Inputs'!$B$6/2)^2)))-'Results'!C7*(0.5*((((664-43)*MAX('Inputs'!$B$33,'Inputs'!$B$29+'Inputs'!$B$31+'Inputs'!$B$32,'Inputs'!$B$30+'Inputs'!$B$31+'Inputs'!$B$32)/1000+'Inputs'!$B$21+'Inputs'!$B$7+'Inputs'!$B$10)+'Inputs'!$B$9)/SQRT((((664-43)*MAX('Inputs'!$B$33,'Inputs'!$B$29+'Inputs'!$B$31+'Inputs'!$B$32,'Inputs'!$B$30+'Inputs'!$B$31+'Inputs'!$B$32)/1000+'Inputs'!$B$21+'Inputs'!$B$7+'Inputs'!$B$10)+'Inputs'!$B$9)^2+('Inputs'!$B$8/2)^2)-(((664-43)*MAX('Inputs'!$B$33,'Inputs'!$B$29+'Inputs'!$B$31+'Inputs'!$B$32,'Inputs'!$B$30+'Inputs'!$B$31+'Inputs'!$B$32)/1000+'Inputs'!$B$21+'Inputs'!$B$7+'Inputs'!$B$10))/SQRT((((664-43)*MAX('Inputs'!$B$33,'Inputs'!$B$29+'Inputs'!$B$31+'Inputs'!$B$32,'Inputs'!$B$30+'Inputs'!$B$31+'Inputs'!$B$32)/1000+'Inputs'!$B$21+'Inputs'!$B$7+'Inputs'!$B$10))^2+('Inputs'!$B$8/2)^2))))*'Results'!$B$8),"")</x:f>
        <x:v>1.9728172044263315</x:v>
      </x:c>
      <x:c r="K664" t="n">
        <x:f>IF(AND(ISNUMBER('Results'!B7),ISNUMBER('Results'!C7),ISNUMBER('Results'!$B$8),ISNUMBER('Inputs'!$B$6),ISNUMBER('Inputs'!$B$7),ISNUMBER('Inputs'!$B$8),ISNUMBER('Inputs'!$B$9),ISNUMBER('Inputs'!$B$10),ISNUMBER('Inputs'!$B$21),ISNUMBER('Inputs'!$B$24),ISNUMBER('Inputs'!$B$28)),((('Results'!B7*(1-'Inputs'!$B$24)*(0.5*((((664-43)*MAX('Inputs'!$B$33,'Inputs'!$B$29+'Inputs'!$B$31+'Inputs'!$B$32,'Inputs'!$B$30+'Inputs'!$B$31+'Inputs'!$B$32)/1000+'Inputs'!$B$21)+'Inputs'!$B$7)/SQRT((((664-43)*MAX('Inputs'!$B$33,'Inputs'!$B$29+'Inputs'!$B$31+'Inputs'!$B$32,'Inputs'!$B$30+'Inputs'!$B$31+'Inputs'!$B$32)/1000+'Inputs'!$B$21)+'Inputs'!$B$7)^2+('Inputs'!$B$6/2)^2)-(((664-43)*MAX('Inputs'!$B$33,'Inputs'!$B$29+'Inputs'!$B$31+'Inputs'!$B$32,'Inputs'!$B$30+'Inputs'!$B$31+'Inputs'!$B$32)/1000+'Inputs'!$B$21))/SQRT((((664-43)*MAX('Inputs'!$B$33,'Inputs'!$B$29+'Inputs'!$B$31+'Inputs'!$B$32,'Inputs'!$B$30+'Inputs'!$B$31+'Inputs'!$B$32)/1000+'Inputs'!$B$21))^2+('Inputs'!$B$6/2)^2)))-'Results'!C7*(1+'Inputs'!$B$24)*(0.5*((((664-43)*MAX('Inputs'!$B$33,'Inputs'!$B$29+'Inputs'!$B$31+'Inputs'!$B$32,'Inputs'!$B$30+'Inputs'!$B$31+'Inputs'!$B$32)/1000+'Inputs'!$B$21+'Inputs'!$B$7+'Inputs'!$B$10)+'Inputs'!$B$9)/SQRT((((664-43)*MAX('Inputs'!$B$33,'Inputs'!$B$29+'Inputs'!$B$31+'Inputs'!$B$32,'Inputs'!$B$30+'Inputs'!$B$31+'Inputs'!$B$32)/1000+'Inputs'!$B$21+'Inputs'!$B$7+'Inputs'!$B$10)+'Inputs'!$B$9)^2+('Inputs'!$B$8/2)^2)-(((664-43)*MAX('Inputs'!$B$33,'Inputs'!$B$29+'Inputs'!$B$31+'Inputs'!$B$32,'Inputs'!$B$30+'Inputs'!$B$31+'Inputs'!$B$32)/1000+'Inputs'!$B$21+'Inputs'!$B$7+'Inputs'!$B$10))/SQRT((((664-43)*MAX('Inputs'!$B$33,'Inputs'!$B$29+'Inputs'!$B$31+'Inputs'!$B$32,'Inputs'!$B$30+'Inputs'!$B$31+'Inputs'!$B$32)/1000+'Inputs'!$B$21+'Inputs'!$B$7+'Inputs'!$B$10))^2+('Inputs'!$B$8/2)^2))))*'Results'!$B$8)-'Inputs'!$B$28*ABS((('Results'!B7*(1-'Inputs'!$B$24)*(0.5*((((664-43)*MAX('Inputs'!$B$33,'Inputs'!$B$29+'Inputs'!$B$31+'Inputs'!$B$32,'Inputs'!$B$30+'Inputs'!$B$31+'Inputs'!$B$32)/1000+'Inputs'!$B$21)+'Inputs'!$B$7)/SQRT((((664-43)*MAX('Inputs'!$B$33,'Inputs'!$B$29+'Inputs'!$B$31+'Inputs'!$B$32,'Inputs'!$B$30+'Inputs'!$B$31+'Inputs'!$B$32)/1000+'Inputs'!$B$21)+'Inputs'!$B$7)^2+('Inputs'!$B$6/2)^2)-(((664-43)*MAX('Inputs'!$B$33,'Inputs'!$B$29+'Inputs'!$B$31+'Inputs'!$B$32,'Inputs'!$B$30+'Inputs'!$B$31+'Inputs'!$B$32)/1000+'Inputs'!$B$21))/SQRT((((664-43)*MAX('Inputs'!$B$33,'Inputs'!$B$29+'Inputs'!$B$31+'Inputs'!$B$32,'Inputs'!$B$30+'Inputs'!$B$31+'Inputs'!$B$32)/1000+'Inputs'!$B$21))^2+('Inputs'!$B$6/2)^2)))-'Results'!C7*(1+'Inputs'!$B$24)*(0.5*((((664-43)*MAX('Inputs'!$B$33,'Inputs'!$B$29+'Inputs'!$B$31+'Inputs'!$B$32,'Inputs'!$B$30+'Inputs'!$B$31+'Inputs'!$B$32)/1000+'Inputs'!$B$21+'Inputs'!$B$7+'Inputs'!$B$10)+'Inputs'!$B$9)/SQRT((((664-43)*MAX('Inputs'!$B$33,'Inputs'!$B$29+'Inputs'!$B$31+'Inputs'!$B$32,'Inputs'!$B$30+'Inputs'!$B$31+'Inputs'!$B$32)/1000+'Inputs'!$B$21+'Inputs'!$B$7+'Inputs'!$B$10)+'Inputs'!$B$9)^2+('Inputs'!$B$8/2)^2)-(((664-43)*MAX('Inputs'!$B$33,'Inputs'!$B$29+'Inputs'!$B$31+'Inputs'!$B$32,'Inputs'!$B$30+'Inputs'!$B$31+'Inputs'!$B$32)/1000+'Inputs'!$B$21+'Inputs'!$B$7+'Inputs'!$B$10))/SQRT((((664-43)*MAX('Inputs'!$B$33,'Inputs'!$B$29+'Inputs'!$B$31+'Inputs'!$B$32,'Inputs'!$B$30+'Inputs'!$B$31+'Inputs'!$B$32)/1000+'Inputs'!$B$21+'Inputs'!$B$7+'Inputs'!$B$10))^2+('Inputs'!$B$8/2)^2))))*'Results'!$B$8))),"")</x:f>
        <x:v>1.7235128583376347</x:v>
      </x:c>
      <x:c r="L664" t="n">
        <x:f>IF(AND(ISNUMBER('Results'!B7),ISNUMBER('Results'!C7),ISNUMBER('Results'!$B$8),ISNUMBER('Inputs'!$B$6),ISNUMBER('Inputs'!$B$7),ISNUMBER('Inputs'!$B$8),ISNUMBER('Inputs'!$B$9),ISNUMBER('Inputs'!$B$10),ISNUMBER('Inputs'!$B$21),ISNUMBER('Inputs'!$B$24),ISNUMBER('Inputs'!$B$28)),((('Results'!B7*(1+'Inputs'!$B$24)*(0.5*((((664-43)*MAX('Inputs'!$B$33,'Inputs'!$B$29+'Inputs'!$B$31+'Inputs'!$B$32,'Inputs'!$B$30+'Inputs'!$B$31+'Inputs'!$B$32)/1000+'Inputs'!$B$21)+'Inputs'!$B$7)/SQRT((((664-43)*MAX('Inputs'!$B$33,'Inputs'!$B$29+'Inputs'!$B$31+'Inputs'!$B$32,'Inputs'!$B$30+'Inputs'!$B$31+'Inputs'!$B$32)/1000+'Inputs'!$B$21)+'Inputs'!$B$7)^2+('Inputs'!$B$6/2)^2)-(((664-43)*MAX('Inputs'!$B$33,'Inputs'!$B$29+'Inputs'!$B$31+'Inputs'!$B$32,'Inputs'!$B$30+'Inputs'!$B$31+'Inputs'!$B$32)/1000+'Inputs'!$B$21))/SQRT((((664-43)*MAX('Inputs'!$B$33,'Inputs'!$B$29+'Inputs'!$B$31+'Inputs'!$B$32,'Inputs'!$B$30+'Inputs'!$B$31+'Inputs'!$B$32)/1000+'Inputs'!$B$21))^2+('Inputs'!$B$6/2)^2)))-'Results'!C7*(1-'Inputs'!$B$24)*(0.5*((((664-43)*MAX('Inputs'!$B$33,'Inputs'!$B$29+'Inputs'!$B$31+'Inputs'!$B$32,'Inputs'!$B$30+'Inputs'!$B$31+'Inputs'!$B$32)/1000+'Inputs'!$B$21+'Inputs'!$B$7+'Inputs'!$B$10)+'Inputs'!$B$9)/SQRT((((664-43)*MAX('Inputs'!$B$33,'Inputs'!$B$29+'Inputs'!$B$31+'Inputs'!$B$32,'Inputs'!$B$30+'Inputs'!$B$31+'Inputs'!$B$32)/1000+'Inputs'!$B$21+'Inputs'!$B$7+'Inputs'!$B$10)+'Inputs'!$B$9)^2+('Inputs'!$B$8/2)^2)-(((664-43)*MAX('Inputs'!$B$33,'Inputs'!$B$29+'Inputs'!$B$31+'Inputs'!$B$32,'Inputs'!$B$30+'Inputs'!$B$31+'Inputs'!$B$32)/1000+'Inputs'!$B$21+'Inputs'!$B$7+'Inputs'!$B$10))/SQRT((((664-43)*MAX('Inputs'!$B$33,'Inputs'!$B$29+'Inputs'!$B$31+'Inputs'!$B$32,'Inputs'!$B$30+'Inputs'!$B$31+'Inputs'!$B$32)/1000+'Inputs'!$B$21+'Inputs'!$B$7+'Inputs'!$B$10))^2+('Inputs'!$B$8/2)^2))))*'Results'!$B$8)+'Inputs'!$B$28*ABS((('Results'!B7*(1+'Inputs'!$B$24)*(0.5*((((664-43)*MAX('Inputs'!$B$33,'Inputs'!$B$29+'Inputs'!$B$31+'Inputs'!$B$32,'Inputs'!$B$30+'Inputs'!$B$31+'Inputs'!$B$32)/1000+'Inputs'!$B$21)+'Inputs'!$B$7)/SQRT((((664-43)*MAX('Inputs'!$B$33,'Inputs'!$B$29+'Inputs'!$B$31+'Inputs'!$B$32,'Inputs'!$B$30+'Inputs'!$B$31+'Inputs'!$B$32)/1000+'Inputs'!$B$21)+'Inputs'!$B$7)^2+('Inputs'!$B$6/2)^2)-(((664-43)*MAX('Inputs'!$B$33,'Inputs'!$B$29+'Inputs'!$B$31+'Inputs'!$B$32,'Inputs'!$B$30+'Inputs'!$B$31+'Inputs'!$B$32)/1000+'Inputs'!$B$21))/SQRT((((664-43)*MAX('Inputs'!$B$33,'Inputs'!$B$29+'Inputs'!$B$31+'Inputs'!$B$32,'Inputs'!$B$30+'Inputs'!$B$31+'Inputs'!$B$32)/1000+'Inputs'!$B$21))^2+('Inputs'!$B$6/2)^2)))-'Results'!C7*(1-'Inputs'!$B$24)*(0.5*((((664-43)*MAX('Inputs'!$B$33,'Inputs'!$B$29+'Inputs'!$B$31+'Inputs'!$B$32,'Inputs'!$B$30+'Inputs'!$B$31+'Inputs'!$B$32)/1000+'Inputs'!$B$21+'Inputs'!$B$7+'Inputs'!$B$10)+'Inputs'!$B$9)/SQRT((((664-43)*MAX('Inputs'!$B$33,'Inputs'!$B$29+'Inputs'!$B$31+'Inputs'!$B$32,'Inputs'!$B$30+'Inputs'!$B$31+'Inputs'!$B$32)/1000+'Inputs'!$B$21+'Inputs'!$B$7+'Inputs'!$B$10)+'Inputs'!$B$9)^2+('Inputs'!$B$8/2)^2)-(((664-43)*MAX('Inputs'!$B$33,'Inputs'!$B$29+'Inputs'!$B$31+'Inputs'!$B$32,'Inputs'!$B$30+'Inputs'!$B$31+'Inputs'!$B$32)/1000+'Inputs'!$B$21+'Inputs'!$B$7+'Inputs'!$B$10))/SQRT((((664-43)*MAX('Inputs'!$B$33,'Inputs'!$B$29+'Inputs'!$B$31+'Inputs'!$B$32,'Inputs'!$B$30+'Inputs'!$B$31+'Inputs'!$B$32)/1000+'Inputs'!$B$21+'Inputs'!$B$7+'Inputs'!$B$10))^2+('Inputs'!$B$8/2)^2))))*'Results'!$B$8))),"")</x:f>
        <x:v>2.237980864816857</x:v>
      </x:c>
      <x:c r="M664" t="n">
        <x:f>IF(AND(ISNUMBER('Results'!C7),ISNUMBER('Results'!B7),ISNUMBER('Results'!$B$8),ISNUMBER('Inputs'!$B$6),ISNUMBER('Inputs'!$B$7),ISNUMBER('Inputs'!$B$8),ISNUMBER('Inputs'!$B$9),ISNUMBER('Inputs'!$B$10),ISNUMBER('Inputs'!$B$21),ISNUMBER('Inputs'!$B$24),ISNUMBER('Inputs'!$B$28)),(('Results'!C7*(0.5*((((664-43)*MAX('Inputs'!$B$33,'Inputs'!$B$29+'Inputs'!$B$31+'Inputs'!$B$32,'Inputs'!$B$30+'Inputs'!$B$31+'Inputs'!$B$32)/1000+'Inputs'!$B$21)+'Inputs'!$B$9)/SQRT((((664-43)*MAX('Inputs'!$B$33,'Inputs'!$B$29+'Inputs'!$B$31+'Inputs'!$B$32,'Inputs'!$B$30+'Inputs'!$B$31+'Inputs'!$B$32)/1000+'Inputs'!$B$21)+'Inputs'!$B$9)^2+('Inputs'!$B$8/2)^2)-(((664-43)*MAX('Inputs'!$B$33,'Inputs'!$B$29+'Inputs'!$B$31+'Inputs'!$B$32,'Inputs'!$B$30+'Inputs'!$B$31+'Inputs'!$B$32)/1000+'Inputs'!$B$21))/SQRT((((664-43)*MAX('Inputs'!$B$33,'Inputs'!$B$29+'Inputs'!$B$31+'Inputs'!$B$32,'Inputs'!$B$30+'Inputs'!$B$31+'Inputs'!$B$32)/1000+'Inputs'!$B$21))^2+('Inputs'!$B$8/2)^2)))-'Results'!B7*(0.5*((((664-43)*MAX('Inputs'!$B$33,'Inputs'!$B$29+'Inputs'!$B$31+'Inputs'!$B$32,'Inputs'!$B$30+'Inputs'!$B$31+'Inputs'!$B$32)/1000+'Inputs'!$B$21+'Inputs'!$B$9+'Inputs'!$B$10)+'Inputs'!$B$7)/SQRT((((664-43)*MAX('Inputs'!$B$33,'Inputs'!$B$29+'Inputs'!$B$31+'Inputs'!$B$32,'Inputs'!$B$30+'Inputs'!$B$31+'Inputs'!$B$32)/1000+'Inputs'!$B$21+'Inputs'!$B$9+'Inputs'!$B$10)+'Inputs'!$B$7)^2+('Inputs'!$B$6/2)^2)-(((664-43)*MAX('Inputs'!$B$33,'Inputs'!$B$29+'Inputs'!$B$31+'Inputs'!$B$32,'Inputs'!$B$30+'Inputs'!$B$31+'Inputs'!$B$32)/1000+'Inputs'!$B$21+'Inputs'!$B$9+'Inputs'!$B$10))/SQRT((((664-43)*MAX('Inputs'!$B$33,'Inputs'!$B$29+'Inputs'!$B$31+'Inputs'!$B$32,'Inputs'!$B$30+'Inputs'!$B$31+'Inputs'!$B$32)/1000+'Inputs'!$B$21+'Inputs'!$B$9+'Inputs'!$B$10))^2+('Inputs'!$B$6/2)^2))))*'Results'!$B$8),"")</x:f>
        <x:v>1.8130083797863048</x:v>
      </x:c>
      <x:c r="N664" t="n">
        <x:f>IF(AND(ISNUMBER('Results'!C7),ISNUMBER('Results'!B7),ISNUMBER('Results'!$B$8),ISNUMBER('Inputs'!$B$6),ISNUMBER('Inputs'!$B$7),ISNUMBER('Inputs'!$B$8),ISNUMBER('Inputs'!$B$9),ISNUMBER('Inputs'!$B$10),ISNUMBER('Inputs'!$B$21),ISNUMBER('Inputs'!$B$24),ISNUMBER('Inputs'!$B$28)),((('Results'!C7*(1-'Inputs'!$B$24)*(0.5*((((664-43)*MAX('Inputs'!$B$33,'Inputs'!$B$29+'Inputs'!$B$31+'Inputs'!$B$32,'Inputs'!$B$30+'Inputs'!$B$31+'Inputs'!$B$32)/1000+'Inputs'!$B$21)+'Inputs'!$B$9)/SQRT((((664-43)*MAX('Inputs'!$B$33,'Inputs'!$B$29+'Inputs'!$B$31+'Inputs'!$B$32,'Inputs'!$B$30+'Inputs'!$B$31+'Inputs'!$B$32)/1000+'Inputs'!$B$21)+'Inputs'!$B$9)^2+('Inputs'!$B$8/2)^2)-(((664-43)*MAX('Inputs'!$B$33,'Inputs'!$B$29+'Inputs'!$B$31+'Inputs'!$B$32,'Inputs'!$B$30+'Inputs'!$B$31+'Inputs'!$B$32)/1000+'Inputs'!$B$21))/SQRT((((664-43)*MAX('Inputs'!$B$33,'Inputs'!$B$29+'Inputs'!$B$31+'Inputs'!$B$32,'Inputs'!$B$30+'Inputs'!$B$31+'Inputs'!$B$32)/1000+'Inputs'!$B$21))^2+('Inputs'!$B$8/2)^2)))-'Results'!B7*(1+'Inputs'!$B$24)*(0.5*((((664-43)*MAX('Inputs'!$B$33,'Inputs'!$B$29+'Inputs'!$B$31+'Inputs'!$B$32,'Inputs'!$B$30+'Inputs'!$B$31+'Inputs'!$B$32)/1000+'Inputs'!$B$21+'Inputs'!$B$9+'Inputs'!$B$10)+'Inputs'!$B$7)/SQRT((((664-43)*MAX('Inputs'!$B$33,'Inputs'!$B$29+'Inputs'!$B$31+'Inputs'!$B$32,'Inputs'!$B$30+'Inputs'!$B$31+'Inputs'!$B$32)/1000+'Inputs'!$B$21+'Inputs'!$B$9+'Inputs'!$B$10)+'Inputs'!$B$7)^2+('Inputs'!$B$6/2)^2)-(((664-43)*MAX('Inputs'!$B$33,'Inputs'!$B$29+'Inputs'!$B$31+'Inputs'!$B$32,'Inputs'!$B$30+'Inputs'!$B$31+'Inputs'!$B$32)/1000+'Inputs'!$B$21+'Inputs'!$B$9+'Inputs'!$B$10))/SQRT((((664-43)*MAX('Inputs'!$B$33,'Inputs'!$B$29+'Inputs'!$B$31+'Inputs'!$B$32,'Inputs'!$B$30+'Inputs'!$B$31+'Inputs'!$B$32)/1000+'Inputs'!$B$21+'Inputs'!$B$9+'Inputs'!$B$10))^2+('Inputs'!$B$6/2)^2))))*'Results'!$B$8)-'Inputs'!$B$28*ABS((('Results'!C7*(1-'Inputs'!$B$24)*(0.5*((((664-43)*MAX('Inputs'!$B$33,'Inputs'!$B$29+'Inputs'!$B$31+'Inputs'!$B$32,'Inputs'!$B$30+'Inputs'!$B$31+'Inputs'!$B$32)/1000+'Inputs'!$B$21)+'Inputs'!$B$9)/SQRT((((664-43)*MAX('Inputs'!$B$33,'Inputs'!$B$29+'Inputs'!$B$31+'Inputs'!$B$32,'Inputs'!$B$30+'Inputs'!$B$31+'Inputs'!$B$32)/1000+'Inputs'!$B$21)+'Inputs'!$B$9)^2+('Inputs'!$B$8/2)^2)-(((664-43)*MAX('Inputs'!$B$33,'Inputs'!$B$29+'Inputs'!$B$31+'Inputs'!$B$32,'Inputs'!$B$30+'Inputs'!$B$31+'Inputs'!$B$32)/1000+'Inputs'!$B$21))/SQRT((((664-43)*MAX('Inputs'!$B$33,'Inputs'!$B$29+'Inputs'!$B$31+'Inputs'!$B$32,'Inputs'!$B$30+'Inputs'!$B$31+'Inputs'!$B$32)/1000+'Inputs'!$B$21))^2+('Inputs'!$B$8/2)^2)))-'Results'!B7*(1+'Inputs'!$B$24)*(0.5*((((664-43)*MAX('Inputs'!$B$33,'Inputs'!$B$29+'Inputs'!$B$31+'Inputs'!$B$32,'Inputs'!$B$30+'Inputs'!$B$31+'Inputs'!$B$32)/1000+'Inputs'!$B$21+'Inputs'!$B$9+'Inputs'!$B$10)+'Inputs'!$B$7)/SQRT((((664-43)*MAX('Inputs'!$B$33,'Inputs'!$B$29+'Inputs'!$B$31+'Inputs'!$B$32,'Inputs'!$B$30+'Inputs'!$B$31+'Inputs'!$B$32)/1000+'Inputs'!$B$21+'Inputs'!$B$9+'Inputs'!$B$10)+'Inputs'!$B$7)^2+('Inputs'!$B$6/2)^2)-(((664-43)*MAX('Inputs'!$B$33,'Inputs'!$B$29+'Inputs'!$B$31+'Inputs'!$B$32,'Inputs'!$B$30+'Inputs'!$B$31+'Inputs'!$B$32)/1000+'Inputs'!$B$21+'Inputs'!$B$9+'Inputs'!$B$10))/SQRT((((664-43)*MAX('Inputs'!$B$33,'Inputs'!$B$29+'Inputs'!$B$31+'Inputs'!$B$32,'Inputs'!$B$30+'Inputs'!$B$31+'Inputs'!$B$32)/1000+'Inputs'!$B$21+'Inputs'!$B$9+'Inputs'!$B$10))^2+('Inputs'!$B$6/2)^2))))*'Results'!$B$8))),"")</x:f>
        <x:v>1.5724210475164782</x:v>
      </x:c>
      <x:c r="O664" t="n">
        <x:f>IF(AND(ISNUMBER('Results'!C7),ISNUMBER('Results'!B7),ISNUMBER('Results'!$B$8),ISNUMBER('Inputs'!$B$6),ISNUMBER('Inputs'!$B$7),ISNUMBER('Inputs'!$B$8),ISNUMBER('Inputs'!$B$9),ISNUMBER('Inputs'!$B$10),ISNUMBER('Inputs'!$B$21),ISNUMBER('Inputs'!$B$24),ISNUMBER('Inputs'!$B$28)),((('Results'!C7*(1+'Inputs'!$B$24)*(0.5*((((664-43)*MAX('Inputs'!$B$33,'Inputs'!$B$29+'Inputs'!$B$31+'Inputs'!$B$32,'Inputs'!$B$30+'Inputs'!$B$31+'Inputs'!$B$32)/1000+'Inputs'!$B$21)+'Inputs'!$B$9)/SQRT((((664-43)*MAX('Inputs'!$B$33,'Inputs'!$B$29+'Inputs'!$B$31+'Inputs'!$B$32,'Inputs'!$B$30+'Inputs'!$B$31+'Inputs'!$B$32)/1000+'Inputs'!$B$21)+'Inputs'!$B$9)^2+('Inputs'!$B$8/2)^2)-(((664-43)*MAX('Inputs'!$B$33,'Inputs'!$B$29+'Inputs'!$B$31+'Inputs'!$B$32,'Inputs'!$B$30+'Inputs'!$B$31+'Inputs'!$B$32)/1000+'Inputs'!$B$21))/SQRT((((664-43)*MAX('Inputs'!$B$33,'Inputs'!$B$29+'Inputs'!$B$31+'Inputs'!$B$32,'Inputs'!$B$30+'Inputs'!$B$31+'Inputs'!$B$32)/1000+'Inputs'!$B$21))^2+('Inputs'!$B$8/2)^2)))-'Results'!B7*(1-'Inputs'!$B$24)*(0.5*((((664-43)*MAX('Inputs'!$B$33,'Inputs'!$B$29+'Inputs'!$B$31+'Inputs'!$B$32,'Inputs'!$B$30+'Inputs'!$B$31+'Inputs'!$B$32)/1000+'Inputs'!$B$21+'Inputs'!$B$9+'Inputs'!$B$10)+'Inputs'!$B$7)/SQRT((((664-43)*MAX('Inputs'!$B$33,'Inputs'!$B$29+'Inputs'!$B$31+'Inputs'!$B$32,'Inputs'!$B$30+'Inputs'!$B$31+'Inputs'!$B$32)/1000+'Inputs'!$B$21+'Inputs'!$B$9+'Inputs'!$B$10)+'Inputs'!$B$7)^2+('Inputs'!$B$6/2)^2)-(((664-43)*MAX('Inputs'!$B$33,'Inputs'!$B$29+'Inputs'!$B$31+'Inputs'!$B$32,'Inputs'!$B$30+'Inputs'!$B$31+'Inputs'!$B$32)/1000+'Inputs'!$B$21+'Inputs'!$B$9+'Inputs'!$B$10))/SQRT((((664-43)*MAX('Inputs'!$B$33,'Inputs'!$B$29+'Inputs'!$B$31+'Inputs'!$B$32,'Inputs'!$B$30+'Inputs'!$B$31+'Inputs'!$B$32)/1000+'Inputs'!$B$21+'Inputs'!$B$9+'Inputs'!$B$10))^2+('Inputs'!$B$6/2)^2))))*'Results'!$B$8)+'Inputs'!$B$28*ABS((('Results'!C7*(1+'Inputs'!$B$24)*(0.5*((((664-43)*MAX('Inputs'!$B$33,'Inputs'!$B$29+'Inputs'!$B$31+'Inputs'!$B$32,'Inputs'!$B$30+'Inputs'!$B$31+'Inputs'!$B$32)/1000+'Inputs'!$B$21)+'Inputs'!$B$9)/SQRT((((664-43)*MAX('Inputs'!$B$33,'Inputs'!$B$29+'Inputs'!$B$31+'Inputs'!$B$32,'Inputs'!$B$30+'Inputs'!$B$31+'Inputs'!$B$32)/1000+'Inputs'!$B$21)+'Inputs'!$B$9)^2+('Inputs'!$B$8/2)^2)-(((664-43)*MAX('Inputs'!$B$33,'Inputs'!$B$29+'Inputs'!$B$31+'Inputs'!$B$32,'Inputs'!$B$30+'Inputs'!$B$31+'Inputs'!$B$32)/1000+'Inputs'!$B$21))/SQRT((((664-43)*MAX('Inputs'!$B$33,'Inputs'!$B$29+'Inputs'!$B$31+'Inputs'!$B$32,'Inputs'!$B$30+'Inputs'!$B$31+'Inputs'!$B$32)/1000+'Inputs'!$B$21))^2+('Inputs'!$B$8/2)^2)))-'Results'!B7*(1-'Inputs'!$B$24)*(0.5*((((664-43)*MAX('Inputs'!$B$33,'Inputs'!$B$29+'Inputs'!$B$31+'Inputs'!$B$32,'Inputs'!$B$30+'Inputs'!$B$31+'Inputs'!$B$32)/1000+'Inputs'!$B$21+'Inputs'!$B$9+'Inputs'!$B$10)+'Inputs'!$B$7)/SQRT((((664-43)*MAX('Inputs'!$B$33,'Inputs'!$B$29+'Inputs'!$B$31+'Inputs'!$B$32,'Inputs'!$B$30+'Inputs'!$B$31+'Inputs'!$B$32)/1000+'Inputs'!$B$21+'Inputs'!$B$9+'Inputs'!$B$10)+'Inputs'!$B$7)^2+('Inputs'!$B$6/2)^2)-(((664-43)*MAX('Inputs'!$B$33,'Inputs'!$B$29+'Inputs'!$B$31+'Inputs'!$B$32,'Inputs'!$B$30+'Inputs'!$B$31+'Inputs'!$B$32)/1000+'Inputs'!$B$21+'Inputs'!$B$9+'Inputs'!$B$10))/SQRT((((664-43)*MAX('Inputs'!$B$33,'Inputs'!$B$29+'Inputs'!$B$31+'Inputs'!$B$32,'Inputs'!$B$30+'Inputs'!$B$31+'Inputs'!$B$32)/1000+'Inputs'!$B$21+'Inputs'!$B$9+'Inputs'!$B$10))^2+('Inputs'!$B$6/2)^2))))*'Results'!$B$8))),"")</x:f>
        <x:v>2.069378545033027</x:v>
      </x:c>
      <x:c r="P664" t="n">
        <x:f>IF(AND(MAX(J664,J663)&gt;0,J664&gt;J663+0.00000001),1,0)</x:f>
        <x:v>0</x:v>
      </x:c>
      <x:c r="Q664" t="n">
        <x:f>IF(AND(MAX(K664,K663)&gt;0,K664&gt;K663+0.00000001),1,0)</x:f>
        <x:v>0</x:v>
      </x:c>
      <x:c r="R664" t="n">
        <x:f>IF(AND(MAX(L664,L663)&gt;0,L664&gt;L663+0.00000001),1,0)</x:f>
        <x:v>0</x:v>
      </x:c>
      <x:c r="S664" t="n">
        <x:f>IF(AND(MAX(M664,M663)&gt;0,M664&gt;M663+0.00000001),1,0)</x:f>
        <x:v>0</x:v>
      </x:c>
      <x:c r="T664" t="n">
        <x:f>IF(AND(MAX(N664,N663)&gt;0,N664&gt;N663+0.00000001),1,0)</x:f>
        <x:v>0</x:v>
      </x:c>
      <x:c r="U664" t="n">
        <x:f>IF(AND(MAX(O664,O663)&gt;0,O664&gt;O663+0.00000001),1,0)</x:f>
        <x:v>0</x:v>
      </x:c>
    </x:row>
    <x:row r="665">
      <x:c r="J665" t="n">
        <x:f>IF(AND(ISNUMBER('Results'!B7),ISNUMBER('Results'!C7),ISNUMBER('Results'!$B$8),ISNUMBER('Inputs'!$B$6),ISNUMBER('Inputs'!$B$7),ISNUMBER('Inputs'!$B$8),ISNUMBER('Inputs'!$B$9),ISNUMBER('Inputs'!$B$10),ISNUMBER('Inputs'!$B$21),ISNUMBER('Inputs'!$B$24),ISNUMBER('Inputs'!$B$28)),(('Results'!B7*(0.5*((((665-43)*MAX('Inputs'!$B$33,'Inputs'!$B$29+'Inputs'!$B$31+'Inputs'!$B$32,'Inputs'!$B$30+'Inputs'!$B$31+'Inputs'!$B$32)/1000+'Inputs'!$B$21)+'Inputs'!$B$7)/SQRT((((665-43)*MAX('Inputs'!$B$33,'Inputs'!$B$29+'Inputs'!$B$31+'Inputs'!$B$32,'Inputs'!$B$30+'Inputs'!$B$31+'Inputs'!$B$32)/1000+'Inputs'!$B$21)+'Inputs'!$B$7)^2+('Inputs'!$B$6/2)^2)-(((665-43)*MAX('Inputs'!$B$33,'Inputs'!$B$29+'Inputs'!$B$31+'Inputs'!$B$32,'Inputs'!$B$30+'Inputs'!$B$31+'Inputs'!$B$32)/1000+'Inputs'!$B$21))/SQRT((((665-43)*MAX('Inputs'!$B$33,'Inputs'!$B$29+'Inputs'!$B$31+'Inputs'!$B$32,'Inputs'!$B$30+'Inputs'!$B$31+'Inputs'!$B$32)/1000+'Inputs'!$B$21))^2+('Inputs'!$B$6/2)^2)))-'Results'!C7*(0.5*((((665-43)*MAX('Inputs'!$B$33,'Inputs'!$B$29+'Inputs'!$B$31+'Inputs'!$B$32,'Inputs'!$B$30+'Inputs'!$B$31+'Inputs'!$B$32)/1000+'Inputs'!$B$21+'Inputs'!$B$7+'Inputs'!$B$10)+'Inputs'!$B$9)/SQRT((((665-43)*MAX('Inputs'!$B$33,'Inputs'!$B$29+'Inputs'!$B$31+'Inputs'!$B$32,'Inputs'!$B$30+'Inputs'!$B$31+'Inputs'!$B$32)/1000+'Inputs'!$B$21+'Inputs'!$B$7+'Inputs'!$B$10)+'Inputs'!$B$9)^2+('Inputs'!$B$8/2)^2)-(((665-43)*MAX('Inputs'!$B$33,'Inputs'!$B$29+'Inputs'!$B$31+'Inputs'!$B$32,'Inputs'!$B$30+'Inputs'!$B$31+'Inputs'!$B$32)/1000+'Inputs'!$B$21+'Inputs'!$B$7+'Inputs'!$B$10))/SQRT((((665-43)*MAX('Inputs'!$B$33,'Inputs'!$B$29+'Inputs'!$B$31+'Inputs'!$B$32,'Inputs'!$B$30+'Inputs'!$B$31+'Inputs'!$B$32)/1000+'Inputs'!$B$21+'Inputs'!$B$7+'Inputs'!$B$10))^2+('Inputs'!$B$8/2)^2))))*'Results'!$B$8),"")</x:f>
        <x:v>1.9617084542811176</x:v>
      </x:c>
      <x:c r="K665" t="n">
        <x:f>IF(AND(ISNUMBER('Results'!B7),ISNUMBER('Results'!C7),ISNUMBER('Results'!$B$8),ISNUMBER('Inputs'!$B$6),ISNUMBER('Inputs'!$B$7),ISNUMBER('Inputs'!$B$8),ISNUMBER('Inputs'!$B$9),ISNUMBER('Inputs'!$B$10),ISNUMBER('Inputs'!$B$21),ISNUMBER('Inputs'!$B$24),ISNUMBER('Inputs'!$B$28)),((('Results'!B7*(1-'Inputs'!$B$24)*(0.5*((((665-43)*MAX('Inputs'!$B$33,'Inputs'!$B$29+'Inputs'!$B$31+'Inputs'!$B$32,'Inputs'!$B$30+'Inputs'!$B$31+'Inputs'!$B$32)/1000+'Inputs'!$B$21)+'Inputs'!$B$7)/SQRT((((665-43)*MAX('Inputs'!$B$33,'Inputs'!$B$29+'Inputs'!$B$31+'Inputs'!$B$32,'Inputs'!$B$30+'Inputs'!$B$31+'Inputs'!$B$32)/1000+'Inputs'!$B$21)+'Inputs'!$B$7)^2+('Inputs'!$B$6/2)^2)-(((665-43)*MAX('Inputs'!$B$33,'Inputs'!$B$29+'Inputs'!$B$31+'Inputs'!$B$32,'Inputs'!$B$30+'Inputs'!$B$31+'Inputs'!$B$32)/1000+'Inputs'!$B$21))/SQRT((((665-43)*MAX('Inputs'!$B$33,'Inputs'!$B$29+'Inputs'!$B$31+'Inputs'!$B$32,'Inputs'!$B$30+'Inputs'!$B$31+'Inputs'!$B$32)/1000+'Inputs'!$B$21))^2+('Inputs'!$B$6/2)^2)))-'Results'!C7*(1+'Inputs'!$B$24)*(0.5*((((665-43)*MAX('Inputs'!$B$33,'Inputs'!$B$29+'Inputs'!$B$31+'Inputs'!$B$32,'Inputs'!$B$30+'Inputs'!$B$31+'Inputs'!$B$32)/1000+'Inputs'!$B$21+'Inputs'!$B$7+'Inputs'!$B$10)+'Inputs'!$B$9)/SQRT((((665-43)*MAX('Inputs'!$B$33,'Inputs'!$B$29+'Inputs'!$B$31+'Inputs'!$B$32,'Inputs'!$B$30+'Inputs'!$B$31+'Inputs'!$B$32)/1000+'Inputs'!$B$21+'Inputs'!$B$7+'Inputs'!$B$10)+'Inputs'!$B$9)^2+('Inputs'!$B$8/2)^2)-(((665-43)*MAX('Inputs'!$B$33,'Inputs'!$B$29+'Inputs'!$B$31+'Inputs'!$B$32,'Inputs'!$B$30+'Inputs'!$B$31+'Inputs'!$B$32)/1000+'Inputs'!$B$21+'Inputs'!$B$7+'Inputs'!$B$10))/SQRT((((665-43)*MAX('Inputs'!$B$33,'Inputs'!$B$29+'Inputs'!$B$31+'Inputs'!$B$32,'Inputs'!$B$30+'Inputs'!$B$31+'Inputs'!$B$32)/1000+'Inputs'!$B$21+'Inputs'!$B$7+'Inputs'!$B$10))^2+('Inputs'!$B$8/2)^2))))*'Results'!$B$8)-'Inputs'!$B$28*ABS((('Results'!B7*(1-'Inputs'!$B$24)*(0.5*((((665-43)*MAX('Inputs'!$B$33,'Inputs'!$B$29+'Inputs'!$B$31+'Inputs'!$B$32,'Inputs'!$B$30+'Inputs'!$B$31+'Inputs'!$B$32)/1000+'Inputs'!$B$21)+'Inputs'!$B$7)/SQRT((((665-43)*MAX('Inputs'!$B$33,'Inputs'!$B$29+'Inputs'!$B$31+'Inputs'!$B$32,'Inputs'!$B$30+'Inputs'!$B$31+'Inputs'!$B$32)/1000+'Inputs'!$B$21)+'Inputs'!$B$7)^2+('Inputs'!$B$6/2)^2)-(((665-43)*MAX('Inputs'!$B$33,'Inputs'!$B$29+'Inputs'!$B$31+'Inputs'!$B$32,'Inputs'!$B$30+'Inputs'!$B$31+'Inputs'!$B$32)/1000+'Inputs'!$B$21))/SQRT((((665-43)*MAX('Inputs'!$B$33,'Inputs'!$B$29+'Inputs'!$B$31+'Inputs'!$B$32,'Inputs'!$B$30+'Inputs'!$B$31+'Inputs'!$B$32)/1000+'Inputs'!$B$21))^2+('Inputs'!$B$6/2)^2)))-'Results'!C7*(1+'Inputs'!$B$24)*(0.5*((((665-43)*MAX('Inputs'!$B$33,'Inputs'!$B$29+'Inputs'!$B$31+'Inputs'!$B$32,'Inputs'!$B$30+'Inputs'!$B$31+'Inputs'!$B$32)/1000+'Inputs'!$B$21+'Inputs'!$B$7+'Inputs'!$B$10)+'Inputs'!$B$9)/SQRT((((665-43)*MAX('Inputs'!$B$33,'Inputs'!$B$29+'Inputs'!$B$31+'Inputs'!$B$32,'Inputs'!$B$30+'Inputs'!$B$31+'Inputs'!$B$32)/1000+'Inputs'!$B$21+'Inputs'!$B$7+'Inputs'!$B$10)+'Inputs'!$B$9)^2+('Inputs'!$B$8/2)^2)-(((665-43)*MAX('Inputs'!$B$33,'Inputs'!$B$29+'Inputs'!$B$31+'Inputs'!$B$32,'Inputs'!$B$30+'Inputs'!$B$31+'Inputs'!$B$32)/1000+'Inputs'!$B$21+'Inputs'!$B$7+'Inputs'!$B$10))/SQRT((((665-43)*MAX('Inputs'!$B$33,'Inputs'!$B$29+'Inputs'!$B$31+'Inputs'!$B$32,'Inputs'!$B$30+'Inputs'!$B$31+'Inputs'!$B$32)/1000+'Inputs'!$B$21+'Inputs'!$B$7+'Inputs'!$B$10))^2+('Inputs'!$B$8/2)^2))))*'Results'!$B$8))),"")</x:f>
        <x:v>1.7136143445657048</x:v>
      </x:c>
      <x:c r="L665" t="n">
        <x:f>IF(AND(ISNUMBER('Results'!B7),ISNUMBER('Results'!C7),ISNUMBER('Results'!$B$8),ISNUMBER('Inputs'!$B$6),ISNUMBER('Inputs'!$B$7),ISNUMBER('Inputs'!$B$8),ISNUMBER('Inputs'!$B$9),ISNUMBER('Inputs'!$B$10),ISNUMBER('Inputs'!$B$21),ISNUMBER('Inputs'!$B$24),ISNUMBER('Inputs'!$B$28)),((('Results'!B7*(1+'Inputs'!$B$24)*(0.5*((((665-43)*MAX('Inputs'!$B$33,'Inputs'!$B$29+'Inputs'!$B$31+'Inputs'!$B$32,'Inputs'!$B$30+'Inputs'!$B$31+'Inputs'!$B$32)/1000+'Inputs'!$B$21)+'Inputs'!$B$7)/SQRT((((665-43)*MAX('Inputs'!$B$33,'Inputs'!$B$29+'Inputs'!$B$31+'Inputs'!$B$32,'Inputs'!$B$30+'Inputs'!$B$31+'Inputs'!$B$32)/1000+'Inputs'!$B$21)+'Inputs'!$B$7)^2+('Inputs'!$B$6/2)^2)-(((665-43)*MAX('Inputs'!$B$33,'Inputs'!$B$29+'Inputs'!$B$31+'Inputs'!$B$32,'Inputs'!$B$30+'Inputs'!$B$31+'Inputs'!$B$32)/1000+'Inputs'!$B$21))/SQRT((((665-43)*MAX('Inputs'!$B$33,'Inputs'!$B$29+'Inputs'!$B$31+'Inputs'!$B$32,'Inputs'!$B$30+'Inputs'!$B$31+'Inputs'!$B$32)/1000+'Inputs'!$B$21))^2+('Inputs'!$B$6/2)^2)))-'Results'!C7*(1-'Inputs'!$B$24)*(0.5*((((665-43)*MAX('Inputs'!$B$33,'Inputs'!$B$29+'Inputs'!$B$31+'Inputs'!$B$32,'Inputs'!$B$30+'Inputs'!$B$31+'Inputs'!$B$32)/1000+'Inputs'!$B$21+'Inputs'!$B$7+'Inputs'!$B$10)+'Inputs'!$B$9)/SQRT((((665-43)*MAX('Inputs'!$B$33,'Inputs'!$B$29+'Inputs'!$B$31+'Inputs'!$B$32,'Inputs'!$B$30+'Inputs'!$B$31+'Inputs'!$B$32)/1000+'Inputs'!$B$21+'Inputs'!$B$7+'Inputs'!$B$10)+'Inputs'!$B$9)^2+('Inputs'!$B$8/2)^2)-(((665-43)*MAX('Inputs'!$B$33,'Inputs'!$B$29+'Inputs'!$B$31+'Inputs'!$B$32,'Inputs'!$B$30+'Inputs'!$B$31+'Inputs'!$B$32)/1000+'Inputs'!$B$21+'Inputs'!$B$7+'Inputs'!$B$10))/SQRT((((665-43)*MAX('Inputs'!$B$33,'Inputs'!$B$29+'Inputs'!$B$31+'Inputs'!$B$32,'Inputs'!$B$30+'Inputs'!$B$31+'Inputs'!$B$32)/1000+'Inputs'!$B$21+'Inputs'!$B$7+'Inputs'!$B$10))^2+('Inputs'!$B$8/2)^2))))*'Results'!$B$8)+'Inputs'!$B$28*ABS((('Results'!B7*(1+'Inputs'!$B$24)*(0.5*((((665-43)*MAX('Inputs'!$B$33,'Inputs'!$B$29+'Inputs'!$B$31+'Inputs'!$B$32,'Inputs'!$B$30+'Inputs'!$B$31+'Inputs'!$B$32)/1000+'Inputs'!$B$21)+'Inputs'!$B$7)/SQRT((((665-43)*MAX('Inputs'!$B$33,'Inputs'!$B$29+'Inputs'!$B$31+'Inputs'!$B$32,'Inputs'!$B$30+'Inputs'!$B$31+'Inputs'!$B$32)/1000+'Inputs'!$B$21)+'Inputs'!$B$7)^2+('Inputs'!$B$6/2)^2)-(((665-43)*MAX('Inputs'!$B$33,'Inputs'!$B$29+'Inputs'!$B$31+'Inputs'!$B$32,'Inputs'!$B$30+'Inputs'!$B$31+'Inputs'!$B$32)/1000+'Inputs'!$B$21))/SQRT((((665-43)*MAX('Inputs'!$B$33,'Inputs'!$B$29+'Inputs'!$B$31+'Inputs'!$B$32,'Inputs'!$B$30+'Inputs'!$B$31+'Inputs'!$B$32)/1000+'Inputs'!$B$21))^2+('Inputs'!$B$6/2)^2)))-'Results'!C7*(1-'Inputs'!$B$24)*(0.5*((((665-43)*MAX('Inputs'!$B$33,'Inputs'!$B$29+'Inputs'!$B$31+'Inputs'!$B$32,'Inputs'!$B$30+'Inputs'!$B$31+'Inputs'!$B$32)/1000+'Inputs'!$B$21+'Inputs'!$B$7+'Inputs'!$B$10)+'Inputs'!$B$9)/SQRT((((665-43)*MAX('Inputs'!$B$33,'Inputs'!$B$29+'Inputs'!$B$31+'Inputs'!$B$32,'Inputs'!$B$30+'Inputs'!$B$31+'Inputs'!$B$32)/1000+'Inputs'!$B$21+'Inputs'!$B$7+'Inputs'!$B$10)+'Inputs'!$B$9)^2+('Inputs'!$B$8/2)^2)-(((665-43)*MAX('Inputs'!$B$33,'Inputs'!$B$29+'Inputs'!$B$31+'Inputs'!$B$32,'Inputs'!$B$30+'Inputs'!$B$31+'Inputs'!$B$32)/1000+'Inputs'!$B$21+'Inputs'!$B$7+'Inputs'!$B$10))/SQRT((((665-43)*MAX('Inputs'!$B$33,'Inputs'!$B$29+'Inputs'!$B$31+'Inputs'!$B$32,'Inputs'!$B$30+'Inputs'!$B$31+'Inputs'!$B$32)/1000+'Inputs'!$B$21+'Inputs'!$B$7+'Inputs'!$B$10))^2+('Inputs'!$B$8/2)^2))))*'Results'!$B$8))),"")</x:f>
        <x:v>2.2255929521019358</x:v>
      </x:c>
      <x:c r="M665" t="n">
        <x:f>IF(AND(ISNUMBER('Results'!C7),ISNUMBER('Results'!B7),ISNUMBER('Results'!$B$8),ISNUMBER('Inputs'!$B$6),ISNUMBER('Inputs'!$B$7),ISNUMBER('Inputs'!$B$8),ISNUMBER('Inputs'!$B$9),ISNUMBER('Inputs'!$B$10),ISNUMBER('Inputs'!$B$21),ISNUMBER('Inputs'!$B$24),ISNUMBER('Inputs'!$B$28)),(('Results'!C7*(0.5*((((665-43)*MAX('Inputs'!$B$33,'Inputs'!$B$29+'Inputs'!$B$31+'Inputs'!$B$32,'Inputs'!$B$30+'Inputs'!$B$31+'Inputs'!$B$32)/1000+'Inputs'!$B$21)+'Inputs'!$B$9)/SQRT((((665-43)*MAX('Inputs'!$B$33,'Inputs'!$B$29+'Inputs'!$B$31+'Inputs'!$B$32,'Inputs'!$B$30+'Inputs'!$B$31+'Inputs'!$B$32)/1000+'Inputs'!$B$21)+'Inputs'!$B$9)^2+('Inputs'!$B$8/2)^2)-(((665-43)*MAX('Inputs'!$B$33,'Inputs'!$B$29+'Inputs'!$B$31+'Inputs'!$B$32,'Inputs'!$B$30+'Inputs'!$B$31+'Inputs'!$B$32)/1000+'Inputs'!$B$21))/SQRT((((665-43)*MAX('Inputs'!$B$33,'Inputs'!$B$29+'Inputs'!$B$31+'Inputs'!$B$32,'Inputs'!$B$30+'Inputs'!$B$31+'Inputs'!$B$32)/1000+'Inputs'!$B$21))^2+('Inputs'!$B$8/2)^2)))-'Results'!B7*(0.5*((((665-43)*MAX('Inputs'!$B$33,'Inputs'!$B$29+'Inputs'!$B$31+'Inputs'!$B$32,'Inputs'!$B$30+'Inputs'!$B$31+'Inputs'!$B$32)/1000+'Inputs'!$B$21+'Inputs'!$B$9+'Inputs'!$B$10)+'Inputs'!$B$7)/SQRT((((665-43)*MAX('Inputs'!$B$33,'Inputs'!$B$29+'Inputs'!$B$31+'Inputs'!$B$32,'Inputs'!$B$30+'Inputs'!$B$31+'Inputs'!$B$32)/1000+'Inputs'!$B$21+'Inputs'!$B$9+'Inputs'!$B$10)+'Inputs'!$B$7)^2+('Inputs'!$B$6/2)^2)-(((665-43)*MAX('Inputs'!$B$33,'Inputs'!$B$29+'Inputs'!$B$31+'Inputs'!$B$32,'Inputs'!$B$30+'Inputs'!$B$31+'Inputs'!$B$32)/1000+'Inputs'!$B$21+'Inputs'!$B$9+'Inputs'!$B$10))/SQRT((((665-43)*MAX('Inputs'!$B$33,'Inputs'!$B$29+'Inputs'!$B$31+'Inputs'!$B$32,'Inputs'!$B$30+'Inputs'!$B$31+'Inputs'!$B$32)/1000+'Inputs'!$B$21+'Inputs'!$B$9+'Inputs'!$B$10))^2+('Inputs'!$B$6/2)^2))))*'Results'!$B$8),"")</x:f>
        <x:v>1.8025936577988089</x:v>
      </x:c>
      <x:c r="N665" t="n">
        <x:f>IF(AND(ISNUMBER('Results'!C7),ISNUMBER('Results'!B7),ISNUMBER('Results'!$B$8),ISNUMBER('Inputs'!$B$6),ISNUMBER('Inputs'!$B$7),ISNUMBER('Inputs'!$B$8),ISNUMBER('Inputs'!$B$9),ISNUMBER('Inputs'!$B$10),ISNUMBER('Inputs'!$B$21),ISNUMBER('Inputs'!$B$24),ISNUMBER('Inputs'!$B$28)),((('Results'!C7*(1-'Inputs'!$B$24)*(0.5*((((665-43)*MAX('Inputs'!$B$33,'Inputs'!$B$29+'Inputs'!$B$31+'Inputs'!$B$32,'Inputs'!$B$30+'Inputs'!$B$31+'Inputs'!$B$32)/1000+'Inputs'!$B$21)+'Inputs'!$B$9)/SQRT((((665-43)*MAX('Inputs'!$B$33,'Inputs'!$B$29+'Inputs'!$B$31+'Inputs'!$B$32,'Inputs'!$B$30+'Inputs'!$B$31+'Inputs'!$B$32)/1000+'Inputs'!$B$21)+'Inputs'!$B$9)^2+('Inputs'!$B$8/2)^2)-(((665-43)*MAX('Inputs'!$B$33,'Inputs'!$B$29+'Inputs'!$B$31+'Inputs'!$B$32,'Inputs'!$B$30+'Inputs'!$B$31+'Inputs'!$B$32)/1000+'Inputs'!$B$21))/SQRT((((665-43)*MAX('Inputs'!$B$33,'Inputs'!$B$29+'Inputs'!$B$31+'Inputs'!$B$32,'Inputs'!$B$30+'Inputs'!$B$31+'Inputs'!$B$32)/1000+'Inputs'!$B$21))^2+('Inputs'!$B$8/2)^2)))-'Results'!B7*(1+'Inputs'!$B$24)*(0.5*((((665-43)*MAX('Inputs'!$B$33,'Inputs'!$B$29+'Inputs'!$B$31+'Inputs'!$B$32,'Inputs'!$B$30+'Inputs'!$B$31+'Inputs'!$B$32)/1000+'Inputs'!$B$21+'Inputs'!$B$9+'Inputs'!$B$10)+'Inputs'!$B$7)/SQRT((((665-43)*MAX('Inputs'!$B$33,'Inputs'!$B$29+'Inputs'!$B$31+'Inputs'!$B$32,'Inputs'!$B$30+'Inputs'!$B$31+'Inputs'!$B$32)/1000+'Inputs'!$B$21+'Inputs'!$B$9+'Inputs'!$B$10)+'Inputs'!$B$7)^2+('Inputs'!$B$6/2)^2)-(((665-43)*MAX('Inputs'!$B$33,'Inputs'!$B$29+'Inputs'!$B$31+'Inputs'!$B$32,'Inputs'!$B$30+'Inputs'!$B$31+'Inputs'!$B$32)/1000+'Inputs'!$B$21+'Inputs'!$B$9+'Inputs'!$B$10))/SQRT((((665-43)*MAX('Inputs'!$B$33,'Inputs'!$B$29+'Inputs'!$B$31+'Inputs'!$B$32,'Inputs'!$B$30+'Inputs'!$B$31+'Inputs'!$B$32)/1000+'Inputs'!$B$21+'Inputs'!$B$9+'Inputs'!$B$10))^2+('Inputs'!$B$6/2)^2))))*'Results'!$B$8)-'Inputs'!$B$28*ABS((('Results'!C7*(1-'Inputs'!$B$24)*(0.5*((((665-43)*MAX('Inputs'!$B$33,'Inputs'!$B$29+'Inputs'!$B$31+'Inputs'!$B$32,'Inputs'!$B$30+'Inputs'!$B$31+'Inputs'!$B$32)/1000+'Inputs'!$B$21)+'Inputs'!$B$9)/SQRT((((665-43)*MAX('Inputs'!$B$33,'Inputs'!$B$29+'Inputs'!$B$31+'Inputs'!$B$32,'Inputs'!$B$30+'Inputs'!$B$31+'Inputs'!$B$32)/1000+'Inputs'!$B$21)+'Inputs'!$B$9)^2+('Inputs'!$B$8/2)^2)-(((665-43)*MAX('Inputs'!$B$33,'Inputs'!$B$29+'Inputs'!$B$31+'Inputs'!$B$32,'Inputs'!$B$30+'Inputs'!$B$31+'Inputs'!$B$32)/1000+'Inputs'!$B$21))/SQRT((((665-43)*MAX('Inputs'!$B$33,'Inputs'!$B$29+'Inputs'!$B$31+'Inputs'!$B$32,'Inputs'!$B$30+'Inputs'!$B$31+'Inputs'!$B$32)/1000+'Inputs'!$B$21))^2+('Inputs'!$B$8/2)^2)))-'Results'!B7*(1+'Inputs'!$B$24)*(0.5*((((665-43)*MAX('Inputs'!$B$33,'Inputs'!$B$29+'Inputs'!$B$31+'Inputs'!$B$32,'Inputs'!$B$30+'Inputs'!$B$31+'Inputs'!$B$32)/1000+'Inputs'!$B$21+'Inputs'!$B$9+'Inputs'!$B$10)+'Inputs'!$B$7)/SQRT((((665-43)*MAX('Inputs'!$B$33,'Inputs'!$B$29+'Inputs'!$B$31+'Inputs'!$B$32,'Inputs'!$B$30+'Inputs'!$B$31+'Inputs'!$B$32)/1000+'Inputs'!$B$21+'Inputs'!$B$9+'Inputs'!$B$10)+'Inputs'!$B$7)^2+('Inputs'!$B$6/2)^2)-(((665-43)*MAX('Inputs'!$B$33,'Inputs'!$B$29+'Inputs'!$B$31+'Inputs'!$B$32,'Inputs'!$B$30+'Inputs'!$B$31+'Inputs'!$B$32)/1000+'Inputs'!$B$21+'Inputs'!$B$9+'Inputs'!$B$10))/SQRT((((665-43)*MAX('Inputs'!$B$33,'Inputs'!$B$29+'Inputs'!$B$31+'Inputs'!$B$32,'Inputs'!$B$30+'Inputs'!$B$31+'Inputs'!$B$32)/1000+'Inputs'!$B$21+'Inputs'!$B$9+'Inputs'!$B$10))^2+('Inputs'!$B$6/2)^2))))*'Results'!$B$8))),"")</x:f>
        <x:v>1.5631777297270015</x:v>
      </x:c>
      <x:c r="O665" t="n">
        <x:f>IF(AND(ISNUMBER('Results'!C7),ISNUMBER('Results'!B7),ISNUMBER('Results'!$B$8),ISNUMBER('Inputs'!$B$6),ISNUMBER('Inputs'!$B$7),ISNUMBER('Inputs'!$B$8),ISNUMBER('Inputs'!$B$9),ISNUMBER('Inputs'!$B$10),ISNUMBER('Inputs'!$B$21),ISNUMBER('Inputs'!$B$24),ISNUMBER('Inputs'!$B$28)),((('Results'!C7*(1+'Inputs'!$B$24)*(0.5*((((665-43)*MAX('Inputs'!$B$33,'Inputs'!$B$29+'Inputs'!$B$31+'Inputs'!$B$32,'Inputs'!$B$30+'Inputs'!$B$31+'Inputs'!$B$32)/1000+'Inputs'!$B$21)+'Inputs'!$B$9)/SQRT((((665-43)*MAX('Inputs'!$B$33,'Inputs'!$B$29+'Inputs'!$B$31+'Inputs'!$B$32,'Inputs'!$B$30+'Inputs'!$B$31+'Inputs'!$B$32)/1000+'Inputs'!$B$21)+'Inputs'!$B$9)^2+('Inputs'!$B$8/2)^2)-(((665-43)*MAX('Inputs'!$B$33,'Inputs'!$B$29+'Inputs'!$B$31+'Inputs'!$B$32,'Inputs'!$B$30+'Inputs'!$B$31+'Inputs'!$B$32)/1000+'Inputs'!$B$21))/SQRT((((665-43)*MAX('Inputs'!$B$33,'Inputs'!$B$29+'Inputs'!$B$31+'Inputs'!$B$32,'Inputs'!$B$30+'Inputs'!$B$31+'Inputs'!$B$32)/1000+'Inputs'!$B$21))^2+('Inputs'!$B$8/2)^2)))-'Results'!B7*(1-'Inputs'!$B$24)*(0.5*((((665-43)*MAX('Inputs'!$B$33,'Inputs'!$B$29+'Inputs'!$B$31+'Inputs'!$B$32,'Inputs'!$B$30+'Inputs'!$B$31+'Inputs'!$B$32)/1000+'Inputs'!$B$21+'Inputs'!$B$9+'Inputs'!$B$10)+'Inputs'!$B$7)/SQRT((((665-43)*MAX('Inputs'!$B$33,'Inputs'!$B$29+'Inputs'!$B$31+'Inputs'!$B$32,'Inputs'!$B$30+'Inputs'!$B$31+'Inputs'!$B$32)/1000+'Inputs'!$B$21+'Inputs'!$B$9+'Inputs'!$B$10)+'Inputs'!$B$7)^2+('Inputs'!$B$6/2)^2)-(((665-43)*MAX('Inputs'!$B$33,'Inputs'!$B$29+'Inputs'!$B$31+'Inputs'!$B$32,'Inputs'!$B$30+'Inputs'!$B$31+'Inputs'!$B$32)/1000+'Inputs'!$B$21+'Inputs'!$B$9+'Inputs'!$B$10))/SQRT((((665-43)*MAX('Inputs'!$B$33,'Inputs'!$B$29+'Inputs'!$B$31+'Inputs'!$B$32,'Inputs'!$B$30+'Inputs'!$B$31+'Inputs'!$B$32)/1000+'Inputs'!$B$21+'Inputs'!$B$9+'Inputs'!$B$10))^2+('Inputs'!$B$6/2)^2))))*'Results'!$B$8)+'Inputs'!$B$28*ABS((('Results'!C7*(1+'Inputs'!$B$24)*(0.5*((((665-43)*MAX('Inputs'!$B$33,'Inputs'!$B$29+'Inputs'!$B$31+'Inputs'!$B$32,'Inputs'!$B$30+'Inputs'!$B$31+'Inputs'!$B$32)/1000+'Inputs'!$B$21)+'Inputs'!$B$9)/SQRT((((665-43)*MAX('Inputs'!$B$33,'Inputs'!$B$29+'Inputs'!$B$31+'Inputs'!$B$32,'Inputs'!$B$30+'Inputs'!$B$31+'Inputs'!$B$32)/1000+'Inputs'!$B$21)+'Inputs'!$B$9)^2+('Inputs'!$B$8/2)^2)-(((665-43)*MAX('Inputs'!$B$33,'Inputs'!$B$29+'Inputs'!$B$31+'Inputs'!$B$32,'Inputs'!$B$30+'Inputs'!$B$31+'Inputs'!$B$32)/1000+'Inputs'!$B$21))/SQRT((((665-43)*MAX('Inputs'!$B$33,'Inputs'!$B$29+'Inputs'!$B$31+'Inputs'!$B$32,'Inputs'!$B$30+'Inputs'!$B$31+'Inputs'!$B$32)/1000+'Inputs'!$B$21))^2+('Inputs'!$B$8/2)^2)))-'Results'!B7*(1-'Inputs'!$B$24)*(0.5*((((665-43)*MAX('Inputs'!$B$33,'Inputs'!$B$29+'Inputs'!$B$31+'Inputs'!$B$32,'Inputs'!$B$30+'Inputs'!$B$31+'Inputs'!$B$32)/1000+'Inputs'!$B$21+'Inputs'!$B$9+'Inputs'!$B$10)+'Inputs'!$B$7)/SQRT((((665-43)*MAX('Inputs'!$B$33,'Inputs'!$B$29+'Inputs'!$B$31+'Inputs'!$B$32,'Inputs'!$B$30+'Inputs'!$B$31+'Inputs'!$B$32)/1000+'Inputs'!$B$21+'Inputs'!$B$9+'Inputs'!$B$10)+'Inputs'!$B$7)^2+('Inputs'!$B$6/2)^2)-(((665-43)*MAX('Inputs'!$B$33,'Inputs'!$B$29+'Inputs'!$B$31+'Inputs'!$B$32,'Inputs'!$B$30+'Inputs'!$B$31+'Inputs'!$B$32)/1000+'Inputs'!$B$21+'Inputs'!$B$9+'Inputs'!$B$10))/SQRT((((665-43)*MAX('Inputs'!$B$33,'Inputs'!$B$29+'Inputs'!$B$31+'Inputs'!$B$32,'Inputs'!$B$30+'Inputs'!$B$31+'Inputs'!$B$32)/1000+'Inputs'!$B$21+'Inputs'!$B$9+'Inputs'!$B$10))^2+('Inputs'!$B$6/2)^2))))*'Results'!$B$8))),"")</x:f>
        <x:v>2.0577239274687074</x:v>
      </x:c>
      <x:c r="P665" t="n">
        <x:f>IF(AND(MAX(J665,J664)&gt;0,J665&gt;J664+0.00000001),1,0)</x:f>
        <x:v>0</x:v>
      </x:c>
      <x:c r="Q665" t="n">
        <x:f>IF(AND(MAX(K665,K664)&gt;0,K665&gt;K664+0.00000001),1,0)</x:f>
        <x:v>0</x:v>
      </x:c>
      <x:c r="R665" t="n">
        <x:f>IF(AND(MAX(L665,L664)&gt;0,L665&gt;L664+0.00000001),1,0)</x:f>
        <x:v>0</x:v>
      </x:c>
      <x:c r="S665" t="n">
        <x:f>IF(AND(MAX(M665,M664)&gt;0,M665&gt;M664+0.00000001),1,0)</x:f>
        <x:v>0</x:v>
      </x:c>
      <x:c r="T665" t="n">
        <x:f>IF(AND(MAX(N665,N664)&gt;0,N665&gt;N664+0.00000001),1,0)</x:f>
        <x:v>0</x:v>
      </x:c>
      <x:c r="U665" t="n">
        <x:f>IF(AND(MAX(O665,O664)&gt;0,O665&gt;O664+0.00000001),1,0)</x:f>
        <x:v>0</x:v>
      </x:c>
    </x:row>
    <x:row r="666">
      <x:c r="J666" t="n">
        <x:f>IF(AND(ISNUMBER('Results'!B7),ISNUMBER('Results'!C7),ISNUMBER('Results'!$B$8),ISNUMBER('Inputs'!$B$6),ISNUMBER('Inputs'!$B$7),ISNUMBER('Inputs'!$B$8),ISNUMBER('Inputs'!$B$9),ISNUMBER('Inputs'!$B$10),ISNUMBER('Inputs'!$B$21),ISNUMBER('Inputs'!$B$24),ISNUMBER('Inputs'!$B$28)),(('Results'!B7*(0.5*((((666-43)*MAX('Inputs'!$B$33,'Inputs'!$B$29+'Inputs'!$B$31+'Inputs'!$B$32,'Inputs'!$B$30+'Inputs'!$B$31+'Inputs'!$B$32)/1000+'Inputs'!$B$21)+'Inputs'!$B$7)/SQRT((((666-43)*MAX('Inputs'!$B$33,'Inputs'!$B$29+'Inputs'!$B$31+'Inputs'!$B$32,'Inputs'!$B$30+'Inputs'!$B$31+'Inputs'!$B$32)/1000+'Inputs'!$B$21)+'Inputs'!$B$7)^2+('Inputs'!$B$6/2)^2)-(((666-43)*MAX('Inputs'!$B$33,'Inputs'!$B$29+'Inputs'!$B$31+'Inputs'!$B$32,'Inputs'!$B$30+'Inputs'!$B$31+'Inputs'!$B$32)/1000+'Inputs'!$B$21))/SQRT((((666-43)*MAX('Inputs'!$B$33,'Inputs'!$B$29+'Inputs'!$B$31+'Inputs'!$B$32,'Inputs'!$B$30+'Inputs'!$B$31+'Inputs'!$B$32)/1000+'Inputs'!$B$21))^2+('Inputs'!$B$6/2)^2)))-'Results'!C7*(0.5*((((666-43)*MAX('Inputs'!$B$33,'Inputs'!$B$29+'Inputs'!$B$31+'Inputs'!$B$32,'Inputs'!$B$30+'Inputs'!$B$31+'Inputs'!$B$32)/1000+'Inputs'!$B$21+'Inputs'!$B$7+'Inputs'!$B$10)+'Inputs'!$B$9)/SQRT((((666-43)*MAX('Inputs'!$B$33,'Inputs'!$B$29+'Inputs'!$B$31+'Inputs'!$B$32,'Inputs'!$B$30+'Inputs'!$B$31+'Inputs'!$B$32)/1000+'Inputs'!$B$21+'Inputs'!$B$7+'Inputs'!$B$10)+'Inputs'!$B$9)^2+('Inputs'!$B$8/2)^2)-(((666-43)*MAX('Inputs'!$B$33,'Inputs'!$B$29+'Inputs'!$B$31+'Inputs'!$B$32,'Inputs'!$B$30+'Inputs'!$B$31+'Inputs'!$B$32)/1000+'Inputs'!$B$21+'Inputs'!$B$7+'Inputs'!$B$10))/SQRT((((666-43)*MAX('Inputs'!$B$33,'Inputs'!$B$29+'Inputs'!$B$31+'Inputs'!$B$32,'Inputs'!$B$30+'Inputs'!$B$31+'Inputs'!$B$32)/1000+'Inputs'!$B$21+'Inputs'!$B$7+'Inputs'!$B$10))^2+('Inputs'!$B$8/2)^2))))*'Results'!$B$8),"")</x:f>
        <x:v>1.9506780069875458</x:v>
      </x:c>
      <x:c r="K666" t="n">
        <x:f>IF(AND(ISNUMBER('Results'!B7),ISNUMBER('Results'!C7),ISNUMBER('Results'!$B$8),ISNUMBER('Inputs'!$B$6),ISNUMBER('Inputs'!$B$7),ISNUMBER('Inputs'!$B$8),ISNUMBER('Inputs'!$B$9),ISNUMBER('Inputs'!$B$10),ISNUMBER('Inputs'!$B$21),ISNUMBER('Inputs'!$B$24),ISNUMBER('Inputs'!$B$28)),((('Results'!B7*(1-'Inputs'!$B$24)*(0.5*((((666-43)*MAX('Inputs'!$B$33,'Inputs'!$B$29+'Inputs'!$B$31+'Inputs'!$B$32,'Inputs'!$B$30+'Inputs'!$B$31+'Inputs'!$B$32)/1000+'Inputs'!$B$21)+'Inputs'!$B$7)/SQRT((((666-43)*MAX('Inputs'!$B$33,'Inputs'!$B$29+'Inputs'!$B$31+'Inputs'!$B$32,'Inputs'!$B$30+'Inputs'!$B$31+'Inputs'!$B$32)/1000+'Inputs'!$B$21)+'Inputs'!$B$7)^2+('Inputs'!$B$6/2)^2)-(((666-43)*MAX('Inputs'!$B$33,'Inputs'!$B$29+'Inputs'!$B$31+'Inputs'!$B$32,'Inputs'!$B$30+'Inputs'!$B$31+'Inputs'!$B$32)/1000+'Inputs'!$B$21))/SQRT((((666-43)*MAX('Inputs'!$B$33,'Inputs'!$B$29+'Inputs'!$B$31+'Inputs'!$B$32,'Inputs'!$B$30+'Inputs'!$B$31+'Inputs'!$B$32)/1000+'Inputs'!$B$21))^2+('Inputs'!$B$6/2)^2)))-'Results'!C7*(1+'Inputs'!$B$24)*(0.5*((((666-43)*MAX('Inputs'!$B$33,'Inputs'!$B$29+'Inputs'!$B$31+'Inputs'!$B$32,'Inputs'!$B$30+'Inputs'!$B$31+'Inputs'!$B$32)/1000+'Inputs'!$B$21+'Inputs'!$B$7+'Inputs'!$B$10)+'Inputs'!$B$9)/SQRT((((666-43)*MAX('Inputs'!$B$33,'Inputs'!$B$29+'Inputs'!$B$31+'Inputs'!$B$32,'Inputs'!$B$30+'Inputs'!$B$31+'Inputs'!$B$32)/1000+'Inputs'!$B$21+'Inputs'!$B$7+'Inputs'!$B$10)+'Inputs'!$B$9)^2+('Inputs'!$B$8/2)^2)-(((666-43)*MAX('Inputs'!$B$33,'Inputs'!$B$29+'Inputs'!$B$31+'Inputs'!$B$32,'Inputs'!$B$30+'Inputs'!$B$31+'Inputs'!$B$32)/1000+'Inputs'!$B$21+'Inputs'!$B$7+'Inputs'!$B$10))/SQRT((((666-43)*MAX('Inputs'!$B$33,'Inputs'!$B$29+'Inputs'!$B$31+'Inputs'!$B$32,'Inputs'!$B$30+'Inputs'!$B$31+'Inputs'!$B$32)/1000+'Inputs'!$B$21+'Inputs'!$B$7+'Inputs'!$B$10))^2+('Inputs'!$B$8/2)^2))))*'Results'!$B$8)-'Inputs'!$B$28*ABS((('Results'!B7*(1-'Inputs'!$B$24)*(0.5*((((666-43)*MAX('Inputs'!$B$33,'Inputs'!$B$29+'Inputs'!$B$31+'Inputs'!$B$32,'Inputs'!$B$30+'Inputs'!$B$31+'Inputs'!$B$32)/1000+'Inputs'!$B$21)+'Inputs'!$B$7)/SQRT((((666-43)*MAX('Inputs'!$B$33,'Inputs'!$B$29+'Inputs'!$B$31+'Inputs'!$B$32,'Inputs'!$B$30+'Inputs'!$B$31+'Inputs'!$B$32)/1000+'Inputs'!$B$21)+'Inputs'!$B$7)^2+('Inputs'!$B$6/2)^2)-(((666-43)*MAX('Inputs'!$B$33,'Inputs'!$B$29+'Inputs'!$B$31+'Inputs'!$B$32,'Inputs'!$B$30+'Inputs'!$B$31+'Inputs'!$B$32)/1000+'Inputs'!$B$21))/SQRT((((666-43)*MAX('Inputs'!$B$33,'Inputs'!$B$29+'Inputs'!$B$31+'Inputs'!$B$32,'Inputs'!$B$30+'Inputs'!$B$31+'Inputs'!$B$32)/1000+'Inputs'!$B$21))^2+('Inputs'!$B$6/2)^2)))-'Results'!C7*(1+'Inputs'!$B$24)*(0.5*((((666-43)*MAX('Inputs'!$B$33,'Inputs'!$B$29+'Inputs'!$B$31+'Inputs'!$B$32,'Inputs'!$B$30+'Inputs'!$B$31+'Inputs'!$B$32)/1000+'Inputs'!$B$21+'Inputs'!$B$7+'Inputs'!$B$10)+'Inputs'!$B$9)/SQRT((((666-43)*MAX('Inputs'!$B$33,'Inputs'!$B$29+'Inputs'!$B$31+'Inputs'!$B$32,'Inputs'!$B$30+'Inputs'!$B$31+'Inputs'!$B$32)/1000+'Inputs'!$B$21+'Inputs'!$B$7+'Inputs'!$B$10)+'Inputs'!$B$9)^2+('Inputs'!$B$8/2)^2)-(((666-43)*MAX('Inputs'!$B$33,'Inputs'!$B$29+'Inputs'!$B$31+'Inputs'!$B$32,'Inputs'!$B$30+'Inputs'!$B$31+'Inputs'!$B$32)/1000+'Inputs'!$B$21+'Inputs'!$B$7+'Inputs'!$B$10))/SQRT((((666-43)*MAX('Inputs'!$B$33,'Inputs'!$B$29+'Inputs'!$B$31+'Inputs'!$B$32,'Inputs'!$B$30+'Inputs'!$B$31+'Inputs'!$B$32)/1000+'Inputs'!$B$21+'Inputs'!$B$7+'Inputs'!$B$10))^2+('Inputs'!$B$8/2)^2))))*'Results'!$B$8))),"")</x:f>
        <x:v>1.7037864200399768</x:v>
      </x:c>
      <x:c r="L666" t="n">
        <x:f>IF(AND(ISNUMBER('Results'!B7),ISNUMBER('Results'!C7),ISNUMBER('Results'!$B$8),ISNUMBER('Inputs'!$B$6),ISNUMBER('Inputs'!$B$7),ISNUMBER('Inputs'!$B$8),ISNUMBER('Inputs'!$B$9),ISNUMBER('Inputs'!$B$10),ISNUMBER('Inputs'!$B$21),ISNUMBER('Inputs'!$B$24),ISNUMBER('Inputs'!$B$28)),((('Results'!B7*(1+'Inputs'!$B$24)*(0.5*((((666-43)*MAX('Inputs'!$B$33,'Inputs'!$B$29+'Inputs'!$B$31+'Inputs'!$B$32,'Inputs'!$B$30+'Inputs'!$B$31+'Inputs'!$B$32)/1000+'Inputs'!$B$21)+'Inputs'!$B$7)/SQRT((((666-43)*MAX('Inputs'!$B$33,'Inputs'!$B$29+'Inputs'!$B$31+'Inputs'!$B$32,'Inputs'!$B$30+'Inputs'!$B$31+'Inputs'!$B$32)/1000+'Inputs'!$B$21)+'Inputs'!$B$7)^2+('Inputs'!$B$6/2)^2)-(((666-43)*MAX('Inputs'!$B$33,'Inputs'!$B$29+'Inputs'!$B$31+'Inputs'!$B$32,'Inputs'!$B$30+'Inputs'!$B$31+'Inputs'!$B$32)/1000+'Inputs'!$B$21))/SQRT((((666-43)*MAX('Inputs'!$B$33,'Inputs'!$B$29+'Inputs'!$B$31+'Inputs'!$B$32,'Inputs'!$B$30+'Inputs'!$B$31+'Inputs'!$B$32)/1000+'Inputs'!$B$21))^2+('Inputs'!$B$6/2)^2)))-'Results'!C7*(1-'Inputs'!$B$24)*(0.5*((((666-43)*MAX('Inputs'!$B$33,'Inputs'!$B$29+'Inputs'!$B$31+'Inputs'!$B$32,'Inputs'!$B$30+'Inputs'!$B$31+'Inputs'!$B$32)/1000+'Inputs'!$B$21+'Inputs'!$B$7+'Inputs'!$B$10)+'Inputs'!$B$9)/SQRT((((666-43)*MAX('Inputs'!$B$33,'Inputs'!$B$29+'Inputs'!$B$31+'Inputs'!$B$32,'Inputs'!$B$30+'Inputs'!$B$31+'Inputs'!$B$32)/1000+'Inputs'!$B$21+'Inputs'!$B$7+'Inputs'!$B$10)+'Inputs'!$B$9)^2+('Inputs'!$B$8/2)^2)-(((666-43)*MAX('Inputs'!$B$33,'Inputs'!$B$29+'Inputs'!$B$31+'Inputs'!$B$32,'Inputs'!$B$30+'Inputs'!$B$31+'Inputs'!$B$32)/1000+'Inputs'!$B$21+'Inputs'!$B$7+'Inputs'!$B$10))/SQRT((((666-43)*MAX('Inputs'!$B$33,'Inputs'!$B$29+'Inputs'!$B$31+'Inputs'!$B$32,'Inputs'!$B$30+'Inputs'!$B$31+'Inputs'!$B$32)/1000+'Inputs'!$B$21+'Inputs'!$B$7+'Inputs'!$B$10))^2+('Inputs'!$B$8/2)^2))))*'Results'!$B$8)+'Inputs'!$B$28*ABS((('Results'!B7*(1+'Inputs'!$B$24)*(0.5*((((666-43)*MAX('Inputs'!$B$33,'Inputs'!$B$29+'Inputs'!$B$31+'Inputs'!$B$32,'Inputs'!$B$30+'Inputs'!$B$31+'Inputs'!$B$32)/1000+'Inputs'!$B$21)+'Inputs'!$B$7)/SQRT((((666-43)*MAX('Inputs'!$B$33,'Inputs'!$B$29+'Inputs'!$B$31+'Inputs'!$B$32,'Inputs'!$B$30+'Inputs'!$B$31+'Inputs'!$B$32)/1000+'Inputs'!$B$21)+'Inputs'!$B$7)^2+('Inputs'!$B$6/2)^2)-(((666-43)*MAX('Inputs'!$B$33,'Inputs'!$B$29+'Inputs'!$B$31+'Inputs'!$B$32,'Inputs'!$B$30+'Inputs'!$B$31+'Inputs'!$B$32)/1000+'Inputs'!$B$21))/SQRT((((666-43)*MAX('Inputs'!$B$33,'Inputs'!$B$29+'Inputs'!$B$31+'Inputs'!$B$32,'Inputs'!$B$30+'Inputs'!$B$31+'Inputs'!$B$32)/1000+'Inputs'!$B$21))^2+('Inputs'!$B$6/2)^2)))-'Results'!C7*(1-'Inputs'!$B$24)*(0.5*((((666-43)*MAX('Inputs'!$B$33,'Inputs'!$B$29+'Inputs'!$B$31+'Inputs'!$B$32,'Inputs'!$B$30+'Inputs'!$B$31+'Inputs'!$B$32)/1000+'Inputs'!$B$21+'Inputs'!$B$7+'Inputs'!$B$10)+'Inputs'!$B$9)/SQRT((((666-43)*MAX('Inputs'!$B$33,'Inputs'!$B$29+'Inputs'!$B$31+'Inputs'!$B$32,'Inputs'!$B$30+'Inputs'!$B$31+'Inputs'!$B$32)/1000+'Inputs'!$B$21+'Inputs'!$B$7+'Inputs'!$B$10)+'Inputs'!$B$9)^2+('Inputs'!$B$8/2)^2)-(((666-43)*MAX('Inputs'!$B$33,'Inputs'!$B$29+'Inputs'!$B$31+'Inputs'!$B$32,'Inputs'!$B$30+'Inputs'!$B$31+'Inputs'!$B$32)/1000+'Inputs'!$B$21+'Inputs'!$B$7+'Inputs'!$B$10))/SQRT((((666-43)*MAX('Inputs'!$B$33,'Inputs'!$B$29+'Inputs'!$B$31+'Inputs'!$B$32,'Inputs'!$B$30+'Inputs'!$B$31+'Inputs'!$B$32)/1000+'Inputs'!$B$21+'Inputs'!$B$7+'Inputs'!$B$10))^2+('Inputs'!$B$8/2)^2))))*'Results'!$B$8))),"")</x:f>
        <x:v>2.2132914556822936</x:v>
      </x:c>
      <x:c r="M666" t="n">
        <x:f>IF(AND(ISNUMBER('Results'!C7),ISNUMBER('Results'!B7),ISNUMBER('Results'!$B$8),ISNUMBER('Inputs'!$B$6),ISNUMBER('Inputs'!$B$7),ISNUMBER('Inputs'!$B$8),ISNUMBER('Inputs'!$B$9),ISNUMBER('Inputs'!$B$10),ISNUMBER('Inputs'!$B$21),ISNUMBER('Inputs'!$B$24),ISNUMBER('Inputs'!$B$28)),(('Results'!C7*(0.5*((((666-43)*MAX('Inputs'!$B$33,'Inputs'!$B$29+'Inputs'!$B$31+'Inputs'!$B$32,'Inputs'!$B$30+'Inputs'!$B$31+'Inputs'!$B$32)/1000+'Inputs'!$B$21)+'Inputs'!$B$9)/SQRT((((666-43)*MAX('Inputs'!$B$33,'Inputs'!$B$29+'Inputs'!$B$31+'Inputs'!$B$32,'Inputs'!$B$30+'Inputs'!$B$31+'Inputs'!$B$32)/1000+'Inputs'!$B$21)+'Inputs'!$B$9)^2+('Inputs'!$B$8/2)^2)-(((666-43)*MAX('Inputs'!$B$33,'Inputs'!$B$29+'Inputs'!$B$31+'Inputs'!$B$32,'Inputs'!$B$30+'Inputs'!$B$31+'Inputs'!$B$32)/1000+'Inputs'!$B$21))/SQRT((((666-43)*MAX('Inputs'!$B$33,'Inputs'!$B$29+'Inputs'!$B$31+'Inputs'!$B$32,'Inputs'!$B$30+'Inputs'!$B$31+'Inputs'!$B$32)/1000+'Inputs'!$B$21))^2+('Inputs'!$B$8/2)^2)))-'Results'!B7*(0.5*((((666-43)*MAX('Inputs'!$B$33,'Inputs'!$B$29+'Inputs'!$B$31+'Inputs'!$B$32,'Inputs'!$B$30+'Inputs'!$B$31+'Inputs'!$B$32)/1000+'Inputs'!$B$21+'Inputs'!$B$9+'Inputs'!$B$10)+'Inputs'!$B$7)/SQRT((((666-43)*MAX('Inputs'!$B$33,'Inputs'!$B$29+'Inputs'!$B$31+'Inputs'!$B$32,'Inputs'!$B$30+'Inputs'!$B$31+'Inputs'!$B$32)/1000+'Inputs'!$B$21+'Inputs'!$B$9+'Inputs'!$B$10)+'Inputs'!$B$7)^2+('Inputs'!$B$6/2)^2)-(((666-43)*MAX('Inputs'!$B$33,'Inputs'!$B$29+'Inputs'!$B$31+'Inputs'!$B$32,'Inputs'!$B$30+'Inputs'!$B$31+'Inputs'!$B$32)/1000+'Inputs'!$B$21+'Inputs'!$B$9+'Inputs'!$B$10))/SQRT((((666-43)*MAX('Inputs'!$B$33,'Inputs'!$B$29+'Inputs'!$B$31+'Inputs'!$B$32,'Inputs'!$B$30+'Inputs'!$B$31+'Inputs'!$B$32)/1000+'Inputs'!$B$21+'Inputs'!$B$9+'Inputs'!$B$10))^2+('Inputs'!$B$6/2)^2))))*'Results'!$B$8),"")</x:f>
        <x:v>1.792253215461357</x:v>
      </x:c>
      <x:c r="N666" t="n">
        <x:f>IF(AND(ISNUMBER('Results'!C7),ISNUMBER('Results'!B7),ISNUMBER('Results'!$B$8),ISNUMBER('Inputs'!$B$6),ISNUMBER('Inputs'!$B$7),ISNUMBER('Inputs'!$B$8),ISNUMBER('Inputs'!$B$9),ISNUMBER('Inputs'!$B$10),ISNUMBER('Inputs'!$B$21),ISNUMBER('Inputs'!$B$24),ISNUMBER('Inputs'!$B$28)),((('Results'!C7*(1-'Inputs'!$B$24)*(0.5*((((666-43)*MAX('Inputs'!$B$33,'Inputs'!$B$29+'Inputs'!$B$31+'Inputs'!$B$32,'Inputs'!$B$30+'Inputs'!$B$31+'Inputs'!$B$32)/1000+'Inputs'!$B$21)+'Inputs'!$B$9)/SQRT((((666-43)*MAX('Inputs'!$B$33,'Inputs'!$B$29+'Inputs'!$B$31+'Inputs'!$B$32,'Inputs'!$B$30+'Inputs'!$B$31+'Inputs'!$B$32)/1000+'Inputs'!$B$21)+'Inputs'!$B$9)^2+('Inputs'!$B$8/2)^2)-(((666-43)*MAX('Inputs'!$B$33,'Inputs'!$B$29+'Inputs'!$B$31+'Inputs'!$B$32,'Inputs'!$B$30+'Inputs'!$B$31+'Inputs'!$B$32)/1000+'Inputs'!$B$21))/SQRT((((666-43)*MAX('Inputs'!$B$33,'Inputs'!$B$29+'Inputs'!$B$31+'Inputs'!$B$32,'Inputs'!$B$30+'Inputs'!$B$31+'Inputs'!$B$32)/1000+'Inputs'!$B$21))^2+('Inputs'!$B$8/2)^2)))-'Results'!B7*(1+'Inputs'!$B$24)*(0.5*((((666-43)*MAX('Inputs'!$B$33,'Inputs'!$B$29+'Inputs'!$B$31+'Inputs'!$B$32,'Inputs'!$B$30+'Inputs'!$B$31+'Inputs'!$B$32)/1000+'Inputs'!$B$21+'Inputs'!$B$9+'Inputs'!$B$10)+'Inputs'!$B$7)/SQRT((((666-43)*MAX('Inputs'!$B$33,'Inputs'!$B$29+'Inputs'!$B$31+'Inputs'!$B$32,'Inputs'!$B$30+'Inputs'!$B$31+'Inputs'!$B$32)/1000+'Inputs'!$B$21+'Inputs'!$B$9+'Inputs'!$B$10)+'Inputs'!$B$7)^2+('Inputs'!$B$6/2)^2)-(((666-43)*MAX('Inputs'!$B$33,'Inputs'!$B$29+'Inputs'!$B$31+'Inputs'!$B$32,'Inputs'!$B$30+'Inputs'!$B$31+'Inputs'!$B$32)/1000+'Inputs'!$B$21+'Inputs'!$B$9+'Inputs'!$B$10))/SQRT((((666-43)*MAX('Inputs'!$B$33,'Inputs'!$B$29+'Inputs'!$B$31+'Inputs'!$B$32,'Inputs'!$B$30+'Inputs'!$B$31+'Inputs'!$B$32)/1000+'Inputs'!$B$21+'Inputs'!$B$9+'Inputs'!$B$10))^2+('Inputs'!$B$6/2)^2))))*'Results'!$B$8)-'Inputs'!$B$28*ABS((('Results'!C7*(1-'Inputs'!$B$24)*(0.5*((((666-43)*MAX('Inputs'!$B$33,'Inputs'!$B$29+'Inputs'!$B$31+'Inputs'!$B$32,'Inputs'!$B$30+'Inputs'!$B$31+'Inputs'!$B$32)/1000+'Inputs'!$B$21)+'Inputs'!$B$9)/SQRT((((666-43)*MAX('Inputs'!$B$33,'Inputs'!$B$29+'Inputs'!$B$31+'Inputs'!$B$32,'Inputs'!$B$30+'Inputs'!$B$31+'Inputs'!$B$32)/1000+'Inputs'!$B$21)+'Inputs'!$B$9)^2+('Inputs'!$B$8/2)^2)-(((666-43)*MAX('Inputs'!$B$33,'Inputs'!$B$29+'Inputs'!$B$31+'Inputs'!$B$32,'Inputs'!$B$30+'Inputs'!$B$31+'Inputs'!$B$32)/1000+'Inputs'!$B$21))/SQRT((((666-43)*MAX('Inputs'!$B$33,'Inputs'!$B$29+'Inputs'!$B$31+'Inputs'!$B$32,'Inputs'!$B$30+'Inputs'!$B$31+'Inputs'!$B$32)/1000+'Inputs'!$B$21))^2+('Inputs'!$B$8/2)^2)))-'Results'!B7*(1+'Inputs'!$B$24)*(0.5*((((666-43)*MAX('Inputs'!$B$33,'Inputs'!$B$29+'Inputs'!$B$31+'Inputs'!$B$32,'Inputs'!$B$30+'Inputs'!$B$31+'Inputs'!$B$32)/1000+'Inputs'!$B$21+'Inputs'!$B$9+'Inputs'!$B$10)+'Inputs'!$B$7)/SQRT((((666-43)*MAX('Inputs'!$B$33,'Inputs'!$B$29+'Inputs'!$B$31+'Inputs'!$B$32,'Inputs'!$B$30+'Inputs'!$B$31+'Inputs'!$B$32)/1000+'Inputs'!$B$21+'Inputs'!$B$9+'Inputs'!$B$10)+'Inputs'!$B$7)^2+('Inputs'!$B$6/2)^2)-(((666-43)*MAX('Inputs'!$B$33,'Inputs'!$B$29+'Inputs'!$B$31+'Inputs'!$B$32,'Inputs'!$B$30+'Inputs'!$B$31+'Inputs'!$B$32)/1000+'Inputs'!$B$21+'Inputs'!$B$9+'Inputs'!$B$10))/SQRT((((666-43)*MAX('Inputs'!$B$33,'Inputs'!$B$29+'Inputs'!$B$31+'Inputs'!$B$32,'Inputs'!$B$30+'Inputs'!$B$31+'Inputs'!$B$32)/1000+'Inputs'!$B$21+'Inputs'!$B$9+'Inputs'!$B$10))^2+('Inputs'!$B$6/2)^2))))*'Results'!$B$8))),"")</x:f>
        <x:v>1.5540012084257189</x:v>
      </x:c>
      <x:c r="O666" t="n">
        <x:f>IF(AND(ISNUMBER('Results'!C7),ISNUMBER('Results'!B7),ISNUMBER('Results'!$B$8),ISNUMBER('Inputs'!$B$6),ISNUMBER('Inputs'!$B$7),ISNUMBER('Inputs'!$B$8),ISNUMBER('Inputs'!$B$9),ISNUMBER('Inputs'!$B$10),ISNUMBER('Inputs'!$B$21),ISNUMBER('Inputs'!$B$24),ISNUMBER('Inputs'!$B$28)),((('Results'!C7*(1+'Inputs'!$B$24)*(0.5*((((666-43)*MAX('Inputs'!$B$33,'Inputs'!$B$29+'Inputs'!$B$31+'Inputs'!$B$32,'Inputs'!$B$30+'Inputs'!$B$31+'Inputs'!$B$32)/1000+'Inputs'!$B$21)+'Inputs'!$B$9)/SQRT((((666-43)*MAX('Inputs'!$B$33,'Inputs'!$B$29+'Inputs'!$B$31+'Inputs'!$B$32,'Inputs'!$B$30+'Inputs'!$B$31+'Inputs'!$B$32)/1000+'Inputs'!$B$21)+'Inputs'!$B$9)^2+('Inputs'!$B$8/2)^2)-(((666-43)*MAX('Inputs'!$B$33,'Inputs'!$B$29+'Inputs'!$B$31+'Inputs'!$B$32,'Inputs'!$B$30+'Inputs'!$B$31+'Inputs'!$B$32)/1000+'Inputs'!$B$21))/SQRT((((666-43)*MAX('Inputs'!$B$33,'Inputs'!$B$29+'Inputs'!$B$31+'Inputs'!$B$32,'Inputs'!$B$30+'Inputs'!$B$31+'Inputs'!$B$32)/1000+'Inputs'!$B$21))^2+('Inputs'!$B$8/2)^2)))-'Results'!B7*(1-'Inputs'!$B$24)*(0.5*((((666-43)*MAX('Inputs'!$B$33,'Inputs'!$B$29+'Inputs'!$B$31+'Inputs'!$B$32,'Inputs'!$B$30+'Inputs'!$B$31+'Inputs'!$B$32)/1000+'Inputs'!$B$21+'Inputs'!$B$9+'Inputs'!$B$10)+'Inputs'!$B$7)/SQRT((((666-43)*MAX('Inputs'!$B$33,'Inputs'!$B$29+'Inputs'!$B$31+'Inputs'!$B$32,'Inputs'!$B$30+'Inputs'!$B$31+'Inputs'!$B$32)/1000+'Inputs'!$B$21+'Inputs'!$B$9+'Inputs'!$B$10)+'Inputs'!$B$7)^2+('Inputs'!$B$6/2)^2)-(((666-43)*MAX('Inputs'!$B$33,'Inputs'!$B$29+'Inputs'!$B$31+'Inputs'!$B$32,'Inputs'!$B$30+'Inputs'!$B$31+'Inputs'!$B$32)/1000+'Inputs'!$B$21+'Inputs'!$B$9+'Inputs'!$B$10))/SQRT((((666-43)*MAX('Inputs'!$B$33,'Inputs'!$B$29+'Inputs'!$B$31+'Inputs'!$B$32,'Inputs'!$B$30+'Inputs'!$B$31+'Inputs'!$B$32)/1000+'Inputs'!$B$21+'Inputs'!$B$9+'Inputs'!$B$10))^2+('Inputs'!$B$6/2)^2))))*'Results'!$B$8)+'Inputs'!$B$28*ABS((('Results'!C7*(1+'Inputs'!$B$24)*(0.5*((((666-43)*MAX('Inputs'!$B$33,'Inputs'!$B$29+'Inputs'!$B$31+'Inputs'!$B$32,'Inputs'!$B$30+'Inputs'!$B$31+'Inputs'!$B$32)/1000+'Inputs'!$B$21)+'Inputs'!$B$9)/SQRT((((666-43)*MAX('Inputs'!$B$33,'Inputs'!$B$29+'Inputs'!$B$31+'Inputs'!$B$32,'Inputs'!$B$30+'Inputs'!$B$31+'Inputs'!$B$32)/1000+'Inputs'!$B$21)+'Inputs'!$B$9)^2+('Inputs'!$B$8/2)^2)-(((666-43)*MAX('Inputs'!$B$33,'Inputs'!$B$29+'Inputs'!$B$31+'Inputs'!$B$32,'Inputs'!$B$30+'Inputs'!$B$31+'Inputs'!$B$32)/1000+'Inputs'!$B$21))/SQRT((((666-43)*MAX('Inputs'!$B$33,'Inputs'!$B$29+'Inputs'!$B$31+'Inputs'!$B$32,'Inputs'!$B$30+'Inputs'!$B$31+'Inputs'!$B$32)/1000+'Inputs'!$B$21))^2+('Inputs'!$B$8/2)^2)))-'Results'!B7*(1-'Inputs'!$B$24)*(0.5*((((666-43)*MAX('Inputs'!$B$33,'Inputs'!$B$29+'Inputs'!$B$31+'Inputs'!$B$32,'Inputs'!$B$30+'Inputs'!$B$31+'Inputs'!$B$32)/1000+'Inputs'!$B$21+'Inputs'!$B$9+'Inputs'!$B$10)+'Inputs'!$B$7)/SQRT((((666-43)*MAX('Inputs'!$B$33,'Inputs'!$B$29+'Inputs'!$B$31+'Inputs'!$B$32,'Inputs'!$B$30+'Inputs'!$B$31+'Inputs'!$B$32)/1000+'Inputs'!$B$21+'Inputs'!$B$9+'Inputs'!$B$10)+'Inputs'!$B$7)^2+('Inputs'!$B$6/2)^2)-(((666-43)*MAX('Inputs'!$B$33,'Inputs'!$B$29+'Inputs'!$B$31+'Inputs'!$B$32,'Inputs'!$B$30+'Inputs'!$B$31+'Inputs'!$B$32)/1000+'Inputs'!$B$21+'Inputs'!$B$9+'Inputs'!$B$10))/SQRT((((666-43)*MAX('Inputs'!$B$33,'Inputs'!$B$29+'Inputs'!$B$31+'Inputs'!$B$32,'Inputs'!$B$30+'Inputs'!$B$31+'Inputs'!$B$32)/1000+'Inputs'!$B$21+'Inputs'!$B$9+'Inputs'!$B$10))^2+('Inputs'!$B$6/2)^2))))*'Results'!$B$8))),"")</x:f>
        <x:v>2.0461514694720027</x:v>
      </x:c>
      <x:c r="P666" t="n">
        <x:f>IF(AND(MAX(J666,J665)&gt;0,J666&gt;J665+0.00000001),1,0)</x:f>
        <x:v>0</x:v>
      </x:c>
      <x:c r="Q666" t="n">
        <x:f>IF(AND(MAX(K666,K665)&gt;0,K666&gt;K665+0.00000001),1,0)</x:f>
        <x:v>0</x:v>
      </x:c>
      <x:c r="R666" t="n">
        <x:f>IF(AND(MAX(L666,L665)&gt;0,L666&gt;L665+0.00000001),1,0)</x:f>
        <x:v>0</x:v>
      </x:c>
      <x:c r="S666" t="n">
        <x:f>IF(AND(MAX(M666,M665)&gt;0,M666&gt;M665+0.00000001),1,0)</x:f>
        <x:v>0</x:v>
      </x:c>
      <x:c r="T666" t="n">
        <x:f>IF(AND(MAX(N666,N665)&gt;0,N666&gt;N665+0.00000001),1,0)</x:f>
        <x:v>0</x:v>
      </x:c>
      <x:c r="U666" t="n">
        <x:f>IF(AND(MAX(O666,O665)&gt;0,O666&gt;O665+0.00000001),1,0)</x:f>
        <x:v>0</x:v>
      </x:c>
    </x:row>
    <x:row r="667">
      <x:c r="J667" t="n">
        <x:f>IF(AND(ISNUMBER('Results'!B7),ISNUMBER('Results'!C7),ISNUMBER('Results'!$B$8),ISNUMBER('Inputs'!$B$6),ISNUMBER('Inputs'!$B$7),ISNUMBER('Inputs'!$B$8),ISNUMBER('Inputs'!$B$9),ISNUMBER('Inputs'!$B$10),ISNUMBER('Inputs'!$B$21),ISNUMBER('Inputs'!$B$24),ISNUMBER('Inputs'!$B$28)),(('Results'!B7*(0.5*((((667-43)*MAX('Inputs'!$B$33,'Inputs'!$B$29+'Inputs'!$B$31+'Inputs'!$B$32,'Inputs'!$B$30+'Inputs'!$B$31+'Inputs'!$B$32)/1000+'Inputs'!$B$21)+'Inputs'!$B$7)/SQRT((((667-43)*MAX('Inputs'!$B$33,'Inputs'!$B$29+'Inputs'!$B$31+'Inputs'!$B$32,'Inputs'!$B$30+'Inputs'!$B$31+'Inputs'!$B$32)/1000+'Inputs'!$B$21)+'Inputs'!$B$7)^2+('Inputs'!$B$6/2)^2)-(((667-43)*MAX('Inputs'!$B$33,'Inputs'!$B$29+'Inputs'!$B$31+'Inputs'!$B$32,'Inputs'!$B$30+'Inputs'!$B$31+'Inputs'!$B$32)/1000+'Inputs'!$B$21))/SQRT((((667-43)*MAX('Inputs'!$B$33,'Inputs'!$B$29+'Inputs'!$B$31+'Inputs'!$B$32,'Inputs'!$B$30+'Inputs'!$B$31+'Inputs'!$B$32)/1000+'Inputs'!$B$21))^2+('Inputs'!$B$6/2)^2)))-'Results'!C7*(0.5*((((667-43)*MAX('Inputs'!$B$33,'Inputs'!$B$29+'Inputs'!$B$31+'Inputs'!$B$32,'Inputs'!$B$30+'Inputs'!$B$31+'Inputs'!$B$32)/1000+'Inputs'!$B$21+'Inputs'!$B$7+'Inputs'!$B$10)+'Inputs'!$B$9)/SQRT((((667-43)*MAX('Inputs'!$B$33,'Inputs'!$B$29+'Inputs'!$B$31+'Inputs'!$B$32,'Inputs'!$B$30+'Inputs'!$B$31+'Inputs'!$B$32)/1000+'Inputs'!$B$21+'Inputs'!$B$7+'Inputs'!$B$10)+'Inputs'!$B$9)^2+('Inputs'!$B$8/2)^2)-(((667-43)*MAX('Inputs'!$B$33,'Inputs'!$B$29+'Inputs'!$B$31+'Inputs'!$B$32,'Inputs'!$B$30+'Inputs'!$B$31+'Inputs'!$B$32)/1000+'Inputs'!$B$21+'Inputs'!$B$7+'Inputs'!$B$10))/SQRT((((667-43)*MAX('Inputs'!$B$33,'Inputs'!$B$29+'Inputs'!$B$31+'Inputs'!$B$32,'Inputs'!$B$30+'Inputs'!$B$31+'Inputs'!$B$32)/1000+'Inputs'!$B$21+'Inputs'!$B$7+'Inputs'!$B$10))^2+('Inputs'!$B$8/2)^2))))*'Results'!$B$8),"")</x:f>
        <x:v>1.9397252006168395</x:v>
      </x:c>
      <x:c r="K667" t="n">
        <x:f>IF(AND(ISNUMBER('Results'!B7),ISNUMBER('Results'!C7),ISNUMBER('Results'!$B$8),ISNUMBER('Inputs'!$B$6),ISNUMBER('Inputs'!$B$7),ISNUMBER('Inputs'!$B$8),ISNUMBER('Inputs'!$B$9),ISNUMBER('Inputs'!$B$10),ISNUMBER('Inputs'!$B$21),ISNUMBER('Inputs'!$B$24),ISNUMBER('Inputs'!$B$28)),((('Results'!B7*(1-'Inputs'!$B$24)*(0.5*((((667-43)*MAX('Inputs'!$B$33,'Inputs'!$B$29+'Inputs'!$B$31+'Inputs'!$B$32,'Inputs'!$B$30+'Inputs'!$B$31+'Inputs'!$B$32)/1000+'Inputs'!$B$21)+'Inputs'!$B$7)/SQRT((((667-43)*MAX('Inputs'!$B$33,'Inputs'!$B$29+'Inputs'!$B$31+'Inputs'!$B$32,'Inputs'!$B$30+'Inputs'!$B$31+'Inputs'!$B$32)/1000+'Inputs'!$B$21)+'Inputs'!$B$7)^2+('Inputs'!$B$6/2)^2)-(((667-43)*MAX('Inputs'!$B$33,'Inputs'!$B$29+'Inputs'!$B$31+'Inputs'!$B$32,'Inputs'!$B$30+'Inputs'!$B$31+'Inputs'!$B$32)/1000+'Inputs'!$B$21))/SQRT((((667-43)*MAX('Inputs'!$B$33,'Inputs'!$B$29+'Inputs'!$B$31+'Inputs'!$B$32,'Inputs'!$B$30+'Inputs'!$B$31+'Inputs'!$B$32)/1000+'Inputs'!$B$21))^2+('Inputs'!$B$6/2)^2)))-'Results'!C7*(1+'Inputs'!$B$24)*(0.5*((((667-43)*MAX('Inputs'!$B$33,'Inputs'!$B$29+'Inputs'!$B$31+'Inputs'!$B$32,'Inputs'!$B$30+'Inputs'!$B$31+'Inputs'!$B$32)/1000+'Inputs'!$B$21+'Inputs'!$B$7+'Inputs'!$B$10)+'Inputs'!$B$9)/SQRT((((667-43)*MAX('Inputs'!$B$33,'Inputs'!$B$29+'Inputs'!$B$31+'Inputs'!$B$32,'Inputs'!$B$30+'Inputs'!$B$31+'Inputs'!$B$32)/1000+'Inputs'!$B$21+'Inputs'!$B$7+'Inputs'!$B$10)+'Inputs'!$B$9)^2+('Inputs'!$B$8/2)^2)-(((667-43)*MAX('Inputs'!$B$33,'Inputs'!$B$29+'Inputs'!$B$31+'Inputs'!$B$32,'Inputs'!$B$30+'Inputs'!$B$31+'Inputs'!$B$32)/1000+'Inputs'!$B$21+'Inputs'!$B$7+'Inputs'!$B$10))/SQRT((((667-43)*MAX('Inputs'!$B$33,'Inputs'!$B$29+'Inputs'!$B$31+'Inputs'!$B$32,'Inputs'!$B$30+'Inputs'!$B$31+'Inputs'!$B$32)/1000+'Inputs'!$B$21+'Inputs'!$B$7+'Inputs'!$B$10))^2+('Inputs'!$B$8/2)^2))))*'Results'!$B$8)-'Inputs'!$B$28*ABS((('Results'!B7*(1-'Inputs'!$B$24)*(0.5*((((667-43)*MAX('Inputs'!$B$33,'Inputs'!$B$29+'Inputs'!$B$31+'Inputs'!$B$32,'Inputs'!$B$30+'Inputs'!$B$31+'Inputs'!$B$32)/1000+'Inputs'!$B$21)+'Inputs'!$B$7)/SQRT((((667-43)*MAX('Inputs'!$B$33,'Inputs'!$B$29+'Inputs'!$B$31+'Inputs'!$B$32,'Inputs'!$B$30+'Inputs'!$B$31+'Inputs'!$B$32)/1000+'Inputs'!$B$21)+'Inputs'!$B$7)^2+('Inputs'!$B$6/2)^2)-(((667-43)*MAX('Inputs'!$B$33,'Inputs'!$B$29+'Inputs'!$B$31+'Inputs'!$B$32,'Inputs'!$B$30+'Inputs'!$B$31+'Inputs'!$B$32)/1000+'Inputs'!$B$21))/SQRT((((667-43)*MAX('Inputs'!$B$33,'Inputs'!$B$29+'Inputs'!$B$31+'Inputs'!$B$32,'Inputs'!$B$30+'Inputs'!$B$31+'Inputs'!$B$32)/1000+'Inputs'!$B$21))^2+('Inputs'!$B$6/2)^2)))-'Results'!C7*(1+'Inputs'!$B$24)*(0.5*((((667-43)*MAX('Inputs'!$B$33,'Inputs'!$B$29+'Inputs'!$B$31+'Inputs'!$B$32,'Inputs'!$B$30+'Inputs'!$B$31+'Inputs'!$B$32)/1000+'Inputs'!$B$21+'Inputs'!$B$7+'Inputs'!$B$10)+'Inputs'!$B$9)/SQRT((((667-43)*MAX('Inputs'!$B$33,'Inputs'!$B$29+'Inputs'!$B$31+'Inputs'!$B$32,'Inputs'!$B$30+'Inputs'!$B$31+'Inputs'!$B$32)/1000+'Inputs'!$B$21+'Inputs'!$B$7+'Inputs'!$B$10)+'Inputs'!$B$9)^2+('Inputs'!$B$8/2)^2)-(((667-43)*MAX('Inputs'!$B$33,'Inputs'!$B$29+'Inputs'!$B$31+'Inputs'!$B$32,'Inputs'!$B$30+'Inputs'!$B$31+'Inputs'!$B$32)/1000+'Inputs'!$B$21+'Inputs'!$B$7+'Inputs'!$B$10))/SQRT((((667-43)*MAX('Inputs'!$B$33,'Inputs'!$B$29+'Inputs'!$B$31+'Inputs'!$B$32,'Inputs'!$B$30+'Inputs'!$B$31+'Inputs'!$B$32)/1000+'Inputs'!$B$21+'Inputs'!$B$7+'Inputs'!$B$10))^2+('Inputs'!$B$8/2)^2))))*'Results'!$B$8))),"")</x:f>
        <x:v>1.6940284834879433</x:v>
      </x:c>
      <x:c r="L667" t="n">
        <x:f>IF(AND(ISNUMBER('Results'!B7),ISNUMBER('Results'!C7),ISNUMBER('Results'!$B$8),ISNUMBER('Inputs'!$B$6),ISNUMBER('Inputs'!$B$7),ISNUMBER('Inputs'!$B$8),ISNUMBER('Inputs'!$B$9),ISNUMBER('Inputs'!$B$10),ISNUMBER('Inputs'!$B$21),ISNUMBER('Inputs'!$B$24),ISNUMBER('Inputs'!$B$28)),((('Results'!B7*(1+'Inputs'!$B$24)*(0.5*((((667-43)*MAX('Inputs'!$B$33,'Inputs'!$B$29+'Inputs'!$B$31+'Inputs'!$B$32,'Inputs'!$B$30+'Inputs'!$B$31+'Inputs'!$B$32)/1000+'Inputs'!$B$21)+'Inputs'!$B$7)/SQRT((((667-43)*MAX('Inputs'!$B$33,'Inputs'!$B$29+'Inputs'!$B$31+'Inputs'!$B$32,'Inputs'!$B$30+'Inputs'!$B$31+'Inputs'!$B$32)/1000+'Inputs'!$B$21)+'Inputs'!$B$7)^2+('Inputs'!$B$6/2)^2)-(((667-43)*MAX('Inputs'!$B$33,'Inputs'!$B$29+'Inputs'!$B$31+'Inputs'!$B$32,'Inputs'!$B$30+'Inputs'!$B$31+'Inputs'!$B$32)/1000+'Inputs'!$B$21))/SQRT((((667-43)*MAX('Inputs'!$B$33,'Inputs'!$B$29+'Inputs'!$B$31+'Inputs'!$B$32,'Inputs'!$B$30+'Inputs'!$B$31+'Inputs'!$B$32)/1000+'Inputs'!$B$21))^2+('Inputs'!$B$6/2)^2)))-'Results'!C7*(1-'Inputs'!$B$24)*(0.5*((((667-43)*MAX('Inputs'!$B$33,'Inputs'!$B$29+'Inputs'!$B$31+'Inputs'!$B$32,'Inputs'!$B$30+'Inputs'!$B$31+'Inputs'!$B$32)/1000+'Inputs'!$B$21+'Inputs'!$B$7+'Inputs'!$B$10)+'Inputs'!$B$9)/SQRT((((667-43)*MAX('Inputs'!$B$33,'Inputs'!$B$29+'Inputs'!$B$31+'Inputs'!$B$32,'Inputs'!$B$30+'Inputs'!$B$31+'Inputs'!$B$32)/1000+'Inputs'!$B$21+'Inputs'!$B$7+'Inputs'!$B$10)+'Inputs'!$B$9)^2+('Inputs'!$B$8/2)^2)-(((667-43)*MAX('Inputs'!$B$33,'Inputs'!$B$29+'Inputs'!$B$31+'Inputs'!$B$32,'Inputs'!$B$30+'Inputs'!$B$31+'Inputs'!$B$32)/1000+'Inputs'!$B$21+'Inputs'!$B$7+'Inputs'!$B$10))/SQRT((((667-43)*MAX('Inputs'!$B$33,'Inputs'!$B$29+'Inputs'!$B$31+'Inputs'!$B$32,'Inputs'!$B$30+'Inputs'!$B$31+'Inputs'!$B$32)/1000+'Inputs'!$B$21+'Inputs'!$B$7+'Inputs'!$B$10))^2+('Inputs'!$B$8/2)^2))))*'Results'!$B$8)+'Inputs'!$B$28*ABS((('Results'!B7*(1+'Inputs'!$B$24)*(0.5*((((667-43)*MAX('Inputs'!$B$33,'Inputs'!$B$29+'Inputs'!$B$31+'Inputs'!$B$32,'Inputs'!$B$30+'Inputs'!$B$31+'Inputs'!$B$32)/1000+'Inputs'!$B$21)+'Inputs'!$B$7)/SQRT((((667-43)*MAX('Inputs'!$B$33,'Inputs'!$B$29+'Inputs'!$B$31+'Inputs'!$B$32,'Inputs'!$B$30+'Inputs'!$B$31+'Inputs'!$B$32)/1000+'Inputs'!$B$21)+'Inputs'!$B$7)^2+('Inputs'!$B$6/2)^2)-(((667-43)*MAX('Inputs'!$B$33,'Inputs'!$B$29+'Inputs'!$B$31+'Inputs'!$B$32,'Inputs'!$B$30+'Inputs'!$B$31+'Inputs'!$B$32)/1000+'Inputs'!$B$21))/SQRT((((667-43)*MAX('Inputs'!$B$33,'Inputs'!$B$29+'Inputs'!$B$31+'Inputs'!$B$32,'Inputs'!$B$30+'Inputs'!$B$31+'Inputs'!$B$32)/1000+'Inputs'!$B$21))^2+('Inputs'!$B$6/2)^2)))-'Results'!C7*(1-'Inputs'!$B$24)*(0.5*((((667-43)*MAX('Inputs'!$B$33,'Inputs'!$B$29+'Inputs'!$B$31+'Inputs'!$B$32,'Inputs'!$B$30+'Inputs'!$B$31+'Inputs'!$B$32)/1000+'Inputs'!$B$21+'Inputs'!$B$7+'Inputs'!$B$10)+'Inputs'!$B$9)/SQRT((((667-43)*MAX('Inputs'!$B$33,'Inputs'!$B$29+'Inputs'!$B$31+'Inputs'!$B$32,'Inputs'!$B$30+'Inputs'!$B$31+'Inputs'!$B$32)/1000+'Inputs'!$B$21+'Inputs'!$B$7+'Inputs'!$B$10)+'Inputs'!$B$9)^2+('Inputs'!$B$8/2)^2)-(((667-43)*MAX('Inputs'!$B$33,'Inputs'!$B$29+'Inputs'!$B$31+'Inputs'!$B$32,'Inputs'!$B$30+'Inputs'!$B$31+'Inputs'!$B$32)/1000+'Inputs'!$B$21+'Inputs'!$B$7+'Inputs'!$B$10))/SQRT((((667-43)*MAX('Inputs'!$B$33,'Inputs'!$B$29+'Inputs'!$B$31+'Inputs'!$B$32,'Inputs'!$B$30+'Inputs'!$B$31+'Inputs'!$B$32)/1000+'Inputs'!$B$21+'Inputs'!$B$7+'Inputs'!$B$10))^2+('Inputs'!$B$8/2)^2))))*'Results'!$B$8))),"")</x:f>
        <x:v>2.201075650071846</x:v>
      </x:c>
      <x:c r="M667" t="n">
        <x:f>IF(AND(ISNUMBER('Results'!C7),ISNUMBER('Results'!B7),ISNUMBER('Results'!$B$8),ISNUMBER('Inputs'!$B$6),ISNUMBER('Inputs'!$B$7),ISNUMBER('Inputs'!$B$8),ISNUMBER('Inputs'!$B$9),ISNUMBER('Inputs'!$B$10),ISNUMBER('Inputs'!$B$21),ISNUMBER('Inputs'!$B$24),ISNUMBER('Inputs'!$B$28)),(('Results'!C7*(0.5*((((667-43)*MAX('Inputs'!$B$33,'Inputs'!$B$29+'Inputs'!$B$31+'Inputs'!$B$32,'Inputs'!$B$30+'Inputs'!$B$31+'Inputs'!$B$32)/1000+'Inputs'!$B$21)+'Inputs'!$B$9)/SQRT((((667-43)*MAX('Inputs'!$B$33,'Inputs'!$B$29+'Inputs'!$B$31+'Inputs'!$B$32,'Inputs'!$B$30+'Inputs'!$B$31+'Inputs'!$B$32)/1000+'Inputs'!$B$21)+'Inputs'!$B$9)^2+('Inputs'!$B$8/2)^2)-(((667-43)*MAX('Inputs'!$B$33,'Inputs'!$B$29+'Inputs'!$B$31+'Inputs'!$B$32,'Inputs'!$B$30+'Inputs'!$B$31+'Inputs'!$B$32)/1000+'Inputs'!$B$21))/SQRT((((667-43)*MAX('Inputs'!$B$33,'Inputs'!$B$29+'Inputs'!$B$31+'Inputs'!$B$32,'Inputs'!$B$30+'Inputs'!$B$31+'Inputs'!$B$32)/1000+'Inputs'!$B$21))^2+('Inputs'!$B$8/2)^2)))-'Results'!B7*(0.5*((((667-43)*MAX('Inputs'!$B$33,'Inputs'!$B$29+'Inputs'!$B$31+'Inputs'!$B$32,'Inputs'!$B$30+'Inputs'!$B$31+'Inputs'!$B$32)/1000+'Inputs'!$B$21+'Inputs'!$B$9+'Inputs'!$B$10)+'Inputs'!$B$7)/SQRT((((667-43)*MAX('Inputs'!$B$33,'Inputs'!$B$29+'Inputs'!$B$31+'Inputs'!$B$32,'Inputs'!$B$30+'Inputs'!$B$31+'Inputs'!$B$32)/1000+'Inputs'!$B$21+'Inputs'!$B$9+'Inputs'!$B$10)+'Inputs'!$B$7)^2+('Inputs'!$B$6/2)^2)-(((667-43)*MAX('Inputs'!$B$33,'Inputs'!$B$29+'Inputs'!$B$31+'Inputs'!$B$32,'Inputs'!$B$30+'Inputs'!$B$31+'Inputs'!$B$32)/1000+'Inputs'!$B$21+'Inputs'!$B$9+'Inputs'!$B$10))/SQRT((((667-43)*MAX('Inputs'!$B$33,'Inputs'!$B$29+'Inputs'!$B$31+'Inputs'!$B$32,'Inputs'!$B$30+'Inputs'!$B$31+'Inputs'!$B$32)/1000+'Inputs'!$B$21+'Inputs'!$B$9+'Inputs'!$B$10))^2+('Inputs'!$B$6/2)^2))))*'Results'!$B$8),"")</x:f>
        <x:v>1.7819864200164568</x:v>
      </x:c>
      <x:c r="N667" t="n">
        <x:f>IF(AND(ISNUMBER('Results'!C7),ISNUMBER('Results'!B7),ISNUMBER('Results'!$B$8),ISNUMBER('Inputs'!$B$6),ISNUMBER('Inputs'!$B$7),ISNUMBER('Inputs'!$B$8),ISNUMBER('Inputs'!$B$9),ISNUMBER('Inputs'!$B$10),ISNUMBER('Inputs'!$B$21),ISNUMBER('Inputs'!$B$24),ISNUMBER('Inputs'!$B$28)),((('Results'!C7*(1-'Inputs'!$B$24)*(0.5*((((667-43)*MAX('Inputs'!$B$33,'Inputs'!$B$29+'Inputs'!$B$31+'Inputs'!$B$32,'Inputs'!$B$30+'Inputs'!$B$31+'Inputs'!$B$32)/1000+'Inputs'!$B$21)+'Inputs'!$B$9)/SQRT((((667-43)*MAX('Inputs'!$B$33,'Inputs'!$B$29+'Inputs'!$B$31+'Inputs'!$B$32,'Inputs'!$B$30+'Inputs'!$B$31+'Inputs'!$B$32)/1000+'Inputs'!$B$21)+'Inputs'!$B$9)^2+('Inputs'!$B$8/2)^2)-(((667-43)*MAX('Inputs'!$B$33,'Inputs'!$B$29+'Inputs'!$B$31+'Inputs'!$B$32,'Inputs'!$B$30+'Inputs'!$B$31+'Inputs'!$B$32)/1000+'Inputs'!$B$21))/SQRT((((667-43)*MAX('Inputs'!$B$33,'Inputs'!$B$29+'Inputs'!$B$31+'Inputs'!$B$32,'Inputs'!$B$30+'Inputs'!$B$31+'Inputs'!$B$32)/1000+'Inputs'!$B$21))^2+('Inputs'!$B$8/2)^2)))-'Results'!B7*(1+'Inputs'!$B$24)*(0.5*((((667-43)*MAX('Inputs'!$B$33,'Inputs'!$B$29+'Inputs'!$B$31+'Inputs'!$B$32,'Inputs'!$B$30+'Inputs'!$B$31+'Inputs'!$B$32)/1000+'Inputs'!$B$21+'Inputs'!$B$9+'Inputs'!$B$10)+'Inputs'!$B$7)/SQRT((((667-43)*MAX('Inputs'!$B$33,'Inputs'!$B$29+'Inputs'!$B$31+'Inputs'!$B$32,'Inputs'!$B$30+'Inputs'!$B$31+'Inputs'!$B$32)/1000+'Inputs'!$B$21+'Inputs'!$B$9+'Inputs'!$B$10)+'Inputs'!$B$7)^2+('Inputs'!$B$6/2)^2)-(((667-43)*MAX('Inputs'!$B$33,'Inputs'!$B$29+'Inputs'!$B$31+'Inputs'!$B$32,'Inputs'!$B$30+'Inputs'!$B$31+'Inputs'!$B$32)/1000+'Inputs'!$B$21+'Inputs'!$B$9+'Inputs'!$B$10))/SQRT((((667-43)*MAX('Inputs'!$B$33,'Inputs'!$B$29+'Inputs'!$B$31+'Inputs'!$B$32,'Inputs'!$B$30+'Inputs'!$B$31+'Inputs'!$B$32)/1000+'Inputs'!$B$21+'Inputs'!$B$9+'Inputs'!$B$10))^2+('Inputs'!$B$6/2)^2))))*'Results'!$B$8)-'Inputs'!$B$28*ABS((('Results'!C7*(1-'Inputs'!$B$24)*(0.5*((((667-43)*MAX('Inputs'!$B$33,'Inputs'!$B$29+'Inputs'!$B$31+'Inputs'!$B$32,'Inputs'!$B$30+'Inputs'!$B$31+'Inputs'!$B$32)/1000+'Inputs'!$B$21)+'Inputs'!$B$9)/SQRT((((667-43)*MAX('Inputs'!$B$33,'Inputs'!$B$29+'Inputs'!$B$31+'Inputs'!$B$32,'Inputs'!$B$30+'Inputs'!$B$31+'Inputs'!$B$32)/1000+'Inputs'!$B$21)+'Inputs'!$B$9)^2+('Inputs'!$B$8/2)^2)-(((667-43)*MAX('Inputs'!$B$33,'Inputs'!$B$29+'Inputs'!$B$31+'Inputs'!$B$32,'Inputs'!$B$30+'Inputs'!$B$31+'Inputs'!$B$32)/1000+'Inputs'!$B$21))/SQRT((((667-43)*MAX('Inputs'!$B$33,'Inputs'!$B$29+'Inputs'!$B$31+'Inputs'!$B$32,'Inputs'!$B$30+'Inputs'!$B$31+'Inputs'!$B$32)/1000+'Inputs'!$B$21))^2+('Inputs'!$B$8/2)^2)))-'Results'!B7*(1+'Inputs'!$B$24)*(0.5*((((667-43)*MAX('Inputs'!$B$33,'Inputs'!$B$29+'Inputs'!$B$31+'Inputs'!$B$32,'Inputs'!$B$30+'Inputs'!$B$31+'Inputs'!$B$32)/1000+'Inputs'!$B$21+'Inputs'!$B$9+'Inputs'!$B$10)+'Inputs'!$B$7)/SQRT((((667-43)*MAX('Inputs'!$B$33,'Inputs'!$B$29+'Inputs'!$B$31+'Inputs'!$B$32,'Inputs'!$B$30+'Inputs'!$B$31+'Inputs'!$B$32)/1000+'Inputs'!$B$21+'Inputs'!$B$9+'Inputs'!$B$10)+'Inputs'!$B$7)^2+('Inputs'!$B$6/2)^2)-(((667-43)*MAX('Inputs'!$B$33,'Inputs'!$B$29+'Inputs'!$B$31+'Inputs'!$B$32,'Inputs'!$B$30+'Inputs'!$B$31+'Inputs'!$B$32)/1000+'Inputs'!$B$21+'Inputs'!$B$9+'Inputs'!$B$10))/SQRT((((667-43)*MAX('Inputs'!$B$33,'Inputs'!$B$29+'Inputs'!$B$31+'Inputs'!$B$32,'Inputs'!$B$30+'Inputs'!$B$31+'Inputs'!$B$32)/1000+'Inputs'!$B$21+'Inputs'!$B$9+'Inputs'!$B$10))^2+('Inputs'!$B$6/2)^2))))*'Results'!$B$8))),"")</x:f>
        <x:v>1.5448909098043682</x:v>
      </x:c>
      <x:c r="O667" t="n">
        <x:f>IF(AND(ISNUMBER('Results'!C7),ISNUMBER('Results'!B7),ISNUMBER('Results'!$B$8),ISNUMBER('Inputs'!$B$6),ISNUMBER('Inputs'!$B$7),ISNUMBER('Inputs'!$B$8),ISNUMBER('Inputs'!$B$9),ISNUMBER('Inputs'!$B$10),ISNUMBER('Inputs'!$B$21),ISNUMBER('Inputs'!$B$24),ISNUMBER('Inputs'!$B$28)),((('Results'!C7*(1+'Inputs'!$B$24)*(0.5*((((667-43)*MAX('Inputs'!$B$33,'Inputs'!$B$29+'Inputs'!$B$31+'Inputs'!$B$32,'Inputs'!$B$30+'Inputs'!$B$31+'Inputs'!$B$32)/1000+'Inputs'!$B$21)+'Inputs'!$B$9)/SQRT((((667-43)*MAX('Inputs'!$B$33,'Inputs'!$B$29+'Inputs'!$B$31+'Inputs'!$B$32,'Inputs'!$B$30+'Inputs'!$B$31+'Inputs'!$B$32)/1000+'Inputs'!$B$21)+'Inputs'!$B$9)^2+('Inputs'!$B$8/2)^2)-(((667-43)*MAX('Inputs'!$B$33,'Inputs'!$B$29+'Inputs'!$B$31+'Inputs'!$B$32,'Inputs'!$B$30+'Inputs'!$B$31+'Inputs'!$B$32)/1000+'Inputs'!$B$21))/SQRT((((667-43)*MAX('Inputs'!$B$33,'Inputs'!$B$29+'Inputs'!$B$31+'Inputs'!$B$32,'Inputs'!$B$30+'Inputs'!$B$31+'Inputs'!$B$32)/1000+'Inputs'!$B$21))^2+('Inputs'!$B$8/2)^2)))-'Results'!B7*(1-'Inputs'!$B$24)*(0.5*((((667-43)*MAX('Inputs'!$B$33,'Inputs'!$B$29+'Inputs'!$B$31+'Inputs'!$B$32,'Inputs'!$B$30+'Inputs'!$B$31+'Inputs'!$B$32)/1000+'Inputs'!$B$21+'Inputs'!$B$9+'Inputs'!$B$10)+'Inputs'!$B$7)/SQRT((((667-43)*MAX('Inputs'!$B$33,'Inputs'!$B$29+'Inputs'!$B$31+'Inputs'!$B$32,'Inputs'!$B$30+'Inputs'!$B$31+'Inputs'!$B$32)/1000+'Inputs'!$B$21+'Inputs'!$B$9+'Inputs'!$B$10)+'Inputs'!$B$7)^2+('Inputs'!$B$6/2)^2)-(((667-43)*MAX('Inputs'!$B$33,'Inputs'!$B$29+'Inputs'!$B$31+'Inputs'!$B$32,'Inputs'!$B$30+'Inputs'!$B$31+'Inputs'!$B$32)/1000+'Inputs'!$B$21+'Inputs'!$B$9+'Inputs'!$B$10))/SQRT((((667-43)*MAX('Inputs'!$B$33,'Inputs'!$B$29+'Inputs'!$B$31+'Inputs'!$B$32,'Inputs'!$B$30+'Inputs'!$B$31+'Inputs'!$B$32)/1000+'Inputs'!$B$21+'Inputs'!$B$9+'Inputs'!$B$10))^2+('Inputs'!$B$6/2)^2))))*'Results'!$B$8)+'Inputs'!$B$28*ABS((('Results'!C7*(1+'Inputs'!$B$24)*(0.5*((((667-43)*MAX('Inputs'!$B$33,'Inputs'!$B$29+'Inputs'!$B$31+'Inputs'!$B$32,'Inputs'!$B$30+'Inputs'!$B$31+'Inputs'!$B$32)/1000+'Inputs'!$B$21)+'Inputs'!$B$9)/SQRT((((667-43)*MAX('Inputs'!$B$33,'Inputs'!$B$29+'Inputs'!$B$31+'Inputs'!$B$32,'Inputs'!$B$30+'Inputs'!$B$31+'Inputs'!$B$32)/1000+'Inputs'!$B$21)+'Inputs'!$B$9)^2+('Inputs'!$B$8/2)^2)-(((667-43)*MAX('Inputs'!$B$33,'Inputs'!$B$29+'Inputs'!$B$31+'Inputs'!$B$32,'Inputs'!$B$30+'Inputs'!$B$31+'Inputs'!$B$32)/1000+'Inputs'!$B$21))/SQRT((((667-43)*MAX('Inputs'!$B$33,'Inputs'!$B$29+'Inputs'!$B$31+'Inputs'!$B$32,'Inputs'!$B$30+'Inputs'!$B$31+'Inputs'!$B$32)/1000+'Inputs'!$B$21))^2+('Inputs'!$B$8/2)^2)))-'Results'!B7*(1-'Inputs'!$B$24)*(0.5*((((667-43)*MAX('Inputs'!$B$33,'Inputs'!$B$29+'Inputs'!$B$31+'Inputs'!$B$32,'Inputs'!$B$30+'Inputs'!$B$31+'Inputs'!$B$32)/1000+'Inputs'!$B$21+'Inputs'!$B$9+'Inputs'!$B$10)+'Inputs'!$B$7)/SQRT((((667-43)*MAX('Inputs'!$B$33,'Inputs'!$B$29+'Inputs'!$B$31+'Inputs'!$B$32,'Inputs'!$B$30+'Inputs'!$B$31+'Inputs'!$B$32)/1000+'Inputs'!$B$21+'Inputs'!$B$9+'Inputs'!$B$10)+'Inputs'!$B$7)^2+('Inputs'!$B$6/2)^2)-(((667-43)*MAX('Inputs'!$B$33,'Inputs'!$B$29+'Inputs'!$B$31+'Inputs'!$B$32,'Inputs'!$B$30+'Inputs'!$B$31+'Inputs'!$B$32)/1000+'Inputs'!$B$21+'Inputs'!$B$9+'Inputs'!$B$10))/SQRT((((667-43)*MAX('Inputs'!$B$33,'Inputs'!$B$29+'Inputs'!$B$31+'Inputs'!$B$32,'Inputs'!$B$30+'Inputs'!$B$31+'Inputs'!$B$32)/1000+'Inputs'!$B$21+'Inputs'!$B$9+'Inputs'!$B$10))^2+('Inputs'!$B$6/2)^2))))*'Results'!$B$8))),"")</x:f>
        <x:v>2.03466047646131</x:v>
      </x:c>
      <x:c r="P667" t="n">
        <x:f>IF(AND(MAX(J667,J666)&gt;0,J667&gt;J666+0.00000001),1,0)</x:f>
        <x:v>0</x:v>
      </x:c>
      <x:c r="Q667" t="n">
        <x:f>IF(AND(MAX(K667,K666)&gt;0,K667&gt;K666+0.00000001),1,0)</x:f>
        <x:v>0</x:v>
      </x:c>
      <x:c r="R667" t="n">
        <x:f>IF(AND(MAX(L667,L666)&gt;0,L667&gt;L666+0.00000001),1,0)</x:f>
        <x:v>0</x:v>
      </x:c>
      <x:c r="S667" t="n">
        <x:f>IF(AND(MAX(M667,M666)&gt;0,M667&gt;M666+0.00000001),1,0)</x:f>
        <x:v>0</x:v>
      </x:c>
      <x:c r="T667" t="n">
        <x:f>IF(AND(MAX(N667,N666)&gt;0,N667&gt;N666+0.00000001),1,0)</x:f>
        <x:v>0</x:v>
      </x:c>
      <x:c r="U667" t="n">
        <x:f>IF(AND(MAX(O667,O666)&gt;0,O667&gt;O666+0.00000001),1,0)</x:f>
        <x:v>0</x:v>
      </x:c>
    </x:row>
    <x:row r="668">
      <x:c r="J668" t="n">
        <x:f>IF(AND(ISNUMBER('Results'!B7),ISNUMBER('Results'!C7),ISNUMBER('Results'!$B$8),ISNUMBER('Inputs'!$B$6),ISNUMBER('Inputs'!$B$7),ISNUMBER('Inputs'!$B$8),ISNUMBER('Inputs'!$B$9),ISNUMBER('Inputs'!$B$10),ISNUMBER('Inputs'!$B$21),ISNUMBER('Inputs'!$B$24),ISNUMBER('Inputs'!$B$28)),(('Results'!B7*(0.5*((((668-43)*MAX('Inputs'!$B$33,'Inputs'!$B$29+'Inputs'!$B$31+'Inputs'!$B$32,'Inputs'!$B$30+'Inputs'!$B$31+'Inputs'!$B$32)/1000+'Inputs'!$B$21)+'Inputs'!$B$7)/SQRT((((668-43)*MAX('Inputs'!$B$33,'Inputs'!$B$29+'Inputs'!$B$31+'Inputs'!$B$32,'Inputs'!$B$30+'Inputs'!$B$31+'Inputs'!$B$32)/1000+'Inputs'!$B$21)+'Inputs'!$B$7)^2+('Inputs'!$B$6/2)^2)-(((668-43)*MAX('Inputs'!$B$33,'Inputs'!$B$29+'Inputs'!$B$31+'Inputs'!$B$32,'Inputs'!$B$30+'Inputs'!$B$31+'Inputs'!$B$32)/1000+'Inputs'!$B$21))/SQRT((((668-43)*MAX('Inputs'!$B$33,'Inputs'!$B$29+'Inputs'!$B$31+'Inputs'!$B$32,'Inputs'!$B$30+'Inputs'!$B$31+'Inputs'!$B$32)/1000+'Inputs'!$B$21))^2+('Inputs'!$B$6/2)^2)))-'Results'!C7*(0.5*((((668-43)*MAX('Inputs'!$B$33,'Inputs'!$B$29+'Inputs'!$B$31+'Inputs'!$B$32,'Inputs'!$B$30+'Inputs'!$B$31+'Inputs'!$B$32)/1000+'Inputs'!$B$21+'Inputs'!$B$7+'Inputs'!$B$10)+'Inputs'!$B$9)/SQRT((((668-43)*MAX('Inputs'!$B$33,'Inputs'!$B$29+'Inputs'!$B$31+'Inputs'!$B$32,'Inputs'!$B$30+'Inputs'!$B$31+'Inputs'!$B$32)/1000+'Inputs'!$B$21+'Inputs'!$B$7+'Inputs'!$B$10)+'Inputs'!$B$9)^2+('Inputs'!$B$8/2)^2)-(((668-43)*MAX('Inputs'!$B$33,'Inputs'!$B$29+'Inputs'!$B$31+'Inputs'!$B$32,'Inputs'!$B$30+'Inputs'!$B$31+'Inputs'!$B$32)/1000+'Inputs'!$B$21+'Inputs'!$B$7+'Inputs'!$B$10))/SQRT((((668-43)*MAX('Inputs'!$B$33,'Inputs'!$B$29+'Inputs'!$B$31+'Inputs'!$B$32,'Inputs'!$B$30+'Inputs'!$B$31+'Inputs'!$B$32)/1000+'Inputs'!$B$21+'Inputs'!$B$7+'Inputs'!$B$10))^2+('Inputs'!$B$8/2)^2))))*'Results'!$B$8),"")</x:f>
        <x:v>1.9288493797645943</x:v>
      </x:c>
      <x:c r="K668" t="n">
        <x:f>IF(AND(ISNUMBER('Results'!B7),ISNUMBER('Results'!C7),ISNUMBER('Results'!$B$8),ISNUMBER('Inputs'!$B$6),ISNUMBER('Inputs'!$B$7),ISNUMBER('Inputs'!$B$8),ISNUMBER('Inputs'!$B$9),ISNUMBER('Inputs'!$B$10),ISNUMBER('Inputs'!$B$21),ISNUMBER('Inputs'!$B$24),ISNUMBER('Inputs'!$B$28)),((('Results'!B7*(1-'Inputs'!$B$24)*(0.5*((((668-43)*MAX('Inputs'!$B$33,'Inputs'!$B$29+'Inputs'!$B$31+'Inputs'!$B$32,'Inputs'!$B$30+'Inputs'!$B$31+'Inputs'!$B$32)/1000+'Inputs'!$B$21)+'Inputs'!$B$7)/SQRT((((668-43)*MAX('Inputs'!$B$33,'Inputs'!$B$29+'Inputs'!$B$31+'Inputs'!$B$32,'Inputs'!$B$30+'Inputs'!$B$31+'Inputs'!$B$32)/1000+'Inputs'!$B$21)+'Inputs'!$B$7)^2+('Inputs'!$B$6/2)^2)-(((668-43)*MAX('Inputs'!$B$33,'Inputs'!$B$29+'Inputs'!$B$31+'Inputs'!$B$32,'Inputs'!$B$30+'Inputs'!$B$31+'Inputs'!$B$32)/1000+'Inputs'!$B$21))/SQRT((((668-43)*MAX('Inputs'!$B$33,'Inputs'!$B$29+'Inputs'!$B$31+'Inputs'!$B$32,'Inputs'!$B$30+'Inputs'!$B$31+'Inputs'!$B$32)/1000+'Inputs'!$B$21))^2+('Inputs'!$B$6/2)^2)))-'Results'!C7*(1+'Inputs'!$B$24)*(0.5*((((668-43)*MAX('Inputs'!$B$33,'Inputs'!$B$29+'Inputs'!$B$31+'Inputs'!$B$32,'Inputs'!$B$30+'Inputs'!$B$31+'Inputs'!$B$32)/1000+'Inputs'!$B$21+'Inputs'!$B$7+'Inputs'!$B$10)+'Inputs'!$B$9)/SQRT((((668-43)*MAX('Inputs'!$B$33,'Inputs'!$B$29+'Inputs'!$B$31+'Inputs'!$B$32,'Inputs'!$B$30+'Inputs'!$B$31+'Inputs'!$B$32)/1000+'Inputs'!$B$21+'Inputs'!$B$7+'Inputs'!$B$10)+'Inputs'!$B$9)^2+('Inputs'!$B$8/2)^2)-(((668-43)*MAX('Inputs'!$B$33,'Inputs'!$B$29+'Inputs'!$B$31+'Inputs'!$B$32,'Inputs'!$B$30+'Inputs'!$B$31+'Inputs'!$B$32)/1000+'Inputs'!$B$21+'Inputs'!$B$7+'Inputs'!$B$10))/SQRT((((668-43)*MAX('Inputs'!$B$33,'Inputs'!$B$29+'Inputs'!$B$31+'Inputs'!$B$32,'Inputs'!$B$30+'Inputs'!$B$31+'Inputs'!$B$32)/1000+'Inputs'!$B$21+'Inputs'!$B$7+'Inputs'!$B$10))^2+('Inputs'!$B$8/2)^2))))*'Results'!$B$8)-'Inputs'!$B$28*ABS((('Results'!B7*(1-'Inputs'!$B$24)*(0.5*((((668-43)*MAX('Inputs'!$B$33,'Inputs'!$B$29+'Inputs'!$B$31+'Inputs'!$B$32,'Inputs'!$B$30+'Inputs'!$B$31+'Inputs'!$B$32)/1000+'Inputs'!$B$21)+'Inputs'!$B$7)/SQRT((((668-43)*MAX('Inputs'!$B$33,'Inputs'!$B$29+'Inputs'!$B$31+'Inputs'!$B$32,'Inputs'!$B$30+'Inputs'!$B$31+'Inputs'!$B$32)/1000+'Inputs'!$B$21)+'Inputs'!$B$7)^2+('Inputs'!$B$6/2)^2)-(((668-43)*MAX('Inputs'!$B$33,'Inputs'!$B$29+'Inputs'!$B$31+'Inputs'!$B$32,'Inputs'!$B$30+'Inputs'!$B$31+'Inputs'!$B$32)/1000+'Inputs'!$B$21))/SQRT((((668-43)*MAX('Inputs'!$B$33,'Inputs'!$B$29+'Inputs'!$B$31+'Inputs'!$B$32,'Inputs'!$B$30+'Inputs'!$B$31+'Inputs'!$B$32)/1000+'Inputs'!$B$21))^2+('Inputs'!$B$6/2)^2)))-'Results'!C7*(1+'Inputs'!$B$24)*(0.5*((((668-43)*MAX('Inputs'!$B$33,'Inputs'!$B$29+'Inputs'!$B$31+'Inputs'!$B$32,'Inputs'!$B$30+'Inputs'!$B$31+'Inputs'!$B$32)/1000+'Inputs'!$B$21+'Inputs'!$B$7+'Inputs'!$B$10)+'Inputs'!$B$9)/SQRT((((668-43)*MAX('Inputs'!$B$33,'Inputs'!$B$29+'Inputs'!$B$31+'Inputs'!$B$32,'Inputs'!$B$30+'Inputs'!$B$31+'Inputs'!$B$32)/1000+'Inputs'!$B$21+'Inputs'!$B$7+'Inputs'!$B$10)+'Inputs'!$B$9)^2+('Inputs'!$B$8/2)^2)-(((668-43)*MAX('Inputs'!$B$33,'Inputs'!$B$29+'Inputs'!$B$31+'Inputs'!$B$32,'Inputs'!$B$30+'Inputs'!$B$31+'Inputs'!$B$32)/1000+'Inputs'!$B$21+'Inputs'!$B$7+'Inputs'!$B$10))/SQRT((((668-43)*MAX('Inputs'!$B$33,'Inputs'!$B$29+'Inputs'!$B$31+'Inputs'!$B$32,'Inputs'!$B$30+'Inputs'!$B$31+'Inputs'!$B$32)/1000+'Inputs'!$B$21+'Inputs'!$B$7+'Inputs'!$B$10))^2+('Inputs'!$B$8/2)^2))))*'Results'!$B$8))),"")</x:f>
        <x:v>1.6843399395952443</x:v>
      </x:c>
      <x:c r="L668" t="n">
        <x:f>IF(AND(ISNUMBER('Results'!B7),ISNUMBER('Results'!C7),ISNUMBER('Results'!$B$8),ISNUMBER('Inputs'!$B$6),ISNUMBER('Inputs'!$B$7),ISNUMBER('Inputs'!$B$8),ISNUMBER('Inputs'!$B$9),ISNUMBER('Inputs'!$B$10),ISNUMBER('Inputs'!$B$21),ISNUMBER('Inputs'!$B$24),ISNUMBER('Inputs'!$B$28)),((('Results'!B7*(1+'Inputs'!$B$24)*(0.5*((((668-43)*MAX('Inputs'!$B$33,'Inputs'!$B$29+'Inputs'!$B$31+'Inputs'!$B$32,'Inputs'!$B$30+'Inputs'!$B$31+'Inputs'!$B$32)/1000+'Inputs'!$B$21)+'Inputs'!$B$7)/SQRT((((668-43)*MAX('Inputs'!$B$33,'Inputs'!$B$29+'Inputs'!$B$31+'Inputs'!$B$32,'Inputs'!$B$30+'Inputs'!$B$31+'Inputs'!$B$32)/1000+'Inputs'!$B$21)+'Inputs'!$B$7)^2+('Inputs'!$B$6/2)^2)-(((668-43)*MAX('Inputs'!$B$33,'Inputs'!$B$29+'Inputs'!$B$31+'Inputs'!$B$32,'Inputs'!$B$30+'Inputs'!$B$31+'Inputs'!$B$32)/1000+'Inputs'!$B$21))/SQRT((((668-43)*MAX('Inputs'!$B$33,'Inputs'!$B$29+'Inputs'!$B$31+'Inputs'!$B$32,'Inputs'!$B$30+'Inputs'!$B$31+'Inputs'!$B$32)/1000+'Inputs'!$B$21))^2+('Inputs'!$B$6/2)^2)))-'Results'!C7*(1-'Inputs'!$B$24)*(0.5*((((668-43)*MAX('Inputs'!$B$33,'Inputs'!$B$29+'Inputs'!$B$31+'Inputs'!$B$32,'Inputs'!$B$30+'Inputs'!$B$31+'Inputs'!$B$32)/1000+'Inputs'!$B$21+'Inputs'!$B$7+'Inputs'!$B$10)+'Inputs'!$B$9)/SQRT((((668-43)*MAX('Inputs'!$B$33,'Inputs'!$B$29+'Inputs'!$B$31+'Inputs'!$B$32,'Inputs'!$B$30+'Inputs'!$B$31+'Inputs'!$B$32)/1000+'Inputs'!$B$21+'Inputs'!$B$7+'Inputs'!$B$10)+'Inputs'!$B$9)^2+('Inputs'!$B$8/2)^2)-(((668-43)*MAX('Inputs'!$B$33,'Inputs'!$B$29+'Inputs'!$B$31+'Inputs'!$B$32,'Inputs'!$B$30+'Inputs'!$B$31+'Inputs'!$B$32)/1000+'Inputs'!$B$21+'Inputs'!$B$7+'Inputs'!$B$10))/SQRT((((668-43)*MAX('Inputs'!$B$33,'Inputs'!$B$29+'Inputs'!$B$31+'Inputs'!$B$32,'Inputs'!$B$30+'Inputs'!$B$31+'Inputs'!$B$32)/1000+'Inputs'!$B$21+'Inputs'!$B$7+'Inputs'!$B$10))^2+('Inputs'!$B$8/2)^2))))*'Results'!$B$8)+'Inputs'!$B$28*ABS((('Results'!B7*(1+'Inputs'!$B$24)*(0.5*((((668-43)*MAX('Inputs'!$B$33,'Inputs'!$B$29+'Inputs'!$B$31+'Inputs'!$B$32,'Inputs'!$B$30+'Inputs'!$B$31+'Inputs'!$B$32)/1000+'Inputs'!$B$21)+'Inputs'!$B$7)/SQRT((((668-43)*MAX('Inputs'!$B$33,'Inputs'!$B$29+'Inputs'!$B$31+'Inputs'!$B$32,'Inputs'!$B$30+'Inputs'!$B$31+'Inputs'!$B$32)/1000+'Inputs'!$B$21)+'Inputs'!$B$7)^2+('Inputs'!$B$6/2)^2)-(((668-43)*MAX('Inputs'!$B$33,'Inputs'!$B$29+'Inputs'!$B$31+'Inputs'!$B$32,'Inputs'!$B$30+'Inputs'!$B$31+'Inputs'!$B$32)/1000+'Inputs'!$B$21))/SQRT((((668-43)*MAX('Inputs'!$B$33,'Inputs'!$B$29+'Inputs'!$B$31+'Inputs'!$B$32,'Inputs'!$B$30+'Inputs'!$B$31+'Inputs'!$B$32)/1000+'Inputs'!$B$21))^2+('Inputs'!$B$6/2)^2)))-'Results'!C7*(1-'Inputs'!$B$24)*(0.5*((((668-43)*MAX('Inputs'!$B$33,'Inputs'!$B$29+'Inputs'!$B$31+'Inputs'!$B$32,'Inputs'!$B$30+'Inputs'!$B$31+'Inputs'!$B$32)/1000+'Inputs'!$B$21+'Inputs'!$B$7+'Inputs'!$B$10)+'Inputs'!$B$9)/SQRT((((668-43)*MAX('Inputs'!$B$33,'Inputs'!$B$29+'Inputs'!$B$31+'Inputs'!$B$32,'Inputs'!$B$30+'Inputs'!$B$31+'Inputs'!$B$32)/1000+'Inputs'!$B$21+'Inputs'!$B$7+'Inputs'!$B$10)+'Inputs'!$B$9)^2+('Inputs'!$B$8/2)^2)-(((668-43)*MAX('Inputs'!$B$33,'Inputs'!$B$29+'Inputs'!$B$31+'Inputs'!$B$32,'Inputs'!$B$30+'Inputs'!$B$31+'Inputs'!$B$32)/1000+'Inputs'!$B$21+'Inputs'!$B$7+'Inputs'!$B$10))/SQRT((((668-43)*MAX('Inputs'!$B$33,'Inputs'!$B$29+'Inputs'!$B$31+'Inputs'!$B$32,'Inputs'!$B$30+'Inputs'!$B$31+'Inputs'!$B$32)/1000+'Inputs'!$B$21+'Inputs'!$B$7+'Inputs'!$B$10))^2+('Inputs'!$B$8/2)^2))))*'Results'!$B$8))),"")</x:f>
        <x:v>2.1889448169003773</x:v>
      </x:c>
      <x:c r="M668" t="n">
        <x:f>IF(AND(ISNUMBER('Results'!C7),ISNUMBER('Results'!B7),ISNUMBER('Results'!$B$8),ISNUMBER('Inputs'!$B$6),ISNUMBER('Inputs'!$B$7),ISNUMBER('Inputs'!$B$8),ISNUMBER('Inputs'!$B$9),ISNUMBER('Inputs'!$B$10),ISNUMBER('Inputs'!$B$21),ISNUMBER('Inputs'!$B$24),ISNUMBER('Inputs'!$B$28)),(('Results'!C7*(0.5*((((668-43)*MAX('Inputs'!$B$33,'Inputs'!$B$29+'Inputs'!$B$31+'Inputs'!$B$32,'Inputs'!$B$30+'Inputs'!$B$31+'Inputs'!$B$32)/1000+'Inputs'!$B$21)+'Inputs'!$B$9)/SQRT((((668-43)*MAX('Inputs'!$B$33,'Inputs'!$B$29+'Inputs'!$B$31+'Inputs'!$B$32,'Inputs'!$B$30+'Inputs'!$B$31+'Inputs'!$B$32)/1000+'Inputs'!$B$21)+'Inputs'!$B$9)^2+('Inputs'!$B$8/2)^2)-(((668-43)*MAX('Inputs'!$B$33,'Inputs'!$B$29+'Inputs'!$B$31+'Inputs'!$B$32,'Inputs'!$B$30+'Inputs'!$B$31+'Inputs'!$B$32)/1000+'Inputs'!$B$21))/SQRT((((668-43)*MAX('Inputs'!$B$33,'Inputs'!$B$29+'Inputs'!$B$31+'Inputs'!$B$32,'Inputs'!$B$30+'Inputs'!$B$31+'Inputs'!$B$32)/1000+'Inputs'!$B$21))^2+('Inputs'!$B$8/2)^2)))-'Results'!B7*(0.5*((((668-43)*MAX('Inputs'!$B$33,'Inputs'!$B$29+'Inputs'!$B$31+'Inputs'!$B$32,'Inputs'!$B$30+'Inputs'!$B$31+'Inputs'!$B$32)/1000+'Inputs'!$B$21+'Inputs'!$B$9+'Inputs'!$B$10)+'Inputs'!$B$7)/SQRT((((668-43)*MAX('Inputs'!$B$33,'Inputs'!$B$29+'Inputs'!$B$31+'Inputs'!$B$32,'Inputs'!$B$30+'Inputs'!$B$31+'Inputs'!$B$32)/1000+'Inputs'!$B$21+'Inputs'!$B$9+'Inputs'!$B$10)+'Inputs'!$B$7)^2+('Inputs'!$B$6/2)^2)-(((668-43)*MAX('Inputs'!$B$33,'Inputs'!$B$29+'Inputs'!$B$31+'Inputs'!$B$32,'Inputs'!$B$30+'Inputs'!$B$31+'Inputs'!$B$32)/1000+'Inputs'!$B$21+'Inputs'!$B$9+'Inputs'!$B$10))/SQRT((((668-43)*MAX('Inputs'!$B$33,'Inputs'!$B$29+'Inputs'!$B$31+'Inputs'!$B$32,'Inputs'!$B$30+'Inputs'!$B$31+'Inputs'!$B$32)/1000+'Inputs'!$B$21+'Inputs'!$B$9+'Inputs'!$B$10))^2+('Inputs'!$B$6/2)^2))))*'Results'!$B$8),"")</x:f>
        <x:v>1.771792644977104</x:v>
      </x:c>
      <x:c r="N668" t="n">
        <x:f>IF(AND(ISNUMBER('Results'!C7),ISNUMBER('Results'!B7),ISNUMBER('Results'!$B$8),ISNUMBER('Inputs'!$B$6),ISNUMBER('Inputs'!$B$7),ISNUMBER('Inputs'!$B$8),ISNUMBER('Inputs'!$B$9),ISNUMBER('Inputs'!$B$10),ISNUMBER('Inputs'!$B$21),ISNUMBER('Inputs'!$B$24),ISNUMBER('Inputs'!$B$28)),((('Results'!C7*(1-'Inputs'!$B$24)*(0.5*((((668-43)*MAX('Inputs'!$B$33,'Inputs'!$B$29+'Inputs'!$B$31+'Inputs'!$B$32,'Inputs'!$B$30+'Inputs'!$B$31+'Inputs'!$B$32)/1000+'Inputs'!$B$21)+'Inputs'!$B$9)/SQRT((((668-43)*MAX('Inputs'!$B$33,'Inputs'!$B$29+'Inputs'!$B$31+'Inputs'!$B$32,'Inputs'!$B$30+'Inputs'!$B$31+'Inputs'!$B$32)/1000+'Inputs'!$B$21)+'Inputs'!$B$9)^2+('Inputs'!$B$8/2)^2)-(((668-43)*MAX('Inputs'!$B$33,'Inputs'!$B$29+'Inputs'!$B$31+'Inputs'!$B$32,'Inputs'!$B$30+'Inputs'!$B$31+'Inputs'!$B$32)/1000+'Inputs'!$B$21))/SQRT((((668-43)*MAX('Inputs'!$B$33,'Inputs'!$B$29+'Inputs'!$B$31+'Inputs'!$B$32,'Inputs'!$B$30+'Inputs'!$B$31+'Inputs'!$B$32)/1000+'Inputs'!$B$21))^2+('Inputs'!$B$8/2)^2)))-'Results'!B7*(1+'Inputs'!$B$24)*(0.5*((((668-43)*MAX('Inputs'!$B$33,'Inputs'!$B$29+'Inputs'!$B$31+'Inputs'!$B$32,'Inputs'!$B$30+'Inputs'!$B$31+'Inputs'!$B$32)/1000+'Inputs'!$B$21+'Inputs'!$B$9+'Inputs'!$B$10)+'Inputs'!$B$7)/SQRT((((668-43)*MAX('Inputs'!$B$33,'Inputs'!$B$29+'Inputs'!$B$31+'Inputs'!$B$32,'Inputs'!$B$30+'Inputs'!$B$31+'Inputs'!$B$32)/1000+'Inputs'!$B$21+'Inputs'!$B$9+'Inputs'!$B$10)+'Inputs'!$B$7)^2+('Inputs'!$B$6/2)^2)-(((668-43)*MAX('Inputs'!$B$33,'Inputs'!$B$29+'Inputs'!$B$31+'Inputs'!$B$32,'Inputs'!$B$30+'Inputs'!$B$31+'Inputs'!$B$32)/1000+'Inputs'!$B$21+'Inputs'!$B$9+'Inputs'!$B$10))/SQRT((((668-43)*MAX('Inputs'!$B$33,'Inputs'!$B$29+'Inputs'!$B$31+'Inputs'!$B$32,'Inputs'!$B$30+'Inputs'!$B$31+'Inputs'!$B$32)/1000+'Inputs'!$B$21+'Inputs'!$B$9+'Inputs'!$B$10))^2+('Inputs'!$B$6/2)^2))))*'Results'!$B$8)-'Inputs'!$B$28*ABS((('Results'!C7*(1-'Inputs'!$B$24)*(0.5*((((668-43)*MAX('Inputs'!$B$33,'Inputs'!$B$29+'Inputs'!$B$31+'Inputs'!$B$32,'Inputs'!$B$30+'Inputs'!$B$31+'Inputs'!$B$32)/1000+'Inputs'!$B$21)+'Inputs'!$B$9)/SQRT((((668-43)*MAX('Inputs'!$B$33,'Inputs'!$B$29+'Inputs'!$B$31+'Inputs'!$B$32,'Inputs'!$B$30+'Inputs'!$B$31+'Inputs'!$B$32)/1000+'Inputs'!$B$21)+'Inputs'!$B$9)^2+('Inputs'!$B$8/2)^2)-(((668-43)*MAX('Inputs'!$B$33,'Inputs'!$B$29+'Inputs'!$B$31+'Inputs'!$B$32,'Inputs'!$B$30+'Inputs'!$B$31+'Inputs'!$B$32)/1000+'Inputs'!$B$21))/SQRT((((668-43)*MAX('Inputs'!$B$33,'Inputs'!$B$29+'Inputs'!$B$31+'Inputs'!$B$32,'Inputs'!$B$30+'Inputs'!$B$31+'Inputs'!$B$32)/1000+'Inputs'!$B$21))^2+('Inputs'!$B$8/2)^2)))-'Results'!B7*(1+'Inputs'!$B$24)*(0.5*((((668-43)*MAX('Inputs'!$B$33,'Inputs'!$B$29+'Inputs'!$B$31+'Inputs'!$B$32,'Inputs'!$B$30+'Inputs'!$B$31+'Inputs'!$B$32)/1000+'Inputs'!$B$21+'Inputs'!$B$9+'Inputs'!$B$10)+'Inputs'!$B$7)/SQRT((((668-43)*MAX('Inputs'!$B$33,'Inputs'!$B$29+'Inputs'!$B$31+'Inputs'!$B$32,'Inputs'!$B$30+'Inputs'!$B$31+'Inputs'!$B$32)/1000+'Inputs'!$B$21+'Inputs'!$B$9+'Inputs'!$B$10)+'Inputs'!$B$7)^2+('Inputs'!$B$6/2)^2)-(((668-43)*MAX('Inputs'!$B$33,'Inputs'!$B$29+'Inputs'!$B$31+'Inputs'!$B$32,'Inputs'!$B$30+'Inputs'!$B$31+'Inputs'!$B$32)/1000+'Inputs'!$B$21+'Inputs'!$B$9+'Inputs'!$B$10))/SQRT((((668-43)*MAX('Inputs'!$B$33,'Inputs'!$B$29+'Inputs'!$B$31+'Inputs'!$B$32,'Inputs'!$B$30+'Inputs'!$B$31+'Inputs'!$B$32)/1000+'Inputs'!$B$21+'Inputs'!$B$9+'Inputs'!$B$10))^2+('Inputs'!$B$6/2)^2))))*'Results'!$B$8))),"")</x:f>
        <x:v>1.535846265774099</x:v>
      </x:c>
      <x:c r="O668" t="n">
        <x:f>IF(AND(ISNUMBER('Results'!C7),ISNUMBER('Results'!B7),ISNUMBER('Results'!$B$8),ISNUMBER('Inputs'!$B$6),ISNUMBER('Inputs'!$B$7),ISNUMBER('Inputs'!$B$8),ISNUMBER('Inputs'!$B$9),ISNUMBER('Inputs'!$B$10),ISNUMBER('Inputs'!$B$21),ISNUMBER('Inputs'!$B$24),ISNUMBER('Inputs'!$B$28)),((('Results'!C7*(1+'Inputs'!$B$24)*(0.5*((((668-43)*MAX('Inputs'!$B$33,'Inputs'!$B$29+'Inputs'!$B$31+'Inputs'!$B$32,'Inputs'!$B$30+'Inputs'!$B$31+'Inputs'!$B$32)/1000+'Inputs'!$B$21)+'Inputs'!$B$9)/SQRT((((668-43)*MAX('Inputs'!$B$33,'Inputs'!$B$29+'Inputs'!$B$31+'Inputs'!$B$32,'Inputs'!$B$30+'Inputs'!$B$31+'Inputs'!$B$32)/1000+'Inputs'!$B$21)+'Inputs'!$B$9)^2+('Inputs'!$B$8/2)^2)-(((668-43)*MAX('Inputs'!$B$33,'Inputs'!$B$29+'Inputs'!$B$31+'Inputs'!$B$32,'Inputs'!$B$30+'Inputs'!$B$31+'Inputs'!$B$32)/1000+'Inputs'!$B$21))/SQRT((((668-43)*MAX('Inputs'!$B$33,'Inputs'!$B$29+'Inputs'!$B$31+'Inputs'!$B$32,'Inputs'!$B$30+'Inputs'!$B$31+'Inputs'!$B$32)/1000+'Inputs'!$B$21))^2+('Inputs'!$B$8/2)^2)))-'Results'!B7*(1-'Inputs'!$B$24)*(0.5*((((668-43)*MAX('Inputs'!$B$33,'Inputs'!$B$29+'Inputs'!$B$31+'Inputs'!$B$32,'Inputs'!$B$30+'Inputs'!$B$31+'Inputs'!$B$32)/1000+'Inputs'!$B$21+'Inputs'!$B$9+'Inputs'!$B$10)+'Inputs'!$B$7)/SQRT((((668-43)*MAX('Inputs'!$B$33,'Inputs'!$B$29+'Inputs'!$B$31+'Inputs'!$B$32,'Inputs'!$B$30+'Inputs'!$B$31+'Inputs'!$B$32)/1000+'Inputs'!$B$21+'Inputs'!$B$9+'Inputs'!$B$10)+'Inputs'!$B$7)^2+('Inputs'!$B$6/2)^2)-(((668-43)*MAX('Inputs'!$B$33,'Inputs'!$B$29+'Inputs'!$B$31+'Inputs'!$B$32,'Inputs'!$B$30+'Inputs'!$B$31+'Inputs'!$B$32)/1000+'Inputs'!$B$21+'Inputs'!$B$9+'Inputs'!$B$10))/SQRT((((668-43)*MAX('Inputs'!$B$33,'Inputs'!$B$29+'Inputs'!$B$31+'Inputs'!$B$32,'Inputs'!$B$30+'Inputs'!$B$31+'Inputs'!$B$32)/1000+'Inputs'!$B$21+'Inputs'!$B$9+'Inputs'!$B$10))^2+('Inputs'!$B$6/2)^2))))*'Results'!$B$8)+'Inputs'!$B$28*ABS((('Results'!C7*(1+'Inputs'!$B$24)*(0.5*((((668-43)*MAX('Inputs'!$B$33,'Inputs'!$B$29+'Inputs'!$B$31+'Inputs'!$B$32,'Inputs'!$B$30+'Inputs'!$B$31+'Inputs'!$B$32)/1000+'Inputs'!$B$21)+'Inputs'!$B$9)/SQRT((((668-43)*MAX('Inputs'!$B$33,'Inputs'!$B$29+'Inputs'!$B$31+'Inputs'!$B$32,'Inputs'!$B$30+'Inputs'!$B$31+'Inputs'!$B$32)/1000+'Inputs'!$B$21)+'Inputs'!$B$9)^2+('Inputs'!$B$8/2)^2)-(((668-43)*MAX('Inputs'!$B$33,'Inputs'!$B$29+'Inputs'!$B$31+'Inputs'!$B$32,'Inputs'!$B$30+'Inputs'!$B$31+'Inputs'!$B$32)/1000+'Inputs'!$B$21))/SQRT((((668-43)*MAX('Inputs'!$B$33,'Inputs'!$B$29+'Inputs'!$B$31+'Inputs'!$B$32,'Inputs'!$B$30+'Inputs'!$B$31+'Inputs'!$B$32)/1000+'Inputs'!$B$21))^2+('Inputs'!$B$8/2)^2)))-'Results'!B7*(1-'Inputs'!$B$24)*(0.5*((((668-43)*MAX('Inputs'!$B$33,'Inputs'!$B$29+'Inputs'!$B$31+'Inputs'!$B$32,'Inputs'!$B$30+'Inputs'!$B$31+'Inputs'!$B$32)/1000+'Inputs'!$B$21+'Inputs'!$B$9+'Inputs'!$B$10)+'Inputs'!$B$7)/SQRT((((668-43)*MAX('Inputs'!$B$33,'Inputs'!$B$29+'Inputs'!$B$31+'Inputs'!$B$32,'Inputs'!$B$30+'Inputs'!$B$31+'Inputs'!$B$32)/1000+'Inputs'!$B$21+'Inputs'!$B$9+'Inputs'!$B$10)+'Inputs'!$B$7)^2+('Inputs'!$B$6/2)^2)-(((668-43)*MAX('Inputs'!$B$33,'Inputs'!$B$29+'Inputs'!$B$31+'Inputs'!$B$32,'Inputs'!$B$30+'Inputs'!$B$31+'Inputs'!$B$32)/1000+'Inputs'!$B$21+'Inputs'!$B$9+'Inputs'!$B$10))/SQRT((((668-43)*MAX('Inputs'!$B$33,'Inputs'!$B$29+'Inputs'!$B$31+'Inputs'!$B$32,'Inputs'!$B$30+'Inputs'!$B$31+'Inputs'!$B$32)/1000+'Inputs'!$B$21+'Inputs'!$B$9+'Inputs'!$B$10))^2+('Inputs'!$B$6/2)^2))))*'Results'!$B$8))),"")</x:f>
        <x:v>2.023250260701598</x:v>
      </x:c>
      <x:c r="P668" t="n">
        <x:f>IF(AND(MAX(J668,J667)&gt;0,J668&gt;J667+0.00000001),1,0)</x:f>
        <x:v>0</x:v>
      </x:c>
      <x:c r="Q668" t="n">
        <x:f>IF(AND(MAX(K668,K667)&gt;0,K668&gt;K667+0.00000001),1,0)</x:f>
        <x:v>0</x:v>
      </x:c>
      <x:c r="R668" t="n">
        <x:f>IF(AND(MAX(L668,L667)&gt;0,L668&gt;L667+0.00000001),1,0)</x:f>
        <x:v>0</x:v>
      </x:c>
      <x:c r="S668" t="n">
        <x:f>IF(AND(MAX(M668,M667)&gt;0,M668&gt;M667+0.00000001),1,0)</x:f>
        <x:v>0</x:v>
      </x:c>
      <x:c r="T668" t="n">
        <x:f>IF(AND(MAX(N668,N667)&gt;0,N668&gt;N667+0.00000001),1,0)</x:f>
        <x:v>0</x:v>
      </x:c>
      <x:c r="U668" t="n">
        <x:f>IF(AND(MAX(O668,O667)&gt;0,O668&gt;O667+0.00000001),1,0)</x:f>
        <x:v>0</x:v>
      </x:c>
    </x:row>
    <x:row r="669">
      <x:c r="J669" t="n">
        <x:f>IF(AND(ISNUMBER('Results'!B7),ISNUMBER('Results'!C7),ISNUMBER('Results'!$B$8),ISNUMBER('Inputs'!$B$6),ISNUMBER('Inputs'!$B$7),ISNUMBER('Inputs'!$B$8),ISNUMBER('Inputs'!$B$9),ISNUMBER('Inputs'!$B$10),ISNUMBER('Inputs'!$B$21),ISNUMBER('Inputs'!$B$24),ISNUMBER('Inputs'!$B$28)),(('Results'!B7*(0.5*((((669-43)*MAX('Inputs'!$B$33,'Inputs'!$B$29+'Inputs'!$B$31+'Inputs'!$B$32,'Inputs'!$B$30+'Inputs'!$B$31+'Inputs'!$B$32)/1000+'Inputs'!$B$21)+'Inputs'!$B$7)/SQRT((((669-43)*MAX('Inputs'!$B$33,'Inputs'!$B$29+'Inputs'!$B$31+'Inputs'!$B$32,'Inputs'!$B$30+'Inputs'!$B$31+'Inputs'!$B$32)/1000+'Inputs'!$B$21)+'Inputs'!$B$7)^2+('Inputs'!$B$6/2)^2)-(((669-43)*MAX('Inputs'!$B$33,'Inputs'!$B$29+'Inputs'!$B$31+'Inputs'!$B$32,'Inputs'!$B$30+'Inputs'!$B$31+'Inputs'!$B$32)/1000+'Inputs'!$B$21))/SQRT((((669-43)*MAX('Inputs'!$B$33,'Inputs'!$B$29+'Inputs'!$B$31+'Inputs'!$B$32,'Inputs'!$B$30+'Inputs'!$B$31+'Inputs'!$B$32)/1000+'Inputs'!$B$21))^2+('Inputs'!$B$6/2)^2)))-'Results'!C7*(0.5*((((669-43)*MAX('Inputs'!$B$33,'Inputs'!$B$29+'Inputs'!$B$31+'Inputs'!$B$32,'Inputs'!$B$30+'Inputs'!$B$31+'Inputs'!$B$32)/1000+'Inputs'!$B$21+'Inputs'!$B$7+'Inputs'!$B$10)+'Inputs'!$B$9)/SQRT((((669-43)*MAX('Inputs'!$B$33,'Inputs'!$B$29+'Inputs'!$B$31+'Inputs'!$B$32,'Inputs'!$B$30+'Inputs'!$B$31+'Inputs'!$B$32)/1000+'Inputs'!$B$21+'Inputs'!$B$7+'Inputs'!$B$10)+'Inputs'!$B$9)^2+('Inputs'!$B$8/2)^2)-(((669-43)*MAX('Inputs'!$B$33,'Inputs'!$B$29+'Inputs'!$B$31+'Inputs'!$B$32,'Inputs'!$B$30+'Inputs'!$B$31+'Inputs'!$B$32)/1000+'Inputs'!$B$21+'Inputs'!$B$7+'Inputs'!$B$10))/SQRT((((669-43)*MAX('Inputs'!$B$33,'Inputs'!$B$29+'Inputs'!$B$31+'Inputs'!$B$32,'Inputs'!$B$30+'Inputs'!$B$31+'Inputs'!$B$32)/1000+'Inputs'!$B$21+'Inputs'!$B$7+'Inputs'!$B$10))^2+('Inputs'!$B$8/2)^2))))*'Results'!$B$8),"")</x:f>
        <x:v>1.918049895465227</x:v>
      </x:c>
      <x:c r="K669" t="n">
        <x:f>IF(AND(ISNUMBER('Results'!B7),ISNUMBER('Results'!C7),ISNUMBER('Results'!$B$8),ISNUMBER('Inputs'!$B$6),ISNUMBER('Inputs'!$B$7),ISNUMBER('Inputs'!$B$8),ISNUMBER('Inputs'!$B$9),ISNUMBER('Inputs'!$B$10),ISNUMBER('Inputs'!$B$21),ISNUMBER('Inputs'!$B$24),ISNUMBER('Inputs'!$B$28)),((('Results'!B7*(1-'Inputs'!$B$24)*(0.5*((((669-43)*MAX('Inputs'!$B$33,'Inputs'!$B$29+'Inputs'!$B$31+'Inputs'!$B$32,'Inputs'!$B$30+'Inputs'!$B$31+'Inputs'!$B$32)/1000+'Inputs'!$B$21)+'Inputs'!$B$7)/SQRT((((669-43)*MAX('Inputs'!$B$33,'Inputs'!$B$29+'Inputs'!$B$31+'Inputs'!$B$32,'Inputs'!$B$30+'Inputs'!$B$31+'Inputs'!$B$32)/1000+'Inputs'!$B$21)+'Inputs'!$B$7)^2+('Inputs'!$B$6/2)^2)-(((669-43)*MAX('Inputs'!$B$33,'Inputs'!$B$29+'Inputs'!$B$31+'Inputs'!$B$32,'Inputs'!$B$30+'Inputs'!$B$31+'Inputs'!$B$32)/1000+'Inputs'!$B$21))/SQRT((((669-43)*MAX('Inputs'!$B$33,'Inputs'!$B$29+'Inputs'!$B$31+'Inputs'!$B$32,'Inputs'!$B$30+'Inputs'!$B$31+'Inputs'!$B$32)/1000+'Inputs'!$B$21))^2+('Inputs'!$B$6/2)^2)))-'Results'!C7*(1+'Inputs'!$B$24)*(0.5*((((669-43)*MAX('Inputs'!$B$33,'Inputs'!$B$29+'Inputs'!$B$31+'Inputs'!$B$32,'Inputs'!$B$30+'Inputs'!$B$31+'Inputs'!$B$32)/1000+'Inputs'!$B$21+'Inputs'!$B$7+'Inputs'!$B$10)+'Inputs'!$B$9)/SQRT((((669-43)*MAX('Inputs'!$B$33,'Inputs'!$B$29+'Inputs'!$B$31+'Inputs'!$B$32,'Inputs'!$B$30+'Inputs'!$B$31+'Inputs'!$B$32)/1000+'Inputs'!$B$21+'Inputs'!$B$7+'Inputs'!$B$10)+'Inputs'!$B$9)^2+('Inputs'!$B$8/2)^2)-(((669-43)*MAX('Inputs'!$B$33,'Inputs'!$B$29+'Inputs'!$B$31+'Inputs'!$B$32,'Inputs'!$B$30+'Inputs'!$B$31+'Inputs'!$B$32)/1000+'Inputs'!$B$21+'Inputs'!$B$7+'Inputs'!$B$10))/SQRT((((669-43)*MAX('Inputs'!$B$33,'Inputs'!$B$29+'Inputs'!$B$31+'Inputs'!$B$32,'Inputs'!$B$30+'Inputs'!$B$31+'Inputs'!$B$32)/1000+'Inputs'!$B$21+'Inputs'!$B$7+'Inputs'!$B$10))^2+('Inputs'!$B$8/2)^2))))*'Results'!$B$8)-'Inputs'!$B$28*ABS((('Results'!B7*(1-'Inputs'!$B$24)*(0.5*((((669-43)*MAX('Inputs'!$B$33,'Inputs'!$B$29+'Inputs'!$B$31+'Inputs'!$B$32,'Inputs'!$B$30+'Inputs'!$B$31+'Inputs'!$B$32)/1000+'Inputs'!$B$21)+'Inputs'!$B$7)/SQRT((((669-43)*MAX('Inputs'!$B$33,'Inputs'!$B$29+'Inputs'!$B$31+'Inputs'!$B$32,'Inputs'!$B$30+'Inputs'!$B$31+'Inputs'!$B$32)/1000+'Inputs'!$B$21)+'Inputs'!$B$7)^2+('Inputs'!$B$6/2)^2)-(((669-43)*MAX('Inputs'!$B$33,'Inputs'!$B$29+'Inputs'!$B$31+'Inputs'!$B$32,'Inputs'!$B$30+'Inputs'!$B$31+'Inputs'!$B$32)/1000+'Inputs'!$B$21))/SQRT((((669-43)*MAX('Inputs'!$B$33,'Inputs'!$B$29+'Inputs'!$B$31+'Inputs'!$B$32,'Inputs'!$B$30+'Inputs'!$B$31+'Inputs'!$B$32)/1000+'Inputs'!$B$21))^2+('Inputs'!$B$6/2)^2)))-'Results'!C7*(1+'Inputs'!$B$24)*(0.5*((((669-43)*MAX('Inputs'!$B$33,'Inputs'!$B$29+'Inputs'!$B$31+'Inputs'!$B$32,'Inputs'!$B$30+'Inputs'!$B$31+'Inputs'!$B$32)/1000+'Inputs'!$B$21+'Inputs'!$B$7+'Inputs'!$B$10)+'Inputs'!$B$9)/SQRT((((669-43)*MAX('Inputs'!$B$33,'Inputs'!$B$29+'Inputs'!$B$31+'Inputs'!$B$32,'Inputs'!$B$30+'Inputs'!$B$31+'Inputs'!$B$32)/1000+'Inputs'!$B$21+'Inputs'!$B$7+'Inputs'!$B$10)+'Inputs'!$B$9)^2+('Inputs'!$B$8/2)^2)-(((669-43)*MAX('Inputs'!$B$33,'Inputs'!$B$29+'Inputs'!$B$31+'Inputs'!$B$32,'Inputs'!$B$30+'Inputs'!$B$31+'Inputs'!$B$32)/1000+'Inputs'!$B$21+'Inputs'!$B$7+'Inputs'!$B$10))/SQRT((((669-43)*MAX('Inputs'!$B$33,'Inputs'!$B$29+'Inputs'!$B$31+'Inputs'!$B$32,'Inputs'!$B$30+'Inputs'!$B$31+'Inputs'!$B$32)/1000+'Inputs'!$B$21+'Inputs'!$B$7+'Inputs'!$B$10))^2+('Inputs'!$B$8/2)^2))))*'Results'!$B$8))),"")</x:f>
        <x:v>1.6747201989268974</x:v>
      </x:c>
      <x:c r="L669" t="n">
        <x:f>IF(AND(ISNUMBER('Results'!B7),ISNUMBER('Results'!C7),ISNUMBER('Results'!$B$8),ISNUMBER('Inputs'!$B$6),ISNUMBER('Inputs'!$B$7),ISNUMBER('Inputs'!$B$8),ISNUMBER('Inputs'!$B$9),ISNUMBER('Inputs'!$B$10),ISNUMBER('Inputs'!$B$21),ISNUMBER('Inputs'!$B$24),ISNUMBER('Inputs'!$B$28)),((('Results'!B7*(1+'Inputs'!$B$24)*(0.5*((((669-43)*MAX('Inputs'!$B$33,'Inputs'!$B$29+'Inputs'!$B$31+'Inputs'!$B$32,'Inputs'!$B$30+'Inputs'!$B$31+'Inputs'!$B$32)/1000+'Inputs'!$B$21)+'Inputs'!$B$7)/SQRT((((669-43)*MAX('Inputs'!$B$33,'Inputs'!$B$29+'Inputs'!$B$31+'Inputs'!$B$32,'Inputs'!$B$30+'Inputs'!$B$31+'Inputs'!$B$32)/1000+'Inputs'!$B$21)+'Inputs'!$B$7)^2+('Inputs'!$B$6/2)^2)-(((669-43)*MAX('Inputs'!$B$33,'Inputs'!$B$29+'Inputs'!$B$31+'Inputs'!$B$32,'Inputs'!$B$30+'Inputs'!$B$31+'Inputs'!$B$32)/1000+'Inputs'!$B$21))/SQRT((((669-43)*MAX('Inputs'!$B$33,'Inputs'!$B$29+'Inputs'!$B$31+'Inputs'!$B$32,'Inputs'!$B$30+'Inputs'!$B$31+'Inputs'!$B$32)/1000+'Inputs'!$B$21))^2+('Inputs'!$B$6/2)^2)))-'Results'!C7*(1-'Inputs'!$B$24)*(0.5*((((669-43)*MAX('Inputs'!$B$33,'Inputs'!$B$29+'Inputs'!$B$31+'Inputs'!$B$32,'Inputs'!$B$30+'Inputs'!$B$31+'Inputs'!$B$32)/1000+'Inputs'!$B$21+'Inputs'!$B$7+'Inputs'!$B$10)+'Inputs'!$B$9)/SQRT((((669-43)*MAX('Inputs'!$B$33,'Inputs'!$B$29+'Inputs'!$B$31+'Inputs'!$B$32,'Inputs'!$B$30+'Inputs'!$B$31+'Inputs'!$B$32)/1000+'Inputs'!$B$21+'Inputs'!$B$7+'Inputs'!$B$10)+'Inputs'!$B$9)^2+('Inputs'!$B$8/2)^2)-(((669-43)*MAX('Inputs'!$B$33,'Inputs'!$B$29+'Inputs'!$B$31+'Inputs'!$B$32,'Inputs'!$B$30+'Inputs'!$B$31+'Inputs'!$B$32)/1000+'Inputs'!$B$21+'Inputs'!$B$7+'Inputs'!$B$10))/SQRT((((669-43)*MAX('Inputs'!$B$33,'Inputs'!$B$29+'Inputs'!$B$31+'Inputs'!$B$32,'Inputs'!$B$30+'Inputs'!$B$31+'Inputs'!$B$32)/1000+'Inputs'!$B$21+'Inputs'!$B$7+'Inputs'!$B$10))^2+('Inputs'!$B$8/2)^2))))*'Results'!$B$8)+'Inputs'!$B$28*ABS((('Results'!B7*(1+'Inputs'!$B$24)*(0.5*((((669-43)*MAX('Inputs'!$B$33,'Inputs'!$B$29+'Inputs'!$B$31+'Inputs'!$B$32,'Inputs'!$B$30+'Inputs'!$B$31+'Inputs'!$B$32)/1000+'Inputs'!$B$21)+'Inputs'!$B$7)/SQRT((((669-43)*MAX('Inputs'!$B$33,'Inputs'!$B$29+'Inputs'!$B$31+'Inputs'!$B$32,'Inputs'!$B$30+'Inputs'!$B$31+'Inputs'!$B$32)/1000+'Inputs'!$B$21)+'Inputs'!$B$7)^2+('Inputs'!$B$6/2)^2)-(((669-43)*MAX('Inputs'!$B$33,'Inputs'!$B$29+'Inputs'!$B$31+'Inputs'!$B$32,'Inputs'!$B$30+'Inputs'!$B$31+'Inputs'!$B$32)/1000+'Inputs'!$B$21))/SQRT((((669-43)*MAX('Inputs'!$B$33,'Inputs'!$B$29+'Inputs'!$B$31+'Inputs'!$B$32,'Inputs'!$B$30+'Inputs'!$B$31+'Inputs'!$B$32)/1000+'Inputs'!$B$21))^2+('Inputs'!$B$6/2)^2)))-'Results'!C7*(1-'Inputs'!$B$24)*(0.5*((((669-43)*MAX('Inputs'!$B$33,'Inputs'!$B$29+'Inputs'!$B$31+'Inputs'!$B$32,'Inputs'!$B$30+'Inputs'!$B$31+'Inputs'!$B$32)/1000+'Inputs'!$B$21+'Inputs'!$B$7+'Inputs'!$B$10)+'Inputs'!$B$9)/SQRT((((669-43)*MAX('Inputs'!$B$33,'Inputs'!$B$29+'Inputs'!$B$31+'Inputs'!$B$32,'Inputs'!$B$30+'Inputs'!$B$31+'Inputs'!$B$32)/1000+'Inputs'!$B$21+'Inputs'!$B$7+'Inputs'!$B$10)+'Inputs'!$B$9)^2+('Inputs'!$B$8/2)^2)-(((669-43)*MAX('Inputs'!$B$33,'Inputs'!$B$29+'Inputs'!$B$31+'Inputs'!$B$32,'Inputs'!$B$30+'Inputs'!$B$31+'Inputs'!$B$32)/1000+'Inputs'!$B$21+'Inputs'!$B$7+'Inputs'!$B$10))/SQRT((((669-43)*MAX('Inputs'!$B$33,'Inputs'!$B$29+'Inputs'!$B$31+'Inputs'!$B$32,'Inputs'!$B$30+'Inputs'!$B$31+'Inputs'!$B$32)/1000+'Inputs'!$B$21+'Inputs'!$B$7+'Inputs'!$B$10))^2+('Inputs'!$B$8/2)^2))))*'Results'!$B$8))),"")</x:f>
        <x:v>2.176898244820932</x:v>
      </x:c>
      <x:c r="M669" t="n">
        <x:f>IF(AND(ISNUMBER('Results'!C7),ISNUMBER('Results'!B7),ISNUMBER('Results'!$B$8),ISNUMBER('Inputs'!$B$6),ISNUMBER('Inputs'!$B$7),ISNUMBER('Inputs'!$B$8),ISNUMBER('Inputs'!$B$9),ISNUMBER('Inputs'!$B$10),ISNUMBER('Inputs'!$B$21),ISNUMBER('Inputs'!$B$24),ISNUMBER('Inputs'!$B$28)),(('Results'!C7*(0.5*((((669-43)*MAX('Inputs'!$B$33,'Inputs'!$B$29+'Inputs'!$B$31+'Inputs'!$B$32,'Inputs'!$B$30+'Inputs'!$B$31+'Inputs'!$B$32)/1000+'Inputs'!$B$21)+'Inputs'!$B$9)/SQRT((((669-43)*MAX('Inputs'!$B$33,'Inputs'!$B$29+'Inputs'!$B$31+'Inputs'!$B$32,'Inputs'!$B$30+'Inputs'!$B$31+'Inputs'!$B$32)/1000+'Inputs'!$B$21)+'Inputs'!$B$9)^2+('Inputs'!$B$8/2)^2)-(((669-43)*MAX('Inputs'!$B$33,'Inputs'!$B$29+'Inputs'!$B$31+'Inputs'!$B$32,'Inputs'!$B$30+'Inputs'!$B$31+'Inputs'!$B$32)/1000+'Inputs'!$B$21))/SQRT((((669-43)*MAX('Inputs'!$B$33,'Inputs'!$B$29+'Inputs'!$B$31+'Inputs'!$B$32,'Inputs'!$B$30+'Inputs'!$B$31+'Inputs'!$B$32)/1000+'Inputs'!$B$21))^2+('Inputs'!$B$8/2)^2)))-'Results'!B7*(0.5*((((669-43)*MAX('Inputs'!$B$33,'Inputs'!$B$29+'Inputs'!$B$31+'Inputs'!$B$32,'Inputs'!$B$30+'Inputs'!$B$31+'Inputs'!$B$32)/1000+'Inputs'!$B$21+'Inputs'!$B$9+'Inputs'!$B$10)+'Inputs'!$B$7)/SQRT((((669-43)*MAX('Inputs'!$B$33,'Inputs'!$B$29+'Inputs'!$B$31+'Inputs'!$B$32,'Inputs'!$B$30+'Inputs'!$B$31+'Inputs'!$B$32)/1000+'Inputs'!$B$21+'Inputs'!$B$9+'Inputs'!$B$10)+'Inputs'!$B$7)^2+('Inputs'!$B$6/2)^2)-(((669-43)*MAX('Inputs'!$B$33,'Inputs'!$B$29+'Inputs'!$B$31+'Inputs'!$B$32,'Inputs'!$B$30+'Inputs'!$B$31+'Inputs'!$B$32)/1000+'Inputs'!$B$21+'Inputs'!$B$9+'Inputs'!$B$10))/SQRT((((669-43)*MAX('Inputs'!$B$33,'Inputs'!$B$29+'Inputs'!$B$31+'Inputs'!$B$32,'Inputs'!$B$30+'Inputs'!$B$31+'Inputs'!$B$32)/1000+'Inputs'!$B$21+'Inputs'!$B$9+'Inputs'!$B$10))^2+('Inputs'!$B$6/2)^2))))*'Results'!$B$8),"")</x:f>
        <x:v>1.7616712700438748</x:v>
      </x:c>
      <x:c r="N669" t="n">
        <x:f>IF(AND(ISNUMBER('Results'!C7),ISNUMBER('Results'!B7),ISNUMBER('Results'!$B$8),ISNUMBER('Inputs'!$B$6),ISNUMBER('Inputs'!$B$7),ISNUMBER('Inputs'!$B$8),ISNUMBER('Inputs'!$B$9),ISNUMBER('Inputs'!$B$10),ISNUMBER('Inputs'!$B$21),ISNUMBER('Inputs'!$B$24),ISNUMBER('Inputs'!$B$28)),((('Results'!C7*(1-'Inputs'!$B$24)*(0.5*((((669-43)*MAX('Inputs'!$B$33,'Inputs'!$B$29+'Inputs'!$B$31+'Inputs'!$B$32,'Inputs'!$B$30+'Inputs'!$B$31+'Inputs'!$B$32)/1000+'Inputs'!$B$21)+'Inputs'!$B$9)/SQRT((((669-43)*MAX('Inputs'!$B$33,'Inputs'!$B$29+'Inputs'!$B$31+'Inputs'!$B$32,'Inputs'!$B$30+'Inputs'!$B$31+'Inputs'!$B$32)/1000+'Inputs'!$B$21)+'Inputs'!$B$9)^2+('Inputs'!$B$8/2)^2)-(((669-43)*MAX('Inputs'!$B$33,'Inputs'!$B$29+'Inputs'!$B$31+'Inputs'!$B$32,'Inputs'!$B$30+'Inputs'!$B$31+'Inputs'!$B$32)/1000+'Inputs'!$B$21))/SQRT((((669-43)*MAX('Inputs'!$B$33,'Inputs'!$B$29+'Inputs'!$B$31+'Inputs'!$B$32,'Inputs'!$B$30+'Inputs'!$B$31+'Inputs'!$B$32)/1000+'Inputs'!$B$21))^2+('Inputs'!$B$8/2)^2)))-'Results'!B7*(1+'Inputs'!$B$24)*(0.5*((((669-43)*MAX('Inputs'!$B$33,'Inputs'!$B$29+'Inputs'!$B$31+'Inputs'!$B$32,'Inputs'!$B$30+'Inputs'!$B$31+'Inputs'!$B$32)/1000+'Inputs'!$B$21+'Inputs'!$B$9+'Inputs'!$B$10)+'Inputs'!$B$7)/SQRT((((669-43)*MAX('Inputs'!$B$33,'Inputs'!$B$29+'Inputs'!$B$31+'Inputs'!$B$32,'Inputs'!$B$30+'Inputs'!$B$31+'Inputs'!$B$32)/1000+'Inputs'!$B$21+'Inputs'!$B$9+'Inputs'!$B$10)+'Inputs'!$B$7)^2+('Inputs'!$B$6/2)^2)-(((669-43)*MAX('Inputs'!$B$33,'Inputs'!$B$29+'Inputs'!$B$31+'Inputs'!$B$32,'Inputs'!$B$30+'Inputs'!$B$31+'Inputs'!$B$32)/1000+'Inputs'!$B$21+'Inputs'!$B$9+'Inputs'!$B$10))/SQRT((((669-43)*MAX('Inputs'!$B$33,'Inputs'!$B$29+'Inputs'!$B$31+'Inputs'!$B$32,'Inputs'!$B$30+'Inputs'!$B$31+'Inputs'!$B$32)/1000+'Inputs'!$B$21+'Inputs'!$B$9+'Inputs'!$B$10))^2+('Inputs'!$B$6/2)^2))))*'Results'!$B$8)-'Inputs'!$B$28*ABS((('Results'!C7*(1-'Inputs'!$B$24)*(0.5*((((669-43)*MAX('Inputs'!$B$33,'Inputs'!$B$29+'Inputs'!$B$31+'Inputs'!$B$32,'Inputs'!$B$30+'Inputs'!$B$31+'Inputs'!$B$32)/1000+'Inputs'!$B$21)+'Inputs'!$B$9)/SQRT((((669-43)*MAX('Inputs'!$B$33,'Inputs'!$B$29+'Inputs'!$B$31+'Inputs'!$B$32,'Inputs'!$B$30+'Inputs'!$B$31+'Inputs'!$B$32)/1000+'Inputs'!$B$21)+'Inputs'!$B$9)^2+('Inputs'!$B$8/2)^2)-(((669-43)*MAX('Inputs'!$B$33,'Inputs'!$B$29+'Inputs'!$B$31+'Inputs'!$B$32,'Inputs'!$B$30+'Inputs'!$B$31+'Inputs'!$B$32)/1000+'Inputs'!$B$21))/SQRT((((669-43)*MAX('Inputs'!$B$33,'Inputs'!$B$29+'Inputs'!$B$31+'Inputs'!$B$32,'Inputs'!$B$30+'Inputs'!$B$31+'Inputs'!$B$32)/1000+'Inputs'!$B$21))^2+('Inputs'!$B$8/2)^2)))-'Results'!B7*(1+'Inputs'!$B$24)*(0.5*((((669-43)*MAX('Inputs'!$B$33,'Inputs'!$B$29+'Inputs'!$B$31+'Inputs'!$B$32,'Inputs'!$B$30+'Inputs'!$B$31+'Inputs'!$B$32)/1000+'Inputs'!$B$21+'Inputs'!$B$9+'Inputs'!$B$10)+'Inputs'!$B$7)/SQRT((((669-43)*MAX('Inputs'!$B$33,'Inputs'!$B$29+'Inputs'!$B$31+'Inputs'!$B$32,'Inputs'!$B$30+'Inputs'!$B$31+'Inputs'!$B$32)/1000+'Inputs'!$B$21+'Inputs'!$B$9+'Inputs'!$B$10)+'Inputs'!$B$7)^2+('Inputs'!$B$6/2)^2)-(((669-43)*MAX('Inputs'!$B$33,'Inputs'!$B$29+'Inputs'!$B$31+'Inputs'!$B$32,'Inputs'!$B$30+'Inputs'!$B$31+'Inputs'!$B$32)/1000+'Inputs'!$B$21+'Inputs'!$B$9+'Inputs'!$B$10))/SQRT((((669-43)*MAX('Inputs'!$B$33,'Inputs'!$B$29+'Inputs'!$B$31+'Inputs'!$B$32,'Inputs'!$B$30+'Inputs'!$B$31+'Inputs'!$B$32)/1000+'Inputs'!$B$21+'Inputs'!$B$9+'Inputs'!$B$10))^2+('Inputs'!$B$6/2)^2))))*'Results'!$B$8))),"")</x:f>
        <x:v>1.5268667138891852</x:v>
      </x:c>
      <x:c r="O669" t="n">
        <x:f>IF(AND(ISNUMBER('Results'!C7),ISNUMBER('Results'!B7),ISNUMBER('Results'!$B$8),ISNUMBER('Inputs'!$B$6),ISNUMBER('Inputs'!$B$7),ISNUMBER('Inputs'!$B$8),ISNUMBER('Inputs'!$B$9),ISNUMBER('Inputs'!$B$10),ISNUMBER('Inputs'!$B$21),ISNUMBER('Inputs'!$B$24),ISNUMBER('Inputs'!$B$28)),((('Results'!C7*(1+'Inputs'!$B$24)*(0.5*((((669-43)*MAX('Inputs'!$B$33,'Inputs'!$B$29+'Inputs'!$B$31+'Inputs'!$B$32,'Inputs'!$B$30+'Inputs'!$B$31+'Inputs'!$B$32)/1000+'Inputs'!$B$21)+'Inputs'!$B$9)/SQRT((((669-43)*MAX('Inputs'!$B$33,'Inputs'!$B$29+'Inputs'!$B$31+'Inputs'!$B$32,'Inputs'!$B$30+'Inputs'!$B$31+'Inputs'!$B$32)/1000+'Inputs'!$B$21)+'Inputs'!$B$9)^2+('Inputs'!$B$8/2)^2)-(((669-43)*MAX('Inputs'!$B$33,'Inputs'!$B$29+'Inputs'!$B$31+'Inputs'!$B$32,'Inputs'!$B$30+'Inputs'!$B$31+'Inputs'!$B$32)/1000+'Inputs'!$B$21))/SQRT((((669-43)*MAX('Inputs'!$B$33,'Inputs'!$B$29+'Inputs'!$B$31+'Inputs'!$B$32,'Inputs'!$B$30+'Inputs'!$B$31+'Inputs'!$B$32)/1000+'Inputs'!$B$21))^2+('Inputs'!$B$8/2)^2)))-'Results'!B7*(1-'Inputs'!$B$24)*(0.5*((((669-43)*MAX('Inputs'!$B$33,'Inputs'!$B$29+'Inputs'!$B$31+'Inputs'!$B$32,'Inputs'!$B$30+'Inputs'!$B$31+'Inputs'!$B$32)/1000+'Inputs'!$B$21+'Inputs'!$B$9+'Inputs'!$B$10)+'Inputs'!$B$7)/SQRT((((669-43)*MAX('Inputs'!$B$33,'Inputs'!$B$29+'Inputs'!$B$31+'Inputs'!$B$32,'Inputs'!$B$30+'Inputs'!$B$31+'Inputs'!$B$32)/1000+'Inputs'!$B$21+'Inputs'!$B$9+'Inputs'!$B$10)+'Inputs'!$B$7)^2+('Inputs'!$B$6/2)^2)-(((669-43)*MAX('Inputs'!$B$33,'Inputs'!$B$29+'Inputs'!$B$31+'Inputs'!$B$32,'Inputs'!$B$30+'Inputs'!$B$31+'Inputs'!$B$32)/1000+'Inputs'!$B$21+'Inputs'!$B$9+'Inputs'!$B$10))/SQRT((((669-43)*MAX('Inputs'!$B$33,'Inputs'!$B$29+'Inputs'!$B$31+'Inputs'!$B$32,'Inputs'!$B$30+'Inputs'!$B$31+'Inputs'!$B$32)/1000+'Inputs'!$B$21+'Inputs'!$B$9+'Inputs'!$B$10))^2+('Inputs'!$B$6/2)^2))))*'Results'!$B$8)+'Inputs'!$B$28*ABS((('Results'!C7*(1+'Inputs'!$B$24)*(0.5*((((669-43)*MAX('Inputs'!$B$33,'Inputs'!$B$29+'Inputs'!$B$31+'Inputs'!$B$32,'Inputs'!$B$30+'Inputs'!$B$31+'Inputs'!$B$32)/1000+'Inputs'!$B$21)+'Inputs'!$B$9)/SQRT((((669-43)*MAX('Inputs'!$B$33,'Inputs'!$B$29+'Inputs'!$B$31+'Inputs'!$B$32,'Inputs'!$B$30+'Inputs'!$B$31+'Inputs'!$B$32)/1000+'Inputs'!$B$21)+'Inputs'!$B$9)^2+('Inputs'!$B$8/2)^2)-(((669-43)*MAX('Inputs'!$B$33,'Inputs'!$B$29+'Inputs'!$B$31+'Inputs'!$B$32,'Inputs'!$B$30+'Inputs'!$B$31+'Inputs'!$B$32)/1000+'Inputs'!$B$21))/SQRT((((669-43)*MAX('Inputs'!$B$33,'Inputs'!$B$29+'Inputs'!$B$31+'Inputs'!$B$32,'Inputs'!$B$30+'Inputs'!$B$31+'Inputs'!$B$32)/1000+'Inputs'!$B$21))^2+('Inputs'!$B$8/2)^2)))-'Results'!B7*(1-'Inputs'!$B$24)*(0.5*((((669-43)*MAX('Inputs'!$B$33,'Inputs'!$B$29+'Inputs'!$B$31+'Inputs'!$B$32,'Inputs'!$B$30+'Inputs'!$B$31+'Inputs'!$B$32)/1000+'Inputs'!$B$21+'Inputs'!$B$9+'Inputs'!$B$10)+'Inputs'!$B$7)/SQRT((((669-43)*MAX('Inputs'!$B$33,'Inputs'!$B$29+'Inputs'!$B$31+'Inputs'!$B$32,'Inputs'!$B$30+'Inputs'!$B$31+'Inputs'!$B$32)/1000+'Inputs'!$B$21+'Inputs'!$B$9+'Inputs'!$B$10)+'Inputs'!$B$7)^2+('Inputs'!$B$6/2)^2)-(((669-43)*MAX('Inputs'!$B$33,'Inputs'!$B$29+'Inputs'!$B$31+'Inputs'!$B$32,'Inputs'!$B$30+'Inputs'!$B$31+'Inputs'!$B$32)/1000+'Inputs'!$B$21+'Inputs'!$B$9+'Inputs'!$B$10))/SQRT((((669-43)*MAX('Inputs'!$B$33,'Inputs'!$B$29+'Inputs'!$B$31+'Inputs'!$B$32,'Inputs'!$B$30+'Inputs'!$B$31+'Inputs'!$B$32)/1000+'Inputs'!$B$21+'Inputs'!$B$9+'Inputs'!$B$10))^2+('Inputs'!$B$6/2)^2))))*'Results'!$B$8))),"")</x:f>
        <x:v>2.0119201412146164</x:v>
      </x:c>
      <x:c r="P669" t="n">
        <x:f>IF(AND(MAX(J669,J668)&gt;0,J669&gt;J668+0.00000001),1,0)</x:f>
        <x:v>0</x:v>
      </x:c>
      <x:c r="Q669" t="n">
        <x:f>IF(AND(MAX(K669,K668)&gt;0,K669&gt;K668+0.00000001),1,0)</x:f>
        <x:v>0</x:v>
      </x:c>
      <x:c r="R669" t="n">
        <x:f>IF(AND(MAX(L669,L668)&gt;0,L669&gt;L668+0.00000001),1,0)</x:f>
        <x:v>0</x:v>
      </x:c>
      <x:c r="S669" t="n">
        <x:f>IF(AND(MAX(M669,M668)&gt;0,M669&gt;M668+0.00000001),1,0)</x:f>
        <x:v>0</x:v>
      </x:c>
      <x:c r="T669" t="n">
        <x:f>IF(AND(MAX(N669,N668)&gt;0,N669&gt;N668+0.00000001),1,0)</x:f>
        <x:v>0</x:v>
      </x:c>
      <x:c r="U669" t="n">
        <x:f>IF(AND(MAX(O669,O668)&gt;0,O669&gt;O668+0.00000001),1,0)</x:f>
        <x:v>0</x:v>
      </x:c>
    </x:row>
    <x:row r="670">
      <x:c r="J670" t="n">
        <x:f>IF(AND(ISNUMBER('Results'!B7),ISNUMBER('Results'!C7),ISNUMBER('Results'!$B$8),ISNUMBER('Inputs'!$B$6),ISNUMBER('Inputs'!$B$7),ISNUMBER('Inputs'!$B$8),ISNUMBER('Inputs'!$B$9),ISNUMBER('Inputs'!$B$10),ISNUMBER('Inputs'!$B$21),ISNUMBER('Inputs'!$B$24),ISNUMBER('Inputs'!$B$28)),(('Results'!B7*(0.5*((((670-43)*MAX('Inputs'!$B$33,'Inputs'!$B$29+'Inputs'!$B$31+'Inputs'!$B$32,'Inputs'!$B$30+'Inputs'!$B$31+'Inputs'!$B$32)/1000+'Inputs'!$B$21)+'Inputs'!$B$7)/SQRT((((670-43)*MAX('Inputs'!$B$33,'Inputs'!$B$29+'Inputs'!$B$31+'Inputs'!$B$32,'Inputs'!$B$30+'Inputs'!$B$31+'Inputs'!$B$32)/1000+'Inputs'!$B$21)+'Inputs'!$B$7)^2+('Inputs'!$B$6/2)^2)-(((670-43)*MAX('Inputs'!$B$33,'Inputs'!$B$29+'Inputs'!$B$31+'Inputs'!$B$32,'Inputs'!$B$30+'Inputs'!$B$31+'Inputs'!$B$32)/1000+'Inputs'!$B$21))/SQRT((((670-43)*MAX('Inputs'!$B$33,'Inputs'!$B$29+'Inputs'!$B$31+'Inputs'!$B$32,'Inputs'!$B$30+'Inputs'!$B$31+'Inputs'!$B$32)/1000+'Inputs'!$B$21))^2+('Inputs'!$B$6/2)^2)))-'Results'!C7*(0.5*((((670-43)*MAX('Inputs'!$B$33,'Inputs'!$B$29+'Inputs'!$B$31+'Inputs'!$B$32,'Inputs'!$B$30+'Inputs'!$B$31+'Inputs'!$B$32)/1000+'Inputs'!$B$21+'Inputs'!$B$7+'Inputs'!$B$10)+'Inputs'!$B$9)/SQRT((((670-43)*MAX('Inputs'!$B$33,'Inputs'!$B$29+'Inputs'!$B$31+'Inputs'!$B$32,'Inputs'!$B$30+'Inputs'!$B$31+'Inputs'!$B$32)/1000+'Inputs'!$B$21+'Inputs'!$B$7+'Inputs'!$B$10)+'Inputs'!$B$9)^2+('Inputs'!$B$8/2)^2)-(((670-43)*MAX('Inputs'!$B$33,'Inputs'!$B$29+'Inputs'!$B$31+'Inputs'!$B$32,'Inputs'!$B$30+'Inputs'!$B$31+'Inputs'!$B$32)/1000+'Inputs'!$B$21+'Inputs'!$B$7+'Inputs'!$B$10))/SQRT((((670-43)*MAX('Inputs'!$B$33,'Inputs'!$B$29+'Inputs'!$B$31+'Inputs'!$B$32,'Inputs'!$B$30+'Inputs'!$B$31+'Inputs'!$B$32)/1000+'Inputs'!$B$21+'Inputs'!$B$7+'Inputs'!$B$10))^2+('Inputs'!$B$8/2)^2))))*'Results'!$B$8),"")</x:f>
        <x:v>1.9073261051322135</x:v>
      </x:c>
      <x:c r="K670" t="n">
        <x:f>IF(AND(ISNUMBER('Results'!B7),ISNUMBER('Results'!C7),ISNUMBER('Results'!$B$8),ISNUMBER('Inputs'!$B$6),ISNUMBER('Inputs'!$B$7),ISNUMBER('Inputs'!$B$8),ISNUMBER('Inputs'!$B$9),ISNUMBER('Inputs'!$B$10),ISNUMBER('Inputs'!$B$21),ISNUMBER('Inputs'!$B$24),ISNUMBER('Inputs'!$B$28)),((('Results'!B7*(1-'Inputs'!$B$24)*(0.5*((((670-43)*MAX('Inputs'!$B$33,'Inputs'!$B$29+'Inputs'!$B$31+'Inputs'!$B$32,'Inputs'!$B$30+'Inputs'!$B$31+'Inputs'!$B$32)/1000+'Inputs'!$B$21)+'Inputs'!$B$7)/SQRT((((670-43)*MAX('Inputs'!$B$33,'Inputs'!$B$29+'Inputs'!$B$31+'Inputs'!$B$32,'Inputs'!$B$30+'Inputs'!$B$31+'Inputs'!$B$32)/1000+'Inputs'!$B$21)+'Inputs'!$B$7)^2+('Inputs'!$B$6/2)^2)-(((670-43)*MAX('Inputs'!$B$33,'Inputs'!$B$29+'Inputs'!$B$31+'Inputs'!$B$32,'Inputs'!$B$30+'Inputs'!$B$31+'Inputs'!$B$32)/1000+'Inputs'!$B$21))/SQRT((((670-43)*MAX('Inputs'!$B$33,'Inputs'!$B$29+'Inputs'!$B$31+'Inputs'!$B$32,'Inputs'!$B$30+'Inputs'!$B$31+'Inputs'!$B$32)/1000+'Inputs'!$B$21))^2+('Inputs'!$B$6/2)^2)))-'Results'!C7*(1+'Inputs'!$B$24)*(0.5*((((670-43)*MAX('Inputs'!$B$33,'Inputs'!$B$29+'Inputs'!$B$31+'Inputs'!$B$32,'Inputs'!$B$30+'Inputs'!$B$31+'Inputs'!$B$32)/1000+'Inputs'!$B$21+'Inputs'!$B$7+'Inputs'!$B$10)+'Inputs'!$B$9)/SQRT((((670-43)*MAX('Inputs'!$B$33,'Inputs'!$B$29+'Inputs'!$B$31+'Inputs'!$B$32,'Inputs'!$B$30+'Inputs'!$B$31+'Inputs'!$B$32)/1000+'Inputs'!$B$21+'Inputs'!$B$7+'Inputs'!$B$10)+'Inputs'!$B$9)^2+('Inputs'!$B$8/2)^2)-(((670-43)*MAX('Inputs'!$B$33,'Inputs'!$B$29+'Inputs'!$B$31+'Inputs'!$B$32,'Inputs'!$B$30+'Inputs'!$B$31+'Inputs'!$B$32)/1000+'Inputs'!$B$21+'Inputs'!$B$7+'Inputs'!$B$10))/SQRT((((670-43)*MAX('Inputs'!$B$33,'Inputs'!$B$29+'Inputs'!$B$31+'Inputs'!$B$32,'Inputs'!$B$30+'Inputs'!$B$31+'Inputs'!$B$32)/1000+'Inputs'!$B$21+'Inputs'!$B$7+'Inputs'!$B$10))^2+('Inputs'!$B$8/2)^2))))*'Results'!$B$8)-'Inputs'!$B$28*ABS((('Results'!B7*(1-'Inputs'!$B$24)*(0.5*((((670-43)*MAX('Inputs'!$B$33,'Inputs'!$B$29+'Inputs'!$B$31+'Inputs'!$B$32,'Inputs'!$B$30+'Inputs'!$B$31+'Inputs'!$B$32)/1000+'Inputs'!$B$21)+'Inputs'!$B$7)/SQRT((((670-43)*MAX('Inputs'!$B$33,'Inputs'!$B$29+'Inputs'!$B$31+'Inputs'!$B$32,'Inputs'!$B$30+'Inputs'!$B$31+'Inputs'!$B$32)/1000+'Inputs'!$B$21)+'Inputs'!$B$7)^2+('Inputs'!$B$6/2)^2)-(((670-43)*MAX('Inputs'!$B$33,'Inputs'!$B$29+'Inputs'!$B$31+'Inputs'!$B$32,'Inputs'!$B$30+'Inputs'!$B$31+'Inputs'!$B$32)/1000+'Inputs'!$B$21))/SQRT((((670-43)*MAX('Inputs'!$B$33,'Inputs'!$B$29+'Inputs'!$B$31+'Inputs'!$B$32,'Inputs'!$B$30+'Inputs'!$B$31+'Inputs'!$B$32)/1000+'Inputs'!$B$21))^2+('Inputs'!$B$6/2)^2)))-'Results'!C7*(1+'Inputs'!$B$24)*(0.5*((((670-43)*MAX('Inputs'!$B$33,'Inputs'!$B$29+'Inputs'!$B$31+'Inputs'!$B$32,'Inputs'!$B$30+'Inputs'!$B$31+'Inputs'!$B$32)/1000+'Inputs'!$B$21+'Inputs'!$B$7+'Inputs'!$B$10)+'Inputs'!$B$9)/SQRT((((670-43)*MAX('Inputs'!$B$33,'Inputs'!$B$29+'Inputs'!$B$31+'Inputs'!$B$32,'Inputs'!$B$30+'Inputs'!$B$31+'Inputs'!$B$32)/1000+'Inputs'!$B$21+'Inputs'!$B$7+'Inputs'!$B$10)+'Inputs'!$B$9)^2+('Inputs'!$B$8/2)^2)-(((670-43)*MAX('Inputs'!$B$33,'Inputs'!$B$29+'Inputs'!$B$31+'Inputs'!$B$32,'Inputs'!$B$30+'Inputs'!$B$31+'Inputs'!$B$32)/1000+'Inputs'!$B$21+'Inputs'!$B$7+'Inputs'!$B$10))/SQRT((((670-43)*MAX('Inputs'!$B$33,'Inputs'!$B$29+'Inputs'!$B$31+'Inputs'!$B$32,'Inputs'!$B$30+'Inputs'!$B$31+'Inputs'!$B$32)/1000+'Inputs'!$B$21+'Inputs'!$B$7+'Inputs'!$B$10))^2+('Inputs'!$B$8/2)^2))))*'Results'!$B$8))),"")</x:f>
        <x:v>1.6651686778729151</x:v>
      </x:c>
      <x:c r="L670" t="n">
        <x:f>IF(AND(ISNUMBER('Results'!B7),ISNUMBER('Results'!C7),ISNUMBER('Results'!$B$8),ISNUMBER('Inputs'!$B$6),ISNUMBER('Inputs'!$B$7),ISNUMBER('Inputs'!$B$8),ISNUMBER('Inputs'!$B$9),ISNUMBER('Inputs'!$B$10),ISNUMBER('Inputs'!$B$21),ISNUMBER('Inputs'!$B$24),ISNUMBER('Inputs'!$B$28)),((('Results'!B7*(1+'Inputs'!$B$24)*(0.5*((((670-43)*MAX('Inputs'!$B$33,'Inputs'!$B$29+'Inputs'!$B$31+'Inputs'!$B$32,'Inputs'!$B$30+'Inputs'!$B$31+'Inputs'!$B$32)/1000+'Inputs'!$B$21)+'Inputs'!$B$7)/SQRT((((670-43)*MAX('Inputs'!$B$33,'Inputs'!$B$29+'Inputs'!$B$31+'Inputs'!$B$32,'Inputs'!$B$30+'Inputs'!$B$31+'Inputs'!$B$32)/1000+'Inputs'!$B$21)+'Inputs'!$B$7)^2+('Inputs'!$B$6/2)^2)-(((670-43)*MAX('Inputs'!$B$33,'Inputs'!$B$29+'Inputs'!$B$31+'Inputs'!$B$32,'Inputs'!$B$30+'Inputs'!$B$31+'Inputs'!$B$32)/1000+'Inputs'!$B$21))/SQRT((((670-43)*MAX('Inputs'!$B$33,'Inputs'!$B$29+'Inputs'!$B$31+'Inputs'!$B$32,'Inputs'!$B$30+'Inputs'!$B$31+'Inputs'!$B$32)/1000+'Inputs'!$B$21))^2+('Inputs'!$B$6/2)^2)))-'Results'!C7*(1-'Inputs'!$B$24)*(0.5*((((670-43)*MAX('Inputs'!$B$33,'Inputs'!$B$29+'Inputs'!$B$31+'Inputs'!$B$32,'Inputs'!$B$30+'Inputs'!$B$31+'Inputs'!$B$32)/1000+'Inputs'!$B$21+'Inputs'!$B$7+'Inputs'!$B$10)+'Inputs'!$B$9)/SQRT((((670-43)*MAX('Inputs'!$B$33,'Inputs'!$B$29+'Inputs'!$B$31+'Inputs'!$B$32,'Inputs'!$B$30+'Inputs'!$B$31+'Inputs'!$B$32)/1000+'Inputs'!$B$21+'Inputs'!$B$7+'Inputs'!$B$10)+'Inputs'!$B$9)^2+('Inputs'!$B$8/2)^2)-(((670-43)*MAX('Inputs'!$B$33,'Inputs'!$B$29+'Inputs'!$B$31+'Inputs'!$B$32,'Inputs'!$B$30+'Inputs'!$B$31+'Inputs'!$B$32)/1000+'Inputs'!$B$21+'Inputs'!$B$7+'Inputs'!$B$10))/SQRT((((670-43)*MAX('Inputs'!$B$33,'Inputs'!$B$29+'Inputs'!$B$31+'Inputs'!$B$32,'Inputs'!$B$30+'Inputs'!$B$31+'Inputs'!$B$32)/1000+'Inputs'!$B$21+'Inputs'!$B$7+'Inputs'!$B$10))^2+('Inputs'!$B$8/2)^2))))*'Results'!$B$8)+'Inputs'!$B$28*ABS((('Results'!B7*(1+'Inputs'!$B$24)*(0.5*((((670-43)*MAX('Inputs'!$B$33,'Inputs'!$B$29+'Inputs'!$B$31+'Inputs'!$B$32,'Inputs'!$B$30+'Inputs'!$B$31+'Inputs'!$B$32)/1000+'Inputs'!$B$21)+'Inputs'!$B$7)/SQRT((((670-43)*MAX('Inputs'!$B$33,'Inputs'!$B$29+'Inputs'!$B$31+'Inputs'!$B$32,'Inputs'!$B$30+'Inputs'!$B$31+'Inputs'!$B$32)/1000+'Inputs'!$B$21)+'Inputs'!$B$7)^2+('Inputs'!$B$6/2)^2)-(((670-43)*MAX('Inputs'!$B$33,'Inputs'!$B$29+'Inputs'!$B$31+'Inputs'!$B$32,'Inputs'!$B$30+'Inputs'!$B$31+'Inputs'!$B$32)/1000+'Inputs'!$B$21))/SQRT((((670-43)*MAX('Inputs'!$B$33,'Inputs'!$B$29+'Inputs'!$B$31+'Inputs'!$B$32,'Inputs'!$B$30+'Inputs'!$B$31+'Inputs'!$B$32)/1000+'Inputs'!$B$21))^2+('Inputs'!$B$6/2)^2)))-'Results'!C7*(1-'Inputs'!$B$24)*(0.5*((((670-43)*MAX('Inputs'!$B$33,'Inputs'!$B$29+'Inputs'!$B$31+'Inputs'!$B$32,'Inputs'!$B$30+'Inputs'!$B$31+'Inputs'!$B$32)/1000+'Inputs'!$B$21+'Inputs'!$B$7+'Inputs'!$B$10)+'Inputs'!$B$9)/SQRT((((670-43)*MAX('Inputs'!$B$33,'Inputs'!$B$29+'Inputs'!$B$31+'Inputs'!$B$32,'Inputs'!$B$30+'Inputs'!$B$31+'Inputs'!$B$32)/1000+'Inputs'!$B$21+'Inputs'!$B$7+'Inputs'!$B$10)+'Inputs'!$B$9)^2+('Inputs'!$B$8/2)^2)-(((670-43)*MAX('Inputs'!$B$33,'Inputs'!$B$29+'Inputs'!$B$31+'Inputs'!$B$32,'Inputs'!$B$30+'Inputs'!$B$31+'Inputs'!$B$32)/1000+'Inputs'!$B$21+'Inputs'!$B$7+'Inputs'!$B$10))/SQRT((((670-43)*MAX('Inputs'!$B$33,'Inputs'!$B$29+'Inputs'!$B$31+'Inputs'!$B$32,'Inputs'!$B$30+'Inputs'!$B$31+'Inputs'!$B$32)/1000+'Inputs'!$B$21+'Inputs'!$B$7+'Inputs'!$B$10))^2+('Inputs'!$B$8/2)^2))))*'Results'!$B$8))),"")</x:f>
        <x:v>2.164935229444427</x:v>
      </x:c>
      <x:c r="M670" t="n">
        <x:f>IF(AND(ISNUMBER('Results'!C7),ISNUMBER('Results'!B7),ISNUMBER('Results'!$B$8),ISNUMBER('Inputs'!$B$6),ISNUMBER('Inputs'!$B$7),ISNUMBER('Inputs'!$B$8),ISNUMBER('Inputs'!$B$9),ISNUMBER('Inputs'!$B$10),ISNUMBER('Inputs'!$B$21),ISNUMBER('Inputs'!$B$24),ISNUMBER('Inputs'!$B$28)),(('Results'!C7*(0.5*((((670-43)*MAX('Inputs'!$B$33,'Inputs'!$B$29+'Inputs'!$B$31+'Inputs'!$B$32,'Inputs'!$B$30+'Inputs'!$B$31+'Inputs'!$B$32)/1000+'Inputs'!$B$21)+'Inputs'!$B$9)/SQRT((((670-43)*MAX('Inputs'!$B$33,'Inputs'!$B$29+'Inputs'!$B$31+'Inputs'!$B$32,'Inputs'!$B$30+'Inputs'!$B$31+'Inputs'!$B$32)/1000+'Inputs'!$B$21)+'Inputs'!$B$9)^2+('Inputs'!$B$8/2)^2)-(((670-43)*MAX('Inputs'!$B$33,'Inputs'!$B$29+'Inputs'!$B$31+'Inputs'!$B$32,'Inputs'!$B$30+'Inputs'!$B$31+'Inputs'!$B$32)/1000+'Inputs'!$B$21))/SQRT((((670-43)*MAX('Inputs'!$B$33,'Inputs'!$B$29+'Inputs'!$B$31+'Inputs'!$B$32,'Inputs'!$B$30+'Inputs'!$B$31+'Inputs'!$B$32)/1000+'Inputs'!$B$21))^2+('Inputs'!$B$8/2)^2)))-'Results'!B7*(0.5*((((670-43)*MAX('Inputs'!$B$33,'Inputs'!$B$29+'Inputs'!$B$31+'Inputs'!$B$32,'Inputs'!$B$30+'Inputs'!$B$31+'Inputs'!$B$32)/1000+'Inputs'!$B$21+'Inputs'!$B$9+'Inputs'!$B$10)+'Inputs'!$B$7)/SQRT((((670-43)*MAX('Inputs'!$B$33,'Inputs'!$B$29+'Inputs'!$B$31+'Inputs'!$B$32,'Inputs'!$B$30+'Inputs'!$B$31+'Inputs'!$B$32)/1000+'Inputs'!$B$21+'Inputs'!$B$9+'Inputs'!$B$10)+'Inputs'!$B$7)^2+('Inputs'!$B$6/2)^2)-(((670-43)*MAX('Inputs'!$B$33,'Inputs'!$B$29+'Inputs'!$B$31+'Inputs'!$B$32,'Inputs'!$B$30+'Inputs'!$B$31+'Inputs'!$B$32)/1000+'Inputs'!$B$21+'Inputs'!$B$9+'Inputs'!$B$10))/SQRT((((670-43)*MAX('Inputs'!$B$33,'Inputs'!$B$29+'Inputs'!$B$31+'Inputs'!$B$32,'Inputs'!$B$30+'Inputs'!$B$31+'Inputs'!$B$32)/1000+'Inputs'!$B$21+'Inputs'!$B$9+'Inputs'!$B$10))^2+('Inputs'!$B$6/2)^2))))*'Results'!$B$8),"")</x:f>
        <x:v>1.7516216810476966</x:v>
      </x:c>
      <x:c r="N670" t="n">
        <x:f>IF(AND(ISNUMBER('Results'!C7),ISNUMBER('Results'!B7),ISNUMBER('Results'!$B$8),ISNUMBER('Inputs'!$B$6),ISNUMBER('Inputs'!$B$7),ISNUMBER('Inputs'!$B$8),ISNUMBER('Inputs'!$B$9),ISNUMBER('Inputs'!$B$10),ISNUMBER('Inputs'!$B$21),ISNUMBER('Inputs'!$B$24),ISNUMBER('Inputs'!$B$28)),((('Results'!C7*(1-'Inputs'!$B$24)*(0.5*((((670-43)*MAX('Inputs'!$B$33,'Inputs'!$B$29+'Inputs'!$B$31+'Inputs'!$B$32,'Inputs'!$B$30+'Inputs'!$B$31+'Inputs'!$B$32)/1000+'Inputs'!$B$21)+'Inputs'!$B$9)/SQRT((((670-43)*MAX('Inputs'!$B$33,'Inputs'!$B$29+'Inputs'!$B$31+'Inputs'!$B$32,'Inputs'!$B$30+'Inputs'!$B$31+'Inputs'!$B$32)/1000+'Inputs'!$B$21)+'Inputs'!$B$9)^2+('Inputs'!$B$8/2)^2)-(((670-43)*MAX('Inputs'!$B$33,'Inputs'!$B$29+'Inputs'!$B$31+'Inputs'!$B$32,'Inputs'!$B$30+'Inputs'!$B$31+'Inputs'!$B$32)/1000+'Inputs'!$B$21))/SQRT((((670-43)*MAX('Inputs'!$B$33,'Inputs'!$B$29+'Inputs'!$B$31+'Inputs'!$B$32,'Inputs'!$B$30+'Inputs'!$B$31+'Inputs'!$B$32)/1000+'Inputs'!$B$21))^2+('Inputs'!$B$8/2)^2)))-'Results'!B7*(1+'Inputs'!$B$24)*(0.5*((((670-43)*MAX('Inputs'!$B$33,'Inputs'!$B$29+'Inputs'!$B$31+'Inputs'!$B$32,'Inputs'!$B$30+'Inputs'!$B$31+'Inputs'!$B$32)/1000+'Inputs'!$B$21+'Inputs'!$B$9+'Inputs'!$B$10)+'Inputs'!$B$7)/SQRT((((670-43)*MAX('Inputs'!$B$33,'Inputs'!$B$29+'Inputs'!$B$31+'Inputs'!$B$32,'Inputs'!$B$30+'Inputs'!$B$31+'Inputs'!$B$32)/1000+'Inputs'!$B$21+'Inputs'!$B$9+'Inputs'!$B$10)+'Inputs'!$B$7)^2+('Inputs'!$B$6/2)^2)-(((670-43)*MAX('Inputs'!$B$33,'Inputs'!$B$29+'Inputs'!$B$31+'Inputs'!$B$32,'Inputs'!$B$30+'Inputs'!$B$31+'Inputs'!$B$32)/1000+'Inputs'!$B$21+'Inputs'!$B$9+'Inputs'!$B$10))/SQRT((((670-43)*MAX('Inputs'!$B$33,'Inputs'!$B$29+'Inputs'!$B$31+'Inputs'!$B$32,'Inputs'!$B$30+'Inputs'!$B$31+'Inputs'!$B$32)/1000+'Inputs'!$B$21+'Inputs'!$B$9+'Inputs'!$B$10))^2+('Inputs'!$B$6/2)^2))))*'Results'!$B$8)-'Inputs'!$B$28*ABS((('Results'!C7*(1-'Inputs'!$B$24)*(0.5*((((670-43)*MAX('Inputs'!$B$33,'Inputs'!$B$29+'Inputs'!$B$31+'Inputs'!$B$32,'Inputs'!$B$30+'Inputs'!$B$31+'Inputs'!$B$32)/1000+'Inputs'!$B$21)+'Inputs'!$B$9)/SQRT((((670-43)*MAX('Inputs'!$B$33,'Inputs'!$B$29+'Inputs'!$B$31+'Inputs'!$B$32,'Inputs'!$B$30+'Inputs'!$B$31+'Inputs'!$B$32)/1000+'Inputs'!$B$21)+'Inputs'!$B$9)^2+('Inputs'!$B$8/2)^2)-(((670-43)*MAX('Inputs'!$B$33,'Inputs'!$B$29+'Inputs'!$B$31+'Inputs'!$B$32,'Inputs'!$B$30+'Inputs'!$B$31+'Inputs'!$B$32)/1000+'Inputs'!$B$21))/SQRT((((670-43)*MAX('Inputs'!$B$33,'Inputs'!$B$29+'Inputs'!$B$31+'Inputs'!$B$32,'Inputs'!$B$30+'Inputs'!$B$31+'Inputs'!$B$32)/1000+'Inputs'!$B$21))^2+('Inputs'!$B$8/2)^2)))-'Results'!B7*(1+'Inputs'!$B$24)*(0.5*((((670-43)*MAX('Inputs'!$B$33,'Inputs'!$B$29+'Inputs'!$B$31+'Inputs'!$B$32,'Inputs'!$B$30+'Inputs'!$B$31+'Inputs'!$B$32)/1000+'Inputs'!$B$21+'Inputs'!$B$9+'Inputs'!$B$10)+'Inputs'!$B$7)/SQRT((((670-43)*MAX('Inputs'!$B$33,'Inputs'!$B$29+'Inputs'!$B$31+'Inputs'!$B$32,'Inputs'!$B$30+'Inputs'!$B$31+'Inputs'!$B$32)/1000+'Inputs'!$B$21+'Inputs'!$B$9+'Inputs'!$B$10)+'Inputs'!$B$7)^2+('Inputs'!$B$6/2)^2)-(((670-43)*MAX('Inputs'!$B$33,'Inputs'!$B$29+'Inputs'!$B$31+'Inputs'!$B$32,'Inputs'!$B$30+'Inputs'!$B$31+'Inputs'!$B$32)/1000+'Inputs'!$B$21+'Inputs'!$B$9+'Inputs'!$B$10))/SQRT((((670-43)*MAX('Inputs'!$B$33,'Inputs'!$B$29+'Inputs'!$B$31+'Inputs'!$B$32,'Inputs'!$B$30+'Inputs'!$B$31+'Inputs'!$B$32)/1000+'Inputs'!$B$21+'Inputs'!$B$9+'Inputs'!$B$10))^2+('Inputs'!$B$6/2)^2))))*'Results'!$B$8))),"")</x:f>
        <x:v>1.517951697295022</x:v>
      </x:c>
      <x:c r="O670" t="n">
        <x:f>IF(AND(ISNUMBER('Results'!C7),ISNUMBER('Results'!B7),ISNUMBER('Results'!$B$8),ISNUMBER('Inputs'!$B$6),ISNUMBER('Inputs'!$B$7),ISNUMBER('Inputs'!$B$8),ISNUMBER('Inputs'!$B$9),ISNUMBER('Inputs'!$B$10),ISNUMBER('Inputs'!$B$21),ISNUMBER('Inputs'!$B$24),ISNUMBER('Inputs'!$B$28)),((('Results'!C7*(1+'Inputs'!$B$24)*(0.5*((((670-43)*MAX('Inputs'!$B$33,'Inputs'!$B$29+'Inputs'!$B$31+'Inputs'!$B$32,'Inputs'!$B$30+'Inputs'!$B$31+'Inputs'!$B$32)/1000+'Inputs'!$B$21)+'Inputs'!$B$9)/SQRT((((670-43)*MAX('Inputs'!$B$33,'Inputs'!$B$29+'Inputs'!$B$31+'Inputs'!$B$32,'Inputs'!$B$30+'Inputs'!$B$31+'Inputs'!$B$32)/1000+'Inputs'!$B$21)+'Inputs'!$B$9)^2+('Inputs'!$B$8/2)^2)-(((670-43)*MAX('Inputs'!$B$33,'Inputs'!$B$29+'Inputs'!$B$31+'Inputs'!$B$32,'Inputs'!$B$30+'Inputs'!$B$31+'Inputs'!$B$32)/1000+'Inputs'!$B$21))/SQRT((((670-43)*MAX('Inputs'!$B$33,'Inputs'!$B$29+'Inputs'!$B$31+'Inputs'!$B$32,'Inputs'!$B$30+'Inputs'!$B$31+'Inputs'!$B$32)/1000+'Inputs'!$B$21))^2+('Inputs'!$B$8/2)^2)))-'Results'!B7*(1-'Inputs'!$B$24)*(0.5*((((670-43)*MAX('Inputs'!$B$33,'Inputs'!$B$29+'Inputs'!$B$31+'Inputs'!$B$32,'Inputs'!$B$30+'Inputs'!$B$31+'Inputs'!$B$32)/1000+'Inputs'!$B$21+'Inputs'!$B$9+'Inputs'!$B$10)+'Inputs'!$B$7)/SQRT((((670-43)*MAX('Inputs'!$B$33,'Inputs'!$B$29+'Inputs'!$B$31+'Inputs'!$B$32,'Inputs'!$B$30+'Inputs'!$B$31+'Inputs'!$B$32)/1000+'Inputs'!$B$21+'Inputs'!$B$9+'Inputs'!$B$10)+'Inputs'!$B$7)^2+('Inputs'!$B$6/2)^2)-(((670-43)*MAX('Inputs'!$B$33,'Inputs'!$B$29+'Inputs'!$B$31+'Inputs'!$B$32,'Inputs'!$B$30+'Inputs'!$B$31+'Inputs'!$B$32)/1000+'Inputs'!$B$21+'Inputs'!$B$9+'Inputs'!$B$10))/SQRT((((670-43)*MAX('Inputs'!$B$33,'Inputs'!$B$29+'Inputs'!$B$31+'Inputs'!$B$32,'Inputs'!$B$30+'Inputs'!$B$31+'Inputs'!$B$32)/1000+'Inputs'!$B$21+'Inputs'!$B$9+'Inputs'!$B$10))^2+('Inputs'!$B$6/2)^2))))*'Results'!$B$8)+'Inputs'!$B$28*ABS((('Results'!C7*(1+'Inputs'!$B$24)*(0.5*((((670-43)*MAX('Inputs'!$B$33,'Inputs'!$B$29+'Inputs'!$B$31+'Inputs'!$B$32,'Inputs'!$B$30+'Inputs'!$B$31+'Inputs'!$B$32)/1000+'Inputs'!$B$21)+'Inputs'!$B$9)/SQRT((((670-43)*MAX('Inputs'!$B$33,'Inputs'!$B$29+'Inputs'!$B$31+'Inputs'!$B$32,'Inputs'!$B$30+'Inputs'!$B$31+'Inputs'!$B$32)/1000+'Inputs'!$B$21)+'Inputs'!$B$9)^2+('Inputs'!$B$8/2)^2)-(((670-43)*MAX('Inputs'!$B$33,'Inputs'!$B$29+'Inputs'!$B$31+'Inputs'!$B$32,'Inputs'!$B$30+'Inputs'!$B$31+'Inputs'!$B$32)/1000+'Inputs'!$B$21))/SQRT((((670-43)*MAX('Inputs'!$B$33,'Inputs'!$B$29+'Inputs'!$B$31+'Inputs'!$B$32,'Inputs'!$B$30+'Inputs'!$B$31+'Inputs'!$B$32)/1000+'Inputs'!$B$21))^2+('Inputs'!$B$8/2)^2)))-'Results'!B7*(1-'Inputs'!$B$24)*(0.5*((((670-43)*MAX('Inputs'!$B$33,'Inputs'!$B$29+'Inputs'!$B$31+'Inputs'!$B$32,'Inputs'!$B$30+'Inputs'!$B$31+'Inputs'!$B$32)/1000+'Inputs'!$B$21+'Inputs'!$B$9+'Inputs'!$B$10)+'Inputs'!$B$7)/SQRT((((670-43)*MAX('Inputs'!$B$33,'Inputs'!$B$29+'Inputs'!$B$31+'Inputs'!$B$32,'Inputs'!$B$30+'Inputs'!$B$31+'Inputs'!$B$32)/1000+'Inputs'!$B$21+'Inputs'!$B$9+'Inputs'!$B$10)+'Inputs'!$B$7)^2+('Inputs'!$B$6/2)^2)-(((670-43)*MAX('Inputs'!$B$33,'Inputs'!$B$29+'Inputs'!$B$31+'Inputs'!$B$32,'Inputs'!$B$30+'Inputs'!$B$31+'Inputs'!$B$32)/1000+'Inputs'!$B$21+'Inputs'!$B$9+'Inputs'!$B$10))/SQRT((((670-43)*MAX('Inputs'!$B$33,'Inputs'!$B$29+'Inputs'!$B$31+'Inputs'!$B$32,'Inputs'!$B$30+'Inputs'!$B$31+'Inputs'!$B$32)/1000+'Inputs'!$B$21+'Inputs'!$B$9+'Inputs'!$B$10))^2+('Inputs'!$B$6/2)^2))))*'Results'!$B$8))),"")</x:f>
        <x:v>2.0006694437161907</x:v>
      </x:c>
      <x:c r="P670" t="n">
        <x:f>IF(AND(MAX(J670,J669)&gt;0,J670&gt;J669+0.00000001),1,0)</x:f>
        <x:v>0</x:v>
      </x:c>
      <x:c r="Q670" t="n">
        <x:f>IF(AND(MAX(K670,K669)&gt;0,K670&gt;K669+0.00000001),1,0)</x:f>
        <x:v>0</x:v>
      </x:c>
      <x:c r="R670" t="n">
        <x:f>IF(AND(MAX(L670,L669)&gt;0,L670&gt;L669+0.00000001),1,0)</x:f>
        <x:v>0</x:v>
      </x:c>
      <x:c r="S670" t="n">
        <x:f>IF(AND(MAX(M670,M669)&gt;0,M670&gt;M669+0.00000001),1,0)</x:f>
        <x:v>0</x:v>
      </x:c>
      <x:c r="T670" t="n">
        <x:f>IF(AND(MAX(N670,N669)&gt;0,N670&gt;N669+0.00000001),1,0)</x:f>
        <x:v>0</x:v>
      </x:c>
      <x:c r="U670" t="n">
        <x:f>IF(AND(MAX(O670,O669)&gt;0,O670&gt;O669+0.00000001),1,0)</x:f>
        <x:v>0</x:v>
      </x:c>
    </x:row>
    <x:row r="671">
      <x:c r="J671" t="n">
        <x:f>IF(AND(ISNUMBER('Results'!B7),ISNUMBER('Results'!C7),ISNUMBER('Results'!$B$8),ISNUMBER('Inputs'!$B$6),ISNUMBER('Inputs'!$B$7),ISNUMBER('Inputs'!$B$8),ISNUMBER('Inputs'!$B$9),ISNUMBER('Inputs'!$B$10),ISNUMBER('Inputs'!$B$21),ISNUMBER('Inputs'!$B$24),ISNUMBER('Inputs'!$B$28)),(('Results'!B7*(0.5*((((671-43)*MAX('Inputs'!$B$33,'Inputs'!$B$29+'Inputs'!$B$31+'Inputs'!$B$32,'Inputs'!$B$30+'Inputs'!$B$31+'Inputs'!$B$32)/1000+'Inputs'!$B$21)+'Inputs'!$B$7)/SQRT((((671-43)*MAX('Inputs'!$B$33,'Inputs'!$B$29+'Inputs'!$B$31+'Inputs'!$B$32,'Inputs'!$B$30+'Inputs'!$B$31+'Inputs'!$B$32)/1000+'Inputs'!$B$21)+'Inputs'!$B$7)^2+('Inputs'!$B$6/2)^2)-(((671-43)*MAX('Inputs'!$B$33,'Inputs'!$B$29+'Inputs'!$B$31+'Inputs'!$B$32,'Inputs'!$B$30+'Inputs'!$B$31+'Inputs'!$B$32)/1000+'Inputs'!$B$21))/SQRT((((671-43)*MAX('Inputs'!$B$33,'Inputs'!$B$29+'Inputs'!$B$31+'Inputs'!$B$32,'Inputs'!$B$30+'Inputs'!$B$31+'Inputs'!$B$32)/1000+'Inputs'!$B$21))^2+('Inputs'!$B$6/2)^2)))-'Results'!C7*(0.5*((((671-43)*MAX('Inputs'!$B$33,'Inputs'!$B$29+'Inputs'!$B$31+'Inputs'!$B$32,'Inputs'!$B$30+'Inputs'!$B$31+'Inputs'!$B$32)/1000+'Inputs'!$B$21+'Inputs'!$B$7+'Inputs'!$B$10)+'Inputs'!$B$9)/SQRT((((671-43)*MAX('Inputs'!$B$33,'Inputs'!$B$29+'Inputs'!$B$31+'Inputs'!$B$32,'Inputs'!$B$30+'Inputs'!$B$31+'Inputs'!$B$32)/1000+'Inputs'!$B$21+'Inputs'!$B$7+'Inputs'!$B$10)+'Inputs'!$B$9)^2+('Inputs'!$B$8/2)^2)-(((671-43)*MAX('Inputs'!$B$33,'Inputs'!$B$29+'Inputs'!$B$31+'Inputs'!$B$32,'Inputs'!$B$30+'Inputs'!$B$31+'Inputs'!$B$32)/1000+'Inputs'!$B$21+'Inputs'!$B$7+'Inputs'!$B$10))/SQRT((((671-43)*MAX('Inputs'!$B$33,'Inputs'!$B$29+'Inputs'!$B$31+'Inputs'!$B$32,'Inputs'!$B$30+'Inputs'!$B$31+'Inputs'!$B$32)/1000+'Inputs'!$B$21+'Inputs'!$B$7+'Inputs'!$B$10))^2+('Inputs'!$B$8/2)^2))))*'Results'!$B$8),"")</x:f>
        <x:v>1.896677372473249</x:v>
      </x:c>
      <x:c r="K671" t="n">
        <x:f>IF(AND(ISNUMBER('Results'!B7),ISNUMBER('Results'!C7),ISNUMBER('Results'!$B$8),ISNUMBER('Inputs'!$B$6),ISNUMBER('Inputs'!$B$7),ISNUMBER('Inputs'!$B$8),ISNUMBER('Inputs'!$B$9),ISNUMBER('Inputs'!$B$10),ISNUMBER('Inputs'!$B$21),ISNUMBER('Inputs'!$B$24),ISNUMBER('Inputs'!$B$28)),((('Results'!B7*(1-'Inputs'!$B$24)*(0.5*((((671-43)*MAX('Inputs'!$B$33,'Inputs'!$B$29+'Inputs'!$B$31+'Inputs'!$B$32,'Inputs'!$B$30+'Inputs'!$B$31+'Inputs'!$B$32)/1000+'Inputs'!$B$21)+'Inputs'!$B$7)/SQRT((((671-43)*MAX('Inputs'!$B$33,'Inputs'!$B$29+'Inputs'!$B$31+'Inputs'!$B$32,'Inputs'!$B$30+'Inputs'!$B$31+'Inputs'!$B$32)/1000+'Inputs'!$B$21)+'Inputs'!$B$7)^2+('Inputs'!$B$6/2)^2)-(((671-43)*MAX('Inputs'!$B$33,'Inputs'!$B$29+'Inputs'!$B$31+'Inputs'!$B$32,'Inputs'!$B$30+'Inputs'!$B$31+'Inputs'!$B$32)/1000+'Inputs'!$B$21))/SQRT((((671-43)*MAX('Inputs'!$B$33,'Inputs'!$B$29+'Inputs'!$B$31+'Inputs'!$B$32,'Inputs'!$B$30+'Inputs'!$B$31+'Inputs'!$B$32)/1000+'Inputs'!$B$21))^2+('Inputs'!$B$6/2)^2)))-'Results'!C7*(1+'Inputs'!$B$24)*(0.5*((((671-43)*MAX('Inputs'!$B$33,'Inputs'!$B$29+'Inputs'!$B$31+'Inputs'!$B$32,'Inputs'!$B$30+'Inputs'!$B$31+'Inputs'!$B$32)/1000+'Inputs'!$B$21+'Inputs'!$B$7+'Inputs'!$B$10)+'Inputs'!$B$9)/SQRT((((671-43)*MAX('Inputs'!$B$33,'Inputs'!$B$29+'Inputs'!$B$31+'Inputs'!$B$32,'Inputs'!$B$30+'Inputs'!$B$31+'Inputs'!$B$32)/1000+'Inputs'!$B$21+'Inputs'!$B$7+'Inputs'!$B$10)+'Inputs'!$B$9)^2+('Inputs'!$B$8/2)^2)-(((671-43)*MAX('Inputs'!$B$33,'Inputs'!$B$29+'Inputs'!$B$31+'Inputs'!$B$32,'Inputs'!$B$30+'Inputs'!$B$31+'Inputs'!$B$32)/1000+'Inputs'!$B$21+'Inputs'!$B$7+'Inputs'!$B$10))/SQRT((((671-43)*MAX('Inputs'!$B$33,'Inputs'!$B$29+'Inputs'!$B$31+'Inputs'!$B$32,'Inputs'!$B$30+'Inputs'!$B$31+'Inputs'!$B$32)/1000+'Inputs'!$B$21+'Inputs'!$B$7+'Inputs'!$B$10))^2+('Inputs'!$B$8/2)^2))))*'Results'!$B$8)-'Inputs'!$B$28*ABS((('Results'!B7*(1-'Inputs'!$B$24)*(0.5*((((671-43)*MAX('Inputs'!$B$33,'Inputs'!$B$29+'Inputs'!$B$31+'Inputs'!$B$32,'Inputs'!$B$30+'Inputs'!$B$31+'Inputs'!$B$32)/1000+'Inputs'!$B$21)+'Inputs'!$B$7)/SQRT((((671-43)*MAX('Inputs'!$B$33,'Inputs'!$B$29+'Inputs'!$B$31+'Inputs'!$B$32,'Inputs'!$B$30+'Inputs'!$B$31+'Inputs'!$B$32)/1000+'Inputs'!$B$21)+'Inputs'!$B$7)^2+('Inputs'!$B$6/2)^2)-(((671-43)*MAX('Inputs'!$B$33,'Inputs'!$B$29+'Inputs'!$B$31+'Inputs'!$B$32,'Inputs'!$B$30+'Inputs'!$B$31+'Inputs'!$B$32)/1000+'Inputs'!$B$21))/SQRT((((671-43)*MAX('Inputs'!$B$33,'Inputs'!$B$29+'Inputs'!$B$31+'Inputs'!$B$32,'Inputs'!$B$30+'Inputs'!$B$31+'Inputs'!$B$32)/1000+'Inputs'!$B$21))^2+('Inputs'!$B$6/2)^2)))-'Results'!C7*(1+'Inputs'!$B$24)*(0.5*((((671-43)*MAX('Inputs'!$B$33,'Inputs'!$B$29+'Inputs'!$B$31+'Inputs'!$B$32,'Inputs'!$B$30+'Inputs'!$B$31+'Inputs'!$B$32)/1000+'Inputs'!$B$21+'Inputs'!$B$7+'Inputs'!$B$10)+'Inputs'!$B$9)/SQRT((((671-43)*MAX('Inputs'!$B$33,'Inputs'!$B$29+'Inputs'!$B$31+'Inputs'!$B$32,'Inputs'!$B$30+'Inputs'!$B$31+'Inputs'!$B$32)/1000+'Inputs'!$B$21+'Inputs'!$B$7+'Inputs'!$B$10)+'Inputs'!$B$9)^2+('Inputs'!$B$8/2)^2)-(((671-43)*MAX('Inputs'!$B$33,'Inputs'!$B$29+'Inputs'!$B$31+'Inputs'!$B$32,'Inputs'!$B$30+'Inputs'!$B$31+'Inputs'!$B$32)/1000+'Inputs'!$B$21+'Inputs'!$B$7+'Inputs'!$B$10))/SQRT((((671-43)*MAX('Inputs'!$B$33,'Inputs'!$B$29+'Inputs'!$B$31+'Inputs'!$B$32,'Inputs'!$B$30+'Inputs'!$B$31+'Inputs'!$B$32)/1000+'Inputs'!$B$21+'Inputs'!$B$7+'Inputs'!$B$10))^2+('Inputs'!$B$8/2)^2))))*'Results'!$B$8))),"")</x:f>
        <x:v>1.655684798569979</x:v>
      </x:c>
      <x:c r="L671" t="n">
        <x:f>IF(AND(ISNUMBER('Results'!B7),ISNUMBER('Results'!C7),ISNUMBER('Results'!$B$8),ISNUMBER('Inputs'!$B$6),ISNUMBER('Inputs'!$B$7),ISNUMBER('Inputs'!$B$8),ISNUMBER('Inputs'!$B$9),ISNUMBER('Inputs'!$B$10),ISNUMBER('Inputs'!$B$21),ISNUMBER('Inputs'!$B$24),ISNUMBER('Inputs'!$B$28)),((('Results'!B7*(1+'Inputs'!$B$24)*(0.5*((((671-43)*MAX('Inputs'!$B$33,'Inputs'!$B$29+'Inputs'!$B$31+'Inputs'!$B$32,'Inputs'!$B$30+'Inputs'!$B$31+'Inputs'!$B$32)/1000+'Inputs'!$B$21)+'Inputs'!$B$7)/SQRT((((671-43)*MAX('Inputs'!$B$33,'Inputs'!$B$29+'Inputs'!$B$31+'Inputs'!$B$32,'Inputs'!$B$30+'Inputs'!$B$31+'Inputs'!$B$32)/1000+'Inputs'!$B$21)+'Inputs'!$B$7)^2+('Inputs'!$B$6/2)^2)-(((671-43)*MAX('Inputs'!$B$33,'Inputs'!$B$29+'Inputs'!$B$31+'Inputs'!$B$32,'Inputs'!$B$30+'Inputs'!$B$31+'Inputs'!$B$32)/1000+'Inputs'!$B$21))/SQRT((((671-43)*MAX('Inputs'!$B$33,'Inputs'!$B$29+'Inputs'!$B$31+'Inputs'!$B$32,'Inputs'!$B$30+'Inputs'!$B$31+'Inputs'!$B$32)/1000+'Inputs'!$B$21))^2+('Inputs'!$B$6/2)^2)))-'Results'!C7*(1-'Inputs'!$B$24)*(0.5*((((671-43)*MAX('Inputs'!$B$33,'Inputs'!$B$29+'Inputs'!$B$31+'Inputs'!$B$32,'Inputs'!$B$30+'Inputs'!$B$31+'Inputs'!$B$32)/1000+'Inputs'!$B$21+'Inputs'!$B$7+'Inputs'!$B$10)+'Inputs'!$B$9)/SQRT((((671-43)*MAX('Inputs'!$B$33,'Inputs'!$B$29+'Inputs'!$B$31+'Inputs'!$B$32,'Inputs'!$B$30+'Inputs'!$B$31+'Inputs'!$B$32)/1000+'Inputs'!$B$21+'Inputs'!$B$7+'Inputs'!$B$10)+'Inputs'!$B$9)^2+('Inputs'!$B$8/2)^2)-(((671-43)*MAX('Inputs'!$B$33,'Inputs'!$B$29+'Inputs'!$B$31+'Inputs'!$B$32,'Inputs'!$B$30+'Inputs'!$B$31+'Inputs'!$B$32)/1000+'Inputs'!$B$21+'Inputs'!$B$7+'Inputs'!$B$10))/SQRT((((671-43)*MAX('Inputs'!$B$33,'Inputs'!$B$29+'Inputs'!$B$31+'Inputs'!$B$32,'Inputs'!$B$30+'Inputs'!$B$31+'Inputs'!$B$32)/1000+'Inputs'!$B$21+'Inputs'!$B$7+'Inputs'!$B$10))^2+('Inputs'!$B$8/2)^2))))*'Results'!$B$8)+'Inputs'!$B$28*ABS((('Results'!B7*(1+'Inputs'!$B$24)*(0.5*((((671-43)*MAX('Inputs'!$B$33,'Inputs'!$B$29+'Inputs'!$B$31+'Inputs'!$B$32,'Inputs'!$B$30+'Inputs'!$B$31+'Inputs'!$B$32)/1000+'Inputs'!$B$21)+'Inputs'!$B$7)/SQRT((((671-43)*MAX('Inputs'!$B$33,'Inputs'!$B$29+'Inputs'!$B$31+'Inputs'!$B$32,'Inputs'!$B$30+'Inputs'!$B$31+'Inputs'!$B$32)/1000+'Inputs'!$B$21)+'Inputs'!$B$7)^2+('Inputs'!$B$6/2)^2)-(((671-43)*MAX('Inputs'!$B$33,'Inputs'!$B$29+'Inputs'!$B$31+'Inputs'!$B$32,'Inputs'!$B$30+'Inputs'!$B$31+'Inputs'!$B$32)/1000+'Inputs'!$B$21))/SQRT((((671-43)*MAX('Inputs'!$B$33,'Inputs'!$B$29+'Inputs'!$B$31+'Inputs'!$B$32,'Inputs'!$B$30+'Inputs'!$B$31+'Inputs'!$B$32)/1000+'Inputs'!$B$21))^2+('Inputs'!$B$6/2)^2)))-'Results'!C7*(1-'Inputs'!$B$24)*(0.5*((((671-43)*MAX('Inputs'!$B$33,'Inputs'!$B$29+'Inputs'!$B$31+'Inputs'!$B$32,'Inputs'!$B$30+'Inputs'!$B$31+'Inputs'!$B$32)/1000+'Inputs'!$B$21+'Inputs'!$B$7+'Inputs'!$B$10)+'Inputs'!$B$9)/SQRT((((671-43)*MAX('Inputs'!$B$33,'Inputs'!$B$29+'Inputs'!$B$31+'Inputs'!$B$32,'Inputs'!$B$30+'Inputs'!$B$31+'Inputs'!$B$32)/1000+'Inputs'!$B$21+'Inputs'!$B$7+'Inputs'!$B$10)+'Inputs'!$B$9)^2+('Inputs'!$B$8/2)^2)-(((671-43)*MAX('Inputs'!$B$33,'Inputs'!$B$29+'Inputs'!$B$31+'Inputs'!$B$32,'Inputs'!$B$30+'Inputs'!$B$31+'Inputs'!$B$32)/1000+'Inputs'!$B$21+'Inputs'!$B$7+'Inputs'!$B$10))/SQRT((((671-43)*MAX('Inputs'!$B$33,'Inputs'!$B$29+'Inputs'!$B$31+'Inputs'!$B$32,'Inputs'!$B$30+'Inputs'!$B$31+'Inputs'!$B$32)/1000+'Inputs'!$B$21+'Inputs'!$B$7+'Inputs'!$B$10))^2+('Inputs'!$B$8/2)^2))))*'Results'!$B$8))),"")</x:f>
        <x:v>2.1530550732480567</x:v>
      </x:c>
      <x:c r="M671" t="n">
        <x:f>IF(AND(ISNUMBER('Results'!C7),ISNUMBER('Results'!B7),ISNUMBER('Results'!$B$8),ISNUMBER('Inputs'!$B$6),ISNUMBER('Inputs'!$B$7),ISNUMBER('Inputs'!$B$8),ISNUMBER('Inputs'!$B$9),ISNUMBER('Inputs'!$B$10),ISNUMBER('Inputs'!$B$21),ISNUMBER('Inputs'!$B$24),ISNUMBER('Inputs'!$B$28)),(('Results'!C7*(0.5*((((671-43)*MAX('Inputs'!$B$33,'Inputs'!$B$29+'Inputs'!$B$31+'Inputs'!$B$32,'Inputs'!$B$30+'Inputs'!$B$31+'Inputs'!$B$32)/1000+'Inputs'!$B$21)+'Inputs'!$B$9)/SQRT((((671-43)*MAX('Inputs'!$B$33,'Inputs'!$B$29+'Inputs'!$B$31+'Inputs'!$B$32,'Inputs'!$B$30+'Inputs'!$B$31+'Inputs'!$B$32)/1000+'Inputs'!$B$21)+'Inputs'!$B$9)^2+('Inputs'!$B$8/2)^2)-(((671-43)*MAX('Inputs'!$B$33,'Inputs'!$B$29+'Inputs'!$B$31+'Inputs'!$B$32,'Inputs'!$B$30+'Inputs'!$B$31+'Inputs'!$B$32)/1000+'Inputs'!$B$21))/SQRT((((671-43)*MAX('Inputs'!$B$33,'Inputs'!$B$29+'Inputs'!$B$31+'Inputs'!$B$32,'Inputs'!$B$30+'Inputs'!$B$31+'Inputs'!$B$32)/1000+'Inputs'!$B$21))^2+('Inputs'!$B$8/2)^2)))-'Results'!B7*(0.5*((((671-43)*MAX('Inputs'!$B$33,'Inputs'!$B$29+'Inputs'!$B$31+'Inputs'!$B$32,'Inputs'!$B$30+'Inputs'!$B$31+'Inputs'!$B$32)/1000+'Inputs'!$B$21+'Inputs'!$B$9+'Inputs'!$B$10)+'Inputs'!$B$7)/SQRT((((671-43)*MAX('Inputs'!$B$33,'Inputs'!$B$29+'Inputs'!$B$31+'Inputs'!$B$32,'Inputs'!$B$30+'Inputs'!$B$31+'Inputs'!$B$32)/1000+'Inputs'!$B$21+'Inputs'!$B$9+'Inputs'!$B$10)+'Inputs'!$B$7)^2+('Inputs'!$B$6/2)^2)-(((671-43)*MAX('Inputs'!$B$33,'Inputs'!$B$29+'Inputs'!$B$31+'Inputs'!$B$32,'Inputs'!$B$30+'Inputs'!$B$31+'Inputs'!$B$32)/1000+'Inputs'!$B$21+'Inputs'!$B$9+'Inputs'!$B$10))/SQRT((((671-43)*MAX('Inputs'!$B$33,'Inputs'!$B$29+'Inputs'!$B$31+'Inputs'!$B$32,'Inputs'!$B$30+'Inputs'!$B$31+'Inputs'!$B$32)/1000+'Inputs'!$B$21+'Inputs'!$B$9+'Inputs'!$B$10))^2+('Inputs'!$B$6/2)^2))))*'Results'!$B$8),"")</x:f>
        <x:v>1.7416432698674043</x:v>
      </x:c>
      <x:c r="N671" t="n">
        <x:f>IF(AND(ISNUMBER('Results'!C7),ISNUMBER('Results'!B7),ISNUMBER('Results'!$B$8),ISNUMBER('Inputs'!$B$6),ISNUMBER('Inputs'!$B$7),ISNUMBER('Inputs'!$B$8),ISNUMBER('Inputs'!$B$9),ISNUMBER('Inputs'!$B$10),ISNUMBER('Inputs'!$B$21),ISNUMBER('Inputs'!$B$24),ISNUMBER('Inputs'!$B$28)),((('Results'!C7*(1-'Inputs'!$B$24)*(0.5*((((671-43)*MAX('Inputs'!$B$33,'Inputs'!$B$29+'Inputs'!$B$31+'Inputs'!$B$32,'Inputs'!$B$30+'Inputs'!$B$31+'Inputs'!$B$32)/1000+'Inputs'!$B$21)+'Inputs'!$B$9)/SQRT((((671-43)*MAX('Inputs'!$B$33,'Inputs'!$B$29+'Inputs'!$B$31+'Inputs'!$B$32,'Inputs'!$B$30+'Inputs'!$B$31+'Inputs'!$B$32)/1000+'Inputs'!$B$21)+'Inputs'!$B$9)^2+('Inputs'!$B$8/2)^2)-(((671-43)*MAX('Inputs'!$B$33,'Inputs'!$B$29+'Inputs'!$B$31+'Inputs'!$B$32,'Inputs'!$B$30+'Inputs'!$B$31+'Inputs'!$B$32)/1000+'Inputs'!$B$21))/SQRT((((671-43)*MAX('Inputs'!$B$33,'Inputs'!$B$29+'Inputs'!$B$31+'Inputs'!$B$32,'Inputs'!$B$30+'Inputs'!$B$31+'Inputs'!$B$32)/1000+'Inputs'!$B$21))^2+('Inputs'!$B$8/2)^2)))-'Results'!B7*(1+'Inputs'!$B$24)*(0.5*((((671-43)*MAX('Inputs'!$B$33,'Inputs'!$B$29+'Inputs'!$B$31+'Inputs'!$B$32,'Inputs'!$B$30+'Inputs'!$B$31+'Inputs'!$B$32)/1000+'Inputs'!$B$21+'Inputs'!$B$9+'Inputs'!$B$10)+'Inputs'!$B$7)/SQRT((((671-43)*MAX('Inputs'!$B$33,'Inputs'!$B$29+'Inputs'!$B$31+'Inputs'!$B$32,'Inputs'!$B$30+'Inputs'!$B$31+'Inputs'!$B$32)/1000+'Inputs'!$B$21+'Inputs'!$B$9+'Inputs'!$B$10)+'Inputs'!$B$7)^2+('Inputs'!$B$6/2)^2)-(((671-43)*MAX('Inputs'!$B$33,'Inputs'!$B$29+'Inputs'!$B$31+'Inputs'!$B$32,'Inputs'!$B$30+'Inputs'!$B$31+'Inputs'!$B$32)/1000+'Inputs'!$B$21+'Inputs'!$B$9+'Inputs'!$B$10))/SQRT((((671-43)*MAX('Inputs'!$B$33,'Inputs'!$B$29+'Inputs'!$B$31+'Inputs'!$B$32,'Inputs'!$B$30+'Inputs'!$B$31+'Inputs'!$B$32)/1000+'Inputs'!$B$21+'Inputs'!$B$9+'Inputs'!$B$10))^2+('Inputs'!$B$6/2)^2))))*'Results'!$B$8)-'Inputs'!$B$28*ABS((('Results'!C7*(1-'Inputs'!$B$24)*(0.5*((((671-43)*MAX('Inputs'!$B$33,'Inputs'!$B$29+'Inputs'!$B$31+'Inputs'!$B$32,'Inputs'!$B$30+'Inputs'!$B$31+'Inputs'!$B$32)/1000+'Inputs'!$B$21)+'Inputs'!$B$9)/SQRT((((671-43)*MAX('Inputs'!$B$33,'Inputs'!$B$29+'Inputs'!$B$31+'Inputs'!$B$32,'Inputs'!$B$30+'Inputs'!$B$31+'Inputs'!$B$32)/1000+'Inputs'!$B$21)+'Inputs'!$B$9)^2+('Inputs'!$B$8/2)^2)-(((671-43)*MAX('Inputs'!$B$33,'Inputs'!$B$29+'Inputs'!$B$31+'Inputs'!$B$32,'Inputs'!$B$30+'Inputs'!$B$31+'Inputs'!$B$32)/1000+'Inputs'!$B$21))/SQRT((((671-43)*MAX('Inputs'!$B$33,'Inputs'!$B$29+'Inputs'!$B$31+'Inputs'!$B$32,'Inputs'!$B$30+'Inputs'!$B$31+'Inputs'!$B$32)/1000+'Inputs'!$B$21))^2+('Inputs'!$B$8/2)^2)))-'Results'!B7*(1+'Inputs'!$B$24)*(0.5*((((671-43)*MAX('Inputs'!$B$33,'Inputs'!$B$29+'Inputs'!$B$31+'Inputs'!$B$32,'Inputs'!$B$30+'Inputs'!$B$31+'Inputs'!$B$32)/1000+'Inputs'!$B$21+'Inputs'!$B$9+'Inputs'!$B$10)+'Inputs'!$B$7)/SQRT((((671-43)*MAX('Inputs'!$B$33,'Inputs'!$B$29+'Inputs'!$B$31+'Inputs'!$B$32,'Inputs'!$B$30+'Inputs'!$B$31+'Inputs'!$B$32)/1000+'Inputs'!$B$21+'Inputs'!$B$9+'Inputs'!$B$10)+'Inputs'!$B$7)^2+('Inputs'!$B$6/2)^2)-(((671-43)*MAX('Inputs'!$B$33,'Inputs'!$B$29+'Inputs'!$B$31+'Inputs'!$B$32,'Inputs'!$B$30+'Inputs'!$B$31+'Inputs'!$B$32)/1000+'Inputs'!$B$21+'Inputs'!$B$9+'Inputs'!$B$10))/SQRT((((671-43)*MAX('Inputs'!$B$33,'Inputs'!$B$29+'Inputs'!$B$31+'Inputs'!$B$32,'Inputs'!$B$30+'Inputs'!$B$31+'Inputs'!$B$32)/1000+'Inputs'!$B$21+'Inputs'!$B$9+'Inputs'!$B$10))^2+('Inputs'!$B$6/2)^2))))*'Results'!$B$8))),"")</x:f>
        <x:v>1.509100664652048</x:v>
      </x:c>
      <x:c r="O671" t="n">
        <x:f>IF(AND(ISNUMBER('Results'!C7),ISNUMBER('Results'!B7),ISNUMBER('Results'!$B$8),ISNUMBER('Inputs'!$B$6),ISNUMBER('Inputs'!$B$7),ISNUMBER('Inputs'!$B$8),ISNUMBER('Inputs'!$B$9),ISNUMBER('Inputs'!$B$10),ISNUMBER('Inputs'!$B$21),ISNUMBER('Inputs'!$B$24),ISNUMBER('Inputs'!$B$28)),((('Results'!C7*(1+'Inputs'!$B$24)*(0.5*((((671-43)*MAX('Inputs'!$B$33,'Inputs'!$B$29+'Inputs'!$B$31+'Inputs'!$B$32,'Inputs'!$B$30+'Inputs'!$B$31+'Inputs'!$B$32)/1000+'Inputs'!$B$21)+'Inputs'!$B$9)/SQRT((((671-43)*MAX('Inputs'!$B$33,'Inputs'!$B$29+'Inputs'!$B$31+'Inputs'!$B$32,'Inputs'!$B$30+'Inputs'!$B$31+'Inputs'!$B$32)/1000+'Inputs'!$B$21)+'Inputs'!$B$9)^2+('Inputs'!$B$8/2)^2)-(((671-43)*MAX('Inputs'!$B$33,'Inputs'!$B$29+'Inputs'!$B$31+'Inputs'!$B$32,'Inputs'!$B$30+'Inputs'!$B$31+'Inputs'!$B$32)/1000+'Inputs'!$B$21))/SQRT((((671-43)*MAX('Inputs'!$B$33,'Inputs'!$B$29+'Inputs'!$B$31+'Inputs'!$B$32,'Inputs'!$B$30+'Inputs'!$B$31+'Inputs'!$B$32)/1000+'Inputs'!$B$21))^2+('Inputs'!$B$8/2)^2)))-'Results'!B7*(1-'Inputs'!$B$24)*(0.5*((((671-43)*MAX('Inputs'!$B$33,'Inputs'!$B$29+'Inputs'!$B$31+'Inputs'!$B$32,'Inputs'!$B$30+'Inputs'!$B$31+'Inputs'!$B$32)/1000+'Inputs'!$B$21+'Inputs'!$B$9+'Inputs'!$B$10)+'Inputs'!$B$7)/SQRT((((671-43)*MAX('Inputs'!$B$33,'Inputs'!$B$29+'Inputs'!$B$31+'Inputs'!$B$32,'Inputs'!$B$30+'Inputs'!$B$31+'Inputs'!$B$32)/1000+'Inputs'!$B$21+'Inputs'!$B$9+'Inputs'!$B$10)+'Inputs'!$B$7)^2+('Inputs'!$B$6/2)^2)-(((671-43)*MAX('Inputs'!$B$33,'Inputs'!$B$29+'Inputs'!$B$31+'Inputs'!$B$32,'Inputs'!$B$30+'Inputs'!$B$31+'Inputs'!$B$32)/1000+'Inputs'!$B$21+'Inputs'!$B$9+'Inputs'!$B$10))/SQRT((((671-43)*MAX('Inputs'!$B$33,'Inputs'!$B$29+'Inputs'!$B$31+'Inputs'!$B$32,'Inputs'!$B$30+'Inputs'!$B$31+'Inputs'!$B$32)/1000+'Inputs'!$B$21+'Inputs'!$B$9+'Inputs'!$B$10))^2+('Inputs'!$B$6/2)^2))))*'Results'!$B$8)+'Inputs'!$B$28*ABS((('Results'!C7*(1+'Inputs'!$B$24)*(0.5*((((671-43)*MAX('Inputs'!$B$33,'Inputs'!$B$29+'Inputs'!$B$31+'Inputs'!$B$32,'Inputs'!$B$30+'Inputs'!$B$31+'Inputs'!$B$32)/1000+'Inputs'!$B$21)+'Inputs'!$B$9)/SQRT((((671-43)*MAX('Inputs'!$B$33,'Inputs'!$B$29+'Inputs'!$B$31+'Inputs'!$B$32,'Inputs'!$B$30+'Inputs'!$B$31+'Inputs'!$B$32)/1000+'Inputs'!$B$21)+'Inputs'!$B$9)^2+('Inputs'!$B$8/2)^2)-(((671-43)*MAX('Inputs'!$B$33,'Inputs'!$B$29+'Inputs'!$B$31+'Inputs'!$B$32,'Inputs'!$B$30+'Inputs'!$B$31+'Inputs'!$B$32)/1000+'Inputs'!$B$21))/SQRT((((671-43)*MAX('Inputs'!$B$33,'Inputs'!$B$29+'Inputs'!$B$31+'Inputs'!$B$32,'Inputs'!$B$30+'Inputs'!$B$31+'Inputs'!$B$32)/1000+'Inputs'!$B$21))^2+('Inputs'!$B$8/2)^2)))-'Results'!B7*(1-'Inputs'!$B$24)*(0.5*((((671-43)*MAX('Inputs'!$B$33,'Inputs'!$B$29+'Inputs'!$B$31+'Inputs'!$B$32,'Inputs'!$B$30+'Inputs'!$B$31+'Inputs'!$B$32)/1000+'Inputs'!$B$21+'Inputs'!$B$9+'Inputs'!$B$10)+'Inputs'!$B$7)/SQRT((((671-43)*MAX('Inputs'!$B$33,'Inputs'!$B$29+'Inputs'!$B$31+'Inputs'!$B$32,'Inputs'!$B$30+'Inputs'!$B$31+'Inputs'!$B$32)/1000+'Inputs'!$B$21+'Inputs'!$B$9+'Inputs'!$B$10)+'Inputs'!$B$7)^2+('Inputs'!$B$6/2)^2)-(((671-43)*MAX('Inputs'!$B$33,'Inputs'!$B$29+'Inputs'!$B$31+'Inputs'!$B$32,'Inputs'!$B$30+'Inputs'!$B$31+'Inputs'!$B$32)/1000+'Inputs'!$B$21+'Inputs'!$B$9+'Inputs'!$B$10))/SQRT((((671-43)*MAX('Inputs'!$B$33,'Inputs'!$B$29+'Inputs'!$B$31+'Inputs'!$B$32,'Inputs'!$B$30+'Inputs'!$B$31+'Inputs'!$B$32)/1000+'Inputs'!$B$21+'Inputs'!$B$9+'Inputs'!$B$10))^2+('Inputs'!$B$6/2)^2))))*'Results'!$B$8))),"")</x:f>
        <x:v>1.989497500527181</x:v>
      </x:c>
      <x:c r="P671" t="n">
        <x:f>IF(AND(MAX(J671,J670)&gt;0,J671&gt;J670+0.00000001),1,0)</x:f>
        <x:v>0</x:v>
      </x:c>
      <x:c r="Q671" t="n">
        <x:f>IF(AND(MAX(K671,K670)&gt;0,K671&gt;K670+0.00000001),1,0)</x:f>
        <x:v>0</x:v>
      </x:c>
      <x:c r="R671" t="n">
        <x:f>IF(AND(MAX(L671,L670)&gt;0,L671&gt;L670+0.00000001),1,0)</x:f>
        <x:v>0</x:v>
      </x:c>
      <x:c r="S671" t="n">
        <x:f>IF(AND(MAX(M671,M670)&gt;0,M671&gt;M670+0.00000001),1,0)</x:f>
        <x:v>0</x:v>
      </x:c>
      <x:c r="T671" t="n">
        <x:f>IF(AND(MAX(N671,N670)&gt;0,N671&gt;N670+0.00000001),1,0)</x:f>
        <x:v>0</x:v>
      </x:c>
      <x:c r="U671" t="n">
        <x:f>IF(AND(MAX(O671,O670)&gt;0,O671&gt;O670+0.00000001),1,0)</x:f>
        <x:v>0</x:v>
      </x:c>
    </x:row>
    <x:row r="672">
      <x:c r="J672" t="n">
        <x:f>IF(AND(ISNUMBER('Results'!B7),ISNUMBER('Results'!C7),ISNUMBER('Results'!$B$8),ISNUMBER('Inputs'!$B$6),ISNUMBER('Inputs'!$B$7),ISNUMBER('Inputs'!$B$8),ISNUMBER('Inputs'!$B$9),ISNUMBER('Inputs'!$B$10),ISNUMBER('Inputs'!$B$21),ISNUMBER('Inputs'!$B$24),ISNUMBER('Inputs'!$B$28)),(('Results'!B7*(0.5*((((672-43)*MAX('Inputs'!$B$33,'Inputs'!$B$29+'Inputs'!$B$31+'Inputs'!$B$32,'Inputs'!$B$30+'Inputs'!$B$31+'Inputs'!$B$32)/1000+'Inputs'!$B$21)+'Inputs'!$B$7)/SQRT((((672-43)*MAX('Inputs'!$B$33,'Inputs'!$B$29+'Inputs'!$B$31+'Inputs'!$B$32,'Inputs'!$B$30+'Inputs'!$B$31+'Inputs'!$B$32)/1000+'Inputs'!$B$21)+'Inputs'!$B$7)^2+('Inputs'!$B$6/2)^2)-(((672-43)*MAX('Inputs'!$B$33,'Inputs'!$B$29+'Inputs'!$B$31+'Inputs'!$B$32,'Inputs'!$B$30+'Inputs'!$B$31+'Inputs'!$B$32)/1000+'Inputs'!$B$21))/SQRT((((672-43)*MAX('Inputs'!$B$33,'Inputs'!$B$29+'Inputs'!$B$31+'Inputs'!$B$32,'Inputs'!$B$30+'Inputs'!$B$31+'Inputs'!$B$32)/1000+'Inputs'!$B$21))^2+('Inputs'!$B$6/2)^2)))-'Results'!C7*(0.5*((((672-43)*MAX('Inputs'!$B$33,'Inputs'!$B$29+'Inputs'!$B$31+'Inputs'!$B$32,'Inputs'!$B$30+'Inputs'!$B$31+'Inputs'!$B$32)/1000+'Inputs'!$B$21+'Inputs'!$B$7+'Inputs'!$B$10)+'Inputs'!$B$9)/SQRT((((672-43)*MAX('Inputs'!$B$33,'Inputs'!$B$29+'Inputs'!$B$31+'Inputs'!$B$32,'Inputs'!$B$30+'Inputs'!$B$31+'Inputs'!$B$32)/1000+'Inputs'!$B$21+'Inputs'!$B$7+'Inputs'!$B$10)+'Inputs'!$B$9)^2+('Inputs'!$B$8/2)^2)-(((672-43)*MAX('Inputs'!$B$33,'Inputs'!$B$29+'Inputs'!$B$31+'Inputs'!$B$32,'Inputs'!$B$30+'Inputs'!$B$31+'Inputs'!$B$32)/1000+'Inputs'!$B$21+'Inputs'!$B$7+'Inputs'!$B$10))/SQRT((((672-43)*MAX('Inputs'!$B$33,'Inputs'!$B$29+'Inputs'!$B$31+'Inputs'!$B$32,'Inputs'!$B$30+'Inputs'!$B$31+'Inputs'!$B$32)/1000+'Inputs'!$B$21+'Inputs'!$B$7+'Inputs'!$B$10))^2+('Inputs'!$B$8/2)^2))))*'Results'!$B$8),"")</x:f>
        <x:v>1.8861030674315722</x:v>
      </x:c>
      <x:c r="K672" t="n">
        <x:f>IF(AND(ISNUMBER('Results'!B7),ISNUMBER('Results'!C7),ISNUMBER('Results'!$B$8),ISNUMBER('Inputs'!$B$6),ISNUMBER('Inputs'!$B$7),ISNUMBER('Inputs'!$B$8),ISNUMBER('Inputs'!$B$9),ISNUMBER('Inputs'!$B$10),ISNUMBER('Inputs'!$B$21),ISNUMBER('Inputs'!$B$24),ISNUMBER('Inputs'!$B$28)),((('Results'!B7*(1-'Inputs'!$B$24)*(0.5*((((672-43)*MAX('Inputs'!$B$33,'Inputs'!$B$29+'Inputs'!$B$31+'Inputs'!$B$32,'Inputs'!$B$30+'Inputs'!$B$31+'Inputs'!$B$32)/1000+'Inputs'!$B$21)+'Inputs'!$B$7)/SQRT((((672-43)*MAX('Inputs'!$B$33,'Inputs'!$B$29+'Inputs'!$B$31+'Inputs'!$B$32,'Inputs'!$B$30+'Inputs'!$B$31+'Inputs'!$B$32)/1000+'Inputs'!$B$21)+'Inputs'!$B$7)^2+('Inputs'!$B$6/2)^2)-(((672-43)*MAX('Inputs'!$B$33,'Inputs'!$B$29+'Inputs'!$B$31+'Inputs'!$B$32,'Inputs'!$B$30+'Inputs'!$B$31+'Inputs'!$B$32)/1000+'Inputs'!$B$21))/SQRT((((672-43)*MAX('Inputs'!$B$33,'Inputs'!$B$29+'Inputs'!$B$31+'Inputs'!$B$32,'Inputs'!$B$30+'Inputs'!$B$31+'Inputs'!$B$32)/1000+'Inputs'!$B$21))^2+('Inputs'!$B$6/2)^2)))-'Results'!C7*(1+'Inputs'!$B$24)*(0.5*((((672-43)*MAX('Inputs'!$B$33,'Inputs'!$B$29+'Inputs'!$B$31+'Inputs'!$B$32,'Inputs'!$B$30+'Inputs'!$B$31+'Inputs'!$B$32)/1000+'Inputs'!$B$21+'Inputs'!$B$7+'Inputs'!$B$10)+'Inputs'!$B$9)/SQRT((((672-43)*MAX('Inputs'!$B$33,'Inputs'!$B$29+'Inputs'!$B$31+'Inputs'!$B$32,'Inputs'!$B$30+'Inputs'!$B$31+'Inputs'!$B$32)/1000+'Inputs'!$B$21+'Inputs'!$B$7+'Inputs'!$B$10)+'Inputs'!$B$9)^2+('Inputs'!$B$8/2)^2)-(((672-43)*MAX('Inputs'!$B$33,'Inputs'!$B$29+'Inputs'!$B$31+'Inputs'!$B$32,'Inputs'!$B$30+'Inputs'!$B$31+'Inputs'!$B$32)/1000+'Inputs'!$B$21+'Inputs'!$B$7+'Inputs'!$B$10))/SQRT((((672-43)*MAX('Inputs'!$B$33,'Inputs'!$B$29+'Inputs'!$B$31+'Inputs'!$B$32,'Inputs'!$B$30+'Inputs'!$B$31+'Inputs'!$B$32)/1000+'Inputs'!$B$21+'Inputs'!$B$7+'Inputs'!$B$10))^2+('Inputs'!$B$8/2)^2))))*'Results'!$B$8)-'Inputs'!$B$28*ABS((('Results'!B7*(1-'Inputs'!$B$24)*(0.5*((((672-43)*MAX('Inputs'!$B$33,'Inputs'!$B$29+'Inputs'!$B$31+'Inputs'!$B$32,'Inputs'!$B$30+'Inputs'!$B$31+'Inputs'!$B$32)/1000+'Inputs'!$B$21)+'Inputs'!$B$7)/SQRT((((672-43)*MAX('Inputs'!$B$33,'Inputs'!$B$29+'Inputs'!$B$31+'Inputs'!$B$32,'Inputs'!$B$30+'Inputs'!$B$31+'Inputs'!$B$32)/1000+'Inputs'!$B$21)+'Inputs'!$B$7)^2+('Inputs'!$B$6/2)^2)-(((672-43)*MAX('Inputs'!$B$33,'Inputs'!$B$29+'Inputs'!$B$31+'Inputs'!$B$32,'Inputs'!$B$30+'Inputs'!$B$31+'Inputs'!$B$32)/1000+'Inputs'!$B$21))/SQRT((((672-43)*MAX('Inputs'!$B$33,'Inputs'!$B$29+'Inputs'!$B$31+'Inputs'!$B$32,'Inputs'!$B$30+'Inputs'!$B$31+'Inputs'!$B$32)/1000+'Inputs'!$B$21))^2+('Inputs'!$B$6/2)^2)))-'Results'!C7*(1+'Inputs'!$B$24)*(0.5*((((672-43)*MAX('Inputs'!$B$33,'Inputs'!$B$29+'Inputs'!$B$31+'Inputs'!$B$32,'Inputs'!$B$30+'Inputs'!$B$31+'Inputs'!$B$32)/1000+'Inputs'!$B$21+'Inputs'!$B$7+'Inputs'!$B$10)+'Inputs'!$B$9)/SQRT((((672-43)*MAX('Inputs'!$B$33,'Inputs'!$B$29+'Inputs'!$B$31+'Inputs'!$B$32,'Inputs'!$B$30+'Inputs'!$B$31+'Inputs'!$B$32)/1000+'Inputs'!$B$21+'Inputs'!$B$7+'Inputs'!$B$10)+'Inputs'!$B$9)^2+('Inputs'!$B$8/2)^2)-(((672-43)*MAX('Inputs'!$B$33,'Inputs'!$B$29+'Inputs'!$B$31+'Inputs'!$B$32,'Inputs'!$B$30+'Inputs'!$B$31+'Inputs'!$B$32)/1000+'Inputs'!$B$21+'Inputs'!$B$7+'Inputs'!$B$10))/SQRT((((672-43)*MAX('Inputs'!$B$33,'Inputs'!$B$29+'Inputs'!$B$31+'Inputs'!$B$32,'Inputs'!$B$30+'Inputs'!$B$31+'Inputs'!$B$32)/1000+'Inputs'!$B$21+'Inputs'!$B$7+'Inputs'!$B$10))^2+('Inputs'!$B$8/2)^2))))*'Results'!$B$8))),"")</x:f>
        <x:v>1.6462679888482428</x:v>
      </x:c>
      <x:c r="L672" t="n">
        <x:f>IF(AND(ISNUMBER('Results'!B7),ISNUMBER('Results'!C7),ISNUMBER('Results'!$B$8),ISNUMBER('Inputs'!$B$6),ISNUMBER('Inputs'!$B$7),ISNUMBER('Inputs'!$B$8),ISNUMBER('Inputs'!$B$9),ISNUMBER('Inputs'!$B$10),ISNUMBER('Inputs'!$B$21),ISNUMBER('Inputs'!$B$24),ISNUMBER('Inputs'!$B$28)),((('Results'!B7*(1+'Inputs'!$B$24)*(0.5*((((672-43)*MAX('Inputs'!$B$33,'Inputs'!$B$29+'Inputs'!$B$31+'Inputs'!$B$32,'Inputs'!$B$30+'Inputs'!$B$31+'Inputs'!$B$32)/1000+'Inputs'!$B$21)+'Inputs'!$B$7)/SQRT((((672-43)*MAX('Inputs'!$B$33,'Inputs'!$B$29+'Inputs'!$B$31+'Inputs'!$B$32,'Inputs'!$B$30+'Inputs'!$B$31+'Inputs'!$B$32)/1000+'Inputs'!$B$21)+'Inputs'!$B$7)^2+('Inputs'!$B$6/2)^2)-(((672-43)*MAX('Inputs'!$B$33,'Inputs'!$B$29+'Inputs'!$B$31+'Inputs'!$B$32,'Inputs'!$B$30+'Inputs'!$B$31+'Inputs'!$B$32)/1000+'Inputs'!$B$21))/SQRT((((672-43)*MAX('Inputs'!$B$33,'Inputs'!$B$29+'Inputs'!$B$31+'Inputs'!$B$32,'Inputs'!$B$30+'Inputs'!$B$31+'Inputs'!$B$32)/1000+'Inputs'!$B$21))^2+('Inputs'!$B$6/2)^2)))-'Results'!C7*(1-'Inputs'!$B$24)*(0.5*((((672-43)*MAX('Inputs'!$B$33,'Inputs'!$B$29+'Inputs'!$B$31+'Inputs'!$B$32,'Inputs'!$B$30+'Inputs'!$B$31+'Inputs'!$B$32)/1000+'Inputs'!$B$21+'Inputs'!$B$7+'Inputs'!$B$10)+'Inputs'!$B$9)/SQRT((((672-43)*MAX('Inputs'!$B$33,'Inputs'!$B$29+'Inputs'!$B$31+'Inputs'!$B$32,'Inputs'!$B$30+'Inputs'!$B$31+'Inputs'!$B$32)/1000+'Inputs'!$B$21+'Inputs'!$B$7+'Inputs'!$B$10)+'Inputs'!$B$9)^2+('Inputs'!$B$8/2)^2)-(((672-43)*MAX('Inputs'!$B$33,'Inputs'!$B$29+'Inputs'!$B$31+'Inputs'!$B$32,'Inputs'!$B$30+'Inputs'!$B$31+'Inputs'!$B$32)/1000+'Inputs'!$B$21+'Inputs'!$B$7+'Inputs'!$B$10))/SQRT((((672-43)*MAX('Inputs'!$B$33,'Inputs'!$B$29+'Inputs'!$B$31+'Inputs'!$B$32,'Inputs'!$B$30+'Inputs'!$B$31+'Inputs'!$B$32)/1000+'Inputs'!$B$21+'Inputs'!$B$7+'Inputs'!$B$10))^2+('Inputs'!$B$8/2)^2))))*'Results'!$B$8)+'Inputs'!$B$28*ABS((('Results'!B7*(1+'Inputs'!$B$24)*(0.5*((((672-43)*MAX('Inputs'!$B$33,'Inputs'!$B$29+'Inputs'!$B$31+'Inputs'!$B$32,'Inputs'!$B$30+'Inputs'!$B$31+'Inputs'!$B$32)/1000+'Inputs'!$B$21)+'Inputs'!$B$7)/SQRT((((672-43)*MAX('Inputs'!$B$33,'Inputs'!$B$29+'Inputs'!$B$31+'Inputs'!$B$32,'Inputs'!$B$30+'Inputs'!$B$31+'Inputs'!$B$32)/1000+'Inputs'!$B$21)+'Inputs'!$B$7)^2+('Inputs'!$B$6/2)^2)-(((672-43)*MAX('Inputs'!$B$33,'Inputs'!$B$29+'Inputs'!$B$31+'Inputs'!$B$32,'Inputs'!$B$30+'Inputs'!$B$31+'Inputs'!$B$32)/1000+'Inputs'!$B$21))/SQRT((((672-43)*MAX('Inputs'!$B$33,'Inputs'!$B$29+'Inputs'!$B$31+'Inputs'!$B$32,'Inputs'!$B$30+'Inputs'!$B$31+'Inputs'!$B$32)/1000+'Inputs'!$B$21))^2+('Inputs'!$B$6/2)^2)))-'Results'!C7*(1-'Inputs'!$B$24)*(0.5*((((672-43)*MAX('Inputs'!$B$33,'Inputs'!$B$29+'Inputs'!$B$31+'Inputs'!$B$32,'Inputs'!$B$30+'Inputs'!$B$31+'Inputs'!$B$32)/1000+'Inputs'!$B$21+'Inputs'!$B$7+'Inputs'!$B$10)+'Inputs'!$B$9)/SQRT((((672-43)*MAX('Inputs'!$B$33,'Inputs'!$B$29+'Inputs'!$B$31+'Inputs'!$B$32,'Inputs'!$B$30+'Inputs'!$B$31+'Inputs'!$B$32)/1000+'Inputs'!$B$21+'Inputs'!$B$7+'Inputs'!$B$10)+'Inputs'!$B$9)^2+('Inputs'!$B$8/2)^2)-(((672-43)*MAX('Inputs'!$B$33,'Inputs'!$B$29+'Inputs'!$B$31+'Inputs'!$B$32,'Inputs'!$B$30+'Inputs'!$B$31+'Inputs'!$B$32)/1000+'Inputs'!$B$21+'Inputs'!$B$7+'Inputs'!$B$10))/SQRT((((672-43)*MAX('Inputs'!$B$33,'Inputs'!$B$29+'Inputs'!$B$31+'Inputs'!$B$32,'Inputs'!$B$30+'Inputs'!$B$31+'Inputs'!$B$32)/1000+'Inputs'!$B$21+'Inputs'!$B$7+'Inputs'!$B$10))^2+('Inputs'!$B$8/2)^2))))*'Results'!$B$8))),"")</x:f>
        <x:v>2.1412570855108757</x:v>
      </x:c>
      <x:c r="M672" t="n">
        <x:f>IF(AND(ISNUMBER('Results'!C7),ISNUMBER('Results'!B7),ISNUMBER('Results'!$B$8),ISNUMBER('Inputs'!$B$6),ISNUMBER('Inputs'!$B$7),ISNUMBER('Inputs'!$B$8),ISNUMBER('Inputs'!$B$9),ISNUMBER('Inputs'!$B$10),ISNUMBER('Inputs'!$B$21),ISNUMBER('Inputs'!$B$24),ISNUMBER('Inputs'!$B$28)),(('Results'!C7*(0.5*((((672-43)*MAX('Inputs'!$B$33,'Inputs'!$B$29+'Inputs'!$B$31+'Inputs'!$B$32,'Inputs'!$B$30+'Inputs'!$B$31+'Inputs'!$B$32)/1000+'Inputs'!$B$21)+'Inputs'!$B$9)/SQRT((((672-43)*MAX('Inputs'!$B$33,'Inputs'!$B$29+'Inputs'!$B$31+'Inputs'!$B$32,'Inputs'!$B$30+'Inputs'!$B$31+'Inputs'!$B$32)/1000+'Inputs'!$B$21)+'Inputs'!$B$9)^2+('Inputs'!$B$8/2)^2)-(((672-43)*MAX('Inputs'!$B$33,'Inputs'!$B$29+'Inputs'!$B$31+'Inputs'!$B$32,'Inputs'!$B$30+'Inputs'!$B$31+'Inputs'!$B$32)/1000+'Inputs'!$B$21))/SQRT((((672-43)*MAX('Inputs'!$B$33,'Inputs'!$B$29+'Inputs'!$B$31+'Inputs'!$B$32,'Inputs'!$B$30+'Inputs'!$B$31+'Inputs'!$B$32)/1000+'Inputs'!$B$21))^2+('Inputs'!$B$8/2)^2)))-'Results'!B7*(0.5*((((672-43)*MAX('Inputs'!$B$33,'Inputs'!$B$29+'Inputs'!$B$31+'Inputs'!$B$32,'Inputs'!$B$30+'Inputs'!$B$31+'Inputs'!$B$32)/1000+'Inputs'!$B$21+'Inputs'!$B$9+'Inputs'!$B$10)+'Inputs'!$B$7)/SQRT((((672-43)*MAX('Inputs'!$B$33,'Inputs'!$B$29+'Inputs'!$B$31+'Inputs'!$B$32,'Inputs'!$B$30+'Inputs'!$B$31+'Inputs'!$B$32)/1000+'Inputs'!$B$21+'Inputs'!$B$9+'Inputs'!$B$10)+'Inputs'!$B$7)^2+('Inputs'!$B$6/2)^2)-(((672-43)*MAX('Inputs'!$B$33,'Inputs'!$B$29+'Inputs'!$B$31+'Inputs'!$B$32,'Inputs'!$B$30+'Inputs'!$B$31+'Inputs'!$B$32)/1000+'Inputs'!$B$21+'Inputs'!$B$9+'Inputs'!$B$10))/SQRT((((672-43)*MAX('Inputs'!$B$33,'Inputs'!$B$29+'Inputs'!$B$31+'Inputs'!$B$32,'Inputs'!$B$30+'Inputs'!$B$31+'Inputs'!$B$32)/1000+'Inputs'!$B$21+'Inputs'!$B$9+'Inputs'!$B$10))^2+('Inputs'!$B$6/2)^2))))*'Results'!$B$8),"")</x:f>
        <x:v>1.7317354343737623</x:v>
      </x:c>
      <x:c r="N672" t="n">
        <x:f>IF(AND(ISNUMBER('Results'!C7),ISNUMBER('Results'!B7),ISNUMBER('Results'!$B$8),ISNUMBER('Inputs'!$B$6),ISNUMBER('Inputs'!$B$7),ISNUMBER('Inputs'!$B$8),ISNUMBER('Inputs'!$B$9),ISNUMBER('Inputs'!$B$10),ISNUMBER('Inputs'!$B$21),ISNUMBER('Inputs'!$B$24),ISNUMBER('Inputs'!$B$28)),((('Results'!C7*(1-'Inputs'!$B$24)*(0.5*((((672-43)*MAX('Inputs'!$B$33,'Inputs'!$B$29+'Inputs'!$B$31+'Inputs'!$B$32,'Inputs'!$B$30+'Inputs'!$B$31+'Inputs'!$B$32)/1000+'Inputs'!$B$21)+'Inputs'!$B$9)/SQRT((((672-43)*MAX('Inputs'!$B$33,'Inputs'!$B$29+'Inputs'!$B$31+'Inputs'!$B$32,'Inputs'!$B$30+'Inputs'!$B$31+'Inputs'!$B$32)/1000+'Inputs'!$B$21)+'Inputs'!$B$9)^2+('Inputs'!$B$8/2)^2)-(((672-43)*MAX('Inputs'!$B$33,'Inputs'!$B$29+'Inputs'!$B$31+'Inputs'!$B$32,'Inputs'!$B$30+'Inputs'!$B$31+'Inputs'!$B$32)/1000+'Inputs'!$B$21))/SQRT((((672-43)*MAX('Inputs'!$B$33,'Inputs'!$B$29+'Inputs'!$B$31+'Inputs'!$B$32,'Inputs'!$B$30+'Inputs'!$B$31+'Inputs'!$B$32)/1000+'Inputs'!$B$21))^2+('Inputs'!$B$8/2)^2)))-'Results'!B7*(1+'Inputs'!$B$24)*(0.5*((((672-43)*MAX('Inputs'!$B$33,'Inputs'!$B$29+'Inputs'!$B$31+'Inputs'!$B$32,'Inputs'!$B$30+'Inputs'!$B$31+'Inputs'!$B$32)/1000+'Inputs'!$B$21+'Inputs'!$B$9+'Inputs'!$B$10)+'Inputs'!$B$7)/SQRT((((672-43)*MAX('Inputs'!$B$33,'Inputs'!$B$29+'Inputs'!$B$31+'Inputs'!$B$32,'Inputs'!$B$30+'Inputs'!$B$31+'Inputs'!$B$32)/1000+'Inputs'!$B$21+'Inputs'!$B$9+'Inputs'!$B$10)+'Inputs'!$B$7)^2+('Inputs'!$B$6/2)^2)-(((672-43)*MAX('Inputs'!$B$33,'Inputs'!$B$29+'Inputs'!$B$31+'Inputs'!$B$32,'Inputs'!$B$30+'Inputs'!$B$31+'Inputs'!$B$32)/1000+'Inputs'!$B$21+'Inputs'!$B$9+'Inputs'!$B$10))/SQRT((((672-43)*MAX('Inputs'!$B$33,'Inputs'!$B$29+'Inputs'!$B$31+'Inputs'!$B$32,'Inputs'!$B$30+'Inputs'!$B$31+'Inputs'!$B$32)/1000+'Inputs'!$B$21+'Inputs'!$B$9+'Inputs'!$B$10))^2+('Inputs'!$B$6/2)^2))))*'Results'!$B$8)-'Inputs'!$B$28*ABS((('Results'!C7*(1-'Inputs'!$B$24)*(0.5*((((672-43)*MAX('Inputs'!$B$33,'Inputs'!$B$29+'Inputs'!$B$31+'Inputs'!$B$32,'Inputs'!$B$30+'Inputs'!$B$31+'Inputs'!$B$32)/1000+'Inputs'!$B$21)+'Inputs'!$B$9)/SQRT((((672-43)*MAX('Inputs'!$B$33,'Inputs'!$B$29+'Inputs'!$B$31+'Inputs'!$B$32,'Inputs'!$B$30+'Inputs'!$B$31+'Inputs'!$B$32)/1000+'Inputs'!$B$21)+'Inputs'!$B$9)^2+('Inputs'!$B$8/2)^2)-(((672-43)*MAX('Inputs'!$B$33,'Inputs'!$B$29+'Inputs'!$B$31+'Inputs'!$B$32,'Inputs'!$B$30+'Inputs'!$B$31+'Inputs'!$B$32)/1000+'Inputs'!$B$21))/SQRT((((672-43)*MAX('Inputs'!$B$33,'Inputs'!$B$29+'Inputs'!$B$31+'Inputs'!$B$32,'Inputs'!$B$30+'Inputs'!$B$31+'Inputs'!$B$32)/1000+'Inputs'!$B$21))^2+('Inputs'!$B$8/2)^2)))-'Results'!B7*(1+'Inputs'!$B$24)*(0.5*((((672-43)*MAX('Inputs'!$B$33,'Inputs'!$B$29+'Inputs'!$B$31+'Inputs'!$B$32,'Inputs'!$B$30+'Inputs'!$B$31+'Inputs'!$B$32)/1000+'Inputs'!$B$21+'Inputs'!$B$9+'Inputs'!$B$10)+'Inputs'!$B$7)/SQRT((((672-43)*MAX('Inputs'!$B$33,'Inputs'!$B$29+'Inputs'!$B$31+'Inputs'!$B$32,'Inputs'!$B$30+'Inputs'!$B$31+'Inputs'!$B$32)/1000+'Inputs'!$B$21+'Inputs'!$B$9+'Inputs'!$B$10)+'Inputs'!$B$7)^2+('Inputs'!$B$6/2)^2)-(((672-43)*MAX('Inputs'!$B$33,'Inputs'!$B$29+'Inputs'!$B$31+'Inputs'!$B$32,'Inputs'!$B$30+'Inputs'!$B$31+'Inputs'!$B$32)/1000+'Inputs'!$B$21+'Inputs'!$B$9+'Inputs'!$B$10))/SQRT((((672-43)*MAX('Inputs'!$B$33,'Inputs'!$B$29+'Inputs'!$B$31+'Inputs'!$B$32,'Inputs'!$B$30+'Inputs'!$B$31+'Inputs'!$B$32)/1000+'Inputs'!$B$21+'Inputs'!$B$9+'Inputs'!$B$10))^2+('Inputs'!$B$6/2)^2))))*'Results'!$B$8))),"")</x:f>
        <x:v>1.5003130700850829</x:v>
      </x:c>
      <x:c r="O672" t="n">
        <x:f>IF(AND(ISNUMBER('Results'!C7),ISNUMBER('Results'!B7),ISNUMBER('Results'!$B$8),ISNUMBER('Inputs'!$B$6),ISNUMBER('Inputs'!$B$7),ISNUMBER('Inputs'!$B$8),ISNUMBER('Inputs'!$B$9),ISNUMBER('Inputs'!$B$10),ISNUMBER('Inputs'!$B$21),ISNUMBER('Inputs'!$B$24),ISNUMBER('Inputs'!$B$28)),((('Results'!C7*(1+'Inputs'!$B$24)*(0.5*((((672-43)*MAX('Inputs'!$B$33,'Inputs'!$B$29+'Inputs'!$B$31+'Inputs'!$B$32,'Inputs'!$B$30+'Inputs'!$B$31+'Inputs'!$B$32)/1000+'Inputs'!$B$21)+'Inputs'!$B$9)/SQRT((((672-43)*MAX('Inputs'!$B$33,'Inputs'!$B$29+'Inputs'!$B$31+'Inputs'!$B$32,'Inputs'!$B$30+'Inputs'!$B$31+'Inputs'!$B$32)/1000+'Inputs'!$B$21)+'Inputs'!$B$9)^2+('Inputs'!$B$8/2)^2)-(((672-43)*MAX('Inputs'!$B$33,'Inputs'!$B$29+'Inputs'!$B$31+'Inputs'!$B$32,'Inputs'!$B$30+'Inputs'!$B$31+'Inputs'!$B$32)/1000+'Inputs'!$B$21))/SQRT((((672-43)*MAX('Inputs'!$B$33,'Inputs'!$B$29+'Inputs'!$B$31+'Inputs'!$B$32,'Inputs'!$B$30+'Inputs'!$B$31+'Inputs'!$B$32)/1000+'Inputs'!$B$21))^2+('Inputs'!$B$8/2)^2)))-'Results'!B7*(1-'Inputs'!$B$24)*(0.5*((((672-43)*MAX('Inputs'!$B$33,'Inputs'!$B$29+'Inputs'!$B$31+'Inputs'!$B$32,'Inputs'!$B$30+'Inputs'!$B$31+'Inputs'!$B$32)/1000+'Inputs'!$B$21+'Inputs'!$B$9+'Inputs'!$B$10)+'Inputs'!$B$7)/SQRT((((672-43)*MAX('Inputs'!$B$33,'Inputs'!$B$29+'Inputs'!$B$31+'Inputs'!$B$32,'Inputs'!$B$30+'Inputs'!$B$31+'Inputs'!$B$32)/1000+'Inputs'!$B$21+'Inputs'!$B$9+'Inputs'!$B$10)+'Inputs'!$B$7)^2+('Inputs'!$B$6/2)^2)-(((672-43)*MAX('Inputs'!$B$33,'Inputs'!$B$29+'Inputs'!$B$31+'Inputs'!$B$32,'Inputs'!$B$30+'Inputs'!$B$31+'Inputs'!$B$32)/1000+'Inputs'!$B$21+'Inputs'!$B$9+'Inputs'!$B$10))/SQRT((((672-43)*MAX('Inputs'!$B$33,'Inputs'!$B$29+'Inputs'!$B$31+'Inputs'!$B$32,'Inputs'!$B$30+'Inputs'!$B$31+'Inputs'!$B$32)/1000+'Inputs'!$B$21+'Inputs'!$B$9+'Inputs'!$B$10))^2+('Inputs'!$B$6/2)^2))))*'Results'!$B$8)+'Inputs'!$B$28*ABS((('Results'!C7*(1+'Inputs'!$B$24)*(0.5*((((672-43)*MAX('Inputs'!$B$33,'Inputs'!$B$29+'Inputs'!$B$31+'Inputs'!$B$32,'Inputs'!$B$30+'Inputs'!$B$31+'Inputs'!$B$32)/1000+'Inputs'!$B$21)+'Inputs'!$B$9)/SQRT((((672-43)*MAX('Inputs'!$B$33,'Inputs'!$B$29+'Inputs'!$B$31+'Inputs'!$B$32,'Inputs'!$B$30+'Inputs'!$B$31+'Inputs'!$B$32)/1000+'Inputs'!$B$21)+'Inputs'!$B$9)^2+('Inputs'!$B$8/2)^2)-(((672-43)*MAX('Inputs'!$B$33,'Inputs'!$B$29+'Inputs'!$B$31+'Inputs'!$B$32,'Inputs'!$B$30+'Inputs'!$B$31+'Inputs'!$B$32)/1000+'Inputs'!$B$21))/SQRT((((672-43)*MAX('Inputs'!$B$33,'Inputs'!$B$29+'Inputs'!$B$31+'Inputs'!$B$32,'Inputs'!$B$30+'Inputs'!$B$31+'Inputs'!$B$32)/1000+'Inputs'!$B$21))^2+('Inputs'!$B$8/2)^2)))-'Results'!B7*(1-'Inputs'!$B$24)*(0.5*((((672-43)*MAX('Inputs'!$B$33,'Inputs'!$B$29+'Inputs'!$B$31+'Inputs'!$B$32,'Inputs'!$B$30+'Inputs'!$B$31+'Inputs'!$B$32)/1000+'Inputs'!$B$21+'Inputs'!$B$9+'Inputs'!$B$10)+'Inputs'!$B$7)/SQRT((((672-43)*MAX('Inputs'!$B$33,'Inputs'!$B$29+'Inputs'!$B$31+'Inputs'!$B$32,'Inputs'!$B$30+'Inputs'!$B$31+'Inputs'!$B$32)/1000+'Inputs'!$B$21+'Inputs'!$B$9+'Inputs'!$B$10)+'Inputs'!$B$7)^2+('Inputs'!$B$6/2)^2)-(((672-43)*MAX('Inputs'!$B$33,'Inputs'!$B$29+'Inputs'!$B$31+'Inputs'!$B$32,'Inputs'!$B$30+'Inputs'!$B$31+'Inputs'!$B$32)/1000+'Inputs'!$B$21+'Inputs'!$B$9+'Inputs'!$B$10))/SQRT((((672-43)*MAX('Inputs'!$B$33,'Inputs'!$B$29+'Inputs'!$B$31+'Inputs'!$B$32,'Inputs'!$B$30+'Inputs'!$B$31+'Inputs'!$B$32)/1000+'Inputs'!$B$21+'Inputs'!$B$9+'Inputs'!$B$10))^2+('Inputs'!$B$6/2)^2))))*'Results'!$B$8))),"")</x:f>
        <x:v>1.9784036505119134</x:v>
      </x:c>
      <x:c r="P672" t="n">
        <x:f>IF(AND(MAX(J672,J671)&gt;0,J672&gt;J671+0.00000001),1,0)</x:f>
        <x:v>0</x:v>
      </x:c>
      <x:c r="Q672" t="n">
        <x:f>IF(AND(MAX(K672,K671)&gt;0,K672&gt;K671+0.00000001),1,0)</x:f>
        <x:v>0</x:v>
      </x:c>
      <x:c r="R672" t="n">
        <x:f>IF(AND(MAX(L672,L671)&gt;0,L672&gt;L671+0.00000001),1,0)</x:f>
        <x:v>0</x:v>
      </x:c>
      <x:c r="S672" t="n">
        <x:f>IF(AND(MAX(M672,M671)&gt;0,M672&gt;M671+0.00000001),1,0)</x:f>
        <x:v>0</x:v>
      </x:c>
      <x:c r="T672" t="n">
        <x:f>IF(AND(MAX(N672,N671)&gt;0,N672&gt;N671+0.00000001),1,0)</x:f>
        <x:v>0</x:v>
      </x:c>
      <x:c r="U672" t="n">
        <x:f>IF(AND(MAX(O672,O671)&gt;0,O672&gt;O671+0.00000001),1,0)</x:f>
        <x:v>0</x:v>
      </x:c>
    </x:row>
    <x:row r="673">
      <x:c r="J673" t="n">
        <x:f>IF(AND(ISNUMBER('Results'!B7),ISNUMBER('Results'!C7),ISNUMBER('Results'!$B$8),ISNUMBER('Inputs'!$B$6),ISNUMBER('Inputs'!$B$7),ISNUMBER('Inputs'!$B$8),ISNUMBER('Inputs'!$B$9),ISNUMBER('Inputs'!$B$10),ISNUMBER('Inputs'!$B$21),ISNUMBER('Inputs'!$B$24),ISNUMBER('Inputs'!$B$28)),(('Results'!B7*(0.5*((((673-43)*MAX('Inputs'!$B$33,'Inputs'!$B$29+'Inputs'!$B$31+'Inputs'!$B$32,'Inputs'!$B$30+'Inputs'!$B$31+'Inputs'!$B$32)/1000+'Inputs'!$B$21)+'Inputs'!$B$7)/SQRT((((673-43)*MAX('Inputs'!$B$33,'Inputs'!$B$29+'Inputs'!$B$31+'Inputs'!$B$32,'Inputs'!$B$30+'Inputs'!$B$31+'Inputs'!$B$32)/1000+'Inputs'!$B$21)+'Inputs'!$B$7)^2+('Inputs'!$B$6/2)^2)-(((673-43)*MAX('Inputs'!$B$33,'Inputs'!$B$29+'Inputs'!$B$31+'Inputs'!$B$32,'Inputs'!$B$30+'Inputs'!$B$31+'Inputs'!$B$32)/1000+'Inputs'!$B$21))/SQRT((((673-43)*MAX('Inputs'!$B$33,'Inputs'!$B$29+'Inputs'!$B$31+'Inputs'!$B$32,'Inputs'!$B$30+'Inputs'!$B$31+'Inputs'!$B$32)/1000+'Inputs'!$B$21))^2+('Inputs'!$B$6/2)^2)))-'Results'!C7*(0.5*((((673-43)*MAX('Inputs'!$B$33,'Inputs'!$B$29+'Inputs'!$B$31+'Inputs'!$B$32,'Inputs'!$B$30+'Inputs'!$B$31+'Inputs'!$B$32)/1000+'Inputs'!$B$21+'Inputs'!$B$7+'Inputs'!$B$10)+'Inputs'!$B$9)/SQRT((((673-43)*MAX('Inputs'!$B$33,'Inputs'!$B$29+'Inputs'!$B$31+'Inputs'!$B$32,'Inputs'!$B$30+'Inputs'!$B$31+'Inputs'!$B$32)/1000+'Inputs'!$B$21+'Inputs'!$B$7+'Inputs'!$B$10)+'Inputs'!$B$9)^2+('Inputs'!$B$8/2)^2)-(((673-43)*MAX('Inputs'!$B$33,'Inputs'!$B$29+'Inputs'!$B$31+'Inputs'!$B$32,'Inputs'!$B$30+'Inputs'!$B$31+'Inputs'!$B$32)/1000+'Inputs'!$B$21+'Inputs'!$B$7+'Inputs'!$B$10))/SQRT((((673-43)*MAX('Inputs'!$B$33,'Inputs'!$B$29+'Inputs'!$B$31+'Inputs'!$B$32,'Inputs'!$B$30+'Inputs'!$B$31+'Inputs'!$B$32)/1000+'Inputs'!$B$21+'Inputs'!$B$7+'Inputs'!$B$10))^2+('Inputs'!$B$8/2)^2))))*'Results'!$B$8),"")</x:f>
        <x:v>1.87560256610702</x:v>
      </x:c>
      <x:c r="K673" t="n">
        <x:f>IF(AND(ISNUMBER('Results'!B7),ISNUMBER('Results'!C7),ISNUMBER('Results'!$B$8),ISNUMBER('Inputs'!$B$6),ISNUMBER('Inputs'!$B$7),ISNUMBER('Inputs'!$B$8),ISNUMBER('Inputs'!$B$9),ISNUMBER('Inputs'!$B$10),ISNUMBER('Inputs'!$B$21),ISNUMBER('Inputs'!$B$24),ISNUMBER('Inputs'!$B$28)),((('Results'!B7*(1-'Inputs'!$B$24)*(0.5*((((673-43)*MAX('Inputs'!$B$33,'Inputs'!$B$29+'Inputs'!$B$31+'Inputs'!$B$32,'Inputs'!$B$30+'Inputs'!$B$31+'Inputs'!$B$32)/1000+'Inputs'!$B$21)+'Inputs'!$B$7)/SQRT((((673-43)*MAX('Inputs'!$B$33,'Inputs'!$B$29+'Inputs'!$B$31+'Inputs'!$B$32,'Inputs'!$B$30+'Inputs'!$B$31+'Inputs'!$B$32)/1000+'Inputs'!$B$21)+'Inputs'!$B$7)^2+('Inputs'!$B$6/2)^2)-(((673-43)*MAX('Inputs'!$B$33,'Inputs'!$B$29+'Inputs'!$B$31+'Inputs'!$B$32,'Inputs'!$B$30+'Inputs'!$B$31+'Inputs'!$B$32)/1000+'Inputs'!$B$21))/SQRT((((673-43)*MAX('Inputs'!$B$33,'Inputs'!$B$29+'Inputs'!$B$31+'Inputs'!$B$32,'Inputs'!$B$30+'Inputs'!$B$31+'Inputs'!$B$32)/1000+'Inputs'!$B$21))^2+('Inputs'!$B$6/2)^2)))-'Results'!C7*(1+'Inputs'!$B$24)*(0.5*((((673-43)*MAX('Inputs'!$B$33,'Inputs'!$B$29+'Inputs'!$B$31+'Inputs'!$B$32,'Inputs'!$B$30+'Inputs'!$B$31+'Inputs'!$B$32)/1000+'Inputs'!$B$21+'Inputs'!$B$7+'Inputs'!$B$10)+'Inputs'!$B$9)/SQRT((((673-43)*MAX('Inputs'!$B$33,'Inputs'!$B$29+'Inputs'!$B$31+'Inputs'!$B$32,'Inputs'!$B$30+'Inputs'!$B$31+'Inputs'!$B$32)/1000+'Inputs'!$B$21+'Inputs'!$B$7+'Inputs'!$B$10)+'Inputs'!$B$9)^2+('Inputs'!$B$8/2)^2)-(((673-43)*MAX('Inputs'!$B$33,'Inputs'!$B$29+'Inputs'!$B$31+'Inputs'!$B$32,'Inputs'!$B$30+'Inputs'!$B$31+'Inputs'!$B$32)/1000+'Inputs'!$B$21+'Inputs'!$B$7+'Inputs'!$B$10))/SQRT((((673-43)*MAX('Inputs'!$B$33,'Inputs'!$B$29+'Inputs'!$B$31+'Inputs'!$B$32,'Inputs'!$B$30+'Inputs'!$B$31+'Inputs'!$B$32)/1000+'Inputs'!$B$21+'Inputs'!$B$7+'Inputs'!$B$10))^2+('Inputs'!$B$8/2)^2))))*'Results'!$B$8)-'Inputs'!$B$28*ABS((('Results'!B7*(1-'Inputs'!$B$24)*(0.5*((((673-43)*MAX('Inputs'!$B$33,'Inputs'!$B$29+'Inputs'!$B$31+'Inputs'!$B$32,'Inputs'!$B$30+'Inputs'!$B$31+'Inputs'!$B$32)/1000+'Inputs'!$B$21)+'Inputs'!$B$7)/SQRT((((673-43)*MAX('Inputs'!$B$33,'Inputs'!$B$29+'Inputs'!$B$31+'Inputs'!$B$32,'Inputs'!$B$30+'Inputs'!$B$31+'Inputs'!$B$32)/1000+'Inputs'!$B$21)+'Inputs'!$B$7)^2+('Inputs'!$B$6/2)^2)-(((673-43)*MAX('Inputs'!$B$33,'Inputs'!$B$29+'Inputs'!$B$31+'Inputs'!$B$32,'Inputs'!$B$30+'Inputs'!$B$31+'Inputs'!$B$32)/1000+'Inputs'!$B$21))/SQRT((((673-43)*MAX('Inputs'!$B$33,'Inputs'!$B$29+'Inputs'!$B$31+'Inputs'!$B$32,'Inputs'!$B$30+'Inputs'!$B$31+'Inputs'!$B$32)/1000+'Inputs'!$B$21))^2+('Inputs'!$B$6/2)^2)))-'Results'!C7*(1+'Inputs'!$B$24)*(0.5*((((673-43)*MAX('Inputs'!$B$33,'Inputs'!$B$29+'Inputs'!$B$31+'Inputs'!$B$32,'Inputs'!$B$30+'Inputs'!$B$31+'Inputs'!$B$32)/1000+'Inputs'!$B$21+'Inputs'!$B$7+'Inputs'!$B$10)+'Inputs'!$B$9)/SQRT((((673-43)*MAX('Inputs'!$B$33,'Inputs'!$B$29+'Inputs'!$B$31+'Inputs'!$B$32,'Inputs'!$B$30+'Inputs'!$B$31+'Inputs'!$B$32)/1000+'Inputs'!$B$21+'Inputs'!$B$7+'Inputs'!$B$10)+'Inputs'!$B$9)^2+('Inputs'!$B$8/2)^2)-(((673-43)*MAX('Inputs'!$B$33,'Inputs'!$B$29+'Inputs'!$B$31+'Inputs'!$B$32,'Inputs'!$B$30+'Inputs'!$B$31+'Inputs'!$B$32)/1000+'Inputs'!$B$21+'Inputs'!$B$7+'Inputs'!$B$10))/SQRT((((673-43)*MAX('Inputs'!$B$33,'Inputs'!$B$29+'Inputs'!$B$31+'Inputs'!$B$32,'Inputs'!$B$30+'Inputs'!$B$31+'Inputs'!$B$32)/1000+'Inputs'!$B$21+'Inputs'!$B$7+'Inputs'!$B$10))^2+('Inputs'!$B$8/2)^2))))*'Results'!$B$8))),"")</x:f>
        <x:v>1.636917682158514</x:v>
      </x:c>
      <x:c r="L673" t="n">
        <x:f>IF(AND(ISNUMBER('Results'!B7),ISNUMBER('Results'!C7),ISNUMBER('Results'!$B$8),ISNUMBER('Inputs'!$B$6),ISNUMBER('Inputs'!$B$7),ISNUMBER('Inputs'!$B$8),ISNUMBER('Inputs'!$B$9),ISNUMBER('Inputs'!$B$10),ISNUMBER('Inputs'!$B$21),ISNUMBER('Inputs'!$B$24),ISNUMBER('Inputs'!$B$28)),((('Results'!B7*(1+'Inputs'!$B$24)*(0.5*((((673-43)*MAX('Inputs'!$B$33,'Inputs'!$B$29+'Inputs'!$B$31+'Inputs'!$B$32,'Inputs'!$B$30+'Inputs'!$B$31+'Inputs'!$B$32)/1000+'Inputs'!$B$21)+'Inputs'!$B$7)/SQRT((((673-43)*MAX('Inputs'!$B$33,'Inputs'!$B$29+'Inputs'!$B$31+'Inputs'!$B$32,'Inputs'!$B$30+'Inputs'!$B$31+'Inputs'!$B$32)/1000+'Inputs'!$B$21)+'Inputs'!$B$7)^2+('Inputs'!$B$6/2)^2)-(((673-43)*MAX('Inputs'!$B$33,'Inputs'!$B$29+'Inputs'!$B$31+'Inputs'!$B$32,'Inputs'!$B$30+'Inputs'!$B$31+'Inputs'!$B$32)/1000+'Inputs'!$B$21))/SQRT((((673-43)*MAX('Inputs'!$B$33,'Inputs'!$B$29+'Inputs'!$B$31+'Inputs'!$B$32,'Inputs'!$B$30+'Inputs'!$B$31+'Inputs'!$B$32)/1000+'Inputs'!$B$21))^2+('Inputs'!$B$6/2)^2)))-'Results'!C7*(1-'Inputs'!$B$24)*(0.5*((((673-43)*MAX('Inputs'!$B$33,'Inputs'!$B$29+'Inputs'!$B$31+'Inputs'!$B$32,'Inputs'!$B$30+'Inputs'!$B$31+'Inputs'!$B$32)/1000+'Inputs'!$B$21+'Inputs'!$B$7+'Inputs'!$B$10)+'Inputs'!$B$9)/SQRT((((673-43)*MAX('Inputs'!$B$33,'Inputs'!$B$29+'Inputs'!$B$31+'Inputs'!$B$32,'Inputs'!$B$30+'Inputs'!$B$31+'Inputs'!$B$32)/1000+'Inputs'!$B$21+'Inputs'!$B$7+'Inputs'!$B$10)+'Inputs'!$B$9)^2+('Inputs'!$B$8/2)^2)-(((673-43)*MAX('Inputs'!$B$33,'Inputs'!$B$29+'Inputs'!$B$31+'Inputs'!$B$32,'Inputs'!$B$30+'Inputs'!$B$31+'Inputs'!$B$32)/1000+'Inputs'!$B$21+'Inputs'!$B$7+'Inputs'!$B$10))/SQRT((((673-43)*MAX('Inputs'!$B$33,'Inputs'!$B$29+'Inputs'!$B$31+'Inputs'!$B$32,'Inputs'!$B$30+'Inputs'!$B$31+'Inputs'!$B$32)/1000+'Inputs'!$B$21+'Inputs'!$B$7+'Inputs'!$B$10))^2+('Inputs'!$B$8/2)^2))))*'Results'!$B$8)+'Inputs'!$B$28*ABS((('Results'!B7*(1+'Inputs'!$B$24)*(0.5*((((673-43)*MAX('Inputs'!$B$33,'Inputs'!$B$29+'Inputs'!$B$31+'Inputs'!$B$32,'Inputs'!$B$30+'Inputs'!$B$31+'Inputs'!$B$32)/1000+'Inputs'!$B$21)+'Inputs'!$B$7)/SQRT((((673-43)*MAX('Inputs'!$B$33,'Inputs'!$B$29+'Inputs'!$B$31+'Inputs'!$B$32,'Inputs'!$B$30+'Inputs'!$B$31+'Inputs'!$B$32)/1000+'Inputs'!$B$21)+'Inputs'!$B$7)^2+('Inputs'!$B$6/2)^2)-(((673-43)*MAX('Inputs'!$B$33,'Inputs'!$B$29+'Inputs'!$B$31+'Inputs'!$B$32,'Inputs'!$B$30+'Inputs'!$B$31+'Inputs'!$B$32)/1000+'Inputs'!$B$21))/SQRT((((673-43)*MAX('Inputs'!$B$33,'Inputs'!$B$29+'Inputs'!$B$31+'Inputs'!$B$32,'Inputs'!$B$30+'Inputs'!$B$31+'Inputs'!$B$32)/1000+'Inputs'!$B$21))^2+('Inputs'!$B$6/2)^2)))-'Results'!C7*(1-'Inputs'!$B$24)*(0.5*((((673-43)*MAX('Inputs'!$B$33,'Inputs'!$B$29+'Inputs'!$B$31+'Inputs'!$B$32,'Inputs'!$B$30+'Inputs'!$B$31+'Inputs'!$B$32)/1000+'Inputs'!$B$21+'Inputs'!$B$7+'Inputs'!$B$10)+'Inputs'!$B$9)/SQRT((((673-43)*MAX('Inputs'!$B$33,'Inputs'!$B$29+'Inputs'!$B$31+'Inputs'!$B$32,'Inputs'!$B$30+'Inputs'!$B$31+'Inputs'!$B$32)/1000+'Inputs'!$B$21+'Inputs'!$B$7+'Inputs'!$B$10)+'Inputs'!$B$9)^2+('Inputs'!$B$8/2)^2)-(((673-43)*MAX('Inputs'!$B$33,'Inputs'!$B$29+'Inputs'!$B$31+'Inputs'!$B$32,'Inputs'!$B$30+'Inputs'!$B$31+'Inputs'!$B$32)/1000+'Inputs'!$B$21+'Inputs'!$B$7+'Inputs'!$B$10))/SQRT((((673-43)*MAX('Inputs'!$B$33,'Inputs'!$B$29+'Inputs'!$B$31+'Inputs'!$B$32,'Inputs'!$B$30+'Inputs'!$B$31+'Inputs'!$B$32)/1000+'Inputs'!$B$21+'Inputs'!$B$7+'Inputs'!$B$10))^2+('Inputs'!$B$8/2)^2))))*'Results'!$B$8))),"")</x:f>
        <x:v>2.12954058222849</x:v>
      </x:c>
      <x:c r="M673" t="n">
        <x:f>IF(AND(ISNUMBER('Results'!C7),ISNUMBER('Results'!B7),ISNUMBER('Results'!$B$8),ISNUMBER('Inputs'!$B$6),ISNUMBER('Inputs'!$B$7),ISNUMBER('Inputs'!$B$8),ISNUMBER('Inputs'!$B$9),ISNUMBER('Inputs'!$B$10),ISNUMBER('Inputs'!$B$21),ISNUMBER('Inputs'!$B$24),ISNUMBER('Inputs'!$B$28)),(('Results'!C7*(0.5*((((673-43)*MAX('Inputs'!$B$33,'Inputs'!$B$29+'Inputs'!$B$31+'Inputs'!$B$32,'Inputs'!$B$30+'Inputs'!$B$31+'Inputs'!$B$32)/1000+'Inputs'!$B$21)+'Inputs'!$B$9)/SQRT((((673-43)*MAX('Inputs'!$B$33,'Inputs'!$B$29+'Inputs'!$B$31+'Inputs'!$B$32,'Inputs'!$B$30+'Inputs'!$B$31+'Inputs'!$B$32)/1000+'Inputs'!$B$21)+'Inputs'!$B$9)^2+('Inputs'!$B$8/2)^2)-(((673-43)*MAX('Inputs'!$B$33,'Inputs'!$B$29+'Inputs'!$B$31+'Inputs'!$B$32,'Inputs'!$B$30+'Inputs'!$B$31+'Inputs'!$B$32)/1000+'Inputs'!$B$21))/SQRT((((673-43)*MAX('Inputs'!$B$33,'Inputs'!$B$29+'Inputs'!$B$31+'Inputs'!$B$32,'Inputs'!$B$30+'Inputs'!$B$31+'Inputs'!$B$32)/1000+'Inputs'!$B$21))^2+('Inputs'!$B$8/2)^2)))-'Results'!B7*(0.5*((((673-43)*MAX('Inputs'!$B$33,'Inputs'!$B$29+'Inputs'!$B$31+'Inputs'!$B$32,'Inputs'!$B$30+'Inputs'!$B$31+'Inputs'!$B$32)/1000+'Inputs'!$B$21+'Inputs'!$B$9+'Inputs'!$B$10)+'Inputs'!$B$7)/SQRT((((673-43)*MAX('Inputs'!$B$33,'Inputs'!$B$29+'Inputs'!$B$31+'Inputs'!$B$32,'Inputs'!$B$30+'Inputs'!$B$31+'Inputs'!$B$32)/1000+'Inputs'!$B$21+'Inputs'!$B$9+'Inputs'!$B$10)+'Inputs'!$B$7)^2+('Inputs'!$B$6/2)^2)-(((673-43)*MAX('Inputs'!$B$33,'Inputs'!$B$29+'Inputs'!$B$31+'Inputs'!$B$32,'Inputs'!$B$30+'Inputs'!$B$31+'Inputs'!$B$32)/1000+'Inputs'!$B$21+'Inputs'!$B$9+'Inputs'!$B$10))/SQRT((((673-43)*MAX('Inputs'!$B$33,'Inputs'!$B$29+'Inputs'!$B$31+'Inputs'!$B$32,'Inputs'!$B$30+'Inputs'!$B$31+'Inputs'!$B$32)/1000+'Inputs'!$B$21+'Inputs'!$B$9+'Inputs'!$B$10))^2+('Inputs'!$B$6/2)^2))))*'Results'!$B$8),"")</x:f>
        <x:v>1.7218975783528174</x:v>
      </x:c>
      <x:c r="N673" t="n">
        <x:f>IF(AND(ISNUMBER('Results'!C7),ISNUMBER('Results'!B7),ISNUMBER('Results'!$B$8),ISNUMBER('Inputs'!$B$6),ISNUMBER('Inputs'!$B$7),ISNUMBER('Inputs'!$B$8),ISNUMBER('Inputs'!$B$9),ISNUMBER('Inputs'!$B$10),ISNUMBER('Inputs'!$B$21),ISNUMBER('Inputs'!$B$24),ISNUMBER('Inputs'!$B$28)),((('Results'!C7*(1-'Inputs'!$B$24)*(0.5*((((673-43)*MAX('Inputs'!$B$33,'Inputs'!$B$29+'Inputs'!$B$31+'Inputs'!$B$32,'Inputs'!$B$30+'Inputs'!$B$31+'Inputs'!$B$32)/1000+'Inputs'!$B$21)+'Inputs'!$B$9)/SQRT((((673-43)*MAX('Inputs'!$B$33,'Inputs'!$B$29+'Inputs'!$B$31+'Inputs'!$B$32,'Inputs'!$B$30+'Inputs'!$B$31+'Inputs'!$B$32)/1000+'Inputs'!$B$21)+'Inputs'!$B$9)^2+('Inputs'!$B$8/2)^2)-(((673-43)*MAX('Inputs'!$B$33,'Inputs'!$B$29+'Inputs'!$B$31+'Inputs'!$B$32,'Inputs'!$B$30+'Inputs'!$B$31+'Inputs'!$B$32)/1000+'Inputs'!$B$21))/SQRT((((673-43)*MAX('Inputs'!$B$33,'Inputs'!$B$29+'Inputs'!$B$31+'Inputs'!$B$32,'Inputs'!$B$30+'Inputs'!$B$31+'Inputs'!$B$32)/1000+'Inputs'!$B$21))^2+('Inputs'!$B$8/2)^2)))-'Results'!B7*(1+'Inputs'!$B$24)*(0.5*((((673-43)*MAX('Inputs'!$B$33,'Inputs'!$B$29+'Inputs'!$B$31+'Inputs'!$B$32,'Inputs'!$B$30+'Inputs'!$B$31+'Inputs'!$B$32)/1000+'Inputs'!$B$21+'Inputs'!$B$9+'Inputs'!$B$10)+'Inputs'!$B$7)/SQRT((((673-43)*MAX('Inputs'!$B$33,'Inputs'!$B$29+'Inputs'!$B$31+'Inputs'!$B$32,'Inputs'!$B$30+'Inputs'!$B$31+'Inputs'!$B$32)/1000+'Inputs'!$B$21+'Inputs'!$B$9+'Inputs'!$B$10)+'Inputs'!$B$7)^2+('Inputs'!$B$6/2)^2)-(((673-43)*MAX('Inputs'!$B$33,'Inputs'!$B$29+'Inputs'!$B$31+'Inputs'!$B$32,'Inputs'!$B$30+'Inputs'!$B$31+'Inputs'!$B$32)/1000+'Inputs'!$B$21+'Inputs'!$B$9+'Inputs'!$B$10))/SQRT((((673-43)*MAX('Inputs'!$B$33,'Inputs'!$B$29+'Inputs'!$B$31+'Inputs'!$B$32,'Inputs'!$B$30+'Inputs'!$B$31+'Inputs'!$B$32)/1000+'Inputs'!$B$21+'Inputs'!$B$9+'Inputs'!$B$10))^2+('Inputs'!$B$6/2)^2))))*'Results'!$B$8)-'Inputs'!$B$28*ABS((('Results'!C7*(1-'Inputs'!$B$24)*(0.5*((((673-43)*MAX('Inputs'!$B$33,'Inputs'!$B$29+'Inputs'!$B$31+'Inputs'!$B$32,'Inputs'!$B$30+'Inputs'!$B$31+'Inputs'!$B$32)/1000+'Inputs'!$B$21)+'Inputs'!$B$9)/SQRT((((673-43)*MAX('Inputs'!$B$33,'Inputs'!$B$29+'Inputs'!$B$31+'Inputs'!$B$32,'Inputs'!$B$30+'Inputs'!$B$31+'Inputs'!$B$32)/1000+'Inputs'!$B$21)+'Inputs'!$B$9)^2+('Inputs'!$B$8/2)^2)-(((673-43)*MAX('Inputs'!$B$33,'Inputs'!$B$29+'Inputs'!$B$31+'Inputs'!$B$32,'Inputs'!$B$30+'Inputs'!$B$31+'Inputs'!$B$32)/1000+'Inputs'!$B$21))/SQRT((((673-43)*MAX('Inputs'!$B$33,'Inputs'!$B$29+'Inputs'!$B$31+'Inputs'!$B$32,'Inputs'!$B$30+'Inputs'!$B$31+'Inputs'!$B$32)/1000+'Inputs'!$B$21))^2+('Inputs'!$B$8/2)^2)))-'Results'!B7*(1+'Inputs'!$B$24)*(0.5*((((673-43)*MAX('Inputs'!$B$33,'Inputs'!$B$29+'Inputs'!$B$31+'Inputs'!$B$32,'Inputs'!$B$30+'Inputs'!$B$31+'Inputs'!$B$32)/1000+'Inputs'!$B$21+'Inputs'!$B$9+'Inputs'!$B$10)+'Inputs'!$B$7)/SQRT((((673-43)*MAX('Inputs'!$B$33,'Inputs'!$B$29+'Inputs'!$B$31+'Inputs'!$B$32,'Inputs'!$B$30+'Inputs'!$B$31+'Inputs'!$B$32)/1000+'Inputs'!$B$21+'Inputs'!$B$9+'Inputs'!$B$10)+'Inputs'!$B$7)^2+('Inputs'!$B$6/2)^2)-(((673-43)*MAX('Inputs'!$B$33,'Inputs'!$B$29+'Inputs'!$B$31+'Inputs'!$B$32,'Inputs'!$B$30+'Inputs'!$B$31+'Inputs'!$B$32)/1000+'Inputs'!$B$21+'Inputs'!$B$9+'Inputs'!$B$10))/SQRT((((673-43)*MAX('Inputs'!$B$33,'Inputs'!$B$29+'Inputs'!$B$31+'Inputs'!$B$32,'Inputs'!$B$30+'Inputs'!$B$31+'Inputs'!$B$32)/1000+'Inputs'!$B$21+'Inputs'!$B$9+'Inputs'!$B$10))^2+('Inputs'!$B$6/2)^2))))*'Results'!$B$8))),"")</x:f>
        <x:v>1.4915883731126742</x:v>
      </x:c>
      <x:c r="O673" t="n">
        <x:f>IF(AND(ISNUMBER('Results'!C7),ISNUMBER('Results'!B7),ISNUMBER('Results'!$B$8),ISNUMBER('Inputs'!$B$6),ISNUMBER('Inputs'!$B$7),ISNUMBER('Inputs'!$B$8),ISNUMBER('Inputs'!$B$9),ISNUMBER('Inputs'!$B$10),ISNUMBER('Inputs'!$B$21),ISNUMBER('Inputs'!$B$24),ISNUMBER('Inputs'!$B$28)),((('Results'!C7*(1+'Inputs'!$B$24)*(0.5*((((673-43)*MAX('Inputs'!$B$33,'Inputs'!$B$29+'Inputs'!$B$31+'Inputs'!$B$32,'Inputs'!$B$30+'Inputs'!$B$31+'Inputs'!$B$32)/1000+'Inputs'!$B$21)+'Inputs'!$B$9)/SQRT((((673-43)*MAX('Inputs'!$B$33,'Inputs'!$B$29+'Inputs'!$B$31+'Inputs'!$B$32,'Inputs'!$B$30+'Inputs'!$B$31+'Inputs'!$B$32)/1000+'Inputs'!$B$21)+'Inputs'!$B$9)^2+('Inputs'!$B$8/2)^2)-(((673-43)*MAX('Inputs'!$B$33,'Inputs'!$B$29+'Inputs'!$B$31+'Inputs'!$B$32,'Inputs'!$B$30+'Inputs'!$B$31+'Inputs'!$B$32)/1000+'Inputs'!$B$21))/SQRT((((673-43)*MAX('Inputs'!$B$33,'Inputs'!$B$29+'Inputs'!$B$31+'Inputs'!$B$32,'Inputs'!$B$30+'Inputs'!$B$31+'Inputs'!$B$32)/1000+'Inputs'!$B$21))^2+('Inputs'!$B$8/2)^2)))-'Results'!B7*(1-'Inputs'!$B$24)*(0.5*((((673-43)*MAX('Inputs'!$B$33,'Inputs'!$B$29+'Inputs'!$B$31+'Inputs'!$B$32,'Inputs'!$B$30+'Inputs'!$B$31+'Inputs'!$B$32)/1000+'Inputs'!$B$21+'Inputs'!$B$9+'Inputs'!$B$10)+'Inputs'!$B$7)/SQRT((((673-43)*MAX('Inputs'!$B$33,'Inputs'!$B$29+'Inputs'!$B$31+'Inputs'!$B$32,'Inputs'!$B$30+'Inputs'!$B$31+'Inputs'!$B$32)/1000+'Inputs'!$B$21+'Inputs'!$B$9+'Inputs'!$B$10)+'Inputs'!$B$7)^2+('Inputs'!$B$6/2)^2)-(((673-43)*MAX('Inputs'!$B$33,'Inputs'!$B$29+'Inputs'!$B$31+'Inputs'!$B$32,'Inputs'!$B$30+'Inputs'!$B$31+'Inputs'!$B$32)/1000+'Inputs'!$B$21+'Inputs'!$B$9+'Inputs'!$B$10))/SQRT((((673-43)*MAX('Inputs'!$B$33,'Inputs'!$B$29+'Inputs'!$B$31+'Inputs'!$B$32,'Inputs'!$B$30+'Inputs'!$B$31+'Inputs'!$B$32)/1000+'Inputs'!$B$21+'Inputs'!$B$9+'Inputs'!$B$10))^2+('Inputs'!$B$6/2)^2))))*'Results'!$B$8)+'Inputs'!$B$28*ABS((('Results'!C7*(1+'Inputs'!$B$24)*(0.5*((((673-43)*MAX('Inputs'!$B$33,'Inputs'!$B$29+'Inputs'!$B$31+'Inputs'!$B$32,'Inputs'!$B$30+'Inputs'!$B$31+'Inputs'!$B$32)/1000+'Inputs'!$B$21)+'Inputs'!$B$9)/SQRT((((673-43)*MAX('Inputs'!$B$33,'Inputs'!$B$29+'Inputs'!$B$31+'Inputs'!$B$32,'Inputs'!$B$30+'Inputs'!$B$31+'Inputs'!$B$32)/1000+'Inputs'!$B$21)+'Inputs'!$B$9)^2+('Inputs'!$B$8/2)^2)-(((673-43)*MAX('Inputs'!$B$33,'Inputs'!$B$29+'Inputs'!$B$31+'Inputs'!$B$32,'Inputs'!$B$30+'Inputs'!$B$31+'Inputs'!$B$32)/1000+'Inputs'!$B$21))/SQRT((((673-43)*MAX('Inputs'!$B$33,'Inputs'!$B$29+'Inputs'!$B$31+'Inputs'!$B$32,'Inputs'!$B$30+'Inputs'!$B$31+'Inputs'!$B$32)/1000+'Inputs'!$B$21))^2+('Inputs'!$B$8/2)^2)))-'Results'!B7*(1-'Inputs'!$B$24)*(0.5*((((673-43)*MAX('Inputs'!$B$33,'Inputs'!$B$29+'Inputs'!$B$31+'Inputs'!$B$32,'Inputs'!$B$30+'Inputs'!$B$31+'Inputs'!$B$32)/1000+'Inputs'!$B$21+'Inputs'!$B$9+'Inputs'!$B$10)+'Inputs'!$B$7)/SQRT((((673-43)*MAX('Inputs'!$B$33,'Inputs'!$B$29+'Inputs'!$B$31+'Inputs'!$B$32,'Inputs'!$B$30+'Inputs'!$B$31+'Inputs'!$B$32)/1000+'Inputs'!$B$21+'Inputs'!$B$9+'Inputs'!$B$10)+'Inputs'!$B$7)^2+('Inputs'!$B$6/2)^2)-(((673-43)*MAX('Inputs'!$B$33,'Inputs'!$B$29+'Inputs'!$B$31+'Inputs'!$B$32,'Inputs'!$B$30+'Inputs'!$B$31+'Inputs'!$B$32)/1000+'Inputs'!$B$21+'Inputs'!$B$9+'Inputs'!$B$10))/SQRT((((673-43)*MAX('Inputs'!$B$33,'Inputs'!$B$29+'Inputs'!$B$31+'Inputs'!$B$32,'Inputs'!$B$30+'Inputs'!$B$31+'Inputs'!$B$32)/1000+'Inputs'!$B$21+'Inputs'!$B$9+'Inputs'!$B$10))^2+('Inputs'!$B$6/2)^2))))*'Results'!$B$8))),"")</x:f>
        <x:v>1.9673872389953277</x:v>
      </x:c>
      <x:c r="P673" t="n">
        <x:f>IF(AND(MAX(J673,J672)&gt;0,J673&gt;J672+0.00000001),1,0)</x:f>
        <x:v>0</x:v>
      </x:c>
      <x:c r="Q673" t="n">
        <x:f>IF(AND(MAX(K673,K672)&gt;0,K673&gt;K672+0.00000001),1,0)</x:f>
        <x:v>0</x:v>
      </x:c>
      <x:c r="R673" t="n">
        <x:f>IF(AND(MAX(L673,L672)&gt;0,L673&gt;L672+0.00000001),1,0)</x:f>
        <x:v>0</x:v>
      </x:c>
      <x:c r="S673" t="n">
        <x:f>IF(AND(MAX(M673,M672)&gt;0,M673&gt;M672+0.00000001),1,0)</x:f>
        <x:v>0</x:v>
      </x:c>
      <x:c r="T673" t="n">
        <x:f>IF(AND(MAX(N673,N672)&gt;0,N673&gt;N672+0.00000001),1,0)</x:f>
        <x:v>0</x:v>
      </x:c>
      <x:c r="U673" t="n">
        <x:f>IF(AND(MAX(O673,O672)&gt;0,O673&gt;O672+0.00000001),1,0)</x:f>
        <x:v>0</x:v>
      </x:c>
    </x:row>
    <x:row r="674">
      <x:c r="J674" t="n">
        <x:f>IF(AND(ISNUMBER('Results'!B7),ISNUMBER('Results'!C7),ISNUMBER('Results'!$B$8),ISNUMBER('Inputs'!$B$6),ISNUMBER('Inputs'!$B$7),ISNUMBER('Inputs'!$B$8),ISNUMBER('Inputs'!$B$9),ISNUMBER('Inputs'!$B$10),ISNUMBER('Inputs'!$B$21),ISNUMBER('Inputs'!$B$24),ISNUMBER('Inputs'!$B$28)),(('Results'!B7*(0.5*((((674-43)*MAX('Inputs'!$B$33,'Inputs'!$B$29+'Inputs'!$B$31+'Inputs'!$B$32,'Inputs'!$B$30+'Inputs'!$B$31+'Inputs'!$B$32)/1000+'Inputs'!$B$21)+'Inputs'!$B$7)/SQRT((((674-43)*MAX('Inputs'!$B$33,'Inputs'!$B$29+'Inputs'!$B$31+'Inputs'!$B$32,'Inputs'!$B$30+'Inputs'!$B$31+'Inputs'!$B$32)/1000+'Inputs'!$B$21)+'Inputs'!$B$7)^2+('Inputs'!$B$6/2)^2)-(((674-43)*MAX('Inputs'!$B$33,'Inputs'!$B$29+'Inputs'!$B$31+'Inputs'!$B$32,'Inputs'!$B$30+'Inputs'!$B$31+'Inputs'!$B$32)/1000+'Inputs'!$B$21))/SQRT((((674-43)*MAX('Inputs'!$B$33,'Inputs'!$B$29+'Inputs'!$B$31+'Inputs'!$B$32,'Inputs'!$B$30+'Inputs'!$B$31+'Inputs'!$B$32)/1000+'Inputs'!$B$21))^2+('Inputs'!$B$6/2)^2)))-'Results'!C7*(0.5*((((674-43)*MAX('Inputs'!$B$33,'Inputs'!$B$29+'Inputs'!$B$31+'Inputs'!$B$32,'Inputs'!$B$30+'Inputs'!$B$31+'Inputs'!$B$32)/1000+'Inputs'!$B$21+'Inputs'!$B$7+'Inputs'!$B$10)+'Inputs'!$B$9)/SQRT((((674-43)*MAX('Inputs'!$B$33,'Inputs'!$B$29+'Inputs'!$B$31+'Inputs'!$B$32,'Inputs'!$B$30+'Inputs'!$B$31+'Inputs'!$B$32)/1000+'Inputs'!$B$21+'Inputs'!$B$7+'Inputs'!$B$10)+'Inputs'!$B$9)^2+('Inputs'!$B$8/2)^2)-(((674-43)*MAX('Inputs'!$B$33,'Inputs'!$B$29+'Inputs'!$B$31+'Inputs'!$B$32,'Inputs'!$B$30+'Inputs'!$B$31+'Inputs'!$B$32)/1000+'Inputs'!$B$21+'Inputs'!$B$7+'Inputs'!$B$10))/SQRT((((674-43)*MAX('Inputs'!$B$33,'Inputs'!$B$29+'Inputs'!$B$31+'Inputs'!$B$32,'Inputs'!$B$30+'Inputs'!$B$31+'Inputs'!$B$32)/1000+'Inputs'!$B$21+'Inputs'!$B$7+'Inputs'!$B$10))^2+('Inputs'!$B$8/2)^2))))*'Results'!$B$8),"")</x:f>
        <x:v>1.8651752506951458</x:v>
      </x:c>
      <x:c r="K674" t="n">
        <x:f>IF(AND(ISNUMBER('Results'!B7),ISNUMBER('Results'!C7),ISNUMBER('Results'!$B$8),ISNUMBER('Inputs'!$B$6),ISNUMBER('Inputs'!$B$7),ISNUMBER('Inputs'!$B$8),ISNUMBER('Inputs'!$B$9),ISNUMBER('Inputs'!$B$10),ISNUMBER('Inputs'!$B$21),ISNUMBER('Inputs'!$B$24),ISNUMBER('Inputs'!$B$28)),((('Results'!B7*(1-'Inputs'!$B$24)*(0.5*((((674-43)*MAX('Inputs'!$B$33,'Inputs'!$B$29+'Inputs'!$B$31+'Inputs'!$B$32,'Inputs'!$B$30+'Inputs'!$B$31+'Inputs'!$B$32)/1000+'Inputs'!$B$21)+'Inputs'!$B$7)/SQRT((((674-43)*MAX('Inputs'!$B$33,'Inputs'!$B$29+'Inputs'!$B$31+'Inputs'!$B$32,'Inputs'!$B$30+'Inputs'!$B$31+'Inputs'!$B$32)/1000+'Inputs'!$B$21)+'Inputs'!$B$7)^2+('Inputs'!$B$6/2)^2)-(((674-43)*MAX('Inputs'!$B$33,'Inputs'!$B$29+'Inputs'!$B$31+'Inputs'!$B$32,'Inputs'!$B$30+'Inputs'!$B$31+'Inputs'!$B$32)/1000+'Inputs'!$B$21))/SQRT((((674-43)*MAX('Inputs'!$B$33,'Inputs'!$B$29+'Inputs'!$B$31+'Inputs'!$B$32,'Inputs'!$B$30+'Inputs'!$B$31+'Inputs'!$B$32)/1000+'Inputs'!$B$21))^2+('Inputs'!$B$6/2)^2)))-'Results'!C7*(1+'Inputs'!$B$24)*(0.5*((((674-43)*MAX('Inputs'!$B$33,'Inputs'!$B$29+'Inputs'!$B$31+'Inputs'!$B$32,'Inputs'!$B$30+'Inputs'!$B$31+'Inputs'!$B$32)/1000+'Inputs'!$B$21+'Inputs'!$B$7+'Inputs'!$B$10)+'Inputs'!$B$9)/SQRT((((674-43)*MAX('Inputs'!$B$33,'Inputs'!$B$29+'Inputs'!$B$31+'Inputs'!$B$32,'Inputs'!$B$30+'Inputs'!$B$31+'Inputs'!$B$32)/1000+'Inputs'!$B$21+'Inputs'!$B$7+'Inputs'!$B$10)+'Inputs'!$B$9)^2+('Inputs'!$B$8/2)^2)-(((674-43)*MAX('Inputs'!$B$33,'Inputs'!$B$29+'Inputs'!$B$31+'Inputs'!$B$32,'Inputs'!$B$30+'Inputs'!$B$31+'Inputs'!$B$32)/1000+'Inputs'!$B$21+'Inputs'!$B$7+'Inputs'!$B$10))/SQRT((((674-43)*MAX('Inputs'!$B$33,'Inputs'!$B$29+'Inputs'!$B$31+'Inputs'!$B$32,'Inputs'!$B$30+'Inputs'!$B$31+'Inputs'!$B$32)/1000+'Inputs'!$B$21+'Inputs'!$B$7+'Inputs'!$B$10))^2+('Inputs'!$B$8/2)^2))))*'Results'!$B$8)-'Inputs'!$B$28*ABS((('Results'!B7*(1-'Inputs'!$B$24)*(0.5*((((674-43)*MAX('Inputs'!$B$33,'Inputs'!$B$29+'Inputs'!$B$31+'Inputs'!$B$32,'Inputs'!$B$30+'Inputs'!$B$31+'Inputs'!$B$32)/1000+'Inputs'!$B$21)+'Inputs'!$B$7)/SQRT((((674-43)*MAX('Inputs'!$B$33,'Inputs'!$B$29+'Inputs'!$B$31+'Inputs'!$B$32,'Inputs'!$B$30+'Inputs'!$B$31+'Inputs'!$B$32)/1000+'Inputs'!$B$21)+'Inputs'!$B$7)^2+('Inputs'!$B$6/2)^2)-(((674-43)*MAX('Inputs'!$B$33,'Inputs'!$B$29+'Inputs'!$B$31+'Inputs'!$B$32,'Inputs'!$B$30+'Inputs'!$B$31+'Inputs'!$B$32)/1000+'Inputs'!$B$21))/SQRT((((674-43)*MAX('Inputs'!$B$33,'Inputs'!$B$29+'Inputs'!$B$31+'Inputs'!$B$32,'Inputs'!$B$30+'Inputs'!$B$31+'Inputs'!$B$32)/1000+'Inputs'!$B$21))^2+('Inputs'!$B$6/2)^2)))-'Results'!C7*(1+'Inputs'!$B$24)*(0.5*((((674-43)*MAX('Inputs'!$B$33,'Inputs'!$B$29+'Inputs'!$B$31+'Inputs'!$B$32,'Inputs'!$B$30+'Inputs'!$B$31+'Inputs'!$B$32)/1000+'Inputs'!$B$21+'Inputs'!$B$7+'Inputs'!$B$10)+'Inputs'!$B$9)/SQRT((((674-43)*MAX('Inputs'!$B$33,'Inputs'!$B$29+'Inputs'!$B$31+'Inputs'!$B$32,'Inputs'!$B$30+'Inputs'!$B$31+'Inputs'!$B$32)/1000+'Inputs'!$B$21+'Inputs'!$B$7+'Inputs'!$B$10)+'Inputs'!$B$9)^2+('Inputs'!$B$8/2)^2)-(((674-43)*MAX('Inputs'!$B$33,'Inputs'!$B$29+'Inputs'!$B$31+'Inputs'!$B$32,'Inputs'!$B$30+'Inputs'!$B$31+'Inputs'!$B$32)/1000+'Inputs'!$B$21+'Inputs'!$B$7+'Inputs'!$B$10))/SQRT((((674-43)*MAX('Inputs'!$B$33,'Inputs'!$B$29+'Inputs'!$B$31+'Inputs'!$B$32,'Inputs'!$B$30+'Inputs'!$B$31+'Inputs'!$B$32)/1000+'Inputs'!$B$21+'Inputs'!$B$7+'Inputs'!$B$10))^2+('Inputs'!$B$8/2)^2))))*'Results'!$B$8))),"")</x:f>
        <x:v>1.6276333175167212</x:v>
      </x:c>
      <x:c r="L674" t="n">
        <x:f>IF(AND(ISNUMBER('Results'!B7),ISNUMBER('Results'!C7),ISNUMBER('Results'!$B$8),ISNUMBER('Inputs'!$B$6),ISNUMBER('Inputs'!$B$7),ISNUMBER('Inputs'!$B$8),ISNUMBER('Inputs'!$B$9),ISNUMBER('Inputs'!$B$10),ISNUMBER('Inputs'!$B$21),ISNUMBER('Inputs'!$B$24),ISNUMBER('Inputs'!$B$28)),((('Results'!B7*(1+'Inputs'!$B$24)*(0.5*((((674-43)*MAX('Inputs'!$B$33,'Inputs'!$B$29+'Inputs'!$B$31+'Inputs'!$B$32,'Inputs'!$B$30+'Inputs'!$B$31+'Inputs'!$B$32)/1000+'Inputs'!$B$21)+'Inputs'!$B$7)/SQRT((((674-43)*MAX('Inputs'!$B$33,'Inputs'!$B$29+'Inputs'!$B$31+'Inputs'!$B$32,'Inputs'!$B$30+'Inputs'!$B$31+'Inputs'!$B$32)/1000+'Inputs'!$B$21)+'Inputs'!$B$7)^2+('Inputs'!$B$6/2)^2)-(((674-43)*MAX('Inputs'!$B$33,'Inputs'!$B$29+'Inputs'!$B$31+'Inputs'!$B$32,'Inputs'!$B$30+'Inputs'!$B$31+'Inputs'!$B$32)/1000+'Inputs'!$B$21))/SQRT((((674-43)*MAX('Inputs'!$B$33,'Inputs'!$B$29+'Inputs'!$B$31+'Inputs'!$B$32,'Inputs'!$B$30+'Inputs'!$B$31+'Inputs'!$B$32)/1000+'Inputs'!$B$21))^2+('Inputs'!$B$6/2)^2)))-'Results'!C7*(1-'Inputs'!$B$24)*(0.5*((((674-43)*MAX('Inputs'!$B$33,'Inputs'!$B$29+'Inputs'!$B$31+'Inputs'!$B$32,'Inputs'!$B$30+'Inputs'!$B$31+'Inputs'!$B$32)/1000+'Inputs'!$B$21+'Inputs'!$B$7+'Inputs'!$B$10)+'Inputs'!$B$9)/SQRT((((674-43)*MAX('Inputs'!$B$33,'Inputs'!$B$29+'Inputs'!$B$31+'Inputs'!$B$32,'Inputs'!$B$30+'Inputs'!$B$31+'Inputs'!$B$32)/1000+'Inputs'!$B$21+'Inputs'!$B$7+'Inputs'!$B$10)+'Inputs'!$B$9)^2+('Inputs'!$B$8/2)^2)-(((674-43)*MAX('Inputs'!$B$33,'Inputs'!$B$29+'Inputs'!$B$31+'Inputs'!$B$32,'Inputs'!$B$30+'Inputs'!$B$31+'Inputs'!$B$32)/1000+'Inputs'!$B$21+'Inputs'!$B$7+'Inputs'!$B$10))/SQRT((((674-43)*MAX('Inputs'!$B$33,'Inputs'!$B$29+'Inputs'!$B$31+'Inputs'!$B$32,'Inputs'!$B$30+'Inputs'!$B$31+'Inputs'!$B$32)/1000+'Inputs'!$B$21+'Inputs'!$B$7+'Inputs'!$B$10))^2+('Inputs'!$B$8/2)^2))))*'Results'!$B$8)+'Inputs'!$B$28*ABS((('Results'!B7*(1+'Inputs'!$B$24)*(0.5*((((674-43)*MAX('Inputs'!$B$33,'Inputs'!$B$29+'Inputs'!$B$31+'Inputs'!$B$32,'Inputs'!$B$30+'Inputs'!$B$31+'Inputs'!$B$32)/1000+'Inputs'!$B$21)+'Inputs'!$B$7)/SQRT((((674-43)*MAX('Inputs'!$B$33,'Inputs'!$B$29+'Inputs'!$B$31+'Inputs'!$B$32,'Inputs'!$B$30+'Inputs'!$B$31+'Inputs'!$B$32)/1000+'Inputs'!$B$21)+'Inputs'!$B$7)^2+('Inputs'!$B$6/2)^2)-(((674-43)*MAX('Inputs'!$B$33,'Inputs'!$B$29+'Inputs'!$B$31+'Inputs'!$B$32,'Inputs'!$B$30+'Inputs'!$B$31+'Inputs'!$B$32)/1000+'Inputs'!$B$21))/SQRT((((674-43)*MAX('Inputs'!$B$33,'Inputs'!$B$29+'Inputs'!$B$31+'Inputs'!$B$32,'Inputs'!$B$30+'Inputs'!$B$31+'Inputs'!$B$32)/1000+'Inputs'!$B$21))^2+('Inputs'!$B$6/2)^2)))-'Results'!C7*(1-'Inputs'!$B$24)*(0.5*((((674-43)*MAX('Inputs'!$B$33,'Inputs'!$B$29+'Inputs'!$B$31+'Inputs'!$B$32,'Inputs'!$B$30+'Inputs'!$B$31+'Inputs'!$B$32)/1000+'Inputs'!$B$21+'Inputs'!$B$7+'Inputs'!$B$10)+'Inputs'!$B$9)/SQRT((((674-43)*MAX('Inputs'!$B$33,'Inputs'!$B$29+'Inputs'!$B$31+'Inputs'!$B$32,'Inputs'!$B$30+'Inputs'!$B$31+'Inputs'!$B$32)/1000+'Inputs'!$B$21+'Inputs'!$B$7+'Inputs'!$B$10)+'Inputs'!$B$9)^2+('Inputs'!$B$8/2)^2)-(((674-43)*MAX('Inputs'!$B$33,'Inputs'!$B$29+'Inputs'!$B$31+'Inputs'!$B$32,'Inputs'!$B$30+'Inputs'!$B$31+'Inputs'!$B$32)/1000+'Inputs'!$B$21+'Inputs'!$B$7+'Inputs'!$B$10))/SQRT((((674-43)*MAX('Inputs'!$B$33,'Inputs'!$B$29+'Inputs'!$B$31+'Inputs'!$B$32,'Inputs'!$B$30+'Inputs'!$B$31+'Inputs'!$B$32)/1000+'Inputs'!$B$21+'Inputs'!$B$7+'Inputs'!$B$10))^2+('Inputs'!$B$8/2)^2))))*'Results'!$B$8))),"")</x:f>
        <x:v>2.117904886046588</x:v>
      </x:c>
      <x:c r="M674" t="n">
        <x:f>IF(AND(ISNUMBER('Results'!C7),ISNUMBER('Results'!B7),ISNUMBER('Results'!$B$8),ISNUMBER('Inputs'!$B$6),ISNUMBER('Inputs'!$B$7),ISNUMBER('Inputs'!$B$8),ISNUMBER('Inputs'!$B$9),ISNUMBER('Inputs'!$B$10),ISNUMBER('Inputs'!$B$21),ISNUMBER('Inputs'!$B$24),ISNUMBER('Inputs'!$B$28)),(('Results'!C7*(0.5*((((674-43)*MAX('Inputs'!$B$33,'Inputs'!$B$29+'Inputs'!$B$31+'Inputs'!$B$32,'Inputs'!$B$30+'Inputs'!$B$31+'Inputs'!$B$32)/1000+'Inputs'!$B$21)+'Inputs'!$B$9)/SQRT((((674-43)*MAX('Inputs'!$B$33,'Inputs'!$B$29+'Inputs'!$B$31+'Inputs'!$B$32,'Inputs'!$B$30+'Inputs'!$B$31+'Inputs'!$B$32)/1000+'Inputs'!$B$21)+'Inputs'!$B$9)^2+('Inputs'!$B$8/2)^2)-(((674-43)*MAX('Inputs'!$B$33,'Inputs'!$B$29+'Inputs'!$B$31+'Inputs'!$B$32,'Inputs'!$B$30+'Inputs'!$B$31+'Inputs'!$B$32)/1000+'Inputs'!$B$21))/SQRT((((674-43)*MAX('Inputs'!$B$33,'Inputs'!$B$29+'Inputs'!$B$31+'Inputs'!$B$32,'Inputs'!$B$30+'Inputs'!$B$31+'Inputs'!$B$32)/1000+'Inputs'!$B$21))^2+('Inputs'!$B$8/2)^2)))-'Results'!B7*(0.5*((((674-43)*MAX('Inputs'!$B$33,'Inputs'!$B$29+'Inputs'!$B$31+'Inputs'!$B$32,'Inputs'!$B$30+'Inputs'!$B$31+'Inputs'!$B$32)/1000+'Inputs'!$B$21+'Inputs'!$B$9+'Inputs'!$B$10)+'Inputs'!$B$7)/SQRT((((674-43)*MAX('Inputs'!$B$33,'Inputs'!$B$29+'Inputs'!$B$31+'Inputs'!$B$32,'Inputs'!$B$30+'Inputs'!$B$31+'Inputs'!$B$32)/1000+'Inputs'!$B$21+'Inputs'!$B$9+'Inputs'!$B$10)+'Inputs'!$B$7)^2+('Inputs'!$B$6/2)^2)-(((674-43)*MAX('Inputs'!$B$33,'Inputs'!$B$29+'Inputs'!$B$31+'Inputs'!$B$32,'Inputs'!$B$30+'Inputs'!$B$31+'Inputs'!$B$32)/1000+'Inputs'!$B$21+'Inputs'!$B$9+'Inputs'!$B$10))/SQRT((((674-43)*MAX('Inputs'!$B$33,'Inputs'!$B$29+'Inputs'!$B$31+'Inputs'!$B$32,'Inputs'!$B$30+'Inputs'!$B$31+'Inputs'!$B$32)/1000+'Inputs'!$B$21+'Inputs'!$B$9+'Inputs'!$B$10))^2+('Inputs'!$B$6/2)^2))))*'Results'!$B$8),"")</x:f>
        <x:v>1.712129111447457</x:v>
      </x:c>
      <x:c r="N674" t="n">
        <x:f>IF(AND(ISNUMBER('Results'!C7),ISNUMBER('Results'!B7),ISNUMBER('Results'!$B$8),ISNUMBER('Inputs'!$B$6),ISNUMBER('Inputs'!$B$7),ISNUMBER('Inputs'!$B$8),ISNUMBER('Inputs'!$B$9),ISNUMBER('Inputs'!$B$10),ISNUMBER('Inputs'!$B$21),ISNUMBER('Inputs'!$B$24),ISNUMBER('Inputs'!$B$28)),((('Results'!C7*(1-'Inputs'!$B$24)*(0.5*((((674-43)*MAX('Inputs'!$B$33,'Inputs'!$B$29+'Inputs'!$B$31+'Inputs'!$B$32,'Inputs'!$B$30+'Inputs'!$B$31+'Inputs'!$B$32)/1000+'Inputs'!$B$21)+'Inputs'!$B$9)/SQRT((((674-43)*MAX('Inputs'!$B$33,'Inputs'!$B$29+'Inputs'!$B$31+'Inputs'!$B$32,'Inputs'!$B$30+'Inputs'!$B$31+'Inputs'!$B$32)/1000+'Inputs'!$B$21)+'Inputs'!$B$9)^2+('Inputs'!$B$8/2)^2)-(((674-43)*MAX('Inputs'!$B$33,'Inputs'!$B$29+'Inputs'!$B$31+'Inputs'!$B$32,'Inputs'!$B$30+'Inputs'!$B$31+'Inputs'!$B$32)/1000+'Inputs'!$B$21))/SQRT((((674-43)*MAX('Inputs'!$B$33,'Inputs'!$B$29+'Inputs'!$B$31+'Inputs'!$B$32,'Inputs'!$B$30+'Inputs'!$B$31+'Inputs'!$B$32)/1000+'Inputs'!$B$21))^2+('Inputs'!$B$8/2)^2)))-'Results'!B7*(1+'Inputs'!$B$24)*(0.5*((((674-43)*MAX('Inputs'!$B$33,'Inputs'!$B$29+'Inputs'!$B$31+'Inputs'!$B$32,'Inputs'!$B$30+'Inputs'!$B$31+'Inputs'!$B$32)/1000+'Inputs'!$B$21+'Inputs'!$B$9+'Inputs'!$B$10)+'Inputs'!$B$7)/SQRT((((674-43)*MAX('Inputs'!$B$33,'Inputs'!$B$29+'Inputs'!$B$31+'Inputs'!$B$32,'Inputs'!$B$30+'Inputs'!$B$31+'Inputs'!$B$32)/1000+'Inputs'!$B$21+'Inputs'!$B$9+'Inputs'!$B$10)+'Inputs'!$B$7)^2+('Inputs'!$B$6/2)^2)-(((674-43)*MAX('Inputs'!$B$33,'Inputs'!$B$29+'Inputs'!$B$31+'Inputs'!$B$32,'Inputs'!$B$30+'Inputs'!$B$31+'Inputs'!$B$32)/1000+'Inputs'!$B$21+'Inputs'!$B$9+'Inputs'!$B$10))/SQRT((((674-43)*MAX('Inputs'!$B$33,'Inputs'!$B$29+'Inputs'!$B$31+'Inputs'!$B$32,'Inputs'!$B$30+'Inputs'!$B$31+'Inputs'!$B$32)/1000+'Inputs'!$B$21+'Inputs'!$B$9+'Inputs'!$B$10))^2+('Inputs'!$B$6/2)^2))))*'Results'!$B$8)-'Inputs'!$B$28*ABS((('Results'!C7*(1-'Inputs'!$B$24)*(0.5*((((674-43)*MAX('Inputs'!$B$33,'Inputs'!$B$29+'Inputs'!$B$31+'Inputs'!$B$32,'Inputs'!$B$30+'Inputs'!$B$31+'Inputs'!$B$32)/1000+'Inputs'!$B$21)+'Inputs'!$B$9)/SQRT((((674-43)*MAX('Inputs'!$B$33,'Inputs'!$B$29+'Inputs'!$B$31+'Inputs'!$B$32,'Inputs'!$B$30+'Inputs'!$B$31+'Inputs'!$B$32)/1000+'Inputs'!$B$21)+'Inputs'!$B$9)^2+('Inputs'!$B$8/2)^2)-(((674-43)*MAX('Inputs'!$B$33,'Inputs'!$B$29+'Inputs'!$B$31+'Inputs'!$B$32,'Inputs'!$B$30+'Inputs'!$B$31+'Inputs'!$B$32)/1000+'Inputs'!$B$21))/SQRT((((674-43)*MAX('Inputs'!$B$33,'Inputs'!$B$29+'Inputs'!$B$31+'Inputs'!$B$32,'Inputs'!$B$30+'Inputs'!$B$31+'Inputs'!$B$32)/1000+'Inputs'!$B$21))^2+('Inputs'!$B$8/2)^2)))-'Results'!B7*(1+'Inputs'!$B$24)*(0.5*((((674-43)*MAX('Inputs'!$B$33,'Inputs'!$B$29+'Inputs'!$B$31+'Inputs'!$B$32,'Inputs'!$B$30+'Inputs'!$B$31+'Inputs'!$B$32)/1000+'Inputs'!$B$21+'Inputs'!$B$9+'Inputs'!$B$10)+'Inputs'!$B$7)/SQRT((((674-43)*MAX('Inputs'!$B$33,'Inputs'!$B$29+'Inputs'!$B$31+'Inputs'!$B$32,'Inputs'!$B$30+'Inputs'!$B$31+'Inputs'!$B$32)/1000+'Inputs'!$B$21+'Inputs'!$B$9+'Inputs'!$B$10)+'Inputs'!$B$7)^2+('Inputs'!$B$6/2)^2)-(((674-43)*MAX('Inputs'!$B$33,'Inputs'!$B$29+'Inputs'!$B$31+'Inputs'!$B$32,'Inputs'!$B$30+'Inputs'!$B$31+'Inputs'!$B$32)/1000+'Inputs'!$B$21+'Inputs'!$B$9+'Inputs'!$B$10))/SQRT((((674-43)*MAX('Inputs'!$B$33,'Inputs'!$B$29+'Inputs'!$B$31+'Inputs'!$B$32,'Inputs'!$B$30+'Inputs'!$B$31+'Inputs'!$B$32)/1000+'Inputs'!$B$21+'Inputs'!$B$9+'Inputs'!$B$10))^2+('Inputs'!$B$6/2)^2))))*'Results'!$B$8))),"")</x:f>
        <x:v>1.4829260385938476</x:v>
      </x:c>
      <x:c r="O674" t="n">
        <x:f>IF(AND(ISNUMBER('Results'!C7),ISNUMBER('Results'!B7),ISNUMBER('Results'!$B$8),ISNUMBER('Inputs'!$B$6),ISNUMBER('Inputs'!$B$7),ISNUMBER('Inputs'!$B$8),ISNUMBER('Inputs'!$B$9),ISNUMBER('Inputs'!$B$10),ISNUMBER('Inputs'!$B$21),ISNUMBER('Inputs'!$B$24),ISNUMBER('Inputs'!$B$28)),((('Results'!C7*(1+'Inputs'!$B$24)*(0.5*((((674-43)*MAX('Inputs'!$B$33,'Inputs'!$B$29+'Inputs'!$B$31+'Inputs'!$B$32,'Inputs'!$B$30+'Inputs'!$B$31+'Inputs'!$B$32)/1000+'Inputs'!$B$21)+'Inputs'!$B$9)/SQRT((((674-43)*MAX('Inputs'!$B$33,'Inputs'!$B$29+'Inputs'!$B$31+'Inputs'!$B$32,'Inputs'!$B$30+'Inputs'!$B$31+'Inputs'!$B$32)/1000+'Inputs'!$B$21)+'Inputs'!$B$9)^2+('Inputs'!$B$8/2)^2)-(((674-43)*MAX('Inputs'!$B$33,'Inputs'!$B$29+'Inputs'!$B$31+'Inputs'!$B$32,'Inputs'!$B$30+'Inputs'!$B$31+'Inputs'!$B$32)/1000+'Inputs'!$B$21))/SQRT((((674-43)*MAX('Inputs'!$B$33,'Inputs'!$B$29+'Inputs'!$B$31+'Inputs'!$B$32,'Inputs'!$B$30+'Inputs'!$B$31+'Inputs'!$B$32)/1000+'Inputs'!$B$21))^2+('Inputs'!$B$8/2)^2)))-'Results'!B7*(1-'Inputs'!$B$24)*(0.5*((((674-43)*MAX('Inputs'!$B$33,'Inputs'!$B$29+'Inputs'!$B$31+'Inputs'!$B$32,'Inputs'!$B$30+'Inputs'!$B$31+'Inputs'!$B$32)/1000+'Inputs'!$B$21+'Inputs'!$B$9+'Inputs'!$B$10)+'Inputs'!$B$7)/SQRT((((674-43)*MAX('Inputs'!$B$33,'Inputs'!$B$29+'Inputs'!$B$31+'Inputs'!$B$32,'Inputs'!$B$30+'Inputs'!$B$31+'Inputs'!$B$32)/1000+'Inputs'!$B$21+'Inputs'!$B$9+'Inputs'!$B$10)+'Inputs'!$B$7)^2+('Inputs'!$B$6/2)^2)-(((674-43)*MAX('Inputs'!$B$33,'Inputs'!$B$29+'Inputs'!$B$31+'Inputs'!$B$32,'Inputs'!$B$30+'Inputs'!$B$31+'Inputs'!$B$32)/1000+'Inputs'!$B$21+'Inputs'!$B$9+'Inputs'!$B$10))/SQRT((((674-43)*MAX('Inputs'!$B$33,'Inputs'!$B$29+'Inputs'!$B$31+'Inputs'!$B$32,'Inputs'!$B$30+'Inputs'!$B$31+'Inputs'!$B$32)/1000+'Inputs'!$B$21+'Inputs'!$B$9+'Inputs'!$B$10))^2+('Inputs'!$B$6/2)^2))))*'Results'!$B$8)+'Inputs'!$B$28*ABS((('Results'!C7*(1+'Inputs'!$B$24)*(0.5*((((674-43)*MAX('Inputs'!$B$33,'Inputs'!$B$29+'Inputs'!$B$31+'Inputs'!$B$32,'Inputs'!$B$30+'Inputs'!$B$31+'Inputs'!$B$32)/1000+'Inputs'!$B$21)+'Inputs'!$B$9)/SQRT((((674-43)*MAX('Inputs'!$B$33,'Inputs'!$B$29+'Inputs'!$B$31+'Inputs'!$B$32,'Inputs'!$B$30+'Inputs'!$B$31+'Inputs'!$B$32)/1000+'Inputs'!$B$21)+'Inputs'!$B$9)^2+('Inputs'!$B$8/2)^2)-(((674-43)*MAX('Inputs'!$B$33,'Inputs'!$B$29+'Inputs'!$B$31+'Inputs'!$B$32,'Inputs'!$B$30+'Inputs'!$B$31+'Inputs'!$B$32)/1000+'Inputs'!$B$21))/SQRT((((674-43)*MAX('Inputs'!$B$33,'Inputs'!$B$29+'Inputs'!$B$31+'Inputs'!$B$32,'Inputs'!$B$30+'Inputs'!$B$31+'Inputs'!$B$32)/1000+'Inputs'!$B$21))^2+('Inputs'!$B$8/2)^2)))-'Results'!B7*(1-'Inputs'!$B$24)*(0.5*((((674-43)*MAX('Inputs'!$B$33,'Inputs'!$B$29+'Inputs'!$B$31+'Inputs'!$B$32,'Inputs'!$B$30+'Inputs'!$B$31+'Inputs'!$B$32)/1000+'Inputs'!$B$21+'Inputs'!$B$9+'Inputs'!$B$10)+'Inputs'!$B$7)/SQRT((((674-43)*MAX('Inputs'!$B$33,'Inputs'!$B$29+'Inputs'!$B$31+'Inputs'!$B$32,'Inputs'!$B$30+'Inputs'!$B$31+'Inputs'!$B$32)/1000+'Inputs'!$B$21+'Inputs'!$B$9+'Inputs'!$B$10)+'Inputs'!$B$7)^2+('Inputs'!$B$6/2)^2)-(((674-43)*MAX('Inputs'!$B$33,'Inputs'!$B$29+'Inputs'!$B$31+'Inputs'!$B$32,'Inputs'!$B$30+'Inputs'!$B$31+'Inputs'!$B$32)/1000+'Inputs'!$B$21+'Inputs'!$B$9+'Inputs'!$B$10))/SQRT((((674-43)*MAX('Inputs'!$B$33,'Inputs'!$B$29+'Inputs'!$B$31+'Inputs'!$B$32,'Inputs'!$B$30+'Inputs'!$B$31+'Inputs'!$B$32)/1000+'Inputs'!$B$21+'Inputs'!$B$9+'Inputs'!$B$10))^2+('Inputs'!$B$6/2)^2))))*'Results'!$B$8))),"")</x:f>
        <x:v>1.9564476176990904</x:v>
      </x:c>
      <x:c r="P674" t="n">
        <x:f>IF(AND(MAX(J674,J673)&gt;0,J674&gt;J673+0.00000001),1,0)</x:f>
        <x:v>0</x:v>
      </x:c>
      <x:c r="Q674" t="n">
        <x:f>IF(AND(MAX(K674,K673)&gt;0,K674&gt;K673+0.00000001),1,0)</x:f>
        <x:v>0</x:v>
      </x:c>
      <x:c r="R674" t="n">
        <x:f>IF(AND(MAX(L674,L673)&gt;0,L674&gt;L673+0.00000001),1,0)</x:f>
        <x:v>0</x:v>
      </x:c>
      <x:c r="S674" t="n">
        <x:f>IF(AND(MAX(M674,M673)&gt;0,M674&gt;M673+0.00000001),1,0)</x:f>
        <x:v>0</x:v>
      </x:c>
      <x:c r="T674" t="n">
        <x:f>IF(AND(MAX(N674,N673)&gt;0,N674&gt;N673+0.00000001),1,0)</x:f>
        <x:v>0</x:v>
      </x:c>
      <x:c r="U674" t="n">
        <x:f>IF(AND(MAX(O674,O673)&gt;0,O674&gt;O673+0.00000001),1,0)</x:f>
        <x:v>0</x:v>
      </x:c>
    </x:row>
    <x:row r="675">
      <x:c r="J675" t="n">
        <x:f>IF(AND(ISNUMBER('Results'!B7),ISNUMBER('Results'!C7),ISNUMBER('Results'!$B$8),ISNUMBER('Inputs'!$B$6),ISNUMBER('Inputs'!$B$7),ISNUMBER('Inputs'!$B$8),ISNUMBER('Inputs'!$B$9),ISNUMBER('Inputs'!$B$10),ISNUMBER('Inputs'!$B$21),ISNUMBER('Inputs'!$B$24),ISNUMBER('Inputs'!$B$28)),(('Results'!B7*(0.5*((((675-43)*MAX('Inputs'!$B$33,'Inputs'!$B$29+'Inputs'!$B$31+'Inputs'!$B$32,'Inputs'!$B$30+'Inputs'!$B$31+'Inputs'!$B$32)/1000+'Inputs'!$B$21)+'Inputs'!$B$7)/SQRT((((675-43)*MAX('Inputs'!$B$33,'Inputs'!$B$29+'Inputs'!$B$31+'Inputs'!$B$32,'Inputs'!$B$30+'Inputs'!$B$31+'Inputs'!$B$32)/1000+'Inputs'!$B$21)+'Inputs'!$B$7)^2+('Inputs'!$B$6/2)^2)-(((675-43)*MAX('Inputs'!$B$33,'Inputs'!$B$29+'Inputs'!$B$31+'Inputs'!$B$32,'Inputs'!$B$30+'Inputs'!$B$31+'Inputs'!$B$32)/1000+'Inputs'!$B$21))/SQRT((((675-43)*MAX('Inputs'!$B$33,'Inputs'!$B$29+'Inputs'!$B$31+'Inputs'!$B$32,'Inputs'!$B$30+'Inputs'!$B$31+'Inputs'!$B$32)/1000+'Inputs'!$B$21))^2+('Inputs'!$B$6/2)^2)))-'Results'!C7*(0.5*((((675-43)*MAX('Inputs'!$B$33,'Inputs'!$B$29+'Inputs'!$B$31+'Inputs'!$B$32,'Inputs'!$B$30+'Inputs'!$B$31+'Inputs'!$B$32)/1000+'Inputs'!$B$21+'Inputs'!$B$7+'Inputs'!$B$10)+'Inputs'!$B$9)/SQRT((((675-43)*MAX('Inputs'!$B$33,'Inputs'!$B$29+'Inputs'!$B$31+'Inputs'!$B$32,'Inputs'!$B$30+'Inputs'!$B$31+'Inputs'!$B$32)/1000+'Inputs'!$B$21+'Inputs'!$B$7+'Inputs'!$B$10)+'Inputs'!$B$9)^2+('Inputs'!$B$8/2)^2)-(((675-43)*MAX('Inputs'!$B$33,'Inputs'!$B$29+'Inputs'!$B$31+'Inputs'!$B$32,'Inputs'!$B$30+'Inputs'!$B$31+'Inputs'!$B$32)/1000+'Inputs'!$B$21+'Inputs'!$B$7+'Inputs'!$B$10))/SQRT((((675-43)*MAX('Inputs'!$B$33,'Inputs'!$B$29+'Inputs'!$B$31+'Inputs'!$B$32,'Inputs'!$B$30+'Inputs'!$B$31+'Inputs'!$B$32)/1000+'Inputs'!$B$21+'Inputs'!$B$7+'Inputs'!$B$10))^2+('Inputs'!$B$8/2)^2))))*'Results'!$B$8),"")</x:f>
        <x:v>1.8548205094181018</x:v>
      </x:c>
      <x:c r="K675" t="n">
        <x:f>IF(AND(ISNUMBER('Results'!B7),ISNUMBER('Results'!C7),ISNUMBER('Results'!$B$8),ISNUMBER('Inputs'!$B$6),ISNUMBER('Inputs'!$B$7),ISNUMBER('Inputs'!$B$8),ISNUMBER('Inputs'!$B$9),ISNUMBER('Inputs'!$B$10),ISNUMBER('Inputs'!$B$21),ISNUMBER('Inputs'!$B$24),ISNUMBER('Inputs'!$B$28)),((('Results'!B7*(1-'Inputs'!$B$24)*(0.5*((((675-43)*MAX('Inputs'!$B$33,'Inputs'!$B$29+'Inputs'!$B$31+'Inputs'!$B$32,'Inputs'!$B$30+'Inputs'!$B$31+'Inputs'!$B$32)/1000+'Inputs'!$B$21)+'Inputs'!$B$7)/SQRT((((675-43)*MAX('Inputs'!$B$33,'Inputs'!$B$29+'Inputs'!$B$31+'Inputs'!$B$32,'Inputs'!$B$30+'Inputs'!$B$31+'Inputs'!$B$32)/1000+'Inputs'!$B$21)+'Inputs'!$B$7)^2+('Inputs'!$B$6/2)^2)-(((675-43)*MAX('Inputs'!$B$33,'Inputs'!$B$29+'Inputs'!$B$31+'Inputs'!$B$32,'Inputs'!$B$30+'Inputs'!$B$31+'Inputs'!$B$32)/1000+'Inputs'!$B$21))/SQRT((((675-43)*MAX('Inputs'!$B$33,'Inputs'!$B$29+'Inputs'!$B$31+'Inputs'!$B$32,'Inputs'!$B$30+'Inputs'!$B$31+'Inputs'!$B$32)/1000+'Inputs'!$B$21))^2+('Inputs'!$B$6/2)^2)))-'Results'!C7*(1+'Inputs'!$B$24)*(0.5*((((675-43)*MAX('Inputs'!$B$33,'Inputs'!$B$29+'Inputs'!$B$31+'Inputs'!$B$32,'Inputs'!$B$30+'Inputs'!$B$31+'Inputs'!$B$32)/1000+'Inputs'!$B$21+'Inputs'!$B$7+'Inputs'!$B$10)+'Inputs'!$B$9)/SQRT((((675-43)*MAX('Inputs'!$B$33,'Inputs'!$B$29+'Inputs'!$B$31+'Inputs'!$B$32,'Inputs'!$B$30+'Inputs'!$B$31+'Inputs'!$B$32)/1000+'Inputs'!$B$21+'Inputs'!$B$7+'Inputs'!$B$10)+'Inputs'!$B$9)^2+('Inputs'!$B$8/2)^2)-(((675-43)*MAX('Inputs'!$B$33,'Inputs'!$B$29+'Inputs'!$B$31+'Inputs'!$B$32,'Inputs'!$B$30+'Inputs'!$B$31+'Inputs'!$B$32)/1000+'Inputs'!$B$21+'Inputs'!$B$7+'Inputs'!$B$10))/SQRT((((675-43)*MAX('Inputs'!$B$33,'Inputs'!$B$29+'Inputs'!$B$31+'Inputs'!$B$32,'Inputs'!$B$30+'Inputs'!$B$31+'Inputs'!$B$32)/1000+'Inputs'!$B$21+'Inputs'!$B$7+'Inputs'!$B$10))^2+('Inputs'!$B$8/2)^2))))*'Results'!$B$8)-'Inputs'!$B$28*ABS((('Results'!B7*(1-'Inputs'!$B$24)*(0.5*((((675-43)*MAX('Inputs'!$B$33,'Inputs'!$B$29+'Inputs'!$B$31+'Inputs'!$B$32,'Inputs'!$B$30+'Inputs'!$B$31+'Inputs'!$B$32)/1000+'Inputs'!$B$21)+'Inputs'!$B$7)/SQRT((((675-43)*MAX('Inputs'!$B$33,'Inputs'!$B$29+'Inputs'!$B$31+'Inputs'!$B$32,'Inputs'!$B$30+'Inputs'!$B$31+'Inputs'!$B$32)/1000+'Inputs'!$B$21)+'Inputs'!$B$7)^2+('Inputs'!$B$6/2)^2)-(((675-43)*MAX('Inputs'!$B$33,'Inputs'!$B$29+'Inputs'!$B$31+'Inputs'!$B$32,'Inputs'!$B$30+'Inputs'!$B$31+'Inputs'!$B$32)/1000+'Inputs'!$B$21))/SQRT((((675-43)*MAX('Inputs'!$B$33,'Inputs'!$B$29+'Inputs'!$B$31+'Inputs'!$B$32,'Inputs'!$B$30+'Inputs'!$B$31+'Inputs'!$B$32)/1000+'Inputs'!$B$21))^2+('Inputs'!$B$6/2)^2)))-'Results'!C7*(1+'Inputs'!$B$24)*(0.5*((((675-43)*MAX('Inputs'!$B$33,'Inputs'!$B$29+'Inputs'!$B$31+'Inputs'!$B$32,'Inputs'!$B$30+'Inputs'!$B$31+'Inputs'!$B$32)/1000+'Inputs'!$B$21+'Inputs'!$B$7+'Inputs'!$B$10)+'Inputs'!$B$9)/SQRT((((675-43)*MAX('Inputs'!$B$33,'Inputs'!$B$29+'Inputs'!$B$31+'Inputs'!$B$32,'Inputs'!$B$30+'Inputs'!$B$31+'Inputs'!$B$32)/1000+'Inputs'!$B$21+'Inputs'!$B$7+'Inputs'!$B$10)+'Inputs'!$B$9)^2+('Inputs'!$B$8/2)^2)-(((675-43)*MAX('Inputs'!$B$33,'Inputs'!$B$29+'Inputs'!$B$31+'Inputs'!$B$32,'Inputs'!$B$30+'Inputs'!$B$31+'Inputs'!$B$32)/1000+'Inputs'!$B$21+'Inputs'!$B$7+'Inputs'!$B$10))/SQRT((((675-43)*MAX('Inputs'!$B$33,'Inputs'!$B$29+'Inputs'!$B$31+'Inputs'!$B$32,'Inputs'!$B$30+'Inputs'!$B$31+'Inputs'!$B$32)/1000+'Inputs'!$B$21+'Inputs'!$B$7+'Inputs'!$B$10))^2+('Inputs'!$B$8/2)^2))))*'Results'!$B$8))),"")</x:f>
        <x:v>1.6184143394406418</x:v>
      </x:c>
      <x:c r="L675" t="n">
        <x:f>IF(AND(ISNUMBER('Results'!B7),ISNUMBER('Results'!C7),ISNUMBER('Results'!$B$8),ISNUMBER('Inputs'!$B$6),ISNUMBER('Inputs'!$B$7),ISNUMBER('Inputs'!$B$8),ISNUMBER('Inputs'!$B$9),ISNUMBER('Inputs'!$B$10),ISNUMBER('Inputs'!$B$21),ISNUMBER('Inputs'!$B$24),ISNUMBER('Inputs'!$B$28)),((('Results'!B7*(1+'Inputs'!$B$24)*(0.5*((((675-43)*MAX('Inputs'!$B$33,'Inputs'!$B$29+'Inputs'!$B$31+'Inputs'!$B$32,'Inputs'!$B$30+'Inputs'!$B$31+'Inputs'!$B$32)/1000+'Inputs'!$B$21)+'Inputs'!$B$7)/SQRT((((675-43)*MAX('Inputs'!$B$33,'Inputs'!$B$29+'Inputs'!$B$31+'Inputs'!$B$32,'Inputs'!$B$30+'Inputs'!$B$31+'Inputs'!$B$32)/1000+'Inputs'!$B$21)+'Inputs'!$B$7)^2+('Inputs'!$B$6/2)^2)-(((675-43)*MAX('Inputs'!$B$33,'Inputs'!$B$29+'Inputs'!$B$31+'Inputs'!$B$32,'Inputs'!$B$30+'Inputs'!$B$31+'Inputs'!$B$32)/1000+'Inputs'!$B$21))/SQRT((((675-43)*MAX('Inputs'!$B$33,'Inputs'!$B$29+'Inputs'!$B$31+'Inputs'!$B$32,'Inputs'!$B$30+'Inputs'!$B$31+'Inputs'!$B$32)/1000+'Inputs'!$B$21))^2+('Inputs'!$B$6/2)^2)))-'Results'!C7*(1-'Inputs'!$B$24)*(0.5*((((675-43)*MAX('Inputs'!$B$33,'Inputs'!$B$29+'Inputs'!$B$31+'Inputs'!$B$32,'Inputs'!$B$30+'Inputs'!$B$31+'Inputs'!$B$32)/1000+'Inputs'!$B$21+'Inputs'!$B$7+'Inputs'!$B$10)+'Inputs'!$B$9)/SQRT((((675-43)*MAX('Inputs'!$B$33,'Inputs'!$B$29+'Inputs'!$B$31+'Inputs'!$B$32,'Inputs'!$B$30+'Inputs'!$B$31+'Inputs'!$B$32)/1000+'Inputs'!$B$21+'Inputs'!$B$7+'Inputs'!$B$10)+'Inputs'!$B$9)^2+('Inputs'!$B$8/2)^2)-(((675-43)*MAX('Inputs'!$B$33,'Inputs'!$B$29+'Inputs'!$B$31+'Inputs'!$B$32,'Inputs'!$B$30+'Inputs'!$B$31+'Inputs'!$B$32)/1000+'Inputs'!$B$21+'Inputs'!$B$7+'Inputs'!$B$10))/SQRT((((675-43)*MAX('Inputs'!$B$33,'Inputs'!$B$29+'Inputs'!$B$31+'Inputs'!$B$32,'Inputs'!$B$30+'Inputs'!$B$31+'Inputs'!$B$32)/1000+'Inputs'!$B$21+'Inputs'!$B$7+'Inputs'!$B$10))^2+('Inputs'!$B$8/2)^2))))*'Results'!$B$8)+'Inputs'!$B$28*ABS((('Results'!B7*(1+'Inputs'!$B$24)*(0.5*((((675-43)*MAX('Inputs'!$B$33,'Inputs'!$B$29+'Inputs'!$B$31+'Inputs'!$B$32,'Inputs'!$B$30+'Inputs'!$B$31+'Inputs'!$B$32)/1000+'Inputs'!$B$21)+'Inputs'!$B$7)/SQRT((((675-43)*MAX('Inputs'!$B$33,'Inputs'!$B$29+'Inputs'!$B$31+'Inputs'!$B$32,'Inputs'!$B$30+'Inputs'!$B$31+'Inputs'!$B$32)/1000+'Inputs'!$B$21)+'Inputs'!$B$7)^2+('Inputs'!$B$6/2)^2)-(((675-43)*MAX('Inputs'!$B$33,'Inputs'!$B$29+'Inputs'!$B$31+'Inputs'!$B$32,'Inputs'!$B$30+'Inputs'!$B$31+'Inputs'!$B$32)/1000+'Inputs'!$B$21))/SQRT((((675-43)*MAX('Inputs'!$B$33,'Inputs'!$B$29+'Inputs'!$B$31+'Inputs'!$B$32,'Inputs'!$B$30+'Inputs'!$B$31+'Inputs'!$B$32)/1000+'Inputs'!$B$21))^2+('Inputs'!$B$6/2)^2)))-'Results'!C7*(1-'Inputs'!$B$24)*(0.5*((((675-43)*MAX('Inputs'!$B$33,'Inputs'!$B$29+'Inputs'!$B$31+'Inputs'!$B$32,'Inputs'!$B$30+'Inputs'!$B$31+'Inputs'!$B$32)/1000+'Inputs'!$B$21+'Inputs'!$B$7+'Inputs'!$B$10)+'Inputs'!$B$9)/SQRT((((675-43)*MAX('Inputs'!$B$33,'Inputs'!$B$29+'Inputs'!$B$31+'Inputs'!$B$32,'Inputs'!$B$30+'Inputs'!$B$31+'Inputs'!$B$32)/1000+'Inputs'!$B$21+'Inputs'!$B$7+'Inputs'!$B$10)+'Inputs'!$B$9)^2+('Inputs'!$B$8/2)^2)-(((675-43)*MAX('Inputs'!$B$33,'Inputs'!$B$29+'Inputs'!$B$31+'Inputs'!$B$32,'Inputs'!$B$30+'Inputs'!$B$31+'Inputs'!$B$32)/1000+'Inputs'!$B$21+'Inputs'!$B$7+'Inputs'!$B$10))/SQRT((((675-43)*MAX('Inputs'!$B$33,'Inputs'!$B$29+'Inputs'!$B$31+'Inputs'!$B$32,'Inputs'!$B$30+'Inputs'!$B$31+'Inputs'!$B$32)/1000+'Inputs'!$B$21+'Inputs'!$B$7+'Inputs'!$B$10))^2+('Inputs'!$B$8/2)^2))))*'Results'!$B$8))),"")</x:f>
        <x:v>2.106349326185726</x:v>
      </x:c>
      <x:c r="M675" t="n">
        <x:f>IF(AND(ISNUMBER('Results'!C7),ISNUMBER('Results'!B7),ISNUMBER('Results'!$B$8),ISNUMBER('Inputs'!$B$6),ISNUMBER('Inputs'!$B$7),ISNUMBER('Inputs'!$B$8),ISNUMBER('Inputs'!$B$9),ISNUMBER('Inputs'!$B$10),ISNUMBER('Inputs'!$B$21),ISNUMBER('Inputs'!$B$24),ISNUMBER('Inputs'!$B$28)),(('Results'!C7*(0.5*((((675-43)*MAX('Inputs'!$B$33,'Inputs'!$B$29+'Inputs'!$B$31+'Inputs'!$B$32,'Inputs'!$B$30+'Inputs'!$B$31+'Inputs'!$B$32)/1000+'Inputs'!$B$21)+'Inputs'!$B$9)/SQRT((((675-43)*MAX('Inputs'!$B$33,'Inputs'!$B$29+'Inputs'!$B$31+'Inputs'!$B$32,'Inputs'!$B$30+'Inputs'!$B$31+'Inputs'!$B$32)/1000+'Inputs'!$B$21)+'Inputs'!$B$9)^2+('Inputs'!$B$8/2)^2)-(((675-43)*MAX('Inputs'!$B$33,'Inputs'!$B$29+'Inputs'!$B$31+'Inputs'!$B$32,'Inputs'!$B$30+'Inputs'!$B$31+'Inputs'!$B$32)/1000+'Inputs'!$B$21))/SQRT((((675-43)*MAX('Inputs'!$B$33,'Inputs'!$B$29+'Inputs'!$B$31+'Inputs'!$B$32,'Inputs'!$B$30+'Inputs'!$B$31+'Inputs'!$B$32)/1000+'Inputs'!$B$21))^2+('Inputs'!$B$8/2)^2)))-'Results'!B7*(0.5*((((675-43)*MAX('Inputs'!$B$33,'Inputs'!$B$29+'Inputs'!$B$31+'Inputs'!$B$32,'Inputs'!$B$30+'Inputs'!$B$31+'Inputs'!$B$32)/1000+'Inputs'!$B$21+'Inputs'!$B$9+'Inputs'!$B$10)+'Inputs'!$B$7)/SQRT((((675-43)*MAX('Inputs'!$B$33,'Inputs'!$B$29+'Inputs'!$B$31+'Inputs'!$B$32,'Inputs'!$B$30+'Inputs'!$B$31+'Inputs'!$B$32)/1000+'Inputs'!$B$21+'Inputs'!$B$9+'Inputs'!$B$10)+'Inputs'!$B$7)^2+('Inputs'!$B$6/2)^2)-(((675-43)*MAX('Inputs'!$B$33,'Inputs'!$B$29+'Inputs'!$B$31+'Inputs'!$B$32,'Inputs'!$B$30+'Inputs'!$B$31+'Inputs'!$B$32)/1000+'Inputs'!$B$21+'Inputs'!$B$9+'Inputs'!$B$10))/SQRT((((675-43)*MAX('Inputs'!$B$33,'Inputs'!$B$29+'Inputs'!$B$31+'Inputs'!$B$32,'Inputs'!$B$30+'Inputs'!$B$31+'Inputs'!$B$32)/1000+'Inputs'!$B$21+'Inputs'!$B$9+'Inputs'!$B$10))^2+('Inputs'!$B$6/2)^2))))*'Results'!$B$8),"")</x:f>
        <x:v>1.7024294490908198</x:v>
      </x:c>
      <x:c r="N675" t="n">
        <x:f>IF(AND(ISNUMBER('Results'!C7),ISNUMBER('Results'!B7),ISNUMBER('Results'!$B$8),ISNUMBER('Inputs'!$B$6),ISNUMBER('Inputs'!$B$7),ISNUMBER('Inputs'!$B$8),ISNUMBER('Inputs'!$B$9),ISNUMBER('Inputs'!$B$10),ISNUMBER('Inputs'!$B$21),ISNUMBER('Inputs'!$B$24),ISNUMBER('Inputs'!$B$28)),((('Results'!C7*(1-'Inputs'!$B$24)*(0.5*((((675-43)*MAX('Inputs'!$B$33,'Inputs'!$B$29+'Inputs'!$B$31+'Inputs'!$B$32,'Inputs'!$B$30+'Inputs'!$B$31+'Inputs'!$B$32)/1000+'Inputs'!$B$21)+'Inputs'!$B$9)/SQRT((((675-43)*MAX('Inputs'!$B$33,'Inputs'!$B$29+'Inputs'!$B$31+'Inputs'!$B$32,'Inputs'!$B$30+'Inputs'!$B$31+'Inputs'!$B$32)/1000+'Inputs'!$B$21)+'Inputs'!$B$9)^2+('Inputs'!$B$8/2)^2)-(((675-43)*MAX('Inputs'!$B$33,'Inputs'!$B$29+'Inputs'!$B$31+'Inputs'!$B$32,'Inputs'!$B$30+'Inputs'!$B$31+'Inputs'!$B$32)/1000+'Inputs'!$B$21))/SQRT((((675-43)*MAX('Inputs'!$B$33,'Inputs'!$B$29+'Inputs'!$B$31+'Inputs'!$B$32,'Inputs'!$B$30+'Inputs'!$B$31+'Inputs'!$B$32)/1000+'Inputs'!$B$21))^2+('Inputs'!$B$8/2)^2)))-'Results'!B7*(1+'Inputs'!$B$24)*(0.5*((((675-43)*MAX('Inputs'!$B$33,'Inputs'!$B$29+'Inputs'!$B$31+'Inputs'!$B$32,'Inputs'!$B$30+'Inputs'!$B$31+'Inputs'!$B$32)/1000+'Inputs'!$B$21+'Inputs'!$B$9+'Inputs'!$B$10)+'Inputs'!$B$7)/SQRT((((675-43)*MAX('Inputs'!$B$33,'Inputs'!$B$29+'Inputs'!$B$31+'Inputs'!$B$32,'Inputs'!$B$30+'Inputs'!$B$31+'Inputs'!$B$32)/1000+'Inputs'!$B$21+'Inputs'!$B$9+'Inputs'!$B$10)+'Inputs'!$B$7)^2+('Inputs'!$B$6/2)^2)-(((675-43)*MAX('Inputs'!$B$33,'Inputs'!$B$29+'Inputs'!$B$31+'Inputs'!$B$32,'Inputs'!$B$30+'Inputs'!$B$31+'Inputs'!$B$32)/1000+'Inputs'!$B$21+'Inputs'!$B$9+'Inputs'!$B$10))/SQRT((((675-43)*MAX('Inputs'!$B$33,'Inputs'!$B$29+'Inputs'!$B$31+'Inputs'!$B$32,'Inputs'!$B$30+'Inputs'!$B$31+'Inputs'!$B$32)/1000+'Inputs'!$B$21+'Inputs'!$B$9+'Inputs'!$B$10))^2+('Inputs'!$B$6/2)^2))))*'Results'!$B$8)-'Inputs'!$B$28*ABS((('Results'!C7*(1-'Inputs'!$B$24)*(0.5*((((675-43)*MAX('Inputs'!$B$33,'Inputs'!$B$29+'Inputs'!$B$31+'Inputs'!$B$32,'Inputs'!$B$30+'Inputs'!$B$31+'Inputs'!$B$32)/1000+'Inputs'!$B$21)+'Inputs'!$B$9)/SQRT((((675-43)*MAX('Inputs'!$B$33,'Inputs'!$B$29+'Inputs'!$B$31+'Inputs'!$B$32,'Inputs'!$B$30+'Inputs'!$B$31+'Inputs'!$B$32)/1000+'Inputs'!$B$21)+'Inputs'!$B$9)^2+('Inputs'!$B$8/2)^2)-(((675-43)*MAX('Inputs'!$B$33,'Inputs'!$B$29+'Inputs'!$B$31+'Inputs'!$B$32,'Inputs'!$B$30+'Inputs'!$B$31+'Inputs'!$B$32)/1000+'Inputs'!$B$21))/SQRT((((675-43)*MAX('Inputs'!$B$33,'Inputs'!$B$29+'Inputs'!$B$31+'Inputs'!$B$32,'Inputs'!$B$30+'Inputs'!$B$31+'Inputs'!$B$32)/1000+'Inputs'!$B$21))^2+('Inputs'!$B$8/2)^2)))-'Results'!B7*(1+'Inputs'!$B$24)*(0.5*((((675-43)*MAX('Inputs'!$B$33,'Inputs'!$B$29+'Inputs'!$B$31+'Inputs'!$B$32,'Inputs'!$B$30+'Inputs'!$B$31+'Inputs'!$B$32)/1000+'Inputs'!$B$21+'Inputs'!$B$9+'Inputs'!$B$10)+'Inputs'!$B$7)/SQRT((((675-43)*MAX('Inputs'!$B$33,'Inputs'!$B$29+'Inputs'!$B$31+'Inputs'!$B$32,'Inputs'!$B$30+'Inputs'!$B$31+'Inputs'!$B$32)/1000+'Inputs'!$B$21+'Inputs'!$B$9+'Inputs'!$B$10)+'Inputs'!$B$7)^2+('Inputs'!$B$6/2)^2)-(((675-43)*MAX('Inputs'!$B$33,'Inputs'!$B$29+'Inputs'!$B$31+'Inputs'!$B$32,'Inputs'!$B$30+'Inputs'!$B$31+'Inputs'!$B$32)/1000+'Inputs'!$B$21+'Inputs'!$B$9+'Inputs'!$B$10))/SQRT((((675-43)*MAX('Inputs'!$B$33,'Inputs'!$B$29+'Inputs'!$B$31+'Inputs'!$B$32,'Inputs'!$B$30+'Inputs'!$B$31+'Inputs'!$B$32)/1000+'Inputs'!$B$21+'Inputs'!$B$9+'Inputs'!$B$10))^2+('Inputs'!$B$6/2)^2))))*'Results'!$B$8))),"")</x:f>
        <x:v>1.4743255366672148</x:v>
      </x:c>
      <x:c r="O675" t="n">
        <x:f>IF(AND(ISNUMBER('Results'!C7),ISNUMBER('Results'!B7),ISNUMBER('Results'!$B$8),ISNUMBER('Inputs'!$B$6),ISNUMBER('Inputs'!$B$7),ISNUMBER('Inputs'!$B$8),ISNUMBER('Inputs'!$B$9),ISNUMBER('Inputs'!$B$10),ISNUMBER('Inputs'!$B$21),ISNUMBER('Inputs'!$B$24),ISNUMBER('Inputs'!$B$28)),((('Results'!C7*(1+'Inputs'!$B$24)*(0.5*((((675-43)*MAX('Inputs'!$B$33,'Inputs'!$B$29+'Inputs'!$B$31+'Inputs'!$B$32,'Inputs'!$B$30+'Inputs'!$B$31+'Inputs'!$B$32)/1000+'Inputs'!$B$21)+'Inputs'!$B$9)/SQRT((((675-43)*MAX('Inputs'!$B$33,'Inputs'!$B$29+'Inputs'!$B$31+'Inputs'!$B$32,'Inputs'!$B$30+'Inputs'!$B$31+'Inputs'!$B$32)/1000+'Inputs'!$B$21)+'Inputs'!$B$9)^2+('Inputs'!$B$8/2)^2)-(((675-43)*MAX('Inputs'!$B$33,'Inputs'!$B$29+'Inputs'!$B$31+'Inputs'!$B$32,'Inputs'!$B$30+'Inputs'!$B$31+'Inputs'!$B$32)/1000+'Inputs'!$B$21))/SQRT((((675-43)*MAX('Inputs'!$B$33,'Inputs'!$B$29+'Inputs'!$B$31+'Inputs'!$B$32,'Inputs'!$B$30+'Inputs'!$B$31+'Inputs'!$B$32)/1000+'Inputs'!$B$21))^2+('Inputs'!$B$8/2)^2)))-'Results'!B7*(1-'Inputs'!$B$24)*(0.5*((((675-43)*MAX('Inputs'!$B$33,'Inputs'!$B$29+'Inputs'!$B$31+'Inputs'!$B$32,'Inputs'!$B$30+'Inputs'!$B$31+'Inputs'!$B$32)/1000+'Inputs'!$B$21+'Inputs'!$B$9+'Inputs'!$B$10)+'Inputs'!$B$7)/SQRT((((675-43)*MAX('Inputs'!$B$33,'Inputs'!$B$29+'Inputs'!$B$31+'Inputs'!$B$32,'Inputs'!$B$30+'Inputs'!$B$31+'Inputs'!$B$32)/1000+'Inputs'!$B$21+'Inputs'!$B$9+'Inputs'!$B$10)+'Inputs'!$B$7)^2+('Inputs'!$B$6/2)^2)-(((675-43)*MAX('Inputs'!$B$33,'Inputs'!$B$29+'Inputs'!$B$31+'Inputs'!$B$32,'Inputs'!$B$30+'Inputs'!$B$31+'Inputs'!$B$32)/1000+'Inputs'!$B$21+'Inputs'!$B$9+'Inputs'!$B$10))/SQRT((((675-43)*MAX('Inputs'!$B$33,'Inputs'!$B$29+'Inputs'!$B$31+'Inputs'!$B$32,'Inputs'!$B$30+'Inputs'!$B$31+'Inputs'!$B$32)/1000+'Inputs'!$B$21+'Inputs'!$B$9+'Inputs'!$B$10))^2+('Inputs'!$B$6/2)^2))))*'Results'!$B$8)+'Inputs'!$B$28*ABS((('Results'!C7*(1+'Inputs'!$B$24)*(0.5*((((675-43)*MAX('Inputs'!$B$33,'Inputs'!$B$29+'Inputs'!$B$31+'Inputs'!$B$32,'Inputs'!$B$30+'Inputs'!$B$31+'Inputs'!$B$32)/1000+'Inputs'!$B$21)+'Inputs'!$B$9)/SQRT((((675-43)*MAX('Inputs'!$B$33,'Inputs'!$B$29+'Inputs'!$B$31+'Inputs'!$B$32,'Inputs'!$B$30+'Inputs'!$B$31+'Inputs'!$B$32)/1000+'Inputs'!$B$21)+'Inputs'!$B$9)^2+('Inputs'!$B$8/2)^2)-(((675-43)*MAX('Inputs'!$B$33,'Inputs'!$B$29+'Inputs'!$B$31+'Inputs'!$B$32,'Inputs'!$B$30+'Inputs'!$B$31+'Inputs'!$B$32)/1000+'Inputs'!$B$21))/SQRT((((675-43)*MAX('Inputs'!$B$33,'Inputs'!$B$29+'Inputs'!$B$31+'Inputs'!$B$32,'Inputs'!$B$30+'Inputs'!$B$31+'Inputs'!$B$32)/1000+'Inputs'!$B$21))^2+('Inputs'!$B$8/2)^2)))-'Results'!B7*(1-'Inputs'!$B$24)*(0.5*((((675-43)*MAX('Inputs'!$B$33,'Inputs'!$B$29+'Inputs'!$B$31+'Inputs'!$B$32,'Inputs'!$B$30+'Inputs'!$B$31+'Inputs'!$B$32)/1000+'Inputs'!$B$21+'Inputs'!$B$9+'Inputs'!$B$10)+'Inputs'!$B$7)/SQRT((((675-43)*MAX('Inputs'!$B$33,'Inputs'!$B$29+'Inputs'!$B$31+'Inputs'!$B$32,'Inputs'!$B$30+'Inputs'!$B$31+'Inputs'!$B$32)/1000+'Inputs'!$B$21+'Inputs'!$B$9+'Inputs'!$B$10)+'Inputs'!$B$7)^2+('Inputs'!$B$6/2)^2)-(((675-43)*MAX('Inputs'!$B$33,'Inputs'!$B$29+'Inputs'!$B$31+'Inputs'!$B$32,'Inputs'!$B$30+'Inputs'!$B$31+'Inputs'!$B$32)/1000+'Inputs'!$B$21+'Inputs'!$B$9+'Inputs'!$B$10))/SQRT((((675-43)*MAX('Inputs'!$B$33,'Inputs'!$B$29+'Inputs'!$B$31+'Inputs'!$B$32,'Inputs'!$B$30+'Inputs'!$B$31+'Inputs'!$B$32)/1000+'Inputs'!$B$21+'Inputs'!$B$9+'Inputs'!$B$10))^2+('Inputs'!$B$6/2)^2))))*'Results'!$B$8))),"")</x:f>
        <x:v>1.9455841446690627</x:v>
      </x:c>
      <x:c r="P675" t="n">
        <x:f>IF(AND(MAX(J675,J674)&gt;0,J675&gt;J674+0.00000001),1,0)</x:f>
        <x:v>0</x:v>
      </x:c>
      <x:c r="Q675" t="n">
        <x:f>IF(AND(MAX(K675,K674)&gt;0,K675&gt;K674+0.00000001),1,0)</x:f>
        <x:v>0</x:v>
      </x:c>
      <x:c r="R675" t="n">
        <x:f>IF(AND(MAX(L675,L674)&gt;0,L675&gt;L674+0.00000001),1,0)</x:f>
        <x:v>0</x:v>
      </x:c>
      <x:c r="S675" t="n">
        <x:f>IF(AND(MAX(M675,M674)&gt;0,M675&gt;M674+0.00000001),1,0)</x:f>
        <x:v>0</x:v>
      </x:c>
      <x:c r="T675" t="n">
        <x:f>IF(AND(MAX(N675,N674)&gt;0,N675&gt;N674+0.00000001),1,0)</x:f>
        <x:v>0</x:v>
      </x:c>
      <x:c r="U675" t="n">
        <x:f>IF(AND(MAX(O675,O674)&gt;0,O675&gt;O674+0.00000001),1,0)</x:f>
        <x:v>0</x:v>
      </x:c>
    </x:row>
    <x:row r="676">
      <x:c r="J676" t="n">
        <x:f>IF(AND(ISNUMBER('Results'!B7),ISNUMBER('Results'!C7),ISNUMBER('Results'!$B$8),ISNUMBER('Inputs'!$B$6),ISNUMBER('Inputs'!$B$7),ISNUMBER('Inputs'!$B$8),ISNUMBER('Inputs'!$B$9),ISNUMBER('Inputs'!$B$10),ISNUMBER('Inputs'!$B$21),ISNUMBER('Inputs'!$B$24),ISNUMBER('Inputs'!$B$28)),(('Results'!B7*(0.5*((((676-43)*MAX('Inputs'!$B$33,'Inputs'!$B$29+'Inputs'!$B$31+'Inputs'!$B$32,'Inputs'!$B$30+'Inputs'!$B$31+'Inputs'!$B$32)/1000+'Inputs'!$B$21)+'Inputs'!$B$7)/SQRT((((676-43)*MAX('Inputs'!$B$33,'Inputs'!$B$29+'Inputs'!$B$31+'Inputs'!$B$32,'Inputs'!$B$30+'Inputs'!$B$31+'Inputs'!$B$32)/1000+'Inputs'!$B$21)+'Inputs'!$B$7)^2+('Inputs'!$B$6/2)^2)-(((676-43)*MAX('Inputs'!$B$33,'Inputs'!$B$29+'Inputs'!$B$31+'Inputs'!$B$32,'Inputs'!$B$30+'Inputs'!$B$31+'Inputs'!$B$32)/1000+'Inputs'!$B$21))/SQRT((((676-43)*MAX('Inputs'!$B$33,'Inputs'!$B$29+'Inputs'!$B$31+'Inputs'!$B$32,'Inputs'!$B$30+'Inputs'!$B$31+'Inputs'!$B$32)/1000+'Inputs'!$B$21))^2+('Inputs'!$B$6/2)^2)))-'Results'!C7*(0.5*((((676-43)*MAX('Inputs'!$B$33,'Inputs'!$B$29+'Inputs'!$B$31+'Inputs'!$B$32,'Inputs'!$B$30+'Inputs'!$B$31+'Inputs'!$B$32)/1000+'Inputs'!$B$21+'Inputs'!$B$7+'Inputs'!$B$10)+'Inputs'!$B$9)/SQRT((((676-43)*MAX('Inputs'!$B$33,'Inputs'!$B$29+'Inputs'!$B$31+'Inputs'!$B$32,'Inputs'!$B$30+'Inputs'!$B$31+'Inputs'!$B$32)/1000+'Inputs'!$B$21+'Inputs'!$B$7+'Inputs'!$B$10)+'Inputs'!$B$9)^2+('Inputs'!$B$8/2)^2)-(((676-43)*MAX('Inputs'!$B$33,'Inputs'!$B$29+'Inputs'!$B$31+'Inputs'!$B$32,'Inputs'!$B$30+'Inputs'!$B$31+'Inputs'!$B$32)/1000+'Inputs'!$B$21+'Inputs'!$B$7+'Inputs'!$B$10))/SQRT((((676-43)*MAX('Inputs'!$B$33,'Inputs'!$B$29+'Inputs'!$B$31+'Inputs'!$B$32,'Inputs'!$B$30+'Inputs'!$B$31+'Inputs'!$B$32)/1000+'Inputs'!$B$21+'Inputs'!$B$7+'Inputs'!$B$10))^2+('Inputs'!$B$8/2)^2))))*'Results'!$B$8),"")</x:f>
        <x:v>1.844537736448057</x:v>
      </x:c>
      <x:c r="K676" t="n">
        <x:f>IF(AND(ISNUMBER('Results'!B7),ISNUMBER('Results'!C7),ISNUMBER('Results'!$B$8),ISNUMBER('Inputs'!$B$6),ISNUMBER('Inputs'!$B$7),ISNUMBER('Inputs'!$B$8),ISNUMBER('Inputs'!$B$9),ISNUMBER('Inputs'!$B$10),ISNUMBER('Inputs'!$B$21),ISNUMBER('Inputs'!$B$24),ISNUMBER('Inputs'!$B$28)),((('Results'!B7*(1-'Inputs'!$B$24)*(0.5*((((676-43)*MAX('Inputs'!$B$33,'Inputs'!$B$29+'Inputs'!$B$31+'Inputs'!$B$32,'Inputs'!$B$30+'Inputs'!$B$31+'Inputs'!$B$32)/1000+'Inputs'!$B$21)+'Inputs'!$B$7)/SQRT((((676-43)*MAX('Inputs'!$B$33,'Inputs'!$B$29+'Inputs'!$B$31+'Inputs'!$B$32,'Inputs'!$B$30+'Inputs'!$B$31+'Inputs'!$B$32)/1000+'Inputs'!$B$21)+'Inputs'!$B$7)^2+('Inputs'!$B$6/2)^2)-(((676-43)*MAX('Inputs'!$B$33,'Inputs'!$B$29+'Inputs'!$B$31+'Inputs'!$B$32,'Inputs'!$B$30+'Inputs'!$B$31+'Inputs'!$B$32)/1000+'Inputs'!$B$21))/SQRT((((676-43)*MAX('Inputs'!$B$33,'Inputs'!$B$29+'Inputs'!$B$31+'Inputs'!$B$32,'Inputs'!$B$30+'Inputs'!$B$31+'Inputs'!$B$32)/1000+'Inputs'!$B$21))^2+('Inputs'!$B$6/2)^2)))-'Results'!C7*(1+'Inputs'!$B$24)*(0.5*((((676-43)*MAX('Inputs'!$B$33,'Inputs'!$B$29+'Inputs'!$B$31+'Inputs'!$B$32,'Inputs'!$B$30+'Inputs'!$B$31+'Inputs'!$B$32)/1000+'Inputs'!$B$21+'Inputs'!$B$7+'Inputs'!$B$10)+'Inputs'!$B$9)/SQRT((((676-43)*MAX('Inputs'!$B$33,'Inputs'!$B$29+'Inputs'!$B$31+'Inputs'!$B$32,'Inputs'!$B$30+'Inputs'!$B$31+'Inputs'!$B$32)/1000+'Inputs'!$B$21+'Inputs'!$B$7+'Inputs'!$B$10)+'Inputs'!$B$9)^2+('Inputs'!$B$8/2)^2)-(((676-43)*MAX('Inputs'!$B$33,'Inputs'!$B$29+'Inputs'!$B$31+'Inputs'!$B$32,'Inputs'!$B$30+'Inputs'!$B$31+'Inputs'!$B$32)/1000+'Inputs'!$B$21+'Inputs'!$B$7+'Inputs'!$B$10))/SQRT((((676-43)*MAX('Inputs'!$B$33,'Inputs'!$B$29+'Inputs'!$B$31+'Inputs'!$B$32,'Inputs'!$B$30+'Inputs'!$B$31+'Inputs'!$B$32)/1000+'Inputs'!$B$21+'Inputs'!$B$7+'Inputs'!$B$10))^2+('Inputs'!$B$8/2)^2))))*'Results'!$B$8)-'Inputs'!$B$28*ABS((('Results'!B7*(1-'Inputs'!$B$24)*(0.5*((((676-43)*MAX('Inputs'!$B$33,'Inputs'!$B$29+'Inputs'!$B$31+'Inputs'!$B$32,'Inputs'!$B$30+'Inputs'!$B$31+'Inputs'!$B$32)/1000+'Inputs'!$B$21)+'Inputs'!$B$7)/SQRT((((676-43)*MAX('Inputs'!$B$33,'Inputs'!$B$29+'Inputs'!$B$31+'Inputs'!$B$32,'Inputs'!$B$30+'Inputs'!$B$31+'Inputs'!$B$32)/1000+'Inputs'!$B$21)+'Inputs'!$B$7)^2+('Inputs'!$B$6/2)^2)-(((676-43)*MAX('Inputs'!$B$33,'Inputs'!$B$29+'Inputs'!$B$31+'Inputs'!$B$32,'Inputs'!$B$30+'Inputs'!$B$31+'Inputs'!$B$32)/1000+'Inputs'!$B$21))/SQRT((((676-43)*MAX('Inputs'!$B$33,'Inputs'!$B$29+'Inputs'!$B$31+'Inputs'!$B$32,'Inputs'!$B$30+'Inputs'!$B$31+'Inputs'!$B$32)/1000+'Inputs'!$B$21))^2+('Inputs'!$B$6/2)^2)))-'Results'!C7*(1+'Inputs'!$B$24)*(0.5*((((676-43)*MAX('Inputs'!$B$33,'Inputs'!$B$29+'Inputs'!$B$31+'Inputs'!$B$32,'Inputs'!$B$30+'Inputs'!$B$31+'Inputs'!$B$32)/1000+'Inputs'!$B$21+'Inputs'!$B$7+'Inputs'!$B$10)+'Inputs'!$B$9)/SQRT((((676-43)*MAX('Inputs'!$B$33,'Inputs'!$B$29+'Inputs'!$B$31+'Inputs'!$B$32,'Inputs'!$B$30+'Inputs'!$B$31+'Inputs'!$B$32)/1000+'Inputs'!$B$21+'Inputs'!$B$7+'Inputs'!$B$10)+'Inputs'!$B$9)^2+('Inputs'!$B$8/2)^2)-(((676-43)*MAX('Inputs'!$B$33,'Inputs'!$B$29+'Inputs'!$B$31+'Inputs'!$B$32,'Inputs'!$B$30+'Inputs'!$B$31+'Inputs'!$B$32)/1000+'Inputs'!$B$21+'Inputs'!$B$7+'Inputs'!$B$10))/SQRT((((676-43)*MAX('Inputs'!$B$33,'Inputs'!$B$29+'Inputs'!$B$31+'Inputs'!$B$32,'Inputs'!$B$30+'Inputs'!$B$31+'Inputs'!$B$32)/1000+'Inputs'!$B$21+'Inputs'!$B$7+'Inputs'!$B$10))^2+('Inputs'!$B$8/2)^2))))*'Results'!$B$8))),"")</x:f>
        <x:v>1.6092601978792844</x:v>
      </x:c>
      <x:c r="L676" t="n">
        <x:f>IF(AND(ISNUMBER('Results'!B7),ISNUMBER('Results'!C7),ISNUMBER('Results'!$B$8),ISNUMBER('Inputs'!$B$6),ISNUMBER('Inputs'!$B$7),ISNUMBER('Inputs'!$B$8),ISNUMBER('Inputs'!$B$9),ISNUMBER('Inputs'!$B$10),ISNUMBER('Inputs'!$B$21),ISNUMBER('Inputs'!$B$24),ISNUMBER('Inputs'!$B$28)),((('Results'!B7*(1+'Inputs'!$B$24)*(0.5*((((676-43)*MAX('Inputs'!$B$33,'Inputs'!$B$29+'Inputs'!$B$31+'Inputs'!$B$32,'Inputs'!$B$30+'Inputs'!$B$31+'Inputs'!$B$32)/1000+'Inputs'!$B$21)+'Inputs'!$B$7)/SQRT((((676-43)*MAX('Inputs'!$B$33,'Inputs'!$B$29+'Inputs'!$B$31+'Inputs'!$B$32,'Inputs'!$B$30+'Inputs'!$B$31+'Inputs'!$B$32)/1000+'Inputs'!$B$21)+'Inputs'!$B$7)^2+('Inputs'!$B$6/2)^2)-(((676-43)*MAX('Inputs'!$B$33,'Inputs'!$B$29+'Inputs'!$B$31+'Inputs'!$B$32,'Inputs'!$B$30+'Inputs'!$B$31+'Inputs'!$B$32)/1000+'Inputs'!$B$21))/SQRT((((676-43)*MAX('Inputs'!$B$33,'Inputs'!$B$29+'Inputs'!$B$31+'Inputs'!$B$32,'Inputs'!$B$30+'Inputs'!$B$31+'Inputs'!$B$32)/1000+'Inputs'!$B$21))^2+('Inputs'!$B$6/2)^2)))-'Results'!C7*(1-'Inputs'!$B$24)*(0.5*((((676-43)*MAX('Inputs'!$B$33,'Inputs'!$B$29+'Inputs'!$B$31+'Inputs'!$B$32,'Inputs'!$B$30+'Inputs'!$B$31+'Inputs'!$B$32)/1000+'Inputs'!$B$21+'Inputs'!$B$7+'Inputs'!$B$10)+'Inputs'!$B$9)/SQRT((((676-43)*MAX('Inputs'!$B$33,'Inputs'!$B$29+'Inputs'!$B$31+'Inputs'!$B$32,'Inputs'!$B$30+'Inputs'!$B$31+'Inputs'!$B$32)/1000+'Inputs'!$B$21+'Inputs'!$B$7+'Inputs'!$B$10)+'Inputs'!$B$9)^2+('Inputs'!$B$8/2)^2)-(((676-43)*MAX('Inputs'!$B$33,'Inputs'!$B$29+'Inputs'!$B$31+'Inputs'!$B$32,'Inputs'!$B$30+'Inputs'!$B$31+'Inputs'!$B$32)/1000+'Inputs'!$B$21+'Inputs'!$B$7+'Inputs'!$B$10))/SQRT((((676-43)*MAX('Inputs'!$B$33,'Inputs'!$B$29+'Inputs'!$B$31+'Inputs'!$B$32,'Inputs'!$B$30+'Inputs'!$B$31+'Inputs'!$B$32)/1000+'Inputs'!$B$21+'Inputs'!$B$7+'Inputs'!$B$10))^2+('Inputs'!$B$8/2)^2))))*'Results'!$B$8)+'Inputs'!$B$28*ABS((('Results'!B7*(1+'Inputs'!$B$24)*(0.5*((((676-43)*MAX('Inputs'!$B$33,'Inputs'!$B$29+'Inputs'!$B$31+'Inputs'!$B$32,'Inputs'!$B$30+'Inputs'!$B$31+'Inputs'!$B$32)/1000+'Inputs'!$B$21)+'Inputs'!$B$7)/SQRT((((676-43)*MAX('Inputs'!$B$33,'Inputs'!$B$29+'Inputs'!$B$31+'Inputs'!$B$32,'Inputs'!$B$30+'Inputs'!$B$31+'Inputs'!$B$32)/1000+'Inputs'!$B$21)+'Inputs'!$B$7)^2+('Inputs'!$B$6/2)^2)-(((676-43)*MAX('Inputs'!$B$33,'Inputs'!$B$29+'Inputs'!$B$31+'Inputs'!$B$32,'Inputs'!$B$30+'Inputs'!$B$31+'Inputs'!$B$32)/1000+'Inputs'!$B$21))/SQRT((((676-43)*MAX('Inputs'!$B$33,'Inputs'!$B$29+'Inputs'!$B$31+'Inputs'!$B$32,'Inputs'!$B$30+'Inputs'!$B$31+'Inputs'!$B$32)/1000+'Inputs'!$B$21))^2+('Inputs'!$B$6/2)^2)))-'Results'!C7*(1-'Inputs'!$B$24)*(0.5*((((676-43)*MAX('Inputs'!$B$33,'Inputs'!$B$29+'Inputs'!$B$31+'Inputs'!$B$32,'Inputs'!$B$30+'Inputs'!$B$31+'Inputs'!$B$32)/1000+'Inputs'!$B$21+'Inputs'!$B$7+'Inputs'!$B$10)+'Inputs'!$B$9)/SQRT((((676-43)*MAX('Inputs'!$B$33,'Inputs'!$B$29+'Inputs'!$B$31+'Inputs'!$B$32,'Inputs'!$B$30+'Inputs'!$B$31+'Inputs'!$B$32)/1000+'Inputs'!$B$21+'Inputs'!$B$7+'Inputs'!$B$10)+'Inputs'!$B$9)^2+('Inputs'!$B$8/2)^2)-(((676-43)*MAX('Inputs'!$B$33,'Inputs'!$B$29+'Inputs'!$B$31+'Inputs'!$B$32,'Inputs'!$B$30+'Inputs'!$B$31+'Inputs'!$B$32)/1000+'Inputs'!$B$21+'Inputs'!$B$7+'Inputs'!$B$10))/SQRT((((676-43)*MAX('Inputs'!$B$33,'Inputs'!$B$29+'Inputs'!$B$31+'Inputs'!$B$32,'Inputs'!$B$30+'Inputs'!$B$31+'Inputs'!$B$32)/1000+'Inputs'!$B$21+'Inputs'!$B$7+'Inputs'!$B$10))^2+('Inputs'!$B$8/2)^2))))*'Results'!$B$8))),"")</x:f>
        <x:v>2.0948732383585535</x:v>
      </x:c>
      <x:c r="M676" t="n">
        <x:f>IF(AND(ISNUMBER('Results'!C7),ISNUMBER('Results'!B7),ISNUMBER('Results'!$B$8),ISNUMBER('Inputs'!$B$6),ISNUMBER('Inputs'!$B$7),ISNUMBER('Inputs'!$B$8),ISNUMBER('Inputs'!$B$9),ISNUMBER('Inputs'!$B$10),ISNUMBER('Inputs'!$B$21),ISNUMBER('Inputs'!$B$24),ISNUMBER('Inputs'!$B$28)),(('Results'!C7*(0.5*((((676-43)*MAX('Inputs'!$B$33,'Inputs'!$B$29+'Inputs'!$B$31+'Inputs'!$B$32,'Inputs'!$B$30+'Inputs'!$B$31+'Inputs'!$B$32)/1000+'Inputs'!$B$21)+'Inputs'!$B$9)/SQRT((((676-43)*MAX('Inputs'!$B$33,'Inputs'!$B$29+'Inputs'!$B$31+'Inputs'!$B$32,'Inputs'!$B$30+'Inputs'!$B$31+'Inputs'!$B$32)/1000+'Inputs'!$B$21)+'Inputs'!$B$9)^2+('Inputs'!$B$8/2)^2)-(((676-43)*MAX('Inputs'!$B$33,'Inputs'!$B$29+'Inputs'!$B$31+'Inputs'!$B$32,'Inputs'!$B$30+'Inputs'!$B$31+'Inputs'!$B$32)/1000+'Inputs'!$B$21))/SQRT((((676-43)*MAX('Inputs'!$B$33,'Inputs'!$B$29+'Inputs'!$B$31+'Inputs'!$B$32,'Inputs'!$B$30+'Inputs'!$B$31+'Inputs'!$B$32)/1000+'Inputs'!$B$21))^2+('Inputs'!$B$8/2)^2)))-'Results'!B7*(0.5*((((676-43)*MAX('Inputs'!$B$33,'Inputs'!$B$29+'Inputs'!$B$31+'Inputs'!$B$32,'Inputs'!$B$30+'Inputs'!$B$31+'Inputs'!$B$32)/1000+'Inputs'!$B$21+'Inputs'!$B$9+'Inputs'!$B$10)+'Inputs'!$B$7)/SQRT((((676-43)*MAX('Inputs'!$B$33,'Inputs'!$B$29+'Inputs'!$B$31+'Inputs'!$B$32,'Inputs'!$B$30+'Inputs'!$B$31+'Inputs'!$B$32)/1000+'Inputs'!$B$21+'Inputs'!$B$9+'Inputs'!$B$10)+'Inputs'!$B$7)^2+('Inputs'!$B$6/2)^2)-(((676-43)*MAX('Inputs'!$B$33,'Inputs'!$B$29+'Inputs'!$B$31+'Inputs'!$B$32,'Inputs'!$B$30+'Inputs'!$B$31+'Inputs'!$B$32)/1000+'Inputs'!$B$21+'Inputs'!$B$9+'Inputs'!$B$10))/SQRT((((676-43)*MAX('Inputs'!$B$33,'Inputs'!$B$29+'Inputs'!$B$31+'Inputs'!$B$32,'Inputs'!$B$30+'Inputs'!$B$31+'Inputs'!$B$32)/1000+'Inputs'!$B$21+'Inputs'!$B$9+'Inputs'!$B$10))^2+('Inputs'!$B$6/2)^2))))*'Results'!$B$8),"")</x:f>
        <x:v>1.6927980124319664</x:v>
      </x:c>
      <x:c r="N676" t="n">
        <x:f>IF(AND(ISNUMBER('Results'!C7),ISNUMBER('Results'!B7),ISNUMBER('Results'!$B$8),ISNUMBER('Inputs'!$B$6),ISNUMBER('Inputs'!$B$7),ISNUMBER('Inputs'!$B$8),ISNUMBER('Inputs'!$B$9),ISNUMBER('Inputs'!$B$10),ISNUMBER('Inputs'!$B$21),ISNUMBER('Inputs'!$B$24),ISNUMBER('Inputs'!$B$28)),((('Results'!C7*(1-'Inputs'!$B$24)*(0.5*((((676-43)*MAX('Inputs'!$B$33,'Inputs'!$B$29+'Inputs'!$B$31+'Inputs'!$B$32,'Inputs'!$B$30+'Inputs'!$B$31+'Inputs'!$B$32)/1000+'Inputs'!$B$21)+'Inputs'!$B$9)/SQRT((((676-43)*MAX('Inputs'!$B$33,'Inputs'!$B$29+'Inputs'!$B$31+'Inputs'!$B$32,'Inputs'!$B$30+'Inputs'!$B$31+'Inputs'!$B$32)/1000+'Inputs'!$B$21)+'Inputs'!$B$9)^2+('Inputs'!$B$8/2)^2)-(((676-43)*MAX('Inputs'!$B$33,'Inputs'!$B$29+'Inputs'!$B$31+'Inputs'!$B$32,'Inputs'!$B$30+'Inputs'!$B$31+'Inputs'!$B$32)/1000+'Inputs'!$B$21))/SQRT((((676-43)*MAX('Inputs'!$B$33,'Inputs'!$B$29+'Inputs'!$B$31+'Inputs'!$B$32,'Inputs'!$B$30+'Inputs'!$B$31+'Inputs'!$B$32)/1000+'Inputs'!$B$21))^2+('Inputs'!$B$8/2)^2)))-'Results'!B7*(1+'Inputs'!$B$24)*(0.5*((((676-43)*MAX('Inputs'!$B$33,'Inputs'!$B$29+'Inputs'!$B$31+'Inputs'!$B$32,'Inputs'!$B$30+'Inputs'!$B$31+'Inputs'!$B$32)/1000+'Inputs'!$B$21+'Inputs'!$B$9+'Inputs'!$B$10)+'Inputs'!$B$7)/SQRT((((676-43)*MAX('Inputs'!$B$33,'Inputs'!$B$29+'Inputs'!$B$31+'Inputs'!$B$32,'Inputs'!$B$30+'Inputs'!$B$31+'Inputs'!$B$32)/1000+'Inputs'!$B$21+'Inputs'!$B$9+'Inputs'!$B$10)+'Inputs'!$B$7)^2+('Inputs'!$B$6/2)^2)-(((676-43)*MAX('Inputs'!$B$33,'Inputs'!$B$29+'Inputs'!$B$31+'Inputs'!$B$32,'Inputs'!$B$30+'Inputs'!$B$31+'Inputs'!$B$32)/1000+'Inputs'!$B$21+'Inputs'!$B$9+'Inputs'!$B$10))/SQRT((((676-43)*MAX('Inputs'!$B$33,'Inputs'!$B$29+'Inputs'!$B$31+'Inputs'!$B$32,'Inputs'!$B$30+'Inputs'!$B$31+'Inputs'!$B$32)/1000+'Inputs'!$B$21+'Inputs'!$B$9+'Inputs'!$B$10))^2+('Inputs'!$B$6/2)^2))))*'Results'!$B$8)-'Inputs'!$B$28*ABS((('Results'!C7*(1-'Inputs'!$B$24)*(0.5*((((676-43)*MAX('Inputs'!$B$33,'Inputs'!$B$29+'Inputs'!$B$31+'Inputs'!$B$32,'Inputs'!$B$30+'Inputs'!$B$31+'Inputs'!$B$32)/1000+'Inputs'!$B$21)+'Inputs'!$B$9)/SQRT((((676-43)*MAX('Inputs'!$B$33,'Inputs'!$B$29+'Inputs'!$B$31+'Inputs'!$B$32,'Inputs'!$B$30+'Inputs'!$B$31+'Inputs'!$B$32)/1000+'Inputs'!$B$21)+'Inputs'!$B$9)^2+('Inputs'!$B$8/2)^2)-(((676-43)*MAX('Inputs'!$B$33,'Inputs'!$B$29+'Inputs'!$B$31+'Inputs'!$B$32,'Inputs'!$B$30+'Inputs'!$B$31+'Inputs'!$B$32)/1000+'Inputs'!$B$21))/SQRT((((676-43)*MAX('Inputs'!$B$33,'Inputs'!$B$29+'Inputs'!$B$31+'Inputs'!$B$32,'Inputs'!$B$30+'Inputs'!$B$31+'Inputs'!$B$32)/1000+'Inputs'!$B$21))^2+('Inputs'!$B$8/2)^2)))-'Results'!B7*(1+'Inputs'!$B$24)*(0.5*((((676-43)*MAX('Inputs'!$B$33,'Inputs'!$B$29+'Inputs'!$B$31+'Inputs'!$B$32,'Inputs'!$B$30+'Inputs'!$B$31+'Inputs'!$B$32)/1000+'Inputs'!$B$21+'Inputs'!$B$9+'Inputs'!$B$10)+'Inputs'!$B$7)/SQRT((((676-43)*MAX('Inputs'!$B$33,'Inputs'!$B$29+'Inputs'!$B$31+'Inputs'!$B$32,'Inputs'!$B$30+'Inputs'!$B$31+'Inputs'!$B$32)/1000+'Inputs'!$B$21+'Inputs'!$B$9+'Inputs'!$B$10)+'Inputs'!$B$7)^2+('Inputs'!$B$6/2)^2)-(((676-43)*MAX('Inputs'!$B$33,'Inputs'!$B$29+'Inputs'!$B$31+'Inputs'!$B$32,'Inputs'!$B$30+'Inputs'!$B$31+'Inputs'!$B$32)/1000+'Inputs'!$B$21+'Inputs'!$B$9+'Inputs'!$B$10))/SQRT((((676-43)*MAX('Inputs'!$B$33,'Inputs'!$B$29+'Inputs'!$B$31+'Inputs'!$B$32,'Inputs'!$B$30+'Inputs'!$B$31+'Inputs'!$B$32)/1000+'Inputs'!$B$21+'Inputs'!$B$9+'Inputs'!$B$10))^2+('Inputs'!$B$6/2)^2))))*'Results'!$B$8))),"")</x:f>
        <x:v>1.4657863426824702</x:v>
      </x:c>
      <x:c r="O676" t="n">
        <x:f>IF(AND(ISNUMBER('Results'!C7),ISNUMBER('Results'!B7),ISNUMBER('Results'!$B$8),ISNUMBER('Inputs'!$B$6),ISNUMBER('Inputs'!$B$7),ISNUMBER('Inputs'!$B$8),ISNUMBER('Inputs'!$B$9),ISNUMBER('Inputs'!$B$10),ISNUMBER('Inputs'!$B$21),ISNUMBER('Inputs'!$B$24),ISNUMBER('Inputs'!$B$28)),((('Results'!C7*(1+'Inputs'!$B$24)*(0.5*((((676-43)*MAX('Inputs'!$B$33,'Inputs'!$B$29+'Inputs'!$B$31+'Inputs'!$B$32,'Inputs'!$B$30+'Inputs'!$B$31+'Inputs'!$B$32)/1000+'Inputs'!$B$21)+'Inputs'!$B$9)/SQRT((((676-43)*MAX('Inputs'!$B$33,'Inputs'!$B$29+'Inputs'!$B$31+'Inputs'!$B$32,'Inputs'!$B$30+'Inputs'!$B$31+'Inputs'!$B$32)/1000+'Inputs'!$B$21)+'Inputs'!$B$9)^2+('Inputs'!$B$8/2)^2)-(((676-43)*MAX('Inputs'!$B$33,'Inputs'!$B$29+'Inputs'!$B$31+'Inputs'!$B$32,'Inputs'!$B$30+'Inputs'!$B$31+'Inputs'!$B$32)/1000+'Inputs'!$B$21))/SQRT((((676-43)*MAX('Inputs'!$B$33,'Inputs'!$B$29+'Inputs'!$B$31+'Inputs'!$B$32,'Inputs'!$B$30+'Inputs'!$B$31+'Inputs'!$B$32)/1000+'Inputs'!$B$21))^2+('Inputs'!$B$8/2)^2)))-'Results'!B7*(1-'Inputs'!$B$24)*(0.5*((((676-43)*MAX('Inputs'!$B$33,'Inputs'!$B$29+'Inputs'!$B$31+'Inputs'!$B$32,'Inputs'!$B$30+'Inputs'!$B$31+'Inputs'!$B$32)/1000+'Inputs'!$B$21+'Inputs'!$B$9+'Inputs'!$B$10)+'Inputs'!$B$7)/SQRT((((676-43)*MAX('Inputs'!$B$33,'Inputs'!$B$29+'Inputs'!$B$31+'Inputs'!$B$32,'Inputs'!$B$30+'Inputs'!$B$31+'Inputs'!$B$32)/1000+'Inputs'!$B$21+'Inputs'!$B$9+'Inputs'!$B$10)+'Inputs'!$B$7)^2+('Inputs'!$B$6/2)^2)-(((676-43)*MAX('Inputs'!$B$33,'Inputs'!$B$29+'Inputs'!$B$31+'Inputs'!$B$32,'Inputs'!$B$30+'Inputs'!$B$31+'Inputs'!$B$32)/1000+'Inputs'!$B$21+'Inputs'!$B$9+'Inputs'!$B$10))/SQRT((((676-43)*MAX('Inputs'!$B$33,'Inputs'!$B$29+'Inputs'!$B$31+'Inputs'!$B$32,'Inputs'!$B$30+'Inputs'!$B$31+'Inputs'!$B$32)/1000+'Inputs'!$B$21+'Inputs'!$B$9+'Inputs'!$B$10))^2+('Inputs'!$B$6/2)^2))))*'Results'!$B$8)+'Inputs'!$B$28*ABS((('Results'!C7*(1+'Inputs'!$B$24)*(0.5*((((676-43)*MAX('Inputs'!$B$33,'Inputs'!$B$29+'Inputs'!$B$31+'Inputs'!$B$32,'Inputs'!$B$30+'Inputs'!$B$31+'Inputs'!$B$32)/1000+'Inputs'!$B$21)+'Inputs'!$B$9)/SQRT((((676-43)*MAX('Inputs'!$B$33,'Inputs'!$B$29+'Inputs'!$B$31+'Inputs'!$B$32,'Inputs'!$B$30+'Inputs'!$B$31+'Inputs'!$B$32)/1000+'Inputs'!$B$21)+'Inputs'!$B$9)^2+('Inputs'!$B$8/2)^2)-(((676-43)*MAX('Inputs'!$B$33,'Inputs'!$B$29+'Inputs'!$B$31+'Inputs'!$B$32,'Inputs'!$B$30+'Inputs'!$B$31+'Inputs'!$B$32)/1000+'Inputs'!$B$21))/SQRT((((676-43)*MAX('Inputs'!$B$33,'Inputs'!$B$29+'Inputs'!$B$31+'Inputs'!$B$32,'Inputs'!$B$30+'Inputs'!$B$31+'Inputs'!$B$32)/1000+'Inputs'!$B$21))^2+('Inputs'!$B$8/2)^2)))-'Results'!B7*(1-'Inputs'!$B$24)*(0.5*((((676-43)*MAX('Inputs'!$B$33,'Inputs'!$B$29+'Inputs'!$B$31+'Inputs'!$B$32,'Inputs'!$B$30+'Inputs'!$B$31+'Inputs'!$B$32)/1000+'Inputs'!$B$21+'Inputs'!$B$9+'Inputs'!$B$10)+'Inputs'!$B$7)/SQRT((((676-43)*MAX('Inputs'!$B$33,'Inputs'!$B$29+'Inputs'!$B$31+'Inputs'!$B$32,'Inputs'!$B$30+'Inputs'!$B$31+'Inputs'!$B$32)/1000+'Inputs'!$B$21+'Inputs'!$B$9+'Inputs'!$B$10)+'Inputs'!$B$7)^2+('Inputs'!$B$6/2)^2)-(((676-43)*MAX('Inputs'!$B$33,'Inputs'!$B$29+'Inputs'!$B$31+'Inputs'!$B$32,'Inputs'!$B$30+'Inputs'!$B$31+'Inputs'!$B$32)/1000+'Inputs'!$B$21+'Inputs'!$B$9+'Inputs'!$B$10))/SQRT((((676-43)*MAX('Inputs'!$B$33,'Inputs'!$B$29+'Inputs'!$B$31+'Inputs'!$B$32,'Inputs'!$B$30+'Inputs'!$B$31+'Inputs'!$B$32)/1000+'Inputs'!$B$21+'Inputs'!$B$9+'Inputs'!$B$10))^2+('Inputs'!$B$6/2)^2))))*'Results'!$B$8))),"")</x:f>
        <x:v>1.9347961841949262</x:v>
      </x:c>
      <x:c r="P676" t="n">
        <x:f>IF(AND(MAX(J676,J675)&gt;0,J676&gt;J675+0.00000001),1,0)</x:f>
        <x:v>0</x:v>
      </x:c>
      <x:c r="Q676" t="n">
        <x:f>IF(AND(MAX(K676,K675)&gt;0,K676&gt;K675+0.00000001),1,0)</x:f>
        <x:v>0</x:v>
      </x:c>
      <x:c r="R676" t="n">
        <x:f>IF(AND(MAX(L676,L675)&gt;0,L676&gt;L675+0.00000001),1,0)</x:f>
        <x:v>0</x:v>
      </x:c>
      <x:c r="S676" t="n">
        <x:f>IF(AND(MAX(M676,M675)&gt;0,M676&gt;M675+0.00000001),1,0)</x:f>
        <x:v>0</x:v>
      </x:c>
      <x:c r="T676" t="n">
        <x:f>IF(AND(MAX(N676,N675)&gt;0,N676&gt;N675+0.00000001),1,0)</x:f>
        <x:v>0</x:v>
      </x:c>
      <x:c r="U676" t="n">
        <x:f>IF(AND(MAX(O676,O675)&gt;0,O676&gt;O675+0.00000001),1,0)</x:f>
        <x:v>0</x:v>
      </x:c>
    </x:row>
    <x:row r="677">
      <x:c r="J677" t="n">
        <x:f>IF(AND(ISNUMBER('Results'!B7),ISNUMBER('Results'!C7),ISNUMBER('Results'!$B$8),ISNUMBER('Inputs'!$B$6),ISNUMBER('Inputs'!$B$7),ISNUMBER('Inputs'!$B$8),ISNUMBER('Inputs'!$B$9),ISNUMBER('Inputs'!$B$10),ISNUMBER('Inputs'!$B$21),ISNUMBER('Inputs'!$B$24),ISNUMBER('Inputs'!$B$28)),(('Results'!B7*(0.5*((((677-43)*MAX('Inputs'!$B$33,'Inputs'!$B$29+'Inputs'!$B$31+'Inputs'!$B$32,'Inputs'!$B$30+'Inputs'!$B$31+'Inputs'!$B$32)/1000+'Inputs'!$B$21)+'Inputs'!$B$7)/SQRT((((677-43)*MAX('Inputs'!$B$33,'Inputs'!$B$29+'Inputs'!$B$31+'Inputs'!$B$32,'Inputs'!$B$30+'Inputs'!$B$31+'Inputs'!$B$32)/1000+'Inputs'!$B$21)+'Inputs'!$B$7)^2+('Inputs'!$B$6/2)^2)-(((677-43)*MAX('Inputs'!$B$33,'Inputs'!$B$29+'Inputs'!$B$31+'Inputs'!$B$32,'Inputs'!$B$30+'Inputs'!$B$31+'Inputs'!$B$32)/1000+'Inputs'!$B$21))/SQRT((((677-43)*MAX('Inputs'!$B$33,'Inputs'!$B$29+'Inputs'!$B$31+'Inputs'!$B$32,'Inputs'!$B$30+'Inputs'!$B$31+'Inputs'!$B$32)/1000+'Inputs'!$B$21))^2+('Inputs'!$B$6/2)^2)))-'Results'!C7*(0.5*((((677-43)*MAX('Inputs'!$B$33,'Inputs'!$B$29+'Inputs'!$B$31+'Inputs'!$B$32,'Inputs'!$B$30+'Inputs'!$B$31+'Inputs'!$B$32)/1000+'Inputs'!$B$21+'Inputs'!$B$7+'Inputs'!$B$10)+'Inputs'!$B$9)/SQRT((((677-43)*MAX('Inputs'!$B$33,'Inputs'!$B$29+'Inputs'!$B$31+'Inputs'!$B$32,'Inputs'!$B$30+'Inputs'!$B$31+'Inputs'!$B$32)/1000+'Inputs'!$B$21+'Inputs'!$B$7+'Inputs'!$B$10)+'Inputs'!$B$9)^2+('Inputs'!$B$8/2)^2)-(((677-43)*MAX('Inputs'!$B$33,'Inputs'!$B$29+'Inputs'!$B$31+'Inputs'!$B$32,'Inputs'!$B$30+'Inputs'!$B$31+'Inputs'!$B$32)/1000+'Inputs'!$B$21+'Inputs'!$B$7+'Inputs'!$B$10))/SQRT((((677-43)*MAX('Inputs'!$B$33,'Inputs'!$B$29+'Inputs'!$B$31+'Inputs'!$B$32,'Inputs'!$B$30+'Inputs'!$B$31+'Inputs'!$B$32)/1000+'Inputs'!$B$21+'Inputs'!$B$7+'Inputs'!$B$10))^2+('Inputs'!$B$8/2)^2))))*'Results'!$B$8),"")</x:f>
        <x:v>1.8343263318574696</x:v>
      </x:c>
      <x:c r="K677" t="n">
        <x:f>IF(AND(ISNUMBER('Results'!B7),ISNUMBER('Results'!C7),ISNUMBER('Results'!$B$8),ISNUMBER('Inputs'!$B$6),ISNUMBER('Inputs'!$B$7),ISNUMBER('Inputs'!$B$8),ISNUMBER('Inputs'!$B$9),ISNUMBER('Inputs'!$B$10),ISNUMBER('Inputs'!$B$21),ISNUMBER('Inputs'!$B$24),ISNUMBER('Inputs'!$B$28)),((('Results'!B7*(1-'Inputs'!$B$24)*(0.5*((((677-43)*MAX('Inputs'!$B$33,'Inputs'!$B$29+'Inputs'!$B$31+'Inputs'!$B$32,'Inputs'!$B$30+'Inputs'!$B$31+'Inputs'!$B$32)/1000+'Inputs'!$B$21)+'Inputs'!$B$7)/SQRT((((677-43)*MAX('Inputs'!$B$33,'Inputs'!$B$29+'Inputs'!$B$31+'Inputs'!$B$32,'Inputs'!$B$30+'Inputs'!$B$31+'Inputs'!$B$32)/1000+'Inputs'!$B$21)+'Inputs'!$B$7)^2+('Inputs'!$B$6/2)^2)-(((677-43)*MAX('Inputs'!$B$33,'Inputs'!$B$29+'Inputs'!$B$31+'Inputs'!$B$32,'Inputs'!$B$30+'Inputs'!$B$31+'Inputs'!$B$32)/1000+'Inputs'!$B$21))/SQRT((((677-43)*MAX('Inputs'!$B$33,'Inputs'!$B$29+'Inputs'!$B$31+'Inputs'!$B$32,'Inputs'!$B$30+'Inputs'!$B$31+'Inputs'!$B$32)/1000+'Inputs'!$B$21))^2+('Inputs'!$B$6/2)^2)))-'Results'!C7*(1+'Inputs'!$B$24)*(0.5*((((677-43)*MAX('Inputs'!$B$33,'Inputs'!$B$29+'Inputs'!$B$31+'Inputs'!$B$32,'Inputs'!$B$30+'Inputs'!$B$31+'Inputs'!$B$32)/1000+'Inputs'!$B$21+'Inputs'!$B$7+'Inputs'!$B$10)+'Inputs'!$B$9)/SQRT((((677-43)*MAX('Inputs'!$B$33,'Inputs'!$B$29+'Inputs'!$B$31+'Inputs'!$B$32,'Inputs'!$B$30+'Inputs'!$B$31+'Inputs'!$B$32)/1000+'Inputs'!$B$21+'Inputs'!$B$7+'Inputs'!$B$10)+'Inputs'!$B$9)^2+('Inputs'!$B$8/2)^2)-(((677-43)*MAX('Inputs'!$B$33,'Inputs'!$B$29+'Inputs'!$B$31+'Inputs'!$B$32,'Inputs'!$B$30+'Inputs'!$B$31+'Inputs'!$B$32)/1000+'Inputs'!$B$21+'Inputs'!$B$7+'Inputs'!$B$10))/SQRT((((677-43)*MAX('Inputs'!$B$33,'Inputs'!$B$29+'Inputs'!$B$31+'Inputs'!$B$32,'Inputs'!$B$30+'Inputs'!$B$31+'Inputs'!$B$32)/1000+'Inputs'!$B$21+'Inputs'!$B$7+'Inputs'!$B$10))^2+('Inputs'!$B$8/2)^2))))*'Results'!$B$8)-'Inputs'!$B$28*ABS((('Results'!B7*(1-'Inputs'!$B$24)*(0.5*((((677-43)*MAX('Inputs'!$B$33,'Inputs'!$B$29+'Inputs'!$B$31+'Inputs'!$B$32,'Inputs'!$B$30+'Inputs'!$B$31+'Inputs'!$B$32)/1000+'Inputs'!$B$21)+'Inputs'!$B$7)/SQRT((((677-43)*MAX('Inputs'!$B$33,'Inputs'!$B$29+'Inputs'!$B$31+'Inputs'!$B$32,'Inputs'!$B$30+'Inputs'!$B$31+'Inputs'!$B$32)/1000+'Inputs'!$B$21)+'Inputs'!$B$7)^2+('Inputs'!$B$6/2)^2)-(((677-43)*MAX('Inputs'!$B$33,'Inputs'!$B$29+'Inputs'!$B$31+'Inputs'!$B$32,'Inputs'!$B$30+'Inputs'!$B$31+'Inputs'!$B$32)/1000+'Inputs'!$B$21))/SQRT((((677-43)*MAX('Inputs'!$B$33,'Inputs'!$B$29+'Inputs'!$B$31+'Inputs'!$B$32,'Inputs'!$B$30+'Inputs'!$B$31+'Inputs'!$B$32)/1000+'Inputs'!$B$21))^2+('Inputs'!$B$6/2)^2)))-'Results'!C7*(1+'Inputs'!$B$24)*(0.5*((((677-43)*MAX('Inputs'!$B$33,'Inputs'!$B$29+'Inputs'!$B$31+'Inputs'!$B$32,'Inputs'!$B$30+'Inputs'!$B$31+'Inputs'!$B$32)/1000+'Inputs'!$B$21+'Inputs'!$B$7+'Inputs'!$B$10)+'Inputs'!$B$9)/SQRT((((677-43)*MAX('Inputs'!$B$33,'Inputs'!$B$29+'Inputs'!$B$31+'Inputs'!$B$32,'Inputs'!$B$30+'Inputs'!$B$31+'Inputs'!$B$32)/1000+'Inputs'!$B$21+'Inputs'!$B$7+'Inputs'!$B$10)+'Inputs'!$B$9)^2+('Inputs'!$B$8/2)^2)-(((677-43)*MAX('Inputs'!$B$33,'Inputs'!$B$29+'Inputs'!$B$31+'Inputs'!$B$32,'Inputs'!$B$30+'Inputs'!$B$31+'Inputs'!$B$32)/1000+'Inputs'!$B$21+'Inputs'!$B$7+'Inputs'!$B$10))/SQRT((((677-43)*MAX('Inputs'!$B$33,'Inputs'!$B$29+'Inputs'!$B$31+'Inputs'!$B$32,'Inputs'!$B$30+'Inputs'!$B$31+'Inputs'!$B$32)/1000+'Inputs'!$B$21+'Inputs'!$B$7+'Inputs'!$B$10))^2+('Inputs'!$B$8/2)^2))))*'Results'!$B$8))),"")</x:f>
        <x:v>1.6001703481678717</x:v>
      </x:c>
      <x:c r="L677" t="n">
        <x:f>IF(AND(ISNUMBER('Results'!B7),ISNUMBER('Results'!C7),ISNUMBER('Results'!$B$8),ISNUMBER('Inputs'!$B$6),ISNUMBER('Inputs'!$B$7),ISNUMBER('Inputs'!$B$8),ISNUMBER('Inputs'!$B$9),ISNUMBER('Inputs'!$B$10),ISNUMBER('Inputs'!$B$21),ISNUMBER('Inputs'!$B$24),ISNUMBER('Inputs'!$B$28)),((('Results'!B7*(1+'Inputs'!$B$24)*(0.5*((((677-43)*MAX('Inputs'!$B$33,'Inputs'!$B$29+'Inputs'!$B$31+'Inputs'!$B$32,'Inputs'!$B$30+'Inputs'!$B$31+'Inputs'!$B$32)/1000+'Inputs'!$B$21)+'Inputs'!$B$7)/SQRT((((677-43)*MAX('Inputs'!$B$33,'Inputs'!$B$29+'Inputs'!$B$31+'Inputs'!$B$32,'Inputs'!$B$30+'Inputs'!$B$31+'Inputs'!$B$32)/1000+'Inputs'!$B$21)+'Inputs'!$B$7)^2+('Inputs'!$B$6/2)^2)-(((677-43)*MAX('Inputs'!$B$33,'Inputs'!$B$29+'Inputs'!$B$31+'Inputs'!$B$32,'Inputs'!$B$30+'Inputs'!$B$31+'Inputs'!$B$32)/1000+'Inputs'!$B$21))/SQRT((((677-43)*MAX('Inputs'!$B$33,'Inputs'!$B$29+'Inputs'!$B$31+'Inputs'!$B$32,'Inputs'!$B$30+'Inputs'!$B$31+'Inputs'!$B$32)/1000+'Inputs'!$B$21))^2+('Inputs'!$B$6/2)^2)))-'Results'!C7*(1-'Inputs'!$B$24)*(0.5*((((677-43)*MAX('Inputs'!$B$33,'Inputs'!$B$29+'Inputs'!$B$31+'Inputs'!$B$32,'Inputs'!$B$30+'Inputs'!$B$31+'Inputs'!$B$32)/1000+'Inputs'!$B$21+'Inputs'!$B$7+'Inputs'!$B$10)+'Inputs'!$B$9)/SQRT((((677-43)*MAX('Inputs'!$B$33,'Inputs'!$B$29+'Inputs'!$B$31+'Inputs'!$B$32,'Inputs'!$B$30+'Inputs'!$B$31+'Inputs'!$B$32)/1000+'Inputs'!$B$21+'Inputs'!$B$7+'Inputs'!$B$10)+'Inputs'!$B$9)^2+('Inputs'!$B$8/2)^2)-(((677-43)*MAX('Inputs'!$B$33,'Inputs'!$B$29+'Inputs'!$B$31+'Inputs'!$B$32,'Inputs'!$B$30+'Inputs'!$B$31+'Inputs'!$B$32)/1000+'Inputs'!$B$21+'Inputs'!$B$7+'Inputs'!$B$10))/SQRT((((677-43)*MAX('Inputs'!$B$33,'Inputs'!$B$29+'Inputs'!$B$31+'Inputs'!$B$32,'Inputs'!$B$30+'Inputs'!$B$31+'Inputs'!$B$32)/1000+'Inputs'!$B$21+'Inputs'!$B$7+'Inputs'!$B$10))^2+('Inputs'!$B$8/2)^2))))*'Results'!$B$8)+'Inputs'!$B$28*ABS((('Results'!B7*(1+'Inputs'!$B$24)*(0.5*((((677-43)*MAX('Inputs'!$B$33,'Inputs'!$B$29+'Inputs'!$B$31+'Inputs'!$B$32,'Inputs'!$B$30+'Inputs'!$B$31+'Inputs'!$B$32)/1000+'Inputs'!$B$21)+'Inputs'!$B$7)/SQRT((((677-43)*MAX('Inputs'!$B$33,'Inputs'!$B$29+'Inputs'!$B$31+'Inputs'!$B$32,'Inputs'!$B$30+'Inputs'!$B$31+'Inputs'!$B$32)/1000+'Inputs'!$B$21)+'Inputs'!$B$7)^2+('Inputs'!$B$6/2)^2)-(((677-43)*MAX('Inputs'!$B$33,'Inputs'!$B$29+'Inputs'!$B$31+'Inputs'!$B$32,'Inputs'!$B$30+'Inputs'!$B$31+'Inputs'!$B$32)/1000+'Inputs'!$B$21))/SQRT((((677-43)*MAX('Inputs'!$B$33,'Inputs'!$B$29+'Inputs'!$B$31+'Inputs'!$B$32,'Inputs'!$B$30+'Inputs'!$B$31+'Inputs'!$B$32)/1000+'Inputs'!$B$21))^2+('Inputs'!$B$6/2)^2)))-'Results'!C7*(1-'Inputs'!$B$24)*(0.5*((((677-43)*MAX('Inputs'!$B$33,'Inputs'!$B$29+'Inputs'!$B$31+'Inputs'!$B$32,'Inputs'!$B$30+'Inputs'!$B$31+'Inputs'!$B$32)/1000+'Inputs'!$B$21+'Inputs'!$B$7+'Inputs'!$B$10)+'Inputs'!$B$9)/SQRT((((677-43)*MAX('Inputs'!$B$33,'Inputs'!$B$29+'Inputs'!$B$31+'Inputs'!$B$32,'Inputs'!$B$30+'Inputs'!$B$31+'Inputs'!$B$32)/1000+'Inputs'!$B$21+'Inputs'!$B$7+'Inputs'!$B$10)+'Inputs'!$B$9)^2+('Inputs'!$B$8/2)^2)-(((677-43)*MAX('Inputs'!$B$33,'Inputs'!$B$29+'Inputs'!$B$31+'Inputs'!$B$32,'Inputs'!$B$30+'Inputs'!$B$31+'Inputs'!$B$32)/1000+'Inputs'!$B$21+'Inputs'!$B$7+'Inputs'!$B$10))/SQRT((((677-43)*MAX('Inputs'!$B$33,'Inputs'!$B$29+'Inputs'!$B$31+'Inputs'!$B$32,'Inputs'!$B$30+'Inputs'!$B$31+'Inputs'!$B$32)/1000+'Inputs'!$B$21+'Inputs'!$B$7+'Inputs'!$B$10))^2+('Inputs'!$B$8/2)^2))))*'Results'!$B$8))),"")</x:f>
        <x:v>2.0834759647151437</x:v>
      </x:c>
      <x:c r="M677" t="n">
        <x:f>IF(AND(ISNUMBER('Results'!C7),ISNUMBER('Results'!B7),ISNUMBER('Results'!$B$8),ISNUMBER('Inputs'!$B$6),ISNUMBER('Inputs'!$B$7),ISNUMBER('Inputs'!$B$8),ISNUMBER('Inputs'!$B$9),ISNUMBER('Inputs'!$B$10),ISNUMBER('Inputs'!$B$21),ISNUMBER('Inputs'!$B$24),ISNUMBER('Inputs'!$B$28)),(('Results'!C7*(0.5*((((677-43)*MAX('Inputs'!$B$33,'Inputs'!$B$29+'Inputs'!$B$31+'Inputs'!$B$32,'Inputs'!$B$30+'Inputs'!$B$31+'Inputs'!$B$32)/1000+'Inputs'!$B$21)+'Inputs'!$B$9)/SQRT((((677-43)*MAX('Inputs'!$B$33,'Inputs'!$B$29+'Inputs'!$B$31+'Inputs'!$B$32,'Inputs'!$B$30+'Inputs'!$B$31+'Inputs'!$B$32)/1000+'Inputs'!$B$21)+'Inputs'!$B$9)^2+('Inputs'!$B$8/2)^2)-(((677-43)*MAX('Inputs'!$B$33,'Inputs'!$B$29+'Inputs'!$B$31+'Inputs'!$B$32,'Inputs'!$B$30+'Inputs'!$B$31+'Inputs'!$B$32)/1000+'Inputs'!$B$21))/SQRT((((677-43)*MAX('Inputs'!$B$33,'Inputs'!$B$29+'Inputs'!$B$31+'Inputs'!$B$32,'Inputs'!$B$30+'Inputs'!$B$31+'Inputs'!$B$32)/1000+'Inputs'!$B$21))^2+('Inputs'!$B$8/2)^2)))-'Results'!B7*(0.5*((((677-43)*MAX('Inputs'!$B$33,'Inputs'!$B$29+'Inputs'!$B$31+'Inputs'!$B$32,'Inputs'!$B$30+'Inputs'!$B$31+'Inputs'!$B$32)/1000+'Inputs'!$B$21+'Inputs'!$B$9+'Inputs'!$B$10)+'Inputs'!$B$7)/SQRT((((677-43)*MAX('Inputs'!$B$33,'Inputs'!$B$29+'Inputs'!$B$31+'Inputs'!$B$32,'Inputs'!$B$30+'Inputs'!$B$31+'Inputs'!$B$32)/1000+'Inputs'!$B$21+'Inputs'!$B$9+'Inputs'!$B$10)+'Inputs'!$B$7)^2+('Inputs'!$B$6/2)^2)-(((677-43)*MAX('Inputs'!$B$33,'Inputs'!$B$29+'Inputs'!$B$31+'Inputs'!$B$32,'Inputs'!$B$30+'Inputs'!$B$31+'Inputs'!$B$32)/1000+'Inputs'!$B$21+'Inputs'!$B$9+'Inputs'!$B$10))/SQRT((((677-43)*MAX('Inputs'!$B$33,'Inputs'!$B$29+'Inputs'!$B$31+'Inputs'!$B$32,'Inputs'!$B$30+'Inputs'!$B$31+'Inputs'!$B$32)/1000+'Inputs'!$B$21+'Inputs'!$B$9+'Inputs'!$B$10))^2+('Inputs'!$B$6/2)^2))))*'Results'!$B$8),"")</x:f>
        <x:v>1.683234228288507</x:v>
      </x:c>
      <x:c r="N677" t="n">
        <x:f>IF(AND(ISNUMBER('Results'!C7),ISNUMBER('Results'!B7),ISNUMBER('Results'!$B$8),ISNUMBER('Inputs'!$B$6),ISNUMBER('Inputs'!$B$7),ISNUMBER('Inputs'!$B$8),ISNUMBER('Inputs'!$B$9),ISNUMBER('Inputs'!$B$10),ISNUMBER('Inputs'!$B$21),ISNUMBER('Inputs'!$B$24),ISNUMBER('Inputs'!$B$28)),((('Results'!C7*(1-'Inputs'!$B$24)*(0.5*((((677-43)*MAX('Inputs'!$B$33,'Inputs'!$B$29+'Inputs'!$B$31+'Inputs'!$B$32,'Inputs'!$B$30+'Inputs'!$B$31+'Inputs'!$B$32)/1000+'Inputs'!$B$21)+'Inputs'!$B$9)/SQRT((((677-43)*MAX('Inputs'!$B$33,'Inputs'!$B$29+'Inputs'!$B$31+'Inputs'!$B$32,'Inputs'!$B$30+'Inputs'!$B$31+'Inputs'!$B$32)/1000+'Inputs'!$B$21)+'Inputs'!$B$9)^2+('Inputs'!$B$8/2)^2)-(((677-43)*MAX('Inputs'!$B$33,'Inputs'!$B$29+'Inputs'!$B$31+'Inputs'!$B$32,'Inputs'!$B$30+'Inputs'!$B$31+'Inputs'!$B$32)/1000+'Inputs'!$B$21))/SQRT((((677-43)*MAX('Inputs'!$B$33,'Inputs'!$B$29+'Inputs'!$B$31+'Inputs'!$B$32,'Inputs'!$B$30+'Inputs'!$B$31+'Inputs'!$B$32)/1000+'Inputs'!$B$21))^2+('Inputs'!$B$8/2)^2)))-'Results'!B7*(1+'Inputs'!$B$24)*(0.5*((((677-43)*MAX('Inputs'!$B$33,'Inputs'!$B$29+'Inputs'!$B$31+'Inputs'!$B$32,'Inputs'!$B$30+'Inputs'!$B$31+'Inputs'!$B$32)/1000+'Inputs'!$B$21+'Inputs'!$B$9+'Inputs'!$B$10)+'Inputs'!$B$7)/SQRT((((677-43)*MAX('Inputs'!$B$33,'Inputs'!$B$29+'Inputs'!$B$31+'Inputs'!$B$32,'Inputs'!$B$30+'Inputs'!$B$31+'Inputs'!$B$32)/1000+'Inputs'!$B$21+'Inputs'!$B$9+'Inputs'!$B$10)+'Inputs'!$B$7)^2+('Inputs'!$B$6/2)^2)-(((677-43)*MAX('Inputs'!$B$33,'Inputs'!$B$29+'Inputs'!$B$31+'Inputs'!$B$32,'Inputs'!$B$30+'Inputs'!$B$31+'Inputs'!$B$32)/1000+'Inputs'!$B$21+'Inputs'!$B$9+'Inputs'!$B$10))/SQRT((((677-43)*MAX('Inputs'!$B$33,'Inputs'!$B$29+'Inputs'!$B$31+'Inputs'!$B$32,'Inputs'!$B$30+'Inputs'!$B$31+'Inputs'!$B$32)/1000+'Inputs'!$B$21+'Inputs'!$B$9+'Inputs'!$B$10))^2+('Inputs'!$B$6/2)^2))))*'Results'!$B$8)-'Inputs'!$B$28*ABS((('Results'!C7*(1-'Inputs'!$B$24)*(0.5*((((677-43)*MAX('Inputs'!$B$33,'Inputs'!$B$29+'Inputs'!$B$31+'Inputs'!$B$32,'Inputs'!$B$30+'Inputs'!$B$31+'Inputs'!$B$32)/1000+'Inputs'!$B$21)+'Inputs'!$B$9)/SQRT((((677-43)*MAX('Inputs'!$B$33,'Inputs'!$B$29+'Inputs'!$B$31+'Inputs'!$B$32,'Inputs'!$B$30+'Inputs'!$B$31+'Inputs'!$B$32)/1000+'Inputs'!$B$21)+'Inputs'!$B$9)^2+('Inputs'!$B$8/2)^2)-(((677-43)*MAX('Inputs'!$B$33,'Inputs'!$B$29+'Inputs'!$B$31+'Inputs'!$B$32,'Inputs'!$B$30+'Inputs'!$B$31+'Inputs'!$B$32)/1000+'Inputs'!$B$21))/SQRT((((677-43)*MAX('Inputs'!$B$33,'Inputs'!$B$29+'Inputs'!$B$31+'Inputs'!$B$32,'Inputs'!$B$30+'Inputs'!$B$31+'Inputs'!$B$32)/1000+'Inputs'!$B$21))^2+('Inputs'!$B$8/2)^2)))-'Results'!B7*(1+'Inputs'!$B$24)*(0.5*((((677-43)*MAX('Inputs'!$B$33,'Inputs'!$B$29+'Inputs'!$B$31+'Inputs'!$B$32,'Inputs'!$B$30+'Inputs'!$B$31+'Inputs'!$B$32)/1000+'Inputs'!$B$21+'Inputs'!$B$9+'Inputs'!$B$10)+'Inputs'!$B$7)/SQRT((((677-43)*MAX('Inputs'!$B$33,'Inputs'!$B$29+'Inputs'!$B$31+'Inputs'!$B$32,'Inputs'!$B$30+'Inputs'!$B$31+'Inputs'!$B$32)/1000+'Inputs'!$B$21+'Inputs'!$B$9+'Inputs'!$B$10)+'Inputs'!$B$7)^2+('Inputs'!$B$6/2)^2)-(((677-43)*MAX('Inputs'!$B$33,'Inputs'!$B$29+'Inputs'!$B$31+'Inputs'!$B$32,'Inputs'!$B$30+'Inputs'!$B$31+'Inputs'!$B$32)/1000+'Inputs'!$B$21+'Inputs'!$B$9+'Inputs'!$B$10))/SQRT((((677-43)*MAX('Inputs'!$B$33,'Inputs'!$B$29+'Inputs'!$B$31+'Inputs'!$B$32,'Inputs'!$B$30+'Inputs'!$B$31+'Inputs'!$B$32)/1000+'Inputs'!$B$21+'Inputs'!$B$9+'Inputs'!$B$10))^2+('Inputs'!$B$6/2)^2))))*'Results'!$B$8))),"")</x:f>
        <x:v>1.457307937157587</x:v>
      </x:c>
      <x:c r="O677" t="n">
        <x:f>IF(AND(ISNUMBER('Results'!C7),ISNUMBER('Results'!B7),ISNUMBER('Results'!$B$8),ISNUMBER('Inputs'!$B$6),ISNUMBER('Inputs'!$B$7),ISNUMBER('Inputs'!$B$8),ISNUMBER('Inputs'!$B$9),ISNUMBER('Inputs'!$B$10),ISNUMBER('Inputs'!$B$21),ISNUMBER('Inputs'!$B$24),ISNUMBER('Inputs'!$B$28)),((('Results'!C7*(1+'Inputs'!$B$24)*(0.5*((((677-43)*MAX('Inputs'!$B$33,'Inputs'!$B$29+'Inputs'!$B$31+'Inputs'!$B$32,'Inputs'!$B$30+'Inputs'!$B$31+'Inputs'!$B$32)/1000+'Inputs'!$B$21)+'Inputs'!$B$9)/SQRT((((677-43)*MAX('Inputs'!$B$33,'Inputs'!$B$29+'Inputs'!$B$31+'Inputs'!$B$32,'Inputs'!$B$30+'Inputs'!$B$31+'Inputs'!$B$32)/1000+'Inputs'!$B$21)+'Inputs'!$B$9)^2+('Inputs'!$B$8/2)^2)-(((677-43)*MAX('Inputs'!$B$33,'Inputs'!$B$29+'Inputs'!$B$31+'Inputs'!$B$32,'Inputs'!$B$30+'Inputs'!$B$31+'Inputs'!$B$32)/1000+'Inputs'!$B$21))/SQRT((((677-43)*MAX('Inputs'!$B$33,'Inputs'!$B$29+'Inputs'!$B$31+'Inputs'!$B$32,'Inputs'!$B$30+'Inputs'!$B$31+'Inputs'!$B$32)/1000+'Inputs'!$B$21))^2+('Inputs'!$B$8/2)^2)))-'Results'!B7*(1-'Inputs'!$B$24)*(0.5*((((677-43)*MAX('Inputs'!$B$33,'Inputs'!$B$29+'Inputs'!$B$31+'Inputs'!$B$32,'Inputs'!$B$30+'Inputs'!$B$31+'Inputs'!$B$32)/1000+'Inputs'!$B$21+'Inputs'!$B$9+'Inputs'!$B$10)+'Inputs'!$B$7)/SQRT((((677-43)*MAX('Inputs'!$B$33,'Inputs'!$B$29+'Inputs'!$B$31+'Inputs'!$B$32,'Inputs'!$B$30+'Inputs'!$B$31+'Inputs'!$B$32)/1000+'Inputs'!$B$21+'Inputs'!$B$9+'Inputs'!$B$10)+'Inputs'!$B$7)^2+('Inputs'!$B$6/2)^2)-(((677-43)*MAX('Inputs'!$B$33,'Inputs'!$B$29+'Inputs'!$B$31+'Inputs'!$B$32,'Inputs'!$B$30+'Inputs'!$B$31+'Inputs'!$B$32)/1000+'Inputs'!$B$21+'Inputs'!$B$9+'Inputs'!$B$10))/SQRT((((677-43)*MAX('Inputs'!$B$33,'Inputs'!$B$29+'Inputs'!$B$31+'Inputs'!$B$32,'Inputs'!$B$30+'Inputs'!$B$31+'Inputs'!$B$32)/1000+'Inputs'!$B$21+'Inputs'!$B$9+'Inputs'!$B$10))^2+('Inputs'!$B$6/2)^2))))*'Results'!$B$8)+'Inputs'!$B$28*ABS((('Results'!C7*(1+'Inputs'!$B$24)*(0.5*((((677-43)*MAX('Inputs'!$B$33,'Inputs'!$B$29+'Inputs'!$B$31+'Inputs'!$B$32,'Inputs'!$B$30+'Inputs'!$B$31+'Inputs'!$B$32)/1000+'Inputs'!$B$21)+'Inputs'!$B$9)/SQRT((((677-43)*MAX('Inputs'!$B$33,'Inputs'!$B$29+'Inputs'!$B$31+'Inputs'!$B$32,'Inputs'!$B$30+'Inputs'!$B$31+'Inputs'!$B$32)/1000+'Inputs'!$B$21)+'Inputs'!$B$9)^2+('Inputs'!$B$8/2)^2)-(((677-43)*MAX('Inputs'!$B$33,'Inputs'!$B$29+'Inputs'!$B$31+'Inputs'!$B$32,'Inputs'!$B$30+'Inputs'!$B$31+'Inputs'!$B$32)/1000+'Inputs'!$B$21))/SQRT((((677-43)*MAX('Inputs'!$B$33,'Inputs'!$B$29+'Inputs'!$B$31+'Inputs'!$B$32,'Inputs'!$B$30+'Inputs'!$B$31+'Inputs'!$B$32)/1000+'Inputs'!$B$21))^2+('Inputs'!$B$8/2)^2)))-'Results'!B7*(1-'Inputs'!$B$24)*(0.5*((((677-43)*MAX('Inputs'!$B$33,'Inputs'!$B$29+'Inputs'!$B$31+'Inputs'!$B$32,'Inputs'!$B$30+'Inputs'!$B$31+'Inputs'!$B$32)/1000+'Inputs'!$B$21+'Inputs'!$B$9+'Inputs'!$B$10)+'Inputs'!$B$7)/SQRT((((677-43)*MAX('Inputs'!$B$33,'Inputs'!$B$29+'Inputs'!$B$31+'Inputs'!$B$32,'Inputs'!$B$30+'Inputs'!$B$31+'Inputs'!$B$32)/1000+'Inputs'!$B$21+'Inputs'!$B$9+'Inputs'!$B$10)+'Inputs'!$B$7)^2+('Inputs'!$B$6/2)^2)-(((677-43)*MAX('Inputs'!$B$33,'Inputs'!$B$29+'Inputs'!$B$31+'Inputs'!$B$32,'Inputs'!$B$30+'Inputs'!$B$31+'Inputs'!$B$32)/1000+'Inputs'!$B$21+'Inputs'!$B$9+'Inputs'!$B$10))/SQRT((((677-43)*MAX('Inputs'!$B$33,'Inputs'!$B$29+'Inputs'!$B$31+'Inputs'!$B$32,'Inputs'!$B$30+'Inputs'!$B$31+'Inputs'!$B$32)/1000+'Inputs'!$B$21+'Inputs'!$B$9+'Inputs'!$B$10))^2+('Inputs'!$B$6/2)^2))))*'Results'!$B$8))),"")</x:f>
        <x:v>1.9240831067580053</x:v>
      </x:c>
      <x:c r="P677" t="n">
        <x:f>IF(AND(MAX(J677,J676)&gt;0,J677&gt;J676+0.00000001),1,0)</x:f>
        <x:v>0</x:v>
      </x:c>
      <x:c r="Q677" t="n">
        <x:f>IF(AND(MAX(K677,K676)&gt;0,K677&gt;K676+0.00000001),1,0)</x:f>
        <x:v>0</x:v>
      </x:c>
      <x:c r="R677" t="n">
        <x:f>IF(AND(MAX(L677,L676)&gt;0,L677&gt;L676+0.00000001),1,0)</x:f>
        <x:v>0</x:v>
      </x:c>
      <x:c r="S677" t="n">
        <x:f>IF(AND(MAX(M677,M676)&gt;0,M677&gt;M676+0.00000001),1,0)</x:f>
        <x:v>0</x:v>
      </x:c>
      <x:c r="T677" t="n">
        <x:f>IF(AND(MAX(N677,N676)&gt;0,N677&gt;N676+0.00000001),1,0)</x:f>
        <x:v>0</x:v>
      </x:c>
      <x:c r="U677" t="n">
        <x:f>IF(AND(MAX(O677,O676)&gt;0,O677&gt;O676+0.00000001),1,0)</x:f>
        <x:v>0</x:v>
      </x:c>
    </x:row>
    <x:row r="678">
      <x:c r="J678" t="n">
        <x:f>IF(AND(ISNUMBER('Results'!B7),ISNUMBER('Results'!C7),ISNUMBER('Results'!$B$8),ISNUMBER('Inputs'!$B$6),ISNUMBER('Inputs'!$B$7),ISNUMBER('Inputs'!$B$8),ISNUMBER('Inputs'!$B$9),ISNUMBER('Inputs'!$B$10),ISNUMBER('Inputs'!$B$21),ISNUMBER('Inputs'!$B$24),ISNUMBER('Inputs'!$B$28)),(('Results'!B7*(0.5*((((678-43)*MAX('Inputs'!$B$33,'Inputs'!$B$29+'Inputs'!$B$31+'Inputs'!$B$32,'Inputs'!$B$30+'Inputs'!$B$31+'Inputs'!$B$32)/1000+'Inputs'!$B$21)+'Inputs'!$B$7)/SQRT((((678-43)*MAX('Inputs'!$B$33,'Inputs'!$B$29+'Inputs'!$B$31+'Inputs'!$B$32,'Inputs'!$B$30+'Inputs'!$B$31+'Inputs'!$B$32)/1000+'Inputs'!$B$21)+'Inputs'!$B$7)^2+('Inputs'!$B$6/2)^2)-(((678-43)*MAX('Inputs'!$B$33,'Inputs'!$B$29+'Inputs'!$B$31+'Inputs'!$B$32,'Inputs'!$B$30+'Inputs'!$B$31+'Inputs'!$B$32)/1000+'Inputs'!$B$21))/SQRT((((678-43)*MAX('Inputs'!$B$33,'Inputs'!$B$29+'Inputs'!$B$31+'Inputs'!$B$32,'Inputs'!$B$30+'Inputs'!$B$31+'Inputs'!$B$32)/1000+'Inputs'!$B$21))^2+('Inputs'!$B$6/2)^2)))-'Results'!C7*(0.5*((((678-43)*MAX('Inputs'!$B$33,'Inputs'!$B$29+'Inputs'!$B$31+'Inputs'!$B$32,'Inputs'!$B$30+'Inputs'!$B$31+'Inputs'!$B$32)/1000+'Inputs'!$B$21+'Inputs'!$B$7+'Inputs'!$B$10)+'Inputs'!$B$9)/SQRT((((678-43)*MAX('Inputs'!$B$33,'Inputs'!$B$29+'Inputs'!$B$31+'Inputs'!$B$32,'Inputs'!$B$30+'Inputs'!$B$31+'Inputs'!$B$32)/1000+'Inputs'!$B$21+'Inputs'!$B$7+'Inputs'!$B$10)+'Inputs'!$B$9)^2+('Inputs'!$B$8/2)^2)-(((678-43)*MAX('Inputs'!$B$33,'Inputs'!$B$29+'Inputs'!$B$31+'Inputs'!$B$32,'Inputs'!$B$30+'Inputs'!$B$31+'Inputs'!$B$32)/1000+'Inputs'!$B$21+'Inputs'!$B$7+'Inputs'!$B$10))/SQRT((((678-43)*MAX('Inputs'!$B$33,'Inputs'!$B$29+'Inputs'!$B$31+'Inputs'!$B$32,'Inputs'!$B$30+'Inputs'!$B$31+'Inputs'!$B$32)/1000+'Inputs'!$B$21+'Inputs'!$B$7+'Inputs'!$B$10))^2+('Inputs'!$B$8/2)^2))))*'Results'!$B$8),"")</x:f>
        <x:v>1.8241857015365917</x:v>
      </x:c>
      <x:c r="K678" t="n">
        <x:f>IF(AND(ISNUMBER('Results'!B7),ISNUMBER('Results'!C7),ISNUMBER('Results'!$B$8),ISNUMBER('Inputs'!$B$6),ISNUMBER('Inputs'!$B$7),ISNUMBER('Inputs'!$B$8),ISNUMBER('Inputs'!$B$9),ISNUMBER('Inputs'!$B$10),ISNUMBER('Inputs'!$B$21),ISNUMBER('Inputs'!$B$24),ISNUMBER('Inputs'!$B$28)),((('Results'!B7*(1-'Inputs'!$B$24)*(0.5*((((678-43)*MAX('Inputs'!$B$33,'Inputs'!$B$29+'Inputs'!$B$31+'Inputs'!$B$32,'Inputs'!$B$30+'Inputs'!$B$31+'Inputs'!$B$32)/1000+'Inputs'!$B$21)+'Inputs'!$B$7)/SQRT((((678-43)*MAX('Inputs'!$B$33,'Inputs'!$B$29+'Inputs'!$B$31+'Inputs'!$B$32,'Inputs'!$B$30+'Inputs'!$B$31+'Inputs'!$B$32)/1000+'Inputs'!$B$21)+'Inputs'!$B$7)^2+('Inputs'!$B$6/2)^2)-(((678-43)*MAX('Inputs'!$B$33,'Inputs'!$B$29+'Inputs'!$B$31+'Inputs'!$B$32,'Inputs'!$B$30+'Inputs'!$B$31+'Inputs'!$B$32)/1000+'Inputs'!$B$21))/SQRT((((678-43)*MAX('Inputs'!$B$33,'Inputs'!$B$29+'Inputs'!$B$31+'Inputs'!$B$32,'Inputs'!$B$30+'Inputs'!$B$31+'Inputs'!$B$32)/1000+'Inputs'!$B$21))^2+('Inputs'!$B$6/2)^2)))-'Results'!C7*(1+'Inputs'!$B$24)*(0.5*((((678-43)*MAX('Inputs'!$B$33,'Inputs'!$B$29+'Inputs'!$B$31+'Inputs'!$B$32,'Inputs'!$B$30+'Inputs'!$B$31+'Inputs'!$B$32)/1000+'Inputs'!$B$21+'Inputs'!$B$7+'Inputs'!$B$10)+'Inputs'!$B$9)/SQRT((((678-43)*MAX('Inputs'!$B$33,'Inputs'!$B$29+'Inputs'!$B$31+'Inputs'!$B$32,'Inputs'!$B$30+'Inputs'!$B$31+'Inputs'!$B$32)/1000+'Inputs'!$B$21+'Inputs'!$B$7+'Inputs'!$B$10)+'Inputs'!$B$9)^2+('Inputs'!$B$8/2)^2)-(((678-43)*MAX('Inputs'!$B$33,'Inputs'!$B$29+'Inputs'!$B$31+'Inputs'!$B$32,'Inputs'!$B$30+'Inputs'!$B$31+'Inputs'!$B$32)/1000+'Inputs'!$B$21+'Inputs'!$B$7+'Inputs'!$B$10))/SQRT((((678-43)*MAX('Inputs'!$B$33,'Inputs'!$B$29+'Inputs'!$B$31+'Inputs'!$B$32,'Inputs'!$B$30+'Inputs'!$B$31+'Inputs'!$B$32)/1000+'Inputs'!$B$21+'Inputs'!$B$7+'Inputs'!$B$10))^2+('Inputs'!$B$8/2)^2))))*'Results'!$B$8)-'Inputs'!$B$28*ABS((('Results'!B7*(1-'Inputs'!$B$24)*(0.5*((((678-43)*MAX('Inputs'!$B$33,'Inputs'!$B$29+'Inputs'!$B$31+'Inputs'!$B$32,'Inputs'!$B$30+'Inputs'!$B$31+'Inputs'!$B$32)/1000+'Inputs'!$B$21)+'Inputs'!$B$7)/SQRT((((678-43)*MAX('Inputs'!$B$33,'Inputs'!$B$29+'Inputs'!$B$31+'Inputs'!$B$32,'Inputs'!$B$30+'Inputs'!$B$31+'Inputs'!$B$32)/1000+'Inputs'!$B$21)+'Inputs'!$B$7)^2+('Inputs'!$B$6/2)^2)-(((678-43)*MAX('Inputs'!$B$33,'Inputs'!$B$29+'Inputs'!$B$31+'Inputs'!$B$32,'Inputs'!$B$30+'Inputs'!$B$31+'Inputs'!$B$32)/1000+'Inputs'!$B$21))/SQRT((((678-43)*MAX('Inputs'!$B$33,'Inputs'!$B$29+'Inputs'!$B$31+'Inputs'!$B$32,'Inputs'!$B$30+'Inputs'!$B$31+'Inputs'!$B$32)/1000+'Inputs'!$B$21))^2+('Inputs'!$B$6/2)^2)))-'Results'!C7*(1+'Inputs'!$B$24)*(0.5*((((678-43)*MAX('Inputs'!$B$33,'Inputs'!$B$29+'Inputs'!$B$31+'Inputs'!$B$32,'Inputs'!$B$30+'Inputs'!$B$31+'Inputs'!$B$32)/1000+'Inputs'!$B$21+'Inputs'!$B$7+'Inputs'!$B$10)+'Inputs'!$B$9)/SQRT((((678-43)*MAX('Inputs'!$B$33,'Inputs'!$B$29+'Inputs'!$B$31+'Inputs'!$B$32,'Inputs'!$B$30+'Inputs'!$B$31+'Inputs'!$B$32)/1000+'Inputs'!$B$21+'Inputs'!$B$7+'Inputs'!$B$10)+'Inputs'!$B$9)^2+('Inputs'!$B$8/2)^2)-(((678-43)*MAX('Inputs'!$B$33,'Inputs'!$B$29+'Inputs'!$B$31+'Inputs'!$B$32,'Inputs'!$B$30+'Inputs'!$B$31+'Inputs'!$B$32)/1000+'Inputs'!$B$21+'Inputs'!$B$7+'Inputs'!$B$10))/SQRT((((678-43)*MAX('Inputs'!$B$33,'Inputs'!$B$29+'Inputs'!$B$31+'Inputs'!$B$32,'Inputs'!$B$30+'Inputs'!$B$31+'Inputs'!$B$32)/1000+'Inputs'!$B$21+'Inputs'!$B$7+'Inputs'!$B$10))^2+('Inputs'!$B$8/2)^2))))*'Results'!$B$8))),"")</x:f>
        <x:v>1.5911442509517169</x:v>
      </x:c>
      <x:c r="L678" t="n">
        <x:f>IF(AND(ISNUMBER('Results'!B7),ISNUMBER('Results'!C7),ISNUMBER('Results'!$B$8),ISNUMBER('Inputs'!$B$6),ISNUMBER('Inputs'!$B$7),ISNUMBER('Inputs'!$B$8),ISNUMBER('Inputs'!$B$9),ISNUMBER('Inputs'!$B$10),ISNUMBER('Inputs'!$B$21),ISNUMBER('Inputs'!$B$24),ISNUMBER('Inputs'!$B$28)),((('Results'!B7*(1+'Inputs'!$B$24)*(0.5*((((678-43)*MAX('Inputs'!$B$33,'Inputs'!$B$29+'Inputs'!$B$31+'Inputs'!$B$32,'Inputs'!$B$30+'Inputs'!$B$31+'Inputs'!$B$32)/1000+'Inputs'!$B$21)+'Inputs'!$B$7)/SQRT((((678-43)*MAX('Inputs'!$B$33,'Inputs'!$B$29+'Inputs'!$B$31+'Inputs'!$B$32,'Inputs'!$B$30+'Inputs'!$B$31+'Inputs'!$B$32)/1000+'Inputs'!$B$21)+'Inputs'!$B$7)^2+('Inputs'!$B$6/2)^2)-(((678-43)*MAX('Inputs'!$B$33,'Inputs'!$B$29+'Inputs'!$B$31+'Inputs'!$B$32,'Inputs'!$B$30+'Inputs'!$B$31+'Inputs'!$B$32)/1000+'Inputs'!$B$21))/SQRT((((678-43)*MAX('Inputs'!$B$33,'Inputs'!$B$29+'Inputs'!$B$31+'Inputs'!$B$32,'Inputs'!$B$30+'Inputs'!$B$31+'Inputs'!$B$32)/1000+'Inputs'!$B$21))^2+('Inputs'!$B$6/2)^2)))-'Results'!C7*(1-'Inputs'!$B$24)*(0.5*((((678-43)*MAX('Inputs'!$B$33,'Inputs'!$B$29+'Inputs'!$B$31+'Inputs'!$B$32,'Inputs'!$B$30+'Inputs'!$B$31+'Inputs'!$B$32)/1000+'Inputs'!$B$21+'Inputs'!$B$7+'Inputs'!$B$10)+'Inputs'!$B$9)/SQRT((((678-43)*MAX('Inputs'!$B$33,'Inputs'!$B$29+'Inputs'!$B$31+'Inputs'!$B$32,'Inputs'!$B$30+'Inputs'!$B$31+'Inputs'!$B$32)/1000+'Inputs'!$B$21+'Inputs'!$B$7+'Inputs'!$B$10)+'Inputs'!$B$9)^2+('Inputs'!$B$8/2)^2)-(((678-43)*MAX('Inputs'!$B$33,'Inputs'!$B$29+'Inputs'!$B$31+'Inputs'!$B$32,'Inputs'!$B$30+'Inputs'!$B$31+'Inputs'!$B$32)/1000+'Inputs'!$B$21+'Inputs'!$B$7+'Inputs'!$B$10))/SQRT((((678-43)*MAX('Inputs'!$B$33,'Inputs'!$B$29+'Inputs'!$B$31+'Inputs'!$B$32,'Inputs'!$B$30+'Inputs'!$B$31+'Inputs'!$B$32)/1000+'Inputs'!$B$21+'Inputs'!$B$7+'Inputs'!$B$10))^2+('Inputs'!$B$8/2)^2))))*'Results'!$B$8)+'Inputs'!$B$28*ABS((('Results'!B7*(1+'Inputs'!$B$24)*(0.5*((((678-43)*MAX('Inputs'!$B$33,'Inputs'!$B$29+'Inputs'!$B$31+'Inputs'!$B$32,'Inputs'!$B$30+'Inputs'!$B$31+'Inputs'!$B$32)/1000+'Inputs'!$B$21)+'Inputs'!$B$7)/SQRT((((678-43)*MAX('Inputs'!$B$33,'Inputs'!$B$29+'Inputs'!$B$31+'Inputs'!$B$32,'Inputs'!$B$30+'Inputs'!$B$31+'Inputs'!$B$32)/1000+'Inputs'!$B$21)+'Inputs'!$B$7)^2+('Inputs'!$B$6/2)^2)-(((678-43)*MAX('Inputs'!$B$33,'Inputs'!$B$29+'Inputs'!$B$31+'Inputs'!$B$32,'Inputs'!$B$30+'Inputs'!$B$31+'Inputs'!$B$32)/1000+'Inputs'!$B$21))/SQRT((((678-43)*MAX('Inputs'!$B$33,'Inputs'!$B$29+'Inputs'!$B$31+'Inputs'!$B$32,'Inputs'!$B$30+'Inputs'!$B$31+'Inputs'!$B$32)/1000+'Inputs'!$B$21))^2+('Inputs'!$B$6/2)^2)))-'Results'!C7*(1-'Inputs'!$B$24)*(0.5*((((678-43)*MAX('Inputs'!$B$33,'Inputs'!$B$29+'Inputs'!$B$31+'Inputs'!$B$32,'Inputs'!$B$30+'Inputs'!$B$31+'Inputs'!$B$32)/1000+'Inputs'!$B$21+'Inputs'!$B$7+'Inputs'!$B$10)+'Inputs'!$B$9)/SQRT((((678-43)*MAX('Inputs'!$B$33,'Inputs'!$B$29+'Inputs'!$B$31+'Inputs'!$B$32,'Inputs'!$B$30+'Inputs'!$B$31+'Inputs'!$B$32)/1000+'Inputs'!$B$21+'Inputs'!$B$7+'Inputs'!$B$10)+'Inputs'!$B$9)^2+('Inputs'!$B$8/2)^2)-(((678-43)*MAX('Inputs'!$B$33,'Inputs'!$B$29+'Inputs'!$B$31+'Inputs'!$B$32,'Inputs'!$B$30+'Inputs'!$B$31+'Inputs'!$B$32)/1000+'Inputs'!$B$21+'Inputs'!$B$7+'Inputs'!$B$10))/SQRT((((678-43)*MAX('Inputs'!$B$33,'Inputs'!$B$29+'Inputs'!$B$31+'Inputs'!$B$32,'Inputs'!$B$30+'Inputs'!$B$31+'Inputs'!$B$32)/1000+'Inputs'!$B$21+'Inputs'!$B$7+'Inputs'!$B$10))^2+('Inputs'!$B$8/2)^2))))*'Results'!$B$8))),"")</x:f>
        <x:v>2.072156853753893</x:v>
      </x:c>
      <x:c r="M678" t="n">
        <x:f>IF(AND(ISNUMBER('Results'!C7),ISNUMBER('Results'!B7),ISNUMBER('Results'!$B$8),ISNUMBER('Inputs'!$B$6),ISNUMBER('Inputs'!$B$7),ISNUMBER('Inputs'!$B$8),ISNUMBER('Inputs'!$B$9),ISNUMBER('Inputs'!$B$10),ISNUMBER('Inputs'!$B$21),ISNUMBER('Inputs'!$B$24),ISNUMBER('Inputs'!$B$28)),(('Results'!C7*(0.5*((((678-43)*MAX('Inputs'!$B$33,'Inputs'!$B$29+'Inputs'!$B$31+'Inputs'!$B$32,'Inputs'!$B$30+'Inputs'!$B$31+'Inputs'!$B$32)/1000+'Inputs'!$B$21)+'Inputs'!$B$9)/SQRT((((678-43)*MAX('Inputs'!$B$33,'Inputs'!$B$29+'Inputs'!$B$31+'Inputs'!$B$32,'Inputs'!$B$30+'Inputs'!$B$31+'Inputs'!$B$32)/1000+'Inputs'!$B$21)+'Inputs'!$B$9)^2+('Inputs'!$B$8/2)^2)-(((678-43)*MAX('Inputs'!$B$33,'Inputs'!$B$29+'Inputs'!$B$31+'Inputs'!$B$32,'Inputs'!$B$30+'Inputs'!$B$31+'Inputs'!$B$32)/1000+'Inputs'!$B$21))/SQRT((((678-43)*MAX('Inputs'!$B$33,'Inputs'!$B$29+'Inputs'!$B$31+'Inputs'!$B$32,'Inputs'!$B$30+'Inputs'!$B$31+'Inputs'!$B$32)/1000+'Inputs'!$B$21))^2+('Inputs'!$B$8/2)^2)))-'Results'!B7*(0.5*((((678-43)*MAX('Inputs'!$B$33,'Inputs'!$B$29+'Inputs'!$B$31+'Inputs'!$B$32,'Inputs'!$B$30+'Inputs'!$B$31+'Inputs'!$B$32)/1000+'Inputs'!$B$21+'Inputs'!$B$9+'Inputs'!$B$10)+'Inputs'!$B$7)/SQRT((((678-43)*MAX('Inputs'!$B$33,'Inputs'!$B$29+'Inputs'!$B$31+'Inputs'!$B$32,'Inputs'!$B$30+'Inputs'!$B$31+'Inputs'!$B$32)/1000+'Inputs'!$B$21+'Inputs'!$B$9+'Inputs'!$B$10)+'Inputs'!$B$7)^2+('Inputs'!$B$6/2)^2)-(((678-43)*MAX('Inputs'!$B$33,'Inputs'!$B$29+'Inputs'!$B$31+'Inputs'!$B$32,'Inputs'!$B$30+'Inputs'!$B$31+'Inputs'!$B$32)/1000+'Inputs'!$B$21+'Inputs'!$B$9+'Inputs'!$B$10))/SQRT((((678-43)*MAX('Inputs'!$B$33,'Inputs'!$B$29+'Inputs'!$B$31+'Inputs'!$B$32,'Inputs'!$B$30+'Inputs'!$B$31+'Inputs'!$B$32)/1000+'Inputs'!$B$21+'Inputs'!$B$9+'Inputs'!$B$10))^2+('Inputs'!$B$6/2)^2))))*'Results'!$B$8),"")</x:f>
        <x:v>1.6737375290664815</x:v>
      </x:c>
      <x:c r="N678" t="n">
        <x:f>IF(AND(ISNUMBER('Results'!C7),ISNUMBER('Results'!B7),ISNUMBER('Results'!$B$8),ISNUMBER('Inputs'!$B$6),ISNUMBER('Inputs'!$B$7),ISNUMBER('Inputs'!$B$8),ISNUMBER('Inputs'!$B$9),ISNUMBER('Inputs'!$B$10),ISNUMBER('Inputs'!$B$21),ISNUMBER('Inputs'!$B$24),ISNUMBER('Inputs'!$B$28)),((('Results'!C7*(1-'Inputs'!$B$24)*(0.5*((((678-43)*MAX('Inputs'!$B$33,'Inputs'!$B$29+'Inputs'!$B$31+'Inputs'!$B$32,'Inputs'!$B$30+'Inputs'!$B$31+'Inputs'!$B$32)/1000+'Inputs'!$B$21)+'Inputs'!$B$9)/SQRT((((678-43)*MAX('Inputs'!$B$33,'Inputs'!$B$29+'Inputs'!$B$31+'Inputs'!$B$32,'Inputs'!$B$30+'Inputs'!$B$31+'Inputs'!$B$32)/1000+'Inputs'!$B$21)+'Inputs'!$B$9)^2+('Inputs'!$B$8/2)^2)-(((678-43)*MAX('Inputs'!$B$33,'Inputs'!$B$29+'Inputs'!$B$31+'Inputs'!$B$32,'Inputs'!$B$30+'Inputs'!$B$31+'Inputs'!$B$32)/1000+'Inputs'!$B$21))/SQRT((((678-43)*MAX('Inputs'!$B$33,'Inputs'!$B$29+'Inputs'!$B$31+'Inputs'!$B$32,'Inputs'!$B$30+'Inputs'!$B$31+'Inputs'!$B$32)/1000+'Inputs'!$B$21))^2+('Inputs'!$B$8/2)^2)))-'Results'!B7*(1+'Inputs'!$B$24)*(0.5*((((678-43)*MAX('Inputs'!$B$33,'Inputs'!$B$29+'Inputs'!$B$31+'Inputs'!$B$32,'Inputs'!$B$30+'Inputs'!$B$31+'Inputs'!$B$32)/1000+'Inputs'!$B$21+'Inputs'!$B$9+'Inputs'!$B$10)+'Inputs'!$B$7)/SQRT((((678-43)*MAX('Inputs'!$B$33,'Inputs'!$B$29+'Inputs'!$B$31+'Inputs'!$B$32,'Inputs'!$B$30+'Inputs'!$B$31+'Inputs'!$B$32)/1000+'Inputs'!$B$21+'Inputs'!$B$9+'Inputs'!$B$10)+'Inputs'!$B$7)^2+('Inputs'!$B$6/2)^2)-(((678-43)*MAX('Inputs'!$B$33,'Inputs'!$B$29+'Inputs'!$B$31+'Inputs'!$B$32,'Inputs'!$B$30+'Inputs'!$B$31+'Inputs'!$B$32)/1000+'Inputs'!$B$21+'Inputs'!$B$9+'Inputs'!$B$10))/SQRT((((678-43)*MAX('Inputs'!$B$33,'Inputs'!$B$29+'Inputs'!$B$31+'Inputs'!$B$32,'Inputs'!$B$30+'Inputs'!$B$31+'Inputs'!$B$32)/1000+'Inputs'!$B$21+'Inputs'!$B$9+'Inputs'!$B$10))^2+('Inputs'!$B$6/2)^2))))*'Results'!$B$8)-'Inputs'!$B$28*ABS((('Results'!C7*(1-'Inputs'!$B$24)*(0.5*((((678-43)*MAX('Inputs'!$B$33,'Inputs'!$B$29+'Inputs'!$B$31+'Inputs'!$B$32,'Inputs'!$B$30+'Inputs'!$B$31+'Inputs'!$B$32)/1000+'Inputs'!$B$21)+'Inputs'!$B$9)/SQRT((((678-43)*MAX('Inputs'!$B$33,'Inputs'!$B$29+'Inputs'!$B$31+'Inputs'!$B$32,'Inputs'!$B$30+'Inputs'!$B$31+'Inputs'!$B$32)/1000+'Inputs'!$B$21)+'Inputs'!$B$9)^2+('Inputs'!$B$8/2)^2)-(((678-43)*MAX('Inputs'!$B$33,'Inputs'!$B$29+'Inputs'!$B$31+'Inputs'!$B$32,'Inputs'!$B$30+'Inputs'!$B$31+'Inputs'!$B$32)/1000+'Inputs'!$B$21))/SQRT((((678-43)*MAX('Inputs'!$B$33,'Inputs'!$B$29+'Inputs'!$B$31+'Inputs'!$B$32,'Inputs'!$B$30+'Inputs'!$B$31+'Inputs'!$B$32)/1000+'Inputs'!$B$21))^2+('Inputs'!$B$8/2)^2)))-'Results'!B7*(1+'Inputs'!$B$24)*(0.5*((((678-43)*MAX('Inputs'!$B$33,'Inputs'!$B$29+'Inputs'!$B$31+'Inputs'!$B$32,'Inputs'!$B$30+'Inputs'!$B$31+'Inputs'!$B$32)/1000+'Inputs'!$B$21+'Inputs'!$B$9+'Inputs'!$B$10)+'Inputs'!$B$7)/SQRT((((678-43)*MAX('Inputs'!$B$33,'Inputs'!$B$29+'Inputs'!$B$31+'Inputs'!$B$32,'Inputs'!$B$30+'Inputs'!$B$31+'Inputs'!$B$32)/1000+'Inputs'!$B$21+'Inputs'!$B$9+'Inputs'!$B$10)+'Inputs'!$B$7)^2+('Inputs'!$B$6/2)^2)-(((678-43)*MAX('Inputs'!$B$33,'Inputs'!$B$29+'Inputs'!$B$31+'Inputs'!$B$32,'Inputs'!$B$30+'Inputs'!$B$31+'Inputs'!$B$32)/1000+'Inputs'!$B$21+'Inputs'!$B$9+'Inputs'!$B$10))/SQRT((((678-43)*MAX('Inputs'!$B$33,'Inputs'!$B$29+'Inputs'!$B$31+'Inputs'!$B$32,'Inputs'!$B$30+'Inputs'!$B$31+'Inputs'!$B$32)/1000+'Inputs'!$B$21+'Inputs'!$B$9+'Inputs'!$B$10))^2+('Inputs'!$B$6/2)^2))))*'Results'!$B$8))),"")</x:f>
        <x:v>1.4488898057049258</x:v>
      </x:c>
      <x:c r="O678" t="n">
        <x:f>IF(AND(ISNUMBER('Results'!C7),ISNUMBER('Results'!B7),ISNUMBER('Results'!$B$8),ISNUMBER('Inputs'!$B$6),ISNUMBER('Inputs'!$B$7),ISNUMBER('Inputs'!$B$8),ISNUMBER('Inputs'!$B$9),ISNUMBER('Inputs'!$B$10),ISNUMBER('Inputs'!$B$21),ISNUMBER('Inputs'!$B$24),ISNUMBER('Inputs'!$B$28)),((('Results'!C7*(1+'Inputs'!$B$24)*(0.5*((((678-43)*MAX('Inputs'!$B$33,'Inputs'!$B$29+'Inputs'!$B$31+'Inputs'!$B$32,'Inputs'!$B$30+'Inputs'!$B$31+'Inputs'!$B$32)/1000+'Inputs'!$B$21)+'Inputs'!$B$9)/SQRT((((678-43)*MAX('Inputs'!$B$33,'Inputs'!$B$29+'Inputs'!$B$31+'Inputs'!$B$32,'Inputs'!$B$30+'Inputs'!$B$31+'Inputs'!$B$32)/1000+'Inputs'!$B$21)+'Inputs'!$B$9)^2+('Inputs'!$B$8/2)^2)-(((678-43)*MAX('Inputs'!$B$33,'Inputs'!$B$29+'Inputs'!$B$31+'Inputs'!$B$32,'Inputs'!$B$30+'Inputs'!$B$31+'Inputs'!$B$32)/1000+'Inputs'!$B$21))/SQRT((((678-43)*MAX('Inputs'!$B$33,'Inputs'!$B$29+'Inputs'!$B$31+'Inputs'!$B$32,'Inputs'!$B$30+'Inputs'!$B$31+'Inputs'!$B$32)/1000+'Inputs'!$B$21))^2+('Inputs'!$B$8/2)^2)))-'Results'!B7*(1-'Inputs'!$B$24)*(0.5*((((678-43)*MAX('Inputs'!$B$33,'Inputs'!$B$29+'Inputs'!$B$31+'Inputs'!$B$32,'Inputs'!$B$30+'Inputs'!$B$31+'Inputs'!$B$32)/1000+'Inputs'!$B$21+'Inputs'!$B$9+'Inputs'!$B$10)+'Inputs'!$B$7)/SQRT((((678-43)*MAX('Inputs'!$B$33,'Inputs'!$B$29+'Inputs'!$B$31+'Inputs'!$B$32,'Inputs'!$B$30+'Inputs'!$B$31+'Inputs'!$B$32)/1000+'Inputs'!$B$21+'Inputs'!$B$9+'Inputs'!$B$10)+'Inputs'!$B$7)^2+('Inputs'!$B$6/2)^2)-(((678-43)*MAX('Inputs'!$B$33,'Inputs'!$B$29+'Inputs'!$B$31+'Inputs'!$B$32,'Inputs'!$B$30+'Inputs'!$B$31+'Inputs'!$B$32)/1000+'Inputs'!$B$21+'Inputs'!$B$9+'Inputs'!$B$10))/SQRT((((678-43)*MAX('Inputs'!$B$33,'Inputs'!$B$29+'Inputs'!$B$31+'Inputs'!$B$32,'Inputs'!$B$30+'Inputs'!$B$31+'Inputs'!$B$32)/1000+'Inputs'!$B$21+'Inputs'!$B$9+'Inputs'!$B$10))^2+('Inputs'!$B$6/2)^2))))*'Results'!$B$8)+'Inputs'!$B$28*ABS((('Results'!C7*(1+'Inputs'!$B$24)*(0.5*((((678-43)*MAX('Inputs'!$B$33,'Inputs'!$B$29+'Inputs'!$B$31+'Inputs'!$B$32,'Inputs'!$B$30+'Inputs'!$B$31+'Inputs'!$B$32)/1000+'Inputs'!$B$21)+'Inputs'!$B$9)/SQRT((((678-43)*MAX('Inputs'!$B$33,'Inputs'!$B$29+'Inputs'!$B$31+'Inputs'!$B$32,'Inputs'!$B$30+'Inputs'!$B$31+'Inputs'!$B$32)/1000+'Inputs'!$B$21)+'Inputs'!$B$9)^2+('Inputs'!$B$8/2)^2)-(((678-43)*MAX('Inputs'!$B$33,'Inputs'!$B$29+'Inputs'!$B$31+'Inputs'!$B$32,'Inputs'!$B$30+'Inputs'!$B$31+'Inputs'!$B$32)/1000+'Inputs'!$B$21))/SQRT((((678-43)*MAX('Inputs'!$B$33,'Inputs'!$B$29+'Inputs'!$B$31+'Inputs'!$B$32,'Inputs'!$B$30+'Inputs'!$B$31+'Inputs'!$B$32)/1000+'Inputs'!$B$21))^2+('Inputs'!$B$8/2)^2)))-'Results'!B7*(1-'Inputs'!$B$24)*(0.5*((((678-43)*MAX('Inputs'!$B$33,'Inputs'!$B$29+'Inputs'!$B$31+'Inputs'!$B$32,'Inputs'!$B$30+'Inputs'!$B$31+'Inputs'!$B$32)/1000+'Inputs'!$B$21+'Inputs'!$B$9+'Inputs'!$B$10)+'Inputs'!$B$7)/SQRT((((678-43)*MAX('Inputs'!$B$33,'Inputs'!$B$29+'Inputs'!$B$31+'Inputs'!$B$32,'Inputs'!$B$30+'Inputs'!$B$31+'Inputs'!$B$32)/1000+'Inputs'!$B$21+'Inputs'!$B$9+'Inputs'!$B$10)+'Inputs'!$B$7)^2+('Inputs'!$B$6/2)^2)-(((678-43)*MAX('Inputs'!$B$33,'Inputs'!$B$29+'Inputs'!$B$31+'Inputs'!$B$32,'Inputs'!$B$30+'Inputs'!$B$31+'Inputs'!$B$32)/1000+'Inputs'!$B$21+'Inputs'!$B$9+'Inputs'!$B$10))/SQRT((((678-43)*MAX('Inputs'!$B$33,'Inputs'!$B$29+'Inputs'!$B$31+'Inputs'!$B$32,'Inputs'!$B$30+'Inputs'!$B$31+'Inputs'!$B$32)/1000+'Inputs'!$B$21+'Inputs'!$B$9+'Inputs'!$B$10))^2+('Inputs'!$B$6/2)^2))))*'Results'!$B$8))),"")</x:f>
        <x:v>1.9134442889446948</x:v>
      </x:c>
      <x:c r="P678" t="n">
        <x:f>IF(AND(MAX(J678,J677)&gt;0,J678&gt;J677+0.00000001),1,0)</x:f>
        <x:v>0</x:v>
      </x:c>
      <x:c r="Q678" t="n">
        <x:f>IF(AND(MAX(K678,K677)&gt;0,K678&gt;K677+0.00000001),1,0)</x:f>
        <x:v>0</x:v>
      </x:c>
      <x:c r="R678" t="n">
        <x:f>IF(AND(MAX(L678,L677)&gt;0,L678&gt;L677+0.00000001),1,0)</x:f>
        <x:v>0</x:v>
      </x:c>
      <x:c r="S678" t="n">
        <x:f>IF(AND(MAX(M678,M677)&gt;0,M678&gt;M677+0.00000001),1,0)</x:f>
        <x:v>0</x:v>
      </x:c>
      <x:c r="T678" t="n">
        <x:f>IF(AND(MAX(N678,N677)&gt;0,N678&gt;N677+0.00000001),1,0)</x:f>
        <x:v>0</x:v>
      </x:c>
      <x:c r="U678" t="n">
        <x:f>IF(AND(MAX(O678,O677)&gt;0,O678&gt;O677+0.00000001),1,0)</x:f>
        <x:v>0</x:v>
      </x:c>
    </x:row>
    <x:row r="679">
      <x:c r="J679" t="n">
        <x:f>IF(AND(ISNUMBER('Results'!B7),ISNUMBER('Results'!C7),ISNUMBER('Results'!$B$8),ISNUMBER('Inputs'!$B$6),ISNUMBER('Inputs'!$B$7),ISNUMBER('Inputs'!$B$8),ISNUMBER('Inputs'!$B$9),ISNUMBER('Inputs'!$B$10),ISNUMBER('Inputs'!$B$21),ISNUMBER('Inputs'!$B$24),ISNUMBER('Inputs'!$B$28)),(('Results'!B7*(0.5*((((679-43)*MAX('Inputs'!$B$33,'Inputs'!$B$29+'Inputs'!$B$31+'Inputs'!$B$32,'Inputs'!$B$30+'Inputs'!$B$31+'Inputs'!$B$32)/1000+'Inputs'!$B$21)+'Inputs'!$B$7)/SQRT((((679-43)*MAX('Inputs'!$B$33,'Inputs'!$B$29+'Inputs'!$B$31+'Inputs'!$B$32,'Inputs'!$B$30+'Inputs'!$B$31+'Inputs'!$B$32)/1000+'Inputs'!$B$21)+'Inputs'!$B$7)^2+('Inputs'!$B$6/2)^2)-(((679-43)*MAX('Inputs'!$B$33,'Inputs'!$B$29+'Inputs'!$B$31+'Inputs'!$B$32,'Inputs'!$B$30+'Inputs'!$B$31+'Inputs'!$B$32)/1000+'Inputs'!$B$21))/SQRT((((679-43)*MAX('Inputs'!$B$33,'Inputs'!$B$29+'Inputs'!$B$31+'Inputs'!$B$32,'Inputs'!$B$30+'Inputs'!$B$31+'Inputs'!$B$32)/1000+'Inputs'!$B$21))^2+('Inputs'!$B$6/2)^2)))-'Results'!C7*(0.5*((((679-43)*MAX('Inputs'!$B$33,'Inputs'!$B$29+'Inputs'!$B$31+'Inputs'!$B$32,'Inputs'!$B$30+'Inputs'!$B$31+'Inputs'!$B$32)/1000+'Inputs'!$B$21+'Inputs'!$B$7+'Inputs'!$B$10)+'Inputs'!$B$9)/SQRT((((679-43)*MAX('Inputs'!$B$33,'Inputs'!$B$29+'Inputs'!$B$31+'Inputs'!$B$32,'Inputs'!$B$30+'Inputs'!$B$31+'Inputs'!$B$32)/1000+'Inputs'!$B$21+'Inputs'!$B$7+'Inputs'!$B$10)+'Inputs'!$B$9)^2+('Inputs'!$B$8/2)^2)-(((679-43)*MAX('Inputs'!$B$33,'Inputs'!$B$29+'Inputs'!$B$31+'Inputs'!$B$32,'Inputs'!$B$30+'Inputs'!$B$31+'Inputs'!$B$32)/1000+'Inputs'!$B$21+'Inputs'!$B$7+'Inputs'!$B$10))/SQRT((((679-43)*MAX('Inputs'!$B$33,'Inputs'!$B$29+'Inputs'!$B$31+'Inputs'!$B$32,'Inputs'!$B$30+'Inputs'!$B$31+'Inputs'!$B$32)/1000+'Inputs'!$B$21+'Inputs'!$B$7+'Inputs'!$B$10))^2+('Inputs'!$B$8/2)^2))))*'Results'!$B$8),"")</x:f>
        <x:v>1.8141152571414199</x:v>
      </x:c>
      <x:c r="K679" t="n">
        <x:f>IF(AND(ISNUMBER('Results'!B7),ISNUMBER('Results'!C7),ISNUMBER('Results'!$B$8),ISNUMBER('Inputs'!$B$6),ISNUMBER('Inputs'!$B$7),ISNUMBER('Inputs'!$B$8),ISNUMBER('Inputs'!$B$9),ISNUMBER('Inputs'!$B$10),ISNUMBER('Inputs'!$B$21),ISNUMBER('Inputs'!$B$24),ISNUMBER('Inputs'!$B$28)),((('Results'!B7*(1-'Inputs'!$B$24)*(0.5*((((679-43)*MAX('Inputs'!$B$33,'Inputs'!$B$29+'Inputs'!$B$31+'Inputs'!$B$32,'Inputs'!$B$30+'Inputs'!$B$31+'Inputs'!$B$32)/1000+'Inputs'!$B$21)+'Inputs'!$B$7)/SQRT((((679-43)*MAX('Inputs'!$B$33,'Inputs'!$B$29+'Inputs'!$B$31+'Inputs'!$B$32,'Inputs'!$B$30+'Inputs'!$B$31+'Inputs'!$B$32)/1000+'Inputs'!$B$21)+'Inputs'!$B$7)^2+('Inputs'!$B$6/2)^2)-(((679-43)*MAX('Inputs'!$B$33,'Inputs'!$B$29+'Inputs'!$B$31+'Inputs'!$B$32,'Inputs'!$B$30+'Inputs'!$B$31+'Inputs'!$B$32)/1000+'Inputs'!$B$21))/SQRT((((679-43)*MAX('Inputs'!$B$33,'Inputs'!$B$29+'Inputs'!$B$31+'Inputs'!$B$32,'Inputs'!$B$30+'Inputs'!$B$31+'Inputs'!$B$32)/1000+'Inputs'!$B$21))^2+('Inputs'!$B$6/2)^2)))-'Results'!C7*(1+'Inputs'!$B$24)*(0.5*((((679-43)*MAX('Inputs'!$B$33,'Inputs'!$B$29+'Inputs'!$B$31+'Inputs'!$B$32,'Inputs'!$B$30+'Inputs'!$B$31+'Inputs'!$B$32)/1000+'Inputs'!$B$21+'Inputs'!$B$7+'Inputs'!$B$10)+'Inputs'!$B$9)/SQRT((((679-43)*MAX('Inputs'!$B$33,'Inputs'!$B$29+'Inputs'!$B$31+'Inputs'!$B$32,'Inputs'!$B$30+'Inputs'!$B$31+'Inputs'!$B$32)/1000+'Inputs'!$B$21+'Inputs'!$B$7+'Inputs'!$B$10)+'Inputs'!$B$9)^2+('Inputs'!$B$8/2)^2)-(((679-43)*MAX('Inputs'!$B$33,'Inputs'!$B$29+'Inputs'!$B$31+'Inputs'!$B$32,'Inputs'!$B$30+'Inputs'!$B$31+'Inputs'!$B$32)/1000+'Inputs'!$B$21+'Inputs'!$B$7+'Inputs'!$B$10))/SQRT((((679-43)*MAX('Inputs'!$B$33,'Inputs'!$B$29+'Inputs'!$B$31+'Inputs'!$B$32,'Inputs'!$B$30+'Inputs'!$B$31+'Inputs'!$B$32)/1000+'Inputs'!$B$21+'Inputs'!$B$7+'Inputs'!$B$10))^2+('Inputs'!$B$8/2)^2))))*'Results'!$B$8)-'Inputs'!$B$28*ABS((('Results'!B7*(1-'Inputs'!$B$24)*(0.5*((((679-43)*MAX('Inputs'!$B$33,'Inputs'!$B$29+'Inputs'!$B$31+'Inputs'!$B$32,'Inputs'!$B$30+'Inputs'!$B$31+'Inputs'!$B$32)/1000+'Inputs'!$B$21)+'Inputs'!$B$7)/SQRT((((679-43)*MAX('Inputs'!$B$33,'Inputs'!$B$29+'Inputs'!$B$31+'Inputs'!$B$32,'Inputs'!$B$30+'Inputs'!$B$31+'Inputs'!$B$32)/1000+'Inputs'!$B$21)+'Inputs'!$B$7)^2+('Inputs'!$B$6/2)^2)-(((679-43)*MAX('Inputs'!$B$33,'Inputs'!$B$29+'Inputs'!$B$31+'Inputs'!$B$32,'Inputs'!$B$30+'Inputs'!$B$31+'Inputs'!$B$32)/1000+'Inputs'!$B$21))/SQRT((((679-43)*MAX('Inputs'!$B$33,'Inputs'!$B$29+'Inputs'!$B$31+'Inputs'!$B$32,'Inputs'!$B$30+'Inputs'!$B$31+'Inputs'!$B$32)/1000+'Inputs'!$B$21))^2+('Inputs'!$B$6/2)^2)))-'Results'!C7*(1+'Inputs'!$B$24)*(0.5*((((679-43)*MAX('Inputs'!$B$33,'Inputs'!$B$29+'Inputs'!$B$31+'Inputs'!$B$32,'Inputs'!$B$30+'Inputs'!$B$31+'Inputs'!$B$32)/1000+'Inputs'!$B$21+'Inputs'!$B$7+'Inputs'!$B$10)+'Inputs'!$B$9)/SQRT((((679-43)*MAX('Inputs'!$B$33,'Inputs'!$B$29+'Inputs'!$B$31+'Inputs'!$B$32,'Inputs'!$B$30+'Inputs'!$B$31+'Inputs'!$B$32)/1000+'Inputs'!$B$21+'Inputs'!$B$7+'Inputs'!$B$10)+'Inputs'!$B$9)^2+('Inputs'!$B$8/2)^2)-(((679-43)*MAX('Inputs'!$B$33,'Inputs'!$B$29+'Inputs'!$B$31+'Inputs'!$B$32,'Inputs'!$B$30+'Inputs'!$B$31+'Inputs'!$B$32)/1000+'Inputs'!$B$21+'Inputs'!$B$7+'Inputs'!$B$10))/SQRT((((679-43)*MAX('Inputs'!$B$33,'Inputs'!$B$29+'Inputs'!$B$31+'Inputs'!$B$32,'Inputs'!$B$30+'Inputs'!$B$31+'Inputs'!$B$32)/1000+'Inputs'!$B$21+'Inputs'!$B$7+'Inputs'!$B$10))^2+('Inputs'!$B$8/2)^2))))*'Results'!$B$8))),"")</x:f>
        <x:v>1.5821813721389795</x:v>
      </x:c>
      <x:c r="L679" t="n">
        <x:f>IF(AND(ISNUMBER('Results'!B7),ISNUMBER('Results'!C7),ISNUMBER('Results'!$B$8),ISNUMBER('Inputs'!$B$6),ISNUMBER('Inputs'!$B$7),ISNUMBER('Inputs'!$B$8),ISNUMBER('Inputs'!$B$9),ISNUMBER('Inputs'!$B$10),ISNUMBER('Inputs'!$B$21),ISNUMBER('Inputs'!$B$24),ISNUMBER('Inputs'!$B$28)),((('Results'!B7*(1+'Inputs'!$B$24)*(0.5*((((679-43)*MAX('Inputs'!$B$33,'Inputs'!$B$29+'Inputs'!$B$31+'Inputs'!$B$32,'Inputs'!$B$30+'Inputs'!$B$31+'Inputs'!$B$32)/1000+'Inputs'!$B$21)+'Inputs'!$B$7)/SQRT((((679-43)*MAX('Inputs'!$B$33,'Inputs'!$B$29+'Inputs'!$B$31+'Inputs'!$B$32,'Inputs'!$B$30+'Inputs'!$B$31+'Inputs'!$B$32)/1000+'Inputs'!$B$21)+'Inputs'!$B$7)^2+('Inputs'!$B$6/2)^2)-(((679-43)*MAX('Inputs'!$B$33,'Inputs'!$B$29+'Inputs'!$B$31+'Inputs'!$B$32,'Inputs'!$B$30+'Inputs'!$B$31+'Inputs'!$B$32)/1000+'Inputs'!$B$21))/SQRT((((679-43)*MAX('Inputs'!$B$33,'Inputs'!$B$29+'Inputs'!$B$31+'Inputs'!$B$32,'Inputs'!$B$30+'Inputs'!$B$31+'Inputs'!$B$32)/1000+'Inputs'!$B$21))^2+('Inputs'!$B$6/2)^2)))-'Results'!C7*(1-'Inputs'!$B$24)*(0.5*((((679-43)*MAX('Inputs'!$B$33,'Inputs'!$B$29+'Inputs'!$B$31+'Inputs'!$B$32,'Inputs'!$B$30+'Inputs'!$B$31+'Inputs'!$B$32)/1000+'Inputs'!$B$21+'Inputs'!$B$7+'Inputs'!$B$10)+'Inputs'!$B$9)/SQRT((((679-43)*MAX('Inputs'!$B$33,'Inputs'!$B$29+'Inputs'!$B$31+'Inputs'!$B$32,'Inputs'!$B$30+'Inputs'!$B$31+'Inputs'!$B$32)/1000+'Inputs'!$B$21+'Inputs'!$B$7+'Inputs'!$B$10)+'Inputs'!$B$9)^2+('Inputs'!$B$8/2)^2)-(((679-43)*MAX('Inputs'!$B$33,'Inputs'!$B$29+'Inputs'!$B$31+'Inputs'!$B$32,'Inputs'!$B$30+'Inputs'!$B$31+'Inputs'!$B$32)/1000+'Inputs'!$B$21+'Inputs'!$B$7+'Inputs'!$B$10))/SQRT((((679-43)*MAX('Inputs'!$B$33,'Inputs'!$B$29+'Inputs'!$B$31+'Inputs'!$B$32,'Inputs'!$B$30+'Inputs'!$B$31+'Inputs'!$B$32)/1000+'Inputs'!$B$21+'Inputs'!$B$7+'Inputs'!$B$10))^2+('Inputs'!$B$8/2)^2))))*'Results'!$B$8)+'Inputs'!$B$28*ABS((('Results'!B7*(1+'Inputs'!$B$24)*(0.5*((((679-43)*MAX('Inputs'!$B$33,'Inputs'!$B$29+'Inputs'!$B$31+'Inputs'!$B$32,'Inputs'!$B$30+'Inputs'!$B$31+'Inputs'!$B$32)/1000+'Inputs'!$B$21)+'Inputs'!$B$7)/SQRT((((679-43)*MAX('Inputs'!$B$33,'Inputs'!$B$29+'Inputs'!$B$31+'Inputs'!$B$32,'Inputs'!$B$30+'Inputs'!$B$31+'Inputs'!$B$32)/1000+'Inputs'!$B$21)+'Inputs'!$B$7)^2+('Inputs'!$B$6/2)^2)-(((679-43)*MAX('Inputs'!$B$33,'Inputs'!$B$29+'Inputs'!$B$31+'Inputs'!$B$32,'Inputs'!$B$30+'Inputs'!$B$31+'Inputs'!$B$32)/1000+'Inputs'!$B$21))/SQRT((((679-43)*MAX('Inputs'!$B$33,'Inputs'!$B$29+'Inputs'!$B$31+'Inputs'!$B$32,'Inputs'!$B$30+'Inputs'!$B$31+'Inputs'!$B$32)/1000+'Inputs'!$B$21))^2+('Inputs'!$B$6/2)^2)))-'Results'!C7*(1-'Inputs'!$B$24)*(0.5*((((679-43)*MAX('Inputs'!$B$33,'Inputs'!$B$29+'Inputs'!$B$31+'Inputs'!$B$32,'Inputs'!$B$30+'Inputs'!$B$31+'Inputs'!$B$32)/1000+'Inputs'!$B$21+'Inputs'!$B$7+'Inputs'!$B$10)+'Inputs'!$B$9)/SQRT((((679-43)*MAX('Inputs'!$B$33,'Inputs'!$B$29+'Inputs'!$B$31+'Inputs'!$B$32,'Inputs'!$B$30+'Inputs'!$B$31+'Inputs'!$B$32)/1000+'Inputs'!$B$21+'Inputs'!$B$7+'Inputs'!$B$10)+'Inputs'!$B$9)^2+('Inputs'!$B$8/2)^2)-(((679-43)*MAX('Inputs'!$B$33,'Inputs'!$B$29+'Inputs'!$B$31+'Inputs'!$B$32,'Inputs'!$B$30+'Inputs'!$B$31+'Inputs'!$B$32)/1000+'Inputs'!$B$21+'Inputs'!$B$7+'Inputs'!$B$10))/SQRT((((679-43)*MAX('Inputs'!$B$33,'Inputs'!$B$29+'Inputs'!$B$31+'Inputs'!$B$32,'Inputs'!$B$30+'Inputs'!$B$31+'Inputs'!$B$32)/1000+'Inputs'!$B$21+'Inputs'!$B$7+'Inputs'!$B$10))^2+('Inputs'!$B$8/2)^2))))*'Results'!$B$8))),"")</x:f>
        <x:v>2.060915260264427</x:v>
      </x:c>
      <x:c r="M679" t="n">
        <x:f>IF(AND(ISNUMBER('Results'!C7),ISNUMBER('Results'!B7),ISNUMBER('Results'!$B$8),ISNUMBER('Inputs'!$B$6),ISNUMBER('Inputs'!$B$7),ISNUMBER('Inputs'!$B$8),ISNUMBER('Inputs'!$B$9),ISNUMBER('Inputs'!$B$10),ISNUMBER('Inputs'!$B$21),ISNUMBER('Inputs'!$B$24),ISNUMBER('Inputs'!$B$28)),(('Results'!C7*(0.5*((((679-43)*MAX('Inputs'!$B$33,'Inputs'!$B$29+'Inputs'!$B$31+'Inputs'!$B$32,'Inputs'!$B$30+'Inputs'!$B$31+'Inputs'!$B$32)/1000+'Inputs'!$B$21)+'Inputs'!$B$9)/SQRT((((679-43)*MAX('Inputs'!$B$33,'Inputs'!$B$29+'Inputs'!$B$31+'Inputs'!$B$32,'Inputs'!$B$30+'Inputs'!$B$31+'Inputs'!$B$32)/1000+'Inputs'!$B$21)+'Inputs'!$B$9)^2+('Inputs'!$B$8/2)^2)-(((679-43)*MAX('Inputs'!$B$33,'Inputs'!$B$29+'Inputs'!$B$31+'Inputs'!$B$32,'Inputs'!$B$30+'Inputs'!$B$31+'Inputs'!$B$32)/1000+'Inputs'!$B$21))/SQRT((((679-43)*MAX('Inputs'!$B$33,'Inputs'!$B$29+'Inputs'!$B$31+'Inputs'!$B$32,'Inputs'!$B$30+'Inputs'!$B$31+'Inputs'!$B$32)/1000+'Inputs'!$B$21))^2+('Inputs'!$B$8/2)^2)))-'Results'!B7*(0.5*((((679-43)*MAX('Inputs'!$B$33,'Inputs'!$B$29+'Inputs'!$B$31+'Inputs'!$B$32,'Inputs'!$B$30+'Inputs'!$B$31+'Inputs'!$B$32)/1000+'Inputs'!$B$21+'Inputs'!$B$9+'Inputs'!$B$10)+'Inputs'!$B$7)/SQRT((((679-43)*MAX('Inputs'!$B$33,'Inputs'!$B$29+'Inputs'!$B$31+'Inputs'!$B$32,'Inputs'!$B$30+'Inputs'!$B$31+'Inputs'!$B$32)/1000+'Inputs'!$B$21+'Inputs'!$B$9+'Inputs'!$B$10)+'Inputs'!$B$7)^2+('Inputs'!$B$6/2)^2)-(((679-43)*MAX('Inputs'!$B$33,'Inputs'!$B$29+'Inputs'!$B$31+'Inputs'!$B$32,'Inputs'!$B$30+'Inputs'!$B$31+'Inputs'!$B$32)/1000+'Inputs'!$B$21+'Inputs'!$B$9+'Inputs'!$B$10))/SQRT((((679-43)*MAX('Inputs'!$B$33,'Inputs'!$B$29+'Inputs'!$B$31+'Inputs'!$B$32,'Inputs'!$B$30+'Inputs'!$B$31+'Inputs'!$B$32)/1000+'Inputs'!$B$21+'Inputs'!$B$9+'Inputs'!$B$10))^2+('Inputs'!$B$6/2)^2))))*'Results'!$B$8),"")</x:f>
        <x:v>1.6643073527106371</x:v>
      </x:c>
      <x:c r="N679" t="n">
        <x:f>IF(AND(ISNUMBER('Results'!C7),ISNUMBER('Results'!B7),ISNUMBER('Results'!$B$8),ISNUMBER('Inputs'!$B$6),ISNUMBER('Inputs'!$B$7),ISNUMBER('Inputs'!$B$8),ISNUMBER('Inputs'!$B$9),ISNUMBER('Inputs'!$B$10),ISNUMBER('Inputs'!$B$21),ISNUMBER('Inputs'!$B$24),ISNUMBER('Inputs'!$B$28)),((('Results'!C7*(1-'Inputs'!$B$24)*(0.5*((((679-43)*MAX('Inputs'!$B$33,'Inputs'!$B$29+'Inputs'!$B$31+'Inputs'!$B$32,'Inputs'!$B$30+'Inputs'!$B$31+'Inputs'!$B$32)/1000+'Inputs'!$B$21)+'Inputs'!$B$9)/SQRT((((679-43)*MAX('Inputs'!$B$33,'Inputs'!$B$29+'Inputs'!$B$31+'Inputs'!$B$32,'Inputs'!$B$30+'Inputs'!$B$31+'Inputs'!$B$32)/1000+'Inputs'!$B$21)+'Inputs'!$B$9)^2+('Inputs'!$B$8/2)^2)-(((679-43)*MAX('Inputs'!$B$33,'Inputs'!$B$29+'Inputs'!$B$31+'Inputs'!$B$32,'Inputs'!$B$30+'Inputs'!$B$31+'Inputs'!$B$32)/1000+'Inputs'!$B$21))/SQRT((((679-43)*MAX('Inputs'!$B$33,'Inputs'!$B$29+'Inputs'!$B$31+'Inputs'!$B$32,'Inputs'!$B$30+'Inputs'!$B$31+'Inputs'!$B$32)/1000+'Inputs'!$B$21))^2+('Inputs'!$B$8/2)^2)))-'Results'!B7*(1+'Inputs'!$B$24)*(0.5*((((679-43)*MAX('Inputs'!$B$33,'Inputs'!$B$29+'Inputs'!$B$31+'Inputs'!$B$32,'Inputs'!$B$30+'Inputs'!$B$31+'Inputs'!$B$32)/1000+'Inputs'!$B$21+'Inputs'!$B$9+'Inputs'!$B$10)+'Inputs'!$B$7)/SQRT((((679-43)*MAX('Inputs'!$B$33,'Inputs'!$B$29+'Inputs'!$B$31+'Inputs'!$B$32,'Inputs'!$B$30+'Inputs'!$B$31+'Inputs'!$B$32)/1000+'Inputs'!$B$21+'Inputs'!$B$9+'Inputs'!$B$10)+'Inputs'!$B$7)^2+('Inputs'!$B$6/2)^2)-(((679-43)*MAX('Inputs'!$B$33,'Inputs'!$B$29+'Inputs'!$B$31+'Inputs'!$B$32,'Inputs'!$B$30+'Inputs'!$B$31+'Inputs'!$B$32)/1000+'Inputs'!$B$21+'Inputs'!$B$9+'Inputs'!$B$10))/SQRT((((679-43)*MAX('Inputs'!$B$33,'Inputs'!$B$29+'Inputs'!$B$31+'Inputs'!$B$32,'Inputs'!$B$30+'Inputs'!$B$31+'Inputs'!$B$32)/1000+'Inputs'!$B$21+'Inputs'!$B$9+'Inputs'!$B$10))^2+('Inputs'!$B$6/2)^2))))*'Results'!$B$8)-'Inputs'!$B$28*ABS((('Results'!C7*(1-'Inputs'!$B$24)*(0.5*((((679-43)*MAX('Inputs'!$B$33,'Inputs'!$B$29+'Inputs'!$B$31+'Inputs'!$B$32,'Inputs'!$B$30+'Inputs'!$B$31+'Inputs'!$B$32)/1000+'Inputs'!$B$21)+'Inputs'!$B$9)/SQRT((((679-43)*MAX('Inputs'!$B$33,'Inputs'!$B$29+'Inputs'!$B$31+'Inputs'!$B$32,'Inputs'!$B$30+'Inputs'!$B$31+'Inputs'!$B$32)/1000+'Inputs'!$B$21)+'Inputs'!$B$9)^2+('Inputs'!$B$8/2)^2)-(((679-43)*MAX('Inputs'!$B$33,'Inputs'!$B$29+'Inputs'!$B$31+'Inputs'!$B$32,'Inputs'!$B$30+'Inputs'!$B$31+'Inputs'!$B$32)/1000+'Inputs'!$B$21))/SQRT((((679-43)*MAX('Inputs'!$B$33,'Inputs'!$B$29+'Inputs'!$B$31+'Inputs'!$B$32,'Inputs'!$B$30+'Inputs'!$B$31+'Inputs'!$B$32)/1000+'Inputs'!$B$21))^2+('Inputs'!$B$8/2)^2)))-'Results'!B7*(1+'Inputs'!$B$24)*(0.5*((((679-43)*MAX('Inputs'!$B$33,'Inputs'!$B$29+'Inputs'!$B$31+'Inputs'!$B$32,'Inputs'!$B$30+'Inputs'!$B$31+'Inputs'!$B$32)/1000+'Inputs'!$B$21+'Inputs'!$B$9+'Inputs'!$B$10)+'Inputs'!$B$7)/SQRT((((679-43)*MAX('Inputs'!$B$33,'Inputs'!$B$29+'Inputs'!$B$31+'Inputs'!$B$32,'Inputs'!$B$30+'Inputs'!$B$31+'Inputs'!$B$32)/1000+'Inputs'!$B$21+'Inputs'!$B$9+'Inputs'!$B$10)+'Inputs'!$B$7)^2+('Inputs'!$B$6/2)^2)-(((679-43)*MAX('Inputs'!$B$33,'Inputs'!$B$29+'Inputs'!$B$31+'Inputs'!$B$32,'Inputs'!$B$30+'Inputs'!$B$31+'Inputs'!$B$32)/1000+'Inputs'!$B$21+'Inputs'!$B$9+'Inputs'!$B$10))/SQRT((((679-43)*MAX('Inputs'!$B$33,'Inputs'!$B$29+'Inputs'!$B$31+'Inputs'!$B$32,'Inputs'!$B$30+'Inputs'!$B$31+'Inputs'!$B$32)/1000+'Inputs'!$B$21+'Inputs'!$B$9+'Inputs'!$B$10))^2+('Inputs'!$B$6/2)^2))))*'Results'!$B$8))),"")</x:f>
        <x:v>1.4405314389861714</x:v>
      </x:c>
      <x:c r="O679" t="n">
        <x:f>IF(AND(ISNUMBER('Results'!C7),ISNUMBER('Results'!B7),ISNUMBER('Results'!$B$8),ISNUMBER('Inputs'!$B$6),ISNUMBER('Inputs'!$B$7),ISNUMBER('Inputs'!$B$8),ISNUMBER('Inputs'!$B$9),ISNUMBER('Inputs'!$B$10),ISNUMBER('Inputs'!$B$21),ISNUMBER('Inputs'!$B$24),ISNUMBER('Inputs'!$B$28)),((('Results'!C7*(1+'Inputs'!$B$24)*(0.5*((((679-43)*MAX('Inputs'!$B$33,'Inputs'!$B$29+'Inputs'!$B$31+'Inputs'!$B$32,'Inputs'!$B$30+'Inputs'!$B$31+'Inputs'!$B$32)/1000+'Inputs'!$B$21)+'Inputs'!$B$9)/SQRT((((679-43)*MAX('Inputs'!$B$33,'Inputs'!$B$29+'Inputs'!$B$31+'Inputs'!$B$32,'Inputs'!$B$30+'Inputs'!$B$31+'Inputs'!$B$32)/1000+'Inputs'!$B$21)+'Inputs'!$B$9)^2+('Inputs'!$B$8/2)^2)-(((679-43)*MAX('Inputs'!$B$33,'Inputs'!$B$29+'Inputs'!$B$31+'Inputs'!$B$32,'Inputs'!$B$30+'Inputs'!$B$31+'Inputs'!$B$32)/1000+'Inputs'!$B$21))/SQRT((((679-43)*MAX('Inputs'!$B$33,'Inputs'!$B$29+'Inputs'!$B$31+'Inputs'!$B$32,'Inputs'!$B$30+'Inputs'!$B$31+'Inputs'!$B$32)/1000+'Inputs'!$B$21))^2+('Inputs'!$B$8/2)^2)))-'Results'!B7*(1-'Inputs'!$B$24)*(0.5*((((679-43)*MAX('Inputs'!$B$33,'Inputs'!$B$29+'Inputs'!$B$31+'Inputs'!$B$32,'Inputs'!$B$30+'Inputs'!$B$31+'Inputs'!$B$32)/1000+'Inputs'!$B$21+'Inputs'!$B$9+'Inputs'!$B$10)+'Inputs'!$B$7)/SQRT((((679-43)*MAX('Inputs'!$B$33,'Inputs'!$B$29+'Inputs'!$B$31+'Inputs'!$B$32,'Inputs'!$B$30+'Inputs'!$B$31+'Inputs'!$B$32)/1000+'Inputs'!$B$21+'Inputs'!$B$9+'Inputs'!$B$10)+'Inputs'!$B$7)^2+('Inputs'!$B$6/2)^2)-(((679-43)*MAX('Inputs'!$B$33,'Inputs'!$B$29+'Inputs'!$B$31+'Inputs'!$B$32,'Inputs'!$B$30+'Inputs'!$B$31+'Inputs'!$B$32)/1000+'Inputs'!$B$21+'Inputs'!$B$9+'Inputs'!$B$10))/SQRT((((679-43)*MAX('Inputs'!$B$33,'Inputs'!$B$29+'Inputs'!$B$31+'Inputs'!$B$32,'Inputs'!$B$30+'Inputs'!$B$31+'Inputs'!$B$32)/1000+'Inputs'!$B$21+'Inputs'!$B$9+'Inputs'!$B$10))^2+('Inputs'!$B$6/2)^2))))*'Results'!$B$8)+'Inputs'!$B$28*ABS((('Results'!C7*(1+'Inputs'!$B$24)*(0.5*((((679-43)*MAX('Inputs'!$B$33,'Inputs'!$B$29+'Inputs'!$B$31+'Inputs'!$B$32,'Inputs'!$B$30+'Inputs'!$B$31+'Inputs'!$B$32)/1000+'Inputs'!$B$21)+'Inputs'!$B$9)/SQRT((((679-43)*MAX('Inputs'!$B$33,'Inputs'!$B$29+'Inputs'!$B$31+'Inputs'!$B$32,'Inputs'!$B$30+'Inputs'!$B$31+'Inputs'!$B$32)/1000+'Inputs'!$B$21)+'Inputs'!$B$9)^2+('Inputs'!$B$8/2)^2)-(((679-43)*MAX('Inputs'!$B$33,'Inputs'!$B$29+'Inputs'!$B$31+'Inputs'!$B$32,'Inputs'!$B$30+'Inputs'!$B$31+'Inputs'!$B$32)/1000+'Inputs'!$B$21))/SQRT((((679-43)*MAX('Inputs'!$B$33,'Inputs'!$B$29+'Inputs'!$B$31+'Inputs'!$B$32,'Inputs'!$B$30+'Inputs'!$B$31+'Inputs'!$B$32)/1000+'Inputs'!$B$21))^2+('Inputs'!$B$8/2)^2)))-'Results'!B7*(1-'Inputs'!$B$24)*(0.5*((((679-43)*MAX('Inputs'!$B$33,'Inputs'!$B$29+'Inputs'!$B$31+'Inputs'!$B$32,'Inputs'!$B$30+'Inputs'!$B$31+'Inputs'!$B$32)/1000+'Inputs'!$B$21+'Inputs'!$B$9+'Inputs'!$B$10)+'Inputs'!$B$7)/SQRT((((679-43)*MAX('Inputs'!$B$33,'Inputs'!$B$29+'Inputs'!$B$31+'Inputs'!$B$32,'Inputs'!$B$30+'Inputs'!$B$31+'Inputs'!$B$32)/1000+'Inputs'!$B$21+'Inputs'!$B$9+'Inputs'!$B$10)+'Inputs'!$B$7)^2+('Inputs'!$B$6/2)^2)-(((679-43)*MAX('Inputs'!$B$33,'Inputs'!$B$29+'Inputs'!$B$31+'Inputs'!$B$32,'Inputs'!$B$30+'Inputs'!$B$31+'Inputs'!$B$32)/1000+'Inputs'!$B$21+'Inputs'!$B$9+'Inputs'!$B$10))/SQRT((((679-43)*MAX('Inputs'!$B$33,'Inputs'!$B$29+'Inputs'!$B$31+'Inputs'!$B$32,'Inputs'!$B$30+'Inputs'!$B$31+'Inputs'!$B$32)/1000+'Inputs'!$B$21+'Inputs'!$B$9+'Inputs'!$B$10))^2+('Inputs'!$B$6/2)^2))))*'Results'!$B$8))),"")</x:f>
        <x:v>1.902879113391833</x:v>
      </x:c>
      <x:c r="P679" t="n">
        <x:f>IF(AND(MAX(J679,J678)&gt;0,J679&gt;J678+0.00000001),1,0)</x:f>
        <x:v>0</x:v>
      </x:c>
      <x:c r="Q679" t="n">
        <x:f>IF(AND(MAX(K679,K678)&gt;0,K679&gt;K678+0.00000001),1,0)</x:f>
        <x:v>0</x:v>
      </x:c>
      <x:c r="R679" t="n">
        <x:f>IF(AND(MAX(L679,L678)&gt;0,L679&gt;L678+0.00000001),1,0)</x:f>
        <x:v>0</x:v>
      </x:c>
      <x:c r="S679" t="n">
        <x:f>IF(AND(MAX(M679,M678)&gt;0,M679&gt;M678+0.00000001),1,0)</x:f>
        <x:v>0</x:v>
      </x:c>
      <x:c r="T679" t="n">
        <x:f>IF(AND(MAX(N679,N678)&gt;0,N679&gt;N678+0.00000001),1,0)</x:f>
        <x:v>0</x:v>
      </x:c>
      <x:c r="U679" t="n">
        <x:f>IF(AND(MAX(O679,O678)&gt;0,O679&gt;O678+0.00000001),1,0)</x:f>
        <x:v>0</x:v>
      </x:c>
    </x:row>
    <x:row r="680">
      <x:c r="J680" t="n">
        <x:f>IF(AND(ISNUMBER('Results'!B7),ISNUMBER('Results'!C7),ISNUMBER('Results'!$B$8),ISNUMBER('Inputs'!$B$6),ISNUMBER('Inputs'!$B$7),ISNUMBER('Inputs'!$B$8),ISNUMBER('Inputs'!$B$9),ISNUMBER('Inputs'!$B$10),ISNUMBER('Inputs'!$B$21),ISNUMBER('Inputs'!$B$24),ISNUMBER('Inputs'!$B$28)),(('Results'!B7*(0.5*((((680-43)*MAX('Inputs'!$B$33,'Inputs'!$B$29+'Inputs'!$B$31+'Inputs'!$B$32,'Inputs'!$B$30+'Inputs'!$B$31+'Inputs'!$B$32)/1000+'Inputs'!$B$21)+'Inputs'!$B$7)/SQRT((((680-43)*MAX('Inputs'!$B$33,'Inputs'!$B$29+'Inputs'!$B$31+'Inputs'!$B$32,'Inputs'!$B$30+'Inputs'!$B$31+'Inputs'!$B$32)/1000+'Inputs'!$B$21)+'Inputs'!$B$7)^2+('Inputs'!$B$6/2)^2)-(((680-43)*MAX('Inputs'!$B$33,'Inputs'!$B$29+'Inputs'!$B$31+'Inputs'!$B$32,'Inputs'!$B$30+'Inputs'!$B$31+'Inputs'!$B$32)/1000+'Inputs'!$B$21))/SQRT((((680-43)*MAX('Inputs'!$B$33,'Inputs'!$B$29+'Inputs'!$B$31+'Inputs'!$B$32,'Inputs'!$B$30+'Inputs'!$B$31+'Inputs'!$B$32)/1000+'Inputs'!$B$21))^2+('Inputs'!$B$6/2)^2)))-'Results'!C7*(0.5*((((680-43)*MAX('Inputs'!$B$33,'Inputs'!$B$29+'Inputs'!$B$31+'Inputs'!$B$32,'Inputs'!$B$30+'Inputs'!$B$31+'Inputs'!$B$32)/1000+'Inputs'!$B$21+'Inputs'!$B$7+'Inputs'!$B$10)+'Inputs'!$B$9)/SQRT((((680-43)*MAX('Inputs'!$B$33,'Inputs'!$B$29+'Inputs'!$B$31+'Inputs'!$B$32,'Inputs'!$B$30+'Inputs'!$B$31+'Inputs'!$B$32)/1000+'Inputs'!$B$21+'Inputs'!$B$7+'Inputs'!$B$10)+'Inputs'!$B$9)^2+('Inputs'!$B$8/2)^2)-(((680-43)*MAX('Inputs'!$B$33,'Inputs'!$B$29+'Inputs'!$B$31+'Inputs'!$B$32,'Inputs'!$B$30+'Inputs'!$B$31+'Inputs'!$B$32)/1000+'Inputs'!$B$21+'Inputs'!$B$7+'Inputs'!$B$10))/SQRT((((680-43)*MAX('Inputs'!$B$33,'Inputs'!$B$29+'Inputs'!$B$31+'Inputs'!$B$32,'Inputs'!$B$30+'Inputs'!$B$31+'Inputs'!$B$32)/1000+'Inputs'!$B$21+'Inputs'!$B$7+'Inputs'!$B$10))^2+('Inputs'!$B$8/2)^2))))*'Results'!$B$8),"")</x:f>
        <x:v>1.8041144160259828</x:v>
      </x:c>
      <x:c r="K680" t="n">
        <x:f>IF(AND(ISNUMBER('Results'!B7),ISNUMBER('Results'!C7),ISNUMBER('Results'!$B$8),ISNUMBER('Inputs'!$B$6),ISNUMBER('Inputs'!$B$7),ISNUMBER('Inputs'!$B$8),ISNUMBER('Inputs'!$B$9),ISNUMBER('Inputs'!$B$10),ISNUMBER('Inputs'!$B$21),ISNUMBER('Inputs'!$B$24),ISNUMBER('Inputs'!$B$28)),((('Results'!B7*(1-'Inputs'!$B$24)*(0.5*((((680-43)*MAX('Inputs'!$B$33,'Inputs'!$B$29+'Inputs'!$B$31+'Inputs'!$B$32,'Inputs'!$B$30+'Inputs'!$B$31+'Inputs'!$B$32)/1000+'Inputs'!$B$21)+'Inputs'!$B$7)/SQRT((((680-43)*MAX('Inputs'!$B$33,'Inputs'!$B$29+'Inputs'!$B$31+'Inputs'!$B$32,'Inputs'!$B$30+'Inputs'!$B$31+'Inputs'!$B$32)/1000+'Inputs'!$B$21)+'Inputs'!$B$7)^2+('Inputs'!$B$6/2)^2)-(((680-43)*MAX('Inputs'!$B$33,'Inputs'!$B$29+'Inputs'!$B$31+'Inputs'!$B$32,'Inputs'!$B$30+'Inputs'!$B$31+'Inputs'!$B$32)/1000+'Inputs'!$B$21))/SQRT((((680-43)*MAX('Inputs'!$B$33,'Inputs'!$B$29+'Inputs'!$B$31+'Inputs'!$B$32,'Inputs'!$B$30+'Inputs'!$B$31+'Inputs'!$B$32)/1000+'Inputs'!$B$21))^2+('Inputs'!$B$6/2)^2)))-'Results'!C7*(1+'Inputs'!$B$24)*(0.5*((((680-43)*MAX('Inputs'!$B$33,'Inputs'!$B$29+'Inputs'!$B$31+'Inputs'!$B$32,'Inputs'!$B$30+'Inputs'!$B$31+'Inputs'!$B$32)/1000+'Inputs'!$B$21+'Inputs'!$B$7+'Inputs'!$B$10)+'Inputs'!$B$9)/SQRT((((680-43)*MAX('Inputs'!$B$33,'Inputs'!$B$29+'Inputs'!$B$31+'Inputs'!$B$32,'Inputs'!$B$30+'Inputs'!$B$31+'Inputs'!$B$32)/1000+'Inputs'!$B$21+'Inputs'!$B$7+'Inputs'!$B$10)+'Inputs'!$B$9)^2+('Inputs'!$B$8/2)^2)-(((680-43)*MAX('Inputs'!$B$33,'Inputs'!$B$29+'Inputs'!$B$31+'Inputs'!$B$32,'Inputs'!$B$30+'Inputs'!$B$31+'Inputs'!$B$32)/1000+'Inputs'!$B$21+'Inputs'!$B$7+'Inputs'!$B$10))/SQRT((((680-43)*MAX('Inputs'!$B$33,'Inputs'!$B$29+'Inputs'!$B$31+'Inputs'!$B$32,'Inputs'!$B$30+'Inputs'!$B$31+'Inputs'!$B$32)/1000+'Inputs'!$B$21+'Inputs'!$B$7+'Inputs'!$B$10))^2+('Inputs'!$B$8/2)^2))))*'Results'!$B$8)-'Inputs'!$B$28*ABS((('Results'!B7*(1-'Inputs'!$B$24)*(0.5*((((680-43)*MAX('Inputs'!$B$33,'Inputs'!$B$29+'Inputs'!$B$31+'Inputs'!$B$32,'Inputs'!$B$30+'Inputs'!$B$31+'Inputs'!$B$32)/1000+'Inputs'!$B$21)+'Inputs'!$B$7)/SQRT((((680-43)*MAX('Inputs'!$B$33,'Inputs'!$B$29+'Inputs'!$B$31+'Inputs'!$B$32,'Inputs'!$B$30+'Inputs'!$B$31+'Inputs'!$B$32)/1000+'Inputs'!$B$21)+'Inputs'!$B$7)^2+('Inputs'!$B$6/2)^2)-(((680-43)*MAX('Inputs'!$B$33,'Inputs'!$B$29+'Inputs'!$B$31+'Inputs'!$B$32,'Inputs'!$B$30+'Inputs'!$B$31+'Inputs'!$B$32)/1000+'Inputs'!$B$21))/SQRT((((680-43)*MAX('Inputs'!$B$33,'Inputs'!$B$29+'Inputs'!$B$31+'Inputs'!$B$32,'Inputs'!$B$30+'Inputs'!$B$31+'Inputs'!$B$32)/1000+'Inputs'!$B$21))^2+('Inputs'!$B$6/2)^2)))-'Results'!C7*(1+'Inputs'!$B$24)*(0.5*((((680-43)*MAX('Inputs'!$B$33,'Inputs'!$B$29+'Inputs'!$B$31+'Inputs'!$B$32,'Inputs'!$B$30+'Inputs'!$B$31+'Inputs'!$B$32)/1000+'Inputs'!$B$21+'Inputs'!$B$7+'Inputs'!$B$10)+'Inputs'!$B$9)/SQRT((((680-43)*MAX('Inputs'!$B$33,'Inputs'!$B$29+'Inputs'!$B$31+'Inputs'!$B$32,'Inputs'!$B$30+'Inputs'!$B$31+'Inputs'!$B$32)/1000+'Inputs'!$B$21+'Inputs'!$B$7+'Inputs'!$B$10)+'Inputs'!$B$9)^2+('Inputs'!$B$8/2)^2)-(((680-43)*MAX('Inputs'!$B$33,'Inputs'!$B$29+'Inputs'!$B$31+'Inputs'!$B$32,'Inputs'!$B$30+'Inputs'!$B$31+'Inputs'!$B$32)/1000+'Inputs'!$B$21+'Inputs'!$B$7+'Inputs'!$B$10))/SQRT((((680-43)*MAX('Inputs'!$B$33,'Inputs'!$B$29+'Inputs'!$B$31+'Inputs'!$B$32,'Inputs'!$B$30+'Inputs'!$B$31+'Inputs'!$B$32)/1000+'Inputs'!$B$21+'Inputs'!$B$7+'Inputs'!$B$10))^2+('Inputs'!$B$8/2)^2))))*'Results'!$B$8))),"")</x:f>
        <x:v>1.5732811828382776</x:v>
      </x:c>
      <x:c r="L680" t="n">
        <x:f>IF(AND(ISNUMBER('Results'!B7),ISNUMBER('Results'!C7),ISNUMBER('Results'!$B$8),ISNUMBER('Inputs'!$B$6),ISNUMBER('Inputs'!$B$7),ISNUMBER('Inputs'!$B$8),ISNUMBER('Inputs'!$B$9),ISNUMBER('Inputs'!$B$10),ISNUMBER('Inputs'!$B$21),ISNUMBER('Inputs'!$B$24),ISNUMBER('Inputs'!$B$28)),((('Results'!B7*(1+'Inputs'!$B$24)*(0.5*((((680-43)*MAX('Inputs'!$B$33,'Inputs'!$B$29+'Inputs'!$B$31+'Inputs'!$B$32,'Inputs'!$B$30+'Inputs'!$B$31+'Inputs'!$B$32)/1000+'Inputs'!$B$21)+'Inputs'!$B$7)/SQRT((((680-43)*MAX('Inputs'!$B$33,'Inputs'!$B$29+'Inputs'!$B$31+'Inputs'!$B$32,'Inputs'!$B$30+'Inputs'!$B$31+'Inputs'!$B$32)/1000+'Inputs'!$B$21)+'Inputs'!$B$7)^2+('Inputs'!$B$6/2)^2)-(((680-43)*MAX('Inputs'!$B$33,'Inputs'!$B$29+'Inputs'!$B$31+'Inputs'!$B$32,'Inputs'!$B$30+'Inputs'!$B$31+'Inputs'!$B$32)/1000+'Inputs'!$B$21))/SQRT((((680-43)*MAX('Inputs'!$B$33,'Inputs'!$B$29+'Inputs'!$B$31+'Inputs'!$B$32,'Inputs'!$B$30+'Inputs'!$B$31+'Inputs'!$B$32)/1000+'Inputs'!$B$21))^2+('Inputs'!$B$6/2)^2)))-'Results'!C7*(1-'Inputs'!$B$24)*(0.5*((((680-43)*MAX('Inputs'!$B$33,'Inputs'!$B$29+'Inputs'!$B$31+'Inputs'!$B$32,'Inputs'!$B$30+'Inputs'!$B$31+'Inputs'!$B$32)/1000+'Inputs'!$B$21+'Inputs'!$B$7+'Inputs'!$B$10)+'Inputs'!$B$9)/SQRT((((680-43)*MAX('Inputs'!$B$33,'Inputs'!$B$29+'Inputs'!$B$31+'Inputs'!$B$32,'Inputs'!$B$30+'Inputs'!$B$31+'Inputs'!$B$32)/1000+'Inputs'!$B$21+'Inputs'!$B$7+'Inputs'!$B$10)+'Inputs'!$B$9)^2+('Inputs'!$B$8/2)^2)-(((680-43)*MAX('Inputs'!$B$33,'Inputs'!$B$29+'Inputs'!$B$31+'Inputs'!$B$32,'Inputs'!$B$30+'Inputs'!$B$31+'Inputs'!$B$32)/1000+'Inputs'!$B$21+'Inputs'!$B$7+'Inputs'!$B$10))/SQRT((((680-43)*MAX('Inputs'!$B$33,'Inputs'!$B$29+'Inputs'!$B$31+'Inputs'!$B$32,'Inputs'!$B$30+'Inputs'!$B$31+'Inputs'!$B$32)/1000+'Inputs'!$B$21+'Inputs'!$B$7+'Inputs'!$B$10))^2+('Inputs'!$B$8/2)^2))))*'Results'!$B$8)+'Inputs'!$B$28*ABS((('Results'!B7*(1+'Inputs'!$B$24)*(0.5*((((680-43)*MAX('Inputs'!$B$33,'Inputs'!$B$29+'Inputs'!$B$31+'Inputs'!$B$32,'Inputs'!$B$30+'Inputs'!$B$31+'Inputs'!$B$32)/1000+'Inputs'!$B$21)+'Inputs'!$B$7)/SQRT((((680-43)*MAX('Inputs'!$B$33,'Inputs'!$B$29+'Inputs'!$B$31+'Inputs'!$B$32,'Inputs'!$B$30+'Inputs'!$B$31+'Inputs'!$B$32)/1000+'Inputs'!$B$21)+'Inputs'!$B$7)^2+('Inputs'!$B$6/2)^2)-(((680-43)*MAX('Inputs'!$B$33,'Inputs'!$B$29+'Inputs'!$B$31+'Inputs'!$B$32,'Inputs'!$B$30+'Inputs'!$B$31+'Inputs'!$B$32)/1000+'Inputs'!$B$21))/SQRT((((680-43)*MAX('Inputs'!$B$33,'Inputs'!$B$29+'Inputs'!$B$31+'Inputs'!$B$32,'Inputs'!$B$30+'Inputs'!$B$31+'Inputs'!$B$32)/1000+'Inputs'!$B$21))^2+('Inputs'!$B$6/2)^2)))-'Results'!C7*(1-'Inputs'!$B$24)*(0.5*((((680-43)*MAX('Inputs'!$B$33,'Inputs'!$B$29+'Inputs'!$B$31+'Inputs'!$B$32,'Inputs'!$B$30+'Inputs'!$B$31+'Inputs'!$B$32)/1000+'Inputs'!$B$21+'Inputs'!$B$7+'Inputs'!$B$10)+'Inputs'!$B$9)/SQRT((((680-43)*MAX('Inputs'!$B$33,'Inputs'!$B$29+'Inputs'!$B$31+'Inputs'!$B$32,'Inputs'!$B$30+'Inputs'!$B$31+'Inputs'!$B$32)/1000+'Inputs'!$B$21+'Inputs'!$B$7+'Inputs'!$B$10)+'Inputs'!$B$9)^2+('Inputs'!$B$8/2)^2)-(((680-43)*MAX('Inputs'!$B$33,'Inputs'!$B$29+'Inputs'!$B$31+'Inputs'!$B$32,'Inputs'!$B$30+'Inputs'!$B$31+'Inputs'!$B$32)/1000+'Inputs'!$B$21+'Inputs'!$B$7+'Inputs'!$B$10))/SQRT((((680-43)*MAX('Inputs'!$B$33,'Inputs'!$B$29+'Inputs'!$B$31+'Inputs'!$B$32,'Inputs'!$B$30+'Inputs'!$B$31+'Inputs'!$B$32)/1000+'Inputs'!$B$21+'Inputs'!$B$7+'Inputs'!$B$10))^2+('Inputs'!$B$8/2)^2))))*'Results'!$B$8))),"")</x:f>
        <x:v>2.049750545254363</x:v>
      </x:c>
      <x:c r="M680" t="n">
        <x:f>IF(AND(ISNUMBER('Results'!C7),ISNUMBER('Results'!B7),ISNUMBER('Results'!$B$8),ISNUMBER('Inputs'!$B$6),ISNUMBER('Inputs'!$B$7),ISNUMBER('Inputs'!$B$8),ISNUMBER('Inputs'!$B$9),ISNUMBER('Inputs'!$B$10),ISNUMBER('Inputs'!$B$21),ISNUMBER('Inputs'!$B$24),ISNUMBER('Inputs'!$B$28)),(('Results'!C7*(0.5*((((680-43)*MAX('Inputs'!$B$33,'Inputs'!$B$29+'Inputs'!$B$31+'Inputs'!$B$32,'Inputs'!$B$30+'Inputs'!$B$31+'Inputs'!$B$32)/1000+'Inputs'!$B$21)+'Inputs'!$B$9)/SQRT((((680-43)*MAX('Inputs'!$B$33,'Inputs'!$B$29+'Inputs'!$B$31+'Inputs'!$B$32,'Inputs'!$B$30+'Inputs'!$B$31+'Inputs'!$B$32)/1000+'Inputs'!$B$21)+'Inputs'!$B$9)^2+('Inputs'!$B$8/2)^2)-(((680-43)*MAX('Inputs'!$B$33,'Inputs'!$B$29+'Inputs'!$B$31+'Inputs'!$B$32,'Inputs'!$B$30+'Inputs'!$B$31+'Inputs'!$B$32)/1000+'Inputs'!$B$21))/SQRT((((680-43)*MAX('Inputs'!$B$33,'Inputs'!$B$29+'Inputs'!$B$31+'Inputs'!$B$32,'Inputs'!$B$30+'Inputs'!$B$31+'Inputs'!$B$32)/1000+'Inputs'!$B$21))^2+('Inputs'!$B$8/2)^2)))-'Results'!B7*(0.5*((((680-43)*MAX('Inputs'!$B$33,'Inputs'!$B$29+'Inputs'!$B$31+'Inputs'!$B$32,'Inputs'!$B$30+'Inputs'!$B$31+'Inputs'!$B$32)/1000+'Inputs'!$B$21+'Inputs'!$B$9+'Inputs'!$B$10)+'Inputs'!$B$7)/SQRT((((680-43)*MAX('Inputs'!$B$33,'Inputs'!$B$29+'Inputs'!$B$31+'Inputs'!$B$32,'Inputs'!$B$30+'Inputs'!$B$31+'Inputs'!$B$32)/1000+'Inputs'!$B$21+'Inputs'!$B$9+'Inputs'!$B$10)+'Inputs'!$B$7)^2+('Inputs'!$B$6/2)^2)-(((680-43)*MAX('Inputs'!$B$33,'Inputs'!$B$29+'Inputs'!$B$31+'Inputs'!$B$32,'Inputs'!$B$30+'Inputs'!$B$31+'Inputs'!$B$32)/1000+'Inputs'!$B$21+'Inputs'!$B$9+'Inputs'!$B$10))/SQRT((((680-43)*MAX('Inputs'!$B$33,'Inputs'!$B$29+'Inputs'!$B$31+'Inputs'!$B$32,'Inputs'!$B$30+'Inputs'!$B$31+'Inputs'!$B$32)/1000+'Inputs'!$B$21+'Inputs'!$B$9+'Inputs'!$B$10))^2+('Inputs'!$B$6/2)^2))))*'Results'!$B$8),"")</x:f>
        <x:v>1.6549431426387682</x:v>
      </x:c>
      <x:c r="N680" t="n">
        <x:f>IF(AND(ISNUMBER('Results'!C7),ISNUMBER('Results'!B7),ISNUMBER('Results'!$B$8),ISNUMBER('Inputs'!$B$6),ISNUMBER('Inputs'!$B$7),ISNUMBER('Inputs'!$B$8),ISNUMBER('Inputs'!$B$9),ISNUMBER('Inputs'!$B$10),ISNUMBER('Inputs'!$B$21),ISNUMBER('Inputs'!$B$24),ISNUMBER('Inputs'!$B$28)),((('Results'!C7*(1-'Inputs'!$B$24)*(0.5*((((680-43)*MAX('Inputs'!$B$33,'Inputs'!$B$29+'Inputs'!$B$31+'Inputs'!$B$32,'Inputs'!$B$30+'Inputs'!$B$31+'Inputs'!$B$32)/1000+'Inputs'!$B$21)+'Inputs'!$B$9)/SQRT((((680-43)*MAX('Inputs'!$B$33,'Inputs'!$B$29+'Inputs'!$B$31+'Inputs'!$B$32,'Inputs'!$B$30+'Inputs'!$B$31+'Inputs'!$B$32)/1000+'Inputs'!$B$21)+'Inputs'!$B$9)^2+('Inputs'!$B$8/2)^2)-(((680-43)*MAX('Inputs'!$B$33,'Inputs'!$B$29+'Inputs'!$B$31+'Inputs'!$B$32,'Inputs'!$B$30+'Inputs'!$B$31+'Inputs'!$B$32)/1000+'Inputs'!$B$21))/SQRT((((680-43)*MAX('Inputs'!$B$33,'Inputs'!$B$29+'Inputs'!$B$31+'Inputs'!$B$32,'Inputs'!$B$30+'Inputs'!$B$31+'Inputs'!$B$32)/1000+'Inputs'!$B$21))^2+('Inputs'!$B$8/2)^2)))-'Results'!B7*(1+'Inputs'!$B$24)*(0.5*((((680-43)*MAX('Inputs'!$B$33,'Inputs'!$B$29+'Inputs'!$B$31+'Inputs'!$B$32,'Inputs'!$B$30+'Inputs'!$B$31+'Inputs'!$B$32)/1000+'Inputs'!$B$21+'Inputs'!$B$9+'Inputs'!$B$10)+'Inputs'!$B$7)/SQRT((((680-43)*MAX('Inputs'!$B$33,'Inputs'!$B$29+'Inputs'!$B$31+'Inputs'!$B$32,'Inputs'!$B$30+'Inputs'!$B$31+'Inputs'!$B$32)/1000+'Inputs'!$B$21+'Inputs'!$B$9+'Inputs'!$B$10)+'Inputs'!$B$7)^2+('Inputs'!$B$6/2)^2)-(((680-43)*MAX('Inputs'!$B$33,'Inputs'!$B$29+'Inputs'!$B$31+'Inputs'!$B$32,'Inputs'!$B$30+'Inputs'!$B$31+'Inputs'!$B$32)/1000+'Inputs'!$B$21+'Inputs'!$B$9+'Inputs'!$B$10))/SQRT((((680-43)*MAX('Inputs'!$B$33,'Inputs'!$B$29+'Inputs'!$B$31+'Inputs'!$B$32,'Inputs'!$B$30+'Inputs'!$B$31+'Inputs'!$B$32)/1000+'Inputs'!$B$21+'Inputs'!$B$9+'Inputs'!$B$10))^2+('Inputs'!$B$6/2)^2))))*'Results'!$B$8)-'Inputs'!$B$28*ABS((('Results'!C7*(1-'Inputs'!$B$24)*(0.5*((((680-43)*MAX('Inputs'!$B$33,'Inputs'!$B$29+'Inputs'!$B$31+'Inputs'!$B$32,'Inputs'!$B$30+'Inputs'!$B$31+'Inputs'!$B$32)/1000+'Inputs'!$B$21)+'Inputs'!$B$9)/SQRT((((680-43)*MAX('Inputs'!$B$33,'Inputs'!$B$29+'Inputs'!$B$31+'Inputs'!$B$32,'Inputs'!$B$30+'Inputs'!$B$31+'Inputs'!$B$32)/1000+'Inputs'!$B$21)+'Inputs'!$B$9)^2+('Inputs'!$B$8/2)^2)-(((680-43)*MAX('Inputs'!$B$33,'Inputs'!$B$29+'Inputs'!$B$31+'Inputs'!$B$32,'Inputs'!$B$30+'Inputs'!$B$31+'Inputs'!$B$32)/1000+'Inputs'!$B$21))/SQRT((((680-43)*MAX('Inputs'!$B$33,'Inputs'!$B$29+'Inputs'!$B$31+'Inputs'!$B$32,'Inputs'!$B$30+'Inputs'!$B$31+'Inputs'!$B$32)/1000+'Inputs'!$B$21))^2+('Inputs'!$B$8/2)^2)))-'Results'!B7*(1+'Inputs'!$B$24)*(0.5*((((680-43)*MAX('Inputs'!$B$33,'Inputs'!$B$29+'Inputs'!$B$31+'Inputs'!$B$32,'Inputs'!$B$30+'Inputs'!$B$31+'Inputs'!$B$32)/1000+'Inputs'!$B$21+'Inputs'!$B$9+'Inputs'!$B$10)+'Inputs'!$B$7)/SQRT((((680-43)*MAX('Inputs'!$B$33,'Inputs'!$B$29+'Inputs'!$B$31+'Inputs'!$B$32,'Inputs'!$B$30+'Inputs'!$B$31+'Inputs'!$B$32)/1000+'Inputs'!$B$21+'Inputs'!$B$9+'Inputs'!$B$10)+'Inputs'!$B$7)^2+('Inputs'!$B$6/2)^2)-(((680-43)*MAX('Inputs'!$B$33,'Inputs'!$B$29+'Inputs'!$B$31+'Inputs'!$B$32,'Inputs'!$B$30+'Inputs'!$B$31+'Inputs'!$B$32)/1000+'Inputs'!$B$21+'Inputs'!$B$9+'Inputs'!$B$10))/SQRT((((680-43)*MAX('Inputs'!$B$33,'Inputs'!$B$29+'Inputs'!$B$31+'Inputs'!$B$32,'Inputs'!$B$30+'Inputs'!$B$31+'Inputs'!$B$32)/1000+'Inputs'!$B$21+'Inputs'!$B$9+'Inputs'!$B$10))^2+('Inputs'!$B$6/2)^2))))*'Results'!$B$8))),"")</x:f>
        <x:v>1.4322323326518844</x:v>
      </x:c>
      <x:c r="O680" t="n">
        <x:f>IF(AND(ISNUMBER('Results'!C7),ISNUMBER('Results'!B7),ISNUMBER('Results'!$B$8),ISNUMBER('Inputs'!$B$6),ISNUMBER('Inputs'!$B$7),ISNUMBER('Inputs'!$B$8),ISNUMBER('Inputs'!$B$9),ISNUMBER('Inputs'!$B$10),ISNUMBER('Inputs'!$B$21),ISNUMBER('Inputs'!$B$24),ISNUMBER('Inputs'!$B$28)),((('Results'!C7*(1+'Inputs'!$B$24)*(0.5*((((680-43)*MAX('Inputs'!$B$33,'Inputs'!$B$29+'Inputs'!$B$31+'Inputs'!$B$32,'Inputs'!$B$30+'Inputs'!$B$31+'Inputs'!$B$32)/1000+'Inputs'!$B$21)+'Inputs'!$B$9)/SQRT((((680-43)*MAX('Inputs'!$B$33,'Inputs'!$B$29+'Inputs'!$B$31+'Inputs'!$B$32,'Inputs'!$B$30+'Inputs'!$B$31+'Inputs'!$B$32)/1000+'Inputs'!$B$21)+'Inputs'!$B$9)^2+('Inputs'!$B$8/2)^2)-(((680-43)*MAX('Inputs'!$B$33,'Inputs'!$B$29+'Inputs'!$B$31+'Inputs'!$B$32,'Inputs'!$B$30+'Inputs'!$B$31+'Inputs'!$B$32)/1000+'Inputs'!$B$21))/SQRT((((680-43)*MAX('Inputs'!$B$33,'Inputs'!$B$29+'Inputs'!$B$31+'Inputs'!$B$32,'Inputs'!$B$30+'Inputs'!$B$31+'Inputs'!$B$32)/1000+'Inputs'!$B$21))^2+('Inputs'!$B$8/2)^2)))-'Results'!B7*(1-'Inputs'!$B$24)*(0.5*((((680-43)*MAX('Inputs'!$B$33,'Inputs'!$B$29+'Inputs'!$B$31+'Inputs'!$B$32,'Inputs'!$B$30+'Inputs'!$B$31+'Inputs'!$B$32)/1000+'Inputs'!$B$21+'Inputs'!$B$9+'Inputs'!$B$10)+'Inputs'!$B$7)/SQRT((((680-43)*MAX('Inputs'!$B$33,'Inputs'!$B$29+'Inputs'!$B$31+'Inputs'!$B$32,'Inputs'!$B$30+'Inputs'!$B$31+'Inputs'!$B$32)/1000+'Inputs'!$B$21+'Inputs'!$B$9+'Inputs'!$B$10)+'Inputs'!$B$7)^2+('Inputs'!$B$6/2)^2)-(((680-43)*MAX('Inputs'!$B$33,'Inputs'!$B$29+'Inputs'!$B$31+'Inputs'!$B$32,'Inputs'!$B$30+'Inputs'!$B$31+'Inputs'!$B$32)/1000+'Inputs'!$B$21+'Inputs'!$B$9+'Inputs'!$B$10))/SQRT((((680-43)*MAX('Inputs'!$B$33,'Inputs'!$B$29+'Inputs'!$B$31+'Inputs'!$B$32,'Inputs'!$B$30+'Inputs'!$B$31+'Inputs'!$B$32)/1000+'Inputs'!$B$21+'Inputs'!$B$9+'Inputs'!$B$10))^2+('Inputs'!$B$6/2)^2))))*'Results'!$B$8)+'Inputs'!$B$28*ABS((('Results'!C7*(1+'Inputs'!$B$24)*(0.5*((((680-43)*MAX('Inputs'!$B$33,'Inputs'!$B$29+'Inputs'!$B$31+'Inputs'!$B$32,'Inputs'!$B$30+'Inputs'!$B$31+'Inputs'!$B$32)/1000+'Inputs'!$B$21)+'Inputs'!$B$9)/SQRT((((680-43)*MAX('Inputs'!$B$33,'Inputs'!$B$29+'Inputs'!$B$31+'Inputs'!$B$32,'Inputs'!$B$30+'Inputs'!$B$31+'Inputs'!$B$32)/1000+'Inputs'!$B$21)+'Inputs'!$B$9)^2+('Inputs'!$B$8/2)^2)-(((680-43)*MAX('Inputs'!$B$33,'Inputs'!$B$29+'Inputs'!$B$31+'Inputs'!$B$32,'Inputs'!$B$30+'Inputs'!$B$31+'Inputs'!$B$32)/1000+'Inputs'!$B$21))/SQRT((((680-43)*MAX('Inputs'!$B$33,'Inputs'!$B$29+'Inputs'!$B$31+'Inputs'!$B$32,'Inputs'!$B$30+'Inputs'!$B$31+'Inputs'!$B$32)/1000+'Inputs'!$B$21))^2+('Inputs'!$B$8/2)^2)))-'Results'!B7*(1-'Inputs'!$B$24)*(0.5*((((680-43)*MAX('Inputs'!$B$33,'Inputs'!$B$29+'Inputs'!$B$31+'Inputs'!$B$32,'Inputs'!$B$30+'Inputs'!$B$31+'Inputs'!$B$32)/1000+'Inputs'!$B$21+'Inputs'!$B$9+'Inputs'!$B$10)+'Inputs'!$B$7)/SQRT((((680-43)*MAX('Inputs'!$B$33,'Inputs'!$B$29+'Inputs'!$B$31+'Inputs'!$B$32,'Inputs'!$B$30+'Inputs'!$B$31+'Inputs'!$B$32)/1000+'Inputs'!$B$21+'Inputs'!$B$9+'Inputs'!$B$10)+'Inputs'!$B$7)^2+('Inputs'!$B$6/2)^2)-(((680-43)*MAX('Inputs'!$B$33,'Inputs'!$B$29+'Inputs'!$B$31+'Inputs'!$B$32,'Inputs'!$B$30+'Inputs'!$B$31+'Inputs'!$B$32)/1000+'Inputs'!$B$21+'Inputs'!$B$9+'Inputs'!$B$10))/SQRT((((680-43)*MAX('Inputs'!$B$33,'Inputs'!$B$29+'Inputs'!$B$31+'Inputs'!$B$32,'Inputs'!$B$30+'Inputs'!$B$31+'Inputs'!$B$32)/1000+'Inputs'!$B$21+'Inputs'!$B$9+'Inputs'!$B$10))^2+('Inputs'!$B$6/2)^2))))*'Results'!$B$8))),"")</x:f>
        <x:v>1.8923869687156467</x:v>
      </x:c>
      <x:c r="P680" t="n">
        <x:f>IF(AND(MAX(J680,J679)&gt;0,J680&gt;J679+0.00000001),1,0)</x:f>
        <x:v>0</x:v>
      </x:c>
      <x:c r="Q680" t="n">
        <x:f>IF(AND(MAX(K680,K679)&gt;0,K680&gt;K679+0.00000001),1,0)</x:f>
        <x:v>0</x:v>
      </x:c>
      <x:c r="R680" t="n">
        <x:f>IF(AND(MAX(L680,L679)&gt;0,L680&gt;L679+0.00000001),1,0)</x:f>
        <x:v>0</x:v>
      </x:c>
      <x:c r="S680" t="n">
        <x:f>IF(AND(MAX(M680,M679)&gt;0,M680&gt;M679+0.00000001),1,0)</x:f>
        <x:v>0</x:v>
      </x:c>
      <x:c r="T680" t="n">
        <x:f>IF(AND(MAX(N680,N679)&gt;0,N680&gt;N679+0.00000001),1,0)</x:f>
        <x:v>0</x:v>
      </x:c>
      <x:c r="U680" t="n">
        <x:f>IF(AND(MAX(O680,O679)&gt;0,O680&gt;O679+0.00000001),1,0)</x:f>
        <x:v>0</x:v>
      </x:c>
    </x:row>
    <x:row r="681">
      <x:c r="J681" t="n">
        <x:f>IF(AND(ISNUMBER('Results'!B7),ISNUMBER('Results'!C7),ISNUMBER('Results'!$B$8),ISNUMBER('Inputs'!$B$6),ISNUMBER('Inputs'!$B$7),ISNUMBER('Inputs'!$B$8),ISNUMBER('Inputs'!$B$9),ISNUMBER('Inputs'!$B$10),ISNUMBER('Inputs'!$B$21),ISNUMBER('Inputs'!$B$24),ISNUMBER('Inputs'!$B$28)),(('Results'!B7*(0.5*((((681-43)*MAX('Inputs'!$B$33,'Inputs'!$B$29+'Inputs'!$B$31+'Inputs'!$B$32,'Inputs'!$B$30+'Inputs'!$B$31+'Inputs'!$B$32)/1000+'Inputs'!$B$21)+'Inputs'!$B$7)/SQRT((((681-43)*MAX('Inputs'!$B$33,'Inputs'!$B$29+'Inputs'!$B$31+'Inputs'!$B$32,'Inputs'!$B$30+'Inputs'!$B$31+'Inputs'!$B$32)/1000+'Inputs'!$B$21)+'Inputs'!$B$7)^2+('Inputs'!$B$6/2)^2)-(((681-43)*MAX('Inputs'!$B$33,'Inputs'!$B$29+'Inputs'!$B$31+'Inputs'!$B$32,'Inputs'!$B$30+'Inputs'!$B$31+'Inputs'!$B$32)/1000+'Inputs'!$B$21))/SQRT((((681-43)*MAX('Inputs'!$B$33,'Inputs'!$B$29+'Inputs'!$B$31+'Inputs'!$B$32,'Inputs'!$B$30+'Inputs'!$B$31+'Inputs'!$B$32)/1000+'Inputs'!$B$21))^2+('Inputs'!$B$6/2)^2)))-'Results'!C7*(0.5*((((681-43)*MAX('Inputs'!$B$33,'Inputs'!$B$29+'Inputs'!$B$31+'Inputs'!$B$32,'Inputs'!$B$30+'Inputs'!$B$31+'Inputs'!$B$32)/1000+'Inputs'!$B$21+'Inputs'!$B$7+'Inputs'!$B$10)+'Inputs'!$B$9)/SQRT((((681-43)*MAX('Inputs'!$B$33,'Inputs'!$B$29+'Inputs'!$B$31+'Inputs'!$B$32,'Inputs'!$B$30+'Inputs'!$B$31+'Inputs'!$B$32)/1000+'Inputs'!$B$21+'Inputs'!$B$7+'Inputs'!$B$10)+'Inputs'!$B$9)^2+('Inputs'!$B$8/2)^2)-(((681-43)*MAX('Inputs'!$B$33,'Inputs'!$B$29+'Inputs'!$B$31+'Inputs'!$B$32,'Inputs'!$B$30+'Inputs'!$B$31+'Inputs'!$B$32)/1000+'Inputs'!$B$21+'Inputs'!$B$7+'Inputs'!$B$10))/SQRT((((681-43)*MAX('Inputs'!$B$33,'Inputs'!$B$29+'Inputs'!$B$31+'Inputs'!$B$32,'Inputs'!$B$30+'Inputs'!$B$31+'Inputs'!$B$32)/1000+'Inputs'!$B$21+'Inputs'!$B$7+'Inputs'!$B$10))^2+('Inputs'!$B$8/2)^2))))*'Results'!$B$8),"")</x:f>
        <x:v>1.794182601177868</x:v>
      </x:c>
      <x:c r="K681" t="n">
        <x:f>IF(AND(ISNUMBER('Results'!B7),ISNUMBER('Results'!C7),ISNUMBER('Results'!$B$8),ISNUMBER('Inputs'!$B$6),ISNUMBER('Inputs'!$B$7),ISNUMBER('Inputs'!$B$8),ISNUMBER('Inputs'!$B$9),ISNUMBER('Inputs'!$B$10),ISNUMBER('Inputs'!$B$21),ISNUMBER('Inputs'!$B$24),ISNUMBER('Inputs'!$B$28)),((('Results'!B7*(1-'Inputs'!$B$24)*(0.5*((((681-43)*MAX('Inputs'!$B$33,'Inputs'!$B$29+'Inputs'!$B$31+'Inputs'!$B$32,'Inputs'!$B$30+'Inputs'!$B$31+'Inputs'!$B$32)/1000+'Inputs'!$B$21)+'Inputs'!$B$7)/SQRT((((681-43)*MAX('Inputs'!$B$33,'Inputs'!$B$29+'Inputs'!$B$31+'Inputs'!$B$32,'Inputs'!$B$30+'Inputs'!$B$31+'Inputs'!$B$32)/1000+'Inputs'!$B$21)+'Inputs'!$B$7)^2+('Inputs'!$B$6/2)^2)-(((681-43)*MAX('Inputs'!$B$33,'Inputs'!$B$29+'Inputs'!$B$31+'Inputs'!$B$32,'Inputs'!$B$30+'Inputs'!$B$31+'Inputs'!$B$32)/1000+'Inputs'!$B$21))/SQRT((((681-43)*MAX('Inputs'!$B$33,'Inputs'!$B$29+'Inputs'!$B$31+'Inputs'!$B$32,'Inputs'!$B$30+'Inputs'!$B$31+'Inputs'!$B$32)/1000+'Inputs'!$B$21))^2+('Inputs'!$B$6/2)^2)))-'Results'!C7*(1+'Inputs'!$B$24)*(0.5*((((681-43)*MAX('Inputs'!$B$33,'Inputs'!$B$29+'Inputs'!$B$31+'Inputs'!$B$32,'Inputs'!$B$30+'Inputs'!$B$31+'Inputs'!$B$32)/1000+'Inputs'!$B$21+'Inputs'!$B$7+'Inputs'!$B$10)+'Inputs'!$B$9)/SQRT((((681-43)*MAX('Inputs'!$B$33,'Inputs'!$B$29+'Inputs'!$B$31+'Inputs'!$B$32,'Inputs'!$B$30+'Inputs'!$B$31+'Inputs'!$B$32)/1000+'Inputs'!$B$21+'Inputs'!$B$7+'Inputs'!$B$10)+'Inputs'!$B$9)^2+('Inputs'!$B$8/2)^2)-(((681-43)*MAX('Inputs'!$B$33,'Inputs'!$B$29+'Inputs'!$B$31+'Inputs'!$B$32,'Inputs'!$B$30+'Inputs'!$B$31+'Inputs'!$B$32)/1000+'Inputs'!$B$21+'Inputs'!$B$7+'Inputs'!$B$10))/SQRT((((681-43)*MAX('Inputs'!$B$33,'Inputs'!$B$29+'Inputs'!$B$31+'Inputs'!$B$32,'Inputs'!$B$30+'Inputs'!$B$31+'Inputs'!$B$32)/1000+'Inputs'!$B$21+'Inputs'!$B$7+'Inputs'!$B$10))^2+('Inputs'!$B$8/2)^2))))*'Results'!$B$8)-'Inputs'!$B$28*ABS((('Results'!B7*(1-'Inputs'!$B$24)*(0.5*((((681-43)*MAX('Inputs'!$B$33,'Inputs'!$B$29+'Inputs'!$B$31+'Inputs'!$B$32,'Inputs'!$B$30+'Inputs'!$B$31+'Inputs'!$B$32)/1000+'Inputs'!$B$21)+'Inputs'!$B$7)/SQRT((((681-43)*MAX('Inputs'!$B$33,'Inputs'!$B$29+'Inputs'!$B$31+'Inputs'!$B$32,'Inputs'!$B$30+'Inputs'!$B$31+'Inputs'!$B$32)/1000+'Inputs'!$B$21)+'Inputs'!$B$7)^2+('Inputs'!$B$6/2)^2)-(((681-43)*MAX('Inputs'!$B$33,'Inputs'!$B$29+'Inputs'!$B$31+'Inputs'!$B$32,'Inputs'!$B$30+'Inputs'!$B$31+'Inputs'!$B$32)/1000+'Inputs'!$B$21))/SQRT((((681-43)*MAX('Inputs'!$B$33,'Inputs'!$B$29+'Inputs'!$B$31+'Inputs'!$B$32,'Inputs'!$B$30+'Inputs'!$B$31+'Inputs'!$B$32)/1000+'Inputs'!$B$21))^2+('Inputs'!$B$6/2)^2)))-'Results'!C7*(1+'Inputs'!$B$24)*(0.5*((((681-43)*MAX('Inputs'!$B$33,'Inputs'!$B$29+'Inputs'!$B$31+'Inputs'!$B$32,'Inputs'!$B$30+'Inputs'!$B$31+'Inputs'!$B$32)/1000+'Inputs'!$B$21+'Inputs'!$B$7+'Inputs'!$B$10)+'Inputs'!$B$9)/SQRT((((681-43)*MAX('Inputs'!$B$33,'Inputs'!$B$29+'Inputs'!$B$31+'Inputs'!$B$32,'Inputs'!$B$30+'Inputs'!$B$31+'Inputs'!$B$32)/1000+'Inputs'!$B$21+'Inputs'!$B$7+'Inputs'!$B$10)+'Inputs'!$B$9)^2+('Inputs'!$B$8/2)^2)-(((681-43)*MAX('Inputs'!$B$33,'Inputs'!$B$29+'Inputs'!$B$31+'Inputs'!$B$32,'Inputs'!$B$30+'Inputs'!$B$31+'Inputs'!$B$32)/1000+'Inputs'!$B$21+'Inputs'!$B$7+'Inputs'!$B$10))/SQRT((((681-43)*MAX('Inputs'!$B$33,'Inputs'!$B$29+'Inputs'!$B$31+'Inputs'!$B$32,'Inputs'!$B$30+'Inputs'!$B$31+'Inputs'!$B$32)/1000+'Inputs'!$B$21+'Inputs'!$B$7+'Inputs'!$B$10))^2+('Inputs'!$B$8/2)^2))))*'Results'!$B$8))),"")</x:f>
        <x:v>1.5644431592999062</x:v>
      </x:c>
      <x:c r="L681" t="n">
        <x:f>IF(AND(ISNUMBER('Results'!B7),ISNUMBER('Results'!C7),ISNUMBER('Results'!$B$8),ISNUMBER('Inputs'!$B$6),ISNUMBER('Inputs'!$B$7),ISNUMBER('Inputs'!$B$8),ISNUMBER('Inputs'!$B$9),ISNUMBER('Inputs'!$B$10),ISNUMBER('Inputs'!$B$21),ISNUMBER('Inputs'!$B$24),ISNUMBER('Inputs'!$B$28)),((('Results'!B7*(1+'Inputs'!$B$24)*(0.5*((((681-43)*MAX('Inputs'!$B$33,'Inputs'!$B$29+'Inputs'!$B$31+'Inputs'!$B$32,'Inputs'!$B$30+'Inputs'!$B$31+'Inputs'!$B$32)/1000+'Inputs'!$B$21)+'Inputs'!$B$7)/SQRT((((681-43)*MAX('Inputs'!$B$33,'Inputs'!$B$29+'Inputs'!$B$31+'Inputs'!$B$32,'Inputs'!$B$30+'Inputs'!$B$31+'Inputs'!$B$32)/1000+'Inputs'!$B$21)+'Inputs'!$B$7)^2+('Inputs'!$B$6/2)^2)-(((681-43)*MAX('Inputs'!$B$33,'Inputs'!$B$29+'Inputs'!$B$31+'Inputs'!$B$32,'Inputs'!$B$30+'Inputs'!$B$31+'Inputs'!$B$32)/1000+'Inputs'!$B$21))/SQRT((((681-43)*MAX('Inputs'!$B$33,'Inputs'!$B$29+'Inputs'!$B$31+'Inputs'!$B$32,'Inputs'!$B$30+'Inputs'!$B$31+'Inputs'!$B$32)/1000+'Inputs'!$B$21))^2+('Inputs'!$B$6/2)^2)))-'Results'!C7*(1-'Inputs'!$B$24)*(0.5*((((681-43)*MAX('Inputs'!$B$33,'Inputs'!$B$29+'Inputs'!$B$31+'Inputs'!$B$32,'Inputs'!$B$30+'Inputs'!$B$31+'Inputs'!$B$32)/1000+'Inputs'!$B$21+'Inputs'!$B$7+'Inputs'!$B$10)+'Inputs'!$B$9)/SQRT((((681-43)*MAX('Inputs'!$B$33,'Inputs'!$B$29+'Inputs'!$B$31+'Inputs'!$B$32,'Inputs'!$B$30+'Inputs'!$B$31+'Inputs'!$B$32)/1000+'Inputs'!$B$21+'Inputs'!$B$7+'Inputs'!$B$10)+'Inputs'!$B$9)^2+('Inputs'!$B$8/2)^2)-(((681-43)*MAX('Inputs'!$B$33,'Inputs'!$B$29+'Inputs'!$B$31+'Inputs'!$B$32,'Inputs'!$B$30+'Inputs'!$B$31+'Inputs'!$B$32)/1000+'Inputs'!$B$21+'Inputs'!$B$7+'Inputs'!$B$10))/SQRT((((681-43)*MAX('Inputs'!$B$33,'Inputs'!$B$29+'Inputs'!$B$31+'Inputs'!$B$32,'Inputs'!$B$30+'Inputs'!$B$31+'Inputs'!$B$32)/1000+'Inputs'!$B$21+'Inputs'!$B$7+'Inputs'!$B$10))^2+('Inputs'!$B$8/2)^2))))*'Results'!$B$8)+'Inputs'!$B$28*ABS((('Results'!B7*(1+'Inputs'!$B$24)*(0.5*((((681-43)*MAX('Inputs'!$B$33,'Inputs'!$B$29+'Inputs'!$B$31+'Inputs'!$B$32,'Inputs'!$B$30+'Inputs'!$B$31+'Inputs'!$B$32)/1000+'Inputs'!$B$21)+'Inputs'!$B$7)/SQRT((((681-43)*MAX('Inputs'!$B$33,'Inputs'!$B$29+'Inputs'!$B$31+'Inputs'!$B$32,'Inputs'!$B$30+'Inputs'!$B$31+'Inputs'!$B$32)/1000+'Inputs'!$B$21)+'Inputs'!$B$7)^2+('Inputs'!$B$6/2)^2)-(((681-43)*MAX('Inputs'!$B$33,'Inputs'!$B$29+'Inputs'!$B$31+'Inputs'!$B$32,'Inputs'!$B$30+'Inputs'!$B$31+'Inputs'!$B$32)/1000+'Inputs'!$B$21))/SQRT((((681-43)*MAX('Inputs'!$B$33,'Inputs'!$B$29+'Inputs'!$B$31+'Inputs'!$B$32,'Inputs'!$B$30+'Inputs'!$B$31+'Inputs'!$B$32)/1000+'Inputs'!$B$21))^2+('Inputs'!$B$6/2)^2)))-'Results'!C7*(1-'Inputs'!$B$24)*(0.5*((((681-43)*MAX('Inputs'!$B$33,'Inputs'!$B$29+'Inputs'!$B$31+'Inputs'!$B$32,'Inputs'!$B$30+'Inputs'!$B$31+'Inputs'!$B$32)/1000+'Inputs'!$B$21+'Inputs'!$B$7+'Inputs'!$B$10)+'Inputs'!$B$9)/SQRT((((681-43)*MAX('Inputs'!$B$33,'Inputs'!$B$29+'Inputs'!$B$31+'Inputs'!$B$32,'Inputs'!$B$30+'Inputs'!$B$31+'Inputs'!$B$32)/1000+'Inputs'!$B$21+'Inputs'!$B$7+'Inputs'!$B$10)+'Inputs'!$B$9)^2+('Inputs'!$B$8/2)^2)-(((681-43)*MAX('Inputs'!$B$33,'Inputs'!$B$29+'Inputs'!$B$31+'Inputs'!$B$32,'Inputs'!$B$30+'Inputs'!$B$31+'Inputs'!$B$32)/1000+'Inputs'!$B$21+'Inputs'!$B$7+'Inputs'!$B$10))/SQRT((((681-43)*MAX('Inputs'!$B$33,'Inputs'!$B$29+'Inputs'!$B$31+'Inputs'!$B$32,'Inputs'!$B$30+'Inputs'!$B$31+'Inputs'!$B$32)/1000+'Inputs'!$B$21+'Inputs'!$B$7+'Inputs'!$B$10))^2+('Inputs'!$B$8/2)^2))))*'Results'!$B$8))),"")</x:f>
        <x:v>2.03866207587889</x:v>
      </x:c>
      <x:c r="M681" t="n">
        <x:f>IF(AND(ISNUMBER('Results'!C7),ISNUMBER('Results'!B7),ISNUMBER('Results'!$B$8),ISNUMBER('Inputs'!$B$6),ISNUMBER('Inputs'!$B$7),ISNUMBER('Inputs'!$B$8),ISNUMBER('Inputs'!$B$9),ISNUMBER('Inputs'!$B$10),ISNUMBER('Inputs'!$B$21),ISNUMBER('Inputs'!$B$24),ISNUMBER('Inputs'!$B$28)),(('Results'!C7*(0.5*((((681-43)*MAX('Inputs'!$B$33,'Inputs'!$B$29+'Inputs'!$B$31+'Inputs'!$B$32,'Inputs'!$B$30+'Inputs'!$B$31+'Inputs'!$B$32)/1000+'Inputs'!$B$21)+'Inputs'!$B$9)/SQRT((((681-43)*MAX('Inputs'!$B$33,'Inputs'!$B$29+'Inputs'!$B$31+'Inputs'!$B$32,'Inputs'!$B$30+'Inputs'!$B$31+'Inputs'!$B$32)/1000+'Inputs'!$B$21)+'Inputs'!$B$9)^2+('Inputs'!$B$8/2)^2)-(((681-43)*MAX('Inputs'!$B$33,'Inputs'!$B$29+'Inputs'!$B$31+'Inputs'!$B$32,'Inputs'!$B$30+'Inputs'!$B$31+'Inputs'!$B$32)/1000+'Inputs'!$B$21))/SQRT((((681-43)*MAX('Inputs'!$B$33,'Inputs'!$B$29+'Inputs'!$B$31+'Inputs'!$B$32,'Inputs'!$B$30+'Inputs'!$B$31+'Inputs'!$B$32)/1000+'Inputs'!$B$21))^2+('Inputs'!$B$8/2)^2)))-'Results'!B7*(0.5*((((681-43)*MAX('Inputs'!$B$33,'Inputs'!$B$29+'Inputs'!$B$31+'Inputs'!$B$32,'Inputs'!$B$30+'Inputs'!$B$31+'Inputs'!$B$32)/1000+'Inputs'!$B$21+'Inputs'!$B$9+'Inputs'!$B$10)+'Inputs'!$B$7)/SQRT((((681-43)*MAX('Inputs'!$B$33,'Inputs'!$B$29+'Inputs'!$B$31+'Inputs'!$B$32,'Inputs'!$B$30+'Inputs'!$B$31+'Inputs'!$B$32)/1000+'Inputs'!$B$21+'Inputs'!$B$9+'Inputs'!$B$10)+'Inputs'!$B$7)^2+('Inputs'!$B$6/2)^2)-(((681-43)*MAX('Inputs'!$B$33,'Inputs'!$B$29+'Inputs'!$B$31+'Inputs'!$B$32,'Inputs'!$B$30+'Inputs'!$B$31+'Inputs'!$B$32)/1000+'Inputs'!$B$21+'Inputs'!$B$9+'Inputs'!$B$10))/SQRT((((681-43)*MAX('Inputs'!$B$33,'Inputs'!$B$29+'Inputs'!$B$31+'Inputs'!$B$32,'Inputs'!$B$30+'Inputs'!$B$31+'Inputs'!$B$32)/1000+'Inputs'!$B$21+'Inputs'!$B$9+'Inputs'!$B$10))^2+('Inputs'!$B$6/2)^2))))*'Results'!$B$8),"")</x:f>
        <x:v>1.6456443476798512</x:v>
      </x:c>
      <x:c r="N681" t="n">
        <x:f>IF(AND(ISNUMBER('Results'!C7),ISNUMBER('Results'!B7),ISNUMBER('Results'!$B$8),ISNUMBER('Inputs'!$B$6),ISNUMBER('Inputs'!$B$7),ISNUMBER('Inputs'!$B$8),ISNUMBER('Inputs'!$B$9),ISNUMBER('Inputs'!$B$10),ISNUMBER('Inputs'!$B$21),ISNUMBER('Inputs'!$B$24),ISNUMBER('Inputs'!$B$28)),((('Results'!C7*(1-'Inputs'!$B$24)*(0.5*((((681-43)*MAX('Inputs'!$B$33,'Inputs'!$B$29+'Inputs'!$B$31+'Inputs'!$B$32,'Inputs'!$B$30+'Inputs'!$B$31+'Inputs'!$B$32)/1000+'Inputs'!$B$21)+'Inputs'!$B$9)/SQRT((((681-43)*MAX('Inputs'!$B$33,'Inputs'!$B$29+'Inputs'!$B$31+'Inputs'!$B$32,'Inputs'!$B$30+'Inputs'!$B$31+'Inputs'!$B$32)/1000+'Inputs'!$B$21)+'Inputs'!$B$9)^2+('Inputs'!$B$8/2)^2)-(((681-43)*MAX('Inputs'!$B$33,'Inputs'!$B$29+'Inputs'!$B$31+'Inputs'!$B$32,'Inputs'!$B$30+'Inputs'!$B$31+'Inputs'!$B$32)/1000+'Inputs'!$B$21))/SQRT((((681-43)*MAX('Inputs'!$B$33,'Inputs'!$B$29+'Inputs'!$B$31+'Inputs'!$B$32,'Inputs'!$B$30+'Inputs'!$B$31+'Inputs'!$B$32)/1000+'Inputs'!$B$21))^2+('Inputs'!$B$8/2)^2)))-'Results'!B7*(1+'Inputs'!$B$24)*(0.5*((((681-43)*MAX('Inputs'!$B$33,'Inputs'!$B$29+'Inputs'!$B$31+'Inputs'!$B$32,'Inputs'!$B$30+'Inputs'!$B$31+'Inputs'!$B$32)/1000+'Inputs'!$B$21+'Inputs'!$B$9+'Inputs'!$B$10)+'Inputs'!$B$7)/SQRT((((681-43)*MAX('Inputs'!$B$33,'Inputs'!$B$29+'Inputs'!$B$31+'Inputs'!$B$32,'Inputs'!$B$30+'Inputs'!$B$31+'Inputs'!$B$32)/1000+'Inputs'!$B$21+'Inputs'!$B$9+'Inputs'!$B$10)+'Inputs'!$B$7)^2+('Inputs'!$B$6/2)^2)-(((681-43)*MAX('Inputs'!$B$33,'Inputs'!$B$29+'Inputs'!$B$31+'Inputs'!$B$32,'Inputs'!$B$30+'Inputs'!$B$31+'Inputs'!$B$32)/1000+'Inputs'!$B$21+'Inputs'!$B$9+'Inputs'!$B$10))/SQRT((((681-43)*MAX('Inputs'!$B$33,'Inputs'!$B$29+'Inputs'!$B$31+'Inputs'!$B$32,'Inputs'!$B$30+'Inputs'!$B$31+'Inputs'!$B$32)/1000+'Inputs'!$B$21+'Inputs'!$B$9+'Inputs'!$B$10))^2+('Inputs'!$B$6/2)^2))))*'Results'!$B$8)-'Inputs'!$B$28*ABS((('Results'!C7*(1-'Inputs'!$B$24)*(0.5*((((681-43)*MAX('Inputs'!$B$33,'Inputs'!$B$29+'Inputs'!$B$31+'Inputs'!$B$32,'Inputs'!$B$30+'Inputs'!$B$31+'Inputs'!$B$32)/1000+'Inputs'!$B$21)+'Inputs'!$B$9)/SQRT((((681-43)*MAX('Inputs'!$B$33,'Inputs'!$B$29+'Inputs'!$B$31+'Inputs'!$B$32,'Inputs'!$B$30+'Inputs'!$B$31+'Inputs'!$B$32)/1000+'Inputs'!$B$21)+'Inputs'!$B$9)^2+('Inputs'!$B$8/2)^2)-(((681-43)*MAX('Inputs'!$B$33,'Inputs'!$B$29+'Inputs'!$B$31+'Inputs'!$B$32,'Inputs'!$B$30+'Inputs'!$B$31+'Inputs'!$B$32)/1000+'Inputs'!$B$21))/SQRT((((681-43)*MAX('Inputs'!$B$33,'Inputs'!$B$29+'Inputs'!$B$31+'Inputs'!$B$32,'Inputs'!$B$30+'Inputs'!$B$31+'Inputs'!$B$32)/1000+'Inputs'!$B$21))^2+('Inputs'!$B$8/2)^2)))-'Results'!B7*(1+'Inputs'!$B$24)*(0.5*((((681-43)*MAX('Inputs'!$B$33,'Inputs'!$B$29+'Inputs'!$B$31+'Inputs'!$B$32,'Inputs'!$B$30+'Inputs'!$B$31+'Inputs'!$B$32)/1000+'Inputs'!$B$21+'Inputs'!$B$9+'Inputs'!$B$10)+'Inputs'!$B$7)/SQRT((((681-43)*MAX('Inputs'!$B$33,'Inputs'!$B$29+'Inputs'!$B$31+'Inputs'!$B$32,'Inputs'!$B$30+'Inputs'!$B$31+'Inputs'!$B$32)/1000+'Inputs'!$B$21+'Inputs'!$B$9+'Inputs'!$B$10)+'Inputs'!$B$7)^2+('Inputs'!$B$6/2)^2)-(((681-43)*MAX('Inputs'!$B$33,'Inputs'!$B$29+'Inputs'!$B$31+'Inputs'!$B$32,'Inputs'!$B$30+'Inputs'!$B$31+'Inputs'!$B$32)/1000+'Inputs'!$B$21+'Inputs'!$B$9+'Inputs'!$B$10))/SQRT((((681-43)*MAX('Inputs'!$B$33,'Inputs'!$B$29+'Inputs'!$B$31+'Inputs'!$B$32,'Inputs'!$B$30+'Inputs'!$B$31+'Inputs'!$B$32)/1000+'Inputs'!$B$21+'Inputs'!$B$9+'Inputs'!$B$10))^2+('Inputs'!$B$6/2)^2))))*'Results'!$B$8))),"")</x:f>
        <x:v>1.4239919872851563</x:v>
      </x:c>
      <x:c r="O681" t="n">
        <x:f>IF(AND(ISNUMBER('Results'!C7),ISNUMBER('Results'!B7),ISNUMBER('Results'!$B$8),ISNUMBER('Inputs'!$B$6),ISNUMBER('Inputs'!$B$7),ISNUMBER('Inputs'!$B$8),ISNUMBER('Inputs'!$B$9),ISNUMBER('Inputs'!$B$10),ISNUMBER('Inputs'!$B$21),ISNUMBER('Inputs'!$B$24),ISNUMBER('Inputs'!$B$28)),((('Results'!C7*(1+'Inputs'!$B$24)*(0.5*((((681-43)*MAX('Inputs'!$B$33,'Inputs'!$B$29+'Inputs'!$B$31+'Inputs'!$B$32,'Inputs'!$B$30+'Inputs'!$B$31+'Inputs'!$B$32)/1000+'Inputs'!$B$21)+'Inputs'!$B$9)/SQRT((((681-43)*MAX('Inputs'!$B$33,'Inputs'!$B$29+'Inputs'!$B$31+'Inputs'!$B$32,'Inputs'!$B$30+'Inputs'!$B$31+'Inputs'!$B$32)/1000+'Inputs'!$B$21)+'Inputs'!$B$9)^2+('Inputs'!$B$8/2)^2)-(((681-43)*MAX('Inputs'!$B$33,'Inputs'!$B$29+'Inputs'!$B$31+'Inputs'!$B$32,'Inputs'!$B$30+'Inputs'!$B$31+'Inputs'!$B$32)/1000+'Inputs'!$B$21))/SQRT((((681-43)*MAX('Inputs'!$B$33,'Inputs'!$B$29+'Inputs'!$B$31+'Inputs'!$B$32,'Inputs'!$B$30+'Inputs'!$B$31+'Inputs'!$B$32)/1000+'Inputs'!$B$21))^2+('Inputs'!$B$8/2)^2)))-'Results'!B7*(1-'Inputs'!$B$24)*(0.5*((((681-43)*MAX('Inputs'!$B$33,'Inputs'!$B$29+'Inputs'!$B$31+'Inputs'!$B$32,'Inputs'!$B$30+'Inputs'!$B$31+'Inputs'!$B$32)/1000+'Inputs'!$B$21+'Inputs'!$B$9+'Inputs'!$B$10)+'Inputs'!$B$7)/SQRT((((681-43)*MAX('Inputs'!$B$33,'Inputs'!$B$29+'Inputs'!$B$31+'Inputs'!$B$32,'Inputs'!$B$30+'Inputs'!$B$31+'Inputs'!$B$32)/1000+'Inputs'!$B$21+'Inputs'!$B$9+'Inputs'!$B$10)+'Inputs'!$B$7)^2+('Inputs'!$B$6/2)^2)-(((681-43)*MAX('Inputs'!$B$33,'Inputs'!$B$29+'Inputs'!$B$31+'Inputs'!$B$32,'Inputs'!$B$30+'Inputs'!$B$31+'Inputs'!$B$32)/1000+'Inputs'!$B$21+'Inputs'!$B$9+'Inputs'!$B$10))/SQRT((((681-43)*MAX('Inputs'!$B$33,'Inputs'!$B$29+'Inputs'!$B$31+'Inputs'!$B$32,'Inputs'!$B$30+'Inputs'!$B$31+'Inputs'!$B$32)/1000+'Inputs'!$B$21+'Inputs'!$B$9+'Inputs'!$B$10))^2+('Inputs'!$B$6/2)^2))))*'Results'!$B$8)+'Inputs'!$B$28*ABS((('Results'!C7*(1+'Inputs'!$B$24)*(0.5*((((681-43)*MAX('Inputs'!$B$33,'Inputs'!$B$29+'Inputs'!$B$31+'Inputs'!$B$32,'Inputs'!$B$30+'Inputs'!$B$31+'Inputs'!$B$32)/1000+'Inputs'!$B$21)+'Inputs'!$B$9)/SQRT((((681-43)*MAX('Inputs'!$B$33,'Inputs'!$B$29+'Inputs'!$B$31+'Inputs'!$B$32,'Inputs'!$B$30+'Inputs'!$B$31+'Inputs'!$B$32)/1000+'Inputs'!$B$21)+'Inputs'!$B$9)^2+('Inputs'!$B$8/2)^2)-(((681-43)*MAX('Inputs'!$B$33,'Inputs'!$B$29+'Inputs'!$B$31+'Inputs'!$B$32,'Inputs'!$B$30+'Inputs'!$B$31+'Inputs'!$B$32)/1000+'Inputs'!$B$21))/SQRT((((681-43)*MAX('Inputs'!$B$33,'Inputs'!$B$29+'Inputs'!$B$31+'Inputs'!$B$32,'Inputs'!$B$30+'Inputs'!$B$31+'Inputs'!$B$32)/1000+'Inputs'!$B$21))^2+('Inputs'!$B$8/2)^2)))-'Results'!B7*(1-'Inputs'!$B$24)*(0.5*((((681-43)*MAX('Inputs'!$B$33,'Inputs'!$B$29+'Inputs'!$B$31+'Inputs'!$B$32,'Inputs'!$B$30+'Inputs'!$B$31+'Inputs'!$B$32)/1000+'Inputs'!$B$21+'Inputs'!$B$9+'Inputs'!$B$10)+'Inputs'!$B$7)/SQRT((((681-43)*MAX('Inputs'!$B$33,'Inputs'!$B$29+'Inputs'!$B$31+'Inputs'!$B$32,'Inputs'!$B$30+'Inputs'!$B$31+'Inputs'!$B$32)/1000+'Inputs'!$B$21+'Inputs'!$B$9+'Inputs'!$B$10)+'Inputs'!$B$7)^2+('Inputs'!$B$6/2)^2)-(((681-43)*MAX('Inputs'!$B$33,'Inputs'!$B$29+'Inputs'!$B$31+'Inputs'!$B$32,'Inputs'!$B$30+'Inputs'!$B$31+'Inputs'!$B$32)/1000+'Inputs'!$B$21+'Inputs'!$B$9+'Inputs'!$B$10))/SQRT((((681-43)*MAX('Inputs'!$B$33,'Inputs'!$B$29+'Inputs'!$B$31+'Inputs'!$B$32,'Inputs'!$B$30+'Inputs'!$B$31+'Inputs'!$B$32)/1000+'Inputs'!$B$21+'Inputs'!$B$9+'Inputs'!$B$10))^2+('Inputs'!$B$6/2)^2))))*'Results'!$B$8))),"")</x:f>
        <x:v>1.8819672494440938</x:v>
      </x:c>
      <x:c r="P681" t="n">
        <x:f>IF(AND(MAX(J681,J680)&gt;0,J681&gt;J680+0.00000001),1,0)</x:f>
        <x:v>0</x:v>
      </x:c>
      <x:c r="Q681" t="n">
        <x:f>IF(AND(MAX(K681,K680)&gt;0,K681&gt;K680+0.00000001),1,0)</x:f>
        <x:v>0</x:v>
      </x:c>
      <x:c r="R681" t="n">
        <x:f>IF(AND(MAX(L681,L680)&gt;0,L681&gt;L680+0.00000001),1,0)</x:f>
        <x:v>0</x:v>
      </x:c>
      <x:c r="S681" t="n">
        <x:f>IF(AND(MAX(M681,M680)&gt;0,M681&gt;M680+0.00000001),1,0)</x:f>
        <x:v>0</x:v>
      </x:c>
      <x:c r="T681" t="n">
        <x:f>IF(AND(MAX(N681,N680)&gt;0,N681&gt;N680+0.00000001),1,0)</x:f>
        <x:v>0</x:v>
      </x:c>
      <x:c r="U681" t="n">
        <x:f>IF(AND(MAX(O681,O680)&gt;0,O681&gt;O680+0.00000001),1,0)</x:f>
        <x:v>0</x:v>
      </x:c>
    </x:row>
    <x:row r="682">
      <x:c r="J682" t="n">
        <x:f>IF(AND(ISNUMBER('Results'!B7),ISNUMBER('Results'!C7),ISNUMBER('Results'!$B$8),ISNUMBER('Inputs'!$B$6),ISNUMBER('Inputs'!$B$7),ISNUMBER('Inputs'!$B$8),ISNUMBER('Inputs'!$B$9),ISNUMBER('Inputs'!$B$10),ISNUMBER('Inputs'!$B$21),ISNUMBER('Inputs'!$B$24),ISNUMBER('Inputs'!$B$28)),(('Results'!B7*(0.5*((((682-43)*MAX('Inputs'!$B$33,'Inputs'!$B$29+'Inputs'!$B$31+'Inputs'!$B$32,'Inputs'!$B$30+'Inputs'!$B$31+'Inputs'!$B$32)/1000+'Inputs'!$B$21)+'Inputs'!$B$7)/SQRT((((682-43)*MAX('Inputs'!$B$33,'Inputs'!$B$29+'Inputs'!$B$31+'Inputs'!$B$32,'Inputs'!$B$30+'Inputs'!$B$31+'Inputs'!$B$32)/1000+'Inputs'!$B$21)+'Inputs'!$B$7)^2+('Inputs'!$B$6/2)^2)-(((682-43)*MAX('Inputs'!$B$33,'Inputs'!$B$29+'Inputs'!$B$31+'Inputs'!$B$32,'Inputs'!$B$30+'Inputs'!$B$31+'Inputs'!$B$32)/1000+'Inputs'!$B$21))/SQRT((((682-43)*MAX('Inputs'!$B$33,'Inputs'!$B$29+'Inputs'!$B$31+'Inputs'!$B$32,'Inputs'!$B$30+'Inputs'!$B$31+'Inputs'!$B$32)/1000+'Inputs'!$B$21))^2+('Inputs'!$B$6/2)^2)))-'Results'!C7*(0.5*((((682-43)*MAX('Inputs'!$B$33,'Inputs'!$B$29+'Inputs'!$B$31+'Inputs'!$B$32,'Inputs'!$B$30+'Inputs'!$B$31+'Inputs'!$B$32)/1000+'Inputs'!$B$21+'Inputs'!$B$7+'Inputs'!$B$10)+'Inputs'!$B$9)/SQRT((((682-43)*MAX('Inputs'!$B$33,'Inputs'!$B$29+'Inputs'!$B$31+'Inputs'!$B$32,'Inputs'!$B$30+'Inputs'!$B$31+'Inputs'!$B$32)/1000+'Inputs'!$B$21+'Inputs'!$B$7+'Inputs'!$B$10)+'Inputs'!$B$9)^2+('Inputs'!$B$8/2)^2)-(((682-43)*MAX('Inputs'!$B$33,'Inputs'!$B$29+'Inputs'!$B$31+'Inputs'!$B$32,'Inputs'!$B$30+'Inputs'!$B$31+'Inputs'!$B$32)/1000+'Inputs'!$B$21+'Inputs'!$B$7+'Inputs'!$B$10))/SQRT((((682-43)*MAX('Inputs'!$B$33,'Inputs'!$B$29+'Inputs'!$B$31+'Inputs'!$B$32,'Inputs'!$B$30+'Inputs'!$B$31+'Inputs'!$B$32)/1000+'Inputs'!$B$21+'Inputs'!$B$7+'Inputs'!$B$10))^2+('Inputs'!$B$8/2)^2))))*'Results'!$B$8),"")</x:f>
        <x:v>1.7843192411564555</x:v>
      </x:c>
      <x:c r="K682" t="n">
        <x:f>IF(AND(ISNUMBER('Results'!B7),ISNUMBER('Results'!C7),ISNUMBER('Results'!$B$8),ISNUMBER('Inputs'!$B$6),ISNUMBER('Inputs'!$B$7),ISNUMBER('Inputs'!$B$8),ISNUMBER('Inputs'!$B$9),ISNUMBER('Inputs'!$B$10),ISNUMBER('Inputs'!$B$21),ISNUMBER('Inputs'!$B$24),ISNUMBER('Inputs'!$B$28)),((('Results'!B7*(1-'Inputs'!$B$24)*(0.5*((((682-43)*MAX('Inputs'!$B$33,'Inputs'!$B$29+'Inputs'!$B$31+'Inputs'!$B$32,'Inputs'!$B$30+'Inputs'!$B$31+'Inputs'!$B$32)/1000+'Inputs'!$B$21)+'Inputs'!$B$7)/SQRT((((682-43)*MAX('Inputs'!$B$33,'Inputs'!$B$29+'Inputs'!$B$31+'Inputs'!$B$32,'Inputs'!$B$30+'Inputs'!$B$31+'Inputs'!$B$32)/1000+'Inputs'!$B$21)+'Inputs'!$B$7)^2+('Inputs'!$B$6/2)^2)-(((682-43)*MAX('Inputs'!$B$33,'Inputs'!$B$29+'Inputs'!$B$31+'Inputs'!$B$32,'Inputs'!$B$30+'Inputs'!$B$31+'Inputs'!$B$32)/1000+'Inputs'!$B$21))/SQRT((((682-43)*MAX('Inputs'!$B$33,'Inputs'!$B$29+'Inputs'!$B$31+'Inputs'!$B$32,'Inputs'!$B$30+'Inputs'!$B$31+'Inputs'!$B$32)/1000+'Inputs'!$B$21))^2+('Inputs'!$B$6/2)^2)))-'Results'!C7*(1+'Inputs'!$B$24)*(0.5*((((682-43)*MAX('Inputs'!$B$33,'Inputs'!$B$29+'Inputs'!$B$31+'Inputs'!$B$32,'Inputs'!$B$30+'Inputs'!$B$31+'Inputs'!$B$32)/1000+'Inputs'!$B$21+'Inputs'!$B$7+'Inputs'!$B$10)+'Inputs'!$B$9)/SQRT((((682-43)*MAX('Inputs'!$B$33,'Inputs'!$B$29+'Inputs'!$B$31+'Inputs'!$B$32,'Inputs'!$B$30+'Inputs'!$B$31+'Inputs'!$B$32)/1000+'Inputs'!$B$21+'Inputs'!$B$7+'Inputs'!$B$10)+'Inputs'!$B$9)^2+('Inputs'!$B$8/2)^2)-(((682-43)*MAX('Inputs'!$B$33,'Inputs'!$B$29+'Inputs'!$B$31+'Inputs'!$B$32,'Inputs'!$B$30+'Inputs'!$B$31+'Inputs'!$B$32)/1000+'Inputs'!$B$21+'Inputs'!$B$7+'Inputs'!$B$10))/SQRT((((682-43)*MAX('Inputs'!$B$33,'Inputs'!$B$29+'Inputs'!$B$31+'Inputs'!$B$32,'Inputs'!$B$30+'Inputs'!$B$31+'Inputs'!$B$32)/1000+'Inputs'!$B$21+'Inputs'!$B$7+'Inputs'!$B$10))^2+('Inputs'!$B$8/2)^2))))*'Results'!$B$8)-'Inputs'!$B$28*ABS((('Results'!B7*(1-'Inputs'!$B$24)*(0.5*((((682-43)*MAX('Inputs'!$B$33,'Inputs'!$B$29+'Inputs'!$B$31+'Inputs'!$B$32,'Inputs'!$B$30+'Inputs'!$B$31+'Inputs'!$B$32)/1000+'Inputs'!$B$21)+'Inputs'!$B$7)/SQRT((((682-43)*MAX('Inputs'!$B$33,'Inputs'!$B$29+'Inputs'!$B$31+'Inputs'!$B$32,'Inputs'!$B$30+'Inputs'!$B$31+'Inputs'!$B$32)/1000+'Inputs'!$B$21)+'Inputs'!$B$7)^2+('Inputs'!$B$6/2)^2)-(((682-43)*MAX('Inputs'!$B$33,'Inputs'!$B$29+'Inputs'!$B$31+'Inputs'!$B$32,'Inputs'!$B$30+'Inputs'!$B$31+'Inputs'!$B$32)/1000+'Inputs'!$B$21))/SQRT((((682-43)*MAX('Inputs'!$B$33,'Inputs'!$B$29+'Inputs'!$B$31+'Inputs'!$B$32,'Inputs'!$B$30+'Inputs'!$B$31+'Inputs'!$B$32)/1000+'Inputs'!$B$21))^2+('Inputs'!$B$6/2)^2)))-'Results'!C7*(1+'Inputs'!$B$24)*(0.5*((((682-43)*MAX('Inputs'!$B$33,'Inputs'!$B$29+'Inputs'!$B$31+'Inputs'!$B$32,'Inputs'!$B$30+'Inputs'!$B$31+'Inputs'!$B$32)/1000+'Inputs'!$B$21+'Inputs'!$B$7+'Inputs'!$B$10)+'Inputs'!$B$9)/SQRT((((682-43)*MAX('Inputs'!$B$33,'Inputs'!$B$29+'Inputs'!$B$31+'Inputs'!$B$32,'Inputs'!$B$30+'Inputs'!$B$31+'Inputs'!$B$32)/1000+'Inputs'!$B$21+'Inputs'!$B$7+'Inputs'!$B$10)+'Inputs'!$B$9)^2+('Inputs'!$B$8/2)^2)-(((682-43)*MAX('Inputs'!$B$33,'Inputs'!$B$29+'Inputs'!$B$31+'Inputs'!$B$32,'Inputs'!$B$30+'Inputs'!$B$31+'Inputs'!$B$32)/1000+'Inputs'!$B$21+'Inputs'!$B$7+'Inputs'!$B$10))/SQRT((((682-43)*MAX('Inputs'!$B$33,'Inputs'!$B$29+'Inputs'!$B$31+'Inputs'!$B$32,'Inputs'!$B$30+'Inputs'!$B$31+'Inputs'!$B$32)/1000+'Inputs'!$B$21+'Inputs'!$B$7+'Inputs'!$B$10))^2+('Inputs'!$B$8/2)^2))))*'Results'!$B$8))),"")</x:f>
        <x:v>1.5556667828589175</x:v>
      </x:c>
      <x:c r="L682" t="n">
        <x:f>IF(AND(ISNUMBER('Results'!B7),ISNUMBER('Results'!C7),ISNUMBER('Results'!$B$8),ISNUMBER('Inputs'!$B$6),ISNUMBER('Inputs'!$B$7),ISNUMBER('Inputs'!$B$8),ISNUMBER('Inputs'!$B$9),ISNUMBER('Inputs'!$B$10),ISNUMBER('Inputs'!$B$21),ISNUMBER('Inputs'!$B$24),ISNUMBER('Inputs'!$B$28)),((('Results'!B7*(1+'Inputs'!$B$24)*(0.5*((((682-43)*MAX('Inputs'!$B$33,'Inputs'!$B$29+'Inputs'!$B$31+'Inputs'!$B$32,'Inputs'!$B$30+'Inputs'!$B$31+'Inputs'!$B$32)/1000+'Inputs'!$B$21)+'Inputs'!$B$7)/SQRT((((682-43)*MAX('Inputs'!$B$33,'Inputs'!$B$29+'Inputs'!$B$31+'Inputs'!$B$32,'Inputs'!$B$30+'Inputs'!$B$31+'Inputs'!$B$32)/1000+'Inputs'!$B$21)+'Inputs'!$B$7)^2+('Inputs'!$B$6/2)^2)-(((682-43)*MAX('Inputs'!$B$33,'Inputs'!$B$29+'Inputs'!$B$31+'Inputs'!$B$32,'Inputs'!$B$30+'Inputs'!$B$31+'Inputs'!$B$32)/1000+'Inputs'!$B$21))/SQRT((((682-43)*MAX('Inputs'!$B$33,'Inputs'!$B$29+'Inputs'!$B$31+'Inputs'!$B$32,'Inputs'!$B$30+'Inputs'!$B$31+'Inputs'!$B$32)/1000+'Inputs'!$B$21))^2+('Inputs'!$B$6/2)^2)))-'Results'!C7*(1-'Inputs'!$B$24)*(0.5*((((682-43)*MAX('Inputs'!$B$33,'Inputs'!$B$29+'Inputs'!$B$31+'Inputs'!$B$32,'Inputs'!$B$30+'Inputs'!$B$31+'Inputs'!$B$32)/1000+'Inputs'!$B$21+'Inputs'!$B$7+'Inputs'!$B$10)+'Inputs'!$B$9)/SQRT((((682-43)*MAX('Inputs'!$B$33,'Inputs'!$B$29+'Inputs'!$B$31+'Inputs'!$B$32,'Inputs'!$B$30+'Inputs'!$B$31+'Inputs'!$B$32)/1000+'Inputs'!$B$21+'Inputs'!$B$7+'Inputs'!$B$10)+'Inputs'!$B$9)^2+('Inputs'!$B$8/2)^2)-(((682-43)*MAX('Inputs'!$B$33,'Inputs'!$B$29+'Inputs'!$B$31+'Inputs'!$B$32,'Inputs'!$B$30+'Inputs'!$B$31+'Inputs'!$B$32)/1000+'Inputs'!$B$21+'Inputs'!$B$7+'Inputs'!$B$10))/SQRT((((682-43)*MAX('Inputs'!$B$33,'Inputs'!$B$29+'Inputs'!$B$31+'Inputs'!$B$32,'Inputs'!$B$30+'Inputs'!$B$31+'Inputs'!$B$32)/1000+'Inputs'!$B$21+'Inputs'!$B$7+'Inputs'!$B$10))^2+('Inputs'!$B$8/2)^2))))*'Results'!$B$8)+'Inputs'!$B$28*ABS((('Results'!B7*(1+'Inputs'!$B$24)*(0.5*((((682-43)*MAX('Inputs'!$B$33,'Inputs'!$B$29+'Inputs'!$B$31+'Inputs'!$B$32,'Inputs'!$B$30+'Inputs'!$B$31+'Inputs'!$B$32)/1000+'Inputs'!$B$21)+'Inputs'!$B$7)/SQRT((((682-43)*MAX('Inputs'!$B$33,'Inputs'!$B$29+'Inputs'!$B$31+'Inputs'!$B$32,'Inputs'!$B$30+'Inputs'!$B$31+'Inputs'!$B$32)/1000+'Inputs'!$B$21)+'Inputs'!$B$7)^2+('Inputs'!$B$6/2)^2)-(((682-43)*MAX('Inputs'!$B$33,'Inputs'!$B$29+'Inputs'!$B$31+'Inputs'!$B$32,'Inputs'!$B$30+'Inputs'!$B$31+'Inputs'!$B$32)/1000+'Inputs'!$B$21))/SQRT((((682-43)*MAX('Inputs'!$B$33,'Inputs'!$B$29+'Inputs'!$B$31+'Inputs'!$B$32,'Inputs'!$B$30+'Inputs'!$B$31+'Inputs'!$B$32)/1000+'Inputs'!$B$21))^2+('Inputs'!$B$6/2)^2)))-'Results'!C7*(1-'Inputs'!$B$24)*(0.5*((((682-43)*MAX('Inputs'!$B$33,'Inputs'!$B$29+'Inputs'!$B$31+'Inputs'!$B$32,'Inputs'!$B$30+'Inputs'!$B$31+'Inputs'!$B$32)/1000+'Inputs'!$B$21+'Inputs'!$B$7+'Inputs'!$B$10)+'Inputs'!$B$9)/SQRT((((682-43)*MAX('Inputs'!$B$33,'Inputs'!$B$29+'Inputs'!$B$31+'Inputs'!$B$32,'Inputs'!$B$30+'Inputs'!$B$31+'Inputs'!$B$32)/1000+'Inputs'!$B$21+'Inputs'!$B$7+'Inputs'!$B$10)+'Inputs'!$B$9)^2+('Inputs'!$B$8/2)^2)-(((682-43)*MAX('Inputs'!$B$33,'Inputs'!$B$29+'Inputs'!$B$31+'Inputs'!$B$32,'Inputs'!$B$30+'Inputs'!$B$31+'Inputs'!$B$32)/1000+'Inputs'!$B$21+'Inputs'!$B$7+'Inputs'!$B$10))/SQRT((((682-43)*MAX('Inputs'!$B$33,'Inputs'!$B$29+'Inputs'!$B$31+'Inputs'!$B$32,'Inputs'!$B$30+'Inputs'!$B$31+'Inputs'!$B$32)/1000+'Inputs'!$B$21+'Inputs'!$B$7+'Inputs'!$B$10))^2+('Inputs'!$B$8/2)^2))))*'Results'!$B$8))),"")</x:f>
        <x:v>2.0276492253739624</x:v>
      </x:c>
      <x:c r="M682" t="n">
        <x:f>IF(AND(ISNUMBER('Results'!C7),ISNUMBER('Results'!B7),ISNUMBER('Results'!$B$8),ISNUMBER('Inputs'!$B$6),ISNUMBER('Inputs'!$B$7),ISNUMBER('Inputs'!$B$8),ISNUMBER('Inputs'!$B$9),ISNUMBER('Inputs'!$B$10),ISNUMBER('Inputs'!$B$21),ISNUMBER('Inputs'!$B$24),ISNUMBER('Inputs'!$B$28)),(('Results'!C7*(0.5*((((682-43)*MAX('Inputs'!$B$33,'Inputs'!$B$29+'Inputs'!$B$31+'Inputs'!$B$32,'Inputs'!$B$30+'Inputs'!$B$31+'Inputs'!$B$32)/1000+'Inputs'!$B$21)+'Inputs'!$B$9)/SQRT((((682-43)*MAX('Inputs'!$B$33,'Inputs'!$B$29+'Inputs'!$B$31+'Inputs'!$B$32,'Inputs'!$B$30+'Inputs'!$B$31+'Inputs'!$B$32)/1000+'Inputs'!$B$21)+'Inputs'!$B$9)^2+('Inputs'!$B$8/2)^2)-(((682-43)*MAX('Inputs'!$B$33,'Inputs'!$B$29+'Inputs'!$B$31+'Inputs'!$B$32,'Inputs'!$B$30+'Inputs'!$B$31+'Inputs'!$B$32)/1000+'Inputs'!$B$21))/SQRT((((682-43)*MAX('Inputs'!$B$33,'Inputs'!$B$29+'Inputs'!$B$31+'Inputs'!$B$32,'Inputs'!$B$30+'Inputs'!$B$31+'Inputs'!$B$32)/1000+'Inputs'!$B$21))^2+('Inputs'!$B$8/2)^2)))-'Results'!B7*(0.5*((((682-43)*MAX('Inputs'!$B$33,'Inputs'!$B$29+'Inputs'!$B$31+'Inputs'!$B$32,'Inputs'!$B$30+'Inputs'!$B$31+'Inputs'!$B$32)/1000+'Inputs'!$B$21+'Inputs'!$B$9+'Inputs'!$B$10)+'Inputs'!$B$7)/SQRT((((682-43)*MAX('Inputs'!$B$33,'Inputs'!$B$29+'Inputs'!$B$31+'Inputs'!$B$32,'Inputs'!$B$30+'Inputs'!$B$31+'Inputs'!$B$32)/1000+'Inputs'!$B$21+'Inputs'!$B$9+'Inputs'!$B$10)+'Inputs'!$B$7)^2+('Inputs'!$B$6/2)^2)-(((682-43)*MAX('Inputs'!$B$33,'Inputs'!$B$29+'Inputs'!$B$31+'Inputs'!$B$32,'Inputs'!$B$30+'Inputs'!$B$31+'Inputs'!$B$32)/1000+'Inputs'!$B$21+'Inputs'!$B$9+'Inputs'!$B$10))/SQRT((((682-43)*MAX('Inputs'!$B$33,'Inputs'!$B$29+'Inputs'!$B$31+'Inputs'!$B$32,'Inputs'!$B$30+'Inputs'!$B$31+'Inputs'!$B$32)/1000+'Inputs'!$B$21+'Inputs'!$B$9+'Inputs'!$B$10))^2+('Inputs'!$B$6/2)^2))))*'Results'!$B$8),"")</x:f>
        <x:v>1.6364104220141373</x:v>
      </x:c>
      <x:c r="N682" t="n">
        <x:f>IF(AND(ISNUMBER('Results'!C7),ISNUMBER('Results'!B7),ISNUMBER('Results'!$B$8),ISNUMBER('Inputs'!$B$6),ISNUMBER('Inputs'!$B$7),ISNUMBER('Inputs'!$B$8),ISNUMBER('Inputs'!$B$9),ISNUMBER('Inputs'!$B$10),ISNUMBER('Inputs'!$B$21),ISNUMBER('Inputs'!$B$24),ISNUMBER('Inputs'!$B$28)),((('Results'!C7*(1-'Inputs'!$B$24)*(0.5*((((682-43)*MAX('Inputs'!$B$33,'Inputs'!$B$29+'Inputs'!$B$31+'Inputs'!$B$32,'Inputs'!$B$30+'Inputs'!$B$31+'Inputs'!$B$32)/1000+'Inputs'!$B$21)+'Inputs'!$B$9)/SQRT((((682-43)*MAX('Inputs'!$B$33,'Inputs'!$B$29+'Inputs'!$B$31+'Inputs'!$B$32,'Inputs'!$B$30+'Inputs'!$B$31+'Inputs'!$B$32)/1000+'Inputs'!$B$21)+'Inputs'!$B$9)^2+('Inputs'!$B$8/2)^2)-(((682-43)*MAX('Inputs'!$B$33,'Inputs'!$B$29+'Inputs'!$B$31+'Inputs'!$B$32,'Inputs'!$B$30+'Inputs'!$B$31+'Inputs'!$B$32)/1000+'Inputs'!$B$21))/SQRT((((682-43)*MAX('Inputs'!$B$33,'Inputs'!$B$29+'Inputs'!$B$31+'Inputs'!$B$32,'Inputs'!$B$30+'Inputs'!$B$31+'Inputs'!$B$32)/1000+'Inputs'!$B$21))^2+('Inputs'!$B$8/2)^2)))-'Results'!B7*(1+'Inputs'!$B$24)*(0.5*((((682-43)*MAX('Inputs'!$B$33,'Inputs'!$B$29+'Inputs'!$B$31+'Inputs'!$B$32,'Inputs'!$B$30+'Inputs'!$B$31+'Inputs'!$B$32)/1000+'Inputs'!$B$21+'Inputs'!$B$9+'Inputs'!$B$10)+'Inputs'!$B$7)/SQRT((((682-43)*MAX('Inputs'!$B$33,'Inputs'!$B$29+'Inputs'!$B$31+'Inputs'!$B$32,'Inputs'!$B$30+'Inputs'!$B$31+'Inputs'!$B$32)/1000+'Inputs'!$B$21+'Inputs'!$B$9+'Inputs'!$B$10)+'Inputs'!$B$7)^2+('Inputs'!$B$6/2)^2)-(((682-43)*MAX('Inputs'!$B$33,'Inputs'!$B$29+'Inputs'!$B$31+'Inputs'!$B$32,'Inputs'!$B$30+'Inputs'!$B$31+'Inputs'!$B$32)/1000+'Inputs'!$B$21+'Inputs'!$B$9+'Inputs'!$B$10))/SQRT((((682-43)*MAX('Inputs'!$B$33,'Inputs'!$B$29+'Inputs'!$B$31+'Inputs'!$B$32,'Inputs'!$B$30+'Inputs'!$B$31+'Inputs'!$B$32)/1000+'Inputs'!$B$21+'Inputs'!$B$9+'Inputs'!$B$10))^2+('Inputs'!$B$6/2)^2))))*'Results'!$B$8)-'Inputs'!$B$28*ABS((('Results'!C7*(1-'Inputs'!$B$24)*(0.5*((((682-43)*MAX('Inputs'!$B$33,'Inputs'!$B$29+'Inputs'!$B$31+'Inputs'!$B$32,'Inputs'!$B$30+'Inputs'!$B$31+'Inputs'!$B$32)/1000+'Inputs'!$B$21)+'Inputs'!$B$9)/SQRT((((682-43)*MAX('Inputs'!$B$33,'Inputs'!$B$29+'Inputs'!$B$31+'Inputs'!$B$32,'Inputs'!$B$30+'Inputs'!$B$31+'Inputs'!$B$32)/1000+'Inputs'!$B$21)+'Inputs'!$B$9)^2+('Inputs'!$B$8/2)^2)-(((682-43)*MAX('Inputs'!$B$33,'Inputs'!$B$29+'Inputs'!$B$31+'Inputs'!$B$32,'Inputs'!$B$30+'Inputs'!$B$31+'Inputs'!$B$32)/1000+'Inputs'!$B$21))/SQRT((((682-43)*MAX('Inputs'!$B$33,'Inputs'!$B$29+'Inputs'!$B$31+'Inputs'!$B$32,'Inputs'!$B$30+'Inputs'!$B$31+'Inputs'!$B$32)/1000+'Inputs'!$B$21))^2+('Inputs'!$B$8/2)^2)))-'Results'!B7*(1+'Inputs'!$B$24)*(0.5*((((682-43)*MAX('Inputs'!$B$33,'Inputs'!$B$29+'Inputs'!$B$31+'Inputs'!$B$32,'Inputs'!$B$30+'Inputs'!$B$31+'Inputs'!$B$32)/1000+'Inputs'!$B$21+'Inputs'!$B$9+'Inputs'!$B$10)+'Inputs'!$B$7)/SQRT((((682-43)*MAX('Inputs'!$B$33,'Inputs'!$B$29+'Inputs'!$B$31+'Inputs'!$B$32,'Inputs'!$B$30+'Inputs'!$B$31+'Inputs'!$B$32)/1000+'Inputs'!$B$21+'Inputs'!$B$9+'Inputs'!$B$10)+'Inputs'!$B$7)^2+('Inputs'!$B$6/2)^2)-(((682-43)*MAX('Inputs'!$B$33,'Inputs'!$B$29+'Inputs'!$B$31+'Inputs'!$B$32,'Inputs'!$B$30+'Inputs'!$B$31+'Inputs'!$B$32)/1000+'Inputs'!$B$21+'Inputs'!$B$9+'Inputs'!$B$10))/SQRT((((682-43)*MAX('Inputs'!$B$33,'Inputs'!$B$29+'Inputs'!$B$31+'Inputs'!$B$32,'Inputs'!$B$30+'Inputs'!$B$31+'Inputs'!$B$32)/1000+'Inputs'!$B$21+'Inputs'!$B$9+'Inputs'!$B$10))^2+('Inputs'!$B$6/2)^2))))*'Results'!$B$8))),"")</x:f>
        <x:v>1.415809908346445</x:v>
      </x:c>
      <x:c r="O682" t="n">
        <x:f>IF(AND(ISNUMBER('Results'!C7),ISNUMBER('Results'!B7),ISNUMBER('Results'!$B$8),ISNUMBER('Inputs'!$B$6),ISNUMBER('Inputs'!$B$7),ISNUMBER('Inputs'!$B$8),ISNUMBER('Inputs'!$B$9),ISNUMBER('Inputs'!$B$10),ISNUMBER('Inputs'!$B$21),ISNUMBER('Inputs'!$B$24),ISNUMBER('Inputs'!$B$28)),((('Results'!C7*(1+'Inputs'!$B$24)*(0.5*((((682-43)*MAX('Inputs'!$B$33,'Inputs'!$B$29+'Inputs'!$B$31+'Inputs'!$B$32,'Inputs'!$B$30+'Inputs'!$B$31+'Inputs'!$B$32)/1000+'Inputs'!$B$21)+'Inputs'!$B$9)/SQRT((((682-43)*MAX('Inputs'!$B$33,'Inputs'!$B$29+'Inputs'!$B$31+'Inputs'!$B$32,'Inputs'!$B$30+'Inputs'!$B$31+'Inputs'!$B$32)/1000+'Inputs'!$B$21)+'Inputs'!$B$9)^2+('Inputs'!$B$8/2)^2)-(((682-43)*MAX('Inputs'!$B$33,'Inputs'!$B$29+'Inputs'!$B$31+'Inputs'!$B$32,'Inputs'!$B$30+'Inputs'!$B$31+'Inputs'!$B$32)/1000+'Inputs'!$B$21))/SQRT((((682-43)*MAX('Inputs'!$B$33,'Inputs'!$B$29+'Inputs'!$B$31+'Inputs'!$B$32,'Inputs'!$B$30+'Inputs'!$B$31+'Inputs'!$B$32)/1000+'Inputs'!$B$21))^2+('Inputs'!$B$8/2)^2)))-'Results'!B7*(1-'Inputs'!$B$24)*(0.5*((((682-43)*MAX('Inputs'!$B$33,'Inputs'!$B$29+'Inputs'!$B$31+'Inputs'!$B$32,'Inputs'!$B$30+'Inputs'!$B$31+'Inputs'!$B$32)/1000+'Inputs'!$B$21+'Inputs'!$B$9+'Inputs'!$B$10)+'Inputs'!$B$7)/SQRT((((682-43)*MAX('Inputs'!$B$33,'Inputs'!$B$29+'Inputs'!$B$31+'Inputs'!$B$32,'Inputs'!$B$30+'Inputs'!$B$31+'Inputs'!$B$32)/1000+'Inputs'!$B$21+'Inputs'!$B$9+'Inputs'!$B$10)+'Inputs'!$B$7)^2+('Inputs'!$B$6/2)^2)-(((682-43)*MAX('Inputs'!$B$33,'Inputs'!$B$29+'Inputs'!$B$31+'Inputs'!$B$32,'Inputs'!$B$30+'Inputs'!$B$31+'Inputs'!$B$32)/1000+'Inputs'!$B$21+'Inputs'!$B$9+'Inputs'!$B$10))/SQRT((((682-43)*MAX('Inputs'!$B$33,'Inputs'!$B$29+'Inputs'!$B$31+'Inputs'!$B$32,'Inputs'!$B$30+'Inputs'!$B$31+'Inputs'!$B$32)/1000+'Inputs'!$B$21+'Inputs'!$B$9+'Inputs'!$B$10))^2+('Inputs'!$B$6/2)^2))))*'Results'!$B$8)+'Inputs'!$B$28*ABS((('Results'!C7*(1+'Inputs'!$B$24)*(0.5*((((682-43)*MAX('Inputs'!$B$33,'Inputs'!$B$29+'Inputs'!$B$31+'Inputs'!$B$32,'Inputs'!$B$30+'Inputs'!$B$31+'Inputs'!$B$32)/1000+'Inputs'!$B$21)+'Inputs'!$B$9)/SQRT((((682-43)*MAX('Inputs'!$B$33,'Inputs'!$B$29+'Inputs'!$B$31+'Inputs'!$B$32,'Inputs'!$B$30+'Inputs'!$B$31+'Inputs'!$B$32)/1000+'Inputs'!$B$21)+'Inputs'!$B$9)^2+('Inputs'!$B$8/2)^2)-(((682-43)*MAX('Inputs'!$B$33,'Inputs'!$B$29+'Inputs'!$B$31+'Inputs'!$B$32,'Inputs'!$B$30+'Inputs'!$B$31+'Inputs'!$B$32)/1000+'Inputs'!$B$21))/SQRT((((682-43)*MAX('Inputs'!$B$33,'Inputs'!$B$29+'Inputs'!$B$31+'Inputs'!$B$32,'Inputs'!$B$30+'Inputs'!$B$31+'Inputs'!$B$32)/1000+'Inputs'!$B$21))^2+('Inputs'!$B$8/2)^2)))-'Results'!B7*(1-'Inputs'!$B$24)*(0.5*((((682-43)*MAX('Inputs'!$B$33,'Inputs'!$B$29+'Inputs'!$B$31+'Inputs'!$B$32,'Inputs'!$B$30+'Inputs'!$B$31+'Inputs'!$B$32)/1000+'Inputs'!$B$21+'Inputs'!$B$9+'Inputs'!$B$10)+'Inputs'!$B$7)/SQRT((((682-43)*MAX('Inputs'!$B$33,'Inputs'!$B$29+'Inputs'!$B$31+'Inputs'!$B$32,'Inputs'!$B$30+'Inputs'!$B$31+'Inputs'!$B$32)/1000+'Inputs'!$B$21+'Inputs'!$B$9+'Inputs'!$B$10)+'Inputs'!$B$7)^2+('Inputs'!$B$6/2)^2)-(((682-43)*MAX('Inputs'!$B$33,'Inputs'!$B$29+'Inputs'!$B$31+'Inputs'!$B$32,'Inputs'!$B$30+'Inputs'!$B$31+'Inputs'!$B$32)/1000+'Inputs'!$B$21+'Inputs'!$B$9+'Inputs'!$B$10))/SQRT((((682-43)*MAX('Inputs'!$B$33,'Inputs'!$B$29+'Inputs'!$B$31+'Inputs'!$B$32,'Inputs'!$B$30+'Inputs'!$B$31+'Inputs'!$B$32)/1000+'Inputs'!$B$21+'Inputs'!$B$9+'Inputs'!$B$10))^2+('Inputs'!$B$6/2)^2))))*'Results'!$B$8))),"")</x:f>
        <x:v>1.871619355952039</x:v>
      </x:c>
      <x:c r="P682" t="n">
        <x:f>IF(AND(MAX(J682,J681)&gt;0,J682&gt;J681+0.00000001),1,0)</x:f>
        <x:v>0</x:v>
      </x:c>
      <x:c r="Q682" t="n">
        <x:f>IF(AND(MAX(K682,K681)&gt;0,K682&gt;K681+0.00000001),1,0)</x:f>
        <x:v>0</x:v>
      </x:c>
      <x:c r="R682" t="n">
        <x:f>IF(AND(MAX(L682,L681)&gt;0,L682&gt;L681+0.00000001),1,0)</x:f>
        <x:v>0</x:v>
      </x:c>
      <x:c r="S682" t="n">
        <x:f>IF(AND(MAX(M682,M681)&gt;0,M682&gt;M681+0.00000001),1,0)</x:f>
        <x:v>0</x:v>
      </x:c>
      <x:c r="T682" t="n">
        <x:f>IF(AND(MAX(N682,N681)&gt;0,N682&gt;N681+0.00000001),1,0)</x:f>
        <x:v>0</x:v>
      </x:c>
      <x:c r="U682" t="n">
        <x:f>IF(AND(MAX(O682,O681)&gt;0,O682&gt;O681+0.00000001),1,0)</x:f>
        <x:v>0</x:v>
      </x:c>
    </x:row>
    <x:row r="683">
      <x:c r="J683" t="n">
        <x:f>IF(AND(ISNUMBER('Results'!B7),ISNUMBER('Results'!C7),ISNUMBER('Results'!$B$8),ISNUMBER('Inputs'!$B$6),ISNUMBER('Inputs'!$B$7),ISNUMBER('Inputs'!$B$8),ISNUMBER('Inputs'!$B$9),ISNUMBER('Inputs'!$B$10),ISNUMBER('Inputs'!$B$21),ISNUMBER('Inputs'!$B$24),ISNUMBER('Inputs'!$B$28)),(('Results'!B7*(0.5*((((683-43)*MAX('Inputs'!$B$33,'Inputs'!$B$29+'Inputs'!$B$31+'Inputs'!$B$32,'Inputs'!$B$30+'Inputs'!$B$31+'Inputs'!$B$32)/1000+'Inputs'!$B$21)+'Inputs'!$B$7)/SQRT((((683-43)*MAX('Inputs'!$B$33,'Inputs'!$B$29+'Inputs'!$B$31+'Inputs'!$B$32,'Inputs'!$B$30+'Inputs'!$B$31+'Inputs'!$B$32)/1000+'Inputs'!$B$21)+'Inputs'!$B$7)^2+('Inputs'!$B$6/2)^2)-(((683-43)*MAX('Inputs'!$B$33,'Inputs'!$B$29+'Inputs'!$B$31+'Inputs'!$B$32,'Inputs'!$B$30+'Inputs'!$B$31+'Inputs'!$B$32)/1000+'Inputs'!$B$21))/SQRT((((683-43)*MAX('Inputs'!$B$33,'Inputs'!$B$29+'Inputs'!$B$31+'Inputs'!$B$32,'Inputs'!$B$30+'Inputs'!$B$31+'Inputs'!$B$32)/1000+'Inputs'!$B$21))^2+('Inputs'!$B$6/2)^2)))-'Results'!C7*(0.5*((((683-43)*MAX('Inputs'!$B$33,'Inputs'!$B$29+'Inputs'!$B$31+'Inputs'!$B$32,'Inputs'!$B$30+'Inputs'!$B$31+'Inputs'!$B$32)/1000+'Inputs'!$B$21+'Inputs'!$B$7+'Inputs'!$B$10)+'Inputs'!$B$9)/SQRT((((683-43)*MAX('Inputs'!$B$33,'Inputs'!$B$29+'Inputs'!$B$31+'Inputs'!$B$32,'Inputs'!$B$30+'Inputs'!$B$31+'Inputs'!$B$32)/1000+'Inputs'!$B$21+'Inputs'!$B$7+'Inputs'!$B$10)+'Inputs'!$B$9)^2+('Inputs'!$B$8/2)^2)-(((683-43)*MAX('Inputs'!$B$33,'Inputs'!$B$29+'Inputs'!$B$31+'Inputs'!$B$32,'Inputs'!$B$30+'Inputs'!$B$31+'Inputs'!$B$32)/1000+'Inputs'!$B$21+'Inputs'!$B$7+'Inputs'!$B$10))/SQRT((((683-43)*MAX('Inputs'!$B$33,'Inputs'!$B$29+'Inputs'!$B$31+'Inputs'!$B$32,'Inputs'!$B$30+'Inputs'!$B$31+'Inputs'!$B$32)/1000+'Inputs'!$B$21+'Inputs'!$B$7+'Inputs'!$B$10))^2+('Inputs'!$B$8/2)^2))))*'Results'!$B$8),"")</x:f>
        <x:v>1.7745237700343872</x:v>
      </x:c>
      <x:c r="K683" t="n">
        <x:f>IF(AND(ISNUMBER('Results'!B7),ISNUMBER('Results'!C7),ISNUMBER('Results'!$B$8),ISNUMBER('Inputs'!$B$6),ISNUMBER('Inputs'!$B$7),ISNUMBER('Inputs'!$B$8),ISNUMBER('Inputs'!$B$9),ISNUMBER('Inputs'!$B$10),ISNUMBER('Inputs'!$B$21),ISNUMBER('Inputs'!$B$24),ISNUMBER('Inputs'!$B$28)),((('Results'!B7*(1-'Inputs'!$B$24)*(0.5*((((683-43)*MAX('Inputs'!$B$33,'Inputs'!$B$29+'Inputs'!$B$31+'Inputs'!$B$32,'Inputs'!$B$30+'Inputs'!$B$31+'Inputs'!$B$32)/1000+'Inputs'!$B$21)+'Inputs'!$B$7)/SQRT((((683-43)*MAX('Inputs'!$B$33,'Inputs'!$B$29+'Inputs'!$B$31+'Inputs'!$B$32,'Inputs'!$B$30+'Inputs'!$B$31+'Inputs'!$B$32)/1000+'Inputs'!$B$21)+'Inputs'!$B$7)^2+('Inputs'!$B$6/2)^2)-(((683-43)*MAX('Inputs'!$B$33,'Inputs'!$B$29+'Inputs'!$B$31+'Inputs'!$B$32,'Inputs'!$B$30+'Inputs'!$B$31+'Inputs'!$B$32)/1000+'Inputs'!$B$21))/SQRT((((683-43)*MAX('Inputs'!$B$33,'Inputs'!$B$29+'Inputs'!$B$31+'Inputs'!$B$32,'Inputs'!$B$30+'Inputs'!$B$31+'Inputs'!$B$32)/1000+'Inputs'!$B$21))^2+('Inputs'!$B$6/2)^2)))-'Results'!C7*(1+'Inputs'!$B$24)*(0.5*((((683-43)*MAX('Inputs'!$B$33,'Inputs'!$B$29+'Inputs'!$B$31+'Inputs'!$B$32,'Inputs'!$B$30+'Inputs'!$B$31+'Inputs'!$B$32)/1000+'Inputs'!$B$21+'Inputs'!$B$7+'Inputs'!$B$10)+'Inputs'!$B$9)/SQRT((((683-43)*MAX('Inputs'!$B$33,'Inputs'!$B$29+'Inputs'!$B$31+'Inputs'!$B$32,'Inputs'!$B$30+'Inputs'!$B$31+'Inputs'!$B$32)/1000+'Inputs'!$B$21+'Inputs'!$B$7+'Inputs'!$B$10)+'Inputs'!$B$9)^2+('Inputs'!$B$8/2)^2)-(((683-43)*MAX('Inputs'!$B$33,'Inputs'!$B$29+'Inputs'!$B$31+'Inputs'!$B$32,'Inputs'!$B$30+'Inputs'!$B$31+'Inputs'!$B$32)/1000+'Inputs'!$B$21+'Inputs'!$B$7+'Inputs'!$B$10))/SQRT((((683-43)*MAX('Inputs'!$B$33,'Inputs'!$B$29+'Inputs'!$B$31+'Inputs'!$B$32,'Inputs'!$B$30+'Inputs'!$B$31+'Inputs'!$B$32)/1000+'Inputs'!$B$21+'Inputs'!$B$7+'Inputs'!$B$10))^2+('Inputs'!$B$8/2)^2))))*'Results'!$B$8)-'Inputs'!$B$28*ABS((('Results'!B7*(1-'Inputs'!$B$24)*(0.5*((((683-43)*MAX('Inputs'!$B$33,'Inputs'!$B$29+'Inputs'!$B$31+'Inputs'!$B$32,'Inputs'!$B$30+'Inputs'!$B$31+'Inputs'!$B$32)/1000+'Inputs'!$B$21)+'Inputs'!$B$7)/SQRT((((683-43)*MAX('Inputs'!$B$33,'Inputs'!$B$29+'Inputs'!$B$31+'Inputs'!$B$32,'Inputs'!$B$30+'Inputs'!$B$31+'Inputs'!$B$32)/1000+'Inputs'!$B$21)+'Inputs'!$B$7)^2+('Inputs'!$B$6/2)^2)-(((683-43)*MAX('Inputs'!$B$33,'Inputs'!$B$29+'Inputs'!$B$31+'Inputs'!$B$32,'Inputs'!$B$30+'Inputs'!$B$31+'Inputs'!$B$32)/1000+'Inputs'!$B$21))/SQRT((((683-43)*MAX('Inputs'!$B$33,'Inputs'!$B$29+'Inputs'!$B$31+'Inputs'!$B$32,'Inputs'!$B$30+'Inputs'!$B$31+'Inputs'!$B$32)/1000+'Inputs'!$B$21))^2+('Inputs'!$B$6/2)^2)))-'Results'!C7*(1+'Inputs'!$B$24)*(0.5*((((683-43)*MAX('Inputs'!$B$33,'Inputs'!$B$29+'Inputs'!$B$31+'Inputs'!$B$32,'Inputs'!$B$30+'Inputs'!$B$31+'Inputs'!$B$32)/1000+'Inputs'!$B$21+'Inputs'!$B$7+'Inputs'!$B$10)+'Inputs'!$B$9)/SQRT((((683-43)*MAX('Inputs'!$B$33,'Inputs'!$B$29+'Inputs'!$B$31+'Inputs'!$B$32,'Inputs'!$B$30+'Inputs'!$B$31+'Inputs'!$B$32)/1000+'Inputs'!$B$21+'Inputs'!$B$7+'Inputs'!$B$10)+'Inputs'!$B$9)^2+('Inputs'!$B$8/2)^2)-(((683-43)*MAX('Inputs'!$B$33,'Inputs'!$B$29+'Inputs'!$B$31+'Inputs'!$B$32,'Inputs'!$B$30+'Inputs'!$B$31+'Inputs'!$B$32)/1000+'Inputs'!$B$21+'Inputs'!$B$7+'Inputs'!$B$10))/SQRT((((683-43)*MAX('Inputs'!$B$33,'Inputs'!$B$29+'Inputs'!$B$31+'Inputs'!$B$32,'Inputs'!$B$30+'Inputs'!$B$31+'Inputs'!$B$32)/1000+'Inputs'!$B$21+'Inputs'!$B$7+'Inputs'!$B$10))^2+('Inputs'!$B$8/2)^2))))*'Results'!$B$8))),"")</x:f>
        <x:v>1.5469515398818008</x:v>
      </x:c>
      <x:c r="L683" t="n">
        <x:f>IF(AND(ISNUMBER('Results'!B7),ISNUMBER('Results'!C7),ISNUMBER('Results'!$B$8),ISNUMBER('Inputs'!$B$6),ISNUMBER('Inputs'!$B$7),ISNUMBER('Inputs'!$B$8),ISNUMBER('Inputs'!$B$9),ISNUMBER('Inputs'!$B$10),ISNUMBER('Inputs'!$B$21),ISNUMBER('Inputs'!$B$24),ISNUMBER('Inputs'!$B$28)),((('Results'!B7*(1+'Inputs'!$B$24)*(0.5*((((683-43)*MAX('Inputs'!$B$33,'Inputs'!$B$29+'Inputs'!$B$31+'Inputs'!$B$32,'Inputs'!$B$30+'Inputs'!$B$31+'Inputs'!$B$32)/1000+'Inputs'!$B$21)+'Inputs'!$B$7)/SQRT((((683-43)*MAX('Inputs'!$B$33,'Inputs'!$B$29+'Inputs'!$B$31+'Inputs'!$B$32,'Inputs'!$B$30+'Inputs'!$B$31+'Inputs'!$B$32)/1000+'Inputs'!$B$21)+'Inputs'!$B$7)^2+('Inputs'!$B$6/2)^2)-(((683-43)*MAX('Inputs'!$B$33,'Inputs'!$B$29+'Inputs'!$B$31+'Inputs'!$B$32,'Inputs'!$B$30+'Inputs'!$B$31+'Inputs'!$B$32)/1000+'Inputs'!$B$21))/SQRT((((683-43)*MAX('Inputs'!$B$33,'Inputs'!$B$29+'Inputs'!$B$31+'Inputs'!$B$32,'Inputs'!$B$30+'Inputs'!$B$31+'Inputs'!$B$32)/1000+'Inputs'!$B$21))^2+('Inputs'!$B$6/2)^2)))-'Results'!C7*(1-'Inputs'!$B$24)*(0.5*((((683-43)*MAX('Inputs'!$B$33,'Inputs'!$B$29+'Inputs'!$B$31+'Inputs'!$B$32,'Inputs'!$B$30+'Inputs'!$B$31+'Inputs'!$B$32)/1000+'Inputs'!$B$21+'Inputs'!$B$7+'Inputs'!$B$10)+'Inputs'!$B$9)/SQRT((((683-43)*MAX('Inputs'!$B$33,'Inputs'!$B$29+'Inputs'!$B$31+'Inputs'!$B$32,'Inputs'!$B$30+'Inputs'!$B$31+'Inputs'!$B$32)/1000+'Inputs'!$B$21+'Inputs'!$B$7+'Inputs'!$B$10)+'Inputs'!$B$9)^2+('Inputs'!$B$8/2)^2)-(((683-43)*MAX('Inputs'!$B$33,'Inputs'!$B$29+'Inputs'!$B$31+'Inputs'!$B$32,'Inputs'!$B$30+'Inputs'!$B$31+'Inputs'!$B$32)/1000+'Inputs'!$B$21+'Inputs'!$B$7+'Inputs'!$B$10))/SQRT((((683-43)*MAX('Inputs'!$B$33,'Inputs'!$B$29+'Inputs'!$B$31+'Inputs'!$B$32,'Inputs'!$B$30+'Inputs'!$B$31+'Inputs'!$B$32)/1000+'Inputs'!$B$21+'Inputs'!$B$7+'Inputs'!$B$10))^2+('Inputs'!$B$8/2)^2))))*'Results'!$B$8)+'Inputs'!$B$28*ABS((('Results'!B7*(1+'Inputs'!$B$24)*(0.5*((((683-43)*MAX('Inputs'!$B$33,'Inputs'!$B$29+'Inputs'!$B$31+'Inputs'!$B$32,'Inputs'!$B$30+'Inputs'!$B$31+'Inputs'!$B$32)/1000+'Inputs'!$B$21)+'Inputs'!$B$7)/SQRT((((683-43)*MAX('Inputs'!$B$33,'Inputs'!$B$29+'Inputs'!$B$31+'Inputs'!$B$32,'Inputs'!$B$30+'Inputs'!$B$31+'Inputs'!$B$32)/1000+'Inputs'!$B$21)+'Inputs'!$B$7)^2+('Inputs'!$B$6/2)^2)-(((683-43)*MAX('Inputs'!$B$33,'Inputs'!$B$29+'Inputs'!$B$31+'Inputs'!$B$32,'Inputs'!$B$30+'Inputs'!$B$31+'Inputs'!$B$32)/1000+'Inputs'!$B$21))/SQRT((((683-43)*MAX('Inputs'!$B$33,'Inputs'!$B$29+'Inputs'!$B$31+'Inputs'!$B$32,'Inputs'!$B$30+'Inputs'!$B$31+'Inputs'!$B$32)/1000+'Inputs'!$B$21))^2+('Inputs'!$B$6/2)^2)))-'Results'!C7*(1-'Inputs'!$B$24)*(0.5*((((683-43)*MAX('Inputs'!$B$33,'Inputs'!$B$29+'Inputs'!$B$31+'Inputs'!$B$32,'Inputs'!$B$30+'Inputs'!$B$31+'Inputs'!$B$32)/1000+'Inputs'!$B$21+'Inputs'!$B$7+'Inputs'!$B$10)+'Inputs'!$B$9)/SQRT((((683-43)*MAX('Inputs'!$B$33,'Inputs'!$B$29+'Inputs'!$B$31+'Inputs'!$B$32,'Inputs'!$B$30+'Inputs'!$B$31+'Inputs'!$B$32)/1000+'Inputs'!$B$21+'Inputs'!$B$7+'Inputs'!$B$10)+'Inputs'!$B$9)^2+('Inputs'!$B$8/2)^2)-(((683-43)*MAX('Inputs'!$B$33,'Inputs'!$B$29+'Inputs'!$B$31+'Inputs'!$B$32,'Inputs'!$B$30+'Inputs'!$B$31+'Inputs'!$B$32)/1000+'Inputs'!$B$21+'Inputs'!$B$7+'Inputs'!$B$10))/SQRT((((683-43)*MAX('Inputs'!$B$33,'Inputs'!$B$29+'Inputs'!$B$31+'Inputs'!$B$32,'Inputs'!$B$30+'Inputs'!$B$31+'Inputs'!$B$32)/1000+'Inputs'!$B$21+'Inputs'!$B$7+'Inputs'!$B$10))^2+('Inputs'!$B$8/2)^2))))*'Results'!$B$8))),"")</x:f>
        <x:v>2.016711372992328</x:v>
      </x:c>
      <x:c r="M683" t="n">
        <x:f>IF(AND(ISNUMBER('Results'!C7),ISNUMBER('Results'!B7),ISNUMBER('Results'!$B$8),ISNUMBER('Inputs'!$B$6),ISNUMBER('Inputs'!$B$7),ISNUMBER('Inputs'!$B$8),ISNUMBER('Inputs'!$B$9),ISNUMBER('Inputs'!$B$10),ISNUMBER('Inputs'!$B$21),ISNUMBER('Inputs'!$B$24),ISNUMBER('Inputs'!$B$28)),(('Results'!C7*(0.5*((((683-43)*MAX('Inputs'!$B$33,'Inputs'!$B$29+'Inputs'!$B$31+'Inputs'!$B$32,'Inputs'!$B$30+'Inputs'!$B$31+'Inputs'!$B$32)/1000+'Inputs'!$B$21)+'Inputs'!$B$9)/SQRT((((683-43)*MAX('Inputs'!$B$33,'Inputs'!$B$29+'Inputs'!$B$31+'Inputs'!$B$32,'Inputs'!$B$30+'Inputs'!$B$31+'Inputs'!$B$32)/1000+'Inputs'!$B$21)+'Inputs'!$B$9)^2+('Inputs'!$B$8/2)^2)-(((683-43)*MAX('Inputs'!$B$33,'Inputs'!$B$29+'Inputs'!$B$31+'Inputs'!$B$32,'Inputs'!$B$30+'Inputs'!$B$31+'Inputs'!$B$32)/1000+'Inputs'!$B$21))/SQRT((((683-43)*MAX('Inputs'!$B$33,'Inputs'!$B$29+'Inputs'!$B$31+'Inputs'!$B$32,'Inputs'!$B$30+'Inputs'!$B$31+'Inputs'!$B$32)/1000+'Inputs'!$B$21))^2+('Inputs'!$B$8/2)^2)))-'Results'!B7*(0.5*((((683-43)*MAX('Inputs'!$B$33,'Inputs'!$B$29+'Inputs'!$B$31+'Inputs'!$B$32,'Inputs'!$B$30+'Inputs'!$B$31+'Inputs'!$B$32)/1000+'Inputs'!$B$21+'Inputs'!$B$9+'Inputs'!$B$10)+'Inputs'!$B$7)/SQRT((((683-43)*MAX('Inputs'!$B$33,'Inputs'!$B$29+'Inputs'!$B$31+'Inputs'!$B$32,'Inputs'!$B$30+'Inputs'!$B$31+'Inputs'!$B$32)/1000+'Inputs'!$B$21+'Inputs'!$B$9+'Inputs'!$B$10)+'Inputs'!$B$7)^2+('Inputs'!$B$6/2)^2)-(((683-43)*MAX('Inputs'!$B$33,'Inputs'!$B$29+'Inputs'!$B$31+'Inputs'!$B$32,'Inputs'!$B$30+'Inputs'!$B$31+'Inputs'!$B$32)/1000+'Inputs'!$B$21+'Inputs'!$B$9+'Inputs'!$B$10))/SQRT((((683-43)*MAX('Inputs'!$B$33,'Inputs'!$B$29+'Inputs'!$B$31+'Inputs'!$B$32,'Inputs'!$B$30+'Inputs'!$B$31+'Inputs'!$B$32)/1000+'Inputs'!$B$21+'Inputs'!$B$9+'Inputs'!$B$10))^2+('Inputs'!$B$6/2)^2))))*'Results'!$B$8),"")</x:f>
        <x:v>1.6272408251170387</x:v>
      </x:c>
      <x:c r="N683" t="n">
        <x:f>IF(AND(ISNUMBER('Results'!C7),ISNUMBER('Results'!B7),ISNUMBER('Results'!$B$8),ISNUMBER('Inputs'!$B$6),ISNUMBER('Inputs'!$B$7),ISNUMBER('Inputs'!$B$8),ISNUMBER('Inputs'!$B$9),ISNUMBER('Inputs'!$B$10),ISNUMBER('Inputs'!$B$21),ISNUMBER('Inputs'!$B$24),ISNUMBER('Inputs'!$B$28)),((('Results'!C7*(1-'Inputs'!$B$24)*(0.5*((((683-43)*MAX('Inputs'!$B$33,'Inputs'!$B$29+'Inputs'!$B$31+'Inputs'!$B$32,'Inputs'!$B$30+'Inputs'!$B$31+'Inputs'!$B$32)/1000+'Inputs'!$B$21)+'Inputs'!$B$9)/SQRT((((683-43)*MAX('Inputs'!$B$33,'Inputs'!$B$29+'Inputs'!$B$31+'Inputs'!$B$32,'Inputs'!$B$30+'Inputs'!$B$31+'Inputs'!$B$32)/1000+'Inputs'!$B$21)+'Inputs'!$B$9)^2+('Inputs'!$B$8/2)^2)-(((683-43)*MAX('Inputs'!$B$33,'Inputs'!$B$29+'Inputs'!$B$31+'Inputs'!$B$32,'Inputs'!$B$30+'Inputs'!$B$31+'Inputs'!$B$32)/1000+'Inputs'!$B$21))/SQRT((((683-43)*MAX('Inputs'!$B$33,'Inputs'!$B$29+'Inputs'!$B$31+'Inputs'!$B$32,'Inputs'!$B$30+'Inputs'!$B$31+'Inputs'!$B$32)/1000+'Inputs'!$B$21))^2+('Inputs'!$B$8/2)^2)))-'Results'!B7*(1+'Inputs'!$B$24)*(0.5*((((683-43)*MAX('Inputs'!$B$33,'Inputs'!$B$29+'Inputs'!$B$31+'Inputs'!$B$32,'Inputs'!$B$30+'Inputs'!$B$31+'Inputs'!$B$32)/1000+'Inputs'!$B$21+'Inputs'!$B$9+'Inputs'!$B$10)+'Inputs'!$B$7)/SQRT((((683-43)*MAX('Inputs'!$B$33,'Inputs'!$B$29+'Inputs'!$B$31+'Inputs'!$B$32,'Inputs'!$B$30+'Inputs'!$B$31+'Inputs'!$B$32)/1000+'Inputs'!$B$21+'Inputs'!$B$9+'Inputs'!$B$10)+'Inputs'!$B$7)^2+('Inputs'!$B$6/2)^2)-(((683-43)*MAX('Inputs'!$B$33,'Inputs'!$B$29+'Inputs'!$B$31+'Inputs'!$B$32,'Inputs'!$B$30+'Inputs'!$B$31+'Inputs'!$B$32)/1000+'Inputs'!$B$21+'Inputs'!$B$9+'Inputs'!$B$10))/SQRT((((683-43)*MAX('Inputs'!$B$33,'Inputs'!$B$29+'Inputs'!$B$31+'Inputs'!$B$32,'Inputs'!$B$30+'Inputs'!$B$31+'Inputs'!$B$32)/1000+'Inputs'!$B$21+'Inputs'!$B$9+'Inputs'!$B$10))^2+('Inputs'!$B$6/2)^2))))*'Results'!$B$8)-'Inputs'!$B$28*ABS((('Results'!C7*(1-'Inputs'!$B$24)*(0.5*((((683-43)*MAX('Inputs'!$B$33,'Inputs'!$B$29+'Inputs'!$B$31+'Inputs'!$B$32,'Inputs'!$B$30+'Inputs'!$B$31+'Inputs'!$B$32)/1000+'Inputs'!$B$21)+'Inputs'!$B$9)/SQRT((((683-43)*MAX('Inputs'!$B$33,'Inputs'!$B$29+'Inputs'!$B$31+'Inputs'!$B$32,'Inputs'!$B$30+'Inputs'!$B$31+'Inputs'!$B$32)/1000+'Inputs'!$B$21)+'Inputs'!$B$9)^2+('Inputs'!$B$8/2)^2)-(((683-43)*MAX('Inputs'!$B$33,'Inputs'!$B$29+'Inputs'!$B$31+'Inputs'!$B$32,'Inputs'!$B$30+'Inputs'!$B$31+'Inputs'!$B$32)/1000+'Inputs'!$B$21))/SQRT((((683-43)*MAX('Inputs'!$B$33,'Inputs'!$B$29+'Inputs'!$B$31+'Inputs'!$B$32,'Inputs'!$B$30+'Inputs'!$B$31+'Inputs'!$B$32)/1000+'Inputs'!$B$21))^2+('Inputs'!$B$8/2)^2)))-'Results'!B7*(1+'Inputs'!$B$24)*(0.5*((((683-43)*MAX('Inputs'!$B$33,'Inputs'!$B$29+'Inputs'!$B$31+'Inputs'!$B$32,'Inputs'!$B$30+'Inputs'!$B$31+'Inputs'!$B$32)/1000+'Inputs'!$B$21+'Inputs'!$B$9+'Inputs'!$B$10)+'Inputs'!$B$7)/SQRT((((683-43)*MAX('Inputs'!$B$33,'Inputs'!$B$29+'Inputs'!$B$31+'Inputs'!$B$32,'Inputs'!$B$30+'Inputs'!$B$31+'Inputs'!$B$32)/1000+'Inputs'!$B$21+'Inputs'!$B$9+'Inputs'!$B$10)+'Inputs'!$B$7)^2+('Inputs'!$B$6/2)^2)-(((683-43)*MAX('Inputs'!$B$33,'Inputs'!$B$29+'Inputs'!$B$31+'Inputs'!$B$32,'Inputs'!$B$30+'Inputs'!$B$31+'Inputs'!$B$32)/1000+'Inputs'!$B$21+'Inputs'!$B$9+'Inputs'!$B$10))/SQRT((((683-43)*MAX('Inputs'!$B$33,'Inputs'!$B$29+'Inputs'!$B$31+'Inputs'!$B$32,'Inputs'!$B$30+'Inputs'!$B$31+'Inputs'!$B$32)/1000+'Inputs'!$B$21+'Inputs'!$B$9+'Inputs'!$B$10))^2+('Inputs'!$B$6/2)^2))))*'Results'!$B$8))),"")</x:f>
        <x:v>1.40768560612252</x:v>
      </x:c>
      <x:c r="O683" t="n">
        <x:f>IF(AND(ISNUMBER('Results'!C7),ISNUMBER('Results'!B7),ISNUMBER('Results'!$B$8),ISNUMBER('Inputs'!$B$6),ISNUMBER('Inputs'!$B$7),ISNUMBER('Inputs'!$B$8),ISNUMBER('Inputs'!$B$9),ISNUMBER('Inputs'!$B$10),ISNUMBER('Inputs'!$B$21),ISNUMBER('Inputs'!$B$24),ISNUMBER('Inputs'!$B$28)),((('Results'!C7*(1+'Inputs'!$B$24)*(0.5*((((683-43)*MAX('Inputs'!$B$33,'Inputs'!$B$29+'Inputs'!$B$31+'Inputs'!$B$32,'Inputs'!$B$30+'Inputs'!$B$31+'Inputs'!$B$32)/1000+'Inputs'!$B$21)+'Inputs'!$B$9)/SQRT((((683-43)*MAX('Inputs'!$B$33,'Inputs'!$B$29+'Inputs'!$B$31+'Inputs'!$B$32,'Inputs'!$B$30+'Inputs'!$B$31+'Inputs'!$B$32)/1000+'Inputs'!$B$21)+'Inputs'!$B$9)^2+('Inputs'!$B$8/2)^2)-(((683-43)*MAX('Inputs'!$B$33,'Inputs'!$B$29+'Inputs'!$B$31+'Inputs'!$B$32,'Inputs'!$B$30+'Inputs'!$B$31+'Inputs'!$B$32)/1000+'Inputs'!$B$21))/SQRT((((683-43)*MAX('Inputs'!$B$33,'Inputs'!$B$29+'Inputs'!$B$31+'Inputs'!$B$32,'Inputs'!$B$30+'Inputs'!$B$31+'Inputs'!$B$32)/1000+'Inputs'!$B$21))^2+('Inputs'!$B$8/2)^2)))-'Results'!B7*(1-'Inputs'!$B$24)*(0.5*((((683-43)*MAX('Inputs'!$B$33,'Inputs'!$B$29+'Inputs'!$B$31+'Inputs'!$B$32,'Inputs'!$B$30+'Inputs'!$B$31+'Inputs'!$B$32)/1000+'Inputs'!$B$21+'Inputs'!$B$9+'Inputs'!$B$10)+'Inputs'!$B$7)/SQRT((((683-43)*MAX('Inputs'!$B$33,'Inputs'!$B$29+'Inputs'!$B$31+'Inputs'!$B$32,'Inputs'!$B$30+'Inputs'!$B$31+'Inputs'!$B$32)/1000+'Inputs'!$B$21+'Inputs'!$B$9+'Inputs'!$B$10)+'Inputs'!$B$7)^2+('Inputs'!$B$6/2)^2)-(((683-43)*MAX('Inputs'!$B$33,'Inputs'!$B$29+'Inputs'!$B$31+'Inputs'!$B$32,'Inputs'!$B$30+'Inputs'!$B$31+'Inputs'!$B$32)/1000+'Inputs'!$B$21+'Inputs'!$B$9+'Inputs'!$B$10))/SQRT((((683-43)*MAX('Inputs'!$B$33,'Inputs'!$B$29+'Inputs'!$B$31+'Inputs'!$B$32,'Inputs'!$B$30+'Inputs'!$B$31+'Inputs'!$B$32)/1000+'Inputs'!$B$21+'Inputs'!$B$9+'Inputs'!$B$10))^2+('Inputs'!$B$6/2)^2))))*'Results'!$B$8)+'Inputs'!$B$28*ABS((('Results'!C7*(1+'Inputs'!$B$24)*(0.5*((((683-43)*MAX('Inputs'!$B$33,'Inputs'!$B$29+'Inputs'!$B$31+'Inputs'!$B$32,'Inputs'!$B$30+'Inputs'!$B$31+'Inputs'!$B$32)/1000+'Inputs'!$B$21)+'Inputs'!$B$9)/SQRT((((683-43)*MAX('Inputs'!$B$33,'Inputs'!$B$29+'Inputs'!$B$31+'Inputs'!$B$32,'Inputs'!$B$30+'Inputs'!$B$31+'Inputs'!$B$32)/1000+'Inputs'!$B$21)+'Inputs'!$B$9)^2+('Inputs'!$B$8/2)^2)-(((683-43)*MAX('Inputs'!$B$33,'Inputs'!$B$29+'Inputs'!$B$31+'Inputs'!$B$32,'Inputs'!$B$30+'Inputs'!$B$31+'Inputs'!$B$32)/1000+'Inputs'!$B$21))/SQRT((((683-43)*MAX('Inputs'!$B$33,'Inputs'!$B$29+'Inputs'!$B$31+'Inputs'!$B$32,'Inputs'!$B$30+'Inputs'!$B$31+'Inputs'!$B$32)/1000+'Inputs'!$B$21))^2+('Inputs'!$B$8/2)^2)))-'Results'!B7*(1-'Inputs'!$B$24)*(0.5*((((683-43)*MAX('Inputs'!$B$33,'Inputs'!$B$29+'Inputs'!$B$31+'Inputs'!$B$32,'Inputs'!$B$30+'Inputs'!$B$31+'Inputs'!$B$32)/1000+'Inputs'!$B$21+'Inputs'!$B$9+'Inputs'!$B$10)+'Inputs'!$B$7)/SQRT((((683-43)*MAX('Inputs'!$B$33,'Inputs'!$B$29+'Inputs'!$B$31+'Inputs'!$B$32,'Inputs'!$B$30+'Inputs'!$B$31+'Inputs'!$B$32)/1000+'Inputs'!$B$21+'Inputs'!$B$9+'Inputs'!$B$10)+'Inputs'!$B$7)^2+('Inputs'!$B$6/2)^2)-(((683-43)*MAX('Inputs'!$B$33,'Inputs'!$B$29+'Inputs'!$B$31+'Inputs'!$B$32,'Inputs'!$B$30+'Inputs'!$B$31+'Inputs'!$B$32)/1000+'Inputs'!$B$21+'Inputs'!$B$9+'Inputs'!$B$10))/SQRT((((683-43)*MAX('Inputs'!$B$33,'Inputs'!$B$29+'Inputs'!$B$31+'Inputs'!$B$32,'Inputs'!$B$30+'Inputs'!$B$31+'Inputs'!$B$32)/1000+'Inputs'!$B$21+'Inputs'!$B$9+'Inputs'!$B$10))^2+('Inputs'!$B$6/2)^2))))*'Results'!$B$8))),"")</x:f>
        <x:v>1.8613426943998372</x:v>
      </x:c>
      <x:c r="P683" t="n">
        <x:f>IF(AND(MAX(J683,J682)&gt;0,J683&gt;J682+0.00000001),1,0)</x:f>
        <x:v>0</x:v>
      </x:c>
      <x:c r="Q683" t="n">
        <x:f>IF(AND(MAX(K683,K682)&gt;0,K683&gt;K682+0.00000001),1,0)</x:f>
        <x:v>0</x:v>
      </x:c>
      <x:c r="R683" t="n">
        <x:f>IF(AND(MAX(L683,L682)&gt;0,L683&gt;L682+0.00000001),1,0)</x:f>
        <x:v>0</x:v>
      </x:c>
      <x:c r="S683" t="n">
        <x:f>IF(AND(MAX(M683,M682)&gt;0,M683&gt;M682+0.00000001),1,0)</x:f>
        <x:v>0</x:v>
      </x:c>
      <x:c r="T683" t="n">
        <x:f>IF(AND(MAX(N683,N682)&gt;0,N683&gt;N682+0.00000001),1,0)</x:f>
        <x:v>0</x:v>
      </x:c>
      <x:c r="U683" t="n">
        <x:f>IF(AND(MAX(O683,O682)&gt;0,O683&gt;O682+0.00000001),1,0)</x:f>
        <x:v>0</x:v>
      </x:c>
    </x:row>
    <x:row r="684">
      <x:c r="J684" t="n">
        <x:f>IF(AND(ISNUMBER('Results'!B7),ISNUMBER('Results'!C7),ISNUMBER('Results'!$B$8),ISNUMBER('Inputs'!$B$6),ISNUMBER('Inputs'!$B$7),ISNUMBER('Inputs'!$B$8),ISNUMBER('Inputs'!$B$9),ISNUMBER('Inputs'!$B$10),ISNUMBER('Inputs'!$B$21),ISNUMBER('Inputs'!$B$24),ISNUMBER('Inputs'!$B$28)),(('Results'!B7*(0.5*((((684-43)*MAX('Inputs'!$B$33,'Inputs'!$B$29+'Inputs'!$B$31+'Inputs'!$B$32,'Inputs'!$B$30+'Inputs'!$B$31+'Inputs'!$B$32)/1000+'Inputs'!$B$21)+'Inputs'!$B$7)/SQRT((((684-43)*MAX('Inputs'!$B$33,'Inputs'!$B$29+'Inputs'!$B$31+'Inputs'!$B$32,'Inputs'!$B$30+'Inputs'!$B$31+'Inputs'!$B$32)/1000+'Inputs'!$B$21)+'Inputs'!$B$7)^2+('Inputs'!$B$6/2)^2)-(((684-43)*MAX('Inputs'!$B$33,'Inputs'!$B$29+'Inputs'!$B$31+'Inputs'!$B$32,'Inputs'!$B$30+'Inputs'!$B$31+'Inputs'!$B$32)/1000+'Inputs'!$B$21))/SQRT((((684-43)*MAX('Inputs'!$B$33,'Inputs'!$B$29+'Inputs'!$B$31+'Inputs'!$B$32,'Inputs'!$B$30+'Inputs'!$B$31+'Inputs'!$B$32)/1000+'Inputs'!$B$21))^2+('Inputs'!$B$6/2)^2)))-'Results'!C7*(0.5*((((684-43)*MAX('Inputs'!$B$33,'Inputs'!$B$29+'Inputs'!$B$31+'Inputs'!$B$32,'Inputs'!$B$30+'Inputs'!$B$31+'Inputs'!$B$32)/1000+'Inputs'!$B$21+'Inputs'!$B$7+'Inputs'!$B$10)+'Inputs'!$B$9)/SQRT((((684-43)*MAX('Inputs'!$B$33,'Inputs'!$B$29+'Inputs'!$B$31+'Inputs'!$B$32,'Inputs'!$B$30+'Inputs'!$B$31+'Inputs'!$B$32)/1000+'Inputs'!$B$21+'Inputs'!$B$7+'Inputs'!$B$10)+'Inputs'!$B$9)^2+('Inputs'!$B$8/2)^2)-(((684-43)*MAX('Inputs'!$B$33,'Inputs'!$B$29+'Inputs'!$B$31+'Inputs'!$B$32,'Inputs'!$B$30+'Inputs'!$B$31+'Inputs'!$B$32)/1000+'Inputs'!$B$21+'Inputs'!$B$7+'Inputs'!$B$10))/SQRT((((684-43)*MAX('Inputs'!$B$33,'Inputs'!$B$29+'Inputs'!$B$31+'Inputs'!$B$32,'Inputs'!$B$30+'Inputs'!$B$31+'Inputs'!$B$32)/1000+'Inputs'!$B$21+'Inputs'!$B$7+'Inputs'!$B$10))^2+('Inputs'!$B$8/2)^2))))*'Results'!$B$8),"")</x:f>
        <x:v>1.764795627333371</x:v>
      </x:c>
      <x:c r="K684" t="n">
        <x:f>IF(AND(ISNUMBER('Results'!B7),ISNUMBER('Results'!C7),ISNUMBER('Results'!$B$8),ISNUMBER('Inputs'!$B$6),ISNUMBER('Inputs'!$B$7),ISNUMBER('Inputs'!$B$8),ISNUMBER('Inputs'!$B$9),ISNUMBER('Inputs'!$B$10),ISNUMBER('Inputs'!$B$21),ISNUMBER('Inputs'!$B$24),ISNUMBER('Inputs'!$B$28)),((('Results'!B7*(1-'Inputs'!$B$24)*(0.5*((((684-43)*MAX('Inputs'!$B$33,'Inputs'!$B$29+'Inputs'!$B$31+'Inputs'!$B$32,'Inputs'!$B$30+'Inputs'!$B$31+'Inputs'!$B$32)/1000+'Inputs'!$B$21)+'Inputs'!$B$7)/SQRT((((684-43)*MAX('Inputs'!$B$33,'Inputs'!$B$29+'Inputs'!$B$31+'Inputs'!$B$32,'Inputs'!$B$30+'Inputs'!$B$31+'Inputs'!$B$32)/1000+'Inputs'!$B$21)+'Inputs'!$B$7)^2+('Inputs'!$B$6/2)^2)-(((684-43)*MAX('Inputs'!$B$33,'Inputs'!$B$29+'Inputs'!$B$31+'Inputs'!$B$32,'Inputs'!$B$30+'Inputs'!$B$31+'Inputs'!$B$32)/1000+'Inputs'!$B$21))/SQRT((((684-43)*MAX('Inputs'!$B$33,'Inputs'!$B$29+'Inputs'!$B$31+'Inputs'!$B$32,'Inputs'!$B$30+'Inputs'!$B$31+'Inputs'!$B$32)/1000+'Inputs'!$B$21))^2+('Inputs'!$B$6/2)^2)))-'Results'!C7*(1+'Inputs'!$B$24)*(0.5*((((684-43)*MAX('Inputs'!$B$33,'Inputs'!$B$29+'Inputs'!$B$31+'Inputs'!$B$32,'Inputs'!$B$30+'Inputs'!$B$31+'Inputs'!$B$32)/1000+'Inputs'!$B$21+'Inputs'!$B$7+'Inputs'!$B$10)+'Inputs'!$B$9)/SQRT((((684-43)*MAX('Inputs'!$B$33,'Inputs'!$B$29+'Inputs'!$B$31+'Inputs'!$B$32,'Inputs'!$B$30+'Inputs'!$B$31+'Inputs'!$B$32)/1000+'Inputs'!$B$21+'Inputs'!$B$7+'Inputs'!$B$10)+'Inputs'!$B$9)^2+('Inputs'!$B$8/2)^2)-(((684-43)*MAX('Inputs'!$B$33,'Inputs'!$B$29+'Inputs'!$B$31+'Inputs'!$B$32,'Inputs'!$B$30+'Inputs'!$B$31+'Inputs'!$B$32)/1000+'Inputs'!$B$21+'Inputs'!$B$7+'Inputs'!$B$10))/SQRT((((684-43)*MAX('Inputs'!$B$33,'Inputs'!$B$29+'Inputs'!$B$31+'Inputs'!$B$32,'Inputs'!$B$30+'Inputs'!$B$31+'Inputs'!$B$32)/1000+'Inputs'!$B$21+'Inputs'!$B$7+'Inputs'!$B$10))^2+('Inputs'!$B$8/2)^2))))*'Results'!$B$8)-'Inputs'!$B$28*ABS((('Results'!B7*(1-'Inputs'!$B$24)*(0.5*((((684-43)*MAX('Inputs'!$B$33,'Inputs'!$B$29+'Inputs'!$B$31+'Inputs'!$B$32,'Inputs'!$B$30+'Inputs'!$B$31+'Inputs'!$B$32)/1000+'Inputs'!$B$21)+'Inputs'!$B$7)/SQRT((((684-43)*MAX('Inputs'!$B$33,'Inputs'!$B$29+'Inputs'!$B$31+'Inputs'!$B$32,'Inputs'!$B$30+'Inputs'!$B$31+'Inputs'!$B$32)/1000+'Inputs'!$B$21)+'Inputs'!$B$7)^2+('Inputs'!$B$6/2)^2)-(((684-43)*MAX('Inputs'!$B$33,'Inputs'!$B$29+'Inputs'!$B$31+'Inputs'!$B$32,'Inputs'!$B$30+'Inputs'!$B$31+'Inputs'!$B$32)/1000+'Inputs'!$B$21))/SQRT((((684-43)*MAX('Inputs'!$B$33,'Inputs'!$B$29+'Inputs'!$B$31+'Inputs'!$B$32,'Inputs'!$B$30+'Inputs'!$B$31+'Inputs'!$B$32)/1000+'Inputs'!$B$21))^2+('Inputs'!$B$6/2)^2)))-'Results'!C7*(1+'Inputs'!$B$24)*(0.5*((((684-43)*MAX('Inputs'!$B$33,'Inputs'!$B$29+'Inputs'!$B$31+'Inputs'!$B$32,'Inputs'!$B$30+'Inputs'!$B$31+'Inputs'!$B$32)/1000+'Inputs'!$B$21+'Inputs'!$B$7+'Inputs'!$B$10)+'Inputs'!$B$9)/SQRT((((684-43)*MAX('Inputs'!$B$33,'Inputs'!$B$29+'Inputs'!$B$31+'Inputs'!$B$32,'Inputs'!$B$30+'Inputs'!$B$31+'Inputs'!$B$32)/1000+'Inputs'!$B$21+'Inputs'!$B$7+'Inputs'!$B$10)+'Inputs'!$B$9)^2+('Inputs'!$B$8/2)^2)-(((684-43)*MAX('Inputs'!$B$33,'Inputs'!$B$29+'Inputs'!$B$31+'Inputs'!$B$32,'Inputs'!$B$30+'Inputs'!$B$31+'Inputs'!$B$32)/1000+'Inputs'!$B$21+'Inputs'!$B$7+'Inputs'!$B$10))/SQRT((((684-43)*MAX('Inputs'!$B$33,'Inputs'!$B$29+'Inputs'!$B$31+'Inputs'!$B$32,'Inputs'!$B$30+'Inputs'!$B$31+'Inputs'!$B$32)/1000+'Inputs'!$B$21+'Inputs'!$B$7+'Inputs'!$B$10))^2+('Inputs'!$B$8/2)^2))))*'Results'!$B$8))),"")</x:f>
        <x:v>1.5382969217074383</x:v>
      </x:c>
      <x:c r="L684" t="n">
        <x:f>IF(AND(ISNUMBER('Results'!B7),ISNUMBER('Results'!C7),ISNUMBER('Results'!$B$8),ISNUMBER('Inputs'!$B$6),ISNUMBER('Inputs'!$B$7),ISNUMBER('Inputs'!$B$8),ISNUMBER('Inputs'!$B$9),ISNUMBER('Inputs'!$B$10),ISNUMBER('Inputs'!$B$21),ISNUMBER('Inputs'!$B$24),ISNUMBER('Inputs'!$B$28)),((('Results'!B7*(1+'Inputs'!$B$24)*(0.5*((((684-43)*MAX('Inputs'!$B$33,'Inputs'!$B$29+'Inputs'!$B$31+'Inputs'!$B$32,'Inputs'!$B$30+'Inputs'!$B$31+'Inputs'!$B$32)/1000+'Inputs'!$B$21)+'Inputs'!$B$7)/SQRT((((684-43)*MAX('Inputs'!$B$33,'Inputs'!$B$29+'Inputs'!$B$31+'Inputs'!$B$32,'Inputs'!$B$30+'Inputs'!$B$31+'Inputs'!$B$32)/1000+'Inputs'!$B$21)+'Inputs'!$B$7)^2+('Inputs'!$B$6/2)^2)-(((684-43)*MAX('Inputs'!$B$33,'Inputs'!$B$29+'Inputs'!$B$31+'Inputs'!$B$32,'Inputs'!$B$30+'Inputs'!$B$31+'Inputs'!$B$32)/1000+'Inputs'!$B$21))/SQRT((((684-43)*MAX('Inputs'!$B$33,'Inputs'!$B$29+'Inputs'!$B$31+'Inputs'!$B$32,'Inputs'!$B$30+'Inputs'!$B$31+'Inputs'!$B$32)/1000+'Inputs'!$B$21))^2+('Inputs'!$B$6/2)^2)))-'Results'!C7*(1-'Inputs'!$B$24)*(0.5*((((684-43)*MAX('Inputs'!$B$33,'Inputs'!$B$29+'Inputs'!$B$31+'Inputs'!$B$32,'Inputs'!$B$30+'Inputs'!$B$31+'Inputs'!$B$32)/1000+'Inputs'!$B$21+'Inputs'!$B$7+'Inputs'!$B$10)+'Inputs'!$B$9)/SQRT((((684-43)*MAX('Inputs'!$B$33,'Inputs'!$B$29+'Inputs'!$B$31+'Inputs'!$B$32,'Inputs'!$B$30+'Inputs'!$B$31+'Inputs'!$B$32)/1000+'Inputs'!$B$21+'Inputs'!$B$7+'Inputs'!$B$10)+'Inputs'!$B$9)^2+('Inputs'!$B$8/2)^2)-(((684-43)*MAX('Inputs'!$B$33,'Inputs'!$B$29+'Inputs'!$B$31+'Inputs'!$B$32,'Inputs'!$B$30+'Inputs'!$B$31+'Inputs'!$B$32)/1000+'Inputs'!$B$21+'Inputs'!$B$7+'Inputs'!$B$10))/SQRT((((684-43)*MAX('Inputs'!$B$33,'Inputs'!$B$29+'Inputs'!$B$31+'Inputs'!$B$32,'Inputs'!$B$30+'Inputs'!$B$31+'Inputs'!$B$32)/1000+'Inputs'!$B$21+'Inputs'!$B$7+'Inputs'!$B$10))^2+('Inputs'!$B$8/2)^2))))*'Results'!$B$8)+'Inputs'!$B$28*ABS((('Results'!B7*(1+'Inputs'!$B$24)*(0.5*((((684-43)*MAX('Inputs'!$B$33,'Inputs'!$B$29+'Inputs'!$B$31+'Inputs'!$B$32,'Inputs'!$B$30+'Inputs'!$B$31+'Inputs'!$B$32)/1000+'Inputs'!$B$21)+'Inputs'!$B$7)/SQRT((((684-43)*MAX('Inputs'!$B$33,'Inputs'!$B$29+'Inputs'!$B$31+'Inputs'!$B$32,'Inputs'!$B$30+'Inputs'!$B$31+'Inputs'!$B$32)/1000+'Inputs'!$B$21)+'Inputs'!$B$7)^2+('Inputs'!$B$6/2)^2)-(((684-43)*MAX('Inputs'!$B$33,'Inputs'!$B$29+'Inputs'!$B$31+'Inputs'!$B$32,'Inputs'!$B$30+'Inputs'!$B$31+'Inputs'!$B$32)/1000+'Inputs'!$B$21))/SQRT((((684-43)*MAX('Inputs'!$B$33,'Inputs'!$B$29+'Inputs'!$B$31+'Inputs'!$B$32,'Inputs'!$B$30+'Inputs'!$B$31+'Inputs'!$B$32)/1000+'Inputs'!$B$21))^2+('Inputs'!$B$6/2)^2)))-'Results'!C7*(1-'Inputs'!$B$24)*(0.5*((((684-43)*MAX('Inputs'!$B$33,'Inputs'!$B$29+'Inputs'!$B$31+'Inputs'!$B$32,'Inputs'!$B$30+'Inputs'!$B$31+'Inputs'!$B$32)/1000+'Inputs'!$B$21+'Inputs'!$B$7+'Inputs'!$B$10)+'Inputs'!$B$9)/SQRT((((684-43)*MAX('Inputs'!$B$33,'Inputs'!$B$29+'Inputs'!$B$31+'Inputs'!$B$32,'Inputs'!$B$30+'Inputs'!$B$31+'Inputs'!$B$32)/1000+'Inputs'!$B$21+'Inputs'!$B$7+'Inputs'!$B$10)+'Inputs'!$B$9)^2+('Inputs'!$B$8/2)^2)-(((684-43)*MAX('Inputs'!$B$33,'Inputs'!$B$29+'Inputs'!$B$31+'Inputs'!$B$32,'Inputs'!$B$30+'Inputs'!$B$31+'Inputs'!$B$32)/1000+'Inputs'!$B$21+'Inputs'!$B$7+'Inputs'!$B$10))/SQRT((((684-43)*MAX('Inputs'!$B$33,'Inputs'!$B$29+'Inputs'!$B$31+'Inputs'!$B$32,'Inputs'!$B$30+'Inputs'!$B$31+'Inputs'!$B$32)/1000+'Inputs'!$B$21+'Inputs'!$B$7+'Inputs'!$B$10))^2+('Inputs'!$B$8/2)^2))))*'Results'!$B$8))),"")</x:f>
        <x:v>2.0058479039339625</x:v>
      </x:c>
      <x:c r="M684" t="n">
        <x:f>IF(AND(ISNUMBER('Results'!C7),ISNUMBER('Results'!B7),ISNUMBER('Results'!$B$8),ISNUMBER('Inputs'!$B$6),ISNUMBER('Inputs'!$B$7),ISNUMBER('Inputs'!$B$8),ISNUMBER('Inputs'!$B$9),ISNUMBER('Inputs'!$B$10),ISNUMBER('Inputs'!$B$21),ISNUMBER('Inputs'!$B$24),ISNUMBER('Inputs'!$B$28)),(('Results'!C7*(0.5*((((684-43)*MAX('Inputs'!$B$33,'Inputs'!$B$29+'Inputs'!$B$31+'Inputs'!$B$32,'Inputs'!$B$30+'Inputs'!$B$31+'Inputs'!$B$32)/1000+'Inputs'!$B$21)+'Inputs'!$B$9)/SQRT((((684-43)*MAX('Inputs'!$B$33,'Inputs'!$B$29+'Inputs'!$B$31+'Inputs'!$B$32,'Inputs'!$B$30+'Inputs'!$B$31+'Inputs'!$B$32)/1000+'Inputs'!$B$21)+'Inputs'!$B$9)^2+('Inputs'!$B$8/2)^2)-(((684-43)*MAX('Inputs'!$B$33,'Inputs'!$B$29+'Inputs'!$B$31+'Inputs'!$B$32,'Inputs'!$B$30+'Inputs'!$B$31+'Inputs'!$B$32)/1000+'Inputs'!$B$21))/SQRT((((684-43)*MAX('Inputs'!$B$33,'Inputs'!$B$29+'Inputs'!$B$31+'Inputs'!$B$32,'Inputs'!$B$30+'Inputs'!$B$31+'Inputs'!$B$32)/1000+'Inputs'!$B$21))^2+('Inputs'!$B$8/2)^2)))-'Results'!B7*(0.5*((((684-43)*MAX('Inputs'!$B$33,'Inputs'!$B$29+'Inputs'!$B$31+'Inputs'!$B$32,'Inputs'!$B$30+'Inputs'!$B$31+'Inputs'!$B$32)/1000+'Inputs'!$B$21+'Inputs'!$B$9+'Inputs'!$B$10)+'Inputs'!$B$7)/SQRT((((684-43)*MAX('Inputs'!$B$33,'Inputs'!$B$29+'Inputs'!$B$31+'Inputs'!$B$32,'Inputs'!$B$30+'Inputs'!$B$31+'Inputs'!$B$32)/1000+'Inputs'!$B$21+'Inputs'!$B$9+'Inputs'!$B$10)+'Inputs'!$B$7)^2+('Inputs'!$B$6/2)^2)-(((684-43)*MAX('Inputs'!$B$33,'Inputs'!$B$29+'Inputs'!$B$31+'Inputs'!$B$32,'Inputs'!$B$30+'Inputs'!$B$31+'Inputs'!$B$32)/1000+'Inputs'!$B$21+'Inputs'!$B$9+'Inputs'!$B$10))/SQRT((((684-43)*MAX('Inputs'!$B$33,'Inputs'!$B$29+'Inputs'!$B$31+'Inputs'!$B$32,'Inputs'!$B$30+'Inputs'!$B$31+'Inputs'!$B$32)/1000+'Inputs'!$B$21+'Inputs'!$B$9+'Inputs'!$B$10))^2+('Inputs'!$B$6/2)^2))))*'Results'!$B$8),"")</x:f>
        <x:v>1.6181350216969825</x:v>
      </x:c>
      <x:c r="N684" t="n">
        <x:f>IF(AND(ISNUMBER('Results'!C7),ISNUMBER('Results'!B7),ISNUMBER('Results'!$B$8),ISNUMBER('Inputs'!$B$6),ISNUMBER('Inputs'!$B$7),ISNUMBER('Inputs'!$B$8),ISNUMBER('Inputs'!$B$9),ISNUMBER('Inputs'!$B$10),ISNUMBER('Inputs'!$B$21),ISNUMBER('Inputs'!$B$24),ISNUMBER('Inputs'!$B$28)),((('Results'!C7*(1-'Inputs'!$B$24)*(0.5*((((684-43)*MAX('Inputs'!$B$33,'Inputs'!$B$29+'Inputs'!$B$31+'Inputs'!$B$32,'Inputs'!$B$30+'Inputs'!$B$31+'Inputs'!$B$32)/1000+'Inputs'!$B$21)+'Inputs'!$B$9)/SQRT((((684-43)*MAX('Inputs'!$B$33,'Inputs'!$B$29+'Inputs'!$B$31+'Inputs'!$B$32,'Inputs'!$B$30+'Inputs'!$B$31+'Inputs'!$B$32)/1000+'Inputs'!$B$21)+'Inputs'!$B$9)^2+('Inputs'!$B$8/2)^2)-(((684-43)*MAX('Inputs'!$B$33,'Inputs'!$B$29+'Inputs'!$B$31+'Inputs'!$B$32,'Inputs'!$B$30+'Inputs'!$B$31+'Inputs'!$B$32)/1000+'Inputs'!$B$21))/SQRT((((684-43)*MAX('Inputs'!$B$33,'Inputs'!$B$29+'Inputs'!$B$31+'Inputs'!$B$32,'Inputs'!$B$30+'Inputs'!$B$31+'Inputs'!$B$32)/1000+'Inputs'!$B$21))^2+('Inputs'!$B$8/2)^2)))-'Results'!B7*(1+'Inputs'!$B$24)*(0.5*((((684-43)*MAX('Inputs'!$B$33,'Inputs'!$B$29+'Inputs'!$B$31+'Inputs'!$B$32,'Inputs'!$B$30+'Inputs'!$B$31+'Inputs'!$B$32)/1000+'Inputs'!$B$21+'Inputs'!$B$9+'Inputs'!$B$10)+'Inputs'!$B$7)/SQRT((((684-43)*MAX('Inputs'!$B$33,'Inputs'!$B$29+'Inputs'!$B$31+'Inputs'!$B$32,'Inputs'!$B$30+'Inputs'!$B$31+'Inputs'!$B$32)/1000+'Inputs'!$B$21+'Inputs'!$B$9+'Inputs'!$B$10)+'Inputs'!$B$7)^2+('Inputs'!$B$6/2)^2)-(((684-43)*MAX('Inputs'!$B$33,'Inputs'!$B$29+'Inputs'!$B$31+'Inputs'!$B$32,'Inputs'!$B$30+'Inputs'!$B$31+'Inputs'!$B$32)/1000+'Inputs'!$B$21+'Inputs'!$B$9+'Inputs'!$B$10))/SQRT((((684-43)*MAX('Inputs'!$B$33,'Inputs'!$B$29+'Inputs'!$B$31+'Inputs'!$B$32,'Inputs'!$B$30+'Inputs'!$B$31+'Inputs'!$B$32)/1000+'Inputs'!$B$21+'Inputs'!$B$9+'Inputs'!$B$10))^2+('Inputs'!$B$6/2)^2))))*'Results'!$B$8)-'Inputs'!$B$28*ABS((('Results'!C7*(1-'Inputs'!$B$24)*(0.5*((((684-43)*MAX('Inputs'!$B$33,'Inputs'!$B$29+'Inputs'!$B$31+'Inputs'!$B$32,'Inputs'!$B$30+'Inputs'!$B$31+'Inputs'!$B$32)/1000+'Inputs'!$B$21)+'Inputs'!$B$9)/SQRT((((684-43)*MAX('Inputs'!$B$33,'Inputs'!$B$29+'Inputs'!$B$31+'Inputs'!$B$32,'Inputs'!$B$30+'Inputs'!$B$31+'Inputs'!$B$32)/1000+'Inputs'!$B$21)+'Inputs'!$B$9)^2+('Inputs'!$B$8/2)^2)-(((684-43)*MAX('Inputs'!$B$33,'Inputs'!$B$29+'Inputs'!$B$31+'Inputs'!$B$32,'Inputs'!$B$30+'Inputs'!$B$31+'Inputs'!$B$32)/1000+'Inputs'!$B$21))/SQRT((((684-43)*MAX('Inputs'!$B$33,'Inputs'!$B$29+'Inputs'!$B$31+'Inputs'!$B$32,'Inputs'!$B$30+'Inputs'!$B$31+'Inputs'!$B$32)/1000+'Inputs'!$B$21))^2+('Inputs'!$B$8/2)^2)))-'Results'!B7*(1+'Inputs'!$B$24)*(0.5*((((684-43)*MAX('Inputs'!$B$33,'Inputs'!$B$29+'Inputs'!$B$31+'Inputs'!$B$32,'Inputs'!$B$30+'Inputs'!$B$31+'Inputs'!$B$32)/1000+'Inputs'!$B$21+'Inputs'!$B$9+'Inputs'!$B$10)+'Inputs'!$B$7)/SQRT((((684-43)*MAX('Inputs'!$B$33,'Inputs'!$B$29+'Inputs'!$B$31+'Inputs'!$B$32,'Inputs'!$B$30+'Inputs'!$B$31+'Inputs'!$B$32)/1000+'Inputs'!$B$21+'Inputs'!$B$9+'Inputs'!$B$10)+'Inputs'!$B$7)^2+('Inputs'!$B$6/2)^2)-(((684-43)*MAX('Inputs'!$B$33,'Inputs'!$B$29+'Inputs'!$B$31+'Inputs'!$B$32,'Inputs'!$B$30+'Inputs'!$B$31+'Inputs'!$B$32)/1000+'Inputs'!$B$21+'Inputs'!$B$9+'Inputs'!$B$10))/SQRT((((684-43)*MAX('Inputs'!$B$33,'Inputs'!$B$29+'Inputs'!$B$31+'Inputs'!$B$32,'Inputs'!$B$30+'Inputs'!$B$31+'Inputs'!$B$32)/1000+'Inputs'!$B$21+'Inputs'!$B$9+'Inputs'!$B$10))^2+('Inputs'!$B$6/2)^2))))*'Results'!$B$8))),"")</x:f>
        <x:v>1.3996185956693492</x:v>
      </x:c>
      <x:c r="O684" t="n">
        <x:f>IF(AND(ISNUMBER('Results'!C7),ISNUMBER('Results'!B7),ISNUMBER('Results'!$B$8),ISNUMBER('Inputs'!$B$6),ISNUMBER('Inputs'!$B$7),ISNUMBER('Inputs'!$B$8),ISNUMBER('Inputs'!$B$9),ISNUMBER('Inputs'!$B$10),ISNUMBER('Inputs'!$B$21),ISNUMBER('Inputs'!$B$24),ISNUMBER('Inputs'!$B$28)),((('Results'!C7*(1+'Inputs'!$B$24)*(0.5*((((684-43)*MAX('Inputs'!$B$33,'Inputs'!$B$29+'Inputs'!$B$31+'Inputs'!$B$32,'Inputs'!$B$30+'Inputs'!$B$31+'Inputs'!$B$32)/1000+'Inputs'!$B$21)+'Inputs'!$B$9)/SQRT((((684-43)*MAX('Inputs'!$B$33,'Inputs'!$B$29+'Inputs'!$B$31+'Inputs'!$B$32,'Inputs'!$B$30+'Inputs'!$B$31+'Inputs'!$B$32)/1000+'Inputs'!$B$21)+'Inputs'!$B$9)^2+('Inputs'!$B$8/2)^2)-(((684-43)*MAX('Inputs'!$B$33,'Inputs'!$B$29+'Inputs'!$B$31+'Inputs'!$B$32,'Inputs'!$B$30+'Inputs'!$B$31+'Inputs'!$B$32)/1000+'Inputs'!$B$21))/SQRT((((684-43)*MAX('Inputs'!$B$33,'Inputs'!$B$29+'Inputs'!$B$31+'Inputs'!$B$32,'Inputs'!$B$30+'Inputs'!$B$31+'Inputs'!$B$32)/1000+'Inputs'!$B$21))^2+('Inputs'!$B$8/2)^2)))-'Results'!B7*(1-'Inputs'!$B$24)*(0.5*((((684-43)*MAX('Inputs'!$B$33,'Inputs'!$B$29+'Inputs'!$B$31+'Inputs'!$B$32,'Inputs'!$B$30+'Inputs'!$B$31+'Inputs'!$B$32)/1000+'Inputs'!$B$21+'Inputs'!$B$9+'Inputs'!$B$10)+'Inputs'!$B$7)/SQRT((((684-43)*MAX('Inputs'!$B$33,'Inputs'!$B$29+'Inputs'!$B$31+'Inputs'!$B$32,'Inputs'!$B$30+'Inputs'!$B$31+'Inputs'!$B$32)/1000+'Inputs'!$B$21+'Inputs'!$B$9+'Inputs'!$B$10)+'Inputs'!$B$7)^2+('Inputs'!$B$6/2)^2)-(((684-43)*MAX('Inputs'!$B$33,'Inputs'!$B$29+'Inputs'!$B$31+'Inputs'!$B$32,'Inputs'!$B$30+'Inputs'!$B$31+'Inputs'!$B$32)/1000+'Inputs'!$B$21+'Inputs'!$B$9+'Inputs'!$B$10))/SQRT((((684-43)*MAX('Inputs'!$B$33,'Inputs'!$B$29+'Inputs'!$B$31+'Inputs'!$B$32,'Inputs'!$B$30+'Inputs'!$B$31+'Inputs'!$B$32)/1000+'Inputs'!$B$21+'Inputs'!$B$9+'Inputs'!$B$10))^2+('Inputs'!$B$6/2)^2))))*'Results'!$B$8)+'Inputs'!$B$28*ABS((('Results'!C7*(1+'Inputs'!$B$24)*(0.5*((((684-43)*MAX('Inputs'!$B$33,'Inputs'!$B$29+'Inputs'!$B$31+'Inputs'!$B$32,'Inputs'!$B$30+'Inputs'!$B$31+'Inputs'!$B$32)/1000+'Inputs'!$B$21)+'Inputs'!$B$9)/SQRT((((684-43)*MAX('Inputs'!$B$33,'Inputs'!$B$29+'Inputs'!$B$31+'Inputs'!$B$32,'Inputs'!$B$30+'Inputs'!$B$31+'Inputs'!$B$32)/1000+'Inputs'!$B$21)+'Inputs'!$B$9)^2+('Inputs'!$B$8/2)^2)-(((684-43)*MAX('Inputs'!$B$33,'Inputs'!$B$29+'Inputs'!$B$31+'Inputs'!$B$32,'Inputs'!$B$30+'Inputs'!$B$31+'Inputs'!$B$32)/1000+'Inputs'!$B$21))/SQRT((((684-43)*MAX('Inputs'!$B$33,'Inputs'!$B$29+'Inputs'!$B$31+'Inputs'!$B$32,'Inputs'!$B$30+'Inputs'!$B$31+'Inputs'!$B$32)/1000+'Inputs'!$B$21))^2+('Inputs'!$B$8/2)^2)))-'Results'!B7*(1-'Inputs'!$B$24)*(0.5*((((684-43)*MAX('Inputs'!$B$33,'Inputs'!$B$29+'Inputs'!$B$31+'Inputs'!$B$32,'Inputs'!$B$30+'Inputs'!$B$31+'Inputs'!$B$32)/1000+'Inputs'!$B$21+'Inputs'!$B$9+'Inputs'!$B$10)+'Inputs'!$B$7)/SQRT((((684-43)*MAX('Inputs'!$B$33,'Inputs'!$B$29+'Inputs'!$B$31+'Inputs'!$B$32,'Inputs'!$B$30+'Inputs'!$B$31+'Inputs'!$B$32)/1000+'Inputs'!$B$21+'Inputs'!$B$9+'Inputs'!$B$10)+'Inputs'!$B$7)^2+('Inputs'!$B$6/2)^2)-(((684-43)*MAX('Inputs'!$B$33,'Inputs'!$B$29+'Inputs'!$B$31+'Inputs'!$B$32,'Inputs'!$B$30+'Inputs'!$B$31+'Inputs'!$B$32)/1000+'Inputs'!$B$21+'Inputs'!$B$9+'Inputs'!$B$10))/SQRT((((684-43)*MAX('Inputs'!$B$33,'Inputs'!$B$29+'Inputs'!$B$31+'Inputs'!$B$32,'Inputs'!$B$30+'Inputs'!$B$31+'Inputs'!$B$32)/1000+'Inputs'!$B$21+'Inputs'!$B$9+'Inputs'!$B$10))^2+('Inputs'!$B$6/2)^2))))*'Results'!$B$8))),"")</x:f>
        <x:v>1.8511366766659603</x:v>
      </x:c>
      <x:c r="P684" t="n">
        <x:f>IF(AND(MAX(J684,J683)&gt;0,J684&gt;J683+0.00000001),1,0)</x:f>
        <x:v>0</x:v>
      </x:c>
      <x:c r="Q684" t="n">
        <x:f>IF(AND(MAX(K684,K683)&gt;0,K684&gt;K683+0.00000001),1,0)</x:f>
        <x:v>0</x:v>
      </x:c>
      <x:c r="R684" t="n">
        <x:f>IF(AND(MAX(L684,L683)&gt;0,L684&gt;L683+0.00000001),1,0)</x:f>
        <x:v>0</x:v>
      </x:c>
      <x:c r="S684" t="n">
        <x:f>IF(AND(MAX(M684,M683)&gt;0,M684&gt;M683+0.00000001),1,0)</x:f>
        <x:v>0</x:v>
      </x:c>
      <x:c r="T684" t="n">
        <x:f>IF(AND(MAX(N684,N683)&gt;0,N684&gt;N683+0.00000001),1,0)</x:f>
        <x:v>0</x:v>
      </x:c>
      <x:c r="U684" t="n">
        <x:f>IF(AND(MAX(O684,O683)&gt;0,O684&gt;O683+0.00000001),1,0)</x:f>
        <x:v>0</x:v>
      </x:c>
    </x:row>
    <x:row r="685">
      <x:c r="J685" t="n">
        <x:f>IF(AND(ISNUMBER('Results'!B7),ISNUMBER('Results'!C7),ISNUMBER('Results'!$B$8),ISNUMBER('Inputs'!$B$6),ISNUMBER('Inputs'!$B$7),ISNUMBER('Inputs'!$B$8),ISNUMBER('Inputs'!$B$9),ISNUMBER('Inputs'!$B$10),ISNUMBER('Inputs'!$B$21),ISNUMBER('Inputs'!$B$24),ISNUMBER('Inputs'!$B$28)),(('Results'!B7*(0.5*((((685-43)*MAX('Inputs'!$B$33,'Inputs'!$B$29+'Inputs'!$B$31+'Inputs'!$B$32,'Inputs'!$B$30+'Inputs'!$B$31+'Inputs'!$B$32)/1000+'Inputs'!$B$21)+'Inputs'!$B$7)/SQRT((((685-43)*MAX('Inputs'!$B$33,'Inputs'!$B$29+'Inputs'!$B$31+'Inputs'!$B$32,'Inputs'!$B$30+'Inputs'!$B$31+'Inputs'!$B$32)/1000+'Inputs'!$B$21)+'Inputs'!$B$7)^2+('Inputs'!$B$6/2)^2)-(((685-43)*MAX('Inputs'!$B$33,'Inputs'!$B$29+'Inputs'!$B$31+'Inputs'!$B$32,'Inputs'!$B$30+'Inputs'!$B$31+'Inputs'!$B$32)/1000+'Inputs'!$B$21))/SQRT((((685-43)*MAX('Inputs'!$B$33,'Inputs'!$B$29+'Inputs'!$B$31+'Inputs'!$B$32,'Inputs'!$B$30+'Inputs'!$B$31+'Inputs'!$B$32)/1000+'Inputs'!$B$21))^2+('Inputs'!$B$6/2)^2)))-'Results'!C7*(0.5*((((685-43)*MAX('Inputs'!$B$33,'Inputs'!$B$29+'Inputs'!$B$31+'Inputs'!$B$32,'Inputs'!$B$30+'Inputs'!$B$31+'Inputs'!$B$32)/1000+'Inputs'!$B$21+'Inputs'!$B$7+'Inputs'!$B$10)+'Inputs'!$B$9)/SQRT((((685-43)*MAX('Inputs'!$B$33,'Inputs'!$B$29+'Inputs'!$B$31+'Inputs'!$B$32,'Inputs'!$B$30+'Inputs'!$B$31+'Inputs'!$B$32)/1000+'Inputs'!$B$21+'Inputs'!$B$7+'Inputs'!$B$10)+'Inputs'!$B$9)^2+('Inputs'!$B$8/2)^2)-(((685-43)*MAX('Inputs'!$B$33,'Inputs'!$B$29+'Inputs'!$B$31+'Inputs'!$B$32,'Inputs'!$B$30+'Inputs'!$B$31+'Inputs'!$B$32)/1000+'Inputs'!$B$21+'Inputs'!$B$7+'Inputs'!$B$10))/SQRT((((685-43)*MAX('Inputs'!$B$33,'Inputs'!$B$29+'Inputs'!$B$31+'Inputs'!$B$32,'Inputs'!$B$30+'Inputs'!$B$31+'Inputs'!$B$32)/1000+'Inputs'!$B$21+'Inputs'!$B$7+'Inputs'!$B$10))^2+('Inputs'!$B$8/2)^2))))*'Results'!$B$8),"")</x:f>
        <x:v>1.75513425796691</x:v>
      </x:c>
      <x:c r="K685" t="n">
        <x:f>IF(AND(ISNUMBER('Results'!B7),ISNUMBER('Results'!C7),ISNUMBER('Results'!$B$8),ISNUMBER('Inputs'!$B$6),ISNUMBER('Inputs'!$B$7),ISNUMBER('Inputs'!$B$8),ISNUMBER('Inputs'!$B$9),ISNUMBER('Inputs'!$B$10),ISNUMBER('Inputs'!$B$21),ISNUMBER('Inputs'!$B$24),ISNUMBER('Inputs'!$B$28)),((('Results'!B7*(1-'Inputs'!$B$24)*(0.5*((((685-43)*MAX('Inputs'!$B$33,'Inputs'!$B$29+'Inputs'!$B$31+'Inputs'!$B$32,'Inputs'!$B$30+'Inputs'!$B$31+'Inputs'!$B$32)/1000+'Inputs'!$B$21)+'Inputs'!$B$7)/SQRT((((685-43)*MAX('Inputs'!$B$33,'Inputs'!$B$29+'Inputs'!$B$31+'Inputs'!$B$32,'Inputs'!$B$30+'Inputs'!$B$31+'Inputs'!$B$32)/1000+'Inputs'!$B$21)+'Inputs'!$B$7)^2+('Inputs'!$B$6/2)^2)-(((685-43)*MAX('Inputs'!$B$33,'Inputs'!$B$29+'Inputs'!$B$31+'Inputs'!$B$32,'Inputs'!$B$30+'Inputs'!$B$31+'Inputs'!$B$32)/1000+'Inputs'!$B$21))/SQRT((((685-43)*MAX('Inputs'!$B$33,'Inputs'!$B$29+'Inputs'!$B$31+'Inputs'!$B$32,'Inputs'!$B$30+'Inputs'!$B$31+'Inputs'!$B$32)/1000+'Inputs'!$B$21))^2+('Inputs'!$B$6/2)^2)))-'Results'!C7*(1+'Inputs'!$B$24)*(0.5*((((685-43)*MAX('Inputs'!$B$33,'Inputs'!$B$29+'Inputs'!$B$31+'Inputs'!$B$32,'Inputs'!$B$30+'Inputs'!$B$31+'Inputs'!$B$32)/1000+'Inputs'!$B$21+'Inputs'!$B$7+'Inputs'!$B$10)+'Inputs'!$B$9)/SQRT((((685-43)*MAX('Inputs'!$B$33,'Inputs'!$B$29+'Inputs'!$B$31+'Inputs'!$B$32,'Inputs'!$B$30+'Inputs'!$B$31+'Inputs'!$B$32)/1000+'Inputs'!$B$21+'Inputs'!$B$7+'Inputs'!$B$10)+'Inputs'!$B$9)^2+('Inputs'!$B$8/2)^2)-(((685-43)*MAX('Inputs'!$B$33,'Inputs'!$B$29+'Inputs'!$B$31+'Inputs'!$B$32,'Inputs'!$B$30+'Inputs'!$B$31+'Inputs'!$B$32)/1000+'Inputs'!$B$21+'Inputs'!$B$7+'Inputs'!$B$10))/SQRT((((685-43)*MAX('Inputs'!$B$33,'Inputs'!$B$29+'Inputs'!$B$31+'Inputs'!$B$32,'Inputs'!$B$30+'Inputs'!$B$31+'Inputs'!$B$32)/1000+'Inputs'!$B$21+'Inputs'!$B$7+'Inputs'!$B$10))^2+('Inputs'!$B$8/2)^2))))*'Results'!$B$8)-'Inputs'!$B$28*ABS((('Results'!B7*(1-'Inputs'!$B$24)*(0.5*((((685-43)*MAX('Inputs'!$B$33,'Inputs'!$B$29+'Inputs'!$B$31+'Inputs'!$B$32,'Inputs'!$B$30+'Inputs'!$B$31+'Inputs'!$B$32)/1000+'Inputs'!$B$21)+'Inputs'!$B$7)/SQRT((((685-43)*MAX('Inputs'!$B$33,'Inputs'!$B$29+'Inputs'!$B$31+'Inputs'!$B$32,'Inputs'!$B$30+'Inputs'!$B$31+'Inputs'!$B$32)/1000+'Inputs'!$B$21)+'Inputs'!$B$7)^2+('Inputs'!$B$6/2)^2)-(((685-43)*MAX('Inputs'!$B$33,'Inputs'!$B$29+'Inputs'!$B$31+'Inputs'!$B$32,'Inputs'!$B$30+'Inputs'!$B$31+'Inputs'!$B$32)/1000+'Inputs'!$B$21))/SQRT((((685-43)*MAX('Inputs'!$B$33,'Inputs'!$B$29+'Inputs'!$B$31+'Inputs'!$B$32,'Inputs'!$B$30+'Inputs'!$B$31+'Inputs'!$B$32)/1000+'Inputs'!$B$21))^2+('Inputs'!$B$6/2)^2)))-'Results'!C7*(1+'Inputs'!$B$24)*(0.5*((((685-43)*MAX('Inputs'!$B$33,'Inputs'!$B$29+'Inputs'!$B$31+'Inputs'!$B$32,'Inputs'!$B$30+'Inputs'!$B$31+'Inputs'!$B$32)/1000+'Inputs'!$B$21+'Inputs'!$B$7+'Inputs'!$B$10)+'Inputs'!$B$9)/SQRT((((685-43)*MAX('Inputs'!$B$33,'Inputs'!$B$29+'Inputs'!$B$31+'Inputs'!$B$32,'Inputs'!$B$30+'Inputs'!$B$31+'Inputs'!$B$32)/1000+'Inputs'!$B$21+'Inputs'!$B$7+'Inputs'!$B$10)+'Inputs'!$B$9)^2+('Inputs'!$B$8/2)^2)-(((685-43)*MAX('Inputs'!$B$33,'Inputs'!$B$29+'Inputs'!$B$31+'Inputs'!$B$32,'Inputs'!$B$30+'Inputs'!$B$31+'Inputs'!$B$32)/1000+'Inputs'!$B$21+'Inputs'!$B$7+'Inputs'!$B$10))/SQRT((((685-43)*MAX('Inputs'!$B$33,'Inputs'!$B$29+'Inputs'!$B$31+'Inputs'!$B$32,'Inputs'!$B$30+'Inputs'!$B$31+'Inputs'!$B$32)/1000+'Inputs'!$B$21+'Inputs'!$B$7+'Inputs'!$B$10))^2+('Inputs'!$B$8/2)^2))))*'Results'!$B$8))),"")</x:f>
        <x:v>1.5297024245948014</x:v>
      </x:c>
      <x:c r="L685" t="n">
        <x:f>IF(AND(ISNUMBER('Results'!B7),ISNUMBER('Results'!C7),ISNUMBER('Results'!$B$8),ISNUMBER('Inputs'!$B$6),ISNUMBER('Inputs'!$B$7),ISNUMBER('Inputs'!$B$8),ISNUMBER('Inputs'!$B$9),ISNUMBER('Inputs'!$B$10),ISNUMBER('Inputs'!$B$21),ISNUMBER('Inputs'!$B$24),ISNUMBER('Inputs'!$B$28)),((('Results'!B7*(1+'Inputs'!$B$24)*(0.5*((((685-43)*MAX('Inputs'!$B$33,'Inputs'!$B$29+'Inputs'!$B$31+'Inputs'!$B$32,'Inputs'!$B$30+'Inputs'!$B$31+'Inputs'!$B$32)/1000+'Inputs'!$B$21)+'Inputs'!$B$7)/SQRT((((685-43)*MAX('Inputs'!$B$33,'Inputs'!$B$29+'Inputs'!$B$31+'Inputs'!$B$32,'Inputs'!$B$30+'Inputs'!$B$31+'Inputs'!$B$32)/1000+'Inputs'!$B$21)+'Inputs'!$B$7)^2+('Inputs'!$B$6/2)^2)-(((685-43)*MAX('Inputs'!$B$33,'Inputs'!$B$29+'Inputs'!$B$31+'Inputs'!$B$32,'Inputs'!$B$30+'Inputs'!$B$31+'Inputs'!$B$32)/1000+'Inputs'!$B$21))/SQRT((((685-43)*MAX('Inputs'!$B$33,'Inputs'!$B$29+'Inputs'!$B$31+'Inputs'!$B$32,'Inputs'!$B$30+'Inputs'!$B$31+'Inputs'!$B$32)/1000+'Inputs'!$B$21))^2+('Inputs'!$B$6/2)^2)))-'Results'!C7*(1-'Inputs'!$B$24)*(0.5*((((685-43)*MAX('Inputs'!$B$33,'Inputs'!$B$29+'Inputs'!$B$31+'Inputs'!$B$32,'Inputs'!$B$30+'Inputs'!$B$31+'Inputs'!$B$32)/1000+'Inputs'!$B$21+'Inputs'!$B$7+'Inputs'!$B$10)+'Inputs'!$B$9)/SQRT((((685-43)*MAX('Inputs'!$B$33,'Inputs'!$B$29+'Inputs'!$B$31+'Inputs'!$B$32,'Inputs'!$B$30+'Inputs'!$B$31+'Inputs'!$B$32)/1000+'Inputs'!$B$21+'Inputs'!$B$7+'Inputs'!$B$10)+'Inputs'!$B$9)^2+('Inputs'!$B$8/2)^2)-(((685-43)*MAX('Inputs'!$B$33,'Inputs'!$B$29+'Inputs'!$B$31+'Inputs'!$B$32,'Inputs'!$B$30+'Inputs'!$B$31+'Inputs'!$B$32)/1000+'Inputs'!$B$21+'Inputs'!$B$7+'Inputs'!$B$10))/SQRT((((685-43)*MAX('Inputs'!$B$33,'Inputs'!$B$29+'Inputs'!$B$31+'Inputs'!$B$32,'Inputs'!$B$30+'Inputs'!$B$31+'Inputs'!$B$32)/1000+'Inputs'!$B$21+'Inputs'!$B$7+'Inputs'!$B$10))^2+('Inputs'!$B$8/2)^2))))*'Results'!$B$8)+'Inputs'!$B$28*ABS((('Results'!B7*(1+'Inputs'!$B$24)*(0.5*((((685-43)*MAX('Inputs'!$B$33,'Inputs'!$B$29+'Inputs'!$B$31+'Inputs'!$B$32,'Inputs'!$B$30+'Inputs'!$B$31+'Inputs'!$B$32)/1000+'Inputs'!$B$21)+'Inputs'!$B$7)/SQRT((((685-43)*MAX('Inputs'!$B$33,'Inputs'!$B$29+'Inputs'!$B$31+'Inputs'!$B$32,'Inputs'!$B$30+'Inputs'!$B$31+'Inputs'!$B$32)/1000+'Inputs'!$B$21)+'Inputs'!$B$7)^2+('Inputs'!$B$6/2)^2)-(((685-43)*MAX('Inputs'!$B$33,'Inputs'!$B$29+'Inputs'!$B$31+'Inputs'!$B$32,'Inputs'!$B$30+'Inputs'!$B$31+'Inputs'!$B$32)/1000+'Inputs'!$B$21))/SQRT((((685-43)*MAX('Inputs'!$B$33,'Inputs'!$B$29+'Inputs'!$B$31+'Inputs'!$B$32,'Inputs'!$B$30+'Inputs'!$B$31+'Inputs'!$B$32)/1000+'Inputs'!$B$21))^2+('Inputs'!$B$6/2)^2)))-'Results'!C7*(1-'Inputs'!$B$24)*(0.5*((((685-43)*MAX('Inputs'!$B$33,'Inputs'!$B$29+'Inputs'!$B$31+'Inputs'!$B$32,'Inputs'!$B$30+'Inputs'!$B$31+'Inputs'!$B$32)/1000+'Inputs'!$B$21+'Inputs'!$B$7+'Inputs'!$B$10)+'Inputs'!$B$9)/SQRT((((685-43)*MAX('Inputs'!$B$33,'Inputs'!$B$29+'Inputs'!$B$31+'Inputs'!$B$32,'Inputs'!$B$30+'Inputs'!$B$31+'Inputs'!$B$32)/1000+'Inputs'!$B$21+'Inputs'!$B$7+'Inputs'!$B$10)+'Inputs'!$B$9)^2+('Inputs'!$B$8/2)^2)-(((685-43)*MAX('Inputs'!$B$33,'Inputs'!$B$29+'Inputs'!$B$31+'Inputs'!$B$32,'Inputs'!$B$30+'Inputs'!$B$31+'Inputs'!$B$32)/1000+'Inputs'!$B$21+'Inputs'!$B$7+'Inputs'!$B$10))/SQRT((((685-43)*MAX('Inputs'!$B$33,'Inputs'!$B$29+'Inputs'!$B$31+'Inputs'!$B$32,'Inputs'!$B$30+'Inputs'!$B$31+'Inputs'!$B$32)/1000+'Inputs'!$B$21+'Inputs'!$B$7+'Inputs'!$B$10))^2+('Inputs'!$B$8/2)^2))))*'Results'!$B$8))),"")</x:f>
        <x:v>1.9950582092836255</x:v>
      </x:c>
      <x:c r="M685" t="n">
        <x:f>IF(AND(ISNUMBER('Results'!C7),ISNUMBER('Results'!B7),ISNUMBER('Results'!$B$8),ISNUMBER('Inputs'!$B$6),ISNUMBER('Inputs'!$B$7),ISNUMBER('Inputs'!$B$8),ISNUMBER('Inputs'!$B$9),ISNUMBER('Inputs'!$B$10),ISNUMBER('Inputs'!$B$21),ISNUMBER('Inputs'!$B$24),ISNUMBER('Inputs'!$B$28)),(('Results'!C7*(0.5*((((685-43)*MAX('Inputs'!$B$33,'Inputs'!$B$29+'Inputs'!$B$31+'Inputs'!$B$32,'Inputs'!$B$30+'Inputs'!$B$31+'Inputs'!$B$32)/1000+'Inputs'!$B$21)+'Inputs'!$B$9)/SQRT((((685-43)*MAX('Inputs'!$B$33,'Inputs'!$B$29+'Inputs'!$B$31+'Inputs'!$B$32,'Inputs'!$B$30+'Inputs'!$B$31+'Inputs'!$B$32)/1000+'Inputs'!$B$21)+'Inputs'!$B$9)^2+('Inputs'!$B$8/2)^2)-(((685-43)*MAX('Inputs'!$B$33,'Inputs'!$B$29+'Inputs'!$B$31+'Inputs'!$B$32,'Inputs'!$B$30+'Inputs'!$B$31+'Inputs'!$B$32)/1000+'Inputs'!$B$21))/SQRT((((685-43)*MAX('Inputs'!$B$33,'Inputs'!$B$29+'Inputs'!$B$31+'Inputs'!$B$32,'Inputs'!$B$30+'Inputs'!$B$31+'Inputs'!$B$32)/1000+'Inputs'!$B$21))^2+('Inputs'!$B$8/2)^2)))-'Results'!B7*(0.5*((((685-43)*MAX('Inputs'!$B$33,'Inputs'!$B$29+'Inputs'!$B$31+'Inputs'!$B$32,'Inputs'!$B$30+'Inputs'!$B$31+'Inputs'!$B$32)/1000+'Inputs'!$B$21+'Inputs'!$B$9+'Inputs'!$B$10)+'Inputs'!$B$7)/SQRT((((685-43)*MAX('Inputs'!$B$33,'Inputs'!$B$29+'Inputs'!$B$31+'Inputs'!$B$32,'Inputs'!$B$30+'Inputs'!$B$31+'Inputs'!$B$32)/1000+'Inputs'!$B$21+'Inputs'!$B$9+'Inputs'!$B$10)+'Inputs'!$B$7)^2+('Inputs'!$B$6/2)^2)-(((685-43)*MAX('Inputs'!$B$33,'Inputs'!$B$29+'Inputs'!$B$31+'Inputs'!$B$32,'Inputs'!$B$30+'Inputs'!$B$31+'Inputs'!$B$32)/1000+'Inputs'!$B$21+'Inputs'!$B$9+'Inputs'!$B$10))/SQRT((((685-43)*MAX('Inputs'!$B$33,'Inputs'!$B$29+'Inputs'!$B$31+'Inputs'!$B$32,'Inputs'!$B$30+'Inputs'!$B$31+'Inputs'!$B$32)/1000+'Inputs'!$B$21+'Inputs'!$B$9+'Inputs'!$B$10))^2+('Inputs'!$B$6/2)^2))))*'Results'!$B$8),"")</x:f>
        <x:v>1.6090924816403671</x:v>
      </x:c>
      <x:c r="N685" t="n">
        <x:f>IF(AND(ISNUMBER('Results'!C7),ISNUMBER('Results'!B7),ISNUMBER('Results'!$B$8),ISNUMBER('Inputs'!$B$6),ISNUMBER('Inputs'!$B$7),ISNUMBER('Inputs'!$B$8),ISNUMBER('Inputs'!$B$9),ISNUMBER('Inputs'!$B$10),ISNUMBER('Inputs'!$B$21),ISNUMBER('Inputs'!$B$24),ISNUMBER('Inputs'!$B$28)),((('Results'!C7*(1-'Inputs'!$B$24)*(0.5*((((685-43)*MAX('Inputs'!$B$33,'Inputs'!$B$29+'Inputs'!$B$31+'Inputs'!$B$32,'Inputs'!$B$30+'Inputs'!$B$31+'Inputs'!$B$32)/1000+'Inputs'!$B$21)+'Inputs'!$B$9)/SQRT((((685-43)*MAX('Inputs'!$B$33,'Inputs'!$B$29+'Inputs'!$B$31+'Inputs'!$B$32,'Inputs'!$B$30+'Inputs'!$B$31+'Inputs'!$B$32)/1000+'Inputs'!$B$21)+'Inputs'!$B$9)^2+('Inputs'!$B$8/2)^2)-(((685-43)*MAX('Inputs'!$B$33,'Inputs'!$B$29+'Inputs'!$B$31+'Inputs'!$B$32,'Inputs'!$B$30+'Inputs'!$B$31+'Inputs'!$B$32)/1000+'Inputs'!$B$21))/SQRT((((685-43)*MAX('Inputs'!$B$33,'Inputs'!$B$29+'Inputs'!$B$31+'Inputs'!$B$32,'Inputs'!$B$30+'Inputs'!$B$31+'Inputs'!$B$32)/1000+'Inputs'!$B$21))^2+('Inputs'!$B$8/2)^2)))-'Results'!B7*(1+'Inputs'!$B$24)*(0.5*((((685-43)*MAX('Inputs'!$B$33,'Inputs'!$B$29+'Inputs'!$B$31+'Inputs'!$B$32,'Inputs'!$B$30+'Inputs'!$B$31+'Inputs'!$B$32)/1000+'Inputs'!$B$21+'Inputs'!$B$9+'Inputs'!$B$10)+'Inputs'!$B$7)/SQRT((((685-43)*MAX('Inputs'!$B$33,'Inputs'!$B$29+'Inputs'!$B$31+'Inputs'!$B$32,'Inputs'!$B$30+'Inputs'!$B$31+'Inputs'!$B$32)/1000+'Inputs'!$B$21+'Inputs'!$B$9+'Inputs'!$B$10)+'Inputs'!$B$7)^2+('Inputs'!$B$6/2)^2)-(((685-43)*MAX('Inputs'!$B$33,'Inputs'!$B$29+'Inputs'!$B$31+'Inputs'!$B$32,'Inputs'!$B$30+'Inputs'!$B$31+'Inputs'!$B$32)/1000+'Inputs'!$B$21+'Inputs'!$B$9+'Inputs'!$B$10))/SQRT((((685-43)*MAX('Inputs'!$B$33,'Inputs'!$B$29+'Inputs'!$B$31+'Inputs'!$B$32,'Inputs'!$B$30+'Inputs'!$B$31+'Inputs'!$B$32)/1000+'Inputs'!$B$21+'Inputs'!$B$9+'Inputs'!$B$10))^2+('Inputs'!$B$6/2)^2))))*'Results'!$B$8)-'Inputs'!$B$28*ABS((('Results'!C7*(1-'Inputs'!$B$24)*(0.5*((((685-43)*MAX('Inputs'!$B$33,'Inputs'!$B$29+'Inputs'!$B$31+'Inputs'!$B$32,'Inputs'!$B$30+'Inputs'!$B$31+'Inputs'!$B$32)/1000+'Inputs'!$B$21)+'Inputs'!$B$9)/SQRT((((685-43)*MAX('Inputs'!$B$33,'Inputs'!$B$29+'Inputs'!$B$31+'Inputs'!$B$32,'Inputs'!$B$30+'Inputs'!$B$31+'Inputs'!$B$32)/1000+'Inputs'!$B$21)+'Inputs'!$B$9)^2+('Inputs'!$B$8/2)^2)-(((685-43)*MAX('Inputs'!$B$33,'Inputs'!$B$29+'Inputs'!$B$31+'Inputs'!$B$32,'Inputs'!$B$30+'Inputs'!$B$31+'Inputs'!$B$32)/1000+'Inputs'!$B$21))/SQRT((((685-43)*MAX('Inputs'!$B$33,'Inputs'!$B$29+'Inputs'!$B$31+'Inputs'!$B$32,'Inputs'!$B$30+'Inputs'!$B$31+'Inputs'!$B$32)/1000+'Inputs'!$B$21))^2+('Inputs'!$B$8/2)^2)))-'Results'!B7*(1+'Inputs'!$B$24)*(0.5*((((685-43)*MAX('Inputs'!$B$33,'Inputs'!$B$29+'Inputs'!$B$31+'Inputs'!$B$32,'Inputs'!$B$30+'Inputs'!$B$31+'Inputs'!$B$32)/1000+'Inputs'!$B$21+'Inputs'!$B$9+'Inputs'!$B$10)+'Inputs'!$B$7)/SQRT((((685-43)*MAX('Inputs'!$B$33,'Inputs'!$B$29+'Inputs'!$B$31+'Inputs'!$B$32,'Inputs'!$B$30+'Inputs'!$B$31+'Inputs'!$B$32)/1000+'Inputs'!$B$21+'Inputs'!$B$9+'Inputs'!$B$10)+'Inputs'!$B$7)^2+('Inputs'!$B$6/2)^2)-(((685-43)*MAX('Inputs'!$B$33,'Inputs'!$B$29+'Inputs'!$B$31+'Inputs'!$B$32,'Inputs'!$B$30+'Inputs'!$B$31+'Inputs'!$B$32)/1000+'Inputs'!$B$21+'Inputs'!$B$9+'Inputs'!$B$10))/SQRT((((685-43)*MAX('Inputs'!$B$33,'Inputs'!$B$29+'Inputs'!$B$31+'Inputs'!$B$32,'Inputs'!$B$30+'Inputs'!$B$31+'Inputs'!$B$32)/1000+'Inputs'!$B$21+'Inputs'!$B$9+'Inputs'!$B$10))^2+('Inputs'!$B$6/2)^2))))*'Results'!$B$8))),"")</x:f>
        <x:v>1.3916083967618837</x:v>
      </x:c>
      <x:c r="O685" t="n">
        <x:f>IF(AND(ISNUMBER('Results'!C7),ISNUMBER('Results'!B7),ISNUMBER('Results'!$B$8),ISNUMBER('Inputs'!$B$6),ISNUMBER('Inputs'!$B$7),ISNUMBER('Inputs'!$B$8),ISNUMBER('Inputs'!$B$9),ISNUMBER('Inputs'!$B$10),ISNUMBER('Inputs'!$B$21),ISNUMBER('Inputs'!$B$24),ISNUMBER('Inputs'!$B$28)),((('Results'!C7*(1+'Inputs'!$B$24)*(0.5*((((685-43)*MAX('Inputs'!$B$33,'Inputs'!$B$29+'Inputs'!$B$31+'Inputs'!$B$32,'Inputs'!$B$30+'Inputs'!$B$31+'Inputs'!$B$32)/1000+'Inputs'!$B$21)+'Inputs'!$B$9)/SQRT((((685-43)*MAX('Inputs'!$B$33,'Inputs'!$B$29+'Inputs'!$B$31+'Inputs'!$B$32,'Inputs'!$B$30+'Inputs'!$B$31+'Inputs'!$B$32)/1000+'Inputs'!$B$21)+'Inputs'!$B$9)^2+('Inputs'!$B$8/2)^2)-(((685-43)*MAX('Inputs'!$B$33,'Inputs'!$B$29+'Inputs'!$B$31+'Inputs'!$B$32,'Inputs'!$B$30+'Inputs'!$B$31+'Inputs'!$B$32)/1000+'Inputs'!$B$21))/SQRT((((685-43)*MAX('Inputs'!$B$33,'Inputs'!$B$29+'Inputs'!$B$31+'Inputs'!$B$32,'Inputs'!$B$30+'Inputs'!$B$31+'Inputs'!$B$32)/1000+'Inputs'!$B$21))^2+('Inputs'!$B$8/2)^2)))-'Results'!B7*(1-'Inputs'!$B$24)*(0.5*((((685-43)*MAX('Inputs'!$B$33,'Inputs'!$B$29+'Inputs'!$B$31+'Inputs'!$B$32,'Inputs'!$B$30+'Inputs'!$B$31+'Inputs'!$B$32)/1000+'Inputs'!$B$21+'Inputs'!$B$9+'Inputs'!$B$10)+'Inputs'!$B$7)/SQRT((((685-43)*MAX('Inputs'!$B$33,'Inputs'!$B$29+'Inputs'!$B$31+'Inputs'!$B$32,'Inputs'!$B$30+'Inputs'!$B$31+'Inputs'!$B$32)/1000+'Inputs'!$B$21+'Inputs'!$B$9+'Inputs'!$B$10)+'Inputs'!$B$7)^2+('Inputs'!$B$6/2)^2)-(((685-43)*MAX('Inputs'!$B$33,'Inputs'!$B$29+'Inputs'!$B$31+'Inputs'!$B$32,'Inputs'!$B$30+'Inputs'!$B$31+'Inputs'!$B$32)/1000+'Inputs'!$B$21+'Inputs'!$B$9+'Inputs'!$B$10))/SQRT((((685-43)*MAX('Inputs'!$B$33,'Inputs'!$B$29+'Inputs'!$B$31+'Inputs'!$B$32,'Inputs'!$B$30+'Inputs'!$B$31+'Inputs'!$B$32)/1000+'Inputs'!$B$21+'Inputs'!$B$9+'Inputs'!$B$10))^2+('Inputs'!$B$6/2)^2))))*'Results'!$B$8)+'Inputs'!$B$28*ABS((('Results'!C7*(1+'Inputs'!$B$24)*(0.5*((((685-43)*MAX('Inputs'!$B$33,'Inputs'!$B$29+'Inputs'!$B$31+'Inputs'!$B$32,'Inputs'!$B$30+'Inputs'!$B$31+'Inputs'!$B$32)/1000+'Inputs'!$B$21)+'Inputs'!$B$9)/SQRT((((685-43)*MAX('Inputs'!$B$33,'Inputs'!$B$29+'Inputs'!$B$31+'Inputs'!$B$32,'Inputs'!$B$30+'Inputs'!$B$31+'Inputs'!$B$32)/1000+'Inputs'!$B$21)+'Inputs'!$B$9)^2+('Inputs'!$B$8/2)^2)-(((685-43)*MAX('Inputs'!$B$33,'Inputs'!$B$29+'Inputs'!$B$31+'Inputs'!$B$32,'Inputs'!$B$30+'Inputs'!$B$31+'Inputs'!$B$32)/1000+'Inputs'!$B$21))/SQRT((((685-43)*MAX('Inputs'!$B$33,'Inputs'!$B$29+'Inputs'!$B$31+'Inputs'!$B$32,'Inputs'!$B$30+'Inputs'!$B$31+'Inputs'!$B$32)/1000+'Inputs'!$B$21))^2+('Inputs'!$B$8/2)^2)))-'Results'!B7*(1-'Inputs'!$B$24)*(0.5*((((685-43)*MAX('Inputs'!$B$33,'Inputs'!$B$29+'Inputs'!$B$31+'Inputs'!$B$32,'Inputs'!$B$30+'Inputs'!$B$31+'Inputs'!$B$32)/1000+'Inputs'!$B$21+'Inputs'!$B$9+'Inputs'!$B$10)+'Inputs'!$B$7)/SQRT((((685-43)*MAX('Inputs'!$B$33,'Inputs'!$B$29+'Inputs'!$B$31+'Inputs'!$B$32,'Inputs'!$B$30+'Inputs'!$B$31+'Inputs'!$B$32)/1000+'Inputs'!$B$21+'Inputs'!$B$9+'Inputs'!$B$10)+'Inputs'!$B$7)^2+('Inputs'!$B$6/2)^2)-(((685-43)*MAX('Inputs'!$B$33,'Inputs'!$B$29+'Inputs'!$B$31+'Inputs'!$B$32,'Inputs'!$B$30+'Inputs'!$B$31+'Inputs'!$B$32)/1000+'Inputs'!$B$21+'Inputs'!$B$9+'Inputs'!$B$10))/SQRT((((685-43)*MAX('Inputs'!$B$33,'Inputs'!$B$29+'Inputs'!$B$31+'Inputs'!$B$32,'Inputs'!$B$30+'Inputs'!$B$31+'Inputs'!$B$32)/1000+'Inputs'!$B$21+'Inputs'!$B$9+'Inputs'!$B$10))^2+('Inputs'!$B$6/2)^2))))*'Results'!$B$8))),"")</x:f>
        <x:v>1.8410007202868992</x:v>
      </x:c>
      <x:c r="P685" t="n">
        <x:f>IF(AND(MAX(J685,J684)&gt;0,J685&gt;J684+0.00000001),1,0)</x:f>
        <x:v>0</x:v>
      </x:c>
      <x:c r="Q685" t="n">
        <x:f>IF(AND(MAX(K685,K684)&gt;0,K685&gt;K684+0.00000001),1,0)</x:f>
        <x:v>0</x:v>
      </x:c>
      <x:c r="R685" t="n">
        <x:f>IF(AND(MAX(L685,L684)&gt;0,L685&gt;L684+0.00000001),1,0)</x:f>
        <x:v>0</x:v>
      </x:c>
      <x:c r="S685" t="n">
        <x:f>IF(AND(MAX(M685,M684)&gt;0,M685&gt;M684+0.00000001),1,0)</x:f>
        <x:v>0</x:v>
      </x:c>
      <x:c r="T685" t="n">
        <x:f>IF(AND(MAX(N685,N684)&gt;0,N685&gt;N684+0.00000001),1,0)</x:f>
        <x:v>0</x:v>
      </x:c>
      <x:c r="U685" t="n">
        <x:f>IF(AND(MAX(O685,O684)&gt;0,O685&gt;O684+0.00000001),1,0)</x:f>
        <x:v>0</x:v>
      </x:c>
    </x:row>
    <x:row r="686">
      <x:c r="J686" t="n">
        <x:f>IF(AND(ISNUMBER('Results'!B7),ISNUMBER('Results'!C7),ISNUMBER('Results'!$B$8),ISNUMBER('Inputs'!$B$6),ISNUMBER('Inputs'!$B$7),ISNUMBER('Inputs'!$B$8),ISNUMBER('Inputs'!$B$9),ISNUMBER('Inputs'!$B$10),ISNUMBER('Inputs'!$B$21),ISNUMBER('Inputs'!$B$24),ISNUMBER('Inputs'!$B$28)),(('Results'!B7*(0.5*((((686-43)*MAX('Inputs'!$B$33,'Inputs'!$B$29+'Inputs'!$B$31+'Inputs'!$B$32,'Inputs'!$B$30+'Inputs'!$B$31+'Inputs'!$B$32)/1000+'Inputs'!$B$21)+'Inputs'!$B$7)/SQRT((((686-43)*MAX('Inputs'!$B$33,'Inputs'!$B$29+'Inputs'!$B$31+'Inputs'!$B$32,'Inputs'!$B$30+'Inputs'!$B$31+'Inputs'!$B$32)/1000+'Inputs'!$B$21)+'Inputs'!$B$7)^2+('Inputs'!$B$6/2)^2)-(((686-43)*MAX('Inputs'!$B$33,'Inputs'!$B$29+'Inputs'!$B$31+'Inputs'!$B$32,'Inputs'!$B$30+'Inputs'!$B$31+'Inputs'!$B$32)/1000+'Inputs'!$B$21))/SQRT((((686-43)*MAX('Inputs'!$B$33,'Inputs'!$B$29+'Inputs'!$B$31+'Inputs'!$B$32,'Inputs'!$B$30+'Inputs'!$B$31+'Inputs'!$B$32)/1000+'Inputs'!$B$21))^2+('Inputs'!$B$6/2)^2)))-'Results'!C7*(0.5*((((686-43)*MAX('Inputs'!$B$33,'Inputs'!$B$29+'Inputs'!$B$31+'Inputs'!$B$32,'Inputs'!$B$30+'Inputs'!$B$31+'Inputs'!$B$32)/1000+'Inputs'!$B$21+'Inputs'!$B$7+'Inputs'!$B$10)+'Inputs'!$B$9)/SQRT((((686-43)*MAX('Inputs'!$B$33,'Inputs'!$B$29+'Inputs'!$B$31+'Inputs'!$B$32,'Inputs'!$B$30+'Inputs'!$B$31+'Inputs'!$B$32)/1000+'Inputs'!$B$21+'Inputs'!$B$7+'Inputs'!$B$10)+'Inputs'!$B$9)^2+('Inputs'!$B$8/2)^2)-(((686-43)*MAX('Inputs'!$B$33,'Inputs'!$B$29+'Inputs'!$B$31+'Inputs'!$B$32,'Inputs'!$B$30+'Inputs'!$B$31+'Inputs'!$B$32)/1000+'Inputs'!$B$21+'Inputs'!$B$7+'Inputs'!$B$10))/SQRT((((686-43)*MAX('Inputs'!$B$33,'Inputs'!$B$29+'Inputs'!$B$31+'Inputs'!$B$32,'Inputs'!$B$30+'Inputs'!$B$31+'Inputs'!$B$32)/1000+'Inputs'!$B$21+'Inputs'!$B$7+'Inputs'!$B$10))^2+('Inputs'!$B$8/2)^2))))*'Results'!$B$8),"")</x:f>
        <x:v>1.7455391121784463</x:v>
      </x:c>
      <x:c r="K686" t="n">
        <x:f>IF(AND(ISNUMBER('Results'!B7),ISNUMBER('Results'!C7),ISNUMBER('Results'!$B$8),ISNUMBER('Inputs'!$B$6),ISNUMBER('Inputs'!$B$7),ISNUMBER('Inputs'!$B$8),ISNUMBER('Inputs'!$B$9),ISNUMBER('Inputs'!$B$10),ISNUMBER('Inputs'!$B$21),ISNUMBER('Inputs'!$B$24),ISNUMBER('Inputs'!$B$28)),((('Results'!B7*(1-'Inputs'!$B$24)*(0.5*((((686-43)*MAX('Inputs'!$B$33,'Inputs'!$B$29+'Inputs'!$B$31+'Inputs'!$B$32,'Inputs'!$B$30+'Inputs'!$B$31+'Inputs'!$B$32)/1000+'Inputs'!$B$21)+'Inputs'!$B$7)/SQRT((((686-43)*MAX('Inputs'!$B$33,'Inputs'!$B$29+'Inputs'!$B$31+'Inputs'!$B$32,'Inputs'!$B$30+'Inputs'!$B$31+'Inputs'!$B$32)/1000+'Inputs'!$B$21)+'Inputs'!$B$7)^2+('Inputs'!$B$6/2)^2)-(((686-43)*MAX('Inputs'!$B$33,'Inputs'!$B$29+'Inputs'!$B$31+'Inputs'!$B$32,'Inputs'!$B$30+'Inputs'!$B$31+'Inputs'!$B$32)/1000+'Inputs'!$B$21))/SQRT((((686-43)*MAX('Inputs'!$B$33,'Inputs'!$B$29+'Inputs'!$B$31+'Inputs'!$B$32,'Inputs'!$B$30+'Inputs'!$B$31+'Inputs'!$B$32)/1000+'Inputs'!$B$21))^2+('Inputs'!$B$6/2)^2)))-'Results'!C7*(1+'Inputs'!$B$24)*(0.5*((((686-43)*MAX('Inputs'!$B$33,'Inputs'!$B$29+'Inputs'!$B$31+'Inputs'!$B$32,'Inputs'!$B$30+'Inputs'!$B$31+'Inputs'!$B$32)/1000+'Inputs'!$B$21+'Inputs'!$B$7+'Inputs'!$B$10)+'Inputs'!$B$9)/SQRT((((686-43)*MAX('Inputs'!$B$33,'Inputs'!$B$29+'Inputs'!$B$31+'Inputs'!$B$32,'Inputs'!$B$30+'Inputs'!$B$31+'Inputs'!$B$32)/1000+'Inputs'!$B$21+'Inputs'!$B$7+'Inputs'!$B$10)+'Inputs'!$B$9)^2+('Inputs'!$B$8/2)^2)-(((686-43)*MAX('Inputs'!$B$33,'Inputs'!$B$29+'Inputs'!$B$31+'Inputs'!$B$32,'Inputs'!$B$30+'Inputs'!$B$31+'Inputs'!$B$32)/1000+'Inputs'!$B$21+'Inputs'!$B$7+'Inputs'!$B$10))/SQRT((((686-43)*MAX('Inputs'!$B$33,'Inputs'!$B$29+'Inputs'!$B$31+'Inputs'!$B$32,'Inputs'!$B$30+'Inputs'!$B$31+'Inputs'!$B$32)/1000+'Inputs'!$B$21+'Inputs'!$B$7+'Inputs'!$B$10))^2+('Inputs'!$B$8/2)^2))))*'Results'!$B$8)-'Inputs'!$B$28*ABS((('Results'!B7*(1-'Inputs'!$B$24)*(0.5*((((686-43)*MAX('Inputs'!$B$33,'Inputs'!$B$29+'Inputs'!$B$31+'Inputs'!$B$32,'Inputs'!$B$30+'Inputs'!$B$31+'Inputs'!$B$32)/1000+'Inputs'!$B$21)+'Inputs'!$B$7)/SQRT((((686-43)*MAX('Inputs'!$B$33,'Inputs'!$B$29+'Inputs'!$B$31+'Inputs'!$B$32,'Inputs'!$B$30+'Inputs'!$B$31+'Inputs'!$B$32)/1000+'Inputs'!$B$21)+'Inputs'!$B$7)^2+('Inputs'!$B$6/2)^2)-(((686-43)*MAX('Inputs'!$B$33,'Inputs'!$B$29+'Inputs'!$B$31+'Inputs'!$B$32,'Inputs'!$B$30+'Inputs'!$B$31+'Inputs'!$B$32)/1000+'Inputs'!$B$21))/SQRT((((686-43)*MAX('Inputs'!$B$33,'Inputs'!$B$29+'Inputs'!$B$31+'Inputs'!$B$32,'Inputs'!$B$30+'Inputs'!$B$31+'Inputs'!$B$32)/1000+'Inputs'!$B$21))^2+('Inputs'!$B$6/2)^2)))-'Results'!C7*(1+'Inputs'!$B$24)*(0.5*((((686-43)*MAX('Inputs'!$B$33,'Inputs'!$B$29+'Inputs'!$B$31+'Inputs'!$B$32,'Inputs'!$B$30+'Inputs'!$B$31+'Inputs'!$B$32)/1000+'Inputs'!$B$21+'Inputs'!$B$7+'Inputs'!$B$10)+'Inputs'!$B$9)/SQRT((((686-43)*MAX('Inputs'!$B$33,'Inputs'!$B$29+'Inputs'!$B$31+'Inputs'!$B$32,'Inputs'!$B$30+'Inputs'!$B$31+'Inputs'!$B$32)/1000+'Inputs'!$B$21+'Inputs'!$B$7+'Inputs'!$B$10)+'Inputs'!$B$9)^2+('Inputs'!$B$8/2)^2)-(((686-43)*MAX('Inputs'!$B$33,'Inputs'!$B$29+'Inputs'!$B$31+'Inputs'!$B$32,'Inputs'!$B$30+'Inputs'!$B$31+'Inputs'!$B$32)/1000+'Inputs'!$B$21+'Inputs'!$B$7+'Inputs'!$B$10))/SQRT((((686-43)*MAX('Inputs'!$B$33,'Inputs'!$B$29+'Inputs'!$B$31+'Inputs'!$B$32,'Inputs'!$B$30+'Inputs'!$B$31+'Inputs'!$B$32)/1000+'Inputs'!$B$21+'Inputs'!$B$7+'Inputs'!$B$10))^2+('Inputs'!$B$8/2)^2))))*'Results'!$B$8))),"")</x:f>
        <x:v>1.52116754966613</x:v>
      </x:c>
      <x:c r="L686" t="n">
        <x:f>IF(AND(ISNUMBER('Results'!B7),ISNUMBER('Results'!C7),ISNUMBER('Results'!$B$8),ISNUMBER('Inputs'!$B$6),ISNUMBER('Inputs'!$B$7),ISNUMBER('Inputs'!$B$8),ISNUMBER('Inputs'!$B$9),ISNUMBER('Inputs'!$B$10),ISNUMBER('Inputs'!$B$21),ISNUMBER('Inputs'!$B$24),ISNUMBER('Inputs'!$B$28)),((('Results'!B7*(1+'Inputs'!$B$24)*(0.5*((((686-43)*MAX('Inputs'!$B$33,'Inputs'!$B$29+'Inputs'!$B$31+'Inputs'!$B$32,'Inputs'!$B$30+'Inputs'!$B$31+'Inputs'!$B$32)/1000+'Inputs'!$B$21)+'Inputs'!$B$7)/SQRT((((686-43)*MAX('Inputs'!$B$33,'Inputs'!$B$29+'Inputs'!$B$31+'Inputs'!$B$32,'Inputs'!$B$30+'Inputs'!$B$31+'Inputs'!$B$32)/1000+'Inputs'!$B$21)+'Inputs'!$B$7)^2+('Inputs'!$B$6/2)^2)-(((686-43)*MAX('Inputs'!$B$33,'Inputs'!$B$29+'Inputs'!$B$31+'Inputs'!$B$32,'Inputs'!$B$30+'Inputs'!$B$31+'Inputs'!$B$32)/1000+'Inputs'!$B$21))/SQRT((((686-43)*MAX('Inputs'!$B$33,'Inputs'!$B$29+'Inputs'!$B$31+'Inputs'!$B$32,'Inputs'!$B$30+'Inputs'!$B$31+'Inputs'!$B$32)/1000+'Inputs'!$B$21))^2+('Inputs'!$B$6/2)^2)))-'Results'!C7*(1-'Inputs'!$B$24)*(0.5*((((686-43)*MAX('Inputs'!$B$33,'Inputs'!$B$29+'Inputs'!$B$31+'Inputs'!$B$32,'Inputs'!$B$30+'Inputs'!$B$31+'Inputs'!$B$32)/1000+'Inputs'!$B$21+'Inputs'!$B$7+'Inputs'!$B$10)+'Inputs'!$B$9)/SQRT((((686-43)*MAX('Inputs'!$B$33,'Inputs'!$B$29+'Inputs'!$B$31+'Inputs'!$B$32,'Inputs'!$B$30+'Inputs'!$B$31+'Inputs'!$B$32)/1000+'Inputs'!$B$21+'Inputs'!$B$7+'Inputs'!$B$10)+'Inputs'!$B$9)^2+('Inputs'!$B$8/2)^2)-(((686-43)*MAX('Inputs'!$B$33,'Inputs'!$B$29+'Inputs'!$B$31+'Inputs'!$B$32,'Inputs'!$B$30+'Inputs'!$B$31+'Inputs'!$B$32)/1000+'Inputs'!$B$21+'Inputs'!$B$7+'Inputs'!$B$10))/SQRT((((686-43)*MAX('Inputs'!$B$33,'Inputs'!$B$29+'Inputs'!$B$31+'Inputs'!$B$32,'Inputs'!$B$30+'Inputs'!$B$31+'Inputs'!$B$32)/1000+'Inputs'!$B$21+'Inputs'!$B$7+'Inputs'!$B$10))^2+('Inputs'!$B$8/2)^2))))*'Results'!$B$8)+'Inputs'!$B$28*ABS((('Results'!B7*(1+'Inputs'!$B$24)*(0.5*((((686-43)*MAX('Inputs'!$B$33,'Inputs'!$B$29+'Inputs'!$B$31+'Inputs'!$B$32,'Inputs'!$B$30+'Inputs'!$B$31+'Inputs'!$B$32)/1000+'Inputs'!$B$21)+'Inputs'!$B$7)/SQRT((((686-43)*MAX('Inputs'!$B$33,'Inputs'!$B$29+'Inputs'!$B$31+'Inputs'!$B$32,'Inputs'!$B$30+'Inputs'!$B$31+'Inputs'!$B$32)/1000+'Inputs'!$B$21)+'Inputs'!$B$7)^2+('Inputs'!$B$6/2)^2)-(((686-43)*MAX('Inputs'!$B$33,'Inputs'!$B$29+'Inputs'!$B$31+'Inputs'!$B$32,'Inputs'!$B$30+'Inputs'!$B$31+'Inputs'!$B$32)/1000+'Inputs'!$B$21))/SQRT((((686-43)*MAX('Inputs'!$B$33,'Inputs'!$B$29+'Inputs'!$B$31+'Inputs'!$B$32,'Inputs'!$B$30+'Inputs'!$B$31+'Inputs'!$B$32)/1000+'Inputs'!$B$21))^2+('Inputs'!$B$6/2)^2)))-'Results'!C7*(1-'Inputs'!$B$24)*(0.5*((((686-43)*MAX('Inputs'!$B$33,'Inputs'!$B$29+'Inputs'!$B$31+'Inputs'!$B$32,'Inputs'!$B$30+'Inputs'!$B$31+'Inputs'!$B$32)/1000+'Inputs'!$B$21+'Inputs'!$B$7+'Inputs'!$B$10)+'Inputs'!$B$9)/SQRT((((686-43)*MAX('Inputs'!$B$33,'Inputs'!$B$29+'Inputs'!$B$31+'Inputs'!$B$32,'Inputs'!$B$30+'Inputs'!$B$31+'Inputs'!$B$32)/1000+'Inputs'!$B$21+'Inputs'!$B$7+'Inputs'!$B$10)+'Inputs'!$B$9)^2+('Inputs'!$B$8/2)^2)-(((686-43)*MAX('Inputs'!$B$33,'Inputs'!$B$29+'Inputs'!$B$31+'Inputs'!$B$32,'Inputs'!$B$30+'Inputs'!$B$31+'Inputs'!$B$32)/1000+'Inputs'!$B$21+'Inputs'!$B$7+'Inputs'!$B$10))/SQRT((((686-43)*MAX('Inputs'!$B$33,'Inputs'!$B$29+'Inputs'!$B$31+'Inputs'!$B$32,'Inputs'!$B$30+'Inputs'!$B$31+'Inputs'!$B$32)/1000+'Inputs'!$B$21+'Inputs'!$B$7+'Inputs'!$B$10))^2+('Inputs'!$B$8/2)^2))))*'Results'!$B$8))),"")</x:f>
        <x:v>1.9843416859437508</x:v>
      </x:c>
      <x:c r="M686" t="n">
        <x:f>IF(AND(ISNUMBER('Results'!C7),ISNUMBER('Results'!B7),ISNUMBER('Results'!$B$8),ISNUMBER('Inputs'!$B$6),ISNUMBER('Inputs'!$B$7),ISNUMBER('Inputs'!$B$8),ISNUMBER('Inputs'!$B$9),ISNUMBER('Inputs'!$B$10),ISNUMBER('Inputs'!$B$21),ISNUMBER('Inputs'!$B$24),ISNUMBER('Inputs'!$B$28)),(('Results'!C7*(0.5*((((686-43)*MAX('Inputs'!$B$33,'Inputs'!$B$29+'Inputs'!$B$31+'Inputs'!$B$32,'Inputs'!$B$30+'Inputs'!$B$31+'Inputs'!$B$32)/1000+'Inputs'!$B$21)+'Inputs'!$B$9)/SQRT((((686-43)*MAX('Inputs'!$B$33,'Inputs'!$B$29+'Inputs'!$B$31+'Inputs'!$B$32,'Inputs'!$B$30+'Inputs'!$B$31+'Inputs'!$B$32)/1000+'Inputs'!$B$21)+'Inputs'!$B$9)^2+('Inputs'!$B$8/2)^2)-(((686-43)*MAX('Inputs'!$B$33,'Inputs'!$B$29+'Inputs'!$B$31+'Inputs'!$B$32,'Inputs'!$B$30+'Inputs'!$B$31+'Inputs'!$B$32)/1000+'Inputs'!$B$21))/SQRT((((686-43)*MAX('Inputs'!$B$33,'Inputs'!$B$29+'Inputs'!$B$31+'Inputs'!$B$32,'Inputs'!$B$30+'Inputs'!$B$31+'Inputs'!$B$32)/1000+'Inputs'!$B$21))^2+('Inputs'!$B$8/2)^2)))-'Results'!B7*(0.5*((((686-43)*MAX('Inputs'!$B$33,'Inputs'!$B$29+'Inputs'!$B$31+'Inputs'!$B$32,'Inputs'!$B$30+'Inputs'!$B$31+'Inputs'!$B$32)/1000+'Inputs'!$B$21+'Inputs'!$B$9+'Inputs'!$B$10)+'Inputs'!$B$7)/SQRT((((686-43)*MAX('Inputs'!$B$33,'Inputs'!$B$29+'Inputs'!$B$31+'Inputs'!$B$32,'Inputs'!$B$30+'Inputs'!$B$31+'Inputs'!$B$32)/1000+'Inputs'!$B$21+'Inputs'!$B$9+'Inputs'!$B$10)+'Inputs'!$B$7)^2+('Inputs'!$B$6/2)^2)-(((686-43)*MAX('Inputs'!$B$33,'Inputs'!$B$29+'Inputs'!$B$31+'Inputs'!$B$32,'Inputs'!$B$30+'Inputs'!$B$31+'Inputs'!$B$32)/1000+'Inputs'!$B$21+'Inputs'!$B$9+'Inputs'!$B$10))/SQRT((((686-43)*MAX('Inputs'!$B$33,'Inputs'!$B$29+'Inputs'!$B$31+'Inputs'!$B$32,'Inputs'!$B$30+'Inputs'!$B$31+'Inputs'!$B$32)/1000+'Inputs'!$B$21+'Inputs'!$B$9+'Inputs'!$B$10))^2+('Inputs'!$B$6/2)^2))))*'Results'!$B$8),"")</x:f>
        <x:v>1.6001126799517589</x:v>
      </x:c>
      <x:c r="N686" t="n">
        <x:f>IF(AND(ISNUMBER('Results'!C7),ISNUMBER('Results'!B7),ISNUMBER('Results'!$B$8),ISNUMBER('Inputs'!$B$6),ISNUMBER('Inputs'!$B$7),ISNUMBER('Inputs'!$B$8),ISNUMBER('Inputs'!$B$9),ISNUMBER('Inputs'!$B$10),ISNUMBER('Inputs'!$B$21),ISNUMBER('Inputs'!$B$24),ISNUMBER('Inputs'!$B$28)),((('Results'!C7*(1-'Inputs'!$B$24)*(0.5*((((686-43)*MAX('Inputs'!$B$33,'Inputs'!$B$29+'Inputs'!$B$31+'Inputs'!$B$32,'Inputs'!$B$30+'Inputs'!$B$31+'Inputs'!$B$32)/1000+'Inputs'!$B$21)+'Inputs'!$B$9)/SQRT((((686-43)*MAX('Inputs'!$B$33,'Inputs'!$B$29+'Inputs'!$B$31+'Inputs'!$B$32,'Inputs'!$B$30+'Inputs'!$B$31+'Inputs'!$B$32)/1000+'Inputs'!$B$21)+'Inputs'!$B$9)^2+('Inputs'!$B$8/2)^2)-(((686-43)*MAX('Inputs'!$B$33,'Inputs'!$B$29+'Inputs'!$B$31+'Inputs'!$B$32,'Inputs'!$B$30+'Inputs'!$B$31+'Inputs'!$B$32)/1000+'Inputs'!$B$21))/SQRT((((686-43)*MAX('Inputs'!$B$33,'Inputs'!$B$29+'Inputs'!$B$31+'Inputs'!$B$32,'Inputs'!$B$30+'Inputs'!$B$31+'Inputs'!$B$32)/1000+'Inputs'!$B$21))^2+('Inputs'!$B$8/2)^2)))-'Results'!B7*(1+'Inputs'!$B$24)*(0.5*((((686-43)*MAX('Inputs'!$B$33,'Inputs'!$B$29+'Inputs'!$B$31+'Inputs'!$B$32,'Inputs'!$B$30+'Inputs'!$B$31+'Inputs'!$B$32)/1000+'Inputs'!$B$21+'Inputs'!$B$9+'Inputs'!$B$10)+'Inputs'!$B$7)/SQRT((((686-43)*MAX('Inputs'!$B$33,'Inputs'!$B$29+'Inputs'!$B$31+'Inputs'!$B$32,'Inputs'!$B$30+'Inputs'!$B$31+'Inputs'!$B$32)/1000+'Inputs'!$B$21+'Inputs'!$B$9+'Inputs'!$B$10)+'Inputs'!$B$7)^2+('Inputs'!$B$6/2)^2)-(((686-43)*MAX('Inputs'!$B$33,'Inputs'!$B$29+'Inputs'!$B$31+'Inputs'!$B$32,'Inputs'!$B$30+'Inputs'!$B$31+'Inputs'!$B$32)/1000+'Inputs'!$B$21+'Inputs'!$B$9+'Inputs'!$B$10))/SQRT((((686-43)*MAX('Inputs'!$B$33,'Inputs'!$B$29+'Inputs'!$B$31+'Inputs'!$B$32,'Inputs'!$B$30+'Inputs'!$B$31+'Inputs'!$B$32)/1000+'Inputs'!$B$21+'Inputs'!$B$9+'Inputs'!$B$10))^2+('Inputs'!$B$6/2)^2))))*'Results'!$B$8)-'Inputs'!$B$28*ABS((('Results'!C7*(1-'Inputs'!$B$24)*(0.5*((((686-43)*MAX('Inputs'!$B$33,'Inputs'!$B$29+'Inputs'!$B$31+'Inputs'!$B$32,'Inputs'!$B$30+'Inputs'!$B$31+'Inputs'!$B$32)/1000+'Inputs'!$B$21)+'Inputs'!$B$9)/SQRT((((686-43)*MAX('Inputs'!$B$33,'Inputs'!$B$29+'Inputs'!$B$31+'Inputs'!$B$32,'Inputs'!$B$30+'Inputs'!$B$31+'Inputs'!$B$32)/1000+'Inputs'!$B$21)+'Inputs'!$B$9)^2+('Inputs'!$B$8/2)^2)-(((686-43)*MAX('Inputs'!$B$33,'Inputs'!$B$29+'Inputs'!$B$31+'Inputs'!$B$32,'Inputs'!$B$30+'Inputs'!$B$31+'Inputs'!$B$32)/1000+'Inputs'!$B$21))/SQRT((((686-43)*MAX('Inputs'!$B$33,'Inputs'!$B$29+'Inputs'!$B$31+'Inputs'!$B$32,'Inputs'!$B$30+'Inputs'!$B$31+'Inputs'!$B$32)/1000+'Inputs'!$B$21))^2+('Inputs'!$B$8/2)^2)))-'Results'!B7*(1+'Inputs'!$B$24)*(0.5*((((686-43)*MAX('Inputs'!$B$33,'Inputs'!$B$29+'Inputs'!$B$31+'Inputs'!$B$32,'Inputs'!$B$30+'Inputs'!$B$31+'Inputs'!$B$32)/1000+'Inputs'!$B$21+'Inputs'!$B$9+'Inputs'!$B$10)+'Inputs'!$B$7)/SQRT((((686-43)*MAX('Inputs'!$B$33,'Inputs'!$B$29+'Inputs'!$B$31+'Inputs'!$B$32,'Inputs'!$B$30+'Inputs'!$B$31+'Inputs'!$B$32)/1000+'Inputs'!$B$21+'Inputs'!$B$9+'Inputs'!$B$10)+'Inputs'!$B$7)^2+('Inputs'!$B$6/2)^2)-(((686-43)*MAX('Inputs'!$B$33,'Inputs'!$B$29+'Inputs'!$B$31+'Inputs'!$B$32,'Inputs'!$B$30+'Inputs'!$B$31+'Inputs'!$B$32)/1000+'Inputs'!$B$21+'Inputs'!$B$9+'Inputs'!$B$10))/SQRT((((686-43)*MAX('Inputs'!$B$33,'Inputs'!$B$29+'Inputs'!$B$31+'Inputs'!$B$32,'Inputs'!$B$30+'Inputs'!$B$31+'Inputs'!$B$32)/1000+'Inputs'!$B$21+'Inputs'!$B$9+'Inputs'!$B$10))^2+('Inputs'!$B$6/2)^2))))*'Results'!$B$8))),"")</x:f>
        <x:v>1.3836545338391655</x:v>
      </x:c>
      <x:c r="O686" t="n">
        <x:f>IF(AND(ISNUMBER('Results'!C7),ISNUMBER('Results'!B7),ISNUMBER('Results'!$B$8),ISNUMBER('Inputs'!$B$6),ISNUMBER('Inputs'!$B$7),ISNUMBER('Inputs'!$B$8),ISNUMBER('Inputs'!$B$9),ISNUMBER('Inputs'!$B$10),ISNUMBER('Inputs'!$B$21),ISNUMBER('Inputs'!$B$24),ISNUMBER('Inputs'!$B$28)),((('Results'!C7*(1+'Inputs'!$B$24)*(0.5*((((686-43)*MAX('Inputs'!$B$33,'Inputs'!$B$29+'Inputs'!$B$31+'Inputs'!$B$32,'Inputs'!$B$30+'Inputs'!$B$31+'Inputs'!$B$32)/1000+'Inputs'!$B$21)+'Inputs'!$B$9)/SQRT((((686-43)*MAX('Inputs'!$B$33,'Inputs'!$B$29+'Inputs'!$B$31+'Inputs'!$B$32,'Inputs'!$B$30+'Inputs'!$B$31+'Inputs'!$B$32)/1000+'Inputs'!$B$21)+'Inputs'!$B$9)^2+('Inputs'!$B$8/2)^2)-(((686-43)*MAX('Inputs'!$B$33,'Inputs'!$B$29+'Inputs'!$B$31+'Inputs'!$B$32,'Inputs'!$B$30+'Inputs'!$B$31+'Inputs'!$B$32)/1000+'Inputs'!$B$21))/SQRT((((686-43)*MAX('Inputs'!$B$33,'Inputs'!$B$29+'Inputs'!$B$31+'Inputs'!$B$32,'Inputs'!$B$30+'Inputs'!$B$31+'Inputs'!$B$32)/1000+'Inputs'!$B$21))^2+('Inputs'!$B$8/2)^2)))-'Results'!B7*(1-'Inputs'!$B$24)*(0.5*((((686-43)*MAX('Inputs'!$B$33,'Inputs'!$B$29+'Inputs'!$B$31+'Inputs'!$B$32,'Inputs'!$B$30+'Inputs'!$B$31+'Inputs'!$B$32)/1000+'Inputs'!$B$21+'Inputs'!$B$9+'Inputs'!$B$10)+'Inputs'!$B$7)/SQRT((((686-43)*MAX('Inputs'!$B$33,'Inputs'!$B$29+'Inputs'!$B$31+'Inputs'!$B$32,'Inputs'!$B$30+'Inputs'!$B$31+'Inputs'!$B$32)/1000+'Inputs'!$B$21+'Inputs'!$B$9+'Inputs'!$B$10)+'Inputs'!$B$7)^2+('Inputs'!$B$6/2)^2)-(((686-43)*MAX('Inputs'!$B$33,'Inputs'!$B$29+'Inputs'!$B$31+'Inputs'!$B$32,'Inputs'!$B$30+'Inputs'!$B$31+'Inputs'!$B$32)/1000+'Inputs'!$B$21+'Inputs'!$B$9+'Inputs'!$B$10))/SQRT((((686-43)*MAX('Inputs'!$B$33,'Inputs'!$B$29+'Inputs'!$B$31+'Inputs'!$B$32,'Inputs'!$B$30+'Inputs'!$B$31+'Inputs'!$B$32)/1000+'Inputs'!$B$21+'Inputs'!$B$9+'Inputs'!$B$10))^2+('Inputs'!$B$6/2)^2))))*'Results'!$B$8)+'Inputs'!$B$28*ABS((('Results'!C7*(1+'Inputs'!$B$24)*(0.5*((((686-43)*MAX('Inputs'!$B$33,'Inputs'!$B$29+'Inputs'!$B$31+'Inputs'!$B$32,'Inputs'!$B$30+'Inputs'!$B$31+'Inputs'!$B$32)/1000+'Inputs'!$B$21)+'Inputs'!$B$9)/SQRT((((686-43)*MAX('Inputs'!$B$33,'Inputs'!$B$29+'Inputs'!$B$31+'Inputs'!$B$32,'Inputs'!$B$30+'Inputs'!$B$31+'Inputs'!$B$32)/1000+'Inputs'!$B$21)+'Inputs'!$B$9)^2+('Inputs'!$B$8/2)^2)-(((686-43)*MAX('Inputs'!$B$33,'Inputs'!$B$29+'Inputs'!$B$31+'Inputs'!$B$32,'Inputs'!$B$30+'Inputs'!$B$31+'Inputs'!$B$32)/1000+'Inputs'!$B$21))/SQRT((((686-43)*MAX('Inputs'!$B$33,'Inputs'!$B$29+'Inputs'!$B$31+'Inputs'!$B$32,'Inputs'!$B$30+'Inputs'!$B$31+'Inputs'!$B$32)/1000+'Inputs'!$B$21))^2+('Inputs'!$B$8/2)^2)))-'Results'!B7*(1-'Inputs'!$B$24)*(0.5*((((686-43)*MAX('Inputs'!$B$33,'Inputs'!$B$29+'Inputs'!$B$31+'Inputs'!$B$32,'Inputs'!$B$30+'Inputs'!$B$31+'Inputs'!$B$32)/1000+'Inputs'!$B$21+'Inputs'!$B$9+'Inputs'!$B$10)+'Inputs'!$B$7)/SQRT((((686-43)*MAX('Inputs'!$B$33,'Inputs'!$B$29+'Inputs'!$B$31+'Inputs'!$B$32,'Inputs'!$B$30+'Inputs'!$B$31+'Inputs'!$B$32)/1000+'Inputs'!$B$21+'Inputs'!$B$9+'Inputs'!$B$10)+'Inputs'!$B$7)^2+('Inputs'!$B$6/2)^2)-(((686-43)*MAX('Inputs'!$B$33,'Inputs'!$B$29+'Inputs'!$B$31+'Inputs'!$B$32,'Inputs'!$B$30+'Inputs'!$B$31+'Inputs'!$B$32)/1000+'Inputs'!$B$21+'Inputs'!$B$9+'Inputs'!$B$10))/SQRT((((686-43)*MAX('Inputs'!$B$33,'Inputs'!$B$29+'Inputs'!$B$31+'Inputs'!$B$32,'Inputs'!$B$30+'Inputs'!$B$31+'Inputs'!$B$32)/1000+'Inputs'!$B$21+'Inputs'!$B$9+'Inputs'!$B$10))^2+('Inputs'!$B$6/2)^2))))*'Results'!$B$8))),"")</x:f>
        <x:v>1.830934248392248</x:v>
      </x:c>
      <x:c r="P686" t="n">
        <x:f>IF(AND(MAX(J686,J685)&gt;0,J686&gt;J685+0.00000001),1,0)</x:f>
        <x:v>0</x:v>
      </x:c>
      <x:c r="Q686" t="n">
        <x:f>IF(AND(MAX(K686,K685)&gt;0,K686&gt;K685+0.00000001),1,0)</x:f>
        <x:v>0</x:v>
      </x:c>
      <x:c r="R686" t="n">
        <x:f>IF(AND(MAX(L686,L685)&gt;0,L686&gt;L685+0.00000001),1,0)</x:f>
        <x:v>0</x:v>
      </x:c>
      <x:c r="S686" t="n">
        <x:f>IF(AND(MAX(M686,M685)&gt;0,M686&gt;M685+0.00000001),1,0)</x:f>
        <x:v>0</x:v>
      </x:c>
      <x:c r="T686" t="n">
        <x:f>IF(AND(MAX(N686,N685)&gt;0,N686&gt;N685+0.00000001),1,0)</x:f>
        <x:v>0</x:v>
      </x:c>
      <x:c r="U686" t="n">
        <x:f>IF(AND(MAX(O686,O685)&gt;0,O686&gt;O685+0.00000001),1,0)</x:f>
        <x:v>0</x:v>
      </x:c>
    </x:row>
    <x:row r="687">
      <x:c r="J687" t="n">
        <x:f>IF(AND(ISNUMBER('Results'!B7),ISNUMBER('Results'!C7),ISNUMBER('Results'!$B$8),ISNUMBER('Inputs'!$B$6),ISNUMBER('Inputs'!$B$7),ISNUMBER('Inputs'!$B$8),ISNUMBER('Inputs'!$B$9),ISNUMBER('Inputs'!$B$10),ISNUMBER('Inputs'!$B$21),ISNUMBER('Inputs'!$B$24),ISNUMBER('Inputs'!$B$28)),(('Results'!B7*(0.5*((((687-43)*MAX('Inputs'!$B$33,'Inputs'!$B$29+'Inputs'!$B$31+'Inputs'!$B$32,'Inputs'!$B$30+'Inputs'!$B$31+'Inputs'!$B$32)/1000+'Inputs'!$B$21)+'Inputs'!$B$7)/SQRT((((687-43)*MAX('Inputs'!$B$33,'Inputs'!$B$29+'Inputs'!$B$31+'Inputs'!$B$32,'Inputs'!$B$30+'Inputs'!$B$31+'Inputs'!$B$32)/1000+'Inputs'!$B$21)+'Inputs'!$B$7)^2+('Inputs'!$B$6/2)^2)-(((687-43)*MAX('Inputs'!$B$33,'Inputs'!$B$29+'Inputs'!$B$31+'Inputs'!$B$32,'Inputs'!$B$30+'Inputs'!$B$31+'Inputs'!$B$32)/1000+'Inputs'!$B$21))/SQRT((((687-43)*MAX('Inputs'!$B$33,'Inputs'!$B$29+'Inputs'!$B$31+'Inputs'!$B$32,'Inputs'!$B$30+'Inputs'!$B$31+'Inputs'!$B$32)/1000+'Inputs'!$B$21))^2+('Inputs'!$B$6/2)^2)))-'Results'!C7*(0.5*((((687-43)*MAX('Inputs'!$B$33,'Inputs'!$B$29+'Inputs'!$B$31+'Inputs'!$B$32,'Inputs'!$B$30+'Inputs'!$B$31+'Inputs'!$B$32)/1000+'Inputs'!$B$21+'Inputs'!$B$7+'Inputs'!$B$10)+'Inputs'!$B$9)/SQRT((((687-43)*MAX('Inputs'!$B$33,'Inputs'!$B$29+'Inputs'!$B$31+'Inputs'!$B$32,'Inputs'!$B$30+'Inputs'!$B$31+'Inputs'!$B$32)/1000+'Inputs'!$B$21+'Inputs'!$B$7+'Inputs'!$B$10)+'Inputs'!$B$9)^2+('Inputs'!$B$8/2)^2)-(((687-43)*MAX('Inputs'!$B$33,'Inputs'!$B$29+'Inputs'!$B$31+'Inputs'!$B$32,'Inputs'!$B$30+'Inputs'!$B$31+'Inputs'!$B$32)/1000+'Inputs'!$B$21+'Inputs'!$B$7+'Inputs'!$B$10))/SQRT((((687-43)*MAX('Inputs'!$B$33,'Inputs'!$B$29+'Inputs'!$B$31+'Inputs'!$B$32,'Inputs'!$B$30+'Inputs'!$B$31+'Inputs'!$B$32)/1000+'Inputs'!$B$21+'Inputs'!$B$7+'Inputs'!$B$10))^2+('Inputs'!$B$8/2)^2))))*'Results'!$B$8),"")</x:f>
        <x:v>1.7360096454859228</x:v>
      </x:c>
      <x:c r="K687" t="n">
        <x:f>IF(AND(ISNUMBER('Results'!B7),ISNUMBER('Results'!C7),ISNUMBER('Results'!$B$8),ISNUMBER('Inputs'!$B$6),ISNUMBER('Inputs'!$B$7),ISNUMBER('Inputs'!$B$8),ISNUMBER('Inputs'!$B$9),ISNUMBER('Inputs'!$B$10),ISNUMBER('Inputs'!$B$21),ISNUMBER('Inputs'!$B$24),ISNUMBER('Inputs'!$B$28)),((('Results'!B7*(1-'Inputs'!$B$24)*(0.5*((((687-43)*MAX('Inputs'!$B$33,'Inputs'!$B$29+'Inputs'!$B$31+'Inputs'!$B$32,'Inputs'!$B$30+'Inputs'!$B$31+'Inputs'!$B$32)/1000+'Inputs'!$B$21)+'Inputs'!$B$7)/SQRT((((687-43)*MAX('Inputs'!$B$33,'Inputs'!$B$29+'Inputs'!$B$31+'Inputs'!$B$32,'Inputs'!$B$30+'Inputs'!$B$31+'Inputs'!$B$32)/1000+'Inputs'!$B$21)+'Inputs'!$B$7)^2+('Inputs'!$B$6/2)^2)-(((687-43)*MAX('Inputs'!$B$33,'Inputs'!$B$29+'Inputs'!$B$31+'Inputs'!$B$32,'Inputs'!$B$30+'Inputs'!$B$31+'Inputs'!$B$32)/1000+'Inputs'!$B$21))/SQRT((((687-43)*MAX('Inputs'!$B$33,'Inputs'!$B$29+'Inputs'!$B$31+'Inputs'!$B$32,'Inputs'!$B$30+'Inputs'!$B$31+'Inputs'!$B$32)/1000+'Inputs'!$B$21))^2+('Inputs'!$B$6/2)^2)))-'Results'!C7*(1+'Inputs'!$B$24)*(0.5*((((687-43)*MAX('Inputs'!$B$33,'Inputs'!$B$29+'Inputs'!$B$31+'Inputs'!$B$32,'Inputs'!$B$30+'Inputs'!$B$31+'Inputs'!$B$32)/1000+'Inputs'!$B$21+'Inputs'!$B$7+'Inputs'!$B$10)+'Inputs'!$B$9)/SQRT((((687-43)*MAX('Inputs'!$B$33,'Inputs'!$B$29+'Inputs'!$B$31+'Inputs'!$B$32,'Inputs'!$B$30+'Inputs'!$B$31+'Inputs'!$B$32)/1000+'Inputs'!$B$21+'Inputs'!$B$7+'Inputs'!$B$10)+'Inputs'!$B$9)^2+('Inputs'!$B$8/2)^2)-(((687-43)*MAX('Inputs'!$B$33,'Inputs'!$B$29+'Inputs'!$B$31+'Inputs'!$B$32,'Inputs'!$B$30+'Inputs'!$B$31+'Inputs'!$B$32)/1000+'Inputs'!$B$21+'Inputs'!$B$7+'Inputs'!$B$10))/SQRT((((687-43)*MAX('Inputs'!$B$33,'Inputs'!$B$29+'Inputs'!$B$31+'Inputs'!$B$32,'Inputs'!$B$30+'Inputs'!$B$31+'Inputs'!$B$32)/1000+'Inputs'!$B$21+'Inputs'!$B$7+'Inputs'!$B$10))^2+('Inputs'!$B$8/2)^2))))*'Results'!$B$8)-'Inputs'!$B$28*ABS((('Results'!B7*(1-'Inputs'!$B$24)*(0.5*((((687-43)*MAX('Inputs'!$B$33,'Inputs'!$B$29+'Inputs'!$B$31+'Inputs'!$B$32,'Inputs'!$B$30+'Inputs'!$B$31+'Inputs'!$B$32)/1000+'Inputs'!$B$21)+'Inputs'!$B$7)/SQRT((((687-43)*MAX('Inputs'!$B$33,'Inputs'!$B$29+'Inputs'!$B$31+'Inputs'!$B$32,'Inputs'!$B$30+'Inputs'!$B$31+'Inputs'!$B$32)/1000+'Inputs'!$B$21)+'Inputs'!$B$7)^2+('Inputs'!$B$6/2)^2)-(((687-43)*MAX('Inputs'!$B$33,'Inputs'!$B$29+'Inputs'!$B$31+'Inputs'!$B$32,'Inputs'!$B$30+'Inputs'!$B$31+'Inputs'!$B$32)/1000+'Inputs'!$B$21))/SQRT((((687-43)*MAX('Inputs'!$B$33,'Inputs'!$B$29+'Inputs'!$B$31+'Inputs'!$B$32,'Inputs'!$B$30+'Inputs'!$B$31+'Inputs'!$B$32)/1000+'Inputs'!$B$21))^2+('Inputs'!$B$6/2)^2)))-'Results'!C7*(1+'Inputs'!$B$24)*(0.5*((((687-43)*MAX('Inputs'!$B$33,'Inputs'!$B$29+'Inputs'!$B$31+'Inputs'!$B$32,'Inputs'!$B$30+'Inputs'!$B$31+'Inputs'!$B$32)/1000+'Inputs'!$B$21+'Inputs'!$B$7+'Inputs'!$B$10)+'Inputs'!$B$9)/SQRT((((687-43)*MAX('Inputs'!$B$33,'Inputs'!$B$29+'Inputs'!$B$31+'Inputs'!$B$32,'Inputs'!$B$30+'Inputs'!$B$31+'Inputs'!$B$32)/1000+'Inputs'!$B$21+'Inputs'!$B$7+'Inputs'!$B$10)+'Inputs'!$B$9)^2+('Inputs'!$B$8/2)^2)-(((687-43)*MAX('Inputs'!$B$33,'Inputs'!$B$29+'Inputs'!$B$31+'Inputs'!$B$32,'Inputs'!$B$30+'Inputs'!$B$31+'Inputs'!$B$32)/1000+'Inputs'!$B$21+'Inputs'!$B$7+'Inputs'!$B$10))/SQRT((((687-43)*MAX('Inputs'!$B$33,'Inputs'!$B$29+'Inputs'!$B$31+'Inputs'!$B$32,'Inputs'!$B$30+'Inputs'!$B$31+'Inputs'!$B$32)/1000+'Inputs'!$B$21+'Inputs'!$B$7+'Inputs'!$B$10))^2+('Inputs'!$B$8/2)^2))))*'Results'!$B$8))),"")</x:f>
        <x:v>1.512691802856225</x:v>
      </x:c>
      <x:c r="L687" t="n">
        <x:f>IF(AND(ISNUMBER('Results'!B7),ISNUMBER('Results'!C7),ISNUMBER('Results'!$B$8),ISNUMBER('Inputs'!$B$6),ISNUMBER('Inputs'!$B$7),ISNUMBER('Inputs'!$B$8),ISNUMBER('Inputs'!$B$9),ISNUMBER('Inputs'!$B$10),ISNUMBER('Inputs'!$B$21),ISNUMBER('Inputs'!$B$24),ISNUMBER('Inputs'!$B$28)),((('Results'!B7*(1+'Inputs'!$B$24)*(0.5*((((687-43)*MAX('Inputs'!$B$33,'Inputs'!$B$29+'Inputs'!$B$31+'Inputs'!$B$32,'Inputs'!$B$30+'Inputs'!$B$31+'Inputs'!$B$32)/1000+'Inputs'!$B$21)+'Inputs'!$B$7)/SQRT((((687-43)*MAX('Inputs'!$B$33,'Inputs'!$B$29+'Inputs'!$B$31+'Inputs'!$B$32,'Inputs'!$B$30+'Inputs'!$B$31+'Inputs'!$B$32)/1000+'Inputs'!$B$21)+'Inputs'!$B$7)^2+('Inputs'!$B$6/2)^2)-(((687-43)*MAX('Inputs'!$B$33,'Inputs'!$B$29+'Inputs'!$B$31+'Inputs'!$B$32,'Inputs'!$B$30+'Inputs'!$B$31+'Inputs'!$B$32)/1000+'Inputs'!$B$21))/SQRT((((687-43)*MAX('Inputs'!$B$33,'Inputs'!$B$29+'Inputs'!$B$31+'Inputs'!$B$32,'Inputs'!$B$30+'Inputs'!$B$31+'Inputs'!$B$32)/1000+'Inputs'!$B$21))^2+('Inputs'!$B$6/2)^2)))-'Results'!C7*(1-'Inputs'!$B$24)*(0.5*((((687-43)*MAX('Inputs'!$B$33,'Inputs'!$B$29+'Inputs'!$B$31+'Inputs'!$B$32,'Inputs'!$B$30+'Inputs'!$B$31+'Inputs'!$B$32)/1000+'Inputs'!$B$21+'Inputs'!$B$7+'Inputs'!$B$10)+'Inputs'!$B$9)/SQRT((((687-43)*MAX('Inputs'!$B$33,'Inputs'!$B$29+'Inputs'!$B$31+'Inputs'!$B$32,'Inputs'!$B$30+'Inputs'!$B$31+'Inputs'!$B$32)/1000+'Inputs'!$B$21+'Inputs'!$B$7+'Inputs'!$B$10)+'Inputs'!$B$9)^2+('Inputs'!$B$8/2)^2)-(((687-43)*MAX('Inputs'!$B$33,'Inputs'!$B$29+'Inputs'!$B$31+'Inputs'!$B$32,'Inputs'!$B$30+'Inputs'!$B$31+'Inputs'!$B$32)/1000+'Inputs'!$B$21+'Inputs'!$B$7+'Inputs'!$B$10))/SQRT((((687-43)*MAX('Inputs'!$B$33,'Inputs'!$B$29+'Inputs'!$B$31+'Inputs'!$B$32,'Inputs'!$B$30+'Inputs'!$B$31+'Inputs'!$B$32)/1000+'Inputs'!$B$21+'Inputs'!$B$7+'Inputs'!$B$10))^2+('Inputs'!$B$8/2)^2))))*'Results'!$B$8)+'Inputs'!$B$28*ABS((('Results'!B7*(1+'Inputs'!$B$24)*(0.5*((((687-43)*MAX('Inputs'!$B$33,'Inputs'!$B$29+'Inputs'!$B$31+'Inputs'!$B$32,'Inputs'!$B$30+'Inputs'!$B$31+'Inputs'!$B$32)/1000+'Inputs'!$B$21)+'Inputs'!$B$7)/SQRT((((687-43)*MAX('Inputs'!$B$33,'Inputs'!$B$29+'Inputs'!$B$31+'Inputs'!$B$32,'Inputs'!$B$30+'Inputs'!$B$31+'Inputs'!$B$32)/1000+'Inputs'!$B$21)+'Inputs'!$B$7)^2+('Inputs'!$B$6/2)^2)-(((687-43)*MAX('Inputs'!$B$33,'Inputs'!$B$29+'Inputs'!$B$31+'Inputs'!$B$32,'Inputs'!$B$30+'Inputs'!$B$31+'Inputs'!$B$32)/1000+'Inputs'!$B$21))/SQRT((((687-43)*MAX('Inputs'!$B$33,'Inputs'!$B$29+'Inputs'!$B$31+'Inputs'!$B$32,'Inputs'!$B$30+'Inputs'!$B$31+'Inputs'!$B$32)/1000+'Inputs'!$B$21))^2+('Inputs'!$B$6/2)^2)))-'Results'!C7*(1-'Inputs'!$B$24)*(0.5*((((687-43)*MAX('Inputs'!$B$33,'Inputs'!$B$29+'Inputs'!$B$31+'Inputs'!$B$32,'Inputs'!$B$30+'Inputs'!$B$31+'Inputs'!$B$32)/1000+'Inputs'!$B$21+'Inputs'!$B$7+'Inputs'!$B$10)+'Inputs'!$B$9)/SQRT((((687-43)*MAX('Inputs'!$B$33,'Inputs'!$B$29+'Inputs'!$B$31+'Inputs'!$B$32,'Inputs'!$B$30+'Inputs'!$B$31+'Inputs'!$B$32)/1000+'Inputs'!$B$21+'Inputs'!$B$7+'Inputs'!$B$10)+'Inputs'!$B$9)^2+('Inputs'!$B$8/2)^2)-(((687-43)*MAX('Inputs'!$B$33,'Inputs'!$B$29+'Inputs'!$B$31+'Inputs'!$B$32,'Inputs'!$B$30+'Inputs'!$B$31+'Inputs'!$B$32)/1000+'Inputs'!$B$21+'Inputs'!$B$7+'Inputs'!$B$10))/SQRT((((687-43)*MAX('Inputs'!$B$33,'Inputs'!$B$29+'Inputs'!$B$31+'Inputs'!$B$32,'Inputs'!$B$30+'Inputs'!$B$31+'Inputs'!$B$32)/1000+'Inputs'!$B$21+'Inputs'!$B$7+'Inputs'!$B$10))^2+('Inputs'!$B$8/2)^2))))*'Results'!$B$8))),"")</x:f>
        <x:v>1.9736977365740855</x:v>
      </x:c>
      <x:c r="M687" t="n">
        <x:f>IF(AND(ISNUMBER('Results'!C7),ISNUMBER('Results'!B7),ISNUMBER('Results'!$B$8),ISNUMBER('Inputs'!$B$6),ISNUMBER('Inputs'!$B$7),ISNUMBER('Inputs'!$B$8),ISNUMBER('Inputs'!$B$9),ISNUMBER('Inputs'!$B$10),ISNUMBER('Inputs'!$B$21),ISNUMBER('Inputs'!$B$24),ISNUMBER('Inputs'!$B$28)),(('Results'!C7*(0.5*((((687-43)*MAX('Inputs'!$B$33,'Inputs'!$B$29+'Inputs'!$B$31+'Inputs'!$B$32,'Inputs'!$B$30+'Inputs'!$B$31+'Inputs'!$B$32)/1000+'Inputs'!$B$21)+'Inputs'!$B$9)/SQRT((((687-43)*MAX('Inputs'!$B$33,'Inputs'!$B$29+'Inputs'!$B$31+'Inputs'!$B$32,'Inputs'!$B$30+'Inputs'!$B$31+'Inputs'!$B$32)/1000+'Inputs'!$B$21)+'Inputs'!$B$9)^2+('Inputs'!$B$8/2)^2)-(((687-43)*MAX('Inputs'!$B$33,'Inputs'!$B$29+'Inputs'!$B$31+'Inputs'!$B$32,'Inputs'!$B$30+'Inputs'!$B$31+'Inputs'!$B$32)/1000+'Inputs'!$B$21))/SQRT((((687-43)*MAX('Inputs'!$B$33,'Inputs'!$B$29+'Inputs'!$B$31+'Inputs'!$B$32,'Inputs'!$B$30+'Inputs'!$B$31+'Inputs'!$B$32)/1000+'Inputs'!$B$21))^2+('Inputs'!$B$8/2)^2)))-'Results'!B7*(0.5*((((687-43)*MAX('Inputs'!$B$33,'Inputs'!$B$29+'Inputs'!$B$31+'Inputs'!$B$32,'Inputs'!$B$30+'Inputs'!$B$31+'Inputs'!$B$32)/1000+'Inputs'!$B$21+'Inputs'!$B$9+'Inputs'!$B$10)+'Inputs'!$B$7)/SQRT((((687-43)*MAX('Inputs'!$B$33,'Inputs'!$B$29+'Inputs'!$B$31+'Inputs'!$B$32,'Inputs'!$B$30+'Inputs'!$B$31+'Inputs'!$B$32)/1000+'Inputs'!$B$21+'Inputs'!$B$9+'Inputs'!$B$10)+'Inputs'!$B$7)^2+('Inputs'!$B$6/2)^2)-(((687-43)*MAX('Inputs'!$B$33,'Inputs'!$B$29+'Inputs'!$B$31+'Inputs'!$B$32,'Inputs'!$B$30+'Inputs'!$B$31+'Inputs'!$B$32)/1000+'Inputs'!$B$21+'Inputs'!$B$9+'Inputs'!$B$10))/SQRT((((687-43)*MAX('Inputs'!$B$33,'Inputs'!$B$29+'Inputs'!$B$31+'Inputs'!$B$32,'Inputs'!$B$30+'Inputs'!$B$31+'Inputs'!$B$32)/1000+'Inputs'!$B$21+'Inputs'!$B$9+'Inputs'!$B$10))^2+('Inputs'!$B$6/2)^2))))*'Results'!$B$8),"")</x:f>
        <x:v>1.591195096700525</x:v>
      </x:c>
      <x:c r="N687" t="n">
        <x:f>IF(AND(ISNUMBER('Results'!C7),ISNUMBER('Results'!B7),ISNUMBER('Results'!$B$8),ISNUMBER('Inputs'!$B$6),ISNUMBER('Inputs'!$B$7),ISNUMBER('Inputs'!$B$8),ISNUMBER('Inputs'!$B$9),ISNUMBER('Inputs'!$B$10),ISNUMBER('Inputs'!$B$21),ISNUMBER('Inputs'!$B$24),ISNUMBER('Inputs'!$B$28)),((('Results'!C7*(1-'Inputs'!$B$24)*(0.5*((((687-43)*MAX('Inputs'!$B$33,'Inputs'!$B$29+'Inputs'!$B$31+'Inputs'!$B$32,'Inputs'!$B$30+'Inputs'!$B$31+'Inputs'!$B$32)/1000+'Inputs'!$B$21)+'Inputs'!$B$9)/SQRT((((687-43)*MAX('Inputs'!$B$33,'Inputs'!$B$29+'Inputs'!$B$31+'Inputs'!$B$32,'Inputs'!$B$30+'Inputs'!$B$31+'Inputs'!$B$32)/1000+'Inputs'!$B$21)+'Inputs'!$B$9)^2+('Inputs'!$B$8/2)^2)-(((687-43)*MAX('Inputs'!$B$33,'Inputs'!$B$29+'Inputs'!$B$31+'Inputs'!$B$32,'Inputs'!$B$30+'Inputs'!$B$31+'Inputs'!$B$32)/1000+'Inputs'!$B$21))/SQRT((((687-43)*MAX('Inputs'!$B$33,'Inputs'!$B$29+'Inputs'!$B$31+'Inputs'!$B$32,'Inputs'!$B$30+'Inputs'!$B$31+'Inputs'!$B$32)/1000+'Inputs'!$B$21))^2+('Inputs'!$B$8/2)^2)))-'Results'!B7*(1+'Inputs'!$B$24)*(0.5*((((687-43)*MAX('Inputs'!$B$33,'Inputs'!$B$29+'Inputs'!$B$31+'Inputs'!$B$32,'Inputs'!$B$30+'Inputs'!$B$31+'Inputs'!$B$32)/1000+'Inputs'!$B$21+'Inputs'!$B$9+'Inputs'!$B$10)+'Inputs'!$B$7)/SQRT((((687-43)*MAX('Inputs'!$B$33,'Inputs'!$B$29+'Inputs'!$B$31+'Inputs'!$B$32,'Inputs'!$B$30+'Inputs'!$B$31+'Inputs'!$B$32)/1000+'Inputs'!$B$21+'Inputs'!$B$9+'Inputs'!$B$10)+'Inputs'!$B$7)^2+('Inputs'!$B$6/2)^2)-(((687-43)*MAX('Inputs'!$B$33,'Inputs'!$B$29+'Inputs'!$B$31+'Inputs'!$B$32,'Inputs'!$B$30+'Inputs'!$B$31+'Inputs'!$B$32)/1000+'Inputs'!$B$21+'Inputs'!$B$9+'Inputs'!$B$10))/SQRT((((687-43)*MAX('Inputs'!$B$33,'Inputs'!$B$29+'Inputs'!$B$31+'Inputs'!$B$32,'Inputs'!$B$30+'Inputs'!$B$31+'Inputs'!$B$32)/1000+'Inputs'!$B$21+'Inputs'!$B$9+'Inputs'!$B$10))^2+('Inputs'!$B$6/2)^2))))*'Results'!$B$8)-'Inputs'!$B$28*ABS((('Results'!C7*(1-'Inputs'!$B$24)*(0.5*((((687-43)*MAX('Inputs'!$B$33,'Inputs'!$B$29+'Inputs'!$B$31+'Inputs'!$B$32,'Inputs'!$B$30+'Inputs'!$B$31+'Inputs'!$B$32)/1000+'Inputs'!$B$21)+'Inputs'!$B$9)/SQRT((((687-43)*MAX('Inputs'!$B$33,'Inputs'!$B$29+'Inputs'!$B$31+'Inputs'!$B$32,'Inputs'!$B$30+'Inputs'!$B$31+'Inputs'!$B$32)/1000+'Inputs'!$B$21)+'Inputs'!$B$9)^2+('Inputs'!$B$8/2)^2)-(((687-43)*MAX('Inputs'!$B$33,'Inputs'!$B$29+'Inputs'!$B$31+'Inputs'!$B$32,'Inputs'!$B$30+'Inputs'!$B$31+'Inputs'!$B$32)/1000+'Inputs'!$B$21))/SQRT((((687-43)*MAX('Inputs'!$B$33,'Inputs'!$B$29+'Inputs'!$B$31+'Inputs'!$B$32,'Inputs'!$B$30+'Inputs'!$B$31+'Inputs'!$B$32)/1000+'Inputs'!$B$21))^2+('Inputs'!$B$8/2)^2)))-'Results'!B7*(1+'Inputs'!$B$24)*(0.5*((((687-43)*MAX('Inputs'!$B$33,'Inputs'!$B$29+'Inputs'!$B$31+'Inputs'!$B$32,'Inputs'!$B$30+'Inputs'!$B$31+'Inputs'!$B$32)/1000+'Inputs'!$B$21+'Inputs'!$B$9+'Inputs'!$B$10)+'Inputs'!$B$7)/SQRT((((687-43)*MAX('Inputs'!$B$33,'Inputs'!$B$29+'Inputs'!$B$31+'Inputs'!$B$32,'Inputs'!$B$30+'Inputs'!$B$31+'Inputs'!$B$32)/1000+'Inputs'!$B$21+'Inputs'!$B$9+'Inputs'!$B$10)+'Inputs'!$B$7)^2+('Inputs'!$B$6/2)^2)-(((687-43)*MAX('Inputs'!$B$33,'Inputs'!$B$29+'Inputs'!$B$31+'Inputs'!$B$32,'Inputs'!$B$30+'Inputs'!$B$31+'Inputs'!$B$32)/1000+'Inputs'!$B$21+'Inputs'!$B$9+'Inputs'!$B$10))/SQRT((((687-43)*MAX('Inputs'!$B$33,'Inputs'!$B$29+'Inputs'!$B$31+'Inputs'!$B$32,'Inputs'!$B$30+'Inputs'!$B$31+'Inputs'!$B$32)/1000+'Inputs'!$B$21+'Inputs'!$B$9+'Inputs'!$B$10))^2+('Inputs'!$B$6/2)^2))))*'Results'!$B$8))),"")</x:f>
        <x:v>1.3757565359555668</x:v>
      </x:c>
      <x:c r="O687" t="n">
        <x:f>IF(AND(ISNUMBER('Results'!C7),ISNUMBER('Results'!B7),ISNUMBER('Results'!$B$8),ISNUMBER('Inputs'!$B$6),ISNUMBER('Inputs'!$B$7),ISNUMBER('Inputs'!$B$8),ISNUMBER('Inputs'!$B$9),ISNUMBER('Inputs'!$B$10),ISNUMBER('Inputs'!$B$21),ISNUMBER('Inputs'!$B$24),ISNUMBER('Inputs'!$B$28)),((('Results'!C7*(1+'Inputs'!$B$24)*(0.5*((((687-43)*MAX('Inputs'!$B$33,'Inputs'!$B$29+'Inputs'!$B$31+'Inputs'!$B$32,'Inputs'!$B$30+'Inputs'!$B$31+'Inputs'!$B$32)/1000+'Inputs'!$B$21)+'Inputs'!$B$9)/SQRT((((687-43)*MAX('Inputs'!$B$33,'Inputs'!$B$29+'Inputs'!$B$31+'Inputs'!$B$32,'Inputs'!$B$30+'Inputs'!$B$31+'Inputs'!$B$32)/1000+'Inputs'!$B$21)+'Inputs'!$B$9)^2+('Inputs'!$B$8/2)^2)-(((687-43)*MAX('Inputs'!$B$33,'Inputs'!$B$29+'Inputs'!$B$31+'Inputs'!$B$32,'Inputs'!$B$30+'Inputs'!$B$31+'Inputs'!$B$32)/1000+'Inputs'!$B$21))/SQRT((((687-43)*MAX('Inputs'!$B$33,'Inputs'!$B$29+'Inputs'!$B$31+'Inputs'!$B$32,'Inputs'!$B$30+'Inputs'!$B$31+'Inputs'!$B$32)/1000+'Inputs'!$B$21))^2+('Inputs'!$B$8/2)^2)))-'Results'!B7*(1-'Inputs'!$B$24)*(0.5*((((687-43)*MAX('Inputs'!$B$33,'Inputs'!$B$29+'Inputs'!$B$31+'Inputs'!$B$32,'Inputs'!$B$30+'Inputs'!$B$31+'Inputs'!$B$32)/1000+'Inputs'!$B$21+'Inputs'!$B$9+'Inputs'!$B$10)+'Inputs'!$B$7)/SQRT((((687-43)*MAX('Inputs'!$B$33,'Inputs'!$B$29+'Inputs'!$B$31+'Inputs'!$B$32,'Inputs'!$B$30+'Inputs'!$B$31+'Inputs'!$B$32)/1000+'Inputs'!$B$21+'Inputs'!$B$9+'Inputs'!$B$10)+'Inputs'!$B$7)^2+('Inputs'!$B$6/2)^2)-(((687-43)*MAX('Inputs'!$B$33,'Inputs'!$B$29+'Inputs'!$B$31+'Inputs'!$B$32,'Inputs'!$B$30+'Inputs'!$B$31+'Inputs'!$B$32)/1000+'Inputs'!$B$21+'Inputs'!$B$9+'Inputs'!$B$10))/SQRT((((687-43)*MAX('Inputs'!$B$33,'Inputs'!$B$29+'Inputs'!$B$31+'Inputs'!$B$32,'Inputs'!$B$30+'Inputs'!$B$31+'Inputs'!$B$32)/1000+'Inputs'!$B$21+'Inputs'!$B$9+'Inputs'!$B$10))^2+('Inputs'!$B$6/2)^2))))*'Results'!$B$8)+'Inputs'!$B$28*ABS((('Results'!C7*(1+'Inputs'!$B$24)*(0.5*((((687-43)*MAX('Inputs'!$B$33,'Inputs'!$B$29+'Inputs'!$B$31+'Inputs'!$B$32,'Inputs'!$B$30+'Inputs'!$B$31+'Inputs'!$B$32)/1000+'Inputs'!$B$21)+'Inputs'!$B$9)/SQRT((((687-43)*MAX('Inputs'!$B$33,'Inputs'!$B$29+'Inputs'!$B$31+'Inputs'!$B$32,'Inputs'!$B$30+'Inputs'!$B$31+'Inputs'!$B$32)/1000+'Inputs'!$B$21)+'Inputs'!$B$9)^2+('Inputs'!$B$8/2)^2)-(((687-43)*MAX('Inputs'!$B$33,'Inputs'!$B$29+'Inputs'!$B$31+'Inputs'!$B$32,'Inputs'!$B$30+'Inputs'!$B$31+'Inputs'!$B$32)/1000+'Inputs'!$B$21))/SQRT((((687-43)*MAX('Inputs'!$B$33,'Inputs'!$B$29+'Inputs'!$B$31+'Inputs'!$B$32,'Inputs'!$B$30+'Inputs'!$B$31+'Inputs'!$B$32)/1000+'Inputs'!$B$21))^2+('Inputs'!$B$8/2)^2)))-'Results'!B7*(1-'Inputs'!$B$24)*(0.5*((((687-43)*MAX('Inputs'!$B$33,'Inputs'!$B$29+'Inputs'!$B$31+'Inputs'!$B$32,'Inputs'!$B$30+'Inputs'!$B$31+'Inputs'!$B$32)/1000+'Inputs'!$B$21+'Inputs'!$B$9+'Inputs'!$B$10)+'Inputs'!$B$7)/SQRT((((687-43)*MAX('Inputs'!$B$33,'Inputs'!$B$29+'Inputs'!$B$31+'Inputs'!$B$32,'Inputs'!$B$30+'Inputs'!$B$31+'Inputs'!$B$32)/1000+'Inputs'!$B$21+'Inputs'!$B$9+'Inputs'!$B$10)+'Inputs'!$B$7)^2+('Inputs'!$B$6/2)^2)-(((687-43)*MAX('Inputs'!$B$33,'Inputs'!$B$29+'Inputs'!$B$31+'Inputs'!$B$32,'Inputs'!$B$30+'Inputs'!$B$31+'Inputs'!$B$32)/1000+'Inputs'!$B$21+'Inputs'!$B$9+'Inputs'!$B$10))/SQRT((((687-43)*MAX('Inputs'!$B$33,'Inputs'!$B$29+'Inputs'!$B$31+'Inputs'!$B$32,'Inputs'!$B$30+'Inputs'!$B$31+'Inputs'!$B$32)/1000+'Inputs'!$B$21+'Inputs'!$B$9+'Inputs'!$B$10))^2+('Inputs'!$B$6/2)^2))))*'Results'!$B$8))),"")</x:f>
        <x:v>1.8209366896465289</x:v>
      </x:c>
      <x:c r="P687" t="n">
        <x:f>IF(AND(MAX(J687,J686)&gt;0,J687&gt;J686+0.00000001),1,0)</x:f>
        <x:v>0</x:v>
      </x:c>
      <x:c r="Q687" t="n">
        <x:f>IF(AND(MAX(K687,K686)&gt;0,K687&gt;K686+0.00000001),1,0)</x:f>
        <x:v>0</x:v>
      </x:c>
      <x:c r="R687" t="n">
        <x:f>IF(AND(MAX(L687,L686)&gt;0,L687&gt;L686+0.00000001),1,0)</x:f>
        <x:v>0</x:v>
      </x:c>
      <x:c r="S687" t="n">
        <x:f>IF(AND(MAX(M687,M686)&gt;0,M687&gt;M686+0.00000001),1,0)</x:f>
        <x:v>0</x:v>
      </x:c>
      <x:c r="T687" t="n">
        <x:f>IF(AND(MAX(N687,N686)&gt;0,N687&gt;N686+0.00000001),1,0)</x:f>
        <x:v>0</x:v>
      </x:c>
      <x:c r="U687" t="n">
        <x:f>IF(AND(MAX(O687,O686)&gt;0,O687&gt;O686+0.00000001),1,0)</x:f>
        <x:v>0</x:v>
      </x:c>
    </x:row>
    <x:row r="688">
      <x:c r="J688" t="n">
        <x:f>IF(AND(ISNUMBER('Results'!B7),ISNUMBER('Results'!C7),ISNUMBER('Results'!$B$8),ISNUMBER('Inputs'!$B$6),ISNUMBER('Inputs'!$B$7),ISNUMBER('Inputs'!$B$8),ISNUMBER('Inputs'!$B$9),ISNUMBER('Inputs'!$B$10),ISNUMBER('Inputs'!$B$21),ISNUMBER('Inputs'!$B$24),ISNUMBER('Inputs'!$B$28)),(('Results'!B7*(0.5*((((688-43)*MAX('Inputs'!$B$33,'Inputs'!$B$29+'Inputs'!$B$31+'Inputs'!$B$32,'Inputs'!$B$30+'Inputs'!$B$31+'Inputs'!$B$32)/1000+'Inputs'!$B$21)+'Inputs'!$B$7)/SQRT((((688-43)*MAX('Inputs'!$B$33,'Inputs'!$B$29+'Inputs'!$B$31+'Inputs'!$B$32,'Inputs'!$B$30+'Inputs'!$B$31+'Inputs'!$B$32)/1000+'Inputs'!$B$21)+'Inputs'!$B$7)^2+('Inputs'!$B$6/2)^2)-(((688-43)*MAX('Inputs'!$B$33,'Inputs'!$B$29+'Inputs'!$B$31+'Inputs'!$B$32,'Inputs'!$B$30+'Inputs'!$B$31+'Inputs'!$B$32)/1000+'Inputs'!$B$21))/SQRT((((688-43)*MAX('Inputs'!$B$33,'Inputs'!$B$29+'Inputs'!$B$31+'Inputs'!$B$32,'Inputs'!$B$30+'Inputs'!$B$31+'Inputs'!$B$32)/1000+'Inputs'!$B$21))^2+('Inputs'!$B$6/2)^2)))-'Results'!C7*(0.5*((((688-43)*MAX('Inputs'!$B$33,'Inputs'!$B$29+'Inputs'!$B$31+'Inputs'!$B$32,'Inputs'!$B$30+'Inputs'!$B$31+'Inputs'!$B$32)/1000+'Inputs'!$B$21+'Inputs'!$B$7+'Inputs'!$B$10)+'Inputs'!$B$9)/SQRT((((688-43)*MAX('Inputs'!$B$33,'Inputs'!$B$29+'Inputs'!$B$31+'Inputs'!$B$32,'Inputs'!$B$30+'Inputs'!$B$31+'Inputs'!$B$32)/1000+'Inputs'!$B$21+'Inputs'!$B$7+'Inputs'!$B$10)+'Inputs'!$B$9)^2+('Inputs'!$B$8/2)^2)-(((688-43)*MAX('Inputs'!$B$33,'Inputs'!$B$29+'Inputs'!$B$31+'Inputs'!$B$32,'Inputs'!$B$30+'Inputs'!$B$31+'Inputs'!$B$32)/1000+'Inputs'!$B$21+'Inputs'!$B$7+'Inputs'!$B$10))/SQRT((((688-43)*MAX('Inputs'!$B$33,'Inputs'!$B$29+'Inputs'!$B$31+'Inputs'!$B$32,'Inputs'!$B$30+'Inputs'!$B$31+'Inputs'!$B$32)/1000+'Inputs'!$B$21+'Inputs'!$B$7+'Inputs'!$B$10))^2+('Inputs'!$B$8/2)^2))))*'Results'!$B$8),"")</x:f>
        <x:v>1.7265453186239117</x:v>
      </x:c>
      <x:c r="K688" t="n">
        <x:f>IF(AND(ISNUMBER('Results'!B7),ISNUMBER('Results'!C7),ISNUMBER('Results'!$B$8),ISNUMBER('Inputs'!$B$6),ISNUMBER('Inputs'!$B$7),ISNUMBER('Inputs'!$B$8),ISNUMBER('Inputs'!$B$9),ISNUMBER('Inputs'!$B$10),ISNUMBER('Inputs'!$B$21),ISNUMBER('Inputs'!$B$24),ISNUMBER('Inputs'!$B$28)),((('Results'!B7*(1-'Inputs'!$B$24)*(0.5*((((688-43)*MAX('Inputs'!$B$33,'Inputs'!$B$29+'Inputs'!$B$31+'Inputs'!$B$32,'Inputs'!$B$30+'Inputs'!$B$31+'Inputs'!$B$32)/1000+'Inputs'!$B$21)+'Inputs'!$B$7)/SQRT((((688-43)*MAX('Inputs'!$B$33,'Inputs'!$B$29+'Inputs'!$B$31+'Inputs'!$B$32,'Inputs'!$B$30+'Inputs'!$B$31+'Inputs'!$B$32)/1000+'Inputs'!$B$21)+'Inputs'!$B$7)^2+('Inputs'!$B$6/2)^2)-(((688-43)*MAX('Inputs'!$B$33,'Inputs'!$B$29+'Inputs'!$B$31+'Inputs'!$B$32,'Inputs'!$B$30+'Inputs'!$B$31+'Inputs'!$B$32)/1000+'Inputs'!$B$21))/SQRT((((688-43)*MAX('Inputs'!$B$33,'Inputs'!$B$29+'Inputs'!$B$31+'Inputs'!$B$32,'Inputs'!$B$30+'Inputs'!$B$31+'Inputs'!$B$32)/1000+'Inputs'!$B$21))^2+('Inputs'!$B$6/2)^2)))-'Results'!C7*(1+'Inputs'!$B$24)*(0.5*((((688-43)*MAX('Inputs'!$B$33,'Inputs'!$B$29+'Inputs'!$B$31+'Inputs'!$B$32,'Inputs'!$B$30+'Inputs'!$B$31+'Inputs'!$B$32)/1000+'Inputs'!$B$21+'Inputs'!$B$7+'Inputs'!$B$10)+'Inputs'!$B$9)/SQRT((((688-43)*MAX('Inputs'!$B$33,'Inputs'!$B$29+'Inputs'!$B$31+'Inputs'!$B$32,'Inputs'!$B$30+'Inputs'!$B$31+'Inputs'!$B$32)/1000+'Inputs'!$B$21+'Inputs'!$B$7+'Inputs'!$B$10)+'Inputs'!$B$9)^2+('Inputs'!$B$8/2)^2)-(((688-43)*MAX('Inputs'!$B$33,'Inputs'!$B$29+'Inputs'!$B$31+'Inputs'!$B$32,'Inputs'!$B$30+'Inputs'!$B$31+'Inputs'!$B$32)/1000+'Inputs'!$B$21+'Inputs'!$B$7+'Inputs'!$B$10))/SQRT((((688-43)*MAX('Inputs'!$B$33,'Inputs'!$B$29+'Inputs'!$B$31+'Inputs'!$B$32,'Inputs'!$B$30+'Inputs'!$B$31+'Inputs'!$B$32)/1000+'Inputs'!$B$21+'Inputs'!$B$7+'Inputs'!$B$10))^2+('Inputs'!$B$8/2)^2))))*'Results'!$B$8)-'Inputs'!$B$28*ABS((('Results'!B7*(1-'Inputs'!$B$24)*(0.5*((((688-43)*MAX('Inputs'!$B$33,'Inputs'!$B$29+'Inputs'!$B$31+'Inputs'!$B$32,'Inputs'!$B$30+'Inputs'!$B$31+'Inputs'!$B$32)/1000+'Inputs'!$B$21)+'Inputs'!$B$7)/SQRT((((688-43)*MAX('Inputs'!$B$33,'Inputs'!$B$29+'Inputs'!$B$31+'Inputs'!$B$32,'Inputs'!$B$30+'Inputs'!$B$31+'Inputs'!$B$32)/1000+'Inputs'!$B$21)+'Inputs'!$B$7)^2+('Inputs'!$B$6/2)^2)-(((688-43)*MAX('Inputs'!$B$33,'Inputs'!$B$29+'Inputs'!$B$31+'Inputs'!$B$32,'Inputs'!$B$30+'Inputs'!$B$31+'Inputs'!$B$32)/1000+'Inputs'!$B$21))/SQRT((((688-43)*MAX('Inputs'!$B$33,'Inputs'!$B$29+'Inputs'!$B$31+'Inputs'!$B$32,'Inputs'!$B$30+'Inputs'!$B$31+'Inputs'!$B$32)/1000+'Inputs'!$B$21))^2+('Inputs'!$B$6/2)^2)))-'Results'!C7*(1+'Inputs'!$B$24)*(0.5*((((688-43)*MAX('Inputs'!$B$33,'Inputs'!$B$29+'Inputs'!$B$31+'Inputs'!$B$32,'Inputs'!$B$30+'Inputs'!$B$31+'Inputs'!$B$32)/1000+'Inputs'!$B$21+'Inputs'!$B$7+'Inputs'!$B$10)+'Inputs'!$B$9)/SQRT((((688-43)*MAX('Inputs'!$B$33,'Inputs'!$B$29+'Inputs'!$B$31+'Inputs'!$B$32,'Inputs'!$B$30+'Inputs'!$B$31+'Inputs'!$B$32)/1000+'Inputs'!$B$21+'Inputs'!$B$7+'Inputs'!$B$10)+'Inputs'!$B$9)^2+('Inputs'!$B$8/2)^2)-(((688-43)*MAX('Inputs'!$B$33,'Inputs'!$B$29+'Inputs'!$B$31+'Inputs'!$B$32,'Inputs'!$B$30+'Inputs'!$B$31+'Inputs'!$B$32)/1000+'Inputs'!$B$21+'Inputs'!$B$7+'Inputs'!$B$10))/SQRT((((688-43)*MAX('Inputs'!$B$33,'Inputs'!$B$29+'Inputs'!$B$31+'Inputs'!$B$32,'Inputs'!$B$30+'Inputs'!$B$31+'Inputs'!$B$32)/1000+'Inputs'!$B$21+'Inputs'!$B$7+'Inputs'!$B$10))^2+('Inputs'!$B$8/2)^2))))*'Results'!$B$8))),"")</x:f>
        <x:v>1.50427469485962</x:v>
      </x:c>
      <x:c r="L688" t="n">
        <x:f>IF(AND(ISNUMBER('Results'!B7),ISNUMBER('Results'!C7),ISNUMBER('Results'!$B$8),ISNUMBER('Inputs'!$B$6),ISNUMBER('Inputs'!$B$7),ISNUMBER('Inputs'!$B$8),ISNUMBER('Inputs'!$B$9),ISNUMBER('Inputs'!$B$10),ISNUMBER('Inputs'!$B$21),ISNUMBER('Inputs'!$B$24),ISNUMBER('Inputs'!$B$28)),((('Results'!B7*(1+'Inputs'!$B$24)*(0.5*((((688-43)*MAX('Inputs'!$B$33,'Inputs'!$B$29+'Inputs'!$B$31+'Inputs'!$B$32,'Inputs'!$B$30+'Inputs'!$B$31+'Inputs'!$B$32)/1000+'Inputs'!$B$21)+'Inputs'!$B$7)/SQRT((((688-43)*MAX('Inputs'!$B$33,'Inputs'!$B$29+'Inputs'!$B$31+'Inputs'!$B$32,'Inputs'!$B$30+'Inputs'!$B$31+'Inputs'!$B$32)/1000+'Inputs'!$B$21)+'Inputs'!$B$7)^2+('Inputs'!$B$6/2)^2)-(((688-43)*MAX('Inputs'!$B$33,'Inputs'!$B$29+'Inputs'!$B$31+'Inputs'!$B$32,'Inputs'!$B$30+'Inputs'!$B$31+'Inputs'!$B$32)/1000+'Inputs'!$B$21))/SQRT((((688-43)*MAX('Inputs'!$B$33,'Inputs'!$B$29+'Inputs'!$B$31+'Inputs'!$B$32,'Inputs'!$B$30+'Inputs'!$B$31+'Inputs'!$B$32)/1000+'Inputs'!$B$21))^2+('Inputs'!$B$6/2)^2)))-'Results'!C7*(1-'Inputs'!$B$24)*(0.5*((((688-43)*MAX('Inputs'!$B$33,'Inputs'!$B$29+'Inputs'!$B$31+'Inputs'!$B$32,'Inputs'!$B$30+'Inputs'!$B$31+'Inputs'!$B$32)/1000+'Inputs'!$B$21+'Inputs'!$B$7+'Inputs'!$B$10)+'Inputs'!$B$9)/SQRT((((688-43)*MAX('Inputs'!$B$33,'Inputs'!$B$29+'Inputs'!$B$31+'Inputs'!$B$32,'Inputs'!$B$30+'Inputs'!$B$31+'Inputs'!$B$32)/1000+'Inputs'!$B$21+'Inputs'!$B$7+'Inputs'!$B$10)+'Inputs'!$B$9)^2+('Inputs'!$B$8/2)^2)-(((688-43)*MAX('Inputs'!$B$33,'Inputs'!$B$29+'Inputs'!$B$31+'Inputs'!$B$32,'Inputs'!$B$30+'Inputs'!$B$31+'Inputs'!$B$32)/1000+'Inputs'!$B$21+'Inputs'!$B$7+'Inputs'!$B$10))/SQRT((((688-43)*MAX('Inputs'!$B$33,'Inputs'!$B$29+'Inputs'!$B$31+'Inputs'!$B$32,'Inputs'!$B$30+'Inputs'!$B$31+'Inputs'!$B$32)/1000+'Inputs'!$B$21+'Inputs'!$B$7+'Inputs'!$B$10))^2+('Inputs'!$B$8/2)^2))))*'Results'!$B$8)+'Inputs'!$B$28*ABS((('Results'!B7*(1+'Inputs'!$B$24)*(0.5*((((688-43)*MAX('Inputs'!$B$33,'Inputs'!$B$29+'Inputs'!$B$31+'Inputs'!$B$32,'Inputs'!$B$30+'Inputs'!$B$31+'Inputs'!$B$32)/1000+'Inputs'!$B$21)+'Inputs'!$B$7)/SQRT((((688-43)*MAX('Inputs'!$B$33,'Inputs'!$B$29+'Inputs'!$B$31+'Inputs'!$B$32,'Inputs'!$B$30+'Inputs'!$B$31+'Inputs'!$B$32)/1000+'Inputs'!$B$21)+'Inputs'!$B$7)^2+('Inputs'!$B$6/2)^2)-(((688-43)*MAX('Inputs'!$B$33,'Inputs'!$B$29+'Inputs'!$B$31+'Inputs'!$B$32,'Inputs'!$B$30+'Inputs'!$B$31+'Inputs'!$B$32)/1000+'Inputs'!$B$21))/SQRT((((688-43)*MAX('Inputs'!$B$33,'Inputs'!$B$29+'Inputs'!$B$31+'Inputs'!$B$32,'Inputs'!$B$30+'Inputs'!$B$31+'Inputs'!$B$32)/1000+'Inputs'!$B$21))^2+('Inputs'!$B$6/2)^2)))-'Results'!C7*(1-'Inputs'!$B$24)*(0.5*((((688-43)*MAX('Inputs'!$B$33,'Inputs'!$B$29+'Inputs'!$B$31+'Inputs'!$B$32,'Inputs'!$B$30+'Inputs'!$B$31+'Inputs'!$B$32)/1000+'Inputs'!$B$21+'Inputs'!$B$7+'Inputs'!$B$10)+'Inputs'!$B$9)/SQRT((((688-43)*MAX('Inputs'!$B$33,'Inputs'!$B$29+'Inputs'!$B$31+'Inputs'!$B$32,'Inputs'!$B$30+'Inputs'!$B$31+'Inputs'!$B$32)/1000+'Inputs'!$B$21+'Inputs'!$B$7+'Inputs'!$B$10)+'Inputs'!$B$9)^2+('Inputs'!$B$8/2)^2)-(((688-43)*MAX('Inputs'!$B$33,'Inputs'!$B$29+'Inputs'!$B$31+'Inputs'!$B$32,'Inputs'!$B$30+'Inputs'!$B$31+'Inputs'!$B$32)/1000+'Inputs'!$B$21+'Inputs'!$B$7+'Inputs'!$B$10))/SQRT((((688-43)*MAX('Inputs'!$B$33,'Inputs'!$B$29+'Inputs'!$B$31+'Inputs'!$B$32,'Inputs'!$B$30+'Inputs'!$B$31+'Inputs'!$B$32)/1000+'Inputs'!$B$21+'Inputs'!$B$7+'Inputs'!$B$10))^2+('Inputs'!$B$8/2)^2))))*'Results'!$B$8))),"")</x:f>
        <x:v>1.9631257695285298</x:v>
      </x:c>
      <x:c r="M688" t="n">
        <x:f>IF(AND(ISNUMBER('Results'!C7),ISNUMBER('Results'!B7),ISNUMBER('Results'!$B$8),ISNUMBER('Inputs'!$B$6),ISNUMBER('Inputs'!$B$7),ISNUMBER('Inputs'!$B$8),ISNUMBER('Inputs'!$B$9),ISNUMBER('Inputs'!$B$10),ISNUMBER('Inputs'!$B$21),ISNUMBER('Inputs'!$B$24),ISNUMBER('Inputs'!$B$28)),(('Results'!C7*(0.5*((((688-43)*MAX('Inputs'!$B$33,'Inputs'!$B$29+'Inputs'!$B$31+'Inputs'!$B$32,'Inputs'!$B$30+'Inputs'!$B$31+'Inputs'!$B$32)/1000+'Inputs'!$B$21)+'Inputs'!$B$9)/SQRT((((688-43)*MAX('Inputs'!$B$33,'Inputs'!$B$29+'Inputs'!$B$31+'Inputs'!$B$32,'Inputs'!$B$30+'Inputs'!$B$31+'Inputs'!$B$32)/1000+'Inputs'!$B$21)+'Inputs'!$B$9)^2+('Inputs'!$B$8/2)^2)-(((688-43)*MAX('Inputs'!$B$33,'Inputs'!$B$29+'Inputs'!$B$31+'Inputs'!$B$32,'Inputs'!$B$30+'Inputs'!$B$31+'Inputs'!$B$32)/1000+'Inputs'!$B$21))/SQRT((((688-43)*MAX('Inputs'!$B$33,'Inputs'!$B$29+'Inputs'!$B$31+'Inputs'!$B$32,'Inputs'!$B$30+'Inputs'!$B$31+'Inputs'!$B$32)/1000+'Inputs'!$B$21))^2+('Inputs'!$B$8/2)^2)))-'Results'!B7*(0.5*((((688-43)*MAX('Inputs'!$B$33,'Inputs'!$B$29+'Inputs'!$B$31+'Inputs'!$B$32,'Inputs'!$B$30+'Inputs'!$B$31+'Inputs'!$B$32)/1000+'Inputs'!$B$21+'Inputs'!$B$9+'Inputs'!$B$10)+'Inputs'!$B$7)/SQRT((((688-43)*MAX('Inputs'!$B$33,'Inputs'!$B$29+'Inputs'!$B$31+'Inputs'!$B$32,'Inputs'!$B$30+'Inputs'!$B$31+'Inputs'!$B$32)/1000+'Inputs'!$B$21+'Inputs'!$B$9+'Inputs'!$B$10)+'Inputs'!$B$7)^2+('Inputs'!$B$6/2)^2)-(((688-43)*MAX('Inputs'!$B$33,'Inputs'!$B$29+'Inputs'!$B$31+'Inputs'!$B$32,'Inputs'!$B$30+'Inputs'!$B$31+'Inputs'!$B$32)/1000+'Inputs'!$B$21+'Inputs'!$B$9+'Inputs'!$B$10))/SQRT((((688-43)*MAX('Inputs'!$B$33,'Inputs'!$B$29+'Inputs'!$B$31+'Inputs'!$B$32,'Inputs'!$B$30+'Inputs'!$B$31+'Inputs'!$B$32)/1000+'Inputs'!$B$21+'Inputs'!$B$9+'Inputs'!$B$10))^2+('Inputs'!$B$6/2)^2))))*'Results'!$B$8),"")</x:f>
        <x:v>1.5823392169652368</x:v>
      </x:c>
      <x:c r="N688" t="n">
        <x:f>IF(AND(ISNUMBER('Results'!C7),ISNUMBER('Results'!B7),ISNUMBER('Results'!$B$8),ISNUMBER('Inputs'!$B$6),ISNUMBER('Inputs'!$B$7),ISNUMBER('Inputs'!$B$8),ISNUMBER('Inputs'!$B$9),ISNUMBER('Inputs'!$B$10),ISNUMBER('Inputs'!$B$21),ISNUMBER('Inputs'!$B$24),ISNUMBER('Inputs'!$B$28)),((('Results'!C7*(1-'Inputs'!$B$24)*(0.5*((((688-43)*MAX('Inputs'!$B$33,'Inputs'!$B$29+'Inputs'!$B$31+'Inputs'!$B$32,'Inputs'!$B$30+'Inputs'!$B$31+'Inputs'!$B$32)/1000+'Inputs'!$B$21)+'Inputs'!$B$9)/SQRT((((688-43)*MAX('Inputs'!$B$33,'Inputs'!$B$29+'Inputs'!$B$31+'Inputs'!$B$32,'Inputs'!$B$30+'Inputs'!$B$31+'Inputs'!$B$32)/1000+'Inputs'!$B$21)+'Inputs'!$B$9)^2+('Inputs'!$B$8/2)^2)-(((688-43)*MAX('Inputs'!$B$33,'Inputs'!$B$29+'Inputs'!$B$31+'Inputs'!$B$32,'Inputs'!$B$30+'Inputs'!$B$31+'Inputs'!$B$32)/1000+'Inputs'!$B$21))/SQRT((((688-43)*MAX('Inputs'!$B$33,'Inputs'!$B$29+'Inputs'!$B$31+'Inputs'!$B$32,'Inputs'!$B$30+'Inputs'!$B$31+'Inputs'!$B$32)/1000+'Inputs'!$B$21))^2+('Inputs'!$B$8/2)^2)))-'Results'!B7*(1+'Inputs'!$B$24)*(0.5*((((688-43)*MAX('Inputs'!$B$33,'Inputs'!$B$29+'Inputs'!$B$31+'Inputs'!$B$32,'Inputs'!$B$30+'Inputs'!$B$31+'Inputs'!$B$32)/1000+'Inputs'!$B$21+'Inputs'!$B$9+'Inputs'!$B$10)+'Inputs'!$B$7)/SQRT((((688-43)*MAX('Inputs'!$B$33,'Inputs'!$B$29+'Inputs'!$B$31+'Inputs'!$B$32,'Inputs'!$B$30+'Inputs'!$B$31+'Inputs'!$B$32)/1000+'Inputs'!$B$21+'Inputs'!$B$9+'Inputs'!$B$10)+'Inputs'!$B$7)^2+('Inputs'!$B$6/2)^2)-(((688-43)*MAX('Inputs'!$B$33,'Inputs'!$B$29+'Inputs'!$B$31+'Inputs'!$B$32,'Inputs'!$B$30+'Inputs'!$B$31+'Inputs'!$B$32)/1000+'Inputs'!$B$21+'Inputs'!$B$9+'Inputs'!$B$10))/SQRT((((688-43)*MAX('Inputs'!$B$33,'Inputs'!$B$29+'Inputs'!$B$31+'Inputs'!$B$32,'Inputs'!$B$30+'Inputs'!$B$31+'Inputs'!$B$32)/1000+'Inputs'!$B$21+'Inputs'!$B$9+'Inputs'!$B$10))^2+('Inputs'!$B$6/2)^2))))*'Results'!$B$8)-'Inputs'!$B$28*ABS((('Results'!C7*(1-'Inputs'!$B$24)*(0.5*((((688-43)*MAX('Inputs'!$B$33,'Inputs'!$B$29+'Inputs'!$B$31+'Inputs'!$B$32,'Inputs'!$B$30+'Inputs'!$B$31+'Inputs'!$B$32)/1000+'Inputs'!$B$21)+'Inputs'!$B$9)/SQRT((((688-43)*MAX('Inputs'!$B$33,'Inputs'!$B$29+'Inputs'!$B$31+'Inputs'!$B$32,'Inputs'!$B$30+'Inputs'!$B$31+'Inputs'!$B$32)/1000+'Inputs'!$B$21)+'Inputs'!$B$9)^2+('Inputs'!$B$8/2)^2)-(((688-43)*MAX('Inputs'!$B$33,'Inputs'!$B$29+'Inputs'!$B$31+'Inputs'!$B$32,'Inputs'!$B$30+'Inputs'!$B$31+'Inputs'!$B$32)/1000+'Inputs'!$B$21))/SQRT((((688-43)*MAX('Inputs'!$B$33,'Inputs'!$B$29+'Inputs'!$B$31+'Inputs'!$B$32,'Inputs'!$B$30+'Inputs'!$B$31+'Inputs'!$B$32)/1000+'Inputs'!$B$21))^2+('Inputs'!$B$8/2)^2)))-'Results'!B7*(1+'Inputs'!$B$24)*(0.5*((((688-43)*MAX('Inputs'!$B$33,'Inputs'!$B$29+'Inputs'!$B$31+'Inputs'!$B$32,'Inputs'!$B$30+'Inputs'!$B$31+'Inputs'!$B$32)/1000+'Inputs'!$B$21+'Inputs'!$B$9+'Inputs'!$B$10)+'Inputs'!$B$7)/SQRT((((688-43)*MAX('Inputs'!$B$33,'Inputs'!$B$29+'Inputs'!$B$31+'Inputs'!$B$32,'Inputs'!$B$30+'Inputs'!$B$31+'Inputs'!$B$32)/1000+'Inputs'!$B$21+'Inputs'!$B$9+'Inputs'!$B$10)+'Inputs'!$B$7)^2+('Inputs'!$B$6/2)^2)-(((688-43)*MAX('Inputs'!$B$33,'Inputs'!$B$29+'Inputs'!$B$31+'Inputs'!$B$32,'Inputs'!$B$30+'Inputs'!$B$31+'Inputs'!$B$32)/1000+'Inputs'!$B$21+'Inputs'!$B$9+'Inputs'!$B$10))/SQRT((((688-43)*MAX('Inputs'!$B$33,'Inputs'!$B$29+'Inputs'!$B$31+'Inputs'!$B$32,'Inputs'!$B$30+'Inputs'!$B$31+'Inputs'!$B$32)/1000+'Inputs'!$B$21+'Inputs'!$B$9+'Inputs'!$B$10))^2+('Inputs'!$B$6/2)^2))))*'Results'!$B$8))),"")</x:f>
        <x:v>1.367913936730103</x:v>
      </x:c>
      <x:c r="O688" t="n">
        <x:f>IF(AND(ISNUMBER('Results'!C7),ISNUMBER('Results'!B7),ISNUMBER('Results'!$B$8),ISNUMBER('Inputs'!$B$6),ISNUMBER('Inputs'!$B$7),ISNUMBER('Inputs'!$B$8),ISNUMBER('Inputs'!$B$9),ISNUMBER('Inputs'!$B$10),ISNUMBER('Inputs'!$B$21),ISNUMBER('Inputs'!$B$24),ISNUMBER('Inputs'!$B$28)),((('Results'!C7*(1+'Inputs'!$B$24)*(0.5*((((688-43)*MAX('Inputs'!$B$33,'Inputs'!$B$29+'Inputs'!$B$31+'Inputs'!$B$32,'Inputs'!$B$30+'Inputs'!$B$31+'Inputs'!$B$32)/1000+'Inputs'!$B$21)+'Inputs'!$B$9)/SQRT((((688-43)*MAX('Inputs'!$B$33,'Inputs'!$B$29+'Inputs'!$B$31+'Inputs'!$B$32,'Inputs'!$B$30+'Inputs'!$B$31+'Inputs'!$B$32)/1000+'Inputs'!$B$21)+'Inputs'!$B$9)^2+('Inputs'!$B$8/2)^2)-(((688-43)*MAX('Inputs'!$B$33,'Inputs'!$B$29+'Inputs'!$B$31+'Inputs'!$B$32,'Inputs'!$B$30+'Inputs'!$B$31+'Inputs'!$B$32)/1000+'Inputs'!$B$21))/SQRT((((688-43)*MAX('Inputs'!$B$33,'Inputs'!$B$29+'Inputs'!$B$31+'Inputs'!$B$32,'Inputs'!$B$30+'Inputs'!$B$31+'Inputs'!$B$32)/1000+'Inputs'!$B$21))^2+('Inputs'!$B$8/2)^2)))-'Results'!B7*(1-'Inputs'!$B$24)*(0.5*((((688-43)*MAX('Inputs'!$B$33,'Inputs'!$B$29+'Inputs'!$B$31+'Inputs'!$B$32,'Inputs'!$B$30+'Inputs'!$B$31+'Inputs'!$B$32)/1000+'Inputs'!$B$21+'Inputs'!$B$9+'Inputs'!$B$10)+'Inputs'!$B$7)/SQRT((((688-43)*MAX('Inputs'!$B$33,'Inputs'!$B$29+'Inputs'!$B$31+'Inputs'!$B$32,'Inputs'!$B$30+'Inputs'!$B$31+'Inputs'!$B$32)/1000+'Inputs'!$B$21+'Inputs'!$B$9+'Inputs'!$B$10)+'Inputs'!$B$7)^2+('Inputs'!$B$6/2)^2)-(((688-43)*MAX('Inputs'!$B$33,'Inputs'!$B$29+'Inputs'!$B$31+'Inputs'!$B$32,'Inputs'!$B$30+'Inputs'!$B$31+'Inputs'!$B$32)/1000+'Inputs'!$B$21+'Inputs'!$B$9+'Inputs'!$B$10))/SQRT((((688-43)*MAX('Inputs'!$B$33,'Inputs'!$B$29+'Inputs'!$B$31+'Inputs'!$B$32,'Inputs'!$B$30+'Inputs'!$B$31+'Inputs'!$B$32)/1000+'Inputs'!$B$21+'Inputs'!$B$9+'Inputs'!$B$10))^2+('Inputs'!$B$6/2)^2))))*'Results'!$B$8)+'Inputs'!$B$28*ABS((('Results'!C7*(1+'Inputs'!$B$24)*(0.5*((((688-43)*MAX('Inputs'!$B$33,'Inputs'!$B$29+'Inputs'!$B$31+'Inputs'!$B$32,'Inputs'!$B$30+'Inputs'!$B$31+'Inputs'!$B$32)/1000+'Inputs'!$B$21)+'Inputs'!$B$9)/SQRT((((688-43)*MAX('Inputs'!$B$33,'Inputs'!$B$29+'Inputs'!$B$31+'Inputs'!$B$32,'Inputs'!$B$30+'Inputs'!$B$31+'Inputs'!$B$32)/1000+'Inputs'!$B$21)+'Inputs'!$B$9)^2+('Inputs'!$B$8/2)^2)-(((688-43)*MAX('Inputs'!$B$33,'Inputs'!$B$29+'Inputs'!$B$31+'Inputs'!$B$32,'Inputs'!$B$30+'Inputs'!$B$31+'Inputs'!$B$32)/1000+'Inputs'!$B$21))/SQRT((((688-43)*MAX('Inputs'!$B$33,'Inputs'!$B$29+'Inputs'!$B$31+'Inputs'!$B$32,'Inputs'!$B$30+'Inputs'!$B$31+'Inputs'!$B$32)/1000+'Inputs'!$B$21))^2+('Inputs'!$B$8/2)^2)))-'Results'!B7*(1-'Inputs'!$B$24)*(0.5*((((688-43)*MAX('Inputs'!$B$33,'Inputs'!$B$29+'Inputs'!$B$31+'Inputs'!$B$32,'Inputs'!$B$30+'Inputs'!$B$31+'Inputs'!$B$32)/1000+'Inputs'!$B$21+'Inputs'!$B$9+'Inputs'!$B$10)+'Inputs'!$B$7)/SQRT((((688-43)*MAX('Inputs'!$B$33,'Inputs'!$B$29+'Inputs'!$B$31+'Inputs'!$B$32,'Inputs'!$B$30+'Inputs'!$B$31+'Inputs'!$B$32)/1000+'Inputs'!$B$21+'Inputs'!$B$9+'Inputs'!$B$10)+'Inputs'!$B$7)^2+('Inputs'!$B$6/2)^2)-(((688-43)*MAX('Inputs'!$B$33,'Inputs'!$B$29+'Inputs'!$B$31+'Inputs'!$B$32,'Inputs'!$B$30+'Inputs'!$B$31+'Inputs'!$B$32)/1000+'Inputs'!$B$21+'Inputs'!$B$9+'Inputs'!$B$10))/SQRT((((688-43)*MAX('Inputs'!$B$33,'Inputs'!$B$29+'Inputs'!$B$31+'Inputs'!$B$32,'Inputs'!$B$30+'Inputs'!$B$31+'Inputs'!$B$32)/1000+'Inputs'!$B$21+'Inputs'!$B$9+'Inputs'!$B$10))^2+('Inputs'!$B$6/2)^2))))*'Results'!$B$8))),"")</x:f>
        <x:v>1.8110074781884633</x:v>
      </x:c>
      <x:c r="P688" t="n">
        <x:f>IF(AND(MAX(J688,J687)&gt;0,J688&gt;J687+0.00000001),1,0)</x:f>
        <x:v>0</x:v>
      </x:c>
      <x:c r="Q688" t="n">
        <x:f>IF(AND(MAX(K688,K687)&gt;0,K688&gt;K687+0.00000001),1,0)</x:f>
        <x:v>0</x:v>
      </x:c>
      <x:c r="R688" t="n">
        <x:f>IF(AND(MAX(L688,L687)&gt;0,L688&gt;L687+0.00000001),1,0)</x:f>
        <x:v>0</x:v>
      </x:c>
      <x:c r="S688" t="n">
        <x:f>IF(AND(MAX(M688,M687)&gt;0,M688&gt;M687+0.00000001),1,0)</x:f>
        <x:v>0</x:v>
      </x:c>
      <x:c r="T688" t="n">
        <x:f>IF(AND(MAX(N688,N687)&gt;0,N688&gt;N687+0.00000001),1,0)</x:f>
        <x:v>0</x:v>
      </x:c>
      <x:c r="U688" t="n">
        <x:f>IF(AND(MAX(O688,O687)&gt;0,O688&gt;O687+0.00000001),1,0)</x:f>
        <x:v>0</x:v>
      </x:c>
    </x:row>
    <x:row r="689">
      <x:c r="J689" t="n">
        <x:f>IF(AND(ISNUMBER('Results'!B7),ISNUMBER('Results'!C7),ISNUMBER('Results'!$B$8),ISNUMBER('Inputs'!$B$6),ISNUMBER('Inputs'!$B$7),ISNUMBER('Inputs'!$B$8),ISNUMBER('Inputs'!$B$9),ISNUMBER('Inputs'!$B$10),ISNUMBER('Inputs'!$B$21),ISNUMBER('Inputs'!$B$24),ISNUMBER('Inputs'!$B$28)),(('Results'!B7*(0.5*((((689-43)*MAX('Inputs'!$B$33,'Inputs'!$B$29+'Inputs'!$B$31+'Inputs'!$B$32,'Inputs'!$B$30+'Inputs'!$B$31+'Inputs'!$B$32)/1000+'Inputs'!$B$21)+'Inputs'!$B$7)/SQRT((((689-43)*MAX('Inputs'!$B$33,'Inputs'!$B$29+'Inputs'!$B$31+'Inputs'!$B$32,'Inputs'!$B$30+'Inputs'!$B$31+'Inputs'!$B$32)/1000+'Inputs'!$B$21)+'Inputs'!$B$7)^2+('Inputs'!$B$6/2)^2)-(((689-43)*MAX('Inputs'!$B$33,'Inputs'!$B$29+'Inputs'!$B$31+'Inputs'!$B$32,'Inputs'!$B$30+'Inputs'!$B$31+'Inputs'!$B$32)/1000+'Inputs'!$B$21))/SQRT((((689-43)*MAX('Inputs'!$B$33,'Inputs'!$B$29+'Inputs'!$B$31+'Inputs'!$B$32,'Inputs'!$B$30+'Inputs'!$B$31+'Inputs'!$B$32)/1000+'Inputs'!$B$21))^2+('Inputs'!$B$6/2)^2)))-'Results'!C7*(0.5*((((689-43)*MAX('Inputs'!$B$33,'Inputs'!$B$29+'Inputs'!$B$31+'Inputs'!$B$32,'Inputs'!$B$30+'Inputs'!$B$31+'Inputs'!$B$32)/1000+'Inputs'!$B$21+'Inputs'!$B$7+'Inputs'!$B$10)+'Inputs'!$B$9)/SQRT((((689-43)*MAX('Inputs'!$B$33,'Inputs'!$B$29+'Inputs'!$B$31+'Inputs'!$B$32,'Inputs'!$B$30+'Inputs'!$B$31+'Inputs'!$B$32)/1000+'Inputs'!$B$21+'Inputs'!$B$7+'Inputs'!$B$10)+'Inputs'!$B$9)^2+('Inputs'!$B$8/2)^2)-(((689-43)*MAX('Inputs'!$B$33,'Inputs'!$B$29+'Inputs'!$B$31+'Inputs'!$B$32,'Inputs'!$B$30+'Inputs'!$B$31+'Inputs'!$B$32)/1000+'Inputs'!$B$21+'Inputs'!$B$7+'Inputs'!$B$10))/SQRT((((689-43)*MAX('Inputs'!$B$33,'Inputs'!$B$29+'Inputs'!$B$31+'Inputs'!$B$32,'Inputs'!$B$30+'Inputs'!$B$31+'Inputs'!$B$32)/1000+'Inputs'!$B$21+'Inputs'!$B$7+'Inputs'!$B$10))^2+('Inputs'!$B$8/2)^2))))*'Results'!$B$8),"")</x:f>
        <x:v>1.7171455974842733</x:v>
      </x:c>
      <x:c r="K689" t="n">
        <x:f>IF(AND(ISNUMBER('Results'!B7),ISNUMBER('Results'!C7),ISNUMBER('Results'!$B$8),ISNUMBER('Inputs'!$B$6),ISNUMBER('Inputs'!$B$7),ISNUMBER('Inputs'!$B$8),ISNUMBER('Inputs'!$B$9),ISNUMBER('Inputs'!$B$10),ISNUMBER('Inputs'!$B$21),ISNUMBER('Inputs'!$B$24),ISNUMBER('Inputs'!$B$28)),((('Results'!B7*(1-'Inputs'!$B$24)*(0.5*((((689-43)*MAX('Inputs'!$B$33,'Inputs'!$B$29+'Inputs'!$B$31+'Inputs'!$B$32,'Inputs'!$B$30+'Inputs'!$B$31+'Inputs'!$B$32)/1000+'Inputs'!$B$21)+'Inputs'!$B$7)/SQRT((((689-43)*MAX('Inputs'!$B$33,'Inputs'!$B$29+'Inputs'!$B$31+'Inputs'!$B$32,'Inputs'!$B$30+'Inputs'!$B$31+'Inputs'!$B$32)/1000+'Inputs'!$B$21)+'Inputs'!$B$7)^2+('Inputs'!$B$6/2)^2)-(((689-43)*MAX('Inputs'!$B$33,'Inputs'!$B$29+'Inputs'!$B$31+'Inputs'!$B$32,'Inputs'!$B$30+'Inputs'!$B$31+'Inputs'!$B$32)/1000+'Inputs'!$B$21))/SQRT((((689-43)*MAX('Inputs'!$B$33,'Inputs'!$B$29+'Inputs'!$B$31+'Inputs'!$B$32,'Inputs'!$B$30+'Inputs'!$B$31+'Inputs'!$B$32)/1000+'Inputs'!$B$21))^2+('Inputs'!$B$6/2)^2)))-'Results'!C7*(1+'Inputs'!$B$24)*(0.5*((((689-43)*MAX('Inputs'!$B$33,'Inputs'!$B$29+'Inputs'!$B$31+'Inputs'!$B$32,'Inputs'!$B$30+'Inputs'!$B$31+'Inputs'!$B$32)/1000+'Inputs'!$B$21+'Inputs'!$B$7+'Inputs'!$B$10)+'Inputs'!$B$9)/SQRT((((689-43)*MAX('Inputs'!$B$33,'Inputs'!$B$29+'Inputs'!$B$31+'Inputs'!$B$32,'Inputs'!$B$30+'Inputs'!$B$31+'Inputs'!$B$32)/1000+'Inputs'!$B$21+'Inputs'!$B$7+'Inputs'!$B$10)+'Inputs'!$B$9)^2+('Inputs'!$B$8/2)^2)-(((689-43)*MAX('Inputs'!$B$33,'Inputs'!$B$29+'Inputs'!$B$31+'Inputs'!$B$32,'Inputs'!$B$30+'Inputs'!$B$31+'Inputs'!$B$32)/1000+'Inputs'!$B$21+'Inputs'!$B$7+'Inputs'!$B$10))/SQRT((((689-43)*MAX('Inputs'!$B$33,'Inputs'!$B$29+'Inputs'!$B$31+'Inputs'!$B$32,'Inputs'!$B$30+'Inputs'!$B$31+'Inputs'!$B$32)/1000+'Inputs'!$B$21+'Inputs'!$B$7+'Inputs'!$B$10))^2+('Inputs'!$B$8/2)^2))))*'Results'!$B$8)-'Inputs'!$B$28*ABS((('Results'!B7*(1-'Inputs'!$B$24)*(0.5*((((689-43)*MAX('Inputs'!$B$33,'Inputs'!$B$29+'Inputs'!$B$31+'Inputs'!$B$32,'Inputs'!$B$30+'Inputs'!$B$31+'Inputs'!$B$32)/1000+'Inputs'!$B$21)+'Inputs'!$B$7)/SQRT((((689-43)*MAX('Inputs'!$B$33,'Inputs'!$B$29+'Inputs'!$B$31+'Inputs'!$B$32,'Inputs'!$B$30+'Inputs'!$B$31+'Inputs'!$B$32)/1000+'Inputs'!$B$21)+'Inputs'!$B$7)^2+('Inputs'!$B$6/2)^2)-(((689-43)*MAX('Inputs'!$B$33,'Inputs'!$B$29+'Inputs'!$B$31+'Inputs'!$B$32,'Inputs'!$B$30+'Inputs'!$B$31+'Inputs'!$B$32)/1000+'Inputs'!$B$21))/SQRT((((689-43)*MAX('Inputs'!$B$33,'Inputs'!$B$29+'Inputs'!$B$31+'Inputs'!$B$32,'Inputs'!$B$30+'Inputs'!$B$31+'Inputs'!$B$32)/1000+'Inputs'!$B$21))^2+('Inputs'!$B$6/2)^2)))-'Results'!C7*(1+'Inputs'!$B$24)*(0.5*((((689-43)*MAX('Inputs'!$B$33,'Inputs'!$B$29+'Inputs'!$B$31+'Inputs'!$B$32,'Inputs'!$B$30+'Inputs'!$B$31+'Inputs'!$B$32)/1000+'Inputs'!$B$21+'Inputs'!$B$7+'Inputs'!$B$10)+'Inputs'!$B$9)/SQRT((((689-43)*MAX('Inputs'!$B$33,'Inputs'!$B$29+'Inputs'!$B$31+'Inputs'!$B$32,'Inputs'!$B$30+'Inputs'!$B$31+'Inputs'!$B$32)/1000+'Inputs'!$B$21+'Inputs'!$B$7+'Inputs'!$B$10)+'Inputs'!$B$9)^2+('Inputs'!$B$8/2)^2)-(((689-43)*MAX('Inputs'!$B$33,'Inputs'!$B$29+'Inputs'!$B$31+'Inputs'!$B$32,'Inputs'!$B$30+'Inputs'!$B$31+'Inputs'!$B$32)/1000+'Inputs'!$B$21+'Inputs'!$B$7+'Inputs'!$B$10))/SQRT((((689-43)*MAX('Inputs'!$B$33,'Inputs'!$B$29+'Inputs'!$B$31+'Inputs'!$B$32,'Inputs'!$B$30+'Inputs'!$B$31+'Inputs'!$B$32)/1000+'Inputs'!$B$21+'Inputs'!$B$7+'Inputs'!$B$10))^2+('Inputs'!$B$8/2)^2))))*'Results'!$B$8))),"")</x:f>
        <x:v>1.4959157410758057</x:v>
      </x:c>
      <x:c r="L689" t="n">
        <x:f>IF(AND(ISNUMBER('Results'!B7),ISNUMBER('Results'!C7),ISNUMBER('Results'!$B$8),ISNUMBER('Inputs'!$B$6),ISNUMBER('Inputs'!$B$7),ISNUMBER('Inputs'!$B$8),ISNUMBER('Inputs'!$B$9),ISNUMBER('Inputs'!$B$10),ISNUMBER('Inputs'!$B$21),ISNUMBER('Inputs'!$B$24),ISNUMBER('Inputs'!$B$28)),((('Results'!B7*(1+'Inputs'!$B$24)*(0.5*((((689-43)*MAX('Inputs'!$B$33,'Inputs'!$B$29+'Inputs'!$B$31+'Inputs'!$B$32,'Inputs'!$B$30+'Inputs'!$B$31+'Inputs'!$B$32)/1000+'Inputs'!$B$21)+'Inputs'!$B$7)/SQRT((((689-43)*MAX('Inputs'!$B$33,'Inputs'!$B$29+'Inputs'!$B$31+'Inputs'!$B$32,'Inputs'!$B$30+'Inputs'!$B$31+'Inputs'!$B$32)/1000+'Inputs'!$B$21)+'Inputs'!$B$7)^2+('Inputs'!$B$6/2)^2)-(((689-43)*MAX('Inputs'!$B$33,'Inputs'!$B$29+'Inputs'!$B$31+'Inputs'!$B$32,'Inputs'!$B$30+'Inputs'!$B$31+'Inputs'!$B$32)/1000+'Inputs'!$B$21))/SQRT((((689-43)*MAX('Inputs'!$B$33,'Inputs'!$B$29+'Inputs'!$B$31+'Inputs'!$B$32,'Inputs'!$B$30+'Inputs'!$B$31+'Inputs'!$B$32)/1000+'Inputs'!$B$21))^2+('Inputs'!$B$6/2)^2)))-'Results'!C7*(1-'Inputs'!$B$24)*(0.5*((((689-43)*MAX('Inputs'!$B$33,'Inputs'!$B$29+'Inputs'!$B$31+'Inputs'!$B$32,'Inputs'!$B$30+'Inputs'!$B$31+'Inputs'!$B$32)/1000+'Inputs'!$B$21+'Inputs'!$B$7+'Inputs'!$B$10)+'Inputs'!$B$9)/SQRT((((689-43)*MAX('Inputs'!$B$33,'Inputs'!$B$29+'Inputs'!$B$31+'Inputs'!$B$32,'Inputs'!$B$30+'Inputs'!$B$31+'Inputs'!$B$32)/1000+'Inputs'!$B$21+'Inputs'!$B$7+'Inputs'!$B$10)+'Inputs'!$B$9)^2+('Inputs'!$B$8/2)^2)-(((689-43)*MAX('Inputs'!$B$33,'Inputs'!$B$29+'Inputs'!$B$31+'Inputs'!$B$32,'Inputs'!$B$30+'Inputs'!$B$31+'Inputs'!$B$32)/1000+'Inputs'!$B$21+'Inputs'!$B$7+'Inputs'!$B$10))/SQRT((((689-43)*MAX('Inputs'!$B$33,'Inputs'!$B$29+'Inputs'!$B$31+'Inputs'!$B$32,'Inputs'!$B$30+'Inputs'!$B$31+'Inputs'!$B$32)/1000+'Inputs'!$B$21+'Inputs'!$B$7+'Inputs'!$B$10))^2+('Inputs'!$B$8/2)^2))))*'Results'!$B$8)+'Inputs'!$B$28*ABS((('Results'!B7*(1+'Inputs'!$B$24)*(0.5*((((689-43)*MAX('Inputs'!$B$33,'Inputs'!$B$29+'Inputs'!$B$31+'Inputs'!$B$32,'Inputs'!$B$30+'Inputs'!$B$31+'Inputs'!$B$32)/1000+'Inputs'!$B$21)+'Inputs'!$B$7)/SQRT((((689-43)*MAX('Inputs'!$B$33,'Inputs'!$B$29+'Inputs'!$B$31+'Inputs'!$B$32,'Inputs'!$B$30+'Inputs'!$B$31+'Inputs'!$B$32)/1000+'Inputs'!$B$21)+'Inputs'!$B$7)^2+('Inputs'!$B$6/2)^2)-(((689-43)*MAX('Inputs'!$B$33,'Inputs'!$B$29+'Inputs'!$B$31+'Inputs'!$B$32,'Inputs'!$B$30+'Inputs'!$B$31+'Inputs'!$B$32)/1000+'Inputs'!$B$21))/SQRT((((689-43)*MAX('Inputs'!$B$33,'Inputs'!$B$29+'Inputs'!$B$31+'Inputs'!$B$32,'Inputs'!$B$30+'Inputs'!$B$31+'Inputs'!$B$32)/1000+'Inputs'!$B$21))^2+('Inputs'!$B$6/2)^2)))-'Results'!C7*(1-'Inputs'!$B$24)*(0.5*((((689-43)*MAX('Inputs'!$B$33,'Inputs'!$B$29+'Inputs'!$B$31+'Inputs'!$B$32,'Inputs'!$B$30+'Inputs'!$B$31+'Inputs'!$B$32)/1000+'Inputs'!$B$21+'Inputs'!$B$7+'Inputs'!$B$10)+'Inputs'!$B$9)/SQRT((((689-43)*MAX('Inputs'!$B$33,'Inputs'!$B$29+'Inputs'!$B$31+'Inputs'!$B$32,'Inputs'!$B$30+'Inputs'!$B$31+'Inputs'!$B$32)/1000+'Inputs'!$B$21+'Inputs'!$B$7+'Inputs'!$B$10)+'Inputs'!$B$9)^2+('Inputs'!$B$8/2)^2)-(((689-43)*MAX('Inputs'!$B$33,'Inputs'!$B$29+'Inputs'!$B$31+'Inputs'!$B$32,'Inputs'!$B$30+'Inputs'!$B$31+'Inputs'!$B$32)/1000+'Inputs'!$B$21+'Inputs'!$B$7+'Inputs'!$B$10))/SQRT((((689-43)*MAX('Inputs'!$B$33,'Inputs'!$B$29+'Inputs'!$B$31+'Inputs'!$B$32,'Inputs'!$B$30+'Inputs'!$B$31+'Inputs'!$B$32)/1000+'Inputs'!$B$21+'Inputs'!$B$7+'Inputs'!$B$10))^2+('Inputs'!$B$8/2)^2))))*'Results'!$B$8))),"")</x:f>
        <x:v>1.9526251987910845</x:v>
      </x:c>
      <x:c r="M689" t="n">
        <x:f>IF(AND(ISNUMBER('Results'!C7),ISNUMBER('Results'!B7),ISNUMBER('Results'!$B$8),ISNUMBER('Inputs'!$B$6),ISNUMBER('Inputs'!$B$7),ISNUMBER('Inputs'!$B$8),ISNUMBER('Inputs'!$B$9),ISNUMBER('Inputs'!$B$10),ISNUMBER('Inputs'!$B$21),ISNUMBER('Inputs'!$B$24),ISNUMBER('Inputs'!$B$28)),(('Results'!C7*(0.5*((((689-43)*MAX('Inputs'!$B$33,'Inputs'!$B$29+'Inputs'!$B$31+'Inputs'!$B$32,'Inputs'!$B$30+'Inputs'!$B$31+'Inputs'!$B$32)/1000+'Inputs'!$B$21)+'Inputs'!$B$9)/SQRT((((689-43)*MAX('Inputs'!$B$33,'Inputs'!$B$29+'Inputs'!$B$31+'Inputs'!$B$32,'Inputs'!$B$30+'Inputs'!$B$31+'Inputs'!$B$32)/1000+'Inputs'!$B$21)+'Inputs'!$B$9)^2+('Inputs'!$B$8/2)^2)-(((689-43)*MAX('Inputs'!$B$33,'Inputs'!$B$29+'Inputs'!$B$31+'Inputs'!$B$32,'Inputs'!$B$30+'Inputs'!$B$31+'Inputs'!$B$32)/1000+'Inputs'!$B$21))/SQRT((((689-43)*MAX('Inputs'!$B$33,'Inputs'!$B$29+'Inputs'!$B$31+'Inputs'!$B$32,'Inputs'!$B$30+'Inputs'!$B$31+'Inputs'!$B$32)/1000+'Inputs'!$B$21))^2+('Inputs'!$B$8/2)^2)))-'Results'!B7*(0.5*((((689-43)*MAX('Inputs'!$B$33,'Inputs'!$B$29+'Inputs'!$B$31+'Inputs'!$B$32,'Inputs'!$B$30+'Inputs'!$B$31+'Inputs'!$B$32)/1000+'Inputs'!$B$21+'Inputs'!$B$9+'Inputs'!$B$10)+'Inputs'!$B$7)/SQRT((((689-43)*MAX('Inputs'!$B$33,'Inputs'!$B$29+'Inputs'!$B$31+'Inputs'!$B$32,'Inputs'!$B$30+'Inputs'!$B$31+'Inputs'!$B$32)/1000+'Inputs'!$B$21+'Inputs'!$B$9+'Inputs'!$B$10)+'Inputs'!$B$7)^2+('Inputs'!$B$6/2)^2)-(((689-43)*MAX('Inputs'!$B$33,'Inputs'!$B$29+'Inputs'!$B$31+'Inputs'!$B$32,'Inputs'!$B$30+'Inputs'!$B$31+'Inputs'!$B$32)/1000+'Inputs'!$B$21+'Inputs'!$B$9+'Inputs'!$B$10))/SQRT((((689-43)*MAX('Inputs'!$B$33,'Inputs'!$B$29+'Inputs'!$B$31+'Inputs'!$B$32,'Inputs'!$B$30+'Inputs'!$B$31+'Inputs'!$B$32)/1000+'Inputs'!$B$21+'Inputs'!$B$9+'Inputs'!$B$10))^2+('Inputs'!$B$6/2)^2))))*'Results'!$B$8),"")</x:f>
        <x:v>1.5735445307760145</x:v>
      </x:c>
      <x:c r="N689" t="n">
        <x:f>IF(AND(ISNUMBER('Results'!C7),ISNUMBER('Results'!B7),ISNUMBER('Results'!$B$8),ISNUMBER('Inputs'!$B$6),ISNUMBER('Inputs'!$B$7),ISNUMBER('Inputs'!$B$8),ISNUMBER('Inputs'!$B$9),ISNUMBER('Inputs'!$B$10),ISNUMBER('Inputs'!$B$21),ISNUMBER('Inputs'!$B$24),ISNUMBER('Inputs'!$B$28)),((('Results'!C7*(1-'Inputs'!$B$24)*(0.5*((((689-43)*MAX('Inputs'!$B$33,'Inputs'!$B$29+'Inputs'!$B$31+'Inputs'!$B$32,'Inputs'!$B$30+'Inputs'!$B$31+'Inputs'!$B$32)/1000+'Inputs'!$B$21)+'Inputs'!$B$9)/SQRT((((689-43)*MAX('Inputs'!$B$33,'Inputs'!$B$29+'Inputs'!$B$31+'Inputs'!$B$32,'Inputs'!$B$30+'Inputs'!$B$31+'Inputs'!$B$32)/1000+'Inputs'!$B$21)+'Inputs'!$B$9)^2+('Inputs'!$B$8/2)^2)-(((689-43)*MAX('Inputs'!$B$33,'Inputs'!$B$29+'Inputs'!$B$31+'Inputs'!$B$32,'Inputs'!$B$30+'Inputs'!$B$31+'Inputs'!$B$32)/1000+'Inputs'!$B$21))/SQRT((((689-43)*MAX('Inputs'!$B$33,'Inputs'!$B$29+'Inputs'!$B$31+'Inputs'!$B$32,'Inputs'!$B$30+'Inputs'!$B$31+'Inputs'!$B$32)/1000+'Inputs'!$B$21))^2+('Inputs'!$B$8/2)^2)))-'Results'!B7*(1+'Inputs'!$B$24)*(0.5*((((689-43)*MAX('Inputs'!$B$33,'Inputs'!$B$29+'Inputs'!$B$31+'Inputs'!$B$32,'Inputs'!$B$30+'Inputs'!$B$31+'Inputs'!$B$32)/1000+'Inputs'!$B$21+'Inputs'!$B$9+'Inputs'!$B$10)+'Inputs'!$B$7)/SQRT((((689-43)*MAX('Inputs'!$B$33,'Inputs'!$B$29+'Inputs'!$B$31+'Inputs'!$B$32,'Inputs'!$B$30+'Inputs'!$B$31+'Inputs'!$B$32)/1000+'Inputs'!$B$21+'Inputs'!$B$9+'Inputs'!$B$10)+'Inputs'!$B$7)^2+('Inputs'!$B$6/2)^2)-(((689-43)*MAX('Inputs'!$B$33,'Inputs'!$B$29+'Inputs'!$B$31+'Inputs'!$B$32,'Inputs'!$B$30+'Inputs'!$B$31+'Inputs'!$B$32)/1000+'Inputs'!$B$21+'Inputs'!$B$9+'Inputs'!$B$10))/SQRT((((689-43)*MAX('Inputs'!$B$33,'Inputs'!$B$29+'Inputs'!$B$31+'Inputs'!$B$32,'Inputs'!$B$30+'Inputs'!$B$31+'Inputs'!$B$32)/1000+'Inputs'!$B$21+'Inputs'!$B$9+'Inputs'!$B$10))^2+('Inputs'!$B$6/2)^2))))*'Results'!$B$8)-'Inputs'!$B$28*ABS((('Results'!C7*(1-'Inputs'!$B$24)*(0.5*((((689-43)*MAX('Inputs'!$B$33,'Inputs'!$B$29+'Inputs'!$B$31+'Inputs'!$B$32,'Inputs'!$B$30+'Inputs'!$B$31+'Inputs'!$B$32)/1000+'Inputs'!$B$21)+'Inputs'!$B$9)/SQRT((((689-43)*MAX('Inputs'!$B$33,'Inputs'!$B$29+'Inputs'!$B$31+'Inputs'!$B$32,'Inputs'!$B$30+'Inputs'!$B$31+'Inputs'!$B$32)/1000+'Inputs'!$B$21)+'Inputs'!$B$9)^2+('Inputs'!$B$8/2)^2)-(((689-43)*MAX('Inputs'!$B$33,'Inputs'!$B$29+'Inputs'!$B$31+'Inputs'!$B$32,'Inputs'!$B$30+'Inputs'!$B$31+'Inputs'!$B$32)/1000+'Inputs'!$B$21))/SQRT((((689-43)*MAX('Inputs'!$B$33,'Inputs'!$B$29+'Inputs'!$B$31+'Inputs'!$B$32,'Inputs'!$B$30+'Inputs'!$B$31+'Inputs'!$B$32)/1000+'Inputs'!$B$21))^2+('Inputs'!$B$8/2)^2)))-'Results'!B7*(1+'Inputs'!$B$24)*(0.5*((((689-43)*MAX('Inputs'!$B$33,'Inputs'!$B$29+'Inputs'!$B$31+'Inputs'!$B$32,'Inputs'!$B$30+'Inputs'!$B$31+'Inputs'!$B$32)/1000+'Inputs'!$B$21+'Inputs'!$B$9+'Inputs'!$B$10)+'Inputs'!$B$7)/SQRT((((689-43)*MAX('Inputs'!$B$33,'Inputs'!$B$29+'Inputs'!$B$31+'Inputs'!$B$32,'Inputs'!$B$30+'Inputs'!$B$31+'Inputs'!$B$32)/1000+'Inputs'!$B$21+'Inputs'!$B$9+'Inputs'!$B$10)+'Inputs'!$B$7)^2+('Inputs'!$B$6/2)^2)-(((689-43)*MAX('Inputs'!$B$33,'Inputs'!$B$29+'Inputs'!$B$31+'Inputs'!$B$32,'Inputs'!$B$30+'Inputs'!$B$31+'Inputs'!$B$32)/1000+'Inputs'!$B$21+'Inputs'!$B$9+'Inputs'!$B$10))/SQRT((((689-43)*MAX('Inputs'!$B$33,'Inputs'!$B$29+'Inputs'!$B$31+'Inputs'!$B$32,'Inputs'!$B$30+'Inputs'!$B$31+'Inputs'!$B$32)/1000+'Inputs'!$B$21+'Inputs'!$B$9+'Inputs'!$B$10))^2+('Inputs'!$B$6/2)^2))))*'Results'!$B$8))),"")</x:f>
        <x:v>1.3601262742932305</x:v>
      </x:c>
      <x:c r="O689" t="n">
        <x:f>IF(AND(ISNUMBER('Results'!C7),ISNUMBER('Results'!B7),ISNUMBER('Results'!$B$8),ISNUMBER('Inputs'!$B$6),ISNUMBER('Inputs'!$B$7),ISNUMBER('Inputs'!$B$8),ISNUMBER('Inputs'!$B$9),ISNUMBER('Inputs'!$B$10),ISNUMBER('Inputs'!$B$21),ISNUMBER('Inputs'!$B$24),ISNUMBER('Inputs'!$B$28)),((('Results'!C7*(1+'Inputs'!$B$24)*(0.5*((((689-43)*MAX('Inputs'!$B$33,'Inputs'!$B$29+'Inputs'!$B$31+'Inputs'!$B$32,'Inputs'!$B$30+'Inputs'!$B$31+'Inputs'!$B$32)/1000+'Inputs'!$B$21)+'Inputs'!$B$9)/SQRT((((689-43)*MAX('Inputs'!$B$33,'Inputs'!$B$29+'Inputs'!$B$31+'Inputs'!$B$32,'Inputs'!$B$30+'Inputs'!$B$31+'Inputs'!$B$32)/1000+'Inputs'!$B$21)+'Inputs'!$B$9)^2+('Inputs'!$B$8/2)^2)-(((689-43)*MAX('Inputs'!$B$33,'Inputs'!$B$29+'Inputs'!$B$31+'Inputs'!$B$32,'Inputs'!$B$30+'Inputs'!$B$31+'Inputs'!$B$32)/1000+'Inputs'!$B$21))/SQRT((((689-43)*MAX('Inputs'!$B$33,'Inputs'!$B$29+'Inputs'!$B$31+'Inputs'!$B$32,'Inputs'!$B$30+'Inputs'!$B$31+'Inputs'!$B$32)/1000+'Inputs'!$B$21))^2+('Inputs'!$B$8/2)^2)))-'Results'!B7*(1-'Inputs'!$B$24)*(0.5*((((689-43)*MAX('Inputs'!$B$33,'Inputs'!$B$29+'Inputs'!$B$31+'Inputs'!$B$32,'Inputs'!$B$30+'Inputs'!$B$31+'Inputs'!$B$32)/1000+'Inputs'!$B$21+'Inputs'!$B$9+'Inputs'!$B$10)+'Inputs'!$B$7)/SQRT((((689-43)*MAX('Inputs'!$B$33,'Inputs'!$B$29+'Inputs'!$B$31+'Inputs'!$B$32,'Inputs'!$B$30+'Inputs'!$B$31+'Inputs'!$B$32)/1000+'Inputs'!$B$21+'Inputs'!$B$9+'Inputs'!$B$10)+'Inputs'!$B$7)^2+('Inputs'!$B$6/2)^2)-(((689-43)*MAX('Inputs'!$B$33,'Inputs'!$B$29+'Inputs'!$B$31+'Inputs'!$B$32,'Inputs'!$B$30+'Inputs'!$B$31+'Inputs'!$B$32)/1000+'Inputs'!$B$21+'Inputs'!$B$9+'Inputs'!$B$10))/SQRT((((689-43)*MAX('Inputs'!$B$33,'Inputs'!$B$29+'Inputs'!$B$31+'Inputs'!$B$32,'Inputs'!$B$30+'Inputs'!$B$31+'Inputs'!$B$32)/1000+'Inputs'!$B$21+'Inputs'!$B$9+'Inputs'!$B$10))^2+('Inputs'!$B$6/2)^2))))*'Results'!$B$8)+'Inputs'!$B$28*ABS((('Results'!C7*(1+'Inputs'!$B$24)*(0.5*((((689-43)*MAX('Inputs'!$B$33,'Inputs'!$B$29+'Inputs'!$B$31+'Inputs'!$B$32,'Inputs'!$B$30+'Inputs'!$B$31+'Inputs'!$B$32)/1000+'Inputs'!$B$21)+'Inputs'!$B$9)/SQRT((((689-43)*MAX('Inputs'!$B$33,'Inputs'!$B$29+'Inputs'!$B$31+'Inputs'!$B$32,'Inputs'!$B$30+'Inputs'!$B$31+'Inputs'!$B$32)/1000+'Inputs'!$B$21)+'Inputs'!$B$9)^2+('Inputs'!$B$8/2)^2)-(((689-43)*MAX('Inputs'!$B$33,'Inputs'!$B$29+'Inputs'!$B$31+'Inputs'!$B$32,'Inputs'!$B$30+'Inputs'!$B$31+'Inputs'!$B$32)/1000+'Inputs'!$B$21))/SQRT((((689-43)*MAX('Inputs'!$B$33,'Inputs'!$B$29+'Inputs'!$B$31+'Inputs'!$B$32,'Inputs'!$B$30+'Inputs'!$B$31+'Inputs'!$B$32)/1000+'Inputs'!$B$21))^2+('Inputs'!$B$8/2)^2)))-'Results'!B7*(1-'Inputs'!$B$24)*(0.5*((((689-43)*MAX('Inputs'!$B$33,'Inputs'!$B$29+'Inputs'!$B$31+'Inputs'!$B$32,'Inputs'!$B$30+'Inputs'!$B$31+'Inputs'!$B$32)/1000+'Inputs'!$B$21+'Inputs'!$B$9+'Inputs'!$B$10)+'Inputs'!$B$7)/SQRT((((689-43)*MAX('Inputs'!$B$33,'Inputs'!$B$29+'Inputs'!$B$31+'Inputs'!$B$32,'Inputs'!$B$30+'Inputs'!$B$31+'Inputs'!$B$32)/1000+'Inputs'!$B$21+'Inputs'!$B$9+'Inputs'!$B$10)+'Inputs'!$B$7)^2+('Inputs'!$B$6/2)^2)-(((689-43)*MAX('Inputs'!$B$33,'Inputs'!$B$29+'Inputs'!$B$31+'Inputs'!$B$32,'Inputs'!$B$30+'Inputs'!$B$31+'Inputs'!$B$32)/1000+'Inputs'!$B$21+'Inputs'!$B$9+'Inputs'!$B$10))/SQRT((((689-43)*MAX('Inputs'!$B$33,'Inputs'!$B$29+'Inputs'!$B$31+'Inputs'!$B$32,'Inputs'!$B$30+'Inputs'!$B$31+'Inputs'!$B$32)/1000+'Inputs'!$B$21+'Inputs'!$B$9+'Inputs'!$B$10))^2+('Inputs'!$B$6/2)^2))))*'Results'!$B$8))),"")</x:f>
        <x:v>1.8011460535686898</x:v>
      </x:c>
      <x:c r="P689" t="n">
        <x:f>IF(AND(MAX(J689,J688)&gt;0,J689&gt;J688+0.00000001),1,0)</x:f>
        <x:v>0</x:v>
      </x:c>
      <x:c r="Q689" t="n">
        <x:f>IF(AND(MAX(K689,K688)&gt;0,K689&gt;K688+0.00000001),1,0)</x:f>
        <x:v>0</x:v>
      </x:c>
      <x:c r="R689" t="n">
        <x:f>IF(AND(MAX(L689,L688)&gt;0,L689&gt;L688+0.00000001),1,0)</x:f>
        <x:v>0</x:v>
      </x:c>
      <x:c r="S689" t="n">
        <x:f>IF(AND(MAX(M689,M688)&gt;0,M689&gt;M688+0.00000001),1,0)</x:f>
        <x:v>0</x:v>
      </x:c>
      <x:c r="T689" t="n">
        <x:f>IF(AND(MAX(N689,N688)&gt;0,N689&gt;N688+0.00000001),1,0)</x:f>
        <x:v>0</x:v>
      </x:c>
      <x:c r="U689" t="n">
        <x:f>IF(AND(MAX(O689,O688)&gt;0,O689&gt;O688+0.00000001),1,0)</x:f>
        <x:v>0</x:v>
      </x:c>
    </x:row>
    <x:row r="690">
      <x:c r="J690" t="n">
        <x:f>IF(AND(ISNUMBER('Results'!B7),ISNUMBER('Results'!C7),ISNUMBER('Results'!$B$8),ISNUMBER('Inputs'!$B$6),ISNUMBER('Inputs'!$B$7),ISNUMBER('Inputs'!$B$8),ISNUMBER('Inputs'!$B$9),ISNUMBER('Inputs'!$B$10),ISNUMBER('Inputs'!$B$21),ISNUMBER('Inputs'!$B$24),ISNUMBER('Inputs'!$B$28)),(('Results'!B7*(0.5*((((690-43)*MAX('Inputs'!$B$33,'Inputs'!$B$29+'Inputs'!$B$31+'Inputs'!$B$32,'Inputs'!$B$30+'Inputs'!$B$31+'Inputs'!$B$32)/1000+'Inputs'!$B$21)+'Inputs'!$B$7)/SQRT((((690-43)*MAX('Inputs'!$B$33,'Inputs'!$B$29+'Inputs'!$B$31+'Inputs'!$B$32,'Inputs'!$B$30+'Inputs'!$B$31+'Inputs'!$B$32)/1000+'Inputs'!$B$21)+'Inputs'!$B$7)^2+('Inputs'!$B$6/2)^2)-(((690-43)*MAX('Inputs'!$B$33,'Inputs'!$B$29+'Inputs'!$B$31+'Inputs'!$B$32,'Inputs'!$B$30+'Inputs'!$B$31+'Inputs'!$B$32)/1000+'Inputs'!$B$21))/SQRT((((690-43)*MAX('Inputs'!$B$33,'Inputs'!$B$29+'Inputs'!$B$31+'Inputs'!$B$32,'Inputs'!$B$30+'Inputs'!$B$31+'Inputs'!$B$32)/1000+'Inputs'!$B$21))^2+('Inputs'!$B$6/2)^2)))-'Results'!C7*(0.5*((((690-43)*MAX('Inputs'!$B$33,'Inputs'!$B$29+'Inputs'!$B$31+'Inputs'!$B$32,'Inputs'!$B$30+'Inputs'!$B$31+'Inputs'!$B$32)/1000+'Inputs'!$B$21+'Inputs'!$B$7+'Inputs'!$B$10)+'Inputs'!$B$9)/SQRT((((690-43)*MAX('Inputs'!$B$33,'Inputs'!$B$29+'Inputs'!$B$31+'Inputs'!$B$32,'Inputs'!$B$30+'Inputs'!$B$31+'Inputs'!$B$32)/1000+'Inputs'!$B$21+'Inputs'!$B$7+'Inputs'!$B$10)+'Inputs'!$B$9)^2+('Inputs'!$B$8/2)^2)-(((690-43)*MAX('Inputs'!$B$33,'Inputs'!$B$29+'Inputs'!$B$31+'Inputs'!$B$32,'Inputs'!$B$30+'Inputs'!$B$31+'Inputs'!$B$32)/1000+'Inputs'!$B$21+'Inputs'!$B$7+'Inputs'!$B$10))/SQRT((((690-43)*MAX('Inputs'!$B$33,'Inputs'!$B$29+'Inputs'!$B$31+'Inputs'!$B$32,'Inputs'!$B$30+'Inputs'!$B$31+'Inputs'!$B$32)/1000+'Inputs'!$B$21+'Inputs'!$B$7+'Inputs'!$B$10))^2+('Inputs'!$B$8/2)^2))))*'Results'!$B$8),"")</x:f>
        <x:v>1.7078099530576456</x:v>
      </x:c>
      <x:c r="K690" t="n">
        <x:f>IF(AND(ISNUMBER('Results'!B7),ISNUMBER('Results'!C7),ISNUMBER('Results'!$B$8),ISNUMBER('Inputs'!$B$6),ISNUMBER('Inputs'!$B$7),ISNUMBER('Inputs'!$B$8),ISNUMBER('Inputs'!$B$9),ISNUMBER('Inputs'!$B$10),ISNUMBER('Inputs'!$B$21),ISNUMBER('Inputs'!$B$24),ISNUMBER('Inputs'!$B$28)),((('Results'!B7*(1-'Inputs'!$B$24)*(0.5*((((690-43)*MAX('Inputs'!$B$33,'Inputs'!$B$29+'Inputs'!$B$31+'Inputs'!$B$32,'Inputs'!$B$30+'Inputs'!$B$31+'Inputs'!$B$32)/1000+'Inputs'!$B$21)+'Inputs'!$B$7)/SQRT((((690-43)*MAX('Inputs'!$B$33,'Inputs'!$B$29+'Inputs'!$B$31+'Inputs'!$B$32,'Inputs'!$B$30+'Inputs'!$B$31+'Inputs'!$B$32)/1000+'Inputs'!$B$21)+'Inputs'!$B$7)^2+('Inputs'!$B$6/2)^2)-(((690-43)*MAX('Inputs'!$B$33,'Inputs'!$B$29+'Inputs'!$B$31+'Inputs'!$B$32,'Inputs'!$B$30+'Inputs'!$B$31+'Inputs'!$B$32)/1000+'Inputs'!$B$21))/SQRT((((690-43)*MAX('Inputs'!$B$33,'Inputs'!$B$29+'Inputs'!$B$31+'Inputs'!$B$32,'Inputs'!$B$30+'Inputs'!$B$31+'Inputs'!$B$32)/1000+'Inputs'!$B$21))^2+('Inputs'!$B$6/2)^2)))-'Results'!C7*(1+'Inputs'!$B$24)*(0.5*((((690-43)*MAX('Inputs'!$B$33,'Inputs'!$B$29+'Inputs'!$B$31+'Inputs'!$B$32,'Inputs'!$B$30+'Inputs'!$B$31+'Inputs'!$B$32)/1000+'Inputs'!$B$21+'Inputs'!$B$7+'Inputs'!$B$10)+'Inputs'!$B$9)/SQRT((((690-43)*MAX('Inputs'!$B$33,'Inputs'!$B$29+'Inputs'!$B$31+'Inputs'!$B$32,'Inputs'!$B$30+'Inputs'!$B$31+'Inputs'!$B$32)/1000+'Inputs'!$B$21+'Inputs'!$B$7+'Inputs'!$B$10)+'Inputs'!$B$9)^2+('Inputs'!$B$8/2)^2)-(((690-43)*MAX('Inputs'!$B$33,'Inputs'!$B$29+'Inputs'!$B$31+'Inputs'!$B$32,'Inputs'!$B$30+'Inputs'!$B$31+'Inputs'!$B$32)/1000+'Inputs'!$B$21+'Inputs'!$B$7+'Inputs'!$B$10))/SQRT((((690-43)*MAX('Inputs'!$B$33,'Inputs'!$B$29+'Inputs'!$B$31+'Inputs'!$B$32,'Inputs'!$B$30+'Inputs'!$B$31+'Inputs'!$B$32)/1000+'Inputs'!$B$21+'Inputs'!$B$7+'Inputs'!$B$10))^2+('Inputs'!$B$8/2)^2))))*'Results'!$B$8)-'Inputs'!$B$28*ABS((('Results'!B7*(1-'Inputs'!$B$24)*(0.5*((((690-43)*MAX('Inputs'!$B$33,'Inputs'!$B$29+'Inputs'!$B$31+'Inputs'!$B$32,'Inputs'!$B$30+'Inputs'!$B$31+'Inputs'!$B$32)/1000+'Inputs'!$B$21)+'Inputs'!$B$7)/SQRT((((690-43)*MAX('Inputs'!$B$33,'Inputs'!$B$29+'Inputs'!$B$31+'Inputs'!$B$32,'Inputs'!$B$30+'Inputs'!$B$31+'Inputs'!$B$32)/1000+'Inputs'!$B$21)+'Inputs'!$B$7)^2+('Inputs'!$B$6/2)^2)-(((690-43)*MAX('Inputs'!$B$33,'Inputs'!$B$29+'Inputs'!$B$31+'Inputs'!$B$32,'Inputs'!$B$30+'Inputs'!$B$31+'Inputs'!$B$32)/1000+'Inputs'!$B$21))/SQRT((((690-43)*MAX('Inputs'!$B$33,'Inputs'!$B$29+'Inputs'!$B$31+'Inputs'!$B$32,'Inputs'!$B$30+'Inputs'!$B$31+'Inputs'!$B$32)/1000+'Inputs'!$B$21))^2+('Inputs'!$B$6/2)^2)))-'Results'!C7*(1+'Inputs'!$B$24)*(0.5*((((690-43)*MAX('Inputs'!$B$33,'Inputs'!$B$29+'Inputs'!$B$31+'Inputs'!$B$32,'Inputs'!$B$30+'Inputs'!$B$31+'Inputs'!$B$32)/1000+'Inputs'!$B$21+'Inputs'!$B$7+'Inputs'!$B$10)+'Inputs'!$B$9)/SQRT((((690-43)*MAX('Inputs'!$B$33,'Inputs'!$B$29+'Inputs'!$B$31+'Inputs'!$B$32,'Inputs'!$B$30+'Inputs'!$B$31+'Inputs'!$B$32)/1000+'Inputs'!$B$21+'Inputs'!$B$7+'Inputs'!$B$10)+'Inputs'!$B$9)^2+('Inputs'!$B$8/2)^2)-(((690-43)*MAX('Inputs'!$B$33,'Inputs'!$B$29+'Inputs'!$B$31+'Inputs'!$B$32,'Inputs'!$B$30+'Inputs'!$B$31+'Inputs'!$B$32)/1000+'Inputs'!$B$21+'Inputs'!$B$7+'Inputs'!$B$10))/SQRT((((690-43)*MAX('Inputs'!$B$33,'Inputs'!$B$29+'Inputs'!$B$31+'Inputs'!$B$32,'Inputs'!$B$30+'Inputs'!$B$31+'Inputs'!$B$32)/1000+'Inputs'!$B$21+'Inputs'!$B$7+'Inputs'!$B$10))^2+('Inputs'!$B$8/2)^2))))*'Results'!$B$8))),"")</x:f>
        <x:v>1.4876144615558908</x:v>
      </x:c>
      <x:c r="L690" t="n">
        <x:f>IF(AND(ISNUMBER('Results'!B7),ISNUMBER('Results'!C7),ISNUMBER('Results'!$B$8),ISNUMBER('Inputs'!$B$6),ISNUMBER('Inputs'!$B$7),ISNUMBER('Inputs'!$B$8),ISNUMBER('Inputs'!$B$9),ISNUMBER('Inputs'!$B$10),ISNUMBER('Inputs'!$B$21),ISNUMBER('Inputs'!$B$24),ISNUMBER('Inputs'!$B$28)),((('Results'!B7*(1+'Inputs'!$B$24)*(0.5*((((690-43)*MAX('Inputs'!$B$33,'Inputs'!$B$29+'Inputs'!$B$31+'Inputs'!$B$32,'Inputs'!$B$30+'Inputs'!$B$31+'Inputs'!$B$32)/1000+'Inputs'!$B$21)+'Inputs'!$B$7)/SQRT((((690-43)*MAX('Inputs'!$B$33,'Inputs'!$B$29+'Inputs'!$B$31+'Inputs'!$B$32,'Inputs'!$B$30+'Inputs'!$B$31+'Inputs'!$B$32)/1000+'Inputs'!$B$21)+'Inputs'!$B$7)^2+('Inputs'!$B$6/2)^2)-(((690-43)*MAX('Inputs'!$B$33,'Inputs'!$B$29+'Inputs'!$B$31+'Inputs'!$B$32,'Inputs'!$B$30+'Inputs'!$B$31+'Inputs'!$B$32)/1000+'Inputs'!$B$21))/SQRT((((690-43)*MAX('Inputs'!$B$33,'Inputs'!$B$29+'Inputs'!$B$31+'Inputs'!$B$32,'Inputs'!$B$30+'Inputs'!$B$31+'Inputs'!$B$32)/1000+'Inputs'!$B$21))^2+('Inputs'!$B$6/2)^2)))-'Results'!C7*(1-'Inputs'!$B$24)*(0.5*((((690-43)*MAX('Inputs'!$B$33,'Inputs'!$B$29+'Inputs'!$B$31+'Inputs'!$B$32,'Inputs'!$B$30+'Inputs'!$B$31+'Inputs'!$B$32)/1000+'Inputs'!$B$21+'Inputs'!$B$7+'Inputs'!$B$10)+'Inputs'!$B$9)/SQRT((((690-43)*MAX('Inputs'!$B$33,'Inputs'!$B$29+'Inputs'!$B$31+'Inputs'!$B$32,'Inputs'!$B$30+'Inputs'!$B$31+'Inputs'!$B$32)/1000+'Inputs'!$B$21+'Inputs'!$B$7+'Inputs'!$B$10)+'Inputs'!$B$9)^2+('Inputs'!$B$8/2)^2)-(((690-43)*MAX('Inputs'!$B$33,'Inputs'!$B$29+'Inputs'!$B$31+'Inputs'!$B$32,'Inputs'!$B$30+'Inputs'!$B$31+'Inputs'!$B$32)/1000+'Inputs'!$B$21+'Inputs'!$B$7+'Inputs'!$B$10))/SQRT((((690-43)*MAX('Inputs'!$B$33,'Inputs'!$B$29+'Inputs'!$B$31+'Inputs'!$B$32,'Inputs'!$B$30+'Inputs'!$B$31+'Inputs'!$B$32)/1000+'Inputs'!$B$21+'Inputs'!$B$7+'Inputs'!$B$10))^2+('Inputs'!$B$8/2)^2))))*'Results'!$B$8)+'Inputs'!$B$28*ABS((('Results'!B7*(1+'Inputs'!$B$24)*(0.5*((((690-43)*MAX('Inputs'!$B$33,'Inputs'!$B$29+'Inputs'!$B$31+'Inputs'!$B$32,'Inputs'!$B$30+'Inputs'!$B$31+'Inputs'!$B$32)/1000+'Inputs'!$B$21)+'Inputs'!$B$7)/SQRT((((690-43)*MAX('Inputs'!$B$33,'Inputs'!$B$29+'Inputs'!$B$31+'Inputs'!$B$32,'Inputs'!$B$30+'Inputs'!$B$31+'Inputs'!$B$32)/1000+'Inputs'!$B$21)+'Inputs'!$B$7)^2+('Inputs'!$B$6/2)^2)-(((690-43)*MAX('Inputs'!$B$33,'Inputs'!$B$29+'Inputs'!$B$31+'Inputs'!$B$32,'Inputs'!$B$30+'Inputs'!$B$31+'Inputs'!$B$32)/1000+'Inputs'!$B$21))/SQRT((((690-43)*MAX('Inputs'!$B$33,'Inputs'!$B$29+'Inputs'!$B$31+'Inputs'!$B$32,'Inputs'!$B$30+'Inputs'!$B$31+'Inputs'!$B$32)/1000+'Inputs'!$B$21))^2+('Inputs'!$B$6/2)^2)))-'Results'!C7*(1-'Inputs'!$B$24)*(0.5*((((690-43)*MAX('Inputs'!$B$33,'Inputs'!$B$29+'Inputs'!$B$31+'Inputs'!$B$32,'Inputs'!$B$30+'Inputs'!$B$31+'Inputs'!$B$32)/1000+'Inputs'!$B$21+'Inputs'!$B$7+'Inputs'!$B$10)+'Inputs'!$B$9)/SQRT((((690-43)*MAX('Inputs'!$B$33,'Inputs'!$B$29+'Inputs'!$B$31+'Inputs'!$B$32,'Inputs'!$B$30+'Inputs'!$B$31+'Inputs'!$B$32)/1000+'Inputs'!$B$21+'Inputs'!$B$7+'Inputs'!$B$10)+'Inputs'!$B$9)^2+('Inputs'!$B$8/2)^2)-(((690-43)*MAX('Inputs'!$B$33,'Inputs'!$B$29+'Inputs'!$B$31+'Inputs'!$B$32,'Inputs'!$B$30+'Inputs'!$B$31+'Inputs'!$B$32)/1000+'Inputs'!$B$21+'Inputs'!$B$7+'Inputs'!$B$10))/SQRT((((690-43)*MAX('Inputs'!$B$33,'Inputs'!$B$29+'Inputs'!$B$31+'Inputs'!$B$32,'Inputs'!$B$30+'Inputs'!$B$31+'Inputs'!$B$32)/1000+'Inputs'!$B$21+'Inputs'!$B$7+'Inputs'!$B$10))^2+('Inputs'!$B$8/2)^2))))*'Results'!$B$8))),"")</x:f>
        <x:v>1.942195443911913</x:v>
      </x:c>
      <x:c r="M690" t="n">
        <x:f>IF(AND(ISNUMBER('Results'!C7),ISNUMBER('Results'!B7),ISNUMBER('Results'!$B$8),ISNUMBER('Inputs'!$B$6),ISNUMBER('Inputs'!$B$7),ISNUMBER('Inputs'!$B$8),ISNUMBER('Inputs'!$B$9),ISNUMBER('Inputs'!$B$10),ISNUMBER('Inputs'!$B$21),ISNUMBER('Inputs'!$B$24),ISNUMBER('Inputs'!$B$28)),(('Results'!C7*(0.5*((((690-43)*MAX('Inputs'!$B$33,'Inputs'!$B$29+'Inputs'!$B$31+'Inputs'!$B$32,'Inputs'!$B$30+'Inputs'!$B$31+'Inputs'!$B$32)/1000+'Inputs'!$B$21)+'Inputs'!$B$9)/SQRT((((690-43)*MAX('Inputs'!$B$33,'Inputs'!$B$29+'Inputs'!$B$31+'Inputs'!$B$32,'Inputs'!$B$30+'Inputs'!$B$31+'Inputs'!$B$32)/1000+'Inputs'!$B$21)+'Inputs'!$B$9)^2+('Inputs'!$B$8/2)^2)-(((690-43)*MAX('Inputs'!$B$33,'Inputs'!$B$29+'Inputs'!$B$31+'Inputs'!$B$32,'Inputs'!$B$30+'Inputs'!$B$31+'Inputs'!$B$32)/1000+'Inputs'!$B$21))/SQRT((((690-43)*MAX('Inputs'!$B$33,'Inputs'!$B$29+'Inputs'!$B$31+'Inputs'!$B$32,'Inputs'!$B$30+'Inputs'!$B$31+'Inputs'!$B$32)/1000+'Inputs'!$B$21))^2+('Inputs'!$B$8/2)^2)))-'Results'!B7*(0.5*((((690-43)*MAX('Inputs'!$B$33,'Inputs'!$B$29+'Inputs'!$B$31+'Inputs'!$B$32,'Inputs'!$B$30+'Inputs'!$B$31+'Inputs'!$B$32)/1000+'Inputs'!$B$21+'Inputs'!$B$9+'Inputs'!$B$10)+'Inputs'!$B$7)/SQRT((((690-43)*MAX('Inputs'!$B$33,'Inputs'!$B$29+'Inputs'!$B$31+'Inputs'!$B$32,'Inputs'!$B$30+'Inputs'!$B$31+'Inputs'!$B$32)/1000+'Inputs'!$B$21+'Inputs'!$B$9+'Inputs'!$B$10)+'Inputs'!$B$7)^2+('Inputs'!$B$6/2)^2)-(((690-43)*MAX('Inputs'!$B$33,'Inputs'!$B$29+'Inputs'!$B$31+'Inputs'!$B$32,'Inputs'!$B$30+'Inputs'!$B$31+'Inputs'!$B$32)/1000+'Inputs'!$B$21+'Inputs'!$B$9+'Inputs'!$B$10))/SQRT((((690-43)*MAX('Inputs'!$B$33,'Inputs'!$B$29+'Inputs'!$B$31+'Inputs'!$B$32,'Inputs'!$B$30+'Inputs'!$B$31+'Inputs'!$B$32)/1000+'Inputs'!$B$21+'Inputs'!$B$9+'Inputs'!$B$10))^2+('Inputs'!$B$6/2)^2))))*'Results'!$B$8),"")</x:f>
        <x:v>1.5648105330583946</x:v>
      </x:c>
      <x:c r="N690" t="n">
        <x:f>IF(AND(ISNUMBER('Results'!C7),ISNUMBER('Results'!B7),ISNUMBER('Results'!$B$8),ISNUMBER('Inputs'!$B$6),ISNUMBER('Inputs'!$B$7),ISNUMBER('Inputs'!$B$8),ISNUMBER('Inputs'!$B$9),ISNUMBER('Inputs'!$B$10),ISNUMBER('Inputs'!$B$21),ISNUMBER('Inputs'!$B$24),ISNUMBER('Inputs'!$B$28)),((('Results'!C7*(1-'Inputs'!$B$24)*(0.5*((((690-43)*MAX('Inputs'!$B$33,'Inputs'!$B$29+'Inputs'!$B$31+'Inputs'!$B$32,'Inputs'!$B$30+'Inputs'!$B$31+'Inputs'!$B$32)/1000+'Inputs'!$B$21)+'Inputs'!$B$9)/SQRT((((690-43)*MAX('Inputs'!$B$33,'Inputs'!$B$29+'Inputs'!$B$31+'Inputs'!$B$32,'Inputs'!$B$30+'Inputs'!$B$31+'Inputs'!$B$32)/1000+'Inputs'!$B$21)+'Inputs'!$B$9)^2+('Inputs'!$B$8/2)^2)-(((690-43)*MAX('Inputs'!$B$33,'Inputs'!$B$29+'Inputs'!$B$31+'Inputs'!$B$32,'Inputs'!$B$30+'Inputs'!$B$31+'Inputs'!$B$32)/1000+'Inputs'!$B$21))/SQRT((((690-43)*MAX('Inputs'!$B$33,'Inputs'!$B$29+'Inputs'!$B$31+'Inputs'!$B$32,'Inputs'!$B$30+'Inputs'!$B$31+'Inputs'!$B$32)/1000+'Inputs'!$B$21))^2+('Inputs'!$B$8/2)^2)))-'Results'!B7*(1+'Inputs'!$B$24)*(0.5*((((690-43)*MAX('Inputs'!$B$33,'Inputs'!$B$29+'Inputs'!$B$31+'Inputs'!$B$32,'Inputs'!$B$30+'Inputs'!$B$31+'Inputs'!$B$32)/1000+'Inputs'!$B$21+'Inputs'!$B$9+'Inputs'!$B$10)+'Inputs'!$B$7)/SQRT((((690-43)*MAX('Inputs'!$B$33,'Inputs'!$B$29+'Inputs'!$B$31+'Inputs'!$B$32,'Inputs'!$B$30+'Inputs'!$B$31+'Inputs'!$B$32)/1000+'Inputs'!$B$21+'Inputs'!$B$9+'Inputs'!$B$10)+'Inputs'!$B$7)^2+('Inputs'!$B$6/2)^2)-(((690-43)*MAX('Inputs'!$B$33,'Inputs'!$B$29+'Inputs'!$B$31+'Inputs'!$B$32,'Inputs'!$B$30+'Inputs'!$B$31+'Inputs'!$B$32)/1000+'Inputs'!$B$21+'Inputs'!$B$9+'Inputs'!$B$10))/SQRT((((690-43)*MAX('Inputs'!$B$33,'Inputs'!$B$29+'Inputs'!$B$31+'Inputs'!$B$32,'Inputs'!$B$30+'Inputs'!$B$31+'Inputs'!$B$32)/1000+'Inputs'!$B$21+'Inputs'!$B$9+'Inputs'!$B$10))^2+('Inputs'!$B$6/2)^2))))*'Results'!$B$8)-'Inputs'!$B$28*ABS((('Results'!C7*(1-'Inputs'!$B$24)*(0.5*((((690-43)*MAX('Inputs'!$B$33,'Inputs'!$B$29+'Inputs'!$B$31+'Inputs'!$B$32,'Inputs'!$B$30+'Inputs'!$B$31+'Inputs'!$B$32)/1000+'Inputs'!$B$21)+'Inputs'!$B$9)/SQRT((((690-43)*MAX('Inputs'!$B$33,'Inputs'!$B$29+'Inputs'!$B$31+'Inputs'!$B$32,'Inputs'!$B$30+'Inputs'!$B$31+'Inputs'!$B$32)/1000+'Inputs'!$B$21)+'Inputs'!$B$9)^2+('Inputs'!$B$8/2)^2)-(((690-43)*MAX('Inputs'!$B$33,'Inputs'!$B$29+'Inputs'!$B$31+'Inputs'!$B$32,'Inputs'!$B$30+'Inputs'!$B$31+'Inputs'!$B$32)/1000+'Inputs'!$B$21))/SQRT((((690-43)*MAX('Inputs'!$B$33,'Inputs'!$B$29+'Inputs'!$B$31+'Inputs'!$B$32,'Inputs'!$B$30+'Inputs'!$B$31+'Inputs'!$B$32)/1000+'Inputs'!$B$21))^2+('Inputs'!$B$8/2)^2)))-'Results'!B7*(1+'Inputs'!$B$24)*(0.5*((((690-43)*MAX('Inputs'!$B$33,'Inputs'!$B$29+'Inputs'!$B$31+'Inputs'!$B$32,'Inputs'!$B$30+'Inputs'!$B$31+'Inputs'!$B$32)/1000+'Inputs'!$B$21+'Inputs'!$B$9+'Inputs'!$B$10)+'Inputs'!$B$7)/SQRT((((690-43)*MAX('Inputs'!$B$33,'Inputs'!$B$29+'Inputs'!$B$31+'Inputs'!$B$32,'Inputs'!$B$30+'Inputs'!$B$31+'Inputs'!$B$32)/1000+'Inputs'!$B$21+'Inputs'!$B$9+'Inputs'!$B$10)+'Inputs'!$B$7)^2+('Inputs'!$B$6/2)^2)-(((690-43)*MAX('Inputs'!$B$33,'Inputs'!$B$29+'Inputs'!$B$31+'Inputs'!$B$32,'Inputs'!$B$30+'Inputs'!$B$31+'Inputs'!$B$32)/1000+'Inputs'!$B$21+'Inputs'!$B$9+'Inputs'!$B$10))/SQRT((((690-43)*MAX('Inputs'!$B$33,'Inputs'!$B$29+'Inputs'!$B$31+'Inputs'!$B$32,'Inputs'!$B$30+'Inputs'!$B$31+'Inputs'!$B$32)/1000+'Inputs'!$B$21+'Inputs'!$B$9+'Inputs'!$B$10))^2+('Inputs'!$B$6/2)^2))))*'Results'!$B$8))),"")</x:f>
        <x:v>1.3523930912357567</x:v>
      </x:c>
      <x:c r="O690" t="n">
        <x:f>IF(AND(ISNUMBER('Results'!C7),ISNUMBER('Results'!B7),ISNUMBER('Results'!$B$8),ISNUMBER('Inputs'!$B$6),ISNUMBER('Inputs'!$B$7),ISNUMBER('Inputs'!$B$8),ISNUMBER('Inputs'!$B$9),ISNUMBER('Inputs'!$B$10),ISNUMBER('Inputs'!$B$21),ISNUMBER('Inputs'!$B$24),ISNUMBER('Inputs'!$B$28)),((('Results'!C7*(1+'Inputs'!$B$24)*(0.5*((((690-43)*MAX('Inputs'!$B$33,'Inputs'!$B$29+'Inputs'!$B$31+'Inputs'!$B$32,'Inputs'!$B$30+'Inputs'!$B$31+'Inputs'!$B$32)/1000+'Inputs'!$B$21)+'Inputs'!$B$9)/SQRT((((690-43)*MAX('Inputs'!$B$33,'Inputs'!$B$29+'Inputs'!$B$31+'Inputs'!$B$32,'Inputs'!$B$30+'Inputs'!$B$31+'Inputs'!$B$32)/1000+'Inputs'!$B$21)+'Inputs'!$B$9)^2+('Inputs'!$B$8/2)^2)-(((690-43)*MAX('Inputs'!$B$33,'Inputs'!$B$29+'Inputs'!$B$31+'Inputs'!$B$32,'Inputs'!$B$30+'Inputs'!$B$31+'Inputs'!$B$32)/1000+'Inputs'!$B$21))/SQRT((((690-43)*MAX('Inputs'!$B$33,'Inputs'!$B$29+'Inputs'!$B$31+'Inputs'!$B$32,'Inputs'!$B$30+'Inputs'!$B$31+'Inputs'!$B$32)/1000+'Inputs'!$B$21))^2+('Inputs'!$B$8/2)^2)))-'Results'!B7*(1-'Inputs'!$B$24)*(0.5*((((690-43)*MAX('Inputs'!$B$33,'Inputs'!$B$29+'Inputs'!$B$31+'Inputs'!$B$32,'Inputs'!$B$30+'Inputs'!$B$31+'Inputs'!$B$32)/1000+'Inputs'!$B$21+'Inputs'!$B$9+'Inputs'!$B$10)+'Inputs'!$B$7)/SQRT((((690-43)*MAX('Inputs'!$B$33,'Inputs'!$B$29+'Inputs'!$B$31+'Inputs'!$B$32,'Inputs'!$B$30+'Inputs'!$B$31+'Inputs'!$B$32)/1000+'Inputs'!$B$21+'Inputs'!$B$9+'Inputs'!$B$10)+'Inputs'!$B$7)^2+('Inputs'!$B$6/2)^2)-(((690-43)*MAX('Inputs'!$B$33,'Inputs'!$B$29+'Inputs'!$B$31+'Inputs'!$B$32,'Inputs'!$B$30+'Inputs'!$B$31+'Inputs'!$B$32)/1000+'Inputs'!$B$21+'Inputs'!$B$9+'Inputs'!$B$10))/SQRT((((690-43)*MAX('Inputs'!$B$33,'Inputs'!$B$29+'Inputs'!$B$31+'Inputs'!$B$32,'Inputs'!$B$30+'Inputs'!$B$31+'Inputs'!$B$32)/1000+'Inputs'!$B$21+'Inputs'!$B$9+'Inputs'!$B$10))^2+('Inputs'!$B$6/2)^2))))*'Results'!$B$8)+'Inputs'!$B$28*ABS((('Results'!C7*(1+'Inputs'!$B$24)*(0.5*((((690-43)*MAX('Inputs'!$B$33,'Inputs'!$B$29+'Inputs'!$B$31+'Inputs'!$B$32,'Inputs'!$B$30+'Inputs'!$B$31+'Inputs'!$B$32)/1000+'Inputs'!$B$21)+'Inputs'!$B$9)/SQRT((((690-43)*MAX('Inputs'!$B$33,'Inputs'!$B$29+'Inputs'!$B$31+'Inputs'!$B$32,'Inputs'!$B$30+'Inputs'!$B$31+'Inputs'!$B$32)/1000+'Inputs'!$B$21)+'Inputs'!$B$9)^2+('Inputs'!$B$8/2)^2)-(((690-43)*MAX('Inputs'!$B$33,'Inputs'!$B$29+'Inputs'!$B$31+'Inputs'!$B$32,'Inputs'!$B$30+'Inputs'!$B$31+'Inputs'!$B$32)/1000+'Inputs'!$B$21))/SQRT((((690-43)*MAX('Inputs'!$B$33,'Inputs'!$B$29+'Inputs'!$B$31+'Inputs'!$B$32,'Inputs'!$B$30+'Inputs'!$B$31+'Inputs'!$B$32)/1000+'Inputs'!$B$21))^2+('Inputs'!$B$8/2)^2)))-'Results'!B7*(1-'Inputs'!$B$24)*(0.5*((((690-43)*MAX('Inputs'!$B$33,'Inputs'!$B$29+'Inputs'!$B$31+'Inputs'!$B$32,'Inputs'!$B$30+'Inputs'!$B$31+'Inputs'!$B$32)/1000+'Inputs'!$B$21+'Inputs'!$B$9+'Inputs'!$B$10)+'Inputs'!$B$7)/SQRT((((690-43)*MAX('Inputs'!$B$33,'Inputs'!$B$29+'Inputs'!$B$31+'Inputs'!$B$32,'Inputs'!$B$30+'Inputs'!$B$31+'Inputs'!$B$32)/1000+'Inputs'!$B$21+'Inputs'!$B$9+'Inputs'!$B$10)+'Inputs'!$B$7)^2+('Inputs'!$B$6/2)^2)-(((690-43)*MAX('Inputs'!$B$33,'Inputs'!$B$29+'Inputs'!$B$31+'Inputs'!$B$32,'Inputs'!$B$30+'Inputs'!$B$31+'Inputs'!$B$32)/1000+'Inputs'!$B$21+'Inputs'!$B$9+'Inputs'!$B$10))/SQRT((((690-43)*MAX('Inputs'!$B$33,'Inputs'!$B$29+'Inputs'!$B$31+'Inputs'!$B$32,'Inputs'!$B$30+'Inputs'!$B$31+'Inputs'!$B$32)/1000+'Inputs'!$B$21+'Inputs'!$B$9+'Inputs'!$B$10))^2+('Inputs'!$B$6/2)^2))))*'Results'!$B$8))),"")</x:f>
        <x:v>1.7913518606883725</x:v>
      </x:c>
      <x:c r="P690" t="n">
        <x:f>IF(AND(MAX(J690,J689)&gt;0,J690&gt;J689+0.00000001),1,0)</x:f>
        <x:v>0</x:v>
      </x:c>
      <x:c r="Q690" t="n">
        <x:f>IF(AND(MAX(K690,K689)&gt;0,K690&gt;K689+0.00000001),1,0)</x:f>
        <x:v>0</x:v>
      </x:c>
      <x:c r="R690" t="n">
        <x:f>IF(AND(MAX(L690,L689)&gt;0,L690&gt;L689+0.00000001),1,0)</x:f>
        <x:v>0</x:v>
      </x:c>
      <x:c r="S690" t="n">
        <x:f>IF(AND(MAX(M690,M689)&gt;0,M690&gt;M689+0.00000001),1,0)</x:f>
        <x:v>0</x:v>
      </x:c>
      <x:c r="T690" t="n">
        <x:f>IF(AND(MAX(N690,N689)&gt;0,N690&gt;N689+0.00000001),1,0)</x:f>
        <x:v>0</x:v>
      </x:c>
      <x:c r="U690" t="n">
        <x:f>IF(AND(MAX(O690,O689)&gt;0,O690&gt;O689+0.00000001),1,0)</x:f>
        <x:v>0</x:v>
      </x:c>
    </x:row>
    <x:row r="691">
      <x:c r="J691" t="n">
        <x:f>IF(AND(ISNUMBER('Results'!B7),ISNUMBER('Results'!C7),ISNUMBER('Results'!$B$8),ISNUMBER('Inputs'!$B$6),ISNUMBER('Inputs'!$B$7),ISNUMBER('Inputs'!$B$8),ISNUMBER('Inputs'!$B$9),ISNUMBER('Inputs'!$B$10),ISNUMBER('Inputs'!$B$21),ISNUMBER('Inputs'!$B$24),ISNUMBER('Inputs'!$B$28)),(('Results'!B7*(0.5*((((691-43)*MAX('Inputs'!$B$33,'Inputs'!$B$29+'Inputs'!$B$31+'Inputs'!$B$32,'Inputs'!$B$30+'Inputs'!$B$31+'Inputs'!$B$32)/1000+'Inputs'!$B$21)+'Inputs'!$B$7)/SQRT((((691-43)*MAX('Inputs'!$B$33,'Inputs'!$B$29+'Inputs'!$B$31+'Inputs'!$B$32,'Inputs'!$B$30+'Inputs'!$B$31+'Inputs'!$B$32)/1000+'Inputs'!$B$21)+'Inputs'!$B$7)^2+('Inputs'!$B$6/2)^2)-(((691-43)*MAX('Inputs'!$B$33,'Inputs'!$B$29+'Inputs'!$B$31+'Inputs'!$B$32,'Inputs'!$B$30+'Inputs'!$B$31+'Inputs'!$B$32)/1000+'Inputs'!$B$21))/SQRT((((691-43)*MAX('Inputs'!$B$33,'Inputs'!$B$29+'Inputs'!$B$31+'Inputs'!$B$32,'Inputs'!$B$30+'Inputs'!$B$31+'Inputs'!$B$32)/1000+'Inputs'!$B$21))^2+('Inputs'!$B$6/2)^2)))-'Results'!C7*(0.5*((((691-43)*MAX('Inputs'!$B$33,'Inputs'!$B$29+'Inputs'!$B$31+'Inputs'!$B$32,'Inputs'!$B$30+'Inputs'!$B$31+'Inputs'!$B$32)/1000+'Inputs'!$B$21+'Inputs'!$B$7+'Inputs'!$B$10)+'Inputs'!$B$9)/SQRT((((691-43)*MAX('Inputs'!$B$33,'Inputs'!$B$29+'Inputs'!$B$31+'Inputs'!$B$32,'Inputs'!$B$30+'Inputs'!$B$31+'Inputs'!$B$32)/1000+'Inputs'!$B$21+'Inputs'!$B$7+'Inputs'!$B$10)+'Inputs'!$B$9)^2+('Inputs'!$B$8/2)^2)-(((691-43)*MAX('Inputs'!$B$33,'Inputs'!$B$29+'Inputs'!$B$31+'Inputs'!$B$32,'Inputs'!$B$30+'Inputs'!$B$31+'Inputs'!$B$32)/1000+'Inputs'!$B$21+'Inputs'!$B$7+'Inputs'!$B$10))/SQRT((((691-43)*MAX('Inputs'!$B$33,'Inputs'!$B$29+'Inputs'!$B$31+'Inputs'!$B$32,'Inputs'!$B$30+'Inputs'!$B$31+'Inputs'!$B$32)/1000+'Inputs'!$B$21+'Inputs'!$B$7+'Inputs'!$B$10))^2+('Inputs'!$B$8/2)^2))))*'Results'!$B$8),"")</x:f>
        <x:v>1.6985378613886908</x:v>
      </x:c>
      <x:c r="K691" t="n">
        <x:f>IF(AND(ISNUMBER('Results'!B7),ISNUMBER('Results'!C7),ISNUMBER('Results'!$B$8),ISNUMBER('Inputs'!$B$6),ISNUMBER('Inputs'!$B$7),ISNUMBER('Inputs'!$B$8),ISNUMBER('Inputs'!$B$9),ISNUMBER('Inputs'!$B$10),ISNUMBER('Inputs'!$B$21),ISNUMBER('Inputs'!$B$24),ISNUMBER('Inputs'!$B$28)),((('Results'!B7*(1-'Inputs'!$B$24)*(0.5*((((691-43)*MAX('Inputs'!$B$33,'Inputs'!$B$29+'Inputs'!$B$31+'Inputs'!$B$32,'Inputs'!$B$30+'Inputs'!$B$31+'Inputs'!$B$32)/1000+'Inputs'!$B$21)+'Inputs'!$B$7)/SQRT((((691-43)*MAX('Inputs'!$B$33,'Inputs'!$B$29+'Inputs'!$B$31+'Inputs'!$B$32,'Inputs'!$B$30+'Inputs'!$B$31+'Inputs'!$B$32)/1000+'Inputs'!$B$21)+'Inputs'!$B$7)^2+('Inputs'!$B$6/2)^2)-(((691-43)*MAX('Inputs'!$B$33,'Inputs'!$B$29+'Inputs'!$B$31+'Inputs'!$B$32,'Inputs'!$B$30+'Inputs'!$B$31+'Inputs'!$B$32)/1000+'Inputs'!$B$21))/SQRT((((691-43)*MAX('Inputs'!$B$33,'Inputs'!$B$29+'Inputs'!$B$31+'Inputs'!$B$32,'Inputs'!$B$30+'Inputs'!$B$31+'Inputs'!$B$32)/1000+'Inputs'!$B$21))^2+('Inputs'!$B$6/2)^2)))-'Results'!C7*(1+'Inputs'!$B$24)*(0.5*((((691-43)*MAX('Inputs'!$B$33,'Inputs'!$B$29+'Inputs'!$B$31+'Inputs'!$B$32,'Inputs'!$B$30+'Inputs'!$B$31+'Inputs'!$B$32)/1000+'Inputs'!$B$21+'Inputs'!$B$7+'Inputs'!$B$10)+'Inputs'!$B$9)/SQRT((((691-43)*MAX('Inputs'!$B$33,'Inputs'!$B$29+'Inputs'!$B$31+'Inputs'!$B$32,'Inputs'!$B$30+'Inputs'!$B$31+'Inputs'!$B$32)/1000+'Inputs'!$B$21+'Inputs'!$B$7+'Inputs'!$B$10)+'Inputs'!$B$9)^2+('Inputs'!$B$8/2)^2)-(((691-43)*MAX('Inputs'!$B$33,'Inputs'!$B$29+'Inputs'!$B$31+'Inputs'!$B$32,'Inputs'!$B$30+'Inputs'!$B$31+'Inputs'!$B$32)/1000+'Inputs'!$B$21+'Inputs'!$B$7+'Inputs'!$B$10))/SQRT((((691-43)*MAX('Inputs'!$B$33,'Inputs'!$B$29+'Inputs'!$B$31+'Inputs'!$B$32,'Inputs'!$B$30+'Inputs'!$B$31+'Inputs'!$B$32)/1000+'Inputs'!$B$21+'Inputs'!$B$7+'Inputs'!$B$10))^2+('Inputs'!$B$8/2)^2))))*'Results'!$B$8)-'Inputs'!$B$28*ABS((('Results'!B7*(1-'Inputs'!$B$24)*(0.5*((((691-43)*MAX('Inputs'!$B$33,'Inputs'!$B$29+'Inputs'!$B$31+'Inputs'!$B$32,'Inputs'!$B$30+'Inputs'!$B$31+'Inputs'!$B$32)/1000+'Inputs'!$B$21)+'Inputs'!$B$7)/SQRT((((691-43)*MAX('Inputs'!$B$33,'Inputs'!$B$29+'Inputs'!$B$31+'Inputs'!$B$32,'Inputs'!$B$30+'Inputs'!$B$31+'Inputs'!$B$32)/1000+'Inputs'!$B$21)+'Inputs'!$B$7)^2+('Inputs'!$B$6/2)^2)-(((691-43)*MAX('Inputs'!$B$33,'Inputs'!$B$29+'Inputs'!$B$31+'Inputs'!$B$32,'Inputs'!$B$30+'Inputs'!$B$31+'Inputs'!$B$32)/1000+'Inputs'!$B$21))/SQRT((((691-43)*MAX('Inputs'!$B$33,'Inputs'!$B$29+'Inputs'!$B$31+'Inputs'!$B$32,'Inputs'!$B$30+'Inputs'!$B$31+'Inputs'!$B$32)/1000+'Inputs'!$B$21))^2+('Inputs'!$B$6/2)^2)))-'Results'!C7*(1+'Inputs'!$B$24)*(0.5*((((691-43)*MAX('Inputs'!$B$33,'Inputs'!$B$29+'Inputs'!$B$31+'Inputs'!$B$32,'Inputs'!$B$30+'Inputs'!$B$31+'Inputs'!$B$32)/1000+'Inputs'!$B$21+'Inputs'!$B$7+'Inputs'!$B$10)+'Inputs'!$B$9)/SQRT((((691-43)*MAX('Inputs'!$B$33,'Inputs'!$B$29+'Inputs'!$B$31+'Inputs'!$B$32,'Inputs'!$B$30+'Inputs'!$B$31+'Inputs'!$B$32)/1000+'Inputs'!$B$21+'Inputs'!$B$7+'Inputs'!$B$10)+'Inputs'!$B$9)^2+('Inputs'!$B$8/2)^2)-(((691-43)*MAX('Inputs'!$B$33,'Inputs'!$B$29+'Inputs'!$B$31+'Inputs'!$B$32,'Inputs'!$B$30+'Inputs'!$B$31+'Inputs'!$B$32)/1000+'Inputs'!$B$21+'Inputs'!$B$7+'Inputs'!$B$10))/SQRT((((691-43)*MAX('Inputs'!$B$33,'Inputs'!$B$29+'Inputs'!$B$31+'Inputs'!$B$32,'Inputs'!$B$30+'Inputs'!$B$31+'Inputs'!$B$32)/1000+'Inputs'!$B$21+'Inputs'!$B$7+'Inputs'!$B$10))^2+('Inputs'!$B$8/2)^2))))*'Results'!$B$8))),"")</x:f>
        <x:v>1.479370380961761</x:v>
      </x:c>
      <x:c r="L691" t="n">
        <x:f>IF(AND(ISNUMBER('Results'!B7),ISNUMBER('Results'!C7),ISNUMBER('Results'!$B$8),ISNUMBER('Inputs'!$B$6),ISNUMBER('Inputs'!$B$7),ISNUMBER('Inputs'!$B$8),ISNUMBER('Inputs'!$B$9),ISNUMBER('Inputs'!$B$10),ISNUMBER('Inputs'!$B$21),ISNUMBER('Inputs'!$B$24),ISNUMBER('Inputs'!$B$28)),((('Results'!B7*(1+'Inputs'!$B$24)*(0.5*((((691-43)*MAX('Inputs'!$B$33,'Inputs'!$B$29+'Inputs'!$B$31+'Inputs'!$B$32,'Inputs'!$B$30+'Inputs'!$B$31+'Inputs'!$B$32)/1000+'Inputs'!$B$21)+'Inputs'!$B$7)/SQRT((((691-43)*MAX('Inputs'!$B$33,'Inputs'!$B$29+'Inputs'!$B$31+'Inputs'!$B$32,'Inputs'!$B$30+'Inputs'!$B$31+'Inputs'!$B$32)/1000+'Inputs'!$B$21)+'Inputs'!$B$7)^2+('Inputs'!$B$6/2)^2)-(((691-43)*MAX('Inputs'!$B$33,'Inputs'!$B$29+'Inputs'!$B$31+'Inputs'!$B$32,'Inputs'!$B$30+'Inputs'!$B$31+'Inputs'!$B$32)/1000+'Inputs'!$B$21))/SQRT((((691-43)*MAX('Inputs'!$B$33,'Inputs'!$B$29+'Inputs'!$B$31+'Inputs'!$B$32,'Inputs'!$B$30+'Inputs'!$B$31+'Inputs'!$B$32)/1000+'Inputs'!$B$21))^2+('Inputs'!$B$6/2)^2)))-'Results'!C7*(1-'Inputs'!$B$24)*(0.5*((((691-43)*MAX('Inputs'!$B$33,'Inputs'!$B$29+'Inputs'!$B$31+'Inputs'!$B$32,'Inputs'!$B$30+'Inputs'!$B$31+'Inputs'!$B$32)/1000+'Inputs'!$B$21+'Inputs'!$B$7+'Inputs'!$B$10)+'Inputs'!$B$9)/SQRT((((691-43)*MAX('Inputs'!$B$33,'Inputs'!$B$29+'Inputs'!$B$31+'Inputs'!$B$32,'Inputs'!$B$30+'Inputs'!$B$31+'Inputs'!$B$32)/1000+'Inputs'!$B$21+'Inputs'!$B$7+'Inputs'!$B$10)+'Inputs'!$B$9)^2+('Inputs'!$B$8/2)^2)-(((691-43)*MAX('Inputs'!$B$33,'Inputs'!$B$29+'Inputs'!$B$31+'Inputs'!$B$32,'Inputs'!$B$30+'Inputs'!$B$31+'Inputs'!$B$32)/1000+'Inputs'!$B$21+'Inputs'!$B$7+'Inputs'!$B$10))/SQRT((((691-43)*MAX('Inputs'!$B$33,'Inputs'!$B$29+'Inputs'!$B$31+'Inputs'!$B$32,'Inputs'!$B$30+'Inputs'!$B$31+'Inputs'!$B$32)/1000+'Inputs'!$B$21+'Inputs'!$B$7+'Inputs'!$B$10))^2+('Inputs'!$B$8/2)^2))))*'Results'!$B$8)+'Inputs'!$B$28*ABS((('Results'!B7*(1+'Inputs'!$B$24)*(0.5*((((691-43)*MAX('Inputs'!$B$33,'Inputs'!$B$29+'Inputs'!$B$31+'Inputs'!$B$32,'Inputs'!$B$30+'Inputs'!$B$31+'Inputs'!$B$32)/1000+'Inputs'!$B$21)+'Inputs'!$B$7)/SQRT((((691-43)*MAX('Inputs'!$B$33,'Inputs'!$B$29+'Inputs'!$B$31+'Inputs'!$B$32,'Inputs'!$B$30+'Inputs'!$B$31+'Inputs'!$B$32)/1000+'Inputs'!$B$21)+'Inputs'!$B$7)^2+('Inputs'!$B$6/2)^2)-(((691-43)*MAX('Inputs'!$B$33,'Inputs'!$B$29+'Inputs'!$B$31+'Inputs'!$B$32,'Inputs'!$B$30+'Inputs'!$B$31+'Inputs'!$B$32)/1000+'Inputs'!$B$21))/SQRT((((691-43)*MAX('Inputs'!$B$33,'Inputs'!$B$29+'Inputs'!$B$31+'Inputs'!$B$32,'Inputs'!$B$30+'Inputs'!$B$31+'Inputs'!$B$32)/1000+'Inputs'!$B$21))^2+('Inputs'!$B$6/2)^2)))-'Results'!C7*(1-'Inputs'!$B$24)*(0.5*((((691-43)*MAX('Inputs'!$B$33,'Inputs'!$B$29+'Inputs'!$B$31+'Inputs'!$B$32,'Inputs'!$B$30+'Inputs'!$B$31+'Inputs'!$B$32)/1000+'Inputs'!$B$21+'Inputs'!$B$7+'Inputs'!$B$10)+'Inputs'!$B$9)/SQRT((((691-43)*MAX('Inputs'!$B$33,'Inputs'!$B$29+'Inputs'!$B$31+'Inputs'!$B$32,'Inputs'!$B$30+'Inputs'!$B$31+'Inputs'!$B$32)/1000+'Inputs'!$B$21+'Inputs'!$B$7+'Inputs'!$B$10)+'Inputs'!$B$9)^2+('Inputs'!$B$8/2)^2)-(((691-43)*MAX('Inputs'!$B$33,'Inputs'!$B$29+'Inputs'!$B$31+'Inputs'!$B$32,'Inputs'!$B$30+'Inputs'!$B$31+'Inputs'!$B$32)/1000+'Inputs'!$B$21+'Inputs'!$B$7+'Inputs'!$B$10))/SQRT((((691-43)*MAX('Inputs'!$B$33,'Inputs'!$B$29+'Inputs'!$B$31+'Inputs'!$B$32,'Inputs'!$B$30+'Inputs'!$B$31+'Inputs'!$B$32)/1000+'Inputs'!$B$21+'Inputs'!$B$7+'Inputs'!$B$10))^2+('Inputs'!$B$8/2)^2))))*'Results'!$B$8))),"")</x:f>
        <x:v>1.9318359299585157</x:v>
      </x:c>
      <x:c r="M691" t="n">
        <x:f>IF(AND(ISNUMBER('Results'!C7),ISNUMBER('Results'!B7),ISNUMBER('Results'!$B$8),ISNUMBER('Inputs'!$B$6),ISNUMBER('Inputs'!$B$7),ISNUMBER('Inputs'!$B$8),ISNUMBER('Inputs'!$B$9),ISNUMBER('Inputs'!$B$10),ISNUMBER('Inputs'!$B$21),ISNUMBER('Inputs'!$B$24),ISNUMBER('Inputs'!$B$28)),(('Results'!C7*(0.5*((((691-43)*MAX('Inputs'!$B$33,'Inputs'!$B$29+'Inputs'!$B$31+'Inputs'!$B$32,'Inputs'!$B$30+'Inputs'!$B$31+'Inputs'!$B$32)/1000+'Inputs'!$B$21)+'Inputs'!$B$9)/SQRT((((691-43)*MAX('Inputs'!$B$33,'Inputs'!$B$29+'Inputs'!$B$31+'Inputs'!$B$32,'Inputs'!$B$30+'Inputs'!$B$31+'Inputs'!$B$32)/1000+'Inputs'!$B$21)+'Inputs'!$B$9)^2+('Inputs'!$B$8/2)^2)-(((691-43)*MAX('Inputs'!$B$33,'Inputs'!$B$29+'Inputs'!$B$31+'Inputs'!$B$32,'Inputs'!$B$30+'Inputs'!$B$31+'Inputs'!$B$32)/1000+'Inputs'!$B$21))/SQRT((((691-43)*MAX('Inputs'!$B$33,'Inputs'!$B$29+'Inputs'!$B$31+'Inputs'!$B$32,'Inputs'!$B$30+'Inputs'!$B$31+'Inputs'!$B$32)/1000+'Inputs'!$B$21))^2+('Inputs'!$B$8/2)^2)))-'Results'!B7*(0.5*((((691-43)*MAX('Inputs'!$B$33,'Inputs'!$B$29+'Inputs'!$B$31+'Inputs'!$B$32,'Inputs'!$B$30+'Inputs'!$B$31+'Inputs'!$B$32)/1000+'Inputs'!$B$21+'Inputs'!$B$9+'Inputs'!$B$10)+'Inputs'!$B$7)/SQRT((((691-43)*MAX('Inputs'!$B$33,'Inputs'!$B$29+'Inputs'!$B$31+'Inputs'!$B$32,'Inputs'!$B$30+'Inputs'!$B$31+'Inputs'!$B$32)/1000+'Inputs'!$B$21+'Inputs'!$B$9+'Inputs'!$B$10)+'Inputs'!$B$7)^2+('Inputs'!$B$6/2)^2)-(((691-43)*MAX('Inputs'!$B$33,'Inputs'!$B$29+'Inputs'!$B$31+'Inputs'!$B$32,'Inputs'!$B$30+'Inputs'!$B$31+'Inputs'!$B$32)/1000+'Inputs'!$B$21+'Inputs'!$B$9+'Inputs'!$B$10))/SQRT((((691-43)*MAX('Inputs'!$B$33,'Inputs'!$B$29+'Inputs'!$B$31+'Inputs'!$B$32,'Inputs'!$B$30+'Inputs'!$B$31+'Inputs'!$B$32)/1000+'Inputs'!$B$21+'Inputs'!$B$9+'Inputs'!$B$10))^2+('Inputs'!$B$6/2)^2))))*'Results'!$B$8),"")</x:f>
        <x:v>1.556136723590349</x:v>
      </x:c>
      <x:c r="N691" t="n">
        <x:f>IF(AND(ISNUMBER('Results'!C7),ISNUMBER('Results'!B7),ISNUMBER('Results'!$B$8),ISNUMBER('Inputs'!$B$6),ISNUMBER('Inputs'!$B$7),ISNUMBER('Inputs'!$B$8),ISNUMBER('Inputs'!$B$9),ISNUMBER('Inputs'!$B$10),ISNUMBER('Inputs'!$B$21),ISNUMBER('Inputs'!$B$24),ISNUMBER('Inputs'!$B$28)),((('Results'!C7*(1-'Inputs'!$B$24)*(0.5*((((691-43)*MAX('Inputs'!$B$33,'Inputs'!$B$29+'Inputs'!$B$31+'Inputs'!$B$32,'Inputs'!$B$30+'Inputs'!$B$31+'Inputs'!$B$32)/1000+'Inputs'!$B$21)+'Inputs'!$B$9)/SQRT((((691-43)*MAX('Inputs'!$B$33,'Inputs'!$B$29+'Inputs'!$B$31+'Inputs'!$B$32,'Inputs'!$B$30+'Inputs'!$B$31+'Inputs'!$B$32)/1000+'Inputs'!$B$21)+'Inputs'!$B$9)^2+('Inputs'!$B$8/2)^2)-(((691-43)*MAX('Inputs'!$B$33,'Inputs'!$B$29+'Inputs'!$B$31+'Inputs'!$B$32,'Inputs'!$B$30+'Inputs'!$B$31+'Inputs'!$B$32)/1000+'Inputs'!$B$21))/SQRT((((691-43)*MAX('Inputs'!$B$33,'Inputs'!$B$29+'Inputs'!$B$31+'Inputs'!$B$32,'Inputs'!$B$30+'Inputs'!$B$31+'Inputs'!$B$32)/1000+'Inputs'!$B$21))^2+('Inputs'!$B$8/2)^2)))-'Results'!B7*(1+'Inputs'!$B$24)*(0.5*((((691-43)*MAX('Inputs'!$B$33,'Inputs'!$B$29+'Inputs'!$B$31+'Inputs'!$B$32,'Inputs'!$B$30+'Inputs'!$B$31+'Inputs'!$B$32)/1000+'Inputs'!$B$21+'Inputs'!$B$9+'Inputs'!$B$10)+'Inputs'!$B$7)/SQRT((((691-43)*MAX('Inputs'!$B$33,'Inputs'!$B$29+'Inputs'!$B$31+'Inputs'!$B$32,'Inputs'!$B$30+'Inputs'!$B$31+'Inputs'!$B$32)/1000+'Inputs'!$B$21+'Inputs'!$B$9+'Inputs'!$B$10)+'Inputs'!$B$7)^2+('Inputs'!$B$6/2)^2)-(((691-43)*MAX('Inputs'!$B$33,'Inputs'!$B$29+'Inputs'!$B$31+'Inputs'!$B$32,'Inputs'!$B$30+'Inputs'!$B$31+'Inputs'!$B$32)/1000+'Inputs'!$B$21+'Inputs'!$B$9+'Inputs'!$B$10))/SQRT((((691-43)*MAX('Inputs'!$B$33,'Inputs'!$B$29+'Inputs'!$B$31+'Inputs'!$B$32,'Inputs'!$B$30+'Inputs'!$B$31+'Inputs'!$B$32)/1000+'Inputs'!$B$21+'Inputs'!$B$9+'Inputs'!$B$10))^2+('Inputs'!$B$6/2)^2))))*'Results'!$B$8)-'Inputs'!$B$28*ABS((('Results'!C7*(1-'Inputs'!$B$24)*(0.5*((((691-43)*MAX('Inputs'!$B$33,'Inputs'!$B$29+'Inputs'!$B$31+'Inputs'!$B$32,'Inputs'!$B$30+'Inputs'!$B$31+'Inputs'!$B$32)/1000+'Inputs'!$B$21)+'Inputs'!$B$9)/SQRT((((691-43)*MAX('Inputs'!$B$33,'Inputs'!$B$29+'Inputs'!$B$31+'Inputs'!$B$32,'Inputs'!$B$30+'Inputs'!$B$31+'Inputs'!$B$32)/1000+'Inputs'!$B$21)+'Inputs'!$B$9)^2+('Inputs'!$B$8/2)^2)-(((691-43)*MAX('Inputs'!$B$33,'Inputs'!$B$29+'Inputs'!$B$31+'Inputs'!$B$32,'Inputs'!$B$30+'Inputs'!$B$31+'Inputs'!$B$32)/1000+'Inputs'!$B$21))/SQRT((((691-43)*MAX('Inputs'!$B$33,'Inputs'!$B$29+'Inputs'!$B$31+'Inputs'!$B$32,'Inputs'!$B$30+'Inputs'!$B$31+'Inputs'!$B$32)/1000+'Inputs'!$B$21))^2+('Inputs'!$B$8/2)^2)))-'Results'!B7*(1+'Inputs'!$B$24)*(0.5*((((691-43)*MAX('Inputs'!$B$33,'Inputs'!$B$29+'Inputs'!$B$31+'Inputs'!$B$32,'Inputs'!$B$30+'Inputs'!$B$31+'Inputs'!$B$32)/1000+'Inputs'!$B$21+'Inputs'!$B$9+'Inputs'!$B$10)+'Inputs'!$B$7)/SQRT((((691-43)*MAX('Inputs'!$B$33,'Inputs'!$B$29+'Inputs'!$B$31+'Inputs'!$B$32,'Inputs'!$B$30+'Inputs'!$B$31+'Inputs'!$B$32)/1000+'Inputs'!$B$21+'Inputs'!$B$9+'Inputs'!$B$10)+'Inputs'!$B$7)^2+('Inputs'!$B$6/2)^2)-(((691-43)*MAX('Inputs'!$B$33,'Inputs'!$B$29+'Inputs'!$B$31+'Inputs'!$B$32,'Inputs'!$B$30+'Inputs'!$B$31+'Inputs'!$B$32)/1000+'Inputs'!$B$21+'Inputs'!$B$9+'Inputs'!$B$10))/SQRT((((691-43)*MAX('Inputs'!$B$33,'Inputs'!$B$29+'Inputs'!$B$31+'Inputs'!$B$32,'Inputs'!$B$30+'Inputs'!$B$31+'Inputs'!$B$32)/1000+'Inputs'!$B$21+'Inputs'!$B$9+'Inputs'!$B$10))^2+('Inputs'!$B$6/2)^2))))*'Results'!$B$8))),"")</x:f>
        <x:v>1.344713934569645</x:v>
      </x:c>
      <x:c r="O691" t="n">
        <x:f>IF(AND(ISNUMBER('Results'!C7),ISNUMBER('Results'!B7),ISNUMBER('Results'!$B$8),ISNUMBER('Inputs'!$B$6),ISNUMBER('Inputs'!$B$7),ISNUMBER('Inputs'!$B$8),ISNUMBER('Inputs'!$B$9),ISNUMBER('Inputs'!$B$10),ISNUMBER('Inputs'!$B$21),ISNUMBER('Inputs'!$B$24),ISNUMBER('Inputs'!$B$28)),((('Results'!C7*(1+'Inputs'!$B$24)*(0.5*((((691-43)*MAX('Inputs'!$B$33,'Inputs'!$B$29+'Inputs'!$B$31+'Inputs'!$B$32,'Inputs'!$B$30+'Inputs'!$B$31+'Inputs'!$B$32)/1000+'Inputs'!$B$21)+'Inputs'!$B$9)/SQRT((((691-43)*MAX('Inputs'!$B$33,'Inputs'!$B$29+'Inputs'!$B$31+'Inputs'!$B$32,'Inputs'!$B$30+'Inputs'!$B$31+'Inputs'!$B$32)/1000+'Inputs'!$B$21)+'Inputs'!$B$9)^2+('Inputs'!$B$8/2)^2)-(((691-43)*MAX('Inputs'!$B$33,'Inputs'!$B$29+'Inputs'!$B$31+'Inputs'!$B$32,'Inputs'!$B$30+'Inputs'!$B$31+'Inputs'!$B$32)/1000+'Inputs'!$B$21))/SQRT((((691-43)*MAX('Inputs'!$B$33,'Inputs'!$B$29+'Inputs'!$B$31+'Inputs'!$B$32,'Inputs'!$B$30+'Inputs'!$B$31+'Inputs'!$B$32)/1000+'Inputs'!$B$21))^2+('Inputs'!$B$8/2)^2)))-'Results'!B7*(1-'Inputs'!$B$24)*(0.5*((((691-43)*MAX('Inputs'!$B$33,'Inputs'!$B$29+'Inputs'!$B$31+'Inputs'!$B$32,'Inputs'!$B$30+'Inputs'!$B$31+'Inputs'!$B$32)/1000+'Inputs'!$B$21+'Inputs'!$B$9+'Inputs'!$B$10)+'Inputs'!$B$7)/SQRT((((691-43)*MAX('Inputs'!$B$33,'Inputs'!$B$29+'Inputs'!$B$31+'Inputs'!$B$32,'Inputs'!$B$30+'Inputs'!$B$31+'Inputs'!$B$32)/1000+'Inputs'!$B$21+'Inputs'!$B$9+'Inputs'!$B$10)+'Inputs'!$B$7)^2+('Inputs'!$B$6/2)^2)-(((691-43)*MAX('Inputs'!$B$33,'Inputs'!$B$29+'Inputs'!$B$31+'Inputs'!$B$32,'Inputs'!$B$30+'Inputs'!$B$31+'Inputs'!$B$32)/1000+'Inputs'!$B$21+'Inputs'!$B$9+'Inputs'!$B$10))/SQRT((((691-43)*MAX('Inputs'!$B$33,'Inputs'!$B$29+'Inputs'!$B$31+'Inputs'!$B$32,'Inputs'!$B$30+'Inputs'!$B$31+'Inputs'!$B$32)/1000+'Inputs'!$B$21+'Inputs'!$B$9+'Inputs'!$B$10))^2+('Inputs'!$B$6/2)^2))))*'Results'!$B$8)+'Inputs'!$B$28*ABS((('Results'!C7*(1+'Inputs'!$B$24)*(0.5*((((691-43)*MAX('Inputs'!$B$33,'Inputs'!$B$29+'Inputs'!$B$31+'Inputs'!$B$32,'Inputs'!$B$30+'Inputs'!$B$31+'Inputs'!$B$32)/1000+'Inputs'!$B$21)+'Inputs'!$B$9)/SQRT((((691-43)*MAX('Inputs'!$B$33,'Inputs'!$B$29+'Inputs'!$B$31+'Inputs'!$B$32,'Inputs'!$B$30+'Inputs'!$B$31+'Inputs'!$B$32)/1000+'Inputs'!$B$21)+'Inputs'!$B$9)^2+('Inputs'!$B$8/2)^2)-(((691-43)*MAX('Inputs'!$B$33,'Inputs'!$B$29+'Inputs'!$B$31+'Inputs'!$B$32,'Inputs'!$B$30+'Inputs'!$B$31+'Inputs'!$B$32)/1000+'Inputs'!$B$21))/SQRT((((691-43)*MAX('Inputs'!$B$33,'Inputs'!$B$29+'Inputs'!$B$31+'Inputs'!$B$32,'Inputs'!$B$30+'Inputs'!$B$31+'Inputs'!$B$32)/1000+'Inputs'!$B$21))^2+('Inputs'!$B$8/2)^2)))-'Results'!B7*(1-'Inputs'!$B$24)*(0.5*((((691-43)*MAX('Inputs'!$B$33,'Inputs'!$B$29+'Inputs'!$B$31+'Inputs'!$B$32,'Inputs'!$B$30+'Inputs'!$B$31+'Inputs'!$B$32)/1000+'Inputs'!$B$21+'Inputs'!$B$9+'Inputs'!$B$10)+'Inputs'!$B$7)/SQRT((((691-43)*MAX('Inputs'!$B$33,'Inputs'!$B$29+'Inputs'!$B$31+'Inputs'!$B$32,'Inputs'!$B$30+'Inputs'!$B$31+'Inputs'!$B$32)/1000+'Inputs'!$B$21+'Inputs'!$B$9+'Inputs'!$B$10)+'Inputs'!$B$7)^2+('Inputs'!$B$6/2)^2)-(((691-43)*MAX('Inputs'!$B$33,'Inputs'!$B$29+'Inputs'!$B$31+'Inputs'!$B$32,'Inputs'!$B$30+'Inputs'!$B$31+'Inputs'!$B$32)/1000+'Inputs'!$B$21+'Inputs'!$B$9+'Inputs'!$B$10))/SQRT((((691-43)*MAX('Inputs'!$B$33,'Inputs'!$B$29+'Inputs'!$B$31+'Inputs'!$B$32,'Inputs'!$B$30+'Inputs'!$B$31+'Inputs'!$B$32)/1000+'Inputs'!$B$21+'Inputs'!$B$9+'Inputs'!$B$10))^2+('Inputs'!$B$6/2)^2))))*'Results'!$B$8))),"")</x:f>
        <x:v>1.7816243497522304</x:v>
      </x:c>
      <x:c r="P691" t="n">
        <x:f>IF(AND(MAX(J691,J690)&gt;0,J691&gt;J690+0.00000001),1,0)</x:f>
        <x:v>0</x:v>
      </x:c>
      <x:c r="Q691" t="n">
        <x:f>IF(AND(MAX(K691,K690)&gt;0,K691&gt;K690+0.00000001),1,0)</x:f>
        <x:v>0</x:v>
      </x:c>
      <x:c r="R691" t="n">
        <x:f>IF(AND(MAX(L691,L690)&gt;0,L691&gt;L690+0.00000001),1,0)</x:f>
        <x:v>0</x:v>
      </x:c>
      <x:c r="S691" t="n">
        <x:f>IF(AND(MAX(M691,M690)&gt;0,M691&gt;M690+0.00000001),1,0)</x:f>
        <x:v>0</x:v>
      </x:c>
      <x:c r="T691" t="n">
        <x:f>IF(AND(MAX(N691,N690)&gt;0,N691&gt;N690+0.00000001),1,0)</x:f>
        <x:v>0</x:v>
      </x:c>
      <x:c r="U691" t="n">
        <x:f>IF(AND(MAX(O691,O690)&gt;0,O691&gt;O690+0.00000001),1,0)</x:f>
        <x:v>0</x:v>
      </x:c>
    </x:row>
    <x:row r="692">
      <x:c r="J692" t="n">
        <x:f>IF(AND(ISNUMBER('Results'!B7),ISNUMBER('Results'!C7),ISNUMBER('Results'!$B$8),ISNUMBER('Inputs'!$B$6),ISNUMBER('Inputs'!$B$7),ISNUMBER('Inputs'!$B$8),ISNUMBER('Inputs'!$B$9),ISNUMBER('Inputs'!$B$10),ISNUMBER('Inputs'!$B$21),ISNUMBER('Inputs'!$B$24),ISNUMBER('Inputs'!$B$28)),(('Results'!B7*(0.5*((((692-43)*MAX('Inputs'!$B$33,'Inputs'!$B$29+'Inputs'!$B$31+'Inputs'!$B$32,'Inputs'!$B$30+'Inputs'!$B$31+'Inputs'!$B$32)/1000+'Inputs'!$B$21)+'Inputs'!$B$7)/SQRT((((692-43)*MAX('Inputs'!$B$33,'Inputs'!$B$29+'Inputs'!$B$31+'Inputs'!$B$32,'Inputs'!$B$30+'Inputs'!$B$31+'Inputs'!$B$32)/1000+'Inputs'!$B$21)+'Inputs'!$B$7)^2+('Inputs'!$B$6/2)^2)-(((692-43)*MAX('Inputs'!$B$33,'Inputs'!$B$29+'Inputs'!$B$31+'Inputs'!$B$32,'Inputs'!$B$30+'Inputs'!$B$31+'Inputs'!$B$32)/1000+'Inputs'!$B$21))/SQRT((((692-43)*MAX('Inputs'!$B$33,'Inputs'!$B$29+'Inputs'!$B$31+'Inputs'!$B$32,'Inputs'!$B$30+'Inputs'!$B$31+'Inputs'!$B$32)/1000+'Inputs'!$B$21))^2+('Inputs'!$B$6/2)^2)))-'Results'!C7*(0.5*((((692-43)*MAX('Inputs'!$B$33,'Inputs'!$B$29+'Inputs'!$B$31+'Inputs'!$B$32,'Inputs'!$B$30+'Inputs'!$B$31+'Inputs'!$B$32)/1000+'Inputs'!$B$21+'Inputs'!$B$7+'Inputs'!$B$10)+'Inputs'!$B$9)/SQRT((((692-43)*MAX('Inputs'!$B$33,'Inputs'!$B$29+'Inputs'!$B$31+'Inputs'!$B$32,'Inputs'!$B$30+'Inputs'!$B$31+'Inputs'!$B$32)/1000+'Inputs'!$B$21+'Inputs'!$B$7+'Inputs'!$B$10)+'Inputs'!$B$9)^2+('Inputs'!$B$8/2)^2)-(((692-43)*MAX('Inputs'!$B$33,'Inputs'!$B$29+'Inputs'!$B$31+'Inputs'!$B$32,'Inputs'!$B$30+'Inputs'!$B$31+'Inputs'!$B$32)/1000+'Inputs'!$B$21+'Inputs'!$B$7+'Inputs'!$B$10))/SQRT((((692-43)*MAX('Inputs'!$B$33,'Inputs'!$B$29+'Inputs'!$B$31+'Inputs'!$B$32,'Inputs'!$B$30+'Inputs'!$B$31+'Inputs'!$B$32)/1000+'Inputs'!$B$21+'Inputs'!$B$7+'Inputs'!$B$10))^2+('Inputs'!$B$8/2)^2))))*'Results'!$B$8),"")</x:f>
        <x:v>1.6893288035071925</x:v>
      </x:c>
      <x:c r="K692" t="n">
        <x:f>IF(AND(ISNUMBER('Results'!B7),ISNUMBER('Results'!C7),ISNUMBER('Results'!$B$8),ISNUMBER('Inputs'!$B$6),ISNUMBER('Inputs'!$B$7),ISNUMBER('Inputs'!$B$8),ISNUMBER('Inputs'!$B$9),ISNUMBER('Inputs'!$B$10),ISNUMBER('Inputs'!$B$21),ISNUMBER('Inputs'!$B$24),ISNUMBER('Inputs'!$B$28)),((('Results'!B7*(1-'Inputs'!$B$24)*(0.5*((((692-43)*MAX('Inputs'!$B$33,'Inputs'!$B$29+'Inputs'!$B$31+'Inputs'!$B$32,'Inputs'!$B$30+'Inputs'!$B$31+'Inputs'!$B$32)/1000+'Inputs'!$B$21)+'Inputs'!$B$7)/SQRT((((692-43)*MAX('Inputs'!$B$33,'Inputs'!$B$29+'Inputs'!$B$31+'Inputs'!$B$32,'Inputs'!$B$30+'Inputs'!$B$31+'Inputs'!$B$32)/1000+'Inputs'!$B$21)+'Inputs'!$B$7)^2+('Inputs'!$B$6/2)^2)-(((692-43)*MAX('Inputs'!$B$33,'Inputs'!$B$29+'Inputs'!$B$31+'Inputs'!$B$32,'Inputs'!$B$30+'Inputs'!$B$31+'Inputs'!$B$32)/1000+'Inputs'!$B$21))/SQRT((((692-43)*MAX('Inputs'!$B$33,'Inputs'!$B$29+'Inputs'!$B$31+'Inputs'!$B$32,'Inputs'!$B$30+'Inputs'!$B$31+'Inputs'!$B$32)/1000+'Inputs'!$B$21))^2+('Inputs'!$B$6/2)^2)))-'Results'!C7*(1+'Inputs'!$B$24)*(0.5*((((692-43)*MAX('Inputs'!$B$33,'Inputs'!$B$29+'Inputs'!$B$31+'Inputs'!$B$32,'Inputs'!$B$30+'Inputs'!$B$31+'Inputs'!$B$32)/1000+'Inputs'!$B$21+'Inputs'!$B$7+'Inputs'!$B$10)+'Inputs'!$B$9)/SQRT((((692-43)*MAX('Inputs'!$B$33,'Inputs'!$B$29+'Inputs'!$B$31+'Inputs'!$B$32,'Inputs'!$B$30+'Inputs'!$B$31+'Inputs'!$B$32)/1000+'Inputs'!$B$21+'Inputs'!$B$7+'Inputs'!$B$10)+'Inputs'!$B$9)^2+('Inputs'!$B$8/2)^2)-(((692-43)*MAX('Inputs'!$B$33,'Inputs'!$B$29+'Inputs'!$B$31+'Inputs'!$B$32,'Inputs'!$B$30+'Inputs'!$B$31+'Inputs'!$B$32)/1000+'Inputs'!$B$21+'Inputs'!$B$7+'Inputs'!$B$10))/SQRT((((692-43)*MAX('Inputs'!$B$33,'Inputs'!$B$29+'Inputs'!$B$31+'Inputs'!$B$32,'Inputs'!$B$30+'Inputs'!$B$31+'Inputs'!$B$32)/1000+'Inputs'!$B$21+'Inputs'!$B$7+'Inputs'!$B$10))^2+('Inputs'!$B$8/2)^2))))*'Results'!$B$8)-'Inputs'!$B$28*ABS((('Results'!B7*(1-'Inputs'!$B$24)*(0.5*((((692-43)*MAX('Inputs'!$B$33,'Inputs'!$B$29+'Inputs'!$B$31+'Inputs'!$B$32,'Inputs'!$B$30+'Inputs'!$B$31+'Inputs'!$B$32)/1000+'Inputs'!$B$21)+'Inputs'!$B$7)/SQRT((((692-43)*MAX('Inputs'!$B$33,'Inputs'!$B$29+'Inputs'!$B$31+'Inputs'!$B$32,'Inputs'!$B$30+'Inputs'!$B$31+'Inputs'!$B$32)/1000+'Inputs'!$B$21)+'Inputs'!$B$7)^2+('Inputs'!$B$6/2)^2)-(((692-43)*MAX('Inputs'!$B$33,'Inputs'!$B$29+'Inputs'!$B$31+'Inputs'!$B$32,'Inputs'!$B$30+'Inputs'!$B$31+'Inputs'!$B$32)/1000+'Inputs'!$B$21))/SQRT((((692-43)*MAX('Inputs'!$B$33,'Inputs'!$B$29+'Inputs'!$B$31+'Inputs'!$B$32,'Inputs'!$B$30+'Inputs'!$B$31+'Inputs'!$B$32)/1000+'Inputs'!$B$21))^2+('Inputs'!$B$6/2)^2)))-'Results'!C7*(1+'Inputs'!$B$24)*(0.5*((((692-43)*MAX('Inputs'!$B$33,'Inputs'!$B$29+'Inputs'!$B$31+'Inputs'!$B$32,'Inputs'!$B$30+'Inputs'!$B$31+'Inputs'!$B$32)/1000+'Inputs'!$B$21+'Inputs'!$B$7+'Inputs'!$B$10)+'Inputs'!$B$9)/SQRT((((692-43)*MAX('Inputs'!$B$33,'Inputs'!$B$29+'Inputs'!$B$31+'Inputs'!$B$32,'Inputs'!$B$30+'Inputs'!$B$31+'Inputs'!$B$32)/1000+'Inputs'!$B$21+'Inputs'!$B$7+'Inputs'!$B$10)+'Inputs'!$B$9)^2+('Inputs'!$B$8/2)^2)-(((692-43)*MAX('Inputs'!$B$33,'Inputs'!$B$29+'Inputs'!$B$31+'Inputs'!$B$32,'Inputs'!$B$30+'Inputs'!$B$31+'Inputs'!$B$32)/1000+'Inputs'!$B$21+'Inputs'!$B$7+'Inputs'!$B$10))/SQRT((((692-43)*MAX('Inputs'!$B$33,'Inputs'!$B$29+'Inputs'!$B$31+'Inputs'!$B$32,'Inputs'!$B$30+'Inputs'!$B$31+'Inputs'!$B$32)/1000+'Inputs'!$B$21+'Inputs'!$B$7+'Inputs'!$B$10))^2+('Inputs'!$B$8/2)^2))))*'Results'!$B$8))),"")</x:f>
        <x:v>1.471183028502602</x:v>
      </x:c>
      <x:c r="L692" t="n">
        <x:f>IF(AND(ISNUMBER('Results'!B7),ISNUMBER('Results'!C7),ISNUMBER('Results'!$B$8),ISNUMBER('Inputs'!$B$6),ISNUMBER('Inputs'!$B$7),ISNUMBER('Inputs'!$B$8),ISNUMBER('Inputs'!$B$9),ISNUMBER('Inputs'!$B$10),ISNUMBER('Inputs'!$B$21),ISNUMBER('Inputs'!$B$24),ISNUMBER('Inputs'!$B$28)),((('Results'!B7*(1+'Inputs'!$B$24)*(0.5*((((692-43)*MAX('Inputs'!$B$33,'Inputs'!$B$29+'Inputs'!$B$31+'Inputs'!$B$32,'Inputs'!$B$30+'Inputs'!$B$31+'Inputs'!$B$32)/1000+'Inputs'!$B$21)+'Inputs'!$B$7)/SQRT((((692-43)*MAX('Inputs'!$B$33,'Inputs'!$B$29+'Inputs'!$B$31+'Inputs'!$B$32,'Inputs'!$B$30+'Inputs'!$B$31+'Inputs'!$B$32)/1000+'Inputs'!$B$21)+'Inputs'!$B$7)^2+('Inputs'!$B$6/2)^2)-(((692-43)*MAX('Inputs'!$B$33,'Inputs'!$B$29+'Inputs'!$B$31+'Inputs'!$B$32,'Inputs'!$B$30+'Inputs'!$B$31+'Inputs'!$B$32)/1000+'Inputs'!$B$21))/SQRT((((692-43)*MAX('Inputs'!$B$33,'Inputs'!$B$29+'Inputs'!$B$31+'Inputs'!$B$32,'Inputs'!$B$30+'Inputs'!$B$31+'Inputs'!$B$32)/1000+'Inputs'!$B$21))^2+('Inputs'!$B$6/2)^2)))-'Results'!C7*(1-'Inputs'!$B$24)*(0.5*((((692-43)*MAX('Inputs'!$B$33,'Inputs'!$B$29+'Inputs'!$B$31+'Inputs'!$B$32,'Inputs'!$B$30+'Inputs'!$B$31+'Inputs'!$B$32)/1000+'Inputs'!$B$21+'Inputs'!$B$7+'Inputs'!$B$10)+'Inputs'!$B$9)/SQRT((((692-43)*MAX('Inputs'!$B$33,'Inputs'!$B$29+'Inputs'!$B$31+'Inputs'!$B$32,'Inputs'!$B$30+'Inputs'!$B$31+'Inputs'!$B$32)/1000+'Inputs'!$B$21+'Inputs'!$B$7+'Inputs'!$B$10)+'Inputs'!$B$9)^2+('Inputs'!$B$8/2)^2)-(((692-43)*MAX('Inputs'!$B$33,'Inputs'!$B$29+'Inputs'!$B$31+'Inputs'!$B$32,'Inputs'!$B$30+'Inputs'!$B$31+'Inputs'!$B$32)/1000+'Inputs'!$B$21+'Inputs'!$B$7+'Inputs'!$B$10))/SQRT((((692-43)*MAX('Inputs'!$B$33,'Inputs'!$B$29+'Inputs'!$B$31+'Inputs'!$B$32,'Inputs'!$B$30+'Inputs'!$B$31+'Inputs'!$B$32)/1000+'Inputs'!$B$21+'Inputs'!$B$7+'Inputs'!$B$10))^2+('Inputs'!$B$8/2)^2))))*'Results'!$B$8)+'Inputs'!$B$28*ABS((('Results'!B7*(1+'Inputs'!$B$24)*(0.5*((((692-43)*MAX('Inputs'!$B$33,'Inputs'!$B$29+'Inputs'!$B$31+'Inputs'!$B$32,'Inputs'!$B$30+'Inputs'!$B$31+'Inputs'!$B$32)/1000+'Inputs'!$B$21)+'Inputs'!$B$7)/SQRT((((692-43)*MAX('Inputs'!$B$33,'Inputs'!$B$29+'Inputs'!$B$31+'Inputs'!$B$32,'Inputs'!$B$30+'Inputs'!$B$31+'Inputs'!$B$32)/1000+'Inputs'!$B$21)+'Inputs'!$B$7)^2+('Inputs'!$B$6/2)^2)-(((692-43)*MAX('Inputs'!$B$33,'Inputs'!$B$29+'Inputs'!$B$31+'Inputs'!$B$32,'Inputs'!$B$30+'Inputs'!$B$31+'Inputs'!$B$32)/1000+'Inputs'!$B$21))/SQRT((((692-43)*MAX('Inputs'!$B$33,'Inputs'!$B$29+'Inputs'!$B$31+'Inputs'!$B$32,'Inputs'!$B$30+'Inputs'!$B$31+'Inputs'!$B$32)/1000+'Inputs'!$B$21))^2+('Inputs'!$B$6/2)^2)))-'Results'!C7*(1-'Inputs'!$B$24)*(0.5*((((692-43)*MAX('Inputs'!$B$33,'Inputs'!$B$29+'Inputs'!$B$31+'Inputs'!$B$32,'Inputs'!$B$30+'Inputs'!$B$31+'Inputs'!$B$32)/1000+'Inputs'!$B$21+'Inputs'!$B$7+'Inputs'!$B$10)+'Inputs'!$B$9)/SQRT((((692-43)*MAX('Inputs'!$B$33,'Inputs'!$B$29+'Inputs'!$B$31+'Inputs'!$B$32,'Inputs'!$B$30+'Inputs'!$B$31+'Inputs'!$B$32)/1000+'Inputs'!$B$21+'Inputs'!$B$7+'Inputs'!$B$10)+'Inputs'!$B$9)^2+('Inputs'!$B$8/2)^2)-(((692-43)*MAX('Inputs'!$B$33,'Inputs'!$B$29+'Inputs'!$B$31+'Inputs'!$B$32,'Inputs'!$B$30+'Inputs'!$B$31+'Inputs'!$B$32)/1000+'Inputs'!$B$21+'Inputs'!$B$7+'Inputs'!$B$10))/SQRT((((692-43)*MAX('Inputs'!$B$33,'Inputs'!$B$29+'Inputs'!$B$31+'Inputs'!$B$32,'Inputs'!$B$30+'Inputs'!$B$31+'Inputs'!$B$32)/1000+'Inputs'!$B$21+'Inputs'!$B$7+'Inputs'!$B$10))^2+('Inputs'!$B$8/2)^2))))*'Results'!$B$8))),"")</x:f>
        <x:v>1.9215460874411756</x:v>
      </x:c>
      <x:c r="M692" t="n">
        <x:f>IF(AND(ISNUMBER('Results'!C7),ISNUMBER('Results'!B7),ISNUMBER('Results'!$B$8),ISNUMBER('Inputs'!$B$6),ISNUMBER('Inputs'!$B$7),ISNUMBER('Inputs'!$B$8),ISNUMBER('Inputs'!$B$9),ISNUMBER('Inputs'!$B$10),ISNUMBER('Inputs'!$B$21),ISNUMBER('Inputs'!$B$24),ISNUMBER('Inputs'!$B$28)),(('Results'!C7*(0.5*((((692-43)*MAX('Inputs'!$B$33,'Inputs'!$B$29+'Inputs'!$B$31+'Inputs'!$B$32,'Inputs'!$B$30+'Inputs'!$B$31+'Inputs'!$B$32)/1000+'Inputs'!$B$21)+'Inputs'!$B$9)/SQRT((((692-43)*MAX('Inputs'!$B$33,'Inputs'!$B$29+'Inputs'!$B$31+'Inputs'!$B$32,'Inputs'!$B$30+'Inputs'!$B$31+'Inputs'!$B$32)/1000+'Inputs'!$B$21)+'Inputs'!$B$9)^2+('Inputs'!$B$8/2)^2)-(((692-43)*MAX('Inputs'!$B$33,'Inputs'!$B$29+'Inputs'!$B$31+'Inputs'!$B$32,'Inputs'!$B$30+'Inputs'!$B$31+'Inputs'!$B$32)/1000+'Inputs'!$B$21))/SQRT((((692-43)*MAX('Inputs'!$B$33,'Inputs'!$B$29+'Inputs'!$B$31+'Inputs'!$B$32,'Inputs'!$B$30+'Inputs'!$B$31+'Inputs'!$B$32)/1000+'Inputs'!$B$21))^2+('Inputs'!$B$8/2)^2)))-'Results'!B7*(0.5*((((692-43)*MAX('Inputs'!$B$33,'Inputs'!$B$29+'Inputs'!$B$31+'Inputs'!$B$32,'Inputs'!$B$30+'Inputs'!$B$31+'Inputs'!$B$32)/1000+'Inputs'!$B$21+'Inputs'!$B$9+'Inputs'!$B$10)+'Inputs'!$B$7)/SQRT((((692-43)*MAX('Inputs'!$B$33,'Inputs'!$B$29+'Inputs'!$B$31+'Inputs'!$B$32,'Inputs'!$B$30+'Inputs'!$B$31+'Inputs'!$B$32)/1000+'Inputs'!$B$21+'Inputs'!$B$9+'Inputs'!$B$10)+'Inputs'!$B$7)^2+('Inputs'!$B$6/2)^2)-(((692-43)*MAX('Inputs'!$B$33,'Inputs'!$B$29+'Inputs'!$B$31+'Inputs'!$B$32,'Inputs'!$B$30+'Inputs'!$B$31+'Inputs'!$B$32)/1000+'Inputs'!$B$21+'Inputs'!$B$9+'Inputs'!$B$10))/SQRT((((692-43)*MAX('Inputs'!$B$33,'Inputs'!$B$29+'Inputs'!$B$31+'Inputs'!$B$32,'Inputs'!$B$30+'Inputs'!$B$31+'Inputs'!$B$32)/1000+'Inputs'!$B$21+'Inputs'!$B$9+'Inputs'!$B$10))^2+('Inputs'!$B$6/2)^2))))*'Results'!$B$8),"")</x:f>
        <x:v>1.5475226069354717</x:v>
      </x:c>
      <x:c r="N692" t="n">
        <x:f>IF(AND(ISNUMBER('Results'!C7),ISNUMBER('Results'!B7),ISNUMBER('Results'!$B$8),ISNUMBER('Inputs'!$B$6),ISNUMBER('Inputs'!$B$7),ISNUMBER('Inputs'!$B$8),ISNUMBER('Inputs'!$B$9),ISNUMBER('Inputs'!$B$10),ISNUMBER('Inputs'!$B$21),ISNUMBER('Inputs'!$B$24),ISNUMBER('Inputs'!$B$28)),((('Results'!C7*(1-'Inputs'!$B$24)*(0.5*((((692-43)*MAX('Inputs'!$B$33,'Inputs'!$B$29+'Inputs'!$B$31+'Inputs'!$B$32,'Inputs'!$B$30+'Inputs'!$B$31+'Inputs'!$B$32)/1000+'Inputs'!$B$21)+'Inputs'!$B$9)/SQRT((((692-43)*MAX('Inputs'!$B$33,'Inputs'!$B$29+'Inputs'!$B$31+'Inputs'!$B$32,'Inputs'!$B$30+'Inputs'!$B$31+'Inputs'!$B$32)/1000+'Inputs'!$B$21)+'Inputs'!$B$9)^2+('Inputs'!$B$8/2)^2)-(((692-43)*MAX('Inputs'!$B$33,'Inputs'!$B$29+'Inputs'!$B$31+'Inputs'!$B$32,'Inputs'!$B$30+'Inputs'!$B$31+'Inputs'!$B$32)/1000+'Inputs'!$B$21))/SQRT((((692-43)*MAX('Inputs'!$B$33,'Inputs'!$B$29+'Inputs'!$B$31+'Inputs'!$B$32,'Inputs'!$B$30+'Inputs'!$B$31+'Inputs'!$B$32)/1000+'Inputs'!$B$21))^2+('Inputs'!$B$8/2)^2)))-'Results'!B7*(1+'Inputs'!$B$24)*(0.5*((((692-43)*MAX('Inputs'!$B$33,'Inputs'!$B$29+'Inputs'!$B$31+'Inputs'!$B$32,'Inputs'!$B$30+'Inputs'!$B$31+'Inputs'!$B$32)/1000+'Inputs'!$B$21+'Inputs'!$B$9+'Inputs'!$B$10)+'Inputs'!$B$7)/SQRT((((692-43)*MAX('Inputs'!$B$33,'Inputs'!$B$29+'Inputs'!$B$31+'Inputs'!$B$32,'Inputs'!$B$30+'Inputs'!$B$31+'Inputs'!$B$32)/1000+'Inputs'!$B$21+'Inputs'!$B$9+'Inputs'!$B$10)+'Inputs'!$B$7)^2+('Inputs'!$B$6/2)^2)-(((692-43)*MAX('Inputs'!$B$33,'Inputs'!$B$29+'Inputs'!$B$31+'Inputs'!$B$32,'Inputs'!$B$30+'Inputs'!$B$31+'Inputs'!$B$32)/1000+'Inputs'!$B$21+'Inputs'!$B$9+'Inputs'!$B$10))/SQRT((((692-43)*MAX('Inputs'!$B$33,'Inputs'!$B$29+'Inputs'!$B$31+'Inputs'!$B$32,'Inputs'!$B$30+'Inputs'!$B$31+'Inputs'!$B$32)/1000+'Inputs'!$B$21+'Inputs'!$B$9+'Inputs'!$B$10))^2+('Inputs'!$B$6/2)^2))))*'Results'!$B$8)-'Inputs'!$B$28*ABS((('Results'!C7*(1-'Inputs'!$B$24)*(0.5*((((692-43)*MAX('Inputs'!$B$33,'Inputs'!$B$29+'Inputs'!$B$31+'Inputs'!$B$32,'Inputs'!$B$30+'Inputs'!$B$31+'Inputs'!$B$32)/1000+'Inputs'!$B$21)+'Inputs'!$B$9)/SQRT((((692-43)*MAX('Inputs'!$B$33,'Inputs'!$B$29+'Inputs'!$B$31+'Inputs'!$B$32,'Inputs'!$B$30+'Inputs'!$B$31+'Inputs'!$B$32)/1000+'Inputs'!$B$21)+'Inputs'!$B$9)^2+('Inputs'!$B$8/2)^2)-(((692-43)*MAX('Inputs'!$B$33,'Inputs'!$B$29+'Inputs'!$B$31+'Inputs'!$B$32,'Inputs'!$B$30+'Inputs'!$B$31+'Inputs'!$B$32)/1000+'Inputs'!$B$21))/SQRT((((692-43)*MAX('Inputs'!$B$33,'Inputs'!$B$29+'Inputs'!$B$31+'Inputs'!$B$32,'Inputs'!$B$30+'Inputs'!$B$31+'Inputs'!$B$32)/1000+'Inputs'!$B$21))^2+('Inputs'!$B$8/2)^2)))-'Results'!B7*(1+'Inputs'!$B$24)*(0.5*((((692-43)*MAX('Inputs'!$B$33,'Inputs'!$B$29+'Inputs'!$B$31+'Inputs'!$B$32,'Inputs'!$B$30+'Inputs'!$B$31+'Inputs'!$B$32)/1000+'Inputs'!$B$21+'Inputs'!$B$9+'Inputs'!$B$10)+'Inputs'!$B$7)/SQRT((((692-43)*MAX('Inputs'!$B$33,'Inputs'!$B$29+'Inputs'!$B$31+'Inputs'!$B$32,'Inputs'!$B$30+'Inputs'!$B$31+'Inputs'!$B$32)/1000+'Inputs'!$B$21+'Inputs'!$B$9+'Inputs'!$B$10)+'Inputs'!$B$7)^2+('Inputs'!$B$6/2)^2)-(((692-43)*MAX('Inputs'!$B$33,'Inputs'!$B$29+'Inputs'!$B$31+'Inputs'!$B$32,'Inputs'!$B$30+'Inputs'!$B$31+'Inputs'!$B$32)/1000+'Inputs'!$B$21+'Inputs'!$B$9+'Inputs'!$B$10))/SQRT((((692-43)*MAX('Inputs'!$B$33,'Inputs'!$B$29+'Inputs'!$B$31+'Inputs'!$B$32,'Inputs'!$B$30+'Inputs'!$B$31+'Inputs'!$B$32)/1000+'Inputs'!$B$21+'Inputs'!$B$9+'Inputs'!$B$10))^2+('Inputs'!$B$6/2)^2))))*'Results'!$B$8))),"")</x:f>
        <x:v>1.3370883556665218</x:v>
      </x:c>
      <x:c r="O692" t="n">
        <x:f>IF(AND(ISNUMBER('Results'!C7),ISNUMBER('Results'!B7),ISNUMBER('Results'!$B$8),ISNUMBER('Inputs'!$B$6),ISNUMBER('Inputs'!$B$7),ISNUMBER('Inputs'!$B$8),ISNUMBER('Inputs'!$B$9),ISNUMBER('Inputs'!$B$10),ISNUMBER('Inputs'!$B$21),ISNUMBER('Inputs'!$B$24),ISNUMBER('Inputs'!$B$28)),((('Results'!C7*(1+'Inputs'!$B$24)*(0.5*((((692-43)*MAX('Inputs'!$B$33,'Inputs'!$B$29+'Inputs'!$B$31+'Inputs'!$B$32,'Inputs'!$B$30+'Inputs'!$B$31+'Inputs'!$B$32)/1000+'Inputs'!$B$21)+'Inputs'!$B$9)/SQRT((((692-43)*MAX('Inputs'!$B$33,'Inputs'!$B$29+'Inputs'!$B$31+'Inputs'!$B$32,'Inputs'!$B$30+'Inputs'!$B$31+'Inputs'!$B$32)/1000+'Inputs'!$B$21)+'Inputs'!$B$9)^2+('Inputs'!$B$8/2)^2)-(((692-43)*MAX('Inputs'!$B$33,'Inputs'!$B$29+'Inputs'!$B$31+'Inputs'!$B$32,'Inputs'!$B$30+'Inputs'!$B$31+'Inputs'!$B$32)/1000+'Inputs'!$B$21))/SQRT((((692-43)*MAX('Inputs'!$B$33,'Inputs'!$B$29+'Inputs'!$B$31+'Inputs'!$B$32,'Inputs'!$B$30+'Inputs'!$B$31+'Inputs'!$B$32)/1000+'Inputs'!$B$21))^2+('Inputs'!$B$8/2)^2)))-'Results'!B7*(1-'Inputs'!$B$24)*(0.5*((((692-43)*MAX('Inputs'!$B$33,'Inputs'!$B$29+'Inputs'!$B$31+'Inputs'!$B$32,'Inputs'!$B$30+'Inputs'!$B$31+'Inputs'!$B$32)/1000+'Inputs'!$B$21+'Inputs'!$B$9+'Inputs'!$B$10)+'Inputs'!$B$7)/SQRT((((692-43)*MAX('Inputs'!$B$33,'Inputs'!$B$29+'Inputs'!$B$31+'Inputs'!$B$32,'Inputs'!$B$30+'Inputs'!$B$31+'Inputs'!$B$32)/1000+'Inputs'!$B$21+'Inputs'!$B$9+'Inputs'!$B$10)+'Inputs'!$B$7)^2+('Inputs'!$B$6/2)^2)-(((692-43)*MAX('Inputs'!$B$33,'Inputs'!$B$29+'Inputs'!$B$31+'Inputs'!$B$32,'Inputs'!$B$30+'Inputs'!$B$31+'Inputs'!$B$32)/1000+'Inputs'!$B$21+'Inputs'!$B$9+'Inputs'!$B$10))/SQRT((((692-43)*MAX('Inputs'!$B$33,'Inputs'!$B$29+'Inputs'!$B$31+'Inputs'!$B$32,'Inputs'!$B$30+'Inputs'!$B$31+'Inputs'!$B$32)/1000+'Inputs'!$B$21+'Inputs'!$B$9+'Inputs'!$B$10))^2+('Inputs'!$B$6/2)^2))))*'Results'!$B$8)+'Inputs'!$B$28*ABS((('Results'!C7*(1+'Inputs'!$B$24)*(0.5*((((692-43)*MAX('Inputs'!$B$33,'Inputs'!$B$29+'Inputs'!$B$31+'Inputs'!$B$32,'Inputs'!$B$30+'Inputs'!$B$31+'Inputs'!$B$32)/1000+'Inputs'!$B$21)+'Inputs'!$B$9)/SQRT((((692-43)*MAX('Inputs'!$B$33,'Inputs'!$B$29+'Inputs'!$B$31+'Inputs'!$B$32,'Inputs'!$B$30+'Inputs'!$B$31+'Inputs'!$B$32)/1000+'Inputs'!$B$21)+'Inputs'!$B$9)^2+('Inputs'!$B$8/2)^2)-(((692-43)*MAX('Inputs'!$B$33,'Inputs'!$B$29+'Inputs'!$B$31+'Inputs'!$B$32,'Inputs'!$B$30+'Inputs'!$B$31+'Inputs'!$B$32)/1000+'Inputs'!$B$21))/SQRT((((692-43)*MAX('Inputs'!$B$33,'Inputs'!$B$29+'Inputs'!$B$31+'Inputs'!$B$32,'Inputs'!$B$30+'Inputs'!$B$31+'Inputs'!$B$32)/1000+'Inputs'!$B$21))^2+('Inputs'!$B$8/2)^2)))-'Results'!B7*(1-'Inputs'!$B$24)*(0.5*((((692-43)*MAX('Inputs'!$B$33,'Inputs'!$B$29+'Inputs'!$B$31+'Inputs'!$B$32,'Inputs'!$B$30+'Inputs'!$B$31+'Inputs'!$B$32)/1000+'Inputs'!$B$21+'Inputs'!$B$9+'Inputs'!$B$10)+'Inputs'!$B$7)/SQRT((((692-43)*MAX('Inputs'!$B$33,'Inputs'!$B$29+'Inputs'!$B$31+'Inputs'!$B$32,'Inputs'!$B$30+'Inputs'!$B$31+'Inputs'!$B$32)/1000+'Inputs'!$B$21+'Inputs'!$B$9+'Inputs'!$B$10)+'Inputs'!$B$7)^2+('Inputs'!$B$6/2)^2)-(((692-43)*MAX('Inputs'!$B$33,'Inputs'!$B$29+'Inputs'!$B$31+'Inputs'!$B$32,'Inputs'!$B$30+'Inputs'!$B$31+'Inputs'!$B$32)/1000+'Inputs'!$B$21+'Inputs'!$B$9+'Inputs'!$B$10))/SQRT((((692-43)*MAX('Inputs'!$B$33,'Inputs'!$B$29+'Inputs'!$B$31+'Inputs'!$B$32,'Inputs'!$B$30+'Inputs'!$B$31+'Inputs'!$B$32)/1000+'Inputs'!$B$21+'Inputs'!$B$9+'Inputs'!$B$10))^2+('Inputs'!$B$6/2)^2))))*'Results'!$B$8))),"")</x:f>
        <x:v>1.7719629761962297</x:v>
      </x:c>
      <x:c r="P692" t="n">
        <x:f>IF(AND(MAX(J692,J691)&gt;0,J692&gt;J691+0.00000001),1,0)</x:f>
        <x:v>0</x:v>
      </x:c>
      <x:c r="Q692" t="n">
        <x:f>IF(AND(MAX(K692,K691)&gt;0,K692&gt;K691+0.00000001),1,0)</x:f>
        <x:v>0</x:v>
      </x:c>
      <x:c r="R692" t="n">
        <x:f>IF(AND(MAX(L692,L691)&gt;0,L692&gt;L691+0.00000001),1,0)</x:f>
        <x:v>0</x:v>
      </x:c>
      <x:c r="S692" t="n">
        <x:f>IF(AND(MAX(M692,M691)&gt;0,M692&gt;M691+0.00000001),1,0)</x:f>
        <x:v>0</x:v>
      </x:c>
      <x:c r="T692" t="n">
        <x:f>IF(AND(MAX(N692,N691)&gt;0,N692&gt;N691+0.00000001),1,0)</x:f>
        <x:v>0</x:v>
      </x:c>
      <x:c r="U692" t="n">
        <x:f>IF(AND(MAX(O692,O691)&gt;0,O692&gt;O691+0.00000001),1,0)</x:f>
        <x:v>0</x:v>
      </x:c>
    </x:row>
    <x:row r="693">
      <x:c r="J693" t="n">
        <x:f>IF(AND(ISNUMBER('Results'!B7),ISNUMBER('Results'!C7),ISNUMBER('Results'!$B$8),ISNUMBER('Inputs'!$B$6),ISNUMBER('Inputs'!$B$7),ISNUMBER('Inputs'!$B$8),ISNUMBER('Inputs'!$B$9),ISNUMBER('Inputs'!$B$10),ISNUMBER('Inputs'!$B$21),ISNUMBER('Inputs'!$B$24),ISNUMBER('Inputs'!$B$28)),(('Results'!B7*(0.5*((((693-43)*MAX('Inputs'!$B$33,'Inputs'!$B$29+'Inputs'!$B$31+'Inputs'!$B$32,'Inputs'!$B$30+'Inputs'!$B$31+'Inputs'!$B$32)/1000+'Inputs'!$B$21)+'Inputs'!$B$7)/SQRT((((693-43)*MAX('Inputs'!$B$33,'Inputs'!$B$29+'Inputs'!$B$31+'Inputs'!$B$32,'Inputs'!$B$30+'Inputs'!$B$31+'Inputs'!$B$32)/1000+'Inputs'!$B$21)+'Inputs'!$B$7)^2+('Inputs'!$B$6/2)^2)-(((693-43)*MAX('Inputs'!$B$33,'Inputs'!$B$29+'Inputs'!$B$31+'Inputs'!$B$32,'Inputs'!$B$30+'Inputs'!$B$31+'Inputs'!$B$32)/1000+'Inputs'!$B$21))/SQRT((((693-43)*MAX('Inputs'!$B$33,'Inputs'!$B$29+'Inputs'!$B$31+'Inputs'!$B$32,'Inputs'!$B$30+'Inputs'!$B$31+'Inputs'!$B$32)/1000+'Inputs'!$B$21))^2+('Inputs'!$B$6/2)^2)))-'Results'!C7*(0.5*((((693-43)*MAX('Inputs'!$B$33,'Inputs'!$B$29+'Inputs'!$B$31+'Inputs'!$B$32,'Inputs'!$B$30+'Inputs'!$B$31+'Inputs'!$B$32)/1000+'Inputs'!$B$21+'Inputs'!$B$7+'Inputs'!$B$10)+'Inputs'!$B$9)/SQRT((((693-43)*MAX('Inputs'!$B$33,'Inputs'!$B$29+'Inputs'!$B$31+'Inputs'!$B$32,'Inputs'!$B$30+'Inputs'!$B$31+'Inputs'!$B$32)/1000+'Inputs'!$B$21+'Inputs'!$B$7+'Inputs'!$B$10)+'Inputs'!$B$9)^2+('Inputs'!$B$8/2)^2)-(((693-43)*MAX('Inputs'!$B$33,'Inputs'!$B$29+'Inputs'!$B$31+'Inputs'!$B$32,'Inputs'!$B$30+'Inputs'!$B$31+'Inputs'!$B$32)/1000+'Inputs'!$B$21+'Inputs'!$B$7+'Inputs'!$B$10))/SQRT((((693-43)*MAX('Inputs'!$B$33,'Inputs'!$B$29+'Inputs'!$B$31+'Inputs'!$B$32,'Inputs'!$B$30+'Inputs'!$B$31+'Inputs'!$B$32)/1000+'Inputs'!$B$21+'Inputs'!$B$7+'Inputs'!$B$10))^2+('Inputs'!$B$8/2)^2))))*'Results'!$B$8),"")</x:f>
        <x:v>1.6801822653843894</x:v>
      </x:c>
      <x:c r="K693" t="n">
        <x:f>IF(AND(ISNUMBER('Results'!B7),ISNUMBER('Results'!C7),ISNUMBER('Results'!$B$8),ISNUMBER('Inputs'!$B$6),ISNUMBER('Inputs'!$B$7),ISNUMBER('Inputs'!$B$8),ISNUMBER('Inputs'!$B$9),ISNUMBER('Inputs'!$B$10),ISNUMBER('Inputs'!$B$21),ISNUMBER('Inputs'!$B$24),ISNUMBER('Inputs'!$B$28)),((('Results'!B7*(1-'Inputs'!$B$24)*(0.5*((((693-43)*MAX('Inputs'!$B$33,'Inputs'!$B$29+'Inputs'!$B$31+'Inputs'!$B$32,'Inputs'!$B$30+'Inputs'!$B$31+'Inputs'!$B$32)/1000+'Inputs'!$B$21)+'Inputs'!$B$7)/SQRT((((693-43)*MAX('Inputs'!$B$33,'Inputs'!$B$29+'Inputs'!$B$31+'Inputs'!$B$32,'Inputs'!$B$30+'Inputs'!$B$31+'Inputs'!$B$32)/1000+'Inputs'!$B$21)+'Inputs'!$B$7)^2+('Inputs'!$B$6/2)^2)-(((693-43)*MAX('Inputs'!$B$33,'Inputs'!$B$29+'Inputs'!$B$31+'Inputs'!$B$32,'Inputs'!$B$30+'Inputs'!$B$31+'Inputs'!$B$32)/1000+'Inputs'!$B$21))/SQRT((((693-43)*MAX('Inputs'!$B$33,'Inputs'!$B$29+'Inputs'!$B$31+'Inputs'!$B$32,'Inputs'!$B$30+'Inputs'!$B$31+'Inputs'!$B$32)/1000+'Inputs'!$B$21))^2+('Inputs'!$B$6/2)^2)))-'Results'!C7*(1+'Inputs'!$B$24)*(0.5*((((693-43)*MAX('Inputs'!$B$33,'Inputs'!$B$29+'Inputs'!$B$31+'Inputs'!$B$32,'Inputs'!$B$30+'Inputs'!$B$31+'Inputs'!$B$32)/1000+'Inputs'!$B$21+'Inputs'!$B$7+'Inputs'!$B$10)+'Inputs'!$B$9)/SQRT((((693-43)*MAX('Inputs'!$B$33,'Inputs'!$B$29+'Inputs'!$B$31+'Inputs'!$B$32,'Inputs'!$B$30+'Inputs'!$B$31+'Inputs'!$B$32)/1000+'Inputs'!$B$21+'Inputs'!$B$7+'Inputs'!$B$10)+'Inputs'!$B$9)^2+('Inputs'!$B$8/2)^2)-(((693-43)*MAX('Inputs'!$B$33,'Inputs'!$B$29+'Inputs'!$B$31+'Inputs'!$B$32,'Inputs'!$B$30+'Inputs'!$B$31+'Inputs'!$B$32)/1000+'Inputs'!$B$21+'Inputs'!$B$7+'Inputs'!$B$10))/SQRT((((693-43)*MAX('Inputs'!$B$33,'Inputs'!$B$29+'Inputs'!$B$31+'Inputs'!$B$32,'Inputs'!$B$30+'Inputs'!$B$31+'Inputs'!$B$32)/1000+'Inputs'!$B$21+'Inputs'!$B$7+'Inputs'!$B$10))^2+('Inputs'!$B$8/2)^2))))*'Results'!$B$8)-'Inputs'!$B$28*ABS((('Results'!B7*(1-'Inputs'!$B$24)*(0.5*((((693-43)*MAX('Inputs'!$B$33,'Inputs'!$B$29+'Inputs'!$B$31+'Inputs'!$B$32,'Inputs'!$B$30+'Inputs'!$B$31+'Inputs'!$B$32)/1000+'Inputs'!$B$21)+'Inputs'!$B$7)/SQRT((((693-43)*MAX('Inputs'!$B$33,'Inputs'!$B$29+'Inputs'!$B$31+'Inputs'!$B$32,'Inputs'!$B$30+'Inputs'!$B$31+'Inputs'!$B$32)/1000+'Inputs'!$B$21)+'Inputs'!$B$7)^2+('Inputs'!$B$6/2)^2)-(((693-43)*MAX('Inputs'!$B$33,'Inputs'!$B$29+'Inputs'!$B$31+'Inputs'!$B$32,'Inputs'!$B$30+'Inputs'!$B$31+'Inputs'!$B$32)/1000+'Inputs'!$B$21))/SQRT((((693-43)*MAX('Inputs'!$B$33,'Inputs'!$B$29+'Inputs'!$B$31+'Inputs'!$B$32,'Inputs'!$B$30+'Inputs'!$B$31+'Inputs'!$B$32)/1000+'Inputs'!$B$21))^2+('Inputs'!$B$6/2)^2)))-'Results'!C7*(1+'Inputs'!$B$24)*(0.5*((((693-43)*MAX('Inputs'!$B$33,'Inputs'!$B$29+'Inputs'!$B$31+'Inputs'!$B$32,'Inputs'!$B$30+'Inputs'!$B$31+'Inputs'!$B$32)/1000+'Inputs'!$B$21+'Inputs'!$B$7+'Inputs'!$B$10)+'Inputs'!$B$9)/SQRT((((693-43)*MAX('Inputs'!$B$33,'Inputs'!$B$29+'Inputs'!$B$31+'Inputs'!$B$32,'Inputs'!$B$30+'Inputs'!$B$31+'Inputs'!$B$32)/1000+'Inputs'!$B$21+'Inputs'!$B$7+'Inputs'!$B$10)+'Inputs'!$B$9)^2+('Inputs'!$B$8/2)^2)-(((693-43)*MAX('Inputs'!$B$33,'Inputs'!$B$29+'Inputs'!$B$31+'Inputs'!$B$32,'Inputs'!$B$30+'Inputs'!$B$31+'Inputs'!$B$32)/1000+'Inputs'!$B$21+'Inputs'!$B$7+'Inputs'!$B$10))/SQRT((((693-43)*MAX('Inputs'!$B$33,'Inputs'!$B$29+'Inputs'!$B$31+'Inputs'!$B$32,'Inputs'!$B$30+'Inputs'!$B$31+'Inputs'!$B$32)/1000+'Inputs'!$B$21+'Inputs'!$B$7+'Inputs'!$B$10))^2+('Inputs'!$B$8/2)^2))))*'Results'!$B$8))),"")</x:f>
        <x:v>1.463051937895246</x:v>
      </x:c>
      <x:c r="L693" t="n">
        <x:f>IF(AND(ISNUMBER('Results'!B7),ISNUMBER('Results'!C7),ISNUMBER('Results'!$B$8),ISNUMBER('Inputs'!$B$6),ISNUMBER('Inputs'!$B$7),ISNUMBER('Inputs'!$B$8),ISNUMBER('Inputs'!$B$9),ISNUMBER('Inputs'!$B$10),ISNUMBER('Inputs'!$B$21),ISNUMBER('Inputs'!$B$24),ISNUMBER('Inputs'!$B$28)),((('Results'!B7*(1+'Inputs'!$B$24)*(0.5*((((693-43)*MAX('Inputs'!$B$33,'Inputs'!$B$29+'Inputs'!$B$31+'Inputs'!$B$32,'Inputs'!$B$30+'Inputs'!$B$31+'Inputs'!$B$32)/1000+'Inputs'!$B$21)+'Inputs'!$B$7)/SQRT((((693-43)*MAX('Inputs'!$B$33,'Inputs'!$B$29+'Inputs'!$B$31+'Inputs'!$B$32,'Inputs'!$B$30+'Inputs'!$B$31+'Inputs'!$B$32)/1000+'Inputs'!$B$21)+'Inputs'!$B$7)^2+('Inputs'!$B$6/2)^2)-(((693-43)*MAX('Inputs'!$B$33,'Inputs'!$B$29+'Inputs'!$B$31+'Inputs'!$B$32,'Inputs'!$B$30+'Inputs'!$B$31+'Inputs'!$B$32)/1000+'Inputs'!$B$21))/SQRT((((693-43)*MAX('Inputs'!$B$33,'Inputs'!$B$29+'Inputs'!$B$31+'Inputs'!$B$32,'Inputs'!$B$30+'Inputs'!$B$31+'Inputs'!$B$32)/1000+'Inputs'!$B$21))^2+('Inputs'!$B$6/2)^2)))-'Results'!C7*(1-'Inputs'!$B$24)*(0.5*((((693-43)*MAX('Inputs'!$B$33,'Inputs'!$B$29+'Inputs'!$B$31+'Inputs'!$B$32,'Inputs'!$B$30+'Inputs'!$B$31+'Inputs'!$B$32)/1000+'Inputs'!$B$21+'Inputs'!$B$7+'Inputs'!$B$10)+'Inputs'!$B$9)/SQRT((((693-43)*MAX('Inputs'!$B$33,'Inputs'!$B$29+'Inputs'!$B$31+'Inputs'!$B$32,'Inputs'!$B$30+'Inputs'!$B$31+'Inputs'!$B$32)/1000+'Inputs'!$B$21+'Inputs'!$B$7+'Inputs'!$B$10)+'Inputs'!$B$9)^2+('Inputs'!$B$8/2)^2)-(((693-43)*MAX('Inputs'!$B$33,'Inputs'!$B$29+'Inputs'!$B$31+'Inputs'!$B$32,'Inputs'!$B$30+'Inputs'!$B$31+'Inputs'!$B$32)/1000+'Inputs'!$B$21+'Inputs'!$B$7+'Inputs'!$B$10))/SQRT((((693-43)*MAX('Inputs'!$B$33,'Inputs'!$B$29+'Inputs'!$B$31+'Inputs'!$B$32,'Inputs'!$B$30+'Inputs'!$B$31+'Inputs'!$B$32)/1000+'Inputs'!$B$21+'Inputs'!$B$7+'Inputs'!$B$10))^2+('Inputs'!$B$8/2)^2))))*'Results'!$B$8)+'Inputs'!$B$28*ABS((('Results'!B7*(1+'Inputs'!$B$24)*(0.5*((((693-43)*MAX('Inputs'!$B$33,'Inputs'!$B$29+'Inputs'!$B$31+'Inputs'!$B$32,'Inputs'!$B$30+'Inputs'!$B$31+'Inputs'!$B$32)/1000+'Inputs'!$B$21)+'Inputs'!$B$7)/SQRT((((693-43)*MAX('Inputs'!$B$33,'Inputs'!$B$29+'Inputs'!$B$31+'Inputs'!$B$32,'Inputs'!$B$30+'Inputs'!$B$31+'Inputs'!$B$32)/1000+'Inputs'!$B$21)+'Inputs'!$B$7)^2+('Inputs'!$B$6/2)^2)-(((693-43)*MAX('Inputs'!$B$33,'Inputs'!$B$29+'Inputs'!$B$31+'Inputs'!$B$32,'Inputs'!$B$30+'Inputs'!$B$31+'Inputs'!$B$32)/1000+'Inputs'!$B$21))/SQRT((((693-43)*MAX('Inputs'!$B$33,'Inputs'!$B$29+'Inputs'!$B$31+'Inputs'!$B$32,'Inputs'!$B$30+'Inputs'!$B$31+'Inputs'!$B$32)/1000+'Inputs'!$B$21))^2+('Inputs'!$B$6/2)^2)))-'Results'!C7*(1-'Inputs'!$B$24)*(0.5*((((693-43)*MAX('Inputs'!$B$33,'Inputs'!$B$29+'Inputs'!$B$31+'Inputs'!$B$32,'Inputs'!$B$30+'Inputs'!$B$31+'Inputs'!$B$32)/1000+'Inputs'!$B$21+'Inputs'!$B$7+'Inputs'!$B$10)+'Inputs'!$B$9)/SQRT((((693-43)*MAX('Inputs'!$B$33,'Inputs'!$B$29+'Inputs'!$B$31+'Inputs'!$B$32,'Inputs'!$B$30+'Inputs'!$B$31+'Inputs'!$B$32)/1000+'Inputs'!$B$21+'Inputs'!$B$7+'Inputs'!$B$10)+'Inputs'!$B$9)^2+('Inputs'!$B$8/2)^2)-(((693-43)*MAX('Inputs'!$B$33,'Inputs'!$B$29+'Inputs'!$B$31+'Inputs'!$B$32,'Inputs'!$B$30+'Inputs'!$B$31+'Inputs'!$B$32)/1000+'Inputs'!$B$21+'Inputs'!$B$7+'Inputs'!$B$10))/SQRT((((693-43)*MAX('Inputs'!$B$33,'Inputs'!$B$29+'Inputs'!$B$31+'Inputs'!$B$32,'Inputs'!$B$30+'Inputs'!$B$31+'Inputs'!$B$32)/1000+'Inputs'!$B$21+'Inputs'!$B$7+'Inputs'!$B$10))^2+('Inputs'!$B$8/2)^2))))*'Results'!$B$8))),"")</x:f>
        <x:v>1.9113253522651044</x:v>
      </x:c>
      <x:c r="M693" t="n">
        <x:f>IF(AND(ISNUMBER('Results'!C7),ISNUMBER('Results'!B7),ISNUMBER('Results'!$B$8),ISNUMBER('Inputs'!$B$6),ISNUMBER('Inputs'!$B$7),ISNUMBER('Inputs'!$B$8),ISNUMBER('Inputs'!$B$9),ISNUMBER('Inputs'!$B$10),ISNUMBER('Inputs'!$B$21),ISNUMBER('Inputs'!$B$24),ISNUMBER('Inputs'!$B$28)),(('Results'!C7*(0.5*((((693-43)*MAX('Inputs'!$B$33,'Inputs'!$B$29+'Inputs'!$B$31+'Inputs'!$B$32,'Inputs'!$B$30+'Inputs'!$B$31+'Inputs'!$B$32)/1000+'Inputs'!$B$21)+'Inputs'!$B$9)/SQRT((((693-43)*MAX('Inputs'!$B$33,'Inputs'!$B$29+'Inputs'!$B$31+'Inputs'!$B$32,'Inputs'!$B$30+'Inputs'!$B$31+'Inputs'!$B$32)/1000+'Inputs'!$B$21)+'Inputs'!$B$9)^2+('Inputs'!$B$8/2)^2)-(((693-43)*MAX('Inputs'!$B$33,'Inputs'!$B$29+'Inputs'!$B$31+'Inputs'!$B$32,'Inputs'!$B$30+'Inputs'!$B$31+'Inputs'!$B$32)/1000+'Inputs'!$B$21))/SQRT((((693-43)*MAX('Inputs'!$B$33,'Inputs'!$B$29+'Inputs'!$B$31+'Inputs'!$B$32,'Inputs'!$B$30+'Inputs'!$B$31+'Inputs'!$B$32)/1000+'Inputs'!$B$21))^2+('Inputs'!$B$8/2)^2)))-'Results'!B7*(0.5*((((693-43)*MAX('Inputs'!$B$33,'Inputs'!$B$29+'Inputs'!$B$31+'Inputs'!$B$32,'Inputs'!$B$30+'Inputs'!$B$31+'Inputs'!$B$32)/1000+'Inputs'!$B$21+'Inputs'!$B$9+'Inputs'!$B$10)+'Inputs'!$B$7)/SQRT((((693-43)*MAX('Inputs'!$B$33,'Inputs'!$B$29+'Inputs'!$B$31+'Inputs'!$B$32,'Inputs'!$B$30+'Inputs'!$B$31+'Inputs'!$B$32)/1000+'Inputs'!$B$21+'Inputs'!$B$9+'Inputs'!$B$10)+'Inputs'!$B$7)^2+('Inputs'!$B$6/2)^2)-(((693-43)*MAX('Inputs'!$B$33,'Inputs'!$B$29+'Inputs'!$B$31+'Inputs'!$B$32,'Inputs'!$B$30+'Inputs'!$B$31+'Inputs'!$B$32)/1000+'Inputs'!$B$21+'Inputs'!$B$9+'Inputs'!$B$10))/SQRT((((693-43)*MAX('Inputs'!$B$33,'Inputs'!$B$29+'Inputs'!$B$31+'Inputs'!$B$32,'Inputs'!$B$30+'Inputs'!$B$31+'Inputs'!$B$32)/1000+'Inputs'!$B$21+'Inputs'!$B$9+'Inputs'!$B$10))^2+('Inputs'!$B$6/2)^2))))*'Results'!$B$8),"")</x:f>
        <x:v>1.5389676924012512</x:v>
      </x:c>
      <x:c r="N693" t="n">
        <x:f>IF(AND(ISNUMBER('Results'!C7),ISNUMBER('Results'!B7),ISNUMBER('Results'!$B$8),ISNUMBER('Inputs'!$B$6),ISNUMBER('Inputs'!$B$7),ISNUMBER('Inputs'!$B$8),ISNUMBER('Inputs'!$B$9),ISNUMBER('Inputs'!$B$10),ISNUMBER('Inputs'!$B$21),ISNUMBER('Inputs'!$B$24),ISNUMBER('Inputs'!$B$28)),((('Results'!C7*(1-'Inputs'!$B$24)*(0.5*((((693-43)*MAX('Inputs'!$B$33,'Inputs'!$B$29+'Inputs'!$B$31+'Inputs'!$B$32,'Inputs'!$B$30+'Inputs'!$B$31+'Inputs'!$B$32)/1000+'Inputs'!$B$21)+'Inputs'!$B$9)/SQRT((((693-43)*MAX('Inputs'!$B$33,'Inputs'!$B$29+'Inputs'!$B$31+'Inputs'!$B$32,'Inputs'!$B$30+'Inputs'!$B$31+'Inputs'!$B$32)/1000+'Inputs'!$B$21)+'Inputs'!$B$9)^2+('Inputs'!$B$8/2)^2)-(((693-43)*MAX('Inputs'!$B$33,'Inputs'!$B$29+'Inputs'!$B$31+'Inputs'!$B$32,'Inputs'!$B$30+'Inputs'!$B$31+'Inputs'!$B$32)/1000+'Inputs'!$B$21))/SQRT((((693-43)*MAX('Inputs'!$B$33,'Inputs'!$B$29+'Inputs'!$B$31+'Inputs'!$B$32,'Inputs'!$B$30+'Inputs'!$B$31+'Inputs'!$B$32)/1000+'Inputs'!$B$21))^2+('Inputs'!$B$8/2)^2)))-'Results'!B7*(1+'Inputs'!$B$24)*(0.5*((((693-43)*MAX('Inputs'!$B$33,'Inputs'!$B$29+'Inputs'!$B$31+'Inputs'!$B$32,'Inputs'!$B$30+'Inputs'!$B$31+'Inputs'!$B$32)/1000+'Inputs'!$B$21+'Inputs'!$B$9+'Inputs'!$B$10)+'Inputs'!$B$7)/SQRT((((693-43)*MAX('Inputs'!$B$33,'Inputs'!$B$29+'Inputs'!$B$31+'Inputs'!$B$32,'Inputs'!$B$30+'Inputs'!$B$31+'Inputs'!$B$32)/1000+'Inputs'!$B$21+'Inputs'!$B$9+'Inputs'!$B$10)+'Inputs'!$B$7)^2+('Inputs'!$B$6/2)^2)-(((693-43)*MAX('Inputs'!$B$33,'Inputs'!$B$29+'Inputs'!$B$31+'Inputs'!$B$32,'Inputs'!$B$30+'Inputs'!$B$31+'Inputs'!$B$32)/1000+'Inputs'!$B$21+'Inputs'!$B$9+'Inputs'!$B$10))/SQRT((((693-43)*MAX('Inputs'!$B$33,'Inputs'!$B$29+'Inputs'!$B$31+'Inputs'!$B$32,'Inputs'!$B$30+'Inputs'!$B$31+'Inputs'!$B$32)/1000+'Inputs'!$B$21+'Inputs'!$B$9+'Inputs'!$B$10))^2+('Inputs'!$B$6/2)^2))))*'Results'!$B$8)-'Inputs'!$B$28*ABS((('Results'!C7*(1-'Inputs'!$B$24)*(0.5*((((693-43)*MAX('Inputs'!$B$33,'Inputs'!$B$29+'Inputs'!$B$31+'Inputs'!$B$32,'Inputs'!$B$30+'Inputs'!$B$31+'Inputs'!$B$32)/1000+'Inputs'!$B$21)+'Inputs'!$B$9)/SQRT((((693-43)*MAX('Inputs'!$B$33,'Inputs'!$B$29+'Inputs'!$B$31+'Inputs'!$B$32,'Inputs'!$B$30+'Inputs'!$B$31+'Inputs'!$B$32)/1000+'Inputs'!$B$21)+'Inputs'!$B$9)^2+('Inputs'!$B$8/2)^2)-(((693-43)*MAX('Inputs'!$B$33,'Inputs'!$B$29+'Inputs'!$B$31+'Inputs'!$B$32,'Inputs'!$B$30+'Inputs'!$B$31+'Inputs'!$B$32)/1000+'Inputs'!$B$21))/SQRT((((693-43)*MAX('Inputs'!$B$33,'Inputs'!$B$29+'Inputs'!$B$31+'Inputs'!$B$32,'Inputs'!$B$30+'Inputs'!$B$31+'Inputs'!$B$32)/1000+'Inputs'!$B$21))^2+('Inputs'!$B$8/2)^2)))-'Results'!B7*(1+'Inputs'!$B$24)*(0.5*((((693-43)*MAX('Inputs'!$B$33,'Inputs'!$B$29+'Inputs'!$B$31+'Inputs'!$B$32,'Inputs'!$B$30+'Inputs'!$B$31+'Inputs'!$B$32)/1000+'Inputs'!$B$21+'Inputs'!$B$9+'Inputs'!$B$10)+'Inputs'!$B$7)/SQRT((((693-43)*MAX('Inputs'!$B$33,'Inputs'!$B$29+'Inputs'!$B$31+'Inputs'!$B$32,'Inputs'!$B$30+'Inputs'!$B$31+'Inputs'!$B$32)/1000+'Inputs'!$B$21+'Inputs'!$B$9+'Inputs'!$B$10)+'Inputs'!$B$7)^2+('Inputs'!$B$6/2)^2)-(((693-43)*MAX('Inputs'!$B$33,'Inputs'!$B$29+'Inputs'!$B$31+'Inputs'!$B$32,'Inputs'!$B$30+'Inputs'!$B$31+'Inputs'!$B$32)/1000+'Inputs'!$B$21+'Inputs'!$B$9+'Inputs'!$B$10))/SQRT((((693-43)*MAX('Inputs'!$B$33,'Inputs'!$B$29+'Inputs'!$B$31+'Inputs'!$B$32,'Inputs'!$B$30+'Inputs'!$B$31+'Inputs'!$B$32)/1000+'Inputs'!$B$21+'Inputs'!$B$9+'Inputs'!$B$10))^2+('Inputs'!$B$6/2)^2))))*'Results'!$B$8))),"")</x:f>
        <x:v>1.3295159102198297</x:v>
      </x:c>
      <x:c r="O693" t="n">
        <x:f>IF(AND(ISNUMBER('Results'!C7),ISNUMBER('Results'!B7),ISNUMBER('Results'!$B$8),ISNUMBER('Inputs'!$B$6),ISNUMBER('Inputs'!$B$7),ISNUMBER('Inputs'!$B$8),ISNUMBER('Inputs'!$B$9),ISNUMBER('Inputs'!$B$10),ISNUMBER('Inputs'!$B$21),ISNUMBER('Inputs'!$B$24),ISNUMBER('Inputs'!$B$28)),((('Results'!C7*(1+'Inputs'!$B$24)*(0.5*((((693-43)*MAX('Inputs'!$B$33,'Inputs'!$B$29+'Inputs'!$B$31+'Inputs'!$B$32,'Inputs'!$B$30+'Inputs'!$B$31+'Inputs'!$B$32)/1000+'Inputs'!$B$21)+'Inputs'!$B$9)/SQRT((((693-43)*MAX('Inputs'!$B$33,'Inputs'!$B$29+'Inputs'!$B$31+'Inputs'!$B$32,'Inputs'!$B$30+'Inputs'!$B$31+'Inputs'!$B$32)/1000+'Inputs'!$B$21)+'Inputs'!$B$9)^2+('Inputs'!$B$8/2)^2)-(((693-43)*MAX('Inputs'!$B$33,'Inputs'!$B$29+'Inputs'!$B$31+'Inputs'!$B$32,'Inputs'!$B$30+'Inputs'!$B$31+'Inputs'!$B$32)/1000+'Inputs'!$B$21))/SQRT((((693-43)*MAX('Inputs'!$B$33,'Inputs'!$B$29+'Inputs'!$B$31+'Inputs'!$B$32,'Inputs'!$B$30+'Inputs'!$B$31+'Inputs'!$B$32)/1000+'Inputs'!$B$21))^2+('Inputs'!$B$8/2)^2)))-'Results'!B7*(1-'Inputs'!$B$24)*(0.5*((((693-43)*MAX('Inputs'!$B$33,'Inputs'!$B$29+'Inputs'!$B$31+'Inputs'!$B$32,'Inputs'!$B$30+'Inputs'!$B$31+'Inputs'!$B$32)/1000+'Inputs'!$B$21+'Inputs'!$B$9+'Inputs'!$B$10)+'Inputs'!$B$7)/SQRT((((693-43)*MAX('Inputs'!$B$33,'Inputs'!$B$29+'Inputs'!$B$31+'Inputs'!$B$32,'Inputs'!$B$30+'Inputs'!$B$31+'Inputs'!$B$32)/1000+'Inputs'!$B$21+'Inputs'!$B$9+'Inputs'!$B$10)+'Inputs'!$B$7)^2+('Inputs'!$B$6/2)^2)-(((693-43)*MAX('Inputs'!$B$33,'Inputs'!$B$29+'Inputs'!$B$31+'Inputs'!$B$32,'Inputs'!$B$30+'Inputs'!$B$31+'Inputs'!$B$32)/1000+'Inputs'!$B$21+'Inputs'!$B$9+'Inputs'!$B$10))/SQRT((((693-43)*MAX('Inputs'!$B$33,'Inputs'!$B$29+'Inputs'!$B$31+'Inputs'!$B$32,'Inputs'!$B$30+'Inputs'!$B$31+'Inputs'!$B$32)/1000+'Inputs'!$B$21+'Inputs'!$B$9+'Inputs'!$B$10))^2+('Inputs'!$B$6/2)^2))))*'Results'!$B$8)+'Inputs'!$B$28*ABS((('Results'!C7*(1+'Inputs'!$B$24)*(0.5*((((693-43)*MAX('Inputs'!$B$33,'Inputs'!$B$29+'Inputs'!$B$31+'Inputs'!$B$32,'Inputs'!$B$30+'Inputs'!$B$31+'Inputs'!$B$32)/1000+'Inputs'!$B$21)+'Inputs'!$B$9)/SQRT((((693-43)*MAX('Inputs'!$B$33,'Inputs'!$B$29+'Inputs'!$B$31+'Inputs'!$B$32,'Inputs'!$B$30+'Inputs'!$B$31+'Inputs'!$B$32)/1000+'Inputs'!$B$21)+'Inputs'!$B$9)^2+('Inputs'!$B$8/2)^2)-(((693-43)*MAX('Inputs'!$B$33,'Inputs'!$B$29+'Inputs'!$B$31+'Inputs'!$B$32,'Inputs'!$B$30+'Inputs'!$B$31+'Inputs'!$B$32)/1000+'Inputs'!$B$21))/SQRT((((693-43)*MAX('Inputs'!$B$33,'Inputs'!$B$29+'Inputs'!$B$31+'Inputs'!$B$32,'Inputs'!$B$30+'Inputs'!$B$31+'Inputs'!$B$32)/1000+'Inputs'!$B$21))^2+('Inputs'!$B$8/2)^2)))-'Results'!B7*(1-'Inputs'!$B$24)*(0.5*((((693-43)*MAX('Inputs'!$B$33,'Inputs'!$B$29+'Inputs'!$B$31+'Inputs'!$B$32,'Inputs'!$B$30+'Inputs'!$B$31+'Inputs'!$B$32)/1000+'Inputs'!$B$21+'Inputs'!$B$9+'Inputs'!$B$10)+'Inputs'!$B$7)/SQRT((((693-43)*MAX('Inputs'!$B$33,'Inputs'!$B$29+'Inputs'!$B$31+'Inputs'!$B$32,'Inputs'!$B$30+'Inputs'!$B$31+'Inputs'!$B$32)/1000+'Inputs'!$B$21+'Inputs'!$B$9+'Inputs'!$B$10)+'Inputs'!$B$7)^2+('Inputs'!$B$6/2)^2)-(((693-43)*MAX('Inputs'!$B$33,'Inputs'!$B$29+'Inputs'!$B$31+'Inputs'!$B$32,'Inputs'!$B$30+'Inputs'!$B$31+'Inputs'!$B$32)/1000+'Inputs'!$B$21+'Inputs'!$B$9+'Inputs'!$B$10))/SQRT((((693-43)*MAX('Inputs'!$B$33,'Inputs'!$B$29+'Inputs'!$B$31+'Inputs'!$B$32,'Inputs'!$B$30+'Inputs'!$B$31+'Inputs'!$B$32)/1000+'Inputs'!$B$21+'Inputs'!$B$9+'Inputs'!$B$10))^2+('Inputs'!$B$6/2)^2))))*'Results'!$B$8))),"")</x:f>
        <x:v>1.762367200641764</x:v>
      </x:c>
      <x:c r="P693" t="n">
        <x:f>IF(AND(MAX(J693,J692)&gt;0,J693&gt;J692+0.00000001),1,0)</x:f>
        <x:v>0</x:v>
      </x:c>
      <x:c r="Q693" t="n">
        <x:f>IF(AND(MAX(K693,K692)&gt;0,K693&gt;K692+0.00000001),1,0)</x:f>
        <x:v>0</x:v>
      </x:c>
      <x:c r="R693" t="n">
        <x:f>IF(AND(MAX(L693,L692)&gt;0,L693&gt;L692+0.00000001),1,0)</x:f>
        <x:v>0</x:v>
      </x:c>
      <x:c r="S693" t="n">
        <x:f>IF(AND(MAX(M693,M692)&gt;0,M693&gt;M692+0.00000001),1,0)</x:f>
        <x:v>0</x:v>
      </x:c>
      <x:c r="T693" t="n">
        <x:f>IF(AND(MAX(N693,N692)&gt;0,N693&gt;N692+0.00000001),1,0)</x:f>
        <x:v>0</x:v>
      </x:c>
      <x:c r="U693" t="n">
        <x:f>IF(AND(MAX(O693,O692)&gt;0,O693&gt;O692+0.00000001),1,0)</x:f>
        <x:v>0</x:v>
      </x:c>
    </x:row>
    <x:row r="694">
      <x:c r="J694" t="n">
        <x:f>IF(AND(ISNUMBER('Results'!B7),ISNUMBER('Results'!C7),ISNUMBER('Results'!$B$8),ISNUMBER('Inputs'!$B$6),ISNUMBER('Inputs'!$B$7),ISNUMBER('Inputs'!$B$8),ISNUMBER('Inputs'!$B$9),ISNUMBER('Inputs'!$B$10),ISNUMBER('Inputs'!$B$21),ISNUMBER('Inputs'!$B$24),ISNUMBER('Inputs'!$B$28)),(('Results'!B7*(0.5*((((694-43)*MAX('Inputs'!$B$33,'Inputs'!$B$29+'Inputs'!$B$31+'Inputs'!$B$32,'Inputs'!$B$30+'Inputs'!$B$31+'Inputs'!$B$32)/1000+'Inputs'!$B$21)+'Inputs'!$B$7)/SQRT((((694-43)*MAX('Inputs'!$B$33,'Inputs'!$B$29+'Inputs'!$B$31+'Inputs'!$B$32,'Inputs'!$B$30+'Inputs'!$B$31+'Inputs'!$B$32)/1000+'Inputs'!$B$21)+'Inputs'!$B$7)^2+('Inputs'!$B$6/2)^2)-(((694-43)*MAX('Inputs'!$B$33,'Inputs'!$B$29+'Inputs'!$B$31+'Inputs'!$B$32,'Inputs'!$B$30+'Inputs'!$B$31+'Inputs'!$B$32)/1000+'Inputs'!$B$21))/SQRT((((694-43)*MAX('Inputs'!$B$33,'Inputs'!$B$29+'Inputs'!$B$31+'Inputs'!$B$32,'Inputs'!$B$30+'Inputs'!$B$31+'Inputs'!$B$32)/1000+'Inputs'!$B$21))^2+('Inputs'!$B$6/2)^2)))-'Results'!C7*(0.5*((((694-43)*MAX('Inputs'!$B$33,'Inputs'!$B$29+'Inputs'!$B$31+'Inputs'!$B$32,'Inputs'!$B$30+'Inputs'!$B$31+'Inputs'!$B$32)/1000+'Inputs'!$B$21+'Inputs'!$B$7+'Inputs'!$B$10)+'Inputs'!$B$9)/SQRT((((694-43)*MAX('Inputs'!$B$33,'Inputs'!$B$29+'Inputs'!$B$31+'Inputs'!$B$32,'Inputs'!$B$30+'Inputs'!$B$31+'Inputs'!$B$32)/1000+'Inputs'!$B$21+'Inputs'!$B$7+'Inputs'!$B$10)+'Inputs'!$B$9)^2+('Inputs'!$B$8/2)^2)-(((694-43)*MAX('Inputs'!$B$33,'Inputs'!$B$29+'Inputs'!$B$31+'Inputs'!$B$32,'Inputs'!$B$30+'Inputs'!$B$31+'Inputs'!$B$32)/1000+'Inputs'!$B$21+'Inputs'!$B$7+'Inputs'!$B$10))/SQRT((((694-43)*MAX('Inputs'!$B$33,'Inputs'!$B$29+'Inputs'!$B$31+'Inputs'!$B$32,'Inputs'!$B$30+'Inputs'!$B$31+'Inputs'!$B$32)/1000+'Inputs'!$B$21+'Inputs'!$B$7+'Inputs'!$B$10))^2+('Inputs'!$B$8/2)^2))))*'Results'!$B$8),"")</x:f>
        <x:v>1.6710977378735548</x:v>
      </x:c>
      <x:c r="K694" t="n">
        <x:f>IF(AND(ISNUMBER('Results'!B7),ISNUMBER('Results'!C7),ISNUMBER('Results'!$B$8),ISNUMBER('Inputs'!$B$6),ISNUMBER('Inputs'!$B$7),ISNUMBER('Inputs'!$B$8),ISNUMBER('Inputs'!$B$9),ISNUMBER('Inputs'!$B$10),ISNUMBER('Inputs'!$B$21),ISNUMBER('Inputs'!$B$24),ISNUMBER('Inputs'!$B$28)),((('Results'!B7*(1-'Inputs'!$B$24)*(0.5*((((694-43)*MAX('Inputs'!$B$33,'Inputs'!$B$29+'Inputs'!$B$31+'Inputs'!$B$32,'Inputs'!$B$30+'Inputs'!$B$31+'Inputs'!$B$32)/1000+'Inputs'!$B$21)+'Inputs'!$B$7)/SQRT((((694-43)*MAX('Inputs'!$B$33,'Inputs'!$B$29+'Inputs'!$B$31+'Inputs'!$B$32,'Inputs'!$B$30+'Inputs'!$B$31+'Inputs'!$B$32)/1000+'Inputs'!$B$21)+'Inputs'!$B$7)^2+('Inputs'!$B$6/2)^2)-(((694-43)*MAX('Inputs'!$B$33,'Inputs'!$B$29+'Inputs'!$B$31+'Inputs'!$B$32,'Inputs'!$B$30+'Inputs'!$B$31+'Inputs'!$B$32)/1000+'Inputs'!$B$21))/SQRT((((694-43)*MAX('Inputs'!$B$33,'Inputs'!$B$29+'Inputs'!$B$31+'Inputs'!$B$32,'Inputs'!$B$30+'Inputs'!$B$31+'Inputs'!$B$32)/1000+'Inputs'!$B$21))^2+('Inputs'!$B$6/2)^2)))-'Results'!C7*(1+'Inputs'!$B$24)*(0.5*((((694-43)*MAX('Inputs'!$B$33,'Inputs'!$B$29+'Inputs'!$B$31+'Inputs'!$B$32,'Inputs'!$B$30+'Inputs'!$B$31+'Inputs'!$B$32)/1000+'Inputs'!$B$21+'Inputs'!$B$7+'Inputs'!$B$10)+'Inputs'!$B$9)/SQRT((((694-43)*MAX('Inputs'!$B$33,'Inputs'!$B$29+'Inputs'!$B$31+'Inputs'!$B$32,'Inputs'!$B$30+'Inputs'!$B$31+'Inputs'!$B$32)/1000+'Inputs'!$B$21+'Inputs'!$B$7+'Inputs'!$B$10)+'Inputs'!$B$9)^2+('Inputs'!$B$8/2)^2)-(((694-43)*MAX('Inputs'!$B$33,'Inputs'!$B$29+'Inputs'!$B$31+'Inputs'!$B$32,'Inputs'!$B$30+'Inputs'!$B$31+'Inputs'!$B$32)/1000+'Inputs'!$B$21+'Inputs'!$B$7+'Inputs'!$B$10))/SQRT((((694-43)*MAX('Inputs'!$B$33,'Inputs'!$B$29+'Inputs'!$B$31+'Inputs'!$B$32,'Inputs'!$B$30+'Inputs'!$B$31+'Inputs'!$B$32)/1000+'Inputs'!$B$21+'Inputs'!$B$7+'Inputs'!$B$10))^2+('Inputs'!$B$8/2)^2))))*'Results'!$B$8)-'Inputs'!$B$28*ABS((('Results'!B7*(1-'Inputs'!$B$24)*(0.5*((((694-43)*MAX('Inputs'!$B$33,'Inputs'!$B$29+'Inputs'!$B$31+'Inputs'!$B$32,'Inputs'!$B$30+'Inputs'!$B$31+'Inputs'!$B$32)/1000+'Inputs'!$B$21)+'Inputs'!$B$7)/SQRT((((694-43)*MAX('Inputs'!$B$33,'Inputs'!$B$29+'Inputs'!$B$31+'Inputs'!$B$32,'Inputs'!$B$30+'Inputs'!$B$31+'Inputs'!$B$32)/1000+'Inputs'!$B$21)+'Inputs'!$B$7)^2+('Inputs'!$B$6/2)^2)-(((694-43)*MAX('Inputs'!$B$33,'Inputs'!$B$29+'Inputs'!$B$31+'Inputs'!$B$32,'Inputs'!$B$30+'Inputs'!$B$31+'Inputs'!$B$32)/1000+'Inputs'!$B$21))/SQRT((((694-43)*MAX('Inputs'!$B$33,'Inputs'!$B$29+'Inputs'!$B$31+'Inputs'!$B$32,'Inputs'!$B$30+'Inputs'!$B$31+'Inputs'!$B$32)/1000+'Inputs'!$B$21))^2+('Inputs'!$B$6/2)^2)))-'Results'!C7*(1+'Inputs'!$B$24)*(0.5*((((694-43)*MAX('Inputs'!$B$33,'Inputs'!$B$29+'Inputs'!$B$31+'Inputs'!$B$32,'Inputs'!$B$30+'Inputs'!$B$31+'Inputs'!$B$32)/1000+'Inputs'!$B$21+'Inputs'!$B$7+'Inputs'!$B$10)+'Inputs'!$B$9)/SQRT((((694-43)*MAX('Inputs'!$B$33,'Inputs'!$B$29+'Inputs'!$B$31+'Inputs'!$B$32,'Inputs'!$B$30+'Inputs'!$B$31+'Inputs'!$B$32)/1000+'Inputs'!$B$21+'Inputs'!$B$7+'Inputs'!$B$10)+'Inputs'!$B$9)^2+('Inputs'!$B$8/2)^2)-(((694-43)*MAX('Inputs'!$B$33,'Inputs'!$B$29+'Inputs'!$B$31+'Inputs'!$B$32,'Inputs'!$B$30+'Inputs'!$B$31+'Inputs'!$B$32)/1000+'Inputs'!$B$21+'Inputs'!$B$7+'Inputs'!$B$10))/SQRT((((694-43)*MAX('Inputs'!$B$33,'Inputs'!$B$29+'Inputs'!$B$31+'Inputs'!$B$32,'Inputs'!$B$30+'Inputs'!$B$31+'Inputs'!$B$32)/1000+'Inputs'!$B$21+'Inputs'!$B$7+'Inputs'!$B$10))^2+('Inputs'!$B$8/2)^2))))*'Results'!$B$8))),"")</x:f>
        <x:v>1.454976647309481</x:v>
      </x:c>
      <x:c r="L694" t="n">
        <x:f>IF(AND(ISNUMBER('Results'!B7),ISNUMBER('Results'!C7),ISNUMBER('Results'!$B$8),ISNUMBER('Inputs'!$B$6),ISNUMBER('Inputs'!$B$7),ISNUMBER('Inputs'!$B$8),ISNUMBER('Inputs'!$B$9),ISNUMBER('Inputs'!$B$10),ISNUMBER('Inputs'!$B$21),ISNUMBER('Inputs'!$B$24),ISNUMBER('Inputs'!$B$28)),((('Results'!B7*(1+'Inputs'!$B$24)*(0.5*((((694-43)*MAX('Inputs'!$B$33,'Inputs'!$B$29+'Inputs'!$B$31+'Inputs'!$B$32,'Inputs'!$B$30+'Inputs'!$B$31+'Inputs'!$B$32)/1000+'Inputs'!$B$21)+'Inputs'!$B$7)/SQRT((((694-43)*MAX('Inputs'!$B$33,'Inputs'!$B$29+'Inputs'!$B$31+'Inputs'!$B$32,'Inputs'!$B$30+'Inputs'!$B$31+'Inputs'!$B$32)/1000+'Inputs'!$B$21)+'Inputs'!$B$7)^2+('Inputs'!$B$6/2)^2)-(((694-43)*MAX('Inputs'!$B$33,'Inputs'!$B$29+'Inputs'!$B$31+'Inputs'!$B$32,'Inputs'!$B$30+'Inputs'!$B$31+'Inputs'!$B$32)/1000+'Inputs'!$B$21))/SQRT((((694-43)*MAX('Inputs'!$B$33,'Inputs'!$B$29+'Inputs'!$B$31+'Inputs'!$B$32,'Inputs'!$B$30+'Inputs'!$B$31+'Inputs'!$B$32)/1000+'Inputs'!$B$21))^2+('Inputs'!$B$6/2)^2)))-'Results'!C7*(1-'Inputs'!$B$24)*(0.5*((((694-43)*MAX('Inputs'!$B$33,'Inputs'!$B$29+'Inputs'!$B$31+'Inputs'!$B$32,'Inputs'!$B$30+'Inputs'!$B$31+'Inputs'!$B$32)/1000+'Inputs'!$B$21+'Inputs'!$B$7+'Inputs'!$B$10)+'Inputs'!$B$9)/SQRT((((694-43)*MAX('Inputs'!$B$33,'Inputs'!$B$29+'Inputs'!$B$31+'Inputs'!$B$32,'Inputs'!$B$30+'Inputs'!$B$31+'Inputs'!$B$32)/1000+'Inputs'!$B$21+'Inputs'!$B$7+'Inputs'!$B$10)+'Inputs'!$B$9)^2+('Inputs'!$B$8/2)^2)-(((694-43)*MAX('Inputs'!$B$33,'Inputs'!$B$29+'Inputs'!$B$31+'Inputs'!$B$32,'Inputs'!$B$30+'Inputs'!$B$31+'Inputs'!$B$32)/1000+'Inputs'!$B$21+'Inputs'!$B$7+'Inputs'!$B$10))/SQRT((((694-43)*MAX('Inputs'!$B$33,'Inputs'!$B$29+'Inputs'!$B$31+'Inputs'!$B$32,'Inputs'!$B$30+'Inputs'!$B$31+'Inputs'!$B$32)/1000+'Inputs'!$B$21+'Inputs'!$B$7+'Inputs'!$B$10))^2+('Inputs'!$B$8/2)^2))))*'Results'!$B$8)+'Inputs'!$B$28*ABS((('Results'!B7*(1+'Inputs'!$B$24)*(0.5*((((694-43)*MAX('Inputs'!$B$33,'Inputs'!$B$29+'Inputs'!$B$31+'Inputs'!$B$32,'Inputs'!$B$30+'Inputs'!$B$31+'Inputs'!$B$32)/1000+'Inputs'!$B$21)+'Inputs'!$B$7)/SQRT((((694-43)*MAX('Inputs'!$B$33,'Inputs'!$B$29+'Inputs'!$B$31+'Inputs'!$B$32,'Inputs'!$B$30+'Inputs'!$B$31+'Inputs'!$B$32)/1000+'Inputs'!$B$21)+'Inputs'!$B$7)^2+('Inputs'!$B$6/2)^2)-(((694-43)*MAX('Inputs'!$B$33,'Inputs'!$B$29+'Inputs'!$B$31+'Inputs'!$B$32,'Inputs'!$B$30+'Inputs'!$B$31+'Inputs'!$B$32)/1000+'Inputs'!$B$21))/SQRT((((694-43)*MAX('Inputs'!$B$33,'Inputs'!$B$29+'Inputs'!$B$31+'Inputs'!$B$32,'Inputs'!$B$30+'Inputs'!$B$31+'Inputs'!$B$32)/1000+'Inputs'!$B$21))^2+('Inputs'!$B$6/2)^2)))-'Results'!C7*(1-'Inputs'!$B$24)*(0.5*((((694-43)*MAX('Inputs'!$B$33,'Inputs'!$B$29+'Inputs'!$B$31+'Inputs'!$B$32,'Inputs'!$B$30+'Inputs'!$B$31+'Inputs'!$B$32)/1000+'Inputs'!$B$21+'Inputs'!$B$7+'Inputs'!$B$10)+'Inputs'!$B$9)/SQRT((((694-43)*MAX('Inputs'!$B$33,'Inputs'!$B$29+'Inputs'!$B$31+'Inputs'!$B$32,'Inputs'!$B$30+'Inputs'!$B$31+'Inputs'!$B$32)/1000+'Inputs'!$B$21+'Inputs'!$B$7+'Inputs'!$B$10)+'Inputs'!$B$9)^2+('Inputs'!$B$8/2)^2)-(((694-43)*MAX('Inputs'!$B$33,'Inputs'!$B$29+'Inputs'!$B$31+'Inputs'!$B$32,'Inputs'!$B$30+'Inputs'!$B$31+'Inputs'!$B$32)/1000+'Inputs'!$B$21+'Inputs'!$B$7+'Inputs'!$B$10))/SQRT((((694-43)*MAX('Inputs'!$B$33,'Inputs'!$B$29+'Inputs'!$B$31+'Inputs'!$B$32,'Inputs'!$B$30+'Inputs'!$B$31+'Inputs'!$B$32)/1000+'Inputs'!$B$21+'Inputs'!$B$7+'Inputs'!$B$10))^2+('Inputs'!$B$8/2)^2))))*'Results'!$B$8))),"")</x:f>
        <x:v>1.9011731656660902</x:v>
      </x:c>
      <x:c r="M694" t="n">
        <x:f>IF(AND(ISNUMBER('Results'!C7),ISNUMBER('Results'!B7),ISNUMBER('Results'!$B$8),ISNUMBER('Inputs'!$B$6),ISNUMBER('Inputs'!$B$7),ISNUMBER('Inputs'!$B$8),ISNUMBER('Inputs'!$B$9),ISNUMBER('Inputs'!$B$10),ISNUMBER('Inputs'!$B$21),ISNUMBER('Inputs'!$B$24),ISNUMBER('Inputs'!$B$28)),(('Results'!C7*(0.5*((((694-43)*MAX('Inputs'!$B$33,'Inputs'!$B$29+'Inputs'!$B$31+'Inputs'!$B$32,'Inputs'!$B$30+'Inputs'!$B$31+'Inputs'!$B$32)/1000+'Inputs'!$B$21)+'Inputs'!$B$9)/SQRT((((694-43)*MAX('Inputs'!$B$33,'Inputs'!$B$29+'Inputs'!$B$31+'Inputs'!$B$32,'Inputs'!$B$30+'Inputs'!$B$31+'Inputs'!$B$32)/1000+'Inputs'!$B$21)+'Inputs'!$B$9)^2+('Inputs'!$B$8/2)^2)-(((694-43)*MAX('Inputs'!$B$33,'Inputs'!$B$29+'Inputs'!$B$31+'Inputs'!$B$32,'Inputs'!$B$30+'Inputs'!$B$31+'Inputs'!$B$32)/1000+'Inputs'!$B$21))/SQRT((((694-43)*MAX('Inputs'!$B$33,'Inputs'!$B$29+'Inputs'!$B$31+'Inputs'!$B$32,'Inputs'!$B$30+'Inputs'!$B$31+'Inputs'!$B$32)/1000+'Inputs'!$B$21))^2+('Inputs'!$B$8/2)^2)))-'Results'!B7*(0.5*((((694-43)*MAX('Inputs'!$B$33,'Inputs'!$B$29+'Inputs'!$B$31+'Inputs'!$B$32,'Inputs'!$B$30+'Inputs'!$B$31+'Inputs'!$B$32)/1000+'Inputs'!$B$21+'Inputs'!$B$9+'Inputs'!$B$10)+'Inputs'!$B$7)/SQRT((((694-43)*MAX('Inputs'!$B$33,'Inputs'!$B$29+'Inputs'!$B$31+'Inputs'!$B$32,'Inputs'!$B$30+'Inputs'!$B$31+'Inputs'!$B$32)/1000+'Inputs'!$B$21+'Inputs'!$B$9+'Inputs'!$B$10)+'Inputs'!$B$7)^2+('Inputs'!$B$6/2)^2)-(((694-43)*MAX('Inputs'!$B$33,'Inputs'!$B$29+'Inputs'!$B$31+'Inputs'!$B$32,'Inputs'!$B$30+'Inputs'!$B$31+'Inputs'!$B$32)/1000+'Inputs'!$B$21+'Inputs'!$B$9+'Inputs'!$B$10))/SQRT((((694-43)*MAX('Inputs'!$B$33,'Inputs'!$B$29+'Inputs'!$B$31+'Inputs'!$B$32,'Inputs'!$B$30+'Inputs'!$B$31+'Inputs'!$B$32)/1000+'Inputs'!$B$21+'Inputs'!$B$9+'Inputs'!$B$10))^2+('Inputs'!$B$6/2)^2))))*'Results'!$B$8),"")</x:f>
        <x:v>1.5304714939815076</x:v>
      </x:c>
      <x:c r="N694" t="n">
        <x:f>IF(AND(ISNUMBER('Results'!C7),ISNUMBER('Results'!B7),ISNUMBER('Results'!$B$8),ISNUMBER('Inputs'!$B$6),ISNUMBER('Inputs'!$B$7),ISNUMBER('Inputs'!$B$8),ISNUMBER('Inputs'!$B$9),ISNUMBER('Inputs'!$B$10),ISNUMBER('Inputs'!$B$21),ISNUMBER('Inputs'!$B$24),ISNUMBER('Inputs'!$B$28)),((('Results'!C7*(1-'Inputs'!$B$24)*(0.5*((((694-43)*MAX('Inputs'!$B$33,'Inputs'!$B$29+'Inputs'!$B$31+'Inputs'!$B$32,'Inputs'!$B$30+'Inputs'!$B$31+'Inputs'!$B$32)/1000+'Inputs'!$B$21)+'Inputs'!$B$9)/SQRT((((694-43)*MAX('Inputs'!$B$33,'Inputs'!$B$29+'Inputs'!$B$31+'Inputs'!$B$32,'Inputs'!$B$30+'Inputs'!$B$31+'Inputs'!$B$32)/1000+'Inputs'!$B$21)+'Inputs'!$B$9)^2+('Inputs'!$B$8/2)^2)-(((694-43)*MAX('Inputs'!$B$33,'Inputs'!$B$29+'Inputs'!$B$31+'Inputs'!$B$32,'Inputs'!$B$30+'Inputs'!$B$31+'Inputs'!$B$32)/1000+'Inputs'!$B$21))/SQRT((((694-43)*MAX('Inputs'!$B$33,'Inputs'!$B$29+'Inputs'!$B$31+'Inputs'!$B$32,'Inputs'!$B$30+'Inputs'!$B$31+'Inputs'!$B$32)/1000+'Inputs'!$B$21))^2+('Inputs'!$B$8/2)^2)))-'Results'!B7*(1+'Inputs'!$B$24)*(0.5*((((694-43)*MAX('Inputs'!$B$33,'Inputs'!$B$29+'Inputs'!$B$31+'Inputs'!$B$32,'Inputs'!$B$30+'Inputs'!$B$31+'Inputs'!$B$32)/1000+'Inputs'!$B$21+'Inputs'!$B$9+'Inputs'!$B$10)+'Inputs'!$B$7)/SQRT((((694-43)*MAX('Inputs'!$B$33,'Inputs'!$B$29+'Inputs'!$B$31+'Inputs'!$B$32,'Inputs'!$B$30+'Inputs'!$B$31+'Inputs'!$B$32)/1000+'Inputs'!$B$21+'Inputs'!$B$9+'Inputs'!$B$10)+'Inputs'!$B$7)^2+('Inputs'!$B$6/2)^2)-(((694-43)*MAX('Inputs'!$B$33,'Inputs'!$B$29+'Inputs'!$B$31+'Inputs'!$B$32,'Inputs'!$B$30+'Inputs'!$B$31+'Inputs'!$B$32)/1000+'Inputs'!$B$21+'Inputs'!$B$9+'Inputs'!$B$10))/SQRT((((694-43)*MAX('Inputs'!$B$33,'Inputs'!$B$29+'Inputs'!$B$31+'Inputs'!$B$32,'Inputs'!$B$30+'Inputs'!$B$31+'Inputs'!$B$32)/1000+'Inputs'!$B$21+'Inputs'!$B$9+'Inputs'!$B$10))^2+('Inputs'!$B$6/2)^2))))*'Results'!$B$8)-'Inputs'!$B$28*ABS((('Results'!C7*(1-'Inputs'!$B$24)*(0.5*((((694-43)*MAX('Inputs'!$B$33,'Inputs'!$B$29+'Inputs'!$B$31+'Inputs'!$B$32,'Inputs'!$B$30+'Inputs'!$B$31+'Inputs'!$B$32)/1000+'Inputs'!$B$21)+'Inputs'!$B$9)/SQRT((((694-43)*MAX('Inputs'!$B$33,'Inputs'!$B$29+'Inputs'!$B$31+'Inputs'!$B$32,'Inputs'!$B$30+'Inputs'!$B$31+'Inputs'!$B$32)/1000+'Inputs'!$B$21)+'Inputs'!$B$9)^2+('Inputs'!$B$8/2)^2)-(((694-43)*MAX('Inputs'!$B$33,'Inputs'!$B$29+'Inputs'!$B$31+'Inputs'!$B$32,'Inputs'!$B$30+'Inputs'!$B$31+'Inputs'!$B$32)/1000+'Inputs'!$B$21))/SQRT((((694-43)*MAX('Inputs'!$B$33,'Inputs'!$B$29+'Inputs'!$B$31+'Inputs'!$B$32,'Inputs'!$B$30+'Inputs'!$B$31+'Inputs'!$B$32)/1000+'Inputs'!$B$21))^2+('Inputs'!$B$8/2)^2)))-'Results'!B7*(1+'Inputs'!$B$24)*(0.5*((((694-43)*MAX('Inputs'!$B$33,'Inputs'!$B$29+'Inputs'!$B$31+'Inputs'!$B$32,'Inputs'!$B$30+'Inputs'!$B$31+'Inputs'!$B$32)/1000+'Inputs'!$B$21+'Inputs'!$B$9+'Inputs'!$B$10)+'Inputs'!$B$7)/SQRT((((694-43)*MAX('Inputs'!$B$33,'Inputs'!$B$29+'Inputs'!$B$31+'Inputs'!$B$32,'Inputs'!$B$30+'Inputs'!$B$31+'Inputs'!$B$32)/1000+'Inputs'!$B$21+'Inputs'!$B$9+'Inputs'!$B$10)+'Inputs'!$B$7)^2+('Inputs'!$B$6/2)^2)-(((694-43)*MAX('Inputs'!$B$33,'Inputs'!$B$29+'Inputs'!$B$31+'Inputs'!$B$32,'Inputs'!$B$30+'Inputs'!$B$31+'Inputs'!$B$32)/1000+'Inputs'!$B$21+'Inputs'!$B$9+'Inputs'!$B$10))/SQRT((((694-43)*MAX('Inputs'!$B$33,'Inputs'!$B$29+'Inputs'!$B$31+'Inputs'!$B$32,'Inputs'!$B$30+'Inputs'!$B$31+'Inputs'!$B$32)/1000+'Inputs'!$B$21+'Inputs'!$B$9+'Inputs'!$B$10))^2+('Inputs'!$B$6/2)^2))))*'Results'!$B$8))),"")</x:f>
        <x:v>1.3219961581918867</x:v>
      </x:c>
      <x:c r="O694" t="n">
        <x:f>IF(AND(ISNUMBER('Results'!C7),ISNUMBER('Results'!B7),ISNUMBER('Results'!$B$8),ISNUMBER('Inputs'!$B$6),ISNUMBER('Inputs'!$B$7),ISNUMBER('Inputs'!$B$8),ISNUMBER('Inputs'!$B$9),ISNUMBER('Inputs'!$B$10),ISNUMBER('Inputs'!$B$21),ISNUMBER('Inputs'!$B$24),ISNUMBER('Inputs'!$B$28)),((('Results'!C7*(1+'Inputs'!$B$24)*(0.5*((((694-43)*MAX('Inputs'!$B$33,'Inputs'!$B$29+'Inputs'!$B$31+'Inputs'!$B$32,'Inputs'!$B$30+'Inputs'!$B$31+'Inputs'!$B$32)/1000+'Inputs'!$B$21)+'Inputs'!$B$9)/SQRT((((694-43)*MAX('Inputs'!$B$33,'Inputs'!$B$29+'Inputs'!$B$31+'Inputs'!$B$32,'Inputs'!$B$30+'Inputs'!$B$31+'Inputs'!$B$32)/1000+'Inputs'!$B$21)+'Inputs'!$B$9)^2+('Inputs'!$B$8/2)^2)-(((694-43)*MAX('Inputs'!$B$33,'Inputs'!$B$29+'Inputs'!$B$31+'Inputs'!$B$32,'Inputs'!$B$30+'Inputs'!$B$31+'Inputs'!$B$32)/1000+'Inputs'!$B$21))/SQRT((((694-43)*MAX('Inputs'!$B$33,'Inputs'!$B$29+'Inputs'!$B$31+'Inputs'!$B$32,'Inputs'!$B$30+'Inputs'!$B$31+'Inputs'!$B$32)/1000+'Inputs'!$B$21))^2+('Inputs'!$B$8/2)^2)))-'Results'!B7*(1-'Inputs'!$B$24)*(0.5*((((694-43)*MAX('Inputs'!$B$33,'Inputs'!$B$29+'Inputs'!$B$31+'Inputs'!$B$32,'Inputs'!$B$30+'Inputs'!$B$31+'Inputs'!$B$32)/1000+'Inputs'!$B$21+'Inputs'!$B$9+'Inputs'!$B$10)+'Inputs'!$B$7)/SQRT((((694-43)*MAX('Inputs'!$B$33,'Inputs'!$B$29+'Inputs'!$B$31+'Inputs'!$B$32,'Inputs'!$B$30+'Inputs'!$B$31+'Inputs'!$B$32)/1000+'Inputs'!$B$21+'Inputs'!$B$9+'Inputs'!$B$10)+'Inputs'!$B$7)^2+('Inputs'!$B$6/2)^2)-(((694-43)*MAX('Inputs'!$B$33,'Inputs'!$B$29+'Inputs'!$B$31+'Inputs'!$B$32,'Inputs'!$B$30+'Inputs'!$B$31+'Inputs'!$B$32)/1000+'Inputs'!$B$21+'Inputs'!$B$9+'Inputs'!$B$10))/SQRT((((694-43)*MAX('Inputs'!$B$33,'Inputs'!$B$29+'Inputs'!$B$31+'Inputs'!$B$32,'Inputs'!$B$30+'Inputs'!$B$31+'Inputs'!$B$32)/1000+'Inputs'!$B$21+'Inputs'!$B$9+'Inputs'!$B$10))^2+('Inputs'!$B$6/2)^2))))*'Results'!$B$8)+'Inputs'!$B$28*ABS((('Results'!C7*(1+'Inputs'!$B$24)*(0.5*((((694-43)*MAX('Inputs'!$B$33,'Inputs'!$B$29+'Inputs'!$B$31+'Inputs'!$B$32,'Inputs'!$B$30+'Inputs'!$B$31+'Inputs'!$B$32)/1000+'Inputs'!$B$21)+'Inputs'!$B$9)/SQRT((((694-43)*MAX('Inputs'!$B$33,'Inputs'!$B$29+'Inputs'!$B$31+'Inputs'!$B$32,'Inputs'!$B$30+'Inputs'!$B$31+'Inputs'!$B$32)/1000+'Inputs'!$B$21)+'Inputs'!$B$9)^2+('Inputs'!$B$8/2)^2)-(((694-43)*MAX('Inputs'!$B$33,'Inputs'!$B$29+'Inputs'!$B$31+'Inputs'!$B$32,'Inputs'!$B$30+'Inputs'!$B$31+'Inputs'!$B$32)/1000+'Inputs'!$B$21))/SQRT((((694-43)*MAX('Inputs'!$B$33,'Inputs'!$B$29+'Inputs'!$B$31+'Inputs'!$B$32,'Inputs'!$B$30+'Inputs'!$B$31+'Inputs'!$B$32)/1000+'Inputs'!$B$21))^2+('Inputs'!$B$8/2)^2)))-'Results'!B7*(1-'Inputs'!$B$24)*(0.5*((((694-43)*MAX('Inputs'!$B$33,'Inputs'!$B$29+'Inputs'!$B$31+'Inputs'!$B$32,'Inputs'!$B$30+'Inputs'!$B$31+'Inputs'!$B$32)/1000+'Inputs'!$B$21+'Inputs'!$B$9+'Inputs'!$B$10)+'Inputs'!$B$7)/SQRT((((694-43)*MAX('Inputs'!$B$33,'Inputs'!$B$29+'Inputs'!$B$31+'Inputs'!$B$32,'Inputs'!$B$30+'Inputs'!$B$31+'Inputs'!$B$32)/1000+'Inputs'!$B$21+'Inputs'!$B$9+'Inputs'!$B$10)+'Inputs'!$B$7)^2+('Inputs'!$B$6/2)^2)-(((694-43)*MAX('Inputs'!$B$33,'Inputs'!$B$29+'Inputs'!$B$31+'Inputs'!$B$32,'Inputs'!$B$30+'Inputs'!$B$31+'Inputs'!$B$32)/1000+'Inputs'!$B$21+'Inputs'!$B$9+'Inputs'!$B$10))/SQRT((((694-43)*MAX('Inputs'!$B$33,'Inputs'!$B$29+'Inputs'!$B$31+'Inputs'!$B$32,'Inputs'!$B$30+'Inputs'!$B$31+'Inputs'!$B$32)/1000+'Inputs'!$B$21+'Inputs'!$B$9+'Inputs'!$B$10))^2+('Inputs'!$B$6/2)^2))))*'Results'!$B$8))),"")</x:f>
        <x:v>1.7528364888332908</x:v>
      </x:c>
      <x:c r="P694" t="n">
        <x:f>IF(AND(MAX(J694,J693)&gt;0,J694&gt;J693+0.00000001),1,0)</x:f>
        <x:v>0</x:v>
      </x:c>
      <x:c r="Q694" t="n">
        <x:f>IF(AND(MAX(K694,K693)&gt;0,K694&gt;K693+0.00000001),1,0)</x:f>
        <x:v>0</x:v>
      </x:c>
      <x:c r="R694" t="n">
        <x:f>IF(AND(MAX(L694,L693)&gt;0,L694&gt;L693+0.00000001),1,0)</x:f>
        <x:v>0</x:v>
      </x:c>
      <x:c r="S694" t="n">
        <x:f>IF(AND(MAX(M694,M693)&gt;0,M694&gt;M693+0.00000001),1,0)</x:f>
        <x:v>0</x:v>
      </x:c>
      <x:c r="T694" t="n">
        <x:f>IF(AND(MAX(N694,N693)&gt;0,N694&gt;N693+0.00000001),1,0)</x:f>
        <x:v>0</x:v>
      </x:c>
      <x:c r="U694" t="n">
        <x:f>IF(AND(MAX(O694,O693)&gt;0,O694&gt;O693+0.00000001),1,0)</x:f>
        <x:v>0</x:v>
      </x:c>
    </x:row>
    <x:row r="695">
      <x:c r="J695" t="n">
        <x:f>IF(AND(ISNUMBER('Results'!B7),ISNUMBER('Results'!C7),ISNUMBER('Results'!$B$8),ISNUMBER('Inputs'!$B$6),ISNUMBER('Inputs'!$B$7),ISNUMBER('Inputs'!$B$8),ISNUMBER('Inputs'!$B$9),ISNUMBER('Inputs'!$B$10),ISNUMBER('Inputs'!$B$21),ISNUMBER('Inputs'!$B$24),ISNUMBER('Inputs'!$B$28)),(('Results'!B7*(0.5*((((695-43)*MAX('Inputs'!$B$33,'Inputs'!$B$29+'Inputs'!$B$31+'Inputs'!$B$32,'Inputs'!$B$30+'Inputs'!$B$31+'Inputs'!$B$32)/1000+'Inputs'!$B$21)+'Inputs'!$B$7)/SQRT((((695-43)*MAX('Inputs'!$B$33,'Inputs'!$B$29+'Inputs'!$B$31+'Inputs'!$B$32,'Inputs'!$B$30+'Inputs'!$B$31+'Inputs'!$B$32)/1000+'Inputs'!$B$21)+'Inputs'!$B$7)^2+('Inputs'!$B$6/2)^2)-(((695-43)*MAX('Inputs'!$B$33,'Inputs'!$B$29+'Inputs'!$B$31+'Inputs'!$B$32,'Inputs'!$B$30+'Inputs'!$B$31+'Inputs'!$B$32)/1000+'Inputs'!$B$21))/SQRT((((695-43)*MAX('Inputs'!$B$33,'Inputs'!$B$29+'Inputs'!$B$31+'Inputs'!$B$32,'Inputs'!$B$30+'Inputs'!$B$31+'Inputs'!$B$32)/1000+'Inputs'!$B$21))^2+('Inputs'!$B$6/2)^2)))-'Results'!C7*(0.5*((((695-43)*MAX('Inputs'!$B$33,'Inputs'!$B$29+'Inputs'!$B$31+'Inputs'!$B$32,'Inputs'!$B$30+'Inputs'!$B$31+'Inputs'!$B$32)/1000+'Inputs'!$B$21+'Inputs'!$B$7+'Inputs'!$B$10)+'Inputs'!$B$9)/SQRT((((695-43)*MAX('Inputs'!$B$33,'Inputs'!$B$29+'Inputs'!$B$31+'Inputs'!$B$32,'Inputs'!$B$30+'Inputs'!$B$31+'Inputs'!$B$32)/1000+'Inputs'!$B$21+'Inputs'!$B$7+'Inputs'!$B$10)+'Inputs'!$B$9)^2+('Inputs'!$B$8/2)^2)-(((695-43)*MAX('Inputs'!$B$33,'Inputs'!$B$29+'Inputs'!$B$31+'Inputs'!$B$32,'Inputs'!$B$30+'Inputs'!$B$31+'Inputs'!$B$32)/1000+'Inputs'!$B$21+'Inputs'!$B$7+'Inputs'!$B$10))/SQRT((((695-43)*MAX('Inputs'!$B$33,'Inputs'!$B$29+'Inputs'!$B$31+'Inputs'!$B$32,'Inputs'!$B$30+'Inputs'!$B$31+'Inputs'!$B$32)/1000+'Inputs'!$B$21+'Inputs'!$B$7+'Inputs'!$B$10))^2+('Inputs'!$B$8/2)^2))))*'Results'!$B$8),"")</x:f>
        <x:v>1.6620747166592462</x:v>
      </x:c>
      <x:c r="K695" t="n">
        <x:f>IF(AND(ISNUMBER('Results'!B7),ISNUMBER('Results'!C7),ISNUMBER('Results'!$B$8),ISNUMBER('Inputs'!$B$6),ISNUMBER('Inputs'!$B$7),ISNUMBER('Inputs'!$B$8),ISNUMBER('Inputs'!$B$9),ISNUMBER('Inputs'!$B$10),ISNUMBER('Inputs'!$B$21),ISNUMBER('Inputs'!$B$24),ISNUMBER('Inputs'!$B$28)),((('Results'!B7*(1-'Inputs'!$B$24)*(0.5*((((695-43)*MAX('Inputs'!$B$33,'Inputs'!$B$29+'Inputs'!$B$31+'Inputs'!$B$32,'Inputs'!$B$30+'Inputs'!$B$31+'Inputs'!$B$32)/1000+'Inputs'!$B$21)+'Inputs'!$B$7)/SQRT((((695-43)*MAX('Inputs'!$B$33,'Inputs'!$B$29+'Inputs'!$B$31+'Inputs'!$B$32,'Inputs'!$B$30+'Inputs'!$B$31+'Inputs'!$B$32)/1000+'Inputs'!$B$21)+'Inputs'!$B$7)^2+('Inputs'!$B$6/2)^2)-(((695-43)*MAX('Inputs'!$B$33,'Inputs'!$B$29+'Inputs'!$B$31+'Inputs'!$B$32,'Inputs'!$B$30+'Inputs'!$B$31+'Inputs'!$B$32)/1000+'Inputs'!$B$21))/SQRT((((695-43)*MAX('Inputs'!$B$33,'Inputs'!$B$29+'Inputs'!$B$31+'Inputs'!$B$32,'Inputs'!$B$30+'Inputs'!$B$31+'Inputs'!$B$32)/1000+'Inputs'!$B$21))^2+('Inputs'!$B$6/2)^2)))-'Results'!C7*(1+'Inputs'!$B$24)*(0.5*((((695-43)*MAX('Inputs'!$B$33,'Inputs'!$B$29+'Inputs'!$B$31+'Inputs'!$B$32,'Inputs'!$B$30+'Inputs'!$B$31+'Inputs'!$B$32)/1000+'Inputs'!$B$21+'Inputs'!$B$7+'Inputs'!$B$10)+'Inputs'!$B$9)/SQRT((((695-43)*MAX('Inputs'!$B$33,'Inputs'!$B$29+'Inputs'!$B$31+'Inputs'!$B$32,'Inputs'!$B$30+'Inputs'!$B$31+'Inputs'!$B$32)/1000+'Inputs'!$B$21+'Inputs'!$B$7+'Inputs'!$B$10)+'Inputs'!$B$9)^2+('Inputs'!$B$8/2)^2)-(((695-43)*MAX('Inputs'!$B$33,'Inputs'!$B$29+'Inputs'!$B$31+'Inputs'!$B$32,'Inputs'!$B$30+'Inputs'!$B$31+'Inputs'!$B$32)/1000+'Inputs'!$B$21+'Inputs'!$B$7+'Inputs'!$B$10))/SQRT((((695-43)*MAX('Inputs'!$B$33,'Inputs'!$B$29+'Inputs'!$B$31+'Inputs'!$B$32,'Inputs'!$B$30+'Inputs'!$B$31+'Inputs'!$B$32)/1000+'Inputs'!$B$21+'Inputs'!$B$7+'Inputs'!$B$10))^2+('Inputs'!$B$8/2)^2))))*'Results'!$B$8)-'Inputs'!$B$28*ABS((('Results'!B7*(1-'Inputs'!$B$24)*(0.5*((((695-43)*MAX('Inputs'!$B$33,'Inputs'!$B$29+'Inputs'!$B$31+'Inputs'!$B$32,'Inputs'!$B$30+'Inputs'!$B$31+'Inputs'!$B$32)/1000+'Inputs'!$B$21)+'Inputs'!$B$7)/SQRT((((695-43)*MAX('Inputs'!$B$33,'Inputs'!$B$29+'Inputs'!$B$31+'Inputs'!$B$32,'Inputs'!$B$30+'Inputs'!$B$31+'Inputs'!$B$32)/1000+'Inputs'!$B$21)+'Inputs'!$B$7)^2+('Inputs'!$B$6/2)^2)-(((695-43)*MAX('Inputs'!$B$33,'Inputs'!$B$29+'Inputs'!$B$31+'Inputs'!$B$32,'Inputs'!$B$30+'Inputs'!$B$31+'Inputs'!$B$32)/1000+'Inputs'!$B$21))/SQRT((((695-43)*MAX('Inputs'!$B$33,'Inputs'!$B$29+'Inputs'!$B$31+'Inputs'!$B$32,'Inputs'!$B$30+'Inputs'!$B$31+'Inputs'!$B$32)/1000+'Inputs'!$B$21))^2+('Inputs'!$B$6/2)^2)))-'Results'!C7*(1+'Inputs'!$B$24)*(0.5*((((695-43)*MAX('Inputs'!$B$33,'Inputs'!$B$29+'Inputs'!$B$31+'Inputs'!$B$32,'Inputs'!$B$30+'Inputs'!$B$31+'Inputs'!$B$32)/1000+'Inputs'!$B$21+'Inputs'!$B$7+'Inputs'!$B$10)+'Inputs'!$B$9)/SQRT((((695-43)*MAX('Inputs'!$B$33,'Inputs'!$B$29+'Inputs'!$B$31+'Inputs'!$B$32,'Inputs'!$B$30+'Inputs'!$B$31+'Inputs'!$B$32)/1000+'Inputs'!$B$21+'Inputs'!$B$7+'Inputs'!$B$10)+'Inputs'!$B$9)^2+('Inputs'!$B$8/2)^2)-(((695-43)*MAX('Inputs'!$B$33,'Inputs'!$B$29+'Inputs'!$B$31+'Inputs'!$B$32,'Inputs'!$B$30+'Inputs'!$B$31+'Inputs'!$B$32)/1000+'Inputs'!$B$21+'Inputs'!$B$7+'Inputs'!$B$10))/SQRT((((695-43)*MAX('Inputs'!$B$33,'Inputs'!$B$29+'Inputs'!$B$31+'Inputs'!$B$32,'Inputs'!$B$30+'Inputs'!$B$31+'Inputs'!$B$32)/1000+'Inputs'!$B$21+'Inputs'!$B$7+'Inputs'!$B$10))^2+('Inputs'!$B$8/2)^2))))*'Results'!$B$8))),"")</x:f>
        <x:v>1.4469566993217773</x:v>
      </x:c>
      <x:c r="L695" t="n">
        <x:f>IF(AND(ISNUMBER('Results'!B7),ISNUMBER('Results'!C7),ISNUMBER('Results'!$B$8),ISNUMBER('Inputs'!$B$6),ISNUMBER('Inputs'!$B$7),ISNUMBER('Inputs'!$B$8),ISNUMBER('Inputs'!$B$9),ISNUMBER('Inputs'!$B$10),ISNUMBER('Inputs'!$B$21),ISNUMBER('Inputs'!$B$24),ISNUMBER('Inputs'!$B$28)),((('Results'!B7*(1+'Inputs'!$B$24)*(0.5*((((695-43)*MAX('Inputs'!$B$33,'Inputs'!$B$29+'Inputs'!$B$31+'Inputs'!$B$32,'Inputs'!$B$30+'Inputs'!$B$31+'Inputs'!$B$32)/1000+'Inputs'!$B$21)+'Inputs'!$B$7)/SQRT((((695-43)*MAX('Inputs'!$B$33,'Inputs'!$B$29+'Inputs'!$B$31+'Inputs'!$B$32,'Inputs'!$B$30+'Inputs'!$B$31+'Inputs'!$B$32)/1000+'Inputs'!$B$21)+'Inputs'!$B$7)^2+('Inputs'!$B$6/2)^2)-(((695-43)*MAX('Inputs'!$B$33,'Inputs'!$B$29+'Inputs'!$B$31+'Inputs'!$B$32,'Inputs'!$B$30+'Inputs'!$B$31+'Inputs'!$B$32)/1000+'Inputs'!$B$21))/SQRT((((695-43)*MAX('Inputs'!$B$33,'Inputs'!$B$29+'Inputs'!$B$31+'Inputs'!$B$32,'Inputs'!$B$30+'Inputs'!$B$31+'Inputs'!$B$32)/1000+'Inputs'!$B$21))^2+('Inputs'!$B$6/2)^2)))-'Results'!C7*(1-'Inputs'!$B$24)*(0.5*((((695-43)*MAX('Inputs'!$B$33,'Inputs'!$B$29+'Inputs'!$B$31+'Inputs'!$B$32,'Inputs'!$B$30+'Inputs'!$B$31+'Inputs'!$B$32)/1000+'Inputs'!$B$21+'Inputs'!$B$7+'Inputs'!$B$10)+'Inputs'!$B$9)/SQRT((((695-43)*MAX('Inputs'!$B$33,'Inputs'!$B$29+'Inputs'!$B$31+'Inputs'!$B$32,'Inputs'!$B$30+'Inputs'!$B$31+'Inputs'!$B$32)/1000+'Inputs'!$B$21+'Inputs'!$B$7+'Inputs'!$B$10)+'Inputs'!$B$9)^2+('Inputs'!$B$8/2)^2)-(((695-43)*MAX('Inputs'!$B$33,'Inputs'!$B$29+'Inputs'!$B$31+'Inputs'!$B$32,'Inputs'!$B$30+'Inputs'!$B$31+'Inputs'!$B$32)/1000+'Inputs'!$B$21+'Inputs'!$B$7+'Inputs'!$B$10))/SQRT((((695-43)*MAX('Inputs'!$B$33,'Inputs'!$B$29+'Inputs'!$B$31+'Inputs'!$B$32,'Inputs'!$B$30+'Inputs'!$B$31+'Inputs'!$B$32)/1000+'Inputs'!$B$21+'Inputs'!$B$7+'Inputs'!$B$10))^2+('Inputs'!$B$8/2)^2))))*'Results'!$B$8)+'Inputs'!$B$28*ABS((('Results'!B7*(1+'Inputs'!$B$24)*(0.5*((((695-43)*MAX('Inputs'!$B$33,'Inputs'!$B$29+'Inputs'!$B$31+'Inputs'!$B$32,'Inputs'!$B$30+'Inputs'!$B$31+'Inputs'!$B$32)/1000+'Inputs'!$B$21)+'Inputs'!$B$7)/SQRT((((695-43)*MAX('Inputs'!$B$33,'Inputs'!$B$29+'Inputs'!$B$31+'Inputs'!$B$32,'Inputs'!$B$30+'Inputs'!$B$31+'Inputs'!$B$32)/1000+'Inputs'!$B$21)+'Inputs'!$B$7)^2+('Inputs'!$B$6/2)^2)-(((695-43)*MAX('Inputs'!$B$33,'Inputs'!$B$29+'Inputs'!$B$31+'Inputs'!$B$32,'Inputs'!$B$30+'Inputs'!$B$31+'Inputs'!$B$32)/1000+'Inputs'!$B$21))/SQRT((((695-43)*MAX('Inputs'!$B$33,'Inputs'!$B$29+'Inputs'!$B$31+'Inputs'!$B$32,'Inputs'!$B$30+'Inputs'!$B$31+'Inputs'!$B$32)/1000+'Inputs'!$B$21))^2+('Inputs'!$B$6/2)^2)))-'Results'!C7*(1-'Inputs'!$B$24)*(0.5*((((695-43)*MAX('Inputs'!$B$33,'Inputs'!$B$29+'Inputs'!$B$31+'Inputs'!$B$32,'Inputs'!$B$30+'Inputs'!$B$31+'Inputs'!$B$32)/1000+'Inputs'!$B$21+'Inputs'!$B$7+'Inputs'!$B$10)+'Inputs'!$B$9)/SQRT((((695-43)*MAX('Inputs'!$B$33,'Inputs'!$B$29+'Inputs'!$B$31+'Inputs'!$B$32,'Inputs'!$B$30+'Inputs'!$B$31+'Inputs'!$B$32)/1000+'Inputs'!$B$21+'Inputs'!$B$7+'Inputs'!$B$10)+'Inputs'!$B$9)^2+('Inputs'!$B$8/2)^2)-(((695-43)*MAX('Inputs'!$B$33,'Inputs'!$B$29+'Inputs'!$B$31+'Inputs'!$B$32,'Inputs'!$B$30+'Inputs'!$B$31+'Inputs'!$B$32)/1000+'Inputs'!$B$21+'Inputs'!$B$7+'Inputs'!$B$10))/SQRT((((695-43)*MAX('Inputs'!$B$33,'Inputs'!$B$29+'Inputs'!$B$31+'Inputs'!$B$32,'Inputs'!$B$30+'Inputs'!$B$31+'Inputs'!$B$32)/1000+'Inputs'!$B$21+'Inputs'!$B$7+'Inputs'!$B$10))^2+('Inputs'!$B$8/2)^2))))*'Results'!$B$8))),"")</x:f>
        <x:v>1.8910889741550845</x:v>
      </x:c>
      <x:c r="M695" t="n">
        <x:f>IF(AND(ISNUMBER('Results'!C7),ISNUMBER('Results'!B7),ISNUMBER('Results'!$B$8),ISNUMBER('Inputs'!$B$6),ISNUMBER('Inputs'!$B$7),ISNUMBER('Inputs'!$B$8),ISNUMBER('Inputs'!$B$9),ISNUMBER('Inputs'!$B$10),ISNUMBER('Inputs'!$B$21),ISNUMBER('Inputs'!$B$24),ISNUMBER('Inputs'!$B$28)),(('Results'!C7*(0.5*((((695-43)*MAX('Inputs'!$B$33,'Inputs'!$B$29+'Inputs'!$B$31+'Inputs'!$B$32,'Inputs'!$B$30+'Inputs'!$B$31+'Inputs'!$B$32)/1000+'Inputs'!$B$21)+'Inputs'!$B$9)/SQRT((((695-43)*MAX('Inputs'!$B$33,'Inputs'!$B$29+'Inputs'!$B$31+'Inputs'!$B$32,'Inputs'!$B$30+'Inputs'!$B$31+'Inputs'!$B$32)/1000+'Inputs'!$B$21)+'Inputs'!$B$9)^2+('Inputs'!$B$8/2)^2)-(((695-43)*MAX('Inputs'!$B$33,'Inputs'!$B$29+'Inputs'!$B$31+'Inputs'!$B$32,'Inputs'!$B$30+'Inputs'!$B$31+'Inputs'!$B$32)/1000+'Inputs'!$B$21))/SQRT((((695-43)*MAX('Inputs'!$B$33,'Inputs'!$B$29+'Inputs'!$B$31+'Inputs'!$B$32,'Inputs'!$B$30+'Inputs'!$B$31+'Inputs'!$B$32)/1000+'Inputs'!$B$21))^2+('Inputs'!$B$8/2)^2)))-'Results'!B7*(0.5*((((695-43)*MAX('Inputs'!$B$33,'Inputs'!$B$29+'Inputs'!$B$31+'Inputs'!$B$32,'Inputs'!$B$30+'Inputs'!$B$31+'Inputs'!$B$32)/1000+'Inputs'!$B$21+'Inputs'!$B$9+'Inputs'!$B$10)+'Inputs'!$B$7)/SQRT((((695-43)*MAX('Inputs'!$B$33,'Inputs'!$B$29+'Inputs'!$B$31+'Inputs'!$B$32,'Inputs'!$B$30+'Inputs'!$B$31+'Inputs'!$B$32)/1000+'Inputs'!$B$21+'Inputs'!$B$9+'Inputs'!$B$10)+'Inputs'!$B$7)^2+('Inputs'!$B$6/2)^2)-(((695-43)*MAX('Inputs'!$B$33,'Inputs'!$B$29+'Inputs'!$B$31+'Inputs'!$B$32,'Inputs'!$B$30+'Inputs'!$B$31+'Inputs'!$B$32)/1000+'Inputs'!$B$21+'Inputs'!$B$9+'Inputs'!$B$10))/SQRT((((695-43)*MAX('Inputs'!$B$33,'Inputs'!$B$29+'Inputs'!$B$31+'Inputs'!$B$32,'Inputs'!$B$30+'Inputs'!$B$31+'Inputs'!$B$32)/1000+'Inputs'!$B$21+'Inputs'!$B$9+'Inputs'!$B$10))^2+('Inputs'!$B$6/2)^2))))*'Results'!$B$8),"")</x:f>
        <x:v>1.5220335303076928</x:v>
      </x:c>
      <x:c r="N695" t="n">
        <x:f>IF(AND(ISNUMBER('Results'!C7),ISNUMBER('Results'!B7),ISNUMBER('Results'!$B$8),ISNUMBER('Inputs'!$B$6),ISNUMBER('Inputs'!$B$7),ISNUMBER('Inputs'!$B$8),ISNUMBER('Inputs'!$B$9),ISNUMBER('Inputs'!$B$10),ISNUMBER('Inputs'!$B$21),ISNUMBER('Inputs'!$B$24),ISNUMBER('Inputs'!$B$28)),((('Results'!C7*(1-'Inputs'!$B$24)*(0.5*((((695-43)*MAX('Inputs'!$B$33,'Inputs'!$B$29+'Inputs'!$B$31+'Inputs'!$B$32,'Inputs'!$B$30+'Inputs'!$B$31+'Inputs'!$B$32)/1000+'Inputs'!$B$21)+'Inputs'!$B$9)/SQRT((((695-43)*MAX('Inputs'!$B$33,'Inputs'!$B$29+'Inputs'!$B$31+'Inputs'!$B$32,'Inputs'!$B$30+'Inputs'!$B$31+'Inputs'!$B$32)/1000+'Inputs'!$B$21)+'Inputs'!$B$9)^2+('Inputs'!$B$8/2)^2)-(((695-43)*MAX('Inputs'!$B$33,'Inputs'!$B$29+'Inputs'!$B$31+'Inputs'!$B$32,'Inputs'!$B$30+'Inputs'!$B$31+'Inputs'!$B$32)/1000+'Inputs'!$B$21))/SQRT((((695-43)*MAX('Inputs'!$B$33,'Inputs'!$B$29+'Inputs'!$B$31+'Inputs'!$B$32,'Inputs'!$B$30+'Inputs'!$B$31+'Inputs'!$B$32)/1000+'Inputs'!$B$21))^2+('Inputs'!$B$8/2)^2)))-'Results'!B7*(1+'Inputs'!$B$24)*(0.5*((((695-43)*MAX('Inputs'!$B$33,'Inputs'!$B$29+'Inputs'!$B$31+'Inputs'!$B$32,'Inputs'!$B$30+'Inputs'!$B$31+'Inputs'!$B$32)/1000+'Inputs'!$B$21+'Inputs'!$B$9+'Inputs'!$B$10)+'Inputs'!$B$7)/SQRT((((695-43)*MAX('Inputs'!$B$33,'Inputs'!$B$29+'Inputs'!$B$31+'Inputs'!$B$32,'Inputs'!$B$30+'Inputs'!$B$31+'Inputs'!$B$32)/1000+'Inputs'!$B$21+'Inputs'!$B$9+'Inputs'!$B$10)+'Inputs'!$B$7)^2+('Inputs'!$B$6/2)^2)-(((695-43)*MAX('Inputs'!$B$33,'Inputs'!$B$29+'Inputs'!$B$31+'Inputs'!$B$32,'Inputs'!$B$30+'Inputs'!$B$31+'Inputs'!$B$32)/1000+'Inputs'!$B$21+'Inputs'!$B$9+'Inputs'!$B$10))/SQRT((((695-43)*MAX('Inputs'!$B$33,'Inputs'!$B$29+'Inputs'!$B$31+'Inputs'!$B$32,'Inputs'!$B$30+'Inputs'!$B$31+'Inputs'!$B$32)/1000+'Inputs'!$B$21+'Inputs'!$B$9+'Inputs'!$B$10))^2+('Inputs'!$B$6/2)^2))))*'Results'!$B$8)-'Inputs'!$B$28*ABS((('Results'!C7*(1-'Inputs'!$B$24)*(0.5*((((695-43)*MAX('Inputs'!$B$33,'Inputs'!$B$29+'Inputs'!$B$31+'Inputs'!$B$32,'Inputs'!$B$30+'Inputs'!$B$31+'Inputs'!$B$32)/1000+'Inputs'!$B$21)+'Inputs'!$B$9)/SQRT((((695-43)*MAX('Inputs'!$B$33,'Inputs'!$B$29+'Inputs'!$B$31+'Inputs'!$B$32,'Inputs'!$B$30+'Inputs'!$B$31+'Inputs'!$B$32)/1000+'Inputs'!$B$21)+'Inputs'!$B$9)^2+('Inputs'!$B$8/2)^2)-(((695-43)*MAX('Inputs'!$B$33,'Inputs'!$B$29+'Inputs'!$B$31+'Inputs'!$B$32,'Inputs'!$B$30+'Inputs'!$B$31+'Inputs'!$B$32)/1000+'Inputs'!$B$21))/SQRT((((695-43)*MAX('Inputs'!$B$33,'Inputs'!$B$29+'Inputs'!$B$31+'Inputs'!$B$32,'Inputs'!$B$30+'Inputs'!$B$31+'Inputs'!$B$32)/1000+'Inputs'!$B$21))^2+('Inputs'!$B$8/2)^2)))-'Results'!B7*(1+'Inputs'!$B$24)*(0.5*((((695-43)*MAX('Inputs'!$B$33,'Inputs'!$B$29+'Inputs'!$B$31+'Inputs'!$B$32,'Inputs'!$B$30+'Inputs'!$B$31+'Inputs'!$B$32)/1000+'Inputs'!$B$21+'Inputs'!$B$9+'Inputs'!$B$10)+'Inputs'!$B$7)/SQRT((((695-43)*MAX('Inputs'!$B$33,'Inputs'!$B$29+'Inputs'!$B$31+'Inputs'!$B$32,'Inputs'!$B$30+'Inputs'!$B$31+'Inputs'!$B$32)/1000+'Inputs'!$B$21+'Inputs'!$B$9+'Inputs'!$B$10)+'Inputs'!$B$7)^2+('Inputs'!$B$6/2)^2)-(((695-43)*MAX('Inputs'!$B$33,'Inputs'!$B$29+'Inputs'!$B$31+'Inputs'!$B$32,'Inputs'!$B$30+'Inputs'!$B$31+'Inputs'!$B$32)/1000+'Inputs'!$B$21+'Inputs'!$B$9+'Inputs'!$B$10))/SQRT((((695-43)*MAX('Inputs'!$B$33,'Inputs'!$B$29+'Inputs'!$B$31+'Inputs'!$B$32,'Inputs'!$B$30+'Inputs'!$B$31+'Inputs'!$B$32)/1000+'Inputs'!$B$21+'Inputs'!$B$9+'Inputs'!$B$10))^2+('Inputs'!$B$6/2)^2))))*'Results'!$B$8))),"")</x:f>
        <x:v>1.3145286637695426</x:v>
      </x:c>
      <x:c r="O695" t="n">
        <x:f>IF(AND(ISNUMBER('Results'!C7),ISNUMBER('Results'!B7),ISNUMBER('Results'!$B$8),ISNUMBER('Inputs'!$B$6),ISNUMBER('Inputs'!$B$7),ISNUMBER('Inputs'!$B$8),ISNUMBER('Inputs'!$B$9),ISNUMBER('Inputs'!$B$10),ISNUMBER('Inputs'!$B$21),ISNUMBER('Inputs'!$B$24),ISNUMBER('Inputs'!$B$28)),((('Results'!C7*(1+'Inputs'!$B$24)*(0.5*((((695-43)*MAX('Inputs'!$B$33,'Inputs'!$B$29+'Inputs'!$B$31+'Inputs'!$B$32,'Inputs'!$B$30+'Inputs'!$B$31+'Inputs'!$B$32)/1000+'Inputs'!$B$21)+'Inputs'!$B$9)/SQRT((((695-43)*MAX('Inputs'!$B$33,'Inputs'!$B$29+'Inputs'!$B$31+'Inputs'!$B$32,'Inputs'!$B$30+'Inputs'!$B$31+'Inputs'!$B$32)/1000+'Inputs'!$B$21)+'Inputs'!$B$9)^2+('Inputs'!$B$8/2)^2)-(((695-43)*MAX('Inputs'!$B$33,'Inputs'!$B$29+'Inputs'!$B$31+'Inputs'!$B$32,'Inputs'!$B$30+'Inputs'!$B$31+'Inputs'!$B$32)/1000+'Inputs'!$B$21))/SQRT((((695-43)*MAX('Inputs'!$B$33,'Inputs'!$B$29+'Inputs'!$B$31+'Inputs'!$B$32,'Inputs'!$B$30+'Inputs'!$B$31+'Inputs'!$B$32)/1000+'Inputs'!$B$21))^2+('Inputs'!$B$8/2)^2)))-'Results'!B7*(1-'Inputs'!$B$24)*(0.5*((((695-43)*MAX('Inputs'!$B$33,'Inputs'!$B$29+'Inputs'!$B$31+'Inputs'!$B$32,'Inputs'!$B$30+'Inputs'!$B$31+'Inputs'!$B$32)/1000+'Inputs'!$B$21+'Inputs'!$B$9+'Inputs'!$B$10)+'Inputs'!$B$7)/SQRT((((695-43)*MAX('Inputs'!$B$33,'Inputs'!$B$29+'Inputs'!$B$31+'Inputs'!$B$32,'Inputs'!$B$30+'Inputs'!$B$31+'Inputs'!$B$32)/1000+'Inputs'!$B$21+'Inputs'!$B$9+'Inputs'!$B$10)+'Inputs'!$B$7)^2+('Inputs'!$B$6/2)^2)-(((695-43)*MAX('Inputs'!$B$33,'Inputs'!$B$29+'Inputs'!$B$31+'Inputs'!$B$32,'Inputs'!$B$30+'Inputs'!$B$31+'Inputs'!$B$32)/1000+'Inputs'!$B$21+'Inputs'!$B$9+'Inputs'!$B$10))/SQRT((((695-43)*MAX('Inputs'!$B$33,'Inputs'!$B$29+'Inputs'!$B$31+'Inputs'!$B$32,'Inputs'!$B$30+'Inputs'!$B$31+'Inputs'!$B$32)/1000+'Inputs'!$B$21+'Inputs'!$B$9+'Inputs'!$B$10))^2+('Inputs'!$B$6/2)^2))))*'Results'!$B$8)+'Inputs'!$B$28*ABS((('Results'!C7*(1+'Inputs'!$B$24)*(0.5*((((695-43)*MAX('Inputs'!$B$33,'Inputs'!$B$29+'Inputs'!$B$31+'Inputs'!$B$32,'Inputs'!$B$30+'Inputs'!$B$31+'Inputs'!$B$32)/1000+'Inputs'!$B$21)+'Inputs'!$B$9)/SQRT((((695-43)*MAX('Inputs'!$B$33,'Inputs'!$B$29+'Inputs'!$B$31+'Inputs'!$B$32,'Inputs'!$B$30+'Inputs'!$B$31+'Inputs'!$B$32)/1000+'Inputs'!$B$21)+'Inputs'!$B$9)^2+('Inputs'!$B$8/2)^2)-(((695-43)*MAX('Inputs'!$B$33,'Inputs'!$B$29+'Inputs'!$B$31+'Inputs'!$B$32,'Inputs'!$B$30+'Inputs'!$B$31+'Inputs'!$B$32)/1000+'Inputs'!$B$21))/SQRT((((695-43)*MAX('Inputs'!$B$33,'Inputs'!$B$29+'Inputs'!$B$31+'Inputs'!$B$32,'Inputs'!$B$30+'Inputs'!$B$31+'Inputs'!$B$32)/1000+'Inputs'!$B$21))^2+('Inputs'!$B$8/2)^2)))-'Results'!B7*(1-'Inputs'!$B$24)*(0.5*((((695-43)*MAX('Inputs'!$B$33,'Inputs'!$B$29+'Inputs'!$B$31+'Inputs'!$B$32,'Inputs'!$B$30+'Inputs'!$B$31+'Inputs'!$B$32)/1000+'Inputs'!$B$21+'Inputs'!$B$9+'Inputs'!$B$10)+'Inputs'!$B$7)/SQRT((((695-43)*MAX('Inputs'!$B$33,'Inputs'!$B$29+'Inputs'!$B$31+'Inputs'!$B$32,'Inputs'!$B$30+'Inputs'!$B$31+'Inputs'!$B$32)/1000+'Inputs'!$B$21+'Inputs'!$B$9+'Inputs'!$B$10)+'Inputs'!$B$7)^2+('Inputs'!$B$6/2)^2)-(((695-43)*MAX('Inputs'!$B$33,'Inputs'!$B$29+'Inputs'!$B$31+'Inputs'!$B$32,'Inputs'!$B$30+'Inputs'!$B$31+'Inputs'!$B$32)/1000+'Inputs'!$B$21+'Inputs'!$B$9+'Inputs'!$B$10))/SQRT((((695-43)*MAX('Inputs'!$B$33,'Inputs'!$B$29+'Inputs'!$B$31+'Inputs'!$B$32,'Inputs'!$B$30+'Inputs'!$B$31+'Inputs'!$B$32)/1000+'Inputs'!$B$21+'Inputs'!$B$9+'Inputs'!$B$10))^2+('Inputs'!$B$6/2)^2))))*'Results'!$B$8))),"")</x:f>
        <x:v>1.7433703115850816</x:v>
      </x:c>
      <x:c r="P695" t="n">
        <x:f>IF(AND(MAX(J695,J694)&gt;0,J695&gt;J694+0.00000001),1,0)</x:f>
        <x:v>0</x:v>
      </x:c>
      <x:c r="Q695" t="n">
        <x:f>IF(AND(MAX(K695,K694)&gt;0,K695&gt;K694+0.00000001),1,0)</x:f>
        <x:v>0</x:v>
      </x:c>
      <x:c r="R695" t="n">
        <x:f>IF(AND(MAX(L695,L694)&gt;0,L695&gt;L694+0.00000001),1,0)</x:f>
        <x:v>0</x:v>
      </x:c>
      <x:c r="S695" t="n">
        <x:f>IF(AND(MAX(M695,M694)&gt;0,M695&gt;M694+0.00000001),1,0)</x:f>
        <x:v>0</x:v>
      </x:c>
      <x:c r="T695" t="n">
        <x:f>IF(AND(MAX(N695,N694)&gt;0,N695&gt;N694+0.00000001),1,0)</x:f>
        <x:v>0</x:v>
      </x:c>
      <x:c r="U695" t="n">
        <x:f>IF(AND(MAX(O695,O694)&gt;0,O695&gt;O694+0.00000001),1,0)</x:f>
        <x:v>0</x:v>
      </x:c>
    </x:row>
    <x:row r="696">
      <x:c r="J696" t="n">
        <x:f>IF(AND(ISNUMBER('Results'!B7),ISNUMBER('Results'!C7),ISNUMBER('Results'!$B$8),ISNUMBER('Inputs'!$B$6),ISNUMBER('Inputs'!$B$7),ISNUMBER('Inputs'!$B$8),ISNUMBER('Inputs'!$B$9),ISNUMBER('Inputs'!$B$10),ISNUMBER('Inputs'!$B$21),ISNUMBER('Inputs'!$B$24),ISNUMBER('Inputs'!$B$28)),(('Results'!B7*(0.5*((((696-43)*MAX('Inputs'!$B$33,'Inputs'!$B$29+'Inputs'!$B$31+'Inputs'!$B$32,'Inputs'!$B$30+'Inputs'!$B$31+'Inputs'!$B$32)/1000+'Inputs'!$B$21)+'Inputs'!$B$7)/SQRT((((696-43)*MAX('Inputs'!$B$33,'Inputs'!$B$29+'Inputs'!$B$31+'Inputs'!$B$32,'Inputs'!$B$30+'Inputs'!$B$31+'Inputs'!$B$32)/1000+'Inputs'!$B$21)+'Inputs'!$B$7)^2+('Inputs'!$B$6/2)^2)-(((696-43)*MAX('Inputs'!$B$33,'Inputs'!$B$29+'Inputs'!$B$31+'Inputs'!$B$32,'Inputs'!$B$30+'Inputs'!$B$31+'Inputs'!$B$32)/1000+'Inputs'!$B$21))/SQRT((((696-43)*MAX('Inputs'!$B$33,'Inputs'!$B$29+'Inputs'!$B$31+'Inputs'!$B$32,'Inputs'!$B$30+'Inputs'!$B$31+'Inputs'!$B$32)/1000+'Inputs'!$B$21))^2+('Inputs'!$B$6/2)^2)))-'Results'!C7*(0.5*((((696-43)*MAX('Inputs'!$B$33,'Inputs'!$B$29+'Inputs'!$B$31+'Inputs'!$B$32,'Inputs'!$B$30+'Inputs'!$B$31+'Inputs'!$B$32)/1000+'Inputs'!$B$21+'Inputs'!$B$7+'Inputs'!$B$10)+'Inputs'!$B$9)/SQRT((((696-43)*MAX('Inputs'!$B$33,'Inputs'!$B$29+'Inputs'!$B$31+'Inputs'!$B$32,'Inputs'!$B$30+'Inputs'!$B$31+'Inputs'!$B$32)/1000+'Inputs'!$B$21+'Inputs'!$B$7+'Inputs'!$B$10)+'Inputs'!$B$9)^2+('Inputs'!$B$8/2)^2)-(((696-43)*MAX('Inputs'!$B$33,'Inputs'!$B$29+'Inputs'!$B$31+'Inputs'!$B$32,'Inputs'!$B$30+'Inputs'!$B$31+'Inputs'!$B$32)/1000+'Inputs'!$B$21+'Inputs'!$B$7+'Inputs'!$B$10))/SQRT((((696-43)*MAX('Inputs'!$B$33,'Inputs'!$B$29+'Inputs'!$B$31+'Inputs'!$B$32,'Inputs'!$B$30+'Inputs'!$B$31+'Inputs'!$B$32)/1000+'Inputs'!$B$21+'Inputs'!$B$7+'Inputs'!$B$10))^2+('Inputs'!$B$8/2)^2))))*'Results'!$B$8),"")</x:f>
        <x:v>1.653112702203204</x:v>
      </x:c>
      <x:c r="K696" t="n">
        <x:f>IF(AND(ISNUMBER('Results'!B7),ISNUMBER('Results'!C7),ISNUMBER('Results'!$B$8),ISNUMBER('Inputs'!$B$6),ISNUMBER('Inputs'!$B$7),ISNUMBER('Inputs'!$B$8),ISNUMBER('Inputs'!$B$9),ISNUMBER('Inputs'!$B$10),ISNUMBER('Inputs'!$B$21),ISNUMBER('Inputs'!$B$24),ISNUMBER('Inputs'!$B$28)),((('Results'!B7*(1-'Inputs'!$B$24)*(0.5*((((696-43)*MAX('Inputs'!$B$33,'Inputs'!$B$29+'Inputs'!$B$31+'Inputs'!$B$32,'Inputs'!$B$30+'Inputs'!$B$31+'Inputs'!$B$32)/1000+'Inputs'!$B$21)+'Inputs'!$B$7)/SQRT((((696-43)*MAX('Inputs'!$B$33,'Inputs'!$B$29+'Inputs'!$B$31+'Inputs'!$B$32,'Inputs'!$B$30+'Inputs'!$B$31+'Inputs'!$B$32)/1000+'Inputs'!$B$21)+'Inputs'!$B$7)^2+('Inputs'!$B$6/2)^2)-(((696-43)*MAX('Inputs'!$B$33,'Inputs'!$B$29+'Inputs'!$B$31+'Inputs'!$B$32,'Inputs'!$B$30+'Inputs'!$B$31+'Inputs'!$B$32)/1000+'Inputs'!$B$21))/SQRT((((696-43)*MAX('Inputs'!$B$33,'Inputs'!$B$29+'Inputs'!$B$31+'Inputs'!$B$32,'Inputs'!$B$30+'Inputs'!$B$31+'Inputs'!$B$32)/1000+'Inputs'!$B$21))^2+('Inputs'!$B$6/2)^2)))-'Results'!C7*(1+'Inputs'!$B$24)*(0.5*((((696-43)*MAX('Inputs'!$B$33,'Inputs'!$B$29+'Inputs'!$B$31+'Inputs'!$B$32,'Inputs'!$B$30+'Inputs'!$B$31+'Inputs'!$B$32)/1000+'Inputs'!$B$21+'Inputs'!$B$7+'Inputs'!$B$10)+'Inputs'!$B$9)/SQRT((((696-43)*MAX('Inputs'!$B$33,'Inputs'!$B$29+'Inputs'!$B$31+'Inputs'!$B$32,'Inputs'!$B$30+'Inputs'!$B$31+'Inputs'!$B$32)/1000+'Inputs'!$B$21+'Inputs'!$B$7+'Inputs'!$B$10)+'Inputs'!$B$9)^2+('Inputs'!$B$8/2)^2)-(((696-43)*MAX('Inputs'!$B$33,'Inputs'!$B$29+'Inputs'!$B$31+'Inputs'!$B$32,'Inputs'!$B$30+'Inputs'!$B$31+'Inputs'!$B$32)/1000+'Inputs'!$B$21+'Inputs'!$B$7+'Inputs'!$B$10))/SQRT((((696-43)*MAX('Inputs'!$B$33,'Inputs'!$B$29+'Inputs'!$B$31+'Inputs'!$B$32,'Inputs'!$B$30+'Inputs'!$B$31+'Inputs'!$B$32)/1000+'Inputs'!$B$21+'Inputs'!$B$7+'Inputs'!$B$10))^2+('Inputs'!$B$8/2)^2))))*'Results'!$B$8)-'Inputs'!$B$28*ABS((('Results'!B7*(1-'Inputs'!$B$24)*(0.5*((((696-43)*MAX('Inputs'!$B$33,'Inputs'!$B$29+'Inputs'!$B$31+'Inputs'!$B$32,'Inputs'!$B$30+'Inputs'!$B$31+'Inputs'!$B$32)/1000+'Inputs'!$B$21)+'Inputs'!$B$7)/SQRT((((696-43)*MAX('Inputs'!$B$33,'Inputs'!$B$29+'Inputs'!$B$31+'Inputs'!$B$32,'Inputs'!$B$30+'Inputs'!$B$31+'Inputs'!$B$32)/1000+'Inputs'!$B$21)+'Inputs'!$B$7)^2+('Inputs'!$B$6/2)^2)-(((696-43)*MAX('Inputs'!$B$33,'Inputs'!$B$29+'Inputs'!$B$31+'Inputs'!$B$32,'Inputs'!$B$30+'Inputs'!$B$31+'Inputs'!$B$32)/1000+'Inputs'!$B$21))/SQRT((((696-43)*MAX('Inputs'!$B$33,'Inputs'!$B$29+'Inputs'!$B$31+'Inputs'!$B$32,'Inputs'!$B$30+'Inputs'!$B$31+'Inputs'!$B$32)/1000+'Inputs'!$B$21))^2+('Inputs'!$B$6/2)^2)))-'Results'!C7*(1+'Inputs'!$B$24)*(0.5*((((696-43)*MAX('Inputs'!$B$33,'Inputs'!$B$29+'Inputs'!$B$31+'Inputs'!$B$32,'Inputs'!$B$30+'Inputs'!$B$31+'Inputs'!$B$32)/1000+'Inputs'!$B$21+'Inputs'!$B$7+'Inputs'!$B$10)+'Inputs'!$B$9)/SQRT((((696-43)*MAX('Inputs'!$B$33,'Inputs'!$B$29+'Inputs'!$B$31+'Inputs'!$B$32,'Inputs'!$B$30+'Inputs'!$B$31+'Inputs'!$B$32)/1000+'Inputs'!$B$21+'Inputs'!$B$7+'Inputs'!$B$10)+'Inputs'!$B$9)^2+('Inputs'!$B$8/2)^2)-(((696-43)*MAX('Inputs'!$B$33,'Inputs'!$B$29+'Inputs'!$B$31+'Inputs'!$B$32,'Inputs'!$B$30+'Inputs'!$B$31+'Inputs'!$B$32)/1000+'Inputs'!$B$21+'Inputs'!$B$7+'Inputs'!$B$10))/SQRT((((696-43)*MAX('Inputs'!$B$33,'Inputs'!$B$29+'Inputs'!$B$31+'Inputs'!$B$32,'Inputs'!$B$30+'Inputs'!$B$31+'Inputs'!$B$32)/1000+'Inputs'!$B$21+'Inputs'!$B$7+'Inputs'!$B$10))^2+('Inputs'!$B$8/2)^2))))*'Results'!$B$8))),"")</x:f>
        <x:v>1.4389916408655519</x:v>
      </x:c>
      <x:c r="L696" t="n">
        <x:f>IF(AND(ISNUMBER('Results'!B7),ISNUMBER('Results'!C7),ISNUMBER('Results'!$B$8),ISNUMBER('Inputs'!$B$6),ISNUMBER('Inputs'!$B$7),ISNUMBER('Inputs'!$B$8),ISNUMBER('Inputs'!$B$9),ISNUMBER('Inputs'!$B$10),ISNUMBER('Inputs'!$B$21),ISNUMBER('Inputs'!$B$24),ISNUMBER('Inputs'!$B$28)),((('Results'!B7*(1+'Inputs'!$B$24)*(0.5*((((696-43)*MAX('Inputs'!$B$33,'Inputs'!$B$29+'Inputs'!$B$31+'Inputs'!$B$32,'Inputs'!$B$30+'Inputs'!$B$31+'Inputs'!$B$32)/1000+'Inputs'!$B$21)+'Inputs'!$B$7)/SQRT((((696-43)*MAX('Inputs'!$B$33,'Inputs'!$B$29+'Inputs'!$B$31+'Inputs'!$B$32,'Inputs'!$B$30+'Inputs'!$B$31+'Inputs'!$B$32)/1000+'Inputs'!$B$21)+'Inputs'!$B$7)^2+('Inputs'!$B$6/2)^2)-(((696-43)*MAX('Inputs'!$B$33,'Inputs'!$B$29+'Inputs'!$B$31+'Inputs'!$B$32,'Inputs'!$B$30+'Inputs'!$B$31+'Inputs'!$B$32)/1000+'Inputs'!$B$21))/SQRT((((696-43)*MAX('Inputs'!$B$33,'Inputs'!$B$29+'Inputs'!$B$31+'Inputs'!$B$32,'Inputs'!$B$30+'Inputs'!$B$31+'Inputs'!$B$32)/1000+'Inputs'!$B$21))^2+('Inputs'!$B$6/2)^2)))-'Results'!C7*(1-'Inputs'!$B$24)*(0.5*((((696-43)*MAX('Inputs'!$B$33,'Inputs'!$B$29+'Inputs'!$B$31+'Inputs'!$B$32,'Inputs'!$B$30+'Inputs'!$B$31+'Inputs'!$B$32)/1000+'Inputs'!$B$21+'Inputs'!$B$7+'Inputs'!$B$10)+'Inputs'!$B$9)/SQRT((((696-43)*MAX('Inputs'!$B$33,'Inputs'!$B$29+'Inputs'!$B$31+'Inputs'!$B$32,'Inputs'!$B$30+'Inputs'!$B$31+'Inputs'!$B$32)/1000+'Inputs'!$B$21+'Inputs'!$B$7+'Inputs'!$B$10)+'Inputs'!$B$9)^2+('Inputs'!$B$8/2)^2)-(((696-43)*MAX('Inputs'!$B$33,'Inputs'!$B$29+'Inputs'!$B$31+'Inputs'!$B$32,'Inputs'!$B$30+'Inputs'!$B$31+'Inputs'!$B$32)/1000+'Inputs'!$B$21+'Inputs'!$B$7+'Inputs'!$B$10))/SQRT((((696-43)*MAX('Inputs'!$B$33,'Inputs'!$B$29+'Inputs'!$B$31+'Inputs'!$B$32,'Inputs'!$B$30+'Inputs'!$B$31+'Inputs'!$B$32)/1000+'Inputs'!$B$21+'Inputs'!$B$7+'Inputs'!$B$10))^2+('Inputs'!$B$8/2)^2))))*'Results'!$B$8)+'Inputs'!$B$28*ABS((('Results'!B7*(1+'Inputs'!$B$24)*(0.5*((((696-43)*MAX('Inputs'!$B$33,'Inputs'!$B$29+'Inputs'!$B$31+'Inputs'!$B$32,'Inputs'!$B$30+'Inputs'!$B$31+'Inputs'!$B$32)/1000+'Inputs'!$B$21)+'Inputs'!$B$7)/SQRT((((696-43)*MAX('Inputs'!$B$33,'Inputs'!$B$29+'Inputs'!$B$31+'Inputs'!$B$32,'Inputs'!$B$30+'Inputs'!$B$31+'Inputs'!$B$32)/1000+'Inputs'!$B$21)+'Inputs'!$B$7)^2+('Inputs'!$B$6/2)^2)-(((696-43)*MAX('Inputs'!$B$33,'Inputs'!$B$29+'Inputs'!$B$31+'Inputs'!$B$32,'Inputs'!$B$30+'Inputs'!$B$31+'Inputs'!$B$32)/1000+'Inputs'!$B$21))/SQRT((((696-43)*MAX('Inputs'!$B$33,'Inputs'!$B$29+'Inputs'!$B$31+'Inputs'!$B$32,'Inputs'!$B$30+'Inputs'!$B$31+'Inputs'!$B$32)/1000+'Inputs'!$B$21))^2+('Inputs'!$B$6/2)^2)))-'Results'!C7*(1-'Inputs'!$B$24)*(0.5*((((696-43)*MAX('Inputs'!$B$33,'Inputs'!$B$29+'Inputs'!$B$31+'Inputs'!$B$32,'Inputs'!$B$30+'Inputs'!$B$31+'Inputs'!$B$32)/1000+'Inputs'!$B$21+'Inputs'!$B$7+'Inputs'!$B$10)+'Inputs'!$B$9)/SQRT((((696-43)*MAX('Inputs'!$B$33,'Inputs'!$B$29+'Inputs'!$B$31+'Inputs'!$B$32,'Inputs'!$B$30+'Inputs'!$B$31+'Inputs'!$B$32)/1000+'Inputs'!$B$21+'Inputs'!$B$7+'Inputs'!$B$10)+'Inputs'!$B$9)^2+('Inputs'!$B$8/2)^2)-(((696-43)*MAX('Inputs'!$B$33,'Inputs'!$B$29+'Inputs'!$B$31+'Inputs'!$B$32,'Inputs'!$B$30+'Inputs'!$B$31+'Inputs'!$B$32)/1000+'Inputs'!$B$21+'Inputs'!$B$7+'Inputs'!$B$10))/SQRT((((696-43)*MAX('Inputs'!$B$33,'Inputs'!$B$29+'Inputs'!$B$31+'Inputs'!$B$32,'Inputs'!$B$30+'Inputs'!$B$31+'Inputs'!$B$32)/1000+'Inputs'!$B$21+'Inputs'!$B$7+'Inputs'!$B$10))^2+('Inputs'!$B$8/2)^2))))*'Results'!$B$8))),"")</x:f>
        <x:v>1.881072229459539</x:v>
      </x:c>
      <x:c r="M696" t="n">
        <x:f>IF(AND(ISNUMBER('Results'!C7),ISNUMBER('Results'!B7),ISNUMBER('Results'!$B$8),ISNUMBER('Inputs'!$B$6),ISNUMBER('Inputs'!$B$7),ISNUMBER('Inputs'!$B$8),ISNUMBER('Inputs'!$B$9),ISNUMBER('Inputs'!$B$10),ISNUMBER('Inputs'!$B$21),ISNUMBER('Inputs'!$B$24),ISNUMBER('Inputs'!$B$28)),(('Results'!C7*(0.5*((((696-43)*MAX('Inputs'!$B$33,'Inputs'!$B$29+'Inputs'!$B$31+'Inputs'!$B$32,'Inputs'!$B$30+'Inputs'!$B$31+'Inputs'!$B$32)/1000+'Inputs'!$B$21)+'Inputs'!$B$9)/SQRT((((696-43)*MAX('Inputs'!$B$33,'Inputs'!$B$29+'Inputs'!$B$31+'Inputs'!$B$32,'Inputs'!$B$30+'Inputs'!$B$31+'Inputs'!$B$32)/1000+'Inputs'!$B$21)+'Inputs'!$B$9)^2+('Inputs'!$B$8/2)^2)-(((696-43)*MAX('Inputs'!$B$33,'Inputs'!$B$29+'Inputs'!$B$31+'Inputs'!$B$32,'Inputs'!$B$30+'Inputs'!$B$31+'Inputs'!$B$32)/1000+'Inputs'!$B$21))/SQRT((((696-43)*MAX('Inputs'!$B$33,'Inputs'!$B$29+'Inputs'!$B$31+'Inputs'!$B$32,'Inputs'!$B$30+'Inputs'!$B$31+'Inputs'!$B$32)/1000+'Inputs'!$B$21))^2+('Inputs'!$B$8/2)^2)))-'Results'!B7*(0.5*((((696-43)*MAX('Inputs'!$B$33,'Inputs'!$B$29+'Inputs'!$B$31+'Inputs'!$B$32,'Inputs'!$B$30+'Inputs'!$B$31+'Inputs'!$B$32)/1000+'Inputs'!$B$21+'Inputs'!$B$9+'Inputs'!$B$10)+'Inputs'!$B$7)/SQRT((((696-43)*MAX('Inputs'!$B$33,'Inputs'!$B$29+'Inputs'!$B$31+'Inputs'!$B$32,'Inputs'!$B$30+'Inputs'!$B$31+'Inputs'!$B$32)/1000+'Inputs'!$B$21+'Inputs'!$B$9+'Inputs'!$B$10)+'Inputs'!$B$7)^2+('Inputs'!$B$6/2)^2)-(((696-43)*MAX('Inputs'!$B$33,'Inputs'!$B$29+'Inputs'!$B$31+'Inputs'!$B$32,'Inputs'!$B$30+'Inputs'!$B$31+'Inputs'!$B$32)/1000+'Inputs'!$B$21+'Inputs'!$B$9+'Inputs'!$B$10))/SQRT((((696-43)*MAX('Inputs'!$B$33,'Inputs'!$B$29+'Inputs'!$B$31+'Inputs'!$B$32,'Inputs'!$B$30+'Inputs'!$B$31+'Inputs'!$B$32)/1000+'Inputs'!$B$21+'Inputs'!$B$9+'Inputs'!$B$10))^2+('Inputs'!$B$6/2)^2))))*'Results'!$B$8),"")</x:f>
        <x:v>1.5136533245965462</x:v>
      </x:c>
      <x:c r="N696" t="n">
        <x:f>IF(AND(ISNUMBER('Results'!C7),ISNUMBER('Results'!B7),ISNUMBER('Results'!$B$8),ISNUMBER('Inputs'!$B$6),ISNUMBER('Inputs'!$B$7),ISNUMBER('Inputs'!$B$8),ISNUMBER('Inputs'!$B$9),ISNUMBER('Inputs'!$B$10),ISNUMBER('Inputs'!$B$21),ISNUMBER('Inputs'!$B$24),ISNUMBER('Inputs'!$B$28)),((('Results'!C7*(1-'Inputs'!$B$24)*(0.5*((((696-43)*MAX('Inputs'!$B$33,'Inputs'!$B$29+'Inputs'!$B$31+'Inputs'!$B$32,'Inputs'!$B$30+'Inputs'!$B$31+'Inputs'!$B$32)/1000+'Inputs'!$B$21)+'Inputs'!$B$9)/SQRT((((696-43)*MAX('Inputs'!$B$33,'Inputs'!$B$29+'Inputs'!$B$31+'Inputs'!$B$32,'Inputs'!$B$30+'Inputs'!$B$31+'Inputs'!$B$32)/1000+'Inputs'!$B$21)+'Inputs'!$B$9)^2+('Inputs'!$B$8/2)^2)-(((696-43)*MAX('Inputs'!$B$33,'Inputs'!$B$29+'Inputs'!$B$31+'Inputs'!$B$32,'Inputs'!$B$30+'Inputs'!$B$31+'Inputs'!$B$32)/1000+'Inputs'!$B$21))/SQRT((((696-43)*MAX('Inputs'!$B$33,'Inputs'!$B$29+'Inputs'!$B$31+'Inputs'!$B$32,'Inputs'!$B$30+'Inputs'!$B$31+'Inputs'!$B$32)/1000+'Inputs'!$B$21))^2+('Inputs'!$B$8/2)^2)))-'Results'!B7*(1+'Inputs'!$B$24)*(0.5*((((696-43)*MAX('Inputs'!$B$33,'Inputs'!$B$29+'Inputs'!$B$31+'Inputs'!$B$32,'Inputs'!$B$30+'Inputs'!$B$31+'Inputs'!$B$32)/1000+'Inputs'!$B$21+'Inputs'!$B$9+'Inputs'!$B$10)+'Inputs'!$B$7)/SQRT((((696-43)*MAX('Inputs'!$B$33,'Inputs'!$B$29+'Inputs'!$B$31+'Inputs'!$B$32,'Inputs'!$B$30+'Inputs'!$B$31+'Inputs'!$B$32)/1000+'Inputs'!$B$21+'Inputs'!$B$9+'Inputs'!$B$10)+'Inputs'!$B$7)^2+('Inputs'!$B$6/2)^2)-(((696-43)*MAX('Inputs'!$B$33,'Inputs'!$B$29+'Inputs'!$B$31+'Inputs'!$B$32,'Inputs'!$B$30+'Inputs'!$B$31+'Inputs'!$B$32)/1000+'Inputs'!$B$21+'Inputs'!$B$9+'Inputs'!$B$10))/SQRT((((696-43)*MAX('Inputs'!$B$33,'Inputs'!$B$29+'Inputs'!$B$31+'Inputs'!$B$32,'Inputs'!$B$30+'Inputs'!$B$31+'Inputs'!$B$32)/1000+'Inputs'!$B$21+'Inputs'!$B$9+'Inputs'!$B$10))^2+('Inputs'!$B$6/2)^2))))*'Results'!$B$8)-'Inputs'!$B$28*ABS((('Results'!C7*(1-'Inputs'!$B$24)*(0.5*((((696-43)*MAX('Inputs'!$B$33,'Inputs'!$B$29+'Inputs'!$B$31+'Inputs'!$B$32,'Inputs'!$B$30+'Inputs'!$B$31+'Inputs'!$B$32)/1000+'Inputs'!$B$21)+'Inputs'!$B$9)/SQRT((((696-43)*MAX('Inputs'!$B$33,'Inputs'!$B$29+'Inputs'!$B$31+'Inputs'!$B$32,'Inputs'!$B$30+'Inputs'!$B$31+'Inputs'!$B$32)/1000+'Inputs'!$B$21)+'Inputs'!$B$9)^2+('Inputs'!$B$8/2)^2)-(((696-43)*MAX('Inputs'!$B$33,'Inputs'!$B$29+'Inputs'!$B$31+'Inputs'!$B$32,'Inputs'!$B$30+'Inputs'!$B$31+'Inputs'!$B$32)/1000+'Inputs'!$B$21))/SQRT((((696-43)*MAX('Inputs'!$B$33,'Inputs'!$B$29+'Inputs'!$B$31+'Inputs'!$B$32,'Inputs'!$B$30+'Inputs'!$B$31+'Inputs'!$B$32)/1000+'Inputs'!$B$21))^2+('Inputs'!$B$8/2)^2)))-'Results'!B7*(1+'Inputs'!$B$24)*(0.5*((((696-43)*MAX('Inputs'!$B$33,'Inputs'!$B$29+'Inputs'!$B$31+'Inputs'!$B$32,'Inputs'!$B$30+'Inputs'!$B$31+'Inputs'!$B$32)/1000+'Inputs'!$B$21+'Inputs'!$B$9+'Inputs'!$B$10)+'Inputs'!$B$7)/SQRT((((696-43)*MAX('Inputs'!$B$33,'Inputs'!$B$29+'Inputs'!$B$31+'Inputs'!$B$32,'Inputs'!$B$30+'Inputs'!$B$31+'Inputs'!$B$32)/1000+'Inputs'!$B$21+'Inputs'!$B$9+'Inputs'!$B$10)+'Inputs'!$B$7)^2+('Inputs'!$B$6/2)^2)-(((696-43)*MAX('Inputs'!$B$33,'Inputs'!$B$29+'Inputs'!$B$31+'Inputs'!$B$32,'Inputs'!$B$30+'Inputs'!$B$31+'Inputs'!$B$32)/1000+'Inputs'!$B$21+'Inputs'!$B$9+'Inputs'!$B$10))/SQRT((((696-43)*MAX('Inputs'!$B$33,'Inputs'!$B$29+'Inputs'!$B$31+'Inputs'!$B$32,'Inputs'!$B$30+'Inputs'!$B$31+'Inputs'!$B$32)/1000+'Inputs'!$B$21+'Inputs'!$B$9+'Inputs'!$B$10))^2+('Inputs'!$B$6/2)^2))))*'Results'!$B$8))),"")</x:f>
        <x:v>1.307112995316088</x:v>
      </x:c>
      <x:c r="O696" t="n">
        <x:f>IF(AND(ISNUMBER('Results'!C7),ISNUMBER('Results'!B7),ISNUMBER('Results'!$B$8),ISNUMBER('Inputs'!$B$6),ISNUMBER('Inputs'!$B$7),ISNUMBER('Inputs'!$B$8),ISNUMBER('Inputs'!$B$9),ISNUMBER('Inputs'!$B$10),ISNUMBER('Inputs'!$B$21),ISNUMBER('Inputs'!$B$24),ISNUMBER('Inputs'!$B$28)),((('Results'!C7*(1+'Inputs'!$B$24)*(0.5*((((696-43)*MAX('Inputs'!$B$33,'Inputs'!$B$29+'Inputs'!$B$31+'Inputs'!$B$32,'Inputs'!$B$30+'Inputs'!$B$31+'Inputs'!$B$32)/1000+'Inputs'!$B$21)+'Inputs'!$B$9)/SQRT((((696-43)*MAX('Inputs'!$B$33,'Inputs'!$B$29+'Inputs'!$B$31+'Inputs'!$B$32,'Inputs'!$B$30+'Inputs'!$B$31+'Inputs'!$B$32)/1000+'Inputs'!$B$21)+'Inputs'!$B$9)^2+('Inputs'!$B$8/2)^2)-(((696-43)*MAX('Inputs'!$B$33,'Inputs'!$B$29+'Inputs'!$B$31+'Inputs'!$B$32,'Inputs'!$B$30+'Inputs'!$B$31+'Inputs'!$B$32)/1000+'Inputs'!$B$21))/SQRT((((696-43)*MAX('Inputs'!$B$33,'Inputs'!$B$29+'Inputs'!$B$31+'Inputs'!$B$32,'Inputs'!$B$30+'Inputs'!$B$31+'Inputs'!$B$32)/1000+'Inputs'!$B$21))^2+('Inputs'!$B$8/2)^2)))-'Results'!B7*(1-'Inputs'!$B$24)*(0.5*((((696-43)*MAX('Inputs'!$B$33,'Inputs'!$B$29+'Inputs'!$B$31+'Inputs'!$B$32,'Inputs'!$B$30+'Inputs'!$B$31+'Inputs'!$B$32)/1000+'Inputs'!$B$21+'Inputs'!$B$9+'Inputs'!$B$10)+'Inputs'!$B$7)/SQRT((((696-43)*MAX('Inputs'!$B$33,'Inputs'!$B$29+'Inputs'!$B$31+'Inputs'!$B$32,'Inputs'!$B$30+'Inputs'!$B$31+'Inputs'!$B$32)/1000+'Inputs'!$B$21+'Inputs'!$B$9+'Inputs'!$B$10)+'Inputs'!$B$7)^2+('Inputs'!$B$6/2)^2)-(((696-43)*MAX('Inputs'!$B$33,'Inputs'!$B$29+'Inputs'!$B$31+'Inputs'!$B$32,'Inputs'!$B$30+'Inputs'!$B$31+'Inputs'!$B$32)/1000+'Inputs'!$B$21+'Inputs'!$B$9+'Inputs'!$B$10))/SQRT((((696-43)*MAX('Inputs'!$B$33,'Inputs'!$B$29+'Inputs'!$B$31+'Inputs'!$B$32,'Inputs'!$B$30+'Inputs'!$B$31+'Inputs'!$B$32)/1000+'Inputs'!$B$21+'Inputs'!$B$9+'Inputs'!$B$10))^2+('Inputs'!$B$6/2)^2))))*'Results'!$B$8)+'Inputs'!$B$28*ABS((('Results'!C7*(1+'Inputs'!$B$24)*(0.5*((((696-43)*MAX('Inputs'!$B$33,'Inputs'!$B$29+'Inputs'!$B$31+'Inputs'!$B$32,'Inputs'!$B$30+'Inputs'!$B$31+'Inputs'!$B$32)/1000+'Inputs'!$B$21)+'Inputs'!$B$9)/SQRT((((696-43)*MAX('Inputs'!$B$33,'Inputs'!$B$29+'Inputs'!$B$31+'Inputs'!$B$32,'Inputs'!$B$30+'Inputs'!$B$31+'Inputs'!$B$32)/1000+'Inputs'!$B$21)+'Inputs'!$B$9)^2+('Inputs'!$B$8/2)^2)-(((696-43)*MAX('Inputs'!$B$33,'Inputs'!$B$29+'Inputs'!$B$31+'Inputs'!$B$32,'Inputs'!$B$30+'Inputs'!$B$31+'Inputs'!$B$32)/1000+'Inputs'!$B$21))/SQRT((((696-43)*MAX('Inputs'!$B$33,'Inputs'!$B$29+'Inputs'!$B$31+'Inputs'!$B$32,'Inputs'!$B$30+'Inputs'!$B$31+'Inputs'!$B$32)/1000+'Inputs'!$B$21))^2+('Inputs'!$B$8/2)^2)))-'Results'!B7*(1-'Inputs'!$B$24)*(0.5*((((696-43)*MAX('Inputs'!$B$33,'Inputs'!$B$29+'Inputs'!$B$31+'Inputs'!$B$32,'Inputs'!$B$30+'Inputs'!$B$31+'Inputs'!$B$32)/1000+'Inputs'!$B$21+'Inputs'!$B$9+'Inputs'!$B$10)+'Inputs'!$B$7)/SQRT((((696-43)*MAX('Inputs'!$B$33,'Inputs'!$B$29+'Inputs'!$B$31+'Inputs'!$B$32,'Inputs'!$B$30+'Inputs'!$B$31+'Inputs'!$B$32)/1000+'Inputs'!$B$21+'Inputs'!$B$9+'Inputs'!$B$10)+'Inputs'!$B$7)^2+('Inputs'!$B$6/2)^2)-(((696-43)*MAX('Inputs'!$B$33,'Inputs'!$B$29+'Inputs'!$B$31+'Inputs'!$B$32,'Inputs'!$B$30+'Inputs'!$B$31+'Inputs'!$B$32)/1000+'Inputs'!$B$21+'Inputs'!$B$9+'Inputs'!$B$10))/SQRT((((696-43)*MAX('Inputs'!$B$33,'Inputs'!$B$29+'Inputs'!$B$31+'Inputs'!$B$32,'Inputs'!$B$30+'Inputs'!$B$31+'Inputs'!$B$32)/1000+'Inputs'!$B$21+'Inputs'!$B$9+'Inputs'!$B$10))^2+('Inputs'!$B$6/2)^2))))*'Results'!$B$8))),"")</x:f>
        <x:v>1.7339681447244395</x:v>
      </x:c>
      <x:c r="P696" t="n">
        <x:f>IF(AND(MAX(J696,J695)&gt;0,J696&gt;J695+0.00000001),1,0)</x:f>
        <x:v>0</x:v>
      </x:c>
      <x:c r="Q696" t="n">
        <x:f>IF(AND(MAX(K696,K695)&gt;0,K696&gt;K695+0.00000001),1,0)</x:f>
        <x:v>0</x:v>
      </x:c>
      <x:c r="R696" t="n">
        <x:f>IF(AND(MAX(L696,L695)&gt;0,L696&gt;L695+0.00000001),1,0)</x:f>
        <x:v>0</x:v>
      </x:c>
      <x:c r="S696" t="n">
        <x:f>IF(AND(MAX(M696,M695)&gt;0,M696&gt;M695+0.00000001),1,0)</x:f>
        <x:v>0</x:v>
      </x:c>
      <x:c r="T696" t="n">
        <x:f>IF(AND(MAX(N696,N695)&gt;0,N696&gt;N695+0.00000001),1,0)</x:f>
        <x:v>0</x:v>
      </x:c>
      <x:c r="U696" t="n">
        <x:f>IF(AND(MAX(O696,O695)&gt;0,O696&gt;O695+0.00000001),1,0)</x:f>
        <x:v>0</x:v>
      </x:c>
    </x:row>
    <x:row r="697">
      <x:c r="J697" t="n">
        <x:f>IF(AND(ISNUMBER('Results'!B7),ISNUMBER('Results'!C7),ISNUMBER('Results'!$B$8),ISNUMBER('Inputs'!$B$6),ISNUMBER('Inputs'!$B$7),ISNUMBER('Inputs'!$B$8),ISNUMBER('Inputs'!$B$9),ISNUMBER('Inputs'!$B$10),ISNUMBER('Inputs'!$B$21),ISNUMBER('Inputs'!$B$24),ISNUMBER('Inputs'!$B$28)),(('Results'!B7*(0.5*((((697-43)*MAX('Inputs'!$B$33,'Inputs'!$B$29+'Inputs'!$B$31+'Inputs'!$B$32,'Inputs'!$B$30+'Inputs'!$B$31+'Inputs'!$B$32)/1000+'Inputs'!$B$21)+'Inputs'!$B$7)/SQRT((((697-43)*MAX('Inputs'!$B$33,'Inputs'!$B$29+'Inputs'!$B$31+'Inputs'!$B$32,'Inputs'!$B$30+'Inputs'!$B$31+'Inputs'!$B$32)/1000+'Inputs'!$B$21)+'Inputs'!$B$7)^2+('Inputs'!$B$6/2)^2)-(((697-43)*MAX('Inputs'!$B$33,'Inputs'!$B$29+'Inputs'!$B$31+'Inputs'!$B$32,'Inputs'!$B$30+'Inputs'!$B$31+'Inputs'!$B$32)/1000+'Inputs'!$B$21))/SQRT((((697-43)*MAX('Inputs'!$B$33,'Inputs'!$B$29+'Inputs'!$B$31+'Inputs'!$B$32,'Inputs'!$B$30+'Inputs'!$B$31+'Inputs'!$B$32)/1000+'Inputs'!$B$21))^2+('Inputs'!$B$6/2)^2)))-'Results'!C7*(0.5*((((697-43)*MAX('Inputs'!$B$33,'Inputs'!$B$29+'Inputs'!$B$31+'Inputs'!$B$32,'Inputs'!$B$30+'Inputs'!$B$31+'Inputs'!$B$32)/1000+'Inputs'!$B$21+'Inputs'!$B$7+'Inputs'!$B$10)+'Inputs'!$B$9)/SQRT((((697-43)*MAX('Inputs'!$B$33,'Inputs'!$B$29+'Inputs'!$B$31+'Inputs'!$B$32,'Inputs'!$B$30+'Inputs'!$B$31+'Inputs'!$B$32)/1000+'Inputs'!$B$21+'Inputs'!$B$7+'Inputs'!$B$10)+'Inputs'!$B$9)^2+('Inputs'!$B$8/2)^2)-(((697-43)*MAX('Inputs'!$B$33,'Inputs'!$B$29+'Inputs'!$B$31+'Inputs'!$B$32,'Inputs'!$B$30+'Inputs'!$B$31+'Inputs'!$B$32)/1000+'Inputs'!$B$21+'Inputs'!$B$7+'Inputs'!$B$10))/SQRT((((697-43)*MAX('Inputs'!$B$33,'Inputs'!$B$29+'Inputs'!$B$31+'Inputs'!$B$32,'Inputs'!$B$30+'Inputs'!$B$31+'Inputs'!$B$32)/1000+'Inputs'!$B$21+'Inputs'!$B$7+'Inputs'!$B$10))^2+('Inputs'!$B$8/2)^2))))*'Results'!$B$8),"")</x:f>
        <x:v>1.6442111996977402</x:v>
      </x:c>
      <x:c r="K697" t="n">
        <x:f>IF(AND(ISNUMBER('Results'!B7),ISNUMBER('Results'!C7),ISNUMBER('Results'!$B$8),ISNUMBER('Inputs'!$B$6),ISNUMBER('Inputs'!$B$7),ISNUMBER('Inputs'!$B$8),ISNUMBER('Inputs'!$B$9),ISNUMBER('Inputs'!$B$10),ISNUMBER('Inputs'!$B$21),ISNUMBER('Inputs'!$B$24),ISNUMBER('Inputs'!$B$28)),((('Results'!B7*(1-'Inputs'!$B$24)*(0.5*((((697-43)*MAX('Inputs'!$B$33,'Inputs'!$B$29+'Inputs'!$B$31+'Inputs'!$B$32,'Inputs'!$B$30+'Inputs'!$B$31+'Inputs'!$B$32)/1000+'Inputs'!$B$21)+'Inputs'!$B$7)/SQRT((((697-43)*MAX('Inputs'!$B$33,'Inputs'!$B$29+'Inputs'!$B$31+'Inputs'!$B$32,'Inputs'!$B$30+'Inputs'!$B$31+'Inputs'!$B$32)/1000+'Inputs'!$B$21)+'Inputs'!$B$7)^2+('Inputs'!$B$6/2)^2)-(((697-43)*MAX('Inputs'!$B$33,'Inputs'!$B$29+'Inputs'!$B$31+'Inputs'!$B$32,'Inputs'!$B$30+'Inputs'!$B$31+'Inputs'!$B$32)/1000+'Inputs'!$B$21))/SQRT((((697-43)*MAX('Inputs'!$B$33,'Inputs'!$B$29+'Inputs'!$B$31+'Inputs'!$B$32,'Inputs'!$B$30+'Inputs'!$B$31+'Inputs'!$B$32)/1000+'Inputs'!$B$21))^2+('Inputs'!$B$6/2)^2)))-'Results'!C7*(1+'Inputs'!$B$24)*(0.5*((((697-43)*MAX('Inputs'!$B$33,'Inputs'!$B$29+'Inputs'!$B$31+'Inputs'!$B$32,'Inputs'!$B$30+'Inputs'!$B$31+'Inputs'!$B$32)/1000+'Inputs'!$B$21+'Inputs'!$B$7+'Inputs'!$B$10)+'Inputs'!$B$9)/SQRT((((697-43)*MAX('Inputs'!$B$33,'Inputs'!$B$29+'Inputs'!$B$31+'Inputs'!$B$32,'Inputs'!$B$30+'Inputs'!$B$31+'Inputs'!$B$32)/1000+'Inputs'!$B$21+'Inputs'!$B$7+'Inputs'!$B$10)+'Inputs'!$B$9)^2+('Inputs'!$B$8/2)^2)-(((697-43)*MAX('Inputs'!$B$33,'Inputs'!$B$29+'Inputs'!$B$31+'Inputs'!$B$32,'Inputs'!$B$30+'Inputs'!$B$31+'Inputs'!$B$32)/1000+'Inputs'!$B$21+'Inputs'!$B$7+'Inputs'!$B$10))/SQRT((((697-43)*MAX('Inputs'!$B$33,'Inputs'!$B$29+'Inputs'!$B$31+'Inputs'!$B$32,'Inputs'!$B$30+'Inputs'!$B$31+'Inputs'!$B$32)/1000+'Inputs'!$B$21+'Inputs'!$B$7+'Inputs'!$B$10))^2+('Inputs'!$B$8/2)^2))))*'Results'!$B$8)-'Inputs'!$B$28*ABS((('Results'!B7*(1-'Inputs'!$B$24)*(0.5*((((697-43)*MAX('Inputs'!$B$33,'Inputs'!$B$29+'Inputs'!$B$31+'Inputs'!$B$32,'Inputs'!$B$30+'Inputs'!$B$31+'Inputs'!$B$32)/1000+'Inputs'!$B$21)+'Inputs'!$B$7)/SQRT((((697-43)*MAX('Inputs'!$B$33,'Inputs'!$B$29+'Inputs'!$B$31+'Inputs'!$B$32,'Inputs'!$B$30+'Inputs'!$B$31+'Inputs'!$B$32)/1000+'Inputs'!$B$21)+'Inputs'!$B$7)^2+('Inputs'!$B$6/2)^2)-(((697-43)*MAX('Inputs'!$B$33,'Inputs'!$B$29+'Inputs'!$B$31+'Inputs'!$B$32,'Inputs'!$B$30+'Inputs'!$B$31+'Inputs'!$B$32)/1000+'Inputs'!$B$21))/SQRT((((697-43)*MAX('Inputs'!$B$33,'Inputs'!$B$29+'Inputs'!$B$31+'Inputs'!$B$32,'Inputs'!$B$30+'Inputs'!$B$31+'Inputs'!$B$32)/1000+'Inputs'!$B$21))^2+('Inputs'!$B$6/2)^2)))-'Results'!C7*(1+'Inputs'!$B$24)*(0.5*((((697-43)*MAX('Inputs'!$B$33,'Inputs'!$B$29+'Inputs'!$B$31+'Inputs'!$B$32,'Inputs'!$B$30+'Inputs'!$B$31+'Inputs'!$B$32)/1000+'Inputs'!$B$21+'Inputs'!$B$7+'Inputs'!$B$10)+'Inputs'!$B$9)/SQRT((((697-43)*MAX('Inputs'!$B$33,'Inputs'!$B$29+'Inputs'!$B$31+'Inputs'!$B$32,'Inputs'!$B$30+'Inputs'!$B$31+'Inputs'!$B$32)/1000+'Inputs'!$B$21+'Inputs'!$B$7+'Inputs'!$B$10)+'Inputs'!$B$9)^2+('Inputs'!$B$8/2)^2)-(((697-43)*MAX('Inputs'!$B$33,'Inputs'!$B$29+'Inputs'!$B$31+'Inputs'!$B$32,'Inputs'!$B$30+'Inputs'!$B$31+'Inputs'!$B$32)/1000+'Inputs'!$B$21+'Inputs'!$B$7+'Inputs'!$B$10))/SQRT((((697-43)*MAX('Inputs'!$B$33,'Inputs'!$B$29+'Inputs'!$B$31+'Inputs'!$B$32,'Inputs'!$B$30+'Inputs'!$B$31+'Inputs'!$B$32)/1000+'Inputs'!$B$21+'Inputs'!$B$7+'Inputs'!$B$10))^2+('Inputs'!$B$8/2)^2))))*'Results'!$B$8))),"")</x:f>
        <x:v>1.4310810231887452</x:v>
      </x:c>
      <x:c r="L697" t="n">
        <x:f>IF(AND(ISNUMBER('Results'!B7),ISNUMBER('Results'!C7),ISNUMBER('Results'!$B$8),ISNUMBER('Inputs'!$B$6),ISNUMBER('Inputs'!$B$7),ISNUMBER('Inputs'!$B$8),ISNUMBER('Inputs'!$B$9),ISNUMBER('Inputs'!$B$10),ISNUMBER('Inputs'!$B$21),ISNUMBER('Inputs'!$B$24),ISNUMBER('Inputs'!$B$28)),((('Results'!B7*(1+'Inputs'!$B$24)*(0.5*((((697-43)*MAX('Inputs'!$B$33,'Inputs'!$B$29+'Inputs'!$B$31+'Inputs'!$B$32,'Inputs'!$B$30+'Inputs'!$B$31+'Inputs'!$B$32)/1000+'Inputs'!$B$21)+'Inputs'!$B$7)/SQRT((((697-43)*MAX('Inputs'!$B$33,'Inputs'!$B$29+'Inputs'!$B$31+'Inputs'!$B$32,'Inputs'!$B$30+'Inputs'!$B$31+'Inputs'!$B$32)/1000+'Inputs'!$B$21)+'Inputs'!$B$7)^2+('Inputs'!$B$6/2)^2)-(((697-43)*MAX('Inputs'!$B$33,'Inputs'!$B$29+'Inputs'!$B$31+'Inputs'!$B$32,'Inputs'!$B$30+'Inputs'!$B$31+'Inputs'!$B$32)/1000+'Inputs'!$B$21))/SQRT((((697-43)*MAX('Inputs'!$B$33,'Inputs'!$B$29+'Inputs'!$B$31+'Inputs'!$B$32,'Inputs'!$B$30+'Inputs'!$B$31+'Inputs'!$B$32)/1000+'Inputs'!$B$21))^2+('Inputs'!$B$6/2)^2)))-'Results'!C7*(1-'Inputs'!$B$24)*(0.5*((((697-43)*MAX('Inputs'!$B$33,'Inputs'!$B$29+'Inputs'!$B$31+'Inputs'!$B$32,'Inputs'!$B$30+'Inputs'!$B$31+'Inputs'!$B$32)/1000+'Inputs'!$B$21+'Inputs'!$B$7+'Inputs'!$B$10)+'Inputs'!$B$9)/SQRT((((697-43)*MAX('Inputs'!$B$33,'Inputs'!$B$29+'Inputs'!$B$31+'Inputs'!$B$32,'Inputs'!$B$30+'Inputs'!$B$31+'Inputs'!$B$32)/1000+'Inputs'!$B$21+'Inputs'!$B$7+'Inputs'!$B$10)+'Inputs'!$B$9)^2+('Inputs'!$B$8/2)^2)-(((697-43)*MAX('Inputs'!$B$33,'Inputs'!$B$29+'Inputs'!$B$31+'Inputs'!$B$32,'Inputs'!$B$30+'Inputs'!$B$31+'Inputs'!$B$32)/1000+'Inputs'!$B$21+'Inputs'!$B$7+'Inputs'!$B$10))/SQRT((((697-43)*MAX('Inputs'!$B$33,'Inputs'!$B$29+'Inputs'!$B$31+'Inputs'!$B$32,'Inputs'!$B$30+'Inputs'!$B$31+'Inputs'!$B$32)/1000+'Inputs'!$B$21+'Inputs'!$B$7+'Inputs'!$B$10))^2+('Inputs'!$B$8/2)^2))))*'Results'!$B$8)+'Inputs'!$B$28*ABS((('Results'!B7*(1+'Inputs'!$B$24)*(0.5*((((697-43)*MAX('Inputs'!$B$33,'Inputs'!$B$29+'Inputs'!$B$31+'Inputs'!$B$32,'Inputs'!$B$30+'Inputs'!$B$31+'Inputs'!$B$32)/1000+'Inputs'!$B$21)+'Inputs'!$B$7)/SQRT((((697-43)*MAX('Inputs'!$B$33,'Inputs'!$B$29+'Inputs'!$B$31+'Inputs'!$B$32,'Inputs'!$B$30+'Inputs'!$B$31+'Inputs'!$B$32)/1000+'Inputs'!$B$21)+'Inputs'!$B$7)^2+('Inputs'!$B$6/2)^2)-(((697-43)*MAX('Inputs'!$B$33,'Inputs'!$B$29+'Inputs'!$B$31+'Inputs'!$B$32,'Inputs'!$B$30+'Inputs'!$B$31+'Inputs'!$B$32)/1000+'Inputs'!$B$21))/SQRT((((697-43)*MAX('Inputs'!$B$33,'Inputs'!$B$29+'Inputs'!$B$31+'Inputs'!$B$32,'Inputs'!$B$30+'Inputs'!$B$31+'Inputs'!$B$32)/1000+'Inputs'!$B$21))^2+('Inputs'!$B$6/2)^2)))-'Results'!C7*(1-'Inputs'!$B$24)*(0.5*((((697-43)*MAX('Inputs'!$B$33,'Inputs'!$B$29+'Inputs'!$B$31+'Inputs'!$B$32,'Inputs'!$B$30+'Inputs'!$B$31+'Inputs'!$B$32)/1000+'Inputs'!$B$21+'Inputs'!$B$7+'Inputs'!$B$10)+'Inputs'!$B$9)/SQRT((((697-43)*MAX('Inputs'!$B$33,'Inputs'!$B$29+'Inputs'!$B$31+'Inputs'!$B$32,'Inputs'!$B$30+'Inputs'!$B$31+'Inputs'!$B$32)/1000+'Inputs'!$B$21+'Inputs'!$B$7+'Inputs'!$B$10)+'Inputs'!$B$9)^2+('Inputs'!$B$8/2)^2)-(((697-43)*MAX('Inputs'!$B$33,'Inputs'!$B$29+'Inputs'!$B$31+'Inputs'!$B$32,'Inputs'!$B$30+'Inputs'!$B$31+'Inputs'!$B$32)/1000+'Inputs'!$B$21+'Inputs'!$B$7+'Inputs'!$B$10))/SQRT((((697-43)*MAX('Inputs'!$B$33,'Inputs'!$B$29+'Inputs'!$B$31+'Inputs'!$B$32,'Inputs'!$B$30+'Inputs'!$B$31+'Inputs'!$B$32)/1000+'Inputs'!$B$21+'Inputs'!$B$7+'Inputs'!$B$10))^2+('Inputs'!$B$8/2)^2))))*'Results'!$B$8))),"")</x:f>
        <x:v>1.8711223884724302</x:v>
      </x:c>
      <x:c r="M697" t="n">
        <x:f>IF(AND(ISNUMBER('Results'!C7),ISNUMBER('Results'!B7),ISNUMBER('Results'!$B$8),ISNUMBER('Inputs'!$B$6),ISNUMBER('Inputs'!$B$7),ISNUMBER('Inputs'!$B$8),ISNUMBER('Inputs'!$B$9),ISNUMBER('Inputs'!$B$10),ISNUMBER('Inputs'!$B$21),ISNUMBER('Inputs'!$B$24),ISNUMBER('Inputs'!$B$28)),(('Results'!C7*(0.5*((((697-43)*MAX('Inputs'!$B$33,'Inputs'!$B$29+'Inputs'!$B$31+'Inputs'!$B$32,'Inputs'!$B$30+'Inputs'!$B$31+'Inputs'!$B$32)/1000+'Inputs'!$B$21)+'Inputs'!$B$9)/SQRT((((697-43)*MAX('Inputs'!$B$33,'Inputs'!$B$29+'Inputs'!$B$31+'Inputs'!$B$32,'Inputs'!$B$30+'Inputs'!$B$31+'Inputs'!$B$32)/1000+'Inputs'!$B$21)+'Inputs'!$B$9)^2+('Inputs'!$B$8/2)^2)-(((697-43)*MAX('Inputs'!$B$33,'Inputs'!$B$29+'Inputs'!$B$31+'Inputs'!$B$32,'Inputs'!$B$30+'Inputs'!$B$31+'Inputs'!$B$32)/1000+'Inputs'!$B$21))/SQRT((((697-43)*MAX('Inputs'!$B$33,'Inputs'!$B$29+'Inputs'!$B$31+'Inputs'!$B$32,'Inputs'!$B$30+'Inputs'!$B$31+'Inputs'!$B$32)/1000+'Inputs'!$B$21))^2+('Inputs'!$B$8/2)^2)))-'Results'!B7*(0.5*((((697-43)*MAX('Inputs'!$B$33,'Inputs'!$B$29+'Inputs'!$B$31+'Inputs'!$B$32,'Inputs'!$B$30+'Inputs'!$B$31+'Inputs'!$B$32)/1000+'Inputs'!$B$21+'Inputs'!$B$9+'Inputs'!$B$10)+'Inputs'!$B$7)/SQRT((((697-43)*MAX('Inputs'!$B$33,'Inputs'!$B$29+'Inputs'!$B$31+'Inputs'!$B$32,'Inputs'!$B$30+'Inputs'!$B$31+'Inputs'!$B$32)/1000+'Inputs'!$B$21+'Inputs'!$B$9+'Inputs'!$B$10)+'Inputs'!$B$7)^2+('Inputs'!$B$6/2)^2)-(((697-43)*MAX('Inputs'!$B$33,'Inputs'!$B$29+'Inputs'!$B$31+'Inputs'!$B$32,'Inputs'!$B$30+'Inputs'!$B$31+'Inputs'!$B$32)/1000+'Inputs'!$B$21+'Inputs'!$B$9+'Inputs'!$B$10))/SQRT((((697-43)*MAX('Inputs'!$B$33,'Inputs'!$B$29+'Inputs'!$B$31+'Inputs'!$B$32,'Inputs'!$B$30+'Inputs'!$B$31+'Inputs'!$B$32)/1000+'Inputs'!$B$21+'Inputs'!$B$9+'Inputs'!$B$10))^2+('Inputs'!$B$6/2)^2))))*'Results'!$B$8),"")</x:f>
        <x:v>1.505330404605448</x:v>
      </x:c>
      <x:c r="N697" t="n">
        <x:f>IF(AND(ISNUMBER('Results'!C7),ISNUMBER('Results'!B7),ISNUMBER('Results'!$B$8),ISNUMBER('Inputs'!$B$6),ISNUMBER('Inputs'!$B$7),ISNUMBER('Inputs'!$B$8),ISNUMBER('Inputs'!$B$9),ISNUMBER('Inputs'!$B$10),ISNUMBER('Inputs'!$B$21),ISNUMBER('Inputs'!$B$24),ISNUMBER('Inputs'!$B$28)),((('Results'!C7*(1-'Inputs'!$B$24)*(0.5*((((697-43)*MAX('Inputs'!$B$33,'Inputs'!$B$29+'Inputs'!$B$31+'Inputs'!$B$32,'Inputs'!$B$30+'Inputs'!$B$31+'Inputs'!$B$32)/1000+'Inputs'!$B$21)+'Inputs'!$B$9)/SQRT((((697-43)*MAX('Inputs'!$B$33,'Inputs'!$B$29+'Inputs'!$B$31+'Inputs'!$B$32,'Inputs'!$B$30+'Inputs'!$B$31+'Inputs'!$B$32)/1000+'Inputs'!$B$21)+'Inputs'!$B$9)^2+('Inputs'!$B$8/2)^2)-(((697-43)*MAX('Inputs'!$B$33,'Inputs'!$B$29+'Inputs'!$B$31+'Inputs'!$B$32,'Inputs'!$B$30+'Inputs'!$B$31+'Inputs'!$B$32)/1000+'Inputs'!$B$21))/SQRT((((697-43)*MAX('Inputs'!$B$33,'Inputs'!$B$29+'Inputs'!$B$31+'Inputs'!$B$32,'Inputs'!$B$30+'Inputs'!$B$31+'Inputs'!$B$32)/1000+'Inputs'!$B$21))^2+('Inputs'!$B$8/2)^2)))-'Results'!B7*(1+'Inputs'!$B$24)*(0.5*((((697-43)*MAX('Inputs'!$B$33,'Inputs'!$B$29+'Inputs'!$B$31+'Inputs'!$B$32,'Inputs'!$B$30+'Inputs'!$B$31+'Inputs'!$B$32)/1000+'Inputs'!$B$21+'Inputs'!$B$9+'Inputs'!$B$10)+'Inputs'!$B$7)/SQRT((((697-43)*MAX('Inputs'!$B$33,'Inputs'!$B$29+'Inputs'!$B$31+'Inputs'!$B$32,'Inputs'!$B$30+'Inputs'!$B$31+'Inputs'!$B$32)/1000+'Inputs'!$B$21+'Inputs'!$B$9+'Inputs'!$B$10)+'Inputs'!$B$7)^2+('Inputs'!$B$6/2)^2)-(((697-43)*MAX('Inputs'!$B$33,'Inputs'!$B$29+'Inputs'!$B$31+'Inputs'!$B$32,'Inputs'!$B$30+'Inputs'!$B$31+'Inputs'!$B$32)/1000+'Inputs'!$B$21+'Inputs'!$B$9+'Inputs'!$B$10))/SQRT((((697-43)*MAX('Inputs'!$B$33,'Inputs'!$B$29+'Inputs'!$B$31+'Inputs'!$B$32,'Inputs'!$B$30+'Inputs'!$B$31+'Inputs'!$B$32)/1000+'Inputs'!$B$21+'Inputs'!$B$9+'Inputs'!$B$10))^2+('Inputs'!$B$6/2)^2))))*'Results'!$B$8)-'Inputs'!$B$28*ABS((('Results'!C7*(1-'Inputs'!$B$24)*(0.5*((((697-43)*MAX('Inputs'!$B$33,'Inputs'!$B$29+'Inputs'!$B$31+'Inputs'!$B$32,'Inputs'!$B$30+'Inputs'!$B$31+'Inputs'!$B$32)/1000+'Inputs'!$B$21)+'Inputs'!$B$9)/SQRT((((697-43)*MAX('Inputs'!$B$33,'Inputs'!$B$29+'Inputs'!$B$31+'Inputs'!$B$32,'Inputs'!$B$30+'Inputs'!$B$31+'Inputs'!$B$32)/1000+'Inputs'!$B$21)+'Inputs'!$B$9)^2+('Inputs'!$B$8/2)^2)-(((697-43)*MAX('Inputs'!$B$33,'Inputs'!$B$29+'Inputs'!$B$31+'Inputs'!$B$32,'Inputs'!$B$30+'Inputs'!$B$31+'Inputs'!$B$32)/1000+'Inputs'!$B$21))/SQRT((((697-43)*MAX('Inputs'!$B$33,'Inputs'!$B$29+'Inputs'!$B$31+'Inputs'!$B$32,'Inputs'!$B$30+'Inputs'!$B$31+'Inputs'!$B$32)/1000+'Inputs'!$B$21))^2+('Inputs'!$B$8/2)^2)))-'Results'!B7*(1+'Inputs'!$B$24)*(0.5*((((697-43)*MAX('Inputs'!$B$33,'Inputs'!$B$29+'Inputs'!$B$31+'Inputs'!$B$32,'Inputs'!$B$30+'Inputs'!$B$31+'Inputs'!$B$32)/1000+'Inputs'!$B$21+'Inputs'!$B$9+'Inputs'!$B$10)+'Inputs'!$B$7)/SQRT((((697-43)*MAX('Inputs'!$B$33,'Inputs'!$B$29+'Inputs'!$B$31+'Inputs'!$B$32,'Inputs'!$B$30+'Inputs'!$B$31+'Inputs'!$B$32)/1000+'Inputs'!$B$21+'Inputs'!$B$9+'Inputs'!$B$10)+'Inputs'!$B$7)^2+('Inputs'!$B$6/2)^2)-(((697-43)*MAX('Inputs'!$B$33,'Inputs'!$B$29+'Inputs'!$B$31+'Inputs'!$B$32,'Inputs'!$B$30+'Inputs'!$B$31+'Inputs'!$B$32)/1000+'Inputs'!$B$21+'Inputs'!$B$9+'Inputs'!$B$10))/SQRT((((697-43)*MAX('Inputs'!$B$33,'Inputs'!$B$29+'Inputs'!$B$31+'Inputs'!$B$32,'Inputs'!$B$30+'Inputs'!$B$31+'Inputs'!$B$32)/1000+'Inputs'!$B$21+'Inputs'!$B$9+'Inputs'!$B$10))^2+('Inputs'!$B$6/2)^2))))*'Results'!$B$8))),"")</x:f>
        <x:v>1.299748725330681</x:v>
      </x:c>
      <x:c r="O697" t="n">
        <x:f>IF(AND(ISNUMBER('Results'!C7),ISNUMBER('Results'!B7),ISNUMBER('Results'!$B$8),ISNUMBER('Inputs'!$B$6),ISNUMBER('Inputs'!$B$7),ISNUMBER('Inputs'!$B$8),ISNUMBER('Inputs'!$B$9),ISNUMBER('Inputs'!$B$10),ISNUMBER('Inputs'!$B$21),ISNUMBER('Inputs'!$B$24),ISNUMBER('Inputs'!$B$28)),((('Results'!C7*(1+'Inputs'!$B$24)*(0.5*((((697-43)*MAX('Inputs'!$B$33,'Inputs'!$B$29+'Inputs'!$B$31+'Inputs'!$B$32,'Inputs'!$B$30+'Inputs'!$B$31+'Inputs'!$B$32)/1000+'Inputs'!$B$21)+'Inputs'!$B$9)/SQRT((((697-43)*MAX('Inputs'!$B$33,'Inputs'!$B$29+'Inputs'!$B$31+'Inputs'!$B$32,'Inputs'!$B$30+'Inputs'!$B$31+'Inputs'!$B$32)/1000+'Inputs'!$B$21)+'Inputs'!$B$9)^2+('Inputs'!$B$8/2)^2)-(((697-43)*MAX('Inputs'!$B$33,'Inputs'!$B$29+'Inputs'!$B$31+'Inputs'!$B$32,'Inputs'!$B$30+'Inputs'!$B$31+'Inputs'!$B$32)/1000+'Inputs'!$B$21))/SQRT((((697-43)*MAX('Inputs'!$B$33,'Inputs'!$B$29+'Inputs'!$B$31+'Inputs'!$B$32,'Inputs'!$B$30+'Inputs'!$B$31+'Inputs'!$B$32)/1000+'Inputs'!$B$21))^2+('Inputs'!$B$8/2)^2)))-'Results'!B7*(1-'Inputs'!$B$24)*(0.5*((((697-43)*MAX('Inputs'!$B$33,'Inputs'!$B$29+'Inputs'!$B$31+'Inputs'!$B$32,'Inputs'!$B$30+'Inputs'!$B$31+'Inputs'!$B$32)/1000+'Inputs'!$B$21+'Inputs'!$B$9+'Inputs'!$B$10)+'Inputs'!$B$7)/SQRT((((697-43)*MAX('Inputs'!$B$33,'Inputs'!$B$29+'Inputs'!$B$31+'Inputs'!$B$32,'Inputs'!$B$30+'Inputs'!$B$31+'Inputs'!$B$32)/1000+'Inputs'!$B$21+'Inputs'!$B$9+'Inputs'!$B$10)+'Inputs'!$B$7)^2+('Inputs'!$B$6/2)^2)-(((697-43)*MAX('Inputs'!$B$33,'Inputs'!$B$29+'Inputs'!$B$31+'Inputs'!$B$32,'Inputs'!$B$30+'Inputs'!$B$31+'Inputs'!$B$32)/1000+'Inputs'!$B$21+'Inputs'!$B$9+'Inputs'!$B$10))/SQRT((((697-43)*MAX('Inputs'!$B$33,'Inputs'!$B$29+'Inputs'!$B$31+'Inputs'!$B$32,'Inputs'!$B$30+'Inputs'!$B$31+'Inputs'!$B$32)/1000+'Inputs'!$B$21+'Inputs'!$B$9+'Inputs'!$B$10))^2+('Inputs'!$B$6/2)^2))))*'Results'!$B$8)+'Inputs'!$B$28*ABS((('Results'!C7*(1+'Inputs'!$B$24)*(0.5*((((697-43)*MAX('Inputs'!$B$33,'Inputs'!$B$29+'Inputs'!$B$31+'Inputs'!$B$32,'Inputs'!$B$30+'Inputs'!$B$31+'Inputs'!$B$32)/1000+'Inputs'!$B$21)+'Inputs'!$B$9)/SQRT((((697-43)*MAX('Inputs'!$B$33,'Inputs'!$B$29+'Inputs'!$B$31+'Inputs'!$B$32,'Inputs'!$B$30+'Inputs'!$B$31+'Inputs'!$B$32)/1000+'Inputs'!$B$21)+'Inputs'!$B$9)^2+('Inputs'!$B$8/2)^2)-(((697-43)*MAX('Inputs'!$B$33,'Inputs'!$B$29+'Inputs'!$B$31+'Inputs'!$B$32,'Inputs'!$B$30+'Inputs'!$B$31+'Inputs'!$B$32)/1000+'Inputs'!$B$21))/SQRT((((697-43)*MAX('Inputs'!$B$33,'Inputs'!$B$29+'Inputs'!$B$31+'Inputs'!$B$32,'Inputs'!$B$30+'Inputs'!$B$31+'Inputs'!$B$32)/1000+'Inputs'!$B$21))^2+('Inputs'!$B$8/2)^2)))-'Results'!B7*(1-'Inputs'!$B$24)*(0.5*((((697-43)*MAX('Inputs'!$B$33,'Inputs'!$B$29+'Inputs'!$B$31+'Inputs'!$B$32,'Inputs'!$B$30+'Inputs'!$B$31+'Inputs'!$B$32)/1000+'Inputs'!$B$21+'Inputs'!$B$9+'Inputs'!$B$10)+'Inputs'!$B$7)/SQRT((((697-43)*MAX('Inputs'!$B$33,'Inputs'!$B$29+'Inputs'!$B$31+'Inputs'!$B$32,'Inputs'!$B$30+'Inputs'!$B$31+'Inputs'!$B$32)/1000+'Inputs'!$B$21+'Inputs'!$B$9+'Inputs'!$B$10)+'Inputs'!$B$7)^2+('Inputs'!$B$6/2)^2)-(((697-43)*MAX('Inputs'!$B$33,'Inputs'!$B$29+'Inputs'!$B$31+'Inputs'!$B$32,'Inputs'!$B$30+'Inputs'!$B$31+'Inputs'!$B$32)/1000+'Inputs'!$B$21+'Inputs'!$B$9+'Inputs'!$B$10))/SQRT((((697-43)*MAX('Inputs'!$B$33,'Inputs'!$B$29+'Inputs'!$B$31+'Inputs'!$B$32,'Inputs'!$B$30+'Inputs'!$B$31+'Inputs'!$B$32)/1000+'Inputs'!$B$21+'Inputs'!$B$9+'Inputs'!$B$10))^2+('Inputs'!$B$6/2)^2))))*'Results'!$B$8))),"")</x:f>
        <x:v>1.7246294690427926</x:v>
      </x:c>
      <x:c r="P697" t="n">
        <x:f>IF(AND(MAX(J697,J696)&gt;0,J697&gt;J696+0.00000001),1,0)</x:f>
        <x:v>0</x:v>
      </x:c>
      <x:c r="Q697" t="n">
        <x:f>IF(AND(MAX(K697,K696)&gt;0,K697&gt;K696+0.00000001),1,0)</x:f>
        <x:v>0</x:v>
      </x:c>
      <x:c r="R697" t="n">
        <x:f>IF(AND(MAX(L697,L696)&gt;0,L697&gt;L696+0.00000001),1,0)</x:f>
        <x:v>0</x:v>
      </x:c>
      <x:c r="S697" t="n">
        <x:f>IF(AND(MAX(M697,M696)&gt;0,M697&gt;M696+0.00000001),1,0)</x:f>
        <x:v>0</x:v>
      </x:c>
      <x:c r="T697" t="n">
        <x:f>IF(AND(MAX(N697,N696)&gt;0,N697&gt;N696+0.00000001),1,0)</x:f>
        <x:v>0</x:v>
      </x:c>
      <x:c r="U697" t="n">
        <x:f>IF(AND(MAX(O697,O696)&gt;0,O697&gt;O696+0.00000001),1,0)</x:f>
        <x:v>0</x:v>
      </x:c>
    </x:row>
    <x:row r="698">
      <x:c r="J698" t="n">
        <x:f>IF(AND(ISNUMBER('Results'!B7),ISNUMBER('Results'!C7),ISNUMBER('Results'!$B$8),ISNUMBER('Inputs'!$B$6),ISNUMBER('Inputs'!$B$7),ISNUMBER('Inputs'!$B$8),ISNUMBER('Inputs'!$B$9),ISNUMBER('Inputs'!$B$10),ISNUMBER('Inputs'!$B$21),ISNUMBER('Inputs'!$B$24),ISNUMBER('Inputs'!$B$28)),(('Results'!B7*(0.5*((((698-43)*MAX('Inputs'!$B$33,'Inputs'!$B$29+'Inputs'!$B$31+'Inputs'!$B$32,'Inputs'!$B$30+'Inputs'!$B$31+'Inputs'!$B$32)/1000+'Inputs'!$B$21)+'Inputs'!$B$7)/SQRT((((698-43)*MAX('Inputs'!$B$33,'Inputs'!$B$29+'Inputs'!$B$31+'Inputs'!$B$32,'Inputs'!$B$30+'Inputs'!$B$31+'Inputs'!$B$32)/1000+'Inputs'!$B$21)+'Inputs'!$B$7)^2+('Inputs'!$B$6/2)^2)-(((698-43)*MAX('Inputs'!$B$33,'Inputs'!$B$29+'Inputs'!$B$31+'Inputs'!$B$32,'Inputs'!$B$30+'Inputs'!$B$31+'Inputs'!$B$32)/1000+'Inputs'!$B$21))/SQRT((((698-43)*MAX('Inputs'!$B$33,'Inputs'!$B$29+'Inputs'!$B$31+'Inputs'!$B$32,'Inputs'!$B$30+'Inputs'!$B$31+'Inputs'!$B$32)/1000+'Inputs'!$B$21))^2+('Inputs'!$B$6/2)^2)))-'Results'!C7*(0.5*((((698-43)*MAX('Inputs'!$B$33,'Inputs'!$B$29+'Inputs'!$B$31+'Inputs'!$B$32,'Inputs'!$B$30+'Inputs'!$B$31+'Inputs'!$B$32)/1000+'Inputs'!$B$21+'Inputs'!$B$7+'Inputs'!$B$10)+'Inputs'!$B$9)/SQRT((((698-43)*MAX('Inputs'!$B$33,'Inputs'!$B$29+'Inputs'!$B$31+'Inputs'!$B$32,'Inputs'!$B$30+'Inputs'!$B$31+'Inputs'!$B$32)/1000+'Inputs'!$B$21+'Inputs'!$B$7+'Inputs'!$B$10)+'Inputs'!$B$9)^2+('Inputs'!$B$8/2)^2)-(((698-43)*MAX('Inputs'!$B$33,'Inputs'!$B$29+'Inputs'!$B$31+'Inputs'!$B$32,'Inputs'!$B$30+'Inputs'!$B$31+'Inputs'!$B$32)/1000+'Inputs'!$B$21+'Inputs'!$B$7+'Inputs'!$B$10))/SQRT((((698-43)*MAX('Inputs'!$B$33,'Inputs'!$B$29+'Inputs'!$B$31+'Inputs'!$B$32,'Inputs'!$B$30+'Inputs'!$B$31+'Inputs'!$B$32)/1000+'Inputs'!$B$21+'Inputs'!$B$7+'Inputs'!$B$10))^2+('Inputs'!$B$8/2)^2))))*'Results'!$B$8),"")</x:f>
        <x:v>1.6353697190057468</x:v>
      </x:c>
      <x:c r="K698" t="n">
        <x:f>IF(AND(ISNUMBER('Results'!B7),ISNUMBER('Results'!C7),ISNUMBER('Results'!$B$8),ISNUMBER('Inputs'!$B$6),ISNUMBER('Inputs'!$B$7),ISNUMBER('Inputs'!$B$8),ISNUMBER('Inputs'!$B$9),ISNUMBER('Inputs'!$B$10),ISNUMBER('Inputs'!$B$21),ISNUMBER('Inputs'!$B$24),ISNUMBER('Inputs'!$B$28)),((('Results'!B7*(1-'Inputs'!$B$24)*(0.5*((((698-43)*MAX('Inputs'!$B$33,'Inputs'!$B$29+'Inputs'!$B$31+'Inputs'!$B$32,'Inputs'!$B$30+'Inputs'!$B$31+'Inputs'!$B$32)/1000+'Inputs'!$B$21)+'Inputs'!$B$7)/SQRT((((698-43)*MAX('Inputs'!$B$33,'Inputs'!$B$29+'Inputs'!$B$31+'Inputs'!$B$32,'Inputs'!$B$30+'Inputs'!$B$31+'Inputs'!$B$32)/1000+'Inputs'!$B$21)+'Inputs'!$B$7)^2+('Inputs'!$B$6/2)^2)-(((698-43)*MAX('Inputs'!$B$33,'Inputs'!$B$29+'Inputs'!$B$31+'Inputs'!$B$32,'Inputs'!$B$30+'Inputs'!$B$31+'Inputs'!$B$32)/1000+'Inputs'!$B$21))/SQRT((((698-43)*MAX('Inputs'!$B$33,'Inputs'!$B$29+'Inputs'!$B$31+'Inputs'!$B$32,'Inputs'!$B$30+'Inputs'!$B$31+'Inputs'!$B$32)/1000+'Inputs'!$B$21))^2+('Inputs'!$B$6/2)^2)))-'Results'!C7*(1+'Inputs'!$B$24)*(0.5*((((698-43)*MAX('Inputs'!$B$33,'Inputs'!$B$29+'Inputs'!$B$31+'Inputs'!$B$32,'Inputs'!$B$30+'Inputs'!$B$31+'Inputs'!$B$32)/1000+'Inputs'!$B$21+'Inputs'!$B$7+'Inputs'!$B$10)+'Inputs'!$B$9)/SQRT((((698-43)*MAX('Inputs'!$B$33,'Inputs'!$B$29+'Inputs'!$B$31+'Inputs'!$B$32,'Inputs'!$B$30+'Inputs'!$B$31+'Inputs'!$B$32)/1000+'Inputs'!$B$21+'Inputs'!$B$7+'Inputs'!$B$10)+'Inputs'!$B$9)^2+('Inputs'!$B$8/2)^2)-(((698-43)*MAX('Inputs'!$B$33,'Inputs'!$B$29+'Inputs'!$B$31+'Inputs'!$B$32,'Inputs'!$B$30+'Inputs'!$B$31+'Inputs'!$B$32)/1000+'Inputs'!$B$21+'Inputs'!$B$7+'Inputs'!$B$10))/SQRT((((698-43)*MAX('Inputs'!$B$33,'Inputs'!$B$29+'Inputs'!$B$31+'Inputs'!$B$32,'Inputs'!$B$30+'Inputs'!$B$31+'Inputs'!$B$32)/1000+'Inputs'!$B$21+'Inputs'!$B$7+'Inputs'!$B$10))^2+('Inputs'!$B$8/2)^2))))*'Results'!$B$8)-'Inputs'!$B$28*ABS((('Results'!B7*(1-'Inputs'!$B$24)*(0.5*((((698-43)*MAX('Inputs'!$B$33,'Inputs'!$B$29+'Inputs'!$B$31+'Inputs'!$B$32,'Inputs'!$B$30+'Inputs'!$B$31+'Inputs'!$B$32)/1000+'Inputs'!$B$21)+'Inputs'!$B$7)/SQRT((((698-43)*MAX('Inputs'!$B$33,'Inputs'!$B$29+'Inputs'!$B$31+'Inputs'!$B$32,'Inputs'!$B$30+'Inputs'!$B$31+'Inputs'!$B$32)/1000+'Inputs'!$B$21)+'Inputs'!$B$7)^2+('Inputs'!$B$6/2)^2)-(((698-43)*MAX('Inputs'!$B$33,'Inputs'!$B$29+'Inputs'!$B$31+'Inputs'!$B$32,'Inputs'!$B$30+'Inputs'!$B$31+'Inputs'!$B$32)/1000+'Inputs'!$B$21))/SQRT((((698-43)*MAX('Inputs'!$B$33,'Inputs'!$B$29+'Inputs'!$B$31+'Inputs'!$B$32,'Inputs'!$B$30+'Inputs'!$B$31+'Inputs'!$B$32)/1000+'Inputs'!$B$21))^2+('Inputs'!$B$6/2)^2)))-'Results'!C7*(1+'Inputs'!$B$24)*(0.5*((((698-43)*MAX('Inputs'!$B$33,'Inputs'!$B$29+'Inputs'!$B$31+'Inputs'!$B$32,'Inputs'!$B$30+'Inputs'!$B$31+'Inputs'!$B$32)/1000+'Inputs'!$B$21+'Inputs'!$B$7+'Inputs'!$B$10)+'Inputs'!$B$9)/SQRT((((698-43)*MAX('Inputs'!$B$33,'Inputs'!$B$29+'Inputs'!$B$31+'Inputs'!$B$32,'Inputs'!$B$30+'Inputs'!$B$31+'Inputs'!$B$32)/1000+'Inputs'!$B$21+'Inputs'!$B$7+'Inputs'!$B$10)+'Inputs'!$B$9)^2+('Inputs'!$B$8/2)^2)-(((698-43)*MAX('Inputs'!$B$33,'Inputs'!$B$29+'Inputs'!$B$31+'Inputs'!$B$32,'Inputs'!$B$30+'Inputs'!$B$31+'Inputs'!$B$32)/1000+'Inputs'!$B$21+'Inputs'!$B$7+'Inputs'!$B$10))/SQRT((((698-43)*MAX('Inputs'!$B$33,'Inputs'!$B$29+'Inputs'!$B$31+'Inputs'!$B$32,'Inputs'!$B$30+'Inputs'!$B$31+'Inputs'!$B$32)/1000+'Inputs'!$B$21+'Inputs'!$B$7+'Inputs'!$B$10))^2+('Inputs'!$B$8/2)^2))))*'Results'!$B$8))),"")</x:f>
        <x:v>1.423224401798561</x:v>
      </x:c>
      <x:c r="L698" t="n">
        <x:f>IF(AND(ISNUMBER('Results'!B7),ISNUMBER('Results'!C7),ISNUMBER('Results'!$B$8),ISNUMBER('Inputs'!$B$6),ISNUMBER('Inputs'!$B$7),ISNUMBER('Inputs'!$B$8),ISNUMBER('Inputs'!$B$9),ISNUMBER('Inputs'!$B$10),ISNUMBER('Inputs'!$B$21),ISNUMBER('Inputs'!$B$24),ISNUMBER('Inputs'!$B$28)),((('Results'!B7*(1+'Inputs'!$B$24)*(0.5*((((698-43)*MAX('Inputs'!$B$33,'Inputs'!$B$29+'Inputs'!$B$31+'Inputs'!$B$32,'Inputs'!$B$30+'Inputs'!$B$31+'Inputs'!$B$32)/1000+'Inputs'!$B$21)+'Inputs'!$B$7)/SQRT((((698-43)*MAX('Inputs'!$B$33,'Inputs'!$B$29+'Inputs'!$B$31+'Inputs'!$B$32,'Inputs'!$B$30+'Inputs'!$B$31+'Inputs'!$B$32)/1000+'Inputs'!$B$21)+'Inputs'!$B$7)^2+('Inputs'!$B$6/2)^2)-(((698-43)*MAX('Inputs'!$B$33,'Inputs'!$B$29+'Inputs'!$B$31+'Inputs'!$B$32,'Inputs'!$B$30+'Inputs'!$B$31+'Inputs'!$B$32)/1000+'Inputs'!$B$21))/SQRT((((698-43)*MAX('Inputs'!$B$33,'Inputs'!$B$29+'Inputs'!$B$31+'Inputs'!$B$32,'Inputs'!$B$30+'Inputs'!$B$31+'Inputs'!$B$32)/1000+'Inputs'!$B$21))^2+('Inputs'!$B$6/2)^2)))-'Results'!C7*(1-'Inputs'!$B$24)*(0.5*((((698-43)*MAX('Inputs'!$B$33,'Inputs'!$B$29+'Inputs'!$B$31+'Inputs'!$B$32,'Inputs'!$B$30+'Inputs'!$B$31+'Inputs'!$B$32)/1000+'Inputs'!$B$21+'Inputs'!$B$7+'Inputs'!$B$10)+'Inputs'!$B$9)/SQRT((((698-43)*MAX('Inputs'!$B$33,'Inputs'!$B$29+'Inputs'!$B$31+'Inputs'!$B$32,'Inputs'!$B$30+'Inputs'!$B$31+'Inputs'!$B$32)/1000+'Inputs'!$B$21+'Inputs'!$B$7+'Inputs'!$B$10)+'Inputs'!$B$9)^2+('Inputs'!$B$8/2)^2)-(((698-43)*MAX('Inputs'!$B$33,'Inputs'!$B$29+'Inputs'!$B$31+'Inputs'!$B$32,'Inputs'!$B$30+'Inputs'!$B$31+'Inputs'!$B$32)/1000+'Inputs'!$B$21+'Inputs'!$B$7+'Inputs'!$B$10))/SQRT((((698-43)*MAX('Inputs'!$B$33,'Inputs'!$B$29+'Inputs'!$B$31+'Inputs'!$B$32,'Inputs'!$B$30+'Inputs'!$B$31+'Inputs'!$B$32)/1000+'Inputs'!$B$21+'Inputs'!$B$7+'Inputs'!$B$10))^2+('Inputs'!$B$8/2)^2))))*'Results'!$B$8)+'Inputs'!$B$28*ABS((('Results'!B7*(1+'Inputs'!$B$24)*(0.5*((((698-43)*MAX('Inputs'!$B$33,'Inputs'!$B$29+'Inputs'!$B$31+'Inputs'!$B$32,'Inputs'!$B$30+'Inputs'!$B$31+'Inputs'!$B$32)/1000+'Inputs'!$B$21)+'Inputs'!$B$7)/SQRT((((698-43)*MAX('Inputs'!$B$33,'Inputs'!$B$29+'Inputs'!$B$31+'Inputs'!$B$32,'Inputs'!$B$30+'Inputs'!$B$31+'Inputs'!$B$32)/1000+'Inputs'!$B$21)+'Inputs'!$B$7)^2+('Inputs'!$B$6/2)^2)-(((698-43)*MAX('Inputs'!$B$33,'Inputs'!$B$29+'Inputs'!$B$31+'Inputs'!$B$32,'Inputs'!$B$30+'Inputs'!$B$31+'Inputs'!$B$32)/1000+'Inputs'!$B$21))/SQRT((((698-43)*MAX('Inputs'!$B$33,'Inputs'!$B$29+'Inputs'!$B$31+'Inputs'!$B$32,'Inputs'!$B$30+'Inputs'!$B$31+'Inputs'!$B$32)/1000+'Inputs'!$B$21))^2+('Inputs'!$B$6/2)^2)))-'Results'!C7*(1-'Inputs'!$B$24)*(0.5*((((698-43)*MAX('Inputs'!$B$33,'Inputs'!$B$29+'Inputs'!$B$31+'Inputs'!$B$32,'Inputs'!$B$30+'Inputs'!$B$31+'Inputs'!$B$32)/1000+'Inputs'!$B$21+'Inputs'!$B$7+'Inputs'!$B$10)+'Inputs'!$B$9)/SQRT((((698-43)*MAX('Inputs'!$B$33,'Inputs'!$B$29+'Inputs'!$B$31+'Inputs'!$B$32,'Inputs'!$B$30+'Inputs'!$B$31+'Inputs'!$B$32)/1000+'Inputs'!$B$21+'Inputs'!$B$7+'Inputs'!$B$10)+'Inputs'!$B$9)^2+('Inputs'!$B$8/2)^2)-(((698-43)*MAX('Inputs'!$B$33,'Inputs'!$B$29+'Inputs'!$B$31+'Inputs'!$B$32,'Inputs'!$B$30+'Inputs'!$B$31+'Inputs'!$B$32)/1000+'Inputs'!$B$21+'Inputs'!$B$7+'Inputs'!$B$10))/SQRT((((698-43)*MAX('Inputs'!$B$33,'Inputs'!$B$29+'Inputs'!$B$31+'Inputs'!$B$32,'Inputs'!$B$30+'Inputs'!$B$31+'Inputs'!$B$32)/1000+'Inputs'!$B$21+'Inputs'!$B$7+'Inputs'!$B$10))^2+('Inputs'!$B$8/2)^2))))*'Results'!$B$8))),"")</x:f>
        <x:v>1.8612389131873432</x:v>
      </x:c>
      <x:c r="M698" t="n">
        <x:f>IF(AND(ISNUMBER('Results'!C7),ISNUMBER('Results'!B7),ISNUMBER('Results'!$B$8),ISNUMBER('Inputs'!$B$6),ISNUMBER('Inputs'!$B$7),ISNUMBER('Inputs'!$B$8),ISNUMBER('Inputs'!$B$9),ISNUMBER('Inputs'!$B$10),ISNUMBER('Inputs'!$B$21),ISNUMBER('Inputs'!$B$24),ISNUMBER('Inputs'!$B$28)),(('Results'!C7*(0.5*((((698-43)*MAX('Inputs'!$B$33,'Inputs'!$B$29+'Inputs'!$B$31+'Inputs'!$B$32,'Inputs'!$B$30+'Inputs'!$B$31+'Inputs'!$B$32)/1000+'Inputs'!$B$21)+'Inputs'!$B$9)/SQRT((((698-43)*MAX('Inputs'!$B$33,'Inputs'!$B$29+'Inputs'!$B$31+'Inputs'!$B$32,'Inputs'!$B$30+'Inputs'!$B$31+'Inputs'!$B$32)/1000+'Inputs'!$B$21)+'Inputs'!$B$9)^2+('Inputs'!$B$8/2)^2)-(((698-43)*MAX('Inputs'!$B$33,'Inputs'!$B$29+'Inputs'!$B$31+'Inputs'!$B$32,'Inputs'!$B$30+'Inputs'!$B$31+'Inputs'!$B$32)/1000+'Inputs'!$B$21))/SQRT((((698-43)*MAX('Inputs'!$B$33,'Inputs'!$B$29+'Inputs'!$B$31+'Inputs'!$B$32,'Inputs'!$B$30+'Inputs'!$B$31+'Inputs'!$B$32)/1000+'Inputs'!$B$21))^2+('Inputs'!$B$8/2)^2)))-'Results'!B7*(0.5*((((698-43)*MAX('Inputs'!$B$33,'Inputs'!$B$29+'Inputs'!$B$31+'Inputs'!$B$32,'Inputs'!$B$30+'Inputs'!$B$31+'Inputs'!$B$32)/1000+'Inputs'!$B$21+'Inputs'!$B$9+'Inputs'!$B$10)+'Inputs'!$B$7)/SQRT((((698-43)*MAX('Inputs'!$B$33,'Inputs'!$B$29+'Inputs'!$B$31+'Inputs'!$B$32,'Inputs'!$B$30+'Inputs'!$B$31+'Inputs'!$B$32)/1000+'Inputs'!$B$21+'Inputs'!$B$9+'Inputs'!$B$10)+'Inputs'!$B$7)^2+('Inputs'!$B$6/2)^2)-(((698-43)*MAX('Inputs'!$B$33,'Inputs'!$B$29+'Inputs'!$B$31+'Inputs'!$B$32,'Inputs'!$B$30+'Inputs'!$B$31+'Inputs'!$B$32)/1000+'Inputs'!$B$21+'Inputs'!$B$9+'Inputs'!$B$10))/SQRT((((698-43)*MAX('Inputs'!$B$33,'Inputs'!$B$29+'Inputs'!$B$31+'Inputs'!$B$32,'Inputs'!$B$30+'Inputs'!$B$31+'Inputs'!$B$32)/1000+'Inputs'!$B$21+'Inputs'!$B$9+'Inputs'!$B$10))^2+('Inputs'!$B$6/2)^2))))*'Results'!$B$8),"")</x:f>
        <x:v>1.4970643025742558</x:v>
      </x:c>
      <x:c r="N698" t="n">
        <x:f>IF(AND(ISNUMBER('Results'!C7),ISNUMBER('Results'!B7),ISNUMBER('Results'!$B$8),ISNUMBER('Inputs'!$B$6),ISNUMBER('Inputs'!$B$7),ISNUMBER('Inputs'!$B$8),ISNUMBER('Inputs'!$B$9),ISNUMBER('Inputs'!$B$10),ISNUMBER('Inputs'!$B$21),ISNUMBER('Inputs'!$B$24),ISNUMBER('Inputs'!$B$28)),((('Results'!C7*(1-'Inputs'!$B$24)*(0.5*((((698-43)*MAX('Inputs'!$B$33,'Inputs'!$B$29+'Inputs'!$B$31+'Inputs'!$B$32,'Inputs'!$B$30+'Inputs'!$B$31+'Inputs'!$B$32)/1000+'Inputs'!$B$21)+'Inputs'!$B$9)/SQRT((((698-43)*MAX('Inputs'!$B$33,'Inputs'!$B$29+'Inputs'!$B$31+'Inputs'!$B$32,'Inputs'!$B$30+'Inputs'!$B$31+'Inputs'!$B$32)/1000+'Inputs'!$B$21)+'Inputs'!$B$9)^2+('Inputs'!$B$8/2)^2)-(((698-43)*MAX('Inputs'!$B$33,'Inputs'!$B$29+'Inputs'!$B$31+'Inputs'!$B$32,'Inputs'!$B$30+'Inputs'!$B$31+'Inputs'!$B$32)/1000+'Inputs'!$B$21))/SQRT((((698-43)*MAX('Inputs'!$B$33,'Inputs'!$B$29+'Inputs'!$B$31+'Inputs'!$B$32,'Inputs'!$B$30+'Inputs'!$B$31+'Inputs'!$B$32)/1000+'Inputs'!$B$21))^2+('Inputs'!$B$8/2)^2)))-'Results'!B7*(1+'Inputs'!$B$24)*(0.5*((((698-43)*MAX('Inputs'!$B$33,'Inputs'!$B$29+'Inputs'!$B$31+'Inputs'!$B$32,'Inputs'!$B$30+'Inputs'!$B$31+'Inputs'!$B$32)/1000+'Inputs'!$B$21+'Inputs'!$B$9+'Inputs'!$B$10)+'Inputs'!$B$7)/SQRT((((698-43)*MAX('Inputs'!$B$33,'Inputs'!$B$29+'Inputs'!$B$31+'Inputs'!$B$32,'Inputs'!$B$30+'Inputs'!$B$31+'Inputs'!$B$32)/1000+'Inputs'!$B$21+'Inputs'!$B$9+'Inputs'!$B$10)+'Inputs'!$B$7)^2+('Inputs'!$B$6/2)^2)-(((698-43)*MAX('Inputs'!$B$33,'Inputs'!$B$29+'Inputs'!$B$31+'Inputs'!$B$32,'Inputs'!$B$30+'Inputs'!$B$31+'Inputs'!$B$32)/1000+'Inputs'!$B$21+'Inputs'!$B$9+'Inputs'!$B$10))/SQRT((((698-43)*MAX('Inputs'!$B$33,'Inputs'!$B$29+'Inputs'!$B$31+'Inputs'!$B$32,'Inputs'!$B$30+'Inputs'!$B$31+'Inputs'!$B$32)/1000+'Inputs'!$B$21+'Inputs'!$B$9+'Inputs'!$B$10))^2+('Inputs'!$B$6/2)^2))))*'Results'!$B$8)-'Inputs'!$B$28*ABS((('Results'!C7*(1-'Inputs'!$B$24)*(0.5*((((698-43)*MAX('Inputs'!$B$33,'Inputs'!$B$29+'Inputs'!$B$31+'Inputs'!$B$32,'Inputs'!$B$30+'Inputs'!$B$31+'Inputs'!$B$32)/1000+'Inputs'!$B$21)+'Inputs'!$B$9)/SQRT((((698-43)*MAX('Inputs'!$B$33,'Inputs'!$B$29+'Inputs'!$B$31+'Inputs'!$B$32,'Inputs'!$B$30+'Inputs'!$B$31+'Inputs'!$B$32)/1000+'Inputs'!$B$21)+'Inputs'!$B$9)^2+('Inputs'!$B$8/2)^2)-(((698-43)*MAX('Inputs'!$B$33,'Inputs'!$B$29+'Inputs'!$B$31+'Inputs'!$B$32,'Inputs'!$B$30+'Inputs'!$B$31+'Inputs'!$B$32)/1000+'Inputs'!$B$21))/SQRT((((698-43)*MAX('Inputs'!$B$33,'Inputs'!$B$29+'Inputs'!$B$31+'Inputs'!$B$32,'Inputs'!$B$30+'Inputs'!$B$31+'Inputs'!$B$32)/1000+'Inputs'!$B$21))^2+('Inputs'!$B$8/2)^2)))-'Results'!B7*(1+'Inputs'!$B$24)*(0.5*((((698-43)*MAX('Inputs'!$B$33,'Inputs'!$B$29+'Inputs'!$B$31+'Inputs'!$B$32,'Inputs'!$B$30+'Inputs'!$B$31+'Inputs'!$B$32)/1000+'Inputs'!$B$21+'Inputs'!$B$9+'Inputs'!$B$10)+'Inputs'!$B$7)/SQRT((((698-43)*MAX('Inputs'!$B$33,'Inputs'!$B$29+'Inputs'!$B$31+'Inputs'!$B$32,'Inputs'!$B$30+'Inputs'!$B$31+'Inputs'!$B$32)/1000+'Inputs'!$B$21+'Inputs'!$B$9+'Inputs'!$B$10)+'Inputs'!$B$7)^2+('Inputs'!$B$6/2)^2)-(((698-43)*MAX('Inputs'!$B$33,'Inputs'!$B$29+'Inputs'!$B$31+'Inputs'!$B$32,'Inputs'!$B$30+'Inputs'!$B$31+'Inputs'!$B$32)/1000+'Inputs'!$B$21+'Inputs'!$B$9+'Inputs'!$B$10))/SQRT((((698-43)*MAX('Inputs'!$B$33,'Inputs'!$B$29+'Inputs'!$B$31+'Inputs'!$B$32,'Inputs'!$B$30+'Inputs'!$B$31+'Inputs'!$B$32)/1000+'Inputs'!$B$21+'Inputs'!$B$9+'Inputs'!$B$10))^2+('Inputs'!$B$6/2)^2))))*'Results'!$B$8))),"")</x:f>
        <x:v>1.292435430394806</x:v>
      </x:c>
      <x:c r="O698" t="n">
        <x:f>IF(AND(ISNUMBER('Results'!C7),ISNUMBER('Results'!B7),ISNUMBER('Results'!$B$8),ISNUMBER('Inputs'!$B$6),ISNUMBER('Inputs'!$B$7),ISNUMBER('Inputs'!$B$8),ISNUMBER('Inputs'!$B$9),ISNUMBER('Inputs'!$B$10),ISNUMBER('Inputs'!$B$21),ISNUMBER('Inputs'!$B$24),ISNUMBER('Inputs'!$B$28)),((('Results'!C7*(1+'Inputs'!$B$24)*(0.5*((((698-43)*MAX('Inputs'!$B$33,'Inputs'!$B$29+'Inputs'!$B$31+'Inputs'!$B$32,'Inputs'!$B$30+'Inputs'!$B$31+'Inputs'!$B$32)/1000+'Inputs'!$B$21)+'Inputs'!$B$9)/SQRT((((698-43)*MAX('Inputs'!$B$33,'Inputs'!$B$29+'Inputs'!$B$31+'Inputs'!$B$32,'Inputs'!$B$30+'Inputs'!$B$31+'Inputs'!$B$32)/1000+'Inputs'!$B$21)+'Inputs'!$B$9)^2+('Inputs'!$B$8/2)^2)-(((698-43)*MAX('Inputs'!$B$33,'Inputs'!$B$29+'Inputs'!$B$31+'Inputs'!$B$32,'Inputs'!$B$30+'Inputs'!$B$31+'Inputs'!$B$32)/1000+'Inputs'!$B$21))/SQRT((((698-43)*MAX('Inputs'!$B$33,'Inputs'!$B$29+'Inputs'!$B$31+'Inputs'!$B$32,'Inputs'!$B$30+'Inputs'!$B$31+'Inputs'!$B$32)/1000+'Inputs'!$B$21))^2+('Inputs'!$B$8/2)^2)))-'Results'!B7*(1-'Inputs'!$B$24)*(0.5*((((698-43)*MAX('Inputs'!$B$33,'Inputs'!$B$29+'Inputs'!$B$31+'Inputs'!$B$32,'Inputs'!$B$30+'Inputs'!$B$31+'Inputs'!$B$32)/1000+'Inputs'!$B$21+'Inputs'!$B$9+'Inputs'!$B$10)+'Inputs'!$B$7)/SQRT((((698-43)*MAX('Inputs'!$B$33,'Inputs'!$B$29+'Inputs'!$B$31+'Inputs'!$B$32,'Inputs'!$B$30+'Inputs'!$B$31+'Inputs'!$B$32)/1000+'Inputs'!$B$21+'Inputs'!$B$9+'Inputs'!$B$10)+'Inputs'!$B$7)^2+('Inputs'!$B$6/2)^2)-(((698-43)*MAX('Inputs'!$B$33,'Inputs'!$B$29+'Inputs'!$B$31+'Inputs'!$B$32,'Inputs'!$B$30+'Inputs'!$B$31+'Inputs'!$B$32)/1000+'Inputs'!$B$21+'Inputs'!$B$9+'Inputs'!$B$10))/SQRT((((698-43)*MAX('Inputs'!$B$33,'Inputs'!$B$29+'Inputs'!$B$31+'Inputs'!$B$32,'Inputs'!$B$30+'Inputs'!$B$31+'Inputs'!$B$32)/1000+'Inputs'!$B$21+'Inputs'!$B$9+'Inputs'!$B$10))^2+('Inputs'!$B$6/2)^2))))*'Results'!$B$8)+'Inputs'!$B$28*ABS((('Results'!C7*(1+'Inputs'!$B$24)*(0.5*((((698-43)*MAX('Inputs'!$B$33,'Inputs'!$B$29+'Inputs'!$B$31+'Inputs'!$B$32,'Inputs'!$B$30+'Inputs'!$B$31+'Inputs'!$B$32)/1000+'Inputs'!$B$21)+'Inputs'!$B$9)/SQRT((((698-43)*MAX('Inputs'!$B$33,'Inputs'!$B$29+'Inputs'!$B$31+'Inputs'!$B$32,'Inputs'!$B$30+'Inputs'!$B$31+'Inputs'!$B$32)/1000+'Inputs'!$B$21)+'Inputs'!$B$9)^2+('Inputs'!$B$8/2)^2)-(((698-43)*MAX('Inputs'!$B$33,'Inputs'!$B$29+'Inputs'!$B$31+'Inputs'!$B$32,'Inputs'!$B$30+'Inputs'!$B$31+'Inputs'!$B$32)/1000+'Inputs'!$B$21))/SQRT((((698-43)*MAX('Inputs'!$B$33,'Inputs'!$B$29+'Inputs'!$B$31+'Inputs'!$B$32,'Inputs'!$B$30+'Inputs'!$B$31+'Inputs'!$B$32)/1000+'Inputs'!$B$21))^2+('Inputs'!$B$8/2)^2)))-'Results'!B7*(1-'Inputs'!$B$24)*(0.5*((((698-43)*MAX('Inputs'!$B$33,'Inputs'!$B$29+'Inputs'!$B$31+'Inputs'!$B$32,'Inputs'!$B$30+'Inputs'!$B$31+'Inputs'!$B$32)/1000+'Inputs'!$B$21+'Inputs'!$B$9+'Inputs'!$B$10)+'Inputs'!$B$7)/SQRT((((698-43)*MAX('Inputs'!$B$33,'Inputs'!$B$29+'Inputs'!$B$31+'Inputs'!$B$32,'Inputs'!$B$30+'Inputs'!$B$31+'Inputs'!$B$32)/1000+'Inputs'!$B$21+'Inputs'!$B$9+'Inputs'!$B$10)+'Inputs'!$B$7)^2+('Inputs'!$B$6/2)^2)-(((698-43)*MAX('Inputs'!$B$33,'Inputs'!$B$29+'Inputs'!$B$31+'Inputs'!$B$32,'Inputs'!$B$30+'Inputs'!$B$31+'Inputs'!$B$32)/1000+'Inputs'!$B$21+'Inputs'!$B$9+'Inputs'!$B$10))/SQRT((((698-43)*MAX('Inputs'!$B$33,'Inputs'!$B$29+'Inputs'!$B$31+'Inputs'!$B$32,'Inputs'!$B$30+'Inputs'!$B$31+'Inputs'!$B$32)/1000+'Inputs'!$B$21+'Inputs'!$B$9+'Inputs'!$B$10))^2+('Inputs'!$B$6/2)^2))))*'Results'!$B$8))),"")</x:f>
        <x:v>1.7153537702327302</x:v>
      </x:c>
      <x:c r="P698" t="n">
        <x:f>IF(AND(MAX(J698,J697)&gt;0,J698&gt;J697+0.00000001),1,0)</x:f>
        <x:v>0</x:v>
      </x:c>
      <x:c r="Q698" t="n">
        <x:f>IF(AND(MAX(K698,K697)&gt;0,K698&gt;K697+0.00000001),1,0)</x:f>
        <x:v>0</x:v>
      </x:c>
      <x:c r="R698" t="n">
        <x:f>IF(AND(MAX(L698,L697)&gt;0,L698&gt;L697+0.00000001),1,0)</x:f>
        <x:v>0</x:v>
      </x:c>
      <x:c r="S698" t="n">
        <x:f>IF(AND(MAX(M698,M697)&gt;0,M698&gt;M697+0.00000001),1,0)</x:f>
        <x:v>0</x:v>
      </x:c>
      <x:c r="T698" t="n">
        <x:f>IF(AND(MAX(N698,N697)&gt;0,N698&gt;N697+0.00000001),1,0)</x:f>
        <x:v>0</x:v>
      </x:c>
      <x:c r="U698" t="n">
        <x:f>IF(AND(MAX(O698,O697)&gt;0,O698&gt;O697+0.00000001),1,0)</x:f>
        <x:v>0</x:v>
      </x:c>
    </x:row>
    <x:row r="699">
      <x:c r="J699" t="n">
        <x:f>IF(AND(ISNUMBER('Results'!B7),ISNUMBER('Results'!C7),ISNUMBER('Results'!$B$8),ISNUMBER('Inputs'!$B$6),ISNUMBER('Inputs'!$B$7),ISNUMBER('Inputs'!$B$8),ISNUMBER('Inputs'!$B$9),ISNUMBER('Inputs'!$B$10),ISNUMBER('Inputs'!$B$21),ISNUMBER('Inputs'!$B$24),ISNUMBER('Inputs'!$B$28)),(('Results'!B7*(0.5*((((699-43)*MAX('Inputs'!$B$33,'Inputs'!$B$29+'Inputs'!$B$31+'Inputs'!$B$32,'Inputs'!$B$30+'Inputs'!$B$31+'Inputs'!$B$32)/1000+'Inputs'!$B$21)+'Inputs'!$B$7)/SQRT((((699-43)*MAX('Inputs'!$B$33,'Inputs'!$B$29+'Inputs'!$B$31+'Inputs'!$B$32,'Inputs'!$B$30+'Inputs'!$B$31+'Inputs'!$B$32)/1000+'Inputs'!$B$21)+'Inputs'!$B$7)^2+('Inputs'!$B$6/2)^2)-(((699-43)*MAX('Inputs'!$B$33,'Inputs'!$B$29+'Inputs'!$B$31+'Inputs'!$B$32,'Inputs'!$B$30+'Inputs'!$B$31+'Inputs'!$B$32)/1000+'Inputs'!$B$21))/SQRT((((699-43)*MAX('Inputs'!$B$33,'Inputs'!$B$29+'Inputs'!$B$31+'Inputs'!$B$32,'Inputs'!$B$30+'Inputs'!$B$31+'Inputs'!$B$32)/1000+'Inputs'!$B$21))^2+('Inputs'!$B$6/2)^2)))-'Results'!C7*(0.5*((((699-43)*MAX('Inputs'!$B$33,'Inputs'!$B$29+'Inputs'!$B$31+'Inputs'!$B$32,'Inputs'!$B$30+'Inputs'!$B$31+'Inputs'!$B$32)/1000+'Inputs'!$B$21+'Inputs'!$B$7+'Inputs'!$B$10)+'Inputs'!$B$9)/SQRT((((699-43)*MAX('Inputs'!$B$33,'Inputs'!$B$29+'Inputs'!$B$31+'Inputs'!$B$32,'Inputs'!$B$30+'Inputs'!$B$31+'Inputs'!$B$32)/1000+'Inputs'!$B$21+'Inputs'!$B$7+'Inputs'!$B$10)+'Inputs'!$B$9)^2+('Inputs'!$B$8/2)^2)-(((699-43)*MAX('Inputs'!$B$33,'Inputs'!$B$29+'Inputs'!$B$31+'Inputs'!$B$32,'Inputs'!$B$30+'Inputs'!$B$31+'Inputs'!$B$32)/1000+'Inputs'!$B$21+'Inputs'!$B$7+'Inputs'!$B$10))/SQRT((((699-43)*MAX('Inputs'!$B$33,'Inputs'!$B$29+'Inputs'!$B$31+'Inputs'!$B$32,'Inputs'!$B$30+'Inputs'!$B$31+'Inputs'!$B$32)/1000+'Inputs'!$B$21+'Inputs'!$B$7+'Inputs'!$B$10))^2+('Inputs'!$B$8/2)^2))))*'Results'!$B$8),"")</x:f>
        <x:v>1.626587774624714</x:v>
      </x:c>
      <x:c r="K699" t="n">
        <x:f>IF(AND(ISNUMBER('Results'!B7),ISNUMBER('Results'!C7),ISNUMBER('Results'!$B$8),ISNUMBER('Inputs'!$B$6),ISNUMBER('Inputs'!$B$7),ISNUMBER('Inputs'!$B$8),ISNUMBER('Inputs'!$B$9),ISNUMBER('Inputs'!$B$10),ISNUMBER('Inputs'!$B$21),ISNUMBER('Inputs'!$B$24),ISNUMBER('Inputs'!$B$28)),((('Results'!B7*(1-'Inputs'!$B$24)*(0.5*((((699-43)*MAX('Inputs'!$B$33,'Inputs'!$B$29+'Inputs'!$B$31+'Inputs'!$B$32,'Inputs'!$B$30+'Inputs'!$B$31+'Inputs'!$B$32)/1000+'Inputs'!$B$21)+'Inputs'!$B$7)/SQRT((((699-43)*MAX('Inputs'!$B$33,'Inputs'!$B$29+'Inputs'!$B$31+'Inputs'!$B$32,'Inputs'!$B$30+'Inputs'!$B$31+'Inputs'!$B$32)/1000+'Inputs'!$B$21)+'Inputs'!$B$7)^2+('Inputs'!$B$6/2)^2)-(((699-43)*MAX('Inputs'!$B$33,'Inputs'!$B$29+'Inputs'!$B$31+'Inputs'!$B$32,'Inputs'!$B$30+'Inputs'!$B$31+'Inputs'!$B$32)/1000+'Inputs'!$B$21))/SQRT((((699-43)*MAX('Inputs'!$B$33,'Inputs'!$B$29+'Inputs'!$B$31+'Inputs'!$B$32,'Inputs'!$B$30+'Inputs'!$B$31+'Inputs'!$B$32)/1000+'Inputs'!$B$21))^2+('Inputs'!$B$6/2)^2)))-'Results'!C7*(1+'Inputs'!$B$24)*(0.5*((((699-43)*MAX('Inputs'!$B$33,'Inputs'!$B$29+'Inputs'!$B$31+'Inputs'!$B$32,'Inputs'!$B$30+'Inputs'!$B$31+'Inputs'!$B$32)/1000+'Inputs'!$B$21+'Inputs'!$B$7+'Inputs'!$B$10)+'Inputs'!$B$9)/SQRT((((699-43)*MAX('Inputs'!$B$33,'Inputs'!$B$29+'Inputs'!$B$31+'Inputs'!$B$32,'Inputs'!$B$30+'Inputs'!$B$31+'Inputs'!$B$32)/1000+'Inputs'!$B$21+'Inputs'!$B$7+'Inputs'!$B$10)+'Inputs'!$B$9)^2+('Inputs'!$B$8/2)^2)-(((699-43)*MAX('Inputs'!$B$33,'Inputs'!$B$29+'Inputs'!$B$31+'Inputs'!$B$32,'Inputs'!$B$30+'Inputs'!$B$31+'Inputs'!$B$32)/1000+'Inputs'!$B$21+'Inputs'!$B$7+'Inputs'!$B$10))/SQRT((((699-43)*MAX('Inputs'!$B$33,'Inputs'!$B$29+'Inputs'!$B$31+'Inputs'!$B$32,'Inputs'!$B$30+'Inputs'!$B$31+'Inputs'!$B$32)/1000+'Inputs'!$B$21+'Inputs'!$B$7+'Inputs'!$B$10))^2+('Inputs'!$B$8/2)^2))))*'Results'!$B$8)-'Inputs'!$B$28*ABS((('Results'!B7*(1-'Inputs'!$B$24)*(0.5*((((699-43)*MAX('Inputs'!$B$33,'Inputs'!$B$29+'Inputs'!$B$31+'Inputs'!$B$32,'Inputs'!$B$30+'Inputs'!$B$31+'Inputs'!$B$32)/1000+'Inputs'!$B$21)+'Inputs'!$B$7)/SQRT((((699-43)*MAX('Inputs'!$B$33,'Inputs'!$B$29+'Inputs'!$B$31+'Inputs'!$B$32,'Inputs'!$B$30+'Inputs'!$B$31+'Inputs'!$B$32)/1000+'Inputs'!$B$21)+'Inputs'!$B$7)^2+('Inputs'!$B$6/2)^2)-(((699-43)*MAX('Inputs'!$B$33,'Inputs'!$B$29+'Inputs'!$B$31+'Inputs'!$B$32,'Inputs'!$B$30+'Inputs'!$B$31+'Inputs'!$B$32)/1000+'Inputs'!$B$21))/SQRT((((699-43)*MAX('Inputs'!$B$33,'Inputs'!$B$29+'Inputs'!$B$31+'Inputs'!$B$32,'Inputs'!$B$30+'Inputs'!$B$31+'Inputs'!$B$32)/1000+'Inputs'!$B$21))^2+('Inputs'!$B$6/2)^2)))-'Results'!C7*(1+'Inputs'!$B$24)*(0.5*((((699-43)*MAX('Inputs'!$B$33,'Inputs'!$B$29+'Inputs'!$B$31+'Inputs'!$B$32,'Inputs'!$B$30+'Inputs'!$B$31+'Inputs'!$B$32)/1000+'Inputs'!$B$21+'Inputs'!$B$7+'Inputs'!$B$10)+'Inputs'!$B$9)/SQRT((((699-43)*MAX('Inputs'!$B$33,'Inputs'!$B$29+'Inputs'!$B$31+'Inputs'!$B$32,'Inputs'!$B$30+'Inputs'!$B$31+'Inputs'!$B$32)/1000+'Inputs'!$B$21+'Inputs'!$B$7+'Inputs'!$B$10)+'Inputs'!$B$9)^2+('Inputs'!$B$8/2)^2)-(((699-43)*MAX('Inputs'!$B$33,'Inputs'!$B$29+'Inputs'!$B$31+'Inputs'!$B$32,'Inputs'!$B$30+'Inputs'!$B$31+'Inputs'!$B$32)/1000+'Inputs'!$B$21+'Inputs'!$B$7+'Inputs'!$B$10))/SQRT((((699-43)*MAX('Inputs'!$B$33,'Inputs'!$B$29+'Inputs'!$B$31+'Inputs'!$B$32,'Inputs'!$B$30+'Inputs'!$B$31+'Inputs'!$B$32)/1000+'Inputs'!$B$21+'Inputs'!$B$7+'Inputs'!$B$10))^2+('Inputs'!$B$8/2)^2))))*'Results'!$B$8))),"")</x:f>
        <x:v>1.4154213364289576</x:v>
      </x:c>
      <x:c r="L699" t="n">
        <x:f>IF(AND(ISNUMBER('Results'!B7),ISNUMBER('Results'!C7),ISNUMBER('Results'!$B$8),ISNUMBER('Inputs'!$B$6),ISNUMBER('Inputs'!$B$7),ISNUMBER('Inputs'!$B$8),ISNUMBER('Inputs'!$B$9),ISNUMBER('Inputs'!$B$10),ISNUMBER('Inputs'!$B$21),ISNUMBER('Inputs'!$B$24),ISNUMBER('Inputs'!$B$28)),((('Results'!B7*(1+'Inputs'!$B$24)*(0.5*((((699-43)*MAX('Inputs'!$B$33,'Inputs'!$B$29+'Inputs'!$B$31+'Inputs'!$B$32,'Inputs'!$B$30+'Inputs'!$B$31+'Inputs'!$B$32)/1000+'Inputs'!$B$21)+'Inputs'!$B$7)/SQRT((((699-43)*MAX('Inputs'!$B$33,'Inputs'!$B$29+'Inputs'!$B$31+'Inputs'!$B$32,'Inputs'!$B$30+'Inputs'!$B$31+'Inputs'!$B$32)/1000+'Inputs'!$B$21)+'Inputs'!$B$7)^2+('Inputs'!$B$6/2)^2)-(((699-43)*MAX('Inputs'!$B$33,'Inputs'!$B$29+'Inputs'!$B$31+'Inputs'!$B$32,'Inputs'!$B$30+'Inputs'!$B$31+'Inputs'!$B$32)/1000+'Inputs'!$B$21))/SQRT((((699-43)*MAX('Inputs'!$B$33,'Inputs'!$B$29+'Inputs'!$B$31+'Inputs'!$B$32,'Inputs'!$B$30+'Inputs'!$B$31+'Inputs'!$B$32)/1000+'Inputs'!$B$21))^2+('Inputs'!$B$6/2)^2)))-'Results'!C7*(1-'Inputs'!$B$24)*(0.5*((((699-43)*MAX('Inputs'!$B$33,'Inputs'!$B$29+'Inputs'!$B$31+'Inputs'!$B$32,'Inputs'!$B$30+'Inputs'!$B$31+'Inputs'!$B$32)/1000+'Inputs'!$B$21+'Inputs'!$B$7+'Inputs'!$B$10)+'Inputs'!$B$9)/SQRT((((699-43)*MAX('Inputs'!$B$33,'Inputs'!$B$29+'Inputs'!$B$31+'Inputs'!$B$32,'Inputs'!$B$30+'Inputs'!$B$31+'Inputs'!$B$32)/1000+'Inputs'!$B$21+'Inputs'!$B$7+'Inputs'!$B$10)+'Inputs'!$B$9)^2+('Inputs'!$B$8/2)^2)-(((699-43)*MAX('Inputs'!$B$33,'Inputs'!$B$29+'Inputs'!$B$31+'Inputs'!$B$32,'Inputs'!$B$30+'Inputs'!$B$31+'Inputs'!$B$32)/1000+'Inputs'!$B$21+'Inputs'!$B$7+'Inputs'!$B$10))/SQRT((((699-43)*MAX('Inputs'!$B$33,'Inputs'!$B$29+'Inputs'!$B$31+'Inputs'!$B$32,'Inputs'!$B$30+'Inputs'!$B$31+'Inputs'!$B$32)/1000+'Inputs'!$B$21+'Inputs'!$B$7+'Inputs'!$B$10))^2+('Inputs'!$B$8/2)^2))))*'Results'!$B$8)+'Inputs'!$B$28*ABS((('Results'!B7*(1+'Inputs'!$B$24)*(0.5*((((699-43)*MAX('Inputs'!$B$33,'Inputs'!$B$29+'Inputs'!$B$31+'Inputs'!$B$32,'Inputs'!$B$30+'Inputs'!$B$31+'Inputs'!$B$32)/1000+'Inputs'!$B$21)+'Inputs'!$B$7)/SQRT((((699-43)*MAX('Inputs'!$B$33,'Inputs'!$B$29+'Inputs'!$B$31+'Inputs'!$B$32,'Inputs'!$B$30+'Inputs'!$B$31+'Inputs'!$B$32)/1000+'Inputs'!$B$21)+'Inputs'!$B$7)^2+('Inputs'!$B$6/2)^2)-(((699-43)*MAX('Inputs'!$B$33,'Inputs'!$B$29+'Inputs'!$B$31+'Inputs'!$B$32,'Inputs'!$B$30+'Inputs'!$B$31+'Inputs'!$B$32)/1000+'Inputs'!$B$21))/SQRT((((699-43)*MAX('Inputs'!$B$33,'Inputs'!$B$29+'Inputs'!$B$31+'Inputs'!$B$32,'Inputs'!$B$30+'Inputs'!$B$31+'Inputs'!$B$32)/1000+'Inputs'!$B$21))^2+('Inputs'!$B$6/2)^2)))-'Results'!C7*(1-'Inputs'!$B$24)*(0.5*((((699-43)*MAX('Inputs'!$B$33,'Inputs'!$B$29+'Inputs'!$B$31+'Inputs'!$B$32,'Inputs'!$B$30+'Inputs'!$B$31+'Inputs'!$B$32)/1000+'Inputs'!$B$21+'Inputs'!$B$7+'Inputs'!$B$10)+'Inputs'!$B$9)/SQRT((((699-43)*MAX('Inputs'!$B$33,'Inputs'!$B$29+'Inputs'!$B$31+'Inputs'!$B$32,'Inputs'!$B$30+'Inputs'!$B$31+'Inputs'!$B$32)/1000+'Inputs'!$B$21+'Inputs'!$B$7+'Inputs'!$B$10)+'Inputs'!$B$9)^2+('Inputs'!$B$8/2)^2)-(((699-43)*MAX('Inputs'!$B$33,'Inputs'!$B$29+'Inputs'!$B$31+'Inputs'!$B$32,'Inputs'!$B$30+'Inputs'!$B$31+'Inputs'!$B$32)/1000+'Inputs'!$B$21+'Inputs'!$B$7+'Inputs'!$B$10))/SQRT((((699-43)*MAX('Inputs'!$B$33,'Inputs'!$B$29+'Inputs'!$B$31+'Inputs'!$B$32,'Inputs'!$B$30+'Inputs'!$B$31+'Inputs'!$B$32)/1000+'Inputs'!$B$21+'Inputs'!$B$7+'Inputs'!$B$10))^2+('Inputs'!$B$8/2)^2))))*'Results'!$B$8))),"")</x:f>
        <x:v>1.851421270658841</x:v>
      </x:c>
      <x:c r="M699" t="n">
        <x:f>IF(AND(ISNUMBER('Results'!C7),ISNUMBER('Results'!B7),ISNUMBER('Results'!$B$8),ISNUMBER('Inputs'!$B$6),ISNUMBER('Inputs'!$B$7),ISNUMBER('Inputs'!$B$8),ISNUMBER('Inputs'!$B$9),ISNUMBER('Inputs'!$B$10),ISNUMBER('Inputs'!$B$21),ISNUMBER('Inputs'!$B$24),ISNUMBER('Inputs'!$B$28)),(('Results'!C7*(0.5*((((699-43)*MAX('Inputs'!$B$33,'Inputs'!$B$29+'Inputs'!$B$31+'Inputs'!$B$32,'Inputs'!$B$30+'Inputs'!$B$31+'Inputs'!$B$32)/1000+'Inputs'!$B$21)+'Inputs'!$B$9)/SQRT((((699-43)*MAX('Inputs'!$B$33,'Inputs'!$B$29+'Inputs'!$B$31+'Inputs'!$B$32,'Inputs'!$B$30+'Inputs'!$B$31+'Inputs'!$B$32)/1000+'Inputs'!$B$21)+'Inputs'!$B$9)^2+('Inputs'!$B$8/2)^2)-(((699-43)*MAX('Inputs'!$B$33,'Inputs'!$B$29+'Inputs'!$B$31+'Inputs'!$B$32,'Inputs'!$B$30+'Inputs'!$B$31+'Inputs'!$B$32)/1000+'Inputs'!$B$21))/SQRT((((699-43)*MAX('Inputs'!$B$33,'Inputs'!$B$29+'Inputs'!$B$31+'Inputs'!$B$32,'Inputs'!$B$30+'Inputs'!$B$31+'Inputs'!$B$32)/1000+'Inputs'!$B$21))^2+('Inputs'!$B$8/2)^2)))-'Results'!B7*(0.5*((((699-43)*MAX('Inputs'!$B$33,'Inputs'!$B$29+'Inputs'!$B$31+'Inputs'!$B$32,'Inputs'!$B$30+'Inputs'!$B$31+'Inputs'!$B$32)/1000+'Inputs'!$B$21+'Inputs'!$B$9+'Inputs'!$B$10)+'Inputs'!$B$7)/SQRT((((699-43)*MAX('Inputs'!$B$33,'Inputs'!$B$29+'Inputs'!$B$31+'Inputs'!$B$32,'Inputs'!$B$30+'Inputs'!$B$31+'Inputs'!$B$32)/1000+'Inputs'!$B$21+'Inputs'!$B$9+'Inputs'!$B$10)+'Inputs'!$B$7)^2+('Inputs'!$B$6/2)^2)-(((699-43)*MAX('Inputs'!$B$33,'Inputs'!$B$29+'Inputs'!$B$31+'Inputs'!$B$32,'Inputs'!$B$30+'Inputs'!$B$31+'Inputs'!$B$32)/1000+'Inputs'!$B$21+'Inputs'!$B$9+'Inputs'!$B$10))/SQRT((((699-43)*MAX('Inputs'!$B$33,'Inputs'!$B$29+'Inputs'!$B$31+'Inputs'!$B$32,'Inputs'!$B$30+'Inputs'!$B$31+'Inputs'!$B$32)/1000+'Inputs'!$B$21+'Inputs'!$B$9+'Inputs'!$B$10))^2+('Inputs'!$B$6/2)^2))))*'Results'!$B$8),"")</x:f>
        <x:v>1.488854555191098</x:v>
      </x:c>
      <x:c r="N699" t="n">
        <x:f>IF(AND(ISNUMBER('Results'!C7),ISNUMBER('Results'!B7),ISNUMBER('Results'!$B$8),ISNUMBER('Inputs'!$B$6),ISNUMBER('Inputs'!$B$7),ISNUMBER('Inputs'!$B$8),ISNUMBER('Inputs'!$B$9),ISNUMBER('Inputs'!$B$10),ISNUMBER('Inputs'!$B$21),ISNUMBER('Inputs'!$B$24),ISNUMBER('Inputs'!$B$28)),((('Results'!C7*(1-'Inputs'!$B$24)*(0.5*((((699-43)*MAX('Inputs'!$B$33,'Inputs'!$B$29+'Inputs'!$B$31+'Inputs'!$B$32,'Inputs'!$B$30+'Inputs'!$B$31+'Inputs'!$B$32)/1000+'Inputs'!$B$21)+'Inputs'!$B$9)/SQRT((((699-43)*MAX('Inputs'!$B$33,'Inputs'!$B$29+'Inputs'!$B$31+'Inputs'!$B$32,'Inputs'!$B$30+'Inputs'!$B$31+'Inputs'!$B$32)/1000+'Inputs'!$B$21)+'Inputs'!$B$9)^2+('Inputs'!$B$8/2)^2)-(((699-43)*MAX('Inputs'!$B$33,'Inputs'!$B$29+'Inputs'!$B$31+'Inputs'!$B$32,'Inputs'!$B$30+'Inputs'!$B$31+'Inputs'!$B$32)/1000+'Inputs'!$B$21))/SQRT((((699-43)*MAX('Inputs'!$B$33,'Inputs'!$B$29+'Inputs'!$B$31+'Inputs'!$B$32,'Inputs'!$B$30+'Inputs'!$B$31+'Inputs'!$B$32)/1000+'Inputs'!$B$21))^2+('Inputs'!$B$8/2)^2)))-'Results'!B7*(1+'Inputs'!$B$24)*(0.5*((((699-43)*MAX('Inputs'!$B$33,'Inputs'!$B$29+'Inputs'!$B$31+'Inputs'!$B$32,'Inputs'!$B$30+'Inputs'!$B$31+'Inputs'!$B$32)/1000+'Inputs'!$B$21+'Inputs'!$B$9+'Inputs'!$B$10)+'Inputs'!$B$7)/SQRT((((699-43)*MAX('Inputs'!$B$33,'Inputs'!$B$29+'Inputs'!$B$31+'Inputs'!$B$32,'Inputs'!$B$30+'Inputs'!$B$31+'Inputs'!$B$32)/1000+'Inputs'!$B$21+'Inputs'!$B$9+'Inputs'!$B$10)+'Inputs'!$B$7)^2+('Inputs'!$B$6/2)^2)-(((699-43)*MAX('Inputs'!$B$33,'Inputs'!$B$29+'Inputs'!$B$31+'Inputs'!$B$32,'Inputs'!$B$30+'Inputs'!$B$31+'Inputs'!$B$32)/1000+'Inputs'!$B$21+'Inputs'!$B$9+'Inputs'!$B$10))/SQRT((((699-43)*MAX('Inputs'!$B$33,'Inputs'!$B$29+'Inputs'!$B$31+'Inputs'!$B$32,'Inputs'!$B$30+'Inputs'!$B$31+'Inputs'!$B$32)/1000+'Inputs'!$B$21+'Inputs'!$B$9+'Inputs'!$B$10))^2+('Inputs'!$B$6/2)^2))))*'Results'!$B$8)-'Inputs'!$B$28*ABS((('Results'!C7*(1-'Inputs'!$B$24)*(0.5*((((699-43)*MAX('Inputs'!$B$33,'Inputs'!$B$29+'Inputs'!$B$31+'Inputs'!$B$32,'Inputs'!$B$30+'Inputs'!$B$31+'Inputs'!$B$32)/1000+'Inputs'!$B$21)+'Inputs'!$B$9)/SQRT((((699-43)*MAX('Inputs'!$B$33,'Inputs'!$B$29+'Inputs'!$B$31+'Inputs'!$B$32,'Inputs'!$B$30+'Inputs'!$B$31+'Inputs'!$B$32)/1000+'Inputs'!$B$21)+'Inputs'!$B$9)^2+('Inputs'!$B$8/2)^2)-(((699-43)*MAX('Inputs'!$B$33,'Inputs'!$B$29+'Inputs'!$B$31+'Inputs'!$B$32,'Inputs'!$B$30+'Inputs'!$B$31+'Inputs'!$B$32)/1000+'Inputs'!$B$21))/SQRT((((699-43)*MAX('Inputs'!$B$33,'Inputs'!$B$29+'Inputs'!$B$31+'Inputs'!$B$32,'Inputs'!$B$30+'Inputs'!$B$31+'Inputs'!$B$32)/1000+'Inputs'!$B$21))^2+('Inputs'!$B$8/2)^2)))-'Results'!B7*(1+'Inputs'!$B$24)*(0.5*((((699-43)*MAX('Inputs'!$B$33,'Inputs'!$B$29+'Inputs'!$B$31+'Inputs'!$B$32,'Inputs'!$B$30+'Inputs'!$B$31+'Inputs'!$B$32)/1000+'Inputs'!$B$21+'Inputs'!$B$9+'Inputs'!$B$10)+'Inputs'!$B$7)/SQRT((((699-43)*MAX('Inputs'!$B$33,'Inputs'!$B$29+'Inputs'!$B$31+'Inputs'!$B$32,'Inputs'!$B$30+'Inputs'!$B$31+'Inputs'!$B$32)/1000+'Inputs'!$B$21+'Inputs'!$B$9+'Inputs'!$B$10)+'Inputs'!$B$7)^2+('Inputs'!$B$6/2)^2)-(((699-43)*MAX('Inputs'!$B$33,'Inputs'!$B$29+'Inputs'!$B$31+'Inputs'!$B$32,'Inputs'!$B$30+'Inputs'!$B$31+'Inputs'!$B$32)/1000+'Inputs'!$B$21+'Inputs'!$B$9+'Inputs'!$B$10))/SQRT((((699-43)*MAX('Inputs'!$B$33,'Inputs'!$B$29+'Inputs'!$B$31+'Inputs'!$B$32,'Inputs'!$B$30+'Inputs'!$B$31+'Inputs'!$B$32)/1000+'Inputs'!$B$21+'Inputs'!$B$9+'Inputs'!$B$10))^2+('Inputs'!$B$6/2)^2))))*'Results'!$B$8))),"")</x:f>
        <x:v>1.285172691141431</x:v>
      </x:c>
      <x:c r="O699" t="n">
        <x:f>IF(AND(ISNUMBER('Results'!C7),ISNUMBER('Results'!B7),ISNUMBER('Results'!$B$8),ISNUMBER('Inputs'!$B$6),ISNUMBER('Inputs'!$B$7),ISNUMBER('Inputs'!$B$8),ISNUMBER('Inputs'!$B$9),ISNUMBER('Inputs'!$B$10),ISNUMBER('Inputs'!$B$21),ISNUMBER('Inputs'!$B$24),ISNUMBER('Inputs'!$B$28)),((('Results'!C7*(1+'Inputs'!$B$24)*(0.5*((((699-43)*MAX('Inputs'!$B$33,'Inputs'!$B$29+'Inputs'!$B$31+'Inputs'!$B$32,'Inputs'!$B$30+'Inputs'!$B$31+'Inputs'!$B$32)/1000+'Inputs'!$B$21)+'Inputs'!$B$9)/SQRT((((699-43)*MAX('Inputs'!$B$33,'Inputs'!$B$29+'Inputs'!$B$31+'Inputs'!$B$32,'Inputs'!$B$30+'Inputs'!$B$31+'Inputs'!$B$32)/1000+'Inputs'!$B$21)+'Inputs'!$B$9)^2+('Inputs'!$B$8/2)^2)-(((699-43)*MAX('Inputs'!$B$33,'Inputs'!$B$29+'Inputs'!$B$31+'Inputs'!$B$32,'Inputs'!$B$30+'Inputs'!$B$31+'Inputs'!$B$32)/1000+'Inputs'!$B$21))/SQRT((((699-43)*MAX('Inputs'!$B$33,'Inputs'!$B$29+'Inputs'!$B$31+'Inputs'!$B$32,'Inputs'!$B$30+'Inputs'!$B$31+'Inputs'!$B$32)/1000+'Inputs'!$B$21))^2+('Inputs'!$B$8/2)^2)))-'Results'!B7*(1-'Inputs'!$B$24)*(0.5*((((699-43)*MAX('Inputs'!$B$33,'Inputs'!$B$29+'Inputs'!$B$31+'Inputs'!$B$32,'Inputs'!$B$30+'Inputs'!$B$31+'Inputs'!$B$32)/1000+'Inputs'!$B$21+'Inputs'!$B$9+'Inputs'!$B$10)+'Inputs'!$B$7)/SQRT((((699-43)*MAX('Inputs'!$B$33,'Inputs'!$B$29+'Inputs'!$B$31+'Inputs'!$B$32,'Inputs'!$B$30+'Inputs'!$B$31+'Inputs'!$B$32)/1000+'Inputs'!$B$21+'Inputs'!$B$9+'Inputs'!$B$10)+'Inputs'!$B$7)^2+('Inputs'!$B$6/2)^2)-(((699-43)*MAX('Inputs'!$B$33,'Inputs'!$B$29+'Inputs'!$B$31+'Inputs'!$B$32,'Inputs'!$B$30+'Inputs'!$B$31+'Inputs'!$B$32)/1000+'Inputs'!$B$21+'Inputs'!$B$9+'Inputs'!$B$10))/SQRT((((699-43)*MAX('Inputs'!$B$33,'Inputs'!$B$29+'Inputs'!$B$31+'Inputs'!$B$32,'Inputs'!$B$30+'Inputs'!$B$31+'Inputs'!$B$32)/1000+'Inputs'!$B$21+'Inputs'!$B$9+'Inputs'!$B$10))^2+('Inputs'!$B$6/2)^2))))*'Results'!$B$8)+'Inputs'!$B$28*ABS((('Results'!C7*(1+'Inputs'!$B$24)*(0.5*((((699-43)*MAX('Inputs'!$B$33,'Inputs'!$B$29+'Inputs'!$B$31+'Inputs'!$B$32,'Inputs'!$B$30+'Inputs'!$B$31+'Inputs'!$B$32)/1000+'Inputs'!$B$21)+'Inputs'!$B$9)/SQRT((((699-43)*MAX('Inputs'!$B$33,'Inputs'!$B$29+'Inputs'!$B$31+'Inputs'!$B$32,'Inputs'!$B$30+'Inputs'!$B$31+'Inputs'!$B$32)/1000+'Inputs'!$B$21)+'Inputs'!$B$9)^2+('Inputs'!$B$8/2)^2)-(((699-43)*MAX('Inputs'!$B$33,'Inputs'!$B$29+'Inputs'!$B$31+'Inputs'!$B$32,'Inputs'!$B$30+'Inputs'!$B$31+'Inputs'!$B$32)/1000+'Inputs'!$B$21))/SQRT((((699-43)*MAX('Inputs'!$B$33,'Inputs'!$B$29+'Inputs'!$B$31+'Inputs'!$B$32,'Inputs'!$B$30+'Inputs'!$B$31+'Inputs'!$B$32)/1000+'Inputs'!$B$21))^2+('Inputs'!$B$8/2)^2)))-'Results'!B7*(1-'Inputs'!$B$24)*(0.5*((((699-43)*MAX('Inputs'!$B$33,'Inputs'!$B$29+'Inputs'!$B$31+'Inputs'!$B$32,'Inputs'!$B$30+'Inputs'!$B$31+'Inputs'!$B$32)/1000+'Inputs'!$B$21+'Inputs'!$B$9+'Inputs'!$B$10)+'Inputs'!$B$7)/SQRT((((699-43)*MAX('Inputs'!$B$33,'Inputs'!$B$29+'Inputs'!$B$31+'Inputs'!$B$32,'Inputs'!$B$30+'Inputs'!$B$31+'Inputs'!$B$32)/1000+'Inputs'!$B$21+'Inputs'!$B$9+'Inputs'!$B$10)+'Inputs'!$B$7)^2+('Inputs'!$B$6/2)^2)-(((699-43)*MAX('Inputs'!$B$33,'Inputs'!$B$29+'Inputs'!$B$31+'Inputs'!$B$32,'Inputs'!$B$30+'Inputs'!$B$31+'Inputs'!$B$32)/1000+'Inputs'!$B$21+'Inputs'!$B$9+'Inputs'!$B$10))/SQRT((((699-43)*MAX('Inputs'!$B$33,'Inputs'!$B$29+'Inputs'!$B$31+'Inputs'!$B$32,'Inputs'!$B$30+'Inputs'!$B$31+'Inputs'!$B$32)/1000+'Inputs'!$B$21+'Inputs'!$B$9+'Inputs'!$B$10))^2+('Inputs'!$B$6/2)^2))))*'Results'!$B$8))),"")</x:f>
        <x:v>1.70614053885025</x:v>
      </x:c>
      <x:c r="P699" t="n">
        <x:f>IF(AND(MAX(J699,J698)&gt;0,J699&gt;J698+0.00000001),1,0)</x:f>
        <x:v>0</x:v>
      </x:c>
      <x:c r="Q699" t="n">
        <x:f>IF(AND(MAX(K699,K698)&gt;0,K699&gt;K698+0.00000001),1,0)</x:f>
        <x:v>0</x:v>
      </x:c>
      <x:c r="R699" t="n">
        <x:f>IF(AND(MAX(L699,L698)&gt;0,L699&gt;L698+0.00000001),1,0)</x:f>
        <x:v>0</x:v>
      </x:c>
      <x:c r="S699" t="n">
        <x:f>IF(AND(MAX(M699,M698)&gt;0,M699&gt;M698+0.00000001),1,0)</x:f>
        <x:v>0</x:v>
      </x:c>
      <x:c r="T699" t="n">
        <x:f>IF(AND(MAX(N699,N698)&gt;0,N699&gt;N698+0.00000001),1,0)</x:f>
        <x:v>0</x:v>
      </x:c>
      <x:c r="U699" t="n">
        <x:f>IF(AND(MAX(O699,O698)&gt;0,O699&gt;O698+0.00000001),1,0)</x:f>
        <x:v>0</x:v>
      </x:c>
    </x:row>
    <x:row r="700">
      <x:c r="J700" t="n">
        <x:f>IF(AND(ISNUMBER('Results'!B7),ISNUMBER('Results'!C7),ISNUMBER('Results'!$B$8),ISNUMBER('Inputs'!$B$6),ISNUMBER('Inputs'!$B$7),ISNUMBER('Inputs'!$B$8),ISNUMBER('Inputs'!$B$9),ISNUMBER('Inputs'!$B$10),ISNUMBER('Inputs'!$B$21),ISNUMBER('Inputs'!$B$24),ISNUMBER('Inputs'!$B$28)),(('Results'!B7*(0.5*((((700-43)*MAX('Inputs'!$B$33,'Inputs'!$B$29+'Inputs'!$B$31+'Inputs'!$B$32,'Inputs'!$B$30+'Inputs'!$B$31+'Inputs'!$B$32)/1000+'Inputs'!$B$21)+'Inputs'!$B$7)/SQRT((((700-43)*MAX('Inputs'!$B$33,'Inputs'!$B$29+'Inputs'!$B$31+'Inputs'!$B$32,'Inputs'!$B$30+'Inputs'!$B$31+'Inputs'!$B$32)/1000+'Inputs'!$B$21)+'Inputs'!$B$7)^2+('Inputs'!$B$6/2)^2)-(((700-43)*MAX('Inputs'!$B$33,'Inputs'!$B$29+'Inputs'!$B$31+'Inputs'!$B$32,'Inputs'!$B$30+'Inputs'!$B$31+'Inputs'!$B$32)/1000+'Inputs'!$B$21))/SQRT((((700-43)*MAX('Inputs'!$B$33,'Inputs'!$B$29+'Inputs'!$B$31+'Inputs'!$B$32,'Inputs'!$B$30+'Inputs'!$B$31+'Inputs'!$B$32)/1000+'Inputs'!$B$21))^2+('Inputs'!$B$6/2)^2)))-'Results'!C7*(0.5*((((700-43)*MAX('Inputs'!$B$33,'Inputs'!$B$29+'Inputs'!$B$31+'Inputs'!$B$32,'Inputs'!$B$30+'Inputs'!$B$31+'Inputs'!$B$32)/1000+'Inputs'!$B$21+'Inputs'!$B$7+'Inputs'!$B$10)+'Inputs'!$B$9)/SQRT((((700-43)*MAX('Inputs'!$B$33,'Inputs'!$B$29+'Inputs'!$B$31+'Inputs'!$B$32,'Inputs'!$B$30+'Inputs'!$B$31+'Inputs'!$B$32)/1000+'Inputs'!$B$21+'Inputs'!$B$7+'Inputs'!$B$10)+'Inputs'!$B$9)^2+('Inputs'!$B$8/2)^2)-(((700-43)*MAX('Inputs'!$B$33,'Inputs'!$B$29+'Inputs'!$B$31+'Inputs'!$B$32,'Inputs'!$B$30+'Inputs'!$B$31+'Inputs'!$B$32)/1000+'Inputs'!$B$21+'Inputs'!$B$7+'Inputs'!$B$10))/SQRT((((700-43)*MAX('Inputs'!$B$33,'Inputs'!$B$29+'Inputs'!$B$31+'Inputs'!$B$32,'Inputs'!$B$30+'Inputs'!$B$31+'Inputs'!$B$32)/1000+'Inputs'!$B$21+'Inputs'!$B$7+'Inputs'!$B$10))^2+('Inputs'!$B$8/2)^2))))*'Results'!$B$8),"")</x:f>
        <x:v>1.6178648856190998</x:v>
      </x:c>
      <x:c r="K700" t="n">
        <x:f>IF(AND(ISNUMBER('Results'!B7),ISNUMBER('Results'!C7),ISNUMBER('Results'!$B$8),ISNUMBER('Inputs'!$B$6),ISNUMBER('Inputs'!$B$7),ISNUMBER('Inputs'!$B$8),ISNUMBER('Inputs'!$B$9),ISNUMBER('Inputs'!$B$10),ISNUMBER('Inputs'!$B$21),ISNUMBER('Inputs'!$B$24),ISNUMBER('Inputs'!$B$28)),((('Results'!B7*(1-'Inputs'!$B$24)*(0.5*((((700-43)*MAX('Inputs'!$B$33,'Inputs'!$B$29+'Inputs'!$B$31+'Inputs'!$B$32,'Inputs'!$B$30+'Inputs'!$B$31+'Inputs'!$B$32)/1000+'Inputs'!$B$21)+'Inputs'!$B$7)/SQRT((((700-43)*MAX('Inputs'!$B$33,'Inputs'!$B$29+'Inputs'!$B$31+'Inputs'!$B$32,'Inputs'!$B$30+'Inputs'!$B$31+'Inputs'!$B$32)/1000+'Inputs'!$B$21)+'Inputs'!$B$7)^2+('Inputs'!$B$6/2)^2)-(((700-43)*MAX('Inputs'!$B$33,'Inputs'!$B$29+'Inputs'!$B$31+'Inputs'!$B$32,'Inputs'!$B$30+'Inputs'!$B$31+'Inputs'!$B$32)/1000+'Inputs'!$B$21))/SQRT((((700-43)*MAX('Inputs'!$B$33,'Inputs'!$B$29+'Inputs'!$B$31+'Inputs'!$B$32,'Inputs'!$B$30+'Inputs'!$B$31+'Inputs'!$B$32)/1000+'Inputs'!$B$21))^2+('Inputs'!$B$6/2)^2)))-'Results'!C7*(1+'Inputs'!$B$24)*(0.5*((((700-43)*MAX('Inputs'!$B$33,'Inputs'!$B$29+'Inputs'!$B$31+'Inputs'!$B$32,'Inputs'!$B$30+'Inputs'!$B$31+'Inputs'!$B$32)/1000+'Inputs'!$B$21+'Inputs'!$B$7+'Inputs'!$B$10)+'Inputs'!$B$9)/SQRT((((700-43)*MAX('Inputs'!$B$33,'Inputs'!$B$29+'Inputs'!$B$31+'Inputs'!$B$32,'Inputs'!$B$30+'Inputs'!$B$31+'Inputs'!$B$32)/1000+'Inputs'!$B$21+'Inputs'!$B$7+'Inputs'!$B$10)+'Inputs'!$B$9)^2+('Inputs'!$B$8/2)^2)-(((700-43)*MAX('Inputs'!$B$33,'Inputs'!$B$29+'Inputs'!$B$31+'Inputs'!$B$32,'Inputs'!$B$30+'Inputs'!$B$31+'Inputs'!$B$32)/1000+'Inputs'!$B$21+'Inputs'!$B$7+'Inputs'!$B$10))/SQRT((((700-43)*MAX('Inputs'!$B$33,'Inputs'!$B$29+'Inputs'!$B$31+'Inputs'!$B$32,'Inputs'!$B$30+'Inputs'!$B$31+'Inputs'!$B$32)/1000+'Inputs'!$B$21+'Inputs'!$B$7+'Inputs'!$B$10))^2+('Inputs'!$B$8/2)^2))))*'Results'!$B$8)-'Inputs'!$B$28*ABS((('Results'!B7*(1-'Inputs'!$B$24)*(0.5*((((700-43)*MAX('Inputs'!$B$33,'Inputs'!$B$29+'Inputs'!$B$31+'Inputs'!$B$32,'Inputs'!$B$30+'Inputs'!$B$31+'Inputs'!$B$32)/1000+'Inputs'!$B$21)+'Inputs'!$B$7)/SQRT((((700-43)*MAX('Inputs'!$B$33,'Inputs'!$B$29+'Inputs'!$B$31+'Inputs'!$B$32,'Inputs'!$B$30+'Inputs'!$B$31+'Inputs'!$B$32)/1000+'Inputs'!$B$21)+'Inputs'!$B$7)^2+('Inputs'!$B$6/2)^2)-(((700-43)*MAX('Inputs'!$B$33,'Inputs'!$B$29+'Inputs'!$B$31+'Inputs'!$B$32,'Inputs'!$B$30+'Inputs'!$B$31+'Inputs'!$B$32)/1000+'Inputs'!$B$21))/SQRT((((700-43)*MAX('Inputs'!$B$33,'Inputs'!$B$29+'Inputs'!$B$31+'Inputs'!$B$32,'Inputs'!$B$30+'Inputs'!$B$31+'Inputs'!$B$32)/1000+'Inputs'!$B$21))^2+('Inputs'!$B$6/2)^2)))-'Results'!C7*(1+'Inputs'!$B$24)*(0.5*((((700-43)*MAX('Inputs'!$B$33,'Inputs'!$B$29+'Inputs'!$B$31+'Inputs'!$B$32,'Inputs'!$B$30+'Inputs'!$B$31+'Inputs'!$B$32)/1000+'Inputs'!$B$21+'Inputs'!$B$7+'Inputs'!$B$10)+'Inputs'!$B$9)/SQRT((((700-43)*MAX('Inputs'!$B$33,'Inputs'!$B$29+'Inputs'!$B$31+'Inputs'!$B$32,'Inputs'!$B$30+'Inputs'!$B$31+'Inputs'!$B$32)/1000+'Inputs'!$B$21+'Inputs'!$B$7+'Inputs'!$B$10)+'Inputs'!$B$9)^2+('Inputs'!$B$8/2)^2)-(((700-43)*MAX('Inputs'!$B$33,'Inputs'!$B$29+'Inputs'!$B$31+'Inputs'!$B$32,'Inputs'!$B$30+'Inputs'!$B$31+'Inputs'!$B$32)/1000+'Inputs'!$B$21+'Inputs'!$B$7+'Inputs'!$B$10))/SQRT((((700-43)*MAX('Inputs'!$B$33,'Inputs'!$B$29+'Inputs'!$B$31+'Inputs'!$B$32,'Inputs'!$B$30+'Inputs'!$B$31+'Inputs'!$B$32)/1000+'Inputs'!$B$21+'Inputs'!$B$7+'Inputs'!$B$10))^2+('Inputs'!$B$8/2)^2))))*'Results'!$B$8))),"")</x:f>
        <x:v>1.4076713909781906</x:v>
      </x:c>
      <x:c r="L700" t="n">
        <x:f>IF(AND(ISNUMBER('Results'!B7),ISNUMBER('Results'!C7),ISNUMBER('Results'!$B$8),ISNUMBER('Inputs'!$B$6),ISNUMBER('Inputs'!$B$7),ISNUMBER('Inputs'!$B$8),ISNUMBER('Inputs'!$B$9),ISNUMBER('Inputs'!$B$10),ISNUMBER('Inputs'!$B$21),ISNUMBER('Inputs'!$B$24),ISNUMBER('Inputs'!$B$28)),((('Results'!B7*(1+'Inputs'!$B$24)*(0.5*((((700-43)*MAX('Inputs'!$B$33,'Inputs'!$B$29+'Inputs'!$B$31+'Inputs'!$B$32,'Inputs'!$B$30+'Inputs'!$B$31+'Inputs'!$B$32)/1000+'Inputs'!$B$21)+'Inputs'!$B$7)/SQRT((((700-43)*MAX('Inputs'!$B$33,'Inputs'!$B$29+'Inputs'!$B$31+'Inputs'!$B$32,'Inputs'!$B$30+'Inputs'!$B$31+'Inputs'!$B$32)/1000+'Inputs'!$B$21)+'Inputs'!$B$7)^2+('Inputs'!$B$6/2)^2)-(((700-43)*MAX('Inputs'!$B$33,'Inputs'!$B$29+'Inputs'!$B$31+'Inputs'!$B$32,'Inputs'!$B$30+'Inputs'!$B$31+'Inputs'!$B$32)/1000+'Inputs'!$B$21))/SQRT((((700-43)*MAX('Inputs'!$B$33,'Inputs'!$B$29+'Inputs'!$B$31+'Inputs'!$B$32,'Inputs'!$B$30+'Inputs'!$B$31+'Inputs'!$B$32)/1000+'Inputs'!$B$21))^2+('Inputs'!$B$6/2)^2)))-'Results'!C7*(1-'Inputs'!$B$24)*(0.5*((((700-43)*MAX('Inputs'!$B$33,'Inputs'!$B$29+'Inputs'!$B$31+'Inputs'!$B$32,'Inputs'!$B$30+'Inputs'!$B$31+'Inputs'!$B$32)/1000+'Inputs'!$B$21+'Inputs'!$B$7+'Inputs'!$B$10)+'Inputs'!$B$9)/SQRT((((700-43)*MAX('Inputs'!$B$33,'Inputs'!$B$29+'Inputs'!$B$31+'Inputs'!$B$32,'Inputs'!$B$30+'Inputs'!$B$31+'Inputs'!$B$32)/1000+'Inputs'!$B$21+'Inputs'!$B$7+'Inputs'!$B$10)+'Inputs'!$B$9)^2+('Inputs'!$B$8/2)^2)-(((700-43)*MAX('Inputs'!$B$33,'Inputs'!$B$29+'Inputs'!$B$31+'Inputs'!$B$32,'Inputs'!$B$30+'Inputs'!$B$31+'Inputs'!$B$32)/1000+'Inputs'!$B$21+'Inputs'!$B$7+'Inputs'!$B$10))/SQRT((((700-43)*MAX('Inputs'!$B$33,'Inputs'!$B$29+'Inputs'!$B$31+'Inputs'!$B$32,'Inputs'!$B$30+'Inputs'!$B$31+'Inputs'!$B$32)/1000+'Inputs'!$B$21+'Inputs'!$B$7+'Inputs'!$B$10))^2+('Inputs'!$B$8/2)^2))))*'Results'!$B$8)+'Inputs'!$B$28*ABS((('Results'!B7*(1+'Inputs'!$B$24)*(0.5*((((700-43)*MAX('Inputs'!$B$33,'Inputs'!$B$29+'Inputs'!$B$31+'Inputs'!$B$32,'Inputs'!$B$30+'Inputs'!$B$31+'Inputs'!$B$32)/1000+'Inputs'!$B$21)+'Inputs'!$B$7)/SQRT((((700-43)*MAX('Inputs'!$B$33,'Inputs'!$B$29+'Inputs'!$B$31+'Inputs'!$B$32,'Inputs'!$B$30+'Inputs'!$B$31+'Inputs'!$B$32)/1000+'Inputs'!$B$21)+'Inputs'!$B$7)^2+('Inputs'!$B$6/2)^2)-(((700-43)*MAX('Inputs'!$B$33,'Inputs'!$B$29+'Inputs'!$B$31+'Inputs'!$B$32,'Inputs'!$B$30+'Inputs'!$B$31+'Inputs'!$B$32)/1000+'Inputs'!$B$21))/SQRT((((700-43)*MAX('Inputs'!$B$33,'Inputs'!$B$29+'Inputs'!$B$31+'Inputs'!$B$32,'Inputs'!$B$30+'Inputs'!$B$31+'Inputs'!$B$32)/1000+'Inputs'!$B$21))^2+('Inputs'!$B$6/2)^2)))-'Results'!C7*(1-'Inputs'!$B$24)*(0.5*((((700-43)*MAX('Inputs'!$B$33,'Inputs'!$B$29+'Inputs'!$B$31+'Inputs'!$B$32,'Inputs'!$B$30+'Inputs'!$B$31+'Inputs'!$B$32)/1000+'Inputs'!$B$21+'Inputs'!$B$7+'Inputs'!$B$10)+'Inputs'!$B$9)/SQRT((((700-43)*MAX('Inputs'!$B$33,'Inputs'!$B$29+'Inputs'!$B$31+'Inputs'!$B$32,'Inputs'!$B$30+'Inputs'!$B$31+'Inputs'!$B$32)/1000+'Inputs'!$B$21+'Inputs'!$B$7+'Inputs'!$B$10)+'Inputs'!$B$9)^2+('Inputs'!$B$8/2)^2)-(((700-43)*MAX('Inputs'!$B$33,'Inputs'!$B$29+'Inputs'!$B$31+'Inputs'!$B$32,'Inputs'!$B$30+'Inputs'!$B$31+'Inputs'!$B$32)/1000+'Inputs'!$B$21+'Inputs'!$B$7+'Inputs'!$B$10))/SQRT((((700-43)*MAX('Inputs'!$B$33,'Inputs'!$B$29+'Inputs'!$B$31+'Inputs'!$B$32,'Inputs'!$B$30+'Inputs'!$B$31+'Inputs'!$B$32)/1000+'Inputs'!$B$21+'Inputs'!$B$7+'Inputs'!$B$10))^2+('Inputs'!$B$8/2)^2))))*'Results'!$B$8))),"")</x:f>
        <x:v>1.8416689329294786</x:v>
      </x:c>
      <x:c r="M700" t="n">
        <x:f>IF(AND(ISNUMBER('Results'!C7),ISNUMBER('Results'!B7),ISNUMBER('Results'!$B$8),ISNUMBER('Inputs'!$B$6),ISNUMBER('Inputs'!$B$7),ISNUMBER('Inputs'!$B$8),ISNUMBER('Inputs'!$B$9),ISNUMBER('Inputs'!$B$10),ISNUMBER('Inputs'!$B$21),ISNUMBER('Inputs'!$B$24),ISNUMBER('Inputs'!$B$28)),(('Results'!C7*(0.5*((((700-43)*MAX('Inputs'!$B$33,'Inputs'!$B$29+'Inputs'!$B$31+'Inputs'!$B$32,'Inputs'!$B$30+'Inputs'!$B$31+'Inputs'!$B$32)/1000+'Inputs'!$B$21)+'Inputs'!$B$9)/SQRT((((700-43)*MAX('Inputs'!$B$33,'Inputs'!$B$29+'Inputs'!$B$31+'Inputs'!$B$32,'Inputs'!$B$30+'Inputs'!$B$31+'Inputs'!$B$32)/1000+'Inputs'!$B$21)+'Inputs'!$B$9)^2+('Inputs'!$B$8/2)^2)-(((700-43)*MAX('Inputs'!$B$33,'Inputs'!$B$29+'Inputs'!$B$31+'Inputs'!$B$32,'Inputs'!$B$30+'Inputs'!$B$31+'Inputs'!$B$32)/1000+'Inputs'!$B$21))/SQRT((((700-43)*MAX('Inputs'!$B$33,'Inputs'!$B$29+'Inputs'!$B$31+'Inputs'!$B$32,'Inputs'!$B$30+'Inputs'!$B$31+'Inputs'!$B$32)/1000+'Inputs'!$B$21))^2+('Inputs'!$B$8/2)^2)))-'Results'!B7*(0.5*((((700-43)*MAX('Inputs'!$B$33,'Inputs'!$B$29+'Inputs'!$B$31+'Inputs'!$B$32,'Inputs'!$B$30+'Inputs'!$B$31+'Inputs'!$B$32)/1000+'Inputs'!$B$21+'Inputs'!$B$9+'Inputs'!$B$10)+'Inputs'!$B$7)/SQRT((((700-43)*MAX('Inputs'!$B$33,'Inputs'!$B$29+'Inputs'!$B$31+'Inputs'!$B$32,'Inputs'!$B$30+'Inputs'!$B$31+'Inputs'!$B$32)/1000+'Inputs'!$B$21+'Inputs'!$B$9+'Inputs'!$B$10)+'Inputs'!$B$7)^2+('Inputs'!$B$6/2)^2)-(((700-43)*MAX('Inputs'!$B$33,'Inputs'!$B$29+'Inputs'!$B$31+'Inputs'!$B$32,'Inputs'!$B$30+'Inputs'!$B$31+'Inputs'!$B$32)/1000+'Inputs'!$B$21+'Inputs'!$B$9+'Inputs'!$B$10))/SQRT((((700-43)*MAX('Inputs'!$B$33,'Inputs'!$B$29+'Inputs'!$B$31+'Inputs'!$B$32,'Inputs'!$B$30+'Inputs'!$B$31+'Inputs'!$B$32)/1000+'Inputs'!$B$21+'Inputs'!$B$9+'Inputs'!$B$10))^2+('Inputs'!$B$6/2)^2))))*'Results'!$B$8),"")</x:f>
        <x:v>1.4807007035266326</x:v>
      </x:c>
      <x:c r="N700" t="n">
        <x:f>IF(AND(ISNUMBER('Results'!C7),ISNUMBER('Results'!B7),ISNUMBER('Results'!$B$8),ISNUMBER('Inputs'!$B$6),ISNUMBER('Inputs'!$B$7),ISNUMBER('Inputs'!$B$8),ISNUMBER('Inputs'!$B$9),ISNUMBER('Inputs'!$B$10),ISNUMBER('Inputs'!$B$21),ISNUMBER('Inputs'!$B$24),ISNUMBER('Inputs'!$B$28)),((('Results'!C7*(1-'Inputs'!$B$24)*(0.5*((((700-43)*MAX('Inputs'!$B$33,'Inputs'!$B$29+'Inputs'!$B$31+'Inputs'!$B$32,'Inputs'!$B$30+'Inputs'!$B$31+'Inputs'!$B$32)/1000+'Inputs'!$B$21)+'Inputs'!$B$9)/SQRT((((700-43)*MAX('Inputs'!$B$33,'Inputs'!$B$29+'Inputs'!$B$31+'Inputs'!$B$32,'Inputs'!$B$30+'Inputs'!$B$31+'Inputs'!$B$32)/1000+'Inputs'!$B$21)+'Inputs'!$B$9)^2+('Inputs'!$B$8/2)^2)-(((700-43)*MAX('Inputs'!$B$33,'Inputs'!$B$29+'Inputs'!$B$31+'Inputs'!$B$32,'Inputs'!$B$30+'Inputs'!$B$31+'Inputs'!$B$32)/1000+'Inputs'!$B$21))/SQRT((((700-43)*MAX('Inputs'!$B$33,'Inputs'!$B$29+'Inputs'!$B$31+'Inputs'!$B$32,'Inputs'!$B$30+'Inputs'!$B$31+'Inputs'!$B$32)/1000+'Inputs'!$B$21))^2+('Inputs'!$B$8/2)^2)))-'Results'!B7*(1+'Inputs'!$B$24)*(0.5*((((700-43)*MAX('Inputs'!$B$33,'Inputs'!$B$29+'Inputs'!$B$31+'Inputs'!$B$32,'Inputs'!$B$30+'Inputs'!$B$31+'Inputs'!$B$32)/1000+'Inputs'!$B$21+'Inputs'!$B$9+'Inputs'!$B$10)+'Inputs'!$B$7)/SQRT((((700-43)*MAX('Inputs'!$B$33,'Inputs'!$B$29+'Inputs'!$B$31+'Inputs'!$B$32,'Inputs'!$B$30+'Inputs'!$B$31+'Inputs'!$B$32)/1000+'Inputs'!$B$21+'Inputs'!$B$9+'Inputs'!$B$10)+'Inputs'!$B$7)^2+('Inputs'!$B$6/2)^2)-(((700-43)*MAX('Inputs'!$B$33,'Inputs'!$B$29+'Inputs'!$B$31+'Inputs'!$B$32,'Inputs'!$B$30+'Inputs'!$B$31+'Inputs'!$B$32)/1000+'Inputs'!$B$21+'Inputs'!$B$9+'Inputs'!$B$10))/SQRT((((700-43)*MAX('Inputs'!$B$33,'Inputs'!$B$29+'Inputs'!$B$31+'Inputs'!$B$32,'Inputs'!$B$30+'Inputs'!$B$31+'Inputs'!$B$32)/1000+'Inputs'!$B$21+'Inputs'!$B$9+'Inputs'!$B$10))^2+('Inputs'!$B$6/2)^2))))*'Results'!$B$8)-'Inputs'!$B$28*ABS((('Results'!C7*(1-'Inputs'!$B$24)*(0.5*((((700-43)*MAX('Inputs'!$B$33,'Inputs'!$B$29+'Inputs'!$B$31+'Inputs'!$B$32,'Inputs'!$B$30+'Inputs'!$B$31+'Inputs'!$B$32)/1000+'Inputs'!$B$21)+'Inputs'!$B$9)/SQRT((((700-43)*MAX('Inputs'!$B$33,'Inputs'!$B$29+'Inputs'!$B$31+'Inputs'!$B$32,'Inputs'!$B$30+'Inputs'!$B$31+'Inputs'!$B$32)/1000+'Inputs'!$B$21)+'Inputs'!$B$9)^2+('Inputs'!$B$8/2)^2)-(((700-43)*MAX('Inputs'!$B$33,'Inputs'!$B$29+'Inputs'!$B$31+'Inputs'!$B$32,'Inputs'!$B$30+'Inputs'!$B$31+'Inputs'!$B$32)/1000+'Inputs'!$B$21))/SQRT((((700-43)*MAX('Inputs'!$B$33,'Inputs'!$B$29+'Inputs'!$B$31+'Inputs'!$B$32,'Inputs'!$B$30+'Inputs'!$B$31+'Inputs'!$B$32)/1000+'Inputs'!$B$21))^2+('Inputs'!$B$8/2)^2)))-'Results'!B7*(1+'Inputs'!$B$24)*(0.5*((((700-43)*MAX('Inputs'!$B$33,'Inputs'!$B$29+'Inputs'!$B$31+'Inputs'!$B$32,'Inputs'!$B$30+'Inputs'!$B$31+'Inputs'!$B$32)/1000+'Inputs'!$B$21+'Inputs'!$B$9+'Inputs'!$B$10)+'Inputs'!$B$7)/SQRT((((700-43)*MAX('Inputs'!$B$33,'Inputs'!$B$29+'Inputs'!$B$31+'Inputs'!$B$32,'Inputs'!$B$30+'Inputs'!$B$31+'Inputs'!$B$32)/1000+'Inputs'!$B$21+'Inputs'!$B$9+'Inputs'!$B$10)+'Inputs'!$B$7)^2+('Inputs'!$B$6/2)^2)-(((700-43)*MAX('Inputs'!$B$33,'Inputs'!$B$29+'Inputs'!$B$31+'Inputs'!$B$32,'Inputs'!$B$30+'Inputs'!$B$31+'Inputs'!$B$32)/1000+'Inputs'!$B$21+'Inputs'!$B$9+'Inputs'!$B$10))/SQRT((((700-43)*MAX('Inputs'!$B$33,'Inputs'!$B$29+'Inputs'!$B$31+'Inputs'!$B$32,'Inputs'!$B$30+'Inputs'!$B$31+'Inputs'!$B$32)/1000+'Inputs'!$B$21+'Inputs'!$B$9+'Inputs'!$B$10))^2+('Inputs'!$B$6/2)^2))))*'Results'!$B$8))),"")</x:f>
        <x:v>1.2779600921943242</x:v>
      </x:c>
      <x:c r="O700" t="n">
        <x:f>IF(AND(ISNUMBER('Results'!C7),ISNUMBER('Results'!B7),ISNUMBER('Results'!$B$8),ISNUMBER('Inputs'!$B$6),ISNUMBER('Inputs'!$B$7),ISNUMBER('Inputs'!$B$8),ISNUMBER('Inputs'!$B$9),ISNUMBER('Inputs'!$B$10),ISNUMBER('Inputs'!$B$21),ISNUMBER('Inputs'!$B$24),ISNUMBER('Inputs'!$B$28)),((('Results'!C7*(1+'Inputs'!$B$24)*(0.5*((((700-43)*MAX('Inputs'!$B$33,'Inputs'!$B$29+'Inputs'!$B$31+'Inputs'!$B$32,'Inputs'!$B$30+'Inputs'!$B$31+'Inputs'!$B$32)/1000+'Inputs'!$B$21)+'Inputs'!$B$9)/SQRT((((700-43)*MAX('Inputs'!$B$33,'Inputs'!$B$29+'Inputs'!$B$31+'Inputs'!$B$32,'Inputs'!$B$30+'Inputs'!$B$31+'Inputs'!$B$32)/1000+'Inputs'!$B$21)+'Inputs'!$B$9)^2+('Inputs'!$B$8/2)^2)-(((700-43)*MAX('Inputs'!$B$33,'Inputs'!$B$29+'Inputs'!$B$31+'Inputs'!$B$32,'Inputs'!$B$30+'Inputs'!$B$31+'Inputs'!$B$32)/1000+'Inputs'!$B$21))/SQRT((((700-43)*MAX('Inputs'!$B$33,'Inputs'!$B$29+'Inputs'!$B$31+'Inputs'!$B$32,'Inputs'!$B$30+'Inputs'!$B$31+'Inputs'!$B$32)/1000+'Inputs'!$B$21))^2+('Inputs'!$B$8/2)^2)))-'Results'!B7*(1-'Inputs'!$B$24)*(0.5*((((700-43)*MAX('Inputs'!$B$33,'Inputs'!$B$29+'Inputs'!$B$31+'Inputs'!$B$32,'Inputs'!$B$30+'Inputs'!$B$31+'Inputs'!$B$32)/1000+'Inputs'!$B$21+'Inputs'!$B$9+'Inputs'!$B$10)+'Inputs'!$B$7)/SQRT((((700-43)*MAX('Inputs'!$B$33,'Inputs'!$B$29+'Inputs'!$B$31+'Inputs'!$B$32,'Inputs'!$B$30+'Inputs'!$B$31+'Inputs'!$B$32)/1000+'Inputs'!$B$21+'Inputs'!$B$9+'Inputs'!$B$10)+'Inputs'!$B$7)^2+('Inputs'!$B$6/2)^2)-(((700-43)*MAX('Inputs'!$B$33,'Inputs'!$B$29+'Inputs'!$B$31+'Inputs'!$B$32,'Inputs'!$B$30+'Inputs'!$B$31+'Inputs'!$B$32)/1000+'Inputs'!$B$21+'Inputs'!$B$9+'Inputs'!$B$10))/SQRT((((700-43)*MAX('Inputs'!$B$33,'Inputs'!$B$29+'Inputs'!$B$31+'Inputs'!$B$32,'Inputs'!$B$30+'Inputs'!$B$31+'Inputs'!$B$32)/1000+'Inputs'!$B$21+'Inputs'!$B$9+'Inputs'!$B$10))^2+('Inputs'!$B$6/2)^2))))*'Results'!$B$8)+'Inputs'!$B$28*ABS((('Results'!C7*(1+'Inputs'!$B$24)*(0.5*((((700-43)*MAX('Inputs'!$B$33,'Inputs'!$B$29+'Inputs'!$B$31+'Inputs'!$B$32,'Inputs'!$B$30+'Inputs'!$B$31+'Inputs'!$B$32)/1000+'Inputs'!$B$21)+'Inputs'!$B$9)/SQRT((((700-43)*MAX('Inputs'!$B$33,'Inputs'!$B$29+'Inputs'!$B$31+'Inputs'!$B$32,'Inputs'!$B$30+'Inputs'!$B$31+'Inputs'!$B$32)/1000+'Inputs'!$B$21)+'Inputs'!$B$9)^2+('Inputs'!$B$8/2)^2)-(((700-43)*MAX('Inputs'!$B$33,'Inputs'!$B$29+'Inputs'!$B$31+'Inputs'!$B$32,'Inputs'!$B$30+'Inputs'!$B$31+'Inputs'!$B$32)/1000+'Inputs'!$B$21))/SQRT((((700-43)*MAX('Inputs'!$B$33,'Inputs'!$B$29+'Inputs'!$B$31+'Inputs'!$B$32,'Inputs'!$B$30+'Inputs'!$B$31+'Inputs'!$B$32)/1000+'Inputs'!$B$21))^2+('Inputs'!$B$8/2)^2)))-'Results'!B7*(1-'Inputs'!$B$24)*(0.5*((((700-43)*MAX('Inputs'!$B$33,'Inputs'!$B$29+'Inputs'!$B$31+'Inputs'!$B$32,'Inputs'!$B$30+'Inputs'!$B$31+'Inputs'!$B$32)/1000+'Inputs'!$B$21+'Inputs'!$B$9+'Inputs'!$B$10)+'Inputs'!$B$7)/SQRT((((700-43)*MAX('Inputs'!$B$33,'Inputs'!$B$29+'Inputs'!$B$31+'Inputs'!$B$32,'Inputs'!$B$30+'Inputs'!$B$31+'Inputs'!$B$32)/1000+'Inputs'!$B$21+'Inputs'!$B$9+'Inputs'!$B$10)+'Inputs'!$B$7)^2+('Inputs'!$B$6/2)^2)-(((700-43)*MAX('Inputs'!$B$33,'Inputs'!$B$29+'Inputs'!$B$31+'Inputs'!$B$32,'Inputs'!$B$30+'Inputs'!$B$31+'Inputs'!$B$32)/1000+'Inputs'!$B$21+'Inputs'!$B$9+'Inputs'!$B$10))/SQRT((((700-43)*MAX('Inputs'!$B$33,'Inputs'!$B$29+'Inputs'!$B$31+'Inputs'!$B$32,'Inputs'!$B$30+'Inputs'!$B$31+'Inputs'!$B$32)/1000+'Inputs'!$B$21+'Inputs'!$B$9+'Inputs'!$B$10))^2+('Inputs'!$B$6/2)^2))))*'Results'!$B$8))),"")</x:f>
        <x:v>1.696989270243781</x:v>
      </x:c>
      <x:c r="P700" t="n">
        <x:f>IF(AND(MAX(J700,J699)&gt;0,J700&gt;J699+0.00000001),1,0)</x:f>
        <x:v>0</x:v>
      </x:c>
      <x:c r="Q700" t="n">
        <x:f>IF(AND(MAX(K700,K699)&gt;0,K700&gt;K699+0.00000001),1,0)</x:f>
        <x:v>0</x:v>
      </x:c>
      <x:c r="R700" t="n">
        <x:f>IF(AND(MAX(L700,L699)&gt;0,L700&gt;L699+0.00000001),1,0)</x:f>
        <x:v>0</x:v>
      </x:c>
      <x:c r="S700" t="n">
        <x:f>IF(AND(MAX(M700,M699)&gt;0,M700&gt;M699+0.00000001),1,0)</x:f>
        <x:v>0</x:v>
      </x:c>
      <x:c r="T700" t="n">
        <x:f>IF(AND(MAX(N700,N699)&gt;0,N700&gt;N699+0.00000001),1,0)</x:f>
        <x:v>0</x:v>
      </x:c>
      <x:c r="U700" t="n">
        <x:f>IF(AND(MAX(O700,O699)&gt;0,O700&gt;O699+0.00000001),1,0)</x:f>
        <x:v>0</x:v>
      </x:c>
    </x:row>
    <x:row r="701">
      <x:c r="J701" t="n">
        <x:f>IF(AND(ISNUMBER('Results'!B7),ISNUMBER('Results'!C7),ISNUMBER('Results'!$B$8),ISNUMBER('Inputs'!$B$6),ISNUMBER('Inputs'!$B$7),ISNUMBER('Inputs'!$B$8),ISNUMBER('Inputs'!$B$9),ISNUMBER('Inputs'!$B$10),ISNUMBER('Inputs'!$B$21),ISNUMBER('Inputs'!$B$24),ISNUMBER('Inputs'!$B$28)),(('Results'!B7*(0.5*((((701-43)*MAX('Inputs'!$B$33,'Inputs'!$B$29+'Inputs'!$B$31+'Inputs'!$B$32,'Inputs'!$B$30+'Inputs'!$B$31+'Inputs'!$B$32)/1000+'Inputs'!$B$21)+'Inputs'!$B$7)/SQRT((((701-43)*MAX('Inputs'!$B$33,'Inputs'!$B$29+'Inputs'!$B$31+'Inputs'!$B$32,'Inputs'!$B$30+'Inputs'!$B$31+'Inputs'!$B$32)/1000+'Inputs'!$B$21)+'Inputs'!$B$7)^2+('Inputs'!$B$6/2)^2)-(((701-43)*MAX('Inputs'!$B$33,'Inputs'!$B$29+'Inputs'!$B$31+'Inputs'!$B$32,'Inputs'!$B$30+'Inputs'!$B$31+'Inputs'!$B$32)/1000+'Inputs'!$B$21))/SQRT((((701-43)*MAX('Inputs'!$B$33,'Inputs'!$B$29+'Inputs'!$B$31+'Inputs'!$B$32,'Inputs'!$B$30+'Inputs'!$B$31+'Inputs'!$B$32)/1000+'Inputs'!$B$21))^2+('Inputs'!$B$6/2)^2)))-'Results'!C7*(0.5*((((701-43)*MAX('Inputs'!$B$33,'Inputs'!$B$29+'Inputs'!$B$31+'Inputs'!$B$32,'Inputs'!$B$30+'Inputs'!$B$31+'Inputs'!$B$32)/1000+'Inputs'!$B$21+'Inputs'!$B$7+'Inputs'!$B$10)+'Inputs'!$B$9)/SQRT((((701-43)*MAX('Inputs'!$B$33,'Inputs'!$B$29+'Inputs'!$B$31+'Inputs'!$B$32,'Inputs'!$B$30+'Inputs'!$B$31+'Inputs'!$B$32)/1000+'Inputs'!$B$21+'Inputs'!$B$7+'Inputs'!$B$10)+'Inputs'!$B$9)^2+('Inputs'!$B$8/2)^2)-(((701-43)*MAX('Inputs'!$B$33,'Inputs'!$B$29+'Inputs'!$B$31+'Inputs'!$B$32,'Inputs'!$B$30+'Inputs'!$B$31+'Inputs'!$B$32)/1000+'Inputs'!$B$21+'Inputs'!$B$7+'Inputs'!$B$10))/SQRT((((701-43)*MAX('Inputs'!$B$33,'Inputs'!$B$29+'Inputs'!$B$31+'Inputs'!$B$32,'Inputs'!$B$30+'Inputs'!$B$31+'Inputs'!$B$32)/1000+'Inputs'!$B$21+'Inputs'!$B$7+'Inputs'!$B$10))^2+('Inputs'!$B$8/2)^2))))*'Results'!$B$8),"")</x:f>
        <x:v>1.609200575582058</x:v>
      </x:c>
      <x:c r="K701" t="n">
        <x:f>IF(AND(ISNUMBER('Results'!B7),ISNUMBER('Results'!C7),ISNUMBER('Results'!$B$8),ISNUMBER('Inputs'!$B$6),ISNUMBER('Inputs'!$B$7),ISNUMBER('Inputs'!$B$8),ISNUMBER('Inputs'!$B$9),ISNUMBER('Inputs'!$B$10),ISNUMBER('Inputs'!$B$21),ISNUMBER('Inputs'!$B$24),ISNUMBER('Inputs'!$B$28)),((('Results'!B7*(1-'Inputs'!$B$24)*(0.5*((((701-43)*MAX('Inputs'!$B$33,'Inputs'!$B$29+'Inputs'!$B$31+'Inputs'!$B$32,'Inputs'!$B$30+'Inputs'!$B$31+'Inputs'!$B$32)/1000+'Inputs'!$B$21)+'Inputs'!$B$7)/SQRT((((701-43)*MAX('Inputs'!$B$33,'Inputs'!$B$29+'Inputs'!$B$31+'Inputs'!$B$32,'Inputs'!$B$30+'Inputs'!$B$31+'Inputs'!$B$32)/1000+'Inputs'!$B$21)+'Inputs'!$B$7)^2+('Inputs'!$B$6/2)^2)-(((701-43)*MAX('Inputs'!$B$33,'Inputs'!$B$29+'Inputs'!$B$31+'Inputs'!$B$32,'Inputs'!$B$30+'Inputs'!$B$31+'Inputs'!$B$32)/1000+'Inputs'!$B$21))/SQRT((((701-43)*MAX('Inputs'!$B$33,'Inputs'!$B$29+'Inputs'!$B$31+'Inputs'!$B$32,'Inputs'!$B$30+'Inputs'!$B$31+'Inputs'!$B$32)/1000+'Inputs'!$B$21))^2+('Inputs'!$B$6/2)^2)))-'Results'!C7*(1+'Inputs'!$B$24)*(0.5*((((701-43)*MAX('Inputs'!$B$33,'Inputs'!$B$29+'Inputs'!$B$31+'Inputs'!$B$32,'Inputs'!$B$30+'Inputs'!$B$31+'Inputs'!$B$32)/1000+'Inputs'!$B$21+'Inputs'!$B$7+'Inputs'!$B$10)+'Inputs'!$B$9)/SQRT((((701-43)*MAX('Inputs'!$B$33,'Inputs'!$B$29+'Inputs'!$B$31+'Inputs'!$B$32,'Inputs'!$B$30+'Inputs'!$B$31+'Inputs'!$B$32)/1000+'Inputs'!$B$21+'Inputs'!$B$7+'Inputs'!$B$10)+'Inputs'!$B$9)^2+('Inputs'!$B$8/2)^2)-(((701-43)*MAX('Inputs'!$B$33,'Inputs'!$B$29+'Inputs'!$B$31+'Inputs'!$B$32,'Inputs'!$B$30+'Inputs'!$B$31+'Inputs'!$B$32)/1000+'Inputs'!$B$21+'Inputs'!$B$7+'Inputs'!$B$10))/SQRT((((701-43)*MAX('Inputs'!$B$33,'Inputs'!$B$29+'Inputs'!$B$31+'Inputs'!$B$32,'Inputs'!$B$30+'Inputs'!$B$31+'Inputs'!$B$32)/1000+'Inputs'!$B$21+'Inputs'!$B$7+'Inputs'!$B$10))^2+('Inputs'!$B$8/2)^2))))*'Results'!$B$8)-'Inputs'!$B$28*ABS((('Results'!B7*(1-'Inputs'!$B$24)*(0.5*((((701-43)*MAX('Inputs'!$B$33,'Inputs'!$B$29+'Inputs'!$B$31+'Inputs'!$B$32,'Inputs'!$B$30+'Inputs'!$B$31+'Inputs'!$B$32)/1000+'Inputs'!$B$21)+'Inputs'!$B$7)/SQRT((((701-43)*MAX('Inputs'!$B$33,'Inputs'!$B$29+'Inputs'!$B$31+'Inputs'!$B$32,'Inputs'!$B$30+'Inputs'!$B$31+'Inputs'!$B$32)/1000+'Inputs'!$B$21)+'Inputs'!$B$7)^2+('Inputs'!$B$6/2)^2)-(((701-43)*MAX('Inputs'!$B$33,'Inputs'!$B$29+'Inputs'!$B$31+'Inputs'!$B$32,'Inputs'!$B$30+'Inputs'!$B$31+'Inputs'!$B$32)/1000+'Inputs'!$B$21))/SQRT((((701-43)*MAX('Inputs'!$B$33,'Inputs'!$B$29+'Inputs'!$B$31+'Inputs'!$B$32,'Inputs'!$B$30+'Inputs'!$B$31+'Inputs'!$B$32)/1000+'Inputs'!$B$21))^2+('Inputs'!$B$6/2)^2)))-'Results'!C7*(1+'Inputs'!$B$24)*(0.5*((((701-43)*MAX('Inputs'!$B$33,'Inputs'!$B$29+'Inputs'!$B$31+'Inputs'!$B$32,'Inputs'!$B$30+'Inputs'!$B$31+'Inputs'!$B$32)/1000+'Inputs'!$B$21+'Inputs'!$B$7+'Inputs'!$B$10)+'Inputs'!$B$9)/SQRT((((701-43)*MAX('Inputs'!$B$33,'Inputs'!$B$29+'Inputs'!$B$31+'Inputs'!$B$32,'Inputs'!$B$30+'Inputs'!$B$31+'Inputs'!$B$32)/1000+'Inputs'!$B$21+'Inputs'!$B$7+'Inputs'!$B$10)+'Inputs'!$B$9)^2+('Inputs'!$B$8/2)^2)-(((701-43)*MAX('Inputs'!$B$33,'Inputs'!$B$29+'Inputs'!$B$31+'Inputs'!$B$32,'Inputs'!$B$30+'Inputs'!$B$31+'Inputs'!$B$32)/1000+'Inputs'!$B$21+'Inputs'!$B$7+'Inputs'!$B$10))/SQRT((((701-43)*MAX('Inputs'!$B$33,'Inputs'!$B$29+'Inputs'!$B$31+'Inputs'!$B$32,'Inputs'!$B$30+'Inputs'!$B$31+'Inputs'!$B$32)/1000+'Inputs'!$B$21+'Inputs'!$B$7+'Inputs'!$B$10))^2+('Inputs'!$B$8/2)^2))))*'Results'!$B$8))),"")</x:f>
        <x:v>1.399974133474039</x:v>
      </x:c>
      <x:c r="L701" t="n">
        <x:f>IF(AND(ISNUMBER('Results'!B7),ISNUMBER('Results'!C7),ISNUMBER('Results'!$B$8),ISNUMBER('Inputs'!$B$6),ISNUMBER('Inputs'!$B$7),ISNUMBER('Inputs'!$B$8),ISNUMBER('Inputs'!$B$9),ISNUMBER('Inputs'!$B$10),ISNUMBER('Inputs'!$B$21),ISNUMBER('Inputs'!$B$24),ISNUMBER('Inputs'!$B$28)),((('Results'!B7*(1+'Inputs'!$B$24)*(0.5*((((701-43)*MAX('Inputs'!$B$33,'Inputs'!$B$29+'Inputs'!$B$31+'Inputs'!$B$32,'Inputs'!$B$30+'Inputs'!$B$31+'Inputs'!$B$32)/1000+'Inputs'!$B$21)+'Inputs'!$B$7)/SQRT((((701-43)*MAX('Inputs'!$B$33,'Inputs'!$B$29+'Inputs'!$B$31+'Inputs'!$B$32,'Inputs'!$B$30+'Inputs'!$B$31+'Inputs'!$B$32)/1000+'Inputs'!$B$21)+'Inputs'!$B$7)^2+('Inputs'!$B$6/2)^2)-(((701-43)*MAX('Inputs'!$B$33,'Inputs'!$B$29+'Inputs'!$B$31+'Inputs'!$B$32,'Inputs'!$B$30+'Inputs'!$B$31+'Inputs'!$B$32)/1000+'Inputs'!$B$21))/SQRT((((701-43)*MAX('Inputs'!$B$33,'Inputs'!$B$29+'Inputs'!$B$31+'Inputs'!$B$32,'Inputs'!$B$30+'Inputs'!$B$31+'Inputs'!$B$32)/1000+'Inputs'!$B$21))^2+('Inputs'!$B$6/2)^2)))-'Results'!C7*(1-'Inputs'!$B$24)*(0.5*((((701-43)*MAX('Inputs'!$B$33,'Inputs'!$B$29+'Inputs'!$B$31+'Inputs'!$B$32,'Inputs'!$B$30+'Inputs'!$B$31+'Inputs'!$B$32)/1000+'Inputs'!$B$21+'Inputs'!$B$7+'Inputs'!$B$10)+'Inputs'!$B$9)/SQRT((((701-43)*MAX('Inputs'!$B$33,'Inputs'!$B$29+'Inputs'!$B$31+'Inputs'!$B$32,'Inputs'!$B$30+'Inputs'!$B$31+'Inputs'!$B$32)/1000+'Inputs'!$B$21+'Inputs'!$B$7+'Inputs'!$B$10)+'Inputs'!$B$9)^2+('Inputs'!$B$8/2)^2)-(((701-43)*MAX('Inputs'!$B$33,'Inputs'!$B$29+'Inputs'!$B$31+'Inputs'!$B$32,'Inputs'!$B$30+'Inputs'!$B$31+'Inputs'!$B$32)/1000+'Inputs'!$B$21+'Inputs'!$B$7+'Inputs'!$B$10))/SQRT((((701-43)*MAX('Inputs'!$B$33,'Inputs'!$B$29+'Inputs'!$B$31+'Inputs'!$B$32,'Inputs'!$B$30+'Inputs'!$B$31+'Inputs'!$B$32)/1000+'Inputs'!$B$21+'Inputs'!$B$7+'Inputs'!$B$10))^2+('Inputs'!$B$8/2)^2))))*'Results'!$B$8)+'Inputs'!$B$28*ABS((('Results'!B7*(1+'Inputs'!$B$24)*(0.5*((((701-43)*MAX('Inputs'!$B$33,'Inputs'!$B$29+'Inputs'!$B$31+'Inputs'!$B$32,'Inputs'!$B$30+'Inputs'!$B$31+'Inputs'!$B$32)/1000+'Inputs'!$B$21)+'Inputs'!$B$7)/SQRT((((701-43)*MAX('Inputs'!$B$33,'Inputs'!$B$29+'Inputs'!$B$31+'Inputs'!$B$32,'Inputs'!$B$30+'Inputs'!$B$31+'Inputs'!$B$32)/1000+'Inputs'!$B$21)+'Inputs'!$B$7)^2+('Inputs'!$B$6/2)^2)-(((701-43)*MAX('Inputs'!$B$33,'Inputs'!$B$29+'Inputs'!$B$31+'Inputs'!$B$32,'Inputs'!$B$30+'Inputs'!$B$31+'Inputs'!$B$32)/1000+'Inputs'!$B$21))/SQRT((((701-43)*MAX('Inputs'!$B$33,'Inputs'!$B$29+'Inputs'!$B$31+'Inputs'!$B$32,'Inputs'!$B$30+'Inputs'!$B$31+'Inputs'!$B$32)/1000+'Inputs'!$B$21))^2+('Inputs'!$B$6/2)^2)))-'Results'!C7*(1-'Inputs'!$B$24)*(0.5*((((701-43)*MAX('Inputs'!$B$33,'Inputs'!$B$29+'Inputs'!$B$31+'Inputs'!$B$32,'Inputs'!$B$30+'Inputs'!$B$31+'Inputs'!$B$32)/1000+'Inputs'!$B$21+'Inputs'!$B$7+'Inputs'!$B$10)+'Inputs'!$B$9)/SQRT((((701-43)*MAX('Inputs'!$B$33,'Inputs'!$B$29+'Inputs'!$B$31+'Inputs'!$B$32,'Inputs'!$B$30+'Inputs'!$B$31+'Inputs'!$B$32)/1000+'Inputs'!$B$21+'Inputs'!$B$7+'Inputs'!$B$10)+'Inputs'!$B$9)^2+('Inputs'!$B$8/2)^2)-(((701-43)*MAX('Inputs'!$B$33,'Inputs'!$B$29+'Inputs'!$B$31+'Inputs'!$B$32,'Inputs'!$B$30+'Inputs'!$B$31+'Inputs'!$B$32)/1000+'Inputs'!$B$21+'Inputs'!$B$7+'Inputs'!$B$10))/SQRT((((701-43)*MAX('Inputs'!$B$33,'Inputs'!$B$29+'Inputs'!$B$31+'Inputs'!$B$32,'Inputs'!$B$30+'Inputs'!$B$31+'Inputs'!$B$32)/1000+'Inputs'!$B$21+'Inputs'!$B$7+'Inputs'!$B$10))^2+('Inputs'!$B$8/2)^2))))*'Results'!$B$8))),"")</x:f>
        <x:v>1.8319813769878572</x:v>
      </x:c>
      <x:c r="M701" t="n">
        <x:f>IF(AND(ISNUMBER('Results'!C7),ISNUMBER('Results'!B7),ISNUMBER('Results'!$B$8),ISNUMBER('Inputs'!$B$6),ISNUMBER('Inputs'!$B$7),ISNUMBER('Inputs'!$B$8),ISNUMBER('Inputs'!$B$9),ISNUMBER('Inputs'!$B$10),ISNUMBER('Inputs'!$B$21),ISNUMBER('Inputs'!$B$24),ISNUMBER('Inputs'!$B$28)),(('Results'!C7*(0.5*((((701-43)*MAX('Inputs'!$B$33,'Inputs'!$B$29+'Inputs'!$B$31+'Inputs'!$B$32,'Inputs'!$B$30+'Inputs'!$B$31+'Inputs'!$B$32)/1000+'Inputs'!$B$21)+'Inputs'!$B$9)/SQRT((((701-43)*MAX('Inputs'!$B$33,'Inputs'!$B$29+'Inputs'!$B$31+'Inputs'!$B$32,'Inputs'!$B$30+'Inputs'!$B$31+'Inputs'!$B$32)/1000+'Inputs'!$B$21)+'Inputs'!$B$9)^2+('Inputs'!$B$8/2)^2)-(((701-43)*MAX('Inputs'!$B$33,'Inputs'!$B$29+'Inputs'!$B$31+'Inputs'!$B$32,'Inputs'!$B$30+'Inputs'!$B$31+'Inputs'!$B$32)/1000+'Inputs'!$B$21))/SQRT((((701-43)*MAX('Inputs'!$B$33,'Inputs'!$B$29+'Inputs'!$B$31+'Inputs'!$B$32,'Inputs'!$B$30+'Inputs'!$B$31+'Inputs'!$B$32)/1000+'Inputs'!$B$21))^2+('Inputs'!$B$8/2)^2)))-'Results'!B7*(0.5*((((701-43)*MAX('Inputs'!$B$33,'Inputs'!$B$29+'Inputs'!$B$31+'Inputs'!$B$32,'Inputs'!$B$30+'Inputs'!$B$31+'Inputs'!$B$32)/1000+'Inputs'!$B$21+'Inputs'!$B$9+'Inputs'!$B$10)+'Inputs'!$B$7)/SQRT((((701-43)*MAX('Inputs'!$B$33,'Inputs'!$B$29+'Inputs'!$B$31+'Inputs'!$B$32,'Inputs'!$B$30+'Inputs'!$B$31+'Inputs'!$B$32)/1000+'Inputs'!$B$21+'Inputs'!$B$9+'Inputs'!$B$10)+'Inputs'!$B$7)^2+('Inputs'!$B$6/2)^2)-(((701-43)*MAX('Inputs'!$B$33,'Inputs'!$B$29+'Inputs'!$B$31+'Inputs'!$B$32,'Inputs'!$B$30+'Inputs'!$B$31+'Inputs'!$B$32)/1000+'Inputs'!$B$21+'Inputs'!$B$9+'Inputs'!$B$10))/SQRT((((701-43)*MAX('Inputs'!$B$33,'Inputs'!$B$29+'Inputs'!$B$31+'Inputs'!$B$32,'Inputs'!$B$30+'Inputs'!$B$31+'Inputs'!$B$32)/1000+'Inputs'!$B$21+'Inputs'!$B$9+'Inputs'!$B$10))^2+('Inputs'!$B$6/2)^2))))*'Results'!$B$8),"")</x:f>
        <x:v>1.472602292997454</x:v>
      </x:c>
      <x:c r="N701" t="n">
        <x:f>IF(AND(ISNUMBER('Results'!C7),ISNUMBER('Results'!B7),ISNUMBER('Results'!$B$8),ISNUMBER('Inputs'!$B$6),ISNUMBER('Inputs'!$B$7),ISNUMBER('Inputs'!$B$8),ISNUMBER('Inputs'!$B$9),ISNUMBER('Inputs'!$B$10),ISNUMBER('Inputs'!$B$21),ISNUMBER('Inputs'!$B$24),ISNUMBER('Inputs'!$B$28)),((('Results'!C7*(1-'Inputs'!$B$24)*(0.5*((((701-43)*MAX('Inputs'!$B$33,'Inputs'!$B$29+'Inputs'!$B$31+'Inputs'!$B$32,'Inputs'!$B$30+'Inputs'!$B$31+'Inputs'!$B$32)/1000+'Inputs'!$B$21)+'Inputs'!$B$9)/SQRT((((701-43)*MAX('Inputs'!$B$33,'Inputs'!$B$29+'Inputs'!$B$31+'Inputs'!$B$32,'Inputs'!$B$30+'Inputs'!$B$31+'Inputs'!$B$32)/1000+'Inputs'!$B$21)+'Inputs'!$B$9)^2+('Inputs'!$B$8/2)^2)-(((701-43)*MAX('Inputs'!$B$33,'Inputs'!$B$29+'Inputs'!$B$31+'Inputs'!$B$32,'Inputs'!$B$30+'Inputs'!$B$31+'Inputs'!$B$32)/1000+'Inputs'!$B$21))/SQRT((((701-43)*MAX('Inputs'!$B$33,'Inputs'!$B$29+'Inputs'!$B$31+'Inputs'!$B$32,'Inputs'!$B$30+'Inputs'!$B$31+'Inputs'!$B$32)/1000+'Inputs'!$B$21))^2+('Inputs'!$B$8/2)^2)))-'Results'!B7*(1+'Inputs'!$B$24)*(0.5*((((701-43)*MAX('Inputs'!$B$33,'Inputs'!$B$29+'Inputs'!$B$31+'Inputs'!$B$32,'Inputs'!$B$30+'Inputs'!$B$31+'Inputs'!$B$32)/1000+'Inputs'!$B$21+'Inputs'!$B$9+'Inputs'!$B$10)+'Inputs'!$B$7)/SQRT((((701-43)*MAX('Inputs'!$B$33,'Inputs'!$B$29+'Inputs'!$B$31+'Inputs'!$B$32,'Inputs'!$B$30+'Inputs'!$B$31+'Inputs'!$B$32)/1000+'Inputs'!$B$21+'Inputs'!$B$9+'Inputs'!$B$10)+'Inputs'!$B$7)^2+('Inputs'!$B$6/2)^2)-(((701-43)*MAX('Inputs'!$B$33,'Inputs'!$B$29+'Inputs'!$B$31+'Inputs'!$B$32,'Inputs'!$B$30+'Inputs'!$B$31+'Inputs'!$B$32)/1000+'Inputs'!$B$21+'Inputs'!$B$9+'Inputs'!$B$10))/SQRT((((701-43)*MAX('Inputs'!$B$33,'Inputs'!$B$29+'Inputs'!$B$31+'Inputs'!$B$32,'Inputs'!$B$30+'Inputs'!$B$31+'Inputs'!$B$32)/1000+'Inputs'!$B$21+'Inputs'!$B$9+'Inputs'!$B$10))^2+('Inputs'!$B$6/2)^2))))*'Results'!$B$8)-'Inputs'!$B$28*ABS((('Results'!C7*(1-'Inputs'!$B$24)*(0.5*((((701-43)*MAX('Inputs'!$B$33,'Inputs'!$B$29+'Inputs'!$B$31+'Inputs'!$B$32,'Inputs'!$B$30+'Inputs'!$B$31+'Inputs'!$B$32)/1000+'Inputs'!$B$21)+'Inputs'!$B$9)/SQRT((((701-43)*MAX('Inputs'!$B$33,'Inputs'!$B$29+'Inputs'!$B$31+'Inputs'!$B$32,'Inputs'!$B$30+'Inputs'!$B$31+'Inputs'!$B$32)/1000+'Inputs'!$B$21)+'Inputs'!$B$9)^2+('Inputs'!$B$8/2)^2)-(((701-43)*MAX('Inputs'!$B$33,'Inputs'!$B$29+'Inputs'!$B$31+'Inputs'!$B$32,'Inputs'!$B$30+'Inputs'!$B$31+'Inputs'!$B$32)/1000+'Inputs'!$B$21))/SQRT((((701-43)*MAX('Inputs'!$B$33,'Inputs'!$B$29+'Inputs'!$B$31+'Inputs'!$B$32,'Inputs'!$B$30+'Inputs'!$B$31+'Inputs'!$B$32)/1000+'Inputs'!$B$21))^2+('Inputs'!$B$8/2)^2)))-'Results'!B7*(1+'Inputs'!$B$24)*(0.5*((((701-43)*MAX('Inputs'!$B$33,'Inputs'!$B$29+'Inputs'!$B$31+'Inputs'!$B$32,'Inputs'!$B$30+'Inputs'!$B$31+'Inputs'!$B$32)/1000+'Inputs'!$B$21+'Inputs'!$B$9+'Inputs'!$B$10)+'Inputs'!$B$7)/SQRT((((701-43)*MAX('Inputs'!$B$33,'Inputs'!$B$29+'Inputs'!$B$31+'Inputs'!$B$32,'Inputs'!$B$30+'Inputs'!$B$31+'Inputs'!$B$32)/1000+'Inputs'!$B$21+'Inputs'!$B$9+'Inputs'!$B$10)+'Inputs'!$B$7)^2+('Inputs'!$B$6/2)^2)-(((701-43)*MAX('Inputs'!$B$33,'Inputs'!$B$29+'Inputs'!$B$31+'Inputs'!$B$32,'Inputs'!$B$30+'Inputs'!$B$31+'Inputs'!$B$32)/1000+'Inputs'!$B$21+'Inputs'!$B$9+'Inputs'!$B$10))/SQRT((((701-43)*MAX('Inputs'!$B$33,'Inputs'!$B$29+'Inputs'!$B$31+'Inputs'!$B$32,'Inputs'!$B$30+'Inputs'!$B$31+'Inputs'!$B$32)/1000+'Inputs'!$B$21+'Inputs'!$B$9+'Inputs'!$B$10))^2+('Inputs'!$B$6/2)^2))))*'Results'!$B$8))),"")</x:f>
        <x:v>1.2707972221348578</x:v>
      </x:c>
      <x:c r="O701" t="n">
        <x:f>IF(AND(ISNUMBER('Results'!C7),ISNUMBER('Results'!B7),ISNUMBER('Results'!$B$8),ISNUMBER('Inputs'!$B$6),ISNUMBER('Inputs'!$B$7),ISNUMBER('Inputs'!$B$8),ISNUMBER('Inputs'!$B$9),ISNUMBER('Inputs'!$B$10),ISNUMBER('Inputs'!$B$21),ISNUMBER('Inputs'!$B$24),ISNUMBER('Inputs'!$B$28)),((('Results'!C7*(1+'Inputs'!$B$24)*(0.5*((((701-43)*MAX('Inputs'!$B$33,'Inputs'!$B$29+'Inputs'!$B$31+'Inputs'!$B$32,'Inputs'!$B$30+'Inputs'!$B$31+'Inputs'!$B$32)/1000+'Inputs'!$B$21)+'Inputs'!$B$9)/SQRT((((701-43)*MAX('Inputs'!$B$33,'Inputs'!$B$29+'Inputs'!$B$31+'Inputs'!$B$32,'Inputs'!$B$30+'Inputs'!$B$31+'Inputs'!$B$32)/1000+'Inputs'!$B$21)+'Inputs'!$B$9)^2+('Inputs'!$B$8/2)^2)-(((701-43)*MAX('Inputs'!$B$33,'Inputs'!$B$29+'Inputs'!$B$31+'Inputs'!$B$32,'Inputs'!$B$30+'Inputs'!$B$31+'Inputs'!$B$32)/1000+'Inputs'!$B$21))/SQRT((((701-43)*MAX('Inputs'!$B$33,'Inputs'!$B$29+'Inputs'!$B$31+'Inputs'!$B$32,'Inputs'!$B$30+'Inputs'!$B$31+'Inputs'!$B$32)/1000+'Inputs'!$B$21))^2+('Inputs'!$B$8/2)^2)))-'Results'!B7*(1-'Inputs'!$B$24)*(0.5*((((701-43)*MAX('Inputs'!$B$33,'Inputs'!$B$29+'Inputs'!$B$31+'Inputs'!$B$32,'Inputs'!$B$30+'Inputs'!$B$31+'Inputs'!$B$32)/1000+'Inputs'!$B$21+'Inputs'!$B$9+'Inputs'!$B$10)+'Inputs'!$B$7)/SQRT((((701-43)*MAX('Inputs'!$B$33,'Inputs'!$B$29+'Inputs'!$B$31+'Inputs'!$B$32,'Inputs'!$B$30+'Inputs'!$B$31+'Inputs'!$B$32)/1000+'Inputs'!$B$21+'Inputs'!$B$9+'Inputs'!$B$10)+'Inputs'!$B$7)^2+('Inputs'!$B$6/2)^2)-(((701-43)*MAX('Inputs'!$B$33,'Inputs'!$B$29+'Inputs'!$B$31+'Inputs'!$B$32,'Inputs'!$B$30+'Inputs'!$B$31+'Inputs'!$B$32)/1000+'Inputs'!$B$21+'Inputs'!$B$9+'Inputs'!$B$10))/SQRT((((701-43)*MAX('Inputs'!$B$33,'Inputs'!$B$29+'Inputs'!$B$31+'Inputs'!$B$32,'Inputs'!$B$30+'Inputs'!$B$31+'Inputs'!$B$32)/1000+'Inputs'!$B$21+'Inputs'!$B$9+'Inputs'!$B$10))^2+('Inputs'!$B$6/2)^2))))*'Results'!$B$8)+'Inputs'!$B$28*ABS((('Results'!C7*(1+'Inputs'!$B$24)*(0.5*((((701-43)*MAX('Inputs'!$B$33,'Inputs'!$B$29+'Inputs'!$B$31+'Inputs'!$B$32,'Inputs'!$B$30+'Inputs'!$B$31+'Inputs'!$B$32)/1000+'Inputs'!$B$21)+'Inputs'!$B$9)/SQRT((((701-43)*MAX('Inputs'!$B$33,'Inputs'!$B$29+'Inputs'!$B$31+'Inputs'!$B$32,'Inputs'!$B$30+'Inputs'!$B$31+'Inputs'!$B$32)/1000+'Inputs'!$B$21)+'Inputs'!$B$9)^2+('Inputs'!$B$8/2)^2)-(((701-43)*MAX('Inputs'!$B$33,'Inputs'!$B$29+'Inputs'!$B$31+'Inputs'!$B$32,'Inputs'!$B$30+'Inputs'!$B$31+'Inputs'!$B$32)/1000+'Inputs'!$B$21))/SQRT((((701-43)*MAX('Inputs'!$B$33,'Inputs'!$B$29+'Inputs'!$B$31+'Inputs'!$B$32,'Inputs'!$B$30+'Inputs'!$B$31+'Inputs'!$B$32)/1000+'Inputs'!$B$21))^2+('Inputs'!$B$8/2)^2)))-'Results'!B7*(1-'Inputs'!$B$24)*(0.5*((((701-43)*MAX('Inputs'!$B$33,'Inputs'!$B$29+'Inputs'!$B$31+'Inputs'!$B$32,'Inputs'!$B$30+'Inputs'!$B$31+'Inputs'!$B$32)/1000+'Inputs'!$B$21+'Inputs'!$B$9+'Inputs'!$B$10)+'Inputs'!$B$7)/SQRT((((701-43)*MAX('Inputs'!$B$33,'Inputs'!$B$29+'Inputs'!$B$31+'Inputs'!$B$32,'Inputs'!$B$30+'Inputs'!$B$31+'Inputs'!$B$32)/1000+'Inputs'!$B$21+'Inputs'!$B$9+'Inputs'!$B$10)+'Inputs'!$B$7)^2+('Inputs'!$B$6/2)^2)-(((701-43)*MAX('Inputs'!$B$33,'Inputs'!$B$29+'Inputs'!$B$31+'Inputs'!$B$32,'Inputs'!$B$30+'Inputs'!$B$31+'Inputs'!$B$32)/1000+'Inputs'!$B$21+'Inputs'!$B$9+'Inputs'!$B$10))/SQRT((((701-43)*MAX('Inputs'!$B$33,'Inputs'!$B$29+'Inputs'!$B$31+'Inputs'!$B$32,'Inputs'!$B$30+'Inputs'!$B$31+'Inputs'!$B$32)/1000+'Inputs'!$B$21+'Inputs'!$B$9+'Inputs'!$B$10))^2+('Inputs'!$B$6/2)^2))))*'Results'!$B$8))),"")</x:f>
        <x:v>1.687899464514022</x:v>
      </x:c>
      <x:c r="P701" t="n">
        <x:f>IF(AND(MAX(J701,J700)&gt;0,J701&gt;J700+0.00000001),1,0)</x:f>
        <x:v>0</x:v>
      </x:c>
      <x:c r="Q701" t="n">
        <x:f>IF(AND(MAX(K701,K700)&gt;0,K701&gt;K700+0.00000001),1,0)</x:f>
        <x:v>0</x:v>
      </x:c>
      <x:c r="R701" t="n">
        <x:f>IF(AND(MAX(L701,L700)&gt;0,L701&gt;L700+0.00000001),1,0)</x:f>
        <x:v>0</x:v>
      </x:c>
      <x:c r="S701" t="n">
        <x:f>IF(AND(MAX(M701,M700)&gt;0,M701&gt;M700+0.00000001),1,0)</x:f>
        <x:v>0</x:v>
      </x:c>
      <x:c r="T701" t="n">
        <x:f>IF(AND(MAX(N701,N700)&gt;0,N701&gt;N700+0.00000001),1,0)</x:f>
        <x:v>0</x:v>
      </x:c>
      <x:c r="U701" t="n">
        <x:f>IF(AND(MAX(O701,O700)&gt;0,O701&gt;O700+0.00000001),1,0)</x:f>
        <x:v>0</x:v>
      </x:c>
    </x:row>
    <x:row r="702">
      <x:c r="J702" t="n">
        <x:f>IF(AND(ISNUMBER('Results'!B7),ISNUMBER('Results'!C7),ISNUMBER('Results'!$B$8),ISNUMBER('Inputs'!$B$6),ISNUMBER('Inputs'!$B$7),ISNUMBER('Inputs'!$B$8),ISNUMBER('Inputs'!$B$9),ISNUMBER('Inputs'!$B$10),ISNUMBER('Inputs'!$B$21),ISNUMBER('Inputs'!$B$24),ISNUMBER('Inputs'!$B$28)),(('Results'!B7*(0.5*((((702-43)*MAX('Inputs'!$B$33,'Inputs'!$B$29+'Inputs'!$B$31+'Inputs'!$B$32,'Inputs'!$B$30+'Inputs'!$B$31+'Inputs'!$B$32)/1000+'Inputs'!$B$21)+'Inputs'!$B$7)/SQRT((((702-43)*MAX('Inputs'!$B$33,'Inputs'!$B$29+'Inputs'!$B$31+'Inputs'!$B$32,'Inputs'!$B$30+'Inputs'!$B$31+'Inputs'!$B$32)/1000+'Inputs'!$B$21)+'Inputs'!$B$7)^2+('Inputs'!$B$6/2)^2)-(((702-43)*MAX('Inputs'!$B$33,'Inputs'!$B$29+'Inputs'!$B$31+'Inputs'!$B$32,'Inputs'!$B$30+'Inputs'!$B$31+'Inputs'!$B$32)/1000+'Inputs'!$B$21))/SQRT((((702-43)*MAX('Inputs'!$B$33,'Inputs'!$B$29+'Inputs'!$B$31+'Inputs'!$B$32,'Inputs'!$B$30+'Inputs'!$B$31+'Inputs'!$B$32)/1000+'Inputs'!$B$21))^2+('Inputs'!$B$6/2)^2)))-'Results'!C7*(0.5*((((702-43)*MAX('Inputs'!$B$33,'Inputs'!$B$29+'Inputs'!$B$31+'Inputs'!$B$32,'Inputs'!$B$30+'Inputs'!$B$31+'Inputs'!$B$32)/1000+'Inputs'!$B$21+'Inputs'!$B$7+'Inputs'!$B$10)+'Inputs'!$B$9)/SQRT((((702-43)*MAX('Inputs'!$B$33,'Inputs'!$B$29+'Inputs'!$B$31+'Inputs'!$B$32,'Inputs'!$B$30+'Inputs'!$B$31+'Inputs'!$B$32)/1000+'Inputs'!$B$21+'Inputs'!$B$7+'Inputs'!$B$10)+'Inputs'!$B$9)^2+('Inputs'!$B$8/2)^2)-(((702-43)*MAX('Inputs'!$B$33,'Inputs'!$B$29+'Inputs'!$B$31+'Inputs'!$B$32,'Inputs'!$B$30+'Inputs'!$B$31+'Inputs'!$B$32)/1000+'Inputs'!$B$21+'Inputs'!$B$7+'Inputs'!$B$10))/SQRT((((702-43)*MAX('Inputs'!$B$33,'Inputs'!$B$29+'Inputs'!$B$31+'Inputs'!$B$32,'Inputs'!$B$30+'Inputs'!$B$31+'Inputs'!$B$32)/1000+'Inputs'!$B$21+'Inputs'!$B$7+'Inputs'!$B$10))^2+('Inputs'!$B$8/2)^2))))*'Results'!$B$8),"")</x:f>
        <x:v>1.600594372588841</x:v>
      </x:c>
      <x:c r="K702" t="n">
        <x:f>IF(AND(ISNUMBER('Results'!B7),ISNUMBER('Results'!C7),ISNUMBER('Results'!$B$8),ISNUMBER('Inputs'!$B$6),ISNUMBER('Inputs'!$B$7),ISNUMBER('Inputs'!$B$8),ISNUMBER('Inputs'!$B$9),ISNUMBER('Inputs'!$B$10),ISNUMBER('Inputs'!$B$21),ISNUMBER('Inputs'!$B$24),ISNUMBER('Inputs'!$B$28)),((('Results'!B7*(1-'Inputs'!$B$24)*(0.5*((((702-43)*MAX('Inputs'!$B$33,'Inputs'!$B$29+'Inputs'!$B$31+'Inputs'!$B$32,'Inputs'!$B$30+'Inputs'!$B$31+'Inputs'!$B$32)/1000+'Inputs'!$B$21)+'Inputs'!$B$7)/SQRT((((702-43)*MAX('Inputs'!$B$33,'Inputs'!$B$29+'Inputs'!$B$31+'Inputs'!$B$32,'Inputs'!$B$30+'Inputs'!$B$31+'Inputs'!$B$32)/1000+'Inputs'!$B$21)+'Inputs'!$B$7)^2+('Inputs'!$B$6/2)^2)-(((702-43)*MAX('Inputs'!$B$33,'Inputs'!$B$29+'Inputs'!$B$31+'Inputs'!$B$32,'Inputs'!$B$30+'Inputs'!$B$31+'Inputs'!$B$32)/1000+'Inputs'!$B$21))/SQRT((((702-43)*MAX('Inputs'!$B$33,'Inputs'!$B$29+'Inputs'!$B$31+'Inputs'!$B$32,'Inputs'!$B$30+'Inputs'!$B$31+'Inputs'!$B$32)/1000+'Inputs'!$B$21))^2+('Inputs'!$B$6/2)^2)))-'Results'!C7*(1+'Inputs'!$B$24)*(0.5*((((702-43)*MAX('Inputs'!$B$33,'Inputs'!$B$29+'Inputs'!$B$31+'Inputs'!$B$32,'Inputs'!$B$30+'Inputs'!$B$31+'Inputs'!$B$32)/1000+'Inputs'!$B$21+'Inputs'!$B$7+'Inputs'!$B$10)+'Inputs'!$B$9)/SQRT((((702-43)*MAX('Inputs'!$B$33,'Inputs'!$B$29+'Inputs'!$B$31+'Inputs'!$B$32,'Inputs'!$B$30+'Inputs'!$B$31+'Inputs'!$B$32)/1000+'Inputs'!$B$21+'Inputs'!$B$7+'Inputs'!$B$10)+'Inputs'!$B$9)^2+('Inputs'!$B$8/2)^2)-(((702-43)*MAX('Inputs'!$B$33,'Inputs'!$B$29+'Inputs'!$B$31+'Inputs'!$B$32,'Inputs'!$B$30+'Inputs'!$B$31+'Inputs'!$B$32)/1000+'Inputs'!$B$21+'Inputs'!$B$7+'Inputs'!$B$10))/SQRT((((702-43)*MAX('Inputs'!$B$33,'Inputs'!$B$29+'Inputs'!$B$31+'Inputs'!$B$32,'Inputs'!$B$30+'Inputs'!$B$31+'Inputs'!$B$32)/1000+'Inputs'!$B$21+'Inputs'!$B$7+'Inputs'!$B$10))^2+('Inputs'!$B$8/2)^2))))*'Results'!$B$8)-'Inputs'!$B$28*ABS((('Results'!B7*(1-'Inputs'!$B$24)*(0.5*((((702-43)*MAX('Inputs'!$B$33,'Inputs'!$B$29+'Inputs'!$B$31+'Inputs'!$B$32,'Inputs'!$B$30+'Inputs'!$B$31+'Inputs'!$B$32)/1000+'Inputs'!$B$21)+'Inputs'!$B$7)/SQRT((((702-43)*MAX('Inputs'!$B$33,'Inputs'!$B$29+'Inputs'!$B$31+'Inputs'!$B$32,'Inputs'!$B$30+'Inputs'!$B$31+'Inputs'!$B$32)/1000+'Inputs'!$B$21)+'Inputs'!$B$7)^2+('Inputs'!$B$6/2)^2)-(((702-43)*MAX('Inputs'!$B$33,'Inputs'!$B$29+'Inputs'!$B$31+'Inputs'!$B$32,'Inputs'!$B$30+'Inputs'!$B$31+'Inputs'!$B$32)/1000+'Inputs'!$B$21))/SQRT((((702-43)*MAX('Inputs'!$B$33,'Inputs'!$B$29+'Inputs'!$B$31+'Inputs'!$B$32,'Inputs'!$B$30+'Inputs'!$B$31+'Inputs'!$B$32)/1000+'Inputs'!$B$21))^2+('Inputs'!$B$6/2)^2)))-'Results'!C7*(1+'Inputs'!$B$24)*(0.5*((((702-43)*MAX('Inputs'!$B$33,'Inputs'!$B$29+'Inputs'!$B$31+'Inputs'!$B$32,'Inputs'!$B$30+'Inputs'!$B$31+'Inputs'!$B$32)/1000+'Inputs'!$B$21+'Inputs'!$B$7+'Inputs'!$B$10)+'Inputs'!$B$9)/SQRT((((702-43)*MAX('Inputs'!$B$33,'Inputs'!$B$29+'Inputs'!$B$31+'Inputs'!$B$32,'Inputs'!$B$30+'Inputs'!$B$31+'Inputs'!$B$32)/1000+'Inputs'!$B$21+'Inputs'!$B$7+'Inputs'!$B$10)+'Inputs'!$B$9)^2+('Inputs'!$B$8/2)^2)-(((702-43)*MAX('Inputs'!$B$33,'Inputs'!$B$29+'Inputs'!$B$31+'Inputs'!$B$32,'Inputs'!$B$30+'Inputs'!$B$31+'Inputs'!$B$32)/1000+'Inputs'!$B$21+'Inputs'!$B$7+'Inputs'!$B$10))/SQRT((((702-43)*MAX('Inputs'!$B$33,'Inputs'!$B$29+'Inputs'!$B$31+'Inputs'!$B$32,'Inputs'!$B$30+'Inputs'!$B$31+'Inputs'!$B$32)/1000+'Inputs'!$B$21+'Inputs'!$B$7+'Inputs'!$B$10))^2+('Inputs'!$B$8/2)^2))))*'Results'!$B$8))),"")</x:f>
        <x:v>1.3923291360313723</x:v>
      </x:c>
      <x:c r="L702" t="n">
        <x:f>IF(AND(ISNUMBER('Results'!B7),ISNUMBER('Results'!C7),ISNUMBER('Results'!$B$8),ISNUMBER('Inputs'!$B$6),ISNUMBER('Inputs'!$B$7),ISNUMBER('Inputs'!$B$8),ISNUMBER('Inputs'!$B$9),ISNUMBER('Inputs'!$B$10),ISNUMBER('Inputs'!$B$21),ISNUMBER('Inputs'!$B$24),ISNUMBER('Inputs'!$B$28)),((('Results'!B7*(1+'Inputs'!$B$24)*(0.5*((((702-43)*MAX('Inputs'!$B$33,'Inputs'!$B$29+'Inputs'!$B$31+'Inputs'!$B$32,'Inputs'!$B$30+'Inputs'!$B$31+'Inputs'!$B$32)/1000+'Inputs'!$B$21)+'Inputs'!$B$7)/SQRT((((702-43)*MAX('Inputs'!$B$33,'Inputs'!$B$29+'Inputs'!$B$31+'Inputs'!$B$32,'Inputs'!$B$30+'Inputs'!$B$31+'Inputs'!$B$32)/1000+'Inputs'!$B$21)+'Inputs'!$B$7)^2+('Inputs'!$B$6/2)^2)-(((702-43)*MAX('Inputs'!$B$33,'Inputs'!$B$29+'Inputs'!$B$31+'Inputs'!$B$32,'Inputs'!$B$30+'Inputs'!$B$31+'Inputs'!$B$32)/1000+'Inputs'!$B$21))/SQRT((((702-43)*MAX('Inputs'!$B$33,'Inputs'!$B$29+'Inputs'!$B$31+'Inputs'!$B$32,'Inputs'!$B$30+'Inputs'!$B$31+'Inputs'!$B$32)/1000+'Inputs'!$B$21))^2+('Inputs'!$B$6/2)^2)))-'Results'!C7*(1-'Inputs'!$B$24)*(0.5*((((702-43)*MAX('Inputs'!$B$33,'Inputs'!$B$29+'Inputs'!$B$31+'Inputs'!$B$32,'Inputs'!$B$30+'Inputs'!$B$31+'Inputs'!$B$32)/1000+'Inputs'!$B$21+'Inputs'!$B$7+'Inputs'!$B$10)+'Inputs'!$B$9)/SQRT((((702-43)*MAX('Inputs'!$B$33,'Inputs'!$B$29+'Inputs'!$B$31+'Inputs'!$B$32,'Inputs'!$B$30+'Inputs'!$B$31+'Inputs'!$B$32)/1000+'Inputs'!$B$21+'Inputs'!$B$7+'Inputs'!$B$10)+'Inputs'!$B$9)^2+('Inputs'!$B$8/2)^2)-(((702-43)*MAX('Inputs'!$B$33,'Inputs'!$B$29+'Inputs'!$B$31+'Inputs'!$B$32,'Inputs'!$B$30+'Inputs'!$B$31+'Inputs'!$B$32)/1000+'Inputs'!$B$21+'Inputs'!$B$7+'Inputs'!$B$10))/SQRT((((702-43)*MAX('Inputs'!$B$33,'Inputs'!$B$29+'Inputs'!$B$31+'Inputs'!$B$32,'Inputs'!$B$30+'Inputs'!$B$31+'Inputs'!$B$32)/1000+'Inputs'!$B$21+'Inputs'!$B$7+'Inputs'!$B$10))^2+('Inputs'!$B$8/2)^2))))*'Results'!$B$8)+'Inputs'!$B$28*ABS((('Results'!B7*(1+'Inputs'!$B$24)*(0.5*((((702-43)*MAX('Inputs'!$B$33,'Inputs'!$B$29+'Inputs'!$B$31+'Inputs'!$B$32,'Inputs'!$B$30+'Inputs'!$B$31+'Inputs'!$B$32)/1000+'Inputs'!$B$21)+'Inputs'!$B$7)/SQRT((((702-43)*MAX('Inputs'!$B$33,'Inputs'!$B$29+'Inputs'!$B$31+'Inputs'!$B$32,'Inputs'!$B$30+'Inputs'!$B$31+'Inputs'!$B$32)/1000+'Inputs'!$B$21)+'Inputs'!$B$7)^2+('Inputs'!$B$6/2)^2)-(((702-43)*MAX('Inputs'!$B$33,'Inputs'!$B$29+'Inputs'!$B$31+'Inputs'!$B$32,'Inputs'!$B$30+'Inputs'!$B$31+'Inputs'!$B$32)/1000+'Inputs'!$B$21))/SQRT((((702-43)*MAX('Inputs'!$B$33,'Inputs'!$B$29+'Inputs'!$B$31+'Inputs'!$B$32,'Inputs'!$B$30+'Inputs'!$B$31+'Inputs'!$B$32)/1000+'Inputs'!$B$21))^2+('Inputs'!$B$6/2)^2)))-'Results'!C7*(1-'Inputs'!$B$24)*(0.5*((((702-43)*MAX('Inputs'!$B$33,'Inputs'!$B$29+'Inputs'!$B$31+'Inputs'!$B$32,'Inputs'!$B$30+'Inputs'!$B$31+'Inputs'!$B$32)/1000+'Inputs'!$B$21+'Inputs'!$B$7+'Inputs'!$B$10)+'Inputs'!$B$9)/SQRT((((702-43)*MAX('Inputs'!$B$33,'Inputs'!$B$29+'Inputs'!$B$31+'Inputs'!$B$32,'Inputs'!$B$30+'Inputs'!$B$31+'Inputs'!$B$32)/1000+'Inputs'!$B$21+'Inputs'!$B$7+'Inputs'!$B$10)+'Inputs'!$B$9)^2+('Inputs'!$B$8/2)^2)-(((702-43)*MAX('Inputs'!$B$33,'Inputs'!$B$29+'Inputs'!$B$31+'Inputs'!$B$32,'Inputs'!$B$30+'Inputs'!$B$31+'Inputs'!$B$32)/1000+'Inputs'!$B$21+'Inputs'!$B$7+'Inputs'!$B$10))/SQRT((((702-43)*MAX('Inputs'!$B$33,'Inputs'!$B$29+'Inputs'!$B$31+'Inputs'!$B$32,'Inputs'!$B$30+'Inputs'!$B$31+'Inputs'!$B$32)/1000+'Inputs'!$B$21+'Inputs'!$B$7+'Inputs'!$B$10))^2+('Inputs'!$B$8/2)^2))))*'Results'!$B$8))),"")</x:f>
        <x:v>1.8223580847176801</x:v>
      </x:c>
      <x:c r="M702" t="n">
        <x:f>IF(AND(ISNUMBER('Results'!C7),ISNUMBER('Results'!B7),ISNUMBER('Results'!$B$8),ISNUMBER('Inputs'!$B$6),ISNUMBER('Inputs'!$B$7),ISNUMBER('Inputs'!$B$8),ISNUMBER('Inputs'!$B$9),ISNUMBER('Inputs'!$B$10),ISNUMBER('Inputs'!$B$21),ISNUMBER('Inputs'!$B$24),ISNUMBER('Inputs'!$B$28)),(('Results'!C7*(0.5*((((702-43)*MAX('Inputs'!$B$33,'Inputs'!$B$29+'Inputs'!$B$31+'Inputs'!$B$32,'Inputs'!$B$30+'Inputs'!$B$31+'Inputs'!$B$32)/1000+'Inputs'!$B$21)+'Inputs'!$B$9)/SQRT((((702-43)*MAX('Inputs'!$B$33,'Inputs'!$B$29+'Inputs'!$B$31+'Inputs'!$B$32,'Inputs'!$B$30+'Inputs'!$B$31+'Inputs'!$B$32)/1000+'Inputs'!$B$21)+'Inputs'!$B$9)^2+('Inputs'!$B$8/2)^2)-(((702-43)*MAX('Inputs'!$B$33,'Inputs'!$B$29+'Inputs'!$B$31+'Inputs'!$B$32,'Inputs'!$B$30+'Inputs'!$B$31+'Inputs'!$B$32)/1000+'Inputs'!$B$21))/SQRT((((702-43)*MAX('Inputs'!$B$33,'Inputs'!$B$29+'Inputs'!$B$31+'Inputs'!$B$32,'Inputs'!$B$30+'Inputs'!$B$31+'Inputs'!$B$32)/1000+'Inputs'!$B$21))^2+('Inputs'!$B$8/2)^2)))-'Results'!B7*(0.5*((((702-43)*MAX('Inputs'!$B$33,'Inputs'!$B$29+'Inputs'!$B$31+'Inputs'!$B$32,'Inputs'!$B$30+'Inputs'!$B$31+'Inputs'!$B$32)/1000+'Inputs'!$B$21+'Inputs'!$B$9+'Inputs'!$B$10)+'Inputs'!$B$7)/SQRT((((702-43)*MAX('Inputs'!$B$33,'Inputs'!$B$29+'Inputs'!$B$31+'Inputs'!$B$32,'Inputs'!$B$30+'Inputs'!$B$31+'Inputs'!$B$32)/1000+'Inputs'!$B$21+'Inputs'!$B$9+'Inputs'!$B$10)+'Inputs'!$B$7)^2+('Inputs'!$B$6/2)^2)-(((702-43)*MAX('Inputs'!$B$33,'Inputs'!$B$29+'Inputs'!$B$31+'Inputs'!$B$32,'Inputs'!$B$30+'Inputs'!$B$31+'Inputs'!$B$32)/1000+'Inputs'!$B$21+'Inputs'!$B$9+'Inputs'!$B$10))/SQRT((((702-43)*MAX('Inputs'!$B$33,'Inputs'!$B$29+'Inputs'!$B$31+'Inputs'!$B$32,'Inputs'!$B$30+'Inputs'!$B$31+'Inputs'!$B$32)/1000+'Inputs'!$B$21+'Inputs'!$B$9+'Inputs'!$B$10))^2+('Inputs'!$B$6/2)^2))))*'Results'!$B$8),"")</x:f>
        <x:v>1.4645588733214356</x:v>
      </x:c>
      <x:c r="N702" t="n">
        <x:f>IF(AND(ISNUMBER('Results'!C7),ISNUMBER('Results'!B7),ISNUMBER('Results'!$B$8),ISNUMBER('Inputs'!$B$6),ISNUMBER('Inputs'!$B$7),ISNUMBER('Inputs'!$B$8),ISNUMBER('Inputs'!$B$9),ISNUMBER('Inputs'!$B$10),ISNUMBER('Inputs'!$B$21),ISNUMBER('Inputs'!$B$24),ISNUMBER('Inputs'!$B$28)),((('Results'!C7*(1-'Inputs'!$B$24)*(0.5*((((702-43)*MAX('Inputs'!$B$33,'Inputs'!$B$29+'Inputs'!$B$31+'Inputs'!$B$32,'Inputs'!$B$30+'Inputs'!$B$31+'Inputs'!$B$32)/1000+'Inputs'!$B$21)+'Inputs'!$B$9)/SQRT((((702-43)*MAX('Inputs'!$B$33,'Inputs'!$B$29+'Inputs'!$B$31+'Inputs'!$B$32,'Inputs'!$B$30+'Inputs'!$B$31+'Inputs'!$B$32)/1000+'Inputs'!$B$21)+'Inputs'!$B$9)^2+('Inputs'!$B$8/2)^2)-(((702-43)*MAX('Inputs'!$B$33,'Inputs'!$B$29+'Inputs'!$B$31+'Inputs'!$B$32,'Inputs'!$B$30+'Inputs'!$B$31+'Inputs'!$B$32)/1000+'Inputs'!$B$21))/SQRT((((702-43)*MAX('Inputs'!$B$33,'Inputs'!$B$29+'Inputs'!$B$31+'Inputs'!$B$32,'Inputs'!$B$30+'Inputs'!$B$31+'Inputs'!$B$32)/1000+'Inputs'!$B$21))^2+('Inputs'!$B$8/2)^2)))-'Results'!B7*(1+'Inputs'!$B$24)*(0.5*((((702-43)*MAX('Inputs'!$B$33,'Inputs'!$B$29+'Inputs'!$B$31+'Inputs'!$B$32,'Inputs'!$B$30+'Inputs'!$B$31+'Inputs'!$B$32)/1000+'Inputs'!$B$21+'Inputs'!$B$9+'Inputs'!$B$10)+'Inputs'!$B$7)/SQRT((((702-43)*MAX('Inputs'!$B$33,'Inputs'!$B$29+'Inputs'!$B$31+'Inputs'!$B$32,'Inputs'!$B$30+'Inputs'!$B$31+'Inputs'!$B$32)/1000+'Inputs'!$B$21+'Inputs'!$B$9+'Inputs'!$B$10)+'Inputs'!$B$7)^2+('Inputs'!$B$6/2)^2)-(((702-43)*MAX('Inputs'!$B$33,'Inputs'!$B$29+'Inputs'!$B$31+'Inputs'!$B$32,'Inputs'!$B$30+'Inputs'!$B$31+'Inputs'!$B$32)/1000+'Inputs'!$B$21+'Inputs'!$B$9+'Inputs'!$B$10))/SQRT((((702-43)*MAX('Inputs'!$B$33,'Inputs'!$B$29+'Inputs'!$B$31+'Inputs'!$B$32,'Inputs'!$B$30+'Inputs'!$B$31+'Inputs'!$B$32)/1000+'Inputs'!$B$21+'Inputs'!$B$9+'Inputs'!$B$10))^2+('Inputs'!$B$6/2)^2))))*'Results'!$B$8)-'Inputs'!$B$28*ABS((('Results'!C7*(1-'Inputs'!$B$24)*(0.5*((((702-43)*MAX('Inputs'!$B$33,'Inputs'!$B$29+'Inputs'!$B$31+'Inputs'!$B$32,'Inputs'!$B$30+'Inputs'!$B$31+'Inputs'!$B$32)/1000+'Inputs'!$B$21)+'Inputs'!$B$9)/SQRT((((702-43)*MAX('Inputs'!$B$33,'Inputs'!$B$29+'Inputs'!$B$31+'Inputs'!$B$32,'Inputs'!$B$30+'Inputs'!$B$31+'Inputs'!$B$32)/1000+'Inputs'!$B$21)+'Inputs'!$B$9)^2+('Inputs'!$B$8/2)^2)-(((702-43)*MAX('Inputs'!$B$33,'Inputs'!$B$29+'Inputs'!$B$31+'Inputs'!$B$32,'Inputs'!$B$30+'Inputs'!$B$31+'Inputs'!$B$32)/1000+'Inputs'!$B$21))/SQRT((((702-43)*MAX('Inputs'!$B$33,'Inputs'!$B$29+'Inputs'!$B$31+'Inputs'!$B$32,'Inputs'!$B$30+'Inputs'!$B$31+'Inputs'!$B$32)/1000+'Inputs'!$B$21))^2+('Inputs'!$B$8/2)^2)))-'Results'!B7*(1+'Inputs'!$B$24)*(0.5*((((702-43)*MAX('Inputs'!$B$33,'Inputs'!$B$29+'Inputs'!$B$31+'Inputs'!$B$32,'Inputs'!$B$30+'Inputs'!$B$31+'Inputs'!$B$32)/1000+'Inputs'!$B$21+'Inputs'!$B$9+'Inputs'!$B$10)+'Inputs'!$B$7)/SQRT((((702-43)*MAX('Inputs'!$B$33,'Inputs'!$B$29+'Inputs'!$B$31+'Inputs'!$B$32,'Inputs'!$B$30+'Inputs'!$B$31+'Inputs'!$B$32)/1000+'Inputs'!$B$21+'Inputs'!$B$9+'Inputs'!$B$10)+'Inputs'!$B$7)^2+('Inputs'!$B$6/2)^2)-(((702-43)*MAX('Inputs'!$B$33,'Inputs'!$B$29+'Inputs'!$B$31+'Inputs'!$B$32,'Inputs'!$B$30+'Inputs'!$B$31+'Inputs'!$B$32)/1000+'Inputs'!$B$21+'Inputs'!$B$9+'Inputs'!$B$10))/SQRT((((702-43)*MAX('Inputs'!$B$33,'Inputs'!$B$29+'Inputs'!$B$31+'Inputs'!$B$32,'Inputs'!$B$30+'Inputs'!$B$31+'Inputs'!$B$32)/1000+'Inputs'!$B$21+'Inputs'!$B$9+'Inputs'!$B$10))^2+('Inputs'!$B$6/2)^2))))*'Results'!$B$8))),"")</x:f>
        <x:v>1.2636836734614014</x:v>
      </x:c>
      <x:c r="O702" t="n">
        <x:f>IF(AND(ISNUMBER('Results'!C7),ISNUMBER('Results'!B7),ISNUMBER('Results'!$B$8),ISNUMBER('Inputs'!$B$6),ISNUMBER('Inputs'!$B$7),ISNUMBER('Inputs'!$B$8),ISNUMBER('Inputs'!$B$9),ISNUMBER('Inputs'!$B$10),ISNUMBER('Inputs'!$B$21),ISNUMBER('Inputs'!$B$24),ISNUMBER('Inputs'!$B$28)),((('Results'!C7*(1+'Inputs'!$B$24)*(0.5*((((702-43)*MAX('Inputs'!$B$33,'Inputs'!$B$29+'Inputs'!$B$31+'Inputs'!$B$32,'Inputs'!$B$30+'Inputs'!$B$31+'Inputs'!$B$32)/1000+'Inputs'!$B$21)+'Inputs'!$B$9)/SQRT((((702-43)*MAX('Inputs'!$B$33,'Inputs'!$B$29+'Inputs'!$B$31+'Inputs'!$B$32,'Inputs'!$B$30+'Inputs'!$B$31+'Inputs'!$B$32)/1000+'Inputs'!$B$21)+'Inputs'!$B$9)^2+('Inputs'!$B$8/2)^2)-(((702-43)*MAX('Inputs'!$B$33,'Inputs'!$B$29+'Inputs'!$B$31+'Inputs'!$B$32,'Inputs'!$B$30+'Inputs'!$B$31+'Inputs'!$B$32)/1000+'Inputs'!$B$21))/SQRT((((702-43)*MAX('Inputs'!$B$33,'Inputs'!$B$29+'Inputs'!$B$31+'Inputs'!$B$32,'Inputs'!$B$30+'Inputs'!$B$31+'Inputs'!$B$32)/1000+'Inputs'!$B$21))^2+('Inputs'!$B$8/2)^2)))-'Results'!B7*(1-'Inputs'!$B$24)*(0.5*((((702-43)*MAX('Inputs'!$B$33,'Inputs'!$B$29+'Inputs'!$B$31+'Inputs'!$B$32,'Inputs'!$B$30+'Inputs'!$B$31+'Inputs'!$B$32)/1000+'Inputs'!$B$21+'Inputs'!$B$9+'Inputs'!$B$10)+'Inputs'!$B$7)/SQRT((((702-43)*MAX('Inputs'!$B$33,'Inputs'!$B$29+'Inputs'!$B$31+'Inputs'!$B$32,'Inputs'!$B$30+'Inputs'!$B$31+'Inputs'!$B$32)/1000+'Inputs'!$B$21+'Inputs'!$B$9+'Inputs'!$B$10)+'Inputs'!$B$7)^2+('Inputs'!$B$6/2)^2)-(((702-43)*MAX('Inputs'!$B$33,'Inputs'!$B$29+'Inputs'!$B$31+'Inputs'!$B$32,'Inputs'!$B$30+'Inputs'!$B$31+'Inputs'!$B$32)/1000+'Inputs'!$B$21+'Inputs'!$B$9+'Inputs'!$B$10))/SQRT((((702-43)*MAX('Inputs'!$B$33,'Inputs'!$B$29+'Inputs'!$B$31+'Inputs'!$B$32,'Inputs'!$B$30+'Inputs'!$B$31+'Inputs'!$B$32)/1000+'Inputs'!$B$21+'Inputs'!$B$9+'Inputs'!$B$10))^2+('Inputs'!$B$6/2)^2))))*'Results'!$B$8)+'Inputs'!$B$28*ABS((('Results'!C7*(1+'Inputs'!$B$24)*(0.5*((((702-43)*MAX('Inputs'!$B$33,'Inputs'!$B$29+'Inputs'!$B$31+'Inputs'!$B$32,'Inputs'!$B$30+'Inputs'!$B$31+'Inputs'!$B$32)/1000+'Inputs'!$B$21)+'Inputs'!$B$9)/SQRT((((702-43)*MAX('Inputs'!$B$33,'Inputs'!$B$29+'Inputs'!$B$31+'Inputs'!$B$32,'Inputs'!$B$30+'Inputs'!$B$31+'Inputs'!$B$32)/1000+'Inputs'!$B$21)+'Inputs'!$B$9)^2+('Inputs'!$B$8/2)^2)-(((702-43)*MAX('Inputs'!$B$33,'Inputs'!$B$29+'Inputs'!$B$31+'Inputs'!$B$32,'Inputs'!$B$30+'Inputs'!$B$31+'Inputs'!$B$32)/1000+'Inputs'!$B$21))/SQRT((((702-43)*MAX('Inputs'!$B$33,'Inputs'!$B$29+'Inputs'!$B$31+'Inputs'!$B$32,'Inputs'!$B$30+'Inputs'!$B$31+'Inputs'!$B$32)/1000+'Inputs'!$B$21))^2+('Inputs'!$B$8/2)^2)))-'Results'!B7*(1-'Inputs'!$B$24)*(0.5*((((702-43)*MAX('Inputs'!$B$33,'Inputs'!$B$29+'Inputs'!$B$31+'Inputs'!$B$32,'Inputs'!$B$30+'Inputs'!$B$31+'Inputs'!$B$32)/1000+'Inputs'!$B$21+'Inputs'!$B$9+'Inputs'!$B$10)+'Inputs'!$B$7)/SQRT((((702-43)*MAX('Inputs'!$B$33,'Inputs'!$B$29+'Inputs'!$B$31+'Inputs'!$B$32,'Inputs'!$B$30+'Inputs'!$B$31+'Inputs'!$B$32)/1000+'Inputs'!$B$21+'Inputs'!$B$9+'Inputs'!$B$10)+'Inputs'!$B$7)^2+('Inputs'!$B$6/2)^2)-(((702-43)*MAX('Inputs'!$B$33,'Inputs'!$B$29+'Inputs'!$B$31+'Inputs'!$B$32,'Inputs'!$B$30+'Inputs'!$B$31+'Inputs'!$B$32)/1000+'Inputs'!$B$21+'Inputs'!$B$9+'Inputs'!$B$10))/SQRT((((702-43)*MAX('Inputs'!$B$33,'Inputs'!$B$29+'Inputs'!$B$31+'Inputs'!$B$32,'Inputs'!$B$30+'Inputs'!$B$31+'Inputs'!$B$32)/1000+'Inputs'!$B$21+'Inputs'!$B$9+'Inputs'!$B$10))^2+('Inputs'!$B$6/2)^2))))*'Results'!$B$8))),"")</x:f>
        <x:v>1.678870626465046</x:v>
      </x:c>
      <x:c r="P702" t="n">
        <x:f>IF(AND(MAX(J702,J701)&gt;0,J702&gt;J701+0.00000001),1,0)</x:f>
        <x:v>0</x:v>
      </x:c>
      <x:c r="Q702" t="n">
        <x:f>IF(AND(MAX(K702,K701)&gt;0,K702&gt;K701+0.00000001),1,0)</x:f>
        <x:v>0</x:v>
      </x:c>
      <x:c r="R702" t="n">
        <x:f>IF(AND(MAX(L702,L701)&gt;0,L702&gt;L701+0.00000001),1,0)</x:f>
        <x:v>0</x:v>
      </x:c>
      <x:c r="S702" t="n">
        <x:f>IF(AND(MAX(M702,M701)&gt;0,M702&gt;M701+0.00000001),1,0)</x:f>
        <x:v>0</x:v>
      </x:c>
      <x:c r="T702" t="n">
        <x:f>IF(AND(MAX(N702,N701)&gt;0,N702&gt;N701+0.00000001),1,0)</x:f>
        <x:v>0</x:v>
      </x:c>
      <x:c r="U702" t="n">
        <x:f>IF(AND(MAX(O702,O701)&gt;0,O702&gt;O701+0.00000001),1,0)</x:f>
        <x:v>0</x:v>
      </x:c>
    </x:row>
    <x:row r="703">
      <x:c r="J703" t="n">
        <x:f>IF(AND(ISNUMBER('Results'!B7),ISNUMBER('Results'!C7),ISNUMBER('Results'!$B$8),ISNUMBER('Inputs'!$B$6),ISNUMBER('Inputs'!$B$7),ISNUMBER('Inputs'!$B$8),ISNUMBER('Inputs'!$B$9),ISNUMBER('Inputs'!$B$10),ISNUMBER('Inputs'!$B$21),ISNUMBER('Inputs'!$B$24),ISNUMBER('Inputs'!$B$28)),(('Results'!B7*(0.5*((((703-43)*MAX('Inputs'!$B$33,'Inputs'!$B$29+'Inputs'!$B$31+'Inputs'!$B$32,'Inputs'!$B$30+'Inputs'!$B$31+'Inputs'!$B$32)/1000+'Inputs'!$B$21)+'Inputs'!$B$7)/SQRT((((703-43)*MAX('Inputs'!$B$33,'Inputs'!$B$29+'Inputs'!$B$31+'Inputs'!$B$32,'Inputs'!$B$30+'Inputs'!$B$31+'Inputs'!$B$32)/1000+'Inputs'!$B$21)+'Inputs'!$B$7)^2+('Inputs'!$B$6/2)^2)-(((703-43)*MAX('Inputs'!$B$33,'Inputs'!$B$29+'Inputs'!$B$31+'Inputs'!$B$32,'Inputs'!$B$30+'Inputs'!$B$31+'Inputs'!$B$32)/1000+'Inputs'!$B$21))/SQRT((((703-43)*MAX('Inputs'!$B$33,'Inputs'!$B$29+'Inputs'!$B$31+'Inputs'!$B$32,'Inputs'!$B$30+'Inputs'!$B$31+'Inputs'!$B$32)/1000+'Inputs'!$B$21))^2+('Inputs'!$B$6/2)^2)))-'Results'!C7*(0.5*((((703-43)*MAX('Inputs'!$B$33,'Inputs'!$B$29+'Inputs'!$B$31+'Inputs'!$B$32,'Inputs'!$B$30+'Inputs'!$B$31+'Inputs'!$B$32)/1000+'Inputs'!$B$21+'Inputs'!$B$7+'Inputs'!$B$10)+'Inputs'!$B$9)/SQRT((((703-43)*MAX('Inputs'!$B$33,'Inputs'!$B$29+'Inputs'!$B$31+'Inputs'!$B$32,'Inputs'!$B$30+'Inputs'!$B$31+'Inputs'!$B$32)/1000+'Inputs'!$B$21+'Inputs'!$B$7+'Inputs'!$B$10)+'Inputs'!$B$9)^2+('Inputs'!$B$8/2)^2)-(((703-43)*MAX('Inputs'!$B$33,'Inputs'!$B$29+'Inputs'!$B$31+'Inputs'!$B$32,'Inputs'!$B$30+'Inputs'!$B$31+'Inputs'!$B$32)/1000+'Inputs'!$B$21+'Inputs'!$B$7+'Inputs'!$B$10))/SQRT((((703-43)*MAX('Inputs'!$B$33,'Inputs'!$B$29+'Inputs'!$B$31+'Inputs'!$B$32,'Inputs'!$B$30+'Inputs'!$B$31+'Inputs'!$B$32)/1000+'Inputs'!$B$21+'Inputs'!$B$7+'Inputs'!$B$10))^2+('Inputs'!$B$8/2)^2))))*'Results'!$B$8),"")</x:f>
        <x:v>1.5920458091392553</x:v>
      </x:c>
      <x:c r="K703" t="n">
        <x:f>IF(AND(ISNUMBER('Results'!B7),ISNUMBER('Results'!C7),ISNUMBER('Results'!$B$8),ISNUMBER('Inputs'!$B$6),ISNUMBER('Inputs'!$B$7),ISNUMBER('Inputs'!$B$8),ISNUMBER('Inputs'!$B$9),ISNUMBER('Inputs'!$B$10),ISNUMBER('Inputs'!$B$21),ISNUMBER('Inputs'!$B$24),ISNUMBER('Inputs'!$B$28)),((('Results'!B7*(1-'Inputs'!$B$24)*(0.5*((((703-43)*MAX('Inputs'!$B$33,'Inputs'!$B$29+'Inputs'!$B$31+'Inputs'!$B$32,'Inputs'!$B$30+'Inputs'!$B$31+'Inputs'!$B$32)/1000+'Inputs'!$B$21)+'Inputs'!$B$7)/SQRT((((703-43)*MAX('Inputs'!$B$33,'Inputs'!$B$29+'Inputs'!$B$31+'Inputs'!$B$32,'Inputs'!$B$30+'Inputs'!$B$31+'Inputs'!$B$32)/1000+'Inputs'!$B$21)+'Inputs'!$B$7)^2+('Inputs'!$B$6/2)^2)-(((703-43)*MAX('Inputs'!$B$33,'Inputs'!$B$29+'Inputs'!$B$31+'Inputs'!$B$32,'Inputs'!$B$30+'Inputs'!$B$31+'Inputs'!$B$32)/1000+'Inputs'!$B$21))/SQRT((((703-43)*MAX('Inputs'!$B$33,'Inputs'!$B$29+'Inputs'!$B$31+'Inputs'!$B$32,'Inputs'!$B$30+'Inputs'!$B$31+'Inputs'!$B$32)/1000+'Inputs'!$B$21))^2+('Inputs'!$B$6/2)^2)))-'Results'!C7*(1+'Inputs'!$B$24)*(0.5*((((703-43)*MAX('Inputs'!$B$33,'Inputs'!$B$29+'Inputs'!$B$31+'Inputs'!$B$32,'Inputs'!$B$30+'Inputs'!$B$31+'Inputs'!$B$32)/1000+'Inputs'!$B$21+'Inputs'!$B$7+'Inputs'!$B$10)+'Inputs'!$B$9)/SQRT((((703-43)*MAX('Inputs'!$B$33,'Inputs'!$B$29+'Inputs'!$B$31+'Inputs'!$B$32,'Inputs'!$B$30+'Inputs'!$B$31+'Inputs'!$B$32)/1000+'Inputs'!$B$21+'Inputs'!$B$7+'Inputs'!$B$10)+'Inputs'!$B$9)^2+('Inputs'!$B$8/2)^2)-(((703-43)*MAX('Inputs'!$B$33,'Inputs'!$B$29+'Inputs'!$B$31+'Inputs'!$B$32,'Inputs'!$B$30+'Inputs'!$B$31+'Inputs'!$B$32)/1000+'Inputs'!$B$21+'Inputs'!$B$7+'Inputs'!$B$10))/SQRT((((703-43)*MAX('Inputs'!$B$33,'Inputs'!$B$29+'Inputs'!$B$31+'Inputs'!$B$32,'Inputs'!$B$30+'Inputs'!$B$31+'Inputs'!$B$32)/1000+'Inputs'!$B$21+'Inputs'!$B$7+'Inputs'!$B$10))^2+('Inputs'!$B$8/2)^2))))*'Results'!$B$8)-'Inputs'!$B$28*ABS((('Results'!B7*(1-'Inputs'!$B$24)*(0.5*((((703-43)*MAX('Inputs'!$B$33,'Inputs'!$B$29+'Inputs'!$B$31+'Inputs'!$B$32,'Inputs'!$B$30+'Inputs'!$B$31+'Inputs'!$B$32)/1000+'Inputs'!$B$21)+'Inputs'!$B$7)/SQRT((((703-43)*MAX('Inputs'!$B$33,'Inputs'!$B$29+'Inputs'!$B$31+'Inputs'!$B$32,'Inputs'!$B$30+'Inputs'!$B$31+'Inputs'!$B$32)/1000+'Inputs'!$B$21)+'Inputs'!$B$7)^2+('Inputs'!$B$6/2)^2)-(((703-43)*MAX('Inputs'!$B$33,'Inputs'!$B$29+'Inputs'!$B$31+'Inputs'!$B$32,'Inputs'!$B$30+'Inputs'!$B$31+'Inputs'!$B$32)/1000+'Inputs'!$B$21))/SQRT((((703-43)*MAX('Inputs'!$B$33,'Inputs'!$B$29+'Inputs'!$B$31+'Inputs'!$B$32,'Inputs'!$B$30+'Inputs'!$B$31+'Inputs'!$B$32)/1000+'Inputs'!$B$21))^2+('Inputs'!$B$6/2)^2)))-'Results'!C7*(1+'Inputs'!$B$24)*(0.5*((((703-43)*MAX('Inputs'!$B$33,'Inputs'!$B$29+'Inputs'!$B$31+'Inputs'!$B$32,'Inputs'!$B$30+'Inputs'!$B$31+'Inputs'!$B$32)/1000+'Inputs'!$B$21+'Inputs'!$B$7+'Inputs'!$B$10)+'Inputs'!$B$9)/SQRT((((703-43)*MAX('Inputs'!$B$33,'Inputs'!$B$29+'Inputs'!$B$31+'Inputs'!$B$32,'Inputs'!$B$30+'Inputs'!$B$31+'Inputs'!$B$32)/1000+'Inputs'!$B$21+'Inputs'!$B$7+'Inputs'!$B$10)+'Inputs'!$B$9)^2+('Inputs'!$B$8/2)^2)-(((703-43)*MAX('Inputs'!$B$33,'Inputs'!$B$29+'Inputs'!$B$31+'Inputs'!$B$32,'Inputs'!$B$30+'Inputs'!$B$31+'Inputs'!$B$32)/1000+'Inputs'!$B$21+'Inputs'!$B$7+'Inputs'!$B$10))/SQRT((((703-43)*MAX('Inputs'!$B$33,'Inputs'!$B$29+'Inputs'!$B$31+'Inputs'!$B$32,'Inputs'!$B$30+'Inputs'!$B$31+'Inputs'!$B$32)/1000+'Inputs'!$B$21+'Inputs'!$B$7+'Inputs'!$B$10))^2+('Inputs'!$B$8/2)^2))))*'Results'!$B$8))),"")</x:f>
        <x:v>1.3847359747990113</x:v>
      </x:c>
      <x:c r="L703" t="n">
        <x:f>IF(AND(ISNUMBER('Results'!B7),ISNUMBER('Results'!C7),ISNUMBER('Results'!$B$8),ISNUMBER('Inputs'!$B$6),ISNUMBER('Inputs'!$B$7),ISNUMBER('Inputs'!$B$8),ISNUMBER('Inputs'!$B$9),ISNUMBER('Inputs'!$B$10),ISNUMBER('Inputs'!$B$21),ISNUMBER('Inputs'!$B$24),ISNUMBER('Inputs'!$B$28)),((('Results'!B7*(1+'Inputs'!$B$24)*(0.5*((((703-43)*MAX('Inputs'!$B$33,'Inputs'!$B$29+'Inputs'!$B$31+'Inputs'!$B$32,'Inputs'!$B$30+'Inputs'!$B$31+'Inputs'!$B$32)/1000+'Inputs'!$B$21)+'Inputs'!$B$7)/SQRT((((703-43)*MAX('Inputs'!$B$33,'Inputs'!$B$29+'Inputs'!$B$31+'Inputs'!$B$32,'Inputs'!$B$30+'Inputs'!$B$31+'Inputs'!$B$32)/1000+'Inputs'!$B$21)+'Inputs'!$B$7)^2+('Inputs'!$B$6/2)^2)-(((703-43)*MAX('Inputs'!$B$33,'Inputs'!$B$29+'Inputs'!$B$31+'Inputs'!$B$32,'Inputs'!$B$30+'Inputs'!$B$31+'Inputs'!$B$32)/1000+'Inputs'!$B$21))/SQRT((((703-43)*MAX('Inputs'!$B$33,'Inputs'!$B$29+'Inputs'!$B$31+'Inputs'!$B$32,'Inputs'!$B$30+'Inputs'!$B$31+'Inputs'!$B$32)/1000+'Inputs'!$B$21))^2+('Inputs'!$B$6/2)^2)))-'Results'!C7*(1-'Inputs'!$B$24)*(0.5*((((703-43)*MAX('Inputs'!$B$33,'Inputs'!$B$29+'Inputs'!$B$31+'Inputs'!$B$32,'Inputs'!$B$30+'Inputs'!$B$31+'Inputs'!$B$32)/1000+'Inputs'!$B$21+'Inputs'!$B$7+'Inputs'!$B$10)+'Inputs'!$B$9)/SQRT((((703-43)*MAX('Inputs'!$B$33,'Inputs'!$B$29+'Inputs'!$B$31+'Inputs'!$B$32,'Inputs'!$B$30+'Inputs'!$B$31+'Inputs'!$B$32)/1000+'Inputs'!$B$21+'Inputs'!$B$7+'Inputs'!$B$10)+'Inputs'!$B$9)^2+('Inputs'!$B$8/2)^2)-(((703-43)*MAX('Inputs'!$B$33,'Inputs'!$B$29+'Inputs'!$B$31+'Inputs'!$B$32,'Inputs'!$B$30+'Inputs'!$B$31+'Inputs'!$B$32)/1000+'Inputs'!$B$21+'Inputs'!$B$7+'Inputs'!$B$10))/SQRT((((703-43)*MAX('Inputs'!$B$33,'Inputs'!$B$29+'Inputs'!$B$31+'Inputs'!$B$32,'Inputs'!$B$30+'Inputs'!$B$31+'Inputs'!$B$32)/1000+'Inputs'!$B$21+'Inputs'!$B$7+'Inputs'!$B$10))^2+('Inputs'!$B$8/2)^2))))*'Results'!$B$8)+'Inputs'!$B$28*ABS((('Results'!B7*(1+'Inputs'!$B$24)*(0.5*((((703-43)*MAX('Inputs'!$B$33,'Inputs'!$B$29+'Inputs'!$B$31+'Inputs'!$B$32,'Inputs'!$B$30+'Inputs'!$B$31+'Inputs'!$B$32)/1000+'Inputs'!$B$21)+'Inputs'!$B$7)/SQRT((((703-43)*MAX('Inputs'!$B$33,'Inputs'!$B$29+'Inputs'!$B$31+'Inputs'!$B$32,'Inputs'!$B$30+'Inputs'!$B$31+'Inputs'!$B$32)/1000+'Inputs'!$B$21)+'Inputs'!$B$7)^2+('Inputs'!$B$6/2)^2)-(((703-43)*MAX('Inputs'!$B$33,'Inputs'!$B$29+'Inputs'!$B$31+'Inputs'!$B$32,'Inputs'!$B$30+'Inputs'!$B$31+'Inputs'!$B$32)/1000+'Inputs'!$B$21))/SQRT((((703-43)*MAX('Inputs'!$B$33,'Inputs'!$B$29+'Inputs'!$B$31+'Inputs'!$B$32,'Inputs'!$B$30+'Inputs'!$B$31+'Inputs'!$B$32)/1000+'Inputs'!$B$21))^2+('Inputs'!$B$6/2)^2)))-'Results'!C7*(1-'Inputs'!$B$24)*(0.5*((((703-43)*MAX('Inputs'!$B$33,'Inputs'!$B$29+'Inputs'!$B$31+'Inputs'!$B$32,'Inputs'!$B$30+'Inputs'!$B$31+'Inputs'!$B$32)/1000+'Inputs'!$B$21+'Inputs'!$B$7+'Inputs'!$B$10)+'Inputs'!$B$9)/SQRT((((703-43)*MAX('Inputs'!$B$33,'Inputs'!$B$29+'Inputs'!$B$31+'Inputs'!$B$32,'Inputs'!$B$30+'Inputs'!$B$31+'Inputs'!$B$32)/1000+'Inputs'!$B$21+'Inputs'!$B$7+'Inputs'!$B$10)+'Inputs'!$B$9)^2+('Inputs'!$B$8/2)^2)-(((703-43)*MAX('Inputs'!$B$33,'Inputs'!$B$29+'Inputs'!$B$31+'Inputs'!$B$32,'Inputs'!$B$30+'Inputs'!$B$31+'Inputs'!$B$32)/1000+'Inputs'!$B$21+'Inputs'!$B$7+'Inputs'!$B$10))/SQRT((((703-43)*MAX('Inputs'!$B$33,'Inputs'!$B$29+'Inputs'!$B$31+'Inputs'!$B$32,'Inputs'!$B$30+'Inputs'!$B$31+'Inputs'!$B$32)/1000+'Inputs'!$B$21+'Inputs'!$B$7+'Inputs'!$B$10))^2+('Inputs'!$B$8/2)^2))))*'Results'!$B$8))),"")</x:f>
        <x:v>1.8127985428356335</x:v>
      </x:c>
      <x:c r="M703" t="n">
        <x:f>IF(AND(ISNUMBER('Results'!C7),ISNUMBER('Results'!B7),ISNUMBER('Results'!$B$8),ISNUMBER('Inputs'!$B$6),ISNUMBER('Inputs'!$B$7),ISNUMBER('Inputs'!$B$8),ISNUMBER('Inputs'!$B$9),ISNUMBER('Inputs'!$B$10),ISNUMBER('Inputs'!$B$21),ISNUMBER('Inputs'!$B$24),ISNUMBER('Inputs'!$B$28)),(('Results'!C7*(0.5*((((703-43)*MAX('Inputs'!$B$33,'Inputs'!$B$29+'Inputs'!$B$31+'Inputs'!$B$32,'Inputs'!$B$30+'Inputs'!$B$31+'Inputs'!$B$32)/1000+'Inputs'!$B$21)+'Inputs'!$B$9)/SQRT((((703-43)*MAX('Inputs'!$B$33,'Inputs'!$B$29+'Inputs'!$B$31+'Inputs'!$B$32,'Inputs'!$B$30+'Inputs'!$B$31+'Inputs'!$B$32)/1000+'Inputs'!$B$21)+'Inputs'!$B$9)^2+('Inputs'!$B$8/2)^2)-(((703-43)*MAX('Inputs'!$B$33,'Inputs'!$B$29+'Inputs'!$B$31+'Inputs'!$B$32,'Inputs'!$B$30+'Inputs'!$B$31+'Inputs'!$B$32)/1000+'Inputs'!$B$21))/SQRT((((703-43)*MAX('Inputs'!$B$33,'Inputs'!$B$29+'Inputs'!$B$31+'Inputs'!$B$32,'Inputs'!$B$30+'Inputs'!$B$31+'Inputs'!$B$32)/1000+'Inputs'!$B$21))^2+('Inputs'!$B$8/2)^2)))-'Results'!B7*(0.5*((((703-43)*MAX('Inputs'!$B$33,'Inputs'!$B$29+'Inputs'!$B$31+'Inputs'!$B$32,'Inputs'!$B$30+'Inputs'!$B$31+'Inputs'!$B$32)/1000+'Inputs'!$B$21+'Inputs'!$B$9+'Inputs'!$B$10)+'Inputs'!$B$7)/SQRT((((703-43)*MAX('Inputs'!$B$33,'Inputs'!$B$29+'Inputs'!$B$31+'Inputs'!$B$32,'Inputs'!$B$30+'Inputs'!$B$31+'Inputs'!$B$32)/1000+'Inputs'!$B$21+'Inputs'!$B$9+'Inputs'!$B$10)+'Inputs'!$B$7)^2+('Inputs'!$B$6/2)^2)-(((703-43)*MAX('Inputs'!$B$33,'Inputs'!$B$29+'Inputs'!$B$31+'Inputs'!$B$32,'Inputs'!$B$30+'Inputs'!$B$31+'Inputs'!$B$32)/1000+'Inputs'!$B$21+'Inputs'!$B$9+'Inputs'!$B$10))/SQRT((((703-43)*MAX('Inputs'!$B$33,'Inputs'!$B$29+'Inputs'!$B$31+'Inputs'!$B$32,'Inputs'!$B$30+'Inputs'!$B$31+'Inputs'!$B$32)/1000+'Inputs'!$B$21+'Inputs'!$B$9+'Inputs'!$B$10))^2+('Inputs'!$B$6/2)^2))))*'Results'!$B$8),"")</x:f>
        <x:v>1.456569998461799</x:v>
      </x:c>
      <x:c r="N703" t="n">
        <x:f>IF(AND(ISNUMBER('Results'!C7),ISNUMBER('Results'!B7),ISNUMBER('Results'!$B$8),ISNUMBER('Inputs'!$B$6),ISNUMBER('Inputs'!$B$7),ISNUMBER('Inputs'!$B$8),ISNUMBER('Inputs'!$B$9),ISNUMBER('Inputs'!$B$10),ISNUMBER('Inputs'!$B$21),ISNUMBER('Inputs'!$B$24),ISNUMBER('Inputs'!$B$28)),((('Results'!C7*(1-'Inputs'!$B$24)*(0.5*((((703-43)*MAX('Inputs'!$B$33,'Inputs'!$B$29+'Inputs'!$B$31+'Inputs'!$B$32,'Inputs'!$B$30+'Inputs'!$B$31+'Inputs'!$B$32)/1000+'Inputs'!$B$21)+'Inputs'!$B$9)/SQRT((((703-43)*MAX('Inputs'!$B$33,'Inputs'!$B$29+'Inputs'!$B$31+'Inputs'!$B$32,'Inputs'!$B$30+'Inputs'!$B$31+'Inputs'!$B$32)/1000+'Inputs'!$B$21)+'Inputs'!$B$9)^2+('Inputs'!$B$8/2)^2)-(((703-43)*MAX('Inputs'!$B$33,'Inputs'!$B$29+'Inputs'!$B$31+'Inputs'!$B$32,'Inputs'!$B$30+'Inputs'!$B$31+'Inputs'!$B$32)/1000+'Inputs'!$B$21))/SQRT((((703-43)*MAX('Inputs'!$B$33,'Inputs'!$B$29+'Inputs'!$B$31+'Inputs'!$B$32,'Inputs'!$B$30+'Inputs'!$B$31+'Inputs'!$B$32)/1000+'Inputs'!$B$21))^2+('Inputs'!$B$8/2)^2)))-'Results'!B7*(1+'Inputs'!$B$24)*(0.5*((((703-43)*MAX('Inputs'!$B$33,'Inputs'!$B$29+'Inputs'!$B$31+'Inputs'!$B$32,'Inputs'!$B$30+'Inputs'!$B$31+'Inputs'!$B$32)/1000+'Inputs'!$B$21+'Inputs'!$B$9+'Inputs'!$B$10)+'Inputs'!$B$7)/SQRT((((703-43)*MAX('Inputs'!$B$33,'Inputs'!$B$29+'Inputs'!$B$31+'Inputs'!$B$32,'Inputs'!$B$30+'Inputs'!$B$31+'Inputs'!$B$32)/1000+'Inputs'!$B$21+'Inputs'!$B$9+'Inputs'!$B$10)+'Inputs'!$B$7)^2+('Inputs'!$B$6/2)^2)-(((703-43)*MAX('Inputs'!$B$33,'Inputs'!$B$29+'Inputs'!$B$31+'Inputs'!$B$32,'Inputs'!$B$30+'Inputs'!$B$31+'Inputs'!$B$32)/1000+'Inputs'!$B$21+'Inputs'!$B$9+'Inputs'!$B$10))/SQRT((((703-43)*MAX('Inputs'!$B$33,'Inputs'!$B$29+'Inputs'!$B$31+'Inputs'!$B$32,'Inputs'!$B$30+'Inputs'!$B$31+'Inputs'!$B$32)/1000+'Inputs'!$B$21+'Inputs'!$B$9+'Inputs'!$B$10))^2+('Inputs'!$B$6/2)^2))))*'Results'!$B$8)-'Inputs'!$B$28*ABS((('Results'!C7*(1-'Inputs'!$B$24)*(0.5*((((703-43)*MAX('Inputs'!$B$33,'Inputs'!$B$29+'Inputs'!$B$31+'Inputs'!$B$32,'Inputs'!$B$30+'Inputs'!$B$31+'Inputs'!$B$32)/1000+'Inputs'!$B$21)+'Inputs'!$B$9)/SQRT((((703-43)*MAX('Inputs'!$B$33,'Inputs'!$B$29+'Inputs'!$B$31+'Inputs'!$B$32,'Inputs'!$B$30+'Inputs'!$B$31+'Inputs'!$B$32)/1000+'Inputs'!$B$21)+'Inputs'!$B$9)^2+('Inputs'!$B$8/2)^2)-(((703-43)*MAX('Inputs'!$B$33,'Inputs'!$B$29+'Inputs'!$B$31+'Inputs'!$B$32,'Inputs'!$B$30+'Inputs'!$B$31+'Inputs'!$B$32)/1000+'Inputs'!$B$21))/SQRT((((703-43)*MAX('Inputs'!$B$33,'Inputs'!$B$29+'Inputs'!$B$31+'Inputs'!$B$32,'Inputs'!$B$30+'Inputs'!$B$31+'Inputs'!$B$32)/1000+'Inputs'!$B$21))^2+('Inputs'!$B$8/2)^2)))-'Results'!B7*(1+'Inputs'!$B$24)*(0.5*((((703-43)*MAX('Inputs'!$B$33,'Inputs'!$B$29+'Inputs'!$B$31+'Inputs'!$B$32,'Inputs'!$B$30+'Inputs'!$B$31+'Inputs'!$B$32)/1000+'Inputs'!$B$21+'Inputs'!$B$9+'Inputs'!$B$10)+'Inputs'!$B$7)/SQRT((((703-43)*MAX('Inputs'!$B$33,'Inputs'!$B$29+'Inputs'!$B$31+'Inputs'!$B$32,'Inputs'!$B$30+'Inputs'!$B$31+'Inputs'!$B$32)/1000+'Inputs'!$B$21+'Inputs'!$B$9+'Inputs'!$B$10)+'Inputs'!$B$7)^2+('Inputs'!$B$6/2)^2)-(((703-43)*MAX('Inputs'!$B$33,'Inputs'!$B$29+'Inputs'!$B$31+'Inputs'!$B$32,'Inputs'!$B$30+'Inputs'!$B$31+'Inputs'!$B$32)/1000+'Inputs'!$B$21+'Inputs'!$B$9+'Inputs'!$B$10))/SQRT((((703-43)*MAX('Inputs'!$B$33,'Inputs'!$B$29+'Inputs'!$B$31+'Inputs'!$B$32,'Inputs'!$B$30+'Inputs'!$B$31+'Inputs'!$B$32)/1000+'Inputs'!$B$21+'Inputs'!$B$9+'Inputs'!$B$10))^2+('Inputs'!$B$6/2)^2))))*'Results'!$B$8))),"")</x:f>
        <x:v>1.2566190425376957</x:v>
      </x:c>
      <x:c r="O703" t="n">
        <x:f>IF(AND(ISNUMBER('Results'!C7),ISNUMBER('Results'!B7),ISNUMBER('Results'!$B$8),ISNUMBER('Inputs'!$B$6),ISNUMBER('Inputs'!$B$7),ISNUMBER('Inputs'!$B$8),ISNUMBER('Inputs'!$B$9),ISNUMBER('Inputs'!$B$10),ISNUMBER('Inputs'!$B$21),ISNUMBER('Inputs'!$B$24),ISNUMBER('Inputs'!$B$28)),((('Results'!C7*(1+'Inputs'!$B$24)*(0.5*((((703-43)*MAX('Inputs'!$B$33,'Inputs'!$B$29+'Inputs'!$B$31+'Inputs'!$B$32,'Inputs'!$B$30+'Inputs'!$B$31+'Inputs'!$B$32)/1000+'Inputs'!$B$21)+'Inputs'!$B$9)/SQRT((((703-43)*MAX('Inputs'!$B$33,'Inputs'!$B$29+'Inputs'!$B$31+'Inputs'!$B$32,'Inputs'!$B$30+'Inputs'!$B$31+'Inputs'!$B$32)/1000+'Inputs'!$B$21)+'Inputs'!$B$9)^2+('Inputs'!$B$8/2)^2)-(((703-43)*MAX('Inputs'!$B$33,'Inputs'!$B$29+'Inputs'!$B$31+'Inputs'!$B$32,'Inputs'!$B$30+'Inputs'!$B$31+'Inputs'!$B$32)/1000+'Inputs'!$B$21))/SQRT((((703-43)*MAX('Inputs'!$B$33,'Inputs'!$B$29+'Inputs'!$B$31+'Inputs'!$B$32,'Inputs'!$B$30+'Inputs'!$B$31+'Inputs'!$B$32)/1000+'Inputs'!$B$21))^2+('Inputs'!$B$8/2)^2)))-'Results'!B7*(1-'Inputs'!$B$24)*(0.5*((((703-43)*MAX('Inputs'!$B$33,'Inputs'!$B$29+'Inputs'!$B$31+'Inputs'!$B$32,'Inputs'!$B$30+'Inputs'!$B$31+'Inputs'!$B$32)/1000+'Inputs'!$B$21+'Inputs'!$B$9+'Inputs'!$B$10)+'Inputs'!$B$7)/SQRT((((703-43)*MAX('Inputs'!$B$33,'Inputs'!$B$29+'Inputs'!$B$31+'Inputs'!$B$32,'Inputs'!$B$30+'Inputs'!$B$31+'Inputs'!$B$32)/1000+'Inputs'!$B$21+'Inputs'!$B$9+'Inputs'!$B$10)+'Inputs'!$B$7)^2+('Inputs'!$B$6/2)^2)-(((703-43)*MAX('Inputs'!$B$33,'Inputs'!$B$29+'Inputs'!$B$31+'Inputs'!$B$32,'Inputs'!$B$30+'Inputs'!$B$31+'Inputs'!$B$32)/1000+'Inputs'!$B$21+'Inputs'!$B$9+'Inputs'!$B$10))/SQRT((((703-43)*MAX('Inputs'!$B$33,'Inputs'!$B$29+'Inputs'!$B$31+'Inputs'!$B$32,'Inputs'!$B$30+'Inputs'!$B$31+'Inputs'!$B$32)/1000+'Inputs'!$B$21+'Inputs'!$B$9+'Inputs'!$B$10))^2+('Inputs'!$B$6/2)^2))))*'Results'!$B$8)+'Inputs'!$B$28*ABS((('Results'!C7*(1+'Inputs'!$B$24)*(0.5*((((703-43)*MAX('Inputs'!$B$33,'Inputs'!$B$29+'Inputs'!$B$31+'Inputs'!$B$32,'Inputs'!$B$30+'Inputs'!$B$31+'Inputs'!$B$32)/1000+'Inputs'!$B$21)+'Inputs'!$B$9)/SQRT((((703-43)*MAX('Inputs'!$B$33,'Inputs'!$B$29+'Inputs'!$B$31+'Inputs'!$B$32,'Inputs'!$B$30+'Inputs'!$B$31+'Inputs'!$B$32)/1000+'Inputs'!$B$21)+'Inputs'!$B$9)^2+('Inputs'!$B$8/2)^2)-(((703-43)*MAX('Inputs'!$B$33,'Inputs'!$B$29+'Inputs'!$B$31+'Inputs'!$B$32,'Inputs'!$B$30+'Inputs'!$B$31+'Inputs'!$B$32)/1000+'Inputs'!$B$21))/SQRT((((703-43)*MAX('Inputs'!$B$33,'Inputs'!$B$29+'Inputs'!$B$31+'Inputs'!$B$32,'Inputs'!$B$30+'Inputs'!$B$31+'Inputs'!$B$32)/1000+'Inputs'!$B$21))^2+('Inputs'!$B$8/2)^2)))-'Results'!B7*(1-'Inputs'!$B$24)*(0.5*((((703-43)*MAX('Inputs'!$B$33,'Inputs'!$B$29+'Inputs'!$B$31+'Inputs'!$B$32,'Inputs'!$B$30+'Inputs'!$B$31+'Inputs'!$B$32)/1000+'Inputs'!$B$21+'Inputs'!$B$9+'Inputs'!$B$10)+'Inputs'!$B$7)/SQRT((((703-43)*MAX('Inputs'!$B$33,'Inputs'!$B$29+'Inputs'!$B$31+'Inputs'!$B$32,'Inputs'!$B$30+'Inputs'!$B$31+'Inputs'!$B$32)/1000+'Inputs'!$B$21+'Inputs'!$B$9+'Inputs'!$B$10)+'Inputs'!$B$7)^2+('Inputs'!$B$6/2)^2)-(((703-43)*MAX('Inputs'!$B$33,'Inputs'!$B$29+'Inputs'!$B$31+'Inputs'!$B$32,'Inputs'!$B$30+'Inputs'!$B$31+'Inputs'!$B$32)/1000+'Inputs'!$B$21+'Inputs'!$B$9+'Inputs'!$B$10))/SQRT((((703-43)*MAX('Inputs'!$B$33,'Inputs'!$B$29+'Inputs'!$B$31+'Inputs'!$B$32,'Inputs'!$B$30+'Inputs'!$B$31+'Inputs'!$B$32)/1000+'Inputs'!$B$21+'Inputs'!$B$9+'Inputs'!$B$10))^2+('Inputs'!$B$6/2)^2))))*'Results'!$B$8))),"")</x:f>
        <x:v>1.6699022655439049</x:v>
      </x:c>
      <x:c r="P703" t="n">
        <x:f>IF(AND(MAX(J703,J702)&gt;0,J703&gt;J702+0.00000001),1,0)</x:f>
        <x:v>0</x:v>
      </x:c>
      <x:c r="Q703" t="n">
        <x:f>IF(AND(MAX(K703,K702)&gt;0,K703&gt;K702+0.00000001),1,0)</x:f>
        <x:v>0</x:v>
      </x:c>
      <x:c r="R703" t="n">
        <x:f>IF(AND(MAX(L703,L702)&gt;0,L703&gt;L702+0.00000001),1,0)</x:f>
        <x:v>0</x:v>
      </x:c>
      <x:c r="S703" t="n">
        <x:f>IF(AND(MAX(M703,M702)&gt;0,M703&gt;M702+0.00000001),1,0)</x:f>
        <x:v>0</x:v>
      </x:c>
      <x:c r="T703" t="n">
        <x:f>IF(AND(MAX(N703,N702)&gt;0,N703&gt;N702+0.00000001),1,0)</x:f>
        <x:v>0</x:v>
      </x:c>
      <x:c r="U703" t="n">
        <x:f>IF(AND(MAX(O703,O702)&gt;0,O703&gt;O702+0.00000001),1,0)</x:f>
        <x:v>0</x:v>
      </x:c>
    </x:row>
    <x:row r="704">
      <x:c r="J704" t="n">
        <x:f>IF(AND(ISNUMBER('Results'!B7),ISNUMBER('Results'!C7),ISNUMBER('Results'!$B$8),ISNUMBER('Inputs'!$B$6),ISNUMBER('Inputs'!$B$7),ISNUMBER('Inputs'!$B$8),ISNUMBER('Inputs'!$B$9),ISNUMBER('Inputs'!$B$10),ISNUMBER('Inputs'!$B$21),ISNUMBER('Inputs'!$B$24),ISNUMBER('Inputs'!$B$28)),(('Results'!B7*(0.5*((((704-43)*MAX('Inputs'!$B$33,'Inputs'!$B$29+'Inputs'!$B$31+'Inputs'!$B$32,'Inputs'!$B$30+'Inputs'!$B$31+'Inputs'!$B$32)/1000+'Inputs'!$B$21)+'Inputs'!$B$7)/SQRT((((704-43)*MAX('Inputs'!$B$33,'Inputs'!$B$29+'Inputs'!$B$31+'Inputs'!$B$32,'Inputs'!$B$30+'Inputs'!$B$31+'Inputs'!$B$32)/1000+'Inputs'!$B$21)+'Inputs'!$B$7)^2+('Inputs'!$B$6/2)^2)-(((704-43)*MAX('Inputs'!$B$33,'Inputs'!$B$29+'Inputs'!$B$31+'Inputs'!$B$32,'Inputs'!$B$30+'Inputs'!$B$31+'Inputs'!$B$32)/1000+'Inputs'!$B$21))/SQRT((((704-43)*MAX('Inputs'!$B$33,'Inputs'!$B$29+'Inputs'!$B$31+'Inputs'!$B$32,'Inputs'!$B$30+'Inputs'!$B$31+'Inputs'!$B$32)/1000+'Inputs'!$B$21))^2+('Inputs'!$B$6/2)^2)))-'Results'!C7*(0.5*((((704-43)*MAX('Inputs'!$B$33,'Inputs'!$B$29+'Inputs'!$B$31+'Inputs'!$B$32,'Inputs'!$B$30+'Inputs'!$B$31+'Inputs'!$B$32)/1000+'Inputs'!$B$21+'Inputs'!$B$7+'Inputs'!$B$10)+'Inputs'!$B$9)/SQRT((((704-43)*MAX('Inputs'!$B$33,'Inputs'!$B$29+'Inputs'!$B$31+'Inputs'!$B$32,'Inputs'!$B$30+'Inputs'!$B$31+'Inputs'!$B$32)/1000+'Inputs'!$B$21+'Inputs'!$B$7+'Inputs'!$B$10)+'Inputs'!$B$9)^2+('Inputs'!$B$8/2)^2)-(((704-43)*MAX('Inputs'!$B$33,'Inputs'!$B$29+'Inputs'!$B$31+'Inputs'!$B$32,'Inputs'!$B$30+'Inputs'!$B$31+'Inputs'!$B$32)/1000+'Inputs'!$B$21+'Inputs'!$B$7+'Inputs'!$B$10))/SQRT((((704-43)*MAX('Inputs'!$B$33,'Inputs'!$B$29+'Inputs'!$B$31+'Inputs'!$B$32,'Inputs'!$B$30+'Inputs'!$B$31+'Inputs'!$B$32)/1000+'Inputs'!$B$21+'Inputs'!$B$7+'Inputs'!$B$10))^2+('Inputs'!$B$8/2)^2))))*'Results'!$B$8),"")</x:f>
        <x:v>1.5835544221187936</x:v>
      </x:c>
      <x:c r="K704" t="n">
        <x:f>IF(AND(ISNUMBER('Results'!B7),ISNUMBER('Results'!C7),ISNUMBER('Results'!$B$8),ISNUMBER('Inputs'!$B$6),ISNUMBER('Inputs'!$B$7),ISNUMBER('Inputs'!$B$8),ISNUMBER('Inputs'!$B$9),ISNUMBER('Inputs'!$B$10),ISNUMBER('Inputs'!$B$21),ISNUMBER('Inputs'!$B$24),ISNUMBER('Inputs'!$B$28)),((('Results'!B7*(1-'Inputs'!$B$24)*(0.5*((((704-43)*MAX('Inputs'!$B$33,'Inputs'!$B$29+'Inputs'!$B$31+'Inputs'!$B$32,'Inputs'!$B$30+'Inputs'!$B$31+'Inputs'!$B$32)/1000+'Inputs'!$B$21)+'Inputs'!$B$7)/SQRT((((704-43)*MAX('Inputs'!$B$33,'Inputs'!$B$29+'Inputs'!$B$31+'Inputs'!$B$32,'Inputs'!$B$30+'Inputs'!$B$31+'Inputs'!$B$32)/1000+'Inputs'!$B$21)+'Inputs'!$B$7)^2+('Inputs'!$B$6/2)^2)-(((704-43)*MAX('Inputs'!$B$33,'Inputs'!$B$29+'Inputs'!$B$31+'Inputs'!$B$32,'Inputs'!$B$30+'Inputs'!$B$31+'Inputs'!$B$32)/1000+'Inputs'!$B$21))/SQRT((((704-43)*MAX('Inputs'!$B$33,'Inputs'!$B$29+'Inputs'!$B$31+'Inputs'!$B$32,'Inputs'!$B$30+'Inputs'!$B$31+'Inputs'!$B$32)/1000+'Inputs'!$B$21))^2+('Inputs'!$B$6/2)^2)))-'Results'!C7*(1+'Inputs'!$B$24)*(0.5*((((704-43)*MAX('Inputs'!$B$33,'Inputs'!$B$29+'Inputs'!$B$31+'Inputs'!$B$32,'Inputs'!$B$30+'Inputs'!$B$31+'Inputs'!$B$32)/1000+'Inputs'!$B$21+'Inputs'!$B$7+'Inputs'!$B$10)+'Inputs'!$B$9)/SQRT((((704-43)*MAX('Inputs'!$B$33,'Inputs'!$B$29+'Inputs'!$B$31+'Inputs'!$B$32,'Inputs'!$B$30+'Inputs'!$B$31+'Inputs'!$B$32)/1000+'Inputs'!$B$21+'Inputs'!$B$7+'Inputs'!$B$10)+'Inputs'!$B$9)^2+('Inputs'!$B$8/2)^2)-(((704-43)*MAX('Inputs'!$B$33,'Inputs'!$B$29+'Inputs'!$B$31+'Inputs'!$B$32,'Inputs'!$B$30+'Inputs'!$B$31+'Inputs'!$B$32)/1000+'Inputs'!$B$21+'Inputs'!$B$7+'Inputs'!$B$10))/SQRT((((704-43)*MAX('Inputs'!$B$33,'Inputs'!$B$29+'Inputs'!$B$31+'Inputs'!$B$32,'Inputs'!$B$30+'Inputs'!$B$31+'Inputs'!$B$32)/1000+'Inputs'!$B$21+'Inputs'!$B$7+'Inputs'!$B$10))^2+('Inputs'!$B$8/2)^2))))*'Results'!$B$8)-'Inputs'!$B$28*ABS((('Results'!B7*(1-'Inputs'!$B$24)*(0.5*((((704-43)*MAX('Inputs'!$B$33,'Inputs'!$B$29+'Inputs'!$B$31+'Inputs'!$B$32,'Inputs'!$B$30+'Inputs'!$B$31+'Inputs'!$B$32)/1000+'Inputs'!$B$21)+'Inputs'!$B$7)/SQRT((((704-43)*MAX('Inputs'!$B$33,'Inputs'!$B$29+'Inputs'!$B$31+'Inputs'!$B$32,'Inputs'!$B$30+'Inputs'!$B$31+'Inputs'!$B$32)/1000+'Inputs'!$B$21)+'Inputs'!$B$7)^2+('Inputs'!$B$6/2)^2)-(((704-43)*MAX('Inputs'!$B$33,'Inputs'!$B$29+'Inputs'!$B$31+'Inputs'!$B$32,'Inputs'!$B$30+'Inputs'!$B$31+'Inputs'!$B$32)/1000+'Inputs'!$B$21))/SQRT((((704-43)*MAX('Inputs'!$B$33,'Inputs'!$B$29+'Inputs'!$B$31+'Inputs'!$B$32,'Inputs'!$B$30+'Inputs'!$B$31+'Inputs'!$B$32)/1000+'Inputs'!$B$21))^2+('Inputs'!$B$6/2)^2)))-'Results'!C7*(1+'Inputs'!$B$24)*(0.5*((((704-43)*MAX('Inputs'!$B$33,'Inputs'!$B$29+'Inputs'!$B$31+'Inputs'!$B$32,'Inputs'!$B$30+'Inputs'!$B$31+'Inputs'!$B$32)/1000+'Inputs'!$B$21+'Inputs'!$B$7+'Inputs'!$B$10)+'Inputs'!$B$9)/SQRT((((704-43)*MAX('Inputs'!$B$33,'Inputs'!$B$29+'Inputs'!$B$31+'Inputs'!$B$32,'Inputs'!$B$30+'Inputs'!$B$31+'Inputs'!$B$32)/1000+'Inputs'!$B$21+'Inputs'!$B$7+'Inputs'!$B$10)+'Inputs'!$B$9)^2+('Inputs'!$B$8/2)^2)-(((704-43)*MAX('Inputs'!$B$33,'Inputs'!$B$29+'Inputs'!$B$31+'Inputs'!$B$32,'Inputs'!$B$30+'Inputs'!$B$31+'Inputs'!$B$32)/1000+'Inputs'!$B$21+'Inputs'!$B$7+'Inputs'!$B$10))/SQRT((((704-43)*MAX('Inputs'!$B$33,'Inputs'!$B$29+'Inputs'!$B$31+'Inputs'!$B$32,'Inputs'!$B$30+'Inputs'!$B$31+'Inputs'!$B$32)/1000+'Inputs'!$B$21+'Inputs'!$B$7+'Inputs'!$B$10))^2+('Inputs'!$B$8/2)^2))))*'Results'!$B$8))),"")</x:f>
        <x:v>1.377194229924405</x:v>
      </x:c>
      <x:c r="L704" t="n">
        <x:f>IF(AND(ISNUMBER('Results'!B7),ISNUMBER('Results'!C7),ISNUMBER('Results'!$B$8),ISNUMBER('Inputs'!$B$6),ISNUMBER('Inputs'!$B$7),ISNUMBER('Inputs'!$B$8),ISNUMBER('Inputs'!$B$9),ISNUMBER('Inputs'!$B$10),ISNUMBER('Inputs'!$B$21),ISNUMBER('Inputs'!$B$24),ISNUMBER('Inputs'!$B$28)),((('Results'!B7*(1+'Inputs'!$B$24)*(0.5*((((704-43)*MAX('Inputs'!$B$33,'Inputs'!$B$29+'Inputs'!$B$31+'Inputs'!$B$32,'Inputs'!$B$30+'Inputs'!$B$31+'Inputs'!$B$32)/1000+'Inputs'!$B$21)+'Inputs'!$B$7)/SQRT((((704-43)*MAX('Inputs'!$B$33,'Inputs'!$B$29+'Inputs'!$B$31+'Inputs'!$B$32,'Inputs'!$B$30+'Inputs'!$B$31+'Inputs'!$B$32)/1000+'Inputs'!$B$21)+'Inputs'!$B$7)^2+('Inputs'!$B$6/2)^2)-(((704-43)*MAX('Inputs'!$B$33,'Inputs'!$B$29+'Inputs'!$B$31+'Inputs'!$B$32,'Inputs'!$B$30+'Inputs'!$B$31+'Inputs'!$B$32)/1000+'Inputs'!$B$21))/SQRT((((704-43)*MAX('Inputs'!$B$33,'Inputs'!$B$29+'Inputs'!$B$31+'Inputs'!$B$32,'Inputs'!$B$30+'Inputs'!$B$31+'Inputs'!$B$32)/1000+'Inputs'!$B$21))^2+('Inputs'!$B$6/2)^2)))-'Results'!C7*(1-'Inputs'!$B$24)*(0.5*((((704-43)*MAX('Inputs'!$B$33,'Inputs'!$B$29+'Inputs'!$B$31+'Inputs'!$B$32,'Inputs'!$B$30+'Inputs'!$B$31+'Inputs'!$B$32)/1000+'Inputs'!$B$21+'Inputs'!$B$7+'Inputs'!$B$10)+'Inputs'!$B$9)/SQRT((((704-43)*MAX('Inputs'!$B$33,'Inputs'!$B$29+'Inputs'!$B$31+'Inputs'!$B$32,'Inputs'!$B$30+'Inputs'!$B$31+'Inputs'!$B$32)/1000+'Inputs'!$B$21+'Inputs'!$B$7+'Inputs'!$B$10)+'Inputs'!$B$9)^2+('Inputs'!$B$8/2)^2)-(((704-43)*MAX('Inputs'!$B$33,'Inputs'!$B$29+'Inputs'!$B$31+'Inputs'!$B$32,'Inputs'!$B$30+'Inputs'!$B$31+'Inputs'!$B$32)/1000+'Inputs'!$B$21+'Inputs'!$B$7+'Inputs'!$B$10))/SQRT((((704-43)*MAX('Inputs'!$B$33,'Inputs'!$B$29+'Inputs'!$B$31+'Inputs'!$B$32,'Inputs'!$B$30+'Inputs'!$B$31+'Inputs'!$B$32)/1000+'Inputs'!$B$21+'Inputs'!$B$7+'Inputs'!$B$10))^2+('Inputs'!$B$8/2)^2))))*'Results'!$B$8)+'Inputs'!$B$28*ABS((('Results'!B7*(1+'Inputs'!$B$24)*(0.5*((((704-43)*MAX('Inputs'!$B$33,'Inputs'!$B$29+'Inputs'!$B$31+'Inputs'!$B$32,'Inputs'!$B$30+'Inputs'!$B$31+'Inputs'!$B$32)/1000+'Inputs'!$B$21)+'Inputs'!$B$7)/SQRT((((704-43)*MAX('Inputs'!$B$33,'Inputs'!$B$29+'Inputs'!$B$31+'Inputs'!$B$32,'Inputs'!$B$30+'Inputs'!$B$31+'Inputs'!$B$32)/1000+'Inputs'!$B$21)+'Inputs'!$B$7)^2+('Inputs'!$B$6/2)^2)-(((704-43)*MAX('Inputs'!$B$33,'Inputs'!$B$29+'Inputs'!$B$31+'Inputs'!$B$32,'Inputs'!$B$30+'Inputs'!$B$31+'Inputs'!$B$32)/1000+'Inputs'!$B$21))/SQRT((((704-43)*MAX('Inputs'!$B$33,'Inputs'!$B$29+'Inputs'!$B$31+'Inputs'!$B$32,'Inputs'!$B$30+'Inputs'!$B$31+'Inputs'!$B$32)/1000+'Inputs'!$B$21))^2+('Inputs'!$B$6/2)^2)))-'Results'!C7*(1-'Inputs'!$B$24)*(0.5*((((704-43)*MAX('Inputs'!$B$33,'Inputs'!$B$29+'Inputs'!$B$31+'Inputs'!$B$32,'Inputs'!$B$30+'Inputs'!$B$31+'Inputs'!$B$32)/1000+'Inputs'!$B$21+'Inputs'!$B$7+'Inputs'!$B$10)+'Inputs'!$B$9)/SQRT((((704-43)*MAX('Inputs'!$B$33,'Inputs'!$B$29+'Inputs'!$B$31+'Inputs'!$B$32,'Inputs'!$B$30+'Inputs'!$B$31+'Inputs'!$B$32)/1000+'Inputs'!$B$21+'Inputs'!$B$7+'Inputs'!$B$10)+'Inputs'!$B$9)^2+('Inputs'!$B$8/2)^2)-(((704-43)*MAX('Inputs'!$B$33,'Inputs'!$B$29+'Inputs'!$B$31+'Inputs'!$B$32,'Inputs'!$B$30+'Inputs'!$B$31+'Inputs'!$B$32)/1000+'Inputs'!$B$21+'Inputs'!$B$7+'Inputs'!$B$10))/SQRT((((704-43)*MAX('Inputs'!$B$33,'Inputs'!$B$29+'Inputs'!$B$31+'Inputs'!$B$32,'Inputs'!$B$30+'Inputs'!$B$31+'Inputs'!$B$32)/1000+'Inputs'!$B$21+'Inputs'!$B$7+'Inputs'!$B$10))^2+('Inputs'!$B$8/2)^2))))*'Results'!$B$8))),"")</x:f>
        <x:v>1.8033022428488075</x:v>
      </x:c>
      <x:c r="M704" t="n">
        <x:f>IF(AND(ISNUMBER('Results'!C7),ISNUMBER('Results'!B7),ISNUMBER('Results'!$B$8),ISNUMBER('Inputs'!$B$6),ISNUMBER('Inputs'!$B$7),ISNUMBER('Inputs'!$B$8),ISNUMBER('Inputs'!$B$9),ISNUMBER('Inputs'!$B$10),ISNUMBER('Inputs'!$B$21),ISNUMBER('Inputs'!$B$24),ISNUMBER('Inputs'!$B$28)),(('Results'!C7*(0.5*((((704-43)*MAX('Inputs'!$B$33,'Inputs'!$B$29+'Inputs'!$B$31+'Inputs'!$B$32,'Inputs'!$B$30+'Inputs'!$B$31+'Inputs'!$B$32)/1000+'Inputs'!$B$21)+'Inputs'!$B$9)/SQRT((((704-43)*MAX('Inputs'!$B$33,'Inputs'!$B$29+'Inputs'!$B$31+'Inputs'!$B$32,'Inputs'!$B$30+'Inputs'!$B$31+'Inputs'!$B$32)/1000+'Inputs'!$B$21)+'Inputs'!$B$9)^2+('Inputs'!$B$8/2)^2)-(((704-43)*MAX('Inputs'!$B$33,'Inputs'!$B$29+'Inputs'!$B$31+'Inputs'!$B$32,'Inputs'!$B$30+'Inputs'!$B$31+'Inputs'!$B$32)/1000+'Inputs'!$B$21))/SQRT((((704-43)*MAX('Inputs'!$B$33,'Inputs'!$B$29+'Inputs'!$B$31+'Inputs'!$B$32,'Inputs'!$B$30+'Inputs'!$B$31+'Inputs'!$B$32)/1000+'Inputs'!$B$21))^2+('Inputs'!$B$8/2)^2)))-'Results'!B7*(0.5*((((704-43)*MAX('Inputs'!$B$33,'Inputs'!$B$29+'Inputs'!$B$31+'Inputs'!$B$32,'Inputs'!$B$30+'Inputs'!$B$31+'Inputs'!$B$32)/1000+'Inputs'!$B$21+'Inputs'!$B$9+'Inputs'!$B$10)+'Inputs'!$B$7)/SQRT((((704-43)*MAX('Inputs'!$B$33,'Inputs'!$B$29+'Inputs'!$B$31+'Inputs'!$B$32,'Inputs'!$B$30+'Inputs'!$B$31+'Inputs'!$B$32)/1000+'Inputs'!$B$21+'Inputs'!$B$9+'Inputs'!$B$10)+'Inputs'!$B$7)^2+('Inputs'!$B$6/2)^2)-(((704-43)*MAX('Inputs'!$B$33,'Inputs'!$B$29+'Inputs'!$B$31+'Inputs'!$B$32,'Inputs'!$B$30+'Inputs'!$B$31+'Inputs'!$B$32)/1000+'Inputs'!$B$21+'Inputs'!$B$9+'Inputs'!$B$10))/SQRT((((704-43)*MAX('Inputs'!$B$33,'Inputs'!$B$29+'Inputs'!$B$31+'Inputs'!$B$32,'Inputs'!$B$30+'Inputs'!$B$31+'Inputs'!$B$32)/1000+'Inputs'!$B$21+'Inputs'!$B$9+'Inputs'!$B$10))^2+('Inputs'!$B$6/2)^2))))*'Results'!$B$8),"")</x:f>
        <x:v>1.4486352265899414</x:v>
      </x:c>
      <x:c r="N704" t="n">
        <x:f>IF(AND(ISNUMBER('Results'!C7),ISNUMBER('Results'!B7),ISNUMBER('Results'!$B$8),ISNUMBER('Inputs'!$B$6),ISNUMBER('Inputs'!$B$7),ISNUMBER('Inputs'!$B$8),ISNUMBER('Inputs'!$B$9),ISNUMBER('Inputs'!$B$10),ISNUMBER('Inputs'!$B$21),ISNUMBER('Inputs'!$B$24),ISNUMBER('Inputs'!$B$28)),((('Results'!C7*(1-'Inputs'!$B$24)*(0.5*((((704-43)*MAX('Inputs'!$B$33,'Inputs'!$B$29+'Inputs'!$B$31+'Inputs'!$B$32,'Inputs'!$B$30+'Inputs'!$B$31+'Inputs'!$B$32)/1000+'Inputs'!$B$21)+'Inputs'!$B$9)/SQRT((((704-43)*MAX('Inputs'!$B$33,'Inputs'!$B$29+'Inputs'!$B$31+'Inputs'!$B$32,'Inputs'!$B$30+'Inputs'!$B$31+'Inputs'!$B$32)/1000+'Inputs'!$B$21)+'Inputs'!$B$9)^2+('Inputs'!$B$8/2)^2)-(((704-43)*MAX('Inputs'!$B$33,'Inputs'!$B$29+'Inputs'!$B$31+'Inputs'!$B$32,'Inputs'!$B$30+'Inputs'!$B$31+'Inputs'!$B$32)/1000+'Inputs'!$B$21))/SQRT((((704-43)*MAX('Inputs'!$B$33,'Inputs'!$B$29+'Inputs'!$B$31+'Inputs'!$B$32,'Inputs'!$B$30+'Inputs'!$B$31+'Inputs'!$B$32)/1000+'Inputs'!$B$21))^2+('Inputs'!$B$8/2)^2)))-'Results'!B7*(1+'Inputs'!$B$24)*(0.5*((((704-43)*MAX('Inputs'!$B$33,'Inputs'!$B$29+'Inputs'!$B$31+'Inputs'!$B$32,'Inputs'!$B$30+'Inputs'!$B$31+'Inputs'!$B$32)/1000+'Inputs'!$B$21+'Inputs'!$B$9+'Inputs'!$B$10)+'Inputs'!$B$7)/SQRT((((704-43)*MAX('Inputs'!$B$33,'Inputs'!$B$29+'Inputs'!$B$31+'Inputs'!$B$32,'Inputs'!$B$30+'Inputs'!$B$31+'Inputs'!$B$32)/1000+'Inputs'!$B$21+'Inputs'!$B$9+'Inputs'!$B$10)+'Inputs'!$B$7)^2+('Inputs'!$B$6/2)^2)-(((704-43)*MAX('Inputs'!$B$33,'Inputs'!$B$29+'Inputs'!$B$31+'Inputs'!$B$32,'Inputs'!$B$30+'Inputs'!$B$31+'Inputs'!$B$32)/1000+'Inputs'!$B$21+'Inputs'!$B$9+'Inputs'!$B$10))/SQRT((((704-43)*MAX('Inputs'!$B$33,'Inputs'!$B$29+'Inputs'!$B$31+'Inputs'!$B$32,'Inputs'!$B$30+'Inputs'!$B$31+'Inputs'!$B$32)/1000+'Inputs'!$B$21+'Inputs'!$B$9+'Inputs'!$B$10))^2+('Inputs'!$B$6/2)^2))))*'Results'!$B$8)-'Inputs'!$B$28*ABS((('Results'!C7*(1-'Inputs'!$B$24)*(0.5*((((704-43)*MAX('Inputs'!$B$33,'Inputs'!$B$29+'Inputs'!$B$31+'Inputs'!$B$32,'Inputs'!$B$30+'Inputs'!$B$31+'Inputs'!$B$32)/1000+'Inputs'!$B$21)+'Inputs'!$B$9)/SQRT((((704-43)*MAX('Inputs'!$B$33,'Inputs'!$B$29+'Inputs'!$B$31+'Inputs'!$B$32,'Inputs'!$B$30+'Inputs'!$B$31+'Inputs'!$B$32)/1000+'Inputs'!$B$21)+'Inputs'!$B$9)^2+('Inputs'!$B$8/2)^2)-(((704-43)*MAX('Inputs'!$B$33,'Inputs'!$B$29+'Inputs'!$B$31+'Inputs'!$B$32,'Inputs'!$B$30+'Inputs'!$B$31+'Inputs'!$B$32)/1000+'Inputs'!$B$21))/SQRT((((704-43)*MAX('Inputs'!$B$33,'Inputs'!$B$29+'Inputs'!$B$31+'Inputs'!$B$32,'Inputs'!$B$30+'Inputs'!$B$31+'Inputs'!$B$32)/1000+'Inputs'!$B$21))^2+('Inputs'!$B$8/2)^2)))-'Results'!B7*(1+'Inputs'!$B$24)*(0.5*((((704-43)*MAX('Inputs'!$B$33,'Inputs'!$B$29+'Inputs'!$B$31+'Inputs'!$B$32,'Inputs'!$B$30+'Inputs'!$B$31+'Inputs'!$B$32)/1000+'Inputs'!$B$21+'Inputs'!$B$9+'Inputs'!$B$10)+'Inputs'!$B$7)/SQRT((((704-43)*MAX('Inputs'!$B$33,'Inputs'!$B$29+'Inputs'!$B$31+'Inputs'!$B$32,'Inputs'!$B$30+'Inputs'!$B$31+'Inputs'!$B$32)/1000+'Inputs'!$B$21+'Inputs'!$B$9+'Inputs'!$B$10)+'Inputs'!$B$7)^2+('Inputs'!$B$6/2)^2)-(((704-43)*MAX('Inputs'!$B$33,'Inputs'!$B$29+'Inputs'!$B$31+'Inputs'!$B$32,'Inputs'!$B$30+'Inputs'!$B$31+'Inputs'!$B$32)/1000+'Inputs'!$B$21+'Inputs'!$B$9+'Inputs'!$B$10))/SQRT((((704-43)*MAX('Inputs'!$B$33,'Inputs'!$B$29+'Inputs'!$B$31+'Inputs'!$B$32,'Inputs'!$B$30+'Inputs'!$B$31+'Inputs'!$B$32)/1000+'Inputs'!$B$21+'Inputs'!$B$9+'Inputs'!$B$10))^2+('Inputs'!$B$6/2)^2))))*'Results'!$B$8))),"")</x:f>
        <x:v>1.249602929559122</x:v>
      </x:c>
      <x:c r="O704" t="n">
        <x:f>IF(AND(ISNUMBER('Results'!C7),ISNUMBER('Results'!B7),ISNUMBER('Results'!$B$8),ISNUMBER('Inputs'!$B$6),ISNUMBER('Inputs'!$B$7),ISNUMBER('Inputs'!$B$8),ISNUMBER('Inputs'!$B$9),ISNUMBER('Inputs'!$B$10),ISNUMBER('Inputs'!$B$21),ISNUMBER('Inputs'!$B$24),ISNUMBER('Inputs'!$B$28)),((('Results'!C7*(1+'Inputs'!$B$24)*(0.5*((((704-43)*MAX('Inputs'!$B$33,'Inputs'!$B$29+'Inputs'!$B$31+'Inputs'!$B$32,'Inputs'!$B$30+'Inputs'!$B$31+'Inputs'!$B$32)/1000+'Inputs'!$B$21)+'Inputs'!$B$9)/SQRT((((704-43)*MAX('Inputs'!$B$33,'Inputs'!$B$29+'Inputs'!$B$31+'Inputs'!$B$32,'Inputs'!$B$30+'Inputs'!$B$31+'Inputs'!$B$32)/1000+'Inputs'!$B$21)+'Inputs'!$B$9)^2+('Inputs'!$B$8/2)^2)-(((704-43)*MAX('Inputs'!$B$33,'Inputs'!$B$29+'Inputs'!$B$31+'Inputs'!$B$32,'Inputs'!$B$30+'Inputs'!$B$31+'Inputs'!$B$32)/1000+'Inputs'!$B$21))/SQRT((((704-43)*MAX('Inputs'!$B$33,'Inputs'!$B$29+'Inputs'!$B$31+'Inputs'!$B$32,'Inputs'!$B$30+'Inputs'!$B$31+'Inputs'!$B$32)/1000+'Inputs'!$B$21))^2+('Inputs'!$B$8/2)^2)))-'Results'!B7*(1-'Inputs'!$B$24)*(0.5*((((704-43)*MAX('Inputs'!$B$33,'Inputs'!$B$29+'Inputs'!$B$31+'Inputs'!$B$32,'Inputs'!$B$30+'Inputs'!$B$31+'Inputs'!$B$32)/1000+'Inputs'!$B$21+'Inputs'!$B$9+'Inputs'!$B$10)+'Inputs'!$B$7)/SQRT((((704-43)*MAX('Inputs'!$B$33,'Inputs'!$B$29+'Inputs'!$B$31+'Inputs'!$B$32,'Inputs'!$B$30+'Inputs'!$B$31+'Inputs'!$B$32)/1000+'Inputs'!$B$21+'Inputs'!$B$9+'Inputs'!$B$10)+'Inputs'!$B$7)^2+('Inputs'!$B$6/2)^2)-(((704-43)*MAX('Inputs'!$B$33,'Inputs'!$B$29+'Inputs'!$B$31+'Inputs'!$B$32,'Inputs'!$B$30+'Inputs'!$B$31+'Inputs'!$B$32)/1000+'Inputs'!$B$21+'Inputs'!$B$9+'Inputs'!$B$10))/SQRT((((704-43)*MAX('Inputs'!$B$33,'Inputs'!$B$29+'Inputs'!$B$31+'Inputs'!$B$32,'Inputs'!$B$30+'Inputs'!$B$31+'Inputs'!$B$32)/1000+'Inputs'!$B$21+'Inputs'!$B$9+'Inputs'!$B$10))^2+('Inputs'!$B$6/2)^2))))*'Results'!$B$8)+'Inputs'!$B$28*ABS((('Results'!C7*(1+'Inputs'!$B$24)*(0.5*((((704-43)*MAX('Inputs'!$B$33,'Inputs'!$B$29+'Inputs'!$B$31+'Inputs'!$B$32,'Inputs'!$B$30+'Inputs'!$B$31+'Inputs'!$B$32)/1000+'Inputs'!$B$21)+'Inputs'!$B$9)/SQRT((((704-43)*MAX('Inputs'!$B$33,'Inputs'!$B$29+'Inputs'!$B$31+'Inputs'!$B$32,'Inputs'!$B$30+'Inputs'!$B$31+'Inputs'!$B$32)/1000+'Inputs'!$B$21)+'Inputs'!$B$9)^2+('Inputs'!$B$8/2)^2)-(((704-43)*MAX('Inputs'!$B$33,'Inputs'!$B$29+'Inputs'!$B$31+'Inputs'!$B$32,'Inputs'!$B$30+'Inputs'!$B$31+'Inputs'!$B$32)/1000+'Inputs'!$B$21))/SQRT((((704-43)*MAX('Inputs'!$B$33,'Inputs'!$B$29+'Inputs'!$B$31+'Inputs'!$B$32,'Inputs'!$B$30+'Inputs'!$B$31+'Inputs'!$B$32)/1000+'Inputs'!$B$21))^2+('Inputs'!$B$8/2)^2)))-'Results'!B7*(1-'Inputs'!$B$24)*(0.5*((((704-43)*MAX('Inputs'!$B$33,'Inputs'!$B$29+'Inputs'!$B$31+'Inputs'!$B$32,'Inputs'!$B$30+'Inputs'!$B$31+'Inputs'!$B$32)/1000+'Inputs'!$B$21+'Inputs'!$B$9+'Inputs'!$B$10)+'Inputs'!$B$7)/SQRT((((704-43)*MAX('Inputs'!$B$33,'Inputs'!$B$29+'Inputs'!$B$31+'Inputs'!$B$32,'Inputs'!$B$30+'Inputs'!$B$31+'Inputs'!$B$32)/1000+'Inputs'!$B$21+'Inputs'!$B$9+'Inputs'!$B$10)+'Inputs'!$B$7)^2+('Inputs'!$B$6/2)^2)-(((704-43)*MAX('Inputs'!$B$33,'Inputs'!$B$29+'Inputs'!$B$31+'Inputs'!$B$32,'Inputs'!$B$30+'Inputs'!$B$31+'Inputs'!$B$32)/1000+'Inputs'!$B$21+'Inputs'!$B$9+'Inputs'!$B$10))/SQRT((((704-43)*MAX('Inputs'!$B$33,'Inputs'!$B$29+'Inputs'!$B$31+'Inputs'!$B$32,'Inputs'!$B$30+'Inputs'!$B$31+'Inputs'!$B$32)/1000+'Inputs'!$B$21+'Inputs'!$B$9+'Inputs'!$B$10))^2+('Inputs'!$B$6/2)^2))))*'Results'!$B$8))),"")</x:f>
        <x:v>1.6609938957998474</x:v>
      </x:c>
      <x:c r="P704" t="n">
        <x:f>IF(AND(MAX(J704,J703)&gt;0,J704&gt;J703+0.00000001),1,0)</x:f>
        <x:v>0</x:v>
      </x:c>
      <x:c r="Q704" t="n">
        <x:f>IF(AND(MAX(K704,K703)&gt;0,K704&gt;K703+0.00000001),1,0)</x:f>
        <x:v>0</x:v>
      </x:c>
      <x:c r="R704" t="n">
        <x:f>IF(AND(MAX(L704,L703)&gt;0,L704&gt;L703+0.00000001),1,0)</x:f>
        <x:v>0</x:v>
      </x:c>
      <x:c r="S704" t="n">
        <x:f>IF(AND(MAX(M704,M703)&gt;0,M704&gt;M703+0.00000001),1,0)</x:f>
        <x:v>0</x:v>
      </x:c>
      <x:c r="T704" t="n">
        <x:f>IF(AND(MAX(N704,N703)&gt;0,N704&gt;N703+0.00000001),1,0)</x:f>
        <x:v>0</x:v>
      </x:c>
      <x:c r="U704" t="n">
        <x:f>IF(AND(MAX(O704,O703)&gt;0,O704&gt;O703+0.00000001),1,0)</x:f>
        <x:v>0</x:v>
      </x:c>
    </x:row>
    <x:row r="705">
      <x:c r="J705" t="n">
        <x:f>IF(AND(ISNUMBER('Results'!B7),ISNUMBER('Results'!C7),ISNUMBER('Results'!$B$8),ISNUMBER('Inputs'!$B$6),ISNUMBER('Inputs'!$B$7),ISNUMBER('Inputs'!$B$8),ISNUMBER('Inputs'!$B$9),ISNUMBER('Inputs'!$B$10),ISNUMBER('Inputs'!$B$21),ISNUMBER('Inputs'!$B$24),ISNUMBER('Inputs'!$B$28)),(('Results'!B7*(0.5*((((705-43)*MAX('Inputs'!$B$33,'Inputs'!$B$29+'Inputs'!$B$31+'Inputs'!$B$32,'Inputs'!$B$30+'Inputs'!$B$31+'Inputs'!$B$32)/1000+'Inputs'!$B$21)+'Inputs'!$B$7)/SQRT((((705-43)*MAX('Inputs'!$B$33,'Inputs'!$B$29+'Inputs'!$B$31+'Inputs'!$B$32,'Inputs'!$B$30+'Inputs'!$B$31+'Inputs'!$B$32)/1000+'Inputs'!$B$21)+'Inputs'!$B$7)^2+('Inputs'!$B$6/2)^2)-(((705-43)*MAX('Inputs'!$B$33,'Inputs'!$B$29+'Inputs'!$B$31+'Inputs'!$B$32,'Inputs'!$B$30+'Inputs'!$B$31+'Inputs'!$B$32)/1000+'Inputs'!$B$21))/SQRT((((705-43)*MAX('Inputs'!$B$33,'Inputs'!$B$29+'Inputs'!$B$31+'Inputs'!$B$32,'Inputs'!$B$30+'Inputs'!$B$31+'Inputs'!$B$32)/1000+'Inputs'!$B$21))^2+('Inputs'!$B$6/2)^2)))-'Results'!C7*(0.5*((((705-43)*MAX('Inputs'!$B$33,'Inputs'!$B$29+'Inputs'!$B$31+'Inputs'!$B$32,'Inputs'!$B$30+'Inputs'!$B$31+'Inputs'!$B$32)/1000+'Inputs'!$B$21+'Inputs'!$B$7+'Inputs'!$B$10)+'Inputs'!$B$9)/SQRT((((705-43)*MAX('Inputs'!$B$33,'Inputs'!$B$29+'Inputs'!$B$31+'Inputs'!$B$32,'Inputs'!$B$30+'Inputs'!$B$31+'Inputs'!$B$32)/1000+'Inputs'!$B$21+'Inputs'!$B$7+'Inputs'!$B$10)+'Inputs'!$B$9)^2+('Inputs'!$B$8/2)^2)-(((705-43)*MAX('Inputs'!$B$33,'Inputs'!$B$29+'Inputs'!$B$31+'Inputs'!$B$32,'Inputs'!$B$30+'Inputs'!$B$31+'Inputs'!$B$32)/1000+'Inputs'!$B$21+'Inputs'!$B$7+'Inputs'!$B$10))/SQRT((((705-43)*MAX('Inputs'!$B$33,'Inputs'!$B$29+'Inputs'!$B$31+'Inputs'!$B$32,'Inputs'!$B$30+'Inputs'!$B$31+'Inputs'!$B$32)/1000+'Inputs'!$B$21+'Inputs'!$B$7+'Inputs'!$B$10))^2+('Inputs'!$B$8/2)^2))))*'Results'!$B$8),"")</x:f>
        <x:v>1.575119752747976</x:v>
      </x:c>
      <x:c r="K705" t="n">
        <x:f>IF(AND(ISNUMBER('Results'!B7),ISNUMBER('Results'!C7),ISNUMBER('Results'!$B$8),ISNUMBER('Inputs'!$B$6),ISNUMBER('Inputs'!$B$7),ISNUMBER('Inputs'!$B$8),ISNUMBER('Inputs'!$B$9),ISNUMBER('Inputs'!$B$10),ISNUMBER('Inputs'!$B$21),ISNUMBER('Inputs'!$B$24),ISNUMBER('Inputs'!$B$28)),((('Results'!B7*(1-'Inputs'!$B$24)*(0.5*((((705-43)*MAX('Inputs'!$B$33,'Inputs'!$B$29+'Inputs'!$B$31+'Inputs'!$B$32,'Inputs'!$B$30+'Inputs'!$B$31+'Inputs'!$B$32)/1000+'Inputs'!$B$21)+'Inputs'!$B$7)/SQRT((((705-43)*MAX('Inputs'!$B$33,'Inputs'!$B$29+'Inputs'!$B$31+'Inputs'!$B$32,'Inputs'!$B$30+'Inputs'!$B$31+'Inputs'!$B$32)/1000+'Inputs'!$B$21)+'Inputs'!$B$7)^2+('Inputs'!$B$6/2)^2)-(((705-43)*MAX('Inputs'!$B$33,'Inputs'!$B$29+'Inputs'!$B$31+'Inputs'!$B$32,'Inputs'!$B$30+'Inputs'!$B$31+'Inputs'!$B$32)/1000+'Inputs'!$B$21))/SQRT((((705-43)*MAX('Inputs'!$B$33,'Inputs'!$B$29+'Inputs'!$B$31+'Inputs'!$B$32,'Inputs'!$B$30+'Inputs'!$B$31+'Inputs'!$B$32)/1000+'Inputs'!$B$21))^2+('Inputs'!$B$6/2)^2)))-'Results'!C7*(1+'Inputs'!$B$24)*(0.5*((((705-43)*MAX('Inputs'!$B$33,'Inputs'!$B$29+'Inputs'!$B$31+'Inputs'!$B$32,'Inputs'!$B$30+'Inputs'!$B$31+'Inputs'!$B$32)/1000+'Inputs'!$B$21+'Inputs'!$B$7+'Inputs'!$B$10)+'Inputs'!$B$9)/SQRT((((705-43)*MAX('Inputs'!$B$33,'Inputs'!$B$29+'Inputs'!$B$31+'Inputs'!$B$32,'Inputs'!$B$30+'Inputs'!$B$31+'Inputs'!$B$32)/1000+'Inputs'!$B$21+'Inputs'!$B$7+'Inputs'!$B$10)+'Inputs'!$B$9)^2+('Inputs'!$B$8/2)^2)-(((705-43)*MAX('Inputs'!$B$33,'Inputs'!$B$29+'Inputs'!$B$31+'Inputs'!$B$32,'Inputs'!$B$30+'Inputs'!$B$31+'Inputs'!$B$32)/1000+'Inputs'!$B$21+'Inputs'!$B$7+'Inputs'!$B$10))/SQRT((((705-43)*MAX('Inputs'!$B$33,'Inputs'!$B$29+'Inputs'!$B$31+'Inputs'!$B$32,'Inputs'!$B$30+'Inputs'!$B$31+'Inputs'!$B$32)/1000+'Inputs'!$B$21+'Inputs'!$B$7+'Inputs'!$B$10))^2+('Inputs'!$B$8/2)^2))))*'Results'!$B$8)-'Inputs'!$B$28*ABS((('Results'!B7*(1-'Inputs'!$B$24)*(0.5*((((705-43)*MAX('Inputs'!$B$33,'Inputs'!$B$29+'Inputs'!$B$31+'Inputs'!$B$32,'Inputs'!$B$30+'Inputs'!$B$31+'Inputs'!$B$32)/1000+'Inputs'!$B$21)+'Inputs'!$B$7)/SQRT((((705-43)*MAX('Inputs'!$B$33,'Inputs'!$B$29+'Inputs'!$B$31+'Inputs'!$B$32,'Inputs'!$B$30+'Inputs'!$B$31+'Inputs'!$B$32)/1000+'Inputs'!$B$21)+'Inputs'!$B$7)^2+('Inputs'!$B$6/2)^2)-(((705-43)*MAX('Inputs'!$B$33,'Inputs'!$B$29+'Inputs'!$B$31+'Inputs'!$B$32,'Inputs'!$B$30+'Inputs'!$B$31+'Inputs'!$B$32)/1000+'Inputs'!$B$21))/SQRT((((705-43)*MAX('Inputs'!$B$33,'Inputs'!$B$29+'Inputs'!$B$31+'Inputs'!$B$32,'Inputs'!$B$30+'Inputs'!$B$31+'Inputs'!$B$32)/1000+'Inputs'!$B$21))^2+('Inputs'!$B$6/2)^2)))-'Results'!C7*(1+'Inputs'!$B$24)*(0.5*((((705-43)*MAX('Inputs'!$B$33,'Inputs'!$B$29+'Inputs'!$B$31+'Inputs'!$B$32,'Inputs'!$B$30+'Inputs'!$B$31+'Inputs'!$B$32)/1000+'Inputs'!$B$21+'Inputs'!$B$7+'Inputs'!$B$10)+'Inputs'!$B$9)/SQRT((((705-43)*MAX('Inputs'!$B$33,'Inputs'!$B$29+'Inputs'!$B$31+'Inputs'!$B$32,'Inputs'!$B$30+'Inputs'!$B$31+'Inputs'!$B$32)/1000+'Inputs'!$B$21+'Inputs'!$B$7+'Inputs'!$B$10)+'Inputs'!$B$9)^2+('Inputs'!$B$8/2)^2)-(((705-43)*MAX('Inputs'!$B$33,'Inputs'!$B$29+'Inputs'!$B$31+'Inputs'!$B$32,'Inputs'!$B$30+'Inputs'!$B$31+'Inputs'!$B$32)/1000+'Inputs'!$B$21+'Inputs'!$B$7+'Inputs'!$B$10))/SQRT((((705-43)*MAX('Inputs'!$B$33,'Inputs'!$B$29+'Inputs'!$B$31+'Inputs'!$B$32,'Inputs'!$B$30+'Inputs'!$B$31+'Inputs'!$B$32)/1000+'Inputs'!$B$21+'Inputs'!$B$7+'Inputs'!$B$10))^2+('Inputs'!$B$8/2)^2))))*'Results'!$B$8))),"")</x:f>
        <x:v>1.3697034855072794</x:v>
      </x:c>
      <x:c r="L705" t="n">
        <x:f>IF(AND(ISNUMBER('Results'!B7),ISNUMBER('Results'!C7),ISNUMBER('Results'!$B$8),ISNUMBER('Inputs'!$B$6),ISNUMBER('Inputs'!$B$7),ISNUMBER('Inputs'!$B$8),ISNUMBER('Inputs'!$B$9),ISNUMBER('Inputs'!$B$10),ISNUMBER('Inputs'!$B$21),ISNUMBER('Inputs'!$B$24),ISNUMBER('Inputs'!$B$28)),((('Results'!B7*(1+'Inputs'!$B$24)*(0.5*((((705-43)*MAX('Inputs'!$B$33,'Inputs'!$B$29+'Inputs'!$B$31+'Inputs'!$B$32,'Inputs'!$B$30+'Inputs'!$B$31+'Inputs'!$B$32)/1000+'Inputs'!$B$21)+'Inputs'!$B$7)/SQRT((((705-43)*MAX('Inputs'!$B$33,'Inputs'!$B$29+'Inputs'!$B$31+'Inputs'!$B$32,'Inputs'!$B$30+'Inputs'!$B$31+'Inputs'!$B$32)/1000+'Inputs'!$B$21)+'Inputs'!$B$7)^2+('Inputs'!$B$6/2)^2)-(((705-43)*MAX('Inputs'!$B$33,'Inputs'!$B$29+'Inputs'!$B$31+'Inputs'!$B$32,'Inputs'!$B$30+'Inputs'!$B$31+'Inputs'!$B$32)/1000+'Inputs'!$B$21))/SQRT((((705-43)*MAX('Inputs'!$B$33,'Inputs'!$B$29+'Inputs'!$B$31+'Inputs'!$B$32,'Inputs'!$B$30+'Inputs'!$B$31+'Inputs'!$B$32)/1000+'Inputs'!$B$21))^2+('Inputs'!$B$6/2)^2)))-'Results'!C7*(1-'Inputs'!$B$24)*(0.5*((((705-43)*MAX('Inputs'!$B$33,'Inputs'!$B$29+'Inputs'!$B$31+'Inputs'!$B$32,'Inputs'!$B$30+'Inputs'!$B$31+'Inputs'!$B$32)/1000+'Inputs'!$B$21+'Inputs'!$B$7+'Inputs'!$B$10)+'Inputs'!$B$9)/SQRT((((705-43)*MAX('Inputs'!$B$33,'Inputs'!$B$29+'Inputs'!$B$31+'Inputs'!$B$32,'Inputs'!$B$30+'Inputs'!$B$31+'Inputs'!$B$32)/1000+'Inputs'!$B$21+'Inputs'!$B$7+'Inputs'!$B$10)+'Inputs'!$B$9)^2+('Inputs'!$B$8/2)^2)-(((705-43)*MAX('Inputs'!$B$33,'Inputs'!$B$29+'Inputs'!$B$31+'Inputs'!$B$32,'Inputs'!$B$30+'Inputs'!$B$31+'Inputs'!$B$32)/1000+'Inputs'!$B$21+'Inputs'!$B$7+'Inputs'!$B$10))/SQRT((((705-43)*MAX('Inputs'!$B$33,'Inputs'!$B$29+'Inputs'!$B$31+'Inputs'!$B$32,'Inputs'!$B$30+'Inputs'!$B$31+'Inputs'!$B$32)/1000+'Inputs'!$B$21+'Inputs'!$B$7+'Inputs'!$B$10))^2+('Inputs'!$B$8/2)^2))))*'Results'!$B$8)+'Inputs'!$B$28*ABS((('Results'!B7*(1+'Inputs'!$B$24)*(0.5*((((705-43)*MAX('Inputs'!$B$33,'Inputs'!$B$29+'Inputs'!$B$31+'Inputs'!$B$32,'Inputs'!$B$30+'Inputs'!$B$31+'Inputs'!$B$32)/1000+'Inputs'!$B$21)+'Inputs'!$B$7)/SQRT((((705-43)*MAX('Inputs'!$B$33,'Inputs'!$B$29+'Inputs'!$B$31+'Inputs'!$B$32,'Inputs'!$B$30+'Inputs'!$B$31+'Inputs'!$B$32)/1000+'Inputs'!$B$21)+'Inputs'!$B$7)^2+('Inputs'!$B$6/2)^2)-(((705-43)*MAX('Inputs'!$B$33,'Inputs'!$B$29+'Inputs'!$B$31+'Inputs'!$B$32,'Inputs'!$B$30+'Inputs'!$B$31+'Inputs'!$B$32)/1000+'Inputs'!$B$21))/SQRT((((705-43)*MAX('Inputs'!$B$33,'Inputs'!$B$29+'Inputs'!$B$31+'Inputs'!$B$32,'Inputs'!$B$30+'Inputs'!$B$31+'Inputs'!$B$32)/1000+'Inputs'!$B$21))^2+('Inputs'!$B$6/2)^2)))-'Results'!C7*(1-'Inputs'!$B$24)*(0.5*((((705-43)*MAX('Inputs'!$B$33,'Inputs'!$B$29+'Inputs'!$B$31+'Inputs'!$B$32,'Inputs'!$B$30+'Inputs'!$B$31+'Inputs'!$B$32)/1000+'Inputs'!$B$21+'Inputs'!$B$7+'Inputs'!$B$10)+'Inputs'!$B$9)/SQRT((((705-43)*MAX('Inputs'!$B$33,'Inputs'!$B$29+'Inputs'!$B$31+'Inputs'!$B$32,'Inputs'!$B$30+'Inputs'!$B$31+'Inputs'!$B$32)/1000+'Inputs'!$B$21+'Inputs'!$B$7+'Inputs'!$B$10)+'Inputs'!$B$9)^2+('Inputs'!$B$8/2)^2)-(((705-43)*MAX('Inputs'!$B$33,'Inputs'!$B$29+'Inputs'!$B$31+'Inputs'!$B$32,'Inputs'!$B$30+'Inputs'!$B$31+'Inputs'!$B$32)/1000+'Inputs'!$B$21+'Inputs'!$B$7+'Inputs'!$B$10))/SQRT((((705-43)*MAX('Inputs'!$B$33,'Inputs'!$B$29+'Inputs'!$B$31+'Inputs'!$B$32,'Inputs'!$B$30+'Inputs'!$B$31+'Inputs'!$B$32)/1000+'Inputs'!$B$21+'Inputs'!$B$7+'Inputs'!$B$10))^2+('Inputs'!$B$8/2)^2))))*'Results'!$B$8))),"")</x:f>
        <x:v>1.793868680999546</x:v>
      </x:c>
      <x:c r="M705" t="n">
        <x:f>IF(AND(ISNUMBER('Results'!C7),ISNUMBER('Results'!B7),ISNUMBER('Results'!$B$8),ISNUMBER('Inputs'!$B$6),ISNUMBER('Inputs'!$B$7),ISNUMBER('Inputs'!$B$8),ISNUMBER('Inputs'!$B$9),ISNUMBER('Inputs'!$B$10),ISNUMBER('Inputs'!$B$21),ISNUMBER('Inputs'!$B$24),ISNUMBER('Inputs'!$B$28)),(('Results'!C7*(0.5*((((705-43)*MAX('Inputs'!$B$33,'Inputs'!$B$29+'Inputs'!$B$31+'Inputs'!$B$32,'Inputs'!$B$30+'Inputs'!$B$31+'Inputs'!$B$32)/1000+'Inputs'!$B$21)+'Inputs'!$B$9)/SQRT((((705-43)*MAX('Inputs'!$B$33,'Inputs'!$B$29+'Inputs'!$B$31+'Inputs'!$B$32,'Inputs'!$B$30+'Inputs'!$B$31+'Inputs'!$B$32)/1000+'Inputs'!$B$21)+'Inputs'!$B$9)^2+('Inputs'!$B$8/2)^2)-(((705-43)*MAX('Inputs'!$B$33,'Inputs'!$B$29+'Inputs'!$B$31+'Inputs'!$B$32,'Inputs'!$B$30+'Inputs'!$B$31+'Inputs'!$B$32)/1000+'Inputs'!$B$21))/SQRT((((705-43)*MAX('Inputs'!$B$33,'Inputs'!$B$29+'Inputs'!$B$31+'Inputs'!$B$32,'Inputs'!$B$30+'Inputs'!$B$31+'Inputs'!$B$32)/1000+'Inputs'!$B$21))^2+('Inputs'!$B$8/2)^2)))-'Results'!B7*(0.5*((((705-43)*MAX('Inputs'!$B$33,'Inputs'!$B$29+'Inputs'!$B$31+'Inputs'!$B$32,'Inputs'!$B$30+'Inputs'!$B$31+'Inputs'!$B$32)/1000+'Inputs'!$B$21+'Inputs'!$B$9+'Inputs'!$B$10)+'Inputs'!$B$7)/SQRT((((705-43)*MAX('Inputs'!$B$33,'Inputs'!$B$29+'Inputs'!$B$31+'Inputs'!$B$32,'Inputs'!$B$30+'Inputs'!$B$31+'Inputs'!$B$32)/1000+'Inputs'!$B$21+'Inputs'!$B$9+'Inputs'!$B$10)+'Inputs'!$B$7)^2+('Inputs'!$B$6/2)^2)-(((705-43)*MAX('Inputs'!$B$33,'Inputs'!$B$29+'Inputs'!$B$31+'Inputs'!$B$32,'Inputs'!$B$30+'Inputs'!$B$31+'Inputs'!$B$32)/1000+'Inputs'!$B$21+'Inputs'!$B$9+'Inputs'!$B$10))/SQRT((((705-43)*MAX('Inputs'!$B$33,'Inputs'!$B$29+'Inputs'!$B$31+'Inputs'!$B$32,'Inputs'!$B$30+'Inputs'!$B$31+'Inputs'!$B$32)/1000+'Inputs'!$B$21+'Inputs'!$B$9+'Inputs'!$B$10))^2+('Inputs'!$B$6/2)^2))))*'Results'!$B$8),"")</x:f>
        <x:v>1.440754120036652</x:v>
      </x:c>
      <x:c r="N705" t="n">
        <x:f>IF(AND(ISNUMBER('Results'!C7),ISNUMBER('Results'!B7),ISNUMBER('Results'!$B$8),ISNUMBER('Inputs'!$B$6),ISNUMBER('Inputs'!$B$7),ISNUMBER('Inputs'!$B$8),ISNUMBER('Inputs'!$B$9),ISNUMBER('Inputs'!$B$10),ISNUMBER('Inputs'!$B$21),ISNUMBER('Inputs'!$B$24),ISNUMBER('Inputs'!$B$28)),((('Results'!C7*(1-'Inputs'!$B$24)*(0.5*((((705-43)*MAX('Inputs'!$B$33,'Inputs'!$B$29+'Inputs'!$B$31+'Inputs'!$B$32,'Inputs'!$B$30+'Inputs'!$B$31+'Inputs'!$B$32)/1000+'Inputs'!$B$21)+'Inputs'!$B$9)/SQRT((((705-43)*MAX('Inputs'!$B$33,'Inputs'!$B$29+'Inputs'!$B$31+'Inputs'!$B$32,'Inputs'!$B$30+'Inputs'!$B$31+'Inputs'!$B$32)/1000+'Inputs'!$B$21)+'Inputs'!$B$9)^2+('Inputs'!$B$8/2)^2)-(((705-43)*MAX('Inputs'!$B$33,'Inputs'!$B$29+'Inputs'!$B$31+'Inputs'!$B$32,'Inputs'!$B$30+'Inputs'!$B$31+'Inputs'!$B$32)/1000+'Inputs'!$B$21))/SQRT((((705-43)*MAX('Inputs'!$B$33,'Inputs'!$B$29+'Inputs'!$B$31+'Inputs'!$B$32,'Inputs'!$B$30+'Inputs'!$B$31+'Inputs'!$B$32)/1000+'Inputs'!$B$21))^2+('Inputs'!$B$8/2)^2)))-'Results'!B7*(1+'Inputs'!$B$24)*(0.5*((((705-43)*MAX('Inputs'!$B$33,'Inputs'!$B$29+'Inputs'!$B$31+'Inputs'!$B$32,'Inputs'!$B$30+'Inputs'!$B$31+'Inputs'!$B$32)/1000+'Inputs'!$B$21+'Inputs'!$B$9+'Inputs'!$B$10)+'Inputs'!$B$7)/SQRT((((705-43)*MAX('Inputs'!$B$33,'Inputs'!$B$29+'Inputs'!$B$31+'Inputs'!$B$32,'Inputs'!$B$30+'Inputs'!$B$31+'Inputs'!$B$32)/1000+'Inputs'!$B$21+'Inputs'!$B$9+'Inputs'!$B$10)+'Inputs'!$B$7)^2+('Inputs'!$B$6/2)^2)-(((705-43)*MAX('Inputs'!$B$33,'Inputs'!$B$29+'Inputs'!$B$31+'Inputs'!$B$32,'Inputs'!$B$30+'Inputs'!$B$31+'Inputs'!$B$32)/1000+'Inputs'!$B$21+'Inputs'!$B$9+'Inputs'!$B$10))/SQRT((((705-43)*MAX('Inputs'!$B$33,'Inputs'!$B$29+'Inputs'!$B$31+'Inputs'!$B$32,'Inputs'!$B$30+'Inputs'!$B$31+'Inputs'!$B$32)/1000+'Inputs'!$B$21+'Inputs'!$B$9+'Inputs'!$B$10))^2+('Inputs'!$B$6/2)^2))))*'Results'!$B$8)-'Inputs'!$B$28*ABS((('Results'!C7*(1-'Inputs'!$B$24)*(0.5*((((705-43)*MAX('Inputs'!$B$33,'Inputs'!$B$29+'Inputs'!$B$31+'Inputs'!$B$32,'Inputs'!$B$30+'Inputs'!$B$31+'Inputs'!$B$32)/1000+'Inputs'!$B$21)+'Inputs'!$B$9)/SQRT((((705-43)*MAX('Inputs'!$B$33,'Inputs'!$B$29+'Inputs'!$B$31+'Inputs'!$B$32,'Inputs'!$B$30+'Inputs'!$B$31+'Inputs'!$B$32)/1000+'Inputs'!$B$21)+'Inputs'!$B$9)^2+('Inputs'!$B$8/2)^2)-(((705-43)*MAX('Inputs'!$B$33,'Inputs'!$B$29+'Inputs'!$B$31+'Inputs'!$B$32,'Inputs'!$B$30+'Inputs'!$B$31+'Inputs'!$B$32)/1000+'Inputs'!$B$21))/SQRT((((705-43)*MAX('Inputs'!$B$33,'Inputs'!$B$29+'Inputs'!$B$31+'Inputs'!$B$32,'Inputs'!$B$30+'Inputs'!$B$31+'Inputs'!$B$32)/1000+'Inputs'!$B$21))^2+('Inputs'!$B$8/2)^2)))-'Results'!B7*(1+'Inputs'!$B$24)*(0.5*((((705-43)*MAX('Inputs'!$B$33,'Inputs'!$B$29+'Inputs'!$B$31+'Inputs'!$B$32,'Inputs'!$B$30+'Inputs'!$B$31+'Inputs'!$B$32)/1000+'Inputs'!$B$21+'Inputs'!$B$9+'Inputs'!$B$10)+'Inputs'!$B$7)/SQRT((((705-43)*MAX('Inputs'!$B$33,'Inputs'!$B$29+'Inputs'!$B$31+'Inputs'!$B$32,'Inputs'!$B$30+'Inputs'!$B$31+'Inputs'!$B$32)/1000+'Inputs'!$B$21+'Inputs'!$B$9+'Inputs'!$B$10)+'Inputs'!$B$7)^2+('Inputs'!$B$6/2)^2)-(((705-43)*MAX('Inputs'!$B$33,'Inputs'!$B$29+'Inputs'!$B$31+'Inputs'!$B$32,'Inputs'!$B$30+'Inputs'!$B$31+'Inputs'!$B$32)/1000+'Inputs'!$B$21+'Inputs'!$B$9+'Inputs'!$B$10))/SQRT((((705-43)*MAX('Inputs'!$B$33,'Inputs'!$B$29+'Inputs'!$B$31+'Inputs'!$B$32,'Inputs'!$B$30+'Inputs'!$B$31+'Inputs'!$B$32)/1000+'Inputs'!$B$21+'Inputs'!$B$9+'Inputs'!$B$10))^2+('Inputs'!$B$6/2)^2))))*'Results'!$B$8))),"")</x:f>
        <x:v>1.2426349385081163</x:v>
      </x:c>
      <x:c r="O705" t="n">
        <x:f>IF(AND(ISNUMBER('Results'!C7),ISNUMBER('Results'!B7),ISNUMBER('Results'!$B$8),ISNUMBER('Inputs'!$B$6),ISNUMBER('Inputs'!$B$7),ISNUMBER('Inputs'!$B$8),ISNUMBER('Inputs'!$B$9),ISNUMBER('Inputs'!$B$10),ISNUMBER('Inputs'!$B$21),ISNUMBER('Inputs'!$B$24),ISNUMBER('Inputs'!$B$28)),((('Results'!C7*(1+'Inputs'!$B$24)*(0.5*((((705-43)*MAX('Inputs'!$B$33,'Inputs'!$B$29+'Inputs'!$B$31+'Inputs'!$B$32,'Inputs'!$B$30+'Inputs'!$B$31+'Inputs'!$B$32)/1000+'Inputs'!$B$21)+'Inputs'!$B$9)/SQRT((((705-43)*MAX('Inputs'!$B$33,'Inputs'!$B$29+'Inputs'!$B$31+'Inputs'!$B$32,'Inputs'!$B$30+'Inputs'!$B$31+'Inputs'!$B$32)/1000+'Inputs'!$B$21)+'Inputs'!$B$9)^2+('Inputs'!$B$8/2)^2)-(((705-43)*MAX('Inputs'!$B$33,'Inputs'!$B$29+'Inputs'!$B$31+'Inputs'!$B$32,'Inputs'!$B$30+'Inputs'!$B$31+'Inputs'!$B$32)/1000+'Inputs'!$B$21))/SQRT((((705-43)*MAX('Inputs'!$B$33,'Inputs'!$B$29+'Inputs'!$B$31+'Inputs'!$B$32,'Inputs'!$B$30+'Inputs'!$B$31+'Inputs'!$B$32)/1000+'Inputs'!$B$21))^2+('Inputs'!$B$8/2)^2)))-'Results'!B7*(1-'Inputs'!$B$24)*(0.5*((((705-43)*MAX('Inputs'!$B$33,'Inputs'!$B$29+'Inputs'!$B$31+'Inputs'!$B$32,'Inputs'!$B$30+'Inputs'!$B$31+'Inputs'!$B$32)/1000+'Inputs'!$B$21+'Inputs'!$B$9+'Inputs'!$B$10)+'Inputs'!$B$7)/SQRT((((705-43)*MAX('Inputs'!$B$33,'Inputs'!$B$29+'Inputs'!$B$31+'Inputs'!$B$32,'Inputs'!$B$30+'Inputs'!$B$31+'Inputs'!$B$32)/1000+'Inputs'!$B$21+'Inputs'!$B$9+'Inputs'!$B$10)+'Inputs'!$B$7)^2+('Inputs'!$B$6/2)^2)-(((705-43)*MAX('Inputs'!$B$33,'Inputs'!$B$29+'Inputs'!$B$31+'Inputs'!$B$32,'Inputs'!$B$30+'Inputs'!$B$31+'Inputs'!$B$32)/1000+'Inputs'!$B$21+'Inputs'!$B$9+'Inputs'!$B$10))/SQRT((((705-43)*MAX('Inputs'!$B$33,'Inputs'!$B$29+'Inputs'!$B$31+'Inputs'!$B$32,'Inputs'!$B$30+'Inputs'!$B$31+'Inputs'!$B$32)/1000+'Inputs'!$B$21+'Inputs'!$B$9+'Inputs'!$B$10))^2+('Inputs'!$B$6/2)^2))))*'Results'!$B$8)+'Inputs'!$B$28*ABS((('Results'!C7*(1+'Inputs'!$B$24)*(0.5*((((705-43)*MAX('Inputs'!$B$33,'Inputs'!$B$29+'Inputs'!$B$31+'Inputs'!$B$32,'Inputs'!$B$30+'Inputs'!$B$31+'Inputs'!$B$32)/1000+'Inputs'!$B$21)+'Inputs'!$B$9)/SQRT((((705-43)*MAX('Inputs'!$B$33,'Inputs'!$B$29+'Inputs'!$B$31+'Inputs'!$B$32,'Inputs'!$B$30+'Inputs'!$B$31+'Inputs'!$B$32)/1000+'Inputs'!$B$21)+'Inputs'!$B$9)^2+('Inputs'!$B$8/2)^2)-(((705-43)*MAX('Inputs'!$B$33,'Inputs'!$B$29+'Inputs'!$B$31+'Inputs'!$B$32,'Inputs'!$B$30+'Inputs'!$B$31+'Inputs'!$B$32)/1000+'Inputs'!$B$21))/SQRT((((705-43)*MAX('Inputs'!$B$33,'Inputs'!$B$29+'Inputs'!$B$31+'Inputs'!$B$32,'Inputs'!$B$30+'Inputs'!$B$31+'Inputs'!$B$32)/1000+'Inputs'!$B$21))^2+('Inputs'!$B$8/2)^2)))-'Results'!B7*(1-'Inputs'!$B$24)*(0.5*((((705-43)*MAX('Inputs'!$B$33,'Inputs'!$B$29+'Inputs'!$B$31+'Inputs'!$B$32,'Inputs'!$B$30+'Inputs'!$B$31+'Inputs'!$B$32)/1000+'Inputs'!$B$21+'Inputs'!$B$9+'Inputs'!$B$10)+'Inputs'!$B$7)/SQRT((((705-43)*MAX('Inputs'!$B$33,'Inputs'!$B$29+'Inputs'!$B$31+'Inputs'!$B$32,'Inputs'!$B$30+'Inputs'!$B$31+'Inputs'!$B$32)/1000+'Inputs'!$B$21+'Inputs'!$B$9+'Inputs'!$B$10)+'Inputs'!$B$7)^2+('Inputs'!$B$6/2)^2)-(((705-43)*MAX('Inputs'!$B$33,'Inputs'!$B$29+'Inputs'!$B$31+'Inputs'!$B$32,'Inputs'!$B$30+'Inputs'!$B$31+'Inputs'!$B$32)/1000+'Inputs'!$B$21+'Inputs'!$B$9+'Inputs'!$B$10))/SQRT((((705-43)*MAX('Inputs'!$B$33,'Inputs'!$B$29+'Inputs'!$B$31+'Inputs'!$B$32,'Inputs'!$B$30+'Inputs'!$B$31+'Inputs'!$B$32)/1000+'Inputs'!$B$21+'Inputs'!$B$9+'Inputs'!$B$10))^2+('Inputs'!$B$6/2)^2))))*'Results'!$B$8))),"")</x:f>
        <x:v>1.6521450358311565</x:v>
      </x:c>
      <x:c r="P705" t="n">
        <x:f>IF(AND(MAX(J705,J704)&gt;0,J705&gt;J704+0.00000001),1,0)</x:f>
        <x:v>0</x:v>
      </x:c>
      <x:c r="Q705" t="n">
        <x:f>IF(AND(MAX(K705,K704)&gt;0,K705&gt;K704+0.00000001),1,0)</x:f>
        <x:v>0</x:v>
      </x:c>
      <x:c r="R705" t="n">
        <x:f>IF(AND(MAX(L705,L704)&gt;0,L705&gt;L704+0.00000001),1,0)</x:f>
        <x:v>0</x:v>
      </x:c>
      <x:c r="S705" t="n">
        <x:f>IF(AND(MAX(M705,M704)&gt;0,M705&gt;M704+0.00000001),1,0)</x:f>
        <x:v>0</x:v>
      </x:c>
      <x:c r="T705" t="n">
        <x:f>IF(AND(MAX(N705,N704)&gt;0,N705&gt;N704+0.00000001),1,0)</x:f>
        <x:v>0</x:v>
      </x:c>
      <x:c r="U705" t="n">
        <x:f>IF(AND(MAX(O705,O704)&gt;0,O705&gt;O704+0.00000001),1,0)</x:f>
        <x:v>0</x:v>
      </x:c>
    </x:row>
    <x:row r="706">
      <x:c r="J706" t="n">
        <x:f>IF(AND(ISNUMBER('Results'!B7),ISNUMBER('Results'!C7),ISNUMBER('Results'!$B$8),ISNUMBER('Inputs'!$B$6),ISNUMBER('Inputs'!$B$7),ISNUMBER('Inputs'!$B$8),ISNUMBER('Inputs'!$B$9),ISNUMBER('Inputs'!$B$10),ISNUMBER('Inputs'!$B$21),ISNUMBER('Inputs'!$B$24),ISNUMBER('Inputs'!$B$28)),(('Results'!B7*(0.5*((((706-43)*MAX('Inputs'!$B$33,'Inputs'!$B$29+'Inputs'!$B$31+'Inputs'!$B$32,'Inputs'!$B$30+'Inputs'!$B$31+'Inputs'!$B$32)/1000+'Inputs'!$B$21)+'Inputs'!$B$7)/SQRT((((706-43)*MAX('Inputs'!$B$33,'Inputs'!$B$29+'Inputs'!$B$31+'Inputs'!$B$32,'Inputs'!$B$30+'Inputs'!$B$31+'Inputs'!$B$32)/1000+'Inputs'!$B$21)+'Inputs'!$B$7)^2+('Inputs'!$B$6/2)^2)-(((706-43)*MAX('Inputs'!$B$33,'Inputs'!$B$29+'Inputs'!$B$31+'Inputs'!$B$32,'Inputs'!$B$30+'Inputs'!$B$31+'Inputs'!$B$32)/1000+'Inputs'!$B$21))/SQRT((((706-43)*MAX('Inputs'!$B$33,'Inputs'!$B$29+'Inputs'!$B$31+'Inputs'!$B$32,'Inputs'!$B$30+'Inputs'!$B$31+'Inputs'!$B$32)/1000+'Inputs'!$B$21))^2+('Inputs'!$B$6/2)^2)))-'Results'!C7*(0.5*((((706-43)*MAX('Inputs'!$B$33,'Inputs'!$B$29+'Inputs'!$B$31+'Inputs'!$B$32,'Inputs'!$B$30+'Inputs'!$B$31+'Inputs'!$B$32)/1000+'Inputs'!$B$21+'Inputs'!$B$7+'Inputs'!$B$10)+'Inputs'!$B$9)/SQRT((((706-43)*MAX('Inputs'!$B$33,'Inputs'!$B$29+'Inputs'!$B$31+'Inputs'!$B$32,'Inputs'!$B$30+'Inputs'!$B$31+'Inputs'!$B$32)/1000+'Inputs'!$B$21+'Inputs'!$B$7+'Inputs'!$B$10)+'Inputs'!$B$9)^2+('Inputs'!$B$8/2)^2)-(((706-43)*MAX('Inputs'!$B$33,'Inputs'!$B$29+'Inputs'!$B$31+'Inputs'!$B$32,'Inputs'!$B$30+'Inputs'!$B$31+'Inputs'!$B$32)/1000+'Inputs'!$B$21+'Inputs'!$B$7+'Inputs'!$B$10))/SQRT((((706-43)*MAX('Inputs'!$B$33,'Inputs'!$B$29+'Inputs'!$B$31+'Inputs'!$B$32,'Inputs'!$B$30+'Inputs'!$B$31+'Inputs'!$B$32)/1000+'Inputs'!$B$21+'Inputs'!$B$7+'Inputs'!$B$10))^2+('Inputs'!$B$8/2)^2))))*'Results'!$B$8),"")</x:f>
        <x:v>1.5667413465359348</x:v>
      </x:c>
      <x:c r="K706" t="n">
        <x:f>IF(AND(ISNUMBER('Results'!B7),ISNUMBER('Results'!C7),ISNUMBER('Results'!$B$8),ISNUMBER('Inputs'!$B$6),ISNUMBER('Inputs'!$B$7),ISNUMBER('Inputs'!$B$8),ISNUMBER('Inputs'!$B$9),ISNUMBER('Inputs'!$B$10),ISNUMBER('Inputs'!$B$21),ISNUMBER('Inputs'!$B$24),ISNUMBER('Inputs'!$B$28)),((('Results'!B7*(1-'Inputs'!$B$24)*(0.5*((((706-43)*MAX('Inputs'!$B$33,'Inputs'!$B$29+'Inputs'!$B$31+'Inputs'!$B$32,'Inputs'!$B$30+'Inputs'!$B$31+'Inputs'!$B$32)/1000+'Inputs'!$B$21)+'Inputs'!$B$7)/SQRT((((706-43)*MAX('Inputs'!$B$33,'Inputs'!$B$29+'Inputs'!$B$31+'Inputs'!$B$32,'Inputs'!$B$30+'Inputs'!$B$31+'Inputs'!$B$32)/1000+'Inputs'!$B$21)+'Inputs'!$B$7)^2+('Inputs'!$B$6/2)^2)-(((706-43)*MAX('Inputs'!$B$33,'Inputs'!$B$29+'Inputs'!$B$31+'Inputs'!$B$32,'Inputs'!$B$30+'Inputs'!$B$31+'Inputs'!$B$32)/1000+'Inputs'!$B$21))/SQRT((((706-43)*MAX('Inputs'!$B$33,'Inputs'!$B$29+'Inputs'!$B$31+'Inputs'!$B$32,'Inputs'!$B$30+'Inputs'!$B$31+'Inputs'!$B$32)/1000+'Inputs'!$B$21))^2+('Inputs'!$B$6/2)^2)))-'Results'!C7*(1+'Inputs'!$B$24)*(0.5*((((706-43)*MAX('Inputs'!$B$33,'Inputs'!$B$29+'Inputs'!$B$31+'Inputs'!$B$32,'Inputs'!$B$30+'Inputs'!$B$31+'Inputs'!$B$32)/1000+'Inputs'!$B$21+'Inputs'!$B$7+'Inputs'!$B$10)+'Inputs'!$B$9)/SQRT((((706-43)*MAX('Inputs'!$B$33,'Inputs'!$B$29+'Inputs'!$B$31+'Inputs'!$B$32,'Inputs'!$B$30+'Inputs'!$B$31+'Inputs'!$B$32)/1000+'Inputs'!$B$21+'Inputs'!$B$7+'Inputs'!$B$10)+'Inputs'!$B$9)^2+('Inputs'!$B$8/2)^2)-(((706-43)*MAX('Inputs'!$B$33,'Inputs'!$B$29+'Inputs'!$B$31+'Inputs'!$B$32,'Inputs'!$B$30+'Inputs'!$B$31+'Inputs'!$B$32)/1000+'Inputs'!$B$21+'Inputs'!$B$7+'Inputs'!$B$10))/SQRT((((706-43)*MAX('Inputs'!$B$33,'Inputs'!$B$29+'Inputs'!$B$31+'Inputs'!$B$32,'Inputs'!$B$30+'Inputs'!$B$31+'Inputs'!$B$32)/1000+'Inputs'!$B$21+'Inputs'!$B$7+'Inputs'!$B$10))^2+('Inputs'!$B$8/2)^2))))*'Results'!$B$8)-'Inputs'!$B$28*ABS((('Results'!B7*(1-'Inputs'!$B$24)*(0.5*((((706-43)*MAX('Inputs'!$B$33,'Inputs'!$B$29+'Inputs'!$B$31+'Inputs'!$B$32,'Inputs'!$B$30+'Inputs'!$B$31+'Inputs'!$B$32)/1000+'Inputs'!$B$21)+'Inputs'!$B$7)/SQRT((((706-43)*MAX('Inputs'!$B$33,'Inputs'!$B$29+'Inputs'!$B$31+'Inputs'!$B$32,'Inputs'!$B$30+'Inputs'!$B$31+'Inputs'!$B$32)/1000+'Inputs'!$B$21)+'Inputs'!$B$7)^2+('Inputs'!$B$6/2)^2)-(((706-43)*MAX('Inputs'!$B$33,'Inputs'!$B$29+'Inputs'!$B$31+'Inputs'!$B$32,'Inputs'!$B$30+'Inputs'!$B$31+'Inputs'!$B$32)/1000+'Inputs'!$B$21))/SQRT((((706-43)*MAX('Inputs'!$B$33,'Inputs'!$B$29+'Inputs'!$B$31+'Inputs'!$B$32,'Inputs'!$B$30+'Inputs'!$B$31+'Inputs'!$B$32)/1000+'Inputs'!$B$21))^2+('Inputs'!$B$6/2)^2)))-'Results'!C7*(1+'Inputs'!$B$24)*(0.5*((((706-43)*MAX('Inputs'!$B$33,'Inputs'!$B$29+'Inputs'!$B$31+'Inputs'!$B$32,'Inputs'!$B$30+'Inputs'!$B$31+'Inputs'!$B$32)/1000+'Inputs'!$B$21+'Inputs'!$B$7+'Inputs'!$B$10)+'Inputs'!$B$9)/SQRT((((706-43)*MAX('Inputs'!$B$33,'Inputs'!$B$29+'Inputs'!$B$31+'Inputs'!$B$32,'Inputs'!$B$30+'Inputs'!$B$31+'Inputs'!$B$32)/1000+'Inputs'!$B$21+'Inputs'!$B$7+'Inputs'!$B$10)+'Inputs'!$B$9)^2+('Inputs'!$B$8/2)^2)-(((706-43)*MAX('Inputs'!$B$33,'Inputs'!$B$29+'Inputs'!$B$31+'Inputs'!$B$32,'Inputs'!$B$30+'Inputs'!$B$31+'Inputs'!$B$32)/1000+'Inputs'!$B$21+'Inputs'!$B$7+'Inputs'!$B$10))/SQRT((((706-43)*MAX('Inputs'!$B$33,'Inputs'!$B$29+'Inputs'!$B$31+'Inputs'!$B$32,'Inputs'!$B$30+'Inputs'!$B$31+'Inputs'!$B$32)/1000+'Inputs'!$B$21+'Inputs'!$B$7+'Inputs'!$B$10))^2+('Inputs'!$B$8/2)^2))))*'Results'!$B$8))),"")</x:f>
        <x:v>1.362263329557039</x:v>
      </x:c>
      <x:c r="L706" t="n">
        <x:f>IF(AND(ISNUMBER('Results'!B7),ISNUMBER('Results'!C7),ISNUMBER('Results'!$B$8),ISNUMBER('Inputs'!$B$6),ISNUMBER('Inputs'!$B$7),ISNUMBER('Inputs'!$B$8),ISNUMBER('Inputs'!$B$9),ISNUMBER('Inputs'!$B$10),ISNUMBER('Inputs'!$B$21),ISNUMBER('Inputs'!$B$24),ISNUMBER('Inputs'!$B$28)),((('Results'!B7*(1+'Inputs'!$B$24)*(0.5*((((706-43)*MAX('Inputs'!$B$33,'Inputs'!$B$29+'Inputs'!$B$31+'Inputs'!$B$32,'Inputs'!$B$30+'Inputs'!$B$31+'Inputs'!$B$32)/1000+'Inputs'!$B$21)+'Inputs'!$B$7)/SQRT((((706-43)*MAX('Inputs'!$B$33,'Inputs'!$B$29+'Inputs'!$B$31+'Inputs'!$B$32,'Inputs'!$B$30+'Inputs'!$B$31+'Inputs'!$B$32)/1000+'Inputs'!$B$21)+'Inputs'!$B$7)^2+('Inputs'!$B$6/2)^2)-(((706-43)*MAX('Inputs'!$B$33,'Inputs'!$B$29+'Inputs'!$B$31+'Inputs'!$B$32,'Inputs'!$B$30+'Inputs'!$B$31+'Inputs'!$B$32)/1000+'Inputs'!$B$21))/SQRT((((706-43)*MAX('Inputs'!$B$33,'Inputs'!$B$29+'Inputs'!$B$31+'Inputs'!$B$32,'Inputs'!$B$30+'Inputs'!$B$31+'Inputs'!$B$32)/1000+'Inputs'!$B$21))^2+('Inputs'!$B$6/2)^2)))-'Results'!C7*(1-'Inputs'!$B$24)*(0.5*((((706-43)*MAX('Inputs'!$B$33,'Inputs'!$B$29+'Inputs'!$B$31+'Inputs'!$B$32,'Inputs'!$B$30+'Inputs'!$B$31+'Inputs'!$B$32)/1000+'Inputs'!$B$21+'Inputs'!$B$7+'Inputs'!$B$10)+'Inputs'!$B$9)/SQRT((((706-43)*MAX('Inputs'!$B$33,'Inputs'!$B$29+'Inputs'!$B$31+'Inputs'!$B$32,'Inputs'!$B$30+'Inputs'!$B$31+'Inputs'!$B$32)/1000+'Inputs'!$B$21+'Inputs'!$B$7+'Inputs'!$B$10)+'Inputs'!$B$9)^2+('Inputs'!$B$8/2)^2)-(((706-43)*MAX('Inputs'!$B$33,'Inputs'!$B$29+'Inputs'!$B$31+'Inputs'!$B$32,'Inputs'!$B$30+'Inputs'!$B$31+'Inputs'!$B$32)/1000+'Inputs'!$B$21+'Inputs'!$B$7+'Inputs'!$B$10))/SQRT((((706-43)*MAX('Inputs'!$B$33,'Inputs'!$B$29+'Inputs'!$B$31+'Inputs'!$B$32,'Inputs'!$B$30+'Inputs'!$B$31+'Inputs'!$B$32)/1000+'Inputs'!$B$21+'Inputs'!$B$7+'Inputs'!$B$10))^2+('Inputs'!$B$8/2)^2))))*'Results'!$B$8)+'Inputs'!$B$28*ABS((('Results'!B7*(1+'Inputs'!$B$24)*(0.5*((((706-43)*MAX('Inputs'!$B$33,'Inputs'!$B$29+'Inputs'!$B$31+'Inputs'!$B$32,'Inputs'!$B$30+'Inputs'!$B$31+'Inputs'!$B$32)/1000+'Inputs'!$B$21)+'Inputs'!$B$7)/SQRT((((706-43)*MAX('Inputs'!$B$33,'Inputs'!$B$29+'Inputs'!$B$31+'Inputs'!$B$32,'Inputs'!$B$30+'Inputs'!$B$31+'Inputs'!$B$32)/1000+'Inputs'!$B$21)+'Inputs'!$B$7)^2+('Inputs'!$B$6/2)^2)-(((706-43)*MAX('Inputs'!$B$33,'Inputs'!$B$29+'Inputs'!$B$31+'Inputs'!$B$32,'Inputs'!$B$30+'Inputs'!$B$31+'Inputs'!$B$32)/1000+'Inputs'!$B$21))/SQRT((((706-43)*MAX('Inputs'!$B$33,'Inputs'!$B$29+'Inputs'!$B$31+'Inputs'!$B$32,'Inputs'!$B$30+'Inputs'!$B$31+'Inputs'!$B$32)/1000+'Inputs'!$B$21))^2+('Inputs'!$B$6/2)^2)))-'Results'!C7*(1-'Inputs'!$B$24)*(0.5*((((706-43)*MAX('Inputs'!$B$33,'Inputs'!$B$29+'Inputs'!$B$31+'Inputs'!$B$32,'Inputs'!$B$30+'Inputs'!$B$31+'Inputs'!$B$32)/1000+'Inputs'!$B$21+'Inputs'!$B$7+'Inputs'!$B$10)+'Inputs'!$B$9)/SQRT((((706-43)*MAX('Inputs'!$B$33,'Inputs'!$B$29+'Inputs'!$B$31+'Inputs'!$B$32,'Inputs'!$B$30+'Inputs'!$B$31+'Inputs'!$B$32)/1000+'Inputs'!$B$21+'Inputs'!$B$7+'Inputs'!$B$10)+'Inputs'!$B$9)^2+('Inputs'!$B$8/2)^2)-(((706-43)*MAX('Inputs'!$B$33,'Inputs'!$B$29+'Inputs'!$B$31+'Inputs'!$B$32,'Inputs'!$B$30+'Inputs'!$B$31+'Inputs'!$B$32)/1000+'Inputs'!$B$21+'Inputs'!$B$7+'Inputs'!$B$10))/SQRT((((706-43)*MAX('Inputs'!$B$33,'Inputs'!$B$29+'Inputs'!$B$31+'Inputs'!$B$32,'Inputs'!$B$30+'Inputs'!$B$31+'Inputs'!$B$32)/1000+'Inputs'!$B$21+'Inputs'!$B$7+'Inputs'!$B$10))^2+('Inputs'!$B$8/2)^2))))*'Results'!$B$8))),"")</x:f>
        <x:v>1.7844973582150518</x:v>
      </x:c>
      <x:c r="M706" t="n">
        <x:f>IF(AND(ISNUMBER('Results'!C7),ISNUMBER('Results'!B7),ISNUMBER('Results'!$B$8),ISNUMBER('Inputs'!$B$6),ISNUMBER('Inputs'!$B$7),ISNUMBER('Inputs'!$B$8),ISNUMBER('Inputs'!$B$9),ISNUMBER('Inputs'!$B$10),ISNUMBER('Inputs'!$B$21),ISNUMBER('Inputs'!$B$24),ISNUMBER('Inputs'!$B$28)),(('Results'!C7*(0.5*((((706-43)*MAX('Inputs'!$B$33,'Inputs'!$B$29+'Inputs'!$B$31+'Inputs'!$B$32,'Inputs'!$B$30+'Inputs'!$B$31+'Inputs'!$B$32)/1000+'Inputs'!$B$21)+'Inputs'!$B$9)/SQRT((((706-43)*MAX('Inputs'!$B$33,'Inputs'!$B$29+'Inputs'!$B$31+'Inputs'!$B$32,'Inputs'!$B$30+'Inputs'!$B$31+'Inputs'!$B$32)/1000+'Inputs'!$B$21)+'Inputs'!$B$9)^2+('Inputs'!$B$8/2)^2)-(((706-43)*MAX('Inputs'!$B$33,'Inputs'!$B$29+'Inputs'!$B$31+'Inputs'!$B$32,'Inputs'!$B$30+'Inputs'!$B$31+'Inputs'!$B$32)/1000+'Inputs'!$B$21))/SQRT((((706-43)*MAX('Inputs'!$B$33,'Inputs'!$B$29+'Inputs'!$B$31+'Inputs'!$B$32,'Inputs'!$B$30+'Inputs'!$B$31+'Inputs'!$B$32)/1000+'Inputs'!$B$21))^2+('Inputs'!$B$8/2)^2)))-'Results'!B7*(0.5*((((706-43)*MAX('Inputs'!$B$33,'Inputs'!$B$29+'Inputs'!$B$31+'Inputs'!$B$32,'Inputs'!$B$30+'Inputs'!$B$31+'Inputs'!$B$32)/1000+'Inputs'!$B$21+'Inputs'!$B$9+'Inputs'!$B$10)+'Inputs'!$B$7)/SQRT((((706-43)*MAX('Inputs'!$B$33,'Inputs'!$B$29+'Inputs'!$B$31+'Inputs'!$B$32,'Inputs'!$B$30+'Inputs'!$B$31+'Inputs'!$B$32)/1000+'Inputs'!$B$21+'Inputs'!$B$9+'Inputs'!$B$10)+'Inputs'!$B$7)^2+('Inputs'!$B$6/2)^2)-(((706-43)*MAX('Inputs'!$B$33,'Inputs'!$B$29+'Inputs'!$B$31+'Inputs'!$B$32,'Inputs'!$B$30+'Inputs'!$B$31+'Inputs'!$B$32)/1000+'Inputs'!$B$21+'Inputs'!$B$9+'Inputs'!$B$10))/SQRT((((706-43)*MAX('Inputs'!$B$33,'Inputs'!$B$29+'Inputs'!$B$31+'Inputs'!$B$32,'Inputs'!$B$30+'Inputs'!$B$31+'Inputs'!$B$32)/1000+'Inputs'!$B$21+'Inputs'!$B$9+'Inputs'!$B$10))^2+('Inputs'!$B$6/2)^2))))*'Results'!$B$8),"")</x:f>
        <x:v>1.4329262452472815</x:v>
      </x:c>
      <x:c r="N706" t="n">
        <x:f>IF(AND(ISNUMBER('Results'!C7),ISNUMBER('Results'!B7),ISNUMBER('Results'!$B$8),ISNUMBER('Inputs'!$B$6),ISNUMBER('Inputs'!$B$7),ISNUMBER('Inputs'!$B$8),ISNUMBER('Inputs'!$B$9),ISNUMBER('Inputs'!$B$10),ISNUMBER('Inputs'!$B$21),ISNUMBER('Inputs'!$B$24),ISNUMBER('Inputs'!$B$28)),((('Results'!C7*(1-'Inputs'!$B$24)*(0.5*((((706-43)*MAX('Inputs'!$B$33,'Inputs'!$B$29+'Inputs'!$B$31+'Inputs'!$B$32,'Inputs'!$B$30+'Inputs'!$B$31+'Inputs'!$B$32)/1000+'Inputs'!$B$21)+'Inputs'!$B$9)/SQRT((((706-43)*MAX('Inputs'!$B$33,'Inputs'!$B$29+'Inputs'!$B$31+'Inputs'!$B$32,'Inputs'!$B$30+'Inputs'!$B$31+'Inputs'!$B$32)/1000+'Inputs'!$B$21)+'Inputs'!$B$9)^2+('Inputs'!$B$8/2)^2)-(((706-43)*MAX('Inputs'!$B$33,'Inputs'!$B$29+'Inputs'!$B$31+'Inputs'!$B$32,'Inputs'!$B$30+'Inputs'!$B$31+'Inputs'!$B$32)/1000+'Inputs'!$B$21))/SQRT((((706-43)*MAX('Inputs'!$B$33,'Inputs'!$B$29+'Inputs'!$B$31+'Inputs'!$B$32,'Inputs'!$B$30+'Inputs'!$B$31+'Inputs'!$B$32)/1000+'Inputs'!$B$21))^2+('Inputs'!$B$8/2)^2)))-'Results'!B7*(1+'Inputs'!$B$24)*(0.5*((((706-43)*MAX('Inputs'!$B$33,'Inputs'!$B$29+'Inputs'!$B$31+'Inputs'!$B$32,'Inputs'!$B$30+'Inputs'!$B$31+'Inputs'!$B$32)/1000+'Inputs'!$B$21+'Inputs'!$B$9+'Inputs'!$B$10)+'Inputs'!$B$7)/SQRT((((706-43)*MAX('Inputs'!$B$33,'Inputs'!$B$29+'Inputs'!$B$31+'Inputs'!$B$32,'Inputs'!$B$30+'Inputs'!$B$31+'Inputs'!$B$32)/1000+'Inputs'!$B$21+'Inputs'!$B$9+'Inputs'!$B$10)+'Inputs'!$B$7)^2+('Inputs'!$B$6/2)^2)-(((706-43)*MAX('Inputs'!$B$33,'Inputs'!$B$29+'Inputs'!$B$31+'Inputs'!$B$32,'Inputs'!$B$30+'Inputs'!$B$31+'Inputs'!$B$32)/1000+'Inputs'!$B$21+'Inputs'!$B$9+'Inputs'!$B$10))/SQRT((((706-43)*MAX('Inputs'!$B$33,'Inputs'!$B$29+'Inputs'!$B$31+'Inputs'!$B$32,'Inputs'!$B$30+'Inputs'!$B$31+'Inputs'!$B$32)/1000+'Inputs'!$B$21+'Inputs'!$B$9+'Inputs'!$B$10))^2+('Inputs'!$B$6/2)^2))))*'Results'!$B$8)-'Inputs'!$B$28*ABS((('Results'!C7*(1-'Inputs'!$B$24)*(0.5*((((706-43)*MAX('Inputs'!$B$33,'Inputs'!$B$29+'Inputs'!$B$31+'Inputs'!$B$32,'Inputs'!$B$30+'Inputs'!$B$31+'Inputs'!$B$32)/1000+'Inputs'!$B$21)+'Inputs'!$B$9)/SQRT((((706-43)*MAX('Inputs'!$B$33,'Inputs'!$B$29+'Inputs'!$B$31+'Inputs'!$B$32,'Inputs'!$B$30+'Inputs'!$B$31+'Inputs'!$B$32)/1000+'Inputs'!$B$21)+'Inputs'!$B$9)^2+('Inputs'!$B$8/2)^2)-(((706-43)*MAX('Inputs'!$B$33,'Inputs'!$B$29+'Inputs'!$B$31+'Inputs'!$B$32,'Inputs'!$B$30+'Inputs'!$B$31+'Inputs'!$B$32)/1000+'Inputs'!$B$21))/SQRT((((706-43)*MAX('Inputs'!$B$33,'Inputs'!$B$29+'Inputs'!$B$31+'Inputs'!$B$32,'Inputs'!$B$30+'Inputs'!$B$31+'Inputs'!$B$32)/1000+'Inputs'!$B$21))^2+('Inputs'!$B$8/2)^2)))-'Results'!B7*(1+'Inputs'!$B$24)*(0.5*((((706-43)*MAX('Inputs'!$B$33,'Inputs'!$B$29+'Inputs'!$B$31+'Inputs'!$B$32,'Inputs'!$B$30+'Inputs'!$B$31+'Inputs'!$B$32)/1000+'Inputs'!$B$21+'Inputs'!$B$9+'Inputs'!$B$10)+'Inputs'!$B$7)/SQRT((((706-43)*MAX('Inputs'!$B$33,'Inputs'!$B$29+'Inputs'!$B$31+'Inputs'!$B$32,'Inputs'!$B$30+'Inputs'!$B$31+'Inputs'!$B$32)/1000+'Inputs'!$B$21+'Inputs'!$B$9+'Inputs'!$B$10)+'Inputs'!$B$7)^2+('Inputs'!$B$6/2)^2)-(((706-43)*MAX('Inputs'!$B$33,'Inputs'!$B$29+'Inputs'!$B$31+'Inputs'!$B$32,'Inputs'!$B$30+'Inputs'!$B$31+'Inputs'!$B$32)/1000+'Inputs'!$B$21+'Inputs'!$B$9+'Inputs'!$B$10))/SQRT((((706-43)*MAX('Inputs'!$B$33,'Inputs'!$B$29+'Inputs'!$B$31+'Inputs'!$B$32,'Inputs'!$B$30+'Inputs'!$B$31+'Inputs'!$B$32)/1000+'Inputs'!$B$21+'Inputs'!$B$9+'Inputs'!$B$10))^2+('Inputs'!$B$6/2)^2))))*'Results'!$B$8))),"")</x:f>
        <x:v>1.2357146771130598</x:v>
      </x:c>
      <x:c r="O706" t="n">
        <x:f>IF(AND(ISNUMBER('Results'!C7),ISNUMBER('Results'!B7),ISNUMBER('Results'!$B$8),ISNUMBER('Inputs'!$B$6),ISNUMBER('Inputs'!$B$7),ISNUMBER('Inputs'!$B$8),ISNUMBER('Inputs'!$B$9),ISNUMBER('Inputs'!$B$10),ISNUMBER('Inputs'!$B$21),ISNUMBER('Inputs'!$B$24),ISNUMBER('Inputs'!$B$28)),((('Results'!C7*(1+'Inputs'!$B$24)*(0.5*((((706-43)*MAX('Inputs'!$B$33,'Inputs'!$B$29+'Inputs'!$B$31+'Inputs'!$B$32,'Inputs'!$B$30+'Inputs'!$B$31+'Inputs'!$B$32)/1000+'Inputs'!$B$21)+'Inputs'!$B$9)/SQRT((((706-43)*MAX('Inputs'!$B$33,'Inputs'!$B$29+'Inputs'!$B$31+'Inputs'!$B$32,'Inputs'!$B$30+'Inputs'!$B$31+'Inputs'!$B$32)/1000+'Inputs'!$B$21)+'Inputs'!$B$9)^2+('Inputs'!$B$8/2)^2)-(((706-43)*MAX('Inputs'!$B$33,'Inputs'!$B$29+'Inputs'!$B$31+'Inputs'!$B$32,'Inputs'!$B$30+'Inputs'!$B$31+'Inputs'!$B$32)/1000+'Inputs'!$B$21))/SQRT((((706-43)*MAX('Inputs'!$B$33,'Inputs'!$B$29+'Inputs'!$B$31+'Inputs'!$B$32,'Inputs'!$B$30+'Inputs'!$B$31+'Inputs'!$B$32)/1000+'Inputs'!$B$21))^2+('Inputs'!$B$8/2)^2)))-'Results'!B7*(1-'Inputs'!$B$24)*(0.5*((((706-43)*MAX('Inputs'!$B$33,'Inputs'!$B$29+'Inputs'!$B$31+'Inputs'!$B$32,'Inputs'!$B$30+'Inputs'!$B$31+'Inputs'!$B$32)/1000+'Inputs'!$B$21+'Inputs'!$B$9+'Inputs'!$B$10)+'Inputs'!$B$7)/SQRT((((706-43)*MAX('Inputs'!$B$33,'Inputs'!$B$29+'Inputs'!$B$31+'Inputs'!$B$32,'Inputs'!$B$30+'Inputs'!$B$31+'Inputs'!$B$32)/1000+'Inputs'!$B$21+'Inputs'!$B$9+'Inputs'!$B$10)+'Inputs'!$B$7)^2+('Inputs'!$B$6/2)^2)-(((706-43)*MAX('Inputs'!$B$33,'Inputs'!$B$29+'Inputs'!$B$31+'Inputs'!$B$32,'Inputs'!$B$30+'Inputs'!$B$31+'Inputs'!$B$32)/1000+'Inputs'!$B$21+'Inputs'!$B$9+'Inputs'!$B$10))/SQRT((((706-43)*MAX('Inputs'!$B$33,'Inputs'!$B$29+'Inputs'!$B$31+'Inputs'!$B$32,'Inputs'!$B$30+'Inputs'!$B$31+'Inputs'!$B$32)/1000+'Inputs'!$B$21+'Inputs'!$B$9+'Inputs'!$B$10))^2+('Inputs'!$B$6/2)^2))))*'Results'!$B$8)+'Inputs'!$B$28*ABS((('Results'!C7*(1+'Inputs'!$B$24)*(0.5*((((706-43)*MAX('Inputs'!$B$33,'Inputs'!$B$29+'Inputs'!$B$31+'Inputs'!$B$32,'Inputs'!$B$30+'Inputs'!$B$31+'Inputs'!$B$32)/1000+'Inputs'!$B$21)+'Inputs'!$B$9)/SQRT((((706-43)*MAX('Inputs'!$B$33,'Inputs'!$B$29+'Inputs'!$B$31+'Inputs'!$B$32,'Inputs'!$B$30+'Inputs'!$B$31+'Inputs'!$B$32)/1000+'Inputs'!$B$21)+'Inputs'!$B$9)^2+('Inputs'!$B$8/2)^2)-(((706-43)*MAX('Inputs'!$B$33,'Inputs'!$B$29+'Inputs'!$B$31+'Inputs'!$B$32,'Inputs'!$B$30+'Inputs'!$B$31+'Inputs'!$B$32)/1000+'Inputs'!$B$21))/SQRT((((706-43)*MAX('Inputs'!$B$33,'Inputs'!$B$29+'Inputs'!$B$31+'Inputs'!$B$32,'Inputs'!$B$30+'Inputs'!$B$31+'Inputs'!$B$32)/1000+'Inputs'!$B$21))^2+('Inputs'!$B$8/2)^2)))-'Results'!B7*(1-'Inputs'!$B$24)*(0.5*((((706-43)*MAX('Inputs'!$B$33,'Inputs'!$B$29+'Inputs'!$B$31+'Inputs'!$B$32,'Inputs'!$B$30+'Inputs'!$B$31+'Inputs'!$B$32)/1000+'Inputs'!$B$21+'Inputs'!$B$9+'Inputs'!$B$10)+'Inputs'!$B$7)/SQRT((((706-43)*MAX('Inputs'!$B$33,'Inputs'!$B$29+'Inputs'!$B$31+'Inputs'!$B$32,'Inputs'!$B$30+'Inputs'!$B$31+'Inputs'!$B$32)/1000+'Inputs'!$B$21+'Inputs'!$B$9+'Inputs'!$B$10)+'Inputs'!$B$7)^2+('Inputs'!$B$6/2)^2)-(((706-43)*MAX('Inputs'!$B$33,'Inputs'!$B$29+'Inputs'!$B$31+'Inputs'!$B$32,'Inputs'!$B$30+'Inputs'!$B$31+'Inputs'!$B$32)/1000+'Inputs'!$B$21+'Inputs'!$B$9+'Inputs'!$B$10))/SQRT((((706-43)*MAX('Inputs'!$B$33,'Inputs'!$B$29+'Inputs'!$B$31+'Inputs'!$B$32,'Inputs'!$B$30+'Inputs'!$B$31+'Inputs'!$B$32)/1000+'Inputs'!$B$21+'Inputs'!$B$9+'Inputs'!$B$10))^2+('Inputs'!$B$6/2)^2))))*'Results'!$B$8))),"")</x:f>
        <x:v>1.6433552087364365</x:v>
      </x:c>
      <x:c r="P706" t="n">
        <x:f>IF(AND(MAX(J706,J705)&gt;0,J706&gt;J705+0.00000001),1,0)</x:f>
        <x:v>0</x:v>
      </x:c>
      <x:c r="Q706" t="n">
        <x:f>IF(AND(MAX(K706,K705)&gt;0,K706&gt;K705+0.00000001),1,0)</x:f>
        <x:v>0</x:v>
      </x:c>
      <x:c r="R706" t="n">
        <x:f>IF(AND(MAX(L706,L705)&gt;0,L706&gt;L705+0.00000001),1,0)</x:f>
        <x:v>0</x:v>
      </x:c>
      <x:c r="S706" t="n">
        <x:f>IF(AND(MAX(M706,M705)&gt;0,M706&gt;M705+0.00000001),1,0)</x:f>
        <x:v>0</x:v>
      </x:c>
      <x:c r="T706" t="n">
        <x:f>IF(AND(MAX(N706,N705)&gt;0,N706&gt;N705+0.00000001),1,0)</x:f>
        <x:v>0</x:v>
      </x:c>
      <x:c r="U706" t="n">
        <x:f>IF(AND(MAX(O706,O705)&gt;0,O706&gt;O705+0.00000001),1,0)</x:f>
        <x:v>0</x:v>
      </x:c>
    </x:row>
    <x:row r="707">
      <x:c r="J707" t="n">
        <x:f>IF(AND(ISNUMBER('Results'!B7),ISNUMBER('Results'!C7),ISNUMBER('Results'!$B$8),ISNUMBER('Inputs'!$B$6),ISNUMBER('Inputs'!$B$7),ISNUMBER('Inputs'!$B$8),ISNUMBER('Inputs'!$B$9),ISNUMBER('Inputs'!$B$10),ISNUMBER('Inputs'!$B$21),ISNUMBER('Inputs'!$B$24),ISNUMBER('Inputs'!$B$28)),(('Results'!B7*(0.5*((((707-43)*MAX('Inputs'!$B$33,'Inputs'!$B$29+'Inputs'!$B$31+'Inputs'!$B$32,'Inputs'!$B$30+'Inputs'!$B$31+'Inputs'!$B$32)/1000+'Inputs'!$B$21)+'Inputs'!$B$7)/SQRT((((707-43)*MAX('Inputs'!$B$33,'Inputs'!$B$29+'Inputs'!$B$31+'Inputs'!$B$32,'Inputs'!$B$30+'Inputs'!$B$31+'Inputs'!$B$32)/1000+'Inputs'!$B$21)+'Inputs'!$B$7)^2+('Inputs'!$B$6/2)^2)-(((707-43)*MAX('Inputs'!$B$33,'Inputs'!$B$29+'Inputs'!$B$31+'Inputs'!$B$32,'Inputs'!$B$30+'Inputs'!$B$31+'Inputs'!$B$32)/1000+'Inputs'!$B$21))/SQRT((((707-43)*MAX('Inputs'!$B$33,'Inputs'!$B$29+'Inputs'!$B$31+'Inputs'!$B$32,'Inputs'!$B$30+'Inputs'!$B$31+'Inputs'!$B$32)/1000+'Inputs'!$B$21))^2+('Inputs'!$B$6/2)^2)))-'Results'!C7*(0.5*((((707-43)*MAX('Inputs'!$B$33,'Inputs'!$B$29+'Inputs'!$B$31+'Inputs'!$B$32,'Inputs'!$B$30+'Inputs'!$B$31+'Inputs'!$B$32)/1000+'Inputs'!$B$21+'Inputs'!$B$7+'Inputs'!$B$10)+'Inputs'!$B$9)/SQRT((((707-43)*MAX('Inputs'!$B$33,'Inputs'!$B$29+'Inputs'!$B$31+'Inputs'!$B$32,'Inputs'!$B$30+'Inputs'!$B$31+'Inputs'!$B$32)/1000+'Inputs'!$B$21+'Inputs'!$B$7+'Inputs'!$B$10)+'Inputs'!$B$9)^2+('Inputs'!$B$8/2)^2)-(((707-43)*MAX('Inputs'!$B$33,'Inputs'!$B$29+'Inputs'!$B$31+'Inputs'!$B$32,'Inputs'!$B$30+'Inputs'!$B$31+'Inputs'!$B$32)/1000+'Inputs'!$B$21+'Inputs'!$B$7+'Inputs'!$B$10))/SQRT((((707-43)*MAX('Inputs'!$B$33,'Inputs'!$B$29+'Inputs'!$B$31+'Inputs'!$B$32,'Inputs'!$B$30+'Inputs'!$B$31+'Inputs'!$B$32)/1000+'Inputs'!$B$21+'Inputs'!$B$7+'Inputs'!$B$10))^2+('Inputs'!$B$8/2)^2))))*'Results'!$B$8),"")</x:f>
        <x:v>1.558418753236312</x:v>
      </x:c>
      <x:c r="K707" t="n">
        <x:f>IF(AND(ISNUMBER('Results'!B7),ISNUMBER('Results'!C7),ISNUMBER('Results'!$B$8),ISNUMBER('Inputs'!$B$6),ISNUMBER('Inputs'!$B$7),ISNUMBER('Inputs'!$B$8),ISNUMBER('Inputs'!$B$9),ISNUMBER('Inputs'!$B$10),ISNUMBER('Inputs'!$B$21),ISNUMBER('Inputs'!$B$24),ISNUMBER('Inputs'!$B$28)),((('Results'!B7*(1-'Inputs'!$B$24)*(0.5*((((707-43)*MAX('Inputs'!$B$33,'Inputs'!$B$29+'Inputs'!$B$31+'Inputs'!$B$32,'Inputs'!$B$30+'Inputs'!$B$31+'Inputs'!$B$32)/1000+'Inputs'!$B$21)+'Inputs'!$B$7)/SQRT((((707-43)*MAX('Inputs'!$B$33,'Inputs'!$B$29+'Inputs'!$B$31+'Inputs'!$B$32,'Inputs'!$B$30+'Inputs'!$B$31+'Inputs'!$B$32)/1000+'Inputs'!$B$21)+'Inputs'!$B$7)^2+('Inputs'!$B$6/2)^2)-(((707-43)*MAX('Inputs'!$B$33,'Inputs'!$B$29+'Inputs'!$B$31+'Inputs'!$B$32,'Inputs'!$B$30+'Inputs'!$B$31+'Inputs'!$B$32)/1000+'Inputs'!$B$21))/SQRT((((707-43)*MAX('Inputs'!$B$33,'Inputs'!$B$29+'Inputs'!$B$31+'Inputs'!$B$32,'Inputs'!$B$30+'Inputs'!$B$31+'Inputs'!$B$32)/1000+'Inputs'!$B$21))^2+('Inputs'!$B$6/2)^2)))-'Results'!C7*(1+'Inputs'!$B$24)*(0.5*((((707-43)*MAX('Inputs'!$B$33,'Inputs'!$B$29+'Inputs'!$B$31+'Inputs'!$B$32,'Inputs'!$B$30+'Inputs'!$B$31+'Inputs'!$B$32)/1000+'Inputs'!$B$21+'Inputs'!$B$7+'Inputs'!$B$10)+'Inputs'!$B$9)/SQRT((((707-43)*MAX('Inputs'!$B$33,'Inputs'!$B$29+'Inputs'!$B$31+'Inputs'!$B$32,'Inputs'!$B$30+'Inputs'!$B$31+'Inputs'!$B$32)/1000+'Inputs'!$B$21+'Inputs'!$B$7+'Inputs'!$B$10)+'Inputs'!$B$9)^2+('Inputs'!$B$8/2)^2)-(((707-43)*MAX('Inputs'!$B$33,'Inputs'!$B$29+'Inputs'!$B$31+'Inputs'!$B$32,'Inputs'!$B$30+'Inputs'!$B$31+'Inputs'!$B$32)/1000+'Inputs'!$B$21+'Inputs'!$B$7+'Inputs'!$B$10))/SQRT((((707-43)*MAX('Inputs'!$B$33,'Inputs'!$B$29+'Inputs'!$B$31+'Inputs'!$B$32,'Inputs'!$B$30+'Inputs'!$B$31+'Inputs'!$B$32)/1000+'Inputs'!$B$21+'Inputs'!$B$7+'Inputs'!$B$10))^2+('Inputs'!$B$8/2)^2))))*'Results'!$B$8)-'Inputs'!$B$28*ABS((('Results'!B7*(1-'Inputs'!$B$24)*(0.5*((((707-43)*MAX('Inputs'!$B$33,'Inputs'!$B$29+'Inputs'!$B$31+'Inputs'!$B$32,'Inputs'!$B$30+'Inputs'!$B$31+'Inputs'!$B$32)/1000+'Inputs'!$B$21)+'Inputs'!$B$7)/SQRT((((707-43)*MAX('Inputs'!$B$33,'Inputs'!$B$29+'Inputs'!$B$31+'Inputs'!$B$32,'Inputs'!$B$30+'Inputs'!$B$31+'Inputs'!$B$32)/1000+'Inputs'!$B$21)+'Inputs'!$B$7)^2+('Inputs'!$B$6/2)^2)-(((707-43)*MAX('Inputs'!$B$33,'Inputs'!$B$29+'Inputs'!$B$31+'Inputs'!$B$32,'Inputs'!$B$30+'Inputs'!$B$31+'Inputs'!$B$32)/1000+'Inputs'!$B$21))/SQRT((((707-43)*MAX('Inputs'!$B$33,'Inputs'!$B$29+'Inputs'!$B$31+'Inputs'!$B$32,'Inputs'!$B$30+'Inputs'!$B$31+'Inputs'!$B$32)/1000+'Inputs'!$B$21))^2+('Inputs'!$B$6/2)^2)))-'Results'!C7*(1+'Inputs'!$B$24)*(0.5*((((707-43)*MAX('Inputs'!$B$33,'Inputs'!$B$29+'Inputs'!$B$31+'Inputs'!$B$32,'Inputs'!$B$30+'Inputs'!$B$31+'Inputs'!$B$32)/1000+'Inputs'!$B$21+'Inputs'!$B$7+'Inputs'!$B$10)+'Inputs'!$B$9)/SQRT((((707-43)*MAX('Inputs'!$B$33,'Inputs'!$B$29+'Inputs'!$B$31+'Inputs'!$B$32,'Inputs'!$B$30+'Inputs'!$B$31+'Inputs'!$B$32)/1000+'Inputs'!$B$21+'Inputs'!$B$7+'Inputs'!$B$10)+'Inputs'!$B$9)^2+('Inputs'!$B$8/2)^2)-(((707-43)*MAX('Inputs'!$B$33,'Inputs'!$B$29+'Inputs'!$B$31+'Inputs'!$B$32,'Inputs'!$B$30+'Inputs'!$B$31+'Inputs'!$B$32)/1000+'Inputs'!$B$21+'Inputs'!$B$7+'Inputs'!$B$10))/SQRT((((707-43)*MAX('Inputs'!$B$33,'Inputs'!$B$29+'Inputs'!$B$31+'Inputs'!$B$32,'Inputs'!$B$30+'Inputs'!$B$31+'Inputs'!$B$32)/1000+'Inputs'!$B$21+'Inputs'!$B$7+'Inputs'!$B$10))^2+('Inputs'!$B$8/2)^2))))*'Results'!$B$8))),"")</x:f>
        <x:v>1.354873353952417</x:v>
      </x:c>
      <x:c r="L707" t="n">
        <x:f>IF(AND(ISNUMBER('Results'!B7),ISNUMBER('Results'!C7),ISNUMBER('Results'!$B$8),ISNUMBER('Inputs'!$B$6),ISNUMBER('Inputs'!$B$7),ISNUMBER('Inputs'!$B$8),ISNUMBER('Inputs'!$B$9),ISNUMBER('Inputs'!$B$10),ISNUMBER('Inputs'!$B$21),ISNUMBER('Inputs'!$B$24),ISNUMBER('Inputs'!$B$28)),((('Results'!B7*(1+'Inputs'!$B$24)*(0.5*((((707-43)*MAX('Inputs'!$B$33,'Inputs'!$B$29+'Inputs'!$B$31+'Inputs'!$B$32,'Inputs'!$B$30+'Inputs'!$B$31+'Inputs'!$B$32)/1000+'Inputs'!$B$21)+'Inputs'!$B$7)/SQRT((((707-43)*MAX('Inputs'!$B$33,'Inputs'!$B$29+'Inputs'!$B$31+'Inputs'!$B$32,'Inputs'!$B$30+'Inputs'!$B$31+'Inputs'!$B$32)/1000+'Inputs'!$B$21)+'Inputs'!$B$7)^2+('Inputs'!$B$6/2)^2)-(((707-43)*MAX('Inputs'!$B$33,'Inputs'!$B$29+'Inputs'!$B$31+'Inputs'!$B$32,'Inputs'!$B$30+'Inputs'!$B$31+'Inputs'!$B$32)/1000+'Inputs'!$B$21))/SQRT((((707-43)*MAX('Inputs'!$B$33,'Inputs'!$B$29+'Inputs'!$B$31+'Inputs'!$B$32,'Inputs'!$B$30+'Inputs'!$B$31+'Inputs'!$B$32)/1000+'Inputs'!$B$21))^2+('Inputs'!$B$6/2)^2)))-'Results'!C7*(1-'Inputs'!$B$24)*(0.5*((((707-43)*MAX('Inputs'!$B$33,'Inputs'!$B$29+'Inputs'!$B$31+'Inputs'!$B$32,'Inputs'!$B$30+'Inputs'!$B$31+'Inputs'!$B$32)/1000+'Inputs'!$B$21+'Inputs'!$B$7+'Inputs'!$B$10)+'Inputs'!$B$9)/SQRT((((707-43)*MAX('Inputs'!$B$33,'Inputs'!$B$29+'Inputs'!$B$31+'Inputs'!$B$32,'Inputs'!$B$30+'Inputs'!$B$31+'Inputs'!$B$32)/1000+'Inputs'!$B$21+'Inputs'!$B$7+'Inputs'!$B$10)+'Inputs'!$B$9)^2+('Inputs'!$B$8/2)^2)-(((707-43)*MAX('Inputs'!$B$33,'Inputs'!$B$29+'Inputs'!$B$31+'Inputs'!$B$32,'Inputs'!$B$30+'Inputs'!$B$31+'Inputs'!$B$32)/1000+'Inputs'!$B$21+'Inputs'!$B$7+'Inputs'!$B$10))/SQRT((((707-43)*MAX('Inputs'!$B$33,'Inputs'!$B$29+'Inputs'!$B$31+'Inputs'!$B$32,'Inputs'!$B$30+'Inputs'!$B$31+'Inputs'!$B$32)/1000+'Inputs'!$B$21+'Inputs'!$B$7+'Inputs'!$B$10))^2+('Inputs'!$B$8/2)^2))))*'Results'!$B$8)+'Inputs'!$B$28*ABS((('Results'!B7*(1+'Inputs'!$B$24)*(0.5*((((707-43)*MAX('Inputs'!$B$33,'Inputs'!$B$29+'Inputs'!$B$31+'Inputs'!$B$32,'Inputs'!$B$30+'Inputs'!$B$31+'Inputs'!$B$32)/1000+'Inputs'!$B$21)+'Inputs'!$B$7)/SQRT((((707-43)*MAX('Inputs'!$B$33,'Inputs'!$B$29+'Inputs'!$B$31+'Inputs'!$B$32,'Inputs'!$B$30+'Inputs'!$B$31+'Inputs'!$B$32)/1000+'Inputs'!$B$21)+'Inputs'!$B$7)^2+('Inputs'!$B$6/2)^2)-(((707-43)*MAX('Inputs'!$B$33,'Inputs'!$B$29+'Inputs'!$B$31+'Inputs'!$B$32,'Inputs'!$B$30+'Inputs'!$B$31+'Inputs'!$B$32)/1000+'Inputs'!$B$21))/SQRT((((707-43)*MAX('Inputs'!$B$33,'Inputs'!$B$29+'Inputs'!$B$31+'Inputs'!$B$32,'Inputs'!$B$30+'Inputs'!$B$31+'Inputs'!$B$32)/1000+'Inputs'!$B$21))^2+('Inputs'!$B$6/2)^2)))-'Results'!C7*(1-'Inputs'!$B$24)*(0.5*((((707-43)*MAX('Inputs'!$B$33,'Inputs'!$B$29+'Inputs'!$B$31+'Inputs'!$B$32,'Inputs'!$B$30+'Inputs'!$B$31+'Inputs'!$B$32)/1000+'Inputs'!$B$21+'Inputs'!$B$7+'Inputs'!$B$10)+'Inputs'!$B$9)/SQRT((((707-43)*MAX('Inputs'!$B$33,'Inputs'!$B$29+'Inputs'!$B$31+'Inputs'!$B$32,'Inputs'!$B$30+'Inputs'!$B$31+'Inputs'!$B$32)/1000+'Inputs'!$B$21+'Inputs'!$B$7+'Inputs'!$B$10)+'Inputs'!$B$9)^2+('Inputs'!$B$8/2)^2)-(((707-43)*MAX('Inputs'!$B$33,'Inputs'!$B$29+'Inputs'!$B$31+'Inputs'!$B$32,'Inputs'!$B$30+'Inputs'!$B$31+'Inputs'!$B$32)/1000+'Inputs'!$B$21+'Inputs'!$B$7+'Inputs'!$B$10))/SQRT((((707-43)*MAX('Inputs'!$B$33,'Inputs'!$B$29+'Inputs'!$B$31+'Inputs'!$B$32,'Inputs'!$B$30+'Inputs'!$B$31+'Inputs'!$B$32)/1000+'Inputs'!$B$21+'Inputs'!$B$7+'Inputs'!$B$10))^2+('Inputs'!$B$8/2)^2))))*'Results'!$B$8))),"")</x:f>
        <x:v>1.7751877800593738</x:v>
      </x:c>
      <x:c r="M707" t="n">
        <x:f>IF(AND(ISNUMBER('Results'!C7),ISNUMBER('Results'!B7),ISNUMBER('Results'!$B$8),ISNUMBER('Inputs'!$B$6),ISNUMBER('Inputs'!$B$7),ISNUMBER('Inputs'!$B$8),ISNUMBER('Inputs'!$B$9),ISNUMBER('Inputs'!$B$10),ISNUMBER('Inputs'!$B$21),ISNUMBER('Inputs'!$B$24),ISNUMBER('Inputs'!$B$28)),(('Results'!C7*(0.5*((((707-43)*MAX('Inputs'!$B$33,'Inputs'!$B$29+'Inputs'!$B$31+'Inputs'!$B$32,'Inputs'!$B$30+'Inputs'!$B$31+'Inputs'!$B$32)/1000+'Inputs'!$B$21)+'Inputs'!$B$9)/SQRT((((707-43)*MAX('Inputs'!$B$33,'Inputs'!$B$29+'Inputs'!$B$31+'Inputs'!$B$32,'Inputs'!$B$30+'Inputs'!$B$31+'Inputs'!$B$32)/1000+'Inputs'!$B$21)+'Inputs'!$B$9)^2+('Inputs'!$B$8/2)^2)-(((707-43)*MAX('Inputs'!$B$33,'Inputs'!$B$29+'Inputs'!$B$31+'Inputs'!$B$32,'Inputs'!$B$30+'Inputs'!$B$31+'Inputs'!$B$32)/1000+'Inputs'!$B$21))/SQRT((((707-43)*MAX('Inputs'!$B$33,'Inputs'!$B$29+'Inputs'!$B$31+'Inputs'!$B$32,'Inputs'!$B$30+'Inputs'!$B$31+'Inputs'!$B$32)/1000+'Inputs'!$B$21))^2+('Inputs'!$B$8/2)^2)))-'Results'!B7*(0.5*((((707-43)*MAX('Inputs'!$B$33,'Inputs'!$B$29+'Inputs'!$B$31+'Inputs'!$B$32,'Inputs'!$B$30+'Inputs'!$B$31+'Inputs'!$B$32)/1000+'Inputs'!$B$21+'Inputs'!$B$9+'Inputs'!$B$10)+'Inputs'!$B$7)/SQRT((((707-43)*MAX('Inputs'!$B$33,'Inputs'!$B$29+'Inputs'!$B$31+'Inputs'!$B$32,'Inputs'!$B$30+'Inputs'!$B$31+'Inputs'!$B$32)/1000+'Inputs'!$B$21+'Inputs'!$B$9+'Inputs'!$B$10)+'Inputs'!$B$7)^2+('Inputs'!$B$6/2)^2)-(((707-43)*MAX('Inputs'!$B$33,'Inputs'!$B$29+'Inputs'!$B$31+'Inputs'!$B$32,'Inputs'!$B$30+'Inputs'!$B$31+'Inputs'!$B$32)/1000+'Inputs'!$B$21+'Inputs'!$B$9+'Inputs'!$B$10))/SQRT((((707-43)*MAX('Inputs'!$B$33,'Inputs'!$B$29+'Inputs'!$B$31+'Inputs'!$B$32,'Inputs'!$B$30+'Inputs'!$B$31+'Inputs'!$B$32)/1000+'Inputs'!$B$21+'Inputs'!$B$9+'Inputs'!$B$10))^2+('Inputs'!$B$6/2)^2))))*'Results'!$B$8),"")</x:f>
        <x:v>1.425151172739273</x:v>
      </x:c>
      <x:c r="N707" t="n">
        <x:f>IF(AND(ISNUMBER('Results'!C7),ISNUMBER('Results'!B7),ISNUMBER('Results'!$B$8),ISNUMBER('Inputs'!$B$6),ISNUMBER('Inputs'!$B$7),ISNUMBER('Inputs'!$B$8),ISNUMBER('Inputs'!$B$9),ISNUMBER('Inputs'!$B$10),ISNUMBER('Inputs'!$B$21),ISNUMBER('Inputs'!$B$24),ISNUMBER('Inputs'!$B$28)),((('Results'!C7*(1-'Inputs'!$B$24)*(0.5*((((707-43)*MAX('Inputs'!$B$33,'Inputs'!$B$29+'Inputs'!$B$31+'Inputs'!$B$32,'Inputs'!$B$30+'Inputs'!$B$31+'Inputs'!$B$32)/1000+'Inputs'!$B$21)+'Inputs'!$B$9)/SQRT((((707-43)*MAX('Inputs'!$B$33,'Inputs'!$B$29+'Inputs'!$B$31+'Inputs'!$B$32,'Inputs'!$B$30+'Inputs'!$B$31+'Inputs'!$B$32)/1000+'Inputs'!$B$21)+'Inputs'!$B$9)^2+('Inputs'!$B$8/2)^2)-(((707-43)*MAX('Inputs'!$B$33,'Inputs'!$B$29+'Inputs'!$B$31+'Inputs'!$B$32,'Inputs'!$B$30+'Inputs'!$B$31+'Inputs'!$B$32)/1000+'Inputs'!$B$21))/SQRT((((707-43)*MAX('Inputs'!$B$33,'Inputs'!$B$29+'Inputs'!$B$31+'Inputs'!$B$32,'Inputs'!$B$30+'Inputs'!$B$31+'Inputs'!$B$32)/1000+'Inputs'!$B$21))^2+('Inputs'!$B$8/2)^2)))-'Results'!B7*(1+'Inputs'!$B$24)*(0.5*((((707-43)*MAX('Inputs'!$B$33,'Inputs'!$B$29+'Inputs'!$B$31+'Inputs'!$B$32,'Inputs'!$B$30+'Inputs'!$B$31+'Inputs'!$B$32)/1000+'Inputs'!$B$21+'Inputs'!$B$9+'Inputs'!$B$10)+'Inputs'!$B$7)/SQRT((((707-43)*MAX('Inputs'!$B$33,'Inputs'!$B$29+'Inputs'!$B$31+'Inputs'!$B$32,'Inputs'!$B$30+'Inputs'!$B$31+'Inputs'!$B$32)/1000+'Inputs'!$B$21+'Inputs'!$B$9+'Inputs'!$B$10)+'Inputs'!$B$7)^2+('Inputs'!$B$6/2)^2)-(((707-43)*MAX('Inputs'!$B$33,'Inputs'!$B$29+'Inputs'!$B$31+'Inputs'!$B$32,'Inputs'!$B$30+'Inputs'!$B$31+'Inputs'!$B$32)/1000+'Inputs'!$B$21+'Inputs'!$B$9+'Inputs'!$B$10))/SQRT((((707-43)*MAX('Inputs'!$B$33,'Inputs'!$B$29+'Inputs'!$B$31+'Inputs'!$B$32,'Inputs'!$B$30+'Inputs'!$B$31+'Inputs'!$B$32)/1000+'Inputs'!$B$21+'Inputs'!$B$9+'Inputs'!$B$10))^2+('Inputs'!$B$6/2)^2))))*'Results'!$B$8)-'Inputs'!$B$28*ABS((('Results'!C7*(1-'Inputs'!$B$24)*(0.5*((((707-43)*MAX('Inputs'!$B$33,'Inputs'!$B$29+'Inputs'!$B$31+'Inputs'!$B$32,'Inputs'!$B$30+'Inputs'!$B$31+'Inputs'!$B$32)/1000+'Inputs'!$B$21)+'Inputs'!$B$9)/SQRT((((707-43)*MAX('Inputs'!$B$33,'Inputs'!$B$29+'Inputs'!$B$31+'Inputs'!$B$32,'Inputs'!$B$30+'Inputs'!$B$31+'Inputs'!$B$32)/1000+'Inputs'!$B$21)+'Inputs'!$B$9)^2+('Inputs'!$B$8/2)^2)-(((707-43)*MAX('Inputs'!$B$33,'Inputs'!$B$29+'Inputs'!$B$31+'Inputs'!$B$32,'Inputs'!$B$30+'Inputs'!$B$31+'Inputs'!$B$32)/1000+'Inputs'!$B$21))/SQRT((((707-43)*MAX('Inputs'!$B$33,'Inputs'!$B$29+'Inputs'!$B$31+'Inputs'!$B$32,'Inputs'!$B$30+'Inputs'!$B$31+'Inputs'!$B$32)/1000+'Inputs'!$B$21))^2+('Inputs'!$B$8/2)^2)))-'Results'!B7*(1+'Inputs'!$B$24)*(0.5*((((707-43)*MAX('Inputs'!$B$33,'Inputs'!$B$29+'Inputs'!$B$31+'Inputs'!$B$32,'Inputs'!$B$30+'Inputs'!$B$31+'Inputs'!$B$32)/1000+'Inputs'!$B$21+'Inputs'!$B$9+'Inputs'!$B$10)+'Inputs'!$B$7)/SQRT((((707-43)*MAX('Inputs'!$B$33,'Inputs'!$B$29+'Inputs'!$B$31+'Inputs'!$B$32,'Inputs'!$B$30+'Inputs'!$B$31+'Inputs'!$B$32)/1000+'Inputs'!$B$21+'Inputs'!$B$9+'Inputs'!$B$10)+'Inputs'!$B$7)^2+('Inputs'!$B$6/2)^2)-(((707-43)*MAX('Inputs'!$B$33,'Inputs'!$B$29+'Inputs'!$B$31+'Inputs'!$B$32,'Inputs'!$B$30+'Inputs'!$B$31+'Inputs'!$B$32)/1000+'Inputs'!$B$21+'Inputs'!$B$9+'Inputs'!$B$10))/SQRT((((707-43)*MAX('Inputs'!$B$33,'Inputs'!$B$29+'Inputs'!$B$31+'Inputs'!$B$32,'Inputs'!$B$30+'Inputs'!$B$31+'Inputs'!$B$32)/1000+'Inputs'!$B$21+'Inputs'!$B$9+'Inputs'!$B$10))^2+('Inputs'!$B$6/2)^2))))*'Results'!$B$8))),"")</x:f>
        <x:v>1.2288417568094563</x:v>
      </x:c>
      <x:c r="O707" t="n">
        <x:f>IF(AND(ISNUMBER('Results'!C7),ISNUMBER('Results'!B7),ISNUMBER('Results'!$B$8),ISNUMBER('Inputs'!$B$6),ISNUMBER('Inputs'!$B$7),ISNUMBER('Inputs'!$B$8),ISNUMBER('Inputs'!$B$9),ISNUMBER('Inputs'!$B$10),ISNUMBER('Inputs'!$B$21),ISNUMBER('Inputs'!$B$24),ISNUMBER('Inputs'!$B$28)),((('Results'!C7*(1+'Inputs'!$B$24)*(0.5*((((707-43)*MAX('Inputs'!$B$33,'Inputs'!$B$29+'Inputs'!$B$31+'Inputs'!$B$32,'Inputs'!$B$30+'Inputs'!$B$31+'Inputs'!$B$32)/1000+'Inputs'!$B$21)+'Inputs'!$B$9)/SQRT((((707-43)*MAX('Inputs'!$B$33,'Inputs'!$B$29+'Inputs'!$B$31+'Inputs'!$B$32,'Inputs'!$B$30+'Inputs'!$B$31+'Inputs'!$B$32)/1000+'Inputs'!$B$21)+'Inputs'!$B$9)^2+('Inputs'!$B$8/2)^2)-(((707-43)*MAX('Inputs'!$B$33,'Inputs'!$B$29+'Inputs'!$B$31+'Inputs'!$B$32,'Inputs'!$B$30+'Inputs'!$B$31+'Inputs'!$B$32)/1000+'Inputs'!$B$21))/SQRT((((707-43)*MAX('Inputs'!$B$33,'Inputs'!$B$29+'Inputs'!$B$31+'Inputs'!$B$32,'Inputs'!$B$30+'Inputs'!$B$31+'Inputs'!$B$32)/1000+'Inputs'!$B$21))^2+('Inputs'!$B$8/2)^2)))-'Results'!B7*(1-'Inputs'!$B$24)*(0.5*((((707-43)*MAX('Inputs'!$B$33,'Inputs'!$B$29+'Inputs'!$B$31+'Inputs'!$B$32,'Inputs'!$B$30+'Inputs'!$B$31+'Inputs'!$B$32)/1000+'Inputs'!$B$21+'Inputs'!$B$9+'Inputs'!$B$10)+'Inputs'!$B$7)/SQRT((((707-43)*MAX('Inputs'!$B$33,'Inputs'!$B$29+'Inputs'!$B$31+'Inputs'!$B$32,'Inputs'!$B$30+'Inputs'!$B$31+'Inputs'!$B$32)/1000+'Inputs'!$B$21+'Inputs'!$B$9+'Inputs'!$B$10)+'Inputs'!$B$7)^2+('Inputs'!$B$6/2)^2)-(((707-43)*MAX('Inputs'!$B$33,'Inputs'!$B$29+'Inputs'!$B$31+'Inputs'!$B$32,'Inputs'!$B$30+'Inputs'!$B$31+'Inputs'!$B$32)/1000+'Inputs'!$B$21+'Inputs'!$B$9+'Inputs'!$B$10))/SQRT((((707-43)*MAX('Inputs'!$B$33,'Inputs'!$B$29+'Inputs'!$B$31+'Inputs'!$B$32,'Inputs'!$B$30+'Inputs'!$B$31+'Inputs'!$B$32)/1000+'Inputs'!$B$21+'Inputs'!$B$9+'Inputs'!$B$10))^2+('Inputs'!$B$6/2)^2))))*'Results'!$B$8)+'Inputs'!$B$28*ABS((('Results'!C7*(1+'Inputs'!$B$24)*(0.5*((((707-43)*MAX('Inputs'!$B$33,'Inputs'!$B$29+'Inputs'!$B$31+'Inputs'!$B$32,'Inputs'!$B$30+'Inputs'!$B$31+'Inputs'!$B$32)/1000+'Inputs'!$B$21)+'Inputs'!$B$9)/SQRT((((707-43)*MAX('Inputs'!$B$33,'Inputs'!$B$29+'Inputs'!$B$31+'Inputs'!$B$32,'Inputs'!$B$30+'Inputs'!$B$31+'Inputs'!$B$32)/1000+'Inputs'!$B$21)+'Inputs'!$B$9)^2+('Inputs'!$B$8/2)^2)-(((707-43)*MAX('Inputs'!$B$33,'Inputs'!$B$29+'Inputs'!$B$31+'Inputs'!$B$32,'Inputs'!$B$30+'Inputs'!$B$31+'Inputs'!$B$32)/1000+'Inputs'!$B$21))/SQRT((((707-43)*MAX('Inputs'!$B$33,'Inputs'!$B$29+'Inputs'!$B$31+'Inputs'!$B$32,'Inputs'!$B$30+'Inputs'!$B$31+'Inputs'!$B$32)/1000+'Inputs'!$B$21))^2+('Inputs'!$B$8/2)^2)))-'Results'!B7*(1-'Inputs'!$B$24)*(0.5*((((707-43)*MAX('Inputs'!$B$33,'Inputs'!$B$29+'Inputs'!$B$31+'Inputs'!$B$32,'Inputs'!$B$30+'Inputs'!$B$31+'Inputs'!$B$32)/1000+'Inputs'!$B$21+'Inputs'!$B$9+'Inputs'!$B$10)+'Inputs'!$B$7)/SQRT((((707-43)*MAX('Inputs'!$B$33,'Inputs'!$B$29+'Inputs'!$B$31+'Inputs'!$B$32,'Inputs'!$B$30+'Inputs'!$B$31+'Inputs'!$B$32)/1000+'Inputs'!$B$21+'Inputs'!$B$9+'Inputs'!$B$10)+'Inputs'!$B$7)^2+('Inputs'!$B$6/2)^2)-(((707-43)*MAX('Inputs'!$B$33,'Inputs'!$B$29+'Inputs'!$B$31+'Inputs'!$B$32,'Inputs'!$B$30+'Inputs'!$B$31+'Inputs'!$B$32)/1000+'Inputs'!$B$21+'Inputs'!$B$9+'Inputs'!$B$10))/SQRT((((707-43)*MAX('Inputs'!$B$33,'Inputs'!$B$29+'Inputs'!$B$31+'Inputs'!$B$32,'Inputs'!$B$30+'Inputs'!$B$31+'Inputs'!$B$32)/1000+'Inputs'!$B$21+'Inputs'!$B$9+'Inputs'!$B$10))^2+('Inputs'!$B$6/2)^2))))*'Results'!$B$8))),"")</x:f>
        <x:v>1.6346239420683364</x:v>
      </x:c>
      <x:c r="P707" t="n">
        <x:f>IF(AND(MAX(J707,J706)&gt;0,J707&gt;J706+0.00000001),1,0)</x:f>
        <x:v>0</x:v>
      </x:c>
      <x:c r="Q707" t="n">
        <x:f>IF(AND(MAX(K707,K706)&gt;0,K707&gt;K706+0.00000001),1,0)</x:f>
        <x:v>0</x:v>
      </x:c>
      <x:c r="R707" t="n">
        <x:f>IF(AND(MAX(L707,L706)&gt;0,L707&gt;L706+0.00000001),1,0)</x:f>
        <x:v>0</x:v>
      </x:c>
      <x:c r="S707" t="n">
        <x:f>IF(AND(MAX(M707,M706)&gt;0,M707&gt;M706+0.00000001),1,0)</x:f>
        <x:v>0</x:v>
      </x:c>
      <x:c r="T707" t="n">
        <x:f>IF(AND(MAX(N707,N706)&gt;0,N707&gt;N706+0.00000001),1,0)</x:f>
        <x:v>0</x:v>
      </x:c>
      <x:c r="U707" t="n">
        <x:f>IF(AND(MAX(O707,O706)&gt;0,O707&gt;O706+0.00000001),1,0)</x:f>
        <x:v>0</x:v>
      </x:c>
    </x:row>
    <x:row r="708">
      <x:c r="J708" t="n">
        <x:f>IF(AND(ISNUMBER('Results'!B7),ISNUMBER('Results'!C7),ISNUMBER('Results'!$B$8),ISNUMBER('Inputs'!$B$6),ISNUMBER('Inputs'!$B$7),ISNUMBER('Inputs'!$B$8),ISNUMBER('Inputs'!$B$9),ISNUMBER('Inputs'!$B$10),ISNUMBER('Inputs'!$B$21),ISNUMBER('Inputs'!$B$24),ISNUMBER('Inputs'!$B$28)),(('Results'!B7*(0.5*((((708-43)*MAX('Inputs'!$B$33,'Inputs'!$B$29+'Inputs'!$B$31+'Inputs'!$B$32,'Inputs'!$B$30+'Inputs'!$B$31+'Inputs'!$B$32)/1000+'Inputs'!$B$21)+'Inputs'!$B$7)/SQRT((((708-43)*MAX('Inputs'!$B$33,'Inputs'!$B$29+'Inputs'!$B$31+'Inputs'!$B$32,'Inputs'!$B$30+'Inputs'!$B$31+'Inputs'!$B$32)/1000+'Inputs'!$B$21)+'Inputs'!$B$7)^2+('Inputs'!$B$6/2)^2)-(((708-43)*MAX('Inputs'!$B$33,'Inputs'!$B$29+'Inputs'!$B$31+'Inputs'!$B$32,'Inputs'!$B$30+'Inputs'!$B$31+'Inputs'!$B$32)/1000+'Inputs'!$B$21))/SQRT((((708-43)*MAX('Inputs'!$B$33,'Inputs'!$B$29+'Inputs'!$B$31+'Inputs'!$B$32,'Inputs'!$B$30+'Inputs'!$B$31+'Inputs'!$B$32)/1000+'Inputs'!$B$21))^2+('Inputs'!$B$6/2)^2)))-'Results'!C7*(0.5*((((708-43)*MAX('Inputs'!$B$33,'Inputs'!$B$29+'Inputs'!$B$31+'Inputs'!$B$32,'Inputs'!$B$30+'Inputs'!$B$31+'Inputs'!$B$32)/1000+'Inputs'!$B$21+'Inputs'!$B$7+'Inputs'!$B$10)+'Inputs'!$B$9)/SQRT((((708-43)*MAX('Inputs'!$B$33,'Inputs'!$B$29+'Inputs'!$B$31+'Inputs'!$B$32,'Inputs'!$B$30+'Inputs'!$B$31+'Inputs'!$B$32)/1000+'Inputs'!$B$21+'Inputs'!$B$7+'Inputs'!$B$10)+'Inputs'!$B$9)^2+('Inputs'!$B$8/2)^2)-(((708-43)*MAX('Inputs'!$B$33,'Inputs'!$B$29+'Inputs'!$B$31+'Inputs'!$B$32,'Inputs'!$B$30+'Inputs'!$B$31+'Inputs'!$B$32)/1000+'Inputs'!$B$21+'Inputs'!$B$7+'Inputs'!$B$10))/SQRT((((708-43)*MAX('Inputs'!$B$33,'Inputs'!$B$29+'Inputs'!$B$31+'Inputs'!$B$32,'Inputs'!$B$30+'Inputs'!$B$31+'Inputs'!$B$32)/1000+'Inputs'!$B$21+'Inputs'!$B$7+'Inputs'!$B$10))^2+('Inputs'!$B$8/2)^2))))*'Results'!$B$8),"")</x:f>
        <x:v>1.5501515268031019</x:v>
      </x:c>
      <x:c r="K708" t="n">
        <x:f>IF(AND(ISNUMBER('Results'!B7),ISNUMBER('Results'!C7),ISNUMBER('Results'!$B$8),ISNUMBER('Inputs'!$B$6),ISNUMBER('Inputs'!$B$7),ISNUMBER('Inputs'!$B$8),ISNUMBER('Inputs'!$B$9),ISNUMBER('Inputs'!$B$10),ISNUMBER('Inputs'!$B$21),ISNUMBER('Inputs'!$B$24),ISNUMBER('Inputs'!$B$28)),((('Results'!B7*(1-'Inputs'!$B$24)*(0.5*((((708-43)*MAX('Inputs'!$B$33,'Inputs'!$B$29+'Inputs'!$B$31+'Inputs'!$B$32,'Inputs'!$B$30+'Inputs'!$B$31+'Inputs'!$B$32)/1000+'Inputs'!$B$21)+'Inputs'!$B$7)/SQRT((((708-43)*MAX('Inputs'!$B$33,'Inputs'!$B$29+'Inputs'!$B$31+'Inputs'!$B$32,'Inputs'!$B$30+'Inputs'!$B$31+'Inputs'!$B$32)/1000+'Inputs'!$B$21)+'Inputs'!$B$7)^2+('Inputs'!$B$6/2)^2)-(((708-43)*MAX('Inputs'!$B$33,'Inputs'!$B$29+'Inputs'!$B$31+'Inputs'!$B$32,'Inputs'!$B$30+'Inputs'!$B$31+'Inputs'!$B$32)/1000+'Inputs'!$B$21))/SQRT((((708-43)*MAX('Inputs'!$B$33,'Inputs'!$B$29+'Inputs'!$B$31+'Inputs'!$B$32,'Inputs'!$B$30+'Inputs'!$B$31+'Inputs'!$B$32)/1000+'Inputs'!$B$21))^2+('Inputs'!$B$6/2)^2)))-'Results'!C7*(1+'Inputs'!$B$24)*(0.5*((((708-43)*MAX('Inputs'!$B$33,'Inputs'!$B$29+'Inputs'!$B$31+'Inputs'!$B$32,'Inputs'!$B$30+'Inputs'!$B$31+'Inputs'!$B$32)/1000+'Inputs'!$B$21+'Inputs'!$B$7+'Inputs'!$B$10)+'Inputs'!$B$9)/SQRT((((708-43)*MAX('Inputs'!$B$33,'Inputs'!$B$29+'Inputs'!$B$31+'Inputs'!$B$32,'Inputs'!$B$30+'Inputs'!$B$31+'Inputs'!$B$32)/1000+'Inputs'!$B$21+'Inputs'!$B$7+'Inputs'!$B$10)+'Inputs'!$B$9)^2+('Inputs'!$B$8/2)^2)-(((708-43)*MAX('Inputs'!$B$33,'Inputs'!$B$29+'Inputs'!$B$31+'Inputs'!$B$32,'Inputs'!$B$30+'Inputs'!$B$31+'Inputs'!$B$32)/1000+'Inputs'!$B$21+'Inputs'!$B$7+'Inputs'!$B$10))/SQRT((((708-43)*MAX('Inputs'!$B$33,'Inputs'!$B$29+'Inputs'!$B$31+'Inputs'!$B$32,'Inputs'!$B$30+'Inputs'!$B$31+'Inputs'!$B$32)/1000+'Inputs'!$B$21+'Inputs'!$B$7+'Inputs'!$B$10))^2+('Inputs'!$B$8/2)^2))))*'Results'!$B$8)-'Inputs'!$B$28*ABS((('Results'!B7*(1-'Inputs'!$B$24)*(0.5*((((708-43)*MAX('Inputs'!$B$33,'Inputs'!$B$29+'Inputs'!$B$31+'Inputs'!$B$32,'Inputs'!$B$30+'Inputs'!$B$31+'Inputs'!$B$32)/1000+'Inputs'!$B$21)+'Inputs'!$B$7)/SQRT((((708-43)*MAX('Inputs'!$B$33,'Inputs'!$B$29+'Inputs'!$B$31+'Inputs'!$B$32,'Inputs'!$B$30+'Inputs'!$B$31+'Inputs'!$B$32)/1000+'Inputs'!$B$21)+'Inputs'!$B$7)^2+('Inputs'!$B$6/2)^2)-(((708-43)*MAX('Inputs'!$B$33,'Inputs'!$B$29+'Inputs'!$B$31+'Inputs'!$B$32,'Inputs'!$B$30+'Inputs'!$B$31+'Inputs'!$B$32)/1000+'Inputs'!$B$21))/SQRT((((708-43)*MAX('Inputs'!$B$33,'Inputs'!$B$29+'Inputs'!$B$31+'Inputs'!$B$32,'Inputs'!$B$30+'Inputs'!$B$31+'Inputs'!$B$32)/1000+'Inputs'!$B$21))^2+('Inputs'!$B$6/2)^2)))-'Results'!C7*(1+'Inputs'!$B$24)*(0.5*((((708-43)*MAX('Inputs'!$B$33,'Inputs'!$B$29+'Inputs'!$B$31+'Inputs'!$B$32,'Inputs'!$B$30+'Inputs'!$B$31+'Inputs'!$B$32)/1000+'Inputs'!$B$21+'Inputs'!$B$7+'Inputs'!$B$10)+'Inputs'!$B$9)/SQRT((((708-43)*MAX('Inputs'!$B$33,'Inputs'!$B$29+'Inputs'!$B$31+'Inputs'!$B$32,'Inputs'!$B$30+'Inputs'!$B$31+'Inputs'!$B$32)/1000+'Inputs'!$B$21+'Inputs'!$B$7+'Inputs'!$B$10)+'Inputs'!$B$9)^2+('Inputs'!$B$8/2)^2)-(((708-43)*MAX('Inputs'!$B$33,'Inputs'!$B$29+'Inputs'!$B$31+'Inputs'!$B$32,'Inputs'!$B$30+'Inputs'!$B$31+'Inputs'!$B$32)/1000+'Inputs'!$B$21+'Inputs'!$B$7+'Inputs'!$B$10))/SQRT((((708-43)*MAX('Inputs'!$B$33,'Inputs'!$B$29+'Inputs'!$B$31+'Inputs'!$B$32,'Inputs'!$B$30+'Inputs'!$B$31+'Inputs'!$B$32)/1000+'Inputs'!$B$21+'Inputs'!$B$7+'Inputs'!$B$10))^2+('Inputs'!$B$8/2)^2))))*'Results'!$B$8))),"")</x:f>
        <x:v>1.3475331544011717</x:v>
      </x:c>
      <x:c r="L708" t="n">
        <x:f>IF(AND(ISNUMBER('Results'!B7),ISNUMBER('Results'!C7),ISNUMBER('Results'!$B$8),ISNUMBER('Inputs'!$B$6),ISNUMBER('Inputs'!$B$7),ISNUMBER('Inputs'!$B$8),ISNUMBER('Inputs'!$B$9),ISNUMBER('Inputs'!$B$10),ISNUMBER('Inputs'!$B$21),ISNUMBER('Inputs'!$B$24),ISNUMBER('Inputs'!$B$28)),((('Results'!B7*(1+'Inputs'!$B$24)*(0.5*((((708-43)*MAX('Inputs'!$B$33,'Inputs'!$B$29+'Inputs'!$B$31+'Inputs'!$B$32,'Inputs'!$B$30+'Inputs'!$B$31+'Inputs'!$B$32)/1000+'Inputs'!$B$21)+'Inputs'!$B$7)/SQRT((((708-43)*MAX('Inputs'!$B$33,'Inputs'!$B$29+'Inputs'!$B$31+'Inputs'!$B$32,'Inputs'!$B$30+'Inputs'!$B$31+'Inputs'!$B$32)/1000+'Inputs'!$B$21)+'Inputs'!$B$7)^2+('Inputs'!$B$6/2)^2)-(((708-43)*MAX('Inputs'!$B$33,'Inputs'!$B$29+'Inputs'!$B$31+'Inputs'!$B$32,'Inputs'!$B$30+'Inputs'!$B$31+'Inputs'!$B$32)/1000+'Inputs'!$B$21))/SQRT((((708-43)*MAX('Inputs'!$B$33,'Inputs'!$B$29+'Inputs'!$B$31+'Inputs'!$B$32,'Inputs'!$B$30+'Inputs'!$B$31+'Inputs'!$B$32)/1000+'Inputs'!$B$21))^2+('Inputs'!$B$6/2)^2)))-'Results'!C7*(1-'Inputs'!$B$24)*(0.5*((((708-43)*MAX('Inputs'!$B$33,'Inputs'!$B$29+'Inputs'!$B$31+'Inputs'!$B$32,'Inputs'!$B$30+'Inputs'!$B$31+'Inputs'!$B$32)/1000+'Inputs'!$B$21+'Inputs'!$B$7+'Inputs'!$B$10)+'Inputs'!$B$9)/SQRT((((708-43)*MAX('Inputs'!$B$33,'Inputs'!$B$29+'Inputs'!$B$31+'Inputs'!$B$32,'Inputs'!$B$30+'Inputs'!$B$31+'Inputs'!$B$32)/1000+'Inputs'!$B$21+'Inputs'!$B$7+'Inputs'!$B$10)+'Inputs'!$B$9)^2+('Inputs'!$B$8/2)^2)-(((708-43)*MAX('Inputs'!$B$33,'Inputs'!$B$29+'Inputs'!$B$31+'Inputs'!$B$32,'Inputs'!$B$30+'Inputs'!$B$31+'Inputs'!$B$32)/1000+'Inputs'!$B$21+'Inputs'!$B$7+'Inputs'!$B$10))/SQRT((((708-43)*MAX('Inputs'!$B$33,'Inputs'!$B$29+'Inputs'!$B$31+'Inputs'!$B$32,'Inputs'!$B$30+'Inputs'!$B$31+'Inputs'!$B$32)/1000+'Inputs'!$B$21+'Inputs'!$B$7+'Inputs'!$B$10))^2+('Inputs'!$B$8/2)^2))))*'Results'!$B$8)+'Inputs'!$B$28*ABS((('Results'!B7*(1+'Inputs'!$B$24)*(0.5*((((708-43)*MAX('Inputs'!$B$33,'Inputs'!$B$29+'Inputs'!$B$31+'Inputs'!$B$32,'Inputs'!$B$30+'Inputs'!$B$31+'Inputs'!$B$32)/1000+'Inputs'!$B$21)+'Inputs'!$B$7)/SQRT((((708-43)*MAX('Inputs'!$B$33,'Inputs'!$B$29+'Inputs'!$B$31+'Inputs'!$B$32,'Inputs'!$B$30+'Inputs'!$B$31+'Inputs'!$B$32)/1000+'Inputs'!$B$21)+'Inputs'!$B$7)^2+('Inputs'!$B$6/2)^2)-(((708-43)*MAX('Inputs'!$B$33,'Inputs'!$B$29+'Inputs'!$B$31+'Inputs'!$B$32,'Inputs'!$B$30+'Inputs'!$B$31+'Inputs'!$B$32)/1000+'Inputs'!$B$21))/SQRT((((708-43)*MAX('Inputs'!$B$33,'Inputs'!$B$29+'Inputs'!$B$31+'Inputs'!$B$32,'Inputs'!$B$30+'Inputs'!$B$31+'Inputs'!$B$32)/1000+'Inputs'!$B$21))^2+('Inputs'!$B$6/2)^2)))-'Results'!C7*(1-'Inputs'!$B$24)*(0.5*((((708-43)*MAX('Inputs'!$B$33,'Inputs'!$B$29+'Inputs'!$B$31+'Inputs'!$B$32,'Inputs'!$B$30+'Inputs'!$B$31+'Inputs'!$B$32)/1000+'Inputs'!$B$21+'Inputs'!$B$7+'Inputs'!$B$10)+'Inputs'!$B$9)/SQRT((((708-43)*MAX('Inputs'!$B$33,'Inputs'!$B$29+'Inputs'!$B$31+'Inputs'!$B$32,'Inputs'!$B$30+'Inputs'!$B$31+'Inputs'!$B$32)/1000+'Inputs'!$B$21+'Inputs'!$B$7+'Inputs'!$B$10)+'Inputs'!$B$9)^2+('Inputs'!$B$8/2)^2)-(((708-43)*MAX('Inputs'!$B$33,'Inputs'!$B$29+'Inputs'!$B$31+'Inputs'!$B$32,'Inputs'!$B$30+'Inputs'!$B$31+'Inputs'!$B$32)/1000+'Inputs'!$B$21+'Inputs'!$B$7+'Inputs'!$B$10))/SQRT((((708-43)*MAX('Inputs'!$B$33,'Inputs'!$B$29+'Inputs'!$B$31+'Inputs'!$B$32,'Inputs'!$B$30+'Inputs'!$B$31+'Inputs'!$B$32)/1000+'Inputs'!$B$21+'Inputs'!$B$7+'Inputs'!$B$10))^2+('Inputs'!$B$8/2)^2))))*'Results'!$B$8))),"")</x:f>
        <x:v>1.7659394566852185</x:v>
      </x:c>
      <x:c r="M708" t="n">
        <x:f>IF(AND(ISNUMBER('Results'!C7),ISNUMBER('Results'!B7),ISNUMBER('Results'!$B$8),ISNUMBER('Inputs'!$B$6),ISNUMBER('Inputs'!$B$7),ISNUMBER('Inputs'!$B$8),ISNUMBER('Inputs'!$B$9),ISNUMBER('Inputs'!$B$10),ISNUMBER('Inputs'!$B$21),ISNUMBER('Inputs'!$B$24),ISNUMBER('Inputs'!$B$28)),(('Results'!C7*(0.5*((((708-43)*MAX('Inputs'!$B$33,'Inputs'!$B$29+'Inputs'!$B$31+'Inputs'!$B$32,'Inputs'!$B$30+'Inputs'!$B$31+'Inputs'!$B$32)/1000+'Inputs'!$B$21)+'Inputs'!$B$9)/SQRT((((708-43)*MAX('Inputs'!$B$33,'Inputs'!$B$29+'Inputs'!$B$31+'Inputs'!$B$32,'Inputs'!$B$30+'Inputs'!$B$31+'Inputs'!$B$32)/1000+'Inputs'!$B$21)+'Inputs'!$B$9)^2+('Inputs'!$B$8/2)^2)-(((708-43)*MAX('Inputs'!$B$33,'Inputs'!$B$29+'Inputs'!$B$31+'Inputs'!$B$32,'Inputs'!$B$30+'Inputs'!$B$31+'Inputs'!$B$32)/1000+'Inputs'!$B$21))/SQRT((((708-43)*MAX('Inputs'!$B$33,'Inputs'!$B$29+'Inputs'!$B$31+'Inputs'!$B$32,'Inputs'!$B$30+'Inputs'!$B$31+'Inputs'!$B$32)/1000+'Inputs'!$B$21))^2+('Inputs'!$B$8/2)^2)))-'Results'!B7*(0.5*((((708-43)*MAX('Inputs'!$B$33,'Inputs'!$B$29+'Inputs'!$B$31+'Inputs'!$B$32,'Inputs'!$B$30+'Inputs'!$B$31+'Inputs'!$B$32)/1000+'Inputs'!$B$21+'Inputs'!$B$9+'Inputs'!$B$10)+'Inputs'!$B$7)/SQRT((((708-43)*MAX('Inputs'!$B$33,'Inputs'!$B$29+'Inputs'!$B$31+'Inputs'!$B$32,'Inputs'!$B$30+'Inputs'!$B$31+'Inputs'!$B$32)/1000+'Inputs'!$B$21+'Inputs'!$B$9+'Inputs'!$B$10)+'Inputs'!$B$7)^2+('Inputs'!$B$6/2)^2)-(((708-43)*MAX('Inputs'!$B$33,'Inputs'!$B$29+'Inputs'!$B$31+'Inputs'!$B$32,'Inputs'!$B$30+'Inputs'!$B$31+'Inputs'!$B$32)/1000+'Inputs'!$B$21+'Inputs'!$B$9+'Inputs'!$B$10))/SQRT((((708-43)*MAX('Inputs'!$B$33,'Inputs'!$B$29+'Inputs'!$B$31+'Inputs'!$B$32,'Inputs'!$B$30+'Inputs'!$B$31+'Inputs'!$B$32)/1000+'Inputs'!$B$21+'Inputs'!$B$9+'Inputs'!$B$10))^2+('Inputs'!$B$6/2)^2))))*'Results'!$B$8),"")</x:f>
        <x:v>1.417428477059746</x:v>
      </x:c>
      <x:c r="N708" t="n">
        <x:f>IF(AND(ISNUMBER('Results'!C7),ISNUMBER('Results'!B7),ISNUMBER('Results'!$B$8),ISNUMBER('Inputs'!$B$6),ISNUMBER('Inputs'!$B$7),ISNUMBER('Inputs'!$B$8),ISNUMBER('Inputs'!$B$9),ISNUMBER('Inputs'!$B$10),ISNUMBER('Inputs'!$B$21),ISNUMBER('Inputs'!$B$24),ISNUMBER('Inputs'!$B$28)),((('Results'!C7*(1-'Inputs'!$B$24)*(0.5*((((708-43)*MAX('Inputs'!$B$33,'Inputs'!$B$29+'Inputs'!$B$31+'Inputs'!$B$32,'Inputs'!$B$30+'Inputs'!$B$31+'Inputs'!$B$32)/1000+'Inputs'!$B$21)+'Inputs'!$B$9)/SQRT((((708-43)*MAX('Inputs'!$B$33,'Inputs'!$B$29+'Inputs'!$B$31+'Inputs'!$B$32,'Inputs'!$B$30+'Inputs'!$B$31+'Inputs'!$B$32)/1000+'Inputs'!$B$21)+'Inputs'!$B$9)^2+('Inputs'!$B$8/2)^2)-(((708-43)*MAX('Inputs'!$B$33,'Inputs'!$B$29+'Inputs'!$B$31+'Inputs'!$B$32,'Inputs'!$B$30+'Inputs'!$B$31+'Inputs'!$B$32)/1000+'Inputs'!$B$21))/SQRT((((708-43)*MAX('Inputs'!$B$33,'Inputs'!$B$29+'Inputs'!$B$31+'Inputs'!$B$32,'Inputs'!$B$30+'Inputs'!$B$31+'Inputs'!$B$32)/1000+'Inputs'!$B$21))^2+('Inputs'!$B$8/2)^2)))-'Results'!B7*(1+'Inputs'!$B$24)*(0.5*((((708-43)*MAX('Inputs'!$B$33,'Inputs'!$B$29+'Inputs'!$B$31+'Inputs'!$B$32,'Inputs'!$B$30+'Inputs'!$B$31+'Inputs'!$B$32)/1000+'Inputs'!$B$21+'Inputs'!$B$9+'Inputs'!$B$10)+'Inputs'!$B$7)/SQRT((((708-43)*MAX('Inputs'!$B$33,'Inputs'!$B$29+'Inputs'!$B$31+'Inputs'!$B$32,'Inputs'!$B$30+'Inputs'!$B$31+'Inputs'!$B$32)/1000+'Inputs'!$B$21+'Inputs'!$B$9+'Inputs'!$B$10)+'Inputs'!$B$7)^2+('Inputs'!$B$6/2)^2)-(((708-43)*MAX('Inputs'!$B$33,'Inputs'!$B$29+'Inputs'!$B$31+'Inputs'!$B$32,'Inputs'!$B$30+'Inputs'!$B$31+'Inputs'!$B$32)/1000+'Inputs'!$B$21+'Inputs'!$B$9+'Inputs'!$B$10))/SQRT((((708-43)*MAX('Inputs'!$B$33,'Inputs'!$B$29+'Inputs'!$B$31+'Inputs'!$B$32,'Inputs'!$B$30+'Inputs'!$B$31+'Inputs'!$B$32)/1000+'Inputs'!$B$21+'Inputs'!$B$9+'Inputs'!$B$10))^2+('Inputs'!$B$6/2)^2))))*'Results'!$B$8)-'Inputs'!$B$28*ABS((('Results'!C7*(1-'Inputs'!$B$24)*(0.5*((((708-43)*MAX('Inputs'!$B$33,'Inputs'!$B$29+'Inputs'!$B$31+'Inputs'!$B$32,'Inputs'!$B$30+'Inputs'!$B$31+'Inputs'!$B$32)/1000+'Inputs'!$B$21)+'Inputs'!$B$9)/SQRT((((708-43)*MAX('Inputs'!$B$33,'Inputs'!$B$29+'Inputs'!$B$31+'Inputs'!$B$32,'Inputs'!$B$30+'Inputs'!$B$31+'Inputs'!$B$32)/1000+'Inputs'!$B$21)+'Inputs'!$B$9)^2+('Inputs'!$B$8/2)^2)-(((708-43)*MAX('Inputs'!$B$33,'Inputs'!$B$29+'Inputs'!$B$31+'Inputs'!$B$32,'Inputs'!$B$30+'Inputs'!$B$31+'Inputs'!$B$32)/1000+'Inputs'!$B$21))/SQRT((((708-43)*MAX('Inputs'!$B$33,'Inputs'!$B$29+'Inputs'!$B$31+'Inputs'!$B$32,'Inputs'!$B$30+'Inputs'!$B$31+'Inputs'!$B$32)/1000+'Inputs'!$B$21))^2+('Inputs'!$B$8/2)^2)))-'Results'!B7*(1+'Inputs'!$B$24)*(0.5*((((708-43)*MAX('Inputs'!$B$33,'Inputs'!$B$29+'Inputs'!$B$31+'Inputs'!$B$32,'Inputs'!$B$30+'Inputs'!$B$31+'Inputs'!$B$32)/1000+'Inputs'!$B$21+'Inputs'!$B$9+'Inputs'!$B$10)+'Inputs'!$B$7)/SQRT((((708-43)*MAX('Inputs'!$B$33,'Inputs'!$B$29+'Inputs'!$B$31+'Inputs'!$B$32,'Inputs'!$B$30+'Inputs'!$B$31+'Inputs'!$B$32)/1000+'Inputs'!$B$21+'Inputs'!$B$9+'Inputs'!$B$10)+'Inputs'!$B$7)^2+('Inputs'!$B$6/2)^2)-(((708-43)*MAX('Inputs'!$B$33,'Inputs'!$B$29+'Inputs'!$B$31+'Inputs'!$B$32,'Inputs'!$B$30+'Inputs'!$B$31+'Inputs'!$B$32)/1000+'Inputs'!$B$21+'Inputs'!$B$9+'Inputs'!$B$10))/SQRT((((708-43)*MAX('Inputs'!$B$33,'Inputs'!$B$29+'Inputs'!$B$31+'Inputs'!$B$32,'Inputs'!$B$30+'Inputs'!$B$31+'Inputs'!$B$32)/1000+'Inputs'!$B$21+'Inputs'!$B$9+'Inputs'!$B$10))^2+('Inputs'!$B$6/2)^2))))*'Results'!$B$8))),"")</x:f>
        <x:v>1.2220157927012798</x:v>
      </x:c>
      <x:c r="O708" t="n">
        <x:f>IF(AND(ISNUMBER('Results'!C7),ISNUMBER('Results'!B7),ISNUMBER('Results'!$B$8),ISNUMBER('Inputs'!$B$6),ISNUMBER('Inputs'!$B$7),ISNUMBER('Inputs'!$B$8),ISNUMBER('Inputs'!$B$9),ISNUMBER('Inputs'!$B$10),ISNUMBER('Inputs'!$B$21),ISNUMBER('Inputs'!$B$24),ISNUMBER('Inputs'!$B$28)),((('Results'!C7*(1+'Inputs'!$B$24)*(0.5*((((708-43)*MAX('Inputs'!$B$33,'Inputs'!$B$29+'Inputs'!$B$31+'Inputs'!$B$32,'Inputs'!$B$30+'Inputs'!$B$31+'Inputs'!$B$32)/1000+'Inputs'!$B$21)+'Inputs'!$B$9)/SQRT((((708-43)*MAX('Inputs'!$B$33,'Inputs'!$B$29+'Inputs'!$B$31+'Inputs'!$B$32,'Inputs'!$B$30+'Inputs'!$B$31+'Inputs'!$B$32)/1000+'Inputs'!$B$21)+'Inputs'!$B$9)^2+('Inputs'!$B$8/2)^2)-(((708-43)*MAX('Inputs'!$B$33,'Inputs'!$B$29+'Inputs'!$B$31+'Inputs'!$B$32,'Inputs'!$B$30+'Inputs'!$B$31+'Inputs'!$B$32)/1000+'Inputs'!$B$21))/SQRT((((708-43)*MAX('Inputs'!$B$33,'Inputs'!$B$29+'Inputs'!$B$31+'Inputs'!$B$32,'Inputs'!$B$30+'Inputs'!$B$31+'Inputs'!$B$32)/1000+'Inputs'!$B$21))^2+('Inputs'!$B$8/2)^2)))-'Results'!B7*(1-'Inputs'!$B$24)*(0.5*((((708-43)*MAX('Inputs'!$B$33,'Inputs'!$B$29+'Inputs'!$B$31+'Inputs'!$B$32,'Inputs'!$B$30+'Inputs'!$B$31+'Inputs'!$B$32)/1000+'Inputs'!$B$21+'Inputs'!$B$9+'Inputs'!$B$10)+'Inputs'!$B$7)/SQRT((((708-43)*MAX('Inputs'!$B$33,'Inputs'!$B$29+'Inputs'!$B$31+'Inputs'!$B$32,'Inputs'!$B$30+'Inputs'!$B$31+'Inputs'!$B$32)/1000+'Inputs'!$B$21+'Inputs'!$B$9+'Inputs'!$B$10)+'Inputs'!$B$7)^2+('Inputs'!$B$6/2)^2)-(((708-43)*MAX('Inputs'!$B$33,'Inputs'!$B$29+'Inputs'!$B$31+'Inputs'!$B$32,'Inputs'!$B$30+'Inputs'!$B$31+'Inputs'!$B$32)/1000+'Inputs'!$B$21+'Inputs'!$B$9+'Inputs'!$B$10))/SQRT((((708-43)*MAX('Inputs'!$B$33,'Inputs'!$B$29+'Inputs'!$B$31+'Inputs'!$B$32,'Inputs'!$B$30+'Inputs'!$B$31+'Inputs'!$B$32)/1000+'Inputs'!$B$21+'Inputs'!$B$9+'Inputs'!$B$10))^2+('Inputs'!$B$6/2)^2))))*'Results'!$B$8)+'Inputs'!$B$28*ABS((('Results'!C7*(1+'Inputs'!$B$24)*(0.5*((((708-43)*MAX('Inputs'!$B$33,'Inputs'!$B$29+'Inputs'!$B$31+'Inputs'!$B$32,'Inputs'!$B$30+'Inputs'!$B$31+'Inputs'!$B$32)/1000+'Inputs'!$B$21)+'Inputs'!$B$9)/SQRT((((708-43)*MAX('Inputs'!$B$33,'Inputs'!$B$29+'Inputs'!$B$31+'Inputs'!$B$32,'Inputs'!$B$30+'Inputs'!$B$31+'Inputs'!$B$32)/1000+'Inputs'!$B$21)+'Inputs'!$B$9)^2+('Inputs'!$B$8/2)^2)-(((708-43)*MAX('Inputs'!$B$33,'Inputs'!$B$29+'Inputs'!$B$31+'Inputs'!$B$32,'Inputs'!$B$30+'Inputs'!$B$31+'Inputs'!$B$32)/1000+'Inputs'!$B$21))/SQRT((((708-43)*MAX('Inputs'!$B$33,'Inputs'!$B$29+'Inputs'!$B$31+'Inputs'!$B$32,'Inputs'!$B$30+'Inputs'!$B$31+'Inputs'!$B$32)/1000+'Inputs'!$B$21))^2+('Inputs'!$B$8/2)^2)))-'Results'!B7*(1-'Inputs'!$B$24)*(0.5*((((708-43)*MAX('Inputs'!$B$33,'Inputs'!$B$29+'Inputs'!$B$31+'Inputs'!$B$32,'Inputs'!$B$30+'Inputs'!$B$31+'Inputs'!$B$32)/1000+'Inputs'!$B$21+'Inputs'!$B$9+'Inputs'!$B$10)+'Inputs'!$B$7)/SQRT((((708-43)*MAX('Inputs'!$B$33,'Inputs'!$B$29+'Inputs'!$B$31+'Inputs'!$B$32,'Inputs'!$B$30+'Inputs'!$B$31+'Inputs'!$B$32)/1000+'Inputs'!$B$21+'Inputs'!$B$9+'Inputs'!$B$10)+'Inputs'!$B$7)^2+('Inputs'!$B$6/2)^2)-(((708-43)*MAX('Inputs'!$B$33,'Inputs'!$B$29+'Inputs'!$B$31+'Inputs'!$B$32,'Inputs'!$B$30+'Inputs'!$B$31+'Inputs'!$B$32)/1000+'Inputs'!$B$21+'Inputs'!$B$9+'Inputs'!$B$10))/SQRT((((708-43)*MAX('Inputs'!$B$33,'Inputs'!$B$29+'Inputs'!$B$31+'Inputs'!$B$32,'Inputs'!$B$30+'Inputs'!$B$31+'Inputs'!$B$32)/1000+'Inputs'!$B$21+'Inputs'!$B$9+'Inputs'!$B$10))^2+('Inputs'!$B$6/2)^2))))*'Results'!$B$8))),"")</x:f>
        <x:v>1.6259507677872092</x:v>
      </x:c>
      <x:c r="P708" t="n">
        <x:f>IF(AND(MAX(J708,J707)&gt;0,J708&gt;J707+0.00000001),1,0)</x:f>
        <x:v>0</x:v>
      </x:c>
      <x:c r="Q708" t="n">
        <x:f>IF(AND(MAX(K708,K707)&gt;0,K708&gt;K707+0.00000001),1,0)</x:f>
        <x:v>0</x:v>
      </x:c>
      <x:c r="R708" t="n">
        <x:f>IF(AND(MAX(L708,L707)&gt;0,L708&gt;L707+0.00000001),1,0)</x:f>
        <x:v>0</x:v>
      </x:c>
      <x:c r="S708" t="n">
        <x:f>IF(AND(MAX(M708,M707)&gt;0,M708&gt;M707+0.00000001),1,0)</x:f>
        <x:v>0</x:v>
      </x:c>
      <x:c r="T708" t="n">
        <x:f>IF(AND(MAX(N708,N707)&gt;0,N708&gt;N707+0.00000001),1,0)</x:f>
        <x:v>0</x:v>
      </x:c>
      <x:c r="U708" t="n">
        <x:f>IF(AND(MAX(O708,O707)&gt;0,O708&gt;O707+0.00000001),1,0)</x:f>
        <x:v>0</x:v>
      </x:c>
    </x:row>
    <x:row r="709">
      <x:c r="J709" t="n">
        <x:f>IF(AND(ISNUMBER('Results'!B7),ISNUMBER('Results'!C7),ISNUMBER('Results'!$B$8),ISNUMBER('Inputs'!$B$6),ISNUMBER('Inputs'!$B$7),ISNUMBER('Inputs'!$B$8),ISNUMBER('Inputs'!$B$9),ISNUMBER('Inputs'!$B$10),ISNUMBER('Inputs'!$B$21),ISNUMBER('Inputs'!$B$24),ISNUMBER('Inputs'!$B$28)),(('Results'!B7*(0.5*((((709-43)*MAX('Inputs'!$B$33,'Inputs'!$B$29+'Inputs'!$B$31+'Inputs'!$B$32,'Inputs'!$B$30+'Inputs'!$B$31+'Inputs'!$B$32)/1000+'Inputs'!$B$21)+'Inputs'!$B$7)/SQRT((((709-43)*MAX('Inputs'!$B$33,'Inputs'!$B$29+'Inputs'!$B$31+'Inputs'!$B$32,'Inputs'!$B$30+'Inputs'!$B$31+'Inputs'!$B$32)/1000+'Inputs'!$B$21)+'Inputs'!$B$7)^2+('Inputs'!$B$6/2)^2)-(((709-43)*MAX('Inputs'!$B$33,'Inputs'!$B$29+'Inputs'!$B$31+'Inputs'!$B$32,'Inputs'!$B$30+'Inputs'!$B$31+'Inputs'!$B$32)/1000+'Inputs'!$B$21))/SQRT((((709-43)*MAX('Inputs'!$B$33,'Inputs'!$B$29+'Inputs'!$B$31+'Inputs'!$B$32,'Inputs'!$B$30+'Inputs'!$B$31+'Inputs'!$B$32)/1000+'Inputs'!$B$21))^2+('Inputs'!$B$6/2)^2)))-'Results'!C7*(0.5*((((709-43)*MAX('Inputs'!$B$33,'Inputs'!$B$29+'Inputs'!$B$31+'Inputs'!$B$32,'Inputs'!$B$30+'Inputs'!$B$31+'Inputs'!$B$32)/1000+'Inputs'!$B$21+'Inputs'!$B$7+'Inputs'!$B$10)+'Inputs'!$B$9)/SQRT((((709-43)*MAX('Inputs'!$B$33,'Inputs'!$B$29+'Inputs'!$B$31+'Inputs'!$B$32,'Inputs'!$B$30+'Inputs'!$B$31+'Inputs'!$B$32)/1000+'Inputs'!$B$21+'Inputs'!$B$7+'Inputs'!$B$10)+'Inputs'!$B$9)^2+('Inputs'!$B$8/2)^2)-(((709-43)*MAX('Inputs'!$B$33,'Inputs'!$B$29+'Inputs'!$B$31+'Inputs'!$B$32,'Inputs'!$B$30+'Inputs'!$B$31+'Inputs'!$B$32)/1000+'Inputs'!$B$21+'Inputs'!$B$7+'Inputs'!$B$10))/SQRT((((709-43)*MAX('Inputs'!$B$33,'Inputs'!$B$29+'Inputs'!$B$31+'Inputs'!$B$32,'Inputs'!$B$30+'Inputs'!$B$31+'Inputs'!$B$32)/1000+'Inputs'!$B$21+'Inputs'!$B$7+'Inputs'!$B$10))^2+('Inputs'!$B$8/2)^2))))*'Results'!$B$8),"")</x:f>
        <x:v>1.5419392253395392</x:v>
      </x:c>
      <x:c r="K709" t="n">
        <x:f>IF(AND(ISNUMBER('Results'!B7),ISNUMBER('Results'!C7),ISNUMBER('Results'!$B$8),ISNUMBER('Inputs'!$B$6),ISNUMBER('Inputs'!$B$7),ISNUMBER('Inputs'!$B$8),ISNUMBER('Inputs'!$B$9),ISNUMBER('Inputs'!$B$10),ISNUMBER('Inputs'!$B$21),ISNUMBER('Inputs'!$B$24),ISNUMBER('Inputs'!$B$28)),((('Results'!B7*(1-'Inputs'!$B$24)*(0.5*((((709-43)*MAX('Inputs'!$B$33,'Inputs'!$B$29+'Inputs'!$B$31+'Inputs'!$B$32,'Inputs'!$B$30+'Inputs'!$B$31+'Inputs'!$B$32)/1000+'Inputs'!$B$21)+'Inputs'!$B$7)/SQRT((((709-43)*MAX('Inputs'!$B$33,'Inputs'!$B$29+'Inputs'!$B$31+'Inputs'!$B$32,'Inputs'!$B$30+'Inputs'!$B$31+'Inputs'!$B$32)/1000+'Inputs'!$B$21)+'Inputs'!$B$7)^2+('Inputs'!$B$6/2)^2)-(((709-43)*MAX('Inputs'!$B$33,'Inputs'!$B$29+'Inputs'!$B$31+'Inputs'!$B$32,'Inputs'!$B$30+'Inputs'!$B$31+'Inputs'!$B$32)/1000+'Inputs'!$B$21))/SQRT((((709-43)*MAX('Inputs'!$B$33,'Inputs'!$B$29+'Inputs'!$B$31+'Inputs'!$B$32,'Inputs'!$B$30+'Inputs'!$B$31+'Inputs'!$B$32)/1000+'Inputs'!$B$21))^2+('Inputs'!$B$6/2)^2)))-'Results'!C7*(1+'Inputs'!$B$24)*(0.5*((((709-43)*MAX('Inputs'!$B$33,'Inputs'!$B$29+'Inputs'!$B$31+'Inputs'!$B$32,'Inputs'!$B$30+'Inputs'!$B$31+'Inputs'!$B$32)/1000+'Inputs'!$B$21+'Inputs'!$B$7+'Inputs'!$B$10)+'Inputs'!$B$9)/SQRT((((709-43)*MAX('Inputs'!$B$33,'Inputs'!$B$29+'Inputs'!$B$31+'Inputs'!$B$32,'Inputs'!$B$30+'Inputs'!$B$31+'Inputs'!$B$32)/1000+'Inputs'!$B$21+'Inputs'!$B$7+'Inputs'!$B$10)+'Inputs'!$B$9)^2+('Inputs'!$B$8/2)^2)-(((709-43)*MAX('Inputs'!$B$33,'Inputs'!$B$29+'Inputs'!$B$31+'Inputs'!$B$32,'Inputs'!$B$30+'Inputs'!$B$31+'Inputs'!$B$32)/1000+'Inputs'!$B$21+'Inputs'!$B$7+'Inputs'!$B$10))/SQRT((((709-43)*MAX('Inputs'!$B$33,'Inputs'!$B$29+'Inputs'!$B$31+'Inputs'!$B$32,'Inputs'!$B$30+'Inputs'!$B$31+'Inputs'!$B$32)/1000+'Inputs'!$B$21+'Inputs'!$B$7+'Inputs'!$B$10))^2+('Inputs'!$B$8/2)^2))))*'Results'!$B$8)-'Inputs'!$B$28*ABS((('Results'!B7*(1-'Inputs'!$B$24)*(0.5*((((709-43)*MAX('Inputs'!$B$33,'Inputs'!$B$29+'Inputs'!$B$31+'Inputs'!$B$32,'Inputs'!$B$30+'Inputs'!$B$31+'Inputs'!$B$32)/1000+'Inputs'!$B$21)+'Inputs'!$B$7)/SQRT((((709-43)*MAX('Inputs'!$B$33,'Inputs'!$B$29+'Inputs'!$B$31+'Inputs'!$B$32,'Inputs'!$B$30+'Inputs'!$B$31+'Inputs'!$B$32)/1000+'Inputs'!$B$21)+'Inputs'!$B$7)^2+('Inputs'!$B$6/2)^2)-(((709-43)*MAX('Inputs'!$B$33,'Inputs'!$B$29+'Inputs'!$B$31+'Inputs'!$B$32,'Inputs'!$B$30+'Inputs'!$B$31+'Inputs'!$B$32)/1000+'Inputs'!$B$21))/SQRT((((709-43)*MAX('Inputs'!$B$33,'Inputs'!$B$29+'Inputs'!$B$31+'Inputs'!$B$32,'Inputs'!$B$30+'Inputs'!$B$31+'Inputs'!$B$32)/1000+'Inputs'!$B$21))^2+('Inputs'!$B$6/2)^2)))-'Results'!C7*(1+'Inputs'!$B$24)*(0.5*((((709-43)*MAX('Inputs'!$B$33,'Inputs'!$B$29+'Inputs'!$B$31+'Inputs'!$B$32,'Inputs'!$B$30+'Inputs'!$B$31+'Inputs'!$B$32)/1000+'Inputs'!$B$21+'Inputs'!$B$7+'Inputs'!$B$10)+'Inputs'!$B$9)/SQRT((((709-43)*MAX('Inputs'!$B$33,'Inputs'!$B$29+'Inputs'!$B$31+'Inputs'!$B$32,'Inputs'!$B$30+'Inputs'!$B$31+'Inputs'!$B$32)/1000+'Inputs'!$B$21+'Inputs'!$B$7+'Inputs'!$B$10)+'Inputs'!$B$9)^2+('Inputs'!$B$8/2)^2)-(((709-43)*MAX('Inputs'!$B$33,'Inputs'!$B$29+'Inputs'!$B$31+'Inputs'!$B$32,'Inputs'!$B$30+'Inputs'!$B$31+'Inputs'!$B$32)/1000+'Inputs'!$B$21+'Inputs'!$B$7+'Inputs'!$B$10))/SQRT((((709-43)*MAX('Inputs'!$B$33,'Inputs'!$B$29+'Inputs'!$B$31+'Inputs'!$B$32,'Inputs'!$B$30+'Inputs'!$B$31+'Inputs'!$B$32)/1000+'Inputs'!$B$21+'Inputs'!$B$7+'Inputs'!$B$10))^2+('Inputs'!$B$8/2)^2))))*'Results'!$B$8))),"")</x:f>
        <x:v>1.3402423303930593</x:v>
      </x:c>
      <x:c r="L709" t="n">
        <x:f>IF(AND(ISNUMBER('Results'!B7),ISNUMBER('Results'!C7),ISNUMBER('Results'!$B$8),ISNUMBER('Inputs'!$B$6),ISNUMBER('Inputs'!$B$7),ISNUMBER('Inputs'!$B$8),ISNUMBER('Inputs'!$B$9),ISNUMBER('Inputs'!$B$10),ISNUMBER('Inputs'!$B$21),ISNUMBER('Inputs'!$B$24),ISNUMBER('Inputs'!$B$28)),((('Results'!B7*(1+'Inputs'!$B$24)*(0.5*((((709-43)*MAX('Inputs'!$B$33,'Inputs'!$B$29+'Inputs'!$B$31+'Inputs'!$B$32,'Inputs'!$B$30+'Inputs'!$B$31+'Inputs'!$B$32)/1000+'Inputs'!$B$21)+'Inputs'!$B$7)/SQRT((((709-43)*MAX('Inputs'!$B$33,'Inputs'!$B$29+'Inputs'!$B$31+'Inputs'!$B$32,'Inputs'!$B$30+'Inputs'!$B$31+'Inputs'!$B$32)/1000+'Inputs'!$B$21)+'Inputs'!$B$7)^2+('Inputs'!$B$6/2)^2)-(((709-43)*MAX('Inputs'!$B$33,'Inputs'!$B$29+'Inputs'!$B$31+'Inputs'!$B$32,'Inputs'!$B$30+'Inputs'!$B$31+'Inputs'!$B$32)/1000+'Inputs'!$B$21))/SQRT((((709-43)*MAX('Inputs'!$B$33,'Inputs'!$B$29+'Inputs'!$B$31+'Inputs'!$B$32,'Inputs'!$B$30+'Inputs'!$B$31+'Inputs'!$B$32)/1000+'Inputs'!$B$21))^2+('Inputs'!$B$6/2)^2)))-'Results'!C7*(1-'Inputs'!$B$24)*(0.5*((((709-43)*MAX('Inputs'!$B$33,'Inputs'!$B$29+'Inputs'!$B$31+'Inputs'!$B$32,'Inputs'!$B$30+'Inputs'!$B$31+'Inputs'!$B$32)/1000+'Inputs'!$B$21+'Inputs'!$B$7+'Inputs'!$B$10)+'Inputs'!$B$9)/SQRT((((709-43)*MAX('Inputs'!$B$33,'Inputs'!$B$29+'Inputs'!$B$31+'Inputs'!$B$32,'Inputs'!$B$30+'Inputs'!$B$31+'Inputs'!$B$32)/1000+'Inputs'!$B$21+'Inputs'!$B$7+'Inputs'!$B$10)+'Inputs'!$B$9)^2+('Inputs'!$B$8/2)^2)-(((709-43)*MAX('Inputs'!$B$33,'Inputs'!$B$29+'Inputs'!$B$31+'Inputs'!$B$32,'Inputs'!$B$30+'Inputs'!$B$31+'Inputs'!$B$32)/1000+'Inputs'!$B$21+'Inputs'!$B$7+'Inputs'!$B$10))/SQRT((((709-43)*MAX('Inputs'!$B$33,'Inputs'!$B$29+'Inputs'!$B$31+'Inputs'!$B$32,'Inputs'!$B$30+'Inputs'!$B$31+'Inputs'!$B$32)/1000+'Inputs'!$B$21+'Inputs'!$B$7+'Inputs'!$B$10))^2+('Inputs'!$B$8/2)^2))))*'Results'!$B$8)+'Inputs'!$B$28*ABS((('Results'!B7*(1+'Inputs'!$B$24)*(0.5*((((709-43)*MAX('Inputs'!$B$33,'Inputs'!$B$29+'Inputs'!$B$31+'Inputs'!$B$32,'Inputs'!$B$30+'Inputs'!$B$31+'Inputs'!$B$32)/1000+'Inputs'!$B$21)+'Inputs'!$B$7)/SQRT((((709-43)*MAX('Inputs'!$B$33,'Inputs'!$B$29+'Inputs'!$B$31+'Inputs'!$B$32,'Inputs'!$B$30+'Inputs'!$B$31+'Inputs'!$B$32)/1000+'Inputs'!$B$21)+'Inputs'!$B$7)^2+('Inputs'!$B$6/2)^2)-(((709-43)*MAX('Inputs'!$B$33,'Inputs'!$B$29+'Inputs'!$B$31+'Inputs'!$B$32,'Inputs'!$B$30+'Inputs'!$B$31+'Inputs'!$B$32)/1000+'Inputs'!$B$21))/SQRT((((709-43)*MAX('Inputs'!$B$33,'Inputs'!$B$29+'Inputs'!$B$31+'Inputs'!$B$32,'Inputs'!$B$30+'Inputs'!$B$31+'Inputs'!$B$32)/1000+'Inputs'!$B$21))^2+('Inputs'!$B$6/2)^2)))-'Results'!C7*(1-'Inputs'!$B$24)*(0.5*((((709-43)*MAX('Inputs'!$B$33,'Inputs'!$B$29+'Inputs'!$B$31+'Inputs'!$B$32,'Inputs'!$B$30+'Inputs'!$B$31+'Inputs'!$B$32)/1000+'Inputs'!$B$21+'Inputs'!$B$7+'Inputs'!$B$10)+'Inputs'!$B$9)/SQRT((((709-43)*MAX('Inputs'!$B$33,'Inputs'!$B$29+'Inputs'!$B$31+'Inputs'!$B$32,'Inputs'!$B$30+'Inputs'!$B$31+'Inputs'!$B$32)/1000+'Inputs'!$B$21+'Inputs'!$B$7+'Inputs'!$B$10)+'Inputs'!$B$9)^2+('Inputs'!$B$8/2)^2)-(((709-43)*MAX('Inputs'!$B$33,'Inputs'!$B$29+'Inputs'!$B$31+'Inputs'!$B$32,'Inputs'!$B$30+'Inputs'!$B$31+'Inputs'!$B$32)/1000+'Inputs'!$B$21+'Inputs'!$B$7+'Inputs'!$B$10))/SQRT((((709-43)*MAX('Inputs'!$B$33,'Inputs'!$B$29+'Inputs'!$B$31+'Inputs'!$B$32,'Inputs'!$B$30+'Inputs'!$B$31+'Inputs'!$B$32)/1000+'Inputs'!$B$21+'Inputs'!$B$7+'Inputs'!$B$10))^2+('Inputs'!$B$8/2)^2))))*'Results'!$B$8))),"")</x:f>
        <x:v>1.7567519027785987</x:v>
      </x:c>
      <x:c r="M709" t="n">
        <x:f>IF(AND(ISNUMBER('Results'!C7),ISNUMBER('Results'!B7),ISNUMBER('Results'!$B$8),ISNUMBER('Inputs'!$B$6),ISNUMBER('Inputs'!$B$7),ISNUMBER('Inputs'!$B$8),ISNUMBER('Inputs'!$B$9),ISNUMBER('Inputs'!$B$10),ISNUMBER('Inputs'!$B$21),ISNUMBER('Inputs'!$B$24),ISNUMBER('Inputs'!$B$28)),(('Results'!C7*(0.5*((((709-43)*MAX('Inputs'!$B$33,'Inputs'!$B$29+'Inputs'!$B$31+'Inputs'!$B$32,'Inputs'!$B$30+'Inputs'!$B$31+'Inputs'!$B$32)/1000+'Inputs'!$B$21)+'Inputs'!$B$9)/SQRT((((709-43)*MAX('Inputs'!$B$33,'Inputs'!$B$29+'Inputs'!$B$31+'Inputs'!$B$32,'Inputs'!$B$30+'Inputs'!$B$31+'Inputs'!$B$32)/1000+'Inputs'!$B$21)+'Inputs'!$B$9)^2+('Inputs'!$B$8/2)^2)-(((709-43)*MAX('Inputs'!$B$33,'Inputs'!$B$29+'Inputs'!$B$31+'Inputs'!$B$32,'Inputs'!$B$30+'Inputs'!$B$31+'Inputs'!$B$32)/1000+'Inputs'!$B$21))/SQRT((((709-43)*MAX('Inputs'!$B$33,'Inputs'!$B$29+'Inputs'!$B$31+'Inputs'!$B$32,'Inputs'!$B$30+'Inputs'!$B$31+'Inputs'!$B$32)/1000+'Inputs'!$B$21))^2+('Inputs'!$B$8/2)^2)))-'Results'!B7*(0.5*((((709-43)*MAX('Inputs'!$B$33,'Inputs'!$B$29+'Inputs'!$B$31+'Inputs'!$B$32,'Inputs'!$B$30+'Inputs'!$B$31+'Inputs'!$B$32)/1000+'Inputs'!$B$21+'Inputs'!$B$9+'Inputs'!$B$10)+'Inputs'!$B$7)/SQRT((((709-43)*MAX('Inputs'!$B$33,'Inputs'!$B$29+'Inputs'!$B$31+'Inputs'!$B$32,'Inputs'!$B$30+'Inputs'!$B$31+'Inputs'!$B$32)/1000+'Inputs'!$B$21+'Inputs'!$B$9+'Inputs'!$B$10)+'Inputs'!$B$7)^2+('Inputs'!$B$6/2)^2)-(((709-43)*MAX('Inputs'!$B$33,'Inputs'!$B$29+'Inputs'!$B$31+'Inputs'!$B$32,'Inputs'!$B$30+'Inputs'!$B$31+'Inputs'!$B$32)/1000+'Inputs'!$B$21+'Inputs'!$B$9+'Inputs'!$B$10))/SQRT((((709-43)*MAX('Inputs'!$B$33,'Inputs'!$B$29+'Inputs'!$B$31+'Inputs'!$B$32,'Inputs'!$B$30+'Inputs'!$B$31+'Inputs'!$B$32)/1000+'Inputs'!$B$21+'Inputs'!$B$9+'Inputs'!$B$10))^2+('Inputs'!$B$6/2)^2))))*'Results'!$B$8),"")</x:f>
        <x:v>1.4097577367360021</x:v>
      </x:c>
      <x:c r="N709" t="n">
        <x:f>IF(AND(ISNUMBER('Results'!C7),ISNUMBER('Results'!B7),ISNUMBER('Results'!$B$8),ISNUMBER('Inputs'!$B$6),ISNUMBER('Inputs'!$B$7),ISNUMBER('Inputs'!$B$8),ISNUMBER('Inputs'!$B$9),ISNUMBER('Inputs'!$B$10),ISNUMBER('Inputs'!$B$21),ISNUMBER('Inputs'!$B$24),ISNUMBER('Inputs'!$B$28)),((('Results'!C7*(1-'Inputs'!$B$24)*(0.5*((((709-43)*MAX('Inputs'!$B$33,'Inputs'!$B$29+'Inputs'!$B$31+'Inputs'!$B$32,'Inputs'!$B$30+'Inputs'!$B$31+'Inputs'!$B$32)/1000+'Inputs'!$B$21)+'Inputs'!$B$9)/SQRT((((709-43)*MAX('Inputs'!$B$33,'Inputs'!$B$29+'Inputs'!$B$31+'Inputs'!$B$32,'Inputs'!$B$30+'Inputs'!$B$31+'Inputs'!$B$32)/1000+'Inputs'!$B$21)+'Inputs'!$B$9)^2+('Inputs'!$B$8/2)^2)-(((709-43)*MAX('Inputs'!$B$33,'Inputs'!$B$29+'Inputs'!$B$31+'Inputs'!$B$32,'Inputs'!$B$30+'Inputs'!$B$31+'Inputs'!$B$32)/1000+'Inputs'!$B$21))/SQRT((((709-43)*MAX('Inputs'!$B$33,'Inputs'!$B$29+'Inputs'!$B$31+'Inputs'!$B$32,'Inputs'!$B$30+'Inputs'!$B$31+'Inputs'!$B$32)/1000+'Inputs'!$B$21))^2+('Inputs'!$B$8/2)^2)))-'Results'!B7*(1+'Inputs'!$B$24)*(0.5*((((709-43)*MAX('Inputs'!$B$33,'Inputs'!$B$29+'Inputs'!$B$31+'Inputs'!$B$32,'Inputs'!$B$30+'Inputs'!$B$31+'Inputs'!$B$32)/1000+'Inputs'!$B$21+'Inputs'!$B$9+'Inputs'!$B$10)+'Inputs'!$B$7)/SQRT((((709-43)*MAX('Inputs'!$B$33,'Inputs'!$B$29+'Inputs'!$B$31+'Inputs'!$B$32,'Inputs'!$B$30+'Inputs'!$B$31+'Inputs'!$B$32)/1000+'Inputs'!$B$21+'Inputs'!$B$9+'Inputs'!$B$10)+'Inputs'!$B$7)^2+('Inputs'!$B$6/2)^2)-(((709-43)*MAX('Inputs'!$B$33,'Inputs'!$B$29+'Inputs'!$B$31+'Inputs'!$B$32,'Inputs'!$B$30+'Inputs'!$B$31+'Inputs'!$B$32)/1000+'Inputs'!$B$21+'Inputs'!$B$9+'Inputs'!$B$10))/SQRT((((709-43)*MAX('Inputs'!$B$33,'Inputs'!$B$29+'Inputs'!$B$31+'Inputs'!$B$32,'Inputs'!$B$30+'Inputs'!$B$31+'Inputs'!$B$32)/1000+'Inputs'!$B$21+'Inputs'!$B$9+'Inputs'!$B$10))^2+('Inputs'!$B$6/2)^2))))*'Results'!$B$8)-'Inputs'!$B$28*ABS((('Results'!C7*(1-'Inputs'!$B$24)*(0.5*((((709-43)*MAX('Inputs'!$B$33,'Inputs'!$B$29+'Inputs'!$B$31+'Inputs'!$B$32,'Inputs'!$B$30+'Inputs'!$B$31+'Inputs'!$B$32)/1000+'Inputs'!$B$21)+'Inputs'!$B$9)/SQRT((((709-43)*MAX('Inputs'!$B$33,'Inputs'!$B$29+'Inputs'!$B$31+'Inputs'!$B$32,'Inputs'!$B$30+'Inputs'!$B$31+'Inputs'!$B$32)/1000+'Inputs'!$B$21)+'Inputs'!$B$9)^2+('Inputs'!$B$8/2)^2)-(((709-43)*MAX('Inputs'!$B$33,'Inputs'!$B$29+'Inputs'!$B$31+'Inputs'!$B$32,'Inputs'!$B$30+'Inputs'!$B$31+'Inputs'!$B$32)/1000+'Inputs'!$B$21))/SQRT((((709-43)*MAX('Inputs'!$B$33,'Inputs'!$B$29+'Inputs'!$B$31+'Inputs'!$B$32,'Inputs'!$B$30+'Inputs'!$B$31+'Inputs'!$B$32)/1000+'Inputs'!$B$21))^2+('Inputs'!$B$8/2)^2)))-'Results'!B7*(1+'Inputs'!$B$24)*(0.5*((((709-43)*MAX('Inputs'!$B$33,'Inputs'!$B$29+'Inputs'!$B$31+'Inputs'!$B$32,'Inputs'!$B$30+'Inputs'!$B$31+'Inputs'!$B$32)/1000+'Inputs'!$B$21+'Inputs'!$B$9+'Inputs'!$B$10)+'Inputs'!$B$7)/SQRT((((709-43)*MAX('Inputs'!$B$33,'Inputs'!$B$29+'Inputs'!$B$31+'Inputs'!$B$32,'Inputs'!$B$30+'Inputs'!$B$31+'Inputs'!$B$32)/1000+'Inputs'!$B$21+'Inputs'!$B$9+'Inputs'!$B$10)+'Inputs'!$B$7)^2+('Inputs'!$B$6/2)^2)-(((709-43)*MAX('Inputs'!$B$33,'Inputs'!$B$29+'Inputs'!$B$31+'Inputs'!$B$32,'Inputs'!$B$30+'Inputs'!$B$31+'Inputs'!$B$32)/1000+'Inputs'!$B$21+'Inputs'!$B$9+'Inputs'!$B$10))/SQRT((((709-43)*MAX('Inputs'!$B$33,'Inputs'!$B$29+'Inputs'!$B$31+'Inputs'!$B$32,'Inputs'!$B$30+'Inputs'!$B$31+'Inputs'!$B$32)/1000+'Inputs'!$B$21+'Inputs'!$B$9+'Inputs'!$B$10))^2+('Inputs'!$B$6/2)^2))))*'Results'!$B$8))),"")</x:f>
        <x:v>1.2152364035154513</x:v>
      </x:c>
      <x:c r="O709" t="n">
        <x:f>IF(AND(ISNUMBER('Results'!C7),ISNUMBER('Results'!B7),ISNUMBER('Results'!$B$8),ISNUMBER('Inputs'!$B$6),ISNUMBER('Inputs'!$B$7),ISNUMBER('Inputs'!$B$8),ISNUMBER('Inputs'!$B$9),ISNUMBER('Inputs'!$B$10),ISNUMBER('Inputs'!$B$21),ISNUMBER('Inputs'!$B$24),ISNUMBER('Inputs'!$B$28)),((('Results'!C7*(1+'Inputs'!$B$24)*(0.5*((((709-43)*MAX('Inputs'!$B$33,'Inputs'!$B$29+'Inputs'!$B$31+'Inputs'!$B$32,'Inputs'!$B$30+'Inputs'!$B$31+'Inputs'!$B$32)/1000+'Inputs'!$B$21)+'Inputs'!$B$9)/SQRT((((709-43)*MAX('Inputs'!$B$33,'Inputs'!$B$29+'Inputs'!$B$31+'Inputs'!$B$32,'Inputs'!$B$30+'Inputs'!$B$31+'Inputs'!$B$32)/1000+'Inputs'!$B$21)+'Inputs'!$B$9)^2+('Inputs'!$B$8/2)^2)-(((709-43)*MAX('Inputs'!$B$33,'Inputs'!$B$29+'Inputs'!$B$31+'Inputs'!$B$32,'Inputs'!$B$30+'Inputs'!$B$31+'Inputs'!$B$32)/1000+'Inputs'!$B$21))/SQRT((((709-43)*MAX('Inputs'!$B$33,'Inputs'!$B$29+'Inputs'!$B$31+'Inputs'!$B$32,'Inputs'!$B$30+'Inputs'!$B$31+'Inputs'!$B$32)/1000+'Inputs'!$B$21))^2+('Inputs'!$B$8/2)^2)))-'Results'!B7*(1-'Inputs'!$B$24)*(0.5*((((709-43)*MAX('Inputs'!$B$33,'Inputs'!$B$29+'Inputs'!$B$31+'Inputs'!$B$32,'Inputs'!$B$30+'Inputs'!$B$31+'Inputs'!$B$32)/1000+'Inputs'!$B$21+'Inputs'!$B$9+'Inputs'!$B$10)+'Inputs'!$B$7)/SQRT((((709-43)*MAX('Inputs'!$B$33,'Inputs'!$B$29+'Inputs'!$B$31+'Inputs'!$B$32,'Inputs'!$B$30+'Inputs'!$B$31+'Inputs'!$B$32)/1000+'Inputs'!$B$21+'Inputs'!$B$9+'Inputs'!$B$10)+'Inputs'!$B$7)^2+('Inputs'!$B$6/2)^2)-(((709-43)*MAX('Inputs'!$B$33,'Inputs'!$B$29+'Inputs'!$B$31+'Inputs'!$B$32,'Inputs'!$B$30+'Inputs'!$B$31+'Inputs'!$B$32)/1000+'Inputs'!$B$21+'Inputs'!$B$9+'Inputs'!$B$10))/SQRT((((709-43)*MAX('Inputs'!$B$33,'Inputs'!$B$29+'Inputs'!$B$31+'Inputs'!$B$32,'Inputs'!$B$30+'Inputs'!$B$31+'Inputs'!$B$32)/1000+'Inputs'!$B$21+'Inputs'!$B$9+'Inputs'!$B$10))^2+('Inputs'!$B$6/2)^2))))*'Results'!$B$8)+'Inputs'!$B$28*ABS((('Results'!C7*(1+'Inputs'!$B$24)*(0.5*((((709-43)*MAX('Inputs'!$B$33,'Inputs'!$B$29+'Inputs'!$B$31+'Inputs'!$B$32,'Inputs'!$B$30+'Inputs'!$B$31+'Inputs'!$B$32)/1000+'Inputs'!$B$21)+'Inputs'!$B$9)/SQRT((((709-43)*MAX('Inputs'!$B$33,'Inputs'!$B$29+'Inputs'!$B$31+'Inputs'!$B$32,'Inputs'!$B$30+'Inputs'!$B$31+'Inputs'!$B$32)/1000+'Inputs'!$B$21)+'Inputs'!$B$9)^2+('Inputs'!$B$8/2)^2)-(((709-43)*MAX('Inputs'!$B$33,'Inputs'!$B$29+'Inputs'!$B$31+'Inputs'!$B$32,'Inputs'!$B$30+'Inputs'!$B$31+'Inputs'!$B$32)/1000+'Inputs'!$B$21))/SQRT((((709-43)*MAX('Inputs'!$B$33,'Inputs'!$B$29+'Inputs'!$B$31+'Inputs'!$B$32,'Inputs'!$B$30+'Inputs'!$B$31+'Inputs'!$B$32)/1000+'Inputs'!$B$21))^2+('Inputs'!$B$8/2)^2)))-'Results'!B7*(1-'Inputs'!$B$24)*(0.5*((((709-43)*MAX('Inputs'!$B$33,'Inputs'!$B$29+'Inputs'!$B$31+'Inputs'!$B$32,'Inputs'!$B$30+'Inputs'!$B$31+'Inputs'!$B$32)/1000+'Inputs'!$B$21+'Inputs'!$B$9+'Inputs'!$B$10)+'Inputs'!$B$7)/SQRT((((709-43)*MAX('Inputs'!$B$33,'Inputs'!$B$29+'Inputs'!$B$31+'Inputs'!$B$32,'Inputs'!$B$30+'Inputs'!$B$31+'Inputs'!$B$32)/1000+'Inputs'!$B$21+'Inputs'!$B$9+'Inputs'!$B$10)+'Inputs'!$B$7)^2+('Inputs'!$B$6/2)^2)-(((709-43)*MAX('Inputs'!$B$33,'Inputs'!$B$29+'Inputs'!$B$31+'Inputs'!$B$32,'Inputs'!$B$30+'Inputs'!$B$31+'Inputs'!$B$32)/1000+'Inputs'!$B$21+'Inputs'!$B$9+'Inputs'!$B$10))/SQRT((((709-43)*MAX('Inputs'!$B$33,'Inputs'!$B$29+'Inputs'!$B$31+'Inputs'!$B$32,'Inputs'!$B$30+'Inputs'!$B$31+'Inputs'!$B$32)/1000+'Inputs'!$B$21+'Inputs'!$B$9+'Inputs'!$B$10))^2+('Inputs'!$B$6/2)^2))))*'Results'!$B$8))),"")</x:f>
        <x:v>1.6173352222074744</x:v>
      </x:c>
      <x:c r="P709" t="n">
        <x:f>IF(AND(MAX(J709,J708)&gt;0,J709&gt;J708+0.00000001),1,0)</x:f>
        <x:v>0</x:v>
      </x:c>
      <x:c r="Q709" t="n">
        <x:f>IF(AND(MAX(K709,K708)&gt;0,K709&gt;K708+0.00000001),1,0)</x:f>
        <x:v>0</x:v>
      </x:c>
      <x:c r="R709" t="n">
        <x:f>IF(AND(MAX(L709,L708)&gt;0,L709&gt;L708+0.00000001),1,0)</x:f>
        <x:v>0</x:v>
      </x:c>
      <x:c r="S709" t="n">
        <x:f>IF(AND(MAX(M709,M708)&gt;0,M709&gt;M708+0.00000001),1,0)</x:f>
        <x:v>0</x:v>
      </x:c>
      <x:c r="T709" t="n">
        <x:f>IF(AND(MAX(N709,N708)&gt;0,N709&gt;N708+0.00000001),1,0)</x:f>
        <x:v>0</x:v>
      </x:c>
      <x:c r="U709" t="n">
        <x:f>IF(AND(MAX(O709,O708)&gt;0,O709&gt;O708+0.00000001),1,0)</x:f>
        <x:v>0</x:v>
      </x:c>
    </x:row>
    <x:row r="710">
      <x:c r="J710" t="n">
        <x:f>IF(AND(ISNUMBER('Results'!B7),ISNUMBER('Results'!C7),ISNUMBER('Results'!$B$8),ISNUMBER('Inputs'!$B$6),ISNUMBER('Inputs'!$B$7),ISNUMBER('Inputs'!$B$8),ISNUMBER('Inputs'!$B$9),ISNUMBER('Inputs'!$B$10),ISNUMBER('Inputs'!$B$21),ISNUMBER('Inputs'!$B$24),ISNUMBER('Inputs'!$B$28)),(('Results'!B7*(0.5*((((710-43)*MAX('Inputs'!$B$33,'Inputs'!$B$29+'Inputs'!$B$31+'Inputs'!$B$32,'Inputs'!$B$30+'Inputs'!$B$31+'Inputs'!$B$32)/1000+'Inputs'!$B$21)+'Inputs'!$B$7)/SQRT((((710-43)*MAX('Inputs'!$B$33,'Inputs'!$B$29+'Inputs'!$B$31+'Inputs'!$B$32,'Inputs'!$B$30+'Inputs'!$B$31+'Inputs'!$B$32)/1000+'Inputs'!$B$21)+'Inputs'!$B$7)^2+('Inputs'!$B$6/2)^2)-(((710-43)*MAX('Inputs'!$B$33,'Inputs'!$B$29+'Inputs'!$B$31+'Inputs'!$B$32,'Inputs'!$B$30+'Inputs'!$B$31+'Inputs'!$B$32)/1000+'Inputs'!$B$21))/SQRT((((710-43)*MAX('Inputs'!$B$33,'Inputs'!$B$29+'Inputs'!$B$31+'Inputs'!$B$32,'Inputs'!$B$30+'Inputs'!$B$31+'Inputs'!$B$32)/1000+'Inputs'!$B$21))^2+('Inputs'!$B$6/2)^2)))-'Results'!C7*(0.5*((((710-43)*MAX('Inputs'!$B$33,'Inputs'!$B$29+'Inputs'!$B$31+'Inputs'!$B$32,'Inputs'!$B$30+'Inputs'!$B$31+'Inputs'!$B$32)/1000+'Inputs'!$B$21+'Inputs'!$B$7+'Inputs'!$B$10)+'Inputs'!$B$9)/SQRT((((710-43)*MAX('Inputs'!$B$33,'Inputs'!$B$29+'Inputs'!$B$31+'Inputs'!$B$32,'Inputs'!$B$30+'Inputs'!$B$31+'Inputs'!$B$32)/1000+'Inputs'!$B$21+'Inputs'!$B$7+'Inputs'!$B$10)+'Inputs'!$B$9)^2+('Inputs'!$B$8/2)^2)-(((710-43)*MAX('Inputs'!$B$33,'Inputs'!$B$29+'Inputs'!$B$31+'Inputs'!$B$32,'Inputs'!$B$30+'Inputs'!$B$31+'Inputs'!$B$32)/1000+'Inputs'!$B$21+'Inputs'!$B$7+'Inputs'!$B$10))/SQRT((((710-43)*MAX('Inputs'!$B$33,'Inputs'!$B$29+'Inputs'!$B$31+'Inputs'!$B$32,'Inputs'!$B$30+'Inputs'!$B$31+'Inputs'!$B$32)/1000+'Inputs'!$B$21+'Inputs'!$B$7+'Inputs'!$B$10))^2+('Inputs'!$B$8/2)^2))))*'Results'!$B$8),"")</x:f>
        <x:v>1.5337814110604693</x:v>
      </x:c>
      <x:c r="K710" t="n">
        <x:f>IF(AND(ISNUMBER('Results'!B7),ISNUMBER('Results'!C7),ISNUMBER('Results'!$B$8),ISNUMBER('Inputs'!$B$6),ISNUMBER('Inputs'!$B$7),ISNUMBER('Inputs'!$B$8),ISNUMBER('Inputs'!$B$9),ISNUMBER('Inputs'!$B$10),ISNUMBER('Inputs'!$B$21),ISNUMBER('Inputs'!$B$24),ISNUMBER('Inputs'!$B$28)),((('Results'!B7*(1-'Inputs'!$B$24)*(0.5*((((710-43)*MAX('Inputs'!$B$33,'Inputs'!$B$29+'Inputs'!$B$31+'Inputs'!$B$32,'Inputs'!$B$30+'Inputs'!$B$31+'Inputs'!$B$32)/1000+'Inputs'!$B$21)+'Inputs'!$B$7)/SQRT((((710-43)*MAX('Inputs'!$B$33,'Inputs'!$B$29+'Inputs'!$B$31+'Inputs'!$B$32,'Inputs'!$B$30+'Inputs'!$B$31+'Inputs'!$B$32)/1000+'Inputs'!$B$21)+'Inputs'!$B$7)^2+('Inputs'!$B$6/2)^2)-(((710-43)*MAX('Inputs'!$B$33,'Inputs'!$B$29+'Inputs'!$B$31+'Inputs'!$B$32,'Inputs'!$B$30+'Inputs'!$B$31+'Inputs'!$B$32)/1000+'Inputs'!$B$21))/SQRT((((710-43)*MAX('Inputs'!$B$33,'Inputs'!$B$29+'Inputs'!$B$31+'Inputs'!$B$32,'Inputs'!$B$30+'Inputs'!$B$31+'Inputs'!$B$32)/1000+'Inputs'!$B$21))^2+('Inputs'!$B$6/2)^2)))-'Results'!C7*(1+'Inputs'!$B$24)*(0.5*((((710-43)*MAX('Inputs'!$B$33,'Inputs'!$B$29+'Inputs'!$B$31+'Inputs'!$B$32,'Inputs'!$B$30+'Inputs'!$B$31+'Inputs'!$B$32)/1000+'Inputs'!$B$21+'Inputs'!$B$7+'Inputs'!$B$10)+'Inputs'!$B$9)/SQRT((((710-43)*MAX('Inputs'!$B$33,'Inputs'!$B$29+'Inputs'!$B$31+'Inputs'!$B$32,'Inputs'!$B$30+'Inputs'!$B$31+'Inputs'!$B$32)/1000+'Inputs'!$B$21+'Inputs'!$B$7+'Inputs'!$B$10)+'Inputs'!$B$9)^2+('Inputs'!$B$8/2)^2)-(((710-43)*MAX('Inputs'!$B$33,'Inputs'!$B$29+'Inputs'!$B$31+'Inputs'!$B$32,'Inputs'!$B$30+'Inputs'!$B$31+'Inputs'!$B$32)/1000+'Inputs'!$B$21+'Inputs'!$B$7+'Inputs'!$B$10))/SQRT((((710-43)*MAX('Inputs'!$B$33,'Inputs'!$B$29+'Inputs'!$B$31+'Inputs'!$B$32,'Inputs'!$B$30+'Inputs'!$B$31+'Inputs'!$B$32)/1000+'Inputs'!$B$21+'Inputs'!$B$7+'Inputs'!$B$10))^2+('Inputs'!$B$8/2)^2))))*'Results'!$B$8)-'Inputs'!$B$28*ABS((('Results'!B7*(1-'Inputs'!$B$24)*(0.5*((((710-43)*MAX('Inputs'!$B$33,'Inputs'!$B$29+'Inputs'!$B$31+'Inputs'!$B$32,'Inputs'!$B$30+'Inputs'!$B$31+'Inputs'!$B$32)/1000+'Inputs'!$B$21)+'Inputs'!$B$7)/SQRT((((710-43)*MAX('Inputs'!$B$33,'Inputs'!$B$29+'Inputs'!$B$31+'Inputs'!$B$32,'Inputs'!$B$30+'Inputs'!$B$31+'Inputs'!$B$32)/1000+'Inputs'!$B$21)+'Inputs'!$B$7)^2+('Inputs'!$B$6/2)^2)-(((710-43)*MAX('Inputs'!$B$33,'Inputs'!$B$29+'Inputs'!$B$31+'Inputs'!$B$32,'Inputs'!$B$30+'Inputs'!$B$31+'Inputs'!$B$32)/1000+'Inputs'!$B$21))/SQRT((((710-43)*MAX('Inputs'!$B$33,'Inputs'!$B$29+'Inputs'!$B$31+'Inputs'!$B$32,'Inputs'!$B$30+'Inputs'!$B$31+'Inputs'!$B$32)/1000+'Inputs'!$B$21))^2+('Inputs'!$B$6/2)^2)))-'Results'!C7*(1+'Inputs'!$B$24)*(0.5*((((710-43)*MAX('Inputs'!$B$33,'Inputs'!$B$29+'Inputs'!$B$31+'Inputs'!$B$32,'Inputs'!$B$30+'Inputs'!$B$31+'Inputs'!$B$32)/1000+'Inputs'!$B$21+'Inputs'!$B$7+'Inputs'!$B$10)+'Inputs'!$B$9)/SQRT((((710-43)*MAX('Inputs'!$B$33,'Inputs'!$B$29+'Inputs'!$B$31+'Inputs'!$B$32,'Inputs'!$B$30+'Inputs'!$B$31+'Inputs'!$B$32)/1000+'Inputs'!$B$21+'Inputs'!$B$7+'Inputs'!$B$10)+'Inputs'!$B$9)^2+('Inputs'!$B$8/2)^2)-(((710-43)*MAX('Inputs'!$B$33,'Inputs'!$B$29+'Inputs'!$B$31+'Inputs'!$B$32,'Inputs'!$B$30+'Inputs'!$B$31+'Inputs'!$B$32)/1000+'Inputs'!$B$21+'Inputs'!$B$7+'Inputs'!$B$10))/SQRT((((710-43)*MAX('Inputs'!$B$33,'Inputs'!$B$29+'Inputs'!$B$31+'Inputs'!$B$32,'Inputs'!$B$30+'Inputs'!$B$31+'Inputs'!$B$32)/1000+'Inputs'!$B$21+'Inputs'!$B$7+'Inputs'!$B$10))^2+('Inputs'!$B$8/2)^2))))*'Results'!$B$8))),"")</x:f>
        <x:v>1.3330004851655632</x:v>
      </x:c>
      <x:c r="L710" t="n">
        <x:f>IF(AND(ISNUMBER('Results'!B7),ISNUMBER('Results'!C7),ISNUMBER('Results'!$B$8),ISNUMBER('Inputs'!$B$6),ISNUMBER('Inputs'!$B$7),ISNUMBER('Inputs'!$B$8),ISNUMBER('Inputs'!$B$9),ISNUMBER('Inputs'!$B$10),ISNUMBER('Inputs'!$B$21),ISNUMBER('Inputs'!$B$24),ISNUMBER('Inputs'!$B$28)),((('Results'!B7*(1+'Inputs'!$B$24)*(0.5*((((710-43)*MAX('Inputs'!$B$33,'Inputs'!$B$29+'Inputs'!$B$31+'Inputs'!$B$32,'Inputs'!$B$30+'Inputs'!$B$31+'Inputs'!$B$32)/1000+'Inputs'!$B$21)+'Inputs'!$B$7)/SQRT((((710-43)*MAX('Inputs'!$B$33,'Inputs'!$B$29+'Inputs'!$B$31+'Inputs'!$B$32,'Inputs'!$B$30+'Inputs'!$B$31+'Inputs'!$B$32)/1000+'Inputs'!$B$21)+'Inputs'!$B$7)^2+('Inputs'!$B$6/2)^2)-(((710-43)*MAX('Inputs'!$B$33,'Inputs'!$B$29+'Inputs'!$B$31+'Inputs'!$B$32,'Inputs'!$B$30+'Inputs'!$B$31+'Inputs'!$B$32)/1000+'Inputs'!$B$21))/SQRT((((710-43)*MAX('Inputs'!$B$33,'Inputs'!$B$29+'Inputs'!$B$31+'Inputs'!$B$32,'Inputs'!$B$30+'Inputs'!$B$31+'Inputs'!$B$32)/1000+'Inputs'!$B$21))^2+('Inputs'!$B$6/2)^2)))-'Results'!C7*(1-'Inputs'!$B$24)*(0.5*((((710-43)*MAX('Inputs'!$B$33,'Inputs'!$B$29+'Inputs'!$B$31+'Inputs'!$B$32,'Inputs'!$B$30+'Inputs'!$B$31+'Inputs'!$B$32)/1000+'Inputs'!$B$21+'Inputs'!$B$7+'Inputs'!$B$10)+'Inputs'!$B$9)/SQRT((((710-43)*MAX('Inputs'!$B$33,'Inputs'!$B$29+'Inputs'!$B$31+'Inputs'!$B$32,'Inputs'!$B$30+'Inputs'!$B$31+'Inputs'!$B$32)/1000+'Inputs'!$B$21+'Inputs'!$B$7+'Inputs'!$B$10)+'Inputs'!$B$9)^2+('Inputs'!$B$8/2)^2)-(((710-43)*MAX('Inputs'!$B$33,'Inputs'!$B$29+'Inputs'!$B$31+'Inputs'!$B$32,'Inputs'!$B$30+'Inputs'!$B$31+'Inputs'!$B$32)/1000+'Inputs'!$B$21+'Inputs'!$B$7+'Inputs'!$B$10))/SQRT((((710-43)*MAX('Inputs'!$B$33,'Inputs'!$B$29+'Inputs'!$B$31+'Inputs'!$B$32,'Inputs'!$B$30+'Inputs'!$B$31+'Inputs'!$B$32)/1000+'Inputs'!$B$21+'Inputs'!$B$7+'Inputs'!$B$10))^2+('Inputs'!$B$8/2)^2))))*'Results'!$B$8)+'Inputs'!$B$28*ABS((('Results'!B7*(1+'Inputs'!$B$24)*(0.5*((((710-43)*MAX('Inputs'!$B$33,'Inputs'!$B$29+'Inputs'!$B$31+'Inputs'!$B$32,'Inputs'!$B$30+'Inputs'!$B$31+'Inputs'!$B$32)/1000+'Inputs'!$B$21)+'Inputs'!$B$7)/SQRT((((710-43)*MAX('Inputs'!$B$33,'Inputs'!$B$29+'Inputs'!$B$31+'Inputs'!$B$32,'Inputs'!$B$30+'Inputs'!$B$31+'Inputs'!$B$32)/1000+'Inputs'!$B$21)+'Inputs'!$B$7)^2+('Inputs'!$B$6/2)^2)-(((710-43)*MAX('Inputs'!$B$33,'Inputs'!$B$29+'Inputs'!$B$31+'Inputs'!$B$32,'Inputs'!$B$30+'Inputs'!$B$31+'Inputs'!$B$32)/1000+'Inputs'!$B$21))/SQRT((((710-43)*MAX('Inputs'!$B$33,'Inputs'!$B$29+'Inputs'!$B$31+'Inputs'!$B$32,'Inputs'!$B$30+'Inputs'!$B$31+'Inputs'!$B$32)/1000+'Inputs'!$B$21))^2+('Inputs'!$B$6/2)^2)))-'Results'!C7*(1-'Inputs'!$B$24)*(0.5*((((710-43)*MAX('Inputs'!$B$33,'Inputs'!$B$29+'Inputs'!$B$31+'Inputs'!$B$32,'Inputs'!$B$30+'Inputs'!$B$31+'Inputs'!$B$32)/1000+'Inputs'!$B$21+'Inputs'!$B$7+'Inputs'!$B$10)+'Inputs'!$B$9)/SQRT((((710-43)*MAX('Inputs'!$B$33,'Inputs'!$B$29+'Inputs'!$B$31+'Inputs'!$B$32,'Inputs'!$B$30+'Inputs'!$B$31+'Inputs'!$B$32)/1000+'Inputs'!$B$21+'Inputs'!$B$7+'Inputs'!$B$10)+'Inputs'!$B$9)^2+('Inputs'!$B$8/2)^2)-(((710-43)*MAX('Inputs'!$B$33,'Inputs'!$B$29+'Inputs'!$B$31+'Inputs'!$B$32,'Inputs'!$B$30+'Inputs'!$B$31+'Inputs'!$B$32)/1000+'Inputs'!$B$21+'Inputs'!$B$7+'Inputs'!$B$10))/SQRT((((710-43)*MAX('Inputs'!$B$33,'Inputs'!$B$29+'Inputs'!$B$31+'Inputs'!$B$32,'Inputs'!$B$30+'Inputs'!$B$31+'Inputs'!$B$32)/1000+'Inputs'!$B$21+'Inputs'!$B$7+'Inputs'!$B$10))^2+('Inputs'!$B$8/2)^2))))*'Results'!$B$8))),"")</x:f>
        <x:v>1.7476246375176783</x:v>
      </x:c>
      <x:c r="M710" t="n">
        <x:f>IF(AND(ISNUMBER('Results'!C7),ISNUMBER('Results'!B7),ISNUMBER('Results'!$B$8),ISNUMBER('Inputs'!$B$6),ISNUMBER('Inputs'!$B$7),ISNUMBER('Inputs'!$B$8),ISNUMBER('Inputs'!$B$9),ISNUMBER('Inputs'!$B$10),ISNUMBER('Inputs'!$B$21),ISNUMBER('Inputs'!$B$24),ISNUMBER('Inputs'!$B$28)),(('Results'!C7*(0.5*((((710-43)*MAX('Inputs'!$B$33,'Inputs'!$B$29+'Inputs'!$B$31+'Inputs'!$B$32,'Inputs'!$B$30+'Inputs'!$B$31+'Inputs'!$B$32)/1000+'Inputs'!$B$21)+'Inputs'!$B$9)/SQRT((((710-43)*MAX('Inputs'!$B$33,'Inputs'!$B$29+'Inputs'!$B$31+'Inputs'!$B$32,'Inputs'!$B$30+'Inputs'!$B$31+'Inputs'!$B$32)/1000+'Inputs'!$B$21)+'Inputs'!$B$9)^2+('Inputs'!$B$8/2)^2)-(((710-43)*MAX('Inputs'!$B$33,'Inputs'!$B$29+'Inputs'!$B$31+'Inputs'!$B$32,'Inputs'!$B$30+'Inputs'!$B$31+'Inputs'!$B$32)/1000+'Inputs'!$B$21))/SQRT((((710-43)*MAX('Inputs'!$B$33,'Inputs'!$B$29+'Inputs'!$B$31+'Inputs'!$B$32,'Inputs'!$B$30+'Inputs'!$B$31+'Inputs'!$B$32)/1000+'Inputs'!$B$21))^2+('Inputs'!$B$8/2)^2)))-'Results'!B7*(0.5*((((710-43)*MAX('Inputs'!$B$33,'Inputs'!$B$29+'Inputs'!$B$31+'Inputs'!$B$32,'Inputs'!$B$30+'Inputs'!$B$31+'Inputs'!$B$32)/1000+'Inputs'!$B$21+'Inputs'!$B$9+'Inputs'!$B$10)+'Inputs'!$B$7)/SQRT((((710-43)*MAX('Inputs'!$B$33,'Inputs'!$B$29+'Inputs'!$B$31+'Inputs'!$B$32,'Inputs'!$B$30+'Inputs'!$B$31+'Inputs'!$B$32)/1000+'Inputs'!$B$21+'Inputs'!$B$9+'Inputs'!$B$10)+'Inputs'!$B$7)^2+('Inputs'!$B$6/2)^2)-(((710-43)*MAX('Inputs'!$B$33,'Inputs'!$B$29+'Inputs'!$B$31+'Inputs'!$B$32,'Inputs'!$B$30+'Inputs'!$B$31+'Inputs'!$B$32)/1000+'Inputs'!$B$21+'Inputs'!$B$9+'Inputs'!$B$10))/SQRT((((710-43)*MAX('Inputs'!$B$33,'Inputs'!$B$29+'Inputs'!$B$31+'Inputs'!$B$32,'Inputs'!$B$30+'Inputs'!$B$31+'Inputs'!$B$32)/1000+'Inputs'!$B$21+'Inputs'!$B$9+'Inputs'!$B$10))^2+('Inputs'!$B$6/2)^2))))*'Results'!$B$8),"")</x:f>
        <x:v>1.4021385342394577</x:v>
      </x:c>
      <x:c r="N710" t="n">
        <x:f>IF(AND(ISNUMBER('Results'!C7),ISNUMBER('Results'!B7),ISNUMBER('Results'!$B$8),ISNUMBER('Inputs'!$B$6),ISNUMBER('Inputs'!$B$7),ISNUMBER('Inputs'!$B$8),ISNUMBER('Inputs'!$B$9),ISNUMBER('Inputs'!$B$10),ISNUMBER('Inputs'!$B$21),ISNUMBER('Inputs'!$B$24),ISNUMBER('Inputs'!$B$28)),((('Results'!C7*(1-'Inputs'!$B$24)*(0.5*((((710-43)*MAX('Inputs'!$B$33,'Inputs'!$B$29+'Inputs'!$B$31+'Inputs'!$B$32,'Inputs'!$B$30+'Inputs'!$B$31+'Inputs'!$B$32)/1000+'Inputs'!$B$21)+'Inputs'!$B$9)/SQRT((((710-43)*MAX('Inputs'!$B$33,'Inputs'!$B$29+'Inputs'!$B$31+'Inputs'!$B$32,'Inputs'!$B$30+'Inputs'!$B$31+'Inputs'!$B$32)/1000+'Inputs'!$B$21)+'Inputs'!$B$9)^2+('Inputs'!$B$8/2)^2)-(((710-43)*MAX('Inputs'!$B$33,'Inputs'!$B$29+'Inputs'!$B$31+'Inputs'!$B$32,'Inputs'!$B$30+'Inputs'!$B$31+'Inputs'!$B$32)/1000+'Inputs'!$B$21))/SQRT((((710-43)*MAX('Inputs'!$B$33,'Inputs'!$B$29+'Inputs'!$B$31+'Inputs'!$B$32,'Inputs'!$B$30+'Inputs'!$B$31+'Inputs'!$B$32)/1000+'Inputs'!$B$21))^2+('Inputs'!$B$8/2)^2)))-'Results'!B7*(1+'Inputs'!$B$24)*(0.5*((((710-43)*MAX('Inputs'!$B$33,'Inputs'!$B$29+'Inputs'!$B$31+'Inputs'!$B$32,'Inputs'!$B$30+'Inputs'!$B$31+'Inputs'!$B$32)/1000+'Inputs'!$B$21+'Inputs'!$B$9+'Inputs'!$B$10)+'Inputs'!$B$7)/SQRT((((710-43)*MAX('Inputs'!$B$33,'Inputs'!$B$29+'Inputs'!$B$31+'Inputs'!$B$32,'Inputs'!$B$30+'Inputs'!$B$31+'Inputs'!$B$32)/1000+'Inputs'!$B$21+'Inputs'!$B$9+'Inputs'!$B$10)+'Inputs'!$B$7)^2+('Inputs'!$B$6/2)^2)-(((710-43)*MAX('Inputs'!$B$33,'Inputs'!$B$29+'Inputs'!$B$31+'Inputs'!$B$32,'Inputs'!$B$30+'Inputs'!$B$31+'Inputs'!$B$32)/1000+'Inputs'!$B$21+'Inputs'!$B$9+'Inputs'!$B$10))/SQRT((((710-43)*MAX('Inputs'!$B$33,'Inputs'!$B$29+'Inputs'!$B$31+'Inputs'!$B$32,'Inputs'!$B$30+'Inputs'!$B$31+'Inputs'!$B$32)/1000+'Inputs'!$B$21+'Inputs'!$B$9+'Inputs'!$B$10))^2+('Inputs'!$B$6/2)^2))))*'Results'!$B$8)-'Inputs'!$B$28*ABS((('Results'!C7*(1-'Inputs'!$B$24)*(0.5*((((710-43)*MAX('Inputs'!$B$33,'Inputs'!$B$29+'Inputs'!$B$31+'Inputs'!$B$32,'Inputs'!$B$30+'Inputs'!$B$31+'Inputs'!$B$32)/1000+'Inputs'!$B$21)+'Inputs'!$B$9)/SQRT((((710-43)*MAX('Inputs'!$B$33,'Inputs'!$B$29+'Inputs'!$B$31+'Inputs'!$B$32,'Inputs'!$B$30+'Inputs'!$B$31+'Inputs'!$B$32)/1000+'Inputs'!$B$21)+'Inputs'!$B$9)^2+('Inputs'!$B$8/2)^2)-(((710-43)*MAX('Inputs'!$B$33,'Inputs'!$B$29+'Inputs'!$B$31+'Inputs'!$B$32,'Inputs'!$B$30+'Inputs'!$B$31+'Inputs'!$B$32)/1000+'Inputs'!$B$21))/SQRT((((710-43)*MAX('Inputs'!$B$33,'Inputs'!$B$29+'Inputs'!$B$31+'Inputs'!$B$32,'Inputs'!$B$30+'Inputs'!$B$31+'Inputs'!$B$32)/1000+'Inputs'!$B$21))^2+('Inputs'!$B$8/2)^2)))-'Results'!B7*(1+'Inputs'!$B$24)*(0.5*((((710-43)*MAX('Inputs'!$B$33,'Inputs'!$B$29+'Inputs'!$B$31+'Inputs'!$B$32,'Inputs'!$B$30+'Inputs'!$B$31+'Inputs'!$B$32)/1000+'Inputs'!$B$21+'Inputs'!$B$9+'Inputs'!$B$10)+'Inputs'!$B$7)/SQRT((((710-43)*MAX('Inputs'!$B$33,'Inputs'!$B$29+'Inputs'!$B$31+'Inputs'!$B$32,'Inputs'!$B$30+'Inputs'!$B$31+'Inputs'!$B$32)/1000+'Inputs'!$B$21+'Inputs'!$B$9+'Inputs'!$B$10)+'Inputs'!$B$7)^2+('Inputs'!$B$6/2)^2)-(((710-43)*MAX('Inputs'!$B$33,'Inputs'!$B$29+'Inputs'!$B$31+'Inputs'!$B$32,'Inputs'!$B$30+'Inputs'!$B$31+'Inputs'!$B$32)/1000+'Inputs'!$B$21+'Inputs'!$B$9+'Inputs'!$B$10))/SQRT((((710-43)*MAX('Inputs'!$B$33,'Inputs'!$B$29+'Inputs'!$B$31+'Inputs'!$B$32,'Inputs'!$B$30+'Inputs'!$B$31+'Inputs'!$B$32)/1000+'Inputs'!$B$21+'Inputs'!$B$9+'Inputs'!$B$10))^2+('Inputs'!$B$6/2)^2))))*'Results'!$B$8))),"")</x:f>
        <x:v>1.208503211569044</x:v>
      </x:c>
      <x:c r="O710" t="n">
        <x:f>IF(AND(ISNUMBER('Results'!C7),ISNUMBER('Results'!B7),ISNUMBER('Results'!$B$8),ISNUMBER('Inputs'!$B$6),ISNUMBER('Inputs'!$B$7),ISNUMBER('Inputs'!$B$8),ISNUMBER('Inputs'!$B$9),ISNUMBER('Inputs'!$B$10),ISNUMBER('Inputs'!$B$21),ISNUMBER('Inputs'!$B$24),ISNUMBER('Inputs'!$B$28)),((('Results'!C7*(1+'Inputs'!$B$24)*(0.5*((((710-43)*MAX('Inputs'!$B$33,'Inputs'!$B$29+'Inputs'!$B$31+'Inputs'!$B$32,'Inputs'!$B$30+'Inputs'!$B$31+'Inputs'!$B$32)/1000+'Inputs'!$B$21)+'Inputs'!$B$9)/SQRT((((710-43)*MAX('Inputs'!$B$33,'Inputs'!$B$29+'Inputs'!$B$31+'Inputs'!$B$32,'Inputs'!$B$30+'Inputs'!$B$31+'Inputs'!$B$32)/1000+'Inputs'!$B$21)+'Inputs'!$B$9)^2+('Inputs'!$B$8/2)^2)-(((710-43)*MAX('Inputs'!$B$33,'Inputs'!$B$29+'Inputs'!$B$31+'Inputs'!$B$32,'Inputs'!$B$30+'Inputs'!$B$31+'Inputs'!$B$32)/1000+'Inputs'!$B$21))/SQRT((((710-43)*MAX('Inputs'!$B$33,'Inputs'!$B$29+'Inputs'!$B$31+'Inputs'!$B$32,'Inputs'!$B$30+'Inputs'!$B$31+'Inputs'!$B$32)/1000+'Inputs'!$B$21))^2+('Inputs'!$B$8/2)^2)))-'Results'!B7*(1-'Inputs'!$B$24)*(0.5*((((710-43)*MAX('Inputs'!$B$33,'Inputs'!$B$29+'Inputs'!$B$31+'Inputs'!$B$32,'Inputs'!$B$30+'Inputs'!$B$31+'Inputs'!$B$32)/1000+'Inputs'!$B$21+'Inputs'!$B$9+'Inputs'!$B$10)+'Inputs'!$B$7)/SQRT((((710-43)*MAX('Inputs'!$B$33,'Inputs'!$B$29+'Inputs'!$B$31+'Inputs'!$B$32,'Inputs'!$B$30+'Inputs'!$B$31+'Inputs'!$B$32)/1000+'Inputs'!$B$21+'Inputs'!$B$9+'Inputs'!$B$10)+'Inputs'!$B$7)^2+('Inputs'!$B$6/2)^2)-(((710-43)*MAX('Inputs'!$B$33,'Inputs'!$B$29+'Inputs'!$B$31+'Inputs'!$B$32,'Inputs'!$B$30+'Inputs'!$B$31+'Inputs'!$B$32)/1000+'Inputs'!$B$21+'Inputs'!$B$9+'Inputs'!$B$10))/SQRT((((710-43)*MAX('Inputs'!$B$33,'Inputs'!$B$29+'Inputs'!$B$31+'Inputs'!$B$32,'Inputs'!$B$30+'Inputs'!$B$31+'Inputs'!$B$32)/1000+'Inputs'!$B$21+'Inputs'!$B$9+'Inputs'!$B$10))^2+('Inputs'!$B$6/2)^2))))*'Results'!$B$8)+'Inputs'!$B$28*ABS((('Results'!C7*(1+'Inputs'!$B$24)*(0.5*((((710-43)*MAX('Inputs'!$B$33,'Inputs'!$B$29+'Inputs'!$B$31+'Inputs'!$B$32,'Inputs'!$B$30+'Inputs'!$B$31+'Inputs'!$B$32)/1000+'Inputs'!$B$21)+'Inputs'!$B$9)/SQRT((((710-43)*MAX('Inputs'!$B$33,'Inputs'!$B$29+'Inputs'!$B$31+'Inputs'!$B$32,'Inputs'!$B$30+'Inputs'!$B$31+'Inputs'!$B$32)/1000+'Inputs'!$B$21)+'Inputs'!$B$9)^2+('Inputs'!$B$8/2)^2)-(((710-43)*MAX('Inputs'!$B$33,'Inputs'!$B$29+'Inputs'!$B$31+'Inputs'!$B$32,'Inputs'!$B$30+'Inputs'!$B$31+'Inputs'!$B$32)/1000+'Inputs'!$B$21))/SQRT((((710-43)*MAX('Inputs'!$B$33,'Inputs'!$B$29+'Inputs'!$B$31+'Inputs'!$B$32,'Inputs'!$B$30+'Inputs'!$B$31+'Inputs'!$B$32)/1000+'Inputs'!$B$21))^2+('Inputs'!$B$8/2)^2)))-'Results'!B7*(1-'Inputs'!$B$24)*(0.5*((((710-43)*MAX('Inputs'!$B$33,'Inputs'!$B$29+'Inputs'!$B$31+'Inputs'!$B$32,'Inputs'!$B$30+'Inputs'!$B$31+'Inputs'!$B$32)/1000+'Inputs'!$B$21+'Inputs'!$B$9+'Inputs'!$B$10)+'Inputs'!$B$7)/SQRT((((710-43)*MAX('Inputs'!$B$33,'Inputs'!$B$29+'Inputs'!$B$31+'Inputs'!$B$32,'Inputs'!$B$30+'Inputs'!$B$31+'Inputs'!$B$32)/1000+'Inputs'!$B$21+'Inputs'!$B$9+'Inputs'!$B$10)+'Inputs'!$B$7)^2+('Inputs'!$B$6/2)^2)-(((710-43)*MAX('Inputs'!$B$33,'Inputs'!$B$29+'Inputs'!$B$31+'Inputs'!$B$32,'Inputs'!$B$30+'Inputs'!$B$31+'Inputs'!$B$32)/1000+'Inputs'!$B$21+'Inputs'!$B$9+'Inputs'!$B$10))/SQRT((((710-43)*MAX('Inputs'!$B$33,'Inputs'!$B$29+'Inputs'!$B$31+'Inputs'!$B$32,'Inputs'!$B$30+'Inputs'!$B$31+'Inputs'!$B$32)/1000+'Inputs'!$B$21+'Inputs'!$B$9+'Inputs'!$B$10))^2+('Inputs'!$B$6/2)^2))))*'Results'!$B$8))),"")</x:f>
        <x:v>1.6087768459581284</x:v>
      </x:c>
      <x:c r="P710" t="n">
        <x:f>IF(AND(MAX(J710,J709)&gt;0,J710&gt;J709+0.00000001),1,0)</x:f>
        <x:v>0</x:v>
      </x:c>
      <x:c r="Q710" t="n">
        <x:f>IF(AND(MAX(K710,K709)&gt;0,K710&gt;K709+0.00000001),1,0)</x:f>
        <x:v>0</x:v>
      </x:c>
      <x:c r="R710" t="n">
        <x:f>IF(AND(MAX(L710,L709)&gt;0,L710&gt;L709+0.00000001),1,0)</x:f>
        <x:v>0</x:v>
      </x:c>
      <x:c r="S710" t="n">
        <x:f>IF(AND(MAX(M710,M709)&gt;0,M710&gt;M709+0.00000001),1,0)</x:f>
        <x:v>0</x:v>
      </x:c>
      <x:c r="T710" t="n">
        <x:f>IF(AND(MAX(N710,N709)&gt;0,N710&gt;N709+0.00000001),1,0)</x:f>
        <x:v>0</x:v>
      </x:c>
      <x:c r="U710" t="n">
        <x:f>IF(AND(MAX(O710,O709)&gt;0,O710&gt;O709+0.00000001),1,0)</x:f>
        <x:v>0</x:v>
      </x:c>
    </x:row>
    <x:row r="711">
      <x:c r="J711" t="n">
        <x:f>IF(AND(ISNUMBER('Results'!B7),ISNUMBER('Results'!C7),ISNUMBER('Results'!$B$8),ISNUMBER('Inputs'!$B$6),ISNUMBER('Inputs'!$B$7),ISNUMBER('Inputs'!$B$8),ISNUMBER('Inputs'!$B$9),ISNUMBER('Inputs'!$B$10),ISNUMBER('Inputs'!$B$21),ISNUMBER('Inputs'!$B$24),ISNUMBER('Inputs'!$B$28)),(('Results'!B7*(0.5*((((711-43)*MAX('Inputs'!$B$33,'Inputs'!$B$29+'Inputs'!$B$31+'Inputs'!$B$32,'Inputs'!$B$30+'Inputs'!$B$31+'Inputs'!$B$32)/1000+'Inputs'!$B$21)+'Inputs'!$B$7)/SQRT((((711-43)*MAX('Inputs'!$B$33,'Inputs'!$B$29+'Inputs'!$B$31+'Inputs'!$B$32,'Inputs'!$B$30+'Inputs'!$B$31+'Inputs'!$B$32)/1000+'Inputs'!$B$21)+'Inputs'!$B$7)^2+('Inputs'!$B$6/2)^2)-(((711-43)*MAX('Inputs'!$B$33,'Inputs'!$B$29+'Inputs'!$B$31+'Inputs'!$B$32,'Inputs'!$B$30+'Inputs'!$B$31+'Inputs'!$B$32)/1000+'Inputs'!$B$21))/SQRT((((711-43)*MAX('Inputs'!$B$33,'Inputs'!$B$29+'Inputs'!$B$31+'Inputs'!$B$32,'Inputs'!$B$30+'Inputs'!$B$31+'Inputs'!$B$32)/1000+'Inputs'!$B$21))^2+('Inputs'!$B$6/2)^2)))-'Results'!C7*(0.5*((((711-43)*MAX('Inputs'!$B$33,'Inputs'!$B$29+'Inputs'!$B$31+'Inputs'!$B$32,'Inputs'!$B$30+'Inputs'!$B$31+'Inputs'!$B$32)/1000+'Inputs'!$B$21+'Inputs'!$B$7+'Inputs'!$B$10)+'Inputs'!$B$9)/SQRT((((711-43)*MAX('Inputs'!$B$33,'Inputs'!$B$29+'Inputs'!$B$31+'Inputs'!$B$32,'Inputs'!$B$30+'Inputs'!$B$31+'Inputs'!$B$32)/1000+'Inputs'!$B$21+'Inputs'!$B$7+'Inputs'!$B$10)+'Inputs'!$B$9)^2+('Inputs'!$B$8/2)^2)-(((711-43)*MAX('Inputs'!$B$33,'Inputs'!$B$29+'Inputs'!$B$31+'Inputs'!$B$32,'Inputs'!$B$30+'Inputs'!$B$31+'Inputs'!$B$32)/1000+'Inputs'!$B$21+'Inputs'!$B$7+'Inputs'!$B$10))/SQRT((((711-43)*MAX('Inputs'!$B$33,'Inputs'!$B$29+'Inputs'!$B$31+'Inputs'!$B$32,'Inputs'!$B$30+'Inputs'!$B$31+'Inputs'!$B$32)/1000+'Inputs'!$B$21+'Inputs'!$B$7+'Inputs'!$B$10))^2+('Inputs'!$B$8/2)^2))))*'Results'!$B$8),"")</x:f>
        <x:v>1.5256776502482043</x:v>
      </x:c>
      <x:c r="K711" t="n">
        <x:f>IF(AND(ISNUMBER('Results'!B7),ISNUMBER('Results'!C7),ISNUMBER('Results'!$B$8),ISNUMBER('Inputs'!$B$6),ISNUMBER('Inputs'!$B$7),ISNUMBER('Inputs'!$B$8),ISNUMBER('Inputs'!$B$9),ISNUMBER('Inputs'!$B$10),ISNUMBER('Inputs'!$B$21),ISNUMBER('Inputs'!$B$24),ISNUMBER('Inputs'!$B$28)),((('Results'!B7*(1-'Inputs'!$B$24)*(0.5*((((711-43)*MAX('Inputs'!$B$33,'Inputs'!$B$29+'Inputs'!$B$31+'Inputs'!$B$32,'Inputs'!$B$30+'Inputs'!$B$31+'Inputs'!$B$32)/1000+'Inputs'!$B$21)+'Inputs'!$B$7)/SQRT((((711-43)*MAX('Inputs'!$B$33,'Inputs'!$B$29+'Inputs'!$B$31+'Inputs'!$B$32,'Inputs'!$B$30+'Inputs'!$B$31+'Inputs'!$B$32)/1000+'Inputs'!$B$21)+'Inputs'!$B$7)^2+('Inputs'!$B$6/2)^2)-(((711-43)*MAX('Inputs'!$B$33,'Inputs'!$B$29+'Inputs'!$B$31+'Inputs'!$B$32,'Inputs'!$B$30+'Inputs'!$B$31+'Inputs'!$B$32)/1000+'Inputs'!$B$21))/SQRT((((711-43)*MAX('Inputs'!$B$33,'Inputs'!$B$29+'Inputs'!$B$31+'Inputs'!$B$32,'Inputs'!$B$30+'Inputs'!$B$31+'Inputs'!$B$32)/1000+'Inputs'!$B$21))^2+('Inputs'!$B$6/2)^2)))-'Results'!C7*(1+'Inputs'!$B$24)*(0.5*((((711-43)*MAX('Inputs'!$B$33,'Inputs'!$B$29+'Inputs'!$B$31+'Inputs'!$B$32,'Inputs'!$B$30+'Inputs'!$B$31+'Inputs'!$B$32)/1000+'Inputs'!$B$21+'Inputs'!$B$7+'Inputs'!$B$10)+'Inputs'!$B$9)/SQRT((((711-43)*MAX('Inputs'!$B$33,'Inputs'!$B$29+'Inputs'!$B$31+'Inputs'!$B$32,'Inputs'!$B$30+'Inputs'!$B$31+'Inputs'!$B$32)/1000+'Inputs'!$B$21+'Inputs'!$B$7+'Inputs'!$B$10)+'Inputs'!$B$9)^2+('Inputs'!$B$8/2)^2)-(((711-43)*MAX('Inputs'!$B$33,'Inputs'!$B$29+'Inputs'!$B$31+'Inputs'!$B$32,'Inputs'!$B$30+'Inputs'!$B$31+'Inputs'!$B$32)/1000+'Inputs'!$B$21+'Inputs'!$B$7+'Inputs'!$B$10))/SQRT((((711-43)*MAX('Inputs'!$B$33,'Inputs'!$B$29+'Inputs'!$B$31+'Inputs'!$B$32,'Inputs'!$B$30+'Inputs'!$B$31+'Inputs'!$B$32)/1000+'Inputs'!$B$21+'Inputs'!$B$7+'Inputs'!$B$10))^2+('Inputs'!$B$8/2)^2))))*'Results'!$B$8)-'Inputs'!$B$28*ABS((('Results'!B7*(1-'Inputs'!$B$24)*(0.5*((((711-43)*MAX('Inputs'!$B$33,'Inputs'!$B$29+'Inputs'!$B$31+'Inputs'!$B$32,'Inputs'!$B$30+'Inputs'!$B$31+'Inputs'!$B$32)/1000+'Inputs'!$B$21)+'Inputs'!$B$7)/SQRT((((711-43)*MAX('Inputs'!$B$33,'Inputs'!$B$29+'Inputs'!$B$31+'Inputs'!$B$32,'Inputs'!$B$30+'Inputs'!$B$31+'Inputs'!$B$32)/1000+'Inputs'!$B$21)+'Inputs'!$B$7)^2+('Inputs'!$B$6/2)^2)-(((711-43)*MAX('Inputs'!$B$33,'Inputs'!$B$29+'Inputs'!$B$31+'Inputs'!$B$32,'Inputs'!$B$30+'Inputs'!$B$31+'Inputs'!$B$32)/1000+'Inputs'!$B$21))/SQRT((((711-43)*MAX('Inputs'!$B$33,'Inputs'!$B$29+'Inputs'!$B$31+'Inputs'!$B$32,'Inputs'!$B$30+'Inputs'!$B$31+'Inputs'!$B$32)/1000+'Inputs'!$B$21))^2+('Inputs'!$B$6/2)^2)))-'Results'!C7*(1+'Inputs'!$B$24)*(0.5*((((711-43)*MAX('Inputs'!$B$33,'Inputs'!$B$29+'Inputs'!$B$31+'Inputs'!$B$32,'Inputs'!$B$30+'Inputs'!$B$31+'Inputs'!$B$32)/1000+'Inputs'!$B$21+'Inputs'!$B$7+'Inputs'!$B$10)+'Inputs'!$B$9)/SQRT((((711-43)*MAX('Inputs'!$B$33,'Inputs'!$B$29+'Inputs'!$B$31+'Inputs'!$B$32,'Inputs'!$B$30+'Inputs'!$B$31+'Inputs'!$B$32)/1000+'Inputs'!$B$21+'Inputs'!$B$7+'Inputs'!$B$10)+'Inputs'!$B$9)^2+('Inputs'!$B$8/2)^2)-(((711-43)*MAX('Inputs'!$B$33,'Inputs'!$B$29+'Inputs'!$B$31+'Inputs'!$B$32,'Inputs'!$B$30+'Inputs'!$B$31+'Inputs'!$B$32)/1000+'Inputs'!$B$21+'Inputs'!$B$7+'Inputs'!$B$10))/SQRT((((711-43)*MAX('Inputs'!$B$33,'Inputs'!$B$29+'Inputs'!$B$31+'Inputs'!$B$32,'Inputs'!$B$30+'Inputs'!$B$31+'Inputs'!$B$32)/1000+'Inputs'!$B$21+'Inputs'!$B$7+'Inputs'!$B$10))^2+('Inputs'!$B$8/2)^2))))*'Results'!$B$8))),"")</x:f>
        <x:v>1.3258072256635718</x:v>
      </x:c>
      <x:c r="L711" t="n">
        <x:f>IF(AND(ISNUMBER('Results'!B7),ISNUMBER('Results'!C7),ISNUMBER('Results'!$B$8),ISNUMBER('Inputs'!$B$6),ISNUMBER('Inputs'!$B$7),ISNUMBER('Inputs'!$B$8),ISNUMBER('Inputs'!$B$9),ISNUMBER('Inputs'!$B$10),ISNUMBER('Inputs'!$B$21),ISNUMBER('Inputs'!$B$24),ISNUMBER('Inputs'!$B$28)),((('Results'!B7*(1+'Inputs'!$B$24)*(0.5*((((711-43)*MAX('Inputs'!$B$33,'Inputs'!$B$29+'Inputs'!$B$31+'Inputs'!$B$32,'Inputs'!$B$30+'Inputs'!$B$31+'Inputs'!$B$32)/1000+'Inputs'!$B$21)+'Inputs'!$B$7)/SQRT((((711-43)*MAX('Inputs'!$B$33,'Inputs'!$B$29+'Inputs'!$B$31+'Inputs'!$B$32,'Inputs'!$B$30+'Inputs'!$B$31+'Inputs'!$B$32)/1000+'Inputs'!$B$21)+'Inputs'!$B$7)^2+('Inputs'!$B$6/2)^2)-(((711-43)*MAX('Inputs'!$B$33,'Inputs'!$B$29+'Inputs'!$B$31+'Inputs'!$B$32,'Inputs'!$B$30+'Inputs'!$B$31+'Inputs'!$B$32)/1000+'Inputs'!$B$21))/SQRT((((711-43)*MAX('Inputs'!$B$33,'Inputs'!$B$29+'Inputs'!$B$31+'Inputs'!$B$32,'Inputs'!$B$30+'Inputs'!$B$31+'Inputs'!$B$32)/1000+'Inputs'!$B$21))^2+('Inputs'!$B$6/2)^2)))-'Results'!C7*(1-'Inputs'!$B$24)*(0.5*((((711-43)*MAX('Inputs'!$B$33,'Inputs'!$B$29+'Inputs'!$B$31+'Inputs'!$B$32,'Inputs'!$B$30+'Inputs'!$B$31+'Inputs'!$B$32)/1000+'Inputs'!$B$21+'Inputs'!$B$7+'Inputs'!$B$10)+'Inputs'!$B$9)/SQRT((((711-43)*MAX('Inputs'!$B$33,'Inputs'!$B$29+'Inputs'!$B$31+'Inputs'!$B$32,'Inputs'!$B$30+'Inputs'!$B$31+'Inputs'!$B$32)/1000+'Inputs'!$B$21+'Inputs'!$B$7+'Inputs'!$B$10)+'Inputs'!$B$9)^2+('Inputs'!$B$8/2)^2)-(((711-43)*MAX('Inputs'!$B$33,'Inputs'!$B$29+'Inputs'!$B$31+'Inputs'!$B$32,'Inputs'!$B$30+'Inputs'!$B$31+'Inputs'!$B$32)/1000+'Inputs'!$B$21+'Inputs'!$B$7+'Inputs'!$B$10))/SQRT((((711-43)*MAX('Inputs'!$B$33,'Inputs'!$B$29+'Inputs'!$B$31+'Inputs'!$B$32,'Inputs'!$B$30+'Inputs'!$B$31+'Inputs'!$B$32)/1000+'Inputs'!$B$21+'Inputs'!$B$7+'Inputs'!$B$10))^2+('Inputs'!$B$8/2)^2))))*'Results'!$B$8)+'Inputs'!$B$28*ABS((('Results'!B7*(1+'Inputs'!$B$24)*(0.5*((((711-43)*MAX('Inputs'!$B$33,'Inputs'!$B$29+'Inputs'!$B$31+'Inputs'!$B$32,'Inputs'!$B$30+'Inputs'!$B$31+'Inputs'!$B$32)/1000+'Inputs'!$B$21)+'Inputs'!$B$7)/SQRT((((711-43)*MAX('Inputs'!$B$33,'Inputs'!$B$29+'Inputs'!$B$31+'Inputs'!$B$32,'Inputs'!$B$30+'Inputs'!$B$31+'Inputs'!$B$32)/1000+'Inputs'!$B$21)+'Inputs'!$B$7)^2+('Inputs'!$B$6/2)^2)-(((711-43)*MAX('Inputs'!$B$33,'Inputs'!$B$29+'Inputs'!$B$31+'Inputs'!$B$32,'Inputs'!$B$30+'Inputs'!$B$31+'Inputs'!$B$32)/1000+'Inputs'!$B$21))/SQRT((((711-43)*MAX('Inputs'!$B$33,'Inputs'!$B$29+'Inputs'!$B$31+'Inputs'!$B$32,'Inputs'!$B$30+'Inputs'!$B$31+'Inputs'!$B$32)/1000+'Inputs'!$B$21))^2+('Inputs'!$B$6/2)^2)))-'Results'!C7*(1-'Inputs'!$B$24)*(0.5*((((711-43)*MAX('Inputs'!$B$33,'Inputs'!$B$29+'Inputs'!$B$31+'Inputs'!$B$32,'Inputs'!$B$30+'Inputs'!$B$31+'Inputs'!$B$32)/1000+'Inputs'!$B$21+'Inputs'!$B$7+'Inputs'!$B$10)+'Inputs'!$B$9)/SQRT((((711-43)*MAX('Inputs'!$B$33,'Inputs'!$B$29+'Inputs'!$B$31+'Inputs'!$B$32,'Inputs'!$B$30+'Inputs'!$B$31+'Inputs'!$B$32)/1000+'Inputs'!$B$21+'Inputs'!$B$7+'Inputs'!$B$10)+'Inputs'!$B$9)^2+('Inputs'!$B$8/2)^2)-(((711-43)*MAX('Inputs'!$B$33,'Inputs'!$B$29+'Inputs'!$B$31+'Inputs'!$B$32,'Inputs'!$B$30+'Inputs'!$B$31+'Inputs'!$B$32)/1000+'Inputs'!$B$21+'Inputs'!$B$7+'Inputs'!$B$10))/SQRT((((711-43)*MAX('Inputs'!$B$33,'Inputs'!$B$29+'Inputs'!$B$31+'Inputs'!$B$32,'Inputs'!$B$30+'Inputs'!$B$31+'Inputs'!$B$32)/1000+'Inputs'!$B$21+'Inputs'!$B$7+'Inputs'!$B$10))^2+('Inputs'!$B$8/2)^2))))*'Results'!$B$8))),"")</x:f>
        <x:v>1.7385571845246488</x:v>
      </x:c>
      <x:c r="M711" t="n">
        <x:f>IF(AND(ISNUMBER('Results'!C7),ISNUMBER('Results'!B7),ISNUMBER('Results'!$B$8),ISNUMBER('Inputs'!$B$6),ISNUMBER('Inputs'!$B$7),ISNUMBER('Inputs'!$B$8),ISNUMBER('Inputs'!$B$9),ISNUMBER('Inputs'!$B$10),ISNUMBER('Inputs'!$B$21),ISNUMBER('Inputs'!$B$24),ISNUMBER('Inputs'!$B$28)),(('Results'!C7*(0.5*((((711-43)*MAX('Inputs'!$B$33,'Inputs'!$B$29+'Inputs'!$B$31+'Inputs'!$B$32,'Inputs'!$B$30+'Inputs'!$B$31+'Inputs'!$B$32)/1000+'Inputs'!$B$21)+'Inputs'!$B$9)/SQRT((((711-43)*MAX('Inputs'!$B$33,'Inputs'!$B$29+'Inputs'!$B$31+'Inputs'!$B$32,'Inputs'!$B$30+'Inputs'!$B$31+'Inputs'!$B$32)/1000+'Inputs'!$B$21)+'Inputs'!$B$9)^2+('Inputs'!$B$8/2)^2)-(((711-43)*MAX('Inputs'!$B$33,'Inputs'!$B$29+'Inputs'!$B$31+'Inputs'!$B$32,'Inputs'!$B$30+'Inputs'!$B$31+'Inputs'!$B$32)/1000+'Inputs'!$B$21))/SQRT((((711-43)*MAX('Inputs'!$B$33,'Inputs'!$B$29+'Inputs'!$B$31+'Inputs'!$B$32,'Inputs'!$B$30+'Inputs'!$B$31+'Inputs'!$B$32)/1000+'Inputs'!$B$21))^2+('Inputs'!$B$8/2)^2)))-'Results'!B7*(0.5*((((711-43)*MAX('Inputs'!$B$33,'Inputs'!$B$29+'Inputs'!$B$31+'Inputs'!$B$32,'Inputs'!$B$30+'Inputs'!$B$31+'Inputs'!$B$32)/1000+'Inputs'!$B$21+'Inputs'!$B$9+'Inputs'!$B$10)+'Inputs'!$B$7)/SQRT((((711-43)*MAX('Inputs'!$B$33,'Inputs'!$B$29+'Inputs'!$B$31+'Inputs'!$B$32,'Inputs'!$B$30+'Inputs'!$B$31+'Inputs'!$B$32)/1000+'Inputs'!$B$21+'Inputs'!$B$9+'Inputs'!$B$10)+'Inputs'!$B$7)^2+('Inputs'!$B$6/2)^2)-(((711-43)*MAX('Inputs'!$B$33,'Inputs'!$B$29+'Inputs'!$B$31+'Inputs'!$B$32,'Inputs'!$B$30+'Inputs'!$B$31+'Inputs'!$B$32)/1000+'Inputs'!$B$21+'Inputs'!$B$9+'Inputs'!$B$10))/SQRT((((711-43)*MAX('Inputs'!$B$33,'Inputs'!$B$29+'Inputs'!$B$31+'Inputs'!$B$32,'Inputs'!$B$30+'Inputs'!$B$31+'Inputs'!$B$32)/1000+'Inputs'!$B$21+'Inputs'!$B$9+'Inputs'!$B$10))^2+('Inputs'!$B$6/2)^2))))*'Results'!$B$8),"")</x:f>
        <x:v>1.394570455943207</x:v>
      </x:c>
      <x:c r="N711" t="n">
        <x:f>IF(AND(ISNUMBER('Results'!C7),ISNUMBER('Results'!B7),ISNUMBER('Results'!$B$8),ISNUMBER('Inputs'!$B$6),ISNUMBER('Inputs'!$B$7),ISNUMBER('Inputs'!$B$8),ISNUMBER('Inputs'!$B$9),ISNUMBER('Inputs'!$B$10),ISNUMBER('Inputs'!$B$21),ISNUMBER('Inputs'!$B$24),ISNUMBER('Inputs'!$B$28)),((('Results'!C7*(1-'Inputs'!$B$24)*(0.5*((((711-43)*MAX('Inputs'!$B$33,'Inputs'!$B$29+'Inputs'!$B$31+'Inputs'!$B$32,'Inputs'!$B$30+'Inputs'!$B$31+'Inputs'!$B$32)/1000+'Inputs'!$B$21)+'Inputs'!$B$9)/SQRT((((711-43)*MAX('Inputs'!$B$33,'Inputs'!$B$29+'Inputs'!$B$31+'Inputs'!$B$32,'Inputs'!$B$30+'Inputs'!$B$31+'Inputs'!$B$32)/1000+'Inputs'!$B$21)+'Inputs'!$B$9)^2+('Inputs'!$B$8/2)^2)-(((711-43)*MAX('Inputs'!$B$33,'Inputs'!$B$29+'Inputs'!$B$31+'Inputs'!$B$32,'Inputs'!$B$30+'Inputs'!$B$31+'Inputs'!$B$32)/1000+'Inputs'!$B$21))/SQRT((((711-43)*MAX('Inputs'!$B$33,'Inputs'!$B$29+'Inputs'!$B$31+'Inputs'!$B$32,'Inputs'!$B$30+'Inputs'!$B$31+'Inputs'!$B$32)/1000+'Inputs'!$B$21))^2+('Inputs'!$B$8/2)^2)))-'Results'!B7*(1+'Inputs'!$B$24)*(0.5*((((711-43)*MAX('Inputs'!$B$33,'Inputs'!$B$29+'Inputs'!$B$31+'Inputs'!$B$32,'Inputs'!$B$30+'Inputs'!$B$31+'Inputs'!$B$32)/1000+'Inputs'!$B$21+'Inputs'!$B$9+'Inputs'!$B$10)+'Inputs'!$B$7)/SQRT((((711-43)*MAX('Inputs'!$B$33,'Inputs'!$B$29+'Inputs'!$B$31+'Inputs'!$B$32,'Inputs'!$B$30+'Inputs'!$B$31+'Inputs'!$B$32)/1000+'Inputs'!$B$21+'Inputs'!$B$9+'Inputs'!$B$10)+'Inputs'!$B$7)^2+('Inputs'!$B$6/2)^2)-(((711-43)*MAX('Inputs'!$B$33,'Inputs'!$B$29+'Inputs'!$B$31+'Inputs'!$B$32,'Inputs'!$B$30+'Inputs'!$B$31+'Inputs'!$B$32)/1000+'Inputs'!$B$21+'Inputs'!$B$9+'Inputs'!$B$10))/SQRT((((711-43)*MAX('Inputs'!$B$33,'Inputs'!$B$29+'Inputs'!$B$31+'Inputs'!$B$32,'Inputs'!$B$30+'Inputs'!$B$31+'Inputs'!$B$32)/1000+'Inputs'!$B$21+'Inputs'!$B$9+'Inputs'!$B$10))^2+('Inputs'!$B$6/2)^2))))*'Results'!$B$8)-'Inputs'!$B$28*ABS((('Results'!C7*(1-'Inputs'!$B$24)*(0.5*((((711-43)*MAX('Inputs'!$B$33,'Inputs'!$B$29+'Inputs'!$B$31+'Inputs'!$B$32,'Inputs'!$B$30+'Inputs'!$B$31+'Inputs'!$B$32)/1000+'Inputs'!$B$21)+'Inputs'!$B$9)/SQRT((((711-43)*MAX('Inputs'!$B$33,'Inputs'!$B$29+'Inputs'!$B$31+'Inputs'!$B$32,'Inputs'!$B$30+'Inputs'!$B$31+'Inputs'!$B$32)/1000+'Inputs'!$B$21)+'Inputs'!$B$9)^2+('Inputs'!$B$8/2)^2)-(((711-43)*MAX('Inputs'!$B$33,'Inputs'!$B$29+'Inputs'!$B$31+'Inputs'!$B$32,'Inputs'!$B$30+'Inputs'!$B$31+'Inputs'!$B$32)/1000+'Inputs'!$B$21))/SQRT((((711-43)*MAX('Inputs'!$B$33,'Inputs'!$B$29+'Inputs'!$B$31+'Inputs'!$B$32,'Inputs'!$B$30+'Inputs'!$B$31+'Inputs'!$B$32)/1000+'Inputs'!$B$21))^2+('Inputs'!$B$8/2)^2)))-'Results'!B7*(1+'Inputs'!$B$24)*(0.5*((((711-43)*MAX('Inputs'!$B$33,'Inputs'!$B$29+'Inputs'!$B$31+'Inputs'!$B$32,'Inputs'!$B$30+'Inputs'!$B$31+'Inputs'!$B$32)/1000+'Inputs'!$B$21+'Inputs'!$B$9+'Inputs'!$B$10)+'Inputs'!$B$7)/SQRT((((711-43)*MAX('Inputs'!$B$33,'Inputs'!$B$29+'Inputs'!$B$31+'Inputs'!$B$32,'Inputs'!$B$30+'Inputs'!$B$31+'Inputs'!$B$32)/1000+'Inputs'!$B$21+'Inputs'!$B$9+'Inputs'!$B$10)+'Inputs'!$B$7)^2+('Inputs'!$B$6/2)^2)-(((711-43)*MAX('Inputs'!$B$33,'Inputs'!$B$29+'Inputs'!$B$31+'Inputs'!$B$32,'Inputs'!$B$30+'Inputs'!$B$31+'Inputs'!$B$32)/1000+'Inputs'!$B$21+'Inputs'!$B$9+'Inputs'!$B$10))/SQRT((((711-43)*MAX('Inputs'!$B$33,'Inputs'!$B$29+'Inputs'!$B$31+'Inputs'!$B$32,'Inputs'!$B$30+'Inputs'!$B$31+'Inputs'!$B$32)/1000+'Inputs'!$B$21+'Inputs'!$B$9+'Inputs'!$B$10))^2+('Inputs'!$B$6/2)^2))))*'Results'!$B$8))),"")</x:f>
        <x:v>1.2018158427305685</x:v>
      </x:c>
      <x:c r="O711" t="n">
        <x:f>IF(AND(ISNUMBER('Results'!C7),ISNUMBER('Results'!B7),ISNUMBER('Results'!$B$8),ISNUMBER('Inputs'!$B$6),ISNUMBER('Inputs'!$B$7),ISNUMBER('Inputs'!$B$8),ISNUMBER('Inputs'!$B$9),ISNUMBER('Inputs'!$B$10),ISNUMBER('Inputs'!$B$21),ISNUMBER('Inputs'!$B$24),ISNUMBER('Inputs'!$B$28)),((('Results'!C7*(1+'Inputs'!$B$24)*(0.5*((((711-43)*MAX('Inputs'!$B$33,'Inputs'!$B$29+'Inputs'!$B$31+'Inputs'!$B$32,'Inputs'!$B$30+'Inputs'!$B$31+'Inputs'!$B$32)/1000+'Inputs'!$B$21)+'Inputs'!$B$9)/SQRT((((711-43)*MAX('Inputs'!$B$33,'Inputs'!$B$29+'Inputs'!$B$31+'Inputs'!$B$32,'Inputs'!$B$30+'Inputs'!$B$31+'Inputs'!$B$32)/1000+'Inputs'!$B$21)+'Inputs'!$B$9)^2+('Inputs'!$B$8/2)^2)-(((711-43)*MAX('Inputs'!$B$33,'Inputs'!$B$29+'Inputs'!$B$31+'Inputs'!$B$32,'Inputs'!$B$30+'Inputs'!$B$31+'Inputs'!$B$32)/1000+'Inputs'!$B$21))/SQRT((((711-43)*MAX('Inputs'!$B$33,'Inputs'!$B$29+'Inputs'!$B$31+'Inputs'!$B$32,'Inputs'!$B$30+'Inputs'!$B$31+'Inputs'!$B$32)/1000+'Inputs'!$B$21))^2+('Inputs'!$B$8/2)^2)))-'Results'!B7*(1-'Inputs'!$B$24)*(0.5*((((711-43)*MAX('Inputs'!$B$33,'Inputs'!$B$29+'Inputs'!$B$31+'Inputs'!$B$32,'Inputs'!$B$30+'Inputs'!$B$31+'Inputs'!$B$32)/1000+'Inputs'!$B$21+'Inputs'!$B$9+'Inputs'!$B$10)+'Inputs'!$B$7)/SQRT((((711-43)*MAX('Inputs'!$B$33,'Inputs'!$B$29+'Inputs'!$B$31+'Inputs'!$B$32,'Inputs'!$B$30+'Inputs'!$B$31+'Inputs'!$B$32)/1000+'Inputs'!$B$21+'Inputs'!$B$9+'Inputs'!$B$10)+'Inputs'!$B$7)^2+('Inputs'!$B$6/2)^2)-(((711-43)*MAX('Inputs'!$B$33,'Inputs'!$B$29+'Inputs'!$B$31+'Inputs'!$B$32,'Inputs'!$B$30+'Inputs'!$B$31+'Inputs'!$B$32)/1000+'Inputs'!$B$21+'Inputs'!$B$9+'Inputs'!$B$10))/SQRT((((711-43)*MAX('Inputs'!$B$33,'Inputs'!$B$29+'Inputs'!$B$31+'Inputs'!$B$32,'Inputs'!$B$30+'Inputs'!$B$31+'Inputs'!$B$32)/1000+'Inputs'!$B$21+'Inputs'!$B$9+'Inputs'!$B$10))^2+('Inputs'!$B$6/2)^2))))*'Results'!$B$8)+'Inputs'!$B$28*ABS((('Results'!C7*(1+'Inputs'!$B$24)*(0.5*((((711-43)*MAX('Inputs'!$B$33,'Inputs'!$B$29+'Inputs'!$B$31+'Inputs'!$B$32,'Inputs'!$B$30+'Inputs'!$B$31+'Inputs'!$B$32)/1000+'Inputs'!$B$21)+'Inputs'!$B$9)/SQRT((((711-43)*MAX('Inputs'!$B$33,'Inputs'!$B$29+'Inputs'!$B$31+'Inputs'!$B$32,'Inputs'!$B$30+'Inputs'!$B$31+'Inputs'!$B$32)/1000+'Inputs'!$B$21)+'Inputs'!$B$9)^2+('Inputs'!$B$8/2)^2)-(((711-43)*MAX('Inputs'!$B$33,'Inputs'!$B$29+'Inputs'!$B$31+'Inputs'!$B$32,'Inputs'!$B$30+'Inputs'!$B$31+'Inputs'!$B$32)/1000+'Inputs'!$B$21))/SQRT((((711-43)*MAX('Inputs'!$B$33,'Inputs'!$B$29+'Inputs'!$B$31+'Inputs'!$B$32,'Inputs'!$B$30+'Inputs'!$B$31+'Inputs'!$B$32)/1000+'Inputs'!$B$21))^2+('Inputs'!$B$8/2)^2)))-'Results'!B7*(1-'Inputs'!$B$24)*(0.5*((((711-43)*MAX('Inputs'!$B$33,'Inputs'!$B$29+'Inputs'!$B$31+'Inputs'!$B$32,'Inputs'!$B$30+'Inputs'!$B$31+'Inputs'!$B$32)/1000+'Inputs'!$B$21+'Inputs'!$B$9+'Inputs'!$B$10)+'Inputs'!$B$7)/SQRT((((711-43)*MAX('Inputs'!$B$33,'Inputs'!$B$29+'Inputs'!$B$31+'Inputs'!$B$32,'Inputs'!$B$30+'Inputs'!$B$31+'Inputs'!$B$32)/1000+'Inputs'!$B$21+'Inputs'!$B$9+'Inputs'!$B$10)+'Inputs'!$B$7)^2+('Inputs'!$B$6/2)^2)-(((711-43)*MAX('Inputs'!$B$33,'Inputs'!$B$29+'Inputs'!$B$31+'Inputs'!$B$32,'Inputs'!$B$30+'Inputs'!$B$31+'Inputs'!$B$32)/1000+'Inputs'!$B$21+'Inputs'!$B$9+'Inputs'!$B$10))/SQRT((((711-43)*MAX('Inputs'!$B$33,'Inputs'!$B$29+'Inputs'!$B$31+'Inputs'!$B$32,'Inputs'!$B$30+'Inputs'!$B$31+'Inputs'!$B$32)/1000+'Inputs'!$B$21+'Inputs'!$B$9+'Inputs'!$B$10))^2+('Inputs'!$B$6/2)^2))))*'Results'!$B$8))),"")</x:f>
        <x:v>1.6002751839364224</x:v>
      </x:c>
      <x:c r="P711" t="n">
        <x:f>IF(AND(MAX(J711,J710)&gt;0,J711&gt;J710+0.00000001),1,0)</x:f>
        <x:v>0</x:v>
      </x:c>
      <x:c r="Q711" t="n">
        <x:f>IF(AND(MAX(K711,K710)&gt;0,K711&gt;K710+0.00000001),1,0)</x:f>
        <x:v>0</x:v>
      </x:c>
      <x:c r="R711" t="n">
        <x:f>IF(AND(MAX(L711,L710)&gt;0,L711&gt;L710+0.00000001),1,0)</x:f>
        <x:v>0</x:v>
      </x:c>
      <x:c r="S711" t="n">
        <x:f>IF(AND(MAX(M711,M710)&gt;0,M711&gt;M710+0.00000001),1,0)</x:f>
        <x:v>0</x:v>
      </x:c>
      <x:c r="T711" t="n">
        <x:f>IF(AND(MAX(N711,N710)&gt;0,N711&gt;N710+0.00000001),1,0)</x:f>
        <x:v>0</x:v>
      </x:c>
      <x:c r="U711" t="n">
        <x:f>IF(AND(MAX(O711,O710)&gt;0,O711&gt;O710+0.00000001),1,0)</x:f>
        <x:v>0</x:v>
      </x:c>
    </x:row>
    <x:row r="712">
      <x:c r="J712" t="n">
        <x:f>IF(AND(ISNUMBER('Results'!B7),ISNUMBER('Results'!C7),ISNUMBER('Results'!$B$8),ISNUMBER('Inputs'!$B$6),ISNUMBER('Inputs'!$B$7),ISNUMBER('Inputs'!$B$8),ISNUMBER('Inputs'!$B$9),ISNUMBER('Inputs'!$B$10),ISNUMBER('Inputs'!$B$21),ISNUMBER('Inputs'!$B$24),ISNUMBER('Inputs'!$B$28)),(('Results'!B7*(0.5*((((712-43)*MAX('Inputs'!$B$33,'Inputs'!$B$29+'Inputs'!$B$31+'Inputs'!$B$32,'Inputs'!$B$30+'Inputs'!$B$31+'Inputs'!$B$32)/1000+'Inputs'!$B$21)+'Inputs'!$B$7)/SQRT((((712-43)*MAX('Inputs'!$B$33,'Inputs'!$B$29+'Inputs'!$B$31+'Inputs'!$B$32,'Inputs'!$B$30+'Inputs'!$B$31+'Inputs'!$B$32)/1000+'Inputs'!$B$21)+'Inputs'!$B$7)^2+('Inputs'!$B$6/2)^2)-(((712-43)*MAX('Inputs'!$B$33,'Inputs'!$B$29+'Inputs'!$B$31+'Inputs'!$B$32,'Inputs'!$B$30+'Inputs'!$B$31+'Inputs'!$B$32)/1000+'Inputs'!$B$21))/SQRT((((712-43)*MAX('Inputs'!$B$33,'Inputs'!$B$29+'Inputs'!$B$31+'Inputs'!$B$32,'Inputs'!$B$30+'Inputs'!$B$31+'Inputs'!$B$32)/1000+'Inputs'!$B$21))^2+('Inputs'!$B$6/2)^2)))-'Results'!C7*(0.5*((((712-43)*MAX('Inputs'!$B$33,'Inputs'!$B$29+'Inputs'!$B$31+'Inputs'!$B$32,'Inputs'!$B$30+'Inputs'!$B$31+'Inputs'!$B$32)/1000+'Inputs'!$B$21+'Inputs'!$B$7+'Inputs'!$B$10)+'Inputs'!$B$9)/SQRT((((712-43)*MAX('Inputs'!$B$33,'Inputs'!$B$29+'Inputs'!$B$31+'Inputs'!$B$32,'Inputs'!$B$30+'Inputs'!$B$31+'Inputs'!$B$32)/1000+'Inputs'!$B$21+'Inputs'!$B$7+'Inputs'!$B$10)+'Inputs'!$B$9)^2+('Inputs'!$B$8/2)^2)-(((712-43)*MAX('Inputs'!$B$33,'Inputs'!$B$29+'Inputs'!$B$31+'Inputs'!$B$32,'Inputs'!$B$30+'Inputs'!$B$31+'Inputs'!$B$32)/1000+'Inputs'!$B$21+'Inputs'!$B$7+'Inputs'!$B$10))/SQRT((((712-43)*MAX('Inputs'!$B$33,'Inputs'!$B$29+'Inputs'!$B$31+'Inputs'!$B$32,'Inputs'!$B$30+'Inputs'!$B$31+'Inputs'!$B$32)/1000+'Inputs'!$B$21+'Inputs'!$B$7+'Inputs'!$B$10))^2+('Inputs'!$B$8/2)^2))))*'Results'!$B$8),"")</x:f>
        <x:v>1.5176275132078954</x:v>
      </x:c>
      <x:c r="K712" t="n">
        <x:f>IF(AND(ISNUMBER('Results'!B7),ISNUMBER('Results'!C7),ISNUMBER('Results'!$B$8),ISNUMBER('Inputs'!$B$6),ISNUMBER('Inputs'!$B$7),ISNUMBER('Inputs'!$B$8),ISNUMBER('Inputs'!$B$9),ISNUMBER('Inputs'!$B$10),ISNUMBER('Inputs'!$B$21),ISNUMBER('Inputs'!$B$24),ISNUMBER('Inputs'!$B$28)),((('Results'!B7*(1-'Inputs'!$B$24)*(0.5*((((712-43)*MAX('Inputs'!$B$33,'Inputs'!$B$29+'Inputs'!$B$31+'Inputs'!$B$32,'Inputs'!$B$30+'Inputs'!$B$31+'Inputs'!$B$32)/1000+'Inputs'!$B$21)+'Inputs'!$B$7)/SQRT((((712-43)*MAX('Inputs'!$B$33,'Inputs'!$B$29+'Inputs'!$B$31+'Inputs'!$B$32,'Inputs'!$B$30+'Inputs'!$B$31+'Inputs'!$B$32)/1000+'Inputs'!$B$21)+'Inputs'!$B$7)^2+('Inputs'!$B$6/2)^2)-(((712-43)*MAX('Inputs'!$B$33,'Inputs'!$B$29+'Inputs'!$B$31+'Inputs'!$B$32,'Inputs'!$B$30+'Inputs'!$B$31+'Inputs'!$B$32)/1000+'Inputs'!$B$21))/SQRT((((712-43)*MAX('Inputs'!$B$33,'Inputs'!$B$29+'Inputs'!$B$31+'Inputs'!$B$32,'Inputs'!$B$30+'Inputs'!$B$31+'Inputs'!$B$32)/1000+'Inputs'!$B$21))^2+('Inputs'!$B$6/2)^2)))-'Results'!C7*(1+'Inputs'!$B$24)*(0.5*((((712-43)*MAX('Inputs'!$B$33,'Inputs'!$B$29+'Inputs'!$B$31+'Inputs'!$B$32,'Inputs'!$B$30+'Inputs'!$B$31+'Inputs'!$B$32)/1000+'Inputs'!$B$21+'Inputs'!$B$7+'Inputs'!$B$10)+'Inputs'!$B$9)/SQRT((((712-43)*MAX('Inputs'!$B$33,'Inputs'!$B$29+'Inputs'!$B$31+'Inputs'!$B$32,'Inputs'!$B$30+'Inputs'!$B$31+'Inputs'!$B$32)/1000+'Inputs'!$B$21+'Inputs'!$B$7+'Inputs'!$B$10)+'Inputs'!$B$9)^2+('Inputs'!$B$8/2)^2)-(((712-43)*MAX('Inputs'!$B$33,'Inputs'!$B$29+'Inputs'!$B$31+'Inputs'!$B$32,'Inputs'!$B$30+'Inputs'!$B$31+'Inputs'!$B$32)/1000+'Inputs'!$B$21+'Inputs'!$B$7+'Inputs'!$B$10))/SQRT((((712-43)*MAX('Inputs'!$B$33,'Inputs'!$B$29+'Inputs'!$B$31+'Inputs'!$B$32,'Inputs'!$B$30+'Inputs'!$B$31+'Inputs'!$B$32)/1000+'Inputs'!$B$21+'Inputs'!$B$7+'Inputs'!$B$10))^2+('Inputs'!$B$8/2)^2))))*'Results'!$B$8)-'Inputs'!$B$28*ABS((('Results'!B7*(1-'Inputs'!$B$24)*(0.5*((((712-43)*MAX('Inputs'!$B$33,'Inputs'!$B$29+'Inputs'!$B$31+'Inputs'!$B$32,'Inputs'!$B$30+'Inputs'!$B$31+'Inputs'!$B$32)/1000+'Inputs'!$B$21)+'Inputs'!$B$7)/SQRT((((712-43)*MAX('Inputs'!$B$33,'Inputs'!$B$29+'Inputs'!$B$31+'Inputs'!$B$32,'Inputs'!$B$30+'Inputs'!$B$31+'Inputs'!$B$32)/1000+'Inputs'!$B$21)+'Inputs'!$B$7)^2+('Inputs'!$B$6/2)^2)-(((712-43)*MAX('Inputs'!$B$33,'Inputs'!$B$29+'Inputs'!$B$31+'Inputs'!$B$32,'Inputs'!$B$30+'Inputs'!$B$31+'Inputs'!$B$32)/1000+'Inputs'!$B$21))/SQRT((((712-43)*MAX('Inputs'!$B$33,'Inputs'!$B$29+'Inputs'!$B$31+'Inputs'!$B$32,'Inputs'!$B$30+'Inputs'!$B$31+'Inputs'!$B$32)/1000+'Inputs'!$B$21))^2+('Inputs'!$B$6/2)^2)))-'Results'!C7*(1+'Inputs'!$B$24)*(0.5*((((712-43)*MAX('Inputs'!$B$33,'Inputs'!$B$29+'Inputs'!$B$31+'Inputs'!$B$32,'Inputs'!$B$30+'Inputs'!$B$31+'Inputs'!$B$32)/1000+'Inputs'!$B$21+'Inputs'!$B$7+'Inputs'!$B$10)+'Inputs'!$B$9)/SQRT((((712-43)*MAX('Inputs'!$B$33,'Inputs'!$B$29+'Inputs'!$B$31+'Inputs'!$B$32,'Inputs'!$B$30+'Inputs'!$B$31+'Inputs'!$B$32)/1000+'Inputs'!$B$21+'Inputs'!$B$7+'Inputs'!$B$10)+'Inputs'!$B$9)^2+('Inputs'!$B$8/2)^2)-(((712-43)*MAX('Inputs'!$B$33,'Inputs'!$B$29+'Inputs'!$B$31+'Inputs'!$B$32,'Inputs'!$B$30+'Inputs'!$B$31+'Inputs'!$B$32)/1000+'Inputs'!$B$21+'Inputs'!$B$7+'Inputs'!$B$10))/SQRT((((712-43)*MAX('Inputs'!$B$33,'Inputs'!$B$29+'Inputs'!$B$31+'Inputs'!$B$32,'Inputs'!$B$30+'Inputs'!$B$31+'Inputs'!$B$32)/1000+'Inputs'!$B$21+'Inputs'!$B$7+'Inputs'!$B$10))^2+('Inputs'!$B$8/2)^2))))*'Results'!$B$8))),"")</x:f>
        <x:v>1.3186621624984212</x:v>
      </x:c>
      <x:c r="L712" t="n">
        <x:f>IF(AND(ISNUMBER('Results'!B7),ISNUMBER('Results'!C7),ISNUMBER('Results'!$B$8),ISNUMBER('Inputs'!$B$6),ISNUMBER('Inputs'!$B$7),ISNUMBER('Inputs'!$B$8),ISNUMBER('Inputs'!$B$9),ISNUMBER('Inputs'!$B$10),ISNUMBER('Inputs'!$B$21),ISNUMBER('Inputs'!$B$24),ISNUMBER('Inputs'!$B$28)),((('Results'!B7*(1+'Inputs'!$B$24)*(0.5*((((712-43)*MAX('Inputs'!$B$33,'Inputs'!$B$29+'Inputs'!$B$31+'Inputs'!$B$32,'Inputs'!$B$30+'Inputs'!$B$31+'Inputs'!$B$32)/1000+'Inputs'!$B$21)+'Inputs'!$B$7)/SQRT((((712-43)*MAX('Inputs'!$B$33,'Inputs'!$B$29+'Inputs'!$B$31+'Inputs'!$B$32,'Inputs'!$B$30+'Inputs'!$B$31+'Inputs'!$B$32)/1000+'Inputs'!$B$21)+'Inputs'!$B$7)^2+('Inputs'!$B$6/2)^2)-(((712-43)*MAX('Inputs'!$B$33,'Inputs'!$B$29+'Inputs'!$B$31+'Inputs'!$B$32,'Inputs'!$B$30+'Inputs'!$B$31+'Inputs'!$B$32)/1000+'Inputs'!$B$21))/SQRT((((712-43)*MAX('Inputs'!$B$33,'Inputs'!$B$29+'Inputs'!$B$31+'Inputs'!$B$32,'Inputs'!$B$30+'Inputs'!$B$31+'Inputs'!$B$32)/1000+'Inputs'!$B$21))^2+('Inputs'!$B$6/2)^2)))-'Results'!C7*(1-'Inputs'!$B$24)*(0.5*((((712-43)*MAX('Inputs'!$B$33,'Inputs'!$B$29+'Inputs'!$B$31+'Inputs'!$B$32,'Inputs'!$B$30+'Inputs'!$B$31+'Inputs'!$B$32)/1000+'Inputs'!$B$21+'Inputs'!$B$7+'Inputs'!$B$10)+'Inputs'!$B$9)/SQRT((((712-43)*MAX('Inputs'!$B$33,'Inputs'!$B$29+'Inputs'!$B$31+'Inputs'!$B$32,'Inputs'!$B$30+'Inputs'!$B$31+'Inputs'!$B$32)/1000+'Inputs'!$B$21+'Inputs'!$B$7+'Inputs'!$B$10)+'Inputs'!$B$9)^2+('Inputs'!$B$8/2)^2)-(((712-43)*MAX('Inputs'!$B$33,'Inputs'!$B$29+'Inputs'!$B$31+'Inputs'!$B$32,'Inputs'!$B$30+'Inputs'!$B$31+'Inputs'!$B$32)/1000+'Inputs'!$B$21+'Inputs'!$B$7+'Inputs'!$B$10))/SQRT((((712-43)*MAX('Inputs'!$B$33,'Inputs'!$B$29+'Inputs'!$B$31+'Inputs'!$B$32,'Inputs'!$B$30+'Inputs'!$B$31+'Inputs'!$B$32)/1000+'Inputs'!$B$21+'Inputs'!$B$7+'Inputs'!$B$10))^2+('Inputs'!$B$8/2)^2))))*'Results'!$B$8)+'Inputs'!$B$28*ABS((('Results'!B7*(1+'Inputs'!$B$24)*(0.5*((((712-43)*MAX('Inputs'!$B$33,'Inputs'!$B$29+'Inputs'!$B$31+'Inputs'!$B$32,'Inputs'!$B$30+'Inputs'!$B$31+'Inputs'!$B$32)/1000+'Inputs'!$B$21)+'Inputs'!$B$7)/SQRT((((712-43)*MAX('Inputs'!$B$33,'Inputs'!$B$29+'Inputs'!$B$31+'Inputs'!$B$32,'Inputs'!$B$30+'Inputs'!$B$31+'Inputs'!$B$32)/1000+'Inputs'!$B$21)+'Inputs'!$B$7)^2+('Inputs'!$B$6/2)^2)-(((712-43)*MAX('Inputs'!$B$33,'Inputs'!$B$29+'Inputs'!$B$31+'Inputs'!$B$32,'Inputs'!$B$30+'Inputs'!$B$31+'Inputs'!$B$32)/1000+'Inputs'!$B$21))/SQRT((((712-43)*MAX('Inputs'!$B$33,'Inputs'!$B$29+'Inputs'!$B$31+'Inputs'!$B$32,'Inputs'!$B$30+'Inputs'!$B$31+'Inputs'!$B$32)/1000+'Inputs'!$B$21))^2+('Inputs'!$B$6/2)^2)))-'Results'!C7*(1-'Inputs'!$B$24)*(0.5*((((712-43)*MAX('Inputs'!$B$33,'Inputs'!$B$29+'Inputs'!$B$31+'Inputs'!$B$32,'Inputs'!$B$30+'Inputs'!$B$31+'Inputs'!$B$32)/1000+'Inputs'!$B$21+'Inputs'!$B$7+'Inputs'!$B$10)+'Inputs'!$B$9)/SQRT((((712-43)*MAX('Inputs'!$B$33,'Inputs'!$B$29+'Inputs'!$B$31+'Inputs'!$B$32,'Inputs'!$B$30+'Inputs'!$B$31+'Inputs'!$B$32)/1000+'Inputs'!$B$21+'Inputs'!$B$7+'Inputs'!$B$10)+'Inputs'!$B$9)^2+('Inputs'!$B$8/2)^2)-(((712-43)*MAX('Inputs'!$B$33,'Inputs'!$B$29+'Inputs'!$B$31+'Inputs'!$B$32,'Inputs'!$B$30+'Inputs'!$B$31+'Inputs'!$B$32)/1000+'Inputs'!$B$21+'Inputs'!$B$7+'Inputs'!$B$10))/SQRT((((712-43)*MAX('Inputs'!$B$33,'Inputs'!$B$29+'Inputs'!$B$31+'Inputs'!$B$32,'Inputs'!$B$30+'Inputs'!$B$31+'Inputs'!$B$32)/1000+'Inputs'!$B$21+'Inputs'!$B$7+'Inputs'!$B$10))^2+('Inputs'!$B$8/2)^2))))*'Results'!$B$8))),"")</x:f>
        <x:v>1.7295490718172728</x:v>
      </x:c>
      <x:c r="M712" t="n">
        <x:f>IF(AND(ISNUMBER('Results'!C7),ISNUMBER('Results'!B7),ISNUMBER('Results'!$B$8),ISNUMBER('Inputs'!$B$6),ISNUMBER('Inputs'!$B$7),ISNUMBER('Inputs'!$B$8),ISNUMBER('Inputs'!$B$9),ISNUMBER('Inputs'!$B$10),ISNUMBER('Inputs'!$B$21),ISNUMBER('Inputs'!$B$24),ISNUMBER('Inputs'!$B$28)),(('Results'!C7*(0.5*((((712-43)*MAX('Inputs'!$B$33,'Inputs'!$B$29+'Inputs'!$B$31+'Inputs'!$B$32,'Inputs'!$B$30+'Inputs'!$B$31+'Inputs'!$B$32)/1000+'Inputs'!$B$21)+'Inputs'!$B$9)/SQRT((((712-43)*MAX('Inputs'!$B$33,'Inputs'!$B$29+'Inputs'!$B$31+'Inputs'!$B$32,'Inputs'!$B$30+'Inputs'!$B$31+'Inputs'!$B$32)/1000+'Inputs'!$B$21)+'Inputs'!$B$9)^2+('Inputs'!$B$8/2)^2)-(((712-43)*MAX('Inputs'!$B$33,'Inputs'!$B$29+'Inputs'!$B$31+'Inputs'!$B$32,'Inputs'!$B$30+'Inputs'!$B$31+'Inputs'!$B$32)/1000+'Inputs'!$B$21))/SQRT((((712-43)*MAX('Inputs'!$B$33,'Inputs'!$B$29+'Inputs'!$B$31+'Inputs'!$B$32,'Inputs'!$B$30+'Inputs'!$B$31+'Inputs'!$B$32)/1000+'Inputs'!$B$21))^2+('Inputs'!$B$8/2)^2)))-'Results'!B7*(0.5*((((712-43)*MAX('Inputs'!$B$33,'Inputs'!$B$29+'Inputs'!$B$31+'Inputs'!$B$32,'Inputs'!$B$30+'Inputs'!$B$31+'Inputs'!$B$32)/1000+'Inputs'!$B$21+'Inputs'!$B$9+'Inputs'!$B$10)+'Inputs'!$B$7)/SQRT((((712-43)*MAX('Inputs'!$B$33,'Inputs'!$B$29+'Inputs'!$B$31+'Inputs'!$B$32,'Inputs'!$B$30+'Inputs'!$B$31+'Inputs'!$B$32)/1000+'Inputs'!$B$21+'Inputs'!$B$9+'Inputs'!$B$10)+'Inputs'!$B$7)^2+('Inputs'!$B$6/2)^2)-(((712-43)*MAX('Inputs'!$B$33,'Inputs'!$B$29+'Inputs'!$B$31+'Inputs'!$B$32,'Inputs'!$B$30+'Inputs'!$B$31+'Inputs'!$B$32)/1000+'Inputs'!$B$21+'Inputs'!$B$9+'Inputs'!$B$10))/SQRT((((712-43)*MAX('Inputs'!$B$33,'Inputs'!$B$29+'Inputs'!$B$31+'Inputs'!$B$32,'Inputs'!$B$30+'Inputs'!$B$31+'Inputs'!$B$32)/1000+'Inputs'!$B$21+'Inputs'!$B$9+'Inputs'!$B$10))^2+('Inputs'!$B$6/2)^2))))*'Results'!$B$8),"")</x:f>
        <x:v>1.387053092078917</x:v>
      </x:c>
      <x:c r="N712" t="n">
        <x:f>IF(AND(ISNUMBER('Results'!C7),ISNUMBER('Results'!B7),ISNUMBER('Results'!$B$8),ISNUMBER('Inputs'!$B$6),ISNUMBER('Inputs'!$B$7),ISNUMBER('Inputs'!$B$8),ISNUMBER('Inputs'!$B$9),ISNUMBER('Inputs'!$B$10),ISNUMBER('Inputs'!$B$21),ISNUMBER('Inputs'!$B$24),ISNUMBER('Inputs'!$B$28)),((('Results'!C7*(1-'Inputs'!$B$24)*(0.5*((((712-43)*MAX('Inputs'!$B$33,'Inputs'!$B$29+'Inputs'!$B$31+'Inputs'!$B$32,'Inputs'!$B$30+'Inputs'!$B$31+'Inputs'!$B$32)/1000+'Inputs'!$B$21)+'Inputs'!$B$9)/SQRT((((712-43)*MAX('Inputs'!$B$33,'Inputs'!$B$29+'Inputs'!$B$31+'Inputs'!$B$32,'Inputs'!$B$30+'Inputs'!$B$31+'Inputs'!$B$32)/1000+'Inputs'!$B$21)+'Inputs'!$B$9)^2+('Inputs'!$B$8/2)^2)-(((712-43)*MAX('Inputs'!$B$33,'Inputs'!$B$29+'Inputs'!$B$31+'Inputs'!$B$32,'Inputs'!$B$30+'Inputs'!$B$31+'Inputs'!$B$32)/1000+'Inputs'!$B$21))/SQRT((((712-43)*MAX('Inputs'!$B$33,'Inputs'!$B$29+'Inputs'!$B$31+'Inputs'!$B$32,'Inputs'!$B$30+'Inputs'!$B$31+'Inputs'!$B$32)/1000+'Inputs'!$B$21))^2+('Inputs'!$B$8/2)^2)))-'Results'!B7*(1+'Inputs'!$B$24)*(0.5*((((712-43)*MAX('Inputs'!$B$33,'Inputs'!$B$29+'Inputs'!$B$31+'Inputs'!$B$32,'Inputs'!$B$30+'Inputs'!$B$31+'Inputs'!$B$32)/1000+'Inputs'!$B$21+'Inputs'!$B$9+'Inputs'!$B$10)+'Inputs'!$B$7)/SQRT((((712-43)*MAX('Inputs'!$B$33,'Inputs'!$B$29+'Inputs'!$B$31+'Inputs'!$B$32,'Inputs'!$B$30+'Inputs'!$B$31+'Inputs'!$B$32)/1000+'Inputs'!$B$21+'Inputs'!$B$9+'Inputs'!$B$10)+'Inputs'!$B$7)^2+('Inputs'!$B$6/2)^2)-(((712-43)*MAX('Inputs'!$B$33,'Inputs'!$B$29+'Inputs'!$B$31+'Inputs'!$B$32,'Inputs'!$B$30+'Inputs'!$B$31+'Inputs'!$B$32)/1000+'Inputs'!$B$21+'Inputs'!$B$9+'Inputs'!$B$10))/SQRT((((712-43)*MAX('Inputs'!$B$33,'Inputs'!$B$29+'Inputs'!$B$31+'Inputs'!$B$32,'Inputs'!$B$30+'Inputs'!$B$31+'Inputs'!$B$32)/1000+'Inputs'!$B$21+'Inputs'!$B$9+'Inputs'!$B$10))^2+('Inputs'!$B$6/2)^2))))*'Results'!$B$8)-'Inputs'!$B$28*ABS((('Results'!C7*(1-'Inputs'!$B$24)*(0.5*((((712-43)*MAX('Inputs'!$B$33,'Inputs'!$B$29+'Inputs'!$B$31+'Inputs'!$B$32,'Inputs'!$B$30+'Inputs'!$B$31+'Inputs'!$B$32)/1000+'Inputs'!$B$21)+'Inputs'!$B$9)/SQRT((((712-43)*MAX('Inputs'!$B$33,'Inputs'!$B$29+'Inputs'!$B$31+'Inputs'!$B$32,'Inputs'!$B$30+'Inputs'!$B$31+'Inputs'!$B$32)/1000+'Inputs'!$B$21)+'Inputs'!$B$9)^2+('Inputs'!$B$8/2)^2)-(((712-43)*MAX('Inputs'!$B$33,'Inputs'!$B$29+'Inputs'!$B$31+'Inputs'!$B$32,'Inputs'!$B$30+'Inputs'!$B$31+'Inputs'!$B$32)/1000+'Inputs'!$B$21))/SQRT((((712-43)*MAX('Inputs'!$B$33,'Inputs'!$B$29+'Inputs'!$B$31+'Inputs'!$B$32,'Inputs'!$B$30+'Inputs'!$B$31+'Inputs'!$B$32)/1000+'Inputs'!$B$21))^2+('Inputs'!$B$8/2)^2)))-'Results'!B7*(1+'Inputs'!$B$24)*(0.5*((((712-43)*MAX('Inputs'!$B$33,'Inputs'!$B$29+'Inputs'!$B$31+'Inputs'!$B$32,'Inputs'!$B$30+'Inputs'!$B$31+'Inputs'!$B$32)/1000+'Inputs'!$B$21+'Inputs'!$B$9+'Inputs'!$B$10)+'Inputs'!$B$7)/SQRT((((712-43)*MAX('Inputs'!$B$33,'Inputs'!$B$29+'Inputs'!$B$31+'Inputs'!$B$32,'Inputs'!$B$30+'Inputs'!$B$31+'Inputs'!$B$32)/1000+'Inputs'!$B$21+'Inputs'!$B$9+'Inputs'!$B$10)+'Inputs'!$B$7)^2+('Inputs'!$B$6/2)^2)-(((712-43)*MAX('Inputs'!$B$33,'Inputs'!$B$29+'Inputs'!$B$31+'Inputs'!$B$32,'Inputs'!$B$30+'Inputs'!$B$31+'Inputs'!$B$32)/1000+'Inputs'!$B$21+'Inputs'!$B$9+'Inputs'!$B$10))/SQRT((((712-43)*MAX('Inputs'!$B$33,'Inputs'!$B$29+'Inputs'!$B$31+'Inputs'!$B$32,'Inputs'!$B$30+'Inputs'!$B$31+'Inputs'!$B$32)/1000+'Inputs'!$B$21+'Inputs'!$B$9+'Inputs'!$B$10))^2+('Inputs'!$B$6/2)^2))))*'Results'!$B$8))),"")</x:f>
        <x:v>1.1951739263804417</x:v>
      </x:c>
      <x:c r="O712" t="n">
        <x:f>IF(AND(ISNUMBER('Results'!C7),ISNUMBER('Results'!B7),ISNUMBER('Results'!$B$8),ISNUMBER('Inputs'!$B$6),ISNUMBER('Inputs'!$B$7),ISNUMBER('Inputs'!$B$8),ISNUMBER('Inputs'!$B$9),ISNUMBER('Inputs'!$B$10),ISNUMBER('Inputs'!$B$21),ISNUMBER('Inputs'!$B$24),ISNUMBER('Inputs'!$B$28)),((('Results'!C7*(1+'Inputs'!$B$24)*(0.5*((((712-43)*MAX('Inputs'!$B$33,'Inputs'!$B$29+'Inputs'!$B$31+'Inputs'!$B$32,'Inputs'!$B$30+'Inputs'!$B$31+'Inputs'!$B$32)/1000+'Inputs'!$B$21)+'Inputs'!$B$9)/SQRT((((712-43)*MAX('Inputs'!$B$33,'Inputs'!$B$29+'Inputs'!$B$31+'Inputs'!$B$32,'Inputs'!$B$30+'Inputs'!$B$31+'Inputs'!$B$32)/1000+'Inputs'!$B$21)+'Inputs'!$B$9)^2+('Inputs'!$B$8/2)^2)-(((712-43)*MAX('Inputs'!$B$33,'Inputs'!$B$29+'Inputs'!$B$31+'Inputs'!$B$32,'Inputs'!$B$30+'Inputs'!$B$31+'Inputs'!$B$32)/1000+'Inputs'!$B$21))/SQRT((((712-43)*MAX('Inputs'!$B$33,'Inputs'!$B$29+'Inputs'!$B$31+'Inputs'!$B$32,'Inputs'!$B$30+'Inputs'!$B$31+'Inputs'!$B$32)/1000+'Inputs'!$B$21))^2+('Inputs'!$B$8/2)^2)))-'Results'!B7*(1-'Inputs'!$B$24)*(0.5*((((712-43)*MAX('Inputs'!$B$33,'Inputs'!$B$29+'Inputs'!$B$31+'Inputs'!$B$32,'Inputs'!$B$30+'Inputs'!$B$31+'Inputs'!$B$32)/1000+'Inputs'!$B$21+'Inputs'!$B$9+'Inputs'!$B$10)+'Inputs'!$B$7)/SQRT((((712-43)*MAX('Inputs'!$B$33,'Inputs'!$B$29+'Inputs'!$B$31+'Inputs'!$B$32,'Inputs'!$B$30+'Inputs'!$B$31+'Inputs'!$B$32)/1000+'Inputs'!$B$21+'Inputs'!$B$9+'Inputs'!$B$10)+'Inputs'!$B$7)^2+('Inputs'!$B$6/2)^2)-(((712-43)*MAX('Inputs'!$B$33,'Inputs'!$B$29+'Inputs'!$B$31+'Inputs'!$B$32,'Inputs'!$B$30+'Inputs'!$B$31+'Inputs'!$B$32)/1000+'Inputs'!$B$21+'Inputs'!$B$9+'Inputs'!$B$10))/SQRT((((712-43)*MAX('Inputs'!$B$33,'Inputs'!$B$29+'Inputs'!$B$31+'Inputs'!$B$32,'Inputs'!$B$30+'Inputs'!$B$31+'Inputs'!$B$32)/1000+'Inputs'!$B$21+'Inputs'!$B$9+'Inputs'!$B$10))^2+('Inputs'!$B$6/2)^2))))*'Results'!$B$8)+'Inputs'!$B$28*ABS((('Results'!C7*(1+'Inputs'!$B$24)*(0.5*((((712-43)*MAX('Inputs'!$B$33,'Inputs'!$B$29+'Inputs'!$B$31+'Inputs'!$B$32,'Inputs'!$B$30+'Inputs'!$B$31+'Inputs'!$B$32)/1000+'Inputs'!$B$21)+'Inputs'!$B$9)/SQRT((((712-43)*MAX('Inputs'!$B$33,'Inputs'!$B$29+'Inputs'!$B$31+'Inputs'!$B$32,'Inputs'!$B$30+'Inputs'!$B$31+'Inputs'!$B$32)/1000+'Inputs'!$B$21)+'Inputs'!$B$9)^2+('Inputs'!$B$8/2)^2)-(((712-43)*MAX('Inputs'!$B$33,'Inputs'!$B$29+'Inputs'!$B$31+'Inputs'!$B$32,'Inputs'!$B$30+'Inputs'!$B$31+'Inputs'!$B$32)/1000+'Inputs'!$B$21))/SQRT((((712-43)*MAX('Inputs'!$B$33,'Inputs'!$B$29+'Inputs'!$B$31+'Inputs'!$B$32,'Inputs'!$B$30+'Inputs'!$B$31+'Inputs'!$B$32)/1000+'Inputs'!$B$21))^2+('Inputs'!$B$8/2)^2)))-'Results'!B7*(1-'Inputs'!$B$24)*(0.5*((((712-43)*MAX('Inputs'!$B$33,'Inputs'!$B$29+'Inputs'!$B$31+'Inputs'!$B$32,'Inputs'!$B$30+'Inputs'!$B$31+'Inputs'!$B$32)/1000+'Inputs'!$B$21+'Inputs'!$B$9+'Inputs'!$B$10)+'Inputs'!$B$7)/SQRT((((712-43)*MAX('Inputs'!$B$33,'Inputs'!$B$29+'Inputs'!$B$31+'Inputs'!$B$32,'Inputs'!$B$30+'Inputs'!$B$31+'Inputs'!$B$32)/1000+'Inputs'!$B$21+'Inputs'!$B$9+'Inputs'!$B$10)+'Inputs'!$B$7)^2+('Inputs'!$B$6/2)^2)-(((712-43)*MAX('Inputs'!$B$33,'Inputs'!$B$29+'Inputs'!$B$31+'Inputs'!$B$32,'Inputs'!$B$30+'Inputs'!$B$31+'Inputs'!$B$32)/1000+'Inputs'!$B$21+'Inputs'!$B$9+'Inputs'!$B$10))/SQRT((((712-43)*MAX('Inputs'!$B$33,'Inputs'!$B$29+'Inputs'!$B$31+'Inputs'!$B$32,'Inputs'!$B$30+'Inputs'!$B$31+'Inputs'!$B$32)/1000+'Inputs'!$B$21+'Inputs'!$B$9+'Inputs'!$B$10))^2+('Inputs'!$B$6/2)^2))))*'Results'!$B$8))),"")</x:f>
        <x:v>1.591829785261027</x:v>
      </x:c>
      <x:c r="P712" t="n">
        <x:f>IF(AND(MAX(J712,J711)&gt;0,J712&gt;J711+0.00000001),1,0)</x:f>
        <x:v>0</x:v>
      </x:c>
      <x:c r="Q712" t="n">
        <x:f>IF(AND(MAX(K712,K711)&gt;0,K712&gt;K711+0.00000001),1,0)</x:f>
        <x:v>0</x:v>
      </x:c>
      <x:c r="R712" t="n">
        <x:f>IF(AND(MAX(L712,L711)&gt;0,L712&gt;L711+0.00000001),1,0)</x:f>
        <x:v>0</x:v>
      </x:c>
      <x:c r="S712" t="n">
        <x:f>IF(AND(MAX(M712,M711)&gt;0,M712&gt;M711+0.00000001),1,0)</x:f>
        <x:v>0</x:v>
      </x:c>
      <x:c r="T712" t="n">
        <x:f>IF(AND(MAX(N712,N711)&gt;0,N712&gt;N711+0.00000001),1,0)</x:f>
        <x:v>0</x:v>
      </x:c>
      <x:c r="U712" t="n">
        <x:f>IF(AND(MAX(O712,O711)&gt;0,O712&gt;O711+0.00000001),1,0)</x:f>
        <x:v>0</x:v>
      </x:c>
    </x:row>
    <x:row r="713">
      <x:c r="J713" t="n">
        <x:f>IF(AND(ISNUMBER('Results'!B7),ISNUMBER('Results'!C7),ISNUMBER('Results'!$B$8),ISNUMBER('Inputs'!$B$6),ISNUMBER('Inputs'!$B$7),ISNUMBER('Inputs'!$B$8),ISNUMBER('Inputs'!$B$9),ISNUMBER('Inputs'!$B$10),ISNUMBER('Inputs'!$B$21),ISNUMBER('Inputs'!$B$24),ISNUMBER('Inputs'!$B$28)),(('Results'!B7*(0.5*((((713-43)*MAX('Inputs'!$B$33,'Inputs'!$B$29+'Inputs'!$B$31+'Inputs'!$B$32,'Inputs'!$B$30+'Inputs'!$B$31+'Inputs'!$B$32)/1000+'Inputs'!$B$21)+'Inputs'!$B$7)/SQRT((((713-43)*MAX('Inputs'!$B$33,'Inputs'!$B$29+'Inputs'!$B$31+'Inputs'!$B$32,'Inputs'!$B$30+'Inputs'!$B$31+'Inputs'!$B$32)/1000+'Inputs'!$B$21)+'Inputs'!$B$7)^2+('Inputs'!$B$6/2)^2)-(((713-43)*MAX('Inputs'!$B$33,'Inputs'!$B$29+'Inputs'!$B$31+'Inputs'!$B$32,'Inputs'!$B$30+'Inputs'!$B$31+'Inputs'!$B$32)/1000+'Inputs'!$B$21))/SQRT((((713-43)*MAX('Inputs'!$B$33,'Inputs'!$B$29+'Inputs'!$B$31+'Inputs'!$B$32,'Inputs'!$B$30+'Inputs'!$B$31+'Inputs'!$B$32)/1000+'Inputs'!$B$21))^2+('Inputs'!$B$6/2)^2)))-'Results'!C7*(0.5*((((713-43)*MAX('Inputs'!$B$33,'Inputs'!$B$29+'Inputs'!$B$31+'Inputs'!$B$32,'Inputs'!$B$30+'Inputs'!$B$31+'Inputs'!$B$32)/1000+'Inputs'!$B$21+'Inputs'!$B$7+'Inputs'!$B$10)+'Inputs'!$B$9)/SQRT((((713-43)*MAX('Inputs'!$B$33,'Inputs'!$B$29+'Inputs'!$B$31+'Inputs'!$B$32,'Inputs'!$B$30+'Inputs'!$B$31+'Inputs'!$B$32)/1000+'Inputs'!$B$21+'Inputs'!$B$7+'Inputs'!$B$10)+'Inputs'!$B$9)^2+('Inputs'!$B$8/2)^2)-(((713-43)*MAX('Inputs'!$B$33,'Inputs'!$B$29+'Inputs'!$B$31+'Inputs'!$B$32,'Inputs'!$B$30+'Inputs'!$B$31+'Inputs'!$B$32)/1000+'Inputs'!$B$21+'Inputs'!$B$7+'Inputs'!$B$10))/SQRT((((713-43)*MAX('Inputs'!$B$33,'Inputs'!$B$29+'Inputs'!$B$31+'Inputs'!$B$32,'Inputs'!$B$30+'Inputs'!$B$31+'Inputs'!$B$32)/1000+'Inputs'!$B$21+'Inputs'!$B$7+'Inputs'!$B$10))^2+('Inputs'!$B$8/2)^2))))*'Results'!$B$8),"")</x:f>
        <x:v>1.509630574221779</x:v>
      </x:c>
      <x:c r="K713" t="n">
        <x:f>IF(AND(ISNUMBER('Results'!B7),ISNUMBER('Results'!C7),ISNUMBER('Results'!$B$8),ISNUMBER('Inputs'!$B$6),ISNUMBER('Inputs'!$B$7),ISNUMBER('Inputs'!$B$8),ISNUMBER('Inputs'!$B$9),ISNUMBER('Inputs'!$B$10),ISNUMBER('Inputs'!$B$21),ISNUMBER('Inputs'!$B$24),ISNUMBER('Inputs'!$B$28)),((('Results'!B7*(1-'Inputs'!$B$24)*(0.5*((((713-43)*MAX('Inputs'!$B$33,'Inputs'!$B$29+'Inputs'!$B$31+'Inputs'!$B$32,'Inputs'!$B$30+'Inputs'!$B$31+'Inputs'!$B$32)/1000+'Inputs'!$B$21)+'Inputs'!$B$7)/SQRT((((713-43)*MAX('Inputs'!$B$33,'Inputs'!$B$29+'Inputs'!$B$31+'Inputs'!$B$32,'Inputs'!$B$30+'Inputs'!$B$31+'Inputs'!$B$32)/1000+'Inputs'!$B$21)+'Inputs'!$B$7)^2+('Inputs'!$B$6/2)^2)-(((713-43)*MAX('Inputs'!$B$33,'Inputs'!$B$29+'Inputs'!$B$31+'Inputs'!$B$32,'Inputs'!$B$30+'Inputs'!$B$31+'Inputs'!$B$32)/1000+'Inputs'!$B$21))/SQRT((((713-43)*MAX('Inputs'!$B$33,'Inputs'!$B$29+'Inputs'!$B$31+'Inputs'!$B$32,'Inputs'!$B$30+'Inputs'!$B$31+'Inputs'!$B$32)/1000+'Inputs'!$B$21))^2+('Inputs'!$B$6/2)^2)))-'Results'!C7*(1+'Inputs'!$B$24)*(0.5*((((713-43)*MAX('Inputs'!$B$33,'Inputs'!$B$29+'Inputs'!$B$31+'Inputs'!$B$32,'Inputs'!$B$30+'Inputs'!$B$31+'Inputs'!$B$32)/1000+'Inputs'!$B$21+'Inputs'!$B$7+'Inputs'!$B$10)+'Inputs'!$B$9)/SQRT((((713-43)*MAX('Inputs'!$B$33,'Inputs'!$B$29+'Inputs'!$B$31+'Inputs'!$B$32,'Inputs'!$B$30+'Inputs'!$B$31+'Inputs'!$B$32)/1000+'Inputs'!$B$21+'Inputs'!$B$7+'Inputs'!$B$10)+'Inputs'!$B$9)^2+('Inputs'!$B$8/2)^2)-(((713-43)*MAX('Inputs'!$B$33,'Inputs'!$B$29+'Inputs'!$B$31+'Inputs'!$B$32,'Inputs'!$B$30+'Inputs'!$B$31+'Inputs'!$B$32)/1000+'Inputs'!$B$21+'Inputs'!$B$7+'Inputs'!$B$10))/SQRT((((713-43)*MAX('Inputs'!$B$33,'Inputs'!$B$29+'Inputs'!$B$31+'Inputs'!$B$32,'Inputs'!$B$30+'Inputs'!$B$31+'Inputs'!$B$32)/1000+'Inputs'!$B$21+'Inputs'!$B$7+'Inputs'!$B$10))^2+('Inputs'!$B$8/2)^2))))*'Results'!$B$8)-'Inputs'!$B$28*ABS((('Results'!B7*(1-'Inputs'!$B$24)*(0.5*((((713-43)*MAX('Inputs'!$B$33,'Inputs'!$B$29+'Inputs'!$B$31+'Inputs'!$B$32,'Inputs'!$B$30+'Inputs'!$B$31+'Inputs'!$B$32)/1000+'Inputs'!$B$21)+'Inputs'!$B$7)/SQRT((((713-43)*MAX('Inputs'!$B$33,'Inputs'!$B$29+'Inputs'!$B$31+'Inputs'!$B$32,'Inputs'!$B$30+'Inputs'!$B$31+'Inputs'!$B$32)/1000+'Inputs'!$B$21)+'Inputs'!$B$7)^2+('Inputs'!$B$6/2)^2)-(((713-43)*MAX('Inputs'!$B$33,'Inputs'!$B$29+'Inputs'!$B$31+'Inputs'!$B$32,'Inputs'!$B$30+'Inputs'!$B$31+'Inputs'!$B$32)/1000+'Inputs'!$B$21))/SQRT((((713-43)*MAX('Inputs'!$B$33,'Inputs'!$B$29+'Inputs'!$B$31+'Inputs'!$B$32,'Inputs'!$B$30+'Inputs'!$B$31+'Inputs'!$B$32)/1000+'Inputs'!$B$21))^2+('Inputs'!$B$6/2)^2)))-'Results'!C7*(1+'Inputs'!$B$24)*(0.5*((((713-43)*MAX('Inputs'!$B$33,'Inputs'!$B$29+'Inputs'!$B$31+'Inputs'!$B$32,'Inputs'!$B$30+'Inputs'!$B$31+'Inputs'!$B$32)/1000+'Inputs'!$B$21+'Inputs'!$B$7+'Inputs'!$B$10)+'Inputs'!$B$9)/SQRT((((713-43)*MAX('Inputs'!$B$33,'Inputs'!$B$29+'Inputs'!$B$31+'Inputs'!$B$32,'Inputs'!$B$30+'Inputs'!$B$31+'Inputs'!$B$32)/1000+'Inputs'!$B$21+'Inputs'!$B$7+'Inputs'!$B$10)+'Inputs'!$B$9)^2+('Inputs'!$B$8/2)^2)-(((713-43)*MAX('Inputs'!$B$33,'Inputs'!$B$29+'Inputs'!$B$31+'Inputs'!$B$32,'Inputs'!$B$30+'Inputs'!$B$31+'Inputs'!$B$32)/1000+'Inputs'!$B$21+'Inputs'!$B$7+'Inputs'!$B$10))/SQRT((((713-43)*MAX('Inputs'!$B$33,'Inputs'!$B$29+'Inputs'!$B$31+'Inputs'!$B$32,'Inputs'!$B$30+'Inputs'!$B$31+'Inputs'!$B$32)/1000+'Inputs'!$B$21+'Inputs'!$B$7+'Inputs'!$B$10))^2+('Inputs'!$B$8/2)^2))))*'Results'!$B$8))),"")</x:f>
        <x:v>1.3115649099057813</x:v>
      </x:c>
      <x:c r="L713" t="n">
        <x:f>IF(AND(ISNUMBER('Results'!B7),ISNUMBER('Results'!C7),ISNUMBER('Results'!$B$8),ISNUMBER('Inputs'!$B$6),ISNUMBER('Inputs'!$B$7),ISNUMBER('Inputs'!$B$8),ISNUMBER('Inputs'!$B$9),ISNUMBER('Inputs'!$B$10),ISNUMBER('Inputs'!$B$21),ISNUMBER('Inputs'!$B$24),ISNUMBER('Inputs'!$B$28)),((('Results'!B7*(1+'Inputs'!$B$24)*(0.5*((((713-43)*MAX('Inputs'!$B$33,'Inputs'!$B$29+'Inputs'!$B$31+'Inputs'!$B$32,'Inputs'!$B$30+'Inputs'!$B$31+'Inputs'!$B$32)/1000+'Inputs'!$B$21)+'Inputs'!$B$7)/SQRT((((713-43)*MAX('Inputs'!$B$33,'Inputs'!$B$29+'Inputs'!$B$31+'Inputs'!$B$32,'Inputs'!$B$30+'Inputs'!$B$31+'Inputs'!$B$32)/1000+'Inputs'!$B$21)+'Inputs'!$B$7)^2+('Inputs'!$B$6/2)^2)-(((713-43)*MAX('Inputs'!$B$33,'Inputs'!$B$29+'Inputs'!$B$31+'Inputs'!$B$32,'Inputs'!$B$30+'Inputs'!$B$31+'Inputs'!$B$32)/1000+'Inputs'!$B$21))/SQRT((((713-43)*MAX('Inputs'!$B$33,'Inputs'!$B$29+'Inputs'!$B$31+'Inputs'!$B$32,'Inputs'!$B$30+'Inputs'!$B$31+'Inputs'!$B$32)/1000+'Inputs'!$B$21))^2+('Inputs'!$B$6/2)^2)))-'Results'!C7*(1-'Inputs'!$B$24)*(0.5*((((713-43)*MAX('Inputs'!$B$33,'Inputs'!$B$29+'Inputs'!$B$31+'Inputs'!$B$32,'Inputs'!$B$30+'Inputs'!$B$31+'Inputs'!$B$32)/1000+'Inputs'!$B$21+'Inputs'!$B$7+'Inputs'!$B$10)+'Inputs'!$B$9)/SQRT((((713-43)*MAX('Inputs'!$B$33,'Inputs'!$B$29+'Inputs'!$B$31+'Inputs'!$B$32,'Inputs'!$B$30+'Inputs'!$B$31+'Inputs'!$B$32)/1000+'Inputs'!$B$21+'Inputs'!$B$7+'Inputs'!$B$10)+'Inputs'!$B$9)^2+('Inputs'!$B$8/2)^2)-(((713-43)*MAX('Inputs'!$B$33,'Inputs'!$B$29+'Inputs'!$B$31+'Inputs'!$B$32,'Inputs'!$B$30+'Inputs'!$B$31+'Inputs'!$B$32)/1000+'Inputs'!$B$21+'Inputs'!$B$7+'Inputs'!$B$10))/SQRT((((713-43)*MAX('Inputs'!$B$33,'Inputs'!$B$29+'Inputs'!$B$31+'Inputs'!$B$32,'Inputs'!$B$30+'Inputs'!$B$31+'Inputs'!$B$32)/1000+'Inputs'!$B$21+'Inputs'!$B$7+'Inputs'!$B$10))^2+('Inputs'!$B$8/2)^2))))*'Results'!$B$8)+'Inputs'!$B$28*ABS((('Results'!B7*(1+'Inputs'!$B$24)*(0.5*((((713-43)*MAX('Inputs'!$B$33,'Inputs'!$B$29+'Inputs'!$B$31+'Inputs'!$B$32,'Inputs'!$B$30+'Inputs'!$B$31+'Inputs'!$B$32)/1000+'Inputs'!$B$21)+'Inputs'!$B$7)/SQRT((((713-43)*MAX('Inputs'!$B$33,'Inputs'!$B$29+'Inputs'!$B$31+'Inputs'!$B$32,'Inputs'!$B$30+'Inputs'!$B$31+'Inputs'!$B$32)/1000+'Inputs'!$B$21)+'Inputs'!$B$7)^2+('Inputs'!$B$6/2)^2)-(((713-43)*MAX('Inputs'!$B$33,'Inputs'!$B$29+'Inputs'!$B$31+'Inputs'!$B$32,'Inputs'!$B$30+'Inputs'!$B$31+'Inputs'!$B$32)/1000+'Inputs'!$B$21))/SQRT((((713-43)*MAX('Inputs'!$B$33,'Inputs'!$B$29+'Inputs'!$B$31+'Inputs'!$B$32,'Inputs'!$B$30+'Inputs'!$B$31+'Inputs'!$B$32)/1000+'Inputs'!$B$21))^2+('Inputs'!$B$6/2)^2)))-'Results'!C7*(1-'Inputs'!$B$24)*(0.5*((((713-43)*MAX('Inputs'!$B$33,'Inputs'!$B$29+'Inputs'!$B$31+'Inputs'!$B$32,'Inputs'!$B$30+'Inputs'!$B$31+'Inputs'!$B$32)/1000+'Inputs'!$B$21+'Inputs'!$B$7+'Inputs'!$B$10)+'Inputs'!$B$9)/SQRT((((713-43)*MAX('Inputs'!$B$33,'Inputs'!$B$29+'Inputs'!$B$31+'Inputs'!$B$32,'Inputs'!$B$30+'Inputs'!$B$31+'Inputs'!$B$32)/1000+'Inputs'!$B$21+'Inputs'!$B$7+'Inputs'!$B$10)+'Inputs'!$B$9)^2+('Inputs'!$B$8/2)^2)-(((713-43)*MAX('Inputs'!$B$33,'Inputs'!$B$29+'Inputs'!$B$31+'Inputs'!$B$32,'Inputs'!$B$30+'Inputs'!$B$31+'Inputs'!$B$32)/1000+'Inputs'!$B$21+'Inputs'!$B$7+'Inputs'!$B$10))/SQRT((((713-43)*MAX('Inputs'!$B$33,'Inputs'!$B$29+'Inputs'!$B$31+'Inputs'!$B$32,'Inputs'!$B$30+'Inputs'!$B$31+'Inputs'!$B$32)/1000+'Inputs'!$B$21+'Inputs'!$B$7+'Inputs'!$B$10))^2+('Inputs'!$B$8/2)^2))))*'Results'!$B$8))),"")</x:f>
        <x:v>1.720599831759346</x:v>
      </x:c>
      <x:c r="M713" t="n">
        <x:f>IF(AND(ISNUMBER('Results'!C7),ISNUMBER('Results'!B7),ISNUMBER('Results'!$B$8),ISNUMBER('Inputs'!$B$6),ISNUMBER('Inputs'!$B$7),ISNUMBER('Inputs'!$B$8),ISNUMBER('Inputs'!$B$9),ISNUMBER('Inputs'!$B$10),ISNUMBER('Inputs'!$B$21),ISNUMBER('Inputs'!$B$24),ISNUMBER('Inputs'!$B$28)),(('Results'!C7*(0.5*((((713-43)*MAX('Inputs'!$B$33,'Inputs'!$B$29+'Inputs'!$B$31+'Inputs'!$B$32,'Inputs'!$B$30+'Inputs'!$B$31+'Inputs'!$B$32)/1000+'Inputs'!$B$21)+'Inputs'!$B$9)/SQRT((((713-43)*MAX('Inputs'!$B$33,'Inputs'!$B$29+'Inputs'!$B$31+'Inputs'!$B$32,'Inputs'!$B$30+'Inputs'!$B$31+'Inputs'!$B$32)/1000+'Inputs'!$B$21)+'Inputs'!$B$9)^2+('Inputs'!$B$8/2)^2)-(((713-43)*MAX('Inputs'!$B$33,'Inputs'!$B$29+'Inputs'!$B$31+'Inputs'!$B$32,'Inputs'!$B$30+'Inputs'!$B$31+'Inputs'!$B$32)/1000+'Inputs'!$B$21))/SQRT((((713-43)*MAX('Inputs'!$B$33,'Inputs'!$B$29+'Inputs'!$B$31+'Inputs'!$B$32,'Inputs'!$B$30+'Inputs'!$B$31+'Inputs'!$B$32)/1000+'Inputs'!$B$21))^2+('Inputs'!$B$8/2)^2)))-'Results'!B7*(0.5*((((713-43)*MAX('Inputs'!$B$33,'Inputs'!$B$29+'Inputs'!$B$31+'Inputs'!$B$32,'Inputs'!$B$30+'Inputs'!$B$31+'Inputs'!$B$32)/1000+'Inputs'!$B$21+'Inputs'!$B$9+'Inputs'!$B$10)+'Inputs'!$B$7)/SQRT((((713-43)*MAX('Inputs'!$B$33,'Inputs'!$B$29+'Inputs'!$B$31+'Inputs'!$B$32,'Inputs'!$B$30+'Inputs'!$B$31+'Inputs'!$B$32)/1000+'Inputs'!$B$21+'Inputs'!$B$9+'Inputs'!$B$10)+'Inputs'!$B$7)^2+('Inputs'!$B$6/2)^2)-(((713-43)*MAX('Inputs'!$B$33,'Inputs'!$B$29+'Inputs'!$B$31+'Inputs'!$B$32,'Inputs'!$B$30+'Inputs'!$B$31+'Inputs'!$B$32)/1000+'Inputs'!$B$21+'Inputs'!$B$9+'Inputs'!$B$10))/SQRT((((713-43)*MAX('Inputs'!$B$33,'Inputs'!$B$29+'Inputs'!$B$31+'Inputs'!$B$32,'Inputs'!$B$30+'Inputs'!$B$31+'Inputs'!$B$32)/1000+'Inputs'!$B$21+'Inputs'!$B$9+'Inputs'!$B$10))^2+('Inputs'!$B$6/2)^2))))*'Results'!$B$8),"")</x:f>
        <x:v>1.3795860366925017</x:v>
      </x:c>
      <x:c r="N713" t="n">
        <x:f>IF(AND(ISNUMBER('Results'!C7),ISNUMBER('Results'!B7),ISNUMBER('Results'!$B$8),ISNUMBER('Inputs'!$B$6),ISNUMBER('Inputs'!$B$7),ISNUMBER('Inputs'!$B$8),ISNUMBER('Inputs'!$B$9),ISNUMBER('Inputs'!$B$10),ISNUMBER('Inputs'!$B$21),ISNUMBER('Inputs'!$B$24),ISNUMBER('Inputs'!$B$28)),((('Results'!C7*(1-'Inputs'!$B$24)*(0.5*((((713-43)*MAX('Inputs'!$B$33,'Inputs'!$B$29+'Inputs'!$B$31+'Inputs'!$B$32,'Inputs'!$B$30+'Inputs'!$B$31+'Inputs'!$B$32)/1000+'Inputs'!$B$21)+'Inputs'!$B$9)/SQRT((((713-43)*MAX('Inputs'!$B$33,'Inputs'!$B$29+'Inputs'!$B$31+'Inputs'!$B$32,'Inputs'!$B$30+'Inputs'!$B$31+'Inputs'!$B$32)/1000+'Inputs'!$B$21)+'Inputs'!$B$9)^2+('Inputs'!$B$8/2)^2)-(((713-43)*MAX('Inputs'!$B$33,'Inputs'!$B$29+'Inputs'!$B$31+'Inputs'!$B$32,'Inputs'!$B$30+'Inputs'!$B$31+'Inputs'!$B$32)/1000+'Inputs'!$B$21))/SQRT((((713-43)*MAX('Inputs'!$B$33,'Inputs'!$B$29+'Inputs'!$B$31+'Inputs'!$B$32,'Inputs'!$B$30+'Inputs'!$B$31+'Inputs'!$B$32)/1000+'Inputs'!$B$21))^2+('Inputs'!$B$8/2)^2)))-'Results'!B7*(1+'Inputs'!$B$24)*(0.5*((((713-43)*MAX('Inputs'!$B$33,'Inputs'!$B$29+'Inputs'!$B$31+'Inputs'!$B$32,'Inputs'!$B$30+'Inputs'!$B$31+'Inputs'!$B$32)/1000+'Inputs'!$B$21+'Inputs'!$B$9+'Inputs'!$B$10)+'Inputs'!$B$7)/SQRT((((713-43)*MAX('Inputs'!$B$33,'Inputs'!$B$29+'Inputs'!$B$31+'Inputs'!$B$32,'Inputs'!$B$30+'Inputs'!$B$31+'Inputs'!$B$32)/1000+'Inputs'!$B$21+'Inputs'!$B$9+'Inputs'!$B$10)+'Inputs'!$B$7)^2+('Inputs'!$B$6/2)^2)-(((713-43)*MAX('Inputs'!$B$33,'Inputs'!$B$29+'Inputs'!$B$31+'Inputs'!$B$32,'Inputs'!$B$30+'Inputs'!$B$31+'Inputs'!$B$32)/1000+'Inputs'!$B$21+'Inputs'!$B$9+'Inputs'!$B$10))/SQRT((((713-43)*MAX('Inputs'!$B$33,'Inputs'!$B$29+'Inputs'!$B$31+'Inputs'!$B$32,'Inputs'!$B$30+'Inputs'!$B$31+'Inputs'!$B$32)/1000+'Inputs'!$B$21+'Inputs'!$B$9+'Inputs'!$B$10))^2+('Inputs'!$B$6/2)^2))))*'Results'!$B$8)-'Inputs'!$B$28*ABS((('Results'!C7*(1-'Inputs'!$B$24)*(0.5*((((713-43)*MAX('Inputs'!$B$33,'Inputs'!$B$29+'Inputs'!$B$31+'Inputs'!$B$32,'Inputs'!$B$30+'Inputs'!$B$31+'Inputs'!$B$32)/1000+'Inputs'!$B$21)+'Inputs'!$B$9)/SQRT((((713-43)*MAX('Inputs'!$B$33,'Inputs'!$B$29+'Inputs'!$B$31+'Inputs'!$B$32,'Inputs'!$B$30+'Inputs'!$B$31+'Inputs'!$B$32)/1000+'Inputs'!$B$21)+'Inputs'!$B$9)^2+('Inputs'!$B$8/2)^2)-(((713-43)*MAX('Inputs'!$B$33,'Inputs'!$B$29+'Inputs'!$B$31+'Inputs'!$B$32,'Inputs'!$B$30+'Inputs'!$B$31+'Inputs'!$B$32)/1000+'Inputs'!$B$21))/SQRT((((713-43)*MAX('Inputs'!$B$33,'Inputs'!$B$29+'Inputs'!$B$31+'Inputs'!$B$32,'Inputs'!$B$30+'Inputs'!$B$31+'Inputs'!$B$32)/1000+'Inputs'!$B$21))^2+('Inputs'!$B$8/2)^2)))-'Results'!B7*(1+'Inputs'!$B$24)*(0.5*((((713-43)*MAX('Inputs'!$B$33,'Inputs'!$B$29+'Inputs'!$B$31+'Inputs'!$B$32,'Inputs'!$B$30+'Inputs'!$B$31+'Inputs'!$B$32)/1000+'Inputs'!$B$21+'Inputs'!$B$9+'Inputs'!$B$10)+'Inputs'!$B$7)/SQRT((((713-43)*MAX('Inputs'!$B$33,'Inputs'!$B$29+'Inputs'!$B$31+'Inputs'!$B$32,'Inputs'!$B$30+'Inputs'!$B$31+'Inputs'!$B$32)/1000+'Inputs'!$B$21+'Inputs'!$B$9+'Inputs'!$B$10)+'Inputs'!$B$7)^2+('Inputs'!$B$6/2)^2)-(((713-43)*MAX('Inputs'!$B$33,'Inputs'!$B$29+'Inputs'!$B$31+'Inputs'!$B$32,'Inputs'!$B$30+'Inputs'!$B$31+'Inputs'!$B$32)/1000+'Inputs'!$B$21+'Inputs'!$B$9+'Inputs'!$B$10))/SQRT((((713-43)*MAX('Inputs'!$B$33,'Inputs'!$B$29+'Inputs'!$B$31+'Inputs'!$B$32,'Inputs'!$B$30+'Inputs'!$B$31+'Inputs'!$B$32)/1000+'Inputs'!$B$21+'Inputs'!$B$9+'Inputs'!$B$10))^2+('Inputs'!$B$6/2)^2))))*'Results'!$B$8))),"")</x:f>
        <x:v>1.188577095370214</x:v>
      </x:c>
      <x:c r="O713" t="n">
        <x:f>IF(AND(ISNUMBER('Results'!C7),ISNUMBER('Results'!B7),ISNUMBER('Results'!$B$8),ISNUMBER('Inputs'!$B$6),ISNUMBER('Inputs'!$B$7),ISNUMBER('Inputs'!$B$8),ISNUMBER('Inputs'!$B$9),ISNUMBER('Inputs'!$B$10),ISNUMBER('Inputs'!$B$21),ISNUMBER('Inputs'!$B$24),ISNUMBER('Inputs'!$B$28)),((('Results'!C7*(1+'Inputs'!$B$24)*(0.5*((((713-43)*MAX('Inputs'!$B$33,'Inputs'!$B$29+'Inputs'!$B$31+'Inputs'!$B$32,'Inputs'!$B$30+'Inputs'!$B$31+'Inputs'!$B$32)/1000+'Inputs'!$B$21)+'Inputs'!$B$9)/SQRT((((713-43)*MAX('Inputs'!$B$33,'Inputs'!$B$29+'Inputs'!$B$31+'Inputs'!$B$32,'Inputs'!$B$30+'Inputs'!$B$31+'Inputs'!$B$32)/1000+'Inputs'!$B$21)+'Inputs'!$B$9)^2+('Inputs'!$B$8/2)^2)-(((713-43)*MAX('Inputs'!$B$33,'Inputs'!$B$29+'Inputs'!$B$31+'Inputs'!$B$32,'Inputs'!$B$30+'Inputs'!$B$31+'Inputs'!$B$32)/1000+'Inputs'!$B$21))/SQRT((((713-43)*MAX('Inputs'!$B$33,'Inputs'!$B$29+'Inputs'!$B$31+'Inputs'!$B$32,'Inputs'!$B$30+'Inputs'!$B$31+'Inputs'!$B$32)/1000+'Inputs'!$B$21))^2+('Inputs'!$B$8/2)^2)))-'Results'!B7*(1-'Inputs'!$B$24)*(0.5*((((713-43)*MAX('Inputs'!$B$33,'Inputs'!$B$29+'Inputs'!$B$31+'Inputs'!$B$32,'Inputs'!$B$30+'Inputs'!$B$31+'Inputs'!$B$32)/1000+'Inputs'!$B$21+'Inputs'!$B$9+'Inputs'!$B$10)+'Inputs'!$B$7)/SQRT((((713-43)*MAX('Inputs'!$B$33,'Inputs'!$B$29+'Inputs'!$B$31+'Inputs'!$B$32,'Inputs'!$B$30+'Inputs'!$B$31+'Inputs'!$B$32)/1000+'Inputs'!$B$21+'Inputs'!$B$9+'Inputs'!$B$10)+'Inputs'!$B$7)^2+('Inputs'!$B$6/2)^2)-(((713-43)*MAX('Inputs'!$B$33,'Inputs'!$B$29+'Inputs'!$B$31+'Inputs'!$B$32,'Inputs'!$B$30+'Inputs'!$B$31+'Inputs'!$B$32)/1000+'Inputs'!$B$21+'Inputs'!$B$9+'Inputs'!$B$10))/SQRT((((713-43)*MAX('Inputs'!$B$33,'Inputs'!$B$29+'Inputs'!$B$31+'Inputs'!$B$32,'Inputs'!$B$30+'Inputs'!$B$31+'Inputs'!$B$32)/1000+'Inputs'!$B$21+'Inputs'!$B$9+'Inputs'!$B$10))^2+('Inputs'!$B$6/2)^2))))*'Results'!$B$8)+'Inputs'!$B$28*ABS((('Results'!C7*(1+'Inputs'!$B$24)*(0.5*((((713-43)*MAX('Inputs'!$B$33,'Inputs'!$B$29+'Inputs'!$B$31+'Inputs'!$B$32,'Inputs'!$B$30+'Inputs'!$B$31+'Inputs'!$B$32)/1000+'Inputs'!$B$21)+'Inputs'!$B$9)/SQRT((((713-43)*MAX('Inputs'!$B$33,'Inputs'!$B$29+'Inputs'!$B$31+'Inputs'!$B$32,'Inputs'!$B$30+'Inputs'!$B$31+'Inputs'!$B$32)/1000+'Inputs'!$B$21)+'Inputs'!$B$9)^2+('Inputs'!$B$8/2)^2)-(((713-43)*MAX('Inputs'!$B$33,'Inputs'!$B$29+'Inputs'!$B$31+'Inputs'!$B$32,'Inputs'!$B$30+'Inputs'!$B$31+'Inputs'!$B$32)/1000+'Inputs'!$B$21))/SQRT((((713-43)*MAX('Inputs'!$B$33,'Inputs'!$B$29+'Inputs'!$B$31+'Inputs'!$B$32,'Inputs'!$B$30+'Inputs'!$B$31+'Inputs'!$B$32)/1000+'Inputs'!$B$21))^2+('Inputs'!$B$8/2)^2)))-'Results'!B7*(1-'Inputs'!$B$24)*(0.5*((((713-43)*MAX('Inputs'!$B$33,'Inputs'!$B$29+'Inputs'!$B$31+'Inputs'!$B$32,'Inputs'!$B$30+'Inputs'!$B$31+'Inputs'!$B$32)/1000+'Inputs'!$B$21+'Inputs'!$B$9+'Inputs'!$B$10)+'Inputs'!$B$7)/SQRT((((713-43)*MAX('Inputs'!$B$33,'Inputs'!$B$29+'Inputs'!$B$31+'Inputs'!$B$32,'Inputs'!$B$30+'Inputs'!$B$31+'Inputs'!$B$32)/1000+'Inputs'!$B$21+'Inputs'!$B$9+'Inputs'!$B$10)+'Inputs'!$B$7)^2+('Inputs'!$B$6/2)^2)-(((713-43)*MAX('Inputs'!$B$33,'Inputs'!$B$29+'Inputs'!$B$31+'Inputs'!$B$32,'Inputs'!$B$30+'Inputs'!$B$31+'Inputs'!$B$32)/1000+'Inputs'!$B$21+'Inputs'!$B$9+'Inputs'!$B$10))/SQRT((((713-43)*MAX('Inputs'!$B$33,'Inputs'!$B$29+'Inputs'!$B$31+'Inputs'!$B$32,'Inputs'!$B$30+'Inputs'!$B$31+'Inputs'!$B$32)/1000+'Inputs'!$B$21+'Inputs'!$B$9+'Inputs'!$B$10))^2+('Inputs'!$B$6/2)^2))))*'Results'!$B$8))),"")</x:f>
        <x:v>1.5834402032240171</x:v>
      </x:c>
      <x:c r="P713" t="n">
        <x:f>IF(AND(MAX(J713,J712)&gt;0,J713&gt;J712+0.00000001),1,0)</x:f>
        <x:v>0</x:v>
      </x:c>
      <x:c r="Q713" t="n">
        <x:f>IF(AND(MAX(K713,K712)&gt;0,K713&gt;K712+0.00000001),1,0)</x:f>
        <x:v>0</x:v>
      </x:c>
      <x:c r="R713" t="n">
        <x:f>IF(AND(MAX(L713,L712)&gt;0,L713&gt;L712+0.00000001),1,0)</x:f>
        <x:v>0</x:v>
      </x:c>
      <x:c r="S713" t="n">
        <x:f>IF(AND(MAX(M713,M712)&gt;0,M713&gt;M712+0.00000001),1,0)</x:f>
        <x:v>0</x:v>
      </x:c>
      <x:c r="T713" t="n">
        <x:f>IF(AND(MAX(N713,N712)&gt;0,N713&gt;N712+0.00000001),1,0)</x:f>
        <x:v>0</x:v>
      </x:c>
      <x:c r="U713" t="n">
        <x:f>IF(AND(MAX(O713,O712)&gt;0,O713&gt;O712+0.00000001),1,0)</x:f>
        <x:v>0</x:v>
      </x:c>
    </x:row>
    <x:row r="714">
      <x:c r="J714" t="n">
        <x:f>IF(AND(ISNUMBER('Results'!B7),ISNUMBER('Results'!C7),ISNUMBER('Results'!$B$8),ISNUMBER('Inputs'!$B$6),ISNUMBER('Inputs'!$B$7),ISNUMBER('Inputs'!$B$8),ISNUMBER('Inputs'!$B$9),ISNUMBER('Inputs'!$B$10),ISNUMBER('Inputs'!$B$21),ISNUMBER('Inputs'!$B$24),ISNUMBER('Inputs'!$B$28)),(('Results'!B7*(0.5*((((714-43)*MAX('Inputs'!$B$33,'Inputs'!$B$29+'Inputs'!$B$31+'Inputs'!$B$32,'Inputs'!$B$30+'Inputs'!$B$31+'Inputs'!$B$32)/1000+'Inputs'!$B$21)+'Inputs'!$B$7)/SQRT((((714-43)*MAX('Inputs'!$B$33,'Inputs'!$B$29+'Inputs'!$B$31+'Inputs'!$B$32,'Inputs'!$B$30+'Inputs'!$B$31+'Inputs'!$B$32)/1000+'Inputs'!$B$21)+'Inputs'!$B$7)^2+('Inputs'!$B$6/2)^2)-(((714-43)*MAX('Inputs'!$B$33,'Inputs'!$B$29+'Inputs'!$B$31+'Inputs'!$B$32,'Inputs'!$B$30+'Inputs'!$B$31+'Inputs'!$B$32)/1000+'Inputs'!$B$21))/SQRT((((714-43)*MAX('Inputs'!$B$33,'Inputs'!$B$29+'Inputs'!$B$31+'Inputs'!$B$32,'Inputs'!$B$30+'Inputs'!$B$31+'Inputs'!$B$32)/1000+'Inputs'!$B$21))^2+('Inputs'!$B$6/2)^2)))-'Results'!C7*(0.5*((((714-43)*MAX('Inputs'!$B$33,'Inputs'!$B$29+'Inputs'!$B$31+'Inputs'!$B$32,'Inputs'!$B$30+'Inputs'!$B$31+'Inputs'!$B$32)/1000+'Inputs'!$B$21+'Inputs'!$B$7+'Inputs'!$B$10)+'Inputs'!$B$9)/SQRT((((714-43)*MAX('Inputs'!$B$33,'Inputs'!$B$29+'Inputs'!$B$31+'Inputs'!$B$32,'Inputs'!$B$30+'Inputs'!$B$31+'Inputs'!$B$32)/1000+'Inputs'!$B$21+'Inputs'!$B$7+'Inputs'!$B$10)+'Inputs'!$B$9)^2+('Inputs'!$B$8/2)^2)-(((714-43)*MAX('Inputs'!$B$33,'Inputs'!$B$29+'Inputs'!$B$31+'Inputs'!$B$32,'Inputs'!$B$30+'Inputs'!$B$31+'Inputs'!$B$32)/1000+'Inputs'!$B$21+'Inputs'!$B$7+'Inputs'!$B$10))/SQRT((((714-43)*MAX('Inputs'!$B$33,'Inputs'!$B$29+'Inputs'!$B$31+'Inputs'!$B$32,'Inputs'!$B$30+'Inputs'!$B$31+'Inputs'!$B$32)/1000+'Inputs'!$B$21+'Inputs'!$B$7+'Inputs'!$B$10))^2+('Inputs'!$B$8/2)^2))))*'Results'!$B$8),"")</x:f>
        <x:v>1.5016864115154467</x:v>
      </x:c>
      <x:c r="K714" t="n">
        <x:f>IF(AND(ISNUMBER('Results'!B7),ISNUMBER('Results'!C7),ISNUMBER('Results'!$B$8),ISNUMBER('Inputs'!$B$6),ISNUMBER('Inputs'!$B$7),ISNUMBER('Inputs'!$B$8),ISNUMBER('Inputs'!$B$9),ISNUMBER('Inputs'!$B$10),ISNUMBER('Inputs'!$B$21),ISNUMBER('Inputs'!$B$24),ISNUMBER('Inputs'!$B$28)),((('Results'!B7*(1-'Inputs'!$B$24)*(0.5*((((714-43)*MAX('Inputs'!$B$33,'Inputs'!$B$29+'Inputs'!$B$31+'Inputs'!$B$32,'Inputs'!$B$30+'Inputs'!$B$31+'Inputs'!$B$32)/1000+'Inputs'!$B$21)+'Inputs'!$B$7)/SQRT((((714-43)*MAX('Inputs'!$B$33,'Inputs'!$B$29+'Inputs'!$B$31+'Inputs'!$B$32,'Inputs'!$B$30+'Inputs'!$B$31+'Inputs'!$B$32)/1000+'Inputs'!$B$21)+'Inputs'!$B$7)^2+('Inputs'!$B$6/2)^2)-(((714-43)*MAX('Inputs'!$B$33,'Inputs'!$B$29+'Inputs'!$B$31+'Inputs'!$B$32,'Inputs'!$B$30+'Inputs'!$B$31+'Inputs'!$B$32)/1000+'Inputs'!$B$21))/SQRT((((714-43)*MAX('Inputs'!$B$33,'Inputs'!$B$29+'Inputs'!$B$31+'Inputs'!$B$32,'Inputs'!$B$30+'Inputs'!$B$31+'Inputs'!$B$32)/1000+'Inputs'!$B$21))^2+('Inputs'!$B$6/2)^2)))-'Results'!C7*(1+'Inputs'!$B$24)*(0.5*((((714-43)*MAX('Inputs'!$B$33,'Inputs'!$B$29+'Inputs'!$B$31+'Inputs'!$B$32,'Inputs'!$B$30+'Inputs'!$B$31+'Inputs'!$B$32)/1000+'Inputs'!$B$21+'Inputs'!$B$7+'Inputs'!$B$10)+'Inputs'!$B$9)/SQRT((((714-43)*MAX('Inputs'!$B$33,'Inputs'!$B$29+'Inputs'!$B$31+'Inputs'!$B$32,'Inputs'!$B$30+'Inputs'!$B$31+'Inputs'!$B$32)/1000+'Inputs'!$B$21+'Inputs'!$B$7+'Inputs'!$B$10)+'Inputs'!$B$9)^2+('Inputs'!$B$8/2)^2)-(((714-43)*MAX('Inputs'!$B$33,'Inputs'!$B$29+'Inputs'!$B$31+'Inputs'!$B$32,'Inputs'!$B$30+'Inputs'!$B$31+'Inputs'!$B$32)/1000+'Inputs'!$B$21+'Inputs'!$B$7+'Inputs'!$B$10))/SQRT((((714-43)*MAX('Inputs'!$B$33,'Inputs'!$B$29+'Inputs'!$B$31+'Inputs'!$B$32,'Inputs'!$B$30+'Inputs'!$B$31+'Inputs'!$B$32)/1000+'Inputs'!$B$21+'Inputs'!$B$7+'Inputs'!$B$10))^2+('Inputs'!$B$8/2)^2))))*'Results'!$B$8)-'Inputs'!$B$28*ABS((('Results'!B7*(1-'Inputs'!$B$24)*(0.5*((((714-43)*MAX('Inputs'!$B$33,'Inputs'!$B$29+'Inputs'!$B$31+'Inputs'!$B$32,'Inputs'!$B$30+'Inputs'!$B$31+'Inputs'!$B$32)/1000+'Inputs'!$B$21)+'Inputs'!$B$7)/SQRT((((714-43)*MAX('Inputs'!$B$33,'Inputs'!$B$29+'Inputs'!$B$31+'Inputs'!$B$32,'Inputs'!$B$30+'Inputs'!$B$31+'Inputs'!$B$32)/1000+'Inputs'!$B$21)+'Inputs'!$B$7)^2+('Inputs'!$B$6/2)^2)-(((714-43)*MAX('Inputs'!$B$33,'Inputs'!$B$29+'Inputs'!$B$31+'Inputs'!$B$32,'Inputs'!$B$30+'Inputs'!$B$31+'Inputs'!$B$32)/1000+'Inputs'!$B$21))/SQRT((((714-43)*MAX('Inputs'!$B$33,'Inputs'!$B$29+'Inputs'!$B$31+'Inputs'!$B$32,'Inputs'!$B$30+'Inputs'!$B$31+'Inputs'!$B$32)/1000+'Inputs'!$B$21))^2+('Inputs'!$B$6/2)^2)))-'Results'!C7*(1+'Inputs'!$B$24)*(0.5*((((714-43)*MAX('Inputs'!$B$33,'Inputs'!$B$29+'Inputs'!$B$31+'Inputs'!$B$32,'Inputs'!$B$30+'Inputs'!$B$31+'Inputs'!$B$32)/1000+'Inputs'!$B$21+'Inputs'!$B$7+'Inputs'!$B$10)+'Inputs'!$B$9)/SQRT((((714-43)*MAX('Inputs'!$B$33,'Inputs'!$B$29+'Inputs'!$B$31+'Inputs'!$B$32,'Inputs'!$B$30+'Inputs'!$B$31+'Inputs'!$B$32)/1000+'Inputs'!$B$21+'Inputs'!$B$7+'Inputs'!$B$10)+'Inputs'!$B$9)^2+('Inputs'!$B$8/2)^2)-(((714-43)*MAX('Inputs'!$B$33,'Inputs'!$B$29+'Inputs'!$B$31+'Inputs'!$B$32,'Inputs'!$B$30+'Inputs'!$B$31+'Inputs'!$B$32)/1000+'Inputs'!$B$21+'Inputs'!$B$7+'Inputs'!$B$10))/SQRT((((714-43)*MAX('Inputs'!$B$33,'Inputs'!$B$29+'Inputs'!$B$31+'Inputs'!$B$32,'Inputs'!$B$30+'Inputs'!$B$31+'Inputs'!$B$32)/1000+'Inputs'!$B$21+'Inputs'!$B$7+'Inputs'!$B$10))^2+('Inputs'!$B$8/2)^2))))*'Results'!$B$8))),"")</x:f>
        <x:v>1.3045150857154464</x:v>
      </x:c>
      <x:c r="L714" t="n">
        <x:f>IF(AND(ISNUMBER('Results'!B7),ISNUMBER('Results'!C7),ISNUMBER('Results'!$B$8),ISNUMBER('Inputs'!$B$6),ISNUMBER('Inputs'!$B$7),ISNUMBER('Inputs'!$B$8),ISNUMBER('Inputs'!$B$9),ISNUMBER('Inputs'!$B$10),ISNUMBER('Inputs'!$B$21),ISNUMBER('Inputs'!$B$24),ISNUMBER('Inputs'!$B$28)),((('Results'!B7*(1+'Inputs'!$B$24)*(0.5*((((714-43)*MAX('Inputs'!$B$33,'Inputs'!$B$29+'Inputs'!$B$31+'Inputs'!$B$32,'Inputs'!$B$30+'Inputs'!$B$31+'Inputs'!$B$32)/1000+'Inputs'!$B$21)+'Inputs'!$B$7)/SQRT((((714-43)*MAX('Inputs'!$B$33,'Inputs'!$B$29+'Inputs'!$B$31+'Inputs'!$B$32,'Inputs'!$B$30+'Inputs'!$B$31+'Inputs'!$B$32)/1000+'Inputs'!$B$21)+'Inputs'!$B$7)^2+('Inputs'!$B$6/2)^2)-(((714-43)*MAX('Inputs'!$B$33,'Inputs'!$B$29+'Inputs'!$B$31+'Inputs'!$B$32,'Inputs'!$B$30+'Inputs'!$B$31+'Inputs'!$B$32)/1000+'Inputs'!$B$21))/SQRT((((714-43)*MAX('Inputs'!$B$33,'Inputs'!$B$29+'Inputs'!$B$31+'Inputs'!$B$32,'Inputs'!$B$30+'Inputs'!$B$31+'Inputs'!$B$32)/1000+'Inputs'!$B$21))^2+('Inputs'!$B$6/2)^2)))-'Results'!C7*(1-'Inputs'!$B$24)*(0.5*((((714-43)*MAX('Inputs'!$B$33,'Inputs'!$B$29+'Inputs'!$B$31+'Inputs'!$B$32,'Inputs'!$B$30+'Inputs'!$B$31+'Inputs'!$B$32)/1000+'Inputs'!$B$21+'Inputs'!$B$7+'Inputs'!$B$10)+'Inputs'!$B$9)/SQRT((((714-43)*MAX('Inputs'!$B$33,'Inputs'!$B$29+'Inputs'!$B$31+'Inputs'!$B$32,'Inputs'!$B$30+'Inputs'!$B$31+'Inputs'!$B$32)/1000+'Inputs'!$B$21+'Inputs'!$B$7+'Inputs'!$B$10)+'Inputs'!$B$9)^2+('Inputs'!$B$8/2)^2)-(((714-43)*MAX('Inputs'!$B$33,'Inputs'!$B$29+'Inputs'!$B$31+'Inputs'!$B$32,'Inputs'!$B$30+'Inputs'!$B$31+'Inputs'!$B$32)/1000+'Inputs'!$B$21+'Inputs'!$B$7+'Inputs'!$B$10))/SQRT((((714-43)*MAX('Inputs'!$B$33,'Inputs'!$B$29+'Inputs'!$B$31+'Inputs'!$B$32,'Inputs'!$B$30+'Inputs'!$B$31+'Inputs'!$B$32)/1000+'Inputs'!$B$21+'Inputs'!$B$7+'Inputs'!$B$10))^2+('Inputs'!$B$8/2)^2))))*'Results'!$B$8)+'Inputs'!$B$28*ABS((('Results'!B7*(1+'Inputs'!$B$24)*(0.5*((((714-43)*MAX('Inputs'!$B$33,'Inputs'!$B$29+'Inputs'!$B$31+'Inputs'!$B$32,'Inputs'!$B$30+'Inputs'!$B$31+'Inputs'!$B$32)/1000+'Inputs'!$B$21)+'Inputs'!$B$7)/SQRT((((714-43)*MAX('Inputs'!$B$33,'Inputs'!$B$29+'Inputs'!$B$31+'Inputs'!$B$32,'Inputs'!$B$30+'Inputs'!$B$31+'Inputs'!$B$32)/1000+'Inputs'!$B$21)+'Inputs'!$B$7)^2+('Inputs'!$B$6/2)^2)-(((714-43)*MAX('Inputs'!$B$33,'Inputs'!$B$29+'Inputs'!$B$31+'Inputs'!$B$32,'Inputs'!$B$30+'Inputs'!$B$31+'Inputs'!$B$32)/1000+'Inputs'!$B$21))/SQRT((((714-43)*MAX('Inputs'!$B$33,'Inputs'!$B$29+'Inputs'!$B$31+'Inputs'!$B$32,'Inputs'!$B$30+'Inputs'!$B$31+'Inputs'!$B$32)/1000+'Inputs'!$B$21))^2+('Inputs'!$B$6/2)^2)))-'Results'!C7*(1-'Inputs'!$B$24)*(0.5*((((714-43)*MAX('Inputs'!$B$33,'Inputs'!$B$29+'Inputs'!$B$31+'Inputs'!$B$32,'Inputs'!$B$30+'Inputs'!$B$31+'Inputs'!$B$32)/1000+'Inputs'!$B$21+'Inputs'!$B$7+'Inputs'!$B$10)+'Inputs'!$B$9)/SQRT((((714-43)*MAX('Inputs'!$B$33,'Inputs'!$B$29+'Inputs'!$B$31+'Inputs'!$B$32,'Inputs'!$B$30+'Inputs'!$B$31+'Inputs'!$B$32)/1000+'Inputs'!$B$21+'Inputs'!$B$7+'Inputs'!$B$10)+'Inputs'!$B$9)^2+('Inputs'!$B$8/2)^2)-(((714-43)*MAX('Inputs'!$B$33,'Inputs'!$B$29+'Inputs'!$B$31+'Inputs'!$B$32,'Inputs'!$B$30+'Inputs'!$B$31+'Inputs'!$B$32)/1000+'Inputs'!$B$21+'Inputs'!$B$7+'Inputs'!$B$10))/SQRT((((714-43)*MAX('Inputs'!$B$33,'Inputs'!$B$29+'Inputs'!$B$31+'Inputs'!$B$32,'Inputs'!$B$30+'Inputs'!$B$31+'Inputs'!$B$32)/1000+'Inputs'!$B$21+'Inputs'!$B$7+'Inputs'!$B$10))^2+('Inputs'!$B$8/2)^2))))*'Results'!$B$8))),"")</x:f>
        <x:v>1.71170900102326</x:v>
      </x:c>
      <x:c r="M714" t="n">
        <x:f>IF(AND(ISNUMBER('Results'!C7),ISNUMBER('Results'!B7),ISNUMBER('Results'!$B$8),ISNUMBER('Inputs'!$B$6),ISNUMBER('Inputs'!$B$7),ISNUMBER('Inputs'!$B$8),ISNUMBER('Inputs'!$B$9),ISNUMBER('Inputs'!$B$10),ISNUMBER('Inputs'!$B$21),ISNUMBER('Inputs'!$B$24),ISNUMBER('Inputs'!$B$28)),(('Results'!C7*(0.5*((((714-43)*MAX('Inputs'!$B$33,'Inputs'!$B$29+'Inputs'!$B$31+'Inputs'!$B$32,'Inputs'!$B$30+'Inputs'!$B$31+'Inputs'!$B$32)/1000+'Inputs'!$B$21)+'Inputs'!$B$9)/SQRT((((714-43)*MAX('Inputs'!$B$33,'Inputs'!$B$29+'Inputs'!$B$31+'Inputs'!$B$32,'Inputs'!$B$30+'Inputs'!$B$31+'Inputs'!$B$32)/1000+'Inputs'!$B$21)+'Inputs'!$B$9)^2+('Inputs'!$B$8/2)^2)-(((714-43)*MAX('Inputs'!$B$33,'Inputs'!$B$29+'Inputs'!$B$31+'Inputs'!$B$32,'Inputs'!$B$30+'Inputs'!$B$31+'Inputs'!$B$32)/1000+'Inputs'!$B$21))/SQRT((((714-43)*MAX('Inputs'!$B$33,'Inputs'!$B$29+'Inputs'!$B$31+'Inputs'!$B$32,'Inputs'!$B$30+'Inputs'!$B$31+'Inputs'!$B$32)/1000+'Inputs'!$B$21))^2+('Inputs'!$B$8/2)^2)))-'Results'!B7*(0.5*((((714-43)*MAX('Inputs'!$B$33,'Inputs'!$B$29+'Inputs'!$B$31+'Inputs'!$B$32,'Inputs'!$B$30+'Inputs'!$B$31+'Inputs'!$B$32)/1000+'Inputs'!$B$21+'Inputs'!$B$9+'Inputs'!$B$10)+'Inputs'!$B$7)/SQRT((((714-43)*MAX('Inputs'!$B$33,'Inputs'!$B$29+'Inputs'!$B$31+'Inputs'!$B$32,'Inputs'!$B$30+'Inputs'!$B$31+'Inputs'!$B$32)/1000+'Inputs'!$B$21+'Inputs'!$B$9+'Inputs'!$B$10)+'Inputs'!$B$7)^2+('Inputs'!$B$6/2)^2)-(((714-43)*MAX('Inputs'!$B$33,'Inputs'!$B$29+'Inputs'!$B$31+'Inputs'!$B$32,'Inputs'!$B$30+'Inputs'!$B$31+'Inputs'!$B$32)/1000+'Inputs'!$B$21+'Inputs'!$B$9+'Inputs'!$B$10))/SQRT((((714-43)*MAX('Inputs'!$B$33,'Inputs'!$B$29+'Inputs'!$B$31+'Inputs'!$B$32,'Inputs'!$B$30+'Inputs'!$B$31+'Inputs'!$B$32)/1000+'Inputs'!$B$21+'Inputs'!$B$9+'Inputs'!$B$10))^2+('Inputs'!$B$6/2)^2))))*'Results'!$B$8),"")</x:f>
        <x:v>1.3721688876123344</x:v>
      </x:c>
      <x:c r="N714" t="n">
        <x:f>IF(AND(ISNUMBER('Results'!C7),ISNUMBER('Results'!B7),ISNUMBER('Results'!$B$8),ISNUMBER('Inputs'!$B$6),ISNUMBER('Inputs'!$B$7),ISNUMBER('Inputs'!$B$8),ISNUMBER('Inputs'!$B$9),ISNUMBER('Inputs'!$B$10),ISNUMBER('Inputs'!$B$21),ISNUMBER('Inputs'!$B$24),ISNUMBER('Inputs'!$B$28)),((('Results'!C7*(1-'Inputs'!$B$24)*(0.5*((((714-43)*MAX('Inputs'!$B$33,'Inputs'!$B$29+'Inputs'!$B$31+'Inputs'!$B$32,'Inputs'!$B$30+'Inputs'!$B$31+'Inputs'!$B$32)/1000+'Inputs'!$B$21)+'Inputs'!$B$9)/SQRT((((714-43)*MAX('Inputs'!$B$33,'Inputs'!$B$29+'Inputs'!$B$31+'Inputs'!$B$32,'Inputs'!$B$30+'Inputs'!$B$31+'Inputs'!$B$32)/1000+'Inputs'!$B$21)+'Inputs'!$B$9)^2+('Inputs'!$B$8/2)^2)-(((714-43)*MAX('Inputs'!$B$33,'Inputs'!$B$29+'Inputs'!$B$31+'Inputs'!$B$32,'Inputs'!$B$30+'Inputs'!$B$31+'Inputs'!$B$32)/1000+'Inputs'!$B$21))/SQRT((((714-43)*MAX('Inputs'!$B$33,'Inputs'!$B$29+'Inputs'!$B$31+'Inputs'!$B$32,'Inputs'!$B$30+'Inputs'!$B$31+'Inputs'!$B$32)/1000+'Inputs'!$B$21))^2+('Inputs'!$B$8/2)^2)))-'Results'!B7*(1+'Inputs'!$B$24)*(0.5*((((714-43)*MAX('Inputs'!$B$33,'Inputs'!$B$29+'Inputs'!$B$31+'Inputs'!$B$32,'Inputs'!$B$30+'Inputs'!$B$31+'Inputs'!$B$32)/1000+'Inputs'!$B$21+'Inputs'!$B$9+'Inputs'!$B$10)+'Inputs'!$B$7)/SQRT((((714-43)*MAX('Inputs'!$B$33,'Inputs'!$B$29+'Inputs'!$B$31+'Inputs'!$B$32,'Inputs'!$B$30+'Inputs'!$B$31+'Inputs'!$B$32)/1000+'Inputs'!$B$21+'Inputs'!$B$9+'Inputs'!$B$10)+'Inputs'!$B$7)^2+('Inputs'!$B$6/2)^2)-(((714-43)*MAX('Inputs'!$B$33,'Inputs'!$B$29+'Inputs'!$B$31+'Inputs'!$B$32,'Inputs'!$B$30+'Inputs'!$B$31+'Inputs'!$B$32)/1000+'Inputs'!$B$21+'Inputs'!$B$9+'Inputs'!$B$10))/SQRT((((714-43)*MAX('Inputs'!$B$33,'Inputs'!$B$29+'Inputs'!$B$31+'Inputs'!$B$32,'Inputs'!$B$30+'Inputs'!$B$31+'Inputs'!$B$32)/1000+'Inputs'!$B$21+'Inputs'!$B$9+'Inputs'!$B$10))^2+('Inputs'!$B$6/2)^2))))*'Results'!$B$8)-'Inputs'!$B$28*ABS((('Results'!C7*(1-'Inputs'!$B$24)*(0.5*((((714-43)*MAX('Inputs'!$B$33,'Inputs'!$B$29+'Inputs'!$B$31+'Inputs'!$B$32,'Inputs'!$B$30+'Inputs'!$B$31+'Inputs'!$B$32)/1000+'Inputs'!$B$21)+'Inputs'!$B$9)/SQRT((((714-43)*MAX('Inputs'!$B$33,'Inputs'!$B$29+'Inputs'!$B$31+'Inputs'!$B$32,'Inputs'!$B$30+'Inputs'!$B$31+'Inputs'!$B$32)/1000+'Inputs'!$B$21)+'Inputs'!$B$9)^2+('Inputs'!$B$8/2)^2)-(((714-43)*MAX('Inputs'!$B$33,'Inputs'!$B$29+'Inputs'!$B$31+'Inputs'!$B$32,'Inputs'!$B$30+'Inputs'!$B$31+'Inputs'!$B$32)/1000+'Inputs'!$B$21))/SQRT((((714-43)*MAX('Inputs'!$B$33,'Inputs'!$B$29+'Inputs'!$B$31+'Inputs'!$B$32,'Inputs'!$B$30+'Inputs'!$B$31+'Inputs'!$B$32)/1000+'Inputs'!$B$21))^2+('Inputs'!$B$8/2)^2)))-'Results'!B7*(1+'Inputs'!$B$24)*(0.5*((((714-43)*MAX('Inputs'!$B$33,'Inputs'!$B$29+'Inputs'!$B$31+'Inputs'!$B$32,'Inputs'!$B$30+'Inputs'!$B$31+'Inputs'!$B$32)/1000+'Inputs'!$B$21+'Inputs'!$B$9+'Inputs'!$B$10)+'Inputs'!$B$7)/SQRT((((714-43)*MAX('Inputs'!$B$33,'Inputs'!$B$29+'Inputs'!$B$31+'Inputs'!$B$32,'Inputs'!$B$30+'Inputs'!$B$31+'Inputs'!$B$32)/1000+'Inputs'!$B$21+'Inputs'!$B$9+'Inputs'!$B$10)+'Inputs'!$B$7)^2+('Inputs'!$B$6/2)^2)-(((714-43)*MAX('Inputs'!$B$33,'Inputs'!$B$29+'Inputs'!$B$31+'Inputs'!$B$32,'Inputs'!$B$30+'Inputs'!$B$31+'Inputs'!$B$32)/1000+'Inputs'!$B$21+'Inputs'!$B$9+'Inputs'!$B$10))/SQRT((((714-43)*MAX('Inputs'!$B$33,'Inputs'!$B$29+'Inputs'!$B$31+'Inputs'!$B$32,'Inputs'!$B$30+'Inputs'!$B$31+'Inputs'!$B$32)/1000+'Inputs'!$B$21+'Inputs'!$B$9+'Inputs'!$B$10))^2+('Inputs'!$B$6/2)^2))))*'Results'!$B$8))),"")</x:f>
        <x:v>1.1820249859941914</x:v>
      </x:c>
      <x:c r="O714" t="n">
        <x:f>IF(AND(ISNUMBER('Results'!C7),ISNUMBER('Results'!B7),ISNUMBER('Results'!$B$8),ISNUMBER('Inputs'!$B$6),ISNUMBER('Inputs'!$B$7),ISNUMBER('Inputs'!$B$8),ISNUMBER('Inputs'!$B$9),ISNUMBER('Inputs'!$B$10),ISNUMBER('Inputs'!$B$21),ISNUMBER('Inputs'!$B$24),ISNUMBER('Inputs'!$B$28)),((('Results'!C7*(1+'Inputs'!$B$24)*(0.5*((((714-43)*MAX('Inputs'!$B$33,'Inputs'!$B$29+'Inputs'!$B$31+'Inputs'!$B$32,'Inputs'!$B$30+'Inputs'!$B$31+'Inputs'!$B$32)/1000+'Inputs'!$B$21)+'Inputs'!$B$9)/SQRT((((714-43)*MAX('Inputs'!$B$33,'Inputs'!$B$29+'Inputs'!$B$31+'Inputs'!$B$32,'Inputs'!$B$30+'Inputs'!$B$31+'Inputs'!$B$32)/1000+'Inputs'!$B$21)+'Inputs'!$B$9)^2+('Inputs'!$B$8/2)^2)-(((714-43)*MAX('Inputs'!$B$33,'Inputs'!$B$29+'Inputs'!$B$31+'Inputs'!$B$32,'Inputs'!$B$30+'Inputs'!$B$31+'Inputs'!$B$32)/1000+'Inputs'!$B$21))/SQRT((((714-43)*MAX('Inputs'!$B$33,'Inputs'!$B$29+'Inputs'!$B$31+'Inputs'!$B$32,'Inputs'!$B$30+'Inputs'!$B$31+'Inputs'!$B$32)/1000+'Inputs'!$B$21))^2+('Inputs'!$B$8/2)^2)))-'Results'!B7*(1-'Inputs'!$B$24)*(0.5*((((714-43)*MAX('Inputs'!$B$33,'Inputs'!$B$29+'Inputs'!$B$31+'Inputs'!$B$32,'Inputs'!$B$30+'Inputs'!$B$31+'Inputs'!$B$32)/1000+'Inputs'!$B$21+'Inputs'!$B$9+'Inputs'!$B$10)+'Inputs'!$B$7)/SQRT((((714-43)*MAX('Inputs'!$B$33,'Inputs'!$B$29+'Inputs'!$B$31+'Inputs'!$B$32,'Inputs'!$B$30+'Inputs'!$B$31+'Inputs'!$B$32)/1000+'Inputs'!$B$21+'Inputs'!$B$9+'Inputs'!$B$10)+'Inputs'!$B$7)^2+('Inputs'!$B$6/2)^2)-(((714-43)*MAX('Inputs'!$B$33,'Inputs'!$B$29+'Inputs'!$B$31+'Inputs'!$B$32,'Inputs'!$B$30+'Inputs'!$B$31+'Inputs'!$B$32)/1000+'Inputs'!$B$21+'Inputs'!$B$9+'Inputs'!$B$10))/SQRT((((714-43)*MAX('Inputs'!$B$33,'Inputs'!$B$29+'Inputs'!$B$31+'Inputs'!$B$32,'Inputs'!$B$30+'Inputs'!$B$31+'Inputs'!$B$32)/1000+'Inputs'!$B$21+'Inputs'!$B$9+'Inputs'!$B$10))^2+('Inputs'!$B$6/2)^2))))*'Results'!$B$8)+'Inputs'!$B$28*ABS((('Results'!C7*(1+'Inputs'!$B$24)*(0.5*((((714-43)*MAX('Inputs'!$B$33,'Inputs'!$B$29+'Inputs'!$B$31+'Inputs'!$B$32,'Inputs'!$B$30+'Inputs'!$B$31+'Inputs'!$B$32)/1000+'Inputs'!$B$21)+'Inputs'!$B$9)/SQRT((((714-43)*MAX('Inputs'!$B$33,'Inputs'!$B$29+'Inputs'!$B$31+'Inputs'!$B$32,'Inputs'!$B$30+'Inputs'!$B$31+'Inputs'!$B$32)/1000+'Inputs'!$B$21)+'Inputs'!$B$9)^2+('Inputs'!$B$8/2)^2)-(((714-43)*MAX('Inputs'!$B$33,'Inputs'!$B$29+'Inputs'!$B$31+'Inputs'!$B$32,'Inputs'!$B$30+'Inputs'!$B$31+'Inputs'!$B$32)/1000+'Inputs'!$B$21))/SQRT((((714-43)*MAX('Inputs'!$B$33,'Inputs'!$B$29+'Inputs'!$B$31+'Inputs'!$B$32,'Inputs'!$B$30+'Inputs'!$B$31+'Inputs'!$B$32)/1000+'Inputs'!$B$21))^2+('Inputs'!$B$8/2)^2)))-'Results'!B7*(1-'Inputs'!$B$24)*(0.5*((((714-43)*MAX('Inputs'!$B$33,'Inputs'!$B$29+'Inputs'!$B$31+'Inputs'!$B$32,'Inputs'!$B$30+'Inputs'!$B$31+'Inputs'!$B$32)/1000+'Inputs'!$B$21+'Inputs'!$B$9+'Inputs'!$B$10)+'Inputs'!$B$7)/SQRT((((714-43)*MAX('Inputs'!$B$33,'Inputs'!$B$29+'Inputs'!$B$31+'Inputs'!$B$32,'Inputs'!$B$30+'Inputs'!$B$31+'Inputs'!$B$32)/1000+'Inputs'!$B$21+'Inputs'!$B$9+'Inputs'!$B$10)+'Inputs'!$B$7)^2+('Inputs'!$B$6/2)^2)-(((714-43)*MAX('Inputs'!$B$33,'Inputs'!$B$29+'Inputs'!$B$31+'Inputs'!$B$32,'Inputs'!$B$30+'Inputs'!$B$31+'Inputs'!$B$32)/1000+'Inputs'!$B$21+'Inputs'!$B$9+'Inputs'!$B$10))/SQRT((((714-43)*MAX('Inputs'!$B$33,'Inputs'!$B$29+'Inputs'!$B$31+'Inputs'!$B$32,'Inputs'!$B$30+'Inputs'!$B$31+'Inputs'!$B$32)/1000+'Inputs'!$B$21+'Inputs'!$B$9+'Inputs'!$B$10))^2+('Inputs'!$B$6/2)^2))))*'Results'!$B$8))),"")</x:f>
        <x:v>1.5751059952554805</x:v>
      </x:c>
      <x:c r="P714" t="n">
        <x:f>IF(AND(MAX(J714,J713)&gt;0,J714&gt;J713+0.00000001),1,0)</x:f>
        <x:v>0</x:v>
      </x:c>
      <x:c r="Q714" t="n">
        <x:f>IF(AND(MAX(K714,K713)&gt;0,K714&gt;K713+0.00000001),1,0)</x:f>
        <x:v>0</x:v>
      </x:c>
      <x:c r="R714" t="n">
        <x:f>IF(AND(MAX(L714,L713)&gt;0,L714&gt;L713+0.00000001),1,0)</x:f>
        <x:v>0</x:v>
      </x:c>
      <x:c r="S714" t="n">
        <x:f>IF(AND(MAX(M714,M713)&gt;0,M714&gt;M713+0.00000001),1,0)</x:f>
        <x:v>0</x:v>
      </x:c>
      <x:c r="T714" t="n">
        <x:f>IF(AND(MAX(N714,N713)&gt;0,N714&gt;N713+0.00000001),1,0)</x:f>
        <x:v>0</x:v>
      </x:c>
      <x:c r="U714" t="n">
        <x:f>IF(AND(MAX(O714,O713)&gt;0,O714&gt;O713+0.00000001),1,0)</x:f>
        <x:v>0</x:v>
      </x:c>
    </x:row>
    <x:row r="715">
      <x:c r="J715" t="n">
        <x:f>IF(AND(ISNUMBER('Results'!B7),ISNUMBER('Results'!C7),ISNUMBER('Results'!$B$8),ISNUMBER('Inputs'!$B$6),ISNUMBER('Inputs'!$B$7),ISNUMBER('Inputs'!$B$8),ISNUMBER('Inputs'!$B$9),ISNUMBER('Inputs'!$B$10),ISNUMBER('Inputs'!$B$21),ISNUMBER('Inputs'!$B$24),ISNUMBER('Inputs'!$B$28)),(('Results'!B7*(0.5*((((715-43)*MAX('Inputs'!$B$33,'Inputs'!$B$29+'Inputs'!$B$31+'Inputs'!$B$32,'Inputs'!$B$30+'Inputs'!$B$31+'Inputs'!$B$32)/1000+'Inputs'!$B$21)+'Inputs'!$B$7)/SQRT((((715-43)*MAX('Inputs'!$B$33,'Inputs'!$B$29+'Inputs'!$B$31+'Inputs'!$B$32,'Inputs'!$B$30+'Inputs'!$B$31+'Inputs'!$B$32)/1000+'Inputs'!$B$21)+'Inputs'!$B$7)^2+('Inputs'!$B$6/2)^2)-(((715-43)*MAX('Inputs'!$B$33,'Inputs'!$B$29+'Inputs'!$B$31+'Inputs'!$B$32,'Inputs'!$B$30+'Inputs'!$B$31+'Inputs'!$B$32)/1000+'Inputs'!$B$21))/SQRT((((715-43)*MAX('Inputs'!$B$33,'Inputs'!$B$29+'Inputs'!$B$31+'Inputs'!$B$32,'Inputs'!$B$30+'Inputs'!$B$31+'Inputs'!$B$32)/1000+'Inputs'!$B$21))^2+('Inputs'!$B$6/2)^2)))-'Results'!C7*(0.5*((((715-43)*MAX('Inputs'!$B$33,'Inputs'!$B$29+'Inputs'!$B$31+'Inputs'!$B$32,'Inputs'!$B$30+'Inputs'!$B$31+'Inputs'!$B$32)/1000+'Inputs'!$B$21+'Inputs'!$B$7+'Inputs'!$B$10)+'Inputs'!$B$9)/SQRT((((715-43)*MAX('Inputs'!$B$33,'Inputs'!$B$29+'Inputs'!$B$31+'Inputs'!$B$32,'Inputs'!$B$30+'Inputs'!$B$31+'Inputs'!$B$32)/1000+'Inputs'!$B$21+'Inputs'!$B$7+'Inputs'!$B$10)+'Inputs'!$B$9)^2+('Inputs'!$B$8/2)^2)-(((715-43)*MAX('Inputs'!$B$33,'Inputs'!$B$29+'Inputs'!$B$31+'Inputs'!$B$32,'Inputs'!$B$30+'Inputs'!$B$31+'Inputs'!$B$32)/1000+'Inputs'!$B$21+'Inputs'!$B$7+'Inputs'!$B$10))/SQRT((((715-43)*MAX('Inputs'!$B$33,'Inputs'!$B$29+'Inputs'!$B$31+'Inputs'!$B$32,'Inputs'!$B$30+'Inputs'!$B$31+'Inputs'!$B$32)/1000+'Inputs'!$B$21+'Inputs'!$B$7+'Inputs'!$B$10))^2+('Inputs'!$B$8/2)^2))))*'Results'!$B$8),"")</x:f>
        <x:v>1.4937946072058679</x:v>
      </x:c>
      <x:c r="K715" t="n">
        <x:f>IF(AND(ISNUMBER('Results'!B7),ISNUMBER('Results'!C7),ISNUMBER('Results'!$B$8),ISNUMBER('Inputs'!$B$6),ISNUMBER('Inputs'!$B$7),ISNUMBER('Inputs'!$B$8),ISNUMBER('Inputs'!$B$9),ISNUMBER('Inputs'!$B$10),ISNUMBER('Inputs'!$B$21),ISNUMBER('Inputs'!$B$24),ISNUMBER('Inputs'!$B$28)),((('Results'!B7*(1-'Inputs'!$B$24)*(0.5*((((715-43)*MAX('Inputs'!$B$33,'Inputs'!$B$29+'Inputs'!$B$31+'Inputs'!$B$32,'Inputs'!$B$30+'Inputs'!$B$31+'Inputs'!$B$32)/1000+'Inputs'!$B$21)+'Inputs'!$B$7)/SQRT((((715-43)*MAX('Inputs'!$B$33,'Inputs'!$B$29+'Inputs'!$B$31+'Inputs'!$B$32,'Inputs'!$B$30+'Inputs'!$B$31+'Inputs'!$B$32)/1000+'Inputs'!$B$21)+'Inputs'!$B$7)^2+('Inputs'!$B$6/2)^2)-(((715-43)*MAX('Inputs'!$B$33,'Inputs'!$B$29+'Inputs'!$B$31+'Inputs'!$B$32,'Inputs'!$B$30+'Inputs'!$B$31+'Inputs'!$B$32)/1000+'Inputs'!$B$21))/SQRT((((715-43)*MAX('Inputs'!$B$33,'Inputs'!$B$29+'Inputs'!$B$31+'Inputs'!$B$32,'Inputs'!$B$30+'Inputs'!$B$31+'Inputs'!$B$32)/1000+'Inputs'!$B$21))^2+('Inputs'!$B$6/2)^2)))-'Results'!C7*(1+'Inputs'!$B$24)*(0.5*((((715-43)*MAX('Inputs'!$B$33,'Inputs'!$B$29+'Inputs'!$B$31+'Inputs'!$B$32,'Inputs'!$B$30+'Inputs'!$B$31+'Inputs'!$B$32)/1000+'Inputs'!$B$21+'Inputs'!$B$7+'Inputs'!$B$10)+'Inputs'!$B$9)/SQRT((((715-43)*MAX('Inputs'!$B$33,'Inputs'!$B$29+'Inputs'!$B$31+'Inputs'!$B$32,'Inputs'!$B$30+'Inputs'!$B$31+'Inputs'!$B$32)/1000+'Inputs'!$B$21+'Inputs'!$B$7+'Inputs'!$B$10)+'Inputs'!$B$9)^2+('Inputs'!$B$8/2)^2)-(((715-43)*MAX('Inputs'!$B$33,'Inputs'!$B$29+'Inputs'!$B$31+'Inputs'!$B$32,'Inputs'!$B$30+'Inputs'!$B$31+'Inputs'!$B$32)/1000+'Inputs'!$B$21+'Inputs'!$B$7+'Inputs'!$B$10))/SQRT((((715-43)*MAX('Inputs'!$B$33,'Inputs'!$B$29+'Inputs'!$B$31+'Inputs'!$B$32,'Inputs'!$B$30+'Inputs'!$B$31+'Inputs'!$B$32)/1000+'Inputs'!$B$21+'Inputs'!$B$7+'Inputs'!$B$10))^2+('Inputs'!$B$8/2)^2))))*'Results'!$B$8)-'Inputs'!$B$28*ABS((('Results'!B7*(1-'Inputs'!$B$24)*(0.5*((((715-43)*MAX('Inputs'!$B$33,'Inputs'!$B$29+'Inputs'!$B$31+'Inputs'!$B$32,'Inputs'!$B$30+'Inputs'!$B$31+'Inputs'!$B$32)/1000+'Inputs'!$B$21)+'Inputs'!$B$7)/SQRT((((715-43)*MAX('Inputs'!$B$33,'Inputs'!$B$29+'Inputs'!$B$31+'Inputs'!$B$32,'Inputs'!$B$30+'Inputs'!$B$31+'Inputs'!$B$32)/1000+'Inputs'!$B$21)+'Inputs'!$B$7)^2+('Inputs'!$B$6/2)^2)-(((715-43)*MAX('Inputs'!$B$33,'Inputs'!$B$29+'Inputs'!$B$31+'Inputs'!$B$32,'Inputs'!$B$30+'Inputs'!$B$31+'Inputs'!$B$32)/1000+'Inputs'!$B$21))/SQRT((((715-43)*MAX('Inputs'!$B$33,'Inputs'!$B$29+'Inputs'!$B$31+'Inputs'!$B$32,'Inputs'!$B$30+'Inputs'!$B$31+'Inputs'!$B$32)/1000+'Inputs'!$B$21))^2+('Inputs'!$B$6/2)^2)))-'Results'!C7*(1+'Inputs'!$B$24)*(0.5*((((715-43)*MAX('Inputs'!$B$33,'Inputs'!$B$29+'Inputs'!$B$31+'Inputs'!$B$32,'Inputs'!$B$30+'Inputs'!$B$31+'Inputs'!$B$32)/1000+'Inputs'!$B$21+'Inputs'!$B$7+'Inputs'!$B$10)+'Inputs'!$B$9)/SQRT((((715-43)*MAX('Inputs'!$B$33,'Inputs'!$B$29+'Inputs'!$B$31+'Inputs'!$B$32,'Inputs'!$B$30+'Inputs'!$B$31+'Inputs'!$B$32)/1000+'Inputs'!$B$21+'Inputs'!$B$7+'Inputs'!$B$10)+'Inputs'!$B$9)^2+('Inputs'!$B$8/2)^2)-(((715-43)*MAX('Inputs'!$B$33,'Inputs'!$B$29+'Inputs'!$B$31+'Inputs'!$B$32,'Inputs'!$B$30+'Inputs'!$B$31+'Inputs'!$B$32)/1000+'Inputs'!$B$21+'Inputs'!$B$7+'Inputs'!$B$10))/SQRT((((715-43)*MAX('Inputs'!$B$33,'Inputs'!$B$29+'Inputs'!$B$31+'Inputs'!$B$32,'Inputs'!$B$30+'Inputs'!$B$31+'Inputs'!$B$32)/1000+'Inputs'!$B$21+'Inputs'!$B$7+'Inputs'!$B$10))^2+('Inputs'!$B$8/2)^2))))*'Results'!$B$8))),"")</x:f>
        <x:v>1.2975123113029166</x:v>
      </x:c>
      <x:c r="L715" t="n">
        <x:f>IF(AND(ISNUMBER('Results'!B7),ISNUMBER('Results'!C7),ISNUMBER('Results'!$B$8),ISNUMBER('Inputs'!$B$6),ISNUMBER('Inputs'!$B$7),ISNUMBER('Inputs'!$B$8),ISNUMBER('Inputs'!$B$9),ISNUMBER('Inputs'!$B$10),ISNUMBER('Inputs'!$B$21),ISNUMBER('Inputs'!$B$24),ISNUMBER('Inputs'!$B$28)),((('Results'!B7*(1+'Inputs'!$B$24)*(0.5*((((715-43)*MAX('Inputs'!$B$33,'Inputs'!$B$29+'Inputs'!$B$31+'Inputs'!$B$32,'Inputs'!$B$30+'Inputs'!$B$31+'Inputs'!$B$32)/1000+'Inputs'!$B$21)+'Inputs'!$B$7)/SQRT((((715-43)*MAX('Inputs'!$B$33,'Inputs'!$B$29+'Inputs'!$B$31+'Inputs'!$B$32,'Inputs'!$B$30+'Inputs'!$B$31+'Inputs'!$B$32)/1000+'Inputs'!$B$21)+'Inputs'!$B$7)^2+('Inputs'!$B$6/2)^2)-(((715-43)*MAX('Inputs'!$B$33,'Inputs'!$B$29+'Inputs'!$B$31+'Inputs'!$B$32,'Inputs'!$B$30+'Inputs'!$B$31+'Inputs'!$B$32)/1000+'Inputs'!$B$21))/SQRT((((715-43)*MAX('Inputs'!$B$33,'Inputs'!$B$29+'Inputs'!$B$31+'Inputs'!$B$32,'Inputs'!$B$30+'Inputs'!$B$31+'Inputs'!$B$32)/1000+'Inputs'!$B$21))^2+('Inputs'!$B$6/2)^2)))-'Results'!C7*(1-'Inputs'!$B$24)*(0.5*((((715-43)*MAX('Inputs'!$B$33,'Inputs'!$B$29+'Inputs'!$B$31+'Inputs'!$B$32,'Inputs'!$B$30+'Inputs'!$B$31+'Inputs'!$B$32)/1000+'Inputs'!$B$21+'Inputs'!$B$7+'Inputs'!$B$10)+'Inputs'!$B$9)/SQRT((((715-43)*MAX('Inputs'!$B$33,'Inputs'!$B$29+'Inputs'!$B$31+'Inputs'!$B$32,'Inputs'!$B$30+'Inputs'!$B$31+'Inputs'!$B$32)/1000+'Inputs'!$B$21+'Inputs'!$B$7+'Inputs'!$B$10)+'Inputs'!$B$9)^2+('Inputs'!$B$8/2)^2)-(((715-43)*MAX('Inputs'!$B$33,'Inputs'!$B$29+'Inputs'!$B$31+'Inputs'!$B$32,'Inputs'!$B$30+'Inputs'!$B$31+'Inputs'!$B$32)/1000+'Inputs'!$B$21+'Inputs'!$B$7+'Inputs'!$B$10))/SQRT((((715-43)*MAX('Inputs'!$B$33,'Inputs'!$B$29+'Inputs'!$B$31+'Inputs'!$B$32,'Inputs'!$B$30+'Inputs'!$B$31+'Inputs'!$B$32)/1000+'Inputs'!$B$21+'Inputs'!$B$7+'Inputs'!$B$10))^2+('Inputs'!$B$8/2)^2))))*'Results'!$B$8)+'Inputs'!$B$28*ABS((('Results'!B7*(1+'Inputs'!$B$24)*(0.5*((((715-43)*MAX('Inputs'!$B$33,'Inputs'!$B$29+'Inputs'!$B$31+'Inputs'!$B$32,'Inputs'!$B$30+'Inputs'!$B$31+'Inputs'!$B$32)/1000+'Inputs'!$B$21)+'Inputs'!$B$7)/SQRT((((715-43)*MAX('Inputs'!$B$33,'Inputs'!$B$29+'Inputs'!$B$31+'Inputs'!$B$32,'Inputs'!$B$30+'Inputs'!$B$31+'Inputs'!$B$32)/1000+'Inputs'!$B$21)+'Inputs'!$B$7)^2+('Inputs'!$B$6/2)^2)-(((715-43)*MAX('Inputs'!$B$33,'Inputs'!$B$29+'Inputs'!$B$31+'Inputs'!$B$32,'Inputs'!$B$30+'Inputs'!$B$31+'Inputs'!$B$32)/1000+'Inputs'!$B$21))/SQRT((((715-43)*MAX('Inputs'!$B$33,'Inputs'!$B$29+'Inputs'!$B$31+'Inputs'!$B$32,'Inputs'!$B$30+'Inputs'!$B$31+'Inputs'!$B$32)/1000+'Inputs'!$B$21))^2+('Inputs'!$B$6/2)^2)))-'Results'!C7*(1-'Inputs'!$B$24)*(0.5*((((715-43)*MAX('Inputs'!$B$33,'Inputs'!$B$29+'Inputs'!$B$31+'Inputs'!$B$32,'Inputs'!$B$30+'Inputs'!$B$31+'Inputs'!$B$32)/1000+'Inputs'!$B$21+'Inputs'!$B$7+'Inputs'!$B$10)+'Inputs'!$B$9)/SQRT((((715-43)*MAX('Inputs'!$B$33,'Inputs'!$B$29+'Inputs'!$B$31+'Inputs'!$B$32,'Inputs'!$B$30+'Inputs'!$B$31+'Inputs'!$B$32)/1000+'Inputs'!$B$21+'Inputs'!$B$7+'Inputs'!$B$10)+'Inputs'!$B$9)^2+('Inputs'!$B$8/2)^2)-(((715-43)*MAX('Inputs'!$B$33,'Inputs'!$B$29+'Inputs'!$B$31+'Inputs'!$B$32,'Inputs'!$B$30+'Inputs'!$B$31+'Inputs'!$B$32)/1000+'Inputs'!$B$21+'Inputs'!$B$7+'Inputs'!$B$10))/SQRT((((715-43)*MAX('Inputs'!$B$33,'Inputs'!$B$29+'Inputs'!$B$31+'Inputs'!$B$32,'Inputs'!$B$30+'Inputs'!$B$31+'Inputs'!$B$32)/1000+'Inputs'!$B$21+'Inputs'!$B$7+'Inputs'!$B$10))^2+('Inputs'!$B$8/2)^2))))*'Results'!$B$8))),"")</x:f>
        <x:v>1.7028761205343614</x:v>
      </x:c>
      <x:c r="M715" t="n">
        <x:f>IF(AND(ISNUMBER('Results'!C7),ISNUMBER('Results'!B7),ISNUMBER('Results'!$B$8),ISNUMBER('Inputs'!$B$6),ISNUMBER('Inputs'!$B$7),ISNUMBER('Inputs'!$B$8),ISNUMBER('Inputs'!$B$9),ISNUMBER('Inputs'!$B$10),ISNUMBER('Inputs'!$B$21),ISNUMBER('Inputs'!$B$24),ISNUMBER('Inputs'!$B$28)),(('Results'!C7*(0.5*((((715-43)*MAX('Inputs'!$B$33,'Inputs'!$B$29+'Inputs'!$B$31+'Inputs'!$B$32,'Inputs'!$B$30+'Inputs'!$B$31+'Inputs'!$B$32)/1000+'Inputs'!$B$21)+'Inputs'!$B$9)/SQRT((((715-43)*MAX('Inputs'!$B$33,'Inputs'!$B$29+'Inputs'!$B$31+'Inputs'!$B$32,'Inputs'!$B$30+'Inputs'!$B$31+'Inputs'!$B$32)/1000+'Inputs'!$B$21)+'Inputs'!$B$9)^2+('Inputs'!$B$8/2)^2)-(((715-43)*MAX('Inputs'!$B$33,'Inputs'!$B$29+'Inputs'!$B$31+'Inputs'!$B$32,'Inputs'!$B$30+'Inputs'!$B$31+'Inputs'!$B$32)/1000+'Inputs'!$B$21))/SQRT((((715-43)*MAX('Inputs'!$B$33,'Inputs'!$B$29+'Inputs'!$B$31+'Inputs'!$B$32,'Inputs'!$B$30+'Inputs'!$B$31+'Inputs'!$B$32)/1000+'Inputs'!$B$21))^2+('Inputs'!$B$8/2)^2)))-'Results'!B7*(0.5*((((715-43)*MAX('Inputs'!$B$33,'Inputs'!$B$29+'Inputs'!$B$31+'Inputs'!$B$32,'Inputs'!$B$30+'Inputs'!$B$31+'Inputs'!$B$32)/1000+'Inputs'!$B$21+'Inputs'!$B$9+'Inputs'!$B$10)+'Inputs'!$B$7)/SQRT((((715-43)*MAX('Inputs'!$B$33,'Inputs'!$B$29+'Inputs'!$B$31+'Inputs'!$B$32,'Inputs'!$B$30+'Inputs'!$B$31+'Inputs'!$B$32)/1000+'Inputs'!$B$21+'Inputs'!$B$9+'Inputs'!$B$10)+'Inputs'!$B$7)^2+('Inputs'!$B$6/2)^2)-(((715-43)*MAX('Inputs'!$B$33,'Inputs'!$B$29+'Inputs'!$B$31+'Inputs'!$B$32,'Inputs'!$B$30+'Inputs'!$B$31+'Inputs'!$B$32)/1000+'Inputs'!$B$21+'Inputs'!$B$9+'Inputs'!$B$10))/SQRT((((715-43)*MAX('Inputs'!$B$33,'Inputs'!$B$29+'Inputs'!$B$31+'Inputs'!$B$32,'Inputs'!$B$30+'Inputs'!$B$31+'Inputs'!$B$32)/1000+'Inputs'!$B$21+'Inputs'!$B$9+'Inputs'!$B$10))^2+('Inputs'!$B$6/2)^2))))*'Results'!$B$8),"")</x:f>
        <x:v>1.3648012463982824</x:v>
      </x:c>
      <x:c r="N715" t="n">
        <x:f>IF(AND(ISNUMBER('Results'!C7),ISNUMBER('Results'!B7),ISNUMBER('Results'!$B$8),ISNUMBER('Inputs'!$B$6),ISNUMBER('Inputs'!$B$7),ISNUMBER('Inputs'!$B$8),ISNUMBER('Inputs'!$B$9),ISNUMBER('Inputs'!$B$10),ISNUMBER('Inputs'!$B$21),ISNUMBER('Inputs'!$B$24),ISNUMBER('Inputs'!$B$28)),((('Results'!C7*(1-'Inputs'!$B$24)*(0.5*((((715-43)*MAX('Inputs'!$B$33,'Inputs'!$B$29+'Inputs'!$B$31+'Inputs'!$B$32,'Inputs'!$B$30+'Inputs'!$B$31+'Inputs'!$B$32)/1000+'Inputs'!$B$21)+'Inputs'!$B$9)/SQRT((((715-43)*MAX('Inputs'!$B$33,'Inputs'!$B$29+'Inputs'!$B$31+'Inputs'!$B$32,'Inputs'!$B$30+'Inputs'!$B$31+'Inputs'!$B$32)/1000+'Inputs'!$B$21)+'Inputs'!$B$9)^2+('Inputs'!$B$8/2)^2)-(((715-43)*MAX('Inputs'!$B$33,'Inputs'!$B$29+'Inputs'!$B$31+'Inputs'!$B$32,'Inputs'!$B$30+'Inputs'!$B$31+'Inputs'!$B$32)/1000+'Inputs'!$B$21))/SQRT((((715-43)*MAX('Inputs'!$B$33,'Inputs'!$B$29+'Inputs'!$B$31+'Inputs'!$B$32,'Inputs'!$B$30+'Inputs'!$B$31+'Inputs'!$B$32)/1000+'Inputs'!$B$21))^2+('Inputs'!$B$8/2)^2)))-'Results'!B7*(1+'Inputs'!$B$24)*(0.5*((((715-43)*MAX('Inputs'!$B$33,'Inputs'!$B$29+'Inputs'!$B$31+'Inputs'!$B$32,'Inputs'!$B$30+'Inputs'!$B$31+'Inputs'!$B$32)/1000+'Inputs'!$B$21+'Inputs'!$B$9+'Inputs'!$B$10)+'Inputs'!$B$7)/SQRT((((715-43)*MAX('Inputs'!$B$33,'Inputs'!$B$29+'Inputs'!$B$31+'Inputs'!$B$32,'Inputs'!$B$30+'Inputs'!$B$31+'Inputs'!$B$32)/1000+'Inputs'!$B$21+'Inputs'!$B$9+'Inputs'!$B$10)+'Inputs'!$B$7)^2+('Inputs'!$B$6/2)^2)-(((715-43)*MAX('Inputs'!$B$33,'Inputs'!$B$29+'Inputs'!$B$31+'Inputs'!$B$32,'Inputs'!$B$30+'Inputs'!$B$31+'Inputs'!$B$32)/1000+'Inputs'!$B$21+'Inputs'!$B$9+'Inputs'!$B$10))/SQRT((((715-43)*MAX('Inputs'!$B$33,'Inputs'!$B$29+'Inputs'!$B$31+'Inputs'!$B$32,'Inputs'!$B$30+'Inputs'!$B$31+'Inputs'!$B$32)/1000+'Inputs'!$B$21+'Inputs'!$B$9+'Inputs'!$B$10))^2+('Inputs'!$B$6/2)^2))))*'Results'!$B$8)-'Inputs'!$B$28*ABS((('Results'!C7*(1-'Inputs'!$B$24)*(0.5*((((715-43)*MAX('Inputs'!$B$33,'Inputs'!$B$29+'Inputs'!$B$31+'Inputs'!$B$32,'Inputs'!$B$30+'Inputs'!$B$31+'Inputs'!$B$32)/1000+'Inputs'!$B$21)+'Inputs'!$B$9)/SQRT((((715-43)*MAX('Inputs'!$B$33,'Inputs'!$B$29+'Inputs'!$B$31+'Inputs'!$B$32,'Inputs'!$B$30+'Inputs'!$B$31+'Inputs'!$B$32)/1000+'Inputs'!$B$21)+'Inputs'!$B$9)^2+('Inputs'!$B$8/2)^2)-(((715-43)*MAX('Inputs'!$B$33,'Inputs'!$B$29+'Inputs'!$B$31+'Inputs'!$B$32,'Inputs'!$B$30+'Inputs'!$B$31+'Inputs'!$B$32)/1000+'Inputs'!$B$21))/SQRT((((715-43)*MAX('Inputs'!$B$33,'Inputs'!$B$29+'Inputs'!$B$31+'Inputs'!$B$32,'Inputs'!$B$30+'Inputs'!$B$31+'Inputs'!$B$32)/1000+'Inputs'!$B$21))^2+('Inputs'!$B$8/2)^2)))-'Results'!B7*(1+'Inputs'!$B$24)*(0.5*((((715-43)*MAX('Inputs'!$B$33,'Inputs'!$B$29+'Inputs'!$B$31+'Inputs'!$B$32,'Inputs'!$B$30+'Inputs'!$B$31+'Inputs'!$B$32)/1000+'Inputs'!$B$21+'Inputs'!$B$9+'Inputs'!$B$10)+'Inputs'!$B$7)/SQRT((((715-43)*MAX('Inputs'!$B$33,'Inputs'!$B$29+'Inputs'!$B$31+'Inputs'!$B$32,'Inputs'!$B$30+'Inputs'!$B$31+'Inputs'!$B$32)/1000+'Inputs'!$B$21+'Inputs'!$B$9+'Inputs'!$B$10)+'Inputs'!$B$7)^2+('Inputs'!$B$6/2)^2)-(((715-43)*MAX('Inputs'!$B$33,'Inputs'!$B$29+'Inputs'!$B$31+'Inputs'!$B$32,'Inputs'!$B$30+'Inputs'!$B$31+'Inputs'!$B$32)/1000+'Inputs'!$B$21+'Inputs'!$B$9+'Inputs'!$B$10))/SQRT((((715-43)*MAX('Inputs'!$B$33,'Inputs'!$B$29+'Inputs'!$B$31+'Inputs'!$B$32,'Inputs'!$B$30+'Inputs'!$B$31+'Inputs'!$B$32)/1000+'Inputs'!$B$21+'Inputs'!$B$9+'Inputs'!$B$10))^2+('Inputs'!$B$6/2)^2))))*'Results'!$B$8))),"")</x:f>
        <x:v>1.1755172379419583</x:v>
      </x:c>
      <x:c r="O715" t="n">
        <x:f>IF(AND(ISNUMBER('Results'!C7),ISNUMBER('Results'!B7),ISNUMBER('Results'!$B$8),ISNUMBER('Inputs'!$B$6),ISNUMBER('Inputs'!$B$7),ISNUMBER('Inputs'!$B$8),ISNUMBER('Inputs'!$B$9),ISNUMBER('Inputs'!$B$10),ISNUMBER('Inputs'!$B$21),ISNUMBER('Inputs'!$B$24),ISNUMBER('Inputs'!$B$28)),((('Results'!C7*(1+'Inputs'!$B$24)*(0.5*((((715-43)*MAX('Inputs'!$B$33,'Inputs'!$B$29+'Inputs'!$B$31+'Inputs'!$B$32,'Inputs'!$B$30+'Inputs'!$B$31+'Inputs'!$B$32)/1000+'Inputs'!$B$21)+'Inputs'!$B$9)/SQRT((((715-43)*MAX('Inputs'!$B$33,'Inputs'!$B$29+'Inputs'!$B$31+'Inputs'!$B$32,'Inputs'!$B$30+'Inputs'!$B$31+'Inputs'!$B$32)/1000+'Inputs'!$B$21)+'Inputs'!$B$9)^2+('Inputs'!$B$8/2)^2)-(((715-43)*MAX('Inputs'!$B$33,'Inputs'!$B$29+'Inputs'!$B$31+'Inputs'!$B$32,'Inputs'!$B$30+'Inputs'!$B$31+'Inputs'!$B$32)/1000+'Inputs'!$B$21))/SQRT((((715-43)*MAX('Inputs'!$B$33,'Inputs'!$B$29+'Inputs'!$B$31+'Inputs'!$B$32,'Inputs'!$B$30+'Inputs'!$B$31+'Inputs'!$B$32)/1000+'Inputs'!$B$21))^2+('Inputs'!$B$8/2)^2)))-'Results'!B7*(1-'Inputs'!$B$24)*(0.5*((((715-43)*MAX('Inputs'!$B$33,'Inputs'!$B$29+'Inputs'!$B$31+'Inputs'!$B$32,'Inputs'!$B$30+'Inputs'!$B$31+'Inputs'!$B$32)/1000+'Inputs'!$B$21+'Inputs'!$B$9+'Inputs'!$B$10)+'Inputs'!$B$7)/SQRT((((715-43)*MAX('Inputs'!$B$33,'Inputs'!$B$29+'Inputs'!$B$31+'Inputs'!$B$32,'Inputs'!$B$30+'Inputs'!$B$31+'Inputs'!$B$32)/1000+'Inputs'!$B$21+'Inputs'!$B$9+'Inputs'!$B$10)+'Inputs'!$B$7)^2+('Inputs'!$B$6/2)^2)-(((715-43)*MAX('Inputs'!$B$33,'Inputs'!$B$29+'Inputs'!$B$31+'Inputs'!$B$32,'Inputs'!$B$30+'Inputs'!$B$31+'Inputs'!$B$32)/1000+'Inputs'!$B$21+'Inputs'!$B$9+'Inputs'!$B$10))/SQRT((((715-43)*MAX('Inputs'!$B$33,'Inputs'!$B$29+'Inputs'!$B$31+'Inputs'!$B$32,'Inputs'!$B$30+'Inputs'!$B$31+'Inputs'!$B$32)/1000+'Inputs'!$B$21+'Inputs'!$B$9+'Inputs'!$B$10))^2+('Inputs'!$B$6/2)^2))))*'Results'!$B$8)+'Inputs'!$B$28*ABS((('Results'!C7*(1+'Inputs'!$B$24)*(0.5*((((715-43)*MAX('Inputs'!$B$33,'Inputs'!$B$29+'Inputs'!$B$31+'Inputs'!$B$32,'Inputs'!$B$30+'Inputs'!$B$31+'Inputs'!$B$32)/1000+'Inputs'!$B$21)+'Inputs'!$B$9)/SQRT((((715-43)*MAX('Inputs'!$B$33,'Inputs'!$B$29+'Inputs'!$B$31+'Inputs'!$B$32,'Inputs'!$B$30+'Inputs'!$B$31+'Inputs'!$B$32)/1000+'Inputs'!$B$21)+'Inputs'!$B$9)^2+('Inputs'!$B$8/2)^2)-(((715-43)*MAX('Inputs'!$B$33,'Inputs'!$B$29+'Inputs'!$B$31+'Inputs'!$B$32,'Inputs'!$B$30+'Inputs'!$B$31+'Inputs'!$B$32)/1000+'Inputs'!$B$21))/SQRT((((715-43)*MAX('Inputs'!$B$33,'Inputs'!$B$29+'Inputs'!$B$31+'Inputs'!$B$32,'Inputs'!$B$30+'Inputs'!$B$31+'Inputs'!$B$32)/1000+'Inputs'!$B$21))^2+('Inputs'!$B$8/2)^2)))-'Results'!B7*(1-'Inputs'!$B$24)*(0.5*((((715-43)*MAX('Inputs'!$B$33,'Inputs'!$B$29+'Inputs'!$B$31+'Inputs'!$B$32,'Inputs'!$B$30+'Inputs'!$B$31+'Inputs'!$B$32)/1000+'Inputs'!$B$21+'Inputs'!$B$9+'Inputs'!$B$10)+'Inputs'!$B$7)/SQRT((((715-43)*MAX('Inputs'!$B$33,'Inputs'!$B$29+'Inputs'!$B$31+'Inputs'!$B$32,'Inputs'!$B$30+'Inputs'!$B$31+'Inputs'!$B$32)/1000+'Inputs'!$B$21+'Inputs'!$B$9+'Inputs'!$B$10)+'Inputs'!$B$7)^2+('Inputs'!$B$6/2)^2)-(((715-43)*MAX('Inputs'!$B$33,'Inputs'!$B$29+'Inputs'!$B$31+'Inputs'!$B$32,'Inputs'!$B$30+'Inputs'!$B$31+'Inputs'!$B$32)/1000+'Inputs'!$B$21+'Inputs'!$B$9+'Inputs'!$B$10))/SQRT((((715-43)*MAX('Inputs'!$B$33,'Inputs'!$B$29+'Inputs'!$B$31+'Inputs'!$B$32,'Inputs'!$B$30+'Inputs'!$B$31+'Inputs'!$B$32)/1000+'Inputs'!$B$21+'Inputs'!$B$9+'Inputs'!$B$10))^2+('Inputs'!$B$6/2)^2))))*'Results'!$B$8))),"")</x:f>
        <x:v>1.5668267228689663</x:v>
      </x:c>
      <x:c r="P715" t="n">
        <x:f>IF(AND(MAX(J715,J714)&gt;0,J715&gt;J714+0.00000001),1,0)</x:f>
        <x:v>0</x:v>
      </x:c>
      <x:c r="Q715" t="n">
        <x:f>IF(AND(MAX(K715,K714)&gt;0,K715&gt;K714+0.00000001),1,0)</x:f>
        <x:v>0</x:v>
      </x:c>
      <x:c r="R715" t="n">
        <x:f>IF(AND(MAX(L715,L714)&gt;0,L715&gt;L714+0.00000001),1,0)</x:f>
        <x:v>0</x:v>
      </x:c>
      <x:c r="S715" t="n">
        <x:f>IF(AND(MAX(M715,M714)&gt;0,M715&gt;M714+0.00000001),1,0)</x:f>
        <x:v>0</x:v>
      </x:c>
      <x:c r="T715" t="n">
        <x:f>IF(AND(MAX(N715,N714)&gt;0,N715&gt;N714+0.00000001),1,0)</x:f>
        <x:v>0</x:v>
      </x:c>
      <x:c r="U715" t="n">
        <x:f>IF(AND(MAX(O715,O714)&gt;0,O715&gt;O714+0.00000001),1,0)</x:f>
        <x:v>0</x:v>
      </x:c>
    </x:row>
    <x:row r="716">
      <x:c r="J716" t="n">
        <x:f>IF(AND(ISNUMBER('Results'!B7),ISNUMBER('Results'!C7),ISNUMBER('Results'!$B$8),ISNUMBER('Inputs'!$B$6),ISNUMBER('Inputs'!$B$7),ISNUMBER('Inputs'!$B$8),ISNUMBER('Inputs'!$B$9),ISNUMBER('Inputs'!$B$10),ISNUMBER('Inputs'!$B$21),ISNUMBER('Inputs'!$B$24),ISNUMBER('Inputs'!$B$28)),(('Results'!B7*(0.5*((((716-43)*MAX('Inputs'!$B$33,'Inputs'!$B$29+'Inputs'!$B$31+'Inputs'!$B$32,'Inputs'!$B$30+'Inputs'!$B$31+'Inputs'!$B$32)/1000+'Inputs'!$B$21)+'Inputs'!$B$7)/SQRT((((716-43)*MAX('Inputs'!$B$33,'Inputs'!$B$29+'Inputs'!$B$31+'Inputs'!$B$32,'Inputs'!$B$30+'Inputs'!$B$31+'Inputs'!$B$32)/1000+'Inputs'!$B$21)+'Inputs'!$B$7)^2+('Inputs'!$B$6/2)^2)-(((716-43)*MAX('Inputs'!$B$33,'Inputs'!$B$29+'Inputs'!$B$31+'Inputs'!$B$32,'Inputs'!$B$30+'Inputs'!$B$31+'Inputs'!$B$32)/1000+'Inputs'!$B$21))/SQRT((((716-43)*MAX('Inputs'!$B$33,'Inputs'!$B$29+'Inputs'!$B$31+'Inputs'!$B$32,'Inputs'!$B$30+'Inputs'!$B$31+'Inputs'!$B$32)/1000+'Inputs'!$B$21))^2+('Inputs'!$B$6/2)^2)))-'Results'!C7*(0.5*((((716-43)*MAX('Inputs'!$B$33,'Inputs'!$B$29+'Inputs'!$B$31+'Inputs'!$B$32,'Inputs'!$B$30+'Inputs'!$B$31+'Inputs'!$B$32)/1000+'Inputs'!$B$21+'Inputs'!$B$7+'Inputs'!$B$10)+'Inputs'!$B$9)/SQRT((((716-43)*MAX('Inputs'!$B$33,'Inputs'!$B$29+'Inputs'!$B$31+'Inputs'!$B$32,'Inputs'!$B$30+'Inputs'!$B$31+'Inputs'!$B$32)/1000+'Inputs'!$B$21+'Inputs'!$B$7+'Inputs'!$B$10)+'Inputs'!$B$9)^2+('Inputs'!$B$8/2)^2)-(((716-43)*MAX('Inputs'!$B$33,'Inputs'!$B$29+'Inputs'!$B$31+'Inputs'!$B$32,'Inputs'!$B$30+'Inputs'!$B$31+'Inputs'!$B$32)/1000+'Inputs'!$B$21+'Inputs'!$B$7+'Inputs'!$B$10))/SQRT((((716-43)*MAX('Inputs'!$B$33,'Inputs'!$B$29+'Inputs'!$B$31+'Inputs'!$B$32,'Inputs'!$B$30+'Inputs'!$B$31+'Inputs'!$B$32)/1000+'Inputs'!$B$21+'Inputs'!$B$7+'Inputs'!$B$10))^2+('Inputs'!$B$8/2)^2))))*'Results'!$B$8),"")</x:f>
        <x:v>1.4859547472700003</x:v>
      </x:c>
      <x:c r="K716" t="n">
        <x:f>IF(AND(ISNUMBER('Results'!B7),ISNUMBER('Results'!C7),ISNUMBER('Results'!$B$8),ISNUMBER('Inputs'!$B$6),ISNUMBER('Inputs'!$B$7),ISNUMBER('Inputs'!$B$8),ISNUMBER('Inputs'!$B$9),ISNUMBER('Inputs'!$B$10),ISNUMBER('Inputs'!$B$21),ISNUMBER('Inputs'!$B$24),ISNUMBER('Inputs'!$B$28)),((('Results'!B7*(1-'Inputs'!$B$24)*(0.5*((((716-43)*MAX('Inputs'!$B$33,'Inputs'!$B$29+'Inputs'!$B$31+'Inputs'!$B$32,'Inputs'!$B$30+'Inputs'!$B$31+'Inputs'!$B$32)/1000+'Inputs'!$B$21)+'Inputs'!$B$7)/SQRT((((716-43)*MAX('Inputs'!$B$33,'Inputs'!$B$29+'Inputs'!$B$31+'Inputs'!$B$32,'Inputs'!$B$30+'Inputs'!$B$31+'Inputs'!$B$32)/1000+'Inputs'!$B$21)+'Inputs'!$B$7)^2+('Inputs'!$B$6/2)^2)-(((716-43)*MAX('Inputs'!$B$33,'Inputs'!$B$29+'Inputs'!$B$31+'Inputs'!$B$32,'Inputs'!$B$30+'Inputs'!$B$31+'Inputs'!$B$32)/1000+'Inputs'!$B$21))/SQRT((((716-43)*MAX('Inputs'!$B$33,'Inputs'!$B$29+'Inputs'!$B$31+'Inputs'!$B$32,'Inputs'!$B$30+'Inputs'!$B$31+'Inputs'!$B$32)/1000+'Inputs'!$B$21))^2+('Inputs'!$B$6/2)^2)))-'Results'!C7*(1+'Inputs'!$B$24)*(0.5*((((716-43)*MAX('Inputs'!$B$33,'Inputs'!$B$29+'Inputs'!$B$31+'Inputs'!$B$32,'Inputs'!$B$30+'Inputs'!$B$31+'Inputs'!$B$32)/1000+'Inputs'!$B$21+'Inputs'!$B$7+'Inputs'!$B$10)+'Inputs'!$B$9)/SQRT((((716-43)*MAX('Inputs'!$B$33,'Inputs'!$B$29+'Inputs'!$B$31+'Inputs'!$B$32,'Inputs'!$B$30+'Inputs'!$B$31+'Inputs'!$B$32)/1000+'Inputs'!$B$21+'Inputs'!$B$7+'Inputs'!$B$10)+'Inputs'!$B$9)^2+('Inputs'!$B$8/2)^2)-(((716-43)*MAX('Inputs'!$B$33,'Inputs'!$B$29+'Inputs'!$B$31+'Inputs'!$B$32,'Inputs'!$B$30+'Inputs'!$B$31+'Inputs'!$B$32)/1000+'Inputs'!$B$21+'Inputs'!$B$7+'Inputs'!$B$10))/SQRT((((716-43)*MAX('Inputs'!$B$33,'Inputs'!$B$29+'Inputs'!$B$31+'Inputs'!$B$32,'Inputs'!$B$30+'Inputs'!$B$31+'Inputs'!$B$32)/1000+'Inputs'!$B$21+'Inputs'!$B$7+'Inputs'!$B$10))^2+('Inputs'!$B$8/2)^2))))*'Results'!$B$8)-'Inputs'!$B$28*ABS((('Results'!B7*(1-'Inputs'!$B$24)*(0.5*((((716-43)*MAX('Inputs'!$B$33,'Inputs'!$B$29+'Inputs'!$B$31+'Inputs'!$B$32,'Inputs'!$B$30+'Inputs'!$B$31+'Inputs'!$B$32)/1000+'Inputs'!$B$21)+'Inputs'!$B$7)/SQRT((((716-43)*MAX('Inputs'!$B$33,'Inputs'!$B$29+'Inputs'!$B$31+'Inputs'!$B$32,'Inputs'!$B$30+'Inputs'!$B$31+'Inputs'!$B$32)/1000+'Inputs'!$B$21)+'Inputs'!$B$7)^2+('Inputs'!$B$6/2)^2)-(((716-43)*MAX('Inputs'!$B$33,'Inputs'!$B$29+'Inputs'!$B$31+'Inputs'!$B$32,'Inputs'!$B$30+'Inputs'!$B$31+'Inputs'!$B$32)/1000+'Inputs'!$B$21))/SQRT((((716-43)*MAX('Inputs'!$B$33,'Inputs'!$B$29+'Inputs'!$B$31+'Inputs'!$B$32,'Inputs'!$B$30+'Inputs'!$B$31+'Inputs'!$B$32)/1000+'Inputs'!$B$21))^2+('Inputs'!$B$6/2)^2)))-'Results'!C7*(1+'Inputs'!$B$24)*(0.5*((((716-43)*MAX('Inputs'!$B$33,'Inputs'!$B$29+'Inputs'!$B$31+'Inputs'!$B$32,'Inputs'!$B$30+'Inputs'!$B$31+'Inputs'!$B$32)/1000+'Inputs'!$B$21+'Inputs'!$B$7+'Inputs'!$B$10)+'Inputs'!$B$9)/SQRT((((716-43)*MAX('Inputs'!$B$33,'Inputs'!$B$29+'Inputs'!$B$31+'Inputs'!$B$32,'Inputs'!$B$30+'Inputs'!$B$31+'Inputs'!$B$32)/1000+'Inputs'!$B$21+'Inputs'!$B$7+'Inputs'!$B$10)+'Inputs'!$B$9)^2+('Inputs'!$B$8/2)^2)-(((716-43)*MAX('Inputs'!$B$33,'Inputs'!$B$29+'Inputs'!$B$31+'Inputs'!$B$32,'Inputs'!$B$30+'Inputs'!$B$31+'Inputs'!$B$32)/1000+'Inputs'!$B$21+'Inputs'!$B$7+'Inputs'!$B$10))/SQRT((((716-43)*MAX('Inputs'!$B$33,'Inputs'!$B$29+'Inputs'!$B$31+'Inputs'!$B$32,'Inputs'!$B$30+'Inputs'!$B$31+'Inputs'!$B$32)/1000+'Inputs'!$B$21+'Inputs'!$B$7+'Inputs'!$B$10))^2+('Inputs'!$B$8/2)^2))))*'Results'!$B$8))),"")</x:f>
        <x:v>1.2905562115614102</x:v>
      </x:c>
      <x:c r="L716" t="n">
        <x:f>IF(AND(ISNUMBER('Results'!B7),ISNUMBER('Results'!C7),ISNUMBER('Results'!$B$8),ISNUMBER('Inputs'!$B$6),ISNUMBER('Inputs'!$B$7),ISNUMBER('Inputs'!$B$8),ISNUMBER('Inputs'!$B$9),ISNUMBER('Inputs'!$B$10),ISNUMBER('Inputs'!$B$21),ISNUMBER('Inputs'!$B$24),ISNUMBER('Inputs'!$B$28)),((('Results'!B7*(1+'Inputs'!$B$24)*(0.5*((((716-43)*MAX('Inputs'!$B$33,'Inputs'!$B$29+'Inputs'!$B$31+'Inputs'!$B$32,'Inputs'!$B$30+'Inputs'!$B$31+'Inputs'!$B$32)/1000+'Inputs'!$B$21)+'Inputs'!$B$7)/SQRT((((716-43)*MAX('Inputs'!$B$33,'Inputs'!$B$29+'Inputs'!$B$31+'Inputs'!$B$32,'Inputs'!$B$30+'Inputs'!$B$31+'Inputs'!$B$32)/1000+'Inputs'!$B$21)+'Inputs'!$B$7)^2+('Inputs'!$B$6/2)^2)-(((716-43)*MAX('Inputs'!$B$33,'Inputs'!$B$29+'Inputs'!$B$31+'Inputs'!$B$32,'Inputs'!$B$30+'Inputs'!$B$31+'Inputs'!$B$32)/1000+'Inputs'!$B$21))/SQRT((((716-43)*MAX('Inputs'!$B$33,'Inputs'!$B$29+'Inputs'!$B$31+'Inputs'!$B$32,'Inputs'!$B$30+'Inputs'!$B$31+'Inputs'!$B$32)/1000+'Inputs'!$B$21))^2+('Inputs'!$B$6/2)^2)))-'Results'!C7*(1-'Inputs'!$B$24)*(0.5*((((716-43)*MAX('Inputs'!$B$33,'Inputs'!$B$29+'Inputs'!$B$31+'Inputs'!$B$32,'Inputs'!$B$30+'Inputs'!$B$31+'Inputs'!$B$32)/1000+'Inputs'!$B$21+'Inputs'!$B$7+'Inputs'!$B$10)+'Inputs'!$B$9)/SQRT((((716-43)*MAX('Inputs'!$B$33,'Inputs'!$B$29+'Inputs'!$B$31+'Inputs'!$B$32,'Inputs'!$B$30+'Inputs'!$B$31+'Inputs'!$B$32)/1000+'Inputs'!$B$21+'Inputs'!$B$7+'Inputs'!$B$10)+'Inputs'!$B$9)^2+('Inputs'!$B$8/2)^2)-(((716-43)*MAX('Inputs'!$B$33,'Inputs'!$B$29+'Inputs'!$B$31+'Inputs'!$B$32,'Inputs'!$B$30+'Inputs'!$B$31+'Inputs'!$B$32)/1000+'Inputs'!$B$21+'Inputs'!$B$7+'Inputs'!$B$10))/SQRT((((716-43)*MAX('Inputs'!$B$33,'Inputs'!$B$29+'Inputs'!$B$31+'Inputs'!$B$32,'Inputs'!$B$30+'Inputs'!$B$31+'Inputs'!$B$32)/1000+'Inputs'!$B$21+'Inputs'!$B$7+'Inputs'!$B$10))^2+('Inputs'!$B$8/2)^2))))*'Results'!$B$8)+'Inputs'!$B$28*ABS((('Results'!B7*(1+'Inputs'!$B$24)*(0.5*((((716-43)*MAX('Inputs'!$B$33,'Inputs'!$B$29+'Inputs'!$B$31+'Inputs'!$B$32,'Inputs'!$B$30+'Inputs'!$B$31+'Inputs'!$B$32)/1000+'Inputs'!$B$21)+'Inputs'!$B$7)/SQRT((((716-43)*MAX('Inputs'!$B$33,'Inputs'!$B$29+'Inputs'!$B$31+'Inputs'!$B$32,'Inputs'!$B$30+'Inputs'!$B$31+'Inputs'!$B$32)/1000+'Inputs'!$B$21)+'Inputs'!$B$7)^2+('Inputs'!$B$6/2)^2)-(((716-43)*MAX('Inputs'!$B$33,'Inputs'!$B$29+'Inputs'!$B$31+'Inputs'!$B$32,'Inputs'!$B$30+'Inputs'!$B$31+'Inputs'!$B$32)/1000+'Inputs'!$B$21))/SQRT((((716-43)*MAX('Inputs'!$B$33,'Inputs'!$B$29+'Inputs'!$B$31+'Inputs'!$B$32,'Inputs'!$B$30+'Inputs'!$B$31+'Inputs'!$B$32)/1000+'Inputs'!$B$21))^2+('Inputs'!$B$6/2)^2)))-'Results'!C7*(1-'Inputs'!$B$24)*(0.5*((((716-43)*MAX('Inputs'!$B$33,'Inputs'!$B$29+'Inputs'!$B$31+'Inputs'!$B$32,'Inputs'!$B$30+'Inputs'!$B$31+'Inputs'!$B$32)/1000+'Inputs'!$B$21+'Inputs'!$B$7+'Inputs'!$B$10)+'Inputs'!$B$9)/SQRT((((716-43)*MAX('Inputs'!$B$33,'Inputs'!$B$29+'Inputs'!$B$31+'Inputs'!$B$32,'Inputs'!$B$30+'Inputs'!$B$31+'Inputs'!$B$32)/1000+'Inputs'!$B$21+'Inputs'!$B$7+'Inputs'!$B$10)+'Inputs'!$B$9)^2+('Inputs'!$B$8/2)^2)-(((716-43)*MAX('Inputs'!$B$33,'Inputs'!$B$29+'Inputs'!$B$31+'Inputs'!$B$32,'Inputs'!$B$30+'Inputs'!$B$31+'Inputs'!$B$32)/1000+'Inputs'!$B$21+'Inputs'!$B$7+'Inputs'!$B$10))/SQRT((((716-43)*MAX('Inputs'!$B$33,'Inputs'!$B$29+'Inputs'!$B$31+'Inputs'!$B$32,'Inputs'!$B$30+'Inputs'!$B$31+'Inputs'!$B$32)/1000+'Inputs'!$B$21+'Inputs'!$B$7+'Inputs'!$B$10))^2+('Inputs'!$B$8/2)^2))))*'Results'!$B$8))),"")</x:f>
        <x:v>1.6941007354359674</x:v>
      </x:c>
      <x:c r="M716" t="n">
        <x:f>IF(AND(ISNUMBER('Results'!C7),ISNUMBER('Results'!B7),ISNUMBER('Results'!$B$8),ISNUMBER('Inputs'!$B$6),ISNUMBER('Inputs'!$B$7),ISNUMBER('Inputs'!$B$8),ISNUMBER('Inputs'!$B$9),ISNUMBER('Inputs'!$B$10),ISNUMBER('Inputs'!$B$21),ISNUMBER('Inputs'!$B$24),ISNUMBER('Inputs'!$B$28)),(('Results'!C7*(0.5*((((716-43)*MAX('Inputs'!$B$33,'Inputs'!$B$29+'Inputs'!$B$31+'Inputs'!$B$32,'Inputs'!$B$30+'Inputs'!$B$31+'Inputs'!$B$32)/1000+'Inputs'!$B$21)+'Inputs'!$B$9)/SQRT((((716-43)*MAX('Inputs'!$B$33,'Inputs'!$B$29+'Inputs'!$B$31+'Inputs'!$B$32,'Inputs'!$B$30+'Inputs'!$B$31+'Inputs'!$B$32)/1000+'Inputs'!$B$21)+'Inputs'!$B$9)^2+('Inputs'!$B$8/2)^2)-(((716-43)*MAX('Inputs'!$B$33,'Inputs'!$B$29+'Inputs'!$B$31+'Inputs'!$B$32,'Inputs'!$B$30+'Inputs'!$B$31+'Inputs'!$B$32)/1000+'Inputs'!$B$21))/SQRT((((716-43)*MAX('Inputs'!$B$33,'Inputs'!$B$29+'Inputs'!$B$31+'Inputs'!$B$32,'Inputs'!$B$30+'Inputs'!$B$31+'Inputs'!$B$32)/1000+'Inputs'!$B$21))^2+('Inputs'!$B$8/2)^2)))-'Results'!B7*(0.5*((((716-43)*MAX('Inputs'!$B$33,'Inputs'!$B$29+'Inputs'!$B$31+'Inputs'!$B$32,'Inputs'!$B$30+'Inputs'!$B$31+'Inputs'!$B$32)/1000+'Inputs'!$B$21+'Inputs'!$B$9+'Inputs'!$B$10)+'Inputs'!$B$7)/SQRT((((716-43)*MAX('Inputs'!$B$33,'Inputs'!$B$29+'Inputs'!$B$31+'Inputs'!$B$32,'Inputs'!$B$30+'Inputs'!$B$31+'Inputs'!$B$32)/1000+'Inputs'!$B$21+'Inputs'!$B$9+'Inputs'!$B$10)+'Inputs'!$B$7)^2+('Inputs'!$B$6/2)^2)-(((716-43)*MAX('Inputs'!$B$33,'Inputs'!$B$29+'Inputs'!$B$31+'Inputs'!$B$32,'Inputs'!$B$30+'Inputs'!$B$31+'Inputs'!$B$32)/1000+'Inputs'!$B$21+'Inputs'!$B$9+'Inputs'!$B$10))/SQRT((((716-43)*MAX('Inputs'!$B$33,'Inputs'!$B$29+'Inputs'!$B$31+'Inputs'!$B$32,'Inputs'!$B$30+'Inputs'!$B$31+'Inputs'!$B$32)/1000+'Inputs'!$B$21+'Inputs'!$B$9+'Inputs'!$B$10))^2+('Inputs'!$B$6/2)^2))))*'Results'!$B$8),"")</x:f>
        <x:v>1.3574827183122586</x:v>
      </x:c>
      <x:c r="N716" t="n">
        <x:f>IF(AND(ISNUMBER('Results'!C7),ISNUMBER('Results'!B7),ISNUMBER('Results'!$B$8),ISNUMBER('Inputs'!$B$6),ISNUMBER('Inputs'!$B$7),ISNUMBER('Inputs'!$B$8),ISNUMBER('Inputs'!$B$9),ISNUMBER('Inputs'!$B$10),ISNUMBER('Inputs'!$B$21),ISNUMBER('Inputs'!$B$24),ISNUMBER('Inputs'!$B$28)),((('Results'!C7*(1-'Inputs'!$B$24)*(0.5*((((716-43)*MAX('Inputs'!$B$33,'Inputs'!$B$29+'Inputs'!$B$31+'Inputs'!$B$32,'Inputs'!$B$30+'Inputs'!$B$31+'Inputs'!$B$32)/1000+'Inputs'!$B$21)+'Inputs'!$B$9)/SQRT((((716-43)*MAX('Inputs'!$B$33,'Inputs'!$B$29+'Inputs'!$B$31+'Inputs'!$B$32,'Inputs'!$B$30+'Inputs'!$B$31+'Inputs'!$B$32)/1000+'Inputs'!$B$21)+'Inputs'!$B$9)^2+('Inputs'!$B$8/2)^2)-(((716-43)*MAX('Inputs'!$B$33,'Inputs'!$B$29+'Inputs'!$B$31+'Inputs'!$B$32,'Inputs'!$B$30+'Inputs'!$B$31+'Inputs'!$B$32)/1000+'Inputs'!$B$21))/SQRT((((716-43)*MAX('Inputs'!$B$33,'Inputs'!$B$29+'Inputs'!$B$31+'Inputs'!$B$32,'Inputs'!$B$30+'Inputs'!$B$31+'Inputs'!$B$32)/1000+'Inputs'!$B$21))^2+('Inputs'!$B$8/2)^2)))-'Results'!B7*(1+'Inputs'!$B$24)*(0.5*((((716-43)*MAX('Inputs'!$B$33,'Inputs'!$B$29+'Inputs'!$B$31+'Inputs'!$B$32,'Inputs'!$B$30+'Inputs'!$B$31+'Inputs'!$B$32)/1000+'Inputs'!$B$21+'Inputs'!$B$9+'Inputs'!$B$10)+'Inputs'!$B$7)/SQRT((((716-43)*MAX('Inputs'!$B$33,'Inputs'!$B$29+'Inputs'!$B$31+'Inputs'!$B$32,'Inputs'!$B$30+'Inputs'!$B$31+'Inputs'!$B$32)/1000+'Inputs'!$B$21+'Inputs'!$B$9+'Inputs'!$B$10)+'Inputs'!$B$7)^2+('Inputs'!$B$6/2)^2)-(((716-43)*MAX('Inputs'!$B$33,'Inputs'!$B$29+'Inputs'!$B$31+'Inputs'!$B$32,'Inputs'!$B$30+'Inputs'!$B$31+'Inputs'!$B$32)/1000+'Inputs'!$B$21+'Inputs'!$B$9+'Inputs'!$B$10))/SQRT((((716-43)*MAX('Inputs'!$B$33,'Inputs'!$B$29+'Inputs'!$B$31+'Inputs'!$B$32,'Inputs'!$B$30+'Inputs'!$B$31+'Inputs'!$B$32)/1000+'Inputs'!$B$21+'Inputs'!$B$9+'Inputs'!$B$10))^2+('Inputs'!$B$6/2)^2))))*'Results'!$B$8)-'Inputs'!$B$28*ABS((('Results'!C7*(1-'Inputs'!$B$24)*(0.5*((((716-43)*MAX('Inputs'!$B$33,'Inputs'!$B$29+'Inputs'!$B$31+'Inputs'!$B$32,'Inputs'!$B$30+'Inputs'!$B$31+'Inputs'!$B$32)/1000+'Inputs'!$B$21)+'Inputs'!$B$9)/SQRT((((716-43)*MAX('Inputs'!$B$33,'Inputs'!$B$29+'Inputs'!$B$31+'Inputs'!$B$32,'Inputs'!$B$30+'Inputs'!$B$31+'Inputs'!$B$32)/1000+'Inputs'!$B$21)+'Inputs'!$B$9)^2+('Inputs'!$B$8/2)^2)-(((716-43)*MAX('Inputs'!$B$33,'Inputs'!$B$29+'Inputs'!$B$31+'Inputs'!$B$32,'Inputs'!$B$30+'Inputs'!$B$31+'Inputs'!$B$32)/1000+'Inputs'!$B$21))/SQRT((((716-43)*MAX('Inputs'!$B$33,'Inputs'!$B$29+'Inputs'!$B$31+'Inputs'!$B$32,'Inputs'!$B$30+'Inputs'!$B$31+'Inputs'!$B$32)/1000+'Inputs'!$B$21))^2+('Inputs'!$B$8/2)^2)))-'Results'!B7*(1+'Inputs'!$B$24)*(0.5*((((716-43)*MAX('Inputs'!$B$33,'Inputs'!$B$29+'Inputs'!$B$31+'Inputs'!$B$32,'Inputs'!$B$30+'Inputs'!$B$31+'Inputs'!$B$32)/1000+'Inputs'!$B$21+'Inputs'!$B$9+'Inputs'!$B$10)+'Inputs'!$B$7)/SQRT((((716-43)*MAX('Inputs'!$B$33,'Inputs'!$B$29+'Inputs'!$B$31+'Inputs'!$B$32,'Inputs'!$B$30+'Inputs'!$B$31+'Inputs'!$B$32)/1000+'Inputs'!$B$21+'Inputs'!$B$9+'Inputs'!$B$10)+'Inputs'!$B$7)^2+('Inputs'!$B$6/2)^2)-(((716-43)*MAX('Inputs'!$B$33,'Inputs'!$B$29+'Inputs'!$B$31+'Inputs'!$B$32,'Inputs'!$B$30+'Inputs'!$B$31+'Inputs'!$B$32)/1000+'Inputs'!$B$21+'Inputs'!$B$9+'Inputs'!$B$10))/SQRT((((716-43)*MAX('Inputs'!$B$33,'Inputs'!$B$29+'Inputs'!$B$31+'Inputs'!$B$32,'Inputs'!$B$30+'Inputs'!$B$31+'Inputs'!$B$32)/1000+'Inputs'!$B$21+'Inputs'!$B$9+'Inputs'!$B$10))^2+('Inputs'!$B$6/2)^2))))*'Results'!$B$8))),"")</x:f>
        <x:v>1.169053494272224</x:v>
      </x:c>
      <x:c r="O716" t="n">
        <x:f>IF(AND(ISNUMBER('Results'!C7),ISNUMBER('Results'!B7),ISNUMBER('Results'!$B$8),ISNUMBER('Inputs'!$B$6),ISNUMBER('Inputs'!$B$7),ISNUMBER('Inputs'!$B$8),ISNUMBER('Inputs'!$B$9),ISNUMBER('Inputs'!$B$10),ISNUMBER('Inputs'!$B$21),ISNUMBER('Inputs'!$B$24),ISNUMBER('Inputs'!$B$28)),((('Results'!C7*(1+'Inputs'!$B$24)*(0.5*((((716-43)*MAX('Inputs'!$B$33,'Inputs'!$B$29+'Inputs'!$B$31+'Inputs'!$B$32,'Inputs'!$B$30+'Inputs'!$B$31+'Inputs'!$B$32)/1000+'Inputs'!$B$21)+'Inputs'!$B$9)/SQRT((((716-43)*MAX('Inputs'!$B$33,'Inputs'!$B$29+'Inputs'!$B$31+'Inputs'!$B$32,'Inputs'!$B$30+'Inputs'!$B$31+'Inputs'!$B$32)/1000+'Inputs'!$B$21)+'Inputs'!$B$9)^2+('Inputs'!$B$8/2)^2)-(((716-43)*MAX('Inputs'!$B$33,'Inputs'!$B$29+'Inputs'!$B$31+'Inputs'!$B$32,'Inputs'!$B$30+'Inputs'!$B$31+'Inputs'!$B$32)/1000+'Inputs'!$B$21))/SQRT((((716-43)*MAX('Inputs'!$B$33,'Inputs'!$B$29+'Inputs'!$B$31+'Inputs'!$B$32,'Inputs'!$B$30+'Inputs'!$B$31+'Inputs'!$B$32)/1000+'Inputs'!$B$21))^2+('Inputs'!$B$8/2)^2)))-'Results'!B7*(1-'Inputs'!$B$24)*(0.5*((((716-43)*MAX('Inputs'!$B$33,'Inputs'!$B$29+'Inputs'!$B$31+'Inputs'!$B$32,'Inputs'!$B$30+'Inputs'!$B$31+'Inputs'!$B$32)/1000+'Inputs'!$B$21+'Inputs'!$B$9+'Inputs'!$B$10)+'Inputs'!$B$7)/SQRT((((716-43)*MAX('Inputs'!$B$33,'Inputs'!$B$29+'Inputs'!$B$31+'Inputs'!$B$32,'Inputs'!$B$30+'Inputs'!$B$31+'Inputs'!$B$32)/1000+'Inputs'!$B$21+'Inputs'!$B$9+'Inputs'!$B$10)+'Inputs'!$B$7)^2+('Inputs'!$B$6/2)^2)-(((716-43)*MAX('Inputs'!$B$33,'Inputs'!$B$29+'Inputs'!$B$31+'Inputs'!$B$32,'Inputs'!$B$30+'Inputs'!$B$31+'Inputs'!$B$32)/1000+'Inputs'!$B$21+'Inputs'!$B$9+'Inputs'!$B$10))/SQRT((((716-43)*MAX('Inputs'!$B$33,'Inputs'!$B$29+'Inputs'!$B$31+'Inputs'!$B$32,'Inputs'!$B$30+'Inputs'!$B$31+'Inputs'!$B$32)/1000+'Inputs'!$B$21+'Inputs'!$B$9+'Inputs'!$B$10))^2+('Inputs'!$B$6/2)^2))))*'Results'!$B$8)+'Inputs'!$B$28*ABS((('Results'!C7*(1+'Inputs'!$B$24)*(0.5*((((716-43)*MAX('Inputs'!$B$33,'Inputs'!$B$29+'Inputs'!$B$31+'Inputs'!$B$32,'Inputs'!$B$30+'Inputs'!$B$31+'Inputs'!$B$32)/1000+'Inputs'!$B$21)+'Inputs'!$B$9)/SQRT((((716-43)*MAX('Inputs'!$B$33,'Inputs'!$B$29+'Inputs'!$B$31+'Inputs'!$B$32,'Inputs'!$B$30+'Inputs'!$B$31+'Inputs'!$B$32)/1000+'Inputs'!$B$21)+'Inputs'!$B$9)^2+('Inputs'!$B$8/2)^2)-(((716-43)*MAX('Inputs'!$B$33,'Inputs'!$B$29+'Inputs'!$B$31+'Inputs'!$B$32,'Inputs'!$B$30+'Inputs'!$B$31+'Inputs'!$B$32)/1000+'Inputs'!$B$21))/SQRT((((716-43)*MAX('Inputs'!$B$33,'Inputs'!$B$29+'Inputs'!$B$31+'Inputs'!$B$32,'Inputs'!$B$30+'Inputs'!$B$31+'Inputs'!$B$32)/1000+'Inputs'!$B$21))^2+('Inputs'!$B$8/2)^2)))-'Results'!B7*(1-'Inputs'!$B$24)*(0.5*((((716-43)*MAX('Inputs'!$B$33,'Inputs'!$B$29+'Inputs'!$B$31+'Inputs'!$B$32,'Inputs'!$B$30+'Inputs'!$B$31+'Inputs'!$B$32)/1000+'Inputs'!$B$21+'Inputs'!$B$9+'Inputs'!$B$10)+'Inputs'!$B$7)/SQRT((((716-43)*MAX('Inputs'!$B$33,'Inputs'!$B$29+'Inputs'!$B$31+'Inputs'!$B$32,'Inputs'!$B$30+'Inputs'!$B$31+'Inputs'!$B$32)/1000+'Inputs'!$B$21+'Inputs'!$B$9+'Inputs'!$B$10)+'Inputs'!$B$7)^2+('Inputs'!$B$6/2)^2)-(((716-43)*MAX('Inputs'!$B$33,'Inputs'!$B$29+'Inputs'!$B$31+'Inputs'!$B$32,'Inputs'!$B$30+'Inputs'!$B$31+'Inputs'!$B$32)/1000+'Inputs'!$B$21+'Inputs'!$B$9+'Inputs'!$B$10))/SQRT((((716-43)*MAX('Inputs'!$B$33,'Inputs'!$B$29+'Inputs'!$B$31+'Inputs'!$B$32,'Inputs'!$B$30+'Inputs'!$B$31+'Inputs'!$B$32)/1000+'Inputs'!$B$21+'Inputs'!$B$9+'Inputs'!$B$10))^2+('Inputs'!$B$6/2)^2))))*'Results'!$B$8))),"")</x:f>
        <x:v>1.5586019516285485</x:v>
      </x:c>
      <x:c r="P716" t="n">
        <x:f>IF(AND(MAX(J716,J715)&gt;0,J716&gt;J715+0.00000001),1,0)</x:f>
        <x:v>0</x:v>
      </x:c>
      <x:c r="Q716" t="n">
        <x:f>IF(AND(MAX(K716,K715)&gt;0,K716&gt;K715+0.00000001),1,0)</x:f>
        <x:v>0</x:v>
      </x:c>
      <x:c r="R716" t="n">
        <x:f>IF(AND(MAX(L716,L715)&gt;0,L716&gt;L715+0.00000001),1,0)</x:f>
        <x:v>0</x:v>
      </x:c>
      <x:c r="S716" t="n">
        <x:f>IF(AND(MAX(M716,M715)&gt;0,M716&gt;M715+0.00000001),1,0)</x:f>
        <x:v>0</x:v>
      </x:c>
      <x:c r="T716" t="n">
        <x:f>IF(AND(MAX(N716,N715)&gt;0,N716&gt;N715+0.00000001),1,0)</x:f>
        <x:v>0</x:v>
      </x:c>
      <x:c r="U716" t="n">
        <x:f>IF(AND(MAX(O716,O715)&gt;0,O716&gt;O715+0.00000001),1,0)</x:f>
        <x:v>0</x:v>
      </x:c>
    </x:row>
    <x:row r="717">
      <x:c r="J717" t="n">
        <x:f>IF(AND(ISNUMBER('Results'!B7),ISNUMBER('Results'!C7),ISNUMBER('Results'!$B$8),ISNUMBER('Inputs'!$B$6),ISNUMBER('Inputs'!$B$7),ISNUMBER('Inputs'!$B$8),ISNUMBER('Inputs'!$B$9),ISNUMBER('Inputs'!$B$10),ISNUMBER('Inputs'!$B$21),ISNUMBER('Inputs'!$B$24),ISNUMBER('Inputs'!$B$28)),(('Results'!B7*(0.5*((((717-43)*MAX('Inputs'!$B$33,'Inputs'!$B$29+'Inputs'!$B$31+'Inputs'!$B$32,'Inputs'!$B$30+'Inputs'!$B$31+'Inputs'!$B$32)/1000+'Inputs'!$B$21)+'Inputs'!$B$7)/SQRT((((717-43)*MAX('Inputs'!$B$33,'Inputs'!$B$29+'Inputs'!$B$31+'Inputs'!$B$32,'Inputs'!$B$30+'Inputs'!$B$31+'Inputs'!$B$32)/1000+'Inputs'!$B$21)+'Inputs'!$B$7)^2+('Inputs'!$B$6/2)^2)-(((717-43)*MAX('Inputs'!$B$33,'Inputs'!$B$29+'Inputs'!$B$31+'Inputs'!$B$32,'Inputs'!$B$30+'Inputs'!$B$31+'Inputs'!$B$32)/1000+'Inputs'!$B$21))/SQRT((((717-43)*MAX('Inputs'!$B$33,'Inputs'!$B$29+'Inputs'!$B$31+'Inputs'!$B$32,'Inputs'!$B$30+'Inputs'!$B$31+'Inputs'!$B$32)/1000+'Inputs'!$B$21))^2+('Inputs'!$B$6/2)^2)))-'Results'!C7*(0.5*((((717-43)*MAX('Inputs'!$B$33,'Inputs'!$B$29+'Inputs'!$B$31+'Inputs'!$B$32,'Inputs'!$B$30+'Inputs'!$B$31+'Inputs'!$B$32)/1000+'Inputs'!$B$21+'Inputs'!$B$7+'Inputs'!$B$10)+'Inputs'!$B$9)/SQRT((((717-43)*MAX('Inputs'!$B$33,'Inputs'!$B$29+'Inputs'!$B$31+'Inputs'!$B$32,'Inputs'!$B$30+'Inputs'!$B$31+'Inputs'!$B$32)/1000+'Inputs'!$B$21+'Inputs'!$B$7+'Inputs'!$B$10)+'Inputs'!$B$9)^2+('Inputs'!$B$8/2)^2)-(((717-43)*MAX('Inputs'!$B$33,'Inputs'!$B$29+'Inputs'!$B$31+'Inputs'!$B$32,'Inputs'!$B$30+'Inputs'!$B$31+'Inputs'!$B$32)/1000+'Inputs'!$B$21+'Inputs'!$B$7+'Inputs'!$B$10))/SQRT((((717-43)*MAX('Inputs'!$B$33,'Inputs'!$B$29+'Inputs'!$B$31+'Inputs'!$B$32,'Inputs'!$B$30+'Inputs'!$B$31+'Inputs'!$B$32)/1000+'Inputs'!$B$21+'Inputs'!$B$7+'Inputs'!$B$10))^2+('Inputs'!$B$8/2)^2))))*'Results'!$B$8),"")</x:f>
        <x:v>1.478166421498529</x:v>
      </x:c>
      <x:c r="K717" t="n">
        <x:f>IF(AND(ISNUMBER('Results'!B7),ISNUMBER('Results'!C7),ISNUMBER('Results'!$B$8),ISNUMBER('Inputs'!$B$6),ISNUMBER('Inputs'!$B$7),ISNUMBER('Inputs'!$B$8),ISNUMBER('Inputs'!$B$9),ISNUMBER('Inputs'!$B$10),ISNUMBER('Inputs'!$B$21),ISNUMBER('Inputs'!$B$24),ISNUMBER('Inputs'!$B$28)),((('Results'!B7*(1-'Inputs'!$B$24)*(0.5*((((717-43)*MAX('Inputs'!$B$33,'Inputs'!$B$29+'Inputs'!$B$31+'Inputs'!$B$32,'Inputs'!$B$30+'Inputs'!$B$31+'Inputs'!$B$32)/1000+'Inputs'!$B$21)+'Inputs'!$B$7)/SQRT((((717-43)*MAX('Inputs'!$B$33,'Inputs'!$B$29+'Inputs'!$B$31+'Inputs'!$B$32,'Inputs'!$B$30+'Inputs'!$B$31+'Inputs'!$B$32)/1000+'Inputs'!$B$21)+'Inputs'!$B$7)^2+('Inputs'!$B$6/2)^2)-(((717-43)*MAX('Inputs'!$B$33,'Inputs'!$B$29+'Inputs'!$B$31+'Inputs'!$B$32,'Inputs'!$B$30+'Inputs'!$B$31+'Inputs'!$B$32)/1000+'Inputs'!$B$21))/SQRT((((717-43)*MAX('Inputs'!$B$33,'Inputs'!$B$29+'Inputs'!$B$31+'Inputs'!$B$32,'Inputs'!$B$30+'Inputs'!$B$31+'Inputs'!$B$32)/1000+'Inputs'!$B$21))^2+('Inputs'!$B$6/2)^2)))-'Results'!C7*(1+'Inputs'!$B$24)*(0.5*((((717-43)*MAX('Inputs'!$B$33,'Inputs'!$B$29+'Inputs'!$B$31+'Inputs'!$B$32,'Inputs'!$B$30+'Inputs'!$B$31+'Inputs'!$B$32)/1000+'Inputs'!$B$21+'Inputs'!$B$7+'Inputs'!$B$10)+'Inputs'!$B$9)/SQRT((((717-43)*MAX('Inputs'!$B$33,'Inputs'!$B$29+'Inputs'!$B$31+'Inputs'!$B$32,'Inputs'!$B$30+'Inputs'!$B$31+'Inputs'!$B$32)/1000+'Inputs'!$B$21+'Inputs'!$B$7+'Inputs'!$B$10)+'Inputs'!$B$9)^2+('Inputs'!$B$8/2)^2)-(((717-43)*MAX('Inputs'!$B$33,'Inputs'!$B$29+'Inputs'!$B$31+'Inputs'!$B$32,'Inputs'!$B$30+'Inputs'!$B$31+'Inputs'!$B$32)/1000+'Inputs'!$B$21+'Inputs'!$B$7+'Inputs'!$B$10))/SQRT((((717-43)*MAX('Inputs'!$B$33,'Inputs'!$B$29+'Inputs'!$B$31+'Inputs'!$B$32,'Inputs'!$B$30+'Inputs'!$B$31+'Inputs'!$B$32)/1000+'Inputs'!$B$21+'Inputs'!$B$7+'Inputs'!$B$10))^2+('Inputs'!$B$8/2)^2))))*'Results'!$B$8)-'Inputs'!$B$28*ABS((('Results'!B7*(1-'Inputs'!$B$24)*(0.5*((((717-43)*MAX('Inputs'!$B$33,'Inputs'!$B$29+'Inputs'!$B$31+'Inputs'!$B$32,'Inputs'!$B$30+'Inputs'!$B$31+'Inputs'!$B$32)/1000+'Inputs'!$B$21)+'Inputs'!$B$7)/SQRT((((717-43)*MAX('Inputs'!$B$33,'Inputs'!$B$29+'Inputs'!$B$31+'Inputs'!$B$32,'Inputs'!$B$30+'Inputs'!$B$31+'Inputs'!$B$32)/1000+'Inputs'!$B$21)+'Inputs'!$B$7)^2+('Inputs'!$B$6/2)^2)-(((717-43)*MAX('Inputs'!$B$33,'Inputs'!$B$29+'Inputs'!$B$31+'Inputs'!$B$32,'Inputs'!$B$30+'Inputs'!$B$31+'Inputs'!$B$32)/1000+'Inputs'!$B$21))/SQRT((((717-43)*MAX('Inputs'!$B$33,'Inputs'!$B$29+'Inputs'!$B$31+'Inputs'!$B$32,'Inputs'!$B$30+'Inputs'!$B$31+'Inputs'!$B$32)/1000+'Inputs'!$B$21))^2+('Inputs'!$B$6/2)^2)))-'Results'!C7*(1+'Inputs'!$B$24)*(0.5*((((717-43)*MAX('Inputs'!$B$33,'Inputs'!$B$29+'Inputs'!$B$31+'Inputs'!$B$32,'Inputs'!$B$30+'Inputs'!$B$31+'Inputs'!$B$32)/1000+'Inputs'!$B$21+'Inputs'!$B$7+'Inputs'!$B$10)+'Inputs'!$B$9)/SQRT((((717-43)*MAX('Inputs'!$B$33,'Inputs'!$B$29+'Inputs'!$B$31+'Inputs'!$B$32,'Inputs'!$B$30+'Inputs'!$B$31+'Inputs'!$B$32)/1000+'Inputs'!$B$21+'Inputs'!$B$7+'Inputs'!$B$10)+'Inputs'!$B$9)^2+('Inputs'!$B$8/2)^2)-(((717-43)*MAX('Inputs'!$B$33,'Inputs'!$B$29+'Inputs'!$B$31+'Inputs'!$B$32,'Inputs'!$B$30+'Inputs'!$B$31+'Inputs'!$B$32)/1000+'Inputs'!$B$21+'Inputs'!$B$7+'Inputs'!$B$10))/SQRT((((717-43)*MAX('Inputs'!$B$33,'Inputs'!$B$29+'Inputs'!$B$31+'Inputs'!$B$32,'Inputs'!$B$30+'Inputs'!$B$31+'Inputs'!$B$32)/1000+'Inputs'!$B$21+'Inputs'!$B$7+'Inputs'!$B$10))^2+('Inputs'!$B$8/2)^2))))*'Results'!$B$8))),"")</x:f>
        <x:v>1.283646414859123</x:v>
      </x:c>
      <x:c r="L717" t="n">
        <x:f>IF(AND(ISNUMBER('Results'!B7),ISNUMBER('Results'!C7),ISNUMBER('Results'!$B$8),ISNUMBER('Inputs'!$B$6),ISNUMBER('Inputs'!$B$7),ISNUMBER('Inputs'!$B$8),ISNUMBER('Inputs'!$B$9),ISNUMBER('Inputs'!$B$10),ISNUMBER('Inputs'!$B$21),ISNUMBER('Inputs'!$B$24),ISNUMBER('Inputs'!$B$28)),((('Results'!B7*(1+'Inputs'!$B$24)*(0.5*((((717-43)*MAX('Inputs'!$B$33,'Inputs'!$B$29+'Inputs'!$B$31+'Inputs'!$B$32,'Inputs'!$B$30+'Inputs'!$B$31+'Inputs'!$B$32)/1000+'Inputs'!$B$21)+'Inputs'!$B$7)/SQRT((((717-43)*MAX('Inputs'!$B$33,'Inputs'!$B$29+'Inputs'!$B$31+'Inputs'!$B$32,'Inputs'!$B$30+'Inputs'!$B$31+'Inputs'!$B$32)/1000+'Inputs'!$B$21)+'Inputs'!$B$7)^2+('Inputs'!$B$6/2)^2)-(((717-43)*MAX('Inputs'!$B$33,'Inputs'!$B$29+'Inputs'!$B$31+'Inputs'!$B$32,'Inputs'!$B$30+'Inputs'!$B$31+'Inputs'!$B$32)/1000+'Inputs'!$B$21))/SQRT((((717-43)*MAX('Inputs'!$B$33,'Inputs'!$B$29+'Inputs'!$B$31+'Inputs'!$B$32,'Inputs'!$B$30+'Inputs'!$B$31+'Inputs'!$B$32)/1000+'Inputs'!$B$21))^2+('Inputs'!$B$6/2)^2)))-'Results'!C7*(1-'Inputs'!$B$24)*(0.5*((((717-43)*MAX('Inputs'!$B$33,'Inputs'!$B$29+'Inputs'!$B$31+'Inputs'!$B$32,'Inputs'!$B$30+'Inputs'!$B$31+'Inputs'!$B$32)/1000+'Inputs'!$B$21+'Inputs'!$B$7+'Inputs'!$B$10)+'Inputs'!$B$9)/SQRT((((717-43)*MAX('Inputs'!$B$33,'Inputs'!$B$29+'Inputs'!$B$31+'Inputs'!$B$32,'Inputs'!$B$30+'Inputs'!$B$31+'Inputs'!$B$32)/1000+'Inputs'!$B$21+'Inputs'!$B$7+'Inputs'!$B$10)+'Inputs'!$B$9)^2+('Inputs'!$B$8/2)^2)-(((717-43)*MAX('Inputs'!$B$33,'Inputs'!$B$29+'Inputs'!$B$31+'Inputs'!$B$32,'Inputs'!$B$30+'Inputs'!$B$31+'Inputs'!$B$32)/1000+'Inputs'!$B$21+'Inputs'!$B$7+'Inputs'!$B$10))/SQRT((((717-43)*MAX('Inputs'!$B$33,'Inputs'!$B$29+'Inputs'!$B$31+'Inputs'!$B$32,'Inputs'!$B$30+'Inputs'!$B$31+'Inputs'!$B$32)/1000+'Inputs'!$B$21+'Inputs'!$B$7+'Inputs'!$B$10))^2+('Inputs'!$B$8/2)^2))))*'Results'!$B$8)+'Inputs'!$B$28*ABS((('Results'!B7*(1+'Inputs'!$B$24)*(0.5*((((717-43)*MAX('Inputs'!$B$33,'Inputs'!$B$29+'Inputs'!$B$31+'Inputs'!$B$32,'Inputs'!$B$30+'Inputs'!$B$31+'Inputs'!$B$32)/1000+'Inputs'!$B$21)+'Inputs'!$B$7)/SQRT((((717-43)*MAX('Inputs'!$B$33,'Inputs'!$B$29+'Inputs'!$B$31+'Inputs'!$B$32,'Inputs'!$B$30+'Inputs'!$B$31+'Inputs'!$B$32)/1000+'Inputs'!$B$21)+'Inputs'!$B$7)^2+('Inputs'!$B$6/2)^2)-(((717-43)*MAX('Inputs'!$B$33,'Inputs'!$B$29+'Inputs'!$B$31+'Inputs'!$B$32,'Inputs'!$B$30+'Inputs'!$B$31+'Inputs'!$B$32)/1000+'Inputs'!$B$21))/SQRT((((717-43)*MAX('Inputs'!$B$33,'Inputs'!$B$29+'Inputs'!$B$31+'Inputs'!$B$32,'Inputs'!$B$30+'Inputs'!$B$31+'Inputs'!$B$32)/1000+'Inputs'!$B$21))^2+('Inputs'!$B$6/2)^2)))-'Results'!C7*(1-'Inputs'!$B$24)*(0.5*((((717-43)*MAX('Inputs'!$B$33,'Inputs'!$B$29+'Inputs'!$B$31+'Inputs'!$B$32,'Inputs'!$B$30+'Inputs'!$B$31+'Inputs'!$B$32)/1000+'Inputs'!$B$21+'Inputs'!$B$7+'Inputs'!$B$10)+'Inputs'!$B$9)/SQRT((((717-43)*MAX('Inputs'!$B$33,'Inputs'!$B$29+'Inputs'!$B$31+'Inputs'!$B$32,'Inputs'!$B$30+'Inputs'!$B$31+'Inputs'!$B$32)/1000+'Inputs'!$B$21+'Inputs'!$B$7+'Inputs'!$B$10)+'Inputs'!$B$9)^2+('Inputs'!$B$8/2)^2)-(((717-43)*MAX('Inputs'!$B$33,'Inputs'!$B$29+'Inputs'!$B$31+'Inputs'!$B$32,'Inputs'!$B$30+'Inputs'!$B$31+'Inputs'!$B$32)/1000+'Inputs'!$B$21+'Inputs'!$B$7+'Inputs'!$B$10))/SQRT((((717-43)*MAX('Inputs'!$B$33,'Inputs'!$B$29+'Inputs'!$B$31+'Inputs'!$B$32,'Inputs'!$B$30+'Inputs'!$B$31+'Inputs'!$B$32)/1000+'Inputs'!$B$21+'Inputs'!$B$7+'Inputs'!$B$10))^2+('Inputs'!$B$8/2)^2))))*'Results'!$B$8))),"")</x:f>
        <x:v>1.6853823950394586</x:v>
      </x:c>
      <x:c r="M717" t="n">
        <x:f>IF(AND(ISNUMBER('Results'!C7),ISNUMBER('Results'!B7),ISNUMBER('Results'!$B$8),ISNUMBER('Inputs'!$B$6),ISNUMBER('Inputs'!$B$7),ISNUMBER('Inputs'!$B$8),ISNUMBER('Inputs'!$B$9),ISNUMBER('Inputs'!$B$10),ISNUMBER('Inputs'!$B$21),ISNUMBER('Inputs'!$B$24),ISNUMBER('Inputs'!$B$28)),(('Results'!C7*(0.5*((((717-43)*MAX('Inputs'!$B$33,'Inputs'!$B$29+'Inputs'!$B$31+'Inputs'!$B$32,'Inputs'!$B$30+'Inputs'!$B$31+'Inputs'!$B$32)/1000+'Inputs'!$B$21)+'Inputs'!$B$9)/SQRT((((717-43)*MAX('Inputs'!$B$33,'Inputs'!$B$29+'Inputs'!$B$31+'Inputs'!$B$32,'Inputs'!$B$30+'Inputs'!$B$31+'Inputs'!$B$32)/1000+'Inputs'!$B$21)+'Inputs'!$B$9)^2+('Inputs'!$B$8/2)^2)-(((717-43)*MAX('Inputs'!$B$33,'Inputs'!$B$29+'Inputs'!$B$31+'Inputs'!$B$32,'Inputs'!$B$30+'Inputs'!$B$31+'Inputs'!$B$32)/1000+'Inputs'!$B$21))/SQRT((((717-43)*MAX('Inputs'!$B$33,'Inputs'!$B$29+'Inputs'!$B$31+'Inputs'!$B$32,'Inputs'!$B$30+'Inputs'!$B$31+'Inputs'!$B$32)/1000+'Inputs'!$B$21))^2+('Inputs'!$B$8/2)^2)))-'Results'!B7*(0.5*((((717-43)*MAX('Inputs'!$B$33,'Inputs'!$B$29+'Inputs'!$B$31+'Inputs'!$B$32,'Inputs'!$B$30+'Inputs'!$B$31+'Inputs'!$B$32)/1000+'Inputs'!$B$21+'Inputs'!$B$9+'Inputs'!$B$10)+'Inputs'!$B$7)/SQRT((((717-43)*MAX('Inputs'!$B$33,'Inputs'!$B$29+'Inputs'!$B$31+'Inputs'!$B$32,'Inputs'!$B$30+'Inputs'!$B$31+'Inputs'!$B$32)/1000+'Inputs'!$B$21+'Inputs'!$B$9+'Inputs'!$B$10)+'Inputs'!$B$7)^2+('Inputs'!$B$6/2)^2)-(((717-43)*MAX('Inputs'!$B$33,'Inputs'!$B$29+'Inputs'!$B$31+'Inputs'!$B$32,'Inputs'!$B$30+'Inputs'!$B$31+'Inputs'!$B$32)/1000+'Inputs'!$B$21+'Inputs'!$B$9+'Inputs'!$B$10))/SQRT((((717-43)*MAX('Inputs'!$B$33,'Inputs'!$B$29+'Inputs'!$B$31+'Inputs'!$B$32,'Inputs'!$B$30+'Inputs'!$B$31+'Inputs'!$B$32)/1000+'Inputs'!$B$21+'Inputs'!$B$9+'Inputs'!$B$10))^2+('Inputs'!$B$6/2)^2))))*'Results'!$B$8),"")</x:f>
        <x:v>1.350212912273234</x:v>
      </x:c>
      <x:c r="N717" t="n">
        <x:f>IF(AND(ISNUMBER('Results'!C7),ISNUMBER('Results'!B7),ISNUMBER('Results'!$B$8),ISNUMBER('Inputs'!$B$6),ISNUMBER('Inputs'!$B$7),ISNUMBER('Inputs'!$B$8),ISNUMBER('Inputs'!$B$9),ISNUMBER('Inputs'!$B$10),ISNUMBER('Inputs'!$B$21),ISNUMBER('Inputs'!$B$24),ISNUMBER('Inputs'!$B$28)),((('Results'!C7*(1-'Inputs'!$B$24)*(0.5*((((717-43)*MAX('Inputs'!$B$33,'Inputs'!$B$29+'Inputs'!$B$31+'Inputs'!$B$32,'Inputs'!$B$30+'Inputs'!$B$31+'Inputs'!$B$32)/1000+'Inputs'!$B$21)+'Inputs'!$B$9)/SQRT((((717-43)*MAX('Inputs'!$B$33,'Inputs'!$B$29+'Inputs'!$B$31+'Inputs'!$B$32,'Inputs'!$B$30+'Inputs'!$B$31+'Inputs'!$B$32)/1000+'Inputs'!$B$21)+'Inputs'!$B$9)^2+('Inputs'!$B$8/2)^2)-(((717-43)*MAX('Inputs'!$B$33,'Inputs'!$B$29+'Inputs'!$B$31+'Inputs'!$B$32,'Inputs'!$B$30+'Inputs'!$B$31+'Inputs'!$B$32)/1000+'Inputs'!$B$21))/SQRT((((717-43)*MAX('Inputs'!$B$33,'Inputs'!$B$29+'Inputs'!$B$31+'Inputs'!$B$32,'Inputs'!$B$30+'Inputs'!$B$31+'Inputs'!$B$32)/1000+'Inputs'!$B$21))^2+('Inputs'!$B$8/2)^2)))-'Results'!B7*(1+'Inputs'!$B$24)*(0.5*((((717-43)*MAX('Inputs'!$B$33,'Inputs'!$B$29+'Inputs'!$B$31+'Inputs'!$B$32,'Inputs'!$B$30+'Inputs'!$B$31+'Inputs'!$B$32)/1000+'Inputs'!$B$21+'Inputs'!$B$9+'Inputs'!$B$10)+'Inputs'!$B$7)/SQRT((((717-43)*MAX('Inputs'!$B$33,'Inputs'!$B$29+'Inputs'!$B$31+'Inputs'!$B$32,'Inputs'!$B$30+'Inputs'!$B$31+'Inputs'!$B$32)/1000+'Inputs'!$B$21+'Inputs'!$B$9+'Inputs'!$B$10)+'Inputs'!$B$7)^2+('Inputs'!$B$6/2)^2)-(((717-43)*MAX('Inputs'!$B$33,'Inputs'!$B$29+'Inputs'!$B$31+'Inputs'!$B$32,'Inputs'!$B$30+'Inputs'!$B$31+'Inputs'!$B$32)/1000+'Inputs'!$B$21+'Inputs'!$B$9+'Inputs'!$B$10))/SQRT((((717-43)*MAX('Inputs'!$B$33,'Inputs'!$B$29+'Inputs'!$B$31+'Inputs'!$B$32,'Inputs'!$B$30+'Inputs'!$B$31+'Inputs'!$B$32)/1000+'Inputs'!$B$21+'Inputs'!$B$9+'Inputs'!$B$10))^2+('Inputs'!$B$6/2)^2))))*'Results'!$B$8)-'Inputs'!$B$28*ABS((('Results'!C7*(1-'Inputs'!$B$24)*(0.5*((((717-43)*MAX('Inputs'!$B$33,'Inputs'!$B$29+'Inputs'!$B$31+'Inputs'!$B$32,'Inputs'!$B$30+'Inputs'!$B$31+'Inputs'!$B$32)/1000+'Inputs'!$B$21)+'Inputs'!$B$9)/SQRT((((717-43)*MAX('Inputs'!$B$33,'Inputs'!$B$29+'Inputs'!$B$31+'Inputs'!$B$32,'Inputs'!$B$30+'Inputs'!$B$31+'Inputs'!$B$32)/1000+'Inputs'!$B$21)+'Inputs'!$B$9)^2+('Inputs'!$B$8/2)^2)-(((717-43)*MAX('Inputs'!$B$33,'Inputs'!$B$29+'Inputs'!$B$31+'Inputs'!$B$32,'Inputs'!$B$30+'Inputs'!$B$31+'Inputs'!$B$32)/1000+'Inputs'!$B$21))/SQRT((((717-43)*MAX('Inputs'!$B$33,'Inputs'!$B$29+'Inputs'!$B$31+'Inputs'!$B$32,'Inputs'!$B$30+'Inputs'!$B$31+'Inputs'!$B$32)/1000+'Inputs'!$B$21))^2+('Inputs'!$B$8/2)^2)))-'Results'!B7*(1+'Inputs'!$B$24)*(0.5*((((717-43)*MAX('Inputs'!$B$33,'Inputs'!$B$29+'Inputs'!$B$31+'Inputs'!$B$32,'Inputs'!$B$30+'Inputs'!$B$31+'Inputs'!$B$32)/1000+'Inputs'!$B$21+'Inputs'!$B$9+'Inputs'!$B$10)+'Inputs'!$B$7)/SQRT((((717-43)*MAX('Inputs'!$B$33,'Inputs'!$B$29+'Inputs'!$B$31+'Inputs'!$B$32,'Inputs'!$B$30+'Inputs'!$B$31+'Inputs'!$B$32)/1000+'Inputs'!$B$21+'Inputs'!$B$9+'Inputs'!$B$10)+'Inputs'!$B$7)^2+('Inputs'!$B$6/2)^2)-(((717-43)*MAX('Inputs'!$B$33,'Inputs'!$B$29+'Inputs'!$B$31+'Inputs'!$B$32,'Inputs'!$B$30+'Inputs'!$B$31+'Inputs'!$B$32)/1000+'Inputs'!$B$21+'Inputs'!$B$9+'Inputs'!$B$10))/SQRT((((717-43)*MAX('Inputs'!$B$33,'Inputs'!$B$29+'Inputs'!$B$31+'Inputs'!$B$32,'Inputs'!$B$30+'Inputs'!$B$31+'Inputs'!$B$32)/1000+'Inputs'!$B$21+'Inputs'!$B$9+'Inputs'!$B$10))^2+('Inputs'!$B$6/2)^2))))*'Results'!$B$8))),"")</x:f>
        <x:v>1.1626334013712716</x:v>
      </x:c>
      <x:c r="O717" t="n">
        <x:f>IF(AND(ISNUMBER('Results'!C7),ISNUMBER('Results'!B7),ISNUMBER('Results'!$B$8),ISNUMBER('Inputs'!$B$6),ISNUMBER('Inputs'!$B$7),ISNUMBER('Inputs'!$B$8),ISNUMBER('Inputs'!$B$9),ISNUMBER('Inputs'!$B$10),ISNUMBER('Inputs'!$B$21),ISNUMBER('Inputs'!$B$24),ISNUMBER('Inputs'!$B$28)),((('Results'!C7*(1+'Inputs'!$B$24)*(0.5*((((717-43)*MAX('Inputs'!$B$33,'Inputs'!$B$29+'Inputs'!$B$31+'Inputs'!$B$32,'Inputs'!$B$30+'Inputs'!$B$31+'Inputs'!$B$32)/1000+'Inputs'!$B$21)+'Inputs'!$B$9)/SQRT((((717-43)*MAX('Inputs'!$B$33,'Inputs'!$B$29+'Inputs'!$B$31+'Inputs'!$B$32,'Inputs'!$B$30+'Inputs'!$B$31+'Inputs'!$B$32)/1000+'Inputs'!$B$21)+'Inputs'!$B$9)^2+('Inputs'!$B$8/2)^2)-(((717-43)*MAX('Inputs'!$B$33,'Inputs'!$B$29+'Inputs'!$B$31+'Inputs'!$B$32,'Inputs'!$B$30+'Inputs'!$B$31+'Inputs'!$B$32)/1000+'Inputs'!$B$21))/SQRT((((717-43)*MAX('Inputs'!$B$33,'Inputs'!$B$29+'Inputs'!$B$31+'Inputs'!$B$32,'Inputs'!$B$30+'Inputs'!$B$31+'Inputs'!$B$32)/1000+'Inputs'!$B$21))^2+('Inputs'!$B$8/2)^2)))-'Results'!B7*(1-'Inputs'!$B$24)*(0.5*((((717-43)*MAX('Inputs'!$B$33,'Inputs'!$B$29+'Inputs'!$B$31+'Inputs'!$B$32,'Inputs'!$B$30+'Inputs'!$B$31+'Inputs'!$B$32)/1000+'Inputs'!$B$21+'Inputs'!$B$9+'Inputs'!$B$10)+'Inputs'!$B$7)/SQRT((((717-43)*MAX('Inputs'!$B$33,'Inputs'!$B$29+'Inputs'!$B$31+'Inputs'!$B$32,'Inputs'!$B$30+'Inputs'!$B$31+'Inputs'!$B$32)/1000+'Inputs'!$B$21+'Inputs'!$B$9+'Inputs'!$B$10)+'Inputs'!$B$7)^2+('Inputs'!$B$6/2)^2)-(((717-43)*MAX('Inputs'!$B$33,'Inputs'!$B$29+'Inputs'!$B$31+'Inputs'!$B$32,'Inputs'!$B$30+'Inputs'!$B$31+'Inputs'!$B$32)/1000+'Inputs'!$B$21+'Inputs'!$B$9+'Inputs'!$B$10))/SQRT((((717-43)*MAX('Inputs'!$B$33,'Inputs'!$B$29+'Inputs'!$B$31+'Inputs'!$B$32,'Inputs'!$B$30+'Inputs'!$B$31+'Inputs'!$B$32)/1000+'Inputs'!$B$21+'Inputs'!$B$9+'Inputs'!$B$10))^2+('Inputs'!$B$6/2)^2))))*'Results'!$B$8)+'Inputs'!$B$28*ABS((('Results'!C7*(1+'Inputs'!$B$24)*(0.5*((((717-43)*MAX('Inputs'!$B$33,'Inputs'!$B$29+'Inputs'!$B$31+'Inputs'!$B$32,'Inputs'!$B$30+'Inputs'!$B$31+'Inputs'!$B$32)/1000+'Inputs'!$B$21)+'Inputs'!$B$9)/SQRT((((717-43)*MAX('Inputs'!$B$33,'Inputs'!$B$29+'Inputs'!$B$31+'Inputs'!$B$32,'Inputs'!$B$30+'Inputs'!$B$31+'Inputs'!$B$32)/1000+'Inputs'!$B$21)+'Inputs'!$B$9)^2+('Inputs'!$B$8/2)^2)-(((717-43)*MAX('Inputs'!$B$33,'Inputs'!$B$29+'Inputs'!$B$31+'Inputs'!$B$32,'Inputs'!$B$30+'Inputs'!$B$31+'Inputs'!$B$32)/1000+'Inputs'!$B$21))/SQRT((((717-43)*MAX('Inputs'!$B$33,'Inputs'!$B$29+'Inputs'!$B$31+'Inputs'!$B$32,'Inputs'!$B$30+'Inputs'!$B$31+'Inputs'!$B$32)/1000+'Inputs'!$B$21))^2+('Inputs'!$B$8/2)^2)))-'Results'!B7*(1-'Inputs'!$B$24)*(0.5*((((717-43)*MAX('Inputs'!$B$33,'Inputs'!$B$29+'Inputs'!$B$31+'Inputs'!$B$32,'Inputs'!$B$30+'Inputs'!$B$31+'Inputs'!$B$32)/1000+'Inputs'!$B$21+'Inputs'!$B$9+'Inputs'!$B$10)+'Inputs'!$B$7)/SQRT((((717-43)*MAX('Inputs'!$B$33,'Inputs'!$B$29+'Inputs'!$B$31+'Inputs'!$B$32,'Inputs'!$B$30+'Inputs'!$B$31+'Inputs'!$B$32)/1000+'Inputs'!$B$21+'Inputs'!$B$9+'Inputs'!$B$10)+'Inputs'!$B$7)^2+('Inputs'!$B$6/2)^2)-(((717-43)*MAX('Inputs'!$B$33,'Inputs'!$B$29+'Inputs'!$B$31+'Inputs'!$B$32,'Inputs'!$B$30+'Inputs'!$B$31+'Inputs'!$B$32)/1000+'Inputs'!$B$21+'Inputs'!$B$9+'Inputs'!$B$10))/SQRT((((717-43)*MAX('Inputs'!$B$33,'Inputs'!$B$29+'Inputs'!$B$31+'Inputs'!$B$32,'Inputs'!$B$30+'Inputs'!$B$31+'Inputs'!$B$32)/1000+'Inputs'!$B$21+'Inputs'!$B$9+'Inputs'!$B$10))^2+('Inputs'!$B$6/2)^2))))*'Results'!$B$8))),"")</x:f>
        <x:v>1.550431251100281</x:v>
      </x:c>
      <x:c r="P717" t="n">
        <x:f>IF(AND(MAX(J717,J716)&gt;0,J717&gt;J716+0.00000001),1,0)</x:f>
        <x:v>0</x:v>
      </x:c>
      <x:c r="Q717" t="n">
        <x:f>IF(AND(MAX(K717,K716)&gt;0,K717&gt;K716+0.00000001),1,0)</x:f>
        <x:v>0</x:v>
      </x:c>
      <x:c r="R717" t="n">
        <x:f>IF(AND(MAX(L717,L716)&gt;0,L717&gt;L716+0.00000001),1,0)</x:f>
        <x:v>0</x:v>
      </x:c>
      <x:c r="S717" t="n">
        <x:f>IF(AND(MAX(M717,M716)&gt;0,M717&gt;M716+0.00000001),1,0)</x:f>
        <x:v>0</x:v>
      </x:c>
      <x:c r="T717" t="n">
        <x:f>IF(AND(MAX(N717,N716)&gt;0,N717&gt;N716+0.00000001),1,0)</x:f>
        <x:v>0</x:v>
      </x:c>
      <x:c r="U717" t="n">
        <x:f>IF(AND(MAX(O717,O716)&gt;0,O717&gt;O716+0.00000001),1,0)</x:f>
        <x:v>0</x:v>
      </x:c>
    </x:row>
    <x:row r="718">
      <x:c r="J718" t="n">
        <x:f>IF(AND(ISNUMBER('Results'!B7),ISNUMBER('Results'!C7),ISNUMBER('Results'!$B$8),ISNUMBER('Inputs'!$B$6),ISNUMBER('Inputs'!$B$7),ISNUMBER('Inputs'!$B$8),ISNUMBER('Inputs'!$B$9),ISNUMBER('Inputs'!$B$10),ISNUMBER('Inputs'!$B$21),ISNUMBER('Inputs'!$B$24),ISNUMBER('Inputs'!$B$28)),(('Results'!B7*(0.5*((((718-43)*MAX('Inputs'!$B$33,'Inputs'!$B$29+'Inputs'!$B$31+'Inputs'!$B$32,'Inputs'!$B$30+'Inputs'!$B$31+'Inputs'!$B$32)/1000+'Inputs'!$B$21)+'Inputs'!$B$7)/SQRT((((718-43)*MAX('Inputs'!$B$33,'Inputs'!$B$29+'Inputs'!$B$31+'Inputs'!$B$32,'Inputs'!$B$30+'Inputs'!$B$31+'Inputs'!$B$32)/1000+'Inputs'!$B$21)+'Inputs'!$B$7)^2+('Inputs'!$B$6/2)^2)-(((718-43)*MAX('Inputs'!$B$33,'Inputs'!$B$29+'Inputs'!$B$31+'Inputs'!$B$32,'Inputs'!$B$30+'Inputs'!$B$31+'Inputs'!$B$32)/1000+'Inputs'!$B$21))/SQRT((((718-43)*MAX('Inputs'!$B$33,'Inputs'!$B$29+'Inputs'!$B$31+'Inputs'!$B$32,'Inputs'!$B$30+'Inputs'!$B$31+'Inputs'!$B$32)/1000+'Inputs'!$B$21))^2+('Inputs'!$B$6/2)^2)))-'Results'!C7*(0.5*((((718-43)*MAX('Inputs'!$B$33,'Inputs'!$B$29+'Inputs'!$B$31+'Inputs'!$B$32,'Inputs'!$B$30+'Inputs'!$B$31+'Inputs'!$B$32)/1000+'Inputs'!$B$21+'Inputs'!$B$7+'Inputs'!$B$10)+'Inputs'!$B$9)/SQRT((((718-43)*MAX('Inputs'!$B$33,'Inputs'!$B$29+'Inputs'!$B$31+'Inputs'!$B$32,'Inputs'!$B$30+'Inputs'!$B$31+'Inputs'!$B$32)/1000+'Inputs'!$B$21+'Inputs'!$B$7+'Inputs'!$B$10)+'Inputs'!$B$9)^2+('Inputs'!$B$8/2)^2)-(((718-43)*MAX('Inputs'!$B$33,'Inputs'!$B$29+'Inputs'!$B$31+'Inputs'!$B$32,'Inputs'!$B$30+'Inputs'!$B$31+'Inputs'!$B$32)/1000+'Inputs'!$B$21+'Inputs'!$B$7+'Inputs'!$B$10))/SQRT((((718-43)*MAX('Inputs'!$B$33,'Inputs'!$B$29+'Inputs'!$B$31+'Inputs'!$B$32,'Inputs'!$B$30+'Inputs'!$B$31+'Inputs'!$B$32)/1000+'Inputs'!$B$21+'Inputs'!$B$7+'Inputs'!$B$10))^2+('Inputs'!$B$8/2)^2))))*'Results'!$B$8),"")</x:f>
        <x:v>1.470429223455264</x:v>
      </x:c>
      <x:c r="K718" t="n">
        <x:f>IF(AND(ISNUMBER('Results'!B7),ISNUMBER('Results'!C7),ISNUMBER('Results'!$B$8),ISNUMBER('Inputs'!$B$6),ISNUMBER('Inputs'!$B$7),ISNUMBER('Inputs'!$B$8),ISNUMBER('Inputs'!$B$9),ISNUMBER('Inputs'!$B$10),ISNUMBER('Inputs'!$B$21),ISNUMBER('Inputs'!$B$24),ISNUMBER('Inputs'!$B$28)),((('Results'!B7*(1-'Inputs'!$B$24)*(0.5*((((718-43)*MAX('Inputs'!$B$33,'Inputs'!$B$29+'Inputs'!$B$31+'Inputs'!$B$32,'Inputs'!$B$30+'Inputs'!$B$31+'Inputs'!$B$32)/1000+'Inputs'!$B$21)+'Inputs'!$B$7)/SQRT((((718-43)*MAX('Inputs'!$B$33,'Inputs'!$B$29+'Inputs'!$B$31+'Inputs'!$B$32,'Inputs'!$B$30+'Inputs'!$B$31+'Inputs'!$B$32)/1000+'Inputs'!$B$21)+'Inputs'!$B$7)^2+('Inputs'!$B$6/2)^2)-(((718-43)*MAX('Inputs'!$B$33,'Inputs'!$B$29+'Inputs'!$B$31+'Inputs'!$B$32,'Inputs'!$B$30+'Inputs'!$B$31+'Inputs'!$B$32)/1000+'Inputs'!$B$21))/SQRT((((718-43)*MAX('Inputs'!$B$33,'Inputs'!$B$29+'Inputs'!$B$31+'Inputs'!$B$32,'Inputs'!$B$30+'Inputs'!$B$31+'Inputs'!$B$32)/1000+'Inputs'!$B$21))^2+('Inputs'!$B$6/2)^2)))-'Results'!C7*(1+'Inputs'!$B$24)*(0.5*((((718-43)*MAX('Inputs'!$B$33,'Inputs'!$B$29+'Inputs'!$B$31+'Inputs'!$B$32,'Inputs'!$B$30+'Inputs'!$B$31+'Inputs'!$B$32)/1000+'Inputs'!$B$21+'Inputs'!$B$7+'Inputs'!$B$10)+'Inputs'!$B$9)/SQRT((((718-43)*MAX('Inputs'!$B$33,'Inputs'!$B$29+'Inputs'!$B$31+'Inputs'!$B$32,'Inputs'!$B$30+'Inputs'!$B$31+'Inputs'!$B$32)/1000+'Inputs'!$B$21+'Inputs'!$B$7+'Inputs'!$B$10)+'Inputs'!$B$9)^2+('Inputs'!$B$8/2)^2)-(((718-43)*MAX('Inputs'!$B$33,'Inputs'!$B$29+'Inputs'!$B$31+'Inputs'!$B$32,'Inputs'!$B$30+'Inputs'!$B$31+'Inputs'!$B$32)/1000+'Inputs'!$B$21+'Inputs'!$B$7+'Inputs'!$B$10))/SQRT((((718-43)*MAX('Inputs'!$B$33,'Inputs'!$B$29+'Inputs'!$B$31+'Inputs'!$B$32,'Inputs'!$B$30+'Inputs'!$B$31+'Inputs'!$B$32)/1000+'Inputs'!$B$21+'Inputs'!$B$7+'Inputs'!$B$10))^2+('Inputs'!$B$8/2)^2))))*'Results'!$B$8)-'Inputs'!$B$28*ABS((('Results'!B7*(1-'Inputs'!$B$24)*(0.5*((((718-43)*MAX('Inputs'!$B$33,'Inputs'!$B$29+'Inputs'!$B$31+'Inputs'!$B$32,'Inputs'!$B$30+'Inputs'!$B$31+'Inputs'!$B$32)/1000+'Inputs'!$B$21)+'Inputs'!$B$7)/SQRT((((718-43)*MAX('Inputs'!$B$33,'Inputs'!$B$29+'Inputs'!$B$31+'Inputs'!$B$32,'Inputs'!$B$30+'Inputs'!$B$31+'Inputs'!$B$32)/1000+'Inputs'!$B$21)+'Inputs'!$B$7)^2+('Inputs'!$B$6/2)^2)-(((718-43)*MAX('Inputs'!$B$33,'Inputs'!$B$29+'Inputs'!$B$31+'Inputs'!$B$32,'Inputs'!$B$30+'Inputs'!$B$31+'Inputs'!$B$32)/1000+'Inputs'!$B$21))/SQRT((((718-43)*MAX('Inputs'!$B$33,'Inputs'!$B$29+'Inputs'!$B$31+'Inputs'!$B$32,'Inputs'!$B$30+'Inputs'!$B$31+'Inputs'!$B$32)/1000+'Inputs'!$B$21))^2+('Inputs'!$B$6/2)^2)))-'Results'!C7*(1+'Inputs'!$B$24)*(0.5*((((718-43)*MAX('Inputs'!$B$33,'Inputs'!$B$29+'Inputs'!$B$31+'Inputs'!$B$32,'Inputs'!$B$30+'Inputs'!$B$31+'Inputs'!$B$32)/1000+'Inputs'!$B$21+'Inputs'!$B$7+'Inputs'!$B$10)+'Inputs'!$B$9)/SQRT((((718-43)*MAX('Inputs'!$B$33,'Inputs'!$B$29+'Inputs'!$B$31+'Inputs'!$B$32,'Inputs'!$B$30+'Inputs'!$B$31+'Inputs'!$B$32)/1000+'Inputs'!$B$21+'Inputs'!$B$7+'Inputs'!$B$10)+'Inputs'!$B$9)^2+('Inputs'!$B$8/2)^2)-(((718-43)*MAX('Inputs'!$B$33,'Inputs'!$B$29+'Inputs'!$B$31+'Inputs'!$B$32,'Inputs'!$B$30+'Inputs'!$B$31+'Inputs'!$B$32)/1000+'Inputs'!$B$21+'Inputs'!$B$7+'Inputs'!$B$10))/SQRT((((718-43)*MAX('Inputs'!$B$33,'Inputs'!$B$29+'Inputs'!$B$31+'Inputs'!$B$32,'Inputs'!$B$30+'Inputs'!$B$31+'Inputs'!$B$32)/1000+'Inputs'!$B$21+'Inputs'!$B$7+'Inputs'!$B$10))^2+('Inputs'!$B$8/2)^2))))*'Results'!$B$8))),"")</x:f>
        <x:v>1.2767825530022197</x:v>
      </x:c>
      <x:c r="L718" t="n">
        <x:f>IF(AND(ISNUMBER('Results'!B7),ISNUMBER('Results'!C7),ISNUMBER('Results'!$B$8),ISNUMBER('Inputs'!$B$6),ISNUMBER('Inputs'!$B$7),ISNUMBER('Inputs'!$B$8),ISNUMBER('Inputs'!$B$9),ISNUMBER('Inputs'!$B$10),ISNUMBER('Inputs'!$B$21),ISNUMBER('Inputs'!$B$24),ISNUMBER('Inputs'!$B$28)),((('Results'!B7*(1+'Inputs'!$B$24)*(0.5*((((718-43)*MAX('Inputs'!$B$33,'Inputs'!$B$29+'Inputs'!$B$31+'Inputs'!$B$32,'Inputs'!$B$30+'Inputs'!$B$31+'Inputs'!$B$32)/1000+'Inputs'!$B$21)+'Inputs'!$B$7)/SQRT((((718-43)*MAX('Inputs'!$B$33,'Inputs'!$B$29+'Inputs'!$B$31+'Inputs'!$B$32,'Inputs'!$B$30+'Inputs'!$B$31+'Inputs'!$B$32)/1000+'Inputs'!$B$21)+'Inputs'!$B$7)^2+('Inputs'!$B$6/2)^2)-(((718-43)*MAX('Inputs'!$B$33,'Inputs'!$B$29+'Inputs'!$B$31+'Inputs'!$B$32,'Inputs'!$B$30+'Inputs'!$B$31+'Inputs'!$B$32)/1000+'Inputs'!$B$21))/SQRT((((718-43)*MAX('Inputs'!$B$33,'Inputs'!$B$29+'Inputs'!$B$31+'Inputs'!$B$32,'Inputs'!$B$30+'Inputs'!$B$31+'Inputs'!$B$32)/1000+'Inputs'!$B$21))^2+('Inputs'!$B$6/2)^2)))-'Results'!C7*(1-'Inputs'!$B$24)*(0.5*((((718-43)*MAX('Inputs'!$B$33,'Inputs'!$B$29+'Inputs'!$B$31+'Inputs'!$B$32,'Inputs'!$B$30+'Inputs'!$B$31+'Inputs'!$B$32)/1000+'Inputs'!$B$21+'Inputs'!$B$7+'Inputs'!$B$10)+'Inputs'!$B$9)/SQRT((((718-43)*MAX('Inputs'!$B$33,'Inputs'!$B$29+'Inputs'!$B$31+'Inputs'!$B$32,'Inputs'!$B$30+'Inputs'!$B$31+'Inputs'!$B$32)/1000+'Inputs'!$B$21+'Inputs'!$B$7+'Inputs'!$B$10)+'Inputs'!$B$9)^2+('Inputs'!$B$8/2)^2)-(((718-43)*MAX('Inputs'!$B$33,'Inputs'!$B$29+'Inputs'!$B$31+'Inputs'!$B$32,'Inputs'!$B$30+'Inputs'!$B$31+'Inputs'!$B$32)/1000+'Inputs'!$B$21+'Inputs'!$B$7+'Inputs'!$B$10))/SQRT((((718-43)*MAX('Inputs'!$B$33,'Inputs'!$B$29+'Inputs'!$B$31+'Inputs'!$B$32,'Inputs'!$B$30+'Inputs'!$B$31+'Inputs'!$B$32)/1000+'Inputs'!$B$21+'Inputs'!$B$7+'Inputs'!$B$10))^2+('Inputs'!$B$8/2)^2))))*'Results'!$B$8)+'Inputs'!$B$28*ABS((('Results'!B7*(1+'Inputs'!$B$24)*(0.5*((((718-43)*MAX('Inputs'!$B$33,'Inputs'!$B$29+'Inputs'!$B$31+'Inputs'!$B$32,'Inputs'!$B$30+'Inputs'!$B$31+'Inputs'!$B$32)/1000+'Inputs'!$B$21)+'Inputs'!$B$7)/SQRT((((718-43)*MAX('Inputs'!$B$33,'Inputs'!$B$29+'Inputs'!$B$31+'Inputs'!$B$32,'Inputs'!$B$30+'Inputs'!$B$31+'Inputs'!$B$32)/1000+'Inputs'!$B$21)+'Inputs'!$B$7)^2+('Inputs'!$B$6/2)^2)-(((718-43)*MAX('Inputs'!$B$33,'Inputs'!$B$29+'Inputs'!$B$31+'Inputs'!$B$32,'Inputs'!$B$30+'Inputs'!$B$31+'Inputs'!$B$32)/1000+'Inputs'!$B$21))/SQRT((((718-43)*MAX('Inputs'!$B$33,'Inputs'!$B$29+'Inputs'!$B$31+'Inputs'!$B$32,'Inputs'!$B$30+'Inputs'!$B$31+'Inputs'!$B$32)/1000+'Inputs'!$B$21))^2+('Inputs'!$B$6/2)^2)))-'Results'!C7*(1-'Inputs'!$B$24)*(0.5*((((718-43)*MAX('Inputs'!$B$33,'Inputs'!$B$29+'Inputs'!$B$31+'Inputs'!$B$32,'Inputs'!$B$30+'Inputs'!$B$31+'Inputs'!$B$32)/1000+'Inputs'!$B$21+'Inputs'!$B$7+'Inputs'!$B$10)+'Inputs'!$B$9)/SQRT((((718-43)*MAX('Inputs'!$B$33,'Inputs'!$B$29+'Inputs'!$B$31+'Inputs'!$B$32,'Inputs'!$B$30+'Inputs'!$B$31+'Inputs'!$B$32)/1000+'Inputs'!$B$21+'Inputs'!$B$7+'Inputs'!$B$10)+'Inputs'!$B$9)^2+('Inputs'!$B$8/2)^2)-(((718-43)*MAX('Inputs'!$B$33,'Inputs'!$B$29+'Inputs'!$B$31+'Inputs'!$B$32,'Inputs'!$B$30+'Inputs'!$B$31+'Inputs'!$B$32)/1000+'Inputs'!$B$21+'Inputs'!$B$7+'Inputs'!$B$10))/SQRT((((718-43)*MAX('Inputs'!$B$33,'Inputs'!$B$29+'Inputs'!$B$31+'Inputs'!$B$32,'Inputs'!$B$30+'Inputs'!$B$31+'Inputs'!$B$32)/1000+'Inputs'!$B$21+'Inputs'!$B$7+'Inputs'!$B$10))^2+('Inputs'!$B$8/2)^2))))*'Results'!$B$8))),"")</x:f>
        <x:v>1.6767206527799177</x:v>
      </x:c>
      <x:c r="M718" t="n">
        <x:f>IF(AND(ISNUMBER('Results'!C7),ISNUMBER('Results'!B7),ISNUMBER('Results'!$B$8),ISNUMBER('Inputs'!$B$6),ISNUMBER('Inputs'!$B$7),ISNUMBER('Inputs'!$B$8),ISNUMBER('Inputs'!$B$9),ISNUMBER('Inputs'!$B$10),ISNUMBER('Inputs'!$B$21),ISNUMBER('Inputs'!$B$24),ISNUMBER('Inputs'!$B$28)),(('Results'!C7*(0.5*((((718-43)*MAX('Inputs'!$B$33,'Inputs'!$B$29+'Inputs'!$B$31+'Inputs'!$B$32,'Inputs'!$B$30+'Inputs'!$B$31+'Inputs'!$B$32)/1000+'Inputs'!$B$21)+'Inputs'!$B$9)/SQRT((((718-43)*MAX('Inputs'!$B$33,'Inputs'!$B$29+'Inputs'!$B$31+'Inputs'!$B$32,'Inputs'!$B$30+'Inputs'!$B$31+'Inputs'!$B$32)/1000+'Inputs'!$B$21)+'Inputs'!$B$9)^2+('Inputs'!$B$8/2)^2)-(((718-43)*MAX('Inputs'!$B$33,'Inputs'!$B$29+'Inputs'!$B$31+'Inputs'!$B$32,'Inputs'!$B$30+'Inputs'!$B$31+'Inputs'!$B$32)/1000+'Inputs'!$B$21))/SQRT((((718-43)*MAX('Inputs'!$B$33,'Inputs'!$B$29+'Inputs'!$B$31+'Inputs'!$B$32,'Inputs'!$B$30+'Inputs'!$B$31+'Inputs'!$B$32)/1000+'Inputs'!$B$21))^2+('Inputs'!$B$8/2)^2)))-'Results'!B7*(0.5*((((718-43)*MAX('Inputs'!$B$33,'Inputs'!$B$29+'Inputs'!$B$31+'Inputs'!$B$32,'Inputs'!$B$30+'Inputs'!$B$31+'Inputs'!$B$32)/1000+'Inputs'!$B$21+'Inputs'!$B$9+'Inputs'!$B$10)+'Inputs'!$B$7)/SQRT((((718-43)*MAX('Inputs'!$B$33,'Inputs'!$B$29+'Inputs'!$B$31+'Inputs'!$B$32,'Inputs'!$B$30+'Inputs'!$B$31+'Inputs'!$B$32)/1000+'Inputs'!$B$21+'Inputs'!$B$9+'Inputs'!$B$10)+'Inputs'!$B$7)^2+('Inputs'!$B$6/2)^2)-(((718-43)*MAX('Inputs'!$B$33,'Inputs'!$B$29+'Inputs'!$B$31+'Inputs'!$B$32,'Inputs'!$B$30+'Inputs'!$B$31+'Inputs'!$B$32)/1000+'Inputs'!$B$21+'Inputs'!$B$9+'Inputs'!$B$10))/SQRT((((718-43)*MAX('Inputs'!$B$33,'Inputs'!$B$29+'Inputs'!$B$31+'Inputs'!$B$32,'Inputs'!$B$30+'Inputs'!$B$31+'Inputs'!$B$32)/1000+'Inputs'!$B$21+'Inputs'!$B$9+'Inputs'!$B$10))^2+('Inputs'!$B$6/2)^2))))*'Results'!$B$8),"")</x:f>
        <x:v>1.3429914408182915</x:v>
      </x:c>
      <x:c r="N718" t="n">
        <x:f>IF(AND(ISNUMBER('Results'!C7),ISNUMBER('Results'!B7),ISNUMBER('Results'!$B$8),ISNUMBER('Inputs'!$B$6),ISNUMBER('Inputs'!$B$7),ISNUMBER('Inputs'!$B$8),ISNUMBER('Inputs'!$B$9),ISNUMBER('Inputs'!$B$10),ISNUMBER('Inputs'!$B$21),ISNUMBER('Inputs'!$B$24),ISNUMBER('Inputs'!$B$28)),((('Results'!C7*(1-'Inputs'!$B$24)*(0.5*((((718-43)*MAX('Inputs'!$B$33,'Inputs'!$B$29+'Inputs'!$B$31+'Inputs'!$B$32,'Inputs'!$B$30+'Inputs'!$B$31+'Inputs'!$B$32)/1000+'Inputs'!$B$21)+'Inputs'!$B$9)/SQRT((((718-43)*MAX('Inputs'!$B$33,'Inputs'!$B$29+'Inputs'!$B$31+'Inputs'!$B$32,'Inputs'!$B$30+'Inputs'!$B$31+'Inputs'!$B$32)/1000+'Inputs'!$B$21)+'Inputs'!$B$9)^2+('Inputs'!$B$8/2)^2)-(((718-43)*MAX('Inputs'!$B$33,'Inputs'!$B$29+'Inputs'!$B$31+'Inputs'!$B$32,'Inputs'!$B$30+'Inputs'!$B$31+'Inputs'!$B$32)/1000+'Inputs'!$B$21))/SQRT((((718-43)*MAX('Inputs'!$B$33,'Inputs'!$B$29+'Inputs'!$B$31+'Inputs'!$B$32,'Inputs'!$B$30+'Inputs'!$B$31+'Inputs'!$B$32)/1000+'Inputs'!$B$21))^2+('Inputs'!$B$8/2)^2)))-'Results'!B7*(1+'Inputs'!$B$24)*(0.5*((((718-43)*MAX('Inputs'!$B$33,'Inputs'!$B$29+'Inputs'!$B$31+'Inputs'!$B$32,'Inputs'!$B$30+'Inputs'!$B$31+'Inputs'!$B$32)/1000+'Inputs'!$B$21+'Inputs'!$B$9+'Inputs'!$B$10)+'Inputs'!$B$7)/SQRT((((718-43)*MAX('Inputs'!$B$33,'Inputs'!$B$29+'Inputs'!$B$31+'Inputs'!$B$32,'Inputs'!$B$30+'Inputs'!$B$31+'Inputs'!$B$32)/1000+'Inputs'!$B$21+'Inputs'!$B$9+'Inputs'!$B$10)+'Inputs'!$B$7)^2+('Inputs'!$B$6/2)^2)-(((718-43)*MAX('Inputs'!$B$33,'Inputs'!$B$29+'Inputs'!$B$31+'Inputs'!$B$32,'Inputs'!$B$30+'Inputs'!$B$31+'Inputs'!$B$32)/1000+'Inputs'!$B$21+'Inputs'!$B$9+'Inputs'!$B$10))/SQRT((((718-43)*MAX('Inputs'!$B$33,'Inputs'!$B$29+'Inputs'!$B$31+'Inputs'!$B$32,'Inputs'!$B$30+'Inputs'!$B$31+'Inputs'!$B$32)/1000+'Inputs'!$B$21+'Inputs'!$B$9+'Inputs'!$B$10))^2+('Inputs'!$B$6/2)^2))))*'Results'!$B$8)-'Inputs'!$B$28*ABS((('Results'!C7*(1-'Inputs'!$B$24)*(0.5*((((718-43)*MAX('Inputs'!$B$33,'Inputs'!$B$29+'Inputs'!$B$31+'Inputs'!$B$32,'Inputs'!$B$30+'Inputs'!$B$31+'Inputs'!$B$32)/1000+'Inputs'!$B$21)+'Inputs'!$B$9)/SQRT((((718-43)*MAX('Inputs'!$B$33,'Inputs'!$B$29+'Inputs'!$B$31+'Inputs'!$B$32,'Inputs'!$B$30+'Inputs'!$B$31+'Inputs'!$B$32)/1000+'Inputs'!$B$21)+'Inputs'!$B$9)^2+('Inputs'!$B$8/2)^2)-(((718-43)*MAX('Inputs'!$B$33,'Inputs'!$B$29+'Inputs'!$B$31+'Inputs'!$B$32,'Inputs'!$B$30+'Inputs'!$B$31+'Inputs'!$B$32)/1000+'Inputs'!$B$21))/SQRT((((718-43)*MAX('Inputs'!$B$33,'Inputs'!$B$29+'Inputs'!$B$31+'Inputs'!$B$32,'Inputs'!$B$30+'Inputs'!$B$31+'Inputs'!$B$32)/1000+'Inputs'!$B$21))^2+('Inputs'!$B$8/2)^2)))-'Results'!B7*(1+'Inputs'!$B$24)*(0.5*((((718-43)*MAX('Inputs'!$B$33,'Inputs'!$B$29+'Inputs'!$B$31+'Inputs'!$B$32,'Inputs'!$B$30+'Inputs'!$B$31+'Inputs'!$B$32)/1000+'Inputs'!$B$21+'Inputs'!$B$9+'Inputs'!$B$10)+'Inputs'!$B$7)/SQRT((((718-43)*MAX('Inputs'!$B$33,'Inputs'!$B$29+'Inputs'!$B$31+'Inputs'!$B$32,'Inputs'!$B$30+'Inputs'!$B$31+'Inputs'!$B$32)/1000+'Inputs'!$B$21+'Inputs'!$B$9+'Inputs'!$B$10)+'Inputs'!$B$7)^2+('Inputs'!$B$6/2)^2)-(((718-43)*MAX('Inputs'!$B$33,'Inputs'!$B$29+'Inputs'!$B$31+'Inputs'!$B$32,'Inputs'!$B$30+'Inputs'!$B$31+'Inputs'!$B$32)/1000+'Inputs'!$B$21+'Inputs'!$B$9+'Inputs'!$B$10))/SQRT((((718-43)*MAX('Inputs'!$B$33,'Inputs'!$B$29+'Inputs'!$B$31+'Inputs'!$B$32,'Inputs'!$B$30+'Inputs'!$B$31+'Inputs'!$B$32)/1000+'Inputs'!$B$21+'Inputs'!$B$9+'Inputs'!$B$10))^2+('Inputs'!$B$6/2)^2))))*'Results'!$B$8))),"")</x:f>
        <x:v>1.1562566089175115</x:v>
      </x:c>
      <x:c r="O718" t="n">
        <x:f>IF(AND(ISNUMBER('Results'!C7),ISNUMBER('Results'!B7),ISNUMBER('Results'!$B$8),ISNUMBER('Inputs'!$B$6),ISNUMBER('Inputs'!$B$7),ISNUMBER('Inputs'!$B$8),ISNUMBER('Inputs'!$B$9),ISNUMBER('Inputs'!$B$10),ISNUMBER('Inputs'!$B$21),ISNUMBER('Inputs'!$B$24),ISNUMBER('Inputs'!$B$28)),((('Results'!C7*(1+'Inputs'!$B$24)*(0.5*((((718-43)*MAX('Inputs'!$B$33,'Inputs'!$B$29+'Inputs'!$B$31+'Inputs'!$B$32,'Inputs'!$B$30+'Inputs'!$B$31+'Inputs'!$B$32)/1000+'Inputs'!$B$21)+'Inputs'!$B$9)/SQRT((((718-43)*MAX('Inputs'!$B$33,'Inputs'!$B$29+'Inputs'!$B$31+'Inputs'!$B$32,'Inputs'!$B$30+'Inputs'!$B$31+'Inputs'!$B$32)/1000+'Inputs'!$B$21)+'Inputs'!$B$9)^2+('Inputs'!$B$8/2)^2)-(((718-43)*MAX('Inputs'!$B$33,'Inputs'!$B$29+'Inputs'!$B$31+'Inputs'!$B$32,'Inputs'!$B$30+'Inputs'!$B$31+'Inputs'!$B$32)/1000+'Inputs'!$B$21))/SQRT((((718-43)*MAX('Inputs'!$B$33,'Inputs'!$B$29+'Inputs'!$B$31+'Inputs'!$B$32,'Inputs'!$B$30+'Inputs'!$B$31+'Inputs'!$B$32)/1000+'Inputs'!$B$21))^2+('Inputs'!$B$8/2)^2)))-'Results'!B7*(1-'Inputs'!$B$24)*(0.5*((((718-43)*MAX('Inputs'!$B$33,'Inputs'!$B$29+'Inputs'!$B$31+'Inputs'!$B$32,'Inputs'!$B$30+'Inputs'!$B$31+'Inputs'!$B$32)/1000+'Inputs'!$B$21+'Inputs'!$B$9+'Inputs'!$B$10)+'Inputs'!$B$7)/SQRT((((718-43)*MAX('Inputs'!$B$33,'Inputs'!$B$29+'Inputs'!$B$31+'Inputs'!$B$32,'Inputs'!$B$30+'Inputs'!$B$31+'Inputs'!$B$32)/1000+'Inputs'!$B$21+'Inputs'!$B$9+'Inputs'!$B$10)+'Inputs'!$B$7)^2+('Inputs'!$B$6/2)^2)-(((718-43)*MAX('Inputs'!$B$33,'Inputs'!$B$29+'Inputs'!$B$31+'Inputs'!$B$32,'Inputs'!$B$30+'Inputs'!$B$31+'Inputs'!$B$32)/1000+'Inputs'!$B$21+'Inputs'!$B$9+'Inputs'!$B$10))/SQRT((((718-43)*MAX('Inputs'!$B$33,'Inputs'!$B$29+'Inputs'!$B$31+'Inputs'!$B$32,'Inputs'!$B$30+'Inputs'!$B$31+'Inputs'!$B$32)/1000+'Inputs'!$B$21+'Inputs'!$B$9+'Inputs'!$B$10))^2+('Inputs'!$B$6/2)^2))))*'Results'!$B$8)+'Inputs'!$B$28*ABS((('Results'!C7*(1+'Inputs'!$B$24)*(0.5*((((718-43)*MAX('Inputs'!$B$33,'Inputs'!$B$29+'Inputs'!$B$31+'Inputs'!$B$32,'Inputs'!$B$30+'Inputs'!$B$31+'Inputs'!$B$32)/1000+'Inputs'!$B$21)+'Inputs'!$B$9)/SQRT((((718-43)*MAX('Inputs'!$B$33,'Inputs'!$B$29+'Inputs'!$B$31+'Inputs'!$B$32,'Inputs'!$B$30+'Inputs'!$B$31+'Inputs'!$B$32)/1000+'Inputs'!$B$21)+'Inputs'!$B$9)^2+('Inputs'!$B$8/2)^2)-(((718-43)*MAX('Inputs'!$B$33,'Inputs'!$B$29+'Inputs'!$B$31+'Inputs'!$B$32,'Inputs'!$B$30+'Inputs'!$B$31+'Inputs'!$B$32)/1000+'Inputs'!$B$21))/SQRT((((718-43)*MAX('Inputs'!$B$33,'Inputs'!$B$29+'Inputs'!$B$31+'Inputs'!$B$32,'Inputs'!$B$30+'Inputs'!$B$31+'Inputs'!$B$32)/1000+'Inputs'!$B$21))^2+('Inputs'!$B$8/2)^2)))-'Results'!B7*(1-'Inputs'!$B$24)*(0.5*((((718-43)*MAX('Inputs'!$B$33,'Inputs'!$B$29+'Inputs'!$B$31+'Inputs'!$B$32,'Inputs'!$B$30+'Inputs'!$B$31+'Inputs'!$B$32)/1000+'Inputs'!$B$21+'Inputs'!$B$9+'Inputs'!$B$10)+'Inputs'!$B$7)/SQRT((((718-43)*MAX('Inputs'!$B$33,'Inputs'!$B$29+'Inputs'!$B$31+'Inputs'!$B$32,'Inputs'!$B$30+'Inputs'!$B$31+'Inputs'!$B$32)/1000+'Inputs'!$B$21+'Inputs'!$B$9+'Inputs'!$B$10)+'Inputs'!$B$7)^2+('Inputs'!$B$6/2)^2)-(((718-43)*MAX('Inputs'!$B$33,'Inputs'!$B$29+'Inputs'!$B$31+'Inputs'!$B$32,'Inputs'!$B$30+'Inputs'!$B$31+'Inputs'!$B$32)/1000+'Inputs'!$B$21+'Inputs'!$B$9+'Inputs'!$B$10))/SQRT((((718-43)*MAX('Inputs'!$B$33,'Inputs'!$B$29+'Inputs'!$B$31+'Inputs'!$B$32,'Inputs'!$B$30+'Inputs'!$B$31+'Inputs'!$B$32)/1000+'Inputs'!$B$21+'Inputs'!$B$9+'Inputs'!$B$10))^2+('Inputs'!$B$6/2)^2))))*'Results'!$B$8))),"")</x:f>
        <x:v>1.5423141948095838</x:v>
      </x:c>
      <x:c r="P718" t="n">
        <x:f>IF(AND(MAX(J718,J717)&gt;0,J718&gt;J717+0.00000001),1,0)</x:f>
        <x:v>0</x:v>
      </x:c>
      <x:c r="Q718" t="n">
        <x:f>IF(AND(MAX(K718,K717)&gt;0,K718&gt;K717+0.00000001),1,0)</x:f>
        <x:v>0</x:v>
      </x:c>
      <x:c r="R718" t="n">
        <x:f>IF(AND(MAX(L718,L717)&gt;0,L718&gt;L717+0.00000001),1,0)</x:f>
        <x:v>0</x:v>
      </x:c>
      <x:c r="S718" t="n">
        <x:f>IF(AND(MAX(M718,M717)&gt;0,M718&gt;M717+0.00000001),1,0)</x:f>
        <x:v>0</x:v>
      </x:c>
      <x:c r="T718" t="n">
        <x:f>IF(AND(MAX(N718,N717)&gt;0,N718&gt;N717+0.00000001),1,0)</x:f>
        <x:v>0</x:v>
      </x:c>
      <x:c r="U718" t="n">
        <x:f>IF(AND(MAX(O718,O717)&gt;0,O718&gt;O717+0.00000001),1,0)</x:f>
        <x:v>0</x:v>
      </x:c>
    </x:row>
    <x:row r="719">
      <x:c r="J719" t="n">
        <x:f>IF(AND(ISNUMBER('Results'!B7),ISNUMBER('Results'!C7),ISNUMBER('Results'!$B$8),ISNUMBER('Inputs'!$B$6),ISNUMBER('Inputs'!$B$7),ISNUMBER('Inputs'!$B$8),ISNUMBER('Inputs'!$B$9),ISNUMBER('Inputs'!$B$10),ISNUMBER('Inputs'!$B$21),ISNUMBER('Inputs'!$B$24),ISNUMBER('Inputs'!$B$28)),(('Results'!B7*(0.5*((((719-43)*MAX('Inputs'!$B$33,'Inputs'!$B$29+'Inputs'!$B$31+'Inputs'!$B$32,'Inputs'!$B$30+'Inputs'!$B$31+'Inputs'!$B$32)/1000+'Inputs'!$B$21)+'Inputs'!$B$7)/SQRT((((719-43)*MAX('Inputs'!$B$33,'Inputs'!$B$29+'Inputs'!$B$31+'Inputs'!$B$32,'Inputs'!$B$30+'Inputs'!$B$31+'Inputs'!$B$32)/1000+'Inputs'!$B$21)+'Inputs'!$B$7)^2+('Inputs'!$B$6/2)^2)-(((719-43)*MAX('Inputs'!$B$33,'Inputs'!$B$29+'Inputs'!$B$31+'Inputs'!$B$32,'Inputs'!$B$30+'Inputs'!$B$31+'Inputs'!$B$32)/1000+'Inputs'!$B$21))/SQRT((((719-43)*MAX('Inputs'!$B$33,'Inputs'!$B$29+'Inputs'!$B$31+'Inputs'!$B$32,'Inputs'!$B$30+'Inputs'!$B$31+'Inputs'!$B$32)/1000+'Inputs'!$B$21))^2+('Inputs'!$B$6/2)^2)))-'Results'!C7*(0.5*((((719-43)*MAX('Inputs'!$B$33,'Inputs'!$B$29+'Inputs'!$B$31+'Inputs'!$B$32,'Inputs'!$B$30+'Inputs'!$B$31+'Inputs'!$B$32)/1000+'Inputs'!$B$21+'Inputs'!$B$7+'Inputs'!$B$10)+'Inputs'!$B$9)/SQRT((((719-43)*MAX('Inputs'!$B$33,'Inputs'!$B$29+'Inputs'!$B$31+'Inputs'!$B$32,'Inputs'!$B$30+'Inputs'!$B$31+'Inputs'!$B$32)/1000+'Inputs'!$B$21+'Inputs'!$B$7+'Inputs'!$B$10)+'Inputs'!$B$9)^2+('Inputs'!$B$8/2)^2)-(((719-43)*MAX('Inputs'!$B$33,'Inputs'!$B$29+'Inputs'!$B$31+'Inputs'!$B$32,'Inputs'!$B$30+'Inputs'!$B$31+'Inputs'!$B$32)/1000+'Inputs'!$B$21+'Inputs'!$B$7+'Inputs'!$B$10))/SQRT((((719-43)*MAX('Inputs'!$B$33,'Inputs'!$B$29+'Inputs'!$B$31+'Inputs'!$B$32,'Inputs'!$B$30+'Inputs'!$B$31+'Inputs'!$B$32)/1000+'Inputs'!$B$21+'Inputs'!$B$7+'Inputs'!$B$10))^2+('Inputs'!$B$8/2)^2))))*'Results'!$B$8),"")</x:f>
        <x:v>1.4627427504402715</x:v>
      </x:c>
      <x:c r="K719" t="n">
        <x:f>IF(AND(ISNUMBER('Results'!B7),ISNUMBER('Results'!C7),ISNUMBER('Results'!$B$8),ISNUMBER('Inputs'!$B$6),ISNUMBER('Inputs'!$B$7),ISNUMBER('Inputs'!$B$8),ISNUMBER('Inputs'!$B$9),ISNUMBER('Inputs'!$B$10),ISNUMBER('Inputs'!$B$21),ISNUMBER('Inputs'!$B$24),ISNUMBER('Inputs'!$B$28)),((('Results'!B7*(1-'Inputs'!$B$24)*(0.5*((((719-43)*MAX('Inputs'!$B$33,'Inputs'!$B$29+'Inputs'!$B$31+'Inputs'!$B$32,'Inputs'!$B$30+'Inputs'!$B$31+'Inputs'!$B$32)/1000+'Inputs'!$B$21)+'Inputs'!$B$7)/SQRT((((719-43)*MAX('Inputs'!$B$33,'Inputs'!$B$29+'Inputs'!$B$31+'Inputs'!$B$32,'Inputs'!$B$30+'Inputs'!$B$31+'Inputs'!$B$32)/1000+'Inputs'!$B$21)+'Inputs'!$B$7)^2+('Inputs'!$B$6/2)^2)-(((719-43)*MAX('Inputs'!$B$33,'Inputs'!$B$29+'Inputs'!$B$31+'Inputs'!$B$32,'Inputs'!$B$30+'Inputs'!$B$31+'Inputs'!$B$32)/1000+'Inputs'!$B$21))/SQRT((((719-43)*MAX('Inputs'!$B$33,'Inputs'!$B$29+'Inputs'!$B$31+'Inputs'!$B$32,'Inputs'!$B$30+'Inputs'!$B$31+'Inputs'!$B$32)/1000+'Inputs'!$B$21))^2+('Inputs'!$B$6/2)^2)))-'Results'!C7*(1+'Inputs'!$B$24)*(0.5*((((719-43)*MAX('Inputs'!$B$33,'Inputs'!$B$29+'Inputs'!$B$31+'Inputs'!$B$32,'Inputs'!$B$30+'Inputs'!$B$31+'Inputs'!$B$32)/1000+'Inputs'!$B$21+'Inputs'!$B$7+'Inputs'!$B$10)+'Inputs'!$B$9)/SQRT((((719-43)*MAX('Inputs'!$B$33,'Inputs'!$B$29+'Inputs'!$B$31+'Inputs'!$B$32,'Inputs'!$B$30+'Inputs'!$B$31+'Inputs'!$B$32)/1000+'Inputs'!$B$21+'Inputs'!$B$7+'Inputs'!$B$10)+'Inputs'!$B$9)^2+('Inputs'!$B$8/2)^2)-(((719-43)*MAX('Inputs'!$B$33,'Inputs'!$B$29+'Inputs'!$B$31+'Inputs'!$B$32,'Inputs'!$B$30+'Inputs'!$B$31+'Inputs'!$B$32)/1000+'Inputs'!$B$21+'Inputs'!$B$7+'Inputs'!$B$10))/SQRT((((719-43)*MAX('Inputs'!$B$33,'Inputs'!$B$29+'Inputs'!$B$31+'Inputs'!$B$32,'Inputs'!$B$30+'Inputs'!$B$31+'Inputs'!$B$32)/1000+'Inputs'!$B$21+'Inputs'!$B$7+'Inputs'!$B$10))^2+('Inputs'!$B$8/2)^2))))*'Results'!$B$8)-'Inputs'!$B$28*ABS((('Results'!B7*(1-'Inputs'!$B$24)*(0.5*((((719-43)*MAX('Inputs'!$B$33,'Inputs'!$B$29+'Inputs'!$B$31+'Inputs'!$B$32,'Inputs'!$B$30+'Inputs'!$B$31+'Inputs'!$B$32)/1000+'Inputs'!$B$21)+'Inputs'!$B$7)/SQRT((((719-43)*MAX('Inputs'!$B$33,'Inputs'!$B$29+'Inputs'!$B$31+'Inputs'!$B$32,'Inputs'!$B$30+'Inputs'!$B$31+'Inputs'!$B$32)/1000+'Inputs'!$B$21)+'Inputs'!$B$7)^2+('Inputs'!$B$6/2)^2)-(((719-43)*MAX('Inputs'!$B$33,'Inputs'!$B$29+'Inputs'!$B$31+'Inputs'!$B$32,'Inputs'!$B$30+'Inputs'!$B$31+'Inputs'!$B$32)/1000+'Inputs'!$B$21))/SQRT((((719-43)*MAX('Inputs'!$B$33,'Inputs'!$B$29+'Inputs'!$B$31+'Inputs'!$B$32,'Inputs'!$B$30+'Inputs'!$B$31+'Inputs'!$B$32)/1000+'Inputs'!$B$21))^2+('Inputs'!$B$6/2)^2)))-'Results'!C7*(1+'Inputs'!$B$24)*(0.5*((((719-43)*MAX('Inputs'!$B$33,'Inputs'!$B$29+'Inputs'!$B$31+'Inputs'!$B$32,'Inputs'!$B$30+'Inputs'!$B$31+'Inputs'!$B$32)/1000+'Inputs'!$B$21+'Inputs'!$B$7+'Inputs'!$B$10)+'Inputs'!$B$9)/SQRT((((719-43)*MAX('Inputs'!$B$33,'Inputs'!$B$29+'Inputs'!$B$31+'Inputs'!$B$32,'Inputs'!$B$30+'Inputs'!$B$31+'Inputs'!$B$32)/1000+'Inputs'!$B$21+'Inputs'!$B$7+'Inputs'!$B$10)+'Inputs'!$B$9)^2+('Inputs'!$B$8/2)^2)-(((719-43)*MAX('Inputs'!$B$33,'Inputs'!$B$29+'Inputs'!$B$31+'Inputs'!$B$32,'Inputs'!$B$30+'Inputs'!$B$31+'Inputs'!$B$32)/1000+'Inputs'!$B$21+'Inputs'!$B$7+'Inputs'!$B$10))/SQRT((((719-43)*MAX('Inputs'!$B$33,'Inputs'!$B$29+'Inputs'!$B$31+'Inputs'!$B$32,'Inputs'!$B$30+'Inputs'!$B$31+'Inputs'!$B$32)/1000+'Inputs'!$B$21+'Inputs'!$B$7+'Inputs'!$B$10))^2+('Inputs'!$B$8/2)^2))))*'Results'!$B$8))),"")</x:f>
        <x:v>1.2699642612009479</x:v>
      </x:c>
      <x:c r="L719" t="n">
        <x:f>IF(AND(ISNUMBER('Results'!B7),ISNUMBER('Results'!C7),ISNUMBER('Results'!$B$8),ISNUMBER('Inputs'!$B$6),ISNUMBER('Inputs'!$B$7),ISNUMBER('Inputs'!$B$8),ISNUMBER('Inputs'!$B$9),ISNUMBER('Inputs'!$B$10),ISNUMBER('Inputs'!$B$21),ISNUMBER('Inputs'!$B$24),ISNUMBER('Inputs'!$B$28)),((('Results'!B7*(1+'Inputs'!$B$24)*(0.5*((((719-43)*MAX('Inputs'!$B$33,'Inputs'!$B$29+'Inputs'!$B$31+'Inputs'!$B$32,'Inputs'!$B$30+'Inputs'!$B$31+'Inputs'!$B$32)/1000+'Inputs'!$B$21)+'Inputs'!$B$7)/SQRT((((719-43)*MAX('Inputs'!$B$33,'Inputs'!$B$29+'Inputs'!$B$31+'Inputs'!$B$32,'Inputs'!$B$30+'Inputs'!$B$31+'Inputs'!$B$32)/1000+'Inputs'!$B$21)+'Inputs'!$B$7)^2+('Inputs'!$B$6/2)^2)-(((719-43)*MAX('Inputs'!$B$33,'Inputs'!$B$29+'Inputs'!$B$31+'Inputs'!$B$32,'Inputs'!$B$30+'Inputs'!$B$31+'Inputs'!$B$32)/1000+'Inputs'!$B$21))/SQRT((((719-43)*MAX('Inputs'!$B$33,'Inputs'!$B$29+'Inputs'!$B$31+'Inputs'!$B$32,'Inputs'!$B$30+'Inputs'!$B$31+'Inputs'!$B$32)/1000+'Inputs'!$B$21))^2+('Inputs'!$B$6/2)^2)))-'Results'!C7*(1-'Inputs'!$B$24)*(0.5*((((719-43)*MAX('Inputs'!$B$33,'Inputs'!$B$29+'Inputs'!$B$31+'Inputs'!$B$32,'Inputs'!$B$30+'Inputs'!$B$31+'Inputs'!$B$32)/1000+'Inputs'!$B$21+'Inputs'!$B$7+'Inputs'!$B$10)+'Inputs'!$B$9)/SQRT((((719-43)*MAX('Inputs'!$B$33,'Inputs'!$B$29+'Inputs'!$B$31+'Inputs'!$B$32,'Inputs'!$B$30+'Inputs'!$B$31+'Inputs'!$B$32)/1000+'Inputs'!$B$21+'Inputs'!$B$7+'Inputs'!$B$10)+'Inputs'!$B$9)^2+('Inputs'!$B$8/2)^2)-(((719-43)*MAX('Inputs'!$B$33,'Inputs'!$B$29+'Inputs'!$B$31+'Inputs'!$B$32,'Inputs'!$B$30+'Inputs'!$B$31+'Inputs'!$B$32)/1000+'Inputs'!$B$21+'Inputs'!$B$7+'Inputs'!$B$10))/SQRT((((719-43)*MAX('Inputs'!$B$33,'Inputs'!$B$29+'Inputs'!$B$31+'Inputs'!$B$32,'Inputs'!$B$30+'Inputs'!$B$31+'Inputs'!$B$32)/1000+'Inputs'!$B$21+'Inputs'!$B$7+'Inputs'!$B$10))^2+('Inputs'!$B$8/2)^2))))*'Results'!$B$8)+'Inputs'!$B$28*ABS((('Results'!B7*(1+'Inputs'!$B$24)*(0.5*((((719-43)*MAX('Inputs'!$B$33,'Inputs'!$B$29+'Inputs'!$B$31+'Inputs'!$B$32,'Inputs'!$B$30+'Inputs'!$B$31+'Inputs'!$B$32)/1000+'Inputs'!$B$21)+'Inputs'!$B$7)/SQRT((((719-43)*MAX('Inputs'!$B$33,'Inputs'!$B$29+'Inputs'!$B$31+'Inputs'!$B$32,'Inputs'!$B$30+'Inputs'!$B$31+'Inputs'!$B$32)/1000+'Inputs'!$B$21)+'Inputs'!$B$7)^2+('Inputs'!$B$6/2)^2)-(((719-43)*MAX('Inputs'!$B$33,'Inputs'!$B$29+'Inputs'!$B$31+'Inputs'!$B$32,'Inputs'!$B$30+'Inputs'!$B$31+'Inputs'!$B$32)/1000+'Inputs'!$B$21))/SQRT((((719-43)*MAX('Inputs'!$B$33,'Inputs'!$B$29+'Inputs'!$B$31+'Inputs'!$B$32,'Inputs'!$B$30+'Inputs'!$B$31+'Inputs'!$B$32)/1000+'Inputs'!$B$21))^2+('Inputs'!$B$6/2)^2)))-'Results'!C7*(1-'Inputs'!$B$24)*(0.5*((((719-43)*MAX('Inputs'!$B$33,'Inputs'!$B$29+'Inputs'!$B$31+'Inputs'!$B$32,'Inputs'!$B$30+'Inputs'!$B$31+'Inputs'!$B$32)/1000+'Inputs'!$B$21+'Inputs'!$B$7+'Inputs'!$B$10)+'Inputs'!$B$9)/SQRT((((719-43)*MAX('Inputs'!$B$33,'Inputs'!$B$29+'Inputs'!$B$31+'Inputs'!$B$32,'Inputs'!$B$30+'Inputs'!$B$31+'Inputs'!$B$32)/1000+'Inputs'!$B$21+'Inputs'!$B$7+'Inputs'!$B$10)+'Inputs'!$B$9)^2+('Inputs'!$B$8/2)^2)-(((719-43)*MAX('Inputs'!$B$33,'Inputs'!$B$29+'Inputs'!$B$31+'Inputs'!$B$32,'Inputs'!$B$30+'Inputs'!$B$31+'Inputs'!$B$32)/1000+'Inputs'!$B$21+'Inputs'!$B$7+'Inputs'!$B$10))/SQRT((((719-43)*MAX('Inputs'!$B$33,'Inputs'!$B$29+'Inputs'!$B$31+'Inputs'!$B$32,'Inputs'!$B$30+'Inputs'!$B$31+'Inputs'!$B$32)/1000+'Inputs'!$B$21+'Inputs'!$B$7+'Inputs'!$B$10))^2+('Inputs'!$B$8/2)^2))))*'Results'!$B$8))),"")</x:f>
        <x:v>1.6681150661761535</x:v>
      </x:c>
      <x:c r="M719" t="n">
        <x:f>IF(AND(ISNUMBER('Results'!C7),ISNUMBER('Results'!B7),ISNUMBER('Results'!$B$8),ISNUMBER('Inputs'!$B$6),ISNUMBER('Inputs'!$B$7),ISNUMBER('Inputs'!$B$8),ISNUMBER('Inputs'!$B$9),ISNUMBER('Inputs'!$B$10),ISNUMBER('Inputs'!$B$21),ISNUMBER('Inputs'!$B$24),ISNUMBER('Inputs'!$B$28)),(('Results'!C7*(0.5*((((719-43)*MAX('Inputs'!$B$33,'Inputs'!$B$29+'Inputs'!$B$31+'Inputs'!$B$32,'Inputs'!$B$30+'Inputs'!$B$31+'Inputs'!$B$32)/1000+'Inputs'!$B$21)+'Inputs'!$B$9)/SQRT((((719-43)*MAX('Inputs'!$B$33,'Inputs'!$B$29+'Inputs'!$B$31+'Inputs'!$B$32,'Inputs'!$B$30+'Inputs'!$B$31+'Inputs'!$B$32)/1000+'Inputs'!$B$21)+'Inputs'!$B$9)^2+('Inputs'!$B$8/2)^2)-(((719-43)*MAX('Inputs'!$B$33,'Inputs'!$B$29+'Inputs'!$B$31+'Inputs'!$B$32,'Inputs'!$B$30+'Inputs'!$B$31+'Inputs'!$B$32)/1000+'Inputs'!$B$21))/SQRT((((719-43)*MAX('Inputs'!$B$33,'Inputs'!$B$29+'Inputs'!$B$31+'Inputs'!$B$32,'Inputs'!$B$30+'Inputs'!$B$31+'Inputs'!$B$32)/1000+'Inputs'!$B$21))^2+('Inputs'!$B$8/2)^2)))-'Results'!B7*(0.5*((((719-43)*MAX('Inputs'!$B$33,'Inputs'!$B$29+'Inputs'!$B$31+'Inputs'!$B$32,'Inputs'!$B$30+'Inputs'!$B$31+'Inputs'!$B$32)/1000+'Inputs'!$B$21+'Inputs'!$B$9+'Inputs'!$B$10)+'Inputs'!$B$7)/SQRT((((719-43)*MAX('Inputs'!$B$33,'Inputs'!$B$29+'Inputs'!$B$31+'Inputs'!$B$32,'Inputs'!$B$30+'Inputs'!$B$31+'Inputs'!$B$32)/1000+'Inputs'!$B$21+'Inputs'!$B$9+'Inputs'!$B$10)+'Inputs'!$B$7)^2+('Inputs'!$B$6/2)^2)-(((719-43)*MAX('Inputs'!$B$33,'Inputs'!$B$29+'Inputs'!$B$31+'Inputs'!$B$32,'Inputs'!$B$30+'Inputs'!$B$31+'Inputs'!$B$32)/1000+'Inputs'!$B$21+'Inputs'!$B$9+'Inputs'!$B$10))/SQRT((((719-43)*MAX('Inputs'!$B$33,'Inputs'!$B$29+'Inputs'!$B$31+'Inputs'!$B$32,'Inputs'!$B$30+'Inputs'!$B$31+'Inputs'!$B$32)/1000+'Inputs'!$B$21+'Inputs'!$B$9+'Inputs'!$B$10))^2+('Inputs'!$B$6/2)^2))))*'Results'!$B$8),"")</x:f>
        <x:v>1.3358179200669598</x:v>
      </x:c>
      <x:c r="N719" t="n">
        <x:f>IF(AND(ISNUMBER('Results'!C7),ISNUMBER('Results'!B7),ISNUMBER('Results'!$B$8),ISNUMBER('Inputs'!$B$6),ISNUMBER('Inputs'!$B$7),ISNUMBER('Inputs'!$B$8),ISNUMBER('Inputs'!$B$9),ISNUMBER('Inputs'!$B$10),ISNUMBER('Inputs'!$B$21),ISNUMBER('Inputs'!$B$24),ISNUMBER('Inputs'!$B$28)),((('Results'!C7*(1-'Inputs'!$B$24)*(0.5*((((719-43)*MAX('Inputs'!$B$33,'Inputs'!$B$29+'Inputs'!$B$31+'Inputs'!$B$32,'Inputs'!$B$30+'Inputs'!$B$31+'Inputs'!$B$32)/1000+'Inputs'!$B$21)+'Inputs'!$B$9)/SQRT((((719-43)*MAX('Inputs'!$B$33,'Inputs'!$B$29+'Inputs'!$B$31+'Inputs'!$B$32,'Inputs'!$B$30+'Inputs'!$B$31+'Inputs'!$B$32)/1000+'Inputs'!$B$21)+'Inputs'!$B$9)^2+('Inputs'!$B$8/2)^2)-(((719-43)*MAX('Inputs'!$B$33,'Inputs'!$B$29+'Inputs'!$B$31+'Inputs'!$B$32,'Inputs'!$B$30+'Inputs'!$B$31+'Inputs'!$B$32)/1000+'Inputs'!$B$21))/SQRT((((719-43)*MAX('Inputs'!$B$33,'Inputs'!$B$29+'Inputs'!$B$31+'Inputs'!$B$32,'Inputs'!$B$30+'Inputs'!$B$31+'Inputs'!$B$32)/1000+'Inputs'!$B$21))^2+('Inputs'!$B$8/2)^2)))-'Results'!B7*(1+'Inputs'!$B$24)*(0.5*((((719-43)*MAX('Inputs'!$B$33,'Inputs'!$B$29+'Inputs'!$B$31+'Inputs'!$B$32,'Inputs'!$B$30+'Inputs'!$B$31+'Inputs'!$B$32)/1000+'Inputs'!$B$21+'Inputs'!$B$9+'Inputs'!$B$10)+'Inputs'!$B$7)/SQRT((((719-43)*MAX('Inputs'!$B$33,'Inputs'!$B$29+'Inputs'!$B$31+'Inputs'!$B$32,'Inputs'!$B$30+'Inputs'!$B$31+'Inputs'!$B$32)/1000+'Inputs'!$B$21+'Inputs'!$B$9+'Inputs'!$B$10)+'Inputs'!$B$7)^2+('Inputs'!$B$6/2)^2)-(((719-43)*MAX('Inputs'!$B$33,'Inputs'!$B$29+'Inputs'!$B$31+'Inputs'!$B$32,'Inputs'!$B$30+'Inputs'!$B$31+'Inputs'!$B$32)/1000+'Inputs'!$B$21+'Inputs'!$B$9+'Inputs'!$B$10))/SQRT((((719-43)*MAX('Inputs'!$B$33,'Inputs'!$B$29+'Inputs'!$B$31+'Inputs'!$B$32,'Inputs'!$B$30+'Inputs'!$B$31+'Inputs'!$B$32)/1000+'Inputs'!$B$21+'Inputs'!$B$9+'Inputs'!$B$10))^2+('Inputs'!$B$6/2)^2))))*'Results'!$B$8)-'Inputs'!$B$28*ABS((('Results'!C7*(1-'Inputs'!$B$24)*(0.5*((((719-43)*MAX('Inputs'!$B$33,'Inputs'!$B$29+'Inputs'!$B$31+'Inputs'!$B$32,'Inputs'!$B$30+'Inputs'!$B$31+'Inputs'!$B$32)/1000+'Inputs'!$B$21)+'Inputs'!$B$9)/SQRT((((719-43)*MAX('Inputs'!$B$33,'Inputs'!$B$29+'Inputs'!$B$31+'Inputs'!$B$32,'Inputs'!$B$30+'Inputs'!$B$31+'Inputs'!$B$32)/1000+'Inputs'!$B$21)+'Inputs'!$B$9)^2+('Inputs'!$B$8/2)^2)-(((719-43)*MAX('Inputs'!$B$33,'Inputs'!$B$29+'Inputs'!$B$31+'Inputs'!$B$32,'Inputs'!$B$30+'Inputs'!$B$31+'Inputs'!$B$32)/1000+'Inputs'!$B$21))/SQRT((((719-43)*MAX('Inputs'!$B$33,'Inputs'!$B$29+'Inputs'!$B$31+'Inputs'!$B$32,'Inputs'!$B$30+'Inputs'!$B$31+'Inputs'!$B$32)/1000+'Inputs'!$B$21))^2+('Inputs'!$B$8/2)^2)))-'Results'!B7*(1+'Inputs'!$B$24)*(0.5*((((719-43)*MAX('Inputs'!$B$33,'Inputs'!$B$29+'Inputs'!$B$31+'Inputs'!$B$32,'Inputs'!$B$30+'Inputs'!$B$31+'Inputs'!$B$32)/1000+'Inputs'!$B$21+'Inputs'!$B$9+'Inputs'!$B$10)+'Inputs'!$B$7)/SQRT((((719-43)*MAX('Inputs'!$B$33,'Inputs'!$B$29+'Inputs'!$B$31+'Inputs'!$B$32,'Inputs'!$B$30+'Inputs'!$B$31+'Inputs'!$B$32)/1000+'Inputs'!$B$21+'Inputs'!$B$9+'Inputs'!$B$10)+'Inputs'!$B$7)^2+('Inputs'!$B$6/2)^2)-(((719-43)*MAX('Inputs'!$B$33,'Inputs'!$B$29+'Inputs'!$B$31+'Inputs'!$B$32,'Inputs'!$B$30+'Inputs'!$B$31+'Inputs'!$B$32)/1000+'Inputs'!$B$21+'Inputs'!$B$9+'Inputs'!$B$10))/SQRT((((719-43)*MAX('Inputs'!$B$33,'Inputs'!$B$29+'Inputs'!$B$31+'Inputs'!$B$32,'Inputs'!$B$30+'Inputs'!$B$31+'Inputs'!$B$32)/1000+'Inputs'!$B$21+'Inputs'!$B$9+'Inputs'!$B$10))^2+('Inputs'!$B$6/2)^2))))*'Results'!$B$8))),"")</x:f>
        <x:v>1.149922769848722</x:v>
      </x:c>
      <x:c r="O719" t="n">
        <x:f>IF(AND(ISNUMBER('Results'!C7),ISNUMBER('Results'!B7),ISNUMBER('Results'!$B$8),ISNUMBER('Inputs'!$B$6),ISNUMBER('Inputs'!$B$7),ISNUMBER('Inputs'!$B$8),ISNUMBER('Inputs'!$B$9),ISNUMBER('Inputs'!$B$10),ISNUMBER('Inputs'!$B$21),ISNUMBER('Inputs'!$B$24),ISNUMBER('Inputs'!$B$28)),((('Results'!C7*(1+'Inputs'!$B$24)*(0.5*((((719-43)*MAX('Inputs'!$B$33,'Inputs'!$B$29+'Inputs'!$B$31+'Inputs'!$B$32,'Inputs'!$B$30+'Inputs'!$B$31+'Inputs'!$B$32)/1000+'Inputs'!$B$21)+'Inputs'!$B$9)/SQRT((((719-43)*MAX('Inputs'!$B$33,'Inputs'!$B$29+'Inputs'!$B$31+'Inputs'!$B$32,'Inputs'!$B$30+'Inputs'!$B$31+'Inputs'!$B$32)/1000+'Inputs'!$B$21)+'Inputs'!$B$9)^2+('Inputs'!$B$8/2)^2)-(((719-43)*MAX('Inputs'!$B$33,'Inputs'!$B$29+'Inputs'!$B$31+'Inputs'!$B$32,'Inputs'!$B$30+'Inputs'!$B$31+'Inputs'!$B$32)/1000+'Inputs'!$B$21))/SQRT((((719-43)*MAX('Inputs'!$B$33,'Inputs'!$B$29+'Inputs'!$B$31+'Inputs'!$B$32,'Inputs'!$B$30+'Inputs'!$B$31+'Inputs'!$B$32)/1000+'Inputs'!$B$21))^2+('Inputs'!$B$8/2)^2)))-'Results'!B7*(1-'Inputs'!$B$24)*(0.5*((((719-43)*MAX('Inputs'!$B$33,'Inputs'!$B$29+'Inputs'!$B$31+'Inputs'!$B$32,'Inputs'!$B$30+'Inputs'!$B$31+'Inputs'!$B$32)/1000+'Inputs'!$B$21+'Inputs'!$B$9+'Inputs'!$B$10)+'Inputs'!$B$7)/SQRT((((719-43)*MAX('Inputs'!$B$33,'Inputs'!$B$29+'Inputs'!$B$31+'Inputs'!$B$32,'Inputs'!$B$30+'Inputs'!$B$31+'Inputs'!$B$32)/1000+'Inputs'!$B$21+'Inputs'!$B$9+'Inputs'!$B$10)+'Inputs'!$B$7)^2+('Inputs'!$B$6/2)^2)-(((719-43)*MAX('Inputs'!$B$33,'Inputs'!$B$29+'Inputs'!$B$31+'Inputs'!$B$32,'Inputs'!$B$30+'Inputs'!$B$31+'Inputs'!$B$32)/1000+'Inputs'!$B$21+'Inputs'!$B$9+'Inputs'!$B$10))/SQRT((((719-43)*MAX('Inputs'!$B$33,'Inputs'!$B$29+'Inputs'!$B$31+'Inputs'!$B$32,'Inputs'!$B$30+'Inputs'!$B$31+'Inputs'!$B$32)/1000+'Inputs'!$B$21+'Inputs'!$B$9+'Inputs'!$B$10))^2+('Inputs'!$B$6/2)^2))))*'Results'!$B$8)+'Inputs'!$B$28*ABS((('Results'!C7*(1+'Inputs'!$B$24)*(0.5*((((719-43)*MAX('Inputs'!$B$33,'Inputs'!$B$29+'Inputs'!$B$31+'Inputs'!$B$32,'Inputs'!$B$30+'Inputs'!$B$31+'Inputs'!$B$32)/1000+'Inputs'!$B$21)+'Inputs'!$B$9)/SQRT((((719-43)*MAX('Inputs'!$B$33,'Inputs'!$B$29+'Inputs'!$B$31+'Inputs'!$B$32,'Inputs'!$B$30+'Inputs'!$B$31+'Inputs'!$B$32)/1000+'Inputs'!$B$21)+'Inputs'!$B$9)^2+('Inputs'!$B$8/2)^2)-(((719-43)*MAX('Inputs'!$B$33,'Inputs'!$B$29+'Inputs'!$B$31+'Inputs'!$B$32,'Inputs'!$B$30+'Inputs'!$B$31+'Inputs'!$B$32)/1000+'Inputs'!$B$21))/SQRT((((719-43)*MAX('Inputs'!$B$33,'Inputs'!$B$29+'Inputs'!$B$31+'Inputs'!$B$32,'Inputs'!$B$30+'Inputs'!$B$31+'Inputs'!$B$32)/1000+'Inputs'!$B$21))^2+('Inputs'!$B$8/2)^2)))-'Results'!B7*(1-'Inputs'!$B$24)*(0.5*((((719-43)*MAX('Inputs'!$B$33,'Inputs'!$B$29+'Inputs'!$B$31+'Inputs'!$B$32,'Inputs'!$B$30+'Inputs'!$B$31+'Inputs'!$B$32)/1000+'Inputs'!$B$21+'Inputs'!$B$9+'Inputs'!$B$10)+'Inputs'!$B$7)/SQRT((((719-43)*MAX('Inputs'!$B$33,'Inputs'!$B$29+'Inputs'!$B$31+'Inputs'!$B$32,'Inputs'!$B$30+'Inputs'!$B$31+'Inputs'!$B$32)/1000+'Inputs'!$B$21+'Inputs'!$B$9+'Inputs'!$B$10)+'Inputs'!$B$7)^2+('Inputs'!$B$6/2)^2)-(((719-43)*MAX('Inputs'!$B$33,'Inputs'!$B$29+'Inputs'!$B$31+'Inputs'!$B$32,'Inputs'!$B$30+'Inputs'!$B$31+'Inputs'!$B$32)/1000+'Inputs'!$B$21+'Inputs'!$B$9+'Inputs'!$B$10))/SQRT((((719-43)*MAX('Inputs'!$B$33,'Inputs'!$B$29+'Inputs'!$B$31+'Inputs'!$B$32,'Inputs'!$B$30+'Inputs'!$B$31+'Inputs'!$B$32)/1000+'Inputs'!$B$21+'Inputs'!$B$9+'Inputs'!$B$10))^2+('Inputs'!$B$6/2)^2))))*'Results'!$B$8))),"")</x:f>
        <x:v>1.5342503602025537</x:v>
      </x:c>
      <x:c r="P719" t="n">
        <x:f>IF(AND(MAX(J719,J718)&gt;0,J719&gt;J718+0.00000001),1,0)</x:f>
        <x:v>0</x:v>
      </x:c>
      <x:c r="Q719" t="n">
        <x:f>IF(AND(MAX(K719,K718)&gt;0,K719&gt;K718+0.00000001),1,0)</x:f>
        <x:v>0</x:v>
      </x:c>
      <x:c r="R719" t="n">
        <x:f>IF(AND(MAX(L719,L718)&gt;0,L719&gt;L718+0.00000001),1,0)</x:f>
        <x:v>0</x:v>
      </x:c>
      <x:c r="S719" t="n">
        <x:f>IF(AND(MAX(M719,M718)&gt;0,M719&gt;M718+0.00000001),1,0)</x:f>
        <x:v>0</x:v>
      </x:c>
      <x:c r="T719" t="n">
        <x:f>IF(AND(MAX(N719,N718)&gt;0,N719&gt;N718+0.00000001),1,0)</x:f>
        <x:v>0</x:v>
      </x:c>
      <x:c r="U719" t="n">
        <x:f>IF(AND(MAX(O719,O718)&gt;0,O719&gt;O718+0.00000001),1,0)</x:f>
        <x:v>0</x:v>
      </x:c>
    </x:row>
    <x:row r="720">
      <x:c r="J720" t="n">
        <x:f>IF(AND(ISNUMBER('Results'!B7),ISNUMBER('Results'!C7),ISNUMBER('Results'!$B$8),ISNUMBER('Inputs'!$B$6),ISNUMBER('Inputs'!$B$7),ISNUMBER('Inputs'!$B$8),ISNUMBER('Inputs'!$B$9),ISNUMBER('Inputs'!$B$10),ISNUMBER('Inputs'!$B$21),ISNUMBER('Inputs'!$B$24),ISNUMBER('Inputs'!$B$28)),(('Results'!B7*(0.5*((((720-43)*MAX('Inputs'!$B$33,'Inputs'!$B$29+'Inputs'!$B$31+'Inputs'!$B$32,'Inputs'!$B$30+'Inputs'!$B$31+'Inputs'!$B$32)/1000+'Inputs'!$B$21)+'Inputs'!$B$7)/SQRT((((720-43)*MAX('Inputs'!$B$33,'Inputs'!$B$29+'Inputs'!$B$31+'Inputs'!$B$32,'Inputs'!$B$30+'Inputs'!$B$31+'Inputs'!$B$32)/1000+'Inputs'!$B$21)+'Inputs'!$B$7)^2+('Inputs'!$B$6/2)^2)-(((720-43)*MAX('Inputs'!$B$33,'Inputs'!$B$29+'Inputs'!$B$31+'Inputs'!$B$32,'Inputs'!$B$30+'Inputs'!$B$31+'Inputs'!$B$32)/1000+'Inputs'!$B$21))/SQRT((((720-43)*MAX('Inputs'!$B$33,'Inputs'!$B$29+'Inputs'!$B$31+'Inputs'!$B$32,'Inputs'!$B$30+'Inputs'!$B$31+'Inputs'!$B$32)/1000+'Inputs'!$B$21))^2+('Inputs'!$B$6/2)^2)))-'Results'!C7*(0.5*((((720-43)*MAX('Inputs'!$B$33,'Inputs'!$B$29+'Inputs'!$B$31+'Inputs'!$B$32,'Inputs'!$B$30+'Inputs'!$B$31+'Inputs'!$B$32)/1000+'Inputs'!$B$21+'Inputs'!$B$7+'Inputs'!$B$10)+'Inputs'!$B$9)/SQRT((((720-43)*MAX('Inputs'!$B$33,'Inputs'!$B$29+'Inputs'!$B$31+'Inputs'!$B$32,'Inputs'!$B$30+'Inputs'!$B$31+'Inputs'!$B$32)/1000+'Inputs'!$B$21+'Inputs'!$B$7+'Inputs'!$B$10)+'Inputs'!$B$9)^2+('Inputs'!$B$8/2)^2)-(((720-43)*MAX('Inputs'!$B$33,'Inputs'!$B$29+'Inputs'!$B$31+'Inputs'!$B$32,'Inputs'!$B$30+'Inputs'!$B$31+'Inputs'!$B$32)/1000+'Inputs'!$B$21+'Inputs'!$B$7+'Inputs'!$B$10))/SQRT((((720-43)*MAX('Inputs'!$B$33,'Inputs'!$B$29+'Inputs'!$B$31+'Inputs'!$B$32,'Inputs'!$B$30+'Inputs'!$B$31+'Inputs'!$B$32)/1000+'Inputs'!$B$21+'Inputs'!$B$7+'Inputs'!$B$10))^2+('Inputs'!$B$8/2)^2))))*'Results'!$B$8),"")</x:f>
        <x:v>1.4551066034544908</x:v>
      </x:c>
      <x:c r="K720" t="n">
        <x:f>IF(AND(ISNUMBER('Results'!B7),ISNUMBER('Results'!C7),ISNUMBER('Results'!$B$8),ISNUMBER('Inputs'!$B$6),ISNUMBER('Inputs'!$B$7),ISNUMBER('Inputs'!$B$8),ISNUMBER('Inputs'!$B$9),ISNUMBER('Inputs'!$B$10),ISNUMBER('Inputs'!$B$21),ISNUMBER('Inputs'!$B$24),ISNUMBER('Inputs'!$B$28)),((('Results'!B7*(1-'Inputs'!$B$24)*(0.5*((((720-43)*MAX('Inputs'!$B$33,'Inputs'!$B$29+'Inputs'!$B$31+'Inputs'!$B$32,'Inputs'!$B$30+'Inputs'!$B$31+'Inputs'!$B$32)/1000+'Inputs'!$B$21)+'Inputs'!$B$7)/SQRT((((720-43)*MAX('Inputs'!$B$33,'Inputs'!$B$29+'Inputs'!$B$31+'Inputs'!$B$32,'Inputs'!$B$30+'Inputs'!$B$31+'Inputs'!$B$32)/1000+'Inputs'!$B$21)+'Inputs'!$B$7)^2+('Inputs'!$B$6/2)^2)-(((720-43)*MAX('Inputs'!$B$33,'Inputs'!$B$29+'Inputs'!$B$31+'Inputs'!$B$32,'Inputs'!$B$30+'Inputs'!$B$31+'Inputs'!$B$32)/1000+'Inputs'!$B$21))/SQRT((((720-43)*MAX('Inputs'!$B$33,'Inputs'!$B$29+'Inputs'!$B$31+'Inputs'!$B$32,'Inputs'!$B$30+'Inputs'!$B$31+'Inputs'!$B$32)/1000+'Inputs'!$B$21))^2+('Inputs'!$B$6/2)^2)))-'Results'!C7*(1+'Inputs'!$B$24)*(0.5*((((720-43)*MAX('Inputs'!$B$33,'Inputs'!$B$29+'Inputs'!$B$31+'Inputs'!$B$32,'Inputs'!$B$30+'Inputs'!$B$31+'Inputs'!$B$32)/1000+'Inputs'!$B$21+'Inputs'!$B$7+'Inputs'!$B$10)+'Inputs'!$B$9)/SQRT((((720-43)*MAX('Inputs'!$B$33,'Inputs'!$B$29+'Inputs'!$B$31+'Inputs'!$B$32,'Inputs'!$B$30+'Inputs'!$B$31+'Inputs'!$B$32)/1000+'Inputs'!$B$21+'Inputs'!$B$7+'Inputs'!$B$10)+'Inputs'!$B$9)^2+('Inputs'!$B$8/2)^2)-(((720-43)*MAX('Inputs'!$B$33,'Inputs'!$B$29+'Inputs'!$B$31+'Inputs'!$B$32,'Inputs'!$B$30+'Inputs'!$B$31+'Inputs'!$B$32)/1000+'Inputs'!$B$21+'Inputs'!$B$7+'Inputs'!$B$10))/SQRT((((720-43)*MAX('Inputs'!$B$33,'Inputs'!$B$29+'Inputs'!$B$31+'Inputs'!$B$32,'Inputs'!$B$30+'Inputs'!$B$31+'Inputs'!$B$32)/1000+'Inputs'!$B$21+'Inputs'!$B$7+'Inputs'!$B$10))^2+('Inputs'!$B$8/2)^2))))*'Results'!$B$8)-'Inputs'!$B$28*ABS((('Results'!B7*(1-'Inputs'!$B$24)*(0.5*((((720-43)*MAX('Inputs'!$B$33,'Inputs'!$B$29+'Inputs'!$B$31+'Inputs'!$B$32,'Inputs'!$B$30+'Inputs'!$B$31+'Inputs'!$B$32)/1000+'Inputs'!$B$21)+'Inputs'!$B$7)/SQRT((((720-43)*MAX('Inputs'!$B$33,'Inputs'!$B$29+'Inputs'!$B$31+'Inputs'!$B$32,'Inputs'!$B$30+'Inputs'!$B$31+'Inputs'!$B$32)/1000+'Inputs'!$B$21)+'Inputs'!$B$7)^2+('Inputs'!$B$6/2)^2)-(((720-43)*MAX('Inputs'!$B$33,'Inputs'!$B$29+'Inputs'!$B$31+'Inputs'!$B$32,'Inputs'!$B$30+'Inputs'!$B$31+'Inputs'!$B$32)/1000+'Inputs'!$B$21))/SQRT((((720-43)*MAX('Inputs'!$B$33,'Inputs'!$B$29+'Inputs'!$B$31+'Inputs'!$B$32,'Inputs'!$B$30+'Inputs'!$B$31+'Inputs'!$B$32)/1000+'Inputs'!$B$21))^2+('Inputs'!$B$6/2)^2)))-'Results'!C7*(1+'Inputs'!$B$24)*(0.5*((((720-43)*MAX('Inputs'!$B$33,'Inputs'!$B$29+'Inputs'!$B$31+'Inputs'!$B$32,'Inputs'!$B$30+'Inputs'!$B$31+'Inputs'!$B$32)/1000+'Inputs'!$B$21+'Inputs'!$B$7+'Inputs'!$B$10)+'Inputs'!$B$9)/SQRT((((720-43)*MAX('Inputs'!$B$33,'Inputs'!$B$29+'Inputs'!$B$31+'Inputs'!$B$32,'Inputs'!$B$30+'Inputs'!$B$31+'Inputs'!$B$32)/1000+'Inputs'!$B$21+'Inputs'!$B$7+'Inputs'!$B$10)+'Inputs'!$B$9)^2+('Inputs'!$B$8/2)^2)-(((720-43)*MAX('Inputs'!$B$33,'Inputs'!$B$29+'Inputs'!$B$31+'Inputs'!$B$32,'Inputs'!$B$30+'Inputs'!$B$31+'Inputs'!$B$32)/1000+'Inputs'!$B$21+'Inputs'!$B$7+'Inputs'!$B$10))/SQRT((((720-43)*MAX('Inputs'!$B$33,'Inputs'!$B$29+'Inputs'!$B$31+'Inputs'!$B$32,'Inputs'!$B$30+'Inputs'!$B$31+'Inputs'!$B$32)/1000+'Inputs'!$B$21+'Inputs'!$B$7+'Inputs'!$B$10))^2+('Inputs'!$B$8/2)^2))))*'Results'!$B$8))),"")</x:f>
        <x:v>1.263191178037669</x:v>
      </x:c>
      <x:c r="L720" t="n">
        <x:f>IF(AND(ISNUMBER('Results'!B7),ISNUMBER('Results'!C7),ISNUMBER('Results'!$B$8),ISNUMBER('Inputs'!$B$6),ISNUMBER('Inputs'!$B$7),ISNUMBER('Inputs'!$B$8),ISNUMBER('Inputs'!$B$9),ISNUMBER('Inputs'!$B$10),ISNUMBER('Inputs'!$B$21),ISNUMBER('Inputs'!$B$24),ISNUMBER('Inputs'!$B$28)),((('Results'!B7*(1+'Inputs'!$B$24)*(0.5*((((720-43)*MAX('Inputs'!$B$33,'Inputs'!$B$29+'Inputs'!$B$31+'Inputs'!$B$32,'Inputs'!$B$30+'Inputs'!$B$31+'Inputs'!$B$32)/1000+'Inputs'!$B$21)+'Inputs'!$B$7)/SQRT((((720-43)*MAX('Inputs'!$B$33,'Inputs'!$B$29+'Inputs'!$B$31+'Inputs'!$B$32,'Inputs'!$B$30+'Inputs'!$B$31+'Inputs'!$B$32)/1000+'Inputs'!$B$21)+'Inputs'!$B$7)^2+('Inputs'!$B$6/2)^2)-(((720-43)*MAX('Inputs'!$B$33,'Inputs'!$B$29+'Inputs'!$B$31+'Inputs'!$B$32,'Inputs'!$B$30+'Inputs'!$B$31+'Inputs'!$B$32)/1000+'Inputs'!$B$21))/SQRT((((720-43)*MAX('Inputs'!$B$33,'Inputs'!$B$29+'Inputs'!$B$31+'Inputs'!$B$32,'Inputs'!$B$30+'Inputs'!$B$31+'Inputs'!$B$32)/1000+'Inputs'!$B$21))^2+('Inputs'!$B$6/2)^2)))-'Results'!C7*(1-'Inputs'!$B$24)*(0.5*((((720-43)*MAX('Inputs'!$B$33,'Inputs'!$B$29+'Inputs'!$B$31+'Inputs'!$B$32,'Inputs'!$B$30+'Inputs'!$B$31+'Inputs'!$B$32)/1000+'Inputs'!$B$21+'Inputs'!$B$7+'Inputs'!$B$10)+'Inputs'!$B$9)/SQRT((((720-43)*MAX('Inputs'!$B$33,'Inputs'!$B$29+'Inputs'!$B$31+'Inputs'!$B$32,'Inputs'!$B$30+'Inputs'!$B$31+'Inputs'!$B$32)/1000+'Inputs'!$B$21+'Inputs'!$B$7+'Inputs'!$B$10)+'Inputs'!$B$9)^2+('Inputs'!$B$8/2)^2)-(((720-43)*MAX('Inputs'!$B$33,'Inputs'!$B$29+'Inputs'!$B$31+'Inputs'!$B$32,'Inputs'!$B$30+'Inputs'!$B$31+'Inputs'!$B$32)/1000+'Inputs'!$B$21+'Inputs'!$B$7+'Inputs'!$B$10))/SQRT((((720-43)*MAX('Inputs'!$B$33,'Inputs'!$B$29+'Inputs'!$B$31+'Inputs'!$B$32,'Inputs'!$B$30+'Inputs'!$B$31+'Inputs'!$B$32)/1000+'Inputs'!$B$21+'Inputs'!$B$7+'Inputs'!$B$10))^2+('Inputs'!$B$8/2)^2))))*'Results'!$B$8)+'Inputs'!$B$28*ABS((('Results'!B7*(1+'Inputs'!$B$24)*(0.5*((((720-43)*MAX('Inputs'!$B$33,'Inputs'!$B$29+'Inputs'!$B$31+'Inputs'!$B$32,'Inputs'!$B$30+'Inputs'!$B$31+'Inputs'!$B$32)/1000+'Inputs'!$B$21)+'Inputs'!$B$7)/SQRT((((720-43)*MAX('Inputs'!$B$33,'Inputs'!$B$29+'Inputs'!$B$31+'Inputs'!$B$32,'Inputs'!$B$30+'Inputs'!$B$31+'Inputs'!$B$32)/1000+'Inputs'!$B$21)+'Inputs'!$B$7)^2+('Inputs'!$B$6/2)^2)-(((720-43)*MAX('Inputs'!$B$33,'Inputs'!$B$29+'Inputs'!$B$31+'Inputs'!$B$32,'Inputs'!$B$30+'Inputs'!$B$31+'Inputs'!$B$32)/1000+'Inputs'!$B$21))/SQRT((((720-43)*MAX('Inputs'!$B$33,'Inputs'!$B$29+'Inputs'!$B$31+'Inputs'!$B$32,'Inputs'!$B$30+'Inputs'!$B$31+'Inputs'!$B$32)/1000+'Inputs'!$B$21))^2+('Inputs'!$B$6/2)^2)))-'Results'!C7*(1-'Inputs'!$B$24)*(0.5*((((720-43)*MAX('Inputs'!$B$33,'Inputs'!$B$29+'Inputs'!$B$31+'Inputs'!$B$32,'Inputs'!$B$30+'Inputs'!$B$31+'Inputs'!$B$32)/1000+'Inputs'!$B$21+'Inputs'!$B$7+'Inputs'!$B$10)+'Inputs'!$B$9)/SQRT((((720-43)*MAX('Inputs'!$B$33,'Inputs'!$B$29+'Inputs'!$B$31+'Inputs'!$B$32,'Inputs'!$B$30+'Inputs'!$B$31+'Inputs'!$B$32)/1000+'Inputs'!$B$21+'Inputs'!$B$7+'Inputs'!$B$10)+'Inputs'!$B$9)^2+('Inputs'!$B$8/2)^2)-(((720-43)*MAX('Inputs'!$B$33,'Inputs'!$B$29+'Inputs'!$B$31+'Inputs'!$B$32,'Inputs'!$B$30+'Inputs'!$B$31+'Inputs'!$B$32)/1000+'Inputs'!$B$21+'Inputs'!$B$7+'Inputs'!$B$10))/SQRT((((720-43)*MAX('Inputs'!$B$33,'Inputs'!$B$29+'Inputs'!$B$31+'Inputs'!$B$32,'Inputs'!$B$30+'Inputs'!$B$31+'Inputs'!$B$32)/1000+'Inputs'!$B$21+'Inputs'!$B$7+'Inputs'!$B$10))^2+('Inputs'!$B$8/2)^2))))*'Results'!$B$8))),"")</x:f>
        <x:v>1.6595651967917435</x:v>
      </x:c>
      <x:c r="M720" t="n">
        <x:f>IF(AND(ISNUMBER('Results'!C7),ISNUMBER('Results'!B7),ISNUMBER('Results'!$B$8),ISNUMBER('Inputs'!$B$6),ISNUMBER('Inputs'!$B$7),ISNUMBER('Inputs'!$B$8),ISNUMBER('Inputs'!$B$9),ISNUMBER('Inputs'!$B$10),ISNUMBER('Inputs'!$B$21),ISNUMBER('Inputs'!$B$24),ISNUMBER('Inputs'!$B$28)),(('Results'!C7*(0.5*((((720-43)*MAX('Inputs'!$B$33,'Inputs'!$B$29+'Inputs'!$B$31+'Inputs'!$B$32,'Inputs'!$B$30+'Inputs'!$B$31+'Inputs'!$B$32)/1000+'Inputs'!$B$21)+'Inputs'!$B$9)/SQRT((((720-43)*MAX('Inputs'!$B$33,'Inputs'!$B$29+'Inputs'!$B$31+'Inputs'!$B$32,'Inputs'!$B$30+'Inputs'!$B$31+'Inputs'!$B$32)/1000+'Inputs'!$B$21)+'Inputs'!$B$9)^2+('Inputs'!$B$8/2)^2)-(((720-43)*MAX('Inputs'!$B$33,'Inputs'!$B$29+'Inputs'!$B$31+'Inputs'!$B$32,'Inputs'!$B$30+'Inputs'!$B$31+'Inputs'!$B$32)/1000+'Inputs'!$B$21))/SQRT((((720-43)*MAX('Inputs'!$B$33,'Inputs'!$B$29+'Inputs'!$B$31+'Inputs'!$B$32,'Inputs'!$B$30+'Inputs'!$B$31+'Inputs'!$B$32)/1000+'Inputs'!$B$21))^2+('Inputs'!$B$8/2)^2)))-'Results'!B7*(0.5*((((720-43)*MAX('Inputs'!$B$33,'Inputs'!$B$29+'Inputs'!$B$31+'Inputs'!$B$32,'Inputs'!$B$30+'Inputs'!$B$31+'Inputs'!$B$32)/1000+'Inputs'!$B$21+'Inputs'!$B$9+'Inputs'!$B$10)+'Inputs'!$B$7)/SQRT((((720-43)*MAX('Inputs'!$B$33,'Inputs'!$B$29+'Inputs'!$B$31+'Inputs'!$B$32,'Inputs'!$B$30+'Inputs'!$B$31+'Inputs'!$B$32)/1000+'Inputs'!$B$21+'Inputs'!$B$9+'Inputs'!$B$10)+'Inputs'!$B$7)^2+('Inputs'!$B$6/2)^2)-(((720-43)*MAX('Inputs'!$B$33,'Inputs'!$B$29+'Inputs'!$B$31+'Inputs'!$B$32,'Inputs'!$B$30+'Inputs'!$B$31+'Inputs'!$B$32)/1000+'Inputs'!$B$21+'Inputs'!$B$9+'Inputs'!$B$10))/SQRT((((720-43)*MAX('Inputs'!$B$33,'Inputs'!$B$29+'Inputs'!$B$31+'Inputs'!$B$32,'Inputs'!$B$30+'Inputs'!$B$31+'Inputs'!$B$32)/1000+'Inputs'!$B$21+'Inputs'!$B$9+'Inputs'!$B$10))^2+('Inputs'!$B$6/2)^2))))*'Results'!$B$8),"")</x:f>
        <x:v>1.3286919696875739</x:v>
      </x:c>
      <x:c r="N720" t="n">
        <x:f>IF(AND(ISNUMBER('Results'!C7),ISNUMBER('Results'!B7),ISNUMBER('Results'!$B$8),ISNUMBER('Inputs'!$B$6),ISNUMBER('Inputs'!$B$7),ISNUMBER('Inputs'!$B$8),ISNUMBER('Inputs'!$B$9),ISNUMBER('Inputs'!$B$10),ISNUMBER('Inputs'!$B$21),ISNUMBER('Inputs'!$B$24),ISNUMBER('Inputs'!$B$28)),((('Results'!C7*(1-'Inputs'!$B$24)*(0.5*((((720-43)*MAX('Inputs'!$B$33,'Inputs'!$B$29+'Inputs'!$B$31+'Inputs'!$B$32,'Inputs'!$B$30+'Inputs'!$B$31+'Inputs'!$B$32)/1000+'Inputs'!$B$21)+'Inputs'!$B$9)/SQRT((((720-43)*MAX('Inputs'!$B$33,'Inputs'!$B$29+'Inputs'!$B$31+'Inputs'!$B$32,'Inputs'!$B$30+'Inputs'!$B$31+'Inputs'!$B$32)/1000+'Inputs'!$B$21)+'Inputs'!$B$9)^2+('Inputs'!$B$8/2)^2)-(((720-43)*MAX('Inputs'!$B$33,'Inputs'!$B$29+'Inputs'!$B$31+'Inputs'!$B$32,'Inputs'!$B$30+'Inputs'!$B$31+'Inputs'!$B$32)/1000+'Inputs'!$B$21))/SQRT((((720-43)*MAX('Inputs'!$B$33,'Inputs'!$B$29+'Inputs'!$B$31+'Inputs'!$B$32,'Inputs'!$B$30+'Inputs'!$B$31+'Inputs'!$B$32)/1000+'Inputs'!$B$21))^2+('Inputs'!$B$8/2)^2)))-'Results'!B7*(1+'Inputs'!$B$24)*(0.5*((((720-43)*MAX('Inputs'!$B$33,'Inputs'!$B$29+'Inputs'!$B$31+'Inputs'!$B$32,'Inputs'!$B$30+'Inputs'!$B$31+'Inputs'!$B$32)/1000+'Inputs'!$B$21+'Inputs'!$B$9+'Inputs'!$B$10)+'Inputs'!$B$7)/SQRT((((720-43)*MAX('Inputs'!$B$33,'Inputs'!$B$29+'Inputs'!$B$31+'Inputs'!$B$32,'Inputs'!$B$30+'Inputs'!$B$31+'Inputs'!$B$32)/1000+'Inputs'!$B$21+'Inputs'!$B$9+'Inputs'!$B$10)+'Inputs'!$B$7)^2+('Inputs'!$B$6/2)^2)-(((720-43)*MAX('Inputs'!$B$33,'Inputs'!$B$29+'Inputs'!$B$31+'Inputs'!$B$32,'Inputs'!$B$30+'Inputs'!$B$31+'Inputs'!$B$32)/1000+'Inputs'!$B$21+'Inputs'!$B$9+'Inputs'!$B$10))/SQRT((((720-43)*MAX('Inputs'!$B$33,'Inputs'!$B$29+'Inputs'!$B$31+'Inputs'!$B$32,'Inputs'!$B$30+'Inputs'!$B$31+'Inputs'!$B$32)/1000+'Inputs'!$B$21+'Inputs'!$B$9+'Inputs'!$B$10))^2+('Inputs'!$B$6/2)^2))))*'Results'!$B$8)-'Inputs'!$B$28*ABS((('Results'!C7*(1-'Inputs'!$B$24)*(0.5*((((720-43)*MAX('Inputs'!$B$33,'Inputs'!$B$29+'Inputs'!$B$31+'Inputs'!$B$32,'Inputs'!$B$30+'Inputs'!$B$31+'Inputs'!$B$32)/1000+'Inputs'!$B$21)+'Inputs'!$B$9)/SQRT((((720-43)*MAX('Inputs'!$B$33,'Inputs'!$B$29+'Inputs'!$B$31+'Inputs'!$B$32,'Inputs'!$B$30+'Inputs'!$B$31+'Inputs'!$B$32)/1000+'Inputs'!$B$21)+'Inputs'!$B$9)^2+('Inputs'!$B$8/2)^2)-(((720-43)*MAX('Inputs'!$B$33,'Inputs'!$B$29+'Inputs'!$B$31+'Inputs'!$B$32,'Inputs'!$B$30+'Inputs'!$B$31+'Inputs'!$B$32)/1000+'Inputs'!$B$21))/SQRT((((720-43)*MAX('Inputs'!$B$33,'Inputs'!$B$29+'Inputs'!$B$31+'Inputs'!$B$32,'Inputs'!$B$30+'Inputs'!$B$31+'Inputs'!$B$32)/1000+'Inputs'!$B$21))^2+('Inputs'!$B$8/2)^2)))-'Results'!B7*(1+'Inputs'!$B$24)*(0.5*((((720-43)*MAX('Inputs'!$B$33,'Inputs'!$B$29+'Inputs'!$B$31+'Inputs'!$B$32,'Inputs'!$B$30+'Inputs'!$B$31+'Inputs'!$B$32)/1000+'Inputs'!$B$21+'Inputs'!$B$9+'Inputs'!$B$10)+'Inputs'!$B$7)/SQRT((((720-43)*MAX('Inputs'!$B$33,'Inputs'!$B$29+'Inputs'!$B$31+'Inputs'!$B$32,'Inputs'!$B$30+'Inputs'!$B$31+'Inputs'!$B$32)/1000+'Inputs'!$B$21+'Inputs'!$B$9+'Inputs'!$B$10)+'Inputs'!$B$7)^2+('Inputs'!$B$6/2)^2)-(((720-43)*MAX('Inputs'!$B$33,'Inputs'!$B$29+'Inputs'!$B$31+'Inputs'!$B$32,'Inputs'!$B$30+'Inputs'!$B$31+'Inputs'!$B$32)/1000+'Inputs'!$B$21+'Inputs'!$B$9+'Inputs'!$B$10))/SQRT((((720-43)*MAX('Inputs'!$B$33,'Inputs'!$B$29+'Inputs'!$B$31+'Inputs'!$B$32,'Inputs'!$B$30+'Inputs'!$B$31+'Inputs'!$B$32)/1000+'Inputs'!$B$21+'Inputs'!$B$9+'Inputs'!$B$10))^2+('Inputs'!$B$6/2)^2))))*'Results'!$B$8))),"")</x:f>
        <x:v>1.1436315403317208</x:v>
      </x:c>
      <x:c r="O720" t="n">
        <x:f>IF(AND(ISNUMBER('Results'!C7),ISNUMBER('Results'!B7),ISNUMBER('Results'!$B$8),ISNUMBER('Inputs'!$B$6),ISNUMBER('Inputs'!$B$7),ISNUMBER('Inputs'!$B$8),ISNUMBER('Inputs'!$B$9),ISNUMBER('Inputs'!$B$10),ISNUMBER('Inputs'!$B$21),ISNUMBER('Inputs'!$B$24),ISNUMBER('Inputs'!$B$28)),((('Results'!C7*(1+'Inputs'!$B$24)*(0.5*((((720-43)*MAX('Inputs'!$B$33,'Inputs'!$B$29+'Inputs'!$B$31+'Inputs'!$B$32,'Inputs'!$B$30+'Inputs'!$B$31+'Inputs'!$B$32)/1000+'Inputs'!$B$21)+'Inputs'!$B$9)/SQRT((((720-43)*MAX('Inputs'!$B$33,'Inputs'!$B$29+'Inputs'!$B$31+'Inputs'!$B$32,'Inputs'!$B$30+'Inputs'!$B$31+'Inputs'!$B$32)/1000+'Inputs'!$B$21)+'Inputs'!$B$9)^2+('Inputs'!$B$8/2)^2)-(((720-43)*MAX('Inputs'!$B$33,'Inputs'!$B$29+'Inputs'!$B$31+'Inputs'!$B$32,'Inputs'!$B$30+'Inputs'!$B$31+'Inputs'!$B$32)/1000+'Inputs'!$B$21))/SQRT((((720-43)*MAX('Inputs'!$B$33,'Inputs'!$B$29+'Inputs'!$B$31+'Inputs'!$B$32,'Inputs'!$B$30+'Inputs'!$B$31+'Inputs'!$B$32)/1000+'Inputs'!$B$21))^2+('Inputs'!$B$8/2)^2)))-'Results'!B7*(1-'Inputs'!$B$24)*(0.5*((((720-43)*MAX('Inputs'!$B$33,'Inputs'!$B$29+'Inputs'!$B$31+'Inputs'!$B$32,'Inputs'!$B$30+'Inputs'!$B$31+'Inputs'!$B$32)/1000+'Inputs'!$B$21+'Inputs'!$B$9+'Inputs'!$B$10)+'Inputs'!$B$7)/SQRT((((720-43)*MAX('Inputs'!$B$33,'Inputs'!$B$29+'Inputs'!$B$31+'Inputs'!$B$32,'Inputs'!$B$30+'Inputs'!$B$31+'Inputs'!$B$32)/1000+'Inputs'!$B$21+'Inputs'!$B$9+'Inputs'!$B$10)+'Inputs'!$B$7)^2+('Inputs'!$B$6/2)^2)-(((720-43)*MAX('Inputs'!$B$33,'Inputs'!$B$29+'Inputs'!$B$31+'Inputs'!$B$32,'Inputs'!$B$30+'Inputs'!$B$31+'Inputs'!$B$32)/1000+'Inputs'!$B$21+'Inputs'!$B$9+'Inputs'!$B$10))/SQRT((((720-43)*MAX('Inputs'!$B$33,'Inputs'!$B$29+'Inputs'!$B$31+'Inputs'!$B$32,'Inputs'!$B$30+'Inputs'!$B$31+'Inputs'!$B$32)/1000+'Inputs'!$B$21+'Inputs'!$B$9+'Inputs'!$B$10))^2+('Inputs'!$B$6/2)^2))))*'Results'!$B$8)+'Inputs'!$B$28*ABS((('Results'!C7*(1+'Inputs'!$B$24)*(0.5*((((720-43)*MAX('Inputs'!$B$33,'Inputs'!$B$29+'Inputs'!$B$31+'Inputs'!$B$32,'Inputs'!$B$30+'Inputs'!$B$31+'Inputs'!$B$32)/1000+'Inputs'!$B$21)+'Inputs'!$B$9)/SQRT((((720-43)*MAX('Inputs'!$B$33,'Inputs'!$B$29+'Inputs'!$B$31+'Inputs'!$B$32,'Inputs'!$B$30+'Inputs'!$B$31+'Inputs'!$B$32)/1000+'Inputs'!$B$21)+'Inputs'!$B$9)^2+('Inputs'!$B$8/2)^2)-(((720-43)*MAX('Inputs'!$B$33,'Inputs'!$B$29+'Inputs'!$B$31+'Inputs'!$B$32,'Inputs'!$B$30+'Inputs'!$B$31+'Inputs'!$B$32)/1000+'Inputs'!$B$21))/SQRT((((720-43)*MAX('Inputs'!$B$33,'Inputs'!$B$29+'Inputs'!$B$31+'Inputs'!$B$32,'Inputs'!$B$30+'Inputs'!$B$31+'Inputs'!$B$32)/1000+'Inputs'!$B$21))^2+('Inputs'!$B$8/2)^2)))-'Results'!B7*(1-'Inputs'!$B$24)*(0.5*((((720-43)*MAX('Inputs'!$B$33,'Inputs'!$B$29+'Inputs'!$B$31+'Inputs'!$B$32,'Inputs'!$B$30+'Inputs'!$B$31+'Inputs'!$B$32)/1000+'Inputs'!$B$21+'Inputs'!$B$9+'Inputs'!$B$10)+'Inputs'!$B$7)/SQRT((((720-43)*MAX('Inputs'!$B$33,'Inputs'!$B$29+'Inputs'!$B$31+'Inputs'!$B$32,'Inputs'!$B$30+'Inputs'!$B$31+'Inputs'!$B$32)/1000+'Inputs'!$B$21+'Inputs'!$B$9+'Inputs'!$B$10)+'Inputs'!$B$7)^2+('Inputs'!$B$6/2)^2)-(((720-43)*MAX('Inputs'!$B$33,'Inputs'!$B$29+'Inputs'!$B$31+'Inputs'!$B$32,'Inputs'!$B$30+'Inputs'!$B$31+'Inputs'!$B$32)/1000+'Inputs'!$B$21+'Inputs'!$B$9+'Inputs'!$B$10))/SQRT((((720-43)*MAX('Inputs'!$B$33,'Inputs'!$B$29+'Inputs'!$B$31+'Inputs'!$B$32,'Inputs'!$B$30+'Inputs'!$B$31+'Inputs'!$B$32)/1000+'Inputs'!$B$21+'Inputs'!$B$9+'Inputs'!$B$10))^2+('Inputs'!$B$6/2)^2))))*'Results'!$B$8))),"")</x:f>
        <x:v>1.5262393286088447</x:v>
      </x:c>
      <x:c r="P720" t="n">
        <x:f>IF(AND(MAX(J720,J719)&gt;0,J720&gt;J719+0.00000001),1,0)</x:f>
        <x:v>0</x:v>
      </x:c>
      <x:c r="Q720" t="n">
        <x:f>IF(AND(MAX(K720,K719)&gt;0,K720&gt;K719+0.00000001),1,0)</x:f>
        <x:v>0</x:v>
      </x:c>
      <x:c r="R720" t="n">
        <x:f>IF(AND(MAX(L720,L719)&gt;0,L720&gt;L719+0.00000001),1,0)</x:f>
        <x:v>0</x:v>
      </x:c>
      <x:c r="S720" t="n">
        <x:f>IF(AND(MAX(M720,M719)&gt;0,M720&gt;M719+0.00000001),1,0)</x:f>
        <x:v>0</x:v>
      </x:c>
      <x:c r="T720" t="n">
        <x:f>IF(AND(MAX(N720,N719)&gt;0,N720&gt;N719+0.00000001),1,0)</x:f>
        <x:v>0</x:v>
      </x:c>
      <x:c r="U720" t="n">
        <x:f>IF(AND(MAX(O720,O719)&gt;0,O720&gt;O719+0.00000001),1,0)</x:f>
        <x:v>0</x:v>
      </x:c>
    </x:row>
    <x:row r="721">
      <x:c r="J721" t="n">
        <x:f>IF(AND(ISNUMBER('Results'!B7),ISNUMBER('Results'!C7),ISNUMBER('Results'!$B$8),ISNUMBER('Inputs'!$B$6),ISNUMBER('Inputs'!$B$7),ISNUMBER('Inputs'!$B$8),ISNUMBER('Inputs'!$B$9),ISNUMBER('Inputs'!$B$10),ISNUMBER('Inputs'!$B$21),ISNUMBER('Inputs'!$B$24),ISNUMBER('Inputs'!$B$28)),(('Results'!B7*(0.5*((((721-43)*MAX('Inputs'!$B$33,'Inputs'!$B$29+'Inputs'!$B$31+'Inputs'!$B$32,'Inputs'!$B$30+'Inputs'!$B$31+'Inputs'!$B$32)/1000+'Inputs'!$B$21)+'Inputs'!$B$7)/SQRT((((721-43)*MAX('Inputs'!$B$33,'Inputs'!$B$29+'Inputs'!$B$31+'Inputs'!$B$32,'Inputs'!$B$30+'Inputs'!$B$31+'Inputs'!$B$32)/1000+'Inputs'!$B$21)+'Inputs'!$B$7)^2+('Inputs'!$B$6/2)^2)-(((721-43)*MAX('Inputs'!$B$33,'Inputs'!$B$29+'Inputs'!$B$31+'Inputs'!$B$32,'Inputs'!$B$30+'Inputs'!$B$31+'Inputs'!$B$32)/1000+'Inputs'!$B$21))/SQRT((((721-43)*MAX('Inputs'!$B$33,'Inputs'!$B$29+'Inputs'!$B$31+'Inputs'!$B$32,'Inputs'!$B$30+'Inputs'!$B$31+'Inputs'!$B$32)/1000+'Inputs'!$B$21))^2+('Inputs'!$B$6/2)^2)))-'Results'!C7*(0.5*((((721-43)*MAX('Inputs'!$B$33,'Inputs'!$B$29+'Inputs'!$B$31+'Inputs'!$B$32,'Inputs'!$B$30+'Inputs'!$B$31+'Inputs'!$B$32)/1000+'Inputs'!$B$21+'Inputs'!$B$7+'Inputs'!$B$10)+'Inputs'!$B$9)/SQRT((((721-43)*MAX('Inputs'!$B$33,'Inputs'!$B$29+'Inputs'!$B$31+'Inputs'!$B$32,'Inputs'!$B$30+'Inputs'!$B$31+'Inputs'!$B$32)/1000+'Inputs'!$B$21+'Inputs'!$B$7+'Inputs'!$B$10)+'Inputs'!$B$9)^2+('Inputs'!$B$8/2)^2)-(((721-43)*MAX('Inputs'!$B$33,'Inputs'!$B$29+'Inputs'!$B$31+'Inputs'!$B$32,'Inputs'!$B$30+'Inputs'!$B$31+'Inputs'!$B$32)/1000+'Inputs'!$B$21+'Inputs'!$B$7+'Inputs'!$B$10))/SQRT((((721-43)*MAX('Inputs'!$B$33,'Inputs'!$B$29+'Inputs'!$B$31+'Inputs'!$B$32,'Inputs'!$B$30+'Inputs'!$B$31+'Inputs'!$B$32)/1000+'Inputs'!$B$21+'Inputs'!$B$7+'Inputs'!$B$10))^2+('Inputs'!$B$8/2)^2))))*'Results'!$B$8),"")</x:f>
        <x:v>1.4475203871470836</x:v>
      </x:c>
      <x:c r="K721" t="n">
        <x:f>IF(AND(ISNUMBER('Results'!B7),ISNUMBER('Results'!C7),ISNUMBER('Results'!$B$8),ISNUMBER('Inputs'!$B$6),ISNUMBER('Inputs'!$B$7),ISNUMBER('Inputs'!$B$8),ISNUMBER('Inputs'!$B$9),ISNUMBER('Inputs'!$B$10),ISNUMBER('Inputs'!$B$21),ISNUMBER('Inputs'!$B$24),ISNUMBER('Inputs'!$B$28)),((('Results'!B7*(1-'Inputs'!$B$24)*(0.5*((((721-43)*MAX('Inputs'!$B$33,'Inputs'!$B$29+'Inputs'!$B$31+'Inputs'!$B$32,'Inputs'!$B$30+'Inputs'!$B$31+'Inputs'!$B$32)/1000+'Inputs'!$B$21)+'Inputs'!$B$7)/SQRT((((721-43)*MAX('Inputs'!$B$33,'Inputs'!$B$29+'Inputs'!$B$31+'Inputs'!$B$32,'Inputs'!$B$30+'Inputs'!$B$31+'Inputs'!$B$32)/1000+'Inputs'!$B$21)+'Inputs'!$B$7)^2+('Inputs'!$B$6/2)^2)-(((721-43)*MAX('Inputs'!$B$33,'Inputs'!$B$29+'Inputs'!$B$31+'Inputs'!$B$32,'Inputs'!$B$30+'Inputs'!$B$31+'Inputs'!$B$32)/1000+'Inputs'!$B$21))/SQRT((((721-43)*MAX('Inputs'!$B$33,'Inputs'!$B$29+'Inputs'!$B$31+'Inputs'!$B$32,'Inputs'!$B$30+'Inputs'!$B$31+'Inputs'!$B$32)/1000+'Inputs'!$B$21))^2+('Inputs'!$B$6/2)^2)))-'Results'!C7*(1+'Inputs'!$B$24)*(0.5*((((721-43)*MAX('Inputs'!$B$33,'Inputs'!$B$29+'Inputs'!$B$31+'Inputs'!$B$32,'Inputs'!$B$30+'Inputs'!$B$31+'Inputs'!$B$32)/1000+'Inputs'!$B$21+'Inputs'!$B$7+'Inputs'!$B$10)+'Inputs'!$B$9)/SQRT((((721-43)*MAX('Inputs'!$B$33,'Inputs'!$B$29+'Inputs'!$B$31+'Inputs'!$B$32,'Inputs'!$B$30+'Inputs'!$B$31+'Inputs'!$B$32)/1000+'Inputs'!$B$21+'Inputs'!$B$7+'Inputs'!$B$10)+'Inputs'!$B$9)^2+('Inputs'!$B$8/2)^2)-(((721-43)*MAX('Inputs'!$B$33,'Inputs'!$B$29+'Inputs'!$B$31+'Inputs'!$B$32,'Inputs'!$B$30+'Inputs'!$B$31+'Inputs'!$B$32)/1000+'Inputs'!$B$21+'Inputs'!$B$7+'Inputs'!$B$10))/SQRT((((721-43)*MAX('Inputs'!$B$33,'Inputs'!$B$29+'Inputs'!$B$31+'Inputs'!$B$32,'Inputs'!$B$30+'Inputs'!$B$31+'Inputs'!$B$32)/1000+'Inputs'!$B$21+'Inputs'!$B$7+'Inputs'!$B$10))^2+('Inputs'!$B$8/2)^2))))*'Results'!$B$8)-'Inputs'!$B$28*ABS((('Results'!B7*(1-'Inputs'!$B$24)*(0.5*((((721-43)*MAX('Inputs'!$B$33,'Inputs'!$B$29+'Inputs'!$B$31+'Inputs'!$B$32,'Inputs'!$B$30+'Inputs'!$B$31+'Inputs'!$B$32)/1000+'Inputs'!$B$21)+'Inputs'!$B$7)/SQRT((((721-43)*MAX('Inputs'!$B$33,'Inputs'!$B$29+'Inputs'!$B$31+'Inputs'!$B$32,'Inputs'!$B$30+'Inputs'!$B$31+'Inputs'!$B$32)/1000+'Inputs'!$B$21)+'Inputs'!$B$7)^2+('Inputs'!$B$6/2)^2)-(((721-43)*MAX('Inputs'!$B$33,'Inputs'!$B$29+'Inputs'!$B$31+'Inputs'!$B$32,'Inputs'!$B$30+'Inputs'!$B$31+'Inputs'!$B$32)/1000+'Inputs'!$B$21))/SQRT((((721-43)*MAX('Inputs'!$B$33,'Inputs'!$B$29+'Inputs'!$B$31+'Inputs'!$B$32,'Inputs'!$B$30+'Inputs'!$B$31+'Inputs'!$B$32)/1000+'Inputs'!$B$21))^2+('Inputs'!$B$6/2)^2)))-'Results'!C7*(1+'Inputs'!$B$24)*(0.5*((((721-43)*MAX('Inputs'!$B$33,'Inputs'!$B$29+'Inputs'!$B$31+'Inputs'!$B$32,'Inputs'!$B$30+'Inputs'!$B$31+'Inputs'!$B$32)/1000+'Inputs'!$B$21+'Inputs'!$B$7+'Inputs'!$B$10)+'Inputs'!$B$9)/SQRT((((721-43)*MAX('Inputs'!$B$33,'Inputs'!$B$29+'Inputs'!$B$31+'Inputs'!$B$32,'Inputs'!$B$30+'Inputs'!$B$31+'Inputs'!$B$32)/1000+'Inputs'!$B$21+'Inputs'!$B$7+'Inputs'!$B$10)+'Inputs'!$B$9)^2+('Inputs'!$B$8/2)^2)-(((721-43)*MAX('Inputs'!$B$33,'Inputs'!$B$29+'Inputs'!$B$31+'Inputs'!$B$32,'Inputs'!$B$30+'Inputs'!$B$31+'Inputs'!$B$32)/1000+'Inputs'!$B$21+'Inputs'!$B$7+'Inputs'!$B$10))/SQRT((((721-43)*MAX('Inputs'!$B$33,'Inputs'!$B$29+'Inputs'!$B$31+'Inputs'!$B$32,'Inputs'!$B$30+'Inputs'!$B$31+'Inputs'!$B$32)/1000+'Inputs'!$B$21+'Inputs'!$B$7+'Inputs'!$B$10))^2+('Inputs'!$B$8/2)^2))))*'Results'!$B$8))),"")</x:f>
        <x:v>1.256462945417968</x:v>
      </x:c>
      <x:c r="L721" t="n">
        <x:f>IF(AND(ISNUMBER('Results'!B7),ISNUMBER('Results'!C7),ISNUMBER('Results'!$B$8),ISNUMBER('Inputs'!$B$6),ISNUMBER('Inputs'!$B$7),ISNUMBER('Inputs'!$B$8),ISNUMBER('Inputs'!$B$9),ISNUMBER('Inputs'!$B$10),ISNUMBER('Inputs'!$B$21),ISNUMBER('Inputs'!$B$24),ISNUMBER('Inputs'!$B$28)),((('Results'!B7*(1+'Inputs'!$B$24)*(0.5*((((721-43)*MAX('Inputs'!$B$33,'Inputs'!$B$29+'Inputs'!$B$31+'Inputs'!$B$32,'Inputs'!$B$30+'Inputs'!$B$31+'Inputs'!$B$32)/1000+'Inputs'!$B$21)+'Inputs'!$B$7)/SQRT((((721-43)*MAX('Inputs'!$B$33,'Inputs'!$B$29+'Inputs'!$B$31+'Inputs'!$B$32,'Inputs'!$B$30+'Inputs'!$B$31+'Inputs'!$B$32)/1000+'Inputs'!$B$21)+'Inputs'!$B$7)^2+('Inputs'!$B$6/2)^2)-(((721-43)*MAX('Inputs'!$B$33,'Inputs'!$B$29+'Inputs'!$B$31+'Inputs'!$B$32,'Inputs'!$B$30+'Inputs'!$B$31+'Inputs'!$B$32)/1000+'Inputs'!$B$21))/SQRT((((721-43)*MAX('Inputs'!$B$33,'Inputs'!$B$29+'Inputs'!$B$31+'Inputs'!$B$32,'Inputs'!$B$30+'Inputs'!$B$31+'Inputs'!$B$32)/1000+'Inputs'!$B$21))^2+('Inputs'!$B$6/2)^2)))-'Results'!C7*(1-'Inputs'!$B$24)*(0.5*((((721-43)*MAX('Inputs'!$B$33,'Inputs'!$B$29+'Inputs'!$B$31+'Inputs'!$B$32,'Inputs'!$B$30+'Inputs'!$B$31+'Inputs'!$B$32)/1000+'Inputs'!$B$21+'Inputs'!$B$7+'Inputs'!$B$10)+'Inputs'!$B$9)/SQRT((((721-43)*MAX('Inputs'!$B$33,'Inputs'!$B$29+'Inputs'!$B$31+'Inputs'!$B$32,'Inputs'!$B$30+'Inputs'!$B$31+'Inputs'!$B$32)/1000+'Inputs'!$B$21+'Inputs'!$B$7+'Inputs'!$B$10)+'Inputs'!$B$9)^2+('Inputs'!$B$8/2)^2)-(((721-43)*MAX('Inputs'!$B$33,'Inputs'!$B$29+'Inputs'!$B$31+'Inputs'!$B$32,'Inputs'!$B$30+'Inputs'!$B$31+'Inputs'!$B$32)/1000+'Inputs'!$B$21+'Inputs'!$B$7+'Inputs'!$B$10))/SQRT((((721-43)*MAX('Inputs'!$B$33,'Inputs'!$B$29+'Inputs'!$B$31+'Inputs'!$B$32,'Inputs'!$B$30+'Inputs'!$B$31+'Inputs'!$B$32)/1000+'Inputs'!$B$21+'Inputs'!$B$7+'Inputs'!$B$10))^2+('Inputs'!$B$8/2)^2))))*'Results'!$B$8)+'Inputs'!$B$28*ABS((('Results'!B7*(1+'Inputs'!$B$24)*(0.5*((((721-43)*MAX('Inputs'!$B$33,'Inputs'!$B$29+'Inputs'!$B$31+'Inputs'!$B$32,'Inputs'!$B$30+'Inputs'!$B$31+'Inputs'!$B$32)/1000+'Inputs'!$B$21)+'Inputs'!$B$7)/SQRT((((721-43)*MAX('Inputs'!$B$33,'Inputs'!$B$29+'Inputs'!$B$31+'Inputs'!$B$32,'Inputs'!$B$30+'Inputs'!$B$31+'Inputs'!$B$32)/1000+'Inputs'!$B$21)+'Inputs'!$B$7)^2+('Inputs'!$B$6/2)^2)-(((721-43)*MAX('Inputs'!$B$33,'Inputs'!$B$29+'Inputs'!$B$31+'Inputs'!$B$32,'Inputs'!$B$30+'Inputs'!$B$31+'Inputs'!$B$32)/1000+'Inputs'!$B$21))/SQRT((((721-43)*MAX('Inputs'!$B$33,'Inputs'!$B$29+'Inputs'!$B$31+'Inputs'!$B$32,'Inputs'!$B$30+'Inputs'!$B$31+'Inputs'!$B$32)/1000+'Inputs'!$B$21))^2+('Inputs'!$B$6/2)^2)))-'Results'!C7*(1-'Inputs'!$B$24)*(0.5*((((721-43)*MAX('Inputs'!$B$33,'Inputs'!$B$29+'Inputs'!$B$31+'Inputs'!$B$32,'Inputs'!$B$30+'Inputs'!$B$31+'Inputs'!$B$32)/1000+'Inputs'!$B$21+'Inputs'!$B$7+'Inputs'!$B$10)+'Inputs'!$B$9)/SQRT((((721-43)*MAX('Inputs'!$B$33,'Inputs'!$B$29+'Inputs'!$B$31+'Inputs'!$B$32,'Inputs'!$B$30+'Inputs'!$B$31+'Inputs'!$B$32)/1000+'Inputs'!$B$21+'Inputs'!$B$7+'Inputs'!$B$10)+'Inputs'!$B$9)^2+('Inputs'!$B$8/2)^2)-(((721-43)*MAX('Inputs'!$B$33,'Inputs'!$B$29+'Inputs'!$B$31+'Inputs'!$B$32,'Inputs'!$B$30+'Inputs'!$B$31+'Inputs'!$B$32)/1000+'Inputs'!$B$21+'Inputs'!$B$7+'Inputs'!$B$10))/SQRT((((721-43)*MAX('Inputs'!$B$33,'Inputs'!$B$29+'Inputs'!$B$31+'Inputs'!$B$32,'Inputs'!$B$30+'Inputs'!$B$31+'Inputs'!$B$32)/1000+'Inputs'!$B$21+'Inputs'!$B$7+'Inputs'!$B$10))^2+('Inputs'!$B$8/2)^2))))*'Results'!$B$8))),"")</x:f>
        <x:v>1.6510706101784902</x:v>
      </x:c>
      <x:c r="M721" t="n">
        <x:f>IF(AND(ISNUMBER('Results'!C7),ISNUMBER('Results'!B7),ISNUMBER('Results'!$B$8),ISNUMBER('Inputs'!$B$6),ISNUMBER('Inputs'!$B$7),ISNUMBER('Inputs'!$B$8),ISNUMBER('Inputs'!$B$9),ISNUMBER('Inputs'!$B$10),ISNUMBER('Inputs'!$B$21),ISNUMBER('Inputs'!$B$24),ISNUMBER('Inputs'!$B$28)),(('Results'!C7*(0.5*((((721-43)*MAX('Inputs'!$B$33,'Inputs'!$B$29+'Inputs'!$B$31+'Inputs'!$B$32,'Inputs'!$B$30+'Inputs'!$B$31+'Inputs'!$B$32)/1000+'Inputs'!$B$21)+'Inputs'!$B$9)/SQRT((((721-43)*MAX('Inputs'!$B$33,'Inputs'!$B$29+'Inputs'!$B$31+'Inputs'!$B$32,'Inputs'!$B$30+'Inputs'!$B$31+'Inputs'!$B$32)/1000+'Inputs'!$B$21)+'Inputs'!$B$9)^2+('Inputs'!$B$8/2)^2)-(((721-43)*MAX('Inputs'!$B$33,'Inputs'!$B$29+'Inputs'!$B$31+'Inputs'!$B$32,'Inputs'!$B$30+'Inputs'!$B$31+'Inputs'!$B$32)/1000+'Inputs'!$B$21))/SQRT((((721-43)*MAX('Inputs'!$B$33,'Inputs'!$B$29+'Inputs'!$B$31+'Inputs'!$B$32,'Inputs'!$B$30+'Inputs'!$B$31+'Inputs'!$B$32)/1000+'Inputs'!$B$21))^2+('Inputs'!$B$8/2)^2)))-'Results'!B7*(0.5*((((721-43)*MAX('Inputs'!$B$33,'Inputs'!$B$29+'Inputs'!$B$31+'Inputs'!$B$32,'Inputs'!$B$30+'Inputs'!$B$31+'Inputs'!$B$32)/1000+'Inputs'!$B$21+'Inputs'!$B$9+'Inputs'!$B$10)+'Inputs'!$B$7)/SQRT((((721-43)*MAX('Inputs'!$B$33,'Inputs'!$B$29+'Inputs'!$B$31+'Inputs'!$B$32,'Inputs'!$B$30+'Inputs'!$B$31+'Inputs'!$B$32)/1000+'Inputs'!$B$21+'Inputs'!$B$9+'Inputs'!$B$10)+'Inputs'!$B$7)^2+('Inputs'!$B$6/2)^2)-(((721-43)*MAX('Inputs'!$B$33,'Inputs'!$B$29+'Inputs'!$B$31+'Inputs'!$B$32,'Inputs'!$B$30+'Inputs'!$B$31+'Inputs'!$B$32)/1000+'Inputs'!$B$21+'Inputs'!$B$9+'Inputs'!$B$10))/SQRT((((721-43)*MAX('Inputs'!$B$33,'Inputs'!$B$29+'Inputs'!$B$31+'Inputs'!$B$32,'Inputs'!$B$30+'Inputs'!$B$31+'Inputs'!$B$32)/1000+'Inputs'!$B$21+'Inputs'!$B$9+'Inputs'!$B$10))^2+('Inputs'!$B$6/2)^2))))*'Results'!$B$8),"")</x:f>
        <x:v>1.32161321284581</x:v>
      </x:c>
      <x:c r="N721" t="n">
        <x:f>IF(AND(ISNUMBER('Results'!C7),ISNUMBER('Results'!B7),ISNUMBER('Results'!$B$8),ISNUMBER('Inputs'!$B$6),ISNUMBER('Inputs'!$B$7),ISNUMBER('Inputs'!$B$8),ISNUMBER('Inputs'!$B$9),ISNUMBER('Inputs'!$B$10),ISNUMBER('Inputs'!$B$21),ISNUMBER('Inputs'!$B$24),ISNUMBER('Inputs'!$B$28)),((('Results'!C7*(1-'Inputs'!$B$24)*(0.5*((((721-43)*MAX('Inputs'!$B$33,'Inputs'!$B$29+'Inputs'!$B$31+'Inputs'!$B$32,'Inputs'!$B$30+'Inputs'!$B$31+'Inputs'!$B$32)/1000+'Inputs'!$B$21)+'Inputs'!$B$9)/SQRT((((721-43)*MAX('Inputs'!$B$33,'Inputs'!$B$29+'Inputs'!$B$31+'Inputs'!$B$32,'Inputs'!$B$30+'Inputs'!$B$31+'Inputs'!$B$32)/1000+'Inputs'!$B$21)+'Inputs'!$B$9)^2+('Inputs'!$B$8/2)^2)-(((721-43)*MAX('Inputs'!$B$33,'Inputs'!$B$29+'Inputs'!$B$31+'Inputs'!$B$32,'Inputs'!$B$30+'Inputs'!$B$31+'Inputs'!$B$32)/1000+'Inputs'!$B$21))/SQRT((((721-43)*MAX('Inputs'!$B$33,'Inputs'!$B$29+'Inputs'!$B$31+'Inputs'!$B$32,'Inputs'!$B$30+'Inputs'!$B$31+'Inputs'!$B$32)/1000+'Inputs'!$B$21))^2+('Inputs'!$B$8/2)^2)))-'Results'!B7*(1+'Inputs'!$B$24)*(0.5*((((721-43)*MAX('Inputs'!$B$33,'Inputs'!$B$29+'Inputs'!$B$31+'Inputs'!$B$32,'Inputs'!$B$30+'Inputs'!$B$31+'Inputs'!$B$32)/1000+'Inputs'!$B$21+'Inputs'!$B$9+'Inputs'!$B$10)+'Inputs'!$B$7)/SQRT((((721-43)*MAX('Inputs'!$B$33,'Inputs'!$B$29+'Inputs'!$B$31+'Inputs'!$B$32,'Inputs'!$B$30+'Inputs'!$B$31+'Inputs'!$B$32)/1000+'Inputs'!$B$21+'Inputs'!$B$9+'Inputs'!$B$10)+'Inputs'!$B$7)^2+('Inputs'!$B$6/2)^2)-(((721-43)*MAX('Inputs'!$B$33,'Inputs'!$B$29+'Inputs'!$B$31+'Inputs'!$B$32,'Inputs'!$B$30+'Inputs'!$B$31+'Inputs'!$B$32)/1000+'Inputs'!$B$21+'Inputs'!$B$9+'Inputs'!$B$10))/SQRT((((721-43)*MAX('Inputs'!$B$33,'Inputs'!$B$29+'Inputs'!$B$31+'Inputs'!$B$32,'Inputs'!$B$30+'Inputs'!$B$31+'Inputs'!$B$32)/1000+'Inputs'!$B$21+'Inputs'!$B$9+'Inputs'!$B$10))^2+('Inputs'!$B$6/2)^2))))*'Results'!$B$8)-'Inputs'!$B$28*ABS((('Results'!C7*(1-'Inputs'!$B$24)*(0.5*((((721-43)*MAX('Inputs'!$B$33,'Inputs'!$B$29+'Inputs'!$B$31+'Inputs'!$B$32,'Inputs'!$B$30+'Inputs'!$B$31+'Inputs'!$B$32)/1000+'Inputs'!$B$21)+'Inputs'!$B$9)/SQRT((((721-43)*MAX('Inputs'!$B$33,'Inputs'!$B$29+'Inputs'!$B$31+'Inputs'!$B$32,'Inputs'!$B$30+'Inputs'!$B$31+'Inputs'!$B$32)/1000+'Inputs'!$B$21)+'Inputs'!$B$9)^2+('Inputs'!$B$8/2)^2)-(((721-43)*MAX('Inputs'!$B$33,'Inputs'!$B$29+'Inputs'!$B$31+'Inputs'!$B$32,'Inputs'!$B$30+'Inputs'!$B$31+'Inputs'!$B$32)/1000+'Inputs'!$B$21))/SQRT((((721-43)*MAX('Inputs'!$B$33,'Inputs'!$B$29+'Inputs'!$B$31+'Inputs'!$B$32,'Inputs'!$B$30+'Inputs'!$B$31+'Inputs'!$B$32)/1000+'Inputs'!$B$21))^2+('Inputs'!$B$8/2)^2)))-'Results'!B7*(1+'Inputs'!$B$24)*(0.5*((((721-43)*MAX('Inputs'!$B$33,'Inputs'!$B$29+'Inputs'!$B$31+'Inputs'!$B$32,'Inputs'!$B$30+'Inputs'!$B$31+'Inputs'!$B$32)/1000+'Inputs'!$B$21+'Inputs'!$B$9+'Inputs'!$B$10)+'Inputs'!$B$7)/SQRT((((721-43)*MAX('Inputs'!$B$33,'Inputs'!$B$29+'Inputs'!$B$31+'Inputs'!$B$32,'Inputs'!$B$30+'Inputs'!$B$31+'Inputs'!$B$32)/1000+'Inputs'!$B$21+'Inputs'!$B$9+'Inputs'!$B$10)+'Inputs'!$B$7)^2+('Inputs'!$B$6/2)^2)-(((721-43)*MAX('Inputs'!$B$33,'Inputs'!$B$29+'Inputs'!$B$31+'Inputs'!$B$32,'Inputs'!$B$30+'Inputs'!$B$31+'Inputs'!$B$32)/1000+'Inputs'!$B$21+'Inputs'!$B$9+'Inputs'!$B$10))/SQRT((((721-43)*MAX('Inputs'!$B$33,'Inputs'!$B$29+'Inputs'!$B$31+'Inputs'!$B$32,'Inputs'!$B$30+'Inputs'!$B$31+'Inputs'!$B$32)/1000+'Inputs'!$B$21+'Inputs'!$B$9+'Inputs'!$B$10))^2+('Inputs'!$B$6/2)^2))))*'Results'!$B$8))),"")</x:f>
        <x:v>1.1373825797145851</x:v>
      </x:c>
      <x:c r="O721" t="n">
        <x:f>IF(AND(ISNUMBER('Results'!C7),ISNUMBER('Results'!B7),ISNUMBER('Results'!$B$8),ISNUMBER('Inputs'!$B$6),ISNUMBER('Inputs'!$B$7),ISNUMBER('Inputs'!$B$8),ISNUMBER('Inputs'!$B$9),ISNUMBER('Inputs'!$B$10),ISNUMBER('Inputs'!$B$21),ISNUMBER('Inputs'!$B$24),ISNUMBER('Inputs'!$B$28)),((('Results'!C7*(1+'Inputs'!$B$24)*(0.5*((((721-43)*MAX('Inputs'!$B$33,'Inputs'!$B$29+'Inputs'!$B$31+'Inputs'!$B$32,'Inputs'!$B$30+'Inputs'!$B$31+'Inputs'!$B$32)/1000+'Inputs'!$B$21)+'Inputs'!$B$9)/SQRT((((721-43)*MAX('Inputs'!$B$33,'Inputs'!$B$29+'Inputs'!$B$31+'Inputs'!$B$32,'Inputs'!$B$30+'Inputs'!$B$31+'Inputs'!$B$32)/1000+'Inputs'!$B$21)+'Inputs'!$B$9)^2+('Inputs'!$B$8/2)^2)-(((721-43)*MAX('Inputs'!$B$33,'Inputs'!$B$29+'Inputs'!$B$31+'Inputs'!$B$32,'Inputs'!$B$30+'Inputs'!$B$31+'Inputs'!$B$32)/1000+'Inputs'!$B$21))/SQRT((((721-43)*MAX('Inputs'!$B$33,'Inputs'!$B$29+'Inputs'!$B$31+'Inputs'!$B$32,'Inputs'!$B$30+'Inputs'!$B$31+'Inputs'!$B$32)/1000+'Inputs'!$B$21))^2+('Inputs'!$B$8/2)^2)))-'Results'!B7*(1-'Inputs'!$B$24)*(0.5*((((721-43)*MAX('Inputs'!$B$33,'Inputs'!$B$29+'Inputs'!$B$31+'Inputs'!$B$32,'Inputs'!$B$30+'Inputs'!$B$31+'Inputs'!$B$32)/1000+'Inputs'!$B$21+'Inputs'!$B$9+'Inputs'!$B$10)+'Inputs'!$B$7)/SQRT((((721-43)*MAX('Inputs'!$B$33,'Inputs'!$B$29+'Inputs'!$B$31+'Inputs'!$B$32,'Inputs'!$B$30+'Inputs'!$B$31+'Inputs'!$B$32)/1000+'Inputs'!$B$21+'Inputs'!$B$9+'Inputs'!$B$10)+'Inputs'!$B$7)^2+('Inputs'!$B$6/2)^2)-(((721-43)*MAX('Inputs'!$B$33,'Inputs'!$B$29+'Inputs'!$B$31+'Inputs'!$B$32,'Inputs'!$B$30+'Inputs'!$B$31+'Inputs'!$B$32)/1000+'Inputs'!$B$21+'Inputs'!$B$9+'Inputs'!$B$10))/SQRT((((721-43)*MAX('Inputs'!$B$33,'Inputs'!$B$29+'Inputs'!$B$31+'Inputs'!$B$32,'Inputs'!$B$30+'Inputs'!$B$31+'Inputs'!$B$32)/1000+'Inputs'!$B$21+'Inputs'!$B$9+'Inputs'!$B$10))^2+('Inputs'!$B$6/2)^2))))*'Results'!$B$8)+'Inputs'!$B$28*ABS((('Results'!C7*(1+'Inputs'!$B$24)*(0.5*((((721-43)*MAX('Inputs'!$B$33,'Inputs'!$B$29+'Inputs'!$B$31+'Inputs'!$B$32,'Inputs'!$B$30+'Inputs'!$B$31+'Inputs'!$B$32)/1000+'Inputs'!$B$21)+'Inputs'!$B$9)/SQRT((((721-43)*MAX('Inputs'!$B$33,'Inputs'!$B$29+'Inputs'!$B$31+'Inputs'!$B$32,'Inputs'!$B$30+'Inputs'!$B$31+'Inputs'!$B$32)/1000+'Inputs'!$B$21)+'Inputs'!$B$9)^2+('Inputs'!$B$8/2)^2)-(((721-43)*MAX('Inputs'!$B$33,'Inputs'!$B$29+'Inputs'!$B$31+'Inputs'!$B$32,'Inputs'!$B$30+'Inputs'!$B$31+'Inputs'!$B$32)/1000+'Inputs'!$B$21))/SQRT((((721-43)*MAX('Inputs'!$B$33,'Inputs'!$B$29+'Inputs'!$B$31+'Inputs'!$B$32,'Inputs'!$B$30+'Inputs'!$B$31+'Inputs'!$B$32)/1000+'Inputs'!$B$21))^2+('Inputs'!$B$8/2)^2)))-'Results'!B7*(1-'Inputs'!$B$24)*(0.5*((((721-43)*MAX('Inputs'!$B$33,'Inputs'!$B$29+'Inputs'!$B$31+'Inputs'!$B$32,'Inputs'!$B$30+'Inputs'!$B$31+'Inputs'!$B$32)/1000+'Inputs'!$B$21+'Inputs'!$B$9+'Inputs'!$B$10)+'Inputs'!$B$7)/SQRT((((721-43)*MAX('Inputs'!$B$33,'Inputs'!$B$29+'Inputs'!$B$31+'Inputs'!$B$32,'Inputs'!$B$30+'Inputs'!$B$31+'Inputs'!$B$32)/1000+'Inputs'!$B$21+'Inputs'!$B$9+'Inputs'!$B$10)+'Inputs'!$B$7)^2+('Inputs'!$B$6/2)^2)-(((721-43)*MAX('Inputs'!$B$33,'Inputs'!$B$29+'Inputs'!$B$31+'Inputs'!$B$32,'Inputs'!$B$30+'Inputs'!$B$31+'Inputs'!$B$32)/1000+'Inputs'!$B$21+'Inputs'!$B$9+'Inputs'!$B$10))/SQRT((((721-43)*MAX('Inputs'!$B$33,'Inputs'!$B$29+'Inputs'!$B$31+'Inputs'!$B$32,'Inputs'!$B$30+'Inputs'!$B$31+'Inputs'!$B$32)/1000+'Inputs'!$B$21+'Inputs'!$B$9+'Inputs'!$B$10))^2+('Inputs'!$B$6/2)^2))))*'Results'!$B$8))),"")</x:f>
        <x:v>1.5182806851863961</x:v>
      </x:c>
      <x:c r="P721" t="n">
        <x:f>IF(AND(MAX(J721,J720)&gt;0,J721&gt;J720+0.00000001),1,0)</x:f>
        <x:v>0</x:v>
      </x:c>
      <x:c r="Q721" t="n">
        <x:f>IF(AND(MAX(K721,K720)&gt;0,K721&gt;K720+0.00000001),1,0)</x:f>
        <x:v>0</x:v>
      </x:c>
      <x:c r="R721" t="n">
        <x:f>IF(AND(MAX(L721,L720)&gt;0,L721&gt;L720+0.00000001),1,0)</x:f>
        <x:v>0</x:v>
      </x:c>
      <x:c r="S721" t="n">
        <x:f>IF(AND(MAX(M721,M720)&gt;0,M721&gt;M720+0.00000001),1,0)</x:f>
        <x:v>0</x:v>
      </x:c>
      <x:c r="T721" t="n">
        <x:f>IF(AND(MAX(N721,N720)&gt;0,N721&gt;N720+0.00000001),1,0)</x:f>
        <x:v>0</x:v>
      </x:c>
      <x:c r="U721" t="n">
        <x:f>IF(AND(MAX(O721,O720)&gt;0,O721&gt;O720+0.00000001),1,0)</x:f>
        <x:v>0</x:v>
      </x:c>
    </x:row>
    <x:row r="722">
      <x:c r="J722" t="n">
        <x:f>IF(AND(ISNUMBER('Results'!B7),ISNUMBER('Results'!C7),ISNUMBER('Results'!$B$8),ISNUMBER('Inputs'!$B$6),ISNUMBER('Inputs'!$B$7),ISNUMBER('Inputs'!$B$8),ISNUMBER('Inputs'!$B$9),ISNUMBER('Inputs'!$B$10),ISNUMBER('Inputs'!$B$21),ISNUMBER('Inputs'!$B$24),ISNUMBER('Inputs'!$B$28)),(('Results'!B7*(0.5*((((722-43)*MAX('Inputs'!$B$33,'Inputs'!$B$29+'Inputs'!$B$31+'Inputs'!$B$32,'Inputs'!$B$30+'Inputs'!$B$31+'Inputs'!$B$32)/1000+'Inputs'!$B$21)+'Inputs'!$B$7)/SQRT((((722-43)*MAX('Inputs'!$B$33,'Inputs'!$B$29+'Inputs'!$B$31+'Inputs'!$B$32,'Inputs'!$B$30+'Inputs'!$B$31+'Inputs'!$B$32)/1000+'Inputs'!$B$21)+'Inputs'!$B$7)^2+('Inputs'!$B$6/2)^2)-(((722-43)*MAX('Inputs'!$B$33,'Inputs'!$B$29+'Inputs'!$B$31+'Inputs'!$B$32,'Inputs'!$B$30+'Inputs'!$B$31+'Inputs'!$B$32)/1000+'Inputs'!$B$21))/SQRT((((722-43)*MAX('Inputs'!$B$33,'Inputs'!$B$29+'Inputs'!$B$31+'Inputs'!$B$32,'Inputs'!$B$30+'Inputs'!$B$31+'Inputs'!$B$32)/1000+'Inputs'!$B$21))^2+('Inputs'!$B$6/2)^2)))-'Results'!C7*(0.5*((((722-43)*MAX('Inputs'!$B$33,'Inputs'!$B$29+'Inputs'!$B$31+'Inputs'!$B$32,'Inputs'!$B$30+'Inputs'!$B$31+'Inputs'!$B$32)/1000+'Inputs'!$B$21+'Inputs'!$B$7+'Inputs'!$B$10)+'Inputs'!$B$9)/SQRT((((722-43)*MAX('Inputs'!$B$33,'Inputs'!$B$29+'Inputs'!$B$31+'Inputs'!$B$32,'Inputs'!$B$30+'Inputs'!$B$31+'Inputs'!$B$32)/1000+'Inputs'!$B$21+'Inputs'!$B$7+'Inputs'!$B$10)+'Inputs'!$B$9)^2+('Inputs'!$B$8/2)^2)-(((722-43)*MAX('Inputs'!$B$33,'Inputs'!$B$29+'Inputs'!$B$31+'Inputs'!$B$32,'Inputs'!$B$30+'Inputs'!$B$31+'Inputs'!$B$32)/1000+'Inputs'!$B$21+'Inputs'!$B$7+'Inputs'!$B$10))/SQRT((((722-43)*MAX('Inputs'!$B$33,'Inputs'!$B$29+'Inputs'!$B$31+'Inputs'!$B$32,'Inputs'!$B$30+'Inputs'!$B$31+'Inputs'!$B$32)/1000+'Inputs'!$B$21+'Inputs'!$B$7+'Inputs'!$B$10))^2+('Inputs'!$B$8/2)^2))))*'Results'!$B$8),"")</x:f>
        <x:v>1.4399837097947403</x:v>
      </x:c>
      <x:c r="K722" t="n">
        <x:f>IF(AND(ISNUMBER('Results'!B7),ISNUMBER('Results'!C7),ISNUMBER('Results'!$B$8),ISNUMBER('Inputs'!$B$6),ISNUMBER('Inputs'!$B$7),ISNUMBER('Inputs'!$B$8),ISNUMBER('Inputs'!$B$9),ISNUMBER('Inputs'!$B$10),ISNUMBER('Inputs'!$B$21),ISNUMBER('Inputs'!$B$24),ISNUMBER('Inputs'!$B$28)),((('Results'!B7*(1-'Inputs'!$B$24)*(0.5*((((722-43)*MAX('Inputs'!$B$33,'Inputs'!$B$29+'Inputs'!$B$31+'Inputs'!$B$32,'Inputs'!$B$30+'Inputs'!$B$31+'Inputs'!$B$32)/1000+'Inputs'!$B$21)+'Inputs'!$B$7)/SQRT((((722-43)*MAX('Inputs'!$B$33,'Inputs'!$B$29+'Inputs'!$B$31+'Inputs'!$B$32,'Inputs'!$B$30+'Inputs'!$B$31+'Inputs'!$B$32)/1000+'Inputs'!$B$21)+'Inputs'!$B$7)^2+('Inputs'!$B$6/2)^2)-(((722-43)*MAX('Inputs'!$B$33,'Inputs'!$B$29+'Inputs'!$B$31+'Inputs'!$B$32,'Inputs'!$B$30+'Inputs'!$B$31+'Inputs'!$B$32)/1000+'Inputs'!$B$21))/SQRT((((722-43)*MAX('Inputs'!$B$33,'Inputs'!$B$29+'Inputs'!$B$31+'Inputs'!$B$32,'Inputs'!$B$30+'Inputs'!$B$31+'Inputs'!$B$32)/1000+'Inputs'!$B$21))^2+('Inputs'!$B$6/2)^2)))-'Results'!C7*(1+'Inputs'!$B$24)*(0.5*((((722-43)*MAX('Inputs'!$B$33,'Inputs'!$B$29+'Inputs'!$B$31+'Inputs'!$B$32,'Inputs'!$B$30+'Inputs'!$B$31+'Inputs'!$B$32)/1000+'Inputs'!$B$21+'Inputs'!$B$7+'Inputs'!$B$10)+'Inputs'!$B$9)/SQRT((((722-43)*MAX('Inputs'!$B$33,'Inputs'!$B$29+'Inputs'!$B$31+'Inputs'!$B$32,'Inputs'!$B$30+'Inputs'!$B$31+'Inputs'!$B$32)/1000+'Inputs'!$B$21+'Inputs'!$B$7+'Inputs'!$B$10)+'Inputs'!$B$9)^2+('Inputs'!$B$8/2)^2)-(((722-43)*MAX('Inputs'!$B$33,'Inputs'!$B$29+'Inputs'!$B$31+'Inputs'!$B$32,'Inputs'!$B$30+'Inputs'!$B$31+'Inputs'!$B$32)/1000+'Inputs'!$B$21+'Inputs'!$B$7+'Inputs'!$B$10))/SQRT((((722-43)*MAX('Inputs'!$B$33,'Inputs'!$B$29+'Inputs'!$B$31+'Inputs'!$B$32,'Inputs'!$B$30+'Inputs'!$B$31+'Inputs'!$B$32)/1000+'Inputs'!$B$21+'Inputs'!$B$7+'Inputs'!$B$10))^2+('Inputs'!$B$8/2)^2))))*'Results'!$B$8)-'Inputs'!$B$28*ABS((('Results'!B7*(1-'Inputs'!$B$24)*(0.5*((((722-43)*MAX('Inputs'!$B$33,'Inputs'!$B$29+'Inputs'!$B$31+'Inputs'!$B$32,'Inputs'!$B$30+'Inputs'!$B$31+'Inputs'!$B$32)/1000+'Inputs'!$B$21)+'Inputs'!$B$7)/SQRT((((722-43)*MAX('Inputs'!$B$33,'Inputs'!$B$29+'Inputs'!$B$31+'Inputs'!$B$32,'Inputs'!$B$30+'Inputs'!$B$31+'Inputs'!$B$32)/1000+'Inputs'!$B$21)+'Inputs'!$B$7)^2+('Inputs'!$B$6/2)^2)-(((722-43)*MAX('Inputs'!$B$33,'Inputs'!$B$29+'Inputs'!$B$31+'Inputs'!$B$32,'Inputs'!$B$30+'Inputs'!$B$31+'Inputs'!$B$32)/1000+'Inputs'!$B$21))/SQRT((((722-43)*MAX('Inputs'!$B$33,'Inputs'!$B$29+'Inputs'!$B$31+'Inputs'!$B$32,'Inputs'!$B$30+'Inputs'!$B$31+'Inputs'!$B$32)/1000+'Inputs'!$B$21))^2+('Inputs'!$B$6/2)^2)))-'Results'!C7*(1+'Inputs'!$B$24)*(0.5*((((722-43)*MAX('Inputs'!$B$33,'Inputs'!$B$29+'Inputs'!$B$31+'Inputs'!$B$32,'Inputs'!$B$30+'Inputs'!$B$31+'Inputs'!$B$32)/1000+'Inputs'!$B$21+'Inputs'!$B$7+'Inputs'!$B$10)+'Inputs'!$B$9)/SQRT((((722-43)*MAX('Inputs'!$B$33,'Inputs'!$B$29+'Inputs'!$B$31+'Inputs'!$B$32,'Inputs'!$B$30+'Inputs'!$B$31+'Inputs'!$B$32)/1000+'Inputs'!$B$21+'Inputs'!$B$7+'Inputs'!$B$10)+'Inputs'!$B$9)^2+('Inputs'!$B$8/2)^2)-(((722-43)*MAX('Inputs'!$B$33,'Inputs'!$B$29+'Inputs'!$B$31+'Inputs'!$B$32,'Inputs'!$B$30+'Inputs'!$B$31+'Inputs'!$B$32)/1000+'Inputs'!$B$21+'Inputs'!$B$7+'Inputs'!$B$10))/SQRT((((722-43)*MAX('Inputs'!$B$33,'Inputs'!$B$29+'Inputs'!$B$31+'Inputs'!$B$32,'Inputs'!$B$30+'Inputs'!$B$31+'Inputs'!$B$32)/1000+'Inputs'!$B$21+'Inputs'!$B$7+'Inputs'!$B$10))^2+('Inputs'!$B$8/2)^2))))*'Results'!$B$8))),"")</x:f>
        <x:v>1.2497792085525108</x:v>
      </x:c>
      <x:c r="L722" t="n">
        <x:f>IF(AND(ISNUMBER('Results'!B7),ISNUMBER('Results'!C7),ISNUMBER('Results'!$B$8),ISNUMBER('Inputs'!$B$6),ISNUMBER('Inputs'!$B$7),ISNUMBER('Inputs'!$B$8),ISNUMBER('Inputs'!$B$9),ISNUMBER('Inputs'!$B$10),ISNUMBER('Inputs'!$B$21),ISNUMBER('Inputs'!$B$24),ISNUMBER('Inputs'!$B$28)),((('Results'!B7*(1+'Inputs'!$B$24)*(0.5*((((722-43)*MAX('Inputs'!$B$33,'Inputs'!$B$29+'Inputs'!$B$31+'Inputs'!$B$32,'Inputs'!$B$30+'Inputs'!$B$31+'Inputs'!$B$32)/1000+'Inputs'!$B$21)+'Inputs'!$B$7)/SQRT((((722-43)*MAX('Inputs'!$B$33,'Inputs'!$B$29+'Inputs'!$B$31+'Inputs'!$B$32,'Inputs'!$B$30+'Inputs'!$B$31+'Inputs'!$B$32)/1000+'Inputs'!$B$21)+'Inputs'!$B$7)^2+('Inputs'!$B$6/2)^2)-(((722-43)*MAX('Inputs'!$B$33,'Inputs'!$B$29+'Inputs'!$B$31+'Inputs'!$B$32,'Inputs'!$B$30+'Inputs'!$B$31+'Inputs'!$B$32)/1000+'Inputs'!$B$21))/SQRT((((722-43)*MAX('Inputs'!$B$33,'Inputs'!$B$29+'Inputs'!$B$31+'Inputs'!$B$32,'Inputs'!$B$30+'Inputs'!$B$31+'Inputs'!$B$32)/1000+'Inputs'!$B$21))^2+('Inputs'!$B$6/2)^2)))-'Results'!C7*(1-'Inputs'!$B$24)*(0.5*((((722-43)*MAX('Inputs'!$B$33,'Inputs'!$B$29+'Inputs'!$B$31+'Inputs'!$B$32,'Inputs'!$B$30+'Inputs'!$B$31+'Inputs'!$B$32)/1000+'Inputs'!$B$21+'Inputs'!$B$7+'Inputs'!$B$10)+'Inputs'!$B$9)/SQRT((((722-43)*MAX('Inputs'!$B$33,'Inputs'!$B$29+'Inputs'!$B$31+'Inputs'!$B$32,'Inputs'!$B$30+'Inputs'!$B$31+'Inputs'!$B$32)/1000+'Inputs'!$B$21+'Inputs'!$B$7+'Inputs'!$B$10)+'Inputs'!$B$9)^2+('Inputs'!$B$8/2)^2)-(((722-43)*MAX('Inputs'!$B$33,'Inputs'!$B$29+'Inputs'!$B$31+'Inputs'!$B$32,'Inputs'!$B$30+'Inputs'!$B$31+'Inputs'!$B$32)/1000+'Inputs'!$B$21+'Inputs'!$B$7+'Inputs'!$B$10))/SQRT((((722-43)*MAX('Inputs'!$B$33,'Inputs'!$B$29+'Inputs'!$B$31+'Inputs'!$B$32,'Inputs'!$B$30+'Inputs'!$B$31+'Inputs'!$B$32)/1000+'Inputs'!$B$21+'Inputs'!$B$7+'Inputs'!$B$10))^2+('Inputs'!$B$8/2)^2))))*'Results'!$B$8)+'Inputs'!$B$28*ABS((('Results'!B7*(1+'Inputs'!$B$24)*(0.5*((((722-43)*MAX('Inputs'!$B$33,'Inputs'!$B$29+'Inputs'!$B$31+'Inputs'!$B$32,'Inputs'!$B$30+'Inputs'!$B$31+'Inputs'!$B$32)/1000+'Inputs'!$B$21)+'Inputs'!$B$7)/SQRT((((722-43)*MAX('Inputs'!$B$33,'Inputs'!$B$29+'Inputs'!$B$31+'Inputs'!$B$32,'Inputs'!$B$30+'Inputs'!$B$31+'Inputs'!$B$32)/1000+'Inputs'!$B$21)+'Inputs'!$B$7)^2+('Inputs'!$B$6/2)^2)-(((722-43)*MAX('Inputs'!$B$33,'Inputs'!$B$29+'Inputs'!$B$31+'Inputs'!$B$32,'Inputs'!$B$30+'Inputs'!$B$31+'Inputs'!$B$32)/1000+'Inputs'!$B$21))/SQRT((((722-43)*MAX('Inputs'!$B$33,'Inputs'!$B$29+'Inputs'!$B$31+'Inputs'!$B$32,'Inputs'!$B$30+'Inputs'!$B$31+'Inputs'!$B$32)/1000+'Inputs'!$B$21))^2+('Inputs'!$B$6/2)^2)))-'Results'!C7*(1-'Inputs'!$B$24)*(0.5*((((722-43)*MAX('Inputs'!$B$33,'Inputs'!$B$29+'Inputs'!$B$31+'Inputs'!$B$32,'Inputs'!$B$30+'Inputs'!$B$31+'Inputs'!$B$32)/1000+'Inputs'!$B$21+'Inputs'!$B$7+'Inputs'!$B$10)+'Inputs'!$B$9)/SQRT((((722-43)*MAX('Inputs'!$B$33,'Inputs'!$B$29+'Inputs'!$B$31+'Inputs'!$B$32,'Inputs'!$B$30+'Inputs'!$B$31+'Inputs'!$B$32)/1000+'Inputs'!$B$21+'Inputs'!$B$7+'Inputs'!$B$10)+'Inputs'!$B$9)^2+('Inputs'!$B$8/2)^2)-(((722-43)*MAX('Inputs'!$B$33,'Inputs'!$B$29+'Inputs'!$B$31+'Inputs'!$B$32,'Inputs'!$B$30+'Inputs'!$B$31+'Inputs'!$B$32)/1000+'Inputs'!$B$21+'Inputs'!$B$7+'Inputs'!$B$10))/SQRT((((722-43)*MAX('Inputs'!$B$33,'Inputs'!$B$29+'Inputs'!$B$31+'Inputs'!$B$32,'Inputs'!$B$30+'Inputs'!$B$31+'Inputs'!$B$32)/1000+'Inputs'!$B$21+'Inputs'!$B$7+'Inputs'!$B$10))^2+('Inputs'!$B$8/2)^2))))*'Results'!$B$8))),"")</x:f>
        <x:v>1.6426308758530217</x:v>
      </x:c>
      <x:c r="M722" t="n">
        <x:f>IF(AND(ISNUMBER('Results'!C7),ISNUMBER('Results'!B7),ISNUMBER('Results'!$B$8),ISNUMBER('Inputs'!$B$6),ISNUMBER('Inputs'!$B$7),ISNUMBER('Inputs'!$B$8),ISNUMBER('Inputs'!$B$9),ISNUMBER('Inputs'!$B$10),ISNUMBER('Inputs'!$B$21),ISNUMBER('Inputs'!$B$24),ISNUMBER('Inputs'!$B$28)),(('Results'!C7*(0.5*((((722-43)*MAX('Inputs'!$B$33,'Inputs'!$B$29+'Inputs'!$B$31+'Inputs'!$B$32,'Inputs'!$B$30+'Inputs'!$B$31+'Inputs'!$B$32)/1000+'Inputs'!$B$21)+'Inputs'!$B$9)/SQRT((((722-43)*MAX('Inputs'!$B$33,'Inputs'!$B$29+'Inputs'!$B$31+'Inputs'!$B$32,'Inputs'!$B$30+'Inputs'!$B$31+'Inputs'!$B$32)/1000+'Inputs'!$B$21)+'Inputs'!$B$9)^2+('Inputs'!$B$8/2)^2)-(((722-43)*MAX('Inputs'!$B$33,'Inputs'!$B$29+'Inputs'!$B$31+'Inputs'!$B$32,'Inputs'!$B$30+'Inputs'!$B$31+'Inputs'!$B$32)/1000+'Inputs'!$B$21))/SQRT((((722-43)*MAX('Inputs'!$B$33,'Inputs'!$B$29+'Inputs'!$B$31+'Inputs'!$B$32,'Inputs'!$B$30+'Inputs'!$B$31+'Inputs'!$B$32)/1000+'Inputs'!$B$21))^2+('Inputs'!$B$8/2)^2)))-'Results'!B7*(0.5*((((722-43)*MAX('Inputs'!$B$33,'Inputs'!$B$29+'Inputs'!$B$31+'Inputs'!$B$32,'Inputs'!$B$30+'Inputs'!$B$31+'Inputs'!$B$32)/1000+'Inputs'!$B$21+'Inputs'!$B$9+'Inputs'!$B$10)+'Inputs'!$B$7)/SQRT((((722-43)*MAX('Inputs'!$B$33,'Inputs'!$B$29+'Inputs'!$B$31+'Inputs'!$B$32,'Inputs'!$B$30+'Inputs'!$B$31+'Inputs'!$B$32)/1000+'Inputs'!$B$21+'Inputs'!$B$9+'Inputs'!$B$10)+'Inputs'!$B$7)^2+('Inputs'!$B$6/2)^2)-(((722-43)*MAX('Inputs'!$B$33,'Inputs'!$B$29+'Inputs'!$B$31+'Inputs'!$B$32,'Inputs'!$B$30+'Inputs'!$B$31+'Inputs'!$B$32)/1000+'Inputs'!$B$21+'Inputs'!$B$9+'Inputs'!$B$10))/SQRT((((722-43)*MAX('Inputs'!$B$33,'Inputs'!$B$29+'Inputs'!$B$31+'Inputs'!$B$32,'Inputs'!$B$30+'Inputs'!$B$31+'Inputs'!$B$32)/1000+'Inputs'!$B$21+'Inputs'!$B$9+'Inputs'!$B$10))^2+('Inputs'!$B$6/2)^2))))*'Results'!$B$8),"")</x:f>
        <x:v>1.3145812761856033</x:v>
      </x:c>
      <x:c r="N722" t="n">
        <x:f>IF(AND(ISNUMBER('Results'!C7),ISNUMBER('Results'!B7),ISNUMBER('Results'!$B$8),ISNUMBER('Inputs'!$B$6),ISNUMBER('Inputs'!$B$7),ISNUMBER('Inputs'!$B$8),ISNUMBER('Inputs'!$B$9),ISNUMBER('Inputs'!$B$10),ISNUMBER('Inputs'!$B$21),ISNUMBER('Inputs'!$B$24),ISNUMBER('Inputs'!$B$28)),((('Results'!C7*(1-'Inputs'!$B$24)*(0.5*((((722-43)*MAX('Inputs'!$B$33,'Inputs'!$B$29+'Inputs'!$B$31+'Inputs'!$B$32,'Inputs'!$B$30+'Inputs'!$B$31+'Inputs'!$B$32)/1000+'Inputs'!$B$21)+'Inputs'!$B$9)/SQRT((((722-43)*MAX('Inputs'!$B$33,'Inputs'!$B$29+'Inputs'!$B$31+'Inputs'!$B$32,'Inputs'!$B$30+'Inputs'!$B$31+'Inputs'!$B$32)/1000+'Inputs'!$B$21)+'Inputs'!$B$9)^2+('Inputs'!$B$8/2)^2)-(((722-43)*MAX('Inputs'!$B$33,'Inputs'!$B$29+'Inputs'!$B$31+'Inputs'!$B$32,'Inputs'!$B$30+'Inputs'!$B$31+'Inputs'!$B$32)/1000+'Inputs'!$B$21))/SQRT((((722-43)*MAX('Inputs'!$B$33,'Inputs'!$B$29+'Inputs'!$B$31+'Inputs'!$B$32,'Inputs'!$B$30+'Inputs'!$B$31+'Inputs'!$B$32)/1000+'Inputs'!$B$21))^2+('Inputs'!$B$8/2)^2)))-'Results'!B7*(1+'Inputs'!$B$24)*(0.5*((((722-43)*MAX('Inputs'!$B$33,'Inputs'!$B$29+'Inputs'!$B$31+'Inputs'!$B$32,'Inputs'!$B$30+'Inputs'!$B$31+'Inputs'!$B$32)/1000+'Inputs'!$B$21+'Inputs'!$B$9+'Inputs'!$B$10)+'Inputs'!$B$7)/SQRT((((722-43)*MAX('Inputs'!$B$33,'Inputs'!$B$29+'Inputs'!$B$31+'Inputs'!$B$32,'Inputs'!$B$30+'Inputs'!$B$31+'Inputs'!$B$32)/1000+'Inputs'!$B$21+'Inputs'!$B$9+'Inputs'!$B$10)+'Inputs'!$B$7)^2+('Inputs'!$B$6/2)^2)-(((722-43)*MAX('Inputs'!$B$33,'Inputs'!$B$29+'Inputs'!$B$31+'Inputs'!$B$32,'Inputs'!$B$30+'Inputs'!$B$31+'Inputs'!$B$32)/1000+'Inputs'!$B$21+'Inputs'!$B$9+'Inputs'!$B$10))/SQRT((((722-43)*MAX('Inputs'!$B$33,'Inputs'!$B$29+'Inputs'!$B$31+'Inputs'!$B$32,'Inputs'!$B$30+'Inputs'!$B$31+'Inputs'!$B$32)/1000+'Inputs'!$B$21+'Inputs'!$B$9+'Inputs'!$B$10))^2+('Inputs'!$B$6/2)^2))))*'Results'!$B$8)-'Inputs'!$B$28*ABS((('Results'!C7*(1-'Inputs'!$B$24)*(0.5*((((722-43)*MAX('Inputs'!$B$33,'Inputs'!$B$29+'Inputs'!$B$31+'Inputs'!$B$32,'Inputs'!$B$30+'Inputs'!$B$31+'Inputs'!$B$32)/1000+'Inputs'!$B$21)+'Inputs'!$B$9)/SQRT((((722-43)*MAX('Inputs'!$B$33,'Inputs'!$B$29+'Inputs'!$B$31+'Inputs'!$B$32,'Inputs'!$B$30+'Inputs'!$B$31+'Inputs'!$B$32)/1000+'Inputs'!$B$21)+'Inputs'!$B$9)^2+('Inputs'!$B$8/2)^2)-(((722-43)*MAX('Inputs'!$B$33,'Inputs'!$B$29+'Inputs'!$B$31+'Inputs'!$B$32,'Inputs'!$B$30+'Inputs'!$B$31+'Inputs'!$B$32)/1000+'Inputs'!$B$21))/SQRT((((722-43)*MAX('Inputs'!$B$33,'Inputs'!$B$29+'Inputs'!$B$31+'Inputs'!$B$32,'Inputs'!$B$30+'Inputs'!$B$31+'Inputs'!$B$32)/1000+'Inputs'!$B$21))^2+('Inputs'!$B$8/2)^2)))-'Results'!B7*(1+'Inputs'!$B$24)*(0.5*((((722-43)*MAX('Inputs'!$B$33,'Inputs'!$B$29+'Inputs'!$B$31+'Inputs'!$B$32,'Inputs'!$B$30+'Inputs'!$B$31+'Inputs'!$B$32)/1000+'Inputs'!$B$21+'Inputs'!$B$9+'Inputs'!$B$10)+'Inputs'!$B$7)/SQRT((((722-43)*MAX('Inputs'!$B$33,'Inputs'!$B$29+'Inputs'!$B$31+'Inputs'!$B$32,'Inputs'!$B$30+'Inputs'!$B$31+'Inputs'!$B$32)/1000+'Inputs'!$B$21+'Inputs'!$B$9+'Inputs'!$B$10)+'Inputs'!$B$7)^2+('Inputs'!$B$6/2)^2)-(((722-43)*MAX('Inputs'!$B$33,'Inputs'!$B$29+'Inputs'!$B$31+'Inputs'!$B$32,'Inputs'!$B$30+'Inputs'!$B$31+'Inputs'!$B$32)/1000+'Inputs'!$B$21+'Inputs'!$B$9+'Inputs'!$B$10))/SQRT((((722-43)*MAX('Inputs'!$B$33,'Inputs'!$B$29+'Inputs'!$B$31+'Inputs'!$B$32,'Inputs'!$B$30+'Inputs'!$B$31+'Inputs'!$B$32)/1000+'Inputs'!$B$21+'Inputs'!$B$9+'Inputs'!$B$10))^2+('Inputs'!$B$6/2)^2))))*'Results'!$B$8))),"")</x:f>
        <x:v>1.131175550510029</x:v>
      </x:c>
      <x:c r="O722" t="n">
        <x:f>IF(AND(ISNUMBER('Results'!C7),ISNUMBER('Results'!B7),ISNUMBER('Results'!$B$8),ISNUMBER('Inputs'!$B$6),ISNUMBER('Inputs'!$B$7),ISNUMBER('Inputs'!$B$8),ISNUMBER('Inputs'!$B$9),ISNUMBER('Inputs'!$B$10),ISNUMBER('Inputs'!$B$21),ISNUMBER('Inputs'!$B$24),ISNUMBER('Inputs'!$B$28)),((('Results'!C7*(1+'Inputs'!$B$24)*(0.5*((((722-43)*MAX('Inputs'!$B$33,'Inputs'!$B$29+'Inputs'!$B$31+'Inputs'!$B$32,'Inputs'!$B$30+'Inputs'!$B$31+'Inputs'!$B$32)/1000+'Inputs'!$B$21)+'Inputs'!$B$9)/SQRT((((722-43)*MAX('Inputs'!$B$33,'Inputs'!$B$29+'Inputs'!$B$31+'Inputs'!$B$32,'Inputs'!$B$30+'Inputs'!$B$31+'Inputs'!$B$32)/1000+'Inputs'!$B$21)+'Inputs'!$B$9)^2+('Inputs'!$B$8/2)^2)-(((722-43)*MAX('Inputs'!$B$33,'Inputs'!$B$29+'Inputs'!$B$31+'Inputs'!$B$32,'Inputs'!$B$30+'Inputs'!$B$31+'Inputs'!$B$32)/1000+'Inputs'!$B$21))/SQRT((((722-43)*MAX('Inputs'!$B$33,'Inputs'!$B$29+'Inputs'!$B$31+'Inputs'!$B$32,'Inputs'!$B$30+'Inputs'!$B$31+'Inputs'!$B$32)/1000+'Inputs'!$B$21))^2+('Inputs'!$B$8/2)^2)))-'Results'!B7*(1-'Inputs'!$B$24)*(0.5*((((722-43)*MAX('Inputs'!$B$33,'Inputs'!$B$29+'Inputs'!$B$31+'Inputs'!$B$32,'Inputs'!$B$30+'Inputs'!$B$31+'Inputs'!$B$32)/1000+'Inputs'!$B$21+'Inputs'!$B$9+'Inputs'!$B$10)+'Inputs'!$B$7)/SQRT((((722-43)*MAX('Inputs'!$B$33,'Inputs'!$B$29+'Inputs'!$B$31+'Inputs'!$B$32,'Inputs'!$B$30+'Inputs'!$B$31+'Inputs'!$B$32)/1000+'Inputs'!$B$21+'Inputs'!$B$9+'Inputs'!$B$10)+'Inputs'!$B$7)^2+('Inputs'!$B$6/2)^2)-(((722-43)*MAX('Inputs'!$B$33,'Inputs'!$B$29+'Inputs'!$B$31+'Inputs'!$B$32,'Inputs'!$B$30+'Inputs'!$B$31+'Inputs'!$B$32)/1000+'Inputs'!$B$21+'Inputs'!$B$9+'Inputs'!$B$10))/SQRT((((722-43)*MAX('Inputs'!$B$33,'Inputs'!$B$29+'Inputs'!$B$31+'Inputs'!$B$32,'Inputs'!$B$30+'Inputs'!$B$31+'Inputs'!$B$32)/1000+'Inputs'!$B$21+'Inputs'!$B$9+'Inputs'!$B$10))^2+('Inputs'!$B$6/2)^2))))*'Results'!$B$8)+'Inputs'!$B$28*ABS((('Results'!C7*(1+'Inputs'!$B$24)*(0.5*((((722-43)*MAX('Inputs'!$B$33,'Inputs'!$B$29+'Inputs'!$B$31+'Inputs'!$B$32,'Inputs'!$B$30+'Inputs'!$B$31+'Inputs'!$B$32)/1000+'Inputs'!$B$21)+'Inputs'!$B$9)/SQRT((((722-43)*MAX('Inputs'!$B$33,'Inputs'!$B$29+'Inputs'!$B$31+'Inputs'!$B$32,'Inputs'!$B$30+'Inputs'!$B$31+'Inputs'!$B$32)/1000+'Inputs'!$B$21)+'Inputs'!$B$9)^2+('Inputs'!$B$8/2)^2)-(((722-43)*MAX('Inputs'!$B$33,'Inputs'!$B$29+'Inputs'!$B$31+'Inputs'!$B$32,'Inputs'!$B$30+'Inputs'!$B$31+'Inputs'!$B$32)/1000+'Inputs'!$B$21))/SQRT((((722-43)*MAX('Inputs'!$B$33,'Inputs'!$B$29+'Inputs'!$B$31+'Inputs'!$B$32,'Inputs'!$B$30+'Inputs'!$B$31+'Inputs'!$B$32)/1000+'Inputs'!$B$21))^2+('Inputs'!$B$8/2)^2)))-'Results'!B7*(1-'Inputs'!$B$24)*(0.5*((((722-43)*MAX('Inputs'!$B$33,'Inputs'!$B$29+'Inputs'!$B$31+'Inputs'!$B$32,'Inputs'!$B$30+'Inputs'!$B$31+'Inputs'!$B$32)/1000+'Inputs'!$B$21+'Inputs'!$B$9+'Inputs'!$B$10)+'Inputs'!$B$7)/SQRT((((722-43)*MAX('Inputs'!$B$33,'Inputs'!$B$29+'Inputs'!$B$31+'Inputs'!$B$32,'Inputs'!$B$30+'Inputs'!$B$31+'Inputs'!$B$32)/1000+'Inputs'!$B$21+'Inputs'!$B$9+'Inputs'!$B$10)+'Inputs'!$B$7)^2+('Inputs'!$B$6/2)^2)-(((722-43)*MAX('Inputs'!$B$33,'Inputs'!$B$29+'Inputs'!$B$31+'Inputs'!$B$32,'Inputs'!$B$30+'Inputs'!$B$31+'Inputs'!$B$32)/1000+'Inputs'!$B$21+'Inputs'!$B$9+'Inputs'!$B$10))/SQRT((((722-43)*MAX('Inputs'!$B$33,'Inputs'!$B$29+'Inputs'!$B$31+'Inputs'!$B$32,'Inputs'!$B$30+'Inputs'!$B$31+'Inputs'!$B$32)/1000+'Inputs'!$B$21+'Inputs'!$B$9+'Inputs'!$B$10))^2+('Inputs'!$B$6/2)^2))))*'Results'!$B$8))),"")</x:f>
        <x:v>1.5103740188997357</x:v>
      </x:c>
      <x:c r="P722" t="n">
        <x:f>IF(AND(MAX(J722,J721)&gt;0,J722&gt;J721+0.00000001),1,0)</x:f>
        <x:v>0</x:v>
      </x:c>
      <x:c r="Q722" t="n">
        <x:f>IF(AND(MAX(K722,K721)&gt;0,K722&gt;K721+0.00000001),1,0)</x:f>
        <x:v>0</x:v>
      </x:c>
      <x:c r="R722" t="n">
        <x:f>IF(AND(MAX(L722,L721)&gt;0,L722&gt;L721+0.00000001),1,0)</x:f>
        <x:v>0</x:v>
      </x:c>
      <x:c r="S722" t="n">
        <x:f>IF(AND(MAX(M722,M721)&gt;0,M722&gt;M721+0.00000001),1,0)</x:f>
        <x:v>0</x:v>
      </x:c>
      <x:c r="T722" t="n">
        <x:f>IF(AND(MAX(N722,N721)&gt;0,N722&gt;N721+0.00000001),1,0)</x:f>
        <x:v>0</x:v>
      </x:c>
      <x:c r="U722" t="n">
        <x:f>IF(AND(MAX(O722,O721)&gt;0,O722&gt;O721+0.00000001),1,0)</x:f>
        <x:v>0</x:v>
      </x:c>
    </x:row>
    <x:row r="723">
      <x:c r="J723" t="n">
        <x:f>IF(AND(ISNUMBER('Results'!B7),ISNUMBER('Results'!C7),ISNUMBER('Results'!$B$8),ISNUMBER('Inputs'!$B$6),ISNUMBER('Inputs'!$B$7),ISNUMBER('Inputs'!$B$8),ISNUMBER('Inputs'!$B$9),ISNUMBER('Inputs'!$B$10),ISNUMBER('Inputs'!$B$21),ISNUMBER('Inputs'!$B$24),ISNUMBER('Inputs'!$B$28)),(('Results'!B7*(0.5*((((723-43)*MAX('Inputs'!$B$33,'Inputs'!$B$29+'Inputs'!$B$31+'Inputs'!$B$32,'Inputs'!$B$30+'Inputs'!$B$31+'Inputs'!$B$32)/1000+'Inputs'!$B$21)+'Inputs'!$B$7)/SQRT((((723-43)*MAX('Inputs'!$B$33,'Inputs'!$B$29+'Inputs'!$B$31+'Inputs'!$B$32,'Inputs'!$B$30+'Inputs'!$B$31+'Inputs'!$B$32)/1000+'Inputs'!$B$21)+'Inputs'!$B$7)^2+('Inputs'!$B$6/2)^2)-(((723-43)*MAX('Inputs'!$B$33,'Inputs'!$B$29+'Inputs'!$B$31+'Inputs'!$B$32,'Inputs'!$B$30+'Inputs'!$B$31+'Inputs'!$B$32)/1000+'Inputs'!$B$21))/SQRT((((723-43)*MAX('Inputs'!$B$33,'Inputs'!$B$29+'Inputs'!$B$31+'Inputs'!$B$32,'Inputs'!$B$30+'Inputs'!$B$31+'Inputs'!$B$32)/1000+'Inputs'!$B$21))^2+('Inputs'!$B$6/2)^2)))-'Results'!C7*(0.5*((((723-43)*MAX('Inputs'!$B$33,'Inputs'!$B$29+'Inputs'!$B$31+'Inputs'!$B$32,'Inputs'!$B$30+'Inputs'!$B$31+'Inputs'!$B$32)/1000+'Inputs'!$B$21+'Inputs'!$B$7+'Inputs'!$B$10)+'Inputs'!$B$9)/SQRT((((723-43)*MAX('Inputs'!$B$33,'Inputs'!$B$29+'Inputs'!$B$31+'Inputs'!$B$32,'Inputs'!$B$30+'Inputs'!$B$31+'Inputs'!$B$32)/1000+'Inputs'!$B$21+'Inputs'!$B$7+'Inputs'!$B$10)+'Inputs'!$B$9)^2+('Inputs'!$B$8/2)^2)-(((723-43)*MAX('Inputs'!$B$33,'Inputs'!$B$29+'Inputs'!$B$31+'Inputs'!$B$32,'Inputs'!$B$30+'Inputs'!$B$31+'Inputs'!$B$32)/1000+'Inputs'!$B$21+'Inputs'!$B$7+'Inputs'!$B$10))/SQRT((((723-43)*MAX('Inputs'!$B$33,'Inputs'!$B$29+'Inputs'!$B$31+'Inputs'!$B$32,'Inputs'!$B$30+'Inputs'!$B$31+'Inputs'!$B$32)/1000+'Inputs'!$B$21+'Inputs'!$B$7+'Inputs'!$B$10))^2+('Inputs'!$B$8/2)^2))))*'Results'!$B$8),"")</x:f>
        <x:v>1.432496183254163</x:v>
      </x:c>
      <x:c r="K723" t="n">
        <x:f>IF(AND(ISNUMBER('Results'!B7),ISNUMBER('Results'!C7),ISNUMBER('Results'!$B$8),ISNUMBER('Inputs'!$B$6),ISNUMBER('Inputs'!$B$7),ISNUMBER('Inputs'!$B$8),ISNUMBER('Inputs'!$B$9),ISNUMBER('Inputs'!$B$10),ISNUMBER('Inputs'!$B$21),ISNUMBER('Inputs'!$B$24),ISNUMBER('Inputs'!$B$28)),((('Results'!B7*(1-'Inputs'!$B$24)*(0.5*((((723-43)*MAX('Inputs'!$B$33,'Inputs'!$B$29+'Inputs'!$B$31+'Inputs'!$B$32,'Inputs'!$B$30+'Inputs'!$B$31+'Inputs'!$B$32)/1000+'Inputs'!$B$21)+'Inputs'!$B$7)/SQRT((((723-43)*MAX('Inputs'!$B$33,'Inputs'!$B$29+'Inputs'!$B$31+'Inputs'!$B$32,'Inputs'!$B$30+'Inputs'!$B$31+'Inputs'!$B$32)/1000+'Inputs'!$B$21)+'Inputs'!$B$7)^2+('Inputs'!$B$6/2)^2)-(((723-43)*MAX('Inputs'!$B$33,'Inputs'!$B$29+'Inputs'!$B$31+'Inputs'!$B$32,'Inputs'!$B$30+'Inputs'!$B$31+'Inputs'!$B$32)/1000+'Inputs'!$B$21))/SQRT((((723-43)*MAX('Inputs'!$B$33,'Inputs'!$B$29+'Inputs'!$B$31+'Inputs'!$B$32,'Inputs'!$B$30+'Inputs'!$B$31+'Inputs'!$B$32)/1000+'Inputs'!$B$21))^2+('Inputs'!$B$6/2)^2)))-'Results'!C7*(1+'Inputs'!$B$24)*(0.5*((((723-43)*MAX('Inputs'!$B$33,'Inputs'!$B$29+'Inputs'!$B$31+'Inputs'!$B$32,'Inputs'!$B$30+'Inputs'!$B$31+'Inputs'!$B$32)/1000+'Inputs'!$B$21+'Inputs'!$B$7+'Inputs'!$B$10)+'Inputs'!$B$9)/SQRT((((723-43)*MAX('Inputs'!$B$33,'Inputs'!$B$29+'Inputs'!$B$31+'Inputs'!$B$32,'Inputs'!$B$30+'Inputs'!$B$31+'Inputs'!$B$32)/1000+'Inputs'!$B$21+'Inputs'!$B$7+'Inputs'!$B$10)+'Inputs'!$B$9)^2+('Inputs'!$B$8/2)^2)-(((723-43)*MAX('Inputs'!$B$33,'Inputs'!$B$29+'Inputs'!$B$31+'Inputs'!$B$32,'Inputs'!$B$30+'Inputs'!$B$31+'Inputs'!$B$32)/1000+'Inputs'!$B$21+'Inputs'!$B$7+'Inputs'!$B$10))/SQRT((((723-43)*MAX('Inputs'!$B$33,'Inputs'!$B$29+'Inputs'!$B$31+'Inputs'!$B$32,'Inputs'!$B$30+'Inputs'!$B$31+'Inputs'!$B$32)/1000+'Inputs'!$B$21+'Inputs'!$B$7+'Inputs'!$B$10))^2+('Inputs'!$B$8/2)^2))))*'Results'!$B$8)-'Inputs'!$B$28*ABS((('Results'!B7*(1-'Inputs'!$B$24)*(0.5*((((723-43)*MAX('Inputs'!$B$33,'Inputs'!$B$29+'Inputs'!$B$31+'Inputs'!$B$32,'Inputs'!$B$30+'Inputs'!$B$31+'Inputs'!$B$32)/1000+'Inputs'!$B$21)+'Inputs'!$B$7)/SQRT((((723-43)*MAX('Inputs'!$B$33,'Inputs'!$B$29+'Inputs'!$B$31+'Inputs'!$B$32,'Inputs'!$B$30+'Inputs'!$B$31+'Inputs'!$B$32)/1000+'Inputs'!$B$21)+'Inputs'!$B$7)^2+('Inputs'!$B$6/2)^2)-(((723-43)*MAX('Inputs'!$B$33,'Inputs'!$B$29+'Inputs'!$B$31+'Inputs'!$B$32,'Inputs'!$B$30+'Inputs'!$B$31+'Inputs'!$B$32)/1000+'Inputs'!$B$21))/SQRT((((723-43)*MAX('Inputs'!$B$33,'Inputs'!$B$29+'Inputs'!$B$31+'Inputs'!$B$32,'Inputs'!$B$30+'Inputs'!$B$31+'Inputs'!$B$32)/1000+'Inputs'!$B$21))^2+('Inputs'!$B$6/2)^2)))-'Results'!C7*(1+'Inputs'!$B$24)*(0.5*((((723-43)*MAX('Inputs'!$B$33,'Inputs'!$B$29+'Inputs'!$B$31+'Inputs'!$B$32,'Inputs'!$B$30+'Inputs'!$B$31+'Inputs'!$B$32)/1000+'Inputs'!$B$21+'Inputs'!$B$7+'Inputs'!$B$10)+'Inputs'!$B$9)/SQRT((((723-43)*MAX('Inputs'!$B$33,'Inputs'!$B$29+'Inputs'!$B$31+'Inputs'!$B$32,'Inputs'!$B$30+'Inputs'!$B$31+'Inputs'!$B$32)/1000+'Inputs'!$B$21+'Inputs'!$B$7+'Inputs'!$B$10)+'Inputs'!$B$9)^2+('Inputs'!$B$8/2)^2)-(((723-43)*MAX('Inputs'!$B$33,'Inputs'!$B$29+'Inputs'!$B$31+'Inputs'!$B$32,'Inputs'!$B$30+'Inputs'!$B$31+'Inputs'!$B$32)/1000+'Inputs'!$B$21+'Inputs'!$B$7+'Inputs'!$B$10))/SQRT((((723-43)*MAX('Inputs'!$B$33,'Inputs'!$B$29+'Inputs'!$B$31+'Inputs'!$B$32,'Inputs'!$B$30+'Inputs'!$B$31+'Inputs'!$B$32)/1000+'Inputs'!$B$21+'Inputs'!$B$7+'Inputs'!$B$10))^2+('Inputs'!$B$8/2)^2))))*'Results'!$B$8))),"")</x:f>
        <x:v>1.243139615913269</x:v>
      </x:c>
      <x:c r="L723" t="n">
        <x:f>IF(AND(ISNUMBER('Results'!B7),ISNUMBER('Results'!C7),ISNUMBER('Results'!$B$8),ISNUMBER('Inputs'!$B$6),ISNUMBER('Inputs'!$B$7),ISNUMBER('Inputs'!$B$8),ISNUMBER('Inputs'!$B$9),ISNUMBER('Inputs'!$B$10),ISNUMBER('Inputs'!$B$21),ISNUMBER('Inputs'!$B$24),ISNUMBER('Inputs'!$B$28)),((('Results'!B7*(1+'Inputs'!$B$24)*(0.5*((((723-43)*MAX('Inputs'!$B$33,'Inputs'!$B$29+'Inputs'!$B$31+'Inputs'!$B$32,'Inputs'!$B$30+'Inputs'!$B$31+'Inputs'!$B$32)/1000+'Inputs'!$B$21)+'Inputs'!$B$7)/SQRT((((723-43)*MAX('Inputs'!$B$33,'Inputs'!$B$29+'Inputs'!$B$31+'Inputs'!$B$32,'Inputs'!$B$30+'Inputs'!$B$31+'Inputs'!$B$32)/1000+'Inputs'!$B$21)+'Inputs'!$B$7)^2+('Inputs'!$B$6/2)^2)-(((723-43)*MAX('Inputs'!$B$33,'Inputs'!$B$29+'Inputs'!$B$31+'Inputs'!$B$32,'Inputs'!$B$30+'Inputs'!$B$31+'Inputs'!$B$32)/1000+'Inputs'!$B$21))/SQRT((((723-43)*MAX('Inputs'!$B$33,'Inputs'!$B$29+'Inputs'!$B$31+'Inputs'!$B$32,'Inputs'!$B$30+'Inputs'!$B$31+'Inputs'!$B$32)/1000+'Inputs'!$B$21))^2+('Inputs'!$B$6/2)^2)))-'Results'!C7*(1-'Inputs'!$B$24)*(0.5*((((723-43)*MAX('Inputs'!$B$33,'Inputs'!$B$29+'Inputs'!$B$31+'Inputs'!$B$32,'Inputs'!$B$30+'Inputs'!$B$31+'Inputs'!$B$32)/1000+'Inputs'!$B$21+'Inputs'!$B$7+'Inputs'!$B$10)+'Inputs'!$B$9)/SQRT((((723-43)*MAX('Inputs'!$B$33,'Inputs'!$B$29+'Inputs'!$B$31+'Inputs'!$B$32,'Inputs'!$B$30+'Inputs'!$B$31+'Inputs'!$B$32)/1000+'Inputs'!$B$21+'Inputs'!$B$7+'Inputs'!$B$10)+'Inputs'!$B$9)^2+('Inputs'!$B$8/2)^2)-(((723-43)*MAX('Inputs'!$B$33,'Inputs'!$B$29+'Inputs'!$B$31+'Inputs'!$B$32,'Inputs'!$B$30+'Inputs'!$B$31+'Inputs'!$B$32)/1000+'Inputs'!$B$21+'Inputs'!$B$7+'Inputs'!$B$10))/SQRT((((723-43)*MAX('Inputs'!$B$33,'Inputs'!$B$29+'Inputs'!$B$31+'Inputs'!$B$32,'Inputs'!$B$30+'Inputs'!$B$31+'Inputs'!$B$32)/1000+'Inputs'!$B$21+'Inputs'!$B$7+'Inputs'!$B$10))^2+('Inputs'!$B$8/2)^2))))*'Results'!$B$8)+'Inputs'!$B$28*ABS((('Results'!B7*(1+'Inputs'!$B$24)*(0.5*((((723-43)*MAX('Inputs'!$B$33,'Inputs'!$B$29+'Inputs'!$B$31+'Inputs'!$B$32,'Inputs'!$B$30+'Inputs'!$B$31+'Inputs'!$B$32)/1000+'Inputs'!$B$21)+'Inputs'!$B$7)/SQRT((((723-43)*MAX('Inputs'!$B$33,'Inputs'!$B$29+'Inputs'!$B$31+'Inputs'!$B$32,'Inputs'!$B$30+'Inputs'!$B$31+'Inputs'!$B$32)/1000+'Inputs'!$B$21)+'Inputs'!$B$7)^2+('Inputs'!$B$6/2)^2)-(((723-43)*MAX('Inputs'!$B$33,'Inputs'!$B$29+'Inputs'!$B$31+'Inputs'!$B$32,'Inputs'!$B$30+'Inputs'!$B$31+'Inputs'!$B$32)/1000+'Inputs'!$B$21))/SQRT((((723-43)*MAX('Inputs'!$B$33,'Inputs'!$B$29+'Inputs'!$B$31+'Inputs'!$B$32,'Inputs'!$B$30+'Inputs'!$B$31+'Inputs'!$B$32)/1000+'Inputs'!$B$21))^2+('Inputs'!$B$6/2)^2)))-'Results'!C7*(1-'Inputs'!$B$24)*(0.5*((((723-43)*MAX('Inputs'!$B$33,'Inputs'!$B$29+'Inputs'!$B$31+'Inputs'!$B$32,'Inputs'!$B$30+'Inputs'!$B$31+'Inputs'!$B$32)/1000+'Inputs'!$B$21+'Inputs'!$B$7+'Inputs'!$B$10)+'Inputs'!$B$9)/SQRT((((723-43)*MAX('Inputs'!$B$33,'Inputs'!$B$29+'Inputs'!$B$31+'Inputs'!$B$32,'Inputs'!$B$30+'Inputs'!$B$31+'Inputs'!$B$32)/1000+'Inputs'!$B$21+'Inputs'!$B$7+'Inputs'!$B$10)+'Inputs'!$B$9)^2+('Inputs'!$B$8/2)^2)-(((723-43)*MAX('Inputs'!$B$33,'Inputs'!$B$29+'Inputs'!$B$31+'Inputs'!$B$32,'Inputs'!$B$30+'Inputs'!$B$31+'Inputs'!$B$32)/1000+'Inputs'!$B$21+'Inputs'!$B$7+'Inputs'!$B$10))/SQRT((((723-43)*MAX('Inputs'!$B$33,'Inputs'!$B$29+'Inputs'!$B$31+'Inputs'!$B$32,'Inputs'!$B$30+'Inputs'!$B$31+'Inputs'!$B$32)/1000+'Inputs'!$B$21+'Inputs'!$B$7+'Inputs'!$B$10))^2+('Inputs'!$B$8/2)^2))))*'Results'!$B$8))),"")</x:f>
        <x:v>1.634245567245392</x:v>
      </x:c>
      <x:c r="M723" t="n">
        <x:f>IF(AND(ISNUMBER('Results'!C7),ISNUMBER('Results'!B7),ISNUMBER('Results'!$B$8),ISNUMBER('Inputs'!$B$6),ISNUMBER('Inputs'!$B$7),ISNUMBER('Inputs'!$B$8),ISNUMBER('Inputs'!$B$9),ISNUMBER('Inputs'!$B$10),ISNUMBER('Inputs'!$B$21),ISNUMBER('Inputs'!$B$24),ISNUMBER('Inputs'!$B$28)),(('Results'!C7*(0.5*((((723-43)*MAX('Inputs'!$B$33,'Inputs'!$B$29+'Inputs'!$B$31+'Inputs'!$B$32,'Inputs'!$B$30+'Inputs'!$B$31+'Inputs'!$B$32)/1000+'Inputs'!$B$21)+'Inputs'!$B$9)/SQRT((((723-43)*MAX('Inputs'!$B$33,'Inputs'!$B$29+'Inputs'!$B$31+'Inputs'!$B$32,'Inputs'!$B$30+'Inputs'!$B$31+'Inputs'!$B$32)/1000+'Inputs'!$B$21)+'Inputs'!$B$9)^2+('Inputs'!$B$8/2)^2)-(((723-43)*MAX('Inputs'!$B$33,'Inputs'!$B$29+'Inputs'!$B$31+'Inputs'!$B$32,'Inputs'!$B$30+'Inputs'!$B$31+'Inputs'!$B$32)/1000+'Inputs'!$B$21))/SQRT((((723-43)*MAX('Inputs'!$B$33,'Inputs'!$B$29+'Inputs'!$B$31+'Inputs'!$B$32,'Inputs'!$B$30+'Inputs'!$B$31+'Inputs'!$B$32)/1000+'Inputs'!$B$21))^2+('Inputs'!$B$8/2)^2)))-'Results'!B7*(0.5*((((723-43)*MAX('Inputs'!$B$33,'Inputs'!$B$29+'Inputs'!$B$31+'Inputs'!$B$32,'Inputs'!$B$30+'Inputs'!$B$31+'Inputs'!$B$32)/1000+'Inputs'!$B$21+'Inputs'!$B$9+'Inputs'!$B$10)+'Inputs'!$B$7)/SQRT((((723-43)*MAX('Inputs'!$B$33,'Inputs'!$B$29+'Inputs'!$B$31+'Inputs'!$B$32,'Inputs'!$B$30+'Inputs'!$B$31+'Inputs'!$B$32)/1000+'Inputs'!$B$21+'Inputs'!$B$9+'Inputs'!$B$10)+'Inputs'!$B$7)^2+('Inputs'!$B$6/2)^2)-(((723-43)*MAX('Inputs'!$B$33,'Inputs'!$B$29+'Inputs'!$B$31+'Inputs'!$B$32,'Inputs'!$B$30+'Inputs'!$B$31+'Inputs'!$B$32)/1000+'Inputs'!$B$21+'Inputs'!$B$9+'Inputs'!$B$10))/SQRT((((723-43)*MAX('Inputs'!$B$33,'Inputs'!$B$29+'Inputs'!$B$31+'Inputs'!$B$32,'Inputs'!$B$30+'Inputs'!$B$31+'Inputs'!$B$32)/1000+'Inputs'!$B$21+'Inputs'!$B$9+'Inputs'!$B$10))^2+('Inputs'!$B$6/2)^2))))*'Results'!$B$8),"")</x:f>
        <x:v>1.3075957897830723</x:v>
      </x:c>
      <x:c r="N723" t="n">
        <x:f>IF(AND(ISNUMBER('Results'!C7),ISNUMBER('Results'!B7),ISNUMBER('Results'!$B$8),ISNUMBER('Inputs'!$B$6),ISNUMBER('Inputs'!$B$7),ISNUMBER('Inputs'!$B$8),ISNUMBER('Inputs'!$B$9),ISNUMBER('Inputs'!$B$10),ISNUMBER('Inputs'!$B$21),ISNUMBER('Inputs'!$B$24),ISNUMBER('Inputs'!$B$28)),((('Results'!C7*(1-'Inputs'!$B$24)*(0.5*((((723-43)*MAX('Inputs'!$B$33,'Inputs'!$B$29+'Inputs'!$B$31+'Inputs'!$B$32,'Inputs'!$B$30+'Inputs'!$B$31+'Inputs'!$B$32)/1000+'Inputs'!$B$21)+'Inputs'!$B$9)/SQRT((((723-43)*MAX('Inputs'!$B$33,'Inputs'!$B$29+'Inputs'!$B$31+'Inputs'!$B$32,'Inputs'!$B$30+'Inputs'!$B$31+'Inputs'!$B$32)/1000+'Inputs'!$B$21)+'Inputs'!$B$9)^2+('Inputs'!$B$8/2)^2)-(((723-43)*MAX('Inputs'!$B$33,'Inputs'!$B$29+'Inputs'!$B$31+'Inputs'!$B$32,'Inputs'!$B$30+'Inputs'!$B$31+'Inputs'!$B$32)/1000+'Inputs'!$B$21))/SQRT((((723-43)*MAX('Inputs'!$B$33,'Inputs'!$B$29+'Inputs'!$B$31+'Inputs'!$B$32,'Inputs'!$B$30+'Inputs'!$B$31+'Inputs'!$B$32)/1000+'Inputs'!$B$21))^2+('Inputs'!$B$8/2)^2)))-'Results'!B7*(1+'Inputs'!$B$24)*(0.5*((((723-43)*MAX('Inputs'!$B$33,'Inputs'!$B$29+'Inputs'!$B$31+'Inputs'!$B$32,'Inputs'!$B$30+'Inputs'!$B$31+'Inputs'!$B$32)/1000+'Inputs'!$B$21+'Inputs'!$B$9+'Inputs'!$B$10)+'Inputs'!$B$7)/SQRT((((723-43)*MAX('Inputs'!$B$33,'Inputs'!$B$29+'Inputs'!$B$31+'Inputs'!$B$32,'Inputs'!$B$30+'Inputs'!$B$31+'Inputs'!$B$32)/1000+'Inputs'!$B$21+'Inputs'!$B$9+'Inputs'!$B$10)+'Inputs'!$B$7)^2+('Inputs'!$B$6/2)^2)-(((723-43)*MAX('Inputs'!$B$33,'Inputs'!$B$29+'Inputs'!$B$31+'Inputs'!$B$32,'Inputs'!$B$30+'Inputs'!$B$31+'Inputs'!$B$32)/1000+'Inputs'!$B$21+'Inputs'!$B$9+'Inputs'!$B$10))/SQRT((((723-43)*MAX('Inputs'!$B$33,'Inputs'!$B$29+'Inputs'!$B$31+'Inputs'!$B$32,'Inputs'!$B$30+'Inputs'!$B$31+'Inputs'!$B$32)/1000+'Inputs'!$B$21+'Inputs'!$B$9+'Inputs'!$B$10))^2+('Inputs'!$B$6/2)^2))))*'Results'!$B$8)-'Inputs'!$B$28*ABS((('Results'!C7*(1-'Inputs'!$B$24)*(0.5*((((723-43)*MAX('Inputs'!$B$33,'Inputs'!$B$29+'Inputs'!$B$31+'Inputs'!$B$32,'Inputs'!$B$30+'Inputs'!$B$31+'Inputs'!$B$32)/1000+'Inputs'!$B$21)+'Inputs'!$B$9)/SQRT((((723-43)*MAX('Inputs'!$B$33,'Inputs'!$B$29+'Inputs'!$B$31+'Inputs'!$B$32,'Inputs'!$B$30+'Inputs'!$B$31+'Inputs'!$B$32)/1000+'Inputs'!$B$21)+'Inputs'!$B$9)^2+('Inputs'!$B$8/2)^2)-(((723-43)*MAX('Inputs'!$B$33,'Inputs'!$B$29+'Inputs'!$B$31+'Inputs'!$B$32,'Inputs'!$B$30+'Inputs'!$B$31+'Inputs'!$B$32)/1000+'Inputs'!$B$21))/SQRT((((723-43)*MAX('Inputs'!$B$33,'Inputs'!$B$29+'Inputs'!$B$31+'Inputs'!$B$32,'Inputs'!$B$30+'Inputs'!$B$31+'Inputs'!$B$32)/1000+'Inputs'!$B$21))^2+('Inputs'!$B$8/2)^2)))-'Results'!B7*(1+'Inputs'!$B$24)*(0.5*((((723-43)*MAX('Inputs'!$B$33,'Inputs'!$B$29+'Inputs'!$B$31+'Inputs'!$B$32,'Inputs'!$B$30+'Inputs'!$B$31+'Inputs'!$B$32)/1000+'Inputs'!$B$21+'Inputs'!$B$9+'Inputs'!$B$10)+'Inputs'!$B$7)/SQRT((((723-43)*MAX('Inputs'!$B$33,'Inputs'!$B$29+'Inputs'!$B$31+'Inputs'!$B$32,'Inputs'!$B$30+'Inputs'!$B$31+'Inputs'!$B$32)/1000+'Inputs'!$B$21+'Inputs'!$B$9+'Inputs'!$B$10)+'Inputs'!$B$7)^2+('Inputs'!$B$6/2)^2)-(((723-43)*MAX('Inputs'!$B$33,'Inputs'!$B$29+'Inputs'!$B$31+'Inputs'!$B$32,'Inputs'!$B$30+'Inputs'!$B$31+'Inputs'!$B$32)/1000+'Inputs'!$B$21+'Inputs'!$B$9+'Inputs'!$B$10))/SQRT((((723-43)*MAX('Inputs'!$B$33,'Inputs'!$B$29+'Inputs'!$B$31+'Inputs'!$B$32,'Inputs'!$B$30+'Inputs'!$B$31+'Inputs'!$B$32)/1000+'Inputs'!$B$21+'Inputs'!$B$9+'Inputs'!$B$10))^2+('Inputs'!$B$6/2)^2))))*'Results'!$B$8))),"")</x:f>
        <x:v>1.1250101183529824</x:v>
      </x:c>
      <x:c r="O723" t="n">
        <x:f>IF(AND(ISNUMBER('Results'!C7),ISNUMBER('Results'!B7),ISNUMBER('Results'!$B$8),ISNUMBER('Inputs'!$B$6),ISNUMBER('Inputs'!$B$7),ISNUMBER('Inputs'!$B$8),ISNUMBER('Inputs'!$B$9),ISNUMBER('Inputs'!$B$10),ISNUMBER('Inputs'!$B$21),ISNUMBER('Inputs'!$B$24),ISNUMBER('Inputs'!$B$28)),((('Results'!C7*(1+'Inputs'!$B$24)*(0.5*((((723-43)*MAX('Inputs'!$B$33,'Inputs'!$B$29+'Inputs'!$B$31+'Inputs'!$B$32,'Inputs'!$B$30+'Inputs'!$B$31+'Inputs'!$B$32)/1000+'Inputs'!$B$21)+'Inputs'!$B$9)/SQRT((((723-43)*MAX('Inputs'!$B$33,'Inputs'!$B$29+'Inputs'!$B$31+'Inputs'!$B$32,'Inputs'!$B$30+'Inputs'!$B$31+'Inputs'!$B$32)/1000+'Inputs'!$B$21)+'Inputs'!$B$9)^2+('Inputs'!$B$8/2)^2)-(((723-43)*MAX('Inputs'!$B$33,'Inputs'!$B$29+'Inputs'!$B$31+'Inputs'!$B$32,'Inputs'!$B$30+'Inputs'!$B$31+'Inputs'!$B$32)/1000+'Inputs'!$B$21))/SQRT((((723-43)*MAX('Inputs'!$B$33,'Inputs'!$B$29+'Inputs'!$B$31+'Inputs'!$B$32,'Inputs'!$B$30+'Inputs'!$B$31+'Inputs'!$B$32)/1000+'Inputs'!$B$21))^2+('Inputs'!$B$8/2)^2)))-'Results'!B7*(1-'Inputs'!$B$24)*(0.5*((((723-43)*MAX('Inputs'!$B$33,'Inputs'!$B$29+'Inputs'!$B$31+'Inputs'!$B$32,'Inputs'!$B$30+'Inputs'!$B$31+'Inputs'!$B$32)/1000+'Inputs'!$B$21+'Inputs'!$B$9+'Inputs'!$B$10)+'Inputs'!$B$7)/SQRT((((723-43)*MAX('Inputs'!$B$33,'Inputs'!$B$29+'Inputs'!$B$31+'Inputs'!$B$32,'Inputs'!$B$30+'Inputs'!$B$31+'Inputs'!$B$32)/1000+'Inputs'!$B$21+'Inputs'!$B$9+'Inputs'!$B$10)+'Inputs'!$B$7)^2+('Inputs'!$B$6/2)^2)-(((723-43)*MAX('Inputs'!$B$33,'Inputs'!$B$29+'Inputs'!$B$31+'Inputs'!$B$32,'Inputs'!$B$30+'Inputs'!$B$31+'Inputs'!$B$32)/1000+'Inputs'!$B$21+'Inputs'!$B$9+'Inputs'!$B$10))/SQRT((((723-43)*MAX('Inputs'!$B$33,'Inputs'!$B$29+'Inputs'!$B$31+'Inputs'!$B$32,'Inputs'!$B$30+'Inputs'!$B$31+'Inputs'!$B$32)/1000+'Inputs'!$B$21+'Inputs'!$B$9+'Inputs'!$B$10))^2+('Inputs'!$B$6/2)^2))))*'Results'!$B$8)+'Inputs'!$B$28*ABS((('Results'!C7*(1+'Inputs'!$B$24)*(0.5*((((723-43)*MAX('Inputs'!$B$33,'Inputs'!$B$29+'Inputs'!$B$31+'Inputs'!$B$32,'Inputs'!$B$30+'Inputs'!$B$31+'Inputs'!$B$32)/1000+'Inputs'!$B$21)+'Inputs'!$B$9)/SQRT((((723-43)*MAX('Inputs'!$B$33,'Inputs'!$B$29+'Inputs'!$B$31+'Inputs'!$B$32,'Inputs'!$B$30+'Inputs'!$B$31+'Inputs'!$B$32)/1000+'Inputs'!$B$21)+'Inputs'!$B$9)^2+('Inputs'!$B$8/2)^2)-(((723-43)*MAX('Inputs'!$B$33,'Inputs'!$B$29+'Inputs'!$B$31+'Inputs'!$B$32,'Inputs'!$B$30+'Inputs'!$B$31+'Inputs'!$B$32)/1000+'Inputs'!$B$21))/SQRT((((723-43)*MAX('Inputs'!$B$33,'Inputs'!$B$29+'Inputs'!$B$31+'Inputs'!$B$32,'Inputs'!$B$30+'Inputs'!$B$31+'Inputs'!$B$32)/1000+'Inputs'!$B$21))^2+('Inputs'!$B$8/2)^2)))-'Results'!B7*(1-'Inputs'!$B$24)*(0.5*((((723-43)*MAX('Inputs'!$B$33,'Inputs'!$B$29+'Inputs'!$B$31+'Inputs'!$B$32,'Inputs'!$B$30+'Inputs'!$B$31+'Inputs'!$B$32)/1000+'Inputs'!$B$21+'Inputs'!$B$9+'Inputs'!$B$10)+'Inputs'!$B$7)/SQRT((((723-43)*MAX('Inputs'!$B$33,'Inputs'!$B$29+'Inputs'!$B$31+'Inputs'!$B$32,'Inputs'!$B$30+'Inputs'!$B$31+'Inputs'!$B$32)/1000+'Inputs'!$B$21+'Inputs'!$B$9+'Inputs'!$B$10)+'Inputs'!$B$7)^2+('Inputs'!$B$6/2)^2)-(((723-43)*MAX('Inputs'!$B$33,'Inputs'!$B$29+'Inputs'!$B$31+'Inputs'!$B$32,'Inputs'!$B$30+'Inputs'!$B$31+'Inputs'!$B$32)/1000+'Inputs'!$B$21+'Inputs'!$B$9+'Inputs'!$B$10))/SQRT((((723-43)*MAX('Inputs'!$B$33,'Inputs'!$B$29+'Inputs'!$B$31+'Inputs'!$B$32,'Inputs'!$B$30+'Inputs'!$B$31+'Inputs'!$B$32)/1000+'Inputs'!$B$21+'Inputs'!$B$9+'Inputs'!$B$10))^2+('Inputs'!$B$6/2)^2))))*'Results'!$B$8))),"")</x:f>
        <x:v>1.5025189224701028</x:v>
      </x:c>
      <x:c r="P723" t="n">
        <x:f>IF(AND(MAX(J723,J722)&gt;0,J723&gt;J722+0.00000001),1,0)</x:f>
        <x:v>0</x:v>
      </x:c>
      <x:c r="Q723" t="n">
        <x:f>IF(AND(MAX(K723,K722)&gt;0,K723&gt;K722+0.00000001),1,0)</x:f>
        <x:v>0</x:v>
      </x:c>
      <x:c r="R723" t="n">
        <x:f>IF(AND(MAX(L723,L722)&gt;0,L723&gt;L722+0.00000001),1,0)</x:f>
        <x:v>0</x:v>
      </x:c>
      <x:c r="S723" t="n">
        <x:f>IF(AND(MAX(M723,M722)&gt;0,M723&gt;M722+0.00000001),1,0)</x:f>
        <x:v>0</x:v>
      </x:c>
      <x:c r="T723" t="n">
        <x:f>IF(AND(MAX(N723,N722)&gt;0,N723&gt;N722+0.00000001),1,0)</x:f>
        <x:v>0</x:v>
      </x:c>
      <x:c r="U723" t="n">
        <x:f>IF(AND(MAX(O723,O722)&gt;0,O723&gt;O722+0.00000001),1,0)</x:f>
        <x:v>0</x:v>
      </x:c>
    </x:row>
    <x:row r="724">
      <x:c r="J724" t="n">
        <x:f>IF(AND(ISNUMBER('Results'!B7),ISNUMBER('Results'!C7),ISNUMBER('Results'!$B$8),ISNUMBER('Inputs'!$B$6),ISNUMBER('Inputs'!$B$7),ISNUMBER('Inputs'!$B$8),ISNUMBER('Inputs'!$B$9),ISNUMBER('Inputs'!$B$10),ISNUMBER('Inputs'!$B$21),ISNUMBER('Inputs'!$B$24),ISNUMBER('Inputs'!$B$28)),(('Results'!B7*(0.5*((((724-43)*MAX('Inputs'!$B$33,'Inputs'!$B$29+'Inputs'!$B$31+'Inputs'!$B$32,'Inputs'!$B$30+'Inputs'!$B$31+'Inputs'!$B$32)/1000+'Inputs'!$B$21)+'Inputs'!$B$7)/SQRT((((724-43)*MAX('Inputs'!$B$33,'Inputs'!$B$29+'Inputs'!$B$31+'Inputs'!$B$32,'Inputs'!$B$30+'Inputs'!$B$31+'Inputs'!$B$32)/1000+'Inputs'!$B$21)+'Inputs'!$B$7)^2+('Inputs'!$B$6/2)^2)-(((724-43)*MAX('Inputs'!$B$33,'Inputs'!$B$29+'Inputs'!$B$31+'Inputs'!$B$32,'Inputs'!$B$30+'Inputs'!$B$31+'Inputs'!$B$32)/1000+'Inputs'!$B$21))/SQRT((((724-43)*MAX('Inputs'!$B$33,'Inputs'!$B$29+'Inputs'!$B$31+'Inputs'!$B$32,'Inputs'!$B$30+'Inputs'!$B$31+'Inputs'!$B$32)/1000+'Inputs'!$B$21))^2+('Inputs'!$B$6/2)^2)))-'Results'!C7*(0.5*((((724-43)*MAX('Inputs'!$B$33,'Inputs'!$B$29+'Inputs'!$B$31+'Inputs'!$B$32,'Inputs'!$B$30+'Inputs'!$B$31+'Inputs'!$B$32)/1000+'Inputs'!$B$21+'Inputs'!$B$7+'Inputs'!$B$10)+'Inputs'!$B$9)/SQRT((((724-43)*MAX('Inputs'!$B$33,'Inputs'!$B$29+'Inputs'!$B$31+'Inputs'!$B$32,'Inputs'!$B$30+'Inputs'!$B$31+'Inputs'!$B$32)/1000+'Inputs'!$B$21+'Inputs'!$B$7+'Inputs'!$B$10)+'Inputs'!$B$9)^2+('Inputs'!$B$8/2)^2)-(((724-43)*MAX('Inputs'!$B$33,'Inputs'!$B$29+'Inputs'!$B$31+'Inputs'!$B$32,'Inputs'!$B$30+'Inputs'!$B$31+'Inputs'!$B$32)/1000+'Inputs'!$B$21+'Inputs'!$B$7+'Inputs'!$B$10))/SQRT((((724-43)*MAX('Inputs'!$B$33,'Inputs'!$B$29+'Inputs'!$B$31+'Inputs'!$B$32,'Inputs'!$B$30+'Inputs'!$B$31+'Inputs'!$B$32)/1000+'Inputs'!$B$21+'Inputs'!$B$7+'Inputs'!$B$10))^2+('Inputs'!$B$8/2)^2))))*'Results'!$B$8),"")</x:f>
        <x:v>1.4250574229194437</x:v>
      </x:c>
      <x:c r="K724" t="n">
        <x:f>IF(AND(ISNUMBER('Results'!B7),ISNUMBER('Results'!C7),ISNUMBER('Results'!$B$8),ISNUMBER('Inputs'!$B$6),ISNUMBER('Inputs'!$B$7),ISNUMBER('Inputs'!$B$8),ISNUMBER('Inputs'!$B$9),ISNUMBER('Inputs'!$B$10),ISNUMBER('Inputs'!$B$21),ISNUMBER('Inputs'!$B$24),ISNUMBER('Inputs'!$B$28)),((('Results'!B7*(1-'Inputs'!$B$24)*(0.5*((((724-43)*MAX('Inputs'!$B$33,'Inputs'!$B$29+'Inputs'!$B$31+'Inputs'!$B$32,'Inputs'!$B$30+'Inputs'!$B$31+'Inputs'!$B$32)/1000+'Inputs'!$B$21)+'Inputs'!$B$7)/SQRT((((724-43)*MAX('Inputs'!$B$33,'Inputs'!$B$29+'Inputs'!$B$31+'Inputs'!$B$32,'Inputs'!$B$30+'Inputs'!$B$31+'Inputs'!$B$32)/1000+'Inputs'!$B$21)+'Inputs'!$B$7)^2+('Inputs'!$B$6/2)^2)-(((724-43)*MAX('Inputs'!$B$33,'Inputs'!$B$29+'Inputs'!$B$31+'Inputs'!$B$32,'Inputs'!$B$30+'Inputs'!$B$31+'Inputs'!$B$32)/1000+'Inputs'!$B$21))/SQRT((((724-43)*MAX('Inputs'!$B$33,'Inputs'!$B$29+'Inputs'!$B$31+'Inputs'!$B$32,'Inputs'!$B$30+'Inputs'!$B$31+'Inputs'!$B$32)/1000+'Inputs'!$B$21))^2+('Inputs'!$B$6/2)^2)))-'Results'!C7*(1+'Inputs'!$B$24)*(0.5*((((724-43)*MAX('Inputs'!$B$33,'Inputs'!$B$29+'Inputs'!$B$31+'Inputs'!$B$32,'Inputs'!$B$30+'Inputs'!$B$31+'Inputs'!$B$32)/1000+'Inputs'!$B$21+'Inputs'!$B$7+'Inputs'!$B$10)+'Inputs'!$B$9)/SQRT((((724-43)*MAX('Inputs'!$B$33,'Inputs'!$B$29+'Inputs'!$B$31+'Inputs'!$B$32,'Inputs'!$B$30+'Inputs'!$B$31+'Inputs'!$B$32)/1000+'Inputs'!$B$21+'Inputs'!$B$7+'Inputs'!$B$10)+'Inputs'!$B$9)^2+('Inputs'!$B$8/2)^2)-(((724-43)*MAX('Inputs'!$B$33,'Inputs'!$B$29+'Inputs'!$B$31+'Inputs'!$B$32,'Inputs'!$B$30+'Inputs'!$B$31+'Inputs'!$B$32)/1000+'Inputs'!$B$21+'Inputs'!$B$7+'Inputs'!$B$10))/SQRT((((724-43)*MAX('Inputs'!$B$33,'Inputs'!$B$29+'Inputs'!$B$31+'Inputs'!$B$32,'Inputs'!$B$30+'Inputs'!$B$31+'Inputs'!$B$32)/1000+'Inputs'!$B$21+'Inputs'!$B$7+'Inputs'!$B$10))^2+('Inputs'!$B$8/2)^2))))*'Results'!$B$8)-'Inputs'!$B$28*ABS((('Results'!B7*(1-'Inputs'!$B$24)*(0.5*((((724-43)*MAX('Inputs'!$B$33,'Inputs'!$B$29+'Inputs'!$B$31+'Inputs'!$B$32,'Inputs'!$B$30+'Inputs'!$B$31+'Inputs'!$B$32)/1000+'Inputs'!$B$21)+'Inputs'!$B$7)/SQRT((((724-43)*MAX('Inputs'!$B$33,'Inputs'!$B$29+'Inputs'!$B$31+'Inputs'!$B$32,'Inputs'!$B$30+'Inputs'!$B$31+'Inputs'!$B$32)/1000+'Inputs'!$B$21)+'Inputs'!$B$7)^2+('Inputs'!$B$6/2)^2)-(((724-43)*MAX('Inputs'!$B$33,'Inputs'!$B$29+'Inputs'!$B$31+'Inputs'!$B$32,'Inputs'!$B$30+'Inputs'!$B$31+'Inputs'!$B$32)/1000+'Inputs'!$B$21))/SQRT((((724-43)*MAX('Inputs'!$B$33,'Inputs'!$B$29+'Inputs'!$B$31+'Inputs'!$B$32,'Inputs'!$B$30+'Inputs'!$B$31+'Inputs'!$B$32)/1000+'Inputs'!$B$21))^2+('Inputs'!$B$6/2)^2)))-'Results'!C7*(1+'Inputs'!$B$24)*(0.5*((((724-43)*MAX('Inputs'!$B$33,'Inputs'!$B$29+'Inputs'!$B$31+'Inputs'!$B$32,'Inputs'!$B$30+'Inputs'!$B$31+'Inputs'!$B$32)/1000+'Inputs'!$B$21+'Inputs'!$B$7+'Inputs'!$B$10)+'Inputs'!$B$9)/SQRT((((724-43)*MAX('Inputs'!$B$33,'Inputs'!$B$29+'Inputs'!$B$31+'Inputs'!$B$32,'Inputs'!$B$30+'Inputs'!$B$31+'Inputs'!$B$32)/1000+'Inputs'!$B$21+'Inputs'!$B$7+'Inputs'!$B$10)+'Inputs'!$B$9)^2+('Inputs'!$B$8/2)^2)-(((724-43)*MAX('Inputs'!$B$33,'Inputs'!$B$29+'Inputs'!$B$31+'Inputs'!$B$32,'Inputs'!$B$30+'Inputs'!$B$31+'Inputs'!$B$32)/1000+'Inputs'!$B$21+'Inputs'!$B$7+'Inputs'!$B$10))/SQRT((((724-43)*MAX('Inputs'!$B$33,'Inputs'!$B$29+'Inputs'!$B$31+'Inputs'!$B$32,'Inputs'!$B$30+'Inputs'!$B$31+'Inputs'!$B$32)/1000+'Inputs'!$B$21+'Inputs'!$B$7+'Inputs'!$B$10))^2+('Inputs'!$B$8/2)^2))))*'Results'!$B$8))),"")</x:f>
        <x:v>1.236543819193993</x:v>
      </x:c>
      <x:c r="L724" t="n">
        <x:f>IF(AND(ISNUMBER('Results'!B7),ISNUMBER('Results'!C7),ISNUMBER('Results'!$B$8),ISNUMBER('Inputs'!$B$6),ISNUMBER('Inputs'!$B$7),ISNUMBER('Inputs'!$B$8),ISNUMBER('Inputs'!$B$9),ISNUMBER('Inputs'!$B$10),ISNUMBER('Inputs'!$B$21),ISNUMBER('Inputs'!$B$24),ISNUMBER('Inputs'!$B$28)),((('Results'!B7*(1+'Inputs'!$B$24)*(0.5*((((724-43)*MAX('Inputs'!$B$33,'Inputs'!$B$29+'Inputs'!$B$31+'Inputs'!$B$32,'Inputs'!$B$30+'Inputs'!$B$31+'Inputs'!$B$32)/1000+'Inputs'!$B$21)+'Inputs'!$B$7)/SQRT((((724-43)*MAX('Inputs'!$B$33,'Inputs'!$B$29+'Inputs'!$B$31+'Inputs'!$B$32,'Inputs'!$B$30+'Inputs'!$B$31+'Inputs'!$B$32)/1000+'Inputs'!$B$21)+'Inputs'!$B$7)^2+('Inputs'!$B$6/2)^2)-(((724-43)*MAX('Inputs'!$B$33,'Inputs'!$B$29+'Inputs'!$B$31+'Inputs'!$B$32,'Inputs'!$B$30+'Inputs'!$B$31+'Inputs'!$B$32)/1000+'Inputs'!$B$21))/SQRT((((724-43)*MAX('Inputs'!$B$33,'Inputs'!$B$29+'Inputs'!$B$31+'Inputs'!$B$32,'Inputs'!$B$30+'Inputs'!$B$31+'Inputs'!$B$32)/1000+'Inputs'!$B$21))^2+('Inputs'!$B$6/2)^2)))-'Results'!C7*(1-'Inputs'!$B$24)*(0.5*((((724-43)*MAX('Inputs'!$B$33,'Inputs'!$B$29+'Inputs'!$B$31+'Inputs'!$B$32,'Inputs'!$B$30+'Inputs'!$B$31+'Inputs'!$B$32)/1000+'Inputs'!$B$21+'Inputs'!$B$7+'Inputs'!$B$10)+'Inputs'!$B$9)/SQRT((((724-43)*MAX('Inputs'!$B$33,'Inputs'!$B$29+'Inputs'!$B$31+'Inputs'!$B$32,'Inputs'!$B$30+'Inputs'!$B$31+'Inputs'!$B$32)/1000+'Inputs'!$B$21+'Inputs'!$B$7+'Inputs'!$B$10)+'Inputs'!$B$9)^2+('Inputs'!$B$8/2)^2)-(((724-43)*MAX('Inputs'!$B$33,'Inputs'!$B$29+'Inputs'!$B$31+'Inputs'!$B$32,'Inputs'!$B$30+'Inputs'!$B$31+'Inputs'!$B$32)/1000+'Inputs'!$B$21+'Inputs'!$B$7+'Inputs'!$B$10))/SQRT((((724-43)*MAX('Inputs'!$B$33,'Inputs'!$B$29+'Inputs'!$B$31+'Inputs'!$B$32,'Inputs'!$B$30+'Inputs'!$B$31+'Inputs'!$B$32)/1000+'Inputs'!$B$21+'Inputs'!$B$7+'Inputs'!$B$10))^2+('Inputs'!$B$8/2)^2))))*'Results'!$B$8)+'Inputs'!$B$28*ABS((('Results'!B7*(1+'Inputs'!$B$24)*(0.5*((((724-43)*MAX('Inputs'!$B$33,'Inputs'!$B$29+'Inputs'!$B$31+'Inputs'!$B$32,'Inputs'!$B$30+'Inputs'!$B$31+'Inputs'!$B$32)/1000+'Inputs'!$B$21)+'Inputs'!$B$7)/SQRT((((724-43)*MAX('Inputs'!$B$33,'Inputs'!$B$29+'Inputs'!$B$31+'Inputs'!$B$32,'Inputs'!$B$30+'Inputs'!$B$31+'Inputs'!$B$32)/1000+'Inputs'!$B$21)+'Inputs'!$B$7)^2+('Inputs'!$B$6/2)^2)-(((724-43)*MAX('Inputs'!$B$33,'Inputs'!$B$29+'Inputs'!$B$31+'Inputs'!$B$32,'Inputs'!$B$30+'Inputs'!$B$31+'Inputs'!$B$32)/1000+'Inputs'!$B$21))/SQRT((((724-43)*MAX('Inputs'!$B$33,'Inputs'!$B$29+'Inputs'!$B$31+'Inputs'!$B$32,'Inputs'!$B$30+'Inputs'!$B$31+'Inputs'!$B$32)/1000+'Inputs'!$B$21))^2+('Inputs'!$B$6/2)^2)))-'Results'!C7*(1-'Inputs'!$B$24)*(0.5*((((724-43)*MAX('Inputs'!$B$33,'Inputs'!$B$29+'Inputs'!$B$31+'Inputs'!$B$32,'Inputs'!$B$30+'Inputs'!$B$31+'Inputs'!$B$32)/1000+'Inputs'!$B$21+'Inputs'!$B$7+'Inputs'!$B$10)+'Inputs'!$B$9)/SQRT((((724-43)*MAX('Inputs'!$B$33,'Inputs'!$B$29+'Inputs'!$B$31+'Inputs'!$B$32,'Inputs'!$B$30+'Inputs'!$B$31+'Inputs'!$B$32)/1000+'Inputs'!$B$21+'Inputs'!$B$7+'Inputs'!$B$10)+'Inputs'!$B$9)^2+('Inputs'!$B$8/2)^2)-(((724-43)*MAX('Inputs'!$B$33,'Inputs'!$B$29+'Inputs'!$B$31+'Inputs'!$B$32,'Inputs'!$B$30+'Inputs'!$B$31+'Inputs'!$B$32)/1000+'Inputs'!$B$21+'Inputs'!$B$7+'Inputs'!$B$10))/SQRT((((724-43)*MAX('Inputs'!$B$33,'Inputs'!$B$29+'Inputs'!$B$31+'Inputs'!$B$32,'Inputs'!$B$30+'Inputs'!$B$31+'Inputs'!$B$32)/1000+'Inputs'!$B$21+'Inputs'!$B$7+'Inputs'!$B$10))^2+('Inputs'!$B$8/2)^2))))*'Results'!$B$8))),"")</x:f>
        <x:v>1.6259142616532614</x:v>
      </x:c>
      <x:c r="M724" t="n">
        <x:f>IF(AND(ISNUMBER('Results'!C7),ISNUMBER('Results'!B7),ISNUMBER('Results'!$B$8),ISNUMBER('Inputs'!$B$6),ISNUMBER('Inputs'!$B$7),ISNUMBER('Inputs'!$B$8),ISNUMBER('Inputs'!$B$9),ISNUMBER('Inputs'!$B$10),ISNUMBER('Inputs'!$B$21),ISNUMBER('Inputs'!$B$24),ISNUMBER('Inputs'!$B$28)),(('Results'!C7*(0.5*((((724-43)*MAX('Inputs'!$B$33,'Inputs'!$B$29+'Inputs'!$B$31+'Inputs'!$B$32,'Inputs'!$B$30+'Inputs'!$B$31+'Inputs'!$B$32)/1000+'Inputs'!$B$21)+'Inputs'!$B$9)/SQRT((((724-43)*MAX('Inputs'!$B$33,'Inputs'!$B$29+'Inputs'!$B$31+'Inputs'!$B$32,'Inputs'!$B$30+'Inputs'!$B$31+'Inputs'!$B$32)/1000+'Inputs'!$B$21)+'Inputs'!$B$9)^2+('Inputs'!$B$8/2)^2)-(((724-43)*MAX('Inputs'!$B$33,'Inputs'!$B$29+'Inputs'!$B$31+'Inputs'!$B$32,'Inputs'!$B$30+'Inputs'!$B$31+'Inputs'!$B$32)/1000+'Inputs'!$B$21))/SQRT((((724-43)*MAX('Inputs'!$B$33,'Inputs'!$B$29+'Inputs'!$B$31+'Inputs'!$B$32,'Inputs'!$B$30+'Inputs'!$B$31+'Inputs'!$B$32)/1000+'Inputs'!$B$21))^2+('Inputs'!$B$8/2)^2)))-'Results'!B7*(0.5*((((724-43)*MAX('Inputs'!$B$33,'Inputs'!$B$29+'Inputs'!$B$31+'Inputs'!$B$32,'Inputs'!$B$30+'Inputs'!$B$31+'Inputs'!$B$32)/1000+'Inputs'!$B$21+'Inputs'!$B$9+'Inputs'!$B$10)+'Inputs'!$B$7)/SQRT((((724-43)*MAX('Inputs'!$B$33,'Inputs'!$B$29+'Inputs'!$B$31+'Inputs'!$B$32,'Inputs'!$B$30+'Inputs'!$B$31+'Inputs'!$B$32)/1000+'Inputs'!$B$21+'Inputs'!$B$9+'Inputs'!$B$10)+'Inputs'!$B$7)^2+('Inputs'!$B$6/2)^2)-(((724-43)*MAX('Inputs'!$B$33,'Inputs'!$B$29+'Inputs'!$B$31+'Inputs'!$B$32,'Inputs'!$B$30+'Inputs'!$B$31+'Inputs'!$B$32)/1000+'Inputs'!$B$21+'Inputs'!$B$9+'Inputs'!$B$10))/SQRT((((724-43)*MAX('Inputs'!$B$33,'Inputs'!$B$29+'Inputs'!$B$31+'Inputs'!$B$32,'Inputs'!$B$30+'Inputs'!$B$31+'Inputs'!$B$32)/1000+'Inputs'!$B$21+'Inputs'!$B$9+'Inputs'!$B$10))^2+('Inputs'!$B$6/2)^2))))*'Results'!$B$8),"")</x:f>
        <x:v>1.3006563871049124</x:v>
      </x:c>
      <x:c r="N724" t="n">
        <x:f>IF(AND(ISNUMBER('Results'!C7),ISNUMBER('Results'!B7),ISNUMBER('Results'!$B$8),ISNUMBER('Inputs'!$B$6),ISNUMBER('Inputs'!$B$7),ISNUMBER('Inputs'!$B$8),ISNUMBER('Inputs'!$B$9),ISNUMBER('Inputs'!$B$10),ISNUMBER('Inputs'!$B$21),ISNUMBER('Inputs'!$B$24),ISNUMBER('Inputs'!$B$28)),((('Results'!C7*(1-'Inputs'!$B$24)*(0.5*((((724-43)*MAX('Inputs'!$B$33,'Inputs'!$B$29+'Inputs'!$B$31+'Inputs'!$B$32,'Inputs'!$B$30+'Inputs'!$B$31+'Inputs'!$B$32)/1000+'Inputs'!$B$21)+'Inputs'!$B$9)/SQRT((((724-43)*MAX('Inputs'!$B$33,'Inputs'!$B$29+'Inputs'!$B$31+'Inputs'!$B$32,'Inputs'!$B$30+'Inputs'!$B$31+'Inputs'!$B$32)/1000+'Inputs'!$B$21)+'Inputs'!$B$9)^2+('Inputs'!$B$8/2)^2)-(((724-43)*MAX('Inputs'!$B$33,'Inputs'!$B$29+'Inputs'!$B$31+'Inputs'!$B$32,'Inputs'!$B$30+'Inputs'!$B$31+'Inputs'!$B$32)/1000+'Inputs'!$B$21))/SQRT((((724-43)*MAX('Inputs'!$B$33,'Inputs'!$B$29+'Inputs'!$B$31+'Inputs'!$B$32,'Inputs'!$B$30+'Inputs'!$B$31+'Inputs'!$B$32)/1000+'Inputs'!$B$21))^2+('Inputs'!$B$8/2)^2)))-'Results'!B7*(1+'Inputs'!$B$24)*(0.5*((((724-43)*MAX('Inputs'!$B$33,'Inputs'!$B$29+'Inputs'!$B$31+'Inputs'!$B$32,'Inputs'!$B$30+'Inputs'!$B$31+'Inputs'!$B$32)/1000+'Inputs'!$B$21+'Inputs'!$B$9+'Inputs'!$B$10)+'Inputs'!$B$7)/SQRT((((724-43)*MAX('Inputs'!$B$33,'Inputs'!$B$29+'Inputs'!$B$31+'Inputs'!$B$32,'Inputs'!$B$30+'Inputs'!$B$31+'Inputs'!$B$32)/1000+'Inputs'!$B$21+'Inputs'!$B$9+'Inputs'!$B$10)+'Inputs'!$B$7)^2+('Inputs'!$B$6/2)^2)-(((724-43)*MAX('Inputs'!$B$33,'Inputs'!$B$29+'Inputs'!$B$31+'Inputs'!$B$32,'Inputs'!$B$30+'Inputs'!$B$31+'Inputs'!$B$32)/1000+'Inputs'!$B$21+'Inputs'!$B$9+'Inputs'!$B$10))/SQRT((((724-43)*MAX('Inputs'!$B$33,'Inputs'!$B$29+'Inputs'!$B$31+'Inputs'!$B$32,'Inputs'!$B$30+'Inputs'!$B$31+'Inputs'!$B$32)/1000+'Inputs'!$B$21+'Inputs'!$B$9+'Inputs'!$B$10))^2+('Inputs'!$B$6/2)^2))))*'Results'!$B$8)-'Inputs'!$B$28*ABS((('Results'!C7*(1-'Inputs'!$B$24)*(0.5*((((724-43)*MAX('Inputs'!$B$33,'Inputs'!$B$29+'Inputs'!$B$31+'Inputs'!$B$32,'Inputs'!$B$30+'Inputs'!$B$31+'Inputs'!$B$32)/1000+'Inputs'!$B$21)+'Inputs'!$B$9)/SQRT((((724-43)*MAX('Inputs'!$B$33,'Inputs'!$B$29+'Inputs'!$B$31+'Inputs'!$B$32,'Inputs'!$B$30+'Inputs'!$B$31+'Inputs'!$B$32)/1000+'Inputs'!$B$21)+'Inputs'!$B$9)^2+('Inputs'!$B$8/2)^2)-(((724-43)*MAX('Inputs'!$B$33,'Inputs'!$B$29+'Inputs'!$B$31+'Inputs'!$B$32,'Inputs'!$B$30+'Inputs'!$B$31+'Inputs'!$B$32)/1000+'Inputs'!$B$21))/SQRT((((724-43)*MAX('Inputs'!$B$33,'Inputs'!$B$29+'Inputs'!$B$31+'Inputs'!$B$32,'Inputs'!$B$30+'Inputs'!$B$31+'Inputs'!$B$32)/1000+'Inputs'!$B$21))^2+('Inputs'!$B$8/2)^2)))-'Results'!B7*(1+'Inputs'!$B$24)*(0.5*((((724-43)*MAX('Inputs'!$B$33,'Inputs'!$B$29+'Inputs'!$B$31+'Inputs'!$B$32,'Inputs'!$B$30+'Inputs'!$B$31+'Inputs'!$B$32)/1000+'Inputs'!$B$21+'Inputs'!$B$9+'Inputs'!$B$10)+'Inputs'!$B$7)/SQRT((((724-43)*MAX('Inputs'!$B$33,'Inputs'!$B$29+'Inputs'!$B$31+'Inputs'!$B$32,'Inputs'!$B$30+'Inputs'!$B$31+'Inputs'!$B$32)/1000+'Inputs'!$B$21+'Inputs'!$B$9+'Inputs'!$B$10)+'Inputs'!$B$7)^2+('Inputs'!$B$6/2)^2)-(((724-43)*MAX('Inputs'!$B$33,'Inputs'!$B$29+'Inputs'!$B$31+'Inputs'!$B$32,'Inputs'!$B$30+'Inputs'!$B$31+'Inputs'!$B$32)/1000+'Inputs'!$B$21+'Inputs'!$B$9+'Inputs'!$B$10))/SQRT((((724-43)*MAX('Inputs'!$B$33,'Inputs'!$B$29+'Inputs'!$B$31+'Inputs'!$B$32,'Inputs'!$B$30+'Inputs'!$B$31+'Inputs'!$B$32)/1000+'Inputs'!$B$21+'Inputs'!$B$9+'Inputs'!$B$10))^2+('Inputs'!$B$6/2)^2))))*'Results'!$B$8))),"")</x:f>
        <x:v>1.1188859519620107</x:v>
      </x:c>
      <x:c r="O724" t="n">
        <x:f>IF(AND(ISNUMBER('Results'!C7),ISNUMBER('Results'!B7),ISNUMBER('Results'!$B$8),ISNUMBER('Inputs'!$B$6),ISNUMBER('Inputs'!$B$7),ISNUMBER('Inputs'!$B$8),ISNUMBER('Inputs'!$B$9),ISNUMBER('Inputs'!$B$10),ISNUMBER('Inputs'!$B$21),ISNUMBER('Inputs'!$B$24),ISNUMBER('Inputs'!$B$28)),((('Results'!C7*(1+'Inputs'!$B$24)*(0.5*((((724-43)*MAX('Inputs'!$B$33,'Inputs'!$B$29+'Inputs'!$B$31+'Inputs'!$B$32,'Inputs'!$B$30+'Inputs'!$B$31+'Inputs'!$B$32)/1000+'Inputs'!$B$21)+'Inputs'!$B$9)/SQRT((((724-43)*MAX('Inputs'!$B$33,'Inputs'!$B$29+'Inputs'!$B$31+'Inputs'!$B$32,'Inputs'!$B$30+'Inputs'!$B$31+'Inputs'!$B$32)/1000+'Inputs'!$B$21)+'Inputs'!$B$9)^2+('Inputs'!$B$8/2)^2)-(((724-43)*MAX('Inputs'!$B$33,'Inputs'!$B$29+'Inputs'!$B$31+'Inputs'!$B$32,'Inputs'!$B$30+'Inputs'!$B$31+'Inputs'!$B$32)/1000+'Inputs'!$B$21))/SQRT((((724-43)*MAX('Inputs'!$B$33,'Inputs'!$B$29+'Inputs'!$B$31+'Inputs'!$B$32,'Inputs'!$B$30+'Inputs'!$B$31+'Inputs'!$B$32)/1000+'Inputs'!$B$21))^2+('Inputs'!$B$8/2)^2)))-'Results'!B7*(1-'Inputs'!$B$24)*(0.5*((((724-43)*MAX('Inputs'!$B$33,'Inputs'!$B$29+'Inputs'!$B$31+'Inputs'!$B$32,'Inputs'!$B$30+'Inputs'!$B$31+'Inputs'!$B$32)/1000+'Inputs'!$B$21+'Inputs'!$B$9+'Inputs'!$B$10)+'Inputs'!$B$7)/SQRT((((724-43)*MAX('Inputs'!$B$33,'Inputs'!$B$29+'Inputs'!$B$31+'Inputs'!$B$32,'Inputs'!$B$30+'Inputs'!$B$31+'Inputs'!$B$32)/1000+'Inputs'!$B$21+'Inputs'!$B$9+'Inputs'!$B$10)+'Inputs'!$B$7)^2+('Inputs'!$B$6/2)^2)-(((724-43)*MAX('Inputs'!$B$33,'Inputs'!$B$29+'Inputs'!$B$31+'Inputs'!$B$32,'Inputs'!$B$30+'Inputs'!$B$31+'Inputs'!$B$32)/1000+'Inputs'!$B$21+'Inputs'!$B$9+'Inputs'!$B$10))/SQRT((((724-43)*MAX('Inputs'!$B$33,'Inputs'!$B$29+'Inputs'!$B$31+'Inputs'!$B$32,'Inputs'!$B$30+'Inputs'!$B$31+'Inputs'!$B$32)/1000+'Inputs'!$B$21+'Inputs'!$B$9+'Inputs'!$B$10))^2+('Inputs'!$B$6/2)^2))))*'Results'!$B$8)+'Inputs'!$B$28*ABS((('Results'!C7*(1+'Inputs'!$B$24)*(0.5*((((724-43)*MAX('Inputs'!$B$33,'Inputs'!$B$29+'Inputs'!$B$31+'Inputs'!$B$32,'Inputs'!$B$30+'Inputs'!$B$31+'Inputs'!$B$32)/1000+'Inputs'!$B$21)+'Inputs'!$B$9)/SQRT((((724-43)*MAX('Inputs'!$B$33,'Inputs'!$B$29+'Inputs'!$B$31+'Inputs'!$B$32,'Inputs'!$B$30+'Inputs'!$B$31+'Inputs'!$B$32)/1000+'Inputs'!$B$21)+'Inputs'!$B$9)^2+('Inputs'!$B$8/2)^2)-(((724-43)*MAX('Inputs'!$B$33,'Inputs'!$B$29+'Inputs'!$B$31+'Inputs'!$B$32,'Inputs'!$B$30+'Inputs'!$B$31+'Inputs'!$B$32)/1000+'Inputs'!$B$21))/SQRT((((724-43)*MAX('Inputs'!$B$33,'Inputs'!$B$29+'Inputs'!$B$31+'Inputs'!$B$32,'Inputs'!$B$30+'Inputs'!$B$31+'Inputs'!$B$32)/1000+'Inputs'!$B$21))^2+('Inputs'!$B$8/2)^2)))-'Results'!B7*(1-'Inputs'!$B$24)*(0.5*((((724-43)*MAX('Inputs'!$B$33,'Inputs'!$B$29+'Inputs'!$B$31+'Inputs'!$B$32,'Inputs'!$B$30+'Inputs'!$B$31+'Inputs'!$B$32)/1000+'Inputs'!$B$21+'Inputs'!$B$9+'Inputs'!$B$10)+'Inputs'!$B$7)/SQRT((((724-43)*MAX('Inputs'!$B$33,'Inputs'!$B$29+'Inputs'!$B$31+'Inputs'!$B$32,'Inputs'!$B$30+'Inputs'!$B$31+'Inputs'!$B$32)/1000+'Inputs'!$B$21+'Inputs'!$B$9+'Inputs'!$B$10)+'Inputs'!$B$7)^2+('Inputs'!$B$6/2)^2)-(((724-43)*MAX('Inputs'!$B$33,'Inputs'!$B$29+'Inputs'!$B$31+'Inputs'!$B$32,'Inputs'!$B$30+'Inputs'!$B$31+'Inputs'!$B$32)/1000+'Inputs'!$B$21+'Inputs'!$B$9+'Inputs'!$B$10))/SQRT((((724-43)*MAX('Inputs'!$B$33,'Inputs'!$B$29+'Inputs'!$B$31+'Inputs'!$B$32,'Inputs'!$B$30+'Inputs'!$B$31+'Inputs'!$B$32)/1000+'Inputs'!$B$21+'Inputs'!$B$9+'Inputs'!$B$10))^2+('Inputs'!$B$6/2)^2))))*'Results'!$B$8))),"")</x:f>
        <x:v>1.4947149923307248</x:v>
      </x:c>
      <x:c r="P724" t="n">
        <x:f>IF(AND(MAX(J724,J723)&gt;0,J724&gt;J723+0.00000001),1,0)</x:f>
        <x:v>0</x:v>
      </x:c>
      <x:c r="Q724" t="n">
        <x:f>IF(AND(MAX(K724,K723)&gt;0,K724&gt;K723+0.00000001),1,0)</x:f>
        <x:v>0</x:v>
      </x:c>
      <x:c r="R724" t="n">
        <x:f>IF(AND(MAX(L724,L723)&gt;0,L724&gt;L723+0.00000001),1,0)</x:f>
        <x:v>0</x:v>
      </x:c>
      <x:c r="S724" t="n">
        <x:f>IF(AND(MAX(M724,M723)&gt;0,M724&gt;M723+0.00000001),1,0)</x:f>
        <x:v>0</x:v>
      </x:c>
      <x:c r="T724" t="n">
        <x:f>IF(AND(MAX(N724,N723)&gt;0,N724&gt;N723+0.00000001),1,0)</x:f>
        <x:v>0</x:v>
      </x:c>
      <x:c r="U724" t="n">
        <x:f>IF(AND(MAX(O724,O723)&gt;0,O724&gt;O723+0.00000001),1,0)</x:f>
        <x:v>0</x:v>
      </x:c>
    </x:row>
    <x:row r="725">
      <x:c r="J725" t="n">
        <x:f>IF(AND(ISNUMBER('Results'!B7),ISNUMBER('Results'!C7),ISNUMBER('Results'!$B$8),ISNUMBER('Inputs'!$B$6),ISNUMBER('Inputs'!$B$7),ISNUMBER('Inputs'!$B$8),ISNUMBER('Inputs'!$B$9),ISNUMBER('Inputs'!$B$10),ISNUMBER('Inputs'!$B$21),ISNUMBER('Inputs'!$B$24),ISNUMBER('Inputs'!$B$28)),(('Results'!B7*(0.5*((((725-43)*MAX('Inputs'!$B$33,'Inputs'!$B$29+'Inputs'!$B$31+'Inputs'!$B$32,'Inputs'!$B$30+'Inputs'!$B$31+'Inputs'!$B$32)/1000+'Inputs'!$B$21)+'Inputs'!$B$7)/SQRT((((725-43)*MAX('Inputs'!$B$33,'Inputs'!$B$29+'Inputs'!$B$31+'Inputs'!$B$32,'Inputs'!$B$30+'Inputs'!$B$31+'Inputs'!$B$32)/1000+'Inputs'!$B$21)+'Inputs'!$B$7)^2+('Inputs'!$B$6/2)^2)-(((725-43)*MAX('Inputs'!$B$33,'Inputs'!$B$29+'Inputs'!$B$31+'Inputs'!$B$32,'Inputs'!$B$30+'Inputs'!$B$31+'Inputs'!$B$32)/1000+'Inputs'!$B$21))/SQRT((((725-43)*MAX('Inputs'!$B$33,'Inputs'!$B$29+'Inputs'!$B$31+'Inputs'!$B$32,'Inputs'!$B$30+'Inputs'!$B$31+'Inputs'!$B$32)/1000+'Inputs'!$B$21))^2+('Inputs'!$B$6/2)^2)))-'Results'!C7*(0.5*((((725-43)*MAX('Inputs'!$B$33,'Inputs'!$B$29+'Inputs'!$B$31+'Inputs'!$B$32,'Inputs'!$B$30+'Inputs'!$B$31+'Inputs'!$B$32)/1000+'Inputs'!$B$21+'Inputs'!$B$7+'Inputs'!$B$10)+'Inputs'!$B$9)/SQRT((((725-43)*MAX('Inputs'!$B$33,'Inputs'!$B$29+'Inputs'!$B$31+'Inputs'!$B$32,'Inputs'!$B$30+'Inputs'!$B$31+'Inputs'!$B$32)/1000+'Inputs'!$B$21+'Inputs'!$B$7+'Inputs'!$B$10)+'Inputs'!$B$9)^2+('Inputs'!$B$8/2)^2)-(((725-43)*MAX('Inputs'!$B$33,'Inputs'!$B$29+'Inputs'!$B$31+'Inputs'!$B$32,'Inputs'!$B$30+'Inputs'!$B$31+'Inputs'!$B$32)/1000+'Inputs'!$B$21+'Inputs'!$B$7+'Inputs'!$B$10))/SQRT((((725-43)*MAX('Inputs'!$B$33,'Inputs'!$B$29+'Inputs'!$B$31+'Inputs'!$B$32,'Inputs'!$B$30+'Inputs'!$B$31+'Inputs'!$B$32)/1000+'Inputs'!$B$21+'Inputs'!$B$7+'Inputs'!$B$10))^2+('Inputs'!$B$8/2)^2))))*'Results'!$B$8),"")</x:f>
        <x:v>1.4176670476994955</x:v>
      </x:c>
      <x:c r="K725" t="n">
        <x:f>IF(AND(ISNUMBER('Results'!B7),ISNUMBER('Results'!C7),ISNUMBER('Results'!$B$8),ISNUMBER('Inputs'!$B$6),ISNUMBER('Inputs'!$B$7),ISNUMBER('Inputs'!$B$8),ISNUMBER('Inputs'!$B$9),ISNUMBER('Inputs'!$B$10),ISNUMBER('Inputs'!$B$21),ISNUMBER('Inputs'!$B$24),ISNUMBER('Inputs'!$B$28)),((('Results'!B7*(1-'Inputs'!$B$24)*(0.5*((((725-43)*MAX('Inputs'!$B$33,'Inputs'!$B$29+'Inputs'!$B$31+'Inputs'!$B$32,'Inputs'!$B$30+'Inputs'!$B$31+'Inputs'!$B$32)/1000+'Inputs'!$B$21)+'Inputs'!$B$7)/SQRT((((725-43)*MAX('Inputs'!$B$33,'Inputs'!$B$29+'Inputs'!$B$31+'Inputs'!$B$32,'Inputs'!$B$30+'Inputs'!$B$31+'Inputs'!$B$32)/1000+'Inputs'!$B$21)+'Inputs'!$B$7)^2+('Inputs'!$B$6/2)^2)-(((725-43)*MAX('Inputs'!$B$33,'Inputs'!$B$29+'Inputs'!$B$31+'Inputs'!$B$32,'Inputs'!$B$30+'Inputs'!$B$31+'Inputs'!$B$32)/1000+'Inputs'!$B$21))/SQRT((((725-43)*MAX('Inputs'!$B$33,'Inputs'!$B$29+'Inputs'!$B$31+'Inputs'!$B$32,'Inputs'!$B$30+'Inputs'!$B$31+'Inputs'!$B$32)/1000+'Inputs'!$B$21))^2+('Inputs'!$B$6/2)^2)))-'Results'!C7*(1+'Inputs'!$B$24)*(0.5*((((725-43)*MAX('Inputs'!$B$33,'Inputs'!$B$29+'Inputs'!$B$31+'Inputs'!$B$32,'Inputs'!$B$30+'Inputs'!$B$31+'Inputs'!$B$32)/1000+'Inputs'!$B$21+'Inputs'!$B$7+'Inputs'!$B$10)+'Inputs'!$B$9)/SQRT((((725-43)*MAX('Inputs'!$B$33,'Inputs'!$B$29+'Inputs'!$B$31+'Inputs'!$B$32,'Inputs'!$B$30+'Inputs'!$B$31+'Inputs'!$B$32)/1000+'Inputs'!$B$21+'Inputs'!$B$7+'Inputs'!$B$10)+'Inputs'!$B$9)^2+('Inputs'!$B$8/2)^2)-(((725-43)*MAX('Inputs'!$B$33,'Inputs'!$B$29+'Inputs'!$B$31+'Inputs'!$B$32,'Inputs'!$B$30+'Inputs'!$B$31+'Inputs'!$B$32)/1000+'Inputs'!$B$21+'Inputs'!$B$7+'Inputs'!$B$10))/SQRT((((725-43)*MAX('Inputs'!$B$33,'Inputs'!$B$29+'Inputs'!$B$31+'Inputs'!$B$32,'Inputs'!$B$30+'Inputs'!$B$31+'Inputs'!$B$32)/1000+'Inputs'!$B$21+'Inputs'!$B$7+'Inputs'!$B$10))^2+('Inputs'!$B$8/2)^2))))*'Results'!$B$8)-'Inputs'!$B$28*ABS((('Results'!B7*(1-'Inputs'!$B$24)*(0.5*((((725-43)*MAX('Inputs'!$B$33,'Inputs'!$B$29+'Inputs'!$B$31+'Inputs'!$B$32,'Inputs'!$B$30+'Inputs'!$B$31+'Inputs'!$B$32)/1000+'Inputs'!$B$21)+'Inputs'!$B$7)/SQRT((((725-43)*MAX('Inputs'!$B$33,'Inputs'!$B$29+'Inputs'!$B$31+'Inputs'!$B$32,'Inputs'!$B$30+'Inputs'!$B$31+'Inputs'!$B$32)/1000+'Inputs'!$B$21)+'Inputs'!$B$7)^2+('Inputs'!$B$6/2)^2)-(((725-43)*MAX('Inputs'!$B$33,'Inputs'!$B$29+'Inputs'!$B$31+'Inputs'!$B$32,'Inputs'!$B$30+'Inputs'!$B$31+'Inputs'!$B$32)/1000+'Inputs'!$B$21))/SQRT((((725-43)*MAX('Inputs'!$B$33,'Inputs'!$B$29+'Inputs'!$B$31+'Inputs'!$B$32,'Inputs'!$B$30+'Inputs'!$B$31+'Inputs'!$B$32)/1000+'Inputs'!$B$21))^2+('Inputs'!$B$6/2)^2)))-'Results'!C7*(1+'Inputs'!$B$24)*(0.5*((((725-43)*MAX('Inputs'!$B$33,'Inputs'!$B$29+'Inputs'!$B$31+'Inputs'!$B$32,'Inputs'!$B$30+'Inputs'!$B$31+'Inputs'!$B$32)/1000+'Inputs'!$B$21+'Inputs'!$B$7+'Inputs'!$B$10)+'Inputs'!$B$9)/SQRT((((725-43)*MAX('Inputs'!$B$33,'Inputs'!$B$29+'Inputs'!$B$31+'Inputs'!$B$32,'Inputs'!$B$30+'Inputs'!$B$31+'Inputs'!$B$32)/1000+'Inputs'!$B$21+'Inputs'!$B$7+'Inputs'!$B$10)+'Inputs'!$B$9)^2+('Inputs'!$B$8/2)^2)-(((725-43)*MAX('Inputs'!$B$33,'Inputs'!$B$29+'Inputs'!$B$31+'Inputs'!$B$32,'Inputs'!$B$30+'Inputs'!$B$31+'Inputs'!$B$32)/1000+'Inputs'!$B$21+'Inputs'!$B$7+'Inputs'!$B$10))/SQRT((((725-43)*MAX('Inputs'!$B$33,'Inputs'!$B$29+'Inputs'!$B$31+'Inputs'!$B$32,'Inputs'!$B$30+'Inputs'!$B$31+'Inputs'!$B$32)/1000+'Inputs'!$B$21+'Inputs'!$B$7+'Inputs'!$B$10))^2+('Inputs'!$B$8/2)^2))))*'Results'!$B$8))),"")</x:f>
        <x:v>1.2299914732905188</x:v>
      </x:c>
      <x:c r="L725" t="n">
        <x:f>IF(AND(ISNUMBER('Results'!B7),ISNUMBER('Results'!C7),ISNUMBER('Results'!$B$8),ISNUMBER('Inputs'!$B$6),ISNUMBER('Inputs'!$B$7),ISNUMBER('Inputs'!$B$8),ISNUMBER('Inputs'!$B$9),ISNUMBER('Inputs'!$B$10),ISNUMBER('Inputs'!$B$21),ISNUMBER('Inputs'!$B$24),ISNUMBER('Inputs'!$B$28)),((('Results'!B7*(1+'Inputs'!$B$24)*(0.5*((((725-43)*MAX('Inputs'!$B$33,'Inputs'!$B$29+'Inputs'!$B$31+'Inputs'!$B$32,'Inputs'!$B$30+'Inputs'!$B$31+'Inputs'!$B$32)/1000+'Inputs'!$B$21)+'Inputs'!$B$7)/SQRT((((725-43)*MAX('Inputs'!$B$33,'Inputs'!$B$29+'Inputs'!$B$31+'Inputs'!$B$32,'Inputs'!$B$30+'Inputs'!$B$31+'Inputs'!$B$32)/1000+'Inputs'!$B$21)+'Inputs'!$B$7)^2+('Inputs'!$B$6/2)^2)-(((725-43)*MAX('Inputs'!$B$33,'Inputs'!$B$29+'Inputs'!$B$31+'Inputs'!$B$32,'Inputs'!$B$30+'Inputs'!$B$31+'Inputs'!$B$32)/1000+'Inputs'!$B$21))/SQRT((((725-43)*MAX('Inputs'!$B$33,'Inputs'!$B$29+'Inputs'!$B$31+'Inputs'!$B$32,'Inputs'!$B$30+'Inputs'!$B$31+'Inputs'!$B$32)/1000+'Inputs'!$B$21))^2+('Inputs'!$B$6/2)^2)))-'Results'!C7*(1-'Inputs'!$B$24)*(0.5*((((725-43)*MAX('Inputs'!$B$33,'Inputs'!$B$29+'Inputs'!$B$31+'Inputs'!$B$32,'Inputs'!$B$30+'Inputs'!$B$31+'Inputs'!$B$32)/1000+'Inputs'!$B$21+'Inputs'!$B$7+'Inputs'!$B$10)+'Inputs'!$B$9)/SQRT((((725-43)*MAX('Inputs'!$B$33,'Inputs'!$B$29+'Inputs'!$B$31+'Inputs'!$B$32,'Inputs'!$B$30+'Inputs'!$B$31+'Inputs'!$B$32)/1000+'Inputs'!$B$21+'Inputs'!$B$7+'Inputs'!$B$10)+'Inputs'!$B$9)^2+('Inputs'!$B$8/2)^2)-(((725-43)*MAX('Inputs'!$B$33,'Inputs'!$B$29+'Inputs'!$B$31+'Inputs'!$B$32,'Inputs'!$B$30+'Inputs'!$B$31+'Inputs'!$B$32)/1000+'Inputs'!$B$21+'Inputs'!$B$7+'Inputs'!$B$10))/SQRT((((725-43)*MAX('Inputs'!$B$33,'Inputs'!$B$29+'Inputs'!$B$31+'Inputs'!$B$32,'Inputs'!$B$30+'Inputs'!$B$31+'Inputs'!$B$32)/1000+'Inputs'!$B$21+'Inputs'!$B$7+'Inputs'!$B$10))^2+('Inputs'!$B$8/2)^2))))*'Results'!$B$8)+'Inputs'!$B$28*ABS((('Results'!B7*(1+'Inputs'!$B$24)*(0.5*((((725-43)*MAX('Inputs'!$B$33,'Inputs'!$B$29+'Inputs'!$B$31+'Inputs'!$B$32,'Inputs'!$B$30+'Inputs'!$B$31+'Inputs'!$B$32)/1000+'Inputs'!$B$21)+'Inputs'!$B$7)/SQRT((((725-43)*MAX('Inputs'!$B$33,'Inputs'!$B$29+'Inputs'!$B$31+'Inputs'!$B$32,'Inputs'!$B$30+'Inputs'!$B$31+'Inputs'!$B$32)/1000+'Inputs'!$B$21)+'Inputs'!$B$7)^2+('Inputs'!$B$6/2)^2)-(((725-43)*MAX('Inputs'!$B$33,'Inputs'!$B$29+'Inputs'!$B$31+'Inputs'!$B$32,'Inputs'!$B$30+'Inputs'!$B$31+'Inputs'!$B$32)/1000+'Inputs'!$B$21))/SQRT((((725-43)*MAX('Inputs'!$B$33,'Inputs'!$B$29+'Inputs'!$B$31+'Inputs'!$B$32,'Inputs'!$B$30+'Inputs'!$B$31+'Inputs'!$B$32)/1000+'Inputs'!$B$21))^2+('Inputs'!$B$6/2)^2)))-'Results'!C7*(1-'Inputs'!$B$24)*(0.5*((((725-43)*MAX('Inputs'!$B$33,'Inputs'!$B$29+'Inputs'!$B$31+'Inputs'!$B$32,'Inputs'!$B$30+'Inputs'!$B$31+'Inputs'!$B$32)/1000+'Inputs'!$B$21+'Inputs'!$B$7+'Inputs'!$B$10)+'Inputs'!$B$9)/SQRT((((725-43)*MAX('Inputs'!$B$33,'Inputs'!$B$29+'Inputs'!$B$31+'Inputs'!$B$32,'Inputs'!$B$30+'Inputs'!$B$31+'Inputs'!$B$32)/1000+'Inputs'!$B$21+'Inputs'!$B$7+'Inputs'!$B$10)+'Inputs'!$B$9)^2+('Inputs'!$B$8/2)^2)-(((725-43)*MAX('Inputs'!$B$33,'Inputs'!$B$29+'Inputs'!$B$31+'Inputs'!$B$32,'Inputs'!$B$30+'Inputs'!$B$31+'Inputs'!$B$32)/1000+'Inputs'!$B$21+'Inputs'!$B$7+'Inputs'!$B$10))/SQRT((((725-43)*MAX('Inputs'!$B$33,'Inputs'!$B$29+'Inputs'!$B$31+'Inputs'!$B$32,'Inputs'!$B$30+'Inputs'!$B$31+'Inputs'!$B$32)/1000+'Inputs'!$B$21+'Inputs'!$B$7+'Inputs'!$B$10))^2+('Inputs'!$B$8/2)^2))))*'Results'!$B$8))),"")</x:f>
        <x:v>1.6176365402162616</x:v>
      </x:c>
      <x:c r="M725" t="n">
        <x:f>IF(AND(ISNUMBER('Results'!C7),ISNUMBER('Results'!B7),ISNUMBER('Results'!$B$8),ISNUMBER('Inputs'!$B$6),ISNUMBER('Inputs'!$B$7),ISNUMBER('Inputs'!$B$8),ISNUMBER('Inputs'!$B$9),ISNUMBER('Inputs'!$B$10),ISNUMBER('Inputs'!$B$21),ISNUMBER('Inputs'!$B$24),ISNUMBER('Inputs'!$B$28)),(('Results'!C7*(0.5*((((725-43)*MAX('Inputs'!$B$33,'Inputs'!$B$29+'Inputs'!$B$31+'Inputs'!$B$32,'Inputs'!$B$30+'Inputs'!$B$31+'Inputs'!$B$32)/1000+'Inputs'!$B$21)+'Inputs'!$B$9)/SQRT((((725-43)*MAX('Inputs'!$B$33,'Inputs'!$B$29+'Inputs'!$B$31+'Inputs'!$B$32,'Inputs'!$B$30+'Inputs'!$B$31+'Inputs'!$B$32)/1000+'Inputs'!$B$21)+'Inputs'!$B$9)^2+('Inputs'!$B$8/2)^2)-(((725-43)*MAX('Inputs'!$B$33,'Inputs'!$B$29+'Inputs'!$B$31+'Inputs'!$B$32,'Inputs'!$B$30+'Inputs'!$B$31+'Inputs'!$B$32)/1000+'Inputs'!$B$21))/SQRT((((725-43)*MAX('Inputs'!$B$33,'Inputs'!$B$29+'Inputs'!$B$31+'Inputs'!$B$32,'Inputs'!$B$30+'Inputs'!$B$31+'Inputs'!$B$32)/1000+'Inputs'!$B$21))^2+('Inputs'!$B$8/2)^2)))-'Results'!B7*(0.5*((((725-43)*MAX('Inputs'!$B$33,'Inputs'!$B$29+'Inputs'!$B$31+'Inputs'!$B$32,'Inputs'!$B$30+'Inputs'!$B$31+'Inputs'!$B$32)/1000+'Inputs'!$B$21+'Inputs'!$B$9+'Inputs'!$B$10)+'Inputs'!$B$7)/SQRT((((725-43)*MAX('Inputs'!$B$33,'Inputs'!$B$29+'Inputs'!$B$31+'Inputs'!$B$32,'Inputs'!$B$30+'Inputs'!$B$31+'Inputs'!$B$32)/1000+'Inputs'!$B$21+'Inputs'!$B$9+'Inputs'!$B$10)+'Inputs'!$B$7)^2+('Inputs'!$B$6/2)^2)-(((725-43)*MAX('Inputs'!$B$33,'Inputs'!$B$29+'Inputs'!$B$31+'Inputs'!$B$32,'Inputs'!$B$30+'Inputs'!$B$31+'Inputs'!$B$32)/1000+'Inputs'!$B$21+'Inputs'!$B$9+'Inputs'!$B$10))/SQRT((((725-43)*MAX('Inputs'!$B$33,'Inputs'!$B$29+'Inputs'!$B$31+'Inputs'!$B$32,'Inputs'!$B$30+'Inputs'!$B$31+'Inputs'!$B$32)/1000+'Inputs'!$B$21+'Inputs'!$B$9+'Inputs'!$B$10))^2+('Inputs'!$B$6/2)^2))))*'Results'!$B$8),"")</x:f>
        <x:v>1.2937627049876819</x:v>
      </x:c>
      <x:c r="N725" t="n">
        <x:f>IF(AND(ISNUMBER('Results'!C7),ISNUMBER('Results'!B7),ISNUMBER('Results'!$B$8),ISNUMBER('Inputs'!$B$6),ISNUMBER('Inputs'!$B$7),ISNUMBER('Inputs'!$B$8),ISNUMBER('Inputs'!$B$9),ISNUMBER('Inputs'!$B$10),ISNUMBER('Inputs'!$B$21),ISNUMBER('Inputs'!$B$24),ISNUMBER('Inputs'!$B$28)),((('Results'!C7*(1-'Inputs'!$B$24)*(0.5*((((725-43)*MAX('Inputs'!$B$33,'Inputs'!$B$29+'Inputs'!$B$31+'Inputs'!$B$32,'Inputs'!$B$30+'Inputs'!$B$31+'Inputs'!$B$32)/1000+'Inputs'!$B$21)+'Inputs'!$B$9)/SQRT((((725-43)*MAX('Inputs'!$B$33,'Inputs'!$B$29+'Inputs'!$B$31+'Inputs'!$B$32,'Inputs'!$B$30+'Inputs'!$B$31+'Inputs'!$B$32)/1000+'Inputs'!$B$21)+'Inputs'!$B$9)^2+('Inputs'!$B$8/2)^2)-(((725-43)*MAX('Inputs'!$B$33,'Inputs'!$B$29+'Inputs'!$B$31+'Inputs'!$B$32,'Inputs'!$B$30+'Inputs'!$B$31+'Inputs'!$B$32)/1000+'Inputs'!$B$21))/SQRT((((725-43)*MAX('Inputs'!$B$33,'Inputs'!$B$29+'Inputs'!$B$31+'Inputs'!$B$32,'Inputs'!$B$30+'Inputs'!$B$31+'Inputs'!$B$32)/1000+'Inputs'!$B$21))^2+('Inputs'!$B$8/2)^2)))-'Results'!B7*(1+'Inputs'!$B$24)*(0.5*((((725-43)*MAX('Inputs'!$B$33,'Inputs'!$B$29+'Inputs'!$B$31+'Inputs'!$B$32,'Inputs'!$B$30+'Inputs'!$B$31+'Inputs'!$B$32)/1000+'Inputs'!$B$21+'Inputs'!$B$9+'Inputs'!$B$10)+'Inputs'!$B$7)/SQRT((((725-43)*MAX('Inputs'!$B$33,'Inputs'!$B$29+'Inputs'!$B$31+'Inputs'!$B$32,'Inputs'!$B$30+'Inputs'!$B$31+'Inputs'!$B$32)/1000+'Inputs'!$B$21+'Inputs'!$B$9+'Inputs'!$B$10)+'Inputs'!$B$7)^2+('Inputs'!$B$6/2)^2)-(((725-43)*MAX('Inputs'!$B$33,'Inputs'!$B$29+'Inputs'!$B$31+'Inputs'!$B$32,'Inputs'!$B$30+'Inputs'!$B$31+'Inputs'!$B$32)/1000+'Inputs'!$B$21+'Inputs'!$B$9+'Inputs'!$B$10))/SQRT((((725-43)*MAX('Inputs'!$B$33,'Inputs'!$B$29+'Inputs'!$B$31+'Inputs'!$B$32,'Inputs'!$B$30+'Inputs'!$B$31+'Inputs'!$B$32)/1000+'Inputs'!$B$21+'Inputs'!$B$9+'Inputs'!$B$10))^2+('Inputs'!$B$6/2)^2))))*'Results'!$B$8)-'Inputs'!$B$28*ABS((('Results'!C7*(1-'Inputs'!$B$24)*(0.5*((((725-43)*MAX('Inputs'!$B$33,'Inputs'!$B$29+'Inputs'!$B$31+'Inputs'!$B$32,'Inputs'!$B$30+'Inputs'!$B$31+'Inputs'!$B$32)/1000+'Inputs'!$B$21)+'Inputs'!$B$9)/SQRT((((725-43)*MAX('Inputs'!$B$33,'Inputs'!$B$29+'Inputs'!$B$31+'Inputs'!$B$32,'Inputs'!$B$30+'Inputs'!$B$31+'Inputs'!$B$32)/1000+'Inputs'!$B$21)+'Inputs'!$B$9)^2+('Inputs'!$B$8/2)^2)-(((725-43)*MAX('Inputs'!$B$33,'Inputs'!$B$29+'Inputs'!$B$31+'Inputs'!$B$32,'Inputs'!$B$30+'Inputs'!$B$31+'Inputs'!$B$32)/1000+'Inputs'!$B$21))/SQRT((((725-43)*MAX('Inputs'!$B$33,'Inputs'!$B$29+'Inputs'!$B$31+'Inputs'!$B$32,'Inputs'!$B$30+'Inputs'!$B$31+'Inputs'!$B$32)/1000+'Inputs'!$B$21))^2+('Inputs'!$B$8/2)^2)))-'Results'!B7*(1+'Inputs'!$B$24)*(0.5*((((725-43)*MAX('Inputs'!$B$33,'Inputs'!$B$29+'Inputs'!$B$31+'Inputs'!$B$32,'Inputs'!$B$30+'Inputs'!$B$31+'Inputs'!$B$32)/1000+'Inputs'!$B$21+'Inputs'!$B$9+'Inputs'!$B$10)+'Inputs'!$B$7)/SQRT((((725-43)*MAX('Inputs'!$B$33,'Inputs'!$B$29+'Inputs'!$B$31+'Inputs'!$B$32,'Inputs'!$B$30+'Inputs'!$B$31+'Inputs'!$B$32)/1000+'Inputs'!$B$21+'Inputs'!$B$9+'Inputs'!$B$10)+'Inputs'!$B$7)^2+('Inputs'!$B$6/2)^2)-(((725-43)*MAX('Inputs'!$B$33,'Inputs'!$B$29+'Inputs'!$B$31+'Inputs'!$B$32,'Inputs'!$B$30+'Inputs'!$B$31+'Inputs'!$B$32)/1000+'Inputs'!$B$21+'Inputs'!$B$9+'Inputs'!$B$10))/SQRT((((725-43)*MAX('Inputs'!$B$33,'Inputs'!$B$29+'Inputs'!$B$31+'Inputs'!$B$32,'Inputs'!$B$30+'Inputs'!$B$31+'Inputs'!$B$32)/1000+'Inputs'!$B$21+'Inputs'!$B$9+'Inputs'!$B$10))^2+('Inputs'!$B$6/2)^2))))*'Results'!$B$8))),"")</x:f>
        <x:v>1.112802723121377</x:v>
      </x:c>
      <x:c r="O725" t="n">
        <x:f>IF(AND(ISNUMBER('Results'!C7),ISNUMBER('Results'!B7),ISNUMBER('Results'!$B$8),ISNUMBER('Inputs'!$B$6),ISNUMBER('Inputs'!$B$7),ISNUMBER('Inputs'!$B$8),ISNUMBER('Inputs'!$B$9),ISNUMBER('Inputs'!$B$10),ISNUMBER('Inputs'!$B$21),ISNUMBER('Inputs'!$B$24),ISNUMBER('Inputs'!$B$28)),((('Results'!C7*(1+'Inputs'!$B$24)*(0.5*((((725-43)*MAX('Inputs'!$B$33,'Inputs'!$B$29+'Inputs'!$B$31+'Inputs'!$B$32,'Inputs'!$B$30+'Inputs'!$B$31+'Inputs'!$B$32)/1000+'Inputs'!$B$21)+'Inputs'!$B$9)/SQRT((((725-43)*MAX('Inputs'!$B$33,'Inputs'!$B$29+'Inputs'!$B$31+'Inputs'!$B$32,'Inputs'!$B$30+'Inputs'!$B$31+'Inputs'!$B$32)/1000+'Inputs'!$B$21)+'Inputs'!$B$9)^2+('Inputs'!$B$8/2)^2)-(((725-43)*MAX('Inputs'!$B$33,'Inputs'!$B$29+'Inputs'!$B$31+'Inputs'!$B$32,'Inputs'!$B$30+'Inputs'!$B$31+'Inputs'!$B$32)/1000+'Inputs'!$B$21))/SQRT((((725-43)*MAX('Inputs'!$B$33,'Inputs'!$B$29+'Inputs'!$B$31+'Inputs'!$B$32,'Inputs'!$B$30+'Inputs'!$B$31+'Inputs'!$B$32)/1000+'Inputs'!$B$21))^2+('Inputs'!$B$8/2)^2)))-'Results'!B7*(1-'Inputs'!$B$24)*(0.5*((((725-43)*MAX('Inputs'!$B$33,'Inputs'!$B$29+'Inputs'!$B$31+'Inputs'!$B$32,'Inputs'!$B$30+'Inputs'!$B$31+'Inputs'!$B$32)/1000+'Inputs'!$B$21+'Inputs'!$B$9+'Inputs'!$B$10)+'Inputs'!$B$7)/SQRT((((725-43)*MAX('Inputs'!$B$33,'Inputs'!$B$29+'Inputs'!$B$31+'Inputs'!$B$32,'Inputs'!$B$30+'Inputs'!$B$31+'Inputs'!$B$32)/1000+'Inputs'!$B$21+'Inputs'!$B$9+'Inputs'!$B$10)+'Inputs'!$B$7)^2+('Inputs'!$B$6/2)^2)-(((725-43)*MAX('Inputs'!$B$33,'Inputs'!$B$29+'Inputs'!$B$31+'Inputs'!$B$32,'Inputs'!$B$30+'Inputs'!$B$31+'Inputs'!$B$32)/1000+'Inputs'!$B$21+'Inputs'!$B$9+'Inputs'!$B$10))/SQRT((((725-43)*MAX('Inputs'!$B$33,'Inputs'!$B$29+'Inputs'!$B$31+'Inputs'!$B$32,'Inputs'!$B$30+'Inputs'!$B$31+'Inputs'!$B$32)/1000+'Inputs'!$B$21+'Inputs'!$B$9+'Inputs'!$B$10))^2+('Inputs'!$B$6/2)^2))))*'Results'!$B$8)+'Inputs'!$B$28*ABS((('Results'!C7*(1+'Inputs'!$B$24)*(0.5*((((725-43)*MAX('Inputs'!$B$33,'Inputs'!$B$29+'Inputs'!$B$31+'Inputs'!$B$32,'Inputs'!$B$30+'Inputs'!$B$31+'Inputs'!$B$32)/1000+'Inputs'!$B$21)+'Inputs'!$B$9)/SQRT((((725-43)*MAX('Inputs'!$B$33,'Inputs'!$B$29+'Inputs'!$B$31+'Inputs'!$B$32,'Inputs'!$B$30+'Inputs'!$B$31+'Inputs'!$B$32)/1000+'Inputs'!$B$21)+'Inputs'!$B$9)^2+('Inputs'!$B$8/2)^2)-(((725-43)*MAX('Inputs'!$B$33,'Inputs'!$B$29+'Inputs'!$B$31+'Inputs'!$B$32,'Inputs'!$B$30+'Inputs'!$B$31+'Inputs'!$B$32)/1000+'Inputs'!$B$21))/SQRT((((725-43)*MAX('Inputs'!$B$33,'Inputs'!$B$29+'Inputs'!$B$31+'Inputs'!$B$32,'Inputs'!$B$30+'Inputs'!$B$31+'Inputs'!$B$32)/1000+'Inputs'!$B$21))^2+('Inputs'!$B$8/2)^2)))-'Results'!B7*(1-'Inputs'!$B$24)*(0.5*((((725-43)*MAX('Inputs'!$B$33,'Inputs'!$B$29+'Inputs'!$B$31+'Inputs'!$B$32,'Inputs'!$B$30+'Inputs'!$B$31+'Inputs'!$B$32)/1000+'Inputs'!$B$21+'Inputs'!$B$9+'Inputs'!$B$10)+'Inputs'!$B$7)/SQRT((((725-43)*MAX('Inputs'!$B$33,'Inputs'!$B$29+'Inputs'!$B$31+'Inputs'!$B$32,'Inputs'!$B$30+'Inputs'!$B$31+'Inputs'!$B$32)/1000+'Inputs'!$B$21+'Inputs'!$B$9+'Inputs'!$B$10)+'Inputs'!$B$7)^2+('Inputs'!$B$6/2)^2)-(((725-43)*MAX('Inputs'!$B$33,'Inputs'!$B$29+'Inputs'!$B$31+'Inputs'!$B$32,'Inputs'!$B$30+'Inputs'!$B$31+'Inputs'!$B$32)/1000+'Inputs'!$B$21+'Inputs'!$B$9+'Inputs'!$B$10))/SQRT((((725-43)*MAX('Inputs'!$B$33,'Inputs'!$B$29+'Inputs'!$B$31+'Inputs'!$B$32,'Inputs'!$B$30+'Inputs'!$B$31+'Inputs'!$B$32)/1000+'Inputs'!$B$21+'Inputs'!$B$9+'Inputs'!$B$10))^2+('Inputs'!$B$6/2)^2))))*'Results'!$B$8))),"")</x:f>
        <x:v>1.486961828603136</x:v>
      </x:c>
      <x:c r="P725" t="n">
        <x:f>IF(AND(MAX(J725,J724)&gt;0,J725&gt;J724+0.00000001),1,0)</x:f>
        <x:v>0</x:v>
      </x:c>
      <x:c r="Q725" t="n">
        <x:f>IF(AND(MAX(K725,K724)&gt;0,K725&gt;K724+0.00000001),1,0)</x:f>
        <x:v>0</x:v>
      </x:c>
      <x:c r="R725" t="n">
        <x:f>IF(AND(MAX(L725,L724)&gt;0,L725&gt;L724+0.00000001),1,0)</x:f>
        <x:v>0</x:v>
      </x:c>
      <x:c r="S725" t="n">
        <x:f>IF(AND(MAX(M725,M724)&gt;0,M725&gt;M724+0.00000001),1,0)</x:f>
        <x:v>0</x:v>
      </x:c>
      <x:c r="T725" t="n">
        <x:f>IF(AND(MAX(N725,N724)&gt;0,N725&gt;N724+0.00000001),1,0)</x:f>
        <x:v>0</x:v>
      </x:c>
      <x:c r="U725" t="n">
        <x:f>IF(AND(MAX(O725,O724)&gt;0,O725&gt;O724+0.00000001),1,0)</x:f>
        <x:v>0</x:v>
      </x:c>
    </x:row>
    <x:row r="726">
      <x:c r="J726" t="n">
        <x:f>IF(AND(ISNUMBER('Results'!B7),ISNUMBER('Results'!C7),ISNUMBER('Results'!$B$8),ISNUMBER('Inputs'!$B$6),ISNUMBER('Inputs'!$B$7),ISNUMBER('Inputs'!$B$8),ISNUMBER('Inputs'!$B$9),ISNUMBER('Inputs'!$B$10),ISNUMBER('Inputs'!$B$21),ISNUMBER('Inputs'!$B$24),ISNUMBER('Inputs'!$B$28)),(('Results'!B7*(0.5*((((726-43)*MAX('Inputs'!$B$33,'Inputs'!$B$29+'Inputs'!$B$31+'Inputs'!$B$32,'Inputs'!$B$30+'Inputs'!$B$31+'Inputs'!$B$32)/1000+'Inputs'!$B$21)+'Inputs'!$B$7)/SQRT((((726-43)*MAX('Inputs'!$B$33,'Inputs'!$B$29+'Inputs'!$B$31+'Inputs'!$B$32,'Inputs'!$B$30+'Inputs'!$B$31+'Inputs'!$B$32)/1000+'Inputs'!$B$21)+'Inputs'!$B$7)^2+('Inputs'!$B$6/2)^2)-(((726-43)*MAX('Inputs'!$B$33,'Inputs'!$B$29+'Inputs'!$B$31+'Inputs'!$B$32,'Inputs'!$B$30+'Inputs'!$B$31+'Inputs'!$B$32)/1000+'Inputs'!$B$21))/SQRT((((726-43)*MAX('Inputs'!$B$33,'Inputs'!$B$29+'Inputs'!$B$31+'Inputs'!$B$32,'Inputs'!$B$30+'Inputs'!$B$31+'Inputs'!$B$32)/1000+'Inputs'!$B$21))^2+('Inputs'!$B$6/2)^2)))-'Results'!C7*(0.5*((((726-43)*MAX('Inputs'!$B$33,'Inputs'!$B$29+'Inputs'!$B$31+'Inputs'!$B$32,'Inputs'!$B$30+'Inputs'!$B$31+'Inputs'!$B$32)/1000+'Inputs'!$B$21+'Inputs'!$B$7+'Inputs'!$B$10)+'Inputs'!$B$9)/SQRT((((726-43)*MAX('Inputs'!$B$33,'Inputs'!$B$29+'Inputs'!$B$31+'Inputs'!$B$32,'Inputs'!$B$30+'Inputs'!$B$31+'Inputs'!$B$32)/1000+'Inputs'!$B$21+'Inputs'!$B$7+'Inputs'!$B$10)+'Inputs'!$B$9)^2+('Inputs'!$B$8/2)^2)-(((726-43)*MAX('Inputs'!$B$33,'Inputs'!$B$29+'Inputs'!$B$31+'Inputs'!$B$32,'Inputs'!$B$30+'Inputs'!$B$31+'Inputs'!$B$32)/1000+'Inputs'!$B$21+'Inputs'!$B$7+'Inputs'!$B$10))/SQRT((((726-43)*MAX('Inputs'!$B$33,'Inputs'!$B$29+'Inputs'!$B$31+'Inputs'!$B$32,'Inputs'!$B$30+'Inputs'!$B$31+'Inputs'!$B$32)/1000+'Inputs'!$B$21+'Inputs'!$B$7+'Inputs'!$B$10))^2+('Inputs'!$B$8/2)^2))))*'Results'!$B$8),"")</x:f>
        <x:v>1.4103246799713134</x:v>
      </x:c>
      <x:c r="K726" t="n">
        <x:f>IF(AND(ISNUMBER('Results'!B7),ISNUMBER('Results'!C7),ISNUMBER('Results'!$B$8),ISNUMBER('Inputs'!$B$6),ISNUMBER('Inputs'!$B$7),ISNUMBER('Inputs'!$B$8),ISNUMBER('Inputs'!$B$9),ISNUMBER('Inputs'!$B$10),ISNUMBER('Inputs'!$B$21),ISNUMBER('Inputs'!$B$24),ISNUMBER('Inputs'!$B$28)),((('Results'!B7*(1-'Inputs'!$B$24)*(0.5*((((726-43)*MAX('Inputs'!$B$33,'Inputs'!$B$29+'Inputs'!$B$31+'Inputs'!$B$32,'Inputs'!$B$30+'Inputs'!$B$31+'Inputs'!$B$32)/1000+'Inputs'!$B$21)+'Inputs'!$B$7)/SQRT((((726-43)*MAX('Inputs'!$B$33,'Inputs'!$B$29+'Inputs'!$B$31+'Inputs'!$B$32,'Inputs'!$B$30+'Inputs'!$B$31+'Inputs'!$B$32)/1000+'Inputs'!$B$21)+'Inputs'!$B$7)^2+('Inputs'!$B$6/2)^2)-(((726-43)*MAX('Inputs'!$B$33,'Inputs'!$B$29+'Inputs'!$B$31+'Inputs'!$B$32,'Inputs'!$B$30+'Inputs'!$B$31+'Inputs'!$B$32)/1000+'Inputs'!$B$21))/SQRT((((726-43)*MAX('Inputs'!$B$33,'Inputs'!$B$29+'Inputs'!$B$31+'Inputs'!$B$32,'Inputs'!$B$30+'Inputs'!$B$31+'Inputs'!$B$32)/1000+'Inputs'!$B$21))^2+('Inputs'!$B$6/2)^2)))-'Results'!C7*(1+'Inputs'!$B$24)*(0.5*((((726-43)*MAX('Inputs'!$B$33,'Inputs'!$B$29+'Inputs'!$B$31+'Inputs'!$B$32,'Inputs'!$B$30+'Inputs'!$B$31+'Inputs'!$B$32)/1000+'Inputs'!$B$21+'Inputs'!$B$7+'Inputs'!$B$10)+'Inputs'!$B$9)/SQRT((((726-43)*MAX('Inputs'!$B$33,'Inputs'!$B$29+'Inputs'!$B$31+'Inputs'!$B$32,'Inputs'!$B$30+'Inputs'!$B$31+'Inputs'!$B$32)/1000+'Inputs'!$B$21+'Inputs'!$B$7+'Inputs'!$B$10)+'Inputs'!$B$9)^2+('Inputs'!$B$8/2)^2)-(((726-43)*MAX('Inputs'!$B$33,'Inputs'!$B$29+'Inputs'!$B$31+'Inputs'!$B$32,'Inputs'!$B$30+'Inputs'!$B$31+'Inputs'!$B$32)/1000+'Inputs'!$B$21+'Inputs'!$B$7+'Inputs'!$B$10))/SQRT((((726-43)*MAX('Inputs'!$B$33,'Inputs'!$B$29+'Inputs'!$B$31+'Inputs'!$B$32,'Inputs'!$B$30+'Inputs'!$B$31+'Inputs'!$B$32)/1000+'Inputs'!$B$21+'Inputs'!$B$7+'Inputs'!$B$10))^2+('Inputs'!$B$8/2)^2))))*'Results'!$B$8)-'Inputs'!$B$28*ABS((('Results'!B7*(1-'Inputs'!$B$24)*(0.5*((((726-43)*MAX('Inputs'!$B$33,'Inputs'!$B$29+'Inputs'!$B$31+'Inputs'!$B$32,'Inputs'!$B$30+'Inputs'!$B$31+'Inputs'!$B$32)/1000+'Inputs'!$B$21)+'Inputs'!$B$7)/SQRT((((726-43)*MAX('Inputs'!$B$33,'Inputs'!$B$29+'Inputs'!$B$31+'Inputs'!$B$32,'Inputs'!$B$30+'Inputs'!$B$31+'Inputs'!$B$32)/1000+'Inputs'!$B$21)+'Inputs'!$B$7)^2+('Inputs'!$B$6/2)^2)-(((726-43)*MAX('Inputs'!$B$33,'Inputs'!$B$29+'Inputs'!$B$31+'Inputs'!$B$32,'Inputs'!$B$30+'Inputs'!$B$31+'Inputs'!$B$32)/1000+'Inputs'!$B$21))/SQRT((((726-43)*MAX('Inputs'!$B$33,'Inputs'!$B$29+'Inputs'!$B$31+'Inputs'!$B$32,'Inputs'!$B$30+'Inputs'!$B$31+'Inputs'!$B$32)/1000+'Inputs'!$B$21))^2+('Inputs'!$B$6/2)^2)))-'Results'!C7*(1+'Inputs'!$B$24)*(0.5*((((726-43)*MAX('Inputs'!$B$33,'Inputs'!$B$29+'Inputs'!$B$31+'Inputs'!$B$32,'Inputs'!$B$30+'Inputs'!$B$31+'Inputs'!$B$32)/1000+'Inputs'!$B$21+'Inputs'!$B$7+'Inputs'!$B$10)+'Inputs'!$B$9)/SQRT((((726-43)*MAX('Inputs'!$B$33,'Inputs'!$B$29+'Inputs'!$B$31+'Inputs'!$B$32,'Inputs'!$B$30+'Inputs'!$B$31+'Inputs'!$B$32)/1000+'Inputs'!$B$21+'Inputs'!$B$7+'Inputs'!$B$10)+'Inputs'!$B$9)^2+('Inputs'!$B$8/2)^2)-(((726-43)*MAX('Inputs'!$B$33,'Inputs'!$B$29+'Inputs'!$B$31+'Inputs'!$B$32,'Inputs'!$B$30+'Inputs'!$B$31+'Inputs'!$B$32)/1000+'Inputs'!$B$21+'Inputs'!$B$7+'Inputs'!$B$10))/SQRT((((726-43)*MAX('Inputs'!$B$33,'Inputs'!$B$29+'Inputs'!$B$31+'Inputs'!$B$32,'Inputs'!$B$30+'Inputs'!$B$31+'Inputs'!$B$32)/1000+'Inputs'!$B$21+'Inputs'!$B$7+'Inputs'!$B$10))^2+('Inputs'!$B$8/2)^2))))*'Results'!$B$8))),"")</x:f>
        <x:v>1.2234822362573659</x:v>
      </x:c>
      <x:c r="L726" t="n">
        <x:f>IF(AND(ISNUMBER('Results'!B7),ISNUMBER('Results'!C7),ISNUMBER('Results'!$B$8),ISNUMBER('Inputs'!$B$6),ISNUMBER('Inputs'!$B$7),ISNUMBER('Inputs'!$B$8),ISNUMBER('Inputs'!$B$9),ISNUMBER('Inputs'!$B$10),ISNUMBER('Inputs'!$B$21),ISNUMBER('Inputs'!$B$24),ISNUMBER('Inputs'!$B$28)),((('Results'!B7*(1+'Inputs'!$B$24)*(0.5*((((726-43)*MAX('Inputs'!$B$33,'Inputs'!$B$29+'Inputs'!$B$31+'Inputs'!$B$32,'Inputs'!$B$30+'Inputs'!$B$31+'Inputs'!$B$32)/1000+'Inputs'!$B$21)+'Inputs'!$B$7)/SQRT((((726-43)*MAX('Inputs'!$B$33,'Inputs'!$B$29+'Inputs'!$B$31+'Inputs'!$B$32,'Inputs'!$B$30+'Inputs'!$B$31+'Inputs'!$B$32)/1000+'Inputs'!$B$21)+'Inputs'!$B$7)^2+('Inputs'!$B$6/2)^2)-(((726-43)*MAX('Inputs'!$B$33,'Inputs'!$B$29+'Inputs'!$B$31+'Inputs'!$B$32,'Inputs'!$B$30+'Inputs'!$B$31+'Inputs'!$B$32)/1000+'Inputs'!$B$21))/SQRT((((726-43)*MAX('Inputs'!$B$33,'Inputs'!$B$29+'Inputs'!$B$31+'Inputs'!$B$32,'Inputs'!$B$30+'Inputs'!$B$31+'Inputs'!$B$32)/1000+'Inputs'!$B$21))^2+('Inputs'!$B$6/2)^2)))-'Results'!C7*(1-'Inputs'!$B$24)*(0.5*((((726-43)*MAX('Inputs'!$B$33,'Inputs'!$B$29+'Inputs'!$B$31+'Inputs'!$B$32,'Inputs'!$B$30+'Inputs'!$B$31+'Inputs'!$B$32)/1000+'Inputs'!$B$21+'Inputs'!$B$7+'Inputs'!$B$10)+'Inputs'!$B$9)/SQRT((((726-43)*MAX('Inputs'!$B$33,'Inputs'!$B$29+'Inputs'!$B$31+'Inputs'!$B$32,'Inputs'!$B$30+'Inputs'!$B$31+'Inputs'!$B$32)/1000+'Inputs'!$B$21+'Inputs'!$B$7+'Inputs'!$B$10)+'Inputs'!$B$9)^2+('Inputs'!$B$8/2)^2)-(((726-43)*MAX('Inputs'!$B$33,'Inputs'!$B$29+'Inputs'!$B$31+'Inputs'!$B$32,'Inputs'!$B$30+'Inputs'!$B$31+'Inputs'!$B$32)/1000+'Inputs'!$B$21+'Inputs'!$B$7+'Inputs'!$B$10))/SQRT((((726-43)*MAX('Inputs'!$B$33,'Inputs'!$B$29+'Inputs'!$B$31+'Inputs'!$B$32,'Inputs'!$B$30+'Inputs'!$B$31+'Inputs'!$B$32)/1000+'Inputs'!$B$21+'Inputs'!$B$7+'Inputs'!$B$10))^2+('Inputs'!$B$8/2)^2))))*'Results'!$B$8)+'Inputs'!$B$28*ABS((('Results'!B7*(1+'Inputs'!$B$24)*(0.5*((((726-43)*MAX('Inputs'!$B$33,'Inputs'!$B$29+'Inputs'!$B$31+'Inputs'!$B$32,'Inputs'!$B$30+'Inputs'!$B$31+'Inputs'!$B$32)/1000+'Inputs'!$B$21)+'Inputs'!$B$7)/SQRT((((726-43)*MAX('Inputs'!$B$33,'Inputs'!$B$29+'Inputs'!$B$31+'Inputs'!$B$32,'Inputs'!$B$30+'Inputs'!$B$31+'Inputs'!$B$32)/1000+'Inputs'!$B$21)+'Inputs'!$B$7)^2+('Inputs'!$B$6/2)^2)-(((726-43)*MAX('Inputs'!$B$33,'Inputs'!$B$29+'Inputs'!$B$31+'Inputs'!$B$32,'Inputs'!$B$30+'Inputs'!$B$31+'Inputs'!$B$32)/1000+'Inputs'!$B$21))/SQRT((((726-43)*MAX('Inputs'!$B$33,'Inputs'!$B$29+'Inputs'!$B$31+'Inputs'!$B$32,'Inputs'!$B$30+'Inputs'!$B$31+'Inputs'!$B$32)/1000+'Inputs'!$B$21))^2+('Inputs'!$B$6/2)^2)))-'Results'!C7*(1-'Inputs'!$B$24)*(0.5*((((726-43)*MAX('Inputs'!$B$33,'Inputs'!$B$29+'Inputs'!$B$31+'Inputs'!$B$32,'Inputs'!$B$30+'Inputs'!$B$31+'Inputs'!$B$32)/1000+'Inputs'!$B$21+'Inputs'!$B$7+'Inputs'!$B$10)+'Inputs'!$B$9)/SQRT((((726-43)*MAX('Inputs'!$B$33,'Inputs'!$B$29+'Inputs'!$B$31+'Inputs'!$B$32,'Inputs'!$B$30+'Inputs'!$B$31+'Inputs'!$B$32)/1000+'Inputs'!$B$21+'Inputs'!$B$7+'Inputs'!$B$10)+'Inputs'!$B$9)^2+('Inputs'!$B$8/2)^2)-(((726-43)*MAX('Inputs'!$B$33,'Inputs'!$B$29+'Inputs'!$B$31+'Inputs'!$B$32,'Inputs'!$B$30+'Inputs'!$B$31+'Inputs'!$B$32)/1000+'Inputs'!$B$21+'Inputs'!$B$7+'Inputs'!$B$10))/SQRT((((726-43)*MAX('Inputs'!$B$33,'Inputs'!$B$29+'Inputs'!$B$31+'Inputs'!$B$32,'Inputs'!$B$30+'Inputs'!$B$31+'Inputs'!$B$32)/1000+'Inputs'!$B$21+'Inputs'!$B$7+'Inputs'!$B$10))^2+('Inputs'!$B$8/2)^2))))*'Results'!$B$8))),"")</x:f>
        <x:v>1.6094119878658273</x:v>
      </x:c>
      <x:c r="M726" t="n">
        <x:f>IF(AND(ISNUMBER('Results'!C7),ISNUMBER('Results'!B7),ISNUMBER('Results'!$B$8),ISNUMBER('Inputs'!$B$6),ISNUMBER('Inputs'!$B$7),ISNUMBER('Inputs'!$B$8),ISNUMBER('Inputs'!$B$9),ISNUMBER('Inputs'!$B$10),ISNUMBER('Inputs'!$B$21),ISNUMBER('Inputs'!$B$24),ISNUMBER('Inputs'!$B$28)),(('Results'!C7*(0.5*((((726-43)*MAX('Inputs'!$B$33,'Inputs'!$B$29+'Inputs'!$B$31+'Inputs'!$B$32,'Inputs'!$B$30+'Inputs'!$B$31+'Inputs'!$B$32)/1000+'Inputs'!$B$21)+'Inputs'!$B$9)/SQRT((((726-43)*MAX('Inputs'!$B$33,'Inputs'!$B$29+'Inputs'!$B$31+'Inputs'!$B$32,'Inputs'!$B$30+'Inputs'!$B$31+'Inputs'!$B$32)/1000+'Inputs'!$B$21)+'Inputs'!$B$9)^2+('Inputs'!$B$8/2)^2)-(((726-43)*MAX('Inputs'!$B$33,'Inputs'!$B$29+'Inputs'!$B$31+'Inputs'!$B$32,'Inputs'!$B$30+'Inputs'!$B$31+'Inputs'!$B$32)/1000+'Inputs'!$B$21))/SQRT((((726-43)*MAX('Inputs'!$B$33,'Inputs'!$B$29+'Inputs'!$B$31+'Inputs'!$B$32,'Inputs'!$B$30+'Inputs'!$B$31+'Inputs'!$B$32)/1000+'Inputs'!$B$21))^2+('Inputs'!$B$8/2)^2)))-'Results'!B7*(0.5*((((726-43)*MAX('Inputs'!$B$33,'Inputs'!$B$29+'Inputs'!$B$31+'Inputs'!$B$32,'Inputs'!$B$30+'Inputs'!$B$31+'Inputs'!$B$32)/1000+'Inputs'!$B$21+'Inputs'!$B$9+'Inputs'!$B$10)+'Inputs'!$B$7)/SQRT((((726-43)*MAX('Inputs'!$B$33,'Inputs'!$B$29+'Inputs'!$B$31+'Inputs'!$B$32,'Inputs'!$B$30+'Inputs'!$B$31+'Inputs'!$B$32)/1000+'Inputs'!$B$21+'Inputs'!$B$9+'Inputs'!$B$10)+'Inputs'!$B$7)^2+('Inputs'!$B$6/2)^2)-(((726-43)*MAX('Inputs'!$B$33,'Inputs'!$B$29+'Inputs'!$B$31+'Inputs'!$B$32,'Inputs'!$B$30+'Inputs'!$B$31+'Inputs'!$B$32)/1000+'Inputs'!$B$21+'Inputs'!$B$9+'Inputs'!$B$10))/SQRT((((726-43)*MAX('Inputs'!$B$33,'Inputs'!$B$29+'Inputs'!$B$31+'Inputs'!$B$32,'Inputs'!$B$30+'Inputs'!$B$31+'Inputs'!$B$32)/1000+'Inputs'!$B$21+'Inputs'!$B$9+'Inputs'!$B$10))^2+('Inputs'!$B$6/2)^2))))*'Results'!$B$8),"")</x:f>
        <x:v>1.2869143835921153</x:v>
      </x:c>
      <x:c r="N726" t="n">
        <x:f>IF(AND(ISNUMBER('Results'!C7),ISNUMBER('Results'!B7),ISNUMBER('Results'!$B$8),ISNUMBER('Inputs'!$B$6),ISNUMBER('Inputs'!$B$7),ISNUMBER('Inputs'!$B$8),ISNUMBER('Inputs'!$B$9),ISNUMBER('Inputs'!$B$10),ISNUMBER('Inputs'!$B$21),ISNUMBER('Inputs'!$B$24),ISNUMBER('Inputs'!$B$28)),((('Results'!C7*(1-'Inputs'!$B$24)*(0.5*((((726-43)*MAX('Inputs'!$B$33,'Inputs'!$B$29+'Inputs'!$B$31+'Inputs'!$B$32,'Inputs'!$B$30+'Inputs'!$B$31+'Inputs'!$B$32)/1000+'Inputs'!$B$21)+'Inputs'!$B$9)/SQRT((((726-43)*MAX('Inputs'!$B$33,'Inputs'!$B$29+'Inputs'!$B$31+'Inputs'!$B$32,'Inputs'!$B$30+'Inputs'!$B$31+'Inputs'!$B$32)/1000+'Inputs'!$B$21)+'Inputs'!$B$9)^2+('Inputs'!$B$8/2)^2)-(((726-43)*MAX('Inputs'!$B$33,'Inputs'!$B$29+'Inputs'!$B$31+'Inputs'!$B$32,'Inputs'!$B$30+'Inputs'!$B$31+'Inputs'!$B$32)/1000+'Inputs'!$B$21))/SQRT((((726-43)*MAX('Inputs'!$B$33,'Inputs'!$B$29+'Inputs'!$B$31+'Inputs'!$B$32,'Inputs'!$B$30+'Inputs'!$B$31+'Inputs'!$B$32)/1000+'Inputs'!$B$21))^2+('Inputs'!$B$8/2)^2)))-'Results'!B7*(1+'Inputs'!$B$24)*(0.5*((((726-43)*MAX('Inputs'!$B$33,'Inputs'!$B$29+'Inputs'!$B$31+'Inputs'!$B$32,'Inputs'!$B$30+'Inputs'!$B$31+'Inputs'!$B$32)/1000+'Inputs'!$B$21+'Inputs'!$B$9+'Inputs'!$B$10)+'Inputs'!$B$7)/SQRT((((726-43)*MAX('Inputs'!$B$33,'Inputs'!$B$29+'Inputs'!$B$31+'Inputs'!$B$32,'Inputs'!$B$30+'Inputs'!$B$31+'Inputs'!$B$32)/1000+'Inputs'!$B$21+'Inputs'!$B$9+'Inputs'!$B$10)+'Inputs'!$B$7)^2+('Inputs'!$B$6/2)^2)-(((726-43)*MAX('Inputs'!$B$33,'Inputs'!$B$29+'Inputs'!$B$31+'Inputs'!$B$32,'Inputs'!$B$30+'Inputs'!$B$31+'Inputs'!$B$32)/1000+'Inputs'!$B$21+'Inputs'!$B$9+'Inputs'!$B$10))/SQRT((((726-43)*MAX('Inputs'!$B$33,'Inputs'!$B$29+'Inputs'!$B$31+'Inputs'!$B$32,'Inputs'!$B$30+'Inputs'!$B$31+'Inputs'!$B$32)/1000+'Inputs'!$B$21+'Inputs'!$B$9+'Inputs'!$B$10))^2+('Inputs'!$B$6/2)^2))))*'Results'!$B$8)-'Inputs'!$B$28*ABS((('Results'!C7*(1-'Inputs'!$B$24)*(0.5*((((726-43)*MAX('Inputs'!$B$33,'Inputs'!$B$29+'Inputs'!$B$31+'Inputs'!$B$32,'Inputs'!$B$30+'Inputs'!$B$31+'Inputs'!$B$32)/1000+'Inputs'!$B$21)+'Inputs'!$B$9)/SQRT((((726-43)*MAX('Inputs'!$B$33,'Inputs'!$B$29+'Inputs'!$B$31+'Inputs'!$B$32,'Inputs'!$B$30+'Inputs'!$B$31+'Inputs'!$B$32)/1000+'Inputs'!$B$21)+'Inputs'!$B$9)^2+('Inputs'!$B$8/2)^2)-(((726-43)*MAX('Inputs'!$B$33,'Inputs'!$B$29+'Inputs'!$B$31+'Inputs'!$B$32,'Inputs'!$B$30+'Inputs'!$B$31+'Inputs'!$B$32)/1000+'Inputs'!$B$21))/SQRT((((726-43)*MAX('Inputs'!$B$33,'Inputs'!$B$29+'Inputs'!$B$31+'Inputs'!$B$32,'Inputs'!$B$30+'Inputs'!$B$31+'Inputs'!$B$32)/1000+'Inputs'!$B$21))^2+('Inputs'!$B$8/2)^2)))-'Results'!B7*(1+'Inputs'!$B$24)*(0.5*((((726-43)*MAX('Inputs'!$B$33,'Inputs'!$B$29+'Inputs'!$B$31+'Inputs'!$B$32,'Inputs'!$B$30+'Inputs'!$B$31+'Inputs'!$B$32)/1000+'Inputs'!$B$21+'Inputs'!$B$9+'Inputs'!$B$10)+'Inputs'!$B$7)/SQRT((((726-43)*MAX('Inputs'!$B$33,'Inputs'!$B$29+'Inputs'!$B$31+'Inputs'!$B$32,'Inputs'!$B$30+'Inputs'!$B$31+'Inputs'!$B$32)/1000+'Inputs'!$B$21+'Inputs'!$B$9+'Inputs'!$B$10)+'Inputs'!$B$7)^2+('Inputs'!$B$6/2)^2)-(((726-43)*MAX('Inputs'!$B$33,'Inputs'!$B$29+'Inputs'!$B$31+'Inputs'!$B$32,'Inputs'!$B$30+'Inputs'!$B$31+'Inputs'!$B$32)/1000+'Inputs'!$B$21+'Inputs'!$B$9+'Inputs'!$B$10))/SQRT((((726-43)*MAX('Inputs'!$B$33,'Inputs'!$B$29+'Inputs'!$B$31+'Inputs'!$B$32,'Inputs'!$B$30+'Inputs'!$B$31+'Inputs'!$B$32)/1000+'Inputs'!$B$21+'Inputs'!$B$9+'Inputs'!$B$10))^2+('Inputs'!$B$6/2)^2))))*'Results'!$B$8))),"")</x:f>
        <x:v>1.1067601066386197</x:v>
      </x:c>
      <x:c r="O726" t="n">
        <x:f>IF(AND(ISNUMBER('Results'!C7),ISNUMBER('Results'!B7),ISNUMBER('Results'!$B$8),ISNUMBER('Inputs'!$B$6),ISNUMBER('Inputs'!$B$7),ISNUMBER('Inputs'!$B$8),ISNUMBER('Inputs'!$B$9),ISNUMBER('Inputs'!$B$10),ISNUMBER('Inputs'!$B$21),ISNUMBER('Inputs'!$B$24),ISNUMBER('Inputs'!$B$28)),((('Results'!C7*(1+'Inputs'!$B$24)*(0.5*((((726-43)*MAX('Inputs'!$B$33,'Inputs'!$B$29+'Inputs'!$B$31+'Inputs'!$B$32,'Inputs'!$B$30+'Inputs'!$B$31+'Inputs'!$B$32)/1000+'Inputs'!$B$21)+'Inputs'!$B$9)/SQRT((((726-43)*MAX('Inputs'!$B$33,'Inputs'!$B$29+'Inputs'!$B$31+'Inputs'!$B$32,'Inputs'!$B$30+'Inputs'!$B$31+'Inputs'!$B$32)/1000+'Inputs'!$B$21)+'Inputs'!$B$9)^2+('Inputs'!$B$8/2)^2)-(((726-43)*MAX('Inputs'!$B$33,'Inputs'!$B$29+'Inputs'!$B$31+'Inputs'!$B$32,'Inputs'!$B$30+'Inputs'!$B$31+'Inputs'!$B$32)/1000+'Inputs'!$B$21))/SQRT((((726-43)*MAX('Inputs'!$B$33,'Inputs'!$B$29+'Inputs'!$B$31+'Inputs'!$B$32,'Inputs'!$B$30+'Inputs'!$B$31+'Inputs'!$B$32)/1000+'Inputs'!$B$21))^2+('Inputs'!$B$8/2)^2)))-'Results'!B7*(1-'Inputs'!$B$24)*(0.5*((((726-43)*MAX('Inputs'!$B$33,'Inputs'!$B$29+'Inputs'!$B$31+'Inputs'!$B$32,'Inputs'!$B$30+'Inputs'!$B$31+'Inputs'!$B$32)/1000+'Inputs'!$B$21+'Inputs'!$B$9+'Inputs'!$B$10)+'Inputs'!$B$7)/SQRT((((726-43)*MAX('Inputs'!$B$33,'Inputs'!$B$29+'Inputs'!$B$31+'Inputs'!$B$32,'Inputs'!$B$30+'Inputs'!$B$31+'Inputs'!$B$32)/1000+'Inputs'!$B$21+'Inputs'!$B$9+'Inputs'!$B$10)+'Inputs'!$B$7)^2+('Inputs'!$B$6/2)^2)-(((726-43)*MAX('Inputs'!$B$33,'Inputs'!$B$29+'Inputs'!$B$31+'Inputs'!$B$32,'Inputs'!$B$30+'Inputs'!$B$31+'Inputs'!$B$32)/1000+'Inputs'!$B$21+'Inputs'!$B$9+'Inputs'!$B$10))/SQRT((((726-43)*MAX('Inputs'!$B$33,'Inputs'!$B$29+'Inputs'!$B$31+'Inputs'!$B$32,'Inputs'!$B$30+'Inputs'!$B$31+'Inputs'!$B$32)/1000+'Inputs'!$B$21+'Inputs'!$B$9+'Inputs'!$B$10))^2+('Inputs'!$B$6/2)^2))))*'Results'!$B$8)+'Inputs'!$B$28*ABS((('Results'!C7*(1+'Inputs'!$B$24)*(0.5*((((726-43)*MAX('Inputs'!$B$33,'Inputs'!$B$29+'Inputs'!$B$31+'Inputs'!$B$32,'Inputs'!$B$30+'Inputs'!$B$31+'Inputs'!$B$32)/1000+'Inputs'!$B$21)+'Inputs'!$B$9)/SQRT((((726-43)*MAX('Inputs'!$B$33,'Inputs'!$B$29+'Inputs'!$B$31+'Inputs'!$B$32,'Inputs'!$B$30+'Inputs'!$B$31+'Inputs'!$B$32)/1000+'Inputs'!$B$21)+'Inputs'!$B$9)^2+('Inputs'!$B$8/2)^2)-(((726-43)*MAX('Inputs'!$B$33,'Inputs'!$B$29+'Inputs'!$B$31+'Inputs'!$B$32,'Inputs'!$B$30+'Inputs'!$B$31+'Inputs'!$B$32)/1000+'Inputs'!$B$21))/SQRT((((726-43)*MAX('Inputs'!$B$33,'Inputs'!$B$29+'Inputs'!$B$31+'Inputs'!$B$32,'Inputs'!$B$30+'Inputs'!$B$31+'Inputs'!$B$32)/1000+'Inputs'!$B$21))^2+('Inputs'!$B$8/2)^2)))-'Results'!B7*(1-'Inputs'!$B$24)*(0.5*((((726-43)*MAX('Inputs'!$B$33,'Inputs'!$B$29+'Inputs'!$B$31+'Inputs'!$B$32,'Inputs'!$B$30+'Inputs'!$B$31+'Inputs'!$B$32)/1000+'Inputs'!$B$21+'Inputs'!$B$9+'Inputs'!$B$10)+'Inputs'!$B$7)/SQRT((((726-43)*MAX('Inputs'!$B$33,'Inputs'!$B$29+'Inputs'!$B$31+'Inputs'!$B$32,'Inputs'!$B$30+'Inputs'!$B$31+'Inputs'!$B$32)/1000+'Inputs'!$B$21+'Inputs'!$B$9+'Inputs'!$B$10)+'Inputs'!$B$7)^2+('Inputs'!$B$6/2)^2)-(((726-43)*MAX('Inputs'!$B$33,'Inputs'!$B$29+'Inputs'!$B$31+'Inputs'!$B$32,'Inputs'!$B$30+'Inputs'!$B$31+'Inputs'!$B$32)/1000+'Inputs'!$B$21+'Inputs'!$B$9+'Inputs'!$B$10))/SQRT((((726-43)*MAX('Inputs'!$B$33,'Inputs'!$B$29+'Inputs'!$B$31+'Inputs'!$B$32,'Inputs'!$B$30+'Inputs'!$B$31+'Inputs'!$B$32)/1000+'Inputs'!$B$21+'Inputs'!$B$9+'Inputs'!$B$10))^2+('Inputs'!$B$6/2)^2))))*'Results'!$B$8))),"")</x:f>
        <x:v>1.4792590350481256</x:v>
      </x:c>
      <x:c r="P726" t="n">
        <x:f>IF(AND(MAX(J726,J725)&gt;0,J726&gt;J725+0.00000001),1,0)</x:f>
        <x:v>0</x:v>
      </x:c>
      <x:c r="Q726" t="n">
        <x:f>IF(AND(MAX(K726,K725)&gt;0,K726&gt;K725+0.00000001),1,0)</x:f>
        <x:v>0</x:v>
      </x:c>
      <x:c r="R726" t="n">
        <x:f>IF(AND(MAX(L726,L725)&gt;0,L726&gt;L725+0.00000001),1,0)</x:f>
        <x:v>0</x:v>
      </x:c>
      <x:c r="S726" t="n">
        <x:f>IF(AND(MAX(M726,M725)&gt;0,M726&gt;M725+0.00000001),1,0)</x:f>
        <x:v>0</x:v>
      </x:c>
      <x:c r="T726" t="n">
        <x:f>IF(AND(MAX(N726,N725)&gt;0,N726&gt;N725+0.00000001),1,0)</x:f>
        <x:v>0</x:v>
      </x:c>
      <x:c r="U726" t="n">
        <x:f>IF(AND(MAX(O726,O725)&gt;0,O726&gt;O725+0.00000001),1,0)</x:f>
        <x:v>0</x:v>
      </x:c>
    </x:row>
    <x:row r="727">
      <x:c r="J727" t="n">
        <x:f>IF(AND(ISNUMBER('Results'!B7),ISNUMBER('Results'!C7),ISNUMBER('Results'!$B$8),ISNUMBER('Inputs'!$B$6),ISNUMBER('Inputs'!$B$7),ISNUMBER('Inputs'!$B$8),ISNUMBER('Inputs'!$B$9),ISNUMBER('Inputs'!$B$10),ISNUMBER('Inputs'!$B$21),ISNUMBER('Inputs'!$B$24),ISNUMBER('Inputs'!$B$28)),(('Results'!B7*(0.5*((((727-43)*MAX('Inputs'!$B$33,'Inputs'!$B$29+'Inputs'!$B$31+'Inputs'!$B$32,'Inputs'!$B$30+'Inputs'!$B$31+'Inputs'!$B$32)/1000+'Inputs'!$B$21)+'Inputs'!$B$7)/SQRT((((727-43)*MAX('Inputs'!$B$33,'Inputs'!$B$29+'Inputs'!$B$31+'Inputs'!$B$32,'Inputs'!$B$30+'Inputs'!$B$31+'Inputs'!$B$32)/1000+'Inputs'!$B$21)+'Inputs'!$B$7)^2+('Inputs'!$B$6/2)^2)-(((727-43)*MAX('Inputs'!$B$33,'Inputs'!$B$29+'Inputs'!$B$31+'Inputs'!$B$32,'Inputs'!$B$30+'Inputs'!$B$31+'Inputs'!$B$32)/1000+'Inputs'!$B$21))/SQRT((((727-43)*MAX('Inputs'!$B$33,'Inputs'!$B$29+'Inputs'!$B$31+'Inputs'!$B$32,'Inputs'!$B$30+'Inputs'!$B$31+'Inputs'!$B$32)/1000+'Inputs'!$B$21))^2+('Inputs'!$B$6/2)^2)))-'Results'!C7*(0.5*((((727-43)*MAX('Inputs'!$B$33,'Inputs'!$B$29+'Inputs'!$B$31+'Inputs'!$B$32,'Inputs'!$B$30+'Inputs'!$B$31+'Inputs'!$B$32)/1000+'Inputs'!$B$21+'Inputs'!$B$7+'Inputs'!$B$10)+'Inputs'!$B$9)/SQRT((((727-43)*MAX('Inputs'!$B$33,'Inputs'!$B$29+'Inputs'!$B$31+'Inputs'!$B$32,'Inputs'!$B$30+'Inputs'!$B$31+'Inputs'!$B$32)/1000+'Inputs'!$B$21+'Inputs'!$B$7+'Inputs'!$B$10)+'Inputs'!$B$9)^2+('Inputs'!$B$8/2)^2)-(((727-43)*MAX('Inputs'!$B$33,'Inputs'!$B$29+'Inputs'!$B$31+'Inputs'!$B$32,'Inputs'!$B$30+'Inputs'!$B$31+'Inputs'!$B$32)/1000+'Inputs'!$B$21+'Inputs'!$B$7+'Inputs'!$B$10))/SQRT((((727-43)*MAX('Inputs'!$B$33,'Inputs'!$B$29+'Inputs'!$B$31+'Inputs'!$B$32,'Inputs'!$B$30+'Inputs'!$B$31+'Inputs'!$B$32)/1000+'Inputs'!$B$21+'Inputs'!$B$7+'Inputs'!$B$10))^2+('Inputs'!$B$8/2)^2))))*'Results'!$B$8),"")</x:f>
        <x:v>1.4030299455459314</x:v>
      </x:c>
      <x:c r="K727" t="n">
        <x:f>IF(AND(ISNUMBER('Results'!B7),ISNUMBER('Results'!C7),ISNUMBER('Results'!$B$8),ISNUMBER('Inputs'!$B$6),ISNUMBER('Inputs'!$B$7),ISNUMBER('Inputs'!$B$8),ISNUMBER('Inputs'!$B$9),ISNUMBER('Inputs'!$B$10),ISNUMBER('Inputs'!$B$21),ISNUMBER('Inputs'!$B$24),ISNUMBER('Inputs'!$B$28)),((('Results'!B7*(1-'Inputs'!$B$24)*(0.5*((((727-43)*MAX('Inputs'!$B$33,'Inputs'!$B$29+'Inputs'!$B$31+'Inputs'!$B$32,'Inputs'!$B$30+'Inputs'!$B$31+'Inputs'!$B$32)/1000+'Inputs'!$B$21)+'Inputs'!$B$7)/SQRT((((727-43)*MAX('Inputs'!$B$33,'Inputs'!$B$29+'Inputs'!$B$31+'Inputs'!$B$32,'Inputs'!$B$30+'Inputs'!$B$31+'Inputs'!$B$32)/1000+'Inputs'!$B$21)+'Inputs'!$B$7)^2+('Inputs'!$B$6/2)^2)-(((727-43)*MAX('Inputs'!$B$33,'Inputs'!$B$29+'Inputs'!$B$31+'Inputs'!$B$32,'Inputs'!$B$30+'Inputs'!$B$31+'Inputs'!$B$32)/1000+'Inputs'!$B$21))/SQRT((((727-43)*MAX('Inputs'!$B$33,'Inputs'!$B$29+'Inputs'!$B$31+'Inputs'!$B$32,'Inputs'!$B$30+'Inputs'!$B$31+'Inputs'!$B$32)/1000+'Inputs'!$B$21))^2+('Inputs'!$B$6/2)^2)))-'Results'!C7*(1+'Inputs'!$B$24)*(0.5*((((727-43)*MAX('Inputs'!$B$33,'Inputs'!$B$29+'Inputs'!$B$31+'Inputs'!$B$32,'Inputs'!$B$30+'Inputs'!$B$31+'Inputs'!$B$32)/1000+'Inputs'!$B$21+'Inputs'!$B$7+'Inputs'!$B$10)+'Inputs'!$B$9)/SQRT((((727-43)*MAX('Inputs'!$B$33,'Inputs'!$B$29+'Inputs'!$B$31+'Inputs'!$B$32,'Inputs'!$B$30+'Inputs'!$B$31+'Inputs'!$B$32)/1000+'Inputs'!$B$21+'Inputs'!$B$7+'Inputs'!$B$10)+'Inputs'!$B$9)^2+('Inputs'!$B$8/2)^2)-(((727-43)*MAX('Inputs'!$B$33,'Inputs'!$B$29+'Inputs'!$B$31+'Inputs'!$B$32,'Inputs'!$B$30+'Inputs'!$B$31+'Inputs'!$B$32)/1000+'Inputs'!$B$21+'Inputs'!$B$7+'Inputs'!$B$10))/SQRT((((727-43)*MAX('Inputs'!$B$33,'Inputs'!$B$29+'Inputs'!$B$31+'Inputs'!$B$32,'Inputs'!$B$30+'Inputs'!$B$31+'Inputs'!$B$32)/1000+'Inputs'!$B$21+'Inputs'!$B$7+'Inputs'!$B$10))^2+('Inputs'!$B$8/2)^2))))*'Results'!$B$8)-'Inputs'!$B$28*ABS((('Results'!B7*(1-'Inputs'!$B$24)*(0.5*((((727-43)*MAX('Inputs'!$B$33,'Inputs'!$B$29+'Inputs'!$B$31+'Inputs'!$B$32,'Inputs'!$B$30+'Inputs'!$B$31+'Inputs'!$B$32)/1000+'Inputs'!$B$21)+'Inputs'!$B$7)/SQRT((((727-43)*MAX('Inputs'!$B$33,'Inputs'!$B$29+'Inputs'!$B$31+'Inputs'!$B$32,'Inputs'!$B$30+'Inputs'!$B$31+'Inputs'!$B$32)/1000+'Inputs'!$B$21)+'Inputs'!$B$7)^2+('Inputs'!$B$6/2)^2)-(((727-43)*MAX('Inputs'!$B$33,'Inputs'!$B$29+'Inputs'!$B$31+'Inputs'!$B$32,'Inputs'!$B$30+'Inputs'!$B$31+'Inputs'!$B$32)/1000+'Inputs'!$B$21))/SQRT((((727-43)*MAX('Inputs'!$B$33,'Inputs'!$B$29+'Inputs'!$B$31+'Inputs'!$B$32,'Inputs'!$B$30+'Inputs'!$B$31+'Inputs'!$B$32)/1000+'Inputs'!$B$21))^2+('Inputs'!$B$6/2)^2)))-'Results'!C7*(1+'Inputs'!$B$24)*(0.5*((((727-43)*MAX('Inputs'!$B$33,'Inputs'!$B$29+'Inputs'!$B$31+'Inputs'!$B$32,'Inputs'!$B$30+'Inputs'!$B$31+'Inputs'!$B$32)/1000+'Inputs'!$B$21+'Inputs'!$B$7+'Inputs'!$B$10)+'Inputs'!$B$9)/SQRT((((727-43)*MAX('Inputs'!$B$33,'Inputs'!$B$29+'Inputs'!$B$31+'Inputs'!$B$32,'Inputs'!$B$30+'Inputs'!$B$31+'Inputs'!$B$32)/1000+'Inputs'!$B$21+'Inputs'!$B$7+'Inputs'!$B$10)+'Inputs'!$B$9)^2+('Inputs'!$B$8/2)^2)-(((727-43)*MAX('Inputs'!$B$33,'Inputs'!$B$29+'Inputs'!$B$31+'Inputs'!$B$32,'Inputs'!$B$30+'Inputs'!$B$31+'Inputs'!$B$32)/1000+'Inputs'!$B$21+'Inputs'!$B$7+'Inputs'!$B$10))/SQRT((((727-43)*MAX('Inputs'!$B$33,'Inputs'!$B$29+'Inputs'!$B$31+'Inputs'!$B$32,'Inputs'!$B$30+'Inputs'!$B$31+'Inputs'!$B$32)/1000+'Inputs'!$B$21+'Inputs'!$B$7+'Inputs'!$B$10))^2+('Inputs'!$B$8/2)^2))))*'Results'!$B$8))),"")</x:f>
        <x:v>1.2170157692767247</x:v>
      </x:c>
      <x:c r="L727" t="n">
        <x:f>IF(AND(ISNUMBER('Results'!B7),ISNUMBER('Results'!C7),ISNUMBER('Results'!$B$8),ISNUMBER('Inputs'!$B$6),ISNUMBER('Inputs'!$B$7),ISNUMBER('Inputs'!$B$8),ISNUMBER('Inputs'!$B$9),ISNUMBER('Inputs'!$B$10),ISNUMBER('Inputs'!$B$21),ISNUMBER('Inputs'!$B$24),ISNUMBER('Inputs'!$B$28)),((('Results'!B7*(1+'Inputs'!$B$24)*(0.5*((((727-43)*MAX('Inputs'!$B$33,'Inputs'!$B$29+'Inputs'!$B$31+'Inputs'!$B$32,'Inputs'!$B$30+'Inputs'!$B$31+'Inputs'!$B$32)/1000+'Inputs'!$B$21)+'Inputs'!$B$7)/SQRT((((727-43)*MAX('Inputs'!$B$33,'Inputs'!$B$29+'Inputs'!$B$31+'Inputs'!$B$32,'Inputs'!$B$30+'Inputs'!$B$31+'Inputs'!$B$32)/1000+'Inputs'!$B$21)+'Inputs'!$B$7)^2+('Inputs'!$B$6/2)^2)-(((727-43)*MAX('Inputs'!$B$33,'Inputs'!$B$29+'Inputs'!$B$31+'Inputs'!$B$32,'Inputs'!$B$30+'Inputs'!$B$31+'Inputs'!$B$32)/1000+'Inputs'!$B$21))/SQRT((((727-43)*MAX('Inputs'!$B$33,'Inputs'!$B$29+'Inputs'!$B$31+'Inputs'!$B$32,'Inputs'!$B$30+'Inputs'!$B$31+'Inputs'!$B$32)/1000+'Inputs'!$B$21))^2+('Inputs'!$B$6/2)^2)))-'Results'!C7*(1-'Inputs'!$B$24)*(0.5*((((727-43)*MAX('Inputs'!$B$33,'Inputs'!$B$29+'Inputs'!$B$31+'Inputs'!$B$32,'Inputs'!$B$30+'Inputs'!$B$31+'Inputs'!$B$32)/1000+'Inputs'!$B$21+'Inputs'!$B$7+'Inputs'!$B$10)+'Inputs'!$B$9)/SQRT((((727-43)*MAX('Inputs'!$B$33,'Inputs'!$B$29+'Inputs'!$B$31+'Inputs'!$B$32,'Inputs'!$B$30+'Inputs'!$B$31+'Inputs'!$B$32)/1000+'Inputs'!$B$21+'Inputs'!$B$7+'Inputs'!$B$10)+'Inputs'!$B$9)^2+('Inputs'!$B$8/2)^2)-(((727-43)*MAX('Inputs'!$B$33,'Inputs'!$B$29+'Inputs'!$B$31+'Inputs'!$B$32,'Inputs'!$B$30+'Inputs'!$B$31+'Inputs'!$B$32)/1000+'Inputs'!$B$21+'Inputs'!$B$7+'Inputs'!$B$10))/SQRT((((727-43)*MAX('Inputs'!$B$33,'Inputs'!$B$29+'Inputs'!$B$31+'Inputs'!$B$32,'Inputs'!$B$30+'Inputs'!$B$31+'Inputs'!$B$32)/1000+'Inputs'!$B$21+'Inputs'!$B$7+'Inputs'!$B$10))^2+('Inputs'!$B$8/2)^2))))*'Results'!$B$8)+'Inputs'!$B$28*ABS((('Results'!B7*(1+'Inputs'!$B$24)*(0.5*((((727-43)*MAX('Inputs'!$B$33,'Inputs'!$B$29+'Inputs'!$B$31+'Inputs'!$B$32,'Inputs'!$B$30+'Inputs'!$B$31+'Inputs'!$B$32)/1000+'Inputs'!$B$21)+'Inputs'!$B$7)/SQRT((((727-43)*MAX('Inputs'!$B$33,'Inputs'!$B$29+'Inputs'!$B$31+'Inputs'!$B$32,'Inputs'!$B$30+'Inputs'!$B$31+'Inputs'!$B$32)/1000+'Inputs'!$B$21)+'Inputs'!$B$7)^2+('Inputs'!$B$6/2)^2)-(((727-43)*MAX('Inputs'!$B$33,'Inputs'!$B$29+'Inputs'!$B$31+'Inputs'!$B$32,'Inputs'!$B$30+'Inputs'!$B$31+'Inputs'!$B$32)/1000+'Inputs'!$B$21))/SQRT((((727-43)*MAX('Inputs'!$B$33,'Inputs'!$B$29+'Inputs'!$B$31+'Inputs'!$B$32,'Inputs'!$B$30+'Inputs'!$B$31+'Inputs'!$B$32)/1000+'Inputs'!$B$21))^2+('Inputs'!$B$6/2)^2)))-'Results'!C7*(1-'Inputs'!$B$24)*(0.5*((((727-43)*MAX('Inputs'!$B$33,'Inputs'!$B$29+'Inputs'!$B$31+'Inputs'!$B$32,'Inputs'!$B$30+'Inputs'!$B$31+'Inputs'!$B$32)/1000+'Inputs'!$B$21+'Inputs'!$B$7+'Inputs'!$B$10)+'Inputs'!$B$9)/SQRT((((727-43)*MAX('Inputs'!$B$33,'Inputs'!$B$29+'Inputs'!$B$31+'Inputs'!$B$32,'Inputs'!$B$30+'Inputs'!$B$31+'Inputs'!$B$32)/1000+'Inputs'!$B$21+'Inputs'!$B$7+'Inputs'!$B$10)+'Inputs'!$B$9)^2+('Inputs'!$B$8/2)^2)-(((727-43)*MAX('Inputs'!$B$33,'Inputs'!$B$29+'Inputs'!$B$31+'Inputs'!$B$32,'Inputs'!$B$30+'Inputs'!$B$31+'Inputs'!$B$32)/1000+'Inputs'!$B$21+'Inputs'!$B$7+'Inputs'!$B$10))/SQRT((((727-43)*MAX('Inputs'!$B$33,'Inputs'!$B$29+'Inputs'!$B$31+'Inputs'!$B$32,'Inputs'!$B$30+'Inputs'!$B$31+'Inputs'!$B$32)/1000+'Inputs'!$B$21+'Inputs'!$B$7+'Inputs'!$B$10))^2+('Inputs'!$B$8/2)^2))))*'Results'!$B$8))),"")</x:f>
        <x:v>1.6012401932879716</x:v>
      </x:c>
      <x:c r="M727" t="n">
        <x:f>IF(AND(ISNUMBER('Results'!C7),ISNUMBER('Results'!B7),ISNUMBER('Results'!$B$8),ISNUMBER('Inputs'!$B$6),ISNUMBER('Inputs'!$B$7),ISNUMBER('Inputs'!$B$8),ISNUMBER('Inputs'!$B$9),ISNUMBER('Inputs'!$B$10),ISNUMBER('Inputs'!$B$21),ISNUMBER('Inputs'!$B$24),ISNUMBER('Inputs'!$B$28)),(('Results'!C7*(0.5*((((727-43)*MAX('Inputs'!$B$33,'Inputs'!$B$29+'Inputs'!$B$31+'Inputs'!$B$32,'Inputs'!$B$30+'Inputs'!$B$31+'Inputs'!$B$32)/1000+'Inputs'!$B$21)+'Inputs'!$B$9)/SQRT((((727-43)*MAX('Inputs'!$B$33,'Inputs'!$B$29+'Inputs'!$B$31+'Inputs'!$B$32,'Inputs'!$B$30+'Inputs'!$B$31+'Inputs'!$B$32)/1000+'Inputs'!$B$21)+'Inputs'!$B$9)^2+('Inputs'!$B$8/2)^2)-(((727-43)*MAX('Inputs'!$B$33,'Inputs'!$B$29+'Inputs'!$B$31+'Inputs'!$B$32,'Inputs'!$B$30+'Inputs'!$B$31+'Inputs'!$B$32)/1000+'Inputs'!$B$21))/SQRT((((727-43)*MAX('Inputs'!$B$33,'Inputs'!$B$29+'Inputs'!$B$31+'Inputs'!$B$32,'Inputs'!$B$30+'Inputs'!$B$31+'Inputs'!$B$32)/1000+'Inputs'!$B$21))^2+('Inputs'!$B$8/2)^2)))-'Results'!B7*(0.5*((((727-43)*MAX('Inputs'!$B$33,'Inputs'!$B$29+'Inputs'!$B$31+'Inputs'!$B$32,'Inputs'!$B$30+'Inputs'!$B$31+'Inputs'!$B$32)/1000+'Inputs'!$B$21+'Inputs'!$B$9+'Inputs'!$B$10)+'Inputs'!$B$7)/SQRT((((727-43)*MAX('Inputs'!$B$33,'Inputs'!$B$29+'Inputs'!$B$31+'Inputs'!$B$32,'Inputs'!$B$30+'Inputs'!$B$31+'Inputs'!$B$32)/1000+'Inputs'!$B$21+'Inputs'!$B$9+'Inputs'!$B$10)+'Inputs'!$B$7)^2+('Inputs'!$B$6/2)^2)-(((727-43)*MAX('Inputs'!$B$33,'Inputs'!$B$29+'Inputs'!$B$31+'Inputs'!$B$32,'Inputs'!$B$30+'Inputs'!$B$31+'Inputs'!$B$32)/1000+'Inputs'!$B$21+'Inputs'!$B$9+'Inputs'!$B$10))/SQRT((((727-43)*MAX('Inputs'!$B$33,'Inputs'!$B$29+'Inputs'!$B$31+'Inputs'!$B$32,'Inputs'!$B$30+'Inputs'!$B$31+'Inputs'!$B$32)/1000+'Inputs'!$B$21+'Inputs'!$B$9+'Inputs'!$B$10))^2+('Inputs'!$B$6/2)^2))))*'Results'!$B$8),"")</x:f>
        <x:v>1.2801110663704893</x:v>
      </x:c>
      <x:c r="N727" t="n">
        <x:f>IF(AND(ISNUMBER('Results'!C7),ISNUMBER('Results'!B7),ISNUMBER('Results'!$B$8),ISNUMBER('Inputs'!$B$6),ISNUMBER('Inputs'!$B$7),ISNUMBER('Inputs'!$B$8),ISNUMBER('Inputs'!$B$9),ISNUMBER('Inputs'!$B$10),ISNUMBER('Inputs'!$B$21),ISNUMBER('Inputs'!$B$24),ISNUMBER('Inputs'!$B$28)),((('Results'!C7*(1-'Inputs'!$B$24)*(0.5*((((727-43)*MAX('Inputs'!$B$33,'Inputs'!$B$29+'Inputs'!$B$31+'Inputs'!$B$32,'Inputs'!$B$30+'Inputs'!$B$31+'Inputs'!$B$32)/1000+'Inputs'!$B$21)+'Inputs'!$B$9)/SQRT((((727-43)*MAX('Inputs'!$B$33,'Inputs'!$B$29+'Inputs'!$B$31+'Inputs'!$B$32,'Inputs'!$B$30+'Inputs'!$B$31+'Inputs'!$B$32)/1000+'Inputs'!$B$21)+'Inputs'!$B$9)^2+('Inputs'!$B$8/2)^2)-(((727-43)*MAX('Inputs'!$B$33,'Inputs'!$B$29+'Inputs'!$B$31+'Inputs'!$B$32,'Inputs'!$B$30+'Inputs'!$B$31+'Inputs'!$B$32)/1000+'Inputs'!$B$21))/SQRT((((727-43)*MAX('Inputs'!$B$33,'Inputs'!$B$29+'Inputs'!$B$31+'Inputs'!$B$32,'Inputs'!$B$30+'Inputs'!$B$31+'Inputs'!$B$32)/1000+'Inputs'!$B$21))^2+('Inputs'!$B$8/2)^2)))-'Results'!B7*(1+'Inputs'!$B$24)*(0.5*((((727-43)*MAX('Inputs'!$B$33,'Inputs'!$B$29+'Inputs'!$B$31+'Inputs'!$B$32,'Inputs'!$B$30+'Inputs'!$B$31+'Inputs'!$B$32)/1000+'Inputs'!$B$21+'Inputs'!$B$9+'Inputs'!$B$10)+'Inputs'!$B$7)/SQRT((((727-43)*MAX('Inputs'!$B$33,'Inputs'!$B$29+'Inputs'!$B$31+'Inputs'!$B$32,'Inputs'!$B$30+'Inputs'!$B$31+'Inputs'!$B$32)/1000+'Inputs'!$B$21+'Inputs'!$B$9+'Inputs'!$B$10)+'Inputs'!$B$7)^2+('Inputs'!$B$6/2)^2)-(((727-43)*MAX('Inputs'!$B$33,'Inputs'!$B$29+'Inputs'!$B$31+'Inputs'!$B$32,'Inputs'!$B$30+'Inputs'!$B$31+'Inputs'!$B$32)/1000+'Inputs'!$B$21+'Inputs'!$B$9+'Inputs'!$B$10))/SQRT((((727-43)*MAX('Inputs'!$B$33,'Inputs'!$B$29+'Inputs'!$B$31+'Inputs'!$B$32,'Inputs'!$B$30+'Inputs'!$B$31+'Inputs'!$B$32)/1000+'Inputs'!$B$21+'Inputs'!$B$9+'Inputs'!$B$10))^2+('Inputs'!$B$6/2)^2))))*'Results'!$B$8)-'Inputs'!$B$28*ABS((('Results'!C7*(1-'Inputs'!$B$24)*(0.5*((((727-43)*MAX('Inputs'!$B$33,'Inputs'!$B$29+'Inputs'!$B$31+'Inputs'!$B$32,'Inputs'!$B$30+'Inputs'!$B$31+'Inputs'!$B$32)/1000+'Inputs'!$B$21)+'Inputs'!$B$9)/SQRT((((727-43)*MAX('Inputs'!$B$33,'Inputs'!$B$29+'Inputs'!$B$31+'Inputs'!$B$32,'Inputs'!$B$30+'Inputs'!$B$31+'Inputs'!$B$32)/1000+'Inputs'!$B$21)+'Inputs'!$B$9)^2+('Inputs'!$B$8/2)^2)-(((727-43)*MAX('Inputs'!$B$33,'Inputs'!$B$29+'Inputs'!$B$31+'Inputs'!$B$32,'Inputs'!$B$30+'Inputs'!$B$31+'Inputs'!$B$32)/1000+'Inputs'!$B$21))/SQRT((((727-43)*MAX('Inputs'!$B$33,'Inputs'!$B$29+'Inputs'!$B$31+'Inputs'!$B$32,'Inputs'!$B$30+'Inputs'!$B$31+'Inputs'!$B$32)/1000+'Inputs'!$B$21))^2+('Inputs'!$B$8/2)^2)))-'Results'!B7*(1+'Inputs'!$B$24)*(0.5*((((727-43)*MAX('Inputs'!$B$33,'Inputs'!$B$29+'Inputs'!$B$31+'Inputs'!$B$32,'Inputs'!$B$30+'Inputs'!$B$31+'Inputs'!$B$32)/1000+'Inputs'!$B$21+'Inputs'!$B$9+'Inputs'!$B$10)+'Inputs'!$B$7)/SQRT((((727-43)*MAX('Inputs'!$B$33,'Inputs'!$B$29+'Inputs'!$B$31+'Inputs'!$B$32,'Inputs'!$B$30+'Inputs'!$B$31+'Inputs'!$B$32)/1000+'Inputs'!$B$21+'Inputs'!$B$9+'Inputs'!$B$10)+'Inputs'!$B$7)^2+('Inputs'!$B$6/2)^2)-(((727-43)*MAX('Inputs'!$B$33,'Inputs'!$B$29+'Inputs'!$B$31+'Inputs'!$B$32,'Inputs'!$B$30+'Inputs'!$B$31+'Inputs'!$B$32)/1000+'Inputs'!$B$21+'Inputs'!$B$9+'Inputs'!$B$10))/SQRT((((727-43)*MAX('Inputs'!$B$33,'Inputs'!$B$29+'Inputs'!$B$31+'Inputs'!$B$32,'Inputs'!$B$30+'Inputs'!$B$31+'Inputs'!$B$32)/1000+'Inputs'!$B$21+'Inputs'!$B$9+'Inputs'!$B$10))^2+('Inputs'!$B$6/2)^2))))*'Results'!$B$8))),"")</x:f>
        <x:v>1.1007577803148663</x:v>
      </x:c>
      <x:c r="O727" t="n">
        <x:f>IF(AND(ISNUMBER('Results'!C7),ISNUMBER('Results'!B7),ISNUMBER('Results'!$B$8),ISNUMBER('Inputs'!$B$6),ISNUMBER('Inputs'!$B$7),ISNUMBER('Inputs'!$B$8),ISNUMBER('Inputs'!$B$9),ISNUMBER('Inputs'!$B$10),ISNUMBER('Inputs'!$B$21),ISNUMBER('Inputs'!$B$24),ISNUMBER('Inputs'!$B$28)),((('Results'!C7*(1+'Inputs'!$B$24)*(0.5*((((727-43)*MAX('Inputs'!$B$33,'Inputs'!$B$29+'Inputs'!$B$31+'Inputs'!$B$32,'Inputs'!$B$30+'Inputs'!$B$31+'Inputs'!$B$32)/1000+'Inputs'!$B$21)+'Inputs'!$B$9)/SQRT((((727-43)*MAX('Inputs'!$B$33,'Inputs'!$B$29+'Inputs'!$B$31+'Inputs'!$B$32,'Inputs'!$B$30+'Inputs'!$B$31+'Inputs'!$B$32)/1000+'Inputs'!$B$21)+'Inputs'!$B$9)^2+('Inputs'!$B$8/2)^2)-(((727-43)*MAX('Inputs'!$B$33,'Inputs'!$B$29+'Inputs'!$B$31+'Inputs'!$B$32,'Inputs'!$B$30+'Inputs'!$B$31+'Inputs'!$B$32)/1000+'Inputs'!$B$21))/SQRT((((727-43)*MAX('Inputs'!$B$33,'Inputs'!$B$29+'Inputs'!$B$31+'Inputs'!$B$32,'Inputs'!$B$30+'Inputs'!$B$31+'Inputs'!$B$32)/1000+'Inputs'!$B$21))^2+('Inputs'!$B$8/2)^2)))-'Results'!B7*(1-'Inputs'!$B$24)*(0.5*((((727-43)*MAX('Inputs'!$B$33,'Inputs'!$B$29+'Inputs'!$B$31+'Inputs'!$B$32,'Inputs'!$B$30+'Inputs'!$B$31+'Inputs'!$B$32)/1000+'Inputs'!$B$21+'Inputs'!$B$9+'Inputs'!$B$10)+'Inputs'!$B$7)/SQRT((((727-43)*MAX('Inputs'!$B$33,'Inputs'!$B$29+'Inputs'!$B$31+'Inputs'!$B$32,'Inputs'!$B$30+'Inputs'!$B$31+'Inputs'!$B$32)/1000+'Inputs'!$B$21+'Inputs'!$B$9+'Inputs'!$B$10)+'Inputs'!$B$7)^2+('Inputs'!$B$6/2)^2)-(((727-43)*MAX('Inputs'!$B$33,'Inputs'!$B$29+'Inputs'!$B$31+'Inputs'!$B$32,'Inputs'!$B$30+'Inputs'!$B$31+'Inputs'!$B$32)/1000+'Inputs'!$B$21+'Inputs'!$B$9+'Inputs'!$B$10))/SQRT((((727-43)*MAX('Inputs'!$B$33,'Inputs'!$B$29+'Inputs'!$B$31+'Inputs'!$B$32,'Inputs'!$B$30+'Inputs'!$B$31+'Inputs'!$B$32)/1000+'Inputs'!$B$21+'Inputs'!$B$9+'Inputs'!$B$10))^2+('Inputs'!$B$6/2)^2))))*'Results'!$B$8)+'Inputs'!$B$28*ABS((('Results'!C7*(1+'Inputs'!$B$24)*(0.5*((((727-43)*MAX('Inputs'!$B$33,'Inputs'!$B$29+'Inputs'!$B$31+'Inputs'!$B$32,'Inputs'!$B$30+'Inputs'!$B$31+'Inputs'!$B$32)/1000+'Inputs'!$B$21)+'Inputs'!$B$9)/SQRT((((727-43)*MAX('Inputs'!$B$33,'Inputs'!$B$29+'Inputs'!$B$31+'Inputs'!$B$32,'Inputs'!$B$30+'Inputs'!$B$31+'Inputs'!$B$32)/1000+'Inputs'!$B$21)+'Inputs'!$B$9)^2+('Inputs'!$B$8/2)^2)-(((727-43)*MAX('Inputs'!$B$33,'Inputs'!$B$29+'Inputs'!$B$31+'Inputs'!$B$32,'Inputs'!$B$30+'Inputs'!$B$31+'Inputs'!$B$32)/1000+'Inputs'!$B$21))/SQRT((((727-43)*MAX('Inputs'!$B$33,'Inputs'!$B$29+'Inputs'!$B$31+'Inputs'!$B$32,'Inputs'!$B$30+'Inputs'!$B$31+'Inputs'!$B$32)/1000+'Inputs'!$B$21))^2+('Inputs'!$B$8/2)^2)))-'Results'!B7*(1-'Inputs'!$B$24)*(0.5*((((727-43)*MAX('Inputs'!$B$33,'Inputs'!$B$29+'Inputs'!$B$31+'Inputs'!$B$32,'Inputs'!$B$30+'Inputs'!$B$31+'Inputs'!$B$32)/1000+'Inputs'!$B$21+'Inputs'!$B$9+'Inputs'!$B$10)+'Inputs'!$B$7)/SQRT((((727-43)*MAX('Inputs'!$B$33,'Inputs'!$B$29+'Inputs'!$B$31+'Inputs'!$B$32,'Inputs'!$B$30+'Inputs'!$B$31+'Inputs'!$B$32)/1000+'Inputs'!$B$21+'Inputs'!$B$9+'Inputs'!$B$10)+'Inputs'!$B$7)^2+('Inputs'!$B$6/2)^2)-(((727-43)*MAX('Inputs'!$B$33,'Inputs'!$B$29+'Inputs'!$B$31+'Inputs'!$B$32,'Inputs'!$B$30+'Inputs'!$B$31+'Inputs'!$B$32)/1000+'Inputs'!$B$21+'Inputs'!$B$9+'Inputs'!$B$10))/SQRT((((727-43)*MAX('Inputs'!$B$33,'Inputs'!$B$29+'Inputs'!$B$31+'Inputs'!$B$32,'Inputs'!$B$30+'Inputs'!$B$31+'Inputs'!$B$32)/1000+'Inputs'!$B$21+'Inputs'!$B$9+'Inputs'!$B$10))^2+('Inputs'!$B$6/2)^2))))*'Results'!$B$8))),"")</x:f>
        <x:v>1.4716062190300168</x:v>
      </x:c>
      <x:c r="P727" t="n">
        <x:f>IF(AND(MAX(J727,J726)&gt;0,J727&gt;J726+0.00000001),1,0)</x:f>
        <x:v>0</x:v>
      </x:c>
      <x:c r="Q727" t="n">
        <x:f>IF(AND(MAX(K727,K726)&gt;0,K727&gt;K726+0.00000001),1,0)</x:f>
        <x:v>0</x:v>
      </x:c>
      <x:c r="R727" t="n">
        <x:f>IF(AND(MAX(L727,L726)&gt;0,L727&gt;L726+0.00000001),1,0)</x:f>
        <x:v>0</x:v>
      </x:c>
      <x:c r="S727" t="n">
        <x:f>IF(AND(MAX(M727,M726)&gt;0,M727&gt;M726+0.00000001),1,0)</x:f>
        <x:v>0</x:v>
      </x:c>
      <x:c r="T727" t="n">
        <x:f>IF(AND(MAX(N727,N726)&gt;0,N727&gt;N726+0.00000001),1,0)</x:f>
        <x:v>0</x:v>
      </x:c>
      <x:c r="U727" t="n">
        <x:f>IF(AND(MAX(O727,O726)&gt;0,O727&gt;O726+0.00000001),1,0)</x:f>
        <x:v>0</x:v>
      </x:c>
    </x:row>
    <x:row r="728">
      <x:c r="J728" t="n">
        <x:f>IF(AND(ISNUMBER('Results'!B7),ISNUMBER('Results'!C7),ISNUMBER('Results'!$B$8),ISNUMBER('Inputs'!$B$6),ISNUMBER('Inputs'!$B$7),ISNUMBER('Inputs'!$B$8),ISNUMBER('Inputs'!$B$9),ISNUMBER('Inputs'!$B$10),ISNUMBER('Inputs'!$B$21),ISNUMBER('Inputs'!$B$24),ISNUMBER('Inputs'!$B$28)),(('Results'!B7*(0.5*((((728-43)*MAX('Inputs'!$B$33,'Inputs'!$B$29+'Inputs'!$B$31+'Inputs'!$B$32,'Inputs'!$B$30+'Inputs'!$B$31+'Inputs'!$B$32)/1000+'Inputs'!$B$21)+'Inputs'!$B$7)/SQRT((((728-43)*MAX('Inputs'!$B$33,'Inputs'!$B$29+'Inputs'!$B$31+'Inputs'!$B$32,'Inputs'!$B$30+'Inputs'!$B$31+'Inputs'!$B$32)/1000+'Inputs'!$B$21)+'Inputs'!$B$7)^2+('Inputs'!$B$6/2)^2)-(((728-43)*MAX('Inputs'!$B$33,'Inputs'!$B$29+'Inputs'!$B$31+'Inputs'!$B$32,'Inputs'!$B$30+'Inputs'!$B$31+'Inputs'!$B$32)/1000+'Inputs'!$B$21))/SQRT((((728-43)*MAX('Inputs'!$B$33,'Inputs'!$B$29+'Inputs'!$B$31+'Inputs'!$B$32,'Inputs'!$B$30+'Inputs'!$B$31+'Inputs'!$B$32)/1000+'Inputs'!$B$21))^2+('Inputs'!$B$6/2)^2)))-'Results'!C7*(0.5*((((728-43)*MAX('Inputs'!$B$33,'Inputs'!$B$29+'Inputs'!$B$31+'Inputs'!$B$32,'Inputs'!$B$30+'Inputs'!$B$31+'Inputs'!$B$32)/1000+'Inputs'!$B$21+'Inputs'!$B$7+'Inputs'!$B$10)+'Inputs'!$B$9)/SQRT((((728-43)*MAX('Inputs'!$B$33,'Inputs'!$B$29+'Inputs'!$B$31+'Inputs'!$B$32,'Inputs'!$B$30+'Inputs'!$B$31+'Inputs'!$B$32)/1000+'Inputs'!$B$21+'Inputs'!$B$7+'Inputs'!$B$10)+'Inputs'!$B$9)^2+('Inputs'!$B$8/2)^2)-(((728-43)*MAX('Inputs'!$B$33,'Inputs'!$B$29+'Inputs'!$B$31+'Inputs'!$B$32,'Inputs'!$B$30+'Inputs'!$B$31+'Inputs'!$B$32)/1000+'Inputs'!$B$21+'Inputs'!$B$7+'Inputs'!$B$10))/SQRT((((728-43)*MAX('Inputs'!$B$33,'Inputs'!$B$29+'Inputs'!$B$31+'Inputs'!$B$32,'Inputs'!$B$30+'Inputs'!$B$31+'Inputs'!$B$32)/1000+'Inputs'!$B$21+'Inputs'!$B$7+'Inputs'!$B$10))^2+('Inputs'!$B$8/2)^2))))*'Results'!$B$8),"")</x:f>
        <x:v>1.3957824736337427</x:v>
      </x:c>
      <x:c r="K728" t="n">
        <x:f>IF(AND(ISNUMBER('Results'!B7),ISNUMBER('Results'!C7),ISNUMBER('Results'!$B$8),ISNUMBER('Inputs'!$B$6),ISNUMBER('Inputs'!$B$7),ISNUMBER('Inputs'!$B$8),ISNUMBER('Inputs'!$B$9),ISNUMBER('Inputs'!$B$10),ISNUMBER('Inputs'!$B$21),ISNUMBER('Inputs'!$B$24),ISNUMBER('Inputs'!$B$28)),((('Results'!B7*(1-'Inputs'!$B$24)*(0.5*((((728-43)*MAX('Inputs'!$B$33,'Inputs'!$B$29+'Inputs'!$B$31+'Inputs'!$B$32,'Inputs'!$B$30+'Inputs'!$B$31+'Inputs'!$B$32)/1000+'Inputs'!$B$21)+'Inputs'!$B$7)/SQRT((((728-43)*MAX('Inputs'!$B$33,'Inputs'!$B$29+'Inputs'!$B$31+'Inputs'!$B$32,'Inputs'!$B$30+'Inputs'!$B$31+'Inputs'!$B$32)/1000+'Inputs'!$B$21)+'Inputs'!$B$7)^2+('Inputs'!$B$6/2)^2)-(((728-43)*MAX('Inputs'!$B$33,'Inputs'!$B$29+'Inputs'!$B$31+'Inputs'!$B$32,'Inputs'!$B$30+'Inputs'!$B$31+'Inputs'!$B$32)/1000+'Inputs'!$B$21))/SQRT((((728-43)*MAX('Inputs'!$B$33,'Inputs'!$B$29+'Inputs'!$B$31+'Inputs'!$B$32,'Inputs'!$B$30+'Inputs'!$B$31+'Inputs'!$B$32)/1000+'Inputs'!$B$21))^2+('Inputs'!$B$6/2)^2)))-'Results'!C7*(1+'Inputs'!$B$24)*(0.5*((((728-43)*MAX('Inputs'!$B$33,'Inputs'!$B$29+'Inputs'!$B$31+'Inputs'!$B$32,'Inputs'!$B$30+'Inputs'!$B$31+'Inputs'!$B$32)/1000+'Inputs'!$B$21+'Inputs'!$B$7+'Inputs'!$B$10)+'Inputs'!$B$9)/SQRT((((728-43)*MAX('Inputs'!$B$33,'Inputs'!$B$29+'Inputs'!$B$31+'Inputs'!$B$32,'Inputs'!$B$30+'Inputs'!$B$31+'Inputs'!$B$32)/1000+'Inputs'!$B$21+'Inputs'!$B$7+'Inputs'!$B$10)+'Inputs'!$B$9)^2+('Inputs'!$B$8/2)^2)-(((728-43)*MAX('Inputs'!$B$33,'Inputs'!$B$29+'Inputs'!$B$31+'Inputs'!$B$32,'Inputs'!$B$30+'Inputs'!$B$31+'Inputs'!$B$32)/1000+'Inputs'!$B$21+'Inputs'!$B$7+'Inputs'!$B$10))/SQRT((((728-43)*MAX('Inputs'!$B$33,'Inputs'!$B$29+'Inputs'!$B$31+'Inputs'!$B$32,'Inputs'!$B$30+'Inputs'!$B$31+'Inputs'!$B$32)/1000+'Inputs'!$B$21+'Inputs'!$B$7+'Inputs'!$B$10))^2+('Inputs'!$B$8/2)^2))))*'Results'!$B$8)-'Inputs'!$B$28*ABS((('Results'!B7*(1-'Inputs'!$B$24)*(0.5*((((728-43)*MAX('Inputs'!$B$33,'Inputs'!$B$29+'Inputs'!$B$31+'Inputs'!$B$32,'Inputs'!$B$30+'Inputs'!$B$31+'Inputs'!$B$32)/1000+'Inputs'!$B$21)+'Inputs'!$B$7)/SQRT((((728-43)*MAX('Inputs'!$B$33,'Inputs'!$B$29+'Inputs'!$B$31+'Inputs'!$B$32,'Inputs'!$B$30+'Inputs'!$B$31+'Inputs'!$B$32)/1000+'Inputs'!$B$21)+'Inputs'!$B$7)^2+('Inputs'!$B$6/2)^2)-(((728-43)*MAX('Inputs'!$B$33,'Inputs'!$B$29+'Inputs'!$B$31+'Inputs'!$B$32,'Inputs'!$B$30+'Inputs'!$B$31+'Inputs'!$B$32)/1000+'Inputs'!$B$21))/SQRT((((728-43)*MAX('Inputs'!$B$33,'Inputs'!$B$29+'Inputs'!$B$31+'Inputs'!$B$32,'Inputs'!$B$30+'Inputs'!$B$31+'Inputs'!$B$32)/1000+'Inputs'!$B$21))^2+('Inputs'!$B$6/2)^2)))-'Results'!C7*(1+'Inputs'!$B$24)*(0.5*((((728-43)*MAX('Inputs'!$B$33,'Inputs'!$B$29+'Inputs'!$B$31+'Inputs'!$B$32,'Inputs'!$B$30+'Inputs'!$B$31+'Inputs'!$B$32)/1000+'Inputs'!$B$21+'Inputs'!$B$7+'Inputs'!$B$10)+'Inputs'!$B$9)/SQRT((((728-43)*MAX('Inputs'!$B$33,'Inputs'!$B$29+'Inputs'!$B$31+'Inputs'!$B$32,'Inputs'!$B$30+'Inputs'!$B$31+'Inputs'!$B$32)/1000+'Inputs'!$B$21+'Inputs'!$B$7+'Inputs'!$B$10)+'Inputs'!$B$9)^2+('Inputs'!$B$8/2)^2)-(((728-43)*MAX('Inputs'!$B$33,'Inputs'!$B$29+'Inputs'!$B$31+'Inputs'!$B$32,'Inputs'!$B$30+'Inputs'!$B$31+'Inputs'!$B$32)/1000+'Inputs'!$B$21+'Inputs'!$B$7+'Inputs'!$B$10))/SQRT((((728-43)*MAX('Inputs'!$B$33,'Inputs'!$B$29+'Inputs'!$B$31+'Inputs'!$B$32,'Inputs'!$B$30+'Inputs'!$B$31+'Inputs'!$B$32)/1000+'Inputs'!$B$21+'Inputs'!$B$7+'Inputs'!$B$10))^2+('Inputs'!$B$8/2)^2))))*'Results'!$B$8))),"")</x:f>
        <x:v>1.2105917366269392</x:v>
      </x:c>
      <x:c r="L728" t="n">
        <x:f>IF(AND(ISNUMBER('Results'!B7),ISNUMBER('Results'!C7),ISNUMBER('Results'!$B$8),ISNUMBER('Inputs'!$B$6),ISNUMBER('Inputs'!$B$7),ISNUMBER('Inputs'!$B$8),ISNUMBER('Inputs'!$B$9),ISNUMBER('Inputs'!$B$10),ISNUMBER('Inputs'!$B$21),ISNUMBER('Inputs'!$B$24),ISNUMBER('Inputs'!$B$28)),((('Results'!B7*(1+'Inputs'!$B$24)*(0.5*((((728-43)*MAX('Inputs'!$B$33,'Inputs'!$B$29+'Inputs'!$B$31+'Inputs'!$B$32,'Inputs'!$B$30+'Inputs'!$B$31+'Inputs'!$B$32)/1000+'Inputs'!$B$21)+'Inputs'!$B$7)/SQRT((((728-43)*MAX('Inputs'!$B$33,'Inputs'!$B$29+'Inputs'!$B$31+'Inputs'!$B$32,'Inputs'!$B$30+'Inputs'!$B$31+'Inputs'!$B$32)/1000+'Inputs'!$B$21)+'Inputs'!$B$7)^2+('Inputs'!$B$6/2)^2)-(((728-43)*MAX('Inputs'!$B$33,'Inputs'!$B$29+'Inputs'!$B$31+'Inputs'!$B$32,'Inputs'!$B$30+'Inputs'!$B$31+'Inputs'!$B$32)/1000+'Inputs'!$B$21))/SQRT((((728-43)*MAX('Inputs'!$B$33,'Inputs'!$B$29+'Inputs'!$B$31+'Inputs'!$B$32,'Inputs'!$B$30+'Inputs'!$B$31+'Inputs'!$B$32)/1000+'Inputs'!$B$21))^2+('Inputs'!$B$6/2)^2)))-'Results'!C7*(1-'Inputs'!$B$24)*(0.5*((((728-43)*MAX('Inputs'!$B$33,'Inputs'!$B$29+'Inputs'!$B$31+'Inputs'!$B$32,'Inputs'!$B$30+'Inputs'!$B$31+'Inputs'!$B$32)/1000+'Inputs'!$B$21+'Inputs'!$B$7+'Inputs'!$B$10)+'Inputs'!$B$9)/SQRT((((728-43)*MAX('Inputs'!$B$33,'Inputs'!$B$29+'Inputs'!$B$31+'Inputs'!$B$32,'Inputs'!$B$30+'Inputs'!$B$31+'Inputs'!$B$32)/1000+'Inputs'!$B$21+'Inputs'!$B$7+'Inputs'!$B$10)+'Inputs'!$B$9)^2+('Inputs'!$B$8/2)^2)-(((728-43)*MAX('Inputs'!$B$33,'Inputs'!$B$29+'Inputs'!$B$31+'Inputs'!$B$32,'Inputs'!$B$30+'Inputs'!$B$31+'Inputs'!$B$32)/1000+'Inputs'!$B$21+'Inputs'!$B$7+'Inputs'!$B$10))/SQRT((((728-43)*MAX('Inputs'!$B$33,'Inputs'!$B$29+'Inputs'!$B$31+'Inputs'!$B$32,'Inputs'!$B$30+'Inputs'!$B$31+'Inputs'!$B$32)/1000+'Inputs'!$B$21+'Inputs'!$B$7+'Inputs'!$B$10))^2+('Inputs'!$B$8/2)^2))))*'Results'!$B$8)+'Inputs'!$B$28*ABS((('Results'!B7*(1+'Inputs'!$B$24)*(0.5*((((728-43)*MAX('Inputs'!$B$33,'Inputs'!$B$29+'Inputs'!$B$31+'Inputs'!$B$32,'Inputs'!$B$30+'Inputs'!$B$31+'Inputs'!$B$32)/1000+'Inputs'!$B$21)+'Inputs'!$B$7)/SQRT((((728-43)*MAX('Inputs'!$B$33,'Inputs'!$B$29+'Inputs'!$B$31+'Inputs'!$B$32,'Inputs'!$B$30+'Inputs'!$B$31+'Inputs'!$B$32)/1000+'Inputs'!$B$21)+'Inputs'!$B$7)^2+('Inputs'!$B$6/2)^2)-(((728-43)*MAX('Inputs'!$B$33,'Inputs'!$B$29+'Inputs'!$B$31+'Inputs'!$B$32,'Inputs'!$B$30+'Inputs'!$B$31+'Inputs'!$B$32)/1000+'Inputs'!$B$21))/SQRT((((728-43)*MAX('Inputs'!$B$33,'Inputs'!$B$29+'Inputs'!$B$31+'Inputs'!$B$32,'Inputs'!$B$30+'Inputs'!$B$31+'Inputs'!$B$32)/1000+'Inputs'!$B$21))^2+('Inputs'!$B$6/2)^2)))-'Results'!C7*(1-'Inputs'!$B$24)*(0.5*((((728-43)*MAX('Inputs'!$B$33,'Inputs'!$B$29+'Inputs'!$B$31+'Inputs'!$B$32,'Inputs'!$B$30+'Inputs'!$B$31+'Inputs'!$B$32)/1000+'Inputs'!$B$21+'Inputs'!$B$7+'Inputs'!$B$10)+'Inputs'!$B$9)/SQRT((((728-43)*MAX('Inputs'!$B$33,'Inputs'!$B$29+'Inputs'!$B$31+'Inputs'!$B$32,'Inputs'!$B$30+'Inputs'!$B$31+'Inputs'!$B$32)/1000+'Inputs'!$B$21+'Inputs'!$B$7+'Inputs'!$B$10)+'Inputs'!$B$9)^2+('Inputs'!$B$8/2)^2)-(((728-43)*MAX('Inputs'!$B$33,'Inputs'!$B$29+'Inputs'!$B$31+'Inputs'!$B$32,'Inputs'!$B$30+'Inputs'!$B$31+'Inputs'!$B$32)/1000+'Inputs'!$B$21+'Inputs'!$B$7+'Inputs'!$B$10))/SQRT((((728-43)*MAX('Inputs'!$B$33,'Inputs'!$B$29+'Inputs'!$B$31+'Inputs'!$B$32,'Inputs'!$B$30+'Inputs'!$B$31+'Inputs'!$B$32)/1000+'Inputs'!$B$21+'Inputs'!$B$7+'Inputs'!$B$10))^2+('Inputs'!$B$8/2)^2))))*'Results'!$B$8))),"")</x:f>
        <x:v>1.5931207488852959</x:v>
      </x:c>
      <x:c r="M728" t="n">
        <x:f>IF(AND(ISNUMBER('Results'!C7),ISNUMBER('Results'!B7),ISNUMBER('Results'!$B$8),ISNUMBER('Inputs'!$B$6),ISNUMBER('Inputs'!$B$7),ISNUMBER('Inputs'!$B$8),ISNUMBER('Inputs'!$B$9),ISNUMBER('Inputs'!$B$10),ISNUMBER('Inputs'!$B$21),ISNUMBER('Inputs'!$B$24),ISNUMBER('Inputs'!$B$28)),(('Results'!C7*(0.5*((((728-43)*MAX('Inputs'!$B$33,'Inputs'!$B$29+'Inputs'!$B$31+'Inputs'!$B$32,'Inputs'!$B$30+'Inputs'!$B$31+'Inputs'!$B$32)/1000+'Inputs'!$B$21)+'Inputs'!$B$9)/SQRT((((728-43)*MAX('Inputs'!$B$33,'Inputs'!$B$29+'Inputs'!$B$31+'Inputs'!$B$32,'Inputs'!$B$30+'Inputs'!$B$31+'Inputs'!$B$32)/1000+'Inputs'!$B$21)+'Inputs'!$B$9)^2+('Inputs'!$B$8/2)^2)-(((728-43)*MAX('Inputs'!$B$33,'Inputs'!$B$29+'Inputs'!$B$31+'Inputs'!$B$32,'Inputs'!$B$30+'Inputs'!$B$31+'Inputs'!$B$32)/1000+'Inputs'!$B$21))/SQRT((((728-43)*MAX('Inputs'!$B$33,'Inputs'!$B$29+'Inputs'!$B$31+'Inputs'!$B$32,'Inputs'!$B$30+'Inputs'!$B$31+'Inputs'!$B$32)/1000+'Inputs'!$B$21))^2+('Inputs'!$B$8/2)^2)))-'Results'!B7*(0.5*((((728-43)*MAX('Inputs'!$B$33,'Inputs'!$B$29+'Inputs'!$B$31+'Inputs'!$B$32,'Inputs'!$B$30+'Inputs'!$B$31+'Inputs'!$B$32)/1000+'Inputs'!$B$21+'Inputs'!$B$9+'Inputs'!$B$10)+'Inputs'!$B$7)/SQRT((((728-43)*MAX('Inputs'!$B$33,'Inputs'!$B$29+'Inputs'!$B$31+'Inputs'!$B$32,'Inputs'!$B$30+'Inputs'!$B$31+'Inputs'!$B$32)/1000+'Inputs'!$B$21+'Inputs'!$B$9+'Inputs'!$B$10)+'Inputs'!$B$7)^2+('Inputs'!$B$6/2)^2)-(((728-43)*MAX('Inputs'!$B$33,'Inputs'!$B$29+'Inputs'!$B$31+'Inputs'!$B$32,'Inputs'!$B$30+'Inputs'!$B$31+'Inputs'!$B$32)/1000+'Inputs'!$B$21+'Inputs'!$B$9+'Inputs'!$B$10))/SQRT((((728-43)*MAX('Inputs'!$B$33,'Inputs'!$B$29+'Inputs'!$B$31+'Inputs'!$B$32,'Inputs'!$B$30+'Inputs'!$B$31+'Inputs'!$B$32)/1000+'Inputs'!$B$21+'Inputs'!$B$9+'Inputs'!$B$10))^2+('Inputs'!$B$6/2)^2))))*'Results'!$B$8),"")</x:f>
        <x:v>1.273352400033448</x:v>
      </x:c>
      <x:c r="N728" t="n">
        <x:f>IF(AND(ISNUMBER('Results'!C7),ISNUMBER('Results'!B7),ISNUMBER('Results'!$B$8),ISNUMBER('Inputs'!$B$6),ISNUMBER('Inputs'!$B$7),ISNUMBER('Inputs'!$B$8),ISNUMBER('Inputs'!$B$9),ISNUMBER('Inputs'!$B$10),ISNUMBER('Inputs'!$B$21),ISNUMBER('Inputs'!$B$24),ISNUMBER('Inputs'!$B$28)),((('Results'!C7*(1-'Inputs'!$B$24)*(0.5*((((728-43)*MAX('Inputs'!$B$33,'Inputs'!$B$29+'Inputs'!$B$31+'Inputs'!$B$32,'Inputs'!$B$30+'Inputs'!$B$31+'Inputs'!$B$32)/1000+'Inputs'!$B$21)+'Inputs'!$B$9)/SQRT((((728-43)*MAX('Inputs'!$B$33,'Inputs'!$B$29+'Inputs'!$B$31+'Inputs'!$B$32,'Inputs'!$B$30+'Inputs'!$B$31+'Inputs'!$B$32)/1000+'Inputs'!$B$21)+'Inputs'!$B$9)^2+('Inputs'!$B$8/2)^2)-(((728-43)*MAX('Inputs'!$B$33,'Inputs'!$B$29+'Inputs'!$B$31+'Inputs'!$B$32,'Inputs'!$B$30+'Inputs'!$B$31+'Inputs'!$B$32)/1000+'Inputs'!$B$21))/SQRT((((728-43)*MAX('Inputs'!$B$33,'Inputs'!$B$29+'Inputs'!$B$31+'Inputs'!$B$32,'Inputs'!$B$30+'Inputs'!$B$31+'Inputs'!$B$32)/1000+'Inputs'!$B$21))^2+('Inputs'!$B$8/2)^2)))-'Results'!B7*(1+'Inputs'!$B$24)*(0.5*((((728-43)*MAX('Inputs'!$B$33,'Inputs'!$B$29+'Inputs'!$B$31+'Inputs'!$B$32,'Inputs'!$B$30+'Inputs'!$B$31+'Inputs'!$B$32)/1000+'Inputs'!$B$21+'Inputs'!$B$9+'Inputs'!$B$10)+'Inputs'!$B$7)/SQRT((((728-43)*MAX('Inputs'!$B$33,'Inputs'!$B$29+'Inputs'!$B$31+'Inputs'!$B$32,'Inputs'!$B$30+'Inputs'!$B$31+'Inputs'!$B$32)/1000+'Inputs'!$B$21+'Inputs'!$B$9+'Inputs'!$B$10)+'Inputs'!$B$7)^2+('Inputs'!$B$6/2)^2)-(((728-43)*MAX('Inputs'!$B$33,'Inputs'!$B$29+'Inputs'!$B$31+'Inputs'!$B$32,'Inputs'!$B$30+'Inputs'!$B$31+'Inputs'!$B$32)/1000+'Inputs'!$B$21+'Inputs'!$B$9+'Inputs'!$B$10))/SQRT((((728-43)*MAX('Inputs'!$B$33,'Inputs'!$B$29+'Inputs'!$B$31+'Inputs'!$B$32,'Inputs'!$B$30+'Inputs'!$B$31+'Inputs'!$B$32)/1000+'Inputs'!$B$21+'Inputs'!$B$9+'Inputs'!$B$10))^2+('Inputs'!$B$6/2)^2))))*'Results'!$B$8)-'Inputs'!$B$28*ABS((('Results'!C7*(1-'Inputs'!$B$24)*(0.5*((((728-43)*MAX('Inputs'!$B$33,'Inputs'!$B$29+'Inputs'!$B$31+'Inputs'!$B$32,'Inputs'!$B$30+'Inputs'!$B$31+'Inputs'!$B$32)/1000+'Inputs'!$B$21)+'Inputs'!$B$9)/SQRT((((728-43)*MAX('Inputs'!$B$33,'Inputs'!$B$29+'Inputs'!$B$31+'Inputs'!$B$32,'Inputs'!$B$30+'Inputs'!$B$31+'Inputs'!$B$32)/1000+'Inputs'!$B$21)+'Inputs'!$B$9)^2+('Inputs'!$B$8/2)^2)-(((728-43)*MAX('Inputs'!$B$33,'Inputs'!$B$29+'Inputs'!$B$31+'Inputs'!$B$32,'Inputs'!$B$30+'Inputs'!$B$31+'Inputs'!$B$32)/1000+'Inputs'!$B$21))/SQRT((((728-43)*MAX('Inputs'!$B$33,'Inputs'!$B$29+'Inputs'!$B$31+'Inputs'!$B$32,'Inputs'!$B$30+'Inputs'!$B$31+'Inputs'!$B$32)/1000+'Inputs'!$B$21))^2+('Inputs'!$B$8/2)^2)))-'Results'!B7*(1+'Inputs'!$B$24)*(0.5*((((728-43)*MAX('Inputs'!$B$33,'Inputs'!$B$29+'Inputs'!$B$31+'Inputs'!$B$32,'Inputs'!$B$30+'Inputs'!$B$31+'Inputs'!$B$32)/1000+'Inputs'!$B$21+'Inputs'!$B$9+'Inputs'!$B$10)+'Inputs'!$B$7)/SQRT((((728-43)*MAX('Inputs'!$B$33,'Inputs'!$B$29+'Inputs'!$B$31+'Inputs'!$B$32,'Inputs'!$B$30+'Inputs'!$B$31+'Inputs'!$B$32)/1000+'Inputs'!$B$21+'Inputs'!$B$9+'Inputs'!$B$10)+'Inputs'!$B$7)^2+('Inputs'!$B$6/2)^2)-(((728-43)*MAX('Inputs'!$B$33,'Inputs'!$B$29+'Inputs'!$B$31+'Inputs'!$B$32,'Inputs'!$B$30+'Inputs'!$B$31+'Inputs'!$B$32)/1000+'Inputs'!$B$21+'Inputs'!$B$9+'Inputs'!$B$10))/SQRT((((728-43)*MAX('Inputs'!$B$33,'Inputs'!$B$29+'Inputs'!$B$31+'Inputs'!$B$32,'Inputs'!$B$30+'Inputs'!$B$31+'Inputs'!$B$32)/1000+'Inputs'!$B$21+'Inputs'!$B$9+'Inputs'!$B$10))^2+('Inputs'!$B$6/2)^2))))*'Results'!$B$8))),"")</x:f>
        <x:v>1.0947954249147365</x:v>
      </x:c>
      <x:c r="O728" t="n">
        <x:f>IF(AND(ISNUMBER('Results'!C7),ISNUMBER('Results'!B7),ISNUMBER('Results'!$B$8),ISNUMBER('Inputs'!$B$6),ISNUMBER('Inputs'!$B$7),ISNUMBER('Inputs'!$B$8),ISNUMBER('Inputs'!$B$9),ISNUMBER('Inputs'!$B$10),ISNUMBER('Inputs'!$B$21),ISNUMBER('Inputs'!$B$24),ISNUMBER('Inputs'!$B$28)),((('Results'!C7*(1+'Inputs'!$B$24)*(0.5*((((728-43)*MAX('Inputs'!$B$33,'Inputs'!$B$29+'Inputs'!$B$31+'Inputs'!$B$32,'Inputs'!$B$30+'Inputs'!$B$31+'Inputs'!$B$32)/1000+'Inputs'!$B$21)+'Inputs'!$B$9)/SQRT((((728-43)*MAX('Inputs'!$B$33,'Inputs'!$B$29+'Inputs'!$B$31+'Inputs'!$B$32,'Inputs'!$B$30+'Inputs'!$B$31+'Inputs'!$B$32)/1000+'Inputs'!$B$21)+'Inputs'!$B$9)^2+('Inputs'!$B$8/2)^2)-(((728-43)*MAX('Inputs'!$B$33,'Inputs'!$B$29+'Inputs'!$B$31+'Inputs'!$B$32,'Inputs'!$B$30+'Inputs'!$B$31+'Inputs'!$B$32)/1000+'Inputs'!$B$21))/SQRT((((728-43)*MAX('Inputs'!$B$33,'Inputs'!$B$29+'Inputs'!$B$31+'Inputs'!$B$32,'Inputs'!$B$30+'Inputs'!$B$31+'Inputs'!$B$32)/1000+'Inputs'!$B$21))^2+('Inputs'!$B$8/2)^2)))-'Results'!B7*(1-'Inputs'!$B$24)*(0.5*((((728-43)*MAX('Inputs'!$B$33,'Inputs'!$B$29+'Inputs'!$B$31+'Inputs'!$B$32,'Inputs'!$B$30+'Inputs'!$B$31+'Inputs'!$B$32)/1000+'Inputs'!$B$21+'Inputs'!$B$9+'Inputs'!$B$10)+'Inputs'!$B$7)/SQRT((((728-43)*MAX('Inputs'!$B$33,'Inputs'!$B$29+'Inputs'!$B$31+'Inputs'!$B$32,'Inputs'!$B$30+'Inputs'!$B$31+'Inputs'!$B$32)/1000+'Inputs'!$B$21+'Inputs'!$B$9+'Inputs'!$B$10)+'Inputs'!$B$7)^2+('Inputs'!$B$6/2)^2)-(((728-43)*MAX('Inputs'!$B$33,'Inputs'!$B$29+'Inputs'!$B$31+'Inputs'!$B$32,'Inputs'!$B$30+'Inputs'!$B$31+'Inputs'!$B$32)/1000+'Inputs'!$B$21+'Inputs'!$B$9+'Inputs'!$B$10))/SQRT((((728-43)*MAX('Inputs'!$B$33,'Inputs'!$B$29+'Inputs'!$B$31+'Inputs'!$B$32,'Inputs'!$B$30+'Inputs'!$B$31+'Inputs'!$B$32)/1000+'Inputs'!$B$21+'Inputs'!$B$9+'Inputs'!$B$10))^2+('Inputs'!$B$6/2)^2))))*'Results'!$B$8)+'Inputs'!$B$28*ABS((('Results'!C7*(1+'Inputs'!$B$24)*(0.5*((((728-43)*MAX('Inputs'!$B$33,'Inputs'!$B$29+'Inputs'!$B$31+'Inputs'!$B$32,'Inputs'!$B$30+'Inputs'!$B$31+'Inputs'!$B$32)/1000+'Inputs'!$B$21)+'Inputs'!$B$9)/SQRT((((728-43)*MAX('Inputs'!$B$33,'Inputs'!$B$29+'Inputs'!$B$31+'Inputs'!$B$32,'Inputs'!$B$30+'Inputs'!$B$31+'Inputs'!$B$32)/1000+'Inputs'!$B$21)+'Inputs'!$B$9)^2+('Inputs'!$B$8/2)^2)-(((728-43)*MAX('Inputs'!$B$33,'Inputs'!$B$29+'Inputs'!$B$31+'Inputs'!$B$32,'Inputs'!$B$30+'Inputs'!$B$31+'Inputs'!$B$32)/1000+'Inputs'!$B$21))/SQRT((((728-43)*MAX('Inputs'!$B$33,'Inputs'!$B$29+'Inputs'!$B$31+'Inputs'!$B$32,'Inputs'!$B$30+'Inputs'!$B$31+'Inputs'!$B$32)/1000+'Inputs'!$B$21))^2+('Inputs'!$B$8/2)^2)))-'Results'!B7*(1-'Inputs'!$B$24)*(0.5*((((728-43)*MAX('Inputs'!$B$33,'Inputs'!$B$29+'Inputs'!$B$31+'Inputs'!$B$32,'Inputs'!$B$30+'Inputs'!$B$31+'Inputs'!$B$32)/1000+'Inputs'!$B$21+'Inputs'!$B$9+'Inputs'!$B$10)+'Inputs'!$B$7)/SQRT((((728-43)*MAX('Inputs'!$B$33,'Inputs'!$B$29+'Inputs'!$B$31+'Inputs'!$B$32,'Inputs'!$B$30+'Inputs'!$B$31+'Inputs'!$B$32)/1000+'Inputs'!$B$21+'Inputs'!$B$9+'Inputs'!$B$10)+'Inputs'!$B$7)^2+('Inputs'!$B$6/2)^2)-(((728-43)*MAX('Inputs'!$B$33,'Inputs'!$B$29+'Inputs'!$B$31+'Inputs'!$B$32,'Inputs'!$B$30+'Inputs'!$B$31+'Inputs'!$B$32)/1000+'Inputs'!$B$21+'Inputs'!$B$9+'Inputs'!$B$10))/SQRT((((728-43)*MAX('Inputs'!$B$33,'Inputs'!$B$29+'Inputs'!$B$31+'Inputs'!$B$32,'Inputs'!$B$30+'Inputs'!$B$31+'Inputs'!$B$32)/1000+'Inputs'!$B$21+'Inputs'!$B$9+'Inputs'!$B$10))^2+('Inputs'!$B$6/2)^2))))*'Results'!$B$8))),"")</x:f>
        <x:v>1.4640029914802686</x:v>
      </x:c>
      <x:c r="P728" t="n">
        <x:f>IF(AND(MAX(J728,J727)&gt;0,J728&gt;J727+0.00000001),1,0)</x:f>
        <x:v>0</x:v>
      </x:c>
      <x:c r="Q728" t="n">
        <x:f>IF(AND(MAX(K728,K727)&gt;0,K728&gt;K727+0.00000001),1,0)</x:f>
        <x:v>0</x:v>
      </x:c>
      <x:c r="R728" t="n">
        <x:f>IF(AND(MAX(L728,L727)&gt;0,L728&gt;L727+0.00000001),1,0)</x:f>
        <x:v>0</x:v>
      </x:c>
      <x:c r="S728" t="n">
        <x:f>IF(AND(MAX(M728,M727)&gt;0,M728&gt;M727+0.00000001),1,0)</x:f>
        <x:v>0</x:v>
      </x:c>
      <x:c r="T728" t="n">
        <x:f>IF(AND(MAX(N728,N727)&gt;0,N728&gt;N727+0.00000001),1,0)</x:f>
        <x:v>0</x:v>
      </x:c>
      <x:c r="U728" t="n">
        <x:f>IF(AND(MAX(O728,O727)&gt;0,O728&gt;O727+0.00000001),1,0)</x:f>
        <x:v>0</x:v>
      </x:c>
    </x:row>
    <x:row r="729">
      <x:c r="J729" t="n">
        <x:f>IF(AND(ISNUMBER('Results'!B7),ISNUMBER('Results'!C7),ISNUMBER('Results'!$B$8),ISNUMBER('Inputs'!$B$6),ISNUMBER('Inputs'!$B$7),ISNUMBER('Inputs'!$B$8),ISNUMBER('Inputs'!$B$9),ISNUMBER('Inputs'!$B$10),ISNUMBER('Inputs'!$B$21),ISNUMBER('Inputs'!$B$24),ISNUMBER('Inputs'!$B$28)),(('Results'!B7*(0.5*((((729-43)*MAX('Inputs'!$B$33,'Inputs'!$B$29+'Inputs'!$B$31+'Inputs'!$B$32,'Inputs'!$B$30+'Inputs'!$B$31+'Inputs'!$B$32)/1000+'Inputs'!$B$21)+'Inputs'!$B$7)/SQRT((((729-43)*MAX('Inputs'!$B$33,'Inputs'!$B$29+'Inputs'!$B$31+'Inputs'!$B$32,'Inputs'!$B$30+'Inputs'!$B$31+'Inputs'!$B$32)/1000+'Inputs'!$B$21)+'Inputs'!$B$7)^2+('Inputs'!$B$6/2)^2)-(((729-43)*MAX('Inputs'!$B$33,'Inputs'!$B$29+'Inputs'!$B$31+'Inputs'!$B$32,'Inputs'!$B$30+'Inputs'!$B$31+'Inputs'!$B$32)/1000+'Inputs'!$B$21))/SQRT((((729-43)*MAX('Inputs'!$B$33,'Inputs'!$B$29+'Inputs'!$B$31+'Inputs'!$B$32,'Inputs'!$B$30+'Inputs'!$B$31+'Inputs'!$B$32)/1000+'Inputs'!$B$21))^2+('Inputs'!$B$6/2)^2)))-'Results'!C7*(0.5*((((729-43)*MAX('Inputs'!$B$33,'Inputs'!$B$29+'Inputs'!$B$31+'Inputs'!$B$32,'Inputs'!$B$30+'Inputs'!$B$31+'Inputs'!$B$32)/1000+'Inputs'!$B$21+'Inputs'!$B$7+'Inputs'!$B$10)+'Inputs'!$B$9)/SQRT((((729-43)*MAX('Inputs'!$B$33,'Inputs'!$B$29+'Inputs'!$B$31+'Inputs'!$B$32,'Inputs'!$B$30+'Inputs'!$B$31+'Inputs'!$B$32)/1000+'Inputs'!$B$21+'Inputs'!$B$7+'Inputs'!$B$10)+'Inputs'!$B$9)^2+('Inputs'!$B$8/2)^2)-(((729-43)*MAX('Inputs'!$B$33,'Inputs'!$B$29+'Inputs'!$B$31+'Inputs'!$B$32,'Inputs'!$B$30+'Inputs'!$B$31+'Inputs'!$B$32)/1000+'Inputs'!$B$21+'Inputs'!$B$7+'Inputs'!$B$10))/SQRT((((729-43)*MAX('Inputs'!$B$33,'Inputs'!$B$29+'Inputs'!$B$31+'Inputs'!$B$32,'Inputs'!$B$30+'Inputs'!$B$31+'Inputs'!$B$32)/1000+'Inputs'!$B$21+'Inputs'!$B$7+'Inputs'!$B$10))^2+('Inputs'!$B$8/2)^2))))*'Results'!$B$8),"")</x:f>
        <x:v>1.388581896808903</x:v>
      </x:c>
      <x:c r="K729" t="n">
        <x:f>IF(AND(ISNUMBER('Results'!B7),ISNUMBER('Results'!C7),ISNUMBER('Results'!$B$8),ISNUMBER('Inputs'!$B$6),ISNUMBER('Inputs'!$B$7),ISNUMBER('Inputs'!$B$8),ISNUMBER('Inputs'!$B$9),ISNUMBER('Inputs'!$B$10),ISNUMBER('Inputs'!$B$21),ISNUMBER('Inputs'!$B$24),ISNUMBER('Inputs'!$B$28)),((('Results'!B7*(1-'Inputs'!$B$24)*(0.5*((((729-43)*MAX('Inputs'!$B$33,'Inputs'!$B$29+'Inputs'!$B$31+'Inputs'!$B$32,'Inputs'!$B$30+'Inputs'!$B$31+'Inputs'!$B$32)/1000+'Inputs'!$B$21)+'Inputs'!$B$7)/SQRT((((729-43)*MAX('Inputs'!$B$33,'Inputs'!$B$29+'Inputs'!$B$31+'Inputs'!$B$32,'Inputs'!$B$30+'Inputs'!$B$31+'Inputs'!$B$32)/1000+'Inputs'!$B$21)+'Inputs'!$B$7)^2+('Inputs'!$B$6/2)^2)-(((729-43)*MAX('Inputs'!$B$33,'Inputs'!$B$29+'Inputs'!$B$31+'Inputs'!$B$32,'Inputs'!$B$30+'Inputs'!$B$31+'Inputs'!$B$32)/1000+'Inputs'!$B$21))/SQRT((((729-43)*MAX('Inputs'!$B$33,'Inputs'!$B$29+'Inputs'!$B$31+'Inputs'!$B$32,'Inputs'!$B$30+'Inputs'!$B$31+'Inputs'!$B$32)/1000+'Inputs'!$B$21))^2+('Inputs'!$B$6/2)^2)))-'Results'!C7*(1+'Inputs'!$B$24)*(0.5*((((729-43)*MAX('Inputs'!$B$33,'Inputs'!$B$29+'Inputs'!$B$31+'Inputs'!$B$32,'Inputs'!$B$30+'Inputs'!$B$31+'Inputs'!$B$32)/1000+'Inputs'!$B$21+'Inputs'!$B$7+'Inputs'!$B$10)+'Inputs'!$B$9)/SQRT((((729-43)*MAX('Inputs'!$B$33,'Inputs'!$B$29+'Inputs'!$B$31+'Inputs'!$B$32,'Inputs'!$B$30+'Inputs'!$B$31+'Inputs'!$B$32)/1000+'Inputs'!$B$21+'Inputs'!$B$7+'Inputs'!$B$10)+'Inputs'!$B$9)^2+('Inputs'!$B$8/2)^2)-(((729-43)*MAX('Inputs'!$B$33,'Inputs'!$B$29+'Inputs'!$B$31+'Inputs'!$B$32,'Inputs'!$B$30+'Inputs'!$B$31+'Inputs'!$B$32)/1000+'Inputs'!$B$21+'Inputs'!$B$7+'Inputs'!$B$10))/SQRT((((729-43)*MAX('Inputs'!$B$33,'Inputs'!$B$29+'Inputs'!$B$31+'Inputs'!$B$32,'Inputs'!$B$30+'Inputs'!$B$31+'Inputs'!$B$32)/1000+'Inputs'!$B$21+'Inputs'!$B$7+'Inputs'!$B$10))^2+('Inputs'!$B$8/2)^2))))*'Results'!$B$8)-'Inputs'!$B$28*ABS((('Results'!B7*(1-'Inputs'!$B$24)*(0.5*((((729-43)*MAX('Inputs'!$B$33,'Inputs'!$B$29+'Inputs'!$B$31+'Inputs'!$B$32,'Inputs'!$B$30+'Inputs'!$B$31+'Inputs'!$B$32)/1000+'Inputs'!$B$21)+'Inputs'!$B$7)/SQRT((((729-43)*MAX('Inputs'!$B$33,'Inputs'!$B$29+'Inputs'!$B$31+'Inputs'!$B$32,'Inputs'!$B$30+'Inputs'!$B$31+'Inputs'!$B$32)/1000+'Inputs'!$B$21)+'Inputs'!$B$7)^2+('Inputs'!$B$6/2)^2)-(((729-43)*MAX('Inputs'!$B$33,'Inputs'!$B$29+'Inputs'!$B$31+'Inputs'!$B$32,'Inputs'!$B$30+'Inputs'!$B$31+'Inputs'!$B$32)/1000+'Inputs'!$B$21))/SQRT((((729-43)*MAX('Inputs'!$B$33,'Inputs'!$B$29+'Inputs'!$B$31+'Inputs'!$B$32,'Inputs'!$B$30+'Inputs'!$B$31+'Inputs'!$B$32)/1000+'Inputs'!$B$21))^2+('Inputs'!$B$6/2)^2)))-'Results'!C7*(1+'Inputs'!$B$24)*(0.5*((((729-43)*MAX('Inputs'!$B$33,'Inputs'!$B$29+'Inputs'!$B$31+'Inputs'!$B$32,'Inputs'!$B$30+'Inputs'!$B$31+'Inputs'!$B$32)/1000+'Inputs'!$B$21+'Inputs'!$B$7+'Inputs'!$B$10)+'Inputs'!$B$9)/SQRT((((729-43)*MAX('Inputs'!$B$33,'Inputs'!$B$29+'Inputs'!$B$31+'Inputs'!$B$32,'Inputs'!$B$30+'Inputs'!$B$31+'Inputs'!$B$32)/1000+'Inputs'!$B$21+'Inputs'!$B$7+'Inputs'!$B$10)+'Inputs'!$B$9)^2+('Inputs'!$B$8/2)^2)-(((729-43)*MAX('Inputs'!$B$33,'Inputs'!$B$29+'Inputs'!$B$31+'Inputs'!$B$32,'Inputs'!$B$30+'Inputs'!$B$31+'Inputs'!$B$32)/1000+'Inputs'!$B$21+'Inputs'!$B$7+'Inputs'!$B$10))/SQRT((((729-43)*MAX('Inputs'!$B$33,'Inputs'!$B$29+'Inputs'!$B$31+'Inputs'!$B$32,'Inputs'!$B$30+'Inputs'!$B$31+'Inputs'!$B$32)/1000+'Inputs'!$B$21+'Inputs'!$B$7+'Inputs'!$B$10))^2+('Inputs'!$B$8/2)^2))))*'Results'!$B$8))),"")</x:f>
        <x:v>1.2042098056496313</x:v>
      </x:c>
      <x:c r="L729" t="n">
        <x:f>IF(AND(ISNUMBER('Results'!B7),ISNUMBER('Results'!C7),ISNUMBER('Results'!$B$8),ISNUMBER('Inputs'!$B$6),ISNUMBER('Inputs'!$B$7),ISNUMBER('Inputs'!$B$8),ISNUMBER('Inputs'!$B$9),ISNUMBER('Inputs'!$B$10),ISNUMBER('Inputs'!$B$21),ISNUMBER('Inputs'!$B$24),ISNUMBER('Inputs'!$B$28)),((('Results'!B7*(1+'Inputs'!$B$24)*(0.5*((((729-43)*MAX('Inputs'!$B$33,'Inputs'!$B$29+'Inputs'!$B$31+'Inputs'!$B$32,'Inputs'!$B$30+'Inputs'!$B$31+'Inputs'!$B$32)/1000+'Inputs'!$B$21)+'Inputs'!$B$7)/SQRT((((729-43)*MAX('Inputs'!$B$33,'Inputs'!$B$29+'Inputs'!$B$31+'Inputs'!$B$32,'Inputs'!$B$30+'Inputs'!$B$31+'Inputs'!$B$32)/1000+'Inputs'!$B$21)+'Inputs'!$B$7)^2+('Inputs'!$B$6/2)^2)-(((729-43)*MAX('Inputs'!$B$33,'Inputs'!$B$29+'Inputs'!$B$31+'Inputs'!$B$32,'Inputs'!$B$30+'Inputs'!$B$31+'Inputs'!$B$32)/1000+'Inputs'!$B$21))/SQRT((((729-43)*MAX('Inputs'!$B$33,'Inputs'!$B$29+'Inputs'!$B$31+'Inputs'!$B$32,'Inputs'!$B$30+'Inputs'!$B$31+'Inputs'!$B$32)/1000+'Inputs'!$B$21))^2+('Inputs'!$B$6/2)^2)))-'Results'!C7*(1-'Inputs'!$B$24)*(0.5*((((729-43)*MAX('Inputs'!$B$33,'Inputs'!$B$29+'Inputs'!$B$31+'Inputs'!$B$32,'Inputs'!$B$30+'Inputs'!$B$31+'Inputs'!$B$32)/1000+'Inputs'!$B$21+'Inputs'!$B$7+'Inputs'!$B$10)+'Inputs'!$B$9)/SQRT((((729-43)*MAX('Inputs'!$B$33,'Inputs'!$B$29+'Inputs'!$B$31+'Inputs'!$B$32,'Inputs'!$B$30+'Inputs'!$B$31+'Inputs'!$B$32)/1000+'Inputs'!$B$21+'Inputs'!$B$7+'Inputs'!$B$10)+'Inputs'!$B$9)^2+('Inputs'!$B$8/2)^2)-(((729-43)*MAX('Inputs'!$B$33,'Inputs'!$B$29+'Inputs'!$B$31+'Inputs'!$B$32,'Inputs'!$B$30+'Inputs'!$B$31+'Inputs'!$B$32)/1000+'Inputs'!$B$21+'Inputs'!$B$7+'Inputs'!$B$10))/SQRT((((729-43)*MAX('Inputs'!$B$33,'Inputs'!$B$29+'Inputs'!$B$31+'Inputs'!$B$32,'Inputs'!$B$30+'Inputs'!$B$31+'Inputs'!$B$32)/1000+'Inputs'!$B$21+'Inputs'!$B$7+'Inputs'!$B$10))^2+('Inputs'!$B$8/2)^2))))*'Results'!$B$8)+'Inputs'!$B$28*ABS((('Results'!B7*(1+'Inputs'!$B$24)*(0.5*((((729-43)*MAX('Inputs'!$B$33,'Inputs'!$B$29+'Inputs'!$B$31+'Inputs'!$B$32,'Inputs'!$B$30+'Inputs'!$B$31+'Inputs'!$B$32)/1000+'Inputs'!$B$21)+'Inputs'!$B$7)/SQRT((((729-43)*MAX('Inputs'!$B$33,'Inputs'!$B$29+'Inputs'!$B$31+'Inputs'!$B$32,'Inputs'!$B$30+'Inputs'!$B$31+'Inputs'!$B$32)/1000+'Inputs'!$B$21)+'Inputs'!$B$7)^2+('Inputs'!$B$6/2)^2)-(((729-43)*MAX('Inputs'!$B$33,'Inputs'!$B$29+'Inputs'!$B$31+'Inputs'!$B$32,'Inputs'!$B$30+'Inputs'!$B$31+'Inputs'!$B$32)/1000+'Inputs'!$B$21))/SQRT((((729-43)*MAX('Inputs'!$B$33,'Inputs'!$B$29+'Inputs'!$B$31+'Inputs'!$B$32,'Inputs'!$B$30+'Inputs'!$B$31+'Inputs'!$B$32)/1000+'Inputs'!$B$21))^2+('Inputs'!$B$6/2)^2)))-'Results'!C7*(1-'Inputs'!$B$24)*(0.5*((((729-43)*MAX('Inputs'!$B$33,'Inputs'!$B$29+'Inputs'!$B$31+'Inputs'!$B$32,'Inputs'!$B$30+'Inputs'!$B$31+'Inputs'!$B$32)/1000+'Inputs'!$B$21+'Inputs'!$B$7+'Inputs'!$B$10)+'Inputs'!$B$9)/SQRT((((729-43)*MAX('Inputs'!$B$33,'Inputs'!$B$29+'Inputs'!$B$31+'Inputs'!$B$32,'Inputs'!$B$30+'Inputs'!$B$31+'Inputs'!$B$32)/1000+'Inputs'!$B$21+'Inputs'!$B$7+'Inputs'!$B$10)+'Inputs'!$B$9)^2+('Inputs'!$B$8/2)^2)-(((729-43)*MAX('Inputs'!$B$33,'Inputs'!$B$29+'Inputs'!$B$31+'Inputs'!$B$32,'Inputs'!$B$30+'Inputs'!$B$31+'Inputs'!$B$32)/1000+'Inputs'!$B$21+'Inputs'!$B$7+'Inputs'!$B$10))/SQRT((((729-43)*MAX('Inputs'!$B$33,'Inputs'!$B$29+'Inputs'!$B$31+'Inputs'!$B$32,'Inputs'!$B$30+'Inputs'!$B$31+'Inputs'!$B$32)/1000+'Inputs'!$B$21+'Inputs'!$B$7+'Inputs'!$B$10))^2+('Inputs'!$B$8/2)^2))))*'Results'!$B$8))),"")</x:f>
        <x:v>1.5850532507385773</x:v>
      </x:c>
      <x:c r="M729" t="n">
        <x:f>IF(AND(ISNUMBER('Results'!C7),ISNUMBER('Results'!B7),ISNUMBER('Results'!$B$8),ISNUMBER('Inputs'!$B$6),ISNUMBER('Inputs'!$B$7),ISNUMBER('Inputs'!$B$8),ISNUMBER('Inputs'!$B$9),ISNUMBER('Inputs'!$B$10),ISNUMBER('Inputs'!$B$21),ISNUMBER('Inputs'!$B$24),ISNUMBER('Inputs'!$B$28)),(('Results'!C7*(0.5*((((729-43)*MAX('Inputs'!$B$33,'Inputs'!$B$29+'Inputs'!$B$31+'Inputs'!$B$32,'Inputs'!$B$30+'Inputs'!$B$31+'Inputs'!$B$32)/1000+'Inputs'!$B$21)+'Inputs'!$B$9)/SQRT((((729-43)*MAX('Inputs'!$B$33,'Inputs'!$B$29+'Inputs'!$B$31+'Inputs'!$B$32,'Inputs'!$B$30+'Inputs'!$B$31+'Inputs'!$B$32)/1000+'Inputs'!$B$21)+'Inputs'!$B$9)^2+('Inputs'!$B$8/2)^2)-(((729-43)*MAX('Inputs'!$B$33,'Inputs'!$B$29+'Inputs'!$B$31+'Inputs'!$B$32,'Inputs'!$B$30+'Inputs'!$B$31+'Inputs'!$B$32)/1000+'Inputs'!$B$21))/SQRT((((729-43)*MAX('Inputs'!$B$33,'Inputs'!$B$29+'Inputs'!$B$31+'Inputs'!$B$32,'Inputs'!$B$30+'Inputs'!$B$31+'Inputs'!$B$32)/1000+'Inputs'!$B$21))^2+('Inputs'!$B$8/2)^2)))-'Results'!B7*(0.5*((((729-43)*MAX('Inputs'!$B$33,'Inputs'!$B$29+'Inputs'!$B$31+'Inputs'!$B$32,'Inputs'!$B$30+'Inputs'!$B$31+'Inputs'!$B$32)/1000+'Inputs'!$B$21+'Inputs'!$B$9+'Inputs'!$B$10)+'Inputs'!$B$7)/SQRT((((729-43)*MAX('Inputs'!$B$33,'Inputs'!$B$29+'Inputs'!$B$31+'Inputs'!$B$32,'Inputs'!$B$30+'Inputs'!$B$31+'Inputs'!$B$32)/1000+'Inputs'!$B$21+'Inputs'!$B$9+'Inputs'!$B$10)+'Inputs'!$B$7)^2+('Inputs'!$B$6/2)^2)-(((729-43)*MAX('Inputs'!$B$33,'Inputs'!$B$29+'Inputs'!$B$31+'Inputs'!$B$32,'Inputs'!$B$30+'Inputs'!$B$31+'Inputs'!$B$32)/1000+'Inputs'!$B$21+'Inputs'!$B$9+'Inputs'!$B$10))/SQRT((((729-43)*MAX('Inputs'!$B$33,'Inputs'!$B$29+'Inputs'!$B$31+'Inputs'!$B$32,'Inputs'!$B$30+'Inputs'!$B$31+'Inputs'!$B$32)/1000+'Inputs'!$B$21+'Inputs'!$B$9+'Inputs'!$B$10))^2+('Inputs'!$B$6/2)^2))))*'Results'!$B$8),"")</x:f>
        <x:v>1.2666380345154076</x:v>
      </x:c>
      <x:c r="N729" t="n">
        <x:f>IF(AND(ISNUMBER('Results'!C7),ISNUMBER('Results'!B7),ISNUMBER('Results'!$B$8),ISNUMBER('Inputs'!$B$6),ISNUMBER('Inputs'!$B$7),ISNUMBER('Inputs'!$B$8),ISNUMBER('Inputs'!$B$9),ISNUMBER('Inputs'!$B$10),ISNUMBER('Inputs'!$B$21),ISNUMBER('Inputs'!$B$24),ISNUMBER('Inputs'!$B$28)),((('Results'!C7*(1-'Inputs'!$B$24)*(0.5*((((729-43)*MAX('Inputs'!$B$33,'Inputs'!$B$29+'Inputs'!$B$31+'Inputs'!$B$32,'Inputs'!$B$30+'Inputs'!$B$31+'Inputs'!$B$32)/1000+'Inputs'!$B$21)+'Inputs'!$B$9)/SQRT((((729-43)*MAX('Inputs'!$B$33,'Inputs'!$B$29+'Inputs'!$B$31+'Inputs'!$B$32,'Inputs'!$B$30+'Inputs'!$B$31+'Inputs'!$B$32)/1000+'Inputs'!$B$21)+'Inputs'!$B$9)^2+('Inputs'!$B$8/2)^2)-(((729-43)*MAX('Inputs'!$B$33,'Inputs'!$B$29+'Inputs'!$B$31+'Inputs'!$B$32,'Inputs'!$B$30+'Inputs'!$B$31+'Inputs'!$B$32)/1000+'Inputs'!$B$21))/SQRT((((729-43)*MAX('Inputs'!$B$33,'Inputs'!$B$29+'Inputs'!$B$31+'Inputs'!$B$32,'Inputs'!$B$30+'Inputs'!$B$31+'Inputs'!$B$32)/1000+'Inputs'!$B$21))^2+('Inputs'!$B$8/2)^2)))-'Results'!B7*(1+'Inputs'!$B$24)*(0.5*((((729-43)*MAX('Inputs'!$B$33,'Inputs'!$B$29+'Inputs'!$B$31+'Inputs'!$B$32,'Inputs'!$B$30+'Inputs'!$B$31+'Inputs'!$B$32)/1000+'Inputs'!$B$21+'Inputs'!$B$9+'Inputs'!$B$10)+'Inputs'!$B$7)/SQRT((((729-43)*MAX('Inputs'!$B$33,'Inputs'!$B$29+'Inputs'!$B$31+'Inputs'!$B$32,'Inputs'!$B$30+'Inputs'!$B$31+'Inputs'!$B$32)/1000+'Inputs'!$B$21+'Inputs'!$B$9+'Inputs'!$B$10)+'Inputs'!$B$7)^2+('Inputs'!$B$6/2)^2)-(((729-43)*MAX('Inputs'!$B$33,'Inputs'!$B$29+'Inputs'!$B$31+'Inputs'!$B$32,'Inputs'!$B$30+'Inputs'!$B$31+'Inputs'!$B$32)/1000+'Inputs'!$B$21+'Inputs'!$B$9+'Inputs'!$B$10))/SQRT((((729-43)*MAX('Inputs'!$B$33,'Inputs'!$B$29+'Inputs'!$B$31+'Inputs'!$B$32,'Inputs'!$B$30+'Inputs'!$B$31+'Inputs'!$B$32)/1000+'Inputs'!$B$21+'Inputs'!$B$9+'Inputs'!$B$10))^2+('Inputs'!$B$6/2)^2))))*'Results'!$B$8)-'Inputs'!$B$28*ABS((('Results'!C7*(1-'Inputs'!$B$24)*(0.5*((((729-43)*MAX('Inputs'!$B$33,'Inputs'!$B$29+'Inputs'!$B$31+'Inputs'!$B$32,'Inputs'!$B$30+'Inputs'!$B$31+'Inputs'!$B$32)/1000+'Inputs'!$B$21)+'Inputs'!$B$9)/SQRT((((729-43)*MAX('Inputs'!$B$33,'Inputs'!$B$29+'Inputs'!$B$31+'Inputs'!$B$32,'Inputs'!$B$30+'Inputs'!$B$31+'Inputs'!$B$32)/1000+'Inputs'!$B$21)+'Inputs'!$B$9)^2+('Inputs'!$B$8/2)^2)-(((729-43)*MAX('Inputs'!$B$33,'Inputs'!$B$29+'Inputs'!$B$31+'Inputs'!$B$32,'Inputs'!$B$30+'Inputs'!$B$31+'Inputs'!$B$32)/1000+'Inputs'!$B$21))/SQRT((((729-43)*MAX('Inputs'!$B$33,'Inputs'!$B$29+'Inputs'!$B$31+'Inputs'!$B$32,'Inputs'!$B$30+'Inputs'!$B$31+'Inputs'!$B$32)/1000+'Inputs'!$B$21))^2+('Inputs'!$B$8/2)^2)))-'Results'!B7*(1+'Inputs'!$B$24)*(0.5*((((729-43)*MAX('Inputs'!$B$33,'Inputs'!$B$29+'Inputs'!$B$31+'Inputs'!$B$32,'Inputs'!$B$30+'Inputs'!$B$31+'Inputs'!$B$32)/1000+'Inputs'!$B$21+'Inputs'!$B$9+'Inputs'!$B$10)+'Inputs'!$B$7)/SQRT((((729-43)*MAX('Inputs'!$B$33,'Inputs'!$B$29+'Inputs'!$B$31+'Inputs'!$B$32,'Inputs'!$B$30+'Inputs'!$B$31+'Inputs'!$B$32)/1000+'Inputs'!$B$21+'Inputs'!$B$9+'Inputs'!$B$10)+'Inputs'!$B$7)^2+('Inputs'!$B$6/2)^2)-(((729-43)*MAX('Inputs'!$B$33,'Inputs'!$B$29+'Inputs'!$B$31+'Inputs'!$B$32,'Inputs'!$B$30+'Inputs'!$B$31+'Inputs'!$B$32)/1000+'Inputs'!$B$21+'Inputs'!$B$9+'Inputs'!$B$10))/SQRT((((729-43)*MAX('Inputs'!$B$33,'Inputs'!$B$29+'Inputs'!$B$31+'Inputs'!$B$32,'Inputs'!$B$30+'Inputs'!$B$31+'Inputs'!$B$32)/1000+'Inputs'!$B$21+'Inputs'!$B$9+'Inputs'!$B$10))^2+('Inputs'!$B$6/2)^2))))*'Results'!$B$8))),"")</x:f>
        <x:v>1.088872724134398</x:v>
      </x:c>
      <x:c r="O729" t="n">
        <x:f>IF(AND(ISNUMBER('Results'!C7),ISNUMBER('Results'!B7),ISNUMBER('Results'!$B$8),ISNUMBER('Inputs'!$B$6),ISNUMBER('Inputs'!$B$7),ISNUMBER('Inputs'!$B$8),ISNUMBER('Inputs'!$B$9),ISNUMBER('Inputs'!$B$10),ISNUMBER('Inputs'!$B$21),ISNUMBER('Inputs'!$B$24),ISNUMBER('Inputs'!$B$28)),((('Results'!C7*(1+'Inputs'!$B$24)*(0.5*((((729-43)*MAX('Inputs'!$B$33,'Inputs'!$B$29+'Inputs'!$B$31+'Inputs'!$B$32,'Inputs'!$B$30+'Inputs'!$B$31+'Inputs'!$B$32)/1000+'Inputs'!$B$21)+'Inputs'!$B$9)/SQRT((((729-43)*MAX('Inputs'!$B$33,'Inputs'!$B$29+'Inputs'!$B$31+'Inputs'!$B$32,'Inputs'!$B$30+'Inputs'!$B$31+'Inputs'!$B$32)/1000+'Inputs'!$B$21)+'Inputs'!$B$9)^2+('Inputs'!$B$8/2)^2)-(((729-43)*MAX('Inputs'!$B$33,'Inputs'!$B$29+'Inputs'!$B$31+'Inputs'!$B$32,'Inputs'!$B$30+'Inputs'!$B$31+'Inputs'!$B$32)/1000+'Inputs'!$B$21))/SQRT((((729-43)*MAX('Inputs'!$B$33,'Inputs'!$B$29+'Inputs'!$B$31+'Inputs'!$B$32,'Inputs'!$B$30+'Inputs'!$B$31+'Inputs'!$B$32)/1000+'Inputs'!$B$21))^2+('Inputs'!$B$8/2)^2)))-'Results'!B7*(1-'Inputs'!$B$24)*(0.5*((((729-43)*MAX('Inputs'!$B$33,'Inputs'!$B$29+'Inputs'!$B$31+'Inputs'!$B$32,'Inputs'!$B$30+'Inputs'!$B$31+'Inputs'!$B$32)/1000+'Inputs'!$B$21+'Inputs'!$B$9+'Inputs'!$B$10)+'Inputs'!$B$7)/SQRT((((729-43)*MAX('Inputs'!$B$33,'Inputs'!$B$29+'Inputs'!$B$31+'Inputs'!$B$32,'Inputs'!$B$30+'Inputs'!$B$31+'Inputs'!$B$32)/1000+'Inputs'!$B$21+'Inputs'!$B$9+'Inputs'!$B$10)+'Inputs'!$B$7)^2+('Inputs'!$B$6/2)^2)-(((729-43)*MAX('Inputs'!$B$33,'Inputs'!$B$29+'Inputs'!$B$31+'Inputs'!$B$32,'Inputs'!$B$30+'Inputs'!$B$31+'Inputs'!$B$32)/1000+'Inputs'!$B$21+'Inputs'!$B$9+'Inputs'!$B$10))/SQRT((((729-43)*MAX('Inputs'!$B$33,'Inputs'!$B$29+'Inputs'!$B$31+'Inputs'!$B$32,'Inputs'!$B$30+'Inputs'!$B$31+'Inputs'!$B$32)/1000+'Inputs'!$B$21+'Inputs'!$B$9+'Inputs'!$B$10))^2+('Inputs'!$B$6/2)^2))))*'Results'!$B$8)+'Inputs'!$B$28*ABS((('Results'!C7*(1+'Inputs'!$B$24)*(0.5*((((729-43)*MAX('Inputs'!$B$33,'Inputs'!$B$29+'Inputs'!$B$31+'Inputs'!$B$32,'Inputs'!$B$30+'Inputs'!$B$31+'Inputs'!$B$32)/1000+'Inputs'!$B$21)+'Inputs'!$B$9)/SQRT((((729-43)*MAX('Inputs'!$B$33,'Inputs'!$B$29+'Inputs'!$B$31+'Inputs'!$B$32,'Inputs'!$B$30+'Inputs'!$B$31+'Inputs'!$B$32)/1000+'Inputs'!$B$21)+'Inputs'!$B$9)^2+('Inputs'!$B$8/2)^2)-(((729-43)*MAX('Inputs'!$B$33,'Inputs'!$B$29+'Inputs'!$B$31+'Inputs'!$B$32,'Inputs'!$B$30+'Inputs'!$B$31+'Inputs'!$B$32)/1000+'Inputs'!$B$21))/SQRT((((729-43)*MAX('Inputs'!$B$33,'Inputs'!$B$29+'Inputs'!$B$31+'Inputs'!$B$32,'Inputs'!$B$30+'Inputs'!$B$31+'Inputs'!$B$32)/1000+'Inputs'!$B$21))^2+('Inputs'!$B$8/2)^2)))-'Results'!B7*(1-'Inputs'!$B$24)*(0.5*((((729-43)*MAX('Inputs'!$B$33,'Inputs'!$B$29+'Inputs'!$B$31+'Inputs'!$B$32,'Inputs'!$B$30+'Inputs'!$B$31+'Inputs'!$B$32)/1000+'Inputs'!$B$21+'Inputs'!$B$9+'Inputs'!$B$10)+'Inputs'!$B$7)/SQRT((((729-43)*MAX('Inputs'!$B$33,'Inputs'!$B$29+'Inputs'!$B$31+'Inputs'!$B$32,'Inputs'!$B$30+'Inputs'!$B$31+'Inputs'!$B$32)/1000+'Inputs'!$B$21+'Inputs'!$B$9+'Inputs'!$B$10)+'Inputs'!$B$7)^2+('Inputs'!$B$6/2)^2)-(((729-43)*MAX('Inputs'!$B$33,'Inputs'!$B$29+'Inputs'!$B$31+'Inputs'!$B$32,'Inputs'!$B$30+'Inputs'!$B$31+'Inputs'!$B$32)/1000+'Inputs'!$B$21+'Inputs'!$B$9+'Inputs'!$B$10))/SQRT((((729-43)*MAX('Inputs'!$B$33,'Inputs'!$B$29+'Inputs'!$B$31+'Inputs'!$B$32,'Inputs'!$B$30+'Inputs'!$B$31+'Inputs'!$B$32)/1000+'Inputs'!$B$21+'Inputs'!$B$9+'Inputs'!$B$10))^2+('Inputs'!$B$6/2)^2))))*'Results'!$B$8))),"")</x:f>
        <x:v>1.4564489668601264</x:v>
      </x:c>
      <x:c r="P729" t="n">
        <x:f>IF(AND(MAX(J729,J728)&gt;0,J729&gt;J728+0.00000001),1,0)</x:f>
        <x:v>0</x:v>
      </x:c>
      <x:c r="Q729" t="n">
        <x:f>IF(AND(MAX(K729,K728)&gt;0,K729&gt;K728+0.00000001),1,0)</x:f>
        <x:v>0</x:v>
      </x:c>
      <x:c r="R729" t="n">
        <x:f>IF(AND(MAX(L729,L728)&gt;0,L729&gt;L728+0.00000001),1,0)</x:f>
        <x:v>0</x:v>
      </x:c>
      <x:c r="S729" t="n">
        <x:f>IF(AND(MAX(M729,M728)&gt;0,M729&gt;M728+0.00000001),1,0)</x:f>
        <x:v>0</x:v>
      </x:c>
      <x:c r="T729" t="n">
        <x:f>IF(AND(MAX(N729,N728)&gt;0,N729&gt;N728+0.00000001),1,0)</x:f>
        <x:v>0</x:v>
      </x:c>
      <x:c r="U729" t="n">
        <x:f>IF(AND(MAX(O729,O728)&gt;0,O729&gt;O728+0.00000001),1,0)</x:f>
        <x:v>0</x:v>
      </x:c>
    </x:row>
    <x:row r="730">
      <x:c r="J730" t="n">
        <x:f>IF(AND(ISNUMBER('Results'!B7),ISNUMBER('Results'!C7),ISNUMBER('Results'!$B$8),ISNUMBER('Inputs'!$B$6),ISNUMBER('Inputs'!$B$7),ISNUMBER('Inputs'!$B$8),ISNUMBER('Inputs'!$B$9),ISNUMBER('Inputs'!$B$10),ISNUMBER('Inputs'!$B$21),ISNUMBER('Inputs'!$B$24),ISNUMBER('Inputs'!$B$28)),(('Results'!B7*(0.5*((((730-43)*MAX('Inputs'!$B$33,'Inputs'!$B$29+'Inputs'!$B$31+'Inputs'!$B$32,'Inputs'!$B$30+'Inputs'!$B$31+'Inputs'!$B$32)/1000+'Inputs'!$B$21)+'Inputs'!$B$7)/SQRT((((730-43)*MAX('Inputs'!$B$33,'Inputs'!$B$29+'Inputs'!$B$31+'Inputs'!$B$32,'Inputs'!$B$30+'Inputs'!$B$31+'Inputs'!$B$32)/1000+'Inputs'!$B$21)+'Inputs'!$B$7)^2+('Inputs'!$B$6/2)^2)-(((730-43)*MAX('Inputs'!$B$33,'Inputs'!$B$29+'Inputs'!$B$31+'Inputs'!$B$32,'Inputs'!$B$30+'Inputs'!$B$31+'Inputs'!$B$32)/1000+'Inputs'!$B$21))/SQRT((((730-43)*MAX('Inputs'!$B$33,'Inputs'!$B$29+'Inputs'!$B$31+'Inputs'!$B$32,'Inputs'!$B$30+'Inputs'!$B$31+'Inputs'!$B$32)/1000+'Inputs'!$B$21))^2+('Inputs'!$B$6/2)^2)))-'Results'!C7*(0.5*((((730-43)*MAX('Inputs'!$B$33,'Inputs'!$B$29+'Inputs'!$B$31+'Inputs'!$B$32,'Inputs'!$B$30+'Inputs'!$B$31+'Inputs'!$B$32)/1000+'Inputs'!$B$21+'Inputs'!$B$7+'Inputs'!$B$10)+'Inputs'!$B$9)/SQRT((((730-43)*MAX('Inputs'!$B$33,'Inputs'!$B$29+'Inputs'!$B$31+'Inputs'!$B$32,'Inputs'!$B$30+'Inputs'!$B$31+'Inputs'!$B$32)/1000+'Inputs'!$B$21+'Inputs'!$B$7+'Inputs'!$B$10)+'Inputs'!$B$9)^2+('Inputs'!$B$8/2)^2)-(((730-43)*MAX('Inputs'!$B$33,'Inputs'!$B$29+'Inputs'!$B$31+'Inputs'!$B$32,'Inputs'!$B$30+'Inputs'!$B$31+'Inputs'!$B$32)/1000+'Inputs'!$B$21+'Inputs'!$B$7+'Inputs'!$B$10))/SQRT((((730-43)*MAX('Inputs'!$B$33,'Inputs'!$B$29+'Inputs'!$B$31+'Inputs'!$B$32,'Inputs'!$B$30+'Inputs'!$B$31+'Inputs'!$B$32)/1000+'Inputs'!$B$21+'Inputs'!$B$7+'Inputs'!$B$10))^2+('Inputs'!$B$8/2)^2))))*'Results'!$B$8),"")</x:f>
        <x:v>1.3814278509763283</x:v>
      </x:c>
      <x:c r="K730" t="n">
        <x:f>IF(AND(ISNUMBER('Results'!B7),ISNUMBER('Results'!C7),ISNUMBER('Results'!$B$8),ISNUMBER('Inputs'!$B$6),ISNUMBER('Inputs'!$B$7),ISNUMBER('Inputs'!$B$8),ISNUMBER('Inputs'!$B$9),ISNUMBER('Inputs'!$B$10),ISNUMBER('Inputs'!$B$21),ISNUMBER('Inputs'!$B$24),ISNUMBER('Inputs'!$B$28)),((('Results'!B7*(1-'Inputs'!$B$24)*(0.5*((((730-43)*MAX('Inputs'!$B$33,'Inputs'!$B$29+'Inputs'!$B$31+'Inputs'!$B$32,'Inputs'!$B$30+'Inputs'!$B$31+'Inputs'!$B$32)/1000+'Inputs'!$B$21)+'Inputs'!$B$7)/SQRT((((730-43)*MAX('Inputs'!$B$33,'Inputs'!$B$29+'Inputs'!$B$31+'Inputs'!$B$32,'Inputs'!$B$30+'Inputs'!$B$31+'Inputs'!$B$32)/1000+'Inputs'!$B$21)+'Inputs'!$B$7)^2+('Inputs'!$B$6/2)^2)-(((730-43)*MAX('Inputs'!$B$33,'Inputs'!$B$29+'Inputs'!$B$31+'Inputs'!$B$32,'Inputs'!$B$30+'Inputs'!$B$31+'Inputs'!$B$32)/1000+'Inputs'!$B$21))/SQRT((((730-43)*MAX('Inputs'!$B$33,'Inputs'!$B$29+'Inputs'!$B$31+'Inputs'!$B$32,'Inputs'!$B$30+'Inputs'!$B$31+'Inputs'!$B$32)/1000+'Inputs'!$B$21))^2+('Inputs'!$B$6/2)^2)))-'Results'!C7*(1+'Inputs'!$B$24)*(0.5*((((730-43)*MAX('Inputs'!$B$33,'Inputs'!$B$29+'Inputs'!$B$31+'Inputs'!$B$32,'Inputs'!$B$30+'Inputs'!$B$31+'Inputs'!$B$32)/1000+'Inputs'!$B$21+'Inputs'!$B$7+'Inputs'!$B$10)+'Inputs'!$B$9)/SQRT((((730-43)*MAX('Inputs'!$B$33,'Inputs'!$B$29+'Inputs'!$B$31+'Inputs'!$B$32,'Inputs'!$B$30+'Inputs'!$B$31+'Inputs'!$B$32)/1000+'Inputs'!$B$21+'Inputs'!$B$7+'Inputs'!$B$10)+'Inputs'!$B$9)^2+('Inputs'!$B$8/2)^2)-(((730-43)*MAX('Inputs'!$B$33,'Inputs'!$B$29+'Inputs'!$B$31+'Inputs'!$B$32,'Inputs'!$B$30+'Inputs'!$B$31+'Inputs'!$B$32)/1000+'Inputs'!$B$21+'Inputs'!$B$7+'Inputs'!$B$10))/SQRT((((730-43)*MAX('Inputs'!$B$33,'Inputs'!$B$29+'Inputs'!$B$31+'Inputs'!$B$32,'Inputs'!$B$30+'Inputs'!$B$31+'Inputs'!$B$32)/1000+'Inputs'!$B$21+'Inputs'!$B$7+'Inputs'!$B$10))^2+('Inputs'!$B$8/2)^2))))*'Results'!$B$8)-'Inputs'!$B$28*ABS((('Results'!B7*(1-'Inputs'!$B$24)*(0.5*((((730-43)*MAX('Inputs'!$B$33,'Inputs'!$B$29+'Inputs'!$B$31+'Inputs'!$B$32,'Inputs'!$B$30+'Inputs'!$B$31+'Inputs'!$B$32)/1000+'Inputs'!$B$21)+'Inputs'!$B$7)/SQRT((((730-43)*MAX('Inputs'!$B$33,'Inputs'!$B$29+'Inputs'!$B$31+'Inputs'!$B$32,'Inputs'!$B$30+'Inputs'!$B$31+'Inputs'!$B$32)/1000+'Inputs'!$B$21)+'Inputs'!$B$7)^2+('Inputs'!$B$6/2)^2)-(((730-43)*MAX('Inputs'!$B$33,'Inputs'!$B$29+'Inputs'!$B$31+'Inputs'!$B$32,'Inputs'!$B$30+'Inputs'!$B$31+'Inputs'!$B$32)/1000+'Inputs'!$B$21))/SQRT((((730-43)*MAX('Inputs'!$B$33,'Inputs'!$B$29+'Inputs'!$B$31+'Inputs'!$B$32,'Inputs'!$B$30+'Inputs'!$B$31+'Inputs'!$B$32)/1000+'Inputs'!$B$21))^2+('Inputs'!$B$6/2)^2)))-'Results'!C7*(1+'Inputs'!$B$24)*(0.5*((((730-43)*MAX('Inputs'!$B$33,'Inputs'!$B$29+'Inputs'!$B$31+'Inputs'!$B$32,'Inputs'!$B$30+'Inputs'!$B$31+'Inputs'!$B$32)/1000+'Inputs'!$B$21+'Inputs'!$B$7+'Inputs'!$B$10)+'Inputs'!$B$9)/SQRT((((730-43)*MAX('Inputs'!$B$33,'Inputs'!$B$29+'Inputs'!$B$31+'Inputs'!$B$32,'Inputs'!$B$30+'Inputs'!$B$31+'Inputs'!$B$32)/1000+'Inputs'!$B$21+'Inputs'!$B$7+'Inputs'!$B$10)+'Inputs'!$B$9)^2+('Inputs'!$B$8/2)^2)-(((730-43)*MAX('Inputs'!$B$33,'Inputs'!$B$29+'Inputs'!$B$31+'Inputs'!$B$32,'Inputs'!$B$30+'Inputs'!$B$31+'Inputs'!$B$32)/1000+'Inputs'!$B$21+'Inputs'!$B$7+'Inputs'!$B$10))/SQRT((((730-43)*MAX('Inputs'!$B$33,'Inputs'!$B$29+'Inputs'!$B$31+'Inputs'!$B$32,'Inputs'!$B$30+'Inputs'!$B$31+'Inputs'!$B$32)/1000+'Inputs'!$B$21+'Inputs'!$B$7+'Inputs'!$B$10))^2+('Inputs'!$B$8/2)^2))))*'Results'!$B$8))),"")</x:f>
        <x:v>1.197869646719922</x:v>
      </x:c>
      <x:c r="L730" t="n">
        <x:f>IF(AND(ISNUMBER('Results'!B7),ISNUMBER('Results'!C7),ISNUMBER('Results'!$B$8),ISNUMBER('Inputs'!$B$6),ISNUMBER('Inputs'!$B$7),ISNUMBER('Inputs'!$B$8),ISNUMBER('Inputs'!$B$9),ISNUMBER('Inputs'!$B$10),ISNUMBER('Inputs'!$B$21),ISNUMBER('Inputs'!$B$24),ISNUMBER('Inputs'!$B$28)),((('Results'!B7*(1+'Inputs'!$B$24)*(0.5*((((730-43)*MAX('Inputs'!$B$33,'Inputs'!$B$29+'Inputs'!$B$31+'Inputs'!$B$32,'Inputs'!$B$30+'Inputs'!$B$31+'Inputs'!$B$32)/1000+'Inputs'!$B$21)+'Inputs'!$B$7)/SQRT((((730-43)*MAX('Inputs'!$B$33,'Inputs'!$B$29+'Inputs'!$B$31+'Inputs'!$B$32,'Inputs'!$B$30+'Inputs'!$B$31+'Inputs'!$B$32)/1000+'Inputs'!$B$21)+'Inputs'!$B$7)^2+('Inputs'!$B$6/2)^2)-(((730-43)*MAX('Inputs'!$B$33,'Inputs'!$B$29+'Inputs'!$B$31+'Inputs'!$B$32,'Inputs'!$B$30+'Inputs'!$B$31+'Inputs'!$B$32)/1000+'Inputs'!$B$21))/SQRT((((730-43)*MAX('Inputs'!$B$33,'Inputs'!$B$29+'Inputs'!$B$31+'Inputs'!$B$32,'Inputs'!$B$30+'Inputs'!$B$31+'Inputs'!$B$32)/1000+'Inputs'!$B$21))^2+('Inputs'!$B$6/2)^2)))-'Results'!C7*(1-'Inputs'!$B$24)*(0.5*((((730-43)*MAX('Inputs'!$B$33,'Inputs'!$B$29+'Inputs'!$B$31+'Inputs'!$B$32,'Inputs'!$B$30+'Inputs'!$B$31+'Inputs'!$B$32)/1000+'Inputs'!$B$21+'Inputs'!$B$7+'Inputs'!$B$10)+'Inputs'!$B$9)/SQRT((((730-43)*MAX('Inputs'!$B$33,'Inputs'!$B$29+'Inputs'!$B$31+'Inputs'!$B$32,'Inputs'!$B$30+'Inputs'!$B$31+'Inputs'!$B$32)/1000+'Inputs'!$B$21+'Inputs'!$B$7+'Inputs'!$B$10)+'Inputs'!$B$9)^2+('Inputs'!$B$8/2)^2)-(((730-43)*MAX('Inputs'!$B$33,'Inputs'!$B$29+'Inputs'!$B$31+'Inputs'!$B$32,'Inputs'!$B$30+'Inputs'!$B$31+'Inputs'!$B$32)/1000+'Inputs'!$B$21+'Inputs'!$B$7+'Inputs'!$B$10))/SQRT((((730-43)*MAX('Inputs'!$B$33,'Inputs'!$B$29+'Inputs'!$B$31+'Inputs'!$B$32,'Inputs'!$B$30+'Inputs'!$B$31+'Inputs'!$B$32)/1000+'Inputs'!$B$21+'Inputs'!$B$7+'Inputs'!$B$10))^2+('Inputs'!$B$8/2)^2))))*'Results'!$B$8)+'Inputs'!$B$28*ABS((('Results'!B7*(1+'Inputs'!$B$24)*(0.5*((((730-43)*MAX('Inputs'!$B$33,'Inputs'!$B$29+'Inputs'!$B$31+'Inputs'!$B$32,'Inputs'!$B$30+'Inputs'!$B$31+'Inputs'!$B$32)/1000+'Inputs'!$B$21)+'Inputs'!$B$7)/SQRT((((730-43)*MAX('Inputs'!$B$33,'Inputs'!$B$29+'Inputs'!$B$31+'Inputs'!$B$32,'Inputs'!$B$30+'Inputs'!$B$31+'Inputs'!$B$32)/1000+'Inputs'!$B$21)+'Inputs'!$B$7)^2+('Inputs'!$B$6/2)^2)-(((730-43)*MAX('Inputs'!$B$33,'Inputs'!$B$29+'Inputs'!$B$31+'Inputs'!$B$32,'Inputs'!$B$30+'Inputs'!$B$31+'Inputs'!$B$32)/1000+'Inputs'!$B$21))/SQRT((((730-43)*MAX('Inputs'!$B$33,'Inputs'!$B$29+'Inputs'!$B$31+'Inputs'!$B$32,'Inputs'!$B$30+'Inputs'!$B$31+'Inputs'!$B$32)/1000+'Inputs'!$B$21))^2+('Inputs'!$B$6/2)^2)))-'Results'!C7*(1-'Inputs'!$B$24)*(0.5*((((730-43)*MAX('Inputs'!$B$33,'Inputs'!$B$29+'Inputs'!$B$31+'Inputs'!$B$32,'Inputs'!$B$30+'Inputs'!$B$31+'Inputs'!$B$32)/1000+'Inputs'!$B$21+'Inputs'!$B$7+'Inputs'!$B$10)+'Inputs'!$B$9)/SQRT((((730-43)*MAX('Inputs'!$B$33,'Inputs'!$B$29+'Inputs'!$B$31+'Inputs'!$B$32,'Inputs'!$B$30+'Inputs'!$B$31+'Inputs'!$B$32)/1000+'Inputs'!$B$21+'Inputs'!$B$7+'Inputs'!$B$10)+'Inputs'!$B$9)^2+('Inputs'!$B$8/2)^2)-(((730-43)*MAX('Inputs'!$B$33,'Inputs'!$B$29+'Inputs'!$B$31+'Inputs'!$B$32,'Inputs'!$B$30+'Inputs'!$B$31+'Inputs'!$B$32)/1000+'Inputs'!$B$21+'Inputs'!$B$7+'Inputs'!$B$10))/SQRT((((730-43)*MAX('Inputs'!$B$33,'Inputs'!$B$29+'Inputs'!$B$31+'Inputs'!$B$32,'Inputs'!$B$30+'Inputs'!$B$31+'Inputs'!$B$32)/1000+'Inputs'!$B$21+'Inputs'!$B$7+'Inputs'!$B$10))^2+('Inputs'!$B$8/2)^2))))*'Results'!$B$8))),"")</x:f>
        <x:v>1.5770372985703753</x:v>
      </x:c>
      <x:c r="M730" t="n">
        <x:f>IF(AND(ISNUMBER('Results'!C7),ISNUMBER('Results'!B7),ISNUMBER('Results'!$B$8),ISNUMBER('Inputs'!$B$6),ISNUMBER('Inputs'!$B$7),ISNUMBER('Inputs'!$B$8),ISNUMBER('Inputs'!$B$9),ISNUMBER('Inputs'!$B$10),ISNUMBER('Inputs'!$B$21),ISNUMBER('Inputs'!$B$24),ISNUMBER('Inputs'!$B$28)),(('Results'!C7*(0.5*((((730-43)*MAX('Inputs'!$B$33,'Inputs'!$B$29+'Inputs'!$B$31+'Inputs'!$B$32,'Inputs'!$B$30+'Inputs'!$B$31+'Inputs'!$B$32)/1000+'Inputs'!$B$21)+'Inputs'!$B$9)/SQRT((((730-43)*MAX('Inputs'!$B$33,'Inputs'!$B$29+'Inputs'!$B$31+'Inputs'!$B$32,'Inputs'!$B$30+'Inputs'!$B$31+'Inputs'!$B$32)/1000+'Inputs'!$B$21)+'Inputs'!$B$9)^2+('Inputs'!$B$8/2)^2)-(((730-43)*MAX('Inputs'!$B$33,'Inputs'!$B$29+'Inputs'!$B$31+'Inputs'!$B$32,'Inputs'!$B$30+'Inputs'!$B$31+'Inputs'!$B$32)/1000+'Inputs'!$B$21))/SQRT((((730-43)*MAX('Inputs'!$B$33,'Inputs'!$B$29+'Inputs'!$B$31+'Inputs'!$B$32,'Inputs'!$B$30+'Inputs'!$B$31+'Inputs'!$B$32)/1000+'Inputs'!$B$21))^2+('Inputs'!$B$8/2)^2)))-'Results'!B7*(0.5*((((730-43)*MAX('Inputs'!$B$33,'Inputs'!$B$29+'Inputs'!$B$31+'Inputs'!$B$32,'Inputs'!$B$30+'Inputs'!$B$31+'Inputs'!$B$32)/1000+'Inputs'!$B$21+'Inputs'!$B$9+'Inputs'!$B$10)+'Inputs'!$B$7)/SQRT((((730-43)*MAX('Inputs'!$B$33,'Inputs'!$B$29+'Inputs'!$B$31+'Inputs'!$B$32,'Inputs'!$B$30+'Inputs'!$B$31+'Inputs'!$B$32)/1000+'Inputs'!$B$21+'Inputs'!$B$9+'Inputs'!$B$10)+'Inputs'!$B$7)^2+('Inputs'!$B$6/2)^2)-(((730-43)*MAX('Inputs'!$B$33,'Inputs'!$B$29+'Inputs'!$B$31+'Inputs'!$B$32,'Inputs'!$B$30+'Inputs'!$B$31+'Inputs'!$B$32)/1000+'Inputs'!$B$21+'Inputs'!$B$9+'Inputs'!$B$10))/SQRT((((730-43)*MAX('Inputs'!$B$33,'Inputs'!$B$29+'Inputs'!$B$31+'Inputs'!$B$32,'Inputs'!$B$30+'Inputs'!$B$31+'Inputs'!$B$32)/1000+'Inputs'!$B$21+'Inputs'!$B$9+'Inputs'!$B$10))^2+('Inputs'!$B$6/2)^2))))*'Results'!$B$8),"")</x:f>
        <x:v>1.2599676229432148</x:v>
      </x:c>
      <x:c r="N730" t="n">
        <x:f>IF(AND(ISNUMBER('Results'!C7),ISNUMBER('Results'!B7),ISNUMBER('Results'!$B$8),ISNUMBER('Inputs'!$B$6),ISNUMBER('Inputs'!$B$7),ISNUMBER('Inputs'!$B$8),ISNUMBER('Inputs'!$B$9),ISNUMBER('Inputs'!$B$10),ISNUMBER('Inputs'!$B$21),ISNUMBER('Inputs'!$B$24),ISNUMBER('Inputs'!$B$28)),((('Results'!C7*(1-'Inputs'!$B$24)*(0.5*((((730-43)*MAX('Inputs'!$B$33,'Inputs'!$B$29+'Inputs'!$B$31+'Inputs'!$B$32,'Inputs'!$B$30+'Inputs'!$B$31+'Inputs'!$B$32)/1000+'Inputs'!$B$21)+'Inputs'!$B$9)/SQRT((((730-43)*MAX('Inputs'!$B$33,'Inputs'!$B$29+'Inputs'!$B$31+'Inputs'!$B$32,'Inputs'!$B$30+'Inputs'!$B$31+'Inputs'!$B$32)/1000+'Inputs'!$B$21)+'Inputs'!$B$9)^2+('Inputs'!$B$8/2)^2)-(((730-43)*MAX('Inputs'!$B$33,'Inputs'!$B$29+'Inputs'!$B$31+'Inputs'!$B$32,'Inputs'!$B$30+'Inputs'!$B$31+'Inputs'!$B$32)/1000+'Inputs'!$B$21))/SQRT((((730-43)*MAX('Inputs'!$B$33,'Inputs'!$B$29+'Inputs'!$B$31+'Inputs'!$B$32,'Inputs'!$B$30+'Inputs'!$B$31+'Inputs'!$B$32)/1000+'Inputs'!$B$21))^2+('Inputs'!$B$8/2)^2)))-'Results'!B7*(1+'Inputs'!$B$24)*(0.5*((((730-43)*MAX('Inputs'!$B$33,'Inputs'!$B$29+'Inputs'!$B$31+'Inputs'!$B$32,'Inputs'!$B$30+'Inputs'!$B$31+'Inputs'!$B$32)/1000+'Inputs'!$B$21+'Inputs'!$B$9+'Inputs'!$B$10)+'Inputs'!$B$7)/SQRT((((730-43)*MAX('Inputs'!$B$33,'Inputs'!$B$29+'Inputs'!$B$31+'Inputs'!$B$32,'Inputs'!$B$30+'Inputs'!$B$31+'Inputs'!$B$32)/1000+'Inputs'!$B$21+'Inputs'!$B$9+'Inputs'!$B$10)+'Inputs'!$B$7)^2+('Inputs'!$B$6/2)^2)-(((730-43)*MAX('Inputs'!$B$33,'Inputs'!$B$29+'Inputs'!$B$31+'Inputs'!$B$32,'Inputs'!$B$30+'Inputs'!$B$31+'Inputs'!$B$32)/1000+'Inputs'!$B$21+'Inputs'!$B$9+'Inputs'!$B$10))/SQRT((((730-43)*MAX('Inputs'!$B$33,'Inputs'!$B$29+'Inputs'!$B$31+'Inputs'!$B$32,'Inputs'!$B$30+'Inputs'!$B$31+'Inputs'!$B$32)/1000+'Inputs'!$B$21+'Inputs'!$B$9+'Inputs'!$B$10))^2+('Inputs'!$B$6/2)^2))))*'Results'!$B$8)-'Inputs'!$B$28*ABS((('Results'!C7*(1-'Inputs'!$B$24)*(0.5*((((730-43)*MAX('Inputs'!$B$33,'Inputs'!$B$29+'Inputs'!$B$31+'Inputs'!$B$32,'Inputs'!$B$30+'Inputs'!$B$31+'Inputs'!$B$32)/1000+'Inputs'!$B$21)+'Inputs'!$B$9)/SQRT((((730-43)*MAX('Inputs'!$B$33,'Inputs'!$B$29+'Inputs'!$B$31+'Inputs'!$B$32,'Inputs'!$B$30+'Inputs'!$B$31+'Inputs'!$B$32)/1000+'Inputs'!$B$21)+'Inputs'!$B$9)^2+('Inputs'!$B$8/2)^2)-(((730-43)*MAX('Inputs'!$B$33,'Inputs'!$B$29+'Inputs'!$B$31+'Inputs'!$B$32,'Inputs'!$B$30+'Inputs'!$B$31+'Inputs'!$B$32)/1000+'Inputs'!$B$21))/SQRT((((730-43)*MAX('Inputs'!$B$33,'Inputs'!$B$29+'Inputs'!$B$31+'Inputs'!$B$32,'Inputs'!$B$30+'Inputs'!$B$31+'Inputs'!$B$32)/1000+'Inputs'!$B$21))^2+('Inputs'!$B$8/2)^2)))-'Results'!B7*(1+'Inputs'!$B$24)*(0.5*((((730-43)*MAX('Inputs'!$B$33,'Inputs'!$B$29+'Inputs'!$B$31+'Inputs'!$B$32,'Inputs'!$B$30+'Inputs'!$B$31+'Inputs'!$B$32)/1000+'Inputs'!$B$21+'Inputs'!$B$9+'Inputs'!$B$10)+'Inputs'!$B$7)/SQRT((((730-43)*MAX('Inputs'!$B$33,'Inputs'!$B$29+'Inputs'!$B$31+'Inputs'!$B$32,'Inputs'!$B$30+'Inputs'!$B$31+'Inputs'!$B$32)/1000+'Inputs'!$B$21+'Inputs'!$B$9+'Inputs'!$B$10)+'Inputs'!$B$7)^2+('Inputs'!$B$6/2)^2)-(((730-43)*MAX('Inputs'!$B$33,'Inputs'!$B$29+'Inputs'!$B$31+'Inputs'!$B$32,'Inputs'!$B$30+'Inputs'!$B$31+'Inputs'!$B$32)/1000+'Inputs'!$B$21+'Inputs'!$B$9+'Inputs'!$B$10))/SQRT((((730-43)*MAX('Inputs'!$B$33,'Inputs'!$B$29+'Inputs'!$B$31+'Inputs'!$B$32,'Inputs'!$B$30+'Inputs'!$B$31+'Inputs'!$B$32)/1000+'Inputs'!$B$21+'Inputs'!$B$9+'Inputs'!$B$10))^2+('Inputs'!$B$6/2)^2))))*'Results'!$B$8))),"")</x:f>
        <x:v>1.082989364573358</x:v>
      </x:c>
      <x:c r="O730" t="n">
        <x:f>IF(AND(ISNUMBER('Results'!C7),ISNUMBER('Results'!B7),ISNUMBER('Results'!$B$8),ISNUMBER('Inputs'!$B$6),ISNUMBER('Inputs'!$B$7),ISNUMBER('Inputs'!$B$8),ISNUMBER('Inputs'!$B$9),ISNUMBER('Inputs'!$B$10),ISNUMBER('Inputs'!$B$21),ISNUMBER('Inputs'!$B$24),ISNUMBER('Inputs'!$B$28)),((('Results'!C7*(1+'Inputs'!$B$24)*(0.5*((((730-43)*MAX('Inputs'!$B$33,'Inputs'!$B$29+'Inputs'!$B$31+'Inputs'!$B$32,'Inputs'!$B$30+'Inputs'!$B$31+'Inputs'!$B$32)/1000+'Inputs'!$B$21)+'Inputs'!$B$9)/SQRT((((730-43)*MAX('Inputs'!$B$33,'Inputs'!$B$29+'Inputs'!$B$31+'Inputs'!$B$32,'Inputs'!$B$30+'Inputs'!$B$31+'Inputs'!$B$32)/1000+'Inputs'!$B$21)+'Inputs'!$B$9)^2+('Inputs'!$B$8/2)^2)-(((730-43)*MAX('Inputs'!$B$33,'Inputs'!$B$29+'Inputs'!$B$31+'Inputs'!$B$32,'Inputs'!$B$30+'Inputs'!$B$31+'Inputs'!$B$32)/1000+'Inputs'!$B$21))/SQRT((((730-43)*MAX('Inputs'!$B$33,'Inputs'!$B$29+'Inputs'!$B$31+'Inputs'!$B$32,'Inputs'!$B$30+'Inputs'!$B$31+'Inputs'!$B$32)/1000+'Inputs'!$B$21))^2+('Inputs'!$B$8/2)^2)))-'Results'!B7*(1-'Inputs'!$B$24)*(0.5*((((730-43)*MAX('Inputs'!$B$33,'Inputs'!$B$29+'Inputs'!$B$31+'Inputs'!$B$32,'Inputs'!$B$30+'Inputs'!$B$31+'Inputs'!$B$32)/1000+'Inputs'!$B$21+'Inputs'!$B$9+'Inputs'!$B$10)+'Inputs'!$B$7)/SQRT((((730-43)*MAX('Inputs'!$B$33,'Inputs'!$B$29+'Inputs'!$B$31+'Inputs'!$B$32,'Inputs'!$B$30+'Inputs'!$B$31+'Inputs'!$B$32)/1000+'Inputs'!$B$21+'Inputs'!$B$9+'Inputs'!$B$10)+'Inputs'!$B$7)^2+('Inputs'!$B$6/2)^2)-(((730-43)*MAX('Inputs'!$B$33,'Inputs'!$B$29+'Inputs'!$B$31+'Inputs'!$B$32,'Inputs'!$B$30+'Inputs'!$B$31+'Inputs'!$B$32)/1000+'Inputs'!$B$21+'Inputs'!$B$9+'Inputs'!$B$10))/SQRT((((730-43)*MAX('Inputs'!$B$33,'Inputs'!$B$29+'Inputs'!$B$31+'Inputs'!$B$32,'Inputs'!$B$30+'Inputs'!$B$31+'Inputs'!$B$32)/1000+'Inputs'!$B$21+'Inputs'!$B$9+'Inputs'!$B$10))^2+('Inputs'!$B$6/2)^2))))*'Results'!$B$8)+'Inputs'!$B$28*ABS((('Results'!C7*(1+'Inputs'!$B$24)*(0.5*((((730-43)*MAX('Inputs'!$B$33,'Inputs'!$B$29+'Inputs'!$B$31+'Inputs'!$B$32,'Inputs'!$B$30+'Inputs'!$B$31+'Inputs'!$B$32)/1000+'Inputs'!$B$21)+'Inputs'!$B$9)/SQRT((((730-43)*MAX('Inputs'!$B$33,'Inputs'!$B$29+'Inputs'!$B$31+'Inputs'!$B$32,'Inputs'!$B$30+'Inputs'!$B$31+'Inputs'!$B$32)/1000+'Inputs'!$B$21)+'Inputs'!$B$9)^2+('Inputs'!$B$8/2)^2)-(((730-43)*MAX('Inputs'!$B$33,'Inputs'!$B$29+'Inputs'!$B$31+'Inputs'!$B$32,'Inputs'!$B$30+'Inputs'!$B$31+'Inputs'!$B$32)/1000+'Inputs'!$B$21))/SQRT((((730-43)*MAX('Inputs'!$B$33,'Inputs'!$B$29+'Inputs'!$B$31+'Inputs'!$B$32,'Inputs'!$B$30+'Inputs'!$B$31+'Inputs'!$B$32)/1000+'Inputs'!$B$21))^2+('Inputs'!$B$8/2)^2)))-'Results'!B7*(1-'Inputs'!$B$24)*(0.5*((((730-43)*MAX('Inputs'!$B$33,'Inputs'!$B$29+'Inputs'!$B$31+'Inputs'!$B$32,'Inputs'!$B$30+'Inputs'!$B$31+'Inputs'!$B$32)/1000+'Inputs'!$B$21+'Inputs'!$B$9+'Inputs'!$B$10)+'Inputs'!$B$7)/SQRT((((730-43)*MAX('Inputs'!$B$33,'Inputs'!$B$29+'Inputs'!$B$31+'Inputs'!$B$32,'Inputs'!$B$30+'Inputs'!$B$31+'Inputs'!$B$32)/1000+'Inputs'!$B$21+'Inputs'!$B$9+'Inputs'!$B$10)+'Inputs'!$B$7)^2+('Inputs'!$B$6/2)^2)-(((730-43)*MAX('Inputs'!$B$33,'Inputs'!$B$29+'Inputs'!$B$31+'Inputs'!$B$32,'Inputs'!$B$30+'Inputs'!$B$31+'Inputs'!$B$32)/1000+'Inputs'!$B$21+'Inputs'!$B$9+'Inputs'!$B$10))/SQRT((((730-43)*MAX('Inputs'!$B$33,'Inputs'!$B$29+'Inputs'!$B$31+'Inputs'!$B$32,'Inputs'!$B$30+'Inputs'!$B$31+'Inputs'!$B$32)/1000+'Inputs'!$B$21+'Inputs'!$B$9+'Inputs'!$B$10))^2+('Inputs'!$B$6/2)^2))))*'Results'!$B$8))),"")</x:f>
        <x:v>1.4489437631259876</x:v>
      </x:c>
      <x:c r="P730" t="n">
        <x:f>IF(AND(MAX(J730,J729)&gt;0,J730&gt;J729+0.00000001),1,0)</x:f>
        <x:v>0</x:v>
      </x:c>
      <x:c r="Q730" t="n">
        <x:f>IF(AND(MAX(K730,K729)&gt;0,K730&gt;K729+0.00000001),1,0)</x:f>
        <x:v>0</x:v>
      </x:c>
      <x:c r="R730" t="n">
        <x:f>IF(AND(MAX(L730,L729)&gt;0,L730&gt;L729+0.00000001),1,0)</x:f>
        <x:v>0</x:v>
      </x:c>
      <x:c r="S730" t="n">
        <x:f>IF(AND(MAX(M730,M729)&gt;0,M730&gt;M729+0.00000001),1,0)</x:f>
        <x:v>0</x:v>
      </x:c>
      <x:c r="T730" t="n">
        <x:f>IF(AND(MAX(N730,N729)&gt;0,N730&gt;N729+0.00000001),1,0)</x:f>
        <x:v>0</x:v>
      </x:c>
      <x:c r="U730" t="n">
        <x:f>IF(AND(MAX(O730,O729)&gt;0,O730&gt;O729+0.00000001),1,0)</x:f>
        <x:v>0</x:v>
      </x:c>
    </x:row>
    <x:row r="731">
      <x:c r="J731" t="n">
        <x:f>IF(AND(ISNUMBER('Results'!B7),ISNUMBER('Results'!C7),ISNUMBER('Results'!$B$8),ISNUMBER('Inputs'!$B$6),ISNUMBER('Inputs'!$B$7),ISNUMBER('Inputs'!$B$8),ISNUMBER('Inputs'!$B$9),ISNUMBER('Inputs'!$B$10),ISNUMBER('Inputs'!$B$21),ISNUMBER('Inputs'!$B$24),ISNUMBER('Inputs'!$B$28)),(('Results'!B7*(0.5*((((731-43)*MAX('Inputs'!$B$33,'Inputs'!$B$29+'Inputs'!$B$31+'Inputs'!$B$32,'Inputs'!$B$30+'Inputs'!$B$31+'Inputs'!$B$32)/1000+'Inputs'!$B$21)+'Inputs'!$B$7)/SQRT((((731-43)*MAX('Inputs'!$B$33,'Inputs'!$B$29+'Inputs'!$B$31+'Inputs'!$B$32,'Inputs'!$B$30+'Inputs'!$B$31+'Inputs'!$B$32)/1000+'Inputs'!$B$21)+'Inputs'!$B$7)^2+('Inputs'!$B$6/2)^2)-(((731-43)*MAX('Inputs'!$B$33,'Inputs'!$B$29+'Inputs'!$B$31+'Inputs'!$B$32,'Inputs'!$B$30+'Inputs'!$B$31+'Inputs'!$B$32)/1000+'Inputs'!$B$21))/SQRT((((731-43)*MAX('Inputs'!$B$33,'Inputs'!$B$29+'Inputs'!$B$31+'Inputs'!$B$32,'Inputs'!$B$30+'Inputs'!$B$31+'Inputs'!$B$32)/1000+'Inputs'!$B$21))^2+('Inputs'!$B$6/2)^2)))-'Results'!C7*(0.5*((((731-43)*MAX('Inputs'!$B$33,'Inputs'!$B$29+'Inputs'!$B$31+'Inputs'!$B$32,'Inputs'!$B$30+'Inputs'!$B$31+'Inputs'!$B$32)/1000+'Inputs'!$B$21+'Inputs'!$B$7+'Inputs'!$B$10)+'Inputs'!$B$9)/SQRT((((731-43)*MAX('Inputs'!$B$33,'Inputs'!$B$29+'Inputs'!$B$31+'Inputs'!$B$32,'Inputs'!$B$30+'Inputs'!$B$31+'Inputs'!$B$32)/1000+'Inputs'!$B$21+'Inputs'!$B$7+'Inputs'!$B$10)+'Inputs'!$B$9)^2+('Inputs'!$B$8/2)^2)-(((731-43)*MAX('Inputs'!$B$33,'Inputs'!$B$29+'Inputs'!$B$31+'Inputs'!$B$32,'Inputs'!$B$30+'Inputs'!$B$31+'Inputs'!$B$32)/1000+'Inputs'!$B$21+'Inputs'!$B$7+'Inputs'!$B$10))/SQRT((((731-43)*MAX('Inputs'!$B$33,'Inputs'!$B$29+'Inputs'!$B$31+'Inputs'!$B$32,'Inputs'!$B$30+'Inputs'!$B$31+'Inputs'!$B$32)/1000+'Inputs'!$B$21+'Inputs'!$B$7+'Inputs'!$B$10))^2+('Inputs'!$B$8/2)^2))))*'Results'!$B$8),"")</x:f>
        <x:v>1.3743199753285746</x:v>
      </x:c>
      <x:c r="K731" t="n">
        <x:f>IF(AND(ISNUMBER('Results'!B7),ISNUMBER('Results'!C7),ISNUMBER('Results'!$B$8),ISNUMBER('Inputs'!$B$6),ISNUMBER('Inputs'!$B$7),ISNUMBER('Inputs'!$B$8),ISNUMBER('Inputs'!$B$9),ISNUMBER('Inputs'!$B$10),ISNUMBER('Inputs'!$B$21),ISNUMBER('Inputs'!$B$24),ISNUMBER('Inputs'!$B$28)),((('Results'!B7*(1-'Inputs'!$B$24)*(0.5*((((731-43)*MAX('Inputs'!$B$33,'Inputs'!$B$29+'Inputs'!$B$31+'Inputs'!$B$32,'Inputs'!$B$30+'Inputs'!$B$31+'Inputs'!$B$32)/1000+'Inputs'!$B$21)+'Inputs'!$B$7)/SQRT((((731-43)*MAX('Inputs'!$B$33,'Inputs'!$B$29+'Inputs'!$B$31+'Inputs'!$B$32,'Inputs'!$B$30+'Inputs'!$B$31+'Inputs'!$B$32)/1000+'Inputs'!$B$21)+'Inputs'!$B$7)^2+('Inputs'!$B$6/2)^2)-(((731-43)*MAX('Inputs'!$B$33,'Inputs'!$B$29+'Inputs'!$B$31+'Inputs'!$B$32,'Inputs'!$B$30+'Inputs'!$B$31+'Inputs'!$B$32)/1000+'Inputs'!$B$21))/SQRT((((731-43)*MAX('Inputs'!$B$33,'Inputs'!$B$29+'Inputs'!$B$31+'Inputs'!$B$32,'Inputs'!$B$30+'Inputs'!$B$31+'Inputs'!$B$32)/1000+'Inputs'!$B$21))^2+('Inputs'!$B$6/2)^2)))-'Results'!C7*(1+'Inputs'!$B$24)*(0.5*((((731-43)*MAX('Inputs'!$B$33,'Inputs'!$B$29+'Inputs'!$B$31+'Inputs'!$B$32,'Inputs'!$B$30+'Inputs'!$B$31+'Inputs'!$B$32)/1000+'Inputs'!$B$21+'Inputs'!$B$7+'Inputs'!$B$10)+'Inputs'!$B$9)/SQRT((((731-43)*MAX('Inputs'!$B$33,'Inputs'!$B$29+'Inputs'!$B$31+'Inputs'!$B$32,'Inputs'!$B$30+'Inputs'!$B$31+'Inputs'!$B$32)/1000+'Inputs'!$B$21+'Inputs'!$B$7+'Inputs'!$B$10)+'Inputs'!$B$9)^2+('Inputs'!$B$8/2)^2)-(((731-43)*MAX('Inputs'!$B$33,'Inputs'!$B$29+'Inputs'!$B$31+'Inputs'!$B$32,'Inputs'!$B$30+'Inputs'!$B$31+'Inputs'!$B$32)/1000+'Inputs'!$B$21+'Inputs'!$B$7+'Inputs'!$B$10))/SQRT((((731-43)*MAX('Inputs'!$B$33,'Inputs'!$B$29+'Inputs'!$B$31+'Inputs'!$B$32,'Inputs'!$B$30+'Inputs'!$B$31+'Inputs'!$B$32)/1000+'Inputs'!$B$21+'Inputs'!$B$7+'Inputs'!$B$10))^2+('Inputs'!$B$8/2)^2))))*'Results'!$B$8)-'Inputs'!$B$28*ABS((('Results'!B7*(1-'Inputs'!$B$24)*(0.5*((((731-43)*MAX('Inputs'!$B$33,'Inputs'!$B$29+'Inputs'!$B$31+'Inputs'!$B$32,'Inputs'!$B$30+'Inputs'!$B$31+'Inputs'!$B$32)/1000+'Inputs'!$B$21)+'Inputs'!$B$7)/SQRT((((731-43)*MAX('Inputs'!$B$33,'Inputs'!$B$29+'Inputs'!$B$31+'Inputs'!$B$32,'Inputs'!$B$30+'Inputs'!$B$31+'Inputs'!$B$32)/1000+'Inputs'!$B$21)+'Inputs'!$B$7)^2+('Inputs'!$B$6/2)^2)-(((731-43)*MAX('Inputs'!$B$33,'Inputs'!$B$29+'Inputs'!$B$31+'Inputs'!$B$32,'Inputs'!$B$30+'Inputs'!$B$31+'Inputs'!$B$32)/1000+'Inputs'!$B$21))/SQRT((((731-43)*MAX('Inputs'!$B$33,'Inputs'!$B$29+'Inputs'!$B$31+'Inputs'!$B$32,'Inputs'!$B$30+'Inputs'!$B$31+'Inputs'!$B$32)/1000+'Inputs'!$B$21))^2+('Inputs'!$B$6/2)^2)))-'Results'!C7*(1+'Inputs'!$B$24)*(0.5*((((731-43)*MAX('Inputs'!$B$33,'Inputs'!$B$29+'Inputs'!$B$31+'Inputs'!$B$32,'Inputs'!$B$30+'Inputs'!$B$31+'Inputs'!$B$32)/1000+'Inputs'!$B$21+'Inputs'!$B$7+'Inputs'!$B$10)+'Inputs'!$B$9)/SQRT((((731-43)*MAX('Inputs'!$B$33,'Inputs'!$B$29+'Inputs'!$B$31+'Inputs'!$B$32,'Inputs'!$B$30+'Inputs'!$B$31+'Inputs'!$B$32)/1000+'Inputs'!$B$21+'Inputs'!$B$7+'Inputs'!$B$10)+'Inputs'!$B$9)^2+('Inputs'!$B$8/2)^2)-(((731-43)*MAX('Inputs'!$B$33,'Inputs'!$B$29+'Inputs'!$B$31+'Inputs'!$B$32,'Inputs'!$B$30+'Inputs'!$B$31+'Inputs'!$B$32)/1000+'Inputs'!$B$21+'Inputs'!$B$7+'Inputs'!$B$10))/SQRT((((731-43)*MAX('Inputs'!$B$33,'Inputs'!$B$29+'Inputs'!$B$31+'Inputs'!$B$32,'Inputs'!$B$30+'Inputs'!$B$31+'Inputs'!$B$32)/1000+'Inputs'!$B$21+'Inputs'!$B$7+'Inputs'!$B$10))^2+('Inputs'!$B$8/2)^2))))*'Results'!$B$8))),"")</x:f>
        <x:v>1.1915709332062632</x:v>
      </x:c>
      <x:c r="L731" t="n">
        <x:f>IF(AND(ISNUMBER('Results'!B7),ISNUMBER('Results'!C7),ISNUMBER('Results'!$B$8),ISNUMBER('Inputs'!$B$6),ISNUMBER('Inputs'!$B$7),ISNUMBER('Inputs'!$B$8),ISNUMBER('Inputs'!$B$9),ISNUMBER('Inputs'!$B$10),ISNUMBER('Inputs'!$B$21),ISNUMBER('Inputs'!$B$24),ISNUMBER('Inputs'!$B$28)),((('Results'!B7*(1+'Inputs'!$B$24)*(0.5*((((731-43)*MAX('Inputs'!$B$33,'Inputs'!$B$29+'Inputs'!$B$31+'Inputs'!$B$32,'Inputs'!$B$30+'Inputs'!$B$31+'Inputs'!$B$32)/1000+'Inputs'!$B$21)+'Inputs'!$B$7)/SQRT((((731-43)*MAX('Inputs'!$B$33,'Inputs'!$B$29+'Inputs'!$B$31+'Inputs'!$B$32,'Inputs'!$B$30+'Inputs'!$B$31+'Inputs'!$B$32)/1000+'Inputs'!$B$21)+'Inputs'!$B$7)^2+('Inputs'!$B$6/2)^2)-(((731-43)*MAX('Inputs'!$B$33,'Inputs'!$B$29+'Inputs'!$B$31+'Inputs'!$B$32,'Inputs'!$B$30+'Inputs'!$B$31+'Inputs'!$B$32)/1000+'Inputs'!$B$21))/SQRT((((731-43)*MAX('Inputs'!$B$33,'Inputs'!$B$29+'Inputs'!$B$31+'Inputs'!$B$32,'Inputs'!$B$30+'Inputs'!$B$31+'Inputs'!$B$32)/1000+'Inputs'!$B$21))^2+('Inputs'!$B$6/2)^2)))-'Results'!C7*(1-'Inputs'!$B$24)*(0.5*((((731-43)*MAX('Inputs'!$B$33,'Inputs'!$B$29+'Inputs'!$B$31+'Inputs'!$B$32,'Inputs'!$B$30+'Inputs'!$B$31+'Inputs'!$B$32)/1000+'Inputs'!$B$21+'Inputs'!$B$7+'Inputs'!$B$10)+'Inputs'!$B$9)/SQRT((((731-43)*MAX('Inputs'!$B$33,'Inputs'!$B$29+'Inputs'!$B$31+'Inputs'!$B$32,'Inputs'!$B$30+'Inputs'!$B$31+'Inputs'!$B$32)/1000+'Inputs'!$B$21+'Inputs'!$B$7+'Inputs'!$B$10)+'Inputs'!$B$9)^2+('Inputs'!$B$8/2)^2)-(((731-43)*MAX('Inputs'!$B$33,'Inputs'!$B$29+'Inputs'!$B$31+'Inputs'!$B$32,'Inputs'!$B$30+'Inputs'!$B$31+'Inputs'!$B$32)/1000+'Inputs'!$B$21+'Inputs'!$B$7+'Inputs'!$B$10))/SQRT((((731-43)*MAX('Inputs'!$B$33,'Inputs'!$B$29+'Inputs'!$B$31+'Inputs'!$B$32,'Inputs'!$B$30+'Inputs'!$B$31+'Inputs'!$B$32)/1000+'Inputs'!$B$21+'Inputs'!$B$7+'Inputs'!$B$10))^2+('Inputs'!$B$8/2)^2))))*'Results'!$B$8)+'Inputs'!$B$28*ABS((('Results'!B7*(1+'Inputs'!$B$24)*(0.5*((((731-43)*MAX('Inputs'!$B$33,'Inputs'!$B$29+'Inputs'!$B$31+'Inputs'!$B$32,'Inputs'!$B$30+'Inputs'!$B$31+'Inputs'!$B$32)/1000+'Inputs'!$B$21)+'Inputs'!$B$7)/SQRT((((731-43)*MAX('Inputs'!$B$33,'Inputs'!$B$29+'Inputs'!$B$31+'Inputs'!$B$32,'Inputs'!$B$30+'Inputs'!$B$31+'Inputs'!$B$32)/1000+'Inputs'!$B$21)+'Inputs'!$B$7)^2+('Inputs'!$B$6/2)^2)-(((731-43)*MAX('Inputs'!$B$33,'Inputs'!$B$29+'Inputs'!$B$31+'Inputs'!$B$32,'Inputs'!$B$30+'Inputs'!$B$31+'Inputs'!$B$32)/1000+'Inputs'!$B$21))/SQRT((((731-43)*MAX('Inputs'!$B$33,'Inputs'!$B$29+'Inputs'!$B$31+'Inputs'!$B$32,'Inputs'!$B$30+'Inputs'!$B$31+'Inputs'!$B$32)/1000+'Inputs'!$B$21))^2+('Inputs'!$B$6/2)^2)))-'Results'!C7*(1-'Inputs'!$B$24)*(0.5*((((731-43)*MAX('Inputs'!$B$33,'Inputs'!$B$29+'Inputs'!$B$31+'Inputs'!$B$32,'Inputs'!$B$30+'Inputs'!$B$31+'Inputs'!$B$32)/1000+'Inputs'!$B$21+'Inputs'!$B$7+'Inputs'!$B$10)+'Inputs'!$B$9)/SQRT((((731-43)*MAX('Inputs'!$B$33,'Inputs'!$B$29+'Inputs'!$B$31+'Inputs'!$B$32,'Inputs'!$B$30+'Inputs'!$B$31+'Inputs'!$B$32)/1000+'Inputs'!$B$21+'Inputs'!$B$7+'Inputs'!$B$10)+'Inputs'!$B$9)^2+('Inputs'!$B$8/2)^2)-(((731-43)*MAX('Inputs'!$B$33,'Inputs'!$B$29+'Inputs'!$B$31+'Inputs'!$B$32,'Inputs'!$B$30+'Inputs'!$B$31+'Inputs'!$B$32)/1000+'Inputs'!$B$21+'Inputs'!$B$7+'Inputs'!$B$10))/SQRT((((731-43)*MAX('Inputs'!$B$33,'Inputs'!$B$29+'Inputs'!$B$31+'Inputs'!$B$32,'Inputs'!$B$30+'Inputs'!$B$31+'Inputs'!$B$32)/1000+'Inputs'!$B$21+'Inputs'!$B$7+'Inputs'!$B$10))^2+('Inputs'!$B$8/2)^2))))*'Results'!$B$8))),"")</x:f>
        <x:v>1.5690724956988737</x:v>
      </x:c>
      <x:c r="M731" t="n">
        <x:f>IF(AND(ISNUMBER('Results'!C7),ISNUMBER('Results'!B7),ISNUMBER('Results'!$B$8),ISNUMBER('Inputs'!$B$6),ISNUMBER('Inputs'!$B$7),ISNUMBER('Inputs'!$B$8),ISNUMBER('Inputs'!$B$9),ISNUMBER('Inputs'!$B$10),ISNUMBER('Inputs'!$B$21),ISNUMBER('Inputs'!$B$24),ISNUMBER('Inputs'!$B$28)),(('Results'!C7*(0.5*((((731-43)*MAX('Inputs'!$B$33,'Inputs'!$B$29+'Inputs'!$B$31+'Inputs'!$B$32,'Inputs'!$B$30+'Inputs'!$B$31+'Inputs'!$B$32)/1000+'Inputs'!$B$21)+'Inputs'!$B$9)/SQRT((((731-43)*MAX('Inputs'!$B$33,'Inputs'!$B$29+'Inputs'!$B$31+'Inputs'!$B$32,'Inputs'!$B$30+'Inputs'!$B$31+'Inputs'!$B$32)/1000+'Inputs'!$B$21)+'Inputs'!$B$9)^2+('Inputs'!$B$8/2)^2)-(((731-43)*MAX('Inputs'!$B$33,'Inputs'!$B$29+'Inputs'!$B$31+'Inputs'!$B$32,'Inputs'!$B$30+'Inputs'!$B$31+'Inputs'!$B$32)/1000+'Inputs'!$B$21))/SQRT((((731-43)*MAX('Inputs'!$B$33,'Inputs'!$B$29+'Inputs'!$B$31+'Inputs'!$B$32,'Inputs'!$B$30+'Inputs'!$B$31+'Inputs'!$B$32)/1000+'Inputs'!$B$21))^2+('Inputs'!$B$8/2)^2)))-'Results'!B7*(0.5*((((731-43)*MAX('Inputs'!$B$33,'Inputs'!$B$29+'Inputs'!$B$31+'Inputs'!$B$32,'Inputs'!$B$30+'Inputs'!$B$31+'Inputs'!$B$32)/1000+'Inputs'!$B$21+'Inputs'!$B$9+'Inputs'!$B$10)+'Inputs'!$B$7)/SQRT((((731-43)*MAX('Inputs'!$B$33,'Inputs'!$B$29+'Inputs'!$B$31+'Inputs'!$B$32,'Inputs'!$B$30+'Inputs'!$B$31+'Inputs'!$B$32)/1000+'Inputs'!$B$21+'Inputs'!$B$9+'Inputs'!$B$10)+'Inputs'!$B$7)^2+('Inputs'!$B$6/2)^2)-(((731-43)*MAX('Inputs'!$B$33,'Inputs'!$B$29+'Inputs'!$B$31+'Inputs'!$B$32,'Inputs'!$B$30+'Inputs'!$B$31+'Inputs'!$B$32)/1000+'Inputs'!$B$21+'Inputs'!$B$9+'Inputs'!$B$10))/SQRT((((731-43)*MAX('Inputs'!$B$33,'Inputs'!$B$29+'Inputs'!$B$31+'Inputs'!$B$32,'Inputs'!$B$30+'Inputs'!$B$31+'Inputs'!$B$32)/1000+'Inputs'!$B$21+'Inputs'!$B$9+'Inputs'!$B$10))^2+('Inputs'!$B$6/2)^2))))*'Results'!$B$8),"")</x:f>
        <x:v>1.2533408215938684</x:v>
      </x:c>
      <x:c r="N731" t="n">
        <x:f>IF(AND(ISNUMBER('Results'!C7),ISNUMBER('Results'!B7),ISNUMBER('Results'!$B$8),ISNUMBER('Inputs'!$B$6),ISNUMBER('Inputs'!$B$7),ISNUMBER('Inputs'!$B$8),ISNUMBER('Inputs'!$B$9),ISNUMBER('Inputs'!$B$10),ISNUMBER('Inputs'!$B$21),ISNUMBER('Inputs'!$B$24),ISNUMBER('Inputs'!$B$28)),((('Results'!C7*(1-'Inputs'!$B$24)*(0.5*((((731-43)*MAX('Inputs'!$B$33,'Inputs'!$B$29+'Inputs'!$B$31+'Inputs'!$B$32,'Inputs'!$B$30+'Inputs'!$B$31+'Inputs'!$B$32)/1000+'Inputs'!$B$21)+'Inputs'!$B$9)/SQRT((((731-43)*MAX('Inputs'!$B$33,'Inputs'!$B$29+'Inputs'!$B$31+'Inputs'!$B$32,'Inputs'!$B$30+'Inputs'!$B$31+'Inputs'!$B$32)/1000+'Inputs'!$B$21)+'Inputs'!$B$9)^2+('Inputs'!$B$8/2)^2)-(((731-43)*MAX('Inputs'!$B$33,'Inputs'!$B$29+'Inputs'!$B$31+'Inputs'!$B$32,'Inputs'!$B$30+'Inputs'!$B$31+'Inputs'!$B$32)/1000+'Inputs'!$B$21))/SQRT((((731-43)*MAX('Inputs'!$B$33,'Inputs'!$B$29+'Inputs'!$B$31+'Inputs'!$B$32,'Inputs'!$B$30+'Inputs'!$B$31+'Inputs'!$B$32)/1000+'Inputs'!$B$21))^2+('Inputs'!$B$8/2)^2)))-'Results'!B7*(1+'Inputs'!$B$24)*(0.5*((((731-43)*MAX('Inputs'!$B$33,'Inputs'!$B$29+'Inputs'!$B$31+'Inputs'!$B$32,'Inputs'!$B$30+'Inputs'!$B$31+'Inputs'!$B$32)/1000+'Inputs'!$B$21+'Inputs'!$B$9+'Inputs'!$B$10)+'Inputs'!$B$7)/SQRT((((731-43)*MAX('Inputs'!$B$33,'Inputs'!$B$29+'Inputs'!$B$31+'Inputs'!$B$32,'Inputs'!$B$30+'Inputs'!$B$31+'Inputs'!$B$32)/1000+'Inputs'!$B$21+'Inputs'!$B$9+'Inputs'!$B$10)+'Inputs'!$B$7)^2+('Inputs'!$B$6/2)^2)-(((731-43)*MAX('Inputs'!$B$33,'Inputs'!$B$29+'Inputs'!$B$31+'Inputs'!$B$32,'Inputs'!$B$30+'Inputs'!$B$31+'Inputs'!$B$32)/1000+'Inputs'!$B$21+'Inputs'!$B$9+'Inputs'!$B$10))/SQRT((((731-43)*MAX('Inputs'!$B$33,'Inputs'!$B$29+'Inputs'!$B$31+'Inputs'!$B$32,'Inputs'!$B$30+'Inputs'!$B$31+'Inputs'!$B$32)/1000+'Inputs'!$B$21+'Inputs'!$B$9+'Inputs'!$B$10))^2+('Inputs'!$B$6/2)^2))))*'Results'!$B$8)-'Inputs'!$B$28*ABS((('Results'!C7*(1-'Inputs'!$B$24)*(0.5*((((731-43)*MAX('Inputs'!$B$33,'Inputs'!$B$29+'Inputs'!$B$31+'Inputs'!$B$32,'Inputs'!$B$30+'Inputs'!$B$31+'Inputs'!$B$32)/1000+'Inputs'!$B$21)+'Inputs'!$B$9)/SQRT((((731-43)*MAX('Inputs'!$B$33,'Inputs'!$B$29+'Inputs'!$B$31+'Inputs'!$B$32,'Inputs'!$B$30+'Inputs'!$B$31+'Inputs'!$B$32)/1000+'Inputs'!$B$21)+'Inputs'!$B$9)^2+('Inputs'!$B$8/2)^2)-(((731-43)*MAX('Inputs'!$B$33,'Inputs'!$B$29+'Inputs'!$B$31+'Inputs'!$B$32,'Inputs'!$B$30+'Inputs'!$B$31+'Inputs'!$B$32)/1000+'Inputs'!$B$21))/SQRT((((731-43)*MAX('Inputs'!$B$33,'Inputs'!$B$29+'Inputs'!$B$31+'Inputs'!$B$32,'Inputs'!$B$30+'Inputs'!$B$31+'Inputs'!$B$32)/1000+'Inputs'!$B$21))^2+('Inputs'!$B$8/2)^2)))-'Results'!B7*(1+'Inputs'!$B$24)*(0.5*((((731-43)*MAX('Inputs'!$B$33,'Inputs'!$B$29+'Inputs'!$B$31+'Inputs'!$B$32,'Inputs'!$B$30+'Inputs'!$B$31+'Inputs'!$B$32)/1000+'Inputs'!$B$21+'Inputs'!$B$9+'Inputs'!$B$10)+'Inputs'!$B$7)/SQRT((((731-43)*MAX('Inputs'!$B$33,'Inputs'!$B$29+'Inputs'!$B$31+'Inputs'!$B$32,'Inputs'!$B$30+'Inputs'!$B$31+'Inputs'!$B$32)/1000+'Inputs'!$B$21+'Inputs'!$B$9+'Inputs'!$B$10)+'Inputs'!$B$7)^2+('Inputs'!$B$6/2)^2)-(((731-43)*MAX('Inputs'!$B$33,'Inputs'!$B$29+'Inputs'!$B$31+'Inputs'!$B$32,'Inputs'!$B$30+'Inputs'!$B$31+'Inputs'!$B$32)/1000+'Inputs'!$B$21+'Inputs'!$B$9+'Inputs'!$B$10))/SQRT((((731-43)*MAX('Inputs'!$B$33,'Inputs'!$B$29+'Inputs'!$B$31+'Inputs'!$B$32,'Inputs'!$B$30+'Inputs'!$B$31+'Inputs'!$B$32)/1000+'Inputs'!$B$21+'Inputs'!$B$9+'Inputs'!$B$10))^2+('Inputs'!$B$6/2)^2))))*'Results'!$B$8))),"")</x:f>
        <x:v>1.0771450356950751</x:v>
      </x:c>
      <x:c r="O731" t="n">
        <x:f>IF(AND(ISNUMBER('Results'!C7),ISNUMBER('Results'!B7),ISNUMBER('Results'!$B$8),ISNUMBER('Inputs'!$B$6),ISNUMBER('Inputs'!$B$7),ISNUMBER('Inputs'!$B$8),ISNUMBER('Inputs'!$B$9),ISNUMBER('Inputs'!$B$10),ISNUMBER('Inputs'!$B$21),ISNUMBER('Inputs'!$B$24),ISNUMBER('Inputs'!$B$28)),((('Results'!C7*(1+'Inputs'!$B$24)*(0.5*((((731-43)*MAX('Inputs'!$B$33,'Inputs'!$B$29+'Inputs'!$B$31+'Inputs'!$B$32,'Inputs'!$B$30+'Inputs'!$B$31+'Inputs'!$B$32)/1000+'Inputs'!$B$21)+'Inputs'!$B$9)/SQRT((((731-43)*MAX('Inputs'!$B$33,'Inputs'!$B$29+'Inputs'!$B$31+'Inputs'!$B$32,'Inputs'!$B$30+'Inputs'!$B$31+'Inputs'!$B$32)/1000+'Inputs'!$B$21)+'Inputs'!$B$9)^2+('Inputs'!$B$8/2)^2)-(((731-43)*MAX('Inputs'!$B$33,'Inputs'!$B$29+'Inputs'!$B$31+'Inputs'!$B$32,'Inputs'!$B$30+'Inputs'!$B$31+'Inputs'!$B$32)/1000+'Inputs'!$B$21))/SQRT((((731-43)*MAX('Inputs'!$B$33,'Inputs'!$B$29+'Inputs'!$B$31+'Inputs'!$B$32,'Inputs'!$B$30+'Inputs'!$B$31+'Inputs'!$B$32)/1000+'Inputs'!$B$21))^2+('Inputs'!$B$8/2)^2)))-'Results'!B7*(1-'Inputs'!$B$24)*(0.5*((((731-43)*MAX('Inputs'!$B$33,'Inputs'!$B$29+'Inputs'!$B$31+'Inputs'!$B$32,'Inputs'!$B$30+'Inputs'!$B$31+'Inputs'!$B$32)/1000+'Inputs'!$B$21+'Inputs'!$B$9+'Inputs'!$B$10)+'Inputs'!$B$7)/SQRT((((731-43)*MAX('Inputs'!$B$33,'Inputs'!$B$29+'Inputs'!$B$31+'Inputs'!$B$32,'Inputs'!$B$30+'Inputs'!$B$31+'Inputs'!$B$32)/1000+'Inputs'!$B$21+'Inputs'!$B$9+'Inputs'!$B$10)+'Inputs'!$B$7)^2+('Inputs'!$B$6/2)^2)-(((731-43)*MAX('Inputs'!$B$33,'Inputs'!$B$29+'Inputs'!$B$31+'Inputs'!$B$32,'Inputs'!$B$30+'Inputs'!$B$31+'Inputs'!$B$32)/1000+'Inputs'!$B$21+'Inputs'!$B$9+'Inputs'!$B$10))/SQRT((((731-43)*MAX('Inputs'!$B$33,'Inputs'!$B$29+'Inputs'!$B$31+'Inputs'!$B$32,'Inputs'!$B$30+'Inputs'!$B$31+'Inputs'!$B$32)/1000+'Inputs'!$B$21+'Inputs'!$B$9+'Inputs'!$B$10))^2+('Inputs'!$B$6/2)^2))))*'Results'!$B$8)+'Inputs'!$B$28*ABS((('Results'!C7*(1+'Inputs'!$B$24)*(0.5*((((731-43)*MAX('Inputs'!$B$33,'Inputs'!$B$29+'Inputs'!$B$31+'Inputs'!$B$32,'Inputs'!$B$30+'Inputs'!$B$31+'Inputs'!$B$32)/1000+'Inputs'!$B$21)+'Inputs'!$B$9)/SQRT((((731-43)*MAX('Inputs'!$B$33,'Inputs'!$B$29+'Inputs'!$B$31+'Inputs'!$B$32,'Inputs'!$B$30+'Inputs'!$B$31+'Inputs'!$B$32)/1000+'Inputs'!$B$21)+'Inputs'!$B$9)^2+('Inputs'!$B$8/2)^2)-(((731-43)*MAX('Inputs'!$B$33,'Inputs'!$B$29+'Inputs'!$B$31+'Inputs'!$B$32,'Inputs'!$B$30+'Inputs'!$B$31+'Inputs'!$B$32)/1000+'Inputs'!$B$21))/SQRT((((731-43)*MAX('Inputs'!$B$33,'Inputs'!$B$29+'Inputs'!$B$31+'Inputs'!$B$32,'Inputs'!$B$30+'Inputs'!$B$31+'Inputs'!$B$32)/1000+'Inputs'!$B$21))^2+('Inputs'!$B$8/2)^2)))-'Results'!B7*(1-'Inputs'!$B$24)*(0.5*((((731-43)*MAX('Inputs'!$B$33,'Inputs'!$B$29+'Inputs'!$B$31+'Inputs'!$B$32,'Inputs'!$B$30+'Inputs'!$B$31+'Inputs'!$B$32)/1000+'Inputs'!$B$21+'Inputs'!$B$9+'Inputs'!$B$10)+'Inputs'!$B$7)/SQRT((((731-43)*MAX('Inputs'!$B$33,'Inputs'!$B$29+'Inputs'!$B$31+'Inputs'!$B$32,'Inputs'!$B$30+'Inputs'!$B$31+'Inputs'!$B$32)/1000+'Inputs'!$B$21+'Inputs'!$B$9+'Inputs'!$B$10)+'Inputs'!$B$7)^2+('Inputs'!$B$6/2)^2)-(((731-43)*MAX('Inputs'!$B$33,'Inputs'!$B$29+'Inputs'!$B$31+'Inputs'!$B$32,'Inputs'!$B$30+'Inputs'!$B$31+'Inputs'!$B$32)/1000+'Inputs'!$B$21+'Inputs'!$B$9+'Inputs'!$B$10))/SQRT((((731-43)*MAX('Inputs'!$B$33,'Inputs'!$B$29+'Inputs'!$B$31+'Inputs'!$B$32,'Inputs'!$B$30+'Inputs'!$B$31+'Inputs'!$B$32)/1000+'Inputs'!$B$21+'Inputs'!$B$9+'Inputs'!$B$10))^2+('Inputs'!$B$6/2)^2))))*'Results'!$B$8))),"")</x:f>
        <x:v>1.441487001684146</x:v>
      </x:c>
      <x:c r="P731" t="n">
        <x:f>IF(AND(MAX(J731,J730)&gt;0,J731&gt;J730+0.00000001),1,0)</x:f>
        <x:v>0</x:v>
      </x:c>
      <x:c r="Q731" t="n">
        <x:f>IF(AND(MAX(K731,K730)&gt;0,K731&gt;K730+0.00000001),1,0)</x:f>
        <x:v>0</x:v>
      </x:c>
      <x:c r="R731" t="n">
        <x:f>IF(AND(MAX(L731,L730)&gt;0,L731&gt;L730+0.00000001),1,0)</x:f>
        <x:v>0</x:v>
      </x:c>
      <x:c r="S731" t="n">
        <x:f>IF(AND(MAX(M731,M730)&gt;0,M731&gt;M730+0.00000001),1,0)</x:f>
        <x:v>0</x:v>
      </x:c>
      <x:c r="T731" t="n">
        <x:f>IF(AND(MAX(N731,N730)&gt;0,N731&gt;N730+0.00000001),1,0)</x:f>
        <x:v>0</x:v>
      </x:c>
      <x:c r="U731" t="n">
        <x:f>IF(AND(MAX(O731,O730)&gt;0,O731&gt;O730+0.00000001),1,0)</x:f>
        <x:v>0</x:v>
      </x:c>
    </x:row>
    <x:row r="732">
      <x:c r="J732" t="n">
        <x:f>IF(AND(ISNUMBER('Results'!B7),ISNUMBER('Results'!C7),ISNUMBER('Results'!$B$8),ISNUMBER('Inputs'!$B$6),ISNUMBER('Inputs'!$B$7),ISNUMBER('Inputs'!$B$8),ISNUMBER('Inputs'!$B$9),ISNUMBER('Inputs'!$B$10),ISNUMBER('Inputs'!$B$21),ISNUMBER('Inputs'!$B$24),ISNUMBER('Inputs'!$B$28)),(('Results'!B7*(0.5*((((732-43)*MAX('Inputs'!$B$33,'Inputs'!$B$29+'Inputs'!$B$31+'Inputs'!$B$32,'Inputs'!$B$30+'Inputs'!$B$31+'Inputs'!$B$32)/1000+'Inputs'!$B$21)+'Inputs'!$B$7)/SQRT((((732-43)*MAX('Inputs'!$B$33,'Inputs'!$B$29+'Inputs'!$B$31+'Inputs'!$B$32,'Inputs'!$B$30+'Inputs'!$B$31+'Inputs'!$B$32)/1000+'Inputs'!$B$21)+'Inputs'!$B$7)^2+('Inputs'!$B$6/2)^2)-(((732-43)*MAX('Inputs'!$B$33,'Inputs'!$B$29+'Inputs'!$B$31+'Inputs'!$B$32,'Inputs'!$B$30+'Inputs'!$B$31+'Inputs'!$B$32)/1000+'Inputs'!$B$21))/SQRT((((732-43)*MAX('Inputs'!$B$33,'Inputs'!$B$29+'Inputs'!$B$31+'Inputs'!$B$32,'Inputs'!$B$30+'Inputs'!$B$31+'Inputs'!$B$32)/1000+'Inputs'!$B$21))^2+('Inputs'!$B$6/2)^2)))-'Results'!C7*(0.5*((((732-43)*MAX('Inputs'!$B$33,'Inputs'!$B$29+'Inputs'!$B$31+'Inputs'!$B$32,'Inputs'!$B$30+'Inputs'!$B$31+'Inputs'!$B$32)/1000+'Inputs'!$B$21+'Inputs'!$B$7+'Inputs'!$B$10)+'Inputs'!$B$9)/SQRT((((732-43)*MAX('Inputs'!$B$33,'Inputs'!$B$29+'Inputs'!$B$31+'Inputs'!$B$32,'Inputs'!$B$30+'Inputs'!$B$31+'Inputs'!$B$32)/1000+'Inputs'!$B$21+'Inputs'!$B$7+'Inputs'!$B$10)+'Inputs'!$B$9)^2+('Inputs'!$B$8/2)^2)-(((732-43)*MAX('Inputs'!$B$33,'Inputs'!$B$29+'Inputs'!$B$31+'Inputs'!$B$32,'Inputs'!$B$30+'Inputs'!$B$31+'Inputs'!$B$32)/1000+'Inputs'!$B$21+'Inputs'!$B$7+'Inputs'!$B$10))/SQRT((((732-43)*MAX('Inputs'!$B$33,'Inputs'!$B$29+'Inputs'!$B$31+'Inputs'!$B$32,'Inputs'!$B$30+'Inputs'!$B$31+'Inputs'!$B$32)/1000+'Inputs'!$B$21+'Inputs'!$B$7+'Inputs'!$B$10))^2+('Inputs'!$B$8/2)^2))))*'Results'!$B$8),"")</x:f>
        <x:v>1.3672579123268263</x:v>
      </x:c>
      <x:c r="K732" t="n">
        <x:f>IF(AND(ISNUMBER('Results'!B7),ISNUMBER('Results'!C7),ISNUMBER('Results'!$B$8),ISNUMBER('Inputs'!$B$6),ISNUMBER('Inputs'!$B$7),ISNUMBER('Inputs'!$B$8),ISNUMBER('Inputs'!$B$9),ISNUMBER('Inputs'!$B$10),ISNUMBER('Inputs'!$B$21),ISNUMBER('Inputs'!$B$24),ISNUMBER('Inputs'!$B$28)),((('Results'!B7*(1-'Inputs'!$B$24)*(0.5*((((732-43)*MAX('Inputs'!$B$33,'Inputs'!$B$29+'Inputs'!$B$31+'Inputs'!$B$32,'Inputs'!$B$30+'Inputs'!$B$31+'Inputs'!$B$32)/1000+'Inputs'!$B$21)+'Inputs'!$B$7)/SQRT((((732-43)*MAX('Inputs'!$B$33,'Inputs'!$B$29+'Inputs'!$B$31+'Inputs'!$B$32,'Inputs'!$B$30+'Inputs'!$B$31+'Inputs'!$B$32)/1000+'Inputs'!$B$21)+'Inputs'!$B$7)^2+('Inputs'!$B$6/2)^2)-(((732-43)*MAX('Inputs'!$B$33,'Inputs'!$B$29+'Inputs'!$B$31+'Inputs'!$B$32,'Inputs'!$B$30+'Inputs'!$B$31+'Inputs'!$B$32)/1000+'Inputs'!$B$21))/SQRT((((732-43)*MAX('Inputs'!$B$33,'Inputs'!$B$29+'Inputs'!$B$31+'Inputs'!$B$32,'Inputs'!$B$30+'Inputs'!$B$31+'Inputs'!$B$32)/1000+'Inputs'!$B$21))^2+('Inputs'!$B$6/2)^2)))-'Results'!C7*(1+'Inputs'!$B$24)*(0.5*((((732-43)*MAX('Inputs'!$B$33,'Inputs'!$B$29+'Inputs'!$B$31+'Inputs'!$B$32,'Inputs'!$B$30+'Inputs'!$B$31+'Inputs'!$B$32)/1000+'Inputs'!$B$21+'Inputs'!$B$7+'Inputs'!$B$10)+'Inputs'!$B$9)/SQRT((((732-43)*MAX('Inputs'!$B$33,'Inputs'!$B$29+'Inputs'!$B$31+'Inputs'!$B$32,'Inputs'!$B$30+'Inputs'!$B$31+'Inputs'!$B$32)/1000+'Inputs'!$B$21+'Inputs'!$B$7+'Inputs'!$B$10)+'Inputs'!$B$9)^2+('Inputs'!$B$8/2)^2)-(((732-43)*MAX('Inputs'!$B$33,'Inputs'!$B$29+'Inputs'!$B$31+'Inputs'!$B$32,'Inputs'!$B$30+'Inputs'!$B$31+'Inputs'!$B$32)/1000+'Inputs'!$B$21+'Inputs'!$B$7+'Inputs'!$B$10))/SQRT((((732-43)*MAX('Inputs'!$B$33,'Inputs'!$B$29+'Inputs'!$B$31+'Inputs'!$B$32,'Inputs'!$B$30+'Inputs'!$B$31+'Inputs'!$B$32)/1000+'Inputs'!$B$21+'Inputs'!$B$7+'Inputs'!$B$10))^2+('Inputs'!$B$8/2)^2))))*'Results'!$B$8)-'Inputs'!$B$28*ABS((('Results'!B7*(1-'Inputs'!$B$24)*(0.5*((((732-43)*MAX('Inputs'!$B$33,'Inputs'!$B$29+'Inputs'!$B$31+'Inputs'!$B$32,'Inputs'!$B$30+'Inputs'!$B$31+'Inputs'!$B$32)/1000+'Inputs'!$B$21)+'Inputs'!$B$7)/SQRT((((732-43)*MAX('Inputs'!$B$33,'Inputs'!$B$29+'Inputs'!$B$31+'Inputs'!$B$32,'Inputs'!$B$30+'Inputs'!$B$31+'Inputs'!$B$32)/1000+'Inputs'!$B$21)+'Inputs'!$B$7)^2+('Inputs'!$B$6/2)^2)-(((732-43)*MAX('Inputs'!$B$33,'Inputs'!$B$29+'Inputs'!$B$31+'Inputs'!$B$32,'Inputs'!$B$30+'Inputs'!$B$31+'Inputs'!$B$32)/1000+'Inputs'!$B$21))/SQRT((((732-43)*MAX('Inputs'!$B$33,'Inputs'!$B$29+'Inputs'!$B$31+'Inputs'!$B$32,'Inputs'!$B$30+'Inputs'!$B$31+'Inputs'!$B$32)/1000+'Inputs'!$B$21))^2+('Inputs'!$B$6/2)^2)))-'Results'!C7*(1+'Inputs'!$B$24)*(0.5*((((732-43)*MAX('Inputs'!$B$33,'Inputs'!$B$29+'Inputs'!$B$31+'Inputs'!$B$32,'Inputs'!$B$30+'Inputs'!$B$31+'Inputs'!$B$32)/1000+'Inputs'!$B$21+'Inputs'!$B$7+'Inputs'!$B$10)+'Inputs'!$B$9)/SQRT((((732-43)*MAX('Inputs'!$B$33,'Inputs'!$B$29+'Inputs'!$B$31+'Inputs'!$B$32,'Inputs'!$B$30+'Inputs'!$B$31+'Inputs'!$B$32)/1000+'Inputs'!$B$21+'Inputs'!$B$7+'Inputs'!$B$10)+'Inputs'!$B$9)^2+('Inputs'!$B$8/2)^2)-(((732-43)*MAX('Inputs'!$B$33,'Inputs'!$B$29+'Inputs'!$B$31+'Inputs'!$B$32,'Inputs'!$B$30+'Inputs'!$B$31+'Inputs'!$B$32)/1000+'Inputs'!$B$21+'Inputs'!$B$7+'Inputs'!$B$10))/SQRT((((732-43)*MAX('Inputs'!$B$33,'Inputs'!$B$29+'Inputs'!$B$31+'Inputs'!$B$32,'Inputs'!$B$30+'Inputs'!$B$31+'Inputs'!$B$32)/1000+'Inputs'!$B$21+'Inputs'!$B$7+'Inputs'!$B$10))^2+('Inputs'!$B$8/2)^2))))*'Results'!$B$8))),"")</x:f>
        <x:v>1.1853133414540364</x:v>
      </x:c>
      <x:c r="L732" t="n">
        <x:f>IF(AND(ISNUMBER('Results'!B7),ISNUMBER('Results'!C7),ISNUMBER('Results'!$B$8),ISNUMBER('Inputs'!$B$6),ISNUMBER('Inputs'!$B$7),ISNUMBER('Inputs'!$B$8),ISNUMBER('Inputs'!$B$9),ISNUMBER('Inputs'!$B$10),ISNUMBER('Inputs'!$B$21),ISNUMBER('Inputs'!$B$24),ISNUMBER('Inputs'!$B$28)),((('Results'!B7*(1+'Inputs'!$B$24)*(0.5*((((732-43)*MAX('Inputs'!$B$33,'Inputs'!$B$29+'Inputs'!$B$31+'Inputs'!$B$32,'Inputs'!$B$30+'Inputs'!$B$31+'Inputs'!$B$32)/1000+'Inputs'!$B$21)+'Inputs'!$B$7)/SQRT((((732-43)*MAX('Inputs'!$B$33,'Inputs'!$B$29+'Inputs'!$B$31+'Inputs'!$B$32,'Inputs'!$B$30+'Inputs'!$B$31+'Inputs'!$B$32)/1000+'Inputs'!$B$21)+'Inputs'!$B$7)^2+('Inputs'!$B$6/2)^2)-(((732-43)*MAX('Inputs'!$B$33,'Inputs'!$B$29+'Inputs'!$B$31+'Inputs'!$B$32,'Inputs'!$B$30+'Inputs'!$B$31+'Inputs'!$B$32)/1000+'Inputs'!$B$21))/SQRT((((732-43)*MAX('Inputs'!$B$33,'Inputs'!$B$29+'Inputs'!$B$31+'Inputs'!$B$32,'Inputs'!$B$30+'Inputs'!$B$31+'Inputs'!$B$32)/1000+'Inputs'!$B$21))^2+('Inputs'!$B$6/2)^2)))-'Results'!C7*(1-'Inputs'!$B$24)*(0.5*((((732-43)*MAX('Inputs'!$B$33,'Inputs'!$B$29+'Inputs'!$B$31+'Inputs'!$B$32,'Inputs'!$B$30+'Inputs'!$B$31+'Inputs'!$B$32)/1000+'Inputs'!$B$21+'Inputs'!$B$7+'Inputs'!$B$10)+'Inputs'!$B$9)/SQRT((((732-43)*MAX('Inputs'!$B$33,'Inputs'!$B$29+'Inputs'!$B$31+'Inputs'!$B$32,'Inputs'!$B$30+'Inputs'!$B$31+'Inputs'!$B$32)/1000+'Inputs'!$B$21+'Inputs'!$B$7+'Inputs'!$B$10)+'Inputs'!$B$9)^2+('Inputs'!$B$8/2)^2)-(((732-43)*MAX('Inputs'!$B$33,'Inputs'!$B$29+'Inputs'!$B$31+'Inputs'!$B$32,'Inputs'!$B$30+'Inputs'!$B$31+'Inputs'!$B$32)/1000+'Inputs'!$B$21+'Inputs'!$B$7+'Inputs'!$B$10))/SQRT((((732-43)*MAX('Inputs'!$B$33,'Inputs'!$B$29+'Inputs'!$B$31+'Inputs'!$B$32,'Inputs'!$B$30+'Inputs'!$B$31+'Inputs'!$B$32)/1000+'Inputs'!$B$21+'Inputs'!$B$7+'Inputs'!$B$10))^2+('Inputs'!$B$8/2)^2))))*'Results'!$B$8)+'Inputs'!$B$28*ABS((('Results'!B7*(1+'Inputs'!$B$24)*(0.5*((((732-43)*MAX('Inputs'!$B$33,'Inputs'!$B$29+'Inputs'!$B$31+'Inputs'!$B$32,'Inputs'!$B$30+'Inputs'!$B$31+'Inputs'!$B$32)/1000+'Inputs'!$B$21)+'Inputs'!$B$7)/SQRT((((732-43)*MAX('Inputs'!$B$33,'Inputs'!$B$29+'Inputs'!$B$31+'Inputs'!$B$32,'Inputs'!$B$30+'Inputs'!$B$31+'Inputs'!$B$32)/1000+'Inputs'!$B$21)+'Inputs'!$B$7)^2+('Inputs'!$B$6/2)^2)-(((732-43)*MAX('Inputs'!$B$33,'Inputs'!$B$29+'Inputs'!$B$31+'Inputs'!$B$32,'Inputs'!$B$30+'Inputs'!$B$31+'Inputs'!$B$32)/1000+'Inputs'!$B$21))/SQRT((((732-43)*MAX('Inputs'!$B$33,'Inputs'!$B$29+'Inputs'!$B$31+'Inputs'!$B$32,'Inputs'!$B$30+'Inputs'!$B$31+'Inputs'!$B$32)/1000+'Inputs'!$B$21))^2+('Inputs'!$B$6/2)^2)))-'Results'!C7*(1-'Inputs'!$B$24)*(0.5*((((732-43)*MAX('Inputs'!$B$33,'Inputs'!$B$29+'Inputs'!$B$31+'Inputs'!$B$32,'Inputs'!$B$30+'Inputs'!$B$31+'Inputs'!$B$32)/1000+'Inputs'!$B$21+'Inputs'!$B$7+'Inputs'!$B$10)+'Inputs'!$B$9)/SQRT((((732-43)*MAX('Inputs'!$B$33,'Inputs'!$B$29+'Inputs'!$B$31+'Inputs'!$B$32,'Inputs'!$B$30+'Inputs'!$B$31+'Inputs'!$B$32)/1000+'Inputs'!$B$21+'Inputs'!$B$7+'Inputs'!$B$10)+'Inputs'!$B$9)^2+('Inputs'!$B$8/2)^2)-(((732-43)*MAX('Inputs'!$B$33,'Inputs'!$B$29+'Inputs'!$B$31+'Inputs'!$B$32,'Inputs'!$B$30+'Inputs'!$B$31+'Inputs'!$B$32)/1000+'Inputs'!$B$21+'Inputs'!$B$7+'Inputs'!$B$10))/SQRT((((732-43)*MAX('Inputs'!$B$33,'Inputs'!$B$29+'Inputs'!$B$31+'Inputs'!$B$32,'Inputs'!$B$30+'Inputs'!$B$31+'Inputs'!$B$32)/1000+'Inputs'!$B$21+'Inputs'!$B$7+'Inputs'!$B$10))^2+('Inputs'!$B$8/2)^2))))*'Results'!$B$8))),"")</x:f>
        <x:v>1.5611584490160846</x:v>
      </x:c>
      <x:c r="M732" t="n">
        <x:f>IF(AND(ISNUMBER('Results'!C7),ISNUMBER('Results'!B7),ISNUMBER('Results'!$B$8),ISNUMBER('Inputs'!$B$6),ISNUMBER('Inputs'!$B$7),ISNUMBER('Inputs'!$B$8),ISNUMBER('Inputs'!$B$9),ISNUMBER('Inputs'!$B$10),ISNUMBER('Inputs'!$B$21),ISNUMBER('Inputs'!$B$24),ISNUMBER('Inputs'!$B$28)),(('Results'!C7*(0.5*((((732-43)*MAX('Inputs'!$B$33,'Inputs'!$B$29+'Inputs'!$B$31+'Inputs'!$B$32,'Inputs'!$B$30+'Inputs'!$B$31+'Inputs'!$B$32)/1000+'Inputs'!$B$21)+'Inputs'!$B$9)/SQRT((((732-43)*MAX('Inputs'!$B$33,'Inputs'!$B$29+'Inputs'!$B$31+'Inputs'!$B$32,'Inputs'!$B$30+'Inputs'!$B$31+'Inputs'!$B$32)/1000+'Inputs'!$B$21)+'Inputs'!$B$9)^2+('Inputs'!$B$8/2)^2)-(((732-43)*MAX('Inputs'!$B$33,'Inputs'!$B$29+'Inputs'!$B$31+'Inputs'!$B$32,'Inputs'!$B$30+'Inputs'!$B$31+'Inputs'!$B$32)/1000+'Inputs'!$B$21))/SQRT((((732-43)*MAX('Inputs'!$B$33,'Inputs'!$B$29+'Inputs'!$B$31+'Inputs'!$B$32,'Inputs'!$B$30+'Inputs'!$B$31+'Inputs'!$B$32)/1000+'Inputs'!$B$21))^2+('Inputs'!$B$8/2)^2)))-'Results'!B7*(0.5*((((732-43)*MAX('Inputs'!$B$33,'Inputs'!$B$29+'Inputs'!$B$31+'Inputs'!$B$32,'Inputs'!$B$30+'Inputs'!$B$31+'Inputs'!$B$32)/1000+'Inputs'!$B$21+'Inputs'!$B$9+'Inputs'!$B$10)+'Inputs'!$B$7)/SQRT((((732-43)*MAX('Inputs'!$B$33,'Inputs'!$B$29+'Inputs'!$B$31+'Inputs'!$B$32,'Inputs'!$B$30+'Inputs'!$B$31+'Inputs'!$B$32)/1000+'Inputs'!$B$21+'Inputs'!$B$9+'Inputs'!$B$10)+'Inputs'!$B$7)^2+('Inputs'!$B$6/2)^2)-(((732-43)*MAX('Inputs'!$B$33,'Inputs'!$B$29+'Inputs'!$B$31+'Inputs'!$B$32,'Inputs'!$B$30+'Inputs'!$B$31+'Inputs'!$B$32)/1000+'Inputs'!$B$21+'Inputs'!$B$9+'Inputs'!$B$10))/SQRT((((732-43)*MAX('Inputs'!$B$33,'Inputs'!$B$29+'Inputs'!$B$31+'Inputs'!$B$32,'Inputs'!$B$30+'Inputs'!$B$31+'Inputs'!$B$32)/1000+'Inputs'!$B$21+'Inputs'!$B$9+'Inputs'!$B$10))^2+('Inputs'!$B$6/2)^2))))*'Results'!$B$8),"")</x:f>
        <x:v>1.246757289877265</x:v>
      </x:c>
      <x:c r="N732" t="n">
        <x:f>IF(AND(ISNUMBER('Results'!C7),ISNUMBER('Results'!B7),ISNUMBER('Results'!$B$8),ISNUMBER('Inputs'!$B$6),ISNUMBER('Inputs'!$B$7),ISNUMBER('Inputs'!$B$8),ISNUMBER('Inputs'!$B$9),ISNUMBER('Inputs'!$B$10),ISNUMBER('Inputs'!$B$21),ISNUMBER('Inputs'!$B$24),ISNUMBER('Inputs'!$B$28)),((('Results'!C7*(1-'Inputs'!$B$24)*(0.5*((((732-43)*MAX('Inputs'!$B$33,'Inputs'!$B$29+'Inputs'!$B$31+'Inputs'!$B$32,'Inputs'!$B$30+'Inputs'!$B$31+'Inputs'!$B$32)/1000+'Inputs'!$B$21)+'Inputs'!$B$9)/SQRT((((732-43)*MAX('Inputs'!$B$33,'Inputs'!$B$29+'Inputs'!$B$31+'Inputs'!$B$32,'Inputs'!$B$30+'Inputs'!$B$31+'Inputs'!$B$32)/1000+'Inputs'!$B$21)+'Inputs'!$B$9)^2+('Inputs'!$B$8/2)^2)-(((732-43)*MAX('Inputs'!$B$33,'Inputs'!$B$29+'Inputs'!$B$31+'Inputs'!$B$32,'Inputs'!$B$30+'Inputs'!$B$31+'Inputs'!$B$32)/1000+'Inputs'!$B$21))/SQRT((((732-43)*MAX('Inputs'!$B$33,'Inputs'!$B$29+'Inputs'!$B$31+'Inputs'!$B$32,'Inputs'!$B$30+'Inputs'!$B$31+'Inputs'!$B$32)/1000+'Inputs'!$B$21))^2+('Inputs'!$B$8/2)^2)))-'Results'!B7*(1+'Inputs'!$B$24)*(0.5*((((732-43)*MAX('Inputs'!$B$33,'Inputs'!$B$29+'Inputs'!$B$31+'Inputs'!$B$32,'Inputs'!$B$30+'Inputs'!$B$31+'Inputs'!$B$32)/1000+'Inputs'!$B$21+'Inputs'!$B$9+'Inputs'!$B$10)+'Inputs'!$B$7)/SQRT((((732-43)*MAX('Inputs'!$B$33,'Inputs'!$B$29+'Inputs'!$B$31+'Inputs'!$B$32,'Inputs'!$B$30+'Inputs'!$B$31+'Inputs'!$B$32)/1000+'Inputs'!$B$21+'Inputs'!$B$9+'Inputs'!$B$10)+'Inputs'!$B$7)^2+('Inputs'!$B$6/2)^2)-(((732-43)*MAX('Inputs'!$B$33,'Inputs'!$B$29+'Inputs'!$B$31+'Inputs'!$B$32,'Inputs'!$B$30+'Inputs'!$B$31+'Inputs'!$B$32)/1000+'Inputs'!$B$21+'Inputs'!$B$9+'Inputs'!$B$10))/SQRT((((732-43)*MAX('Inputs'!$B$33,'Inputs'!$B$29+'Inputs'!$B$31+'Inputs'!$B$32,'Inputs'!$B$30+'Inputs'!$B$31+'Inputs'!$B$32)/1000+'Inputs'!$B$21+'Inputs'!$B$9+'Inputs'!$B$10))^2+('Inputs'!$B$6/2)^2))))*'Results'!$B$8)-'Inputs'!$B$28*ABS((('Results'!C7*(1-'Inputs'!$B$24)*(0.5*((((732-43)*MAX('Inputs'!$B$33,'Inputs'!$B$29+'Inputs'!$B$31+'Inputs'!$B$32,'Inputs'!$B$30+'Inputs'!$B$31+'Inputs'!$B$32)/1000+'Inputs'!$B$21)+'Inputs'!$B$9)/SQRT((((732-43)*MAX('Inputs'!$B$33,'Inputs'!$B$29+'Inputs'!$B$31+'Inputs'!$B$32,'Inputs'!$B$30+'Inputs'!$B$31+'Inputs'!$B$32)/1000+'Inputs'!$B$21)+'Inputs'!$B$9)^2+('Inputs'!$B$8/2)^2)-(((732-43)*MAX('Inputs'!$B$33,'Inputs'!$B$29+'Inputs'!$B$31+'Inputs'!$B$32,'Inputs'!$B$30+'Inputs'!$B$31+'Inputs'!$B$32)/1000+'Inputs'!$B$21))/SQRT((((732-43)*MAX('Inputs'!$B$33,'Inputs'!$B$29+'Inputs'!$B$31+'Inputs'!$B$32,'Inputs'!$B$30+'Inputs'!$B$31+'Inputs'!$B$32)/1000+'Inputs'!$B$21))^2+('Inputs'!$B$8/2)^2)))-'Results'!B7*(1+'Inputs'!$B$24)*(0.5*((((732-43)*MAX('Inputs'!$B$33,'Inputs'!$B$29+'Inputs'!$B$31+'Inputs'!$B$32,'Inputs'!$B$30+'Inputs'!$B$31+'Inputs'!$B$32)/1000+'Inputs'!$B$21+'Inputs'!$B$9+'Inputs'!$B$10)+'Inputs'!$B$7)/SQRT((((732-43)*MAX('Inputs'!$B$33,'Inputs'!$B$29+'Inputs'!$B$31+'Inputs'!$B$32,'Inputs'!$B$30+'Inputs'!$B$31+'Inputs'!$B$32)/1000+'Inputs'!$B$21+'Inputs'!$B$9+'Inputs'!$B$10)+'Inputs'!$B$7)^2+('Inputs'!$B$6/2)^2)-(((732-43)*MAX('Inputs'!$B$33,'Inputs'!$B$29+'Inputs'!$B$31+'Inputs'!$B$32,'Inputs'!$B$30+'Inputs'!$B$31+'Inputs'!$B$32)/1000+'Inputs'!$B$21+'Inputs'!$B$9+'Inputs'!$B$10))/SQRT((((732-43)*MAX('Inputs'!$B$33,'Inputs'!$B$29+'Inputs'!$B$31+'Inputs'!$B$32,'Inputs'!$B$30+'Inputs'!$B$31+'Inputs'!$B$32)/1000+'Inputs'!$B$21+'Inputs'!$B$9+'Inputs'!$B$10))^2+('Inputs'!$B$6/2)^2))))*'Results'!$B$8))),"")</x:f>
        <x:v>1.0713394298122243</x:v>
      </x:c>
      <x:c r="O732" t="n">
        <x:f>IF(AND(ISNUMBER('Results'!C7),ISNUMBER('Results'!B7),ISNUMBER('Results'!$B$8),ISNUMBER('Inputs'!$B$6),ISNUMBER('Inputs'!$B$7),ISNUMBER('Inputs'!$B$8),ISNUMBER('Inputs'!$B$9),ISNUMBER('Inputs'!$B$10),ISNUMBER('Inputs'!$B$21),ISNUMBER('Inputs'!$B$24),ISNUMBER('Inputs'!$B$28)),((('Results'!C7*(1+'Inputs'!$B$24)*(0.5*((((732-43)*MAX('Inputs'!$B$33,'Inputs'!$B$29+'Inputs'!$B$31+'Inputs'!$B$32,'Inputs'!$B$30+'Inputs'!$B$31+'Inputs'!$B$32)/1000+'Inputs'!$B$21)+'Inputs'!$B$9)/SQRT((((732-43)*MAX('Inputs'!$B$33,'Inputs'!$B$29+'Inputs'!$B$31+'Inputs'!$B$32,'Inputs'!$B$30+'Inputs'!$B$31+'Inputs'!$B$32)/1000+'Inputs'!$B$21)+'Inputs'!$B$9)^2+('Inputs'!$B$8/2)^2)-(((732-43)*MAX('Inputs'!$B$33,'Inputs'!$B$29+'Inputs'!$B$31+'Inputs'!$B$32,'Inputs'!$B$30+'Inputs'!$B$31+'Inputs'!$B$32)/1000+'Inputs'!$B$21))/SQRT((((732-43)*MAX('Inputs'!$B$33,'Inputs'!$B$29+'Inputs'!$B$31+'Inputs'!$B$32,'Inputs'!$B$30+'Inputs'!$B$31+'Inputs'!$B$32)/1000+'Inputs'!$B$21))^2+('Inputs'!$B$8/2)^2)))-'Results'!B7*(1-'Inputs'!$B$24)*(0.5*((((732-43)*MAX('Inputs'!$B$33,'Inputs'!$B$29+'Inputs'!$B$31+'Inputs'!$B$32,'Inputs'!$B$30+'Inputs'!$B$31+'Inputs'!$B$32)/1000+'Inputs'!$B$21+'Inputs'!$B$9+'Inputs'!$B$10)+'Inputs'!$B$7)/SQRT((((732-43)*MAX('Inputs'!$B$33,'Inputs'!$B$29+'Inputs'!$B$31+'Inputs'!$B$32,'Inputs'!$B$30+'Inputs'!$B$31+'Inputs'!$B$32)/1000+'Inputs'!$B$21+'Inputs'!$B$9+'Inputs'!$B$10)+'Inputs'!$B$7)^2+('Inputs'!$B$6/2)^2)-(((732-43)*MAX('Inputs'!$B$33,'Inputs'!$B$29+'Inputs'!$B$31+'Inputs'!$B$32,'Inputs'!$B$30+'Inputs'!$B$31+'Inputs'!$B$32)/1000+'Inputs'!$B$21+'Inputs'!$B$9+'Inputs'!$B$10))/SQRT((((732-43)*MAX('Inputs'!$B$33,'Inputs'!$B$29+'Inputs'!$B$31+'Inputs'!$B$32,'Inputs'!$B$30+'Inputs'!$B$31+'Inputs'!$B$32)/1000+'Inputs'!$B$21+'Inputs'!$B$9+'Inputs'!$B$10))^2+('Inputs'!$B$6/2)^2))))*'Results'!$B$8)+'Inputs'!$B$28*ABS((('Results'!C7*(1+'Inputs'!$B$24)*(0.5*((((732-43)*MAX('Inputs'!$B$33,'Inputs'!$B$29+'Inputs'!$B$31+'Inputs'!$B$32,'Inputs'!$B$30+'Inputs'!$B$31+'Inputs'!$B$32)/1000+'Inputs'!$B$21)+'Inputs'!$B$9)/SQRT((((732-43)*MAX('Inputs'!$B$33,'Inputs'!$B$29+'Inputs'!$B$31+'Inputs'!$B$32,'Inputs'!$B$30+'Inputs'!$B$31+'Inputs'!$B$32)/1000+'Inputs'!$B$21)+'Inputs'!$B$9)^2+('Inputs'!$B$8/2)^2)-(((732-43)*MAX('Inputs'!$B$33,'Inputs'!$B$29+'Inputs'!$B$31+'Inputs'!$B$32,'Inputs'!$B$30+'Inputs'!$B$31+'Inputs'!$B$32)/1000+'Inputs'!$B$21))/SQRT((((732-43)*MAX('Inputs'!$B$33,'Inputs'!$B$29+'Inputs'!$B$31+'Inputs'!$B$32,'Inputs'!$B$30+'Inputs'!$B$31+'Inputs'!$B$32)/1000+'Inputs'!$B$21))^2+('Inputs'!$B$8/2)^2)))-'Results'!B7*(1-'Inputs'!$B$24)*(0.5*((((732-43)*MAX('Inputs'!$B$33,'Inputs'!$B$29+'Inputs'!$B$31+'Inputs'!$B$32,'Inputs'!$B$30+'Inputs'!$B$31+'Inputs'!$B$32)/1000+'Inputs'!$B$21+'Inputs'!$B$9+'Inputs'!$B$10)+'Inputs'!$B$7)/SQRT((((732-43)*MAX('Inputs'!$B$33,'Inputs'!$B$29+'Inputs'!$B$31+'Inputs'!$B$32,'Inputs'!$B$30+'Inputs'!$B$31+'Inputs'!$B$32)/1000+'Inputs'!$B$21+'Inputs'!$B$9+'Inputs'!$B$10)+'Inputs'!$B$7)^2+('Inputs'!$B$6/2)^2)-(((732-43)*MAX('Inputs'!$B$33,'Inputs'!$B$29+'Inputs'!$B$31+'Inputs'!$B$32,'Inputs'!$B$30+'Inputs'!$B$31+'Inputs'!$B$32)/1000+'Inputs'!$B$21+'Inputs'!$B$9+'Inputs'!$B$10))/SQRT((((732-43)*MAX('Inputs'!$B$33,'Inputs'!$B$29+'Inputs'!$B$31+'Inputs'!$B$32,'Inputs'!$B$30+'Inputs'!$B$31+'Inputs'!$B$32)/1000+'Inputs'!$B$21+'Inputs'!$B$9+'Inputs'!$B$10))^2+('Inputs'!$B$6/2)^2))))*'Results'!$B$8))),"")</x:f>
        <x:v>1.4340783073708498</x:v>
      </x:c>
      <x:c r="P732" t="n">
        <x:f>IF(AND(MAX(J732,J731)&gt;0,J732&gt;J731+0.00000001),1,0)</x:f>
        <x:v>0</x:v>
      </x:c>
      <x:c r="Q732" t="n">
        <x:f>IF(AND(MAX(K732,K731)&gt;0,K732&gt;K731+0.00000001),1,0)</x:f>
        <x:v>0</x:v>
      </x:c>
      <x:c r="R732" t="n">
        <x:f>IF(AND(MAX(L732,L731)&gt;0,L732&gt;L731+0.00000001),1,0)</x:f>
        <x:v>0</x:v>
      </x:c>
      <x:c r="S732" t="n">
        <x:f>IF(AND(MAX(M732,M731)&gt;0,M732&gt;M731+0.00000001),1,0)</x:f>
        <x:v>0</x:v>
      </x:c>
      <x:c r="T732" t="n">
        <x:f>IF(AND(MAX(N732,N731)&gt;0,N732&gt;N731+0.00000001),1,0)</x:f>
        <x:v>0</x:v>
      </x:c>
      <x:c r="U732" t="n">
        <x:f>IF(AND(MAX(O732,O731)&gt;0,O732&gt;O731+0.00000001),1,0)</x:f>
        <x:v>0</x:v>
      </x:c>
    </x:row>
    <x:row r="733">
      <x:c r="J733" t="n">
        <x:f>IF(AND(ISNUMBER('Results'!B7),ISNUMBER('Results'!C7),ISNUMBER('Results'!$B$8),ISNUMBER('Inputs'!$B$6),ISNUMBER('Inputs'!$B$7),ISNUMBER('Inputs'!$B$8),ISNUMBER('Inputs'!$B$9),ISNUMBER('Inputs'!$B$10),ISNUMBER('Inputs'!$B$21),ISNUMBER('Inputs'!$B$24),ISNUMBER('Inputs'!$B$28)),(('Results'!B7*(0.5*((((733-43)*MAX('Inputs'!$B$33,'Inputs'!$B$29+'Inputs'!$B$31+'Inputs'!$B$32,'Inputs'!$B$30+'Inputs'!$B$31+'Inputs'!$B$32)/1000+'Inputs'!$B$21)+'Inputs'!$B$7)/SQRT((((733-43)*MAX('Inputs'!$B$33,'Inputs'!$B$29+'Inputs'!$B$31+'Inputs'!$B$32,'Inputs'!$B$30+'Inputs'!$B$31+'Inputs'!$B$32)/1000+'Inputs'!$B$21)+'Inputs'!$B$7)^2+('Inputs'!$B$6/2)^2)-(((733-43)*MAX('Inputs'!$B$33,'Inputs'!$B$29+'Inputs'!$B$31+'Inputs'!$B$32,'Inputs'!$B$30+'Inputs'!$B$31+'Inputs'!$B$32)/1000+'Inputs'!$B$21))/SQRT((((733-43)*MAX('Inputs'!$B$33,'Inputs'!$B$29+'Inputs'!$B$31+'Inputs'!$B$32,'Inputs'!$B$30+'Inputs'!$B$31+'Inputs'!$B$32)/1000+'Inputs'!$B$21))^2+('Inputs'!$B$6/2)^2)))-'Results'!C7*(0.5*((((733-43)*MAX('Inputs'!$B$33,'Inputs'!$B$29+'Inputs'!$B$31+'Inputs'!$B$32,'Inputs'!$B$30+'Inputs'!$B$31+'Inputs'!$B$32)/1000+'Inputs'!$B$21+'Inputs'!$B$7+'Inputs'!$B$10)+'Inputs'!$B$9)/SQRT((((733-43)*MAX('Inputs'!$B$33,'Inputs'!$B$29+'Inputs'!$B$31+'Inputs'!$B$32,'Inputs'!$B$30+'Inputs'!$B$31+'Inputs'!$B$32)/1000+'Inputs'!$B$21+'Inputs'!$B$7+'Inputs'!$B$10)+'Inputs'!$B$9)^2+('Inputs'!$B$8/2)^2)-(((733-43)*MAX('Inputs'!$B$33,'Inputs'!$B$29+'Inputs'!$B$31+'Inputs'!$B$32,'Inputs'!$B$30+'Inputs'!$B$31+'Inputs'!$B$32)/1000+'Inputs'!$B$21+'Inputs'!$B$7+'Inputs'!$B$10))/SQRT((((733-43)*MAX('Inputs'!$B$33,'Inputs'!$B$29+'Inputs'!$B$31+'Inputs'!$B$32,'Inputs'!$B$30+'Inputs'!$B$31+'Inputs'!$B$32)/1000+'Inputs'!$B$21+'Inputs'!$B$7+'Inputs'!$B$10))^2+('Inputs'!$B$8/2)^2))))*'Results'!$B$8),"")</x:f>
        <x:v>1.3602413076570878</x:v>
      </x:c>
      <x:c r="K733" t="n">
        <x:f>IF(AND(ISNUMBER('Results'!B7),ISNUMBER('Results'!C7),ISNUMBER('Results'!$B$8),ISNUMBER('Inputs'!$B$6),ISNUMBER('Inputs'!$B$7),ISNUMBER('Inputs'!$B$8),ISNUMBER('Inputs'!$B$9),ISNUMBER('Inputs'!$B$10),ISNUMBER('Inputs'!$B$21),ISNUMBER('Inputs'!$B$24),ISNUMBER('Inputs'!$B$28)),((('Results'!B7*(1-'Inputs'!$B$24)*(0.5*((((733-43)*MAX('Inputs'!$B$33,'Inputs'!$B$29+'Inputs'!$B$31+'Inputs'!$B$32,'Inputs'!$B$30+'Inputs'!$B$31+'Inputs'!$B$32)/1000+'Inputs'!$B$21)+'Inputs'!$B$7)/SQRT((((733-43)*MAX('Inputs'!$B$33,'Inputs'!$B$29+'Inputs'!$B$31+'Inputs'!$B$32,'Inputs'!$B$30+'Inputs'!$B$31+'Inputs'!$B$32)/1000+'Inputs'!$B$21)+'Inputs'!$B$7)^2+('Inputs'!$B$6/2)^2)-(((733-43)*MAX('Inputs'!$B$33,'Inputs'!$B$29+'Inputs'!$B$31+'Inputs'!$B$32,'Inputs'!$B$30+'Inputs'!$B$31+'Inputs'!$B$32)/1000+'Inputs'!$B$21))/SQRT((((733-43)*MAX('Inputs'!$B$33,'Inputs'!$B$29+'Inputs'!$B$31+'Inputs'!$B$32,'Inputs'!$B$30+'Inputs'!$B$31+'Inputs'!$B$32)/1000+'Inputs'!$B$21))^2+('Inputs'!$B$6/2)^2)))-'Results'!C7*(1+'Inputs'!$B$24)*(0.5*((((733-43)*MAX('Inputs'!$B$33,'Inputs'!$B$29+'Inputs'!$B$31+'Inputs'!$B$32,'Inputs'!$B$30+'Inputs'!$B$31+'Inputs'!$B$32)/1000+'Inputs'!$B$21+'Inputs'!$B$7+'Inputs'!$B$10)+'Inputs'!$B$9)/SQRT((((733-43)*MAX('Inputs'!$B$33,'Inputs'!$B$29+'Inputs'!$B$31+'Inputs'!$B$32,'Inputs'!$B$30+'Inputs'!$B$31+'Inputs'!$B$32)/1000+'Inputs'!$B$21+'Inputs'!$B$7+'Inputs'!$B$10)+'Inputs'!$B$9)^2+('Inputs'!$B$8/2)^2)-(((733-43)*MAX('Inputs'!$B$33,'Inputs'!$B$29+'Inputs'!$B$31+'Inputs'!$B$32,'Inputs'!$B$30+'Inputs'!$B$31+'Inputs'!$B$32)/1000+'Inputs'!$B$21+'Inputs'!$B$7+'Inputs'!$B$10))/SQRT((((733-43)*MAX('Inputs'!$B$33,'Inputs'!$B$29+'Inputs'!$B$31+'Inputs'!$B$32,'Inputs'!$B$30+'Inputs'!$B$31+'Inputs'!$B$32)/1000+'Inputs'!$B$21+'Inputs'!$B$7+'Inputs'!$B$10))^2+('Inputs'!$B$8/2)^2))))*'Results'!$B$8)-'Inputs'!$B$28*ABS((('Results'!B7*(1-'Inputs'!$B$24)*(0.5*((((733-43)*MAX('Inputs'!$B$33,'Inputs'!$B$29+'Inputs'!$B$31+'Inputs'!$B$32,'Inputs'!$B$30+'Inputs'!$B$31+'Inputs'!$B$32)/1000+'Inputs'!$B$21)+'Inputs'!$B$7)/SQRT((((733-43)*MAX('Inputs'!$B$33,'Inputs'!$B$29+'Inputs'!$B$31+'Inputs'!$B$32,'Inputs'!$B$30+'Inputs'!$B$31+'Inputs'!$B$32)/1000+'Inputs'!$B$21)+'Inputs'!$B$7)^2+('Inputs'!$B$6/2)^2)-(((733-43)*MAX('Inputs'!$B$33,'Inputs'!$B$29+'Inputs'!$B$31+'Inputs'!$B$32,'Inputs'!$B$30+'Inputs'!$B$31+'Inputs'!$B$32)/1000+'Inputs'!$B$21))/SQRT((((733-43)*MAX('Inputs'!$B$33,'Inputs'!$B$29+'Inputs'!$B$31+'Inputs'!$B$32,'Inputs'!$B$30+'Inputs'!$B$31+'Inputs'!$B$32)/1000+'Inputs'!$B$21))^2+('Inputs'!$B$6/2)^2)))-'Results'!C7*(1+'Inputs'!$B$24)*(0.5*((((733-43)*MAX('Inputs'!$B$33,'Inputs'!$B$29+'Inputs'!$B$31+'Inputs'!$B$32,'Inputs'!$B$30+'Inputs'!$B$31+'Inputs'!$B$32)/1000+'Inputs'!$B$21+'Inputs'!$B$7+'Inputs'!$B$10)+'Inputs'!$B$9)/SQRT((((733-43)*MAX('Inputs'!$B$33,'Inputs'!$B$29+'Inputs'!$B$31+'Inputs'!$B$32,'Inputs'!$B$30+'Inputs'!$B$31+'Inputs'!$B$32)/1000+'Inputs'!$B$21+'Inputs'!$B$7+'Inputs'!$B$10)+'Inputs'!$B$9)^2+('Inputs'!$B$8/2)^2)-(((733-43)*MAX('Inputs'!$B$33,'Inputs'!$B$29+'Inputs'!$B$31+'Inputs'!$B$32,'Inputs'!$B$30+'Inputs'!$B$31+'Inputs'!$B$32)/1000+'Inputs'!$B$21+'Inputs'!$B$7+'Inputs'!$B$10))/SQRT((((733-43)*MAX('Inputs'!$B$33,'Inputs'!$B$29+'Inputs'!$B$31+'Inputs'!$B$32,'Inputs'!$B$30+'Inputs'!$B$31+'Inputs'!$B$32)/1000+'Inputs'!$B$21+'Inputs'!$B$7+'Inputs'!$B$10))^2+('Inputs'!$B$8/2)^2))))*'Results'!$B$8))),"")</x:f>
        <x:v>1.1790965507449227</x:v>
      </x:c>
      <x:c r="L733" t="n">
        <x:f>IF(AND(ISNUMBER('Results'!B7),ISNUMBER('Results'!C7),ISNUMBER('Results'!$B$8),ISNUMBER('Inputs'!$B$6),ISNUMBER('Inputs'!$B$7),ISNUMBER('Inputs'!$B$8),ISNUMBER('Inputs'!$B$9),ISNUMBER('Inputs'!$B$10),ISNUMBER('Inputs'!$B$21),ISNUMBER('Inputs'!$B$24),ISNUMBER('Inputs'!$B$28)),((('Results'!B7*(1+'Inputs'!$B$24)*(0.5*((((733-43)*MAX('Inputs'!$B$33,'Inputs'!$B$29+'Inputs'!$B$31+'Inputs'!$B$32,'Inputs'!$B$30+'Inputs'!$B$31+'Inputs'!$B$32)/1000+'Inputs'!$B$21)+'Inputs'!$B$7)/SQRT((((733-43)*MAX('Inputs'!$B$33,'Inputs'!$B$29+'Inputs'!$B$31+'Inputs'!$B$32,'Inputs'!$B$30+'Inputs'!$B$31+'Inputs'!$B$32)/1000+'Inputs'!$B$21)+'Inputs'!$B$7)^2+('Inputs'!$B$6/2)^2)-(((733-43)*MAX('Inputs'!$B$33,'Inputs'!$B$29+'Inputs'!$B$31+'Inputs'!$B$32,'Inputs'!$B$30+'Inputs'!$B$31+'Inputs'!$B$32)/1000+'Inputs'!$B$21))/SQRT((((733-43)*MAX('Inputs'!$B$33,'Inputs'!$B$29+'Inputs'!$B$31+'Inputs'!$B$32,'Inputs'!$B$30+'Inputs'!$B$31+'Inputs'!$B$32)/1000+'Inputs'!$B$21))^2+('Inputs'!$B$6/2)^2)))-'Results'!C7*(1-'Inputs'!$B$24)*(0.5*((((733-43)*MAX('Inputs'!$B$33,'Inputs'!$B$29+'Inputs'!$B$31+'Inputs'!$B$32,'Inputs'!$B$30+'Inputs'!$B$31+'Inputs'!$B$32)/1000+'Inputs'!$B$21+'Inputs'!$B$7+'Inputs'!$B$10)+'Inputs'!$B$9)/SQRT((((733-43)*MAX('Inputs'!$B$33,'Inputs'!$B$29+'Inputs'!$B$31+'Inputs'!$B$32,'Inputs'!$B$30+'Inputs'!$B$31+'Inputs'!$B$32)/1000+'Inputs'!$B$21+'Inputs'!$B$7+'Inputs'!$B$10)+'Inputs'!$B$9)^2+('Inputs'!$B$8/2)^2)-(((733-43)*MAX('Inputs'!$B$33,'Inputs'!$B$29+'Inputs'!$B$31+'Inputs'!$B$32,'Inputs'!$B$30+'Inputs'!$B$31+'Inputs'!$B$32)/1000+'Inputs'!$B$21+'Inputs'!$B$7+'Inputs'!$B$10))/SQRT((((733-43)*MAX('Inputs'!$B$33,'Inputs'!$B$29+'Inputs'!$B$31+'Inputs'!$B$32,'Inputs'!$B$30+'Inputs'!$B$31+'Inputs'!$B$32)/1000+'Inputs'!$B$21+'Inputs'!$B$7+'Inputs'!$B$10))^2+('Inputs'!$B$8/2)^2))))*'Results'!$B$8)+'Inputs'!$B$28*ABS((('Results'!B7*(1+'Inputs'!$B$24)*(0.5*((((733-43)*MAX('Inputs'!$B$33,'Inputs'!$B$29+'Inputs'!$B$31+'Inputs'!$B$32,'Inputs'!$B$30+'Inputs'!$B$31+'Inputs'!$B$32)/1000+'Inputs'!$B$21)+'Inputs'!$B$7)/SQRT((((733-43)*MAX('Inputs'!$B$33,'Inputs'!$B$29+'Inputs'!$B$31+'Inputs'!$B$32,'Inputs'!$B$30+'Inputs'!$B$31+'Inputs'!$B$32)/1000+'Inputs'!$B$21)+'Inputs'!$B$7)^2+('Inputs'!$B$6/2)^2)-(((733-43)*MAX('Inputs'!$B$33,'Inputs'!$B$29+'Inputs'!$B$31+'Inputs'!$B$32,'Inputs'!$B$30+'Inputs'!$B$31+'Inputs'!$B$32)/1000+'Inputs'!$B$21))/SQRT((((733-43)*MAX('Inputs'!$B$33,'Inputs'!$B$29+'Inputs'!$B$31+'Inputs'!$B$32,'Inputs'!$B$30+'Inputs'!$B$31+'Inputs'!$B$32)/1000+'Inputs'!$B$21))^2+('Inputs'!$B$6/2)^2)))-'Results'!C7*(1-'Inputs'!$B$24)*(0.5*((((733-43)*MAX('Inputs'!$B$33,'Inputs'!$B$29+'Inputs'!$B$31+'Inputs'!$B$32,'Inputs'!$B$30+'Inputs'!$B$31+'Inputs'!$B$32)/1000+'Inputs'!$B$21+'Inputs'!$B$7+'Inputs'!$B$10)+'Inputs'!$B$9)/SQRT((((733-43)*MAX('Inputs'!$B$33,'Inputs'!$B$29+'Inputs'!$B$31+'Inputs'!$B$32,'Inputs'!$B$30+'Inputs'!$B$31+'Inputs'!$B$32)/1000+'Inputs'!$B$21+'Inputs'!$B$7+'Inputs'!$B$10)+'Inputs'!$B$9)^2+('Inputs'!$B$8/2)^2)-(((733-43)*MAX('Inputs'!$B$33,'Inputs'!$B$29+'Inputs'!$B$31+'Inputs'!$B$32,'Inputs'!$B$30+'Inputs'!$B$31+'Inputs'!$B$32)/1000+'Inputs'!$B$21+'Inputs'!$B$7+'Inputs'!$B$10))/SQRT((((733-43)*MAX('Inputs'!$B$33,'Inputs'!$B$29+'Inputs'!$B$31+'Inputs'!$B$32,'Inputs'!$B$30+'Inputs'!$B$31+'Inputs'!$B$32)/1000+'Inputs'!$B$21+'Inputs'!$B$7+'Inputs'!$B$10))^2+('Inputs'!$B$8/2)^2))))*'Results'!$B$8))),"")</x:f>
        <x:v>1.5532947689407592</x:v>
      </x:c>
      <x:c r="M733" t="n">
        <x:f>IF(AND(ISNUMBER('Results'!C7),ISNUMBER('Results'!B7),ISNUMBER('Results'!$B$8),ISNUMBER('Inputs'!$B$6),ISNUMBER('Inputs'!$B$7),ISNUMBER('Inputs'!$B$8),ISNUMBER('Inputs'!$B$9),ISNUMBER('Inputs'!$B$10),ISNUMBER('Inputs'!$B$21),ISNUMBER('Inputs'!$B$24),ISNUMBER('Inputs'!$B$28)),(('Results'!C7*(0.5*((((733-43)*MAX('Inputs'!$B$33,'Inputs'!$B$29+'Inputs'!$B$31+'Inputs'!$B$32,'Inputs'!$B$30+'Inputs'!$B$31+'Inputs'!$B$32)/1000+'Inputs'!$B$21)+'Inputs'!$B$9)/SQRT((((733-43)*MAX('Inputs'!$B$33,'Inputs'!$B$29+'Inputs'!$B$31+'Inputs'!$B$32,'Inputs'!$B$30+'Inputs'!$B$31+'Inputs'!$B$32)/1000+'Inputs'!$B$21)+'Inputs'!$B$9)^2+('Inputs'!$B$8/2)^2)-(((733-43)*MAX('Inputs'!$B$33,'Inputs'!$B$29+'Inputs'!$B$31+'Inputs'!$B$32,'Inputs'!$B$30+'Inputs'!$B$31+'Inputs'!$B$32)/1000+'Inputs'!$B$21))/SQRT((((733-43)*MAX('Inputs'!$B$33,'Inputs'!$B$29+'Inputs'!$B$31+'Inputs'!$B$32,'Inputs'!$B$30+'Inputs'!$B$31+'Inputs'!$B$32)/1000+'Inputs'!$B$21))^2+('Inputs'!$B$8/2)^2)))-'Results'!B7*(0.5*((((733-43)*MAX('Inputs'!$B$33,'Inputs'!$B$29+'Inputs'!$B$31+'Inputs'!$B$32,'Inputs'!$B$30+'Inputs'!$B$31+'Inputs'!$B$32)/1000+'Inputs'!$B$21+'Inputs'!$B$9+'Inputs'!$B$10)+'Inputs'!$B$7)/SQRT((((733-43)*MAX('Inputs'!$B$33,'Inputs'!$B$29+'Inputs'!$B$31+'Inputs'!$B$32,'Inputs'!$B$30+'Inputs'!$B$31+'Inputs'!$B$32)/1000+'Inputs'!$B$21+'Inputs'!$B$9+'Inputs'!$B$10)+'Inputs'!$B$7)^2+('Inputs'!$B$6/2)^2)-(((733-43)*MAX('Inputs'!$B$33,'Inputs'!$B$29+'Inputs'!$B$31+'Inputs'!$B$32,'Inputs'!$B$30+'Inputs'!$B$31+'Inputs'!$B$32)/1000+'Inputs'!$B$21+'Inputs'!$B$9+'Inputs'!$B$10))/SQRT((((733-43)*MAX('Inputs'!$B$33,'Inputs'!$B$29+'Inputs'!$B$31+'Inputs'!$B$32,'Inputs'!$B$30+'Inputs'!$B$31+'Inputs'!$B$32)/1000+'Inputs'!$B$21+'Inputs'!$B$9+'Inputs'!$B$10))^2+('Inputs'!$B$6/2)^2))))*'Results'!$B$8),"")</x:f>
        <x:v>1.240216690293433</x:v>
      </x:c>
      <x:c r="N733" t="n">
        <x:f>IF(AND(ISNUMBER('Results'!C7),ISNUMBER('Results'!B7),ISNUMBER('Results'!$B$8),ISNUMBER('Inputs'!$B$6),ISNUMBER('Inputs'!$B$7),ISNUMBER('Inputs'!$B$8),ISNUMBER('Inputs'!$B$9),ISNUMBER('Inputs'!$B$10),ISNUMBER('Inputs'!$B$21),ISNUMBER('Inputs'!$B$24),ISNUMBER('Inputs'!$B$28)),((('Results'!C7*(1-'Inputs'!$B$24)*(0.5*((((733-43)*MAX('Inputs'!$B$33,'Inputs'!$B$29+'Inputs'!$B$31+'Inputs'!$B$32,'Inputs'!$B$30+'Inputs'!$B$31+'Inputs'!$B$32)/1000+'Inputs'!$B$21)+'Inputs'!$B$9)/SQRT((((733-43)*MAX('Inputs'!$B$33,'Inputs'!$B$29+'Inputs'!$B$31+'Inputs'!$B$32,'Inputs'!$B$30+'Inputs'!$B$31+'Inputs'!$B$32)/1000+'Inputs'!$B$21)+'Inputs'!$B$9)^2+('Inputs'!$B$8/2)^2)-(((733-43)*MAX('Inputs'!$B$33,'Inputs'!$B$29+'Inputs'!$B$31+'Inputs'!$B$32,'Inputs'!$B$30+'Inputs'!$B$31+'Inputs'!$B$32)/1000+'Inputs'!$B$21))/SQRT((((733-43)*MAX('Inputs'!$B$33,'Inputs'!$B$29+'Inputs'!$B$31+'Inputs'!$B$32,'Inputs'!$B$30+'Inputs'!$B$31+'Inputs'!$B$32)/1000+'Inputs'!$B$21))^2+('Inputs'!$B$8/2)^2)))-'Results'!B7*(1+'Inputs'!$B$24)*(0.5*((((733-43)*MAX('Inputs'!$B$33,'Inputs'!$B$29+'Inputs'!$B$31+'Inputs'!$B$32,'Inputs'!$B$30+'Inputs'!$B$31+'Inputs'!$B$32)/1000+'Inputs'!$B$21+'Inputs'!$B$9+'Inputs'!$B$10)+'Inputs'!$B$7)/SQRT((((733-43)*MAX('Inputs'!$B$33,'Inputs'!$B$29+'Inputs'!$B$31+'Inputs'!$B$32,'Inputs'!$B$30+'Inputs'!$B$31+'Inputs'!$B$32)/1000+'Inputs'!$B$21+'Inputs'!$B$9+'Inputs'!$B$10)+'Inputs'!$B$7)^2+('Inputs'!$B$6/2)^2)-(((733-43)*MAX('Inputs'!$B$33,'Inputs'!$B$29+'Inputs'!$B$31+'Inputs'!$B$32,'Inputs'!$B$30+'Inputs'!$B$31+'Inputs'!$B$32)/1000+'Inputs'!$B$21+'Inputs'!$B$9+'Inputs'!$B$10))/SQRT((((733-43)*MAX('Inputs'!$B$33,'Inputs'!$B$29+'Inputs'!$B$31+'Inputs'!$B$32,'Inputs'!$B$30+'Inputs'!$B$31+'Inputs'!$B$32)/1000+'Inputs'!$B$21+'Inputs'!$B$9+'Inputs'!$B$10))^2+('Inputs'!$B$6/2)^2))))*'Results'!$B$8)-'Inputs'!$B$28*ABS((('Results'!C7*(1-'Inputs'!$B$24)*(0.5*((((733-43)*MAX('Inputs'!$B$33,'Inputs'!$B$29+'Inputs'!$B$31+'Inputs'!$B$32,'Inputs'!$B$30+'Inputs'!$B$31+'Inputs'!$B$32)/1000+'Inputs'!$B$21)+'Inputs'!$B$9)/SQRT((((733-43)*MAX('Inputs'!$B$33,'Inputs'!$B$29+'Inputs'!$B$31+'Inputs'!$B$32,'Inputs'!$B$30+'Inputs'!$B$31+'Inputs'!$B$32)/1000+'Inputs'!$B$21)+'Inputs'!$B$9)^2+('Inputs'!$B$8/2)^2)-(((733-43)*MAX('Inputs'!$B$33,'Inputs'!$B$29+'Inputs'!$B$31+'Inputs'!$B$32,'Inputs'!$B$30+'Inputs'!$B$31+'Inputs'!$B$32)/1000+'Inputs'!$B$21))/SQRT((((733-43)*MAX('Inputs'!$B$33,'Inputs'!$B$29+'Inputs'!$B$31+'Inputs'!$B$32,'Inputs'!$B$30+'Inputs'!$B$31+'Inputs'!$B$32)/1000+'Inputs'!$B$21))^2+('Inputs'!$B$8/2)^2)))-'Results'!B7*(1+'Inputs'!$B$24)*(0.5*((((733-43)*MAX('Inputs'!$B$33,'Inputs'!$B$29+'Inputs'!$B$31+'Inputs'!$B$32,'Inputs'!$B$30+'Inputs'!$B$31+'Inputs'!$B$32)/1000+'Inputs'!$B$21+'Inputs'!$B$9+'Inputs'!$B$10)+'Inputs'!$B$7)/SQRT((((733-43)*MAX('Inputs'!$B$33,'Inputs'!$B$29+'Inputs'!$B$31+'Inputs'!$B$32,'Inputs'!$B$30+'Inputs'!$B$31+'Inputs'!$B$32)/1000+'Inputs'!$B$21+'Inputs'!$B$9+'Inputs'!$B$10)+'Inputs'!$B$7)^2+('Inputs'!$B$6/2)^2)-(((733-43)*MAX('Inputs'!$B$33,'Inputs'!$B$29+'Inputs'!$B$31+'Inputs'!$B$32,'Inputs'!$B$30+'Inputs'!$B$31+'Inputs'!$B$32)/1000+'Inputs'!$B$21+'Inputs'!$B$9+'Inputs'!$B$10))/SQRT((((733-43)*MAX('Inputs'!$B$33,'Inputs'!$B$29+'Inputs'!$B$31+'Inputs'!$B$32,'Inputs'!$B$30+'Inputs'!$B$31+'Inputs'!$B$32)/1000+'Inputs'!$B$21+'Inputs'!$B$9+'Inputs'!$B$10))^2+('Inputs'!$B$6/2)^2))))*'Results'!$B$8))),"")</x:f>
        <x:v>1.0655722420470373</x:v>
      </x:c>
      <x:c r="O733" t="n">
        <x:f>IF(AND(ISNUMBER('Results'!C7),ISNUMBER('Results'!B7),ISNUMBER('Results'!$B$8),ISNUMBER('Inputs'!$B$6),ISNUMBER('Inputs'!$B$7),ISNUMBER('Inputs'!$B$8),ISNUMBER('Inputs'!$B$9),ISNUMBER('Inputs'!$B$10),ISNUMBER('Inputs'!$B$21),ISNUMBER('Inputs'!$B$24),ISNUMBER('Inputs'!$B$28)),((('Results'!C7*(1+'Inputs'!$B$24)*(0.5*((((733-43)*MAX('Inputs'!$B$33,'Inputs'!$B$29+'Inputs'!$B$31+'Inputs'!$B$32,'Inputs'!$B$30+'Inputs'!$B$31+'Inputs'!$B$32)/1000+'Inputs'!$B$21)+'Inputs'!$B$9)/SQRT((((733-43)*MAX('Inputs'!$B$33,'Inputs'!$B$29+'Inputs'!$B$31+'Inputs'!$B$32,'Inputs'!$B$30+'Inputs'!$B$31+'Inputs'!$B$32)/1000+'Inputs'!$B$21)+'Inputs'!$B$9)^2+('Inputs'!$B$8/2)^2)-(((733-43)*MAX('Inputs'!$B$33,'Inputs'!$B$29+'Inputs'!$B$31+'Inputs'!$B$32,'Inputs'!$B$30+'Inputs'!$B$31+'Inputs'!$B$32)/1000+'Inputs'!$B$21))/SQRT((((733-43)*MAX('Inputs'!$B$33,'Inputs'!$B$29+'Inputs'!$B$31+'Inputs'!$B$32,'Inputs'!$B$30+'Inputs'!$B$31+'Inputs'!$B$32)/1000+'Inputs'!$B$21))^2+('Inputs'!$B$8/2)^2)))-'Results'!B7*(1-'Inputs'!$B$24)*(0.5*((((733-43)*MAX('Inputs'!$B$33,'Inputs'!$B$29+'Inputs'!$B$31+'Inputs'!$B$32,'Inputs'!$B$30+'Inputs'!$B$31+'Inputs'!$B$32)/1000+'Inputs'!$B$21+'Inputs'!$B$9+'Inputs'!$B$10)+'Inputs'!$B$7)/SQRT((((733-43)*MAX('Inputs'!$B$33,'Inputs'!$B$29+'Inputs'!$B$31+'Inputs'!$B$32,'Inputs'!$B$30+'Inputs'!$B$31+'Inputs'!$B$32)/1000+'Inputs'!$B$21+'Inputs'!$B$9+'Inputs'!$B$10)+'Inputs'!$B$7)^2+('Inputs'!$B$6/2)^2)-(((733-43)*MAX('Inputs'!$B$33,'Inputs'!$B$29+'Inputs'!$B$31+'Inputs'!$B$32,'Inputs'!$B$30+'Inputs'!$B$31+'Inputs'!$B$32)/1000+'Inputs'!$B$21+'Inputs'!$B$9+'Inputs'!$B$10))/SQRT((((733-43)*MAX('Inputs'!$B$33,'Inputs'!$B$29+'Inputs'!$B$31+'Inputs'!$B$32,'Inputs'!$B$30+'Inputs'!$B$31+'Inputs'!$B$32)/1000+'Inputs'!$B$21+'Inputs'!$B$9+'Inputs'!$B$10))^2+('Inputs'!$B$6/2)^2))))*'Results'!$B$8)+'Inputs'!$B$28*ABS((('Results'!C7*(1+'Inputs'!$B$24)*(0.5*((((733-43)*MAX('Inputs'!$B$33,'Inputs'!$B$29+'Inputs'!$B$31+'Inputs'!$B$32,'Inputs'!$B$30+'Inputs'!$B$31+'Inputs'!$B$32)/1000+'Inputs'!$B$21)+'Inputs'!$B$9)/SQRT((((733-43)*MAX('Inputs'!$B$33,'Inputs'!$B$29+'Inputs'!$B$31+'Inputs'!$B$32,'Inputs'!$B$30+'Inputs'!$B$31+'Inputs'!$B$32)/1000+'Inputs'!$B$21)+'Inputs'!$B$9)^2+('Inputs'!$B$8/2)^2)-(((733-43)*MAX('Inputs'!$B$33,'Inputs'!$B$29+'Inputs'!$B$31+'Inputs'!$B$32,'Inputs'!$B$30+'Inputs'!$B$31+'Inputs'!$B$32)/1000+'Inputs'!$B$21))/SQRT((((733-43)*MAX('Inputs'!$B$33,'Inputs'!$B$29+'Inputs'!$B$31+'Inputs'!$B$32,'Inputs'!$B$30+'Inputs'!$B$31+'Inputs'!$B$32)/1000+'Inputs'!$B$21))^2+('Inputs'!$B$8/2)^2)))-'Results'!B7*(1-'Inputs'!$B$24)*(0.5*((((733-43)*MAX('Inputs'!$B$33,'Inputs'!$B$29+'Inputs'!$B$31+'Inputs'!$B$32,'Inputs'!$B$30+'Inputs'!$B$31+'Inputs'!$B$32)/1000+'Inputs'!$B$21+'Inputs'!$B$9+'Inputs'!$B$10)+'Inputs'!$B$7)/SQRT((((733-43)*MAX('Inputs'!$B$33,'Inputs'!$B$29+'Inputs'!$B$31+'Inputs'!$B$32,'Inputs'!$B$30+'Inputs'!$B$31+'Inputs'!$B$32)/1000+'Inputs'!$B$21+'Inputs'!$B$9+'Inputs'!$B$10)+'Inputs'!$B$7)^2+('Inputs'!$B$6/2)^2)-(((733-43)*MAX('Inputs'!$B$33,'Inputs'!$B$29+'Inputs'!$B$31+'Inputs'!$B$32,'Inputs'!$B$30+'Inputs'!$B$31+'Inputs'!$B$32)/1000+'Inputs'!$B$21+'Inputs'!$B$9+'Inputs'!$B$10))/SQRT((((733-43)*MAX('Inputs'!$B$33,'Inputs'!$B$29+'Inputs'!$B$31+'Inputs'!$B$32,'Inputs'!$B$30+'Inputs'!$B$31+'Inputs'!$B$32)/1000+'Inputs'!$B$21+'Inputs'!$B$9+'Inputs'!$B$10))^2+('Inputs'!$B$6/2)^2))))*'Results'!$B$8))),"")</x:f>
        <x:v>1.4267173084063265</x:v>
      </x:c>
      <x:c r="P733" t="n">
        <x:f>IF(AND(MAX(J733,J732)&gt;0,J733&gt;J732+0.00000001),1,0)</x:f>
        <x:v>0</x:v>
      </x:c>
      <x:c r="Q733" t="n">
        <x:f>IF(AND(MAX(K733,K732)&gt;0,K733&gt;K732+0.00000001),1,0)</x:f>
        <x:v>0</x:v>
      </x:c>
      <x:c r="R733" t="n">
        <x:f>IF(AND(MAX(L733,L732)&gt;0,L733&gt;L732+0.00000001),1,0)</x:f>
        <x:v>0</x:v>
      </x:c>
      <x:c r="S733" t="n">
        <x:f>IF(AND(MAX(M733,M732)&gt;0,M733&gt;M732+0.00000001),1,0)</x:f>
        <x:v>0</x:v>
      </x:c>
      <x:c r="T733" t="n">
        <x:f>IF(AND(MAX(N733,N732)&gt;0,N733&gt;N732+0.00000001),1,0)</x:f>
        <x:v>0</x:v>
      </x:c>
      <x:c r="U733" t="n">
        <x:f>IF(AND(MAX(O733,O732)&gt;0,O733&gt;O732+0.00000001),1,0)</x:f>
        <x:v>0</x:v>
      </x:c>
    </x:row>
    <x:row r="734">
      <x:c r="J734" t="n">
        <x:f>IF(AND(ISNUMBER('Results'!B7),ISNUMBER('Results'!C7),ISNUMBER('Results'!$B$8),ISNUMBER('Inputs'!$B$6),ISNUMBER('Inputs'!$B$7),ISNUMBER('Inputs'!$B$8),ISNUMBER('Inputs'!$B$9),ISNUMBER('Inputs'!$B$10),ISNUMBER('Inputs'!$B$21),ISNUMBER('Inputs'!$B$24),ISNUMBER('Inputs'!$B$28)),(('Results'!B7*(0.5*((((734-43)*MAX('Inputs'!$B$33,'Inputs'!$B$29+'Inputs'!$B$31+'Inputs'!$B$32,'Inputs'!$B$30+'Inputs'!$B$31+'Inputs'!$B$32)/1000+'Inputs'!$B$21)+'Inputs'!$B$7)/SQRT((((734-43)*MAX('Inputs'!$B$33,'Inputs'!$B$29+'Inputs'!$B$31+'Inputs'!$B$32,'Inputs'!$B$30+'Inputs'!$B$31+'Inputs'!$B$32)/1000+'Inputs'!$B$21)+'Inputs'!$B$7)^2+('Inputs'!$B$6/2)^2)-(((734-43)*MAX('Inputs'!$B$33,'Inputs'!$B$29+'Inputs'!$B$31+'Inputs'!$B$32,'Inputs'!$B$30+'Inputs'!$B$31+'Inputs'!$B$32)/1000+'Inputs'!$B$21))/SQRT((((734-43)*MAX('Inputs'!$B$33,'Inputs'!$B$29+'Inputs'!$B$31+'Inputs'!$B$32,'Inputs'!$B$30+'Inputs'!$B$31+'Inputs'!$B$32)/1000+'Inputs'!$B$21))^2+('Inputs'!$B$6/2)^2)))-'Results'!C7*(0.5*((((734-43)*MAX('Inputs'!$B$33,'Inputs'!$B$29+'Inputs'!$B$31+'Inputs'!$B$32,'Inputs'!$B$30+'Inputs'!$B$31+'Inputs'!$B$32)/1000+'Inputs'!$B$21+'Inputs'!$B$7+'Inputs'!$B$10)+'Inputs'!$B$9)/SQRT((((734-43)*MAX('Inputs'!$B$33,'Inputs'!$B$29+'Inputs'!$B$31+'Inputs'!$B$32,'Inputs'!$B$30+'Inputs'!$B$31+'Inputs'!$B$32)/1000+'Inputs'!$B$21+'Inputs'!$B$7+'Inputs'!$B$10)+'Inputs'!$B$9)^2+('Inputs'!$B$8/2)^2)-(((734-43)*MAX('Inputs'!$B$33,'Inputs'!$B$29+'Inputs'!$B$31+'Inputs'!$B$32,'Inputs'!$B$30+'Inputs'!$B$31+'Inputs'!$B$32)/1000+'Inputs'!$B$21+'Inputs'!$B$7+'Inputs'!$B$10))/SQRT((((734-43)*MAX('Inputs'!$B$33,'Inputs'!$B$29+'Inputs'!$B$31+'Inputs'!$B$32,'Inputs'!$B$30+'Inputs'!$B$31+'Inputs'!$B$32)/1000+'Inputs'!$B$21+'Inputs'!$B$7+'Inputs'!$B$10))^2+('Inputs'!$B$8/2)^2))))*'Results'!$B$8),"")</x:f>
        <x:v>1.353269810193979</x:v>
      </x:c>
      <x:c r="K734" t="n">
        <x:f>IF(AND(ISNUMBER('Results'!B7),ISNUMBER('Results'!C7),ISNUMBER('Results'!$B$8),ISNUMBER('Inputs'!$B$6),ISNUMBER('Inputs'!$B$7),ISNUMBER('Inputs'!$B$8),ISNUMBER('Inputs'!$B$9),ISNUMBER('Inputs'!$B$10),ISNUMBER('Inputs'!$B$21),ISNUMBER('Inputs'!$B$24),ISNUMBER('Inputs'!$B$28)),((('Results'!B7*(1-'Inputs'!$B$24)*(0.5*((((734-43)*MAX('Inputs'!$B$33,'Inputs'!$B$29+'Inputs'!$B$31+'Inputs'!$B$32,'Inputs'!$B$30+'Inputs'!$B$31+'Inputs'!$B$32)/1000+'Inputs'!$B$21)+'Inputs'!$B$7)/SQRT((((734-43)*MAX('Inputs'!$B$33,'Inputs'!$B$29+'Inputs'!$B$31+'Inputs'!$B$32,'Inputs'!$B$30+'Inputs'!$B$31+'Inputs'!$B$32)/1000+'Inputs'!$B$21)+'Inputs'!$B$7)^2+('Inputs'!$B$6/2)^2)-(((734-43)*MAX('Inputs'!$B$33,'Inputs'!$B$29+'Inputs'!$B$31+'Inputs'!$B$32,'Inputs'!$B$30+'Inputs'!$B$31+'Inputs'!$B$32)/1000+'Inputs'!$B$21))/SQRT((((734-43)*MAX('Inputs'!$B$33,'Inputs'!$B$29+'Inputs'!$B$31+'Inputs'!$B$32,'Inputs'!$B$30+'Inputs'!$B$31+'Inputs'!$B$32)/1000+'Inputs'!$B$21))^2+('Inputs'!$B$6/2)^2)))-'Results'!C7*(1+'Inputs'!$B$24)*(0.5*((((734-43)*MAX('Inputs'!$B$33,'Inputs'!$B$29+'Inputs'!$B$31+'Inputs'!$B$32,'Inputs'!$B$30+'Inputs'!$B$31+'Inputs'!$B$32)/1000+'Inputs'!$B$21+'Inputs'!$B$7+'Inputs'!$B$10)+'Inputs'!$B$9)/SQRT((((734-43)*MAX('Inputs'!$B$33,'Inputs'!$B$29+'Inputs'!$B$31+'Inputs'!$B$32,'Inputs'!$B$30+'Inputs'!$B$31+'Inputs'!$B$32)/1000+'Inputs'!$B$21+'Inputs'!$B$7+'Inputs'!$B$10)+'Inputs'!$B$9)^2+('Inputs'!$B$8/2)^2)-(((734-43)*MAX('Inputs'!$B$33,'Inputs'!$B$29+'Inputs'!$B$31+'Inputs'!$B$32,'Inputs'!$B$30+'Inputs'!$B$31+'Inputs'!$B$32)/1000+'Inputs'!$B$21+'Inputs'!$B$7+'Inputs'!$B$10))/SQRT((((734-43)*MAX('Inputs'!$B$33,'Inputs'!$B$29+'Inputs'!$B$31+'Inputs'!$B$32,'Inputs'!$B$30+'Inputs'!$B$31+'Inputs'!$B$32)/1000+'Inputs'!$B$21+'Inputs'!$B$7+'Inputs'!$B$10))^2+('Inputs'!$B$8/2)^2))))*'Results'!$B$8)-'Inputs'!$B$28*ABS((('Results'!B7*(1-'Inputs'!$B$24)*(0.5*((((734-43)*MAX('Inputs'!$B$33,'Inputs'!$B$29+'Inputs'!$B$31+'Inputs'!$B$32,'Inputs'!$B$30+'Inputs'!$B$31+'Inputs'!$B$32)/1000+'Inputs'!$B$21)+'Inputs'!$B$7)/SQRT((((734-43)*MAX('Inputs'!$B$33,'Inputs'!$B$29+'Inputs'!$B$31+'Inputs'!$B$32,'Inputs'!$B$30+'Inputs'!$B$31+'Inputs'!$B$32)/1000+'Inputs'!$B$21)+'Inputs'!$B$7)^2+('Inputs'!$B$6/2)^2)-(((734-43)*MAX('Inputs'!$B$33,'Inputs'!$B$29+'Inputs'!$B$31+'Inputs'!$B$32,'Inputs'!$B$30+'Inputs'!$B$31+'Inputs'!$B$32)/1000+'Inputs'!$B$21))/SQRT((((734-43)*MAX('Inputs'!$B$33,'Inputs'!$B$29+'Inputs'!$B$31+'Inputs'!$B$32,'Inputs'!$B$30+'Inputs'!$B$31+'Inputs'!$B$32)/1000+'Inputs'!$B$21))^2+('Inputs'!$B$6/2)^2)))-'Results'!C7*(1+'Inputs'!$B$24)*(0.5*((((734-43)*MAX('Inputs'!$B$33,'Inputs'!$B$29+'Inputs'!$B$31+'Inputs'!$B$32,'Inputs'!$B$30+'Inputs'!$B$31+'Inputs'!$B$32)/1000+'Inputs'!$B$21+'Inputs'!$B$7+'Inputs'!$B$10)+'Inputs'!$B$9)/SQRT((((734-43)*MAX('Inputs'!$B$33,'Inputs'!$B$29+'Inputs'!$B$31+'Inputs'!$B$32,'Inputs'!$B$30+'Inputs'!$B$31+'Inputs'!$B$32)/1000+'Inputs'!$B$21+'Inputs'!$B$7+'Inputs'!$B$10)+'Inputs'!$B$9)^2+('Inputs'!$B$8/2)^2)-(((734-43)*MAX('Inputs'!$B$33,'Inputs'!$B$29+'Inputs'!$B$31+'Inputs'!$B$32,'Inputs'!$B$30+'Inputs'!$B$31+'Inputs'!$B$32)/1000+'Inputs'!$B$21+'Inputs'!$B$7+'Inputs'!$B$10))/SQRT((((734-43)*MAX('Inputs'!$B$33,'Inputs'!$B$29+'Inputs'!$B$31+'Inputs'!$B$32,'Inputs'!$B$30+'Inputs'!$B$31+'Inputs'!$B$32)/1000+'Inputs'!$B$21+'Inputs'!$B$7+'Inputs'!$B$10))^2+('Inputs'!$B$8/2)^2))))*'Results'!$B$8))),"")</x:f>
        <x:v>1.1729202432635033</x:v>
      </x:c>
      <x:c r="L734" t="n">
        <x:f>IF(AND(ISNUMBER('Results'!B7),ISNUMBER('Results'!C7),ISNUMBER('Results'!$B$8),ISNUMBER('Inputs'!$B$6),ISNUMBER('Inputs'!$B$7),ISNUMBER('Inputs'!$B$8),ISNUMBER('Inputs'!$B$9),ISNUMBER('Inputs'!$B$10),ISNUMBER('Inputs'!$B$21),ISNUMBER('Inputs'!$B$24),ISNUMBER('Inputs'!$B$28)),((('Results'!B7*(1+'Inputs'!$B$24)*(0.5*((((734-43)*MAX('Inputs'!$B$33,'Inputs'!$B$29+'Inputs'!$B$31+'Inputs'!$B$32,'Inputs'!$B$30+'Inputs'!$B$31+'Inputs'!$B$32)/1000+'Inputs'!$B$21)+'Inputs'!$B$7)/SQRT((((734-43)*MAX('Inputs'!$B$33,'Inputs'!$B$29+'Inputs'!$B$31+'Inputs'!$B$32,'Inputs'!$B$30+'Inputs'!$B$31+'Inputs'!$B$32)/1000+'Inputs'!$B$21)+'Inputs'!$B$7)^2+('Inputs'!$B$6/2)^2)-(((734-43)*MAX('Inputs'!$B$33,'Inputs'!$B$29+'Inputs'!$B$31+'Inputs'!$B$32,'Inputs'!$B$30+'Inputs'!$B$31+'Inputs'!$B$32)/1000+'Inputs'!$B$21))/SQRT((((734-43)*MAX('Inputs'!$B$33,'Inputs'!$B$29+'Inputs'!$B$31+'Inputs'!$B$32,'Inputs'!$B$30+'Inputs'!$B$31+'Inputs'!$B$32)/1000+'Inputs'!$B$21))^2+('Inputs'!$B$6/2)^2)))-'Results'!C7*(1-'Inputs'!$B$24)*(0.5*((((734-43)*MAX('Inputs'!$B$33,'Inputs'!$B$29+'Inputs'!$B$31+'Inputs'!$B$32,'Inputs'!$B$30+'Inputs'!$B$31+'Inputs'!$B$32)/1000+'Inputs'!$B$21+'Inputs'!$B$7+'Inputs'!$B$10)+'Inputs'!$B$9)/SQRT((((734-43)*MAX('Inputs'!$B$33,'Inputs'!$B$29+'Inputs'!$B$31+'Inputs'!$B$32,'Inputs'!$B$30+'Inputs'!$B$31+'Inputs'!$B$32)/1000+'Inputs'!$B$21+'Inputs'!$B$7+'Inputs'!$B$10)+'Inputs'!$B$9)^2+('Inputs'!$B$8/2)^2)-(((734-43)*MAX('Inputs'!$B$33,'Inputs'!$B$29+'Inputs'!$B$31+'Inputs'!$B$32,'Inputs'!$B$30+'Inputs'!$B$31+'Inputs'!$B$32)/1000+'Inputs'!$B$21+'Inputs'!$B$7+'Inputs'!$B$10))/SQRT((((734-43)*MAX('Inputs'!$B$33,'Inputs'!$B$29+'Inputs'!$B$31+'Inputs'!$B$32,'Inputs'!$B$30+'Inputs'!$B$31+'Inputs'!$B$32)/1000+'Inputs'!$B$21+'Inputs'!$B$7+'Inputs'!$B$10))^2+('Inputs'!$B$8/2)^2))))*'Results'!$B$8)+'Inputs'!$B$28*ABS((('Results'!B7*(1+'Inputs'!$B$24)*(0.5*((((734-43)*MAX('Inputs'!$B$33,'Inputs'!$B$29+'Inputs'!$B$31+'Inputs'!$B$32,'Inputs'!$B$30+'Inputs'!$B$31+'Inputs'!$B$32)/1000+'Inputs'!$B$21)+'Inputs'!$B$7)/SQRT((((734-43)*MAX('Inputs'!$B$33,'Inputs'!$B$29+'Inputs'!$B$31+'Inputs'!$B$32,'Inputs'!$B$30+'Inputs'!$B$31+'Inputs'!$B$32)/1000+'Inputs'!$B$21)+'Inputs'!$B$7)^2+('Inputs'!$B$6/2)^2)-(((734-43)*MAX('Inputs'!$B$33,'Inputs'!$B$29+'Inputs'!$B$31+'Inputs'!$B$32,'Inputs'!$B$30+'Inputs'!$B$31+'Inputs'!$B$32)/1000+'Inputs'!$B$21))/SQRT((((734-43)*MAX('Inputs'!$B$33,'Inputs'!$B$29+'Inputs'!$B$31+'Inputs'!$B$32,'Inputs'!$B$30+'Inputs'!$B$31+'Inputs'!$B$32)/1000+'Inputs'!$B$21))^2+('Inputs'!$B$6/2)^2)))-'Results'!C7*(1-'Inputs'!$B$24)*(0.5*((((734-43)*MAX('Inputs'!$B$33,'Inputs'!$B$29+'Inputs'!$B$31+'Inputs'!$B$32,'Inputs'!$B$30+'Inputs'!$B$31+'Inputs'!$B$32)/1000+'Inputs'!$B$21+'Inputs'!$B$7+'Inputs'!$B$10)+'Inputs'!$B$9)/SQRT((((734-43)*MAX('Inputs'!$B$33,'Inputs'!$B$29+'Inputs'!$B$31+'Inputs'!$B$32,'Inputs'!$B$30+'Inputs'!$B$31+'Inputs'!$B$32)/1000+'Inputs'!$B$21+'Inputs'!$B$7+'Inputs'!$B$10)+'Inputs'!$B$9)^2+('Inputs'!$B$8/2)^2)-(((734-43)*MAX('Inputs'!$B$33,'Inputs'!$B$29+'Inputs'!$B$31+'Inputs'!$B$32,'Inputs'!$B$30+'Inputs'!$B$31+'Inputs'!$B$32)/1000+'Inputs'!$B$21+'Inputs'!$B$7+'Inputs'!$B$10))/SQRT((((734-43)*MAX('Inputs'!$B$33,'Inputs'!$B$29+'Inputs'!$B$31+'Inputs'!$B$32,'Inputs'!$B$30+'Inputs'!$B$31+'Inputs'!$B$32)/1000+'Inputs'!$B$21+'Inputs'!$B$7+'Inputs'!$B$10))^2+('Inputs'!$B$8/2)^2))))*'Results'!$B$8))),"")</x:f>
        <x:v>1.5454810693792735</x:v>
      </x:c>
      <x:c r="M734" t="n">
        <x:f>IF(AND(ISNUMBER('Results'!C7),ISNUMBER('Results'!B7),ISNUMBER('Results'!$B$8),ISNUMBER('Inputs'!$B$6),ISNUMBER('Inputs'!$B$7),ISNUMBER('Inputs'!$B$8),ISNUMBER('Inputs'!$B$9),ISNUMBER('Inputs'!$B$10),ISNUMBER('Inputs'!$B$21),ISNUMBER('Inputs'!$B$24),ISNUMBER('Inputs'!$B$28)),(('Results'!C7*(0.5*((((734-43)*MAX('Inputs'!$B$33,'Inputs'!$B$29+'Inputs'!$B$31+'Inputs'!$B$32,'Inputs'!$B$30+'Inputs'!$B$31+'Inputs'!$B$32)/1000+'Inputs'!$B$21)+'Inputs'!$B$9)/SQRT((((734-43)*MAX('Inputs'!$B$33,'Inputs'!$B$29+'Inputs'!$B$31+'Inputs'!$B$32,'Inputs'!$B$30+'Inputs'!$B$31+'Inputs'!$B$32)/1000+'Inputs'!$B$21)+'Inputs'!$B$9)^2+('Inputs'!$B$8/2)^2)-(((734-43)*MAX('Inputs'!$B$33,'Inputs'!$B$29+'Inputs'!$B$31+'Inputs'!$B$32,'Inputs'!$B$30+'Inputs'!$B$31+'Inputs'!$B$32)/1000+'Inputs'!$B$21))/SQRT((((734-43)*MAX('Inputs'!$B$33,'Inputs'!$B$29+'Inputs'!$B$31+'Inputs'!$B$32,'Inputs'!$B$30+'Inputs'!$B$31+'Inputs'!$B$32)/1000+'Inputs'!$B$21))^2+('Inputs'!$B$8/2)^2)))-'Results'!B7*(0.5*((((734-43)*MAX('Inputs'!$B$33,'Inputs'!$B$29+'Inputs'!$B$31+'Inputs'!$B$32,'Inputs'!$B$30+'Inputs'!$B$31+'Inputs'!$B$32)/1000+'Inputs'!$B$21+'Inputs'!$B$9+'Inputs'!$B$10)+'Inputs'!$B$7)/SQRT((((734-43)*MAX('Inputs'!$B$33,'Inputs'!$B$29+'Inputs'!$B$31+'Inputs'!$B$32,'Inputs'!$B$30+'Inputs'!$B$31+'Inputs'!$B$32)/1000+'Inputs'!$B$21+'Inputs'!$B$9+'Inputs'!$B$10)+'Inputs'!$B$7)^2+('Inputs'!$B$6/2)^2)-(((734-43)*MAX('Inputs'!$B$33,'Inputs'!$B$29+'Inputs'!$B$31+'Inputs'!$B$32,'Inputs'!$B$30+'Inputs'!$B$31+'Inputs'!$B$32)/1000+'Inputs'!$B$21+'Inputs'!$B$9+'Inputs'!$B$10))/SQRT((((734-43)*MAX('Inputs'!$B$33,'Inputs'!$B$29+'Inputs'!$B$31+'Inputs'!$B$32,'Inputs'!$B$30+'Inputs'!$B$31+'Inputs'!$B$32)/1000+'Inputs'!$B$21+'Inputs'!$B$9+'Inputs'!$B$10))^2+('Inputs'!$B$6/2)^2))))*'Results'!$B$8),"")</x:f>
        <x:v>1.2337186883973819</x:v>
      </x:c>
      <x:c r="N734" t="n">
        <x:f>IF(AND(ISNUMBER('Results'!C7),ISNUMBER('Results'!B7),ISNUMBER('Results'!$B$8),ISNUMBER('Inputs'!$B$6),ISNUMBER('Inputs'!$B$7),ISNUMBER('Inputs'!$B$8),ISNUMBER('Inputs'!$B$9),ISNUMBER('Inputs'!$B$10),ISNUMBER('Inputs'!$B$21),ISNUMBER('Inputs'!$B$24),ISNUMBER('Inputs'!$B$28)),((('Results'!C7*(1-'Inputs'!$B$24)*(0.5*((((734-43)*MAX('Inputs'!$B$33,'Inputs'!$B$29+'Inputs'!$B$31+'Inputs'!$B$32,'Inputs'!$B$30+'Inputs'!$B$31+'Inputs'!$B$32)/1000+'Inputs'!$B$21)+'Inputs'!$B$9)/SQRT((((734-43)*MAX('Inputs'!$B$33,'Inputs'!$B$29+'Inputs'!$B$31+'Inputs'!$B$32,'Inputs'!$B$30+'Inputs'!$B$31+'Inputs'!$B$32)/1000+'Inputs'!$B$21)+'Inputs'!$B$9)^2+('Inputs'!$B$8/2)^2)-(((734-43)*MAX('Inputs'!$B$33,'Inputs'!$B$29+'Inputs'!$B$31+'Inputs'!$B$32,'Inputs'!$B$30+'Inputs'!$B$31+'Inputs'!$B$32)/1000+'Inputs'!$B$21))/SQRT((((734-43)*MAX('Inputs'!$B$33,'Inputs'!$B$29+'Inputs'!$B$31+'Inputs'!$B$32,'Inputs'!$B$30+'Inputs'!$B$31+'Inputs'!$B$32)/1000+'Inputs'!$B$21))^2+('Inputs'!$B$8/2)^2)))-'Results'!B7*(1+'Inputs'!$B$24)*(0.5*((((734-43)*MAX('Inputs'!$B$33,'Inputs'!$B$29+'Inputs'!$B$31+'Inputs'!$B$32,'Inputs'!$B$30+'Inputs'!$B$31+'Inputs'!$B$32)/1000+'Inputs'!$B$21+'Inputs'!$B$9+'Inputs'!$B$10)+'Inputs'!$B$7)/SQRT((((734-43)*MAX('Inputs'!$B$33,'Inputs'!$B$29+'Inputs'!$B$31+'Inputs'!$B$32,'Inputs'!$B$30+'Inputs'!$B$31+'Inputs'!$B$32)/1000+'Inputs'!$B$21+'Inputs'!$B$9+'Inputs'!$B$10)+'Inputs'!$B$7)^2+('Inputs'!$B$6/2)^2)-(((734-43)*MAX('Inputs'!$B$33,'Inputs'!$B$29+'Inputs'!$B$31+'Inputs'!$B$32,'Inputs'!$B$30+'Inputs'!$B$31+'Inputs'!$B$32)/1000+'Inputs'!$B$21+'Inputs'!$B$9+'Inputs'!$B$10))/SQRT((((734-43)*MAX('Inputs'!$B$33,'Inputs'!$B$29+'Inputs'!$B$31+'Inputs'!$B$32,'Inputs'!$B$30+'Inputs'!$B$31+'Inputs'!$B$32)/1000+'Inputs'!$B$21+'Inputs'!$B$9+'Inputs'!$B$10))^2+('Inputs'!$B$6/2)^2))))*'Results'!$B$8)-'Inputs'!$B$28*ABS((('Results'!C7*(1-'Inputs'!$B$24)*(0.5*((((734-43)*MAX('Inputs'!$B$33,'Inputs'!$B$29+'Inputs'!$B$31+'Inputs'!$B$32,'Inputs'!$B$30+'Inputs'!$B$31+'Inputs'!$B$32)/1000+'Inputs'!$B$21)+'Inputs'!$B$9)/SQRT((((734-43)*MAX('Inputs'!$B$33,'Inputs'!$B$29+'Inputs'!$B$31+'Inputs'!$B$32,'Inputs'!$B$30+'Inputs'!$B$31+'Inputs'!$B$32)/1000+'Inputs'!$B$21)+'Inputs'!$B$9)^2+('Inputs'!$B$8/2)^2)-(((734-43)*MAX('Inputs'!$B$33,'Inputs'!$B$29+'Inputs'!$B$31+'Inputs'!$B$32,'Inputs'!$B$30+'Inputs'!$B$31+'Inputs'!$B$32)/1000+'Inputs'!$B$21))/SQRT((((734-43)*MAX('Inputs'!$B$33,'Inputs'!$B$29+'Inputs'!$B$31+'Inputs'!$B$32,'Inputs'!$B$30+'Inputs'!$B$31+'Inputs'!$B$32)/1000+'Inputs'!$B$21))^2+('Inputs'!$B$8/2)^2)))-'Results'!B7*(1+'Inputs'!$B$24)*(0.5*((((734-43)*MAX('Inputs'!$B$33,'Inputs'!$B$29+'Inputs'!$B$31+'Inputs'!$B$32,'Inputs'!$B$30+'Inputs'!$B$31+'Inputs'!$B$32)/1000+'Inputs'!$B$21+'Inputs'!$B$9+'Inputs'!$B$10)+'Inputs'!$B$7)/SQRT((((734-43)*MAX('Inputs'!$B$33,'Inputs'!$B$29+'Inputs'!$B$31+'Inputs'!$B$32,'Inputs'!$B$30+'Inputs'!$B$31+'Inputs'!$B$32)/1000+'Inputs'!$B$21+'Inputs'!$B$9+'Inputs'!$B$10)+'Inputs'!$B$7)^2+('Inputs'!$B$6/2)^2)-(((734-43)*MAX('Inputs'!$B$33,'Inputs'!$B$29+'Inputs'!$B$31+'Inputs'!$B$32,'Inputs'!$B$30+'Inputs'!$B$31+'Inputs'!$B$32)/1000+'Inputs'!$B$21+'Inputs'!$B$9+'Inputs'!$B$10))/SQRT((((734-43)*MAX('Inputs'!$B$33,'Inputs'!$B$29+'Inputs'!$B$31+'Inputs'!$B$32,'Inputs'!$B$30+'Inputs'!$B$31+'Inputs'!$B$32)/1000+'Inputs'!$B$21+'Inputs'!$B$9+'Inputs'!$B$10))^2+('Inputs'!$B$6/2)^2))))*'Results'!$B$8))),"")</x:f>
        <x:v>1.05984317029889</x:v>
      </x:c>
      <x:c r="O734" t="n">
        <x:f>IF(AND(ISNUMBER('Results'!C7),ISNUMBER('Results'!B7),ISNUMBER('Results'!$B$8),ISNUMBER('Inputs'!$B$6),ISNUMBER('Inputs'!$B$7),ISNUMBER('Inputs'!$B$8),ISNUMBER('Inputs'!$B$9),ISNUMBER('Inputs'!$B$10),ISNUMBER('Inputs'!$B$21),ISNUMBER('Inputs'!$B$24),ISNUMBER('Inputs'!$B$28)),((('Results'!C7*(1+'Inputs'!$B$24)*(0.5*((((734-43)*MAX('Inputs'!$B$33,'Inputs'!$B$29+'Inputs'!$B$31+'Inputs'!$B$32,'Inputs'!$B$30+'Inputs'!$B$31+'Inputs'!$B$32)/1000+'Inputs'!$B$21)+'Inputs'!$B$9)/SQRT((((734-43)*MAX('Inputs'!$B$33,'Inputs'!$B$29+'Inputs'!$B$31+'Inputs'!$B$32,'Inputs'!$B$30+'Inputs'!$B$31+'Inputs'!$B$32)/1000+'Inputs'!$B$21)+'Inputs'!$B$9)^2+('Inputs'!$B$8/2)^2)-(((734-43)*MAX('Inputs'!$B$33,'Inputs'!$B$29+'Inputs'!$B$31+'Inputs'!$B$32,'Inputs'!$B$30+'Inputs'!$B$31+'Inputs'!$B$32)/1000+'Inputs'!$B$21))/SQRT((((734-43)*MAX('Inputs'!$B$33,'Inputs'!$B$29+'Inputs'!$B$31+'Inputs'!$B$32,'Inputs'!$B$30+'Inputs'!$B$31+'Inputs'!$B$32)/1000+'Inputs'!$B$21))^2+('Inputs'!$B$8/2)^2)))-'Results'!B7*(1-'Inputs'!$B$24)*(0.5*((((734-43)*MAX('Inputs'!$B$33,'Inputs'!$B$29+'Inputs'!$B$31+'Inputs'!$B$32,'Inputs'!$B$30+'Inputs'!$B$31+'Inputs'!$B$32)/1000+'Inputs'!$B$21+'Inputs'!$B$9+'Inputs'!$B$10)+'Inputs'!$B$7)/SQRT((((734-43)*MAX('Inputs'!$B$33,'Inputs'!$B$29+'Inputs'!$B$31+'Inputs'!$B$32,'Inputs'!$B$30+'Inputs'!$B$31+'Inputs'!$B$32)/1000+'Inputs'!$B$21+'Inputs'!$B$9+'Inputs'!$B$10)+'Inputs'!$B$7)^2+('Inputs'!$B$6/2)^2)-(((734-43)*MAX('Inputs'!$B$33,'Inputs'!$B$29+'Inputs'!$B$31+'Inputs'!$B$32,'Inputs'!$B$30+'Inputs'!$B$31+'Inputs'!$B$32)/1000+'Inputs'!$B$21+'Inputs'!$B$9+'Inputs'!$B$10))/SQRT((((734-43)*MAX('Inputs'!$B$33,'Inputs'!$B$29+'Inputs'!$B$31+'Inputs'!$B$32,'Inputs'!$B$30+'Inputs'!$B$31+'Inputs'!$B$32)/1000+'Inputs'!$B$21+'Inputs'!$B$9+'Inputs'!$B$10))^2+('Inputs'!$B$6/2)^2))))*'Results'!$B$8)+'Inputs'!$B$28*ABS((('Results'!C7*(1+'Inputs'!$B$24)*(0.5*((((734-43)*MAX('Inputs'!$B$33,'Inputs'!$B$29+'Inputs'!$B$31+'Inputs'!$B$32,'Inputs'!$B$30+'Inputs'!$B$31+'Inputs'!$B$32)/1000+'Inputs'!$B$21)+'Inputs'!$B$9)/SQRT((((734-43)*MAX('Inputs'!$B$33,'Inputs'!$B$29+'Inputs'!$B$31+'Inputs'!$B$32,'Inputs'!$B$30+'Inputs'!$B$31+'Inputs'!$B$32)/1000+'Inputs'!$B$21)+'Inputs'!$B$9)^2+('Inputs'!$B$8/2)^2)-(((734-43)*MAX('Inputs'!$B$33,'Inputs'!$B$29+'Inputs'!$B$31+'Inputs'!$B$32,'Inputs'!$B$30+'Inputs'!$B$31+'Inputs'!$B$32)/1000+'Inputs'!$B$21))/SQRT((((734-43)*MAX('Inputs'!$B$33,'Inputs'!$B$29+'Inputs'!$B$31+'Inputs'!$B$32,'Inputs'!$B$30+'Inputs'!$B$31+'Inputs'!$B$32)/1000+'Inputs'!$B$21))^2+('Inputs'!$B$8/2)^2)))-'Results'!B7*(1-'Inputs'!$B$24)*(0.5*((((734-43)*MAX('Inputs'!$B$33,'Inputs'!$B$29+'Inputs'!$B$31+'Inputs'!$B$32,'Inputs'!$B$30+'Inputs'!$B$31+'Inputs'!$B$32)/1000+'Inputs'!$B$21+'Inputs'!$B$9+'Inputs'!$B$10)+'Inputs'!$B$7)/SQRT((((734-43)*MAX('Inputs'!$B$33,'Inputs'!$B$29+'Inputs'!$B$31+'Inputs'!$B$32,'Inputs'!$B$30+'Inputs'!$B$31+'Inputs'!$B$32)/1000+'Inputs'!$B$21+'Inputs'!$B$9+'Inputs'!$B$10)+'Inputs'!$B$7)^2+('Inputs'!$B$6/2)^2)-(((734-43)*MAX('Inputs'!$B$33,'Inputs'!$B$29+'Inputs'!$B$31+'Inputs'!$B$32,'Inputs'!$B$30+'Inputs'!$B$31+'Inputs'!$B$32)/1000+'Inputs'!$B$21+'Inputs'!$B$9+'Inputs'!$B$10))/SQRT((((734-43)*MAX('Inputs'!$B$33,'Inputs'!$B$29+'Inputs'!$B$31+'Inputs'!$B$32,'Inputs'!$B$30+'Inputs'!$B$31+'Inputs'!$B$32)/1000+'Inputs'!$B$21+'Inputs'!$B$9+'Inputs'!$B$10))^2+('Inputs'!$B$6/2)^2))))*'Results'!$B$8))),"")</x:f>
        <x:v>1.419403636356782</x:v>
      </x:c>
      <x:c r="P734" t="n">
        <x:f>IF(AND(MAX(J734,J733)&gt;0,J734&gt;J733+0.00000001),1,0)</x:f>
        <x:v>0</x:v>
      </x:c>
      <x:c r="Q734" t="n">
        <x:f>IF(AND(MAX(K734,K733)&gt;0,K734&gt;K733+0.00000001),1,0)</x:f>
        <x:v>0</x:v>
      </x:c>
      <x:c r="R734" t="n">
        <x:f>IF(AND(MAX(L734,L733)&gt;0,L734&gt;L733+0.00000001),1,0)</x:f>
        <x:v>0</x:v>
      </x:c>
      <x:c r="S734" t="n">
        <x:f>IF(AND(MAX(M734,M733)&gt;0,M734&gt;M733+0.00000001),1,0)</x:f>
        <x:v>0</x:v>
      </x:c>
      <x:c r="T734" t="n">
        <x:f>IF(AND(MAX(N734,N733)&gt;0,N734&gt;N733+0.00000001),1,0)</x:f>
        <x:v>0</x:v>
      </x:c>
      <x:c r="U734" t="n">
        <x:f>IF(AND(MAX(O734,O733)&gt;0,O734&gt;O733+0.00000001),1,0)</x:f>
        <x:v>0</x:v>
      </x:c>
    </x:row>
    <x:row r="735">
      <x:c r="J735" t="n">
        <x:f>IF(AND(ISNUMBER('Results'!B7),ISNUMBER('Results'!C7),ISNUMBER('Results'!$B$8),ISNUMBER('Inputs'!$B$6),ISNUMBER('Inputs'!$B$7),ISNUMBER('Inputs'!$B$8),ISNUMBER('Inputs'!$B$9),ISNUMBER('Inputs'!$B$10),ISNUMBER('Inputs'!$B$21),ISNUMBER('Inputs'!$B$24),ISNUMBER('Inputs'!$B$28)),(('Results'!B7*(0.5*((((735-43)*MAX('Inputs'!$B$33,'Inputs'!$B$29+'Inputs'!$B$31+'Inputs'!$B$32,'Inputs'!$B$30+'Inputs'!$B$31+'Inputs'!$B$32)/1000+'Inputs'!$B$21)+'Inputs'!$B$7)/SQRT((((735-43)*MAX('Inputs'!$B$33,'Inputs'!$B$29+'Inputs'!$B$31+'Inputs'!$B$32,'Inputs'!$B$30+'Inputs'!$B$31+'Inputs'!$B$32)/1000+'Inputs'!$B$21)+'Inputs'!$B$7)^2+('Inputs'!$B$6/2)^2)-(((735-43)*MAX('Inputs'!$B$33,'Inputs'!$B$29+'Inputs'!$B$31+'Inputs'!$B$32,'Inputs'!$B$30+'Inputs'!$B$31+'Inputs'!$B$32)/1000+'Inputs'!$B$21))/SQRT((((735-43)*MAX('Inputs'!$B$33,'Inputs'!$B$29+'Inputs'!$B$31+'Inputs'!$B$32,'Inputs'!$B$30+'Inputs'!$B$31+'Inputs'!$B$32)/1000+'Inputs'!$B$21))^2+('Inputs'!$B$6/2)^2)))-'Results'!C7*(0.5*((((735-43)*MAX('Inputs'!$B$33,'Inputs'!$B$29+'Inputs'!$B$31+'Inputs'!$B$32,'Inputs'!$B$30+'Inputs'!$B$31+'Inputs'!$B$32)/1000+'Inputs'!$B$21+'Inputs'!$B$7+'Inputs'!$B$10)+'Inputs'!$B$9)/SQRT((((735-43)*MAX('Inputs'!$B$33,'Inputs'!$B$29+'Inputs'!$B$31+'Inputs'!$B$32,'Inputs'!$B$30+'Inputs'!$B$31+'Inputs'!$B$32)/1000+'Inputs'!$B$21+'Inputs'!$B$7+'Inputs'!$B$10)+'Inputs'!$B$9)^2+('Inputs'!$B$8/2)^2)-(((735-43)*MAX('Inputs'!$B$33,'Inputs'!$B$29+'Inputs'!$B$31+'Inputs'!$B$32,'Inputs'!$B$30+'Inputs'!$B$31+'Inputs'!$B$32)/1000+'Inputs'!$B$21+'Inputs'!$B$7+'Inputs'!$B$10))/SQRT((((735-43)*MAX('Inputs'!$B$33,'Inputs'!$B$29+'Inputs'!$B$31+'Inputs'!$B$32,'Inputs'!$B$30+'Inputs'!$B$31+'Inputs'!$B$32)/1000+'Inputs'!$B$21+'Inputs'!$B$7+'Inputs'!$B$10))^2+('Inputs'!$B$8/2)^2))))*'Results'!$B$8),"")</x:f>
        <x:v>1.346343071981793</x:v>
      </x:c>
      <x:c r="K735" t="n">
        <x:f>IF(AND(ISNUMBER('Results'!B7),ISNUMBER('Results'!C7),ISNUMBER('Results'!$B$8),ISNUMBER('Inputs'!$B$6),ISNUMBER('Inputs'!$B$7),ISNUMBER('Inputs'!$B$8),ISNUMBER('Inputs'!$B$9),ISNUMBER('Inputs'!$B$10),ISNUMBER('Inputs'!$B$21),ISNUMBER('Inputs'!$B$24),ISNUMBER('Inputs'!$B$28)),((('Results'!B7*(1-'Inputs'!$B$24)*(0.5*((((735-43)*MAX('Inputs'!$B$33,'Inputs'!$B$29+'Inputs'!$B$31+'Inputs'!$B$32,'Inputs'!$B$30+'Inputs'!$B$31+'Inputs'!$B$32)/1000+'Inputs'!$B$21)+'Inputs'!$B$7)/SQRT((((735-43)*MAX('Inputs'!$B$33,'Inputs'!$B$29+'Inputs'!$B$31+'Inputs'!$B$32,'Inputs'!$B$30+'Inputs'!$B$31+'Inputs'!$B$32)/1000+'Inputs'!$B$21)+'Inputs'!$B$7)^2+('Inputs'!$B$6/2)^2)-(((735-43)*MAX('Inputs'!$B$33,'Inputs'!$B$29+'Inputs'!$B$31+'Inputs'!$B$32,'Inputs'!$B$30+'Inputs'!$B$31+'Inputs'!$B$32)/1000+'Inputs'!$B$21))/SQRT((((735-43)*MAX('Inputs'!$B$33,'Inputs'!$B$29+'Inputs'!$B$31+'Inputs'!$B$32,'Inputs'!$B$30+'Inputs'!$B$31+'Inputs'!$B$32)/1000+'Inputs'!$B$21))^2+('Inputs'!$B$6/2)^2)))-'Results'!C7*(1+'Inputs'!$B$24)*(0.5*((((735-43)*MAX('Inputs'!$B$33,'Inputs'!$B$29+'Inputs'!$B$31+'Inputs'!$B$32,'Inputs'!$B$30+'Inputs'!$B$31+'Inputs'!$B$32)/1000+'Inputs'!$B$21+'Inputs'!$B$7+'Inputs'!$B$10)+'Inputs'!$B$9)/SQRT((((735-43)*MAX('Inputs'!$B$33,'Inputs'!$B$29+'Inputs'!$B$31+'Inputs'!$B$32,'Inputs'!$B$30+'Inputs'!$B$31+'Inputs'!$B$32)/1000+'Inputs'!$B$21+'Inputs'!$B$7+'Inputs'!$B$10)+'Inputs'!$B$9)^2+('Inputs'!$B$8/2)^2)-(((735-43)*MAX('Inputs'!$B$33,'Inputs'!$B$29+'Inputs'!$B$31+'Inputs'!$B$32,'Inputs'!$B$30+'Inputs'!$B$31+'Inputs'!$B$32)/1000+'Inputs'!$B$21+'Inputs'!$B$7+'Inputs'!$B$10))/SQRT((((735-43)*MAX('Inputs'!$B$33,'Inputs'!$B$29+'Inputs'!$B$31+'Inputs'!$B$32,'Inputs'!$B$30+'Inputs'!$B$31+'Inputs'!$B$32)/1000+'Inputs'!$B$21+'Inputs'!$B$7+'Inputs'!$B$10))^2+('Inputs'!$B$8/2)^2))))*'Results'!$B$8)-'Inputs'!$B$28*ABS((('Results'!B7*(1-'Inputs'!$B$24)*(0.5*((((735-43)*MAX('Inputs'!$B$33,'Inputs'!$B$29+'Inputs'!$B$31+'Inputs'!$B$32,'Inputs'!$B$30+'Inputs'!$B$31+'Inputs'!$B$32)/1000+'Inputs'!$B$21)+'Inputs'!$B$7)/SQRT((((735-43)*MAX('Inputs'!$B$33,'Inputs'!$B$29+'Inputs'!$B$31+'Inputs'!$B$32,'Inputs'!$B$30+'Inputs'!$B$31+'Inputs'!$B$32)/1000+'Inputs'!$B$21)+'Inputs'!$B$7)^2+('Inputs'!$B$6/2)^2)-(((735-43)*MAX('Inputs'!$B$33,'Inputs'!$B$29+'Inputs'!$B$31+'Inputs'!$B$32,'Inputs'!$B$30+'Inputs'!$B$31+'Inputs'!$B$32)/1000+'Inputs'!$B$21))/SQRT((((735-43)*MAX('Inputs'!$B$33,'Inputs'!$B$29+'Inputs'!$B$31+'Inputs'!$B$32,'Inputs'!$B$30+'Inputs'!$B$31+'Inputs'!$B$32)/1000+'Inputs'!$B$21))^2+('Inputs'!$B$6/2)^2)))-'Results'!C7*(1+'Inputs'!$B$24)*(0.5*((((735-43)*MAX('Inputs'!$B$33,'Inputs'!$B$29+'Inputs'!$B$31+'Inputs'!$B$32,'Inputs'!$B$30+'Inputs'!$B$31+'Inputs'!$B$32)/1000+'Inputs'!$B$21+'Inputs'!$B$7+'Inputs'!$B$10)+'Inputs'!$B$9)/SQRT((((735-43)*MAX('Inputs'!$B$33,'Inputs'!$B$29+'Inputs'!$B$31+'Inputs'!$B$32,'Inputs'!$B$30+'Inputs'!$B$31+'Inputs'!$B$32)/1000+'Inputs'!$B$21+'Inputs'!$B$7+'Inputs'!$B$10)+'Inputs'!$B$9)^2+('Inputs'!$B$8/2)^2)-(((735-43)*MAX('Inputs'!$B$33,'Inputs'!$B$29+'Inputs'!$B$31+'Inputs'!$B$32,'Inputs'!$B$30+'Inputs'!$B$31+'Inputs'!$B$32)/1000+'Inputs'!$B$21+'Inputs'!$B$7+'Inputs'!$B$10))/SQRT((((735-43)*MAX('Inputs'!$B$33,'Inputs'!$B$29+'Inputs'!$B$31+'Inputs'!$B$32,'Inputs'!$B$30+'Inputs'!$B$31+'Inputs'!$B$32)/1000+'Inputs'!$B$21+'Inputs'!$B$7+'Inputs'!$B$10))^2+('Inputs'!$B$8/2)^2))))*'Results'!$B$8))),"")</x:f>
        <x:v>1.166784104080789</x:v>
      </x:c>
      <x:c r="L735" t="n">
        <x:f>IF(AND(ISNUMBER('Results'!B7),ISNUMBER('Results'!C7),ISNUMBER('Results'!$B$8),ISNUMBER('Inputs'!$B$6),ISNUMBER('Inputs'!$B$7),ISNUMBER('Inputs'!$B$8),ISNUMBER('Inputs'!$B$9),ISNUMBER('Inputs'!$B$10),ISNUMBER('Inputs'!$B$21),ISNUMBER('Inputs'!$B$24),ISNUMBER('Inputs'!$B$28)),((('Results'!B7*(1+'Inputs'!$B$24)*(0.5*((((735-43)*MAX('Inputs'!$B$33,'Inputs'!$B$29+'Inputs'!$B$31+'Inputs'!$B$32,'Inputs'!$B$30+'Inputs'!$B$31+'Inputs'!$B$32)/1000+'Inputs'!$B$21)+'Inputs'!$B$7)/SQRT((((735-43)*MAX('Inputs'!$B$33,'Inputs'!$B$29+'Inputs'!$B$31+'Inputs'!$B$32,'Inputs'!$B$30+'Inputs'!$B$31+'Inputs'!$B$32)/1000+'Inputs'!$B$21)+'Inputs'!$B$7)^2+('Inputs'!$B$6/2)^2)-(((735-43)*MAX('Inputs'!$B$33,'Inputs'!$B$29+'Inputs'!$B$31+'Inputs'!$B$32,'Inputs'!$B$30+'Inputs'!$B$31+'Inputs'!$B$32)/1000+'Inputs'!$B$21))/SQRT((((735-43)*MAX('Inputs'!$B$33,'Inputs'!$B$29+'Inputs'!$B$31+'Inputs'!$B$32,'Inputs'!$B$30+'Inputs'!$B$31+'Inputs'!$B$32)/1000+'Inputs'!$B$21))^2+('Inputs'!$B$6/2)^2)))-'Results'!C7*(1-'Inputs'!$B$24)*(0.5*((((735-43)*MAX('Inputs'!$B$33,'Inputs'!$B$29+'Inputs'!$B$31+'Inputs'!$B$32,'Inputs'!$B$30+'Inputs'!$B$31+'Inputs'!$B$32)/1000+'Inputs'!$B$21+'Inputs'!$B$7+'Inputs'!$B$10)+'Inputs'!$B$9)/SQRT((((735-43)*MAX('Inputs'!$B$33,'Inputs'!$B$29+'Inputs'!$B$31+'Inputs'!$B$32,'Inputs'!$B$30+'Inputs'!$B$31+'Inputs'!$B$32)/1000+'Inputs'!$B$21+'Inputs'!$B$7+'Inputs'!$B$10)+'Inputs'!$B$9)^2+('Inputs'!$B$8/2)^2)-(((735-43)*MAX('Inputs'!$B$33,'Inputs'!$B$29+'Inputs'!$B$31+'Inputs'!$B$32,'Inputs'!$B$30+'Inputs'!$B$31+'Inputs'!$B$32)/1000+'Inputs'!$B$21+'Inputs'!$B$7+'Inputs'!$B$10))/SQRT((((735-43)*MAX('Inputs'!$B$33,'Inputs'!$B$29+'Inputs'!$B$31+'Inputs'!$B$32,'Inputs'!$B$30+'Inputs'!$B$31+'Inputs'!$B$32)/1000+'Inputs'!$B$21+'Inputs'!$B$7+'Inputs'!$B$10))^2+('Inputs'!$B$8/2)^2))))*'Results'!$B$8)+'Inputs'!$B$28*ABS((('Results'!B7*(1+'Inputs'!$B$24)*(0.5*((((735-43)*MAX('Inputs'!$B$33,'Inputs'!$B$29+'Inputs'!$B$31+'Inputs'!$B$32,'Inputs'!$B$30+'Inputs'!$B$31+'Inputs'!$B$32)/1000+'Inputs'!$B$21)+'Inputs'!$B$7)/SQRT((((735-43)*MAX('Inputs'!$B$33,'Inputs'!$B$29+'Inputs'!$B$31+'Inputs'!$B$32,'Inputs'!$B$30+'Inputs'!$B$31+'Inputs'!$B$32)/1000+'Inputs'!$B$21)+'Inputs'!$B$7)^2+('Inputs'!$B$6/2)^2)-(((735-43)*MAX('Inputs'!$B$33,'Inputs'!$B$29+'Inputs'!$B$31+'Inputs'!$B$32,'Inputs'!$B$30+'Inputs'!$B$31+'Inputs'!$B$32)/1000+'Inputs'!$B$21))/SQRT((((735-43)*MAX('Inputs'!$B$33,'Inputs'!$B$29+'Inputs'!$B$31+'Inputs'!$B$32,'Inputs'!$B$30+'Inputs'!$B$31+'Inputs'!$B$32)/1000+'Inputs'!$B$21))^2+('Inputs'!$B$6/2)^2)))-'Results'!C7*(1-'Inputs'!$B$24)*(0.5*((((735-43)*MAX('Inputs'!$B$33,'Inputs'!$B$29+'Inputs'!$B$31+'Inputs'!$B$32,'Inputs'!$B$30+'Inputs'!$B$31+'Inputs'!$B$32)/1000+'Inputs'!$B$21+'Inputs'!$B$7+'Inputs'!$B$10)+'Inputs'!$B$9)/SQRT((((735-43)*MAX('Inputs'!$B$33,'Inputs'!$B$29+'Inputs'!$B$31+'Inputs'!$B$32,'Inputs'!$B$30+'Inputs'!$B$31+'Inputs'!$B$32)/1000+'Inputs'!$B$21+'Inputs'!$B$7+'Inputs'!$B$10)+'Inputs'!$B$9)^2+('Inputs'!$B$8/2)^2)-(((735-43)*MAX('Inputs'!$B$33,'Inputs'!$B$29+'Inputs'!$B$31+'Inputs'!$B$32,'Inputs'!$B$30+'Inputs'!$B$31+'Inputs'!$B$32)/1000+'Inputs'!$B$21+'Inputs'!$B$7+'Inputs'!$B$10))/SQRT((((735-43)*MAX('Inputs'!$B$33,'Inputs'!$B$29+'Inputs'!$B$31+'Inputs'!$B$32,'Inputs'!$B$30+'Inputs'!$B$31+'Inputs'!$B$32)/1000+'Inputs'!$B$21+'Inputs'!$B$7+'Inputs'!$B$10))^2+('Inputs'!$B$8/2)^2))))*'Results'!$B$8))),"")</x:f>
        <x:v>1.5377169677040512</x:v>
      </x:c>
      <x:c r="M735" t="n">
        <x:f>IF(AND(ISNUMBER('Results'!C7),ISNUMBER('Results'!B7),ISNUMBER('Results'!$B$8),ISNUMBER('Inputs'!$B$6),ISNUMBER('Inputs'!$B$7),ISNUMBER('Inputs'!$B$8),ISNUMBER('Inputs'!$B$9),ISNUMBER('Inputs'!$B$10),ISNUMBER('Inputs'!$B$21),ISNUMBER('Inputs'!$B$24),ISNUMBER('Inputs'!$B$28)),(('Results'!C7*(0.5*((((735-43)*MAX('Inputs'!$B$33,'Inputs'!$B$29+'Inputs'!$B$31+'Inputs'!$B$32,'Inputs'!$B$30+'Inputs'!$B$31+'Inputs'!$B$32)/1000+'Inputs'!$B$21)+'Inputs'!$B$9)/SQRT((((735-43)*MAX('Inputs'!$B$33,'Inputs'!$B$29+'Inputs'!$B$31+'Inputs'!$B$32,'Inputs'!$B$30+'Inputs'!$B$31+'Inputs'!$B$32)/1000+'Inputs'!$B$21)+'Inputs'!$B$9)^2+('Inputs'!$B$8/2)^2)-(((735-43)*MAX('Inputs'!$B$33,'Inputs'!$B$29+'Inputs'!$B$31+'Inputs'!$B$32,'Inputs'!$B$30+'Inputs'!$B$31+'Inputs'!$B$32)/1000+'Inputs'!$B$21))/SQRT((((735-43)*MAX('Inputs'!$B$33,'Inputs'!$B$29+'Inputs'!$B$31+'Inputs'!$B$32,'Inputs'!$B$30+'Inputs'!$B$31+'Inputs'!$B$32)/1000+'Inputs'!$B$21))^2+('Inputs'!$B$8/2)^2)))-'Results'!B7*(0.5*((((735-43)*MAX('Inputs'!$B$33,'Inputs'!$B$29+'Inputs'!$B$31+'Inputs'!$B$32,'Inputs'!$B$30+'Inputs'!$B$31+'Inputs'!$B$32)/1000+'Inputs'!$B$21+'Inputs'!$B$9+'Inputs'!$B$10)+'Inputs'!$B$7)/SQRT((((735-43)*MAX('Inputs'!$B$33,'Inputs'!$B$29+'Inputs'!$B$31+'Inputs'!$B$32,'Inputs'!$B$30+'Inputs'!$B$31+'Inputs'!$B$32)/1000+'Inputs'!$B$21+'Inputs'!$B$9+'Inputs'!$B$10)+'Inputs'!$B$7)^2+('Inputs'!$B$6/2)^2)-(((735-43)*MAX('Inputs'!$B$33,'Inputs'!$B$29+'Inputs'!$B$31+'Inputs'!$B$32,'Inputs'!$B$30+'Inputs'!$B$31+'Inputs'!$B$32)/1000+'Inputs'!$B$21+'Inputs'!$B$9+'Inputs'!$B$10))/SQRT((((735-43)*MAX('Inputs'!$B$33,'Inputs'!$B$29+'Inputs'!$B$31+'Inputs'!$B$32,'Inputs'!$B$30+'Inputs'!$B$31+'Inputs'!$B$32)/1000+'Inputs'!$B$21+'Inputs'!$B$9+'Inputs'!$B$10))^2+('Inputs'!$B$6/2)^2))))*'Results'!$B$8),"")</x:f>
        <x:v>1.2272629527817729</x:v>
      </x:c>
      <x:c r="N735" t="n">
        <x:f>IF(AND(ISNUMBER('Results'!C7),ISNUMBER('Results'!B7),ISNUMBER('Results'!$B$8),ISNUMBER('Inputs'!$B$6),ISNUMBER('Inputs'!$B$7),ISNUMBER('Inputs'!$B$8),ISNUMBER('Inputs'!$B$9),ISNUMBER('Inputs'!$B$10),ISNUMBER('Inputs'!$B$21),ISNUMBER('Inputs'!$B$24),ISNUMBER('Inputs'!$B$28)),((('Results'!C7*(1-'Inputs'!$B$24)*(0.5*((((735-43)*MAX('Inputs'!$B$33,'Inputs'!$B$29+'Inputs'!$B$31+'Inputs'!$B$32,'Inputs'!$B$30+'Inputs'!$B$31+'Inputs'!$B$32)/1000+'Inputs'!$B$21)+'Inputs'!$B$9)/SQRT((((735-43)*MAX('Inputs'!$B$33,'Inputs'!$B$29+'Inputs'!$B$31+'Inputs'!$B$32,'Inputs'!$B$30+'Inputs'!$B$31+'Inputs'!$B$32)/1000+'Inputs'!$B$21)+'Inputs'!$B$9)^2+('Inputs'!$B$8/2)^2)-(((735-43)*MAX('Inputs'!$B$33,'Inputs'!$B$29+'Inputs'!$B$31+'Inputs'!$B$32,'Inputs'!$B$30+'Inputs'!$B$31+'Inputs'!$B$32)/1000+'Inputs'!$B$21))/SQRT((((735-43)*MAX('Inputs'!$B$33,'Inputs'!$B$29+'Inputs'!$B$31+'Inputs'!$B$32,'Inputs'!$B$30+'Inputs'!$B$31+'Inputs'!$B$32)/1000+'Inputs'!$B$21))^2+('Inputs'!$B$8/2)^2)))-'Results'!B7*(1+'Inputs'!$B$24)*(0.5*((((735-43)*MAX('Inputs'!$B$33,'Inputs'!$B$29+'Inputs'!$B$31+'Inputs'!$B$32,'Inputs'!$B$30+'Inputs'!$B$31+'Inputs'!$B$32)/1000+'Inputs'!$B$21+'Inputs'!$B$9+'Inputs'!$B$10)+'Inputs'!$B$7)/SQRT((((735-43)*MAX('Inputs'!$B$33,'Inputs'!$B$29+'Inputs'!$B$31+'Inputs'!$B$32,'Inputs'!$B$30+'Inputs'!$B$31+'Inputs'!$B$32)/1000+'Inputs'!$B$21+'Inputs'!$B$9+'Inputs'!$B$10)+'Inputs'!$B$7)^2+('Inputs'!$B$6/2)^2)-(((735-43)*MAX('Inputs'!$B$33,'Inputs'!$B$29+'Inputs'!$B$31+'Inputs'!$B$32,'Inputs'!$B$30+'Inputs'!$B$31+'Inputs'!$B$32)/1000+'Inputs'!$B$21+'Inputs'!$B$9+'Inputs'!$B$10))/SQRT((((735-43)*MAX('Inputs'!$B$33,'Inputs'!$B$29+'Inputs'!$B$31+'Inputs'!$B$32,'Inputs'!$B$30+'Inputs'!$B$31+'Inputs'!$B$32)/1000+'Inputs'!$B$21+'Inputs'!$B$9+'Inputs'!$B$10))^2+('Inputs'!$B$6/2)^2))))*'Results'!$B$8)-'Inputs'!$B$28*ABS((('Results'!C7*(1-'Inputs'!$B$24)*(0.5*((((735-43)*MAX('Inputs'!$B$33,'Inputs'!$B$29+'Inputs'!$B$31+'Inputs'!$B$32,'Inputs'!$B$30+'Inputs'!$B$31+'Inputs'!$B$32)/1000+'Inputs'!$B$21)+'Inputs'!$B$9)/SQRT((((735-43)*MAX('Inputs'!$B$33,'Inputs'!$B$29+'Inputs'!$B$31+'Inputs'!$B$32,'Inputs'!$B$30+'Inputs'!$B$31+'Inputs'!$B$32)/1000+'Inputs'!$B$21)+'Inputs'!$B$9)^2+('Inputs'!$B$8/2)^2)-(((735-43)*MAX('Inputs'!$B$33,'Inputs'!$B$29+'Inputs'!$B$31+'Inputs'!$B$32,'Inputs'!$B$30+'Inputs'!$B$31+'Inputs'!$B$32)/1000+'Inputs'!$B$21))/SQRT((((735-43)*MAX('Inputs'!$B$33,'Inputs'!$B$29+'Inputs'!$B$31+'Inputs'!$B$32,'Inputs'!$B$30+'Inputs'!$B$31+'Inputs'!$B$32)/1000+'Inputs'!$B$21))^2+('Inputs'!$B$8/2)^2)))-'Results'!B7*(1+'Inputs'!$B$24)*(0.5*((((735-43)*MAX('Inputs'!$B$33,'Inputs'!$B$29+'Inputs'!$B$31+'Inputs'!$B$32,'Inputs'!$B$30+'Inputs'!$B$31+'Inputs'!$B$32)/1000+'Inputs'!$B$21+'Inputs'!$B$9+'Inputs'!$B$10)+'Inputs'!$B$7)/SQRT((((735-43)*MAX('Inputs'!$B$33,'Inputs'!$B$29+'Inputs'!$B$31+'Inputs'!$B$32,'Inputs'!$B$30+'Inputs'!$B$31+'Inputs'!$B$32)/1000+'Inputs'!$B$21+'Inputs'!$B$9+'Inputs'!$B$10)+'Inputs'!$B$7)^2+('Inputs'!$B$6/2)^2)-(((735-43)*MAX('Inputs'!$B$33,'Inputs'!$B$29+'Inputs'!$B$31+'Inputs'!$B$32,'Inputs'!$B$30+'Inputs'!$B$31+'Inputs'!$B$32)/1000+'Inputs'!$B$21+'Inputs'!$B$9+'Inputs'!$B$10))/SQRT((((735-43)*MAX('Inputs'!$B$33,'Inputs'!$B$29+'Inputs'!$B$31+'Inputs'!$B$32,'Inputs'!$B$30+'Inputs'!$B$31+'Inputs'!$B$32)/1000+'Inputs'!$B$21+'Inputs'!$B$9+'Inputs'!$B$10))^2+('Inputs'!$B$6/2)^2))))*'Results'!$B$8))),"")</x:f>
        <x:v>1.054151915229361</x:v>
      </x:c>
      <x:c r="O735" t="n">
        <x:f>IF(AND(ISNUMBER('Results'!C7),ISNUMBER('Results'!B7),ISNUMBER('Results'!$B$8),ISNUMBER('Inputs'!$B$6),ISNUMBER('Inputs'!$B$7),ISNUMBER('Inputs'!$B$8),ISNUMBER('Inputs'!$B$9),ISNUMBER('Inputs'!$B$10),ISNUMBER('Inputs'!$B$21),ISNUMBER('Inputs'!$B$24),ISNUMBER('Inputs'!$B$28)),((('Results'!C7*(1+'Inputs'!$B$24)*(0.5*((((735-43)*MAX('Inputs'!$B$33,'Inputs'!$B$29+'Inputs'!$B$31+'Inputs'!$B$32,'Inputs'!$B$30+'Inputs'!$B$31+'Inputs'!$B$32)/1000+'Inputs'!$B$21)+'Inputs'!$B$9)/SQRT((((735-43)*MAX('Inputs'!$B$33,'Inputs'!$B$29+'Inputs'!$B$31+'Inputs'!$B$32,'Inputs'!$B$30+'Inputs'!$B$31+'Inputs'!$B$32)/1000+'Inputs'!$B$21)+'Inputs'!$B$9)^2+('Inputs'!$B$8/2)^2)-(((735-43)*MAX('Inputs'!$B$33,'Inputs'!$B$29+'Inputs'!$B$31+'Inputs'!$B$32,'Inputs'!$B$30+'Inputs'!$B$31+'Inputs'!$B$32)/1000+'Inputs'!$B$21))/SQRT((((735-43)*MAX('Inputs'!$B$33,'Inputs'!$B$29+'Inputs'!$B$31+'Inputs'!$B$32,'Inputs'!$B$30+'Inputs'!$B$31+'Inputs'!$B$32)/1000+'Inputs'!$B$21))^2+('Inputs'!$B$8/2)^2)))-'Results'!B7*(1-'Inputs'!$B$24)*(0.5*((((735-43)*MAX('Inputs'!$B$33,'Inputs'!$B$29+'Inputs'!$B$31+'Inputs'!$B$32,'Inputs'!$B$30+'Inputs'!$B$31+'Inputs'!$B$32)/1000+'Inputs'!$B$21+'Inputs'!$B$9+'Inputs'!$B$10)+'Inputs'!$B$7)/SQRT((((735-43)*MAX('Inputs'!$B$33,'Inputs'!$B$29+'Inputs'!$B$31+'Inputs'!$B$32,'Inputs'!$B$30+'Inputs'!$B$31+'Inputs'!$B$32)/1000+'Inputs'!$B$21+'Inputs'!$B$9+'Inputs'!$B$10)+'Inputs'!$B$7)^2+('Inputs'!$B$6/2)^2)-(((735-43)*MAX('Inputs'!$B$33,'Inputs'!$B$29+'Inputs'!$B$31+'Inputs'!$B$32,'Inputs'!$B$30+'Inputs'!$B$31+'Inputs'!$B$32)/1000+'Inputs'!$B$21+'Inputs'!$B$9+'Inputs'!$B$10))/SQRT((((735-43)*MAX('Inputs'!$B$33,'Inputs'!$B$29+'Inputs'!$B$31+'Inputs'!$B$32,'Inputs'!$B$30+'Inputs'!$B$31+'Inputs'!$B$32)/1000+'Inputs'!$B$21+'Inputs'!$B$9+'Inputs'!$B$10))^2+('Inputs'!$B$6/2)^2))))*'Results'!$B$8)+'Inputs'!$B$28*ABS((('Results'!C7*(1+'Inputs'!$B$24)*(0.5*((((735-43)*MAX('Inputs'!$B$33,'Inputs'!$B$29+'Inputs'!$B$31+'Inputs'!$B$32,'Inputs'!$B$30+'Inputs'!$B$31+'Inputs'!$B$32)/1000+'Inputs'!$B$21)+'Inputs'!$B$9)/SQRT((((735-43)*MAX('Inputs'!$B$33,'Inputs'!$B$29+'Inputs'!$B$31+'Inputs'!$B$32,'Inputs'!$B$30+'Inputs'!$B$31+'Inputs'!$B$32)/1000+'Inputs'!$B$21)+'Inputs'!$B$9)^2+('Inputs'!$B$8/2)^2)-(((735-43)*MAX('Inputs'!$B$33,'Inputs'!$B$29+'Inputs'!$B$31+'Inputs'!$B$32,'Inputs'!$B$30+'Inputs'!$B$31+'Inputs'!$B$32)/1000+'Inputs'!$B$21))/SQRT((((735-43)*MAX('Inputs'!$B$33,'Inputs'!$B$29+'Inputs'!$B$31+'Inputs'!$B$32,'Inputs'!$B$30+'Inputs'!$B$31+'Inputs'!$B$32)/1000+'Inputs'!$B$21))^2+('Inputs'!$B$8/2)^2)))-'Results'!B7*(1-'Inputs'!$B$24)*(0.5*((((735-43)*MAX('Inputs'!$B$33,'Inputs'!$B$29+'Inputs'!$B$31+'Inputs'!$B$32,'Inputs'!$B$30+'Inputs'!$B$31+'Inputs'!$B$32)/1000+'Inputs'!$B$21+'Inputs'!$B$9+'Inputs'!$B$10)+'Inputs'!$B$7)/SQRT((((735-43)*MAX('Inputs'!$B$33,'Inputs'!$B$29+'Inputs'!$B$31+'Inputs'!$B$32,'Inputs'!$B$30+'Inputs'!$B$31+'Inputs'!$B$32)/1000+'Inputs'!$B$21+'Inputs'!$B$9+'Inputs'!$B$10)+'Inputs'!$B$7)^2+('Inputs'!$B$6/2)^2)-(((735-43)*MAX('Inputs'!$B$33,'Inputs'!$B$29+'Inputs'!$B$31+'Inputs'!$B$32,'Inputs'!$B$30+'Inputs'!$B$31+'Inputs'!$B$32)/1000+'Inputs'!$B$21+'Inputs'!$B$9+'Inputs'!$B$10))/SQRT((((735-43)*MAX('Inputs'!$B$33,'Inputs'!$B$29+'Inputs'!$B$31+'Inputs'!$B$32,'Inputs'!$B$30+'Inputs'!$B$31+'Inputs'!$B$32)/1000+'Inputs'!$B$21+'Inputs'!$B$9+'Inputs'!$B$10))^2+('Inputs'!$B$6/2)^2))))*'Results'!$B$8))),"")</x:f>
        <x:v>1.4121369261145353</x:v>
      </x:c>
      <x:c r="P735" t="n">
        <x:f>IF(AND(MAX(J735,J734)&gt;0,J735&gt;J734+0.00000001),1,0)</x:f>
        <x:v>0</x:v>
      </x:c>
      <x:c r="Q735" t="n">
        <x:f>IF(AND(MAX(K735,K734)&gt;0,K735&gt;K734+0.00000001),1,0)</x:f>
        <x:v>0</x:v>
      </x:c>
      <x:c r="R735" t="n">
        <x:f>IF(AND(MAX(L735,L734)&gt;0,L735&gt;L734+0.00000001),1,0)</x:f>
        <x:v>0</x:v>
      </x:c>
      <x:c r="S735" t="n">
        <x:f>IF(AND(MAX(M735,M734)&gt;0,M735&gt;M734+0.00000001),1,0)</x:f>
        <x:v>0</x:v>
      </x:c>
      <x:c r="T735" t="n">
        <x:f>IF(AND(MAX(N735,N734)&gt;0,N735&gt;N734+0.00000001),1,0)</x:f>
        <x:v>0</x:v>
      </x:c>
      <x:c r="U735" t="n">
        <x:f>IF(AND(MAX(O735,O734)&gt;0,O735&gt;O734+0.00000001),1,0)</x:f>
        <x:v>0</x:v>
      </x:c>
    </x:row>
    <x:row r="736">
      <x:c r="J736" t="n">
        <x:f>IF(AND(ISNUMBER('Results'!B7),ISNUMBER('Results'!C7),ISNUMBER('Results'!$B$8),ISNUMBER('Inputs'!$B$6),ISNUMBER('Inputs'!$B$7),ISNUMBER('Inputs'!$B$8),ISNUMBER('Inputs'!$B$9),ISNUMBER('Inputs'!$B$10),ISNUMBER('Inputs'!$B$21),ISNUMBER('Inputs'!$B$24),ISNUMBER('Inputs'!$B$28)),(('Results'!B7*(0.5*((((736-43)*MAX('Inputs'!$B$33,'Inputs'!$B$29+'Inputs'!$B$31+'Inputs'!$B$32,'Inputs'!$B$30+'Inputs'!$B$31+'Inputs'!$B$32)/1000+'Inputs'!$B$21)+'Inputs'!$B$7)/SQRT((((736-43)*MAX('Inputs'!$B$33,'Inputs'!$B$29+'Inputs'!$B$31+'Inputs'!$B$32,'Inputs'!$B$30+'Inputs'!$B$31+'Inputs'!$B$32)/1000+'Inputs'!$B$21)+'Inputs'!$B$7)^2+('Inputs'!$B$6/2)^2)-(((736-43)*MAX('Inputs'!$B$33,'Inputs'!$B$29+'Inputs'!$B$31+'Inputs'!$B$32,'Inputs'!$B$30+'Inputs'!$B$31+'Inputs'!$B$32)/1000+'Inputs'!$B$21))/SQRT((((736-43)*MAX('Inputs'!$B$33,'Inputs'!$B$29+'Inputs'!$B$31+'Inputs'!$B$32,'Inputs'!$B$30+'Inputs'!$B$31+'Inputs'!$B$32)/1000+'Inputs'!$B$21))^2+('Inputs'!$B$6/2)^2)))-'Results'!C7*(0.5*((((736-43)*MAX('Inputs'!$B$33,'Inputs'!$B$29+'Inputs'!$B$31+'Inputs'!$B$32,'Inputs'!$B$30+'Inputs'!$B$31+'Inputs'!$B$32)/1000+'Inputs'!$B$21+'Inputs'!$B$7+'Inputs'!$B$10)+'Inputs'!$B$9)/SQRT((((736-43)*MAX('Inputs'!$B$33,'Inputs'!$B$29+'Inputs'!$B$31+'Inputs'!$B$32,'Inputs'!$B$30+'Inputs'!$B$31+'Inputs'!$B$32)/1000+'Inputs'!$B$21+'Inputs'!$B$7+'Inputs'!$B$10)+'Inputs'!$B$9)^2+('Inputs'!$B$8/2)^2)-(((736-43)*MAX('Inputs'!$B$33,'Inputs'!$B$29+'Inputs'!$B$31+'Inputs'!$B$32,'Inputs'!$B$30+'Inputs'!$B$31+'Inputs'!$B$32)/1000+'Inputs'!$B$21+'Inputs'!$B$7+'Inputs'!$B$10))/SQRT((((736-43)*MAX('Inputs'!$B$33,'Inputs'!$B$29+'Inputs'!$B$31+'Inputs'!$B$32,'Inputs'!$B$30+'Inputs'!$B$31+'Inputs'!$B$32)/1000+'Inputs'!$B$21+'Inputs'!$B$7+'Inputs'!$B$10))^2+('Inputs'!$B$8/2)^2))))*'Results'!$B$8),"")</x:f>
        <x:v>1.3394607481831151</x:v>
      </x:c>
      <x:c r="K736" t="n">
        <x:f>IF(AND(ISNUMBER('Results'!B7),ISNUMBER('Results'!C7),ISNUMBER('Results'!$B$8),ISNUMBER('Inputs'!$B$6),ISNUMBER('Inputs'!$B$7),ISNUMBER('Inputs'!$B$8),ISNUMBER('Inputs'!$B$9),ISNUMBER('Inputs'!$B$10),ISNUMBER('Inputs'!$B$21),ISNUMBER('Inputs'!$B$24),ISNUMBER('Inputs'!$B$28)),((('Results'!B7*(1-'Inputs'!$B$24)*(0.5*((((736-43)*MAX('Inputs'!$B$33,'Inputs'!$B$29+'Inputs'!$B$31+'Inputs'!$B$32,'Inputs'!$B$30+'Inputs'!$B$31+'Inputs'!$B$32)/1000+'Inputs'!$B$21)+'Inputs'!$B$7)/SQRT((((736-43)*MAX('Inputs'!$B$33,'Inputs'!$B$29+'Inputs'!$B$31+'Inputs'!$B$32,'Inputs'!$B$30+'Inputs'!$B$31+'Inputs'!$B$32)/1000+'Inputs'!$B$21)+'Inputs'!$B$7)^2+('Inputs'!$B$6/2)^2)-(((736-43)*MAX('Inputs'!$B$33,'Inputs'!$B$29+'Inputs'!$B$31+'Inputs'!$B$32,'Inputs'!$B$30+'Inputs'!$B$31+'Inputs'!$B$32)/1000+'Inputs'!$B$21))/SQRT((((736-43)*MAX('Inputs'!$B$33,'Inputs'!$B$29+'Inputs'!$B$31+'Inputs'!$B$32,'Inputs'!$B$30+'Inputs'!$B$31+'Inputs'!$B$32)/1000+'Inputs'!$B$21))^2+('Inputs'!$B$6/2)^2)))-'Results'!C7*(1+'Inputs'!$B$24)*(0.5*((((736-43)*MAX('Inputs'!$B$33,'Inputs'!$B$29+'Inputs'!$B$31+'Inputs'!$B$32,'Inputs'!$B$30+'Inputs'!$B$31+'Inputs'!$B$32)/1000+'Inputs'!$B$21+'Inputs'!$B$7+'Inputs'!$B$10)+'Inputs'!$B$9)/SQRT((((736-43)*MAX('Inputs'!$B$33,'Inputs'!$B$29+'Inputs'!$B$31+'Inputs'!$B$32,'Inputs'!$B$30+'Inputs'!$B$31+'Inputs'!$B$32)/1000+'Inputs'!$B$21+'Inputs'!$B$7+'Inputs'!$B$10)+'Inputs'!$B$9)^2+('Inputs'!$B$8/2)^2)-(((736-43)*MAX('Inputs'!$B$33,'Inputs'!$B$29+'Inputs'!$B$31+'Inputs'!$B$32,'Inputs'!$B$30+'Inputs'!$B$31+'Inputs'!$B$32)/1000+'Inputs'!$B$21+'Inputs'!$B$7+'Inputs'!$B$10))/SQRT((((736-43)*MAX('Inputs'!$B$33,'Inputs'!$B$29+'Inputs'!$B$31+'Inputs'!$B$32,'Inputs'!$B$30+'Inputs'!$B$31+'Inputs'!$B$32)/1000+'Inputs'!$B$21+'Inputs'!$B$7+'Inputs'!$B$10))^2+('Inputs'!$B$8/2)^2))))*'Results'!$B$8)-'Inputs'!$B$28*ABS((('Results'!B7*(1-'Inputs'!$B$24)*(0.5*((((736-43)*MAX('Inputs'!$B$33,'Inputs'!$B$29+'Inputs'!$B$31+'Inputs'!$B$32,'Inputs'!$B$30+'Inputs'!$B$31+'Inputs'!$B$32)/1000+'Inputs'!$B$21)+'Inputs'!$B$7)/SQRT((((736-43)*MAX('Inputs'!$B$33,'Inputs'!$B$29+'Inputs'!$B$31+'Inputs'!$B$32,'Inputs'!$B$30+'Inputs'!$B$31+'Inputs'!$B$32)/1000+'Inputs'!$B$21)+'Inputs'!$B$7)^2+('Inputs'!$B$6/2)^2)-(((736-43)*MAX('Inputs'!$B$33,'Inputs'!$B$29+'Inputs'!$B$31+'Inputs'!$B$32,'Inputs'!$B$30+'Inputs'!$B$31+'Inputs'!$B$32)/1000+'Inputs'!$B$21))/SQRT((((736-43)*MAX('Inputs'!$B$33,'Inputs'!$B$29+'Inputs'!$B$31+'Inputs'!$B$32,'Inputs'!$B$30+'Inputs'!$B$31+'Inputs'!$B$32)/1000+'Inputs'!$B$21))^2+('Inputs'!$B$6/2)^2)))-'Results'!C7*(1+'Inputs'!$B$24)*(0.5*((((736-43)*MAX('Inputs'!$B$33,'Inputs'!$B$29+'Inputs'!$B$31+'Inputs'!$B$32,'Inputs'!$B$30+'Inputs'!$B$31+'Inputs'!$B$32)/1000+'Inputs'!$B$21+'Inputs'!$B$7+'Inputs'!$B$10)+'Inputs'!$B$9)/SQRT((((736-43)*MAX('Inputs'!$B$33,'Inputs'!$B$29+'Inputs'!$B$31+'Inputs'!$B$32,'Inputs'!$B$30+'Inputs'!$B$31+'Inputs'!$B$32)/1000+'Inputs'!$B$21+'Inputs'!$B$7+'Inputs'!$B$10)+'Inputs'!$B$9)^2+('Inputs'!$B$8/2)^2)-(((736-43)*MAX('Inputs'!$B$33,'Inputs'!$B$29+'Inputs'!$B$31+'Inputs'!$B$32,'Inputs'!$B$30+'Inputs'!$B$31+'Inputs'!$B$32)/1000+'Inputs'!$B$21+'Inputs'!$B$7+'Inputs'!$B$10))/SQRT((((736-43)*MAX('Inputs'!$B$33,'Inputs'!$B$29+'Inputs'!$B$31+'Inputs'!$B$32,'Inputs'!$B$30+'Inputs'!$B$31+'Inputs'!$B$32)/1000+'Inputs'!$B$21+'Inputs'!$B$7+'Inputs'!$B$10))^2+('Inputs'!$B$8/2)^2))))*'Results'!$B$8))),"")</x:f>
        <x:v>1.160687821106343</x:v>
      </x:c>
      <x:c r="L736" t="n">
        <x:f>IF(AND(ISNUMBER('Results'!B7),ISNUMBER('Results'!C7),ISNUMBER('Results'!$B$8),ISNUMBER('Inputs'!$B$6),ISNUMBER('Inputs'!$B$7),ISNUMBER('Inputs'!$B$8),ISNUMBER('Inputs'!$B$9),ISNUMBER('Inputs'!$B$10),ISNUMBER('Inputs'!$B$21),ISNUMBER('Inputs'!$B$24),ISNUMBER('Inputs'!$B$28)),((('Results'!B7*(1+'Inputs'!$B$24)*(0.5*((((736-43)*MAX('Inputs'!$B$33,'Inputs'!$B$29+'Inputs'!$B$31+'Inputs'!$B$32,'Inputs'!$B$30+'Inputs'!$B$31+'Inputs'!$B$32)/1000+'Inputs'!$B$21)+'Inputs'!$B$7)/SQRT((((736-43)*MAX('Inputs'!$B$33,'Inputs'!$B$29+'Inputs'!$B$31+'Inputs'!$B$32,'Inputs'!$B$30+'Inputs'!$B$31+'Inputs'!$B$32)/1000+'Inputs'!$B$21)+'Inputs'!$B$7)^2+('Inputs'!$B$6/2)^2)-(((736-43)*MAX('Inputs'!$B$33,'Inputs'!$B$29+'Inputs'!$B$31+'Inputs'!$B$32,'Inputs'!$B$30+'Inputs'!$B$31+'Inputs'!$B$32)/1000+'Inputs'!$B$21))/SQRT((((736-43)*MAX('Inputs'!$B$33,'Inputs'!$B$29+'Inputs'!$B$31+'Inputs'!$B$32,'Inputs'!$B$30+'Inputs'!$B$31+'Inputs'!$B$32)/1000+'Inputs'!$B$21))^2+('Inputs'!$B$6/2)^2)))-'Results'!C7*(1-'Inputs'!$B$24)*(0.5*((((736-43)*MAX('Inputs'!$B$33,'Inputs'!$B$29+'Inputs'!$B$31+'Inputs'!$B$32,'Inputs'!$B$30+'Inputs'!$B$31+'Inputs'!$B$32)/1000+'Inputs'!$B$21+'Inputs'!$B$7+'Inputs'!$B$10)+'Inputs'!$B$9)/SQRT((((736-43)*MAX('Inputs'!$B$33,'Inputs'!$B$29+'Inputs'!$B$31+'Inputs'!$B$32,'Inputs'!$B$30+'Inputs'!$B$31+'Inputs'!$B$32)/1000+'Inputs'!$B$21+'Inputs'!$B$7+'Inputs'!$B$10)+'Inputs'!$B$9)^2+('Inputs'!$B$8/2)^2)-(((736-43)*MAX('Inputs'!$B$33,'Inputs'!$B$29+'Inputs'!$B$31+'Inputs'!$B$32,'Inputs'!$B$30+'Inputs'!$B$31+'Inputs'!$B$32)/1000+'Inputs'!$B$21+'Inputs'!$B$7+'Inputs'!$B$10))/SQRT((((736-43)*MAX('Inputs'!$B$33,'Inputs'!$B$29+'Inputs'!$B$31+'Inputs'!$B$32,'Inputs'!$B$30+'Inputs'!$B$31+'Inputs'!$B$32)/1000+'Inputs'!$B$21+'Inputs'!$B$7+'Inputs'!$B$10))^2+('Inputs'!$B$8/2)^2))))*'Results'!$B$8)+'Inputs'!$B$28*ABS((('Results'!B7*(1+'Inputs'!$B$24)*(0.5*((((736-43)*MAX('Inputs'!$B$33,'Inputs'!$B$29+'Inputs'!$B$31+'Inputs'!$B$32,'Inputs'!$B$30+'Inputs'!$B$31+'Inputs'!$B$32)/1000+'Inputs'!$B$21)+'Inputs'!$B$7)/SQRT((((736-43)*MAX('Inputs'!$B$33,'Inputs'!$B$29+'Inputs'!$B$31+'Inputs'!$B$32,'Inputs'!$B$30+'Inputs'!$B$31+'Inputs'!$B$32)/1000+'Inputs'!$B$21)+'Inputs'!$B$7)^2+('Inputs'!$B$6/2)^2)-(((736-43)*MAX('Inputs'!$B$33,'Inputs'!$B$29+'Inputs'!$B$31+'Inputs'!$B$32,'Inputs'!$B$30+'Inputs'!$B$31+'Inputs'!$B$32)/1000+'Inputs'!$B$21))/SQRT((((736-43)*MAX('Inputs'!$B$33,'Inputs'!$B$29+'Inputs'!$B$31+'Inputs'!$B$32,'Inputs'!$B$30+'Inputs'!$B$31+'Inputs'!$B$32)/1000+'Inputs'!$B$21))^2+('Inputs'!$B$6/2)^2)))-'Results'!C7*(1-'Inputs'!$B$24)*(0.5*((((736-43)*MAX('Inputs'!$B$33,'Inputs'!$B$29+'Inputs'!$B$31+'Inputs'!$B$32,'Inputs'!$B$30+'Inputs'!$B$31+'Inputs'!$B$32)/1000+'Inputs'!$B$21+'Inputs'!$B$7+'Inputs'!$B$10)+'Inputs'!$B$9)/SQRT((((736-43)*MAX('Inputs'!$B$33,'Inputs'!$B$29+'Inputs'!$B$31+'Inputs'!$B$32,'Inputs'!$B$30+'Inputs'!$B$31+'Inputs'!$B$32)/1000+'Inputs'!$B$21+'Inputs'!$B$7+'Inputs'!$B$10)+'Inputs'!$B$9)^2+('Inputs'!$B$8/2)^2)-(((736-43)*MAX('Inputs'!$B$33,'Inputs'!$B$29+'Inputs'!$B$31+'Inputs'!$B$32,'Inputs'!$B$30+'Inputs'!$B$31+'Inputs'!$B$32)/1000+'Inputs'!$B$21+'Inputs'!$B$7+'Inputs'!$B$10))/SQRT((((736-43)*MAX('Inputs'!$B$33,'Inputs'!$B$29+'Inputs'!$B$31+'Inputs'!$B$32,'Inputs'!$B$30+'Inputs'!$B$31+'Inputs'!$B$32)/1000+'Inputs'!$B$21+'Inputs'!$B$7+'Inputs'!$B$10))^2+('Inputs'!$B$8/2)^2))))*'Results'!$B$8))),"")</x:f>
        <x:v>1.5300020846985838</x:v>
      </x:c>
      <x:c r="M736" t="n">
        <x:f>IF(AND(ISNUMBER('Results'!C7),ISNUMBER('Results'!B7),ISNUMBER('Results'!$B$8),ISNUMBER('Inputs'!$B$6),ISNUMBER('Inputs'!$B$7),ISNUMBER('Inputs'!$B$8),ISNUMBER('Inputs'!$B$9),ISNUMBER('Inputs'!$B$10),ISNUMBER('Inputs'!$B$21),ISNUMBER('Inputs'!$B$24),ISNUMBER('Inputs'!$B$28)),(('Results'!C7*(0.5*((((736-43)*MAX('Inputs'!$B$33,'Inputs'!$B$29+'Inputs'!$B$31+'Inputs'!$B$32,'Inputs'!$B$30+'Inputs'!$B$31+'Inputs'!$B$32)/1000+'Inputs'!$B$21)+'Inputs'!$B$9)/SQRT((((736-43)*MAX('Inputs'!$B$33,'Inputs'!$B$29+'Inputs'!$B$31+'Inputs'!$B$32,'Inputs'!$B$30+'Inputs'!$B$31+'Inputs'!$B$32)/1000+'Inputs'!$B$21)+'Inputs'!$B$9)^2+('Inputs'!$B$8/2)^2)-(((736-43)*MAX('Inputs'!$B$33,'Inputs'!$B$29+'Inputs'!$B$31+'Inputs'!$B$32,'Inputs'!$B$30+'Inputs'!$B$31+'Inputs'!$B$32)/1000+'Inputs'!$B$21))/SQRT((((736-43)*MAX('Inputs'!$B$33,'Inputs'!$B$29+'Inputs'!$B$31+'Inputs'!$B$32,'Inputs'!$B$30+'Inputs'!$B$31+'Inputs'!$B$32)/1000+'Inputs'!$B$21))^2+('Inputs'!$B$8/2)^2)))-'Results'!B7*(0.5*((((736-43)*MAX('Inputs'!$B$33,'Inputs'!$B$29+'Inputs'!$B$31+'Inputs'!$B$32,'Inputs'!$B$30+'Inputs'!$B$31+'Inputs'!$B$32)/1000+'Inputs'!$B$21+'Inputs'!$B$9+'Inputs'!$B$10)+'Inputs'!$B$7)/SQRT((((736-43)*MAX('Inputs'!$B$33,'Inputs'!$B$29+'Inputs'!$B$31+'Inputs'!$B$32,'Inputs'!$B$30+'Inputs'!$B$31+'Inputs'!$B$32)/1000+'Inputs'!$B$21+'Inputs'!$B$9+'Inputs'!$B$10)+'Inputs'!$B$7)^2+('Inputs'!$B$6/2)^2)-(((736-43)*MAX('Inputs'!$B$33,'Inputs'!$B$29+'Inputs'!$B$31+'Inputs'!$B$32,'Inputs'!$B$30+'Inputs'!$B$31+'Inputs'!$B$32)/1000+'Inputs'!$B$21+'Inputs'!$B$9+'Inputs'!$B$10))/SQRT((((736-43)*MAX('Inputs'!$B$33,'Inputs'!$B$29+'Inputs'!$B$31+'Inputs'!$B$32,'Inputs'!$B$30+'Inputs'!$B$31+'Inputs'!$B$32)/1000+'Inputs'!$B$21+'Inputs'!$B$9+'Inputs'!$B$10))^2+('Inputs'!$B$6/2)^2))))*'Results'!$B$8),"")</x:f>
        <x:v>1.220849155026525</x:v>
      </x:c>
      <x:c r="N736" t="n">
        <x:f>IF(AND(ISNUMBER('Results'!C7),ISNUMBER('Results'!B7),ISNUMBER('Results'!$B$8),ISNUMBER('Inputs'!$B$6),ISNUMBER('Inputs'!$B$7),ISNUMBER('Inputs'!$B$8),ISNUMBER('Inputs'!$B$9),ISNUMBER('Inputs'!$B$10),ISNUMBER('Inputs'!$B$21),ISNUMBER('Inputs'!$B$24),ISNUMBER('Inputs'!$B$28)),((('Results'!C7*(1-'Inputs'!$B$24)*(0.5*((((736-43)*MAX('Inputs'!$B$33,'Inputs'!$B$29+'Inputs'!$B$31+'Inputs'!$B$32,'Inputs'!$B$30+'Inputs'!$B$31+'Inputs'!$B$32)/1000+'Inputs'!$B$21)+'Inputs'!$B$9)/SQRT((((736-43)*MAX('Inputs'!$B$33,'Inputs'!$B$29+'Inputs'!$B$31+'Inputs'!$B$32,'Inputs'!$B$30+'Inputs'!$B$31+'Inputs'!$B$32)/1000+'Inputs'!$B$21)+'Inputs'!$B$9)^2+('Inputs'!$B$8/2)^2)-(((736-43)*MAX('Inputs'!$B$33,'Inputs'!$B$29+'Inputs'!$B$31+'Inputs'!$B$32,'Inputs'!$B$30+'Inputs'!$B$31+'Inputs'!$B$32)/1000+'Inputs'!$B$21))/SQRT((((736-43)*MAX('Inputs'!$B$33,'Inputs'!$B$29+'Inputs'!$B$31+'Inputs'!$B$32,'Inputs'!$B$30+'Inputs'!$B$31+'Inputs'!$B$32)/1000+'Inputs'!$B$21))^2+('Inputs'!$B$8/2)^2)))-'Results'!B7*(1+'Inputs'!$B$24)*(0.5*((((736-43)*MAX('Inputs'!$B$33,'Inputs'!$B$29+'Inputs'!$B$31+'Inputs'!$B$32,'Inputs'!$B$30+'Inputs'!$B$31+'Inputs'!$B$32)/1000+'Inputs'!$B$21+'Inputs'!$B$9+'Inputs'!$B$10)+'Inputs'!$B$7)/SQRT((((736-43)*MAX('Inputs'!$B$33,'Inputs'!$B$29+'Inputs'!$B$31+'Inputs'!$B$32,'Inputs'!$B$30+'Inputs'!$B$31+'Inputs'!$B$32)/1000+'Inputs'!$B$21+'Inputs'!$B$9+'Inputs'!$B$10)+'Inputs'!$B$7)^2+('Inputs'!$B$6/2)^2)-(((736-43)*MAX('Inputs'!$B$33,'Inputs'!$B$29+'Inputs'!$B$31+'Inputs'!$B$32,'Inputs'!$B$30+'Inputs'!$B$31+'Inputs'!$B$32)/1000+'Inputs'!$B$21+'Inputs'!$B$9+'Inputs'!$B$10))/SQRT((((736-43)*MAX('Inputs'!$B$33,'Inputs'!$B$29+'Inputs'!$B$31+'Inputs'!$B$32,'Inputs'!$B$30+'Inputs'!$B$31+'Inputs'!$B$32)/1000+'Inputs'!$B$21+'Inputs'!$B$9+'Inputs'!$B$10))^2+('Inputs'!$B$6/2)^2))))*'Results'!$B$8)-'Inputs'!$B$28*ABS((('Results'!C7*(1-'Inputs'!$B$24)*(0.5*((((736-43)*MAX('Inputs'!$B$33,'Inputs'!$B$29+'Inputs'!$B$31+'Inputs'!$B$32,'Inputs'!$B$30+'Inputs'!$B$31+'Inputs'!$B$32)/1000+'Inputs'!$B$21)+'Inputs'!$B$9)/SQRT((((736-43)*MAX('Inputs'!$B$33,'Inputs'!$B$29+'Inputs'!$B$31+'Inputs'!$B$32,'Inputs'!$B$30+'Inputs'!$B$31+'Inputs'!$B$32)/1000+'Inputs'!$B$21)+'Inputs'!$B$9)^2+('Inputs'!$B$8/2)^2)-(((736-43)*MAX('Inputs'!$B$33,'Inputs'!$B$29+'Inputs'!$B$31+'Inputs'!$B$32,'Inputs'!$B$30+'Inputs'!$B$31+'Inputs'!$B$32)/1000+'Inputs'!$B$21))/SQRT((((736-43)*MAX('Inputs'!$B$33,'Inputs'!$B$29+'Inputs'!$B$31+'Inputs'!$B$32,'Inputs'!$B$30+'Inputs'!$B$31+'Inputs'!$B$32)/1000+'Inputs'!$B$21))^2+('Inputs'!$B$8/2)^2)))-'Results'!B7*(1+'Inputs'!$B$24)*(0.5*((((736-43)*MAX('Inputs'!$B$33,'Inputs'!$B$29+'Inputs'!$B$31+'Inputs'!$B$32,'Inputs'!$B$30+'Inputs'!$B$31+'Inputs'!$B$32)/1000+'Inputs'!$B$21+'Inputs'!$B$9+'Inputs'!$B$10)+'Inputs'!$B$7)/SQRT((((736-43)*MAX('Inputs'!$B$33,'Inputs'!$B$29+'Inputs'!$B$31+'Inputs'!$B$32,'Inputs'!$B$30+'Inputs'!$B$31+'Inputs'!$B$32)/1000+'Inputs'!$B$21+'Inputs'!$B$9+'Inputs'!$B$10)+'Inputs'!$B$7)^2+('Inputs'!$B$6/2)^2)-(((736-43)*MAX('Inputs'!$B$33,'Inputs'!$B$29+'Inputs'!$B$31+'Inputs'!$B$32,'Inputs'!$B$30+'Inputs'!$B$31+'Inputs'!$B$32)/1000+'Inputs'!$B$21+'Inputs'!$B$9+'Inputs'!$B$10))/SQRT((((736-43)*MAX('Inputs'!$B$33,'Inputs'!$B$29+'Inputs'!$B$31+'Inputs'!$B$32,'Inputs'!$B$30+'Inputs'!$B$31+'Inputs'!$B$32)/1000+'Inputs'!$B$21+'Inputs'!$B$9+'Inputs'!$B$10))^2+('Inputs'!$B$6/2)^2))))*'Results'!$B$8))),"")</x:f>
        <x:v>1.048498180215269</x:v>
      </x:c>
      <x:c r="O736" t="n">
        <x:f>IF(AND(ISNUMBER('Results'!C7),ISNUMBER('Results'!B7),ISNUMBER('Results'!$B$8),ISNUMBER('Inputs'!$B$6),ISNUMBER('Inputs'!$B$7),ISNUMBER('Inputs'!$B$8),ISNUMBER('Inputs'!$B$9),ISNUMBER('Inputs'!$B$10),ISNUMBER('Inputs'!$B$21),ISNUMBER('Inputs'!$B$24),ISNUMBER('Inputs'!$B$28)),((('Results'!C7*(1+'Inputs'!$B$24)*(0.5*((((736-43)*MAX('Inputs'!$B$33,'Inputs'!$B$29+'Inputs'!$B$31+'Inputs'!$B$32,'Inputs'!$B$30+'Inputs'!$B$31+'Inputs'!$B$32)/1000+'Inputs'!$B$21)+'Inputs'!$B$9)/SQRT((((736-43)*MAX('Inputs'!$B$33,'Inputs'!$B$29+'Inputs'!$B$31+'Inputs'!$B$32,'Inputs'!$B$30+'Inputs'!$B$31+'Inputs'!$B$32)/1000+'Inputs'!$B$21)+'Inputs'!$B$9)^2+('Inputs'!$B$8/2)^2)-(((736-43)*MAX('Inputs'!$B$33,'Inputs'!$B$29+'Inputs'!$B$31+'Inputs'!$B$32,'Inputs'!$B$30+'Inputs'!$B$31+'Inputs'!$B$32)/1000+'Inputs'!$B$21))/SQRT((((736-43)*MAX('Inputs'!$B$33,'Inputs'!$B$29+'Inputs'!$B$31+'Inputs'!$B$32,'Inputs'!$B$30+'Inputs'!$B$31+'Inputs'!$B$32)/1000+'Inputs'!$B$21))^2+('Inputs'!$B$8/2)^2)))-'Results'!B7*(1-'Inputs'!$B$24)*(0.5*((((736-43)*MAX('Inputs'!$B$33,'Inputs'!$B$29+'Inputs'!$B$31+'Inputs'!$B$32,'Inputs'!$B$30+'Inputs'!$B$31+'Inputs'!$B$32)/1000+'Inputs'!$B$21+'Inputs'!$B$9+'Inputs'!$B$10)+'Inputs'!$B$7)/SQRT((((736-43)*MAX('Inputs'!$B$33,'Inputs'!$B$29+'Inputs'!$B$31+'Inputs'!$B$32,'Inputs'!$B$30+'Inputs'!$B$31+'Inputs'!$B$32)/1000+'Inputs'!$B$21+'Inputs'!$B$9+'Inputs'!$B$10)+'Inputs'!$B$7)^2+('Inputs'!$B$6/2)^2)-(((736-43)*MAX('Inputs'!$B$33,'Inputs'!$B$29+'Inputs'!$B$31+'Inputs'!$B$32,'Inputs'!$B$30+'Inputs'!$B$31+'Inputs'!$B$32)/1000+'Inputs'!$B$21+'Inputs'!$B$9+'Inputs'!$B$10))/SQRT((((736-43)*MAX('Inputs'!$B$33,'Inputs'!$B$29+'Inputs'!$B$31+'Inputs'!$B$32,'Inputs'!$B$30+'Inputs'!$B$31+'Inputs'!$B$32)/1000+'Inputs'!$B$21+'Inputs'!$B$9+'Inputs'!$B$10))^2+('Inputs'!$B$6/2)^2))))*'Results'!$B$8)+'Inputs'!$B$28*ABS((('Results'!C7*(1+'Inputs'!$B$24)*(0.5*((((736-43)*MAX('Inputs'!$B$33,'Inputs'!$B$29+'Inputs'!$B$31+'Inputs'!$B$32,'Inputs'!$B$30+'Inputs'!$B$31+'Inputs'!$B$32)/1000+'Inputs'!$B$21)+'Inputs'!$B$9)/SQRT((((736-43)*MAX('Inputs'!$B$33,'Inputs'!$B$29+'Inputs'!$B$31+'Inputs'!$B$32,'Inputs'!$B$30+'Inputs'!$B$31+'Inputs'!$B$32)/1000+'Inputs'!$B$21)+'Inputs'!$B$9)^2+('Inputs'!$B$8/2)^2)-(((736-43)*MAX('Inputs'!$B$33,'Inputs'!$B$29+'Inputs'!$B$31+'Inputs'!$B$32,'Inputs'!$B$30+'Inputs'!$B$31+'Inputs'!$B$32)/1000+'Inputs'!$B$21))/SQRT((((736-43)*MAX('Inputs'!$B$33,'Inputs'!$B$29+'Inputs'!$B$31+'Inputs'!$B$32,'Inputs'!$B$30+'Inputs'!$B$31+'Inputs'!$B$32)/1000+'Inputs'!$B$21))^2+('Inputs'!$B$8/2)^2)))-'Results'!B7*(1-'Inputs'!$B$24)*(0.5*((((736-43)*MAX('Inputs'!$B$33,'Inputs'!$B$29+'Inputs'!$B$31+'Inputs'!$B$32,'Inputs'!$B$30+'Inputs'!$B$31+'Inputs'!$B$32)/1000+'Inputs'!$B$21+'Inputs'!$B$9+'Inputs'!$B$10)+'Inputs'!$B$7)/SQRT((((736-43)*MAX('Inputs'!$B$33,'Inputs'!$B$29+'Inputs'!$B$31+'Inputs'!$B$32,'Inputs'!$B$30+'Inputs'!$B$31+'Inputs'!$B$32)/1000+'Inputs'!$B$21+'Inputs'!$B$9+'Inputs'!$B$10)+'Inputs'!$B$7)^2+('Inputs'!$B$6/2)^2)-(((736-43)*MAX('Inputs'!$B$33,'Inputs'!$B$29+'Inputs'!$B$31+'Inputs'!$B$32,'Inputs'!$B$30+'Inputs'!$B$31+'Inputs'!$B$32)/1000+'Inputs'!$B$21+'Inputs'!$B$9+'Inputs'!$B$10))/SQRT((((736-43)*MAX('Inputs'!$B$33,'Inputs'!$B$29+'Inputs'!$B$31+'Inputs'!$B$32,'Inputs'!$B$30+'Inputs'!$B$31+'Inputs'!$B$32)/1000+'Inputs'!$B$21+'Inputs'!$B$9+'Inputs'!$B$10))^2+('Inputs'!$B$6/2)^2))))*'Results'!$B$8))),"")</x:f>
        <x:v>1.4049168158440895</x:v>
      </x:c>
      <x:c r="P736" t="n">
        <x:f>IF(AND(MAX(J736,J735)&gt;0,J736&gt;J735+0.00000001),1,0)</x:f>
        <x:v>0</x:v>
      </x:c>
      <x:c r="Q736" t="n">
        <x:f>IF(AND(MAX(K736,K735)&gt;0,K736&gt;K735+0.00000001),1,0)</x:f>
        <x:v>0</x:v>
      </x:c>
      <x:c r="R736" t="n">
        <x:f>IF(AND(MAX(L736,L735)&gt;0,L736&gt;L735+0.00000001),1,0)</x:f>
        <x:v>0</x:v>
      </x:c>
      <x:c r="S736" t="n">
        <x:f>IF(AND(MAX(M736,M735)&gt;0,M736&gt;M735+0.00000001),1,0)</x:f>
        <x:v>0</x:v>
      </x:c>
      <x:c r="T736" t="n">
        <x:f>IF(AND(MAX(N736,N735)&gt;0,N736&gt;N735+0.00000001),1,0)</x:f>
        <x:v>0</x:v>
      </x:c>
      <x:c r="U736" t="n">
        <x:f>IF(AND(MAX(O736,O735)&gt;0,O736&gt;O735+0.00000001),1,0)</x:f>
        <x:v>0</x:v>
      </x:c>
    </x:row>
    <x:row r="737">
      <x:c r="J737" t="n">
        <x:f>IF(AND(ISNUMBER('Results'!B7),ISNUMBER('Results'!C7),ISNUMBER('Results'!$B$8),ISNUMBER('Inputs'!$B$6),ISNUMBER('Inputs'!$B$7),ISNUMBER('Inputs'!$B$8),ISNUMBER('Inputs'!$B$9),ISNUMBER('Inputs'!$B$10),ISNUMBER('Inputs'!$B$21),ISNUMBER('Inputs'!$B$24),ISNUMBER('Inputs'!$B$28)),(('Results'!B7*(0.5*((((737-43)*MAX('Inputs'!$B$33,'Inputs'!$B$29+'Inputs'!$B$31+'Inputs'!$B$32,'Inputs'!$B$30+'Inputs'!$B$31+'Inputs'!$B$32)/1000+'Inputs'!$B$21)+'Inputs'!$B$7)/SQRT((((737-43)*MAX('Inputs'!$B$33,'Inputs'!$B$29+'Inputs'!$B$31+'Inputs'!$B$32,'Inputs'!$B$30+'Inputs'!$B$31+'Inputs'!$B$32)/1000+'Inputs'!$B$21)+'Inputs'!$B$7)^2+('Inputs'!$B$6/2)^2)-(((737-43)*MAX('Inputs'!$B$33,'Inputs'!$B$29+'Inputs'!$B$31+'Inputs'!$B$32,'Inputs'!$B$30+'Inputs'!$B$31+'Inputs'!$B$32)/1000+'Inputs'!$B$21))/SQRT((((737-43)*MAX('Inputs'!$B$33,'Inputs'!$B$29+'Inputs'!$B$31+'Inputs'!$B$32,'Inputs'!$B$30+'Inputs'!$B$31+'Inputs'!$B$32)/1000+'Inputs'!$B$21))^2+('Inputs'!$B$6/2)^2)))-'Results'!C7*(0.5*((((737-43)*MAX('Inputs'!$B$33,'Inputs'!$B$29+'Inputs'!$B$31+'Inputs'!$B$32,'Inputs'!$B$30+'Inputs'!$B$31+'Inputs'!$B$32)/1000+'Inputs'!$B$21+'Inputs'!$B$7+'Inputs'!$B$10)+'Inputs'!$B$9)/SQRT((((737-43)*MAX('Inputs'!$B$33,'Inputs'!$B$29+'Inputs'!$B$31+'Inputs'!$B$32,'Inputs'!$B$30+'Inputs'!$B$31+'Inputs'!$B$32)/1000+'Inputs'!$B$21+'Inputs'!$B$7+'Inputs'!$B$10)+'Inputs'!$B$9)^2+('Inputs'!$B$8/2)^2)-(((737-43)*MAX('Inputs'!$B$33,'Inputs'!$B$29+'Inputs'!$B$31+'Inputs'!$B$32,'Inputs'!$B$30+'Inputs'!$B$31+'Inputs'!$B$32)/1000+'Inputs'!$B$21+'Inputs'!$B$7+'Inputs'!$B$10))/SQRT((((737-43)*MAX('Inputs'!$B$33,'Inputs'!$B$29+'Inputs'!$B$31+'Inputs'!$B$32,'Inputs'!$B$30+'Inputs'!$B$31+'Inputs'!$B$32)/1000+'Inputs'!$B$21+'Inputs'!$B$7+'Inputs'!$B$10))^2+('Inputs'!$B$8/2)^2))))*'Results'!$B$8),"")</x:f>
        <x:v>1.33262249706417</x:v>
      </x:c>
      <x:c r="K737" t="n">
        <x:f>IF(AND(ISNUMBER('Results'!B7),ISNUMBER('Results'!C7),ISNUMBER('Results'!$B$8),ISNUMBER('Inputs'!$B$6),ISNUMBER('Inputs'!$B$7),ISNUMBER('Inputs'!$B$8),ISNUMBER('Inputs'!$B$9),ISNUMBER('Inputs'!$B$10),ISNUMBER('Inputs'!$B$21),ISNUMBER('Inputs'!$B$24),ISNUMBER('Inputs'!$B$28)),((('Results'!B7*(1-'Inputs'!$B$24)*(0.5*((((737-43)*MAX('Inputs'!$B$33,'Inputs'!$B$29+'Inputs'!$B$31+'Inputs'!$B$32,'Inputs'!$B$30+'Inputs'!$B$31+'Inputs'!$B$32)/1000+'Inputs'!$B$21)+'Inputs'!$B$7)/SQRT((((737-43)*MAX('Inputs'!$B$33,'Inputs'!$B$29+'Inputs'!$B$31+'Inputs'!$B$32,'Inputs'!$B$30+'Inputs'!$B$31+'Inputs'!$B$32)/1000+'Inputs'!$B$21)+'Inputs'!$B$7)^2+('Inputs'!$B$6/2)^2)-(((737-43)*MAX('Inputs'!$B$33,'Inputs'!$B$29+'Inputs'!$B$31+'Inputs'!$B$32,'Inputs'!$B$30+'Inputs'!$B$31+'Inputs'!$B$32)/1000+'Inputs'!$B$21))/SQRT((((737-43)*MAX('Inputs'!$B$33,'Inputs'!$B$29+'Inputs'!$B$31+'Inputs'!$B$32,'Inputs'!$B$30+'Inputs'!$B$31+'Inputs'!$B$32)/1000+'Inputs'!$B$21))^2+('Inputs'!$B$6/2)^2)))-'Results'!C7*(1+'Inputs'!$B$24)*(0.5*((((737-43)*MAX('Inputs'!$B$33,'Inputs'!$B$29+'Inputs'!$B$31+'Inputs'!$B$32,'Inputs'!$B$30+'Inputs'!$B$31+'Inputs'!$B$32)/1000+'Inputs'!$B$21+'Inputs'!$B$7+'Inputs'!$B$10)+'Inputs'!$B$9)/SQRT((((737-43)*MAX('Inputs'!$B$33,'Inputs'!$B$29+'Inputs'!$B$31+'Inputs'!$B$32,'Inputs'!$B$30+'Inputs'!$B$31+'Inputs'!$B$32)/1000+'Inputs'!$B$21+'Inputs'!$B$7+'Inputs'!$B$10)+'Inputs'!$B$9)^2+('Inputs'!$B$8/2)^2)-(((737-43)*MAX('Inputs'!$B$33,'Inputs'!$B$29+'Inputs'!$B$31+'Inputs'!$B$32,'Inputs'!$B$30+'Inputs'!$B$31+'Inputs'!$B$32)/1000+'Inputs'!$B$21+'Inputs'!$B$7+'Inputs'!$B$10))/SQRT((((737-43)*MAX('Inputs'!$B$33,'Inputs'!$B$29+'Inputs'!$B$31+'Inputs'!$B$32,'Inputs'!$B$30+'Inputs'!$B$31+'Inputs'!$B$32)/1000+'Inputs'!$B$21+'Inputs'!$B$7+'Inputs'!$B$10))^2+('Inputs'!$B$8/2)^2))))*'Results'!$B$8)-'Inputs'!$B$28*ABS((('Results'!B7*(1-'Inputs'!$B$24)*(0.5*((((737-43)*MAX('Inputs'!$B$33,'Inputs'!$B$29+'Inputs'!$B$31+'Inputs'!$B$32,'Inputs'!$B$30+'Inputs'!$B$31+'Inputs'!$B$32)/1000+'Inputs'!$B$21)+'Inputs'!$B$7)/SQRT((((737-43)*MAX('Inputs'!$B$33,'Inputs'!$B$29+'Inputs'!$B$31+'Inputs'!$B$32,'Inputs'!$B$30+'Inputs'!$B$31+'Inputs'!$B$32)/1000+'Inputs'!$B$21)+'Inputs'!$B$7)^2+('Inputs'!$B$6/2)^2)-(((737-43)*MAX('Inputs'!$B$33,'Inputs'!$B$29+'Inputs'!$B$31+'Inputs'!$B$32,'Inputs'!$B$30+'Inputs'!$B$31+'Inputs'!$B$32)/1000+'Inputs'!$B$21))/SQRT((((737-43)*MAX('Inputs'!$B$33,'Inputs'!$B$29+'Inputs'!$B$31+'Inputs'!$B$32,'Inputs'!$B$30+'Inputs'!$B$31+'Inputs'!$B$32)/1000+'Inputs'!$B$21))^2+('Inputs'!$B$6/2)^2)))-'Results'!C7*(1+'Inputs'!$B$24)*(0.5*((((737-43)*MAX('Inputs'!$B$33,'Inputs'!$B$29+'Inputs'!$B$31+'Inputs'!$B$32,'Inputs'!$B$30+'Inputs'!$B$31+'Inputs'!$B$32)/1000+'Inputs'!$B$21+'Inputs'!$B$7+'Inputs'!$B$10)+'Inputs'!$B$9)/SQRT((((737-43)*MAX('Inputs'!$B$33,'Inputs'!$B$29+'Inputs'!$B$31+'Inputs'!$B$32,'Inputs'!$B$30+'Inputs'!$B$31+'Inputs'!$B$32)/1000+'Inputs'!$B$21+'Inputs'!$B$7+'Inputs'!$B$10)+'Inputs'!$B$9)^2+('Inputs'!$B$8/2)^2)-(((737-43)*MAX('Inputs'!$B$33,'Inputs'!$B$29+'Inputs'!$B$31+'Inputs'!$B$32,'Inputs'!$B$30+'Inputs'!$B$31+'Inputs'!$B$32)/1000+'Inputs'!$B$21+'Inputs'!$B$7+'Inputs'!$B$10))/SQRT((((737-43)*MAX('Inputs'!$B$33,'Inputs'!$B$29+'Inputs'!$B$31+'Inputs'!$B$32,'Inputs'!$B$30+'Inputs'!$B$31+'Inputs'!$B$32)/1000+'Inputs'!$B$21+'Inputs'!$B$7+'Inputs'!$B$10))^2+('Inputs'!$B$8/2)^2))))*'Results'!$B$8))),"")</x:f>
        <x:v>1.1546310850755177</x:v>
      </x:c>
      <x:c r="L737" t="n">
        <x:f>IF(AND(ISNUMBER('Results'!B7),ISNUMBER('Results'!C7),ISNUMBER('Results'!$B$8),ISNUMBER('Inputs'!$B$6),ISNUMBER('Inputs'!$B$7),ISNUMBER('Inputs'!$B$8),ISNUMBER('Inputs'!$B$9),ISNUMBER('Inputs'!$B$10),ISNUMBER('Inputs'!$B$21),ISNUMBER('Inputs'!$B$24),ISNUMBER('Inputs'!$B$28)),((('Results'!B7*(1+'Inputs'!$B$24)*(0.5*((((737-43)*MAX('Inputs'!$B$33,'Inputs'!$B$29+'Inputs'!$B$31+'Inputs'!$B$32,'Inputs'!$B$30+'Inputs'!$B$31+'Inputs'!$B$32)/1000+'Inputs'!$B$21)+'Inputs'!$B$7)/SQRT((((737-43)*MAX('Inputs'!$B$33,'Inputs'!$B$29+'Inputs'!$B$31+'Inputs'!$B$32,'Inputs'!$B$30+'Inputs'!$B$31+'Inputs'!$B$32)/1000+'Inputs'!$B$21)+'Inputs'!$B$7)^2+('Inputs'!$B$6/2)^2)-(((737-43)*MAX('Inputs'!$B$33,'Inputs'!$B$29+'Inputs'!$B$31+'Inputs'!$B$32,'Inputs'!$B$30+'Inputs'!$B$31+'Inputs'!$B$32)/1000+'Inputs'!$B$21))/SQRT((((737-43)*MAX('Inputs'!$B$33,'Inputs'!$B$29+'Inputs'!$B$31+'Inputs'!$B$32,'Inputs'!$B$30+'Inputs'!$B$31+'Inputs'!$B$32)/1000+'Inputs'!$B$21))^2+('Inputs'!$B$6/2)^2)))-'Results'!C7*(1-'Inputs'!$B$24)*(0.5*((((737-43)*MAX('Inputs'!$B$33,'Inputs'!$B$29+'Inputs'!$B$31+'Inputs'!$B$32,'Inputs'!$B$30+'Inputs'!$B$31+'Inputs'!$B$32)/1000+'Inputs'!$B$21+'Inputs'!$B$7+'Inputs'!$B$10)+'Inputs'!$B$9)/SQRT((((737-43)*MAX('Inputs'!$B$33,'Inputs'!$B$29+'Inputs'!$B$31+'Inputs'!$B$32,'Inputs'!$B$30+'Inputs'!$B$31+'Inputs'!$B$32)/1000+'Inputs'!$B$21+'Inputs'!$B$7+'Inputs'!$B$10)+'Inputs'!$B$9)^2+('Inputs'!$B$8/2)^2)-(((737-43)*MAX('Inputs'!$B$33,'Inputs'!$B$29+'Inputs'!$B$31+'Inputs'!$B$32,'Inputs'!$B$30+'Inputs'!$B$31+'Inputs'!$B$32)/1000+'Inputs'!$B$21+'Inputs'!$B$7+'Inputs'!$B$10))/SQRT((((737-43)*MAX('Inputs'!$B$33,'Inputs'!$B$29+'Inputs'!$B$31+'Inputs'!$B$32,'Inputs'!$B$30+'Inputs'!$B$31+'Inputs'!$B$32)/1000+'Inputs'!$B$21+'Inputs'!$B$7+'Inputs'!$B$10))^2+('Inputs'!$B$8/2)^2))))*'Results'!$B$8)+'Inputs'!$B$28*ABS((('Results'!B7*(1+'Inputs'!$B$24)*(0.5*((((737-43)*MAX('Inputs'!$B$33,'Inputs'!$B$29+'Inputs'!$B$31+'Inputs'!$B$32,'Inputs'!$B$30+'Inputs'!$B$31+'Inputs'!$B$32)/1000+'Inputs'!$B$21)+'Inputs'!$B$7)/SQRT((((737-43)*MAX('Inputs'!$B$33,'Inputs'!$B$29+'Inputs'!$B$31+'Inputs'!$B$32,'Inputs'!$B$30+'Inputs'!$B$31+'Inputs'!$B$32)/1000+'Inputs'!$B$21)+'Inputs'!$B$7)^2+('Inputs'!$B$6/2)^2)-(((737-43)*MAX('Inputs'!$B$33,'Inputs'!$B$29+'Inputs'!$B$31+'Inputs'!$B$32,'Inputs'!$B$30+'Inputs'!$B$31+'Inputs'!$B$32)/1000+'Inputs'!$B$21))/SQRT((((737-43)*MAX('Inputs'!$B$33,'Inputs'!$B$29+'Inputs'!$B$31+'Inputs'!$B$32,'Inputs'!$B$30+'Inputs'!$B$31+'Inputs'!$B$32)/1000+'Inputs'!$B$21))^2+('Inputs'!$B$6/2)^2)))-'Results'!C7*(1-'Inputs'!$B$24)*(0.5*((((737-43)*MAX('Inputs'!$B$33,'Inputs'!$B$29+'Inputs'!$B$31+'Inputs'!$B$32,'Inputs'!$B$30+'Inputs'!$B$31+'Inputs'!$B$32)/1000+'Inputs'!$B$21+'Inputs'!$B$7+'Inputs'!$B$10)+'Inputs'!$B$9)/SQRT((((737-43)*MAX('Inputs'!$B$33,'Inputs'!$B$29+'Inputs'!$B$31+'Inputs'!$B$32,'Inputs'!$B$30+'Inputs'!$B$31+'Inputs'!$B$32)/1000+'Inputs'!$B$21+'Inputs'!$B$7+'Inputs'!$B$10)+'Inputs'!$B$9)^2+('Inputs'!$B$8/2)^2)-(((737-43)*MAX('Inputs'!$B$33,'Inputs'!$B$29+'Inputs'!$B$31+'Inputs'!$B$32,'Inputs'!$B$30+'Inputs'!$B$31+'Inputs'!$B$32)/1000+'Inputs'!$B$21+'Inputs'!$B$7+'Inputs'!$B$10))/SQRT((((737-43)*MAX('Inputs'!$B$33,'Inputs'!$B$29+'Inputs'!$B$31+'Inputs'!$B$32,'Inputs'!$B$30+'Inputs'!$B$31+'Inputs'!$B$32)/1000+'Inputs'!$B$21+'Inputs'!$B$7+'Inputs'!$B$10))^2+('Inputs'!$B$8/2)^2))))*'Results'!$B$8))),"")</x:f>
        <x:v>1.5223360445407637</x:v>
      </x:c>
      <x:c r="M737" t="n">
        <x:f>IF(AND(ISNUMBER('Results'!C7),ISNUMBER('Results'!B7),ISNUMBER('Results'!$B$8),ISNUMBER('Inputs'!$B$6),ISNUMBER('Inputs'!$B$7),ISNUMBER('Inputs'!$B$8),ISNUMBER('Inputs'!$B$9),ISNUMBER('Inputs'!$B$10),ISNUMBER('Inputs'!$B$21),ISNUMBER('Inputs'!$B$24),ISNUMBER('Inputs'!$B$28)),(('Results'!C7*(0.5*((((737-43)*MAX('Inputs'!$B$33,'Inputs'!$B$29+'Inputs'!$B$31+'Inputs'!$B$32,'Inputs'!$B$30+'Inputs'!$B$31+'Inputs'!$B$32)/1000+'Inputs'!$B$21)+'Inputs'!$B$9)/SQRT((((737-43)*MAX('Inputs'!$B$33,'Inputs'!$B$29+'Inputs'!$B$31+'Inputs'!$B$32,'Inputs'!$B$30+'Inputs'!$B$31+'Inputs'!$B$32)/1000+'Inputs'!$B$21)+'Inputs'!$B$9)^2+('Inputs'!$B$8/2)^2)-(((737-43)*MAX('Inputs'!$B$33,'Inputs'!$B$29+'Inputs'!$B$31+'Inputs'!$B$32,'Inputs'!$B$30+'Inputs'!$B$31+'Inputs'!$B$32)/1000+'Inputs'!$B$21))/SQRT((((737-43)*MAX('Inputs'!$B$33,'Inputs'!$B$29+'Inputs'!$B$31+'Inputs'!$B$32,'Inputs'!$B$30+'Inputs'!$B$31+'Inputs'!$B$32)/1000+'Inputs'!$B$21))^2+('Inputs'!$B$8/2)^2)))-'Results'!B7*(0.5*((((737-43)*MAX('Inputs'!$B$33,'Inputs'!$B$29+'Inputs'!$B$31+'Inputs'!$B$32,'Inputs'!$B$30+'Inputs'!$B$31+'Inputs'!$B$32)/1000+'Inputs'!$B$21+'Inputs'!$B$9+'Inputs'!$B$10)+'Inputs'!$B$7)/SQRT((((737-43)*MAX('Inputs'!$B$33,'Inputs'!$B$29+'Inputs'!$B$31+'Inputs'!$B$32,'Inputs'!$B$30+'Inputs'!$B$31+'Inputs'!$B$32)/1000+'Inputs'!$B$21+'Inputs'!$B$9+'Inputs'!$B$10)+'Inputs'!$B$7)^2+('Inputs'!$B$6/2)^2)-(((737-43)*MAX('Inputs'!$B$33,'Inputs'!$B$29+'Inputs'!$B$31+'Inputs'!$B$32,'Inputs'!$B$30+'Inputs'!$B$31+'Inputs'!$B$32)/1000+'Inputs'!$B$21+'Inputs'!$B$9+'Inputs'!$B$10))/SQRT((((737-43)*MAX('Inputs'!$B$33,'Inputs'!$B$29+'Inputs'!$B$31+'Inputs'!$B$32,'Inputs'!$B$30+'Inputs'!$B$31+'Inputs'!$B$32)/1000+'Inputs'!$B$21+'Inputs'!$B$9+'Inputs'!$B$10))^2+('Inputs'!$B$6/2)^2))))*'Results'!$B$8),"")</x:f>
        <x:v>1.214476969685387</x:v>
      </x:c>
      <x:c r="N737" t="n">
        <x:f>IF(AND(ISNUMBER('Results'!C7),ISNUMBER('Results'!B7),ISNUMBER('Results'!$B$8),ISNUMBER('Inputs'!$B$6),ISNUMBER('Inputs'!$B$7),ISNUMBER('Inputs'!$B$8),ISNUMBER('Inputs'!$B$9),ISNUMBER('Inputs'!$B$10),ISNUMBER('Inputs'!$B$21),ISNUMBER('Inputs'!$B$24),ISNUMBER('Inputs'!$B$28)),((('Results'!C7*(1-'Inputs'!$B$24)*(0.5*((((737-43)*MAX('Inputs'!$B$33,'Inputs'!$B$29+'Inputs'!$B$31+'Inputs'!$B$32,'Inputs'!$B$30+'Inputs'!$B$31+'Inputs'!$B$32)/1000+'Inputs'!$B$21)+'Inputs'!$B$9)/SQRT((((737-43)*MAX('Inputs'!$B$33,'Inputs'!$B$29+'Inputs'!$B$31+'Inputs'!$B$32,'Inputs'!$B$30+'Inputs'!$B$31+'Inputs'!$B$32)/1000+'Inputs'!$B$21)+'Inputs'!$B$9)^2+('Inputs'!$B$8/2)^2)-(((737-43)*MAX('Inputs'!$B$33,'Inputs'!$B$29+'Inputs'!$B$31+'Inputs'!$B$32,'Inputs'!$B$30+'Inputs'!$B$31+'Inputs'!$B$32)/1000+'Inputs'!$B$21))/SQRT((((737-43)*MAX('Inputs'!$B$33,'Inputs'!$B$29+'Inputs'!$B$31+'Inputs'!$B$32,'Inputs'!$B$30+'Inputs'!$B$31+'Inputs'!$B$32)/1000+'Inputs'!$B$21))^2+('Inputs'!$B$8/2)^2)))-'Results'!B7*(1+'Inputs'!$B$24)*(0.5*((((737-43)*MAX('Inputs'!$B$33,'Inputs'!$B$29+'Inputs'!$B$31+'Inputs'!$B$32,'Inputs'!$B$30+'Inputs'!$B$31+'Inputs'!$B$32)/1000+'Inputs'!$B$21+'Inputs'!$B$9+'Inputs'!$B$10)+'Inputs'!$B$7)/SQRT((((737-43)*MAX('Inputs'!$B$33,'Inputs'!$B$29+'Inputs'!$B$31+'Inputs'!$B$32,'Inputs'!$B$30+'Inputs'!$B$31+'Inputs'!$B$32)/1000+'Inputs'!$B$21+'Inputs'!$B$9+'Inputs'!$B$10)+'Inputs'!$B$7)^2+('Inputs'!$B$6/2)^2)-(((737-43)*MAX('Inputs'!$B$33,'Inputs'!$B$29+'Inputs'!$B$31+'Inputs'!$B$32,'Inputs'!$B$30+'Inputs'!$B$31+'Inputs'!$B$32)/1000+'Inputs'!$B$21+'Inputs'!$B$9+'Inputs'!$B$10))/SQRT((((737-43)*MAX('Inputs'!$B$33,'Inputs'!$B$29+'Inputs'!$B$31+'Inputs'!$B$32,'Inputs'!$B$30+'Inputs'!$B$31+'Inputs'!$B$32)/1000+'Inputs'!$B$21+'Inputs'!$B$9+'Inputs'!$B$10))^2+('Inputs'!$B$6/2)^2))))*'Results'!$B$8)-'Inputs'!$B$28*ABS((('Results'!C7*(1-'Inputs'!$B$24)*(0.5*((((737-43)*MAX('Inputs'!$B$33,'Inputs'!$B$29+'Inputs'!$B$31+'Inputs'!$B$32,'Inputs'!$B$30+'Inputs'!$B$31+'Inputs'!$B$32)/1000+'Inputs'!$B$21)+'Inputs'!$B$9)/SQRT((((737-43)*MAX('Inputs'!$B$33,'Inputs'!$B$29+'Inputs'!$B$31+'Inputs'!$B$32,'Inputs'!$B$30+'Inputs'!$B$31+'Inputs'!$B$32)/1000+'Inputs'!$B$21)+'Inputs'!$B$9)^2+('Inputs'!$B$8/2)^2)-(((737-43)*MAX('Inputs'!$B$33,'Inputs'!$B$29+'Inputs'!$B$31+'Inputs'!$B$32,'Inputs'!$B$30+'Inputs'!$B$31+'Inputs'!$B$32)/1000+'Inputs'!$B$21))/SQRT((((737-43)*MAX('Inputs'!$B$33,'Inputs'!$B$29+'Inputs'!$B$31+'Inputs'!$B$32,'Inputs'!$B$30+'Inputs'!$B$31+'Inputs'!$B$32)/1000+'Inputs'!$B$21))^2+('Inputs'!$B$8/2)^2)))-'Results'!B7*(1+'Inputs'!$B$24)*(0.5*((((737-43)*MAX('Inputs'!$B$33,'Inputs'!$B$29+'Inputs'!$B$31+'Inputs'!$B$32,'Inputs'!$B$30+'Inputs'!$B$31+'Inputs'!$B$32)/1000+'Inputs'!$B$21+'Inputs'!$B$9+'Inputs'!$B$10)+'Inputs'!$B$7)/SQRT((((737-43)*MAX('Inputs'!$B$33,'Inputs'!$B$29+'Inputs'!$B$31+'Inputs'!$B$32,'Inputs'!$B$30+'Inputs'!$B$31+'Inputs'!$B$32)/1000+'Inputs'!$B$21+'Inputs'!$B$9+'Inputs'!$B$10)+'Inputs'!$B$7)^2+('Inputs'!$B$6/2)^2)-(((737-43)*MAX('Inputs'!$B$33,'Inputs'!$B$29+'Inputs'!$B$31+'Inputs'!$B$32,'Inputs'!$B$30+'Inputs'!$B$31+'Inputs'!$B$32)/1000+'Inputs'!$B$21+'Inputs'!$B$9+'Inputs'!$B$10))/SQRT((((737-43)*MAX('Inputs'!$B$33,'Inputs'!$B$29+'Inputs'!$B$31+'Inputs'!$B$32,'Inputs'!$B$30+'Inputs'!$B$31+'Inputs'!$B$32)/1000+'Inputs'!$B$21+'Inputs'!$B$9+'Inputs'!$B$10))^2+('Inputs'!$B$6/2)^2))))*'Results'!$B$8))),"")</x:f>
        <x:v>1.0428816713370705</x:v>
      </x:c>
      <x:c r="O737" t="n">
        <x:f>IF(AND(ISNUMBER('Results'!C7),ISNUMBER('Results'!B7),ISNUMBER('Results'!$B$8),ISNUMBER('Inputs'!$B$6),ISNUMBER('Inputs'!$B$7),ISNUMBER('Inputs'!$B$8),ISNUMBER('Inputs'!$B$9),ISNUMBER('Inputs'!$B$10),ISNUMBER('Inputs'!$B$21),ISNUMBER('Inputs'!$B$24),ISNUMBER('Inputs'!$B$28)),((('Results'!C7*(1+'Inputs'!$B$24)*(0.5*((((737-43)*MAX('Inputs'!$B$33,'Inputs'!$B$29+'Inputs'!$B$31+'Inputs'!$B$32,'Inputs'!$B$30+'Inputs'!$B$31+'Inputs'!$B$32)/1000+'Inputs'!$B$21)+'Inputs'!$B$9)/SQRT((((737-43)*MAX('Inputs'!$B$33,'Inputs'!$B$29+'Inputs'!$B$31+'Inputs'!$B$32,'Inputs'!$B$30+'Inputs'!$B$31+'Inputs'!$B$32)/1000+'Inputs'!$B$21)+'Inputs'!$B$9)^2+('Inputs'!$B$8/2)^2)-(((737-43)*MAX('Inputs'!$B$33,'Inputs'!$B$29+'Inputs'!$B$31+'Inputs'!$B$32,'Inputs'!$B$30+'Inputs'!$B$31+'Inputs'!$B$32)/1000+'Inputs'!$B$21))/SQRT((((737-43)*MAX('Inputs'!$B$33,'Inputs'!$B$29+'Inputs'!$B$31+'Inputs'!$B$32,'Inputs'!$B$30+'Inputs'!$B$31+'Inputs'!$B$32)/1000+'Inputs'!$B$21))^2+('Inputs'!$B$8/2)^2)))-'Results'!B7*(1-'Inputs'!$B$24)*(0.5*((((737-43)*MAX('Inputs'!$B$33,'Inputs'!$B$29+'Inputs'!$B$31+'Inputs'!$B$32,'Inputs'!$B$30+'Inputs'!$B$31+'Inputs'!$B$32)/1000+'Inputs'!$B$21+'Inputs'!$B$9+'Inputs'!$B$10)+'Inputs'!$B$7)/SQRT((((737-43)*MAX('Inputs'!$B$33,'Inputs'!$B$29+'Inputs'!$B$31+'Inputs'!$B$32,'Inputs'!$B$30+'Inputs'!$B$31+'Inputs'!$B$32)/1000+'Inputs'!$B$21+'Inputs'!$B$9+'Inputs'!$B$10)+'Inputs'!$B$7)^2+('Inputs'!$B$6/2)^2)-(((737-43)*MAX('Inputs'!$B$33,'Inputs'!$B$29+'Inputs'!$B$31+'Inputs'!$B$32,'Inputs'!$B$30+'Inputs'!$B$31+'Inputs'!$B$32)/1000+'Inputs'!$B$21+'Inputs'!$B$9+'Inputs'!$B$10))/SQRT((((737-43)*MAX('Inputs'!$B$33,'Inputs'!$B$29+'Inputs'!$B$31+'Inputs'!$B$32,'Inputs'!$B$30+'Inputs'!$B$31+'Inputs'!$B$32)/1000+'Inputs'!$B$21+'Inputs'!$B$9+'Inputs'!$B$10))^2+('Inputs'!$B$6/2)^2))))*'Results'!$B$8)+'Inputs'!$B$28*ABS((('Results'!C7*(1+'Inputs'!$B$24)*(0.5*((((737-43)*MAX('Inputs'!$B$33,'Inputs'!$B$29+'Inputs'!$B$31+'Inputs'!$B$32,'Inputs'!$B$30+'Inputs'!$B$31+'Inputs'!$B$32)/1000+'Inputs'!$B$21)+'Inputs'!$B$9)/SQRT((((737-43)*MAX('Inputs'!$B$33,'Inputs'!$B$29+'Inputs'!$B$31+'Inputs'!$B$32,'Inputs'!$B$30+'Inputs'!$B$31+'Inputs'!$B$32)/1000+'Inputs'!$B$21)+'Inputs'!$B$9)^2+('Inputs'!$B$8/2)^2)-(((737-43)*MAX('Inputs'!$B$33,'Inputs'!$B$29+'Inputs'!$B$31+'Inputs'!$B$32,'Inputs'!$B$30+'Inputs'!$B$31+'Inputs'!$B$32)/1000+'Inputs'!$B$21))/SQRT((((737-43)*MAX('Inputs'!$B$33,'Inputs'!$B$29+'Inputs'!$B$31+'Inputs'!$B$32,'Inputs'!$B$30+'Inputs'!$B$31+'Inputs'!$B$32)/1000+'Inputs'!$B$21))^2+('Inputs'!$B$8/2)^2)))-'Results'!B7*(1-'Inputs'!$B$24)*(0.5*((((737-43)*MAX('Inputs'!$B$33,'Inputs'!$B$29+'Inputs'!$B$31+'Inputs'!$B$32,'Inputs'!$B$30+'Inputs'!$B$31+'Inputs'!$B$32)/1000+'Inputs'!$B$21+'Inputs'!$B$9+'Inputs'!$B$10)+'Inputs'!$B$7)/SQRT((((737-43)*MAX('Inputs'!$B$33,'Inputs'!$B$29+'Inputs'!$B$31+'Inputs'!$B$32,'Inputs'!$B$30+'Inputs'!$B$31+'Inputs'!$B$32)/1000+'Inputs'!$B$21+'Inputs'!$B$9+'Inputs'!$B$10)+'Inputs'!$B$7)^2+('Inputs'!$B$6/2)^2)-(((737-43)*MAX('Inputs'!$B$33,'Inputs'!$B$29+'Inputs'!$B$31+'Inputs'!$B$32,'Inputs'!$B$30+'Inputs'!$B$31+'Inputs'!$B$32)/1000+'Inputs'!$B$21+'Inputs'!$B$9+'Inputs'!$B$10))/SQRT((((737-43)*MAX('Inputs'!$B$33,'Inputs'!$B$29+'Inputs'!$B$31+'Inputs'!$B$32,'Inputs'!$B$30+'Inputs'!$B$31+'Inputs'!$B$32)/1000+'Inputs'!$B$21+'Inputs'!$B$9+'Inputs'!$B$10))^2+('Inputs'!$B$6/2)^2))))*'Results'!$B$8))),"")</x:f>
        <x:v>1.3977429469667615</x:v>
      </x:c>
      <x:c r="P737" t="n">
        <x:f>IF(AND(MAX(J737,J736)&gt;0,J737&gt;J736+0.00000001),1,0)</x:f>
        <x:v>0</x:v>
      </x:c>
      <x:c r="Q737" t="n">
        <x:f>IF(AND(MAX(K737,K736)&gt;0,K737&gt;K736+0.00000001),1,0)</x:f>
        <x:v>0</x:v>
      </x:c>
      <x:c r="R737" t="n">
        <x:f>IF(AND(MAX(L737,L736)&gt;0,L737&gt;L736+0.00000001),1,0)</x:f>
        <x:v>0</x:v>
      </x:c>
      <x:c r="S737" t="n">
        <x:f>IF(AND(MAX(M737,M736)&gt;0,M737&gt;M736+0.00000001),1,0)</x:f>
        <x:v>0</x:v>
      </x:c>
      <x:c r="T737" t="n">
        <x:f>IF(AND(MAX(N737,N736)&gt;0,N737&gt;N736+0.00000001),1,0)</x:f>
        <x:v>0</x:v>
      </x:c>
      <x:c r="U737" t="n">
        <x:f>IF(AND(MAX(O737,O736)&gt;0,O737&gt;O736+0.00000001),1,0)</x:f>
        <x:v>0</x:v>
      </x:c>
    </x:row>
    <x:row r="738">
      <x:c r="J738" t="n">
        <x:f>IF(AND(ISNUMBER('Results'!B7),ISNUMBER('Results'!C7),ISNUMBER('Results'!$B$8),ISNUMBER('Inputs'!$B$6),ISNUMBER('Inputs'!$B$7),ISNUMBER('Inputs'!$B$8),ISNUMBER('Inputs'!$B$9),ISNUMBER('Inputs'!$B$10),ISNUMBER('Inputs'!$B$21),ISNUMBER('Inputs'!$B$24),ISNUMBER('Inputs'!$B$28)),(('Results'!B7*(0.5*((((738-43)*MAX('Inputs'!$B$33,'Inputs'!$B$29+'Inputs'!$B$31+'Inputs'!$B$32,'Inputs'!$B$30+'Inputs'!$B$31+'Inputs'!$B$32)/1000+'Inputs'!$B$21)+'Inputs'!$B$7)/SQRT((((738-43)*MAX('Inputs'!$B$33,'Inputs'!$B$29+'Inputs'!$B$31+'Inputs'!$B$32,'Inputs'!$B$30+'Inputs'!$B$31+'Inputs'!$B$32)/1000+'Inputs'!$B$21)+'Inputs'!$B$7)^2+('Inputs'!$B$6/2)^2)-(((738-43)*MAX('Inputs'!$B$33,'Inputs'!$B$29+'Inputs'!$B$31+'Inputs'!$B$32,'Inputs'!$B$30+'Inputs'!$B$31+'Inputs'!$B$32)/1000+'Inputs'!$B$21))/SQRT((((738-43)*MAX('Inputs'!$B$33,'Inputs'!$B$29+'Inputs'!$B$31+'Inputs'!$B$32,'Inputs'!$B$30+'Inputs'!$B$31+'Inputs'!$B$32)/1000+'Inputs'!$B$21))^2+('Inputs'!$B$6/2)^2)))-'Results'!C7*(0.5*((((738-43)*MAX('Inputs'!$B$33,'Inputs'!$B$29+'Inputs'!$B$31+'Inputs'!$B$32,'Inputs'!$B$30+'Inputs'!$B$31+'Inputs'!$B$32)/1000+'Inputs'!$B$21+'Inputs'!$B$7+'Inputs'!$B$10)+'Inputs'!$B$9)/SQRT((((738-43)*MAX('Inputs'!$B$33,'Inputs'!$B$29+'Inputs'!$B$31+'Inputs'!$B$32,'Inputs'!$B$30+'Inputs'!$B$31+'Inputs'!$B$32)/1000+'Inputs'!$B$21+'Inputs'!$B$7+'Inputs'!$B$10)+'Inputs'!$B$9)^2+('Inputs'!$B$8/2)^2)-(((738-43)*MAX('Inputs'!$B$33,'Inputs'!$B$29+'Inputs'!$B$31+'Inputs'!$B$32,'Inputs'!$B$30+'Inputs'!$B$31+'Inputs'!$B$32)/1000+'Inputs'!$B$21+'Inputs'!$B$7+'Inputs'!$B$10))/SQRT((((738-43)*MAX('Inputs'!$B$33,'Inputs'!$B$29+'Inputs'!$B$31+'Inputs'!$B$32,'Inputs'!$B$30+'Inputs'!$B$31+'Inputs'!$B$32)/1000+'Inputs'!$B$21+'Inputs'!$B$7+'Inputs'!$B$10))^2+('Inputs'!$B$8/2)^2))))*'Results'!$B$8),"")</x:f>
        <x:v>1.32582797995324</x:v>
      </x:c>
      <x:c r="K738" t="n">
        <x:f>IF(AND(ISNUMBER('Results'!B7),ISNUMBER('Results'!C7),ISNUMBER('Results'!$B$8),ISNUMBER('Inputs'!$B$6),ISNUMBER('Inputs'!$B$7),ISNUMBER('Inputs'!$B$8),ISNUMBER('Inputs'!$B$9),ISNUMBER('Inputs'!$B$10),ISNUMBER('Inputs'!$B$21),ISNUMBER('Inputs'!$B$24),ISNUMBER('Inputs'!$B$28)),((('Results'!B7*(1-'Inputs'!$B$24)*(0.5*((((738-43)*MAX('Inputs'!$B$33,'Inputs'!$B$29+'Inputs'!$B$31+'Inputs'!$B$32,'Inputs'!$B$30+'Inputs'!$B$31+'Inputs'!$B$32)/1000+'Inputs'!$B$21)+'Inputs'!$B$7)/SQRT((((738-43)*MAX('Inputs'!$B$33,'Inputs'!$B$29+'Inputs'!$B$31+'Inputs'!$B$32,'Inputs'!$B$30+'Inputs'!$B$31+'Inputs'!$B$32)/1000+'Inputs'!$B$21)+'Inputs'!$B$7)^2+('Inputs'!$B$6/2)^2)-(((738-43)*MAX('Inputs'!$B$33,'Inputs'!$B$29+'Inputs'!$B$31+'Inputs'!$B$32,'Inputs'!$B$30+'Inputs'!$B$31+'Inputs'!$B$32)/1000+'Inputs'!$B$21))/SQRT((((738-43)*MAX('Inputs'!$B$33,'Inputs'!$B$29+'Inputs'!$B$31+'Inputs'!$B$32,'Inputs'!$B$30+'Inputs'!$B$31+'Inputs'!$B$32)/1000+'Inputs'!$B$21))^2+('Inputs'!$B$6/2)^2)))-'Results'!C7*(1+'Inputs'!$B$24)*(0.5*((((738-43)*MAX('Inputs'!$B$33,'Inputs'!$B$29+'Inputs'!$B$31+'Inputs'!$B$32,'Inputs'!$B$30+'Inputs'!$B$31+'Inputs'!$B$32)/1000+'Inputs'!$B$21+'Inputs'!$B$7+'Inputs'!$B$10)+'Inputs'!$B$9)/SQRT((((738-43)*MAX('Inputs'!$B$33,'Inputs'!$B$29+'Inputs'!$B$31+'Inputs'!$B$32,'Inputs'!$B$30+'Inputs'!$B$31+'Inputs'!$B$32)/1000+'Inputs'!$B$21+'Inputs'!$B$7+'Inputs'!$B$10)+'Inputs'!$B$9)^2+('Inputs'!$B$8/2)^2)-(((738-43)*MAX('Inputs'!$B$33,'Inputs'!$B$29+'Inputs'!$B$31+'Inputs'!$B$32,'Inputs'!$B$30+'Inputs'!$B$31+'Inputs'!$B$32)/1000+'Inputs'!$B$21+'Inputs'!$B$7+'Inputs'!$B$10))/SQRT((((738-43)*MAX('Inputs'!$B$33,'Inputs'!$B$29+'Inputs'!$B$31+'Inputs'!$B$32,'Inputs'!$B$30+'Inputs'!$B$31+'Inputs'!$B$32)/1000+'Inputs'!$B$21+'Inputs'!$B$7+'Inputs'!$B$10))^2+('Inputs'!$B$8/2)^2))))*'Results'!$B$8)-'Inputs'!$B$28*ABS((('Results'!B7*(1-'Inputs'!$B$24)*(0.5*((((738-43)*MAX('Inputs'!$B$33,'Inputs'!$B$29+'Inputs'!$B$31+'Inputs'!$B$32,'Inputs'!$B$30+'Inputs'!$B$31+'Inputs'!$B$32)/1000+'Inputs'!$B$21)+'Inputs'!$B$7)/SQRT((((738-43)*MAX('Inputs'!$B$33,'Inputs'!$B$29+'Inputs'!$B$31+'Inputs'!$B$32,'Inputs'!$B$30+'Inputs'!$B$31+'Inputs'!$B$32)/1000+'Inputs'!$B$21)+'Inputs'!$B$7)^2+('Inputs'!$B$6/2)^2)-(((738-43)*MAX('Inputs'!$B$33,'Inputs'!$B$29+'Inputs'!$B$31+'Inputs'!$B$32,'Inputs'!$B$30+'Inputs'!$B$31+'Inputs'!$B$32)/1000+'Inputs'!$B$21))/SQRT((((738-43)*MAX('Inputs'!$B$33,'Inputs'!$B$29+'Inputs'!$B$31+'Inputs'!$B$32,'Inputs'!$B$30+'Inputs'!$B$31+'Inputs'!$B$32)/1000+'Inputs'!$B$21))^2+('Inputs'!$B$6/2)^2)))-'Results'!C7*(1+'Inputs'!$B$24)*(0.5*((((738-43)*MAX('Inputs'!$B$33,'Inputs'!$B$29+'Inputs'!$B$31+'Inputs'!$B$32,'Inputs'!$B$30+'Inputs'!$B$31+'Inputs'!$B$32)/1000+'Inputs'!$B$21+'Inputs'!$B$7+'Inputs'!$B$10)+'Inputs'!$B$9)/SQRT((((738-43)*MAX('Inputs'!$B$33,'Inputs'!$B$29+'Inputs'!$B$31+'Inputs'!$B$32,'Inputs'!$B$30+'Inputs'!$B$31+'Inputs'!$B$32)/1000+'Inputs'!$B$21+'Inputs'!$B$7+'Inputs'!$B$10)+'Inputs'!$B$9)^2+('Inputs'!$B$8/2)^2)-(((738-43)*MAX('Inputs'!$B$33,'Inputs'!$B$29+'Inputs'!$B$31+'Inputs'!$B$32,'Inputs'!$B$30+'Inputs'!$B$31+'Inputs'!$B$32)/1000+'Inputs'!$B$21+'Inputs'!$B$7+'Inputs'!$B$10))/SQRT((((738-43)*MAX('Inputs'!$B$33,'Inputs'!$B$29+'Inputs'!$B$31+'Inputs'!$B$32,'Inputs'!$B$30+'Inputs'!$B$31+'Inputs'!$B$32)/1000+'Inputs'!$B$21+'Inputs'!$B$7+'Inputs'!$B$10))^2+('Inputs'!$B$8/2)^2))))*'Results'!$B$8))),"")</x:f>
        <x:v>1.1486135895111604</x:v>
      </x:c>
      <x:c r="L738" t="n">
        <x:f>IF(AND(ISNUMBER('Results'!B7),ISNUMBER('Results'!C7),ISNUMBER('Results'!$B$8),ISNUMBER('Inputs'!$B$6),ISNUMBER('Inputs'!$B$7),ISNUMBER('Inputs'!$B$8),ISNUMBER('Inputs'!$B$9),ISNUMBER('Inputs'!$B$10),ISNUMBER('Inputs'!$B$21),ISNUMBER('Inputs'!$B$24),ISNUMBER('Inputs'!$B$28)),((('Results'!B7*(1+'Inputs'!$B$24)*(0.5*((((738-43)*MAX('Inputs'!$B$33,'Inputs'!$B$29+'Inputs'!$B$31+'Inputs'!$B$32,'Inputs'!$B$30+'Inputs'!$B$31+'Inputs'!$B$32)/1000+'Inputs'!$B$21)+'Inputs'!$B$7)/SQRT((((738-43)*MAX('Inputs'!$B$33,'Inputs'!$B$29+'Inputs'!$B$31+'Inputs'!$B$32,'Inputs'!$B$30+'Inputs'!$B$31+'Inputs'!$B$32)/1000+'Inputs'!$B$21)+'Inputs'!$B$7)^2+('Inputs'!$B$6/2)^2)-(((738-43)*MAX('Inputs'!$B$33,'Inputs'!$B$29+'Inputs'!$B$31+'Inputs'!$B$32,'Inputs'!$B$30+'Inputs'!$B$31+'Inputs'!$B$32)/1000+'Inputs'!$B$21))/SQRT((((738-43)*MAX('Inputs'!$B$33,'Inputs'!$B$29+'Inputs'!$B$31+'Inputs'!$B$32,'Inputs'!$B$30+'Inputs'!$B$31+'Inputs'!$B$32)/1000+'Inputs'!$B$21))^2+('Inputs'!$B$6/2)^2)))-'Results'!C7*(1-'Inputs'!$B$24)*(0.5*((((738-43)*MAX('Inputs'!$B$33,'Inputs'!$B$29+'Inputs'!$B$31+'Inputs'!$B$32,'Inputs'!$B$30+'Inputs'!$B$31+'Inputs'!$B$32)/1000+'Inputs'!$B$21+'Inputs'!$B$7+'Inputs'!$B$10)+'Inputs'!$B$9)/SQRT((((738-43)*MAX('Inputs'!$B$33,'Inputs'!$B$29+'Inputs'!$B$31+'Inputs'!$B$32,'Inputs'!$B$30+'Inputs'!$B$31+'Inputs'!$B$32)/1000+'Inputs'!$B$21+'Inputs'!$B$7+'Inputs'!$B$10)+'Inputs'!$B$9)^2+('Inputs'!$B$8/2)^2)-(((738-43)*MAX('Inputs'!$B$33,'Inputs'!$B$29+'Inputs'!$B$31+'Inputs'!$B$32,'Inputs'!$B$30+'Inputs'!$B$31+'Inputs'!$B$32)/1000+'Inputs'!$B$21+'Inputs'!$B$7+'Inputs'!$B$10))/SQRT((((738-43)*MAX('Inputs'!$B$33,'Inputs'!$B$29+'Inputs'!$B$31+'Inputs'!$B$32,'Inputs'!$B$30+'Inputs'!$B$31+'Inputs'!$B$32)/1000+'Inputs'!$B$21+'Inputs'!$B$7+'Inputs'!$B$10))^2+('Inputs'!$B$8/2)^2))))*'Results'!$B$8)+'Inputs'!$B$28*ABS((('Results'!B7*(1+'Inputs'!$B$24)*(0.5*((((738-43)*MAX('Inputs'!$B$33,'Inputs'!$B$29+'Inputs'!$B$31+'Inputs'!$B$32,'Inputs'!$B$30+'Inputs'!$B$31+'Inputs'!$B$32)/1000+'Inputs'!$B$21)+'Inputs'!$B$7)/SQRT((((738-43)*MAX('Inputs'!$B$33,'Inputs'!$B$29+'Inputs'!$B$31+'Inputs'!$B$32,'Inputs'!$B$30+'Inputs'!$B$31+'Inputs'!$B$32)/1000+'Inputs'!$B$21)+'Inputs'!$B$7)^2+('Inputs'!$B$6/2)^2)-(((738-43)*MAX('Inputs'!$B$33,'Inputs'!$B$29+'Inputs'!$B$31+'Inputs'!$B$32,'Inputs'!$B$30+'Inputs'!$B$31+'Inputs'!$B$32)/1000+'Inputs'!$B$21))/SQRT((((738-43)*MAX('Inputs'!$B$33,'Inputs'!$B$29+'Inputs'!$B$31+'Inputs'!$B$32,'Inputs'!$B$30+'Inputs'!$B$31+'Inputs'!$B$32)/1000+'Inputs'!$B$21))^2+('Inputs'!$B$6/2)^2)))-'Results'!C7*(1-'Inputs'!$B$24)*(0.5*((((738-43)*MAX('Inputs'!$B$33,'Inputs'!$B$29+'Inputs'!$B$31+'Inputs'!$B$32,'Inputs'!$B$30+'Inputs'!$B$31+'Inputs'!$B$32)/1000+'Inputs'!$B$21+'Inputs'!$B$7+'Inputs'!$B$10)+'Inputs'!$B$9)/SQRT((((738-43)*MAX('Inputs'!$B$33,'Inputs'!$B$29+'Inputs'!$B$31+'Inputs'!$B$32,'Inputs'!$B$30+'Inputs'!$B$31+'Inputs'!$B$32)/1000+'Inputs'!$B$21+'Inputs'!$B$7+'Inputs'!$B$10)+'Inputs'!$B$9)^2+('Inputs'!$B$8/2)^2)-(((738-43)*MAX('Inputs'!$B$33,'Inputs'!$B$29+'Inputs'!$B$31+'Inputs'!$B$32,'Inputs'!$B$30+'Inputs'!$B$31+'Inputs'!$B$32)/1000+'Inputs'!$B$21+'Inputs'!$B$7+'Inputs'!$B$10))/SQRT((((738-43)*MAX('Inputs'!$B$33,'Inputs'!$B$29+'Inputs'!$B$31+'Inputs'!$B$32,'Inputs'!$B$30+'Inputs'!$B$31+'Inputs'!$B$32)/1000+'Inputs'!$B$21+'Inputs'!$B$7+'Inputs'!$B$10))^2+('Inputs'!$B$8/2)^2))))*'Results'!$B$8))),"")</x:f>
        <x:v>1.5147184747578892</x:v>
      </x:c>
      <x:c r="M738" t="n">
        <x:f>IF(AND(ISNUMBER('Results'!C7),ISNUMBER('Results'!B7),ISNUMBER('Results'!$B$8),ISNUMBER('Inputs'!$B$6),ISNUMBER('Inputs'!$B$7),ISNUMBER('Inputs'!$B$8),ISNUMBER('Inputs'!$B$9),ISNUMBER('Inputs'!$B$10),ISNUMBER('Inputs'!$B$21),ISNUMBER('Inputs'!$B$24),ISNUMBER('Inputs'!$B$28)),(('Results'!C7*(0.5*((((738-43)*MAX('Inputs'!$B$33,'Inputs'!$B$29+'Inputs'!$B$31+'Inputs'!$B$32,'Inputs'!$B$30+'Inputs'!$B$31+'Inputs'!$B$32)/1000+'Inputs'!$B$21)+'Inputs'!$B$9)/SQRT((((738-43)*MAX('Inputs'!$B$33,'Inputs'!$B$29+'Inputs'!$B$31+'Inputs'!$B$32,'Inputs'!$B$30+'Inputs'!$B$31+'Inputs'!$B$32)/1000+'Inputs'!$B$21)+'Inputs'!$B$9)^2+('Inputs'!$B$8/2)^2)-(((738-43)*MAX('Inputs'!$B$33,'Inputs'!$B$29+'Inputs'!$B$31+'Inputs'!$B$32,'Inputs'!$B$30+'Inputs'!$B$31+'Inputs'!$B$32)/1000+'Inputs'!$B$21))/SQRT((((738-43)*MAX('Inputs'!$B$33,'Inputs'!$B$29+'Inputs'!$B$31+'Inputs'!$B$32,'Inputs'!$B$30+'Inputs'!$B$31+'Inputs'!$B$32)/1000+'Inputs'!$B$21))^2+('Inputs'!$B$8/2)^2)))-'Results'!B7*(0.5*((((738-43)*MAX('Inputs'!$B$33,'Inputs'!$B$29+'Inputs'!$B$31+'Inputs'!$B$32,'Inputs'!$B$30+'Inputs'!$B$31+'Inputs'!$B$32)/1000+'Inputs'!$B$21+'Inputs'!$B$9+'Inputs'!$B$10)+'Inputs'!$B$7)/SQRT((((738-43)*MAX('Inputs'!$B$33,'Inputs'!$B$29+'Inputs'!$B$31+'Inputs'!$B$32,'Inputs'!$B$30+'Inputs'!$B$31+'Inputs'!$B$32)/1000+'Inputs'!$B$21+'Inputs'!$B$9+'Inputs'!$B$10)+'Inputs'!$B$7)^2+('Inputs'!$B$6/2)^2)-(((738-43)*MAX('Inputs'!$B$33,'Inputs'!$B$29+'Inputs'!$B$31+'Inputs'!$B$32,'Inputs'!$B$30+'Inputs'!$B$31+'Inputs'!$B$32)/1000+'Inputs'!$B$21+'Inputs'!$B$9+'Inputs'!$B$10))/SQRT((((738-43)*MAX('Inputs'!$B$33,'Inputs'!$B$29+'Inputs'!$B$31+'Inputs'!$B$32,'Inputs'!$B$30+'Inputs'!$B$31+'Inputs'!$B$32)/1000+'Inputs'!$B$21+'Inputs'!$B$9+'Inputs'!$B$10))^2+('Inputs'!$B$6/2)^2))))*'Results'!$B$8),"")</x:f>
        <x:v>1.208146074245633</x:v>
      </x:c>
      <x:c r="N738" t="n">
        <x:f>IF(AND(ISNUMBER('Results'!C7),ISNUMBER('Results'!B7),ISNUMBER('Results'!$B$8),ISNUMBER('Inputs'!$B$6),ISNUMBER('Inputs'!$B$7),ISNUMBER('Inputs'!$B$8),ISNUMBER('Inputs'!$B$9),ISNUMBER('Inputs'!$B$10),ISNUMBER('Inputs'!$B$21),ISNUMBER('Inputs'!$B$24),ISNUMBER('Inputs'!$B$28)),((('Results'!C7*(1-'Inputs'!$B$24)*(0.5*((((738-43)*MAX('Inputs'!$B$33,'Inputs'!$B$29+'Inputs'!$B$31+'Inputs'!$B$32,'Inputs'!$B$30+'Inputs'!$B$31+'Inputs'!$B$32)/1000+'Inputs'!$B$21)+'Inputs'!$B$9)/SQRT((((738-43)*MAX('Inputs'!$B$33,'Inputs'!$B$29+'Inputs'!$B$31+'Inputs'!$B$32,'Inputs'!$B$30+'Inputs'!$B$31+'Inputs'!$B$32)/1000+'Inputs'!$B$21)+'Inputs'!$B$9)^2+('Inputs'!$B$8/2)^2)-(((738-43)*MAX('Inputs'!$B$33,'Inputs'!$B$29+'Inputs'!$B$31+'Inputs'!$B$32,'Inputs'!$B$30+'Inputs'!$B$31+'Inputs'!$B$32)/1000+'Inputs'!$B$21))/SQRT((((738-43)*MAX('Inputs'!$B$33,'Inputs'!$B$29+'Inputs'!$B$31+'Inputs'!$B$32,'Inputs'!$B$30+'Inputs'!$B$31+'Inputs'!$B$32)/1000+'Inputs'!$B$21))^2+('Inputs'!$B$8/2)^2)))-'Results'!B7*(1+'Inputs'!$B$24)*(0.5*((((738-43)*MAX('Inputs'!$B$33,'Inputs'!$B$29+'Inputs'!$B$31+'Inputs'!$B$32,'Inputs'!$B$30+'Inputs'!$B$31+'Inputs'!$B$32)/1000+'Inputs'!$B$21+'Inputs'!$B$9+'Inputs'!$B$10)+'Inputs'!$B$7)/SQRT((((738-43)*MAX('Inputs'!$B$33,'Inputs'!$B$29+'Inputs'!$B$31+'Inputs'!$B$32,'Inputs'!$B$30+'Inputs'!$B$31+'Inputs'!$B$32)/1000+'Inputs'!$B$21+'Inputs'!$B$9+'Inputs'!$B$10)+'Inputs'!$B$7)^2+('Inputs'!$B$6/2)^2)-(((738-43)*MAX('Inputs'!$B$33,'Inputs'!$B$29+'Inputs'!$B$31+'Inputs'!$B$32,'Inputs'!$B$30+'Inputs'!$B$31+'Inputs'!$B$32)/1000+'Inputs'!$B$21+'Inputs'!$B$9+'Inputs'!$B$10))/SQRT((((738-43)*MAX('Inputs'!$B$33,'Inputs'!$B$29+'Inputs'!$B$31+'Inputs'!$B$32,'Inputs'!$B$30+'Inputs'!$B$31+'Inputs'!$B$32)/1000+'Inputs'!$B$21+'Inputs'!$B$9+'Inputs'!$B$10))^2+('Inputs'!$B$6/2)^2))))*'Results'!$B$8)-'Inputs'!$B$28*ABS((('Results'!C7*(1-'Inputs'!$B$24)*(0.5*((((738-43)*MAX('Inputs'!$B$33,'Inputs'!$B$29+'Inputs'!$B$31+'Inputs'!$B$32,'Inputs'!$B$30+'Inputs'!$B$31+'Inputs'!$B$32)/1000+'Inputs'!$B$21)+'Inputs'!$B$9)/SQRT((((738-43)*MAX('Inputs'!$B$33,'Inputs'!$B$29+'Inputs'!$B$31+'Inputs'!$B$32,'Inputs'!$B$30+'Inputs'!$B$31+'Inputs'!$B$32)/1000+'Inputs'!$B$21)+'Inputs'!$B$9)^2+('Inputs'!$B$8/2)^2)-(((738-43)*MAX('Inputs'!$B$33,'Inputs'!$B$29+'Inputs'!$B$31+'Inputs'!$B$32,'Inputs'!$B$30+'Inputs'!$B$31+'Inputs'!$B$32)/1000+'Inputs'!$B$21))/SQRT((((738-43)*MAX('Inputs'!$B$33,'Inputs'!$B$29+'Inputs'!$B$31+'Inputs'!$B$32,'Inputs'!$B$30+'Inputs'!$B$31+'Inputs'!$B$32)/1000+'Inputs'!$B$21))^2+('Inputs'!$B$8/2)^2)))-'Results'!B7*(1+'Inputs'!$B$24)*(0.5*((((738-43)*MAX('Inputs'!$B$33,'Inputs'!$B$29+'Inputs'!$B$31+'Inputs'!$B$32,'Inputs'!$B$30+'Inputs'!$B$31+'Inputs'!$B$32)/1000+'Inputs'!$B$21+'Inputs'!$B$9+'Inputs'!$B$10)+'Inputs'!$B$7)/SQRT((((738-43)*MAX('Inputs'!$B$33,'Inputs'!$B$29+'Inputs'!$B$31+'Inputs'!$B$32,'Inputs'!$B$30+'Inputs'!$B$31+'Inputs'!$B$32)/1000+'Inputs'!$B$21+'Inputs'!$B$9+'Inputs'!$B$10)+'Inputs'!$B$7)^2+('Inputs'!$B$6/2)^2)-(((738-43)*MAX('Inputs'!$B$33,'Inputs'!$B$29+'Inputs'!$B$31+'Inputs'!$B$32,'Inputs'!$B$30+'Inputs'!$B$31+'Inputs'!$B$32)/1000+'Inputs'!$B$21+'Inputs'!$B$9+'Inputs'!$B$10))/SQRT((((738-43)*MAX('Inputs'!$B$33,'Inputs'!$B$29+'Inputs'!$B$31+'Inputs'!$B$32,'Inputs'!$B$30+'Inputs'!$B$31+'Inputs'!$B$32)/1000+'Inputs'!$B$21+'Inputs'!$B$9+'Inputs'!$B$10))^2+('Inputs'!$B$6/2)^2))))*'Results'!$B$8))),"")</x:f>
        <x:v>1.0373020973417604</x:v>
      </x:c>
      <x:c r="O738" t="n">
        <x:f>IF(AND(ISNUMBER('Results'!C7),ISNUMBER('Results'!B7),ISNUMBER('Results'!$B$8),ISNUMBER('Inputs'!$B$6),ISNUMBER('Inputs'!$B$7),ISNUMBER('Inputs'!$B$8),ISNUMBER('Inputs'!$B$9),ISNUMBER('Inputs'!$B$10),ISNUMBER('Inputs'!$B$21),ISNUMBER('Inputs'!$B$24),ISNUMBER('Inputs'!$B$28)),((('Results'!C7*(1+'Inputs'!$B$24)*(0.5*((((738-43)*MAX('Inputs'!$B$33,'Inputs'!$B$29+'Inputs'!$B$31+'Inputs'!$B$32,'Inputs'!$B$30+'Inputs'!$B$31+'Inputs'!$B$32)/1000+'Inputs'!$B$21)+'Inputs'!$B$9)/SQRT((((738-43)*MAX('Inputs'!$B$33,'Inputs'!$B$29+'Inputs'!$B$31+'Inputs'!$B$32,'Inputs'!$B$30+'Inputs'!$B$31+'Inputs'!$B$32)/1000+'Inputs'!$B$21)+'Inputs'!$B$9)^2+('Inputs'!$B$8/2)^2)-(((738-43)*MAX('Inputs'!$B$33,'Inputs'!$B$29+'Inputs'!$B$31+'Inputs'!$B$32,'Inputs'!$B$30+'Inputs'!$B$31+'Inputs'!$B$32)/1000+'Inputs'!$B$21))/SQRT((((738-43)*MAX('Inputs'!$B$33,'Inputs'!$B$29+'Inputs'!$B$31+'Inputs'!$B$32,'Inputs'!$B$30+'Inputs'!$B$31+'Inputs'!$B$32)/1000+'Inputs'!$B$21))^2+('Inputs'!$B$8/2)^2)))-'Results'!B7*(1-'Inputs'!$B$24)*(0.5*((((738-43)*MAX('Inputs'!$B$33,'Inputs'!$B$29+'Inputs'!$B$31+'Inputs'!$B$32,'Inputs'!$B$30+'Inputs'!$B$31+'Inputs'!$B$32)/1000+'Inputs'!$B$21+'Inputs'!$B$9+'Inputs'!$B$10)+'Inputs'!$B$7)/SQRT((((738-43)*MAX('Inputs'!$B$33,'Inputs'!$B$29+'Inputs'!$B$31+'Inputs'!$B$32,'Inputs'!$B$30+'Inputs'!$B$31+'Inputs'!$B$32)/1000+'Inputs'!$B$21+'Inputs'!$B$9+'Inputs'!$B$10)+'Inputs'!$B$7)^2+('Inputs'!$B$6/2)^2)-(((738-43)*MAX('Inputs'!$B$33,'Inputs'!$B$29+'Inputs'!$B$31+'Inputs'!$B$32,'Inputs'!$B$30+'Inputs'!$B$31+'Inputs'!$B$32)/1000+'Inputs'!$B$21+'Inputs'!$B$9+'Inputs'!$B$10))/SQRT((((738-43)*MAX('Inputs'!$B$33,'Inputs'!$B$29+'Inputs'!$B$31+'Inputs'!$B$32,'Inputs'!$B$30+'Inputs'!$B$31+'Inputs'!$B$32)/1000+'Inputs'!$B$21+'Inputs'!$B$9+'Inputs'!$B$10))^2+('Inputs'!$B$6/2)^2))))*'Results'!$B$8)+'Inputs'!$B$28*ABS((('Results'!C7*(1+'Inputs'!$B$24)*(0.5*((((738-43)*MAX('Inputs'!$B$33,'Inputs'!$B$29+'Inputs'!$B$31+'Inputs'!$B$32,'Inputs'!$B$30+'Inputs'!$B$31+'Inputs'!$B$32)/1000+'Inputs'!$B$21)+'Inputs'!$B$9)/SQRT((((738-43)*MAX('Inputs'!$B$33,'Inputs'!$B$29+'Inputs'!$B$31+'Inputs'!$B$32,'Inputs'!$B$30+'Inputs'!$B$31+'Inputs'!$B$32)/1000+'Inputs'!$B$21)+'Inputs'!$B$9)^2+('Inputs'!$B$8/2)^2)-(((738-43)*MAX('Inputs'!$B$33,'Inputs'!$B$29+'Inputs'!$B$31+'Inputs'!$B$32,'Inputs'!$B$30+'Inputs'!$B$31+'Inputs'!$B$32)/1000+'Inputs'!$B$21))/SQRT((((738-43)*MAX('Inputs'!$B$33,'Inputs'!$B$29+'Inputs'!$B$31+'Inputs'!$B$32,'Inputs'!$B$30+'Inputs'!$B$31+'Inputs'!$B$32)/1000+'Inputs'!$B$21))^2+('Inputs'!$B$8/2)^2)))-'Results'!B7*(1-'Inputs'!$B$24)*(0.5*((((738-43)*MAX('Inputs'!$B$33,'Inputs'!$B$29+'Inputs'!$B$31+'Inputs'!$B$32,'Inputs'!$B$30+'Inputs'!$B$31+'Inputs'!$B$32)/1000+'Inputs'!$B$21+'Inputs'!$B$9+'Inputs'!$B$10)+'Inputs'!$B$7)/SQRT((((738-43)*MAX('Inputs'!$B$33,'Inputs'!$B$29+'Inputs'!$B$31+'Inputs'!$B$32,'Inputs'!$B$30+'Inputs'!$B$31+'Inputs'!$B$32)/1000+'Inputs'!$B$21+'Inputs'!$B$9+'Inputs'!$B$10)+'Inputs'!$B$7)^2+('Inputs'!$B$6/2)^2)-(((738-43)*MAX('Inputs'!$B$33,'Inputs'!$B$29+'Inputs'!$B$31+'Inputs'!$B$32,'Inputs'!$B$30+'Inputs'!$B$31+'Inputs'!$B$32)/1000+'Inputs'!$B$21+'Inputs'!$B$9+'Inputs'!$B$10))/SQRT((((738-43)*MAX('Inputs'!$B$33,'Inputs'!$B$29+'Inputs'!$B$31+'Inputs'!$B$32,'Inputs'!$B$30+'Inputs'!$B$31+'Inputs'!$B$32)/1000+'Inputs'!$B$21+'Inputs'!$B$9+'Inputs'!$B$10))^2+('Inputs'!$B$6/2)^2))))*'Results'!$B$8))),"")</x:f>
        <x:v>1.3906149641170418</x:v>
      </x:c>
      <x:c r="P738" t="n">
        <x:f>IF(AND(MAX(J738,J737)&gt;0,J738&gt;J737+0.00000001),1,0)</x:f>
        <x:v>0</x:v>
      </x:c>
      <x:c r="Q738" t="n">
        <x:f>IF(AND(MAX(K738,K737)&gt;0,K738&gt;K737+0.00000001),1,0)</x:f>
        <x:v>0</x:v>
      </x:c>
      <x:c r="R738" t="n">
        <x:f>IF(AND(MAX(L738,L737)&gt;0,L738&gt;L737+0.00000001),1,0)</x:f>
        <x:v>0</x:v>
      </x:c>
      <x:c r="S738" t="n">
        <x:f>IF(AND(MAX(M738,M737)&gt;0,M738&gt;M737+0.00000001),1,0)</x:f>
        <x:v>0</x:v>
      </x:c>
      <x:c r="T738" t="n">
        <x:f>IF(AND(MAX(N738,N737)&gt;0,N738&gt;N737+0.00000001),1,0)</x:f>
        <x:v>0</x:v>
      </x:c>
      <x:c r="U738" t="n">
        <x:f>IF(AND(MAX(O738,O737)&gt;0,O738&gt;O737+0.00000001),1,0)</x:f>
        <x:v>0</x:v>
      </x:c>
    </x:row>
    <x:row r="739">
      <x:c r="J739" t="n">
        <x:f>IF(AND(ISNUMBER('Results'!B7),ISNUMBER('Results'!C7),ISNUMBER('Results'!$B$8),ISNUMBER('Inputs'!$B$6),ISNUMBER('Inputs'!$B$7),ISNUMBER('Inputs'!$B$8),ISNUMBER('Inputs'!$B$9),ISNUMBER('Inputs'!$B$10),ISNUMBER('Inputs'!$B$21),ISNUMBER('Inputs'!$B$24),ISNUMBER('Inputs'!$B$28)),(('Results'!B7*(0.5*((((739-43)*MAX('Inputs'!$B$33,'Inputs'!$B$29+'Inputs'!$B$31+'Inputs'!$B$32,'Inputs'!$B$30+'Inputs'!$B$31+'Inputs'!$B$32)/1000+'Inputs'!$B$21)+'Inputs'!$B$7)/SQRT((((739-43)*MAX('Inputs'!$B$33,'Inputs'!$B$29+'Inputs'!$B$31+'Inputs'!$B$32,'Inputs'!$B$30+'Inputs'!$B$31+'Inputs'!$B$32)/1000+'Inputs'!$B$21)+'Inputs'!$B$7)^2+('Inputs'!$B$6/2)^2)-(((739-43)*MAX('Inputs'!$B$33,'Inputs'!$B$29+'Inputs'!$B$31+'Inputs'!$B$32,'Inputs'!$B$30+'Inputs'!$B$31+'Inputs'!$B$32)/1000+'Inputs'!$B$21))/SQRT((((739-43)*MAX('Inputs'!$B$33,'Inputs'!$B$29+'Inputs'!$B$31+'Inputs'!$B$32,'Inputs'!$B$30+'Inputs'!$B$31+'Inputs'!$B$32)/1000+'Inputs'!$B$21))^2+('Inputs'!$B$6/2)^2)))-'Results'!C7*(0.5*((((739-43)*MAX('Inputs'!$B$33,'Inputs'!$B$29+'Inputs'!$B$31+'Inputs'!$B$32,'Inputs'!$B$30+'Inputs'!$B$31+'Inputs'!$B$32)/1000+'Inputs'!$B$21+'Inputs'!$B$7+'Inputs'!$B$10)+'Inputs'!$B$9)/SQRT((((739-43)*MAX('Inputs'!$B$33,'Inputs'!$B$29+'Inputs'!$B$31+'Inputs'!$B$32,'Inputs'!$B$30+'Inputs'!$B$31+'Inputs'!$B$32)/1000+'Inputs'!$B$21+'Inputs'!$B$7+'Inputs'!$B$10)+'Inputs'!$B$9)^2+('Inputs'!$B$8/2)^2)-(((739-43)*MAX('Inputs'!$B$33,'Inputs'!$B$29+'Inputs'!$B$31+'Inputs'!$B$32,'Inputs'!$B$30+'Inputs'!$B$31+'Inputs'!$B$32)/1000+'Inputs'!$B$21+'Inputs'!$B$7+'Inputs'!$B$10))/SQRT((((739-43)*MAX('Inputs'!$B$33,'Inputs'!$B$29+'Inputs'!$B$31+'Inputs'!$B$32,'Inputs'!$B$30+'Inputs'!$B$31+'Inputs'!$B$32)/1000+'Inputs'!$B$21+'Inputs'!$B$7+'Inputs'!$B$10))^2+('Inputs'!$B$8/2)^2))))*'Results'!$B$8),"")</x:f>
        <x:v>1.3190768612114625</x:v>
      </x:c>
      <x:c r="K739" t="n">
        <x:f>IF(AND(ISNUMBER('Results'!B7),ISNUMBER('Results'!C7),ISNUMBER('Results'!$B$8),ISNUMBER('Inputs'!$B$6),ISNUMBER('Inputs'!$B$7),ISNUMBER('Inputs'!$B$8),ISNUMBER('Inputs'!$B$9),ISNUMBER('Inputs'!$B$10),ISNUMBER('Inputs'!$B$21),ISNUMBER('Inputs'!$B$24),ISNUMBER('Inputs'!$B$28)),((('Results'!B7*(1-'Inputs'!$B$24)*(0.5*((((739-43)*MAX('Inputs'!$B$33,'Inputs'!$B$29+'Inputs'!$B$31+'Inputs'!$B$32,'Inputs'!$B$30+'Inputs'!$B$31+'Inputs'!$B$32)/1000+'Inputs'!$B$21)+'Inputs'!$B$7)/SQRT((((739-43)*MAX('Inputs'!$B$33,'Inputs'!$B$29+'Inputs'!$B$31+'Inputs'!$B$32,'Inputs'!$B$30+'Inputs'!$B$31+'Inputs'!$B$32)/1000+'Inputs'!$B$21)+'Inputs'!$B$7)^2+('Inputs'!$B$6/2)^2)-(((739-43)*MAX('Inputs'!$B$33,'Inputs'!$B$29+'Inputs'!$B$31+'Inputs'!$B$32,'Inputs'!$B$30+'Inputs'!$B$31+'Inputs'!$B$32)/1000+'Inputs'!$B$21))/SQRT((((739-43)*MAX('Inputs'!$B$33,'Inputs'!$B$29+'Inputs'!$B$31+'Inputs'!$B$32,'Inputs'!$B$30+'Inputs'!$B$31+'Inputs'!$B$32)/1000+'Inputs'!$B$21))^2+('Inputs'!$B$6/2)^2)))-'Results'!C7*(1+'Inputs'!$B$24)*(0.5*((((739-43)*MAX('Inputs'!$B$33,'Inputs'!$B$29+'Inputs'!$B$31+'Inputs'!$B$32,'Inputs'!$B$30+'Inputs'!$B$31+'Inputs'!$B$32)/1000+'Inputs'!$B$21+'Inputs'!$B$7+'Inputs'!$B$10)+'Inputs'!$B$9)/SQRT((((739-43)*MAX('Inputs'!$B$33,'Inputs'!$B$29+'Inputs'!$B$31+'Inputs'!$B$32,'Inputs'!$B$30+'Inputs'!$B$31+'Inputs'!$B$32)/1000+'Inputs'!$B$21+'Inputs'!$B$7+'Inputs'!$B$10)+'Inputs'!$B$9)^2+('Inputs'!$B$8/2)^2)-(((739-43)*MAX('Inputs'!$B$33,'Inputs'!$B$29+'Inputs'!$B$31+'Inputs'!$B$32,'Inputs'!$B$30+'Inputs'!$B$31+'Inputs'!$B$32)/1000+'Inputs'!$B$21+'Inputs'!$B$7+'Inputs'!$B$10))/SQRT((((739-43)*MAX('Inputs'!$B$33,'Inputs'!$B$29+'Inputs'!$B$31+'Inputs'!$B$32,'Inputs'!$B$30+'Inputs'!$B$31+'Inputs'!$B$32)/1000+'Inputs'!$B$21+'Inputs'!$B$7+'Inputs'!$B$10))^2+('Inputs'!$B$8/2)^2))))*'Results'!$B$8)-'Inputs'!$B$28*ABS((('Results'!B7*(1-'Inputs'!$B$24)*(0.5*((((739-43)*MAX('Inputs'!$B$33,'Inputs'!$B$29+'Inputs'!$B$31+'Inputs'!$B$32,'Inputs'!$B$30+'Inputs'!$B$31+'Inputs'!$B$32)/1000+'Inputs'!$B$21)+'Inputs'!$B$7)/SQRT((((739-43)*MAX('Inputs'!$B$33,'Inputs'!$B$29+'Inputs'!$B$31+'Inputs'!$B$32,'Inputs'!$B$30+'Inputs'!$B$31+'Inputs'!$B$32)/1000+'Inputs'!$B$21)+'Inputs'!$B$7)^2+('Inputs'!$B$6/2)^2)-(((739-43)*MAX('Inputs'!$B$33,'Inputs'!$B$29+'Inputs'!$B$31+'Inputs'!$B$32,'Inputs'!$B$30+'Inputs'!$B$31+'Inputs'!$B$32)/1000+'Inputs'!$B$21))/SQRT((((739-43)*MAX('Inputs'!$B$33,'Inputs'!$B$29+'Inputs'!$B$31+'Inputs'!$B$32,'Inputs'!$B$30+'Inputs'!$B$31+'Inputs'!$B$32)/1000+'Inputs'!$B$21))^2+('Inputs'!$B$6/2)^2)))-'Results'!C7*(1+'Inputs'!$B$24)*(0.5*((((739-43)*MAX('Inputs'!$B$33,'Inputs'!$B$29+'Inputs'!$B$31+'Inputs'!$B$32,'Inputs'!$B$30+'Inputs'!$B$31+'Inputs'!$B$32)/1000+'Inputs'!$B$21+'Inputs'!$B$7+'Inputs'!$B$10)+'Inputs'!$B$9)/SQRT((((739-43)*MAX('Inputs'!$B$33,'Inputs'!$B$29+'Inputs'!$B$31+'Inputs'!$B$32,'Inputs'!$B$30+'Inputs'!$B$31+'Inputs'!$B$32)/1000+'Inputs'!$B$21+'Inputs'!$B$7+'Inputs'!$B$10)+'Inputs'!$B$9)^2+('Inputs'!$B$8/2)^2)-(((739-43)*MAX('Inputs'!$B$33,'Inputs'!$B$29+'Inputs'!$B$31+'Inputs'!$B$32,'Inputs'!$B$30+'Inputs'!$B$31+'Inputs'!$B$32)/1000+'Inputs'!$B$21+'Inputs'!$B$7+'Inputs'!$B$10))/SQRT((((739-43)*MAX('Inputs'!$B$33,'Inputs'!$B$29+'Inputs'!$B$31+'Inputs'!$B$32,'Inputs'!$B$30+'Inputs'!$B$31+'Inputs'!$B$32)/1000+'Inputs'!$B$21+'Inputs'!$B$7+'Inputs'!$B$10))^2+('Inputs'!$B$8/2)^2))))*'Results'!$B$8))),"")</x:f>
        <x:v>1.1426350306968889</x:v>
      </x:c>
      <x:c r="L739" t="n">
        <x:f>IF(AND(ISNUMBER('Results'!B7),ISNUMBER('Results'!C7),ISNUMBER('Results'!$B$8),ISNUMBER('Inputs'!$B$6),ISNUMBER('Inputs'!$B$7),ISNUMBER('Inputs'!$B$8),ISNUMBER('Inputs'!$B$9),ISNUMBER('Inputs'!$B$10),ISNUMBER('Inputs'!$B$21),ISNUMBER('Inputs'!$B$24),ISNUMBER('Inputs'!$B$28)),((('Results'!B7*(1+'Inputs'!$B$24)*(0.5*((((739-43)*MAX('Inputs'!$B$33,'Inputs'!$B$29+'Inputs'!$B$31+'Inputs'!$B$32,'Inputs'!$B$30+'Inputs'!$B$31+'Inputs'!$B$32)/1000+'Inputs'!$B$21)+'Inputs'!$B$7)/SQRT((((739-43)*MAX('Inputs'!$B$33,'Inputs'!$B$29+'Inputs'!$B$31+'Inputs'!$B$32,'Inputs'!$B$30+'Inputs'!$B$31+'Inputs'!$B$32)/1000+'Inputs'!$B$21)+'Inputs'!$B$7)^2+('Inputs'!$B$6/2)^2)-(((739-43)*MAX('Inputs'!$B$33,'Inputs'!$B$29+'Inputs'!$B$31+'Inputs'!$B$32,'Inputs'!$B$30+'Inputs'!$B$31+'Inputs'!$B$32)/1000+'Inputs'!$B$21))/SQRT((((739-43)*MAX('Inputs'!$B$33,'Inputs'!$B$29+'Inputs'!$B$31+'Inputs'!$B$32,'Inputs'!$B$30+'Inputs'!$B$31+'Inputs'!$B$32)/1000+'Inputs'!$B$21))^2+('Inputs'!$B$6/2)^2)))-'Results'!C7*(1-'Inputs'!$B$24)*(0.5*((((739-43)*MAX('Inputs'!$B$33,'Inputs'!$B$29+'Inputs'!$B$31+'Inputs'!$B$32,'Inputs'!$B$30+'Inputs'!$B$31+'Inputs'!$B$32)/1000+'Inputs'!$B$21+'Inputs'!$B$7+'Inputs'!$B$10)+'Inputs'!$B$9)/SQRT((((739-43)*MAX('Inputs'!$B$33,'Inputs'!$B$29+'Inputs'!$B$31+'Inputs'!$B$32,'Inputs'!$B$30+'Inputs'!$B$31+'Inputs'!$B$32)/1000+'Inputs'!$B$21+'Inputs'!$B$7+'Inputs'!$B$10)+'Inputs'!$B$9)^2+('Inputs'!$B$8/2)^2)-(((739-43)*MAX('Inputs'!$B$33,'Inputs'!$B$29+'Inputs'!$B$31+'Inputs'!$B$32,'Inputs'!$B$30+'Inputs'!$B$31+'Inputs'!$B$32)/1000+'Inputs'!$B$21+'Inputs'!$B$7+'Inputs'!$B$10))/SQRT((((739-43)*MAX('Inputs'!$B$33,'Inputs'!$B$29+'Inputs'!$B$31+'Inputs'!$B$32,'Inputs'!$B$30+'Inputs'!$B$31+'Inputs'!$B$32)/1000+'Inputs'!$B$21+'Inputs'!$B$7+'Inputs'!$B$10))^2+('Inputs'!$B$8/2)^2))))*'Results'!$B$8)+'Inputs'!$B$28*ABS((('Results'!B7*(1+'Inputs'!$B$24)*(0.5*((((739-43)*MAX('Inputs'!$B$33,'Inputs'!$B$29+'Inputs'!$B$31+'Inputs'!$B$32,'Inputs'!$B$30+'Inputs'!$B$31+'Inputs'!$B$32)/1000+'Inputs'!$B$21)+'Inputs'!$B$7)/SQRT((((739-43)*MAX('Inputs'!$B$33,'Inputs'!$B$29+'Inputs'!$B$31+'Inputs'!$B$32,'Inputs'!$B$30+'Inputs'!$B$31+'Inputs'!$B$32)/1000+'Inputs'!$B$21)+'Inputs'!$B$7)^2+('Inputs'!$B$6/2)^2)-(((739-43)*MAX('Inputs'!$B$33,'Inputs'!$B$29+'Inputs'!$B$31+'Inputs'!$B$32,'Inputs'!$B$30+'Inputs'!$B$31+'Inputs'!$B$32)/1000+'Inputs'!$B$21))/SQRT((((739-43)*MAX('Inputs'!$B$33,'Inputs'!$B$29+'Inputs'!$B$31+'Inputs'!$B$32,'Inputs'!$B$30+'Inputs'!$B$31+'Inputs'!$B$32)/1000+'Inputs'!$B$21))^2+('Inputs'!$B$6/2)^2)))-'Results'!C7*(1-'Inputs'!$B$24)*(0.5*((((739-43)*MAX('Inputs'!$B$33,'Inputs'!$B$29+'Inputs'!$B$31+'Inputs'!$B$32,'Inputs'!$B$30+'Inputs'!$B$31+'Inputs'!$B$32)/1000+'Inputs'!$B$21+'Inputs'!$B$7+'Inputs'!$B$10)+'Inputs'!$B$9)/SQRT((((739-43)*MAX('Inputs'!$B$33,'Inputs'!$B$29+'Inputs'!$B$31+'Inputs'!$B$32,'Inputs'!$B$30+'Inputs'!$B$31+'Inputs'!$B$32)/1000+'Inputs'!$B$21+'Inputs'!$B$7+'Inputs'!$B$10)+'Inputs'!$B$9)^2+('Inputs'!$B$8/2)^2)-(((739-43)*MAX('Inputs'!$B$33,'Inputs'!$B$29+'Inputs'!$B$31+'Inputs'!$B$32,'Inputs'!$B$30+'Inputs'!$B$31+'Inputs'!$B$32)/1000+'Inputs'!$B$21+'Inputs'!$B$7+'Inputs'!$B$10))/SQRT((((739-43)*MAX('Inputs'!$B$33,'Inputs'!$B$29+'Inputs'!$B$31+'Inputs'!$B$32,'Inputs'!$B$30+'Inputs'!$B$31+'Inputs'!$B$32)/1000+'Inputs'!$B$21+'Inputs'!$B$7+'Inputs'!$B$10))^2+('Inputs'!$B$8/2)^2))))*'Results'!$B$8))),"")</x:f>
        <x:v>1.5071490061948782</x:v>
      </x:c>
      <x:c r="M739" t="n">
        <x:f>IF(AND(ISNUMBER('Results'!C7),ISNUMBER('Results'!B7),ISNUMBER('Results'!$B$8),ISNUMBER('Inputs'!$B$6),ISNUMBER('Inputs'!$B$7),ISNUMBER('Inputs'!$B$8),ISNUMBER('Inputs'!$B$9),ISNUMBER('Inputs'!$B$10),ISNUMBER('Inputs'!$B$21),ISNUMBER('Inputs'!$B$24),ISNUMBER('Inputs'!$B$28)),(('Results'!C7*(0.5*((((739-43)*MAX('Inputs'!$B$33,'Inputs'!$B$29+'Inputs'!$B$31+'Inputs'!$B$32,'Inputs'!$B$30+'Inputs'!$B$31+'Inputs'!$B$32)/1000+'Inputs'!$B$21)+'Inputs'!$B$9)/SQRT((((739-43)*MAX('Inputs'!$B$33,'Inputs'!$B$29+'Inputs'!$B$31+'Inputs'!$B$32,'Inputs'!$B$30+'Inputs'!$B$31+'Inputs'!$B$32)/1000+'Inputs'!$B$21)+'Inputs'!$B$9)^2+('Inputs'!$B$8/2)^2)-(((739-43)*MAX('Inputs'!$B$33,'Inputs'!$B$29+'Inputs'!$B$31+'Inputs'!$B$32,'Inputs'!$B$30+'Inputs'!$B$31+'Inputs'!$B$32)/1000+'Inputs'!$B$21))/SQRT((((739-43)*MAX('Inputs'!$B$33,'Inputs'!$B$29+'Inputs'!$B$31+'Inputs'!$B$32,'Inputs'!$B$30+'Inputs'!$B$31+'Inputs'!$B$32)/1000+'Inputs'!$B$21))^2+('Inputs'!$B$8/2)^2)))-'Results'!B7*(0.5*((((739-43)*MAX('Inputs'!$B$33,'Inputs'!$B$29+'Inputs'!$B$31+'Inputs'!$B$32,'Inputs'!$B$30+'Inputs'!$B$31+'Inputs'!$B$32)/1000+'Inputs'!$B$21+'Inputs'!$B$9+'Inputs'!$B$10)+'Inputs'!$B$7)/SQRT((((739-43)*MAX('Inputs'!$B$33,'Inputs'!$B$29+'Inputs'!$B$31+'Inputs'!$B$32,'Inputs'!$B$30+'Inputs'!$B$31+'Inputs'!$B$32)/1000+'Inputs'!$B$21+'Inputs'!$B$9+'Inputs'!$B$10)+'Inputs'!$B$7)^2+('Inputs'!$B$6/2)^2)-(((739-43)*MAX('Inputs'!$B$33,'Inputs'!$B$29+'Inputs'!$B$31+'Inputs'!$B$32,'Inputs'!$B$30+'Inputs'!$B$31+'Inputs'!$B$32)/1000+'Inputs'!$B$21+'Inputs'!$B$9+'Inputs'!$B$10))/SQRT((((739-43)*MAX('Inputs'!$B$33,'Inputs'!$B$29+'Inputs'!$B$31+'Inputs'!$B$32,'Inputs'!$B$30+'Inputs'!$B$31+'Inputs'!$B$32)/1000+'Inputs'!$B$21+'Inputs'!$B$9+'Inputs'!$B$10))^2+('Inputs'!$B$6/2)^2))))*'Results'!$B$8),"")</x:f>
        <x:v>1.2018561490999373</x:v>
      </x:c>
      <x:c r="N739" t="n">
        <x:f>IF(AND(ISNUMBER('Results'!C7),ISNUMBER('Results'!B7),ISNUMBER('Results'!$B$8),ISNUMBER('Inputs'!$B$6),ISNUMBER('Inputs'!$B$7),ISNUMBER('Inputs'!$B$8),ISNUMBER('Inputs'!$B$9),ISNUMBER('Inputs'!$B$10),ISNUMBER('Inputs'!$B$21),ISNUMBER('Inputs'!$B$24),ISNUMBER('Inputs'!$B$28)),((('Results'!C7*(1-'Inputs'!$B$24)*(0.5*((((739-43)*MAX('Inputs'!$B$33,'Inputs'!$B$29+'Inputs'!$B$31+'Inputs'!$B$32,'Inputs'!$B$30+'Inputs'!$B$31+'Inputs'!$B$32)/1000+'Inputs'!$B$21)+'Inputs'!$B$9)/SQRT((((739-43)*MAX('Inputs'!$B$33,'Inputs'!$B$29+'Inputs'!$B$31+'Inputs'!$B$32,'Inputs'!$B$30+'Inputs'!$B$31+'Inputs'!$B$32)/1000+'Inputs'!$B$21)+'Inputs'!$B$9)^2+('Inputs'!$B$8/2)^2)-(((739-43)*MAX('Inputs'!$B$33,'Inputs'!$B$29+'Inputs'!$B$31+'Inputs'!$B$32,'Inputs'!$B$30+'Inputs'!$B$31+'Inputs'!$B$32)/1000+'Inputs'!$B$21))/SQRT((((739-43)*MAX('Inputs'!$B$33,'Inputs'!$B$29+'Inputs'!$B$31+'Inputs'!$B$32,'Inputs'!$B$30+'Inputs'!$B$31+'Inputs'!$B$32)/1000+'Inputs'!$B$21))^2+('Inputs'!$B$8/2)^2)))-'Results'!B7*(1+'Inputs'!$B$24)*(0.5*((((739-43)*MAX('Inputs'!$B$33,'Inputs'!$B$29+'Inputs'!$B$31+'Inputs'!$B$32,'Inputs'!$B$30+'Inputs'!$B$31+'Inputs'!$B$32)/1000+'Inputs'!$B$21+'Inputs'!$B$9+'Inputs'!$B$10)+'Inputs'!$B$7)/SQRT((((739-43)*MAX('Inputs'!$B$33,'Inputs'!$B$29+'Inputs'!$B$31+'Inputs'!$B$32,'Inputs'!$B$30+'Inputs'!$B$31+'Inputs'!$B$32)/1000+'Inputs'!$B$21+'Inputs'!$B$9+'Inputs'!$B$10)+'Inputs'!$B$7)^2+('Inputs'!$B$6/2)^2)-(((739-43)*MAX('Inputs'!$B$33,'Inputs'!$B$29+'Inputs'!$B$31+'Inputs'!$B$32,'Inputs'!$B$30+'Inputs'!$B$31+'Inputs'!$B$32)/1000+'Inputs'!$B$21+'Inputs'!$B$9+'Inputs'!$B$10))/SQRT((((739-43)*MAX('Inputs'!$B$33,'Inputs'!$B$29+'Inputs'!$B$31+'Inputs'!$B$32,'Inputs'!$B$30+'Inputs'!$B$31+'Inputs'!$B$32)/1000+'Inputs'!$B$21+'Inputs'!$B$9+'Inputs'!$B$10))^2+('Inputs'!$B$6/2)^2))))*'Results'!$B$8)-'Inputs'!$B$28*ABS((('Results'!C7*(1-'Inputs'!$B$24)*(0.5*((((739-43)*MAX('Inputs'!$B$33,'Inputs'!$B$29+'Inputs'!$B$31+'Inputs'!$B$32,'Inputs'!$B$30+'Inputs'!$B$31+'Inputs'!$B$32)/1000+'Inputs'!$B$21)+'Inputs'!$B$9)/SQRT((((739-43)*MAX('Inputs'!$B$33,'Inputs'!$B$29+'Inputs'!$B$31+'Inputs'!$B$32,'Inputs'!$B$30+'Inputs'!$B$31+'Inputs'!$B$32)/1000+'Inputs'!$B$21)+'Inputs'!$B$9)^2+('Inputs'!$B$8/2)^2)-(((739-43)*MAX('Inputs'!$B$33,'Inputs'!$B$29+'Inputs'!$B$31+'Inputs'!$B$32,'Inputs'!$B$30+'Inputs'!$B$31+'Inputs'!$B$32)/1000+'Inputs'!$B$21))/SQRT((((739-43)*MAX('Inputs'!$B$33,'Inputs'!$B$29+'Inputs'!$B$31+'Inputs'!$B$32,'Inputs'!$B$30+'Inputs'!$B$31+'Inputs'!$B$32)/1000+'Inputs'!$B$21))^2+('Inputs'!$B$8/2)^2)))-'Results'!B7*(1+'Inputs'!$B$24)*(0.5*((((739-43)*MAX('Inputs'!$B$33,'Inputs'!$B$29+'Inputs'!$B$31+'Inputs'!$B$32,'Inputs'!$B$30+'Inputs'!$B$31+'Inputs'!$B$32)/1000+'Inputs'!$B$21+'Inputs'!$B$9+'Inputs'!$B$10)+'Inputs'!$B$7)/SQRT((((739-43)*MAX('Inputs'!$B$33,'Inputs'!$B$29+'Inputs'!$B$31+'Inputs'!$B$32,'Inputs'!$B$30+'Inputs'!$B$31+'Inputs'!$B$32)/1000+'Inputs'!$B$21+'Inputs'!$B$9+'Inputs'!$B$10)+'Inputs'!$B$7)^2+('Inputs'!$B$6/2)^2)-(((739-43)*MAX('Inputs'!$B$33,'Inputs'!$B$29+'Inputs'!$B$31+'Inputs'!$B$32,'Inputs'!$B$30+'Inputs'!$B$31+'Inputs'!$B$32)/1000+'Inputs'!$B$21+'Inputs'!$B$9+'Inputs'!$B$10))/SQRT((((739-43)*MAX('Inputs'!$B$33,'Inputs'!$B$29+'Inputs'!$B$31+'Inputs'!$B$32,'Inputs'!$B$30+'Inputs'!$B$31+'Inputs'!$B$32)/1000+'Inputs'!$B$21+'Inputs'!$B$9+'Inputs'!$B$10))^2+('Inputs'!$B$6/2)^2))))*'Results'!$B$8))),"")</x:f>
        <x:v>1.0317591696171615</x:v>
      </x:c>
      <x:c r="O739" t="n">
        <x:f>IF(AND(ISNUMBER('Results'!C7),ISNUMBER('Results'!B7),ISNUMBER('Results'!$B$8),ISNUMBER('Inputs'!$B$6),ISNUMBER('Inputs'!$B$7),ISNUMBER('Inputs'!$B$8),ISNUMBER('Inputs'!$B$9),ISNUMBER('Inputs'!$B$10),ISNUMBER('Inputs'!$B$21),ISNUMBER('Inputs'!$B$24),ISNUMBER('Inputs'!$B$28)),((('Results'!C7*(1+'Inputs'!$B$24)*(0.5*((((739-43)*MAX('Inputs'!$B$33,'Inputs'!$B$29+'Inputs'!$B$31+'Inputs'!$B$32,'Inputs'!$B$30+'Inputs'!$B$31+'Inputs'!$B$32)/1000+'Inputs'!$B$21)+'Inputs'!$B$9)/SQRT((((739-43)*MAX('Inputs'!$B$33,'Inputs'!$B$29+'Inputs'!$B$31+'Inputs'!$B$32,'Inputs'!$B$30+'Inputs'!$B$31+'Inputs'!$B$32)/1000+'Inputs'!$B$21)+'Inputs'!$B$9)^2+('Inputs'!$B$8/2)^2)-(((739-43)*MAX('Inputs'!$B$33,'Inputs'!$B$29+'Inputs'!$B$31+'Inputs'!$B$32,'Inputs'!$B$30+'Inputs'!$B$31+'Inputs'!$B$32)/1000+'Inputs'!$B$21))/SQRT((((739-43)*MAX('Inputs'!$B$33,'Inputs'!$B$29+'Inputs'!$B$31+'Inputs'!$B$32,'Inputs'!$B$30+'Inputs'!$B$31+'Inputs'!$B$32)/1000+'Inputs'!$B$21))^2+('Inputs'!$B$8/2)^2)))-'Results'!B7*(1-'Inputs'!$B$24)*(0.5*((((739-43)*MAX('Inputs'!$B$33,'Inputs'!$B$29+'Inputs'!$B$31+'Inputs'!$B$32,'Inputs'!$B$30+'Inputs'!$B$31+'Inputs'!$B$32)/1000+'Inputs'!$B$21+'Inputs'!$B$9+'Inputs'!$B$10)+'Inputs'!$B$7)/SQRT((((739-43)*MAX('Inputs'!$B$33,'Inputs'!$B$29+'Inputs'!$B$31+'Inputs'!$B$32,'Inputs'!$B$30+'Inputs'!$B$31+'Inputs'!$B$32)/1000+'Inputs'!$B$21+'Inputs'!$B$9+'Inputs'!$B$10)+'Inputs'!$B$7)^2+('Inputs'!$B$6/2)^2)-(((739-43)*MAX('Inputs'!$B$33,'Inputs'!$B$29+'Inputs'!$B$31+'Inputs'!$B$32,'Inputs'!$B$30+'Inputs'!$B$31+'Inputs'!$B$32)/1000+'Inputs'!$B$21+'Inputs'!$B$9+'Inputs'!$B$10))/SQRT((((739-43)*MAX('Inputs'!$B$33,'Inputs'!$B$29+'Inputs'!$B$31+'Inputs'!$B$32,'Inputs'!$B$30+'Inputs'!$B$31+'Inputs'!$B$32)/1000+'Inputs'!$B$21+'Inputs'!$B$9+'Inputs'!$B$10))^2+('Inputs'!$B$6/2)^2))))*'Results'!$B$8)+'Inputs'!$B$28*ABS((('Results'!C7*(1+'Inputs'!$B$24)*(0.5*((((739-43)*MAX('Inputs'!$B$33,'Inputs'!$B$29+'Inputs'!$B$31+'Inputs'!$B$32,'Inputs'!$B$30+'Inputs'!$B$31+'Inputs'!$B$32)/1000+'Inputs'!$B$21)+'Inputs'!$B$9)/SQRT((((739-43)*MAX('Inputs'!$B$33,'Inputs'!$B$29+'Inputs'!$B$31+'Inputs'!$B$32,'Inputs'!$B$30+'Inputs'!$B$31+'Inputs'!$B$32)/1000+'Inputs'!$B$21)+'Inputs'!$B$9)^2+('Inputs'!$B$8/2)^2)-(((739-43)*MAX('Inputs'!$B$33,'Inputs'!$B$29+'Inputs'!$B$31+'Inputs'!$B$32,'Inputs'!$B$30+'Inputs'!$B$31+'Inputs'!$B$32)/1000+'Inputs'!$B$21))/SQRT((((739-43)*MAX('Inputs'!$B$33,'Inputs'!$B$29+'Inputs'!$B$31+'Inputs'!$B$32,'Inputs'!$B$30+'Inputs'!$B$31+'Inputs'!$B$32)/1000+'Inputs'!$B$21))^2+('Inputs'!$B$8/2)^2)))-'Results'!B7*(1-'Inputs'!$B$24)*(0.5*((((739-43)*MAX('Inputs'!$B$33,'Inputs'!$B$29+'Inputs'!$B$31+'Inputs'!$B$32,'Inputs'!$B$30+'Inputs'!$B$31+'Inputs'!$B$32)/1000+'Inputs'!$B$21+'Inputs'!$B$9+'Inputs'!$B$10)+'Inputs'!$B$7)/SQRT((((739-43)*MAX('Inputs'!$B$33,'Inputs'!$B$29+'Inputs'!$B$31+'Inputs'!$B$32,'Inputs'!$B$30+'Inputs'!$B$31+'Inputs'!$B$32)/1000+'Inputs'!$B$21+'Inputs'!$B$9+'Inputs'!$B$10)+'Inputs'!$B$7)^2+('Inputs'!$B$6/2)^2)-(((739-43)*MAX('Inputs'!$B$33,'Inputs'!$B$29+'Inputs'!$B$31+'Inputs'!$B$32,'Inputs'!$B$30+'Inputs'!$B$31+'Inputs'!$B$32)/1000+'Inputs'!$B$21+'Inputs'!$B$9+'Inputs'!$B$10))/SQRT((((739-43)*MAX('Inputs'!$B$33,'Inputs'!$B$29+'Inputs'!$B$31+'Inputs'!$B$32,'Inputs'!$B$30+'Inputs'!$B$31+'Inputs'!$B$32)/1000+'Inputs'!$B$21+'Inputs'!$B$9+'Inputs'!$B$10))^2+('Inputs'!$B$6/2)^2))))*'Results'!$B$8))),"")</x:f>
        <x:v>1.3835325151119533</x:v>
      </x:c>
      <x:c r="P739" t="n">
        <x:f>IF(AND(MAX(J739,J738)&gt;0,J739&gt;J738+0.00000001),1,0)</x:f>
        <x:v>0</x:v>
      </x:c>
      <x:c r="Q739" t="n">
        <x:f>IF(AND(MAX(K739,K738)&gt;0,K739&gt;K738+0.00000001),1,0)</x:f>
        <x:v>0</x:v>
      </x:c>
      <x:c r="R739" t="n">
        <x:f>IF(AND(MAX(L739,L738)&gt;0,L739&gt;L738+0.00000001),1,0)</x:f>
        <x:v>0</x:v>
      </x:c>
      <x:c r="S739" t="n">
        <x:f>IF(AND(MAX(M739,M738)&gt;0,M739&gt;M738+0.00000001),1,0)</x:f>
        <x:v>0</x:v>
      </x:c>
      <x:c r="T739" t="n">
        <x:f>IF(AND(MAX(N739,N738)&gt;0,N739&gt;N738+0.00000001),1,0)</x:f>
        <x:v>0</x:v>
      </x:c>
      <x:c r="U739" t="n">
        <x:f>IF(AND(MAX(O739,O738)&gt;0,O739&gt;O738+0.00000001),1,0)</x:f>
        <x:v>0</x:v>
      </x:c>
    </x:row>
    <x:row r="740">
      <x:c r="J740" t="n">
        <x:f>IF(AND(ISNUMBER('Results'!B7),ISNUMBER('Results'!C7),ISNUMBER('Results'!$B$8),ISNUMBER('Inputs'!$B$6),ISNUMBER('Inputs'!$B$7),ISNUMBER('Inputs'!$B$8),ISNUMBER('Inputs'!$B$9),ISNUMBER('Inputs'!$B$10),ISNUMBER('Inputs'!$B$21),ISNUMBER('Inputs'!$B$24),ISNUMBER('Inputs'!$B$28)),(('Results'!B7*(0.5*((((740-43)*MAX('Inputs'!$B$33,'Inputs'!$B$29+'Inputs'!$B$31+'Inputs'!$B$32,'Inputs'!$B$30+'Inputs'!$B$31+'Inputs'!$B$32)/1000+'Inputs'!$B$21)+'Inputs'!$B$7)/SQRT((((740-43)*MAX('Inputs'!$B$33,'Inputs'!$B$29+'Inputs'!$B$31+'Inputs'!$B$32,'Inputs'!$B$30+'Inputs'!$B$31+'Inputs'!$B$32)/1000+'Inputs'!$B$21)+'Inputs'!$B$7)^2+('Inputs'!$B$6/2)^2)-(((740-43)*MAX('Inputs'!$B$33,'Inputs'!$B$29+'Inputs'!$B$31+'Inputs'!$B$32,'Inputs'!$B$30+'Inputs'!$B$31+'Inputs'!$B$32)/1000+'Inputs'!$B$21))/SQRT((((740-43)*MAX('Inputs'!$B$33,'Inputs'!$B$29+'Inputs'!$B$31+'Inputs'!$B$32,'Inputs'!$B$30+'Inputs'!$B$31+'Inputs'!$B$32)/1000+'Inputs'!$B$21))^2+('Inputs'!$B$6/2)^2)))-'Results'!C7*(0.5*((((740-43)*MAX('Inputs'!$B$33,'Inputs'!$B$29+'Inputs'!$B$31+'Inputs'!$B$32,'Inputs'!$B$30+'Inputs'!$B$31+'Inputs'!$B$32)/1000+'Inputs'!$B$21+'Inputs'!$B$7+'Inputs'!$B$10)+'Inputs'!$B$9)/SQRT((((740-43)*MAX('Inputs'!$B$33,'Inputs'!$B$29+'Inputs'!$B$31+'Inputs'!$B$32,'Inputs'!$B$30+'Inputs'!$B$31+'Inputs'!$B$32)/1000+'Inputs'!$B$21+'Inputs'!$B$7+'Inputs'!$B$10)+'Inputs'!$B$9)^2+('Inputs'!$B$8/2)^2)-(((740-43)*MAX('Inputs'!$B$33,'Inputs'!$B$29+'Inputs'!$B$31+'Inputs'!$B$32,'Inputs'!$B$30+'Inputs'!$B$31+'Inputs'!$B$32)/1000+'Inputs'!$B$21+'Inputs'!$B$7+'Inputs'!$B$10))/SQRT((((740-43)*MAX('Inputs'!$B$33,'Inputs'!$B$29+'Inputs'!$B$31+'Inputs'!$B$32,'Inputs'!$B$30+'Inputs'!$B$31+'Inputs'!$B$32)/1000+'Inputs'!$B$21+'Inputs'!$B$7+'Inputs'!$B$10))^2+('Inputs'!$B$8/2)^2))))*'Results'!$B$8),"")</x:f>
        <x:v>1.3123688082029015</x:v>
      </x:c>
      <x:c r="K740" t="n">
        <x:f>IF(AND(ISNUMBER('Results'!B7),ISNUMBER('Results'!C7),ISNUMBER('Results'!$B$8),ISNUMBER('Inputs'!$B$6),ISNUMBER('Inputs'!$B$7),ISNUMBER('Inputs'!$B$8),ISNUMBER('Inputs'!$B$9),ISNUMBER('Inputs'!$B$10),ISNUMBER('Inputs'!$B$21),ISNUMBER('Inputs'!$B$24),ISNUMBER('Inputs'!$B$28)),((('Results'!B7*(1-'Inputs'!$B$24)*(0.5*((((740-43)*MAX('Inputs'!$B$33,'Inputs'!$B$29+'Inputs'!$B$31+'Inputs'!$B$32,'Inputs'!$B$30+'Inputs'!$B$31+'Inputs'!$B$32)/1000+'Inputs'!$B$21)+'Inputs'!$B$7)/SQRT((((740-43)*MAX('Inputs'!$B$33,'Inputs'!$B$29+'Inputs'!$B$31+'Inputs'!$B$32,'Inputs'!$B$30+'Inputs'!$B$31+'Inputs'!$B$32)/1000+'Inputs'!$B$21)+'Inputs'!$B$7)^2+('Inputs'!$B$6/2)^2)-(((740-43)*MAX('Inputs'!$B$33,'Inputs'!$B$29+'Inputs'!$B$31+'Inputs'!$B$32,'Inputs'!$B$30+'Inputs'!$B$31+'Inputs'!$B$32)/1000+'Inputs'!$B$21))/SQRT((((740-43)*MAX('Inputs'!$B$33,'Inputs'!$B$29+'Inputs'!$B$31+'Inputs'!$B$32,'Inputs'!$B$30+'Inputs'!$B$31+'Inputs'!$B$32)/1000+'Inputs'!$B$21))^2+('Inputs'!$B$6/2)^2)))-'Results'!C7*(1+'Inputs'!$B$24)*(0.5*((((740-43)*MAX('Inputs'!$B$33,'Inputs'!$B$29+'Inputs'!$B$31+'Inputs'!$B$32,'Inputs'!$B$30+'Inputs'!$B$31+'Inputs'!$B$32)/1000+'Inputs'!$B$21+'Inputs'!$B$7+'Inputs'!$B$10)+'Inputs'!$B$9)/SQRT((((740-43)*MAX('Inputs'!$B$33,'Inputs'!$B$29+'Inputs'!$B$31+'Inputs'!$B$32,'Inputs'!$B$30+'Inputs'!$B$31+'Inputs'!$B$32)/1000+'Inputs'!$B$21+'Inputs'!$B$7+'Inputs'!$B$10)+'Inputs'!$B$9)^2+('Inputs'!$B$8/2)^2)-(((740-43)*MAX('Inputs'!$B$33,'Inputs'!$B$29+'Inputs'!$B$31+'Inputs'!$B$32,'Inputs'!$B$30+'Inputs'!$B$31+'Inputs'!$B$32)/1000+'Inputs'!$B$21+'Inputs'!$B$7+'Inputs'!$B$10))/SQRT((((740-43)*MAX('Inputs'!$B$33,'Inputs'!$B$29+'Inputs'!$B$31+'Inputs'!$B$32,'Inputs'!$B$30+'Inputs'!$B$31+'Inputs'!$B$32)/1000+'Inputs'!$B$21+'Inputs'!$B$7+'Inputs'!$B$10))^2+('Inputs'!$B$8/2)^2))))*'Results'!$B$8)-'Inputs'!$B$28*ABS((('Results'!B7*(1-'Inputs'!$B$24)*(0.5*((((740-43)*MAX('Inputs'!$B$33,'Inputs'!$B$29+'Inputs'!$B$31+'Inputs'!$B$32,'Inputs'!$B$30+'Inputs'!$B$31+'Inputs'!$B$32)/1000+'Inputs'!$B$21)+'Inputs'!$B$7)/SQRT((((740-43)*MAX('Inputs'!$B$33,'Inputs'!$B$29+'Inputs'!$B$31+'Inputs'!$B$32,'Inputs'!$B$30+'Inputs'!$B$31+'Inputs'!$B$32)/1000+'Inputs'!$B$21)+'Inputs'!$B$7)^2+('Inputs'!$B$6/2)^2)-(((740-43)*MAX('Inputs'!$B$33,'Inputs'!$B$29+'Inputs'!$B$31+'Inputs'!$B$32,'Inputs'!$B$30+'Inputs'!$B$31+'Inputs'!$B$32)/1000+'Inputs'!$B$21))/SQRT((((740-43)*MAX('Inputs'!$B$33,'Inputs'!$B$29+'Inputs'!$B$31+'Inputs'!$B$32,'Inputs'!$B$30+'Inputs'!$B$31+'Inputs'!$B$32)/1000+'Inputs'!$B$21))^2+('Inputs'!$B$6/2)^2)))-'Results'!C7*(1+'Inputs'!$B$24)*(0.5*((((740-43)*MAX('Inputs'!$B$33,'Inputs'!$B$29+'Inputs'!$B$31+'Inputs'!$B$32,'Inputs'!$B$30+'Inputs'!$B$31+'Inputs'!$B$32)/1000+'Inputs'!$B$21+'Inputs'!$B$7+'Inputs'!$B$10)+'Inputs'!$B$9)/SQRT((((740-43)*MAX('Inputs'!$B$33,'Inputs'!$B$29+'Inputs'!$B$31+'Inputs'!$B$32,'Inputs'!$B$30+'Inputs'!$B$31+'Inputs'!$B$32)/1000+'Inputs'!$B$21+'Inputs'!$B$7+'Inputs'!$B$10)+'Inputs'!$B$9)^2+('Inputs'!$B$8/2)^2)-(((740-43)*MAX('Inputs'!$B$33,'Inputs'!$B$29+'Inputs'!$B$31+'Inputs'!$B$32,'Inputs'!$B$30+'Inputs'!$B$31+'Inputs'!$B$32)/1000+'Inputs'!$B$21+'Inputs'!$B$7+'Inputs'!$B$10))/SQRT((((740-43)*MAX('Inputs'!$B$33,'Inputs'!$B$29+'Inputs'!$B$31+'Inputs'!$B$32,'Inputs'!$B$30+'Inputs'!$B$31+'Inputs'!$B$32)/1000+'Inputs'!$B$21+'Inputs'!$B$7+'Inputs'!$B$10))^2+('Inputs'!$B$8/2)^2))))*'Results'!$B$8))),"")</x:f>
        <x:v>1.1366951076499519</x:v>
      </x:c>
      <x:c r="L740" t="n">
        <x:f>IF(AND(ISNUMBER('Results'!B7),ISNUMBER('Results'!C7),ISNUMBER('Results'!$B$8),ISNUMBER('Inputs'!$B$6),ISNUMBER('Inputs'!$B$7),ISNUMBER('Inputs'!$B$8),ISNUMBER('Inputs'!$B$9),ISNUMBER('Inputs'!$B$10),ISNUMBER('Inputs'!$B$21),ISNUMBER('Inputs'!$B$24),ISNUMBER('Inputs'!$B$28)),((('Results'!B7*(1+'Inputs'!$B$24)*(0.5*((((740-43)*MAX('Inputs'!$B$33,'Inputs'!$B$29+'Inputs'!$B$31+'Inputs'!$B$32,'Inputs'!$B$30+'Inputs'!$B$31+'Inputs'!$B$32)/1000+'Inputs'!$B$21)+'Inputs'!$B$7)/SQRT((((740-43)*MAX('Inputs'!$B$33,'Inputs'!$B$29+'Inputs'!$B$31+'Inputs'!$B$32,'Inputs'!$B$30+'Inputs'!$B$31+'Inputs'!$B$32)/1000+'Inputs'!$B$21)+'Inputs'!$B$7)^2+('Inputs'!$B$6/2)^2)-(((740-43)*MAX('Inputs'!$B$33,'Inputs'!$B$29+'Inputs'!$B$31+'Inputs'!$B$32,'Inputs'!$B$30+'Inputs'!$B$31+'Inputs'!$B$32)/1000+'Inputs'!$B$21))/SQRT((((740-43)*MAX('Inputs'!$B$33,'Inputs'!$B$29+'Inputs'!$B$31+'Inputs'!$B$32,'Inputs'!$B$30+'Inputs'!$B$31+'Inputs'!$B$32)/1000+'Inputs'!$B$21))^2+('Inputs'!$B$6/2)^2)))-'Results'!C7*(1-'Inputs'!$B$24)*(0.5*((((740-43)*MAX('Inputs'!$B$33,'Inputs'!$B$29+'Inputs'!$B$31+'Inputs'!$B$32,'Inputs'!$B$30+'Inputs'!$B$31+'Inputs'!$B$32)/1000+'Inputs'!$B$21+'Inputs'!$B$7+'Inputs'!$B$10)+'Inputs'!$B$9)/SQRT((((740-43)*MAX('Inputs'!$B$33,'Inputs'!$B$29+'Inputs'!$B$31+'Inputs'!$B$32,'Inputs'!$B$30+'Inputs'!$B$31+'Inputs'!$B$32)/1000+'Inputs'!$B$21+'Inputs'!$B$7+'Inputs'!$B$10)+'Inputs'!$B$9)^2+('Inputs'!$B$8/2)^2)-(((740-43)*MAX('Inputs'!$B$33,'Inputs'!$B$29+'Inputs'!$B$31+'Inputs'!$B$32,'Inputs'!$B$30+'Inputs'!$B$31+'Inputs'!$B$32)/1000+'Inputs'!$B$21+'Inputs'!$B$7+'Inputs'!$B$10))/SQRT((((740-43)*MAX('Inputs'!$B$33,'Inputs'!$B$29+'Inputs'!$B$31+'Inputs'!$B$32,'Inputs'!$B$30+'Inputs'!$B$31+'Inputs'!$B$32)/1000+'Inputs'!$B$21+'Inputs'!$B$7+'Inputs'!$B$10))^2+('Inputs'!$B$8/2)^2))))*'Results'!$B$8)+'Inputs'!$B$28*ABS((('Results'!B7*(1+'Inputs'!$B$24)*(0.5*((((740-43)*MAX('Inputs'!$B$33,'Inputs'!$B$29+'Inputs'!$B$31+'Inputs'!$B$32,'Inputs'!$B$30+'Inputs'!$B$31+'Inputs'!$B$32)/1000+'Inputs'!$B$21)+'Inputs'!$B$7)/SQRT((((740-43)*MAX('Inputs'!$B$33,'Inputs'!$B$29+'Inputs'!$B$31+'Inputs'!$B$32,'Inputs'!$B$30+'Inputs'!$B$31+'Inputs'!$B$32)/1000+'Inputs'!$B$21)+'Inputs'!$B$7)^2+('Inputs'!$B$6/2)^2)-(((740-43)*MAX('Inputs'!$B$33,'Inputs'!$B$29+'Inputs'!$B$31+'Inputs'!$B$32,'Inputs'!$B$30+'Inputs'!$B$31+'Inputs'!$B$32)/1000+'Inputs'!$B$21))/SQRT((((740-43)*MAX('Inputs'!$B$33,'Inputs'!$B$29+'Inputs'!$B$31+'Inputs'!$B$32,'Inputs'!$B$30+'Inputs'!$B$31+'Inputs'!$B$32)/1000+'Inputs'!$B$21))^2+('Inputs'!$B$6/2)^2)))-'Results'!C7*(1-'Inputs'!$B$24)*(0.5*((((740-43)*MAX('Inputs'!$B$33,'Inputs'!$B$29+'Inputs'!$B$31+'Inputs'!$B$32,'Inputs'!$B$30+'Inputs'!$B$31+'Inputs'!$B$32)/1000+'Inputs'!$B$21+'Inputs'!$B$7+'Inputs'!$B$10)+'Inputs'!$B$9)/SQRT((((740-43)*MAX('Inputs'!$B$33,'Inputs'!$B$29+'Inputs'!$B$31+'Inputs'!$B$32,'Inputs'!$B$30+'Inputs'!$B$31+'Inputs'!$B$32)/1000+'Inputs'!$B$21+'Inputs'!$B$7+'Inputs'!$B$10)+'Inputs'!$B$9)^2+('Inputs'!$B$8/2)^2)-(((740-43)*MAX('Inputs'!$B$33,'Inputs'!$B$29+'Inputs'!$B$31+'Inputs'!$B$32,'Inputs'!$B$30+'Inputs'!$B$31+'Inputs'!$B$32)/1000+'Inputs'!$B$21+'Inputs'!$B$7+'Inputs'!$B$10))/SQRT((((740-43)*MAX('Inputs'!$B$33,'Inputs'!$B$29+'Inputs'!$B$31+'Inputs'!$B$32,'Inputs'!$B$30+'Inputs'!$B$31+'Inputs'!$B$32)/1000+'Inputs'!$B$21+'Inputs'!$B$7+'Inputs'!$B$10))^2+('Inputs'!$B$8/2)^2))))*'Results'!$B$8))),"")</x:f>
        <x:v>1.4996272729814093</x:v>
      </x:c>
      <x:c r="M740" t="n">
        <x:f>IF(AND(ISNUMBER('Results'!C7),ISNUMBER('Results'!B7),ISNUMBER('Results'!$B$8),ISNUMBER('Inputs'!$B$6),ISNUMBER('Inputs'!$B$7),ISNUMBER('Inputs'!$B$8),ISNUMBER('Inputs'!$B$9),ISNUMBER('Inputs'!$B$10),ISNUMBER('Inputs'!$B$21),ISNUMBER('Inputs'!$B$24),ISNUMBER('Inputs'!$B$28)),(('Results'!C7*(0.5*((((740-43)*MAX('Inputs'!$B$33,'Inputs'!$B$29+'Inputs'!$B$31+'Inputs'!$B$32,'Inputs'!$B$30+'Inputs'!$B$31+'Inputs'!$B$32)/1000+'Inputs'!$B$21)+'Inputs'!$B$9)/SQRT((((740-43)*MAX('Inputs'!$B$33,'Inputs'!$B$29+'Inputs'!$B$31+'Inputs'!$B$32,'Inputs'!$B$30+'Inputs'!$B$31+'Inputs'!$B$32)/1000+'Inputs'!$B$21)+'Inputs'!$B$9)^2+('Inputs'!$B$8/2)^2)-(((740-43)*MAX('Inputs'!$B$33,'Inputs'!$B$29+'Inputs'!$B$31+'Inputs'!$B$32,'Inputs'!$B$30+'Inputs'!$B$31+'Inputs'!$B$32)/1000+'Inputs'!$B$21))/SQRT((((740-43)*MAX('Inputs'!$B$33,'Inputs'!$B$29+'Inputs'!$B$31+'Inputs'!$B$32,'Inputs'!$B$30+'Inputs'!$B$31+'Inputs'!$B$32)/1000+'Inputs'!$B$21))^2+('Inputs'!$B$8/2)^2)))-'Results'!B7*(0.5*((((740-43)*MAX('Inputs'!$B$33,'Inputs'!$B$29+'Inputs'!$B$31+'Inputs'!$B$32,'Inputs'!$B$30+'Inputs'!$B$31+'Inputs'!$B$32)/1000+'Inputs'!$B$21+'Inputs'!$B$9+'Inputs'!$B$10)+'Inputs'!$B$7)/SQRT((((740-43)*MAX('Inputs'!$B$33,'Inputs'!$B$29+'Inputs'!$B$31+'Inputs'!$B$32,'Inputs'!$B$30+'Inputs'!$B$31+'Inputs'!$B$32)/1000+'Inputs'!$B$21+'Inputs'!$B$9+'Inputs'!$B$10)+'Inputs'!$B$7)^2+('Inputs'!$B$6/2)^2)-(((740-43)*MAX('Inputs'!$B$33,'Inputs'!$B$29+'Inputs'!$B$31+'Inputs'!$B$32,'Inputs'!$B$30+'Inputs'!$B$31+'Inputs'!$B$32)/1000+'Inputs'!$B$21+'Inputs'!$B$9+'Inputs'!$B$10))/SQRT((((740-43)*MAX('Inputs'!$B$33,'Inputs'!$B$29+'Inputs'!$B$31+'Inputs'!$B$32,'Inputs'!$B$30+'Inputs'!$B$31+'Inputs'!$B$32)/1000+'Inputs'!$B$21+'Inputs'!$B$9+'Inputs'!$B$10))^2+('Inputs'!$B$6/2)^2))))*'Results'!$B$8),"")</x:f>
        <x:v>1.1956068775178128</x:v>
      </x:c>
      <x:c r="N740" t="n">
        <x:f>IF(AND(ISNUMBER('Results'!C7),ISNUMBER('Results'!B7),ISNUMBER('Results'!$B$8),ISNUMBER('Inputs'!$B$6),ISNUMBER('Inputs'!$B$7),ISNUMBER('Inputs'!$B$8),ISNUMBER('Inputs'!$B$9),ISNUMBER('Inputs'!$B$10),ISNUMBER('Inputs'!$B$21),ISNUMBER('Inputs'!$B$24),ISNUMBER('Inputs'!$B$28)),((('Results'!C7*(1-'Inputs'!$B$24)*(0.5*((((740-43)*MAX('Inputs'!$B$33,'Inputs'!$B$29+'Inputs'!$B$31+'Inputs'!$B$32,'Inputs'!$B$30+'Inputs'!$B$31+'Inputs'!$B$32)/1000+'Inputs'!$B$21)+'Inputs'!$B$9)/SQRT((((740-43)*MAX('Inputs'!$B$33,'Inputs'!$B$29+'Inputs'!$B$31+'Inputs'!$B$32,'Inputs'!$B$30+'Inputs'!$B$31+'Inputs'!$B$32)/1000+'Inputs'!$B$21)+'Inputs'!$B$9)^2+('Inputs'!$B$8/2)^2)-(((740-43)*MAX('Inputs'!$B$33,'Inputs'!$B$29+'Inputs'!$B$31+'Inputs'!$B$32,'Inputs'!$B$30+'Inputs'!$B$31+'Inputs'!$B$32)/1000+'Inputs'!$B$21))/SQRT((((740-43)*MAX('Inputs'!$B$33,'Inputs'!$B$29+'Inputs'!$B$31+'Inputs'!$B$32,'Inputs'!$B$30+'Inputs'!$B$31+'Inputs'!$B$32)/1000+'Inputs'!$B$21))^2+('Inputs'!$B$8/2)^2)))-'Results'!B7*(1+'Inputs'!$B$24)*(0.5*((((740-43)*MAX('Inputs'!$B$33,'Inputs'!$B$29+'Inputs'!$B$31+'Inputs'!$B$32,'Inputs'!$B$30+'Inputs'!$B$31+'Inputs'!$B$32)/1000+'Inputs'!$B$21+'Inputs'!$B$9+'Inputs'!$B$10)+'Inputs'!$B$7)/SQRT((((740-43)*MAX('Inputs'!$B$33,'Inputs'!$B$29+'Inputs'!$B$31+'Inputs'!$B$32,'Inputs'!$B$30+'Inputs'!$B$31+'Inputs'!$B$32)/1000+'Inputs'!$B$21+'Inputs'!$B$9+'Inputs'!$B$10)+'Inputs'!$B$7)^2+('Inputs'!$B$6/2)^2)-(((740-43)*MAX('Inputs'!$B$33,'Inputs'!$B$29+'Inputs'!$B$31+'Inputs'!$B$32,'Inputs'!$B$30+'Inputs'!$B$31+'Inputs'!$B$32)/1000+'Inputs'!$B$21+'Inputs'!$B$9+'Inputs'!$B$10))/SQRT((((740-43)*MAX('Inputs'!$B$33,'Inputs'!$B$29+'Inputs'!$B$31+'Inputs'!$B$32,'Inputs'!$B$30+'Inputs'!$B$31+'Inputs'!$B$32)/1000+'Inputs'!$B$21+'Inputs'!$B$9+'Inputs'!$B$10))^2+('Inputs'!$B$6/2)^2))))*'Results'!$B$8)-'Inputs'!$B$28*ABS((('Results'!C7*(1-'Inputs'!$B$24)*(0.5*((((740-43)*MAX('Inputs'!$B$33,'Inputs'!$B$29+'Inputs'!$B$31+'Inputs'!$B$32,'Inputs'!$B$30+'Inputs'!$B$31+'Inputs'!$B$32)/1000+'Inputs'!$B$21)+'Inputs'!$B$9)/SQRT((((740-43)*MAX('Inputs'!$B$33,'Inputs'!$B$29+'Inputs'!$B$31+'Inputs'!$B$32,'Inputs'!$B$30+'Inputs'!$B$31+'Inputs'!$B$32)/1000+'Inputs'!$B$21)+'Inputs'!$B$9)^2+('Inputs'!$B$8/2)^2)-(((740-43)*MAX('Inputs'!$B$33,'Inputs'!$B$29+'Inputs'!$B$31+'Inputs'!$B$32,'Inputs'!$B$30+'Inputs'!$B$31+'Inputs'!$B$32)/1000+'Inputs'!$B$21))/SQRT((((740-43)*MAX('Inputs'!$B$33,'Inputs'!$B$29+'Inputs'!$B$31+'Inputs'!$B$32,'Inputs'!$B$30+'Inputs'!$B$31+'Inputs'!$B$32)/1000+'Inputs'!$B$21))^2+('Inputs'!$B$8/2)^2)))-'Results'!B7*(1+'Inputs'!$B$24)*(0.5*((((740-43)*MAX('Inputs'!$B$33,'Inputs'!$B$29+'Inputs'!$B$31+'Inputs'!$B$32,'Inputs'!$B$30+'Inputs'!$B$31+'Inputs'!$B$32)/1000+'Inputs'!$B$21+'Inputs'!$B$9+'Inputs'!$B$10)+'Inputs'!$B$7)/SQRT((((740-43)*MAX('Inputs'!$B$33,'Inputs'!$B$29+'Inputs'!$B$31+'Inputs'!$B$32,'Inputs'!$B$30+'Inputs'!$B$31+'Inputs'!$B$32)/1000+'Inputs'!$B$21+'Inputs'!$B$9+'Inputs'!$B$10)+'Inputs'!$B$7)^2+('Inputs'!$B$6/2)^2)-(((740-43)*MAX('Inputs'!$B$33,'Inputs'!$B$29+'Inputs'!$B$31+'Inputs'!$B$32,'Inputs'!$B$30+'Inputs'!$B$31+'Inputs'!$B$32)/1000+'Inputs'!$B$21+'Inputs'!$B$9+'Inputs'!$B$10))/SQRT((((740-43)*MAX('Inputs'!$B$33,'Inputs'!$B$29+'Inputs'!$B$31+'Inputs'!$B$32,'Inputs'!$B$30+'Inputs'!$B$31+'Inputs'!$B$32)/1000+'Inputs'!$B$21+'Inputs'!$B$9+'Inputs'!$B$10))^2+('Inputs'!$B$6/2)^2))))*'Results'!$B$8))),"")</x:f>
        <x:v>1.0262526021660738</x:v>
      </x:c>
      <x:c r="O740" t="n">
        <x:f>IF(AND(ISNUMBER('Results'!C7),ISNUMBER('Results'!B7),ISNUMBER('Results'!$B$8),ISNUMBER('Inputs'!$B$6),ISNUMBER('Inputs'!$B$7),ISNUMBER('Inputs'!$B$8),ISNUMBER('Inputs'!$B$9),ISNUMBER('Inputs'!$B$10),ISNUMBER('Inputs'!$B$21),ISNUMBER('Inputs'!$B$24),ISNUMBER('Inputs'!$B$28)),((('Results'!C7*(1+'Inputs'!$B$24)*(0.5*((((740-43)*MAX('Inputs'!$B$33,'Inputs'!$B$29+'Inputs'!$B$31+'Inputs'!$B$32,'Inputs'!$B$30+'Inputs'!$B$31+'Inputs'!$B$32)/1000+'Inputs'!$B$21)+'Inputs'!$B$9)/SQRT((((740-43)*MAX('Inputs'!$B$33,'Inputs'!$B$29+'Inputs'!$B$31+'Inputs'!$B$32,'Inputs'!$B$30+'Inputs'!$B$31+'Inputs'!$B$32)/1000+'Inputs'!$B$21)+'Inputs'!$B$9)^2+('Inputs'!$B$8/2)^2)-(((740-43)*MAX('Inputs'!$B$33,'Inputs'!$B$29+'Inputs'!$B$31+'Inputs'!$B$32,'Inputs'!$B$30+'Inputs'!$B$31+'Inputs'!$B$32)/1000+'Inputs'!$B$21))/SQRT((((740-43)*MAX('Inputs'!$B$33,'Inputs'!$B$29+'Inputs'!$B$31+'Inputs'!$B$32,'Inputs'!$B$30+'Inputs'!$B$31+'Inputs'!$B$32)/1000+'Inputs'!$B$21))^2+('Inputs'!$B$8/2)^2)))-'Results'!B7*(1-'Inputs'!$B$24)*(0.5*((((740-43)*MAX('Inputs'!$B$33,'Inputs'!$B$29+'Inputs'!$B$31+'Inputs'!$B$32,'Inputs'!$B$30+'Inputs'!$B$31+'Inputs'!$B$32)/1000+'Inputs'!$B$21+'Inputs'!$B$9+'Inputs'!$B$10)+'Inputs'!$B$7)/SQRT((((740-43)*MAX('Inputs'!$B$33,'Inputs'!$B$29+'Inputs'!$B$31+'Inputs'!$B$32,'Inputs'!$B$30+'Inputs'!$B$31+'Inputs'!$B$32)/1000+'Inputs'!$B$21+'Inputs'!$B$9+'Inputs'!$B$10)+'Inputs'!$B$7)^2+('Inputs'!$B$6/2)^2)-(((740-43)*MAX('Inputs'!$B$33,'Inputs'!$B$29+'Inputs'!$B$31+'Inputs'!$B$32,'Inputs'!$B$30+'Inputs'!$B$31+'Inputs'!$B$32)/1000+'Inputs'!$B$21+'Inputs'!$B$9+'Inputs'!$B$10))/SQRT((((740-43)*MAX('Inputs'!$B$33,'Inputs'!$B$29+'Inputs'!$B$31+'Inputs'!$B$32,'Inputs'!$B$30+'Inputs'!$B$31+'Inputs'!$B$32)/1000+'Inputs'!$B$21+'Inputs'!$B$9+'Inputs'!$B$10))^2+('Inputs'!$B$6/2)^2))))*'Results'!$B$8)+'Inputs'!$B$28*ABS((('Results'!C7*(1+'Inputs'!$B$24)*(0.5*((((740-43)*MAX('Inputs'!$B$33,'Inputs'!$B$29+'Inputs'!$B$31+'Inputs'!$B$32,'Inputs'!$B$30+'Inputs'!$B$31+'Inputs'!$B$32)/1000+'Inputs'!$B$21)+'Inputs'!$B$9)/SQRT((((740-43)*MAX('Inputs'!$B$33,'Inputs'!$B$29+'Inputs'!$B$31+'Inputs'!$B$32,'Inputs'!$B$30+'Inputs'!$B$31+'Inputs'!$B$32)/1000+'Inputs'!$B$21)+'Inputs'!$B$9)^2+('Inputs'!$B$8/2)^2)-(((740-43)*MAX('Inputs'!$B$33,'Inputs'!$B$29+'Inputs'!$B$31+'Inputs'!$B$32,'Inputs'!$B$30+'Inputs'!$B$31+'Inputs'!$B$32)/1000+'Inputs'!$B$21))/SQRT((((740-43)*MAX('Inputs'!$B$33,'Inputs'!$B$29+'Inputs'!$B$31+'Inputs'!$B$32,'Inputs'!$B$30+'Inputs'!$B$31+'Inputs'!$B$32)/1000+'Inputs'!$B$21))^2+('Inputs'!$B$8/2)^2)))-'Results'!B7*(1-'Inputs'!$B$24)*(0.5*((((740-43)*MAX('Inputs'!$B$33,'Inputs'!$B$29+'Inputs'!$B$31+'Inputs'!$B$32,'Inputs'!$B$30+'Inputs'!$B$31+'Inputs'!$B$32)/1000+'Inputs'!$B$21+'Inputs'!$B$9+'Inputs'!$B$10)+'Inputs'!$B$7)/SQRT((((740-43)*MAX('Inputs'!$B$33,'Inputs'!$B$29+'Inputs'!$B$31+'Inputs'!$B$32,'Inputs'!$B$30+'Inputs'!$B$31+'Inputs'!$B$32)/1000+'Inputs'!$B$21+'Inputs'!$B$9+'Inputs'!$B$10)+'Inputs'!$B$7)^2+('Inputs'!$B$6/2)^2)-(((740-43)*MAX('Inputs'!$B$33,'Inputs'!$B$29+'Inputs'!$B$31+'Inputs'!$B$32,'Inputs'!$B$30+'Inputs'!$B$31+'Inputs'!$B$32)/1000+'Inputs'!$B$21+'Inputs'!$B$9+'Inputs'!$B$10))/SQRT((((740-43)*MAX('Inputs'!$B$33,'Inputs'!$B$29+'Inputs'!$B$31+'Inputs'!$B$32,'Inputs'!$B$30+'Inputs'!$B$31+'Inputs'!$B$32)/1000+'Inputs'!$B$21+'Inputs'!$B$9+'Inputs'!$B$10))^2+('Inputs'!$B$6/2)^2))))*'Results'!$B$8))),"")</x:f>
        <x:v>1.3764952509196404</x:v>
      </x:c>
      <x:c r="P740" t="n">
        <x:f>IF(AND(MAX(J740,J739)&gt;0,J740&gt;J739+0.00000001),1,0)</x:f>
        <x:v>0</x:v>
      </x:c>
      <x:c r="Q740" t="n">
        <x:f>IF(AND(MAX(K740,K739)&gt;0,K740&gt;K739+0.00000001),1,0)</x:f>
        <x:v>0</x:v>
      </x:c>
      <x:c r="R740" t="n">
        <x:f>IF(AND(MAX(L740,L739)&gt;0,L740&gt;L739+0.00000001),1,0)</x:f>
        <x:v>0</x:v>
      </x:c>
      <x:c r="S740" t="n">
        <x:f>IF(AND(MAX(M740,M739)&gt;0,M740&gt;M739+0.00000001),1,0)</x:f>
        <x:v>0</x:v>
      </x:c>
      <x:c r="T740" t="n">
        <x:f>IF(AND(MAX(N740,N739)&gt;0,N740&gt;N739+0.00000001),1,0)</x:f>
        <x:v>0</x:v>
      </x:c>
      <x:c r="U740" t="n">
        <x:f>IF(AND(MAX(O740,O739)&gt;0,O740&gt;O739+0.00000001),1,0)</x:f>
        <x:v>0</x:v>
      </x:c>
    </x:row>
    <x:row r="741">
      <x:c r="J741" t="n">
        <x:f>IF(AND(ISNUMBER('Results'!B7),ISNUMBER('Results'!C7),ISNUMBER('Results'!$B$8),ISNUMBER('Inputs'!$B$6),ISNUMBER('Inputs'!$B$7),ISNUMBER('Inputs'!$B$8),ISNUMBER('Inputs'!$B$9),ISNUMBER('Inputs'!$B$10),ISNUMBER('Inputs'!$B$21),ISNUMBER('Inputs'!$B$24),ISNUMBER('Inputs'!$B$28)),(('Results'!B7*(0.5*((((741-43)*MAX('Inputs'!$B$33,'Inputs'!$B$29+'Inputs'!$B$31+'Inputs'!$B$32,'Inputs'!$B$30+'Inputs'!$B$31+'Inputs'!$B$32)/1000+'Inputs'!$B$21)+'Inputs'!$B$7)/SQRT((((741-43)*MAX('Inputs'!$B$33,'Inputs'!$B$29+'Inputs'!$B$31+'Inputs'!$B$32,'Inputs'!$B$30+'Inputs'!$B$31+'Inputs'!$B$32)/1000+'Inputs'!$B$21)+'Inputs'!$B$7)^2+('Inputs'!$B$6/2)^2)-(((741-43)*MAX('Inputs'!$B$33,'Inputs'!$B$29+'Inputs'!$B$31+'Inputs'!$B$32,'Inputs'!$B$30+'Inputs'!$B$31+'Inputs'!$B$32)/1000+'Inputs'!$B$21))/SQRT((((741-43)*MAX('Inputs'!$B$33,'Inputs'!$B$29+'Inputs'!$B$31+'Inputs'!$B$32,'Inputs'!$B$30+'Inputs'!$B$31+'Inputs'!$B$32)/1000+'Inputs'!$B$21))^2+('Inputs'!$B$6/2)^2)))-'Results'!C7*(0.5*((((741-43)*MAX('Inputs'!$B$33,'Inputs'!$B$29+'Inputs'!$B$31+'Inputs'!$B$32,'Inputs'!$B$30+'Inputs'!$B$31+'Inputs'!$B$32)/1000+'Inputs'!$B$21+'Inputs'!$B$7+'Inputs'!$B$10)+'Inputs'!$B$9)/SQRT((((741-43)*MAX('Inputs'!$B$33,'Inputs'!$B$29+'Inputs'!$B$31+'Inputs'!$B$32,'Inputs'!$B$30+'Inputs'!$B$31+'Inputs'!$B$32)/1000+'Inputs'!$B$21+'Inputs'!$B$7+'Inputs'!$B$10)+'Inputs'!$B$9)^2+('Inputs'!$B$8/2)^2)-(((741-43)*MAX('Inputs'!$B$33,'Inputs'!$B$29+'Inputs'!$B$31+'Inputs'!$B$32,'Inputs'!$B$30+'Inputs'!$B$31+'Inputs'!$B$32)/1000+'Inputs'!$B$21+'Inputs'!$B$7+'Inputs'!$B$10))/SQRT((((741-43)*MAX('Inputs'!$B$33,'Inputs'!$B$29+'Inputs'!$B$31+'Inputs'!$B$32,'Inputs'!$B$30+'Inputs'!$B$31+'Inputs'!$B$32)/1000+'Inputs'!$B$21+'Inputs'!$B$7+'Inputs'!$B$10))^2+('Inputs'!$B$8/2)^2))))*'Results'!$B$8),"")</x:f>
        <x:v>1.3057034912601813</x:v>
      </x:c>
      <x:c r="K741" t="n">
        <x:f>IF(AND(ISNUMBER('Results'!B7),ISNUMBER('Results'!C7),ISNUMBER('Results'!$B$8),ISNUMBER('Inputs'!$B$6),ISNUMBER('Inputs'!$B$7),ISNUMBER('Inputs'!$B$8),ISNUMBER('Inputs'!$B$9),ISNUMBER('Inputs'!$B$10),ISNUMBER('Inputs'!$B$21),ISNUMBER('Inputs'!$B$24),ISNUMBER('Inputs'!$B$28)),((('Results'!B7*(1-'Inputs'!$B$24)*(0.5*((((741-43)*MAX('Inputs'!$B$33,'Inputs'!$B$29+'Inputs'!$B$31+'Inputs'!$B$32,'Inputs'!$B$30+'Inputs'!$B$31+'Inputs'!$B$32)/1000+'Inputs'!$B$21)+'Inputs'!$B$7)/SQRT((((741-43)*MAX('Inputs'!$B$33,'Inputs'!$B$29+'Inputs'!$B$31+'Inputs'!$B$32,'Inputs'!$B$30+'Inputs'!$B$31+'Inputs'!$B$32)/1000+'Inputs'!$B$21)+'Inputs'!$B$7)^2+('Inputs'!$B$6/2)^2)-(((741-43)*MAX('Inputs'!$B$33,'Inputs'!$B$29+'Inputs'!$B$31+'Inputs'!$B$32,'Inputs'!$B$30+'Inputs'!$B$31+'Inputs'!$B$32)/1000+'Inputs'!$B$21))/SQRT((((741-43)*MAX('Inputs'!$B$33,'Inputs'!$B$29+'Inputs'!$B$31+'Inputs'!$B$32,'Inputs'!$B$30+'Inputs'!$B$31+'Inputs'!$B$32)/1000+'Inputs'!$B$21))^2+('Inputs'!$B$6/2)^2)))-'Results'!C7*(1+'Inputs'!$B$24)*(0.5*((((741-43)*MAX('Inputs'!$B$33,'Inputs'!$B$29+'Inputs'!$B$31+'Inputs'!$B$32,'Inputs'!$B$30+'Inputs'!$B$31+'Inputs'!$B$32)/1000+'Inputs'!$B$21+'Inputs'!$B$7+'Inputs'!$B$10)+'Inputs'!$B$9)/SQRT((((741-43)*MAX('Inputs'!$B$33,'Inputs'!$B$29+'Inputs'!$B$31+'Inputs'!$B$32,'Inputs'!$B$30+'Inputs'!$B$31+'Inputs'!$B$32)/1000+'Inputs'!$B$21+'Inputs'!$B$7+'Inputs'!$B$10)+'Inputs'!$B$9)^2+('Inputs'!$B$8/2)^2)-(((741-43)*MAX('Inputs'!$B$33,'Inputs'!$B$29+'Inputs'!$B$31+'Inputs'!$B$32,'Inputs'!$B$30+'Inputs'!$B$31+'Inputs'!$B$32)/1000+'Inputs'!$B$21+'Inputs'!$B$7+'Inputs'!$B$10))/SQRT((((741-43)*MAX('Inputs'!$B$33,'Inputs'!$B$29+'Inputs'!$B$31+'Inputs'!$B$32,'Inputs'!$B$30+'Inputs'!$B$31+'Inputs'!$B$32)/1000+'Inputs'!$B$21+'Inputs'!$B$7+'Inputs'!$B$10))^2+('Inputs'!$B$8/2)^2))))*'Results'!$B$8)-'Inputs'!$B$28*ABS((('Results'!B7*(1-'Inputs'!$B$24)*(0.5*((((741-43)*MAX('Inputs'!$B$33,'Inputs'!$B$29+'Inputs'!$B$31+'Inputs'!$B$32,'Inputs'!$B$30+'Inputs'!$B$31+'Inputs'!$B$32)/1000+'Inputs'!$B$21)+'Inputs'!$B$7)/SQRT((((741-43)*MAX('Inputs'!$B$33,'Inputs'!$B$29+'Inputs'!$B$31+'Inputs'!$B$32,'Inputs'!$B$30+'Inputs'!$B$31+'Inputs'!$B$32)/1000+'Inputs'!$B$21)+'Inputs'!$B$7)^2+('Inputs'!$B$6/2)^2)-(((741-43)*MAX('Inputs'!$B$33,'Inputs'!$B$29+'Inputs'!$B$31+'Inputs'!$B$32,'Inputs'!$B$30+'Inputs'!$B$31+'Inputs'!$B$32)/1000+'Inputs'!$B$21))/SQRT((((741-43)*MAX('Inputs'!$B$33,'Inputs'!$B$29+'Inputs'!$B$31+'Inputs'!$B$32,'Inputs'!$B$30+'Inputs'!$B$31+'Inputs'!$B$32)/1000+'Inputs'!$B$21))^2+('Inputs'!$B$6/2)^2)))-'Results'!C7*(1+'Inputs'!$B$24)*(0.5*((((741-43)*MAX('Inputs'!$B$33,'Inputs'!$B$29+'Inputs'!$B$31+'Inputs'!$B$32,'Inputs'!$B$30+'Inputs'!$B$31+'Inputs'!$B$32)/1000+'Inputs'!$B$21+'Inputs'!$B$7+'Inputs'!$B$10)+'Inputs'!$B$9)/SQRT((((741-43)*MAX('Inputs'!$B$33,'Inputs'!$B$29+'Inputs'!$B$31+'Inputs'!$B$32,'Inputs'!$B$30+'Inputs'!$B$31+'Inputs'!$B$32)/1000+'Inputs'!$B$21+'Inputs'!$B$7+'Inputs'!$B$10)+'Inputs'!$B$9)^2+('Inputs'!$B$8/2)^2)-(((741-43)*MAX('Inputs'!$B$33,'Inputs'!$B$29+'Inputs'!$B$31+'Inputs'!$B$32,'Inputs'!$B$30+'Inputs'!$B$31+'Inputs'!$B$32)/1000+'Inputs'!$B$21+'Inputs'!$B$7+'Inputs'!$B$10))/SQRT((((741-43)*MAX('Inputs'!$B$33,'Inputs'!$B$29+'Inputs'!$B$31+'Inputs'!$B$32,'Inputs'!$B$30+'Inputs'!$B$31+'Inputs'!$B$32)/1000+'Inputs'!$B$21+'Inputs'!$B$7+'Inputs'!$B$10))^2+('Inputs'!$B$8/2)^2))))*'Results'!$B$8))),"")</x:f>
        <x:v>1.1307935220894112</x:v>
      </x:c>
      <x:c r="L741" t="n">
        <x:f>IF(AND(ISNUMBER('Results'!B7),ISNUMBER('Results'!C7),ISNUMBER('Results'!$B$8),ISNUMBER('Inputs'!$B$6),ISNUMBER('Inputs'!$B$7),ISNUMBER('Inputs'!$B$8),ISNUMBER('Inputs'!$B$9),ISNUMBER('Inputs'!$B$10),ISNUMBER('Inputs'!$B$21),ISNUMBER('Inputs'!$B$24),ISNUMBER('Inputs'!$B$28)),((('Results'!B7*(1+'Inputs'!$B$24)*(0.5*((((741-43)*MAX('Inputs'!$B$33,'Inputs'!$B$29+'Inputs'!$B$31+'Inputs'!$B$32,'Inputs'!$B$30+'Inputs'!$B$31+'Inputs'!$B$32)/1000+'Inputs'!$B$21)+'Inputs'!$B$7)/SQRT((((741-43)*MAX('Inputs'!$B$33,'Inputs'!$B$29+'Inputs'!$B$31+'Inputs'!$B$32,'Inputs'!$B$30+'Inputs'!$B$31+'Inputs'!$B$32)/1000+'Inputs'!$B$21)+'Inputs'!$B$7)^2+('Inputs'!$B$6/2)^2)-(((741-43)*MAX('Inputs'!$B$33,'Inputs'!$B$29+'Inputs'!$B$31+'Inputs'!$B$32,'Inputs'!$B$30+'Inputs'!$B$31+'Inputs'!$B$32)/1000+'Inputs'!$B$21))/SQRT((((741-43)*MAX('Inputs'!$B$33,'Inputs'!$B$29+'Inputs'!$B$31+'Inputs'!$B$32,'Inputs'!$B$30+'Inputs'!$B$31+'Inputs'!$B$32)/1000+'Inputs'!$B$21))^2+('Inputs'!$B$6/2)^2)))-'Results'!C7*(1-'Inputs'!$B$24)*(0.5*((((741-43)*MAX('Inputs'!$B$33,'Inputs'!$B$29+'Inputs'!$B$31+'Inputs'!$B$32,'Inputs'!$B$30+'Inputs'!$B$31+'Inputs'!$B$32)/1000+'Inputs'!$B$21+'Inputs'!$B$7+'Inputs'!$B$10)+'Inputs'!$B$9)/SQRT((((741-43)*MAX('Inputs'!$B$33,'Inputs'!$B$29+'Inputs'!$B$31+'Inputs'!$B$32,'Inputs'!$B$30+'Inputs'!$B$31+'Inputs'!$B$32)/1000+'Inputs'!$B$21+'Inputs'!$B$7+'Inputs'!$B$10)+'Inputs'!$B$9)^2+('Inputs'!$B$8/2)^2)-(((741-43)*MAX('Inputs'!$B$33,'Inputs'!$B$29+'Inputs'!$B$31+'Inputs'!$B$32,'Inputs'!$B$30+'Inputs'!$B$31+'Inputs'!$B$32)/1000+'Inputs'!$B$21+'Inputs'!$B$7+'Inputs'!$B$10))/SQRT((((741-43)*MAX('Inputs'!$B$33,'Inputs'!$B$29+'Inputs'!$B$31+'Inputs'!$B$32,'Inputs'!$B$30+'Inputs'!$B$31+'Inputs'!$B$32)/1000+'Inputs'!$B$21+'Inputs'!$B$7+'Inputs'!$B$10))^2+('Inputs'!$B$8/2)^2))))*'Results'!$B$8)+'Inputs'!$B$28*ABS((('Results'!B7*(1+'Inputs'!$B$24)*(0.5*((((741-43)*MAX('Inputs'!$B$33,'Inputs'!$B$29+'Inputs'!$B$31+'Inputs'!$B$32,'Inputs'!$B$30+'Inputs'!$B$31+'Inputs'!$B$32)/1000+'Inputs'!$B$21)+'Inputs'!$B$7)/SQRT((((741-43)*MAX('Inputs'!$B$33,'Inputs'!$B$29+'Inputs'!$B$31+'Inputs'!$B$32,'Inputs'!$B$30+'Inputs'!$B$31+'Inputs'!$B$32)/1000+'Inputs'!$B$21)+'Inputs'!$B$7)^2+('Inputs'!$B$6/2)^2)-(((741-43)*MAX('Inputs'!$B$33,'Inputs'!$B$29+'Inputs'!$B$31+'Inputs'!$B$32,'Inputs'!$B$30+'Inputs'!$B$31+'Inputs'!$B$32)/1000+'Inputs'!$B$21))/SQRT((((741-43)*MAX('Inputs'!$B$33,'Inputs'!$B$29+'Inputs'!$B$31+'Inputs'!$B$32,'Inputs'!$B$30+'Inputs'!$B$31+'Inputs'!$B$32)/1000+'Inputs'!$B$21))^2+('Inputs'!$B$6/2)^2)))-'Results'!C7*(1-'Inputs'!$B$24)*(0.5*((((741-43)*MAX('Inputs'!$B$33,'Inputs'!$B$29+'Inputs'!$B$31+'Inputs'!$B$32,'Inputs'!$B$30+'Inputs'!$B$31+'Inputs'!$B$32)/1000+'Inputs'!$B$21+'Inputs'!$B$7+'Inputs'!$B$10)+'Inputs'!$B$9)/SQRT((((741-43)*MAX('Inputs'!$B$33,'Inputs'!$B$29+'Inputs'!$B$31+'Inputs'!$B$32,'Inputs'!$B$30+'Inputs'!$B$31+'Inputs'!$B$32)/1000+'Inputs'!$B$21+'Inputs'!$B$7+'Inputs'!$B$10)+'Inputs'!$B$9)^2+('Inputs'!$B$8/2)^2)-(((741-43)*MAX('Inputs'!$B$33,'Inputs'!$B$29+'Inputs'!$B$31+'Inputs'!$B$32,'Inputs'!$B$30+'Inputs'!$B$31+'Inputs'!$B$32)/1000+'Inputs'!$B$21+'Inputs'!$B$7+'Inputs'!$B$10))/SQRT((((741-43)*MAX('Inputs'!$B$33,'Inputs'!$B$29+'Inputs'!$B$31+'Inputs'!$B$32,'Inputs'!$B$30+'Inputs'!$B$31+'Inputs'!$B$32)/1000+'Inputs'!$B$21+'Inputs'!$B$7+'Inputs'!$B$10))^2+('Inputs'!$B$8/2)^2))))*'Results'!$B$8))),"")</x:f>
        <x:v>1.4921529124949255</x:v>
      </x:c>
      <x:c r="M741" t="n">
        <x:f>IF(AND(ISNUMBER('Results'!C7),ISNUMBER('Results'!B7),ISNUMBER('Results'!$B$8),ISNUMBER('Inputs'!$B$6),ISNUMBER('Inputs'!$B$7),ISNUMBER('Inputs'!$B$8),ISNUMBER('Inputs'!$B$9),ISNUMBER('Inputs'!$B$10),ISNUMBER('Inputs'!$B$21),ISNUMBER('Inputs'!$B$24),ISNUMBER('Inputs'!$B$28)),(('Results'!C7*(0.5*((((741-43)*MAX('Inputs'!$B$33,'Inputs'!$B$29+'Inputs'!$B$31+'Inputs'!$B$32,'Inputs'!$B$30+'Inputs'!$B$31+'Inputs'!$B$32)/1000+'Inputs'!$B$21)+'Inputs'!$B$9)/SQRT((((741-43)*MAX('Inputs'!$B$33,'Inputs'!$B$29+'Inputs'!$B$31+'Inputs'!$B$32,'Inputs'!$B$30+'Inputs'!$B$31+'Inputs'!$B$32)/1000+'Inputs'!$B$21)+'Inputs'!$B$9)^2+('Inputs'!$B$8/2)^2)-(((741-43)*MAX('Inputs'!$B$33,'Inputs'!$B$29+'Inputs'!$B$31+'Inputs'!$B$32,'Inputs'!$B$30+'Inputs'!$B$31+'Inputs'!$B$32)/1000+'Inputs'!$B$21))/SQRT((((741-43)*MAX('Inputs'!$B$33,'Inputs'!$B$29+'Inputs'!$B$31+'Inputs'!$B$32,'Inputs'!$B$30+'Inputs'!$B$31+'Inputs'!$B$32)/1000+'Inputs'!$B$21))^2+('Inputs'!$B$8/2)^2)))-'Results'!B7*(0.5*((((741-43)*MAX('Inputs'!$B$33,'Inputs'!$B$29+'Inputs'!$B$31+'Inputs'!$B$32,'Inputs'!$B$30+'Inputs'!$B$31+'Inputs'!$B$32)/1000+'Inputs'!$B$21+'Inputs'!$B$9+'Inputs'!$B$10)+'Inputs'!$B$7)/SQRT((((741-43)*MAX('Inputs'!$B$33,'Inputs'!$B$29+'Inputs'!$B$31+'Inputs'!$B$32,'Inputs'!$B$30+'Inputs'!$B$31+'Inputs'!$B$32)/1000+'Inputs'!$B$21+'Inputs'!$B$9+'Inputs'!$B$10)+'Inputs'!$B$7)^2+('Inputs'!$B$6/2)^2)-(((741-43)*MAX('Inputs'!$B$33,'Inputs'!$B$29+'Inputs'!$B$31+'Inputs'!$B$32,'Inputs'!$B$30+'Inputs'!$B$31+'Inputs'!$B$32)/1000+'Inputs'!$B$21+'Inputs'!$B$9+'Inputs'!$B$10))/SQRT((((741-43)*MAX('Inputs'!$B$33,'Inputs'!$B$29+'Inputs'!$B$31+'Inputs'!$B$32,'Inputs'!$B$30+'Inputs'!$B$31+'Inputs'!$B$32)/1000+'Inputs'!$B$21+'Inputs'!$B$9+'Inputs'!$B$10))^2+('Inputs'!$B$6/2)^2))))*'Results'!$B$8),"")</x:f>
        <x:v>1.1893979456121215</x:v>
      </x:c>
      <x:c r="N741" t="n">
        <x:f>IF(AND(ISNUMBER('Results'!C7),ISNUMBER('Results'!B7),ISNUMBER('Results'!$B$8),ISNUMBER('Inputs'!$B$6),ISNUMBER('Inputs'!$B$7),ISNUMBER('Inputs'!$B$8),ISNUMBER('Inputs'!$B$9),ISNUMBER('Inputs'!$B$10),ISNUMBER('Inputs'!$B$21),ISNUMBER('Inputs'!$B$24),ISNUMBER('Inputs'!$B$28)),((('Results'!C7*(1-'Inputs'!$B$24)*(0.5*((((741-43)*MAX('Inputs'!$B$33,'Inputs'!$B$29+'Inputs'!$B$31+'Inputs'!$B$32,'Inputs'!$B$30+'Inputs'!$B$31+'Inputs'!$B$32)/1000+'Inputs'!$B$21)+'Inputs'!$B$9)/SQRT((((741-43)*MAX('Inputs'!$B$33,'Inputs'!$B$29+'Inputs'!$B$31+'Inputs'!$B$32,'Inputs'!$B$30+'Inputs'!$B$31+'Inputs'!$B$32)/1000+'Inputs'!$B$21)+'Inputs'!$B$9)^2+('Inputs'!$B$8/2)^2)-(((741-43)*MAX('Inputs'!$B$33,'Inputs'!$B$29+'Inputs'!$B$31+'Inputs'!$B$32,'Inputs'!$B$30+'Inputs'!$B$31+'Inputs'!$B$32)/1000+'Inputs'!$B$21))/SQRT((((741-43)*MAX('Inputs'!$B$33,'Inputs'!$B$29+'Inputs'!$B$31+'Inputs'!$B$32,'Inputs'!$B$30+'Inputs'!$B$31+'Inputs'!$B$32)/1000+'Inputs'!$B$21))^2+('Inputs'!$B$8/2)^2)))-'Results'!B7*(1+'Inputs'!$B$24)*(0.5*((((741-43)*MAX('Inputs'!$B$33,'Inputs'!$B$29+'Inputs'!$B$31+'Inputs'!$B$32,'Inputs'!$B$30+'Inputs'!$B$31+'Inputs'!$B$32)/1000+'Inputs'!$B$21+'Inputs'!$B$9+'Inputs'!$B$10)+'Inputs'!$B$7)/SQRT((((741-43)*MAX('Inputs'!$B$33,'Inputs'!$B$29+'Inputs'!$B$31+'Inputs'!$B$32,'Inputs'!$B$30+'Inputs'!$B$31+'Inputs'!$B$32)/1000+'Inputs'!$B$21+'Inputs'!$B$9+'Inputs'!$B$10)+'Inputs'!$B$7)^2+('Inputs'!$B$6/2)^2)-(((741-43)*MAX('Inputs'!$B$33,'Inputs'!$B$29+'Inputs'!$B$31+'Inputs'!$B$32,'Inputs'!$B$30+'Inputs'!$B$31+'Inputs'!$B$32)/1000+'Inputs'!$B$21+'Inputs'!$B$9+'Inputs'!$B$10))/SQRT((((741-43)*MAX('Inputs'!$B$33,'Inputs'!$B$29+'Inputs'!$B$31+'Inputs'!$B$32,'Inputs'!$B$30+'Inputs'!$B$31+'Inputs'!$B$32)/1000+'Inputs'!$B$21+'Inputs'!$B$9+'Inputs'!$B$10))^2+('Inputs'!$B$6/2)^2))))*'Results'!$B$8)-'Inputs'!$B$28*ABS((('Results'!C7*(1-'Inputs'!$B$24)*(0.5*((((741-43)*MAX('Inputs'!$B$33,'Inputs'!$B$29+'Inputs'!$B$31+'Inputs'!$B$32,'Inputs'!$B$30+'Inputs'!$B$31+'Inputs'!$B$32)/1000+'Inputs'!$B$21)+'Inputs'!$B$9)/SQRT((((741-43)*MAX('Inputs'!$B$33,'Inputs'!$B$29+'Inputs'!$B$31+'Inputs'!$B$32,'Inputs'!$B$30+'Inputs'!$B$31+'Inputs'!$B$32)/1000+'Inputs'!$B$21)+'Inputs'!$B$9)^2+('Inputs'!$B$8/2)^2)-(((741-43)*MAX('Inputs'!$B$33,'Inputs'!$B$29+'Inputs'!$B$31+'Inputs'!$B$32,'Inputs'!$B$30+'Inputs'!$B$31+'Inputs'!$B$32)/1000+'Inputs'!$B$21))/SQRT((((741-43)*MAX('Inputs'!$B$33,'Inputs'!$B$29+'Inputs'!$B$31+'Inputs'!$B$32,'Inputs'!$B$30+'Inputs'!$B$31+'Inputs'!$B$32)/1000+'Inputs'!$B$21))^2+('Inputs'!$B$8/2)^2)))-'Results'!B7*(1+'Inputs'!$B$24)*(0.5*((((741-43)*MAX('Inputs'!$B$33,'Inputs'!$B$29+'Inputs'!$B$31+'Inputs'!$B$32,'Inputs'!$B$30+'Inputs'!$B$31+'Inputs'!$B$32)/1000+'Inputs'!$B$21+'Inputs'!$B$9+'Inputs'!$B$10)+'Inputs'!$B$7)/SQRT((((741-43)*MAX('Inputs'!$B$33,'Inputs'!$B$29+'Inputs'!$B$31+'Inputs'!$B$32,'Inputs'!$B$30+'Inputs'!$B$31+'Inputs'!$B$32)/1000+'Inputs'!$B$21+'Inputs'!$B$9+'Inputs'!$B$10)+'Inputs'!$B$7)^2+('Inputs'!$B$6/2)^2)-(((741-43)*MAX('Inputs'!$B$33,'Inputs'!$B$29+'Inputs'!$B$31+'Inputs'!$B$32,'Inputs'!$B$30+'Inputs'!$B$31+'Inputs'!$B$32)/1000+'Inputs'!$B$21+'Inputs'!$B$9+'Inputs'!$B$10))/SQRT((((741-43)*MAX('Inputs'!$B$33,'Inputs'!$B$29+'Inputs'!$B$31+'Inputs'!$B$32,'Inputs'!$B$30+'Inputs'!$B$31+'Inputs'!$B$32)/1000+'Inputs'!$B$21+'Inputs'!$B$9+'Inputs'!$B$10))^2+('Inputs'!$B$6/2)^2))))*'Results'!$B$8))),"")</x:f>
        <x:v>1.0207821115752755</x:v>
      </x:c>
      <x:c r="O741" t="n">
        <x:f>IF(AND(ISNUMBER('Results'!C7),ISNUMBER('Results'!B7),ISNUMBER('Results'!$B$8),ISNUMBER('Inputs'!$B$6),ISNUMBER('Inputs'!$B$7),ISNUMBER('Inputs'!$B$8),ISNUMBER('Inputs'!$B$9),ISNUMBER('Inputs'!$B$10),ISNUMBER('Inputs'!$B$21),ISNUMBER('Inputs'!$B$24),ISNUMBER('Inputs'!$B$28)),((('Results'!C7*(1+'Inputs'!$B$24)*(0.5*((((741-43)*MAX('Inputs'!$B$33,'Inputs'!$B$29+'Inputs'!$B$31+'Inputs'!$B$32,'Inputs'!$B$30+'Inputs'!$B$31+'Inputs'!$B$32)/1000+'Inputs'!$B$21)+'Inputs'!$B$9)/SQRT((((741-43)*MAX('Inputs'!$B$33,'Inputs'!$B$29+'Inputs'!$B$31+'Inputs'!$B$32,'Inputs'!$B$30+'Inputs'!$B$31+'Inputs'!$B$32)/1000+'Inputs'!$B$21)+'Inputs'!$B$9)^2+('Inputs'!$B$8/2)^2)-(((741-43)*MAX('Inputs'!$B$33,'Inputs'!$B$29+'Inputs'!$B$31+'Inputs'!$B$32,'Inputs'!$B$30+'Inputs'!$B$31+'Inputs'!$B$32)/1000+'Inputs'!$B$21))/SQRT((((741-43)*MAX('Inputs'!$B$33,'Inputs'!$B$29+'Inputs'!$B$31+'Inputs'!$B$32,'Inputs'!$B$30+'Inputs'!$B$31+'Inputs'!$B$32)/1000+'Inputs'!$B$21))^2+('Inputs'!$B$8/2)^2)))-'Results'!B7*(1-'Inputs'!$B$24)*(0.5*((((741-43)*MAX('Inputs'!$B$33,'Inputs'!$B$29+'Inputs'!$B$31+'Inputs'!$B$32,'Inputs'!$B$30+'Inputs'!$B$31+'Inputs'!$B$32)/1000+'Inputs'!$B$21+'Inputs'!$B$9+'Inputs'!$B$10)+'Inputs'!$B$7)/SQRT((((741-43)*MAX('Inputs'!$B$33,'Inputs'!$B$29+'Inputs'!$B$31+'Inputs'!$B$32,'Inputs'!$B$30+'Inputs'!$B$31+'Inputs'!$B$32)/1000+'Inputs'!$B$21+'Inputs'!$B$9+'Inputs'!$B$10)+'Inputs'!$B$7)^2+('Inputs'!$B$6/2)^2)-(((741-43)*MAX('Inputs'!$B$33,'Inputs'!$B$29+'Inputs'!$B$31+'Inputs'!$B$32,'Inputs'!$B$30+'Inputs'!$B$31+'Inputs'!$B$32)/1000+'Inputs'!$B$21+'Inputs'!$B$9+'Inputs'!$B$10))/SQRT((((741-43)*MAX('Inputs'!$B$33,'Inputs'!$B$29+'Inputs'!$B$31+'Inputs'!$B$32,'Inputs'!$B$30+'Inputs'!$B$31+'Inputs'!$B$32)/1000+'Inputs'!$B$21+'Inputs'!$B$9+'Inputs'!$B$10))^2+('Inputs'!$B$6/2)^2))))*'Results'!$B$8)+'Inputs'!$B$28*ABS((('Results'!C7*(1+'Inputs'!$B$24)*(0.5*((((741-43)*MAX('Inputs'!$B$33,'Inputs'!$B$29+'Inputs'!$B$31+'Inputs'!$B$32,'Inputs'!$B$30+'Inputs'!$B$31+'Inputs'!$B$32)/1000+'Inputs'!$B$21)+'Inputs'!$B$9)/SQRT((((741-43)*MAX('Inputs'!$B$33,'Inputs'!$B$29+'Inputs'!$B$31+'Inputs'!$B$32,'Inputs'!$B$30+'Inputs'!$B$31+'Inputs'!$B$32)/1000+'Inputs'!$B$21)+'Inputs'!$B$9)^2+('Inputs'!$B$8/2)^2)-(((741-43)*MAX('Inputs'!$B$33,'Inputs'!$B$29+'Inputs'!$B$31+'Inputs'!$B$32,'Inputs'!$B$30+'Inputs'!$B$31+'Inputs'!$B$32)/1000+'Inputs'!$B$21))/SQRT((((741-43)*MAX('Inputs'!$B$33,'Inputs'!$B$29+'Inputs'!$B$31+'Inputs'!$B$32,'Inputs'!$B$30+'Inputs'!$B$31+'Inputs'!$B$32)/1000+'Inputs'!$B$21))^2+('Inputs'!$B$8/2)^2)))-'Results'!B7*(1-'Inputs'!$B$24)*(0.5*((((741-43)*MAX('Inputs'!$B$33,'Inputs'!$B$29+'Inputs'!$B$31+'Inputs'!$B$32,'Inputs'!$B$30+'Inputs'!$B$31+'Inputs'!$B$32)/1000+'Inputs'!$B$21+'Inputs'!$B$9+'Inputs'!$B$10)+'Inputs'!$B$7)/SQRT((((741-43)*MAX('Inputs'!$B$33,'Inputs'!$B$29+'Inputs'!$B$31+'Inputs'!$B$32,'Inputs'!$B$30+'Inputs'!$B$31+'Inputs'!$B$32)/1000+'Inputs'!$B$21+'Inputs'!$B$9+'Inputs'!$B$10)+'Inputs'!$B$7)^2+('Inputs'!$B$6/2)^2)-(((741-43)*MAX('Inputs'!$B$33,'Inputs'!$B$29+'Inputs'!$B$31+'Inputs'!$B$32,'Inputs'!$B$30+'Inputs'!$B$31+'Inputs'!$B$32)/1000+'Inputs'!$B$21+'Inputs'!$B$9+'Inputs'!$B$10))/SQRT((((741-43)*MAX('Inputs'!$B$33,'Inputs'!$B$29+'Inputs'!$B$31+'Inputs'!$B$32,'Inputs'!$B$30+'Inputs'!$B$31+'Inputs'!$B$32)/1000+'Inputs'!$B$21+'Inputs'!$B$9+'Inputs'!$B$10))^2+('Inputs'!$B$6/2)^2))))*'Results'!$B$8))),"")</x:f>
        <x:v>1.3695028256233088</x:v>
      </x:c>
      <x:c r="P741" t="n">
        <x:f>IF(AND(MAX(J741,J740)&gt;0,J741&gt;J740+0.00000001),1,0)</x:f>
        <x:v>0</x:v>
      </x:c>
      <x:c r="Q741" t="n">
        <x:f>IF(AND(MAX(K741,K740)&gt;0,K741&gt;K740+0.00000001),1,0)</x:f>
        <x:v>0</x:v>
      </x:c>
      <x:c r="R741" t="n">
        <x:f>IF(AND(MAX(L741,L740)&gt;0,L741&gt;L740+0.00000001),1,0)</x:f>
        <x:v>0</x:v>
      </x:c>
      <x:c r="S741" t="n">
        <x:f>IF(AND(MAX(M741,M740)&gt;0,M741&gt;M740+0.00000001),1,0)</x:f>
        <x:v>0</x:v>
      </x:c>
      <x:c r="T741" t="n">
        <x:f>IF(AND(MAX(N741,N740)&gt;0,N741&gt;N740+0.00000001),1,0)</x:f>
        <x:v>0</x:v>
      </x:c>
      <x:c r="U741" t="n">
        <x:f>IF(AND(MAX(O741,O740)&gt;0,O741&gt;O740+0.00000001),1,0)</x:f>
        <x:v>0</x:v>
      </x:c>
    </x:row>
    <x:row r="742">
      <x:c r="J742" t="n">
        <x:f>IF(AND(ISNUMBER('Results'!B7),ISNUMBER('Results'!C7),ISNUMBER('Results'!$B$8),ISNUMBER('Inputs'!$B$6),ISNUMBER('Inputs'!$B$7),ISNUMBER('Inputs'!$B$8),ISNUMBER('Inputs'!$B$9),ISNUMBER('Inputs'!$B$10),ISNUMBER('Inputs'!$B$21),ISNUMBER('Inputs'!$B$24),ISNUMBER('Inputs'!$B$28)),(('Results'!B7*(0.5*((((742-43)*MAX('Inputs'!$B$33,'Inputs'!$B$29+'Inputs'!$B$31+'Inputs'!$B$32,'Inputs'!$B$30+'Inputs'!$B$31+'Inputs'!$B$32)/1000+'Inputs'!$B$21)+'Inputs'!$B$7)/SQRT((((742-43)*MAX('Inputs'!$B$33,'Inputs'!$B$29+'Inputs'!$B$31+'Inputs'!$B$32,'Inputs'!$B$30+'Inputs'!$B$31+'Inputs'!$B$32)/1000+'Inputs'!$B$21)+'Inputs'!$B$7)^2+('Inputs'!$B$6/2)^2)-(((742-43)*MAX('Inputs'!$B$33,'Inputs'!$B$29+'Inputs'!$B$31+'Inputs'!$B$32,'Inputs'!$B$30+'Inputs'!$B$31+'Inputs'!$B$32)/1000+'Inputs'!$B$21))/SQRT((((742-43)*MAX('Inputs'!$B$33,'Inputs'!$B$29+'Inputs'!$B$31+'Inputs'!$B$32,'Inputs'!$B$30+'Inputs'!$B$31+'Inputs'!$B$32)/1000+'Inputs'!$B$21))^2+('Inputs'!$B$6/2)^2)))-'Results'!C7*(0.5*((((742-43)*MAX('Inputs'!$B$33,'Inputs'!$B$29+'Inputs'!$B$31+'Inputs'!$B$32,'Inputs'!$B$30+'Inputs'!$B$31+'Inputs'!$B$32)/1000+'Inputs'!$B$21+'Inputs'!$B$7+'Inputs'!$B$10)+'Inputs'!$B$9)/SQRT((((742-43)*MAX('Inputs'!$B$33,'Inputs'!$B$29+'Inputs'!$B$31+'Inputs'!$B$32,'Inputs'!$B$30+'Inputs'!$B$31+'Inputs'!$B$32)/1000+'Inputs'!$B$21+'Inputs'!$B$7+'Inputs'!$B$10)+'Inputs'!$B$9)^2+('Inputs'!$B$8/2)^2)-(((742-43)*MAX('Inputs'!$B$33,'Inputs'!$B$29+'Inputs'!$B$31+'Inputs'!$B$32,'Inputs'!$B$30+'Inputs'!$B$31+'Inputs'!$B$32)/1000+'Inputs'!$B$21+'Inputs'!$B$7+'Inputs'!$B$10))/SQRT((((742-43)*MAX('Inputs'!$B$33,'Inputs'!$B$29+'Inputs'!$B$31+'Inputs'!$B$32,'Inputs'!$B$30+'Inputs'!$B$31+'Inputs'!$B$32)/1000+'Inputs'!$B$21+'Inputs'!$B$7+'Inputs'!$B$10))^2+('Inputs'!$B$8/2)^2))))*'Results'!$B$8),"")</x:f>
        <x:v>1.299080583662177</x:v>
      </x:c>
      <x:c r="K742" t="n">
        <x:f>IF(AND(ISNUMBER('Results'!B7),ISNUMBER('Results'!C7),ISNUMBER('Results'!$B$8),ISNUMBER('Inputs'!$B$6),ISNUMBER('Inputs'!$B$7),ISNUMBER('Inputs'!$B$8),ISNUMBER('Inputs'!$B$9),ISNUMBER('Inputs'!$B$10),ISNUMBER('Inputs'!$B$21),ISNUMBER('Inputs'!$B$24),ISNUMBER('Inputs'!$B$28)),((('Results'!B7*(1-'Inputs'!$B$24)*(0.5*((((742-43)*MAX('Inputs'!$B$33,'Inputs'!$B$29+'Inputs'!$B$31+'Inputs'!$B$32,'Inputs'!$B$30+'Inputs'!$B$31+'Inputs'!$B$32)/1000+'Inputs'!$B$21)+'Inputs'!$B$7)/SQRT((((742-43)*MAX('Inputs'!$B$33,'Inputs'!$B$29+'Inputs'!$B$31+'Inputs'!$B$32,'Inputs'!$B$30+'Inputs'!$B$31+'Inputs'!$B$32)/1000+'Inputs'!$B$21)+'Inputs'!$B$7)^2+('Inputs'!$B$6/2)^2)-(((742-43)*MAX('Inputs'!$B$33,'Inputs'!$B$29+'Inputs'!$B$31+'Inputs'!$B$32,'Inputs'!$B$30+'Inputs'!$B$31+'Inputs'!$B$32)/1000+'Inputs'!$B$21))/SQRT((((742-43)*MAX('Inputs'!$B$33,'Inputs'!$B$29+'Inputs'!$B$31+'Inputs'!$B$32,'Inputs'!$B$30+'Inputs'!$B$31+'Inputs'!$B$32)/1000+'Inputs'!$B$21))^2+('Inputs'!$B$6/2)^2)))-'Results'!C7*(1+'Inputs'!$B$24)*(0.5*((((742-43)*MAX('Inputs'!$B$33,'Inputs'!$B$29+'Inputs'!$B$31+'Inputs'!$B$32,'Inputs'!$B$30+'Inputs'!$B$31+'Inputs'!$B$32)/1000+'Inputs'!$B$21+'Inputs'!$B$7+'Inputs'!$B$10)+'Inputs'!$B$9)/SQRT((((742-43)*MAX('Inputs'!$B$33,'Inputs'!$B$29+'Inputs'!$B$31+'Inputs'!$B$32,'Inputs'!$B$30+'Inputs'!$B$31+'Inputs'!$B$32)/1000+'Inputs'!$B$21+'Inputs'!$B$7+'Inputs'!$B$10)+'Inputs'!$B$9)^2+('Inputs'!$B$8/2)^2)-(((742-43)*MAX('Inputs'!$B$33,'Inputs'!$B$29+'Inputs'!$B$31+'Inputs'!$B$32,'Inputs'!$B$30+'Inputs'!$B$31+'Inputs'!$B$32)/1000+'Inputs'!$B$21+'Inputs'!$B$7+'Inputs'!$B$10))/SQRT((((742-43)*MAX('Inputs'!$B$33,'Inputs'!$B$29+'Inputs'!$B$31+'Inputs'!$B$32,'Inputs'!$B$30+'Inputs'!$B$31+'Inputs'!$B$32)/1000+'Inputs'!$B$21+'Inputs'!$B$7+'Inputs'!$B$10))^2+('Inputs'!$B$8/2)^2))))*'Results'!$B$8)-'Inputs'!$B$28*ABS((('Results'!B7*(1-'Inputs'!$B$24)*(0.5*((((742-43)*MAX('Inputs'!$B$33,'Inputs'!$B$29+'Inputs'!$B$31+'Inputs'!$B$32,'Inputs'!$B$30+'Inputs'!$B$31+'Inputs'!$B$32)/1000+'Inputs'!$B$21)+'Inputs'!$B$7)/SQRT((((742-43)*MAX('Inputs'!$B$33,'Inputs'!$B$29+'Inputs'!$B$31+'Inputs'!$B$32,'Inputs'!$B$30+'Inputs'!$B$31+'Inputs'!$B$32)/1000+'Inputs'!$B$21)+'Inputs'!$B$7)^2+('Inputs'!$B$6/2)^2)-(((742-43)*MAX('Inputs'!$B$33,'Inputs'!$B$29+'Inputs'!$B$31+'Inputs'!$B$32,'Inputs'!$B$30+'Inputs'!$B$31+'Inputs'!$B$32)/1000+'Inputs'!$B$21))/SQRT((((742-43)*MAX('Inputs'!$B$33,'Inputs'!$B$29+'Inputs'!$B$31+'Inputs'!$B$32,'Inputs'!$B$30+'Inputs'!$B$31+'Inputs'!$B$32)/1000+'Inputs'!$B$21))^2+('Inputs'!$B$6/2)^2)))-'Results'!C7*(1+'Inputs'!$B$24)*(0.5*((((742-43)*MAX('Inputs'!$B$33,'Inputs'!$B$29+'Inputs'!$B$31+'Inputs'!$B$32,'Inputs'!$B$30+'Inputs'!$B$31+'Inputs'!$B$32)/1000+'Inputs'!$B$21+'Inputs'!$B$7+'Inputs'!$B$10)+'Inputs'!$B$9)/SQRT((((742-43)*MAX('Inputs'!$B$33,'Inputs'!$B$29+'Inputs'!$B$31+'Inputs'!$B$32,'Inputs'!$B$30+'Inputs'!$B$31+'Inputs'!$B$32)/1000+'Inputs'!$B$21+'Inputs'!$B$7+'Inputs'!$B$10)+'Inputs'!$B$9)^2+('Inputs'!$B$8/2)^2)-(((742-43)*MAX('Inputs'!$B$33,'Inputs'!$B$29+'Inputs'!$B$31+'Inputs'!$B$32,'Inputs'!$B$30+'Inputs'!$B$31+'Inputs'!$B$32)/1000+'Inputs'!$B$21+'Inputs'!$B$7+'Inputs'!$B$10))/SQRT((((742-43)*MAX('Inputs'!$B$33,'Inputs'!$B$29+'Inputs'!$B$31+'Inputs'!$B$32,'Inputs'!$B$30+'Inputs'!$B$31+'Inputs'!$B$32)/1000+'Inputs'!$B$21+'Inputs'!$B$7+'Inputs'!$B$10))^2+('Inputs'!$B$8/2)^2))))*'Results'!$B$8))),"")</x:f>
        <x:v>1.1249299784162097</x:v>
      </x:c>
      <x:c r="L742" t="n">
        <x:f>IF(AND(ISNUMBER('Results'!B7),ISNUMBER('Results'!C7),ISNUMBER('Results'!$B$8),ISNUMBER('Inputs'!$B$6),ISNUMBER('Inputs'!$B$7),ISNUMBER('Inputs'!$B$8),ISNUMBER('Inputs'!$B$9),ISNUMBER('Inputs'!$B$10),ISNUMBER('Inputs'!$B$21),ISNUMBER('Inputs'!$B$24),ISNUMBER('Inputs'!$B$28)),((('Results'!B7*(1+'Inputs'!$B$24)*(0.5*((((742-43)*MAX('Inputs'!$B$33,'Inputs'!$B$29+'Inputs'!$B$31+'Inputs'!$B$32,'Inputs'!$B$30+'Inputs'!$B$31+'Inputs'!$B$32)/1000+'Inputs'!$B$21)+'Inputs'!$B$7)/SQRT((((742-43)*MAX('Inputs'!$B$33,'Inputs'!$B$29+'Inputs'!$B$31+'Inputs'!$B$32,'Inputs'!$B$30+'Inputs'!$B$31+'Inputs'!$B$32)/1000+'Inputs'!$B$21)+'Inputs'!$B$7)^2+('Inputs'!$B$6/2)^2)-(((742-43)*MAX('Inputs'!$B$33,'Inputs'!$B$29+'Inputs'!$B$31+'Inputs'!$B$32,'Inputs'!$B$30+'Inputs'!$B$31+'Inputs'!$B$32)/1000+'Inputs'!$B$21))/SQRT((((742-43)*MAX('Inputs'!$B$33,'Inputs'!$B$29+'Inputs'!$B$31+'Inputs'!$B$32,'Inputs'!$B$30+'Inputs'!$B$31+'Inputs'!$B$32)/1000+'Inputs'!$B$21))^2+('Inputs'!$B$6/2)^2)))-'Results'!C7*(1-'Inputs'!$B$24)*(0.5*((((742-43)*MAX('Inputs'!$B$33,'Inputs'!$B$29+'Inputs'!$B$31+'Inputs'!$B$32,'Inputs'!$B$30+'Inputs'!$B$31+'Inputs'!$B$32)/1000+'Inputs'!$B$21+'Inputs'!$B$7+'Inputs'!$B$10)+'Inputs'!$B$9)/SQRT((((742-43)*MAX('Inputs'!$B$33,'Inputs'!$B$29+'Inputs'!$B$31+'Inputs'!$B$32,'Inputs'!$B$30+'Inputs'!$B$31+'Inputs'!$B$32)/1000+'Inputs'!$B$21+'Inputs'!$B$7+'Inputs'!$B$10)+'Inputs'!$B$9)^2+('Inputs'!$B$8/2)^2)-(((742-43)*MAX('Inputs'!$B$33,'Inputs'!$B$29+'Inputs'!$B$31+'Inputs'!$B$32,'Inputs'!$B$30+'Inputs'!$B$31+'Inputs'!$B$32)/1000+'Inputs'!$B$21+'Inputs'!$B$7+'Inputs'!$B$10))/SQRT((((742-43)*MAX('Inputs'!$B$33,'Inputs'!$B$29+'Inputs'!$B$31+'Inputs'!$B$32,'Inputs'!$B$30+'Inputs'!$B$31+'Inputs'!$B$32)/1000+'Inputs'!$B$21+'Inputs'!$B$7+'Inputs'!$B$10))^2+('Inputs'!$B$8/2)^2))))*'Results'!$B$8)+'Inputs'!$B$28*ABS((('Results'!B7*(1+'Inputs'!$B$24)*(0.5*((((742-43)*MAX('Inputs'!$B$33,'Inputs'!$B$29+'Inputs'!$B$31+'Inputs'!$B$32,'Inputs'!$B$30+'Inputs'!$B$31+'Inputs'!$B$32)/1000+'Inputs'!$B$21)+'Inputs'!$B$7)/SQRT((((742-43)*MAX('Inputs'!$B$33,'Inputs'!$B$29+'Inputs'!$B$31+'Inputs'!$B$32,'Inputs'!$B$30+'Inputs'!$B$31+'Inputs'!$B$32)/1000+'Inputs'!$B$21)+'Inputs'!$B$7)^2+('Inputs'!$B$6/2)^2)-(((742-43)*MAX('Inputs'!$B$33,'Inputs'!$B$29+'Inputs'!$B$31+'Inputs'!$B$32,'Inputs'!$B$30+'Inputs'!$B$31+'Inputs'!$B$32)/1000+'Inputs'!$B$21))/SQRT((((742-43)*MAX('Inputs'!$B$33,'Inputs'!$B$29+'Inputs'!$B$31+'Inputs'!$B$32,'Inputs'!$B$30+'Inputs'!$B$31+'Inputs'!$B$32)/1000+'Inputs'!$B$21))^2+('Inputs'!$B$6/2)^2)))-'Results'!C7*(1-'Inputs'!$B$24)*(0.5*((((742-43)*MAX('Inputs'!$B$33,'Inputs'!$B$29+'Inputs'!$B$31+'Inputs'!$B$32,'Inputs'!$B$30+'Inputs'!$B$31+'Inputs'!$B$32)/1000+'Inputs'!$B$21+'Inputs'!$B$7+'Inputs'!$B$10)+'Inputs'!$B$9)/SQRT((((742-43)*MAX('Inputs'!$B$33,'Inputs'!$B$29+'Inputs'!$B$31+'Inputs'!$B$32,'Inputs'!$B$30+'Inputs'!$B$31+'Inputs'!$B$32)/1000+'Inputs'!$B$21+'Inputs'!$B$7+'Inputs'!$B$10)+'Inputs'!$B$9)^2+('Inputs'!$B$8/2)^2)-(((742-43)*MAX('Inputs'!$B$33,'Inputs'!$B$29+'Inputs'!$B$31+'Inputs'!$B$32,'Inputs'!$B$30+'Inputs'!$B$31+'Inputs'!$B$32)/1000+'Inputs'!$B$21+'Inputs'!$B$7+'Inputs'!$B$10))/SQRT((((742-43)*MAX('Inputs'!$B$33,'Inputs'!$B$29+'Inputs'!$B$31+'Inputs'!$B$32,'Inputs'!$B$30+'Inputs'!$B$31+'Inputs'!$B$32)/1000+'Inputs'!$B$21+'Inputs'!$B$7+'Inputs'!$B$10))^2+('Inputs'!$B$8/2)^2))))*'Results'!$B$8))),"")</x:f>
        <x:v>1.4847255653358136</x:v>
      </x:c>
      <x:c r="M742" t="n">
        <x:f>IF(AND(ISNUMBER('Results'!C7),ISNUMBER('Results'!B7),ISNUMBER('Results'!$B$8),ISNUMBER('Inputs'!$B$6),ISNUMBER('Inputs'!$B$7),ISNUMBER('Inputs'!$B$8),ISNUMBER('Inputs'!$B$9),ISNUMBER('Inputs'!$B$10),ISNUMBER('Inputs'!$B$21),ISNUMBER('Inputs'!$B$24),ISNUMBER('Inputs'!$B$28)),(('Results'!C7*(0.5*((((742-43)*MAX('Inputs'!$B$33,'Inputs'!$B$29+'Inputs'!$B$31+'Inputs'!$B$32,'Inputs'!$B$30+'Inputs'!$B$31+'Inputs'!$B$32)/1000+'Inputs'!$B$21)+'Inputs'!$B$9)/SQRT((((742-43)*MAX('Inputs'!$B$33,'Inputs'!$B$29+'Inputs'!$B$31+'Inputs'!$B$32,'Inputs'!$B$30+'Inputs'!$B$31+'Inputs'!$B$32)/1000+'Inputs'!$B$21)+'Inputs'!$B$9)^2+('Inputs'!$B$8/2)^2)-(((742-43)*MAX('Inputs'!$B$33,'Inputs'!$B$29+'Inputs'!$B$31+'Inputs'!$B$32,'Inputs'!$B$30+'Inputs'!$B$31+'Inputs'!$B$32)/1000+'Inputs'!$B$21))/SQRT((((742-43)*MAX('Inputs'!$B$33,'Inputs'!$B$29+'Inputs'!$B$31+'Inputs'!$B$32,'Inputs'!$B$30+'Inputs'!$B$31+'Inputs'!$B$32)/1000+'Inputs'!$B$21))^2+('Inputs'!$B$8/2)^2)))-'Results'!B7*(0.5*((((742-43)*MAX('Inputs'!$B$33,'Inputs'!$B$29+'Inputs'!$B$31+'Inputs'!$B$32,'Inputs'!$B$30+'Inputs'!$B$31+'Inputs'!$B$32)/1000+'Inputs'!$B$21+'Inputs'!$B$9+'Inputs'!$B$10)+'Inputs'!$B$7)/SQRT((((742-43)*MAX('Inputs'!$B$33,'Inputs'!$B$29+'Inputs'!$B$31+'Inputs'!$B$32,'Inputs'!$B$30+'Inputs'!$B$31+'Inputs'!$B$32)/1000+'Inputs'!$B$21+'Inputs'!$B$9+'Inputs'!$B$10)+'Inputs'!$B$7)^2+('Inputs'!$B$6/2)^2)-(((742-43)*MAX('Inputs'!$B$33,'Inputs'!$B$29+'Inputs'!$B$31+'Inputs'!$B$32,'Inputs'!$B$30+'Inputs'!$B$31+'Inputs'!$B$32)/1000+'Inputs'!$B$21+'Inputs'!$B$9+'Inputs'!$B$10))/SQRT((((742-43)*MAX('Inputs'!$B$33,'Inputs'!$B$29+'Inputs'!$B$31+'Inputs'!$B$32,'Inputs'!$B$30+'Inputs'!$B$31+'Inputs'!$B$32)/1000+'Inputs'!$B$21+'Inputs'!$B$9+'Inputs'!$B$10))^2+('Inputs'!$B$6/2)^2))))*'Results'!$B$8),"")</x:f>
        <x:v>1.183229042318102</x:v>
      </x:c>
      <x:c r="N742" t="n">
        <x:f>IF(AND(ISNUMBER('Results'!C7),ISNUMBER('Results'!B7),ISNUMBER('Results'!$B$8),ISNUMBER('Inputs'!$B$6),ISNUMBER('Inputs'!$B$7),ISNUMBER('Inputs'!$B$8),ISNUMBER('Inputs'!$B$9),ISNUMBER('Inputs'!$B$10),ISNUMBER('Inputs'!$B$21),ISNUMBER('Inputs'!$B$24),ISNUMBER('Inputs'!$B$28)),((('Results'!C7*(1-'Inputs'!$B$24)*(0.5*((((742-43)*MAX('Inputs'!$B$33,'Inputs'!$B$29+'Inputs'!$B$31+'Inputs'!$B$32,'Inputs'!$B$30+'Inputs'!$B$31+'Inputs'!$B$32)/1000+'Inputs'!$B$21)+'Inputs'!$B$9)/SQRT((((742-43)*MAX('Inputs'!$B$33,'Inputs'!$B$29+'Inputs'!$B$31+'Inputs'!$B$32,'Inputs'!$B$30+'Inputs'!$B$31+'Inputs'!$B$32)/1000+'Inputs'!$B$21)+'Inputs'!$B$9)^2+('Inputs'!$B$8/2)^2)-(((742-43)*MAX('Inputs'!$B$33,'Inputs'!$B$29+'Inputs'!$B$31+'Inputs'!$B$32,'Inputs'!$B$30+'Inputs'!$B$31+'Inputs'!$B$32)/1000+'Inputs'!$B$21))/SQRT((((742-43)*MAX('Inputs'!$B$33,'Inputs'!$B$29+'Inputs'!$B$31+'Inputs'!$B$32,'Inputs'!$B$30+'Inputs'!$B$31+'Inputs'!$B$32)/1000+'Inputs'!$B$21))^2+('Inputs'!$B$8/2)^2)))-'Results'!B7*(1+'Inputs'!$B$24)*(0.5*((((742-43)*MAX('Inputs'!$B$33,'Inputs'!$B$29+'Inputs'!$B$31+'Inputs'!$B$32,'Inputs'!$B$30+'Inputs'!$B$31+'Inputs'!$B$32)/1000+'Inputs'!$B$21+'Inputs'!$B$9+'Inputs'!$B$10)+'Inputs'!$B$7)/SQRT((((742-43)*MAX('Inputs'!$B$33,'Inputs'!$B$29+'Inputs'!$B$31+'Inputs'!$B$32,'Inputs'!$B$30+'Inputs'!$B$31+'Inputs'!$B$32)/1000+'Inputs'!$B$21+'Inputs'!$B$9+'Inputs'!$B$10)+'Inputs'!$B$7)^2+('Inputs'!$B$6/2)^2)-(((742-43)*MAX('Inputs'!$B$33,'Inputs'!$B$29+'Inputs'!$B$31+'Inputs'!$B$32,'Inputs'!$B$30+'Inputs'!$B$31+'Inputs'!$B$32)/1000+'Inputs'!$B$21+'Inputs'!$B$9+'Inputs'!$B$10))/SQRT((((742-43)*MAX('Inputs'!$B$33,'Inputs'!$B$29+'Inputs'!$B$31+'Inputs'!$B$32,'Inputs'!$B$30+'Inputs'!$B$31+'Inputs'!$B$32)/1000+'Inputs'!$B$21+'Inputs'!$B$9+'Inputs'!$B$10))^2+('Inputs'!$B$6/2)^2))))*'Results'!$B$8)-'Inputs'!$B$28*ABS((('Results'!C7*(1-'Inputs'!$B$24)*(0.5*((((742-43)*MAX('Inputs'!$B$33,'Inputs'!$B$29+'Inputs'!$B$31+'Inputs'!$B$32,'Inputs'!$B$30+'Inputs'!$B$31+'Inputs'!$B$32)/1000+'Inputs'!$B$21)+'Inputs'!$B$9)/SQRT((((742-43)*MAX('Inputs'!$B$33,'Inputs'!$B$29+'Inputs'!$B$31+'Inputs'!$B$32,'Inputs'!$B$30+'Inputs'!$B$31+'Inputs'!$B$32)/1000+'Inputs'!$B$21)+'Inputs'!$B$9)^2+('Inputs'!$B$8/2)^2)-(((742-43)*MAX('Inputs'!$B$33,'Inputs'!$B$29+'Inputs'!$B$31+'Inputs'!$B$32,'Inputs'!$B$30+'Inputs'!$B$31+'Inputs'!$B$32)/1000+'Inputs'!$B$21))/SQRT((((742-43)*MAX('Inputs'!$B$33,'Inputs'!$B$29+'Inputs'!$B$31+'Inputs'!$B$32,'Inputs'!$B$30+'Inputs'!$B$31+'Inputs'!$B$32)/1000+'Inputs'!$B$21))^2+('Inputs'!$B$8/2)^2)))-'Results'!B7*(1+'Inputs'!$B$24)*(0.5*((((742-43)*MAX('Inputs'!$B$33,'Inputs'!$B$29+'Inputs'!$B$31+'Inputs'!$B$32,'Inputs'!$B$30+'Inputs'!$B$31+'Inputs'!$B$32)/1000+'Inputs'!$B$21+'Inputs'!$B$9+'Inputs'!$B$10)+'Inputs'!$B$7)/SQRT((((742-43)*MAX('Inputs'!$B$33,'Inputs'!$B$29+'Inputs'!$B$31+'Inputs'!$B$32,'Inputs'!$B$30+'Inputs'!$B$31+'Inputs'!$B$32)/1000+'Inputs'!$B$21+'Inputs'!$B$9+'Inputs'!$B$10)+'Inputs'!$B$7)^2+('Inputs'!$B$6/2)^2)-(((742-43)*MAX('Inputs'!$B$33,'Inputs'!$B$29+'Inputs'!$B$31+'Inputs'!$B$32,'Inputs'!$B$30+'Inputs'!$B$31+'Inputs'!$B$32)/1000+'Inputs'!$B$21+'Inputs'!$B$9+'Inputs'!$B$10))/SQRT((((742-43)*MAX('Inputs'!$B$33,'Inputs'!$B$29+'Inputs'!$B$31+'Inputs'!$B$32,'Inputs'!$B$30+'Inputs'!$B$31+'Inputs'!$B$32)/1000+'Inputs'!$B$21+'Inputs'!$B$9+'Inputs'!$B$10))^2+('Inputs'!$B$6/2)^2))))*'Results'!$B$8))),"")</x:f>
        <x:v>1.0153474169968495</x:v>
      </x:c>
      <x:c r="O742" t="n">
        <x:f>IF(AND(ISNUMBER('Results'!C7),ISNUMBER('Results'!B7),ISNUMBER('Results'!$B$8),ISNUMBER('Inputs'!$B$6),ISNUMBER('Inputs'!$B$7),ISNUMBER('Inputs'!$B$8),ISNUMBER('Inputs'!$B$9),ISNUMBER('Inputs'!$B$10),ISNUMBER('Inputs'!$B$21),ISNUMBER('Inputs'!$B$24),ISNUMBER('Inputs'!$B$28)),((('Results'!C7*(1+'Inputs'!$B$24)*(0.5*((((742-43)*MAX('Inputs'!$B$33,'Inputs'!$B$29+'Inputs'!$B$31+'Inputs'!$B$32,'Inputs'!$B$30+'Inputs'!$B$31+'Inputs'!$B$32)/1000+'Inputs'!$B$21)+'Inputs'!$B$9)/SQRT((((742-43)*MAX('Inputs'!$B$33,'Inputs'!$B$29+'Inputs'!$B$31+'Inputs'!$B$32,'Inputs'!$B$30+'Inputs'!$B$31+'Inputs'!$B$32)/1000+'Inputs'!$B$21)+'Inputs'!$B$9)^2+('Inputs'!$B$8/2)^2)-(((742-43)*MAX('Inputs'!$B$33,'Inputs'!$B$29+'Inputs'!$B$31+'Inputs'!$B$32,'Inputs'!$B$30+'Inputs'!$B$31+'Inputs'!$B$32)/1000+'Inputs'!$B$21))/SQRT((((742-43)*MAX('Inputs'!$B$33,'Inputs'!$B$29+'Inputs'!$B$31+'Inputs'!$B$32,'Inputs'!$B$30+'Inputs'!$B$31+'Inputs'!$B$32)/1000+'Inputs'!$B$21))^2+('Inputs'!$B$8/2)^2)))-'Results'!B7*(1-'Inputs'!$B$24)*(0.5*((((742-43)*MAX('Inputs'!$B$33,'Inputs'!$B$29+'Inputs'!$B$31+'Inputs'!$B$32,'Inputs'!$B$30+'Inputs'!$B$31+'Inputs'!$B$32)/1000+'Inputs'!$B$21+'Inputs'!$B$9+'Inputs'!$B$10)+'Inputs'!$B$7)/SQRT((((742-43)*MAX('Inputs'!$B$33,'Inputs'!$B$29+'Inputs'!$B$31+'Inputs'!$B$32,'Inputs'!$B$30+'Inputs'!$B$31+'Inputs'!$B$32)/1000+'Inputs'!$B$21+'Inputs'!$B$9+'Inputs'!$B$10)+'Inputs'!$B$7)^2+('Inputs'!$B$6/2)^2)-(((742-43)*MAX('Inputs'!$B$33,'Inputs'!$B$29+'Inputs'!$B$31+'Inputs'!$B$32,'Inputs'!$B$30+'Inputs'!$B$31+'Inputs'!$B$32)/1000+'Inputs'!$B$21+'Inputs'!$B$9+'Inputs'!$B$10))/SQRT((((742-43)*MAX('Inputs'!$B$33,'Inputs'!$B$29+'Inputs'!$B$31+'Inputs'!$B$32,'Inputs'!$B$30+'Inputs'!$B$31+'Inputs'!$B$32)/1000+'Inputs'!$B$21+'Inputs'!$B$9+'Inputs'!$B$10))^2+('Inputs'!$B$6/2)^2))))*'Results'!$B$8)+'Inputs'!$B$28*ABS((('Results'!C7*(1+'Inputs'!$B$24)*(0.5*((((742-43)*MAX('Inputs'!$B$33,'Inputs'!$B$29+'Inputs'!$B$31+'Inputs'!$B$32,'Inputs'!$B$30+'Inputs'!$B$31+'Inputs'!$B$32)/1000+'Inputs'!$B$21)+'Inputs'!$B$9)/SQRT((((742-43)*MAX('Inputs'!$B$33,'Inputs'!$B$29+'Inputs'!$B$31+'Inputs'!$B$32,'Inputs'!$B$30+'Inputs'!$B$31+'Inputs'!$B$32)/1000+'Inputs'!$B$21)+'Inputs'!$B$9)^2+('Inputs'!$B$8/2)^2)-(((742-43)*MAX('Inputs'!$B$33,'Inputs'!$B$29+'Inputs'!$B$31+'Inputs'!$B$32,'Inputs'!$B$30+'Inputs'!$B$31+'Inputs'!$B$32)/1000+'Inputs'!$B$21))/SQRT((((742-43)*MAX('Inputs'!$B$33,'Inputs'!$B$29+'Inputs'!$B$31+'Inputs'!$B$32,'Inputs'!$B$30+'Inputs'!$B$31+'Inputs'!$B$32)/1000+'Inputs'!$B$21))^2+('Inputs'!$B$8/2)^2)))-'Results'!B7*(1-'Inputs'!$B$24)*(0.5*((((742-43)*MAX('Inputs'!$B$33,'Inputs'!$B$29+'Inputs'!$B$31+'Inputs'!$B$32,'Inputs'!$B$30+'Inputs'!$B$31+'Inputs'!$B$32)/1000+'Inputs'!$B$21+'Inputs'!$B$9+'Inputs'!$B$10)+'Inputs'!$B$7)/SQRT((((742-43)*MAX('Inputs'!$B$33,'Inputs'!$B$29+'Inputs'!$B$31+'Inputs'!$B$32,'Inputs'!$B$30+'Inputs'!$B$31+'Inputs'!$B$32)/1000+'Inputs'!$B$21+'Inputs'!$B$9+'Inputs'!$B$10)+'Inputs'!$B$7)^2+('Inputs'!$B$6/2)^2)-(((742-43)*MAX('Inputs'!$B$33,'Inputs'!$B$29+'Inputs'!$B$31+'Inputs'!$B$32,'Inputs'!$B$30+'Inputs'!$B$31+'Inputs'!$B$32)/1000+'Inputs'!$B$21+'Inputs'!$B$9+'Inputs'!$B$10))/SQRT((((742-43)*MAX('Inputs'!$B$33,'Inputs'!$B$29+'Inputs'!$B$31+'Inputs'!$B$32,'Inputs'!$B$30+'Inputs'!$B$31+'Inputs'!$B$32)/1000+'Inputs'!$B$21+'Inputs'!$B$9+'Inputs'!$B$10))^2+('Inputs'!$B$6/2)^2))))*'Results'!$B$8))),"")</x:f>
        <x:v>1.3625548963978118</x:v>
      </x:c>
      <x:c r="P742" t="n">
        <x:f>IF(AND(MAX(J742,J741)&gt;0,J742&gt;J741+0.00000001),1,0)</x:f>
        <x:v>0</x:v>
      </x:c>
      <x:c r="Q742" t="n">
        <x:f>IF(AND(MAX(K742,K741)&gt;0,K742&gt;K741+0.00000001),1,0)</x:f>
        <x:v>0</x:v>
      </x:c>
      <x:c r="R742" t="n">
        <x:f>IF(AND(MAX(L742,L741)&gt;0,L742&gt;L741+0.00000001),1,0)</x:f>
        <x:v>0</x:v>
      </x:c>
      <x:c r="S742" t="n">
        <x:f>IF(AND(MAX(M742,M741)&gt;0,M742&gt;M741+0.00000001),1,0)</x:f>
        <x:v>0</x:v>
      </x:c>
      <x:c r="T742" t="n">
        <x:f>IF(AND(MAX(N742,N741)&gt;0,N742&gt;N741+0.00000001),1,0)</x:f>
        <x:v>0</x:v>
      </x:c>
      <x:c r="U742" t="n">
        <x:f>IF(AND(MAX(O742,O741)&gt;0,O742&gt;O741+0.00000001),1,0)</x:f>
        <x:v>0</x:v>
      </x:c>
    </x:row>
    <x:row r="743">
      <x:c r="J743" t="n">
        <x:f>IF(AND(ISNUMBER('Results'!B7),ISNUMBER('Results'!C7),ISNUMBER('Results'!$B$8),ISNUMBER('Inputs'!$B$6),ISNUMBER('Inputs'!$B$7),ISNUMBER('Inputs'!$B$8),ISNUMBER('Inputs'!$B$9),ISNUMBER('Inputs'!$B$10),ISNUMBER('Inputs'!$B$21),ISNUMBER('Inputs'!$B$24),ISNUMBER('Inputs'!$B$28)),(('Results'!B7*(0.5*((((743-43)*MAX('Inputs'!$B$33,'Inputs'!$B$29+'Inputs'!$B$31+'Inputs'!$B$32,'Inputs'!$B$30+'Inputs'!$B$31+'Inputs'!$B$32)/1000+'Inputs'!$B$21)+'Inputs'!$B$7)/SQRT((((743-43)*MAX('Inputs'!$B$33,'Inputs'!$B$29+'Inputs'!$B$31+'Inputs'!$B$32,'Inputs'!$B$30+'Inputs'!$B$31+'Inputs'!$B$32)/1000+'Inputs'!$B$21)+'Inputs'!$B$7)^2+('Inputs'!$B$6/2)^2)-(((743-43)*MAX('Inputs'!$B$33,'Inputs'!$B$29+'Inputs'!$B$31+'Inputs'!$B$32,'Inputs'!$B$30+'Inputs'!$B$31+'Inputs'!$B$32)/1000+'Inputs'!$B$21))/SQRT((((743-43)*MAX('Inputs'!$B$33,'Inputs'!$B$29+'Inputs'!$B$31+'Inputs'!$B$32,'Inputs'!$B$30+'Inputs'!$B$31+'Inputs'!$B$32)/1000+'Inputs'!$B$21))^2+('Inputs'!$B$6/2)^2)))-'Results'!C7*(0.5*((((743-43)*MAX('Inputs'!$B$33,'Inputs'!$B$29+'Inputs'!$B$31+'Inputs'!$B$32,'Inputs'!$B$30+'Inputs'!$B$31+'Inputs'!$B$32)/1000+'Inputs'!$B$21+'Inputs'!$B$7+'Inputs'!$B$10)+'Inputs'!$B$9)/SQRT((((743-43)*MAX('Inputs'!$B$33,'Inputs'!$B$29+'Inputs'!$B$31+'Inputs'!$B$32,'Inputs'!$B$30+'Inputs'!$B$31+'Inputs'!$B$32)/1000+'Inputs'!$B$21+'Inputs'!$B$7+'Inputs'!$B$10)+'Inputs'!$B$9)^2+('Inputs'!$B$8/2)^2)-(((743-43)*MAX('Inputs'!$B$33,'Inputs'!$B$29+'Inputs'!$B$31+'Inputs'!$B$32,'Inputs'!$B$30+'Inputs'!$B$31+'Inputs'!$B$32)/1000+'Inputs'!$B$21+'Inputs'!$B$7+'Inputs'!$B$10))/SQRT((((743-43)*MAX('Inputs'!$B$33,'Inputs'!$B$29+'Inputs'!$B$31+'Inputs'!$B$32,'Inputs'!$B$30+'Inputs'!$B$31+'Inputs'!$B$32)/1000+'Inputs'!$B$21+'Inputs'!$B$7+'Inputs'!$B$10))^2+('Inputs'!$B$8/2)^2))))*'Results'!$B$8),"")</x:f>
        <x:v>1.2924997615971705</x:v>
      </x:c>
      <x:c r="K743" t="n">
        <x:f>IF(AND(ISNUMBER('Results'!B7),ISNUMBER('Results'!C7),ISNUMBER('Results'!$B$8),ISNUMBER('Inputs'!$B$6),ISNUMBER('Inputs'!$B$7),ISNUMBER('Inputs'!$B$8),ISNUMBER('Inputs'!$B$9),ISNUMBER('Inputs'!$B$10),ISNUMBER('Inputs'!$B$21),ISNUMBER('Inputs'!$B$24),ISNUMBER('Inputs'!$B$28)),((('Results'!B7*(1-'Inputs'!$B$24)*(0.5*((((743-43)*MAX('Inputs'!$B$33,'Inputs'!$B$29+'Inputs'!$B$31+'Inputs'!$B$32,'Inputs'!$B$30+'Inputs'!$B$31+'Inputs'!$B$32)/1000+'Inputs'!$B$21)+'Inputs'!$B$7)/SQRT((((743-43)*MAX('Inputs'!$B$33,'Inputs'!$B$29+'Inputs'!$B$31+'Inputs'!$B$32,'Inputs'!$B$30+'Inputs'!$B$31+'Inputs'!$B$32)/1000+'Inputs'!$B$21)+'Inputs'!$B$7)^2+('Inputs'!$B$6/2)^2)-(((743-43)*MAX('Inputs'!$B$33,'Inputs'!$B$29+'Inputs'!$B$31+'Inputs'!$B$32,'Inputs'!$B$30+'Inputs'!$B$31+'Inputs'!$B$32)/1000+'Inputs'!$B$21))/SQRT((((743-43)*MAX('Inputs'!$B$33,'Inputs'!$B$29+'Inputs'!$B$31+'Inputs'!$B$32,'Inputs'!$B$30+'Inputs'!$B$31+'Inputs'!$B$32)/1000+'Inputs'!$B$21))^2+('Inputs'!$B$6/2)^2)))-'Results'!C7*(1+'Inputs'!$B$24)*(0.5*((((743-43)*MAX('Inputs'!$B$33,'Inputs'!$B$29+'Inputs'!$B$31+'Inputs'!$B$32,'Inputs'!$B$30+'Inputs'!$B$31+'Inputs'!$B$32)/1000+'Inputs'!$B$21+'Inputs'!$B$7+'Inputs'!$B$10)+'Inputs'!$B$9)/SQRT((((743-43)*MAX('Inputs'!$B$33,'Inputs'!$B$29+'Inputs'!$B$31+'Inputs'!$B$32,'Inputs'!$B$30+'Inputs'!$B$31+'Inputs'!$B$32)/1000+'Inputs'!$B$21+'Inputs'!$B$7+'Inputs'!$B$10)+'Inputs'!$B$9)^2+('Inputs'!$B$8/2)^2)-(((743-43)*MAX('Inputs'!$B$33,'Inputs'!$B$29+'Inputs'!$B$31+'Inputs'!$B$32,'Inputs'!$B$30+'Inputs'!$B$31+'Inputs'!$B$32)/1000+'Inputs'!$B$21+'Inputs'!$B$7+'Inputs'!$B$10))/SQRT((((743-43)*MAX('Inputs'!$B$33,'Inputs'!$B$29+'Inputs'!$B$31+'Inputs'!$B$32,'Inputs'!$B$30+'Inputs'!$B$31+'Inputs'!$B$32)/1000+'Inputs'!$B$21+'Inputs'!$B$7+'Inputs'!$B$10))^2+('Inputs'!$B$8/2)^2))))*'Results'!$B$8)-'Inputs'!$B$28*ABS((('Results'!B7*(1-'Inputs'!$B$24)*(0.5*((((743-43)*MAX('Inputs'!$B$33,'Inputs'!$B$29+'Inputs'!$B$31+'Inputs'!$B$32,'Inputs'!$B$30+'Inputs'!$B$31+'Inputs'!$B$32)/1000+'Inputs'!$B$21)+'Inputs'!$B$7)/SQRT((((743-43)*MAX('Inputs'!$B$33,'Inputs'!$B$29+'Inputs'!$B$31+'Inputs'!$B$32,'Inputs'!$B$30+'Inputs'!$B$31+'Inputs'!$B$32)/1000+'Inputs'!$B$21)+'Inputs'!$B$7)^2+('Inputs'!$B$6/2)^2)-(((743-43)*MAX('Inputs'!$B$33,'Inputs'!$B$29+'Inputs'!$B$31+'Inputs'!$B$32,'Inputs'!$B$30+'Inputs'!$B$31+'Inputs'!$B$32)/1000+'Inputs'!$B$21))/SQRT((((743-43)*MAX('Inputs'!$B$33,'Inputs'!$B$29+'Inputs'!$B$31+'Inputs'!$B$32,'Inputs'!$B$30+'Inputs'!$B$31+'Inputs'!$B$32)/1000+'Inputs'!$B$21))^2+('Inputs'!$B$6/2)^2)))-'Results'!C7*(1+'Inputs'!$B$24)*(0.5*((((743-43)*MAX('Inputs'!$B$33,'Inputs'!$B$29+'Inputs'!$B$31+'Inputs'!$B$32,'Inputs'!$B$30+'Inputs'!$B$31+'Inputs'!$B$32)/1000+'Inputs'!$B$21+'Inputs'!$B$7+'Inputs'!$B$10)+'Inputs'!$B$9)/SQRT((((743-43)*MAX('Inputs'!$B$33,'Inputs'!$B$29+'Inputs'!$B$31+'Inputs'!$B$32,'Inputs'!$B$30+'Inputs'!$B$31+'Inputs'!$B$32)/1000+'Inputs'!$B$21+'Inputs'!$B$7+'Inputs'!$B$10)+'Inputs'!$B$9)^2+('Inputs'!$B$8/2)^2)-(((743-43)*MAX('Inputs'!$B$33,'Inputs'!$B$29+'Inputs'!$B$31+'Inputs'!$B$32,'Inputs'!$B$30+'Inputs'!$B$31+'Inputs'!$B$32)/1000+'Inputs'!$B$21+'Inputs'!$B$7+'Inputs'!$B$10))/SQRT((((743-43)*MAX('Inputs'!$B$33,'Inputs'!$B$29+'Inputs'!$B$31+'Inputs'!$B$32,'Inputs'!$B$30+'Inputs'!$B$31+'Inputs'!$B$32)/1000+'Inputs'!$B$21+'Inputs'!$B$7+'Inputs'!$B$10))^2+('Inputs'!$B$8/2)^2))))*'Results'!$B$8))),"")</x:f>
        <x:v>1.119104183679261</x:v>
      </x:c>
      <x:c r="L743" t="n">
        <x:f>IF(AND(ISNUMBER('Results'!B7),ISNUMBER('Results'!C7),ISNUMBER('Results'!$B$8),ISNUMBER('Inputs'!$B$6),ISNUMBER('Inputs'!$B$7),ISNUMBER('Inputs'!$B$8),ISNUMBER('Inputs'!$B$9),ISNUMBER('Inputs'!$B$10),ISNUMBER('Inputs'!$B$21),ISNUMBER('Inputs'!$B$24),ISNUMBER('Inputs'!$B$28)),((('Results'!B7*(1+'Inputs'!$B$24)*(0.5*((((743-43)*MAX('Inputs'!$B$33,'Inputs'!$B$29+'Inputs'!$B$31+'Inputs'!$B$32,'Inputs'!$B$30+'Inputs'!$B$31+'Inputs'!$B$32)/1000+'Inputs'!$B$21)+'Inputs'!$B$7)/SQRT((((743-43)*MAX('Inputs'!$B$33,'Inputs'!$B$29+'Inputs'!$B$31+'Inputs'!$B$32,'Inputs'!$B$30+'Inputs'!$B$31+'Inputs'!$B$32)/1000+'Inputs'!$B$21)+'Inputs'!$B$7)^2+('Inputs'!$B$6/2)^2)-(((743-43)*MAX('Inputs'!$B$33,'Inputs'!$B$29+'Inputs'!$B$31+'Inputs'!$B$32,'Inputs'!$B$30+'Inputs'!$B$31+'Inputs'!$B$32)/1000+'Inputs'!$B$21))/SQRT((((743-43)*MAX('Inputs'!$B$33,'Inputs'!$B$29+'Inputs'!$B$31+'Inputs'!$B$32,'Inputs'!$B$30+'Inputs'!$B$31+'Inputs'!$B$32)/1000+'Inputs'!$B$21))^2+('Inputs'!$B$6/2)^2)))-'Results'!C7*(1-'Inputs'!$B$24)*(0.5*((((743-43)*MAX('Inputs'!$B$33,'Inputs'!$B$29+'Inputs'!$B$31+'Inputs'!$B$32,'Inputs'!$B$30+'Inputs'!$B$31+'Inputs'!$B$32)/1000+'Inputs'!$B$21+'Inputs'!$B$7+'Inputs'!$B$10)+'Inputs'!$B$9)/SQRT((((743-43)*MAX('Inputs'!$B$33,'Inputs'!$B$29+'Inputs'!$B$31+'Inputs'!$B$32,'Inputs'!$B$30+'Inputs'!$B$31+'Inputs'!$B$32)/1000+'Inputs'!$B$21+'Inputs'!$B$7+'Inputs'!$B$10)+'Inputs'!$B$9)^2+('Inputs'!$B$8/2)^2)-(((743-43)*MAX('Inputs'!$B$33,'Inputs'!$B$29+'Inputs'!$B$31+'Inputs'!$B$32,'Inputs'!$B$30+'Inputs'!$B$31+'Inputs'!$B$32)/1000+'Inputs'!$B$21+'Inputs'!$B$7+'Inputs'!$B$10))/SQRT((((743-43)*MAX('Inputs'!$B$33,'Inputs'!$B$29+'Inputs'!$B$31+'Inputs'!$B$32,'Inputs'!$B$30+'Inputs'!$B$31+'Inputs'!$B$32)/1000+'Inputs'!$B$21+'Inputs'!$B$7+'Inputs'!$B$10))^2+('Inputs'!$B$8/2)^2))))*'Results'!$B$8)+'Inputs'!$B$28*ABS((('Results'!B7*(1+'Inputs'!$B$24)*(0.5*((((743-43)*MAX('Inputs'!$B$33,'Inputs'!$B$29+'Inputs'!$B$31+'Inputs'!$B$32,'Inputs'!$B$30+'Inputs'!$B$31+'Inputs'!$B$32)/1000+'Inputs'!$B$21)+'Inputs'!$B$7)/SQRT((((743-43)*MAX('Inputs'!$B$33,'Inputs'!$B$29+'Inputs'!$B$31+'Inputs'!$B$32,'Inputs'!$B$30+'Inputs'!$B$31+'Inputs'!$B$32)/1000+'Inputs'!$B$21)+'Inputs'!$B$7)^2+('Inputs'!$B$6/2)^2)-(((743-43)*MAX('Inputs'!$B$33,'Inputs'!$B$29+'Inputs'!$B$31+'Inputs'!$B$32,'Inputs'!$B$30+'Inputs'!$B$31+'Inputs'!$B$32)/1000+'Inputs'!$B$21))/SQRT((((743-43)*MAX('Inputs'!$B$33,'Inputs'!$B$29+'Inputs'!$B$31+'Inputs'!$B$32,'Inputs'!$B$30+'Inputs'!$B$31+'Inputs'!$B$32)/1000+'Inputs'!$B$21))^2+('Inputs'!$B$6/2)^2)))-'Results'!C7*(1-'Inputs'!$B$24)*(0.5*((((743-43)*MAX('Inputs'!$B$33,'Inputs'!$B$29+'Inputs'!$B$31+'Inputs'!$B$32,'Inputs'!$B$30+'Inputs'!$B$31+'Inputs'!$B$32)/1000+'Inputs'!$B$21+'Inputs'!$B$7+'Inputs'!$B$10)+'Inputs'!$B$9)/SQRT((((743-43)*MAX('Inputs'!$B$33,'Inputs'!$B$29+'Inputs'!$B$31+'Inputs'!$B$32,'Inputs'!$B$30+'Inputs'!$B$31+'Inputs'!$B$32)/1000+'Inputs'!$B$21+'Inputs'!$B$7+'Inputs'!$B$10)+'Inputs'!$B$9)^2+('Inputs'!$B$8/2)^2)-(((743-43)*MAX('Inputs'!$B$33,'Inputs'!$B$29+'Inputs'!$B$31+'Inputs'!$B$32,'Inputs'!$B$30+'Inputs'!$B$31+'Inputs'!$B$32)/1000+'Inputs'!$B$21+'Inputs'!$B$7+'Inputs'!$B$10))/SQRT((((743-43)*MAX('Inputs'!$B$33,'Inputs'!$B$29+'Inputs'!$B$31+'Inputs'!$B$32,'Inputs'!$B$30+'Inputs'!$B$31+'Inputs'!$B$32)/1000+'Inputs'!$B$21+'Inputs'!$B$7+'Inputs'!$B$10))^2+('Inputs'!$B$8/2)^2))))*'Results'!$B$8))),"")</x:f>
        <x:v>1.4773448752875065</x:v>
      </x:c>
      <x:c r="M743" t="n">
        <x:f>IF(AND(ISNUMBER('Results'!C7),ISNUMBER('Results'!B7),ISNUMBER('Results'!$B$8),ISNUMBER('Inputs'!$B$6),ISNUMBER('Inputs'!$B$7),ISNUMBER('Inputs'!$B$8),ISNUMBER('Inputs'!$B$9),ISNUMBER('Inputs'!$B$10),ISNUMBER('Inputs'!$B$21),ISNUMBER('Inputs'!$B$24),ISNUMBER('Inputs'!$B$28)),(('Results'!C7*(0.5*((((743-43)*MAX('Inputs'!$B$33,'Inputs'!$B$29+'Inputs'!$B$31+'Inputs'!$B$32,'Inputs'!$B$30+'Inputs'!$B$31+'Inputs'!$B$32)/1000+'Inputs'!$B$21)+'Inputs'!$B$9)/SQRT((((743-43)*MAX('Inputs'!$B$33,'Inputs'!$B$29+'Inputs'!$B$31+'Inputs'!$B$32,'Inputs'!$B$30+'Inputs'!$B$31+'Inputs'!$B$32)/1000+'Inputs'!$B$21)+'Inputs'!$B$9)^2+('Inputs'!$B$8/2)^2)-(((743-43)*MAX('Inputs'!$B$33,'Inputs'!$B$29+'Inputs'!$B$31+'Inputs'!$B$32,'Inputs'!$B$30+'Inputs'!$B$31+'Inputs'!$B$32)/1000+'Inputs'!$B$21))/SQRT((((743-43)*MAX('Inputs'!$B$33,'Inputs'!$B$29+'Inputs'!$B$31+'Inputs'!$B$32,'Inputs'!$B$30+'Inputs'!$B$31+'Inputs'!$B$32)/1000+'Inputs'!$B$21))^2+('Inputs'!$B$8/2)^2)))-'Results'!B7*(0.5*((((743-43)*MAX('Inputs'!$B$33,'Inputs'!$B$29+'Inputs'!$B$31+'Inputs'!$B$32,'Inputs'!$B$30+'Inputs'!$B$31+'Inputs'!$B$32)/1000+'Inputs'!$B$21+'Inputs'!$B$9+'Inputs'!$B$10)+'Inputs'!$B$7)/SQRT((((743-43)*MAX('Inputs'!$B$33,'Inputs'!$B$29+'Inputs'!$B$31+'Inputs'!$B$32,'Inputs'!$B$30+'Inputs'!$B$31+'Inputs'!$B$32)/1000+'Inputs'!$B$21+'Inputs'!$B$9+'Inputs'!$B$10)+'Inputs'!$B$7)^2+('Inputs'!$B$6/2)^2)-(((743-43)*MAX('Inputs'!$B$33,'Inputs'!$B$29+'Inputs'!$B$31+'Inputs'!$B$32,'Inputs'!$B$30+'Inputs'!$B$31+'Inputs'!$B$32)/1000+'Inputs'!$B$21+'Inputs'!$B$9+'Inputs'!$B$10))/SQRT((((743-43)*MAX('Inputs'!$B$33,'Inputs'!$B$29+'Inputs'!$B$31+'Inputs'!$B$32,'Inputs'!$B$30+'Inputs'!$B$31+'Inputs'!$B$32)/1000+'Inputs'!$B$21+'Inputs'!$B$9+'Inputs'!$B$10))^2+('Inputs'!$B$6/2)^2))))*'Results'!$B$8),"")</x:f>
        <x:v>1.177099859357679</x:v>
      </x:c>
      <x:c r="N743" t="n">
        <x:f>IF(AND(ISNUMBER('Results'!C7),ISNUMBER('Results'!B7),ISNUMBER('Results'!$B$8),ISNUMBER('Inputs'!$B$6),ISNUMBER('Inputs'!$B$7),ISNUMBER('Inputs'!$B$8),ISNUMBER('Inputs'!$B$9),ISNUMBER('Inputs'!$B$10),ISNUMBER('Inputs'!$B$21),ISNUMBER('Inputs'!$B$24),ISNUMBER('Inputs'!$B$28)),((('Results'!C7*(1-'Inputs'!$B$24)*(0.5*((((743-43)*MAX('Inputs'!$B$33,'Inputs'!$B$29+'Inputs'!$B$31+'Inputs'!$B$32,'Inputs'!$B$30+'Inputs'!$B$31+'Inputs'!$B$32)/1000+'Inputs'!$B$21)+'Inputs'!$B$9)/SQRT((((743-43)*MAX('Inputs'!$B$33,'Inputs'!$B$29+'Inputs'!$B$31+'Inputs'!$B$32,'Inputs'!$B$30+'Inputs'!$B$31+'Inputs'!$B$32)/1000+'Inputs'!$B$21)+'Inputs'!$B$9)^2+('Inputs'!$B$8/2)^2)-(((743-43)*MAX('Inputs'!$B$33,'Inputs'!$B$29+'Inputs'!$B$31+'Inputs'!$B$32,'Inputs'!$B$30+'Inputs'!$B$31+'Inputs'!$B$32)/1000+'Inputs'!$B$21))/SQRT((((743-43)*MAX('Inputs'!$B$33,'Inputs'!$B$29+'Inputs'!$B$31+'Inputs'!$B$32,'Inputs'!$B$30+'Inputs'!$B$31+'Inputs'!$B$32)/1000+'Inputs'!$B$21))^2+('Inputs'!$B$8/2)^2)))-'Results'!B7*(1+'Inputs'!$B$24)*(0.5*((((743-43)*MAX('Inputs'!$B$33,'Inputs'!$B$29+'Inputs'!$B$31+'Inputs'!$B$32,'Inputs'!$B$30+'Inputs'!$B$31+'Inputs'!$B$32)/1000+'Inputs'!$B$21+'Inputs'!$B$9+'Inputs'!$B$10)+'Inputs'!$B$7)/SQRT((((743-43)*MAX('Inputs'!$B$33,'Inputs'!$B$29+'Inputs'!$B$31+'Inputs'!$B$32,'Inputs'!$B$30+'Inputs'!$B$31+'Inputs'!$B$32)/1000+'Inputs'!$B$21+'Inputs'!$B$9+'Inputs'!$B$10)+'Inputs'!$B$7)^2+('Inputs'!$B$6/2)^2)-(((743-43)*MAX('Inputs'!$B$33,'Inputs'!$B$29+'Inputs'!$B$31+'Inputs'!$B$32,'Inputs'!$B$30+'Inputs'!$B$31+'Inputs'!$B$32)/1000+'Inputs'!$B$21+'Inputs'!$B$9+'Inputs'!$B$10))/SQRT((((743-43)*MAX('Inputs'!$B$33,'Inputs'!$B$29+'Inputs'!$B$31+'Inputs'!$B$32,'Inputs'!$B$30+'Inputs'!$B$31+'Inputs'!$B$32)/1000+'Inputs'!$B$21+'Inputs'!$B$9+'Inputs'!$B$10))^2+('Inputs'!$B$6/2)^2))))*'Results'!$B$8)-'Inputs'!$B$28*ABS((('Results'!C7*(1-'Inputs'!$B$24)*(0.5*((((743-43)*MAX('Inputs'!$B$33,'Inputs'!$B$29+'Inputs'!$B$31+'Inputs'!$B$32,'Inputs'!$B$30+'Inputs'!$B$31+'Inputs'!$B$32)/1000+'Inputs'!$B$21)+'Inputs'!$B$9)/SQRT((((743-43)*MAX('Inputs'!$B$33,'Inputs'!$B$29+'Inputs'!$B$31+'Inputs'!$B$32,'Inputs'!$B$30+'Inputs'!$B$31+'Inputs'!$B$32)/1000+'Inputs'!$B$21)+'Inputs'!$B$9)^2+('Inputs'!$B$8/2)^2)-(((743-43)*MAX('Inputs'!$B$33,'Inputs'!$B$29+'Inputs'!$B$31+'Inputs'!$B$32,'Inputs'!$B$30+'Inputs'!$B$31+'Inputs'!$B$32)/1000+'Inputs'!$B$21))/SQRT((((743-43)*MAX('Inputs'!$B$33,'Inputs'!$B$29+'Inputs'!$B$31+'Inputs'!$B$32,'Inputs'!$B$30+'Inputs'!$B$31+'Inputs'!$B$32)/1000+'Inputs'!$B$21))^2+('Inputs'!$B$8/2)^2)))-'Results'!B7*(1+'Inputs'!$B$24)*(0.5*((((743-43)*MAX('Inputs'!$B$33,'Inputs'!$B$29+'Inputs'!$B$31+'Inputs'!$B$32,'Inputs'!$B$30+'Inputs'!$B$31+'Inputs'!$B$32)/1000+'Inputs'!$B$21+'Inputs'!$B$9+'Inputs'!$B$10)+'Inputs'!$B$7)/SQRT((((743-43)*MAX('Inputs'!$B$33,'Inputs'!$B$29+'Inputs'!$B$31+'Inputs'!$B$32,'Inputs'!$B$30+'Inputs'!$B$31+'Inputs'!$B$32)/1000+'Inputs'!$B$21+'Inputs'!$B$9+'Inputs'!$B$10)+'Inputs'!$B$7)^2+('Inputs'!$B$6/2)^2)-(((743-43)*MAX('Inputs'!$B$33,'Inputs'!$B$29+'Inputs'!$B$31+'Inputs'!$B$32,'Inputs'!$B$30+'Inputs'!$B$31+'Inputs'!$B$32)/1000+'Inputs'!$B$21+'Inputs'!$B$9+'Inputs'!$B$10))/SQRT((((743-43)*MAX('Inputs'!$B$33,'Inputs'!$B$29+'Inputs'!$B$31+'Inputs'!$B$32,'Inputs'!$B$30+'Inputs'!$B$31+'Inputs'!$B$32)/1000+'Inputs'!$B$21+'Inputs'!$B$9+'Inputs'!$B$10))^2+('Inputs'!$B$6/2)^2))))*'Results'!$B$8))),"")</x:f>
        <x:v>1.0099482401153617</x:v>
      </x:c>
      <x:c r="O743" t="n">
        <x:f>IF(AND(ISNUMBER('Results'!C7),ISNUMBER('Results'!B7),ISNUMBER('Results'!$B$8),ISNUMBER('Inputs'!$B$6),ISNUMBER('Inputs'!$B$7),ISNUMBER('Inputs'!$B$8),ISNUMBER('Inputs'!$B$9),ISNUMBER('Inputs'!$B$10),ISNUMBER('Inputs'!$B$21),ISNUMBER('Inputs'!$B$24),ISNUMBER('Inputs'!$B$28)),((('Results'!C7*(1+'Inputs'!$B$24)*(0.5*((((743-43)*MAX('Inputs'!$B$33,'Inputs'!$B$29+'Inputs'!$B$31+'Inputs'!$B$32,'Inputs'!$B$30+'Inputs'!$B$31+'Inputs'!$B$32)/1000+'Inputs'!$B$21)+'Inputs'!$B$9)/SQRT((((743-43)*MAX('Inputs'!$B$33,'Inputs'!$B$29+'Inputs'!$B$31+'Inputs'!$B$32,'Inputs'!$B$30+'Inputs'!$B$31+'Inputs'!$B$32)/1000+'Inputs'!$B$21)+'Inputs'!$B$9)^2+('Inputs'!$B$8/2)^2)-(((743-43)*MAX('Inputs'!$B$33,'Inputs'!$B$29+'Inputs'!$B$31+'Inputs'!$B$32,'Inputs'!$B$30+'Inputs'!$B$31+'Inputs'!$B$32)/1000+'Inputs'!$B$21))/SQRT((((743-43)*MAX('Inputs'!$B$33,'Inputs'!$B$29+'Inputs'!$B$31+'Inputs'!$B$32,'Inputs'!$B$30+'Inputs'!$B$31+'Inputs'!$B$32)/1000+'Inputs'!$B$21))^2+('Inputs'!$B$8/2)^2)))-'Results'!B7*(1-'Inputs'!$B$24)*(0.5*((((743-43)*MAX('Inputs'!$B$33,'Inputs'!$B$29+'Inputs'!$B$31+'Inputs'!$B$32,'Inputs'!$B$30+'Inputs'!$B$31+'Inputs'!$B$32)/1000+'Inputs'!$B$21+'Inputs'!$B$9+'Inputs'!$B$10)+'Inputs'!$B$7)/SQRT((((743-43)*MAX('Inputs'!$B$33,'Inputs'!$B$29+'Inputs'!$B$31+'Inputs'!$B$32,'Inputs'!$B$30+'Inputs'!$B$31+'Inputs'!$B$32)/1000+'Inputs'!$B$21+'Inputs'!$B$9+'Inputs'!$B$10)+'Inputs'!$B$7)^2+('Inputs'!$B$6/2)^2)-(((743-43)*MAX('Inputs'!$B$33,'Inputs'!$B$29+'Inputs'!$B$31+'Inputs'!$B$32,'Inputs'!$B$30+'Inputs'!$B$31+'Inputs'!$B$32)/1000+'Inputs'!$B$21+'Inputs'!$B$9+'Inputs'!$B$10))/SQRT((((743-43)*MAX('Inputs'!$B$33,'Inputs'!$B$29+'Inputs'!$B$31+'Inputs'!$B$32,'Inputs'!$B$30+'Inputs'!$B$31+'Inputs'!$B$32)/1000+'Inputs'!$B$21+'Inputs'!$B$9+'Inputs'!$B$10))^2+('Inputs'!$B$6/2)^2))))*'Results'!$B$8)+'Inputs'!$B$28*ABS((('Results'!C7*(1+'Inputs'!$B$24)*(0.5*((((743-43)*MAX('Inputs'!$B$33,'Inputs'!$B$29+'Inputs'!$B$31+'Inputs'!$B$32,'Inputs'!$B$30+'Inputs'!$B$31+'Inputs'!$B$32)/1000+'Inputs'!$B$21)+'Inputs'!$B$9)/SQRT((((743-43)*MAX('Inputs'!$B$33,'Inputs'!$B$29+'Inputs'!$B$31+'Inputs'!$B$32,'Inputs'!$B$30+'Inputs'!$B$31+'Inputs'!$B$32)/1000+'Inputs'!$B$21)+'Inputs'!$B$9)^2+('Inputs'!$B$8/2)^2)-(((743-43)*MAX('Inputs'!$B$33,'Inputs'!$B$29+'Inputs'!$B$31+'Inputs'!$B$32,'Inputs'!$B$30+'Inputs'!$B$31+'Inputs'!$B$32)/1000+'Inputs'!$B$21))/SQRT((((743-43)*MAX('Inputs'!$B$33,'Inputs'!$B$29+'Inputs'!$B$31+'Inputs'!$B$32,'Inputs'!$B$30+'Inputs'!$B$31+'Inputs'!$B$32)/1000+'Inputs'!$B$21))^2+('Inputs'!$B$8/2)^2)))-'Results'!B7*(1-'Inputs'!$B$24)*(0.5*((((743-43)*MAX('Inputs'!$B$33,'Inputs'!$B$29+'Inputs'!$B$31+'Inputs'!$B$32,'Inputs'!$B$30+'Inputs'!$B$31+'Inputs'!$B$32)/1000+'Inputs'!$B$21+'Inputs'!$B$9+'Inputs'!$B$10)+'Inputs'!$B$7)/SQRT((((743-43)*MAX('Inputs'!$B$33,'Inputs'!$B$29+'Inputs'!$B$31+'Inputs'!$B$32,'Inputs'!$B$30+'Inputs'!$B$31+'Inputs'!$B$32)/1000+'Inputs'!$B$21+'Inputs'!$B$9+'Inputs'!$B$10)+'Inputs'!$B$7)^2+('Inputs'!$B$6/2)^2)-(((743-43)*MAX('Inputs'!$B$33,'Inputs'!$B$29+'Inputs'!$B$31+'Inputs'!$B$32,'Inputs'!$B$30+'Inputs'!$B$31+'Inputs'!$B$32)/1000+'Inputs'!$B$21+'Inputs'!$B$9+'Inputs'!$B$10))/SQRT((((743-43)*MAX('Inputs'!$B$33,'Inputs'!$B$29+'Inputs'!$B$31+'Inputs'!$B$32,'Inputs'!$B$30+'Inputs'!$B$31+'Inputs'!$B$32)/1000+'Inputs'!$B$21+'Inputs'!$B$9+'Inputs'!$B$10))^2+('Inputs'!$B$6/2)^2))))*'Results'!$B$8))),"")</x:f>
        <x:v>1.3556511234709892</x:v>
      </x:c>
      <x:c r="P743" t="n">
        <x:f>IF(AND(MAX(J743,J742)&gt;0,J743&gt;J742+0.00000001),1,0)</x:f>
        <x:v>0</x:v>
      </x:c>
      <x:c r="Q743" t="n">
        <x:f>IF(AND(MAX(K743,K742)&gt;0,K743&gt;K742+0.00000001),1,0)</x:f>
        <x:v>0</x:v>
      </x:c>
      <x:c r="R743" t="n">
        <x:f>IF(AND(MAX(L743,L742)&gt;0,L743&gt;L742+0.00000001),1,0)</x:f>
        <x:v>0</x:v>
      </x:c>
      <x:c r="S743" t="n">
        <x:f>IF(AND(MAX(M743,M742)&gt;0,M743&gt;M742+0.00000001),1,0)</x:f>
        <x:v>0</x:v>
      </x:c>
      <x:c r="T743" t="n">
        <x:f>IF(AND(MAX(N743,N742)&gt;0,N743&gt;N742+0.00000001),1,0)</x:f>
        <x:v>0</x:v>
      </x:c>
      <x:c r="U743" t="n">
        <x:f>IF(AND(MAX(O743,O742)&gt;0,O743&gt;O742+0.00000001),1,0)</x:f>
        <x:v>0</x:v>
      </x:c>
    </x:row>
    <x:row r="744">
      <x:c r="J744" t="n">
        <x:f>IF(AND(ISNUMBER('Results'!B7),ISNUMBER('Results'!C7),ISNUMBER('Results'!$B$8),ISNUMBER('Inputs'!$B$6),ISNUMBER('Inputs'!$B$7),ISNUMBER('Inputs'!$B$8),ISNUMBER('Inputs'!$B$9),ISNUMBER('Inputs'!$B$10),ISNUMBER('Inputs'!$B$21),ISNUMBER('Inputs'!$B$24),ISNUMBER('Inputs'!$B$28)),(('Results'!B7*(0.5*((((744-43)*MAX('Inputs'!$B$33,'Inputs'!$B$29+'Inputs'!$B$31+'Inputs'!$B$32,'Inputs'!$B$30+'Inputs'!$B$31+'Inputs'!$B$32)/1000+'Inputs'!$B$21)+'Inputs'!$B$7)/SQRT((((744-43)*MAX('Inputs'!$B$33,'Inputs'!$B$29+'Inputs'!$B$31+'Inputs'!$B$32,'Inputs'!$B$30+'Inputs'!$B$31+'Inputs'!$B$32)/1000+'Inputs'!$B$21)+'Inputs'!$B$7)^2+('Inputs'!$B$6/2)^2)-(((744-43)*MAX('Inputs'!$B$33,'Inputs'!$B$29+'Inputs'!$B$31+'Inputs'!$B$32,'Inputs'!$B$30+'Inputs'!$B$31+'Inputs'!$B$32)/1000+'Inputs'!$B$21))/SQRT((((744-43)*MAX('Inputs'!$B$33,'Inputs'!$B$29+'Inputs'!$B$31+'Inputs'!$B$32,'Inputs'!$B$30+'Inputs'!$B$31+'Inputs'!$B$32)/1000+'Inputs'!$B$21))^2+('Inputs'!$B$6/2)^2)))-'Results'!C7*(0.5*((((744-43)*MAX('Inputs'!$B$33,'Inputs'!$B$29+'Inputs'!$B$31+'Inputs'!$B$32,'Inputs'!$B$30+'Inputs'!$B$31+'Inputs'!$B$32)/1000+'Inputs'!$B$21+'Inputs'!$B$7+'Inputs'!$B$10)+'Inputs'!$B$9)/SQRT((((744-43)*MAX('Inputs'!$B$33,'Inputs'!$B$29+'Inputs'!$B$31+'Inputs'!$B$32,'Inputs'!$B$30+'Inputs'!$B$31+'Inputs'!$B$32)/1000+'Inputs'!$B$21+'Inputs'!$B$7+'Inputs'!$B$10)+'Inputs'!$B$9)^2+('Inputs'!$B$8/2)^2)-(((744-43)*MAX('Inputs'!$B$33,'Inputs'!$B$29+'Inputs'!$B$31+'Inputs'!$B$32,'Inputs'!$B$30+'Inputs'!$B$31+'Inputs'!$B$32)/1000+'Inputs'!$B$21+'Inputs'!$B$7+'Inputs'!$B$10))/SQRT((((744-43)*MAX('Inputs'!$B$33,'Inputs'!$B$29+'Inputs'!$B$31+'Inputs'!$B$32,'Inputs'!$B$30+'Inputs'!$B$31+'Inputs'!$B$32)/1000+'Inputs'!$B$21+'Inputs'!$B$7+'Inputs'!$B$10))^2+('Inputs'!$B$8/2)^2))))*'Results'!$B$8),"")</x:f>
        <x:v>1.2859607041313463</x:v>
      </x:c>
      <x:c r="K744" t="n">
        <x:f>IF(AND(ISNUMBER('Results'!B7),ISNUMBER('Results'!C7),ISNUMBER('Results'!$B$8),ISNUMBER('Inputs'!$B$6),ISNUMBER('Inputs'!$B$7),ISNUMBER('Inputs'!$B$8),ISNUMBER('Inputs'!$B$9),ISNUMBER('Inputs'!$B$10),ISNUMBER('Inputs'!$B$21),ISNUMBER('Inputs'!$B$24),ISNUMBER('Inputs'!$B$28)),((('Results'!B7*(1-'Inputs'!$B$24)*(0.5*((((744-43)*MAX('Inputs'!$B$33,'Inputs'!$B$29+'Inputs'!$B$31+'Inputs'!$B$32,'Inputs'!$B$30+'Inputs'!$B$31+'Inputs'!$B$32)/1000+'Inputs'!$B$21)+'Inputs'!$B$7)/SQRT((((744-43)*MAX('Inputs'!$B$33,'Inputs'!$B$29+'Inputs'!$B$31+'Inputs'!$B$32,'Inputs'!$B$30+'Inputs'!$B$31+'Inputs'!$B$32)/1000+'Inputs'!$B$21)+'Inputs'!$B$7)^2+('Inputs'!$B$6/2)^2)-(((744-43)*MAX('Inputs'!$B$33,'Inputs'!$B$29+'Inputs'!$B$31+'Inputs'!$B$32,'Inputs'!$B$30+'Inputs'!$B$31+'Inputs'!$B$32)/1000+'Inputs'!$B$21))/SQRT((((744-43)*MAX('Inputs'!$B$33,'Inputs'!$B$29+'Inputs'!$B$31+'Inputs'!$B$32,'Inputs'!$B$30+'Inputs'!$B$31+'Inputs'!$B$32)/1000+'Inputs'!$B$21))^2+('Inputs'!$B$6/2)^2)))-'Results'!C7*(1+'Inputs'!$B$24)*(0.5*((((744-43)*MAX('Inputs'!$B$33,'Inputs'!$B$29+'Inputs'!$B$31+'Inputs'!$B$32,'Inputs'!$B$30+'Inputs'!$B$31+'Inputs'!$B$32)/1000+'Inputs'!$B$21+'Inputs'!$B$7+'Inputs'!$B$10)+'Inputs'!$B$9)/SQRT((((744-43)*MAX('Inputs'!$B$33,'Inputs'!$B$29+'Inputs'!$B$31+'Inputs'!$B$32,'Inputs'!$B$30+'Inputs'!$B$31+'Inputs'!$B$32)/1000+'Inputs'!$B$21+'Inputs'!$B$7+'Inputs'!$B$10)+'Inputs'!$B$9)^2+('Inputs'!$B$8/2)^2)-(((744-43)*MAX('Inputs'!$B$33,'Inputs'!$B$29+'Inputs'!$B$31+'Inputs'!$B$32,'Inputs'!$B$30+'Inputs'!$B$31+'Inputs'!$B$32)/1000+'Inputs'!$B$21+'Inputs'!$B$7+'Inputs'!$B$10))/SQRT((((744-43)*MAX('Inputs'!$B$33,'Inputs'!$B$29+'Inputs'!$B$31+'Inputs'!$B$32,'Inputs'!$B$30+'Inputs'!$B$31+'Inputs'!$B$32)/1000+'Inputs'!$B$21+'Inputs'!$B$7+'Inputs'!$B$10))^2+('Inputs'!$B$8/2)^2))))*'Results'!$B$8)-'Inputs'!$B$28*ABS((('Results'!B7*(1-'Inputs'!$B$24)*(0.5*((((744-43)*MAX('Inputs'!$B$33,'Inputs'!$B$29+'Inputs'!$B$31+'Inputs'!$B$32,'Inputs'!$B$30+'Inputs'!$B$31+'Inputs'!$B$32)/1000+'Inputs'!$B$21)+'Inputs'!$B$7)/SQRT((((744-43)*MAX('Inputs'!$B$33,'Inputs'!$B$29+'Inputs'!$B$31+'Inputs'!$B$32,'Inputs'!$B$30+'Inputs'!$B$31+'Inputs'!$B$32)/1000+'Inputs'!$B$21)+'Inputs'!$B$7)^2+('Inputs'!$B$6/2)^2)-(((744-43)*MAX('Inputs'!$B$33,'Inputs'!$B$29+'Inputs'!$B$31+'Inputs'!$B$32,'Inputs'!$B$30+'Inputs'!$B$31+'Inputs'!$B$32)/1000+'Inputs'!$B$21))/SQRT((((744-43)*MAX('Inputs'!$B$33,'Inputs'!$B$29+'Inputs'!$B$31+'Inputs'!$B$32,'Inputs'!$B$30+'Inputs'!$B$31+'Inputs'!$B$32)/1000+'Inputs'!$B$21))^2+('Inputs'!$B$6/2)^2)))-'Results'!C7*(1+'Inputs'!$B$24)*(0.5*((((744-43)*MAX('Inputs'!$B$33,'Inputs'!$B$29+'Inputs'!$B$31+'Inputs'!$B$32,'Inputs'!$B$30+'Inputs'!$B$31+'Inputs'!$B$32)/1000+'Inputs'!$B$21+'Inputs'!$B$7+'Inputs'!$B$10)+'Inputs'!$B$9)/SQRT((((744-43)*MAX('Inputs'!$B$33,'Inputs'!$B$29+'Inputs'!$B$31+'Inputs'!$B$32,'Inputs'!$B$30+'Inputs'!$B$31+'Inputs'!$B$32)/1000+'Inputs'!$B$21+'Inputs'!$B$7+'Inputs'!$B$10)+'Inputs'!$B$9)^2+('Inputs'!$B$8/2)^2)-(((744-43)*MAX('Inputs'!$B$33,'Inputs'!$B$29+'Inputs'!$B$31+'Inputs'!$B$32,'Inputs'!$B$30+'Inputs'!$B$31+'Inputs'!$B$32)/1000+'Inputs'!$B$21+'Inputs'!$B$7+'Inputs'!$B$10))/SQRT((((744-43)*MAX('Inputs'!$B$33,'Inputs'!$B$29+'Inputs'!$B$31+'Inputs'!$B$32,'Inputs'!$B$30+'Inputs'!$B$31+'Inputs'!$B$32)/1000+'Inputs'!$B$21+'Inputs'!$B$7+'Inputs'!$B$10))^2+('Inputs'!$B$8/2)^2))))*'Results'!$B$8))),"")</x:f>
        <x:v>1.1133158475464764</x:v>
      </x:c>
      <x:c r="L744" t="n">
        <x:f>IF(AND(ISNUMBER('Results'!B7),ISNUMBER('Results'!C7),ISNUMBER('Results'!$B$8),ISNUMBER('Inputs'!$B$6),ISNUMBER('Inputs'!$B$7),ISNUMBER('Inputs'!$B$8),ISNUMBER('Inputs'!$B$9),ISNUMBER('Inputs'!$B$10),ISNUMBER('Inputs'!$B$21),ISNUMBER('Inputs'!$B$24),ISNUMBER('Inputs'!$B$28)),((('Results'!B7*(1+'Inputs'!$B$24)*(0.5*((((744-43)*MAX('Inputs'!$B$33,'Inputs'!$B$29+'Inputs'!$B$31+'Inputs'!$B$32,'Inputs'!$B$30+'Inputs'!$B$31+'Inputs'!$B$32)/1000+'Inputs'!$B$21)+'Inputs'!$B$7)/SQRT((((744-43)*MAX('Inputs'!$B$33,'Inputs'!$B$29+'Inputs'!$B$31+'Inputs'!$B$32,'Inputs'!$B$30+'Inputs'!$B$31+'Inputs'!$B$32)/1000+'Inputs'!$B$21)+'Inputs'!$B$7)^2+('Inputs'!$B$6/2)^2)-(((744-43)*MAX('Inputs'!$B$33,'Inputs'!$B$29+'Inputs'!$B$31+'Inputs'!$B$32,'Inputs'!$B$30+'Inputs'!$B$31+'Inputs'!$B$32)/1000+'Inputs'!$B$21))/SQRT((((744-43)*MAX('Inputs'!$B$33,'Inputs'!$B$29+'Inputs'!$B$31+'Inputs'!$B$32,'Inputs'!$B$30+'Inputs'!$B$31+'Inputs'!$B$32)/1000+'Inputs'!$B$21))^2+('Inputs'!$B$6/2)^2)))-'Results'!C7*(1-'Inputs'!$B$24)*(0.5*((((744-43)*MAX('Inputs'!$B$33,'Inputs'!$B$29+'Inputs'!$B$31+'Inputs'!$B$32,'Inputs'!$B$30+'Inputs'!$B$31+'Inputs'!$B$32)/1000+'Inputs'!$B$21+'Inputs'!$B$7+'Inputs'!$B$10)+'Inputs'!$B$9)/SQRT((((744-43)*MAX('Inputs'!$B$33,'Inputs'!$B$29+'Inputs'!$B$31+'Inputs'!$B$32,'Inputs'!$B$30+'Inputs'!$B$31+'Inputs'!$B$32)/1000+'Inputs'!$B$21+'Inputs'!$B$7+'Inputs'!$B$10)+'Inputs'!$B$9)^2+('Inputs'!$B$8/2)^2)-(((744-43)*MAX('Inputs'!$B$33,'Inputs'!$B$29+'Inputs'!$B$31+'Inputs'!$B$32,'Inputs'!$B$30+'Inputs'!$B$31+'Inputs'!$B$32)/1000+'Inputs'!$B$21+'Inputs'!$B$7+'Inputs'!$B$10))/SQRT((((744-43)*MAX('Inputs'!$B$33,'Inputs'!$B$29+'Inputs'!$B$31+'Inputs'!$B$32,'Inputs'!$B$30+'Inputs'!$B$31+'Inputs'!$B$32)/1000+'Inputs'!$B$21+'Inputs'!$B$7+'Inputs'!$B$10))^2+('Inputs'!$B$8/2)^2))))*'Results'!$B$8)+'Inputs'!$B$28*ABS((('Results'!B7*(1+'Inputs'!$B$24)*(0.5*((((744-43)*MAX('Inputs'!$B$33,'Inputs'!$B$29+'Inputs'!$B$31+'Inputs'!$B$32,'Inputs'!$B$30+'Inputs'!$B$31+'Inputs'!$B$32)/1000+'Inputs'!$B$21)+'Inputs'!$B$7)/SQRT((((744-43)*MAX('Inputs'!$B$33,'Inputs'!$B$29+'Inputs'!$B$31+'Inputs'!$B$32,'Inputs'!$B$30+'Inputs'!$B$31+'Inputs'!$B$32)/1000+'Inputs'!$B$21)+'Inputs'!$B$7)^2+('Inputs'!$B$6/2)^2)-(((744-43)*MAX('Inputs'!$B$33,'Inputs'!$B$29+'Inputs'!$B$31+'Inputs'!$B$32,'Inputs'!$B$30+'Inputs'!$B$31+'Inputs'!$B$32)/1000+'Inputs'!$B$21))/SQRT((((744-43)*MAX('Inputs'!$B$33,'Inputs'!$B$29+'Inputs'!$B$31+'Inputs'!$B$32,'Inputs'!$B$30+'Inputs'!$B$31+'Inputs'!$B$32)/1000+'Inputs'!$B$21))^2+('Inputs'!$B$6/2)^2)))-'Results'!C7*(1-'Inputs'!$B$24)*(0.5*((((744-43)*MAX('Inputs'!$B$33,'Inputs'!$B$29+'Inputs'!$B$31+'Inputs'!$B$32,'Inputs'!$B$30+'Inputs'!$B$31+'Inputs'!$B$32)/1000+'Inputs'!$B$21+'Inputs'!$B$7+'Inputs'!$B$10)+'Inputs'!$B$9)/SQRT((((744-43)*MAX('Inputs'!$B$33,'Inputs'!$B$29+'Inputs'!$B$31+'Inputs'!$B$32,'Inputs'!$B$30+'Inputs'!$B$31+'Inputs'!$B$32)/1000+'Inputs'!$B$21+'Inputs'!$B$7+'Inputs'!$B$10)+'Inputs'!$B$9)^2+('Inputs'!$B$8/2)^2)-(((744-43)*MAX('Inputs'!$B$33,'Inputs'!$B$29+'Inputs'!$B$31+'Inputs'!$B$32,'Inputs'!$B$30+'Inputs'!$B$31+'Inputs'!$B$32)/1000+'Inputs'!$B$21+'Inputs'!$B$7+'Inputs'!$B$10))/SQRT((((744-43)*MAX('Inputs'!$B$33,'Inputs'!$B$29+'Inputs'!$B$31+'Inputs'!$B$32,'Inputs'!$B$30+'Inputs'!$B$31+'Inputs'!$B$32)/1000+'Inputs'!$B$21+'Inputs'!$B$7+'Inputs'!$B$10))^2+('Inputs'!$B$8/2)^2))))*'Results'!$B$8))),"")</x:f>
        <x:v>1.4700104892823533</x:v>
      </x:c>
      <x:c r="M744" t="n">
        <x:f>IF(AND(ISNUMBER('Results'!C7),ISNUMBER('Results'!B7),ISNUMBER('Results'!$B$8),ISNUMBER('Inputs'!$B$6),ISNUMBER('Inputs'!$B$7),ISNUMBER('Inputs'!$B$8),ISNUMBER('Inputs'!$B$9),ISNUMBER('Inputs'!$B$10),ISNUMBER('Inputs'!$B$21),ISNUMBER('Inputs'!$B$24),ISNUMBER('Inputs'!$B$28)),(('Results'!C7*(0.5*((((744-43)*MAX('Inputs'!$B$33,'Inputs'!$B$29+'Inputs'!$B$31+'Inputs'!$B$32,'Inputs'!$B$30+'Inputs'!$B$31+'Inputs'!$B$32)/1000+'Inputs'!$B$21)+'Inputs'!$B$9)/SQRT((((744-43)*MAX('Inputs'!$B$33,'Inputs'!$B$29+'Inputs'!$B$31+'Inputs'!$B$32,'Inputs'!$B$30+'Inputs'!$B$31+'Inputs'!$B$32)/1000+'Inputs'!$B$21)+'Inputs'!$B$9)^2+('Inputs'!$B$8/2)^2)-(((744-43)*MAX('Inputs'!$B$33,'Inputs'!$B$29+'Inputs'!$B$31+'Inputs'!$B$32,'Inputs'!$B$30+'Inputs'!$B$31+'Inputs'!$B$32)/1000+'Inputs'!$B$21))/SQRT((((744-43)*MAX('Inputs'!$B$33,'Inputs'!$B$29+'Inputs'!$B$31+'Inputs'!$B$32,'Inputs'!$B$30+'Inputs'!$B$31+'Inputs'!$B$32)/1000+'Inputs'!$B$21))^2+('Inputs'!$B$8/2)^2)))-'Results'!B7*(0.5*((((744-43)*MAX('Inputs'!$B$33,'Inputs'!$B$29+'Inputs'!$B$31+'Inputs'!$B$32,'Inputs'!$B$30+'Inputs'!$B$31+'Inputs'!$B$32)/1000+'Inputs'!$B$21+'Inputs'!$B$9+'Inputs'!$B$10)+'Inputs'!$B$7)/SQRT((((744-43)*MAX('Inputs'!$B$33,'Inputs'!$B$29+'Inputs'!$B$31+'Inputs'!$B$32,'Inputs'!$B$30+'Inputs'!$B$31+'Inputs'!$B$32)/1000+'Inputs'!$B$21+'Inputs'!$B$9+'Inputs'!$B$10)+'Inputs'!$B$7)^2+('Inputs'!$B$6/2)^2)-(((744-43)*MAX('Inputs'!$B$33,'Inputs'!$B$29+'Inputs'!$B$31+'Inputs'!$B$32,'Inputs'!$B$30+'Inputs'!$B$31+'Inputs'!$B$32)/1000+'Inputs'!$B$21+'Inputs'!$B$9+'Inputs'!$B$10))/SQRT((((744-43)*MAX('Inputs'!$B$33,'Inputs'!$B$29+'Inputs'!$B$31+'Inputs'!$B$32,'Inputs'!$B$30+'Inputs'!$B$31+'Inputs'!$B$32)/1000+'Inputs'!$B$21+'Inputs'!$B$9+'Inputs'!$B$10))^2+('Inputs'!$B$6/2)^2))))*'Results'!$B$8),"")</x:f>
        <x:v>1.1710100912089674</x:v>
      </x:c>
      <x:c r="N744" t="n">
        <x:f>IF(AND(ISNUMBER('Results'!C7),ISNUMBER('Results'!B7),ISNUMBER('Results'!$B$8),ISNUMBER('Inputs'!$B$6),ISNUMBER('Inputs'!$B$7),ISNUMBER('Inputs'!$B$8),ISNUMBER('Inputs'!$B$9),ISNUMBER('Inputs'!$B$10),ISNUMBER('Inputs'!$B$21),ISNUMBER('Inputs'!$B$24),ISNUMBER('Inputs'!$B$28)),((('Results'!C7*(1-'Inputs'!$B$24)*(0.5*((((744-43)*MAX('Inputs'!$B$33,'Inputs'!$B$29+'Inputs'!$B$31+'Inputs'!$B$32,'Inputs'!$B$30+'Inputs'!$B$31+'Inputs'!$B$32)/1000+'Inputs'!$B$21)+'Inputs'!$B$9)/SQRT((((744-43)*MAX('Inputs'!$B$33,'Inputs'!$B$29+'Inputs'!$B$31+'Inputs'!$B$32,'Inputs'!$B$30+'Inputs'!$B$31+'Inputs'!$B$32)/1000+'Inputs'!$B$21)+'Inputs'!$B$9)^2+('Inputs'!$B$8/2)^2)-(((744-43)*MAX('Inputs'!$B$33,'Inputs'!$B$29+'Inputs'!$B$31+'Inputs'!$B$32,'Inputs'!$B$30+'Inputs'!$B$31+'Inputs'!$B$32)/1000+'Inputs'!$B$21))/SQRT((((744-43)*MAX('Inputs'!$B$33,'Inputs'!$B$29+'Inputs'!$B$31+'Inputs'!$B$32,'Inputs'!$B$30+'Inputs'!$B$31+'Inputs'!$B$32)/1000+'Inputs'!$B$21))^2+('Inputs'!$B$8/2)^2)))-'Results'!B7*(1+'Inputs'!$B$24)*(0.5*((((744-43)*MAX('Inputs'!$B$33,'Inputs'!$B$29+'Inputs'!$B$31+'Inputs'!$B$32,'Inputs'!$B$30+'Inputs'!$B$31+'Inputs'!$B$32)/1000+'Inputs'!$B$21+'Inputs'!$B$9+'Inputs'!$B$10)+'Inputs'!$B$7)/SQRT((((744-43)*MAX('Inputs'!$B$33,'Inputs'!$B$29+'Inputs'!$B$31+'Inputs'!$B$32,'Inputs'!$B$30+'Inputs'!$B$31+'Inputs'!$B$32)/1000+'Inputs'!$B$21+'Inputs'!$B$9+'Inputs'!$B$10)+'Inputs'!$B$7)^2+('Inputs'!$B$6/2)^2)-(((744-43)*MAX('Inputs'!$B$33,'Inputs'!$B$29+'Inputs'!$B$31+'Inputs'!$B$32,'Inputs'!$B$30+'Inputs'!$B$31+'Inputs'!$B$32)/1000+'Inputs'!$B$21+'Inputs'!$B$9+'Inputs'!$B$10))/SQRT((((744-43)*MAX('Inputs'!$B$33,'Inputs'!$B$29+'Inputs'!$B$31+'Inputs'!$B$32,'Inputs'!$B$30+'Inputs'!$B$31+'Inputs'!$B$32)/1000+'Inputs'!$B$21+'Inputs'!$B$9+'Inputs'!$B$10))^2+('Inputs'!$B$6/2)^2))))*'Results'!$B$8)-'Inputs'!$B$28*ABS((('Results'!C7*(1-'Inputs'!$B$24)*(0.5*((((744-43)*MAX('Inputs'!$B$33,'Inputs'!$B$29+'Inputs'!$B$31+'Inputs'!$B$32,'Inputs'!$B$30+'Inputs'!$B$31+'Inputs'!$B$32)/1000+'Inputs'!$B$21)+'Inputs'!$B$9)/SQRT((((744-43)*MAX('Inputs'!$B$33,'Inputs'!$B$29+'Inputs'!$B$31+'Inputs'!$B$32,'Inputs'!$B$30+'Inputs'!$B$31+'Inputs'!$B$32)/1000+'Inputs'!$B$21)+'Inputs'!$B$9)^2+('Inputs'!$B$8/2)^2)-(((744-43)*MAX('Inputs'!$B$33,'Inputs'!$B$29+'Inputs'!$B$31+'Inputs'!$B$32,'Inputs'!$B$30+'Inputs'!$B$31+'Inputs'!$B$32)/1000+'Inputs'!$B$21))/SQRT((((744-43)*MAX('Inputs'!$B$33,'Inputs'!$B$29+'Inputs'!$B$31+'Inputs'!$B$32,'Inputs'!$B$30+'Inputs'!$B$31+'Inputs'!$B$32)/1000+'Inputs'!$B$21))^2+('Inputs'!$B$8/2)^2)))-'Results'!B7*(1+'Inputs'!$B$24)*(0.5*((((744-43)*MAX('Inputs'!$B$33,'Inputs'!$B$29+'Inputs'!$B$31+'Inputs'!$B$32,'Inputs'!$B$30+'Inputs'!$B$31+'Inputs'!$B$32)/1000+'Inputs'!$B$21+'Inputs'!$B$9+'Inputs'!$B$10)+'Inputs'!$B$7)/SQRT((((744-43)*MAX('Inputs'!$B$33,'Inputs'!$B$29+'Inputs'!$B$31+'Inputs'!$B$32,'Inputs'!$B$30+'Inputs'!$B$31+'Inputs'!$B$32)/1000+'Inputs'!$B$21+'Inputs'!$B$9+'Inputs'!$B$10)+'Inputs'!$B$7)^2+('Inputs'!$B$6/2)^2)-(((744-43)*MAX('Inputs'!$B$33,'Inputs'!$B$29+'Inputs'!$B$31+'Inputs'!$B$32,'Inputs'!$B$30+'Inputs'!$B$31+'Inputs'!$B$32)/1000+'Inputs'!$B$21+'Inputs'!$B$9+'Inputs'!$B$10))/SQRT((((744-43)*MAX('Inputs'!$B$33,'Inputs'!$B$29+'Inputs'!$B$31+'Inputs'!$B$32,'Inputs'!$B$30+'Inputs'!$B$31+'Inputs'!$B$32)/1000+'Inputs'!$B$21+'Inputs'!$B$9+'Inputs'!$B$10))^2+('Inputs'!$B$6/2)^2))))*'Results'!$B$8))),"")</x:f>
        <x:v>1.0045843051198269</x:v>
      </x:c>
      <x:c r="O744" t="n">
        <x:f>IF(AND(ISNUMBER('Results'!C7),ISNUMBER('Results'!B7),ISNUMBER('Results'!$B$8),ISNUMBER('Inputs'!$B$6),ISNUMBER('Inputs'!$B$7),ISNUMBER('Inputs'!$B$8),ISNUMBER('Inputs'!$B$9),ISNUMBER('Inputs'!$B$10),ISNUMBER('Inputs'!$B$21),ISNUMBER('Inputs'!$B$24),ISNUMBER('Inputs'!$B$28)),((('Results'!C7*(1+'Inputs'!$B$24)*(0.5*((((744-43)*MAX('Inputs'!$B$33,'Inputs'!$B$29+'Inputs'!$B$31+'Inputs'!$B$32,'Inputs'!$B$30+'Inputs'!$B$31+'Inputs'!$B$32)/1000+'Inputs'!$B$21)+'Inputs'!$B$9)/SQRT((((744-43)*MAX('Inputs'!$B$33,'Inputs'!$B$29+'Inputs'!$B$31+'Inputs'!$B$32,'Inputs'!$B$30+'Inputs'!$B$31+'Inputs'!$B$32)/1000+'Inputs'!$B$21)+'Inputs'!$B$9)^2+('Inputs'!$B$8/2)^2)-(((744-43)*MAX('Inputs'!$B$33,'Inputs'!$B$29+'Inputs'!$B$31+'Inputs'!$B$32,'Inputs'!$B$30+'Inputs'!$B$31+'Inputs'!$B$32)/1000+'Inputs'!$B$21))/SQRT((((744-43)*MAX('Inputs'!$B$33,'Inputs'!$B$29+'Inputs'!$B$31+'Inputs'!$B$32,'Inputs'!$B$30+'Inputs'!$B$31+'Inputs'!$B$32)/1000+'Inputs'!$B$21))^2+('Inputs'!$B$8/2)^2)))-'Results'!B7*(1-'Inputs'!$B$24)*(0.5*((((744-43)*MAX('Inputs'!$B$33,'Inputs'!$B$29+'Inputs'!$B$31+'Inputs'!$B$32,'Inputs'!$B$30+'Inputs'!$B$31+'Inputs'!$B$32)/1000+'Inputs'!$B$21+'Inputs'!$B$9+'Inputs'!$B$10)+'Inputs'!$B$7)/SQRT((((744-43)*MAX('Inputs'!$B$33,'Inputs'!$B$29+'Inputs'!$B$31+'Inputs'!$B$32,'Inputs'!$B$30+'Inputs'!$B$31+'Inputs'!$B$32)/1000+'Inputs'!$B$21+'Inputs'!$B$9+'Inputs'!$B$10)+'Inputs'!$B$7)^2+('Inputs'!$B$6/2)^2)-(((744-43)*MAX('Inputs'!$B$33,'Inputs'!$B$29+'Inputs'!$B$31+'Inputs'!$B$32,'Inputs'!$B$30+'Inputs'!$B$31+'Inputs'!$B$32)/1000+'Inputs'!$B$21+'Inputs'!$B$9+'Inputs'!$B$10))/SQRT((((744-43)*MAX('Inputs'!$B$33,'Inputs'!$B$29+'Inputs'!$B$31+'Inputs'!$B$32,'Inputs'!$B$30+'Inputs'!$B$31+'Inputs'!$B$32)/1000+'Inputs'!$B$21+'Inputs'!$B$9+'Inputs'!$B$10))^2+('Inputs'!$B$6/2)^2))))*'Results'!$B$8)+'Inputs'!$B$28*ABS((('Results'!C7*(1+'Inputs'!$B$24)*(0.5*((((744-43)*MAX('Inputs'!$B$33,'Inputs'!$B$29+'Inputs'!$B$31+'Inputs'!$B$32,'Inputs'!$B$30+'Inputs'!$B$31+'Inputs'!$B$32)/1000+'Inputs'!$B$21)+'Inputs'!$B$9)/SQRT((((744-43)*MAX('Inputs'!$B$33,'Inputs'!$B$29+'Inputs'!$B$31+'Inputs'!$B$32,'Inputs'!$B$30+'Inputs'!$B$31+'Inputs'!$B$32)/1000+'Inputs'!$B$21)+'Inputs'!$B$9)^2+('Inputs'!$B$8/2)^2)-(((744-43)*MAX('Inputs'!$B$33,'Inputs'!$B$29+'Inputs'!$B$31+'Inputs'!$B$32,'Inputs'!$B$30+'Inputs'!$B$31+'Inputs'!$B$32)/1000+'Inputs'!$B$21))/SQRT((((744-43)*MAX('Inputs'!$B$33,'Inputs'!$B$29+'Inputs'!$B$31+'Inputs'!$B$32,'Inputs'!$B$30+'Inputs'!$B$31+'Inputs'!$B$32)/1000+'Inputs'!$B$21))^2+('Inputs'!$B$8/2)^2)))-'Results'!B7*(1-'Inputs'!$B$24)*(0.5*((((744-43)*MAX('Inputs'!$B$33,'Inputs'!$B$29+'Inputs'!$B$31+'Inputs'!$B$32,'Inputs'!$B$30+'Inputs'!$B$31+'Inputs'!$B$32)/1000+'Inputs'!$B$21+'Inputs'!$B$9+'Inputs'!$B$10)+'Inputs'!$B$7)/SQRT((((744-43)*MAX('Inputs'!$B$33,'Inputs'!$B$29+'Inputs'!$B$31+'Inputs'!$B$32,'Inputs'!$B$30+'Inputs'!$B$31+'Inputs'!$B$32)/1000+'Inputs'!$B$21+'Inputs'!$B$9+'Inputs'!$B$10)+'Inputs'!$B$7)^2+('Inputs'!$B$6/2)^2)-(((744-43)*MAX('Inputs'!$B$33,'Inputs'!$B$29+'Inputs'!$B$31+'Inputs'!$B$32,'Inputs'!$B$30+'Inputs'!$B$31+'Inputs'!$B$32)/1000+'Inputs'!$B$21+'Inputs'!$B$9+'Inputs'!$B$10))/SQRT((((744-43)*MAX('Inputs'!$B$33,'Inputs'!$B$29+'Inputs'!$B$31+'Inputs'!$B$32,'Inputs'!$B$30+'Inputs'!$B$31+'Inputs'!$B$32)/1000+'Inputs'!$B$21+'Inputs'!$B$9+'Inputs'!$B$10))^2+('Inputs'!$B$6/2)^2))))*'Results'!$B$8))),"")</x:f>
        <x:v>1.348791170090602</x:v>
      </x:c>
      <x:c r="P744" t="n">
        <x:f>IF(AND(MAX(J744,J743)&gt;0,J744&gt;J743+0.00000001),1,0)</x:f>
        <x:v>0</x:v>
      </x:c>
      <x:c r="Q744" t="n">
        <x:f>IF(AND(MAX(K744,K743)&gt;0,K744&gt;K743+0.00000001),1,0)</x:f>
        <x:v>0</x:v>
      </x:c>
      <x:c r="R744" t="n">
        <x:f>IF(AND(MAX(L744,L743)&gt;0,L744&gt;L743+0.00000001),1,0)</x:f>
        <x:v>0</x:v>
      </x:c>
      <x:c r="S744" t="n">
        <x:f>IF(AND(MAX(M744,M743)&gt;0,M744&gt;M743+0.00000001),1,0)</x:f>
        <x:v>0</x:v>
      </x:c>
      <x:c r="T744" t="n">
        <x:f>IF(AND(MAX(N744,N743)&gt;0,N744&gt;N743+0.00000001),1,0)</x:f>
        <x:v>0</x:v>
      </x:c>
      <x:c r="U744" t="n">
        <x:f>IF(AND(MAX(O744,O743)&gt;0,O744&gt;O743+0.00000001),1,0)</x:f>
        <x:v>0</x:v>
      </x:c>
    </x:row>
    <x:row r="745">
      <x:c r="J745" t="n">
        <x:f>IF(AND(ISNUMBER('Results'!B7),ISNUMBER('Results'!C7),ISNUMBER('Results'!$B$8),ISNUMBER('Inputs'!$B$6),ISNUMBER('Inputs'!$B$7),ISNUMBER('Inputs'!$B$8),ISNUMBER('Inputs'!$B$9),ISNUMBER('Inputs'!$B$10),ISNUMBER('Inputs'!$B$21),ISNUMBER('Inputs'!$B$24),ISNUMBER('Inputs'!$B$28)),(('Results'!B7*(0.5*((((745-43)*MAX('Inputs'!$B$33,'Inputs'!$B$29+'Inputs'!$B$31+'Inputs'!$B$32,'Inputs'!$B$30+'Inputs'!$B$31+'Inputs'!$B$32)/1000+'Inputs'!$B$21)+'Inputs'!$B$7)/SQRT((((745-43)*MAX('Inputs'!$B$33,'Inputs'!$B$29+'Inputs'!$B$31+'Inputs'!$B$32,'Inputs'!$B$30+'Inputs'!$B$31+'Inputs'!$B$32)/1000+'Inputs'!$B$21)+'Inputs'!$B$7)^2+('Inputs'!$B$6/2)^2)-(((745-43)*MAX('Inputs'!$B$33,'Inputs'!$B$29+'Inputs'!$B$31+'Inputs'!$B$32,'Inputs'!$B$30+'Inputs'!$B$31+'Inputs'!$B$32)/1000+'Inputs'!$B$21))/SQRT((((745-43)*MAX('Inputs'!$B$33,'Inputs'!$B$29+'Inputs'!$B$31+'Inputs'!$B$32,'Inputs'!$B$30+'Inputs'!$B$31+'Inputs'!$B$32)/1000+'Inputs'!$B$21))^2+('Inputs'!$B$6/2)^2)))-'Results'!C7*(0.5*((((745-43)*MAX('Inputs'!$B$33,'Inputs'!$B$29+'Inputs'!$B$31+'Inputs'!$B$32,'Inputs'!$B$30+'Inputs'!$B$31+'Inputs'!$B$32)/1000+'Inputs'!$B$21+'Inputs'!$B$7+'Inputs'!$B$10)+'Inputs'!$B$9)/SQRT((((745-43)*MAX('Inputs'!$B$33,'Inputs'!$B$29+'Inputs'!$B$31+'Inputs'!$B$32,'Inputs'!$B$30+'Inputs'!$B$31+'Inputs'!$B$32)/1000+'Inputs'!$B$21+'Inputs'!$B$7+'Inputs'!$B$10)+'Inputs'!$B$9)^2+('Inputs'!$B$8/2)^2)-(((745-43)*MAX('Inputs'!$B$33,'Inputs'!$B$29+'Inputs'!$B$31+'Inputs'!$B$32,'Inputs'!$B$30+'Inputs'!$B$31+'Inputs'!$B$32)/1000+'Inputs'!$B$21+'Inputs'!$B$7+'Inputs'!$B$10))/SQRT((((745-43)*MAX('Inputs'!$B$33,'Inputs'!$B$29+'Inputs'!$B$31+'Inputs'!$B$32,'Inputs'!$B$30+'Inputs'!$B$31+'Inputs'!$B$32)/1000+'Inputs'!$B$21+'Inputs'!$B$7+'Inputs'!$B$10))^2+('Inputs'!$B$8/2)^2))))*'Results'!$B$8),"")</x:f>
        <x:v>1.2794630931906508</x:v>
      </x:c>
      <x:c r="K745" t="n">
        <x:f>IF(AND(ISNUMBER('Results'!B7),ISNUMBER('Results'!C7),ISNUMBER('Results'!$B$8),ISNUMBER('Inputs'!$B$6),ISNUMBER('Inputs'!$B$7),ISNUMBER('Inputs'!$B$8),ISNUMBER('Inputs'!$B$9),ISNUMBER('Inputs'!$B$10),ISNUMBER('Inputs'!$B$21),ISNUMBER('Inputs'!$B$24),ISNUMBER('Inputs'!$B$28)),((('Results'!B7*(1-'Inputs'!$B$24)*(0.5*((((745-43)*MAX('Inputs'!$B$33,'Inputs'!$B$29+'Inputs'!$B$31+'Inputs'!$B$32,'Inputs'!$B$30+'Inputs'!$B$31+'Inputs'!$B$32)/1000+'Inputs'!$B$21)+'Inputs'!$B$7)/SQRT((((745-43)*MAX('Inputs'!$B$33,'Inputs'!$B$29+'Inputs'!$B$31+'Inputs'!$B$32,'Inputs'!$B$30+'Inputs'!$B$31+'Inputs'!$B$32)/1000+'Inputs'!$B$21)+'Inputs'!$B$7)^2+('Inputs'!$B$6/2)^2)-(((745-43)*MAX('Inputs'!$B$33,'Inputs'!$B$29+'Inputs'!$B$31+'Inputs'!$B$32,'Inputs'!$B$30+'Inputs'!$B$31+'Inputs'!$B$32)/1000+'Inputs'!$B$21))/SQRT((((745-43)*MAX('Inputs'!$B$33,'Inputs'!$B$29+'Inputs'!$B$31+'Inputs'!$B$32,'Inputs'!$B$30+'Inputs'!$B$31+'Inputs'!$B$32)/1000+'Inputs'!$B$21))^2+('Inputs'!$B$6/2)^2)))-'Results'!C7*(1+'Inputs'!$B$24)*(0.5*((((745-43)*MAX('Inputs'!$B$33,'Inputs'!$B$29+'Inputs'!$B$31+'Inputs'!$B$32,'Inputs'!$B$30+'Inputs'!$B$31+'Inputs'!$B$32)/1000+'Inputs'!$B$21+'Inputs'!$B$7+'Inputs'!$B$10)+'Inputs'!$B$9)/SQRT((((745-43)*MAX('Inputs'!$B$33,'Inputs'!$B$29+'Inputs'!$B$31+'Inputs'!$B$32,'Inputs'!$B$30+'Inputs'!$B$31+'Inputs'!$B$32)/1000+'Inputs'!$B$21+'Inputs'!$B$7+'Inputs'!$B$10)+'Inputs'!$B$9)^2+('Inputs'!$B$8/2)^2)-(((745-43)*MAX('Inputs'!$B$33,'Inputs'!$B$29+'Inputs'!$B$31+'Inputs'!$B$32,'Inputs'!$B$30+'Inputs'!$B$31+'Inputs'!$B$32)/1000+'Inputs'!$B$21+'Inputs'!$B$7+'Inputs'!$B$10))/SQRT((((745-43)*MAX('Inputs'!$B$33,'Inputs'!$B$29+'Inputs'!$B$31+'Inputs'!$B$32,'Inputs'!$B$30+'Inputs'!$B$31+'Inputs'!$B$32)/1000+'Inputs'!$B$21+'Inputs'!$B$7+'Inputs'!$B$10))^2+('Inputs'!$B$8/2)^2))))*'Results'!$B$8)-'Inputs'!$B$28*ABS((('Results'!B7*(1-'Inputs'!$B$24)*(0.5*((((745-43)*MAX('Inputs'!$B$33,'Inputs'!$B$29+'Inputs'!$B$31+'Inputs'!$B$32,'Inputs'!$B$30+'Inputs'!$B$31+'Inputs'!$B$32)/1000+'Inputs'!$B$21)+'Inputs'!$B$7)/SQRT((((745-43)*MAX('Inputs'!$B$33,'Inputs'!$B$29+'Inputs'!$B$31+'Inputs'!$B$32,'Inputs'!$B$30+'Inputs'!$B$31+'Inputs'!$B$32)/1000+'Inputs'!$B$21)+'Inputs'!$B$7)^2+('Inputs'!$B$6/2)^2)-(((745-43)*MAX('Inputs'!$B$33,'Inputs'!$B$29+'Inputs'!$B$31+'Inputs'!$B$32,'Inputs'!$B$30+'Inputs'!$B$31+'Inputs'!$B$32)/1000+'Inputs'!$B$21))/SQRT((((745-43)*MAX('Inputs'!$B$33,'Inputs'!$B$29+'Inputs'!$B$31+'Inputs'!$B$32,'Inputs'!$B$30+'Inputs'!$B$31+'Inputs'!$B$32)/1000+'Inputs'!$B$21))^2+('Inputs'!$B$6/2)^2)))-'Results'!C7*(1+'Inputs'!$B$24)*(0.5*((((745-43)*MAX('Inputs'!$B$33,'Inputs'!$B$29+'Inputs'!$B$31+'Inputs'!$B$32,'Inputs'!$B$30+'Inputs'!$B$31+'Inputs'!$B$32)/1000+'Inputs'!$B$21+'Inputs'!$B$7+'Inputs'!$B$10)+'Inputs'!$B$9)/SQRT((((745-43)*MAX('Inputs'!$B$33,'Inputs'!$B$29+'Inputs'!$B$31+'Inputs'!$B$32,'Inputs'!$B$30+'Inputs'!$B$31+'Inputs'!$B$32)/1000+'Inputs'!$B$21+'Inputs'!$B$7+'Inputs'!$B$10)+'Inputs'!$B$9)^2+('Inputs'!$B$8/2)^2)-(((745-43)*MAX('Inputs'!$B$33,'Inputs'!$B$29+'Inputs'!$B$31+'Inputs'!$B$32,'Inputs'!$B$30+'Inputs'!$B$31+'Inputs'!$B$32)/1000+'Inputs'!$B$21+'Inputs'!$B$7+'Inputs'!$B$10))/SQRT((((745-43)*MAX('Inputs'!$B$33,'Inputs'!$B$29+'Inputs'!$B$31+'Inputs'!$B$32,'Inputs'!$B$30+'Inputs'!$B$31+'Inputs'!$B$32)/1000+'Inputs'!$B$21+'Inputs'!$B$7+'Inputs'!$B$10))^2+('Inputs'!$B$8/2)^2))))*'Results'!$B$8))),"")</x:f>
        <x:v>1.1075646822886416</x:v>
      </x:c>
      <x:c r="L745" t="n">
        <x:f>IF(AND(ISNUMBER('Results'!B7),ISNUMBER('Results'!C7),ISNUMBER('Results'!$B$8),ISNUMBER('Inputs'!$B$6),ISNUMBER('Inputs'!$B$7),ISNUMBER('Inputs'!$B$8),ISNUMBER('Inputs'!$B$9),ISNUMBER('Inputs'!$B$10),ISNUMBER('Inputs'!$B$21),ISNUMBER('Inputs'!$B$24),ISNUMBER('Inputs'!$B$28)),((('Results'!B7*(1+'Inputs'!$B$24)*(0.5*((((745-43)*MAX('Inputs'!$B$33,'Inputs'!$B$29+'Inputs'!$B$31+'Inputs'!$B$32,'Inputs'!$B$30+'Inputs'!$B$31+'Inputs'!$B$32)/1000+'Inputs'!$B$21)+'Inputs'!$B$7)/SQRT((((745-43)*MAX('Inputs'!$B$33,'Inputs'!$B$29+'Inputs'!$B$31+'Inputs'!$B$32,'Inputs'!$B$30+'Inputs'!$B$31+'Inputs'!$B$32)/1000+'Inputs'!$B$21)+'Inputs'!$B$7)^2+('Inputs'!$B$6/2)^2)-(((745-43)*MAX('Inputs'!$B$33,'Inputs'!$B$29+'Inputs'!$B$31+'Inputs'!$B$32,'Inputs'!$B$30+'Inputs'!$B$31+'Inputs'!$B$32)/1000+'Inputs'!$B$21))/SQRT((((745-43)*MAX('Inputs'!$B$33,'Inputs'!$B$29+'Inputs'!$B$31+'Inputs'!$B$32,'Inputs'!$B$30+'Inputs'!$B$31+'Inputs'!$B$32)/1000+'Inputs'!$B$21))^2+('Inputs'!$B$6/2)^2)))-'Results'!C7*(1-'Inputs'!$B$24)*(0.5*((((745-43)*MAX('Inputs'!$B$33,'Inputs'!$B$29+'Inputs'!$B$31+'Inputs'!$B$32,'Inputs'!$B$30+'Inputs'!$B$31+'Inputs'!$B$32)/1000+'Inputs'!$B$21+'Inputs'!$B$7+'Inputs'!$B$10)+'Inputs'!$B$9)/SQRT((((745-43)*MAX('Inputs'!$B$33,'Inputs'!$B$29+'Inputs'!$B$31+'Inputs'!$B$32,'Inputs'!$B$30+'Inputs'!$B$31+'Inputs'!$B$32)/1000+'Inputs'!$B$21+'Inputs'!$B$7+'Inputs'!$B$10)+'Inputs'!$B$9)^2+('Inputs'!$B$8/2)^2)-(((745-43)*MAX('Inputs'!$B$33,'Inputs'!$B$29+'Inputs'!$B$31+'Inputs'!$B$32,'Inputs'!$B$30+'Inputs'!$B$31+'Inputs'!$B$32)/1000+'Inputs'!$B$21+'Inputs'!$B$7+'Inputs'!$B$10))/SQRT((((745-43)*MAX('Inputs'!$B$33,'Inputs'!$B$29+'Inputs'!$B$31+'Inputs'!$B$32,'Inputs'!$B$30+'Inputs'!$B$31+'Inputs'!$B$32)/1000+'Inputs'!$B$21+'Inputs'!$B$7+'Inputs'!$B$10))^2+('Inputs'!$B$8/2)^2))))*'Results'!$B$8)+'Inputs'!$B$28*ABS((('Results'!B7*(1+'Inputs'!$B$24)*(0.5*((((745-43)*MAX('Inputs'!$B$33,'Inputs'!$B$29+'Inputs'!$B$31+'Inputs'!$B$32,'Inputs'!$B$30+'Inputs'!$B$31+'Inputs'!$B$32)/1000+'Inputs'!$B$21)+'Inputs'!$B$7)/SQRT((((745-43)*MAX('Inputs'!$B$33,'Inputs'!$B$29+'Inputs'!$B$31+'Inputs'!$B$32,'Inputs'!$B$30+'Inputs'!$B$31+'Inputs'!$B$32)/1000+'Inputs'!$B$21)+'Inputs'!$B$7)^2+('Inputs'!$B$6/2)^2)-(((745-43)*MAX('Inputs'!$B$33,'Inputs'!$B$29+'Inputs'!$B$31+'Inputs'!$B$32,'Inputs'!$B$30+'Inputs'!$B$31+'Inputs'!$B$32)/1000+'Inputs'!$B$21))/SQRT((((745-43)*MAX('Inputs'!$B$33,'Inputs'!$B$29+'Inputs'!$B$31+'Inputs'!$B$32,'Inputs'!$B$30+'Inputs'!$B$31+'Inputs'!$B$32)/1000+'Inputs'!$B$21))^2+('Inputs'!$B$6/2)^2)))-'Results'!C7*(1-'Inputs'!$B$24)*(0.5*((((745-43)*MAX('Inputs'!$B$33,'Inputs'!$B$29+'Inputs'!$B$31+'Inputs'!$B$32,'Inputs'!$B$30+'Inputs'!$B$31+'Inputs'!$B$32)/1000+'Inputs'!$B$21+'Inputs'!$B$7+'Inputs'!$B$10)+'Inputs'!$B$9)/SQRT((((745-43)*MAX('Inputs'!$B$33,'Inputs'!$B$29+'Inputs'!$B$31+'Inputs'!$B$32,'Inputs'!$B$30+'Inputs'!$B$31+'Inputs'!$B$32)/1000+'Inputs'!$B$21+'Inputs'!$B$7+'Inputs'!$B$10)+'Inputs'!$B$9)^2+('Inputs'!$B$8/2)^2)-(((745-43)*MAX('Inputs'!$B$33,'Inputs'!$B$29+'Inputs'!$B$31+'Inputs'!$B$32,'Inputs'!$B$30+'Inputs'!$B$31+'Inputs'!$B$32)/1000+'Inputs'!$B$21+'Inputs'!$B$7+'Inputs'!$B$10))/SQRT((((745-43)*MAX('Inputs'!$B$33,'Inputs'!$B$29+'Inputs'!$B$31+'Inputs'!$B$32,'Inputs'!$B$30+'Inputs'!$B$31+'Inputs'!$B$32)/1000+'Inputs'!$B$21+'Inputs'!$B$7+'Inputs'!$B$10))^2+('Inputs'!$B$8/2)^2))))*'Results'!$B$8))),"")</x:f>
        <x:v>1.462722057381342</x:v>
      </x:c>
      <x:c r="M745" t="n">
        <x:f>IF(AND(ISNUMBER('Results'!C7),ISNUMBER('Results'!B7),ISNUMBER('Results'!$B$8),ISNUMBER('Inputs'!$B$6),ISNUMBER('Inputs'!$B$7),ISNUMBER('Inputs'!$B$8),ISNUMBER('Inputs'!$B$9),ISNUMBER('Inputs'!$B$10),ISNUMBER('Inputs'!$B$21),ISNUMBER('Inputs'!$B$24),ISNUMBER('Inputs'!$B$28)),(('Results'!C7*(0.5*((((745-43)*MAX('Inputs'!$B$33,'Inputs'!$B$29+'Inputs'!$B$31+'Inputs'!$B$32,'Inputs'!$B$30+'Inputs'!$B$31+'Inputs'!$B$32)/1000+'Inputs'!$B$21)+'Inputs'!$B$9)/SQRT((((745-43)*MAX('Inputs'!$B$33,'Inputs'!$B$29+'Inputs'!$B$31+'Inputs'!$B$32,'Inputs'!$B$30+'Inputs'!$B$31+'Inputs'!$B$32)/1000+'Inputs'!$B$21)+'Inputs'!$B$9)^2+('Inputs'!$B$8/2)^2)-(((745-43)*MAX('Inputs'!$B$33,'Inputs'!$B$29+'Inputs'!$B$31+'Inputs'!$B$32,'Inputs'!$B$30+'Inputs'!$B$31+'Inputs'!$B$32)/1000+'Inputs'!$B$21))/SQRT((((745-43)*MAX('Inputs'!$B$33,'Inputs'!$B$29+'Inputs'!$B$31+'Inputs'!$B$32,'Inputs'!$B$30+'Inputs'!$B$31+'Inputs'!$B$32)/1000+'Inputs'!$B$21))^2+('Inputs'!$B$8/2)^2)))-'Results'!B7*(0.5*((((745-43)*MAX('Inputs'!$B$33,'Inputs'!$B$29+'Inputs'!$B$31+'Inputs'!$B$32,'Inputs'!$B$30+'Inputs'!$B$31+'Inputs'!$B$32)/1000+'Inputs'!$B$21+'Inputs'!$B$9+'Inputs'!$B$10)+'Inputs'!$B$7)/SQRT((((745-43)*MAX('Inputs'!$B$33,'Inputs'!$B$29+'Inputs'!$B$31+'Inputs'!$B$32,'Inputs'!$B$30+'Inputs'!$B$31+'Inputs'!$B$32)/1000+'Inputs'!$B$21+'Inputs'!$B$9+'Inputs'!$B$10)+'Inputs'!$B$7)^2+('Inputs'!$B$6/2)^2)-(((745-43)*MAX('Inputs'!$B$33,'Inputs'!$B$29+'Inputs'!$B$31+'Inputs'!$B$32,'Inputs'!$B$30+'Inputs'!$B$31+'Inputs'!$B$32)/1000+'Inputs'!$B$21+'Inputs'!$B$9+'Inputs'!$B$10))/SQRT((((745-43)*MAX('Inputs'!$B$33,'Inputs'!$B$29+'Inputs'!$B$31+'Inputs'!$B$32,'Inputs'!$B$30+'Inputs'!$B$31+'Inputs'!$B$32)/1000+'Inputs'!$B$21+'Inputs'!$B$9+'Inputs'!$B$10))^2+('Inputs'!$B$6/2)^2))))*'Results'!$B$8),"")</x:f>
        <x:v>1.164959435089313</x:v>
      </x:c>
      <x:c r="N745" t="n">
        <x:f>IF(AND(ISNUMBER('Results'!C7),ISNUMBER('Results'!B7),ISNUMBER('Results'!$B$8),ISNUMBER('Inputs'!$B$6),ISNUMBER('Inputs'!$B$7),ISNUMBER('Inputs'!$B$8),ISNUMBER('Inputs'!$B$9),ISNUMBER('Inputs'!$B$10),ISNUMBER('Inputs'!$B$21),ISNUMBER('Inputs'!$B$24),ISNUMBER('Inputs'!$B$28)),((('Results'!C7*(1-'Inputs'!$B$24)*(0.5*((((745-43)*MAX('Inputs'!$B$33,'Inputs'!$B$29+'Inputs'!$B$31+'Inputs'!$B$32,'Inputs'!$B$30+'Inputs'!$B$31+'Inputs'!$B$32)/1000+'Inputs'!$B$21)+'Inputs'!$B$9)/SQRT((((745-43)*MAX('Inputs'!$B$33,'Inputs'!$B$29+'Inputs'!$B$31+'Inputs'!$B$32,'Inputs'!$B$30+'Inputs'!$B$31+'Inputs'!$B$32)/1000+'Inputs'!$B$21)+'Inputs'!$B$9)^2+('Inputs'!$B$8/2)^2)-(((745-43)*MAX('Inputs'!$B$33,'Inputs'!$B$29+'Inputs'!$B$31+'Inputs'!$B$32,'Inputs'!$B$30+'Inputs'!$B$31+'Inputs'!$B$32)/1000+'Inputs'!$B$21))/SQRT((((745-43)*MAX('Inputs'!$B$33,'Inputs'!$B$29+'Inputs'!$B$31+'Inputs'!$B$32,'Inputs'!$B$30+'Inputs'!$B$31+'Inputs'!$B$32)/1000+'Inputs'!$B$21))^2+('Inputs'!$B$8/2)^2)))-'Results'!B7*(1+'Inputs'!$B$24)*(0.5*((((745-43)*MAX('Inputs'!$B$33,'Inputs'!$B$29+'Inputs'!$B$31+'Inputs'!$B$32,'Inputs'!$B$30+'Inputs'!$B$31+'Inputs'!$B$32)/1000+'Inputs'!$B$21+'Inputs'!$B$9+'Inputs'!$B$10)+'Inputs'!$B$7)/SQRT((((745-43)*MAX('Inputs'!$B$33,'Inputs'!$B$29+'Inputs'!$B$31+'Inputs'!$B$32,'Inputs'!$B$30+'Inputs'!$B$31+'Inputs'!$B$32)/1000+'Inputs'!$B$21+'Inputs'!$B$9+'Inputs'!$B$10)+'Inputs'!$B$7)^2+('Inputs'!$B$6/2)^2)-(((745-43)*MAX('Inputs'!$B$33,'Inputs'!$B$29+'Inputs'!$B$31+'Inputs'!$B$32,'Inputs'!$B$30+'Inputs'!$B$31+'Inputs'!$B$32)/1000+'Inputs'!$B$21+'Inputs'!$B$9+'Inputs'!$B$10))/SQRT((((745-43)*MAX('Inputs'!$B$33,'Inputs'!$B$29+'Inputs'!$B$31+'Inputs'!$B$32,'Inputs'!$B$30+'Inputs'!$B$31+'Inputs'!$B$32)/1000+'Inputs'!$B$21+'Inputs'!$B$9+'Inputs'!$B$10))^2+('Inputs'!$B$6/2)^2))))*'Results'!$B$8)-'Inputs'!$B$28*ABS((('Results'!C7*(1-'Inputs'!$B$24)*(0.5*((((745-43)*MAX('Inputs'!$B$33,'Inputs'!$B$29+'Inputs'!$B$31+'Inputs'!$B$32,'Inputs'!$B$30+'Inputs'!$B$31+'Inputs'!$B$32)/1000+'Inputs'!$B$21)+'Inputs'!$B$9)/SQRT((((745-43)*MAX('Inputs'!$B$33,'Inputs'!$B$29+'Inputs'!$B$31+'Inputs'!$B$32,'Inputs'!$B$30+'Inputs'!$B$31+'Inputs'!$B$32)/1000+'Inputs'!$B$21)+'Inputs'!$B$9)^2+('Inputs'!$B$8/2)^2)-(((745-43)*MAX('Inputs'!$B$33,'Inputs'!$B$29+'Inputs'!$B$31+'Inputs'!$B$32,'Inputs'!$B$30+'Inputs'!$B$31+'Inputs'!$B$32)/1000+'Inputs'!$B$21))/SQRT((((745-43)*MAX('Inputs'!$B$33,'Inputs'!$B$29+'Inputs'!$B$31+'Inputs'!$B$32,'Inputs'!$B$30+'Inputs'!$B$31+'Inputs'!$B$32)/1000+'Inputs'!$B$21))^2+('Inputs'!$B$8/2)^2)))-'Results'!B7*(1+'Inputs'!$B$24)*(0.5*((((745-43)*MAX('Inputs'!$B$33,'Inputs'!$B$29+'Inputs'!$B$31+'Inputs'!$B$32,'Inputs'!$B$30+'Inputs'!$B$31+'Inputs'!$B$32)/1000+'Inputs'!$B$21+'Inputs'!$B$9+'Inputs'!$B$10)+'Inputs'!$B$7)/SQRT((((745-43)*MAX('Inputs'!$B$33,'Inputs'!$B$29+'Inputs'!$B$31+'Inputs'!$B$32,'Inputs'!$B$30+'Inputs'!$B$31+'Inputs'!$B$32)/1000+'Inputs'!$B$21+'Inputs'!$B$9+'Inputs'!$B$10)+'Inputs'!$B$7)^2+('Inputs'!$B$6/2)^2)-(((745-43)*MAX('Inputs'!$B$33,'Inputs'!$B$29+'Inputs'!$B$31+'Inputs'!$B$32,'Inputs'!$B$30+'Inputs'!$B$31+'Inputs'!$B$32)/1000+'Inputs'!$B$21+'Inputs'!$B$9+'Inputs'!$B$10))/SQRT((((745-43)*MAX('Inputs'!$B$33,'Inputs'!$B$29+'Inputs'!$B$31+'Inputs'!$B$32,'Inputs'!$B$30+'Inputs'!$B$31+'Inputs'!$B$32)/1000+'Inputs'!$B$21+'Inputs'!$B$9+'Inputs'!$B$10))^2+('Inputs'!$B$6/2)^2))))*'Results'!$B$8))),"")</x:f>
        <x:v>0.9992553386887066</x:v>
      </x:c>
      <x:c r="O745" t="n">
        <x:f>IF(AND(ISNUMBER('Results'!C7),ISNUMBER('Results'!B7),ISNUMBER('Results'!$B$8),ISNUMBER('Inputs'!$B$6),ISNUMBER('Inputs'!$B$7),ISNUMBER('Inputs'!$B$8),ISNUMBER('Inputs'!$B$9),ISNUMBER('Inputs'!$B$10),ISNUMBER('Inputs'!$B$21),ISNUMBER('Inputs'!$B$24),ISNUMBER('Inputs'!$B$28)),((('Results'!C7*(1+'Inputs'!$B$24)*(0.5*((((745-43)*MAX('Inputs'!$B$33,'Inputs'!$B$29+'Inputs'!$B$31+'Inputs'!$B$32,'Inputs'!$B$30+'Inputs'!$B$31+'Inputs'!$B$32)/1000+'Inputs'!$B$21)+'Inputs'!$B$9)/SQRT((((745-43)*MAX('Inputs'!$B$33,'Inputs'!$B$29+'Inputs'!$B$31+'Inputs'!$B$32,'Inputs'!$B$30+'Inputs'!$B$31+'Inputs'!$B$32)/1000+'Inputs'!$B$21)+'Inputs'!$B$9)^2+('Inputs'!$B$8/2)^2)-(((745-43)*MAX('Inputs'!$B$33,'Inputs'!$B$29+'Inputs'!$B$31+'Inputs'!$B$32,'Inputs'!$B$30+'Inputs'!$B$31+'Inputs'!$B$32)/1000+'Inputs'!$B$21))/SQRT((((745-43)*MAX('Inputs'!$B$33,'Inputs'!$B$29+'Inputs'!$B$31+'Inputs'!$B$32,'Inputs'!$B$30+'Inputs'!$B$31+'Inputs'!$B$32)/1000+'Inputs'!$B$21))^2+('Inputs'!$B$8/2)^2)))-'Results'!B7*(1-'Inputs'!$B$24)*(0.5*((((745-43)*MAX('Inputs'!$B$33,'Inputs'!$B$29+'Inputs'!$B$31+'Inputs'!$B$32,'Inputs'!$B$30+'Inputs'!$B$31+'Inputs'!$B$32)/1000+'Inputs'!$B$21+'Inputs'!$B$9+'Inputs'!$B$10)+'Inputs'!$B$7)/SQRT((((745-43)*MAX('Inputs'!$B$33,'Inputs'!$B$29+'Inputs'!$B$31+'Inputs'!$B$32,'Inputs'!$B$30+'Inputs'!$B$31+'Inputs'!$B$32)/1000+'Inputs'!$B$21+'Inputs'!$B$9+'Inputs'!$B$10)+'Inputs'!$B$7)^2+('Inputs'!$B$6/2)^2)-(((745-43)*MAX('Inputs'!$B$33,'Inputs'!$B$29+'Inputs'!$B$31+'Inputs'!$B$32,'Inputs'!$B$30+'Inputs'!$B$31+'Inputs'!$B$32)/1000+'Inputs'!$B$21+'Inputs'!$B$9+'Inputs'!$B$10))/SQRT((((745-43)*MAX('Inputs'!$B$33,'Inputs'!$B$29+'Inputs'!$B$31+'Inputs'!$B$32,'Inputs'!$B$30+'Inputs'!$B$31+'Inputs'!$B$32)/1000+'Inputs'!$B$21+'Inputs'!$B$9+'Inputs'!$B$10))^2+('Inputs'!$B$6/2)^2))))*'Results'!$B$8)+'Inputs'!$B$28*ABS((('Results'!C7*(1+'Inputs'!$B$24)*(0.5*((((745-43)*MAX('Inputs'!$B$33,'Inputs'!$B$29+'Inputs'!$B$31+'Inputs'!$B$32,'Inputs'!$B$30+'Inputs'!$B$31+'Inputs'!$B$32)/1000+'Inputs'!$B$21)+'Inputs'!$B$9)/SQRT((((745-43)*MAX('Inputs'!$B$33,'Inputs'!$B$29+'Inputs'!$B$31+'Inputs'!$B$32,'Inputs'!$B$30+'Inputs'!$B$31+'Inputs'!$B$32)/1000+'Inputs'!$B$21)+'Inputs'!$B$9)^2+('Inputs'!$B$8/2)^2)-(((745-43)*MAX('Inputs'!$B$33,'Inputs'!$B$29+'Inputs'!$B$31+'Inputs'!$B$32,'Inputs'!$B$30+'Inputs'!$B$31+'Inputs'!$B$32)/1000+'Inputs'!$B$21))/SQRT((((745-43)*MAX('Inputs'!$B$33,'Inputs'!$B$29+'Inputs'!$B$31+'Inputs'!$B$32,'Inputs'!$B$30+'Inputs'!$B$31+'Inputs'!$B$32)/1000+'Inputs'!$B$21))^2+('Inputs'!$B$8/2)^2)))-'Results'!B7*(1-'Inputs'!$B$24)*(0.5*((((745-43)*MAX('Inputs'!$B$33,'Inputs'!$B$29+'Inputs'!$B$31+'Inputs'!$B$32,'Inputs'!$B$30+'Inputs'!$B$31+'Inputs'!$B$32)/1000+'Inputs'!$B$21+'Inputs'!$B$9+'Inputs'!$B$10)+'Inputs'!$B$7)/SQRT((((745-43)*MAX('Inputs'!$B$33,'Inputs'!$B$29+'Inputs'!$B$31+'Inputs'!$B$32,'Inputs'!$B$30+'Inputs'!$B$31+'Inputs'!$B$32)/1000+'Inputs'!$B$21+'Inputs'!$B$9+'Inputs'!$B$10)+'Inputs'!$B$7)^2+('Inputs'!$B$6/2)^2)-(((745-43)*MAX('Inputs'!$B$33,'Inputs'!$B$29+'Inputs'!$B$31+'Inputs'!$B$32,'Inputs'!$B$30+'Inputs'!$B$31+'Inputs'!$B$32)/1000+'Inputs'!$B$21+'Inputs'!$B$9+'Inputs'!$B$10))/SQRT((((745-43)*MAX('Inputs'!$B$33,'Inputs'!$B$29+'Inputs'!$B$31+'Inputs'!$B$32,'Inputs'!$B$30+'Inputs'!$B$31+'Inputs'!$B$32)/1000+'Inputs'!$B$21+'Inputs'!$B$9+'Inputs'!$B$10))^2+('Inputs'!$B$6/2)^2))))*'Results'!$B$8))),"")</x:f>
        <x:v>1.341974702505302</x:v>
      </x:c>
      <x:c r="P745" t="n">
        <x:f>IF(AND(MAX(J745,J744)&gt;0,J745&gt;J744+0.00000001),1,0)</x:f>
        <x:v>0</x:v>
      </x:c>
      <x:c r="Q745" t="n">
        <x:f>IF(AND(MAX(K745,K744)&gt;0,K745&gt;K744+0.00000001),1,0)</x:f>
        <x:v>0</x:v>
      </x:c>
      <x:c r="R745" t="n">
        <x:f>IF(AND(MAX(L745,L744)&gt;0,L745&gt;L744+0.00000001),1,0)</x:f>
        <x:v>0</x:v>
      </x:c>
      <x:c r="S745" t="n">
        <x:f>IF(AND(MAX(M745,M744)&gt;0,M745&gt;M744+0.00000001),1,0)</x:f>
        <x:v>0</x:v>
      </x:c>
      <x:c r="T745" t="n">
        <x:f>IF(AND(MAX(N745,N744)&gt;0,N745&gt;N744+0.00000001),1,0)</x:f>
        <x:v>0</x:v>
      </x:c>
      <x:c r="U745" t="n">
        <x:f>IF(AND(MAX(O745,O744)&gt;0,O745&gt;O744+0.00000001),1,0)</x:f>
        <x:v>0</x:v>
      </x:c>
    </x:row>
    <x:row r="746">
      <x:c r="J746" t="n">
        <x:f>IF(AND(ISNUMBER('Results'!B7),ISNUMBER('Results'!C7),ISNUMBER('Results'!$B$8),ISNUMBER('Inputs'!$B$6),ISNUMBER('Inputs'!$B$7),ISNUMBER('Inputs'!$B$8),ISNUMBER('Inputs'!$B$9),ISNUMBER('Inputs'!$B$10),ISNUMBER('Inputs'!$B$21),ISNUMBER('Inputs'!$B$24),ISNUMBER('Inputs'!$B$28)),(('Results'!B7*(0.5*((((746-43)*MAX('Inputs'!$B$33,'Inputs'!$B$29+'Inputs'!$B$31+'Inputs'!$B$32,'Inputs'!$B$30+'Inputs'!$B$31+'Inputs'!$B$32)/1000+'Inputs'!$B$21)+'Inputs'!$B$7)/SQRT((((746-43)*MAX('Inputs'!$B$33,'Inputs'!$B$29+'Inputs'!$B$31+'Inputs'!$B$32,'Inputs'!$B$30+'Inputs'!$B$31+'Inputs'!$B$32)/1000+'Inputs'!$B$21)+'Inputs'!$B$7)^2+('Inputs'!$B$6/2)^2)-(((746-43)*MAX('Inputs'!$B$33,'Inputs'!$B$29+'Inputs'!$B$31+'Inputs'!$B$32,'Inputs'!$B$30+'Inputs'!$B$31+'Inputs'!$B$32)/1000+'Inputs'!$B$21))/SQRT((((746-43)*MAX('Inputs'!$B$33,'Inputs'!$B$29+'Inputs'!$B$31+'Inputs'!$B$32,'Inputs'!$B$30+'Inputs'!$B$31+'Inputs'!$B$32)/1000+'Inputs'!$B$21))^2+('Inputs'!$B$6/2)^2)))-'Results'!C7*(0.5*((((746-43)*MAX('Inputs'!$B$33,'Inputs'!$B$29+'Inputs'!$B$31+'Inputs'!$B$32,'Inputs'!$B$30+'Inputs'!$B$31+'Inputs'!$B$32)/1000+'Inputs'!$B$21+'Inputs'!$B$7+'Inputs'!$B$10)+'Inputs'!$B$9)/SQRT((((746-43)*MAX('Inputs'!$B$33,'Inputs'!$B$29+'Inputs'!$B$31+'Inputs'!$B$32,'Inputs'!$B$30+'Inputs'!$B$31+'Inputs'!$B$32)/1000+'Inputs'!$B$21+'Inputs'!$B$7+'Inputs'!$B$10)+'Inputs'!$B$9)^2+('Inputs'!$B$8/2)^2)-(((746-43)*MAX('Inputs'!$B$33,'Inputs'!$B$29+'Inputs'!$B$31+'Inputs'!$B$32,'Inputs'!$B$30+'Inputs'!$B$31+'Inputs'!$B$32)/1000+'Inputs'!$B$21+'Inputs'!$B$7+'Inputs'!$B$10))/SQRT((((746-43)*MAX('Inputs'!$B$33,'Inputs'!$B$29+'Inputs'!$B$31+'Inputs'!$B$32,'Inputs'!$B$30+'Inputs'!$B$31+'Inputs'!$B$32)/1000+'Inputs'!$B$21+'Inputs'!$B$7+'Inputs'!$B$10))^2+('Inputs'!$B$8/2)^2))))*'Results'!$B$8),"")</x:f>
        <x:v>1.273006613514048</x:v>
      </x:c>
      <x:c r="K746" t="n">
        <x:f>IF(AND(ISNUMBER('Results'!B7),ISNUMBER('Results'!C7),ISNUMBER('Results'!$B$8),ISNUMBER('Inputs'!$B$6),ISNUMBER('Inputs'!$B$7),ISNUMBER('Inputs'!$B$8),ISNUMBER('Inputs'!$B$9),ISNUMBER('Inputs'!$B$10),ISNUMBER('Inputs'!$B$21),ISNUMBER('Inputs'!$B$24),ISNUMBER('Inputs'!$B$28)),((('Results'!B7*(1-'Inputs'!$B$24)*(0.5*((((746-43)*MAX('Inputs'!$B$33,'Inputs'!$B$29+'Inputs'!$B$31+'Inputs'!$B$32,'Inputs'!$B$30+'Inputs'!$B$31+'Inputs'!$B$32)/1000+'Inputs'!$B$21)+'Inputs'!$B$7)/SQRT((((746-43)*MAX('Inputs'!$B$33,'Inputs'!$B$29+'Inputs'!$B$31+'Inputs'!$B$32,'Inputs'!$B$30+'Inputs'!$B$31+'Inputs'!$B$32)/1000+'Inputs'!$B$21)+'Inputs'!$B$7)^2+('Inputs'!$B$6/2)^2)-(((746-43)*MAX('Inputs'!$B$33,'Inputs'!$B$29+'Inputs'!$B$31+'Inputs'!$B$32,'Inputs'!$B$30+'Inputs'!$B$31+'Inputs'!$B$32)/1000+'Inputs'!$B$21))/SQRT((((746-43)*MAX('Inputs'!$B$33,'Inputs'!$B$29+'Inputs'!$B$31+'Inputs'!$B$32,'Inputs'!$B$30+'Inputs'!$B$31+'Inputs'!$B$32)/1000+'Inputs'!$B$21))^2+('Inputs'!$B$6/2)^2)))-'Results'!C7*(1+'Inputs'!$B$24)*(0.5*((((746-43)*MAX('Inputs'!$B$33,'Inputs'!$B$29+'Inputs'!$B$31+'Inputs'!$B$32,'Inputs'!$B$30+'Inputs'!$B$31+'Inputs'!$B$32)/1000+'Inputs'!$B$21+'Inputs'!$B$7+'Inputs'!$B$10)+'Inputs'!$B$9)/SQRT((((746-43)*MAX('Inputs'!$B$33,'Inputs'!$B$29+'Inputs'!$B$31+'Inputs'!$B$32,'Inputs'!$B$30+'Inputs'!$B$31+'Inputs'!$B$32)/1000+'Inputs'!$B$21+'Inputs'!$B$7+'Inputs'!$B$10)+'Inputs'!$B$9)^2+('Inputs'!$B$8/2)^2)-(((746-43)*MAX('Inputs'!$B$33,'Inputs'!$B$29+'Inputs'!$B$31+'Inputs'!$B$32,'Inputs'!$B$30+'Inputs'!$B$31+'Inputs'!$B$32)/1000+'Inputs'!$B$21+'Inputs'!$B$7+'Inputs'!$B$10))/SQRT((((746-43)*MAX('Inputs'!$B$33,'Inputs'!$B$29+'Inputs'!$B$31+'Inputs'!$B$32,'Inputs'!$B$30+'Inputs'!$B$31+'Inputs'!$B$32)/1000+'Inputs'!$B$21+'Inputs'!$B$7+'Inputs'!$B$10))^2+('Inputs'!$B$8/2)^2))))*'Results'!$B$8)-'Inputs'!$B$28*ABS((('Results'!B7*(1-'Inputs'!$B$24)*(0.5*((((746-43)*MAX('Inputs'!$B$33,'Inputs'!$B$29+'Inputs'!$B$31+'Inputs'!$B$32,'Inputs'!$B$30+'Inputs'!$B$31+'Inputs'!$B$32)/1000+'Inputs'!$B$21)+'Inputs'!$B$7)/SQRT((((746-43)*MAX('Inputs'!$B$33,'Inputs'!$B$29+'Inputs'!$B$31+'Inputs'!$B$32,'Inputs'!$B$30+'Inputs'!$B$31+'Inputs'!$B$32)/1000+'Inputs'!$B$21)+'Inputs'!$B$7)^2+('Inputs'!$B$6/2)^2)-(((746-43)*MAX('Inputs'!$B$33,'Inputs'!$B$29+'Inputs'!$B$31+'Inputs'!$B$32,'Inputs'!$B$30+'Inputs'!$B$31+'Inputs'!$B$32)/1000+'Inputs'!$B$21))/SQRT((((746-43)*MAX('Inputs'!$B$33,'Inputs'!$B$29+'Inputs'!$B$31+'Inputs'!$B$32,'Inputs'!$B$30+'Inputs'!$B$31+'Inputs'!$B$32)/1000+'Inputs'!$B$21))^2+('Inputs'!$B$6/2)^2)))-'Results'!C7*(1+'Inputs'!$B$24)*(0.5*((((746-43)*MAX('Inputs'!$B$33,'Inputs'!$B$29+'Inputs'!$B$31+'Inputs'!$B$32,'Inputs'!$B$30+'Inputs'!$B$31+'Inputs'!$B$32)/1000+'Inputs'!$B$21+'Inputs'!$B$7+'Inputs'!$B$10)+'Inputs'!$B$9)/SQRT((((746-43)*MAX('Inputs'!$B$33,'Inputs'!$B$29+'Inputs'!$B$31+'Inputs'!$B$32,'Inputs'!$B$30+'Inputs'!$B$31+'Inputs'!$B$32)/1000+'Inputs'!$B$21+'Inputs'!$B$7+'Inputs'!$B$10)+'Inputs'!$B$9)^2+('Inputs'!$B$8/2)^2)-(((746-43)*MAX('Inputs'!$B$33,'Inputs'!$B$29+'Inputs'!$B$31+'Inputs'!$B$32,'Inputs'!$B$30+'Inputs'!$B$31+'Inputs'!$B$32)/1000+'Inputs'!$B$21+'Inputs'!$B$7+'Inputs'!$B$10))/SQRT((((746-43)*MAX('Inputs'!$B$33,'Inputs'!$B$29+'Inputs'!$B$31+'Inputs'!$B$32,'Inputs'!$B$30+'Inputs'!$B$31+'Inputs'!$B$32)/1000+'Inputs'!$B$21+'Inputs'!$B$7+'Inputs'!$B$10))^2+('Inputs'!$B$8/2)^2))))*'Results'!$B$8))),"")</x:f>
        <x:v>1.1018504027360327</x:v>
      </x:c>
      <x:c r="L746" t="n">
        <x:f>IF(AND(ISNUMBER('Results'!B7),ISNUMBER('Results'!C7),ISNUMBER('Results'!$B$8),ISNUMBER('Inputs'!$B$6),ISNUMBER('Inputs'!$B$7),ISNUMBER('Inputs'!$B$8),ISNUMBER('Inputs'!$B$9),ISNUMBER('Inputs'!$B$10),ISNUMBER('Inputs'!$B$21),ISNUMBER('Inputs'!$B$24),ISNUMBER('Inputs'!$B$28)),((('Results'!B7*(1+'Inputs'!$B$24)*(0.5*((((746-43)*MAX('Inputs'!$B$33,'Inputs'!$B$29+'Inputs'!$B$31+'Inputs'!$B$32,'Inputs'!$B$30+'Inputs'!$B$31+'Inputs'!$B$32)/1000+'Inputs'!$B$21)+'Inputs'!$B$7)/SQRT((((746-43)*MAX('Inputs'!$B$33,'Inputs'!$B$29+'Inputs'!$B$31+'Inputs'!$B$32,'Inputs'!$B$30+'Inputs'!$B$31+'Inputs'!$B$32)/1000+'Inputs'!$B$21)+'Inputs'!$B$7)^2+('Inputs'!$B$6/2)^2)-(((746-43)*MAX('Inputs'!$B$33,'Inputs'!$B$29+'Inputs'!$B$31+'Inputs'!$B$32,'Inputs'!$B$30+'Inputs'!$B$31+'Inputs'!$B$32)/1000+'Inputs'!$B$21))/SQRT((((746-43)*MAX('Inputs'!$B$33,'Inputs'!$B$29+'Inputs'!$B$31+'Inputs'!$B$32,'Inputs'!$B$30+'Inputs'!$B$31+'Inputs'!$B$32)/1000+'Inputs'!$B$21))^2+('Inputs'!$B$6/2)^2)))-'Results'!C7*(1-'Inputs'!$B$24)*(0.5*((((746-43)*MAX('Inputs'!$B$33,'Inputs'!$B$29+'Inputs'!$B$31+'Inputs'!$B$32,'Inputs'!$B$30+'Inputs'!$B$31+'Inputs'!$B$32)/1000+'Inputs'!$B$21+'Inputs'!$B$7+'Inputs'!$B$10)+'Inputs'!$B$9)/SQRT((((746-43)*MAX('Inputs'!$B$33,'Inputs'!$B$29+'Inputs'!$B$31+'Inputs'!$B$32,'Inputs'!$B$30+'Inputs'!$B$31+'Inputs'!$B$32)/1000+'Inputs'!$B$21+'Inputs'!$B$7+'Inputs'!$B$10)+'Inputs'!$B$9)^2+('Inputs'!$B$8/2)^2)-(((746-43)*MAX('Inputs'!$B$33,'Inputs'!$B$29+'Inputs'!$B$31+'Inputs'!$B$32,'Inputs'!$B$30+'Inputs'!$B$31+'Inputs'!$B$32)/1000+'Inputs'!$B$21+'Inputs'!$B$7+'Inputs'!$B$10))/SQRT((((746-43)*MAX('Inputs'!$B$33,'Inputs'!$B$29+'Inputs'!$B$31+'Inputs'!$B$32,'Inputs'!$B$30+'Inputs'!$B$31+'Inputs'!$B$32)/1000+'Inputs'!$B$21+'Inputs'!$B$7+'Inputs'!$B$10))^2+('Inputs'!$B$8/2)^2))))*'Results'!$B$8)+'Inputs'!$B$28*ABS((('Results'!B7*(1+'Inputs'!$B$24)*(0.5*((((746-43)*MAX('Inputs'!$B$33,'Inputs'!$B$29+'Inputs'!$B$31+'Inputs'!$B$32,'Inputs'!$B$30+'Inputs'!$B$31+'Inputs'!$B$32)/1000+'Inputs'!$B$21)+'Inputs'!$B$7)/SQRT((((746-43)*MAX('Inputs'!$B$33,'Inputs'!$B$29+'Inputs'!$B$31+'Inputs'!$B$32,'Inputs'!$B$30+'Inputs'!$B$31+'Inputs'!$B$32)/1000+'Inputs'!$B$21)+'Inputs'!$B$7)^2+('Inputs'!$B$6/2)^2)-(((746-43)*MAX('Inputs'!$B$33,'Inputs'!$B$29+'Inputs'!$B$31+'Inputs'!$B$32,'Inputs'!$B$30+'Inputs'!$B$31+'Inputs'!$B$32)/1000+'Inputs'!$B$21))/SQRT((((746-43)*MAX('Inputs'!$B$33,'Inputs'!$B$29+'Inputs'!$B$31+'Inputs'!$B$32,'Inputs'!$B$30+'Inputs'!$B$31+'Inputs'!$B$32)/1000+'Inputs'!$B$21))^2+('Inputs'!$B$6/2)^2)))-'Results'!C7*(1-'Inputs'!$B$24)*(0.5*((((746-43)*MAX('Inputs'!$B$33,'Inputs'!$B$29+'Inputs'!$B$31+'Inputs'!$B$32,'Inputs'!$B$30+'Inputs'!$B$31+'Inputs'!$B$32)/1000+'Inputs'!$B$21+'Inputs'!$B$7+'Inputs'!$B$10)+'Inputs'!$B$9)/SQRT((((746-43)*MAX('Inputs'!$B$33,'Inputs'!$B$29+'Inputs'!$B$31+'Inputs'!$B$32,'Inputs'!$B$30+'Inputs'!$B$31+'Inputs'!$B$32)/1000+'Inputs'!$B$21+'Inputs'!$B$7+'Inputs'!$B$10)+'Inputs'!$B$9)^2+('Inputs'!$B$8/2)^2)-(((746-43)*MAX('Inputs'!$B$33,'Inputs'!$B$29+'Inputs'!$B$31+'Inputs'!$B$32,'Inputs'!$B$30+'Inputs'!$B$31+'Inputs'!$B$32)/1000+'Inputs'!$B$21+'Inputs'!$B$7+'Inputs'!$B$10))/SQRT((((746-43)*MAX('Inputs'!$B$33,'Inputs'!$B$29+'Inputs'!$B$31+'Inputs'!$B$32,'Inputs'!$B$30+'Inputs'!$B$31+'Inputs'!$B$32)/1000+'Inputs'!$B$21+'Inputs'!$B$7+'Inputs'!$B$10))^2+('Inputs'!$B$8/2)^2))))*'Results'!$B$8))),"")</x:f>
        <x:v>1.4554792327238861</x:v>
      </x:c>
      <x:c r="M746" t="n">
        <x:f>IF(AND(ISNUMBER('Results'!C7),ISNUMBER('Results'!B7),ISNUMBER('Results'!$B$8),ISNUMBER('Inputs'!$B$6),ISNUMBER('Inputs'!$B$7),ISNUMBER('Inputs'!$B$8),ISNUMBER('Inputs'!$B$9),ISNUMBER('Inputs'!$B$10),ISNUMBER('Inputs'!$B$21),ISNUMBER('Inputs'!$B$24),ISNUMBER('Inputs'!$B$28)),(('Results'!C7*(0.5*((((746-43)*MAX('Inputs'!$B$33,'Inputs'!$B$29+'Inputs'!$B$31+'Inputs'!$B$32,'Inputs'!$B$30+'Inputs'!$B$31+'Inputs'!$B$32)/1000+'Inputs'!$B$21)+'Inputs'!$B$9)/SQRT((((746-43)*MAX('Inputs'!$B$33,'Inputs'!$B$29+'Inputs'!$B$31+'Inputs'!$B$32,'Inputs'!$B$30+'Inputs'!$B$31+'Inputs'!$B$32)/1000+'Inputs'!$B$21)+'Inputs'!$B$9)^2+('Inputs'!$B$8/2)^2)-(((746-43)*MAX('Inputs'!$B$33,'Inputs'!$B$29+'Inputs'!$B$31+'Inputs'!$B$32,'Inputs'!$B$30+'Inputs'!$B$31+'Inputs'!$B$32)/1000+'Inputs'!$B$21))/SQRT((((746-43)*MAX('Inputs'!$B$33,'Inputs'!$B$29+'Inputs'!$B$31+'Inputs'!$B$32,'Inputs'!$B$30+'Inputs'!$B$31+'Inputs'!$B$32)/1000+'Inputs'!$B$21))^2+('Inputs'!$B$8/2)^2)))-'Results'!B7*(0.5*((((746-43)*MAX('Inputs'!$B$33,'Inputs'!$B$29+'Inputs'!$B$31+'Inputs'!$B$32,'Inputs'!$B$30+'Inputs'!$B$31+'Inputs'!$B$32)/1000+'Inputs'!$B$21+'Inputs'!$B$9+'Inputs'!$B$10)+'Inputs'!$B$7)/SQRT((((746-43)*MAX('Inputs'!$B$33,'Inputs'!$B$29+'Inputs'!$B$31+'Inputs'!$B$32,'Inputs'!$B$30+'Inputs'!$B$31+'Inputs'!$B$32)/1000+'Inputs'!$B$21+'Inputs'!$B$9+'Inputs'!$B$10)+'Inputs'!$B$7)^2+('Inputs'!$B$6/2)^2)-(((746-43)*MAX('Inputs'!$B$33,'Inputs'!$B$29+'Inputs'!$B$31+'Inputs'!$B$32,'Inputs'!$B$30+'Inputs'!$B$31+'Inputs'!$B$32)/1000+'Inputs'!$B$21+'Inputs'!$B$9+'Inputs'!$B$10))/SQRT((((746-43)*MAX('Inputs'!$B$33,'Inputs'!$B$29+'Inputs'!$B$31+'Inputs'!$B$32,'Inputs'!$B$30+'Inputs'!$B$31+'Inputs'!$B$32)/1000+'Inputs'!$B$21+'Inputs'!$B$9+'Inputs'!$B$10))^2+('Inputs'!$B$6/2)^2))))*'Results'!$B$8),"")</x:f>
        <x:v>1.1589475909096207</x:v>
      </x:c>
      <x:c r="N746" t="n">
        <x:f>IF(AND(ISNUMBER('Results'!C7),ISNUMBER('Results'!B7),ISNUMBER('Results'!$B$8),ISNUMBER('Inputs'!$B$6),ISNUMBER('Inputs'!$B$7),ISNUMBER('Inputs'!$B$8),ISNUMBER('Inputs'!$B$9),ISNUMBER('Inputs'!$B$10),ISNUMBER('Inputs'!$B$21),ISNUMBER('Inputs'!$B$24),ISNUMBER('Inputs'!$B$28)),((('Results'!C7*(1-'Inputs'!$B$24)*(0.5*((((746-43)*MAX('Inputs'!$B$33,'Inputs'!$B$29+'Inputs'!$B$31+'Inputs'!$B$32,'Inputs'!$B$30+'Inputs'!$B$31+'Inputs'!$B$32)/1000+'Inputs'!$B$21)+'Inputs'!$B$9)/SQRT((((746-43)*MAX('Inputs'!$B$33,'Inputs'!$B$29+'Inputs'!$B$31+'Inputs'!$B$32,'Inputs'!$B$30+'Inputs'!$B$31+'Inputs'!$B$32)/1000+'Inputs'!$B$21)+'Inputs'!$B$9)^2+('Inputs'!$B$8/2)^2)-(((746-43)*MAX('Inputs'!$B$33,'Inputs'!$B$29+'Inputs'!$B$31+'Inputs'!$B$32,'Inputs'!$B$30+'Inputs'!$B$31+'Inputs'!$B$32)/1000+'Inputs'!$B$21))/SQRT((((746-43)*MAX('Inputs'!$B$33,'Inputs'!$B$29+'Inputs'!$B$31+'Inputs'!$B$32,'Inputs'!$B$30+'Inputs'!$B$31+'Inputs'!$B$32)/1000+'Inputs'!$B$21))^2+('Inputs'!$B$8/2)^2)))-'Results'!B7*(1+'Inputs'!$B$24)*(0.5*((((746-43)*MAX('Inputs'!$B$33,'Inputs'!$B$29+'Inputs'!$B$31+'Inputs'!$B$32,'Inputs'!$B$30+'Inputs'!$B$31+'Inputs'!$B$32)/1000+'Inputs'!$B$21+'Inputs'!$B$9+'Inputs'!$B$10)+'Inputs'!$B$7)/SQRT((((746-43)*MAX('Inputs'!$B$33,'Inputs'!$B$29+'Inputs'!$B$31+'Inputs'!$B$32,'Inputs'!$B$30+'Inputs'!$B$31+'Inputs'!$B$32)/1000+'Inputs'!$B$21+'Inputs'!$B$9+'Inputs'!$B$10)+'Inputs'!$B$7)^2+('Inputs'!$B$6/2)^2)-(((746-43)*MAX('Inputs'!$B$33,'Inputs'!$B$29+'Inputs'!$B$31+'Inputs'!$B$32,'Inputs'!$B$30+'Inputs'!$B$31+'Inputs'!$B$32)/1000+'Inputs'!$B$21+'Inputs'!$B$9+'Inputs'!$B$10))/SQRT((((746-43)*MAX('Inputs'!$B$33,'Inputs'!$B$29+'Inputs'!$B$31+'Inputs'!$B$32,'Inputs'!$B$30+'Inputs'!$B$31+'Inputs'!$B$32)/1000+'Inputs'!$B$21+'Inputs'!$B$9+'Inputs'!$B$10))^2+('Inputs'!$B$6/2)^2))))*'Results'!$B$8)-'Inputs'!$B$28*ABS((('Results'!C7*(1-'Inputs'!$B$24)*(0.5*((((746-43)*MAX('Inputs'!$B$33,'Inputs'!$B$29+'Inputs'!$B$31+'Inputs'!$B$32,'Inputs'!$B$30+'Inputs'!$B$31+'Inputs'!$B$32)/1000+'Inputs'!$B$21)+'Inputs'!$B$9)/SQRT((((746-43)*MAX('Inputs'!$B$33,'Inputs'!$B$29+'Inputs'!$B$31+'Inputs'!$B$32,'Inputs'!$B$30+'Inputs'!$B$31+'Inputs'!$B$32)/1000+'Inputs'!$B$21)+'Inputs'!$B$9)^2+('Inputs'!$B$8/2)^2)-(((746-43)*MAX('Inputs'!$B$33,'Inputs'!$B$29+'Inputs'!$B$31+'Inputs'!$B$32,'Inputs'!$B$30+'Inputs'!$B$31+'Inputs'!$B$32)/1000+'Inputs'!$B$21))/SQRT((((746-43)*MAX('Inputs'!$B$33,'Inputs'!$B$29+'Inputs'!$B$31+'Inputs'!$B$32,'Inputs'!$B$30+'Inputs'!$B$31+'Inputs'!$B$32)/1000+'Inputs'!$B$21))^2+('Inputs'!$B$8/2)^2)))-'Results'!B7*(1+'Inputs'!$B$24)*(0.5*((((746-43)*MAX('Inputs'!$B$33,'Inputs'!$B$29+'Inputs'!$B$31+'Inputs'!$B$32,'Inputs'!$B$30+'Inputs'!$B$31+'Inputs'!$B$32)/1000+'Inputs'!$B$21+'Inputs'!$B$9+'Inputs'!$B$10)+'Inputs'!$B$7)/SQRT((((746-43)*MAX('Inputs'!$B$33,'Inputs'!$B$29+'Inputs'!$B$31+'Inputs'!$B$32,'Inputs'!$B$30+'Inputs'!$B$31+'Inputs'!$B$32)/1000+'Inputs'!$B$21+'Inputs'!$B$9+'Inputs'!$B$10)+'Inputs'!$B$7)^2+('Inputs'!$B$6/2)^2)-(((746-43)*MAX('Inputs'!$B$33,'Inputs'!$B$29+'Inputs'!$B$31+'Inputs'!$B$32,'Inputs'!$B$30+'Inputs'!$B$31+'Inputs'!$B$32)/1000+'Inputs'!$B$21+'Inputs'!$B$9+'Inputs'!$B$10))/SQRT((((746-43)*MAX('Inputs'!$B$33,'Inputs'!$B$29+'Inputs'!$B$31+'Inputs'!$B$32,'Inputs'!$B$30+'Inputs'!$B$31+'Inputs'!$B$32)/1000+'Inputs'!$B$21+'Inputs'!$B$9+'Inputs'!$B$10))^2+('Inputs'!$B$6/2)^2))))*'Results'!$B$8))),"")</x:f>
        <x:v>0.9939610699475236</x:v>
      </x:c>
      <x:c r="O746" t="n">
        <x:f>IF(AND(ISNUMBER('Results'!C7),ISNUMBER('Results'!B7),ISNUMBER('Results'!$B$8),ISNUMBER('Inputs'!$B$6),ISNUMBER('Inputs'!$B$7),ISNUMBER('Inputs'!$B$8),ISNUMBER('Inputs'!$B$9),ISNUMBER('Inputs'!$B$10),ISNUMBER('Inputs'!$B$21),ISNUMBER('Inputs'!$B$24),ISNUMBER('Inputs'!$B$28)),((('Results'!C7*(1+'Inputs'!$B$24)*(0.5*((((746-43)*MAX('Inputs'!$B$33,'Inputs'!$B$29+'Inputs'!$B$31+'Inputs'!$B$32,'Inputs'!$B$30+'Inputs'!$B$31+'Inputs'!$B$32)/1000+'Inputs'!$B$21)+'Inputs'!$B$9)/SQRT((((746-43)*MAX('Inputs'!$B$33,'Inputs'!$B$29+'Inputs'!$B$31+'Inputs'!$B$32,'Inputs'!$B$30+'Inputs'!$B$31+'Inputs'!$B$32)/1000+'Inputs'!$B$21)+'Inputs'!$B$9)^2+('Inputs'!$B$8/2)^2)-(((746-43)*MAX('Inputs'!$B$33,'Inputs'!$B$29+'Inputs'!$B$31+'Inputs'!$B$32,'Inputs'!$B$30+'Inputs'!$B$31+'Inputs'!$B$32)/1000+'Inputs'!$B$21))/SQRT((((746-43)*MAX('Inputs'!$B$33,'Inputs'!$B$29+'Inputs'!$B$31+'Inputs'!$B$32,'Inputs'!$B$30+'Inputs'!$B$31+'Inputs'!$B$32)/1000+'Inputs'!$B$21))^2+('Inputs'!$B$8/2)^2)))-'Results'!B7*(1-'Inputs'!$B$24)*(0.5*((((746-43)*MAX('Inputs'!$B$33,'Inputs'!$B$29+'Inputs'!$B$31+'Inputs'!$B$32,'Inputs'!$B$30+'Inputs'!$B$31+'Inputs'!$B$32)/1000+'Inputs'!$B$21+'Inputs'!$B$9+'Inputs'!$B$10)+'Inputs'!$B$7)/SQRT((((746-43)*MAX('Inputs'!$B$33,'Inputs'!$B$29+'Inputs'!$B$31+'Inputs'!$B$32,'Inputs'!$B$30+'Inputs'!$B$31+'Inputs'!$B$32)/1000+'Inputs'!$B$21+'Inputs'!$B$9+'Inputs'!$B$10)+'Inputs'!$B$7)^2+('Inputs'!$B$6/2)^2)-(((746-43)*MAX('Inputs'!$B$33,'Inputs'!$B$29+'Inputs'!$B$31+'Inputs'!$B$32,'Inputs'!$B$30+'Inputs'!$B$31+'Inputs'!$B$32)/1000+'Inputs'!$B$21+'Inputs'!$B$9+'Inputs'!$B$10))/SQRT((((746-43)*MAX('Inputs'!$B$33,'Inputs'!$B$29+'Inputs'!$B$31+'Inputs'!$B$32,'Inputs'!$B$30+'Inputs'!$B$31+'Inputs'!$B$32)/1000+'Inputs'!$B$21+'Inputs'!$B$9+'Inputs'!$B$10))^2+('Inputs'!$B$6/2)^2))))*'Results'!$B$8)+'Inputs'!$B$28*ABS((('Results'!C7*(1+'Inputs'!$B$24)*(0.5*((((746-43)*MAX('Inputs'!$B$33,'Inputs'!$B$29+'Inputs'!$B$31+'Inputs'!$B$32,'Inputs'!$B$30+'Inputs'!$B$31+'Inputs'!$B$32)/1000+'Inputs'!$B$21)+'Inputs'!$B$9)/SQRT((((746-43)*MAX('Inputs'!$B$33,'Inputs'!$B$29+'Inputs'!$B$31+'Inputs'!$B$32,'Inputs'!$B$30+'Inputs'!$B$31+'Inputs'!$B$32)/1000+'Inputs'!$B$21)+'Inputs'!$B$9)^2+('Inputs'!$B$8/2)^2)-(((746-43)*MAX('Inputs'!$B$33,'Inputs'!$B$29+'Inputs'!$B$31+'Inputs'!$B$32,'Inputs'!$B$30+'Inputs'!$B$31+'Inputs'!$B$32)/1000+'Inputs'!$B$21))/SQRT((((746-43)*MAX('Inputs'!$B$33,'Inputs'!$B$29+'Inputs'!$B$31+'Inputs'!$B$32,'Inputs'!$B$30+'Inputs'!$B$31+'Inputs'!$B$32)/1000+'Inputs'!$B$21))^2+('Inputs'!$B$8/2)^2)))-'Results'!B7*(1-'Inputs'!$B$24)*(0.5*((((746-43)*MAX('Inputs'!$B$33,'Inputs'!$B$29+'Inputs'!$B$31+'Inputs'!$B$32,'Inputs'!$B$30+'Inputs'!$B$31+'Inputs'!$B$32)/1000+'Inputs'!$B$21+'Inputs'!$B$9+'Inputs'!$B$10)+'Inputs'!$B$7)/SQRT((((746-43)*MAX('Inputs'!$B$33,'Inputs'!$B$29+'Inputs'!$B$31+'Inputs'!$B$32,'Inputs'!$B$30+'Inputs'!$B$31+'Inputs'!$B$32)/1000+'Inputs'!$B$21+'Inputs'!$B$9+'Inputs'!$B$10)+'Inputs'!$B$7)^2+('Inputs'!$B$6/2)^2)-(((746-43)*MAX('Inputs'!$B$33,'Inputs'!$B$29+'Inputs'!$B$31+'Inputs'!$B$32,'Inputs'!$B$30+'Inputs'!$B$31+'Inputs'!$B$32)/1000+'Inputs'!$B$21+'Inputs'!$B$9+'Inputs'!$B$10))/SQRT((((746-43)*MAX('Inputs'!$B$33,'Inputs'!$B$29+'Inputs'!$B$31+'Inputs'!$B$32,'Inputs'!$B$30+'Inputs'!$B$31+'Inputs'!$B$32)/1000+'Inputs'!$B$21+'Inputs'!$B$9+'Inputs'!$B$10))^2+('Inputs'!$B$6/2)^2))))*'Results'!$B$8))),"")</x:f>
        <x:v>1.3352013899155715</x:v>
      </x:c>
      <x:c r="P746" t="n">
        <x:f>IF(AND(MAX(J746,J745)&gt;0,J746&gt;J745+0.00000001),1,0)</x:f>
        <x:v>0</x:v>
      </x:c>
      <x:c r="Q746" t="n">
        <x:f>IF(AND(MAX(K746,K745)&gt;0,K746&gt;K745+0.00000001),1,0)</x:f>
        <x:v>0</x:v>
      </x:c>
      <x:c r="R746" t="n">
        <x:f>IF(AND(MAX(L746,L745)&gt;0,L746&gt;L745+0.00000001),1,0)</x:f>
        <x:v>0</x:v>
      </x:c>
      <x:c r="S746" t="n">
        <x:f>IF(AND(MAX(M746,M745)&gt;0,M746&gt;M745+0.00000001),1,0)</x:f>
        <x:v>0</x:v>
      </x:c>
      <x:c r="T746" t="n">
        <x:f>IF(AND(MAX(N746,N745)&gt;0,N746&gt;N745+0.00000001),1,0)</x:f>
        <x:v>0</x:v>
      </x:c>
      <x:c r="U746" t="n">
        <x:f>IF(AND(MAX(O746,O745)&gt;0,O746&gt;O745+0.00000001),1,0)</x:f>
        <x:v>0</x:v>
      </x:c>
    </x:row>
    <x:row r="747">
      <x:c r="J747" t="n">
        <x:f>IF(AND(ISNUMBER('Results'!B7),ISNUMBER('Results'!C7),ISNUMBER('Results'!$B$8),ISNUMBER('Inputs'!$B$6),ISNUMBER('Inputs'!$B$7),ISNUMBER('Inputs'!$B$8),ISNUMBER('Inputs'!$B$9),ISNUMBER('Inputs'!$B$10),ISNUMBER('Inputs'!$B$21),ISNUMBER('Inputs'!$B$24),ISNUMBER('Inputs'!$B$28)),(('Results'!B7*(0.5*((((747-43)*MAX('Inputs'!$B$33,'Inputs'!$B$29+'Inputs'!$B$31+'Inputs'!$B$32,'Inputs'!$B$30+'Inputs'!$B$31+'Inputs'!$B$32)/1000+'Inputs'!$B$21)+'Inputs'!$B$7)/SQRT((((747-43)*MAX('Inputs'!$B$33,'Inputs'!$B$29+'Inputs'!$B$31+'Inputs'!$B$32,'Inputs'!$B$30+'Inputs'!$B$31+'Inputs'!$B$32)/1000+'Inputs'!$B$21)+'Inputs'!$B$7)^2+('Inputs'!$B$6/2)^2)-(((747-43)*MAX('Inputs'!$B$33,'Inputs'!$B$29+'Inputs'!$B$31+'Inputs'!$B$32,'Inputs'!$B$30+'Inputs'!$B$31+'Inputs'!$B$32)/1000+'Inputs'!$B$21))/SQRT((((747-43)*MAX('Inputs'!$B$33,'Inputs'!$B$29+'Inputs'!$B$31+'Inputs'!$B$32,'Inputs'!$B$30+'Inputs'!$B$31+'Inputs'!$B$32)/1000+'Inputs'!$B$21))^2+('Inputs'!$B$6/2)^2)))-'Results'!C7*(0.5*((((747-43)*MAX('Inputs'!$B$33,'Inputs'!$B$29+'Inputs'!$B$31+'Inputs'!$B$32,'Inputs'!$B$30+'Inputs'!$B$31+'Inputs'!$B$32)/1000+'Inputs'!$B$21+'Inputs'!$B$7+'Inputs'!$B$10)+'Inputs'!$B$9)/SQRT((((747-43)*MAX('Inputs'!$B$33,'Inputs'!$B$29+'Inputs'!$B$31+'Inputs'!$B$32,'Inputs'!$B$30+'Inputs'!$B$31+'Inputs'!$B$32)/1000+'Inputs'!$B$21+'Inputs'!$B$7+'Inputs'!$B$10)+'Inputs'!$B$9)^2+('Inputs'!$B$8/2)^2)-(((747-43)*MAX('Inputs'!$B$33,'Inputs'!$B$29+'Inputs'!$B$31+'Inputs'!$B$32,'Inputs'!$B$30+'Inputs'!$B$31+'Inputs'!$B$32)/1000+'Inputs'!$B$21+'Inputs'!$B$7+'Inputs'!$B$10))/SQRT((((747-43)*MAX('Inputs'!$B$33,'Inputs'!$B$29+'Inputs'!$B$31+'Inputs'!$B$32,'Inputs'!$B$30+'Inputs'!$B$31+'Inputs'!$B$32)/1000+'Inputs'!$B$21+'Inputs'!$B$7+'Inputs'!$B$10))^2+('Inputs'!$B$8/2)^2))))*'Results'!$B$8),"")</x:f>
        <x:v>1.266590952649429</x:v>
      </x:c>
      <x:c r="K747" t="n">
        <x:f>IF(AND(ISNUMBER('Results'!B7),ISNUMBER('Results'!C7),ISNUMBER('Results'!$B$8),ISNUMBER('Inputs'!$B$6),ISNUMBER('Inputs'!$B$7),ISNUMBER('Inputs'!$B$8),ISNUMBER('Inputs'!$B$9),ISNUMBER('Inputs'!$B$10),ISNUMBER('Inputs'!$B$21),ISNUMBER('Inputs'!$B$24),ISNUMBER('Inputs'!$B$28)),((('Results'!B7*(1-'Inputs'!$B$24)*(0.5*((((747-43)*MAX('Inputs'!$B$33,'Inputs'!$B$29+'Inputs'!$B$31+'Inputs'!$B$32,'Inputs'!$B$30+'Inputs'!$B$31+'Inputs'!$B$32)/1000+'Inputs'!$B$21)+'Inputs'!$B$7)/SQRT((((747-43)*MAX('Inputs'!$B$33,'Inputs'!$B$29+'Inputs'!$B$31+'Inputs'!$B$32,'Inputs'!$B$30+'Inputs'!$B$31+'Inputs'!$B$32)/1000+'Inputs'!$B$21)+'Inputs'!$B$7)^2+('Inputs'!$B$6/2)^2)-(((747-43)*MAX('Inputs'!$B$33,'Inputs'!$B$29+'Inputs'!$B$31+'Inputs'!$B$32,'Inputs'!$B$30+'Inputs'!$B$31+'Inputs'!$B$32)/1000+'Inputs'!$B$21))/SQRT((((747-43)*MAX('Inputs'!$B$33,'Inputs'!$B$29+'Inputs'!$B$31+'Inputs'!$B$32,'Inputs'!$B$30+'Inputs'!$B$31+'Inputs'!$B$32)/1000+'Inputs'!$B$21))^2+('Inputs'!$B$6/2)^2)))-'Results'!C7*(1+'Inputs'!$B$24)*(0.5*((((747-43)*MAX('Inputs'!$B$33,'Inputs'!$B$29+'Inputs'!$B$31+'Inputs'!$B$32,'Inputs'!$B$30+'Inputs'!$B$31+'Inputs'!$B$32)/1000+'Inputs'!$B$21+'Inputs'!$B$7+'Inputs'!$B$10)+'Inputs'!$B$9)/SQRT((((747-43)*MAX('Inputs'!$B$33,'Inputs'!$B$29+'Inputs'!$B$31+'Inputs'!$B$32,'Inputs'!$B$30+'Inputs'!$B$31+'Inputs'!$B$32)/1000+'Inputs'!$B$21+'Inputs'!$B$7+'Inputs'!$B$10)+'Inputs'!$B$9)^2+('Inputs'!$B$8/2)^2)-(((747-43)*MAX('Inputs'!$B$33,'Inputs'!$B$29+'Inputs'!$B$31+'Inputs'!$B$32,'Inputs'!$B$30+'Inputs'!$B$31+'Inputs'!$B$32)/1000+'Inputs'!$B$21+'Inputs'!$B$7+'Inputs'!$B$10))/SQRT((((747-43)*MAX('Inputs'!$B$33,'Inputs'!$B$29+'Inputs'!$B$31+'Inputs'!$B$32,'Inputs'!$B$30+'Inputs'!$B$31+'Inputs'!$B$32)/1000+'Inputs'!$B$21+'Inputs'!$B$7+'Inputs'!$B$10))^2+('Inputs'!$B$8/2)^2))))*'Results'!$B$8)-'Inputs'!$B$28*ABS((('Results'!B7*(1-'Inputs'!$B$24)*(0.5*((((747-43)*MAX('Inputs'!$B$33,'Inputs'!$B$29+'Inputs'!$B$31+'Inputs'!$B$32,'Inputs'!$B$30+'Inputs'!$B$31+'Inputs'!$B$32)/1000+'Inputs'!$B$21)+'Inputs'!$B$7)/SQRT((((747-43)*MAX('Inputs'!$B$33,'Inputs'!$B$29+'Inputs'!$B$31+'Inputs'!$B$32,'Inputs'!$B$30+'Inputs'!$B$31+'Inputs'!$B$32)/1000+'Inputs'!$B$21)+'Inputs'!$B$7)^2+('Inputs'!$B$6/2)^2)-(((747-43)*MAX('Inputs'!$B$33,'Inputs'!$B$29+'Inputs'!$B$31+'Inputs'!$B$32,'Inputs'!$B$30+'Inputs'!$B$31+'Inputs'!$B$32)/1000+'Inputs'!$B$21))/SQRT((((747-43)*MAX('Inputs'!$B$33,'Inputs'!$B$29+'Inputs'!$B$31+'Inputs'!$B$32,'Inputs'!$B$30+'Inputs'!$B$31+'Inputs'!$B$32)/1000+'Inputs'!$B$21))^2+('Inputs'!$B$6/2)^2)))-'Results'!C7*(1+'Inputs'!$B$24)*(0.5*((((747-43)*MAX('Inputs'!$B$33,'Inputs'!$B$29+'Inputs'!$B$31+'Inputs'!$B$32,'Inputs'!$B$30+'Inputs'!$B$31+'Inputs'!$B$32)/1000+'Inputs'!$B$21+'Inputs'!$B$7+'Inputs'!$B$10)+'Inputs'!$B$9)/SQRT((((747-43)*MAX('Inputs'!$B$33,'Inputs'!$B$29+'Inputs'!$B$31+'Inputs'!$B$32,'Inputs'!$B$30+'Inputs'!$B$31+'Inputs'!$B$32)/1000+'Inputs'!$B$21+'Inputs'!$B$7+'Inputs'!$B$10)+'Inputs'!$B$9)^2+('Inputs'!$B$8/2)^2)-(((747-43)*MAX('Inputs'!$B$33,'Inputs'!$B$29+'Inputs'!$B$31+'Inputs'!$B$32,'Inputs'!$B$30+'Inputs'!$B$31+'Inputs'!$B$32)/1000+'Inputs'!$B$21+'Inputs'!$B$7+'Inputs'!$B$10))/SQRT((((747-43)*MAX('Inputs'!$B$33,'Inputs'!$B$29+'Inputs'!$B$31+'Inputs'!$B$32,'Inputs'!$B$30+'Inputs'!$B$31+'Inputs'!$B$32)/1000+'Inputs'!$B$21+'Inputs'!$B$7+'Inputs'!$B$10))^2+('Inputs'!$B$8/2)^2))))*'Results'!$B$8))),"")</x:f>
        <x:v>1.096172726275618</x:v>
      </x:c>
      <x:c r="L747" t="n">
        <x:f>IF(AND(ISNUMBER('Results'!B7),ISNUMBER('Results'!C7),ISNUMBER('Results'!$B$8),ISNUMBER('Inputs'!$B$6),ISNUMBER('Inputs'!$B$7),ISNUMBER('Inputs'!$B$8),ISNUMBER('Inputs'!$B$9),ISNUMBER('Inputs'!$B$10),ISNUMBER('Inputs'!$B$21),ISNUMBER('Inputs'!$B$24),ISNUMBER('Inputs'!$B$28)),((('Results'!B7*(1+'Inputs'!$B$24)*(0.5*((((747-43)*MAX('Inputs'!$B$33,'Inputs'!$B$29+'Inputs'!$B$31+'Inputs'!$B$32,'Inputs'!$B$30+'Inputs'!$B$31+'Inputs'!$B$32)/1000+'Inputs'!$B$21)+'Inputs'!$B$7)/SQRT((((747-43)*MAX('Inputs'!$B$33,'Inputs'!$B$29+'Inputs'!$B$31+'Inputs'!$B$32,'Inputs'!$B$30+'Inputs'!$B$31+'Inputs'!$B$32)/1000+'Inputs'!$B$21)+'Inputs'!$B$7)^2+('Inputs'!$B$6/2)^2)-(((747-43)*MAX('Inputs'!$B$33,'Inputs'!$B$29+'Inputs'!$B$31+'Inputs'!$B$32,'Inputs'!$B$30+'Inputs'!$B$31+'Inputs'!$B$32)/1000+'Inputs'!$B$21))/SQRT((((747-43)*MAX('Inputs'!$B$33,'Inputs'!$B$29+'Inputs'!$B$31+'Inputs'!$B$32,'Inputs'!$B$30+'Inputs'!$B$31+'Inputs'!$B$32)/1000+'Inputs'!$B$21))^2+('Inputs'!$B$6/2)^2)))-'Results'!C7*(1-'Inputs'!$B$24)*(0.5*((((747-43)*MAX('Inputs'!$B$33,'Inputs'!$B$29+'Inputs'!$B$31+'Inputs'!$B$32,'Inputs'!$B$30+'Inputs'!$B$31+'Inputs'!$B$32)/1000+'Inputs'!$B$21+'Inputs'!$B$7+'Inputs'!$B$10)+'Inputs'!$B$9)/SQRT((((747-43)*MAX('Inputs'!$B$33,'Inputs'!$B$29+'Inputs'!$B$31+'Inputs'!$B$32,'Inputs'!$B$30+'Inputs'!$B$31+'Inputs'!$B$32)/1000+'Inputs'!$B$21+'Inputs'!$B$7+'Inputs'!$B$10)+'Inputs'!$B$9)^2+('Inputs'!$B$8/2)^2)-(((747-43)*MAX('Inputs'!$B$33,'Inputs'!$B$29+'Inputs'!$B$31+'Inputs'!$B$32,'Inputs'!$B$30+'Inputs'!$B$31+'Inputs'!$B$32)/1000+'Inputs'!$B$21+'Inputs'!$B$7+'Inputs'!$B$10))/SQRT((((747-43)*MAX('Inputs'!$B$33,'Inputs'!$B$29+'Inputs'!$B$31+'Inputs'!$B$32,'Inputs'!$B$30+'Inputs'!$B$31+'Inputs'!$B$32)/1000+'Inputs'!$B$21+'Inputs'!$B$7+'Inputs'!$B$10))^2+('Inputs'!$B$8/2)^2))))*'Results'!$B$8)+'Inputs'!$B$28*ABS((('Results'!B7*(1+'Inputs'!$B$24)*(0.5*((((747-43)*MAX('Inputs'!$B$33,'Inputs'!$B$29+'Inputs'!$B$31+'Inputs'!$B$32,'Inputs'!$B$30+'Inputs'!$B$31+'Inputs'!$B$32)/1000+'Inputs'!$B$21)+'Inputs'!$B$7)/SQRT((((747-43)*MAX('Inputs'!$B$33,'Inputs'!$B$29+'Inputs'!$B$31+'Inputs'!$B$32,'Inputs'!$B$30+'Inputs'!$B$31+'Inputs'!$B$32)/1000+'Inputs'!$B$21)+'Inputs'!$B$7)^2+('Inputs'!$B$6/2)^2)-(((747-43)*MAX('Inputs'!$B$33,'Inputs'!$B$29+'Inputs'!$B$31+'Inputs'!$B$32,'Inputs'!$B$30+'Inputs'!$B$31+'Inputs'!$B$32)/1000+'Inputs'!$B$21))/SQRT((((747-43)*MAX('Inputs'!$B$33,'Inputs'!$B$29+'Inputs'!$B$31+'Inputs'!$B$32,'Inputs'!$B$30+'Inputs'!$B$31+'Inputs'!$B$32)/1000+'Inputs'!$B$21))^2+('Inputs'!$B$6/2)^2)))-'Results'!C7*(1-'Inputs'!$B$24)*(0.5*((((747-43)*MAX('Inputs'!$B$33,'Inputs'!$B$29+'Inputs'!$B$31+'Inputs'!$B$32,'Inputs'!$B$30+'Inputs'!$B$31+'Inputs'!$B$32)/1000+'Inputs'!$B$21+'Inputs'!$B$7+'Inputs'!$B$10)+'Inputs'!$B$9)/SQRT((((747-43)*MAX('Inputs'!$B$33,'Inputs'!$B$29+'Inputs'!$B$31+'Inputs'!$B$32,'Inputs'!$B$30+'Inputs'!$B$31+'Inputs'!$B$32)/1000+'Inputs'!$B$21+'Inputs'!$B$7+'Inputs'!$B$10)+'Inputs'!$B$9)^2+('Inputs'!$B$8/2)^2)-(((747-43)*MAX('Inputs'!$B$33,'Inputs'!$B$29+'Inputs'!$B$31+'Inputs'!$B$32,'Inputs'!$B$30+'Inputs'!$B$31+'Inputs'!$B$32)/1000+'Inputs'!$B$21+'Inputs'!$B$7+'Inputs'!$B$10))/SQRT((((747-43)*MAX('Inputs'!$B$33,'Inputs'!$B$29+'Inputs'!$B$31+'Inputs'!$B$32,'Inputs'!$B$30+'Inputs'!$B$31+'Inputs'!$B$32)/1000+'Inputs'!$B$21+'Inputs'!$B$7+'Inputs'!$B$10))^2+('Inputs'!$B$8/2)^2))))*'Results'!$B$8))),"")</x:f>
        <x:v>1.4482816715223286</x:v>
      </x:c>
      <x:c r="M747" t="n">
        <x:f>IF(AND(ISNUMBER('Results'!C7),ISNUMBER('Results'!B7),ISNUMBER('Results'!$B$8),ISNUMBER('Inputs'!$B$6),ISNUMBER('Inputs'!$B$7),ISNUMBER('Inputs'!$B$8),ISNUMBER('Inputs'!$B$9),ISNUMBER('Inputs'!$B$10),ISNUMBER('Inputs'!$B$21),ISNUMBER('Inputs'!$B$24),ISNUMBER('Inputs'!$B$28)),(('Results'!C7*(0.5*((((747-43)*MAX('Inputs'!$B$33,'Inputs'!$B$29+'Inputs'!$B$31+'Inputs'!$B$32,'Inputs'!$B$30+'Inputs'!$B$31+'Inputs'!$B$32)/1000+'Inputs'!$B$21)+'Inputs'!$B$9)/SQRT((((747-43)*MAX('Inputs'!$B$33,'Inputs'!$B$29+'Inputs'!$B$31+'Inputs'!$B$32,'Inputs'!$B$30+'Inputs'!$B$31+'Inputs'!$B$32)/1000+'Inputs'!$B$21)+'Inputs'!$B$9)^2+('Inputs'!$B$8/2)^2)-(((747-43)*MAX('Inputs'!$B$33,'Inputs'!$B$29+'Inputs'!$B$31+'Inputs'!$B$32,'Inputs'!$B$30+'Inputs'!$B$31+'Inputs'!$B$32)/1000+'Inputs'!$B$21))/SQRT((((747-43)*MAX('Inputs'!$B$33,'Inputs'!$B$29+'Inputs'!$B$31+'Inputs'!$B$32,'Inputs'!$B$30+'Inputs'!$B$31+'Inputs'!$B$32)/1000+'Inputs'!$B$21))^2+('Inputs'!$B$8/2)^2)))-'Results'!B7*(0.5*((((747-43)*MAX('Inputs'!$B$33,'Inputs'!$B$29+'Inputs'!$B$31+'Inputs'!$B$32,'Inputs'!$B$30+'Inputs'!$B$31+'Inputs'!$B$32)/1000+'Inputs'!$B$21+'Inputs'!$B$9+'Inputs'!$B$10)+'Inputs'!$B$7)/SQRT((((747-43)*MAX('Inputs'!$B$33,'Inputs'!$B$29+'Inputs'!$B$31+'Inputs'!$B$32,'Inputs'!$B$30+'Inputs'!$B$31+'Inputs'!$B$32)/1000+'Inputs'!$B$21+'Inputs'!$B$9+'Inputs'!$B$10)+'Inputs'!$B$7)^2+('Inputs'!$B$6/2)^2)-(((747-43)*MAX('Inputs'!$B$33,'Inputs'!$B$29+'Inputs'!$B$31+'Inputs'!$B$32,'Inputs'!$B$30+'Inputs'!$B$31+'Inputs'!$B$32)/1000+'Inputs'!$B$21+'Inputs'!$B$9+'Inputs'!$B$10))/SQRT((((747-43)*MAX('Inputs'!$B$33,'Inputs'!$B$29+'Inputs'!$B$31+'Inputs'!$B$32,'Inputs'!$B$30+'Inputs'!$B$31+'Inputs'!$B$32)/1000+'Inputs'!$B$21+'Inputs'!$B$9+'Inputs'!$B$10))^2+('Inputs'!$B$6/2)^2))))*'Results'!$B$8),"")</x:f>
        <x:v>1.1529742612714238</x:v>
      </x:c>
      <x:c r="N747" t="n">
        <x:f>IF(AND(ISNUMBER('Results'!C7),ISNUMBER('Results'!B7),ISNUMBER('Results'!$B$8),ISNUMBER('Inputs'!$B$6),ISNUMBER('Inputs'!$B$7),ISNUMBER('Inputs'!$B$8),ISNUMBER('Inputs'!$B$9),ISNUMBER('Inputs'!$B$10),ISNUMBER('Inputs'!$B$21),ISNUMBER('Inputs'!$B$24),ISNUMBER('Inputs'!$B$28)),((('Results'!C7*(1-'Inputs'!$B$24)*(0.5*((((747-43)*MAX('Inputs'!$B$33,'Inputs'!$B$29+'Inputs'!$B$31+'Inputs'!$B$32,'Inputs'!$B$30+'Inputs'!$B$31+'Inputs'!$B$32)/1000+'Inputs'!$B$21)+'Inputs'!$B$9)/SQRT((((747-43)*MAX('Inputs'!$B$33,'Inputs'!$B$29+'Inputs'!$B$31+'Inputs'!$B$32,'Inputs'!$B$30+'Inputs'!$B$31+'Inputs'!$B$32)/1000+'Inputs'!$B$21)+'Inputs'!$B$9)^2+('Inputs'!$B$8/2)^2)-(((747-43)*MAX('Inputs'!$B$33,'Inputs'!$B$29+'Inputs'!$B$31+'Inputs'!$B$32,'Inputs'!$B$30+'Inputs'!$B$31+'Inputs'!$B$32)/1000+'Inputs'!$B$21))/SQRT((((747-43)*MAX('Inputs'!$B$33,'Inputs'!$B$29+'Inputs'!$B$31+'Inputs'!$B$32,'Inputs'!$B$30+'Inputs'!$B$31+'Inputs'!$B$32)/1000+'Inputs'!$B$21))^2+('Inputs'!$B$8/2)^2)))-'Results'!B7*(1+'Inputs'!$B$24)*(0.5*((((747-43)*MAX('Inputs'!$B$33,'Inputs'!$B$29+'Inputs'!$B$31+'Inputs'!$B$32,'Inputs'!$B$30+'Inputs'!$B$31+'Inputs'!$B$32)/1000+'Inputs'!$B$21+'Inputs'!$B$9+'Inputs'!$B$10)+'Inputs'!$B$7)/SQRT((((747-43)*MAX('Inputs'!$B$33,'Inputs'!$B$29+'Inputs'!$B$31+'Inputs'!$B$32,'Inputs'!$B$30+'Inputs'!$B$31+'Inputs'!$B$32)/1000+'Inputs'!$B$21+'Inputs'!$B$9+'Inputs'!$B$10)+'Inputs'!$B$7)^2+('Inputs'!$B$6/2)^2)-(((747-43)*MAX('Inputs'!$B$33,'Inputs'!$B$29+'Inputs'!$B$31+'Inputs'!$B$32,'Inputs'!$B$30+'Inputs'!$B$31+'Inputs'!$B$32)/1000+'Inputs'!$B$21+'Inputs'!$B$9+'Inputs'!$B$10))/SQRT((((747-43)*MAX('Inputs'!$B$33,'Inputs'!$B$29+'Inputs'!$B$31+'Inputs'!$B$32,'Inputs'!$B$30+'Inputs'!$B$31+'Inputs'!$B$32)/1000+'Inputs'!$B$21+'Inputs'!$B$9+'Inputs'!$B$10))^2+('Inputs'!$B$6/2)^2))))*'Results'!$B$8)-'Inputs'!$B$28*ABS((('Results'!C7*(1-'Inputs'!$B$24)*(0.5*((((747-43)*MAX('Inputs'!$B$33,'Inputs'!$B$29+'Inputs'!$B$31+'Inputs'!$B$32,'Inputs'!$B$30+'Inputs'!$B$31+'Inputs'!$B$32)/1000+'Inputs'!$B$21)+'Inputs'!$B$9)/SQRT((((747-43)*MAX('Inputs'!$B$33,'Inputs'!$B$29+'Inputs'!$B$31+'Inputs'!$B$32,'Inputs'!$B$30+'Inputs'!$B$31+'Inputs'!$B$32)/1000+'Inputs'!$B$21)+'Inputs'!$B$9)^2+('Inputs'!$B$8/2)^2)-(((747-43)*MAX('Inputs'!$B$33,'Inputs'!$B$29+'Inputs'!$B$31+'Inputs'!$B$32,'Inputs'!$B$30+'Inputs'!$B$31+'Inputs'!$B$32)/1000+'Inputs'!$B$21))/SQRT((((747-43)*MAX('Inputs'!$B$33,'Inputs'!$B$29+'Inputs'!$B$31+'Inputs'!$B$32,'Inputs'!$B$30+'Inputs'!$B$31+'Inputs'!$B$32)/1000+'Inputs'!$B$21))^2+('Inputs'!$B$8/2)^2)))-'Results'!B7*(1+'Inputs'!$B$24)*(0.5*((((747-43)*MAX('Inputs'!$B$33,'Inputs'!$B$29+'Inputs'!$B$31+'Inputs'!$B$32,'Inputs'!$B$30+'Inputs'!$B$31+'Inputs'!$B$32)/1000+'Inputs'!$B$21+'Inputs'!$B$9+'Inputs'!$B$10)+'Inputs'!$B$7)/SQRT((((747-43)*MAX('Inputs'!$B$33,'Inputs'!$B$29+'Inputs'!$B$31+'Inputs'!$B$32,'Inputs'!$B$30+'Inputs'!$B$31+'Inputs'!$B$32)/1000+'Inputs'!$B$21+'Inputs'!$B$9+'Inputs'!$B$10)+'Inputs'!$B$7)^2+('Inputs'!$B$6/2)^2)-(((747-43)*MAX('Inputs'!$B$33,'Inputs'!$B$29+'Inputs'!$B$31+'Inputs'!$B$32,'Inputs'!$B$30+'Inputs'!$B$31+'Inputs'!$B$32)/1000+'Inputs'!$B$21+'Inputs'!$B$9+'Inputs'!$B$10))/SQRT((((747-43)*MAX('Inputs'!$B$33,'Inputs'!$B$29+'Inputs'!$B$31+'Inputs'!$B$32,'Inputs'!$B$30+'Inputs'!$B$31+'Inputs'!$B$32)/1000+'Inputs'!$B$21+'Inputs'!$B$9+'Inputs'!$B$10))^2+('Inputs'!$B$6/2)^2))))*'Results'!$B$8))),"")</x:f>
        <x:v>0.9887012304671645</x:v>
      </x:c>
      <x:c r="O747" t="n">
        <x:f>IF(AND(ISNUMBER('Results'!C7),ISNUMBER('Results'!B7),ISNUMBER('Results'!$B$8),ISNUMBER('Inputs'!$B$6),ISNUMBER('Inputs'!$B$7),ISNUMBER('Inputs'!$B$8),ISNUMBER('Inputs'!$B$9),ISNUMBER('Inputs'!$B$10),ISNUMBER('Inputs'!$B$21),ISNUMBER('Inputs'!$B$24),ISNUMBER('Inputs'!$B$28)),((('Results'!C7*(1+'Inputs'!$B$24)*(0.5*((((747-43)*MAX('Inputs'!$B$33,'Inputs'!$B$29+'Inputs'!$B$31+'Inputs'!$B$32,'Inputs'!$B$30+'Inputs'!$B$31+'Inputs'!$B$32)/1000+'Inputs'!$B$21)+'Inputs'!$B$9)/SQRT((((747-43)*MAX('Inputs'!$B$33,'Inputs'!$B$29+'Inputs'!$B$31+'Inputs'!$B$32,'Inputs'!$B$30+'Inputs'!$B$31+'Inputs'!$B$32)/1000+'Inputs'!$B$21)+'Inputs'!$B$9)^2+('Inputs'!$B$8/2)^2)-(((747-43)*MAX('Inputs'!$B$33,'Inputs'!$B$29+'Inputs'!$B$31+'Inputs'!$B$32,'Inputs'!$B$30+'Inputs'!$B$31+'Inputs'!$B$32)/1000+'Inputs'!$B$21))/SQRT((((747-43)*MAX('Inputs'!$B$33,'Inputs'!$B$29+'Inputs'!$B$31+'Inputs'!$B$32,'Inputs'!$B$30+'Inputs'!$B$31+'Inputs'!$B$32)/1000+'Inputs'!$B$21))^2+('Inputs'!$B$8/2)^2)))-'Results'!B7*(1-'Inputs'!$B$24)*(0.5*((((747-43)*MAX('Inputs'!$B$33,'Inputs'!$B$29+'Inputs'!$B$31+'Inputs'!$B$32,'Inputs'!$B$30+'Inputs'!$B$31+'Inputs'!$B$32)/1000+'Inputs'!$B$21+'Inputs'!$B$9+'Inputs'!$B$10)+'Inputs'!$B$7)/SQRT((((747-43)*MAX('Inputs'!$B$33,'Inputs'!$B$29+'Inputs'!$B$31+'Inputs'!$B$32,'Inputs'!$B$30+'Inputs'!$B$31+'Inputs'!$B$32)/1000+'Inputs'!$B$21+'Inputs'!$B$9+'Inputs'!$B$10)+'Inputs'!$B$7)^2+('Inputs'!$B$6/2)^2)-(((747-43)*MAX('Inputs'!$B$33,'Inputs'!$B$29+'Inputs'!$B$31+'Inputs'!$B$32,'Inputs'!$B$30+'Inputs'!$B$31+'Inputs'!$B$32)/1000+'Inputs'!$B$21+'Inputs'!$B$9+'Inputs'!$B$10))/SQRT((((747-43)*MAX('Inputs'!$B$33,'Inputs'!$B$29+'Inputs'!$B$31+'Inputs'!$B$32,'Inputs'!$B$30+'Inputs'!$B$31+'Inputs'!$B$32)/1000+'Inputs'!$B$21+'Inputs'!$B$9+'Inputs'!$B$10))^2+('Inputs'!$B$6/2)^2))))*'Results'!$B$8)+'Inputs'!$B$28*ABS((('Results'!C7*(1+'Inputs'!$B$24)*(0.5*((((747-43)*MAX('Inputs'!$B$33,'Inputs'!$B$29+'Inputs'!$B$31+'Inputs'!$B$32,'Inputs'!$B$30+'Inputs'!$B$31+'Inputs'!$B$32)/1000+'Inputs'!$B$21)+'Inputs'!$B$9)/SQRT((((747-43)*MAX('Inputs'!$B$33,'Inputs'!$B$29+'Inputs'!$B$31+'Inputs'!$B$32,'Inputs'!$B$30+'Inputs'!$B$31+'Inputs'!$B$32)/1000+'Inputs'!$B$21)+'Inputs'!$B$9)^2+('Inputs'!$B$8/2)^2)-(((747-43)*MAX('Inputs'!$B$33,'Inputs'!$B$29+'Inputs'!$B$31+'Inputs'!$B$32,'Inputs'!$B$30+'Inputs'!$B$31+'Inputs'!$B$32)/1000+'Inputs'!$B$21))/SQRT((((747-43)*MAX('Inputs'!$B$33,'Inputs'!$B$29+'Inputs'!$B$31+'Inputs'!$B$32,'Inputs'!$B$30+'Inputs'!$B$31+'Inputs'!$B$32)/1000+'Inputs'!$B$21))^2+('Inputs'!$B$8/2)^2)))-'Results'!B7*(1-'Inputs'!$B$24)*(0.5*((((747-43)*MAX('Inputs'!$B$33,'Inputs'!$B$29+'Inputs'!$B$31+'Inputs'!$B$32,'Inputs'!$B$30+'Inputs'!$B$31+'Inputs'!$B$32)/1000+'Inputs'!$B$21+'Inputs'!$B$9+'Inputs'!$B$10)+'Inputs'!$B$7)/SQRT((((747-43)*MAX('Inputs'!$B$33,'Inputs'!$B$29+'Inputs'!$B$31+'Inputs'!$B$32,'Inputs'!$B$30+'Inputs'!$B$31+'Inputs'!$B$32)/1000+'Inputs'!$B$21+'Inputs'!$B$9+'Inputs'!$B$10)+'Inputs'!$B$7)^2+('Inputs'!$B$6/2)^2)-(((747-43)*MAX('Inputs'!$B$33,'Inputs'!$B$29+'Inputs'!$B$31+'Inputs'!$B$32,'Inputs'!$B$30+'Inputs'!$B$31+'Inputs'!$B$32)/1000+'Inputs'!$B$21+'Inputs'!$B$9+'Inputs'!$B$10))/SQRT((((747-43)*MAX('Inputs'!$B$33,'Inputs'!$B$29+'Inputs'!$B$31+'Inputs'!$B$32,'Inputs'!$B$30+'Inputs'!$B$31+'Inputs'!$B$32)/1000+'Inputs'!$B$21+'Inputs'!$B$9+'Inputs'!$B$10))^2+('Inputs'!$B$6/2)^2))))*'Results'!$B$8))),"")</x:f>
        <x:v>1.3284709044694405</x:v>
      </x:c>
      <x:c r="P747" t="n">
        <x:f>IF(AND(MAX(J747,J746)&gt;0,J747&gt;J746+0.00000001),1,0)</x:f>
        <x:v>0</x:v>
      </x:c>
      <x:c r="Q747" t="n">
        <x:f>IF(AND(MAX(K747,K746)&gt;0,K747&gt;K746+0.00000001),1,0)</x:f>
        <x:v>0</x:v>
      </x:c>
      <x:c r="R747" t="n">
        <x:f>IF(AND(MAX(L747,L746)&gt;0,L747&gt;L746+0.00000001),1,0)</x:f>
        <x:v>0</x:v>
      </x:c>
      <x:c r="S747" t="n">
        <x:f>IF(AND(MAX(M747,M746)&gt;0,M747&gt;M746+0.00000001),1,0)</x:f>
        <x:v>0</x:v>
      </x:c>
      <x:c r="T747" t="n">
        <x:f>IF(AND(MAX(N747,N746)&gt;0,N747&gt;N746+0.00000001),1,0)</x:f>
        <x:v>0</x:v>
      </x:c>
      <x:c r="U747" t="n">
        <x:f>IF(AND(MAX(O747,O746)&gt;0,O747&gt;O746+0.00000001),1,0)</x:f>
        <x:v>0</x:v>
      </x:c>
    </x:row>
    <x:row r="748">
      <x:c r="J748" t="n">
        <x:f>IF(AND(ISNUMBER('Results'!B7),ISNUMBER('Results'!C7),ISNUMBER('Results'!$B$8),ISNUMBER('Inputs'!$B$6),ISNUMBER('Inputs'!$B$7),ISNUMBER('Inputs'!$B$8),ISNUMBER('Inputs'!$B$9),ISNUMBER('Inputs'!$B$10),ISNUMBER('Inputs'!$B$21),ISNUMBER('Inputs'!$B$24),ISNUMBER('Inputs'!$B$28)),(('Results'!B7*(0.5*((((748-43)*MAX('Inputs'!$B$33,'Inputs'!$B$29+'Inputs'!$B$31+'Inputs'!$B$32,'Inputs'!$B$30+'Inputs'!$B$31+'Inputs'!$B$32)/1000+'Inputs'!$B$21)+'Inputs'!$B$7)/SQRT((((748-43)*MAX('Inputs'!$B$33,'Inputs'!$B$29+'Inputs'!$B$31+'Inputs'!$B$32,'Inputs'!$B$30+'Inputs'!$B$31+'Inputs'!$B$32)/1000+'Inputs'!$B$21)+'Inputs'!$B$7)^2+('Inputs'!$B$6/2)^2)-(((748-43)*MAX('Inputs'!$B$33,'Inputs'!$B$29+'Inputs'!$B$31+'Inputs'!$B$32,'Inputs'!$B$30+'Inputs'!$B$31+'Inputs'!$B$32)/1000+'Inputs'!$B$21))/SQRT((((748-43)*MAX('Inputs'!$B$33,'Inputs'!$B$29+'Inputs'!$B$31+'Inputs'!$B$32,'Inputs'!$B$30+'Inputs'!$B$31+'Inputs'!$B$32)/1000+'Inputs'!$B$21))^2+('Inputs'!$B$6/2)^2)))-'Results'!C7*(0.5*((((748-43)*MAX('Inputs'!$B$33,'Inputs'!$B$29+'Inputs'!$B$31+'Inputs'!$B$32,'Inputs'!$B$30+'Inputs'!$B$31+'Inputs'!$B$32)/1000+'Inputs'!$B$21+'Inputs'!$B$7+'Inputs'!$B$10)+'Inputs'!$B$9)/SQRT((((748-43)*MAX('Inputs'!$B$33,'Inputs'!$B$29+'Inputs'!$B$31+'Inputs'!$B$32,'Inputs'!$B$30+'Inputs'!$B$31+'Inputs'!$B$32)/1000+'Inputs'!$B$21+'Inputs'!$B$7+'Inputs'!$B$10)+'Inputs'!$B$9)^2+('Inputs'!$B$8/2)^2)-(((748-43)*MAX('Inputs'!$B$33,'Inputs'!$B$29+'Inputs'!$B$31+'Inputs'!$B$32,'Inputs'!$B$30+'Inputs'!$B$31+'Inputs'!$B$32)/1000+'Inputs'!$B$21+'Inputs'!$B$7+'Inputs'!$B$10))/SQRT((((748-43)*MAX('Inputs'!$B$33,'Inputs'!$B$29+'Inputs'!$B$31+'Inputs'!$B$32,'Inputs'!$B$30+'Inputs'!$B$31+'Inputs'!$B$32)/1000+'Inputs'!$B$21+'Inputs'!$B$7+'Inputs'!$B$10))^2+('Inputs'!$B$8/2)^2))))*'Results'!$B$8),"")</x:f>
        <x:v>1.260215800895248</x:v>
      </x:c>
      <x:c r="K748" t="n">
        <x:f>IF(AND(ISNUMBER('Results'!B7),ISNUMBER('Results'!C7),ISNUMBER('Results'!$B$8),ISNUMBER('Inputs'!$B$6),ISNUMBER('Inputs'!$B$7),ISNUMBER('Inputs'!$B$8),ISNUMBER('Inputs'!$B$9),ISNUMBER('Inputs'!$B$10),ISNUMBER('Inputs'!$B$21),ISNUMBER('Inputs'!$B$24),ISNUMBER('Inputs'!$B$28)),((('Results'!B7*(1-'Inputs'!$B$24)*(0.5*((((748-43)*MAX('Inputs'!$B$33,'Inputs'!$B$29+'Inputs'!$B$31+'Inputs'!$B$32,'Inputs'!$B$30+'Inputs'!$B$31+'Inputs'!$B$32)/1000+'Inputs'!$B$21)+'Inputs'!$B$7)/SQRT((((748-43)*MAX('Inputs'!$B$33,'Inputs'!$B$29+'Inputs'!$B$31+'Inputs'!$B$32,'Inputs'!$B$30+'Inputs'!$B$31+'Inputs'!$B$32)/1000+'Inputs'!$B$21)+'Inputs'!$B$7)^2+('Inputs'!$B$6/2)^2)-(((748-43)*MAX('Inputs'!$B$33,'Inputs'!$B$29+'Inputs'!$B$31+'Inputs'!$B$32,'Inputs'!$B$30+'Inputs'!$B$31+'Inputs'!$B$32)/1000+'Inputs'!$B$21))/SQRT((((748-43)*MAX('Inputs'!$B$33,'Inputs'!$B$29+'Inputs'!$B$31+'Inputs'!$B$32,'Inputs'!$B$30+'Inputs'!$B$31+'Inputs'!$B$32)/1000+'Inputs'!$B$21))^2+('Inputs'!$B$6/2)^2)))-'Results'!C7*(1+'Inputs'!$B$24)*(0.5*((((748-43)*MAX('Inputs'!$B$33,'Inputs'!$B$29+'Inputs'!$B$31+'Inputs'!$B$32,'Inputs'!$B$30+'Inputs'!$B$31+'Inputs'!$B$32)/1000+'Inputs'!$B$21+'Inputs'!$B$7+'Inputs'!$B$10)+'Inputs'!$B$9)/SQRT((((748-43)*MAX('Inputs'!$B$33,'Inputs'!$B$29+'Inputs'!$B$31+'Inputs'!$B$32,'Inputs'!$B$30+'Inputs'!$B$31+'Inputs'!$B$32)/1000+'Inputs'!$B$21+'Inputs'!$B$7+'Inputs'!$B$10)+'Inputs'!$B$9)^2+('Inputs'!$B$8/2)^2)-(((748-43)*MAX('Inputs'!$B$33,'Inputs'!$B$29+'Inputs'!$B$31+'Inputs'!$B$32,'Inputs'!$B$30+'Inputs'!$B$31+'Inputs'!$B$32)/1000+'Inputs'!$B$21+'Inputs'!$B$7+'Inputs'!$B$10))/SQRT((((748-43)*MAX('Inputs'!$B$33,'Inputs'!$B$29+'Inputs'!$B$31+'Inputs'!$B$32,'Inputs'!$B$30+'Inputs'!$B$31+'Inputs'!$B$32)/1000+'Inputs'!$B$21+'Inputs'!$B$7+'Inputs'!$B$10))^2+('Inputs'!$B$8/2)^2))))*'Results'!$B$8)-'Inputs'!$B$28*ABS((('Results'!B7*(1-'Inputs'!$B$24)*(0.5*((((748-43)*MAX('Inputs'!$B$33,'Inputs'!$B$29+'Inputs'!$B$31+'Inputs'!$B$32,'Inputs'!$B$30+'Inputs'!$B$31+'Inputs'!$B$32)/1000+'Inputs'!$B$21)+'Inputs'!$B$7)/SQRT((((748-43)*MAX('Inputs'!$B$33,'Inputs'!$B$29+'Inputs'!$B$31+'Inputs'!$B$32,'Inputs'!$B$30+'Inputs'!$B$31+'Inputs'!$B$32)/1000+'Inputs'!$B$21)+'Inputs'!$B$7)^2+('Inputs'!$B$6/2)^2)-(((748-43)*MAX('Inputs'!$B$33,'Inputs'!$B$29+'Inputs'!$B$31+'Inputs'!$B$32,'Inputs'!$B$30+'Inputs'!$B$31+'Inputs'!$B$32)/1000+'Inputs'!$B$21))/SQRT((((748-43)*MAX('Inputs'!$B$33,'Inputs'!$B$29+'Inputs'!$B$31+'Inputs'!$B$32,'Inputs'!$B$30+'Inputs'!$B$31+'Inputs'!$B$32)/1000+'Inputs'!$B$21))^2+('Inputs'!$B$6/2)^2)))-'Results'!C7*(1+'Inputs'!$B$24)*(0.5*((((748-43)*MAX('Inputs'!$B$33,'Inputs'!$B$29+'Inputs'!$B$31+'Inputs'!$B$32,'Inputs'!$B$30+'Inputs'!$B$31+'Inputs'!$B$32)/1000+'Inputs'!$B$21+'Inputs'!$B$7+'Inputs'!$B$10)+'Inputs'!$B$9)/SQRT((((748-43)*MAX('Inputs'!$B$33,'Inputs'!$B$29+'Inputs'!$B$31+'Inputs'!$B$32,'Inputs'!$B$30+'Inputs'!$B$31+'Inputs'!$B$32)/1000+'Inputs'!$B$21+'Inputs'!$B$7+'Inputs'!$B$10)+'Inputs'!$B$9)^2+('Inputs'!$B$8/2)^2)-(((748-43)*MAX('Inputs'!$B$33,'Inputs'!$B$29+'Inputs'!$B$31+'Inputs'!$B$32,'Inputs'!$B$30+'Inputs'!$B$31+'Inputs'!$B$32)/1000+'Inputs'!$B$21+'Inputs'!$B$7+'Inputs'!$B$10))/SQRT((((748-43)*MAX('Inputs'!$B$33,'Inputs'!$B$29+'Inputs'!$B$31+'Inputs'!$B$32,'Inputs'!$B$30+'Inputs'!$B$31+'Inputs'!$B$32)/1000+'Inputs'!$B$21+'Inputs'!$B$7+'Inputs'!$B$10))^2+('Inputs'!$B$8/2)^2))))*'Results'!$B$8))),"")</x:f>
        <x:v>1.0905313727964807</x:v>
      </x:c>
      <x:c r="L748" t="n">
        <x:f>IF(AND(ISNUMBER('Results'!B7),ISNUMBER('Results'!C7),ISNUMBER('Results'!$B$8),ISNUMBER('Inputs'!$B$6),ISNUMBER('Inputs'!$B$7),ISNUMBER('Inputs'!$B$8),ISNUMBER('Inputs'!$B$9),ISNUMBER('Inputs'!$B$10),ISNUMBER('Inputs'!$B$21),ISNUMBER('Inputs'!$B$24),ISNUMBER('Inputs'!$B$28)),((('Results'!B7*(1+'Inputs'!$B$24)*(0.5*((((748-43)*MAX('Inputs'!$B$33,'Inputs'!$B$29+'Inputs'!$B$31+'Inputs'!$B$32,'Inputs'!$B$30+'Inputs'!$B$31+'Inputs'!$B$32)/1000+'Inputs'!$B$21)+'Inputs'!$B$7)/SQRT((((748-43)*MAX('Inputs'!$B$33,'Inputs'!$B$29+'Inputs'!$B$31+'Inputs'!$B$32,'Inputs'!$B$30+'Inputs'!$B$31+'Inputs'!$B$32)/1000+'Inputs'!$B$21)+'Inputs'!$B$7)^2+('Inputs'!$B$6/2)^2)-(((748-43)*MAX('Inputs'!$B$33,'Inputs'!$B$29+'Inputs'!$B$31+'Inputs'!$B$32,'Inputs'!$B$30+'Inputs'!$B$31+'Inputs'!$B$32)/1000+'Inputs'!$B$21))/SQRT((((748-43)*MAX('Inputs'!$B$33,'Inputs'!$B$29+'Inputs'!$B$31+'Inputs'!$B$32,'Inputs'!$B$30+'Inputs'!$B$31+'Inputs'!$B$32)/1000+'Inputs'!$B$21))^2+('Inputs'!$B$6/2)^2)))-'Results'!C7*(1-'Inputs'!$B$24)*(0.5*((((748-43)*MAX('Inputs'!$B$33,'Inputs'!$B$29+'Inputs'!$B$31+'Inputs'!$B$32,'Inputs'!$B$30+'Inputs'!$B$31+'Inputs'!$B$32)/1000+'Inputs'!$B$21+'Inputs'!$B$7+'Inputs'!$B$10)+'Inputs'!$B$9)/SQRT((((748-43)*MAX('Inputs'!$B$33,'Inputs'!$B$29+'Inputs'!$B$31+'Inputs'!$B$32,'Inputs'!$B$30+'Inputs'!$B$31+'Inputs'!$B$32)/1000+'Inputs'!$B$21+'Inputs'!$B$7+'Inputs'!$B$10)+'Inputs'!$B$9)^2+('Inputs'!$B$8/2)^2)-(((748-43)*MAX('Inputs'!$B$33,'Inputs'!$B$29+'Inputs'!$B$31+'Inputs'!$B$32,'Inputs'!$B$30+'Inputs'!$B$31+'Inputs'!$B$32)/1000+'Inputs'!$B$21+'Inputs'!$B$7+'Inputs'!$B$10))/SQRT((((748-43)*MAX('Inputs'!$B$33,'Inputs'!$B$29+'Inputs'!$B$31+'Inputs'!$B$32,'Inputs'!$B$30+'Inputs'!$B$31+'Inputs'!$B$32)/1000+'Inputs'!$B$21+'Inputs'!$B$7+'Inputs'!$B$10))^2+('Inputs'!$B$8/2)^2))))*'Results'!$B$8)+'Inputs'!$B$28*ABS((('Results'!B7*(1+'Inputs'!$B$24)*(0.5*((((748-43)*MAX('Inputs'!$B$33,'Inputs'!$B$29+'Inputs'!$B$31+'Inputs'!$B$32,'Inputs'!$B$30+'Inputs'!$B$31+'Inputs'!$B$32)/1000+'Inputs'!$B$21)+'Inputs'!$B$7)/SQRT((((748-43)*MAX('Inputs'!$B$33,'Inputs'!$B$29+'Inputs'!$B$31+'Inputs'!$B$32,'Inputs'!$B$30+'Inputs'!$B$31+'Inputs'!$B$32)/1000+'Inputs'!$B$21)+'Inputs'!$B$7)^2+('Inputs'!$B$6/2)^2)-(((748-43)*MAX('Inputs'!$B$33,'Inputs'!$B$29+'Inputs'!$B$31+'Inputs'!$B$32,'Inputs'!$B$30+'Inputs'!$B$31+'Inputs'!$B$32)/1000+'Inputs'!$B$21))/SQRT((((748-43)*MAX('Inputs'!$B$33,'Inputs'!$B$29+'Inputs'!$B$31+'Inputs'!$B$32,'Inputs'!$B$30+'Inputs'!$B$31+'Inputs'!$B$32)/1000+'Inputs'!$B$21))^2+('Inputs'!$B$6/2)^2)))-'Results'!C7*(1-'Inputs'!$B$24)*(0.5*((((748-43)*MAX('Inputs'!$B$33,'Inputs'!$B$29+'Inputs'!$B$31+'Inputs'!$B$32,'Inputs'!$B$30+'Inputs'!$B$31+'Inputs'!$B$32)/1000+'Inputs'!$B$21+'Inputs'!$B$7+'Inputs'!$B$10)+'Inputs'!$B$9)/SQRT((((748-43)*MAX('Inputs'!$B$33,'Inputs'!$B$29+'Inputs'!$B$31+'Inputs'!$B$32,'Inputs'!$B$30+'Inputs'!$B$31+'Inputs'!$B$32)/1000+'Inputs'!$B$21+'Inputs'!$B$7+'Inputs'!$B$10)+'Inputs'!$B$9)^2+('Inputs'!$B$8/2)^2)-(((748-43)*MAX('Inputs'!$B$33,'Inputs'!$B$29+'Inputs'!$B$31+'Inputs'!$B$32,'Inputs'!$B$30+'Inputs'!$B$31+'Inputs'!$B$32)/1000+'Inputs'!$B$21+'Inputs'!$B$7+'Inputs'!$B$10))/SQRT((((748-43)*MAX('Inputs'!$B$33,'Inputs'!$B$29+'Inputs'!$B$31+'Inputs'!$B$32,'Inputs'!$B$30+'Inputs'!$B$31+'Inputs'!$B$32)/1000+'Inputs'!$B$21+'Inputs'!$B$7+'Inputs'!$B$10))^2+('Inputs'!$B$8/2)^2))))*'Results'!$B$8))),"")</x:f>
        <x:v>1.4411290329996995</x:v>
      </x:c>
      <x:c r="M748" t="n">
        <x:f>IF(AND(ISNUMBER('Results'!C7),ISNUMBER('Results'!B7),ISNUMBER('Results'!$B$8),ISNUMBER('Inputs'!$B$6),ISNUMBER('Inputs'!$B$7),ISNUMBER('Inputs'!$B$8),ISNUMBER('Inputs'!$B$9),ISNUMBER('Inputs'!$B$10),ISNUMBER('Inputs'!$B$21),ISNUMBER('Inputs'!$B$24),ISNUMBER('Inputs'!$B$28)),(('Results'!C7*(0.5*((((748-43)*MAX('Inputs'!$B$33,'Inputs'!$B$29+'Inputs'!$B$31+'Inputs'!$B$32,'Inputs'!$B$30+'Inputs'!$B$31+'Inputs'!$B$32)/1000+'Inputs'!$B$21)+'Inputs'!$B$9)/SQRT((((748-43)*MAX('Inputs'!$B$33,'Inputs'!$B$29+'Inputs'!$B$31+'Inputs'!$B$32,'Inputs'!$B$30+'Inputs'!$B$31+'Inputs'!$B$32)/1000+'Inputs'!$B$21)+'Inputs'!$B$9)^2+('Inputs'!$B$8/2)^2)-(((748-43)*MAX('Inputs'!$B$33,'Inputs'!$B$29+'Inputs'!$B$31+'Inputs'!$B$32,'Inputs'!$B$30+'Inputs'!$B$31+'Inputs'!$B$32)/1000+'Inputs'!$B$21))/SQRT((((748-43)*MAX('Inputs'!$B$33,'Inputs'!$B$29+'Inputs'!$B$31+'Inputs'!$B$32,'Inputs'!$B$30+'Inputs'!$B$31+'Inputs'!$B$32)/1000+'Inputs'!$B$21))^2+('Inputs'!$B$8/2)^2)))-'Results'!B7*(0.5*((((748-43)*MAX('Inputs'!$B$33,'Inputs'!$B$29+'Inputs'!$B$31+'Inputs'!$B$32,'Inputs'!$B$30+'Inputs'!$B$31+'Inputs'!$B$32)/1000+'Inputs'!$B$21+'Inputs'!$B$9+'Inputs'!$B$10)+'Inputs'!$B$7)/SQRT((((748-43)*MAX('Inputs'!$B$33,'Inputs'!$B$29+'Inputs'!$B$31+'Inputs'!$B$32,'Inputs'!$B$30+'Inputs'!$B$31+'Inputs'!$B$32)/1000+'Inputs'!$B$21+'Inputs'!$B$9+'Inputs'!$B$10)+'Inputs'!$B$7)^2+('Inputs'!$B$6/2)^2)-(((748-43)*MAX('Inputs'!$B$33,'Inputs'!$B$29+'Inputs'!$B$31+'Inputs'!$B$32,'Inputs'!$B$30+'Inputs'!$B$31+'Inputs'!$B$32)/1000+'Inputs'!$B$21+'Inputs'!$B$9+'Inputs'!$B$10))/SQRT((((748-43)*MAX('Inputs'!$B$33,'Inputs'!$B$29+'Inputs'!$B$31+'Inputs'!$B$32,'Inputs'!$B$30+'Inputs'!$B$31+'Inputs'!$B$32)/1000+'Inputs'!$B$21+'Inputs'!$B$9+'Inputs'!$B$10))^2+('Inputs'!$B$6/2)^2))))*'Results'!$B$8),"")</x:f>
        <x:v>1.147039151409432</x:v>
      </x:c>
      <x:c r="N748" t="n">
        <x:f>IF(AND(ISNUMBER('Results'!C7),ISNUMBER('Results'!B7),ISNUMBER('Results'!$B$8),ISNUMBER('Inputs'!$B$6),ISNUMBER('Inputs'!$B$7),ISNUMBER('Inputs'!$B$8),ISNUMBER('Inputs'!$B$9),ISNUMBER('Inputs'!$B$10),ISNUMBER('Inputs'!$B$21),ISNUMBER('Inputs'!$B$24),ISNUMBER('Inputs'!$B$28)),((('Results'!C7*(1-'Inputs'!$B$24)*(0.5*((((748-43)*MAX('Inputs'!$B$33,'Inputs'!$B$29+'Inputs'!$B$31+'Inputs'!$B$32,'Inputs'!$B$30+'Inputs'!$B$31+'Inputs'!$B$32)/1000+'Inputs'!$B$21)+'Inputs'!$B$9)/SQRT((((748-43)*MAX('Inputs'!$B$33,'Inputs'!$B$29+'Inputs'!$B$31+'Inputs'!$B$32,'Inputs'!$B$30+'Inputs'!$B$31+'Inputs'!$B$32)/1000+'Inputs'!$B$21)+'Inputs'!$B$9)^2+('Inputs'!$B$8/2)^2)-(((748-43)*MAX('Inputs'!$B$33,'Inputs'!$B$29+'Inputs'!$B$31+'Inputs'!$B$32,'Inputs'!$B$30+'Inputs'!$B$31+'Inputs'!$B$32)/1000+'Inputs'!$B$21))/SQRT((((748-43)*MAX('Inputs'!$B$33,'Inputs'!$B$29+'Inputs'!$B$31+'Inputs'!$B$32,'Inputs'!$B$30+'Inputs'!$B$31+'Inputs'!$B$32)/1000+'Inputs'!$B$21))^2+('Inputs'!$B$8/2)^2)))-'Results'!B7*(1+'Inputs'!$B$24)*(0.5*((((748-43)*MAX('Inputs'!$B$33,'Inputs'!$B$29+'Inputs'!$B$31+'Inputs'!$B$32,'Inputs'!$B$30+'Inputs'!$B$31+'Inputs'!$B$32)/1000+'Inputs'!$B$21+'Inputs'!$B$9+'Inputs'!$B$10)+'Inputs'!$B$7)/SQRT((((748-43)*MAX('Inputs'!$B$33,'Inputs'!$B$29+'Inputs'!$B$31+'Inputs'!$B$32,'Inputs'!$B$30+'Inputs'!$B$31+'Inputs'!$B$32)/1000+'Inputs'!$B$21+'Inputs'!$B$9+'Inputs'!$B$10)+'Inputs'!$B$7)^2+('Inputs'!$B$6/2)^2)-(((748-43)*MAX('Inputs'!$B$33,'Inputs'!$B$29+'Inputs'!$B$31+'Inputs'!$B$32,'Inputs'!$B$30+'Inputs'!$B$31+'Inputs'!$B$32)/1000+'Inputs'!$B$21+'Inputs'!$B$9+'Inputs'!$B$10))/SQRT((((748-43)*MAX('Inputs'!$B$33,'Inputs'!$B$29+'Inputs'!$B$31+'Inputs'!$B$32,'Inputs'!$B$30+'Inputs'!$B$31+'Inputs'!$B$32)/1000+'Inputs'!$B$21+'Inputs'!$B$9+'Inputs'!$B$10))^2+('Inputs'!$B$6/2)^2))))*'Results'!$B$8)-'Inputs'!$B$28*ABS((('Results'!C7*(1-'Inputs'!$B$24)*(0.5*((((748-43)*MAX('Inputs'!$B$33,'Inputs'!$B$29+'Inputs'!$B$31+'Inputs'!$B$32,'Inputs'!$B$30+'Inputs'!$B$31+'Inputs'!$B$32)/1000+'Inputs'!$B$21)+'Inputs'!$B$9)/SQRT((((748-43)*MAX('Inputs'!$B$33,'Inputs'!$B$29+'Inputs'!$B$31+'Inputs'!$B$32,'Inputs'!$B$30+'Inputs'!$B$31+'Inputs'!$B$32)/1000+'Inputs'!$B$21)+'Inputs'!$B$9)^2+('Inputs'!$B$8/2)^2)-(((748-43)*MAX('Inputs'!$B$33,'Inputs'!$B$29+'Inputs'!$B$31+'Inputs'!$B$32,'Inputs'!$B$30+'Inputs'!$B$31+'Inputs'!$B$32)/1000+'Inputs'!$B$21))/SQRT((((748-43)*MAX('Inputs'!$B$33,'Inputs'!$B$29+'Inputs'!$B$31+'Inputs'!$B$32,'Inputs'!$B$30+'Inputs'!$B$31+'Inputs'!$B$32)/1000+'Inputs'!$B$21))^2+('Inputs'!$B$8/2)^2)))-'Results'!B7*(1+'Inputs'!$B$24)*(0.5*((((748-43)*MAX('Inputs'!$B$33,'Inputs'!$B$29+'Inputs'!$B$31+'Inputs'!$B$32,'Inputs'!$B$30+'Inputs'!$B$31+'Inputs'!$B$32)/1000+'Inputs'!$B$21+'Inputs'!$B$9+'Inputs'!$B$10)+'Inputs'!$B$7)/SQRT((((748-43)*MAX('Inputs'!$B$33,'Inputs'!$B$29+'Inputs'!$B$31+'Inputs'!$B$32,'Inputs'!$B$30+'Inputs'!$B$31+'Inputs'!$B$32)/1000+'Inputs'!$B$21+'Inputs'!$B$9+'Inputs'!$B$10)+'Inputs'!$B$7)^2+('Inputs'!$B$6/2)^2)-(((748-43)*MAX('Inputs'!$B$33,'Inputs'!$B$29+'Inputs'!$B$31+'Inputs'!$B$32,'Inputs'!$B$30+'Inputs'!$B$31+'Inputs'!$B$32)/1000+'Inputs'!$B$21+'Inputs'!$B$9+'Inputs'!$B$10))/SQRT((((748-43)*MAX('Inputs'!$B$33,'Inputs'!$B$29+'Inputs'!$B$31+'Inputs'!$B$32,'Inputs'!$B$30+'Inputs'!$B$31+'Inputs'!$B$32)/1000+'Inputs'!$B$21+'Inputs'!$B$9+'Inputs'!$B$10))^2+('Inputs'!$B$6/2)^2))))*'Results'!$B$8))),"")</x:f>
        <x:v>0.9834755542101455</x:v>
      </x:c>
      <x:c r="O748" t="n">
        <x:f>IF(AND(ISNUMBER('Results'!C7),ISNUMBER('Results'!B7),ISNUMBER('Results'!$B$8),ISNUMBER('Inputs'!$B$6),ISNUMBER('Inputs'!$B$7),ISNUMBER('Inputs'!$B$8),ISNUMBER('Inputs'!$B$9),ISNUMBER('Inputs'!$B$10),ISNUMBER('Inputs'!$B$21),ISNUMBER('Inputs'!$B$24),ISNUMBER('Inputs'!$B$28)),((('Results'!C7*(1+'Inputs'!$B$24)*(0.5*((((748-43)*MAX('Inputs'!$B$33,'Inputs'!$B$29+'Inputs'!$B$31+'Inputs'!$B$32,'Inputs'!$B$30+'Inputs'!$B$31+'Inputs'!$B$32)/1000+'Inputs'!$B$21)+'Inputs'!$B$9)/SQRT((((748-43)*MAX('Inputs'!$B$33,'Inputs'!$B$29+'Inputs'!$B$31+'Inputs'!$B$32,'Inputs'!$B$30+'Inputs'!$B$31+'Inputs'!$B$32)/1000+'Inputs'!$B$21)+'Inputs'!$B$9)^2+('Inputs'!$B$8/2)^2)-(((748-43)*MAX('Inputs'!$B$33,'Inputs'!$B$29+'Inputs'!$B$31+'Inputs'!$B$32,'Inputs'!$B$30+'Inputs'!$B$31+'Inputs'!$B$32)/1000+'Inputs'!$B$21))/SQRT((((748-43)*MAX('Inputs'!$B$33,'Inputs'!$B$29+'Inputs'!$B$31+'Inputs'!$B$32,'Inputs'!$B$30+'Inputs'!$B$31+'Inputs'!$B$32)/1000+'Inputs'!$B$21))^2+('Inputs'!$B$8/2)^2)))-'Results'!B7*(1-'Inputs'!$B$24)*(0.5*((((748-43)*MAX('Inputs'!$B$33,'Inputs'!$B$29+'Inputs'!$B$31+'Inputs'!$B$32,'Inputs'!$B$30+'Inputs'!$B$31+'Inputs'!$B$32)/1000+'Inputs'!$B$21+'Inputs'!$B$9+'Inputs'!$B$10)+'Inputs'!$B$7)/SQRT((((748-43)*MAX('Inputs'!$B$33,'Inputs'!$B$29+'Inputs'!$B$31+'Inputs'!$B$32,'Inputs'!$B$30+'Inputs'!$B$31+'Inputs'!$B$32)/1000+'Inputs'!$B$21+'Inputs'!$B$9+'Inputs'!$B$10)+'Inputs'!$B$7)^2+('Inputs'!$B$6/2)^2)-(((748-43)*MAX('Inputs'!$B$33,'Inputs'!$B$29+'Inputs'!$B$31+'Inputs'!$B$32,'Inputs'!$B$30+'Inputs'!$B$31+'Inputs'!$B$32)/1000+'Inputs'!$B$21+'Inputs'!$B$9+'Inputs'!$B$10))/SQRT((((748-43)*MAX('Inputs'!$B$33,'Inputs'!$B$29+'Inputs'!$B$31+'Inputs'!$B$32,'Inputs'!$B$30+'Inputs'!$B$31+'Inputs'!$B$32)/1000+'Inputs'!$B$21+'Inputs'!$B$9+'Inputs'!$B$10))^2+('Inputs'!$B$6/2)^2))))*'Results'!$B$8)+'Inputs'!$B$28*ABS((('Results'!C7*(1+'Inputs'!$B$24)*(0.5*((((748-43)*MAX('Inputs'!$B$33,'Inputs'!$B$29+'Inputs'!$B$31+'Inputs'!$B$32,'Inputs'!$B$30+'Inputs'!$B$31+'Inputs'!$B$32)/1000+'Inputs'!$B$21)+'Inputs'!$B$9)/SQRT((((748-43)*MAX('Inputs'!$B$33,'Inputs'!$B$29+'Inputs'!$B$31+'Inputs'!$B$32,'Inputs'!$B$30+'Inputs'!$B$31+'Inputs'!$B$32)/1000+'Inputs'!$B$21)+'Inputs'!$B$9)^2+('Inputs'!$B$8/2)^2)-(((748-43)*MAX('Inputs'!$B$33,'Inputs'!$B$29+'Inputs'!$B$31+'Inputs'!$B$32,'Inputs'!$B$30+'Inputs'!$B$31+'Inputs'!$B$32)/1000+'Inputs'!$B$21))/SQRT((((748-43)*MAX('Inputs'!$B$33,'Inputs'!$B$29+'Inputs'!$B$31+'Inputs'!$B$32,'Inputs'!$B$30+'Inputs'!$B$31+'Inputs'!$B$32)/1000+'Inputs'!$B$21))^2+('Inputs'!$B$8/2)^2)))-'Results'!B7*(1-'Inputs'!$B$24)*(0.5*((((748-43)*MAX('Inputs'!$B$33,'Inputs'!$B$29+'Inputs'!$B$31+'Inputs'!$B$32,'Inputs'!$B$30+'Inputs'!$B$31+'Inputs'!$B$32)/1000+'Inputs'!$B$21+'Inputs'!$B$9+'Inputs'!$B$10)+'Inputs'!$B$7)/SQRT((((748-43)*MAX('Inputs'!$B$33,'Inputs'!$B$29+'Inputs'!$B$31+'Inputs'!$B$32,'Inputs'!$B$30+'Inputs'!$B$31+'Inputs'!$B$32)/1000+'Inputs'!$B$21+'Inputs'!$B$9+'Inputs'!$B$10)+'Inputs'!$B$7)^2+('Inputs'!$B$6/2)^2)-(((748-43)*MAX('Inputs'!$B$33,'Inputs'!$B$29+'Inputs'!$B$31+'Inputs'!$B$32,'Inputs'!$B$30+'Inputs'!$B$31+'Inputs'!$B$32)/1000+'Inputs'!$B$21+'Inputs'!$B$9+'Inputs'!$B$10))/SQRT((((748-43)*MAX('Inputs'!$B$33,'Inputs'!$B$29+'Inputs'!$B$31+'Inputs'!$B$32,'Inputs'!$B$30+'Inputs'!$B$31+'Inputs'!$B$32)/1000+'Inputs'!$B$21+'Inputs'!$B$9+'Inputs'!$B$10))^2+('Inputs'!$B$6/2)^2))))*'Results'!$B$8))),"")</x:f>
        <x:v>1.3217829212012255</x:v>
      </x:c>
      <x:c r="P748" t="n">
        <x:f>IF(AND(MAX(J748,J747)&gt;0,J748&gt;J747+0.00000001),1,0)</x:f>
        <x:v>0</x:v>
      </x:c>
      <x:c r="Q748" t="n">
        <x:f>IF(AND(MAX(K748,K747)&gt;0,K748&gt;K747+0.00000001),1,0)</x:f>
        <x:v>0</x:v>
      </x:c>
      <x:c r="R748" t="n">
        <x:f>IF(AND(MAX(L748,L747)&gt;0,L748&gt;L747+0.00000001),1,0)</x:f>
        <x:v>0</x:v>
      </x:c>
      <x:c r="S748" t="n">
        <x:f>IF(AND(MAX(M748,M747)&gt;0,M748&gt;M747+0.00000001),1,0)</x:f>
        <x:v>0</x:v>
      </x:c>
      <x:c r="T748" t="n">
        <x:f>IF(AND(MAX(N748,N747)&gt;0,N748&gt;N747+0.00000001),1,0)</x:f>
        <x:v>0</x:v>
      </x:c>
      <x:c r="U748" t="n">
        <x:f>IF(AND(MAX(O748,O747)&gt;0,O748&gt;O747+0.00000001),1,0)</x:f>
        <x:v>0</x:v>
      </x:c>
    </x:row>
    <x:row r="749">
      <x:c r="J749" t="n">
        <x:f>IF(AND(ISNUMBER('Results'!B7),ISNUMBER('Results'!C7),ISNUMBER('Results'!$B$8),ISNUMBER('Inputs'!$B$6),ISNUMBER('Inputs'!$B$7),ISNUMBER('Inputs'!$B$8),ISNUMBER('Inputs'!$B$9),ISNUMBER('Inputs'!$B$10),ISNUMBER('Inputs'!$B$21),ISNUMBER('Inputs'!$B$24),ISNUMBER('Inputs'!$B$28)),(('Results'!B7*(0.5*((((749-43)*MAX('Inputs'!$B$33,'Inputs'!$B$29+'Inputs'!$B$31+'Inputs'!$B$32,'Inputs'!$B$30+'Inputs'!$B$31+'Inputs'!$B$32)/1000+'Inputs'!$B$21)+'Inputs'!$B$7)/SQRT((((749-43)*MAX('Inputs'!$B$33,'Inputs'!$B$29+'Inputs'!$B$31+'Inputs'!$B$32,'Inputs'!$B$30+'Inputs'!$B$31+'Inputs'!$B$32)/1000+'Inputs'!$B$21)+'Inputs'!$B$7)^2+('Inputs'!$B$6/2)^2)-(((749-43)*MAX('Inputs'!$B$33,'Inputs'!$B$29+'Inputs'!$B$31+'Inputs'!$B$32,'Inputs'!$B$30+'Inputs'!$B$31+'Inputs'!$B$32)/1000+'Inputs'!$B$21))/SQRT((((749-43)*MAX('Inputs'!$B$33,'Inputs'!$B$29+'Inputs'!$B$31+'Inputs'!$B$32,'Inputs'!$B$30+'Inputs'!$B$31+'Inputs'!$B$32)/1000+'Inputs'!$B$21))^2+('Inputs'!$B$6/2)^2)))-'Results'!C7*(0.5*((((749-43)*MAX('Inputs'!$B$33,'Inputs'!$B$29+'Inputs'!$B$31+'Inputs'!$B$32,'Inputs'!$B$30+'Inputs'!$B$31+'Inputs'!$B$32)/1000+'Inputs'!$B$21+'Inputs'!$B$7+'Inputs'!$B$10)+'Inputs'!$B$9)/SQRT((((749-43)*MAX('Inputs'!$B$33,'Inputs'!$B$29+'Inputs'!$B$31+'Inputs'!$B$32,'Inputs'!$B$30+'Inputs'!$B$31+'Inputs'!$B$32)/1000+'Inputs'!$B$21+'Inputs'!$B$7+'Inputs'!$B$10)+'Inputs'!$B$9)^2+('Inputs'!$B$8/2)^2)-(((749-43)*MAX('Inputs'!$B$33,'Inputs'!$B$29+'Inputs'!$B$31+'Inputs'!$B$32,'Inputs'!$B$30+'Inputs'!$B$31+'Inputs'!$B$32)/1000+'Inputs'!$B$21+'Inputs'!$B$7+'Inputs'!$B$10))/SQRT((((749-43)*MAX('Inputs'!$B$33,'Inputs'!$B$29+'Inputs'!$B$31+'Inputs'!$B$32,'Inputs'!$B$30+'Inputs'!$B$31+'Inputs'!$B$32)/1000+'Inputs'!$B$21+'Inputs'!$B$7+'Inputs'!$B$10))^2+('Inputs'!$B$8/2)^2))))*'Results'!$B$8),"")</x:f>
        <x:v>1.2538808513022006</x:v>
      </x:c>
      <x:c r="K749" t="n">
        <x:f>IF(AND(ISNUMBER('Results'!B7),ISNUMBER('Results'!C7),ISNUMBER('Results'!$B$8),ISNUMBER('Inputs'!$B$6),ISNUMBER('Inputs'!$B$7),ISNUMBER('Inputs'!$B$8),ISNUMBER('Inputs'!$B$9),ISNUMBER('Inputs'!$B$10),ISNUMBER('Inputs'!$B$21),ISNUMBER('Inputs'!$B$24),ISNUMBER('Inputs'!$B$28)),((('Results'!B7*(1-'Inputs'!$B$24)*(0.5*((((749-43)*MAX('Inputs'!$B$33,'Inputs'!$B$29+'Inputs'!$B$31+'Inputs'!$B$32,'Inputs'!$B$30+'Inputs'!$B$31+'Inputs'!$B$32)/1000+'Inputs'!$B$21)+'Inputs'!$B$7)/SQRT((((749-43)*MAX('Inputs'!$B$33,'Inputs'!$B$29+'Inputs'!$B$31+'Inputs'!$B$32,'Inputs'!$B$30+'Inputs'!$B$31+'Inputs'!$B$32)/1000+'Inputs'!$B$21)+'Inputs'!$B$7)^2+('Inputs'!$B$6/2)^2)-(((749-43)*MAX('Inputs'!$B$33,'Inputs'!$B$29+'Inputs'!$B$31+'Inputs'!$B$32,'Inputs'!$B$30+'Inputs'!$B$31+'Inputs'!$B$32)/1000+'Inputs'!$B$21))/SQRT((((749-43)*MAX('Inputs'!$B$33,'Inputs'!$B$29+'Inputs'!$B$31+'Inputs'!$B$32,'Inputs'!$B$30+'Inputs'!$B$31+'Inputs'!$B$32)/1000+'Inputs'!$B$21))^2+('Inputs'!$B$6/2)^2)))-'Results'!C7*(1+'Inputs'!$B$24)*(0.5*((((749-43)*MAX('Inputs'!$B$33,'Inputs'!$B$29+'Inputs'!$B$31+'Inputs'!$B$32,'Inputs'!$B$30+'Inputs'!$B$31+'Inputs'!$B$32)/1000+'Inputs'!$B$21+'Inputs'!$B$7+'Inputs'!$B$10)+'Inputs'!$B$9)/SQRT((((749-43)*MAX('Inputs'!$B$33,'Inputs'!$B$29+'Inputs'!$B$31+'Inputs'!$B$32,'Inputs'!$B$30+'Inputs'!$B$31+'Inputs'!$B$32)/1000+'Inputs'!$B$21+'Inputs'!$B$7+'Inputs'!$B$10)+'Inputs'!$B$9)^2+('Inputs'!$B$8/2)^2)-(((749-43)*MAX('Inputs'!$B$33,'Inputs'!$B$29+'Inputs'!$B$31+'Inputs'!$B$32,'Inputs'!$B$30+'Inputs'!$B$31+'Inputs'!$B$32)/1000+'Inputs'!$B$21+'Inputs'!$B$7+'Inputs'!$B$10))/SQRT((((749-43)*MAX('Inputs'!$B$33,'Inputs'!$B$29+'Inputs'!$B$31+'Inputs'!$B$32,'Inputs'!$B$30+'Inputs'!$B$31+'Inputs'!$B$32)/1000+'Inputs'!$B$21+'Inputs'!$B$7+'Inputs'!$B$10))^2+('Inputs'!$B$8/2)^2))))*'Results'!$B$8)-'Inputs'!$B$28*ABS((('Results'!B7*(1-'Inputs'!$B$24)*(0.5*((((749-43)*MAX('Inputs'!$B$33,'Inputs'!$B$29+'Inputs'!$B$31+'Inputs'!$B$32,'Inputs'!$B$30+'Inputs'!$B$31+'Inputs'!$B$32)/1000+'Inputs'!$B$21)+'Inputs'!$B$7)/SQRT((((749-43)*MAX('Inputs'!$B$33,'Inputs'!$B$29+'Inputs'!$B$31+'Inputs'!$B$32,'Inputs'!$B$30+'Inputs'!$B$31+'Inputs'!$B$32)/1000+'Inputs'!$B$21)+'Inputs'!$B$7)^2+('Inputs'!$B$6/2)^2)-(((749-43)*MAX('Inputs'!$B$33,'Inputs'!$B$29+'Inputs'!$B$31+'Inputs'!$B$32,'Inputs'!$B$30+'Inputs'!$B$31+'Inputs'!$B$32)/1000+'Inputs'!$B$21))/SQRT((((749-43)*MAX('Inputs'!$B$33,'Inputs'!$B$29+'Inputs'!$B$31+'Inputs'!$B$32,'Inputs'!$B$30+'Inputs'!$B$31+'Inputs'!$B$32)/1000+'Inputs'!$B$21))^2+('Inputs'!$B$6/2)^2)))-'Results'!C7*(1+'Inputs'!$B$24)*(0.5*((((749-43)*MAX('Inputs'!$B$33,'Inputs'!$B$29+'Inputs'!$B$31+'Inputs'!$B$32,'Inputs'!$B$30+'Inputs'!$B$31+'Inputs'!$B$32)/1000+'Inputs'!$B$21+'Inputs'!$B$7+'Inputs'!$B$10)+'Inputs'!$B$9)/SQRT((((749-43)*MAX('Inputs'!$B$33,'Inputs'!$B$29+'Inputs'!$B$31+'Inputs'!$B$32,'Inputs'!$B$30+'Inputs'!$B$31+'Inputs'!$B$32)/1000+'Inputs'!$B$21+'Inputs'!$B$7+'Inputs'!$B$10)+'Inputs'!$B$9)^2+('Inputs'!$B$8/2)^2)-(((749-43)*MAX('Inputs'!$B$33,'Inputs'!$B$29+'Inputs'!$B$31+'Inputs'!$B$32,'Inputs'!$B$30+'Inputs'!$B$31+'Inputs'!$B$32)/1000+'Inputs'!$B$21+'Inputs'!$B$7+'Inputs'!$B$10))/SQRT((((749-43)*MAX('Inputs'!$B$33,'Inputs'!$B$29+'Inputs'!$B$31+'Inputs'!$B$32,'Inputs'!$B$30+'Inputs'!$B$31+'Inputs'!$B$32)/1000+'Inputs'!$B$21+'Inputs'!$B$7+'Inputs'!$B$10))^2+('Inputs'!$B$8/2)^2))))*'Results'!$B$8))),"")</x:f>
        <x:v>1.0849260646926577</x:v>
      </x:c>
      <x:c r="L749" t="n">
        <x:f>IF(AND(ISNUMBER('Results'!B7),ISNUMBER('Results'!C7),ISNUMBER('Results'!$B$8),ISNUMBER('Inputs'!$B$6),ISNUMBER('Inputs'!$B$7),ISNUMBER('Inputs'!$B$8),ISNUMBER('Inputs'!$B$9),ISNUMBER('Inputs'!$B$10),ISNUMBER('Inputs'!$B$21),ISNUMBER('Inputs'!$B$24),ISNUMBER('Inputs'!$B$28)),((('Results'!B7*(1+'Inputs'!$B$24)*(0.5*((((749-43)*MAX('Inputs'!$B$33,'Inputs'!$B$29+'Inputs'!$B$31+'Inputs'!$B$32,'Inputs'!$B$30+'Inputs'!$B$31+'Inputs'!$B$32)/1000+'Inputs'!$B$21)+'Inputs'!$B$7)/SQRT((((749-43)*MAX('Inputs'!$B$33,'Inputs'!$B$29+'Inputs'!$B$31+'Inputs'!$B$32,'Inputs'!$B$30+'Inputs'!$B$31+'Inputs'!$B$32)/1000+'Inputs'!$B$21)+'Inputs'!$B$7)^2+('Inputs'!$B$6/2)^2)-(((749-43)*MAX('Inputs'!$B$33,'Inputs'!$B$29+'Inputs'!$B$31+'Inputs'!$B$32,'Inputs'!$B$30+'Inputs'!$B$31+'Inputs'!$B$32)/1000+'Inputs'!$B$21))/SQRT((((749-43)*MAX('Inputs'!$B$33,'Inputs'!$B$29+'Inputs'!$B$31+'Inputs'!$B$32,'Inputs'!$B$30+'Inputs'!$B$31+'Inputs'!$B$32)/1000+'Inputs'!$B$21))^2+('Inputs'!$B$6/2)^2)))-'Results'!C7*(1-'Inputs'!$B$24)*(0.5*((((749-43)*MAX('Inputs'!$B$33,'Inputs'!$B$29+'Inputs'!$B$31+'Inputs'!$B$32,'Inputs'!$B$30+'Inputs'!$B$31+'Inputs'!$B$32)/1000+'Inputs'!$B$21+'Inputs'!$B$7+'Inputs'!$B$10)+'Inputs'!$B$9)/SQRT((((749-43)*MAX('Inputs'!$B$33,'Inputs'!$B$29+'Inputs'!$B$31+'Inputs'!$B$32,'Inputs'!$B$30+'Inputs'!$B$31+'Inputs'!$B$32)/1000+'Inputs'!$B$21+'Inputs'!$B$7+'Inputs'!$B$10)+'Inputs'!$B$9)^2+('Inputs'!$B$8/2)^2)-(((749-43)*MAX('Inputs'!$B$33,'Inputs'!$B$29+'Inputs'!$B$31+'Inputs'!$B$32,'Inputs'!$B$30+'Inputs'!$B$31+'Inputs'!$B$32)/1000+'Inputs'!$B$21+'Inputs'!$B$7+'Inputs'!$B$10))/SQRT((((749-43)*MAX('Inputs'!$B$33,'Inputs'!$B$29+'Inputs'!$B$31+'Inputs'!$B$32,'Inputs'!$B$30+'Inputs'!$B$31+'Inputs'!$B$32)/1000+'Inputs'!$B$21+'Inputs'!$B$7+'Inputs'!$B$10))^2+('Inputs'!$B$8/2)^2))))*'Results'!$B$8)+'Inputs'!$B$28*ABS((('Results'!B7*(1+'Inputs'!$B$24)*(0.5*((((749-43)*MAX('Inputs'!$B$33,'Inputs'!$B$29+'Inputs'!$B$31+'Inputs'!$B$32,'Inputs'!$B$30+'Inputs'!$B$31+'Inputs'!$B$32)/1000+'Inputs'!$B$21)+'Inputs'!$B$7)/SQRT((((749-43)*MAX('Inputs'!$B$33,'Inputs'!$B$29+'Inputs'!$B$31+'Inputs'!$B$32,'Inputs'!$B$30+'Inputs'!$B$31+'Inputs'!$B$32)/1000+'Inputs'!$B$21)+'Inputs'!$B$7)^2+('Inputs'!$B$6/2)^2)-(((749-43)*MAX('Inputs'!$B$33,'Inputs'!$B$29+'Inputs'!$B$31+'Inputs'!$B$32,'Inputs'!$B$30+'Inputs'!$B$31+'Inputs'!$B$32)/1000+'Inputs'!$B$21))/SQRT((((749-43)*MAX('Inputs'!$B$33,'Inputs'!$B$29+'Inputs'!$B$31+'Inputs'!$B$32,'Inputs'!$B$30+'Inputs'!$B$31+'Inputs'!$B$32)/1000+'Inputs'!$B$21))^2+('Inputs'!$B$6/2)^2)))-'Results'!C7*(1-'Inputs'!$B$24)*(0.5*((((749-43)*MAX('Inputs'!$B$33,'Inputs'!$B$29+'Inputs'!$B$31+'Inputs'!$B$32,'Inputs'!$B$30+'Inputs'!$B$31+'Inputs'!$B$32)/1000+'Inputs'!$B$21+'Inputs'!$B$7+'Inputs'!$B$10)+'Inputs'!$B$9)/SQRT((((749-43)*MAX('Inputs'!$B$33,'Inputs'!$B$29+'Inputs'!$B$31+'Inputs'!$B$32,'Inputs'!$B$30+'Inputs'!$B$31+'Inputs'!$B$32)/1000+'Inputs'!$B$21+'Inputs'!$B$7+'Inputs'!$B$10)+'Inputs'!$B$9)^2+('Inputs'!$B$8/2)^2)-(((749-43)*MAX('Inputs'!$B$33,'Inputs'!$B$29+'Inputs'!$B$31+'Inputs'!$B$32,'Inputs'!$B$30+'Inputs'!$B$31+'Inputs'!$B$32)/1000+'Inputs'!$B$21+'Inputs'!$B$7+'Inputs'!$B$10))/SQRT((((749-43)*MAX('Inputs'!$B$33,'Inputs'!$B$29+'Inputs'!$B$31+'Inputs'!$B$32,'Inputs'!$B$30+'Inputs'!$B$31+'Inputs'!$B$32)/1000+'Inputs'!$B$21+'Inputs'!$B$7+'Inputs'!$B$10))^2+('Inputs'!$B$8/2)^2))))*'Results'!$B$8))),"")</x:f>
        <x:v>1.4340209793901055</x:v>
      </x:c>
      <x:c r="M749" t="n">
        <x:f>IF(AND(ISNUMBER('Results'!C7),ISNUMBER('Results'!B7),ISNUMBER('Results'!$B$8),ISNUMBER('Inputs'!$B$6),ISNUMBER('Inputs'!$B$7),ISNUMBER('Inputs'!$B$8),ISNUMBER('Inputs'!$B$9),ISNUMBER('Inputs'!$B$10),ISNUMBER('Inputs'!$B$21),ISNUMBER('Inputs'!$B$24),ISNUMBER('Inputs'!$B$28)),(('Results'!C7*(0.5*((((749-43)*MAX('Inputs'!$B$33,'Inputs'!$B$29+'Inputs'!$B$31+'Inputs'!$B$32,'Inputs'!$B$30+'Inputs'!$B$31+'Inputs'!$B$32)/1000+'Inputs'!$B$21)+'Inputs'!$B$9)/SQRT((((749-43)*MAX('Inputs'!$B$33,'Inputs'!$B$29+'Inputs'!$B$31+'Inputs'!$B$32,'Inputs'!$B$30+'Inputs'!$B$31+'Inputs'!$B$32)/1000+'Inputs'!$B$21)+'Inputs'!$B$9)^2+('Inputs'!$B$8/2)^2)-(((749-43)*MAX('Inputs'!$B$33,'Inputs'!$B$29+'Inputs'!$B$31+'Inputs'!$B$32,'Inputs'!$B$30+'Inputs'!$B$31+'Inputs'!$B$32)/1000+'Inputs'!$B$21))/SQRT((((749-43)*MAX('Inputs'!$B$33,'Inputs'!$B$29+'Inputs'!$B$31+'Inputs'!$B$32,'Inputs'!$B$30+'Inputs'!$B$31+'Inputs'!$B$32)/1000+'Inputs'!$B$21))^2+('Inputs'!$B$8/2)^2)))-'Results'!B7*(0.5*((((749-43)*MAX('Inputs'!$B$33,'Inputs'!$B$29+'Inputs'!$B$31+'Inputs'!$B$32,'Inputs'!$B$30+'Inputs'!$B$31+'Inputs'!$B$32)/1000+'Inputs'!$B$21+'Inputs'!$B$9+'Inputs'!$B$10)+'Inputs'!$B$7)/SQRT((((749-43)*MAX('Inputs'!$B$33,'Inputs'!$B$29+'Inputs'!$B$31+'Inputs'!$B$32,'Inputs'!$B$30+'Inputs'!$B$31+'Inputs'!$B$32)/1000+'Inputs'!$B$21+'Inputs'!$B$9+'Inputs'!$B$10)+'Inputs'!$B$7)^2+('Inputs'!$B$6/2)^2)-(((749-43)*MAX('Inputs'!$B$33,'Inputs'!$B$29+'Inputs'!$B$31+'Inputs'!$B$32,'Inputs'!$B$30+'Inputs'!$B$31+'Inputs'!$B$32)/1000+'Inputs'!$B$21+'Inputs'!$B$9+'Inputs'!$B$10))/SQRT((((749-43)*MAX('Inputs'!$B$33,'Inputs'!$B$29+'Inputs'!$B$31+'Inputs'!$B$32,'Inputs'!$B$30+'Inputs'!$B$31+'Inputs'!$B$32)/1000+'Inputs'!$B$21+'Inputs'!$B$9+'Inputs'!$B$10))^2+('Inputs'!$B$6/2)^2))))*'Results'!$B$8),"")</x:f>
        <x:v>1.1411419691945304</x:v>
      </x:c>
      <x:c r="N749" t="n">
        <x:f>IF(AND(ISNUMBER('Results'!C7),ISNUMBER('Results'!B7),ISNUMBER('Results'!$B$8),ISNUMBER('Inputs'!$B$6),ISNUMBER('Inputs'!$B$7),ISNUMBER('Inputs'!$B$8),ISNUMBER('Inputs'!$B$9),ISNUMBER('Inputs'!$B$10),ISNUMBER('Inputs'!$B$21),ISNUMBER('Inputs'!$B$24),ISNUMBER('Inputs'!$B$28)),((('Results'!C7*(1-'Inputs'!$B$24)*(0.5*((((749-43)*MAX('Inputs'!$B$33,'Inputs'!$B$29+'Inputs'!$B$31+'Inputs'!$B$32,'Inputs'!$B$30+'Inputs'!$B$31+'Inputs'!$B$32)/1000+'Inputs'!$B$21)+'Inputs'!$B$9)/SQRT((((749-43)*MAX('Inputs'!$B$33,'Inputs'!$B$29+'Inputs'!$B$31+'Inputs'!$B$32,'Inputs'!$B$30+'Inputs'!$B$31+'Inputs'!$B$32)/1000+'Inputs'!$B$21)+'Inputs'!$B$9)^2+('Inputs'!$B$8/2)^2)-(((749-43)*MAX('Inputs'!$B$33,'Inputs'!$B$29+'Inputs'!$B$31+'Inputs'!$B$32,'Inputs'!$B$30+'Inputs'!$B$31+'Inputs'!$B$32)/1000+'Inputs'!$B$21))/SQRT((((749-43)*MAX('Inputs'!$B$33,'Inputs'!$B$29+'Inputs'!$B$31+'Inputs'!$B$32,'Inputs'!$B$30+'Inputs'!$B$31+'Inputs'!$B$32)/1000+'Inputs'!$B$21))^2+('Inputs'!$B$8/2)^2)))-'Results'!B7*(1+'Inputs'!$B$24)*(0.5*((((749-43)*MAX('Inputs'!$B$33,'Inputs'!$B$29+'Inputs'!$B$31+'Inputs'!$B$32,'Inputs'!$B$30+'Inputs'!$B$31+'Inputs'!$B$32)/1000+'Inputs'!$B$21+'Inputs'!$B$9+'Inputs'!$B$10)+'Inputs'!$B$7)/SQRT((((749-43)*MAX('Inputs'!$B$33,'Inputs'!$B$29+'Inputs'!$B$31+'Inputs'!$B$32,'Inputs'!$B$30+'Inputs'!$B$31+'Inputs'!$B$32)/1000+'Inputs'!$B$21+'Inputs'!$B$9+'Inputs'!$B$10)+'Inputs'!$B$7)^2+('Inputs'!$B$6/2)^2)-(((749-43)*MAX('Inputs'!$B$33,'Inputs'!$B$29+'Inputs'!$B$31+'Inputs'!$B$32,'Inputs'!$B$30+'Inputs'!$B$31+'Inputs'!$B$32)/1000+'Inputs'!$B$21+'Inputs'!$B$9+'Inputs'!$B$10))/SQRT((((749-43)*MAX('Inputs'!$B$33,'Inputs'!$B$29+'Inputs'!$B$31+'Inputs'!$B$32,'Inputs'!$B$30+'Inputs'!$B$31+'Inputs'!$B$32)/1000+'Inputs'!$B$21+'Inputs'!$B$9+'Inputs'!$B$10))^2+('Inputs'!$B$6/2)^2))))*'Results'!$B$8)-'Inputs'!$B$28*ABS((('Results'!C7*(1-'Inputs'!$B$24)*(0.5*((((749-43)*MAX('Inputs'!$B$33,'Inputs'!$B$29+'Inputs'!$B$31+'Inputs'!$B$32,'Inputs'!$B$30+'Inputs'!$B$31+'Inputs'!$B$32)/1000+'Inputs'!$B$21)+'Inputs'!$B$9)/SQRT((((749-43)*MAX('Inputs'!$B$33,'Inputs'!$B$29+'Inputs'!$B$31+'Inputs'!$B$32,'Inputs'!$B$30+'Inputs'!$B$31+'Inputs'!$B$32)/1000+'Inputs'!$B$21)+'Inputs'!$B$9)^2+('Inputs'!$B$8/2)^2)-(((749-43)*MAX('Inputs'!$B$33,'Inputs'!$B$29+'Inputs'!$B$31+'Inputs'!$B$32,'Inputs'!$B$30+'Inputs'!$B$31+'Inputs'!$B$32)/1000+'Inputs'!$B$21))/SQRT((((749-43)*MAX('Inputs'!$B$33,'Inputs'!$B$29+'Inputs'!$B$31+'Inputs'!$B$32,'Inputs'!$B$30+'Inputs'!$B$31+'Inputs'!$B$32)/1000+'Inputs'!$B$21))^2+('Inputs'!$B$8/2)^2)))-'Results'!B7*(1+'Inputs'!$B$24)*(0.5*((((749-43)*MAX('Inputs'!$B$33,'Inputs'!$B$29+'Inputs'!$B$31+'Inputs'!$B$32,'Inputs'!$B$30+'Inputs'!$B$31+'Inputs'!$B$32)/1000+'Inputs'!$B$21+'Inputs'!$B$9+'Inputs'!$B$10)+'Inputs'!$B$7)/SQRT((((749-43)*MAX('Inputs'!$B$33,'Inputs'!$B$29+'Inputs'!$B$31+'Inputs'!$B$32,'Inputs'!$B$30+'Inputs'!$B$31+'Inputs'!$B$32)/1000+'Inputs'!$B$21+'Inputs'!$B$9+'Inputs'!$B$10)+'Inputs'!$B$7)^2+('Inputs'!$B$6/2)^2)-(((749-43)*MAX('Inputs'!$B$33,'Inputs'!$B$29+'Inputs'!$B$31+'Inputs'!$B$32,'Inputs'!$B$30+'Inputs'!$B$31+'Inputs'!$B$32)/1000+'Inputs'!$B$21+'Inputs'!$B$9+'Inputs'!$B$10))/SQRT((((749-43)*MAX('Inputs'!$B$33,'Inputs'!$B$29+'Inputs'!$B$31+'Inputs'!$B$32,'Inputs'!$B$30+'Inputs'!$B$31+'Inputs'!$B$32)/1000+'Inputs'!$B$21+'Inputs'!$B$9+'Inputs'!$B$10))^2+('Inputs'!$B$6/2)^2))))*'Results'!$B$8))),"")</x:f>
        <x:v>0.9782837775347084</x:v>
      </x:c>
      <x:c r="O749" t="n">
        <x:f>IF(AND(ISNUMBER('Results'!C7),ISNUMBER('Results'!B7),ISNUMBER('Results'!$B$8),ISNUMBER('Inputs'!$B$6),ISNUMBER('Inputs'!$B$7),ISNUMBER('Inputs'!$B$8),ISNUMBER('Inputs'!$B$9),ISNUMBER('Inputs'!$B$10),ISNUMBER('Inputs'!$B$21),ISNUMBER('Inputs'!$B$24),ISNUMBER('Inputs'!$B$28)),((('Results'!C7*(1+'Inputs'!$B$24)*(0.5*((((749-43)*MAX('Inputs'!$B$33,'Inputs'!$B$29+'Inputs'!$B$31+'Inputs'!$B$32,'Inputs'!$B$30+'Inputs'!$B$31+'Inputs'!$B$32)/1000+'Inputs'!$B$21)+'Inputs'!$B$9)/SQRT((((749-43)*MAX('Inputs'!$B$33,'Inputs'!$B$29+'Inputs'!$B$31+'Inputs'!$B$32,'Inputs'!$B$30+'Inputs'!$B$31+'Inputs'!$B$32)/1000+'Inputs'!$B$21)+'Inputs'!$B$9)^2+('Inputs'!$B$8/2)^2)-(((749-43)*MAX('Inputs'!$B$33,'Inputs'!$B$29+'Inputs'!$B$31+'Inputs'!$B$32,'Inputs'!$B$30+'Inputs'!$B$31+'Inputs'!$B$32)/1000+'Inputs'!$B$21))/SQRT((((749-43)*MAX('Inputs'!$B$33,'Inputs'!$B$29+'Inputs'!$B$31+'Inputs'!$B$32,'Inputs'!$B$30+'Inputs'!$B$31+'Inputs'!$B$32)/1000+'Inputs'!$B$21))^2+('Inputs'!$B$8/2)^2)))-'Results'!B7*(1-'Inputs'!$B$24)*(0.5*((((749-43)*MAX('Inputs'!$B$33,'Inputs'!$B$29+'Inputs'!$B$31+'Inputs'!$B$32,'Inputs'!$B$30+'Inputs'!$B$31+'Inputs'!$B$32)/1000+'Inputs'!$B$21+'Inputs'!$B$9+'Inputs'!$B$10)+'Inputs'!$B$7)/SQRT((((749-43)*MAX('Inputs'!$B$33,'Inputs'!$B$29+'Inputs'!$B$31+'Inputs'!$B$32,'Inputs'!$B$30+'Inputs'!$B$31+'Inputs'!$B$32)/1000+'Inputs'!$B$21+'Inputs'!$B$9+'Inputs'!$B$10)+'Inputs'!$B$7)^2+('Inputs'!$B$6/2)^2)-(((749-43)*MAX('Inputs'!$B$33,'Inputs'!$B$29+'Inputs'!$B$31+'Inputs'!$B$32,'Inputs'!$B$30+'Inputs'!$B$31+'Inputs'!$B$32)/1000+'Inputs'!$B$21+'Inputs'!$B$9+'Inputs'!$B$10))/SQRT((((749-43)*MAX('Inputs'!$B$33,'Inputs'!$B$29+'Inputs'!$B$31+'Inputs'!$B$32,'Inputs'!$B$30+'Inputs'!$B$31+'Inputs'!$B$32)/1000+'Inputs'!$B$21+'Inputs'!$B$9+'Inputs'!$B$10))^2+('Inputs'!$B$6/2)^2))))*'Results'!$B$8)+'Inputs'!$B$28*ABS((('Results'!C7*(1+'Inputs'!$B$24)*(0.5*((((749-43)*MAX('Inputs'!$B$33,'Inputs'!$B$29+'Inputs'!$B$31+'Inputs'!$B$32,'Inputs'!$B$30+'Inputs'!$B$31+'Inputs'!$B$32)/1000+'Inputs'!$B$21)+'Inputs'!$B$9)/SQRT((((749-43)*MAX('Inputs'!$B$33,'Inputs'!$B$29+'Inputs'!$B$31+'Inputs'!$B$32,'Inputs'!$B$30+'Inputs'!$B$31+'Inputs'!$B$32)/1000+'Inputs'!$B$21)+'Inputs'!$B$9)^2+('Inputs'!$B$8/2)^2)-(((749-43)*MAX('Inputs'!$B$33,'Inputs'!$B$29+'Inputs'!$B$31+'Inputs'!$B$32,'Inputs'!$B$30+'Inputs'!$B$31+'Inputs'!$B$32)/1000+'Inputs'!$B$21))/SQRT((((749-43)*MAX('Inputs'!$B$33,'Inputs'!$B$29+'Inputs'!$B$31+'Inputs'!$B$32,'Inputs'!$B$30+'Inputs'!$B$31+'Inputs'!$B$32)/1000+'Inputs'!$B$21))^2+('Inputs'!$B$8/2)^2)))-'Results'!B7*(1-'Inputs'!$B$24)*(0.5*((((749-43)*MAX('Inputs'!$B$33,'Inputs'!$B$29+'Inputs'!$B$31+'Inputs'!$B$32,'Inputs'!$B$30+'Inputs'!$B$31+'Inputs'!$B$32)/1000+'Inputs'!$B$21+'Inputs'!$B$9+'Inputs'!$B$10)+'Inputs'!$B$7)/SQRT((((749-43)*MAX('Inputs'!$B$33,'Inputs'!$B$29+'Inputs'!$B$31+'Inputs'!$B$32,'Inputs'!$B$30+'Inputs'!$B$31+'Inputs'!$B$32)/1000+'Inputs'!$B$21+'Inputs'!$B$9+'Inputs'!$B$10)+'Inputs'!$B$7)^2+('Inputs'!$B$6/2)^2)-(((749-43)*MAX('Inputs'!$B$33,'Inputs'!$B$29+'Inputs'!$B$31+'Inputs'!$B$32,'Inputs'!$B$30+'Inputs'!$B$31+'Inputs'!$B$32)/1000+'Inputs'!$B$21+'Inputs'!$B$9+'Inputs'!$B$10))/SQRT((((749-43)*MAX('Inputs'!$B$33,'Inputs'!$B$29+'Inputs'!$B$31+'Inputs'!$B$32,'Inputs'!$B$30+'Inputs'!$B$31+'Inputs'!$B$32)/1000+'Inputs'!$B$21+'Inputs'!$B$9+'Inputs'!$B$10))^2+('Inputs'!$B$6/2)^2))))*'Results'!$B$8))),"")</x:f>
        <x:v>1.3151371180333098</x:v>
      </x:c>
      <x:c r="P749" t="n">
        <x:f>IF(AND(MAX(J749,J748)&gt;0,J749&gt;J748+0.00000001),1,0)</x:f>
        <x:v>0</x:v>
      </x:c>
      <x:c r="Q749" t="n">
        <x:f>IF(AND(MAX(K749,K748)&gt;0,K749&gt;K748+0.00000001),1,0)</x:f>
        <x:v>0</x:v>
      </x:c>
      <x:c r="R749" t="n">
        <x:f>IF(AND(MAX(L749,L748)&gt;0,L749&gt;L748+0.00000001),1,0)</x:f>
        <x:v>0</x:v>
      </x:c>
      <x:c r="S749" t="n">
        <x:f>IF(AND(MAX(M749,M748)&gt;0,M749&gt;M748+0.00000001),1,0)</x:f>
        <x:v>0</x:v>
      </x:c>
      <x:c r="T749" t="n">
        <x:f>IF(AND(MAX(N749,N748)&gt;0,N749&gt;N748+0.00000001),1,0)</x:f>
        <x:v>0</x:v>
      </x:c>
      <x:c r="U749" t="n">
        <x:f>IF(AND(MAX(O749,O748)&gt;0,O749&gt;O748+0.00000001),1,0)</x:f>
        <x:v>0</x:v>
      </x:c>
    </x:row>
    <x:row r="750">
      <x:c r="J750" t="n">
        <x:f>IF(AND(ISNUMBER('Results'!B7),ISNUMBER('Results'!C7),ISNUMBER('Results'!$B$8),ISNUMBER('Inputs'!$B$6),ISNUMBER('Inputs'!$B$7),ISNUMBER('Inputs'!$B$8),ISNUMBER('Inputs'!$B$9),ISNUMBER('Inputs'!$B$10),ISNUMBER('Inputs'!$B$21),ISNUMBER('Inputs'!$B$24),ISNUMBER('Inputs'!$B$28)),(('Results'!B7*(0.5*((((750-43)*MAX('Inputs'!$B$33,'Inputs'!$B$29+'Inputs'!$B$31+'Inputs'!$B$32,'Inputs'!$B$30+'Inputs'!$B$31+'Inputs'!$B$32)/1000+'Inputs'!$B$21)+'Inputs'!$B$7)/SQRT((((750-43)*MAX('Inputs'!$B$33,'Inputs'!$B$29+'Inputs'!$B$31+'Inputs'!$B$32,'Inputs'!$B$30+'Inputs'!$B$31+'Inputs'!$B$32)/1000+'Inputs'!$B$21)+'Inputs'!$B$7)^2+('Inputs'!$B$6/2)^2)-(((750-43)*MAX('Inputs'!$B$33,'Inputs'!$B$29+'Inputs'!$B$31+'Inputs'!$B$32,'Inputs'!$B$30+'Inputs'!$B$31+'Inputs'!$B$32)/1000+'Inputs'!$B$21))/SQRT((((750-43)*MAX('Inputs'!$B$33,'Inputs'!$B$29+'Inputs'!$B$31+'Inputs'!$B$32,'Inputs'!$B$30+'Inputs'!$B$31+'Inputs'!$B$32)/1000+'Inputs'!$B$21))^2+('Inputs'!$B$6/2)^2)))-'Results'!C7*(0.5*((((750-43)*MAX('Inputs'!$B$33,'Inputs'!$B$29+'Inputs'!$B$31+'Inputs'!$B$32,'Inputs'!$B$30+'Inputs'!$B$31+'Inputs'!$B$32)/1000+'Inputs'!$B$21+'Inputs'!$B$7+'Inputs'!$B$10)+'Inputs'!$B$9)/SQRT((((750-43)*MAX('Inputs'!$B$33,'Inputs'!$B$29+'Inputs'!$B$31+'Inputs'!$B$32,'Inputs'!$B$30+'Inputs'!$B$31+'Inputs'!$B$32)/1000+'Inputs'!$B$21+'Inputs'!$B$7+'Inputs'!$B$10)+'Inputs'!$B$9)^2+('Inputs'!$B$8/2)^2)-(((750-43)*MAX('Inputs'!$B$33,'Inputs'!$B$29+'Inputs'!$B$31+'Inputs'!$B$32,'Inputs'!$B$30+'Inputs'!$B$31+'Inputs'!$B$32)/1000+'Inputs'!$B$21+'Inputs'!$B$7+'Inputs'!$B$10))/SQRT((((750-43)*MAX('Inputs'!$B$33,'Inputs'!$B$29+'Inputs'!$B$31+'Inputs'!$B$32,'Inputs'!$B$30+'Inputs'!$B$31+'Inputs'!$B$32)/1000+'Inputs'!$B$21+'Inputs'!$B$7+'Inputs'!$B$10))^2+('Inputs'!$B$8/2)^2))))*'Results'!$B$8),"")</x:f>
        <x:v>1.2475857996248831</x:v>
      </x:c>
      <x:c r="K750" t="n">
        <x:f>IF(AND(ISNUMBER('Results'!B7),ISNUMBER('Results'!C7),ISNUMBER('Results'!$B$8),ISNUMBER('Inputs'!$B$6),ISNUMBER('Inputs'!$B$7),ISNUMBER('Inputs'!$B$8),ISNUMBER('Inputs'!$B$9),ISNUMBER('Inputs'!$B$10),ISNUMBER('Inputs'!$B$21),ISNUMBER('Inputs'!$B$24),ISNUMBER('Inputs'!$B$28)),((('Results'!B7*(1-'Inputs'!$B$24)*(0.5*((((750-43)*MAX('Inputs'!$B$33,'Inputs'!$B$29+'Inputs'!$B$31+'Inputs'!$B$32,'Inputs'!$B$30+'Inputs'!$B$31+'Inputs'!$B$32)/1000+'Inputs'!$B$21)+'Inputs'!$B$7)/SQRT((((750-43)*MAX('Inputs'!$B$33,'Inputs'!$B$29+'Inputs'!$B$31+'Inputs'!$B$32,'Inputs'!$B$30+'Inputs'!$B$31+'Inputs'!$B$32)/1000+'Inputs'!$B$21)+'Inputs'!$B$7)^2+('Inputs'!$B$6/2)^2)-(((750-43)*MAX('Inputs'!$B$33,'Inputs'!$B$29+'Inputs'!$B$31+'Inputs'!$B$32,'Inputs'!$B$30+'Inputs'!$B$31+'Inputs'!$B$32)/1000+'Inputs'!$B$21))/SQRT((((750-43)*MAX('Inputs'!$B$33,'Inputs'!$B$29+'Inputs'!$B$31+'Inputs'!$B$32,'Inputs'!$B$30+'Inputs'!$B$31+'Inputs'!$B$32)/1000+'Inputs'!$B$21))^2+('Inputs'!$B$6/2)^2)))-'Results'!C7*(1+'Inputs'!$B$24)*(0.5*((((750-43)*MAX('Inputs'!$B$33,'Inputs'!$B$29+'Inputs'!$B$31+'Inputs'!$B$32,'Inputs'!$B$30+'Inputs'!$B$31+'Inputs'!$B$32)/1000+'Inputs'!$B$21+'Inputs'!$B$7+'Inputs'!$B$10)+'Inputs'!$B$9)/SQRT((((750-43)*MAX('Inputs'!$B$33,'Inputs'!$B$29+'Inputs'!$B$31+'Inputs'!$B$32,'Inputs'!$B$30+'Inputs'!$B$31+'Inputs'!$B$32)/1000+'Inputs'!$B$21+'Inputs'!$B$7+'Inputs'!$B$10)+'Inputs'!$B$9)^2+('Inputs'!$B$8/2)^2)-(((750-43)*MAX('Inputs'!$B$33,'Inputs'!$B$29+'Inputs'!$B$31+'Inputs'!$B$32,'Inputs'!$B$30+'Inputs'!$B$31+'Inputs'!$B$32)/1000+'Inputs'!$B$21+'Inputs'!$B$7+'Inputs'!$B$10))/SQRT((((750-43)*MAX('Inputs'!$B$33,'Inputs'!$B$29+'Inputs'!$B$31+'Inputs'!$B$32,'Inputs'!$B$30+'Inputs'!$B$31+'Inputs'!$B$32)/1000+'Inputs'!$B$21+'Inputs'!$B$7+'Inputs'!$B$10))^2+('Inputs'!$B$8/2)^2))))*'Results'!$B$8)-'Inputs'!$B$28*ABS((('Results'!B7*(1-'Inputs'!$B$24)*(0.5*((((750-43)*MAX('Inputs'!$B$33,'Inputs'!$B$29+'Inputs'!$B$31+'Inputs'!$B$32,'Inputs'!$B$30+'Inputs'!$B$31+'Inputs'!$B$32)/1000+'Inputs'!$B$21)+'Inputs'!$B$7)/SQRT((((750-43)*MAX('Inputs'!$B$33,'Inputs'!$B$29+'Inputs'!$B$31+'Inputs'!$B$32,'Inputs'!$B$30+'Inputs'!$B$31+'Inputs'!$B$32)/1000+'Inputs'!$B$21)+'Inputs'!$B$7)^2+('Inputs'!$B$6/2)^2)-(((750-43)*MAX('Inputs'!$B$33,'Inputs'!$B$29+'Inputs'!$B$31+'Inputs'!$B$32,'Inputs'!$B$30+'Inputs'!$B$31+'Inputs'!$B$32)/1000+'Inputs'!$B$21))/SQRT((((750-43)*MAX('Inputs'!$B$33,'Inputs'!$B$29+'Inputs'!$B$31+'Inputs'!$B$32,'Inputs'!$B$30+'Inputs'!$B$31+'Inputs'!$B$32)/1000+'Inputs'!$B$21))^2+('Inputs'!$B$6/2)^2)))-'Results'!C7*(1+'Inputs'!$B$24)*(0.5*((((750-43)*MAX('Inputs'!$B$33,'Inputs'!$B$29+'Inputs'!$B$31+'Inputs'!$B$32,'Inputs'!$B$30+'Inputs'!$B$31+'Inputs'!$B$32)/1000+'Inputs'!$B$21+'Inputs'!$B$7+'Inputs'!$B$10)+'Inputs'!$B$9)/SQRT((((750-43)*MAX('Inputs'!$B$33,'Inputs'!$B$29+'Inputs'!$B$31+'Inputs'!$B$32,'Inputs'!$B$30+'Inputs'!$B$31+'Inputs'!$B$32)/1000+'Inputs'!$B$21+'Inputs'!$B$7+'Inputs'!$B$10)+'Inputs'!$B$9)^2+('Inputs'!$B$8/2)^2)-(((750-43)*MAX('Inputs'!$B$33,'Inputs'!$B$29+'Inputs'!$B$31+'Inputs'!$B$32,'Inputs'!$B$30+'Inputs'!$B$31+'Inputs'!$B$32)/1000+'Inputs'!$B$21+'Inputs'!$B$7+'Inputs'!$B$10))/SQRT((((750-43)*MAX('Inputs'!$B$33,'Inputs'!$B$29+'Inputs'!$B$31+'Inputs'!$B$32,'Inputs'!$B$30+'Inputs'!$B$31+'Inputs'!$B$32)/1000+'Inputs'!$B$21+'Inputs'!$B$7+'Inputs'!$B$10))^2+('Inputs'!$B$8/2)^2))))*'Results'!$B$8))),"")</x:f>
        <x:v>1.0793565268179335</x:v>
      </x:c>
      <x:c r="L750" t="n">
        <x:f>IF(AND(ISNUMBER('Results'!B7),ISNUMBER('Results'!C7),ISNUMBER('Results'!$B$8),ISNUMBER('Inputs'!$B$6),ISNUMBER('Inputs'!$B$7),ISNUMBER('Inputs'!$B$8),ISNUMBER('Inputs'!$B$9),ISNUMBER('Inputs'!$B$10),ISNUMBER('Inputs'!$B$21),ISNUMBER('Inputs'!$B$24),ISNUMBER('Inputs'!$B$28)),((('Results'!B7*(1+'Inputs'!$B$24)*(0.5*((((750-43)*MAX('Inputs'!$B$33,'Inputs'!$B$29+'Inputs'!$B$31+'Inputs'!$B$32,'Inputs'!$B$30+'Inputs'!$B$31+'Inputs'!$B$32)/1000+'Inputs'!$B$21)+'Inputs'!$B$7)/SQRT((((750-43)*MAX('Inputs'!$B$33,'Inputs'!$B$29+'Inputs'!$B$31+'Inputs'!$B$32,'Inputs'!$B$30+'Inputs'!$B$31+'Inputs'!$B$32)/1000+'Inputs'!$B$21)+'Inputs'!$B$7)^2+('Inputs'!$B$6/2)^2)-(((750-43)*MAX('Inputs'!$B$33,'Inputs'!$B$29+'Inputs'!$B$31+'Inputs'!$B$32,'Inputs'!$B$30+'Inputs'!$B$31+'Inputs'!$B$32)/1000+'Inputs'!$B$21))/SQRT((((750-43)*MAX('Inputs'!$B$33,'Inputs'!$B$29+'Inputs'!$B$31+'Inputs'!$B$32,'Inputs'!$B$30+'Inputs'!$B$31+'Inputs'!$B$32)/1000+'Inputs'!$B$21))^2+('Inputs'!$B$6/2)^2)))-'Results'!C7*(1-'Inputs'!$B$24)*(0.5*((((750-43)*MAX('Inputs'!$B$33,'Inputs'!$B$29+'Inputs'!$B$31+'Inputs'!$B$32,'Inputs'!$B$30+'Inputs'!$B$31+'Inputs'!$B$32)/1000+'Inputs'!$B$21+'Inputs'!$B$7+'Inputs'!$B$10)+'Inputs'!$B$9)/SQRT((((750-43)*MAX('Inputs'!$B$33,'Inputs'!$B$29+'Inputs'!$B$31+'Inputs'!$B$32,'Inputs'!$B$30+'Inputs'!$B$31+'Inputs'!$B$32)/1000+'Inputs'!$B$21+'Inputs'!$B$7+'Inputs'!$B$10)+'Inputs'!$B$9)^2+('Inputs'!$B$8/2)^2)-(((750-43)*MAX('Inputs'!$B$33,'Inputs'!$B$29+'Inputs'!$B$31+'Inputs'!$B$32,'Inputs'!$B$30+'Inputs'!$B$31+'Inputs'!$B$32)/1000+'Inputs'!$B$21+'Inputs'!$B$7+'Inputs'!$B$10))/SQRT((((750-43)*MAX('Inputs'!$B$33,'Inputs'!$B$29+'Inputs'!$B$31+'Inputs'!$B$32,'Inputs'!$B$30+'Inputs'!$B$31+'Inputs'!$B$32)/1000+'Inputs'!$B$21+'Inputs'!$B$7+'Inputs'!$B$10))^2+('Inputs'!$B$8/2)^2))))*'Results'!$B$8)+'Inputs'!$B$28*ABS((('Results'!B7*(1+'Inputs'!$B$24)*(0.5*((((750-43)*MAX('Inputs'!$B$33,'Inputs'!$B$29+'Inputs'!$B$31+'Inputs'!$B$32,'Inputs'!$B$30+'Inputs'!$B$31+'Inputs'!$B$32)/1000+'Inputs'!$B$21)+'Inputs'!$B$7)/SQRT((((750-43)*MAX('Inputs'!$B$33,'Inputs'!$B$29+'Inputs'!$B$31+'Inputs'!$B$32,'Inputs'!$B$30+'Inputs'!$B$31+'Inputs'!$B$32)/1000+'Inputs'!$B$21)+'Inputs'!$B$7)^2+('Inputs'!$B$6/2)^2)-(((750-43)*MAX('Inputs'!$B$33,'Inputs'!$B$29+'Inputs'!$B$31+'Inputs'!$B$32,'Inputs'!$B$30+'Inputs'!$B$31+'Inputs'!$B$32)/1000+'Inputs'!$B$21))/SQRT((((750-43)*MAX('Inputs'!$B$33,'Inputs'!$B$29+'Inputs'!$B$31+'Inputs'!$B$32,'Inputs'!$B$30+'Inputs'!$B$31+'Inputs'!$B$32)/1000+'Inputs'!$B$21))^2+('Inputs'!$B$6/2)^2)))-'Results'!C7*(1-'Inputs'!$B$24)*(0.5*((((750-43)*MAX('Inputs'!$B$33,'Inputs'!$B$29+'Inputs'!$B$31+'Inputs'!$B$32,'Inputs'!$B$30+'Inputs'!$B$31+'Inputs'!$B$32)/1000+'Inputs'!$B$21+'Inputs'!$B$7+'Inputs'!$B$10)+'Inputs'!$B$9)/SQRT((((750-43)*MAX('Inputs'!$B$33,'Inputs'!$B$29+'Inputs'!$B$31+'Inputs'!$B$32,'Inputs'!$B$30+'Inputs'!$B$31+'Inputs'!$B$32)/1000+'Inputs'!$B$21+'Inputs'!$B$7+'Inputs'!$B$10)+'Inputs'!$B$9)^2+('Inputs'!$B$8/2)^2)-(((750-43)*MAX('Inputs'!$B$33,'Inputs'!$B$29+'Inputs'!$B$31+'Inputs'!$B$32,'Inputs'!$B$30+'Inputs'!$B$31+'Inputs'!$B$32)/1000+'Inputs'!$B$21+'Inputs'!$B$7+'Inputs'!$B$10))/SQRT((((750-43)*MAX('Inputs'!$B$33,'Inputs'!$B$29+'Inputs'!$B$31+'Inputs'!$B$32,'Inputs'!$B$30+'Inputs'!$B$31+'Inputs'!$B$32)/1000+'Inputs'!$B$21+'Inputs'!$B$7+'Inputs'!$B$10))^2+('Inputs'!$B$8/2)^2))))*'Results'!$B$8))),"")</x:f>
        <x:v>1.4269571758871709</x:v>
      </x:c>
      <x:c r="M750" t="n">
        <x:f>IF(AND(ISNUMBER('Results'!C7),ISNUMBER('Results'!B7),ISNUMBER('Results'!$B$8),ISNUMBER('Inputs'!$B$6),ISNUMBER('Inputs'!$B$7),ISNUMBER('Inputs'!$B$8),ISNUMBER('Inputs'!$B$9),ISNUMBER('Inputs'!$B$10),ISNUMBER('Inputs'!$B$21),ISNUMBER('Inputs'!$B$24),ISNUMBER('Inputs'!$B$28)),(('Results'!C7*(0.5*((((750-43)*MAX('Inputs'!$B$33,'Inputs'!$B$29+'Inputs'!$B$31+'Inputs'!$B$32,'Inputs'!$B$30+'Inputs'!$B$31+'Inputs'!$B$32)/1000+'Inputs'!$B$21)+'Inputs'!$B$9)/SQRT((((750-43)*MAX('Inputs'!$B$33,'Inputs'!$B$29+'Inputs'!$B$31+'Inputs'!$B$32,'Inputs'!$B$30+'Inputs'!$B$31+'Inputs'!$B$32)/1000+'Inputs'!$B$21)+'Inputs'!$B$9)^2+('Inputs'!$B$8/2)^2)-(((750-43)*MAX('Inputs'!$B$33,'Inputs'!$B$29+'Inputs'!$B$31+'Inputs'!$B$32,'Inputs'!$B$30+'Inputs'!$B$31+'Inputs'!$B$32)/1000+'Inputs'!$B$21))/SQRT((((750-43)*MAX('Inputs'!$B$33,'Inputs'!$B$29+'Inputs'!$B$31+'Inputs'!$B$32,'Inputs'!$B$30+'Inputs'!$B$31+'Inputs'!$B$32)/1000+'Inputs'!$B$21))^2+('Inputs'!$B$8/2)^2)))-'Results'!B7*(0.5*((((750-43)*MAX('Inputs'!$B$33,'Inputs'!$B$29+'Inputs'!$B$31+'Inputs'!$B$32,'Inputs'!$B$30+'Inputs'!$B$31+'Inputs'!$B$32)/1000+'Inputs'!$B$21+'Inputs'!$B$9+'Inputs'!$B$10)+'Inputs'!$B$7)/SQRT((((750-43)*MAX('Inputs'!$B$33,'Inputs'!$B$29+'Inputs'!$B$31+'Inputs'!$B$32,'Inputs'!$B$30+'Inputs'!$B$31+'Inputs'!$B$32)/1000+'Inputs'!$B$21+'Inputs'!$B$9+'Inputs'!$B$10)+'Inputs'!$B$7)^2+('Inputs'!$B$6/2)^2)-(((750-43)*MAX('Inputs'!$B$33,'Inputs'!$B$29+'Inputs'!$B$31+'Inputs'!$B$32,'Inputs'!$B$30+'Inputs'!$B$31+'Inputs'!$B$32)/1000+'Inputs'!$B$21+'Inputs'!$B$9+'Inputs'!$B$10))/SQRT((((750-43)*MAX('Inputs'!$B$33,'Inputs'!$B$29+'Inputs'!$B$31+'Inputs'!$B$32,'Inputs'!$B$30+'Inputs'!$B$31+'Inputs'!$B$32)/1000+'Inputs'!$B$21+'Inputs'!$B$9+'Inputs'!$B$10))^2+('Inputs'!$B$6/2)^2))))*'Results'!$B$8),"")</x:f>
        <x:v>1.1352824250861941</x:v>
      </x:c>
      <x:c r="N750" t="n">
        <x:f>IF(AND(ISNUMBER('Results'!C7),ISNUMBER('Results'!B7),ISNUMBER('Results'!$B$8),ISNUMBER('Inputs'!$B$6),ISNUMBER('Inputs'!$B$7),ISNUMBER('Inputs'!$B$8),ISNUMBER('Inputs'!$B$9),ISNUMBER('Inputs'!$B$10),ISNUMBER('Inputs'!$B$21),ISNUMBER('Inputs'!$B$24),ISNUMBER('Inputs'!$B$28)),((('Results'!C7*(1-'Inputs'!$B$24)*(0.5*((((750-43)*MAX('Inputs'!$B$33,'Inputs'!$B$29+'Inputs'!$B$31+'Inputs'!$B$32,'Inputs'!$B$30+'Inputs'!$B$31+'Inputs'!$B$32)/1000+'Inputs'!$B$21)+'Inputs'!$B$9)/SQRT((((750-43)*MAX('Inputs'!$B$33,'Inputs'!$B$29+'Inputs'!$B$31+'Inputs'!$B$32,'Inputs'!$B$30+'Inputs'!$B$31+'Inputs'!$B$32)/1000+'Inputs'!$B$21)+'Inputs'!$B$9)^2+('Inputs'!$B$8/2)^2)-(((750-43)*MAX('Inputs'!$B$33,'Inputs'!$B$29+'Inputs'!$B$31+'Inputs'!$B$32,'Inputs'!$B$30+'Inputs'!$B$31+'Inputs'!$B$32)/1000+'Inputs'!$B$21))/SQRT((((750-43)*MAX('Inputs'!$B$33,'Inputs'!$B$29+'Inputs'!$B$31+'Inputs'!$B$32,'Inputs'!$B$30+'Inputs'!$B$31+'Inputs'!$B$32)/1000+'Inputs'!$B$21))^2+('Inputs'!$B$8/2)^2)))-'Results'!B7*(1+'Inputs'!$B$24)*(0.5*((((750-43)*MAX('Inputs'!$B$33,'Inputs'!$B$29+'Inputs'!$B$31+'Inputs'!$B$32,'Inputs'!$B$30+'Inputs'!$B$31+'Inputs'!$B$32)/1000+'Inputs'!$B$21+'Inputs'!$B$9+'Inputs'!$B$10)+'Inputs'!$B$7)/SQRT((((750-43)*MAX('Inputs'!$B$33,'Inputs'!$B$29+'Inputs'!$B$31+'Inputs'!$B$32,'Inputs'!$B$30+'Inputs'!$B$31+'Inputs'!$B$32)/1000+'Inputs'!$B$21+'Inputs'!$B$9+'Inputs'!$B$10)+'Inputs'!$B$7)^2+('Inputs'!$B$6/2)^2)-(((750-43)*MAX('Inputs'!$B$33,'Inputs'!$B$29+'Inputs'!$B$31+'Inputs'!$B$32,'Inputs'!$B$30+'Inputs'!$B$31+'Inputs'!$B$32)/1000+'Inputs'!$B$21+'Inputs'!$B$9+'Inputs'!$B$10))/SQRT((((750-43)*MAX('Inputs'!$B$33,'Inputs'!$B$29+'Inputs'!$B$31+'Inputs'!$B$32,'Inputs'!$B$30+'Inputs'!$B$31+'Inputs'!$B$32)/1000+'Inputs'!$B$21+'Inputs'!$B$9+'Inputs'!$B$10))^2+('Inputs'!$B$6/2)^2))))*'Results'!$B$8)-'Inputs'!$B$28*ABS((('Results'!C7*(1-'Inputs'!$B$24)*(0.5*((((750-43)*MAX('Inputs'!$B$33,'Inputs'!$B$29+'Inputs'!$B$31+'Inputs'!$B$32,'Inputs'!$B$30+'Inputs'!$B$31+'Inputs'!$B$32)/1000+'Inputs'!$B$21)+'Inputs'!$B$9)/SQRT((((750-43)*MAX('Inputs'!$B$33,'Inputs'!$B$29+'Inputs'!$B$31+'Inputs'!$B$32,'Inputs'!$B$30+'Inputs'!$B$31+'Inputs'!$B$32)/1000+'Inputs'!$B$21)+'Inputs'!$B$9)^2+('Inputs'!$B$8/2)^2)-(((750-43)*MAX('Inputs'!$B$33,'Inputs'!$B$29+'Inputs'!$B$31+'Inputs'!$B$32,'Inputs'!$B$30+'Inputs'!$B$31+'Inputs'!$B$32)/1000+'Inputs'!$B$21))/SQRT((((750-43)*MAX('Inputs'!$B$33,'Inputs'!$B$29+'Inputs'!$B$31+'Inputs'!$B$32,'Inputs'!$B$30+'Inputs'!$B$31+'Inputs'!$B$32)/1000+'Inputs'!$B$21))^2+('Inputs'!$B$8/2)^2)))-'Results'!B7*(1+'Inputs'!$B$24)*(0.5*((((750-43)*MAX('Inputs'!$B$33,'Inputs'!$B$29+'Inputs'!$B$31+'Inputs'!$B$32,'Inputs'!$B$30+'Inputs'!$B$31+'Inputs'!$B$32)/1000+'Inputs'!$B$21+'Inputs'!$B$9+'Inputs'!$B$10)+'Inputs'!$B$7)/SQRT((((750-43)*MAX('Inputs'!$B$33,'Inputs'!$B$29+'Inputs'!$B$31+'Inputs'!$B$32,'Inputs'!$B$30+'Inputs'!$B$31+'Inputs'!$B$32)/1000+'Inputs'!$B$21+'Inputs'!$B$9+'Inputs'!$B$10)+'Inputs'!$B$7)^2+('Inputs'!$B$6/2)^2)-(((750-43)*MAX('Inputs'!$B$33,'Inputs'!$B$29+'Inputs'!$B$31+'Inputs'!$B$32,'Inputs'!$B$30+'Inputs'!$B$31+'Inputs'!$B$32)/1000+'Inputs'!$B$21+'Inputs'!$B$9+'Inputs'!$B$10))/SQRT((((750-43)*MAX('Inputs'!$B$33,'Inputs'!$B$29+'Inputs'!$B$31+'Inputs'!$B$32,'Inputs'!$B$30+'Inputs'!$B$31+'Inputs'!$B$32)/1000+'Inputs'!$B$21+'Inputs'!$B$9+'Inputs'!$B$10))^2+('Inputs'!$B$6/2)^2))))*'Results'!$B$8))),"")</x:f>
        <x:v>0.9731256391503151</x:v>
      </x:c>
      <x:c r="O750" t="n">
        <x:f>IF(AND(ISNUMBER('Results'!C7),ISNUMBER('Results'!B7),ISNUMBER('Results'!$B$8),ISNUMBER('Inputs'!$B$6),ISNUMBER('Inputs'!$B$7),ISNUMBER('Inputs'!$B$8),ISNUMBER('Inputs'!$B$9),ISNUMBER('Inputs'!$B$10),ISNUMBER('Inputs'!$B$21),ISNUMBER('Inputs'!$B$24),ISNUMBER('Inputs'!$B$28)),((('Results'!C7*(1+'Inputs'!$B$24)*(0.5*((((750-43)*MAX('Inputs'!$B$33,'Inputs'!$B$29+'Inputs'!$B$31+'Inputs'!$B$32,'Inputs'!$B$30+'Inputs'!$B$31+'Inputs'!$B$32)/1000+'Inputs'!$B$21)+'Inputs'!$B$9)/SQRT((((750-43)*MAX('Inputs'!$B$33,'Inputs'!$B$29+'Inputs'!$B$31+'Inputs'!$B$32,'Inputs'!$B$30+'Inputs'!$B$31+'Inputs'!$B$32)/1000+'Inputs'!$B$21)+'Inputs'!$B$9)^2+('Inputs'!$B$8/2)^2)-(((750-43)*MAX('Inputs'!$B$33,'Inputs'!$B$29+'Inputs'!$B$31+'Inputs'!$B$32,'Inputs'!$B$30+'Inputs'!$B$31+'Inputs'!$B$32)/1000+'Inputs'!$B$21))/SQRT((((750-43)*MAX('Inputs'!$B$33,'Inputs'!$B$29+'Inputs'!$B$31+'Inputs'!$B$32,'Inputs'!$B$30+'Inputs'!$B$31+'Inputs'!$B$32)/1000+'Inputs'!$B$21))^2+('Inputs'!$B$8/2)^2)))-'Results'!B7*(1-'Inputs'!$B$24)*(0.5*((((750-43)*MAX('Inputs'!$B$33,'Inputs'!$B$29+'Inputs'!$B$31+'Inputs'!$B$32,'Inputs'!$B$30+'Inputs'!$B$31+'Inputs'!$B$32)/1000+'Inputs'!$B$21+'Inputs'!$B$9+'Inputs'!$B$10)+'Inputs'!$B$7)/SQRT((((750-43)*MAX('Inputs'!$B$33,'Inputs'!$B$29+'Inputs'!$B$31+'Inputs'!$B$32,'Inputs'!$B$30+'Inputs'!$B$31+'Inputs'!$B$32)/1000+'Inputs'!$B$21+'Inputs'!$B$9+'Inputs'!$B$10)+'Inputs'!$B$7)^2+('Inputs'!$B$6/2)^2)-(((750-43)*MAX('Inputs'!$B$33,'Inputs'!$B$29+'Inputs'!$B$31+'Inputs'!$B$32,'Inputs'!$B$30+'Inputs'!$B$31+'Inputs'!$B$32)/1000+'Inputs'!$B$21+'Inputs'!$B$9+'Inputs'!$B$10))/SQRT((((750-43)*MAX('Inputs'!$B$33,'Inputs'!$B$29+'Inputs'!$B$31+'Inputs'!$B$32,'Inputs'!$B$30+'Inputs'!$B$31+'Inputs'!$B$32)/1000+'Inputs'!$B$21+'Inputs'!$B$9+'Inputs'!$B$10))^2+('Inputs'!$B$6/2)^2))))*'Results'!$B$8)+'Inputs'!$B$28*ABS((('Results'!C7*(1+'Inputs'!$B$24)*(0.5*((((750-43)*MAX('Inputs'!$B$33,'Inputs'!$B$29+'Inputs'!$B$31+'Inputs'!$B$32,'Inputs'!$B$30+'Inputs'!$B$31+'Inputs'!$B$32)/1000+'Inputs'!$B$21)+'Inputs'!$B$9)/SQRT((((750-43)*MAX('Inputs'!$B$33,'Inputs'!$B$29+'Inputs'!$B$31+'Inputs'!$B$32,'Inputs'!$B$30+'Inputs'!$B$31+'Inputs'!$B$32)/1000+'Inputs'!$B$21)+'Inputs'!$B$9)^2+('Inputs'!$B$8/2)^2)-(((750-43)*MAX('Inputs'!$B$33,'Inputs'!$B$29+'Inputs'!$B$31+'Inputs'!$B$32,'Inputs'!$B$30+'Inputs'!$B$31+'Inputs'!$B$32)/1000+'Inputs'!$B$21))/SQRT((((750-43)*MAX('Inputs'!$B$33,'Inputs'!$B$29+'Inputs'!$B$31+'Inputs'!$B$32,'Inputs'!$B$30+'Inputs'!$B$31+'Inputs'!$B$32)/1000+'Inputs'!$B$21))^2+('Inputs'!$B$8/2)^2)))-'Results'!B7*(1-'Inputs'!$B$24)*(0.5*((((750-43)*MAX('Inputs'!$B$33,'Inputs'!$B$29+'Inputs'!$B$31+'Inputs'!$B$32,'Inputs'!$B$30+'Inputs'!$B$31+'Inputs'!$B$32)/1000+'Inputs'!$B$21+'Inputs'!$B$9+'Inputs'!$B$10)+'Inputs'!$B$7)/SQRT((((750-43)*MAX('Inputs'!$B$33,'Inputs'!$B$29+'Inputs'!$B$31+'Inputs'!$B$32,'Inputs'!$B$30+'Inputs'!$B$31+'Inputs'!$B$32)/1000+'Inputs'!$B$21+'Inputs'!$B$9+'Inputs'!$B$10)+'Inputs'!$B$7)^2+('Inputs'!$B$6/2)^2)-(((750-43)*MAX('Inputs'!$B$33,'Inputs'!$B$29+'Inputs'!$B$31+'Inputs'!$B$32,'Inputs'!$B$30+'Inputs'!$B$31+'Inputs'!$B$32)/1000+'Inputs'!$B$21+'Inputs'!$B$9+'Inputs'!$B$10))/SQRT((((750-43)*MAX('Inputs'!$B$33,'Inputs'!$B$29+'Inputs'!$B$31+'Inputs'!$B$32,'Inputs'!$B$30+'Inputs'!$B$31+'Inputs'!$B$32)/1000+'Inputs'!$B$21+'Inputs'!$B$9+'Inputs'!$B$10))^2+('Inputs'!$B$6/2)^2))))*'Results'!$B$8))),"")</x:f>
        <x:v>1.3085331757253962</x:v>
      </x:c>
      <x:c r="P750" t="n">
        <x:f>IF(AND(MAX(J750,J749)&gt;0,J750&gt;J749+0.00000001),1,0)</x:f>
        <x:v>0</x:v>
      </x:c>
      <x:c r="Q750" t="n">
        <x:f>IF(AND(MAX(K750,K749)&gt;0,K750&gt;K749+0.00000001),1,0)</x:f>
        <x:v>0</x:v>
      </x:c>
      <x:c r="R750" t="n">
        <x:f>IF(AND(MAX(L750,L749)&gt;0,L750&gt;L749+0.00000001),1,0)</x:f>
        <x:v>0</x:v>
      </x:c>
      <x:c r="S750" t="n">
        <x:f>IF(AND(MAX(M750,M749)&gt;0,M750&gt;M749+0.00000001),1,0)</x:f>
        <x:v>0</x:v>
      </x:c>
      <x:c r="T750" t="n">
        <x:f>IF(AND(MAX(N750,N749)&gt;0,N750&gt;N749+0.00000001),1,0)</x:f>
        <x:v>0</x:v>
      </x:c>
      <x:c r="U750" t="n">
        <x:f>IF(AND(MAX(O750,O749)&gt;0,O750&gt;O749+0.00000001),1,0)</x:f>
        <x:v>0</x:v>
      </x:c>
    </x:row>
    <x:row r="751">
      <x:c r="J751" t="n">
        <x:f>IF(AND(ISNUMBER('Results'!B7),ISNUMBER('Results'!C7),ISNUMBER('Results'!$B$8),ISNUMBER('Inputs'!$B$6),ISNUMBER('Inputs'!$B$7),ISNUMBER('Inputs'!$B$8),ISNUMBER('Inputs'!$B$9),ISNUMBER('Inputs'!$B$10),ISNUMBER('Inputs'!$B$21),ISNUMBER('Inputs'!$B$24),ISNUMBER('Inputs'!$B$28)),(('Results'!B7*(0.5*((((751-43)*MAX('Inputs'!$B$33,'Inputs'!$B$29+'Inputs'!$B$31+'Inputs'!$B$32,'Inputs'!$B$30+'Inputs'!$B$31+'Inputs'!$B$32)/1000+'Inputs'!$B$21)+'Inputs'!$B$7)/SQRT((((751-43)*MAX('Inputs'!$B$33,'Inputs'!$B$29+'Inputs'!$B$31+'Inputs'!$B$32,'Inputs'!$B$30+'Inputs'!$B$31+'Inputs'!$B$32)/1000+'Inputs'!$B$21)+'Inputs'!$B$7)^2+('Inputs'!$B$6/2)^2)-(((751-43)*MAX('Inputs'!$B$33,'Inputs'!$B$29+'Inputs'!$B$31+'Inputs'!$B$32,'Inputs'!$B$30+'Inputs'!$B$31+'Inputs'!$B$32)/1000+'Inputs'!$B$21))/SQRT((((751-43)*MAX('Inputs'!$B$33,'Inputs'!$B$29+'Inputs'!$B$31+'Inputs'!$B$32,'Inputs'!$B$30+'Inputs'!$B$31+'Inputs'!$B$32)/1000+'Inputs'!$B$21))^2+('Inputs'!$B$6/2)^2)))-'Results'!C7*(0.5*((((751-43)*MAX('Inputs'!$B$33,'Inputs'!$B$29+'Inputs'!$B$31+'Inputs'!$B$32,'Inputs'!$B$30+'Inputs'!$B$31+'Inputs'!$B$32)/1000+'Inputs'!$B$21+'Inputs'!$B$7+'Inputs'!$B$10)+'Inputs'!$B$9)/SQRT((((751-43)*MAX('Inputs'!$B$33,'Inputs'!$B$29+'Inputs'!$B$31+'Inputs'!$B$32,'Inputs'!$B$30+'Inputs'!$B$31+'Inputs'!$B$32)/1000+'Inputs'!$B$21+'Inputs'!$B$7+'Inputs'!$B$10)+'Inputs'!$B$9)^2+('Inputs'!$B$8/2)^2)-(((751-43)*MAX('Inputs'!$B$33,'Inputs'!$B$29+'Inputs'!$B$31+'Inputs'!$B$32,'Inputs'!$B$30+'Inputs'!$B$31+'Inputs'!$B$32)/1000+'Inputs'!$B$21+'Inputs'!$B$7+'Inputs'!$B$10))/SQRT((((751-43)*MAX('Inputs'!$B$33,'Inputs'!$B$29+'Inputs'!$B$31+'Inputs'!$B$32,'Inputs'!$B$30+'Inputs'!$B$31+'Inputs'!$B$32)/1000+'Inputs'!$B$21+'Inputs'!$B$7+'Inputs'!$B$10))^2+('Inputs'!$B$8/2)^2))))*'Results'!$B$8),"")</x:f>
        <x:v>1.2413303443036041</x:v>
      </x:c>
      <x:c r="K751" t="n">
        <x:f>IF(AND(ISNUMBER('Results'!B7),ISNUMBER('Results'!C7),ISNUMBER('Results'!$B$8),ISNUMBER('Inputs'!$B$6),ISNUMBER('Inputs'!$B$7),ISNUMBER('Inputs'!$B$8),ISNUMBER('Inputs'!$B$9),ISNUMBER('Inputs'!$B$10),ISNUMBER('Inputs'!$B$21),ISNUMBER('Inputs'!$B$24),ISNUMBER('Inputs'!$B$28)),((('Results'!B7*(1-'Inputs'!$B$24)*(0.5*((((751-43)*MAX('Inputs'!$B$33,'Inputs'!$B$29+'Inputs'!$B$31+'Inputs'!$B$32,'Inputs'!$B$30+'Inputs'!$B$31+'Inputs'!$B$32)/1000+'Inputs'!$B$21)+'Inputs'!$B$7)/SQRT((((751-43)*MAX('Inputs'!$B$33,'Inputs'!$B$29+'Inputs'!$B$31+'Inputs'!$B$32,'Inputs'!$B$30+'Inputs'!$B$31+'Inputs'!$B$32)/1000+'Inputs'!$B$21)+'Inputs'!$B$7)^2+('Inputs'!$B$6/2)^2)-(((751-43)*MAX('Inputs'!$B$33,'Inputs'!$B$29+'Inputs'!$B$31+'Inputs'!$B$32,'Inputs'!$B$30+'Inputs'!$B$31+'Inputs'!$B$32)/1000+'Inputs'!$B$21))/SQRT((((751-43)*MAX('Inputs'!$B$33,'Inputs'!$B$29+'Inputs'!$B$31+'Inputs'!$B$32,'Inputs'!$B$30+'Inputs'!$B$31+'Inputs'!$B$32)/1000+'Inputs'!$B$21))^2+('Inputs'!$B$6/2)^2)))-'Results'!C7*(1+'Inputs'!$B$24)*(0.5*((((751-43)*MAX('Inputs'!$B$33,'Inputs'!$B$29+'Inputs'!$B$31+'Inputs'!$B$32,'Inputs'!$B$30+'Inputs'!$B$31+'Inputs'!$B$32)/1000+'Inputs'!$B$21+'Inputs'!$B$7+'Inputs'!$B$10)+'Inputs'!$B$9)/SQRT((((751-43)*MAX('Inputs'!$B$33,'Inputs'!$B$29+'Inputs'!$B$31+'Inputs'!$B$32,'Inputs'!$B$30+'Inputs'!$B$31+'Inputs'!$B$32)/1000+'Inputs'!$B$21+'Inputs'!$B$7+'Inputs'!$B$10)+'Inputs'!$B$9)^2+('Inputs'!$B$8/2)^2)-(((751-43)*MAX('Inputs'!$B$33,'Inputs'!$B$29+'Inputs'!$B$31+'Inputs'!$B$32,'Inputs'!$B$30+'Inputs'!$B$31+'Inputs'!$B$32)/1000+'Inputs'!$B$21+'Inputs'!$B$7+'Inputs'!$B$10))/SQRT((((751-43)*MAX('Inputs'!$B$33,'Inputs'!$B$29+'Inputs'!$B$31+'Inputs'!$B$32,'Inputs'!$B$30+'Inputs'!$B$31+'Inputs'!$B$32)/1000+'Inputs'!$B$21+'Inputs'!$B$7+'Inputs'!$B$10))^2+('Inputs'!$B$8/2)^2))))*'Results'!$B$8)-'Inputs'!$B$28*ABS((('Results'!B7*(1-'Inputs'!$B$24)*(0.5*((((751-43)*MAX('Inputs'!$B$33,'Inputs'!$B$29+'Inputs'!$B$31+'Inputs'!$B$32,'Inputs'!$B$30+'Inputs'!$B$31+'Inputs'!$B$32)/1000+'Inputs'!$B$21)+'Inputs'!$B$7)/SQRT((((751-43)*MAX('Inputs'!$B$33,'Inputs'!$B$29+'Inputs'!$B$31+'Inputs'!$B$32,'Inputs'!$B$30+'Inputs'!$B$31+'Inputs'!$B$32)/1000+'Inputs'!$B$21)+'Inputs'!$B$7)^2+('Inputs'!$B$6/2)^2)-(((751-43)*MAX('Inputs'!$B$33,'Inputs'!$B$29+'Inputs'!$B$31+'Inputs'!$B$32,'Inputs'!$B$30+'Inputs'!$B$31+'Inputs'!$B$32)/1000+'Inputs'!$B$21))/SQRT((((751-43)*MAX('Inputs'!$B$33,'Inputs'!$B$29+'Inputs'!$B$31+'Inputs'!$B$32,'Inputs'!$B$30+'Inputs'!$B$31+'Inputs'!$B$32)/1000+'Inputs'!$B$21))^2+('Inputs'!$B$6/2)^2)))-'Results'!C7*(1+'Inputs'!$B$24)*(0.5*((((751-43)*MAX('Inputs'!$B$33,'Inputs'!$B$29+'Inputs'!$B$31+'Inputs'!$B$32,'Inputs'!$B$30+'Inputs'!$B$31+'Inputs'!$B$32)/1000+'Inputs'!$B$21+'Inputs'!$B$7+'Inputs'!$B$10)+'Inputs'!$B$9)/SQRT((((751-43)*MAX('Inputs'!$B$33,'Inputs'!$B$29+'Inputs'!$B$31+'Inputs'!$B$32,'Inputs'!$B$30+'Inputs'!$B$31+'Inputs'!$B$32)/1000+'Inputs'!$B$21+'Inputs'!$B$7+'Inputs'!$B$10)+'Inputs'!$B$9)^2+('Inputs'!$B$8/2)^2)-(((751-43)*MAX('Inputs'!$B$33,'Inputs'!$B$29+'Inputs'!$B$31+'Inputs'!$B$32,'Inputs'!$B$30+'Inputs'!$B$31+'Inputs'!$B$32)/1000+'Inputs'!$B$21+'Inputs'!$B$7+'Inputs'!$B$10))/SQRT((((751-43)*MAX('Inputs'!$B$33,'Inputs'!$B$29+'Inputs'!$B$31+'Inputs'!$B$32,'Inputs'!$B$30+'Inputs'!$B$31+'Inputs'!$B$32)/1000+'Inputs'!$B$21+'Inputs'!$B$7+'Inputs'!$B$10))^2+('Inputs'!$B$8/2)^2))))*'Results'!$B$8))),"")</x:f>
        <x:v>1.0738224864697683</x:v>
      </x:c>
      <x:c r="L751" t="n">
        <x:f>IF(AND(ISNUMBER('Results'!B7),ISNUMBER('Results'!C7),ISNUMBER('Results'!$B$8),ISNUMBER('Inputs'!$B$6),ISNUMBER('Inputs'!$B$7),ISNUMBER('Inputs'!$B$8),ISNUMBER('Inputs'!$B$9),ISNUMBER('Inputs'!$B$10),ISNUMBER('Inputs'!$B$21),ISNUMBER('Inputs'!$B$24),ISNUMBER('Inputs'!$B$28)),((('Results'!B7*(1+'Inputs'!$B$24)*(0.5*((((751-43)*MAX('Inputs'!$B$33,'Inputs'!$B$29+'Inputs'!$B$31+'Inputs'!$B$32,'Inputs'!$B$30+'Inputs'!$B$31+'Inputs'!$B$32)/1000+'Inputs'!$B$21)+'Inputs'!$B$7)/SQRT((((751-43)*MAX('Inputs'!$B$33,'Inputs'!$B$29+'Inputs'!$B$31+'Inputs'!$B$32,'Inputs'!$B$30+'Inputs'!$B$31+'Inputs'!$B$32)/1000+'Inputs'!$B$21)+'Inputs'!$B$7)^2+('Inputs'!$B$6/2)^2)-(((751-43)*MAX('Inputs'!$B$33,'Inputs'!$B$29+'Inputs'!$B$31+'Inputs'!$B$32,'Inputs'!$B$30+'Inputs'!$B$31+'Inputs'!$B$32)/1000+'Inputs'!$B$21))/SQRT((((751-43)*MAX('Inputs'!$B$33,'Inputs'!$B$29+'Inputs'!$B$31+'Inputs'!$B$32,'Inputs'!$B$30+'Inputs'!$B$31+'Inputs'!$B$32)/1000+'Inputs'!$B$21))^2+('Inputs'!$B$6/2)^2)))-'Results'!C7*(1-'Inputs'!$B$24)*(0.5*((((751-43)*MAX('Inputs'!$B$33,'Inputs'!$B$29+'Inputs'!$B$31+'Inputs'!$B$32,'Inputs'!$B$30+'Inputs'!$B$31+'Inputs'!$B$32)/1000+'Inputs'!$B$21+'Inputs'!$B$7+'Inputs'!$B$10)+'Inputs'!$B$9)/SQRT((((751-43)*MAX('Inputs'!$B$33,'Inputs'!$B$29+'Inputs'!$B$31+'Inputs'!$B$32,'Inputs'!$B$30+'Inputs'!$B$31+'Inputs'!$B$32)/1000+'Inputs'!$B$21+'Inputs'!$B$7+'Inputs'!$B$10)+'Inputs'!$B$9)^2+('Inputs'!$B$8/2)^2)-(((751-43)*MAX('Inputs'!$B$33,'Inputs'!$B$29+'Inputs'!$B$31+'Inputs'!$B$32,'Inputs'!$B$30+'Inputs'!$B$31+'Inputs'!$B$32)/1000+'Inputs'!$B$21+'Inputs'!$B$7+'Inputs'!$B$10))/SQRT((((751-43)*MAX('Inputs'!$B$33,'Inputs'!$B$29+'Inputs'!$B$31+'Inputs'!$B$32,'Inputs'!$B$30+'Inputs'!$B$31+'Inputs'!$B$32)/1000+'Inputs'!$B$21+'Inputs'!$B$7+'Inputs'!$B$10))^2+('Inputs'!$B$8/2)^2))))*'Results'!$B$8)+'Inputs'!$B$28*ABS((('Results'!B7*(1+'Inputs'!$B$24)*(0.5*((((751-43)*MAX('Inputs'!$B$33,'Inputs'!$B$29+'Inputs'!$B$31+'Inputs'!$B$32,'Inputs'!$B$30+'Inputs'!$B$31+'Inputs'!$B$32)/1000+'Inputs'!$B$21)+'Inputs'!$B$7)/SQRT((((751-43)*MAX('Inputs'!$B$33,'Inputs'!$B$29+'Inputs'!$B$31+'Inputs'!$B$32,'Inputs'!$B$30+'Inputs'!$B$31+'Inputs'!$B$32)/1000+'Inputs'!$B$21)+'Inputs'!$B$7)^2+('Inputs'!$B$6/2)^2)-(((751-43)*MAX('Inputs'!$B$33,'Inputs'!$B$29+'Inputs'!$B$31+'Inputs'!$B$32,'Inputs'!$B$30+'Inputs'!$B$31+'Inputs'!$B$32)/1000+'Inputs'!$B$21))/SQRT((((751-43)*MAX('Inputs'!$B$33,'Inputs'!$B$29+'Inputs'!$B$31+'Inputs'!$B$32,'Inputs'!$B$30+'Inputs'!$B$31+'Inputs'!$B$32)/1000+'Inputs'!$B$21))^2+('Inputs'!$B$6/2)^2)))-'Results'!C7*(1-'Inputs'!$B$24)*(0.5*((((751-43)*MAX('Inputs'!$B$33,'Inputs'!$B$29+'Inputs'!$B$31+'Inputs'!$B$32,'Inputs'!$B$30+'Inputs'!$B$31+'Inputs'!$B$32)/1000+'Inputs'!$B$21+'Inputs'!$B$7+'Inputs'!$B$10)+'Inputs'!$B$9)/SQRT((((751-43)*MAX('Inputs'!$B$33,'Inputs'!$B$29+'Inputs'!$B$31+'Inputs'!$B$32,'Inputs'!$B$30+'Inputs'!$B$31+'Inputs'!$B$32)/1000+'Inputs'!$B$21+'Inputs'!$B$7+'Inputs'!$B$10)+'Inputs'!$B$9)^2+('Inputs'!$B$8/2)^2)-(((751-43)*MAX('Inputs'!$B$33,'Inputs'!$B$29+'Inputs'!$B$31+'Inputs'!$B$32,'Inputs'!$B$30+'Inputs'!$B$31+'Inputs'!$B$32)/1000+'Inputs'!$B$21+'Inputs'!$B$7+'Inputs'!$B$10))/SQRT((((751-43)*MAX('Inputs'!$B$33,'Inputs'!$B$29+'Inputs'!$B$31+'Inputs'!$B$32,'Inputs'!$B$30+'Inputs'!$B$31+'Inputs'!$B$32)/1000+'Inputs'!$B$21+'Inputs'!$B$7+'Inputs'!$B$10))^2+('Inputs'!$B$8/2)^2))))*'Results'!$B$8))),"")</x:f>
        <x:v>1.4199372906236138</x:v>
      </x:c>
      <x:c r="M751" t="n">
        <x:f>IF(AND(ISNUMBER('Results'!C7),ISNUMBER('Results'!B7),ISNUMBER('Results'!$B$8),ISNUMBER('Inputs'!$B$6),ISNUMBER('Inputs'!$B$7),ISNUMBER('Inputs'!$B$8),ISNUMBER('Inputs'!$B$9),ISNUMBER('Inputs'!$B$10),ISNUMBER('Inputs'!$B$21),ISNUMBER('Inputs'!$B$24),ISNUMBER('Inputs'!$B$28)),(('Results'!C7*(0.5*((((751-43)*MAX('Inputs'!$B$33,'Inputs'!$B$29+'Inputs'!$B$31+'Inputs'!$B$32,'Inputs'!$B$30+'Inputs'!$B$31+'Inputs'!$B$32)/1000+'Inputs'!$B$21)+'Inputs'!$B$9)/SQRT((((751-43)*MAX('Inputs'!$B$33,'Inputs'!$B$29+'Inputs'!$B$31+'Inputs'!$B$32,'Inputs'!$B$30+'Inputs'!$B$31+'Inputs'!$B$32)/1000+'Inputs'!$B$21)+'Inputs'!$B$9)^2+('Inputs'!$B$8/2)^2)-(((751-43)*MAX('Inputs'!$B$33,'Inputs'!$B$29+'Inputs'!$B$31+'Inputs'!$B$32,'Inputs'!$B$30+'Inputs'!$B$31+'Inputs'!$B$32)/1000+'Inputs'!$B$21))/SQRT((((751-43)*MAX('Inputs'!$B$33,'Inputs'!$B$29+'Inputs'!$B$31+'Inputs'!$B$32,'Inputs'!$B$30+'Inputs'!$B$31+'Inputs'!$B$32)/1000+'Inputs'!$B$21))^2+('Inputs'!$B$8/2)^2)))-'Results'!B7*(0.5*((((751-43)*MAX('Inputs'!$B$33,'Inputs'!$B$29+'Inputs'!$B$31+'Inputs'!$B$32,'Inputs'!$B$30+'Inputs'!$B$31+'Inputs'!$B$32)/1000+'Inputs'!$B$21+'Inputs'!$B$9+'Inputs'!$B$10)+'Inputs'!$B$7)/SQRT((((751-43)*MAX('Inputs'!$B$33,'Inputs'!$B$29+'Inputs'!$B$31+'Inputs'!$B$32,'Inputs'!$B$30+'Inputs'!$B$31+'Inputs'!$B$32)/1000+'Inputs'!$B$21+'Inputs'!$B$9+'Inputs'!$B$10)+'Inputs'!$B$7)^2+('Inputs'!$B$6/2)^2)-(((751-43)*MAX('Inputs'!$B$33,'Inputs'!$B$29+'Inputs'!$B$31+'Inputs'!$B$32,'Inputs'!$B$30+'Inputs'!$B$31+'Inputs'!$B$32)/1000+'Inputs'!$B$21+'Inputs'!$B$9+'Inputs'!$B$10))/SQRT((((751-43)*MAX('Inputs'!$B$33,'Inputs'!$B$29+'Inputs'!$B$31+'Inputs'!$B$32,'Inputs'!$B$30+'Inputs'!$B$31+'Inputs'!$B$32)/1000+'Inputs'!$B$21+'Inputs'!$B$9+'Inputs'!$B$10))^2+('Inputs'!$B$6/2)^2))))*'Results'!$B$8),"")</x:f>
        <x:v>1.1294602321155793</x:v>
      </x:c>
      <x:c r="N751" t="n">
        <x:f>IF(AND(ISNUMBER('Results'!C7),ISNUMBER('Results'!B7),ISNUMBER('Results'!$B$8),ISNUMBER('Inputs'!$B$6),ISNUMBER('Inputs'!$B$7),ISNUMBER('Inputs'!$B$8),ISNUMBER('Inputs'!$B$9),ISNUMBER('Inputs'!$B$10),ISNUMBER('Inputs'!$B$21),ISNUMBER('Inputs'!$B$24),ISNUMBER('Inputs'!$B$28)),((('Results'!C7*(1-'Inputs'!$B$24)*(0.5*((((751-43)*MAX('Inputs'!$B$33,'Inputs'!$B$29+'Inputs'!$B$31+'Inputs'!$B$32,'Inputs'!$B$30+'Inputs'!$B$31+'Inputs'!$B$32)/1000+'Inputs'!$B$21)+'Inputs'!$B$9)/SQRT((((751-43)*MAX('Inputs'!$B$33,'Inputs'!$B$29+'Inputs'!$B$31+'Inputs'!$B$32,'Inputs'!$B$30+'Inputs'!$B$31+'Inputs'!$B$32)/1000+'Inputs'!$B$21)+'Inputs'!$B$9)^2+('Inputs'!$B$8/2)^2)-(((751-43)*MAX('Inputs'!$B$33,'Inputs'!$B$29+'Inputs'!$B$31+'Inputs'!$B$32,'Inputs'!$B$30+'Inputs'!$B$31+'Inputs'!$B$32)/1000+'Inputs'!$B$21))/SQRT((((751-43)*MAX('Inputs'!$B$33,'Inputs'!$B$29+'Inputs'!$B$31+'Inputs'!$B$32,'Inputs'!$B$30+'Inputs'!$B$31+'Inputs'!$B$32)/1000+'Inputs'!$B$21))^2+('Inputs'!$B$8/2)^2)))-'Results'!B7*(1+'Inputs'!$B$24)*(0.5*((((751-43)*MAX('Inputs'!$B$33,'Inputs'!$B$29+'Inputs'!$B$31+'Inputs'!$B$32,'Inputs'!$B$30+'Inputs'!$B$31+'Inputs'!$B$32)/1000+'Inputs'!$B$21+'Inputs'!$B$9+'Inputs'!$B$10)+'Inputs'!$B$7)/SQRT((((751-43)*MAX('Inputs'!$B$33,'Inputs'!$B$29+'Inputs'!$B$31+'Inputs'!$B$32,'Inputs'!$B$30+'Inputs'!$B$31+'Inputs'!$B$32)/1000+'Inputs'!$B$21+'Inputs'!$B$9+'Inputs'!$B$10)+'Inputs'!$B$7)^2+('Inputs'!$B$6/2)^2)-(((751-43)*MAX('Inputs'!$B$33,'Inputs'!$B$29+'Inputs'!$B$31+'Inputs'!$B$32,'Inputs'!$B$30+'Inputs'!$B$31+'Inputs'!$B$32)/1000+'Inputs'!$B$21+'Inputs'!$B$9+'Inputs'!$B$10))/SQRT((((751-43)*MAX('Inputs'!$B$33,'Inputs'!$B$29+'Inputs'!$B$31+'Inputs'!$B$32,'Inputs'!$B$30+'Inputs'!$B$31+'Inputs'!$B$32)/1000+'Inputs'!$B$21+'Inputs'!$B$9+'Inputs'!$B$10))^2+('Inputs'!$B$6/2)^2))))*'Results'!$B$8)-'Inputs'!$B$28*ABS((('Results'!C7*(1-'Inputs'!$B$24)*(0.5*((((751-43)*MAX('Inputs'!$B$33,'Inputs'!$B$29+'Inputs'!$B$31+'Inputs'!$B$32,'Inputs'!$B$30+'Inputs'!$B$31+'Inputs'!$B$32)/1000+'Inputs'!$B$21)+'Inputs'!$B$9)/SQRT((((751-43)*MAX('Inputs'!$B$33,'Inputs'!$B$29+'Inputs'!$B$31+'Inputs'!$B$32,'Inputs'!$B$30+'Inputs'!$B$31+'Inputs'!$B$32)/1000+'Inputs'!$B$21)+'Inputs'!$B$9)^2+('Inputs'!$B$8/2)^2)-(((751-43)*MAX('Inputs'!$B$33,'Inputs'!$B$29+'Inputs'!$B$31+'Inputs'!$B$32,'Inputs'!$B$30+'Inputs'!$B$31+'Inputs'!$B$32)/1000+'Inputs'!$B$21))/SQRT((((751-43)*MAX('Inputs'!$B$33,'Inputs'!$B$29+'Inputs'!$B$31+'Inputs'!$B$32,'Inputs'!$B$30+'Inputs'!$B$31+'Inputs'!$B$32)/1000+'Inputs'!$B$21))^2+('Inputs'!$B$8/2)^2)))-'Results'!B7*(1+'Inputs'!$B$24)*(0.5*((((751-43)*MAX('Inputs'!$B$33,'Inputs'!$B$29+'Inputs'!$B$31+'Inputs'!$B$32,'Inputs'!$B$30+'Inputs'!$B$31+'Inputs'!$B$32)/1000+'Inputs'!$B$21+'Inputs'!$B$9+'Inputs'!$B$10)+'Inputs'!$B$7)/SQRT((((751-43)*MAX('Inputs'!$B$33,'Inputs'!$B$29+'Inputs'!$B$31+'Inputs'!$B$32,'Inputs'!$B$30+'Inputs'!$B$31+'Inputs'!$B$32)/1000+'Inputs'!$B$21+'Inputs'!$B$9+'Inputs'!$B$10)+'Inputs'!$B$7)^2+('Inputs'!$B$6/2)^2)-(((751-43)*MAX('Inputs'!$B$33,'Inputs'!$B$29+'Inputs'!$B$31+'Inputs'!$B$32,'Inputs'!$B$30+'Inputs'!$B$31+'Inputs'!$B$32)/1000+'Inputs'!$B$21+'Inputs'!$B$9+'Inputs'!$B$10))/SQRT((((751-43)*MAX('Inputs'!$B$33,'Inputs'!$B$29+'Inputs'!$B$31+'Inputs'!$B$32,'Inputs'!$B$30+'Inputs'!$B$31+'Inputs'!$B$32)/1000+'Inputs'!$B$21+'Inputs'!$B$9+'Inputs'!$B$10))^2+('Inputs'!$B$6/2)^2))))*'Results'!$B$8))),"")</x:f>
        <x:v>0.968000880102781</x:v>
      </x:c>
      <x:c r="O751" t="n">
        <x:f>IF(AND(ISNUMBER('Results'!C7),ISNUMBER('Results'!B7),ISNUMBER('Results'!$B$8),ISNUMBER('Inputs'!$B$6),ISNUMBER('Inputs'!$B$7),ISNUMBER('Inputs'!$B$8),ISNUMBER('Inputs'!$B$9),ISNUMBER('Inputs'!$B$10),ISNUMBER('Inputs'!$B$21),ISNUMBER('Inputs'!$B$24),ISNUMBER('Inputs'!$B$28)),((('Results'!C7*(1+'Inputs'!$B$24)*(0.5*((((751-43)*MAX('Inputs'!$B$33,'Inputs'!$B$29+'Inputs'!$B$31+'Inputs'!$B$32,'Inputs'!$B$30+'Inputs'!$B$31+'Inputs'!$B$32)/1000+'Inputs'!$B$21)+'Inputs'!$B$9)/SQRT((((751-43)*MAX('Inputs'!$B$33,'Inputs'!$B$29+'Inputs'!$B$31+'Inputs'!$B$32,'Inputs'!$B$30+'Inputs'!$B$31+'Inputs'!$B$32)/1000+'Inputs'!$B$21)+'Inputs'!$B$9)^2+('Inputs'!$B$8/2)^2)-(((751-43)*MAX('Inputs'!$B$33,'Inputs'!$B$29+'Inputs'!$B$31+'Inputs'!$B$32,'Inputs'!$B$30+'Inputs'!$B$31+'Inputs'!$B$32)/1000+'Inputs'!$B$21))/SQRT((((751-43)*MAX('Inputs'!$B$33,'Inputs'!$B$29+'Inputs'!$B$31+'Inputs'!$B$32,'Inputs'!$B$30+'Inputs'!$B$31+'Inputs'!$B$32)/1000+'Inputs'!$B$21))^2+('Inputs'!$B$8/2)^2)))-'Results'!B7*(1-'Inputs'!$B$24)*(0.5*((((751-43)*MAX('Inputs'!$B$33,'Inputs'!$B$29+'Inputs'!$B$31+'Inputs'!$B$32,'Inputs'!$B$30+'Inputs'!$B$31+'Inputs'!$B$32)/1000+'Inputs'!$B$21+'Inputs'!$B$9+'Inputs'!$B$10)+'Inputs'!$B$7)/SQRT((((751-43)*MAX('Inputs'!$B$33,'Inputs'!$B$29+'Inputs'!$B$31+'Inputs'!$B$32,'Inputs'!$B$30+'Inputs'!$B$31+'Inputs'!$B$32)/1000+'Inputs'!$B$21+'Inputs'!$B$9+'Inputs'!$B$10)+'Inputs'!$B$7)^2+('Inputs'!$B$6/2)^2)-(((751-43)*MAX('Inputs'!$B$33,'Inputs'!$B$29+'Inputs'!$B$31+'Inputs'!$B$32,'Inputs'!$B$30+'Inputs'!$B$31+'Inputs'!$B$32)/1000+'Inputs'!$B$21+'Inputs'!$B$9+'Inputs'!$B$10))/SQRT((((751-43)*MAX('Inputs'!$B$33,'Inputs'!$B$29+'Inputs'!$B$31+'Inputs'!$B$32,'Inputs'!$B$30+'Inputs'!$B$31+'Inputs'!$B$32)/1000+'Inputs'!$B$21+'Inputs'!$B$9+'Inputs'!$B$10))^2+('Inputs'!$B$6/2)^2))))*'Results'!$B$8)+'Inputs'!$B$28*ABS((('Results'!C7*(1+'Inputs'!$B$24)*(0.5*((((751-43)*MAX('Inputs'!$B$33,'Inputs'!$B$29+'Inputs'!$B$31+'Inputs'!$B$32,'Inputs'!$B$30+'Inputs'!$B$31+'Inputs'!$B$32)/1000+'Inputs'!$B$21)+'Inputs'!$B$9)/SQRT((((751-43)*MAX('Inputs'!$B$33,'Inputs'!$B$29+'Inputs'!$B$31+'Inputs'!$B$32,'Inputs'!$B$30+'Inputs'!$B$31+'Inputs'!$B$32)/1000+'Inputs'!$B$21)+'Inputs'!$B$9)^2+('Inputs'!$B$8/2)^2)-(((751-43)*MAX('Inputs'!$B$33,'Inputs'!$B$29+'Inputs'!$B$31+'Inputs'!$B$32,'Inputs'!$B$30+'Inputs'!$B$31+'Inputs'!$B$32)/1000+'Inputs'!$B$21))/SQRT((((751-43)*MAX('Inputs'!$B$33,'Inputs'!$B$29+'Inputs'!$B$31+'Inputs'!$B$32,'Inputs'!$B$30+'Inputs'!$B$31+'Inputs'!$B$32)/1000+'Inputs'!$B$21))^2+('Inputs'!$B$8/2)^2)))-'Results'!B7*(1-'Inputs'!$B$24)*(0.5*((((751-43)*MAX('Inputs'!$B$33,'Inputs'!$B$29+'Inputs'!$B$31+'Inputs'!$B$32,'Inputs'!$B$30+'Inputs'!$B$31+'Inputs'!$B$32)/1000+'Inputs'!$B$21+'Inputs'!$B$9+'Inputs'!$B$10)+'Inputs'!$B$7)/SQRT((((751-43)*MAX('Inputs'!$B$33,'Inputs'!$B$29+'Inputs'!$B$31+'Inputs'!$B$32,'Inputs'!$B$30+'Inputs'!$B$31+'Inputs'!$B$32)/1000+'Inputs'!$B$21+'Inputs'!$B$9+'Inputs'!$B$10)+'Inputs'!$B$7)^2+('Inputs'!$B$6/2)^2)-(((751-43)*MAX('Inputs'!$B$33,'Inputs'!$B$29+'Inputs'!$B$31+'Inputs'!$B$32,'Inputs'!$B$30+'Inputs'!$B$31+'Inputs'!$B$32)/1000+'Inputs'!$B$21+'Inputs'!$B$9+'Inputs'!$B$10))/SQRT((((751-43)*MAX('Inputs'!$B$33,'Inputs'!$B$29+'Inputs'!$B$31+'Inputs'!$B$32,'Inputs'!$B$30+'Inputs'!$B$31+'Inputs'!$B$32)/1000+'Inputs'!$B$21+'Inputs'!$B$9+'Inputs'!$B$10))^2+('Inputs'!$B$6/2)^2))))*'Results'!$B$8))),"")</x:f>
        <x:v>1.3019707778554324</x:v>
      </x:c>
      <x:c r="P751" t="n">
        <x:f>IF(AND(MAX(J751,J750)&gt;0,J751&gt;J750+0.00000001),1,0)</x:f>
        <x:v>0</x:v>
      </x:c>
      <x:c r="Q751" t="n">
        <x:f>IF(AND(MAX(K751,K750)&gt;0,K751&gt;K750+0.00000001),1,0)</x:f>
        <x:v>0</x:v>
      </x:c>
      <x:c r="R751" t="n">
        <x:f>IF(AND(MAX(L751,L750)&gt;0,L751&gt;L750+0.00000001),1,0)</x:f>
        <x:v>0</x:v>
      </x:c>
      <x:c r="S751" t="n">
        <x:f>IF(AND(MAX(M751,M750)&gt;0,M751&gt;M750+0.00000001),1,0)</x:f>
        <x:v>0</x:v>
      </x:c>
      <x:c r="T751" t="n">
        <x:f>IF(AND(MAX(N751,N750)&gt;0,N751&gt;N750+0.00000001),1,0)</x:f>
        <x:v>0</x:v>
      </x:c>
      <x:c r="U751" t="n">
        <x:f>IF(AND(MAX(O751,O750)&gt;0,O751&gt;O750+0.00000001),1,0)</x:f>
        <x:v>0</x:v>
      </x:c>
    </x:row>
    <x:row r="752">
      <x:c r="J752" t="n">
        <x:f>IF(AND(ISNUMBER('Results'!B7),ISNUMBER('Results'!C7),ISNUMBER('Results'!$B$8),ISNUMBER('Inputs'!$B$6),ISNUMBER('Inputs'!$B$7),ISNUMBER('Inputs'!$B$8),ISNUMBER('Inputs'!$B$9),ISNUMBER('Inputs'!$B$10),ISNUMBER('Inputs'!$B$21),ISNUMBER('Inputs'!$B$24),ISNUMBER('Inputs'!$B$28)),(('Results'!B7*(0.5*((((752-43)*MAX('Inputs'!$B$33,'Inputs'!$B$29+'Inputs'!$B$31+'Inputs'!$B$32,'Inputs'!$B$30+'Inputs'!$B$31+'Inputs'!$B$32)/1000+'Inputs'!$B$21)+'Inputs'!$B$7)/SQRT((((752-43)*MAX('Inputs'!$B$33,'Inputs'!$B$29+'Inputs'!$B$31+'Inputs'!$B$32,'Inputs'!$B$30+'Inputs'!$B$31+'Inputs'!$B$32)/1000+'Inputs'!$B$21)+'Inputs'!$B$7)^2+('Inputs'!$B$6/2)^2)-(((752-43)*MAX('Inputs'!$B$33,'Inputs'!$B$29+'Inputs'!$B$31+'Inputs'!$B$32,'Inputs'!$B$30+'Inputs'!$B$31+'Inputs'!$B$32)/1000+'Inputs'!$B$21))/SQRT((((752-43)*MAX('Inputs'!$B$33,'Inputs'!$B$29+'Inputs'!$B$31+'Inputs'!$B$32,'Inputs'!$B$30+'Inputs'!$B$31+'Inputs'!$B$32)/1000+'Inputs'!$B$21))^2+('Inputs'!$B$6/2)^2)))-'Results'!C7*(0.5*((((752-43)*MAX('Inputs'!$B$33,'Inputs'!$B$29+'Inputs'!$B$31+'Inputs'!$B$32,'Inputs'!$B$30+'Inputs'!$B$31+'Inputs'!$B$32)/1000+'Inputs'!$B$21+'Inputs'!$B$7+'Inputs'!$B$10)+'Inputs'!$B$9)/SQRT((((752-43)*MAX('Inputs'!$B$33,'Inputs'!$B$29+'Inputs'!$B$31+'Inputs'!$B$32,'Inputs'!$B$30+'Inputs'!$B$31+'Inputs'!$B$32)/1000+'Inputs'!$B$21+'Inputs'!$B$7+'Inputs'!$B$10)+'Inputs'!$B$9)^2+('Inputs'!$B$8/2)^2)-(((752-43)*MAX('Inputs'!$B$33,'Inputs'!$B$29+'Inputs'!$B$31+'Inputs'!$B$32,'Inputs'!$B$30+'Inputs'!$B$31+'Inputs'!$B$32)/1000+'Inputs'!$B$21+'Inputs'!$B$7+'Inputs'!$B$10))/SQRT((((752-43)*MAX('Inputs'!$B$33,'Inputs'!$B$29+'Inputs'!$B$31+'Inputs'!$B$32,'Inputs'!$B$30+'Inputs'!$B$31+'Inputs'!$B$32)/1000+'Inputs'!$B$21+'Inputs'!$B$7+'Inputs'!$B$10))^2+('Inputs'!$B$8/2)^2))))*'Results'!$B$8),"")</x:f>
        <x:v>1.2351141864335062</x:v>
      </x:c>
      <x:c r="K752" t="n">
        <x:f>IF(AND(ISNUMBER('Results'!B7),ISNUMBER('Results'!C7),ISNUMBER('Results'!$B$8),ISNUMBER('Inputs'!$B$6),ISNUMBER('Inputs'!$B$7),ISNUMBER('Inputs'!$B$8),ISNUMBER('Inputs'!$B$9),ISNUMBER('Inputs'!$B$10),ISNUMBER('Inputs'!$B$21),ISNUMBER('Inputs'!$B$24),ISNUMBER('Inputs'!$B$28)),((('Results'!B7*(1-'Inputs'!$B$24)*(0.5*((((752-43)*MAX('Inputs'!$B$33,'Inputs'!$B$29+'Inputs'!$B$31+'Inputs'!$B$32,'Inputs'!$B$30+'Inputs'!$B$31+'Inputs'!$B$32)/1000+'Inputs'!$B$21)+'Inputs'!$B$7)/SQRT((((752-43)*MAX('Inputs'!$B$33,'Inputs'!$B$29+'Inputs'!$B$31+'Inputs'!$B$32,'Inputs'!$B$30+'Inputs'!$B$31+'Inputs'!$B$32)/1000+'Inputs'!$B$21)+'Inputs'!$B$7)^2+('Inputs'!$B$6/2)^2)-(((752-43)*MAX('Inputs'!$B$33,'Inputs'!$B$29+'Inputs'!$B$31+'Inputs'!$B$32,'Inputs'!$B$30+'Inputs'!$B$31+'Inputs'!$B$32)/1000+'Inputs'!$B$21))/SQRT((((752-43)*MAX('Inputs'!$B$33,'Inputs'!$B$29+'Inputs'!$B$31+'Inputs'!$B$32,'Inputs'!$B$30+'Inputs'!$B$31+'Inputs'!$B$32)/1000+'Inputs'!$B$21))^2+('Inputs'!$B$6/2)^2)))-'Results'!C7*(1+'Inputs'!$B$24)*(0.5*((((752-43)*MAX('Inputs'!$B$33,'Inputs'!$B$29+'Inputs'!$B$31+'Inputs'!$B$32,'Inputs'!$B$30+'Inputs'!$B$31+'Inputs'!$B$32)/1000+'Inputs'!$B$21+'Inputs'!$B$7+'Inputs'!$B$10)+'Inputs'!$B$9)/SQRT((((752-43)*MAX('Inputs'!$B$33,'Inputs'!$B$29+'Inputs'!$B$31+'Inputs'!$B$32,'Inputs'!$B$30+'Inputs'!$B$31+'Inputs'!$B$32)/1000+'Inputs'!$B$21+'Inputs'!$B$7+'Inputs'!$B$10)+'Inputs'!$B$9)^2+('Inputs'!$B$8/2)^2)-(((752-43)*MAX('Inputs'!$B$33,'Inputs'!$B$29+'Inputs'!$B$31+'Inputs'!$B$32,'Inputs'!$B$30+'Inputs'!$B$31+'Inputs'!$B$32)/1000+'Inputs'!$B$21+'Inputs'!$B$7+'Inputs'!$B$10))/SQRT((((752-43)*MAX('Inputs'!$B$33,'Inputs'!$B$29+'Inputs'!$B$31+'Inputs'!$B$32,'Inputs'!$B$30+'Inputs'!$B$31+'Inputs'!$B$32)/1000+'Inputs'!$B$21+'Inputs'!$B$7+'Inputs'!$B$10))^2+('Inputs'!$B$8/2)^2))))*'Results'!$B$8)-'Inputs'!$B$28*ABS((('Results'!B7*(1-'Inputs'!$B$24)*(0.5*((((752-43)*MAX('Inputs'!$B$33,'Inputs'!$B$29+'Inputs'!$B$31+'Inputs'!$B$32,'Inputs'!$B$30+'Inputs'!$B$31+'Inputs'!$B$32)/1000+'Inputs'!$B$21)+'Inputs'!$B$7)/SQRT((((752-43)*MAX('Inputs'!$B$33,'Inputs'!$B$29+'Inputs'!$B$31+'Inputs'!$B$32,'Inputs'!$B$30+'Inputs'!$B$31+'Inputs'!$B$32)/1000+'Inputs'!$B$21)+'Inputs'!$B$7)^2+('Inputs'!$B$6/2)^2)-(((752-43)*MAX('Inputs'!$B$33,'Inputs'!$B$29+'Inputs'!$B$31+'Inputs'!$B$32,'Inputs'!$B$30+'Inputs'!$B$31+'Inputs'!$B$32)/1000+'Inputs'!$B$21))/SQRT((((752-43)*MAX('Inputs'!$B$33,'Inputs'!$B$29+'Inputs'!$B$31+'Inputs'!$B$32,'Inputs'!$B$30+'Inputs'!$B$31+'Inputs'!$B$32)/1000+'Inputs'!$B$21))^2+('Inputs'!$B$6/2)^2)))-'Results'!C7*(1+'Inputs'!$B$24)*(0.5*((((752-43)*MAX('Inputs'!$B$33,'Inputs'!$B$29+'Inputs'!$B$31+'Inputs'!$B$32,'Inputs'!$B$30+'Inputs'!$B$31+'Inputs'!$B$32)/1000+'Inputs'!$B$21+'Inputs'!$B$7+'Inputs'!$B$10)+'Inputs'!$B$9)/SQRT((((752-43)*MAX('Inputs'!$B$33,'Inputs'!$B$29+'Inputs'!$B$31+'Inputs'!$B$32,'Inputs'!$B$30+'Inputs'!$B$31+'Inputs'!$B$32)/1000+'Inputs'!$B$21+'Inputs'!$B$7+'Inputs'!$B$10)+'Inputs'!$B$9)^2+('Inputs'!$B$8/2)^2)-(((752-43)*MAX('Inputs'!$B$33,'Inputs'!$B$29+'Inputs'!$B$31+'Inputs'!$B$32,'Inputs'!$B$30+'Inputs'!$B$31+'Inputs'!$B$32)/1000+'Inputs'!$B$21+'Inputs'!$B$7+'Inputs'!$B$10))/SQRT((((752-43)*MAX('Inputs'!$B$33,'Inputs'!$B$29+'Inputs'!$B$31+'Inputs'!$B$32,'Inputs'!$B$30+'Inputs'!$B$31+'Inputs'!$B$32)/1000+'Inputs'!$B$21+'Inputs'!$B$7+'Inputs'!$B$10))^2+('Inputs'!$B$8/2)^2))))*'Results'!$B$8))),"")</x:f>
        <x:v>1.0683236733608363</x:v>
      </x:c>
      <x:c r="L752" t="n">
        <x:f>IF(AND(ISNUMBER('Results'!B7),ISNUMBER('Results'!C7),ISNUMBER('Results'!$B$8),ISNUMBER('Inputs'!$B$6),ISNUMBER('Inputs'!$B$7),ISNUMBER('Inputs'!$B$8),ISNUMBER('Inputs'!$B$9),ISNUMBER('Inputs'!$B$10),ISNUMBER('Inputs'!$B$21),ISNUMBER('Inputs'!$B$24),ISNUMBER('Inputs'!$B$28)),((('Results'!B7*(1+'Inputs'!$B$24)*(0.5*((((752-43)*MAX('Inputs'!$B$33,'Inputs'!$B$29+'Inputs'!$B$31+'Inputs'!$B$32,'Inputs'!$B$30+'Inputs'!$B$31+'Inputs'!$B$32)/1000+'Inputs'!$B$21)+'Inputs'!$B$7)/SQRT((((752-43)*MAX('Inputs'!$B$33,'Inputs'!$B$29+'Inputs'!$B$31+'Inputs'!$B$32,'Inputs'!$B$30+'Inputs'!$B$31+'Inputs'!$B$32)/1000+'Inputs'!$B$21)+'Inputs'!$B$7)^2+('Inputs'!$B$6/2)^2)-(((752-43)*MAX('Inputs'!$B$33,'Inputs'!$B$29+'Inputs'!$B$31+'Inputs'!$B$32,'Inputs'!$B$30+'Inputs'!$B$31+'Inputs'!$B$32)/1000+'Inputs'!$B$21))/SQRT((((752-43)*MAX('Inputs'!$B$33,'Inputs'!$B$29+'Inputs'!$B$31+'Inputs'!$B$32,'Inputs'!$B$30+'Inputs'!$B$31+'Inputs'!$B$32)/1000+'Inputs'!$B$21))^2+('Inputs'!$B$6/2)^2)))-'Results'!C7*(1-'Inputs'!$B$24)*(0.5*((((752-43)*MAX('Inputs'!$B$33,'Inputs'!$B$29+'Inputs'!$B$31+'Inputs'!$B$32,'Inputs'!$B$30+'Inputs'!$B$31+'Inputs'!$B$32)/1000+'Inputs'!$B$21+'Inputs'!$B$7+'Inputs'!$B$10)+'Inputs'!$B$9)/SQRT((((752-43)*MAX('Inputs'!$B$33,'Inputs'!$B$29+'Inputs'!$B$31+'Inputs'!$B$32,'Inputs'!$B$30+'Inputs'!$B$31+'Inputs'!$B$32)/1000+'Inputs'!$B$21+'Inputs'!$B$7+'Inputs'!$B$10)+'Inputs'!$B$9)^2+('Inputs'!$B$8/2)^2)-(((752-43)*MAX('Inputs'!$B$33,'Inputs'!$B$29+'Inputs'!$B$31+'Inputs'!$B$32,'Inputs'!$B$30+'Inputs'!$B$31+'Inputs'!$B$32)/1000+'Inputs'!$B$21+'Inputs'!$B$7+'Inputs'!$B$10))/SQRT((((752-43)*MAX('Inputs'!$B$33,'Inputs'!$B$29+'Inputs'!$B$31+'Inputs'!$B$32,'Inputs'!$B$30+'Inputs'!$B$31+'Inputs'!$B$32)/1000+'Inputs'!$B$21+'Inputs'!$B$7+'Inputs'!$B$10))^2+('Inputs'!$B$8/2)^2))))*'Results'!$B$8)+'Inputs'!$B$28*ABS((('Results'!B7*(1+'Inputs'!$B$24)*(0.5*((((752-43)*MAX('Inputs'!$B$33,'Inputs'!$B$29+'Inputs'!$B$31+'Inputs'!$B$32,'Inputs'!$B$30+'Inputs'!$B$31+'Inputs'!$B$32)/1000+'Inputs'!$B$21)+'Inputs'!$B$7)/SQRT((((752-43)*MAX('Inputs'!$B$33,'Inputs'!$B$29+'Inputs'!$B$31+'Inputs'!$B$32,'Inputs'!$B$30+'Inputs'!$B$31+'Inputs'!$B$32)/1000+'Inputs'!$B$21)+'Inputs'!$B$7)^2+('Inputs'!$B$6/2)^2)-(((752-43)*MAX('Inputs'!$B$33,'Inputs'!$B$29+'Inputs'!$B$31+'Inputs'!$B$32,'Inputs'!$B$30+'Inputs'!$B$31+'Inputs'!$B$32)/1000+'Inputs'!$B$21))/SQRT((((752-43)*MAX('Inputs'!$B$33,'Inputs'!$B$29+'Inputs'!$B$31+'Inputs'!$B$32,'Inputs'!$B$30+'Inputs'!$B$31+'Inputs'!$B$32)/1000+'Inputs'!$B$21))^2+('Inputs'!$B$6/2)^2)))-'Results'!C7*(1-'Inputs'!$B$24)*(0.5*((((752-43)*MAX('Inputs'!$B$33,'Inputs'!$B$29+'Inputs'!$B$31+'Inputs'!$B$32,'Inputs'!$B$30+'Inputs'!$B$31+'Inputs'!$B$32)/1000+'Inputs'!$B$21+'Inputs'!$B$7+'Inputs'!$B$10)+'Inputs'!$B$9)/SQRT((((752-43)*MAX('Inputs'!$B$33,'Inputs'!$B$29+'Inputs'!$B$31+'Inputs'!$B$32,'Inputs'!$B$30+'Inputs'!$B$31+'Inputs'!$B$32)/1000+'Inputs'!$B$21+'Inputs'!$B$7+'Inputs'!$B$10)+'Inputs'!$B$9)^2+('Inputs'!$B$8/2)^2)-(((752-43)*MAX('Inputs'!$B$33,'Inputs'!$B$29+'Inputs'!$B$31+'Inputs'!$B$32,'Inputs'!$B$30+'Inputs'!$B$31+'Inputs'!$B$32)/1000+'Inputs'!$B$21+'Inputs'!$B$7+'Inputs'!$B$10))/SQRT((((752-43)*MAX('Inputs'!$B$33,'Inputs'!$B$29+'Inputs'!$B$31+'Inputs'!$B$32,'Inputs'!$B$30+'Inputs'!$B$31+'Inputs'!$B$32)/1000+'Inputs'!$B$21+'Inputs'!$B$7+'Inputs'!$B$10))^2+('Inputs'!$B$8/2)^2))))*'Results'!$B$8))),"")</x:f>
        <x:v>1.4129609946378603</x:v>
      </x:c>
      <x:c r="M752" t="n">
        <x:f>IF(AND(ISNUMBER('Results'!C7),ISNUMBER('Results'!B7),ISNUMBER('Results'!$B$8),ISNUMBER('Inputs'!$B$6),ISNUMBER('Inputs'!$B$7),ISNUMBER('Inputs'!$B$8),ISNUMBER('Inputs'!$B$9),ISNUMBER('Inputs'!$B$10),ISNUMBER('Inputs'!$B$21),ISNUMBER('Inputs'!$B$24),ISNUMBER('Inputs'!$B$28)),(('Results'!C7*(0.5*((((752-43)*MAX('Inputs'!$B$33,'Inputs'!$B$29+'Inputs'!$B$31+'Inputs'!$B$32,'Inputs'!$B$30+'Inputs'!$B$31+'Inputs'!$B$32)/1000+'Inputs'!$B$21)+'Inputs'!$B$9)/SQRT((((752-43)*MAX('Inputs'!$B$33,'Inputs'!$B$29+'Inputs'!$B$31+'Inputs'!$B$32,'Inputs'!$B$30+'Inputs'!$B$31+'Inputs'!$B$32)/1000+'Inputs'!$B$21)+'Inputs'!$B$9)^2+('Inputs'!$B$8/2)^2)-(((752-43)*MAX('Inputs'!$B$33,'Inputs'!$B$29+'Inputs'!$B$31+'Inputs'!$B$32,'Inputs'!$B$30+'Inputs'!$B$31+'Inputs'!$B$32)/1000+'Inputs'!$B$21))/SQRT((((752-43)*MAX('Inputs'!$B$33,'Inputs'!$B$29+'Inputs'!$B$31+'Inputs'!$B$32,'Inputs'!$B$30+'Inputs'!$B$31+'Inputs'!$B$32)/1000+'Inputs'!$B$21))^2+('Inputs'!$B$8/2)^2)))-'Results'!B7*(0.5*((((752-43)*MAX('Inputs'!$B$33,'Inputs'!$B$29+'Inputs'!$B$31+'Inputs'!$B$32,'Inputs'!$B$30+'Inputs'!$B$31+'Inputs'!$B$32)/1000+'Inputs'!$B$21+'Inputs'!$B$9+'Inputs'!$B$10)+'Inputs'!$B$7)/SQRT((((752-43)*MAX('Inputs'!$B$33,'Inputs'!$B$29+'Inputs'!$B$31+'Inputs'!$B$32,'Inputs'!$B$30+'Inputs'!$B$31+'Inputs'!$B$32)/1000+'Inputs'!$B$21+'Inputs'!$B$9+'Inputs'!$B$10)+'Inputs'!$B$7)^2+('Inputs'!$B$6/2)^2)-(((752-43)*MAX('Inputs'!$B$33,'Inputs'!$B$29+'Inputs'!$B$31+'Inputs'!$B$32,'Inputs'!$B$30+'Inputs'!$B$31+'Inputs'!$B$32)/1000+'Inputs'!$B$21+'Inputs'!$B$9+'Inputs'!$B$10))/SQRT((((752-43)*MAX('Inputs'!$B$33,'Inputs'!$B$29+'Inputs'!$B$31+'Inputs'!$B$32,'Inputs'!$B$30+'Inputs'!$B$31+'Inputs'!$B$32)/1000+'Inputs'!$B$21+'Inputs'!$B$9+'Inputs'!$B$10))^2+('Inputs'!$B$6/2)^2))))*'Results'!$B$8),"")</x:f>
        <x:v>1.123675105855566</x:v>
      </x:c>
      <x:c r="N752" t="n">
        <x:f>IF(AND(ISNUMBER('Results'!C7),ISNUMBER('Results'!B7),ISNUMBER('Results'!$B$8),ISNUMBER('Inputs'!$B$6),ISNUMBER('Inputs'!$B$7),ISNUMBER('Inputs'!$B$8),ISNUMBER('Inputs'!$B$9),ISNUMBER('Inputs'!$B$10),ISNUMBER('Inputs'!$B$21),ISNUMBER('Inputs'!$B$24),ISNUMBER('Inputs'!$B$28)),((('Results'!C7*(1-'Inputs'!$B$24)*(0.5*((((752-43)*MAX('Inputs'!$B$33,'Inputs'!$B$29+'Inputs'!$B$31+'Inputs'!$B$32,'Inputs'!$B$30+'Inputs'!$B$31+'Inputs'!$B$32)/1000+'Inputs'!$B$21)+'Inputs'!$B$9)/SQRT((((752-43)*MAX('Inputs'!$B$33,'Inputs'!$B$29+'Inputs'!$B$31+'Inputs'!$B$32,'Inputs'!$B$30+'Inputs'!$B$31+'Inputs'!$B$32)/1000+'Inputs'!$B$21)+'Inputs'!$B$9)^2+('Inputs'!$B$8/2)^2)-(((752-43)*MAX('Inputs'!$B$33,'Inputs'!$B$29+'Inputs'!$B$31+'Inputs'!$B$32,'Inputs'!$B$30+'Inputs'!$B$31+'Inputs'!$B$32)/1000+'Inputs'!$B$21))/SQRT((((752-43)*MAX('Inputs'!$B$33,'Inputs'!$B$29+'Inputs'!$B$31+'Inputs'!$B$32,'Inputs'!$B$30+'Inputs'!$B$31+'Inputs'!$B$32)/1000+'Inputs'!$B$21))^2+('Inputs'!$B$8/2)^2)))-'Results'!B7*(1+'Inputs'!$B$24)*(0.5*((((752-43)*MAX('Inputs'!$B$33,'Inputs'!$B$29+'Inputs'!$B$31+'Inputs'!$B$32,'Inputs'!$B$30+'Inputs'!$B$31+'Inputs'!$B$32)/1000+'Inputs'!$B$21+'Inputs'!$B$9+'Inputs'!$B$10)+'Inputs'!$B$7)/SQRT((((752-43)*MAX('Inputs'!$B$33,'Inputs'!$B$29+'Inputs'!$B$31+'Inputs'!$B$32,'Inputs'!$B$30+'Inputs'!$B$31+'Inputs'!$B$32)/1000+'Inputs'!$B$21+'Inputs'!$B$9+'Inputs'!$B$10)+'Inputs'!$B$7)^2+('Inputs'!$B$6/2)^2)-(((752-43)*MAX('Inputs'!$B$33,'Inputs'!$B$29+'Inputs'!$B$31+'Inputs'!$B$32,'Inputs'!$B$30+'Inputs'!$B$31+'Inputs'!$B$32)/1000+'Inputs'!$B$21+'Inputs'!$B$9+'Inputs'!$B$10))/SQRT((((752-43)*MAX('Inputs'!$B$33,'Inputs'!$B$29+'Inputs'!$B$31+'Inputs'!$B$32,'Inputs'!$B$30+'Inputs'!$B$31+'Inputs'!$B$32)/1000+'Inputs'!$B$21+'Inputs'!$B$9+'Inputs'!$B$10))^2+('Inputs'!$B$6/2)^2))))*'Results'!$B$8)-'Inputs'!$B$28*ABS((('Results'!C7*(1-'Inputs'!$B$24)*(0.5*((((752-43)*MAX('Inputs'!$B$33,'Inputs'!$B$29+'Inputs'!$B$31+'Inputs'!$B$32,'Inputs'!$B$30+'Inputs'!$B$31+'Inputs'!$B$32)/1000+'Inputs'!$B$21)+'Inputs'!$B$9)/SQRT((((752-43)*MAX('Inputs'!$B$33,'Inputs'!$B$29+'Inputs'!$B$31+'Inputs'!$B$32,'Inputs'!$B$30+'Inputs'!$B$31+'Inputs'!$B$32)/1000+'Inputs'!$B$21)+'Inputs'!$B$9)^2+('Inputs'!$B$8/2)^2)-(((752-43)*MAX('Inputs'!$B$33,'Inputs'!$B$29+'Inputs'!$B$31+'Inputs'!$B$32,'Inputs'!$B$30+'Inputs'!$B$31+'Inputs'!$B$32)/1000+'Inputs'!$B$21))/SQRT((((752-43)*MAX('Inputs'!$B$33,'Inputs'!$B$29+'Inputs'!$B$31+'Inputs'!$B$32,'Inputs'!$B$30+'Inputs'!$B$31+'Inputs'!$B$32)/1000+'Inputs'!$B$21))^2+('Inputs'!$B$8/2)^2)))-'Results'!B7*(1+'Inputs'!$B$24)*(0.5*((((752-43)*MAX('Inputs'!$B$33,'Inputs'!$B$29+'Inputs'!$B$31+'Inputs'!$B$32,'Inputs'!$B$30+'Inputs'!$B$31+'Inputs'!$B$32)/1000+'Inputs'!$B$21+'Inputs'!$B$9+'Inputs'!$B$10)+'Inputs'!$B$7)/SQRT((((752-43)*MAX('Inputs'!$B$33,'Inputs'!$B$29+'Inputs'!$B$31+'Inputs'!$B$32,'Inputs'!$B$30+'Inputs'!$B$31+'Inputs'!$B$32)/1000+'Inputs'!$B$21+'Inputs'!$B$9+'Inputs'!$B$10)+'Inputs'!$B$7)^2+('Inputs'!$B$6/2)^2)-(((752-43)*MAX('Inputs'!$B$33,'Inputs'!$B$29+'Inputs'!$B$31+'Inputs'!$B$32,'Inputs'!$B$30+'Inputs'!$B$31+'Inputs'!$B$32)/1000+'Inputs'!$B$21+'Inputs'!$B$9+'Inputs'!$B$10))/SQRT((((752-43)*MAX('Inputs'!$B$33,'Inputs'!$B$29+'Inputs'!$B$31+'Inputs'!$B$32,'Inputs'!$B$30+'Inputs'!$B$31+'Inputs'!$B$32)/1000+'Inputs'!$B$21+'Inputs'!$B$9+'Inputs'!$B$10))^2+('Inputs'!$B$6/2)^2))))*'Results'!$B$8))),"")</x:f>
        <x:v>0.9629092437466766</x:v>
      </x:c>
      <x:c r="O752" t="n">
        <x:f>IF(AND(ISNUMBER('Results'!C7),ISNUMBER('Results'!B7),ISNUMBER('Results'!$B$8),ISNUMBER('Inputs'!$B$6),ISNUMBER('Inputs'!$B$7),ISNUMBER('Inputs'!$B$8),ISNUMBER('Inputs'!$B$9),ISNUMBER('Inputs'!$B$10),ISNUMBER('Inputs'!$B$21),ISNUMBER('Inputs'!$B$24),ISNUMBER('Inputs'!$B$28)),((('Results'!C7*(1+'Inputs'!$B$24)*(0.5*((((752-43)*MAX('Inputs'!$B$33,'Inputs'!$B$29+'Inputs'!$B$31+'Inputs'!$B$32,'Inputs'!$B$30+'Inputs'!$B$31+'Inputs'!$B$32)/1000+'Inputs'!$B$21)+'Inputs'!$B$9)/SQRT((((752-43)*MAX('Inputs'!$B$33,'Inputs'!$B$29+'Inputs'!$B$31+'Inputs'!$B$32,'Inputs'!$B$30+'Inputs'!$B$31+'Inputs'!$B$32)/1000+'Inputs'!$B$21)+'Inputs'!$B$9)^2+('Inputs'!$B$8/2)^2)-(((752-43)*MAX('Inputs'!$B$33,'Inputs'!$B$29+'Inputs'!$B$31+'Inputs'!$B$32,'Inputs'!$B$30+'Inputs'!$B$31+'Inputs'!$B$32)/1000+'Inputs'!$B$21))/SQRT((((752-43)*MAX('Inputs'!$B$33,'Inputs'!$B$29+'Inputs'!$B$31+'Inputs'!$B$32,'Inputs'!$B$30+'Inputs'!$B$31+'Inputs'!$B$32)/1000+'Inputs'!$B$21))^2+('Inputs'!$B$8/2)^2)))-'Results'!B7*(1-'Inputs'!$B$24)*(0.5*((((752-43)*MAX('Inputs'!$B$33,'Inputs'!$B$29+'Inputs'!$B$31+'Inputs'!$B$32,'Inputs'!$B$30+'Inputs'!$B$31+'Inputs'!$B$32)/1000+'Inputs'!$B$21+'Inputs'!$B$9+'Inputs'!$B$10)+'Inputs'!$B$7)/SQRT((((752-43)*MAX('Inputs'!$B$33,'Inputs'!$B$29+'Inputs'!$B$31+'Inputs'!$B$32,'Inputs'!$B$30+'Inputs'!$B$31+'Inputs'!$B$32)/1000+'Inputs'!$B$21+'Inputs'!$B$9+'Inputs'!$B$10)+'Inputs'!$B$7)^2+('Inputs'!$B$6/2)^2)-(((752-43)*MAX('Inputs'!$B$33,'Inputs'!$B$29+'Inputs'!$B$31+'Inputs'!$B$32,'Inputs'!$B$30+'Inputs'!$B$31+'Inputs'!$B$32)/1000+'Inputs'!$B$21+'Inputs'!$B$9+'Inputs'!$B$10))/SQRT((((752-43)*MAX('Inputs'!$B$33,'Inputs'!$B$29+'Inputs'!$B$31+'Inputs'!$B$32,'Inputs'!$B$30+'Inputs'!$B$31+'Inputs'!$B$32)/1000+'Inputs'!$B$21+'Inputs'!$B$9+'Inputs'!$B$10))^2+('Inputs'!$B$6/2)^2))))*'Results'!$B$8)+'Inputs'!$B$28*ABS((('Results'!C7*(1+'Inputs'!$B$24)*(0.5*((((752-43)*MAX('Inputs'!$B$33,'Inputs'!$B$29+'Inputs'!$B$31+'Inputs'!$B$32,'Inputs'!$B$30+'Inputs'!$B$31+'Inputs'!$B$32)/1000+'Inputs'!$B$21)+'Inputs'!$B$9)/SQRT((((752-43)*MAX('Inputs'!$B$33,'Inputs'!$B$29+'Inputs'!$B$31+'Inputs'!$B$32,'Inputs'!$B$30+'Inputs'!$B$31+'Inputs'!$B$32)/1000+'Inputs'!$B$21)+'Inputs'!$B$9)^2+('Inputs'!$B$8/2)^2)-(((752-43)*MAX('Inputs'!$B$33,'Inputs'!$B$29+'Inputs'!$B$31+'Inputs'!$B$32,'Inputs'!$B$30+'Inputs'!$B$31+'Inputs'!$B$32)/1000+'Inputs'!$B$21))/SQRT((((752-43)*MAX('Inputs'!$B$33,'Inputs'!$B$29+'Inputs'!$B$31+'Inputs'!$B$32,'Inputs'!$B$30+'Inputs'!$B$31+'Inputs'!$B$32)/1000+'Inputs'!$B$21))^2+('Inputs'!$B$8/2)^2)))-'Results'!B7*(1-'Inputs'!$B$24)*(0.5*((((752-43)*MAX('Inputs'!$B$33,'Inputs'!$B$29+'Inputs'!$B$31+'Inputs'!$B$32,'Inputs'!$B$30+'Inputs'!$B$31+'Inputs'!$B$32)/1000+'Inputs'!$B$21+'Inputs'!$B$9+'Inputs'!$B$10)+'Inputs'!$B$7)/SQRT((((752-43)*MAX('Inputs'!$B$33,'Inputs'!$B$29+'Inputs'!$B$31+'Inputs'!$B$32,'Inputs'!$B$30+'Inputs'!$B$31+'Inputs'!$B$32)/1000+'Inputs'!$B$21+'Inputs'!$B$9+'Inputs'!$B$10)+'Inputs'!$B$7)^2+('Inputs'!$B$6/2)^2)-(((752-43)*MAX('Inputs'!$B$33,'Inputs'!$B$29+'Inputs'!$B$31+'Inputs'!$B$32,'Inputs'!$B$30+'Inputs'!$B$31+'Inputs'!$B$32)/1000+'Inputs'!$B$21+'Inputs'!$B$9+'Inputs'!$B$10))/SQRT((((752-43)*MAX('Inputs'!$B$33,'Inputs'!$B$29+'Inputs'!$B$31+'Inputs'!$B$32,'Inputs'!$B$30+'Inputs'!$B$31+'Inputs'!$B$32)/1000+'Inputs'!$B$21+'Inputs'!$B$9+'Inputs'!$B$10))^2+('Inputs'!$B$6/2)^2))))*'Results'!$B$8))),"")</x:f>
        <x:v>1.2954496107872038</x:v>
      </x:c>
      <x:c r="P752" t="n">
        <x:f>IF(AND(MAX(J752,J751)&gt;0,J752&gt;J751+0.00000001),1,0)</x:f>
        <x:v>0</x:v>
      </x:c>
      <x:c r="Q752" t="n">
        <x:f>IF(AND(MAX(K752,K751)&gt;0,K752&gt;K751+0.00000001),1,0)</x:f>
        <x:v>0</x:v>
      </x:c>
      <x:c r="R752" t="n">
        <x:f>IF(AND(MAX(L752,L751)&gt;0,L752&gt;L751+0.00000001),1,0)</x:f>
        <x:v>0</x:v>
      </x:c>
      <x:c r="S752" t="n">
        <x:f>IF(AND(MAX(M752,M751)&gt;0,M752&gt;M751+0.00000001),1,0)</x:f>
        <x:v>0</x:v>
      </x:c>
      <x:c r="T752" t="n">
        <x:f>IF(AND(MAX(N752,N751)&gt;0,N752&gt;N751+0.00000001),1,0)</x:f>
        <x:v>0</x:v>
      </x:c>
      <x:c r="U752" t="n">
        <x:f>IF(AND(MAX(O752,O751)&gt;0,O752&gt;O751+0.00000001),1,0)</x:f>
        <x:v>0</x:v>
      </x:c>
    </x:row>
    <x:row r="753">
      <x:c r="J753" t="n">
        <x:f>IF(AND(ISNUMBER('Results'!B7),ISNUMBER('Results'!C7),ISNUMBER('Results'!$B$8),ISNUMBER('Inputs'!$B$6),ISNUMBER('Inputs'!$B$7),ISNUMBER('Inputs'!$B$8),ISNUMBER('Inputs'!$B$9),ISNUMBER('Inputs'!$B$10),ISNUMBER('Inputs'!$B$21),ISNUMBER('Inputs'!$B$24),ISNUMBER('Inputs'!$B$28)),(('Results'!B7*(0.5*((((753-43)*MAX('Inputs'!$B$33,'Inputs'!$B$29+'Inputs'!$B$31+'Inputs'!$B$32,'Inputs'!$B$30+'Inputs'!$B$31+'Inputs'!$B$32)/1000+'Inputs'!$B$21)+'Inputs'!$B$7)/SQRT((((753-43)*MAX('Inputs'!$B$33,'Inputs'!$B$29+'Inputs'!$B$31+'Inputs'!$B$32,'Inputs'!$B$30+'Inputs'!$B$31+'Inputs'!$B$32)/1000+'Inputs'!$B$21)+'Inputs'!$B$7)^2+('Inputs'!$B$6/2)^2)-(((753-43)*MAX('Inputs'!$B$33,'Inputs'!$B$29+'Inputs'!$B$31+'Inputs'!$B$32,'Inputs'!$B$30+'Inputs'!$B$31+'Inputs'!$B$32)/1000+'Inputs'!$B$21))/SQRT((((753-43)*MAX('Inputs'!$B$33,'Inputs'!$B$29+'Inputs'!$B$31+'Inputs'!$B$32,'Inputs'!$B$30+'Inputs'!$B$31+'Inputs'!$B$32)/1000+'Inputs'!$B$21))^2+('Inputs'!$B$6/2)^2)))-'Results'!C7*(0.5*((((753-43)*MAX('Inputs'!$B$33,'Inputs'!$B$29+'Inputs'!$B$31+'Inputs'!$B$32,'Inputs'!$B$30+'Inputs'!$B$31+'Inputs'!$B$32)/1000+'Inputs'!$B$21+'Inputs'!$B$7+'Inputs'!$B$10)+'Inputs'!$B$9)/SQRT((((753-43)*MAX('Inputs'!$B$33,'Inputs'!$B$29+'Inputs'!$B$31+'Inputs'!$B$32,'Inputs'!$B$30+'Inputs'!$B$31+'Inputs'!$B$32)/1000+'Inputs'!$B$21+'Inputs'!$B$7+'Inputs'!$B$10)+'Inputs'!$B$9)^2+('Inputs'!$B$8/2)^2)-(((753-43)*MAX('Inputs'!$B$33,'Inputs'!$B$29+'Inputs'!$B$31+'Inputs'!$B$32,'Inputs'!$B$30+'Inputs'!$B$31+'Inputs'!$B$32)/1000+'Inputs'!$B$21+'Inputs'!$B$7+'Inputs'!$B$10))/SQRT((((753-43)*MAX('Inputs'!$B$33,'Inputs'!$B$29+'Inputs'!$B$31+'Inputs'!$B$32,'Inputs'!$B$30+'Inputs'!$B$31+'Inputs'!$B$32)/1000+'Inputs'!$B$21+'Inputs'!$B$7+'Inputs'!$B$10))^2+('Inputs'!$B$8/2)^2))))*'Results'!$B$8),"")</x:f>
        <x:v>1.2289370297435596</x:v>
      </x:c>
      <x:c r="K753" t="n">
        <x:f>IF(AND(ISNUMBER('Results'!B7),ISNUMBER('Results'!C7),ISNUMBER('Results'!$B$8),ISNUMBER('Inputs'!$B$6),ISNUMBER('Inputs'!$B$7),ISNUMBER('Inputs'!$B$8),ISNUMBER('Inputs'!$B$9),ISNUMBER('Inputs'!$B$10),ISNUMBER('Inputs'!$B$21),ISNUMBER('Inputs'!$B$24),ISNUMBER('Inputs'!$B$28)),((('Results'!B7*(1-'Inputs'!$B$24)*(0.5*((((753-43)*MAX('Inputs'!$B$33,'Inputs'!$B$29+'Inputs'!$B$31+'Inputs'!$B$32,'Inputs'!$B$30+'Inputs'!$B$31+'Inputs'!$B$32)/1000+'Inputs'!$B$21)+'Inputs'!$B$7)/SQRT((((753-43)*MAX('Inputs'!$B$33,'Inputs'!$B$29+'Inputs'!$B$31+'Inputs'!$B$32,'Inputs'!$B$30+'Inputs'!$B$31+'Inputs'!$B$32)/1000+'Inputs'!$B$21)+'Inputs'!$B$7)^2+('Inputs'!$B$6/2)^2)-(((753-43)*MAX('Inputs'!$B$33,'Inputs'!$B$29+'Inputs'!$B$31+'Inputs'!$B$32,'Inputs'!$B$30+'Inputs'!$B$31+'Inputs'!$B$32)/1000+'Inputs'!$B$21))/SQRT((((753-43)*MAX('Inputs'!$B$33,'Inputs'!$B$29+'Inputs'!$B$31+'Inputs'!$B$32,'Inputs'!$B$30+'Inputs'!$B$31+'Inputs'!$B$32)/1000+'Inputs'!$B$21))^2+('Inputs'!$B$6/2)^2)))-'Results'!C7*(1+'Inputs'!$B$24)*(0.5*((((753-43)*MAX('Inputs'!$B$33,'Inputs'!$B$29+'Inputs'!$B$31+'Inputs'!$B$32,'Inputs'!$B$30+'Inputs'!$B$31+'Inputs'!$B$32)/1000+'Inputs'!$B$21+'Inputs'!$B$7+'Inputs'!$B$10)+'Inputs'!$B$9)/SQRT((((753-43)*MAX('Inputs'!$B$33,'Inputs'!$B$29+'Inputs'!$B$31+'Inputs'!$B$32,'Inputs'!$B$30+'Inputs'!$B$31+'Inputs'!$B$32)/1000+'Inputs'!$B$21+'Inputs'!$B$7+'Inputs'!$B$10)+'Inputs'!$B$9)^2+('Inputs'!$B$8/2)^2)-(((753-43)*MAX('Inputs'!$B$33,'Inputs'!$B$29+'Inputs'!$B$31+'Inputs'!$B$32,'Inputs'!$B$30+'Inputs'!$B$31+'Inputs'!$B$32)/1000+'Inputs'!$B$21+'Inputs'!$B$7+'Inputs'!$B$10))/SQRT((((753-43)*MAX('Inputs'!$B$33,'Inputs'!$B$29+'Inputs'!$B$31+'Inputs'!$B$32,'Inputs'!$B$30+'Inputs'!$B$31+'Inputs'!$B$32)/1000+'Inputs'!$B$21+'Inputs'!$B$7+'Inputs'!$B$10))^2+('Inputs'!$B$8/2)^2))))*'Results'!$B$8)-'Inputs'!$B$28*ABS((('Results'!B7*(1-'Inputs'!$B$24)*(0.5*((((753-43)*MAX('Inputs'!$B$33,'Inputs'!$B$29+'Inputs'!$B$31+'Inputs'!$B$32,'Inputs'!$B$30+'Inputs'!$B$31+'Inputs'!$B$32)/1000+'Inputs'!$B$21)+'Inputs'!$B$7)/SQRT((((753-43)*MAX('Inputs'!$B$33,'Inputs'!$B$29+'Inputs'!$B$31+'Inputs'!$B$32,'Inputs'!$B$30+'Inputs'!$B$31+'Inputs'!$B$32)/1000+'Inputs'!$B$21)+'Inputs'!$B$7)^2+('Inputs'!$B$6/2)^2)-(((753-43)*MAX('Inputs'!$B$33,'Inputs'!$B$29+'Inputs'!$B$31+'Inputs'!$B$32,'Inputs'!$B$30+'Inputs'!$B$31+'Inputs'!$B$32)/1000+'Inputs'!$B$21))/SQRT((((753-43)*MAX('Inputs'!$B$33,'Inputs'!$B$29+'Inputs'!$B$31+'Inputs'!$B$32,'Inputs'!$B$30+'Inputs'!$B$31+'Inputs'!$B$32)/1000+'Inputs'!$B$21))^2+('Inputs'!$B$6/2)^2)))-'Results'!C7*(1+'Inputs'!$B$24)*(0.5*((((753-43)*MAX('Inputs'!$B$33,'Inputs'!$B$29+'Inputs'!$B$31+'Inputs'!$B$32,'Inputs'!$B$30+'Inputs'!$B$31+'Inputs'!$B$32)/1000+'Inputs'!$B$21+'Inputs'!$B$7+'Inputs'!$B$10)+'Inputs'!$B$9)/SQRT((((753-43)*MAX('Inputs'!$B$33,'Inputs'!$B$29+'Inputs'!$B$31+'Inputs'!$B$32,'Inputs'!$B$30+'Inputs'!$B$31+'Inputs'!$B$32)/1000+'Inputs'!$B$21+'Inputs'!$B$7+'Inputs'!$B$10)+'Inputs'!$B$9)^2+('Inputs'!$B$8/2)^2)-(((753-43)*MAX('Inputs'!$B$33,'Inputs'!$B$29+'Inputs'!$B$31+'Inputs'!$B$32,'Inputs'!$B$30+'Inputs'!$B$31+'Inputs'!$B$32)/1000+'Inputs'!$B$21+'Inputs'!$B$7+'Inputs'!$B$10))/SQRT((((753-43)*MAX('Inputs'!$B$33,'Inputs'!$B$29+'Inputs'!$B$31+'Inputs'!$B$32,'Inputs'!$B$30+'Inputs'!$B$31+'Inputs'!$B$32)/1000+'Inputs'!$B$21+'Inputs'!$B$7+'Inputs'!$B$10))^2+('Inputs'!$B$8/2)^2))))*'Results'!$B$8))),"")</x:f>
        <x:v>1.0628598196000805</x:v>
      </x:c>
      <x:c r="L753" t="n">
        <x:f>IF(AND(ISNUMBER('Results'!B7),ISNUMBER('Results'!C7),ISNUMBER('Results'!$B$8),ISNUMBER('Inputs'!$B$6),ISNUMBER('Inputs'!$B$7),ISNUMBER('Inputs'!$B$8),ISNUMBER('Inputs'!$B$9),ISNUMBER('Inputs'!$B$10),ISNUMBER('Inputs'!$B$21),ISNUMBER('Inputs'!$B$24),ISNUMBER('Inputs'!$B$28)),((('Results'!B7*(1+'Inputs'!$B$24)*(0.5*((((753-43)*MAX('Inputs'!$B$33,'Inputs'!$B$29+'Inputs'!$B$31+'Inputs'!$B$32,'Inputs'!$B$30+'Inputs'!$B$31+'Inputs'!$B$32)/1000+'Inputs'!$B$21)+'Inputs'!$B$7)/SQRT((((753-43)*MAX('Inputs'!$B$33,'Inputs'!$B$29+'Inputs'!$B$31+'Inputs'!$B$32,'Inputs'!$B$30+'Inputs'!$B$31+'Inputs'!$B$32)/1000+'Inputs'!$B$21)+'Inputs'!$B$7)^2+('Inputs'!$B$6/2)^2)-(((753-43)*MAX('Inputs'!$B$33,'Inputs'!$B$29+'Inputs'!$B$31+'Inputs'!$B$32,'Inputs'!$B$30+'Inputs'!$B$31+'Inputs'!$B$32)/1000+'Inputs'!$B$21))/SQRT((((753-43)*MAX('Inputs'!$B$33,'Inputs'!$B$29+'Inputs'!$B$31+'Inputs'!$B$32,'Inputs'!$B$30+'Inputs'!$B$31+'Inputs'!$B$32)/1000+'Inputs'!$B$21))^2+('Inputs'!$B$6/2)^2)))-'Results'!C7*(1-'Inputs'!$B$24)*(0.5*((((753-43)*MAX('Inputs'!$B$33,'Inputs'!$B$29+'Inputs'!$B$31+'Inputs'!$B$32,'Inputs'!$B$30+'Inputs'!$B$31+'Inputs'!$B$32)/1000+'Inputs'!$B$21+'Inputs'!$B$7+'Inputs'!$B$10)+'Inputs'!$B$9)/SQRT((((753-43)*MAX('Inputs'!$B$33,'Inputs'!$B$29+'Inputs'!$B$31+'Inputs'!$B$32,'Inputs'!$B$30+'Inputs'!$B$31+'Inputs'!$B$32)/1000+'Inputs'!$B$21+'Inputs'!$B$7+'Inputs'!$B$10)+'Inputs'!$B$9)^2+('Inputs'!$B$8/2)^2)-(((753-43)*MAX('Inputs'!$B$33,'Inputs'!$B$29+'Inputs'!$B$31+'Inputs'!$B$32,'Inputs'!$B$30+'Inputs'!$B$31+'Inputs'!$B$32)/1000+'Inputs'!$B$21+'Inputs'!$B$7+'Inputs'!$B$10))/SQRT((((753-43)*MAX('Inputs'!$B$33,'Inputs'!$B$29+'Inputs'!$B$31+'Inputs'!$B$32,'Inputs'!$B$30+'Inputs'!$B$31+'Inputs'!$B$32)/1000+'Inputs'!$B$21+'Inputs'!$B$7+'Inputs'!$B$10))^2+('Inputs'!$B$8/2)^2))))*'Results'!$B$8)+'Inputs'!$B$28*ABS((('Results'!B7*(1+'Inputs'!$B$24)*(0.5*((((753-43)*MAX('Inputs'!$B$33,'Inputs'!$B$29+'Inputs'!$B$31+'Inputs'!$B$32,'Inputs'!$B$30+'Inputs'!$B$31+'Inputs'!$B$32)/1000+'Inputs'!$B$21)+'Inputs'!$B$7)/SQRT((((753-43)*MAX('Inputs'!$B$33,'Inputs'!$B$29+'Inputs'!$B$31+'Inputs'!$B$32,'Inputs'!$B$30+'Inputs'!$B$31+'Inputs'!$B$32)/1000+'Inputs'!$B$21)+'Inputs'!$B$7)^2+('Inputs'!$B$6/2)^2)-(((753-43)*MAX('Inputs'!$B$33,'Inputs'!$B$29+'Inputs'!$B$31+'Inputs'!$B$32,'Inputs'!$B$30+'Inputs'!$B$31+'Inputs'!$B$32)/1000+'Inputs'!$B$21))/SQRT((((753-43)*MAX('Inputs'!$B$33,'Inputs'!$B$29+'Inputs'!$B$31+'Inputs'!$B$32,'Inputs'!$B$30+'Inputs'!$B$31+'Inputs'!$B$32)/1000+'Inputs'!$B$21))^2+('Inputs'!$B$6/2)^2)))-'Results'!C7*(1-'Inputs'!$B$24)*(0.5*((((753-43)*MAX('Inputs'!$B$33,'Inputs'!$B$29+'Inputs'!$B$31+'Inputs'!$B$32,'Inputs'!$B$30+'Inputs'!$B$31+'Inputs'!$B$32)/1000+'Inputs'!$B$21+'Inputs'!$B$7+'Inputs'!$B$10)+'Inputs'!$B$9)/SQRT((((753-43)*MAX('Inputs'!$B$33,'Inputs'!$B$29+'Inputs'!$B$31+'Inputs'!$B$32,'Inputs'!$B$30+'Inputs'!$B$31+'Inputs'!$B$32)/1000+'Inputs'!$B$21+'Inputs'!$B$7+'Inputs'!$B$10)+'Inputs'!$B$9)^2+('Inputs'!$B$8/2)^2)-(((753-43)*MAX('Inputs'!$B$33,'Inputs'!$B$29+'Inputs'!$B$31+'Inputs'!$B$32,'Inputs'!$B$30+'Inputs'!$B$31+'Inputs'!$B$32)/1000+'Inputs'!$B$21+'Inputs'!$B$7+'Inputs'!$B$10))/SQRT((((753-43)*MAX('Inputs'!$B$33,'Inputs'!$B$29+'Inputs'!$B$31+'Inputs'!$B$32,'Inputs'!$B$30+'Inputs'!$B$31+'Inputs'!$B$32)/1000+'Inputs'!$B$21+'Inputs'!$B$7+'Inputs'!$B$10))^2+('Inputs'!$B$8/2)^2))))*'Results'!$B$8))),"")</x:f>
        <x:v>1.406027961850859</x:v>
      </x:c>
      <x:c r="M753" t="n">
        <x:f>IF(AND(ISNUMBER('Results'!C7),ISNUMBER('Results'!B7),ISNUMBER('Results'!$B$8),ISNUMBER('Inputs'!$B$6),ISNUMBER('Inputs'!$B$7),ISNUMBER('Inputs'!$B$8),ISNUMBER('Inputs'!$B$9),ISNUMBER('Inputs'!$B$10),ISNUMBER('Inputs'!$B$21),ISNUMBER('Inputs'!$B$24),ISNUMBER('Inputs'!$B$28)),(('Results'!C7*(0.5*((((753-43)*MAX('Inputs'!$B$33,'Inputs'!$B$29+'Inputs'!$B$31+'Inputs'!$B$32,'Inputs'!$B$30+'Inputs'!$B$31+'Inputs'!$B$32)/1000+'Inputs'!$B$21)+'Inputs'!$B$9)/SQRT((((753-43)*MAX('Inputs'!$B$33,'Inputs'!$B$29+'Inputs'!$B$31+'Inputs'!$B$32,'Inputs'!$B$30+'Inputs'!$B$31+'Inputs'!$B$32)/1000+'Inputs'!$B$21)+'Inputs'!$B$9)^2+('Inputs'!$B$8/2)^2)-(((753-43)*MAX('Inputs'!$B$33,'Inputs'!$B$29+'Inputs'!$B$31+'Inputs'!$B$32,'Inputs'!$B$30+'Inputs'!$B$31+'Inputs'!$B$32)/1000+'Inputs'!$B$21))/SQRT((((753-43)*MAX('Inputs'!$B$33,'Inputs'!$B$29+'Inputs'!$B$31+'Inputs'!$B$32,'Inputs'!$B$30+'Inputs'!$B$31+'Inputs'!$B$32)/1000+'Inputs'!$B$21))^2+('Inputs'!$B$8/2)^2)))-'Results'!B7*(0.5*((((753-43)*MAX('Inputs'!$B$33,'Inputs'!$B$29+'Inputs'!$B$31+'Inputs'!$B$32,'Inputs'!$B$30+'Inputs'!$B$31+'Inputs'!$B$32)/1000+'Inputs'!$B$21+'Inputs'!$B$9+'Inputs'!$B$10)+'Inputs'!$B$7)/SQRT((((753-43)*MAX('Inputs'!$B$33,'Inputs'!$B$29+'Inputs'!$B$31+'Inputs'!$B$32,'Inputs'!$B$30+'Inputs'!$B$31+'Inputs'!$B$32)/1000+'Inputs'!$B$21+'Inputs'!$B$9+'Inputs'!$B$10)+'Inputs'!$B$7)^2+('Inputs'!$B$6/2)^2)-(((753-43)*MAX('Inputs'!$B$33,'Inputs'!$B$29+'Inputs'!$B$31+'Inputs'!$B$32,'Inputs'!$B$30+'Inputs'!$B$31+'Inputs'!$B$32)/1000+'Inputs'!$B$21+'Inputs'!$B$9+'Inputs'!$B$10))/SQRT((((753-43)*MAX('Inputs'!$B$33,'Inputs'!$B$29+'Inputs'!$B$31+'Inputs'!$B$32,'Inputs'!$B$30+'Inputs'!$B$31+'Inputs'!$B$32)/1000+'Inputs'!$B$21+'Inputs'!$B$9+'Inputs'!$B$10))^2+('Inputs'!$B$6/2)^2))))*'Results'!$B$8),"")</x:f>
        <x:v>1.117926764400824</x:v>
      </x:c>
      <x:c r="N753" t="n">
        <x:f>IF(AND(ISNUMBER('Results'!C7),ISNUMBER('Results'!B7),ISNUMBER('Results'!$B$8),ISNUMBER('Inputs'!$B$6),ISNUMBER('Inputs'!$B$7),ISNUMBER('Inputs'!$B$8),ISNUMBER('Inputs'!$B$9),ISNUMBER('Inputs'!$B$10),ISNUMBER('Inputs'!$B$21),ISNUMBER('Inputs'!$B$24),ISNUMBER('Inputs'!$B$28)),((('Results'!C7*(1-'Inputs'!$B$24)*(0.5*((((753-43)*MAX('Inputs'!$B$33,'Inputs'!$B$29+'Inputs'!$B$31+'Inputs'!$B$32,'Inputs'!$B$30+'Inputs'!$B$31+'Inputs'!$B$32)/1000+'Inputs'!$B$21)+'Inputs'!$B$9)/SQRT((((753-43)*MAX('Inputs'!$B$33,'Inputs'!$B$29+'Inputs'!$B$31+'Inputs'!$B$32,'Inputs'!$B$30+'Inputs'!$B$31+'Inputs'!$B$32)/1000+'Inputs'!$B$21)+'Inputs'!$B$9)^2+('Inputs'!$B$8/2)^2)-(((753-43)*MAX('Inputs'!$B$33,'Inputs'!$B$29+'Inputs'!$B$31+'Inputs'!$B$32,'Inputs'!$B$30+'Inputs'!$B$31+'Inputs'!$B$32)/1000+'Inputs'!$B$21))/SQRT((((753-43)*MAX('Inputs'!$B$33,'Inputs'!$B$29+'Inputs'!$B$31+'Inputs'!$B$32,'Inputs'!$B$30+'Inputs'!$B$31+'Inputs'!$B$32)/1000+'Inputs'!$B$21))^2+('Inputs'!$B$8/2)^2)))-'Results'!B7*(1+'Inputs'!$B$24)*(0.5*((((753-43)*MAX('Inputs'!$B$33,'Inputs'!$B$29+'Inputs'!$B$31+'Inputs'!$B$32,'Inputs'!$B$30+'Inputs'!$B$31+'Inputs'!$B$32)/1000+'Inputs'!$B$21+'Inputs'!$B$9+'Inputs'!$B$10)+'Inputs'!$B$7)/SQRT((((753-43)*MAX('Inputs'!$B$33,'Inputs'!$B$29+'Inputs'!$B$31+'Inputs'!$B$32,'Inputs'!$B$30+'Inputs'!$B$31+'Inputs'!$B$32)/1000+'Inputs'!$B$21+'Inputs'!$B$9+'Inputs'!$B$10)+'Inputs'!$B$7)^2+('Inputs'!$B$6/2)^2)-(((753-43)*MAX('Inputs'!$B$33,'Inputs'!$B$29+'Inputs'!$B$31+'Inputs'!$B$32,'Inputs'!$B$30+'Inputs'!$B$31+'Inputs'!$B$32)/1000+'Inputs'!$B$21+'Inputs'!$B$9+'Inputs'!$B$10))/SQRT((((753-43)*MAX('Inputs'!$B$33,'Inputs'!$B$29+'Inputs'!$B$31+'Inputs'!$B$32,'Inputs'!$B$30+'Inputs'!$B$31+'Inputs'!$B$32)/1000+'Inputs'!$B$21+'Inputs'!$B$9+'Inputs'!$B$10))^2+('Inputs'!$B$6/2)^2))))*'Results'!$B$8)-'Inputs'!$B$28*ABS((('Results'!C7*(1-'Inputs'!$B$24)*(0.5*((((753-43)*MAX('Inputs'!$B$33,'Inputs'!$B$29+'Inputs'!$B$31+'Inputs'!$B$32,'Inputs'!$B$30+'Inputs'!$B$31+'Inputs'!$B$32)/1000+'Inputs'!$B$21)+'Inputs'!$B$9)/SQRT((((753-43)*MAX('Inputs'!$B$33,'Inputs'!$B$29+'Inputs'!$B$31+'Inputs'!$B$32,'Inputs'!$B$30+'Inputs'!$B$31+'Inputs'!$B$32)/1000+'Inputs'!$B$21)+'Inputs'!$B$9)^2+('Inputs'!$B$8/2)^2)-(((753-43)*MAX('Inputs'!$B$33,'Inputs'!$B$29+'Inputs'!$B$31+'Inputs'!$B$32,'Inputs'!$B$30+'Inputs'!$B$31+'Inputs'!$B$32)/1000+'Inputs'!$B$21))/SQRT((((753-43)*MAX('Inputs'!$B$33,'Inputs'!$B$29+'Inputs'!$B$31+'Inputs'!$B$32,'Inputs'!$B$30+'Inputs'!$B$31+'Inputs'!$B$32)/1000+'Inputs'!$B$21))^2+('Inputs'!$B$8/2)^2)))-'Results'!B7*(1+'Inputs'!$B$24)*(0.5*((((753-43)*MAX('Inputs'!$B$33,'Inputs'!$B$29+'Inputs'!$B$31+'Inputs'!$B$32,'Inputs'!$B$30+'Inputs'!$B$31+'Inputs'!$B$32)/1000+'Inputs'!$B$21+'Inputs'!$B$9+'Inputs'!$B$10)+'Inputs'!$B$7)/SQRT((((753-43)*MAX('Inputs'!$B$33,'Inputs'!$B$29+'Inputs'!$B$31+'Inputs'!$B$32,'Inputs'!$B$30+'Inputs'!$B$31+'Inputs'!$B$32)/1000+'Inputs'!$B$21+'Inputs'!$B$9+'Inputs'!$B$10)+'Inputs'!$B$7)^2+('Inputs'!$B$6/2)^2)-(((753-43)*MAX('Inputs'!$B$33,'Inputs'!$B$29+'Inputs'!$B$31+'Inputs'!$B$32,'Inputs'!$B$30+'Inputs'!$B$31+'Inputs'!$B$32)/1000+'Inputs'!$B$21+'Inputs'!$B$9+'Inputs'!$B$10))/SQRT((((753-43)*MAX('Inputs'!$B$33,'Inputs'!$B$29+'Inputs'!$B$31+'Inputs'!$B$32,'Inputs'!$B$30+'Inputs'!$B$31+'Inputs'!$B$32)/1000+'Inputs'!$B$21+'Inputs'!$B$9+'Inputs'!$B$10))^2+('Inputs'!$B$6/2)^2))))*'Results'!$B$8))),"")</x:f>
        <x:v>0.9578504757273985</x:v>
      </x:c>
      <x:c r="O753" t="n">
        <x:f>IF(AND(ISNUMBER('Results'!C7),ISNUMBER('Results'!B7),ISNUMBER('Results'!$B$8),ISNUMBER('Inputs'!$B$6),ISNUMBER('Inputs'!$B$7),ISNUMBER('Inputs'!$B$8),ISNUMBER('Inputs'!$B$9),ISNUMBER('Inputs'!$B$10),ISNUMBER('Inputs'!$B$21),ISNUMBER('Inputs'!$B$24),ISNUMBER('Inputs'!$B$28)),((('Results'!C7*(1+'Inputs'!$B$24)*(0.5*((((753-43)*MAX('Inputs'!$B$33,'Inputs'!$B$29+'Inputs'!$B$31+'Inputs'!$B$32,'Inputs'!$B$30+'Inputs'!$B$31+'Inputs'!$B$32)/1000+'Inputs'!$B$21)+'Inputs'!$B$9)/SQRT((((753-43)*MAX('Inputs'!$B$33,'Inputs'!$B$29+'Inputs'!$B$31+'Inputs'!$B$32,'Inputs'!$B$30+'Inputs'!$B$31+'Inputs'!$B$32)/1000+'Inputs'!$B$21)+'Inputs'!$B$9)^2+('Inputs'!$B$8/2)^2)-(((753-43)*MAX('Inputs'!$B$33,'Inputs'!$B$29+'Inputs'!$B$31+'Inputs'!$B$32,'Inputs'!$B$30+'Inputs'!$B$31+'Inputs'!$B$32)/1000+'Inputs'!$B$21))/SQRT((((753-43)*MAX('Inputs'!$B$33,'Inputs'!$B$29+'Inputs'!$B$31+'Inputs'!$B$32,'Inputs'!$B$30+'Inputs'!$B$31+'Inputs'!$B$32)/1000+'Inputs'!$B$21))^2+('Inputs'!$B$8/2)^2)))-'Results'!B7*(1-'Inputs'!$B$24)*(0.5*((((753-43)*MAX('Inputs'!$B$33,'Inputs'!$B$29+'Inputs'!$B$31+'Inputs'!$B$32,'Inputs'!$B$30+'Inputs'!$B$31+'Inputs'!$B$32)/1000+'Inputs'!$B$21+'Inputs'!$B$9+'Inputs'!$B$10)+'Inputs'!$B$7)/SQRT((((753-43)*MAX('Inputs'!$B$33,'Inputs'!$B$29+'Inputs'!$B$31+'Inputs'!$B$32,'Inputs'!$B$30+'Inputs'!$B$31+'Inputs'!$B$32)/1000+'Inputs'!$B$21+'Inputs'!$B$9+'Inputs'!$B$10)+'Inputs'!$B$7)^2+('Inputs'!$B$6/2)^2)-(((753-43)*MAX('Inputs'!$B$33,'Inputs'!$B$29+'Inputs'!$B$31+'Inputs'!$B$32,'Inputs'!$B$30+'Inputs'!$B$31+'Inputs'!$B$32)/1000+'Inputs'!$B$21+'Inputs'!$B$9+'Inputs'!$B$10))/SQRT((((753-43)*MAX('Inputs'!$B$33,'Inputs'!$B$29+'Inputs'!$B$31+'Inputs'!$B$32,'Inputs'!$B$30+'Inputs'!$B$31+'Inputs'!$B$32)/1000+'Inputs'!$B$21+'Inputs'!$B$9+'Inputs'!$B$10))^2+('Inputs'!$B$6/2)^2))))*'Results'!$B$8)+'Inputs'!$B$28*ABS((('Results'!C7*(1+'Inputs'!$B$24)*(0.5*((((753-43)*MAX('Inputs'!$B$33,'Inputs'!$B$29+'Inputs'!$B$31+'Inputs'!$B$32,'Inputs'!$B$30+'Inputs'!$B$31+'Inputs'!$B$32)/1000+'Inputs'!$B$21)+'Inputs'!$B$9)/SQRT((((753-43)*MAX('Inputs'!$B$33,'Inputs'!$B$29+'Inputs'!$B$31+'Inputs'!$B$32,'Inputs'!$B$30+'Inputs'!$B$31+'Inputs'!$B$32)/1000+'Inputs'!$B$21)+'Inputs'!$B$9)^2+('Inputs'!$B$8/2)^2)-(((753-43)*MAX('Inputs'!$B$33,'Inputs'!$B$29+'Inputs'!$B$31+'Inputs'!$B$32,'Inputs'!$B$30+'Inputs'!$B$31+'Inputs'!$B$32)/1000+'Inputs'!$B$21))/SQRT((((753-43)*MAX('Inputs'!$B$33,'Inputs'!$B$29+'Inputs'!$B$31+'Inputs'!$B$32,'Inputs'!$B$30+'Inputs'!$B$31+'Inputs'!$B$32)/1000+'Inputs'!$B$21))^2+('Inputs'!$B$8/2)^2)))-'Results'!B7*(1-'Inputs'!$B$24)*(0.5*((((753-43)*MAX('Inputs'!$B$33,'Inputs'!$B$29+'Inputs'!$B$31+'Inputs'!$B$32,'Inputs'!$B$30+'Inputs'!$B$31+'Inputs'!$B$32)/1000+'Inputs'!$B$21+'Inputs'!$B$9+'Inputs'!$B$10)+'Inputs'!$B$7)/SQRT((((753-43)*MAX('Inputs'!$B$33,'Inputs'!$B$29+'Inputs'!$B$31+'Inputs'!$B$32,'Inputs'!$B$30+'Inputs'!$B$31+'Inputs'!$B$32)/1000+'Inputs'!$B$21+'Inputs'!$B$9+'Inputs'!$B$10)+'Inputs'!$B$7)^2+('Inputs'!$B$6/2)^2)-(((753-43)*MAX('Inputs'!$B$33,'Inputs'!$B$29+'Inputs'!$B$31+'Inputs'!$B$32,'Inputs'!$B$30+'Inputs'!$B$31+'Inputs'!$B$32)/1000+'Inputs'!$B$21+'Inputs'!$B$9+'Inputs'!$B$10))/SQRT((((753-43)*MAX('Inputs'!$B$33,'Inputs'!$B$29+'Inputs'!$B$31+'Inputs'!$B$32,'Inputs'!$B$30+'Inputs'!$B$31+'Inputs'!$B$32)/1000+'Inputs'!$B$21+'Inputs'!$B$9+'Inputs'!$B$10))^2+('Inputs'!$B$6/2)^2))))*'Results'!$B$8))),"")</x:f>
        <x:v>1.2889693636482906</x:v>
      </x:c>
      <x:c r="P753" t="n">
        <x:f>IF(AND(MAX(J753,J752)&gt;0,J753&gt;J752+0.00000001),1,0)</x:f>
        <x:v>0</x:v>
      </x:c>
      <x:c r="Q753" t="n">
        <x:f>IF(AND(MAX(K753,K752)&gt;0,K753&gt;K752+0.00000001),1,0)</x:f>
        <x:v>0</x:v>
      </x:c>
      <x:c r="R753" t="n">
        <x:f>IF(AND(MAX(L753,L752)&gt;0,L753&gt;L752+0.00000001),1,0)</x:f>
        <x:v>0</x:v>
      </x:c>
      <x:c r="S753" t="n">
        <x:f>IF(AND(MAX(M753,M752)&gt;0,M753&gt;M752+0.00000001),1,0)</x:f>
        <x:v>0</x:v>
      </x:c>
      <x:c r="T753" t="n">
        <x:f>IF(AND(MAX(N753,N752)&gt;0,N753&gt;N752+0.00000001),1,0)</x:f>
        <x:v>0</x:v>
      </x:c>
      <x:c r="U753" t="n">
        <x:f>IF(AND(MAX(O753,O752)&gt;0,O753&gt;O752+0.00000001),1,0)</x:f>
        <x:v>0</x:v>
      </x:c>
    </x:row>
    <x:row r="754">
      <x:c r="J754" t="n">
        <x:f>IF(AND(ISNUMBER('Results'!B7),ISNUMBER('Results'!C7),ISNUMBER('Results'!$B$8),ISNUMBER('Inputs'!$B$6),ISNUMBER('Inputs'!$B$7),ISNUMBER('Inputs'!$B$8),ISNUMBER('Inputs'!$B$9),ISNUMBER('Inputs'!$B$10),ISNUMBER('Inputs'!$B$21),ISNUMBER('Inputs'!$B$24),ISNUMBER('Inputs'!$B$28)),(('Results'!B7*(0.5*((((754-43)*MAX('Inputs'!$B$33,'Inputs'!$B$29+'Inputs'!$B$31+'Inputs'!$B$32,'Inputs'!$B$30+'Inputs'!$B$31+'Inputs'!$B$32)/1000+'Inputs'!$B$21)+'Inputs'!$B$7)/SQRT((((754-43)*MAX('Inputs'!$B$33,'Inputs'!$B$29+'Inputs'!$B$31+'Inputs'!$B$32,'Inputs'!$B$30+'Inputs'!$B$31+'Inputs'!$B$32)/1000+'Inputs'!$B$21)+'Inputs'!$B$7)^2+('Inputs'!$B$6/2)^2)-(((754-43)*MAX('Inputs'!$B$33,'Inputs'!$B$29+'Inputs'!$B$31+'Inputs'!$B$32,'Inputs'!$B$30+'Inputs'!$B$31+'Inputs'!$B$32)/1000+'Inputs'!$B$21))/SQRT((((754-43)*MAX('Inputs'!$B$33,'Inputs'!$B$29+'Inputs'!$B$31+'Inputs'!$B$32,'Inputs'!$B$30+'Inputs'!$B$31+'Inputs'!$B$32)/1000+'Inputs'!$B$21))^2+('Inputs'!$B$6/2)^2)))-'Results'!C7*(0.5*((((754-43)*MAX('Inputs'!$B$33,'Inputs'!$B$29+'Inputs'!$B$31+'Inputs'!$B$32,'Inputs'!$B$30+'Inputs'!$B$31+'Inputs'!$B$32)/1000+'Inputs'!$B$21+'Inputs'!$B$7+'Inputs'!$B$10)+'Inputs'!$B$9)/SQRT((((754-43)*MAX('Inputs'!$B$33,'Inputs'!$B$29+'Inputs'!$B$31+'Inputs'!$B$32,'Inputs'!$B$30+'Inputs'!$B$31+'Inputs'!$B$32)/1000+'Inputs'!$B$21+'Inputs'!$B$7+'Inputs'!$B$10)+'Inputs'!$B$9)^2+('Inputs'!$B$8/2)^2)-(((754-43)*MAX('Inputs'!$B$33,'Inputs'!$B$29+'Inputs'!$B$31+'Inputs'!$B$32,'Inputs'!$B$30+'Inputs'!$B$31+'Inputs'!$B$32)/1000+'Inputs'!$B$21+'Inputs'!$B$7+'Inputs'!$B$10))/SQRT((((754-43)*MAX('Inputs'!$B$33,'Inputs'!$B$29+'Inputs'!$B$31+'Inputs'!$B$32,'Inputs'!$B$30+'Inputs'!$B$31+'Inputs'!$B$32)/1000+'Inputs'!$B$21+'Inputs'!$B$7+'Inputs'!$B$10))^2+('Inputs'!$B$8/2)^2))))*'Results'!$B$8),"")</x:f>
        <x:v>1.2227985805644621</x:v>
      </x:c>
      <x:c r="K754" t="n">
        <x:f>IF(AND(ISNUMBER('Results'!B7),ISNUMBER('Results'!C7),ISNUMBER('Results'!$B$8),ISNUMBER('Inputs'!$B$6),ISNUMBER('Inputs'!$B$7),ISNUMBER('Inputs'!$B$8),ISNUMBER('Inputs'!$B$9),ISNUMBER('Inputs'!$B$10),ISNUMBER('Inputs'!$B$21),ISNUMBER('Inputs'!$B$24),ISNUMBER('Inputs'!$B$28)),((('Results'!B7*(1-'Inputs'!$B$24)*(0.5*((((754-43)*MAX('Inputs'!$B$33,'Inputs'!$B$29+'Inputs'!$B$31+'Inputs'!$B$32,'Inputs'!$B$30+'Inputs'!$B$31+'Inputs'!$B$32)/1000+'Inputs'!$B$21)+'Inputs'!$B$7)/SQRT((((754-43)*MAX('Inputs'!$B$33,'Inputs'!$B$29+'Inputs'!$B$31+'Inputs'!$B$32,'Inputs'!$B$30+'Inputs'!$B$31+'Inputs'!$B$32)/1000+'Inputs'!$B$21)+'Inputs'!$B$7)^2+('Inputs'!$B$6/2)^2)-(((754-43)*MAX('Inputs'!$B$33,'Inputs'!$B$29+'Inputs'!$B$31+'Inputs'!$B$32,'Inputs'!$B$30+'Inputs'!$B$31+'Inputs'!$B$32)/1000+'Inputs'!$B$21))/SQRT((((754-43)*MAX('Inputs'!$B$33,'Inputs'!$B$29+'Inputs'!$B$31+'Inputs'!$B$32,'Inputs'!$B$30+'Inputs'!$B$31+'Inputs'!$B$32)/1000+'Inputs'!$B$21))^2+('Inputs'!$B$6/2)^2)))-'Results'!C7*(1+'Inputs'!$B$24)*(0.5*((((754-43)*MAX('Inputs'!$B$33,'Inputs'!$B$29+'Inputs'!$B$31+'Inputs'!$B$32,'Inputs'!$B$30+'Inputs'!$B$31+'Inputs'!$B$32)/1000+'Inputs'!$B$21+'Inputs'!$B$7+'Inputs'!$B$10)+'Inputs'!$B$9)/SQRT((((754-43)*MAX('Inputs'!$B$33,'Inputs'!$B$29+'Inputs'!$B$31+'Inputs'!$B$32,'Inputs'!$B$30+'Inputs'!$B$31+'Inputs'!$B$32)/1000+'Inputs'!$B$21+'Inputs'!$B$7+'Inputs'!$B$10)+'Inputs'!$B$9)^2+('Inputs'!$B$8/2)^2)-(((754-43)*MAX('Inputs'!$B$33,'Inputs'!$B$29+'Inputs'!$B$31+'Inputs'!$B$32,'Inputs'!$B$30+'Inputs'!$B$31+'Inputs'!$B$32)/1000+'Inputs'!$B$21+'Inputs'!$B$7+'Inputs'!$B$10))/SQRT((((754-43)*MAX('Inputs'!$B$33,'Inputs'!$B$29+'Inputs'!$B$31+'Inputs'!$B$32,'Inputs'!$B$30+'Inputs'!$B$31+'Inputs'!$B$32)/1000+'Inputs'!$B$21+'Inputs'!$B$7+'Inputs'!$B$10))^2+('Inputs'!$B$8/2)^2))))*'Results'!$B$8)-'Inputs'!$B$28*ABS((('Results'!B7*(1-'Inputs'!$B$24)*(0.5*((((754-43)*MAX('Inputs'!$B$33,'Inputs'!$B$29+'Inputs'!$B$31+'Inputs'!$B$32,'Inputs'!$B$30+'Inputs'!$B$31+'Inputs'!$B$32)/1000+'Inputs'!$B$21)+'Inputs'!$B$7)/SQRT((((754-43)*MAX('Inputs'!$B$33,'Inputs'!$B$29+'Inputs'!$B$31+'Inputs'!$B$32,'Inputs'!$B$30+'Inputs'!$B$31+'Inputs'!$B$32)/1000+'Inputs'!$B$21)+'Inputs'!$B$7)^2+('Inputs'!$B$6/2)^2)-(((754-43)*MAX('Inputs'!$B$33,'Inputs'!$B$29+'Inputs'!$B$31+'Inputs'!$B$32,'Inputs'!$B$30+'Inputs'!$B$31+'Inputs'!$B$32)/1000+'Inputs'!$B$21))/SQRT((((754-43)*MAX('Inputs'!$B$33,'Inputs'!$B$29+'Inputs'!$B$31+'Inputs'!$B$32,'Inputs'!$B$30+'Inputs'!$B$31+'Inputs'!$B$32)/1000+'Inputs'!$B$21))^2+('Inputs'!$B$6/2)^2)))-'Results'!C7*(1+'Inputs'!$B$24)*(0.5*((((754-43)*MAX('Inputs'!$B$33,'Inputs'!$B$29+'Inputs'!$B$31+'Inputs'!$B$32,'Inputs'!$B$30+'Inputs'!$B$31+'Inputs'!$B$32)/1000+'Inputs'!$B$21+'Inputs'!$B$7+'Inputs'!$B$10)+'Inputs'!$B$9)/SQRT((((754-43)*MAX('Inputs'!$B$33,'Inputs'!$B$29+'Inputs'!$B$31+'Inputs'!$B$32,'Inputs'!$B$30+'Inputs'!$B$31+'Inputs'!$B$32)/1000+'Inputs'!$B$21+'Inputs'!$B$7+'Inputs'!$B$10)+'Inputs'!$B$9)^2+('Inputs'!$B$8/2)^2)-(((754-43)*MAX('Inputs'!$B$33,'Inputs'!$B$29+'Inputs'!$B$31+'Inputs'!$B$32,'Inputs'!$B$30+'Inputs'!$B$31+'Inputs'!$B$32)/1000+'Inputs'!$B$21+'Inputs'!$B$7+'Inputs'!$B$10))/SQRT((((754-43)*MAX('Inputs'!$B$33,'Inputs'!$B$29+'Inputs'!$B$31+'Inputs'!$B$32,'Inputs'!$B$30+'Inputs'!$B$31+'Inputs'!$B$32)/1000+'Inputs'!$B$21+'Inputs'!$B$7+'Inputs'!$B$10))^2+('Inputs'!$B$8/2)^2))))*'Results'!$B$8))),"")</x:f>
        <x:v>1.0574306596631857</x:v>
      </x:c>
      <x:c r="L754" t="n">
        <x:f>IF(AND(ISNUMBER('Results'!B7),ISNUMBER('Results'!C7),ISNUMBER('Results'!$B$8),ISNUMBER('Inputs'!$B$6),ISNUMBER('Inputs'!$B$7),ISNUMBER('Inputs'!$B$8),ISNUMBER('Inputs'!$B$9),ISNUMBER('Inputs'!$B$10),ISNUMBER('Inputs'!$B$21),ISNUMBER('Inputs'!$B$24),ISNUMBER('Inputs'!$B$28)),((('Results'!B7*(1+'Inputs'!$B$24)*(0.5*((((754-43)*MAX('Inputs'!$B$33,'Inputs'!$B$29+'Inputs'!$B$31+'Inputs'!$B$32,'Inputs'!$B$30+'Inputs'!$B$31+'Inputs'!$B$32)/1000+'Inputs'!$B$21)+'Inputs'!$B$7)/SQRT((((754-43)*MAX('Inputs'!$B$33,'Inputs'!$B$29+'Inputs'!$B$31+'Inputs'!$B$32,'Inputs'!$B$30+'Inputs'!$B$31+'Inputs'!$B$32)/1000+'Inputs'!$B$21)+'Inputs'!$B$7)^2+('Inputs'!$B$6/2)^2)-(((754-43)*MAX('Inputs'!$B$33,'Inputs'!$B$29+'Inputs'!$B$31+'Inputs'!$B$32,'Inputs'!$B$30+'Inputs'!$B$31+'Inputs'!$B$32)/1000+'Inputs'!$B$21))/SQRT((((754-43)*MAX('Inputs'!$B$33,'Inputs'!$B$29+'Inputs'!$B$31+'Inputs'!$B$32,'Inputs'!$B$30+'Inputs'!$B$31+'Inputs'!$B$32)/1000+'Inputs'!$B$21))^2+('Inputs'!$B$6/2)^2)))-'Results'!C7*(1-'Inputs'!$B$24)*(0.5*((((754-43)*MAX('Inputs'!$B$33,'Inputs'!$B$29+'Inputs'!$B$31+'Inputs'!$B$32,'Inputs'!$B$30+'Inputs'!$B$31+'Inputs'!$B$32)/1000+'Inputs'!$B$21+'Inputs'!$B$7+'Inputs'!$B$10)+'Inputs'!$B$9)/SQRT((((754-43)*MAX('Inputs'!$B$33,'Inputs'!$B$29+'Inputs'!$B$31+'Inputs'!$B$32,'Inputs'!$B$30+'Inputs'!$B$31+'Inputs'!$B$32)/1000+'Inputs'!$B$21+'Inputs'!$B$7+'Inputs'!$B$10)+'Inputs'!$B$9)^2+('Inputs'!$B$8/2)^2)-(((754-43)*MAX('Inputs'!$B$33,'Inputs'!$B$29+'Inputs'!$B$31+'Inputs'!$B$32,'Inputs'!$B$30+'Inputs'!$B$31+'Inputs'!$B$32)/1000+'Inputs'!$B$21+'Inputs'!$B$7+'Inputs'!$B$10))/SQRT((((754-43)*MAX('Inputs'!$B$33,'Inputs'!$B$29+'Inputs'!$B$31+'Inputs'!$B$32,'Inputs'!$B$30+'Inputs'!$B$31+'Inputs'!$B$32)/1000+'Inputs'!$B$21+'Inputs'!$B$7+'Inputs'!$B$10))^2+('Inputs'!$B$8/2)^2))))*'Results'!$B$8)+'Inputs'!$B$28*ABS((('Results'!B7*(1+'Inputs'!$B$24)*(0.5*((((754-43)*MAX('Inputs'!$B$33,'Inputs'!$B$29+'Inputs'!$B$31+'Inputs'!$B$32,'Inputs'!$B$30+'Inputs'!$B$31+'Inputs'!$B$32)/1000+'Inputs'!$B$21)+'Inputs'!$B$7)/SQRT((((754-43)*MAX('Inputs'!$B$33,'Inputs'!$B$29+'Inputs'!$B$31+'Inputs'!$B$32,'Inputs'!$B$30+'Inputs'!$B$31+'Inputs'!$B$32)/1000+'Inputs'!$B$21)+'Inputs'!$B$7)^2+('Inputs'!$B$6/2)^2)-(((754-43)*MAX('Inputs'!$B$33,'Inputs'!$B$29+'Inputs'!$B$31+'Inputs'!$B$32,'Inputs'!$B$30+'Inputs'!$B$31+'Inputs'!$B$32)/1000+'Inputs'!$B$21))/SQRT((((754-43)*MAX('Inputs'!$B$33,'Inputs'!$B$29+'Inputs'!$B$31+'Inputs'!$B$32,'Inputs'!$B$30+'Inputs'!$B$31+'Inputs'!$B$32)/1000+'Inputs'!$B$21))^2+('Inputs'!$B$6/2)^2)))-'Results'!C7*(1-'Inputs'!$B$24)*(0.5*((((754-43)*MAX('Inputs'!$B$33,'Inputs'!$B$29+'Inputs'!$B$31+'Inputs'!$B$32,'Inputs'!$B$30+'Inputs'!$B$31+'Inputs'!$B$32)/1000+'Inputs'!$B$21+'Inputs'!$B$7+'Inputs'!$B$10)+'Inputs'!$B$9)/SQRT((((754-43)*MAX('Inputs'!$B$33,'Inputs'!$B$29+'Inputs'!$B$31+'Inputs'!$B$32,'Inputs'!$B$30+'Inputs'!$B$31+'Inputs'!$B$32)/1000+'Inputs'!$B$21+'Inputs'!$B$7+'Inputs'!$B$10)+'Inputs'!$B$9)^2+('Inputs'!$B$8/2)^2)-(((754-43)*MAX('Inputs'!$B$33,'Inputs'!$B$29+'Inputs'!$B$31+'Inputs'!$B$32,'Inputs'!$B$30+'Inputs'!$B$31+'Inputs'!$B$32)/1000+'Inputs'!$B$21+'Inputs'!$B$7+'Inputs'!$B$10))/SQRT((((754-43)*MAX('Inputs'!$B$33,'Inputs'!$B$29+'Inputs'!$B$31+'Inputs'!$B$32,'Inputs'!$B$30+'Inputs'!$B$31+'Inputs'!$B$32)/1000+'Inputs'!$B$21+'Inputs'!$B$7+'Inputs'!$B$10))^2+('Inputs'!$B$8/2)^2))))*'Results'!$B$8))),"")</x:f>
        <x:v>1.3991378690313228</x:v>
      </x:c>
      <x:c r="M754" t="n">
        <x:f>IF(AND(ISNUMBER('Results'!C7),ISNUMBER('Results'!B7),ISNUMBER('Results'!$B$8),ISNUMBER('Inputs'!$B$6),ISNUMBER('Inputs'!$B$7),ISNUMBER('Inputs'!$B$8),ISNUMBER('Inputs'!$B$9),ISNUMBER('Inputs'!$B$10),ISNUMBER('Inputs'!$B$21),ISNUMBER('Inputs'!$B$24),ISNUMBER('Inputs'!$B$28)),(('Results'!C7*(0.5*((((754-43)*MAX('Inputs'!$B$33,'Inputs'!$B$29+'Inputs'!$B$31+'Inputs'!$B$32,'Inputs'!$B$30+'Inputs'!$B$31+'Inputs'!$B$32)/1000+'Inputs'!$B$21)+'Inputs'!$B$9)/SQRT((((754-43)*MAX('Inputs'!$B$33,'Inputs'!$B$29+'Inputs'!$B$31+'Inputs'!$B$32,'Inputs'!$B$30+'Inputs'!$B$31+'Inputs'!$B$32)/1000+'Inputs'!$B$21)+'Inputs'!$B$9)^2+('Inputs'!$B$8/2)^2)-(((754-43)*MAX('Inputs'!$B$33,'Inputs'!$B$29+'Inputs'!$B$31+'Inputs'!$B$32,'Inputs'!$B$30+'Inputs'!$B$31+'Inputs'!$B$32)/1000+'Inputs'!$B$21))/SQRT((((754-43)*MAX('Inputs'!$B$33,'Inputs'!$B$29+'Inputs'!$B$31+'Inputs'!$B$32,'Inputs'!$B$30+'Inputs'!$B$31+'Inputs'!$B$32)/1000+'Inputs'!$B$21))^2+('Inputs'!$B$8/2)^2)))-'Results'!B7*(0.5*((((754-43)*MAX('Inputs'!$B$33,'Inputs'!$B$29+'Inputs'!$B$31+'Inputs'!$B$32,'Inputs'!$B$30+'Inputs'!$B$31+'Inputs'!$B$32)/1000+'Inputs'!$B$21+'Inputs'!$B$9+'Inputs'!$B$10)+'Inputs'!$B$7)/SQRT((((754-43)*MAX('Inputs'!$B$33,'Inputs'!$B$29+'Inputs'!$B$31+'Inputs'!$B$32,'Inputs'!$B$30+'Inputs'!$B$31+'Inputs'!$B$32)/1000+'Inputs'!$B$21+'Inputs'!$B$9+'Inputs'!$B$10)+'Inputs'!$B$7)^2+('Inputs'!$B$6/2)^2)-(((754-43)*MAX('Inputs'!$B$33,'Inputs'!$B$29+'Inputs'!$B$31+'Inputs'!$B$32,'Inputs'!$B$30+'Inputs'!$B$31+'Inputs'!$B$32)/1000+'Inputs'!$B$21+'Inputs'!$B$9+'Inputs'!$B$10))/SQRT((((754-43)*MAX('Inputs'!$B$33,'Inputs'!$B$29+'Inputs'!$B$31+'Inputs'!$B$32,'Inputs'!$B$30+'Inputs'!$B$31+'Inputs'!$B$32)/1000+'Inputs'!$B$21+'Inputs'!$B$9+'Inputs'!$B$10))^2+('Inputs'!$B$6/2)^2))))*'Results'!$B$8),"")</x:f>
        <x:v>1.1122149283367335</x:v>
      </x:c>
      <x:c r="N754" t="n">
        <x:f>IF(AND(ISNUMBER('Results'!C7),ISNUMBER('Results'!B7),ISNUMBER('Results'!$B$8),ISNUMBER('Inputs'!$B$6),ISNUMBER('Inputs'!$B$7),ISNUMBER('Inputs'!$B$8),ISNUMBER('Inputs'!$B$9),ISNUMBER('Inputs'!$B$10),ISNUMBER('Inputs'!$B$21),ISNUMBER('Inputs'!$B$24),ISNUMBER('Inputs'!$B$28)),((('Results'!C7*(1-'Inputs'!$B$24)*(0.5*((((754-43)*MAX('Inputs'!$B$33,'Inputs'!$B$29+'Inputs'!$B$31+'Inputs'!$B$32,'Inputs'!$B$30+'Inputs'!$B$31+'Inputs'!$B$32)/1000+'Inputs'!$B$21)+'Inputs'!$B$9)/SQRT((((754-43)*MAX('Inputs'!$B$33,'Inputs'!$B$29+'Inputs'!$B$31+'Inputs'!$B$32,'Inputs'!$B$30+'Inputs'!$B$31+'Inputs'!$B$32)/1000+'Inputs'!$B$21)+'Inputs'!$B$9)^2+('Inputs'!$B$8/2)^2)-(((754-43)*MAX('Inputs'!$B$33,'Inputs'!$B$29+'Inputs'!$B$31+'Inputs'!$B$32,'Inputs'!$B$30+'Inputs'!$B$31+'Inputs'!$B$32)/1000+'Inputs'!$B$21))/SQRT((((754-43)*MAX('Inputs'!$B$33,'Inputs'!$B$29+'Inputs'!$B$31+'Inputs'!$B$32,'Inputs'!$B$30+'Inputs'!$B$31+'Inputs'!$B$32)/1000+'Inputs'!$B$21))^2+('Inputs'!$B$8/2)^2)))-'Results'!B7*(1+'Inputs'!$B$24)*(0.5*((((754-43)*MAX('Inputs'!$B$33,'Inputs'!$B$29+'Inputs'!$B$31+'Inputs'!$B$32,'Inputs'!$B$30+'Inputs'!$B$31+'Inputs'!$B$32)/1000+'Inputs'!$B$21+'Inputs'!$B$9+'Inputs'!$B$10)+'Inputs'!$B$7)/SQRT((((754-43)*MAX('Inputs'!$B$33,'Inputs'!$B$29+'Inputs'!$B$31+'Inputs'!$B$32,'Inputs'!$B$30+'Inputs'!$B$31+'Inputs'!$B$32)/1000+'Inputs'!$B$21+'Inputs'!$B$9+'Inputs'!$B$10)+'Inputs'!$B$7)^2+('Inputs'!$B$6/2)^2)-(((754-43)*MAX('Inputs'!$B$33,'Inputs'!$B$29+'Inputs'!$B$31+'Inputs'!$B$32,'Inputs'!$B$30+'Inputs'!$B$31+'Inputs'!$B$32)/1000+'Inputs'!$B$21+'Inputs'!$B$9+'Inputs'!$B$10))/SQRT((((754-43)*MAX('Inputs'!$B$33,'Inputs'!$B$29+'Inputs'!$B$31+'Inputs'!$B$32,'Inputs'!$B$30+'Inputs'!$B$31+'Inputs'!$B$32)/1000+'Inputs'!$B$21+'Inputs'!$B$9+'Inputs'!$B$10))^2+('Inputs'!$B$6/2)^2))))*'Results'!$B$8)-'Inputs'!$B$28*ABS((('Results'!C7*(1-'Inputs'!$B$24)*(0.5*((((754-43)*MAX('Inputs'!$B$33,'Inputs'!$B$29+'Inputs'!$B$31+'Inputs'!$B$32,'Inputs'!$B$30+'Inputs'!$B$31+'Inputs'!$B$32)/1000+'Inputs'!$B$21)+'Inputs'!$B$9)/SQRT((((754-43)*MAX('Inputs'!$B$33,'Inputs'!$B$29+'Inputs'!$B$31+'Inputs'!$B$32,'Inputs'!$B$30+'Inputs'!$B$31+'Inputs'!$B$32)/1000+'Inputs'!$B$21)+'Inputs'!$B$9)^2+('Inputs'!$B$8/2)^2)-(((754-43)*MAX('Inputs'!$B$33,'Inputs'!$B$29+'Inputs'!$B$31+'Inputs'!$B$32,'Inputs'!$B$30+'Inputs'!$B$31+'Inputs'!$B$32)/1000+'Inputs'!$B$21))/SQRT((((754-43)*MAX('Inputs'!$B$33,'Inputs'!$B$29+'Inputs'!$B$31+'Inputs'!$B$32,'Inputs'!$B$30+'Inputs'!$B$31+'Inputs'!$B$32)/1000+'Inputs'!$B$21))^2+('Inputs'!$B$8/2)^2)))-'Results'!B7*(1+'Inputs'!$B$24)*(0.5*((((754-43)*MAX('Inputs'!$B$33,'Inputs'!$B$29+'Inputs'!$B$31+'Inputs'!$B$32,'Inputs'!$B$30+'Inputs'!$B$31+'Inputs'!$B$32)/1000+'Inputs'!$B$21+'Inputs'!$B$9+'Inputs'!$B$10)+'Inputs'!$B$7)/SQRT((((754-43)*MAX('Inputs'!$B$33,'Inputs'!$B$29+'Inputs'!$B$31+'Inputs'!$B$32,'Inputs'!$B$30+'Inputs'!$B$31+'Inputs'!$B$32)/1000+'Inputs'!$B$21+'Inputs'!$B$9+'Inputs'!$B$10)+'Inputs'!$B$7)^2+('Inputs'!$B$6/2)^2)-(((754-43)*MAX('Inputs'!$B$33,'Inputs'!$B$29+'Inputs'!$B$31+'Inputs'!$B$32,'Inputs'!$B$30+'Inputs'!$B$31+'Inputs'!$B$32)/1000+'Inputs'!$B$21+'Inputs'!$B$9+'Inputs'!$B$10))/SQRT((((754-43)*MAX('Inputs'!$B$33,'Inputs'!$B$29+'Inputs'!$B$31+'Inputs'!$B$32,'Inputs'!$B$30+'Inputs'!$B$31+'Inputs'!$B$32)/1000+'Inputs'!$B$21+'Inputs'!$B$9+'Inputs'!$B$10))^2+('Inputs'!$B$6/2)^2))))*'Results'!$B$8))),"")</x:f>
        <x:v>0.9528243239525929</x:v>
      </x:c>
      <x:c r="O754" t="n">
        <x:f>IF(AND(ISNUMBER('Results'!C7),ISNUMBER('Results'!B7),ISNUMBER('Results'!$B$8),ISNUMBER('Inputs'!$B$6),ISNUMBER('Inputs'!$B$7),ISNUMBER('Inputs'!$B$8),ISNUMBER('Inputs'!$B$9),ISNUMBER('Inputs'!$B$10),ISNUMBER('Inputs'!$B$21),ISNUMBER('Inputs'!$B$24),ISNUMBER('Inputs'!$B$28)),((('Results'!C7*(1+'Inputs'!$B$24)*(0.5*((((754-43)*MAX('Inputs'!$B$33,'Inputs'!$B$29+'Inputs'!$B$31+'Inputs'!$B$32,'Inputs'!$B$30+'Inputs'!$B$31+'Inputs'!$B$32)/1000+'Inputs'!$B$21)+'Inputs'!$B$9)/SQRT((((754-43)*MAX('Inputs'!$B$33,'Inputs'!$B$29+'Inputs'!$B$31+'Inputs'!$B$32,'Inputs'!$B$30+'Inputs'!$B$31+'Inputs'!$B$32)/1000+'Inputs'!$B$21)+'Inputs'!$B$9)^2+('Inputs'!$B$8/2)^2)-(((754-43)*MAX('Inputs'!$B$33,'Inputs'!$B$29+'Inputs'!$B$31+'Inputs'!$B$32,'Inputs'!$B$30+'Inputs'!$B$31+'Inputs'!$B$32)/1000+'Inputs'!$B$21))/SQRT((((754-43)*MAX('Inputs'!$B$33,'Inputs'!$B$29+'Inputs'!$B$31+'Inputs'!$B$32,'Inputs'!$B$30+'Inputs'!$B$31+'Inputs'!$B$32)/1000+'Inputs'!$B$21))^2+('Inputs'!$B$8/2)^2)))-'Results'!B7*(1-'Inputs'!$B$24)*(0.5*((((754-43)*MAX('Inputs'!$B$33,'Inputs'!$B$29+'Inputs'!$B$31+'Inputs'!$B$32,'Inputs'!$B$30+'Inputs'!$B$31+'Inputs'!$B$32)/1000+'Inputs'!$B$21+'Inputs'!$B$9+'Inputs'!$B$10)+'Inputs'!$B$7)/SQRT((((754-43)*MAX('Inputs'!$B$33,'Inputs'!$B$29+'Inputs'!$B$31+'Inputs'!$B$32,'Inputs'!$B$30+'Inputs'!$B$31+'Inputs'!$B$32)/1000+'Inputs'!$B$21+'Inputs'!$B$9+'Inputs'!$B$10)+'Inputs'!$B$7)^2+('Inputs'!$B$6/2)^2)-(((754-43)*MAX('Inputs'!$B$33,'Inputs'!$B$29+'Inputs'!$B$31+'Inputs'!$B$32,'Inputs'!$B$30+'Inputs'!$B$31+'Inputs'!$B$32)/1000+'Inputs'!$B$21+'Inputs'!$B$9+'Inputs'!$B$10))/SQRT((((754-43)*MAX('Inputs'!$B$33,'Inputs'!$B$29+'Inputs'!$B$31+'Inputs'!$B$32,'Inputs'!$B$30+'Inputs'!$B$31+'Inputs'!$B$32)/1000+'Inputs'!$B$21+'Inputs'!$B$9+'Inputs'!$B$10))^2+('Inputs'!$B$6/2)^2))))*'Results'!$B$8)+'Inputs'!$B$28*ABS((('Results'!C7*(1+'Inputs'!$B$24)*(0.5*((((754-43)*MAX('Inputs'!$B$33,'Inputs'!$B$29+'Inputs'!$B$31+'Inputs'!$B$32,'Inputs'!$B$30+'Inputs'!$B$31+'Inputs'!$B$32)/1000+'Inputs'!$B$21)+'Inputs'!$B$9)/SQRT((((754-43)*MAX('Inputs'!$B$33,'Inputs'!$B$29+'Inputs'!$B$31+'Inputs'!$B$32,'Inputs'!$B$30+'Inputs'!$B$31+'Inputs'!$B$32)/1000+'Inputs'!$B$21)+'Inputs'!$B$9)^2+('Inputs'!$B$8/2)^2)-(((754-43)*MAX('Inputs'!$B$33,'Inputs'!$B$29+'Inputs'!$B$31+'Inputs'!$B$32,'Inputs'!$B$30+'Inputs'!$B$31+'Inputs'!$B$32)/1000+'Inputs'!$B$21))/SQRT((((754-43)*MAX('Inputs'!$B$33,'Inputs'!$B$29+'Inputs'!$B$31+'Inputs'!$B$32,'Inputs'!$B$30+'Inputs'!$B$31+'Inputs'!$B$32)/1000+'Inputs'!$B$21))^2+('Inputs'!$B$8/2)^2)))-'Results'!B7*(1-'Inputs'!$B$24)*(0.5*((((754-43)*MAX('Inputs'!$B$33,'Inputs'!$B$29+'Inputs'!$B$31+'Inputs'!$B$32,'Inputs'!$B$30+'Inputs'!$B$31+'Inputs'!$B$32)/1000+'Inputs'!$B$21+'Inputs'!$B$9+'Inputs'!$B$10)+'Inputs'!$B$7)/SQRT((((754-43)*MAX('Inputs'!$B$33,'Inputs'!$B$29+'Inputs'!$B$31+'Inputs'!$B$32,'Inputs'!$B$30+'Inputs'!$B$31+'Inputs'!$B$32)/1000+'Inputs'!$B$21+'Inputs'!$B$9+'Inputs'!$B$10)+'Inputs'!$B$7)^2+('Inputs'!$B$6/2)^2)-(((754-43)*MAX('Inputs'!$B$33,'Inputs'!$B$29+'Inputs'!$B$31+'Inputs'!$B$32,'Inputs'!$B$30+'Inputs'!$B$31+'Inputs'!$B$32)/1000+'Inputs'!$B$21+'Inputs'!$B$9+'Inputs'!$B$10))/SQRT((((754-43)*MAX('Inputs'!$B$33,'Inputs'!$B$29+'Inputs'!$B$31+'Inputs'!$B$32,'Inputs'!$B$30+'Inputs'!$B$31+'Inputs'!$B$32)/1000+'Inputs'!$B$21+'Inputs'!$B$9+'Inputs'!$B$10))^2+('Inputs'!$B$6/2)^2))))*'Results'!$B$8))),"")</x:f>
        <x:v>1.2825297282963808</x:v>
      </x:c>
      <x:c r="P754" t="n">
        <x:f>IF(AND(MAX(J754,J753)&gt;0,J754&gt;J753+0.00000001),1,0)</x:f>
        <x:v>0</x:v>
      </x:c>
      <x:c r="Q754" t="n">
        <x:f>IF(AND(MAX(K754,K753)&gt;0,K754&gt;K753+0.00000001),1,0)</x:f>
        <x:v>0</x:v>
      </x:c>
      <x:c r="R754" t="n">
        <x:f>IF(AND(MAX(L754,L753)&gt;0,L754&gt;L753+0.00000001),1,0)</x:f>
        <x:v>0</x:v>
      </x:c>
      <x:c r="S754" t="n">
        <x:f>IF(AND(MAX(M754,M753)&gt;0,M754&gt;M753+0.00000001),1,0)</x:f>
        <x:v>0</x:v>
      </x:c>
      <x:c r="T754" t="n">
        <x:f>IF(AND(MAX(N754,N753)&gt;0,N754&gt;N753+0.00000001),1,0)</x:f>
        <x:v>0</x:v>
      </x:c>
      <x:c r="U754" t="n">
        <x:f>IF(AND(MAX(O754,O753)&gt;0,O754&gt;O753+0.00000001),1,0)</x:f>
        <x:v>0</x:v>
      </x:c>
    </x:row>
    <x:row r="755">
      <x:c r="J755" t="n">
        <x:f>IF(AND(ISNUMBER('Results'!B7),ISNUMBER('Results'!C7),ISNUMBER('Results'!$B$8),ISNUMBER('Inputs'!$B$6),ISNUMBER('Inputs'!$B$7),ISNUMBER('Inputs'!$B$8),ISNUMBER('Inputs'!$B$9),ISNUMBER('Inputs'!$B$10),ISNUMBER('Inputs'!$B$21),ISNUMBER('Inputs'!$B$24),ISNUMBER('Inputs'!$B$28)),(('Results'!B7*(0.5*((((755-43)*MAX('Inputs'!$B$33,'Inputs'!$B$29+'Inputs'!$B$31+'Inputs'!$B$32,'Inputs'!$B$30+'Inputs'!$B$31+'Inputs'!$B$32)/1000+'Inputs'!$B$21)+'Inputs'!$B$7)/SQRT((((755-43)*MAX('Inputs'!$B$33,'Inputs'!$B$29+'Inputs'!$B$31+'Inputs'!$B$32,'Inputs'!$B$30+'Inputs'!$B$31+'Inputs'!$B$32)/1000+'Inputs'!$B$21)+'Inputs'!$B$7)^2+('Inputs'!$B$6/2)^2)-(((755-43)*MAX('Inputs'!$B$33,'Inputs'!$B$29+'Inputs'!$B$31+'Inputs'!$B$32,'Inputs'!$B$30+'Inputs'!$B$31+'Inputs'!$B$32)/1000+'Inputs'!$B$21))/SQRT((((755-43)*MAX('Inputs'!$B$33,'Inputs'!$B$29+'Inputs'!$B$31+'Inputs'!$B$32,'Inputs'!$B$30+'Inputs'!$B$31+'Inputs'!$B$32)/1000+'Inputs'!$B$21))^2+('Inputs'!$B$6/2)^2)))-'Results'!C7*(0.5*((((755-43)*MAX('Inputs'!$B$33,'Inputs'!$B$29+'Inputs'!$B$31+'Inputs'!$B$32,'Inputs'!$B$30+'Inputs'!$B$31+'Inputs'!$B$32)/1000+'Inputs'!$B$21+'Inputs'!$B$7+'Inputs'!$B$10)+'Inputs'!$B$9)/SQRT((((755-43)*MAX('Inputs'!$B$33,'Inputs'!$B$29+'Inputs'!$B$31+'Inputs'!$B$32,'Inputs'!$B$30+'Inputs'!$B$31+'Inputs'!$B$32)/1000+'Inputs'!$B$21+'Inputs'!$B$7+'Inputs'!$B$10)+'Inputs'!$B$9)^2+('Inputs'!$B$8/2)^2)-(((755-43)*MAX('Inputs'!$B$33,'Inputs'!$B$29+'Inputs'!$B$31+'Inputs'!$B$32,'Inputs'!$B$30+'Inputs'!$B$31+'Inputs'!$B$32)/1000+'Inputs'!$B$21+'Inputs'!$B$7+'Inputs'!$B$10))/SQRT((((755-43)*MAX('Inputs'!$B$33,'Inputs'!$B$29+'Inputs'!$B$31+'Inputs'!$B$32,'Inputs'!$B$30+'Inputs'!$B$31+'Inputs'!$B$32)/1000+'Inputs'!$B$21+'Inputs'!$B$7+'Inputs'!$B$10))^2+('Inputs'!$B$8/2)^2))))*'Results'!$B$8),"")</x:f>
        <x:v>1.2166985478024464</x:v>
      </x:c>
      <x:c r="K755" t="n">
        <x:f>IF(AND(ISNUMBER('Results'!B7),ISNUMBER('Results'!C7),ISNUMBER('Results'!$B$8),ISNUMBER('Inputs'!$B$6),ISNUMBER('Inputs'!$B$7),ISNUMBER('Inputs'!$B$8),ISNUMBER('Inputs'!$B$9),ISNUMBER('Inputs'!$B$10),ISNUMBER('Inputs'!$B$21),ISNUMBER('Inputs'!$B$24),ISNUMBER('Inputs'!$B$28)),((('Results'!B7*(1-'Inputs'!$B$24)*(0.5*((((755-43)*MAX('Inputs'!$B$33,'Inputs'!$B$29+'Inputs'!$B$31+'Inputs'!$B$32,'Inputs'!$B$30+'Inputs'!$B$31+'Inputs'!$B$32)/1000+'Inputs'!$B$21)+'Inputs'!$B$7)/SQRT((((755-43)*MAX('Inputs'!$B$33,'Inputs'!$B$29+'Inputs'!$B$31+'Inputs'!$B$32,'Inputs'!$B$30+'Inputs'!$B$31+'Inputs'!$B$32)/1000+'Inputs'!$B$21)+'Inputs'!$B$7)^2+('Inputs'!$B$6/2)^2)-(((755-43)*MAX('Inputs'!$B$33,'Inputs'!$B$29+'Inputs'!$B$31+'Inputs'!$B$32,'Inputs'!$B$30+'Inputs'!$B$31+'Inputs'!$B$32)/1000+'Inputs'!$B$21))/SQRT((((755-43)*MAX('Inputs'!$B$33,'Inputs'!$B$29+'Inputs'!$B$31+'Inputs'!$B$32,'Inputs'!$B$30+'Inputs'!$B$31+'Inputs'!$B$32)/1000+'Inputs'!$B$21))^2+('Inputs'!$B$6/2)^2)))-'Results'!C7*(1+'Inputs'!$B$24)*(0.5*((((755-43)*MAX('Inputs'!$B$33,'Inputs'!$B$29+'Inputs'!$B$31+'Inputs'!$B$32,'Inputs'!$B$30+'Inputs'!$B$31+'Inputs'!$B$32)/1000+'Inputs'!$B$21+'Inputs'!$B$7+'Inputs'!$B$10)+'Inputs'!$B$9)/SQRT((((755-43)*MAX('Inputs'!$B$33,'Inputs'!$B$29+'Inputs'!$B$31+'Inputs'!$B$32,'Inputs'!$B$30+'Inputs'!$B$31+'Inputs'!$B$32)/1000+'Inputs'!$B$21+'Inputs'!$B$7+'Inputs'!$B$10)+'Inputs'!$B$9)^2+('Inputs'!$B$8/2)^2)-(((755-43)*MAX('Inputs'!$B$33,'Inputs'!$B$29+'Inputs'!$B$31+'Inputs'!$B$32,'Inputs'!$B$30+'Inputs'!$B$31+'Inputs'!$B$32)/1000+'Inputs'!$B$21+'Inputs'!$B$7+'Inputs'!$B$10))/SQRT((((755-43)*MAX('Inputs'!$B$33,'Inputs'!$B$29+'Inputs'!$B$31+'Inputs'!$B$32,'Inputs'!$B$30+'Inputs'!$B$31+'Inputs'!$B$32)/1000+'Inputs'!$B$21+'Inputs'!$B$7+'Inputs'!$B$10))^2+('Inputs'!$B$8/2)^2))))*'Results'!$B$8)-'Inputs'!$B$28*ABS((('Results'!B7*(1-'Inputs'!$B$24)*(0.5*((((755-43)*MAX('Inputs'!$B$33,'Inputs'!$B$29+'Inputs'!$B$31+'Inputs'!$B$32,'Inputs'!$B$30+'Inputs'!$B$31+'Inputs'!$B$32)/1000+'Inputs'!$B$21)+'Inputs'!$B$7)/SQRT((((755-43)*MAX('Inputs'!$B$33,'Inputs'!$B$29+'Inputs'!$B$31+'Inputs'!$B$32,'Inputs'!$B$30+'Inputs'!$B$31+'Inputs'!$B$32)/1000+'Inputs'!$B$21)+'Inputs'!$B$7)^2+('Inputs'!$B$6/2)^2)-(((755-43)*MAX('Inputs'!$B$33,'Inputs'!$B$29+'Inputs'!$B$31+'Inputs'!$B$32,'Inputs'!$B$30+'Inputs'!$B$31+'Inputs'!$B$32)/1000+'Inputs'!$B$21))/SQRT((((755-43)*MAX('Inputs'!$B$33,'Inputs'!$B$29+'Inputs'!$B$31+'Inputs'!$B$32,'Inputs'!$B$30+'Inputs'!$B$31+'Inputs'!$B$32)/1000+'Inputs'!$B$21))^2+('Inputs'!$B$6/2)^2)))-'Results'!C7*(1+'Inputs'!$B$24)*(0.5*((((755-43)*MAX('Inputs'!$B$33,'Inputs'!$B$29+'Inputs'!$B$31+'Inputs'!$B$32,'Inputs'!$B$30+'Inputs'!$B$31+'Inputs'!$B$32)/1000+'Inputs'!$B$21+'Inputs'!$B$7+'Inputs'!$B$10)+'Inputs'!$B$9)/SQRT((((755-43)*MAX('Inputs'!$B$33,'Inputs'!$B$29+'Inputs'!$B$31+'Inputs'!$B$32,'Inputs'!$B$30+'Inputs'!$B$31+'Inputs'!$B$32)/1000+'Inputs'!$B$21+'Inputs'!$B$7+'Inputs'!$B$10)+'Inputs'!$B$9)^2+('Inputs'!$B$8/2)^2)-(((755-43)*MAX('Inputs'!$B$33,'Inputs'!$B$29+'Inputs'!$B$31+'Inputs'!$B$32,'Inputs'!$B$30+'Inputs'!$B$31+'Inputs'!$B$32)/1000+'Inputs'!$B$21+'Inputs'!$B$7+'Inputs'!$B$10))/SQRT((((755-43)*MAX('Inputs'!$B$33,'Inputs'!$B$29+'Inputs'!$B$31+'Inputs'!$B$32,'Inputs'!$B$30+'Inputs'!$B$31+'Inputs'!$B$32)/1000+'Inputs'!$B$21+'Inputs'!$B$7+'Inputs'!$B$10))^2+('Inputs'!$B$8/2)^2))))*'Results'!$B$8))),"")</x:f>
        <x:v>1.0520359303685631</x:v>
      </x:c>
      <x:c r="L755" t="n">
        <x:f>IF(AND(ISNUMBER('Results'!B7),ISNUMBER('Results'!C7),ISNUMBER('Results'!$B$8),ISNUMBER('Inputs'!$B$6),ISNUMBER('Inputs'!$B$7),ISNUMBER('Inputs'!$B$8),ISNUMBER('Inputs'!$B$9),ISNUMBER('Inputs'!$B$10),ISNUMBER('Inputs'!$B$21),ISNUMBER('Inputs'!$B$24),ISNUMBER('Inputs'!$B$28)),((('Results'!B7*(1+'Inputs'!$B$24)*(0.5*((((755-43)*MAX('Inputs'!$B$33,'Inputs'!$B$29+'Inputs'!$B$31+'Inputs'!$B$32,'Inputs'!$B$30+'Inputs'!$B$31+'Inputs'!$B$32)/1000+'Inputs'!$B$21)+'Inputs'!$B$7)/SQRT((((755-43)*MAX('Inputs'!$B$33,'Inputs'!$B$29+'Inputs'!$B$31+'Inputs'!$B$32,'Inputs'!$B$30+'Inputs'!$B$31+'Inputs'!$B$32)/1000+'Inputs'!$B$21)+'Inputs'!$B$7)^2+('Inputs'!$B$6/2)^2)-(((755-43)*MAX('Inputs'!$B$33,'Inputs'!$B$29+'Inputs'!$B$31+'Inputs'!$B$32,'Inputs'!$B$30+'Inputs'!$B$31+'Inputs'!$B$32)/1000+'Inputs'!$B$21))/SQRT((((755-43)*MAX('Inputs'!$B$33,'Inputs'!$B$29+'Inputs'!$B$31+'Inputs'!$B$32,'Inputs'!$B$30+'Inputs'!$B$31+'Inputs'!$B$32)/1000+'Inputs'!$B$21))^2+('Inputs'!$B$6/2)^2)))-'Results'!C7*(1-'Inputs'!$B$24)*(0.5*((((755-43)*MAX('Inputs'!$B$33,'Inputs'!$B$29+'Inputs'!$B$31+'Inputs'!$B$32,'Inputs'!$B$30+'Inputs'!$B$31+'Inputs'!$B$32)/1000+'Inputs'!$B$21+'Inputs'!$B$7+'Inputs'!$B$10)+'Inputs'!$B$9)/SQRT((((755-43)*MAX('Inputs'!$B$33,'Inputs'!$B$29+'Inputs'!$B$31+'Inputs'!$B$32,'Inputs'!$B$30+'Inputs'!$B$31+'Inputs'!$B$32)/1000+'Inputs'!$B$21+'Inputs'!$B$7+'Inputs'!$B$10)+'Inputs'!$B$9)^2+('Inputs'!$B$8/2)^2)-(((755-43)*MAX('Inputs'!$B$33,'Inputs'!$B$29+'Inputs'!$B$31+'Inputs'!$B$32,'Inputs'!$B$30+'Inputs'!$B$31+'Inputs'!$B$32)/1000+'Inputs'!$B$21+'Inputs'!$B$7+'Inputs'!$B$10))/SQRT((((755-43)*MAX('Inputs'!$B$33,'Inputs'!$B$29+'Inputs'!$B$31+'Inputs'!$B$32,'Inputs'!$B$30+'Inputs'!$B$31+'Inputs'!$B$32)/1000+'Inputs'!$B$21+'Inputs'!$B$7+'Inputs'!$B$10))^2+('Inputs'!$B$8/2)^2))))*'Results'!$B$8)+'Inputs'!$B$28*ABS((('Results'!B7*(1+'Inputs'!$B$24)*(0.5*((((755-43)*MAX('Inputs'!$B$33,'Inputs'!$B$29+'Inputs'!$B$31+'Inputs'!$B$32,'Inputs'!$B$30+'Inputs'!$B$31+'Inputs'!$B$32)/1000+'Inputs'!$B$21)+'Inputs'!$B$7)/SQRT((((755-43)*MAX('Inputs'!$B$33,'Inputs'!$B$29+'Inputs'!$B$31+'Inputs'!$B$32,'Inputs'!$B$30+'Inputs'!$B$31+'Inputs'!$B$32)/1000+'Inputs'!$B$21)+'Inputs'!$B$7)^2+('Inputs'!$B$6/2)^2)-(((755-43)*MAX('Inputs'!$B$33,'Inputs'!$B$29+'Inputs'!$B$31+'Inputs'!$B$32,'Inputs'!$B$30+'Inputs'!$B$31+'Inputs'!$B$32)/1000+'Inputs'!$B$21))/SQRT((((755-43)*MAX('Inputs'!$B$33,'Inputs'!$B$29+'Inputs'!$B$31+'Inputs'!$B$32,'Inputs'!$B$30+'Inputs'!$B$31+'Inputs'!$B$32)/1000+'Inputs'!$B$21))^2+('Inputs'!$B$6/2)^2)))-'Results'!C7*(1-'Inputs'!$B$24)*(0.5*((((755-43)*MAX('Inputs'!$B$33,'Inputs'!$B$29+'Inputs'!$B$31+'Inputs'!$B$32,'Inputs'!$B$30+'Inputs'!$B$31+'Inputs'!$B$32)/1000+'Inputs'!$B$21+'Inputs'!$B$7+'Inputs'!$B$10)+'Inputs'!$B$9)/SQRT((((755-43)*MAX('Inputs'!$B$33,'Inputs'!$B$29+'Inputs'!$B$31+'Inputs'!$B$32,'Inputs'!$B$30+'Inputs'!$B$31+'Inputs'!$B$32)/1000+'Inputs'!$B$21+'Inputs'!$B$7+'Inputs'!$B$10)+'Inputs'!$B$9)^2+('Inputs'!$B$8/2)^2)-(((755-43)*MAX('Inputs'!$B$33,'Inputs'!$B$29+'Inputs'!$B$31+'Inputs'!$B$32,'Inputs'!$B$30+'Inputs'!$B$31+'Inputs'!$B$32)/1000+'Inputs'!$B$21+'Inputs'!$B$7+'Inputs'!$B$10))/SQRT((((755-43)*MAX('Inputs'!$B$33,'Inputs'!$B$29+'Inputs'!$B$31+'Inputs'!$B$32,'Inputs'!$B$30+'Inputs'!$B$31+'Inputs'!$B$32)/1000+'Inputs'!$B$21+'Inputs'!$B$7+'Inputs'!$B$10))^2+('Inputs'!$B$8/2)^2))))*'Results'!$B$8))),"")</x:f>
        <x:v>1.3922903957672514</x:v>
      </x:c>
      <x:c r="M755" t="n">
        <x:f>IF(AND(ISNUMBER('Results'!C7),ISNUMBER('Results'!B7),ISNUMBER('Results'!$B$8),ISNUMBER('Inputs'!$B$6),ISNUMBER('Inputs'!$B$7),ISNUMBER('Inputs'!$B$8),ISNUMBER('Inputs'!$B$9),ISNUMBER('Inputs'!$B$10),ISNUMBER('Inputs'!$B$21),ISNUMBER('Inputs'!$B$24),ISNUMBER('Inputs'!$B$28)),(('Results'!C7*(0.5*((((755-43)*MAX('Inputs'!$B$33,'Inputs'!$B$29+'Inputs'!$B$31+'Inputs'!$B$32,'Inputs'!$B$30+'Inputs'!$B$31+'Inputs'!$B$32)/1000+'Inputs'!$B$21)+'Inputs'!$B$9)/SQRT((((755-43)*MAX('Inputs'!$B$33,'Inputs'!$B$29+'Inputs'!$B$31+'Inputs'!$B$32,'Inputs'!$B$30+'Inputs'!$B$31+'Inputs'!$B$32)/1000+'Inputs'!$B$21)+'Inputs'!$B$9)^2+('Inputs'!$B$8/2)^2)-(((755-43)*MAX('Inputs'!$B$33,'Inputs'!$B$29+'Inputs'!$B$31+'Inputs'!$B$32,'Inputs'!$B$30+'Inputs'!$B$31+'Inputs'!$B$32)/1000+'Inputs'!$B$21))/SQRT((((755-43)*MAX('Inputs'!$B$33,'Inputs'!$B$29+'Inputs'!$B$31+'Inputs'!$B$32,'Inputs'!$B$30+'Inputs'!$B$31+'Inputs'!$B$32)/1000+'Inputs'!$B$21))^2+('Inputs'!$B$8/2)^2)))-'Results'!B7*(0.5*((((755-43)*MAX('Inputs'!$B$33,'Inputs'!$B$29+'Inputs'!$B$31+'Inputs'!$B$32,'Inputs'!$B$30+'Inputs'!$B$31+'Inputs'!$B$32)/1000+'Inputs'!$B$21+'Inputs'!$B$9+'Inputs'!$B$10)+'Inputs'!$B$7)/SQRT((((755-43)*MAX('Inputs'!$B$33,'Inputs'!$B$29+'Inputs'!$B$31+'Inputs'!$B$32,'Inputs'!$B$30+'Inputs'!$B$31+'Inputs'!$B$32)/1000+'Inputs'!$B$21+'Inputs'!$B$9+'Inputs'!$B$10)+'Inputs'!$B$7)^2+('Inputs'!$B$6/2)^2)-(((755-43)*MAX('Inputs'!$B$33,'Inputs'!$B$29+'Inputs'!$B$31+'Inputs'!$B$32,'Inputs'!$B$30+'Inputs'!$B$31+'Inputs'!$B$32)/1000+'Inputs'!$B$21+'Inputs'!$B$9+'Inputs'!$B$10))/SQRT((((755-43)*MAX('Inputs'!$B$33,'Inputs'!$B$29+'Inputs'!$B$31+'Inputs'!$B$32,'Inputs'!$B$30+'Inputs'!$B$31+'Inputs'!$B$32)/1000+'Inputs'!$B$21+'Inputs'!$B$9+'Inputs'!$B$10))^2+('Inputs'!$B$6/2)^2))))*'Results'!$B$8),"")</x:f>
        <x:v>1.1065393207141103</x:v>
      </x:c>
      <x:c r="N755" t="n">
        <x:f>IF(AND(ISNUMBER('Results'!C7),ISNUMBER('Results'!B7),ISNUMBER('Results'!$B$8),ISNUMBER('Inputs'!$B$6),ISNUMBER('Inputs'!$B$7),ISNUMBER('Inputs'!$B$8),ISNUMBER('Inputs'!$B$9),ISNUMBER('Inputs'!$B$10),ISNUMBER('Inputs'!$B$21),ISNUMBER('Inputs'!$B$24),ISNUMBER('Inputs'!$B$28)),((('Results'!C7*(1-'Inputs'!$B$24)*(0.5*((((755-43)*MAX('Inputs'!$B$33,'Inputs'!$B$29+'Inputs'!$B$31+'Inputs'!$B$32,'Inputs'!$B$30+'Inputs'!$B$31+'Inputs'!$B$32)/1000+'Inputs'!$B$21)+'Inputs'!$B$9)/SQRT((((755-43)*MAX('Inputs'!$B$33,'Inputs'!$B$29+'Inputs'!$B$31+'Inputs'!$B$32,'Inputs'!$B$30+'Inputs'!$B$31+'Inputs'!$B$32)/1000+'Inputs'!$B$21)+'Inputs'!$B$9)^2+('Inputs'!$B$8/2)^2)-(((755-43)*MAX('Inputs'!$B$33,'Inputs'!$B$29+'Inputs'!$B$31+'Inputs'!$B$32,'Inputs'!$B$30+'Inputs'!$B$31+'Inputs'!$B$32)/1000+'Inputs'!$B$21))/SQRT((((755-43)*MAX('Inputs'!$B$33,'Inputs'!$B$29+'Inputs'!$B$31+'Inputs'!$B$32,'Inputs'!$B$30+'Inputs'!$B$31+'Inputs'!$B$32)/1000+'Inputs'!$B$21))^2+('Inputs'!$B$8/2)^2)))-'Results'!B7*(1+'Inputs'!$B$24)*(0.5*((((755-43)*MAX('Inputs'!$B$33,'Inputs'!$B$29+'Inputs'!$B$31+'Inputs'!$B$32,'Inputs'!$B$30+'Inputs'!$B$31+'Inputs'!$B$32)/1000+'Inputs'!$B$21+'Inputs'!$B$9+'Inputs'!$B$10)+'Inputs'!$B$7)/SQRT((((755-43)*MAX('Inputs'!$B$33,'Inputs'!$B$29+'Inputs'!$B$31+'Inputs'!$B$32,'Inputs'!$B$30+'Inputs'!$B$31+'Inputs'!$B$32)/1000+'Inputs'!$B$21+'Inputs'!$B$9+'Inputs'!$B$10)+'Inputs'!$B$7)^2+('Inputs'!$B$6/2)^2)-(((755-43)*MAX('Inputs'!$B$33,'Inputs'!$B$29+'Inputs'!$B$31+'Inputs'!$B$32,'Inputs'!$B$30+'Inputs'!$B$31+'Inputs'!$B$32)/1000+'Inputs'!$B$21+'Inputs'!$B$9+'Inputs'!$B$10))/SQRT((((755-43)*MAX('Inputs'!$B$33,'Inputs'!$B$29+'Inputs'!$B$31+'Inputs'!$B$32,'Inputs'!$B$30+'Inputs'!$B$31+'Inputs'!$B$32)/1000+'Inputs'!$B$21+'Inputs'!$B$9+'Inputs'!$B$10))^2+('Inputs'!$B$6/2)^2))))*'Results'!$B$8)-'Inputs'!$B$28*ABS((('Results'!C7*(1-'Inputs'!$B$24)*(0.5*((((755-43)*MAX('Inputs'!$B$33,'Inputs'!$B$29+'Inputs'!$B$31+'Inputs'!$B$32,'Inputs'!$B$30+'Inputs'!$B$31+'Inputs'!$B$32)/1000+'Inputs'!$B$21)+'Inputs'!$B$9)/SQRT((((755-43)*MAX('Inputs'!$B$33,'Inputs'!$B$29+'Inputs'!$B$31+'Inputs'!$B$32,'Inputs'!$B$30+'Inputs'!$B$31+'Inputs'!$B$32)/1000+'Inputs'!$B$21)+'Inputs'!$B$9)^2+('Inputs'!$B$8/2)^2)-(((755-43)*MAX('Inputs'!$B$33,'Inputs'!$B$29+'Inputs'!$B$31+'Inputs'!$B$32,'Inputs'!$B$30+'Inputs'!$B$31+'Inputs'!$B$32)/1000+'Inputs'!$B$21))/SQRT((((755-43)*MAX('Inputs'!$B$33,'Inputs'!$B$29+'Inputs'!$B$31+'Inputs'!$B$32,'Inputs'!$B$30+'Inputs'!$B$31+'Inputs'!$B$32)/1000+'Inputs'!$B$21))^2+('Inputs'!$B$8/2)^2)))-'Results'!B7*(1+'Inputs'!$B$24)*(0.5*((((755-43)*MAX('Inputs'!$B$33,'Inputs'!$B$29+'Inputs'!$B$31+'Inputs'!$B$32,'Inputs'!$B$30+'Inputs'!$B$31+'Inputs'!$B$32)/1000+'Inputs'!$B$21+'Inputs'!$B$9+'Inputs'!$B$10)+'Inputs'!$B$7)/SQRT((((755-43)*MAX('Inputs'!$B$33,'Inputs'!$B$29+'Inputs'!$B$31+'Inputs'!$B$32,'Inputs'!$B$30+'Inputs'!$B$31+'Inputs'!$B$32)/1000+'Inputs'!$B$21+'Inputs'!$B$9+'Inputs'!$B$10)+'Inputs'!$B$7)^2+('Inputs'!$B$6/2)^2)-(((755-43)*MAX('Inputs'!$B$33,'Inputs'!$B$29+'Inputs'!$B$31+'Inputs'!$B$32,'Inputs'!$B$30+'Inputs'!$B$31+'Inputs'!$B$32)/1000+'Inputs'!$B$21+'Inputs'!$B$9+'Inputs'!$B$10))/SQRT((((755-43)*MAX('Inputs'!$B$33,'Inputs'!$B$29+'Inputs'!$B$31+'Inputs'!$B$32,'Inputs'!$B$30+'Inputs'!$B$31+'Inputs'!$B$32)/1000+'Inputs'!$B$21+'Inputs'!$B$9+'Inputs'!$B$10))^2+('Inputs'!$B$6/2)^2))))*'Results'!$B$8))),"")</x:f>
        <x:v>0.9478305385690055</x:v>
      </x:c>
      <x:c r="O755" t="n">
        <x:f>IF(AND(ISNUMBER('Results'!C7),ISNUMBER('Results'!B7),ISNUMBER('Results'!$B$8),ISNUMBER('Inputs'!$B$6),ISNUMBER('Inputs'!$B$7),ISNUMBER('Inputs'!$B$8),ISNUMBER('Inputs'!$B$9),ISNUMBER('Inputs'!$B$10),ISNUMBER('Inputs'!$B$21),ISNUMBER('Inputs'!$B$24),ISNUMBER('Inputs'!$B$28)),((('Results'!C7*(1+'Inputs'!$B$24)*(0.5*((((755-43)*MAX('Inputs'!$B$33,'Inputs'!$B$29+'Inputs'!$B$31+'Inputs'!$B$32,'Inputs'!$B$30+'Inputs'!$B$31+'Inputs'!$B$32)/1000+'Inputs'!$B$21)+'Inputs'!$B$9)/SQRT((((755-43)*MAX('Inputs'!$B$33,'Inputs'!$B$29+'Inputs'!$B$31+'Inputs'!$B$32,'Inputs'!$B$30+'Inputs'!$B$31+'Inputs'!$B$32)/1000+'Inputs'!$B$21)+'Inputs'!$B$9)^2+('Inputs'!$B$8/2)^2)-(((755-43)*MAX('Inputs'!$B$33,'Inputs'!$B$29+'Inputs'!$B$31+'Inputs'!$B$32,'Inputs'!$B$30+'Inputs'!$B$31+'Inputs'!$B$32)/1000+'Inputs'!$B$21))/SQRT((((755-43)*MAX('Inputs'!$B$33,'Inputs'!$B$29+'Inputs'!$B$31+'Inputs'!$B$32,'Inputs'!$B$30+'Inputs'!$B$31+'Inputs'!$B$32)/1000+'Inputs'!$B$21))^2+('Inputs'!$B$8/2)^2)))-'Results'!B7*(1-'Inputs'!$B$24)*(0.5*((((755-43)*MAX('Inputs'!$B$33,'Inputs'!$B$29+'Inputs'!$B$31+'Inputs'!$B$32,'Inputs'!$B$30+'Inputs'!$B$31+'Inputs'!$B$32)/1000+'Inputs'!$B$21+'Inputs'!$B$9+'Inputs'!$B$10)+'Inputs'!$B$7)/SQRT((((755-43)*MAX('Inputs'!$B$33,'Inputs'!$B$29+'Inputs'!$B$31+'Inputs'!$B$32,'Inputs'!$B$30+'Inputs'!$B$31+'Inputs'!$B$32)/1000+'Inputs'!$B$21+'Inputs'!$B$9+'Inputs'!$B$10)+'Inputs'!$B$7)^2+('Inputs'!$B$6/2)^2)-(((755-43)*MAX('Inputs'!$B$33,'Inputs'!$B$29+'Inputs'!$B$31+'Inputs'!$B$32,'Inputs'!$B$30+'Inputs'!$B$31+'Inputs'!$B$32)/1000+'Inputs'!$B$21+'Inputs'!$B$9+'Inputs'!$B$10))/SQRT((((755-43)*MAX('Inputs'!$B$33,'Inputs'!$B$29+'Inputs'!$B$31+'Inputs'!$B$32,'Inputs'!$B$30+'Inputs'!$B$31+'Inputs'!$B$32)/1000+'Inputs'!$B$21+'Inputs'!$B$9+'Inputs'!$B$10))^2+('Inputs'!$B$6/2)^2))))*'Results'!$B$8)+'Inputs'!$B$28*ABS((('Results'!C7*(1+'Inputs'!$B$24)*(0.5*((((755-43)*MAX('Inputs'!$B$33,'Inputs'!$B$29+'Inputs'!$B$31+'Inputs'!$B$32,'Inputs'!$B$30+'Inputs'!$B$31+'Inputs'!$B$32)/1000+'Inputs'!$B$21)+'Inputs'!$B$9)/SQRT((((755-43)*MAX('Inputs'!$B$33,'Inputs'!$B$29+'Inputs'!$B$31+'Inputs'!$B$32,'Inputs'!$B$30+'Inputs'!$B$31+'Inputs'!$B$32)/1000+'Inputs'!$B$21)+'Inputs'!$B$9)^2+('Inputs'!$B$8/2)^2)-(((755-43)*MAX('Inputs'!$B$33,'Inputs'!$B$29+'Inputs'!$B$31+'Inputs'!$B$32,'Inputs'!$B$30+'Inputs'!$B$31+'Inputs'!$B$32)/1000+'Inputs'!$B$21))/SQRT((((755-43)*MAX('Inputs'!$B$33,'Inputs'!$B$29+'Inputs'!$B$31+'Inputs'!$B$32,'Inputs'!$B$30+'Inputs'!$B$31+'Inputs'!$B$32)/1000+'Inputs'!$B$21))^2+('Inputs'!$B$8/2)^2)))-'Results'!B7*(1-'Inputs'!$B$24)*(0.5*((((755-43)*MAX('Inputs'!$B$33,'Inputs'!$B$29+'Inputs'!$B$31+'Inputs'!$B$32,'Inputs'!$B$30+'Inputs'!$B$31+'Inputs'!$B$32)/1000+'Inputs'!$B$21+'Inputs'!$B$9+'Inputs'!$B$10)+'Inputs'!$B$7)/SQRT((((755-43)*MAX('Inputs'!$B$33,'Inputs'!$B$29+'Inputs'!$B$31+'Inputs'!$B$32,'Inputs'!$B$30+'Inputs'!$B$31+'Inputs'!$B$32)/1000+'Inputs'!$B$21+'Inputs'!$B$9+'Inputs'!$B$10)+'Inputs'!$B$7)^2+('Inputs'!$B$6/2)^2)-(((755-43)*MAX('Inputs'!$B$33,'Inputs'!$B$29+'Inputs'!$B$31+'Inputs'!$B$32,'Inputs'!$B$30+'Inputs'!$B$31+'Inputs'!$B$32)/1000+'Inputs'!$B$21+'Inputs'!$B$9+'Inputs'!$B$10))/SQRT((((755-43)*MAX('Inputs'!$B$33,'Inputs'!$B$29+'Inputs'!$B$31+'Inputs'!$B$32,'Inputs'!$B$30+'Inputs'!$B$31+'Inputs'!$B$32)/1000+'Inputs'!$B$21+'Inputs'!$B$9+'Inputs'!$B$10))^2+('Inputs'!$B$6/2)^2))))*'Results'!$B$8))),"")</x:f>
        <x:v>1.2761303992917832</x:v>
      </x:c>
      <x:c r="P755" t="n">
        <x:f>IF(AND(MAX(J755,J754)&gt;0,J755&gt;J754+0.00000001),1,0)</x:f>
        <x:v>0</x:v>
      </x:c>
      <x:c r="Q755" t="n">
        <x:f>IF(AND(MAX(K755,K754)&gt;0,K755&gt;K754+0.00000001),1,0)</x:f>
        <x:v>0</x:v>
      </x:c>
      <x:c r="R755" t="n">
        <x:f>IF(AND(MAX(L755,L754)&gt;0,L755&gt;L754+0.00000001),1,0)</x:f>
        <x:v>0</x:v>
      </x:c>
      <x:c r="S755" t="n">
        <x:f>IF(AND(MAX(M755,M754)&gt;0,M755&gt;M754+0.00000001),1,0)</x:f>
        <x:v>0</x:v>
      </x:c>
      <x:c r="T755" t="n">
        <x:f>IF(AND(MAX(N755,N754)&gt;0,N755&gt;N754+0.00000001),1,0)</x:f>
        <x:v>0</x:v>
      </x:c>
      <x:c r="U755" t="n">
        <x:f>IF(AND(MAX(O755,O754)&gt;0,O755&gt;O754+0.00000001),1,0)</x:f>
        <x:v>0</x:v>
      </x:c>
    </x:row>
    <x:row r="756">
      <x:c r="J756" t="n">
        <x:f>IF(AND(ISNUMBER('Results'!B7),ISNUMBER('Results'!C7),ISNUMBER('Results'!$B$8),ISNUMBER('Inputs'!$B$6),ISNUMBER('Inputs'!$B$7),ISNUMBER('Inputs'!$B$8),ISNUMBER('Inputs'!$B$9),ISNUMBER('Inputs'!$B$10),ISNUMBER('Inputs'!$B$21),ISNUMBER('Inputs'!$B$24),ISNUMBER('Inputs'!$B$28)),(('Results'!B7*(0.5*((((756-43)*MAX('Inputs'!$B$33,'Inputs'!$B$29+'Inputs'!$B$31+'Inputs'!$B$32,'Inputs'!$B$30+'Inputs'!$B$31+'Inputs'!$B$32)/1000+'Inputs'!$B$21)+'Inputs'!$B$7)/SQRT((((756-43)*MAX('Inputs'!$B$33,'Inputs'!$B$29+'Inputs'!$B$31+'Inputs'!$B$32,'Inputs'!$B$30+'Inputs'!$B$31+'Inputs'!$B$32)/1000+'Inputs'!$B$21)+'Inputs'!$B$7)^2+('Inputs'!$B$6/2)^2)-(((756-43)*MAX('Inputs'!$B$33,'Inputs'!$B$29+'Inputs'!$B$31+'Inputs'!$B$32,'Inputs'!$B$30+'Inputs'!$B$31+'Inputs'!$B$32)/1000+'Inputs'!$B$21))/SQRT((((756-43)*MAX('Inputs'!$B$33,'Inputs'!$B$29+'Inputs'!$B$31+'Inputs'!$B$32,'Inputs'!$B$30+'Inputs'!$B$31+'Inputs'!$B$32)/1000+'Inputs'!$B$21))^2+('Inputs'!$B$6/2)^2)))-'Results'!C7*(0.5*((((756-43)*MAX('Inputs'!$B$33,'Inputs'!$B$29+'Inputs'!$B$31+'Inputs'!$B$32,'Inputs'!$B$30+'Inputs'!$B$31+'Inputs'!$B$32)/1000+'Inputs'!$B$21+'Inputs'!$B$7+'Inputs'!$B$10)+'Inputs'!$B$9)/SQRT((((756-43)*MAX('Inputs'!$B$33,'Inputs'!$B$29+'Inputs'!$B$31+'Inputs'!$B$32,'Inputs'!$B$30+'Inputs'!$B$31+'Inputs'!$B$32)/1000+'Inputs'!$B$21+'Inputs'!$B$7+'Inputs'!$B$10)+'Inputs'!$B$9)^2+('Inputs'!$B$8/2)^2)-(((756-43)*MAX('Inputs'!$B$33,'Inputs'!$B$29+'Inputs'!$B$31+'Inputs'!$B$32,'Inputs'!$B$30+'Inputs'!$B$31+'Inputs'!$B$32)/1000+'Inputs'!$B$21+'Inputs'!$B$7+'Inputs'!$B$10))/SQRT((((756-43)*MAX('Inputs'!$B$33,'Inputs'!$B$29+'Inputs'!$B$31+'Inputs'!$B$32,'Inputs'!$B$30+'Inputs'!$B$31+'Inputs'!$B$32)/1000+'Inputs'!$B$21+'Inputs'!$B$7+'Inputs'!$B$10))^2+('Inputs'!$B$8/2)^2))))*'Results'!$B$8),"")</x:f>
        <x:v>1.2106366429148034</x:v>
      </x:c>
      <x:c r="K756" t="n">
        <x:f>IF(AND(ISNUMBER('Results'!B7),ISNUMBER('Results'!C7),ISNUMBER('Results'!$B$8),ISNUMBER('Inputs'!$B$6),ISNUMBER('Inputs'!$B$7),ISNUMBER('Inputs'!$B$8),ISNUMBER('Inputs'!$B$9),ISNUMBER('Inputs'!$B$10),ISNUMBER('Inputs'!$B$21),ISNUMBER('Inputs'!$B$24),ISNUMBER('Inputs'!$B$28)),((('Results'!B7*(1-'Inputs'!$B$24)*(0.5*((((756-43)*MAX('Inputs'!$B$33,'Inputs'!$B$29+'Inputs'!$B$31+'Inputs'!$B$32,'Inputs'!$B$30+'Inputs'!$B$31+'Inputs'!$B$32)/1000+'Inputs'!$B$21)+'Inputs'!$B$7)/SQRT((((756-43)*MAX('Inputs'!$B$33,'Inputs'!$B$29+'Inputs'!$B$31+'Inputs'!$B$32,'Inputs'!$B$30+'Inputs'!$B$31+'Inputs'!$B$32)/1000+'Inputs'!$B$21)+'Inputs'!$B$7)^2+('Inputs'!$B$6/2)^2)-(((756-43)*MAX('Inputs'!$B$33,'Inputs'!$B$29+'Inputs'!$B$31+'Inputs'!$B$32,'Inputs'!$B$30+'Inputs'!$B$31+'Inputs'!$B$32)/1000+'Inputs'!$B$21))/SQRT((((756-43)*MAX('Inputs'!$B$33,'Inputs'!$B$29+'Inputs'!$B$31+'Inputs'!$B$32,'Inputs'!$B$30+'Inputs'!$B$31+'Inputs'!$B$32)/1000+'Inputs'!$B$21))^2+('Inputs'!$B$6/2)^2)))-'Results'!C7*(1+'Inputs'!$B$24)*(0.5*((((756-43)*MAX('Inputs'!$B$33,'Inputs'!$B$29+'Inputs'!$B$31+'Inputs'!$B$32,'Inputs'!$B$30+'Inputs'!$B$31+'Inputs'!$B$32)/1000+'Inputs'!$B$21+'Inputs'!$B$7+'Inputs'!$B$10)+'Inputs'!$B$9)/SQRT((((756-43)*MAX('Inputs'!$B$33,'Inputs'!$B$29+'Inputs'!$B$31+'Inputs'!$B$32,'Inputs'!$B$30+'Inputs'!$B$31+'Inputs'!$B$32)/1000+'Inputs'!$B$21+'Inputs'!$B$7+'Inputs'!$B$10)+'Inputs'!$B$9)^2+('Inputs'!$B$8/2)^2)-(((756-43)*MAX('Inputs'!$B$33,'Inputs'!$B$29+'Inputs'!$B$31+'Inputs'!$B$32,'Inputs'!$B$30+'Inputs'!$B$31+'Inputs'!$B$32)/1000+'Inputs'!$B$21+'Inputs'!$B$7+'Inputs'!$B$10))/SQRT((((756-43)*MAX('Inputs'!$B$33,'Inputs'!$B$29+'Inputs'!$B$31+'Inputs'!$B$32,'Inputs'!$B$30+'Inputs'!$B$31+'Inputs'!$B$32)/1000+'Inputs'!$B$21+'Inputs'!$B$7+'Inputs'!$B$10))^2+('Inputs'!$B$8/2)^2))))*'Results'!$B$8)-'Inputs'!$B$28*ABS((('Results'!B7*(1-'Inputs'!$B$24)*(0.5*((((756-43)*MAX('Inputs'!$B$33,'Inputs'!$B$29+'Inputs'!$B$31+'Inputs'!$B$32,'Inputs'!$B$30+'Inputs'!$B$31+'Inputs'!$B$32)/1000+'Inputs'!$B$21)+'Inputs'!$B$7)/SQRT((((756-43)*MAX('Inputs'!$B$33,'Inputs'!$B$29+'Inputs'!$B$31+'Inputs'!$B$32,'Inputs'!$B$30+'Inputs'!$B$31+'Inputs'!$B$32)/1000+'Inputs'!$B$21)+'Inputs'!$B$7)^2+('Inputs'!$B$6/2)^2)-(((756-43)*MAX('Inputs'!$B$33,'Inputs'!$B$29+'Inputs'!$B$31+'Inputs'!$B$32,'Inputs'!$B$30+'Inputs'!$B$31+'Inputs'!$B$32)/1000+'Inputs'!$B$21))/SQRT((((756-43)*MAX('Inputs'!$B$33,'Inputs'!$B$29+'Inputs'!$B$31+'Inputs'!$B$32,'Inputs'!$B$30+'Inputs'!$B$31+'Inputs'!$B$32)/1000+'Inputs'!$B$21))^2+('Inputs'!$B$6/2)^2)))-'Results'!C7*(1+'Inputs'!$B$24)*(0.5*((((756-43)*MAX('Inputs'!$B$33,'Inputs'!$B$29+'Inputs'!$B$31+'Inputs'!$B$32,'Inputs'!$B$30+'Inputs'!$B$31+'Inputs'!$B$32)/1000+'Inputs'!$B$21+'Inputs'!$B$7+'Inputs'!$B$10)+'Inputs'!$B$9)/SQRT((((756-43)*MAX('Inputs'!$B$33,'Inputs'!$B$29+'Inputs'!$B$31+'Inputs'!$B$32,'Inputs'!$B$30+'Inputs'!$B$31+'Inputs'!$B$32)/1000+'Inputs'!$B$21+'Inputs'!$B$7+'Inputs'!$B$10)+'Inputs'!$B$9)^2+('Inputs'!$B$8/2)^2)-(((756-43)*MAX('Inputs'!$B$33,'Inputs'!$B$29+'Inputs'!$B$31+'Inputs'!$B$32,'Inputs'!$B$30+'Inputs'!$B$31+'Inputs'!$B$32)/1000+'Inputs'!$B$21+'Inputs'!$B$7+'Inputs'!$B$10))/SQRT((((756-43)*MAX('Inputs'!$B$33,'Inputs'!$B$29+'Inputs'!$B$31+'Inputs'!$B$32,'Inputs'!$B$30+'Inputs'!$B$31+'Inputs'!$B$32)/1000+'Inputs'!$B$21+'Inputs'!$B$7+'Inputs'!$B$10))^2+('Inputs'!$B$8/2)^2))))*'Results'!$B$8))),"")</x:f>
        <x:v>1.0466753708550247</x:v>
      </x:c>
      <x:c r="L756" t="n">
        <x:f>IF(AND(ISNUMBER('Results'!B7),ISNUMBER('Results'!C7),ISNUMBER('Results'!$B$8),ISNUMBER('Inputs'!$B$6),ISNUMBER('Inputs'!$B$7),ISNUMBER('Inputs'!$B$8),ISNUMBER('Inputs'!$B$9),ISNUMBER('Inputs'!$B$10),ISNUMBER('Inputs'!$B$21),ISNUMBER('Inputs'!$B$24),ISNUMBER('Inputs'!$B$28)),((('Results'!B7*(1+'Inputs'!$B$24)*(0.5*((((756-43)*MAX('Inputs'!$B$33,'Inputs'!$B$29+'Inputs'!$B$31+'Inputs'!$B$32,'Inputs'!$B$30+'Inputs'!$B$31+'Inputs'!$B$32)/1000+'Inputs'!$B$21)+'Inputs'!$B$7)/SQRT((((756-43)*MAX('Inputs'!$B$33,'Inputs'!$B$29+'Inputs'!$B$31+'Inputs'!$B$32,'Inputs'!$B$30+'Inputs'!$B$31+'Inputs'!$B$32)/1000+'Inputs'!$B$21)+'Inputs'!$B$7)^2+('Inputs'!$B$6/2)^2)-(((756-43)*MAX('Inputs'!$B$33,'Inputs'!$B$29+'Inputs'!$B$31+'Inputs'!$B$32,'Inputs'!$B$30+'Inputs'!$B$31+'Inputs'!$B$32)/1000+'Inputs'!$B$21))/SQRT((((756-43)*MAX('Inputs'!$B$33,'Inputs'!$B$29+'Inputs'!$B$31+'Inputs'!$B$32,'Inputs'!$B$30+'Inputs'!$B$31+'Inputs'!$B$32)/1000+'Inputs'!$B$21))^2+('Inputs'!$B$6/2)^2)))-'Results'!C7*(1-'Inputs'!$B$24)*(0.5*((((756-43)*MAX('Inputs'!$B$33,'Inputs'!$B$29+'Inputs'!$B$31+'Inputs'!$B$32,'Inputs'!$B$30+'Inputs'!$B$31+'Inputs'!$B$32)/1000+'Inputs'!$B$21+'Inputs'!$B$7+'Inputs'!$B$10)+'Inputs'!$B$9)/SQRT((((756-43)*MAX('Inputs'!$B$33,'Inputs'!$B$29+'Inputs'!$B$31+'Inputs'!$B$32,'Inputs'!$B$30+'Inputs'!$B$31+'Inputs'!$B$32)/1000+'Inputs'!$B$21+'Inputs'!$B$7+'Inputs'!$B$10)+'Inputs'!$B$9)^2+('Inputs'!$B$8/2)^2)-(((756-43)*MAX('Inputs'!$B$33,'Inputs'!$B$29+'Inputs'!$B$31+'Inputs'!$B$32,'Inputs'!$B$30+'Inputs'!$B$31+'Inputs'!$B$32)/1000+'Inputs'!$B$21+'Inputs'!$B$7+'Inputs'!$B$10))/SQRT((((756-43)*MAX('Inputs'!$B$33,'Inputs'!$B$29+'Inputs'!$B$31+'Inputs'!$B$32,'Inputs'!$B$30+'Inputs'!$B$31+'Inputs'!$B$32)/1000+'Inputs'!$B$21+'Inputs'!$B$7+'Inputs'!$B$10))^2+('Inputs'!$B$8/2)^2))))*'Results'!$B$8)+'Inputs'!$B$28*ABS((('Results'!B7*(1+'Inputs'!$B$24)*(0.5*((((756-43)*MAX('Inputs'!$B$33,'Inputs'!$B$29+'Inputs'!$B$31+'Inputs'!$B$32,'Inputs'!$B$30+'Inputs'!$B$31+'Inputs'!$B$32)/1000+'Inputs'!$B$21)+'Inputs'!$B$7)/SQRT((((756-43)*MAX('Inputs'!$B$33,'Inputs'!$B$29+'Inputs'!$B$31+'Inputs'!$B$32,'Inputs'!$B$30+'Inputs'!$B$31+'Inputs'!$B$32)/1000+'Inputs'!$B$21)+'Inputs'!$B$7)^2+('Inputs'!$B$6/2)^2)-(((756-43)*MAX('Inputs'!$B$33,'Inputs'!$B$29+'Inputs'!$B$31+'Inputs'!$B$32,'Inputs'!$B$30+'Inputs'!$B$31+'Inputs'!$B$32)/1000+'Inputs'!$B$21))/SQRT((((756-43)*MAX('Inputs'!$B$33,'Inputs'!$B$29+'Inputs'!$B$31+'Inputs'!$B$32,'Inputs'!$B$30+'Inputs'!$B$31+'Inputs'!$B$32)/1000+'Inputs'!$B$21))^2+('Inputs'!$B$6/2)^2)))-'Results'!C7*(1-'Inputs'!$B$24)*(0.5*((((756-43)*MAX('Inputs'!$B$33,'Inputs'!$B$29+'Inputs'!$B$31+'Inputs'!$B$32,'Inputs'!$B$30+'Inputs'!$B$31+'Inputs'!$B$32)/1000+'Inputs'!$B$21+'Inputs'!$B$7+'Inputs'!$B$10)+'Inputs'!$B$9)/SQRT((((756-43)*MAX('Inputs'!$B$33,'Inputs'!$B$29+'Inputs'!$B$31+'Inputs'!$B$32,'Inputs'!$B$30+'Inputs'!$B$31+'Inputs'!$B$32)/1000+'Inputs'!$B$21+'Inputs'!$B$7+'Inputs'!$B$10)+'Inputs'!$B$9)^2+('Inputs'!$B$8/2)^2)-(((756-43)*MAX('Inputs'!$B$33,'Inputs'!$B$29+'Inputs'!$B$31+'Inputs'!$B$32,'Inputs'!$B$30+'Inputs'!$B$31+'Inputs'!$B$32)/1000+'Inputs'!$B$21+'Inputs'!$B$7+'Inputs'!$B$10))/SQRT((((756-43)*MAX('Inputs'!$B$33,'Inputs'!$B$29+'Inputs'!$B$31+'Inputs'!$B$32,'Inputs'!$B$30+'Inputs'!$B$31+'Inputs'!$B$32)/1000+'Inputs'!$B$21+'Inputs'!$B$7+'Inputs'!$B$10))^2+('Inputs'!$B$8/2)^2))))*'Results'!$B$8))),"")</x:f>
        <x:v>1.385485224439217</x:v>
      </x:c>
      <x:c r="M756" t="n">
        <x:f>IF(AND(ISNUMBER('Results'!C7),ISNUMBER('Results'!B7),ISNUMBER('Results'!$B$8),ISNUMBER('Inputs'!$B$6),ISNUMBER('Inputs'!$B$7),ISNUMBER('Inputs'!$B$8),ISNUMBER('Inputs'!$B$9),ISNUMBER('Inputs'!$B$10),ISNUMBER('Inputs'!$B$21),ISNUMBER('Inputs'!$B$24),ISNUMBER('Inputs'!$B$28)),(('Results'!C7*(0.5*((((756-43)*MAX('Inputs'!$B$33,'Inputs'!$B$29+'Inputs'!$B$31+'Inputs'!$B$32,'Inputs'!$B$30+'Inputs'!$B$31+'Inputs'!$B$32)/1000+'Inputs'!$B$21)+'Inputs'!$B$9)/SQRT((((756-43)*MAX('Inputs'!$B$33,'Inputs'!$B$29+'Inputs'!$B$31+'Inputs'!$B$32,'Inputs'!$B$30+'Inputs'!$B$31+'Inputs'!$B$32)/1000+'Inputs'!$B$21)+'Inputs'!$B$9)^2+('Inputs'!$B$8/2)^2)-(((756-43)*MAX('Inputs'!$B$33,'Inputs'!$B$29+'Inputs'!$B$31+'Inputs'!$B$32,'Inputs'!$B$30+'Inputs'!$B$31+'Inputs'!$B$32)/1000+'Inputs'!$B$21))/SQRT((((756-43)*MAX('Inputs'!$B$33,'Inputs'!$B$29+'Inputs'!$B$31+'Inputs'!$B$32,'Inputs'!$B$30+'Inputs'!$B$31+'Inputs'!$B$32)/1000+'Inputs'!$B$21))^2+('Inputs'!$B$8/2)^2)))-'Results'!B7*(0.5*((((756-43)*MAX('Inputs'!$B$33,'Inputs'!$B$29+'Inputs'!$B$31+'Inputs'!$B$32,'Inputs'!$B$30+'Inputs'!$B$31+'Inputs'!$B$32)/1000+'Inputs'!$B$21+'Inputs'!$B$9+'Inputs'!$B$10)+'Inputs'!$B$7)/SQRT((((756-43)*MAX('Inputs'!$B$33,'Inputs'!$B$29+'Inputs'!$B$31+'Inputs'!$B$32,'Inputs'!$B$30+'Inputs'!$B$31+'Inputs'!$B$32)/1000+'Inputs'!$B$21+'Inputs'!$B$9+'Inputs'!$B$10)+'Inputs'!$B$7)^2+('Inputs'!$B$6/2)^2)-(((756-43)*MAX('Inputs'!$B$33,'Inputs'!$B$29+'Inputs'!$B$31+'Inputs'!$B$32,'Inputs'!$B$30+'Inputs'!$B$31+'Inputs'!$B$32)/1000+'Inputs'!$B$21+'Inputs'!$B$9+'Inputs'!$B$10))/SQRT((((756-43)*MAX('Inputs'!$B$33,'Inputs'!$B$29+'Inputs'!$B$31+'Inputs'!$B$32,'Inputs'!$B$30+'Inputs'!$B$31+'Inputs'!$B$32)/1000+'Inputs'!$B$21+'Inputs'!$B$9+'Inputs'!$B$10))^2+('Inputs'!$B$6/2)^2))))*'Results'!$B$8),"")</x:f>
        <x:v>1.100899667025712</x:v>
      </x:c>
      <x:c r="N756" t="n">
        <x:f>IF(AND(ISNUMBER('Results'!C7),ISNUMBER('Results'!B7),ISNUMBER('Results'!$B$8),ISNUMBER('Inputs'!$B$6),ISNUMBER('Inputs'!$B$7),ISNUMBER('Inputs'!$B$8),ISNUMBER('Inputs'!$B$9),ISNUMBER('Inputs'!$B$10),ISNUMBER('Inputs'!$B$21),ISNUMBER('Inputs'!$B$24),ISNUMBER('Inputs'!$B$28)),((('Results'!C7*(1-'Inputs'!$B$24)*(0.5*((((756-43)*MAX('Inputs'!$B$33,'Inputs'!$B$29+'Inputs'!$B$31+'Inputs'!$B$32,'Inputs'!$B$30+'Inputs'!$B$31+'Inputs'!$B$32)/1000+'Inputs'!$B$21)+'Inputs'!$B$9)/SQRT((((756-43)*MAX('Inputs'!$B$33,'Inputs'!$B$29+'Inputs'!$B$31+'Inputs'!$B$32,'Inputs'!$B$30+'Inputs'!$B$31+'Inputs'!$B$32)/1000+'Inputs'!$B$21)+'Inputs'!$B$9)^2+('Inputs'!$B$8/2)^2)-(((756-43)*MAX('Inputs'!$B$33,'Inputs'!$B$29+'Inputs'!$B$31+'Inputs'!$B$32,'Inputs'!$B$30+'Inputs'!$B$31+'Inputs'!$B$32)/1000+'Inputs'!$B$21))/SQRT((((756-43)*MAX('Inputs'!$B$33,'Inputs'!$B$29+'Inputs'!$B$31+'Inputs'!$B$32,'Inputs'!$B$30+'Inputs'!$B$31+'Inputs'!$B$32)/1000+'Inputs'!$B$21))^2+('Inputs'!$B$8/2)^2)))-'Results'!B7*(1+'Inputs'!$B$24)*(0.5*((((756-43)*MAX('Inputs'!$B$33,'Inputs'!$B$29+'Inputs'!$B$31+'Inputs'!$B$32,'Inputs'!$B$30+'Inputs'!$B$31+'Inputs'!$B$32)/1000+'Inputs'!$B$21+'Inputs'!$B$9+'Inputs'!$B$10)+'Inputs'!$B$7)/SQRT((((756-43)*MAX('Inputs'!$B$33,'Inputs'!$B$29+'Inputs'!$B$31+'Inputs'!$B$32,'Inputs'!$B$30+'Inputs'!$B$31+'Inputs'!$B$32)/1000+'Inputs'!$B$21+'Inputs'!$B$9+'Inputs'!$B$10)+'Inputs'!$B$7)^2+('Inputs'!$B$6/2)^2)-(((756-43)*MAX('Inputs'!$B$33,'Inputs'!$B$29+'Inputs'!$B$31+'Inputs'!$B$32,'Inputs'!$B$30+'Inputs'!$B$31+'Inputs'!$B$32)/1000+'Inputs'!$B$21+'Inputs'!$B$9+'Inputs'!$B$10))/SQRT((((756-43)*MAX('Inputs'!$B$33,'Inputs'!$B$29+'Inputs'!$B$31+'Inputs'!$B$32,'Inputs'!$B$30+'Inputs'!$B$31+'Inputs'!$B$32)/1000+'Inputs'!$B$21+'Inputs'!$B$9+'Inputs'!$B$10))^2+('Inputs'!$B$6/2)^2))))*'Results'!$B$8)-'Inputs'!$B$28*ABS((('Results'!C7*(1-'Inputs'!$B$24)*(0.5*((((756-43)*MAX('Inputs'!$B$33,'Inputs'!$B$29+'Inputs'!$B$31+'Inputs'!$B$32,'Inputs'!$B$30+'Inputs'!$B$31+'Inputs'!$B$32)/1000+'Inputs'!$B$21)+'Inputs'!$B$9)/SQRT((((756-43)*MAX('Inputs'!$B$33,'Inputs'!$B$29+'Inputs'!$B$31+'Inputs'!$B$32,'Inputs'!$B$30+'Inputs'!$B$31+'Inputs'!$B$32)/1000+'Inputs'!$B$21)+'Inputs'!$B$9)^2+('Inputs'!$B$8/2)^2)-(((756-43)*MAX('Inputs'!$B$33,'Inputs'!$B$29+'Inputs'!$B$31+'Inputs'!$B$32,'Inputs'!$B$30+'Inputs'!$B$31+'Inputs'!$B$32)/1000+'Inputs'!$B$21))/SQRT((((756-43)*MAX('Inputs'!$B$33,'Inputs'!$B$29+'Inputs'!$B$31+'Inputs'!$B$32,'Inputs'!$B$30+'Inputs'!$B$31+'Inputs'!$B$32)/1000+'Inputs'!$B$21))^2+('Inputs'!$B$8/2)^2)))-'Results'!B7*(1+'Inputs'!$B$24)*(0.5*((((756-43)*MAX('Inputs'!$B$33,'Inputs'!$B$29+'Inputs'!$B$31+'Inputs'!$B$32,'Inputs'!$B$30+'Inputs'!$B$31+'Inputs'!$B$32)/1000+'Inputs'!$B$21+'Inputs'!$B$9+'Inputs'!$B$10)+'Inputs'!$B$7)/SQRT((((756-43)*MAX('Inputs'!$B$33,'Inputs'!$B$29+'Inputs'!$B$31+'Inputs'!$B$32,'Inputs'!$B$30+'Inputs'!$B$31+'Inputs'!$B$32)/1000+'Inputs'!$B$21+'Inputs'!$B$9+'Inputs'!$B$10)+'Inputs'!$B$7)^2+('Inputs'!$B$6/2)^2)-(((756-43)*MAX('Inputs'!$B$33,'Inputs'!$B$29+'Inputs'!$B$31+'Inputs'!$B$32,'Inputs'!$B$30+'Inputs'!$B$31+'Inputs'!$B$32)/1000+'Inputs'!$B$21+'Inputs'!$B$9+'Inputs'!$B$10))/SQRT((((756-43)*MAX('Inputs'!$B$33,'Inputs'!$B$29+'Inputs'!$B$31+'Inputs'!$B$32,'Inputs'!$B$30+'Inputs'!$B$31+'Inputs'!$B$32)/1000+'Inputs'!$B$21+'Inputs'!$B$9+'Inputs'!$B$10))^2+('Inputs'!$B$6/2)^2))))*'Results'!$B$8))),"")</x:f>
        <x:v>0.9428688719410834</x:v>
      </x:c>
      <x:c r="O756" t="n">
        <x:f>IF(AND(ISNUMBER('Results'!C7),ISNUMBER('Results'!B7),ISNUMBER('Results'!$B$8),ISNUMBER('Inputs'!$B$6),ISNUMBER('Inputs'!$B$7),ISNUMBER('Inputs'!$B$8),ISNUMBER('Inputs'!$B$9),ISNUMBER('Inputs'!$B$10),ISNUMBER('Inputs'!$B$21),ISNUMBER('Inputs'!$B$24),ISNUMBER('Inputs'!$B$28)),((('Results'!C7*(1+'Inputs'!$B$24)*(0.5*((((756-43)*MAX('Inputs'!$B$33,'Inputs'!$B$29+'Inputs'!$B$31+'Inputs'!$B$32,'Inputs'!$B$30+'Inputs'!$B$31+'Inputs'!$B$32)/1000+'Inputs'!$B$21)+'Inputs'!$B$9)/SQRT((((756-43)*MAX('Inputs'!$B$33,'Inputs'!$B$29+'Inputs'!$B$31+'Inputs'!$B$32,'Inputs'!$B$30+'Inputs'!$B$31+'Inputs'!$B$32)/1000+'Inputs'!$B$21)+'Inputs'!$B$9)^2+('Inputs'!$B$8/2)^2)-(((756-43)*MAX('Inputs'!$B$33,'Inputs'!$B$29+'Inputs'!$B$31+'Inputs'!$B$32,'Inputs'!$B$30+'Inputs'!$B$31+'Inputs'!$B$32)/1000+'Inputs'!$B$21))/SQRT((((756-43)*MAX('Inputs'!$B$33,'Inputs'!$B$29+'Inputs'!$B$31+'Inputs'!$B$32,'Inputs'!$B$30+'Inputs'!$B$31+'Inputs'!$B$32)/1000+'Inputs'!$B$21))^2+('Inputs'!$B$8/2)^2)))-'Results'!B7*(1-'Inputs'!$B$24)*(0.5*((((756-43)*MAX('Inputs'!$B$33,'Inputs'!$B$29+'Inputs'!$B$31+'Inputs'!$B$32,'Inputs'!$B$30+'Inputs'!$B$31+'Inputs'!$B$32)/1000+'Inputs'!$B$21+'Inputs'!$B$9+'Inputs'!$B$10)+'Inputs'!$B$7)/SQRT((((756-43)*MAX('Inputs'!$B$33,'Inputs'!$B$29+'Inputs'!$B$31+'Inputs'!$B$32,'Inputs'!$B$30+'Inputs'!$B$31+'Inputs'!$B$32)/1000+'Inputs'!$B$21+'Inputs'!$B$9+'Inputs'!$B$10)+'Inputs'!$B$7)^2+('Inputs'!$B$6/2)^2)-(((756-43)*MAX('Inputs'!$B$33,'Inputs'!$B$29+'Inputs'!$B$31+'Inputs'!$B$32,'Inputs'!$B$30+'Inputs'!$B$31+'Inputs'!$B$32)/1000+'Inputs'!$B$21+'Inputs'!$B$9+'Inputs'!$B$10))/SQRT((((756-43)*MAX('Inputs'!$B$33,'Inputs'!$B$29+'Inputs'!$B$31+'Inputs'!$B$32,'Inputs'!$B$30+'Inputs'!$B$31+'Inputs'!$B$32)/1000+'Inputs'!$B$21+'Inputs'!$B$9+'Inputs'!$B$10))^2+('Inputs'!$B$6/2)^2))))*'Results'!$B$8)+'Inputs'!$B$28*ABS((('Results'!C7*(1+'Inputs'!$B$24)*(0.5*((((756-43)*MAX('Inputs'!$B$33,'Inputs'!$B$29+'Inputs'!$B$31+'Inputs'!$B$32,'Inputs'!$B$30+'Inputs'!$B$31+'Inputs'!$B$32)/1000+'Inputs'!$B$21)+'Inputs'!$B$9)/SQRT((((756-43)*MAX('Inputs'!$B$33,'Inputs'!$B$29+'Inputs'!$B$31+'Inputs'!$B$32,'Inputs'!$B$30+'Inputs'!$B$31+'Inputs'!$B$32)/1000+'Inputs'!$B$21)+'Inputs'!$B$9)^2+('Inputs'!$B$8/2)^2)-(((756-43)*MAX('Inputs'!$B$33,'Inputs'!$B$29+'Inputs'!$B$31+'Inputs'!$B$32,'Inputs'!$B$30+'Inputs'!$B$31+'Inputs'!$B$32)/1000+'Inputs'!$B$21))/SQRT((((756-43)*MAX('Inputs'!$B$33,'Inputs'!$B$29+'Inputs'!$B$31+'Inputs'!$B$32,'Inputs'!$B$30+'Inputs'!$B$31+'Inputs'!$B$32)/1000+'Inputs'!$B$21))^2+('Inputs'!$B$8/2)^2)))-'Results'!B7*(1-'Inputs'!$B$24)*(0.5*((((756-43)*MAX('Inputs'!$B$33,'Inputs'!$B$29+'Inputs'!$B$31+'Inputs'!$B$32,'Inputs'!$B$30+'Inputs'!$B$31+'Inputs'!$B$32)/1000+'Inputs'!$B$21+'Inputs'!$B$9+'Inputs'!$B$10)+'Inputs'!$B$7)/SQRT((((756-43)*MAX('Inputs'!$B$33,'Inputs'!$B$29+'Inputs'!$B$31+'Inputs'!$B$32,'Inputs'!$B$30+'Inputs'!$B$31+'Inputs'!$B$32)/1000+'Inputs'!$B$21+'Inputs'!$B$9+'Inputs'!$B$10)+'Inputs'!$B$7)^2+('Inputs'!$B$6/2)^2)-(((756-43)*MAX('Inputs'!$B$33,'Inputs'!$B$29+'Inputs'!$B$31+'Inputs'!$B$32,'Inputs'!$B$30+'Inputs'!$B$31+'Inputs'!$B$32)/1000+'Inputs'!$B$21+'Inputs'!$B$9+'Inputs'!$B$10))/SQRT((((756-43)*MAX('Inputs'!$B$33,'Inputs'!$B$29+'Inputs'!$B$31+'Inputs'!$B$32,'Inputs'!$B$30+'Inputs'!$B$31+'Inputs'!$B$32)/1000+'Inputs'!$B$21+'Inputs'!$B$9+'Inputs'!$B$10))^2+('Inputs'!$B$6/2)^2))))*'Results'!$B$8))),"")</x:f>
        <x:v>1.269771073871745</x:v>
      </x:c>
      <x:c r="P756" t="n">
        <x:f>IF(AND(MAX(J756,J755)&gt;0,J756&gt;J755+0.00000001),1,0)</x:f>
        <x:v>0</x:v>
      </x:c>
      <x:c r="Q756" t="n">
        <x:f>IF(AND(MAX(K756,K755)&gt;0,K756&gt;K755+0.00000001),1,0)</x:f>
        <x:v>0</x:v>
      </x:c>
      <x:c r="R756" t="n">
        <x:f>IF(AND(MAX(L756,L755)&gt;0,L756&gt;L755+0.00000001),1,0)</x:f>
        <x:v>0</x:v>
      </x:c>
      <x:c r="S756" t="n">
        <x:f>IF(AND(MAX(M756,M755)&gt;0,M756&gt;M755+0.00000001),1,0)</x:f>
        <x:v>0</x:v>
      </x:c>
      <x:c r="T756" t="n">
        <x:f>IF(AND(MAX(N756,N755)&gt;0,N756&gt;N755+0.00000001),1,0)</x:f>
        <x:v>0</x:v>
      </x:c>
      <x:c r="U756" t="n">
        <x:f>IF(AND(MAX(O756,O755)&gt;0,O756&gt;O755+0.00000001),1,0)</x:f>
        <x:v>0</x:v>
      </x:c>
    </x:row>
    <x:row r="757">
      <x:c r="J757" t="n">
        <x:f>IF(AND(ISNUMBER('Results'!B7),ISNUMBER('Results'!C7),ISNUMBER('Results'!$B$8),ISNUMBER('Inputs'!$B$6),ISNUMBER('Inputs'!$B$7),ISNUMBER('Inputs'!$B$8),ISNUMBER('Inputs'!$B$9),ISNUMBER('Inputs'!$B$10),ISNUMBER('Inputs'!$B$21),ISNUMBER('Inputs'!$B$24),ISNUMBER('Inputs'!$B$28)),(('Results'!B7*(0.5*((((757-43)*MAX('Inputs'!$B$33,'Inputs'!$B$29+'Inputs'!$B$31+'Inputs'!$B$32,'Inputs'!$B$30+'Inputs'!$B$31+'Inputs'!$B$32)/1000+'Inputs'!$B$21)+'Inputs'!$B$7)/SQRT((((757-43)*MAX('Inputs'!$B$33,'Inputs'!$B$29+'Inputs'!$B$31+'Inputs'!$B$32,'Inputs'!$B$30+'Inputs'!$B$31+'Inputs'!$B$32)/1000+'Inputs'!$B$21)+'Inputs'!$B$7)^2+('Inputs'!$B$6/2)^2)-(((757-43)*MAX('Inputs'!$B$33,'Inputs'!$B$29+'Inputs'!$B$31+'Inputs'!$B$32,'Inputs'!$B$30+'Inputs'!$B$31+'Inputs'!$B$32)/1000+'Inputs'!$B$21))/SQRT((((757-43)*MAX('Inputs'!$B$33,'Inputs'!$B$29+'Inputs'!$B$31+'Inputs'!$B$32,'Inputs'!$B$30+'Inputs'!$B$31+'Inputs'!$B$32)/1000+'Inputs'!$B$21))^2+('Inputs'!$B$6/2)^2)))-'Results'!C7*(0.5*((((757-43)*MAX('Inputs'!$B$33,'Inputs'!$B$29+'Inputs'!$B$31+'Inputs'!$B$32,'Inputs'!$B$30+'Inputs'!$B$31+'Inputs'!$B$32)/1000+'Inputs'!$B$21+'Inputs'!$B$7+'Inputs'!$B$10)+'Inputs'!$B$9)/SQRT((((757-43)*MAX('Inputs'!$B$33,'Inputs'!$B$29+'Inputs'!$B$31+'Inputs'!$B$32,'Inputs'!$B$30+'Inputs'!$B$31+'Inputs'!$B$32)/1000+'Inputs'!$B$21+'Inputs'!$B$7+'Inputs'!$B$10)+'Inputs'!$B$9)^2+('Inputs'!$B$8/2)^2)-(((757-43)*MAX('Inputs'!$B$33,'Inputs'!$B$29+'Inputs'!$B$31+'Inputs'!$B$32,'Inputs'!$B$30+'Inputs'!$B$31+'Inputs'!$B$32)/1000+'Inputs'!$B$21+'Inputs'!$B$7+'Inputs'!$B$10))/SQRT((((757-43)*MAX('Inputs'!$B$33,'Inputs'!$B$29+'Inputs'!$B$31+'Inputs'!$B$32,'Inputs'!$B$30+'Inputs'!$B$31+'Inputs'!$B$32)/1000+'Inputs'!$B$21+'Inputs'!$B$7+'Inputs'!$B$10))^2+('Inputs'!$B$8/2)^2))))*'Results'!$B$8),"")</x:f>
        <x:v>1.2046125798917335</x:v>
      </x:c>
      <x:c r="K757" t="n">
        <x:f>IF(AND(ISNUMBER('Results'!B7),ISNUMBER('Results'!C7),ISNUMBER('Results'!$B$8),ISNUMBER('Inputs'!$B$6),ISNUMBER('Inputs'!$B$7),ISNUMBER('Inputs'!$B$8),ISNUMBER('Inputs'!$B$9),ISNUMBER('Inputs'!$B$10),ISNUMBER('Inputs'!$B$21),ISNUMBER('Inputs'!$B$24),ISNUMBER('Inputs'!$B$28)),((('Results'!B7*(1-'Inputs'!$B$24)*(0.5*((((757-43)*MAX('Inputs'!$B$33,'Inputs'!$B$29+'Inputs'!$B$31+'Inputs'!$B$32,'Inputs'!$B$30+'Inputs'!$B$31+'Inputs'!$B$32)/1000+'Inputs'!$B$21)+'Inputs'!$B$7)/SQRT((((757-43)*MAX('Inputs'!$B$33,'Inputs'!$B$29+'Inputs'!$B$31+'Inputs'!$B$32,'Inputs'!$B$30+'Inputs'!$B$31+'Inputs'!$B$32)/1000+'Inputs'!$B$21)+'Inputs'!$B$7)^2+('Inputs'!$B$6/2)^2)-(((757-43)*MAX('Inputs'!$B$33,'Inputs'!$B$29+'Inputs'!$B$31+'Inputs'!$B$32,'Inputs'!$B$30+'Inputs'!$B$31+'Inputs'!$B$32)/1000+'Inputs'!$B$21))/SQRT((((757-43)*MAX('Inputs'!$B$33,'Inputs'!$B$29+'Inputs'!$B$31+'Inputs'!$B$32,'Inputs'!$B$30+'Inputs'!$B$31+'Inputs'!$B$32)/1000+'Inputs'!$B$21))^2+('Inputs'!$B$6/2)^2)))-'Results'!C7*(1+'Inputs'!$B$24)*(0.5*((((757-43)*MAX('Inputs'!$B$33,'Inputs'!$B$29+'Inputs'!$B$31+'Inputs'!$B$32,'Inputs'!$B$30+'Inputs'!$B$31+'Inputs'!$B$32)/1000+'Inputs'!$B$21+'Inputs'!$B$7+'Inputs'!$B$10)+'Inputs'!$B$9)/SQRT((((757-43)*MAX('Inputs'!$B$33,'Inputs'!$B$29+'Inputs'!$B$31+'Inputs'!$B$32,'Inputs'!$B$30+'Inputs'!$B$31+'Inputs'!$B$32)/1000+'Inputs'!$B$21+'Inputs'!$B$7+'Inputs'!$B$10)+'Inputs'!$B$9)^2+('Inputs'!$B$8/2)^2)-(((757-43)*MAX('Inputs'!$B$33,'Inputs'!$B$29+'Inputs'!$B$31+'Inputs'!$B$32,'Inputs'!$B$30+'Inputs'!$B$31+'Inputs'!$B$32)/1000+'Inputs'!$B$21+'Inputs'!$B$7+'Inputs'!$B$10))/SQRT((((757-43)*MAX('Inputs'!$B$33,'Inputs'!$B$29+'Inputs'!$B$31+'Inputs'!$B$32,'Inputs'!$B$30+'Inputs'!$B$31+'Inputs'!$B$32)/1000+'Inputs'!$B$21+'Inputs'!$B$7+'Inputs'!$B$10))^2+('Inputs'!$B$8/2)^2))))*'Results'!$B$8)-'Inputs'!$B$28*ABS((('Results'!B7*(1-'Inputs'!$B$24)*(0.5*((((757-43)*MAX('Inputs'!$B$33,'Inputs'!$B$29+'Inputs'!$B$31+'Inputs'!$B$32,'Inputs'!$B$30+'Inputs'!$B$31+'Inputs'!$B$32)/1000+'Inputs'!$B$21)+'Inputs'!$B$7)/SQRT((((757-43)*MAX('Inputs'!$B$33,'Inputs'!$B$29+'Inputs'!$B$31+'Inputs'!$B$32,'Inputs'!$B$30+'Inputs'!$B$31+'Inputs'!$B$32)/1000+'Inputs'!$B$21)+'Inputs'!$B$7)^2+('Inputs'!$B$6/2)^2)-(((757-43)*MAX('Inputs'!$B$33,'Inputs'!$B$29+'Inputs'!$B$31+'Inputs'!$B$32,'Inputs'!$B$30+'Inputs'!$B$31+'Inputs'!$B$32)/1000+'Inputs'!$B$21))/SQRT((((757-43)*MAX('Inputs'!$B$33,'Inputs'!$B$29+'Inputs'!$B$31+'Inputs'!$B$32,'Inputs'!$B$30+'Inputs'!$B$31+'Inputs'!$B$32)/1000+'Inputs'!$B$21))^2+('Inputs'!$B$6/2)^2)))-'Results'!C7*(1+'Inputs'!$B$24)*(0.5*((((757-43)*MAX('Inputs'!$B$33,'Inputs'!$B$29+'Inputs'!$B$31+'Inputs'!$B$32,'Inputs'!$B$30+'Inputs'!$B$31+'Inputs'!$B$32)/1000+'Inputs'!$B$21+'Inputs'!$B$7+'Inputs'!$B$10)+'Inputs'!$B$9)/SQRT((((757-43)*MAX('Inputs'!$B$33,'Inputs'!$B$29+'Inputs'!$B$31+'Inputs'!$B$32,'Inputs'!$B$30+'Inputs'!$B$31+'Inputs'!$B$32)/1000+'Inputs'!$B$21+'Inputs'!$B$7+'Inputs'!$B$10)+'Inputs'!$B$9)^2+('Inputs'!$B$8/2)^2)-(((757-43)*MAX('Inputs'!$B$33,'Inputs'!$B$29+'Inputs'!$B$31+'Inputs'!$B$32,'Inputs'!$B$30+'Inputs'!$B$31+'Inputs'!$B$32)/1000+'Inputs'!$B$21+'Inputs'!$B$7+'Inputs'!$B$10))/SQRT((((757-43)*MAX('Inputs'!$B$33,'Inputs'!$B$29+'Inputs'!$B$31+'Inputs'!$B$32,'Inputs'!$B$30+'Inputs'!$B$31+'Inputs'!$B$32)/1000+'Inputs'!$B$21+'Inputs'!$B$7+'Inputs'!$B$10))^2+('Inputs'!$B$8/2)^2))))*'Results'!$B$8))),"")</x:f>
        <x:v>1.0413487225656812</x:v>
      </x:c>
      <x:c r="L757" t="n">
        <x:f>IF(AND(ISNUMBER('Results'!B7),ISNUMBER('Results'!C7),ISNUMBER('Results'!$B$8),ISNUMBER('Inputs'!$B$6),ISNUMBER('Inputs'!$B$7),ISNUMBER('Inputs'!$B$8),ISNUMBER('Inputs'!$B$9),ISNUMBER('Inputs'!$B$10),ISNUMBER('Inputs'!$B$21),ISNUMBER('Inputs'!$B$24),ISNUMBER('Inputs'!$B$28)),((('Results'!B7*(1+'Inputs'!$B$24)*(0.5*((((757-43)*MAX('Inputs'!$B$33,'Inputs'!$B$29+'Inputs'!$B$31+'Inputs'!$B$32,'Inputs'!$B$30+'Inputs'!$B$31+'Inputs'!$B$32)/1000+'Inputs'!$B$21)+'Inputs'!$B$7)/SQRT((((757-43)*MAX('Inputs'!$B$33,'Inputs'!$B$29+'Inputs'!$B$31+'Inputs'!$B$32,'Inputs'!$B$30+'Inputs'!$B$31+'Inputs'!$B$32)/1000+'Inputs'!$B$21)+'Inputs'!$B$7)^2+('Inputs'!$B$6/2)^2)-(((757-43)*MAX('Inputs'!$B$33,'Inputs'!$B$29+'Inputs'!$B$31+'Inputs'!$B$32,'Inputs'!$B$30+'Inputs'!$B$31+'Inputs'!$B$32)/1000+'Inputs'!$B$21))/SQRT((((757-43)*MAX('Inputs'!$B$33,'Inputs'!$B$29+'Inputs'!$B$31+'Inputs'!$B$32,'Inputs'!$B$30+'Inputs'!$B$31+'Inputs'!$B$32)/1000+'Inputs'!$B$21))^2+('Inputs'!$B$6/2)^2)))-'Results'!C7*(1-'Inputs'!$B$24)*(0.5*((((757-43)*MAX('Inputs'!$B$33,'Inputs'!$B$29+'Inputs'!$B$31+'Inputs'!$B$32,'Inputs'!$B$30+'Inputs'!$B$31+'Inputs'!$B$32)/1000+'Inputs'!$B$21+'Inputs'!$B$7+'Inputs'!$B$10)+'Inputs'!$B$9)/SQRT((((757-43)*MAX('Inputs'!$B$33,'Inputs'!$B$29+'Inputs'!$B$31+'Inputs'!$B$32,'Inputs'!$B$30+'Inputs'!$B$31+'Inputs'!$B$32)/1000+'Inputs'!$B$21+'Inputs'!$B$7+'Inputs'!$B$10)+'Inputs'!$B$9)^2+('Inputs'!$B$8/2)^2)-(((757-43)*MAX('Inputs'!$B$33,'Inputs'!$B$29+'Inputs'!$B$31+'Inputs'!$B$32,'Inputs'!$B$30+'Inputs'!$B$31+'Inputs'!$B$32)/1000+'Inputs'!$B$21+'Inputs'!$B$7+'Inputs'!$B$10))/SQRT((((757-43)*MAX('Inputs'!$B$33,'Inputs'!$B$29+'Inputs'!$B$31+'Inputs'!$B$32,'Inputs'!$B$30+'Inputs'!$B$31+'Inputs'!$B$32)/1000+'Inputs'!$B$21+'Inputs'!$B$7+'Inputs'!$B$10))^2+('Inputs'!$B$8/2)^2))))*'Results'!$B$8)+'Inputs'!$B$28*ABS((('Results'!B7*(1+'Inputs'!$B$24)*(0.5*((((757-43)*MAX('Inputs'!$B$33,'Inputs'!$B$29+'Inputs'!$B$31+'Inputs'!$B$32,'Inputs'!$B$30+'Inputs'!$B$31+'Inputs'!$B$32)/1000+'Inputs'!$B$21)+'Inputs'!$B$7)/SQRT((((757-43)*MAX('Inputs'!$B$33,'Inputs'!$B$29+'Inputs'!$B$31+'Inputs'!$B$32,'Inputs'!$B$30+'Inputs'!$B$31+'Inputs'!$B$32)/1000+'Inputs'!$B$21)+'Inputs'!$B$7)^2+('Inputs'!$B$6/2)^2)-(((757-43)*MAX('Inputs'!$B$33,'Inputs'!$B$29+'Inputs'!$B$31+'Inputs'!$B$32,'Inputs'!$B$30+'Inputs'!$B$31+'Inputs'!$B$32)/1000+'Inputs'!$B$21))/SQRT((((757-43)*MAX('Inputs'!$B$33,'Inputs'!$B$29+'Inputs'!$B$31+'Inputs'!$B$32,'Inputs'!$B$30+'Inputs'!$B$31+'Inputs'!$B$32)/1000+'Inputs'!$B$21))^2+('Inputs'!$B$6/2)^2)))-'Results'!C7*(1-'Inputs'!$B$24)*(0.5*((((757-43)*MAX('Inputs'!$B$33,'Inputs'!$B$29+'Inputs'!$B$31+'Inputs'!$B$32,'Inputs'!$B$30+'Inputs'!$B$31+'Inputs'!$B$32)/1000+'Inputs'!$B$21+'Inputs'!$B$7+'Inputs'!$B$10)+'Inputs'!$B$9)/SQRT((((757-43)*MAX('Inputs'!$B$33,'Inputs'!$B$29+'Inputs'!$B$31+'Inputs'!$B$32,'Inputs'!$B$30+'Inputs'!$B$31+'Inputs'!$B$32)/1000+'Inputs'!$B$21+'Inputs'!$B$7+'Inputs'!$B$10)+'Inputs'!$B$9)^2+('Inputs'!$B$8/2)^2)-(((757-43)*MAX('Inputs'!$B$33,'Inputs'!$B$29+'Inputs'!$B$31+'Inputs'!$B$32,'Inputs'!$B$30+'Inputs'!$B$31+'Inputs'!$B$32)/1000+'Inputs'!$B$21+'Inputs'!$B$7+'Inputs'!$B$10))/SQRT((((757-43)*MAX('Inputs'!$B$33,'Inputs'!$B$29+'Inputs'!$B$31+'Inputs'!$B$32,'Inputs'!$B$30+'Inputs'!$B$31+'Inputs'!$B$32)/1000+'Inputs'!$B$21+'Inputs'!$B$7+'Inputs'!$B$10))^2+('Inputs'!$B$8/2)^2))))*'Results'!$B$8))),"")</x:f>
        <x:v>1.3787220402000446</x:v>
      </x:c>
      <x:c r="M757" t="n">
        <x:f>IF(AND(ISNUMBER('Results'!C7),ISNUMBER('Results'!B7),ISNUMBER('Results'!$B$8),ISNUMBER('Inputs'!$B$6),ISNUMBER('Inputs'!$B$7),ISNUMBER('Inputs'!$B$8),ISNUMBER('Inputs'!$B$9),ISNUMBER('Inputs'!$B$10),ISNUMBER('Inputs'!$B$21),ISNUMBER('Inputs'!$B$24),ISNUMBER('Inputs'!$B$28)),(('Results'!C7*(0.5*((((757-43)*MAX('Inputs'!$B$33,'Inputs'!$B$29+'Inputs'!$B$31+'Inputs'!$B$32,'Inputs'!$B$30+'Inputs'!$B$31+'Inputs'!$B$32)/1000+'Inputs'!$B$21)+'Inputs'!$B$9)/SQRT((((757-43)*MAX('Inputs'!$B$33,'Inputs'!$B$29+'Inputs'!$B$31+'Inputs'!$B$32,'Inputs'!$B$30+'Inputs'!$B$31+'Inputs'!$B$32)/1000+'Inputs'!$B$21)+'Inputs'!$B$9)^2+('Inputs'!$B$8/2)^2)-(((757-43)*MAX('Inputs'!$B$33,'Inputs'!$B$29+'Inputs'!$B$31+'Inputs'!$B$32,'Inputs'!$B$30+'Inputs'!$B$31+'Inputs'!$B$32)/1000+'Inputs'!$B$21))/SQRT((((757-43)*MAX('Inputs'!$B$33,'Inputs'!$B$29+'Inputs'!$B$31+'Inputs'!$B$32,'Inputs'!$B$30+'Inputs'!$B$31+'Inputs'!$B$32)/1000+'Inputs'!$B$21))^2+('Inputs'!$B$8/2)^2)))-'Results'!B7*(0.5*((((757-43)*MAX('Inputs'!$B$33,'Inputs'!$B$29+'Inputs'!$B$31+'Inputs'!$B$32,'Inputs'!$B$30+'Inputs'!$B$31+'Inputs'!$B$32)/1000+'Inputs'!$B$21+'Inputs'!$B$9+'Inputs'!$B$10)+'Inputs'!$B$7)/SQRT((((757-43)*MAX('Inputs'!$B$33,'Inputs'!$B$29+'Inputs'!$B$31+'Inputs'!$B$32,'Inputs'!$B$30+'Inputs'!$B$31+'Inputs'!$B$32)/1000+'Inputs'!$B$21+'Inputs'!$B$9+'Inputs'!$B$10)+'Inputs'!$B$7)^2+('Inputs'!$B$6/2)^2)-(((757-43)*MAX('Inputs'!$B$33,'Inputs'!$B$29+'Inputs'!$B$31+'Inputs'!$B$32,'Inputs'!$B$30+'Inputs'!$B$31+'Inputs'!$B$32)/1000+'Inputs'!$B$21+'Inputs'!$B$9+'Inputs'!$B$10))/SQRT((((757-43)*MAX('Inputs'!$B$33,'Inputs'!$B$29+'Inputs'!$B$31+'Inputs'!$B$32,'Inputs'!$B$30+'Inputs'!$B$31+'Inputs'!$B$32)/1000+'Inputs'!$B$21+'Inputs'!$B$9+'Inputs'!$B$10))^2+('Inputs'!$B$6/2)^2))))*'Results'!$B$8),"")</x:f>
        <x:v>1.0952956951892943</x:v>
      </x:c>
      <x:c r="N757" t="n">
        <x:f>IF(AND(ISNUMBER('Results'!C7),ISNUMBER('Results'!B7),ISNUMBER('Results'!$B$8),ISNUMBER('Inputs'!$B$6),ISNUMBER('Inputs'!$B$7),ISNUMBER('Inputs'!$B$8),ISNUMBER('Inputs'!$B$9),ISNUMBER('Inputs'!$B$10),ISNUMBER('Inputs'!$B$21),ISNUMBER('Inputs'!$B$24),ISNUMBER('Inputs'!$B$28)),((('Results'!C7*(1-'Inputs'!$B$24)*(0.5*((((757-43)*MAX('Inputs'!$B$33,'Inputs'!$B$29+'Inputs'!$B$31+'Inputs'!$B$32,'Inputs'!$B$30+'Inputs'!$B$31+'Inputs'!$B$32)/1000+'Inputs'!$B$21)+'Inputs'!$B$9)/SQRT((((757-43)*MAX('Inputs'!$B$33,'Inputs'!$B$29+'Inputs'!$B$31+'Inputs'!$B$32,'Inputs'!$B$30+'Inputs'!$B$31+'Inputs'!$B$32)/1000+'Inputs'!$B$21)+'Inputs'!$B$9)^2+('Inputs'!$B$8/2)^2)-(((757-43)*MAX('Inputs'!$B$33,'Inputs'!$B$29+'Inputs'!$B$31+'Inputs'!$B$32,'Inputs'!$B$30+'Inputs'!$B$31+'Inputs'!$B$32)/1000+'Inputs'!$B$21))/SQRT((((757-43)*MAX('Inputs'!$B$33,'Inputs'!$B$29+'Inputs'!$B$31+'Inputs'!$B$32,'Inputs'!$B$30+'Inputs'!$B$31+'Inputs'!$B$32)/1000+'Inputs'!$B$21))^2+('Inputs'!$B$8/2)^2)))-'Results'!B7*(1+'Inputs'!$B$24)*(0.5*((((757-43)*MAX('Inputs'!$B$33,'Inputs'!$B$29+'Inputs'!$B$31+'Inputs'!$B$32,'Inputs'!$B$30+'Inputs'!$B$31+'Inputs'!$B$32)/1000+'Inputs'!$B$21+'Inputs'!$B$9+'Inputs'!$B$10)+'Inputs'!$B$7)/SQRT((((757-43)*MAX('Inputs'!$B$33,'Inputs'!$B$29+'Inputs'!$B$31+'Inputs'!$B$32,'Inputs'!$B$30+'Inputs'!$B$31+'Inputs'!$B$32)/1000+'Inputs'!$B$21+'Inputs'!$B$9+'Inputs'!$B$10)+'Inputs'!$B$7)^2+('Inputs'!$B$6/2)^2)-(((757-43)*MAX('Inputs'!$B$33,'Inputs'!$B$29+'Inputs'!$B$31+'Inputs'!$B$32,'Inputs'!$B$30+'Inputs'!$B$31+'Inputs'!$B$32)/1000+'Inputs'!$B$21+'Inputs'!$B$9+'Inputs'!$B$10))/SQRT((((757-43)*MAX('Inputs'!$B$33,'Inputs'!$B$29+'Inputs'!$B$31+'Inputs'!$B$32,'Inputs'!$B$30+'Inputs'!$B$31+'Inputs'!$B$32)/1000+'Inputs'!$B$21+'Inputs'!$B$9+'Inputs'!$B$10))^2+('Inputs'!$B$6/2)^2))))*'Results'!$B$8)-'Inputs'!$B$28*ABS((('Results'!C7*(1-'Inputs'!$B$24)*(0.5*((((757-43)*MAX('Inputs'!$B$33,'Inputs'!$B$29+'Inputs'!$B$31+'Inputs'!$B$32,'Inputs'!$B$30+'Inputs'!$B$31+'Inputs'!$B$32)/1000+'Inputs'!$B$21)+'Inputs'!$B$9)/SQRT((((757-43)*MAX('Inputs'!$B$33,'Inputs'!$B$29+'Inputs'!$B$31+'Inputs'!$B$32,'Inputs'!$B$30+'Inputs'!$B$31+'Inputs'!$B$32)/1000+'Inputs'!$B$21)+'Inputs'!$B$9)^2+('Inputs'!$B$8/2)^2)-(((757-43)*MAX('Inputs'!$B$33,'Inputs'!$B$29+'Inputs'!$B$31+'Inputs'!$B$32,'Inputs'!$B$30+'Inputs'!$B$31+'Inputs'!$B$32)/1000+'Inputs'!$B$21))/SQRT((((757-43)*MAX('Inputs'!$B$33,'Inputs'!$B$29+'Inputs'!$B$31+'Inputs'!$B$32,'Inputs'!$B$30+'Inputs'!$B$31+'Inputs'!$B$32)/1000+'Inputs'!$B$21))^2+('Inputs'!$B$8/2)^2)))-'Results'!B7*(1+'Inputs'!$B$24)*(0.5*((((757-43)*MAX('Inputs'!$B$33,'Inputs'!$B$29+'Inputs'!$B$31+'Inputs'!$B$32,'Inputs'!$B$30+'Inputs'!$B$31+'Inputs'!$B$32)/1000+'Inputs'!$B$21+'Inputs'!$B$9+'Inputs'!$B$10)+'Inputs'!$B$7)/SQRT((((757-43)*MAX('Inputs'!$B$33,'Inputs'!$B$29+'Inputs'!$B$31+'Inputs'!$B$32,'Inputs'!$B$30+'Inputs'!$B$31+'Inputs'!$B$32)/1000+'Inputs'!$B$21+'Inputs'!$B$9+'Inputs'!$B$10)+'Inputs'!$B$7)^2+('Inputs'!$B$6/2)^2)-(((757-43)*MAX('Inputs'!$B$33,'Inputs'!$B$29+'Inputs'!$B$31+'Inputs'!$B$32,'Inputs'!$B$30+'Inputs'!$B$31+'Inputs'!$B$32)/1000+'Inputs'!$B$21+'Inputs'!$B$9+'Inputs'!$B$10))/SQRT((((757-43)*MAX('Inputs'!$B$33,'Inputs'!$B$29+'Inputs'!$B$31+'Inputs'!$B$32,'Inputs'!$B$30+'Inputs'!$B$31+'Inputs'!$B$32)/1000+'Inputs'!$B$21+'Inputs'!$B$9+'Inputs'!$B$10))^2+('Inputs'!$B$6/2)^2))))*'Results'!$B$8))),"")</x:f>
        <x:v>0.9379390786360058</x:v>
      </x:c>
      <x:c r="O757" t="n">
        <x:f>IF(AND(ISNUMBER('Results'!C7),ISNUMBER('Results'!B7),ISNUMBER('Results'!$B$8),ISNUMBER('Inputs'!$B$6),ISNUMBER('Inputs'!$B$7),ISNUMBER('Inputs'!$B$8),ISNUMBER('Inputs'!$B$9),ISNUMBER('Inputs'!$B$10),ISNUMBER('Inputs'!$B$21),ISNUMBER('Inputs'!$B$24),ISNUMBER('Inputs'!$B$28)),((('Results'!C7*(1+'Inputs'!$B$24)*(0.5*((((757-43)*MAX('Inputs'!$B$33,'Inputs'!$B$29+'Inputs'!$B$31+'Inputs'!$B$32,'Inputs'!$B$30+'Inputs'!$B$31+'Inputs'!$B$32)/1000+'Inputs'!$B$21)+'Inputs'!$B$9)/SQRT((((757-43)*MAX('Inputs'!$B$33,'Inputs'!$B$29+'Inputs'!$B$31+'Inputs'!$B$32,'Inputs'!$B$30+'Inputs'!$B$31+'Inputs'!$B$32)/1000+'Inputs'!$B$21)+'Inputs'!$B$9)^2+('Inputs'!$B$8/2)^2)-(((757-43)*MAX('Inputs'!$B$33,'Inputs'!$B$29+'Inputs'!$B$31+'Inputs'!$B$32,'Inputs'!$B$30+'Inputs'!$B$31+'Inputs'!$B$32)/1000+'Inputs'!$B$21))/SQRT((((757-43)*MAX('Inputs'!$B$33,'Inputs'!$B$29+'Inputs'!$B$31+'Inputs'!$B$32,'Inputs'!$B$30+'Inputs'!$B$31+'Inputs'!$B$32)/1000+'Inputs'!$B$21))^2+('Inputs'!$B$8/2)^2)))-'Results'!B7*(1-'Inputs'!$B$24)*(0.5*((((757-43)*MAX('Inputs'!$B$33,'Inputs'!$B$29+'Inputs'!$B$31+'Inputs'!$B$32,'Inputs'!$B$30+'Inputs'!$B$31+'Inputs'!$B$32)/1000+'Inputs'!$B$21+'Inputs'!$B$9+'Inputs'!$B$10)+'Inputs'!$B$7)/SQRT((((757-43)*MAX('Inputs'!$B$33,'Inputs'!$B$29+'Inputs'!$B$31+'Inputs'!$B$32,'Inputs'!$B$30+'Inputs'!$B$31+'Inputs'!$B$32)/1000+'Inputs'!$B$21+'Inputs'!$B$9+'Inputs'!$B$10)+'Inputs'!$B$7)^2+('Inputs'!$B$6/2)^2)-(((757-43)*MAX('Inputs'!$B$33,'Inputs'!$B$29+'Inputs'!$B$31+'Inputs'!$B$32,'Inputs'!$B$30+'Inputs'!$B$31+'Inputs'!$B$32)/1000+'Inputs'!$B$21+'Inputs'!$B$9+'Inputs'!$B$10))/SQRT((((757-43)*MAX('Inputs'!$B$33,'Inputs'!$B$29+'Inputs'!$B$31+'Inputs'!$B$32,'Inputs'!$B$30+'Inputs'!$B$31+'Inputs'!$B$32)/1000+'Inputs'!$B$21+'Inputs'!$B$9+'Inputs'!$B$10))^2+('Inputs'!$B$6/2)^2))))*'Results'!$B$8)+'Inputs'!$B$28*ABS((('Results'!C7*(1+'Inputs'!$B$24)*(0.5*((((757-43)*MAX('Inputs'!$B$33,'Inputs'!$B$29+'Inputs'!$B$31+'Inputs'!$B$32,'Inputs'!$B$30+'Inputs'!$B$31+'Inputs'!$B$32)/1000+'Inputs'!$B$21)+'Inputs'!$B$9)/SQRT((((757-43)*MAX('Inputs'!$B$33,'Inputs'!$B$29+'Inputs'!$B$31+'Inputs'!$B$32,'Inputs'!$B$30+'Inputs'!$B$31+'Inputs'!$B$32)/1000+'Inputs'!$B$21)+'Inputs'!$B$9)^2+('Inputs'!$B$8/2)^2)-(((757-43)*MAX('Inputs'!$B$33,'Inputs'!$B$29+'Inputs'!$B$31+'Inputs'!$B$32,'Inputs'!$B$30+'Inputs'!$B$31+'Inputs'!$B$32)/1000+'Inputs'!$B$21))/SQRT((((757-43)*MAX('Inputs'!$B$33,'Inputs'!$B$29+'Inputs'!$B$31+'Inputs'!$B$32,'Inputs'!$B$30+'Inputs'!$B$31+'Inputs'!$B$32)/1000+'Inputs'!$B$21))^2+('Inputs'!$B$8/2)^2)))-'Results'!B7*(1-'Inputs'!$B$24)*(0.5*((((757-43)*MAX('Inputs'!$B$33,'Inputs'!$B$29+'Inputs'!$B$31+'Inputs'!$B$32,'Inputs'!$B$30+'Inputs'!$B$31+'Inputs'!$B$32)/1000+'Inputs'!$B$21+'Inputs'!$B$9+'Inputs'!$B$10)+'Inputs'!$B$7)/SQRT((((757-43)*MAX('Inputs'!$B$33,'Inputs'!$B$29+'Inputs'!$B$31+'Inputs'!$B$32,'Inputs'!$B$30+'Inputs'!$B$31+'Inputs'!$B$32)/1000+'Inputs'!$B$21+'Inputs'!$B$9+'Inputs'!$B$10)+'Inputs'!$B$7)^2+('Inputs'!$B$6/2)^2)-(((757-43)*MAX('Inputs'!$B$33,'Inputs'!$B$29+'Inputs'!$B$31+'Inputs'!$B$32,'Inputs'!$B$30+'Inputs'!$B$31+'Inputs'!$B$32)/1000+'Inputs'!$B$21+'Inputs'!$B$9+'Inputs'!$B$10))/SQRT((((757-43)*MAX('Inputs'!$B$33,'Inputs'!$B$29+'Inputs'!$B$31+'Inputs'!$B$32,'Inputs'!$B$30+'Inputs'!$B$31+'Inputs'!$B$32)/1000+'Inputs'!$B$21+'Inputs'!$B$9+'Inputs'!$B$10))^2+('Inputs'!$B$6/2)^2))))*'Results'!$B$8))),"")</x:f>
        <x:v>1.2634514519314057</x:v>
      </x:c>
      <x:c r="P757" t="n">
        <x:f>IF(AND(MAX(J757,J756)&gt;0,J757&gt;J756+0.00000001),1,0)</x:f>
        <x:v>0</x:v>
      </x:c>
      <x:c r="Q757" t="n">
        <x:f>IF(AND(MAX(K757,K756)&gt;0,K757&gt;K756+0.00000001),1,0)</x:f>
        <x:v>0</x:v>
      </x:c>
      <x:c r="R757" t="n">
        <x:f>IF(AND(MAX(L757,L756)&gt;0,L757&gt;L756+0.00000001),1,0)</x:f>
        <x:v>0</x:v>
      </x:c>
      <x:c r="S757" t="n">
        <x:f>IF(AND(MAX(M757,M756)&gt;0,M757&gt;M756+0.00000001),1,0)</x:f>
        <x:v>0</x:v>
      </x:c>
      <x:c r="T757" t="n">
        <x:f>IF(AND(MAX(N757,N756)&gt;0,N757&gt;N756+0.00000001),1,0)</x:f>
        <x:v>0</x:v>
      </x:c>
      <x:c r="U757" t="n">
        <x:f>IF(AND(MAX(O757,O756)&gt;0,O757&gt;O756+0.00000001),1,0)</x:f>
        <x:v>0</x:v>
      </x:c>
    </x:row>
    <x:row r="758">
      <x:c r="J758" t="n">
        <x:f>IF(AND(ISNUMBER('Results'!B7),ISNUMBER('Results'!C7),ISNUMBER('Results'!$B$8),ISNUMBER('Inputs'!$B$6),ISNUMBER('Inputs'!$B$7),ISNUMBER('Inputs'!$B$8),ISNUMBER('Inputs'!$B$9),ISNUMBER('Inputs'!$B$10),ISNUMBER('Inputs'!$B$21),ISNUMBER('Inputs'!$B$24),ISNUMBER('Inputs'!$B$28)),(('Results'!B7*(0.5*((((758-43)*MAX('Inputs'!$B$33,'Inputs'!$B$29+'Inputs'!$B$31+'Inputs'!$B$32,'Inputs'!$B$30+'Inputs'!$B$31+'Inputs'!$B$32)/1000+'Inputs'!$B$21)+'Inputs'!$B$7)/SQRT((((758-43)*MAX('Inputs'!$B$33,'Inputs'!$B$29+'Inputs'!$B$31+'Inputs'!$B$32,'Inputs'!$B$30+'Inputs'!$B$31+'Inputs'!$B$32)/1000+'Inputs'!$B$21)+'Inputs'!$B$7)^2+('Inputs'!$B$6/2)^2)-(((758-43)*MAX('Inputs'!$B$33,'Inputs'!$B$29+'Inputs'!$B$31+'Inputs'!$B$32,'Inputs'!$B$30+'Inputs'!$B$31+'Inputs'!$B$32)/1000+'Inputs'!$B$21))/SQRT((((758-43)*MAX('Inputs'!$B$33,'Inputs'!$B$29+'Inputs'!$B$31+'Inputs'!$B$32,'Inputs'!$B$30+'Inputs'!$B$31+'Inputs'!$B$32)/1000+'Inputs'!$B$21))^2+('Inputs'!$B$6/2)^2)))-'Results'!C7*(0.5*((((758-43)*MAX('Inputs'!$B$33,'Inputs'!$B$29+'Inputs'!$B$31+'Inputs'!$B$32,'Inputs'!$B$30+'Inputs'!$B$31+'Inputs'!$B$32)/1000+'Inputs'!$B$21+'Inputs'!$B$7+'Inputs'!$B$10)+'Inputs'!$B$9)/SQRT((((758-43)*MAX('Inputs'!$B$33,'Inputs'!$B$29+'Inputs'!$B$31+'Inputs'!$B$32,'Inputs'!$B$30+'Inputs'!$B$31+'Inputs'!$B$32)/1000+'Inputs'!$B$21+'Inputs'!$B$7+'Inputs'!$B$10)+'Inputs'!$B$9)^2+('Inputs'!$B$8/2)^2)-(((758-43)*MAX('Inputs'!$B$33,'Inputs'!$B$29+'Inputs'!$B$31+'Inputs'!$B$32,'Inputs'!$B$30+'Inputs'!$B$31+'Inputs'!$B$32)/1000+'Inputs'!$B$21+'Inputs'!$B$7+'Inputs'!$B$10))/SQRT((((758-43)*MAX('Inputs'!$B$33,'Inputs'!$B$29+'Inputs'!$B$31+'Inputs'!$B$32,'Inputs'!$B$30+'Inputs'!$B$31+'Inputs'!$B$32)/1000+'Inputs'!$B$21+'Inputs'!$B$7+'Inputs'!$B$10))^2+('Inputs'!$B$8/2)^2))))*'Results'!$B$8),"")</x:f>
        <x:v>1.1986260752150701</x:v>
      </x:c>
      <x:c r="K758" t="n">
        <x:f>IF(AND(ISNUMBER('Results'!B7),ISNUMBER('Results'!C7),ISNUMBER('Results'!$B$8),ISNUMBER('Inputs'!$B$6),ISNUMBER('Inputs'!$B$7),ISNUMBER('Inputs'!$B$8),ISNUMBER('Inputs'!$B$9),ISNUMBER('Inputs'!$B$10),ISNUMBER('Inputs'!$B$21),ISNUMBER('Inputs'!$B$24),ISNUMBER('Inputs'!$B$28)),((('Results'!B7*(1-'Inputs'!$B$24)*(0.5*((((758-43)*MAX('Inputs'!$B$33,'Inputs'!$B$29+'Inputs'!$B$31+'Inputs'!$B$32,'Inputs'!$B$30+'Inputs'!$B$31+'Inputs'!$B$32)/1000+'Inputs'!$B$21)+'Inputs'!$B$7)/SQRT((((758-43)*MAX('Inputs'!$B$33,'Inputs'!$B$29+'Inputs'!$B$31+'Inputs'!$B$32,'Inputs'!$B$30+'Inputs'!$B$31+'Inputs'!$B$32)/1000+'Inputs'!$B$21)+'Inputs'!$B$7)^2+('Inputs'!$B$6/2)^2)-(((758-43)*MAX('Inputs'!$B$33,'Inputs'!$B$29+'Inputs'!$B$31+'Inputs'!$B$32,'Inputs'!$B$30+'Inputs'!$B$31+'Inputs'!$B$32)/1000+'Inputs'!$B$21))/SQRT((((758-43)*MAX('Inputs'!$B$33,'Inputs'!$B$29+'Inputs'!$B$31+'Inputs'!$B$32,'Inputs'!$B$30+'Inputs'!$B$31+'Inputs'!$B$32)/1000+'Inputs'!$B$21))^2+('Inputs'!$B$6/2)^2)))-'Results'!C7*(1+'Inputs'!$B$24)*(0.5*((((758-43)*MAX('Inputs'!$B$33,'Inputs'!$B$29+'Inputs'!$B$31+'Inputs'!$B$32,'Inputs'!$B$30+'Inputs'!$B$31+'Inputs'!$B$32)/1000+'Inputs'!$B$21+'Inputs'!$B$7+'Inputs'!$B$10)+'Inputs'!$B$9)/SQRT((((758-43)*MAX('Inputs'!$B$33,'Inputs'!$B$29+'Inputs'!$B$31+'Inputs'!$B$32,'Inputs'!$B$30+'Inputs'!$B$31+'Inputs'!$B$32)/1000+'Inputs'!$B$21+'Inputs'!$B$7+'Inputs'!$B$10)+'Inputs'!$B$9)^2+('Inputs'!$B$8/2)^2)-(((758-43)*MAX('Inputs'!$B$33,'Inputs'!$B$29+'Inputs'!$B$31+'Inputs'!$B$32,'Inputs'!$B$30+'Inputs'!$B$31+'Inputs'!$B$32)/1000+'Inputs'!$B$21+'Inputs'!$B$7+'Inputs'!$B$10))/SQRT((((758-43)*MAX('Inputs'!$B$33,'Inputs'!$B$29+'Inputs'!$B$31+'Inputs'!$B$32,'Inputs'!$B$30+'Inputs'!$B$31+'Inputs'!$B$32)/1000+'Inputs'!$B$21+'Inputs'!$B$7+'Inputs'!$B$10))^2+('Inputs'!$B$8/2)^2))))*'Results'!$B$8)-'Inputs'!$B$28*ABS((('Results'!B7*(1-'Inputs'!$B$24)*(0.5*((((758-43)*MAX('Inputs'!$B$33,'Inputs'!$B$29+'Inputs'!$B$31+'Inputs'!$B$32,'Inputs'!$B$30+'Inputs'!$B$31+'Inputs'!$B$32)/1000+'Inputs'!$B$21)+'Inputs'!$B$7)/SQRT((((758-43)*MAX('Inputs'!$B$33,'Inputs'!$B$29+'Inputs'!$B$31+'Inputs'!$B$32,'Inputs'!$B$30+'Inputs'!$B$31+'Inputs'!$B$32)/1000+'Inputs'!$B$21)+'Inputs'!$B$7)^2+('Inputs'!$B$6/2)^2)-(((758-43)*MAX('Inputs'!$B$33,'Inputs'!$B$29+'Inputs'!$B$31+'Inputs'!$B$32,'Inputs'!$B$30+'Inputs'!$B$31+'Inputs'!$B$32)/1000+'Inputs'!$B$21))/SQRT((((758-43)*MAX('Inputs'!$B$33,'Inputs'!$B$29+'Inputs'!$B$31+'Inputs'!$B$32,'Inputs'!$B$30+'Inputs'!$B$31+'Inputs'!$B$32)/1000+'Inputs'!$B$21))^2+('Inputs'!$B$6/2)^2)))-'Results'!C7*(1+'Inputs'!$B$24)*(0.5*((((758-43)*MAX('Inputs'!$B$33,'Inputs'!$B$29+'Inputs'!$B$31+'Inputs'!$B$32,'Inputs'!$B$30+'Inputs'!$B$31+'Inputs'!$B$32)/1000+'Inputs'!$B$21+'Inputs'!$B$7+'Inputs'!$B$10)+'Inputs'!$B$9)/SQRT((((758-43)*MAX('Inputs'!$B$33,'Inputs'!$B$29+'Inputs'!$B$31+'Inputs'!$B$32,'Inputs'!$B$30+'Inputs'!$B$31+'Inputs'!$B$32)/1000+'Inputs'!$B$21+'Inputs'!$B$7+'Inputs'!$B$10)+'Inputs'!$B$9)^2+('Inputs'!$B$8/2)^2)-(((758-43)*MAX('Inputs'!$B$33,'Inputs'!$B$29+'Inputs'!$B$31+'Inputs'!$B$32,'Inputs'!$B$30+'Inputs'!$B$31+'Inputs'!$B$32)/1000+'Inputs'!$B$21+'Inputs'!$B$7+'Inputs'!$B$10))/SQRT((((758-43)*MAX('Inputs'!$B$33,'Inputs'!$B$29+'Inputs'!$B$31+'Inputs'!$B$32,'Inputs'!$B$30+'Inputs'!$B$31+'Inputs'!$B$32)/1000+'Inputs'!$B$21+'Inputs'!$B$7+'Inputs'!$B$10))^2+('Inputs'!$B$8/2)^2))))*'Results'!$B$8))),"")</x:f>
        <x:v>1.0360557292093584</x:v>
      </x:c>
      <x:c r="L758" t="n">
        <x:f>IF(AND(ISNUMBER('Results'!B7),ISNUMBER('Results'!C7),ISNUMBER('Results'!$B$8),ISNUMBER('Inputs'!$B$6),ISNUMBER('Inputs'!$B$7),ISNUMBER('Inputs'!$B$8),ISNUMBER('Inputs'!$B$9),ISNUMBER('Inputs'!$B$10),ISNUMBER('Inputs'!$B$21),ISNUMBER('Inputs'!$B$24),ISNUMBER('Inputs'!$B$28)),((('Results'!B7*(1+'Inputs'!$B$24)*(0.5*((((758-43)*MAX('Inputs'!$B$33,'Inputs'!$B$29+'Inputs'!$B$31+'Inputs'!$B$32,'Inputs'!$B$30+'Inputs'!$B$31+'Inputs'!$B$32)/1000+'Inputs'!$B$21)+'Inputs'!$B$7)/SQRT((((758-43)*MAX('Inputs'!$B$33,'Inputs'!$B$29+'Inputs'!$B$31+'Inputs'!$B$32,'Inputs'!$B$30+'Inputs'!$B$31+'Inputs'!$B$32)/1000+'Inputs'!$B$21)+'Inputs'!$B$7)^2+('Inputs'!$B$6/2)^2)-(((758-43)*MAX('Inputs'!$B$33,'Inputs'!$B$29+'Inputs'!$B$31+'Inputs'!$B$32,'Inputs'!$B$30+'Inputs'!$B$31+'Inputs'!$B$32)/1000+'Inputs'!$B$21))/SQRT((((758-43)*MAX('Inputs'!$B$33,'Inputs'!$B$29+'Inputs'!$B$31+'Inputs'!$B$32,'Inputs'!$B$30+'Inputs'!$B$31+'Inputs'!$B$32)/1000+'Inputs'!$B$21))^2+('Inputs'!$B$6/2)^2)))-'Results'!C7*(1-'Inputs'!$B$24)*(0.5*((((758-43)*MAX('Inputs'!$B$33,'Inputs'!$B$29+'Inputs'!$B$31+'Inputs'!$B$32,'Inputs'!$B$30+'Inputs'!$B$31+'Inputs'!$B$32)/1000+'Inputs'!$B$21+'Inputs'!$B$7+'Inputs'!$B$10)+'Inputs'!$B$9)/SQRT((((758-43)*MAX('Inputs'!$B$33,'Inputs'!$B$29+'Inputs'!$B$31+'Inputs'!$B$32,'Inputs'!$B$30+'Inputs'!$B$31+'Inputs'!$B$32)/1000+'Inputs'!$B$21+'Inputs'!$B$7+'Inputs'!$B$10)+'Inputs'!$B$9)^2+('Inputs'!$B$8/2)^2)-(((758-43)*MAX('Inputs'!$B$33,'Inputs'!$B$29+'Inputs'!$B$31+'Inputs'!$B$32,'Inputs'!$B$30+'Inputs'!$B$31+'Inputs'!$B$32)/1000+'Inputs'!$B$21+'Inputs'!$B$7+'Inputs'!$B$10))/SQRT((((758-43)*MAX('Inputs'!$B$33,'Inputs'!$B$29+'Inputs'!$B$31+'Inputs'!$B$32,'Inputs'!$B$30+'Inputs'!$B$31+'Inputs'!$B$32)/1000+'Inputs'!$B$21+'Inputs'!$B$7+'Inputs'!$B$10))^2+('Inputs'!$B$8/2)^2))))*'Results'!$B$8)+'Inputs'!$B$28*ABS((('Results'!B7*(1+'Inputs'!$B$24)*(0.5*((((758-43)*MAX('Inputs'!$B$33,'Inputs'!$B$29+'Inputs'!$B$31+'Inputs'!$B$32,'Inputs'!$B$30+'Inputs'!$B$31+'Inputs'!$B$32)/1000+'Inputs'!$B$21)+'Inputs'!$B$7)/SQRT((((758-43)*MAX('Inputs'!$B$33,'Inputs'!$B$29+'Inputs'!$B$31+'Inputs'!$B$32,'Inputs'!$B$30+'Inputs'!$B$31+'Inputs'!$B$32)/1000+'Inputs'!$B$21)+'Inputs'!$B$7)^2+('Inputs'!$B$6/2)^2)-(((758-43)*MAX('Inputs'!$B$33,'Inputs'!$B$29+'Inputs'!$B$31+'Inputs'!$B$32,'Inputs'!$B$30+'Inputs'!$B$31+'Inputs'!$B$32)/1000+'Inputs'!$B$21))/SQRT((((758-43)*MAX('Inputs'!$B$33,'Inputs'!$B$29+'Inputs'!$B$31+'Inputs'!$B$32,'Inputs'!$B$30+'Inputs'!$B$31+'Inputs'!$B$32)/1000+'Inputs'!$B$21))^2+('Inputs'!$B$6/2)^2)))-'Results'!C7*(1-'Inputs'!$B$24)*(0.5*((((758-43)*MAX('Inputs'!$B$33,'Inputs'!$B$29+'Inputs'!$B$31+'Inputs'!$B$32,'Inputs'!$B$30+'Inputs'!$B$31+'Inputs'!$B$32)/1000+'Inputs'!$B$21+'Inputs'!$B$7+'Inputs'!$B$10)+'Inputs'!$B$9)/SQRT((((758-43)*MAX('Inputs'!$B$33,'Inputs'!$B$29+'Inputs'!$B$31+'Inputs'!$B$32,'Inputs'!$B$30+'Inputs'!$B$31+'Inputs'!$B$32)/1000+'Inputs'!$B$21+'Inputs'!$B$7+'Inputs'!$B$10)+'Inputs'!$B$9)^2+('Inputs'!$B$8/2)^2)-(((758-43)*MAX('Inputs'!$B$33,'Inputs'!$B$29+'Inputs'!$B$31+'Inputs'!$B$32,'Inputs'!$B$30+'Inputs'!$B$31+'Inputs'!$B$32)/1000+'Inputs'!$B$21+'Inputs'!$B$7+'Inputs'!$B$10))/SQRT((((758-43)*MAX('Inputs'!$B$33,'Inputs'!$B$29+'Inputs'!$B$31+'Inputs'!$B$32,'Inputs'!$B$30+'Inputs'!$B$31+'Inputs'!$B$32)/1000+'Inputs'!$B$21+'Inputs'!$B$7+'Inputs'!$B$10))^2+('Inputs'!$B$8/2)^2))))*'Results'!$B$8))),"")</x:f>
        <x:v>1.372000530930778</x:v>
      </x:c>
      <x:c r="M758" t="n">
        <x:f>IF(AND(ISNUMBER('Results'!C7),ISNUMBER('Results'!B7),ISNUMBER('Results'!$B$8),ISNUMBER('Inputs'!$B$6),ISNUMBER('Inputs'!$B$7),ISNUMBER('Inputs'!$B$8),ISNUMBER('Inputs'!$B$9),ISNUMBER('Inputs'!$B$10),ISNUMBER('Inputs'!$B$21),ISNUMBER('Inputs'!$B$24),ISNUMBER('Inputs'!$B$28)),(('Results'!C7*(0.5*((((758-43)*MAX('Inputs'!$B$33,'Inputs'!$B$29+'Inputs'!$B$31+'Inputs'!$B$32,'Inputs'!$B$30+'Inputs'!$B$31+'Inputs'!$B$32)/1000+'Inputs'!$B$21)+'Inputs'!$B$9)/SQRT((((758-43)*MAX('Inputs'!$B$33,'Inputs'!$B$29+'Inputs'!$B$31+'Inputs'!$B$32,'Inputs'!$B$30+'Inputs'!$B$31+'Inputs'!$B$32)/1000+'Inputs'!$B$21)+'Inputs'!$B$9)^2+('Inputs'!$B$8/2)^2)-(((758-43)*MAX('Inputs'!$B$33,'Inputs'!$B$29+'Inputs'!$B$31+'Inputs'!$B$32,'Inputs'!$B$30+'Inputs'!$B$31+'Inputs'!$B$32)/1000+'Inputs'!$B$21))/SQRT((((758-43)*MAX('Inputs'!$B$33,'Inputs'!$B$29+'Inputs'!$B$31+'Inputs'!$B$32,'Inputs'!$B$30+'Inputs'!$B$31+'Inputs'!$B$32)/1000+'Inputs'!$B$21))^2+('Inputs'!$B$8/2)^2)))-'Results'!B7*(0.5*((((758-43)*MAX('Inputs'!$B$33,'Inputs'!$B$29+'Inputs'!$B$31+'Inputs'!$B$32,'Inputs'!$B$30+'Inputs'!$B$31+'Inputs'!$B$32)/1000+'Inputs'!$B$21+'Inputs'!$B$9+'Inputs'!$B$10)+'Inputs'!$B$7)/SQRT((((758-43)*MAX('Inputs'!$B$33,'Inputs'!$B$29+'Inputs'!$B$31+'Inputs'!$B$32,'Inputs'!$B$30+'Inputs'!$B$31+'Inputs'!$B$32)/1000+'Inputs'!$B$21+'Inputs'!$B$9+'Inputs'!$B$10)+'Inputs'!$B$7)^2+('Inputs'!$B$6/2)^2)-(((758-43)*MAX('Inputs'!$B$33,'Inputs'!$B$29+'Inputs'!$B$31+'Inputs'!$B$32,'Inputs'!$B$30+'Inputs'!$B$31+'Inputs'!$B$32)/1000+'Inputs'!$B$21+'Inputs'!$B$9+'Inputs'!$B$10))/SQRT((((758-43)*MAX('Inputs'!$B$33,'Inputs'!$B$29+'Inputs'!$B$31+'Inputs'!$B$32,'Inputs'!$B$30+'Inputs'!$B$31+'Inputs'!$B$32)/1000+'Inputs'!$B$21+'Inputs'!$B$9+'Inputs'!$B$10))^2+('Inputs'!$B$6/2)^2))))*'Results'!$B$8),"")</x:f>
        <x:v>1.0897271355069953</x:v>
      </x:c>
      <x:c r="N758" t="n">
        <x:f>IF(AND(ISNUMBER('Results'!C7),ISNUMBER('Results'!B7),ISNUMBER('Results'!$B$8),ISNUMBER('Inputs'!$B$6),ISNUMBER('Inputs'!$B$7),ISNUMBER('Inputs'!$B$8),ISNUMBER('Inputs'!$B$9),ISNUMBER('Inputs'!$B$10),ISNUMBER('Inputs'!$B$21),ISNUMBER('Inputs'!$B$24),ISNUMBER('Inputs'!$B$28)),((('Results'!C7*(1-'Inputs'!$B$24)*(0.5*((((758-43)*MAX('Inputs'!$B$33,'Inputs'!$B$29+'Inputs'!$B$31+'Inputs'!$B$32,'Inputs'!$B$30+'Inputs'!$B$31+'Inputs'!$B$32)/1000+'Inputs'!$B$21)+'Inputs'!$B$9)/SQRT((((758-43)*MAX('Inputs'!$B$33,'Inputs'!$B$29+'Inputs'!$B$31+'Inputs'!$B$32,'Inputs'!$B$30+'Inputs'!$B$31+'Inputs'!$B$32)/1000+'Inputs'!$B$21)+'Inputs'!$B$9)^2+('Inputs'!$B$8/2)^2)-(((758-43)*MAX('Inputs'!$B$33,'Inputs'!$B$29+'Inputs'!$B$31+'Inputs'!$B$32,'Inputs'!$B$30+'Inputs'!$B$31+'Inputs'!$B$32)/1000+'Inputs'!$B$21))/SQRT((((758-43)*MAX('Inputs'!$B$33,'Inputs'!$B$29+'Inputs'!$B$31+'Inputs'!$B$32,'Inputs'!$B$30+'Inputs'!$B$31+'Inputs'!$B$32)/1000+'Inputs'!$B$21))^2+('Inputs'!$B$8/2)^2)))-'Results'!B7*(1+'Inputs'!$B$24)*(0.5*((((758-43)*MAX('Inputs'!$B$33,'Inputs'!$B$29+'Inputs'!$B$31+'Inputs'!$B$32,'Inputs'!$B$30+'Inputs'!$B$31+'Inputs'!$B$32)/1000+'Inputs'!$B$21+'Inputs'!$B$9+'Inputs'!$B$10)+'Inputs'!$B$7)/SQRT((((758-43)*MAX('Inputs'!$B$33,'Inputs'!$B$29+'Inputs'!$B$31+'Inputs'!$B$32,'Inputs'!$B$30+'Inputs'!$B$31+'Inputs'!$B$32)/1000+'Inputs'!$B$21+'Inputs'!$B$9+'Inputs'!$B$10)+'Inputs'!$B$7)^2+('Inputs'!$B$6/2)^2)-(((758-43)*MAX('Inputs'!$B$33,'Inputs'!$B$29+'Inputs'!$B$31+'Inputs'!$B$32,'Inputs'!$B$30+'Inputs'!$B$31+'Inputs'!$B$32)/1000+'Inputs'!$B$21+'Inputs'!$B$9+'Inputs'!$B$10))/SQRT((((758-43)*MAX('Inputs'!$B$33,'Inputs'!$B$29+'Inputs'!$B$31+'Inputs'!$B$32,'Inputs'!$B$30+'Inputs'!$B$31+'Inputs'!$B$32)/1000+'Inputs'!$B$21+'Inputs'!$B$9+'Inputs'!$B$10))^2+('Inputs'!$B$6/2)^2))))*'Results'!$B$8)-'Inputs'!$B$28*ABS((('Results'!C7*(1-'Inputs'!$B$24)*(0.5*((((758-43)*MAX('Inputs'!$B$33,'Inputs'!$B$29+'Inputs'!$B$31+'Inputs'!$B$32,'Inputs'!$B$30+'Inputs'!$B$31+'Inputs'!$B$32)/1000+'Inputs'!$B$21)+'Inputs'!$B$9)/SQRT((((758-43)*MAX('Inputs'!$B$33,'Inputs'!$B$29+'Inputs'!$B$31+'Inputs'!$B$32,'Inputs'!$B$30+'Inputs'!$B$31+'Inputs'!$B$32)/1000+'Inputs'!$B$21)+'Inputs'!$B$9)^2+('Inputs'!$B$8/2)^2)-(((758-43)*MAX('Inputs'!$B$33,'Inputs'!$B$29+'Inputs'!$B$31+'Inputs'!$B$32,'Inputs'!$B$30+'Inputs'!$B$31+'Inputs'!$B$32)/1000+'Inputs'!$B$21))/SQRT((((758-43)*MAX('Inputs'!$B$33,'Inputs'!$B$29+'Inputs'!$B$31+'Inputs'!$B$32,'Inputs'!$B$30+'Inputs'!$B$31+'Inputs'!$B$32)/1000+'Inputs'!$B$21))^2+('Inputs'!$B$8/2)^2)))-'Results'!B7*(1+'Inputs'!$B$24)*(0.5*((((758-43)*MAX('Inputs'!$B$33,'Inputs'!$B$29+'Inputs'!$B$31+'Inputs'!$B$32,'Inputs'!$B$30+'Inputs'!$B$31+'Inputs'!$B$32)/1000+'Inputs'!$B$21+'Inputs'!$B$9+'Inputs'!$B$10)+'Inputs'!$B$7)/SQRT((((758-43)*MAX('Inputs'!$B$33,'Inputs'!$B$29+'Inputs'!$B$31+'Inputs'!$B$32,'Inputs'!$B$30+'Inputs'!$B$31+'Inputs'!$B$32)/1000+'Inputs'!$B$21+'Inputs'!$B$9+'Inputs'!$B$10)+'Inputs'!$B$7)^2+('Inputs'!$B$6/2)^2)-(((758-43)*MAX('Inputs'!$B$33,'Inputs'!$B$29+'Inputs'!$B$31+'Inputs'!$B$32,'Inputs'!$B$30+'Inputs'!$B$31+'Inputs'!$B$32)/1000+'Inputs'!$B$21+'Inputs'!$B$9+'Inputs'!$B$10))/SQRT((((758-43)*MAX('Inputs'!$B$33,'Inputs'!$B$29+'Inputs'!$B$31+'Inputs'!$B$32,'Inputs'!$B$30+'Inputs'!$B$31+'Inputs'!$B$32)/1000+'Inputs'!$B$21+'Inputs'!$B$9+'Inputs'!$B$10))^2+('Inputs'!$B$6/2)^2))))*'Results'!$B$8))),"")</x:f>
        <x:v>0.933040915385715</x:v>
      </x:c>
      <x:c r="O758" t="n">
        <x:f>IF(AND(ISNUMBER('Results'!C7),ISNUMBER('Results'!B7),ISNUMBER('Results'!$B$8),ISNUMBER('Inputs'!$B$6),ISNUMBER('Inputs'!$B$7),ISNUMBER('Inputs'!$B$8),ISNUMBER('Inputs'!$B$9),ISNUMBER('Inputs'!$B$10),ISNUMBER('Inputs'!$B$21),ISNUMBER('Inputs'!$B$24),ISNUMBER('Inputs'!$B$28)),((('Results'!C7*(1+'Inputs'!$B$24)*(0.5*((((758-43)*MAX('Inputs'!$B$33,'Inputs'!$B$29+'Inputs'!$B$31+'Inputs'!$B$32,'Inputs'!$B$30+'Inputs'!$B$31+'Inputs'!$B$32)/1000+'Inputs'!$B$21)+'Inputs'!$B$9)/SQRT((((758-43)*MAX('Inputs'!$B$33,'Inputs'!$B$29+'Inputs'!$B$31+'Inputs'!$B$32,'Inputs'!$B$30+'Inputs'!$B$31+'Inputs'!$B$32)/1000+'Inputs'!$B$21)+'Inputs'!$B$9)^2+('Inputs'!$B$8/2)^2)-(((758-43)*MAX('Inputs'!$B$33,'Inputs'!$B$29+'Inputs'!$B$31+'Inputs'!$B$32,'Inputs'!$B$30+'Inputs'!$B$31+'Inputs'!$B$32)/1000+'Inputs'!$B$21))/SQRT((((758-43)*MAX('Inputs'!$B$33,'Inputs'!$B$29+'Inputs'!$B$31+'Inputs'!$B$32,'Inputs'!$B$30+'Inputs'!$B$31+'Inputs'!$B$32)/1000+'Inputs'!$B$21))^2+('Inputs'!$B$8/2)^2)))-'Results'!B7*(1-'Inputs'!$B$24)*(0.5*((((758-43)*MAX('Inputs'!$B$33,'Inputs'!$B$29+'Inputs'!$B$31+'Inputs'!$B$32,'Inputs'!$B$30+'Inputs'!$B$31+'Inputs'!$B$32)/1000+'Inputs'!$B$21+'Inputs'!$B$9+'Inputs'!$B$10)+'Inputs'!$B$7)/SQRT((((758-43)*MAX('Inputs'!$B$33,'Inputs'!$B$29+'Inputs'!$B$31+'Inputs'!$B$32,'Inputs'!$B$30+'Inputs'!$B$31+'Inputs'!$B$32)/1000+'Inputs'!$B$21+'Inputs'!$B$9+'Inputs'!$B$10)+'Inputs'!$B$7)^2+('Inputs'!$B$6/2)^2)-(((758-43)*MAX('Inputs'!$B$33,'Inputs'!$B$29+'Inputs'!$B$31+'Inputs'!$B$32,'Inputs'!$B$30+'Inputs'!$B$31+'Inputs'!$B$32)/1000+'Inputs'!$B$21+'Inputs'!$B$9+'Inputs'!$B$10))/SQRT((((758-43)*MAX('Inputs'!$B$33,'Inputs'!$B$29+'Inputs'!$B$31+'Inputs'!$B$32,'Inputs'!$B$30+'Inputs'!$B$31+'Inputs'!$B$32)/1000+'Inputs'!$B$21+'Inputs'!$B$9+'Inputs'!$B$10))^2+('Inputs'!$B$6/2)^2))))*'Results'!$B$8)+'Inputs'!$B$28*ABS((('Results'!C7*(1+'Inputs'!$B$24)*(0.5*((((758-43)*MAX('Inputs'!$B$33,'Inputs'!$B$29+'Inputs'!$B$31+'Inputs'!$B$32,'Inputs'!$B$30+'Inputs'!$B$31+'Inputs'!$B$32)/1000+'Inputs'!$B$21)+'Inputs'!$B$9)/SQRT((((758-43)*MAX('Inputs'!$B$33,'Inputs'!$B$29+'Inputs'!$B$31+'Inputs'!$B$32,'Inputs'!$B$30+'Inputs'!$B$31+'Inputs'!$B$32)/1000+'Inputs'!$B$21)+'Inputs'!$B$9)^2+('Inputs'!$B$8/2)^2)-(((758-43)*MAX('Inputs'!$B$33,'Inputs'!$B$29+'Inputs'!$B$31+'Inputs'!$B$32,'Inputs'!$B$30+'Inputs'!$B$31+'Inputs'!$B$32)/1000+'Inputs'!$B$21))/SQRT((((758-43)*MAX('Inputs'!$B$33,'Inputs'!$B$29+'Inputs'!$B$31+'Inputs'!$B$32,'Inputs'!$B$30+'Inputs'!$B$31+'Inputs'!$B$32)/1000+'Inputs'!$B$21))^2+('Inputs'!$B$8/2)^2)))-'Results'!B7*(1-'Inputs'!$B$24)*(0.5*((((758-43)*MAX('Inputs'!$B$33,'Inputs'!$B$29+'Inputs'!$B$31+'Inputs'!$B$32,'Inputs'!$B$30+'Inputs'!$B$31+'Inputs'!$B$32)/1000+'Inputs'!$B$21+'Inputs'!$B$9+'Inputs'!$B$10)+'Inputs'!$B$7)/SQRT((((758-43)*MAX('Inputs'!$B$33,'Inputs'!$B$29+'Inputs'!$B$31+'Inputs'!$B$32,'Inputs'!$B$30+'Inputs'!$B$31+'Inputs'!$B$32)/1000+'Inputs'!$B$21+'Inputs'!$B$9+'Inputs'!$B$10)+'Inputs'!$B$7)^2+('Inputs'!$B$6/2)^2)-(((758-43)*MAX('Inputs'!$B$33,'Inputs'!$B$29+'Inputs'!$B$31+'Inputs'!$B$32,'Inputs'!$B$30+'Inputs'!$B$31+'Inputs'!$B$32)/1000+'Inputs'!$B$21+'Inputs'!$B$9+'Inputs'!$B$10))/SQRT((((758-43)*MAX('Inputs'!$B$33,'Inputs'!$B$29+'Inputs'!$B$31+'Inputs'!$B$32,'Inputs'!$B$30+'Inputs'!$B$31+'Inputs'!$B$32)/1000+'Inputs'!$B$21+'Inputs'!$B$9+'Inputs'!$B$10))^2+('Inputs'!$B$6/2)^2))))*'Results'!$B$8))),"")</x:f>
        <x:v>1.2571712359804796</x:v>
      </x:c>
      <x:c r="P758" t="n">
        <x:f>IF(AND(MAX(J758,J757)&gt;0,J758&gt;J757+0.00000001),1,0)</x:f>
        <x:v>0</x:v>
      </x:c>
      <x:c r="Q758" t="n">
        <x:f>IF(AND(MAX(K758,K757)&gt;0,K758&gt;K757+0.00000001),1,0)</x:f>
        <x:v>0</x:v>
      </x:c>
      <x:c r="R758" t="n">
        <x:f>IF(AND(MAX(L758,L757)&gt;0,L758&gt;L757+0.00000001),1,0)</x:f>
        <x:v>0</x:v>
      </x:c>
      <x:c r="S758" t="n">
        <x:f>IF(AND(MAX(M758,M757)&gt;0,M758&gt;M757+0.00000001),1,0)</x:f>
        <x:v>0</x:v>
      </x:c>
      <x:c r="T758" t="n">
        <x:f>IF(AND(MAX(N758,N757)&gt;0,N758&gt;N757+0.00000001),1,0)</x:f>
        <x:v>0</x:v>
      </x:c>
      <x:c r="U758" t="n">
        <x:f>IF(AND(MAX(O758,O757)&gt;0,O758&gt;O757+0.00000001),1,0)</x:f>
        <x:v>0</x:v>
      </x:c>
    </x:row>
    <x:row r="759">
      <x:c r="J759" t="n">
        <x:f>IF(AND(ISNUMBER('Results'!B7),ISNUMBER('Results'!C7),ISNUMBER('Results'!$B$8),ISNUMBER('Inputs'!$B$6),ISNUMBER('Inputs'!$B$7),ISNUMBER('Inputs'!$B$8),ISNUMBER('Inputs'!$B$9),ISNUMBER('Inputs'!$B$10),ISNUMBER('Inputs'!$B$21),ISNUMBER('Inputs'!$B$24),ISNUMBER('Inputs'!$B$28)),(('Results'!B7*(0.5*((((759-43)*MAX('Inputs'!$B$33,'Inputs'!$B$29+'Inputs'!$B$31+'Inputs'!$B$32,'Inputs'!$B$30+'Inputs'!$B$31+'Inputs'!$B$32)/1000+'Inputs'!$B$21)+'Inputs'!$B$7)/SQRT((((759-43)*MAX('Inputs'!$B$33,'Inputs'!$B$29+'Inputs'!$B$31+'Inputs'!$B$32,'Inputs'!$B$30+'Inputs'!$B$31+'Inputs'!$B$32)/1000+'Inputs'!$B$21)+'Inputs'!$B$7)^2+('Inputs'!$B$6/2)^2)-(((759-43)*MAX('Inputs'!$B$33,'Inputs'!$B$29+'Inputs'!$B$31+'Inputs'!$B$32,'Inputs'!$B$30+'Inputs'!$B$31+'Inputs'!$B$32)/1000+'Inputs'!$B$21))/SQRT((((759-43)*MAX('Inputs'!$B$33,'Inputs'!$B$29+'Inputs'!$B$31+'Inputs'!$B$32,'Inputs'!$B$30+'Inputs'!$B$31+'Inputs'!$B$32)/1000+'Inputs'!$B$21))^2+('Inputs'!$B$6/2)^2)))-'Results'!C7*(0.5*((((759-43)*MAX('Inputs'!$B$33,'Inputs'!$B$29+'Inputs'!$B$31+'Inputs'!$B$32,'Inputs'!$B$30+'Inputs'!$B$31+'Inputs'!$B$32)/1000+'Inputs'!$B$21+'Inputs'!$B$7+'Inputs'!$B$10)+'Inputs'!$B$9)/SQRT((((759-43)*MAX('Inputs'!$B$33,'Inputs'!$B$29+'Inputs'!$B$31+'Inputs'!$B$32,'Inputs'!$B$30+'Inputs'!$B$31+'Inputs'!$B$32)/1000+'Inputs'!$B$21+'Inputs'!$B$7+'Inputs'!$B$10)+'Inputs'!$B$9)^2+('Inputs'!$B$8/2)^2)-(((759-43)*MAX('Inputs'!$B$33,'Inputs'!$B$29+'Inputs'!$B$31+'Inputs'!$B$32,'Inputs'!$B$30+'Inputs'!$B$31+'Inputs'!$B$32)/1000+'Inputs'!$B$21+'Inputs'!$B$7+'Inputs'!$B$10))/SQRT((((759-43)*MAX('Inputs'!$B$33,'Inputs'!$B$29+'Inputs'!$B$31+'Inputs'!$B$32,'Inputs'!$B$30+'Inputs'!$B$31+'Inputs'!$B$32)/1000+'Inputs'!$B$21+'Inputs'!$B$7+'Inputs'!$B$10))^2+('Inputs'!$B$8/2)^2))))*'Results'!$B$8),"")</x:f>
        <x:v>1.1926768478495116</x:v>
      </x:c>
      <x:c r="K759" t="n">
        <x:f>IF(AND(ISNUMBER('Results'!B7),ISNUMBER('Results'!C7),ISNUMBER('Results'!$B$8),ISNUMBER('Inputs'!$B$6),ISNUMBER('Inputs'!$B$7),ISNUMBER('Inputs'!$B$8),ISNUMBER('Inputs'!$B$9),ISNUMBER('Inputs'!$B$10),ISNUMBER('Inputs'!$B$21),ISNUMBER('Inputs'!$B$24),ISNUMBER('Inputs'!$B$28)),((('Results'!B7*(1-'Inputs'!$B$24)*(0.5*((((759-43)*MAX('Inputs'!$B$33,'Inputs'!$B$29+'Inputs'!$B$31+'Inputs'!$B$32,'Inputs'!$B$30+'Inputs'!$B$31+'Inputs'!$B$32)/1000+'Inputs'!$B$21)+'Inputs'!$B$7)/SQRT((((759-43)*MAX('Inputs'!$B$33,'Inputs'!$B$29+'Inputs'!$B$31+'Inputs'!$B$32,'Inputs'!$B$30+'Inputs'!$B$31+'Inputs'!$B$32)/1000+'Inputs'!$B$21)+'Inputs'!$B$7)^2+('Inputs'!$B$6/2)^2)-(((759-43)*MAX('Inputs'!$B$33,'Inputs'!$B$29+'Inputs'!$B$31+'Inputs'!$B$32,'Inputs'!$B$30+'Inputs'!$B$31+'Inputs'!$B$32)/1000+'Inputs'!$B$21))/SQRT((((759-43)*MAX('Inputs'!$B$33,'Inputs'!$B$29+'Inputs'!$B$31+'Inputs'!$B$32,'Inputs'!$B$30+'Inputs'!$B$31+'Inputs'!$B$32)/1000+'Inputs'!$B$21))^2+('Inputs'!$B$6/2)^2)))-'Results'!C7*(1+'Inputs'!$B$24)*(0.5*((((759-43)*MAX('Inputs'!$B$33,'Inputs'!$B$29+'Inputs'!$B$31+'Inputs'!$B$32,'Inputs'!$B$30+'Inputs'!$B$31+'Inputs'!$B$32)/1000+'Inputs'!$B$21+'Inputs'!$B$7+'Inputs'!$B$10)+'Inputs'!$B$9)/SQRT((((759-43)*MAX('Inputs'!$B$33,'Inputs'!$B$29+'Inputs'!$B$31+'Inputs'!$B$32,'Inputs'!$B$30+'Inputs'!$B$31+'Inputs'!$B$32)/1000+'Inputs'!$B$21+'Inputs'!$B$7+'Inputs'!$B$10)+'Inputs'!$B$9)^2+('Inputs'!$B$8/2)^2)-(((759-43)*MAX('Inputs'!$B$33,'Inputs'!$B$29+'Inputs'!$B$31+'Inputs'!$B$32,'Inputs'!$B$30+'Inputs'!$B$31+'Inputs'!$B$32)/1000+'Inputs'!$B$21+'Inputs'!$B$7+'Inputs'!$B$10))/SQRT((((759-43)*MAX('Inputs'!$B$33,'Inputs'!$B$29+'Inputs'!$B$31+'Inputs'!$B$32,'Inputs'!$B$30+'Inputs'!$B$31+'Inputs'!$B$32)/1000+'Inputs'!$B$21+'Inputs'!$B$7+'Inputs'!$B$10))^2+('Inputs'!$B$8/2)^2))))*'Results'!$B$8)-'Inputs'!$B$28*ABS((('Results'!B7*(1-'Inputs'!$B$24)*(0.5*((((759-43)*MAX('Inputs'!$B$33,'Inputs'!$B$29+'Inputs'!$B$31+'Inputs'!$B$32,'Inputs'!$B$30+'Inputs'!$B$31+'Inputs'!$B$32)/1000+'Inputs'!$B$21)+'Inputs'!$B$7)/SQRT((((759-43)*MAX('Inputs'!$B$33,'Inputs'!$B$29+'Inputs'!$B$31+'Inputs'!$B$32,'Inputs'!$B$30+'Inputs'!$B$31+'Inputs'!$B$32)/1000+'Inputs'!$B$21)+'Inputs'!$B$7)^2+('Inputs'!$B$6/2)^2)-(((759-43)*MAX('Inputs'!$B$33,'Inputs'!$B$29+'Inputs'!$B$31+'Inputs'!$B$32,'Inputs'!$B$30+'Inputs'!$B$31+'Inputs'!$B$32)/1000+'Inputs'!$B$21))/SQRT((((759-43)*MAX('Inputs'!$B$33,'Inputs'!$B$29+'Inputs'!$B$31+'Inputs'!$B$32,'Inputs'!$B$30+'Inputs'!$B$31+'Inputs'!$B$32)/1000+'Inputs'!$B$21))^2+('Inputs'!$B$6/2)^2)))-'Results'!C7*(1+'Inputs'!$B$24)*(0.5*((((759-43)*MAX('Inputs'!$B$33,'Inputs'!$B$29+'Inputs'!$B$31+'Inputs'!$B$32,'Inputs'!$B$30+'Inputs'!$B$31+'Inputs'!$B$32)/1000+'Inputs'!$B$21+'Inputs'!$B$7+'Inputs'!$B$10)+'Inputs'!$B$9)/SQRT((((759-43)*MAX('Inputs'!$B$33,'Inputs'!$B$29+'Inputs'!$B$31+'Inputs'!$B$32,'Inputs'!$B$30+'Inputs'!$B$31+'Inputs'!$B$32)/1000+'Inputs'!$B$21+'Inputs'!$B$7+'Inputs'!$B$10)+'Inputs'!$B$9)^2+('Inputs'!$B$8/2)^2)-(((759-43)*MAX('Inputs'!$B$33,'Inputs'!$B$29+'Inputs'!$B$31+'Inputs'!$B$32,'Inputs'!$B$30+'Inputs'!$B$31+'Inputs'!$B$32)/1000+'Inputs'!$B$21+'Inputs'!$B$7+'Inputs'!$B$10))/SQRT((((759-43)*MAX('Inputs'!$B$33,'Inputs'!$B$29+'Inputs'!$B$31+'Inputs'!$B$32,'Inputs'!$B$30+'Inputs'!$B$31+'Inputs'!$B$32)/1000+'Inputs'!$B$21+'Inputs'!$B$7+'Inputs'!$B$10))^2+('Inputs'!$B$8/2)^2))))*'Results'!$B$8))),"")</x:f>
        <x:v>1.0307961367533562</x:v>
      </x:c>
      <x:c r="L759" t="n">
        <x:f>IF(AND(ISNUMBER('Results'!B7),ISNUMBER('Results'!C7),ISNUMBER('Results'!$B$8),ISNUMBER('Inputs'!$B$6),ISNUMBER('Inputs'!$B$7),ISNUMBER('Inputs'!$B$8),ISNUMBER('Inputs'!$B$9),ISNUMBER('Inputs'!$B$10),ISNUMBER('Inputs'!$B$21),ISNUMBER('Inputs'!$B$24),ISNUMBER('Inputs'!$B$28)),((('Results'!B7*(1+'Inputs'!$B$24)*(0.5*((((759-43)*MAX('Inputs'!$B$33,'Inputs'!$B$29+'Inputs'!$B$31+'Inputs'!$B$32,'Inputs'!$B$30+'Inputs'!$B$31+'Inputs'!$B$32)/1000+'Inputs'!$B$21)+'Inputs'!$B$7)/SQRT((((759-43)*MAX('Inputs'!$B$33,'Inputs'!$B$29+'Inputs'!$B$31+'Inputs'!$B$32,'Inputs'!$B$30+'Inputs'!$B$31+'Inputs'!$B$32)/1000+'Inputs'!$B$21)+'Inputs'!$B$7)^2+('Inputs'!$B$6/2)^2)-(((759-43)*MAX('Inputs'!$B$33,'Inputs'!$B$29+'Inputs'!$B$31+'Inputs'!$B$32,'Inputs'!$B$30+'Inputs'!$B$31+'Inputs'!$B$32)/1000+'Inputs'!$B$21))/SQRT((((759-43)*MAX('Inputs'!$B$33,'Inputs'!$B$29+'Inputs'!$B$31+'Inputs'!$B$32,'Inputs'!$B$30+'Inputs'!$B$31+'Inputs'!$B$32)/1000+'Inputs'!$B$21))^2+('Inputs'!$B$6/2)^2)))-'Results'!C7*(1-'Inputs'!$B$24)*(0.5*((((759-43)*MAX('Inputs'!$B$33,'Inputs'!$B$29+'Inputs'!$B$31+'Inputs'!$B$32,'Inputs'!$B$30+'Inputs'!$B$31+'Inputs'!$B$32)/1000+'Inputs'!$B$21+'Inputs'!$B$7+'Inputs'!$B$10)+'Inputs'!$B$9)/SQRT((((759-43)*MAX('Inputs'!$B$33,'Inputs'!$B$29+'Inputs'!$B$31+'Inputs'!$B$32,'Inputs'!$B$30+'Inputs'!$B$31+'Inputs'!$B$32)/1000+'Inputs'!$B$21+'Inputs'!$B$7+'Inputs'!$B$10)+'Inputs'!$B$9)^2+('Inputs'!$B$8/2)^2)-(((759-43)*MAX('Inputs'!$B$33,'Inputs'!$B$29+'Inputs'!$B$31+'Inputs'!$B$32,'Inputs'!$B$30+'Inputs'!$B$31+'Inputs'!$B$32)/1000+'Inputs'!$B$21+'Inputs'!$B$7+'Inputs'!$B$10))/SQRT((((759-43)*MAX('Inputs'!$B$33,'Inputs'!$B$29+'Inputs'!$B$31+'Inputs'!$B$32,'Inputs'!$B$30+'Inputs'!$B$31+'Inputs'!$B$32)/1000+'Inputs'!$B$21+'Inputs'!$B$7+'Inputs'!$B$10))^2+('Inputs'!$B$8/2)^2))))*'Results'!$B$8)+'Inputs'!$B$28*ABS((('Results'!B7*(1+'Inputs'!$B$24)*(0.5*((((759-43)*MAX('Inputs'!$B$33,'Inputs'!$B$29+'Inputs'!$B$31+'Inputs'!$B$32,'Inputs'!$B$30+'Inputs'!$B$31+'Inputs'!$B$32)/1000+'Inputs'!$B$21)+'Inputs'!$B$7)/SQRT((((759-43)*MAX('Inputs'!$B$33,'Inputs'!$B$29+'Inputs'!$B$31+'Inputs'!$B$32,'Inputs'!$B$30+'Inputs'!$B$31+'Inputs'!$B$32)/1000+'Inputs'!$B$21)+'Inputs'!$B$7)^2+('Inputs'!$B$6/2)^2)-(((759-43)*MAX('Inputs'!$B$33,'Inputs'!$B$29+'Inputs'!$B$31+'Inputs'!$B$32,'Inputs'!$B$30+'Inputs'!$B$31+'Inputs'!$B$32)/1000+'Inputs'!$B$21))/SQRT((((759-43)*MAX('Inputs'!$B$33,'Inputs'!$B$29+'Inputs'!$B$31+'Inputs'!$B$32,'Inputs'!$B$30+'Inputs'!$B$31+'Inputs'!$B$32)/1000+'Inputs'!$B$21))^2+('Inputs'!$B$6/2)^2)))-'Results'!C7*(1-'Inputs'!$B$24)*(0.5*((((759-43)*MAX('Inputs'!$B$33,'Inputs'!$B$29+'Inputs'!$B$31+'Inputs'!$B$32,'Inputs'!$B$30+'Inputs'!$B$31+'Inputs'!$B$32)/1000+'Inputs'!$B$21+'Inputs'!$B$7+'Inputs'!$B$10)+'Inputs'!$B$9)/SQRT((((759-43)*MAX('Inputs'!$B$33,'Inputs'!$B$29+'Inputs'!$B$31+'Inputs'!$B$32,'Inputs'!$B$30+'Inputs'!$B$31+'Inputs'!$B$32)/1000+'Inputs'!$B$21+'Inputs'!$B$7+'Inputs'!$B$10)+'Inputs'!$B$9)^2+('Inputs'!$B$8/2)^2)-(((759-43)*MAX('Inputs'!$B$33,'Inputs'!$B$29+'Inputs'!$B$31+'Inputs'!$B$32,'Inputs'!$B$30+'Inputs'!$B$31+'Inputs'!$B$32)/1000+'Inputs'!$B$21+'Inputs'!$B$7+'Inputs'!$B$10))/SQRT((((759-43)*MAX('Inputs'!$B$33,'Inputs'!$B$29+'Inputs'!$B$31+'Inputs'!$B$32,'Inputs'!$B$30+'Inputs'!$B$31+'Inputs'!$B$32)/1000+'Inputs'!$B$21+'Inputs'!$B$7+'Inputs'!$B$10))^2+('Inputs'!$B$8/2)^2))))*'Results'!$B$8))),"")</x:f>
        <x:v>1.3653203872302646</x:v>
      </x:c>
      <x:c r="M759" t="n">
        <x:f>IF(AND(ISNUMBER('Results'!C7),ISNUMBER('Results'!B7),ISNUMBER('Results'!$B$8),ISNUMBER('Inputs'!$B$6),ISNUMBER('Inputs'!$B$7),ISNUMBER('Inputs'!$B$8),ISNUMBER('Inputs'!$B$9),ISNUMBER('Inputs'!$B$10),ISNUMBER('Inputs'!$B$21),ISNUMBER('Inputs'!$B$24),ISNUMBER('Inputs'!$B$28)),(('Results'!C7*(0.5*((((759-43)*MAX('Inputs'!$B$33,'Inputs'!$B$29+'Inputs'!$B$31+'Inputs'!$B$32,'Inputs'!$B$30+'Inputs'!$B$31+'Inputs'!$B$32)/1000+'Inputs'!$B$21)+'Inputs'!$B$9)/SQRT((((759-43)*MAX('Inputs'!$B$33,'Inputs'!$B$29+'Inputs'!$B$31+'Inputs'!$B$32,'Inputs'!$B$30+'Inputs'!$B$31+'Inputs'!$B$32)/1000+'Inputs'!$B$21)+'Inputs'!$B$9)^2+('Inputs'!$B$8/2)^2)-(((759-43)*MAX('Inputs'!$B$33,'Inputs'!$B$29+'Inputs'!$B$31+'Inputs'!$B$32,'Inputs'!$B$30+'Inputs'!$B$31+'Inputs'!$B$32)/1000+'Inputs'!$B$21))/SQRT((((759-43)*MAX('Inputs'!$B$33,'Inputs'!$B$29+'Inputs'!$B$31+'Inputs'!$B$32,'Inputs'!$B$30+'Inputs'!$B$31+'Inputs'!$B$32)/1000+'Inputs'!$B$21))^2+('Inputs'!$B$8/2)^2)))-'Results'!B7*(0.5*((((759-43)*MAX('Inputs'!$B$33,'Inputs'!$B$29+'Inputs'!$B$31+'Inputs'!$B$32,'Inputs'!$B$30+'Inputs'!$B$31+'Inputs'!$B$32)/1000+'Inputs'!$B$21+'Inputs'!$B$9+'Inputs'!$B$10)+'Inputs'!$B$7)/SQRT((((759-43)*MAX('Inputs'!$B$33,'Inputs'!$B$29+'Inputs'!$B$31+'Inputs'!$B$32,'Inputs'!$B$30+'Inputs'!$B$31+'Inputs'!$B$32)/1000+'Inputs'!$B$21+'Inputs'!$B$9+'Inputs'!$B$10)+'Inputs'!$B$7)^2+('Inputs'!$B$6/2)^2)-(((759-43)*MAX('Inputs'!$B$33,'Inputs'!$B$29+'Inputs'!$B$31+'Inputs'!$B$32,'Inputs'!$B$30+'Inputs'!$B$31+'Inputs'!$B$32)/1000+'Inputs'!$B$21+'Inputs'!$B$9+'Inputs'!$B$10))/SQRT((((759-43)*MAX('Inputs'!$B$33,'Inputs'!$B$29+'Inputs'!$B$31+'Inputs'!$B$32,'Inputs'!$B$30+'Inputs'!$B$31+'Inputs'!$B$32)/1000+'Inputs'!$B$21+'Inputs'!$B$9+'Inputs'!$B$10))^2+('Inputs'!$B$6/2)^2))))*'Results'!$B$8),"")</x:f>
        <x:v>1.0841937206577272</x:v>
      </x:c>
      <x:c r="N759" t="n">
        <x:f>IF(AND(ISNUMBER('Results'!C7),ISNUMBER('Results'!B7),ISNUMBER('Results'!$B$8),ISNUMBER('Inputs'!$B$6),ISNUMBER('Inputs'!$B$7),ISNUMBER('Inputs'!$B$8),ISNUMBER('Inputs'!$B$9),ISNUMBER('Inputs'!$B$10),ISNUMBER('Inputs'!$B$21),ISNUMBER('Inputs'!$B$24),ISNUMBER('Inputs'!$B$28)),((('Results'!C7*(1-'Inputs'!$B$24)*(0.5*((((759-43)*MAX('Inputs'!$B$33,'Inputs'!$B$29+'Inputs'!$B$31+'Inputs'!$B$32,'Inputs'!$B$30+'Inputs'!$B$31+'Inputs'!$B$32)/1000+'Inputs'!$B$21)+'Inputs'!$B$9)/SQRT((((759-43)*MAX('Inputs'!$B$33,'Inputs'!$B$29+'Inputs'!$B$31+'Inputs'!$B$32,'Inputs'!$B$30+'Inputs'!$B$31+'Inputs'!$B$32)/1000+'Inputs'!$B$21)+'Inputs'!$B$9)^2+('Inputs'!$B$8/2)^2)-(((759-43)*MAX('Inputs'!$B$33,'Inputs'!$B$29+'Inputs'!$B$31+'Inputs'!$B$32,'Inputs'!$B$30+'Inputs'!$B$31+'Inputs'!$B$32)/1000+'Inputs'!$B$21))/SQRT((((759-43)*MAX('Inputs'!$B$33,'Inputs'!$B$29+'Inputs'!$B$31+'Inputs'!$B$32,'Inputs'!$B$30+'Inputs'!$B$31+'Inputs'!$B$32)/1000+'Inputs'!$B$21))^2+('Inputs'!$B$8/2)^2)))-'Results'!B7*(1+'Inputs'!$B$24)*(0.5*((((759-43)*MAX('Inputs'!$B$33,'Inputs'!$B$29+'Inputs'!$B$31+'Inputs'!$B$32,'Inputs'!$B$30+'Inputs'!$B$31+'Inputs'!$B$32)/1000+'Inputs'!$B$21+'Inputs'!$B$9+'Inputs'!$B$10)+'Inputs'!$B$7)/SQRT((((759-43)*MAX('Inputs'!$B$33,'Inputs'!$B$29+'Inputs'!$B$31+'Inputs'!$B$32,'Inputs'!$B$30+'Inputs'!$B$31+'Inputs'!$B$32)/1000+'Inputs'!$B$21+'Inputs'!$B$9+'Inputs'!$B$10)+'Inputs'!$B$7)^2+('Inputs'!$B$6/2)^2)-(((759-43)*MAX('Inputs'!$B$33,'Inputs'!$B$29+'Inputs'!$B$31+'Inputs'!$B$32,'Inputs'!$B$30+'Inputs'!$B$31+'Inputs'!$B$32)/1000+'Inputs'!$B$21+'Inputs'!$B$9+'Inputs'!$B$10))/SQRT((((759-43)*MAX('Inputs'!$B$33,'Inputs'!$B$29+'Inputs'!$B$31+'Inputs'!$B$32,'Inputs'!$B$30+'Inputs'!$B$31+'Inputs'!$B$32)/1000+'Inputs'!$B$21+'Inputs'!$B$9+'Inputs'!$B$10))^2+('Inputs'!$B$6/2)^2))))*'Results'!$B$8)-'Inputs'!$B$28*ABS((('Results'!C7*(1-'Inputs'!$B$24)*(0.5*((((759-43)*MAX('Inputs'!$B$33,'Inputs'!$B$29+'Inputs'!$B$31+'Inputs'!$B$32,'Inputs'!$B$30+'Inputs'!$B$31+'Inputs'!$B$32)/1000+'Inputs'!$B$21)+'Inputs'!$B$9)/SQRT((((759-43)*MAX('Inputs'!$B$33,'Inputs'!$B$29+'Inputs'!$B$31+'Inputs'!$B$32,'Inputs'!$B$30+'Inputs'!$B$31+'Inputs'!$B$32)/1000+'Inputs'!$B$21)+'Inputs'!$B$9)^2+('Inputs'!$B$8/2)^2)-(((759-43)*MAX('Inputs'!$B$33,'Inputs'!$B$29+'Inputs'!$B$31+'Inputs'!$B$32,'Inputs'!$B$30+'Inputs'!$B$31+'Inputs'!$B$32)/1000+'Inputs'!$B$21))/SQRT((((759-43)*MAX('Inputs'!$B$33,'Inputs'!$B$29+'Inputs'!$B$31+'Inputs'!$B$32,'Inputs'!$B$30+'Inputs'!$B$31+'Inputs'!$B$32)/1000+'Inputs'!$B$21))^2+('Inputs'!$B$8/2)^2)))-'Results'!B7*(1+'Inputs'!$B$24)*(0.5*((((759-43)*MAX('Inputs'!$B$33,'Inputs'!$B$29+'Inputs'!$B$31+'Inputs'!$B$32,'Inputs'!$B$30+'Inputs'!$B$31+'Inputs'!$B$32)/1000+'Inputs'!$B$21+'Inputs'!$B$9+'Inputs'!$B$10)+'Inputs'!$B$7)/SQRT((((759-43)*MAX('Inputs'!$B$33,'Inputs'!$B$29+'Inputs'!$B$31+'Inputs'!$B$32,'Inputs'!$B$30+'Inputs'!$B$31+'Inputs'!$B$32)/1000+'Inputs'!$B$21+'Inputs'!$B$9+'Inputs'!$B$10)+'Inputs'!$B$7)^2+('Inputs'!$B$6/2)^2)-(((759-43)*MAX('Inputs'!$B$33,'Inputs'!$B$29+'Inputs'!$B$31+'Inputs'!$B$32,'Inputs'!$B$30+'Inputs'!$B$31+'Inputs'!$B$32)/1000+'Inputs'!$B$21+'Inputs'!$B$9+'Inputs'!$B$10))/SQRT((((759-43)*MAX('Inputs'!$B$33,'Inputs'!$B$29+'Inputs'!$B$31+'Inputs'!$B$32,'Inputs'!$B$30+'Inputs'!$B$31+'Inputs'!$B$32)/1000+'Inputs'!$B$21+'Inputs'!$B$9+'Inputs'!$B$10))^2+('Inputs'!$B$6/2)^2))))*'Results'!$B$8))),"")</x:f>
        <x:v>0.9281741410807736</x:v>
      </x:c>
      <x:c r="O759" t="n">
        <x:f>IF(AND(ISNUMBER('Results'!C7),ISNUMBER('Results'!B7),ISNUMBER('Results'!$B$8),ISNUMBER('Inputs'!$B$6),ISNUMBER('Inputs'!$B$7),ISNUMBER('Inputs'!$B$8),ISNUMBER('Inputs'!$B$9),ISNUMBER('Inputs'!$B$10),ISNUMBER('Inputs'!$B$21),ISNUMBER('Inputs'!$B$24),ISNUMBER('Inputs'!$B$28)),((('Results'!C7*(1+'Inputs'!$B$24)*(0.5*((((759-43)*MAX('Inputs'!$B$33,'Inputs'!$B$29+'Inputs'!$B$31+'Inputs'!$B$32,'Inputs'!$B$30+'Inputs'!$B$31+'Inputs'!$B$32)/1000+'Inputs'!$B$21)+'Inputs'!$B$9)/SQRT((((759-43)*MAX('Inputs'!$B$33,'Inputs'!$B$29+'Inputs'!$B$31+'Inputs'!$B$32,'Inputs'!$B$30+'Inputs'!$B$31+'Inputs'!$B$32)/1000+'Inputs'!$B$21)+'Inputs'!$B$9)^2+('Inputs'!$B$8/2)^2)-(((759-43)*MAX('Inputs'!$B$33,'Inputs'!$B$29+'Inputs'!$B$31+'Inputs'!$B$32,'Inputs'!$B$30+'Inputs'!$B$31+'Inputs'!$B$32)/1000+'Inputs'!$B$21))/SQRT((((759-43)*MAX('Inputs'!$B$33,'Inputs'!$B$29+'Inputs'!$B$31+'Inputs'!$B$32,'Inputs'!$B$30+'Inputs'!$B$31+'Inputs'!$B$32)/1000+'Inputs'!$B$21))^2+('Inputs'!$B$8/2)^2)))-'Results'!B7*(1-'Inputs'!$B$24)*(0.5*((((759-43)*MAX('Inputs'!$B$33,'Inputs'!$B$29+'Inputs'!$B$31+'Inputs'!$B$32,'Inputs'!$B$30+'Inputs'!$B$31+'Inputs'!$B$32)/1000+'Inputs'!$B$21+'Inputs'!$B$9+'Inputs'!$B$10)+'Inputs'!$B$7)/SQRT((((759-43)*MAX('Inputs'!$B$33,'Inputs'!$B$29+'Inputs'!$B$31+'Inputs'!$B$32,'Inputs'!$B$30+'Inputs'!$B$31+'Inputs'!$B$32)/1000+'Inputs'!$B$21+'Inputs'!$B$9+'Inputs'!$B$10)+'Inputs'!$B$7)^2+('Inputs'!$B$6/2)^2)-(((759-43)*MAX('Inputs'!$B$33,'Inputs'!$B$29+'Inputs'!$B$31+'Inputs'!$B$32,'Inputs'!$B$30+'Inputs'!$B$31+'Inputs'!$B$32)/1000+'Inputs'!$B$21+'Inputs'!$B$9+'Inputs'!$B$10))/SQRT((((759-43)*MAX('Inputs'!$B$33,'Inputs'!$B$29+'Inputs'!$B$31+'Inputs'!$B$32,'Inputs'!$B$30+'Inputs'!$B$31+'Inputs'!$B$32)/1000+'Inputs'!$B$21+'Inputs'!$B$9+'Inputs'!$B$10))^2+('Inputs'!$B$6/2)^2))))*'Results'!$B$8)+'Inputs'!$B$28*ABS((('Results'!C7*(1+'Inputs'!$B$24)*(0.5*((((759-43)*MAX('Inputs'!$B$33,'Inputs'!$B$29+'Inputs'!$B$31+'Inputs'!$B$32,'Inputs'!$B$30+'Inputs'!$B$31+'Inputs'!$B$32)/1000+'Inputs'!$B$21)+'Inputs'!$B$9)/SQRT((((759-43)*MAX('Inputs'!$B$33,'Inputs'!$B$29+'Inputs'!$B$31+'Inputs'!$B$32,'Inputs'!$B$30+'Inputs'!$B$31+'Inputs'!$B$32)/1000+'Inputs'!$B$21)+'Inputs'!$B$9)^2+('Inputs'!$B$8/2)^2)-(((759-43)*MAX('Inputs'!$B$33,'Inputs'!$B$29+'Inputs'!$B$31+'Inputs'!$B$32,'Inputs'!$B$30+'Inputs'!$B$31+'Inputs'!$B$32)/1000+'Inputs'!$B$21))/SQRT((((759-43)*MAX('Inputs'!$B$33,'Inputs'!$B$29+'Inputs'!$B$31+'Inputs'!$B$32,'Inputs'!$B$30+'Inputs'!$B$31+'Inputs'!$B$32)/1000+'Inputs'!$B$21))^2+('Inputs'!$B$8/2)^2)))-'Results'!B7*(1-'Inputs'!$B$24)*(0.5*((((759-43)*MAX('Inputs'!$B$33,'Inputs'!$B$29+'Inputs'!$B$31+'Inputs'!$B$32,'Inputs'!$B$30+'Inputs'!$B$31+'Inputs'!$B$32)/1000+'Inputs'!$B$21+'Inputs'!$B$9+'Inputs'!$B$10)+'Inputs'!$B$7)/SQRT((((759-43)*MAX('Inputs'!$B$33,'Inputs'!$B$29+'Inputs'!$B$31+'Inputs'!$B$32,'Inputs'!$B$30+'Inputs'!$B$31+'Inputs'!$B$32)/1000+'Inputs'!$B$21+'Inputs'!$B$9+'Inputs'!$B$10)+'Inputs'!$B$7)^2+('Inputs'!$B$6/2)^2)-(((759-43)*MAX('Inputs'!$B$33,'Inputs'!$B$29+'Inputs'!$B$31+'Inputs'!$B$32,'Inputs'!$B$30+'Inputs'!$B$31+'Inputs'!$B$32)/1000+'Inputs'!$B$21+'Inputs'!$B$9+'Inputs'!$B$10))/SQRT((((759-43)*MAX('Inputs'!$B$33,'Inputs'!$B$29+'Inputs'!$B$31+'Inputs'!$B$32,'Inputs'!$B$30+'Inputs'!$B$31+'Inputs'!$B$32)/1000+'Inputs'!$B$21+'Inputs'!$B$9+'Inputs'!$B$10))^2+('Inputs'!$B$6/2)^2))))*'Results'!$B$8))),"")</x:f>
        <x:v>1.2509301311340562</x:v>
      </x:c>
      <x:c r="P759" t="n">
        <x:f>IF(AND(MAX(J759,J758)&gt;0,J759&gt;J758+0.00000001),1,0)</x:f>
        <x:v>0</x:v>
      </x:c>
      <x:c r="Q759" t="n">
        <x:f>IF(AND(MAX(K759,K758)&gt;0,K759&gt;K758+0.00000001),1,0)</x:f>
        <x:v>0</x:v>
      </x:c>
      <x:c r="R759" t="n">
        <x:f>IF(AND(MAX(L759,L758)&gt;0,L759&gt;L758+0.00000001),1,0)</x:f>
        <x:v>0</x:v>
      </x:c>
      <x:c r="S759" t="n">
        <x:f>IF(AND(MAX(M759,M758)&gt;0,M759&gt;M758+0.00000001),1,0)</x:f>
        <x:v>0</x:v>
      </x:c>
      <x:c r="T759" t="n">
        <x:f>IF(AND(MAX(N759,N758)&gt;0,N759&gt;N758+0.00000001),1,0)</x:f>
        <x:v>0</x:v>
      </x:c>
      <x:c r="U759" t="n">
        <x:f>IF(AND(MAX(O759,O758)&gt;0,O759&gt;O758+0.00000001),1,0)</x:f>
        <x:v>0</x:v>
      </x:c>
    </x:row>
    <x:row r="760">
      <x:c r="J760" t="n">
        <x:f>IF(AND(ISNUMBER('Results'!B7),ISNUMBER('Results'!C7),ISNUMBER('Results'!$B$8),ISNUMBER('Inputs'!$B$6),ISNUMBER('Inputs'!$B$7),ISNUMBER('Inputs'!$B$8),ISNUMBER('Inputs'!$B$9),ISNUMBER('Inputs'!$B$10),ISNUMBER('Inputs'!$B$21),ISNUMBER('Inputs'!$B$24),ISNUMBER('Inputs'!$B$28)),(('Results'!B7*(0.5*((((760-43)*MAX('Inputs'!$B$33,'Inputs'!$B$29+'Inputs'!$B$31+'Inputs'!$B$32,'Inputs'!$B$30+'Inputs'!$B$31+'Inputs'!$B$32)/1000+'Inputs'!$B$21)+'Inputs'!$B$7)/SQRT((((760-43)*MAX('Inputs'!$B$33,'Inputs'!$B$29+'Inputs'!$B$31+'Inputs'!$B$32,'Inputs'!$B$30+'Inputs'!$B$31+'Inputs'!$B$32)/1000+'Inputs'!$B$21)+'Inputs'!$B$7)^2+('Inputs'!$B$6/2)^2)-(((760-43)*MAX('Inputs'!$B$33,'Inputs'!$B$29+'Inputs'!$B$31+'Inputs'!$B$32,'Inputs'!$B$30+'Inputs'!$B$31+'Inputs'!$B$32)/1000+'Inputs'!$B$21))/SQRT((((760-43)*MAX('Inputs'!$B$33,'Inputs'!$B$29+'Inputs'!$B$31+'Inputs'!$B$32,'Inputs'!$B$30+'Inputs'!$B$31+'Inputs'!$B$32)/1000+'Inputs'!$B$21))^2+('Inputs'!$B$6/2)^2)))-'Results'!C7*(0.5*((((760-43)*MAX('Inputs'!$B$33,'Inputs'!$B$29+'Inputs'!$B$31+'Inputs'!$B$32,'Inputs'!$B$30+'Inputs'!$B$31+'Inputs'!$B$32)/1000+'Inputs'!$B$21+'Inputs'!$B$7+'Inputs'!$B$10)+'Inputs'!$B$9)/SQRT((((760-43)*MAX('Inputs'!$B$33,'Inputs'!$B$29+'Inputs'!$B$31+'Inputs'!$B$32,'Inputs'!$B$30+'Inputs'!$B$31+'Inputs'!$B$32)/1000+'Inputs'!$B$21+'Inputs'!$B$7+'Inputs'!$B$10)+'Inputs'!$B$9)^2+('Inputs'!$B$8/2)^2)-(((760-43)*MAX('Inputs'!$B$33,'Inputs'!$B$29+'Inputs'!$B$31+'Inputs'!$B$32,'Inputs'!$B$30+'Inputs'!$B$31+'Inputs'!$B$32)/1000+'Inputs'!$B$21+'Inputs'!$B$7+'Inputs'!$B$10))/SQRT((((760-43)*MAX('Inputs'!$B$33,'Inputs'!$B$29+'Inputs'!$B$31+'Inputs'!$B$32,'Inputs'!$B$30+'Inputs'!$B$31+'Inputs'!$B$32)/1000+'Inputs'!$B$21+'Inputs'!$B$7+'Inputs'!$B$10))^2+('Inputs'!$B$8/2)^2))))*'Results'!$B$8),"")</x:f>
        <x:v>1.1867646192070394</x:v>
      </x:c>
      <x:c r="K760" t="n">
        <x:f>IF(AND(ISNUMBER('Results'!B7),ISNUMBER('Results'!C7),ISNUMBER('Results'!$B$8),ISNUMBER('Inputs'!$B$6),ISNUMBER('Inputs'!$B$7),ISNUMBER('Inputs'!$B$8),ISNUMBER('Inputs'!$B$9),ISNUMBER('Inputs'!$B$10),ISNUMBER('Inputs'!$B$21),ISNUMBER('Inputs'!$B$24),ISNUMBER('Inputs'!$B$28)),((('Results'!B7*(1-'Inputs'!$B$24)*(0.5*((((760-43)*MAX('Inputs'!$B$33,'Inputs'!$B$29+'Inputs'!$B$31+'Inputs'!$B$32,'Inputs'!$B$30+'Inputs'!$B$31+'Inputs'!$B$32)/1000+'Inputs'!$B$21)+'Inputs'!$B$7)/SQRT((((760-43)*MAX('Inputs'!$B$33,'Inputs'!$B$29+'Inputs'!$B$31+'Inputs'!$B$32,'Inputs'!$B$30+'Inputs'!$B$31+'Inputs'!$B$32)/1000+'Inputs'!$B$21)+'Inputs'!$B$7)^2+('Inputs'!$B$6/2)^2)-(((760-43)*MAX('Inputs'!$B$33,'Inputs'!$B$29+'Inputs'!$B$31+'Inputs'!$B$32,'Inputs'!$B$30+'Inputs'!$B$31+'Inputs'!$B$32)/1000+'Inputs'!$B$21))/SQRT((((760-43)*MAX('Inputs'!$B$33,'Inputs'!$B$29+'Inputs'!$B$31+'Inputs'!$B$32,'Inputs'!$B$30+'Inputs'!$B$31+'Inputs'!$B$32)/1000+'Inputs'!$B$21))^2+('Inputs'!$B$6/2)^2)))-'Results'!C7*(1+'Inputs'!$B$24)*(0.5*((((760-43)*MAX('Inputs'!$B$33,'Inputs'!$B$29+'Inputs'!$B$31+'Inputs'!$B$32,'Inputs'!$B$30+'Inputs'!$B$31+'Inputs'!$B$32)/1000+'Inputs'!$B$21+'Inputs'!$B$7+'Inputs'!$B$10)+'Inputs'!$B$9)/SQRT((((760-43)*MAX('Inputs'!$B$33,'Inputs'!$B$29+'Inputs'!$B$31+'Inputs'!$B$32,'Inputs'!$B$30+'Inputs'!$B$31+'Inputs'!$B$32)/1000+'Inputs'!$B$21+'Inputs'!$B$7+'Inputs'!$B$10)+'Inputs'!$B$9)^2+('Inputs'!$B$8/2)^2)-(((760-43)*MAX('Inputs'!$B$33,'Inputs'!$B$29+'Inputs'!$B$31+'Inputs'!$B$32,'Inputs'!$B$30+'Inputs'!$B$31+'Inputs'!$B$32)/1000+'Inputs'!$B$21+'Inputs'!$B$7+'Inputs'!$B$10))/SQRT((((760-43)*MAX('Inputs'!$B$33,'Inputs'!$B$29+'Inputs'!$B$31+'Inputs'!$B$32,'Inputs'!$B$30+'Inputs'!$B$31+'Inputs'!$B$32)/1000+'Inputs'!$B$21+'Inputs'!$B$7+'Inputs'!$B$10))^2+('Inputs'!$B$8/2)^2))))*'Results'!$B$8)-'Inputs'!$B$28*ABS((('Results'!B7*(1-'Inputs'!$B$24)*(0.5*((((760-43)*MAX('Inputs'!$B$33,'Inputs'!$B$29+'Inputs'!$B$31+'Inputs'!$B$32,'Inputs'!$B$30+'Inputs'!$B$31+'Inputs'!$B$32)/1000+'Inputs'!$B$21)+'Inputs'!$B$7)/SQRT((((760-43)*MAX('Inputs'!$B$33,'Inputs'!$B$29+'Inputs'!$B$31+'Inputs'!$B$32,'Inputs'!$B$30+'Inputs'!$B$31+'Inputs'!$B$32)/1000+'Inputs'!$B$21)+'Inputs'!$B$7)^2+('Inputs'!$B$6/2)^2)-(((760-43)*MAX('Inputs'!$B$33,'Inputs'!$B$29+'Inputs'!$B$31+'Inputs'!$B$32,'Inputs'!$B$30+'Inputs'!$B$31+'Inputs'!$B$32)/1000+'Inputs'!$B$21))/SQRT((((760-43)*MAX('Inputs'!$B$33,'Inputs'!$B$29+'Inputs'!$B$31+'Inputs'!$B$32,'Inputs'!$B$30+'Inputs'!$B$31+'Inputs'!$B$32)/1000+'Inputs'!$B$21))^2+('Inputs'!$B$6/2)^2)))-'Results'!C7*(1+'Inputs'!$B$24)*(0.5*((((760-43)*MAX('Inputs'!$B$33,'Inputs'!$B$29+'Inputs'!$B$31+'Inputs'!$B$32,'Inputs'!$B$30+'Inputs'!$B$31+'Inputs'!$B$32)/1000+'Inputs'!$B$21+'Inputs'!$B$7+'Inputs'!$B$10)+'Inputs'!$B$9)/SQRT((((760-43)*MAX('Inputs'!$B$33,'Inputs'!$B$29+'Inputs'!$B$31+'Inputs'!$B$32,'Inputs'!$B$30+'Inputs'!$B$31+'Inputs'!$B$32)/1000+'Inputs'!$B$21+'Inputs'!$B$7+'Inputs'!$B$10)+'Inputs'!$B$9)^2+('Inputs'!$B$8/2)^2)-(((760-43)*MAX('Inputs'!$B$33,'Inputs'!$B$29+'Inputs'!$B$31+'Inputs'!$B$32,'Inputs'!$B$30+'Inputs'!$B$31+'Inputs'!$B$32)/1000+'Inputs'!$B$21+'Inputs'!$B$7+'Inputs'!$B$10))/SQRT((((760-43)*MAX('Inputs'!$B$33,'Inputs'!$B$29+'Inputs'!$B$31+'Inputs'!$B$32,'Inputs'!$B$30+'Inputs'!$B$31+'Inputs'!$B$32)/1000+'Inputs'!$B$21+'Inputs'!$B$7+'Inputs'!$B$10))^2+('Inputs'!$B$8/2)^2))))*'Results'!$B$8))),"")</x:f>
        <x:v>1.025569693390568</x:v>
      </x:c>
      <x:c r="L760" t="n">
        <x:f>IF(AND(ISNUMBER('Results'!B7),ISNUMBER('Results'!C7),ISNUMBER('Results'!$B$8),ISNUMBER('Inputs'!$B$6),ISNUMBER('Inputs'!$B$7),ISNUMBER('Inputs'!$B$8),ISNUMBER('Inputs'!$B$9),ISNUMBER('Inputs'!$B$10),ISNUMBER('Inputs'!$B$21),ISNUMBER('Inputs'!$B$24),ISNUMBER('Inputs'!$B$28)),((('Results'!B7*(1+'Inputs'!$B$24)*(0.5*((((760-43)*MAX('Inputs'!$B$33,'Inputs'!$B$29+'Inputs'!$B$31+'Inputs'!$B$32,'Inputs'!$B$30+'Inputs'!$B$31+'Inputs'!$B$32)/1000+'Inputs'!$B$21)+'Inputs'!$B$7)/SQRT((((760-43)*MAX('Inputs'!$B$33,'Inputs'!$B$29+'Inputs'!$B$31+'Inputs'!$B$32,'Inputs'!$B$30+'Inputs'!$B$31+'Inputs'!$B$32)/1000+'Inputs'!$B$21)+'Inputs'!$B$7)^2+('Inputs'!$B$6/2)^2)-(((760-43)*MAX('Inputs'!$B$33,'Inputs'!$B$29+'Inputs'!$B$31+'Inputs'!$B$32,'Inputs'!$B$30+'Inputs'!$B$31+'Inputs'!$B$32)/1000+'Inputs'!$B$21))/SQRT((((760-43)*MAX('Inputs'!$B$33,'Inputs'!$B$29+'Inputs'!$B$31+'Inputs'!$B$32,'Inputs'!$B$30+'Inputs'!$B$31+'Inputs'!$B$32)/1000+'Inputs'!$B$21))^2+('Inputs'!$B$6/2)^2)))-'Results'!C7*(1-'Inputs'!$B$24)*(0.5*((((760-43)*MAX('Inputs'!$B$33,'Inputs'!$B$29+'Inputs'!$B$31+'Inputs'!$B$32,'Inputs'!$B$30+'Inputs'!$B$31+'Inputs'!$B$32)/1000+'Inputs'!$B$21+'Inputs'!$B$7+'Inputs'!$B$10)+'Inputs'!$B$9)/SQRT((((760-43)*MAX('Inputs'!$B$33,'Inputs'!$B$29+'Inputs'!$B$31+'Inputs'!$B$32,'Inputs'!$B$30+'Inputs'!$B$31+'Inputs'!$B$32)/1000+'Inputs'!$B$21+'Inputs'!$B$7+'Inputs'!$B$10)+'Inputs'!$B$9)^2+('Inputs'!$B$8/2)^2)-(((760-43)*MAX('Inputs'!$B$33,'Inputs'!$B$29+'Inputs'!$B$31+'Inputs'!$B$32,'Inputs'!$B$30+'Inputs'!$B$31+'Inputs'!$B$32)/1000+'Inputs'!$B$21+'Inputs'!$B$7+'Inputs'!$B$10))/SQRT((((760-43)*MAX('Inputs'!$B$33,'Inputs'!$B$29+'Inputs'!$B$31+'Inputs'!$B$32,'Inputs'!$B$30+'Inputs'!$B$31+'Inputs'!$B$32)/1000+'Inputs'!$B$21+'Inputs'!$B$7+'Inputs'!$B$10))^2+('Inputs'!$B$8/2)^2))))*'Results'!$B$8)+'Inputs'!$B$28*ABS((('Results'!B7*(1+'Inputs'!$B$24)*(0.5*((((760-43)*MAX('Inputs'!$B$33,'Inputs'!$B$29+'Inputs'!$B$31+'Inputs'!$B$32,'Inputs'!$B$30+'Inputs'!$B$31+'Inputs'!$B$32)/1000+'Inputs'!$B$21)+'Inputs'!$B$7)/SQRT((((760-43)*MAX('Inputs'!$B$33,'Inputs'!$B$29+'Inputs'!$B$31+'Inputs'!$B$32,'Inputs'!$B$30+'Inputs'!$B$31+'Inputs'!$B$32)/1000+'Inputs'!$B$21)+'Inputs'!$B$7)^2+('Inputs'!$B$6/2)^2)-(((760-43)*MAX('Inputs'!$B$33,'Inputs'!$B$29+'Inputs'!$B$31+'Inputs'!$B$32,'Inputs'!$B$30+'Inputs'!$B$31+'Inputs'!$B$32)/1000+'Inputs'!$B$21))/SQRT((((760-43)*MAX('Inputs'!$B$33,'Inputs'!$B$29+'Inputs'!$B$31+'Inputs'!$B$32,'Inputs'!$B$30+'Inputs'!$B$31+'Inputs'!$B$32)/1000+'Inputs'!$B$21))^2+('Inputs'!$B$6/2)^2)))-'Results'!C7*(1-'Inputs'!$B$24)*(0.5*((((760-43)*MAX('Inputs'!$B$33,'Inputs'!$B$29+'Inputs'!$B$31+'Inputs'!$B$32,'Inputs'!$B$30+'Inputs'!$B$31+'Inputs'!$B$32)/1000+'Inputs'!$B$21+'Inputs'!$B$7+'Inputs'!$B$10)+'Inputs'!$B$9)/SQRT((((760-43)*MAX('Inputs'!$B$33,'Inputs'!$B$29+'Inputs'!$B$31+'Inputs'!$B$32,'Inputs'!$B$30+'Inputs'!$B$31+'Inputs'!$B$32)/1000+'Inputs'!$B$21+'Inputs'!$B$7+'Inputs'!$B$10)+'Inputs'!$B$9)^2+('Inputs'!$B$8/2)^2)-(((760-43)*MAX('Inputs'!$B$33,'Inputs'!$B$29+'Inputs'!$B$31+'Inputs'!$B$32,'Inputs'!$B$30+'Inputs'!$B$31+'Inputs'!$B$32)/1000+'Inputs'!$B$21+'Inputs'!$B$7+'Inputs'!$B$10))/SQRT((((760-43)*MAX('Inputs'!$B$33,'Inputs'!$B$29+'Inputs'!$B$31+'Inputs'!$B$32,'Inputs'!$B$30+'Inputs'!$B$31+'Inputs'!$B$32)/1000+'Inputs'!$B$21+'Inputs'!$B$7+'Inputs'!$B$10))^2+('Inputs'!$B$8/2)^2))))*'Results'!$B$8))),"")</x:f>
        <x:v>1.3586813023767859</x:v>
      </x:c>
      <x:c r="M760" t="n">
        <x:f>IF(AND(ISNUMBER('Results'!C7),ISNUMBER('Results'!B7),ISNUMBER('Results'!$B$8),ISNUMBER('Inputs'!$B$6),ISNUMBER('Inputs'!$B$7),ISNUMBER('Inputs'!$B$8),ISNUMBER('Inputs'!$B$9),ISNUMBER('Inputs'!$B$10),ISNUMBER('Inputs'!$B$21),ISNUMBER('Inputs'!$B$24),ISNUMBER('Inputs'!$B$28)),(('Results'!C7*(0.5*((((760-43)*MAX('Inputs'!$B$33,'Inputs'!$B$29+'Inputs'!$B$31+'Inputs'!$B$32,'Inputs'!$B$30+'Inputs'!$B$31+'Inputs'!$B$32)/1000+'Inputs'!$B$21)+'Inputs'!$B$9)/SQRT((((760-43)*MAX('Inputs'!$B$33,'Inputs'!$B$29+'Inputs'!$B$31+'Inputs'!$B$32,'Inputs'!$B$30+'Inputs'!$B$31+'Inputs'!$B$32)/1000+'Inputs'!$B$21)+'Inputs'!$B$9)^2+('Inputs'!$B$8/2)^2)-(((760-43)*MAX('Inputs'!$B$33,'Inputs'!$B$29+'Inputs'!$B$31+'Inputs'!$B$32,'Inputs'!$B$30+'Inputs'!$B$31+'Inputs'!$B$32)/1000+'Inputs'!$B$21))/SQRT((((760-43)*MAX('Inputs'!$B$33,'Inputs'!$B$29+'Inputs'!$B$31+'Inputs'!$B$32,'Inputs'!$B$30+'Inputs'!$B$31+'Inputs'!$B$32)/1000+'Inputs'!$B$21))^2+('Inputs'!$B$8/2)^2)))-'Results'!B7*(0.5*((((760-43)*MAX('Inputs'!$B$33,'Inputs'!$B$29+'Inputs'!$B$31+'Inputs'!$B$32,'Inputs'!$B$30+'Inputs'!$B$31+'Inputs'!$B$32)/1000+'Inputs'!$B$21+'Inputs'!$B$9+'Inputs'!$B$10)+'Inputs'!$B$7)/SQRT((((760-43)*MAX('Inputs'!$B$33,'Inputs'!$B$29+'Inputs'!$B$31+'Inputs'!$B$32,'Inputs'!$B$30+'Inputs'!$B$31+'Inputs'!$B$32)/1000+'Inputs'!$B$21+'Inputs'!$B$9+'Inputs'!$B$10)+'Inputs'!$B$7)^2+('Inputs'!$B$6/2)^2)-(((760-43)*MAX('Inputs'!$B$33,'Inputs'!$B$29+'Inputs'!$B$31+'Inputs'!$B$32,'Inputs'!$B$30+'Inputs'!$B$31+'Inputs'!$B$32)/1000+'Inputs'!$B$21+'Inputs'!$B$9+'Inputs'!$B$10))/SQRT((((760-43)*MAX('Inputs'!$B$33,'Inputs'!$B$29+'Inputs'!$B$31+'Inputs'!$B$32,'Inputs'!$B$30+'Inputs'!$B$31+'Inputs'!$B$32)/1000+'Inputs'!$B$21+'Inputs'!$B$9+'Inputs'!$B$10))^2+('Inputs'!$B$6/2)^2))))*'Results'!$B$8),"")</x:f>
        <x:v>1.078695185662562</x:v>
      </x:c>
      <x:c r="N760" t="n">
        <x:f>IF(AND(ISNUMBER('Results'!C7),ISNUMBER('Results'!B7),ISNUMBER('Results'!$B$8),ISNUMBER('Inputs'!$B$6),ISNUMBER('Inputs'!$B$7),ISNUMBER('Inputs'!$B$8),ISNUMBER('Inputs'!$B$9),ISNUMBER('Inputs'!$B$10),ISNUMBER('Inputs'!$B$21),ISNUMBER('Inputs'!$B$24),ISNUMBER('Inputs'!$B$28)),((('Results'!C7*(1-'Inputs'!$B$24)*(0.5*((((760-43)*MAX('Inputs'!$B$33,'Inputs'!$B$29+'Inputs'!$B$31+'Inputs'!$B$32,'Inputs'!$B$30+'Inputs'!$B$31+'Inputs'!$B$32)/1000+'Inputs'!$B$21)+'Inputs'!$B$9)/SQRT((((760-43)*MAX('Inputs'!$B$33,'Inputs'!$B$29+'Inputs'!$B$31+'Inputs'!$B$32,'Inputs'!$B$30+'Inputs'!$B$31+'Inputs'!$B$32)/1000+'Inputs'!$B$21)+'Inputs'!$B$9)^2+('Inputs'!$B$8/2)^2)-(((760-43)*MAX('Inputs'!$B$33,'Inputs'!$B$29+'Inputs'!$B$31+'Inputs'!$B$32,'Inputs'!$B$30+'Inputs'!$B$31+'Inputs'!$B$32)/1000+'Inputs'!$B$21))/SQRT((((760-43)*MAX('Inputs'!$B$33,'Inputs'!$B$29+'Inputs'!$B$31+'Inputs'!$B$32,'Inputs'!$B$30+'Inputs'!$B$31+'Inputs'!$B$32)/1000+'Inputs'!$B$21))^2+('Inputs'!$B$8/2)^2)))-'Results'!B7*(1+'Inputs'!$B$24)*(0.5*((((760-43)*MAX('Inputs'!$B$33,'Inputs'!$B$29+'Inputs'!$B$31+'Inputs'!$B$32,'Inputs'!$B$30+'Inputs'!$B$31+'Inputs'!$B$32)/1000+'Inputs'!$B$21+'Inputs'!$B$9+'Inputs'!$B$10)+'Inputs'!$B$7)/SQRT((((760-43)*MAX('Inputs'!$B$33,'Inputs'!$B$29+'Inputs'!$B$31+'Inputs'!$B$32,'Inputs'!$B$30+'Inputs'!$B$31+'Inputs'!$B$32)/1000+'Inputs'!$B$21+'Inputs'!$B$9+'Inputs'!$B$10)+'Inputs'!$B$7)^2+('Inputs'!$B$6/2)^2)-(((760-43)*MAX('Inputs'!$B$33,'Inputs'!$B$29+'Inputs'!$B$31+'Inputs'!$B$32,'Inputs'!$B$30+'Inputs'!$B$31+'Inputs'!$B$32)/1000+'Inputs'!$B$21+'Inputs'!$B$9+'Inputs'!$B$10))/SQRT((((760-43)*MAX('Inputs'!$B$33,'Inputs'!$B$29+'Inputs'!$B$31+'Inputs'!$B$32,'Inputs'!$B$30+'Inputs'!$B$31+'Inputs'!$B$32)/1000+'Inputs'!$B$21+'Inputs'!$B$9+'Inputs'!$B$10))^2+('Inputs'!$B$6/2)^2))))*'Results'!$B$8)-'Inputs'!$B$28*ABS((('Results'!C7*(1-'Inputs'!$B$24)*(0.5*((((760-43)*MAX('Inputs'!$B$33,'Inputs'!$B$29+'Inputs'!$B$31+'Inputs'!$B$32,'Inputs'!$B$30+'Inputs'!$B$31+'Inputs'!$B$32)/1000+'Inputs'!$B$21)+'Inputs'!$B$9)/SQRT((((760-43)*MAX('Inputs'!$B$33,'Inputs'!$B$29+'Inputs'!$B$31+'Inputs'!$B$32,'Inputs'!$B$30+'Inputs'!$B$31+'Inputs'!$B$32)/1000+'Inputs'!$B$21)+'Inputs'!$B$9)^2+('Inputs'!$B$8/2)^2)-(((760-43)*MAX('Inputs'!$B$33,'Inputs'!$B$29+'Inputs'!$B$31+'Inputs'!$B$32,'Inputs'!$B$30+'Inputs'!$B$31+'Inputs'!$B$32)/1000+'Inputs'!$B$21))/SQRT((((760-43)*MAX('Inputs'!$B$33,'Inputs'!$B$29+'Inputs'!$B$31+'Inputs'!$B$32,'Inputs'!$B$30+'Inputs'!$B$31+'Inputs'!$B$32)/1000+'Inputs'!$B$21))^2+('Inputs'!$B$8/2)^2)))-'Results'!B7*(1+'Inputs'!$B$24)*(0.5*((((760-43)*MAX('Inputs'!$B$33,'Inputs'!$B$29+'Inputs'!$B$31+'Inputs'!$B$32,'Inputs'!$B$30+'Inputs'!$B$31+'Inputs'!$B$32)/1000+'Inputs'!$B$21+'Inputs'!$B$9+'Inputs'!$B$10)+'Inputs'!$B$7)/SQRT((((760-43)*MAX('Inputs'!$B$33,'Inputs'!$B$29+'Inputs'!$B$31+'Inputs'!$B$32,'Inputs'!$B$30+'Inputs'!$B$31+'Inputs'!$B$32)/1000+'Inputs'!$B$21+'Inputs'!$B$9+'Inputs'!$B$10)+'Inputs'!$B$7)^2+('Inputs'!$B$6/2)^2)-(((760-43)*MAX('Inputs'!$B$33,'Inputs'!$B$29+'Inputs'!$B$31+'Inputs'!$B$32,'Inputs'!$B$30+'Inputs'!$B$31+'Inputs'!$B$32)/1000+'Inputs'!$B$21+'Inputs'!$B$9+'Inputs'!$B$10))/SQRT((((760-43)*MAX('Inputs'!$B$33,'Inputs'!$B$29+'Inputs'!$B$31+'Inputs'!$B$32,'Inputs'!$B$30+'Inputs'!$B$31+'Inputs'!$B$32)/1000+'Inputs'!$B$21+'Inputs'!$B$9+'Inputs'!$B$10))^2+('Inputs'!$B$6/2)^2))))*'Results'!$B$8))),"")</x:f>
        <x:v>0.9233385167383911</x:v>
      </x:c>
      <x:c r="O760" t="n">
        <x:f>IF(AND(ISNUMBER('Results'!C7),ISNUMBER('Results'!B7),ISNUMBER('Results'!$B$8),ISNUMBER('Inputs'!$B$6),ISNUMBER('Inputs'!$B$7),ISNUMBER('Inputs'!$B$8),ISNUMBER('Inputs'!$B$9),ISNUMBER('Inputs'!$B$10),ISNUMBER('Inputs'!$B$21),ISNUMBER('Inputs'!$B$24),ISNUMBER('Inputs'!$B$28)),((('Results'!C7*(1+'Inputs'!$B$24)*(0.5*((((760-43)*MAX('Inputs'!$B$33,'Inputs'!$B$29+'Inputs'!$B$31+'Inputs'!$B$32,'Inputs'!$B$30+'Inputs'!$B$31+'Inputs'!$B$32)/1000+'Inputs'!$B$21)+'Inputs'!$B$9)/SQRT((((760-43)*MAX('Inputs'!$B$33,'Inputs'!$B$29+'Inputs'!$B$31+'Inputs'!$B$32,'Inputs'!$B$30+'Inputs'!$B$31+'Inputs'!$B$32)/1000+'Inputs'!$B$21)+'Inputs'!$B$9)^2+('Inputs'!$B$8/2)^2)-(((760-43)*MAX('Inputs'!$B$33,'Inputs'!$B$29+'Inputs'!$B$31+'Inputs'!$B$32,'Inputs'!$B$30+'Inputs'!$B$31+'Inputs'!$B$32)/1000+'Inputs'!$B$21))/SQRT((((760-43)*MAX('Inputs'!$B$33,'Inputs'!$B$29+'Inputs'!$B$31+'Inputs'!$B$32,'Inputs'!$B$30+'Inputs'!$B$31+'Inputs'!$B$32)/1000+'Inputs'!$B$21))^2+('Inputs'!$B$8/2)^2)))-'Results'!B7*(1-'Inputs'!$B$24)*(0.5*((((760-43)*MAX('Inputs'!$B$33,'Inputs'!$B$29+'Inputs'!$B$31+'Inputs'!$B$32,'Inputs'!$B$30+'Inputs'!$B$31+'Inputs'!$B$32)/1000+'Inputs'!$B$21+'Inputs'!$B$9+'Inputs'!$B$10)+'Inputs'!$B$7)/SQRT((((760-43)*MAX('Inputs'!$B$33,'Inputs'!$B$29+'Inputs'!$B$31+'Inputs'!$B$32,'Inputs'!$B$30+'Inputs'!$B$31+'Inputs'!$B$32)/1000+'Inputs'!$B$21+'Inputs'!$B$9+'Inputs'!$B$10)+'Inputs'!$B$7)^2+('Inputs'!$B$6/2)^2)-(((760-43)*MAX('Inputs'!$B$33,'Inputs'!$B$29+'Inputs'!$B$31+'Inputs'!$B$32,'Inputs'!$B$30+'Inputs'!$B$31+'Inputs'!$B$32)/1000+'Inputs'!$B$21+'Inputs'!$B$9+'Inputs'!$B$10))/SQRT((((760-43)*MAX('Inputs'!$B$33,'Inputs'!$B$29+'Inputs'!$B$31+'Inputs'!$B$32,'Inputs'!$B$30+'Inputs'!$B$31+'Inputs'!$B$32)/1000+'Inputs'!$B$21+'Inputs'!$B$9+'Inputs'!$B$10))^2+('Inputs'!$B$6/2)^2))))*'Results'!$B$8)+'Inputs'!$B$28*ABS((('Results'!C7*(1+'Inputs'!$B$24)*(0.5*((((760-43)*MAX('Inputs'!$B$33,'Inputs'!$B$29+'Inputs'!$B$31+'Inputs'!$B$32,'Inputs'!$B$30+'Inputs'!$B$31+'Inputs'!$B$32)/1000+'Inputs'!$B$21)+'Inputs'!$B$9)/SQRT((((760-43)*MAX('Inputs'!$B$33,'Inputs'!$B$29+'Inputs'!$B$31+'Inputs'!$B$32,'Inputs'!$B$30+'Inputs'!$B$31+'Inputs'!$B$32)/1000+'Inputs'!$B$21)+'Inputs'!$B$9)^2+('Inputs'!$B$8/2)^2)-(((760-43)*MAX('Inputs'!$B$33,'Inputs'!$B$29+'Inputs'!$B$31+'Inputs'!$B$32,'Inputs'!$B$30+'Inputs'!$B$31+'Inputs'!$B$32)/1000+'Inputs'!$B$21))/SQRT((((760-43)*MAX('Inputs'!$B$33,'Inputs'!$B$29+'Inputs'!$B$31+'Inputs'!$B$32,'Inputs'!$B$30+'Inputs'!$B$31+'Inputs'!$B$32)/1000+'Inputs'!$B$21))^2+('Inputs'!$B$8/2)^2)))-'Results'!B7*(1-'Inputs'!$B$24)*(0.5*((((760-43)*MAX('Inputs'!$B$33,'Inputs'!$B$29+'Inputs'!$B$31+'Inputs'!$B$32,'Inputs'!$B$30+'Inputs'!$B$31+'Inputs'!$B$32)/1000+'Inputs'!$B$21+'Inputs'!$B$9+'Inputs'!$B$10)+'Inputs'!$B$7)/SQRT((((760-43)*MAX('Inputs'!$B$33,'Inputs'!$B$29+'Inputs'!$B$31+'Inputs'!$B$32,'Inputs'!$B$30+'Inputs'!$B$31+'Inputs'!$B$32)/1000+'Inputs'!$B$21+'Inputs'!$B$9+'Inputs'!$B$10)+'Inputs'!$B$7)^2+('Inputs'!$B$6/2)^2)-(((760-43)*MAX('Inputs'!$B$33,'Inputs'!$B$29+'Inputs'!$B$31+'Inputs'!$B$32,'Inputs'!$B$30+'Inputs'!$B$31+'Inputs'!$B$32)/1000+'Inputs'!$B$21+'Inputs'!$B$9+'Inputs'!$B$10))/SQRT((((760-43)*MAX('Inputs'!$B$33,'Inputs'!$B$29+'Inputs'!$B$31+'Inputs'!$B$32,'Inputs'!$B$30+'Inputs'!$B$31+'Inputs'!$B$32)/1000+'Inputs'!$B$21+'Inputs'!$B$9+'Inputs'!$B$10))^2+('Inputs'!$B$6/2)^2))))*'Results'!$B$8))),"")</x:f>
        <x:v>1.2447278450752641</x:v>
      </x:c>
      <x:c r="P760" t="n">
        <x:f>IF(AND(MAX(J760,J759)&gt;0,J760&gt;J759+0.00000001),1,0)</x:f>
        <x:v>0</x:v>
      </x:c>
      <x:c r="Q760" t="n">
        <x:f>IF(AND(MAX(K760,K759)&gt;0,K760&gt;K759+0.00000001),1,0)</x:f>
        <x:v>0</x:v>
      </x:c>
      <x:c r="R760" t="n">
        <x:f>IF(AND(MAX(L760,L759)&gt;0,L760&gt;L759+0.00000001),1,0)</x:f>
        <x:v>0</x:v>
      </x:c>
      <x:c r="S760" t="n">
        <x:f>IF(AND(MAX(M760,M759)&gt;0,M760&gt;M759+0.00000001),1,0)</x:f>
        <x:v>0</x:v>
      </x:c>
      <x:c r="T760" t="n">
        <x:f>IF(AND(MAX(N760,N759)&gt;0,N760&gt;N759+0.00000001),1,0)</x:f>
        <x:v>0</x:v>
      </x:c>
      <x:c r="U760" t="n">
        <x:f>IF(AND(MAX(O760,O759)&gt;0,O760&gt;O759+0.00000001),1,0)</x:f>
        <x:v>0</x:v>
      </x:c>
    </x:row>
    <x:row r="761">
      <x:c r="J761" t="n">
        <x:f>IF(AND(ISNUMBER('Results'!B7),ISNUMBER('Results'!C7),ISNUMBER('Results'!$B$8),ISNUMBER('Inputs'!$B$6),ISNUMBER('Inputs'!$B$7),ISNUMBER('Inputs'!$B$8),ISNUMBER('Inputs'!$B$9),ISNUMBER('Inputs'!$B$10),ISNUMBER('Inputs'!$B$21),ISNUMBER('Inputs'!$B$24),ISNUMBER('Inputs'!$B$28)),(('Results'!B7*(0.5*((((761-43)*MAX('Inputs'!$B$33,'Inputs'!$B$29+'Inputs'!$B$31+'Inputs'!$B$32,'Inputs'!$B$30+'Inputs'!$B$31+'Inputs'!$B$32)/1000+'Inputs'!$B$21)+'Inputs'!$B$7)/SQRT((((761-43)*MAX('Inputs'!$B$33,'Inputs'!$B$29+'Inputs'!$B$31+'Inputs'!$B$32,'Inputs'!$B$30+'Inputs'!$B$31+'Inputs'!$B$32)/1000+'Inputs'!$B$21)+'Inputs'!$B$7)^2+('Inputs'!$B$6/2)^2)-(((761-43)*MAX('Inputs'!$B$33,'Inputs'!$B$29+'Inputs'!$B$31+'Inputs'!$B$32,'Inputs'!$B$30+'Inputs'!$B$31+'Inputs'!$B$32)/1000+'Inputs'!$B$21))/SQRT((((761-43)*MAX('Inputs'!$B$33,'Inputs'!$B$29+'Inputs'!$B$31+'Inputs'!$B$32,'Inputs'!$B$30+'Inputs'!$B$31+'Inputs'!$B$32)/1000+'Inputs'!$B$21))^2+('Inputs'!$B$6/2)^2)))-'Results'!C7*(0.5*((((761-43)*MAX('Inputs'!$B$33,'Inputs'!$B$29+'Inputs'!$B$31+'Inputs'!$B$32,'Inputs'!$B$30+'Inputs'!$B$31+'Inputs'!$B$32)/1000+'Inputs'!$B$21+'Inputs'!$B$7+'Inputs'!$B$10)+'Inputs'!$B$9)/SQRT((((761-43)*MAX('Inputs'!$B$33,'Inputs'!$B$29+'Inputs'!$B$31+'Inputs'!$B$32,'Inputs'!$B$30+'Inputs'!$B$31+'Inputs'!$B$32)/1000+'Inputs'!$B$21+'Inputs'!$B$7+'Inputs'!$B$10)+'Inputs'!$B$9)^2+('Inputs'!$B$8/2)^2)-(((761-43)*MAX('Inputs'!$B$33,'Inputs'!$B$29+'Inputs'!$B$31+'Inputs'!$B$32,'Inputs'!$B$30+'Inputs'!$B$31+'Inputs'!$B$32)/1000+'Inputs'!$B$21+'Inputs'!$B$7+'Inputs'!$B$10))/SQRT((((761-43)*MAX('Inputs'!$B$33,'Inputs'!$B$29+'Inputs'!$B$31+'Inputs'!$B$32,'Inputs'!$B$30+'Inputs'!$B$31+'Inputs'!$B$32)/1000+'Inputs'!$B$21+'Inputs'!$B$7+'Inputs'!$B$10))^2+('Inputs'!$B$8/2)^2))))*'Results'!$B$8),"")</x:f>
        <x:v>1.1808891131313326</x:v>
      </x:c>
      <x:c r="K761" t="n">
        <x:f>IF(AND(ISNUMBER('Results'!B7),ISNUMBER('Results'!C7),ISNUMBER('Results'!$B$8),ISNUMBER('Inputs'!$B$6),ISNUMBER('Inputs'!$B$7),ISNUMBER('Inputs'!$B$8),ISNUMBER('Inputs'!$B$9),ISNUMBER('Inputs'!$B$10),ISNUMBER('Inputs'!$B$21),ISNUMBER('Inputs'!$B$24),ISNUMBER('Inputs'!$B$28)),((('Results'!B7*(1-'Inputs'!$B$24)*(0.5*((((761-43)*MAX('Inputs'!$B$33,'Inputs'!$B$29+'Inputs'!$B$31+'Inputs'!$B$32,'Inputs'!$B$30+'Inputs'!$B$31+'Inputs'!$B$32)/1000+'Inputs'!$B$21)+'Inputs'!$B$7)/SQRT((((761-43)*MAX('Inputs'!$B$33,'Inputs'!$B$29+'Inputs'!$B$31+'Inputs'!$B$32,'Inputs'!$B$30+'Inputs'!$B$31+'Inputs'!$B$32)/1000+'Inputs'!$B$21)+'Inputs'!$B$7)^2+('Inputs'!$B$6/2)^2)-(((761-43)*MAX('Inputs'!$B$33,'Inputs'!$B$29+'Inputs'!$B$31+'Inputs'!$B$32,'Inputs'!$B$30+'Inputs'!$B$31+'Inputs'!$B$32)/1000+'Inputs'!$B$21))/SQRT((((761-43)*MAX('Inputs'!$B$33,'Inputs'!$B$29+'Inputs'!$B$31+'Inputs'!$B$32,'Inputs'!$B$30+'Inputs'!$B$31+'Inputs'!$B$32)/1000+'Inputs'!$B$21))^2+('Inputs'!$B$6/2)^2)))-'Results'!C7*(1+'Inputs'!$B$24)*(0.5*((((761-43)*MAX('Inputs'!$B$33,'Inputs'!$B$29+'Inputs'!$B$31+'Inputs'!$B$32,'Inputs'!$B$30+'Inputs'!$B$31+'Inputs'!$B$32)/1000+'Inputs'!$B$21+'Inputs'!$B$7+'Inputs'!$B$10)+'Inputs'!$B$9)/SQRT((((761-43)*MAX('Inputs'!$B$33,'Inputs'!$B$29+'Inputs'!$B$31+'Inputs'!$B$32,'Inputs'!$B$30+'Inputs'!$B$31+'Inputs'!$B$32)/1000+'Inputs'!$B$21+'Inputs'!$B$7+'Inputs'!$B$10)+'Inputs'!$B$9)^2+('Inputs'!$B$8/2)^2)-(((761-43)*MAX('Inputs'!$B$33,'Inputs'!$B$29+'Inputs'!$B$31+'Inputs'!$B$32,'Inputs'!$B$30+'Inputs'!$B$31+'Inputs'!$B$32)/1000+'Inputs'!$B$21+'Inputs'!$B$7+'Inputs'!$B$10))/SQRT((((761-43)*MAX('Inputs'!$B$33,'Inputs'!$B$29+'Inputs'!$B$31+'Inputs'!$B$32,'Inputs'!$B$30+'Inputs'!$B$31+'Inputs'!$B$32)/1000+'Inputs'!$B$21+'Inputs'!$B$7+'Inputs'!$B$10))^2+('Inputs'!$B$8/2)^2))))*'Results'!$B$8)-'Inputs'!$B$28*ABS((('Results'!B7*(1-'Inputs'!$B$24)*(0.5*((((761-43)*MAX('Inputs'!$B$33,'Inputs'!$B$29+'Inputs'!$B$31+'Inputs'!$B$32,'Inputs'!$B$30+'Inputs'!$B$31+'Inputs'!$B$32)/1000+'Inputs'!$B$21)+'Inputs'!$B$7)/SQRT((((761-43)*MAX('Inputs'!$B$33,'Inputs'!$B$29+'Inputs'!$B$31+'Inputs'!$B$32,'Inputs'!$B$30+'Inputs'!$B$31+'Inputs'!$B$32)/1000+'Inputs'!$B$21)+'Inputs'!$B$7)^2+('Inputs'!$B$6/2)^2)-(((761-43)*MAX('Inputs'!$B$33,'Inputs'!$B$29+'Inputs'!$B$31+'Inputs'!$B$32,'Inputs'!$B$30+'Inputs'!$B$31+'Inputs'!$B$32)/1000+'Inputs'!$B$21))/SQRT((((761-43)*MAX('Inputs'!$B$33,'Inputs'!$B$29+'Inputs'!$B$31+'Inputs'!$B$32,'Inputs'!$B$30+'Inputs'!$B$31+'Inputs'!$B$32)/1000+'Inputs'!$B$21))^2+('Inputs'!$B$6/2)^2)))-'Results'!C7*(1+'Inputs'!$B$24)*(0.5*((((761-43)*MAX('Inputs'!$B$33,'Inputs'!$B$29+'Inputs'!$B$31+'Inputs'!$B$32,'Inputs'!$B$30+'Inputs'!$B$31+'Inputs'!$B$32)/1000+'Inputs'!$B$21+'Inputs'!$B$7+'Inputs'!$B$10)+'Inputs'!$B$9)/SQRT((((761-43)*MAX('Inputs'!$B$33,'Inputs'!$B$29+'Inputs'!$B$31+'Inputs'!$B$32,'Inputs'!$B$30+'Inputs'!$B$31+'Inputs'!$B$32)/1000+'Inputs'!$B$21+'Inputs'!$B$7+'Inputs'!$B$10)+'Inputs'!$B$9)^2+('Inputs'!$B$8/2)^2)-(((761-43)*MAX('Inputs'!$B$33,'Inputs'!$B$29+'Inputs'!$B$31+'Inputs'!$B$32,'Inputs'!$B$30+'Inputs'!$B$31+'Inputs'!$B$32)/1000+'Inputs'!$B$21+'Inputs'!$B$7+'Inputs'!$B$10))/SQRT((((761-43)*MAX('Inputs'!$B$33,'Inputs'!$B$29+'Inputs'!$B$31+'Inputs'!$B$32,'Inputs'!$B$30+'Inputs'!$B$31+'Inputs'!$B$32)/1000+'Inputs'!$B$21+'Inputs'!$B$7+'Inputs'!$B$10))^2+('Inputs'!$B$8/2)^2))))*'Results'!$B$8))),"")</x:f>
        <x:v>1.0203761495253865</x:v>
      </x:c>
      <x:c r="L761" t="n">
        <x:f>IF(AND(ISNUMBER('Results'!B7),ISNUMBER('Results'!C7),ISNUMBER('Results'!$B$8),ISNUMBER('Inputs'!$B$6),ISNUMBER('Inputs'!$B$7),ISNUMBER('Inputs'!$B$8),ISNUMBER('Inputs'!$B$9),ISNUMBER('Inputs'!$B$10),ISNUMBER('Inputs'!$B$21),ISNUMBER('Inputs'!$B$24),ISNUMBER('Inputs'!$B$28)),((('Results'!B7*(1+'Inputs'!$B$24)*(0.5*((((761-43)*MAX('Inputs'!$B$33,'Inputs'!$B$29+'Inputs'!$B$31+'Inputs'!$B$32,'Inputs'!$B$30+'Inputs'!$B$31+'Inputs'!$B$32)/1000+'Inputs'!$B$21)+'Inputs'!$B$7)/SQRT((((761-43)*MAX('Inputs'!$B$33,'Inputs'!$B$29+'Inputs'!$B$31+'Inputs'!$B$32,'Inputs'!$B$30+'Inputs'!$B$31+'Inputs'!$B$32)/1000+'Inputs'!$B$21)+'Inputs'!$B$7)^2+('Inputs'!$B$6/2)^2)-(((761-43)*MAX('Inputs'!$B$33,'Inputs'!$B$29+'Inputs'!$B$31+'Inputs'!$B$32,'Inputs'!$B$30+'Inputs'!$B$31+'Inputs'!$B$32)/1000+'Inputs'!$B$21))/SQRT((((761-43)*MAX('Inputs'!$B$33,'Inputs'!$B$29+'Inputs'!$B$31+'Inputs'!$B$32,'Inputs'!$B$30+'Inputs'!$B$31+'Inputs'!$B$32)/1000+'Inputs'!$B$21))^2+('Inputs'!$B$6/2)^2)))-'Results'!C7*(1-'Inputs'!$B$24)*(0.5*((((761-43)*MAX('Inputs'!$B$33,'Inputs'!$B$29+'Inputs'!$B$31+'Inputs'!$B$32,'Inputs'!$B$30+'Inputs'!$B$31+'Inputs'!$B$32)/1000+'Inputs'!$B$21+'Inputs'!$B$7+'Inputs'!$B$10)+'Inputs'!$B$9)/SQRT((((761-43)*MAX('Inputs'!$B$33,'Inputs'!$B$29+'Inputs'!$B$31+'Inputs'!$B$32,'Inputs'!$B$30+'Inputs'!$B$31+'Inputs'!$B$32)/1000+'Inputs'!$B$21+'Inputs'!$B$7+'Inputs'!$B$10)+'Inputs'!$B$9)^2+('Inputs'!$B$8/2)^2)-(((761-43)*MAX('Inputs'!$B$33,'Inputs'!$B$29+'Inputs'!$B$31+'Inputs'!$B$32,'Inputs'!$B$30+'Inputs'!$B$31+'Inputs'!$B$32)/1000+'Inputs'!$B$21+'Inputs'!$B$7+'Inputs'!$B$10))/SQRT((((761-43)*MAX('Inputs'!$B$33,'Inputs'!$B$29+'Inputs'!$B$31+'Inputs'!$B$32,'Inputs'!$B$30+'Inputs'!$B$31+'Inputs'!$B$32)/1000+'Inputs'!$B$21+'Inputs'!$B$7+'Inputs'!$B$10))^2+('Inputs'!$B$8/2)^2))))*'Results'!$B$8)+'Inputs'!$B$28*ABS((('Results'!B7*(1+'Inputs'!$B$24)*(0.5*((((761-43)*MAX('Inputs'!$B$33,'Inputs'!$B$29+'Inputs'!$B$31+'Inputs'!$B$32,'Inputs'!$B$30+'Inputs'!$B$31+'Inputs'!$B$32)/1000+'Inputs'!$B$21)+'Inputs'!$B$7)/SQRT((((761-43)*MAX('Inputs'!$B$33,'Inputs'!$B$29+'Inputs'!$B$31+'Inputs'!$B$32,'Inputs'!$B$30+'Inputs'!$B$31+'Inputs'!$B$32)/1000+'Inputs'!$B$21)+'Inputs'!$B$7)^2+('Inputs'!$B$6/2)^2)-(((761-43)*MAX('Inputs'!$B$33,'Inputs'!$B$29+'Inputs'!$B$31+'Inputs'!$B$32,'Inputs'!$B$30+'Inputs'!$B$31+'Inputs'!$B$32)/1000+'Inputs'!$B$21))/SQRT((((761-43)*MAX('Inputs'!$B$33,'Inputs'!$B$29+'Inputs'!$B$31+'Inputs'!$B$32,'Inputs'!$B$30+'Inputs'!$B$31+'Inputs'!$B$32)/1000+'Inputs'!$B$21))^2+('Inputs'!$B$6/2)^2)))-'Results'!C7*(1-'Inputs'!$B$24)*(0.5*((((761-43)*MAX('Inputs'!$B$33,'Inputs'!$B$29+'Inputs'!$B$31+'Inputs'!$B$32,'Inputs'!$B$30+'Inputs'!$B$31+'Inputs'!$B$32)/1000+'Inputs'!$B$21+'Inputs'!$B$7+'Inputs'!$B$10)+'Inputs'!$B$9)/SQRT((((761-43)*MAX('Inputs'!$B$33,'Inputs'!$B$29+'Inputs'!$B$31+'Inputs'!$B$32,'Inputs'!$B$30+'Inputs'!$B$31+'Inputs'!$B$32)/1000+'Inputs'!$B$21+'Inputs'!$B$7+'Inputs'!$B$10)+'Inputs'!$B$9)^2+('Inputs'!$B$8/2)^2)-(((761-43)*MAX('Inputs'!$B$33,'Inputs'!$B$29+'Inputs'!$B$31+'Inputs'!$B$32,'Inputs'!$B$30+'Inputs'!$B$31+'Inputs'!$B$32)/1000+'Inputs'!$B$21+'Inputs'!$B$7+'Inputs'!$B$10))/SQRT((((761-43)*MAX('Inputs'!$B$33,'Inputs'!$B$29+'Inputs'!$B$31+'Inputs'!$B$32,'Inputs'!$B$30+'Inputs'!$B$31+'Inputs'!$B$32)/1000+'Inputs'!$B$21+'Inputs'!$B$7+'Inputs'!$B$10))^2+('Inputs'!$B$8/2)^2))))*'Results'!$B$8))),"")</x:f>
        <x:v>1.3520829723108974</x:v>
      </x:c>
      <x:c r="M761" t="n">
        <x:f>IF(AND(ISNUMBER('Results'!C7),ISNUMBER('Results'!B7),ISNUMBER('Results'!$B$8),ISNUMBER('Inputs'!$B$6),ISNUMBER('Inputs'!$B$7),ISNUMBER('Inputs'!$B$8),ISNUMBER('Inputs'!$B$9),ISNUMBER('Inputs'!$B$10),ISNUMBER('Inputs'!$B$21),ISNUMBER('Inputs'!$B$24),ISNUMBER('Inputs'!$B$28)),(('Results'!C7*(0.5*((((761-43)*MAX('Inputs'!$B$33,'Inputs'!$B$29+'Inputs'!$B$31+'Inputs'!$B$32,'Inputs'!$B$30+'Inputs'!$B$31+'Inputs'!$B$32)/1000+'Inputs'!$B$21)+'Inputs'!$B$9)/SQRT((((761-43)*MAX('Inputs'!$B$33,'Inputs'!$B$29+'Inputs'!$B$31+'Inputs'!$B$32,'Inputs'!$B$30+'Inputs'!$B$31+'Inputs'!$B$32)/1000+'Inputs'!$B$21)+'Inputs'!$B$9)^2+('Inputs'!$B$8/2)^2)-(((761-43)*MAX('Inputs'!$B$33,'Inputs'!$B$29+'Inputs'!$B$31+'Inputs'!$B$32,'Inputs'!$B$30+'Inputs'!$B$31+'Inputs'!$B$32)/1000+'Inputs'!$B$21))/SQRT((((761-43)*MAX('Inputs'!$B$33,'Inputs'!$B$29+'Inputs'!$B$31+'Inputs'!$B$32,'Inputs'!$B$30+'Inputs'!$B$31+'Inputs'!$B$32)/1000+'Inputs'!$B$21))^2+('Inputs'!$B$8/2)^2)))-'Results'!B7*(0.5*((((761-43)*MAX('Inputs'!$B$33,'Inputs'!$B$29+'Inputs'!$B$31+'Inputs'!$B$32,'Inputs'!$B$30+'Inputs'!$B$31+'Inputs'!$B$32)/1000+'Inputs'!$B$21+'Inputs'!$B$9+'Inputs'!$B$10)+'Inputs'!$B$7)/SQRT((((761-43)*MAX('Inputs'!$B$33,'Inputs'!$B$29+'Inputs'!$B$31+'Inputs'!$B$32,'Inputs'!$B$30+'Inputs'!$B$31+'Inputs'!$B$32)/1000+'Inputs'!$B$21+'Inputs'!$B$9+'Inputs'!$B$10)+'Inputs'!$B$7)^2+('Inputs'!$B$6/2)^2)-(((761-43)*MAX('Inputs'!$B$33,'Inputs'!$B$29+'Inputs'!$B$31+'Inputs'!$B$32,'Inputs'!$B$30+'Inputs'!$B$31+'Inputs'!$B$32)/1000+'Inputs'!$B$21+'Inputs'!$B$9+'Inputs'!$B$10))/SQRT((((761-43)*MAX('Inputs'!$B$33,'Inputs'!$B$29+'Inputs'!$B$31+'Inputs'!$B$32,'Inputs'!$B$30+'Inputs'!$B$31+'Inputs'!$B$32)/1000+'Inputs'!$B$21+'Inputs'!$B$9+'Inputs'!$B$10))^2+('Inputs'!$B$6/2)^2))))*'Results'!$B$8),"")</x:f>
        <x:v>1.0732312678699036</x:v>
      </x:c>
      <x:c r="N761" t="n">
        <x:f>IF(AND(ISNUMBER('Results'!C7),ISNUMBER('Results'!B7),ISNUMBER('Results'!$B$8),ISNUMBER('Inputs'!$B$6),ISNUMBER('Inputs'!$B$7),ISNUMBER('Inputs'!$B$8),ISNUMBER('Inputs'!$B$9),ISNUMBER('Inputs'!$B$10),ISNUMBER('Inputs'!$B$21),ISNUMBER('Inputs'!$B$24),ISNUMBER('Inputs'!$B$28)),((('Results'!C7*(1-'Inputs'!$B$24)*(0.5*((((761-43)*MAX('Inputs'!$B$33,'Inputs'!$B$29+'Inputs'!$B$31+'Inputs'!$B$32,'Inputs'!$B$30+'Inputs'!$B$31+'Inputs'!$B$32)/1000+'Inputs'!$B$21)+'Inputs'!$B$9)/SQRT((((761-43)*MAX('Inputs'!$B$33,'Inputs'!$B$29+'Inputs'!$B$31+'Inputs'!$B$32,'Inputs'!$B$30+'Inputs'!$B$31+'Inputs'!$B$32)/1000+'Inputs'!$B$21)+'Inputs'!$B$9)^2+('Inputs'!$B$8/2)^2)-(((761-43)*MAX('Inputs'!$B$33,'Inputs'!$B$29+'Inputs'!$B$31+'Inputs'!$B$32,'Inputs'!$B$30+'Inputs'!$B$31+'Inputs'!$B$32)/1000+'Inputs'!$B$21))/SQRT((((761-43)*MAX('Inputs'!$B$33,'Inputs'!$B$29+'Inputs'!$B$31+'Inputs'!$B$32,'Inputs'!$B$30+'Inputs'!$B$31+'Inputs'!$B$32)/1000+'Inputs'!$B$21))^2+('Inputs'!$B$8/2)^2)))-'Results'!B7*(1+'Inputs'!$B$24)*(0.5*((((761-43)*MAX('Inputs'!$B$33,'Inputs'!$B$29+'Inputs'!$B$31+'Inputs'!$B$32,'Inputs'!$B$30+'Inputs'!$B$31+'Inputs'!$B$32)/1000+'Inputs'!$B$21+'Inputs'!$B$9+'Inputs'!$B$10)+'Inputs'!$B$7)/SQRT((((761-43)*MAX('Inputs'!$B$33,'Inputs'!$B$29+'Inputs'!$B$31+'Inputs'!$B$32,'Inputs'!$B$30+'Inputs'!$B$31+'Inputs'!$B$32)/1000+'Inputs'!$B$21+'Inputs'!$B$9+'Inputs'!$B$10)+'Inputs'!$B$7)^2+('Inputs'!$B$6/2)^2)-(((761-43)*MAX('Inputs'!$B$33,'Inputs'!$B$29+'Inputs'!$B$31+'Inputs'!$B$32,'Inputs'!$B$30+'Inputs'!$B$31+'Inputs'!$B$32)/1000+'Inputs'!$B$21+'Inputs'!$B$9+'Inputs'!$B$10))/SQRT((((761-43)*MAX('Inputs'!$B$33,'Inputs'!$B$29+'Inputs'!$B$31+'Inputs'!$B$32,'Inputs'!$B$30+'Inputs'!$B$31+'Inputs'!$B$32)/1000+'Inputs'!$B$21+'Inputs'!$B$9+'Inputs'!$B$10))^2+('Inputs'!$B$6/2)^2))))*'Results'!$B$8)-'Inputs'!$B$28*ABS((('Results'!C7*(1-'Inputs'!$B$24)*(0.5*((((761-43)*MAX('Inputs'!$B$33,'Inputs'!$B$29+'Inputs'!$B$31+'Inputs'!$B$32,'Inputs'!$B$30+'Inputs'!$B$31+'Inputs'!$B$32)/1000+'Inputs'!$B$21)+'Inputs'!$B$9)/SQRT((((761-43)*MAX('Inputs'!$B$33,'Inputs'!$B$29+'Inputs'!$B$31+'Inputs'!$B$32,'Inputs'!$B$30+'Inputs'!$B$31+'Inputs'!$B$32)/1000+'Inputs'!$B$21)+'Inputs'!$B$9)^2+('Inputs'!$B$8/2)^2)-(((761-43)*MAX('Inputs'!$B$33,'Inputs'!$B$29+'Inputs'!$B$31+'Inputs'!$B$32,'Inputs'!$B$30+'Inputs'!$B$31+'Inputs'!$B$32)/1000+'Inputs'!$B$21))/SQRT((((761-43)*MAX('Inputs'!$B$33,'Inputs'!$B$29+'Inputs'!$B$31+'Inputs'!$B$32,'Inputs'!$B$30+'Inputs'!$B$31+'Inputs'!$B$32)/1000+'Inputs'!$B$21))^2+('Inputs'!$B$8/2)^2)))-'Results'!B7*(1+'Inputs'!$B$24)*(0.5*((((761-43)*MAX('Inputs'!$B$33,'Inputs'!$B$29+'Inputs'!$B$31+'Inputs'!$B$32,'Inputs'!$B$30+'Inputs'!$B$31+'Inputs'!$B$32)/1000+'Inputs'!$B$21+'Inputs'!$B$9+'Inputs'!$B$10)+'Inputs'!$B$7)/SQRT((((761-43)*MAX('Inputs'!$B$33,'Inputs'!$B$29+'Inputs'!$B$31+'Inputs'!$B$32,'Inputs'!$B$30+'Inputs'!$B$31+'Inputs'!$B$32)/1000+'Inputs'!$B$21+'Inputs'!$B$9+'Inputs'!$B$10)+'Inputs'!$B$7)^2+('Inputs'!$B$6/2)^2)-(((761-43)*MAX('Inputs'!$B$33,'Inputs'!$B$29+'Inputs'!$B$31+'Inputs'!$B$32,'Inputs'!$B$30+'Inputs'!$B$31+'Inputs'!$B$32)/1000+'Inputs'!$B$21+'Inputs'!$B$9+'Inputs'!$B$10))/SQRT((((761-43)*MAX('Inputs'!$B$33,'Inputs'!$B$29+'Inputs'!$B$31+'Inputs'!$B$32,'Inputs'!$B$30+'Inputs'!$B$31+'Inputs'!$B$32)/1000+'Inputs'!$B$21+'Inputs'!$B$9+'Inputs'!$B$10))^2+('Inputs'!$B$6/2)^2))))*'Results'!$B$8))),"")</x:f>
        <x:v>0.9185338054890396</x:v>
      </x:c>
      <x:c r="O761" t="n">
        <x:f>IF(AND(ISNUMBER('Results'!C7),ISNUMBER('Results'!B7),ISNUMBER('Results'!$B$8),ISNUMBER('Inputs'!$B$6),ISNUMBER('Inputs'!$B$7),ISNUMBER('Inputs'!$B$8),ISNUMBER('Inputs'!$B$9),ISNUMBER('Inputs'!$B$10),ISNUMBER('Inputs'!$B$21),ISNUMBER('Inputs'!$B$24),ISNUMBER('Inputs'!$B$28)),((('Results'!C7*(1+'Inputs'!$B$24)*(0.5*((((761-43)*MAX('Inputs'!$B$33,'Inputs'!$B$29+'Inputs'!$B$31+'Inputs'!$B$32,'Inputs'!$B$30+'Inputs'!$B$31+'Inputs'!$B$32)/1000+'Inputs'!$B$21)+'Inputs'!$B$9)/SQRT((((761-43)*MAX('Inputs'!$B$33,'Inputs'!$B$29+'Inputs'!$B$31+'Inputs'!$B$32,'Inputs'!$B$30+'Inputs'!$B$31+'Inputs'!$B$32)/1000+'Inputs'!$B$21)+'Inputs'!$B$9)^2+('Inputs'!$B$8/2)^2)-(((761-43)*MAX('Inputs'!$B$33,'Inputs'!$B$29+'Inputs'!$B$31+'Inputs'!$B$32,'Inputs'!$B$30+'Inputs'!$B$31+'Inputs'!$B$32)/1000+'Inputs'!$B$21))/SQRT((((761-43)*MAX('Inputs'!$B$33,'Inputs'!$B$29+'Inputs'!$B$31+'Inputs'!$B$32,'Inputs'!$B$30+'Inputs'!$B$31+'Inputs'!$B$32)/1000+'Inputs'!$B$21))^2+('Inputs'!$B$8/2)^2)))-'Results'!B7*(1-'Inputs'!$B$24)*(0.5*((((761-43)*MAX('Inputs'!$B$33,'Inputs'!$B$29+'Inputs'!$B$31+'Inputs'!$B$32,'Inputs'!$B$30+'Inputs'!$B$31+'Inputs'!$B$32)/1000+'Inputs'!$B$21+'Inputs'!$B$9+'Inputs'!$B$10)+'Inputs'!$B$7)/SQRT((((761-43)*MAX('Inputs'!$B$33,'Inputs'!$B$29+'Inputs'!$B$31+'Inputs'!$B$32,'Inputs'!$B$30+'Inputs'!$B$31+'Inputs'!$B$32)/1000+'Inputs'!$B$21+'Inputs'!$B$9+'Inputs'!$B$10)+'Inputs'!$B$7)^2+('Inputs'!$B$6/2)^2)-(((761-43)*MAX('Inputs'!$B$33,'Inputs'!$B$29+'Inputs'!$B$31+'Inputs'!$B$32,'Inputs'!$B$30+'Inputs'!$B$31+'Inputs'!$B$32)/1000+'Inputs'!$B$21+'Inputs'!$B$9+'Inputs'!$B$10))/SQRT((((761-43)*MAX('Inputs'!$B$33,'Inputs'!$B$29+'Inputs'!$B$31+'Inputs'!$B$32,'Inputs'!$B$30+'Inputs'!$B$31+'Inputs'!$B$32)/1000+'Inputs'!$B$21+'Inputs'!$B$9+'Inputs'!$B$10))^2+('Inputs'!$B$6/2)^2))))*'Results'!$B$8)+'Inputs'!$B$28*ABS((('Results'!C7*(1+'Inputs'!$B$24)*(0.5*((((761-43)*MAX('Inputs'!$B$33,'Inputs'!$B$29+'Inputs'!$B$31+'Inputs'!$B$32,'Inputs'!$B$30+'Inputs'!$B$31+'Inputs'!$B$32)/1000+'Inputs'!$B$21)+'Inputs'!$B$9)/SQRT((((761-43)*MAX('Inputs'!$B$33,'Inputs'!$B$29+'Inputs'!$B$31+'Inputs'!$B$32,'Inputs'!$B$30+'Inputs'!$B$31+'Inputs'!$B$32)/1000+'Inputs'!$B$21)+'Inputs'!$B$9)^2+('Inputs'!$B$8/2)^2)-(((761-43)*MAX('Inputs'!$B$33,'Inputs'!$B$29+'Inputs'!$B$31+'Inputs'!$B$32,'Inputs'!$B$30+'Inputs'!$B$31+'Inputs'!$B$32)/1000+'Inputs'!$B$21))/SQRT((((761-43)*MAX('Inputs'!$B$33,'Inputs'!$B$29+'Inputs'!$B$31+'Inputs'!$B$32,'Inputs'!$B$30+'Inputs'!$B$31+'Inputs'!$B$32)/1000+'Inputs'!$B$21))^2+('Inputs'!$B$8/2)^2)))-'Results'!B7*(1-'Inputs'!$B$24)*(0.5*((((761-43)*MAX('Inputs'!$B$33,'Inputs'!$B$29+'Inputs'!$B$31+'Inputs'!$B$32,'Inputs'!$B$30+'Inputs'!$B$31+'Inputs'!$B$32)/1000+'Inputs'!$B$21+'Inputs'!$B$9+'Inputs'!$B$10)+'Inputs'!$B$7)/SQRT((((761-43)*MAX('Inputs'!$B$33,'Inputs'!$B$29+'Inputs'!$B$31+'Inputs'!$B$32,'Inputs'!$B$30+'Inputs'!$B$31+'Inputs'!$B$32)/1000+'Inputs'!$B$21+'Inputs'!$B$9+'Inputs'!$B$10)+'Inputs'!$B$7)^2+('Inputs'!$B$6/2)^2)-(((761-43)*MAX('Inputs'!$B$33,'Inputs'!$B$29+'Inputs'!$B$31+'Inputs'!$B$32,'Inputs'!$B$30+'Inputs'!$B$31+'Inputs'!$B$32)/1000+'Inputs'!$B$21+'Inputs'!$B$9+'Inputs'!$B$10))/SQRT((((761-43)*MAX('Inputs'!$B$33,'Inputs'!$B$29+'Inputs'!$B$31+'Inputs'!$B$32,'Inputs'!$B$30+'Inputs'!$B$31+'Inputs'!$B$32)/1000+'Inputs'!$B$21+'Inputs'!$B$9+'Inputs'!$B$10))^2+('Inputs'!$B$6/2)^2))))*'Results'!$B$8))),"")</x:f>
        <x:v>1.238564088038912</x:v>
      </x:c>
      <x:c r="P761" t="n">
        <x:f>IF(AND(MAX(J761,J760)&gt;0,J761&gt;J760+0.00000001),1,0)</x:f>
        <x:v>0</x:v>
      </x:c>
      <x:c r="Q761" t="n">
        <x:f>IF(AND(MAX(K761,K760)&gt;0,K761&gt;K760+0.00000001),1,0)</x:f>
        <x:v>0</x:v>
      </x:c>
      <x:c r="R761" t="n">
        <x:f>IF(AND(MAX(L761,L760)&gt;0,L761&gt;L760+0.00000001),1,0)</x:f>
        <x:v>0</x:v>
      </x:c>
      <x:c r="S761" t="n">
        <x:f>IF(AND(MAX(M761,M760)&gt;0,M761&gt;M760+0.00000001),1,0)</x:f>
        <x:v>0</x:v>
      </x:c>
      <x:c r="T761" t="n">
        <x:f>IF(AND(MAX(N761,N760)&gt;0,N761&gt;N760+0.00000001),1,0)</x:f>
        <x:v>0</x:v>
      </x:c>
      <x:c r="U761" t="n">
        <x:f>IF(AND(MAX(O761,O760)&gt;0,O761&gt;O760+0.00000001),1,0)</x:f>
        <x:v>0</x:v>
      </x:c>
    </x:row>
    <x:row r="762">
      <x:c r="J762" t="n">
        <x:f>IF(AND(ISNUMBER('Results'!B7),ISNUMBER('Results'!C7),ISNUMBER('Results'!$B$8),ISNUMBER('Inputs'!$B$6),ISNUMBER('Inputs'!$B$7),ISNUMBER('Inputs'!$B$8),ISNUMBER('Inputs'!$B$9),ISNUMBER('Inputs'!$B$10),ISNUMBER('Inputs'!$B$21),ISNUMBER('Inputs'!$B$24),ISNUMBER('Inputs'!$B$28)),(('Results'!B7*(0.5*((((762-43)*MAX('Inputs'!$B$33,'Inputs'!$B$29+'Inputs'!$B$31+'Inputs'!$B$32,'Inputs'!$B$30+'Inputs'!$B$31+'Inputs'!$B$32)/1000+'Inputs'!$B$21)+'Inputs'!$B$7)/SQRT((((762-43)*MAX('Inputs'!$B$33,'Inputs'!$B$29+'Inputs'!$B$31+'Inputs'!$B$32,'Inputs'!$B$30+'Inputs'!$B$31+'Inputs'!$B$32)/1000+'Inputs'!$B$21)+'Inputs'!$B$7)^2+('Inputs'!$B$6/2)^2)-(((762-43)*MAX('Inputs'!$B$33,'Inputs'!$B$29+'Inputs'!$B$31+'Inputs'!$B$32,'Inputs'!$B$30+'Inputs'!$B$31+'Inputs'!$B$32)/1000+'Inputs'!$B$21))/SQRT((((762-43)*MAX('Inputs'!$B$33,'Inputs'!$B$29+'Inputs'!$B$31+'Inputs'!$B$32,'Inputs'!$B$30+'Inputs'!$B$31+'Inputs'!$B$32)/1000+'Inputs'!$B$21))^2+('Inputs'!$B$6/2)^2)))-'Results'!C7*(0.5*((((762-43)*MAX('Inputs'!$B$33,'Inputs'!$B$29+'Inputs'!$B$31+'Inputs'!$B$32,'Inputs'!$B$30+'Inputs'!$B$31+'Inputs'!$B$32)/1000+'Inputs'!$B$21+'Inputs'!$B$7+'Inputs'!$B$10)+'Inputs'!$B$9)/SQRT((((762-43)*MAX('Inputs'!$B$33,'Inputs'!$B$29+'Inputs'!$B$31+'Inputs'!$B$32,'Inputs'!$B$30+'Inputs'!$B$31+'Inputs'!$B$32)/1000+'Inputs'!$B$21+'Inputs'!$B$7+'Inputs'!$B$10)+'Inputs'!$B$9)^2+('Inputs'!$B$8/2)^2)-(((762-43)*MAX('Inputs'!$B$33,'Inputs'!$B$29+'Inputs'!$B$31+'Inputs'!$B$32,'Inputs'!$B$30+'Inputs'!$B$31+'Inputs'!$B$32)/1000+'Inputs'!$B$21+'Inputs'!$B$7+'Inputs'!$B$10))/SQRT((((762-43)*MAX('Inputs'!$B$33,'Inputs'!$B$29+'Inputs'!$B$31+'Inputs'!$B$32,'Inputs'!$B$30+'Inputs'!$B$31+'Inputs'!$B$32)/1000+'Inputs'!$B$21+'Inputs'!$B$7+'Inputs'!$B$10))^2+('Inputs'!$B$8/2)^2))))*'Results'!$B$8),"")</x:f>
        <x:v>1.1750500558603447</x:v>
      </x:c>
      <x:c r="K762" t="n">
        <x:f>IF(AND(ISNUMBER('Results'!B7),ISNUMBER('Results'!C7),ISNUMBER('Results'!$B$8),ISNUMBER('Inputs'!$B$6),ISNUMBER('Inputs'!$B$7),ISNUMBER('Inputs'!$B$8),ISNUMBER('Inputs'!$B$9),ISNUMBER('Inputs'!$B$10),ISNUMBER('Inputs'!$B$21),ISNUMBER('Inputs'!$B$24),ISNUMBER('Inputs'!$B$28)),((('Results'!B7*(1-'Inputs'!$B$24)*(0.5*((((762-43)*MAX('Inputs'!$B$33,'Inputs'!$B$29+'Inputs'!$B$31+'Inputs'!$B$32,'Inputs'!$B$30+'Inputs'!$B$31+'Inputs'!$B$32)/1000+'Inputs'!$B$21)+'Inputs'!$B$7)/SQRT((((762-43)*MAX('Inputs'!$B$33,'Inputs'!$B$29+'Inputs'!$B$31+'Inputs'!$B$32,'Inputs'!$B$30+'Inputs'!$B$31+'Inputs'!$B$32)/1000+'Inputs'!$B$21)+'Inputs'!$B$7)^2+('Inputs'!$B$6/2)^2)-(((762-43)*MAX('Inputs'!$B$33,'Inputs'!$B$29+'Inputs'!$B$31+'Inputs'!$B$32,'Inputs'!$B$30+'Inputs'!$B$31+'Inputs'!$B$32)/1000+'Inputs'!$B$21))/SQRT((((762-43)*MAX('Inputs'!$B$33,'Inputs'!$B$29+'Inputs'!$B$31+'Inputs'!$B$32,'Inputs'!$B$30+'Inputs'!$B$31+'Inputs'!$B$32)/1000+'Inputs'!$B$21))^2+('Inputs'!$B$6/2)^2)))-'Results'!C7*(1+'Inputs'!$B$24)*(0.5*((((762-43)*MAX('Inputs'!$B$33,'Inputs'!$B$29+'Inputs'!$B$31+'Inputs'!$B$32,'Inputs'!$B$30+'Inputs'!$B$31+'Inputs'!$B$32)/1000+'Inputs'!$B$21+'Inputs'!$B$7+'Inputs'!$B$10)+'Inputs'!$B$9)/SQRT((((762-43)*MAX('Inputs'!$B$33,'Inputs'!$B$29+'Inputs'!$B$31+'Inputs'!$B$32,'Inputs'!$B$30+'Inputs'!$B$31+'Inputs'!$B$32)/1000+'Inputs'!$B$21+'Inputs'!$B$7+'Inputs'!$B$10)+'Inputs'!$B$9)^2+('Inputs'!$B$8/2)^2)-(((762-43)*MAX('Inputs'!$B$33,'Inputs'!$B$29+'Inputs'!$B$31+'Inputs'!$B$32,'Inputs'!$B$30+'Inputs'!$B$31+'Inputs'!$B$32)/1000+'Inputs'!$B$21+'Inputs'!$B$7+'Inputs'!$B$10))/SQRT((((762-43)*MAX('Inputs'!$B$33,'Inputs'!$B$29+'Inputs'!$B$31+'Inputs'!$B$32,'Inputs'!$B$30+'Inputs'!$B$31+'Inputs'!$B$32)/1000+'Inputs'!$B$21+'Inputs'!$B$7+'Inputs'!$B$10))^2+('Inputs'!$B$8/2)^2))))*'Results'!$B$8)-'Inputs'!$B$28*ABS((('Results'!B7*(1-'Inputs'!$B$24)*(0.5*((((762-43)*MAX('Inputs'!$B$33,'Inputs'!$B$29+'Inputs'!$B$31+'Inputs'!$B$32,'Inputs'!$B$30+'Inputs'!$B$31+'Inputs'!$B$32)/1000+'Inputs'!$B$21)+'Inputs'!$B$7)/SQRT((((762-43)*MAX('Inputs'!$B$33,'Inputs'!$B$29+'Inputs'!$B$31+'Inputs'!$B$32,'Inputs'!$B$30+'Inputs'!$B$31+'Inputs'!$B$32)/1000+'Inputs'!$B$21)+'Inputs'!$B$7)^2+('Inputs'!$B$6/2)^2)-(((762-43)*MAX('Inputs'!$B$33,'Inputs'!$B$29+'Inputs'!$B$31+'Inputs'!$B$32,'Inputs'!$B$30+'Inputs'!$B$31+'Inputs'!$B$32)/1000+'Inputs'!$B$21))/SQRT((((762-43)*MAX('Inputs'!$B$33,'Inputs'!$B$29+'Inputs'!$B$31+'Inputs'!$B$32,'Inputs'!$B$30+'Inputs'!$B$31+'Inputs'!$B$32)/1000+'Inputs'!$B$21))^2+('Inputs'!$B$6/2)^2)))-'Results'!C7*(1+'Inputs'!$B$24)*(0.5*((((762-43)*MAX('Inputs'!$B$33,'Inputs'!$B$29+'Inputs'!$B$31+'Inputs'!$B$32,'Inputs'!$B$30+'Inputs'!$B$31+'Inputs'!$B$32)/1000+'Inputs'!$B$21+'Inputs'!$B$7+'Inputs'!$B$10)+'Inputs'!$B$9)/SQRT((((762-43)*MAX('Inputs'!$B$33,'Inputs'!$B$29+'Inputs'!$B$31+'Inputs'!$B$32,'Inputs'!$B$30+'Inputs'!$B$31+'Inputs'!$B$32)/1000+'Inputs'!$B$21+'Inputs'!$B$7+'Inputs'!$B$10)+'Inputs'!$B$9)^2+('Inputs'!$B$8/2)^2)-(((762-43)*MAX('Inputs'!$B$33,'Inputs'!$B$29+'Inputs'!$B$31+'Inputs'!$B$32,'Inputs'!$B$30+'Inputs'!$B$31+'Inputs'!$B$32)/1000+'Inputs'!$B$21+'Inputs'!$B$7+'Inputs'!$B$10))/SQRT((((762-43)*MAX('Inputs'!$B$33,'Inputs'!$B$29+'Inputs'!$B$31+'Inputs'!$B$32,'Inputs'!$B$30+'Inputs'!$B$31+'Inputs'!$B$32)/1000+'Inputs'!$B$21+'Inputs'!$B$7+'Inputs'!$B$10))^2+('Inputs'!$B$8/2)^2))))*'Results'!$B$8))),"")</x:f>
        <x:v>1.0152152577392353</x:v>
      </x:c>
      <x:c r="L762" t="n">
        <x:f>IF(AND(ISNUMBER('Results'!B7),ISNUMBER('Results'!C7),ISNUMBER('Results'!$B$8),ISNUMBER('Inputs'!$B$6),ISNUMBER('Inputs'!$B$7),ISNUMBER('Inputs'!$B$8),ISNUMBER('Inputs'!$B$9),ISNUMBER('Inputs'!$B$10),ISNUMBER('Inputs'!$B$21),ISNUMBER('Inputs'!$B$24),ISNUMBER('Inputs'!$B$28)),((('Results'!B7*(1+'Inputs'!$B$24)*(0.5*((((762-43)*MAX('Inputs'!$B$33,'Inputs'!$B$29+'Inputs'!$B$31+'Inputs'!$B$32,'Inputs'!$B$30+'Inputs'!$B$31+'Inputs'!$B$32)/1000+'Inputs'!$B$21)+'Inputs'!$B$7)/SQRT((((762-43)*MAX('Inputs'!$B$33,'Inputs'!$B$29+'Inputs'!$B$31+'Inputs'!$B$32,'Inputs'!$B$30+'Inputs'!$B$31+'Inputs'!$B$32)/1000+'Inputs'!$B$21)+'Inputs'!$B$7)^2+('Inputs'!$B$6/2)^2)-(((762-43)*MAX('Inputs'!$B$33,'Inputs'!$B$29+'Inputs'!$B$31+'Inputs'!$B$32,'Inputs'!$B$30+'Inputs'!$B$31+'Inputs'!$B$32)/1000+'Inputs'!$B$21))/SQRT((((762-43)*MAX('Inputs'!$B$33,'Inputs'!$B$29+'Inputs'!$B$31+'Inputs'!$B$32,'Inputs'!$B$30+'Inputs'!$B$31+'Inputs'!$B$32)/1000+'Inputs'!$B$21))^2+('Inputs'!$B$6/2)^2)))-'Results'!C7*(1-'Inputs'!$B$24)*(0.5*((((762-43)*MAX('Inputs'!$B$33,'Inputs'!$B$29+'Inputs'!$B$31+'Inputs'!$B$32,'Inputs'!$B$30+'Inputs'!$B$31+'Inputs'!$B$32)/1000+'Inputs'!$B$21+'Inputs'!$B$7+'Inputs'!$B$10)+'Inputs'!$B$9)/SQRT((((762-43)*MAX('Inputs'!$B$33,'Inputs'!$B$29+'Inputs'!$B$31+'Inputs'!$B$32,'Inputs'!$B$30+'Inputs'!$B$31+'Inputs'!$B$32)/1000+'Inputs'!$B$21+'Inputs'!$B$7+'Inputs'!$B$10)+'Inputs'!$B$9)^2+('Inputs'!$B$8/2)^2)-(((762-43)*MAX('Inputs'!$B$33,'Inputs'!$B$29+'Inputs'!$B$31+'Inputs'!$B$32,'Inputs'!$B$30+'Inputs'!$B$31+'Inputs'!$B$32)/1000+'Inputs'!$B$21+'Inputs'!$B$7+'Inputs'!$B$10))/SQRT((((762-43)*MAX('Inputs'!$B$33,'Inputs'!$B$29+'Inputs'!$B$31+'Inputs'!$B$32,'Inputs'!$B$30+'Inputs'!$B$31+'Inputs'!$B$32)/1000+'Inputs'!$B$21+'Inputs'!$B$7+'Inputs'!$B$10))^2+('Inputs'!$B$8/2)^2))))*'Results'!$B$8)+'Inputs'!$B$28*ABS((('Results'!B7*(1+'Inputs'!$B$24)*(0.5*((((762-43)*MAX('Inputs'!$B$33,'Inputs'!$B$29+'Inputs'!$B$31+'Inputs'!$B$32,'Inputs'!$B$30+'Inputs'!$B$31+'Inputs'!$B$32)/1000+'Inputs'!$B$21)+'Inputs'!$B$7)/SQRT((((762-43)*MAX('Inputs'!$B$33,'Inputs'!$B$29+'Inputs'!$B$31+'Inputs'!$B$32,'Inputs'!$B$30+'Inputs'!$B$31+'Inputs'!$B$32)/1000+'Inputs'!$B$21)+'Inputs'!$B$7)^2+('Inputs'!$B$6/2)^2)-(((762-43)*MAX('Inputs'!$B$33,'Inputs'!$B$29+'Inputs'!$B$31+'Inputs'!$B$32,'Inputs'!$B$30+'Inputs'!$B$31+'Inputs'!$B$32)/1000+'Inputs'!$B$21))/SQRT((((762-43)*MAX('Inputs'!$B$33,'Inputs'!$B$29+'Inputs'!$B$31+'Inputs'!$B$32,'Inputs'!$B$30+'Inputs'!$B$31+'Inputs'!$B$32)/1000+'Inputs'!$B$21))^2+('Inputs'!$B$6/2)^2)))-'Results'!C7*(1-'Inputs'!$B$24)*(0.5*((((762-43)*MAX('Inputs'!$B$33,'Inputs'!$B$29+'Inputs'!$B$31+'Inputs'!$B$32,'Inputs'!$B$30+'Inputs'!$B$31+'Inputs'!$B$32)/1000+'Inputs'!$B$21+'Inputs'!$B$7+'Inputs'!$B$10)+'Inputs'!$B$9)/SQRT((((762-43)*MAX('Inputs'!$B$33,'Inputs'!$B$29+'Inputs'!$B$31+'Inputs'!$B$32,'Inputs'!$B$30+'Inputs'!$B$31+'Inputs'!$B$32)/1000+'Inputs'!$B$21+'Inputs'!$B$7+'Inputs'!$B$10)+'Inputs'!$B$9)^2+('Inputs'!$B$8/2)^2)-(((762-43)*MAX('Inputs'!$B$33,'Inputs'!$B$29+'Inputs'!$B$31+'Inputs'!$B$32,'Inputs'!$B$30+'Inputs'!$B$31+'Inputs'!$B$32)/1000+'Inputs'!$B$21+'Inputs'!$B$7+'Inputs'!$B$10))/SQRT((((762-43)*MAX('Inputs'!$B$33,'Inputs'!$B$29+'Inputs'!$B$31+'Inputs'!$B$32,'Inputs'!$B$30+'Inputs'!$B$31+'Inputs'!$B$32)/1000+'Inputs'!$B$21+'Inputs'!$B$7+'Inputs'!$B$10))^2+('Inputs'!$B$8/2)^2))))*'Results'!$B$8))),"")</x:f>
        <x:v>1.345525095594938</x:v>
      </x:c>
      <x:c r="M762" t="n">
        <x:f>IF(AND(ISNUMBER('Results'!C7),ISNUMBER('Results'!B7),ISNUMBER('Results'!$B$8),ISNUMBER('Inputs'!$B$6),ISNUMBER('Inputs'!$B$7),ISNUMBER('Inputs'!$B$8),ISNUMBER('Inputs'!$B$9),ISNUMBER('Inputs'!$B$10),ISNUMBER('Inputs'!$B$21),ISNUMBER('Inputs'!$B$24),ISNUMBER('Inputs'!$B$28)),(('Results'!C7*(0.5*((((762-43)*MAX('Inputs'!$B$33,'Inputs'!$B$29+'Inputs'!$B$31+'Inputs'!$B$32,'Inputs'!$B$30+'Inputs'!$B$31+'Inputs'!$B$32)/1000+'Inputs'!$B$21)+'Inputs'!$B$9)/SQRT((((762-43)*MAX('Inputs'!$B$33,'Inputs'!$B$29+'Inputs'!$B$31+'Inputs'!$B$32,'Inputs'!$B$30+'Inputs'!$B$31+'Inputs'!$B$32)/1000+'Inputs'!$B$21)+'Inputs'!$B$9)^2+('Inputs'!$B$8/2)^2)-(((762-43)*MAX('Inputs'!$B$33,'Inputs'!$B$29+'Inputs'!$B$31+'Inputs'!$B$32,'Inputs'!$B$30+'Inputs'!$B$31+'Inputs'!$B$32)/1000+'Inputs'!$B$21))/SQRT((((762-43)*MAX('Inputs'!$B$33,'Inputs'!$B$29+'Inputs'!$B$31+'Inputs'!$B$32,'Inputs'!$B$30+'Inputs'!$B$31+'Inputs'!$B$32)/1000+'Inputs'!$B$21))^2+('Inputs'!$B$8/2)^2)))-'Results'!B7*(0.5*((((762-43)*MAX('Inputs'!$B$33,'Inputs'!$B$29+'Inputs'!$B$31+'Inputs'!$B$32,'Inputs'!$B$30+'Inputs'!$B$31+'Inputs'!$B$32)/1000+'Inputs'!$B$21+'Inputs'!$B$9+'Inputs'!$B$10)+'Inputs'!$B$7)/SQRT((((762-43)*MAX('Inputs'!$B$33,'Inputs'!$B$29+'Inputs'!$B$31+'Inputs'!$B$32,'Inputs'!$B$30+'Inputs'!$B$31+'Inputs'!$B$32)/1000+'Inputs'!$B$21+'Inputs'!$B$9+'Inputs'!$B$10)+'Inputs'!$B$7)^2+('Inputs'!$B$6/2)^2)-(((762-43)*MAX('Inputs'!$B$33,'Inputs'!$B$29+'Inputs'!$B$31+'Inputs'!$B$32,'Inputs'!$B$30+'Inputs'!$B$31+'Inputs'!$B$32)/1000+'Inputs'!$B$21+'Inputs'!$B$9+'Inputs'!$B$10))/SQRT((((762-43)*MAX('Inputs'!$B$33,'Inputs'!$B$29+'Inputs'!$B$31+'Inputs'!$B$32,'Inputs'!$B$30+'Inputs'!$B$31+'Inputs'!$B$32)/1000+'Inputs'!$B$21+'Inputs'!$B$9+'Inputs'!$B$10))^2+('Inputs'!$B$6/2)^2))))*'Results'!$B$8),"")</x:f>
        <x:v>1.0678017069192087</x:v>
      </x:c>
      <x:c r="N762" t="n">
        <x:f>IF(AND(ISNUMBER('Results'!C7),ISNUMBER('Results'!B7),ISNUMBER('Results'!$B$8),ISNUMBER('Inputs'!$B$6),ISNUMBER('Inputs'!$B$7),ISNUMBER('Inputs'!$B$8),ISNUMBER('Inputs'!$B$9),ISNUMBER('Inputs'!$B$10),ISNUMBER('Inputs'!$B$21),ISNUMBER('Inputs'!$B$24),ISNUMBER('Inputs'!$B$28)),((('Results'!C7*(1-'Inputs'!$B$24)*(0.5*((((762-43)*MAX('Inputs'!$B$33,'Inputs'!$B$29+'Inputs'!$B$31+'Inputs'!$B$32,'Inputs'!$B$30+'Inputs'!$B$31+'Inputs'!$B$32)/1000+'Inputs'!$B$21)+'Inputs'!$B$9)/SQRT((((762-43)*MAX('Inputs'!$B$33,'Inputs'!$B$29+'Inputs'!$B$31+'Inputs'!$B$32,'Inputs'!$B$30+'Inputs'!$B$31+'Inputs'!$B$32)/1000+'Inputs'!$B$21)+'Inputs'!$B$9)^2+('Inputs'!$B$8/2)^2)-(((762-43)*MAX('Inputs'!$B$33,'Inputs'!$B$29+'Inputs'!$B$31+'Inputs'!$B$32,'Inputs'!$B$30+'Inputs'!$B$31+'Inputs'!$B$32)/1000+'Inputs'!$B$21))/SQRT((((762-43)*MAX('Inputs'!$B$33,'Inputs'!$B$29+'Inputs'!$B$31+'Inputs'!$B$32,'Inputs'!$B$30+'Inputs'!$B$31+'Inputs'!$B$32)/1000+'Inputs'!$B$21))^2+('Inputs'!$B$8/2)^2)))-'Results'!B7*(1+'Inputs'!$B$24)*(0.5*((((762-43)*MAX('Inputs'!$B$33,'Inputs'!$B$29+'Inputs'!$B$31+'Inputs'!$B$32,'Inputs'!$B$30+'Inputs'!$B$31+'Inputs'!$B$32)/1000+'Inputs'!$B$21+'Inputs'!$B$9+'Inputs'!$B$10)+'Inputs'!$B$7)/SQRT((((762-43)*MAX('Inputs'!$B$33,'Inputs'!$B$29+'Inputs'!$B$31+'Inputs'!$B$32,'Inputs'!$B$30+'Inputs'!$B$31+'Inputs'!$B$32)/1000+'Inputs'!$B$21+'Inputs'!$B$9+'Inputs'!$B$10)+'Inputs'!$B$7)^2+('Inputs'!$B$6/2)^2)-(((762-43)*MAX('Inputs'!$B$33,'Inputs'!$B$29+'Inputs'!$B$31+'Inputs'!$B$32,'Inputs'!$B$30+'Inputs'!$B$31+'Inputs'!$B$32)/1000+'Inputs'!$B$21+'Inputs'!$B$9+'Inputs'!$B$10))/SQRT((((762-43)*MAX('Inputs'!$B$33,'Inputs'!$B$29+'Inputs'!$B$31+'Inputs'!$B$32,'Inputs'!$B$30+'Inputs'!$B$31+'Inputs'!$B$32)/1000+'Inputs'!$B$21+'Inputs'!$B$9+'Inputs'!$B$10))^2+('Inputs'!$B$6/2)^2))))*'Results'!$B$8)-'Inputs'!$B$28*ABS((('Results'!C7*(1-'Inputs'!$B$24)*(0.5*((((762-43)*MAX('Inputs'!$B$33,'Inputs'!$B$29+'Inputs'!$B$31+'Inputs'!$B$32,'Inputs'!$B$30+'Inputs'!$B$31+'Inputs'!$B$32)/1000+'Inputs'!$B$21)+'Inputs'!$B$9)/SQRT((((762-43)*MAX('Inputs'!$B$33,'Inputs'!$B$29+'Inputs'!$B$31+'Inputs'!$B$32,'Inputs'!$B$30+'Inputs'!$B$31+'Inputs'!$B$32)/1000+'Inputs'!$B$21)+'Inputs'!$B$9)^2+('Inputs'!$B$8/2)^2)-(((762-43)*MAX('Inputs'!$B$33,'Inputs'!$B$29+'Inputs'!$B$31+'Inputs'!$B$32,'Inputs'!$B$30+'Inputs'!$B$31+'Inputs'!$B$32)/1000+'Inputs'!$B$21))/SQRT((((762-43)*MAX('Inputs'!$B$33,'Inputs'!$B$29+'Inputs'!$B$31+'Inputs'!$B$32,'Inputs'!$B$30+'Inputs'!$B$31+'Inputs'!$B$32)/1000+'Inputs'!$B$21))^2+('Inputs'!$B$8/2)^2)))-'Results'!B7*(1+'Inputs'!$B$24)*(0.5*((((762-43)*MAX('Inputs'!$B$33,'Inputs'!$B$29+'Inputs'!$B$31+'Inputs'!$B$32,'Inputs'!$B$30+'Inputs'!$B$31+'Inputs'!$B$32)/1000+'Inputs'!$B$21+'Inputs'!$B$9+'Inputs'!$B$10)+'Inputs'!$B$7)/SQRT((((762-43)*MAX('Inputs'!$B$33,'Inputs'!$B$29+'Inputs'!$B$31+'Inputs'!$B$32,'Inputs'!$B$30+'Inputs'!$B$31+'Inputs'!$B$32)/1000+'Inputs'!$B$21+'Inputs'!$B$9+'Inputs'!$B$10)+'Inputs'!$B$7)^2+('Inputs'!$B$6/2)^2)-(((762-43)*MAX('Inputs'!$B$33,'Inputs'!$B$29+'Inputs'!$B$31+'Inputs'!$B$32,'Inputs'!$B$30+'Inputs'!$B$31+'Inputs'!$B$32)/1000+'Inputs'!$B$21+'Inputs'!$B$9+'Inputs'!$B$10))/SQRT((((762-43)*MAX('Inputs'!$B$33,'Inputs'!$B$29+'Inputs'!$B$31+'Inputs'!$B$32,'Inputs'!$B$30+'Inputs'!$B$31+'Inputs'!$B$32)/1000+'Inputs'!$B$21+'Inputs'!$B$9+'Inputs'!$B$10))^2+('Inputs'!$B$6/2)^2))))*'Results'!$B$8))),"")</x:f>
        <x:v>0.9137597725430634</x:v>
      </x:c>
      <x:c r="O762" t="n">
        <x:f>IF(AND(ISNUMBER('Results'!C7),ISNUMBER('Results'!B7),ISNUMBER('Results'!$B$8),ISNUMBER('Inputs'!$B$6),ISNUMBER('Inputs'!$B$7),ISNUMBER('Inputs'!$B$8),ISNUMBER('Inputs'!$B$9),ISNUMBER('Inputs'!$B$10),ISNUMBER('Inputs'!$B$21),ISNUMBER('Inputs'!$B$24),ISNUMBER('Inputs'!$B$28)),((('Results'!C7*(1+'Inputs'!$B$24)*(0.5*((((762-43)*MAX('Inputs'!$B$33,'Inputs'!$B$29+'Inputs'!$B$31+'Inputs'!$B$32,'Inputs'!$B$30+'Inputs'!$B$31+'Inputs'!$B$32)/1000+'Inputs'!$B$21)+'Inputs'!$B$9)/SQRT((((762-43)*MAX('Inputs'!$B$33,'Inputs'!$B$29+'Inputs'!$B$31+'Inputs'!$B$32,'Inputs'!$B$30+'Inputs'!$B$31+'Inputs'!$B$32)/1000+'Inputs'!$B$21)+'Inputs'!$B$9)^2+('Inputs'!$B$8/2)^2)-(((762-43)*MAX('Inputs'!$B$33,'Inputs'!$B$29+'Inputs'!$B$31+'Inputs'!$B$32,'Inputs'!$B$30+'Inputs'!$B$31+'Inputs'!$B$32)/1000+'Inputs'!$B$21))/SQRT((((762-43)*MAX('Inputs'!$B$33,'Inputs'!$B$29+'Inputs'!$B$31+'Inputs'!$B$32,'Inputs'!$B$30+'Inputs'!$B$31+'Inputs'!$B$32)/1000+'Inputs'!$B$21))^2+('Inputs'!$B$8/2)^2)))-'Results'!B7*(1-'Inputs'!$B$24)*(0.5*((((762-43)*MAX('Inputs'!$B$33,'Inputs'!$B$29+'Inputs'!$B$31+'Inputs'!$B$32,'Inputs'!$B$30+'Inputs'!$B$31+'Inputs'!$B$32)/1000+'Inputs'!$B$21+'Inputs'!$B$9+'Inputs'!$B$10)+'Inputs'!$B$7)/SQRT((((762-43)*MAX('Inputs'!$B$33,'Inputs'!$B$29+'Inputs'!$B$31+'Inputs'!$B$32,'Inputs'!$B$30+'Inputs'!$B$31+'Inputs'!$B$32)/1000+'Inputs'!$B$21+'Inputs'!$B$9+'Inputs'!$B$10)+'Inputs'!$B$7)^2+('Inputs'!$B$6/2)^2)-(((762-43)*MAX('Inputs'!$B$33,'Inputs'!$B$29+'Inputs'!$B$31+'Inputs'!$B$32,'Inputs'!$B$30+'Inputs'!$B$31+'Inputs'!$B$32)/1000+'Inputs'!$B$21+'Inputs'!$B$9+'Inputs'!$B$10))/SQRT((((762-43)*MAX('Inputs'!$B$33,'Inputs'!$B$29+'Inputs'!$B$31+'Inputs'!$B$32,'Inputs'!$B$30+'Inputs'!$B$31+'Inputs'!$B$32)/1000+'Inputs'!$B$21+'Inputs'!$B$9+'Inputs'!$B$10))^2+('Inputs'!$B$6/2)^2))))*'Results'!$B$8)+'Inputs'!$B$28*ABS((('Results'!C7*(1+'Inputs'!$B$24)*(0.5*((((762-43)*MAX('Inputs'!$B$33,'Inputs'!$B$29+'Inputs'!$B$31+'Inputs'!$B$32,'Inputs'!$B$30+'Inputs'!$B$31+'Inputs'!$B$32)/1000+'Inputs'!$B$21)+'Inputs'!$B$9)/SQRT((((762-43)*MAX('Inputs'!$B$33,'Inputs'!$B$29+'Inputs'!$B$31+'Inputs'!$B$32,'Inputs'!$B$30+'Inputs'!$B$31+'Inputs'!$B$32)/1000+'Inputs'!$B$21)+'Inputs'!$B$9)^2+('Inputs'!$B$8/2)^2)-(((762-43)*MAX('Inputs'!$B$33,'Inputs'!$B$29+'Inputs'!$B$31+'Inputs'!$B$32,'Inputs'!$B$30+'Inputs'!$B$31+'Inputs'!$B$32)/1000+'Inputs'!$B$21))/SQRT((((762-43)*MAX('Inputs'!$B$33,'Inputs'!$B$29+'Inputs'!$B$31+'Inputs'!$B$32,'Inputs'!$B$30+'Inputs'!$B$31+'Inputs'!$B$32)/1000+'Inputs'!$B$21))^2+('Inputs'!$B$8/2)^2)))-'Results'!B7*(1-'Inputs'!$B$24)*(0.5*((((762-43)*MAX('Inputs'!$B$33,'Inputs'!$B$29+'Inputs'!$B$31+'Inputs'!$B$32,'Inputs'!$B$30+'Inputs'!$B$31+'Inputs'!$B$32)/1000+'Inputs'!$B$21+'Inputs'!$B$9+'Inputs'!$B$10)+'Inputs'!$B$7)/SQRT((((762-43)*MAX('Inputs'!$B$33,'Inputs'!$B$29+'Inputs'!$B$31+'Inputs'!$B$32,'Inputs'!$B$30+'Inputs'!$B$31+'Inputs'!$B$32)/1000+'Inputs'!$B$21+'Inputs'!$B$9+'Inputs'!$B$10)+'Inputs'!$B$7)^2+('Inputs'!$B$6/2)^2)-(((762-43)*MAX('Inputs'!$B$33,'Inputs'!$B$29+'Inputs'!$B$31+'Inputs'!$B$32,'Inputs'!$B$30+'Inputs'!$B$31+'Inputs'!$B$32)/1000+'Inputs'!$B$21+'Inputs'!$B$9+'Inputs'!$B$10))/SQRT((((762-43)*MAX('Inputs'!$B$33,'Inputs'!$B$29+'Inputs'!$B$31+'Inputs'!$B$32,'Inputs'!$B$30+'Inputs'!$B$31+'Inputs'!$B$32)/1000+'Inputs'!$B$21+'Inputs'!$B$9+'Inputs'!$B$10))^2+('Inputs'!$B$6/2)^2))))*'Results'!$B$8))),"")</x:f>
        <x:v>1.232438572772216</x:v>
      </x:c>
      <x:c r="P762" t="n">
        <x:f>IF(AND(MAX(J762,J761)&gt;0,J762&gt;J761+0.00000001),1,0)</x:f>
        <x:v>0</x:v>
      </x:c>
      <x:c r="Q762" t="n">
        <x:f>IF(AND(MAX(K762,K761)&gt;0,K762&gt;K761+0.00000001),1,0)</x:f>
        <x:v>0</x:v>
      </x:c>
      <x:c r="R762" t="n">
        <x:f>IF(AND(MAX(L762,L761)&gt;0,L762&gt;L761+0.00000001),1,0)</x:f>
        <x:v>0</x:v>
      </x:c>
      <x:c r="S762" t="n">
        <x:f>IF(AND(MAX(M762,M761)&gt;0,M762&gt;M761+0.00000001),1,0)</x:f>
        <x:v>0</x:v>
      </x:c>
      <x:c r="T762" t="n">
        <x:f>IF(AND(MAX(N762,N761)&gt;0,N762&gt;N761+0.00000001),1,0)</x:f>
        <x:v>0</x:v>
      </x:c>
      <x:c r="U762" t="n">
        <x:f>IF(AND(MAX(O762,O761)&gt;0,O762&gt;O761+0.00000001),1,0)</x:f>
        <x:v>0</x:v>
      </x:c>
    </x:row>
    <x:row r="763">
      <x:c r="J763" t="n">
        <x:f>IF(AND(ISNUMBER('Results'!B7),ISNUMBER('Results'!C7),ISNUMBER('Results'!$B$8),ISNUMBER('Inputs'!$B$6),ISNUMBER('Inputs'!$B$7),ISNUMBER('Inputs'!$B$8),ISNUMBER('Inputs'!$B$9),ISNUMBER('Inputs'!$B$10),ISNUMBER('Inputs'!$B$21),ISNUMBER('Inputs'!$B$24),ISNUMBER('Inputs'!$B$28)),(('Results'!B7*(0.5*((((763-43)*MAX('Inputs'!$B$33,'Inputs'!$B$29+'Inputs'!$B$31+'Inputs'!$B$32,'Inputs'!$B$30+'Inputs'!$B$31+'Inputs'!$B$32)/1000+'Inputs'!$B$21)+'Inputs'!$B$7)/SQRT((((763-43)*MAX('Inputs'!$B$33,'Inputs'!$B$29+'Inputs'!$B$31+'Inputs'!$B$32,'Inputs'!$B$30+'Inputs'!$B$31+'Inputs'!$B$32)/1000+'Inputs'!$B$21)+'Inputs'!$B$7)^2+('Inputs'!$B$6/2)^2)-(((763-43)*MAX('Inputs'!$B$33,'Inputs'!$B$29+'Inputs'!$B$31+'Inputs'!$B$32,'Inputs'!$B$30+'Inputs'!$B$31+'Inputs'!$B$32)/1000+'Inputs'!$B$21))/SQRT((((763-43)*MAX('Inputs'!$B$33,'Inputs'!$B$29+'Inputs'!$B$31+'Inputs'!$B$32,'Inputs'!$B$30+'Inputs'!$B$31+'Inputs'!$B$32)/1000+'Inputs'!$B$21))^2+('Inputs'!$B$6/2)^2)))-'Results'!C7*(0.5*((((763-43)*MAX('Inputs'!$B$33,'Inputs'!$B$29+'Inputs'!$B$31+'Inputs'!$B$32,'Inputs'!$B$30+'Inputs'!$B$31+'Inputs'!$B$32)/1000+'Inputs'!$B$21+'Inputs'!$B$7+'Inputs'!$B$10)+'Inputs'!$B$9)/SQRT((((763-43)*MAX('Inputs'!$B$33,'Inputs'!$B$29+'Inputs'!$B$31+'Inputs'!$B$32,'Inputs'!$B$30+'Inputs'!$B$31+'Inputs'!$B$32)/1000+'Inputs'!$B$21+'Inputs'!$B$7+'Inputs'!$B$10)+'Inputs'!$B$9)^2+('Inputs'!$B$8/2)^2)-(((763-43)*MAX('Inputs'!$B$33,'Inputs'!$B$29+'Inputs'!$B$31+'Inputs'!$B$32,'Inputs'!$B$30+'Inputs'!$B$31+'Inputs'!$B$32)/1000+'Inputs'!$B$21+'Inputs'!$B$7+'Inputs'!$B$10))/SQRT((((763-43)*MAX('Inputs'!$B$33,'Inputs'!$B$29+'Inputs'!$B$31+'Inputs'!$B$32,'Inputs'!$B$30+'Inputs'!$B$31+'Inputs'!$B$32)/1000+'Inputs'!$B$21+'Inputs'!$B$7+'Inputs'!$B$10))^2+('Inputs'!$B$8/2)^2))))*'Results'!$B$8),"")</x:f>
        <x:v>1.1692471760194965</x:v>
      </x:c>
      <x:c r="K763" t="n">
        <x:f>IF(AND(ISNUMBER('Results'!B7),ISNUMBER('Results'!C7),ISNUMBER('Results'!$B$8),ISNUMBER('Inputs'!$B$6),ISNUMBER('Inputs'!$B$7),ISNUMBER('Inputs'!$B$8),ISNUMBER('Inputs'!$B$9),ISNUMBER('Inputs'!$B$10),ISNUMBER('Inputs'!$B$21),ISNUMBER('Inputs'!$B$24),ISNUMBER('Inputs'!$B$28)),((('Results'!B7*(1-'Inputs'!$B$24)*(0.5*((((763-43)*MAX('Inputs'!$B$33,'Inputs'!$B$29+'Inputs'!$B$31+'Inputs'!$B$32,'Inputs'!$B$30+'Inputs'!$B$31+'Inputs'!$B$32)/1000+'Inputs'!$B$21)+'Inputs'!$B$7)/SQRT((((763-43)*MAX('Inputs'!$B$33,'Inputs'!$B$29+'Inputs'!$B$31+'Inputs'!$B$32,'Inputs'!$B$30+'Inputs'!$B$31+'Inputs'!$B$32)/1000+'Inputs'!$B$21)+'Inputs'!$B$7)^2+('Inputs'!$B$6/2)^2)-(((763-43)*MAX('Inputs'!$B$33,'Inputs'!$B$29+'Inputs'!$B$31+'Inputs'!$B$32,'Inputs'!$B$30+'Inputs'!$B$31+'Inputs'!$B$32)/1000+'Inputs'!$B$21))/SQRT((((763-43)*MAX('Inputs'!$B$33,'Inputs'!$B$29+'Inputs'!$B$31+'Inputs'!$B$32,'Inputs'!$B$30+'Inputs'!$B$31+'Inputs'!$B$32)/1000+'Inputs'!$B$21))^2+('Inputs'!$B$6/2)^2)))-'Results'!C7*(1+'Inputs'!$B$24)*(0.5*((((763-43)*MAX('Inputs'!$B$33,'Inputs'!$B$29+'Inputs'!$B$31+'Inputs'!$B$32,'Inputs'!$B$30+'Inputs'!$B$31+'Inputs'!$B$32)/1000+'Inputs'!$B$21+'Inputs'!$B$7+'Inputs'!$B$10)+'Inputs'!$B$9)/SQRT((((763-43)*MAX('Inputs'!$B$33,'Inputs'!$B$29+'Inputs'!$B$31+'Inputs'!$B$32,'Inputs'!$B$30+'Inputs'!$B$31+'Inputs'!$B$32)/1000+'Inputs'!$B$21+'Inputs'!$B$7+'Inputs'!$B$10)+'Inputs'!$B$9)^2+('Inputs'!$B$8/2)^2)-(((763-43)*MAX('Inputs'!$B$33,'Inputs'!$B$29+'Inputs'!$B$31+'Inputs'!$B$32,'Inputs'!$B$30+'Inputs'!$B$31+'Inputs'!$B$32)/1000+'Inputs'!$B$21+'Inputs'!$B$7+'Inputs'!$B$10))/SQRT((((763-43)*MAX('Inputs'!$B$33,'Inputs'!$B$29+'Inputs'!$B$31+'Inputs'!$B$32,'Inputs'!$B$30+'Inputs'!$B$31+'Inputs'!$B$32)/1000+'Inputs'!$B$21+'Inputs'!$B$7+'Inputs'!$B$10))^2+('Inputs'!$B$8/2)^2))))*'Results'!$B$8)-'Inputs'!$B$28*ABS((('Results'!B7*(1-'Inputs'!$B$24)*(0.5*((((763-43)*MAX('Inputs'!$B$33,'Inputs'!$B$29+'Inputs'!$B$31+'Inputs'!$B$32,'Inputs'!$B$30+'Inputs'!$B$31+'Inputs'!$B$32)/1000+'Inputs'!$B$21)+'Inputs'!$B$7)/SQRT((((763-43)*MAX('Inputs'!$B$33,'Inputs'!$B$29+'Inputs'!$B$31+'Inputs'!$B$32,'Inputs'!$B$30+'Inputs'!$B$31+'Inputs'!$B$32)/1000+'Inputs'!$B$21)+'Inputs'!$B$7)^2+('Inputs'!$B$6/2)^2)-(((763-43)*MAX('Inputs'!$B$33,'Inputs'!$B$29+'Inputs'!$B$31+'Inputs'!$B$32,'Inputs'!$B$30+'Inputs'!$B$31+'Inputs'!$B$32)/1000+'Inputs'!$B$21))/SQRT((((763-43)*MAX('Inputs'!$B$33,'Inputs'!$B$29+'Inputs'!$B$31+'Inputs'!$B$32,'Inputs'!$B$30+'Inputs'!$B$31+'Inputs'!$B$32)/1000+'Inputs'!$B$21))^2+('Inputs'!$B$6/2)^2)))-'Results'!C7*(1+'Inputs'!$B$24)*(0.5*((((763-43)*MAX('Inputs'!$B$33,'Inputs'!$B$29+'Inputs'!$B$31+'Inputs'!$B$32,'Inputs'!$B$30+'Inputs'!$B$31+'Inputs'!$B$32)/1000+'Inputs'!$B$21+'Inputs'!$B$7+'Inputs'!$B$10)+'Inputs'!$B$9)/SQRT((((763-43)*MAX('Inputs'!$B$33,'Inputs'!$B$29+'Inputs'!$B$31+'Inputs'!$B$32,'Inputs'!$B$30+'Inputs'!$B$31+'Inputs'!$B$32)/1000+'Inputs'!$B$21+'Inputs'!$B$7+'Inputs'!$B$10)+'Inputs'!$B$9)^2+('Inputs'!$B$8/2)^2)-(((763-43)*MAX('Inputs'!$B$33,'Inputs'!$B$29+'Inputs'!$B$31+'Inputs'!$B$32,'Inputs'!$B$30+'Inputs'!$B$31+'Inputs'!$B$32)/1000+'Inputs'!$B$21+'Inputs'!$B$7+'Inputs'!$B$10))/SQRT((((763-43)*MAX('Inputs'!$B$33,'Inputs'!$B$29+'Inputs'!$B$31+'Inputs'!$B$32,'Inputs'!$B$30+'Inputs'!$B$31+'Inputs'!$B$32)/1000+'Inputs'!$B$21+'Inputs'!$B$7+'Inputs'!$B$10))^2+('Inputs'!$B$8/2)^2))))*'Results'!$B$8))),"")</x:f>
        <x:v>1.0100867727848055</x:v>
      </x:c>
      <x:c r="L763" t="n">
        <x:f>IF(AND(ISNUMBER('Results'!B7),ISNUMBER('Results'!C7),ISNUMBER('Results'!$B$8),ISNUMBER('Inputs'!$B$6),ISNUMBER('Inputs'!$B$7),ISNUMBER('Inputs'!$B$8),ISNUMBER('Inputs'!$B$9),ISNUMBER('Inputs'!$B$10),ISNUMBER('Inputs'!$B$21),ISNUMBER('Inputs'!$B$24),ISNUMBER('Inputs'!$B$28)),((('Results'!B7*(1+'Inputs'!$B$24)*(0.5*((((763-43)*MAX('Inputs'!$B$33,'Inputs'!$B$29+'Inputs'!$B$31+'Inputs'!$B$32,'Inputs'!$B$30+'Inputs'!$B$31+'Inputs'!$B$32)/1000+'Inputs'!$B$21)+'Inputs'!$B$7)/SQRT((((763-43)*MAX('Inputs'!$B$33,'Inputs'!$B$29+'Inputs'!$B$31+'Inputs'!$B$32,'Inputs'!$B$30+'Inputs'!$B$31+'Inputs'!$B$32)/1000+'Inputs'!$B$21)+'Inputs'!$B$7)^2+('Inputs'!$B$6/2)^2)-(((763-43)*MAX('Inputs'!$B$33,'Inputs'!$B$29+'Inputs'!$B$31+'Inputs'!$B$32,'Inputs'!$B$30+'Inputs'!$B$31+'Inputs'!$B$32)/1000+'Inputs'!$B$21))/SQRT((((763-43)*MAX('Inputs'!$B$33,'Inputs'!$B$29+'Inputs'!$B$31+'Inputs'!$B$32,'Inputs'!$B$30+'Inputs'!$B$31+'Inputs'!$B$32)/1000+'Inputs'!$B$21))^2+('Inputs'!$B$6/2)^2)))-'Results'!C7*(1-'Inputs'!$B$24)*(0.5*((((763-43)*MAX('Inputs'!$B$33,'Inputs'!$B$29+'Inputs'!$B$31+'Inputs'!$B$32,'Inputs'!$B$30+'Inputs'!$B$31+'Inputs'!$B$32)/1000+'Inputs'!$B$21+'Inputs'!$B$7+'Inputs'!$B$10)+'Inputs'!$B$9)/SQRT((((763-43)*MAX('Inputs'!$B$33,'Inputs'!$B$29+'Inputs'!$B$31+'Inputs'!$B$32,'Inputs'!$B$30+'Inputs'!$B$31+'Inputs'!$B$32)/1000+'Inputs'!$B$21+'Inputs'!$B$7+'Inputs'!$B$10)+'Inputs'!$B$9)^2+('Inputs'!$B$8/2)^2)-(((763-43)*MAX('Inputs'!$B$33,'Inputs'!$B$29+'Inputs'!$B$31+'Inputs'!$B$32,'Inputs'!$B$30+'Inputs'!$B$31+'Inputs'!$B$32)/1000+'Inputs'!$B$21+'Inputs'!$B$7+'Inputs'!$B$10))/SQRT((((763-43)*MAX('Inputs'!$B$33,'Inputs'!$B$29+'Inputs'!$B$31+'Inputs'!$B$32,'Inputs'!$B$30+'Inputs'!$B$31+'Inputs'!$B$32)/1000+'Inputs'!$B$21+'Inputs'!$B$7+'Inputs'!$B$10))^2+('Inputs'!$B$8/2)^2))))*'Results'!$B$8)+'Inputs'!$B$28*ABS((('Results'!B7*(1+'Inputs'!$B$24)*(0.5*((((763-43)*MAX('Inputs'!$B$33,'Inputs'!$B$29+'Inputs'!$B$31+'Inputs'!$B$32,'Inputs'!$B$30+'Inputs'!$B$31+'Inputs'!$B$32)/1000+'Inputs'!$B$21)+'Inputs'!$B$7)/SQRT((((763-43)*MAX('Inputs'!$B$33,'Inputs'!$B$29+'Inputs'!$B$31+'Inputs'!$B$32,'Inputs'!$B$30+'Inputs'!$B$31+'Inputs'!$B$32)/1000+'Inputs'!$B$21)+'Inputs'!$B$7)^2+('Inputs'!$B$6/2)^2)-(((763-43)*MAX('Inputs'!$B$33,'Inputs'!$B$29+'Inputs'!$B$31+'Inputs'!$B$32,'Inputs'!$B$30+'Inputs'!$B$31+'Inputs'!$B$32)/1000+'Inputs'!$B$21))/SQRT((((763-43)*MAX('Inputs'!$B$33,'Inputs'!$B$29+'Inputs'!$B$31+'Inputs'!$B$32,'Inputs'!$B$30+'Inputs'!$B$31+'Inputs'!$B$32)/1000+'Inputs'!$B$21))^2+('Inputs'!$B$6/2)^2)))-'Results'!C7*(1-'Inputs'!$B$24)*(0.5*((((763-43)*MAX('Inputs'!$B$33,'Inputs'!$B$29+'Inputs'!$B$31+'Inputs'!$B$32,'Inputs'!$B$30+'Inputs'!$B$31+'Inputs'!$B$32)/1000+'Inputs'!$B$21+'Inputs'!$B$7+'Inputs'!$B$10)+'Inputs'!$B$9)/SQRT((((763-43)*MAX('Inputs'!$B$33,'Inputs'!$B$29+'Inputs'!$B$31+'Inputs'!$B$32,'Inputs'!$B$30+'Inputs'!$B$31+'Inputs'!$B$32)/1000+'Inputs'!$B$21+'Inputs'!$B$7+'Inputs'!$B$10)+'Inputs'!$B$9)^2+('Inputs'!$B$8/2)^2)-(((763-43)*MAX('Inputs'!$B$33,'Inputs'!$B$29+'Inputs'!$B$31+'Inputs'!$B$32,'Inputs'!$B$30+'Inputs'!$B$31+'Inputs'!$B$32)/1000+'Inputs'!$B$21+'Inputs'!$B$7+'Inputs'!$B$10))/SQRT((((763-43)*MAX('Inputs'!$B$33,'Inputs'!$B$29+'Inputs'!$B$31+'Inputs'!$B$32,'Inputs'!$B$30+'Inputs'!$B$31+'Inputs'!$B$32)/1000+'Inputs'!$B$21+'Inputs'!$B$7+'Inputs'!$B$10))^2+('Inputs'!$B$8/2)^2))))*'Results'!$B$8))),"")</x:f>
        <x:v>1.3390073734051051</x:v>
      </x:c>
      <x:c r="M763" t="n">
        <x:f>IF(AND(ISNUMBER('Results'!C7),ISNUMBER('Results'!B7),ISNUMBER('Results'!$B$8),ISNUMBER('Inputs'!$B$6),ISNUMBER('Inputs'!$B$7),ISNUMBER('Inputs'!$B$8),ISNUMBER('Inputs'!$B$9),ISNUMBER('Inputs'!$B$10),ISNUMBER('Inputs'!$B$21),ISNUMBER('Inputs'!$B$24),ISNUMBER('Inputs'!$B$28)),(('Results'!C7*(0.5*((((763-43)*MAX('Inputs'!$B$33,'Inputs'!$B$29+'Inputs'!$B$31+'Inputs'!$B$32,'Inputs'!$B$30+'Inputs'!$B$31+'Inputs'!$B$32)/1000+'Inputs'!$B$21)+'Inputs'!$B$9)/SQRT((((763-43)*MAX('Inputs'!$B$33,'Inputs'!$B$29+'Inputs'!$B$31+'Inputs'!$B$32,'Inputs'!$B$30+'Inputs'!$B$31+'Inputs'!$B$32)/1000+'Inputs'!$B$21)+'Inputs'!$B$9)^2+('Inputs'!$B$8/2)^2)-(((763-43)*MAX('Inputs'!$B$33,'Inputs'!$B$29+'Inputs'!$B$31+'Inputs'!$B$32,'Inputs'!$B$30+'Inputs'!$B$31+'Inputs'!$B$32)/1000+'Inputs'!$B$21))/SQRT((((763-43)*MAX('Inputs'!$B$33,'Inputs'!$B$29+'Inputs'!$B$31+'Inputs'!$B$32,'Inputs'!$B$30+'Inputs'!$B$31+'Inputs'!$B$32)/1000+'Inputs'!$B$21))^2+('Inputs'!$B$8/2)^2)))-'Results'!B7*(0.5*((((763-43)*MAX('Inputs'!$B$33,'Inputs'!$B$29+'Inputs'!$B$31+'Inputs'!$B$32,'Inputs'!$B$30+'Inputs'!$B$31+'Inputs'!$B$32)/1000+'Inputs'!$B$21+'Inputs'!$B$9+'Inputs'!$B$10)+'Inputs'!$B$7)/SQRT((((763-43)*MAX('Inputs'!$B$33,'Inputs'!$B$29+'Inputs'!$B$31+'Inputs'!$B$32,'Inputs'!$B$30+'Inputs'!$B$31+'Inputs'!$B$32)/1000+'Inputs'!$B$21+'Inputs'!$B$9+'Inputs'!$B$10)+'Inputs'!$B$7)^2+('Inputs'!$B$6/2)^2)-(((763-43)*MAX('Inputs'!$B$33,'Inputs'!$B$29+'Inputs'!$B$31+'Inputs'!$B$32,'Inputs'!$B$30+'Inputs'!$B$31+'Inputs'!$B$32)/1000+'Inputs'!$B$21+'Inputs'!$B$9+'Inputs'!$B$10))/SQRT((((763-43)*MAX('Inputs'!$B$33,'Inputs'!$B$29+'Inputs'!$B$31+'Inputs'!$B$32,'Inputs'!$B$30+'Inputs'!$B$31+'Inputs'!$B$32)/1000+'Inputs'!$B$21+'Inputs'!$B$9+'Inputs'!$B$10))^2+('Inputs'!$B$6/2)^2))))*'Results'!$B$8),"")</x:f>
        <x:v>1.0624062447349258</x:v>
      </x:c>
      <x:c r="N763" t="n">
        <x:f>IF(AND(ISNUMBER('Results'!C7),ISNUMBER('Results'!B7),ISNUMBER('Results'!$B$8),ISNUMBER('Inputs'!$B$6),ISNUMBER('Inputs'!$B$7),ISNUMBER('Inputs'!$B$8),ISNUMBER('Inputs'!$B$9),ISNUMBER('Inputs'!$B$10),ISNUMBER('Inputs'!$B$21),ISNUMBER('Inputs'!$B$24),ISNUMBER('Inputs'!$B$28)),((('Results'!C7*(1-'Inputs'!$B$24)*(0.5*((((763-43)*MAX('Inputs'!$B$33,'Inputs'!$B$29+'Inputs'!$B$31+'Inputs'!$B$32,'Inputs'!$B$30+'Inputs'!$B$31+'Inputs'!$B$32)/1000+'Inputs'!$B$21)+'Inputs'!$B$9)/SQRT((((763-43)*MAX('Inputs'!$B$33,'Inputs'!$B$29+'Inputs'!$B$31+'Inputs'!$B$32,'Inputs'!$B$30+'Inputs'!$B$31+'Inputs'!$B$32)/1000+'Inputs'!$B$21)+'Inputs'!$B$9)^2+('Inputs'!$B$8/2)^2)-(((763-43)*MAX('Inputs'!$B$33,'Inputs'!$B$29+'Inputs'!$B$31+'Inputs'!$B$32,'Inputs'!$B$30+'Inputs'!$B$31+'Inputs'!$B$32)/1000+'Inputs'!$B$21))/SQRT((((763-43)*MAX('Inputs'!$B$33,'Inputs'!$B$29+'Inputs'!$B$31+'Inputs'!$B$32,'Inputs'!$B$30+'Inputs'!$B$31+'Inputs'!$B$32)/1000+'Inputs'!$B$21))^2+('Inputs'!$B$8/2)^2)))-'Results'!B7*(1+'Inputs'!$B$24)*(0.5*((((763-43)*MAX('Inputs'!$B$33,'Inputs'!$B$29+'Inputs'!$B$31+'Inputs'!$B$32,'Inputs'!$B$30+'Inputs'!$B$31+'Inputs'!$B$32)/1000+'Inputs'!$B$21+'Inputs'!$B$9+'Inputs'!$B$10)+'Inputs'!$B$7)/SQRT((((763-43)*MAX('Inputs'!$B$33,'Inputs'!$B$29+'Inputs'!$B$31+'Inputs'!$B$32,'Inputs'!$B$30+'Inputs'!$B$31+'Inputs'!$B$32)/1000+'Inputs'!$B$21+'Inputs'!$B$9+'Inputs'!$B$10)+'Inputs'!$B$7)^2+('Inputs'!$B$6/2)^2)-(((763-43)*MAX('Inputs'!$B$33,'Inputs'!$B$29+'Inputs'!$B$31+'Inputs'!$B$32,'Inputs'!$B$30+'Inputs'!$B$31+'Inputs'!$B$32)/1000+'Inputs'!$B$21+'Inputs'!$B$9+'Inputs'!$B$10))/SQRT((((763-43)*MAX('Inputs'!$B$33,'Inputs'!$B$29+'Inputs'!$B$31+'Inputs'!$B$32,'Inputs'!$B$30+'Inputs'!$B$31+'Inputs'!$B$32)/1000+'Inputs'!$B$21+'Inputs'!$B$9+'Inputs'!$B$10))^2+('Inputs'!$B$6/2)^2))))*'Results'!$B$8)-'Inputs'!$B$28*ABS((('Results'!C7*(1-'Inputs'!$B$24)*(0.5*((((763-43)*MAX('Inputs'!$B$33,'Inputs'!$B$29+'Inputs'!$B$31+'Inputs'!$B$32,'Inputs'!$B$30+'Inputs'!$B$31+'Inputs'!$B$32)/1000+'Inputs'!$B$21)+'Inputs'!$B$9)/SQRT((((763-43)*MAX('Inputs'!$B$33,'Inputs'!$B$29+'Inputs'!$B$31+'Inputs'!$B$32,'Inputs'!$B$30+'Inputs'!$B$31+'Inputs'!$B$32)/1000+'Inputs'!$B$21)+'Inputs'!$B$9)^2+('Inputs'!$B$8/2)^2)-(((763-43)*MAX('Inputs'!$B$33,'Inputs'!$B$29+'Inputs'!$B$31+'Inputs'!$B$32,'Inputs'!$B$30+'Inputs'!$B$31+'Inputs'!$B$32)/1000+'Inputs'!$B$21))/SQRT((((763-43)*MAX('Inputs'!$B$33,'Inputs'!$B$29+'Inputs'!$B$31+'Inputs'!$B$32,'Inputs'!$B$30+'Inputs'!$B$31+'Inputs'!$B$32)/1000+'Inputs'!$B$21))^2+('Inputs'!$B$8/2)^2)))-'Results'!B7*(1+'Inputs'!$B$24)*(0.5*((((763-43)*MAX('Inputs'!$B$33,'Inputs'!$B$29+'Inputs'!$B$31+'Inputs'!$B$32,'Inputs'!$B$30+'Inputs'!$B$31+'Inputs'!$B$32)/1000+'Inputs'!$B$21+'Inputs'!$B$9+'Inputs'!$B$10)+'Inputs'!$B$7)/SQRT((((763-43)*MAX('Inputs'!$B$33,'Inputs'!$B$29+'Inputs'!$B$31+'Inputs'!$B$32,'Inputs'!$B$30+'Inputs'!$B$31+'Inputs'!$B$32)/1000+'Inputs'!$B$21+'Inputs'!$B$9+'Inputs'!$B$10)+'Inputs'!$B$7)^2+('Inputs'!$B$6/2)^2)-(((763-43)*MAX('Inputs'!$B$33,'Inputs'!$B$29+'Inputs'!$B$31+'Inputs'!$B$32,'Inputs'!$B$30+'Inputs'!$B$31+'Inputs'!$B$32)/1000+'Inputs'!$B$21+'Inputs'!$B$9+'Inputs'!$B$10))/SQRT((((763-43)*MAX('Inputs'!$B$33,'Inputs'!$B$29+'Inputs'!$B$31+'Inputs'!$B$32,'Inputs'!$B$30+'Inputs'!$B$31+'Inputs'!$B$32)/1000+'Inputs'!$B$21+'Inputs'!$B$9+'Inputs'!$B$10))^2+('Inputs'!$B$6/2)^2))))*'Results'!$B$8))),"")</x:f>
        <x:v>0.9090161851856181</x:v>
      </x:c>
      <x:c r="O763" t="n">
        <x:f>IF(AND(ISNUMBER('Results'!C7),ISNUMBER('Results'!B7),ISNUMBER('Results'!$B$8),ISNUMBER('Inputs'!$B$6),ISNUMBER('Inputs'!$B$7),ISNUMBER('Inputs'!$B$8),ISNUMBER('Inputs'!$B$9),ISNUMBER('Inputs'!$B$10),ISNUMBER('Inputs'!$B$21),ISNUMBER('Inputs'!$B$24),ISNUMBER('Inputs'!$B$28)),((('Results'!C7*(1+'Inputs'!$B$24)*(0.5*((((763-43)*MAX('Inputs'!$B$33,'Inputs'!$B$29+'Inputs'!$B$31+'Inputs'!$B$32,'Inputs'!$B$30+'Inputs'!$B$31+'Inputs'!$B$32)/1000+'Inputs'!$B$21)+'Inputs'!$B$9)/SQRT((((763-43)*MAX('Inputs'!$B$33,'Inputs'!$B$29+'Inputs'!$B$31+'Inputs'!$B$32,'Inputs'!$B$30+'Inputs'!$B$31+'Inputs'!$B$32)/1000+'Inputs'!$B$21)+'Inputs'!$B$9)^2+('Inputs'!$B$8/2)^2)-(((763-43)*MAX('Inputs'!$B$33,'Inputs'!$B$29+'Inputs'!$B$31+'Inputs'!$B$32,'Inputs'!$B$30+'Inputs'!$B$31+'Inputs'!$B$32)/1000+'Inputs'!$B$21))/SQRT((((763-43)*MAX('Inputs'!$B$33,'Inputs'!$B$29+'Inputs'!$B$31+'Inputs'!$B$32,'Inputs'!$B$30+'Inputs'!$B$31+'Inputs'!$B$32)/1000+'Inputs'!$B$21))^2+('Inputs'!$B$8/2)^2)))-'Results'!B7*(1-'Inputs'!$B$24)*(0.5*((((763-43)*MAX('Inputs'!$B$33,'Inputs'!$B$29+'Inputs'!$B$31+'Inputs'!$B$32,'Inputs'!$B$30+'Inputs'!$B$31+'Inputs'!$B$32)/1000+'Inputs'!$B$21+'Inputs'!$B$9+'Inputs'!$B$10)+'Inputs'!$B$7)/SQRT((((763-43)*MAX('Inputs'!$B$33,'Inputs'!$B$29+'Inputs'!$B$31+'Inputs'!$B$32,'Inputs'!$B$30+'Inputs'!$B$31+'Inputs'!$B$32)/1000+'Inputs'!$B$21+'Inputs'!$B$9+'Inputs'!$B$10)+'Inputs'!$B$7)^2+('Inputs'!$B$6/2)^2)-(((763-43)*MAX('Inputs'!$B$33,'Inputs'!$B$29+'Inputs'!$B$31+'Inputs'!$B$32,'Inputs'!$B$30+'Inputs'!$B$31+'Inputs'!$B$32)/1000+'Inputs'!$B$21+'Inputs'!$B$9+'Inputs'!$B$10))/SQRT((((763-43)*MAX('Inputs'!$B$33,'Inputs'!$B$29+'Inputs'!$B$31+'Inputs'!$B$32,'Inputs'!$B$30+'Inputs'!$B$31+'Inputs'!$B$32)/1000+'Inputs'!$B$21+'Inputs'!$B$9+'Inputs'!$B$10))^2+('Inputs'!$B$6/2)^2))))*'Results'!$B$8)+'Inputs'!$B$28*ABS((('Results'!C7*(1+'Inputs'!$B$24)*(0.5*((((763-43)*MAX('Inputs'!$B$33,'Inputs'!$B$29+'Inputs'!$B$31+'Inputs'!$B$32,'Inputs'!$B$30+'Inputs'!$B$31+'Inputs'!$B$32)/1000+'Inputs'!$B$21)+'Inputs'!$B$9)/SQRT((((763-43)*MAX('Inputs'!$B$33,'Inputs'!$B$29+'Inputs'!$B$31+'Inputs'!$B$32,'Inputs'!$B$30+'Inputs'!$B$31+'Inputs'!$B$32)/1000+'Inputs'!$B$21)+'Inputs'!$B$9)^2+('Inputs'!$B$8/2)^2)-(((763-43)*MAX('Inputs'!$B$33,'Inputs'!$B$29+'Inputs'!$B$31+'Inputs'!$B$32,'Inputs'!$B$30+'Inputs'!$B$31+'Inputs'!$B$32)/1000+'Inputs'!$B$21))/SQRT((((763-43)*MAX('Inputs'!$B$33,'Inputs'!$B$29+'Inputs'!$B$31+'Inputs'!$B$32,'Inputs'!$B$30+'Inputs'!$B$31+'Inputs'!$B$32)/1000+'Inputs'!$B$21))^2+('Inputs'!$B$8/2)^2)))-'Results'!B7*(1-'Inputs'!$B$24)*(0.5*((((763-43)*MAX('Inputs'!$B$33,'Inputs'!$B$29+'Inputs'!$B$31+'Inputs'!$B$32,'Inputs'!$B$30+'Inputs'!$B$31+'Inputs'!$B$32)/1000+'Inputs'!$B$21+'Inputs'!$B$9+'Inputs'!$B$10)+'Inputs'!$B$7)/SQRT((((763-43)*MAX('Inputs'!$B$33,'Inputs'!$B$29+'Inputs'!$B$31+'Inputs'!$B$32,'Inputs'!$B$30+'Inputs'!$B$31+'Inputs'!$B$32)/1000+'Inputs'!$B$21+'Inputs'!$B$9+'Inputs'!$B$10)+'Inputs'!$B$7)^2+('Inputs'!$B$6/2)^2)-(((763-43)*MAX('Inputs'!$B$33,'Inputs'!$B$29+'Inputs'!$B$31+'Inputs'!$B$32,'Inputs'!$B$30+'Inputs'!$B$31+'Inputs'!$B$32)/1000+'Inputs'!$B$21+'Inputs'!$B$9+'Inputs'!$B$10))/SQRT((((763-43)*MAX('Inputs'!$B$33,'Inputs'!$B$29+'Inputs'!$B$31+'Inputs'!$B$32,'Inputs'!$B$30+'Inputs'!$B$31+'Inputs'!$B$32)/1000+'Inputs'!$B$21+'Inputs'!$B$9+'Inputs'!$B$10))^2+('Inputs'!$B$6/2)^2))))*'Results'!$B$8))),"")</x:f>
        <x:v>1.226351014527661</x:v>
      </x:c>
      <x:c r="P763" t="n">
        <x:f>IF(AND(MAX(J763,J762)&gt;0,J763&gt;J762+0.00000001),1,0)</x:f>
        <x:v>0</x:v>
      </x:c>
      <x:c r="Q763" t="n">
        <x:f>IF(AND(MAX(K763,K762)&gt;0,K763&gt;K762+0.00000001),1,0)</x:f>
        <x:v>0</x:v>
      </x:c>
      <x:c r="R763" t="n">
        <x:f>IF(AND(MAX(L763,L762)&gt;0,L763&gt;L762+0.00000001),1,0)</x:f>
        <x:v>0</x:v>
      </x:c>
      <x:c r="S763" t="n">
        <x:f>IF(AND(MAX(M763,M762)&gt;0,M763&gt;M762+0.00000001),1,0)</x:f>
        <x:v>0</x:v>
      </x:c>
      <x:c r="T763" t="n">
        <x:f>IF(AND(MAX(N763,N762)&gt;0,N763&gt;N762+0.00000001),1,0)</x:f>
        <x:v>0</x:v>
      </x:c>
      <x:c r="U763" t="n">
        <x:f>IF(AND(MAX(O763,O762)&gt;0,O763&gt;O762+0.00000001),1,0)</x:f>
        <x:v>0</x:v>
      </x:c>
    </x:row>
    <x:row r="764">
      <x:c r="J764" t="n">
        <x:f>IF(AND(ISNUMBER('Results'!B7),ISNUMBER('Results'!C7),ISNUMBER('Results'!$B$8),ISNUMBER('Inputs'!$B$6),ISNUMBER('Inputs'!$B$7),ISNUMBER('Inputs'!$B$8),ISNUMBER('Inputs'!$B$9),ISNUMBER('Inputs'!$B$10),ISNUMBER('Inputs'!$B$21),ISNUMBER('Inputs'!$B$24),ISNUMBER('Inputs'!$B$28)),(('Results'!B7*(0.5*((((764-43)*MAX('Inputs'!$B$33,'Inputs'!$B$29+'Inputs'!$B$31+'Inputs'!$B$32,'Inputs'!$B$30+'Inputs'!$B$31+'Inputs'!$B$32)/1000+'Inputs'!$B$21)+'Inputs'!$B$7)/SQRT((((764-43)*MAX('Inputs'!$B$33,'Inputs'!$B$29+'Inputs'!$B$31+'Inputs'!$B$32,'Inputs'!$B$30+'Inputs'!$B$31+'Inputs'!$B$32)/1000+'Inputs'!$B$21)+'Inputs'!$B$7)^2+('Inputs'!$B$6/2)^2)-(((764-43)*MAX('Inputs'!$B$33,'Inputs'!$B$29+'Inputs'!$B$31+'Inputs'!$B$32,'Inputs'!$B$30+'Inputs'!$B$31+'Inputs'!$B$32)/1000+'Inputs'!$B$21))/SQRT((((764-43)*MAX('Inputs'!$B$33,'Inputs'!$B$29+'Inputs'!$B$31+'Inputs'!$B$32,'Inputs'!$B$30+'Inputs'!$B$31+'Inputs'!$B$32)/1000+'Inputs'!$B$21))^2+('Inputs'!$B$6/2)^2)))-'Results'!C7*(0.5*((((764-43)*MAX('Inputs'!$B$33,'Inputs'!$B$29+'Inputs'!$B$31+'Inputs'!$B$32,'Inputs'!$B$30+'Inputs'!$B$31+'Inputs'!$B$32)/1000+'Inputs'!$B$21+'Inputs'!$B$7+'Inputs'!$B$10)+'Inputs'!$B$9)/SQRT((((764-43)*MAX('Inputs'!$B$33,'Inputs'!$B$29+'Inputs'!$B$31+'Inputs'!$B$32,'Inputs'!$B$30+'Inputs'!$B$31+'Inputs'!$B$32)/1000+'Inputs'!$B$21+'Inputs'!$B$7+'Inputs'!$B$10)+'Inputs'!$B$9)^2+('Inputs'!$B$8/2)^2)-(((764-43)*MAX('Inputs'!$B$33,'Inputs'!$B$29+'Inputs'!$B$31+'Inputs'!$B$32,'Inputs'!$B$30+'Inputs'!$B$31+'Inputs'!$B$32)/1000+'Inputs'!$B$21+'Inputs'!$B$7+'Inputs'!$B$10))/SQRT((((764-43)*MAX('Inputs'!$B$33,'Inputs'!$B$29+'Inputs'!$B$31+'Inputs'!$B$32,'Inputs'!$B$30+'Inputs'!$B$31+'Inputs'!$B$32)/1000+'Inputs'!$B$21+'Inputs'!$B$7+'Inputs'!$B$10))^2+('Inputs'!$B$8/2)^2))))*'Results'!$B$8),"")</x:f>
        <x:v>1.1634802045878192</x:v>
      </x:c>
      <x:c r="K764" t="n">
        <x:f>IF(AND(ISNUMBER('Results'!B7),ISNUMBER('Results'!C7),ISNUMBER('Results'!$B$8),ISNUMBER('Inputs'!$B$6),ISNUMBER('Inputs'!$B$7),ISNUMBER('Inputs'!$B$8),ISNUMBER('Inputs'!$B$9),ISNUMBER('Inputs'!$B$10),ISNUMBER('Inputs'!$B$21),ISNUMBER('Inputs'!$B$24),ISNUMBER('Inputs'!$B$28)),((('Results'!B7*(1-'Inputs'!$B$24)*(0.5*((((764-43)*MAX('Inputs'!$B$33,'Inputs'!$B$29+'Inputs'!$B$31+'Inputs'!$B$32,'Inputs'!$B$30+'Inputs'!$B$31+'Inputs'!$B$32)/1000+'Inputs'!$B$21)+'Inputs'!$B$7)/SQRT((((764-43)*MAX('Inputs'!$B$33,'Inputs'!$B$29+'Inputs'!$B$31+'Inputs'!$B$32,'Inputs'!$B$30+'Inputs'!$B$31+'Inputs'!$B$32)/1000+'Inputs'!$B$21)+'Inputs'!$B$7)^2+('Inputs'!$B$6/2)^2)-(((764-43)*MAX('Inputs'!$B$33,'Inputs'!$B$29+'Inputs'!$B$31+'Inputs'!$B$32,'Inputs'!$B$30+'Inputs'!$B$31+'Inputs'!$B$32)/1000+'Inputs'!$B$21))/SQRT((((764-43)*MAX('Inputs'!$B$33,'Inputs'!$B$29+'Inputs'!$B$31+'Inputs'!$B$32,'Inputs'!$B$30+'Inputs'!$B$31+'Inputs'!$B$32)/1000+'Inputs'!$B$21))^2+('Inputs'!$B$6/2)^2)))-'Results'!C7*(1+'Inputs'!$B$24)*(0.5*((((764-43)*MAX('Inputs'!$B$33,'Inputs'!$B$29+'Inputs'!$B$31+'Inputs'!$B$32,'Inputs'!$B$30+'Inputs'!$B$31+'Inputs'!$B$32)/1000+'Inputs'!$B$21+'Inputs'!$B$7+'Inputs'!$B$10)+'Inputs'!$B$9)/SQRT((((764-43)*MAX('Inputs'!$B$33,'Inputs'!$B$29+'Inputs'!$B$31+'Inputs'!$B$32,'Inputs'!$B$30+'Inputs'!$B$31+'Inputs'!$B$32)/1000+'Inputs'!$B$21+'Inputs'!$B$7+'Inputs'!$B$10)+'Inputs'!$B$9)^2+('Inputs'!$B$8/2)^2)-(((764-43)*MAX('Inputs'!$B$33,'Inputs'!$B$29+'Inputs'!$B$31+'Inputs'!$B$32,'Inputs'!$B$30+'Inputs'!$B$31+'Inputs'!$B$32)/1000+'Inputs'!$B$21+'Inputs'!$B$7+'Inputs'!$B$10))/SQRT((((764-43)*MAX('Inputs'!$B$33,'Inputs'!$B$29+'Inputs'!$B$31+'Inputs'!$B$32,'Inputs'!$B$30+'Inputs'!$B$31+'Inputs'!$B$32)/1000+'Inputs'!$B$21+'Inputs'!$B$7+'Inputs'!$B$10))^2+('Inputs'!$B$8/2)^2))))*'Results'!$B$8)-'Inputs'!$B$28*ABS((('Results'!B7*(1-'Inputs'!$B$24)*(0.5*((((764-43)*MAX('Inputs'!$B$33,'Inputs'!$B$29+'Inputs'!$B$31+'Inputs'!$B$32,'Inputs'!$B$30+'Inputs'!$B$31+'Inputs'!$B$32)/1000+'Inputs'!$B$21)+'Inputs'!$B$7)/SQRT((((764-43)*MAX('Inputs'!$B$33,'Inputs'!$B$29+'Inputs'!$B$31+'Inputs'!$B$32,'Inputs'!$B$30+'Inputs'!$B$31+'Inputs'!$B$32)/1000+'Inputs'!$B$21)+'Inputs'!$B$7)^2+('Inputs'!$B$6/2)^2)-(((764-43)*MAX('Inputs'!$B$33,'Inputs'!$B$29+'Inputs'!$B$31+'Inputs'!$B$32,'Inputs'!$B$30+'Inputs'!$B$31+'Inputs'!$B$32)/1000+'Inputs'!$B$21))/SQRT((((764-43)*MAX('Inputs'!$B$33,'Inputs'!$B$29+'Inputs'!$B$31+'Inputs'!$B$32,'Inputs'!$B$30+'Inputs'!$B$31+'Inputs'!$B$32)/1000+'Inputs'!$B$21))^2+('Inputs'!$B$6/2)^2)))-'Results'!C7*(1+'Inputs'!$B$24)*(0.5*((((764-43)*MAX('Inputs'!$B$33,'Inputs'!$B$29+'Inputs'!$B$31+'Inputs'!$B$32,'Inputs'!$B$30+'Inputs'!$B$31+'Inputs'!$B$32)/1000+'Inputs'!$B$21+'Inputs'!$B$7+'Inputs'!$B$10)+'Inputs'!$B$9)/SQRT((((764-43)*MAX('Inputs'!$B$33,'Inputs'!$B$29+'Inputs'!$B$31+'Inputs'!$B$32,'Inputs'!$B$30+'Inputs'!$B$31+'Inputs'!$B$32)/1000+'Inputs'!$B$21+'Inputs'!$B$7+'Inputs'!$B$10)+'Inputs'!$B$9)^2+('Inputs'!$B$8/2)^2)-(((764-43)*MAX('Inputs'!$B$33,'Inputs'!$B$29+'Inputs'!$B$31+'Inputs'!$B$32,'Inputs'!$B$30+'Inputs'!$B$31+'Inputs'!$B$32)/1000+'Inputs'!$B$21+'Inputs'!$B$7+'Inputs'!$B$10))/SQRT((((764-43)*MAX('Inputs'!$B$33,'Inputs'!$B$29+'Inputs'!$B$31+'Inputs'!$B$32,'Inputs'!$B$30+'Inputs'!$B$31+'Inputs'!$B$32)/1000+'Inputs'!$B$21+'Inputs'!$B$7+'Inputs'!$B$10))^2+('Inputs'!$B$8/2)^2))))*'Results'!$B$8))),"")</x:f>
        <x:v>1.0049904515548653</x:v>
      </x:c>
      <x:c r="L764" t="n">
        <x:f>IF(AND(ISNUMBER('Results'!B7),ISNUMBER('Results'!C7),ISNUMBER('Results'!$B$8),ISNUMBER('Inputs'!$B$6),ISNUMBER('Inputs'!$B$7),ISNUMBER('Inputs'!$B$8),ISNUMBER('Inputs'!$B$9),ISNUMBER('Inputs'!$B$10),ISNUMBER('Inputs'!$B$21),ISNUMBER('Inputs'!$B$24),ISNUMBER('Inputs'!$B$28)),((('Results'!B7*(1+'Inputs'!$B$24)*(0.5*((((764-43)*MAX('Inputs'!$B$33,'Inputs'!$B$29+'Inputs'!$B$31+'Inputs'!$B$32,'Inputs'!$B$30+'Inputs'!$B$31+'Inputs'!$B$32)/1000+'Inputs'!$B$21)+'Inputs'!$B$7)/SQRT((((764-43)*MAX('Inputs'!$B$33,'Inputs'!$B$29+'Inputs'!$B$31+'Inputs'!$B$32,'Inputs'!$B$30+'Inputs'!$B$31+'Inputs'!$B$32)/1000+'Inputs'!$B$21)+'Inputs'!$B$7)^2+('Inputs'!$B$6/2)^2)-(((764-43)*MAX('Inputs'!$B$33,'Inputs'!$B$29+'Inputs'!$B$31+'Inputs'!$B$32,'Inputs'!$B$30+'Inputs'!$B$31+'Inputs'!$B$32)/1000+'Inputs'!$B$21))/SQRT((((764-43)*MAX('Inputs'!$B$33,'Inputs'!$B$29+'Inputs'!$B$31+'Inputs'!$B$32,'Inputs'!$B$30+'Inputs'!$B$31+'Inputs'!$B$32)/1000+'Inputs'!$B$21))^2+('Inputs'!$B$6/2)^2)))-'Results'!C7*(1-'Inputs'!$B$24)*(0.5*((((764-43)*MAX('Inputs'!$B$33,'Inputs'!$B$29+'Inputs'!$B$31+'Inputs'!$B$32,'Inputs'!$B$30+'Inputs'!$B$31+'Inputs'!$B$32)/1000+'Inputs'!$B$21+'Inputs'!$B$7+'Inputs'!$B$10)+'Inputs'!$B$9)/SQRT((((764-43)*MAX('Inputs'!$B$33,'Inputs'!$B$29+'Inputs'!$B$31+'Inputs'!$B$32,'Inputs'!$B$30+'Inputs'!$B$31+'Inputs'!$B$32)/1000+'Inputs'!$B$21+'Inputs'!$B$7+'Inputs'!$B$10)+'Inputs'!$B$9)^2+('Inputs'!$B$8/2)^2)-(((764-43)*MAX('Inputs'!$B$33,'Inputs'!$B$29+'Inputs'!$B$31+'Inputs'!$B$32,'Inputs'!$B$30+'Inputs'!$B$31+'Inputs'!$B$32)/1000+'Inputs'!$B$21+'Inputs'!$B$7+'Inputs'!$B$10))/SQRT((((764-43)*MAX('Inputs'!$B$33,'Inputs'!$B$29+'Inputs'!$B$31+'Inputs'!$B$32,'Inputs'!$B$30+'Inputs'!$B$31+'Inputs'!$B$32)/1000+'Inputs'!$B$21+'Inputs'!$B$7+'Inputs'!$B$10))^2+('Inputs'!$B$8/2)^2))))*'Results'!$B$8)+'Inputs'!$B$28*ABS((('Results'!B7*(1+'Inputs'!$B$24)*(0.5*((((764-43)*MAX('Inputs'!$B$33,'Inputs'!$B$29+'Inputs'!$B$31+'Inputs'!$B$32,'Inputs'!$B$30+'Inputs'!$B$31+'Inputs'!$B$32)/1000+'Inputs'!$B$21)+'Inputs'!$B$7)/SQRT((((764-43)*MAX('Inputs'!$B$33,'Inputs'!$B$29+'Inputs'!$B$31+'Inputs'!$B$32,'Inputs'!$B$30+'Inputs'!$B$31+'Inputs'!$B$32)/1000+'Inputs'!$B$21)+'Inputs'!$B$7)^2+('Inputs'!$B$6/2)^2)-(((764-43)*MAX('Inputs'!$B$33,'Inputs'!$B$29+'Inputs'!$B$31+'Inputs'!$B$32,'Inputs'!$B$30+'Inputs'!$B$31+'Inputs'!$B$32)/1000+'Inputs'!$B$21))/SQRT((((764-43)*MAX('Inputs'!$B$33,'Inputs'!$B$29+'Inputs'!$B$31+'Inputs'!$B$32,'Inputs'!$B$30+'Inputs'!$B$31+'Inputs'!$B$32)/1000+'Inputs'!$B$21))^2+('Inputs'!$B$6/2)^2)))-'Results'!C7*(1-'Inputs'!$B$24)*(0.5*((((764-43)*MAX('Inputs'!$B$33,'Inputs'!$B$29+'Inputs'!$B$31+'Inputs'!$B$32,'Inputs'!$B$30+'Inputs'!$B$31+'Inputs'!$B$32)/1000+'Inputs'!$B$21+'Inputs'!$B$7+'Inputs'!$B$10)+'Inputs'!$B$9)/SQRT((((764-43)*MAX('Inputs'!$B$33,'Inputs'!$B$29+'Inputs'!$B$31+'Inputs'!$B$32,'Inputs'!$B$30+'Inputs'!$B$31+'Inputs'!$B$32)/1000+'Inputs'!$B$21+'Inputs'!$B$7+'Inputs'!$B$10)+'Inputs'!$B$9)^2+('Inputs'!$B$8/2)^2)-(((764-43)*MAX('Inputs'!$B$33,'Inputs'!$B$29+'Inputs'!$B$31+'Inputs'!$B$32,'Inputs'!$B$30+'Inputs'!$B$31+'Inputs'!$B$32)/1000+'Inputs'!$B$21+'Inputs'!$B$7+'Inputs'!$B$10))/SQRT((((764-43)*MAX('Inputs'!$B$33,'Inputs'!$B$29+'Inputs'!$B$31+'Inputs'!$B$32,'Inputs'!$B$30+'Inputs'!$B$31+'Inputs'!$B$32)/1000+'Inputs'!$B$21+'Inputs'!$B$7+'Inputs'!$B$10))^2+('Inputs'!$B$8/2)^2))))*'Results'!$B$8))),"")</x:f>
        <x:v>1.332529509494833</x:v>
      </x:c>
      <x:c r="M764" t="n">
        <x:f>IF(AND(ISNUMBER('Results'!C7),ISNUMBER('Results'!B7),ISNUMBER('Results'!$B$8),ISNUMBER('Inputs'!$B$6),ISNUMBER('Inputs'!$B$7),ISNUMBER('Inputs'!$B$8),ISNUMBER('Inputs'!$B$9),ISNUMBER('Inputs'!$B$10),ISNUMBER('Inputs'!$B$21),ISNUMBER('Inputs'!$B$24),ISNUMBER('Inputs'!$B$28)),(('Results'!C7*(0.5*((((764-43)*MAX('Inputs'!$B$33,'Inputs'!$B$29+'Inputs'!$B$31+'Inputs'!$B$32,'Inputs'!$B$30+'Inputs'!$B$31+'Inputs'!$B$32)/1000+'Inputs'!$B$21)+'Inputs'!$B$9)/SQRT((((764-43)*MAX('Inputs'!$B$33,'Inputs'!$B$29+'Inputs'!$B$31+'Inputs'!$B$32,'Inputs'!$B$30+'Inputs'!$B$31+'Inputs'!$B$32)/1000+'Inputs'!$B$21)+'Inputs'!$B$9)^2+('Inputs'!$B$8/2)^2)-(((764-43)*MAX('Inputs'!$B$33,'Inputs'!$B$29+'Inputs'!$B$31+'Inputs'!$B$32,'Inputs'!$B$30+'Inputs'!$B$31+'Inputs'!$B$32)/1000+'Inputs'!$B$21))/SQRT((((764-43)*MAX('Inputs'!$B$33,'Inputs'!$B$29+'Inputs'!$B$31+'Inputs'!$B$32,'Inputs'!$B$30+'Inputs'!$B$31+'Inputs'!$B$32)/1000+'Inputs'!$B$21))^2+('Inputs'!$B$8/2)^2)))-'Results'!B7*(0.5*((((764-43)*MAX('Inputs'!$B$33,'Inputs'!$B$29+'Inputs'!$B$31+'Inputs'!$B$32,'Inputs'!$B$30+'Inputs'!$B$31+'Inputs'!$B$32)/1000+'Inputs'!$B$21+'Inputs'!$B$9+'Inputs'!$B$10)+'Inputs'!$B$7)/SQRT((((764-43)*MAX('Inputs'!$B$33,'Inputs'!$B$29+'Inputs'!$B$31+'Inputs'!$B$32,'Inputs'!$B$30+'Inputs'!$B$31+'Inputs'!$B$32)/1000+'Inputs'!$B$21+'Inputs'!$B$9+'Inputs'!$B$10)+'Inputs'!$B$7)^2+('Inputs'!$B$6/2)^2)-(((764-43)*MAX('Inputs'!$B$33,'Inputs'!$B$29+'Inputs'!$B$31+'Inputs'!$B$32,'Inputs'!$B$30+'Inputs'!$B$31+'Inputs'!$B$32)/1000+'Inputs'!$B$21+'Inputs'!$B$9+'Inputs'!$B$10))/SQRT((((764-43)*MAX('Inputs'!$B$33,'Inputs'!$B$29+'Inputs'!$B$31+'Inputs'!$B$32,'Inputs'!$B$30+'Inputs'!$B$31+'Inputs'!$B$32)/1000+'Inputs'!$B$21+'Inputs'!$B$9+'Inputs'!$B$10))^2+('Inputs'!$B$6/2)^2))))*'Results'!$B$8),"")</x:f>
        <x:v>1.0570446254936672</x:v>
      </x:c>
      <x:c r="N764" t="n">
        <x:f>IF(AND(ISNUMBER('Results'!C7),ISNUMBER('Results'!B7),ISNUMBER('Results'!$B$8),ISNUMBER('Inputs'!$B$6),ISNUMBER('Inputs'!$B$7),ISNUMBER('Inputs'!$B$8),ISNUMBER('Inputs'!$B$9),ISNUMBER('Inputs'!$B$10),ISNUMBER('Inputs'!$B$21),ISNUMBER('Inputs'!$B$24),ISNUMBER('Inputs'!$B$28)),((('Results'!C7*(1-'Inputs'!$B$24)*(0.5*((((764-43)*MAX('Inputs'!$B$33,'Inputs'!$B$29+'Inputs'!$B$31+'Inputs'!$B$32,'Inputs'!$B$30+'Inputs'!$B$31+'Inputs'!$B$32)/1000+'Inputs'!$B$21)+'Inputs'!$B$9)/SQRT((((764-43)*MAX('Inputs'!$B$33,'Inputs'!$B$29+'Inputs'!$B$31+'Inputs'!$B$32,'Inputs'!$B$30+'Inputs'!$B$31+'Inputs'!$B$32)/1000+'Inputs'!$B$21)+'Inputs'!$B$9)^2+('Inputs'!$B$8/2)^2)-(((764-43)*MAX('Inputs'!$B$33,'Inputs'!$B$29+'Inputs'!$B$31+'Inputs'!$B$32,'Inputs'!$B$30+'Inputs'!$B$31+'Inputs'!$B$32)/1000+'Inputs'!$B$21))/SQRT((((764-43)*MAX('Inputs'!$B$33,'Inputs'!$B$29+'Inputs'!$B$31+'Inputs'!$B$32,'Inputs'!$B$30+'Inputs'!$B$31+'Inputs'!$B$32)/1000+'Inputs'!$B$21))^2+('Inputs'!$B$8/2)^2)))-'Results'!B7*(1+'Inputs'!$B$24)*(0.5*((((764-43)*MAX('Inputs'!$B$33,'Inputs'!$B$29+'Inputs'!$B$31+'Inputs'!$B$32,'Inputs'!$B$30+'Inputs'!$B$31+'Inputs'!$B$32)/1000+'Inputs'!$B$21+'Inputs'!$B$9+'Inputs'!$B$10)+'Inputs'!$B$7)/SQRT((((764-43)*MAX('Inputs'!$B$33,'Inputs'!$B$29+'Inputs'!$B$31+'Inputs'!$B$32,'Inputs'!$B$30+'Inputs'!$B$31+'Inputs'!$B$32)/1000+'Inputs'!$B$21+'Inputs'!$B$9+'Inputs'!$B$10)+'Inputs'!$B$7)^2+('Inputs'!$B$6/2)^2)-(((764-43)*MAX('Inputs'!$B$33,'Inputs'!$B$29+'Inputs'!$B$31+'Inputs'!$B$32,'Inputs'!$B$30+'Inputs'!$B$31+'Inputs'!$B$32)/1000+'Inputs'!$B$21+'Inputs'!$B$9+'Inputs'!$B$10))/SQRT((((764-43)*MAX('Inputs'!$B$33,'Inputs'!$B$29+'Inputs'!$B$31+'Inputs'!$B$32,'Inputs'!$B$30+'Inputs'!$B$31+'Inputs'!$B$32)/1000+'Inputs'!$B$21+'Inputs'!$B$9+'Inputs'!$B$10))^2+('Inputs'!$B$6/2)^2))))*'Results'!$B$8)-'Inputs'!$B$28*ABS((('Results'!C7*(1-'Inputs'!$B$24)*(0.5*((((764-43)*MAX('Inputs'!$B$33,'Inputs'!$B$29+'Inputs'!$B$31+'Inputs'!$B$32,'Inputs'!$B$30+'Inputs'!$B$31+'Inputs'!$B$32)/1000+'Inputs'!$B$21)+'Inputs'!$B$9)/SQRT((((764-43)*MAX('Inputs'!$B$33,'Inputs'!$B$29+'Inputs'!$B$31+'Inputs'!$B$32,'Inputs'!$B$30+'Inputs'!$B$31+'Inputs'!$B$32)/1000+'Inputs'!$B$21)+'Inputs'!$B$9)^2+('Inputs'!$B$8/2)^2)-(((764-43)*MAX('Inputs'!$B$33,'Inputs'!$B$29+'Inputs'!$B$31+'Inputs'!$B$32,'Inputs'!$B$30+'Inputs'!$B$31+'Inputs'!$B$32)/1000+'Inputs'!$B$21))/SQRT((((764-43)*MAX('Inputs'!$B$33,'Inputs'!$B$29+'Inputs'!$B$31+'Inputs'!$B$32,'Inputs'!$B$30+'Inputs'!$B$31+'Inputs'!$B$32)/1000+'Inputs'!$B$21))^2+('Inputs'!$B$8/2)^2)))-'Results'!B7*(1+'Inputs'!$B$24)*(0.5*((((764-43)*MAX('Inputs'!$B$33,'Inputs'!$B$29+'Inputs'!$B$31+'Inputs'!$B$32,'Inputs'!$B$30+'Inputs'!$B$31+'Inputs'!$B$32)/1000+'Inputs'!$B$21+'Inputs'!$B$9+'Inputs'!$B$10)+'Inputs'!$B$7)/SQRT((((764-43)*MAX('Inputs'!$B$33,'Inputs'!$B$29+'Inputs'!$B$31+'Inputs'!$B$32,'Inputs'!$B$30+'Inputs'!$B$31+'Inputs'!$B$32)/1000+'Inputs'!$B$21+'Inputs'!$B$9+'Inputs'!$B$10)+'Inputs'!$B$7)^2+('Inputs'!$B$6/2)^2)-(((764-43)*MAX('Inputs'!$B$33,'Inputs'!$B$29+'Inputs'!$B$31+'Inputs'!$B$32,'Inputs'!$B$30+'Inputs'!$B$31+'Inputs'!$B$32)/1000+'Inputs'!$B$21+'Inputs'!$B$9+'Inputs'!$B$10))/SQRT((((764-43)*MAX('Inputs'!$B$33,'Inputs'!$B$29+'Inputs'!$B$31+'Inputs'!$B$32,'Inputs'!$B$30+'Inputs'!$B$31+'Inputs'!$B$32)/1000+'Inputs'!$B$21+'Inputs'!$B$9+'Inputs'!$B$10))^2+('Inputs'!$B$6/2)^2))))*'Results'!$B$8))),"")</x:f>
        <x:v>0.9043028127464463</x:v>
      </x:c>
      <x:c r="O764" t="n">
        <x:f>IF(AND(ISNUMBER('Results'!C7),ISNUMBER('Results'!B7),ISNUMBER('Results'!$B$8),ISNUMBER('Inputs'!$B$6),ISNUMBER('Inputs'!$B$7),ISNUMBER('Inputs'!$B$8),ISNUMBER('Inputs'!$B$9),ISNUMBER('Inputs'!$B$10),ISNUMBER('Inputs'!$B$21),ISNUMBER('Inputs'!$B$24),ISNUMBER('Inputs'!$B$28)),((('Results'!C7*(1+'Inputs'!$B$24)*(0.5*((((764-43)*MAX('Inputs'!$B$33,'Inputs'!$B$29+'Inputs'!$B$31+'Inputs'!$B$32,'Inputs'!$B$30+'Inputs'!$B$31+'Inputs'!$B$32)/1000+'Inputs'!$B$21)+'Inputs'!$B$9)/SQRT((((764-43)*MAX('Inputs'!$B$33,'Inputs'!$B$29+'Inputs'!$B$31+'Inputs'!$B$32,'Inputs'!$B$30+'Inputs'!$B$31+'Inputs'!$B$32)/1000+'Inputs'!$B$21)+'Inputs'!$B$9)^2+('Inputs'!$B$8/2)^2)-(((764-43)*MAX('Inputs'!$B$33,'Inputs'!$B$29+'Inputs'!$B$31+'Inputs'!$B$32,'Inputs'!$B$30+'Inputs'!$B$31+'Inputs'!$B$32)/1000+'Inputs'!$B$21))/SQRT((((764-43)*MAX('Inputs'!$B$33,'Inputs'!$B$29+'Inputs'!$B$31+'Inputs'!$B$32,'Inputs'!$B$30+'Inputs'!$B$31+'Inputs'!$B$32)/1000+'Inputs'!$B$21))^2+('Inputs'!$B$8/2)^2)))-'Results'!B7*(1-'Inputs'!$B$24)*(0.5*((((764-43)*MAX('Inputs'!$B$33,'Inputs'!$B$29+'Inputs'!$B$31+'Inputs'!$B$32,'Inputs'!$B$30+'Inputs'!$B$31+'Inputs'!$B$32)/1000+'Inputs'!$B$21+'Inputs'!$B$9+'Inputs'!$B$10)+'Inputs'!$B$7)/SQRT((((764-43)*MAX('Inputs'!$B$33,'Inputs'!$B$29+'Inputs'!$B$31+'Inputs'!$B$32,'Inputs'!$B$30+'Inputs'!$B$31+'Inputs'!$B$32)/1000+'Inputs'!$B$21+'Inputs'!$B$9+'Inputs'!$B$10)+'Inputs'!$B$7)^2+('Inputs'!$B$6/2)^2)-(((764-43)*MAX('Inputs'!$B$33,'Inputs'!$B$29+'Inputs'!$B$31+'Inputs'!$B$32,'Inputs'!$B$30+'Inputs'!$B$31+'Inputs'!$B$32)/1000+'Inputs'!$B$21+'Inputs'!$B$9+'Inputs'!$B$10))/SQRT((((764-43)*MAX('Inputs'!$B$33,'Inputs'!$B$29+'Inputs'!$B$31+'Inputs'!$B$32,'Inputs'!$B$30+'Inputs'!$B$31+'Inputs'!$B$32)/1000+'Inputs'!$B$21+'Inputs'!$B$9+'Inputs'!$B$10))^2+('Inputs'!$B$6/2)^2))))*'Results'!$B$8)+'Inputs'!$B$28*ABS((('Results'!C7*(1+'Inputs'!$B$24)*(0.5*((((764-43)*MAX('Inputs'!$B$33,'Inputs'!$B$29+'Inputs'!$B$31+'Inputs'!$B$32,'Inputs'!$B$30+'Inputs'!$B$31+'Inputs'!$B$32)/1000+'Inputs'!$B$21)+'Inputs'!$B$9)/SQRT((((764-43)*MAX('Inputs'!$B$33,'Inputs'!$B$29+'Inputs'!$B$31+'Inputs'!$B$32,'Inputs'!$B$30+'Inputs'!$B$31+'Inputs'!$B$32)/1000+'Inputs'!$B$21)+'Inputs'!$B$9)^2+('Inputs'!$B$8/2)^2)-(((764-43)*MAX('Inputs'!$B$33,'Inputs'!$B$29+'Inputs'!$B$31+'Inputs'!$B$32,'Inputs'!$B$30+'Inputs'!$B$31+'Inputs'!$B$32)/1000+'Inputs'!$B$21))/SQRT((((764-43)*MAX('Inputs'!$B$33,'Inputs'!$B$29+'Inputs'!$B$31+'Inputs'!$B$32,'Inputs'!$B$30+'Inputs'!$B$31+'Inputs'!$B$32)/1000+'Inputs'!$B$21))^2+('Inputs'!$B$8/2)^2)))-'Results'!B7*(1-'Inputs'!$B$24)*(0.5*((((764-43)*MAX('Inputs'!$B$33,'Inputs'!$B$29+'Inputs'!$B$31+'Inputs'!$B$32,'Inputs'!$B$30+'Inputs'!$B$31+'Inputs'!$B$32)/1000+'Inputs'!$B$21+'Inputs'!$B$9+'Inputs'!$B$10)+'Inputs'!$B$7)/SQRT((((764-43)*MAX('Inputs'!$B$33,'Inputs'!$B$29+'Inputs'!$B$31+'Inputs'!$B$32,'Inputs'!$B$30+'Inputs'!$B$31+'Inputs'!$B$32)/1000+'Inputs'!$B$21+'Inputs'!$B$9+'Inputs'!$B$10)+'Inputs'!$B$7)^2+('Inputs'!$B$6/2)^2)-(((764-43)*MAX('Inputs'!$B$33,'Inputs'!$B$29+'Inputs'!$B$31+'Inputs'!$B$32,'Inputs'!$B$30+'Inputs'!$B$31+'Inputs'!$B$32)/1000+'Inputs'!$B$21+'Inputs'!$B$9+'Inputs'!$B$10))/SQRT((((764-43)*MAX('Inputs'!$B$33,'Inputs'!$B$29+'Inputs'!$B$31+'Inputs'!$B$32,'Inputs'!$B$30+'Inputs'!$B$31+'Inputs'!$B$32)/1000+'Inputs'!$B$21+'Inputs'!$B$9+'Inputs'!$B$10))^2+('Inputs'!$B$6/2)^2))))*'Results'!$B$8))),"")</x:f>
        <x:v>1.2203011310274712</x:v>
      </x:c>
      <x:c r="P764" t="n">
        <x:f>IF(AND(MAX(J764,J763)&gt;0,J764&gt;J763+0.00000001),1,0)</x:f>
        <x:v>0</x:v>
      </x:c>
      <x:c r="Q764" t="n">
        <x:f>IF(AND(MAX(K764,K763)&gt;0,K764&gt;K763+0.00000001),1,0)</x:f>
        <x:v>0</x:v>
      </x:c>
      <x:c r="R764" t="n">
        <x:f>IF(AND(MAX(L764,L763)&gt;0,L764&gt;L763+0.00000001),1,0)</x:f>
        <x:v>0</x:v>
      </x:c>
      <x:c r="S764" t="n">
        <x:f>IF(AND(MAX(M764,M763)&gt;0,M764&gt;M763+0.00000001),1,0)</x:f>
        <x:v>0</x:v>
      </x:c>
      <x:c r="T764" t="n">
        <x:f>IF(AND(MAX(N764,N763)&gt;0,N764&gt;N763+0.00000001),1,0)</x:f>
        <x:v>0</x:v>
      </x:c>
      <x:c r="U764" t="n">
        <x:f>IF(AND(MAX(O764,O763)&gt;0,O764&gt;O763+0.00000001),1,0)</x:f>
        <x:v>0</x:v>
      </x:c>
    </x:row>
    <x:row r="765">
      <x:c r="J765" t="n">
        <x:f>IF(AND(ISNUMBER('Results'!B7),ISNUMBER('Results'!C7),ISNUMBER('Results'!$B$8),ISNUMBER('Inputs'!$B$6),ISNUMBER('Inputs'!$B$7),ISNUMBER('Inputs'!$B$8),ISNUMBER('Inputs'!$B$9),ISNUMBER('Inputs'!$B$10),ISNUMBER('Inputs'!$B$21),ISNUMBER('Inputs'!$B$24),ISNUMBER('Inputs'!$B$28)),(('Results'!B7*(0.5*((((765-43)*MAX('Inputs'!$B$33,'Inputs'!$B$29+'Inputs'!$B$31+'Inputs'!$B$32,'Inputs'!$B$30+'Inputs'!$B$31+'Inputs'!$B$32)/1000+'Inputs'!$B$21)+'Inputs'!$B$7)/SQRT((((765-43)*MAX('Inputs'!$B$33,'Inputs'!$B$29+'Inputs'!$B$31+'Inputs'!$B$32,'Inputs'!$B$30+'Inputs'!$B$31+'Inputs'!$B$32)/1000+'Inputs'!$B$21)+'Inputs'!$B$7)^2+('Inputs'!$B$6/2)^2)-(((765-43)*MAX('Inputs'!$B$33,'Inputs'!$B$29+'Inputs'!$B$31+'Inputs'!$B$32,'Inputs'!$B$30+'Inputs'!$B$31+'Inputs'!$B$32)/1000+'Inputs'!$B$21))/SQRT((((765-43)*MAX('Inputs'!$B$33,'Inputs'!$B$29+'Inputs'!$B$31+'Inputs'!$B$32,'Inputs'!$B$30+'Inputs'!$B$31+'Inputs'!$B$32)/1000+'Inputs'!$B$21))^2+('Inputs'!$B$6/2)^2)))-'Results'!C7*(0.5*((((765-43)*MAX('Inputs'!$B$33,'Inputs'!$B$29+'Inputs'!$B$31+'Inputs'!$B$32,'Inputs'!$B$30+'Inputs'!$B$31+'Inputs'!$B$32)/1000+'Inputs'!$B$21+'Inputs'!$B$7+'Inputs'!$B$10)+'Inputs'!$B$9)/SQRT((((765-43)*MAX('Inputs'!$B$33,'Inputs'!$B$29+'Inputs'!$B$31+'Inputs'!$B$32,'Inputs'!$B$30+'Inputs'!$B$31+'Inputs'!$B$32)/1000+'Inputs'!$B$21+'Inputs'!$B$7+'Inputs'!$B$10)+'Inputs'!$B$9)^2+('Inputs'!$B$8/2)^2)-(((765-43)*MAX('Inputs'!$B$33,'Inputs'!$B$29+'Inputs'!$B$31+'Inputs'!$B$32,'Inputs'!$B$30+'Inputs'!$B$31+'Inputs'!$B$32)/1000+'Inputs'!$B$21+'Inputs'!$B$7+'Inputs'!$B$10))/SQRT((((765-43)*MAX('Inputs'!$B$33,'Inputs'!$B$29+'Inputs'!$B$31+'Inputs'!$B$32,'Inputs'!$B$30+'Inputs'!$B$31+'Inputs'!$B$32)/1000+'Inputs'!$B$21+'Inputs'!$B$7+'Inputs'!$B$10))^2+('Inputs'!$B$8/2)^2))))*'Results'!$B$8),"")</x:f>
        <x:v>1.1577488748700335</x:v>
      </x:c>
      <x:c r="K765" t="n">
        <x:f>IF(AND(ISNUMBER('Results'!B7),ISNUMBER('Results'!C7),ISNUMBER('Results'!$B$8),ISNUMBER('Inputs'!$B$6),ISNUMBER('Inputs'!$B$7),ISNUMBER('Inputs'!$B$8),ISNUMBER('Inputs'!$B$9),ISNUMBER('Inputs'!$B$10),ISNUMBER('Inputs'!$B$21),ISNUMBER('Inputs'!$B$24),ISNUMBER('Inputs'!$B$28)),((('Results'!B7*(1-'Inputs'!$B$24)*(0.5*((((765-43)*MAX('Inputs'!$B$33,'Inputs'!$B$29+'Inputs'!$B$31+'Inputs'!$B$32,'Inputs'!$B$30+'Inputs'!$B$31+'Inputs'!$B$32)/1000+'Inputs'!$B$21)+'Inputs'!$B$7)/SQRT((((765-43)*MAX('Inputs'!$B$33,'Inputs'!$B$29+'Inputs'!$B$31+'Inputs'!$B$32,'Inputs'!$B$30+'Inputs'!$B$31+'Inputs'!$B$32)/1000+'Inputs'!$B$21)+'Inputs'!$B$7)^2+('Inputs'!$B$6/2)^2)-(((765-43)*MAX('Inputs'!$B$33,'Inputs'!$B$29+'Inputs'!$B$31+'Inputs'!$B$32,'Inputs'!$B$30+'Inputs'!$B$31+'Inputs'!$B$32)/1000+'Inputs'!$B$21))/SQRT((((765-43)*MAX('Inputs'!$B$33,'Inputs'!$B$29+'Inputs'!$B$31+'Inputs'!$B$32,'Inputs'!$B$30+'Inputs'!$B$31+'Inputs'!$B$32)/1000+'Inputs'!$B$21))^2+('Inputs'!$B$6/2)^2)))-'Results'!C7*(1+'Inputs'!$B$24)*(0.5*((((765-43)*MAX('Inputs'!$B$33,'Inputs'!$B$29+'Inputs'!$B$31+'Inputs'!$B$32,'Inputs'!$B$30+'Inputs'!$B$31+'Inputs'!$B$32)/1000+'Inputs'!$B$21+'Inputs'!$B$7+'Inputs'!$B$10)+'Inputs'!$B$9)/SQRT((((765-43)*MAX('Inputs'!$B$33,'Inputs'!$B$29+'Inputs'!$B$31+'Inputs'!$B$32,'Inputs'!$B$30+'Inputs'!$B$31+'Inputs'!$B$32)/1000+'Inputs'!$B$21+'Inputs'!$B$7+'Inputs'!$B$10)+'Inputs'!$B$9)^2+('Inputs'!$B$8/2)^2)-(((765-43)*MAX('Inputs'!$B$33,'Inputs'!$B$29+'Inputs'!$B$31+'Inputs'!$B$32,'Inputs'!$B$30+'Inputs'!$B$31+'Inputs'!$B$32)/1000+'Inputs'!$B$21+'Inputs'!$B$7+'Inputs'!$B$10))/SQRT((((765-43)*MAX('Inputs'!$B$33,'Inputs'!$B$29+'Inputs'!$B$31+'Inputs'!$B$32,'Inputs'!$B$30+'Inputs'!$B$31+'Inputs'!$B$32)/1000+'Inputs'!$B$21+'Inputs'!$B$7+'Inputs'!$B$10))^2+('Inputs'!$B$8/2)^2))))*'Results'!$B$8)-'Inputs'!$B$28*ABS((('Results'!B7*(1-'Inputs'!$B$24)*(0.5*((((765-43)*MAX('Inputs'!$B$33,'Inputs'!$B$29+'Inputs'!$B$31+'Inputs'!$B$32,'Inputs'!$B$30+'Inputs'!$B$31+'Inputs'!$B$32)/1000+'Inputs'!$B$21)+'Inputs'!$B$7)/SQRT((((765-43)*MAX('Inputs'!$B$33,'Inputs'!$B$29+'Inputs'!$B$31+'Inputs'!$B$32,'Inputs'!$B$30+'Inputs'!$B$31+'Inputs'!$B$32)/1000+'Inputs'!$B$21)+'Inputs'!$B$7)^2+('Inputs'!$B$6/2)^2)-(((765-43)*MAX('Inputs'!$B$33,'Inputs'!$B$29+'Inputs'!$B$31+'Inputs'!$B$32,'Inputs'!$B$30+'Inputs'!$B$31+'Inputs'!$B$32)/1000+'Inputs'!$B$21))/SQRT((((765-43)*MAX('Inputs'!$B$33,'Inputs'!$B$29+'Inputs'!$B$31+'Inputs'!$B$32,'Inputs'!$B$30+'Inputs'!$B$31+'Inputs'!$B$32)/1000+'Inputs'!$B$21))^2+('Inputs'!$B$6/2)^2)))-'Results'!C7*(1+'Inputs'!$B$24)*(0.5*((((765-43)*MAX('Inputs'!$B$33,'Inputs'!$B$29+'Inputs'!$B$31+'Inputs'!$B$32,'Inputs'!$B$30+'Inputs'!$B$31+'Inputs'!$B$32)/1000+'Inputs'!$B$21+'Inputs'!$B$7+'Inputs'!$B$10)+'Inputs'!$B$9)/SQRT((((765-43)*MAX('Inputs'!$B$33,'Inputs'!$B$29+'Inputs'!$B$31+'Inputs'!$B$32,'Inputs'!$B$30+'Inputs'!$B$31+'Inputs'!$B$32)/1000+'Inputs'!$B$21+'Inputs'!$B$7+'Inputs'!$B$10)+'Inputs'!$B$9)^2+('Inputs'!$B$8/2)^2)-(((765-43)*MAX('Inputs'!$B$33,'Inputs'!$B$29+'Inputs'!$B$31+'Inputs'!$B$32,'Inputs'!$B$30+'Inputs'!$B$31+'Inputs'!$B$32)/1000+'Inputs'!$B$21+'Inputs'!$B$7+'Inputs'!$B$10))/SQRT((((765-43)*MAX('Inputs'!$B$33,'Inputs'!$B$29+'Inputs'!$B$31+'Inputs'!$B$32,'Inputs'!$B$30+'Inputs'!$B$31+'Inputs'!$B$32)/1000+'Inputs'!$B$21+'Inputs'!$B$7+'Inputs'!$B$10))^2+('Inputs'!$B$8/2)^2))))*'Results'!$B$8))),"")</x:f>
        <x:v>0.9999260530565499</x:v>
      </x:c>
      <x:c r="L765" t="n">
        <x:f>IF(AND(ISNUMBER('Results'!B7),ISNUMBER('Results'!C7),ISNUMBER('Results'!$B$8),ISNUMBER('Inputs'!$B$6),ISNUMBER('Inputs'!$B$7),ISNUMBER('Inputs'!$B$8),ISNUMBER('Inputs'!$B$9),ISNUMBER('Inputs'!$B$10),ISNUMBER('Inputs'!$B$21),ISNUMBER('Inputs'!$B$24),ISNUMBER('Inputs'!$B$28)),((('Results'!B7*(1+'Inputs'!$B$24)*(0.5*((((765-43)*MAX('Inputs'!$B$33,'Inputs'!$B$29+'Inputs'!$B$31+'Inputs'!$B$32,'Inputs'!$B$30+'Inputs'!$B$31+'Inputs'!$B$32)/1000+'Inputs'!$B$21)+'Inputs'!$B$7)/SQRT((((765-43)*MAX('Inputs'!$B$33,'Inputs'!$B$29+'Inputs'!$B$31+'Inputs'!$B$32,'Inputs'!$B$30+'Inputs'!$B$31+'Inputs'!$B$32)/1000+'Inputs'!$B$21)+'Inputs'!$B$7)^2+('Inputs'!$B$6/2)^2)-(((765-43)*MAX('Inputs'!$B$33,'Inputs'!$B$29+'Inputs'!$B$31+'Inputs'!$B$32,'Inputs'!$B$30+'Inputs'!$B$31+'Inputs'!$B$32)/1000+'Inputs'!$B$21))/SQRT((((765-43)*MAX('Inputs'!$B$33,'Inputs'!$B$29+'Inputs'!$B$31+'Inputs'!$B$32,'Inputs'!$B$30+'Inputs'!$B$31+'Inputs'!$B$32)/1000+'Inputs'!$B$21))^2+('Inputs'!$B$6/2)^2)))-'Results'!C7*(1-'Inputs'!$B$24)*(0.5*((((765-43)*MAX('Inputs'!$B$33,'Inputs'!$B$29+'Inputs'!$B$31+'Inputs'!$B$32,'Inputs'!$B$30+'Inputs'!$B$31+'Inputs'!$B$32)/1000+'Inputs'!$B$21+'Inputs'!$B$7+'Inputs'!$B$10)+'Inputs'!$B$9)/SQRT((((765-43)*MAX('Inputs'!$B$33,'Inputs'!$B$29+'Inputs'!$B$31+'Inputs'!$B$32,'Inputs'!$B$30+'Inputs'!$B$31+'Inputs'!$B$32)/1000+'Inputs'!$B$21+'Inputs'!$B$7+'Inputs'!$B$10)+'Inputs'!$B$9)^2+('Inputs'!$B$8/2)^2)-(((765-43)*MAX('Inputs'!$B$33,'Inputs'!$B$29+'Inputs'!$B$31+'Inputs'!$B$32,'Inputs'!$B$30+'Inputs'!$B$31+'Inputs'!$B$32)/1000+'Inputs'!$B$21+'Inputs'!$B$7+'Inputs'!$B$10))/SQRT((((765-43)*MAX('Inputs'!$B$33,'Inputs'!$B$29+'Inputs'!$B$31+'Inputs'!$B$32,'Inputs'!$B$30+'Inputs'!$B$31+'Inputs'!$B$32)/1000+'Inputs'!$B$21+'Inputs'!$B$7+'Inputs'!$B$10))^2+('Inputs'!$B$8/2)^2))))*'Results'!$B$8)+'Inputs'!$B$28*ABS((('Results'!B7*(1+'Inputs'!$B$24)*(0.5*((((765-43)*MAX('Inputs'!$B$33,'Inputs'!$B$29+'Inputs'!$B$31+'Inputs'!$B$32,'Inputs'!$B$30+'Inputs'!$B$31+'Inputs'!$B$32)/1000+'Inputs'!$B$21)+'Inputs'!$B$7)/SQRT((((765-43)*MAX('Inputs'!$B$33,'Inputs'!$B$29+'Inputs'!$B$31+'Inputs'!$B$32,'Inputs'!$B$30+'Inputs'!$B$31+'Inputs'!$B$32)/1000+'Inputs'!$B$21)+'Inputs'!$B$7)^2+('Inputs'!$B$6/2)^2)-(((765-43)*MAX('Inputs'!$B$33,'Inputs'!$B$29+'Inputs'!$B$31+'Inputs'!$B$32,'Inputs'!$B$30+'Inputs'!$B$31+'Inputs'!$B$32)/1000+'Inputs'!$B$21))/SQRT((((765-43)*MAX('Inputs'!$B$33,'Inputs'!$B$29+'Inputs'!$B$31+'Inputs'!$B$32,'Inputs'!$B$30+'Inputs'!$B$31+'Inputs'!$B$32)/1000+'Inputs'!$B$21))^2+('Inputs'!$B$6/2)^2)))-'Results'!C7*(1-'Inputs'!$B$24)*(0.5*((((765-43)*MAX('Inputs'!$B$33,'Inputs'!$B$29+'Inputs'!$B$31+'Inputs'!$B$32,'Inputs'!$B$30+'Inputs'!$B$31+'Inputs'!$B$32)/1000+'Inputs'!$B$21+'Inputs'!$B$7+'Inputs'!$B$10)+'Inputs'!$B$9)/SQRT((((765-43)*MAX('Inputs'!$B$33,'Inputs'!$B$29+'Inputs'!$B$31+'Inputs'!$B$32,'Inputs'!$B$30+'Inputs'!$B$31+'Inputs'!$B$32)/1000+'Inputs'!$B$21+'Inputs'!$B$7+'Inputs'!$B$10)+'Inputs'!$B$9)^2+('Inputs'!$B$8/2)^2)-(((765-43)*MAX('Inputs'!$B$33,'Inputs'!$B$29+'Inputs'!$B$31+'Inputs'!$B$32,'Inputs'!$B$30+'Inputs'!$B$31+'Inputs'!$B$32)/1000+'Inputs'!$B$21+'Inputs'!$B$7+'Inputs'!$B$10))/SQRT((((765-43)*MAX('Inputs'!$B$33,'Inputs'!$B$29+'Inputs'!$B$31+'Inputs'!$B$32,'Inputs'!$B$30+'Inputs'!$B$31+'Inputs'!$B$32)/1000+'Inputs'!$B$21+'Inputs'!$B$7+'Inputs'!$B$10))^2+('Inputs'!$B$8/2)^2))))*'Results'!$B$8))),"")</x:f>
        <x:v>1.326091210164568</x:v>
      </x:c>
      <x:c r="M765" t="n">
        <x:f>IF(AND(ISNUMBER('Results'!C7),ISNUMBER('Results'!B7),ISNUMBER('Results'!$B$8),ISNUMBER('Inputs'!$B$6),ISNUMBER('Inputs'!$B$7),ISNUMBER('Inputs'!$B$8),ISNUMBER('Inputs'!$B$9),ISNUMBER('Inputs'!$B$10),ISNUMBER('Inputs'!$B$21),ISNUMBER('Inputs'!$B$24),ISNUMBER('Inputs'!$B$28)),(('Results'!C7*(0.5*((((765-43)*MAX('Inputs'!$B$33,'Inputs'!$B$29+'Inputs'!$B$31+'Inputs'!$B$32,'Inputs'!$B$30+'Inputs'!$B$31+'Inputs'!$B$32)/1000+'Inputs'!$B$21)+'Inputs'!$B$9)/SQRT((((765-43)*MAX('Inputs'!$B$33,'Inputs'!$B$29+'Inputs'!$B$31+'Inputs'!$B$32,'Inputs'!$B$30+'Inputs'!$B$31+'Inputs'!$B$32)/1000+'Inputs'!$B$21)+'Inputs'!$B$9)^2+('Inputs'!$B$8/2)^2)-(((765-43)*MAX('Inputs'!$B$33,'Inputs'!$B$29+'Inputs'!$B$31+'Inputs'!$B$32,'Inputs'!$B$30+'Inputs'!$B$31+'Inputs'!$B$32)/1000+'Inputs'!$B$21))/SQRT((((765-43)*MAX('Inputs'!$B$33,'Inputs'!$B$29+'Inputs'!$B$31+'Inputs'!$B$32,'Inputs'!$B$30+'Inputs'!$B$31+'Inputs'!$B$32)/1000+'Inputs'!$B$21))^2+('Inputs'!$B$8/2)^2)))-'Results'!B7*(0.5*((((765-43)*MAX('Inputs'!$B$33,'Inputs'!$B$29+'Inputs'!$B$31+'Inputs'!$B$32,'Inputs'!$B$30+'Inputs'!$B$31+'Inputs'!$B$32)/1000+'Inputs'!$B$21+'Inputs'!$B$9+'Inputs'!$B$10)+'Inputs'!$B$7)/SQRT((((765-43)*MAX('Inputs'!$B$33,'Inputs'!$B$29+'Inputs'!$B$31+'Inputs'!$B$32,'Inputs'!$B$30+'Inputs'!$B$31+'Inputs'!$B$32)/1000+'Inputs'!$B$21+'Inputs'!$B$9+'Inputs'!$B$10)+'Inputs'!$B$7)^2+('Inputs'!$B$6/2)^2)-(((765-43)*MAX('Inputs'!$B$33,'Inputs'!$B$29+'Inputs'!$B$31+'Inputs'!$B$32,'Inputs'!$B$30+'Inputs'!$B$31+'Inputs'!$B$32)/1000+'Inputs'!$B$21+'Inputs'!$B$9+'Inputs'!$B$10))/SQRT((((765-43)*MAX('Inputs'!$B$33,'Inputs'!$B$29+'Inputs'!$B$31+'Inputs'!$B$32,'Inputs'!$B$30+'Inputs'!$B$31+'Inputs'!$B$32)/1000+'Inputs'!$B$21+'Inputs'!$B$9+'Inputs'!$B$10))^2+('Inputs'!$B$6/2)^2))))*'Results'!$B$8),"")</x:f>
        <x:v>1.0517165955971477</x:v>
      </x:c>
      <x:c r="N765" t="n">
        <x:f>IF(AND(ISNUMBER('Results'!C7),ISNUMBER('Results'!B7),ISNUMBER('Results'!$B$8),ISNUMBER('Inputs'!$B$6),ISNUMBER('Inputs'!$B$7),ISNUMBER('Inputs'!$B$8),ISNUMBER('Inputs'!$B$9),ISNUMBER('Inputs'!$B$10),ISNUMBER('Inputs'!$B$21),ISNUMBER('Inputs'!$B$24),ISNUMBER('Inputs'!$B$28)),((('Results'!C7*(1-'Inputs'!$B$24)*(0.5*((((765-43)*MAX('Inputs'!$B$33,'Inputs'!$B$29+'Inputs'!$B$31+'Inputs'!$B$32,'Inputs'!$B$30+'Inputs'!$B$31+'Inputs'!$B$32)/1000+'Inputs'!$B$21)+'Inputs'!$B$9)/SQRT((((765-43)*MAX('Inputs'!$B$33,'Inputs'!$B$29+'Inputs'!$B$31+'Inputs'!$B$32,'Inputs'!$B$30+'Inputs'!$B$31+'Inputs'!$B$32)/1000+'Inputs'!$B$21)+'Inputs'!$B$9)^2+('Inputs'!$B$8/2)^2)-(((765-43)*MAX('Inputs'!$B$33,'Inputs'!$B$29+'Inputs'!$B$31+'Inputs'!$B$32,'Inputs'!$B$30+'Inputs'!$B$31+'Inputs'!$B$32)/1000+'Inputs'!$B$21))/SQRT((((765-43)*MAX('Inputs'!$B$33,'Inputs'!$B$29+'Inputs'!$B$31+'Inputs'!$B$32,'Inputs'!$B$30+'Inputs'!$B$31+'Inputs'!$B$32)/1000+'Inputs'!$B$21))^2+('Inputs'!$B$8/2)^2)))-'Results'!B7*(1+'Inputs'!$B$24)*(0.5*((((765-43)*MAX('Inputs'!$B$33,'Inputs'!$B$29+'Inputs'!$B$31+'Inputs'!$B$32,'Inputs'!$B$30+'Inputs'!$B$31+'Inputs'!$B$32)/1000+'Inputs'!$B$21+'Inputs'!$B$9+'Inputs'!$B$10)+'Inputs'!$B$7)/SQRT((((765-43)*MAX('Inputs'!$B$33,'Inputs'!$B$29+'Inputs'!$B$31+'Inputs'!$B$32,'Inputs'!$B$30+'Inputs'!$B$31+'Inputs'!$B$32)/1000+'Inputs'!$B$21+'Inputs'!$B$9+'Inputs'!$B$10)+'Inputs'!$B$7)^2+('Inputs'!$B$6/2)^2)-(((765-43)*MAX('Inputs'!$B$33,'Inputs'!$B$29+'Inputs'!$B$31+'Inputs'!$B$32,'Inputs'!$B$30+'Inputs'!$B$31+'Inputs'!$B$32)/1000+'Inputs'!$B$21+'Inputs'!$B$9+'Inputs'!$B$10))/SQRT((((765-43)*MAX('Inputs'!$B$33,'Inputs'!$B$29+'Inputs'!$B$31+'Inputs'!$B$32,'Inputs'!$B$30+'Inputs'!$B$31+'Inputs'!$B$32)/1000+'Inputs'!$B$21+'Inputs'!$B$9+'Inputs'!$B$10))^2+('Inputs'!$B$6/2)^2))))*'Results'!$B$8)-'Inputs'!$B$28*ABS((('Results'!C7*(1-'Inputs'!$B$24)*(0.5*((((765-43)*MAX('Inputs'!$B$33,'Inputs'!$B$29+'Inputs'!$B$31+'Inputs'!$B$32,'Inputs'!$B$30+'Inputs'!$B$31+'Inputs'!$B$32)/1000+'Inputs'!$B$21)+'Inputs'!$B$9)/SQRT((((765-43)*MAX('Inputs'!$B$33,'Inputs'!$B$29+'Inputs'!$B$31+'Inputs'!$B$32,'Inputs'!$B$30+'Inputs'!$B$31+'Inputs'!$B$32)/1000+'Inputs'!$B$21)+'Inputs'!$B$9)^2+('Inputs'!$B$8/2)^2)-(((765-43)*MAX('Inputs'!$B$33,'Inputs'!$B$29+'Inputs'!$B$31+'Inputs'!$B$32,'Inputs'!$B$30+'Inputs'!$B$31+'Inputs'!$B$32)/1000+'Inputs'!$B$21))/SQRT((((765-43)*MAX('Inputs'!$B$33,'Inputs'!$B$29+'Inputs'!$B$31+'Inputs'!$B$32,'Inputs'!$B$30+'Inputs'!$B$31+'Inputs'!$B$32)/1000+'Inputs'!$B$21))^2+('Inputs'!$B$8/2)^2)))-'Results'!B7*(1+'Inputs'!$B$24)*(0.5*((((765-43)*MAX('Inputs'!$B$33,'Inputs'!$B$29+'Inputs'!$B$31+'Inputs'!$B$32,'Inputs'!$B$30+'Inputs'!$B$31+'Inputs'!$B$32)/1000+'Inputs'!$B$21+'Inputs'!$B$9+'Inputs'!$B$10)+'Inputs'!$B$7)/SQRT((((765-43)*MAX('Inputs'!$B$33,'Inputs'!$B$29+'Inputs'!$B$31+'Inputs'!$B$32,'Inputs'!$B$30+'Inputs'!$B$31+'Inputs'!$B$32)/1000+'Inputs'!$B$21+'Inputs'!$B$9+'Inputs'!$B$10)+'Inputs'!$B$7)^2+('Inputs'!$B$6/2)^2)-(((765-43)*MAX('Inputs'!$B$33,'Inputs'!$B$29+'Inputs'!$B$31+'Inputs'!$B$32,'Inputs'!$B$30+'Inputs'!$B$31+'Inputs'!$B$32)/1000+'Inputs'!$B$21+'Inputs'!$B$9+'Inputs'!$B$10))/SQRT((((765-43)*MAX('Inputs'!$B$33,'Inputs'!$B$29+'Inputs'!$B$31+'Inputs'!$B$32,'Inputs'!$B$30+'Inputs'!$B$31+'Inputs'!$B$32)/1000+'Inputs'!$B$21+'Inputs'!$B$9+'Inputs'!$B$10))^2+('Inputs'!$B$6/2)^2))))*'Results'!$B$8))),"")</x:f>
        <x:v>0.8996194265749738</x:v>
      </x:c>
      <x:c r="O765" t="n">
        <x:f>IF(AND(ISNUMBER('Results'!C7),ISNUMBER('Results'!B7),ISNUMBER('Results'!$B$8),ISNUMBER('Inputs'!$B$6),ISNUMBER('Inputs'!$B$7),ISNUMBER('Inputs'!$B$8),ISNUMBER('Inputs'!$B$9),ISNUMBER('Inputs'!$B$10),ISNUMBER('Inputs'!$B$21),ISNUMBER('Inputs'!$B$24),ISNUMBER('Inputs'!$B$28)),((('Results'!C7*(1+'Inputs'!$B$24)*(0.5*((((765-43)*MAX('Inputs'!$B$33,'Inputs'!$B$29+'Inputs'!$B$31+'Inputs'!$B$32,'Inputs'!$B$30+'Inputs'!$B$31+'Inputs'!$B$32)/1000+'Inputs'!$B$21)+'Inputs'!$B$9)/SQRT((((765-43)*MAX('Inputs'!$B$33,'Inputs'!$B$29+'Inputs'!$B$31+'Inputs'!$B$32,'Inputs'!$B$30+'Inputs'!$B$31+'Inputs'!$B$32)/1000+'Inputs'!$B$21)+'Inputs'!$B$9)^2+('Inputs'!$B$8/2)^2)-(((765-43)*MAX('Inputs'!$B$33,'Inputs'!$B$29+'Inputs'!$B$31+'Inputs'!$B$32,'Inputs'!$B$30+'Inputs'!$B$31+'Inputs'!$B$32)/1000+'Inputs'!$B$21))/SQRT((((765-43)*MAX('Inputs'!$B$33,'Inputs'!$B$29+'Inputs'!$B$31+'Inputs'!$B$32,'Inputs'!$B$30+'Inputs'!$B$31+'Inputs'!$B$32)/1000+'Inputs'!$B$21))^2+('Inputs'!$B$8/2)^2)))-'Results'!B7*(1-'Inputs'!$B$24)*(0.5*((((765-43)*MAX('Inputs'!$B$33,'Inputs'!$B$29+'Inputs'!$B$31+'Inputs'!$B$32,'Inputs'!$B$30+'Inputs'!$B$31+'Inputs'!$B$32)/1000+'Inputs'!$B$21+'Inputs'!$B$9+'Inputs'!$B$10)+'Inputs'!$B$7)/SQRT((((765-43)*MAX('Inputs'!$B$33,'Inputs'!$B$29+'Inputs'!$B$31+'Inputs'!$B$32,'Inputs'!$B$30+'Inputs'!$B$31+'Inputs'!$B$32)/1000+'Inputs'!$B$21+'Inputs'!$B$9+'Inputs'!$B$10)+'Inputs'!$B$7)^2+('Inputs'!$B$6/2)^2)-(((765-43)*MAX('Inputs'!$B$33,'Inputs'!$B$29+'Inputs'!$B$31+'Inputs'!$B$32,'Inputs'!$B$30+'Inputs'!$B$31+'Inputs'!$B$32)/1000+'Inputs'!$B$21+'Inputs'!$B$9+'Inputs'!$B$10))/SQRT((((765-43)*MAX('Inputs'!$B$33,'Inputs'!$B$29+'Inputs'!$B$31+'Inputs'!$B$32,'Inputs'!$B$30+'Inputs'!$B$31+'Inputs'!$B$32)/1000+'Inputs'!$B$21+'Inputs'!$B$9+'Inputs'!$B$10))^2+('Inputs'!$B$6/2)^2))))*'Results'!$B$8)+'Inputs'!$B$28*ABS((('Results'!C7*(1+'Inputs'!$B$24)*(0.5*((((765-43)*MAX('Inputs'!$B$33,'Inputs'!$B$29+'Inputs'!$B$31+'Inputs'!$B$32,'Inputs'!$B$30+'Inputs'!$B$31+'Inputs'!$B$32)/1000+'Inputs'!$B$21)+'Inputs'!$B$9)/SQRT((((765-43)*MAX('Inputs'!$B$33,'Inputs'!$B$29+'Inputs'!$B$31+'Inputs'!$B$32,'Inputs'!$B$30+'Inputs'!$B$31+'Inputs'!$B$32)/1000+'Inputs'!$B$21)+'Inputs'!$B$9)^2+('Inputs'!$B$8/2)^2)-(((765-43)*MAX('Inputs'!$B$33,'Inputs'!$B$29+'Inputs'!$B$31+'Inputs'!$B$32,'Inputs'!$B$30+'Inputs'!$B$31+'Inputs'!$B$32)/1000+'Inputs'!$B$21))/SQRT((((765-43)*MAX('Inputs'!$B$33,'Inputs'!$B$29+'Inputs'!$B$31+'Inputs'!$B$32,'Inputs'!$B$30+'Inputs'!$B$31+'Inputs'!$B$32)/1000+'Inputs'!$B$21))^2+('Inputs'!$B$8/2)^2)))-'Results'!B7*(1-'Inputs'!$B$24)*(0.5*((((765-43)*MAX('Inputs'!$B$33,'Inputs'!$B$29+'Inputs'!$B$31+'Inputs'!$B$32,'Inputs'!$B$30+'Inputs'!$B$31+'Inputs'!$B$32)/1000+'Inputs'!$B$21+'Inputs'!$B$9+'Inputs'!$B$10)+'Inputs'!$B$7)/SQRT((((765-43)*MAX('Inputs'!$B$33,'Inputs'!$B$29+'Inputs'!$B$31+'Inputs'!$B$32,'Inputs'!$B$30+'Inputs'!$B$31+'Inputs'!$B$32)/1000+'Inputs'!$B$21+'Inputs'!$B$9+'Inputs'!$B$10)+'Inputs'!$B$7)^2+('Inputs'!$B$6/2)^2)-(((765-43)*MAX('Inputs'!$B$33,'Inputs'!$B$29+'Inputs'!$B$31+'Inputs'!$B$32,'Inputs'!$B$30+'Inputs'!$B$31+'Inputs'!$B$32)/1000+'Inputs'!$B$21+'Inputs'!$B$9+'Inputs'!$B$10))/SQRT((((765-43)*MAX('Inputs'!$B$33,'Inputs'!$B$29+'Inputs'!$B$31+'Inputs'!$B$32,'Inputs'!$B$30+'Inputs'!$B$31+'Inputs'!$B$32)/1000+'Inputs'!$B$21+'Inputs'!$B$9+'Inputs'!$B$10))^2+('Inputs'!$B$6/2)^2))))*'Results'!$B$8))),"")</x:f>
        <x:v>1.2142886424343027</x:v>
      </x:c>
      <x:c r="P765" t="n">
        <x:f>IF(AND(MAX(J765,J764)&gt;0,J765&gt;J764+0.00000001),1,0)</x:f>
        <x:v>0</x:v>
      </x:c>
      <x:c r="Q765" t="n">
        <x:f>IF(AND(MAX(K765,K764)&gt;0,K765&gt;K764+0.00000001),1,0)</x:f>
        <x:v>0</x:v>
      </x:c>
      <x:c r="R765" t="n">
        <x:f>IF(AND(MAX(L765,L764)&gt;0,L765&gt;L764+0.00000001),1,0)</x:f>
        <x:v>0</x:v>
      </x:c>
      <x:c r="S765" t="n">
        <x:f>IF(AND(MAX(M765,M764)&gt;0,M765&gt;M764+0.00000001),1,0)</x:f>
        <x:v>0</x:v>
      </x:c>
      <x:c r="T765" t="n">
        <x:f>IF(AND(MAX(N765,N764)&gt;0,N765&gt;N764+0.00000001),1,0)</x:f>
        <x:v>0</x:v>
      </x:c>
      <x:c r="U765" t="n">
        <x:f>IF(AND(MAX(O765,O764)&gt;0,O765&gt;O764+0.00000001),1,0)</x:f>
        <x:v>0</x:v>
      </x:c>
    </x:row>
    <x:row r="766">
      <x:c r="J766" t="n">
        <x:f>IF(AND(ISNUMBER('Results'!B7),ISNUMBER('Results'!C7),ISNUMBER('Results'!$B$8),ISNUMBER('Inputs'!$B$6),ISNUMBER('Inputs'!$B$7),ISNUMBER('Inputs'!$B$8),ISNUMBER('Inputs'!$B$9),ISNUMBER('Inputs'!$B$10),ISNUMBER('Inputs'!$B$21),ISNUMBER('Inputs'!$B$24),ISNUMBER('Inputs'!$B$28)),(('Results'!B7*(0.5*((((766-43)*MAX('Inputs'!$B$33,'Inputs'!$B$29+'Inputs'!$B$31+'Inputs'!$B$32,'Inputs'!$B$30+'Inputs'!$B$31+'Inputs'!$B$32)/1000+'Inputs'!$B$21)+'Inputs'!$B$7)/SQRT((((766-43)*MAX('Inputs'!$B$33,'Inputs'!$B$29+'Inputs'!$B$31+'Inputs'!$B$32,'Inputs'!$B$30+'Inputs'!$B$31+'Inputs'!$B$32)/1000+'Inputs'!$B$21)+'Inputs'!$B$7)^2+('Inputs'!$B$6/2)^2)-(((766-43)*MAX('Inputs'!$B$33,'Inputs'!$B$29+'Inputs'!$B$31+'Inputs'!$B$32,'Inputs'!$B$30+'Inputs'!$B$31+'Inputs'!$B$32)/1000+'Inputs'!$B$21))/SQRT((((766-43)*MAX('Inputs'!$B$33,'Inputs'!$B$29+'Inputs'!$B$31+'Inputs'!$B$32,'Inputs'!$B$30+'Inputs'!$B$31+'Inputs'!$B$32)/1000+'Inputs'!$B$21))^2+('Inputs'!$B$6/2)^2)))-'Results'!C7*(0.5*((((766-43)*MAX('Inputs'!$B$33,'Inputs'!$B$29+'Inputs'!$B$31+'Inputs'!$B$32,'Inputs'!$B$30+'Inputs'!$B$31+'Inputs'!$B$32)/1000+'Inputs'!$B$21+'Inputs'!$B$7+'Inputs'!$B$10)+'Inputs'!$B$9)/SQRT((((766-43)*MAX('Inputs'!$B$33,'Inputs'!$B$29+'Inputs'!$B$31+'Inputs'!$B$32,'Inputs'!$B$30+'Inputs'!$B$31+'Inputs'!$B$32)/1000+'Inputs'!$B$21+'Inputs'!$B$7+'Inputs'!$B$10)+'Inputs'!$B$9)^2+('Inputs'!$B$8/2)^2)-(((766-43)*MAX('Inputs'!$B$33,'Inputs'!$B$29+'Inputs'!$B$31+'Inputs'!$B$32,'Inputs'!$B$30+'Inputs'!$B$31+'Inputs'!$B$32)/1000+'Inputs'!$B$21+'Inputs'!$B$7+'Inputs'!$B$10))/SQRT((((766-43)*MAX('Inputs'!$B$33,'Inputs'!$B$29+'Inputs'!$B$31+'Inputs'!$B$32,'Inputs'!$B$30+'Inputs'!$B$31+'Inputs'!$B$32)/1000+'Inputs'!$B$21+'Inputs'!$B$7+'Inputs'!$B$10))^2+('Inputs'!$B$8/2)^2))))*'Results'!$B$8),"")</x:f>
        <x:v>1.1520529224861384</x:v>
      </x:c>
      <x:c r="K766" t="n">
        <x:f>IF(AND(ISNUMBER('Results'!B7),ISNUMBER('Results'!C7),ISNUMBER('Results'!$B$8),ISNUMBER('Inputs'!$B$6),ISNUMBER('Inputs'!$B$7),ISNUMBER('Inputs'!$B$8),ISNUMBER('Inputs'!$B$9),ISNUMBER('Inputs'!$B$10),ISNUMBER('Inputs'!$B$21),ISNUMBER('Inputs'!$B$24),ISNUMBER('Inputs'!$B$28)),((('Results'!B7*(1-'Inputs'!$B$24)*(0.5*((((766-43)*MAX('Inputs'!$B$33,'Inputs'!$B$29+'Inputs'!$B$31+'Inputs'!$B$32,'Inputs'!$B$30+'Inputs'!$B$31+'Inputs'!$B$32)/1000+'Inputs'!$B$21)+'Inputs'!$B$7)/SQRT((((766-43)*MAX('Inputs'!$B$33,'Inputs'!$B$29+'Inputs'!$B$31+'Inputs'!$B$32,'Inputs'!$B$30+'Inputs'!$B$31+'Inputs'!$B$32)/1000+'Inputs'!$B$21)+'Inputs'!$B$7)^2+('Inputs'!$B$6/2)^2)-(((766-43)*MAX('Inputs'!$B$33,'Inputs'!$B$29+'Inputs'!$B$31+'Inputs'!$B$32,'Inputs'!$B$30+'Inputs'!$B$31+'Inputs'!$B$32)/1000+'Inputs'!$B$21))/SQRT((((766-43)*MAX('Inputs'!$B$33,'Inputs'!$B$29+'Inputs'!$B$31+'Inputs'!$B$32,'Inputs'!$B$30+'Inputs'!$B$31+'Inputs'!$B$32)/1000+'Inputs'!$B$21))^2+('Inputs'!$B$6/2)^2)))-'Results'!C7*(1+'Inputs'!$B$24)*(0.5*((((766-43)*MAX('Inputs'!$B$33,'Inputs'!$B$29+'Inputs'!$B$31+'Inputs'!$B$32,'Inputs'!$B$30+'Inputs'!$B$31+'Inputs'!$B$32)/1000+'Inputs'!$B$21+'Inputs'!$B$7+'Inputs'!$B$10)+'Inputs'!$B$9)/SQRT((((766-43)*MAX('Inputs'!$B$33,'Inputs'!$B$29+'Inputs'!$B$31+'Inputs'!$B$32,'Inputs'!$B$30+'Inputs'!$B$31+'Inputs'!$B$32)/1000+'Inputs'!$B$21+'Inputs'!$B$7+'Inputs'!$B$10)+'Inputs'!$B$9)^2+('Inputs'!$B$8/2)^2)-(((766-43)*MAX('Inputs'!$B$33,'Inputs'!$B$29+'Inputs'!$B$31+'Inputs'!$B$32,'Inputs'!$B$30+'Inputs'!$B$31+'Inputs'!$B$32)/1000+'Inputs'!$B$21+'Inputs'!$B$7+'Inputs'!$B$10))/SQRT((((766-43)*MAX('Inputs'!$B$33,'Inputs'!$B$29+'Inputs'!$B$31+'Inputs'!$B$32,'Inputs'!$B$30+'Inputs'!$B$31+'Inputs'!$B$32)/1000+'Inputs'!$B$21+'Inputs'!$B$7+'Inputs'!$B$10))^2+('Inputs'!$B$8/2)^2))))*'Results'!$B$8)-'Inputs'!$B$28*ABS((('Results'!B7*(1-'Inputs'!$B$24)*(0.5*((((766-43)*MAX('Inputs'!$B$33,'Inputs'!$B$29+'Inputs'!$B$31+'Inputs'!$B$32,'Inputs'!$B$30+'Inputs'!$B$31+'Inputs'!$B$32)/1000+'Inputs'!$B$21)+'Inputs'!$B$7)/SQRT((((766-43)*MAX('Inputs'!$B$33,'Inputs'!$B$29+'Inputs'!$B$31+'Inputs'!$B$32,'Inputs'!$B$30+'Inputs'!$B$31+'Inputs'!$B$32)/1000+'Inputs'!$B$21)+'Inputs'!$B$7)^2+('Inputs'!$B$6/2)^2)-(((766-43)*MAX('Inputs'!$B$33,'Inputs'!$B$29+'Inputs'!$B$31+'Inputs'!$B$32,'Inputs'!$B$30+'Inputs'!$B$31+'Inputs'!$B$32)/1000+'Inputs'!$B$21))/SQRT((((766-43)*MAX('Inputs'!$B$33,'Inputs'!$B$29+'Inputs'!$B$31+'Inputs'!$B$32,'Inputs'!$B$30+'Inputs'!$B$31+'Inputs'!$B$32)/1000+'Inputs'!$B$21))^2+('Inputs'!$B$6/2)^2)))-'Results'!C7*(1+'Inputs'!$B$24)*(0.5*((((766-43)*MAX('Inputs'!$B$33,'Inputs'!$B$29+'Inputs'!$B$31+'Inputs'!$B$32,'Inputs'!$B$30+'Inputs'!$B$31+'Inputs'!$B$32)/1000+'Inputs'!$B$21+'Inputs'!$B$7+'Inputs'!$B$10)+'Inputs'!$B$9)/SQRT((((766-43)*MAX('Inputs'!$B$33,'Inputs'!$B$29+'Inputs'!$B$31+'Inputs'!$B$32,'Inputs'!$B$30+'Inputs'!$B$31+'Inputs'!$B$32)/1000+'Inputs'!$B$21+'Inputs'!$B$7+'Inputs'!$B$10)+'Inputs'!$B$9)^2+('Inputs'!$B$8/2)^2)-(((766-43)*MAX('Inputs'!$B$33,'Inputs'!$B$29+'Inputs'!$B$31+'Inputs'!$B$32,'Inputs'!$B$30+'Inputs'!$B$31+'Inputs'!$B$32)/1000+'Inputs'!$B$21+'Inputs'!$B$7+'Inputs'!$B$10))/SQRT((((766-43)*MAX('Inputs'!$B$33,'Inputs'!$B$29+'Inputs'!$B$31+'Inputs'!$B$32,'Inputs'!$B$30+'Inputs'!$B$31+'Inputs'!$B$32)/1000+'Inputs'!$B$21+'Inputs'!$B$7+'Inputs'!$B$10))^2+('Inputs'!$B$8/2)^2))))*'Results'!$B$8))),"")</x:f>
        <x:v>0.994893338402353</x:v>
      </x:c>
      <x:c r="L766" t="n">
        <x:f>IF(AND(ISNUMBER('Results'!B7),ISNUMBER('Results'!C7),ISNUMBER('Results'!$B$8),ISNUMBER('Inputs'!$B$6),ISNUMBER('Inputs'!$B$7),ISNUMBER('Inputs'!$B$8),ISNUMBER('Inputs'!$B$9),ISNUMBER('Inputs'!$B$10),ISNUMBER('Inputs'!$B$21),ISNUMBER('Inputs'!$B$24),ISNUMBER('Inputs'!$B$28)),((('Results'!B7*(1+'Inputs'!$B$24)*(0.5*((((766-43)*MAX('Inputs'!$B$33,'Inputs'!$B$29+'Inputs'!$B$31+'Inputs'!$B$32,'Inputs'!$B$30+'Inputs'!$B$31+'Inputs'!$B$32)/1000+'Inputs'!$B$21)+'Inputs'!$B$7)/SQRT((((766-43)*MAX('Inputs'!$B$33,'Inputs'!$B$29+'Inputs'!$B$31+'Inputs'!$B$32,'Inputs'!$B$30+'Inputs'!$B$31+'Inputs'!$B$32)/1000+'Inputs'!$B$21)+'Inputs'!$B$7)^2+('Inputs'!$B$6/2)^2)-(((766-43)*MAX('Inputs'!$B$33,'Inputs'!$B$29+'Inputs'!$B$31+'Inputs'!$B$32,'Inputs'!$B$30+'Inputs'!$B$31+'Inputs'!$B$32)/1000+'Inputs'!$B$21))/SQRT((((766-43)*MAX('Inputs'!$B$33,'Inputs'!$B$29+'Inputs'!$B$31+'Inputs'!$B$32,'Inputs'!$B$30+'Inputs'!$B$31+'Inputs'!$B$32)/1000+'Inputs'!$B$21))^2+('Inputs'!$B$6/2)^2)))-'Results'!C7*(1-'Inputs'!$B$24)*(0.5*((((766-43)*MAX('Inputs'!$B$33,'Inputs'!$B$29+'Inputs'!$B$31+'Inputs'!$B$32,'Inputs'!$B$30+'Inputs'!$B$31+'Inputs'!$B$32)/1000+'Inputs'!$B$21+'Inputs'!$B$7+'Inputs'!$B$10)+'Inputs'!$B$9)/SQRT((((766-43)*MAX('Inputs'!$B$33,'Inputs'!$B$29+'Inputs'!$B$31+'Inputs'!$B$32,'Inputs'!$B$30+'Inputs'!$B$31+'Inputs'!$B$32)/1000+'Inputs'!$B$21+'Inputs'!$B$7+'Inputs'!$B$10)+'Inputs'!$B$9)^2+('Inputs'!$B$8/2)^2)-(((766-43)*MAX('Inputs'!$B$33,'Inputs'!$B$29+'Inputs'!$B$31+'Inputs'!$B$32,'Inputs'!$B$30+'Inputs'!$B$31+'Inputs'!$B$32)/1000+'Inputs'!$B$21+'Inputs'!$B$7+'Inputs'!$B$10))/SQRT((((766-43)*MAX('Inputs'!$B$33,'Inputs'!$B$29+'Inputs'!$B$31+'Inputs'!$B$32,'Inputs'!$B$30+'Inputs'!$B$31+'Inputs'!$B$32)/1000+'Inputs'!$B$21+'Inputs'!$B$7+'Inputs'!$B$10))^2+('Inputs'!$B$8/2)^2))))*'Results'!$B$8)+'Inputs'!$B$28*ABS((('Results'!B7*(1+'Inputs'!$B$24)*(0.5*((((766-43)*MAX('Inputs'!$B$33,'Inputs'!$B$29+'Inputs'!$B$31+'Inputs'!$B$32,'Inputs'!$B$30+'Inputs'!$B$31+'Inputs'!$B$32)/1000+'Inputs'!$B$21)+'Inputs'!$B$7)/SQRT((((766-43)*MAX('Inputs'!$B$33,'Inputs'!$B$29+'Inputs'!$B$31+'Inputs'!$B$32,'Inputs'!$B$30+'Inputs'!$B$31+'Inputs'!$B$32)/1000+'Inputs'!$B$21)+'Inputs'!$B$7)^2+('Inputs'!$B$6/2)^2)-(((766-43)*MAX('Inputs'!$B$33,'Inputs'!$B$29+'Inputs'!$B$31+'Inputs'!$B$32,'Inputs'!$B$30+'Inputs'!$B$31+'Inputs'!$B$32)/1000+'Inputs'!$B$21))/SQRT((((766-43)*MAX('Inputs'!$B$33,'Inputs'!$B$29+'Inputs'!$B$31+'Inputs'!$B$32,'Inputs'!$B$30+'Inputs'!$B$31+'Inputs'!$B$32)/1000+'Inputs'!$B$21))^2+('Inputs'!$B$6/2)^2)))-'Results'!C7*(1-'Inputs'!$B$24)*(0.5*((((766-43)*MAX('Inputs'!$B$33,'Inputs'!$B$29+'Inputs'!$B$31+'Inputs'!$B$32,'Inputs'!$B$30+'Inputs'!$B$31+'Inputs'!$B$32)/1000+'Inputs'!$B$21+'Inputs'!$B$7+'Inputs'!$B$10)+'Inputs'!$B$9)/SQRT((((766-43)*MAX('Inputs'!$B$33,'Inputs'!$B$29+'Inputs'!$B$31+'Inputs'!$B$32,'Inputs'!$B$30+'Inputs'!$B$31+'Inputs'!$B$32)/1000+'Inputs'!$B$21+'Inputs'!$B$7+'Inputs'!$B$10)+'Inputs'!$B$9)^2+('Inputs'!$B$8/2)^2)-(((766-43)*MAX('Inputs'!$B$33,'Inputs'!$B$29+'Inputs'!$B$31+'Inputs'!$B$32,'Inputs'!$B$30+'Inputs'!$B$31+'Inputs'!$B$32)/1000+'Inputs'!$B$21+'Inputs'!$B$7+'Inputs'!$B$10))/SQRT((((766-43)*MAX('Inputs'!$B$33,'Inputs'!$B$29+'Inputs'!$B$31+'Inputs'!$B$32,'Inputs'!$B$30+'Inputs'!$B$31+'Inputs'!$B$32)/1000+'Inputs'!$B$21+'Inputs'!$B$7+'Inputs'!$B$10))^2+('Inputs'!$B$8/2)^2))))*'Results'!$B$8))),"")</x:f>
        <x:v>1.3196921842498692</x:v>
      </x:c>
      <x:c r="M766" t="n">
        <x:f>IF(AND(ISNUMBER('Results'!C7),ISNUMBER('Results'!B7),ISNUMBER('Results'!$B$8),ISNUMBER('Inputs'!$B$6),ISNUMBER('Inputs'!$B$7),ISNUMBER('Inputs'!$B$8),ISNUMBER('Inputs'!$B$9),ISNUMBER('Inputs'!$B$10),ISNUMBER('Inputs'!$B$21),ISNUMBER('Inputs'!$B$24),ISNUMBER('Inputs'!$B$28)),(('Results'!C7*(0.5*((((766-43)*MAX('Inputs'!$B$33,'Inputs'!$B$29+'Inputs'!$B$31+'Inputs'!$B$32,'Inputs'!$B$30+'Inputs'!$B$31+'Inputs'!$B$32)/1000+'Inputs'!$B$21)+'Inputs'!$B$9)/SQRT((((766-43)*MAX('Inputs'!$B$33,'Inputs'!$B$29+'Inputs'!$B$31+'Inputs'!$B$32,'Inputs'!$B$30+'Inputs'!$B$31+'Inputs'!$B$32)/1000+'Inputs'!$B$21)+'Inputs'!$B$9)^2+('Inputs'!$B$8/2)^2)-(((766-43)*MAX('Inputs'!$B$33,'Inputs'!$B$29+'Inputs'!$B$31+'Inputs'!$B$32,'Inputs'!$B$30+'Inputs'!$B$31+'Inputs'!$B$32)/1000+'Inputs'!$B$21))/SQRT((((766-43)*MAX('Inputs'!$B$33,'Inputs'!$B$29+'Inputs'!$B$31+'Inputs'!$B$32,'Inputs'!$B$30+'Inputs'!$B$31+'Inputs'!$B$32)/1000+'Inputs'!$B$21))^2+('Inputs'!$B$8/2)^2)))-'Results'!B7*(0.5*((((766-43)*MAX('Inputs'!$B$33,'Inputs'!$B$29+'Inputs'!$B$31+'Inputs'!$B$32,'Inputs'!$B$30+'Inputs'!$B$31+'Inputs'!$B$32)/1000+'Inputs'!$B$21+'Inputs'!$B$9+'Inputs'!$B$10)+'Inputs'!$B$7)/SQRT((((766-43)*MAX('Inputs'!$B$33,'Inputs'!$B$29+'Inputs'!$B$31+'Inputs'!$B$32,'Inputs'!$B$30+'Inputs'!$B$31+'Inputs'!$B$32)/1000+'Inputs'!$B$21+'Inputs'!$B$9+'Inputs'!$B$10)+'Inputs'!$B$7)^2+('Inputs'!$B$6/2)^2)-(((766-43)*MAX('Inputs'!$B$33,'Inputs'!$B$29+'Inputs'!$B$31+'Inputs'!$B$32,'Inputs'!$B$30+'Inputs'!$B$31+'Inputs'!$B$32)/1000+'Inputs'!$B$21+'Inputs'!$B$9+'Inputs'!$B$10))/SQRT((((766-43)*MAX('Inputs'!$B$33,'Inputs'!$B$29+'Inputs'!$B$31+'Inputs'!$B$32,'Inputs'!$B$30+'Inputs'!$B$31+'Inputs'!$B$32)/1000+'Inputs'!$B$21+'Inputs'!$B$9+'Inputs'!$B$10))^2+('Inputs'!$B$6/2)^2))))*'Results'!$B$8),"")</x:f>
        <x:v>1.046421903662711</x:v>
      </x:c>
      <x:c r="N766" t="n">
        <x:f>IF(AND(ISNUMBER('Results'!C7),ISNUMBER('Results'!B7),ISNUMBER('Results'!$B$8),ISNUMBER('Inputs'!$B$6),ISNUMBER('Inputs'!$B$7),ISNUMBER('Inputs'!$B$8),ISNUMBER('Inputs'!$B$9),ISNUMBER('Inputs'!$B$10),ISNUMBER('Inputs'!$B$21),ISNUMBER('Inputs'!$B$24),ISNUMBER('Inputs'!$B$28)),((('Results'!C7*(1-'Inputs'!$B$24)*(0.5*((((766-43)*MAX('Inputs'!$B$33,'Inputs'!$B$29+'Inputs'!$B$31+'Inputs'!$B$32,'Inputs'!$B$30+'Inputs'!$B$31+'Inputs'!$B$32)/1000+'Inputs'!$B$21)+'Inputs'!$B$9)/SQRT((((766-43)*MAX('Inputs'!$B$33,'Inputs'!$B$29+'Inputs'!$B$31+'Inputs'!$B$32,'Inputs'!$B$30+'Inputs'!$B$31+'Inputs'!$B$32)/1000+'Inputs'!$B$21)+'Inputs'!$B$9)^2+('Inputs'!$B$8/2)^2)-(((766-43)*MAX('Inputs'!$B$33,'Inputs'!$B$29+'Inputs'!$B$31+'Inputs'!$B$32,'Inputs'!$B$30+'Inputs'!$B$31+'Inputs'!$B$32)/1000+'Inputs'!$B$21))/SQRT((((766-43)*MAX('Inputs'!$B$33,'Inputs'!$B$29+'Inputs'!$B$31+'Inputs'!$B$32,'Inputs'!$B$30+'Inputs'!$B$31+'Inputs'!$B$32)/1000+'Inputs'!$B$21))^2+('Inputs'!$B$8/2)^2)))-'Results'!B7*(1+'Inputs'!$B$24)*(0.5*((((766-43)*MAX('Inputs'!$B$33,'Inputs'!$B$29+'Inputs'!$B$31+'Inputs'!$B$32,'Inputs'!$B$30+'Inputs'!$B$31+'Inputs'!$B$32)/1000+'Inputs'!$B$21+'Inputs'!$B$9+'Inputs'!$B$10)+'Inputs'!$B$7)/SQRT((((766-43)*MAX('Inputs'!$B$33,'Inputs'!$B$29+'Inputs'!$B$31+'Inputs'!$B$32,'Inputs'!$B$30+'Inputs'!$B$31+'Inputs'!$B$32)/1000+'Inputs'!$B$21+'Inputs'!$B$9+'Inputs'!$B$10)+'Inputs'!$B$7)^2+('Inputs'!$B$6/2)^2)-(((766-43)*MAX('Inputs'!$B$33,'Inputs'!$B$29+'Inputs'!$B$31+'Inputs'!$B$32,'Inputs'!$B$30+'Inputs'!$B$31+'Inputs'!$B$32)/1000+'Inputs'!$B$21+'Inputs'!$B$9+'Inputs'!$B$10))/SQRT((((766-43)*MAX('Inputs'!$B$33,'Inputs'!$B$29+'Inputs'!$B$31+'Inputs'!$B$32,'Inputs'!$B$30+'Inputs'!$B$31+'Inputs'!$B$32)/1000+'Inputs'!$B$21+'Inputs'!$B$9+'Inputs'!$B$10))^2+('Inputs'!$B$6/2)^2))))*'Results'!$B$8)-'Inputs'!$B$28*ABS((('Results'!C7*(1-'Inputs'!$B$24)*(0.5*((((766-43)*MAX('Inputs'!$B$33,'Inputs'!$B$29+'Inputs'!$B$31+'Inputs'!$B$32,'Inputs'!$B$30+'Inputs'!$B$31+'Inputs'!$B$32)/1000+'Inputs'!$B$21)+'Inputs'!$B$9)/SQRT((((766-43)*MAX('Inputs'!$B$33,'Inputs'!$B$29+'Inputs'!$B$31+'Inputs'!$B$32,'Inputs'!$B$30+'Inputs'!$B$31+'Inputs'!$B$32)/1000+'Inputs'!$B$21)+'Inputs'!$B$9)^2+('Inputs'!$B$8/2)^2)-(((766-43)*MAX('Inputs'!$B$33,'Inputs'!$B$29+'Inputs'!$B$31+'Inputs'!$B$32,'Inputs'!$B$30+'Inputs'!$B$31+'Inputs'!$B$32)/1000+'Inputs'!$B$21))/SQRT((((766-43)*MAX('Inputs'!$B$33,'Inputs'!$B$29+'Inputs'!$B$31+'Inputs'!$B$32,'Inputs'!$B$30+'Inputs'!$B$31+'Inputs'!$B$32)/1000+'Inputs'!$B$21))^2+('Inputs'!$B$8/2)^2)))-'Results'!B7*(1+'Inputs'!$B$24)*(0.5*((((766-43)*MAX('Inputs'!$B$33,'Inputs'!$B$29+'Inputs'!$B$31+'Inputs'!$B$32,'Inputs'!$B$30+'Inputs'!$B$31+'Inputs'!$B$32)/1000+'Inputs'!$B$21+'Inputs'!$B$9+'Inputs'!$B$10)+'Inputs'!$B$7)/SQRT((((766-43)*MAX('Inputs'!$B$33,'Inputs'!$B$29+'Inputs'!$B$31+'Inputs'!$B$32,'Inputs'!$B$30+'Inputs'!$B$31+'Inputs'!$B$32)/1000+'Inputs'!$B$21+'Inputs'!$B$9+'Inputs'!$B$10)+'Inputs'!$B$7)^2+('Inputs'!$B$6/2)^2)-(((766-43)*MAX('Inputs'!$B$33,'Inputs'!$B$29+'Inputs'!$B$31+'Inputs'!$B$32,'Inputs'!$B$30+'Inputs'!$B$31+'Inputs'!$B$32)/1000+'Inputs'!$B$21+'Inputs'!$B$9+'Inputs'!$B$10))/SQRT((((766-43)*MAX('Inputs'!$B$33,'Inputs'!$B$29+'Inputs'!$B$31+'Inputs'!$B$32,'Inputs'!$B$30+'Inputs'!$B$31+'Inputs'!$B$32)/1000+'Inputs'!$B$21+'Inputs'!$B$9+'Inputs'!$B$10))^2+('Inputs'!$B$6/2)^2))))*'Results'!$B$8))),"")</x:f>
        <x:v>0.8949658000321856</x:v>
      </x:c>
      <x:c r="O766" t="n">
        <x:f>IF(AND(ISNUMBER('Results'!C7),ISNUMBER('Results'!B7),ISNUMBER('Results'!$B$8),ISNUMBER('Inputs'!$B$6),ISNUMBER('Inputs'!$B$7),ISNUMBER('Inputs'!$B$8),ISNUMBER('Inputs'!$B$9),ISNUMBER('Inputs'!$B$10),ISNUMBER('Inputs'!$B$21),ISNUMBER('Inputs'!$B$24),ISNUMBER('Inputs'!$B$28)),((('Results'!C7*(1+'Inputs'!$B$24)*(0.5*((((766-43)*MAX('Inputs'!$B$33,'Inputs'!$B$29+'Inputs'!$B$31+'Inputs'!$B$32,'Inputs'!$B$30+'Inputs'!$B$31+'Inputs'!$B$32)/1000+'Inputs'!$B$21)+'Inputs'!$B$9)/SQRT((((766-43)*MAX('Inputs'!$B$33,'Inputs'!$B$29+'Inputs'!$B$31+'Inputs'!$B$32,'Inputs'!$B$30+'Inputs'!$B$31+'Inputs'!$B$32)/1000+'Inputs'!$B$21)+'Inputs'!$B$9)^2+('Inputs'!$B$8/2)^2)-(((766-43)*MAX('Inputs'!$B$33,'Inputs'!$B$29+'Inputs'!$B$31+'Inputs'!$B$32,'Inputs'!$B$30+'Inputs'!$B$31+'Inputs'!$B$32)/1000+'Inputs'!$B$21))/SQRT((((766-43)*MAX('Inputs'!$B$33,'Inputs'!$B$29+'Inputs'!$B$31+'Inputs'!$B$32,'Inputs'!$B$30+'Inputs'!$B$31+'Inputs'!$B$32)/1000+'Inputs'!$B$21))^2+('Inputs'!$B$8/2)^2)))-'Results'!B7*(1-'Inputs'!$B$24)*(0.5*((((766-43)*MAX('Inputs'!$B$33,'Inputs'!$B$29+'Inputs'!$B$31+'Inputs'!$B$32,'Inputs'!$B$30+'Inputs'!$B$31+'Inputs'!$B$32)/1000+'Inputs'!$B$21+'Inputs'!$B$9+'Inputs'!$B$10)+'Inputs'!$B$7)/SQRT((((766-43)*MAX('Inputs'!$B$33,'Inputs'!$B$29+'Inputs'!$B$31+'Inputs'!$B$32,'Inputs'!$B$30+'Inputs'!$B$31+'Inputs'!$B$32)/1000+'Inputs'!$B$21+'Inputs'!$B$9+'Inputs'!$B$10)+'Inputs'!$B$7)^2+('Inputs'!$B$6/2)^2)-(((766-43)*MAX('Inputs'!$B$33,'Inputs'!$B$29+'Inputs'!$B$31+'Inputs'!$B$32,'Inputs'!$B$30+'Inputs'!$B$31+'Inputs'!$B$32)/1000+'Inputs'!$B$21+'Inputs'!$B$9+'Inputs'!$B$10))/SQRT((((766-43)*MAX('Inputs'!$B$33,'Inputs'!$B$29+'Inputs'!$B$31+'Inputs'!$B$32,'Inputs'!$B$30+'Inputs'!$B$31+'Inputs'!$B$32)/1000+'Inputs'!$B$21+'Inputs'!$B$9+'Inputs'!$B$10))^2+('Inputs'!$B$6/2)^2))))*'Results'!$B$8)+'Inputs'!$B$28*ABS((('Results'!C7*(1+'Inputs'!$B$24)*(0.5*((((766-43)*MAX('Inputs'!$B$33,'Inputs'!$B$29+'Inputs'!$B$31+'Inputs'!$B$32,'Inputs'!$B$30+'Inputs'!$B$31+'Inputs'!$B$32)/1000+'Inputs'!$B$21)+'Inputs'!$B$9)/SQRT((((766-43)*MAX('Inputs'!$B$33,'Inputs'!$B$29+'Inputs'!$B$31+'Inputs'!$B$32,'Inputs'!$B$30+'Inputs'!$B$31+'Inputs'!$B$32)/1000+'Inputs'!$B$21)+'Inputs'!$B$9)^2+('Inputs'!$B$8/2)^2)-(((766-43)*MAX('Inputs'!$B$33,'Inputs'!$B$29+'Inputs'!$B$31+'Inputs'!$B$32,'Inputs'!$B$30+'Inputs'!$B$31+'Inputs'!$B$32)/1000+'Inputs'!$B$21))/SQRT((((766-43)*MAX('Inputs'!$B$33,'Inputs'!$B$29+'Inputs'!$B$31+'Inputs'!$B$32,'Inputs'!$B$30+'Inputs'!$B$31+'Inputs'!$B$32)/1000+'Inputs'!$B$21))^2+('Inputs'!$B$8/2)^2)))-'Results'!B7*(1-'Inputs'!$B$24)*(0.5*((((766-43)*MAX('Inputs'!$B$33,'Inputs'!$B$29+'Inputs'!$B$31+'Inputs'!$B$32,'Inputs'!$B$30+'Inputs'!$B$31+'Inputs'!$B$32)/1000+'Inputs'!$B$21+'Inputs'!$B$9+'Inputs'!$B$10)+'Inputs'!$B$7)/SQRT((((766-43)*MAX('Inputs'!$B$33,'Inputs'!$B$29+'Inputs'!$B$31+'Inputs'!$B$32,'Inputs'!$B$30+'Inputs'!$B$31+'Inputs'!$B$32)/1000+'Inputs'!$B$21+'Inputs'!$B$9+'Inputs'!$B$10)+'Inputs'!$B$7)^2+('Inputs'!$B$6/2)^2)-(((766-43)*MAX('Inputs'!$B$33,'Inputs'!$B$29+'Inputs'!$B$31+'Inputs'!$B$32,'Inputs'!$B$30+'Inputs'!$B$31+'Inputs'!$B$32)/1000+'Inputs'!$B$21+'Inputs'!$B$9+'Inputs'!$B$10))/SQRT((((766-43)*MAX('Inputs'!$B$33,'Inputs'!$B$29+'Inputs'!$B$31+'Inputs'!$B$32,'Inputs'!$B$30+'Inputs'!$B$31+'Inputs'!$B$32)/1000+'Inputs'!$B$21+'Inputs'!$B$9+'Inputs'!$B$10))^2+('Inputs'!$B$6/2)^2))))*'Results'!$B$8))),"")</x:f>
        <x:v>1.2083132713403293</x:v>
      </x:c>
      <x:c r="P766" t="n">
        <x:f>IF(AND(MAX(J766,J765)&gt;0,J766&gt;J765+0.00000001),1,0)</x:f>
        <x:v>0</x:v>
      </x:c>
      <x:c r="Q766" t="n">
        <x:f>IF(AND(MAX(K766,K765)&gt;0,K766&gt;K765+0.00000001),1,0)</x:f>
        <x:v>0</x:v>
      </x:c>
      <x:c r="R766" t="n">
        <x:f>IF(AND(MAX(L766,L765)&gt;0,L766&gt;L765+0.00000001),1,0)</x:f>
        <x:v>0</x:v>
      </x:c>
      <x:c r="S766" t="n">
        <x:f>IF(AND(MAX(M766,M765)&gt;0,M766&gt;M765+0.00000001),1,0)</x:f>
        <x:v>0</x:v>
      </x:c>
      <x:c r="T766" t="n">
        <x:f>IF(AND(MAX(N766,N765)&gt;0,N766&gt;N765+0.00000001),1,0)</x:f>
        <x:v>0</x:v>
      </x:c>
      <x:c r="U766" t="n">
        <x:f>IF(AND(MAX(O766,O765)&gt;0,O766&gt;O765+0.00000001),1,0)</x:f>
        <x:v>0</x:v>
      </x:c>
    </x:row>
    <x:row r="767">
      <x:c r="J767" t="n">
        <x:f>IF(AND(ISNUMBER('Results'!B7),ISNUMBER('Results'!C7),ISNUMBER('Results'!$B$8),ISNUMBER('Inputs'!$B$6),ISNUMBER('Inputs'!$B$7),ISNUMBER('Inputs'!$B$8),ISNUMBER('Inputs'!$B$9),ISNUMBER('Inputs'!$B$10),ISNUMBER('Inputs'!$B$21),ISNUMBER('Inputs'!$B$24),ISNUMBER('Inputs'!$B$28)),(('Results'!B7*(0.5*((((767-43)*MAX('Inputs'!$B$33,'Inputs'!$B$29+'Inputs'!$B$31+'Inputs'!$B$32,'Inputs'!$B$30+'Inputs'!$B$31+'Inputs'!$B$32)/1000+'Inputs'!$B$21)+'Inputs'!$B$7)/SQRT((((767-43)*MAX('Inputs'!$B$33,'Inputs'!$B$29+'Inputs'!$B$31+'Inputs'!$B$32,'Inputs'!$B$30+'Inputs'!$B$31+'Inputs'!$B$32)/1000+'Inputs'!$B$21)+'Inputs'!$B$7)^2+('Inputs'!$B$6/2)^2)-(((767-43)*MAX('Inputs'!$B$33,'Inputs'!$B$29+'Inputs'!$B$31+'Inputs'!$B$32,'Inputs'!$B$30+'Inputs'!$B$31+'Inputs'!$B$32)/1000+'Inputs'!$B$21))/SQRT((((767-43)*MAX('Inputs'!$B$33,'Inputs'!$B$29+'Inputs'!$B$31+'Inputs'!$B$32,'Inputs'!$B$30+'Inputs'!$B$31+'Inputs'!$B$32)/1000+'Inputs'!$B$21))^2+('Inputs'!$B$6/2)^2)))-'Results'!C7*(0.5*((((767-43)*MAX('Inputs'!$B$33,'Inputs'!$B$29+'Inputs'!$B$31+'Inputs'!$B$32,'Inputs'!$B$30+'Inputs'!$B$31+'Inputs'!$B$32)/1000+'Inputs'!$B$21+'Inputs'!$B$7+'Inputs'!$B$10)+'Inputs'!$B$9)/SQRT((((767-43)*MAX('Inputs'!$B$33,'Inputs'!$B$29+'Inputs'!$B$31+'Inputs'!$B$32,'Inputs'!$B$30+'Inputs'!$B$31+'Inputs'!$B$32)/1000+'Inputs'!$B$21+'Inputs'!$B$7+'Inputs'!$B$10)+'Inputs'!$B$9)^2+('Inputs'!$B$8/2)^2)-(((767-43)*MAX('Inputs'!$B$33,'Inputs'!$B$29+'Inputs'!$B$31+'Inputs'!$B$32,'Inputs'!$B$30+'Inputs'!$B$31+'Inputs'!$B$32)/1000+'Inputs'!$B$21+'Inputs'!$B$7+'Inputs'!$B$10))/SQRT((((767-43)*MAX('Inputs'!$B$33,'Inputs'!$B$29+'Inputs'!$B$31+'Inputs'!$B$32,'Inputs'!$B$30+'Inputs'!$B$31+'Inputs'!$B$32)/1000+'Inputs'!$B$21+'Inputs'!$B$7+'Inputs'!$B$10))^2+('Inputs'!$B$8/2)^2))))*'Results'!$B$8),"")</x:f>
        <x:v>1.1463920853400122</x:v>
      </x:c>
      <x:c r="K767" t="n">
        <x:f>IF(AND(ISNUMBER('Results'!B7),ISNUMBER('Results'!C7),ISNUMBER('Results'!$B$8),ISNUMBER('Inputs'!$B$6),ISNUMBER('Inputs'!$B$7),ISNUMBER('Inputs'!$B$8),ISNUMBER('Inputs'!$B$9),ISNUMBER('Inputs'!$B$10),ISNUMBER('Inputs'!$B$21),ISNUMBER('Inputs'!$B$24),ISNUMBER('Inputs'!$B$28)),((('Results'!B7*(1-'Inputs'!$B$24)*(0.5*((((767-43)*MAX('Inputs'!$B$33,'Inputs'!$B$29+'Inputs'!$B$31+'Inputs'!$B$32,'Inputs'!$B$30+'Inputs'!$B$31+'Inputs'!$B$32)/1000+'Inputs'!$B$21)+'Inputs'!$B$7)/SQRT((((767-43)*MAX('Inputs'!$B$33,'Inputs'!$B$29+'Inputs'!$B$31+'Inputs'!$B$32,'Inputs'!$B$30+'Inputs'!$B$31+'Inputs'!$B$32)/1000+'Inputs'!$B$21)+'Inputs'!$B$7)^2+('Inputs'!$B$6/2)^2)-(((767-43)*MAX('Inputs'!$B$33,'Inputs'!$B$29+'Inputs'!$B$31+'Inputs'!$B$32,'Inputs'!$B$30+'Inputs'!$B$31+'Inputs'!$B$32)/1000+'Inputs'!$B$21))/SQRT((((767-43)*MAX('Inputs'!$B$33,'Inputs'!$B$29+'Inputs'!$B$31+'Inputs'!$B$32,'Inputs'!$B$30+'Inputs'!$B$31+'Inputs'!$B$32)/1000+'Inputs'!$B$21))^2+('Inputs'!$B$6/2)^2)))-'Results'!C7*(1+'Inputs'!$B$24)*(0.5*((((767-43)*MAX('Inputs'!$B$33,'Inputs'!$B$29+'Inputs'!$B$31+'Inputs'!$B$32,'Inputs'!$B$30+'Inputs'!$B$31+'Inputs'!$B$32)/1000+'Inputs'!$B$21+'Inputs'!$B$7+'Inputs'!$B$10)+'Inputs'!$B$9)/SQRT((((767-43)*MAX('Inputs'!$B$33,'Inputs'!$B$29+'Inputs'!$B$31+'Inputs'!$B$32,'Inputs'!$B$30+'Inputs'!$B$31+'Inputs'!$B$32)/1000+'Inputs'!$B$21+'Inputs'!$B$7+'Inputs'!$B$10)+'Inputs'!$B$9)^2+('Inputs'!$B$8/2)^2)-(((767-43)*MAX('Inputs'!$B$33,'Inputs'!$B$29+'Inputs'!$B$31+'Inputs'!$B$32,'Inputs'!$B$30+'Inputs'!$B$31+'Inputs'!$B$32)/1000+'Inputs'!$B$21+'Inputs'!$B$7+'Inputs'!$B$10))/SQRT((((767-43)*MAX('Inputs'!$B$33,'Inputs'!$B$29+'Inputs'!$B$31+'Inputs'!$B$32,'Inputs'!$B$30+'Inputs'!$B$31+'Inputs'!$B$32)/1000+'Inputs'!$B$21+'Inputs'!$B$7+'Inputs'!$B$10))^2+('Inputs'!$B$8/2)^2))))*'Results'!$B$8)-'Inputs'!$B$28*ABS((('Results'!B7*(1-'Inputs'!$B$24)*(0.5*((((767-43)*MAX('Inputs'!$B$33,'Inputs'!$B$29+'Inputs'!$B$31+'Inputs'!$B$32,'Inputs'!$B$30+'Inputs'!$B$31+'Inputs'!$B$32)/1000+'Inputs'!$B$21)+'Inputs'!$B$7)/SQRT((((767-43)*MAX('Inputs'!$B$33,'Inputs'!$B$29+'Inputs'!$B$31+'Inputs'!$B$32,'Inputs'!$B$30+'Inputs'!$B$31+'Inputs'!$B$32)/1000+'Inputs'!$B$21)+'Inputs'!$B$7)^2+('Inputs'!$B$6/2)^2)-(((767-43)*MAX('Inputs'!$B$33,'Inputs'!$B$29+'Inputs'!$B$31+'Inputs'!$B$32,'Inputs'!$B$30+'Inputs'!$B$31+'Inputs'!$B$32)/1000+'Inputs'!$B$21))/SQRT((((767-43)*MAX('Inputs'!$B$33,'Inputs'!$B$29+'Inputs'!$B$31+'Inputs'!$B$32,'Inputs'!$B$30+'Inputs'!$B$31+'Inputs'!$B$32)/1000+'Inputs'!$B$21))^2+('Inputs'!$B$6/2)^2)))-'Results'!C7*(1+'Inputs'!$B$24)*(0.5*((((767-43)*MAX('Inputs'!$B$33,'Inputs'!$B$29+'Inputs'!$B$31+'Inputs'!$B$32,'Inputs'!$B$30+'Inputs'!$B$31+'Inputs'!$B$32)/1000+'Inputs'!$B$21+'Inputs'!$B$7+'Inputs'!$B$10)+'Inputs'!$B$9)/SQRT((((767-43)*MAX('Inputs'!$B$33,'Inputs'!$B$29+'Inputs'!$B$31+'Inputs'!$B$32,'Inputs'!$B$30+'Inputs'!$B$31+'Inputs'!$B$32)/1000+'Inputs'!$B$21+'Inputs'!$B$7+'Inputs'!$B$10)+'Inputs'!$B$9)^2+('Inputs'!$B$8/2)^2)-(((767-43)*MAX('Inputs'!$B$33,'Inputs'!$B$29+'Inputs'!$B$31+'Inputs'!$B$32,'Inputs'!$B$30+'Inputs'!$B$31+'Inputs'!$B$32)/1000+'Inputs'!$B$21+'Inputs'!$B$7+'Inputs'!$B$10))/SQRT((((767-43)*MAX('Inputs'!$B$33,'Inputs'!$B$29+'Inputs'!$B$31+'Inputs'!$B$32,'Inputs'!$B$30+'Inputs'!$B$31+'Inputs'!$B$32)/1000+'Inputs'!$B$21+'Inputs'!$B$7+'Inputs'!$B$10))^2+('Inputs'!$B$8/2)^2))))*'Results'!$B$8))),"")</x:f>
        <x:v>0.9898920707810459</x:v>
      </x:c>
      <x:c r="L767" t="n">
        <x:f>IF(AND(ISNUMBER('Results'!B7),ISNUMBER('Results'!C7),ISNUMBER('Results'!$B$8),ISNUMBER('Inputs'!$B$6),ISNUMBER('Inputs'!$B$7),ISNUMBER('Inputs'!$B$8),ISNUMBER('Inputs'!$B$9),ISNUMBER('Inputs'!$B$10),ISNUMBER('Inputs'!$B$21),ISNUMBER('Inputs'!$B$24),ISNUMBER('Inputs'!$B$28)),((('Results'!B7*(1+'Inputs'!$B$24)*(0.5*((((767-43)*MAX('Inputs'!$B$33,'Inputs'!$B$29+'Inputs'!$B$31+'Inputs'!$B$32,'Inputs'!$B$30+'Inputs'!$B$31+'Inputs'!$B$32)/1000+'Inputs'!$B$21)+'Inputs'!$B$7)/SQRT((((767-43)*MAX('Inputs'!$B$33,'Inputs'!$B$29+'Inputs'!$B$31+'Inputs'!$B$32,'Inputs'!$B$30+'Inputs'!$B$31+'Inputs'!$B$32)/1000+'Inputs'!$B$21)+'Inputs'!$B$7)^2+('Inputs'!$B$6/2)^2)-(((767-43)*MAX('Inputs'!$B$33,'Inputs'!$B$29+'Inputs'!$B$31+'Inputs'!$B$32,'Inputs'!$B$30+'Inputs'!$B$31+'Inputs'!$B$32)/1000+'Inputs'!$B$21))/SQRT((((767-43)*MAX('Inputs'!$B$33,'Inputs'!$B$29+'Inputs'!$B$31+'Inputs'!$B$32,'Inputs'!$B$30+'Inputs'!$B$31+'Inputs'!$B$32)/1000+'Inputs'!$B$21))^2+('Inputs'!$B$6/2)^2)))-'Results'!C7*(1-'Inputs'!$B$24)*(0.5*((((767-43)*MAX('Inputs'!$B$33,'Inputs'!$B$29+'Inputs'!$B$31+'Inputs'!$B$32,'Inputs'!$B$30+'Inputs'!$B$31+'Inputs'!$B$32)/1000+'Inputs'!$B$21+'Inputs'!$B$7+'Inputs'!$B$10)+'Inputs'!$B$9)/SQRT((((767-43)*MAX('Inputs'!$B$33,'Inputs'!$B$29+'Inputs'!$B$31+'Inputs'!$B$32,'Inputs'!$B$30+'Inputs'!$B$31+'Inputs'!$B$32)/1000+'Inputs'!$B$21+'Inputs'!$B$7+'Inputs'!$B$10)+'Inputs'!$B$9)^2+('Inputs'!$B$8/2)^2)-(((767-43)*MAX('Inputs'!$B$33,'Inputs'!$B$29+'Inputs'!$B$31+'Inputs'!$B$32,'Inputs'!$B$30+'Inputs'!$B$31+'Inputs'!$B$32)/1000+'Inputs'!$B$21+'Inputs'!$B$7+'Inputs'!$B$10))/SQRT((((767-43)*MAX('Inputs'!$B$33,'Inputs'!$B$29+'Inputs'!$B$31+'Inputs'!$B$32,'Inputs'!$B$30+'Inputs'!$B$31+'Inputs'!$B$32)/1000+'Inputs'!$B$21+'Inputs'!$B$7+'Inputs'!$B$10))^2+('Inputs'!$B$8/2)^2))))*'Results'!$B$8)+'Inputs'!$B$28*ABS((('Results'!B7*(1+'Inputs'!$B$24)*(0.5*((((767-43)*MAX('Inputs'!$B$33,'Inputs'!$B$29+'Inputs'!$B$31+'Inputs'!$B$32,'Inputs'!$B$30+'Inputs'!$B$31+'Inputs'!$B$32)/1000+'Inputs'!$B$21)+'Inputs'!$B$7)/SQRT((((767-43)*MAX('Inputs'!$B$33,'Inputs'!$B$29+'Inputs'!$B$31+'Inputs'!$B$32,'Inputs'!$B$30+'Inputs'!$B$31+'Inputs'!$B$32)/1000+'Inputs'!$B$21)+'Inputs'!$B$7)^2+('Inputs'!$B$6/2)^2)-(((767-43)*MAX('Inputs'!$B$33,'Inputs'!$B$29+'Inputs'!$B$31+'Inputs'!$B$32,'Inputs'!$B$30+'Inputs'!$B$31+'Inputs'!$B$32)/1000+'Inputs'!$B$21))/SQRT((((767-43)*MAX('Inputs'!$B$33,'Inputs'!$B$29+'Inputs'!$B$31+'Inputs'!$B$32,'Inputs'!$B$30+'Inputs'!$B$31+'Inputs'!$B$32)/1000+'Inputs'!$B$21))^2+('Inputs'!$B$6/2)^2)))-'Results'!C7*(1-'Inputs'!$B$24)*(0.5*((((767-43)*MAX('Inputs'!$B$33,'Inputs'!$B$29+'Inputs'!$B$31+'Inputs'!$B$32,'Inputs'!$B$30+'Inputs'!$B$31+'Inputs'!$B$32)/1000+'Inputs'!$B$21+'Inputs'!$B$7+'Inputs'!$B$10)+'Inputs'!$B$9)/SQRT((((767-43)*MAX('Inputs'!$B$33,'Inputs'!$B$29+'Inputs'!$B$31+'Inputs'!$B$32,'Inputs'!$B$30+'Inputs'!$B$31+'Inputs'!$B$32)/1000+'Inputs'!$B$21+'Inputs'!$B$7+'Inputs'!$B$10)+'Inputs'!$B$9)^2+('Inputs'!$B$8/2)^2)-(((767-43)*MAX('Inputs'!$B$33,'Inputs'!$B$29+'Inputs'!$B$31+'Inputs'!$B$32,'Inputs'!$B$30+'Inputs'!$B$31+'Inputs'!$B$32)/1000+'Inputs'!$B$21+'Inputs'!$B$7+'Inputs'!$B$10))/SQRT((((767-43)*MAX('Inputs'!$B$33,'Inputs'!$B$29+'Inputs'!$B$31+'Inputs'!$B$32,'Inputs'!$B$30+'Inputs'!$B$31+'Inputs'!$B$32)/1000+'Inputs'!$B$21+'Inputs'!$B$7+'Inputs'!$B$10))^2+('Inputs'!$B$8/2)^2))))*'Results'!$B$8))),"")</x:f>
        <x:v>1.3133321430876064</x:v>
      </x:c>
      <x:c r="M767" t="n">
        <x:f>IF(AND(ISNUMBER('Results'!C7),ISNUMBER('Results'!B7),ISNUMBER('Results'!$B$8),ISNUMBER('Inputs'!$B$6),ISNUMBER('Inputs'!$B$7),ISNUMBER('Inputs'!$B$8),ISNUMBER('Inputs'!$B$9),ISNUMBER('Inputs'!$B$10),ISNUMBER('Inputs'!$B$21),ISNUMBER('Inputs'!$B$24),ISNUMBER('Inputs'!$B$28)),(('Results'!C7*(0.5*((((767-43)*MAX('Inputs'!$B$33,'Inputs'!$B$29+'Inputs'!$B$31+'Inputs'!$B$32,'Inputs'!$B$30+'Inputs'!$B$31+'Inputs'!$B$32)/1000+'Inputs'!$B$21)+'Inputs'!$B$9)/SQRT((((767-43)*MAX('Inputs'!$B$33,'Inputs'!$B$29+'Inputs'!$B$31+'Inputs'!$B$32,'Inputs'!$B$30+'Inputs'!$B$31+'Inputs'!$B$32)/1000+'Inputs'!$B$21)+'Inputs'!$B$9)^2+('Inputs'!$B$8/2)^2)-(((767-43)*MAX('Inputs'!$B$33,'Inputs'!$B$29+'Inputs'!$B$31+'Inputs'!$B$32,'Inputs'!$B$30+'Inputs'!$B$31+'Inputs'!$B$32)/1000+'Inputs'!$B$21))/SQRT((((767-43)*MAX('Inputs'!$B$33,'Inputs'!$B$29+'Inputs'!$B$31+'Inputs'!$B$32,'Inputs'!$B$30+'Inputs'!$B$31+'Inputs'!$B$32)/1000+'Inputs'!$B$21))^2+('Inputs'!$B$8/2)^2)))-'Results'!B7*(0.5*((((767-43)*MAX('Inputs'!$B$33,'Inputs'!$B$29+'Inputs'!$B$31+'Inputs'!$B$32,'Inputs'!$B$30+'Inputs'!$B$31+'Inputs'!$B$32)/1000+'Inputs'!$B$21+'Inputs'!$B$9+'Inputs'!$B$10)+'Inputs'!$B$7)/SQRT((((767-43)*MAX('Inputs'!$B$33,'Inputs'!$B$29+'Inputs'!$B$31+'Inputs'!$B$32,'Inputs'!$B$30+'Inputs'!$B$31+'Inputs'!$B$32)/1000+'Inputs'!$B$21+'Inputs'!$B$9+'Inputs'!$B$10)+'Inputs'!$B$7)^2+('Inputs'!$B$6/2)^2)-(((767-43)*MAX('Inputs'!$B$33,'Inputs'!$B$29+'Inputs'!$B$31+'Inputs'!$B$32,'Inputs'!$B$30+'Inputs'!$B$31+'Inputs'!$B$32)/1000+'Inputs'!$B$21+'Inputs'!$B$9+'Inputs'!$B$10))/SQRT((((767-43)*MAX('Inputs'!$B$33,'Inputs'!$B$29+'Inputs'!$B$31+'Inputs'!$B$32,'Inputs'!$B$30+'Inputs'!$B$31+'Inputs'!$B$32)/1000+'Inputs'!$B$21+'Inputs'!$B$9+'Inputs'!$B$10))^2+('Inputs'!$B$6/2)^2))))*'Results'!$B$8),"")</x:f>
        <x:v>1.041160300492718</x:v>
      </x:c>
      <x:c r="N767" t="n">
        <x:f>IF(AND(ISNUMBER('Results'!C7),ISNUMBER('Results'!B7),ISNUMBER('Results'!$B$8),ISNUMBER('Inputs'!$B$6),ISNUMBER('Inputs'!$B$7),ISNUMBER('Inputs'!$B$8),ISNUMBER('Inputs'!$B$9),ISNUMBER('Inputs'!$B$10),ISNUMBER('Inputs'!$B$21),ISNUMBER('Inputs'!$B$24),ISNUMBER('Inputs'!$B$28)),((('Results'!C7*(1-'Inputs'!$B$24)*(0.5*((((767-43)*MAX('Inputs'!$B$33,'Inputs'!$B$29+'Inputs'!$B$31+'Inputs'!$B$32,'Inputs'!$B$30+'Inputs'!$B$31+'Inputs'!$B$32)/1000+'Inputs'!$B$21)+'Inputs'!$B$9)/SQRT((((767-43)*MAX('Inputs'!$B$33,'Inputs'!$B$29+'Inputs'!$B$31+'Inputs'!$B$32,'Inputs'!$B$30+'Inputs'!$B$31+'Inputs'!$B$32)/1000+'Inputs'!$B$21)+'Inputs'!$B$9)^2+('Inputs'!$B$8/2)^2)-(((767-43)*MAX('Inputs'!$B$33,'Inputs'!$B$29+'Inputs'!$B$31+'Inputs'!$B$32,'Inputs'!$B$30+'Inputs'!$B$31+'Inputs'!$B$32)/1000+'Inputs'!$B$21))/SQRT((((767-43)*MAX('Inputs'!$B$33,'Inputs'!$B$29+'Inputs'!$B$31+'Inputs'!$B$32,'Inputs'!$B$30+'Inputs'!$B$31+'Inputs'!$B$32)/1000+'Inputs'!$B$21))^2+('Inputs'!$B$8/2)^2)))-'Results'!B7*(1+'Inputs'!$B$24)*(0.5*((((767-43)*MAX('Inputs'!$B$33,'Inputs'!$B$29+'Inputs'!$B$31+'Inputs'!$B$32,'Inputs'!$B$30+'Inputs'!$B$31+'Inputs'!$B$32)/1000+'Inputs'!$B$21+'Inputs'!$B$9+'Inputs'!$B$10)+'Inputs'!$B$7)/SQRT((((767-43)*MAX('Inputs'!$B$33,'Inputs'!$B$29+'Inputs'!$B$31+'Inputs'!$B$32,'Inputs'!$B$30+'Inputs'!$B$31+'Inputs'!$B$32)/1000+'Inputs'!$B$21+'Inputs'!$B$9+'Inputs'!$B$10)+'Inputs'!$B$7)^2+('Inputs'!$B$6/2)^2)-(((767-43)*MAX('Inputs'!$B$33,'Inputs'!$B$29+'Inputs'!$B$31+'Inputs'!$B$32,'Inputs'!$B$30+'Inputs'!$B$31+'Inputs'!$B$32)/1000+'Inputs'!$B$21+'Inputs'!$B$9+'Inputs'!$B$10))/SQRT((((767-43)*MAX('Inputs'!$B$33,'Inputs'!$B$29+'Inputs'!$B$31+'Inputs'!$B$32,'Inputs'!$B$30+'Inputs'!$B$31+'Inputs'!$B$32)/1000+'Inputs'!$B$21+'Inputs'!$B$9+'Inputs'!$B$10))^2+('Inputs'!$B$6/2)^2))))*'Results'!$B$8)-'Inputs'!$B$28*ABS((('Results'!C7*(1-'Inputs'!$B$24)*(0.5*((((767-43)*MAX('Inputs'!$B$33,'Inputs'!$B$29+'Inputs'!$B$31+'Inputs'!$B$32,'Inputs'!$B$30+'Inputs'!$B$31+'Inputs'!$B$32)/1000+'Inputs'!$B$21)+'Inputs'!$B$9)/SQRT((((767-43)*MAX('Inputs'!$B$33,'Inputs'!$B$29+'Inputs'!$B$31+'Inputs'!$B$32,'Inputs'!$B$30+'Inputs'!$B$31+'Inputs'!$B$32)/1000+'Inputs'!$B$21)+'Inputs'!$B$9)^2+('Inputs'!$B$8/2)^2)-(((767-43)*MAX('Inputs'!$B$33,'Inputs'!$B$29+'Inputs'!$B$31+'Inputs'!$B$32,'Inputs'!$B$30+'Inputs'!$B$31+'Inputs'!$B$32)/1000+'Inputs'!$B$21))/SQRT((((767-43)*MAX('Inputs'!$B$33,'Inputs'!$B$29+'Inputs'!$B$31+'Inputs'!$B$32,'Inputs'!$B$30+'Inputs'!$B$31+'Inputs'!$B$32)/1000+'Inputs'!$B$21))^2+('Inputs'!$B$8/2)^2)))-'Results'!B7*(1+'Inputs'!$B$24)*(0.5*((((767-43)*MAX('Inputs'!$B$33,'Inputs'!$B$29+'Inputs'!$B$31+'Inputs'!$B$32,'Inputs'!$B$30+'Inputs'!$B$31+'Inputs'!$B$32)/1000+'Inputs'!$B$21+'Inputs'!$B$9+'Inputs'!$B$10)+'Inputs'!$B$7)/SQRT((((767-43)*MAX('Inputs'!$B$33,'Inputs'!$B$29+'Inputs'!$B$31+'Inputs'!$B$32,'Inputs'!$B$30+'Inputs'!$B$31+'Inputs'!$B$32)/1000+'Inputs'!$B$21+'Inputs'!$B$9+'Inputs'!$B$10)+'Inputs'!$B$7)^2+('Inputs'!$B$6/2)^2)-(((767-43)*MAX('Inputs'!$B$33,'Inputs'!$B$29+'Inputs'!$B$31+'Inputs'!$B$32,'Inputs'!$B$30+'Inputs'!$B$31+'Inputs'!$B$32)/1000+'Inputs'!$B$21+'Inputs'!$B$9+'Inputs'!$B$10))/SQRT((((767-43)*MAX('Inputs'!$B$33,'Inputs'!$B$29+'Inputs'!$B$31+'Inputs'!$B$32,'Inputs'!$B$30+'Inputs'!$B$31+'Inputs'!$B$32)/1000+'Inputs'!$B$21+'Inputs'!$B$9+'Inputs'!$B$10))^2+('Inputs'!$B$6/2)^2))))*'Results'!$B$8))),"")</x:f>
        <x:v>0.8903417084622859</x:v>
      </x:c>
      <x:c r="O767" t="n">
        <x:f>IF(AND(ISNUMBER('Results'!C7),ISNUMBER('Results'!B7),ISNUMBER('Results'!$B$8),ISNUMBER('Inputs'!$B$6),ISNUMBER('Inputs'!$B$7),ISNUMBER('Inputs'!$B$8),ISNUMBER('Inputs'!$B$9),ISNUMBER('Inputs'!$B$10),ISNUMBER('Inputs'!$B$21),ISNUMBER('Inputs'!$B$24),ISNUMBER('Inputs'!$B$28)),((('Results'!C7*(1+'Inputs'!$B$24)*(0.5*((((767-43)*MAX('Inputs'!$B$33,'Inputs'!$B$29+'Inputs'!$B$31+'Inputs'!$B$32,'Inputs'!$B$30+'Inputs'!$B$31+'Inputs'!$B$32)/1000+'Inputs'!$B$21)+'Inputs'!$B$9)/SQRT((((767-43)*MAX('Inputs'!$B$33,'Inputs'!$B$29+'Inputs'!$B$31+'Inputs'!$B$32,'Inputs'!$B$30+'Inputs'!$B$31+'Inputs'!$B$32)/1000+'Inputs'!$B$21)+'Inputs'!$B$9)^2+('Inputs'!$B$8/2)^2)-(((767-43)*MAX('Inputs'!$B$33,'Inputs'!$B$29+'Inputs'!$B$31+'Inputs'!$B$32,'Inputs'!$B$30+'Inputs'!$B$31+'Inputs'!$B$32)/1000+'Inputs'!$B$21))/SQRT((((767-43)*MAX('Inputs'!$B$33,'Inputs'!$B$29+'Inputs'!$B$31+'Inputs'!$B$32,'Inputs'!$B$30+'Inputs'!$B$31+'Inputs'!$B$32)/1000+'Inputs'!$B$21))^2+('Inputs'!$B$8/2)^2)))-'Results'!B7*(1-'Inputs'!$B$24)*(0.5*((((767-43)*MAX('Inputs'!$B$33,'Inputs'!$B$29+'Inputs'!$B$31+'Inputs'!$B$32,'Inputs'!$B$30+'Inputs'!$B$31+'Inputs'!$B$32)/1000+'Inputs'!$B$21+'Inputs'!$B$9+'Inputs'!$B$10)+'Inputs'!$B$7)/SQRT((((767-43)*MAX('Inputs'!$B$33,'Inputs'!$B$29+'Inputs'!$B$31+'Inputs'!$B$32,'Inputs'!$B$30+'Inputs'!$B$31+'Inputs'!$B$32)/1000+'Inputs'!$B$21+'Inputs'!$B$9+'Inputs'!$B$10)+'Inputs'!$B$7)^2+('Inputs'!$B$6/2)^2)-(((767-43)*MAX('Inputs'!$B$33,'Inputs'!$B$29+'Inputs'!$B$31+'Inputs'!$B$32,'Inputs'!$B$30+'Inputs'!$B$31+'Inputs'!$B$32)/1000+'Inputs'!$B$21+'Inputs'!$B$9+'Inputs'!$B$10))/SQRT((((767-43)*MAX('Inputs'!$B$33,'Inputs'!$B$29+'Inputs'!$B$31+'Inputs'!$B$32,'Inputs'!$B$30+'Inputs'!$B$31+'Inputs'!$B$32)/1000+'Inputs'!$B$21+'Inputs'!$B$9+'Inputs'!$B$10))^2+('Inputs'!$B$6/2)^2))))*'Results'!$B$8)+'Inputs'!$B$28*ABS((('Results'!C7*(1+'Inputs'!$B$24)*(0.5*((((767-43)*MAX('Inputs'!$B$33,'Inputs'!$B$29+'Inputs'!$B$31+'Inputs'!$B$32,'Inputs'!$B$30+'Inputs'!$B$31+'Inputs'!$B$32)/1000+'Inputs'!$B$21)+'Inputs'!$B$9)/SQRT((((767-43)*MAX('Inputs'!$B$33,'Inputs'!$B$29+'Inputs'!$B$31+'Inputs'!$B$32,'Inputs'!$B$30+'Inputs'!$B$31+'Inputs'!$B$32)/1000+'Inputs'!$B$21)+'Inputs'!$B$9)^2+('Inputs'!$B$8/2)^2)-(((767-43)*MAX('Inputs'!$B$33,'Inputs'!$B$29+'Inputs'!$B$31+'Inputs'!$B$32,'Inputs'!$B$30+'Inputs'!$B$31+'Inputs'!$B$32)/1000+'Inputs'!$B$21))/SQRT((((767-43)*MAX('Inputs'!$B$33,'Inputs'!$B$29+'Inputs'!$B$31+'Inputs'!$B$32,'Inputs'!$B$30+'Inputs'!$B$31+'Inputs'!$B$32)/1000+'Inputs'!$B$21))^2+('Inputs'!$B$8/2)^2)))-'Results'!B7*(1-'Inputs'!$B$24)*(0.5*((((767-43)*MAX('Inputs'!$B$33,'Inputs'!$B$29+'Inputs'!$B$31+'Inputs'!$B$32,'Inputs'!$B$30+'Inputs'!$B$31+'Inputs'!$B$32)/1000+'Inputs'!$B$21+'Inputs'!$B$9+'Inputs'!$B$10)+'Inputs'!$B$7)/SQRT((((767-43)*MAX('Inputs'!$B$33,'Inputs'!$B$29+'Inputs'!$B$31+'Inputs'!$B$32,'Inputs'!$B$30+'Inputs'!$B$31+'Inputs'!$B$32)/1000+'Inputs'!$B$21+'Inputs'!$B$9+'Inputs'!$B$10)+'Inputs'!$B$7)^2+('Inputs'!$B$6/2)^2)-(((767-43)*MAX('Inputs'!$B$33,'Inputs'!$B$29+'Inputs'!$B$31+'Inputs'!$B$32,'Inputs'!$B$30+'Inputs'!$B$31+'Inputs'!$B$32)/1000+'Inputs'!$B$21+'Inputs'!$B$9+'Inputs'!$B$10))/SQRT((((767-43)*MAX('Inputs'!$B$33,'Inputs'!$B$29+'Inputs'!$B$31+'Inputs'!$B$32,'Inputs'!$B$30+'Inputs'!$B$31+'Inputs'!$B$32)/1000+'Inputs'!$B$21+'Inputs'!$B$9+'Inputs'!$B$10))^2+('Inputs'!$B$6/2)^2))))*'Results'!$B$8))),"")</x:f>
        <x:v>1.2023747427342861</x:v>
      </x:c>
      <x:c r="P767" t="n">
        <x:f>IF(AND(MAX(J767,J766)&gt;0,J767&gt;J766+0.00000001),1,0)</x:f>
        <x:v>0</x:v>
      </x:c>
      <x:c r="Q767" t="n">
        <x:f>IF(AND(MAX(K767,K766)&gt;0,K767&gt;K766+0.00000001),1,0)</x:f>
        <x:v>0</x:v>
      </x:c>
      <x:c r="R767" t="n">
        <x:f>IF(AND(MAX(L767,L766)&gt;0,L767&gt;L766+0.00000001),1,0)</x:f>
        <x:v>0</x:v>
      </x:c>
      <x:c r="S767" t="n">
        <x:f>IF(AND(MAX(M767,M766)&gt;0,M767&gt;M766+0.00000001),1,0)</x:f>
        <x:v>0</x:v>
      </x:c>
      <x:c r="T767" t="n">
        <x:f>IF(AND(MAX(N767,N766)&gt;0,N767&gt;N766+0.00000001),1,0)</x:f>
        <x:v>0</x:v>
      </x:c>
      <x:c r="U767" t="n">
        <x:f>IF(AND(MAX(O767,O766)&gt;0,O767&gt;O766+0.00000001),1,0)</x:f>
        <x:v>0</x:v>
      </x:c>
    </x:row>
    <x:row r="768">
      <x:c r="J768" t="n">
        <x:f>IF(AND(ISNUMBER('Results'!B7),ISNUMBER('Results'!C7),ISNUMBER('Results'!$B$8),ISNUMBER('Inputs'!$B$6),ISNUMBER('Inputs'!$B$7),ISNUMBER('Inputs'!$B$8),ISNUMBER('Inputs'!$B$9),ISNUMBER('Inputs'!$B$10),ISNUMBER('Inputs'!$B$21),ISNUMBER('Inputs'!$B$24),ISNUMBER('Inputs'!$B$28)),(('Results'!B7*(0.5*((((768-43)*MAX('Inputs'!$B$33,'Inputs'!$B$29+'Inputs'!$B$31+'Inputs'!$B$32,'Inputs'!$B$30+'Inputs'!$B$31+'Inputs'!$B$32)/1000+'Inputs'!$B$21)+'Inputs'!$B$7)/SQRT((((768-43)*MAX('Inputs'!$B$33,'Inputs'!$B$29+'Inputs'!$B$31+'Inputs'!$B$32,'Inputs'!$B$30+'Inputs'!$B$31+'Inputs'!$B$32)/1000+'Inputs'!$B$21)+'Inputs'!$B$7)^2+('Inputs'!$B$6/2)^2)-(((768-43)*MAX('Inputs'!$B$33,'Inputs'!$B$29+'Inputs'!$B$31+'Inputs'!$B$32,'Inputs'!$B$30+'Inputs'!$B$31+'Inputs'!$B$32)/1000+'Inputs'!$B$21))/SQRT((((768-43)*MAX('Inputs'!$B$33,'Inputs'!$B$29+'Inputs'!$B$31+'Inputs'!$B$32,'Inputs'!$B$30+'Inputs'!$B$31+'Inputs'!$B$32)/1000+'Inputs'!$B$21))^2+('Inputs'!$B$6/2)^2)))-'Results'!C7*(0.5*((((768-43)*MAX('Inputs'!$B$33,'Inputs'!$B$29+'Inputs'!$B$31+'Inputs'!$B$32,'Inputs'!$B$30+'Inputs'!$B$31+'Inputs'!$B$32)/1000+'Inputs'!$B$21+'Inputs'!$B$7+'Inputs'!$B$10)+'Inputs'!$B$9)/SQRT((((768-43)*MAX('Inputs'!$B$33,'Inputs'!$B$29+'Inputs'!$B$31+'Inputs'!$B$32,'Inputs'!$B$30+'Inputs'!$B$31+'Inputs'!$B$32)/1000+'Inputs'!$B$21+'Inputs'!$B$7+'Inputs'!$B$10)+'Inputs'!$B$9)^2+('Inputs'!$B$8/2)^2)-(((768-43)*MAX('Inputs'!$B$33,'Inputs'!$B$29+'Inputs'!$B$31+'Inputs'!$B$32,'Inputs'!$B$30+'Inputs'!$B$31+'Inputs'!$B$32)/1000+'Inputs'!$B$21+'Inputs'!$B$7+'Inputs'!$B$10))/SQRT((((768-43)*MAX('Inputs'!$B$33,'Inputs'!$B$29+'Inputs'!$B$31+'Inputs'!$B$32,'Inputs'!$B$30+'Inputs'!$B$31+'Inputs'!$B$32)/1000+'Inputs'!$B$21+'Inputs'!$B$7+'Inputs'!$B$10))^2+('Inputs'!$B$8/2)^2))))*'Results'!$B$8),"")</x:f>
        <x:v>1.1407661036002115</x:v>
      </x:c>
      <x:c r="K768" t="n">
        <x:f>IF(AND(ISNUMBER('Results'!B7),ISNUMBER('Results'!C7),ISNUMBER('Results'!$B$8),ISNUMBER('Inputs'!$B$6),ISNUMBER('Inputs'!$B$7),ISNUMBER('Inputs'!$B$8),ISNUMBER('Inputs'!$B$9),ISNUMBER('Inputs'!$B$10),ISNUMBER('Inputs'!$B$21),ISNUMBER('Inputs'!$B$24),ISNUMBER('Inputs'!$B$28)),((('Results'!B7*(1-'Inputs'!$B$24)*(0.5*((((768-43)*MAX('Inputs'!$B$33,'Inputs'!$B$29+'Inputs'!$B$31+'Inputs'!$B$32,'Inputs'!$B$30+'Inputs'!$B$31+'Inputs'!$B$32)/1000+'Inputs'!$B$21)+'Inputs'!$B$7)/SQRT((((768-43)*MAX('Inputs'!$B$33,'Inputs'!$B$29+'Inputs'!$B$31+'Inputs'!$B$32,'Inputs'!$B$30+'Inputs'!$B$31+'Inputs'!$B$32)/1000+'Inputs'!$B$21)+'Inputs'!$B$7)^2+('Inputs'!$B$6/2)^2)-(((768-43)*MAX('Inputs'!$B$33,'Inputs'!$B$29+'Inputs'!$B$31+'Inputs'!$B$32,'Inputs'!$B$30+'Inputs'!$B$31+'Inputs'!$B$32)/1000+'Inputs'!$B$21))/SQRT((((768-43)*MAX('Inputs'!$B$33,'Inputs'!$B$29+'Inputs'!$B$31+'Inputs'!$B$32,'Inputs'!$B$30+'Inputs'!$B$31+'Inputs'!$B$32)/1000+'Inputs'!$B$21))^2+('Inputs'!$B$6/2)^2)))-'Results'!C7*(1+'Inputs'!$B$24)*(0.5*((((768-43)*MAX('Inputs'!$B$33,'Inputs'!$B$29+'Inputs'!$B$31+'Inputs'!$B$32,'Inputs'!$B$30+'Inputs'!$B$31+'Inputs'!$B$32)/1000+'Inputs'!$B$21+'Inputs'!$B$7+'Inputs'!$B$10)+'Inputs'!$B$9)/SQRT((((768-43)*MAX('Inputs'!$B$33,'Inputs'!$B$29+'Inputs'!$B$31+'Inputs'!$B$32,'Inputs'!$B$30+'Inputs'!$B$31+'Inputs'!$B$32)/1000+'Inputs'!$B$21+'Inputs'!$B$7+'Inputs'!$B$10)+'Inputs'!$B$9)^2+('Inputs'!$B$8/2)^2)-(((768-43)*MAX('Inputs'!$B$33,'Inputs'!$B$29+'Inputs'!$B$31+'Inputs'!$B$32,'Inputs'!$B$30+'Inputs'!$B$31+'Inputs'!$B$32)/1000+'Inputs'!$B$21+'Inputs'!$B$7+'Inputs'!$B$10))/SQRT((((768-43)*MAX('Inputs'!$B$33,'Inputs'!$B$29+'Inputs'!$B$31+'Inputs'!$B$32,'Inputs'!$B$30+'Inputs'!$B$31+'Inputs'!$B$32)/1000+'Inputs'!$B$21+'Inputs'!$B$7+'Inputs'!$B$10))^2+('Inputs'!$B$8/2)^2))))*'Results'!$B$8)-'Inputs'!$B$28*ABS((('Results'!B7*(1-'Inputs'!$B$24)*(0.5*((((768-43)*MAX('Inputs'!$B$33,'Inputs'!$B$29+'Inputs'!$B$31+'Inputs'!$B$32,'Inputs'!$B$30+'Inputs'!$B$31+'Inputs'!$B$32)/1000+'Inputs'!$B$21)+'Inputs'!$B$7)/SQRT((((768-43)*MAX('Inputs'!$B$33,'Inputs'!$B$29+'Inputs'!$B$31+'Inputs'!$B$32,'Inputs'!$B$30+'Inputs'!$B$31+'Inputs'!$B$32)/1000+'Inputs'!$B$21)+'Inputs'!$B$7)^2+('Inputs'!$B$6/2)^2)-(((768-43)*MAX('Inputs'!$B$33,'Inputs'!$B$29+'Inputs'!$B$31+'Inputs'!$B$32,'Inputs'!$B$30+'Inputs'!$B$31+'Inputs'!$B$32)/1000+'Inputs'!$B$21))/SQRT((((768-43)*MAX('Inputs'!$B$33,'Inputs'!$B$29+'Inputs'!$B$31+'Inputs'!$B$32,'Inputs'!$B$30+'Inputs'!$B$31+'Inputs'!$B$32)/1000+'Inputs'!$B$21))^2+('Inputs'!$B$6/2)^2)))-'Results'!C7*(1+'Inputs'!$B$24)*(0.5*((((768-43)*MAX('Inputs'!$B$33,'Inputs'!$B$29+'Inputs'!$B$31+'Inputs'!$B$32,'Inputs'!$B$30+'Inputs'!$B$31+'Inputs'!$B$32)/1000+'Inputs'!$B$21+'Inputs'!$B$7+'Inputs'!$B$10)+'Inputs'!$B$9)/SQRT((((768-43)*MAX('Inputs'!$B$33,'Inputs'!$B$29+'Inputs'!$B$31+'Inputs'!$B$32,'Inputs'!$B$30+'Inputs'!$B$31+'Inputs'!$B$32)/1000+'Inputs'!$B$21+'Inputs'!$B$7+'Inputs'!$B$10)+'Inputs'!$B$9)^2+('Inputs'!$B$8/2)^2)-(((768-43)*MAX('Inputs'!$B$33,'Inputs'!$B$29+'Inputs'!$B$31+'Inputs'!$B$32,'Inputs'!$B$30+'Inputs'!$B$31+'Inputs'!$B$32)/1000+'Inputs'!$B$21+'Inputs'!$B$7+'Inputs'!$B$10))/SQRT((((768-43)*MAX('Inputs'!$B$33,'Inputs'!$B$29+'Inputs'!$B$31+'Inputs'!$B$32,'Inputs'!$B$30+'Inputs'!$B$31+'Inputs'!$B$32)/1000+'Inputs'!$B$21+'Inputs'!$B$7+'Inputs'!$B$10))^2+('Inputs'!$B$8/2)^2))))*'Results'!$B$8))),"")</x:f>
        <x:v>0.9849220154403535</x:v>
      </x:c>
      <x:c r="L768" t="n">
        <x:f>IF(AND(ISNUMBER('Results'!B7),ISNUMBER('Results'!C7),ISNUMBER('Results'!$B$8),ISNUMBER('Inputs'!$B$6),ISNUMBER('Inputs'!$B$7),ISNUMBER('Inputs'!$B$8),ISNUMBER('Inputs'!$B$9),ISNUMBER('Inputs'!$B$10),ISNUMBER('Inputs'!$B$21),ISNUMBER('Inputs'!$B$24),ISNUMBER('Inputs'!$B$28)),((('Results'!B7*(1+'Inputs'!$B$24)*(0.5*((((768-43)*MAX('Inputs'!$B$33,'Inputs'!$B$29+'Inputs'!$B$31+'Inputs'!$B$32,'Inputs'!$B$30+'Inputs'!$B$31+'Inputs'!$B$32)/1000+'Inputs'!$B$21)+'Inputs'!$B$7)/SQRT((((768-43)*MAX('Inputs'!$B$33,'Inputs'!$B$29+'Inputs'!$B$31+'Inputs'!$B$32,'Inputs'!$B$30+'Inputs'!$B$31+'Inputs'!$B$32)/1000+'Inputs'!$B$21)+'Inputs'!$B$7)^2+('Inputs'!$B$6/2)^2)-(((768-43)*MAX('Inputs'!$B$33,'Inputs'!$B$29+'Inputs'!$B$31+'Inputs'!$B$32,'Inputs'!$B$30+'Inputs'!$B$31+'Inputs'!$B$32)/1000+'Inputs'!$B$21))/SQRT((((768-43)*MAX('Inputs'!$B$33,'Inputs'!$B$29+'Inputs'!$B$31+'Inputs'!$B$32,'Inputs'!$B$30+'Inputs'!$B$31+'Inputs'!$B$32)/1000+'Inputs'!$B$21))^2+('Inputs'!$B$6/2)^2)))-'Results'!C7*(1-'Inputs'!$B$24)*(0.5*((((768-43)*MAX('Inputs'!$B$33,'Inputs'!$B$29+'Inputs'!$B$31+'Inputs'!$B$32,'Inputs'!$B$30+'Inputs'!$B$31+'Inputs'!$B$32)/1000+'Inputs'!$B$21+'Inputs'!$B$7+'Inputs'!$B$10)+'Inputs'!$B$9)/SQRT((((768-43)*MAX('Inputs'!$B$33,'Inputs'!$B$29+'Inputs'!$B$31+'Inputs'!$B$32,'Inputs'!$B$30+'Inputs'!$B$31+'Inputs'!$B$32)/1000+'Inputs'!$B$21+'Inputs'!$B$7+'Inputs'!$B$10)+'Inputs'!$B$9)^2+('Inputs'!$B$8/2)^2)-(((768-43)*MAX('Inputs'!$B$33,'Inputs'!$B$29+'Inputs'!$B$31+'Inputs'!$B$32,'Inputs'!$B$30+'Inputs'!$B$31+'Inputs'!$B$32)/1000+'Inputs'!$B$21+'Inputs'!$B$7+'Inputs'!$B$10))/SQRT((((768-43)*MAX('Inputs'!$B$33,'Inputs'!$B$29+'Inputs'!$B$31+'Inputs'!$B$32,'Inputs'!$B$30+'Inputs'!$B$31+'Inputs'!$B$32)/1000+'Inputs'!$B$21+'Inputs'!$B$7+'Inputs'!$B$10))^2+('Inputs'!$B$8/2)^2))))*'Results'!$B$8)+'Inputs'!$B$28*ABS((('Results'!B7*(1+'Inputs'!$B$24)*(0.5*((((768-43)*MAX('Inputs'!$B$33,'Inputs'!$B$29+'Inputs'!$B$31+'Inputs'!$B$32,'Inputs'!$B$30+'Inputs'!$B$31+'Inputs'!$B$32)/1000+'Inputs'!$B$21)+'Inputs'!$B$7)/SQRT((((768-43)*MAX('Inputs'!$B$33,'Inputs'!$B$29+'Inputs'!$B$31+'Inputs'!$B$32,'Inputs'!$B$30+'Inputs'!$B$31+'Inputs'!$B$32)/1000+'Inputs'!$B$21)+'Inputs'!$B$7)^2+('Inputs'!$B$6/2)^2)-(((768-43)*MAX('Inputs'!$B$33,'Inputs'!$B$29+'Inputs'!$B$31+'Inputs'!$B$32,'Inputs'!$B$30+'Inputs'!$B$31+'Inputs'!$B$32)/1000+'Inputs'!$B$21))/SQRT((((768-43)*MAX('Inputs'!$B$33,'Inputs'!$B$29+'Inputs'!$B$31+'Inputs'!$B$32,'Inputs'!$B$30+'Inputs'!$B$31+'Inputs'!$B$32)/1000+'Inputs'!$B$21))^2+('Inputs'!$B$6/2)^2)))-'Results'!C7*(1-'Inputs'!$B$24)*(0.5*((((768-43)*MAX('Inputs'!$B$33,'Inputs'!$B$29+'Inputs'!$B$31+'Inputs'!$B$32,'Inputs'!$B$30+'Inputs'!$B$31+'Inputs'!$B$32)/1000+'Inputs'!$B$21+'Inputs'!$B$7+'Inputs'!$B$10)+'Inputs'!$B$9)/SQRT((((768-43)*MAX('Inputs'!$B$33,'Inputs'!$B$29+'Inputs'!$B$31+'Inputs'!$B$32,'Inputs'!$B$30+'Inputs'!$B$31+'Inputs'!$B$32)/1000+'Inputs'!$B$21+'Inputs'!$B$7+'Inputs'!$B$10)+'Inputs'!$B$9)^2+('Inputs'!$B$8/2)^2)-(((768-43)*MAX('Inputs'!$B$33,'Inputs'!$B$29+'Inputs'!$B$31+'Inputs'!$B$32,'Inputs'!$B$30+'Inputs'!$B$31+'Inputs'!$B$32)/1000+'Inputs'!$B$21+'Inputs'!$B$7+'Inputs'!$B$10))/SQRT((((768-43)*MAX('Inputs'!$B$33,'Inputs'!$B$29+'Inputs'!$B$31+'Inputs'!$B$32,'Inputs'!$B$30+'Inputs'!$B$31+'Inputs'!$B$32)/1000+'Inputs'!$B$21+'Inputs'!$B$7+'Inputs'!$B$10))^2+('Inputs'!$B$8/2)^2))))*'Results'!$B$8))),"")</x:f>
        <x:v>1.3070108004947902</x:v>
      </x:c>
      <x:c r="M768" t="n">
        <x:f>IF(AND(ISNUMBER('Results'!C7),ISNUMBER('Results'!B7),ISNUMBER('Results'!$B$8),ISNUMBER('Inputs'!$B$6),ISNUMBER('Inputs'!$B$7),ISNUMBER('Inputs'!$B$8),ISNUMBER('Inputs'!$B$9),ISNUMBER('Inputs'!$B$10),ISNUMBER('Inputs'!$B$21),ISNUMBER('Inputs'!$B$24),ISNUMBER('Inputs'!$B$28)),(('Results'!C7*(0.5*((((768-43)*MAX('Inputs'!$B$33,'Inputs'!$B$29+'Inputs'!$B$31+'Inputs'!$B$32,'Inputs'!$B$30+'Inputs'!$B$31+'Inputs'!$B$32)/1000+'Inputs'!$B$21)+'Inputs'!$B$9)/SQRT((((768-43)*MAX('Inputs'!$B$33,'Inputs'!$B$29+'Inputs'!$B$31+'Inputs'!$B$32,'Inputs'!$B$30+'Inputs'!$B$31+'Inputs'!$B$32)/1000+'Inputs'!$B$21)+'Inputs'!$B$9)^2+('Inputs'!$B$8/2)^2)-(((768-43)*MAX('Inputs'!$B$33,'Inputs'!$B$29+'Inputs'!$B$31+'Inputs'!$B$32,'Inputs'!$B$30+'Inputs'!$B$31+'Inputs'!$B$32)/1000+'Inputs'!$B$21))/SQRT((((768-43)*MAX('Inputs'!$B$33,'Inputs'!$B$29+'Inputs'!$B$31+'Inputs'!$B$32,'Inputs'!$B$30+'Inputs'!$B$31+'Inputs'!$B$32)/1000+'Inputs'!$B$21))^2+('Inputs'!$B$8/2)^2)))-'Results'!B7*(0.5*((((768-43)*MAX('Inputs'!$B$33,'Inputs'!$B$29+'Inputs'!$B$31+'Inputs'!$B$32,'Inputs'!$B$30+'Inputs'!$B$31+'Inputs'!$B$32)/1000+'Inputs'!$B$21+'Inputs'!$B$9+'Inputs'!$B$10)+'Inputs'!$B$7)/SQRT((((768-43)*MAX('Inputs'!$B$33,'Inputs'!$B$29+'Inputs'!$B$31+'Inputs'!$B$32,'Inputs'!$B$30+'Inputs'!$B$31+'Inputs'!$B$32)/1000+'Inputs'!$B$21+'Inputs'!$B$9+'Inputs'!$B$10)+'Inputs'!$B$7)^2+('Inputs'!$B$6/2)^2)-(((768-43)*MAX('Inputs'!$B$33,'Inputs'!$B$29+'Inputs'!$B$31+'Inputs'!$B$32,'Inputs'!$B$30+'Inputs'!$B$31+'Inputs'!$B$32)/1000+'Inputs'!$B$21+'Inputs'!$B$9+'Inputs'!$B$10))/SQRT((((768-43)*MAX('Inputs'!$B$33,'Inputs'!$B$29+'Inputs'!$B$31+'Inputs'!$B$32,'Inputs'!$B$30+'Inputs'!$B$31+'Inputs'!$B$32)/1000+'Inputs'!$B$21+'Inputs'!$B$9+'Inputs'!$B$10))^2+('Inputs'!$B$6/2)^2))))*'Results'!$B$8),"")</x:f>
        <x:v>1.0359315390563182</x:v>
      </x:c>
      <x:c r="N768" t="n">
        <x:f>IF(AND(ISNUMBER('Results'!C7),ISNUMBER('Results'!B7),ISNUMBER('Results'!$B$8),ISNUMBER('Inputs'!$B$6),ISNUMBER('Inputs'!$B$7),ISNUMBER('Inputs'!$B$8),ISNUMBER('Inputs'!$B$9),ISNUMBER('Inputs'!$B$10),ISNUMBER('Inputs'!$B$21),ISNUMBER('Inputs'!$B$24),ISNUMBER('Inputs'!$B$28)),((('Results'!C7*(1-'Inputs'!$B$24)*(0.5*((((768-43)*MAX('Inputs'!$B$33,'Inputs'!$B$29+'Inputs'!$B$31+'Inputs'!$B$32,'Inputs'!$B$30+'Inputs'!$B$31+'Inputs'!$B$32)/1000+'Inputs'!$B$21)+'Inputs'!$B$9)/SQRT((((768-43)*MAX('Inputs'!$B$33,'Inputs'!$B$29+'Inputs'!$B$31+'Inputs'!$B$32,'Inputs'!$B$30+'Inputs'!$B$31+'Inputs'!$B$32)/1000+'Inputs'!$B$21)+'Inputs'!$B$9)^2+('Inputs'!$B$8/2)^2)-(((768-43)*MAX('Inputs'!$B$33,'Inputs'!$B$29+'Inputs'!$B$31+'Inputs'!$B$32,'Inputs'!$B$30+'Inputs'!$B$31+'Inputs'!$B$32)/1000+'Inputs'!$B$21))/SQRT((((768-43)*MAX('Inputs'!$B$33,'Inputs'!$B$29+'Inputs'!$B$31+'Inputs'!$B$32,'Inputs'!$B$30+'Inputs'!$B$31+'Inputs'!$B$32)/1000+'Inputs'!$B$21))^2+('Inputs'!$B$8/2)^2)))-'Results'!B7*(1+'Inputs'!$B$24)*(0.5*((((768-43)*MAX('Inputs'!$B$33,'Inputs'!$B$29+'Inputs'!$B$31+'Inputs'!$B$32,'Inputs'!$B$30+'Inputs'!$B$31+'Inputs'!$B$32)/1000+'Inputs'!$B$21+'Inputs'!$B$9+'Inputs'!$B$10)+'Inputs'!$B$7)/SQRT((((768-43)*MAX('Inputs'!$B$33,'Inputs'!$B$29+'Inputs'!$B$31+'Inputs'!$B$32,'Inputs'!$B$30+'Inputs'!$B$31+'Inputs'!$B$32)/1000+'Inputs'!$B$21+'Inputs'!$B$9+'Inputs'!$B$10)+'Inputs'!$B$7)^2+('Inputs'!$B$6/2)^2)-(((768-43)*MAX('Inputs'!$B$33,'Inputs'!$B$29+'Inputs'!$B$31+'Inputs'!$B$32,'Inputs'!$B$30+'Inputs'!$B$31+'Inputs'!$B$32)/1000+'Inputs'!$B$21+'Inputs'!$B$9+'Inputs'!$B$10))/SQRT((((768-43)*MAX('Inputs'!$B$33,'Inputs'!$B$29+'Inputs'!$B$31+'Inputs'!$B$32,'Inputs'!$B$30+'Inputs'!$B$31+'Inputs'!$B$32)/1000+'Inputs'!$B$21+'Inputs'!$B$9+'Inputs'!$B$10))^2+('Inputs'!$B$6/2)^2))))*'Results'!$B$8)-'Inputs'!$B$28*ABS((('Results'!C7*(1-'Inputs'!$B$24)*(0.5*((((768-43)*MAX('Inputs'!$B$33,'Inputs'!$B$29+'Inputs'!$B$31+'Inputs'!$B$32,'Inputs'!$B$30+'Inputs'!$B$31+'Inputs'!$B$32)/1000+'Inputs'!$B$21)+'Inputs'!$B$9)/SQRT((((768-43)*MAX('Inputs'!$B$33,'Inputs'!$B$29+'Inputs'!$B$31+'Inputs'!$B$32,'Inputs'!$B$30+'Inputs'!$B$31+'Inputs'!$B$32)/1000+'Inputs'!$B$21)+'Inputs'!$B$9)^2+('Inputs'!$B$8/2)^2)-(((768-43)*MAX('Inputs'!$B$33,'Inputs'!$B$29+'Inputs'!$B$31+'Inputs'!$B$32,'Inputs'!$B$30+'Inputs'!$B$31+'Inputs'!$B$32)/1000+'Inputs'!$B$21))/SQRT((((768-43)*MAX('Inputs'!$B$33,'Inputs'!$B$29+'Inputs'!$B$31+'Inputs'!$B$32,'Inputs'!$B$30+'Inputs'!$B$31+'Inputs'!$B$32)/1000+'Inputs'!$B$21))^2+('Inputs'!$B$8/2)^2)))-'Results'!B7*(1+'Inputs'!$B$24)*(0.5*((((768-43)*MAX('Inputs'!$B$33,'Inputs'!$B$29+'Inputs'!$B$31+'Inputs'!$B$32,'Inputs'!$B$30+'Inputs'!$B$31+'Inputs'!$B$32)/1000+'Inputs'!$B$21+'Inputs'!$B$9+'Inputs'!$B$10)+'Inputs'!$B$7)/SQRT((((768-43)*MAX('Inputs'!$B$33,'Inputs'!$B$29+'Inputs'!$B$31+'Inputs'!$B$32,'Inputs'!$B$30+'Inputs'!$B$31+'Inputs'!$B$32)/1000+'Inputs'!$B$21+'Inputs'!$B$9+'Inputs'!$B$10)+'Inputs'!$B$7)^2+('Inputs'!$B$6/2)^2)-(((768-43)*MAX('Inputs'!$B$33,'Inputs'!$B$29+'Inputs'!$B$31+'Inputs'!$B$32,'Inputs'!$B$30+'Inputs'!$B$31+'Inputs'!$B$32)/1000+'Inputs'!$B$21+'Inputs'!$B$9+'Inputs'!$B$10))/SQRT((((768-43)*MAX('Inputs'!$B$33,'Inputs'!$B$29+'Inputs'!$B$31+'Inputs'!$B$32,'Inputs'!$B$30+'Inputs'!$B$31+'Inputs'!$B$32)/1000+'Inputs'!$B$21+'Inputs'!$B$9+'Inputs'!$B$10))^2+('Inputs'!$B$6/2)^2))))*'Results'!$B$8))),"")</x:f>
        <x:v>0.8857469291762861</x:v>
      </x:c>
      <x:c r="O768" t="n">
        <x:f>IF(AND(ISNUMBER('Results'!C7),ISNUMBER('Results'!B7),ISNUMBER('Results'!$B$8),ISNUMBER('Inputs'!$B$6),ISNUMBER('Inputs'!$B$7),ISNUMBER('Inputs'!$B$8),ISNUMBER('Inputs'!$B$9),ISNUMBER('Inputs'!$B$10),ISNUMBER('Inputs'!$B$21),ISNUMBER('Inputs'!$B$24),ISNUMBER('Inputs'!$B$28)),((('Results'!C7*(1+'Inputs'!$B$24)*(0.5*((((768-43)*MAX('Inputs'!$B$33,'Inputs'!$B$29+'Inputs'!$B$31+'Inputs'!$B$32,'Inputs'!$B$30+'Inputs'!$B$31+'Inputs'!$B$32)/1000+'Inputs'!$B$21)+'Inputs'!$B$9)/SQRT((((768-43)*MAX('Inputs'!$B$33,'Inputs'!$B$29+'Inputs'!$B$31+'Inputs'!$B$32,'Inputs'!$B$30+'Inputs'!$B$31+'Inputs'!$B$32)/1000+'Inputs'!$B$21)+'Inputs'!$B$9)^2+('Inputs'!$B$8/2)^2)-(((768-43)*MAX('Inputs'!$B$33,'Inputs'!$B$29+'Inputs'!$B$31+'Inputs'!$B$32,'Inputs'!$B$30+'Inputs'!$B$31+'Inputs'!$B$32)/1000+'Inputs'!$B$21))/SQRT((((768-43)*MAX('Inputs'!$B$33,'Inputs'!$B$29+'Inputs'!$B$31+'Inputs'!$B$32,'Inputs'!$B$30+'Inputs'!$B$31+'Inputs'!$B$32)/1000+'Inputs'!$B$21))^2+('Inputs'!$B$8/2)^2)))-'Results'!B7*(1-'Inputs'!$B$24)*(0.5*((((768-43)*MAX('Inputs'!$B$33,'Inputs'!$B$29+'Inputs'!$B$31+'Inputs'!$B$32,'Inputs'!$B$30+'Inputs'!$B$31+'Inputs'!$B$32)/1000+'Inputs'!$B$21+'Inputs'!$B$9+'Inputs'!$B$10)+'Inputs'!$B$7)/SQRT((((768-43)*MAX('Inputs'!$B$33,'Inputs'!$B$29+'Inputs'!$B$31+'Inputs'!$B$32,'Inputs'!$B$30+'Inputs'!$B$31+'Inputs'!$B$32)/1000+'Inputs'!$B$21+'Inputs'!$B$9+'Inputs'!$B$10)+'Inputs'!$B$7)^2+('Inputs'!$B$6/2)^2)-(((768-43)*MAX('Inputs'!$B$33,'Inputs'!$B$29+'Inputs'!$B$31+'Inputs'!$B$32,'Inputs'!$B$30+'Inputs'!$B$31+'Inputs'!$B$32)/1000+'Inputs'!$B$21+'Inputs'!$B$9+'Inputs'!$B$10))/SQRT((((768-43)*MAX('Inputs'!$B$33,'Inputs'!$B$29+'Inputs'!$B$31+'Inputs'!$B$32,'Inputs'!$B$30+'Inputs'!$B$31+'Inputs'!$B$32)/1000+'Inputs'!$B$21+'Inputs'!$B$9+'Inputs'!$B$10))^2+('Inputs'!$B$6/2)^2))))*'Results'!$B$8)+'Inputs'!$B$28*ABS((('Results'!C7*(1+'Inputs'!$B$24)*(0.5*((((768-43)*MAX('Inputs'!$B$33,'Inputs'!$B$29+'Inputs'!$B$31+'Inputs'!$B$32,'Inputs'!$B$30+'Inputs'!$B$31+'Inputs'!$B$32)/1000+'Inputs'!$B$21)+'Inputs'!$B$9)/SQRT((((768-43)*MAX('Inputs'!$B$33,'Inputs'!$B$29+'Inputs'!$B$31+'Inputs'!$B$32,'Inputs'!$B$30+'Inputs'!$B$31+'Inputs'!$B$32)/1000+'Inputs'!$B$21)+'Inputs'!$B$9)^2+('Inputs'!$B$8/2)^2)-(((768-43)*MAX('Inputs'!$B$33,'Inputs'!$B$29+'Inputs'!$B$31+'Inputs'!$B$32,'Inputs'!$B$30+'Inputs'!$B$31+'Inputs'!$B$32)/1000+'Inputs'!$B$21))/SQRT((((768-43)*MAX('Inputs'!$B$33,'Inputs'!$B$29+'Inputs'!$B$31+'Inputs'!$B$32,'Inputs'!$B$30+'Inputs'!$B$31+'Inputs'!$B$32)/1000+'Inputs'!$B$21))^2+('Inputs'!$B$8/2)^2)))-'Results'!B7*(1-'Inputs'!$B$24)*(0.5*((((768-43)*MAX('Inputs'!$B$33,'Inputs'!$B$29+'Inputs'!$B$31+'Inputs'!$B$32,'Inputs'!$B$30+'Inputs'!$B$31+'Inputs'!$B$32)/1000+'Inputs'!$B$21+'Inputs'!$B$9+'Inputs'!$B$10)+'Inputs'!$B$7)/SQRT((((768-43)*MAX('Inputs'!$B$33,'Inputs'!$B$29+'Inputs'!$B$31+'Inputs'!$B$32,'Inputs'!$B$30+'Inputs'!$B$31+'Inputs'!$B$32)/1000+'Inputs'!$B$21+'Inputs'!$B$9+'Inputs'!$B$10)+'Inputs'!$B$7)^2+('Inputs'!$B$6/2)^2)-(((768-43)*MAX('Inputs'!$B$33,'Inputs'!$B$29+'Inputs'!$B$31+'Inputs'!$B$32,'Inputs'!$B$30+'Inputs'!$B$31+'Inputs'!$B$32)/1000+'Inputs'!$B$21+'Inputs'!$B$9+'Inputs'!$B$10))/SQRT((((768-43)*MAX('Inputs'!$B$33,'Inputs'!$B$29+'Inputs'!$B$31+'Inputs'!$B$32,'Inputs'!$B$30+'Inputs'!$B$31+'Inputs'!$B$32)/1000+'Inputs'!$B$21+'Inputs'!$B$9+'Inputs'!$B$10))^2+('Inputs'!$B$6/2)^2))))*'Results'!$B$8))),"")</x:f>
        <x:v>1.1964727839813207</x:v>
      </x:c>
      <x:c r="P768" t="n">
        <x:f>IF(AND(MAX(J768,J767)&gt;0,J768&gt;J767+0.00000001),1,0)</x:f>
        <x:v>0</x:v>
      </x:c>
      <x:c r="Q768" t="n">
        <x:f>IF(AND(MAX(K768,K767)&gt;0,K768&gt;K767+0.00000001),1,0)</x:f>
        <x:v>0</x:v>
      </x:c>
      <x:c r="R768" t="n">
        <x:f>IF(AND(MAX(L768,L767)&gt;0,L768&gt;L767+0.00000001),1,0)</x:f>
        <x:v>0</x:v>
      </x:c>
      <x:c r="S768" t="n">
        <x:f>IF(AND(MAX(M768,M767)&gt;0,M768&gt;M767+0.00000001),1,0)</x:f>
        <x:v>0</x:v>
      </x:c>
      <x:c r="T768" t="n">
        <x:f>IF(AND(MAX(N768,N767)&gt;0,N768&gt;N767+0.00000001),1,0)</x:f>
        <x:v>0</x:v>
      </x:c>
      <x:c r="U768" t="n">
        <x:f>IF(AND(MAX(O768,O767)&gt;0,O768&gt;O767+0.00000001),1,0)</x:f>
        <x:v>0</x:v>
      </x:c>
    </x:row>
    <x:row r="769">
      <x:c r="J769" t="n">
        <x:f>IF(AND(ISNUMBER('Results'!B7),ISNUMBER('Results'!C7),ISNUMBER('Results'!$B$8),ISNUMBER('Inputs'!$B$6),ISNUMBER('Inputs'!$B$7),ISNUMBER('Inputs'!$B$8),ISNUMBER('Inputs'!$B$9),ISNUMBER('Inputs'!$B$10),ISNUMBER('Inputs'!$B$21),ISNUMBER('Inputs'!$B$24),ISNUMBER('Inputs'!$B$28)),(('Results'!B7*(0.5*((((769-43)*MAX('Inputs'!$B$33,'Inputs'!$B$29+'Inputs'!$B$31+'Inputs'!$B$32,'Inputs'!$B$30+'Inputs'!$B$31+'Inputs'!$B$32)/1000+'Inputs'!$B$21)+'Inputs'!$B$7)/SQRT((((769-43)*MAX('Inputs'!$B$33,'Inputs'!$B$29+'Inputs'!$B$31+'Inputs'!$B$32,'Inputs'!$B$30+'Inputs'!$B$31+'Inputs'!$B$32)/1000+'Inputs'!$B$21)+'Inputs'!$B$7)^2+('Inputs'!$B$6/2)^2)-(((769-43)*MAX('Inputs'!$B$33,'Inputs'!$B$29+'Inputs'!$B$31+'Inputs'!$B$32,'Inputs'!$B$30+'Inputs'!$B$31+'Inputs'!$B$32)/1000+'Inputs'!$B$21))/SQRT((((769-43)*MAX('Inputs'!$B$33,'Inputs'!$B$29+'Inputs'!$B$31+'Inputs'!$B$32,'Inputs'!$B$30+'Inputs'!$B$31+'Inputs'!$B$32)/1000+'Inputs'!$B$21))^2+('Inputs'!$B$6/2)^2)))-'Results'!C7*(0.5*((((769-43)*MAX('Inputs'!$B$33,'Inputs'!$B$29+'Inputs'!$B$31+'Inputs'!$B$32,'Inputs'!$B$30+'Inputs'!$B$31+'Inputs'!$B$32)/1000+'Inputs'!$B$21+'Inputs'!$B$7+'Inputs'!$B$10)+'Inputs'!$B$9)/SQRT((((769-43)*MAX('Inputs'!$B$33,'Inputs'!$B$29+'Inputs'!$B$31+'Inputs'!$B$32,'Inputs'!$B$30+'Inputs'!$B$31+'Inputs'!$B$32)/1000+'Inputs'!$B$21+'Inputs'!$B$7+'Inputs'!$B$10)+'Inputs'!$B$9)^2+('Inputs'!$B$8/2)^2)-(((769-43)*MAX('Inputs'!$B$33,'Inputs'!$B$29+'Inputs'!$B$31+'Inputs'!$B$32,'Inputs'!$B$30+'Inputs'!$B$31+'Inputs'!$B$32)/1000+'Inputs'!$B$21+'Inputs'!$B$7+'Inputs'!$B$10))/SQRT((((769-43)*MAX('Inputs'!$B$33,'Inputs'!$B$29+'Inputs'!$B$31+'Inputs'!$B$32,'Inputs'!$B$30+'Inputs'!$B$31+'Inputs'!$B$32)/1000+'Inputs'!$B$21+'Inputs'!$B$7+'Inputs'!$B$10))^2+('Inputs'!$B$8/2)^2))))*'Results'!$B$8),"")</x:f>
        <x:v>1.1351747196750037</x:v>
      </x:c>
      <x:c r="K769" t="n">
        <x:f>IF(AND(ISNUMBER('Results'!B7),ISNUMBER('Results'!C7),ISNUMBER('Results'!$B$8),ISNUMBER('Inputs'!$B$6),ISNUMBER('Inputs'!$B$7),ISNUMBER('Inputs'!$B$8),ISNUMBER('Inputs'!$B$9),ISNUMBER('Inputs'!$B$10),ISNUMBER('Inputs'!$B$21),ISNUMBER('Inputs'!$B$24),ISNUMBER('Inputs'!$B$28)),((('Results'!B7*(1-'Inputs'!$B$24)*(0.5*((((769-43)*MAX('Inputs'!$B$33,'Inputs'!$B$29+'Inputs'!$B$31+'Inputs'!$B$32,'Inputs'!$B$30+'Inputs'!$B$31+'Inputs'!$B$32)/1000+'Inputs'!$B$21)+'Inputs'!$B$7)/SQRT((((769-43)*MAX('Inputs'!$B$33,'Inputs'!$B$29+'Inputs'!$B$31+'Inputs'!$B$32,'Inputs'!$B$30+'Inputs'!$B$31+'Inputs'!$B$32)/1000+'Inputs'!$B$21)+'Inputs'!$B$7)^2+('Inputs'!$B$6/2)^2)-(((769-43)*MAX('Inputs'!$B$33,'Inputs'!$B$29+'Inputs'!$B$31+'Inputs'!$B$32,'Inputs'!$B$30+'Inputs'!$B$31+'Inputs'!$B$32)/1000+'Inputs'!$B$21))/SQRT((((769-43)*MAX('Inputs'!$B$33,'Inputs'!$B$29+'Inputs'!$B$31+'Inputs'!$B$32,'Inputs'!$B$30+'Inputs'!$B$31+'Inputs'!$B$32)/1000+'Inputs'!$B$21))^2+('Inputs'!$B$6/2)^2)))-'Results'!C7*(1+'Inputs'!$B$24)*(0.5*((((769-43)*MAX('Inputs'!$B$33,'Inputs'!$B$29+'Inputs'!$B$31+'Inputs'!$B$32,'Inputs'!$B$30+'Inputs'!$B$31+'Inputs'!$B$32)/1000+'Inputs'!$B$21+'Inputs'!$B$7+'Inputs'!$B$10)+'Inputs'!$B$9)/SQRT((((769-43)*MAX('Inputs'!$B$33,'Inputs'!$B$29+'Inputs'!$B$31+'Inputs'!$B$32,'Inputs'!$B$30+'Inputs'!$B$31+'Inputs'!$B$32)/1000+'Inputs'!$B$21+'Inputs'!$B$7+'Inputs'!$B$10)+'Inputs'!$B$9)^2+('Inputs'!$B$8/2)^2)-(((769-43)*MAX('Inputs'!$B$33,'Inputs'!$B$29+'Inputs'!$B$31+'Inputs'!$B$32,'Inputs'!$B$30+'Inputs'!$B$31+'Inputs'!$B$32)/1000+'Inputs'!$B$21+'Inputs'!$B$7+'Inputs'!$B$10))/SQRT((((769-43)*MAX('Inputs'!$B$33,'Inputs'!$B$29+'Inputs'!$B$31+'Inputs'!$B$32,'Inputs'!$B$30+'Inputs'!$B$31+'Inputs'!$B$32)/1000+'Inputs'!$B$21+'Inputs'!$B$7+'Inputs'!$B$10))^2+('Inputs'!$B$8/2)^2))))*'Results'!$B$8)-'Inputs'!$B$28*ABS((('Results'!B7*(1-'Inputs'!$B$24)*(0.5*((((769-43)*MAX('Inputs'!$B$33,'Inputs'!$B$29+'Inputs'!$B$31+'Inputs'!$B$32,'Inputs'!$B$30+'Inputs'!$B$31+'Inputs'!$B$32)/1000+'Inputs'!$B$21)+'Inputs'!$B$7)/SQRT((((769-43)*MAX('Inputs'!$B$33,'Inputs'!$B$29+'Inputs'!$B$31+'Inputs'!$B$32,'Inputs'!$B$30+'Inputs'!$B$31+'Inputs'!$B$32)/1000+'Inputs'!$B$21)+'Inputs'!$B$7)^2+('Inputs'!$B$6/2)^2)-(((769-43)*MAX('Inputs'!$B$33,'Inputs'!$B$29+'Inputs'!$B$31+'Inputs'!$B$32,'Inputs'!$B$30+'Inputs'!$B$31+'Inputs'!$B$32)/1000+'Inputs'!$B$21))/SQRT((((769-43)*MAX('Inputs'!$B$33,'Inputs'!$B$29+'Inputs'!$B$31+'Inputs'!$B$32,'Inputs'!$B$30+'Inputs'!$B$31+'Inputs'!$B$32)/1000+'Inputs'!$B$21))^2+('Inputs'!$B$6/2)^2)))-'Results'!C7*(1+'Inputs'!$B$24)*(0.5*((((769-43)*MAX('Inputs'!$B$33,'Inputs'!$B$29+'Inputs'!$B$31+'Inputs'!$B$32,'Inputs'!$B$30+'Inputs'!$B$31+'Inputs'!$B$32)/1000+'Inputs'!$B$21+'Inputs'!$B$7+'Inputs'!$B$10)+'Inputs'!$B$9)/SQRT((((769-43)*MAX('Inputs'!$B$33,'Inputs'!$B$29+'Inputs'!$B$31+'Inputs'!$B$32,'Inputs'!$B$30+'Inputs'!$B$31+'Inputs'!$B$32)/1000+'Inputs'!$B$21+'Inputs'!$B$7+'Inputs'!$B$10)+'Inputs'!$B$9)^2+('Inputs'!$B$8/2)^2)-(((769-43)*MAX('Inputs'!$B$33,'Inputs'!$B$29+'Inputs'!$B$31+'Inputs'!$B$32,'Inputs'!$B$30+'Inputs'!$B$31+'Inputs'!$B$32)/1000+'Inputs'!$B$21+'Inputs'!$B$7+'Inputs'!$B$10))/SQRT((((769-43)*MAX('Inputs'!$B$33,'Inputs'!$B$29+'Inputs'!$B$31+'Inputs'!$B$32,'Inputs'!$B$30+'Inputs'!$B$31+'Inputs'!$B$32)/1000+'Inputs'!$B$21+'Inputs'!$B$7+'Inputs'!$B$10))^2+('Inputs'!$B$8/2)^2))))*'Results'!$B$8))),"")</x:f>
        <x:v>0.9799829396639941</x:v>
      </x:c>
      <x:c r="L769" t="n">
        <x:f>IF(AND(ISNUMBER('Results'!B7),ISNUMBER('Results'!C7),ISNUMBER('Results'!$B$8),ISNUMBER('Inputs'!$B$6),ISNUMBER('Inputs'!$B$7),ISNUMBER('Inputs'!$B$8),ISNUMBER('Inputs'!$B$9),ISNUMBER('Inputs'!$B$10),ISNUMBER('Inputs'!$B$21),ISNUMBER('Inputs'!$B$24),ISNUMBER('Inputs'!$B$28)),((('Results'!B7*(1+'Inputs'!$B$24)*(0.5*((((769-43)*MAX('Inputs'!$B$33,'Inputs'!$B$29+'Inputs'!$B$31+'Inputs'!$B$32,'Inputs'!$B$30+'Inputs'!$B$31+'Inputs'!$B$32)/1000+'Inputs'!$B$21)+'Inputs'!$B$7)/SQRT((((769-43)*MAX('Inputs'!$B$33,'Inputs'!$B$29+'Inputs'!$B$31+'Inputs'!$B$32,'Inputs'!$B$30+'Inputs'!$B$31+'Inputs'!$B$32)/1000+'Inputs'!$B$21)+'Inputs'!$B$7)^2+('Inputs'!$B$6/2)^2)-(((769-43)*MAX('Inputs'!$B$33,'Inputs'!$B$29+'Inputs'!$B$31+'Inputs'!$B$32,'Inputs'!$B$30+'Inputs'!$B$31+'Inputs'!$B$32)/1000+'Inputs'!$B$21))/SQRT((((769-43)*MAX('Inputs'!$B$33,'Inputs'!$B$29+'Inputs'!$B$31+'Inputs'!$B$32,'Inputs'!$B$30+'Inputs'!$B$31+'Inputs'!$B$32)/1000+'Inputs'!$B$21))^2+('Inputs'!$B$6/2)^2)))-'Results'!C7*(1-'Inputs'!$B$24)*(0.5*((((769-43)*MAX('Inputs'!$B$33,'Inputs'!$B$29+'Inputs'!$B$31+'Inputs'!$B$32,'Inputs'!$B$30+'Inputs'!$B$31+'Inputs'!$B$32)/1000+'Inputs'!$B$21+'Inputs'!$B$7+'Inputs'!$B$10)+'Inputs'!$B$9)/SQRT((((769-43)*MAX('Inputs'!$B$33,'Inputs'!$B$29+'Inputs'!$B$31+'Inputs'!$B$32,'Inputs'!$B$30+'Inputs'!$B$31+'Inputs'!$B$32)/1000+'Inputs'!$B$21+'Inputs'!$B$7+'Inputs'!$B$10)+'Inputs'!$B$9)^2+('Inputs'!$B$8/2)^2)-(((769-43)*MAX('Inputs'!$B$33,'Inputs'!$B$29+'Inputs'!$B$31+'Inputs'!$B$32,'Inputs'!$B$30+'Inputs'!$B$31+'Inputs'!$B$32)/1000+'Inputs'!$B$21+'Inputs'!$B$7+'Inputs'!$B$10))/SQRT((((769-43)*MAX('Inputs'!$B$33,'Inputs'!$B$29+'Inputs'!$B$31+'Inputs'!$B$32,'Inputs'!$B$30+'Inputs'!$B$31+'Inputs'!$B$32)/1000+'Inputs'!$B$21+'Inputs'!$B$7+'Inputs'!$B$10))^2+('Inputs'!$B$8/2)^2))))*'Results'!$B$8)+'Inputs'!$B$28*ABS((('Results'!B7*(1+'Inputs'!$B$24)*(0.5*((((769-43)*MAX('Inputs'!$B$33,'Inputs'!$B$29+'Inputs'!$B$31+'Inputs'!$B$32,'Inputs'!$B$30+'Inputs'!$B$31+'Inputs'!$B$32)/1000+'Inputs'!$B$21)+'Inputs'!$B$7)/SQRT((((769-43)*MAX('Inputs'!$B$33,'Inputs'!$B$29+'Inputs'!$B$31+'Inputs'!$B$32,'Inputs'!$B$30+'Inputs'!$B$31+'Inputs'!$B$32)/1000+'Inputs'!$B$21)+'Inputs'!$B$7)^2+('Inputs'!$B$6/2)^2)-(((769-43)*MAX('Inputs'!$B$33,'Inputs'!$B$29+'Inputs'!$B$31+'Inputs'!$B$32,'Inputs'!$B$30+'Inputs'!$B$31+'Inputs'!$B$32)/1000+'Inputs'!$B$21))/SQRT((((769-43)*MAX('Inputs'!$B$33,'Inputs'!$B$29+'Inputs'!$B$31+'Inputs'!$B$32,'Inputs'!$B$30+'Inputs'!$B$31+'Inputs'!$B$32)/1000+'Inputs'!$B$21))^2+('Inputs'!$B$6/2)^2)))-'Results'!C7*(1-'Inputs'!$B$24)*(0.5*((((769-43)*MAX('Inputs'!$B$33,'Inputs'!$B$29+'Inputs'!$B$31+'Inputs'!$B$32,'Inputs'!$B$30+'Inputs'!$B$31+'Inputs'!$B$32)/1000+'Inputs'!$B$21+'Inputs'!$B$7+'Inputs'!$B$10)+'Inputs'!$B$9)/SQRT((((769-43)*MAX('Inputs'!$B$33,'Inputs'!$B$29+'Inputs'!$B$31+'Inputs'!$B$32,'Inputs'!$B$30+'Inputs'!$B$31+'Inputs'!$B$32)/1000+'Inputs'!$B$21+'Inputs'!$B$7+'Inputs'!$B$10)+'Inputs'!$B$9)^2+('Inputs'!$B$8/2)^2)-(((769-43)*MAX('Inputs'!$B$33,'Inputs'!$B$29+'Inputs'!$B$31+'Inputs'!$B$32,'Inputs'!$B$30+'Inputs'!$B$31+'Inputs'!$B$32)/1000+'Inputs'!$B$21+'Inputs'!$B$7+'Inputs'!$B$10))/SQRT((((769-43)*MAX('Inputs'!$B$33,'Inputs'!$B$29+'Inputs'!$B$31+'Inputs'!$B$32,'Inputs'!$B$30+'Inputs'!$B$31+'Inputs'!$B$32)/1000+'Inputs'!$B$21+'Inputs'!$B$7+'Inputs'!$B$10))^2+('Inputs'!$B$8/2)^2))))*'Results'!$B$8))),"")</x:f>
        <x:v>1.3007278727415141</x:v>
      </x:c>
      <x:c r="M769" t="n">
        <x:f>IF(AND(ISNUMBER('Results'!C7),ISNUMBER('Results'!B7),ISNUMBER('Results'!$B$8),ISNUMBER('Inputs'!$B$6),ISNUMBER('Inputs'!$B$7),ISNUMBER('Inputs'!$B$8),ISNUMBER('Inputs'!$B$9),ISNUMBER('Inputs'!$B$10),ISNUMBER('Inputs'!$B$21),ISNUMBER('Inputs'!$B$24),ISNUMBER('Inputs'!$B$28)),(('Results'!C7*(0.5*((((769-43)*MAX('Inputs'!$B$33,'Inputs'!$B$29+'Inputs'!$B$31+'Inputs'!$B$32,'Inputs'!$B$30+'Inputs'!$B$31+'Inputs'!$B$32)/1000+'Inputs'!$B$21)+'Inputs'!$B$9)/SQRT((((769-43)*MAX('Inputs'!$B$33,'Inputs'!$B$29+'Inputs'!$B$31+'Inputs'!$B$32,'Inputs'!$B$30+'Inputs'!$B$31+'Inputs'!$B$32)/1000+'Inputs'!$B$21)+'Inputs'!$B$9)^2+('Inputs'!$B$8/2)^2)-(((769-43)*MAX('Inputs'!$B$33,'Inputs'!$B$29+'Inputs'!$B$31+'Inputs'!$B$32,'Inputs'!$B$30+'Inputs'!$B$31+'Inputs'!$B$32)/1000+'Inputs'!$B$21))/SQRT((((769-43)*MAX('Inputs'!$B$33,'Inputs'!$B$29+'Inputs'!$B$31+'Inputs'!$B$32,'Inputs'!$B$30+'Inputs'!$B$31+'Inputs'!$B$32)/1000+'Inputs'!$B$21))^2+('Inputs'!$B$8/2)^2)))-'Results'!B7*(0.5*((((769-43)*MAX('Inputs'!$B$33,'Inputs'!$B$29+'Inputs'!$B$31+'Inputs'!$B$32,'Inputs'!$B$30+'Inputs'!$B$31+'Inputs'!$B$32)/1000+'Inputs'!$B$21+'Inputs'!$B$9+'Inputs'!$B$10)+'Inputs'!$B$7)/SQRT((((769-43)*MAX('Inputs'!$B$33,'Inputs'!$B$29+'Inputs'!$B$31+'Inputs'!$B$32,'Inputs'!$B$30+'Inputs'!$B$31+'Inputs'!$B$32)/1000+'Inputs'!$B$21+'Inputs'!$B$9+'Inputs'!$B$10)+'Inputs'!$B$7)^2+('Inputs'!$B$6/2)^2)-(((769-43)*MAX('Inputs'!$B$33,'Inputs'!$B$29+'Inputs'!$B$31+'Inputs'!$B$32,'Inputs'!$B$30+'Inputs'!$B$31+'Inputs'!$B$32)/1000+'Inputs'!$B$21+'Inputs'!$B$9+'Inputs'!$B$10))/SQRT((((769-43)*MAX('Inputs'!$B$33,'Inputs'!$B$29+'Inputs'!$B$31+'Inputs'!$B$32,'Inputs'!$B$30+'Inputs'!$B$31+'Inputs'!$B$32)/1000+'Inputs'!$B$21+'Inputs'!$B$9+'Inputs'!$B$10))^2+('Inputs'!$B$6/2)^2))))*'Results'!$B$8),"")</x:f>
        <x:v>1.0307353744652847</x:v>
      </x:c>
      <x:c r="N769" t="n">
        <x:f>IF(AND(ISNUMBER('Results'!C7),ISNUMBER('Results'!B7),ISNUMBER('Results'!$B$8),ISNUMBER('Inputs'!$B$6),ISNUMBER('Inputs'!$B$7),ISNUMBER('Inputs'!$B$8),ISNUMBER('Inputs'!$B$9),ISNUMBER('Inputs'!$B$10),ISNUMBER('Inputs'!$B$21),ISNUMBER('Inputs'!$B$24),ISNUMBER('Inputs'!$B$28)),((('Results'!C7*(1-'Inputs'!$B$24)*(0.5*((((769-43)*MAX('Inputs'!$B$33,'Inputs'!$B$29+'Inputs'!$B$31+'Inputs'!$B$32,'Inputs'!$B$30+'Inputs'!$B$31+'Inputs'!$B$32)/1000+'Inputs'!$B$21)+'Inputs'!$B$9)/SQRT((((769-43)*MAX('Inputs'!$B$33,'Inputs'!$B$29+'Inputs'!$B$31+'Inputs'!$B$32,'Inputs'!$B$30+'Inputs'!$B$31+'Inputs'!$B$32)/1000+'Inputs'!$B$21)+'Inputs'!$B$9)^2+('Inputs'!$B$8/2)^2)-(((769-43)*MAX('Inputs'!$B$33,'Inputs'!$B$29+'Inputs'!$B$31+'Inputs'!$B$32,'Inputs'!$B$30+'Inputs'!$B$31+'Inputs'!$B$32)/1000+'Inputs'!$B$21))/SQRT((((769-43)*MAX('Inputs'!$B$33,'Inputs'!$B$29+'Inputs'!$B$31+'Inputs'!$B$32,'Inputs'!$B$30+'Inputs'!$B$31+'Inputs'!$B$32)/1000+'Inputs'!$B$21))^2+('Inputs'!$B$8/2)^2)))-'Results'!B7*(1+'Inputs'!$B$24)*(0.5*((((769-43)*MAX('Inputs'!$B$33,'Inputs'!$B$29+'Inputs'!$B$31+'Inputs'!$B$32,'Inputs'!$B$30+'Inputs'!$B$31+'Inputs'!$B$32)/1000+'Inputs'!$B$21+'Inputs'!$B$9+'Inputs'!$B$10)+'Inputs'!$B$7)/SQRT((((769-43)*MAX('Inputs'!$B$33,'Inputs'!$B$29+'Inputs'!$B$31+'Inputs'!$B$32,'Inputs'!$B$30+'Inputs'!$B$31+'Inputs'!$B$32)/1000+'Inputs'!$B$21+'Inputs'!$B$9+'Inputs'!$B$10)+'Inputs'!$B$7)^2+('Inputs'!$B$6/2)^2)-(((769-43)*MAX('Inputs'!$B$33,'Inputs'!$B$29+'Inputs'!$B$31+'Inputs'!$B$32,'Inputs'!$B$30+'Inputs'!$B$31+'Inputs'!$B$32)/1000+'Inputs'!$B$21+'Inputs'!$B$9+'Inputs'!$B$10))/SQRT((((769-43)*MAX('Inputs'!$B$33,'Inputs'!$B$29+'Inputs'!$B$31+'Inputs'!$B$32,'Inputs'!$B$30+'Inputs'!$B$31+'Inputs'!$B$32)/1000+'Inputs'!$B$21+'Inputs'!$B$9+'Inputs'!$B$10))^2+('Inputs'!$B$6/2)^2))))*'Results'!$B$8)-'Inputs'!$B$28*ABS((('Results'!C7*(1-'Inputs'!$B$24)*(0.5*((((769-43)*MAX('Inputs'!$B$33,'Inputs'!$B$29+'Inputs'!$B$31+'Inputs'!$B$32,'Inputs'!$B$30+'Inputs'!$B$31+'Inputs'!$B$32)/1000+'Inputs'!$B$21)+'Inputs'!$B$9)/SQRT((((769-43)*MAX('Inputs'!$B$33,'Inputs'!$B$29+'Inputs'!$B$31+'Inputs'!$B$32,'Inputs'!$B$30+'Inputs'!$B$31+'Inputs'!$B$32)/1000+'Inputs'!$B$21)+'Inputs'!$B$9)^2+('Inputs'!$B$8/2)^2)-(((769-43)*MAX('Inputs'!$B$33,'Inputs'!$B$29+'Inputs'!$B$31+'Inputs'!$B$32,'Inputs'!$B$30+'Inputs'!$B$31+'Inputs'!$B$32)/1000+'Inputs'!$B$21))/SQRT((((769-43)*MAX('Inputs'!$B$33,'Inputs'!$B$29+'Inputs'!$B$31+'Inputs'!$B$32,'Inputs'!$B$30+'Inputs'!$B$31+'Inputs'!$B$32)/1000+'Inputs'!$B$21))^2+('Inputs'!$B$8/2)^2)))-'Results'!B7*(1+'Inputs'!$B$24)*(0.5*((((769-43)*MAX('Inputs'!$B$33,'Inputs'!$B$29+'Inputs'!$B$31+'Inputs'!$B$32,'Inputs'!$B$30+'Inputs'!$B$31+'Inputs'!$B$32)/1000+'Inputs'!$B$21+'Inputs'!$B$9+'Inputs'!$B$10)+'Inputs'!$B$7)/SQRT((((769-43)*MAX('Inputs'!$B$33,'Inputs'!$B$29+'Inputs'!$B$31+'Inputs'!$B$32,'Inputs'!$B$30+'Inputs'!$B$31+'Inputs'!$B$32)/1000+'Inputs'!$B$21+'Inputs'!$B$9+'Inputs'!$B$10)+'Inputs'!$B$7)^2+('Inputs'!$B$6/2)^2)-(((769-43)*MAX('Inputs'!$B$33,'Inputs'!$B$29+'Inputs'!$B$31+'Inputs'!$B$32,'Inputs'!$B$30+'Inputs'!$B$31+'Inputs'!$B$32)/1000+'Inputs'!$B$21+'Inputs'!$B$9+'Inputs'!$B$10))/SQRT((((769-43)*MAX('Inputs'!$B$33,'Inputs'!$B$29+'Inputs'!$B$31+'Inputs'!$B$32,'Inputs'!$B$30+'Inputs'!$B$31+'Inputs'!$B$32)/1000+'Inputs'!$B$21+'Inputs'!$B$9+'Inputs'!$B$10))^2+('Inputs'!$B$6/2)^2))))*'Results'!$B$8))),"")</x:f>
        <x:v>0.8811812414297984</x:v>
      </x:c>
      <x:c r="O769" t="n">
        <x:f>IF(AND(ISNUMBER('Results'!C7),ISNUMBER('Results'!B7),ISNUMBER('Results'!$B$8),ISNUMBER('Inputs'!$B$6),ISNUMBER('Inputs'!$B$7),ISNUMBER('Inputs'!$B$8),ISNUMBER('Inputs'!$B$9),ISNUMBER('Inputs'!$B$10),ISNUMBER('Inputs'!$B$21),ISNUMBER('Inputs'!$B$24),ISNUMBER('Inputs'!$B$28)),((('Results'!C7*(1+'Inputs'!$B$24)*(0.5*((((769-43)*MAX('Inputs'!$B$33,'Inputs'!$B$29+'Inputs'!$B$31+'Inputs'!$B$32,'Inputs'!$B$30+'Inputs'!$B$31+'Inputs'!$B$32)/1000+'Inputs'!$B$21)+'Inputs'!$B$9)/SQRT((((769-43)*MAX('Inputs'!$B$33,'Inputs'!$B$29+'Inputs'!$B$31+'Inputs'!$B$32,'Inputs'!$B$30+'Inputs'!$B$31+'Inputs'!$B$32)/1000+'Inputs'!$B$21)+'Inputs'!$B$9)^2+('Inputs'!$B$8/2)^2)-(((769-43)*MAX('Inputs'!$B$33,'Inputs'!$B$29+'Inputs'!$B$31+'Inputs'!$B$32,'Inputs'!$B$30+'Inputs'!$B$31+'Inputs'!$B$32)/1000+'Inputs'!$B$21))/SQRT((((769-43)*MAX('Inputs'!$B$33,'Inputs'!$B$29+'Inputs'!$B$31+'Inputs'!$B$32,'Inputs'!$B$30+'Inputs'!$B$31+'Inputs'!$B$32)/1000+'Inputs'!$B$21))^2+('Inputs'!$B$8/2)^2)))-'Results'!B7*(1-'Inputs'!$B$24)*(0.5*((((769-43)*MAX('Inputs'!$B$33,'Inputs'!$B$29+'Inputs'!$B$31+'Inputs'!$B$32,'Inputs'!$B$30+'Inputs'!$B$31+'Inputs'!$B$32)/1000+'Inputs'!$B$21+'Inputs'!$B$9+'Inputs'!$B$10)+'Inputs'!$B$7)/SQRT((((769-43)*MAX('Inputs'!$B$33,'Inputs'!$B$29+'Inputs'!$B$31+'Inputs'!$B$32,'Inputs'!$B$30+'Inputs'!$B$31+'Inputs'!$B$32)/1000+'Inputs'!$B$21+'Inputs'!$B$9+'Inputs'!$B$10)+'Inputs'!$B$7)^2+('Inputs'!$B$6/2)^2)-(((769-43)*MAX('Inputs'!$B$33,'Inputs'!$B$29+'Inputs'!$B$31+'Inputs'!$B$32,'Inputs'!$B$30+'Inputs'!$B$31+'Inputs'!$B$32)/1000+'Inputs'!$B$21+'Inputs'!$B$9+'Inputs'!$B$10))/SQRT((((769-43)*MAX('Inputs'!$B$33,'Inputs'!$B$29+'Inputs'!$B$31+'Inputs'!$B$32,'Inputs'!$B$30+'Inputs'!$B$31+'Inputs'!$B$32)/1000+'Inputs'!$B$21+'Inputs'!$B$9+'Inputs'!$B$10))^2+('Inputs'!$B$6/2)^2))))*'Results'!$B$8)+'Inputs'!$B$28*ABS((('Results'!C7*(1+'Inputs'!$B$24)*(0.5*((((769-43)*MAX('Inputs'!$B$33,'Inputs'!$B$29+'Inputs'!$B$31+'Inputs'!$B$32,'Inputs'!$B$30+'Inputs'!$B$31+'Inputs'!$B$32)/1000+'Inputs'!$B$21)+'Inputs'!$B$9)/SQRT((((769-43)*MAX('Inputs'!$B$33,'Inputs'!$B$29+'Inputs'!$B$31+'Inputs'!$B$32,'Inputs'!$B$30+'Inputs'!$B$31+'Inputs'!$B$32)/1000+'Inputs'!$B$21)+'Inputs'!$B$9)^2+('Inputs'!$B$8/2)^2)-(((769-43)*MAX('Inputs'!$B$33,'Inputs'!$B$29+'Inputs'!$B$31+'Inputs'!$B$32,'Inputs'!$B$30+'Inputs'!$B$31+'Inputs'!$B$32)/1000+'Inputs'!$B$21))/SQRT((((769-43)*MAX('Inputs'!$B$33,'Inputs'!$B$29+'Inputs'!$B$31+'Inputs'!$B$32,'Inputs'!$B$30+'Inputs'!$B$31+'Inputs'!$B$32)/1000+'Inputs'!$B$21))^2+('Inputs'!$B$8/2)^2)))-'Results'!B7*(1-'Inputs'!$B$24)*(0.5*((((769-43)*MAX('Inputs'!$B$33,'Inputs'!$B$29+'Inputs'!$B$31+'Inputs'!$B$32,'Inputs'!$B$30+'Inputs'!$B$31+'Inputs'!$B$32)/1000+'Inputs'!$B$21+'Inputs'!$B$9+'Inputs'!$B$10)+'Inputs'!$B$7)/SQRT((((769-43)*MAX('Inputs'!$B$33,'Inputs'!$B$29+'Inputs'!$B$31+'Inputs'!$B$32,'Inputs'!$B$30+'Inputs'!$B$31+'Inputs'!$B$32)/1000+'Inputs'!$B$21+'Inputs'!$B$9+'Inputs'!$B$10)+'Inputs'!$B$7)^2+('Inputs'!$B$6/2)^2)-(((769-43)*MAX('Inputs'!$B$33,'Inputs'!$B$29+'Inputs'!$B$31+'Inputs'!$B$32,'Inputs'!$B$30+'Inputs'!$B$31+'Inputs'!$B$32)/1000+'Inputs'!$B$21+'Inputs'!$B$9+'Inputs'!$B$10))/SQRT((((769-43)*MAX('Inputs'!$B$33,'Inputs'!$B$29+'Inputs'!$B$31+'Inputs'!$B$32,'Inputs'!$B$30+'Inputs'!$B$31+'Inputs'!$B$32)/1000+'Inputs'!$B$21+'Inputs'!$B$9+'Inputs'!$B$10))^2+('Inputs'!$B$6/2)^2))))*'Results'!$B$8))),"")</x:f>
        <x:v>1.1906071247967946</x:v>
      </x:c>
      <x:c r="P769" t="n">
        <x:f>IF(AND(MAX(J769,J768)&gt;0,J769&gt;J768+0.00000001),1,0)</x:f>
        <x:v>0</x:v>
      </x:c>
      <x:c r="Q769" t="n">
        <x:f>IF(AND(MAX(K769,K768)&gt;0,K769&gt;K768+0.00000001),1,0)</x:f>
        <x:v>0</x:v>
      </x:c>
      <x:c r="R769" t="n">
        <x:f>IF(AND(MAX(L769,L768)&gt;0,L769&gt;L768+0.00000001),1,0)</x:f>
        <x:v>0</x:v>
      </x:c>
      <x:c r="S769" t="n">
        <x:f>IF(AND(MAX(M769,M768)&gt;0,M769&gt;M768+0.00000001),1,0)</x:f>
        <x:v>0</x:v>
      </x:c>
      <x:c r="T769" t="n">
        <x:f>IF(AND(MAX(N769,N768)&gt;0,N769&gt;N768+0.00000001),1,0)</x:f>
        <x:v>0</x:v>
      </x:c>
      <x:c r="U769" t="n">
        <x:f>IF(AND(MAX(O769,O768)&gt;0,O769&gt;O768+0.00000001),1,0)</x:f>
        <x:v>0</x:v>
      </x:c>
    </x:row>
    <x:row r="770">
      <x:c r="J770" t="n">
        <x:f>IF(AND(ISNUMBER('Results'!B7),ISNUMBER('Results'!C7),ISNUMBER('Results'!$B$8),ISNUMBER('Inputs'!$B$6),ISNUMBER('Inputs'!$B$7),ISNUMBER('Inputs'!$B$8),ISNUMBER('Inputs'!$B$9),ISNUMBER('Inputs'!$B$10),ISNUMBER('Inputs'!$B$21),ISNUMBER('Inputs'!$B$24),ISNUMBER('Inputs'!$B$28)),(('Results'!B7*(0.5*((((770-43)*MAX('Inputs'!$B$33,'Inputs'!$B$29+'Inputs'!$B$31+'Inputs'!$B$32,'Inputs'!$B$30+'Inputs'!$B$31+'Inputs'!$B$32)/1000+'Inputs'!$B$21)+'Inputs'!$B$7)/SQRT((((770-43)*MAX('Inputs'!$B$33,'Inputs'!$B$29+'Inputs'!$B$31+'Inputs'!$B$32,'Inputs'!$B$30+'Inputs'!$B$31+'Inputs'!$B$32)/1000+'Inputs'!$B$21)+'Inputs'!$B$7)^2+('Inputs'!$B$6/2)^2)-(((770-43)*MAX('Inputs'!$B$33,'Inputs'!$B$29+'Inputs'!$B$31+'Inputs'!$B$32,'Inputs'!$B$30+'Inputs'!$B$31+'Inputs'!$B$32)/1000+'Inputs'!$B$21))/SQRT((((770-43)*MAX('Inputs'!$B$33,'Inputs'!$B$29+'Inputs'!$B$31+'Inputs'!$B$32,'Inputs'!$B$30+'Inputs'!$B$31+'Inputs'!$B$32)/1000+'Inputs'!$B$21))^2+('Inputs'!$B$6/2)^2)))-'Results'!C7*(0.5*((((770-43)*MAX('Inputs'!$B$33,'Inputs'!$B$29+'Inputs'!$B$31+'Inputs'!$B$32,'Inputs'!$B$30+'Inputs'!$B$31+'Inputs'!$B$32)/1000+'Inputs'!$B$21+'Inputs'!$B$7+'Inputs'!$B$10)+'Inputs'!$B$9)/SQRT((((770-43)*MAX('Inputs'!$B$33,'Inputs'!$B$29+'Inputs'!$B$31+'Inputs'!$B$32,'Inputs'!$B$30+'Inputs'!$B$31+'Inputs'!$B$32)/1000+'Inputs'!$B$21+'Inputs'!$B$7+'Inputs'!$B$10)+'Inputs'!$B$9)^2+('Inputs'!$B$8/2)^2)-(((770-43)*MAX('Inputs'!$B$33,'Inputs'!$B$29+'Inputs'!$B$31+'Inputs'!$B$32,'Inputs'!$B$30+'Inputs'!$B$31+'Inputs'!$B$32)/1000+'Inputs'!$B$21+'Inputs'!$B$7+'Inputs'!$B$10))/SQRT((((770-43)*MAX('Inputs'!$B$33,'Inputs'!$B$29+'Inputs'!$B$31+'Inputs'!$B$32,'Inputs'!$B$30+'Inputs'!$B$31+'Inputs'!$B$32)/1000+'Inputs'!$B$21+'Inputs'!$B$7+'Inputs'!$B$10))^2+('Inputs'!$B$8/2)^2))))*'Results'!$B$8),"")</x:f>
        <x:v>1.129617678191411</x:v>
      </x:c>
      <x:c r="K770" t="n">
        <x:f>IF(AND(ISNUMBER('Results'!B7),ISNUMBER('Results'!C7),ISNUMBER('Results'!$B$8),ISNUMBER('Inputs'!$B$6),ISNUMBER('Inputs'!$B$7),ISNUMBER('Inputs'!$B$8),ISNUMBER('Inputs'!$B$9),ISNUMBER('Inputs'!$B$10),ISNUMBER('Inputs'!$B$21),ISNUMBER('Inputs'!$B$24),ISNUMBER('Inputs'!$B$28)),((('Results'!B7*(1-'Inputs'!$B$24)*(0.5*((((770-43)*MAX('Inputs'!$B$33,'Inputs'!$B$29+'Inputs'!$B$31+'Inputs'!$B$32,'Inputs'!$B$30+'Inputs'!$B$31+'Inputs'!$B$32)/1000+'Inputs'!$B$21)+'Inputs'!$B$7)/SQRT((((770-43)*MAX('Inputs'!$B$33,'Inputs'!$B$29+'Inputs'!$B$31+'Inputs'!$B$32,'Inputs'!$B$30+'Inputs'!$B$31+'Inputs'!$B$32)/1000+'Inputs'!$B$21)+'Inputs'!$B$7)^2+('Inputs'!$B$6/2)^2)-(((770-43)*MAX('Inputs'!$B$33,'Inputs'!$B$29+'Inputs'!$B$31+'Inputs'!$B$32,'Inputs'!$B$30+'Inputs'!$B$31+'Inputs'!$B$32)/1000+'Inputs'!$B$21))/SQRT((((770-43)*MAX('Inputs'!$B$33,'Inputs'!$B$29+'Inputs'!$B$31+'Inputs'!$B$32,'Inputs'!$B$30+'Inputs'!$B$31+'Inputs'!$B$32)/1000+'Inputs'!$B$21))^2+('Inputs'!$B$6/2)^2)))-'Results'!C7*(1+'Inputs'!$B$24)*(0.5*((((770-43)*MAX('Inputs'!$B$33,'Inputs'!$B$29+'Inputs'!$B$31+'Inputs'!$B$32,'Inputs'!$B$30+'Inputs'!$B$31+'Inputs'!$B$32)/1000+'Inputs'!$B$21+'Inputs'!$B$7+'Inputs'!$B$10)+'Inputs'!$B$9)/SQRT((((770-43)*MAX('Inputs'!$B$33,'Inputs'!$B$29+'Inputs'!$B$31+'Inputs'!$B$32,'Inputs'!$B$30+'Inputs'!$B$31+'Inputs'!$B$32)/1000+'Inputs'!$B$21+'Inputs'!$B$7+'Inputs'!$B$10)+'Inputs'!$B$9)^2+('Inputs'!$B$8/2)^2)-(((770-43)*MAX('Inputs'!$B$33,'Inputs'!$B$29+'Inputs'!$B$31+'Inputs'!$B$32,'Inputs'!$B$30+'Inputs'!$B$31+'Inputs'!$B$32)/1000+'Inputs'!$B$21+'Inputs'!$B$7+'Inputs'!$B$10))/SQRT((((770-43)*MAX('Inputs'!$B$33,'Inputs'!$B$29+'Inputs'!$B$31+'Inputs'!$B$32,'Inputs'!$B$30+'Inputs'!$B$31+'Inputs'!$B$32)/1000+'Inputs'!$B$21+'Inputs'!$B$7+'Inputs'!$B$10))^2+('Inputs'!$B$8/2)^2))))*'Results'!$B$8)-'Inputs'!$B$28*ABS((('Results'!B7*(1-'Inputs'!$B$24)*(0.5*((((770-43)*MAX('Inputs'!$B$33,'Inputs'!$B$29+'Inputs'!$B$31+'Inputs'!$B$32,'Inputs'!$B$30+'Inputs'!$B$31+'Inputs'!$B$32)/1000+'Inputs'!$B$21)+'Inputs'!$B$7)/SQRT((((770-43)*MAX('Inputs'!$B$33,'Inputs'!$B$29+'Inputs'!$B$31+'Inputs'!$B$32,'Inputs'!$B$30+'Inputs'!$B$31+'Inputs'!$B$32)/1000+'Inputs'!$B$21)+'Inputs'!$B$7)^2+('Inputs'!$B$6/2)^2)-(((770-43)*MAX('Inputs'!$B$33,'Inputs'!$B$29+'Inputs'!$B$31+'Inputs'!$B$32,'Inputs'!$B$30+'Inputs'!$B$31+'Inputs'!$B$32)/1000+'Inputs'!$B$21))/SQRT((((770-43)*MAX('Inputs'!$B$33,'Inputs'!$B$29+'Inputs'!$B$31+'Inputs'!$B$32,'Inputs'!$B$30+'Inputs'!$B$31+'Inputs'!$B$32)/1000+'Inputs'!$B$21))^2+('Inputs'!$B$6/2)^2)))-'Results'!C7*(1+'Inputs'!$B$24)*(0.5*((((770-43)*MAX('Inputs'!$B$33,'Inputs'!$B$29+'Inputs'!$B$31+'Inputs'!$B$32,'Inputs'!$B$30+'Inputs'!$B$31+'Inputs'!$B$32)/1000+'Inputs'!$B$21+'Inputs'!$B$7+'Inputs'!$B$10)+'Inputs'!$B$9)/SQRT((((770-43)*MAX('Inputs'!$B$33,'Inputs'!$B$29+'Inputs'!$B$31+'Inputs'!$B$32,'Inputs'!$B$30+'Inputs'!$B$31+'Inputs'!$B$32)/1000+'Inputs'!$B$21+'Inputs'!$B$7+'Inputs'!$B$10)+'Inputs'!$B$9)^2+('Inputs'!$B$8/2)^2)-(((770-43)*MAX('Inputs'!$B$33,'Inputs'!$B$29+'Inputs'!$B$31+'Inputs'!$B$32,'Inputs'!$B$30+'Inputs'!$B$31+'Inputs'!$B$32)/1000+'Inputs'!$B$21+'Inputs'!$B$7+'Inputs'!$B$10))/SQRT((((770-43)*MAX('Inputs'!$B$33,'Inputs'!$B$29+'Inputs'!$B$31+'Inputs'!$B$32,'Inputs'!$B$30+'Inputs'!$B$31+'Inputs'!$B$32)/1000+'Inputs'!$B$21+'Inputs'!$B$7+'Inputs'!$B$10))^2+('Inputs'!$B$8/2)^2))))*'Results'!$B$8))),"")</x:f>
        <x:v>0.9750746127526769</x:v>
      </x:c>
      <x:c r="L770" t="n">
        <x:f>IF(AND(ISNUMBER('Results'!B7),ISNUMBER('Results'!C7),ISNUMBER('Results'!$B$8),ISNUMBER('Inputs'!$B$6),ISNUMBER('Inputs'!$B$7),ISNUMBER('Inputs'!$B$8),ISNUMBER('Inputs'!$B$9),ISNUMBER('Inputs'!$B$10),ISNUMBER('Inputs'!$B$21),ISNUMBER('Inputs'!$B$24),ISNUMBER('Inputs'!$B$28)),((('Results'!B7*(1+'Inputs'!$B$24)*(0.5*((((770-43)*MAX('Inputs'!$B$33,'Inputs'!$B$29+'Inputs'!$B$31+'Inputs'!$B$32,'Inputs'!$B$30+'Inputs'!$B$31+'Inputs'!$B$32)/1000+'Inputs'!$B$21)+'Inputs'!$B$7)/SQRT((((770-43)*MAX('Inputs'!$B$33,'Inputs'!$B$29+'Inputs'!$B$31+'Inputs'!$B$32,'Inputs'!$B$30+'Inputs'!$B$31+'Inputs'!$B$32)/1000+'Inputs'!$B$21)+'Inputs'!$B$7)^2+('Inputs'!$B$6/2)^2)-(((770-43)*MAX('Inputs'!$B$33,'Inputs'!$B$29+'Inputs'!$B$31+'Inputs'!$B$32,'Inputs'!$B$30+'Inputs'!$B$31+'Inputs'!$B$32)/1000+'Inputs'!$B$21))/SQRT((((770-43)*MAX('Inputs'!$B$33,'Inputs'!$B$29+'Inputs'!$B$31+'Inputs'!$B$32,'Inputs'!$B$30+'Inputs'!$B$31+'Inputs'!$B$32)/1000+'Inputs'!$B$21))^2+('Inputs'!$B$6/2)^2)))-'Results'!C7*(1-'Inputs'!$B$24)*(0.5*((((770-43)*MAX('Inputs'!$B$33,'Inputs'!$B$29+'Inputs'!$B$31+'Inputs'!$B$32,'Inputs'!$B$30+'Inputs'!$B$31+'Inputs'!$B$32)/1000+'Inputs'!$B$21+'Inputs'!$B$7+'Inputs'!$B$10)+'Inputs'!$B$9)/SQRT((((770-43)*MAX('Inputs'!$B$33,'Inputs'!$B$29+'Inputs'!$B$31+'Inputs'!$B$32,'Inputs'!$B$30+'Inputs'!$B$31+'Inputs'!$B$32)/1000+'Inputs'!$B$21+'Inputs'!$B$7+'Inputs'!$B$10)+'Inputs'!$B$9)^2+('Inputs'!$B$8/2)^2)-(((770-43)*MAX('Inputs'!$B$33,'Inputs'!$B$29+'Inputs'!$B$31+'Inputs'!$B$32,'Inputs'!$B$30+'Inputs'!$B$31+'Inputs'!$B$32)/1000+'Inputs'!$B$21+'Inputs'!$B$7+'Inputs'!$B$10))/SQRT((((770-43)*MAX('Inputs'!$B$33,'Inputs'!$B$29+'Inputs'!$B$31+'Inputs'!$B$32,'Inputs'!$B$30+'Inputs'!$B$31+'Inputs'!$B$32)/1000+'Inputs'!$B$21+'Inputs'!$B$7+'Inputs'!$B$10))^2+('Inputs'!$B$8/2)^2))))*'Results'!$B$8)+'Inputs'!$B$28*ABS((('Results'!B7*(1+'Inputs'!$B$24)*(0.5*((((770-43)*MAX('Inputs'!$B$33,'Inputs'!$B$29+'Inputs'!$B$31+'Inputs'!$B$32,'Inputs'!$B$30+'Inputs'!$B$31+'Inputs'!$B$32)/1000+'Inputs'!$B$21)+'Inputs'!$B$7)/SQRT((((770-43)*MAX('Inputs'!$B$33,'Inputs'!$B$29+'Inputs'!$B$31+'Inputs'!$B$32,'Inputs'!$B$30+'Inputs'!$B$31+'Inputs'!$B$32)/1000+'Inputs'!$B$21)+'Inputs'!$B$7)^2+('Inputs'!$B$6/2)^2)-(((770-43)*MAX('Inputs'!$B$33,'Inputs'!$B$29+'Inputs'!$B$31+'Inputs'!$B$32,'Inputs'!$B$30+'Inputs'!$B$31+'Inputs'!$B$32)/1000+'Inputs'!$B$21))/SQRT((((770-43)*MAX('Inputs'!$B$33,'Inputs'!$B$29+'Inputs'!$B$31+'Inputs'!$B$32,'Inputs'!$B$30+'Inputs'!$B$31+'Inputs'!$B$32)/1000+'Inputs'!$B$21))^2+('Inputs'!$B$6/2)^2)))-'Results'!C7*(1-'Inputs'!$B$24)*(0.5*((((770-43)*MAX('Inputs'!$B$33,'Inputs'!$B$29+'Inputs'!$B$31+'Inputs'!$B$32,'Inputs'!$B$30+'Inputs'!$B$31+'Inputs'!$B$32)/1000+'Inputs'!$B$21+'Inputs'!$B$7+'Inputs'!$B$10)+'Inputs'!$B$9)/SQRT((((770-43)*MAX('Inputs'!$B$33,'Inputs'!$B$29+'Inputs'!$B$31+'Inputs'!$B$32,'Inputs'!$B$30+'Inputs'!$B$31+'Inputs'!$B$32)/1000+'Inputs'!$B$21+'Inputs'!$B$7+'Inputs'!$B$10)+'Inputs'!$B$9)^2+('Inputs'!$B$8/2)^2)-(((770-43)*MAX('Inputs'!$B$33,'Inputs'!$B$29+'Inputs'!$B$31+'Inputs'!$B$32,'Inputs'!$B$30+'Inputs'!$B$31+'Inputs'!$B$32)/1000+'Inputs'!$B$21+'Inputs'!$B$7+'Inputs'!$B$10))/SQRT((((770-43)*MAX('Inputs'!$B$33,'Inputs'!$B$29+'Inputs'!$B$31+'Inputs'!$B$32,'Inputs'!$B$30+'Inputs'!$B$31+'Inputs'!$B$32)/1000+'Inputs'!$B$21+'Inputs'!$B$7+'Inputs'!$B$10))^2+('Inputs'!$B$8/2)^2))))*'Results'!$B$8))),"")</x:f>
        <x:v>1.294483078527952</x:v>
      </x:c>
      <x:c r="M770" t="n">
        <x:f>IF(AND(ISNUMBER('Results'!C7),ISNUMBER('Results'!B7),ISNUMBER('Results'!$B$8),ISNUMBER('Inputs'!$B$6),ISNUMBER('Inputs'!$B$7),ISNUMBER('Inputs'!$B$8),ISNUMBER('Inputs'!$B$9),ISNUMBER('Inputs'!$B$10),ISNUMBER('Inputs'!$B$21),ISNUMBER('Inputs'!$B$24),ISNUMBER('Inputs'!$B$28)),(('Results'!C7*(0.5*((((770-43)*MAX('Inputs'!$B$33,'Inputs'!$B$29+'Inputs'!$B$31+'Inputs'!$B$32,'Inputs'!$B$30+'Inputs'!$B$31+'Inputs'!$B$32)/1000+'Inputs'!$B$21)+'Inputs'!$B$9)/SQRT((((770-43)*MAX('Inputs'!$B$33,'Inputs'!$B$29+'Inputs'!$B$31+'Inputs'!$B$32,'Inputs'!$B$30+'Inputs'!$B$31+'Inputs'!$B$32)/1000+'Inputs'!$B$21)+'Inputs'!$B$9)^2+('Inputs'!$B$8/2)^2)-(((770-43)*MAX('Inputs'!$B$33,'Inputs'!$B$29+'Inputs'!$B$31+'Inputs'!$B$32,'Inputs'!$B$30+'Inputs'!$B$31+'Inputs'!$B$32)/1000+'Inputs'!$B$21))/SQRT((((770-43)*MAX('Inputs'!$B$33,'Inputs'!$B$29+'Inputs'!$B$31+'Inputs'!$B$32,'Inputs'!$B$30+'Inputs'!$B$31+'Inputs'!$B$32)/1000+'Inputs'!$B$21))^2+('Inputs'!$B$8/2)^2)))-'Results'!B7*(0.5*((((770-43)*MAX('Inputs'!$B$33,'Inputs'!$B$29+'Inputs'!$B$31+'Inputs'!$B$32,'Inputs'!$B$30+'Inputs'!$B$31+'Inputs'!$B$32)/1000+'Inputs'!$B$21+'Inputs'!$B$9+'Inputs'!$B$10)+'Inputs'!$B$7)/SQRT((((770-43)*MAX('Inputs'!$B$33,'Inputs'!$B$29+'Inputs'!$B$31+'Inputs'!$B$32,'Inputs'!$B$30+'Inputs'!$B$31+'Inputs'!$B$32)/1000+'Inputs'!$B$21+'Inputs'!$B$9+'Inputs'!$B$10)+'Inputs'!$B$7)^2+('Inputs'!$B$6/2)^2)-(((770-43)*MAX('Inputs'!$B$33,'Inputs'!$B$29+'Inputs'!$B$31+'Inputs'!$B$32,'Inputs'!$B$30+'Inputs'!$B$31+'Inputs'!$B$32)/1000+'Inputs'!$B$21+'Inputs'!$B$9+'Inputs'!$B$10))/SQRT((((770-43)*MAX('Inputs'!$B$33,'Inputs'!$B$29+'Inputs'!$B$31+'Inputs'!$B$32,'Inputs'!$B$30+'Inputs'!$B$31+'Inputs'!$B$32)/1000+'Inputs'!$B$21+'Inputs'!$B$9+'Inputs'!$B$10))^2+('Inputs'!$B$6/2)^2))))*'Results'!$B$8),"")</x:f>
        <x:v>1.0255715639540153</x:v>
      </x:c>
      <x:c r="N770" t="n">
        <x:f>IF(AND(ISNUMBER('Results'!C7),ISNUMBER('Results'!B7),ISNUMBER('Results'!$B$8),ISNUMBER('Inputs'!$B$6),ISNUMBER('Inputs'!$B$7),ISNUMBER('Inputs'!$B$8),ISNUMBER('Inputs'!$B$9),ISNUMBER('Inputs'!$B$10),ISNUMBER('Inputs'!$B$21),ISNUMBER('Inputs'!$B$24),ISNUMBER('Inputs'!$B$28)),((('Results'!C7*(1-'Inputs'!$B$24)*(0.5*((((770-43)*MAX('Inputs'!$B$33,'Inputs'!$B$29+'Inputs'!$B$31+'Inputs'!$B$32,'Inputs'!$B$30+'Inputs'!$B$31+'Inputs'!$B$32)/1000+'Inputs'!$B$21)+'Inputs'!$B$9)/SQRT((((770-43)*MAX('Inputs'!$B$33,'Inputs'!$B$29+'Inputs'!$B$31+'Inputs'!$B$32,'Inputs'!$B$30+'Inputs'!$B$31+'Inputs'!$B$32)/1000+'Inputs'!$B$21)+'Inputs'!$B$9)^2+('Inputs'!$B$8/2)^2)-(((770-43)*MAX('Inputs'!$B$33,'Inputs'!$B$29+'Inputs'!$B$31+'Inputs'!$B$32,'Inputs'!$B$30+'Inputs'!$B$31+'Inputs'!$B$32)/1000+'Inputs'!$B$21))/SQRT((((770-43)*MAX('Inputs'!$B$33,'Inputs'!$B$29+'Inputs'!$B$31+'Inputs'!$B$32,'Inputs'!$B$30+'Inputs'!$B$31+'Inputs'!$B$32)/1000+'Inputs'!$B$21))^2+('Inputs'!$B$8/2)^2)))-'Results'!B7*(1+'Inputs'!$B$24)*(0.5*((((770-43)*MAX('Inputs'!$B$33,'Inputs'!$B$29+'Inputs'!$B$31+'Inputs'!$B$32,'Inputs'!$B$30+'Inputs'!$B$31+'Inputs'!$B$32)/1000+'Inputs'!$B$21+'Inputs'!$B$9+'Inputs'!$B$10)+'Inputs'!$B$7)/SQRT((((770-43)*MAX('Inputs'!$B$33,'Inputs'!$B$29+'Inputs'!$B$31+'Inputs'!$B$32,'Inputs'!$B$30+'Inputs'!$B$31+'Inputs'!$B$32)/1000+'Inputs'!$B$21+'Inputs'!$B$9+'Inputs'!$B$10)+'Inputs'!$B$7)^2+('Inputs'!$B$6/2)^2)-(((770-43)*MAX('Inputs'!$B$33,'Inputs'!$B$29+'Inputs'!$B$31+'Inputs'!$B$32,'Inputs'!$B$30+'Inputs'!$B$31+'Inputs'!$B$32)/1000+'Inputs'!$B$21+'Inputs'!$B$9+'Inputs'!$B$10))/SQRT((((770-43)*MAX('Inputs'!$B$33,'Inputs'!$B$29+'Inputs'!$B$31+'Inputs'!$B$32,'Inputs'!$B$30+'Inputs'!$B$31+'Inputs'!$B$32)/1000+'Inputs'!$B$21+'Inputs'!$B$9+'Inputs'!$B$10))^2+('Inputs'!$B$6/2)^2))))*'Results'!$B$8)-'Inputs'!$B$28*ABS((('Results'!C7*(1-'Inputs'!$B$24)*(0.5*((((770-43)*MAX('Inputs'!$B$33,'Inputs'!$B$29+'Inputs'!$B$31+'Inputs'!$B$32,'Inputs'!$B$30+'Inputs'!$B$31+'Inputs'!$B$32)/1000+'Inputs'!$B$21)+'Inputs'!$B$9)/SQRT((((770-43)*MAX('Inputs'!$B$33,'Inputs'!$B$29+'Inputs'!$B$31+'Inputs'!$B$32,'Inputs'!$B$30+'Inputs'!$B$31+'Inputs'!$B$32)/1000+'Inputs'!$B$21)+'Inputs'!$B$9)^2+('Inputs'!$B$8/2)^2)-(((770-43)*MAX('Inputs'!$B$33,'Inputs'!$B$29+'Inputs'!$B$31+'Inputs'!$B$32,'Inputs'!$B$30+'Inputs'!$B$31+'Inputs'!$B$32)/1000+'Inputs'!$B$21))/SQRT((((770-43)*MAX('Inputs'!$B$33,'Inputs'!$B$29+'Inputs'!$B$31+'Inputs'!$B$32,'Inputs'!$B$30+'Inputs'!$B$31+'Inputs'!$B$32)/1000+'Inputs'!$B$21))^2+('Inputs'!$B$8/2)^2)))-'Results'!B7*(1+'Inputs'!$B$24)*(0.5*((((770-43)*MAX('Inputs'!$B$33,'Inputs'!$B$29+'Inputs'!$B$31+'Inputs'!$B$32,'Inputs'!$B$30+'Inputs'!$B$31+'Inputs'!$B$32)/1000+'Inputs'!$B$21+'Inputs'!$B$9+'Inputs'!$B$10)+'Inputs'!$B$7)/SQRT((((770-43)*MAX('Inputs'!$B$33,'Inputs'!$B$29+'Inputs'!$B$31+'Inputs'!$B$32,'Inputs'!$B$30+'Inputs'!$B$31+'Inputs'!$B$32)/1000+'Inputs'!$B$21+'Inputs'!$B$9+'Inputs'!$B$10)+'Inputs'!$B$7)^2+('Inputs'!$B$6/2)^2)-(((770-43)*MAX('Inputs'!$B$33,'Inputs'!$B$29+'Inputs'!$B$31+'Inputs'!$B$32,'Inputs'!$B$30+'Inputs'!$B$31+'Inputs'!$B$32)/1000+'Inputs'!$B$21+'Inputs'!$B$9+'Inputs'!$B$10))/SQRT((((770-43)*MAX('Inputs'!$B$33,'Inputs'!$B$29+'Inputs'!$B$31+'Inputs'!$B$32,'Inputs'!$B$30+'Inputs'!$B$31+'Inputs'!$B$32)/1000+'Inputs'!$B$21+'Inputs'!$B$9+'Inputs'!$B$10))^2+('Inputs'!$B$6/2)^2))))*'Results'!$B$8))),"")</x:f>
        <x:v>0.876644426404936</x:v>
      </x:c>
      <x:c r="O770" t="n">
        <x:f>IF(AND(ISNUMBER('Results'!C7),ISNUMBER('Results'!B7),ISNUMBER('Results'!$B$8),ISNUMBER('Inputs'!$B$6),ISNUMBER('Inputs'!$B$7),ISNUMBER('Inputs'!$B$8),ISNUMBER('Inputs'!$B$9),ISNUMBER('Inputs'!$B$10),ISNUMBER('Inputs'!$B$21),ISNUMBER('Inputs'!$B$24),ISNUMBER('Inputs'!$B$28)),((('Results'!C7*(1+'Inputs'!$B$24)*(0.5*((((770-43)*MAX('Inputs'!$B$33,'Inputs'!$B$29+'Inputs'!$B$31+'Inputs'!$B$32,'Inputs'!$B$30+'Inputs'!$B$31+'Inputs'!$B$32)/1000+'Inputs'!$B$21)+'Inputs'!$B$9)/SQRT((((770-43)*MAX('Inputs'!$B$33,'Inputs'!$B$29+'Inputs'!$B$31+'Inputs'!$B$32,'Inputs'!$B$30+'Inputs'!$B$31+'Inputs'!$B$32)/1000+'Inputs'!$B$21)+'Inputs'!$B$9)^2+('Inputs'!$B$8/2)^2)-(((770-43)*MAX('Inputs'!$B$33,'Inputs'!$B$29+'Inputs'!$B$31+'Inputs'!$B$32,'Inputs'!$B$30+'Inputs'!$B$31+'Inputs'!$B$32)/1000+'Inputs'!$B$21))/SQRT((((770-43)*MAX('Inputs'!$B$33,'Inputs'!$B$29+'Inputs'!$B$31+'Inputs'!$B$32,'Inputs'!$B$30+'Inputs'!$B$31+'Inputs'!$B$32)/1000+'Inputs'!$B$21))^2+('Inputs'!$B$8/2)^2)))-'Results'!B7*(1-'Inputs'!$B$24)*(0.5*((((770-43)*MAX('Inputs'!$B$33,'Inputs'!$B$29+'Inputs'!$B$31+'Inputs'!$B$32,'Inputs'!$B$30+'Inputs'!$B$31+'Inputs'!$B$32)/1000+'Inputs'!$B$21+'Inputs'!$B$9+'Inputs'!$B$10)+'Inputs'!$B$7)/SQRT((((770-43)*MAX('Inputs'!$B$33,'Inputs'!$B$29+'Inputs'!$B$31+'Inputs'!$B$32,'Inputs'!$B$30+'Inputs'!$B$31+'Inputs'!$B$32)/1000+'Inputs'!$B$21+'Inputs'!$B$9+'Inputs'!$B$10)+'Inputs'!$B$7)^2+('Inputs'!$B$6/2)^2)-(((770-43)*MAX('Inputs'!$B$33,'Inputs'!$B$29+'Inputs'!$B$31+'Inputs'!$B$32,'Inputs'!$B$30+'Inputs'!$B$31+'Inputs'!$B$32)/1000+'Inputs'!$B$21+'Inputs'!$B$9+'Inputs'!$B$10))/SQRT((((770-43)*MAX('Inputs'!$B$33,'Inputs'!$B$29+'Inputs'!$B$31+'Inputs'!$B$32,'Inputs'!$B$30+'Inputs'!$B$31+'Inputs'!$B$32)/1000+'Inputs'!$B$21+'Inputs'!$B$9+'Inputs'!$B$10))^2+('Inputs'!$B$6/2)^2))))*'Results'!$B$8)+'Inputs'!$B$28*ABS((('Results'!C7*(1+'Inputs'!$B$24)*(0.5*((((770-43)*MAX('Inputs'!$B$33,'Inputs'!$B$29+'Inputs'!$B$31+'Inputs'!$B$32,'Inputs'!$B$30+'Inputs'!$B$31+'Inputs'!$B$32)/1000+'Inputs'!$B$21)+'Inputs'!$B$9)/SQRT((((770-43)*MAX('Inputs'!$B$33,'Inputs'!$B$29+'Inputs'!$B$31+'Inputs'!$B$32,'Inputs'!$B$30+'Inputs'!$B$31+'Inputs'!$B$32)/1000+'Inputs'!$B$21)+'Inputs'!$B$9)^2+('Inputs'!$B$8/2)^2)-(((770-43)*MAX('Inputs'!$B$33,'Inputs'!$B$29+'Inputs'!$B$31+'Inputs'!$B$32,'Inputs'!$B$30+'Inputs'!$B$31+'Inputs'!$B$32)/1000+'Inputs'!$B$21))/SQRT((((770-43)*MAX('Inputs'!$B$33,'Inputs'!$B$29+'Inputs'!$B$31+'Inputs'!$B$32,'Inputs'!$B$30+'Inputs'!$B$31+'Inputs'!$B$32)/1000+'Inputs'!$B$21))^2+('Inputs'!$B$8/2)^2)))-'Results'!B7*(1-'Inputs'!$B$24)*(0.5*((((770-43)*MAX('Inputs'!$B$33,'Inputs'!$B$29+'Inputs'!$B$31+'Inputs'!$B$32,'Inputs'!$B$30+'Inputs'!$B$31+'Inputs'!$B$32)/1000+'Inputs'!$B$21+'Inputs'!$B$9+'Inputs'!$B$10)+'Inputs'!$B$7)/SQRT((((770-43)*MAX('Inputs'!$B$33,'Inputs'!$B$29+'Inputs'!$B$31+'Inputs'!$B$32,'Inputs'!$B$30+'Inputs'!$B$31+'Inputs'!$B$32)/1000+'Inputs'!$B$21+'Inputs'!$B$9+'Inputs'!$B$10)+'Inputs'!$B$7)^2+('Inputs'!$B$6/2)^2)-(((770-43)*MAX('Inputs'!$B$33,'Inputs'!$B$29+'Inputs'!$B$31+'Inputs'!$B$32,'Inputs'!$B$30+'Inputs'!$B$31+'Inputs'!$B$32)/1000+'Inputs'!$B$21+'Inputs'!$B$9+'Inputs'!$B$10))/SQRT((((770-43)*MAX('Inputs'!$B$33,'Inputs'!$B$29+'Inputs'!$B$31+'Inputs'!$B$32,'Inputs'!$B$30+'Inputs'!$B$31+'Inputs'!$B$32)/1000+'Inputs'!$B$21+'Inputs'!$B$9+'Inputs'!$B$10))^2+('Inputs'!$B$6/2)^2))))*'Results'!$B$8))),"")</x:f>
        <x:v>1.1847774972242922</x:v>
      </x:c>
      <x:c r="P770" t="n">
        <x:f>IF(AND(MAX(J770,J769)&gt;0,J770&gt;J769+0.00000001),1,0)</x:f>
        <x:v>0</x:v>
      </x:c>
      <x:c r="Q770" t="n">
        <x:f>IF(AND(MAX(K770,K769)&gt;0,K770&gt;K769+0.00000001),1,0)</x:f>
        <x:v>0</x:v>
      </x:c>
      <x:c r="R770" t="n">
        <x:f>IF(AND(MAX(L770,L769)&gt;0,L770&gt;L769+0.00000001),1,0)</x:f>
        <x:v>0</x:v>
      </x:c>
      <x:c r="S770" t="n">
        <x:f>IF(AND(MAX(M770,M769)&gt;0,M770&gt;M769+0.00000001),1,0)</x:f>
        <x:v>0</x:v>
      </x:c>
      <x:c r="T770" t="n">
        <x:f>IF(AND(MAX(N770,N769)&gt;0,N770&gt;N769+0.00000001),1,0)</x:f>
        <x:v>0</x:v>
      </x:c>
      <x:c r="U770" t="n">
        <x:f>IF(AND(MAX(O770,O769)&gt;0,O770&gt;O769+0.00000001),1,0)</x:f>
        <x:v>0</x:v>
      </x:c>
    </x:row>
    <x:row r="771">
      <x:c r="J771" t="n">
        <x:f>IF(AND(ISNUMBER('Results'!B7),ISNUMBER('Results'!C7),ISNUMBER('Results'!$B$8),ISNUMBER('Inputs'!$B$6),ISNUMBER('Inputs'!$B$7),ISNUMBER('Inputs'!$B$8),ISNUMBER('Inputs'!$B$9),ISNUMBER('Inputs'!$B$10),ISNUMBER('Inputs'!$B$21),ISNUMBER('Inputs'!$B$24),ISNUMBER('Inputs'!$B$28)),(('Results'!B7*(0.5*((((771-43)*MAX('Inputs'!$B$33,'Inputs'!$B$29+'Inputs'!$B$31+'Inputs'!$B$32,'Inputs'!$B$30+'Inputs'!$B$31+'Inputs'!$B$32)/1000+'Inputs'!$B$21)+'Inputs'!$B$7)/SQRT((((771-43)*MAX('Inputs'!$B$33,'Inputs'!$B$29+'Inputs'!$B$31+'Inputs'!$B$32,'Inputs'!$B$30+'Inputs'!$B$31+'Inputs'!$B$32)/1000+'Inputs'!$B$21)+'Inputs'!$B$7)^2+('Inputs'!$B$6/2)^2)-(((771-43)*MAX('Inputs'!$B$33,'Inputs'!$B$29+'Inputs'!$B$31+'Inputs'!$B$32,'Inputs'!$B$30+'Inputs'!$B$31+'Inputs'!$B$32)/1000+'Inputs'!$B$21))/SQRT((((771-43)*MAX('Inputs'!$B$33,'Inputs'!$B$29+'Inputs'!$B$31+'Inputs'!$B$32,'Inputs'!$B$30+'Inputs'!$B$31+'Inputs'!$B$32)/1000+'Inputs'!$B$21))^2+('Inputs'!$B$6/2)^2)))-'Results'!C7*(0.5*((((771-43)*MAX('Inputs'!$B$33,'Inputs'!$B$29+'Inputs'!$B$31+'Inputs'!$B$32,'Inputs'!$B$30+'Inputs'!$B$31+'Inputs'!$B$32)/1000+'Inputs'!$B$21+'Inputs'!$B$7+'Inputs'!$B$10)+'Inputs'!$B$9)/SQRT((((771-43)*MAX('Inputs'!$B$33,'Inputs'!$B$29+'Inputs'!$B$31+'Inputs'!$B$32,'Inputs'!$B$30+'Inputs'!$B$31+'Inputs'!$B$32)/1000+'Inputs'!$B$21+'Inputs'!$B$7+'Inputs'!$B$10)+'Inputs'!$B$9)^2+('Inputs'!$B$8/2)^2)-(((771-43)*MAX('Inputs'!$B$33,'Inputs'!$B$29+'Inputs'!$B$31+'Inputs'!$B$32,'Inputs'!$B$30+'Inputs'!$B$31+'Inputs'!$B$32)/1000+'Inputs'!$B$21+'Inputs'!$B$7+'Inputs'!$B$10))/SQRT((((771-43)*MAX('Inputs'!$B$33,'Inputs'!$B$29+'Inputs'!$B$31+'Inputs'!$B$32,'Inputs'!$B$30+'Inputs'!$B$31+'Inputs'!$B$32)/1000+'Inputs'!$B$21+'Inputs'!$B$7+'Inputs'!$B$10))^2+('Inputs'!$B$8/2)^2))))*'Results'!$B$8),"")</x:f>
        <x:v>1.1240947259738279</x:v>
      </x:c>
      <x:c r="K771" t="n">
        <x:f>IF(AND(ISNUMBER('Results'!B7),ISNUMBER('Results'!C7),ISNUMBER('Results'!$B$8),ISNUMBER('Inputs'!$B$6),ISNUMBER('Inputs'!$B$7),ISNUMBER('Inputs'!$B$8),ISNUMBER('Inputs'!$B$9),ISNUMBER('Inputs'!$B$10),ISNUMBER('Inputs'!$B$21),ISNUMBER('Inputs'!$B$24),ISNUMBER('Inputs'!$B$28)),((('Results'!B7*(1-'Inputs'!$B$24)*(0.5*((((771-43)*MAX('Inputs'!$B$33,'Inputs'!$B$29+'Inputs'!$B$31+'Inputs'!$B$32,'Inputs'!$B$30+'Inputs'!$B$31+'Inputs'!$B$32)/1000+'Inputs'!$B$21)+'Inputs'!$B$7)/SQRT((((771-43)*MAX('Inputs'!$B$33,'Inputs'!$B$29+'Inputs'!$B$31+'Inputs'!$B$32,'Inputs'!$B$30+'Inputs'!$B$31+'Inputs'!$B$32)/1000+'Inputs'!$B$21)+'Inputs'!$B$7)^2+('Inputs'!$B$6/2)^2)-(((771-43)*MAX('Inputs'!$B$33,'Inputs'!$B$29+'Inputs'!$B$31+'Inputs'!$B$32,'Inputs'!$B$30+'Inputs'!$B$31+'Inputs'!$B$32)/1000+'Inputs'!$B$21))/SQRT((((771-43)*MAX('Inputs'!$B$33,'Inputs'!$B$29+'Inputs'!$B$31+'Inputs'!$B$32,'Inputs'!$B$30+'Inputs'!$B$31+'Inputs'!$B$32)/1000+'Inputs'!$B$21))^2+('Inputs'!$B$6/2)^2)))-'Results'!C7*(1+'Inputs'!$B$24)*(0.5*((((771-43)*MAX('Inputs'!$B$33,'Inputs'!$B$29+'Inputs'!$B$31+'Inputs'!$B$32,'Inputs'!$B$30+'Inputs'!$B$31+'Inputs'!$B$32)/1000+'Inputs'!$B$21+'Inputs'!$B$7+'Inputs'!$B$10)+'Inputs'!$B$9)/SQRT((((771-43)*MAX('Inputs'!$B$33,'Inputs'!$B$29+'Inputs'!$B$31+'Inputs'!$B$32,'Inputs'!$B$30+'Inputs'!$B$31+'Inputs'!$B$32)/1000+'Inputs'!$B$21+'Inputs'!$B$7+'Inputs'!$B$10)+'Inputs'!$B$9)^2+('Inputs'!$B$8/2)^2)-(((771-43)*MAX('Inputs'!$B$33,'Inputs'!$B$29+'Inputs'!$B$31+'Inputs'!$B$32,'Inputs'!$B$30+'Inputs'!$B$31+'Inputs'!$B$32)/1000+'Inputs'!$B$21+'Inputs'!$B$7+'Inputs'!$B$10))/SQRT((((771-43)*MAX('Inputs'!$B$33,'Inputs'!$B$29+'Inputs'!$B$31+'Inputs'!$B$32,'Inputs'!$B$30+'Inputs'!$B$31+'Inputs'!$B$32)/1000+'Inputs'!$B$21+'Inputs'!$B$7+'Inputs'!$B$10))^2+('Inputs'!$B$8/2)^2))))*'Results'!$B$8)-'Inputs'!$B$28*ABS((('Results'!B7*(1-'Inputs'!$B$24)*(0.5*((((771-43)*MAX('Inputs'!$B$33,'Inputs'!$B$29+'Inputs'!$B$31+'Inputs'!$B$32,'Inputs'!$B$30+'Inputs'!$B$31+'Inputs'!$B$32)/1000+'Inputs'!$B$21)+'Inputs'!$B$7)/SQRT((((771-43)*MAX('Inputs'!$B$33,'Inputs'!$B$29+'Inputs'!$B$31+'Inputs'!$B$32,'Inputs'!$B$30+'Inputs'!$B$31+'Inputs'!$B$32)/1000+'Inputs'!$B$21)+'Inputs'!$B$7)^2+('Inputs'!$B$6/2)^2)-(((771-43)*MAX('Inputs'!$B$33,'Inputs'!$B$29+'Inputs'!$B$31+'Inputs'!$B$32,'Inputs'!$B$30+'Inputs'!$B$31+'Inputs'!$B$32)/1000+'Inputs'!$B$21))/SQRT((((771-43)*MAX('Inputs'!$B$33,'Inputs'!$B$29+'Inputs'!$B$31+'Inputs'!$B$32,'Inputs'!$B$30+'Inputs'!$B$31+'Inputs'!$B$32)/1000+'Inputs'!$B$21))^2+('Inputs'!$B$6/2)^2)))-'Results'!C7*(1+'Inputs'!$B$24)*(0.5*((((771-43)*MAX('Inputs'!$B$33,'Inputs'!$B$29+'Inputs'!$B$31+'Inputs'!$B$32,'Inputs'!$B$30+'Inputs'!$B$31+'Inputs'!$B$32)/1000+'Inputs'!$B$21+'Inputs'!$B$7+'Inputs'!$B$10)+'Inputs'!$B$9)/SQRT((((771-43)*MAX('Inputs'!$B$33,'Inputs'!$B$29+'Inputs'!$B$31+'Inputs'!$B$32,'Inputs'!$B$30+'Inputs'!$B$31+'Inputs'!$B$32)/1000+'Inputs'!$B$21+'Inputs'!$B$7+'Inputs'!$B$10)+'Inputs'!$B$9)^2+('Inputs'!$B$8/2)^2)-(((771-43)*MAX('Inputs'!$B$33,'Inputs'!$B$29+'Inputs'!$B$31+'Inputs'!$B$32,'Inputs'!$B$30+'Inputs'!$B$31+'Inputs'!$B$32)/1000+'Inputs'!$B$21+'Inputs'!$B$7+'Inputs'!$B$10))/SQRT((((771-43)*MAX('Inputs'!$B$33,'Inputs'!$B$29+'Inputs'!$B$31+'Inputs'!$B$32,'Inputs'!$B$30+'Inputs'!$B$31+'Inputs'!$B$32)/1000+'Inputs'!$B$21+'Inputs'!$B$7+'Inputs'!$B$10))^2+('Inputs'!$B$8/2)^2))))*'Results'!$B$8))),"")</x:f>
        <x:v>0.9701968060044126</x:v>
      </x:c>
      <x:c r="L771" t="n">
        <x:f>IF(AND(ISNUMBER('Results'!B7),ISNUMBER('Results'!C7),ISNUMBER('Results'!$B$8),ISNUMBER('Inputs'!$B$6),ISNUMBER('Inputs'!$B$7),ISNUMBER('Inputs'!$B$8),ISNUMBER('Inputs'!$B$9),ISNUMBER('Inputs'!$B$10),ISNUMBER('Inputs'!$B$21),ISNUMBER('Inputs'!$B$24),ISNUMBER('Inputs'!$B$28)),((('Results'!B7*(1+'Inputs'!$B$24)*(0.5*((((771-43)*MAX('Inputs'!$B$33,'Inputs'!$B$29+'Inputs'!$B$31+'Inputs'!$B$32,'Inputs'!$B$30+'Inputs'!$B$31+'Inputs'!$B$32)/1000+'Inputs'!$B$21)+'Inputs'!$B$7)/SQRT((((771-43)*MAX('Inputs'!$B$33,'Inputs'!$B$29+'Inputs'!$B$31+'Inputs'!$B$32,'Inputs'!$B$30+'Inputs'!$B$31+'Inputs'!$B$32)/1000+'Inputs'!$B$21)+'Inputs'!$B$7)^2+('Inputs'!$B$6/2)^2)-(((771-43)*MAX('Inputs'!$B$33,'Inputs'!$B$29+'Inputs'!$B$31+'Inputs'!$B$32,'Inputs'!$B$30+'Inputs'!$B$31+'Inputs'!$B$32)/1000+'Inputs'!$B$21))/SQRT((((771-43)*MAX('Inputs'!$B$33,'Inputs'!$B$29+'Inputs'!$B$31+'Inputs'!$B$32,'Inputs'!$B$30+'Inputs'!$B$31+'Inputs'!$B$32)/1000+'Inputs'!$B$21))^2+('Inputs'!$B$6/2)^2)))-'Results'!C7*(1-'Inputs'!$B$24)*(0.5*((((771-43)*MAX('Inputs'!$B$33,'Inputs'!$B$29+'Inputs'!$B$31+'Inputs'!$B$32,'Inputs'!$B$30+'Inputs'!$B$31+'Inputs'!$B$32)/1000+'Inputs'!$B$21+'Inputs'!$B$7+'Inputs'!$B$10)+'Inputs'!$B$9)/SQRT((((771-43)*MAX('Inputs'!$B$33,'Inputs'!$B$29+'Inputs'!$B$31+'Inputs'!$B$32,'Inputs'!$B$30+'Inputs'!$B$31+'Inputs'!$B$32)/1000+'Inputs'!$B$21+'Inputs'!$B$7+'Inputs'!$B$10)+'Inputs'!$B$9)^2+('Inputs'!$B$8/2)^2)-(((771-43)*MAX('Inputs'!$B$33,'Inputs'!$B$29+'Inputs'!$B$31+'Inputs'!$B$32,'Inputs'!$B$30+'Inputs'!$B$31+'Inputs'!$B$32)/1000+'Inputs'!$B$21+'Inputs'!$B$7+'Inputs'!$B$10))/SQRT((((771-43)*MAX('Inputs'!$B$33,'Inputs'!$B$29+'Inputs'!$B$31+'Inputs'!$B$32,'Inputs'!$B$30+'Inputs'!$B$31+'Inputs'!$B$32)/1000+'Inputs'!$B$21+'Inputs'!$B$7+'Inputs'!$B$10))^2+('Inputs'!$B$8/2)^2))))*'Results'!$B$8)+'Inputs'!$B$28*ABS((('Results'!B7*(1+'Inputs'!$B$24)*(0.5*((((771-43)*MAX('Inputs'!$B$33,'Inputs'!$B$29+'Inputs'!$B$31+'Inputs'!$B$32,'Inputs'!$B$30+'Inputs'!$B$31+'Inputs'!$B$32)/1000+'Inputs'!$B$21)+'Inputs'!$B$7)/SQRT((((771-43)*MAX('Inputs'!$B$33,'Inputs'!$B$29+'Inputs'!$B$31+'Inputs'!$B$32,'Inputs'!$B$30+'Inputs'!$B$31+'Inputs'!$B$32)/1000+'Inputs'!$B$21)+'Inputs'!$B$7)^2+('Inputs'!$B$6/2)^2)-(((771-43)*MAX('Inputs'!$B$33,'Inputs'!$B$29+'Inputs'!$B$31+'Inputs'!$B$32,'Inputs'!$B$30+'Inputs'!$B$31+'Inputs'!$B$32)/1000+'Inputs'!$B$21))/SQRT((((771-43)*MAX('Inputs'!$B$33,'Inputs'!$B$29+'Inputs'!$B$31+'Inputs'!$B$32,'Inputs'!$B$30+'Inputs'!$B$31+'Inputs'!$B$32)/1000+'Inputs'!$B$21))^2+('Inputs'!$B$6/2)^2)))-'Results'!C7*(1-'Inputs'!$B$24)*(0.5*((((771-43)*MAX('Inputs'!$B$33,'Inputs'!$B$29+'Inputs'!$B$31+'Inputs'!$B$32,'Inputs'!$B$30+'Inputs'!$B$31+'Inputs'!$B$32)/1000+'Inputs'!$B$21+'Inputs'!$B$7+'Inputs'!$B$10)+'Inputs'!$B$9)/SQRT((((771-43)*MAX('Inputs'!$B$33,'Inputs'!$B$29+'Inputs'!$B$31+'Inputs'!$B$32,'Inputs'!$B$30+'Inputs'!$B$31+'Inputs'!$B$32)/1000+'Inputs'!$B$21+'Inputs'!$B$7+'Inputs'!$B$10)+'Inputs'!$B$9)^2+('Inputs'!$B$8/2)^2)-(((771-43)*MAX('Inputs'!$B$33,'Inputs'!$B$29+'Inputs'!$B$31+'Inputs'!$B$32,'Inputs'!$B$30+'Inputs'!$B$31+'Inputs'!$B$32)/1000+'Inputs'!$B$21+'Inputs'!$B$7+'Inputs'!$B$10))/SQRT((((771-43)*MAX('Inputs'!$B$33,'Inputs'!$B$29+'Inputs'!$B$31+'Inputs'!$B$32,'Inputs'!$B$30+'Inputs'!$B$31+'Inputs'!$B$32)/1000+'Inputs'!$B$21+'Inputs'!$B$7+'Inputs'!$B$10))^2+('Inputs'!$B$8/2)^2))))*'Results'!$B$8))),"")</x:f>
        <x:v>1.2882761389612138</x:v>
      </x:c>
      <x:c r="M771" t="n">
        <x:f>IF(AND(ISNUMBER('Results'!C7),ISNUMBER('Results'!B7),ISNUMBER('Results'!$B$8),ISNUMBER('Inputs'!$B$6),ISNUMBER('Inputs'!$B$7),ISNUMBER('Inputs'!$B$8),ISNUMBER('Inputs'!$B$9),ISNUMBER('Inputs'!$B$10),ISNUMBER('Inputs'!$B$21),ISNUMBER('Inputs'!$B$24),ISNUMBER('Inputs'!$B$28)),(('Results'!C7*(0.5*((((771-43)*MAX('Inputs'!$B$33,'Inputs'!$B$29+'Inputs'!$B$31+'Inputs'!$B$32,'Inputs'!$B$30+'Inputs'!$B$31+'Inputs'!$B$32)/1000+'Inputs'!$B$21)+'Inputs'!$B$9)/SQRT((((771-43)*MAX('Inputs'!$B$33,'Inputs'!$B$29+'Inputs'!$B$31+'Inputs'!$B$32,'Inputs'!$B$30+'Inputs'!$B$31+'Inputs'!$B$32)/1000+'Inputs'!$B$21)+'Inputs'!$B$9)^2+('Inputs'!$B$8/2)^2)-(((771-43)*MAX('Inputs'!$B$33,'Inputs'!$B$29+'Inputs'!$B$31+'Inputs'!$B$32,'Inputs'!$B$30+'Inputs'!$B$31+'Inputs'!$B$32)/1000+'Inputs'!$B$21))/SQRT((((771-43)*MAX('Inputs'!$B$33,'Inputs'!$B$29+'Inputs'!$B$31+'Inputs'!$B$32,'Inputs'!$B$30+'Inputs'!$B$31+'Inputs'!$B$32)/1000+'Inputs'!$B$21))^2+('Inputs'!$B$8/2)^2)))-'Results'!B7*(0.5*((((771-43)*MAX('Inputs'!$B$33,'Inputs'!$B$29+'Inputs'!$B$31+'Inputs'!$B$32,'Inputs'!$B$30+'Inputs'!$B$31+'Inputs'!$B$32)/1000+'Inputs'!$B$21+'Inputs'!$B$9+'Inputs'!$B$10)+'Inputs'!$B$7)/SQRT((((771-43)*MAX('Inputs'!$B$33,'Inputs'!$B$29+'Inputs'!$B$31+'Inputs'!$B$32,'Inputs'!$B$30+'Inputs'!$B$31+'Inputs'!$B$32)/1000+'Inputs'!$B$21+'Inputs'!$B$9+'Inputs'!$B$10)+'Inputs'!$B$7)^2+('Inputs'!$B$6/2)^2)-(((771-43)*MAX('Inputs'!$B$33,'Inputs'!$B$29+'Inputs'!$B$31+'Inputs'!$B$32,'Inputs'!$B$30+'Inputs'!$B$31+'Inputs'!$B$32)/1000+'Inputs'!$B$21+'Inputs'!$B$9+'Inputs'!$B$10))/SQRT((((771-43)*MAX('Inputs'!$B$33,'Inputs'!$B$29+'Inputs'!$B$31+'Inputs'!$B$32,'Inputs'!$B$30+'Inputs'!$B$31+'Inputs'!$B$32)/1000+'Inputs'!$B$21+'Inputs'!$B$9+'Inputs'!$B$10))^2+('Inputs'!$B$6/2)^2))))*'Results'!$B$8),"")</x:f>
        <x:v>1.0204398668588102</x:v>
      </x:c>
      <x:c r="N771" t="n">
        <x:f>IF(AND(ISNUMBER('Results'!C7),ISNUMBER('Results'!B7),ISNUMBER('Results'!$B$8),ISNUMBER('Inputs'!$B$6),ISNUMBER('Inputs'!$B$7),ISNUMBER('Inputs'!$B$8),ISNUMBER('Inputs'!$B$9),ISNUMBER('Inputs'!$B$10),ISNUMBER('Inputs'!$B$21),ISNUMBER('Inputs'!$B$24),ISNUMBER('Inputs'!$B$28)),((('Results'!C7*(1-'Inputs'!$B$24)*(0.5*((((771-43)*MAX('Inputs'!$B$33,'Inputs'!$B$29+'Inputs'!$B$31+'Inputs'!$B$32,'Inputs'!$B$30+'Inputs'!$B$31+'Inputs'!$B$32)/1000+'Inputs'!$B$21)+'Inputs'!$B$9)/SQRT((((771-43)*MAX('Inputs'!$B$33,'Inputs'!$B$29+'Inputs'!$B$31+'Inputs'!$B$32,'Inputs'!$B$30+'Inputs'!$B$31+'Inputs'!$B$32)/1000+'Inputs'!$B$21)+'Inputs'!$B$9)^2+('Inputs'!$B$8/2)^2)-(((771-43)*MAX('Inputs'!$B$33,'Inputs'!$B$29+'Inputs'!$B$31+'Inputs'!$B$32,'Inputs'!$B$30+'Inputs'!$B$31+'Inputs'!$B$32)/1000+'Inputs'!$B$21))/SQRT((((771-43)*MAX('Inputs'!$B$33,'Inputs'!$B$29+'Inputs'!$B$31+'Inputs'!$B$32,'Inputs'!$B$30+'Inputs'!$B$31+'Inputs'!$B$32)/1000+'Inputs'!$B$21))^2+('Inputs'!$B$8/2)^2)))-'Results'!B7*(1+'Inputs'!$B$24)*(0.5*((((771-43)*MAX('Inputs'!$B$33,'Inputs'!$B$29+'Inputs'!$B$31+'Inputs'!$B$32,'Inputs'!$B$30+'Inputs'!$B$31+'Inputs'!$B$32)/1000+'Inputs'!$B$21+'Inputs'!$B$9+'Inputs'!$B$10)+'Inputs'!$B$7)/SQRT((((771-43)*MAX('Inputs'!$B$33,'Inputs'!$B$29+'Inputs'!$B$31+'Inputs'!$B$32,'Inputs'!$B$30+'Inputs'!$B$31+'Inputs'!$B$32)/1000+'Inputs'!$B$21+'Inputs'!$B$9+'Inputs'!$B$10)+'Inputs'!$B$7)^2+('Inputs'!$B$6/2)^2)-(((771-43)*MAX('Inputs'!$B$33,'Inputs'!$B$29+'Inputs'!$B$31+'Inputs'!$B$32,'Inputs'!$B$30+'Inputs'!$B$31+'Inputs'!$B$32)/1000+'Inputs'!$B$21+'Inputs'!$B$9+'Inputs'!$B$10))/SQRT((((771-43)*MAX('Inputs'!$B$33,'Inputs'!$B$29+'Inputs'!$B$31+'Inputs'!$B$32,'Inputs'!$B$30+'Inputs'!$B$31+'Inputs'!$B$32)/1000+'Inputs'!$B$21+'Inputs'!$B$9+'Inputs'!$B$10))^2+('Inputs'!$B$6/2)^2))))*'Results'!$B$8)-'Inputs'!$B$28*ABS((('Results'!C7*(1-'Inputs'!$B$24)*(0.5*((((771-43)*MAX('Inputs'!$B$33,'Inputs'!$B$29+'Inputs'!$B$31+'Inputs'!$B$32,'Inputs'!$B$30+'Inputs'!$B$31+'Inputs'!$B$32)/1000+'Inputs'!$B$21)+'Inputs'!$B$9)/SQRT((((771-43)*MAX('Inputs'!$B$33,'Inputs'!$B$29+'Inputs'!$B$31+'Inputs'!$B$32,'Inputs'!$B$30+'Inputs'!$B$31+'Inputs'!$B$32)/1000+'Inputs'!$B$21)+'Inputs'!$B$9)^2+('Inputs'!$B$8/2)^2)-(((771-43)*MAX('Inputs'!$B$33,'Inputs'!$B$29+'Inputs'!$B$31+'Inputs'!$B$32,'Inputs'!$B$30+'Inputs'!$B$31+'Inputs'!$B$32)/1000+'Inputs'!$B$21))/SQRT((((771-43)*MAX('Inputs'!$B$33,'Inputs'!$B$29+'Inputs'!$B$31+'Inputs'!$B$32,'Inputs'!$B$30+'Inputs'!$B$31+'Inputs'!$B$32)/1000+'Inputs'!$B$21))^2+('Inputs'!$B$8/2)^2)))-'Results'!B7*(1+'Inputs'!$B$24)*(0.5*((((771-43)*MAX('Inputs'!$B$33,'Inputs'!$B$29+'Inputs'!$B$31+'Inputs'!$B$32,'Inputs'!$B$30+'Inputs'!$B$31+'Inputs'!$B$32)/1000+'Inputs'!$B$21+'Inputs'!$B$9+'Inputs'!$B$10)+'Inputs'!$B$7)/SQRT((((771-43)*MAX('Inputs'!$B$33,'Inputs'!$B$29+'Inputs'!$B$31+'Inputs'!$B$32,'Inputs'!$B$30+'Inputs'!$B$31+'Inputs'!$B$32)/1000+'Inputs'!$B$21+'Inputs'!$B$9+'Inputs'!$B$10)+'Inputs'!$B$7)^2+('Inputs'!$B$6/2)^2)-(((771-43)*MAX('Inputs'!$B$33,'Inputs'!$B$29+'Inputs'!$B$31+'Inputs'!$B$32,'Inputs'!$B$30+'Inputs'!$B$31+'Inputs'!$B$32)/1000+'Inputs'!$B$21+'Inputs'!$B$9+'Inputs'!$B$10))/SQRT((((771-43)*MAX('Inputs'!$B$33,'Inputs'!$B$29+'Inputs'!$B$31+'Inputs'!$B$32,'Inputs'!$B$30+'Inputs'!$B$31+'Inputs'!$B$32)/1000+'Inputs'!$B$21+'Inputs'!$B$9+'Inputs'!$B$10))^2+('Inputs'!$B$6/2)^2))))*'Results'!$B$8))),"")</x:f>
        <x:v>0.8721362671912454</x:v>
      </x:c>
      <x:c r="O771" t="n">
        <x:f>IF(AND(ISNUMBER('Results'!C7),ISNUMBER('Results'!B7),ISNUMBER('Results'!$B$8),ISNUMBER('Inputs'!$B$6),ISNUMBER('Inputs'!$B$7),ISNUMBER('Inputs'!$B$8),ISNUMBER('Inputs'!$B$9),ISNUMBER('Inputs'!$B$10),ISNUMBER('Inputs'!$B$21),ISNUMBER('Inputs'!$B$24),ISNUMBER('Inputs'!$B$28)),((('Results'!C7*(1+'Inputs'!$B$24)*(0.5*((((771-43)*MAX('Inputs'!$B$33,'Inputs'!$B$29+'Inputs'!$B$31+'Inputs'!$B$32,'Inputs'!$B$30+'Inputs'!$B$31+'Inputs'!$B$32)/1000+'Inputs'!$B$21)+'Inputs'!$B$9)/SQRT((((771-43)*MAX('Inputs'!$B$33,'Inputs'!$B$29+'Inputs'!$B$31+'Inputs'!$B$32,'Inputs'!$B$30+'Inputs'!$B$31+'Inputs'!$B$32)/1000+'Inputs'!$B$21)+'Inputs'!$B$9)^2+('Inputs'!$B$8/2)^2)-(((771-43)*MAX('Inputs'!$B$33,'Inputs'!$B$29+'Inputs'!$B$31+'Inputs'!$B$32,'Inputs'!$B$30+'Inputs'!$B$31+'Inputs'!$B$32)/1000+'Inputs'!$B$21))/SQRT((((771-43)*MAX('Inputs'!$B$33,'Inputs'!$B$29+'Inputs'!$B$31+'Inputs'!$B$32,'Inputs'!$B$30+'Inputs'!$B$31+'Inputs'!$B$32)/1000+'Inputs'!$B$21))^2+('Inputs'!$B$8/2)^2)))-'Results'!B7*(1-'Inputs'!$B$24)*(0.5*((((771-43)*MAX('Inputs'!$B$33,'Inputs'!$B$29+'Inputs'!$B$31+'Inputs'!$B$32,'Inputs'!$B$30+'Inputs'!$B$31+'Inputs'!$B$32)/1000+'Inputs'!$B$21+'Inputs'!$B$9+'Inputs'!$B$10)+'Inputs'!$B$7)/SQRT((((771-43)*MAX('Inputs'!$B$33,'Inputs'!$B$29+'Inputs'!$B$31+'Inputs'!$B$32,'Inputs'!$B$30+'Inputs'!$B$31+'Inputs'!$B$32)/1000+'Inputs'!$B$21+'Inputs'!$B$9+'Inputs'!$B$10)+'Inputs'!$B$7)^2+('Inputs'!$B$6/2)^2)-(((771-43)*MAX('Inputs'!$B$33,'Inputs'!$B$29+'Inputs'!$B$31+'Inputs'!$B$32,'Inputs'!$B$30+'Inputs'!$B$31+'Inputs'!$B$32)/1000+'Inputs'!$B$21+'Inputs'!$B$9+'Inputs'!$B$10))/SQRT((((771-43)*MAX('Inputs'!$B$33,'Inputs'!$B$29+'Inputs'!$B$31+'Inputs'!$B$32,'Inputs'!$B$30+'Inputs'!$B$31+'Inputs'!$B$32)/1000+'Inputs'!$B$21+'Inputs'!$B$9+'Inputs'!$B$10))^2+('Inputs'!$B$6/2)^2))))*'Results'!$B$8)+'Inputs'!$B$28*ABS((('Results'!C7*(1+'Inputs'!$B$24)*(0.5*((((771-43)*MAX('Inputs'!$B$33,'Inputs'!$B$29+'Inputs'!$B$31+'Inputs'!$B$32,'Inputs'!$B$30+'Inputs'!$B$31+'Inputs'!$B$32)/1000+'Inputs'!$B$21)+'Inputs'!$B$9)/SQRT((((771-43)*MAX('Inputs'!$B$33,'Inputs'!$B$29+'Inputs'!$B$31+'Inputs'!$B$32,'Inputs'!$B$30+'Inputs'!$B$31+'Inputs'!$B$32)/1000+'Inputs'!$B$21)+'Inputs'!$B$9)^2+('Inputs'!$B$8/2)^2)-(((771-43)*MAX('Inputs'!$B$33,'Inputs'!$B$29+'Inputs'!$B$31+'Inputs'!$B$32,'Inputs'!$B$30+'Inputs'!$B$31+'Inputs'!$B$32)/1000+'Inputs'!$B$21))/SQRT((((771-43)*MAX('Inputs'!$B$33,'Inputs'!$B$29+'Inputs'!$B$31+'Inputs'!$B$32,'Inputs'!$B$30+'Inputs'!$B$31+'Inputs'!$B$32)/1000+'Inputs'!$B$21))^2+('Inputs'!$B$8/2)^2)))-'Results'!B7*(1-'Inputs'!$B$24)*(0.5*((((771-43)*MAX('Inputs'!$B$33,'Inputs'!$B$29+'Inputs'!$B$31+'Inputs'!$B$32,'Inputs'!$B$30+'Inputs'!$B$31+'Inputs'!$B$32)/1000+'Inputs'!$B$21+'Inputs'!$B$9+'Inputs'!$B$10)+'Inputs'!$B$7)/SQRT((((771-43)*MAX('Inputs'!$B$33,'Inputs'!$B$29+'Inputs'!$B$31+'Inputs'!$B$32,'Inputs'!$B$30+'Inputs'!$B$31+'Inputs'!$B$32)/1000+'Inputs'!$B$21+'Inputs'!$B$9+'Inputs'!$B$10)+'Inputs'!$B$7)^2+('Inputs'!$B$6/2)^2)-(((771-43)*MAX('Inputs'!$B$33,'Inputs'!$B$29+'Inputs'!$B$31+'Inputs'!$B$32,'Inputs'!$B$30+'Inputs'!$B$31+'Inputs'!$B$32)/1000+'Inputs'!$B$21+'Inputs'!$B$9+'Inputs'!$B$10))/SQRT((((771-43)*MAX('Inputs'!$B$33,'Inputs'!$B$29+'Inputs'!$B$31+'Inputs'!$B$32,'Inputs'!$B$30+'Inputs'!$B$31+'Inputs'!$B$32)/1000+'Inputs'!$B$21+'Inputs'!$B$9+'Inputs'!$B$10))^2+('Inputs'!$B$6/2)^2))))*'Results'!$B$8))),"")</x:f>
        <x:v>1.178983635613178</x:v>
      </x:c>
      <x:c r="P771" t="n">
        <x:f>IF(AND(MAX(J771,J770)&gt;0,J771&gt;J770+0.00000001),1,0)</x:f>
        <x:v>0</x:v>
      </x:c>
      <x:c r="Q771" t="n">
        <x:f>IF(AND(MAX(K771,K770)&gt;0,K771&gt;K770+0.00000001),1,0)</x:f>
        <x:v>0</x:v>
      </x:c>
      <x:c r="R771" t="n">
        <x:f>IF(AND(MAX(L771,L770)&gt;0,L771&gt;L770+0.00000001),1,0)</x:f>
        <x:v>0</x:v>
      </x:c>
      <x:c r="S771" t="n">
        <x:f>IF(AND(MAX(M771,M770)&gt;0,M771&gt;M770+0.00000001),1,0)</x:f>
        <x:v>0</x:v>
      </x:c>
      <x:c r="T771" t="n">
        <x:f>IF(AND(MAX(N771,N770)&gt;0,N771&gt;N770+0.00000001),1,0)</x:f>
        <x:v>0</x:v>
      </x:c>
      <x:c r="U771" t="n">
        <x:f>IF(AND(MAX(O771,O770)&gt;0,O771&gt;O770+0.00000001),1,0)</x:f>
        <x:v>0</x:v>
      </x:c>
    </x:row>
    <x:row r="772">
      <x:c r="J772" t="n">
        <x:f>IF(AND(ISNUMBER('Results'!B7),ISNUMBER('Results'!C7),ISNUMBER('Results'!$B$8),ISNUMBER('Inputs'!$B$6),ISNUMBER('Inputs'!$B$7),ISNUMBER('Inputs'!$B$8),ISNUMBER('Inputs'!$B$9),ISNUMBER('Inputs'!$B$10),ISNUMBER('Inputs'!$B$21),ISNUMBER('Inputs'!$B$24),ISNUMBER('Inputs'!$B$28)),(('Results'!B7*(0.5*((((772-43)*MAX('Inputs'!$B$33,'Inputs'!$B$29+'Inputs'!$B$31+'Inputs'!$B$32,'Inputs'!$B$30+'Inputs'!$B$31+'Inputs'!$B$32)/1000+'Inputs'!$B$21)+'Inputs'!$B$7)/SQRT((((772-43)*MAX('Inputs'!$B$33,'Inputs'!$B$29+'Inputs'!$B$31+'Inputs'!$B$32,'Inputs'!$B$30+'Inputs'!$B$31+'Inputs'!$B$32)/1000+'Inputs'!$B$21)+'Inputs'!$B$7)^2+('Inputs'!$B$6/2)^2)-(((772-43)*MAX('Inputs'!$B$33,'Inputs'!$B$29+'Inputs'!$B$31+'Inputs'!$B$32,'Inputs'!$B$30+'Inputs'!$B$31+'Inputs'!$B$32)/1000+'Inputs'!$B$21))/SQRT((((772-43)*MAX('Inputs'!$B$33,'Inputs'!$B$29+'Inputs'!$B$31+'Inputs'!$B$32,'Inputs'!$B$30+'Inputs'!$B$31+'Inputs'!$B$32)/1000+'Inputs'!$B$21))^2+('Inputs'!$B$6/2)^2)))-'Results'!C7*(0.5*((((772-43)*MAX('Inputs'!$B$33,'Inputs'!$B$29+'Inputs'!$B$31+'Inputs'!$B$32,'Inputs'!$B$30+'Inputs'!$B$31+'Inputs'!$B$32)/1000+'Inputs'!$B$21+'Inputs'!$B$7+'Inputs'!$B$10)+'Inputs'!$B$9)/SQRT((((772-43)*MAX('Inputs'!$B$33,'Inputs'!$B$29+'Inputs'!$B$31+'Inputs'!$B$32,'Inputs'!$B$30+'Inputs'!$B$31+'Inputs'!$B$32)/1000+'Inputs'!$B$21+'Inputs'!$B$7+'Inputs'!$B$10)+'Inputs'!$B$9)^2+('Inputs'!$B$8/2)^2)-(((772-43)*MAX('Inputs'!$B$33,'Inputs'!$B$29+'Inputs'!$B$31+'Inputs'!$B$32,'Inputs'!$B$30+'Inputs'!$B$31+'Inputs'!$B$32)/1000+'Inputs'!$B$21+'Inputs'!$B$7+'Inputs'!$B$10))/SQRT((((772-43)*MAX('Inputs'!$B$33,'Inputs'!$B$29+'Inputs'!$B$31+'Inputs'!$B$32,'Inputs'!$B$30+'Inputs'!$B$31+'Inputs'!$B$32)/1000+'Inputs'!$B$21+'Inputs'!$B$7+'Inputs'!$B$10))^2+('Inputs'!$B$8/2)^2))))*'Results'!$B$8),"")</x:f>
        <x:v>1.1186056120270584</x:v>
      </x:c>
      <x:c r="K772" t="n">
        <x:f>IF(AND(ISNUMBER('Results'!B7),ISNUMBER('Results'!C7),ISNUMBER('Results'!$B$8),ISNUMBER('Inputs'!$B$6),ISNUMBER('Inputs'!$B$7),ISNUMBER('Inputs'!$B$8),ISNUMBER('Inputs'!$B$9),ISNUMBER('Inputs'!$B$10),ISNUMBER('Inputs'!$B$21),ISNUMBER('Inputs'!$B$24),ISNUMBER('Inputs'!$B$28)),((('Results'!B7*(1-'Inputs'!$B$24)*(0.5*((((772-43)*MAX('Inputs'!$B$33,'Inputs'!$B$29+'Inputs'!$B$31+'Inputs'!$B$32,'Inputs'!$B$30+'Inputs'!$B$31+'Inputs'!$B$32)/1000+'Inputs'!$B$21)+'Inputs'!$B$7)/SQRT((((772-43)*MAX('Inputs'!$B$33,'Inputs'!$B$29+'Inputs'!$B$31+'Inputs'!$B$32,'Inputs'!$B$30+'Inputs'!$B$31+'Inputs'!$B$32)/1000+'Inputs'!$B$21)+'Inputs'!$B$7)^2+('Inputs'!$B$6/2)^2)-(((772-43)*MAX('Inputs'!$B$33,'Inputs'!$B$29+'Inputs'!$B$31+'Inputs'!$B$32,'Inputs'!$B$30+'Inputs'!$B$31+'Inputs'!$B$32)/1000+'Inputs'!$B$21))/SQRT((((772-43)*MAX('Inputs'!$B$33,'Inputs'!$B$29+'Inputs'!$B$31+'Inputs'!$B$32,'Inputs'!$B$30+'Inputs'!$B$31+'Inputs'!$B$32)/1000+'Inputs'!$B$21))^2+('Inputs'!$B$6/2)^2)))-'Results'!C7*(1+'Inputs'!$B$24)*(0.5*((((772-43)*MAX('Inputs'!$B$33,'Inputs'!$B$29+'Inputs'!$B$31+'Inputs'!$B$32,'Inputs'!$B$30+'Inputs'!$B$31+'Inputs'!$B$32)/1000+'Inputs'!$B$21+'Inputs'!$B$7+'Inputs'!$B$10)+'Inputs'!$B$9)/SQRT((((772-43)*MAX('Inputs'!$B$33,'Inputs'!$B$29+'Inputs'!$B$31+'Inputs'!$B$32,'Inputs'!$B$30+'Inputs'!$B$31+'Inputs'!$B$32)/1000+'Inputs'!$B$21+'Inputs'!$B$7+'Inputs'!$B$10)+'Inputs'!$B$9)^2+('Inputs'!$B$8/2)^2)-(((772-43)*MAX('Inputs'!$B$33,'Inputs'!$B$29+'Inputs'!$B$31+'Inputs'!$B$32,'Inputs'!$B$30+'Inputs'!$B$31+'Inputs'!$B$32)/1000+'Inputs'!$B$21+'Inputs'!$B$7+'Inputs'!$B$10))/SQRT((((772-43)*MAX('Inputs'!$B$33,'Inputs'!$B$29+'Inputs'!$B$31+'Inputs'!$B$32,'Inputs'!$B$30+'Inputs'!$B$31+'Inputs'!$B$32)/1000+'Inputs'!$B$21+'Inputs'!$B$7+'Inputs'!$B$10))^2+('Inputs'!$B$8/2)^2))))*'Results'!$B$8)-'Inputs'!$B$28*ABS((('Results'!B7*(1-'Inputs'!$B$24)*(0.5*((((772-43)*MAX('Inputs'!$B$33,'Inputs'!$B$29+'Inputs'!$B$31+'Inputs'!$B$32,'Inputs'!$B$30+'Inputs'!$B$31+'Inputs'!$B$32)/1000+'Inputs'!$B$21)+'Inputs'!$B$7)/SQRT((((772-43)*MAX('Inputs'!$B$33,'Inputs'!$B$29+'Inputs'!$B$31+'Inputs'!$B$32,'Inputs'!$B$30+'Inputs'!$B$31+'Inputs'!$B$32)/1000+'Inputs'!$B$21)+'Inputs'!$B$7)^2+('Inputs'!$B$6/2)^2)-(((772-43)*MAX('Inputs'!$B$33,'Inputs'!$B$29+'Inputs'!$B$31+'Inputs'!$B$32,'Inputs'!$B$30+'Inputs'!$B$31+'Inputs'!$B$32)/1000+'Inputs'!$B$21))/SQRT((((772-43)*MAX('Inputs'!$B$33,'Inputs'!$B$29+'Inputs'!$B$31+'Inputs'!$B$32,'Inputs'!$B$30+'Inputs'!$B$31+'Inputs'!$B$32)/1000+'Inputs'!$B$21))^2+('Inputs'!$B$6/2)^2)))-'Results'!C7*(1+'Inputs'!$B$24)*(0.5*((((772-43)*MAX('Inputs'!$B$33,'Inputs'!$B$29+'Inputs'!$B$31+'Inputs'!$B$32,'Inputs'!$B$30+'Inputs'!$B$31+'Inputs'!$B$32)/1000+'Inputs'!$B$21+'Inputs'!$B$7+'Inputs'!$B$10)+'Inputs'!$B$9)/SQRT((((772-43)*MAX('Inputs'!$B$33,'Inputs'!$B$29+'Inputs'!$B$31+'Inputs'!$B$32,'Inputs'!$B$30+'Inputs'!$B$31+'Inputs'!$B$32)/1000+'Inputs'!$B$21+'Inputs'!$B$7+'Inputs'!$B$10)+'Inputs'!$B$9)^2+('Inputs'!$B$8/2)^2)-(((772-43)*MAX('Inputs'!$B$33,'Inputs'!$B$29+'Inputs'!$B$31+'Inputs'!$B$32,'Inputs'!$B$30+'Inputs'!$B$31+'Inputs'!$B$32)/1000+'Inputs'!$B$21+'Inputs'!$B$7+'Inputs'!$B$10))/SQRT((((772-43)*MAX('Inputs'!$B$33,'Inputs'!$B$29+'Inputs'!$B$31+'Inputs'!$B$32,'Inputs'!$B$30+'Inputs'!$B$31+'Inputs'!$B$32)/1000+'Inputs'!$B$21+'Inputs'!$B$7+'Inputs'!$B$10))^2+('Inputs'!$B$8/2)^2))))*'Results'!$B$8))),"")</x:f>
        <x:v>0.9653492926994947</x:v>
      </x:c>
      <x:c r="L772" t="n">
        <x:f>IF(AND(ISNUMBER('Results'!B7),ISNUMBER('Results'!C7),ISNUMBER('Results'!$B$8),ISNUMBER('Inputs'!$B$6),ISNUMBER('Inputs'!$B$7),ISNUMBER('Inputs'!$B$8),ISNUMBER('Inputs'!$B$9),ISNUMBER('Inputs'!$B$10),ISNUMBER('Inputs'!$B$21),ISNUMBER('Inputs'!$B$24),ISNUMBER('Inputs'!$B$28)),((('Results'!B7*(1+'Inputs'!$B$24)*(0.5*((((772-43)*MAX('Inputs'!$B$33,'Inputs'!$B$29+'Inputs'!$B$31+'Inputs'!$B$32,'Inputs'!$B$30+'Inputs'!$B$31+'Inputs'!$B$32)/1000+'Inputs'!$B$21)+'Inputs'!$B$7)/SQRT((((772-43)*MAX('Inputs'!$B$33,'Inputs'!$B$29+'Inputs'!$B$31+'Inputs'!$B$32,'Inputs'!$B$30+'Inputs'!$B$31+'Inputs'!$B$32)/1000+'Inputs'!$B$21)+'Inputs'!$B$7)^2+('Inputs'!$B$6/2)^2)-(((772-43)*MAX('Inputs'!$B$33,'Inputs'!$B$29+'Inputs'!$B$31+'Inputs'!$B$32,'Inputs'!$B$30+'Inputs'!$B$31+'Inputs'!$B$32)/1000+'Inputs'!$B$21))/SQRT((((772-43)*MAX('Inputs'!$B$33,'Inputs'!$B$29+'Inputs'!$B$31+'Inputs'!$B$32,'Inputs'!$B$30+'Inputs'!$B$31+'Inputs'!$B$32)/1000+'Inputs'!$B$21))^2+('Inputs'!$B$6/2)^2)))-'Results'!C7*(1-'Inputs'!$B$24)*(0.5*((((772-43)*MAX('Inputs'!$B$33,'Inputs'!$B$29+'Inputs'!$B$31+'Inputs'!$B$32,'Inputs'!$B$30+'Inputs'!$B$31+'Inputs'!$B$32)/1000+'Inputs'!$B$21+'Inputs'!$B$7+'Inputs'!$B$10)+'Inputs'!$B$9)/SQRT((((772-43)*MAX('Inputs'!$B$33,'Inputs'!$B$29+'Inputs'!$B$31+'Inputs'!$B$32,'Inputs'!$B$30+'Inputs'!$B$31+'Inputs'!$B$32)/1000+'Inputs'!$B$21+'Inputs'!$B$7+'Inputs'!$B$10)+'Inputs'!$B$9)^2+('Inputs'!$B$8/2)^2)-(((772-43)*MAX('Inputs'!$B$33,'Inputs'!$B$29+'Inputs'!$B$31+'Inputs'!$B$32,'Inputs'!$B$30+'Inputs'!$B$31+'Inputs'!$B$32)/1000+'Inputs'!$B$21+'Inputs'!$B$7+'Inputs'!$B$10))/SQRT((((772-43)*MAX('Inputs'!$B$33,'Inputs'!$B$29+'Inputs'!$B$31+'Inputs'!$B$32,'Inputs'!$B$30+'Inputs'!$B$31+'Inputs'!$B$32)/1000+'Inputs'!$B$21+'Inputs'!$B$7+'Inputs'!$B$10))^2+('Inputs'!$B$8/2)^2))))*'Results'!$B$8)+'Inputs'!$B$28*ABS((('Results'!B7*(1+'Inputs'!$B$24)*(0.5*((((772-43)*MAX('Inputs'!$B$33,'Inputs'!$B$29+'Inputs'!$B$31+'Inputs'!$B$32,'Inputs'!$B$30+'Inputs'!$B$31+'Inputs'!$B$32)/1000+'Inputs'!$B$21)+'Inputs'!$B$7)/SQRT((((772-43)*MAX('Inputs'!$B$33,'Inputs'!$B$29+'Inputs'!$B$31+'Inputs'!$B$32,'Inputs'!$B$30+'Inputs'!$B$31+'Inputs'!$B$32)/1000+'Inputs'!$B$21)+'Inputs'!$B$7)^2+('Inputs'!$B$6/2)^2)-(((772-43)*MAX('Inputs'!$B$33,'Inputs'!$B$29+'Inputs'!$B$31+'Inputs'!$B$32,'Inputs'!$B$30+'Inputs'!$B$31+'Inputs'!$B$32)/1000+'Inputs'!$B$21))/SQRT((((772-43)*MAX('Inputs'!$B$33,'Inputs'!$B$29+'Inputs'!$B$31+'Inputs'!$B$32,'Inputs'!$B$30+'Inputs'!$B$31+'Inputs'!$B$32)/1000+'Inputs'!$B$21))^2+('Inputs'!$B$6/2)^2)))-'Results'!C7*(1-'Inputs'!$B$24)*(0.5*((((772-43)*MAX('Inputs'!$B$33,'Inputs'!$B$29+'Inputs'!$B$31+'Inputs'!$B$32,'Inputs'!$B$30+'Inputs'!$B$31+'Inputs'!$B$32)/1000+'Inputs'!$B$21+'Inputs'!$B$7+'Inputs'!$B$10)+'Inputs'!$B$9)/SQRT((((772-43)*MAX('Inputs'!$B$33,'Inputs'!$B$29+'Inputs'!$B$31+'Inputs'!$B$32,'Inputs'!$B$30+'Inputs'!$B$31+'Inputs'!$B$32)/1000+'Inputs'!$B$21+'Inputs'!$B$7+'Inputs'!$B$10)+'Inputs'!$B$9)^2+('Inputs'!$B$8/2)^2)-(((772-43)*MAX('Inputs'!$B$33,'Inputs'!$B$29+'Inputs'!$B$31+'Inputs'!$B$32,'Inputs'!$B$30+'Inputs'!$B$31+'Inputs'!$B$32)/1000+'Inputs'!$B$21+'Inputs'!$B$7+'Inputs'!$B$10))/SQRT((((772-43)*MAX('Inputs'!$B$33,'Inputs'!$B$29+'Inputs'!$B$31+'Inputs'!$B$32,'Inputs'!$B$30+'Inputs'!$B$31+'Inputs'!$B$32)/1000+'Inputs'!$B$21+'Inputs'!$B$7+'Inputs'!$B$10))^2+('Inputs'!$B$8/2)^2))))*'Results'!$B$8))),"")</x:f>
        <x:v>1.2821067775363284</x:v>
      </x:c>
      <x:c r="M772" t="n">
        <x:f>IF(AND(ISNUMBER('Results'!C7),ISNUMBER('Results'!B7),ISNUMBER('Results'!$B$8),ISNUMBER('Inputs'!$B$6),ISNUMBER('Inputs'!$B$7),ISNUMBER('Inputs'!$B$8),ISNUMBER('Inputs'!$B$9),ISNUMBER('Inputs'!$B$10),ISNUMBER('Inputs'!$B$21),ISNUMBER('Inputs'!$B$24),ISNUMBER('Inputs'!$B$28)),(('Results'!C7*(0.5*((((772-43)*MAX('Inputs'!$B$33,'Inputs'!$B$29+'Inputs'!$B$31+'Inputs'!$B$32,'Inputs'!$B$30+'Inputs'!$B$31+'Inputs'!$B$32)/1000+'Inputs'!$B$21)+'Inputs'!$B$9)/SQRT((((772-43)*MAX('Inputs'!$B$33,'Inputs'!$B$29+'Inputs'!$B$31+'Inputs'!$B$32,'Inputs'!$B$30+'Inputs'!$B$31+'Inputs'!$B$32)/1000+'Inputs'!$B$21)+'Inputs'!$B$9)^2+('Inputs'!$B$8/2)^2)-(((772-43)*MAX('Inputs'!$B$33,'Inputs'!$B$29+'Inputs'!$B$31+'Inputs'!$B$32,'Inputs'!$B$30+'Inputs'!$B$31+'Inputs'!$B$32)/1000+'Inputs'!$B$21))/SQRT((((772-43)*MAX('Inputs'!$B$33,'Inputs'!$B$29+'Inputs'!$B$31+'Inputs'!$B$32,'Inputs'!$B$30+'Inputs'!$B$31+'Inputs'!$B$32)/1000+'Inputs'!$B$21))^2+('Inputs'!$B$8/2)^2)))-'Results'!B7*(0.5*((((772-43)*MAX('Inputs'!$B$33,'Inputs'!$B$29+'Inputs'!$B$31+'Inputs'!$B$32,'Inputs'!$B$30+'Inputs'!$B$31+'Inputs'!$B$32)/1000+'Inputs'!$B$21+'Inputs'!$B$9+'Inputs'!$B$10)+'Inputs'!$B$7)/SQRT((((772-43)*MAX('Inputs'!$B$33,'Inputs'!$B$29+'Inputs'!$B$31+'Inputs'!$B$32,'Inputs'!$B$30+'Inputs'!$B$31+'Inputs'!$B$32)/1000+'Inputs'!$B$21+'Inputs'!$B$9+'Inputs'!$B$10)+'Inputs'!$B$7)^2+('Inputs'!$B$6/2)^2)-(((772-43)*MAX('Inputs'!$B$33,'Inputs'!$B$29+'Inputs'!$B$31+'Inputs'!$B$32,'Inputs'!$B$30+'Inputs'!$B$31+'Inputs'!$B$32)/1000+'Inputs'!$B$21+'Inputs'!$B$9+'Inputs'!$B$10))/SQRT((((772-43)*MAX('Inputs'!$B$33,'Inputs'!$B$29+'Inputs'!$B$31+'Inputs'!$B$32,'Inputs'!$B$30+'Inputs'!$B$31+'Inputs'!$B$32)/1000+'Inputs'!$B$21+'Inputs'!$B$9+'Inputs'!$B$10))^2+('Inputs'!$B$6/2)^2))))*'Results'!$B$8),"")</x:f>
        <x:v>1.0153400446020708</x:v>
      </x:c>
      <x:c r="N772" t="n">
        <x:f>IF(AND(ISNUMBER('Results'!C7),ISNUMBER('Results'!B7),ISNUMBER('Results'!$B$8),ISNUMBER('Inputs'!$B$6),ISNUMBER('Inputs'!$B$7),ISNUMBER('Inputs'!$B$8),ISNUMBER('Inputs'!$B$9),ISNUMBER('Inputs'!$B$10),ISNUMBER('Inputs'!$B$21),ISNUMBER('Inputs'!$B$24),ISNUMBER('Inputs'!$B$28)),((('Results'!C7*(1-'Inputs'!$B$24)*(0.5*((((772-43)*MAX('Inputs'!$B$33,'Inputs'!$B$29+'Inputs'!$B$31+'Inputs'!$B$32,'Inputs'!$B$30+'Inputs'!$B$31+'Inputs'!$B$32)/1000+'Inputs'!$B$21)+'Inputs'!$B$9)/SQRT((((772-43)*MAX('Inputs'!$B$33,'Inputs'!$B$29+'Inputs'!$B$31+'Inputs'!$B$32,'Inputs'!$B$30+'Inputs'!$B$31+'Inputs'!$B$32)/1000+'Inputs'!$B$21)+'Inputs'!$B$9)^2+('Inputs'!$B$8/2)^2)-(((772-43)*MAX('Inputs'!$B$33,'Inputs'!$B$29+'Inputs'!$B$31+'Inputs'!$B$32,'Inputs'!$B$30+'Inputs'!$B$31+'Inputs'!$B$32)/1000+'Inputs'!$B$21))/SQRT((((772-43)*MAX('Inputs'!$B$33,'Inputs'!$B$29+'Inputs'!$B$31+'Inputs'!$B$32,'Inputs'!$B$30+'Inputs'!$B$31+'Inputs'!$B$32)/1000+'Inputs'!$B$21))^2+('Inputs'!$B$8/2)^2)))-'Results'!B7*(1+'Inputs'!$B$24)*(0.5*((((772-43)*MAX('Inputs'!$B$33,'Inputs'!$B$29+'Inputs'!$B$31+'Inputs'!$B$32,'Inputs'!$B$30+'Inputs'!$B$31+'Inputs'!$B$32)/1000+'Inputs'!$B$21+'Inputs'!$B$9+'Inputs'!$B$10)+'Inputs'!$B$7)/SQRT((((772-43)*MAX('Inputs'!$B$33,'Inputs'!$B$29+'Inputs'!$B$31+'Inputs'!$B$32,'Inputs'!$B$30+'Inputs'!$B$31+'Inputs'!$B$32)/1000+'Inputs'!$B$21+'Inputs'!$B$9+'Inputs'!$B$10)+'Inputs'!$B$7)^2+('Inputs'!$B$6/2)^2)-(((772-43)*MAX('Inputs'!$B$33,'Inputs'!$B$29+'Inputs'!$B$31+'Inputs'!$B$32,'Inputs'!$B$30+'Inputs'!$B$31+'Inputs'!$B$32)/1000+'Inputs'!$B$21+'Inputs'!$B$9+'Inputs'!$B$10))/SQRT((((772-43)*MAX('Inputs'!$B$33,'Inputs'!$B$29+'Inputs'!$B$31+'Inputs'!$B$32,'Inputs'!$B$30+'Inputs'!$B$31+'Inputs'!$B$32)/1000+'Inputs'!$B$21+'Inputs'!$B$9+'Inputs'!$B$10))^2+('Inputs'!$B$6/2)^2))))*'Results'!$B$8)-'Inputs'!$B$28*ABS((('Results'!C7*(1-'Inputs'!$B$24)*(0.5*((((772-43)*MAX('Inputs'!$B$33,'Inputs'!$B$29+'Inputs'!$B$31+'Inputs'!$B$32,'Inputs'!$B$30+'Inputs'!$B$31+'Inputs'!$B$32)/1000+'Inputs'!$B$21)+'Inputs'!$B$9)/SQRT((((772-43)*MAX('Inputs'!$B$33,'Inputs'!$B$29+'Inputs'!$B$31+'Inputs'!$B$32,'Inputs'!$B$30+'Inputs'!$B$31+'Inputs'!$B$32)/1000+'Inputs'!$B$21)+'Inputs'!$B$9)^2+('Inputs'!$B$8/2)^2)-(((772-43)*MAX('Inputs'!$B$33,'Inputs'!$B$29+'Inputs'!$B$31+'Inputs'!$B$32,'Inputs'!$B$30+'Inputs'!$B$31+'Inputs'!$B$32)/1000+'Inputs'!$B$21))/SQRT((((772-43)*MAX('Inputs'!$B$33,'Inputs'!$B$29+'Inputs'!$B$31+'Inputs'!$B$32,'Inputs'!$B$30+'Inputs'!$B$31+'Inputs'!$B$32)/1000+'Inputs'!$B$21))^2+('Inputs'!$B$8/2)^2)))-'Results'!B7*(1+'Inputs'!$B$24)*(0.5*((((772-43)*MAX('Inputs'!$B$33,'Inputs'!$B$29+'Inputs'!$B$31+'Inputs'!$B$32,'Inputs'!$B$30+'Inputs'!$B$31+'Inputs'!$B$32)/1000+'Inputs'!$B$21+'Inputs'!$B$9+'Inputs'!$B$10)+'Inputs'!$B$7)/SQRT((((772-43)*MAX('Inputs'!$B$33,'Inputs'!$B$29+'Inputs'!$B$31+'Inputs'!$B$32,'Inputs'!$B$30+'Inputs'!$B$31+'Inputs'!$B$32)/1000+'Inputs'!$B$21+'Inputs'!$B$9+'Inputs'!$B$10)+'Inputs'!$B$7)^2+('Inputs'!$B$6/2)^2)-(((772-43)*MAX('Inputs'!$B$33,'Inputs'!$B$29+'Inputs'!$B$31+'Inputs'!$B$32,'Inputs'!$B$30+'Inputs'!$B$31+'Inputs'!$B$32)/1000+'Inputs'!$B$21+'Inputs'!$B$9+'Inputs'!$B$10))/SQRT((((772-43)*MAX('Inputs'!$B$33,'Inputs'!$B$29+'Inputs'!$B$31+'Inputs'!$B$32,'Inputs'!$B$30+'Inputs'!$B$31+'Inputs'!$B$32)/1000+'Inputs'!$B$21+'Inputs'!$B$9+'Inputs'!$B$10))^2+('Inputs'!$B$6/2)^2))))*'Results'!$B$8))),"")</x:f>
        <x:v>0.8676565487717762</x:v>
      </x:c>
      <x:c r="O772" t="n">
        <x:f>IF(AND(ISNUMBER('Results'!C7),ISNUMBER('Results'!B7),ISNUMBER('Results'!$B$8),ISNUMBER('Inputs'!$B$6),ISNUMBER('Inputs'!$B$7),ISNUMBER('Inputs'!$B$8),ISNUMBER('Inputs'!$B$9),ISNUMBER('Inputs'!$B$10),ISNUMBER('Inputs'!$B$21),ISNUMBER('Inputs'!$B$24),ISNUMBER('Inputs'!$B$28)),((('Results'!C7*(1+'Inputs'!$B$24)*(0.5*((((772-43)*MAX('Inputs'!$B$33,'Inputs'!$B$29+'Inputs'!$B$31+'Inputs'!$B$32,'Inputs'!$B$30+'Inputs'!$B$31+'Inputs'!$B$32)/1000+'Inputs'!$B$21)+'Inputs'!$B$9)/SQRT((((772-43)*MAX('Inputs'!$B$33,'Inputs'!$B$29+'Inputs'!$B$31+'Inputs'!$B$32,'Inputs'!$B$30+'Inputs'!$B$31+'Inputs'!$B$32)/1000+'Inputs'!$B$21)+'Inputs'!$B$9)^2+('Inputs'!$B$8/2)^2)-(((772-43)*MAX('Inputs'!$B$33,'Inputs'!$B$29+'Inputs'!$B$31+'Inputs'!$B$32,'Inputs'!$B$30+'Inputs'!$B$31+'Inputs'!$B$32)/1000+'Inputs'!$B$21))/SQRT((((772-43)*MAX('Inputs'!$B$33,'Inputs'!$B$29+'Inputs'!$B$31+'Inputs'!$B$32,'Inputs'!$B$30+'Inputs'!$B$31+'Inputs'!$B$32)/1000+'Inputs'!$B$21))^2+('Inputs'!$B$8/2)^2)))-'Results'!B7*(1-'Inputs'!$B$24)*(0.5*((((772-43)*MAX('Inputs'!$B$33,'Inputs'!$B$29+'Inputs'!$B$31+'Inputs'!$B$32,'Inputs'!$B$30+'Inputs'!$B$31+'Inputs'!$B$32)/1000+'Inputs'!$B$21+'Inputs'!$B$9+'Inputs'!$B$10)+'Inputs'!$B$7)/SQRT((((772-43)*MAX('Inputs'!$B$33,'Inputs'!$B$29+'Inputs'!$B$31+'Inputs'!$B$32,'Inputs'!$B$30+'Inputs'!$B$31+'Inputs'!$B$32)/1000+'Inputs'!$B$21+'Inputs'!$B$9+'Inputs'!$B$10)+'Inputs'!$B$7)^2+('Inputs'!$B$6/2)^2)-(((772-43)*MAX('Inputs'!$B$33,'Inputs'!$B$29+'Inputs'!$B$31+'Inputs'!$B$32,'Inputs'!$B$30+'Inputs'!$B$31+'Inputs'!$B$32)/1000+'Inputs'!$B$21+'Inputs'!$B$9+'Inputs'!$B$10))/SQRT((((772-43)*MAX('Inputs'!$B$33,'Inputs'!$B$29+'Inputs'!$B$31+'Inputs'!$B$32,'Inputs'!$B$30+'Inputs'!$B$31+'Inputs'!$B$32)/1000+'Inputs'!$B$21+'Inputs'!$B$9+'Inputs'!$B$10))^2+('Inputs'!$B$6/2)^2))))*'Results'!$B$8)+'Inputs'!$B$28*ABS((('Results'!C7*(1+'Inputs'!$B$24)*(0.5*((((772-43)*MAX('Inputs'!$B$33,'Inputs'!$B$29+'Inputs'!$B$31+'Inputs'!$B$32,'Inputs'!$B$30+'Inputs'!$B$31+'Inputs'!$B$32)/1000+'Inputs'!$B$21)+'Inputs'!$B$9)/SQRT((((772-43)*MAX('Inputs'!$B$33,'Inputs'!$B$29+'Inputs'!$B$31+'Inputs'!$B$32,'Inputs'!$B$30+'Inputs'!$B$31+'Inputs'!$B$32)/1000+'Inputs'!$B$21)+'Inputs'!$B$9)^2+('Inputs'!$B$8/2)^2)-(((772-43)*MAX('Inputs'!$B$33,'Inputs'!$B$29+'Inputs'!$B$31+'Inputs'!$B$32,'Inputs'!$B$30+'Inputs'!$B$31+'Inputs'!$B$32)/1000+'Inputs'!$B$21))/SQRT((((772-43)*MAX('Inputs'!$B$33,'Inputs'!$B$29+'Inputs'!$B$31+'Inputs'!$B$32,'Inputs'!$B$30+'Inputs'!$B$31+'Inputs'!$B$32)/1000+'Inputs'!$B$21))^2+('Inputs'!$B$8/2)^2)))-'Results'!B7*(1-'Inputs'!$B$24)*(0.5*((((772-43)*MAX('Inputs'!$B$33,'Inputs'!$B$29+'Inputs'!$B$31+'Inputs'!$B$32,'Inputs'!$B$30+'Inputs'!$B$31+'Inputs'!$B$32)/1000+'Inputs'!$B$21+'Inputs'!$B$9+'Inputs'!$B$10)+'Inputs'!$B$7)/SQRT((((772-43)*MAX('Inputs'!$B$33,'Inputs'!$B$29+'Inputs'!$B$31+'Inputs'!$B$32,'Inputs'!$B$30+'Inputs'!$B$31+'Inputs'!$B$32)/1000+'Inputs'!$B$21+'Inputs'!$B$9+'Inputs'!$B$10)+'Inputs'!$B$7)^2+('Inputs'!$B$6/2)^2)-(((772-43)*MAX('Inputs'!$B$33,'Inputs'!$B$29+'Inputs'!$B$31+'Inputs'!$B$32,'Inputs'!$B$30+'Inputs'!$B$31+'Inputs'!$B$32)/1000+'Inputs'!$B$21+'Inputs'!$B$9+'Inputs'!$B$10))/SQRT((((772-43)*MAX('Inputs'!$B$33,'Inputs'!$B$29+'Inputs'!$B$31+'Inputs'!$B$32,'Inputs'!$B$30+'Inputs'!$B$31+'Inputs'!$B$32)/1000+'Inputs'!$B$21+'Inputs'!$B$9+'Inputs'!$B$10))^2+('Inputs'!$B$6/2)^2))))*'Results'!$B$8))),"")</x:f>
        <x:v>1.1732252766008067</x:v>
      </x:c>
      <x:c r="P772" t="n">
        <x:f>IF(AND(MAX(J772,J771)&gt;0,J772&gt;J771+0.00000001),1,0)</x:f>
        <x:v>0</x:v>
      </x:c>
      <x:c r="Q772" t="n">
        <x:f>IF(AND(MAX(K772,K771)&gt;0,K772&gt;K771+0.00000001),1,0)</x:f>
        <x:v>0</x:v>
      </x:c>
      <x:c r="R772" t="n">
        <x:f>IF(AND(MAX(L772,L771)&gt;0,L772&gt;L771+0.00000001),1,0)</x:f>
        <x:v>0</x:v>
      </x:c>
      <x:c r="S772" t="n">
        <x:f>IF(AND(MAX(M772,M771)&gt;0,M772&gt;M771+0.00000001),1,0)</x:f>
        <x:v>0</x:v>
      </x:c>
      <x:c r="T772" t="n">
        <x:f>IF(AND(MAX(N772,N771)&gt;0,N772&gt;N771+0.00000001),1,0)</x:f>
        <x:v>0</x:v>
      </x:c>
      <x:c r="U772" t="n">
        <x:f>IF(AND(MAX(O772,O771)&gt;0,O772&gt;O771+0.00000001),1,0)</x:f>
        <x:v>0</x:v>
      </x:c>
    </x:row>
    <x:row r="773">
      <x:c r="J773" t="n">
        <x:f>IF(AND(ISNUMBER('Results'!B7),ISNUMBER('Results'!C7),ISNUMBER('Results'!$B$8),ISNUMBER('Inputs'!$B$6),ISNUMBER('Inputs'!$B$7),ISNUMBER('Inputs'!$B$8),ISNUMBER('Inputs'!$B$9),ISNUMBER('Inputs'!$B$10),ISNUMBER('Inputs'!$B$21),ISNUMBER('Inputs'!$B$24),ISNUMBER('Inputs'!$B$28)),(('Results'!B7*(0.5*((((773-43)*MAX('Inputs'!$B$33,'Inputs'!$B$29+'Inputs'!$B$31+'Inputs'!$B$32,'Inputs'!$B$30+'Inputs'!$B$31+'Inputs'!$B$32)/1000+'Inputs'!$B$21)+'Inputs'!$B$7)/SQRT((((773-43)*MAX('Inputs'!$B$33,'Inputs'!$B$29+'Inputs'!$B$31+'Inputs'!$B$32,'Inputs'!$B$30+'Inputs'!$B$31+'Inputs'!$B$32)/1000+'Inputs'!$B$21)+'Inputs'!$B$7)^2+('Inputs'!$B$6/2)^2)-(((773-43)*MAX('Inputs'!$B$33,'Inputs'!$B$29+'Inputs'!$B$31+'Inputs'!$B$32,'Inputs'!$B$30+'Inputs'!$B$31+'Inputs'!$B$32)/1000+'Inputs'!$B$21))/SQRT((((773-43)*MAX('Inputs'!$B$33,'Inputs'!$B$29+'Inputs'!$B$31+'Inputs'!$B$32,'Inputs'!$B$30+'Inputs'!$B$31+'Inputs'!$B$32)/1000+'Inputs'!$B$21))^2+('Inputs'!$B$6/2)^2)))-'Results'!C7*(0.5*((((773-43)*MAX('Inputs'!$B$33,'Inputs'!$B$29+'Inputs'!$B$31+'Inputs'!$B$32,'Inputs'!$B$30+'Inputs'!$B$31+'Inputs'!$B$32)/1000+'Inputs'!$B$21+'Inputs'!$B$7+'Inputs'!$B$10)+'Inputs'!$B$9)/SQRT((((773-43)*MAX('Inputs'!$B$33,'Inputs'!$B$29+'Inputs'!$B$31+'Inputs'!$B$32,'Inputs'!$B$30+'Inputs'!$B$31+'Inputs'!$B$32)/1000+'Inputs'!$B$21+'Inputs'!$B$7+'Inputs'!$B$10)+'Inputs'!$B$9)^2+('Inputs'!$B$8/2)^2)-(((773-43)*MAX('Inputs'!$B$33,'Inputs'!$B$29+'Inputs'!$B$31+'Inputs'!$B$32,'Inputs'!$B$30+'Inputs'!$B$31+'Inputs'!$B$32)/1000+'Inputs'!$B$21+'Inputs'!$B$7+'Inputs'!$B$10))/SQRT((((773-43)*MAX('Inputs'!$B$33,'Inputs'!$B$29+'Inputs'!$B$31+'Inputs'!$B$32,'Inputs'!$B$30+'Inputs'!$B$31+'Inputs'!$B$32)/1000+'Inputs'!$B$21+'Inputs'!$B$7+'Inputs'!$B$10))^2+('Inputs'!$B$8/2)^2))))*'Results'!$B$8),"")</x:f>
        <x:v>1.1131500875027713</x:v>
      </x:c>
      <x:c r="K773" t="n">
        <x:f>IF(AND(ISNUMBER('Results'!B7),ISNUMBER('Results'!C7),ISNUMBER('Results'!$B$8),ISNUMBER('Inputs'!$B$6),ISNUMBER('Inputs'!$B$7),ISNUMBER('Inputs'!$B$8),ISNUMBER('Inputs'!$B$9),ISNUMBER('Inputs'!$B$10),ISNUMBER('Inputs'!$B$21),ISNUMBER('Inputs'!$B$24),ISNUMBER('Inputs'!$B$28)),((('Results'!B7*(1-'Inputs'!$B$24)*(0.5*((((773-43)*MAX('Inputs'!$B$33,'Inputs'!$B$29+'Inputs'!$B$31+'Inputs'!$B$32,'Inputs'!$B$30+'Inputs'!$B$31+'Inputs'!$B$32)/1000+'Inputs'!$B$21)+'Inputs'!$B$7)/SQRT((((773-43)*MAX('Inputs'!$B$33,'Inputs'!$B$29+'Inputs'!$B$31+'Inputs'!$B$32,'Inputs'!$B$30+'Inputs'!$B$31+'Inputs'!$B$32)/1000+'Inputs'!$B$21)+'Inputs'!$B$7)^2+('Inputs'!$B$6/2)^2)-(((773-43)*MAX('Inputs'!$B$33,'Inputs'!$B$29+'Inputs'!$B$31+'Inputs'!$B$32,'Inputs'!$B$30+'Inputs'!$B$31+'Inputs'!$B$32)/1000+'Inputs'!$B$21))/SQRT((((773-43)*MAX('Inputs'!$B$33,'Inputs'!$B$29+'Inputs'!$B$31+'Inputs'!$B$32,'Inputs'!$B$30+'Inputs'!$B$31+'Inputs'!$B$32)/1000+'Inputs'!$B$21))^2+('Inputs'!$B$6/2)^2)))-'Results'!C7*(1+'Inputs'!$B$24)*(0.5*((((773-43)*MAX('Inputs'!$B$33,'Inputs'!$B$29+'Inputs'!$B$31+'Inputs'!$B$32,'Inputs'!$B$30+'Inputs'!$B$31+'Inputs'!$B$32)/1000+'Inputs'!$B$21+'Inputs'!$B$7+'Inputs'!$B$10)+'Inputs'!$B$9)/SQRT((((773-43)*MAX('Inputs'!$B$33,'Inputs'!$B$29+'Inputs'!$B$31+'Inputs'!$B$32,'Inputs'!$B$30+'Inputs'!$B$31+'Inputs'!$B$32)/1000+'Inputs'!$B$21+'Inputs'!$B$7+'Inputs'!$B$10)+'Inputs'!$B$9)^2+('Inputs'!$B$8/2)^2)-(((773-43)*MAX('Inputs'!$B$33,'Inputs'!$B$29+'Inputs'!$B$31+'Inputs'!$B$32,'Inputs'!$B$30+'Inputs'!$B$31+'Inputs'!$B$32)/1000+'Inputs'!$B$21+'Inputs'!$B$7+'Inputs'!$B$10))/SQRT((((773-43)*MAX('Inputs'!$B$33,'Inputs'!$B$29+'Inputs'!$B$31+'Inputs'!$B$32,'Inputs'!$B$30+'Inputs'!$B$31+'Inputs'!$B$32)/1000+'Inputs'!$B$21+'Inputs'!$B$7+'Inputs'!$B$10))^2+('Inputs'!$B$8/2)^2))))*'Results'!$B$8)-'Inputs'!$B$28*ABS((('Results'!B7*(1-'Inputs'!$B$24)*(0.5*((((773-43)*MAX('Inputs'!$B$33,'Inputs'!$B$29+'Inputs'!$B$31+'Inputs'!$B$32,'Inputs'!$B$30+'Inputs'!$B$31+'Inputs'!$B$32)/1000+'Inputs'!$B$21)+'Inputs'!$B$7)/SQRT((((773-43)*MAX('Inputs'!$B$33,'Inputs'!$B$29+'Inputs'!$B$31+'Inputs'!$B$32,'Inputs'!$B$30+'Inputs'!$B$31+'Inputs'!$B$32)/1000+'Inputs'!$B$21)+'Inputs'!$B$7)^2+('Inputs'!$B$6/2)^2)-(((773-43)*MAX('Inputs'!$B$33,'Inputs'!$B$29+'Inputs'!$B$31+'Inputs'!$B$32,'Inputs'!$B$30+'Inputs'!$B$31+'Inputs'!$B$32)/1000+'Inputs'!$B$21))/SQRT((((773-43)*MAX('Inputs'!$B$33,'Inputs'!$B$29+'Inputs'!$B$31+'Inputs'!$B$32,'Inputs'!$B$30+'Inputs'!$B$31+'Inputs'!$B$32)/1000+'Inputs'!$B$21))^2+('Inputs'!$B$6/2)^2)))-'Results'!C7*(1+'Inputs'!$B$24)*(0.5*((((773-43)*MAX('Inputs'!$B$33,'Inputs'!$B$29+'Inputs'!$B$31+'Inputs'!$B$32,'Inputs'!$B$30+'Inputs'!$B$31+'Inputs'!$B$32)/1000+'Inputs'!$B$21+'Inputs'!$B$7+'Inputs'!$B$10)+'Inputs'!$B$9)/SQRT((((773-43)*MAX('Inputs'!$B$33,'Inputs'!$B$29+'Inputs'!$B$31+'Inputs'!$B$32,'Inputs'!$B$30+'Inputs'!$B$31+'Inputs'!$B$32)/1000+'Inputs'!$B$21+'Inputs'!$B$7+'Inputs'!$B$10)+'Inputs'!$B$9)^2+('Inputs'!$B$8/2)^2)-(((773-43)*MAX('Inputs'!$B$33,'Inputs'!$B$29+'Inputs'!$B$31+'Inputs'!$B$32,'Inputs'!$B$30+'Inputs'!$B$31+'Inputs'!$B$32)/1000+'Inputs'!$B$21+'Inputs'!$B$7+'Inputs'!$B$10))/SQRT((((773-43)*MAX('Inputs'!$B$33,'Inputs'!$B$29+'Inputs'!$B$31+'Inputs'!$B$32,'Inputs'!$B$30+'Inputs'!$B$31+'Inputs'!$B$32)/1000+'Inputs'!$B$21+'Inputs'!$B$7+'Inputs'!$B$10))^2+('Inputs'!$B$8/2)^2))))*'Results'!$B$8))),"")</x:f>
        <x:v>0.9605318480690241</x:v>
      </x:c>
      <x:c r="L773" t="n">
        <x:f>IF(AND(ISNUMBER('Results'!B7),ISNUMBER('Results'!C7),ISNUMBER('Results'!$B$8),ISNUMBER('Inputs'!$B$6),ISNUMBER('Inputs'!$B$7),ISNUMBER('Inputs'!$B$8),ISNUMBER('Inputs'!$B$9),ISNUMBER('Inputs'!$B$10),ISNUMBER('Inputs'!$B$21),ISNUMBER('Inputs'!$B$24),ISNUMBER('Inputs'!$B$28)),((('Results'!B7*(1+'Inputs'!$B$24)*(0.5*((((773-43)*MAX('Inputs'!$B$33,'Inputs'!$B$29+'Inputs'!$B$31+'Inputs'!$B$32,'Inputs'!$B$30+'Inputs'!$B$31+'Inputs'!$B$32)/1000+'Inputs'!$B$21)+'Inputs'!$B$7)/SQRT((((773-43)*MAX('Inputs'!$B$33,'Inputs'!$B$29+'Inputs'!$B$31+'Inputs'!$B$32,'Inputs'!$B$30+'Inputs'!$B$31+'Inputs'!$B$32)/1000+'Inputs'!$B$21)+'Inputs'!$B$7)^2+('Inputs'!$B$6/2)^2)-(((773-43)*MAX('Inputs'!$B$33,'Inputs'!$B$29+'Inputs'!$B$31+'Inputs'!$B$32,'Inputs'!$B$30+'Inputs'!$B$31+'Inputs'!$B$32)/1000+'Inputs'!$B$21))/SQRT((((773-43)*MAX('Inputs'!$B$33,'Inputs'!$B$29+'Inputs'!$B$31+'Inputs'!$B$32,'Inputs'!$B$30+'Inputs'!$B$31+'Inputs'!$B$32)/1000+'Inputs'!$B$21))^2+('Inputs'!$B$6/2)^2)))-'Results'!C7*(1-'Inputs'!$B$24)*(0.5*((((773-43)*MAX('Inputs'!$B$33,'Inputs'!$B$29+'Inputs'!$B$31+'Inputs'!$B$32,'Inputs'!$B$30+'Inputs'!$B$31+'Inputs'!$B$32)/1000+'Inputs'!$B$21+'Inputs'!$B$7+'Inputs'!$B$10)+'Inputs'!$B$9)/SQRT((((773-43)*MAX('Inputs'!$B$33,'Inputs'!$B$29+'Inputs'!$B$31+'Inputs'!$B$32,'Inputs'!$B$30+'Inputs'!$B$31+'Inputs'!$B$32)/1000+'Inputs'!$B$21+'Inputs'!$B$7+'Inputs'!$B$10)+'Inputs'!$B$9)^2+('Inputs'!$B$8/2)^2)-(((773-43)*MAX('Inputs'!$B$33,'Inputs'!$B$29+'Inputs'!$B$31+'Inputs'!$B$32,'Inputs'!$B$30+'Inputs'!$B$31+'Inputs'!$B$32)/1000+'Inputs'!$B$21+'Inputs'!$B$7+'Inputs'!$B$10))/SQRT((((773-43)*MAX('Inputs'!$B$33,'Inputs'!$B$29+'Inputs'!$B$31+'Inputs'!$B$32,'Inputs'!$B$30+'Inputs'!$B$31+'Inputs'!$B$32)/1000+'Inputs'!$B$21+'Inputs'!$B$7+'Inputs'!$B$10))^2+('Inputs'!$B$8/2)^2))))*'Results'!$B$8)+'Inputs'!$B$28*ABS((('Results'!B7*(1+'Inputs'!$B$24)*(0.5*((((773-43)*MAX('Inputs'!$B$33,'Inputs'!$B$29+'Inputs'!$B$31+'Inputs'!$B$32,'Inputs'!$B$30+'Inputs'!$B$31+'Inputs'!$B$32)/1000+'Inputs'!$B$21)+'Inputs'!$B$7)/SQRT((((773-43)*MAX('Inputs'!$B$33,'Inputs'!$B$29+'Inputs'!$B$31+'Inputs'!$B$32,'Inputs'!$B$30+'Inputs'!$B$31+'Inputs'!$B$32)/1000+'Inputs'!$B$21)+'Inputs'!$B$7)^2+('Inputs'!$B$6/2)^2)-(((773-43)*MAX('Inputs'!$B$33,'Inputs'!$B$29+'Inputs'!$B$31+'Inputs'!$B$32,'Inputs'!$B$30+'Inputs'!$B$31+'Inputs'!$B$32)/1000+'Inputs'!$B$21))/SQRT((((773-43)*MAX('Inputs'!$B$33,'Inputs'!$B$29+'Inputs'!$B$31+'Inputs'!$B$32,'Inputs'!$B$30+'Inputs'!$B$31+'Inputs'!$B$32)/1000+'Inputs'!$B$21))^2+('Inputs'!$B$6/2)^2)))-'Results'!C7*(1-'Inputs'!$B$24)*(0.5*((((773-43)*MAX('Inputs'!$B$33,'Inputs'!$B$29+'Inputs'!$B$31+'Inputs'!$B$32,'Inputs'!$B$30+'Inputs'!$B$31+'Inputs'!$B$32)/1000+'Inputs'!$B$21+'Inputs'!$B$7+'Inputs'!$B$10)+'Inputs'!$B$9)/SQRT((((773-43)*MAX('Inputs'!$B$33,'Inputs'!$B$29+'Inputs'!$B$31+'Inputs'!$B$32,'Inputs'!$B$30+'Inputs'!$B$31+'Inputs'!$B$32)/1000+'Inputs'!$B$21+'Inputs'!$B$7+'Inputs'!$B$10)+'Inputs'!$B$9)^2+('Inputs'!$B$8/2)^2)-(((773-43)*MAX('Inputs'!$B$33,'Inputs'!$B$29+'Inputs'!$B$31+'Inputs'!$B$32,'Inputs'!$B$30+'Inputs'!$B$31+'Inputs'!$B$32)/1000+'Inputs'!$B$21+'Inputs'!$B$7+'Inputs'!$B$10))/SQRT((((773-43)*MAX('Inputs'!$B$33,'Inputs'!$B$29+'Inputs'!$B$31+'Inputs'!$B$32,'Inputs'!$B$30+'Inputs'!$B$31+'Inputs'!$B$32)/1000+'Inputs'!$B$21+'Inputs'!$B$7+'Inputs'!$B$10))^2+('Inputs'!$B$8/2)^2))))*'Results'!$B$8))),"")</x:f>
        <x:v>1.275974720100583</x:v>
      </x:c>
      <x:c r="M773" t="n">
        <x:f>IF(AND(ISNUMBER('Results'!C7),ISNUMBER('Results'!B7),ISNUMBER('Results'!$B$8),ISNUMBER('Inputs'!$B$6),ISNUMBER('Inputs'!$B$7),ISNUMBER('Inputs'!$B$8),ISNUMBER('Inputs'!$B$9),ISNUMBER('Inputs'!$B$10),ISNUMBER('Inputs'!$B$21),ISNUMBER('Inputs'!$B$24),ISNUMBER('Inputs'!$B$28)),(('Results'!C7*(0.5*((((773-43)*MAX('Inputs'!$B$33,'Inputs'!$B$29+'Inputs'!$B$31+'Inputs'!$B$32,'Inputs'!$B$30+'Inputs'!$B$31+'Inputs'!$B$32)/1000+'Inputs'!$B$21)+'Inputs'!$B$9)/SQRT((((773-43)*MAX('Inputs'!$B$33,'Inputs'!$B$29+'Inputs'!$B$31+'Inputs'!$B$32,'Inputs'!$B$30+'Inputs'!$B$31+'Inputs'!$B$32)/1000+'Inputs'!$B$21)+'Inputs'!$B$9)^2+('Inputs'!$B$8/2)^2)-(((773-43)*MAX('Inputs'!$B$33,'Inputs'!$B$29+'Inputs'!$B$31+'Inputs'!$B$32,'Inputs'!$B$30+'Inputs'!$B$31+'Inputs'!$B$32)/1000+'Inputs'!$B$21))/SQRT((((773-43)*MAX('Inputs'!$B$33,'Inputs'!$B$29+'Inputs'!$B$31+'Inputs'!$B$32,'Inputs'!$B$30+'Inputs'!$B$31+'Inputs'!$B$32)/1000+'Inputs'!$B$21))^2+('Inputs'!$B$8/2)^2)))-'Results'!B7*(0.5*((((773-43)*MAX('Inputs'!$B$33,'Inputs'!$B$29+'Inputs'!$B$31+'Inputs'!$B$32,'Inputs'!$B$30+'Inputs'!$B$31+'Inputs'!$B$32)/1000+'Inputs'!$B$21+'Inputs'!$B$9+'Inputs'!$B$10)+'Inputs'!$B$7)/SQRT((((773-43)*MAX('Inputs'!$B$33,'Inputs'!$B$29+'Inputs'!$B$31+'Inputs'!$B$32,'Inputs'!$B$30+'Inputs'!$B$31+'Inputs'!$B$32)/1000+'Inputs'!$B$21+'Inputs'!$B$9+'Inputs'!$B$10)+'Inputs'!$B$7)^2+('Inputs'!$B$6/2)^2)-(((773-43)*MAX('Inputs'!$B$33,'Inputs'!$B$29+'Inputs'!$B$31+'Inputs'!$B$32,'Inputs'!$B$30+'Inputs'!$B$31+'Inputs'!$B$32)/1000+'Inputs'!$B$21+'Inputs'!$B$9+'Inputs'!$B$10))/SQRT((((773-43)*MAX('Inputs'!$B$33,'Inputs'!$B$29+'Inputs'!$B$31+'Inputs'!$B$32,'Inputs'!$B$30+'Inputs'!$B$31+'Inputs'!$B$32)/1000+'Inputs'!$B$21+'Inputs'!$B$9+'Inputs'!$B$10))^2+('Inputs'!$B$6/2)^2))))*'Results'!$B$8),"")</x:f>
        <x:v>1.0102718606591656</x:v>
      </x:c>
      <x:c r="N773" t="n">
        <x:f>IF(AND(ISNUMBER('Results'!C7),ISNUMBER('Results'!B7),ISNUMBER('Results'!$B$8),ISNUMBER('Inputs'!$B$6),ISNUMBER('Inputs'!$B$7),ISNUMBER('Inputs'!$B$8),ISNUMBER('Inputs'!$B$9),ISNUMBER('Inputs'!$B$10),ISNUMBER('Inputs'!$B$21),ISNUMBER('Inputs'!$B$24),ISNUMBER('Inputs'!$B$28)),((('Results'!C7*(1-'Inputs'!$B$24)*(0.5*((((773-43)*MAX('Inputs'!$B$33,'Inputs'!$B$29+'Inputs'!$B$31+'Inputs'!$B$32,'Inputs'!$B$30+'Inputs'!$B$31+'Inputs'!$B$32)/1000+'Inputs'!$B$21)+'Inputs'!$B$9)/SQRT((((773-43)*MAX('Inputs'!$B$33,'Inputs'!$B$29+'Inputs'!$B$31+'Inputs'!$B$32,'Inputs'!$B$30+'Inputs'!$B$31+'Inputs'!$B$32)/1000+'Inputs'!$B$21)+'Inputs'!$B$9)^2+('Inputs'!$B$8/2)^2)-(((773-43)*MAX('Inputs'!$B$33,'Inputs'!$B$29+'Inputs'!$B$31+'Inputs'!$B$32,'Inputs'!$B$30+'Inputs'!$B$31+'Inputs'!$B$32)/1000+'Inputs'!$B$21))/SQRT((((773-43)*MAX('Inputs'!$B$33,'Inputs'!$B$29+'Inputs'!$B$31+'Inputs'!$B$32,'Inputs'!$B$30+'Inputs'!$B$31+'Inputs'!$B$32)/1000+'Inputs'!$B$21))^2+('Inputs'!$B$8/2)^2)))-'Results'!B7*(1+'Inputs'!$B$24)*(0.5*((((773-43)*MAX('Inputs'!$B$33,'Inputs'!$B$29+'Inputs'!$B$31+'Inputs'!$B$32,'Inputs'!$B$30+'Inputs'!$B$31+'Inputs'!$B$32)/1000+'Inputs'!$B$21+'Inputs'!$B$9+'Inputs'!$B$10)+'Inputs'!$B$7)/SQRT((((773-43)*MAX('Inputs'!$B$33,'Inputs'!$B$29+'Inputs'!$B$31+'Inputs'!$B$32,'Inputs'!$B$30+'Inputs'!$B$31+'Inputs'!$B$32)/1000+'Inputs'!$B$21+'Inputs'!$B$9+'Inputs'!$B$10)+'Inputs'!$B$7)^2+('Inputs'!$B$6/2)^2)-(((773-43)*MAX('Inputs'!$B$33,'Inputs'!$B$29+'Inputs'!$B$31+'Inputs'!$B$32,'Inputs'!$B$30+'Inputs'!$B$31+'Inputs'!$B$32)/1000+'Inputs'!$B$21+'Inputs'!$B$9+'Inputs'!$B$10))/SQRT((((773-43)*MAX('Inputs'!$B$33,'Inputs'!$B$29+'Inputs'!$B$31+'Inputs'!$B$32,'Inputs'!$B$30+'Inputs'!$B$31+'Inputs'!$B$32)/1000+'Inputs'!$B$21+'Inputs'!$B$9+'Inputs'!$B$10))^2+('Inputs'!$B$6/2)^2))))*'Results'!$B$8)-'Inputs'!$B$28*ABS((('Results'!C7*(1-'Inputs'!$B$24)*(0.5*((((773-43)*MAX('Inputs'!$B$33,'Inputs'!$B$29+'Inputs'!$B$31+'Inputs'!$B$32,'Inputs'!$B$30+'Inputs'!$B$31+'Inputs'!$B$32)/1000+'Inputs'!$B$21)+'Inputs'!$B$9)/SQRT((((773-43)*MAX('Inputs'!$B$33,'Inputs'!$B$29+'Inputs'!$B$31+'Inputs'!$B$32,'Inputs'!$B$30+'Inputs'!$B$31+'Inputs'!$B$32)/1000+'Inputs'!$B$21)+'Inputs'!$B$9)^2+('Inputs'!$B$8/2)^2)-(((773-43)*MAX('Inputs'!$B$33,'Inputs'!$B$29+'Inputs'!$B$31+'Inputs'!$B$32,'Inputs'!$B$30+'Inputs'!$B$31+'Inputs'!$B$32)/1000+'Inputs'!$B$21))/SQRT((((773-43)*MAX('Inputs'!$B$33,'Inputs'!$B$29+'Inputs'!$B$31+'Inputs'!$B$32,'Inputs'!$B$30+'Inputs'!$B$31+'Inputs'!$B$32)/1000+'Inputs'!$B$21))^2+('Inputs'!$B$8/2)^2)))-'Results'!B7*(1+'Inputs'!$B$24)*(0.5*((((773-43)*MAX('Inputs'!$B$33,'Inputs'!$B$29+'Inputs'!$B$31+'Inputs'!$B$32,'Inputs'!$B$30+'Inputs'!$B$31+'Inputs'!$B$32)/1000+'Inputs'!$B$21+'Inputs'!$B$9+'Inputs'!$B$10)+'Inputs'!$B$7)/SQRT((((773-43)*MAX('Inputs'!$B$33,'Inputs'!$B$29+'Inputs'!$B$31+'Inputs'!$B$32,'Inputs'!$B$30+'Inputs'!$B$31+'Inputs'!$B$32)/1000+'Inputs'!$B$21+'Inputs'!$B$9+'Inputs'!$B$10)+'Inputs'!$B$7)^2+('Inputs'!$B$6/2)^2)-(((773-43)*MAX('Inputs'!$B$33,'Inputs'!$B$29+'Inputs'!$B$31+'Inputs'!$B$32,'Inputs'!$B$30+'Inputs'!$B$31+'Inputs'!$B$32)/1000+'Inputs'!$B$21+'Inputs'!$B$9+'Inputs'!$B$10))/SQRT((((773-43)*MAX('Inputs'!$B$33,'Inputs'!$B$29+'Inputs'!$B$31+'Inputs'!$B$32,'Inputs'!$B$30+'Inputs'!$B$31+'Inputs'!$B$32)/1000+'Inputs'!$B$21+'Inputs'!$B$9+'Inputs'!$B$10))^2+('Inputs'!$B$6/2)^2))))*'Results'!$B$8))),"")</x:f>
        <x:v>0.8632050579919933</x:v>
      </x:c>
      <x:c r="O773" t="n">
        <x:f>IF(AND(ISNUMBER('Results'!C7),ISNUMBER('Results'!B7),ISNUMBER('Results'!$B$8),ISNUMBER('Inputs'!$B$6),ISNUMBER('Inputs'!$B$7),ISNUMBER('Inputs'!$B$8),ISNUMBER('Inputs'!$B$9),ISNUMBER('Inputs'!$B$10),ISNUMBER('Inputs'!$B$21),ISNUMBER('Inputs'!$B$24),ISNUMBER('Inputs'!$B$28)),((('Results'!C7*(1+'Inputs'!$B$24)*(0.5*((((773-43)*MAX('Inputs'!$B$33,'Inputs'!$B$29+'Inputs'!$B$31+'Inputs'!$B$32,'Inputs'!$B$30+'Inputs'!$B$31+'Inputs'!$B$32)/1000+'Inputs'!$B$21)+'Inputs'!$B$9)/SQRT((((773-43)*MAX('Inputs'!$B$33,'Inputs'!$B$29+'Inputs'!$B$31+'Inputs'!$B$32,'Inputs'!$B$30+'Inputs'!$B$31+'Inputs'!$B$32)/1000+'Inputs'!$B$21)+'Inputs'!$B$9)^2+('Inputs'!$B$8/2)^2)-(((773-43)*MAX('Inputs'!$B$33,'Inputs'!$B$29+'Inputs'!$B$31+'Inputs'!$B$32,'Inputs'!$B$30+'Inputs'!$B$31+'Inputs'!$B$32)/1000+'Inputs'!$B$21))/SQRT((((773-43)*MAX('Inputs'!$B$33,'Inputs'!$B$29+'Inputs'!$B$31+'Inputs'!$B$32,'Inputs'!$B$30+'Inputs'!$B$31+'Inputs'!$B$32)/1000+'Inputs'!$B$21))^2+('Inputs'!$B$8/2)^2)))-'Results'!B7*(1-'Inputs'!$B$24)*(0.5*((((773-43)*MAX('Inputs'!$B$33,'Inputs'!$B$29+'Inputs'!$B$31+'Inputs'!$B$32,'Inputs'!$B$30+'Inputs'!$B$31+'Inputs'!$B$32)/1000+'Inputs'!$B$21+'Inputs'!$B$9+'Inputs'!$B$10)+'Inputs'!$B$7)/SQRT((((773-43)*MAX('Inputs'!$B$33,'Inputs'!$B$29+'Inputs'!$B$31+'Inputs'!$B$32,'Inputs'!$B$30+'Inputs'!$B$31+'Inputs'!$B$32)/1000+'Inputs'!$B$21+'Inputs'!$B$9+'Inputs'!$B$10)+'Inputs'!$B$7)^2+('Inputs'!$B$6/2)^2)-(((773-43)*MAX('Inputs'!$B$33,'Inputs'!$B$29+'Inputs'!$B$31+'Inputs'!$B$32,'Inputs'!$B$30+'Inputs'!$B$31+'Inputs'!$B$32)/1000+'Inputs'!$B$21+'Inputs'!$B$9+'Inputs'!$B$10))/SQRT((((773-43)*MAX('Inputs'!$B$33,'Inputs'!$B$29+'Inputs'!$B$31+'Inputs'!$B$32,'Inputs'!$B$30+'Inputs'!$B$31+'Inputs'!$B$32)/1000+'Inputs'!$B$21+'Inputs'!$B$9+'Inputs'!$B$10))^2+('Inputs'!$B$6/2)^2))))*'Results'!$B$8)+'Inputs'!$B$28*ABS((('Results'!C7*(1+'Inputs'!$B$24)*(0.5*((((773-43)*MAX('Inputs'!$B$33,'Inputs'!$B$29+'Inputs'!$B$31+'Inputs'!$B$32,'Inputs'!$B$30+'Inputs'!$B$31+'Inputs'!$B$32)/1000+'Inputs'!$B$21)+'Inputs'!$B$9)/SQRT((((773-43)*MAX('Inputs'!$B$33,'Inputs'!$B$29+'Inputs'!$B$31+'Inputs'!$B$32,'Inputs'!$B$30+'Inputs'!$B$31+'Inputs'!$B$32)/1000+'Inputs'!$B$21)+'Inputs'!$B$9)^2+('Inputs'!$B$8/2)^2)-(((773-43)*MAX('Inputs'!$B$33,'Inputs'!$B$29+'Inputs'!$B$31+'Inputs'!$B$32,'Inputs'!$B$30+'Inputs'!$B$31+'Inputs'!$B$32)/1000+'Inputs'!$B$21))/SQRT((((773-43)*MAX('Inputs'!$B$33,'Inputs'!$B$29+'Inputs'!$B$31+'Inputs'!$B$32,'Inputs'!$B$30+'Inputs'!$B$31+'Inputs'!$B$32)/1000+'Inputs'!$B$21))^2+('Inputs'!$B$8/2)^2)))-'Results'!B7*(1-'Inputs'!$B$24)*(0.5*((((773-43)*MAX('Inputs'!$B$33,'Inputs'!$B$29+'Inputs'!$B$31+'Inputs'!$B$32,'Inputs'!$B$30+'Inputs'!$B$31+'Inputs'!$B$32)/1000+'Inputs'!$B$21+'Inputs'!$B$9+'Inputs'!$B$10)+'Inputs'!$B$7)/SQRT((((773-43)*MAX('Inputs'!$B$33,'Inputs'!$B$29+'Inputs'!$B$31+'Inputs'!$B$32,'Inputs'!$B$30+'Inputs'!$B$31+'Inputs'!$B$32)/1000+'Inputs'!$B$21+'Inputs'!$B$9+'Inputs'!$B$10)+'Inputs'!$B$7)^2+('Inputs'!$B$6/2)^2)-(((773-43)*MAX('Inputs'!$B$33,'Inputs'!$B$29+'Inputs'!$B$31+'Inputs'!$B$32,'Inputs'!$B$30+'Inputs'!$B$31+'Inputs'!$B$32)/1000+'Inputs'!$B$21+'Inputs'!$B$9+'Inputs'!$B$10))/SQRT((((773-43)*MAX('Inputs'!$B$33,'Inputs'!$B$29+'Inputs'!$B$31+'Inputs'!$B$32,'Inputs'!$B$30+'Inputs'!$B$31+'Inputs'!$B$32)/1000+'Inputs'!$B$21+'Inputs'!$B$9+'Inputs'!$B$10))^2+('Inputs'!$B$6/2)^2))))*'Results'!$B$8))),"")</x:f>
        <x:v>1.167502159077308</x:v>
      </x:c>
      <x:c r="P773" t="n">
        <x:f>IF(AND(MAX(J773,J772)&gt;0,J773&gt;J772+0.00000001),1,0)</x:f>
        <x:v>0</x:v>
      </x:c>
      <x:c r="Q773" t="n">
        <x:f>IF(AND(MAX(K773,K772)&gt;0,K773&gt;K772+0.00000001),1,0)</x:f>
        <x:v>0</x:v>
      </x:c>
      <x:c r="R773" t="n">
        <x:f>IF(AND(MAX(L773,L772)&gt;0,L773&gt;L772+0.00000001),1,0)</x:f>
        <x:v>0</x:v>
      </x:c>
      <x:c r="S773" t="n">
        <x:f>IF(AND(MAX(M773,M772)&gt;0,M773&gt;M772+0.00000001),1,0)</x:f>
        <x:v>0</x:v>
      </x:c>
      <x:c r="T773" t="n">
        <x:f>IF(AND(MAX(N773,N772)&gt;0,N773&gt;N772+0.00000001),1,0)</x:f>
        <x:v>0</x:v>
      </x:c>
      <x:c r="U773" t="n">
        <x:f>IF(AND(MAX(O773,O772)&gt;0,O773&gt;O772+0.00000001),1,0)</x:f>
        <x:v>0</x:v>
      </x:c>
    </x:row>
    <x:row r="774">
      <x:c r="J774" t="n">
        <x:f>IF(AND(ISNUMBER('Results'!B7),ISNUMBER('Results'!C7),ISNUMBER('Results'!$B$8),ISNUMBER('Inputs'!$B$6),ISNUMBER('Inputs'!$B$7),ISNUMBER('Inputs'!$B$8),ISNUMBER('Inputs'!$B$9),ISNUMBER('Inputs'!$B$10),ISNUMBER('Inputs'!$B$21),ISNUMBER('Inputs'!$B$24),ISNUMBER('Inputs'!$B$28)),(('Results'!B7*(0.5*((((774-43)*MAX('Inputs'!$B$33,'Inputs'!$B$29+'Inputs'!$B$31+'Inputs'!$B$32,'Inputs'!$B$30+'Inputs'!$B$31+'Inputs'!$B$32)/1000+'Inputs'!$B$21)+'Inputs'!$B$7)/SQRT((((774-43)*MAX('Inputs'!$B$33,'Inputs'!$B$29+'Inputs'!$B$31+'Inputs'!$B$32,'Inputs'!$B$30+'Inputs'!$B$31+'Inputs'!$B$32)/1000+'Inputs'!$B$21)+'Inputs'!$B$7)^2+('Inputs'!$B$6/2)^2)-(((774-43)*MAX('Inputs'!$B$33,'Inputs'!$B$29+'Inputs'!$B$31+'Inputs'!$B$32,'Inputs'!$B$30+'Inputs'!$B$31+'Inputs'!$B$32)/1000+'Inputs'!$B$21))/SQRT((((774-43)*MAX('Inputs'!$B$33,'Inputs'!$B$29+'Inputs'!$B$31+'Inputs'!$B$32,'Inputs'!$B$30+'Inputs'!$B$31+'Inputs'!$B$32)/1000+'Inputs'!$B$21))^2+('Inputs'!$B$6/2)^2)))-'Results'!C7*(0.5*((((774-43)*MAX('Inputs'!$B$33,'Inputs'!$B$29+'Inputs'!$B$31+'Inputs'!$B$32,'Inputs'!$B$30+'Inputs'!$B$31+'Inputs'!$B$32)/1000+'Inputs'!$B$21+'Inputs'!$B$7+'Inputs'!$B$10)+'Inputs'!$B$9)/SQRT((((774-43)*MAX('Inputs'!$B$33,'Inputs'!$B$29+'Inputs'!$B$31+'Inputs'!$B$32,'Inputs'!$B$30+'Inputs'!$B$31+'Inputs'!$B$32)/1000+'Inputs'!$B$21+'Inputs'!$B$7+'Inputs'!$B$10)+'Inputs'!$B$9)^2+('Inputs'!$B$8/2)^2)-(((774-43)*MAX('Inputs'!$B$33,'Inputs'!$B$29+'Inputs'!$B$31+'Inputs'!$B$32,'Inputs'!$B$30+'Inputs'!$B$31+'Inputs'!$B$32)/1000+'Inputs'!$B$21+'Inputs'!$B$7+'Inputs'!$B$10))/SQRT((((774-43)*MAX('Inputs'!$B$33,'Inputs'!$B$29+'Inputs'!$B$31+'Inputs'!$B$32,'Inputs'!$B$30+'Inputs'!$B$31+'Inputs'!$B$32)/1000+'Inputs'!$B$21+'Inputs'!$B$7+'Inputs'!$B$10))^2+('Inputs'!$B$8/2)^2))))*'Results'!$B$8),"")</x:f>
        <x:v>1.1077279056924816</x:v>
      </x:c>
      <x:c r="K774" t="n">
        <x:f>IF(AND(ISNUMBER('Results'!B7),ISNUMBER('Results'!C7),ISNUMBER('Results'!$B$8),ISNUMBER('Inputs'!$B$6),ISNUMBER('Inputs'!$B$7),ISNUMBER('Inputs'!$B$8),ISNUMBER('Inputs'!$B$9),ISNUMBER('Inputs'!$B$10),ISNUMBER('Inputs'!$B$21),ISNUMBER('Inputs'!$B$24),ISNUMBER('Inputs'!$B$28)),((('Results'!B7*(1-'Inputs'!$B$24)*(0.5*((((774-43)*MAX('Inputs'!$B$33,'Inputs'!$B$29+'Inputs'!$B$31+'Inputs'!$B$32,'Inputs'!$B$30+'Inputs'!$B$31+'Inputs'!$B$32)/1000+'Inputs'!$B$21)+'Inputs'!$B$7)/SQRT((((774-43)*MAX('Inputs'!$B$33,'Inputs'!$B$29+'Inputs'!$B$31+'Inputs'!$B$32,'Inputs'!$B$30+'Inputs'!$B$31+'Inputs'!$B$32)/1000+'Inputs'!$B$21)+'Inputs'!$B$7)^2+('Inputs'!$B$6/2)^2)-(((774-43)*MAX('Inputs'!$B$33,'Inputs'!$B$29+'Inputs'!$B$31+'Inputs'!$B$32,'Inputs'!$B$30+'Inputs'!$B$31+'Inputs'!$B$32)/1000+'Inputs'!$B$21))/SQRT((((774-43)*MAX('Inputs'!$B$33,'Inputs'!$B$29+'Inputs'!$B$31+'Inputs'!$B$32,'Inputs'!$B$30+'Inputs'!$B$31+'Inputs'!$B$32)/1000+'Inputs'!$B$21))^2+('Inputs'!$B$6/2)^2)))-'Results'!C7*(1+'Inputs'!$B$24)*(0.5*((((774-43)*MAX('Inputs'!$B$33,'Inputs'!$B$29+'Inputs'!$B$31+'Inputs'!$B$32,'Inputs'!$B$30+'Inputs'!$B$31+'Inputs'!$B$32)/1000+'Inputs'!$B$21+'Inputs'!$B$7+'Inputs'!$B$10)+'Inputs'!$B$9)/SQRT((((774-43)*MAX('Inputs'!$B$33,'Inputs'!$B$29+'Inputs'!$B$31+'Inputs'!$B$32,'Inputs'!$B$30+'Inputs'!$B$31+'Inputs'!$B$32)/1000+'Inputs'!$B$21+'Inputs'!$B$7+'Inputs'!$B$10)+'Inputs'!$B$9)^2+('Inputs'!$B$8/2)^2)-(((774-43)*MAX('Inputs'!$B$33,'Inputs'!$B$29+'Inputs'!$B$31+'Inputs'!$B$32,'Inputs'!$B$30+'Inputs'!$B$31+'Inputs'!$B$32)/1000+'Inputs'!$B$21+'Inputs'!$B$7+'Inputs'!$B$10))/SQRT((((774-43)*MAX('Inputs'!$B$33,'Inputs'!$B$29+'Inputs'!$B$31+'Inputs'!$B$32,'Inputs'!$B$30+'Inputs'!$B$31+'Inputs'!$B$32)/1000+'Inputs'!$B$21+'Inputs'!$B$7+'Inputs'!$B$10))^2+('Inputs'!$B$8/2)^2))))*'Results'!$B$8)-'Inputs'!$B$28*ABS((('Results'!B7*(1-'Inputs'!$B$24)*(0.5*((((774-43)*MAX('Inputs'!$B$33,'Inputs'!$B$29+'Inputs'!$B$31+'Inputs'!$B$32,'Inputs'!$B$30+'Inputs'!$B$31+'Inputs'!$B$32)/1000+'Inputs'!$B$21)+'Inputs'!$B$7)/SQRT((((774-43)*MAX('Inputs'!$B$33,'Inputs'!$B$29+'Inputs'!$B$31+'Inputs'!$B$32,'Inputs'!$B$30+'Inputs'!$B$31+'Inputs'!$B$32)/1000+'Inputs'!$B$21)+'Inputs'!$B$7)^2+('Inputs'!$B$6/2)^2)-(((774-43)*MAX('Inputs'!$B$33,'Inputs'!$B$29+'Inputs'!$B$31+'Inputs'!$B$32,'Inputs'!$B$30+'Inputs'!$B$31+'Inputs'!$B$32)/1000+'Inputs'!$B$21))/SQRT((((774-43)*MAX('Inputs'!$B$33,'Inputs'!$B$29+'Inputs'!$B$31+'Inputs'!$B$32,'Inputs'!$B$30+'Inputs'!$B$31+'Inputs'!$B$32)/1000+'Inputs'!$B$21))^2+('Inputs'!$B$6/2)^2)))-'Results'!C7*(1+'Inputs'!$B$24)*(0.5*((((774-43)*MAX('Inputs'!$B$33,'Inputs'!$B$29+'Inputs'!$B$31+'Inputs'!$B$32,'Inputs'!$B$30+'Inputs'!$B$31+'Inputs'!$B$32)/1000+'Inputs'!$B$21+'Inputs'!$B$7+'Inputs'!$B$10)+'Inputs'!$B$9)/SQRT((((774-43)*MAX('Inputs'!$B$33,'Inputs'!$B$29+'Inputs'!$B$31+'Inputs'!$B$32,'Inputs'!$B$30+'Inputs'!$B$31+'Inputs'!$B$32)/1000+'Inputs'!$B$21+'Inputs'!$B$7+'Inputs'!$B$10)+'Inputs'!$B$9)^2+('Inputs'!$B$8/2)^2)-(((774-43)*MAX('Inputs'!$B$33,'Inputs'!$B$29+'Inputs'!$B$31+'Inputs'!$B$32,'Inputs'!$B$30+'Inputs'!$B$31+'Inputs'!$B$32)/1000+'Inputs'!$B$21+'Inputs'!$B$7+'Inputs'!$B$10))/SQRT((((774-43)*MAX('Inputs'!$B$33,'Inputs'!$B$29+'Inputs'!$B$31+'Inputs'!$B$32,'Inputs'!$B$30+'Inputs'!$B$31+'Inputs'!$B$32)/1000+'Inputs'!$B$21+'Inputs'!$B$7+'Inputs'!$B$10))^2+('Inputs'!$B$8/2)^2))))*'Results'!$B$8))),"")</x:f>
        <x:v>0.9557442492893434</x:v>
      </x:c>
      <x:c r="L774" t="n">
        <x:f>IF(AND(ISNUMBER('Results'!B7),ISNUMBER('Results'!C7),ISNUMBER('Results'!$B$8),ISNUMBER('Inputs'!$B$6),ISNUMBER('Inputs'!$B$7),ISNUMBER('Inputs'!$B$8),ISNUMBER('Inputs'!$B$9),ISNUMBER('Inputs'!$B$10),ISNUMBER('Inputs'!$B$21),ISNUMBER('Inputs'!$B$24),ISNUMBER('Inputs'!$B$28)),((('Results'!B7*(1+'Inputs'!$B$24)*(0.5*((((774-43)*MAX('Inputs'!$B$33,'Inputs'!$B$29+'Inputs'!$B$31+'Inputs'!$B$32,'Inputs'!$B$30+'Inputs'!$B$31+'Inputs'!$B$32)/1000+'Inputs'!$B$21)+'Inputs'!$B$7)/SQRT((((774-43)*MAX('Inputs'!$B$33,'Inputs'!$B$29+'Inputs'!$B$31+'Inputs'!$B$32,'Inputs'!$B$30+'Inputs'!$B$31+'Inputs'!$B$32)/1000+'Inputs'!$B$21)+'Inputs'!$B$7)^2+('Inputs'!$B$6/2)^2)-(((774-43)*MAX('Inputs'!$B$33,'Inputs'!$B$29+'Inputs'!$B$31+'Inputs'!$B$32,'Inputs'!$B$30+'Inputs'!$B$31+'Inputs'!$B$32)/1000+'Inputs'!$B$21))/SQRT((((774-43)*MAX('Inputs'!$B$33,'Inputs'!$B$29+'Inputs'!$B$31+'Inputs'!$B$32,'Inputs'!$B$30+'Inputs'!$B$31+'Inputs'!$B$32)/1000+'Inputs'!$B$21))^2+('Inputs'!$B$6/2)^2)))-'Results'!C7*(1-'Inputs'!$B$24)*(0.5*((((774-43)*MAX('Inputs'!$B$33,'Inputs'!$B$29+'Inputs'!$B$31+'Inputs'!$B$32,'Inputs'!$B$30+'Inputs'!$B$31+'Inputs'!$B$32)/1000+'Inputs'!$B$21+'Inputs'!$B$7+'Inputs'!$B$10)+'Inputs'!$B$9)/SQRT((((774-43)*MAX('Inputs'!$B$33,'Inputs'!$B$29+'Inputs'!$B$31+'Inputs'!$B$32,'Inputs'!$B$30+'Inputs'!$B$31+'Inputs'!$B$32)/1000+'Inputs'!$B$21+'Inputs'!$B$7+'Inputs'!$B$10)+'Inputs'!$B$9)^2+('Inputs'!$B$8/2)^2)-(((774-43)*MAX('Inputs'!$B$33,'Inputs'!$B$29+'Inputs'!$B$31+'Inputs'!$B$32,'Inputs'!$B$30+'Inputs'!$B$31+'Inputs'!$B$32)/1000+'Inputs'!$B$21+'Inputs'!$B$7+'Inputs'!$B$10))/SQRT((((774-43)*MAX('Inputs'!$B$33,'Inputs'!$B$29+'Inputs'!$B$31+'Inputs'!$B$32,'Inputs'!$B$30+'Inputs'!$B$31+'Inputs'!$B$32)/1000+'Inputs'!$B$21+'Inputs'!$B$7+'Inputs'!$B$10))^2+('Inputs'!$B$8/2)^2))))*'Results'!$B$8)+'Inputs'!$B$28*ABS((('Results'!B7*(1+'Inputs'!$B$24)*(0.5*((((774-43)*MAX('Inputs'!$B$33,'Inputs'!$B$29+'Inputs'!$B$31+'Inputs'!$B$32,'Inputs'!$B$30+'Inputs'!$B$31+'Inputs'!$B$32)/1000+'Inputs'!$B$21)+'Inputs'!$B$7)/SQRT((((774-43)*MAX('Inputs'!$B$33,'Inputs'!$B$29+'Inputs'!$B$31+'Inputs'!$B$32,'Inputs'!$B$30+'Inputs'!$B$31+'Inputs'!$B$32)/1000+'Inputs'!$B$21)+'Inputs'!$B$7)^2+('Inputs'!$B$6/2)^2)-(((774-43)*MAX('Inputs'!$B$33,'Inputs'!$B$29+'Inputs'!$B$31+'Inputs'!$B$32,'Inputs'!$B$30+'Inputs'!$B$31+'Inputs'!$B$32)/1000+'Inputs'!$B$21))/SQRT((((774-43)*MAX('Inputs'!$B$33,'Inputs'!$B$29+'Inputs'!$B$31+'Inputs'!$B$32,'Inputs'!$B$30+'Inputs'!$B$31+'Inputs'!$B$32)/1000+'Inputs'!$B$21))^2+('Inputs'!$B$6/2)^2)))-'Results'!C7*(1-'Inputs'!$B$24)*(0.5*((((774-43)*MAX('Inputs'!$B$33,'Inputs'!$B$29+'Inputs'!$B$31+'Inputs'!$B$32,'Inputs'!$B$30+'Inputs'!$B$31+'Inputs'!$B$32)/1000+'Inputs'!$B$21+'Inputs'!$B$7+'Inputs'!$B$10)+'Inputs'!$B$9)/SQRT((((774-43)*MAX('Inputs'!$B$33,'Inputs'!$B$29+'Inputs'!$B$31+'Inputs'!$B$32,'Inputs'!$B$30+'Inputs'!$B$31+'Inputs'!$B$32)/1000+'Inputs'!$B$21+'Inputs'!$B$7+'Inputs'!$B$10)+'Inputs'!$B$9)^2+('Inputs'!$B$8/2)^2)-(((774-43)*MAX('Inputs'!$B$33,'Inputs'!$B$29+'Inputs'!$B$31+'Inputs'!$B$32,'Inputs'!$B$30+'Inputs'!$B$31+'Inputs'!$B$32)/1000+'Inputs'!$B$21+'Inputs'!$B$7+'Inputs'!$B$10))/SQRT((((774-43)*MAX('Inputs'!$B$33,'Inputs'!$B$29+'Inputs'!$B$31+'Inputs'!$B$32,'Inputs'!$B$30+'Inputs'!$B$31+'Inputs'!$B$32)/1000+'Inputs'!$B$21+'Inputs'!$B$7+'Inputs'!$B$10))^2+('Inputs'!$B$8/2)^2))))*'Results'!$B$8))),"")</x:f>
        <x:v>1.2698796948449367</x:v>
      </x:c>
      <x:c r="M774" t="n">
        <x:f>IF(AND(ISNUMBER('Results'!C7),ISNUMBER('Results'!B7),ISNUMBER('Results'!$B$8),ISNUMBER('Inputs'!$B$6),ISNUMBER('Inputs'!$B$7),ISNUMBER('Inputs'!$B$8),ISNUMBER('Inputs'!$B$9),ISNUMBER('Inputs'!$B$10),ISNUMBER('Inputs'!$B$21),ISNUMBER('Inputs'!$B$24),ISNUMBER('Inputs'!$B$28)),(('Results'!C7*(0.5*((((774-43)*MAX('Inputs'!$B$33,'Inputs'!$B$29+'Inputs'!$B$31+'Inputs'!$B$32,'Inputs'!$B$30+'Inputs'!$B$31+'Inputs'!$B$32)/1000+'Inputs'!$B$21)+'Inputs'!$B$9)/SQRT((((774-43)*MAX('Inputs'!$B$33,'Inputs'!$B$29+'Inputs'!$B$31+'Inputs'!$B$32,'Inputs'!$B$30+'Inputs'!$B$31+'Inputs'!$B$32)/1000+'Inputs'!$B$21)+'Inputs'!$B$9)^2+('Inputs'!$B$8/2)^2)-(((774-43)*MAX('Inputs'!$B$33,'Inputs'!$B$29+'Inputs'!$B$31+'Inputs'!$B$32,'Inputs'!$B$30+'Inputs'!$B$31+'Inputs'!$B$32)/1000+'Inputs'!$B$21))/SQRT((((774-43)*MAX('Inputs'!$B$33,'Inputs'!$B$29+'Inputs'!$B$31+'Inputs'!$B$32,'Inputs'!$B$30+'Inputs'!$B$31+'Inputs'!$B$32)/1000+'Inputs'!$B$21))^2+('Inputs'!$B$8/2)^2)))-'Results'!B7*(0.5*((((774-43)*MAX('Inputs'!$B$33,'Inputs'!$B$29+'Inputs'!$B$31+'Inputs'!$B$32,'Inputs'!$B$30+'Inputs'!$B$31+'Inputs'!$B$32)/1000+'Inputs'!$B$21+'Inputs'!$B$9+'Inputs'!$B$10)+'Inputs'!$B$7)/SQRT((((774-43)*MAX('Inputs'!$B$33,'Inputs'!$B$29+'Inputs'!$B$31+'Inputs'!$B$32,'Inputs'!$B$30+'Inputs'!$B$31+'Inputs'!$B$32)/1000+'Inputs'!$B$21+'Inputs'!$B$9+'Inputs'!$B$10)+'Inputs'!$B$7)^2+('Inputs'!$B$6/2)^2)-(((774-43)*MAX('Inputs'!$B$33,'Inputs'!$B$29+'Inputs'!$B$31+'Inputs'!$B$32,'Inputs'!$B$30+'Inputs'!$B$31+'Inputs'!$B$32)/1000+'Inputs'!$B$21+'Inputs'!$B$9+'Inputs'!$B$10))/SQRT((((774-43)*MAX('Inputs'!$B$33,'Inputs'!$B$29+'Inputs'!$B$31+'Inputs'!$B$32,'Inputs'!$B$30+'Inputs'!$B$31+'Inputs'!$B$32)/1000+'Inputs'!$B$21+'Inputs'!$B$9+'Inputs'!$B$10))^2+('Inputs'!$B$6/2)^2))))*'Results'!$B$8),"")</x:f>
        <x:v>1.0052350805525816</x:v>
      </x:c>
      <x:c r="N774" t="n">
        <x:f>IF(AND(ISNUMBER('Results'!C7),ISNUMBER('Results'!B7),ISNUMBER('Results'!$B$8),ISNUMBER('Inputs'!$B$6),ISNUMBER('Inputs'!$B$7),ISNUMBER('Inputs'!$B$8),ISNUMBER('Inputs'!$B$9),ISNUMBER('Inputs'!$B$10),ISNUMBER('Inputs'!$B$21),ISNUMBER('Inputs'!$B$24),ISNUMBER('Inputs'!$B$28)),((('Results'!C7*(1-'Inputs'!$B$24)*(0.5*((((774-43)*MAX('Inputs'!$B$33,'Inputs'!$B$29+'Inputs'!$B$31+'Inputs'!$B$32,'Inputs'!$B$30+'Inputs'!$B$31+'Inputs'!$B$32)/1000+'Inputs'!$B$21)+'Inputs'!$B$9)/SQRT((((774-43)*MAX('Inputs'!$B$33,'Inputs'!$B$29+'Inputs'!$B$31+'Inputs'!$B$32,'Inputs'!$B$30+'Inputs'!$B$31+'Inputs'!$B$32)/1000+'Inputs'!$B$21)+'Inputs'!$B$9)^2+('Inputs'!$B$8/2)^2)-(((774-43)*MAX('Inputs'!$B$33,'Inputs'!$B$29+'Inputs'!$B$31+'Inputs'!$B$32,'Inputs'!$B$30+'Inputs'!$B$31+'Inputs'!$B$32)/1000+'Inputs'!$B$21))/SQRT((((774-43)*MAX('Inputs'!$B$33,'Inputs'!$B$29+'Inputs'!$B$31+'Inputs'!$B$32,'Inputs'!$B$30+'Inputs'!$B$31+'Inputs'!$B$32)/1000+'Inputs'!$B$21))^2+('Inputs'!$B$8/2)^2)))-'Results'!B7*(1+'Inputs'!$B$24)*(0.5*((((774-43)*MAX('Inputs'!$B$33,'Inputs'!$B$29+'Inputs'!$B$31+'Inputs'!$B$32,'Inputs'!$B$30+'Inputs'!$B$31+'Inputs'!$B$32)/1000+'Inputs'!$B$21+'Inputs'!$B$9+'Inputs'!$B$10)+'Inputs'!$B$7)/SQRT((((774-43)*MAX('Inputs'!$B$33,'Inputs'!$B$29+'Inputs'!$B$31+'Inputs'!$B$32,'Inputs'!$B$30+'Inputs'!$B$31+'Inputs'!$B$32)/1000+'Inputs'!$B$21+'Inputs'!$B$9+'Inputs'!$B$10)+'Inputs'!$B$7)^2+('Inputs'!$B$6/2)^2)-(((774-43)*MAX('Inputs'!$B$33,'Inputs'!$B$29+'Inputs'!$B$31+'Inputs'!$B$32,'Inputs'!$B$30+'Inputs'!$B$31+'Inputs'!$B$32)/1000+'Inputs'!$B$21+'Inputs'!$B$9+'Inputs'!$B$10))/SQRT((((774-43)*MAX('Inputs'!$B$33,'Inputs'!$B$29+'Inputs'!$B$31+'Inputs'!$B$32,'Inputs'!$B$30+'Inputs'!$B$31+'Inputs'!$B$32)/1000+'Inputs'!$B$21+'Inputs'!$B$9+'Inputs'!$B$10))^2+('Inputs'!$B$6/2)^2))))*'Results'!$B$8)-'Inputs'!$B$28*ABS((('Results'!C7*(1-'Inputs'!$B$24)*(0.5*((((774-43)*MAX('Inputs'!$B$33,'Inputs'!$B$29+'Inputs'!$B$31+'Inputs'!$B$32,'Inputs'!$B$30+'Inputs'!$B$31+'Inputs'!$B$32)/1000+'Inputs'!$B$21)+'Inputs'!$B$9)/SQRT((((774-43)*MAX('Inputs'!$B$33,'Inputs'!$B$29+'Inputs'!$B$31+'Inputs'!$B$32,'Inputs'!$B$30+'Inputs'!$B$31+'Inputs'!$B$32)/1000+'Inputs'!$B$21)+'Inputs'!$B$9)^2+('Inputs'!$B$8/2)^2)-(((774-43)*MAX('Inputs'!$B$33,'Inputs'!$B$29+'Inputs'!$B$31+'Inputs'!$B$32,'Inputs'!$B$30+'Inputs'!$B$31+'Inputs'!$B$32)/1000+'Inputs'!$B$21))/SQRT((((774-43)*MAX('Inputs'!$B$33,'Inputs'!$B$29+'Inputs'!$B$31+'Inputs'!$B$32,'Inputs'!$B$30+'Inputs'!$B$31+'Inputs'!$B$32)/1000+'Inputs'!$B$21))^2+('Inputs'!$B$8/2)^2)))-'Results'!B7*(1+'Inputs'!$B$24)*(0.5*((((774-43)*MAX('Inputs'!$B$33,'Inputs'!$B$29+'Inputs'!$B$31+'Inputs'!$B$32,'Inputs'!$B$30+'Inputs'!$B$31+'Inputs'!$B$32)/1000+'Inputs'!$B$21+'Inputs'!$B$9+'Inputs'!$B$10)+'Inputs'!$B$7)/SQRT((((774-43)*MAX('Inputs'!$B$33,'Inputs'!$B$29+'Inputs'!$B$31+'Inputs'!$B$32,'Inputs'!$B$30+'Inputs'!$B$31+'Inputs'!$B$32)/1000+'Inputs'!$B$21+'Inputs'!$B$9+'Inputs'!$B$10)+'Inputs'!$B$7)^2+('Inputs'!$B$6/2)^2)-(((774-43)*MAX('Inputs'!$B$33,'Inputs'!$B$29+'Inputs'!$B$31+'Inputs'!$B$32,'Inputs'!$B$30+'Inputs'!$B$31+'Inputs'!$B$32)/1000+'Inputs'!$B$21+'Inputs'!$B$9+'Inputs'!$B$10))/SQRT((((774-43)*MAX('Inputs'!$B$33,'Inputs'!$B$29+'Inputs'!$B$31+'Inputs'!$B$32,'Inputs'!$B$30+'Inputs'!$B$31+'Inputs'!$B$32)/1000+'Inputs'!$B$21+'Inputs'!$B$9+'Inputs'!$B$10))^2+('Inputs'!$B$6/2)^2))))*'Results'!$B$8))),"")</x:f>
        <x:v>0.8587815835553136</x:v>
      </x:c>
      <x:c r="O774" t="n">
        <x:f>IF(AND(ISNUMBER('Results'!C7),ISNUMBER('Results'!B7),ISNUMBER('Results'!$B$8),ISNUMBER('Inputs'!$B$6),ISNUMBER('Inputs'!$B$7),ISNUMBER('Inputs'!$B$8),ISNUMBER('Inputs'!$B$9),ISNUMBER('Inputs'!$B$10),ISNUMBER('Inputs'!$B$21),ISNUMBER('Inputs'!$B$24),ISNUMBER('Inputs'!$B$28)),((('Results'!C7*(1+'Inputs'!$B$24)*(0.5*((((774-43)*MAX('Inputs'!$B$33,'Inputs'!$B$29+'Inputs'!$B$31+'Inputs'!$B$32,'Inputs'!$B$30+'Inputs'!$B$31+'Inputs'!$B$32)/1000+'Inputs'!$B$21)+'Inputs'!$B$9)/SQRT((((774-43)*MAX('Inputs'!$B$33,'Inputs'!$B$29+'Inputs'!$B$31+'Inputs'!$B$32,'Inputs'!$B$30+'Inputs'!$B$31+'Inputs'!$B$32)/1000+'Inputs'!$B$21)+'Inputs'!$B$9)^2+('Inputs'!$B$8/2)^2)-(((774-43)*MAX('Inputs'!$B$33,'Inputs'!$B$29+'Inputs'!$B$31+'Inputs'!$B$32,'Inputs'!$B$30+'Inputs'!$B$31+'Inputs'!$B$32)/1000+'Inputs'!$B$21))/SQRT((((774-43)*MAX('Inputs'!$B$33,'Inputs'!$B$29+'Inputs'!$B$31+'Inputs'!$B$32,'Inputs'!$B$30+'Inputs'!$B$31+'Inputs'!$B$32)/1000+'Inputs'!$B$21))^2+('Inputs'!$B$8/2)^2)))-'Results'!B7*(1-'Inputs'!$B$24)*(0.5*((((774-43)*MAX('Inputs'!$B$33,'Inputs'!$B$29+'Inputs'!$B$31+'Inputs'!$B$32,'Inputs'!$B$30+'Inputs'!$B$31+'Inputs'!$B$32)/1000+'Inputs'!$B$21+'Inputs'!$B$9+'Inputs'!$B$10)+'Inputs'!$B$7)/SQRT((((774-43)*MAX('Inputs'!$B$33,'Inputs'!$B$29+'Inputs'!$B$31+'Inputs'!$B$32,'Inputs'!$B$30+'Inputs'!$B$31+'Inputs'!$B$32)/1000+'Inputs'!$B$21+'Inputs'!$B$9+'Inputs'!$B$10)+'Inputs'!$B$7)^2+('Inputs'!$B$6/2)^2)-(((774-43)*MAX('Inputs'!$B$33,'Inputs'!$B$29+'Inputs'!$B$31+'Inputs'!$B$32,'Inputs'!$B$30+'Inputs'!$B$31+'Inputs'!$B$32)/1000+'Inputs'!$B$21+'Inputs'!$B$9+'Inputs'!$B$10))/SQRT((((774-43)*MAX('Inputs'!$B$33,'Inputs'!$B$29+'Inputs'!$B$31+'Inputs'!$B$32,'Inputs'!$B$30+'Inputs'!$B$31+'Inputs'!$B$32)/1000+'Inputs'!$B$21+'Inputs'!$B$9+'Inputs'!$B$10))^2+('Inputs'!$B$6/2)^2))))*'Results'!$B$8)+'Inputs'!$B$28*ABS((('Results'!C7*(1+'Inputs'!$B$24)*(0.5*((((774-43)*MAX('Inputs'!$B$33,'Inputs'!$B$29+'Inputs'!$B$31+'Inputs'!$B$32,'Inputs'!$B$30+'Inputs'!$B$31+'Inputs'!$B$32)/1000+'Inputs'!$B$21)+'Inputs'!$B$9)/SQRT((((774-43)*MAX('Inputs'!$B$33,'Inputs'!$B$29+'Inputs'!$B$31+'Inputs'!$B$32,'Inputs'!$B$30+'Inputs'!$B$31+'Inputs'!$B$32)/1000+'Inputs'!$B$21)+'Inputs'!$B$9)^2+('Inputs'!$B$8/2)^2)-(((774-43)*MAX('Inputs'!$B$33,'Inputs'!$B$29+'Inputs'!$B$31+'Inputs'!$B$32,'Inputs'!$B$30+'Inputs'!$B$31+'Inputs'!$B$32)/1000+'Inputs'!$B$21))/SQRT((((774-43)*MAX('Inputs'!$B$33,'Inputs'!$B$29+'Inputs'!$B$31+'Inputs'!$B$32,'Inputs'!$B$30+'Inputs'!$B$31+'Inputs'!$B$32)/1000+'Inputs'!$B$21))^2+('Inputs'!$B$8/2)^2)))-'Results'!B7*(1-'Inputs'!$B$24)*(0.5*((((774-43)*MAX('Inputs'!$B$33,'Inputs'!$B$29+'Inputs'!$B$31+'Inputs'!$B$32,'Inputs'!$B$30+'Inputs'!$B$31+'Inputs'!$B$32)/1000+'Inputs'!$B$21+'Inputs'!$B$9+'Inputs'!$B$10)+'Inputs'!$B$7)/SQRT((((774-43)*MAX('Inputs'!$B$33,'Inputs'!$B$29+'Inputs'!$B$31+'Inputs'!$B$32,'Inputs'!$B$30+'Inputs'!$B$31+'Inputs'!$B$32)/1000+'Inputs'!$B$21+'Inputs'!$B$9+'Inputs'!$B$10)+'Inputs'!$B$7)^2+('Inputs'!$B$6/2)^2)-(((774-43)*MAX('Inputs'!$B$33,'Inputs'!$B$29+'Inputs'!$B$31+'Inputs'!$B$32,'Inputs'!$B$30+'Inputs'!$B$31+'Inputs'!$B$32)/1000+'Inputs'!$B$21+'Inputs'!$B$9+'Inputs'!$B$10))/SQRT((((774-43)*MAX('Inputs'!$B$33,'Inputs'!$B$29+'Inputs'!$B$31+'Inputs'!$B$32,'Inputs'!$B$30+'Inputs'!$B$31+'Inputs'!$B$32)/1000+'Inputs'!$B$21+'Inputs'!$B$9+'Inputs'!$B$10))^2+('Inputs'!$B$6/2)^2))))*'Results'!$B$8))),"")</x:f>
        <x:v>1.1618140241782324</x:v>
      </x:c>
      <x:c r="P774" t="n">
        <x:f>IF(AND(MAX(J774,J773)&gt;0,J774&gt;J773+0.00000001),1,0)</x:f>
        <x:v>0</x:v>
      </x:c>
      <x:c r="Q774" t="n">
        <x:f>IF(AND(MAX(K774,K773)&gt;0,K774&gt;K773+0.00000001),1,0)</x:f>
        <x:v>0</x:v>
      </x:c>
      <x:c r="R774" t="n">
        <x:f>IF(AND(MAX(L774,L773)&gt;0,L774&gt;L773+0.00000001),1,0)</x:f>
        <x:v>0</x:v>
      </x:c>
      <x:c r="S774" t="n">
        <x:f>IF(AND(MAX(M774,M773)&gt;0,M774&gt;M773+0.00000001),1,0)</x:f>
        <x:v>0</x:v>
      </x:c>
      <x:c r="T774" t="n">
        <x:f>IF(AND(MAX(N774,N773)&gt;0,N774&gt;N773+0.00000001),1,0)</x:f>
        <x:v>0</x:v>
      </x:c>
      <x:c r="U774" t="n">
        <x:f>IF(AND(MAX(O774,O773)&gt;0,O774&gt;O773+0.00000001),1,0)</x:f>
        <x:v>0</x:v>
      </x:c>
    </x:row>
    <x:row r="775">
      <x:c r="J775" t="n">
        <x:f>IF(AND(ISNUMBER('Results'!B7),ISNUMBER('Results'!C7),ISNUMBER('Results'!$B$8),ISNUMBER('Inputs'!$B$6),ISNUMBER('Inputs'!$B$7),ISNUMBER('Inputs'!$B$8),ISNUMBER('Inputs'!$B$9),ISNUMBER('Inputs'!$B$10),ISNUMBER('Inputs'!$B$21),ISNUMBER('Inputs'!$B$24),ISNUMBER('Inputs'!$B$28)),(('Results'!B7*(0.5*((((775-43)*MAX('Inputs'!$B$33,'Inputs'!$B$29+'Inputs'!$B$31+'Inputs'!$B$32,'Inputs'!$B$30+'Inputs'!$B$31+'Inputs'!$B$32)/1000+'Inputs'!$B$21)+'Inputs'!$B$7)/SQRT((((775-43)*MAX('Inputs'!$B$33,'Inputs'!$B$29+'Inputs'!$B$31+'Inputs'!$B$32,'Inputs'!$B$30+'Inputs'!$B$31+'Inputs'!$B$32)/1000+'Inputs'!$B$21)+'Inputs'!$B$7)^2+('Inputs'!$B$6/2)^2)-(((775-43)*MAX('Inputs'!$B$33,'Inputs'!$B$29+'Inputs'!$B$31+'Inputs'!$B$32,'Inputs'!$B$30+'Inputs'!$B$31+'Inputs'!$B$32)/1000+'Inputs'!$B$21))/SQRT((((775-43)*MAX('Inputs'!$B$33,'Inputs'!$B$29+'Inputs'!$B$31+'Inputs'!$B$32,'Inputs'!$B$30+'Inputs'!$B$31+'Inputs'!$B$32)/1000+'Inputs'!$B$21))^2+('Inputs'!$B$6/2)^2)))-'Results'!C7*(0.5*((((775-43)*MAX('Inputs'!$B$33,'Inputs'!$B$29+'Inputs'!$B$31+'Inputs'!$B$32,'Inputs'!$B$30+'Inputs'!$B$31+'Inputs'!$B$32)/1000+'Inputs'!$B$21+'Inputs'!$B$7+'Inputs'!$B$10)+'Inputs'!$B$9)/SQRT((((775-43)*MAX('Inputs'!$B$33,'Inputs'!$B$29+'Inputs'!$B$31+'Inputs'!$B$32,'Inputs'!$B$30+'Inputs'!$B$31+'Inputs'!$B$32)/1000+'Inputs'!$B$21+'Inputs'!$B$7+'Inputs'!$B$10)+'Inputs'!$B$9)^2+('Inputs'!$B$8/2)^2)-(((775-43)*MAX('Inputs'!$B$33,'Inputs'!$B$29+'Inputs'!$B$31+'Inputs'!$B$32,'Inputs'!$B$30+'Inputs'!$B$31+'Inputs'!$B$32)/1000+'Inputs'!$B$21+'Inputs'!$B$7+'Inputs'!$B$10))/SQRT((((775-43)*MAX('Inputs'!$B$33,'Inputs'!$B$29+'Inputs'!$B$31+'Inputs'!$B$32,'Inputs'!$B$30+'Inputs'!$B$31+'Inputs'!$B$32)/1000+'Inputs'!$B$21+'Inputs'!$B$7+'Inputs'!$B$10))^2+('Inputs'!$B$8/2)^2))))*'Results'!$B$8),"")</x:f>
        <x:v>1.102338821995629</x:v>
      </x:c>
      <x:c r="K775" t="n">
        <x:f>IF(AND(ISNUMBER('Results'!B7),ISNUMBER('Results'!C7),ISNUMBER('Results'!$B$8),ISNUMBER('Inputs'!$B$6),ISNUMBER('Inputs'!$B$7),ISNUMBER('Inputs'!$B$8),ISNUMBER('Inputs'!$B$9),ISNUMBER('Inputs'!$B$10),ISNUMBER('Inputs'!$B$21),ISNUMBER('Inputs'!$B$24),ISNUMBER('Inputs'!$B$28)),((('Results'!B7*(1-'Inputs'!$B$24)*(0.5*((((775-43)*MAX('Inputs'!$B$33,'Inputs'!$B$29+'Inputs'!$B$31+'Inputs'!$B$32,'Inputs'!$B$30+'Inputs'!$B$31+'Inputs'!$B$32)/1000+'Inputs'!$B$21)+'Inputs'!$B$7)/SQRT((((775-43)*MAX('Inputs'!$B$33,'Inputs'!$B$29+'Inputs'!$B$31+'Inputs'!$B$32,'Inputs'!$B$30+'Inputs'!$B$31+'Inputs'!$B$32)/1000+'Inputs'!$B$21)+'Inputs'!$B$7)^2+('Inputs'!$B$6/2)^2)-(((775-43)*MAX('Inputs'!$B$33,'Inputs'!$B$29+'Inputs'!$B$31+'Inputs'!$B$32,'Inputs'!$B$30+'Inputs'!$B$31+'Inputs'!$B$32)/1000+'Inputs'!$B$21))/SQRT((((775-43)*MAX('Inputs'!$B$33,'Inputs'!$B$29+'Inputs'!$B$31+'Inputs'!$B$32,'Inputs'!$B$30+'Inputs'!$B$31+'Inputs'!$B$32)/1000+'Inputs'!$B$21))^2+('Inputs'!$B$6/2)^2)))-'Results'!C7*(1+'Inputs'!$B$24)*(0.5*((((775-43)*MAX('Inputs'!$B$33,'Inputs'!$B$29+'Inputs'!$B$31+'Inputs'!$B$32,'Inputs'!$B$30+'Inputs'!$B$31+'Inputs'!$B$32)/1000+'Inputs'!$B$21+'Inputs'!$B$7+'Inputs'!$B$10)+'Inputs'!$B$9)/SQRT((((775-43)*MAX('Inputs'!$B$33,'Inputs'!$B$29+'Inputs'!$B$31+'Inputs'!$B$32,'Inputs'!$B$30+'Inputs'!$B$31+'Inputs'!$B$32)/1000+'Inputs'!$B$21+'Inputs'!$B$7+'Inputs'!$B$10)+'Inputs'!$B$9)^2+('Inputs'!$B$8/2)^2)-(((775-43)*MAX('Inputs'!$B$33,'Inputs'!$B$29+'Inputs'!$B$31+'Inputs'!$B$32,'Inputs'!$B$30+'Inputs'!$B$31+'Inputs'!$B$32)/1000+'Inputs'!$B$21+'Inputs'!$B$7+'Inputs'!$B$10))/SQRT((((775-43)*MAX('Inputs'!$B$33,'Inputs'!$B$29+'Inputs'!$B$31+'Inputs'!$B$32,'Inputs'!$B$30+'Inputs'!$B$31+'Inputs'!$B$32)/1000+'Inputs'!$B$21+'Inputs'!$B$7+'Inputs'!$B$10))^2+('Inputs'!$B$8/2)^2))))*'Results'!$B$8)-'Inputs'!$B$28*ABS((('Results'!B7*(1-'Inputs'!$B$24)*(0.5*((((775-43)*MAX('Inputs'!$B$33,'Inputs'!$B$29+'Inputs'!$B$31+'Inputs'!$B$32,'Inputs'!$B$30+'Inputs'!$B$31+'Inputs'!$B$32)/1000+'Inputs'!$B$21)+'Inputs'!$B$7)/SQRT((((775-43)*MAX('Inputs'!$B$33,'Inputs'!$B$29+'Inputs'!$B$31+'Inputs'!$B$32,'Inputs'!$B$30+'Inputs'!$B$31+'Inputs'!$B$32)/1000+'Inputs'!$B$21)+'Inputs'!$B$7)^2+('Inputs'!$B$6/2)^2)-(((775-43)*MAX('Inputs'!$B$33,'Inputs'!$B$29+'Inputs'!$B$31+'Inputs'!$B$32,'Inputs'!$B$30+'Inputs'!$B$31+'Inputs'!$B$32)/1000+'Inputs'!$B$21))/SQRT((((775-43)*MAX('Inputs'!$B$33,'Inputs'!$B$29+'Inputs'!$B$31+'Inputs'!$B$32,'Inputs'!$B$30+'Inputs'!$B$31+'Inputs'!$B$32)/1000+'Inputs'!$B$21))^2+('Inputs'!$B$6/2)^2)))-'Results'!C7*(1+'Inputs'!$B$24)*(0.5*((((775-43)*MAX('Inputs'!$B$33,'Inputs'!$B$29+'Inputs'!$B$31+'Inputs'!$B$32,'Inputs'!$B$30+'Inputs'!$B$31+'Inputs'!$B$32)/1000+'Inputs'!$B$21+'Inputs'!$B$7+'Inputs'!$B$10)+'Inputs'!$B$9)/SQRT((((775-43)*MAX('Inputs'!$B$33,'Inputs'!$B$29+'Inputs'!$B$31+'Inputs'!$B$32,'Inputs'!$B$30+'Inputs'!$B$31+'Inputs'!$B$32)/1000+'Inputs'!$B$21+'Inputs'!$B$7+'Inputs'!$B$10)+'Inputs'!$B$9)^2+('Inputs'!$B$8/2)^2)-(((775-43)*MAX('Inputs'!$B$33,'Inputs'!$B$29+'Inputs'!$B$31+'Inputs'!$B$32,'Inputs'!$B$30+'Inputs'!$B$31+'Inputs'!$B$32)/1000+'Inputs'!$B$21+'Inputs'!$B$7+'Inputs'!$B$10))/SQRT((((775-43)*MAX('Inputs'!$B$33,'Inputs'!$B$29+'Inputs'!$B$31+'Inputs'!$B$32,'Inputs'!$B$30+'Inputs'!$B$31+'Inputs'!$B$32)/1000+'Inputs'!$B$21+'Inputs'!$B$7+'Inputs'!$B$10))^2+('Inputs'!$B$8/2)^2))))*'Results'!$B$8))),"")</x:f>
        <x:v>0.950986275452343</x:v>
      </x:c>
      <x:c r="L775" t="n">
        <x:f>IF(AND(ISNUMBER('Results'!B7),ISNUMBER('Results'!C7),ISNUMBER('Results'!$B$8),ISNUMBER('Inputs'!$B$6),ISNUMBER('Inputs'!$B$7),ISNUMBER('Inputs'!$B$8),ISNUMBER('Inputs'!$B$9),ISNUMBER('Inputs'!$B$10),ISNUMBER('Inputs'!$B$21),ISNUMBER('Inputs'!$B$24),ISNUMBER('Inputs'!$B$28)),((('Results'!B7*(1+'Inputs'!$B$24)*(0.5*((((775-43)*MAX('Inputs'!$B$33,'Inputs'!$B$29+'Inputs'!$B$31+'Inputs'!$B$32,'Inputs'!$B$30+'Inputs'!$B$31+'Inputs'!$B$32)/1000+'Inputs'!$B$21)+'Inputs'!$B$7)/SQRT((((775-43)*MAX('Inputs'!$B$33,'Inputs'!$B$29+'Inputs'!$B$31+'Inputs'!$B$32,'Inputs'!$B$30+'Inputs'!$B$31+'Inputs'!$B$32)/1000+'Inputs'!$B$21)+'Inputs'!$B$7)^2+('Inputs'!$B$6/2)^2)-(((775-43)*MAX('Inputs'!$B$33,'Inputs'!$B$29+'Inputs'!$B$31+'Inputs'!$B$32,'Inputs'!$B$30+'Inputs'!$B$31+'Inputs'!$B$32)/1000+'Inputs'!$B$21))/SQRT((((775-43)*MAX('Inputs'!$B$33,'Inputs'!$B$29+'Inputs'!$B$31+'Inputs'!$B$32,'Inputs'!$B$30+'Inputs'!$B$31+'Inputs'!$B$32)/1000+'Inputs'!$B$21))^2+('Inputs'!$B$6/2)^2)))-'Results'!C7*(1-'Inputs'!$B$24)*(0.5*((((775-43)*MAX('Inputs'!$B$33,'Inputs'!$B$29+'Inputs'!$B$31+'Inputs'!$B$32,'Inputs'!$B$30+'Inputs'!$B$31+'Inputs'!$B$32)/1000+'Inputs'!$B$21+'Inputs'!$B$7+'Inputs'!$B$10)+'Inputs'!$B$9)/SQRT((((775-43)*MAX('Inputs'!$B$33,'Inputs'!$B$29+'Inputs'!$B$31+'Inputs'!$B$32,'Inputs'!$B$30+'Inputs'!$B$31+'Inputs'!$B$32)/1000+'Inputs'!$B$21+'Inputs'!$B$7+'Inputs'!$B$10)+'Inputs'!$B$9)^2+('Inputs'!$B$8/2)^2)-(((775-43)*MAX('Inputs'!$B$33,'Inputs'!$B$29+'Inputs'!$B$31+'Inputs'!$B$32,'Inputs'!$B$30+'Inputs'!$B$31+'Inputs'!$B$32)/1000+'Inputs'!$B$21+'Inputs'!$B$7+'Inputs'!$B$10))/SQRT((((775-43)*MAX('Inputs'!$B$33,'Inputs'!$B$29+'Inputs'!$B$31+'Inputs'!$B$32,'Inputs'!$B$30+'Inputs'!$B$31+'Inputs'!$B$32)/1000+'Inputs'!$B$21+'Inputs'!$B$7+'Inputs'!$B$10))^2+('Inputs'!$B$8/2)^2))))*'Results'!$B$8)+'Inputs'!$B$28*ABS((('Results'!B7*(1+'Inputs'!$B$24)*(0.5*((((775-43)*MAX('Inputs'!$B$33,'Inputs'!$B$29+'Inputs'!$B$31+'Inputs'!$B$32,'Inputs'!$B$30+'Inputs'!$B$31+'Inputs'!$B$32)/1000+'Inputs'!$B$21)+'Inputs'!$B$7)/SQRT((((775-43)*MAX('Inputs'!$B$33,'Inputs'!$B$29+'Inputs'!$B$31+'Inputs'!$B$32,'Inputs'!$B$30+'Inputs'!$B$31+'Inputs'!$B$32)/1000+'Inputs'!$B$21)+'Inputs'!$B$7)^2+('Inputs'!$B$6/2)^2)-(((775-43)*MAX('Inputs'!$B$33,'Inputs'!$B$29+'Inputs'!$B$31+'Inputs'!$B$32,'Inputs'!$B$30+'Inputs'!$B$31+'Inputs'!$B$32)/1000+'Inputs'!$B$21))/SQRT((((775-43)*MAX('Inputs'!$B$33,'Inputs'!$B$29+'Inputs'!$B$31+'Inputs'!$B$32,'Inputs'!$B$30+'Inputs'!$B$31+'Inputs'!$B$32)/1000+'Inputs'!$B$21))^2+('Inputs'!$B$6/2)^2)))-'Results'!C7*(1-'Inputs'!$B$24)*(0.5*((((775-43)*MAX('Inputs'!$B$33,'Inputs'!$B$29+'Inputs'!$B$31+'Inputs'!$B$32,'Inputs'!$B$30+'Inputs'!$B$31+'Inputs'!$B$32)/1000+'Inputs'!$B$21+'Inputs'!$B$7+'Inputs'!$B$10)+'Inputs'!$B$9)/SQRT((((775-43)*MAX('Inputs'!$B$33,'Inputs'!$B$29+'Inputs'!$B$31+'Inputs'!$B$32,'Inputs'!$B$30+'Inputs'!$B$31+'Inputs'!$B$32)/1000+'Inputs'!$B$21+'Inputs'!$B$7+'Inputs'!$B$10)+'Inputs'!$B$9)^2+('Inputs'!$B$8/2)^2)-(((775-43)*MAX('Inputs'!$B$33,'Inputs'!$B$29+'Inputs'!$B$31+'Inputs'!$B$32,'Inputs'!$B$30+'Inputs'!$B$31+'Inputs'!$B$32)/1000+'Inputs'!$B$21+'Inputs'!$B$7+'Inputs'!$B$10))/SQRT((((775-43)*MAX('Inputs'!$B$33,'Inputs'!$B$29+'Inputs'!$B$31+'Inputs'!$B$32,'Inputs'!$B$30+'Inputs'!$B$31+'Inputs'!$B$32)/1000+'Inputs'!$B$21+'Inputs'!$B$7+'Inputs'!$B$10))^2+('Inputs'!$B$8/2)^2))))*'Results'!$B$8))),"")</x:f>
        <x:v>1.2638214322698111</x:v>
      </x:c>
      <x:c r="M775" t="n">
        <x:f>IF(AND(ISNUMBER('Results'!C7),ISNUMBER('Results'!B7),ISNUMBER('Results'!$B$8),ISNUMBER('Inputs'!$B$6),ISNUMBER('Inputs'!$B$7),ISNUMBER('Inputs'!$B$8),ISNUMBER('Inputs'!$B$9),ISNUMBER('Inputs'!$B$10),ISNUMBER('Inputs'!$B$21),ISNUMBER('Inputs'!$B$24),ISNUMBER('Inputs'!$B$28)),(('Results'!C7*(0.5*((((775-43)*MAX('Inputs'!$B$33,'Inputs'!$B$29+'Inputs'!$B$31+'Inputs'!$B$32,'Inputs'!$B$30+'Inputs'!$B$31+'Inputs'!$B$32)/1000+'Inputs'!$B$21)+'Inputs'!$B$9)/SQRT((((775-43)*MAX('Inputs'!$B$33,'Inputs'!$B$29+'Inputs'!$B$31+'Inputs'!$B$32,'Inputs'!$B$30+'Inputs'!$B$31+'Inputs'!$B$32)/1000+'Inputs'!$B$21)+'Inputs'!$B$9)^2+('Inputs'!$B$8/2)^2)-(((775-43)*MAX('Inputs'!$B$33,'Inputs'!$B$29+'Inputs'!$B$31+'Inputs'!$B$32,'Inputs'!$B$30+'Inputs'!$B$31+'Inputs'!$B$32)/1000+'Inputs'!$B$21))/SQRT((((775-43)*MAX('Inputs'!$B$33,'Inputs'!$B$29+'Inputs'!$B$31+'Inputs'!$B$32,'Inputs'!$B$30+'Inputs'!$B$31+'Inputs'!$B$32)/1000+'Inputs'!$B$21))^2+('Inputs'!$B$8/2)^2)))-'Results'!B7*(0.5*((((775-43)*MAX('Inputs'!$B$33,'Inputs'!$B$29+'Inputs'!$B$31+'Inputs'!$B$32,'Inputs'!$B$30+'Inputs'!$B$31+'Inputs'!$B$32)/1000+'Inputs'!$B$21+'Inputs'!$B$9+'Inputs'!$B$10)+'Inputs'!$B$7)/SQRT((((775-43)*MAX('Inputs'!$B$33,'Inputs'!$B$29+'Inputs'!$B$31+'Inputs'!$B$32,'Inputs'!$B$30+'Inputs'!$B$31+'Inputs'!$B$32)/1000+'Inputs'!$B$21+'Inputs'!$B$9+'Inputs'!$B$10)+'Inputs'!$B$7)^2+('Inputs'!$B$6/2)^2)-(((775-43)*MAX('Inputs'!$B$33,'Inputs'!$B$29+'Inputs'!$B$31+'Inputs'!$B$32,'Inputs'!$B$30+'Inputs'!$B$31+'Inputs'!$B$32)/1000+'Inputs'!$B$21+'Inputs'!$B$9+'Inputs'!$B$10))/SQRT((((775-43)*MAX('Inputs'!$B$33,'Inputs'!$B$29+'Inputs'!$B$31+'Inputs'!$B$32,'Inputs'!$B$30+'Inputs'!$B$31+'Inputs'!$B$32)/1000+'Inputs'!$B$21+'Inputs'!$B$9+'Inputs'!$B$10))^2+('Inputs'!$B$6/2)^2))))*'Results'!$B$8),"")</x:f>
        <x:v>1.0002294718206663</x:v>
      </x:c>
      <x:c r="N775" t="n">
        <x:f>IF(AND(ISNUMBER('Results'!C7),ISNUMBER('Results'!B7),ISNUMBER('Results'!$B$8),ISNUMBER('Inputs'!$B$6),ISNUMBER('Inputs'!$B$7),ISNUMBER('Inputs'!$B$8),ISNUMBER('Inputs'!$B$9),ISNUMBER('Inputs'!$B$10),ISNUMBER('Inputs'!$B$21),ISNUMBER('Inputs'!$B$24),ISNUMBER('Inputs'!$B$28)),((('Results'!C7*(1-'Inputs'!$B$24)*(0.5*((((775-43)*MAX('Inputs'!$B$33,'Inputs'!$B$29+'Inputs'!$B$31+'Inputs'!$B$32,'Inputs'!$B$30+'Inputs'!$B$31+'Inputs'!$B$32)/1000+'Inputs'!$B$21)+'Inputs'!$B$9)/SQRT((((775-43)*MAX('Inputs'!$B$33,'Inputs'!$B$29+'Inputs'!$B$31+'Inputs'!$B$32,'Inputs'!$B$30+'Inputs'!$B$31+'Inputs'!$B$32)/1000+'Inputs'!$B$21)+'Inputs'!$B$9)^2+('Inputs'!$B$8/2)^2)-(((775-43)*MAX('Inputs'!$B$33,'Inputs'!$B$29+'Inputs'!$B$31+'Inputs'!$B$32,'Inputs'!$B$30+'Inputs'!$B$31+'Inputs'!$B$32)/1000+'Inputs'!$B$21))/SQRT((((775-43)*MAX('Inputs'!$B$33,'Inputs'!$B$29+'Inputs'!$B$31+'Inputs'!$B$32,'Inputs'!$B$30+'Inputs'!$B$31+'Inputs'!$B$32)/1000+'Inputs'!$B$21))^2+('Inputs'!$B$8/2)^2)))-'Results'!B7*(1+'Inputs'!$B$24)*(0.5*((((775-43)*MAX('Inputs'!$B$33,'Inputs'!$B$29+'Inputs'!$B$31+'Inputs'!$B$32,'Inputs'!$B$30+'Inputs'!$B$31+'Inputs'!$B$32)/1000+'Inputs'!$B$21+'Inputs'!$B$9+'Inputs'!$B$10)+'Inputs'!$B$7)/SQRT((((775-43)*MAX('Inputs'!$B$33,'Inputs'!$B$29+'Inputs'!$B$31+'Inputs'!$B$32,'Inputs'!$B$30+'Inputs'!$B$31+'Inputs'!$B$32)/1000+'Inputs'!$B$21+'Inputs'!$B$9+'Inputs'!$B$10)+'Inputs'!$B$7)^2+('Inputs'!$B$6/2)^2)-(((775-43)*MAX('Inputs'!$B$33,'Inputs'!$B$29+'Inputs'!$B$31+'Inputs'!$B$32,'Inputs'!$B$30+'Inputs'!$B$31+'Inputs'!$B$32)/1000+'Inputs'!$B$21+'Inputs'!$B$9+'Inputs'!$B$10))/SQRT((((775-43)*MAX('Inputs'!$B$33,'Inputs'!$B$29+'Inputs'!$B$31+'Inputs'!$B$32,'Inputs'!$B$30+'Inputs'!$B$31+'Inputs'!$B$32)/1000+'Inputs'!$B$21+'Inputs'!$B$9+'Inputs'!$B$10))^2+('Inputs'!$B$6/2)^2))))*'Results'!$B$8)-'Inputs'!$B$28*ABS((('Results'!C7*(1-'Inputs'!$B$24)*(0.5*((((775-43)*MAX('Inputs'!$B$33,'Inputs'!$B$29+'Inputs'!$B$31+'Inputs'!$B$32,'Inputs'!$B$30+'Inputs'!$B$31+'Inputs'!$B$32)/1000+'Inputs'!$B$21)+'Inputs'!$B$9)/SQRT((((775-43)*MAX('Inputs'!$B$33,'Inputs'!$B$29+'Inputs'!$B$31+'Inputs'!$B$32,'Inputs'!$B$30+'Inputs'!$B$31+'Inputs'!$B$32)/1000+'Inputs'!$B$21)+'Inputs'!$B$9)^2+('Inputs'!$B$8/2)^2)-(((775-43)*MAX('Inputs'!$B$33,'Inputs'!$B$29+'Inputs'!$B$31+'Inputs'!$B$32,'Inputs'!$B$30+'Inputs'!$B$31+'Inputs'!$B$32)/1000+'Inputs'!$B$21))/SQRT((((775-43)*MAX('Inputs'!$B$33,'Inputs'!$B$29+'Inputs'!$B$31+'Inputs'!$B$32,'Inputs'!$B$30+'Inputs'!$B$31+'Inputs'!$B$32)/1000+'Inputs'!$B$21))^2+('Inputs'!$B$8/2)^2)))-'Results'!B7*(1+'Inputs'!$B$24)*(0.5*((((775-43)*MAX('Inputs'!$B$33,'Inputs'!$B$29+'Inputs'!$B$31+'Inputs'!$B$32,'Inputs'!$B$30+'Inputs'!$B$31+'Inputs'!$B$32)/1000+'Inputs'!$B$21+'Inputs'!$B$9+'Inputs'!$B$10)+'Inputs'!$B$7)/SQRT((((775-43)*MAX('Inputs'!$B$33,'Inputs'!$B$29+'Inputs'!$B$31+'Inputs'!$B$32,'Inputs'!$B$30+'Inputs'!$B$31+'Inputs'!$B$32)/1000+'Inputs'!$B$21+'Inputs'!$B$9+'Inputs'!$B$10)+'Inputs'!$B$7)^2+('Inputs'!$B$6/2)^2)-(((775-43)*MAX('Inputs'!$B$33,'Inputs'!$B$29+'Inputs'!$B$31+'Inputs'!$B$32,'Inputs'!$B$30+'Inputs'!$B$31+'Inputs'!$B$32)/1000+'Inputs'!$B$21+'Inputs'!$B$9+'Inputs'!$B$10))/SQRT((((775-43)*MAX('Inputs'!$B$33,'Inputs'!$B$29+'Inputs'!$B$31+'Inputs'!$B$32,'Inputs'!$B$30+'Inputs'!$B$31+'Inputs'!$B$32)/1000+'Inputs'!$B$21+'Inputs'!$B$9+'Inputs'!$B$10))^2+('Inputs'!$B$6/2)^2))))*'Results'!$B$8))),"")</x:f>
        <x:v>0.8543859159940322</x:v>
      </x:c>
      <x:c r="O775" t="n">
        <x:f>IF(AND(ISNUMBER('Results'!C7),ISNUMBER('Results'!B7),ISNUMBER('Results'!$B$8),ISNUMBER('Inputs'!$B$6),ISNUMBER('Inputs'!$B$7),ISNUMBER('Inputs'!$B$8),ISNUMBER('Inputs'!$B$9),ISNUMBER('Inputs'!$B$10),ISNUMBER('Inputs'!$B$21),ISNUMBER('Inputs'!$B$24),ISNUMBER('Inputs'!$B$28)),((('Results'!C7*(1+'Inputs'!$B$24)*(0.5*((((775-43)*MAX('Inputs'!$B$33,'Inputs'!$B$29+'Inputs'!$B$31+'Inputs'!$B$32,'Inputs'!$B$30+'Inputs'!$B$31+'Inputs'!$B$32)/1000+'Inputs'!$B$21)+'Inputs'!$B$9)/SQRT((((775-43)*MAX('Inputs'!$B$33,'Inputs'!$B$29+'Inputs'!$B$31+'Inputs'!$B$32,'Inputs'!$B$30+'Inputs'!$B$31+'Inputs'!$B$32)/1000+'Inputs'!$B$21)+'Inputs'!$B$9)^2+('Inputs'!$B$8/2)^2)-(((775-43)*MAX('Inputs'!$B$33,'Inputs'!$B$29+'Inputs'!$B$31+'Inputs'!$B$32,'Inputs'!$B$30+'Inputs'!$B$31+'Inputs'!$B$32)/1000+'Inputs'!$B$21))/SQRT((((775-43)*MAX('Inputs'!$B$33,'Inputs'!$B$29+'Inputs'!$B$31+'Inputs'!$B$32,'Inputs'!$B$30+'Inputs'!$B$31+'Inputs'!$B$32)/1000+'Inputs'!$B$21))^2+('Inputs'!$B$8/2)^2)))-'Results'!B7*(1-'Inputs'!$B$24)*(0.5*((((775-43)*MAX('Inputs'!$B$33,'Inputs'!$B$29+'Inputs'!$B$31+'Inputs'!$B$32,'Inputs'!$B$30+'Inputs'!$B$31+'Inputs'!$B$32)/1000+'Inputs'!$B$21+'Inputs'!$B$9+'Inputs'!$B$10)+'Inputs'!$B$7)/SQRT((((775-43)*MAX('Inputs'!$B$33,'Inputs'!$B$29+'Inputs'!$B$31+'Inputs'!$B$32,'Inputs'!$B$30+'Inputs'!$B$31+'Inputs'!$B$32)/1000+'Inputs'!$B$21+'Inputs'!$B$9+'Inputs'!$B$10)+'Inputs'!$B$7)^2+('Inputs'!$B$6/2)^2)-(((775-43)*MAX('Inputs'!$B$33,'Inputs'!$B$29+'Inputs'!$B$31+'Inputs'!$B$32,'Inputs'!$B$30+'Inputs'!$B$31+'Inputs'!$B$32)/1000+'Inputs'!$B$21+'Inputs'!$B$9+'Inputs'!$B$10))/SQRT((((775-43)*MAX('Inputs'!$B$33,'Inputs'!$B$29+'Inputs'!$B$31+'Inputs'!$B$32,'Inputs'!$B$30+'Inputs'!$B$31+'Inputs'!$B$32)/1000+'Inputs'!$B$21+'Inputs'!$B$9+'Inputs'!$B$10))^2+('Inputs'!$B$6/2)^2))))*'Results'!$B$8)+'Inputs'!$B$28*ABS((('Results'!C7*(1+'Inputs'!$B$24)*(0.5*((((775-43)*MAX('Inputs'!$B$33,'Inputs'!$B$29+'Inputs'!$B$31+'Inputs'!$B$32,'Inputs'!$B$30+'Inputs'!$B$31+'Inputs'!$B$32)/1000+'Inputs'!$B$21)+'Inputs'!$B$9)/SQRT((((775-43)*MAX('Inputs'!$B$33,'Inputs'!$B$29+'Inputs'!$B$31+'Inputs'!$B$32,'Inputs'!$B$30+'Inputs'!$B$31+'Inputs'!$B$32)/1000+'Inputs'!$B$21)+'Inputs'!$B$9)^2+('Inputs'!$B$8/2)^2)-(((775-43)*MAX('Inputs'!$B$33,'Inputs'!$B$29+'Inputs'!$B$31+'Inputs'!$B$32,'Inputs'!$B$30+'Inputs'!$B$31+'Inputs'!$B$32)/1000+'Inputs'!$B$21))/SQRT((((775-43)*MAX('Inputs'!$B$33,'Inputs'!$B$29+'Inputs'!$B$31+'Inputs'!$B$32,'Inputs'!$B$30+'Inputs'!$B$31+'Inputs'!$B$32)/1000+'Inputs'!$B$21))^2+('Inputs'!$B$8/2)^2)))-'Results'!B7*(1-'Inputs'!$B$24)*(0.5*((((775-43)*MAX('Inputs'!$B$33,'Inputs'!$B$29+'Inputs'!$B$31+'Inputs'!$B$32,'Inputs'!$B$30+'Inputs'!$B$31+'Inputs'!$B$32)/1000+'Inputs'!$B$21+'Inputs'!$B$9+'Inputs'!$B$10)+'Inputs'!$B$7)/SQRT((((775-43)*MAX('Inputs'!$B$33,'Inputs'!$B$29+'Inputs'!$B$31+'Inputs'!$B$32,'Inputs'!$B$30+'Inputs'!$B$31+'Inputs'!$B$32)/1000+'Inputs'!$B$21+'Inputs'!$B$9+'Inputs'!$B$10)+'Inputs'!$B$7)^2+('Inputs'!$B$6/2)^2)-(((775-43)*MAX('Inputs'!$B$33,'Inputs'!$B$29+'Inputs'!$B$31+'Inputs'!$B$32,'Inputs'!$B$30+'Inputs'!$B$31+'Inputs'!$B$32)/1000+'Inputs'!$B$21+'Inputs'!$B$9+'Inputs'!$B$10))/SQRT((((775-43)*MAX('Inputs'!$B$33,'Inputs'!$B$29+'Inputs'!$B$31+'Inputs'!$B$32,'Inputs'!$B$30+'Inputs'!$B$31+'Inputs'!$B$32)/1000+'Inputs'!$B$21+'Inputs'!$B$9+'Inputs'!$B$10))^2+('Inputs'!$B$6/2)^2))))*'Results'!$B$8))),"")</x:f>
        <x:v>1.156160615251048</x:v>
      </x:c>
      <x:c r="P775" t="n">
        <x:f>IF(AND(MAX(J775,J774)&gt;0,J775&gt;J774+0.00000001),1,0)</x:f>
        <x:v>0</x:v>
      </x:c>
      <x:c r="Q775" t="n">
        <x:f>IF(AND(MAX(K775,K774)&gt;0,K775&gt;K774+0.00000001),1,0)</x:f>
        <x:v>0</x:v>
      </x:c>
      <x:c r="R775" t="n">
        <x:f>IF(AND(MAX(L775,L774)&gt;0,L775&gt;L774+0.00000001),1,0)</x:f>
        <x:v>0</x:v>
      </x:c>
      <x:c r="S775" t="n">
        <x:f>IF(AND(MAX(M775,M774)&gt;0,M775&gt;M774+0.00000001),1,0)</x:f>
        <x:v>0</x:v>
      </x:c>
      <x:c r="T775" t="n">
        <x:f>IF(AND(MAX(N775,N774)&gt;0,N775&gt;N774+0.00000001),1,0)</x:f>
        <x:v>0</x:v>
      </x:c>
      <x:c r="U775" t="n">
        <x:f>IF(AND(MAX(O775,O774)&gt;0,O775&gt;O774+0.00000001),1,0)</x:f>
        <x:v>0</x:v>
      </x:c>
    </x:row>
    <x:row r="776">
      <x:c r="J776" t="n">
        <x:f>IF(AND(ISNUMBER('Results'!B7),ISNUMBER('Results'!C7),ISNUMBER('Results'!$B$8),ISNUMBER('Inputs'!$B$6),ISNUMBER('Inputs'!$B$7),ISNUMBER('Inputs'!$B$8),ISNUMBER('Inputs'!$B$9),ISNUMBER('Inputs'!$B$10),ISNUMBER('Inputs'!$B$21),ISNUMBER('Inputs'!$B$24),ISNUMBER('Inputs'!$B$28)),(('Results'!B7*(0.5*((((776-43)*MAX('Inputs'!$B$33,'Inputs'!$B$29+'Inputs'!$B$31+'Inputs'!$B$32,'Inputs'!$B$30+'Inputs'!$B$31+'Inputs'!$B$32)/1000+'Inputs'!$B$21)+'Inputs'!$B$7)/SQRT((((776-43)*MAX('Inputs'!$B$33,'Inputs'!$B$29+'Inputs'!$B$31+'Inputs'!$B$32,'Inputs'!$B$30+'Inputs'!$B$31+'Inputs'!$B$32)/1000+'Inputs'!$B$21)+'Inputs'!$B$7)^2+('Inputs'!$B$6/2)^2)-(((776-43)*MAX('Inputs'!$B$33,'Inputs'!$B$29+'Inputs'!$B$31+'Inputs'!$B$32,'Inputs'!$B$30+'Inputs'!$B$31+'Inputs'!$B$32)/1000+'Inputs'!$B$21))/SQRT((((776-43)*MAX('Inputs'!$B$33,'Inputs'!$B$29+'Inputs'!$B$31+'Inputs'!$B$32,'Inputs'!$B$30+'Inputs'!$B$31+'Inputs'!$B$32)/1000+'Inputs'!$B$21))^2+('Inputs'!$B$6/2)^2)))-'Results'!C7*(0.5*((((776-43)*MAX('Inputs'!$B$33,'Inputs'!$B$29+'Inputs'!$B$31+'Inputs'!$B$32,'Inputs'!$B$30+'Inputs'!$B$31+'Inputs'!$B$32)/1000+'Inputs'!$B$21+'Inputs'!$B$7+'Inputs'!$B$10)+'Inputs'!$B$9)/SQRT((((776-43)*MAX('Inputs'!$B$33,'Inputs'!$B$29+'Inputs'!$B$31+'Inputs'!$B$32,'Inputs'!$B$30+'Inputs'!$B$31+'Inputs'!$B$32)/1000+'Inputs'!$B$21+'Inputs'!$B$7+'Inputs'!$B$10)+'Inputs'!$B$9)^2+('Inputs'!$B$8/2)^2)-(((776-43)*MAX('Inputs'!$B$33,'Inputs'!$B$29+'Inputs'!$B$31+'Inputs'!$B$32,'Inputs'!$B$30+'Inputs'!$B$31+'Inputs'!$B$32)/1000+'Inputs'!$B$21+'Inputs'!$B$7+'Inputs'!$B$10))/SQRT((((776-43)*MAX('Inputs'!$B$33,'Inputs'!$B$29+'Inputs'!$B$31+'Inputs'!$B$32,'Inputs'!$B$30+'Inputs'!$B$31+'Inputs'!$B$32)/1000+'Inputs'!$B$21+'Inputs'!$B$7+'Inputs'!$B$10))^2+('Inputs'!$B$8/2)^2))))*'Results'!$B$8),"")</x:f>
        <x:v>1.0969825939045406</x:v>
      </x:c>
      <x:c r="K776" t="n">
        <x:f>IF(AND(ISNUMBER('Results'!B7),ISNUMBER('Results'!C7),ISNUMBER('Results'!$B$8),ISNUMBER('Inputs'!$B$6),ISNUMBER('Inputs'!$B$7),ISNUMBER('Inputs'!$B$8),ISNUMBER('Inputs'!$B$9),ISNUMBER('Inputs'!$B$10),ISNUMBER('Inputs'!$B$21),ISNUMBER('Inputs'!$B$24),ISNUMBER('Inputs'!$B$28)),((('Results'!B7*(1-'Inputs'!$B$24)*(0.5*((((776-43)*MAX('Inputs'!$B$33,'Inputs'!$B$29+'Inputs'!$B$31+'Inputs'!$B$32,'Inputs'!$B$30+'Inputs'!$B$31+'Inputs'!$B$32)/1000+'Inputs'!$B$21)+'Inputs'!$B$7)/SQRT((((776-43)*MAX('Inputs'!$B$33,'Inputs'!$B$29+'Inputs'!$B$31+'Inputs'!$B$32,'Inputs'!$B$30+'Inputs'!$B$31+'Inputs'!$B$32)/1000+'Inputs'!$B$21)+'Inputs'!$B$7)^2+('Inputs'!$B$6/2)^2)-(((776-43)*MAX('Inputs'!$B$33,'Inputs'!$B$29+'Inputs'!$B$31+'Inputs'!$B$32,'Inputs'!$B$30+'Inputs'!$B$31+'Inputs'!$B$32)/1000+'Inputs'!$B$21))/SQRT((((776-43)*MAX('Inputs'!$B$33,'Inputs'!$B$29+'Inputs'!$B$31+'Inputs'!$B$32,'Inputs'!$B$30+'Inputs'!$B$31+'Inputs'!$B$32)/1000+'Inputs'!$B$21))^2+('Inputs'!$B$6/2)^2)))-'Results'!C7*(1+'Inputs'!$B$24)*(0.5*((((776-43)*MAX('Inputs'!$B$33,'Inputs'!$B$29+'Inputs'!$B$31+'Inputs'!$B$32,'Inputs'!$B$30+'Inputs'!$B$31+'Inputs'!$B$32)/1000+'Inputs'!$B$21+'Inputs'!$B$7+'Inputs'!$B$10)+'Inputs'!$B$9)/SQRT((((776-43)*MAX('Inputs'!$B$33,'Inputs'!$B$29+'Inputs'!$B$31+'Inputs'!$B$32,'Inputs'!$B$30+'Inputs'!$B$31+'Inputs'!$B$32)/1000+'Inputs'!$B$21+'Inputs'!$B$7+'Inputs'!$B$10)+'Inputs'!$B$9)^2+('Inputs'!$B$8/2)^2)-(((776-43)*MAX('Inputs'!$B$33,'Inputs'!$B$29+'Inputs'!$B$31+'Inputs'!$B$32,'Inputs'!$B$30+'Inputs'!$B$31+'Inputs'!$B$32)/1000+'Inputs'!$B$21+'Inputs'!$B$7+'Inputs'!$B$10))/SQRT((((776-43)*MAX('Inputs'!$B$33,'Inputs'!$B$29+'Inputs'!$B$31+'Inputs'!$B$32,'Inputs'!$B$30+'Inputs'!$B$31+'Inputs'!$B$32)/1000+'Inputs'!$B$21+'Inputs'!$B$7+'Inputs'!$B$10))^2+('Inputs'!$B$8/2)^2))))*'Results'!$B$8)-'Inputs'!$B$28*ABS((('Results'!B7*(1-'Inputs'!$B$24)*(0.5*((((776-43)*MAX('Inputs'!$B$33,'Inputs'!$B$29+'Inputs'!$B$31+'Inputs'!$B$32,'Inputs'!$B$30+'Inputs'!$B$31+'Inputs'!$B$32)/1000+'Inputs'!$B$21)+'Inputs'!$B$7)/SQRT((((776-43)*MAX('Inputs'!$B$33,'Inputs'!$B$29+'Inputs'!$B$31+'Inputs'!$B$32,'Inputs'!$B$30+'Inputs'!$B$31+'Inputs'!$B$32)/1000+'Inputs'!$B$21)+'Inputs'!$B$7)^2+('Inputs'!$B$6/2)^2)-(((776-43)*MAX('Inputs'!$B$33,'Inputs'!$B$29+'Inputs'!$B$31+'Inputs'!$B$32,'Inputs'!$B$30+'Inputs'!$B$31+'Inputs'!$B$32)/1000+'Inputs'!$B$21))/SQRT((((776-43)*MAX('Inputs'!$B$33,'Inputs'!$B$29+'Inputs'!$B$31+'Inputs'!$B$32,'Inputs'!$B$30+'Inputs'!$B$31+'Inputs'!$B$32)/1000+'Inputs'!$B$21))^2+('Inputs'!$B$6/2)^2)))-'Results'!C7*(1+'Inputs'!$B$24)*(0.5*((((776-43)*MAX('Inputs'!$B$33,'Inputs'!$B$29+'Inputs'!$B$31+'Inputs'!$B$32,'Inputs'!$B$30+'Inputs'!$B$31+'Inputs'!$B$32)/1000+'Inputs'!$B$21+'Inputs'!$B$7+'Inputs'!$B$10)+'Inputs'!$B$9)/SQRT((((776-43)*MAX('Inputs'!$B$33,'Inputs'!$B$29+'Inputs'!$B$31+'Inputs'!$B$32,'Inputs'!$B$30+'Inputs'!$B$31+'Inputs'!$B$32)/1000+'Inputs'!$B$21+'Inputs'!$B$7+'Inputs'!$B$10)+'Inputs'!$B$9)^2+('Inputs'!$B$8/2)^2)-(((776-43)*MAX('Inputs'!$B$33,'Inputs'!$B$29+'Inputs'!$B$31+'Inputs'!$B$32,'Inputs'!$B$30+'Inputs'!$B$31+'Inputs'!$B$32)/1000+'Inputs'!$B$21+'Inputs'!$B$7+'Inputs'!$B$10))/SQRT((((776-43)*MAX('Inputs'!$B$33,'Inputs'!$B$29+'Inputs'!$B$31+'Inputs'!$B$32,'Inputs'!$B$30+'Inputs'!$B$31+'Inputs'!$B$32)/1000+'Inputs'!$B$21+'Inputs'!$B$7+'Inputs'!$B$10))^2+('Inputs'!$B$8/2)^2))))*'Results'!$B$8))),"")</x:f>
        <x:v>0.9462577075519623</x:v>
      </x:c>
      <x:c r="L776" t="n">
        <x:f>IF(AND(ISNUMBER('Results'!B7),ISNUMBER('Results'!C7),ISNUMBER('Results'!$B$8),ISNUMBER('Inputs'!$B$6),ISNUMBER('Inputs'!$B$7),ISNUMBER('Inputs'!$B$8),ISNUMBER('Inputs'!$B$9),ISNUMBER('Inputs'!$B$10),ISNUMBER('Inputs'!$B$21),ISNUMBER('Inputs'!$B$24),ISNUMBER('Inputs'!$B$28)),((('Results'!B7*(1+'Inputs'!$B$24)*(0.5*((((776-43)*MAX('Inputs'!$B$33,'Inputs'!$B$29+'Inputs'!$B$31+'Inputs'!$B$32,'Inputs'!$B$30+'Inputs'!$B$31+'Inputs'!$B$32)/1000+'Inputs'!$B$21)+'Inputs'!$B$7)/SQRT((((776-43)*MAX('Inputs'!$B$33,'Inputs'!$B$29+'Inputs'!$B$31+'Inputs'!$B$32,'Inputs'!$B$30+'Inputs'!$B$31+'Inputs'!$B$32)/1000+'Inputs'!$B$21)+'Inputs'!$B$7)^2+('Inputs'!$B$6/2)^2)-(((776-43)*MAX('Inputs'!$B$33,'Inputs'!$B$29+'Inputs'!$B$31+'Inputs'!$B$32,'Inputs'!$B$30+'Inputs'!$B$31+'Inputs'!$B$32)/1000+'Inputs'!$B$21))/SQRT((((776-43)*MAX('Inputs'!$B$33,'Inputs'!$B$29+'Inputs'!$B$31+'Inputs'!$B$32,'Inputs'!$B$30+'Inputs'!$B$31+'Inputs'!$B$32)/1000+'Inputs'!$B$21))^2+('Inputs'!$B$6/2)^2)))-'Results'!C7*(1-'Inputs'!$B$24)*(0.5*((((776-43)*MAX('Inputs'!$B$33,'Inputs'!$B$29+'Inputs'!$B$31+'Inputs'!$B$32,'Inputs'!$B$30+'Inputs'!$B$31+'Inputs'!$B$32)/1000+'Inputs'!$B$21+'Inputs'!$B$7+'Inputs'!$B$10)+'Inputs'!$B$9)/SQRT((((776-43)*MAX('Inputs'!$B$33,'Inputs'!$B$29+'Inputs'!$B$31+'Inputs'!$B$32,'Inputs'!$B$30+'Inputs'!$B$31+'Inputs'!$B$32)/1000+'Inputs'!$B$21+'Inputs'!$B$7+'Inputs'!$B$10)+'Inputs'!$B$9)^2+('Inputs'!$B$8/2)^2)-(((776-43)*MAX('Inputs'!$B$33,'Inputs'!$B$29+'Inputs'!$B$31+'Inputs'!$B$32,'Inputs'!$B$30+'Inputs'!$B$31+'Inputs'!$B$32)/1000+'Inputs'!$B$21+'Inputs'!$B$7+'Inputs'!$B$10))/SQRT((((776-43)*MAX('Inputs'!$B$33,'Inputs'!$B$29+'Inputs'!$B$31+'Inputs'!$B$32,'Inputs'!$B$30+'Inputs'!$B$31+'Inputs'!$B$32)/1000+'Inputs'!$B$21+'Inputs'!$B$7+'Inputs'!$B$10))^2+('Inputs'!$B$8/2)^2))))*'Results'!$B$8)+'Inputs'!$B$28*ABS((('Results'!B7*(1+'Inputs'!$B$24)*(0.5*((((776-43)*MAX('Inputs'!$B$33,'Inputs'!$B$29+'Inputs'!$B$31+'Inputs'!$B$32,'Inputs'!$B$30+'Inputs'!$B$31+'Inputs'!$B$32)/1000+'Inputs'!$B$21)+'Inputs'!$B$7)/SQRT((((776-43)*MAX('Inputs'!$B$33,'Inputs'!$B$29+'Inputs'!$B$31+'Inputs'!$B$32,'Inputs'!$B$30+'Inputs'!$B$31+'Inputs'!$B$32)/1000+'Inputs'!$B$21)+'Inputs'!$B$7)^2+('Inputs'!$B$6/2)^2)-(((776-43)*MAX('Inputs'!$B$33,'Inputs'!$B$29+'Inputs'!$B$31+'Inputs'!$B$32,'Inputs'!$B$30+'Inputs'!$B$31+'Inputs'!$B$32)/1000+'Inputs'!$B$21))/SQRT((((776-43)*MAX('Inputs'!$B$33,'Inputs'!$B$29+'Inputs'!$B$31+'Inputs'!$B$32,'Inputs'!$B$30+'Inputs'!$B$31+'Inputs'!$B$32)/1000+'Inputs'!$B$21))^2+('Inputs'!$B$6/2)^2)))-'Results'!C7*(1-'Inputs'!$B$24)*(0.5*((((776-43)*MAX('Inputs'!$B$33,'Inputs'!$B$29+'Inputs'!$B$31+'Inputs'!$B$32,'Inputs'!$B$30+'Inputs'!$B$31+'Inputs'!$B$32)/1000+'Inputs'!$B$21+'Inputs'!$B$7+'Inputs'!$B$10)+'Inputs'!$B$9)/SQRT((((776-43)*MAX('Inputs'!$B$33,'Inputs'!$B$29+'Inputs'!$B$31+'Inputs'!$B$32,'Inputs'!$B$30+'Inputs'!$B$31+'Inputs'!$B$32)/1000+'Inputs'!$B$21+'Inputs'!$B$7+'Inputs'!$B$10)+'Inputs'!$B$9)^2+('Inputs'!$B$8/2)^2)-(((776-43)*MAX('Inputs'!$B$33,'Inputs'!$B$29+'Inputs'!$B$31+'Inputs'!$B$32,'Inputs'!$B$30+'Inputs'!$B$31+'Inputs'!$B$32)/1000+'Inputs'!$B$21+'Inputs'!$B$7+'Inputs'!$B$10))/SQRT((((776-43)*MAX('Inputs'!$B$33,'Inputs'!$B$29+'Inputs'!$B$31+'Inputs'!$B$32,'Inputs'!$B$30+'Inputs'!$B$31+'Inputs'!$B$32)/1000+'Inputs'!$B$21+'Inputs'!$B$7+'Inputs'!$B$10))^2+('Inputs'!$B$8/2)^2))))*'Results'!$B$8))),"")</x:f>
        <x:v>1.257799665168419</x:v>
      </x:c>
      <x:c r="M776" t="n">
        <x:f>IF(AND(ISNUMBER('Results'!C7),ISNUMBER('Results'!B7),ISNUMBER('Results'!$B$8),ISNUMBER('Inputs'!$B$6),ISNUMBER('Inputs'!$B$7),ISNUMBER('Inputs'!$B$8),ISNUMBER('Inputs'!$B$9),ISNUMBER('Inputs'!$B$10),ISNUMBER('Inputs'!$B$21),ISNUMBER('Inputs'!$B$24),ISNUMBER('Inputs'!$B$28)),(('Results'!C7*(0.5*((((776-43)*MAX('Inputs'!$B$33,'Inputs'!$B$29+'Inputs'!$B$31+'Inputs'!$B$32,'Inputs'!$B$30+'Inputs'!$B$31+'Inputs'!$B$32)/1000+'Inputs'!$B$21)+'Inputs'!$B$9)/SQRT((((776-43)*MAX('Inputs'!$B$33,'Inputs'!$B$29+'Inputs'!$B$31+'Inputs'!$B$32,'Inputs'!$B$30+'Inputs'!$B$31+'Inputs'!$B$32)/1000+'Inputs'!$B$21)+'Inputs'!$B$9)^2+('Inputs'!$B$8/2)^2)-(((776-43)*MAX('Inputs'!$B$33,'Inputs'!$B$29+'Inputs'!$B$31+'Inputs'!$B$32,'Inputs'!$B$30+'Inputs'!$B$31+'Inputs'!$B$32)/1000+'Inputs'!$B$21))/SQRT((((776-43)*MAX('Inputs'!$B$33,'Inputs'!$B$29+'Inputs'!$B$31+'Inputs'!$B$32,'Inputs'!$B$30+'Inputs'!$B$31+'Inputs'!$B$32)/1000+'Inputs'!$B$21))^2+('Inputs'!$B$8/2)^2)))-'Results'!B7*(0.5*((((776-43)*MAX('Inputs'!$B$33,'Inputs'!$B$29+'Inputs'!$B$31+'Inputs'!$B$32,'Inputs'!$B$30+'Inputs'!$B$31+'Inputs'!$B$32)/1000+'Inputs'!$B$21+'Inputs'!$B$9+'Inputs'!$B$10)+'Inputs'!$B$7)/SQRT((((776-43)*MAX('Inputs'!$B$33,'Inputs'!$B$29+'Inputs'!$B$31+'Inputs'!$B$32,'Inputs'!$B$30+'Inputs'!$B$31+'Inputs'!$B$32)/1000+'Inputs'!$B$21+'Inputs'!$B$9+'Inputs'!$B$10)+'Inputs'!$B$7)^2+('Inputs'!$B$6/2)^2)-(((776-43)*MAX('Inputs'!$B$33,'Inputs'!$B$29+'Inputs'!$B$31+'Inputs'!$B$32,'Inputs'!$B$30+'Inputs'!$B$31+'Inputs'!$B$32)/1000+'Inputs'!$B$21+'Inputs'!$B$9+'Inputs'!$B$10))/SQRT((((776-43)*MAX('Inputs'!$B$33,'Inputs'!$B$29+'Inputs'!$B$31+'Inputs'!$B$32,'Inputs'!$B$30+'Inputs'!$B$31+'Inputs'!$B$32)/1000+'Inputs'!$B$21+'Inputs'!$B$9+'Inputs'!$B$10))^2+('Inputs'!$B$6/2)^2))))*'Results'!$B$8),"")</x:f>
        <x:v>0.995254804003428</x:v>
      </x:c>
      <x:c r="N776" t="n">
        <x:f>IF(AND(ISNUMBER('Results'!C7),ISNUMBER('Results'!B7),ISNUMBER('Results'!$B$8),ISNUMBER('Inputs'!$B$6),ISNUMBER('Inputs'!$B$7),ISNUMBER('Inputs'!$B$8),ISNUMBER('Inputs'!$B$9),ISNUMBER('Inputs'!$B$10),ISNUMBER('Inputs'!$B$21),ISNUMBER('Inputs'!$B$24),ISNUMBER('Inputs'!$B$28)),((('Results'!C7*(1-'Inputs'!$B$24)*(0.5*((((776-43)*MAX('Inputs'!$B$33,'Inputs'!$B$29+'Inputs'!$B$31+'Inputs'!$B$32,'Inputs'!$B$30+'Inputs'!$B$31+'Inputs'!$B$32)/1000+'Inputs'!$B$21)+'Inputs'!$B$9)/SQRT((((776-43)*MAX('Inputs'!$B$33,'Inputs'!$B$29+'Inputs'!$B$31+'Inputs'!$B$32,'Inputs'!$B$30+'Inputs'!$B$31+'Inputs'!$B$32)/1000+'Inputs'!$B$21)+'Inputs'!$B$9)^2+('Inputs'!$B$8/2)^2)-(((776-43)*MAX('Inputs'!$B$33,'Inputs'!$B$29+'Inputs'!$B$31+'Inputs'!$B$32,'Inputs'!$B$30+'Inputs'!$B$31+'Inputs'!$B$32)/1000+'Inputs'!$B$21))/SQRT((((776-43)*MAX('Inputs'!$B$33,'Inputs'!$B$29+'Inputs'!$B$31+'Inputs'!$B$32,'Inputs'!$B$30+'Inputs'!$B$31+'Inputs'!$B$32)/1000+'Inputs'!$B$21))^2+('Inputs'!$B$8/2)^2)))-'Results'!B7*(1+'Inputs'!$B$24)*(0.5*((((776-43)*MAX('Inputs'!$B$33,'Inputs'!$B$29+'Inputs'!$B$31+'Inputs'!$B$32,'Inputs'!$B$30+'Inputs'!$B$31+'Inputs'!$B$32)/1000+'Inputs'!$B$21+'Inputs'!$B$9+'Inputs'!$B$10)+'Inputs'!$B$7)/SQRT((((776-43)*MAX('Inputs'!$B$33,'Inputs'!$B$29+'Inputs'!$B$31+'Inputs'!$B$32,'Inputs'!$B$30+'Inputs'!$B$31+'Inputs'!$B$32)/1000+'Inputs'!$B$21+'Inputs'!$B$9+'Inputs'!$B$10)+'Inputs'!$B$7)^2+('Inputs'!$B$6/2)^2)-(((776-43)*MAX('Inputs'!$B$33,'Inputs'!$B$29+'Inputs'!$B$31+'Inputs'!$B$32,'Inputs'!$B$30+'Inputs'!$B$31+'Inputs'!$B$32)/1000+'Inputs'!$B$21+'Inputs'!$B$9+'Inputs'!$B$10))/SQRT((((776-43)*MAX('Inputs'!$B$33,'Inputs'!$B$29+'Inputs'!$B$31+'Inputs'!$B$32,'Inputs'!$B$30+'Inputs'!$B$31+'Inputs'!$B$32)/1000+'Inputs'!$B$21+'Inputs'!$B$9+'Inputs'!$B$10))^2+('Inputs'!$B$6/2)^2))))*'Results'!$B$8)-'Inputs'!$B$28*ABS((('Results'!C7*(1-'Inputs'!$B$24)*(0.5*((((776-43)*MAX('Inputs'!$B$33,'Inputs'!$B$29+'Inputs'!$B$31+'Inputs'!$B$32,'Inputs'!$B$30+'Inputs'!$B$31+'Inputs'!$B$32)/1000+'Inputs'!$B$21)+'Inputs'!$B$9)/SQRT((((776-43)*MAX('Inputs'!$B$33,'Inputs'!$B$29+'Inputs'!$B$31+'Inputs'!$B$32,'Inputs'!$B$30+'Inputs'!$B$31+'Inputs'!$B$32)/1000+'Inputs'!$B$21)+'Inputs'!$B$9)^2+('Inputs'!$B$8/2)^2)-(((776-43)*MAX('Inputs'!$B$33,'Inputs'!$B$29+'Inputs'!$B$31+'Inputs'!$B$32,'Inputs'!$B$30+'Inputs'!$B$31+'Inputs'!$B$32)/1000+'Inputs'!$B$21))/SQRT((((776-43)*MAX('Inputs'!$B$33,'Inputs'!$B$29+'Inputs'!$B$31+'Inputs'!$B$32,'Inputs'!$B$30+'Inputs'!$B$31+'Inputs'!$B$32)/1000+'Inputs'!$B$21))^2+('Inputs'!$B$8/2)^2)))-'Results'!B7*(1+'Inputs'!$B$24)*(0.5*((((776-43)*MAX('Inputs'!$B$33,'Inputs'!$B$29+'Inputs'!$B$31+'Inputs'!$B$32,'Inputs'!$B$30+'Inputs'!$B$31+'Inputs'!$B$32)/1000+'Inputs'!$B$21+'Inputs'!$B$9+'Inputs'!$B$10)+'Inputs'!$B$7)/SQRT((((776-43)*MAX('Inputs'!$B$33,'Inputs'!$B$29+'Inputs'!$B$31+'Inputs'!$B$32,'Inputs'!$B$30+'Inputs'!$B$31+'Inputs'!$B$32)/1000+'Inputs'!$B$21+'Inputs'!$B$9+'Inputs'!$B$10)+'Inputs'!$B$7)^2+('Inputs'!$B$6/2)^2)-(((776-43)*MAX('Inputs'!$B$33,'Inputs'!$B$29+'Inputs'!$B$31+'Inputs'!$B$32,'Inputs'!$B$30+'Inputs'!$B$31+'Inputs'!$B$32)/1000+'Inputs'!$B$21+'Inputs'!$B$9+'Inputs'!$B$10))/SQRT((((776-43)*MAX('Inputs'!$B$33,'Inputs'!$B$29+'Inputs'!$B$31+'Inputs'!$B$32,'Inputs'!$B$30+'Inputs'!$B$31+'Inputs'!$B$32)/1000+'Inputs'!$B$21+'Inputs'!$B$9+'Inputs'!$B$10))^2+('Inputs'!$B$6/2)^2))))*'Results'!$B$8))),"")</x:f>
        <x:v>0.8500178476566147</x:v>
      </x:c>
      <x:c r="O776" t="n">
        <x:f>IF(AND(ISNUMBER('Results'!C7),ISNUMBER('Results'!B7),ISNUMBER('Results'!$B$8),ISNUMBER('Inputs'!$B$6),ISNUMBER('Inputs'!$B$7),ISNUMBER('Inputs'!$B$8),ISNUMBER('Inputs'!$B$9),ISNUMBER('Inputs'!$B$10),ISNUMBER('Inputs'!$B$21),ISNUMBER('Inputs'!$B$24),ISNUMBER('Inputs'!$B$28)),((('Results'!C7*(1+'Inputs'!$B$24)*(0.5*((((776-43)*MAX('Inputs'!$B$33,'Inputs'!$B$29+'Inputs'!$B$31+'Inputs'!$B$32,'Inputs'!$B$30+'Inputs'!$B$31+'Inputs'!$B$32)/1000+'Inputs'!$B$21)+'Inputs'!$B$9)/SQRT((((776-43)*MAX('Inputs'!$B$33,'Inputs'!$B$29+'Inputs'!$B$31+'Inputs'!$B$32,'Inputs'!$B$30+'Inputs'!$B$31+'Inputs'!$B$32)/1000+'Inputs'!$B$21)+'Inputs'!$B$9)^2+('Inputs'!$B$8/2)^2)-(((776-43)*MAX('Inputs'!$B$33,'Inputs'!$B$29+'Inputs'!$B$31+'Inputs'!$B$32,'Inputs'!$B$30+'Inputs'!$B$31+'Inputs'!$B$32)/1000+'Inputs'!$B$21))/SQRT((((776-43)*MAX('Inputs'!$B$33,'Inputs'!$B$29+'Inputs'!$B$31+'Inputs'!$B$32,'Inputs'!$B$30+'Inputs'!$B$31+'Inputs'!$B$32)/1000+'Inputs'!$B$21))^2+('Inputs'!$B$8/2)^2)))-'Results'!B7*(1-'Inputs'!$B$24)*(0.5*((((776-43)*MAX('Inputs'!$B$33,'Inputs'!$B$29+'Inputs'!$B$31+'Inputs'!$B$32,'Inputs'!$B$30+'Inputs'!$B$31+'Inputs'!$B$32)/1000+'Inputs'!$B$21+'Inputs'!$B$9+'Inputs'!$B$10)+'Inputs'!$B$7)/SQRT((((776-43)*MAX('Inputs'!$B$33,'Inputs'!$B$29+'Inputs'!$B$31+'Inputs'!$B$32,'Inputs'!$B$30+'Inputs'!$B$31+'Inputs'!$B$32)/1000+'Inputs'!$B$21+'Inputs'!$B$9+'Inputs'!$B$10)+'Inputs'!$B$7)^2+('Inputs'!$B$6/2)^2)-(((776-43)*MAX('Inputs'!$B$33,'Inputs'!$B$29+'Inputs'!$B$31+'Inputs'!$B$32,'Inputs'!$B$30+'Inputs'!$B$31+'Inputs'!$B$32)/1000+'Inputs'!$B$21+'Inputs'!$B$9+'Inputs'!$B$10))/SQRT((((776-43)*MAX('Inputs'!$B$33,'Inputs'!$B$29+'Inputs'!$B$31+'Inputs'!$B$32,'Inputs'!$B$30+'Inputs'!$B$31+'Inputs'!$B$32)/1000+'Inputs'!$B$21+'Inputs'!$B$9+'Inputs'!$B$10))^2+('Inputs'!$B$6/2)^2))))*'Results'!$B$8)+'Inputs'!$B$28*ABS((('Results'!C7*(1+'Inputs'!$B$24)*(0.5*((((776-43)*MAX('Inputs'!$B$33,'Inputs'!$B$29+'Inputs'!$B$31+'Inputs'!$B$32,'Inputs'!$B$30+'Inputs'!$B$31+'Inputs'!$B$32)/1000+'Inputs'!$B$21)+'Inputs'!$B$9)/SQRT((((776-43)*MAX('Inputs'!$B$33,'Inputs'!$B$29+'Inputs'!$B$31+'Inputs'!$B$32,'Inputs'!$B$30+'Inputs'!$B$31+'Inputs'!$B$32)/1000+'Inputs'!$B$21)+'Inputs'!$B$9)^2+('Inputs'!$B$8/2)^2)-(((776-43)*MAX('Inputs'!$B$33,'Inputs'!$B$29+'Inputs'!$B$31+'Inputs'!$B$32,'Inputs'!$B$30+'Inputs'!$B$31+'Inputs'!$B$32)/1000+'Inputs'!$B$21))/SQRT((((776-43)*MAX('Inputs'!$B$33,'Inputs'!$B$29+'Inputs'!$B$31+'Inputs'!$B$32,'Inputs'!$B$30+'Inputs'!$B$31+'Inputs'!$B$32)/1000+'Inputs'!$B$21))^2+('Inputs'!$B$8/2)^2)))-'Results'!B7*(1-'Inputs'!$B$24)*(0.5*((((776-43)*MAX('Inputs'!$B$33,'Inputs'!$B$29+'Inputs'!$B$31+'Inputs'!$B$32,'Inputs'!$B$30+'Inputs'!$B$31+'Inputs'!$B$32)/1000+'Inputs'!$B$21+'Inputs'!$B$9+'Inputs'!$B$10)+'Inputs'!$B$7)/SQRT((((776-43)*MAX('Inputs'!$B$33,'Inputs'!$B$29+'Inputs'!$B$31+'Inputs'!$B$32,'Inputs'!$B$30+'Inputs'!$B$31+'Inputs'!$B$32)/1000+'Inputs'!$B$21+'Inputs'!$B$9+'Inputs'!$B$10)+'Inputs'!$B$7)^2+('Inputs'!$B$6/2)^2)-(((776-43)*MAX('Inputs'!$B$33,'Inputs'!$B$29+'Inputs'!$B$31+'Inputs'!$B$32,'Inputs'!$B$30+'Inputs'!$B$31+'Inputs'!$B$32)/1000+'Inputs'!$B$21+'Inputs'!$B$9+'Inputs'!$B$10))/SQRT((((776-43)*MAX('Inputs'!$B$33,'Inputs'!$B$29+'Inputs'!$B$31+'Inputs'!$B$32,'Inputs'!$B$30+'Inputs'!$B$31+'Inputs'!$B$32)/1000+'Inputs'!$B$21+'Inputs'!$B$9+'Inputs'!$B$10))^2+('Inputs'!$B$6/2)^2))))*'Results'!$B$8))),"")</x:f>
        <x:v>1.1505416778393616</x:v>
      </x:c>
      <x:c r="P776" t="n">
        <x:f>IF(AND(MAX(J776,J775)&gt;0,J776&gt;J775+0.00000001),1,0)</x:f>
        <x:v>0</x:v>
      </x:c>
      <x:c r="Q776" t="n">
        <x:f>IF(AND(MAX(K776,K775)&gt;0,K776&gt;K775+0.00000001),1,0)</x:f>
        <x:v>0</x:v>
      </x:c>
      <x:c r="R776" t="n">
        <x:f>IF(AND(MAX(L776,L775)&gt;0,L776&gt;L775+0.00000001),1,0)</x:f>
        <x:v>0</x:v>
      </x:c>
      <x:c r="S776" t="n">
        <x:f>IF(AND(MAX(M776,M775)&gt;0,M776&gt;M775+0.00000001),1,0)</x:f>
        <x:v>0</x:v>
      </x:c>
      <x:c r="T776" t="n">
        <x:f>IF(AND(MAX(N776,N775)&gt;0,N776&gt;N775+0.00000001),1,0)</x:f>
        <x:v>0</x:v>
      </x:c>
      <x:c r="U776" t="n">
        <x:f>IF(AND(MAX(O776,O775)&gt;0,O776&gt;O775+0.00000001),1,0)</x:f>
        <x:v>0</x:v>
      </x:c>
    </x:row>
    <x:row r="777">
      <x:c r="J777" t="n">
        <x:f>IF(AND(ISNUMBER('Results'!B7),ISNUMBER('Results'!C7),ISNUMBER('Results'!$B$8),ISNUMBER('Inputs'!$B$6),ISNUMBER('Inputs'!$B$7),ISNUMBER('Inputs'!$B$8),ISNUMBER('Inputs'!$B$9),ISNUMBER('Inputs'!$B$10),ISNUMBER('Inputs'!$B$21),ISNUMBER('Inputs'!$B$24),ISNUMBER('Inputs'!$B$28)),(('Results'!B7*(0.5*((((777-43)*MAX('Inputs'!$B$33,'Inputs'!$B$29+'Inputs'!$B$31+'Inputs'!$B$32,'Inputs'!$B$30+'Inputs'!$B$31+'Inputs'!$B$32)/1000+'Inputs'!$B$21)+'Inputs'!$B$7)/SQRT((((777-43)*MAX('Inputs'!$B$33,'Inputs'!$B$29+'Inputs'!$B$31+'Inputs'!$B$32,'Inputs'!$B$30+'Inputs'!$B$31+'Inputs'!$B$32)/1000+'Inputs'!$B$21)+'Inputs'!$B$7)^2+('Inputs'!$B$6/2)^2)-(((777-43)*MAX('Inputs'!$B$33,'Inputs'!$B$29+'Inputs'!$B$31+'Inputs'!$B$32,'Inputs'!$B$30+'Inputs'!$B$31+'Inputs'!$B$32)/1000+'Inputs'!$B$21))/SQRT((((777-43)*MAX('Inputs'!$B$33,'Inputs'!$B$29+'Inputs'!$B$31+'Inputs'!$B$32,'Inputs'!$B$30+'Inputs'!$B$31+'Inputs'!$B$32)/1000+'Inputs'!$B$21))^2+('Inputs'!$B$6/2)^2)))-'Results'!C7*(0.5*((((777-43)*MAX('Inputs'!$B$33,'Inputs'!$B$29+'Inputs'!$B$31+'Inputs'!$B$32,'Inputs'!$B$30+'Inputs'!$B$31+'Inputs'!$B$32)/1000+'Inputs'!$B$21+'Inputs'!$B$7+'Inputs'!$B$10)+'Inputs'!$B$9)/SQRT((((777-43)*MAX('Inputs'!$B$33,'Inputs'!$B$29+'Inputs'!$B$31+'Inputs'!$B$32,'Inputs'!$B$30+'Inputs'!$B$31+'Inputs'!$B$32)/1000+'Inputs'!$B$21+'Inputs'!$B$7+'Inputs'!$B$10)+'Inputs'!$B$9)^2+('Inputs'!$B$8/2)^2)-(((777-43)*MAX('Inputs'!$B$33,'Inputs'!$B$29+'Inputs'!$B$31+'Inputs'!$B$32,'Inputs'!$B$30+'Inputs'!$B$31+'Inputs'!$B$32)/1000+'Inputs'!$B$21+'Inputs'!$B$7+'Inputs'!$B$10))/SQRT((((777-43)*MAX('Inputs'!$B$33,'Inputs'!$B$29+'Inputs'!$B$31+'Inputs'!$B$32,'Inputs'!$B$30+'Inputs'!$B$31+'Inputs'!$B$32)/1000+'Inputs'!$B$21+'Inputs'!$B$7+'Inputs'!$B$10))^2+('Inputs'!$B$8/2)^2))))*'Results'!$B$8),"")</x:f>
        <x:v>1.091658980984703</x:v>
      </x:c>
      <x:c r="K777" t="n">
        <x:f>IF(AND(ISNUMBER('Results'!B7),ISNUMBER('Results'!C7),ISNUMBER('Results'!$B$8),ISNUMBER('Inputs'!$B$6),ISNUMBER('Inputs'!$B$7),ISNUMBER('Inputs'!$B$8),ISNUMBER('Inputs'!$B$9),ISNUMBER('Inputs'!$B$10),ISNUMBER('Inputs'!$B$21),ISNUMBER('Inputs'!$B$24),ISNUMBER('Inputs'!$B$28)),((('Results'!B7*(1-'Inputs'!$B$24)*(0.5*((((777-43)*MAX('Inputs'!$B$33,'Inputs'!$B$29+'Inputs'!$B$31+'Inputs'!$B$32,'Inputs'!$B$30+'Inputs'!$B$31+'Inputs'!$B$32)/1000+'Inputs'!$B$21)+'Inputs'!$B$7)/SQRT((((777-43)*MAX('Inputs'!$B$33,'Inputs'!$B$29+'Inputs'!$B$31+'Inputs'!$B$32,'Inputs'!$B$30+'Inputs'!$B$31+'Inputs'!$B$32)/1000+'Inputs'!$B$21)+'Inputs'!$B$7)^2+('Inputs'!$B$6/2)^2)-(((777-43)*MAX('Inputs'!$B$33,'Inputs'!$B$29+'Inputs'!$B$31+'Inputs'!$B$32,'Inputs'!$B$30+'Inputs'!$B$31+'Inputs'!$B$32)/1000+'Inputs'!$B$21))/SQRT((((777-43)*MAX('Inputs'!$B$33,'Inputs'!$B$29+'Inputs'!$B$31+'Inputs'!$B$32,'Inputs'!$B$30+'Inputs'!$B$31+'Inputs'!$B$32)/1000+'Inputs'!$B$21))^2+('Inputs'!$B$6/2)^2)))-'Results'!C7*(1+'Inputs'!$B$24)*(0.5*((((777-43)*MAX('Inputs'!$B$33,'Inputs'!$B$29+'Inputs'!$B$31+'Inputs'!$B$32,'Inputs'!$B$30+'Inputs'!$B$31+'Inputs'!$B$32)/1000+'Inputs'!$B$21+'Inputs'!$B$7+'Inputs'!$B$10)+'Inputs'!$B$9)/SQRT((((777-43)*MAX('Inputs'!$B$33,'Inputs'!$B$29+'Inputs'!$B$31+'Inputs'!$B$32,'Inputs'!$B$30+'Inputs'!$B$31+'Inputs'!$B$32)/1000+'Inputs'!$B$21+'Inputs'!$B$7+'Inputs'!$B$10)+'Inputs'!$B$9)^2+('Inputs'!$B$8/2)^2)-(((777-43)*MAX('Inputs'!$B$33,'Inputs'!$B$29+'Inputs'!$B$31+'Inputs'!$B$32,'Inputs'!$B$30+'Inputs'!$B$31+'Inputs'!$B$32)/1000+'Inputs'!$B$21+'Inputs'!$B$7+'Inputs'!$B$10))/SQRT((((777-43)*MAX('Inputs'!$B$33,'Inputs'!$B$29+'Inputs'!$B$31+'Inputs'!$B$32,'Inputs'!$B$30+'Inputs'!$B$31+'Inputs'!$B$32)/1000+'Inputs'!$B$21+'Inputs'!$B$7+'Inputs'!$B$10))^2+('Inputs'!$B$8/2)^2))))*'Results'!$B$8)-'Inputs'!$B$28*ABS((('Results'!B7*(1-'Inputs'!$B$24)*(0.5*((((777-43)*MAX('Inputs'!$B$33,'Inputs'!$B$29+'Inputs'!$B$31+'Inputs'!$B$32,'Inputs'!$B$30+'Inputs'!$B$31+'Inputs'!$B$32)/1000+'Inputs'!$B$21)+'Inputs'!$B$7)/SQRT((((777-43)*MAX('Inputs'!$B$33,'Inputs'!$B$29+'Inputs'!$B$31+'Inputs'!$B$32,'Inputs'!$B$30+'Inputs'!$B$31+'Inputs'!$B$32)/1000+'Inputs'!$B$21)+'Inputs'!$B$7)^2+('Inputs'!$B$6/2)^2)-(((777-43)*MAX('Inputs'!$B$33,'Inputs'!$B$29+'Inputs'!$B$31+'Inputs'!$B$32,'Inputs'!$B$30+'Inputs'!$B$31+'Inputs'!$B$32)/1000+'Inputs'!$B$21))/SQRT((((777-43)*MAX('Inputs'!$B$33,'Inputs'!$B$29+'Inputs'!$B$31+'Inputs'!$B$32,'Inputs'!$B$30+'Inputs'!$B$31+'Inputs'!$B$32)/1000+'Inputs'!$B$21))^2+('Inputs'!$B$6/2)^2)))-'Results'!C7*(1+'Inputs'!$B$24)*(0.5*((((777-43)*MAX('Inputs'!$B$33,'Inputs'!$B$29+'Inputs'!$B$31+'Inputs'!$B$32,'Inputs'!$B$30+'Inputs'!$B$31+'Inputs'!$B$32)/1000+'Inputs'!$B$21+'Inputs'!$B$7+'Inputs'!$B$10)+'Inputs'!$B$9)/SQRT((((777-43)*MAX('Inputs'!$B$33,'Inputs'!$B$29+'Inputs'!$B$31+'Inputs'!$B$32,'Inputs'!$B$30+'Inputs'!$B$31+'Inputs'!$B$32)/1000+'Inputs'!$B$21+'Inputs'!$B$7+'Inputs'!$B$10)+'Inputs'!$B$9)^2+('Inputs'!$B$8/2)^2)-(((777-43)*MAX('Inputs'!$B$33,'Inputs'!$B$29+'Inputs'!$B$31+'Inputs'!$B$32,'Inputs'!$B$30+'Inputs'!$B$31+'Inputs'!$B$32)/1000+'Inputs'!$B$21+'Inputs'!$B$7+'Inputs'!$B$10))/SQRT((((777-43)*MAX('Inputs'!$B$33,'Inputs'!$B$29+'Inputs'!$B$31+'Inputs'!$B$32,'Inputs'!$B$30+'Inputs'!$B$31+'Inputs'!$B$32)/1000+'Inputs'!$B$21+'Inputs'!$B$7+'Inputs'!$B$10))^2+('Inputs'!$B$8/2)^2))))*'Results'!$B$8))),"")</x:f>
        <x:v>0.941558328466246</x:v>
      </x:c>
      <x:c r="L777" t="n">
        <x:f>IF(AND(ISNUMBER('Results'!B7),ISNUMBER('Results'!C7),ISNUMBER('Results'!$B$8),ISNUMBER('Inputs'!$B$6),ISNUMBER('Inputs'!$B$7),ISNUMBER('Inputs'!$B$8),ISNUMBER('Inputs'!$B$9),ISNUMBER('Inputs'!$B$10),ISNUMBER('Inputs'!$B$21),ISNUMBER('Inputs'!$B$24),ISNUMBER('Inputs'!$B$28)),((('Results'!B7*(1+'Inputs'!$B$24)*(0.5*((((777-43)*MAX('Inputs'!$B$33,'Inputs'!$B$29+'Inputs'!$B$31+'Inputs'!$B$32,'Inputs'!$B$30+'Inputs'!$B$31+'Inputs'!$B$32)/1000+'Inputs'!$B$21)+'Inputs'!$B$7)/SQRT((((777-43)*MAX('Inputs'!$B$33,'Inputs'!$B$29+'Inputs'!$B$31+'Inputs'!$B$32,'Inputs'!$B$30+'Inputs'!$B$31+'Inputs'!$B$32)/1000+'Inputs'!$B$21)+'Inputs'!$B$7)^2+('Inputs'!$B$6/2)^2)-(((777-43)*MAX('Inputs'!$B$33,'Inputs'!$B$29+'Inputs'!$B$31+'Inputs'!$B$32,'Inputs'!$B$30+'Inputs'!$B$31+'Inputs'!$B$32)/1000+'Inputs'!$B$21))/SQRT((((777-43)*MAX('Inputs'!$B$33,'Inputs'!$B$29+'Inputs'!$B$31+'Inputs'!$B$32,'Inputs'!$B$30+'Inputs'!$B$31+'Inputs'!$B$32)/1000+'Inputs'!$B$21))^2+('Inputs'!$B$6/2)^2)))-'Results'!C7*(1-'Inputs'!$B$24)*(0.5*((((777-43)*MAX('Inputs'!$B$33,'Inputs'!$B$29+'Inputs'!$B$31+'Inputs'!$B$32,'Inputs'!$B$30+'Inputs'!$B$31+'Inputs'!$B$32)/1000+'Inputs'!$B$21+'Inputs'!$B$7+'Inputs'!$B$10)+'Inputs'!$B$9)/SQRT((((777-43)*MAX('Inputs'!$B$33,'Inputs'!$B$29+'Inputs'!$B$31+'Inputs'!$B$32,'Inputs'!$B$30+'Inputs'!$B$31+'Inputs'!$B$32)/1000+'Inputs'!$B$21+'Inputs'!$B$7+'Inputs'!$B$10)+'Inputs'!$B$9)^2+('Inputs'!$B$8/2)^2)-(((777-43)*MAX('Inputs'!$B$33,'Inputs'!$B$29+'Inputs'!$B$31+'Inputs'!$B$32,'Inputs'!$B$30+'Inputs'!$B$31+'Inputs'!$B$32)/1000+'Inputs'!$B$21+'Inputs'!$B$7+'Inputs'!$B$10))/SQRT((((777-43)*MAX('Inputs'!$B$33,'Inputs'!$B$29+'Inputs'!$B$31+'Inputs'!$B$32,'Inputs'!$B$30+'Inputs'!$B$31+'Inputs'!$B$32)/1000+'Inputs'!$B$21+'Inputs'!$B$7+'Inputs'!$B$10))^2+('Inputs'!$B$8/2)^2))))*'Results'!$B$8)+'Inputs'!$B$28*ABS((('Results'!B7*(1+'Inputs'!$B$24)*(0.5*((((777-43)*MAX('Inputs'!$B$33,'Inputs'!$B$29+'Inputs'!$B$31+'Inputs'!$B$32,'Inputs'!$B$30+'Inputs'!$B$31+'Inputs'!$B$32)/1000+'Inputs'!$B$21)+'Inputs'!$B$7)/SQRT((((777-43)*MAX('Inputs'!$B$33,'Inputs'!$B$29+'Inputs'!$B$31+'Inputs'!$B$32,'Inputs'!$B$30+'Inputs'!$B$31+'Inputs'!$B$32)/1000+'Inputs'!$B$21)+'Inputs'!$B$7)^2+('Inputs'!$B$6/2)^2)-(((777-43)*MAX('Inputs'!$B$33,'Inputs'!$B$29+'Inputs'!$B$31+'Inputs'!$B$32,'Inputs'!$B$30+'Inputs'!$B$31+'Inputs'!$B$32)/1000+'Inputs'!$B$21))/SQRT((((777-43)*MAX('Inputs'!$B$33,'Inputs'!$B$29+'Inputs'!$B$31+'Inputs'!$B$32,'Inputs'!$B$30+'Inputs'!$B$31+'Inputs'!$B$32)/1000+'Inputs'!$B$21))^2+('Inputs'!$B$6/2)^2)))-'Results'!C7*(1-'Inputs'!$B$24)*(0.5*((((777-43)*MAX('Inputs'!$B$33,'Inputs'!$B$29+'Inputs'!$B$31+'Inputs'!$B$32,'Inputs'!$B$30+'Inputs'!$B$31+'Inputs'!$B$32)/1000+'Inputs'!$B$21+'Inputs'!$B$7+'Inputs'!$B$10)+'Inputs'!$B$9)/SQRT((((777-43)*MAX('Inputs'!$B$33,'Inputs'!$B$29+'Inputs'!$B$31+'Inputs'!$B$32,'Inputs'!$B$30+'Inputs'!$B$31+'Inputs'!$B$32)/1000+'Inputs'!$B$21+'Inputs'!$B$7+'Inputs'!$B$10)+'Inputs'!$B$9)^2+('Inputs'!$B$8/2)^2)-(((777-43)*MAX('Inputs'!$B$33,'Inputs'!$B$29+'Inputs'!$B$31+'Inputs'!$B$32,'Inputs'!$B$30+'Inputs'!$B$31+'Inputs'!$B$32)/1000+'Inputs'!$B$21+'Inputs'!$B$7+'Inputs'!$B$10))/SQRT((((777-43)*MAX('Inputs'!$B$33,'Inputs'!$B$29+'Inputs'!$B$31+'Inputs'!$B$32,'Inputs'!$B$30+'Inputs'!$B$31+'Inputs'!$B$32)/1000+'Inputs'!$B$21+'Inputs'!$B$7+'Inputs'!$B$10))^2+('Inputs'!$B$8/2)^2))))*'Results'!$B$8))),"")</x:f>
        <x:v>1.2518141286051836</x:v>
      </x:c>
      <x:c r="M777" t="n">
        <x:f>IF(AND(ISNUMBER('Results'!C7),ISNUMBER('Results'!B7),ISNUMBER('Results'!$B$8),ISNUMBER('Inputs'!$B$6),ISNUMBER('Inputs'!$B$7),ISNUMBER('Inputs'!$B$8),ISNUMBER('Inputs'!$B$9),ISNUMBER('Inputs'!$B$10),ISNUMBER('Inputs'!$B$21),ISNUMBER('Inputs'!$B$24),ISNUMBER('Inputs'!$B$28)),(('Results'!C7*(0.5*((((777-43)*MAX('Inputs'!$B$33,'Inputs'!$B$29+'Inputs'!$B$31+'Inputs'!$B$32,'Inputs'!$B$30+'Inputs'!$B$31+'Inputs'!$B$32)/1000+'Inputs'!$B$21)+'Inputs'!$B$9)/SQRT((((777-43)*MAX('Inputs'!$B$33,'Inputs'!$B$29+'Inputs'!$B$31+'Inputs'!$B$32,'Inputs'!$B$30+'Inputs'!$B$31+'Inputs'!$B$32)/1000+'Inputs'!$B$21)+'Inputs'!$B$9)^2+('Inputs'!$B$8/2)^2)-(((777-43)*MAX('Inputs'!$B$33,'Inputs'!$B$29+'Inputs'!$B$31+'Inputs'!$B$32,'Inputs'!$B$30+'Inputs'!$B$31+'Inputs'!$B$32)/1000+'Inputs'!$B$21))/SQRT((((777-43)*MAX('Inputs'!$B$33,'Inputs'!$B$29+'Inputs'!$B$31+'Inputs'!$B$32,'Inputs'!$B$30+'Inputs'!$B$31+'Inputs'!$B$32)/1000+'Inputs'!$B$21))^2+('Inputs'!$B$8/2)^2)))-'Results'!B7*(0.5*((((777-43)*MAX('Inputs'!$B$33,'Inputs'!$B$29+'Inputs'!$B$31+'Inputs'!$B$32,'Inputs'!$B$30+'Inputs'!$B$31+'Inputs'!$B$32)/1000+'Inputs'!$B$21+'Inputs'!$B$9+'Inputs'!$B$10)+'Inputs'!$B$7)/SQRT((((777-43)*MAX('Inputs'!$B$33,'Inputs'!$B$29+'Inputs'!$B$31+'Inputs'!$B$32,'Inputs'!$B$30+'Inputs'!$B$31+'Inputs'!$B$32)/1000+'Inputs'!$B$21+'Inputs'!$B$9+'Inputs'!$B$10)+'Inputs'!$B$7)^2+('Inputs'!$B$6/2)^2)-(((777-43)*MAX('Inputs'!$B$33,'Inputs'!$B$29+'Inputs'!$B$31+'Inputs'!$B$32,'Inputs'!$B$30+'Inputs'!$B$31+'Inputs'!$B$32)/1000+'Inputs'!$B$21+'Inputs'!$B$9+'Inputs'!$B$10))/SQRT((((777-43)*MAX('Inputs'!$B$33,'Inputs'!$B$29+'Inputs'!$B$31+'Inputs'!$B$32,'Inputs'!$B$30+'Inputs'!$B$31+'Inputs'!$B$32)/1000+'Inputs'!$B$21+'Inputs'!$B$9+'Inputs'!$B$10))^2+('Inputs'!$B$6/2)^2))))*'Results'!$B$8),"")</x:f>
        <x:v>0.9903108486236478</x:v>
      </x:c>
      <x:c r="N777" t="n">
        <x:f>IF(AND(ISNUMBER('Results'!C7),ISNUMBER('Results'!B7),ISNUMBER('Results'!$B$8),ISNUMBER('Inputs'!$B$6),ISNUMBER('Inputs'!$B$7),ISNUMBER('Inputs'!$B$8),ISNUMBER('Inputs'!$B$9),ISNUMBER('Inputs'!$B$10),ISNUMBER('Inputs'!$B$21),ISNUMBER('Inputs'!$B$24),ISNUMBER('Inputs'!$B$28)),((('Results'!C7*(1-'Inputs'!$B$24)*(0.5*((((777-43)*MAX('Inputs'!$B$33,'Inputs'!$B$29+'Inputs'!$B$31+'Inputs'!$B$32,'Inputs'!$B$30+'Inputs'!$B$31+'Inputs'!$B$32)/1000+'Inputs'!$B$21)+'Inputs'!$B$9)/SQRT((((777-43)*MAX('Inputs'!$B$33,'Inputs'!$B$29+'Inputs'!$B$31+'Inputs'!$B$32,'Inputs'!$B$30+'Inputs'!$B$31+'Inputs'!$B$32)/1000+'Inputs'!$B$21)+'Inputs'!$B$9)^2+('Inputs'!$B$8/2)^2)-(((777-43)*MAX('Inputs'!$B$33,'Inputs'!$B$29+'Inputs'!$B$31+'Inputs'!$B$32,'Inputs'!$B$30+'Inputs'!$B$31+'Inputs'!$B$32)/1000+'Inputs'!$B$21))/SQRT((((777-43)*MAX('Inputs'!$B$33,'Inputs'!$B$29+'Inputs'!$B$31+'Inputs'!$B$32,'Inputs'!$B$30+'Inputs'!$B$31+'Inputs'!$B$32)/1000+'Inputs'!$B$21))^2+('Inputs'!$B$8/2)^2)))-'Results'!B7*(1+'Inputs'!$B$24)*(0.5*((((777-43)*MAX('Inputs'!$B$33,'Inputs'!$B$29+'Inputs'!$B$31+'Inputs'!$B$32,'Inputs'!$B$30+'Inputs'!$B$31+'Inputs'!$B$32)/1000+'Inputs'!$B$21+'Inputs'!$B$9+'Inputs'!$B$10)+'Inputs'!$B$7)/SQRT((((777-43)*MAX('Inputs'!$B$33,'Inputs'!$B$29+'Inputs'!$B$31+'Inputs'!$B$32,'Inputs'!$B$30+'Inputs'!$B$31+'Inputs'!$B$32)/1000+'Inputs'!$B$21+'Inputs'!$B$9+'Inputs'!$B$10)+'Inputs'!$B$7)^2+('Inputs'!$B$6/2)^2)-(((777-43)*MAX('Inputs'!$B$33,'Inputs'!$B$29+'Inputs'!$B$31+'Inputs'!$B$32,'Inputs'!$B$30+'Inputs'!$B$31+'Inputs'!$B$32)/1000+'Inputs'!$B$21+'Inputs'!$B$9+'Inputs'!$B$10))/SQRT((((777-43)*MAX('Inputs'!$B$33,'Inputs'!$B$29+'Inputs'!$B$31+'Inputs'!$B$32,'Inputs'!$B$30+'Inputs'!$B$31+'Inputs'!$B$32)/1000+'Inputs'!$B$21+'Inputs'!$B$9+'Inputs'!$B$10))^2+('Inputs'!$B$6/2)^2))))*'Results'!$B$8)-'Inputs'!$B$28*ABS((('Results'!C7*(1-'Inputs'!$B$24)*(0.5*((((777-43)*MAX('Inputs'!$B$33,'Inputs'!$B$29+'Inputs'!$B$31+'Inputs'!$B$32,'Inputs'!$B$30+'Inputs'!$B$31+'Inputs'!$B$32)/1000+'Inputs'!$B$21)+'Inputs'!$B$9)/SQRT((((777-43)*MAX('Inputs'!$B$33,'Inputs'!$B$29+'Inputs'!$B$31+'Inputs'!$B$32,'Inputs'!$B$30+'Inputs'!$B$31+'Inputs'!$B$32)/1000+'Inputs'!$B$21)+'Inputs'!$B$9)^2+('Inputs'!$B$8/2)^2)-(((777-43)*MAX('Inputs'!$B$33,'Inputs'!$B$29+'Inputs'!$B$31+'Inputs'!$B$32,'Inputs'!$B$30+'Inputs'!$B$31+'Inputs'!$B$32)/1000+'Inputs'!$B$21))/SQRT((((777-43)*MAX('Inputs'!$B$33,'Inputs'!$B$29+'Inputs'!$B$31+'Inputs'!$B$32,'Inputs'!$B$30+'Inputs'!$B$31+'Inputs'!$B$32)/1000+'Inputs'!$B$21))^2+('Inputs'!$B$8/2)^2)))-'Results'!B7*(1+'Inputs'!$B$24)*(0.5*((((777-43)*MAX('Inputs'!$B$33,'Inputs'!$B$29+'Inputs'!$B$31+'Inputs'!$B$32,'Inputs'!$B$30+'Inputs'!$B$31+'Inputs'!$B$32)/1000+'Inputs'!$B$21+'Inputs'!$B$9+'Inputs'!$B$10)+'Inputs'!$B$7)/SQRT((((777-43)*MAX('Inputs'!$B$33,'Inputs'!$B$29+'Inputs'!$B$31+'Inputs'!$B$32,'Inputs'!$B$30+'Inputs'!$B$31+'Inputs'!$B$32)/1000+'Inputs'!$B$21+'Inputs'!$B$9+'Inputs'!$B$10)+'Inputs'!$B$7)^2+('Inputs'!$B$6/2)^2)-(((777-43)*MAX('Inputs'!$B$33,'Inputs'!$B$29+'Inputs'!$B$31+'Inputs'!$B$32,'Inputs'!$B$30+'Inputs'!$B$31+'Inputs'!$B$32)/1000+'Inputs'!$B$21+'Inputs'!$B$9+'Inputs'!$B$10))/SQRT((((777-43)*MAX('Inputs'!$B$33,'Inputs'!$B$29+'Inputs'!$B$31+'Inputs'!$B$32,'Inputs'!$B$30+'Inputs'!$B$31+'Inputs'!$B$32)/1000+'Inputs'!$B$21+'Inputs'!$B$9+'Inputs'!$B$10))^2+('Inputs'!$B$6/2)^2))))*'Results'!$B$8))),"")</x:f>
        <x:v>0.8456771726905415</x:v>
      </x:c>
      <x:c r="O777" t="n">
        <x:f>IF(AND(ISNUMBER('Results'!C7),ISNUMBER('Results'!B7),ISNUMBER('Results'!$B$8),ISNUMBER('Inputs'!$B$6),ISNUMBER('Inputs'!$B$7),ISNUMBER('Inputs'!$B$8),ISNUMBER('Inputs'!$B$9),ISNUMBER('Inputs'!$B$10),ISNUMBER('Inputs'!$B$21),ISNUMBER('Inputs'!$B$24),ISNUMBER('Inputs'!$B$28)),((('Results'!C7*(1+'Inputs'!$B$24)*(0.5*((((777-43)*MAX('Inputs'!$B$33,'Inputs'!$B$29+'Inputs'!$B$31+'Inputs'!$B$32,'Inputs'!$B$30+'Inputs'!$B$31+'Inputs'!$B$32)/1000+'Inputs'!$B$21)+'Inputs'!$B$9)/SQRT((((777-43)*MAX('Inputs'!$B$33,'Inputs'!$B$29+'Inputs'!$B$31+'Inputs'!$B$32,'Inputs'!$B$30+'Inputs'!$B$31+'Inputs'!$B$32)/1000+'Inputs'!$B$21)+'Inputs'!$B$9)^2+('Inputs'!$B$8/2)^2)-(((777-43)*MAX('Inputs'!$B$33,'Inputs'!$B$29+'Inputs'!$B$31+'Inputs'!$B$32,'Inputs'!$B$30+'Inputs'!$B$31+'Inputs'!$B$32)/1000+'Inputs'!$B$21))/SQRT((((777-43)*MAX('Inputs'!$B$33,'Inputs'!$B$29+'Inputs'!$B$31+'Inputs'!$B$32,'Inputs'!$B$30+'Inputs'!$B$31+'Inputs'!$B$32)/1000+'Inputs'!$B$21))^2+('Inputs'!$B$8/2)^2)))-'Results'!B7*(1-'Inputs'!$B$24)*(0.5*((((777-43)*MAX('Inputs'!$B$33,'Inputs'!$B$29+'Inputs'!$B$31+'Inputs'!$B$32,'Inputs'!$B$30+'Inputs'!$B$31+'Inputs'!$B$32)/1000+'Inputs'!$B$21+'Inputs'!$B$9+'Inputs'!$B$10)+'Inputs'!$B$7)/SQRT((((777-43)*MAX('Inputs'!$B$33,'Inputs'!$B$29+'Inputs'!$B$31+'Inputs'!$B$32,'Inputs'!$B$30+'Inputs'!$B$31+'Inputs'!$B$32)/1000+'Inputs'!$B$21+'Inputs'!$B$9+'Inputs'!$B$10)+'Inputs'!$B$7)^2+('Inputs'!$B$6/2)^2)-(((777-43)*MAX('Inputs'!$B$33,'Inputs'!$B$29+'Inputs'!$B$31+'Inputs'!$B$32,'Inputs'!$B$30+'Inputs'!$B$31+'Inputs'!$B$32)/1000+'Inputs'!$B$21+'Inputs'!$B$9+'Inputs'!$B$10))/SQRT((((777-43)*MAX('Inputs'!$B$33,'Inputs'!$B$29+'Inputs'!$B$31+'Inputs'!$B$32,'Inputs'!$B$30+'Inputs'!$B$31+'Inputs'!$B$32)/1000+'Inputs'!$B$21+'Inputs'!$B$9+'Inputs'!$B$10))^2+('Inputs'!$B$6/2)^2))))*'Results'!$B$8)+'Inputs'!$B$28*ABS((('Results'!C7*(1+'Inputs'!$B$24)*(0.5*((((777-43)*MAX('Inputs'!$B$33,'Inputs'!$B$29+'Inputs'!$B$31+'Inputs'!$B$32,'Inputs'!$B$30+'Inputs'!$B$31+'Inputs'!$B$32)/1000+'Inputs'!$B$21)+'Inputs'!$B$9)/SQRT((((777-43)*MAX('Inputs'!$B$33,'Inputs'!$B$29+'Inputs'!$B$31+'Inputs'!$B$32,'Inputs'!$B$30+'Inputs'!$B$31+'Inputs'!$B$32)/1000+'Inputs'!$B$21)+'Inputs'!$B$9)^2+('Inputs'!$B$8/2)^2)-(((777-43)*MAX('Inputs'!$B$33,'Inputs'!$B$29+'Inputs'!$B$31+'Inputs'!$B$32,'Inputs'!$B$30+'Inputs'!$B$31+'Inputs'!$B$32)/1000+'Inputs'!$B$21))/SQRT((((777-43)*MAX('Inputs'!$B$33,'Inputs'!$B$29+'Inputs'!$B$31+'Inputs'!$B$32,'Inputs'!$B$30+'Inputs'!$B$31+'Inputs'!$B$32)/1000+'Inputs'!$B$21))^2+('Inputs'!$B$8/2)^2)))-'Results'!B7*(1-'Inputs'!$B$24)*(0.5*((((777-43)*MAX('Inputs'!$B$33,'Inputs'!$B$29+'Inputs'!$B$31+'Inputs'!$B$32,'Inputs'!$B$30+'Inputs'!$B$31+'Inputs'!$B$32)/1000+'Inputs'!$B$21+'Inputs'!$B$9+'Inputs'!$B$10)+'Inputs'!$B$7)/SQRT((((777-43)*MAX('Inputs'!$B$33,'Inputs'!$B$29+'Inputs'!$B$31+'Inputs'!$B$32,'Inputs'!$B$30+'Inputs'!$B$31+'Inputs'!$B$32)/1000+'Inputs'!$B$21+'Inputs'!$B$9+'Inputs'!$B$10)+'Inputs'!$B$7)^2+('Inputs'!$B$6/2)^2)-(((777-43)*MAX('Inputs'!$B$33,'Inputs'!$B$29+'Inputs'!$B$31+'Inputs'!$B$32,'Inputs'!$B$30+'Inputs'!$B$31+'Inputs'!$B$32)/1000+'Inputs'!$B$21+'Inputs'!$B$9+'Inputs'!$B$10))/SQRT((((777-43)*MAX('Inputs'!$B$33,'Inputs'!$B$29+'Inputs'!$B$31+'Inputs'!$B$32,'Inputs'!$B$30+'Inputs'!$B$31+'Inputs'!$B$32)/1000+'Inputs'!$B$21+'Inputs'!$B$9+'Inputs'!$B$10))^2+('Inputs'!$B$6/2)^2))))*'Results'!$B$8))),"")</x:f>
        <x:v>1.144956959662219</x:v>
      </x:c>
      <x:c r="P777" t="n">
        <x:f>IF(AND(MAX(J777,J776)&gt;0,J777&gt;J776+0.00000001),1,0)</x:f>
        <x:v>0</x:v>
      </x:c>
      <x:c r="Q777" t="n">
        <x:f>IF(AND(MAX(K777,K776)&gt;0,K777&gt;K776+0.00000001),1,0)</x:f>
        <x:v>0</x:v>
      </x:c>
      <x:c r="R777" t="n">
        <x:f>IF(AND(MAX(L777,L776)&gt;0,L777&gt;L776+0.00000001),1,0)</x:f>
        <x:v>0</x:v>
      </x:c>
      <x:c r="S777" t="n">
        <x:f>IF(AND(MAX(M777,M776)&gt;0,M777&gt;M776+0.00000001),1,0)</x:f>
        <x:v>0</x:v>
      </x:c>
      <x:c r="T777" t="n">
        <x:f>IF(AND(MAX(N777,N776)&gt;0,N777&gt;N776+0.00000001),1,0)</x:f>
        <x:v>0</x:v>
      </x:c>
      <x:c r="U777" t="n">
        <x:f>IF(AND(MAX(O777,O776)&gt;0,O777&gt;O776+0.00000001),1,0)</x:f>
        <x:v>0</x:v>
      </x:c>
    </x:row>
    <x:row r="778">
      <x:c r="J778" t="n">
        <x:f>IF(AND(ISNUMBER('Results'!B7),ISNUMBER('Results'!C7),ISNUMBER('Results'!$B$8),ISNUMBER('Inputs'!$B$6),ISNUMBER('Inputs'!$B$7),ISNUMBER('Inputs'!$B$8),ISNUMBER('Inputs'!$B$9),ISNUMBER('Inputs'!$B$10),ISNUMBER('Inputs'!$B$21),ISNUMBER('Inputs'!$B$24),ISNUMBER('Inputs'!$B$28)),(('Results'!B7*(0.5*((((778-43)*MAX('Inputs'!$B$33,'Inputs'!$B$29+'Inputs'!$B$31+'Inputs'!$B$32,'Inputs'!$B$30+'Inputs'!$B$31+'Inputs'!$B$32)/1000+'Inputs'!$B$21)+'Inputs'!$B$7)/SQRT((((778-43)*MAX('Inputs'!$B$33,'Inputs'!$B$29+'Inputs'!$B$31+'Inputs'!$B$32,'Inputs'!$B$30+'Inputs'!$B$31+'Inputs'!$B$32)/1000+'Inputs'!$B$21)+'Inputs'!$B$7)^2+('Inputs'!$B$6/2)^2)-(((778-43)*MAX('Inputs'!$B$33,'Inputs'!$B$29+'Inputs'!$B$31+'Inputs'!$B$32,'Inputs'!$B$30+'Inputs'!$B$31+'Inputs'!$B$32)/1000+'Inputs'!$B$21))/SQRT((((778-43)*MAX('Inputs'!$B$33,'Inputs'!$B$29+'Inputs'!$B$31+'Inputs'!$B$32,'Inputs'!$B$30+'Inputs'!$B$31+'Inputs'!$B$32)/1000+'Inputs'!$B$21))^2+('Inputs'!$B$6/2)^2)))-'Results'!C7*(0.5*((((778-43)*MAX('Inputs'!$B$33,'Inputs'!$B$29+'Inputs'!$B$31+'Inputs'!$B$32,'Inputs'!$B$30+'Inputs'!$B$31+'Inputs'!$B$32)/1000+'Inputs'!$B$21+'Inputs'!$B$7+'Inputs'!$B$10)+'Inputs'!$B$9)/SQRT((((778-43)*MAX('Inputs'!$B$33,'Inputs'!$B$29+'Inputs'!$B$31+'Inputs'!$B$32,'Inputs'!$B$30+'Inputs'!$B$31+'Inputs'!$B$32)/1000+'Inputs'!$B$21+'Inputs'!$B$7+'Inputs'!$B$10)+'Inputs'!$B$9)^2+('Inputs'!$B$8/2)^2)-(((778-43)*MAX('Inputs'!$B$33,'Inputs'!$B$29+'Inputs'!$B$31+'Inputs'!$B$32,'Inputs'!$B$30+'Inputs'!$B$31+'Inputs'!$B$32)/1000+'Inputs'!$B$21+'Inputs'!$B$7+'Inputs'!$B$10))/SQRT((((778-43)*MAX('Inputs'!$B$33,'Inputs'!$B$29+'Inputs'!$B$31+'Inputs'!$B$32,'Inputs'!$B$30+'Inputs'!$B$31+'Inputs'!$B$32)/1000+'Inputs'!$B$21+'Inputs'!$B$7+'Inputs'!$B$10))^2+('Inputs'!$B$8/2)^2))))*'Results'!$B$8),"")</x:f>
        <x:v>1.0863677448510272</x:v>
      </x:c>
      <x:c r="K778" t="n">
        <x:f>IF(AND(ISNUMBER('Results'!B7),ISNUMBER('Results'!C7),ISNUMBER('Results'!$B$8),ISNUMBER('Inputs'!$B$6),ISNUMBER('Inputs'!$B$7),ISNUMBER('Inputs'!$B$8),ISNUMBER('Inputs'!$B$9),ISNUMBER('Inputs'!$B$10),ISNUMBER('Inputs'!$B$21),ISNUMBER('Inputs'!$B$24),ISNUMBER('Inputs'!$B$28)),((('Results'!B7*(1-'Inputs'!$B$24)*(0.5*((((778-43)*MAX('Inputs'!$B$33,'Inputs'!$B$29+'Inputs'!$B$31+'Inputs'!$B$32,'Inputs'!$B$30+'Inputs'!$B$31+'Inputs'!$B$32)/1000+'Inputs'!$B$21)+'Inputs'!$B$7)/SQRT((((778-43)*MAX('Inputs'!$B$33,'Inputs'!$B$29+'Inputs'!$B$31+'Inputs'!$B$32,'Inputs'!$B$30+'Inputs'!$B$31+'Inputs'!$B$32)/1000+'Inputs'!$B$21)+'Inputs'!$B$7)^2+('Inputs'!$B$6/2)^2)-(((778-43)*MAX('Inputs'!$B$33,'Inputs'!$B$29+'Inputs'!$B$31+'Inputs'!$B$32,'Inputs'!$B$30+'Inputs'!$B$31+'Inputs'!$B$32)/1000+'Inputs'!$B$21))/SQRT((((778-43)*MAX('Inputs'!$B$33,'Inputs'!$B$29+'Inputs'!$B$31+'Inputs'!$B$32,'Inputs'!$B$30+'Inputs'!$B$31+'Inputs'!$B$32)/1000+'Inputs'!$B$21))^2+('Inputs'!$B$6/2)^2)))-'Results'!C7*(1+'Inputs'!$B$24)*(0.5*((((778-43)*MAX('Inputs'!$B$33,'Inputs'!$B$29+'Inputs'!$B$31+'Inputs'!$B$32,'Inputs'!$B$30+'Inputs'!$B$31+'Inputs'!$B$32)/1000+'Inputs'!$B$21+'Inputs'!$B$7+'Inputs'!$B$10)+'Inputs'!$B$9)/SQRT((((778-43)*MAX('Inputs'!$B$33,'Inputs'!$B$29+'Inputs'!$B$31+'Inputs'!$B$32,'Inputs'!$B$30+'Inputs'!$B$31+'Inputs'!$B$32)/1000+'Inputs'!$B$21+'Inputs'!$B$7+'Inputs'!$B$10)+'Inputs'!$B$9)^2+('Inputs'!$B$8/2)^2)-(((778-43)*MAX('Inputs'!$B$33,'Inputs'!$B$29+'Inputs'!$B$31+'Inputs'!$B$32,'Inputs'!$B$30+'Inputs'!$B$31+'Inputs'!$B$32)/1000+'Inputs'!$B$21+'Inputs'!$B$7+'Inputs'!$B$10))/SQRT((((778-43)*MAX('Inputs'!$B$33,'Inputs'!$B$29+'Inputs'!$B$31+'Inputs'!$B$32,'Inputs'!$B$30+'Inputs'!$B$31+'Inputs'!$B$32)/1000+'Inputs'!$B$21+'Inputs'!$B$7+'Inputs'!$B$10))^2+('Inputs'!$B$8/2)^2))))*'Results'!$B$8)-'Inputs'!$B$28*ABS((('Results'!B7*(1-'Inputs'!$B$24)*(0.5*((((778-43)*MAX('Inputs'!$B$33,'Inputs'!$B$29+'Inputs'!$B$31+'Inputs'!$B$32,'Inputs'!$B$30+'Inputs'!$B$31+'Inputs'!$B$32)/1000+'Inputs'!$B$21)+'Inputs'!$B$7)/SQRT((((778-43)*MAX('Inputs'!$B$33,'Inputs'!$B$29+'Inputs'!$B$31+'Inputs'!$B$32,'Inputs'!$B$30+'Inputs'!$B$31+'Inputs'!$B$32)/1000+'Inputs'!$B$21)+'Inputs'!$B$7)^2+('Inputs'!$B$6/2)^2)-(((778-43)*MAX('Inputs'!$B$33,'Inputs'!$B$29+'Inputs'!$B$31+'Inputs'!$B$32,'Inputs'!$B$30+'Inputs'!$B$31+'Inputs'!$B$32)/1000+'Inputs'!$B$21))/SQRT((((778-43)*MAX('Inputs'!$B$33,'Inputs'!$B$29+'Inputs'!$B$31+'Inputs'!$B$32,'Inputs'!$B$30+'Inputs'!$B$31+'Inputs'!$B$32)/1000+'Inputs'!$B$21))^2+('Inputs'!$B$6/2)^2)))-'Results'!C7*(1+'Inputs'!$B$24)*(0.5*((((778-43)*MAX('Inputs'!$B$33,'Inputs'!$B$29+'Inputs'!$B$31+'Inputs'!$B$32,'Inputs'!$B$30+'Inputs'!$B$31+'Inputs'!$B$32)/1000+'Inputs'!$B$21+'Inputs'!$B$7+'Inputs'!$B$10)+'Inputs'!$B$9)/SQRT((((778-43)*MAX('Inputs'!$B$33,'Inputs'!$B$29+'Inputs'!$B$31+'Inputs'!$B$32,'Inputs'!$B$30+'Inputs'!$B$31+'Inputs'!$B$32)/1000+'Inputs'!$B$21+'Inputs'!$B$7+'Inputs'!$B$10)+'Inputs'!$B$9)^2+('Inputs'!$B$8/2)^2)-(((778-43)*MAX('Inputs'!$B$33,'Inputs'!$B$29+'Inputs'!$B$31+'Inputs'!$B$32,'Inputs'!$B$30+'Inputs'!$B$31+'Inputs'!$B$32)/1000+'Inputs'!$B$21+'Inputs'!$B$7+'Inputs'!$B$10))/SQRT((((778-43)*MAX('Inputs'!$B$33,'Inputs'!$B$29+'Inputs'!$B$31+'Inputs'!$B$32,'Inputs'!$B$30+'Inputs'!$B$31+'Inputs'!$B$32)/1000+'Inputs'!$B$21+'Inputs'!$B$7+'Inputs'!$B$10))^2+('Inputs'!$B$8/2)^2))))*'Results'!$B$8))),"")</x:f>
        <x:v>0.9368879229354417</x:v>
      </x:c>
      <x:c r="L778" t="n">
        <x:f>IF(AND(ISNUMBER('Results'!B7),ISNUMBER('Results'!C7),ISNUMBER('Results'!$B$8),ISNUMBER('Inputs'!$B$6),ISNUMBER('Inputs'!$B$7),ISNUMBER('Inputs'!$B$8),ISNUMBER('Inputs'!$B$9),ISNUMBER('Inputs'!$B$10),ISNUMBER('Inputs'!$B$21),ISNUMBER('Inputs'!$B$24),ISNUMBER('Inputs'!$B$28)),((('Results'!B7*(1+'Inputs'!$B$24)*(0.5*((((778-43)*MAX('Inputs'!$B$33,'Inputs'!$B$29+'Inputs'!$B$31+'Inputs'!$B$32,'Inputs'!$B$30+'Inputs'!$B$31+'Inputs'!$B$32)/1000+'Inputs'!$B$21)+'Inputs'!$B$7)/SQRT((((778-43)*MAX('Inputs'!$B$33,'Inputs'!$B$29+'Inputs'!$B$31+'Inputs'!$B$32,'Inputs'!$B$30+'Inputs'!$B$31+'Inputs'!$B$32)/1000+'Inputs'!$B$21)+'Inputs'!$B$7)^2+('Inputs'!$B$6/2)^2)-(((778-43)*MAX('Inputs'!$B$33,'Inputs'!$B$29+'Inputs'!$B$31+'Inputs'!$B$32,'Inputs'!$B$30+'Inputs'!$B$31+'Inputs'!$B$32)/1000+'Inputs'!$B$21))/SQRT((((778-43)*MAX('Inputs'!$B$33,'Inputs'!$B$29+'Inputs'!$B$31+'Inputs'!$B$32,'Inputs'!$B$30+'Inputs'!$B$31+'Inputs'!$B$32)/1000+'Inputs'!$B$21))^2+('Inputs'!$B$6/2)^2)))-'Results'!C7*(1-'Inputs'!$B$24)*(0.5*((((778-43)*MAX('Inputs'!$B$33,'Inputs'!$B$29+'Inputs'!$B$31+'Inputs'!$B$32,'Inputs'!$B$30+'Inputs'!$B$31+'Inputs'!$B$32)/1000+'Inputs'!$B$21+'Inputs'!$B$7+'Inputs'!$B$10)+'Inputs'!$B$9)/SQRT((((778-43)*MAX('Inputs'!$B$33,'Inputs'!$B$29+'Inputs'!$B$31+'Inputs'!$B$32,'Inputs'!$B$30+'Inputs'!$B$31+'Inputs'!$B$32)/1000+'Inputs'!$B$21+'Inputs'!$B$7+'Inputs'!$B$10)+'Inputs'!$B$9)^2+('Inputs'!$B$8/2)^2)-(((778-43)*MAX('Inputs'!$B$33,'Inputs'!$B$29+'Inputs'!$B$31+'Inputs'!$B$32,'Inputs'!$B$30+'Inputs'!$B$31+'Inputs'!$B$32)/1000+'Inputs'!$B$21+'Inputs'!$B$7+'Inputs'!$B$10))/SQRT((((778-43)*MAX('Inputs'!$B$33,'Inputs'!$B$29+'Inputs'!$B$31+'Inputs'!$B$32,'Inputs'!$B$30+'Inputs'!$B$31+'Inputs'!$B$32)/1000+'Inputs'!$B$21+'Inputs'!$B$7+'Inputs'!$B$10))^2+('Inputs'!$B$8/2)^2))))*'Results'!$B$8)+'Inputs'!$B$28*ABS((('Results'!B7*(1+'Inputs'!$B$24)*(0.5*((((778-43)*MAX('Inputs'!$B$33,'Inputs'!$B$29+'Inputs'!$B$31+'Inputs'!$B$32,'Inputs'!$B$30+'Inputs'!$B$31+'Inputs'!$B$32)/1000+'Inputs'!$B$21)+'Inputs'!$B$7)/SQRT((((778-43)*MAX('Inputs'!$B$33,'Inputs'!$B$29+'Inputs'!$B$31+'Inputs'!$B$32,'Inputs'!$B$30+'Inputs'!$B$31+'Inputs'!$B$32)/1000+'Inputs'!$B$21)+'Inputs'!$B$7)^2+('Inputs'!$B$6/2)^2)-(((778-43)*MAX('Inputs'!$B$33,'Inputs'!$B$29+'Inputs'!$B$31+'Inputs'!$B$32,'Inputs'!$B$30+'Inputs'!$B$31+'Inputs'!$B$32)/1000+'Inputs'!$B$21))/SQRT((((778-43)*MAX('Inputs'!$B$33,'Inputs'!$B$29+'Inputs'!$B$31+'Inputs'!$B$32,'Inputs'!$B$30+'Inputs'!$B$31+'Inputs'!$B$32)/1000+'Inputs'!$B$21))^2+('Inputs'!$B$6/2)^2)))-'Results'!C7*(1-'Inputs'!$B$24)*(0.5*((((778-43)*MAX('Inputs'!$B$33,'Inputs'!$B$29+'Inputs'!$B$31+'Inputs'!$B$32,'Inputs'!$B$30+'Inputs'!$B$31+'Inputs'!$B$32)/1000+'Inputs'!$B$21+'Inputs'!$B$7+'Inputs'!$B$10)+'Inputs'!$B$9)/SQRT((((778-43)*MAX('Inputs'!$B$33,'Inputs'!$B$29+'Inputs'!$B$31+'Inputs'!$B$32,'Inputs'!$B$30+'Inputs'!$B$31+'Inputs'!$B$32)/1000+'Inputs'!$B$21+'Inputs'!$B$7+'Inputs'!$B$10)+'Inputs'!$B$9)^2+('Inputs'!$B$8/2)^2)-(((778-43)*MAX('Inputs'!$B$33,'Inputs'!$B$29+'Inputs'!$B$31+'Inputs'!$B$32,'Inputs'!$B$30+'Inputs'!$B$31+'Inputs'!$B$32)/1000+'Inputs'!$B$21+'Inputs'!$B$7+'Inputs'!$B$10))/SQRT((((778-43)*MAX('Inputs'!$B$33,'Inputs'!$B$29+'Inputs'!$B$31+'Inputs'!$B$32,'Inputs'!$B$30+'Inputs'!$B$31+'Inputs'!$B$32)/1000+'Inputs'!$B$21+'Inputs'!$B$7+'Inputs'!$B$10))^2+('Inputs'!$B$8/2)^2))))*'Results'!$B$8))),"")</x:f>
        <x:v>1.2458645598900897</x:v>
      </x:c>
      <x:c r="M778" t="n">
        <x:f>IF(AND(ISNUMBER('Results'!C7),ISNUMBER('Results'!B7),ISNUMBER('Results'!$B$8),ISNUMBER('Inputs'!$B$6),ISNUMBER('Inputs'!$B$7),ISNUMBER('Inputs'!$B$8),ISNUMBER('Inputs'!$B$9),ISNUMBER('Inputs'!$B$10),ISNUMBER('Inputs'!$B$21),ISNUMBER('Inputs'!$B$24),ISNUMBER('Inputs'!$B$28)),(('Results'!C7*(0.5*((((778-43)*MAX('Inputs'!$B$33,'Inputs'!$B$29+'Inputs'!$B$31+'Inputs'!$B$32,'Inputs'!$B$30+'Inputs'!$B$31+'Inputs'!$B$32)/1000+'Inputs'!$B$21)+'Inputs'!$B$9)/SQRT((((778-43)*MAX('Inputs'!$B$33,'Inputs'!$B$29+'Inputs'!$B$31+'Inputs'!$B$32,'Inputs'!$B$30+'Inputs'!$B$31+'Inputs'!$B$32)/1000+'Inputs'!$B$21)+'Inputs'!$B$9)^2+('Inputs'!$B$8/2)^2)-(((778-43)*MAX('Inputs'!$B$33,'Inputs'!$B$29+'Inputs'!$B$31+'Inputs'!$B$32,'Inputs'!$B$30+'Inputs'!$B$31+'Inputs'!$B$32)/1000+'Inputs'!$B$21))/SQRT((((778-43)*MAX('Inputs'!$B$33,'Inputs'!$B$29+'Inputs'!$B$31+'Inputs'!$B$32,'Inputs'!$B$30+'Inputs'!$B$31+'Inputs'!$B$32)/1000+'Inputs'!$B$21))^2+('Inputs'!$B$8/2)^2)))-'Results'!B7*(0.5*((((778-43)*MAX('Inputs'!$B$33,'Inputs'!$B$29+'Inputs'!$B$31+'Inputs'!$B$32,'Inputs'!$B$30+'Inputs'!$B$31+'Inputs'!$B$32)/1000+'Inputs'!$B$21+'Inputs'!$B$9+'Inputs'!$B$10)+'Inputs'!$B$7)/SQRT((((778-43)*MAX('Inputs'!$B$33,'Inputs'!$B$29+'Inputs'!$B$31+'Inputs'!$B$32,'Inputs'!$B$30+'Inputs'!$B$31+'Inputs'!$B$32)/1000+'Inputs'!$B$21+'Inputs'!$B$9+'Inputs'!$B$10)+'Inputs'!$B$7)^2+('Inputs'!$B$6/2)^2)-(((778-43)*MAX('Inputs'!$B$33,'Inputs'!$B$29+'Inputs'!$B$31+'Inputs'!$B$32,'Inputs'!$B$30+'Inputs'!$B$31+'Inputs'!$B$32)/1000+'Inputs'!$B$21+'Inputs'!$B$9+'Inputs'!$B$10))/SQRT((((778-43)*MAX('Inputs'!$B$33,'Inputs'!$B$29+'Inputs'!$B$31+'Inputs'!$B$32,'Inputs'!$B$30+'Inputs'!$B$31+'Inputs'!$B$32)/1000+'Inputs'!$B$21+'Inputs'!$B$9+'Inputs'!$B$10))^2+('Inputs'!$B$6/2)^2))))*'Results'!$B$8),"")</x:f>
        <x:v>0.9853973791638283</x:v>
      </x:c>
      <x:c r="N778" t="n">
        <x:f>IF(AND(ISNUMBER('Results'!C7),ISNUMBER('Results'!B7),ISNUMBER('Results'!$B$8),ISNUMBER('Inputs'!$B$6),ISNUMBER('Inputs'!$B$7),ISNUMBER('Inputs'!$B$8),ISNUMBER('Inputs'!$B$9),ISNUMBER('Inputs'!$B$10),ISNUMBER('Inputs'!$B$21),ISNUMBER('Inputs'!$B$24),ISNUMBER('Inputs'!$B$28)),((('Results'!C7*(1-'Inputs'!$B$24)*(0.5*((((778-43)*MAX('Inputs'!$B$33,'Inputs'!$B$29+'Inputs'!$B$31+'Inputs'!$B$32,'Inputs'!$B$30+'Inputs'!$B$31+'Inputs'!$B$32)/1000+'Inputs'!$B$21)+'Inputs'!$B$9)/SQRT((((778-43)*MAX('Inputs'!$B$33,'Inputs'!$B$29+'Inputs'!$B$31+'Inputs'!$B$32,'Inputs'!$B$30+'Inputs'!$B$31+'Inputs'!$B$32)/1000+'Inputs'!$B$21)+'Inputs'!$B$9)^2+('Inputs'!$B$8/2)^2)-(((778-43)*MAX('Inputs'!$B$33,'Inputs'!$B$29+'Inputs'!$B$31+'Inputs'!$B$32,'Inputs'!$B$30+'Inputs'!$B$31+'Inputs'!$B$32)/1000+'Inputs'!$B$21))/SQRT((((778-43)*MAX('Inputs'!$B$33,'Inputs'!$B$29+'Inputs'!$B$31+'Inputs'!$B$32,'Inputs'!$B$30+'Inputs'!$B$31+'Inputs'!$B$32)/1000+'Inputs'!$B$21))^2+('Inputs'!$B$8/2)^2)))-'Results'!B7*(1+'Inputs'!$B$24)*(0.5*((((778-43)*MAX('Inputs'!$B$33,'Inputs'!$B$29+'Inputs'!$B$31+'Inputs'!$B$32,'Inputs'!$B$30+'Inputs'!$B$31+'Inputs'!$B$32)/1000+'Inputs'!$B$21+'Inputs'!$B$9+'Inputs'!$B$10)+'Inputs'!$B$7)/SQRT((((778-43)*MAX('Inputs'!$B$33,'Inputs'!$B$29+'Inputs'!$B$31+'Inputs'!$B$32,'Inputs'!$B$30+'Inputs'!$B$31+'Inputs'!$B$32)/1000+'Inputs'!$B$21+'Inputs'!$B$9+'Inputs'!$B$10)+'Inputs'!$B$7)^2+('Inputs'!$B$6/2)^2)-(((778-43)*MAX('Inputs'!$B$33,'Inputs'!$B$29+'Inputs'!$B$31+'Inputs'!$B$32,'Inputs'!$B$30+'Inputs'!$B$31+'Inputs'!$B$32)/1000+'Inputs'!$B$21+'Inputs'!$B$9+'Inputs'!$B$10))/SQRT((((778-43)*MAX('Inputs'!$B$33,'Inputs'!$B$29+'Inputs'!$B$31+'Inputs'!$B$32,'Inputs'!$B$30+'Inputs'!$B$31+'Inputs'!$B$32)/1000+'Inputs'!$B$21+'Inputs'!$B$9+'Inputs'!$B$10))^2+('Inputs'!$B$6/2)^2))))*'Results'!$B$8)-'Inputs'!$B$28*ABS((('Results'!C7*(1-'Inputs'!$B$24)*(0.5*((((778-43)*MAX('Inputs'!$B$33,'Inputs'!$B$29+'Inputs'!$B$31+'Inputs'!$B$32,'Inputs'!$B$30+'Inputs'!$B$31+'Inputs'!$B$32)/1000+'Inputs'!$B$21)+'Inputs'!$B$9)/SQRT((((778-43)*MAX('Inputs'!$B$33,'Inputs'!$B$29+'Inputs'!$B$31+'Inputs'!$B$32,'Inputs'!$B$30+'Inputs'!$B$31+'Inputs'!$B$32)/1000+'Inputs'!$B$21)+'Inputs'!$B$9)^2+('Inputs'!$B$8/2)^2)-(((778-43)*MAX('Inputs'!$B$33,'Inputs'!$B$29+'Inputs'!$B$31+'Inputs'!$B$32,'Inputs'!$B$30+'Inputs'!$B$31+'Inputs'!$B$32)/1000+'Inputs'!$B$21))/SQRT((((778-43)*MAX('Inputs'!$B$33,'Inputs'!$B$29+'Inputs'!$B$31+'Inputs'!$B$32,'Inputs'!$B$30+'Inputs'!$B$31+'Inputs'!$B$32)/1000+'Inputs'!$B$21))^2+('Inputs'!$B$8/2)^2)))-'Results'!B7*(1+'Inputs'!$B$24)*(0.5*((((778-43)*MAX('Inputs'!$B$33,'Inputs'!$B$29+'Inputs'!$B$31+'Inputs'!$B$32,'Inputs'!$B$30+'Inputs'!$B$31+'Inputs'!$B$32)/1000+'Inputs'!$B$21+'Inputs'!$B$9+'Inputs'!$B$10)+'Inputs'!$B$7)/SQRT((((778-43)*MAX('Inputs'!$B$33,'Inputs'!$B$29+'Inputs'!$B$31+'Inputs'!$B$32,'Inputs'!$B$30+'Inputs'!$B$31+'Inputs'!$B$32)/1000+'Inputs'!$B$21+'Inputs'!$B$9+'Inputs'!$B$10)+'Inputs'!$B$7)^2+('Inputs'!$B$6/2)^2)-(((778-43)*MAX('Inputs'!$B$33,'Inputs'!$B$29+'Inputs'!$B$31+'Inputs'!$B$32,'Inputs'!$B$30+'Inputs'!$B$31+'Inputs'!$B$32)/1000+'Inputs'!$B$21+'Inputs'!$B$9+'Inputs'!$B$10))/SQRT((((778-43)*MAX('Inputs'!$B$33,'Inputs'!$B$29+'Inputs'!$B$31+'Inputs'!$B$32,'Inputs'!$B$30+'Inputs'!$B$31+'Inputs'!$B$32)/1000+'Inputs'!$B$21+'Inputs'!$B$9+'Inputs'!$B$10))^2+('Inputs'!$B$6/2)^2))))*'Results'!$B$8))),"")</x:f>
        <x:v>0.84136368702105</x:v>
      </x:c>
      <x:c r="O778" t="n">
        <x:f>IF(AND(ISNUMBER('Results'!C7),ISNUMBER('Results'!B7),ISNUMBER('Results'!$B$8),ISNUMBER('Inputs'!$B$6),ISNUMBER('Inputs'!$B$7),ISNUMBER('Inputs'!$B$8),ISNUMBER('Inputs'!$B$9),ISNUMBER('Inputs'!$B$10),ISNUMBER('Inputs'!$B$21),ISNUMBER('Inputs'!$B$24),ISNUMBER('Inputs'!$B$28)),((('Results'!C7*(1+'Inputs'!$B$24)*(0.5*((((778-43)*MAX('Inputs'!$B$33,'Inputs'!$B$29+'Inputs'!$B$31+'Inputs'!$B$32,'Inputs'!$B$30+'Inputs'!$B$31+'Inputs'!$B$32)/1000+'Inputs'!$B$21)+'Inputs'!$B$9)/SQRT((((778-43)*MAX('Inputs'!$B$33,'Inputs'!$B$29+'Inputs'!$B$31+'Inputs'!$B$32,'Inputs'!$B$30+'Inputs'!$B$31+'Inputs'!$B$32)/1000+'Inputs'!$B$21)+'Inputs'!$B$9)^2+('Inputs'!$B$8/2)^2)-(((778-43)*MAX('Inputs'!$B$33,'Inputs'!$B$29+'Inputs'!$B$31+'Inputs'!$B$32,'Inputs'!$B$30+'Inputs'!$B$31+'Inputs'!$B$32)/1000+'Inputs'!$B$21))/SQRT((((778-43)*MAX('Inputs'!$B$33,'Inputs'!$B$29+'Inputs'!$B$31+'Inputs'!$B$32,'Inputs'!$B$30+'Inputs'!$B$31+'Inputs'!$B$32)/1000+'Inputs'!$B$21))^2+('Inputs'!$B$8/2)^2)))-'Results'!B7*(1-'Inputs'!$B$24)*(0.5*((((778-43)*MAX('Inputs'!$B$33,'Inputs'!$B$29+'Inputs'!$B$31+'Inputs'!$B$32,'Inputs'!$B$30+'Inputs'!$B$31+'Inputs'!$B$32)/1000+'Inputs'!$B$21+'Inputs'!$B$9+'Inputs'!$B$10)+'Inputs'!$B$7)/SQRT((((778-43)*MAX('Inputs'!$B$33,'Inputs'!$B$29+'Inputs'!$B$31+'Inputs'!$B$32,'Inputs'!$B$30+'Inputs'!$B$31+'Inputs'!$B$32)/1000+'Inputs'!$B$21+'Inputs'!$B$9+'Inputs'!$B$10)+'Inputs'!$B$7)^2+('Inputs'!$B$6/2)^2)-(((778-43)*MAX('Inputs'!$B$33,'Inputs'!$B$29+'Inputs'!$B$31+'Inputs'!$B$32,'Inputs'!$B$30+'Inputs'!$B$31+'Inputs'!$B$32)/1000+'Inputs'!$B$21+'Inputs'!$B$9+'Inputs'!$B$10))/SQRT((((778-43)*MAX('Inputs'!$B$33,'Inputs'!$B$29+'Inputs'!$B$31+'Inputs'!$B$32,'Inputs'!$B$30+'Inputs'!$B$31+'Inputs'!$B$32)/1000+'Inputs'!$B$21+'Inputs'!$B$9+'Inputs'!$B$10))^2+('Inputs'!$B$6/2)^2))))*'Results'!$B$8)+'Inputs'!$B$28*ABS((('Results'!C7*(1+'Inputs'!$B$24)*(0.5*((((778-43)*MAX('Inputs'!$B$33,'Inputs'!$B$29+'Inputs'!$B$31+'Inputs'!$B$32,'Inputs'!$B$30+'Inputs'!$B$31+'Inputs'!$B$32)/1000+'Inputs'!$B$21)+'Inputs'!$B$9)/SQRT((((778-43)*MAX('Inputs'!$B$33,'Inputs'!$B$29+'Inputs'!$B$31+'Inputs'!$B$32,'Inputs'!$B$30+'Inputs'!$B$31+'Inputs'!$B$32)/1000+'Inputs'!$B$21)+'Inputs'!$B$9)^2+('Inputs'!$B$8/2)^2)-(((778-43)*MAX('Inputs'!$B$33,'Inputs'!$B$29+'Inputs'!$B$31+'Inputs'!$B$32,'Inputs'!$B$30+'Inputs'!$B$31+'Inputs'!$B$32)/1000+'Inputs'!$B$21))/SQRT((((778-43)*MAX('Inputs'!$B$33,'Inputs'!$B$29+'Inputs'!$B$31+'Inputs'!$B$32,'Inputs'!$B$30+'Inputs'!$B$31+'Inputs'!$B$32)/1000+'Inputs'!$B$21))^2+('Inputs'!$B$8/2)^2)))-'Results'!B7*(1-'Inputs'!$B$24)*(0.5*((((778-43)*MAX('Inputs'!$B$33,'Inputs'!$B$29+'Inputs'!$B$31+'Inputs'!$B$32,'Inputs'!$B$30+'Inputs'!$B$31+'Inputs'!$B$32)/1000+'Inputs'!$B$21+'Inputs'!$B$9+'Inputs'!$B$10)+'Inputs'!$B$7)/SQRT((((778-43)*MAX('Inputs'!$B$33,'Inputs'!$B$29+'Inputs'!$B$31+'Inputs'!$B$32,'Inputs'!$B$30+'Inputs'!$B$31+'Inputs'!$B$32)/1000+'Inputs'!$B$21+'Inputs'!$B$9+'Inputs'!$B$10)+'Inputs'!$B$7)^2+('Inputs'!$B$6/2)^2)-(((778-43)*MAX('Inputs'!$B$33,'Inputs'!$B$29+'Inputs'!$B$31+'Inputs'!$B$32,'Inputs'!$B$30+'Inputs'!$B$31+'Inputs'!$B$32)/1000+'Inputs'!$B$21+'Inputs'!$B$9+'Inputs'!$B$10))/SQRT((((778-43)*MAX('Inputs'!$B$33,'Inputs'!$B$29+'Inputs'!$B$31+'Inputs'!$B$32,'Inputs'!$B$30+'Inputs'!$B$31+'Inputs'!$B$32)/1000+'Inputs'!$B$21+'Inputs'!$B$9+'Inputs'!$B$10))^2+('Inputs'!$B$6/2)^2))))*'Results'!$B$8))),"")</x:f>
        <x:v>1.1394062105891947</x:v>
      </x:c>
      <x:c r="P778" t="n">
        <x:f>IF(AND(MAX(J778,J777)&gt;0,J778&gt;J777+0.00000001),1,0)</x:f>
        <x:v>0</x:v>
      </x:c>
      <x:c r="Q778" t="n">
        <x:f>IF(AND(MAX(K778,K777)&gt;0,K778&gt;K777+0.00000001),1,0)</x:f>
        <x:v>0</x:v>
      </x:c>
      <x:c r="R778" t="n">
        <x:f>IF(AND(MAX(L778,L777)&gt;0,L778&gt;L777+0.00000001),1,0)</x:f>
        <x:v>0</x:v>
      </x:c>
      <x:c r="S778" t="n">
        <x:f>IF(AND(MAX(M778,M777)&gt;0,M778&gt;M777+0.00000001),1,0)</x:f>
        <x:v>0</x:v>
      </x:c>
      <x:c r="T778" t="n">
        <x:f>IF(AND(MAX(N778,N777)&gt;0,N778&gt;N777+0.00000001),1,0)</x:f>
        <x:v>0</x:v>
      </x:c>
      <x:c r="U778" t="n">
        <x:f>IF(AND(MAX(O778,O777)&gt;0,O778&gt;O777+0.00000001),1,0)</x:f>
        <x:v>0</x:v>
      </x:c>
    </x:row>
    <x:row r="779">
      <x:c r="J779" t="n">
        <x:f>IF(AND(ISNUMBER('Results'!B7),ISNUMBER('Results'!C7),ISNUMBER('Results'!$B$8),ISNUMBER('Inputs'!$B$6),ISNUMBER('Inputs'!$B$7),ISNUMBER('Inputs'!$B$8),ISNUMBER('Inputs'!$B$9),ISNUMBER('Inputs'!$B$10),ISNUMBER('Inputs'!$B$21),ISNUMBER('Inputs'!$B$24),ISNUMBER('Inputs'!$B$28)),(('Results'!B7*(0.5*((((779-43)*MAX('Inputs'!$B$33,'Inputs'!$B$29+'Inputs'!$B$31+'Inputs'!$B$32,'Inputs'!$B$30+'Inputs'!$B$31+'Inputs'!$B$32)/1000+'Inputs'!$B$21)+'Inputs'!$B$7)/SQRT((((779-43)*MAX('Inputs'!$B$33,'Inputs'!$B$29+'Inputs'!$B$31+'Inputs'!$B$32,'Inputs'!$B$30+'Inputs'!$B$31+'Inputs'!$B$32)/1000+'Inputs'!$B$21)+'Inputs'!$B$7)^2+('Inputs'!$B$6/2)^2)-(((779-43)*MAX('Inputs'!$B$33,'Inputs'!$B$29+'Inputs'!$B$31+'Inputs'!$B$32,'Inputs'!$B$30+'Inputs'!$B$31+'Inputs'!$B$32)/1000+'Inputs'!$B$21))/SQRT((((779-43)*MAX('Inputs'!$B$33,'Inputs'!$B$29+'Inputs'!$B$31+'Inputs'!$B$32,'Inputs'!$B$30+'Inputs'!$B$31+'Inputs'!$B$32)/1000+'Inputs'!$B$21))^2+('Inputs'!$B$6/2)^2)))-'Results'!C7*(0.5*((((779-43)*MAX('Inputs'!$B$33,'Inputs'!$B$29+'Inputs'!$B$31+'Inputs'!$B$32,'Inputs'!$B$30+'Inputs'!$B$31+'Inputs'!$B$32)/1000+'Inputs'!$B$21+'Inputs'!$B$7+'Inputs'!$B$10)+'Inputs'!$B$9)/SQRT((((779-43)*MAX('Inputs'!$B$33,'Inputs'!$B$29+'Inputs'!$B$31+'Inputs'!$B$32,'Inputs'!$B$30+'Inputs'!$B$31+'Inputs'!$B$32)/1000+'Inputs'!$B$21+'Inputs'!$B$7+'Inputs'!$B$10)+'Inputs'!$B$9)^2+('Inputs'!$B$8/2)^2)-(((779-43)*MAX('Inputs'!$B$33,'Inputs'!$B$29+'Inputs'!$B$31+'Inputs'!$B$32,'Inputs'!$B$30+'Inputs'!$B$31+'Inputs'!$B$32)/1000+'Inputs'!$B$21+'Inputs'!$B$7+'Inputs'!$B$10))/SQRT((((779-43)*MAX('Inputs'!$B$33,'Inputs'!$B$29+'Inputs'!$B$31+'Inputs'!$B$32,'Inputs'!$B$30+'Inputs'!$B$31+'Inputs'!$B$32)/1000+'Inputs'!$B$21+'Inputs'!$B$7+'Inputs'!$B$10))^2+('Inputs'!$B$8/2)^2))))*'Results'!$B$8),"")</x:f>
        <x:v>1.0811086491504378</x:v>
      </x:c>
      <x:c r="K779" t="n">
        <x:f>IF(AND(ISNUMBER('Results'!B7),ISNUMBER('Results'!C7),ISNUMBER('Results'!$B$8),ISNUMBER('Inputs'!$B$6),ISNUMBER('Inputs'!$B$7),ISNUMBER('Inputs'!$B$8),ISNUMBER('Inputs'!$B$9),ISNUMBER('Inputs'!$B$10),ISNUMBER('Inputs'!$B$21),ISNUMBER('Inputs'!$B$24),ISNUMBER('Inputs'!$B$28)),((('Results'!B7*(1-'Inputs'!$B$24)*(0.5*((((779-43)*MAX('Inputs'!$B$33,'Inputs'!$B$29+'Inputs'!$B$31+'Inputs'!$B$32,'Inputs'!$B$30+'Inputs'!$B$31+'Inputs'!$B$32)/1000+'Inputs'!$B$21)+'Inputs'!$B$7)/SQRT((((779-43)*MAX('Inputs'!$B$33,'Inputs'!$B$29+'Inputs'!$B$31+'Inputs'!$B$32,'Inputs'!$B$30+'Inputs'!$B$31+'Inputs'!$B$32)/1000+'Inputs'!$B$21)+'Inputs'!$B$7)^2+('Inputs'!$B$6/2)^2)-(((779-43)*MAX('Inputs'!$B$33,'Inputs'!$B$29+'Inputs'!$B$31+'Inputs'!$B$32,'Inputs'!$B$30+'Inputs'!$B$31+'Inputs'!$B$32)/1000+'Inputs'!$B$21))/SQRT((((779-43)*MAX('Inputs'!$B$33,'Inputs'!$B$29+'Inputs'!$B$31+'Inputs'!$B$32,'Inputs'!$B$30+'Inputs'!$B$31+'Inputs'!$B$32)/1000+'Inputs'!$B$21))^2+('Inputs'!$B$6/2)^2)))-'Results'!C7*(1+'Inputs'!$B$24)*(0.5*((((779-43)*MAX('Inputs'!$B$33,'Inputs'!$B$29+'Inputs'!$B$31+'Inputs'!$B$32,'Inputs'!$B$30+'Inputs'!$B$31+'Inputs'!$B$32)/1000+'Inputs'!$B$21+'Inputs'!$B$7+'Inputs'!$B$10)+'Inputs'!$B$9)/SQRT((((779-43)*MAX('Inputs'!$B$33,'Inputs'!$B$29+'Inputs'!$B$31+'Inputs'!$B$32,'Inputs'!$B$30+'Inputs'!$B$31+'Inputs'!$B$32)/1000+'Inputs'!$B$21+'Inputs'!$B$7+'Inputs'!$B$10)+'Inputs'!$B$9)^2+('Inputs'!$B$8/2)^2)-(((779-43)*MAX('Inputs'!$B$33,'Inputs'!$B$29+'Inputs'!$B$31+'Inputs'!$B$32,'Inputs'!$B$30+'Inputs'!$B$31+'Inputs'!$B$32)/1000+'Inputs'!$B$21+'Inputs'!$B$7+'Inputs'!$B$10))/SQRT((((779-43)*MAX('Inputs'!$B$33,'Inputs'!$B$29+'Inputs'!$B$31+'Inputs'!$B$32,'Inputs'!$B$30+'Inputs'!$B$31+'Inputs'!$B$32)/1000+'Inputs'!$B$21+'Inputs'!$B$7+'Inputs'!$B$10))^2+('Inputs'!$B$8/2)^2))))*'Results'!$B$8)-'Inputs'!$B$28*ABS((('Results'!B7*(1-'Inputs'!$B$24)*(0.5*((((779-43)*MAX('Inputs'!$B$33,'Inputs'!$B$29+'Inputs'!$B$31+'Inputs'!$B$32,'Inputs'!$B$30+'Inputs'!$B$31+'Inputs'!$B$32)/1000+'Inputs'!$B$21)+'Inputs'!$B$7)/SQRT((((779-43)*MAX('Inputs'!$B$33,'Inputs'!$B$29+'Inputs'!$B$31+'Inputs'!$B$32,'Inputs'!$B$30+'Inputs'!$B$31+'Inputs'!$B$32)/1000+'Inputs'!$B$21)+'Inputs'!$B$7)^2+('Inputs'!$B$6/2)^2)-(((779-43)*MAX('Inputs'!$B$33,'Inputs'!$B$29+'Inputs'!$B$31+'Inputs'!$B$32,'Inputs'!$B$30+'Inputs'!$B$31+'Inputs'!$B$32)/1000+'Inputs'!$B$21))/SQRT((((779-43)*MAX('Inputs'!$B$33,'Inputs'!$B$29+'Inputs'!$B$31+'Inputs'!$B$32,'Inputs'!$B$30+'Inputs'!$B$31+'Inputs'!$B$32)/1000+'Inputs'!$B$21))^2+('Inputs'!$B$6/2)^2)))-'Results'!C7*(1+'Inputs'!$B$24)*(0.5*((((779-43)*MAX('Inputs'!$B$33,'Inputs'!$B$29+'Inputs'!$B$31+'Inputs'!$B$32,'Inputs'!$B$30+'Inputs'!$B$31+'Inputs'!$B$32)/1000+'Inputs'!$B$21+'Inputs'!$B$7+'Inputs'!$B$10)+'Inputs'!$B$9)/SQRT((((779-43)*MAX('Inputs'!$B$33,'Inputs'!$B$29+'Inputs'!$B$31+'Inputs'!$B$32,'Inputs'!$B$30+'Inputs'!$B$31+'Inputs'!$B$32)/1000+'Inputs'!$B$21+'Inputs'!$B$7+'Inputs'!$B$10)+'Inputs'!$B$9)^2+('Inputs'!$B$8/2)^2)-(((779-43)*MAX('Inputs'!$B$33,'Inputs'!$B$29+'Inputs'!$B$31+'Inputs'!$B$32,'Inputs'!$B$30+'Inputs'!$B$31+'Inputs'!$B$32)/1000+'Inputs'!$B$21+'Inputs'!$B$7+'Inputs'!$B$10))/SQRT((((779-43)*MAX('Inputs'!$B$33,'Inputs'!$B$29+'Inputs'!$B$31+'Inputs'!$B$32,'Inputs'!$B$30+'Inputs'!$B$31+'Inputs'!$B$32)/1000+'Inputs'!$B$21+'Inputs'!$B$7+'Inputs'!$B$10))^2+('Inputs'!$B$8/2)^2))))*'Results'!$B$8))),"")</x:f>
        <x:v>0.9322462775462984</x:v>
      </x:c>
      <x:c r="L779" t="n">
        <x:f>IF(AND(ISNUMBER('Results'!B7),ISNUMBER('Results'!C7),ISNUMBER('Results'!$B$8),ISNUMBER('Inputs'!$B$6),ISNUMBER('Inputs'!$B$7),ISNUMBER('Inputs'!$B$8),ISNUMBER('Inputs'!$B$9),ISNUMBER('Inputs'!$B$10),ISNUMBER('Inputs'!$B$21),ISNUMBER('Inputs'!$B$24),ISNUMBER('Inputs'!$B$28)),((('Results'!B7*(1+'Inputs'!$B$24)*(0.5*((((779-43)*MAX('Inputs'!$B$33,'Inputs'!$B$29+'Inputs'!$B$31+'Inputs'!$B$32,'Inputs'!$B$30+'Inputs'!$B$31+'Inputs'!$B$32)/1000+'Inputs'!$B$21)+'Inputs'!$B$7)/SQRT((((779-43)*MAX('Inputs'!$B$33,'Inputs'!$B$29+'Inputs'!$B$31+'Inputs'!$B$32,'Inputs'!$B$30+'Inputs'!$B$31+'Inputs'!$B$32)/1000+'Inputs'!$B$21)+'Inputs'!$B$7)^2+('Inputs'!$B$6/2)^2)-(((779-43)*MAX('Inputs'!$B$33,'Inputs'!$B$29+'Inputs'!$B$31+'Inputs'!$B$32,'Inputs'!$B$30+'Inputs'!$B$31+'Inputs'!$B$32)/1000+'Inputs'!$B$21))/SQRT((((779-43)*MAX('Inputs'!$B$33,'Inputs'!$B$29+'Inputs'!$B$31+'Inputs'!$B$32,'Inputs'!$B$30+'Inputs'!$B$31+'Inputs'!$B$32)/1000+'Inputs'!$B$21))^2+('Inputs'!$B$6/2)^2)))-'Results'!C7*(1-'Inputs'!$B$24)*(0.5*((((779-43)*MAX('Inputs'!$B$33,'Inputs'!$B$29+'Inputs'!$B$31+'Inputs'!$B$32,'Inputs'!$B$30+'Inputs'!$B$31+'Inputs'!$B$32)/1000+'Inputs'!$B$21+'Inputs'!$B$7+'Inputs'!$B$10)+'Inputs'!$B$9)/SQRT((((779-43)*MAX('Inputs'!$B$33,'Inputs'!$B$29+'Inputs'!$B$31+'Inputs'!$B$32,'Inputs'!$B$30+'Inputs'!$B$31+'Inputs'!$B$32)/1000+'Inputs'!$B$21+'Inputs'!$B$7+'Inputs'!$B$10)+'Inputs'!$B$9)^2+('Inputs'!$B$8/2)^2)-(((779-43)*MAX('Inputs'!$B$33,'Inputs'!$B$29+'Inputs'!$B$31+'Inputs'!$B$32,'Inputs'!$B$30+'Inputs'!$B$31+'Inputs'!$B$32)/1000+'Inputs'!$B$21+'Inputs'!$B$7+'Inputs'!$B$10))/SQRT((((779-43)*MAX('Inputs'!$B$33,'Inputs'!$B$29+'Inputs'!$B$31+'Inputs'!$B$32,'Inputs'!$B$30+'Inputs'!$B$31+'Inputs'!$B$32)/1000+'Inputs'!$B$21+'Inputs'!$B$7+'Inputs'!$B$10))^2+('Inputs'!$B$8/2)^2))))*'Results'!$B$8)+'Inputs'!$B$28*ABS((('Results'!B7*(1+'Inputs'!$B$24)*(0.5*((((779-43)*MAX('Inputs'!$B$33,'Inputs'!$B$29+'Inputs'!$B$31+'Inputs'!$B$32,'Inputs'!$B$30+'Inputs'!$B$31+'Inputs'!$B$32)/1000+'Inputs'!$B$21)+'Inputs'!$B$7)/SQRT((((779-43)*MAX('Inputs'!$B$33,'Inputs'!$B$29+'Inputs'!$B$31+'Inputs'!$B$32,'Inputs'!$B$30+'Inputs'!$B$31+'Inputs'!$B$32)/1000+'Inputs'!$B$21)+'Inputs'!$B$7)^2+('Inputs'!$B$6/2)^2)-(((779-43)*MAX('Inputs'!$B$33,'Inputs'!$B$29+'Inputs'!$B$31+'Inputs'!$B$32,'Inputs'!$B$30+'Inputs'!$B$31+'Inputs'!$B$32)/1000+'Inputs'!$B$21))/SQRT((((779-43)*MAX('Inputs'!$B$33,'Inputs'!$B$29+'Inputs'!$B$31+'Inputs'!$B$32,'Inputs'!$B$30+'Inputs'!$B$31+'Inputs'!$B$32)/1000+'Inputs'!$B$21))^2+('Inputs'!$B$6/2)^2)))-'Results'!C7*(1-'Inputs'!$B$24)*(0.5*((((779-43)*MAX('Inputs'!$B$33,'Inputs'!$B$29+'Inputs'!$B$31+'Inputs'!$B$32,'Inputs'!$B$30+'Inputs'!$B$31+'Inputs'!$B$32)/1000+'Inputs'!$B$21+'Inputs'!$B$7+'Inputs'!$B$10)+'Inputs'!$B$9)/SQRT((((779-43)*MAX('Inputs'!$B$33,'Inputs'!$B$29+'Inputs'!$B$31+'Inputs'!$B$32,'Inputs'!$B$30+'Inputs'!$B$31+'Inputs'!$B$32)/1000+'Inputs'!$B$21+'Inputs'!$B$7+'Inputs'!$B$10)+'Inputs'!$B$9)^2+('Inputs'!$B$8/2)^2)-(((779-43)*MAX('Inputs'!$B$33,'Inputs'!$B$29+'Inputs'!$B$31+'Inputs'!$B$32,'Inputs'!$B$30+'Inputs'!$B$31+'Inputs'!$B$32)/1000+'Inputs'!$B$21+'Inputs'!$B$7+'Inputs'!$B$10))/SQRT((((779-43)*MAX('Inputs'!$B$33,'Inputs'!$B$29+'Inputs'!$B$31+'Inputs'!$B$32,'Inputs'!$B$30+'Inputs'!$B$31+'Inputs'!$B$32)/1000+'Inputs'!$B$21+'Inputs'!$B$7+'Inputs'!$B$10))^2+('Inputs'!$B$8/2)^2))))*'Results'!$B$8))),"")</x:f>
        <x:v>1.2399506985594844</x:v>
      </x:c>
      <x:c r="M779" t="n">
        <x:f>IF(AND(ISNUMBER('Results'!C7),ISNUMBER('Results'!B7),ISNUMBER('Results'!$B$8),ISNUMBER('Inputs'!$B$6),ISNUMBER('Inputs'!$B$7),ISNUMBER('Inputs'!$B$8),ISNUMBER('Inputs'!$B$9),ISNUMBER('Inputs'!$B$10),ISNUMBER('Inputs'!$B$21),ISNUMBER('Inputs'!$B$24),ISNUMBER('Inputs'!$B$28)),(('Results'!C7*(0.5*((((779-43)*MAX('Inputs'!$B$33,'Inputs'!$B$29+'Inputs'!$B$31+'Inputs'!$B$32,'Inputs'!$B$30+'Inputs'!$B$31+'Inputs'!$B$32)/1000+'Inputs'!$B$21)+'Inputs'!$B$9)/SQRT((((779-43)*MAX('Inputs'!$B$33,'Inputs'!$B$29+'Inputs'!$B$31+'Inputs'!$B$32,'Inputs'!$B$30+'Inputs'!$B$31+'Inputs'!$B$32)/1000+'Inputs'!$B$21)+'Inputs'!$B$9)^2+('Inputs'!$B$8/2)^2)-(((779-43)*MAX('Inputs'!$B$33,'Inputs'!$B$29+'Inputs'!$B$31+'Inputs'!$B$32,'Inputs'!$B$30+'Inputs'!$B$31+'Inputs'!$B$32)/1000+'Inputs'!$B$21))/SQRT((((779-43)*MAX('Inputs'!$B$33,'Inputs'!$B$29+'Inputs'!$B$31+'Inputs'!$B$32,'Inputs'!$B$30+'Inputs'!$B$31+'Inputs'!$B$32)/1000+'Inputs'!$B$21))^2+('Inputs'!$B$8/2)^2)))-'Results'!B7*(0.5*((((779-43)*MAX('Inputs'!$B$33,'Inputs'!$B$29+'Inputs'!$B$31+'Inputs'!$B$32,'Inputs'!$B$30+'Inputs'!$B$31+'Inputs'!$B$32)/1000+'Inputs'!$B$21+'Inputs'!$B$9+'Inputs'!$B$10)+'Inputs'!$B$7)/SQRT((((779-43)*MAX('Inputs'!$B$33,'Inputs'!$B$29+'Inputs'!$B$31+'Inputs'!$B$32,'Inputs'!$B$30+'Inputs'!$B$31+'Inputs'!$B$32)/1000+'Inputs'!$B$21+'Inputs'!$B$9+'Inputs'!$B$10)+'Inputs'!$B$7)^2+('Inputs'!$B$6/2)^2)-(((779-43)*MAX('Inputs'!$B$33,'Inputs'!$B$29+'Inputs'!$B$31+'Inputs'!$B$32,'Inputs'!$B$30+'Inputs'!$B$31+'Inputs'!$B$32)/1000+'Inputs'!$B$21+'Inputs'!$B$9+'Inputs'!$B$10))/SQRT((((779-43)*MAX('Inputs'!$B$33,'Inputs'!$B$29+'Inputs'!$B$31+'Inputs'!$B$32,'Inputs'!$B$30+'Inputs'!$B$31+'Inputs'!$B$32)/1000+'Inputs'!$B$21+'Inputs'!$B$9+'Inputs'!$B$10))^2+('Inputs'!$B$6/2)^2))))*'Results'!$B$8),"")</x:f>
        <x:v>0.9805141710496721</x:v>
      </x:c>
      <x:c r="N779" t="n">
        <x:f>IF(AND(ISNUMBER('Results'!C7),ISNUMBER('Results'!B7),ISNUMBER('Results'!$B$8),ISNUMBER('Inputs'!$B$6),ISNUMBER('Inputs'!$B$7),ISNUMBER('Inputs'!$B$8),ISNUMBER('Inputs'!$B$9),ISNUMBER('Inputs'!$B$10),ISNUMBER('Inputs'!$B$21),ISNUMBER('Inputs'!$B$24),ISNUMBER('Inputs'!$B$28)),((('Results'!C7*(1-'Inputs'!$B$24)*(0.5*((((779-43)*MAX('Inputs'!$B$33,'Inputs'!$B$29+'Inputs'!$B$31+'Inputs'!$B$32,'Inputs'!$B$30+'Inputs'!$B$31+'Inputs'!$B$32)/1000+'Inputs'!$B$21)+'Inputs'!$B$9)/SQRT((((779-43)*MAX('Inputs'!$B$33,'Inputs'!$B$29+'Inputs'!$B$31+'Inputs'!$B$32,'Inputs'!$B$30+'Inputs'!$B$31+'Inputs'!$B$32)/1000+'Inputs'!$B$21)+'Inputs'!$B$9)^2+('Inputs'!$B$8/2)^2)-(((779-43)*MAX('Inputs'!$B$33,'Inputs'!$B$29+'Inputs'!$B$31+'Inputs'!$B$32,'Inputs'!$B$30+'Inputs'!$B$31+'Inputs'!$B$32)/1000+'Inputs'!$B$21))/SQRT((((779-43)*MAX('Inputs'!$B$33,'Inputs'!$B$29+'Inputs'!$B$31+'Inputs'!$B$32,'Inputs'!$B$30+'Inputs'!$B$31+'Inputs'!$B$32)/1000+'Inputs'!$B$21))^2+('Inputs'!$B$8/2)^2)))-'Results'!B7*(1+'Inputs'!$B$24)*(0.5*((((779-43)*MAX('Inputs'!$B$33,'Inputs'!$B$29+'Inputs'!$B$31+'Inputs'!$B$32,'Inputs'!$B$30+'Inputs'!$B$31+'Inputs'!$B$32)/1000+'Inputs'!$B$21+'Inputs'!$B$9+'Inputs'!$B$10)+'Inputs'!$B$7)/SQRT((((779-43)*MAX('Inputs'!$B$33,'Inputs'!$B$29+'Inputs'!$B$31+'Inputs'!$B$32,'Inputs'!$B$30+'Inputs'!$B$31+'Inputs'!$B$32)/1000+'Inputs'!$B$21+'Inputs'!$B$9+'Inputs'!$B$10)+'Inputs'!$B$7)^2+('Inputs'!$B$6/2)^2)-(((779-43)*MAX('Inputs'!$B$33,'Inputs'!$B$29+'Inputs'!$B$31+'Inputs'!$B$32,'Inputs'!$B$30+'Inputs'!$B$31+'Inputs'!$B$32)/1000+'Inputs'!$B$21+'Inputs'!$B$9+'Inputs'!$B$10))/SQRT((((779-43)*MAX('Inputs'!$B$33,'Inputs'!$B$29+'Inputs'!$B$31+'Inputs'!$B$32,'Inputs'!$B$30+'Inputs'!$B$31+'Inputs'!$B$32)/1000+'Inputs'!$B$21+'Inputs'!$B$9+'Inputs'!$B$10))^2+('Inputs'!$B$6/2)^2))))*'Results'!$B$8)-'Inputs'!$B$28*ABS((('Results'!C7*(1-'Inputs'!$B$24)*(0.5*((((779-43)*MAX('Inputs'!$B$33,'Inputs'!$B$29+'Inputs'!$B$31+'Inputs'!$B$32,'Inputs'!$B$30+'Inputs'!$B$31+'Inputs'!$B$32)/1000+'Inputs'!$B$21)+'Inputs'!$B$9)/SQRT((((779-43)*MAX('Inputs'!$B$33,'Inputs'!$B$29+'Inputs'!$B$31+'Inputs'!$B$32,'Inputs'!$B$30+'Inputs'!$B$31+'Inputs'!$B$32)/1000+'Inputs'!$B$21)+'Inputs'!$B$9)^2+('Inputs'!$B$8/2)^2)-(((779-43)*MAX('Inputs'!$B$33,'Inputs'!$B$29+'Inputs'!$B$31+'Inputs'!$B$32,'Inputs'!$B$30+'Inputs'!$B$31+'Inputs'!$B$32)/1000+'Inputs'!$B$21))/SQRT((((779-43)*MAX('Inputs'!$B$33,'Inputs'!$B$29+'Inputs'!$B$31+'Inputs'!$B$32,'Inputs'!$B$30+'Inputs'!$B$31+'Inputs'!$B$32)/1000+'Inputs'!$B$21))^2+('Inputs'!$B$8/2)^2)))-'Results'!B7*(1+'Inputs'!$B$24)*(0.5*((((779-43)*MAX('Inputs'!$B$33,'Inputs'!$B$29+'Inputs'!$B$31+'Inputs'!$B$32,'Inputs'!$B$30+'Inputs'!$B$31+'Inputs'!$B$32)/1000+'Inputs'!$B$21+'Inputs'!$B$9+'Inputs'!$B$10)+'Inputs'!$B$7)/SQRT((((779-43)*MAX('Inputs'!$B$33,'Inputs'!$B$29+'Inputs'!$B$31+'Inputs'!$B$32,'Inputs'!$B$30+'Inputs'!$B$31+'Inputs'!$B$32)/1000+'Inputs'!$B$21+'Inputs'!$B$9+'Inputs'!$B$10)+'Inputs'!$B$7)^2+('Inputs'!$B$6/2)^2)-(((779-43)*MAX('Inputs'!$B$33,'Inputs'!$B$29+'Inputs'!$B$31+'Inputs'!$B$32,'Inputs'!$B$30+'Inputs'!$B$31+'Inputs'!$B$32)/1000+'Inputs'!$B$21+'Inputs'!$B$9+'Inputs'!$B$10))/SQRT((((779-43)*MAX('Inputs'!$B$33,'Inputs'!$B$29+'Inputs'!$B$31+'Inputs'!$B$32,'Inputs'!$B$30+'Inputs'!$B$31+'Inputs'!$B$32)/1000+'Inputs'!$B$21+'Inputs'!$B$9+'Inputs'!$B$10))^2+('Inputs'!$B$6/2)^2))))*'Results'!$B$8))),"")</x:f>
        <x:v>0.8370771883362658</x:v>
      </x:c>
      <x:c r="O779" t="n">
        <x:f>IF(AND(ISNUMBER('Results'!C7),ISNUMBER('Results'!B7),ISNUMBER('Results'!$B$8),ISNUMBER('Inputs'!$B$6),ISNUMBER('Inputs'!$B$7),ISNUMBER('Inputs'!$B$8),ISNUMBER('Inputs'!$B$9),ISNUMBER('Inputs'!$B$10),ISNUMBER('Inputs'!$B$21),ISNUMBER('Inputs'!$B$24),ISNUMBER('Inputs'!$B$28)),((('Results'!C7*(1+'Inputs'!$B$24)*(0.5*((((779-43)*MAX('Inputs'!$B$33,'Inputs'!$B$29+'Inputs'!$B$31+'Inputs'!$B$32,'Inputs'!$B$30+'Inputs'!$B$31+'Inputs'!$B$32)/1000+'Inputs'!$B$21)+'Inputs'!$B$9)/SQRT((((779-43)*MAX('Inputs'!$B$33,'Inputs'!$B$29+'Inputs'!$B$31+'Inputs'!$B$32,'Inputs'!$B$30+'Inputs'!$B$31+'Inputs'!$B$32)/1000+'Inputs'!$B$21)+'Inputs'!$B$9)^2+('Inputs'!$B$8/2)^2)-(((779-43)*MAX('Inputs'!$B$33,'Inputs'!$B$29+'Inputs'!$B$31+'Inputs'!$B$32,'Inputs'!$B$30+'Inputs'!$B$31+'Inputs'!$B$32)/1000+'Inputs'!$B$21))/SQRT((((779-43)*MAX('Inputs'!$B$33,'Inputs'!$B$29+'Inputs'!$B$31+'Inputs'!$B$32,'Inputs'!$B$30+'Inputs'!$B$31+'Inputs'!$B$32)/1000+'Inputs'!$B$21))^2+('Inputs'!$B$8/2)^2)))-'Results'!B7*(1-'Inputs'!$B$24)*(0.5*((((779-43)*MAX('Inputs'!$B$33,'Inputs'!$B$29+'Inputs'!$B$31+'Inputs'!$B$32,'Inputs'!$B$30+'Inputs'!$B$31+'Inputs'!$B$32)/1000+'Inputs'!$B$21+'Inputs'!$B$9+'Inputs'!$B$10)+'Inputs'!$B$7)/SQRT((((779-43)*MAX('Inputs'!$B$33,'Inputs'!$B$29+'Inputs'!$B$31+'Inputs'!$B$32,'Inputs'!$B$30+'Inputs'!$B$31+'Inputs'!$B$32)/1000+'Inputs'!$B$21+'Inputs'!$B$9+'Inputs'!$B$10)+'Inputs'!$B$7)^2+('Inputs'!$B$6/2)^2)-(((779-43)*MAX('Inputs'!$B$33,'Inputs'!$B$29+'Inputs'!$B$31+'Inputs'!$B$32,'Inputs'!$B$30+'Inputs'!$B$31+'Inputs'!$B$32)/1000+'Inputs'!$B$21+'Inputs'!$B$9+'Inputs'!$B$10))/SQRT((((779-43)*MAX('Inputs'!$B$33,'Inputs'!$B$29+'Inputs'!$B$31+'Inputs'!$B$32,'Inputs'!$B$30+'Inputs'!$B$31+'Inputs'!$B$32)/1000+'Inputs'!$B$21+'Inputs'!$B$9+'Inputs'!$B$10))^2+('Inputs'!$B$6/2)^2))))*'Results'!$B$8)+'Inputs'!$B$28*ABS((('Results'!C7*(1+'Inputs'!$B$24)*(0.5*((((779-43)*MAX('Inputs'!$B$33,'Inputs'!$B$29+'Inputs'!$B$31+'Inputs'!$B$32,'Inputs'!$B$30+'Inputs'!$B$31+'Inputs'!$B$32)/1000+'Inputs'!$B$21)+'Inputs'!$B$9)/SQRT((((779-43)*MAX('Inputs'!$B$33,'Inputs'!$B$29+'Inputs'!$B$31+'Inputs'!$B$32,'Inputs'!$B$30+'Inputs'!$B$31+'Inputs'!$B$32)/1000+'Inputs'!$B$21)+'Inputs'!$B$9)^2+('Inputs'!$B$8/2)^2)-(((779-43)*MAX('Inputs'!$B$33,'Inputs'!$B$29+'Inputs'!$B$31+'Inputs'!$B$32,'Inputs'!$B$30+'Inputs'!$B$31+'Inputs'!$B$32)/1000+'Inputs'!$B$21))/SQRT((((779-43)*MAX('Inputs'!$B$33,'Inputs'!$B$29+'Inputs'!$B$31+'Inputs'!$B$32,'Inputs'!$B$30+'Inputs'!$B$31+'Inputs'!$B$32)/1000+'Inputs'!$B$21))^2+('Inputs'!$B$8/2)^2)))-'Results'!B7*(1-'Inputs'!$B$24)*(0.5*((((779-43)*MAX('Inputs'!$B$33,'Inputs'!$B$29+'Inputs'!$B$31+'Inputs'!$B$32,'Inputs'!$B$30+'Inputs'!$B$31+'Inputs'!$B$32)/1000+'Inputs'!$B$21+'Inputs'!$B$9+'Inputs'!$B$10)+'Inputs'!$B$7)/SQRT((((779-43)*MAX('Inputs'!$B$33,'Inputs'!$B$29+'Inputs'!$B$31+'Inputs'!$B$32,'Inputs'!$B$30+'Inputs'!$B$31+'Inputs'!$B$32)/1000+'Inputs'!$B$21+'Inputs'!$B$9+'Inputs'!$B$10)+'Inputs'!$B$7)^2+('Inputs'!$B$6/2)^2)-(((779-43)*MAX('Inputs'!$B$33,'Inputs'!$B$29+'Inputs'!$B$31+'Inputs'!$B$32,'Inputs'!$B$30+'Inputs'!$B$31+'Inputs'!$B$32)/1000+'Inputs'!$B$21+'Inputs'!$B$9+'Inputs'!$B$10))/SQRT((((779-43)*MAX('Inputs'!$B$33,'Inputs'!$B$29+'Inputs'!$B$31+'Inputs'!$B$32,'Inputs'!$B$30+'Inputs'!$B$31+'Inputs'!$B$32)/1000+'Inputs'!$B$21+'Inputs'!$B$9+'Inputs'!$B$10))^2+('Inputs'!$B$6/2)^2))))*'Results'!$B$8))),"")</x:f>
        <x:v>1.133889182622123</x:v>
      </x:c>
      <x:c r="P779" t="n">
        <x:f>IF(AND(MAX(J779,J778)&gt;0,J779&gt;J778+0.00000001),1,0)</x:f>
        <x:v>0</x:v>
      </x:c>
      <x:c r="Q779" t="n">
        <x:f>IF(AND(MAX(K779,K778)&gt;0,K779&gt;K778+0.00000001),1,0)</x:f>
        <x:v>0</x:v>
      </x:c>
      <x:c r="R779" t="n">
        <x:f>IF(AND(MAX(L779,L778)&gt;0,L779&gt;L778+0.00000001),1,0)</x:f>
        <x:v>0</x:v>
      </x:c>
      <x:c r="S779" t="n">
        <x:f>IF(AND(MAX(M779,M778)&gt;0,M779&gt;M778+0.00000001),1,0)</x:f>
        <x:v>0</x:v>
      </x:c>
      <x:c r="T779" t="n">
        <x:f>IF(AND(MAX(N779,N778)&gt;0,N779&gt;N778+0.00000001),1,0)</x:f>
        <x:v>0</x:v>
      </x:c>
      <x:c r="U779" t="n">
        <x:f>IF(AND(MAX(O779,O778)&gt;0,O779&gt;O778+0.00000001),1,0)</x:f>
        <x:v>0</x:v>
      </x:c>
    </x:row>
    <x:row r="780">
      <x:c r="J780" t="n">
        <x:f>IF(AND(ISNUMBER('Results'!B7),ISNUMBER('Results'!C7),ISNUMBER('Results'!$B$8),ISNUMBER('Inputs'!$B$6),ISNUMBER('Inputs'!$B$7),ISNUMBER('Inputs'!$B$8),ISNUMBER('Inputs'!$B$9),ISNUMBER('Inputs'!$B$10),ISNUMBER('Inputs'!$B$21),ISNUMBER('Inputs'!$B$24),ISNUMBER('Inputs'!$B$28)),(('Results'!B7*(0.5*((((780-43)*MAX('Inputs'!$B$33,'Inputs'!$B$29+'Inputs'!$B$31+'Inputs'!$B$32,'Inputs'!$B$30+'Inputs'!$B$31+'Inputs'!$B$32)/1000+'Inputs'!$B$21)+'Inputs'!$B$7)/SQRT((((780-43)*MAX('Inputs'!$B$33,'Inputs'!$B$29+'Inputs'!$B$31+'Inputs'!$B$32,'Inputs'!$B$30+'Inputs'!$B$31+'Inputs'!$B$32)/1000+'Inputs'!$B$21)+'Inputs'!$B$7)^2+('Inputs'!$B$6/2)^2)-(((780-43)*MAX('Inputs'!$B$33,'Inputs'!$B$29+'Inputs'!$B$31+'Inputs'!$B$32,'Inputs'!$B$30+'Inputs'!$B$31+'Inputs'!$B$32)/1000+'Inputs'!$B$21))/SQRT((((780-43)*MAX('Inputs'!$B$33,'Inputs'!$B$29+'Inputs'!$B$31+'Inputs'!$B$32,'Inputs'!$B$30+'Inputs'!$B$31+'Inputs'!$B$32)/1000+'Inputs'!$B$21))^2+('Inputs'!$B$6/2)^2)))-'Results'!C7*(0.5*((((780-43)*MAX('Inputs'!$B$33,'Inputs'!$B$29+'Inputs'!$B$31+'Inputs'!$B$32,'Inputs'!$B$30+'Inputs'!$B$31+'Inputs'!$B$32)/1000+'Inputs'!$B$21+'Inputs'!$B$7+'Inputs'!$B$10)+'Inputs'!$B$9)/SQRT((((780-43)*MAX('Inputs'!$B$33,'Inputs'!$B$29+'Inputs'!$B$31+'Inputs'!$B$32,'Inputs'!$B$30+'Inputs'!$B$31+'Inputs'!$B$32)/1000+'Inputs'!$B$21+'Inputs'!$B$7+'Inputs'!$B$10)+'Inputs'!$B$9)^2+('Inputs'!$B$8/2)^2)-(((780-43)*MAX('Inputs'!$B$33,'Inputs'!$B$29+'Inputs'!$B$31+'Inputs'!$B$32,'Inputs'!$B$30+'Inputs'!$B$31+'Inputs'!$B$32)/1000+'Inputs'!$B$21+'Inputs'!$B$7+'Inputs'!$B$10))/SQRT((((780-43)*MAX('Inputs'!$B$33,'Inputs'!$B$29+'Inputs'!$B$31+'Inputs'!$B$32,'Inputs'!$B$30+'Inputs'!$B$31+'Inputs'!$B$32)/1000+'Inputs'!$B$21+'Inputs'!$B$7+'Inputs'!$B$10))^2+('Inputs'!$B$8/2)^2))))*'Results'!$B$8),"")</x:f>
        <x:v>1.0758814595398745</x:v>
      </x:c>
      <x:c r="K780" t="n">
        <x:f>IF(AND(ISNUMBER('Results'!B7),ISNUMBER('Results'!C7),ISNUMBER('Results'!$B$8),ISNUMBER('Inputs'!$B$6),ISNUMBER('Inputs'!$B$7),ISNUMBER('Inputs'!$B$8),ISNUMBER('Inputs'!$B$9),ISNUMBER('Inputs'!$B$10),ISNUMBER('Inputs'!$B$21),ISNUMBER('Inputs'!$B$24),ISNUMBER('Inputs'!$B$28)),((('Results'!B7*(1-'Inputs'!$B$24)*(0.5*((((780-43)*MAX('Inputs'!$B$33,'Inputs'!$B$29+'Inputs'!$B$31+'Inputs'!$B$32,'Inputs'!$B$30+'Inputs'!$B$31+'Inputs'!$B$32)/1000+'Inputs'!$B$21)+'Inputs'!$B$7)/SQRT((((780-43)*MAX('Inputs'!$B$33,'Inputs'!$B$29+'Inputs'!$B$31+'Inputs'!$B$32,'Inputs'!$B$30+'Inputs'!$B$31+'Inputs'!$B$32)/1000+'Inputs'!$B$21)+'Inputs'!$B$7)^2+('Inputs'!$B$6/2)^2)-(((780-43)*MAX('Inputs'!$B$33,'Inputs'!$B$29+'Inputs'!$B$31+'Inputs'!$B$32,'Inputs'!$B$30+'Inputs'!$B$31+'Inputs'!$B$32)/1000+'Inputs'!$B$21))/SQRT((((780-43)*MAX('Inputs'!$B$33,'Inputs'!$B$29+'Inputs'!$B$31+'Inputs'!$B$32,'Inputs'!$B$30+'Inputs'!$B$31+'Inputs'!$B$32)/1000+'Inputs'!$B$21))^2+('Inputs'!$B$6/2)^2)))-'Results'!C7*(1+'Inputs'!$B$24)*(0.5*((((780-43)*MAX('Inputs'!$B$33,'Inputs'!$B$29+'Inputs'!$B$31+'Inputs'!$B$32,'Inputs'!$B$30+'Inputs'!$B$31+'Inputs'!$B$32)/1000+'Inputs'!$B$21+'Inputs'!$B$7+'Inputs'!$B$10)+'Inputs'!$B$9)/SQRT((((780-43)*MAX('Inputs'!$B$33,'Inputs'!$B$29+'Inputs'!$B$31+'Inputs'!$B$32,'Inputs'!$B$30+'Inputs'!$B$31+'Inputs'!$B$32)/1000+'Inputs'!$B$21+'Inputs'!$B$7+'Inputs'!$B$10)+'Inputs'!$B$9)^2+('Inputs'!$B$8/2)^2)-(((780-43)*MAX('Inputs'!$B$33,'Inputs'!$B$29+'Inputs'!$B$31+'Inputs'!$B$32,'Inputs'!$B$30+'Inputs'!$B$31+'Inputs'!$B$32)/1000+'Inputs'!$B$21+'Inputs'!$B$7+'Inputs'!$B$10))/SQRT((((780-43)*MAX('Inputs'!$B$33,'Inputs'!$B$29+'Inputs'!$B$31+'Inputs'!$B$32,'Inputs'!$B$30+'Inputs'!$B$31+'Inputs'!$B$32)/1000+'Inputs'!$B$21+'Inputs'!$B$7+'Inputs'!$B$10))^2+('Inputs'!$B$8/2)^2))))*'Results'!$B$8)-'Inputs'!$B$28*ABS((('Results'!B7*(1-'Inputs'!$B$24)*(0.5*((((780-43)*MAX('Inputs'!$B$33,'Inputs'!$B$29+'Inputs'!$B$31+'Inputs'!$B$32,'Inputs'!$B$30+'Inputs'!$B$31+'Inputs'!$B$32)/1000+'Inputs'!$B$21)+'Inputs'!$B$7)/SQRT((((780-43)*MAX('Inputs'!$B$33,'Inputs'!$B$29+'Inputs'!$B$31+'Inputs'!$B$32,'Inputs'!$B$30+'Inputs'!$B$31+'Inputs'!$B$32)/1000+'Inputs'!$B$21)+'Inputs'!$B$7)^2+('Inputs'!$B$6/2)^2)-(((780-43)*MAX('Inputs'!$B$33,'Inputs'!$B$29+'Inputs'!$B$31+'Inputs'!$B$32,'Inputs'!$B$30+'Inputs'!$B$31+'Inputs'!$B$32)/1000+'Inputs'!$B$21))/SQRT((((780-43)*MAX('Inputs'!$B$33,'Inputs'!$B$29+'Inputs'!$B$31+'Inputs'!$B$32,'Inputs'!$B$30+'Inputs'!$B$31+'Inputs'!$B$32)/1000+'Inputs'!$B$21))^2+('Inputs'!$B$6/2)^2)))-'Results'!C7*(1+'Inputs'!$B$24)*(0.5*((((780-43)*MAX('Inputs'!$B$33,'Inputs'!$B$29+'Inputs'!$B$31+'Inputs'!$B$32,'Inputs'!$B$30+'Inputs'!$B$31+'Inputs'!$B$32)/1000+'Inputs'!$B$21+'Inputs'!$B$7+'Inputs'!$B$10)+'Inputs'!$B$9)/SQRT((((780-43)*MAX('Inputs'!$B$33,'Inputs'!$B$29+'Inputs'!$B$31+'Inputs'!$B$32,'Inputs'!$B$30+'Inputs'!$B$31+'Inputs'!$B$32)/1000+'Inputs'!$B$21+'Inputs'!$B$7+'Inputs'!$B$10)+'Inputs'!$B$9)^2+('Inputs'!$B$8/2)^2)-(((780-43)*MAX('Inputs'!$B$33,'Inputs'!$B$29+'Inputs'!$B$31+'Inputs'!$B$32,'Inputs'!$B$30+'Inputs'!$B$31+'Inputs'!$B$32)/1000+'Inputs'!$B$21+'Inputs'!$B$7+'Inputs'!$B$10))/SQRT((((780-43)*MAX('Inputs'!$B$33,'Inputs'!$B$29+'Inputs'!$B$31+'Inputs'!$B$32,'Inputs'!$B$30+'Inputs'!$B$31+'Inputs'!$B$32)/1000+'Inputs'!$B$21+'Inputs'!$B$7+'Inputs'!$B$10))^2+('Inputs'!$B$8/2)^2))))*'Results'!$B$8))),"")</x:f>
        <x:v>0.9276331807118477</x:v>
      </x:c>
      <x:c r="L780" t="n">
        <x:f>IF(AND(ISNUMBER('Results'!B7),ISNUMBER('Results'!C7),ISNUMBER('Results'!$B$8),ISNUMBER('Inputs'!$B$6),ISNUMBER('Inputs'!$B$7),ISNUMBER('Inputs'!$B$8),ISNUMBER('Inputs'!$B$9),ISNUMBER('Inputs'!$B$10),ISNUMBER('Inputs'!$B$21),ISNUMBER('Inputs'!$B$24),ISNUMBER('Inputs'!$B$28)),((('Results'!B7*(1+'Inputs'!$B$24)*(0.5*((((780-43)*MAX('Inputs'!$B$33,'Inputs'!$B$29+'Inputs'!$B$31+'Inputs'!$B$32,'Inputs'!$B$30+'Inputs'!$B$31+'Inputs'!$B$32)/1000+'Inputs'!$B$21)+'Inputs'!$B$7)/SQRT((((780-43)*MAX('Inputs'!$B$33,'Inputs'!$B$29+'Inputs'!$B$31+'Inputs'!$B$32,'Inputs'!$B$30+'Inputs'!$B$31+'Inputs'!$B$32)/1000+'Inputs'!$B$21)+'Inputs'!$B$7)^2+('Inputs'!$B$6/2)^2)-(((780-43)*MAX('Inputs'!$B$33,'Inputs'!$B$29+'Inputs'!$B$31+'Inputs'!$B$32,'Inputs'!$B$30+'Inputs'!$B$31+'Inputs'!$B$32)/1000+'Inputs'!$B$21))/SQRT((((780-43)*MAX('Inputs'!$B$33,'Inputs'!$B$29+'Inputs'!$B$31+'Inputs'!$B$32,'Inputs'!$B$30+'Inputs'!$B$31+'Inputs'!$B$32)/1000+'Inputs'!$B$21))^2+('Inputs'!$B$6/2)^2)))-'Results'!C7*(1-'Inputs'!$B$24)*(0.5*((((780-43)*MAX('Inputs'!$B$33,'Inputs'!$B$29+'Inputs'!$B$31+'Inputs'!$B$32,'Inputs'!$B$30+'Inputs'!$B$31+'Inputs'!$B$32)/1000+'Inputs'!$B$21+'Inputs'!$B$7+'Inputs'!$B$10)+'Inputs'!$B$9)/SQRT((((780-43)*MAX('Inputs'!$B$33,'Inputs'!$B$29+'Inputs'!$B$31+'Inputs'!$B$32,'Inputs'!$B$30+'Inputs'!$B$31+'Inputs'!$B$32)/1000+'Inputs'!$B$21+'Inputs'!$B$7+'Inputs'!$B$10)+'Inputs'!$B$9)^2+('Inputs'!$B$8/2)^2)-(((780-43)*MAX('Inputs'!$B$33,'Inputs'!$B$29+'Inputs'!$B$31+'Inputs'!$B$32,'Inputs'!$B$30+'Inputs'!$B$31+'Inputs'!$B$32)/1000+'Inputs'!$B$21+'Inputs'!$B$7+'Inputs'!$B$10))/SQRT((((780-43)*MAX('Inputs'!$B$33,'Inputs'!$B$29+'Inputs'!$B$31+'Inputs'!$B$32,'Inputs'!$B$30+'Inputs'!$B$31+'Inputs'!$B$32)/1000+'Inputs'!$B$21+'Inputs'!$B$7+'Inputs'!$B$10))^2+('Inputs'!$B$8/2)^2))))*'Results'!$B$8)+'Inputs'!$B$28*ABS((('Results'!B7*(1+'Inputs'!$B$24)*(0.5*((((780-43)*MAX('Inputs'!$B$33,'Inputs'!$B$29+'Inputs'!$B$31+'Inputs'!$B$32,'Inputs'!$B$30+'Inputs'!$B$31+'Inputs'!$B$32)/1000+'Inputs'!$B$21)+'Inputs'!$B$7)/SQRT((((780-43)*MAX('Inputs'!$B$33,'Inputs'!$B$29+'Inputs'!$B$31+'Inputs'!$B$32,'Inputs'!$B$30+'Inputs'!$B$31+'Inputs'!$B$32)/1000+'Inputs'!$B$21)+'Inputs'!$B$7)^2+('Inputs'!$B$6/2)^2)-(((780-43)*MAX('Inputs'!$B$33,'Inputs'!$B$29+'Inputs'!$B$31+'Inputs'!$B$32,'Inputs'!$B$30+'Inputs'!$B$31+'Inputs'!$B$32)/1000+'Inputs'!$B$21))/SQRT((((780-43)*MAX('Inputs'!$B$33,'Inputs'!$B$29+'Inputs'!$B$31+'Inputs'!$B$32,'Inputs'!$B$30+'Inputs'!$B$31+'Inputs'!$B$32)/1000+'Inputs'!$B$21))^2+('Inputs'!$B$6/2)^2)))-'Results'!C7*(1-'Inputs'!$B$24)*(0.5*((((780-43)*MAX('Inputs'!$B$33,'Inputs'!$B$29+'Inputs'!$B$31+'Inputs'!$B$32,'Inputs'!$B$30+'Inputs'!$B$31+'Inputs'!$B$32)/1000+'Inputs'!$B$21+'Inputs'!$B$7+'Inputs'!$B$10)+'Inputs'!$B$9)/SQRT((((780-43)*MAX('Inputs'!$B$33,'Inputs'!$B$29+'Inputs'!$B$31+'Inputs'!$B$32,'Inputs'!$B$30+'Inputs'!$B$31+'Inputs'!$B$32)/1000+'Inputs'!$B$21+'Inputs'!$B$7+'Inputs'!$B$10)+'Inputs'!$B$9)^2+('Inputs'!$B$8/2)^2)-(((780-43)*MAX('Inputs'!$B$33,'Inputs'!$B$29+'Inputs'!$B$31+'Inputs'!$B$32,'Inputs'!$B$30+'Inputs'!$B$31+'Inputs'!$B$32)/1000+'Inputs'!$B$21+'Inputs'!$B$7+'Inputs'!$B$10))/SQRT((((780-43)*MAX('Inputs'!$B$33,'Inputs'!$B$29+'Inputs'!$B$31+'Inputs'!$B$32,'Inputs'!$B$30+'Inputs'!$B$31+'Inputs'!$B$32)/1000+'Inputs'!$B$21+'Inputs'!$B$7+'Inputs'!$B$10))^2+('Inputs'!$B$8/2)^2))))*'Results'!$B$8))),"")</x:f>
        <x:v>1.2340722863522204</x:v>
      </x:c>
      <x:c r="M780" t="n">
        <x:f>IF(AND(ISNUMBER('Results'!C7),ISNUMBER('Results'!B7),ISNUMBER('Results'!$B$8),ISNUMBER('Inputs'!$B$6),ISNUMBER('Inputs'!$B$7),ISNUMBER('Inputs'!$B$8),ISNUMBER('Inputs'!$B$9),ISNUMBER('Inputs'!$B$10),ISNUMBER('Inputs'!$B$21),ISNUMBER('Inputs'!$B$24),ISNUMBER('Inputs'!$B$28)),(('Results'!C7*(0.5*((((780-43)*MAX('Inputs'!$B$33,'Inputs'!$B$29+'Inputs'!$B$31+'Inputs'!$B$32,'Inputs'!$B$30+'Inputs'!$B$31+'Inputs'!$B$32)/1000+'Inputs'!$B$21)+'Inputs'!$B$9)/SQRT((((780-43)*MAX('Inputs'!$B$33,'Inputs'!$B$29+'Inputs'!$B$31+'Inputs'!$B$32,'Inputs'!$B$30+'Inputs'!$B$31+'Inputs'!$B$32)/1000+'Inputs'!$B$21)+'Inputs'!$B$9)^2+('Inputs'!$B$8/2)^2)-(((780-43)*MAX('Inputs'!$B$33,'Inputs'!$B$29+'Inputs'!$B$31+'Inputs'!$B$32,'Inputs'!$B$30+'Inputs'!$B$31+'Inputs'!$B$32)/1000+'Inputs'!$B$21))/SQRT((((780-43)*MAX('Inputs'!$B$33,'Inputs'!$B$29+'Inputs'!$B$31+'Inputs'!$B$32,'Inputs'!$B$30+'Inputs'!$B$31+'Inputs'!$B$32)/1000+'Inputs'!$B$21))^2+('Inputs'!$B$8/2)^2)))-'Results'!B7*(0.5*((((780-43)*MAX('Inputs'!$B$33,'Inputs'!$B$29+'Inputs'!$B$31+'Inputs'!$B$32,'Inputs'!$B$30+'Inputs'!$B$31+'Inputs'!$B$32)/1000+'Inputs'!$B$21+'Inputs'!$B$9+'Inputs'!$B$10)+'Inputs'!$B$7)/SQRT((((780-43)*MAX('Inputs'!$B$33,'Inputs'!$B$29+'Inputs'!$B$31+'Inputs'!$B$32,'Inputs'!$B$30+'Inputs'!$B$31+'Inputs'!$B$32)/1000+'Inputs'!$B$21+'Inputs'!$B$9+'Inputs'!$B$10)+'Inputs'!$B$7)^2+('Inputs'!$B$6/2)^2)-(((780-43)*MAX('Inputs'!$B$33,'Inputs'!$B$29+'Inputs'!$B$31+'Inputs'!$B$32,'Inputs'!$B$30+'Inputs'!$B$31+'Inputs'!$B$32)/1000+'Inputs'!$B$21+'Inputs'!$B$9+'Inputs'!$B$10))/SQRT((((780-43)*MAX('Inputs'!$B$33,'Inputs'!$B$29+'Inputs'!$B$31+'Inputs'!$B$32,'Inputs'!$B$30+'Inputs'!$B$31+'Inputs'!$B$32)/1000+'Inputs'!$B$21+'Inputs'!$B$9+'Inputs'!$B$10))^2+('Inputs'!$B$6/2)^2))))*'Results'!$B$8),"")</x:f>
        <x:v>0.9756610016288004</x:v>
      </x:c>
      <x:c r="N780" t="n">
        <x:f>IF(AND(ISNUMBER('Results'!C7),ISNUMBER('Results'!B7),ISNUMBER('Results'!$B$8),ISNUMBER('Inputs'!$B$6),ISNUMBER('Inputs'!$B$7),ISNUMBER('Inputs'!$B$8),ISNUMBER('Inputs'!$B$9),ISNUMBER('Inputs'!$B$10),ISNUMBER('Inputs'!$B$21),ISNUMBER('Inputs'!$B$24),ISNUMBER('Inputs'!$B$28)),((('Results'!C7*(1-'Inputs'!$B$24)*(0.5*((((780-43)*MAX('Inputs'!$B$33,'Inputs'!$B$29+'Inputs'!$B$31+'Inputs'!$B$32,'Inputs'!$B$30+'Inputs'!$B$31+'Inputs'!$B$32)/1000+'Inputs'!$B$21)+'Inputs'!$B$9)/SQRT((((780-43)*MAX('Inputs'!$B$33,'Inputs'!$B$29+'Inputs'!$B$31+'Inputs'!$B$32,'Inputs'!$B$30+'Inputs'!$B$31+'Inputs'!$B$32)/1000+'Inputs'!$B$21)+'Inputs'!$B$9)^2+('Inputs'!$B$8/2)^2)-(((780-43)*MAX('Inputs'!$B$33,'Inputs'!$B$29+'Inputs'!$B$31+'Inputs'!$B$32,'Inputs'!$B$30+'Inputs'!$B$31+'Inputs'!$B$32)/1000+'Inputs'!$B$21))/SQRT((((780-43)*MAX('Inputs'!$B$33,'Inputs'!$B$29+'Inputs'!$B$31+'Inputs'!$B$32,'Inputs'!$B$30+'Inputs'!$B$31+'Inputs'!$B$32)/1000+'Inputs'!$B$21))^2+('Inputs'!$B$8/2)^2)))-'Results'!B7*(1+'Inputs'!$B$24)*(0.5*((((780-43)*MAX('Inputs'!$B$33,'Inputs'!$B$29+'Inputs'!$B$31+'Inputs'!$B$32,'Inputs'!$B$30+'Inputs'!$B$31+'Inputs'!$B$32)/1000+'Inputs'!$B$21+'Inputs'!$B$9+'Inputs'!$B$10)+'Inputs'!$B$7)/SQRT((((780-43)*MAX('Inputs'!$B$33,'Inputs'!$B$29+'Inputs'!$B$31+'Inputs'!$B$32,'Inputs'!$B$30+'Inputs'!$B$31+'Inputs'!$B$32)/1000+'Inputs'!$B$21+'Inputs'!$B$9+'Inputs'!$B$10)+'Inputs'!$B$7)^2+('Inputs'!$B$6/2)^2)-(((780-43)*MAX('Inputs'!$B$33,'Inputs'!$B$29+'Inputs'!$B$31+'Inputs'!$B$32,'Inputs'!$B$30+'Inputs'!$B$31+'Inputs'!$B$32)/1000+'Inputs'!$B$21+'Inputs'!$B$9+'Inputs'!$B$10))/SQRT((((780-43)*MAX('Inputs'!$B$33,'Inputs'!$B$29+'Inputs'!$B$31+'Inputs'!$B$32,'Inputs'!$B$30+'Inputs'!$B$31+'Inputs'!$B$32)/1000+'Inputs'!$B$21+'Inputs'!$B$9+'Inputs'!$B$10))^2+('Inputs'!$B$6/2)^2))))*'Results'!$B$8)-'Inputs'!$B$28*ABS((('Results'!C7*(1-'Inputs'!$B$24)*(0.5*((((780-43)*MAX('Inputs'!$B$33,'Inputs'!$B$29+'Inputs'!$B$31+'Inputs'!$B$32,'Inputs'!$B$30+'Inputs'!$B$31+'Inputs'!$B$32)/1000+'Inputs'!$B$21)+'Inputs'!$B$9)/SQRT((((780-43)*MAX('Inputs'!$B$33,'Inputs'!$B$29+'Inputs'!$B$31+'Inputs'!$B$32,'Inputs'!$B$30+'Inputs'!$B$31+'Inputs'!$B$32)/1000+'Inputs'!$B$21)+'Inputs'!$B$9)^2+('Inputs'!$B$8/2)^2)-(((780-43)*MAX('Inputs'!$B$33,'Inputs'!$B$29+'Inputs'!$B$31+'Inputs'!$B$32,'Inputs'!$B$30+'Inputs'!$B$31+'Inputs'!$B$32)/1000+'Inputs'!$B$21))/SQRT((((780-43)*MAX('Inputs'!$B$33,'Inputs'!$B$29+'Inputs'!$B$31+'Inputs'!$B$32,'Inputs'!$B$30+'Inputs'!$B$31+'Inputs'!$B$32)/1000+'Inputs'!$B$21))^2+('Inputs'!$B$8/2)^2)))-'Results'!B7*(1+'Inputs'!$B$24)*(0.5*((((780-43)*MAX('Inputs'!$B$33,'Inputs'!$B$29+'Inputs'!$B$31+'Inputs'!$B$32,'Inputs'!$B$30+'Inputs'!$B$31+'Inputs'!$B$32)/1000+'Inputs'!$B$21+'Inputs'!$B$9+'Inputs'!$B$10)+'Inputs'!$B$7)/SQRT((((780-43)*MAX('Inputs'!$B$33,'Inputs'!$B$29+'Inputs'!$B$31+'Inputs'!$B$32,'Inputs'!$B$30+'Inputs'!$B$31+'Inputs'!$B$32)/1000+'Inputs'!$B$21+'Inputs'!$B$9+'Inputs'!$B$10)+'Inputs'!$B$7)^2+('Inputs'!$B$6/2)^2)-(((780-43)*MAX('Inputs'!$B$33,'Inputs'!$B$29+'Inputs'!$B$31+'Inputs'!$B$32,'Inputs'!$B$30+'Inputs'!$B$31+'Inputs'!$B$32)/1000+'Inputs'!$B$21+'Inputs'!$B$9+'Inputs'!$B$10))/SQRT((((780-43)*MAX('Inputs'!$B$33,'Inputs'!$B$29+'Inputs'!$B$31+'Inputs'!$B$32,'Inputs'!$B$30+'Inputs'!$B$31+'Inputs'!$B$32)/1000+'Inputs'!$B$21+'Inputs'!$B$9+'Inputs'!$B$10))^2+('Inputs'!$B$6/2)^2))))*'Results'!$B$8))),"")</x:f>
        <x:v>0.8328174760676628</x:v>
      </x:c>
      <x:c r="O780" t="n">
        <x:f>IF(AND(ISNUMBER('Results'!C7),ISNUMBER('Results'!B7),ISNUMBER('Results'!$B$8),ISNUMBER('Inputs'!$B$6),ISNUMBER('Inputs'!$B$7),ISNUMBER('Inputs'!$B$8),ISNUMBER('Inputs'!$B$9),ISNUMBER('Inputs'!$B$10),ISNUMBER('Inputs'!$B$21),ISNUMBER('Inputs'!$B$24),ISNUMBER('Inputs'!$B$28)),((('Results'!C7*(1+'Inputs'!$B$24)*(0.5*((((780-43)*MAX('Inputs'!$B$33,'Inputs'!$B$29+'Inputs'!$B$31+'Inputs'!$B$32,'Inputs'!$B$30+'Inputs'!$B$31+'Inputs'!$B$32)/1000+'Inputs'!$B$21)+'Inputs'!$B$9)/SQRT((((780-43)*MAX('Inputs'!$B$33,'Inputs'!$B$29+'Inputs'!$B$31+'Inputs'!$B$32,'Inputs'!$B$30+'Inputs'!$B$31+'Inputs'!$B$32)/1000+'Inputs'!$B$21)+'Inputs'!$B$9)^2+('Inputs'!$B$8/2)^2)-(((780-43)*MAX('Inputs'!$B$33,'Inputs'!$B$29+'Inputs'!$B$31+'Inputs'!$B$32,'Inputs'!$B$30+'Inputs'!$B$31+'Inputs'!$B$32)/1000+'Inputs'!$B$21))/SQRT((((780-43)*MAX('Inputs'!$B$33,'Inputs'!$B$29+'Inputs'!$B$31+'Inputs'!$B$32,'Inputs'!$B$30+'Inputs'!$B$31+'Inputs'!$B$32)/1000+'Inputs'!$B$21))^2+('Inputs'!$B$8/2)^2)))-'Results'!B7*(1-'Inputs'!$B$24)*(0.5*((((780-43)*MAX('Inputs'!$B$33,'Inputs'!$B$29+'Inputs'!$B$31+'Inputs'!$B$32,'Inputs'!$B$30+'Inputs'!$B$31+'Inputs'!$B$32)/1000+'Inputs'!$B$21+'Inputs'!$B$9+'Inputs'!$B$10)+'Inputs'!$B$7)/SQRT((((780-43)*MAX('Inputs'!$B$33,'Inputs'!$B$29+'Inputs'!$B$31+'Inputs'!$B$32,'Inputs'!$B$30+'Inputs'!$B$31+'Inputs'!$B$32)/1000+'Inputs'!$B$21+'Inputs'!$B$9+'Inputs'!$B$10)+'Inputs'!$B$7)^2+('Inputs'!$B$6/2)^2)-(((780-43)*MAX('Inputs'!$B$33,'Inputs'!$B$29+'Inputs'!$B$31+'Inputs'!$B$32,'Inputs'!$B$30+'Inputs'!$B$31+'Inputs'!$B$32)/1000+'Inputs'!$B$21+'Inputs'!$B$9+'Inputs'!$B$10))/SQRT((((780-43)*MAX('Inputs'!$B$33,'Inputs'!$B$29+'Inputs'!$B$31+'Inputs'!$B$32,'Inputs'!$B$30+'Inputs'!$B$31+'Inputs'!$B$32)/1000+'Inputs'!$B$21+'Inputs'!$B$9+'Inputs'!$B$10))^2+('Inputs'!$B$6/2)^2))))*'Results'!$B$8)+'Inputs'!$B$28*ABS((('Results'!C7*(1+'Inputs'!$B$24)*(0.5*((((780-43)*MAX('Inputs'!$B$33,'Inputs'!$B$29+'Inputs'!$B$31+'Inputs'!$B$32,'Inputs'!$B$30+'Inputs'!$B$31+'Inputs'!$B$32)/1000+'Inputs'!$B$21)+'Inputs'!$B$9)/SQRT((((780-43)*MAX('Inputs'!$B$33,'Inputs'!$B$29+'Inputs'!$B$31+'Inputs'!$B$32,'Inputs'!$B$30+'Inputs'!$B$31+'Inputs'!$B$32)/1000+'Inputs'!$B$21)+'Inputs'!$B$9)^2+('Inputs'!$B$8/2)^2)-(((780-43)*MAX('Inputs'!$B$33,'Inputs'!$B$29+'Inputs'!$B$31+'Inputs'!$B$32,'Inputs'!$B$30+'Inputs'!$B$31+'Inputs'!$B$32)/1000+'Inputs'!$B$21))/SQRT((((780-43)*MAX('Inputs'!$B$33,'Inputs'!$B$29+'Inputs'!$B$31+'Inputs'!$B$32,'Inputs'!$B$30+'Inputs'!$B$31+'Inputs'!$B$32)/1000+'Inputs'!$B$21))^2+('Inputs'!$B$8/2)^2)))-'Results'!B7*(1-'Inputs'!$B$24)*(0.5*((((780-43)*MAX('Inputs'!$B$33,'Inputs'!$B$29+'Inputs'!$B$31+'Inputs'!$B$32,'Inputs'!$B$30+'Inputs'!$B$31+'Inputs'!$B$32)/1000+'Inputs'!$B$21+'Inputs'!$B$9+'Inputs'!$B$10)+'Inputs'!$B$7)/SQRT((((780-43)*MAX('Inputs'!$B$33,'Inputs'!$B$29+'Inputs'!$B$31+'Inputs'!$B$32,'Inputs'!$B$30+'Inputs'!$B$31+'Inputs'!$B$32)/1000+'Inputs'!$B$21+'Inputs'!$B$9+'Inputs'!$B$10)+'Inputs'!$B$7)^2+('Inputs'!$B$6/2)^2)-(((780-43)*MAX('Inputs'!$B$33,'Inputs'!$B$29+'Inputs'!$B$31+'Inputs'!$B$32,'Inputs'!$B$30+'Inputs'!$B$31+'Inputs'!$B$32)/1000+'Inputs'!$B$21+'Inputs'!$B$9+'Inputs'!$B$10))/SQRT((((780-43)*MAX('Inputs'!$B$33,'Inputs'!$B$29+'Inputs'!$B$31+'Inputs'!$B$32,'Inputs'!$B$30+'Inputs'!$B$31+'Inputs'!$B$32)/1000+'Inputs'!$B$21+'Inputs'!$B$9+'Inputs'!$B$10))^2+('Inputs'!$B$6/2)^2))))*'Results'!$B$8))),"")</x:f>
        <x:v>1.1284056298720115</x:v>
      </x:c>
      <x:c r="P780" t="n">
        <x:f>IF(AND(MAX(J780,J779)&gt;0,J780&gt;J779+0.00000001),1,0)</x:f>
        <x:v>0</x:v>
      </x:c>
      <x:c r="Q780" t="n">
        <x:f>IF(AND(MAX(K780,K779)&gt;0,K780&gt;K779+0.00000001),1,0)</x:f>
        <x:v>0</x:v>
      </x:c>
      <x:c r="R780" t="n">
        <x:f>IF(AND(MAX(L780,L779)&gt;0,L780&gt;L779+0.00000001),1,0)</x:f>
        <x:v>0</x:v>
      </x:c>
      <x:c r="S780" t="n">
        <x:f>IF(AND(MAX(M780,M779)&gt;0,M780&gt;M779+0.00000001),1,0)</x:f>
        <x:v>0</x:v>
      </x:c>
      <x:c r="T780" t="n">
        <x:f>IF(AND(MAX(N780,N779)&gt;0,N780&gt;N779+0.00000001),1,0)</x:f>
        <x:v>0</x:v>
      </x:c>
      <x:c r="U780" t="n">
        <x:f>IF(AND(MAX(O780,O779)&gt;0,O780&gt;O779+0.00000001),1,0)</x:f>
        <x:v>0</x:v>
      </x:c>
    </x:row>
    <x:row r="781">
      <x:c r="J781" t="n">
        <x:f>IF(AND(ISNUMBER('Results'!B7),ISNUMBER('Results'!C7),ISNUMBER('Results'!$B$8),ISNUMBER('Inputs'!$B$6),ISNUMBER('Inputs'!$B$7),ISNUMBER('Inputs'!$B$8),ISNUMBER('Inputs'!$B$9),ISNUMBER('Inputs'!$B$10),ISNUMBER('Inputs'!$B$21),ISNUMBER('Inputs'!$B$24),ISNUMBER('Inputs'!$B$28)),(('Results'!B7*(0.5*((((781-43)*MAX('Inputs'!$B$33,'Inputs'!$B$29+'Inputs'!$B$31+'Inputs'!$B$32,'Inputs'!$B$30+'Inputs'!$B$31+'Inputs'!$B$32)/1000+'Inputs'!$B$21)+'Inputs'!$B$7)/SQRT((((781-43)*MAX('Inputs'!$B$33,'Inputs'!$B$29+'Inputs'!$B$31+'Inputs'!$B$32,'Inputs'!$B$30+'Inputs'!$B$31+'Inputs'!$B$32)/1000+'Inputs'!$B$21)+'Inputs'!$B$7)^2+('Inputs'!$B$6/2)^2)-(((781-43)*MAX('Inputs'!$B$33,'Inputs'!$B$29+'Inputs'!$B$31+'Inputs'!$B$32,'Inputs'!$B$30+'Inputs'!$B$31+'Inputs'!$B$32)/1000+'Inputs'!$B$21))/SQRT((((781-43)*MAX('Inputs'!$B$33,'Inputs'!$B$29+'Inputs'!$B$31+'Inputs'!$B$32,'Inputs'!$B$30+'Inputs'!$B$31+'Inputs'!$B$32)/1000+'Inputs'!$B$21))^2+('Inputs'!$B$6/2)^2)))-'Results'!C7*(0.5*((((781-43)*MAX('Inputs'!$B$33,'Inputs'!$B$29+'Inputs'!$B$31+'Inputs'!$B$32,'Inputs'!$B$30+'Inputs'!$B$31+'Inputs'!$B$32)/1000+'Inputs'!$B$21+'Inputs'!$B$7+'Inputs'!$B$10)+'Inputs'!$B$9)/SQRT((((781-43)*MAX('Inputs'!$B$33,'Inputs'!$B$29+'Inputs'!$B$31+'Inputs'!$B$32,'Inputs'!$B$30+'Inputs'!$B$31+'Inputs'!$B$32)/1000+'Inputs'!$B$21+'Inputs'!$B$7+'Inputs'!$B$10)+'Inputs'!$B$9)^2+('Inputs'!$B$8/2)^2)-(((781-43)*MAX('Inputs'!$B$33,'Inputs'!$B$29+'Inputs'!$B$31+'Inputs'!$B$32,'Inputs'!$B$30+'Inputs'!$B$31+'Inputs'!$B$32)/1000+'Inputs'!$B$21+'Inputs'!$B$7+'Inputs'!$B$10))/SQRT((((781-43)*MAX('Inputs'!$B$33,'Inputs'!$B$29+'Inputs'!$B$31+'Inputs'!$B$32,'Inputs'!$B$30+'Inputs'!$B$31+'Inputs'!$B$32)/1000+'Inputs'!$B$21+'Inputs'!$B$7+'Inputs'!$B$10))^2+('Inputs'!$B$8/2)^2))))*'Results'!$B$8),"")</x:f>
        <x:v>1.070685943670655</x:v>
      </x:c>
      <x:c r="K781" t="n">
        <x:f>IF(AND(ISNUMBER('Results'!B7),ISNUMBER('Results'!C7),ISNUMBER('Results'!$B$8),ISNUMBER('Inputs'!$B$6),ISNUMBER('Inputs'!$B$7),ISNUMBER('Inputs'!$B$8),ISNUMBER('Inputs'!$B$9),ISNUMBER('Inputs'!$B$10),ISNUMBER('Inputs'!$B$21),ISNUMBER('Inputs'!$B$24),ISNUMBER('Inputs'!$B$28)),((('Results'!B7*(1-'Inputs'!$B$24)*(0.5*((((781-43)*MAX('Inputs'!$B$33,'Inputs'!$B$29+'Inputs'!$B$31+'Inputs'!$B$32,'Inputs'!$B$30+'Inputs'!$B$31+'Inputs'!$B$32)/1000+'Inputs'!$B$21)+'Inputs'!$B$7)/SQRT((((781-43)*MAX('Inputs'!$B$33,'Inputs'!$B$29+'Inputs'!$B$31+'Inputs'!$B$32,'Inputs'!$B$30+'Inputs'!$B$31+'Inputs'!$B$32)/1000+'Inputs'!$B$21)+'Inputs'!$B$7)^2+('Inputs'!$B$6/2)^2)-(((781-43)*MAX('Inputs'!$B$33,'Inputs'!$B$29+'Inputs'!$B$31+'Inputs'!$B$32,'Inputs'!$B$30+'Inputs'!$B$31+'Inputs'!$B$32)/1000+'Inputs'!$B$21))/SQRT((((781-43)*MAX('Inputs'!$B$33,'Inputs'!$B$29+'Inputs'!$B$31+'Inputs'!$B$32,'Inputs'!$B$30+'Inputs'!$B$31+'Inputs'!$B$32)/1000+'Inputs'!$B$21))^2+('Inputs'!$B$6/2)^2)))-'Results'!C7*(1+'Inputs'!$B$24)*(0.5*((((781-43)*MAX('Inputs'!$B$33,'Inputs'!$B$29+'Inputs'!$B$31+'Inputs'!$B$32,'Inputs'!$B$30+'Inputs'!$B$31+'Inputs'!$B$32)/1000+'Inputs'!$B$21+'Inputs'!$B$7+'Inputs'!$B$10)+'Inputs'!$B$9)/SQRT((((781-43)*MAX('Inputs'!$B$33,'Inputs'!$B$29+'Inputs'!$B$31+'Inputs'!$B$32,'Inputs'!$B$30+'Inputs'!$B$31+'Inputs'!$B$32)/1000+'Inputs'!$B$21+'Inputs'!$B$7+'Inputs'!$B$10)+'Inputs'!$B$9)^2+('Inputs'!$B$8/2)^2)-(((781-43)*MAX('Inputs'!$B$33,'Inputs'!$B$29+'Inputs'!$B$31+'Inputs'!$B$32,'Inputs'!$B$30+'Inputs'!$B$31+'Inputs'!$B$32)/1000+'Inputs'!$B$21+'Inputs'!$B$7+'Inputs'!$B$10))/SQRT((((781-43)*MAX('Inputs'!$B$33,'Inputs'!$B$29+'Inputs'!$B$31+'Inputs'!$B$32,'Inputs'!$B$30+'Inputs'!$B$31+'Inputs'!$B$32)/1000+'Inputs'!$B$21+'Inputs'!$B$7+'Inputs'!$B$10))^2+('Inputs'!$B$8/2)^2))))*'Results'!$B$8)-'Inputs'!$B$28*ABS((('Results'!B7*(1-'Inputs'!$B$24)*(0.5*((((781-43)*MAX('Inputs'!$B$33,'Inputs'!$B$29+'Inputs'!$B$31+'Inputs'!$B$32,'Inputs'!$B$30+'Inputs'!$B$31+'Inputs'!$B$32)/1000+'Inputs'!$B$21)+'Inputs'!$B$7)/SQRT((((781-43)*MAX('Inputs'!$B$33,'Inputs'!$B$29+'Inputs'!$B$31+'Inputs'!$B$32,'Inputs'!$B$30+'Inputs'!$B$31+'Inputs'!$B$32)/1000+'Inputs'!$B$21)+'Inputs'!$B$7)^2+('Inputs'!$B$6/2)^2)-(((781-43)*MAX('Inputs'!$B$33,'Inputs'!$B$29+'Inputs'!$B$31+'Inputs'!$B$32,'Inputs'!$B$30+'Inputs'!$B$31+'Inputs'!$B$32)/1000+'Inputs'!$B$21))/SQRT((((781-43)*MAX('Inputs'!$B$33,'Inputs'!$B$29+'Inputs'!$B$31+'Inputs'!$B$32,'Inputs'!$B$30+'Inputs'!$B$31+'Inputs'!$B$32)/1000+'Inputs'!$B$21))^2+('Inputs'!$B$6/2)^2)))-'Results'!C7*(1+'Inputs'!$B$24)*(0.5*((((781-43)*MAX('Inputs'!$B$33,'Inputs'!$B$29+'Inputs'!$B$31+'Inputs'!$B$32,'Inputs'!$B$30+'Inputs'!$B$31+'Inputs'!$B$32)/1000+'Inputs'!$B$21+'Inputs'!$B$7+'Inputs'!$B$10)+'Inputs'!$B$9)/SQRT((((781-43)*MAX('Inputs'!$B$33,'Inputs'!$B$29+'Inputs'!$B$31+'Inputs'!$B$32,'Inputs'!$B$30+'Inputs'!$B$31+'Inputs'!$B$32)/1000+'Inputs'!$B$21+'Inputs'!$B$7+'Inputs'!$B$10)+'Inputs'!$B$9)^2+('Inputs'!$B$8/2)^2)-(((781-43)*MAX('Inputs'!$B$33,'Inputs'!$B$29+'Inputs'!$B$31+'Inputs'!$B$32,'Inputs'!$B$30+'Inputs'!$B$31+'Inputs'!$B$32)/1000+'Inputs'!$B$21+'Inputs'!$B$7+'Inputs'!$B$10))/SQRT((((781-43)*MAX('Inputs'!$B$33,'Inputs'!$B$29+'Inputs'!$B$31+'Inputs'!$B$32,'Inputs'!$B$30+'Inputs'!$B$31+'Inputs'!$B$32)/1000+'Inputs'!$B$21+'Inputs'!$B$7+'Inputs'!$B$10))^2+('Inputs'!$B$8/2)^2))))*'Results'!$B$8))),"")</x:f>
        <x:v>0.9230484226573544</x:v>
      </x:c>
      <x:c r="L781" t="n">
        <x:f>IF(AND(ISNUMBER('Results'!B7),ISNUMBER('Results'!C7),ISNUMBER('Results'!$B$8),ISNUMBER('Inputs'!$B$6),ISNUMBER('Inputs'!$B$7),ISNUMBER('Inputs'!$B$8),ISNUMBER('Inputs'!$B$9),ISNUMBER('Inputs'!$B$10),ISNUMBER('Inputs'!$B$21),ISNUMBER('Inputs'!$B$24),ISNUMBER('Inputs'!$B$28)),((('Results'!B7*(1+'Inputs'!$B$24)*(0.5*((((781-43)*MAX('Inputs'!$B$33,'Inputs'!$B$29+'Inputs'!$B$31+'Inputs'!$B$32,'Inputs'!$B$30+'Inputs'!$B$31+'Inputs'!$B$32)/1000+'Inputs'!$B$21)+'Inputs'!$B$7)/SQRT((((781-43)*MAX('Inputs'!$B$33,'Inputs'!$B$29+'Inputs'!$B$31+'Inputs'!$B$32,'Inputs'!$B$30+'Inputs'!$B$31+'Inputs'!$B$32)/1000+'Inputs'!$B$21)+'Inputs'!$B$7)^2+('Inputs'!$B$6/2)^2)-(((781-43)*MAX('Inputs'!$B$33,'Inputs'!$B$29+'Inputs'!$B$31+'Inputs'!$B$32,'Inputs'!$B$30+'Inputs'!$B$31+'Inputs'!$B$32)/1000+'Inputs'!$B$21))/SQRT((((781-43)*MAX('Inputs'!$B$33,'Inputs'!$B$29+'Inputs'!$B$31+'Inputs'!$B$32,'Inputs'!$B$30+'Inputs'!$B$31+'Inputs'!$B$32)/1000+'Inputs'!$B$21))^2+('Inputs'!$B$6/2)^2)))-'Results'!C7*(1-'Inputs'!$B$24)*(0.5*((((781-43)*MAX('Inputs'!$B$33,'Inputs'!$B$29+'Inputs'!$B$31+'Inputs'!$B$32,'Inputs'!$B$30+'Inputs'!$B$31+'Inputs'!$B$32)/1000+'Inputs'!$B$21+'Inputs'!$B$7+'Inputs'!$B$10)+'Inputs'!$B$9)/SQRT((((781-43)*MAX('Inputs'!$B$33,'Inputs'!$B$29+'Inputs'!$B$31+'Inputs'!$B$32,'Inputs'!$B$30+'Inputs'!$B$31+'Inputs'!$B$32)/1000+'Inputs'!$B$21+'Inputs'!$B$7+'Inputs'!$B$10)+'Inputs'!$B$9)^2+('Inputs'!$B$8/2)^2)-(((781-43)*MAX('Inputs'!$B$33,'Inputs'!$B$29+'Inputs'!$B$31+'Inputs'!$B$32,'Inputs'!$B$30+'Inputs'!$B$31+'Inputs'!$B$32)/1000+'Inputs'!$B$21+'Inputs'!$B$7+'Inputs'!$B$10))/SQRT((((781-43)*MAX('Inputs'!$B$33,'Inputs'!$B$29+'Inputs'!$B$31+'Inputs'!$B$32,'Inputs'!$B$30+'Inputs'!$B$31+'Inputs'!$B$32)/1000+'Inputs'!$B$21+'Inputs'!$B$7+'Inputs'!$B$10))^2+('Inputs'!$B$8/2)^2))))*'Results'!$B$8)+'Inputs'!$B$28*ABS((('Results'!B7*(1+'Inputs'!$B$24)*(0.5*((((781-43)*MAX('Inputs'!$B$33,'Inputs'!$B$29+'Inputs'!$B$31+'Inputs'!$B$32,'Inputs'!$B$30+'Inputs'!$B$31+'Inputs'!$B$32)/1000+'Inputs'!$B$21)+'Inputs'!$B$7)/SQRT((((781-43)*MAX('Inputs'!$B$33,'Inputs'!$B$29+'Inputs'!$B$31+'Inputs'!$B$32,'Inputs'!$B$30+'Inputs'!$B$31+'Inputs'!$B$32)/1000+'Inputs'!$B$21)+'Inputs'!$B$7)^2+('Inputs'!$B$6/2)^2)-(((781-43)*MAX('Inputs'!$B$33,'Inputs'!$B$29+'Inputs'!$B$31+'Inputs'!$B$32,'Inputs'!$B$30+'Inputs'!$B$31+'Inputs'!$B$32)/1000+'Inputs'!$B$21))/SQRT((((781-43)*MAX('Inputs'!$B$33,'Inputs'!$B$29+'Inputs'!$B$31+'Inputs'!$B$32,'Inputs'!$B$30+'Inputs'!$B$31+'Inputs'!$B$32)/1000+'Inputs'!$B$21))^2+('Inputs'!$B$6/2)^2)))-'Results'!C7*(1-'Inputs'!$B$24)*(0.5*((((781-43)*MAX('Inputs'!$B$33,'Inputs'!$B$29+'Inputs'!$B$31+'Inputs'!$B$32,'Inputs'!$B$30+'Inputs'!$B$31+'Inputs'!$B$32)/1000+'Inputs'!$B$21+'Inputs'!$B$7+'Inputs'!$B$10)+'Inputs'!$B$9)/SQRT((((781-43)*MAX('Inputs'!$B$33,'Inputs'!$B$29+'Inputs'!$B$31+'Inputs'!$B$32,'Inputs'!$B$30+'Inputs'!$B$31+'Inputs'!$B$32)/1000+'Inputs'!$B$21+'Inputs'!$B$7+'Inputs'!$B$10)+'Inputs'!$B$9)^2+('Inputs'!$B$8/2)^2)-(((781-43)*MAX('Inputs'!$B$33,'Inputs'!$B$29+'Inputs'!$B$31+'Inputs'!$B$32,'Inputs'!$B$30+'Inputs'!$B$31+'Inputs'!$B$32)/1000+'Inputs'!$B$21+'Inputs'!$B$7+'Inputs'!$B$10))/SQRT((((781-43)*MAX('Inputs'!$B$33,'Inputs'!$B$29+'Inputs'!$B$31+'Inputs'!$B$32,'Inputs'!$B$30+'Inputs'!$B$31+'Inputs'!$B$32)/1000+'Inputs'!$B$21+'Inputs'!$B$7+'Inputs'!$B$10))^2+('Inputs'!$B$8/2)^2))))*'Results'!$B$8))),"")</x:f>
        <x:v>1.2282290671923524</x:v>
      </x:c>
      <x:c r="M781" t="n">
        <x:f>IF(AND(ISNUMBER('Results'!C7),ISNUMBER('Results'!B7),ISNUMBER('Results'!$B$8),ISNUMBER('Inputs'!$B$6),ISNUMBER('Inputs'!$B$7),ISNUMBER('Inputs'!$B$8),ISNUMBER('Inputs'!$B$9),ISNUMBER('Inputs'!$B$10),ISNUMBER('Inputs'!$B$21),ISNUMBER('Inputs'!$B$24),ISNUMBER('Inputs'!$B$28)),(('Results'!C7*(0.5*((((781-43)*MAX('Inputs'!$B$33,'Inputs'!$B$29+'Inputs'!$B$31+'Inputs'!$B$32,'Inputs'!$B$30+'Inputs'!$B$31+'Inputs'!$B$32)/1000+'Inputs'!$B$21)+'Inputs'!$B$9)/SQRT((((781-43)*MAX('Inputs'!$B$33,'Inputs'!$B$29+'Inputs'!$B$31+'Inputs'!$B$32,'Inputs'!$B$30+'Inputs'!$B$31+'Inputs'!$B$32)/1000+'Inputs'!$B$21)+'Inputs'!$B$9)^2+('Inputs'!$B$8/2)^2)-(((781-43)*MAX('Inputs'!$B$33,'Inputs'!$B$29+'Inputs'!$B$31+'Inputs'!$B$32,'Inputs'!$B$30+'Inputs'!$B$31+'Inputs'!$B$32)/1000+'Inputs'!$B$21))/SQRT((((781-43)*MAX('Inputs'!$B$33,'Inputs'!$B$29+'Inputs'!$B$31+'Inputs'!$B$32,'Inputs'!$B$30+'Inputs'!$B$31+'Inputs'!$B$32)/1000+'Inputs'!$B$21))^2+('Inputs'!$B$8/2)^2)))-'Results'!B7*(0.5*((((781-43)*MAX('Inputs'!$B$33,'Inputs'!$B$29+'Inputs'!$B$31+'Inputs'!$B$32,'Inputs'!$B$30+'Inputs'!$B$31+'Inputs'!$B$32)/1000+'Inputs'!$B$21+'Inputs'!$B$9+'Inputs'!$B$10)+'Inputs'!$B$7)/SQRT((((781-43)*MAX('Inputs'!$B$33,'Inputs'!$B$29+'Inputs'!$B$31+'Inputs'!$B$32,'Inputs'!$B$30+'Inputs'!$B$31+'Inputs'!$B$32)/1000+'Inputs'!$B$21+'Inputs'!$B$9+'Inputs'!$B$10)+'Inputs'!$B$7)^2+('Inputs'!$B$6/2)^2)-(((781-43)*MAX('Inputs'!$B$33,'Inputs'!$B$29+'Inputs'!$B$31+'Inputs'!$B$32,'Inputs'!$B$30+'Inputs'!$B$31+'Inputs'!$B$32)/1000+'Inputs'!$B$21+'Inputs'!$B$9+'Inputs'!$B$10))/SQRT((((781-43)*MAX('Inputs'!$B$33,'Inputs'!$B$29+'Inputs'!$B$31+'Inputs'!$B$32,'Inputs'!$B$30+'Inputs'!$B$31+'Inputs'!$B$32)/1000+'Inputs'!$B$21+'Inputs'!$B$9+'Inputs'!$B$10))^2+('Inputs'!$B$6/2)^2))))*'Results'!$B$8),"")</x:f>
        <x:v>0.9708376501559693</x:v>
      </x:c>
      <x:c r="N781" t="n">
        <x:f>IF(AND(ISNUMBER('Results'!C7),ISNUMBER('Results'!B7),ISNUMBER('Results'!$B$8),ISNUMBER('Inputs'!$B$6),ISNUMBER('Inputs'!$B$7),ISNUMBER('Inputs'!$B$8),ISNUMBER('Inputs'!$B$9),ISNUMBER('Inputs'!$B$10),ISNUMBER('Inputs'!$B$21),ISNUMBER('Inputs'!$B$24),ISNUMBER('Inputs'!$B$28)),((('Results'!C7*(1-'Inputs'!$B$24)*(0.5*((((781-43)*MAX('Inputs'!$B$33,'Inputs'!$B$29+'Inputs'!$B$31+'Inputs'!$B$32,'Inputs'!$B$30+'Inputs'!$B$31+'Inputs'!$B$32)/1000+'Inputs'!$B$21)+'Inputs'!$B$9)/SQRT((((781-43)*MAX('Inputs'!$B$33,'Inputs'!$B$29+'Inputs'!$B$31+'Inputs'!$B$32,'Inputs'!$B$30+'Inputs'!$B$31+'Inputs'!$B$32)/1000+'Inputs'!$B$21)+'Inputs'!$B$9)^2+('Inputs'!$B$8/2)^2)-(((781-43)*MAX('Inputs'!$B$33,'Inputs'!$B$29+'Inputs'!$B$31+'Inputs'!$B$32,'Inputs'!$B$30+'Inputs'!$B$31+'Inputs'!$B$32)/1000+'Inputs'!$B$21))/SQRT((((781-43)*MAX('Inputs'!$B$33,'Inputs'!$B$29+'Inputs'!$B$31+'Inputs'!$B$32,'Inputs'!$B$30+'Inputs'!$B$31+'Inputs'!$B$32)/1000+'Inputs'!$B$21))^2+('Inputs'!$B$8/2)^2)))-'Results'!B7*(1+'Inputs'!$B$24)*(0.5*((((781-43)*MAX('Inputs'!$B$33,'Inputs'!$B$29+'Inputs'!$B$31+'Inputs'!$B$32,'Inputs'!$B$30+'Inputs'!$B$31+'Inputs'!$B$32)/1000+'Inputs'!$B$21+'Inputs'!$B$9+'Inputs'!$B$10)+'Inputs'!$B$7)/SQRT((((781-43)*MAX('Inputs'!$B$33,'Inputs'!$B$29+'Inputs'!$B$31+'Inputs'!$B$32,'Inputs'!$B$30+'Inputs'!$B$31+'Inputs'!$B$32)/1000+'Inputs'!$B$21+'Inputs'!$B$9+'Inputs'!$B$10)+'Inputs'!$B$7)^2+('Inputs'!$B$6/2)^2)-(((781-43)*MAX('Inputs'!$B$33,'Inputs'!$B$29+'Inputs'!$B$31+'Inputs'!$B$32,'Inputs'!$B$30+'Inputs'!$B$31+'Inputs'!$B$32)/1000+'Inputs'!$B$21+'Inputs'!$B$9+'Inputs'!$B$10))/SQRT((((781-43)*MAX('Inputs'!$B$33,'Inputs'!$B$29+'Inputs'!$B$31+'Inputs'!$B$32,'Inputs'!$B$30+'Inputs'!$B$31+'Inputs'!$B$32)/1000+'Inputs'!$B$21+'Inputs'!$B$9+'Inputs'!$B$10))^2+('Inputs'!$B$6/2)^2))))*'Results'!$B$8)-'Inputs'!$B$28*ABS((('Results'!C7*(1-'Inputs'!$B$24)*(0.5*((((781-43)*MAX('Inputs'!$B$33,'Inputs'!$B$29+'Inputs'!$B$31+'Inputs'!$B$32,'Inputs'!$B$30+'Inputs'!$B$31+'Inputs'!$B$32)/1000+'Inputs'!$B$21)+'Inputs'!$B$9)/SQRT((((781-43)*MAX('Inputs'!$B$33,'Inputs'!$B$29+'Inputs'!$B$31+'Inputs'!$B$32,'Inputs'!$B$30+'Inputs'!$B$31+'Inputs'!$B$32)/1000+'Inputs'!$B$21)+'Inputs'!$B$9)^2+('Inputs'!$B$8/2)^2)-(((781-43)*MAX('Inputs'!$B$33,'Inputs'!$B$29+'Inputs'!$B$31+'Inputs'!$B$32,'Inputs'!$B$30+'Inputs'!$B$31+'Inputs'!$B$32)/1000+'Inputs'!$B$21))/SQRT((((781-43)*MAX('Inputs'!$B$33,'Inputs'!$B$29+'Inputs'!$B$31+'Inputs'!$B$32,'Inputs'!$B$30+'Inputs'!$B$31+'Inputs'!$B$32)/1000+'Inputs'!$B$21))^2+('Inputs'!$B$8/2)^2)))-'Results'!B7*(1+'Inputs'!$B$24)*(0.5*((((781-43)*MAX('Inputs'!$B$33,'Inputs'!$B$29+'Inputs'!$B$31+'Inputs'!$B$32,'Inputs'!$B$30+'Inputs'!$B$31+'Inputs'!$B$32)/1000+'Inputs'!$B$21+'Inputs'!$B$9+'Inputs'!$B$10)+'Inputs'!$B$7)/SQRT((((781-43)*MAX('Inputs'!$B$33,'Inputs'!$B$29+'Inputs'!$B$31+'Inputs'!$B$32,'Inputs'!$B$30+'Inputs'!$B$31+'Inputs'!$B$32)/1000+'Inputs'!$B$21+'Inputs'!$B$9+'Inputs'!$B$10)+'Inputs'!$B$7)^2+('Inputs'!$B$6/2)^2)-(((781-43)*MAX('Inputs'!$B$33,'Inputs'!$B$29+'Inputs'!$B$31+'Inputs'!$B$32,'Inputs'!$B$30+'Inputs'!$B$31+'Inputs'!$B$32)/1000+'Inputs'!$B$21+'Inputs'!$B$9+'Inputs'!$B$10))/SQRT((((781-43)*MAX('Inputs'!$B$33,'Inputs'!$B$29+'Inputs'!$B$31+'Inputs'!$B$32,'Inputs'!$B$30+'Inputs'!$B$31+'Inputs'!$B$32)/1000+'Inputs'!$B$21+'Inputs'!$B$9+'Inputs'!$B$10))^2+('Inputs'!$B$6/2)^2))))*'Results'!$B$8))),"")</x:f>
        <x:v>0.8285843513768139</x:v>
      </x:c>
      <x:c r="O781" t="n">
        <x:f>IF(AND(ISNUMBER('Results'!C7),ISNUMBER('Results'!B7),ISNUMBER('Results'!$B$8),ISNUMBER('Inputs'!$B$6),ISNUMBER('Inputs'!$B$7),ISNUMBER('Inputs'!$B$8),ISNUMBER('Inputs'!$B$9),ISNUMBER('Inputs'!$B$10),ISNUMBER('Inputs'!$B$21),ISNUMBER('Inputs'!$B$24),ISNUMBER('Inputs'!$B$28)),((('Results'!C7*(1+'Inputs'!$B$24)*(0.5*((((781-43)*MAX('Inputs'!$B$33,'Inputs'!$B$29+'Inputs'!$B$31+'Inputs'!$B$32,'Inputs'!$B$30+'Inputs'!$B$31+'Inputs'!$B$32)/1000+'Inputs'!$B$21)+'Inputs'!$B$9)/SQRT((((781-43)*MAX('Inputs'!$B$33,'Inputs'!$B$29+'Inputs'!$B$31+'Inputs'!$B$32,'Inputs'!$B$30+'Inputs'!$B$31+'Inputs'!$B$32)/1000+'Inputs'!$B$21)+'Inputs'!$B$9)^2+('Inputs'!$B$8/2)^2)-(((781-43)*MAX('Inputs'!$B$33,'Inputs'!$B$29+'Inputs'!$B$31+'Inputs'!$B$32,'Inputs'!$B$30+'Inputs'!$B$31+'Inputs'!$B$32)/1000+'Inputs'!$B$21))/SQRT((((781-43)*MAX('Inputs'!$B$33,'Inputs'!$B$29+'Inputs'!$B$31+'Inputs'!$B$32,'Inputs'!$B$30+'Inputs'!$B$31+'Inputs'!$B$32)/1000+'Inputs'!$B$21))^2+('Inputs'!$B$8/2)^2)))-'Results'!B7*(1-'Inputs'!$B$24)*(0.5*((((781-43)*MAX('Inputs'!$B$33,'Inputs'!$B$29+'Inputs'!$B$31+'Inputs'!$B$32,'Inputs'!$B$30+'Inputs'!$B$31+'Inputs'!$B$32)/1000+'Inputs'!$B$21+'Inputs'!$B$9+'Inputs'!$B$10)+'Inputs'!$B$7)/SQRT((((781-43)*MAX('Inputs'!$B$33,'Inputs'!$B$29+'Inputs'!$B$31+'Inputs'!$B$32,'Inputs'!$B$30+'Inputs'!$B$31+'Inputs'!$B$32)/1000+'Inputs'!$B$21+'Inputs'!$B$9+'Inputs'!$B$10)+'Inputs'!$B$7)^2+('Inputs'!$B$6/2)^2)-(((781-43)*MAX('Inputs'!$B$33,'Inputs'!$B$29+'Inputs'!$B$31+'Inputs'!$B$32,'Inputs'!$B$30+'Inputs'!$B$31+'Inputs'!$B$32)/1000+'Inputs'!$B$21+'Inputs'!$B$9+'Inputs'!$B$10))/SQRT((((781-43)*MAX('Inputs'!$B$33,'Inputs'!$B$29+'Inputs'!$B$31+'Inputs'!$B$32,'Inputs'!$B$30+'Inputs'!$B$31+'Inputs'!$B$32)/1000+'Inputs'!$B$21+'Inputs'!$B$9+'Inputs'!$B$10))^2+('Inputs'!$B$6/2)^2))))*'Results'!$B$8)+'Inputs'!$B$28*ABS((('Results'!C7*(1+'Inputs'!$B$24)*(0.5*((((781-43)*MAX('Inputs'!$B$33,'Inputs'!$B$29+'Inputs'!$B$31+'Inputs'!$B$32,'Inputs'!$B$30+'Inputs'!$B$31+'Inputs'!$B$32)/1000+'Inputs'!$B$21)+'Inputs'!$B$9)/SQRT((((781-43)*MAX('Inputs'!$B$33,'Inputs'!$B$29+'Inputs'!$B$31+'Inputs'!$B$32,'Inputs'!$B$30+'Inputs'!$B$31+'Inputs'!$B$32)/1000+'Inputs'!$B$21)+'Inputs'!$B$9)^2+('Inputs'!$B$8/2)^2)-(((781-43)*MAX('Inputs'!$B$33,'Inputs'!$B$29+'Inputs'!$B$31+'Inputs'!$B$32,'Inputs'!$B$30+'Inputs'!$B$31+'Inputs'!$B$32)/1000+'Inputs'!$B$21))/SQRT((((781-43)*MAX('Inputs'!$B$33,'Inputs'!$B$29+'Inputs'!$B$31+'Inputs'!$B$32,'Inputs'!$B$30+'Inputs'!$B$31+'Inputs'!$B$32)/1000+'Inputs'!$B$21))^2+('Inputs'!$B$8/2)^2)))-'Results'!B7*(1-'Inputs'!$B$24)*(0.5*((((781-43)*MAX('Inputs'!$B$33,'Inputs'!$B$29+'Inputs'!$B$31+'Inputs'!$B$32,'Inputs'!$B$30+'Inputs'!$B$31+'Inputs'!$B$32)/1000+'Inputs'!$B$21+'Inputs'!$B$9+'Inputs'!$B$10)+'Inputs'!$B$7)/SQRT((((781-43)*MAX('Inputs'!$B$33,'Inputs'!$B$29+'Inputs'!$B$31+'Inputs'!$B$32,'Inputs'!$B$30+'Inputs'!$B$31+'Inputs'!$B$32)/1000+'Inputs'!$B$21+'Inputs'!$B$9+'Inputs'!$B$10)+'Inputs'!$B$7)^2+('Inputs'!$B$6/2)^2)-(((781-43)*MAX('Inputs'!$B$33,'Inputs'!$B$29+'Inputs'!$B$31+'Inputs'!$B$32,'Inputs'!$B$30+'Inputs'!$B$31+'Inputs'!$B$32)/1000+'Inputs'!$B$21+'Inputs'!$B$9+'Inputs'!$B$10))/SQRT((((781-43)*MAX('Inputs'!$B$33,'Inputs'!$B$29+'Inputs'!$B$31+'Inputs'!$B$32,'Inputs'!$B$30+'Inputs'!$B$31+'Inputs'!$B$32)/1000+'Inputs'!$B$21+'Inputs'!$B$9+'Inputs'!$B$10))^2+('Inputs'!$B$6/2)^2))))*'Results'!$B$8))),"")</x:f>
        <x:v>1.1229553085426354</x:v>
      </x:c>
      <x:c r="P781" t="n">
        <x:f>IF(AND(MAX(J781,J780)&gt;0,J781&gt;J780+0.00000001),1,0)</x:f>
        <x:v>0</x:v>
      </x:c>
      <x:c r="Q781" t="n">
        <x:f>IF(AND(MAX(K781,K780)&gt;0,K781&gt;K780+0.00000001),1,0)</x:f>
        <x:v>0</x:v>
      </x:c>
      <x:c r="R781" t="n">
        <x:f>IF(AND(MAX(L781,L780)&gt;0,L781&gt;L780+0.00000001),1,0)</x:f>
        <x:v>0</x:v>
      </x:c>
      <x:c r="S781" t="n">
        <x:f>IF(AND(MAX(M781,M780)&gt;0,M781&gt;M780+0.00000001),1,0)</x:f>
        <x:v>0</x:v>
      </x:c>
      <x:c r="T781" t="n">
        <x:f>IF(AND(MAX(N781,N780)&gt;0,N781&gt;N780+0.00000001),1,0)</x:f>
        <x:v>0</x:v>
      </x:c>
      <x:c r="U781" t="n">
        <x:f>IF(AND(MAX(O781,O780)&gt;0,O781&gt;O780+0.00000001),1,0)</x:f>
        <x:v>0</x:v>
      </x:c>
    </x:row>
    <x:row r="782">
      <x:c r="J782" t="n">
        <x:f>IF(AND(ISNUMBER('Results'!B7),ISNUMBER('Results'!C7),ISNUMBER('Results'!$B$8),ISNUMBER('Inputs'!$B$6),ISNUMBER('Inputs'!$B$7),ISNUMBER('Inputs'!$B$8),ISNUMBER('Inputs'!$B$9),ISNUMBER('Inputs'!$B$10),ISNUMBER('Inputs'!$B$21),ISNUMBER('Inputs'!$B$24),ISNUMBER('Inputs'!$B$28)),(('Results'!B7*(0.5*((((782-43)*MAX('Inputs'!$B$33,'Inputs'!$B$29+'Inputs'!$B$31+'Inputs'!$B$32,'Inputs'!$B$30+'Inputs'!$B$31+'Inputs'!$B$32)/1000+'Inputs'!$B$21)+'Inputs'!$B$7)/SQRT((((782-43)*MAX('Inputs'!$B$33,'Inputs'!$B$29+'Inputs'!$B$31+'Inputs'!$B$32,'Inputs'!$B$30+'Inputs'!$B$31+'Inputs'!$B$32)/1000+'Inputs'!$B$21)+'Inputs'!$B$7)^2+('Inputs'!$B$6/2)^2)-(((782-43)*MAX('Inputs'!$B$33,'Inputs'!$B$29+'Inputs'!$B$31+'Inputs'!$B$32,'Inputs'!$B$30+'Inputs'!$B$31+'Inputs'!$B$32)/1000+'Inputs'!$B$21))/SQRT((((782-43)*MAX('Inputs'!$B$33,'Inputs'!$B$29+'Inputs'!$B$31+'Inputs'!$B$32,'Inputs'!$B$30+'Inputs'!$B$31+'Inputs'!$B$32)/1000+'Inputs'!$B$21))^2+('Inputs'!$B$6/2)^2)))-'Results'!C7*(0.5*((((782-43)*MAX('Inputs'!$B$33,'Inputs'!$B$29+'Inputs'!$B$31+'Inputs'!$B$32,'Inputs'!$B$30+'Inputs'!$B$31+'Inputs'!$B$32)/1000+'Inputs'!$B$21+'Inputs'!$B$7+'Inputs'!$B$10)+'Inputs'!$B$9)/SQRT((((782-43)*MAX('Inputs'!$B$33,'Inputs'!$B$29+'Inputs'!$B$31+'Inputs'!$B$32,'Inputs'!$B$30+'Inputs'!$B$31+'Inputs'!$B$32)/1000+'Inputs'!$B$21+'Inputs'!$B$7+'Inputs'!$B$10)+'Inputs'!$B$9)^2+('Inputs'!$B$8/2)^2)-(((782-43)*MAX('Inputs'!$B$33,'Inputs'!$B$29+'Inputs'!$B$31+'Inputs'!$B$32,'Inputs'!$B$30+'Inputs'!$B$31+'Inputs'!$B$32)/1000+'Inputs'!$B$21+'Inputs'!$B$7+'Inputs'!$B$10))/SQRT((((782-43)*MAX('Inputs'!$B$33,'Inputs'!$B$29+'Inputs'!$B$31+'Inputs'!$B$32,'Inputs'!$B$30+'Inputs'!$B$31+'Inputs'!$B$32)/1000+'Inputs'!$B$21+'Inputs'!$B$7+'Inputs'!$B$10))^2+('Inputs'!$B$8/2)^2))))*'Results'!$B$8),"")</x:f>
        <x:v>1.0655218711659413</x:v>
      </x:c>
      <x:c r="K782" t="n">
        <x:f>IF(AND(ISNUMBER('Results'!B7),ISNUMBER('Results'!C7),ISNUMBER('Results'!$B$8),ISNUMBER('Inputs'!$B$6),ISNUMBER('Inputs'!$B$7),ISNUMBER('Inputs'!$B$8),ISNUMBER('Inputs'!$B$9),ISNUMBER('Inputs'!$B$10),ISNUMBER('Inputs'!$B$21),ISNUMBER('Inputs'!$B$24),ISNUMBER('Inputs'!$B$28)),((('Results'!B7*(1-'Inputs'!$B$24)*(0.5*((((782-43)*MAX('Inputs'!$B$33,'Inputs'!$B$29+'Inputs'!$B$31+'Inputs'!$B$32,'Inputs'!$B$30+'Inputs'!$B$31+'Inputs'!$B$32)/1000+'Inputs'!$B$21)+'Inputs'!$B$7)/SQRT((((782-43)*MAX('Inputs'!$B$33,'Inputs'!$B$29+'Inputs'!$B$31+'Inputs'!$B$32,'Inputs'!$B$30+'Inputs'!$B$31+'Inputs'!$B$32)/1000+'Inputs'!$B$21)+'Inputs'!$B$7)^2+('Inputs'!$B$6/2)^2)-(((782-43)*MAX('Inputs'!$B$33,'Inputs'!$B$29+'Inputs'!$B$31+'Inputs'!$B$32,'Inputs'!$B$30+'Inputs'!$B$31+'Inputs'!$B$32)/1000+'Inputs'!$B$21))/SQRT((((782-43)*MAX('Inputs'!$B$33,'Inputs'!$B$29+'Inputs'!$B$31+'Inputs'!$B$32,'Inputs'!$B$30+'Inputs'!$B$31+'Inputs'!$B$32)/1000+'Inputs'!$B$21))^2+('Inputs'!$B$6/2)^2)))-'Results'!C7*(1+'Inputs'!$B$24)*(0.5*((((782-43)*MAX('Inputs'!$B$33,'Inputs'!$B$29+'Inputs'!$B$31+'Inputs'!$B$32,'Inputs'!$B$30+'Inputs'!$B$31+'Inputs'!$B$32)/1000+'Inputs'!$B$21+'Inputs'!$B$7+'Inputs'!$B$10)+'Inputs'!$B$9)/SQRT((((782-43)*MAX('Inputs'!$B$33,'Inputs'!$B$29+'Inputs'!$B$31+'Inputs'!$B$32,'Inputs'!$B$30+'Inputs'!$B$31+'Inputs'!$B$32)/1000+'Inputs'!$B$21+'Inputs'!$B$7+'Inputs'!$B$10)+'Inputs'!$B$9)^2+('Inputs'!$B$8/2)^2)-(((782-43)*MAX('Inputs'!$B$33,'Inputs'!$B$29+'Inputs'!$B$31+'Inputs'!$B$32,'Inputs'!$B$30+'Inputs'!$B$31+'Inputs'!$B$32)/1000+'Inputs'!$B$21+'Inputs'!$B$7+'Inputs'!$B$10))/SQRT((((782-43)*MAX('Inputs'!$B$33,'Inputs'!$B$29+'Inputs'!$B$31+'Inputs'!$B$32,'Inputs'!$B$30+'Inputs'!$B$31+'Inputs'!$B$32)/1000+'Inputs'!$B$21+'Inputs'!$B$7+'Inputs'!$B$10))^2+('Inputs'!$B$8/2)^2))))*'Results'!$B$8)-'Inputs'!$B$28*ABS((('Results'!B7*(1-'Inputs'!$B$24)*(0.5*((((782-43)*MAX('Inputs'!$B$33,'Inputs'!$B$29+'Inputs'!$B$31+'Inputs'!$B$32,'Inputs'!$B$30+'Inputs'!$B$31+'Inputs'!$B$32)/1000+'Inputs'!$B$21)+'Inputs'!$B$7)/SQRT((((782-43)*MAX('Inputs'!$B$33,'Inputs'!$B$29+'Inputs'!$B$31+'Inputs'!$B$32,'Inputs'!$B$30+'Inputs'!$B$31+'Inputs'!$B$32)/1000+'Inputs'!$B$21)+'Inputs'!$B$7)^2+('Inputs'!$B$6/2)^2)-(((782-43)*MAX('Inputs'!$B$33,'Inputs'!$B$29+'Inputs'!$B$31+'Inputs'!$B$32,'Inputs'!$B$30+'Inputs'!$B$31+'Inputs'!$B$32)/1000+'Inputs'!$B$21))/SQRT((((782-43)*MAX('Inputs'!$B$33,'Inputs'!$B$29+'Inputs'!$B$31+'Inputs'!$B$32,'Inputs'!$B$30+'Inputs'!$B$31+'Inputs'!$B$32)/1000+'Inputs'!$B$21))^2+('Inputs'!$B$6/2)^2)))-'Results'!C7*(1+'Inputs'!$B$24)*(0.5*((((782-43)*MAX('Inputs'!$B$33,'Inputs'!$B$29+'Inputs'!$B$31+'Inputs'!$B$32,'Inputs'!$B$30+'Inputs'!$B$31+'Inputs'!$B$32)/1000+'Inputs'!$B$21+'Inputs'!$B$7+'Inputs'!$B$10)+'Inputs'!$B$9)/SQRT((((782-43)*MAX('Inputs'!$B$33,'Inputs'!$B$29+'Inputs'!$B$31+'Inputs'!$B$32,'Inputs'!$B$30+'Inputs'!$B$31+'Inputs'!$B$32)/1000+'Inputs'!$B$21+'Inputs'!$B$7+'Inputs'!$B$10)+'Inputs'!$B$9)^2+('Inputs'!$B$8/2)^2)-(((782-43)*MAX('Inputs'!$B$33,'Inputs'!$B$29+'Inputs'!$B$31+'Inputs'!$B$32,'Inputs'!$B$30+'Inputs'!$B$31+'Inputs'!$B$32)/1000+'Inputs'!$B$21+'Inputs'!$B$7+'Inputs'!$B$10))/SQRT((((782-43)*MAX('Inputs'!$B$33,'Inputs'!$B$29+'Inputs'!$B$31+'Inputs'!$B$32,'Inputs'!$B$30+'Inputs'!$B$31+'Inputs'!$B$32)/1000+'Inputs'!$B$21+'Inputs'!$B$7+'Inputs'!$B$10))^2+('Inputs'!$B$8/2)^2))))*'Results'!$B$8))),"")</x:f>
        <x:v>0.9184917953994891</x:v>
      </x:c>
      <x:c r="L782" t="n">
        <x:f>IF(AND(ISNUMBER('Results'!B7),ISNUMBER('Results'!C7),ISNUMBER('Results'!$B$8),ISNUMBER('Inputs'!$B$6),ISNUMBER('Inputs'!$B$7),ISNUMBER('Inputs'!$B$8),ISNUMBER('Inputs'!$B$9),ISNUMBER('Inputs'!$B$10),ISNUMBER('Inputs'!$B$21),ISNUMBER('Inputs'!$B$24),ISNUMBER('Inputs'!$B$28)),((('Results'!B7*(1+'Inputs'!$B$24)*(0.5*((((782-43)*MAX('Inputs'!$B$33,'Inputs'!$B$29+'Inputs'!$B$31+'Inputs'!$B$32,'Inputs'!$B$30+'Inputs'!$B$31+'Inputs'!$B$32)/1000+'Inputs'!$B$21)+'Inputs'!$B$7)/SQRT((((782-43)*MAX('Inputs'!$B$33,'Inputs'!$B$29+'Inputs'!$B$31+'Inputs'!$B$32,'Inputs'!$B$30+'Inputs'!$B$31+'Inputs'!$B$32)/1000+'Inputs'!$B$21)+'Inputs'!$B$7)^2+('Inputs'!$B$6/2)^2)-(((782-43)*MAX('Inputs'!$B$33,'Inputs'!$B$29+'Inputs'!$B$31+'Inputs'!$B$32,'Inputs'!$B$30+'Inputs'!$B$31+'Inputs'!$B$32)/1000+'Inputs'!$B$21))/SQRT((((782-43)*MAX('Inputs'!$B$33,'Inputs'!$B$29+'Inputs'!$B$31+'Inputs'!$B$32,'Inputs'!$B$30+'Inputs'!$B$31+'Inputs'!$B$32)/1000+'Inputs'!$B$21))^2+('Inputs'!$B$6/2)^2)))-'Results'!C7*(1-'Inputs'!$B$24)*(0.5*((((782-43)*MAX('Inputs'!$B$33,'Inputs'!$B$29+'Inputs'!$B$31+'Inputs'!$B$32,'Inputs'!$B$30+'Inputs'!$B$31+'Inputs'!$B$32)/1000+'Inputs'!$B$21+'Inputs'!$B$7+'Inputs'!$B$10)+'Inputs'!$B$9)/SQRT((((782-43)*MAX('Inputs'!$B$33,'Inputs'!$B$29+'Inputs'!$B$31+'Inputs'!$B$32,'Inputs'!$B$30+'Inputs'!$B$31+'Inputs'!$B$32)/1000+'Inputs'!$B$21+'Inputs'!$B$7+'Inputs'!$B$10)+'Inputs'!$B$9)^2+('Inputs'!$B$8/2)^2)-(((782-43)*MAX('Inputs'!$B$33,'Inputs'!$B$29+'Inputs'!$B$31+'Inputs'!$B$32,'Inputs'!$B$30+'Inputs'!$B$31+'Inputs'!$B$32)/1000+'Inputs'!$B$21+'Inputs'!$B$7+'Inputs'!$B$10))/SQRT((((782-43)*MAX('Inputs'!$B$33,'Inputs'!$B$29+'Inputs'!$B$31+'Inputs'!$B$32,'Inputs'!$B$30+'Inputs'!$B$31+'Inputs'!$B$32)/1000+'Inputs'!$B$21+'Inputs'!$B$7+'Inputs'!$B$10))^2+('Inputs'!$B$8/2)^2))))*'Results'!$B$8)+'Inputs'!$B$28*ABS((('Results'!B7*(1+'Inputs'!$B$24)*(0.5*((((782-43)*MAX('Inputs'!$B$33,'Inputs'!$B$29+'Inputs'!$B$31+'Inputs'!$B$32,'Inputs'!$B$30+'Inputs'!$B$31+'Inputs'!$B$32)/1000+'Inputs'!$B$21)+'Inputs'!$B$7)/SQRT((((782-43)*MAX('Inputs'!$B$33,'Inputs'!$B$29+'Inputs'!$B$31+'Inputs'!$B$32,'Inputs'!$B$30+'Inputs'!$B$31+'Inputs'!$B$32)/1000+'Inputs'!$B$21)+'Inputs'!$B$7)^2+('Inputs'!$B$6/2)^2)-(((782-43)*MAX('Inputs'!$B$33,'Inputs'!$B$29+'Inputs'!$B$31+'Inputs'!$B$32,'Inputs'!$B$30+'Inputs'!$B$31+'Inputs'!$B$32)/1000+'Inputs'!$B$21))/SQRT((((782-43)*MAX('Inputs'!$B$33,'Inputs'!$B$29+'Inputs'!$B$31+'Inputs'!$B$32,'Inputs'!$B$30+'Inputs'!$B$31+'Inputs'!$B$32)/1000+'Inputs'!$B$21))^2+('Inputs'!$B$6/2)^2)))-'Results'!C7*(1-'Inputs'!$B$24)*(0.5*((((782-43)*MAX('Inputs'!$B$33,'Inputs'!$B$29+'Inputs'!$B$31+'Inputs'!$B$32,'Inputs'!$B$30+'Inputs'!$B$31+'Inputs'!$B$32)/1000+'Inputs'!$B$21+'Inputs'!$B$7+'Inputs'!$B$10)+'Inputs'!$B$9)/SQRT((((782-43)*MAX('Inputs'!$B$33,'Inputs'!$B$29+'Inputs'!$B$31+'Inputs'!$B$32,'Inputs'!$B$30+'Inputs'!$B$31+'Inputs'!$B$32)/1000+'Inputs'!$B$21+'Inputs'!$B$7+'Inputs'!$B$10)+'Inputs'!$B$9)^2+('Inputs'!$B$8/2)^2)-(((782-43)*MAX('Inputs'!$B$33,'Inputs'!$B$29+'Inputs'!$B$31+'Inputs'!$B$32,'Inputs'!$B$30+'Inputs'!$B$31+'Inputs'!$B$32)/1000+'Inputs'!$B$21+'Inputs'!$B$7+'Inputs'!$B$10))/SQRT((((782-43)*MAX('Inputs'!$B$33,'Inputs'!$B$29+'Inputs'!$B$31+'Inputs'!$B$32,'Inputs'!$B$30+'Inputs'!$B$31+'Inputs'!$B$32)/1000+'Inputs'!$B$21+'Inputs'!$B$7+'Inputs'!$B$10))^2+('Inputs'!$B$8/2)^2))))*'Results'!$B$8))),"")</x:f>
        <x:v>1.2224207871648307</x:v>
      </x:c>
      <x:c r="M782" t="n">
        <x:f>IF(AND(ISNUMBER('Results'!C7),ISNUMBER('Results'!B7),ISNUMBER('Results'!$B$8),ISNUMBER('Inputs'!$B$6),ISNUMBER('Inputs'!$B$7),ISNUMBER('Inputs'!$B$8),ISNUMBER('Inputs'!$B$9),ISNUMBER('Inputs'!$B$10),ISNUMBER('Inputs'!$B$21),ISNUMBER('Inputs'!$B$24),ISNUMBER('Inputs'!$B$28)),(('Results'!C7*(0.5*((((782-43)*MAX('Inputs'!$B$33,'Inputs'!$B$29+'Inputs'!$B$31+'Inputs'!$B$32,'Inputs'!$B$30+'Inputs'!$B$31+'Inputs'!$B$32)/1000+'Inputs'!$B$21)+'Inputs'!$B$9)/SQRT((((782-43)*MAX('Inputs'!$B$33,'Inputs'!$B$29+'Inputs'!$B$31+'Inputs'!$B$32,'Inputs'!$B$30+'Inputs'!$B$31+'Inputs'!$B$32)/1000+'Inputs'!$B$21)+'Inputs'!$B$9)^2+('Inputs'!$B$8/2)^2)-(((782-43)*MAX('Inputs'!$B$33,'Inputs'!$B$29+'Inputs'!$B$31+'Inputs'!$B$32,'Inputs'!$B$30+'Inputs'!$B$31+'Inputs'!$B$32)/1000+'Inputs'!$B$21))/SQRT((((782-43)*MAX('Inputs'!$B$33,'Inputs'!$B$29+'Inputs'!$B$31+'Inputs'!$B$32,'Inputs'!$B$30+'Inputs'!$B$31+'Inputs'!$B$32)/1000+'Inputs'!$B$21))^2+('Inputs'!$B$8/2)^2)))-'Results'!B7*(0.5*((((782-43)*MAX('Inputs'!$B$33,'Inputs'!$B$29+'Inputs'!$B$31+'Inputs'!$B$32,'Inputs'!$B$30+'Inputs'!$B$31+'Inputs'!$B$32)/1000+'Inputs'!$B$21+'Inputs'!$B$9+'Inputs'!$B$10)+'Inputs'!$B$7)/SQRT((((782-43)*MAX('Inputs'!$B$33,'Inputs'!$B$29+'Inputs'!$B$31+'Inputs'!$B$32,'Inputs'!$B$30+'Inputs'!$B$31+'Inputs'!$B$32)/1000+'Inputs'!$B$21+'Inputs'!$B$9+'Inputs'!$B$10)+'Inputs'!$B$7)^2+('Inputs'!$B$6/2)^2)-(((782-43)*MAX('Inputs'!$B$33,'Inputs'!$B$29+'Inputs'!$B$31+'Inputs'!$B$32,'Inputs'!$B$30+'Inputs'!$B$31+'Inputs'!$B$32)/1000+'Inputs'!$B$21+'Inputs'!$B$9+'Inputs'!$B$10))/SQRT((((782-43)*MAX('Inputs'!$B$33,'Inputs'!$B$29+'Inputs'!$B$31+'Inputs'!$B$32,'Inputs'!$B$30+'Inputs'!$B$31+'Inputs'!$B$32)/1000+'Inputs'!$B$21+'Inputs'!$B$9+'Inputs'!$B$10))^2+('Inputs'!$B$6/2)^2))))*'Results'!$B$8),"")</x:f>
        <x:v>0.9660438977711491</x:v>
      </x:c>
      <x:c r="N782" t="n">
        <x:f>IF(AND(ISNUMBER('Results'!C7),ISNUMBER('Results'!B7),ISNUMBER('Results'!$B$8),ISNUMBER('Inputs'!$B$6),ISNUMBER('Inputs'!$B$7),ISNUMBER('Inputs'!$B$8),ISNUMBER('Inputs'!$B$9),ISNUMBER('Inputs'!$B$10),ISNUMBER('Inputs'!$B$21),ISNUMBER('Inputs'!$B$24),ISNUMBER('Inputs'!$B$28)),((('Results'!C7*(1-'Inputs'!$B$24)*(0.5*((((782-43)*MAX('Inputs'!$B$33,'Inputs'!$B$29+'Inputs'!$B$31+'Inputs'!$B$32,'Inputs'!$B$30+'Inputs'!$B$31+'Inputs'!$B$32)/1000+'Inputs'!$B$21)+'Inputs'!$B$9)/SQRT((((782-43)*MAX('Inputs'!$B$33,'Inputs'!$B$29+'Inputs'!$B$31+'Inputs'!$B$32,'Inputs'!$B$30+'Inputs'!$B$31+'Inputs'!$B$32)/1000+'Inputs'!$B$21)+'Inputs'!$B$9)^2+('Inputs'!$B$8/2)^2)-(((782-43)*MAX('Inputs'!$B$33,'Inputs'!$B$29+'Inputs'!$B$31+'Inputs'!$B$32,'Inputs'!$B$30+'Inputs'!$B$31+'Inputs'!$B$32)/1000+'Inputs'!$B$21))/SQRT((((782-43)*MAX('Inputs'!$B$33,'Inputs'!$B$29+'Inputs'!$B$31+'Inputs'!$B$32,'Inputs'!$B$30+'Inputs'!$B$31+'Inputs'!$B$32)/1000+'Inputs'!$B$21))^2+('Inputs'!$B$8/2)^2)))-'Results'!B7*(1+'Inputs'!$B$24)*(0.5*((((782-43)*MAX('Inputs'!$B$33,'Inputs'!$B$29+'Inputs'!$B$31+'Inputs'!$B$32,'Inputs'!$B$30+'Inputs'!$B$31+'Inputs'!$B$32)/1000+'Inputs'!$B$21+'Inputs'!$B$9+'Inputs'!$B$10)+'Inputs'!$B$7)/SQRT((((782-43)*MAX('Inputs'!$B$33,'Inputs'!$B$29+'Inputs'!$B$31+'Inputs'!$B$32,'Inputs'!$B$30+'Inputs'!$B$31+'Inputs'!$B$32)/1000+'Inputs'!$B$21+'Inputs'!$B$9+'Inputs'!$B$10)+'Inputs'!$B$7)^2+('Inputs'!$B$6/2)^2)-(((782-43)*MAX('Inputs'!$B$33,'Inputs'!$B$29+'Inputs'!$B$31+'Inputs'!$B$32,'Inputs'!$B$30+'Inputs'!$B$31+'Inputs'!$B$32)/1000+'Inputs'!$B$21+'Inputs'!$B$9+'Inputs'!$B$10))/SQRT((((782-43)*MAX('Inputs'!$B$33,'Inputs'!$B$29+'Inputs'!$B$31+'Inputs'!$B$32,'Inputs'!$B$30+'Inputs'!$B$31+'Inputs'!$B$32)/1000+'Inputs'!$B$21+'Inputs'!$B$9+'Inputs'!$B$10))^2+('Inputs'!$B$6/2)^2))))*'Results'!$B$8)-'Inputs'!$B$28*ABS((('Results'!C7*(1-'Inputs'!$B$24)*(0.5*((((782-43)*MAX('Inputs'!$B$33,'Inputs'!$B$29+'Inputs'!$B$31+'Inputs'!$B$32,'Inputs'!$B$30+'Inputs'!$B$31+'Inputs'!$B$32)/1000+'Inputs'!$B$21)+'Inputs'!$B$9)/SQRT((((782-43)*MAX('Inputs'!$B$33,'Inputs'!$B$29+'Inputs'!$B$31+'Inputs'!$B$32,'Inputs'!$B$30+'Inputs'!$B$31+'Inputs'!$B$32)/1000+'Inputs'!$B$21)+'Inputs'!$B$9)^2+('Inputs'!$B$8/2)^2)-(((782-43)*MAX('Inputs'!$B$33,'Inputs'!$B$29+'Inputs'!$B$31+'Inputs'!$B$32,'Inputs'!$B$30+'Inputs'!$B$31+'Inputs'!$B$32)/1000+'Inputs'!$B$21))/SQRT((((782-43)*MAX('Inputs'!$B$33,'Inputs'!$B$29+'Inputs'!$B$31+'Inputs'!$B$32,'Inputs'!$B$30+'Inputs'!$B$31+'Inputs'!$B$32)/1000+'Inputs'!$B$21))^2+('Inputs'!$B$8/2)^2)))-'Results'!B7*(1+'Inputs'!$B$24)*(0.5*((((782-43)*MAX('Inputs'!$B$33,'Inputs'!$B$29+'Inputs'!$B$31+'Inputs'!$B$32,'Inputs'!$B$30+'Inputs'!$B$31+'Inputs'!$B$32)/1000+'Inputs'!$B$21+'Inputs'!$B$9+'Inputs'!$B$10)+'Inputs'!$B$7)/SQRT((((782-43)*MAX('Inputs'!$B$33,'Inputs'!$B$29+'Inputs'!$B$31+'Inputs'!$B$32,'Inputs'!$B$30+'Inputs'!$B$31+'Inputs'!$B$32)/1000+'Inputs'!$B$21+'Inputs'!$B$9+'Inputs'!$B$10)+'Inputs'!$B$7)^2+('Inputs'!$B$6/2)^2)-(((782-43)*MAX('Inputs'!$B$33,'Inputs'!$B$29+'Inputs'!$B$31+'Inputs'!$B$32,'Inputs'!$B$30+'Inputs'!$B$31+'Inputs'!$B$32)/1000+'Inputs'!$B$21+'Inputs'!$B$9+'Inputs'!$B$10))/SQRT((((782-43)*MAX('Inputs'!$B$33,'Inputs'!$B$29+'Inputs'!$B$31+'Inputs'!$B$32,'Inputs'!$B$30+'Inputs'!$B$31+'Inputs'!$B$32)/1000+'Inputs'!$B$21+'Inputs'!$B$9+'Inputs'!$B$10))^2+('Inputs'!$B$6/2)^2))))*'Results'!$B$8))),"")</x:f>
        <x:v>0.8243776171351416</x:v>
      </x:c>
      <x:c r="O782" t="n">
        <x:f>IF(AND(ISNUMBER('Results'!C7),ISNUMBER('Results'!B7),ISNUMBER('Results'!$B$8),ISNUMBER('Inputs'!$B$6),ISNUMBER('Inputs'!$B$7),ISNUMBER('Inputs'!$B$8),ISNUMBER('Inputs'!$B$9),ISNUMBER('Inputs'!$B$10),ISNUMBER('Inputs'!$B$21),ISNUMBER('Inputs'!$B$24),ISNUMBER('Inputs'!$B$28)),((('Results'!C7*(1+'Inputs'!$B$24)*(0.5*((((782-43)*MAX('Inputs'!$B$33,'Inputs'!$B$29+'Inputs'!$B$31+'Inputs'!$B$32,'Inputs'!$B$30+'Inputs'!$B$31+'Inputs'!$B$32)/1000+'Inputs'!$B$21)+'Inputs'!$B$9)/SQRT((((782-43)*MAX('Inputs'!$B$33,'Inputs'!$B$29+'Inputs'!$B$31+'Inputs'!$B$32,'Inputs'!$B$30+'Inputs'!$B$31+'Inputs'!$B$32)/1000+'Inputs'!$B$21)+'Inputs'!$B$9)^2+('Inputs'!$B$8/2)^2)-(((782-43)*MAX('Inputs'!$B$33,'Inputs'!$B$29+'Inputs'!$B$31+'Inputs'!$B$32,'Inputs'!$B$30+'Inputs'!$B$31+'Inputs'!$B$32)/1000+'Inputs'!$B$21))/SQRT((((782-43)*MAX('Inputs'!$B$33,'Inputs'!$B$29+'Inputs'!$B$31+'Inputs'!$B$32,'Inputs'!$B$30+'Inputs'!$B$31+'Inputs'!$B$32)/1000+'Inputs'!$B$21))^2+('Inputs'!$B$8/2)^2)))-'Results'!B7*(1-'Inputs'!$B$24)*(0.5*((((782-43)*MAX('Inputs'!$B$33,'Inputs'!$B$29+'Inputs'!$B$31+'Inputs'!$B$32,'Inputs'!$B$30+'Inputs'!$B$31+'Inputs'!$B$32)/1000+'Inputs'!$B$21+'Inputs'!$B$9+'Inputs'!$B$10)+'Inputs'!$B$7)/SQRT((((782-43)*MAX('Inputs'!$B$33,'Inputs'!$B$29+'Inputs'!$B$31+'Inputs'!$B$32,'Inputs'!$B$30+'Inputs'!$B$31+'Inputs'!$B$32)/1000+'Inputs'!$B$21+'Inputs'!$B$9+'Inputs'!$B$10)+'Inputs'!$B$7)^2+('Inputs'!$B$6/2)^2)-(((782-43)*MAX('Inputs'!$B$33,'Inputs'!$B$29+'Inputs'!$B$31+'Inputs'!$B$32,'Inputs'!$B$30+'Inputs'!$B$31+'Inputs'!$B$32)/1000+'Inputs'!$B$21+'Inputs'!$B$9+'Inputs'!$B$10))/SQRT((((782-43)*MAX('Inputs'!$B$33,'Inputs'!$B$29+'Inputs'!$B$31+'Inputs'!$B$32,'Inputs'!$B$30+'Inputs'!$B$31+'Inputs'!$B$32)/1000+'Inputs'!$B$21+'Inputs'!$B$9+'Inputs'!$B$10))^2+('Inputs'!$B$6/2)^2))))*'Results'!$B$8)+'Inputs'!$B$28*ABS((('Results'!C7*(1+'Inputs'!$B$24)*(0.5*((((782-43)*MAX('Inputs'!$B$33,'Inputs'!$B$29+'Inputs'!$B$31+'Inputs'!$B$32,'Inputs'!$B$30+'Inputs'!$B$31+'Inputs'!$B$32)/1000+'Inputs'!$B$21)+'Inputs'!$B$9)/SQRT((((782-43)*MAX('Inputs'!$B$33,'Inputs'!$B$29+'Inputs'!$B$31+'Inputs'!$B$32,'Inputs'!$B$30+'Inputs'!$B$31+'Inputs'!$B$32)/1000+'Inputs'!$B$21)+'Inputs'!$B$9)^2+('Inputs'!$B$8/2)^2)-(((782-43)*MAX('Inputs'!$B$33,'Inputs'!$B$29+'Inputs'!$B$31+'Inputs'!$B$32,'Inputs'!$B$30+'Inputs'!$B$31+'Inputs'!$B$32)/1000+'Inputs'!$B$21))/SQRT((((782-43)*MAX('Inputs'!$B$33,'Inputs'!$B$29+'Inputs'!$B$31+'Inputs'!$B$32,'Inputs'!$B$30+'Inputs'!$B$31+'Inputs'!$B$32)/1000+'Inputs'!$B$21))^2+('Inputs'!$B$8/2)^2)))-'Results'!B7*(1-'Inputs'!$B$24)*(0.5*((((782-43)*MAX('Inputs'!$B$33,'Inputs'!$B$29+'Inputs'!$B$31+'Inputs'!$B$32,'Inputs'!$B$30+'Inputs'!$B$31+'Inputs'!$B$32)/1000+'Inputs'!$B$21+'Inputs'!$B$9+'Inputs'!$B$10)+'Inputs'!$B$7)/SQRT((((782-43)*MAX('Inputs'!$B$33,'Inputs'!$B$29+'Inputs'!$B$31+'Inputs'!$B$32,'Inputs'!$B$30+'Inputs'!$B$31+'Inputs'!$B$32)/1000+'Inputs'!$B$21+'Inputs'!$B$9+'Inputs'!$B$10)+'Inputs'!$B$7)^2+('Inputs'!$B$6/2)^2)-(((782-43)*MAX('Inputs'!$B$33,'Inputs'!$B$29+'Inputs'!$B$31+'Inputs'!$B$32,'Inputs'!$B$30+'Inputs'!$B$31+'Inputs'!$B$32)/1000+'Inputs'!$B$21+'Inputs'!$B$9+'Inputs'!$B$10))/SQRT((((782-43)*MAX('Inputs'!$B$33,'Inputs'!$B$29+'Inputs'!$B$31+'Inputs'!$B$32,'Inputs'!$B$30+'Inputs'!$B$31+'Inputs'!$B$32)/1000+'Inputs'!$B$21+'Inputs'!$B$9+'Inputs'!$B$10))^2+('Inputs'!$B$6/2)^2))))*'Results'!$B$8))),"")</x:f>
        <x:v>1.1175379769068878</x:v>
      </x:c>
      <x:c r="P782" t="n">
        <x:f>IF(AND(MAX(J782,J781)&gt;0,J782&gt;J781+0.00000001),1,0)</x:f>
        <x:v>0</x:v>
      </x:c>
      <x:c r="Q782" t="n">
        <x:f>IF(AND(MAX(K782,K781)&gt;0,K782&gt;K781+0.00000001),1,0)</x:f>
        <x:v>0</x:v>
      </x:c>
      <x:c r="R782" t="n">
        <x:f>IF(AND(MAX(L782,L781)&gt;0,L782&gt;L781+0.00000001),1,0)</x:f>
        <x:v>0</x:v>
      </x:c>
      <x:c r="S782" t="n">
        <x:f>IF(AND(MAX(M782,M781)&gt;0,M782&gt;M781+0.00000001),1,0)</x:f>
        <x:v>0</x:v>
      </x:c>
      <x:c r="T782" t="n">
        <x:f>IF(AND(MAX(N782,N781)&gt;0,N782&gt;N781+0.00000001),1,0)</x:f>
        <x:v>0</x:v>
      </x:c>
      <x:c r="U782" t="n">
        <x:f>IF(AND(MAX(O782,O781)&gt;0,O782&gt;O781+0.00000001),1,0)</x:f>
        <x:v>0</x:v>
      </x:c>
    </x:row>
    <x:row r="783">
      <x:c r="J783" t="n">
        <x:f>IF(AND(ISNUMBER('Results'!B7),ISNUMBER('Results'!C7),ISNUMBER('Results'!$B$8),ISNUMBER('Inputs'!$B$6),ISNUMBER('Inputs'!$B$7),ISNUMBER('Inputs'!$B$8),ISNUMBER('Inputs'!$B$9),ISNUMBER('Inputs'!$B$10),ISNUMBER('Inputs'!$B$21),ISNUMBER('Inputs'!$B$24),ISNUMBER('Inputs'!$B$28)),(('Results'!B7*(0.5*((((783-43)*MAX('Inputs'!$B$33,'Inputs'!$B$29+'Inputs'!$B$31+'Inputs'!$B$32,'Inputs'!$B$30+'Inputs'!$B$31+'Inputs'!$B$32)/1000+'Inputs'!$B$21)+'Inputs'!$B$7)/SQRT((((783-43)*MAX('Inputs'!$B$33,'Inputs'!$B$29+'Inputs'!$B$31+'Inputs'!$B$32,'Inputs'!$B$30+'Inputs'!$B$31+'Inputs'!$B$32)/1000+'Inputs'!$B$21)+'Inputs'!$B$7)^2+('Inputs'!$B$6/2)^2)-(((783-43)*MAX('Inputs'!$B$33,'Inputs'!$B$29+'Inputs'!$B$31+'Inputs'!$B$32,'Inputs'!$B$30+'Inputs'!$B$31+'Inputs'!$B$32)/1000+'Inputs'!$B$21))/SQRT((((783-43)*MAX('Inputs'!$B$33,'Inputs'!$B$29+'Inputs'!$B$31+'Inputs'!$B$32,'Inputs'!$B$30+'Inputs'!$B$31+'Inputs'!$B$32)/1000+'Inputs'!$B$21))^2+('Inputs'!$B$6/2)^2)))-'Results'!C7*(0.5*((((783-43)*MAX('Inputs'!$B$33,'Inputs'!$B$29+'Inputs'!$B$31+'Inputs'!$B$32,'Inputs'!$B$30+'Inputs'!$B$31+'Inputs'!$B$32)/1000+'Inputs'!$B$21+'Inputs'!$B$7+'Inputs'!$B$10)+'Inputs'!$B$9)/SQRT((((783-43)*MAX('Inputs'!$B$33,'Inputs'!$B$29+'Inputs'!$B$31+'Inputs'!$B$32,'Inputs'!$B$30+'Inputs'!$B$31+'Inputs'!$B$32)/1000+'Inputs'!$B$21+'Inputs'!$B$7+'Inputs'!$B$10)+'Inputs'!$B$9)^2+('Inputs'!$B$8/2)^2)-(((783-43)*MAX('Inputs'!$B$33,'Inputs'!$B$29+'Inputs'!$B$31+'Inputs'!$B$32,'Inputs'!$B$30+'Inputs'!$B$31+'Inputs'!$B$32)/1000+'Inputs'!$B$21+'Inputs'!$B$7+'Inputs'!$B$10))/SQRT((((783-43)*MAX('Inputs'!$B$33,'Inputs'!$B$29+'Inputs'!$B$31+'Inputs'!$B$32,'Inputs'!$B$30+'Inputs'!$B$31+'Inputs'!$B$32)/1000+'Inputs'!$B$21+'Inputs'!$B$7+'Inputs'!$B$10))^2+('Inputs'!$B$8/2)^2))))*'Results'!$B$8),"")</x:f>
        <x:v>1.0603890135992338</x:v>
      </x:c>
      <x:c r="K783" t="n">
        <x:f>IF(AND(ISNUMBER('Results'!B7),ISNUMBER('Results'!C7),ISNUMBER('Results'!$B$8),ISNUMBER('Inputs'!$B$6),ISNUMBER('Inputs'!$B$7),ISNUMBER('Inputs'!$B$8),ISNUMBER('Inputs'!$B$9),ISNUMBER('Inputs'!$B$10),ISNUMBER('Inputs'!$B$21),ISNUMBER('Inputs'!$B$24),ISNUMBER('Inputs'!$B$28)),((('Results'!B7*(1-'Inputs'!$B$24)*(0.5*((((783-43)*MAX('Inputs'!$B$33,'Inputs'!$B$29+'Inputs'!$B$31+'Inputs'!$B$32,'Inputs'!$B$30+'Inputs'!$B$31+'Inputs'!$B$32)/1000+'Inputs'!$B$21)+'Inputs'!$B$7)/SQRT((((783-43)*MAX('Inputs'!$B$33,'Inputs'!$B$29+'Inputs'!$B$31+'Inputs'!$B$32,'Inputs'!$B$30+'Inputs'!$B$31+'Inputs'!$B$32)/1000+'Inputs'!$B$21)+'Inputs'!$B$7)^2+('Inputs'!$B$6/2)^2)-(((783-43)*MAX('Inputs'!$B$33,'Inputs'!$B$29+'Inputs'!$B$31+'Inputs'!$B$32,'Inputs'!$B$30+'Inputs'!$B$31+'Inputs'!$B$32)/1000+'Inputs'!$B$21))/SQRT((((783-43)*MAX('Inputs'!$B$33,'Inputs'!$B$29+'Inputs'!$B$31+'Inputs'!$B$32,'Inputs'!$B$30+'Inputs'!$B$31+'Inputs'!$B$32)/1000+'Inputs'!$B$21))^2+('Inputs'!$B$6/2)^2)))-'Results'!C7*(1+'Inputs'!$B$24)*(0.5*((((783-43)*MAX('Inputs'!$B$33,'Inputs'!$B$29+'Inputs'!$B$31+'Inputs'!$B$32,'Inputs'!$B$30+'Inputs'!$B$31+'Inputs'!$B$32)/1000+'Inputs'!$B$21+'Inputs'!$B$7+'Inputs'!$B$10)+'Inputs'!$B$9)/SQRT((((783-43)*MAX('Inputs'!$B$33,'Inputs'!$B$29+'Inputs'!$B$31+'Inputs'!$B$32,'Inputs'!$B$30+'Inputs'!$B$31+'Inputs'!$B$32)/1000+'Inputs'!$B$21+'Inputs'!$B$7+'Inputs'!$B$10)+'Inputs'!$B$9)^2+('Inputs'!$B$8/2)^2)-(((783-43)*MAX('Inputs'!$B$33,'Inputs'!$B$29+'Inputs'!$B$31+'Inputs'!$B$32,'Inputs'!$B$30+'Inputs'!$B$31+'Inputs'!$B$32)/1000+'Inputs'!$B$21+'Inputs'!$B$7+'Inputs'!$B$10))/SQRT((((783-43)*MAX('Inputs'!$B$33,'Inputs'!$B$29+'Inputs'!$B$31+'Inputs'!$B$32,'Inputs'!$B$30+'Inputs'!$B$31+'Inputs'!$B$32)/1000+'Inputs'!$B$21+'Inputs'!$B$7+'Inputs'!$B$10))^2+('Inputs'!$B$8/2)^2))))*'Results'!$B$8)-'Inputs'!$B$28*ABS((('Results'!B7*(1-'Inputs'!$B$24)*(0.5*((((783-43)*MAX('Inputs'!$B$33,'Inputs'!$B$29+'Inputs'!$B$31+'Inputs'!$B$32,'Inputs'!$B$30+'Inputs'!$B$31+'Inputs'!$B$32)/1000+'Inputs'!$B$21)+'Inputs'!$B$7)/SQRT((((783-43)*MAX('Inputs'!$B$33,'Inputs'!$B$29+'Inputs'!$B$31+'Inputs'!$B$32,'Inputs'!$B$30+'Inputs'!$B$31+'Inputs'!$B$32)/1000+'Inputs'!$B$21)+'Inputs'!$B$7)^2+('Inputs'!$B$6/2)^2)-(((783-43)*MAX('Inputs'!$B$33,'Inputs'!$B$29+'Inputs'!$B$31+'Inputs'!$B$32,'Inputs'!$B$30+'Inputs'!$B$31+'Inputs'!$B$32)/1000+'Inputs'!$B$21))/SQRT((((783-43)*MAX('Inputs'!$B$33,'Inputs'!$B$29+'Inputs'!$B$31+'Inputs'!$B$32,'Inputs'!$B$30+'Inputs'!$B$31+'Inputs'!$B$32)/1000+'Inputs'!$B$21))^2+('Inputs'!$B$6/2)^2)))-'Results'!C7*(1+'Inputs'!$B$24)*(0.5*((((783-43)*MAX('Inputs'!$B$33,'Inputs'!$B$29+'Inputs'!$B$31+'Inputs'!$B$32,'Inputs'!$B$30+'Inputs'!$B$31+'Inputs'!$B$32)/1000+'Inputs'!$B$21+'Inputs'!$B$7+'Inputs'!$B$10)+'Inputs'!$B$9)/SQRT((((783-43)*MAX('Inputs'!$B$33,'Inputs'!$B$29+'Inputs'!$B$31+'Inputs'!$B$32,'Inputs'!$B$30+'Inputs'!$B$31+'Inputs'!$B$32)/1000+'Inputs'!$B$21+'Inputs'!$B$7+'Inputs'!$B$10)+'Inputs'!$B$9)^2+('Inputs'!$B$8/2)^2)-(((783-43)*MAX('Inputs'!$B$33,'Inputs'!$B$29+'Inputs'!$B$31+'Inputs'!$B$32,'Inputs'!$B$30+'Inputs'!$B$31+'Inputs'!$B$32)/1000+'Inputs'!$B$21+'Inputs'!$B$7+'Inputs'!$B$10))/SQRT((((783-43)*MAX('Inputs'!$B$33,'Inputs'!$B$29+'Inputs'!$B$31+'Inputs'!$B$32,'Inputs'!$B$30+'Inputs'!$B$31+'Inputs'!$B$32)/1000+'Inputs'!$B$21+'Inputs'!$B$7+'Inputs'!$B$10))^2+('Inputs'!$B$8/2)^2))))*'Results'!$B$8))),"")</x:f>
        <x:v>0.9139630927267486</x:v>
      </x:c>
      <x:c r="L783" t="n">
        <x:f>IF(AND(ISNUMBER('Results'!B7),ISNUMBER('Results'!C7),ISNUMBER('Results'!$B$8),ISNUMBER('Inputs'!$B$6),ISNUMBER('Inputs'!$B$7),ISNUMBER('Inputs'!$B$8),ISNUMBER('Inputs'!$B$9),ISNUMBER('Inputs'!$B$10),ISNUMBER('Inputs'!$B$21),ISNUMBER('Inputs'!$B$24),ISNUMBER('Inputs'!$B$28)),((('Results'!B7*(1+'Inputs'!$B$24)*(0.5*((((783-43)*MAX('Inputs'!$B$33,'Inputs'!$B$29+'Inputs'!$B$31+'Inputs'!$B$32,'Inputs'!$B$30+'Inputs'!$B$31+'Inputs'!$B$32)/1000+'Inputs'!$B$21)+'Inputs'!$B$7)/SQRT((((783-43)*MAX('Inputs'!$B$33,'Inputs'!$B$29+'Inputs'!$B$31+'Inputs'!$B$32,'Inputs'!$B$30+'Inputs'!$B$31+'Inputs'!$B$32)/1000+'Inputs'!$B$21)+'Inputs'!$B$7)^2+('Inputs'!$B$6/2)^2)-(((783-43)*MAX('Inputs'!$B$33,'Inputs'!$B$29+'Inputs'!$B$31+'Inputs'!$B$32,'Inputs'!$B$30+'Inputs'!$B$31+'Inputs'!$B$32)/1000+'Inputs'!$B$21))/SQRT((((783-43)*MAX('Inputs'!$B$33,'Inputs'!$B$29+'Inputs'!$B$31+'Inputs'!$B$32,'Inputs'!$B$30+'Inputs'!$B$31+'Inputs'!$B$32)/1000+'Inputs'!$B$21))^2+('Inputs'!$B$6/2)^2)))-'Results'!C7*(1-'Inputs'!$B$24)*(0.5*((((783-43)*MAX('Inputs'!$B$33,'Inputs'!$B$29+'Inputs'!$B$31+'Inputs'!$B$32,'Inputs'!$B$30+'Inputs'!$B$31+'Inputs'!$B$32)/1000+'Inputs'!$B$21+'Inputs'!$B$7+'Inputs'!$B$10)+'Inputs'!$B$9)/SQRT((((783-43)*MAX('Inputs'!$B$33,'Inputs'!$B$29+'Inputs'!$B$31+'Inputs'!$B$32,'Inputs'!$B$30+'Inputs'!$B$31+'Inputs'!$B$32)/1000+'Inputs'!$B$21+'Inputs'!$B$7+'Inputs'!$B$10)+'Inputs'!$B$9)^2+('Inputs'!$B$8/2)^2)-(((783-43)*MAX('Inputs'!$B$33,'Inputs'!$B$29+'Inputs'!$B$31+'Inputs'!$B$32,'Inputs'!$B$30+'Inputs'!$B$31+'Inputs'!$B$32)/1000+'Inputs'!$B$21+'Inputs'!$B$7+'Inputs'!$B$10))/SQRT((((783-43)*MAX('Inputs'!$B$33,'Inputs'!$B$29+'Inputs'!$B$31+'Inputs'!$B$32,'Inputs'!$B$30+'Inputs'!$B$31+'Inputs'!$B$32)/1000+'Inputs'!$B$21+'Inputs'!$B$7+'Inputs'!$B$10))^2+('Inputs'!$B$8/2)^2))))*'Results'!$B$8)+'Inputs'!$B$28*ABS((('Results'!B7*(1+'Inputs'!$B$24)*(0.5*((((783-43)*MAX('Inputs'!$B$33,'Inputs'!$B$29+'Inputs'!$B$31+'Inputs'!$B$32,'Inputs'!$B$30+'Inputs'!$B$31+'Inputs'!$B$32)/1000+'Inputs'!$B$21)+'Inputs'!$B$7)/SQRT((((783-43)*MAX('Inputs'!$B$33,'Inputs'!$B$29+'Inputs'!$B$31+'Inputs'!$B$32,'Inputs'!$B$30+'Inputs'!$B$31+'Inputs'!$B$32)/1000+'Inputs'!$B$21)+'Inputs'!$B$7)^2+('Inputs'!$B$6/2)^2)-(((783-43)*MAX('Inputs'!$B$33,'Inputs'!$B$29+'Inputs'!$B$31+'Inputs'!$B$32,'Inputs'!$B$30+'Inputs'!$B$31+'Inputs'!$B$32)/1000+'Inputs'!$B$21))/SQRT((((783-43)*MAX('Inputs'!$B$33,'Inputs'!$B$29+'Inputs'!$B$31+'Inputs'!$B$32,'Inputs'!$B$30+'Inputs'!$B$31+'Inputs'!$B$32)/1000+'Inputs'!$B$21))^2+('Inputs'!$B$6/2)^2)))-'Results'!C7*(1-'Inputs'!$B$24)*(0.5*((((783-43)*MAX('Inputs'!$B$33,'Inputs'!$B$29+'Inputs'!$B$31+'Inputs'!$B$32,'Inputs'!$B$30+'Inputs'!$B$31+'Inputs'!$B$32)/1000+'Inputs'!$B$21+'Inputs'!$B$7+'Inputs'!$B$10)+'Inputs'!$B$9)/SQRT((((783-43)*MAX('Inputs'!$B$33,'Inputs'!$B$29+'Inputs'!$B$31+'Inputs'!$B$32,'Inputs'!$B$30+'Inputs'!$B$31+'Inputs'!$B$32)/1000+'Inputs'!$B$21+'Inputs'!$B$7+'Inputs'!$B$10)+'Inputs'!$B$9)^2+('Inputs'!$B$8/2)^2)-(((783-43)*MAX('Inputs'!$B$33,'Inputs'!$B$29+'Inputs'!$B$31+'Inputs'!$B$32,'Inputs'!$B$30+'Inputs'!$B$31+'Inputs'!$B$32)/1000+'Inputs'!$B$21+'Inputs'!$B$7+'Inputs'!$B$10))/SQRT((((783-43)*MAX('Inputs'!$B$33,'Inputs'!$B$29+'Inputs'!$B$31+'Inputs'!$B$32,'Inputs'!$B$30+'Inputs'!$B$31+'Inputs'!$B$32)/1000+'Inputs'!$B$21+'Inputs'!$B$7+'Inputs'!$B$10))^2+('Inputs'!$B$8/2)^2))))*'Results'!$B$8))),"")</x:f>
        <x:v>1.216647194491984</x:v>
      </x:c>
      <x:c r="M783" t="n">
        <x:f>IF(AND(ISNUMBER('Results'!C7),ISNUMBER('Results'!B7),ISNUMBER('Results'!$B$8),ISNUMBER('Inputs'!$B$6),ISNUMBER('Inputs'!$B$7),ISNUMBER('Inputs'!$B$8),ISNUMBER('Inputs'!$B$9),ISNUMBER('Inputs'!$B$10),ISNUMBER('Inputs'!$B$21),ISNUMBER('Inputs'!$B$24),ISNUMBER('Inputs'!$B$28)),(('Results'!C7*(0.5*((((783-43)*MAX('Inputs'!$B$33,'Inputs'!$B$29+'Inputs'!$B$31+'Inputs'!$B$32,'Inputs'!$B$30+'Inputs'!$B$31+'Inputs'!$B$32)/1000+'Inputs'!$B$21)+'Inputs'!$B$9)/SQRT((((783-43)*MAX('Inputs'!$B$33,'Inputs'!$B$29+'Inputs'!$B$31+'Inputs'!$B$32,'Inputs'!$B$30+'Inputs'!$B$31+'Inputs'!$B$32)/1000+'Inputs'!$B$21)+'Inputs'!$B$9)^2+('Inputs'!$B$8/2)^2)-(((783-43)*MAX('Inputs'!$B$33,'Inputs'!$B$29+'Inputs'!$B$31+'Inputs'!$B$32,'Inputs'!$B$30+'Inputs'!$B$31+'Inputs'!$B$32)/1000+'Inputs'!$B$21))/SQRT((((783-43)*MAX('Inputs'!$B$33,'Inputs'!$B$29+'Inputs'!$B$31+'Inputs'!$B$32,'Inputs'!$B$30+'Inputs'!$B$31+'Inputs'!$B$32)/1000+'Inputs'!$B$21))^2+('Inputs'!$B$8/2)^2)))-'Results'!B7*(0.5*((((783-43)*MAX('Inputs'!$B$33,'Inputs'!$B$29+'Inputs'!$B$31+'Inputs'!$B$32,'Inputs'!$B$30+'Inputs'!$B$31+'Inputs'!$B$32)/1000+'Inputs'!$B$21+'Inputs'!$B$9+'Inputs'!$B$10)+'Inputs'!$B$7)/SQRT((((783-43)*MAX('Inputs'!$B$33,'Inputs'!$B$29+'Inputs'!$B$31+'Inputs'!$B$32,'Inputs'!$B$30+'Inputs'!$B$31+'Inputs'!$B$32)/1000+'Inputs'!$B$21+'Inputs'!$B$9+'Inputs'!$B$10)+'Inputs'!$B$7)^2+('Inputs'!$B$6/2)^2)-(((783-43)*MAX('Inputs'!$B$33,'Inputs'!$B$29+'Inputs'!$B$31+'Inputs'!$B$32,'Inputs'!$B$30+'Inputs'!$B$31+'Inputs'!$B$32)/1000+'Inputs'!$B$21+'Inputs'!$B$9+'Inputs'!$B$10))/SQRT((((783-43)*MAX('Inputs'!$B$33,'Inputs'!$B$29+'Inputs'!$B$31+'Inputs'!$B$32,'Inputs'!$B$30+'Inputs'!$B$31+'Inputs'!$B$32)/1000+'Inputs'!$B$21+'Inputs'!$B$9+'Inputs'!$B$10))^2+('Inputs'!$B$6/2)^2))))*'Results'!$B$8),"")</x:f>
        <x:v>0.9612795274789177</x:v>
      </x:c>
      <x:c r="N783" t="n">
        <x:f>IF(AND(ISNUMBER('Results'!C7),ISNUMBER('Results'!B7),ISNUMBER('Results'!$B$8),ISNUMBER('Inputs'!$B$6),ISNUMBER('Inputs'!$B$7),ISNUMBER('Inputs'!$B$8),ISNUMBER('Inputs'!$B$9),ISNUMBER('Inputs'!$B$10),ISNUMBER('Inputs'!$B$21),ISNUMBER('Inputs'!$B$24),ISNUMBER('Inputs'!$B$28)),((('Results'!C7*(1-'Inputs'!$B$24)*(0.5*((((783-43)*MAX('Inputs'!$B$33,'Inputs'!$B$29+'Inputs'!$B$31+'Inputs'!$B$32,'Inputs'!$B$30+'Inputs'!$B$31+'Inputs'!$B$32)/1000+'Inputs'!$B$21)+'Inputs'!$B$9)/SQRT((((783-43)*MAX('Inputs'!$B$33,'Inputs'!$B$29+'Inputs'!$B$31+'Inputs'!$B$32,'Inputs'!$B$30+'Inputs'!$B$31+'Inputs'!$B$32)/1000+'Inputs'!$B$21)+'Inputs'!$B$9)^2+('Inputs'!$B$8/2)^2)-(((783-43)*MAX('Inputs'!$B$33,'Inputs'!$B$29+'Inputs'!$B$31+'Inputs'!$B$32,'Inputs'!$B$30+'Inputs'!$B$31+'Inputs'!$B$32)/1000+'Inputs'!$B$21))/SQRT((((783-43)*MAX('Inputs'!$B$33,'Inputs'!$B$29+'Inputs'!$B$31+'Inputs'!$B$32,'Inputs'!$B$30+'Inputs'!$B$31+'Inputs'!$B$32)/1000+'Inputs'!$B$21))^2+('Inputs'!$B$8/2)^2)))-'Results'!B7*(1+'Inputs'!$B$24)*(0.5*((((783-43)*MAX('Inputs'!$B$33,'Inputs'!$B$29+'Inputs'!$B$31+'Inputs'!$B$32,'Inputs'!$B$30+'Inputs'!$B$31+'Inputs'!$B$32)/1000+'Inputs'!$B$21+'Inputs'!$B$9+'Inputs'!$B$10)+'Inputs'!$B$7)/SQRT((((783-43)*MAX('Inputs'!$B$33,'Inputs'!$B$29+'Inputs'!$B$31+'Inputs'!$B$32,'Inputs'!$B$30+'Inputs'!$B$31+'Inputs'!$B$32)/1000+'Inputs'!$B$21+'Inputs'!$B$9+'Inputs'!$B$10)+'Inputs'!$B$7)^2+('Inputs'!$B$6/2)^2)-(((783-43)*MAX('Inputs'!$B$33,'Inputs'!$B$29+'Inputs'!$B$31+'Inputs'!$B$32,'Inputs'!$B$30+'Inputs'!$B$31+'Inputs'!$B$32)/1000+'Inputs'!$B$21+'Inputs'!$B$9+'Inputs'!$B$10))/SQRT((((783-43)*MAX('Inputs'!$B$33,'Inputs'!$B$29+'Inputs'!$B$31+'Inputs'!$B$32,'Inputs'!$B$30+'Inputs'!$B$31+'Inputs'!$B$32)/1000+'Inputs'!$B$21+'Inputs'!$B$9+'Inputs'!$B$10))^2+('Inputs'!$B$6/2)^2))))*'Results'!$B$8)-'Inputs'!$B$28*ABS((('Results'!C7*(1-'Inputs'!$B$24)*(0.5*((((783-43)*MAX('Inputs'!$B$33,'Inputs'!$B$29+'Inputs'!$B$31+'Inputs'!$B$32,'Inputs'!$B$30+'Inputs'!$B$31+'Inputs'!$B$32)/1000+'Inputs'!$B$21)+'Inputs'!$B$9)/SQRT((((783-43)*MAX('Inputs'!$B$33,'Inputs'!$B$29+'Inputs'!$B$31+'Inputs'!$B$32,'Inputs'!$B$30+'Inputs'!$B$31+'Inputs'!$B$32)/1000+'Inputs'!$B$21)+'Inputs'!$B$9)^2+('Inputs'!$B$8/2)^2)-(((783-43)*MAX('Inputs'!$B$33,'Inputs'!$B$29+'Inputs'!$B$31+'Inputs'!$B$32,'Inputs'!$B$30+'Inputs'!$B$31+'Inputs'!$B$32)/1000+'Inputs'!$B$21))/SQRT((((783-43)*MAX('Inputs'!$B$33,'Inputs'!$B$29+'Inputs'!$B$31+'Inputs'!$B$32,'Inputs'!$B$30+'Inputs'!$B$31+'Inputs'!$B$32)/1000+'Inputs'!$B$21))^2+('Inputs'!$B$8/2)^2)))-'Results'!B7*(1+'Inputs'!$B$24)*(0.5*((((783-43)*MAX('Inputs'!$B$33,'Inputs'!$B$29+'Inputs'!$B$31+'Inputs'!$B$32,'Inputs'!$B$30+'Inputs'!$B$31+'Inputs'!$B$32)/1000+'Inputs'!$B$21+'Inputs'!$B$9+'Inputs'!$B$10)+'Inputs'!$B$7)/SQRT((((783-43)*MAX('Inputs'!$B$33,'Inputs'!$B$29+'Inputs'!$B$31+'Inputs'!$B$32,'Inputs'!$B$30+'Inputs'!$B$31+'Inputs'!$B$32)/1000+'Inputs'!$B$21+'Inputs'!$B$9+'Inputs'!$B$10)+'Inputs'!$B$7)^2+('Inputs'!$B$6/2)^2)-(((783-43)*MAX('Inputs'!$B$33,'Inputs'!$B$29+'Inputs'!$B$31+'Inputs'!$B$32,'Inputs'!$B$30+'Inputs'!$B$31+'Inputs'!$B$32)/1000+'Inputs'!$B$21+'Inputs'!$B$9+'Inputs'!$B$10))/SQRT((((783-43)*MAX('Inputs'!$B$33,'Inputs'!$B$29+'Inputs'!$B$31+'Inputs'!$B$32,'Inputs'!$B$30+'Inputs'!$B$31+'Inputs'!$B$32)/1000+'Inputs'!$B$21+'Inputs'!$B$9+'Inputs'!$B$10))^2+('Inputs'!$B$6/2)^2))))*'Results'!$B$8))),"")</x:f>
        <x:v>0.8201970779051806</x:v>
      </x:c>
      <x:c r="O783" t="n">
        <x:f>IF(AND(ISNUMBER('Results'!C7),ISNUMBER('Results'!B7),ISNUMBER('Results'!$B$8),ISNUMBER('Inputs'!$B$6),ISNUMBER('Inputs'!$B$7),ISNUMBER('Inputs'!$B$8),ISNUMBER('Inputs'!$B$9),ISNUMBER('Inputs'!$B$10),ISNUMBER('Inputs'!$B$21),ISNUMBER('Inputs'!$B$24),ISNUMBER('Inputs'!$B$28)),((('Results'!C7*(1+'Inputs'!$B$24)*(0.5*((((783-43)*MAX('Inputs'!$B$33,'Inputs'!$B$29+'Inputs'!$B$31+'Inputs'!$B$32,'Inputs'!$B$30+'Inputs'!$B$31+'Inputs'!$B$32)/1000+'Inputs'!$B$21)+'Inputs'!$B$9)/SQRT((((783-43)*MAX('Inputs'!$B$33,'Inputs'!$B$29+'Inputs'!$B$31+'Inputs'!$B$32,'Inputs'!$B$30+'Inputs'!$B$31+'Inputs'!$B$32)/1000+'Inputs'!$B$21)+'Inputs'!$B$9)^2+('Inputs'!$B$8/2)^2)-(((783-43)*MAX('Inputs'!$B$33,'Inputs'!$B$29+'Inputs'!$B$31+'Inputs'!$B$32,'Inputs'!$B$30+'Inputs'!$B$31+'Inputs'!$B$32)/1000+'Inputs'!$B$21))/SQRT((((783-43)*MAX('Inputs'!$B$33,'Inputs'!$B$29+'Inputs'!$B$31+'Inputs'!$B$32,'Inputs'!$B$30+'Inputs'!$B$31+'Inputs'!$B$32)/1000+'Inputs'!$B$21))^2+('Inputs'!$B$8/2)^2)))-'Results'!B7*(1-'Inputs'!$B$24)*(0.5*((((783-43)*MAX('Inputs'!$B$33,'Inputs'!$B$29+'Inputs'!$B$31+'Inputs'!$B$32,'Inputs'!$B$30+'Inputs'!$B$31+'Inputs'!$B$32)/1000+'Inputs'!$B$21+'Inputs'!$B$9+'Inputs'!$B$10)+'Inputs'!$B$7)/SQRT((((783-43)*MAX('Inputs'!$B$33,'Inputs'!$B$29+'Inputs'!$B$31+'Inputs'!$B$32,'Inputs'!$B$30+'Inputs'!$B$31+'Inputs'!$B$32)/1000+'Inputs'!$B$21+'Inputs'!$B$9+'Inputs'!$B$10)+'Inputs'!$B$7)^2+('Inputs'!$B$6/2)^2)-(((783-43)*MAX('Inputs'!$B$33,'Inputs'!$B$29+'Inputs'!$B$31+'Inputs'!$B$32,'Inputs'!$B$30+'Inputs'!$B$31+'Inputs'!$B$32)/1000+'Inputs'!$B$21+'Inputs'!$B$9+'Inputs'!$B$10))/SQRT((((783-43)*MAX('Inputs'!$B$33,'Inputs'!$B$29+'Inputs'!$B$31+'Inputs'!$B$32,'Inputs'!$B$30+'Inputs'!$B$31+'Inputs'!$B$32)/1000+'Inputs'!$B$21+'Inputs'!$B$9+'Inputs'!$B$10))^2+('Inputs'!$B$6/2)^2))))*'Results'!$B$8)+'Inputs'!$B$28*ABS((('Results'!C7*(1+'Inputs'!$B$24)*(0.5*((((783-43)*MAX('Inputs'!$B$33,'Inputs'!$B$29+'Inputs'!$B$31+'Inputs'!$B$32,'Inputs'!$B$30+'Inputs'!$B$31+'Inputs'!$B$32)/1000+'Inputs'!$B$21)+'Inputs'!$B$9)/SQRT((((783-43)*MAX('Inputs'!$B$33,'Inputs'!$B$29+'Inputs'!$B$31+'Inputs'!$B$32,'Inputs'!$B$30+'Inputs'!$B$31+'Inputs'!$B$32)/1000+'Inputs'!$B$21)+'Inputs'!$B$9)^2+('Inputs'!$B$8/2)^2)-(((783-43)*MAX('Inputs'!$B$33,'Inputs'!$B$29+'Inputs'!$B$31+'Inputs'!$B$32,'Inputs'!$B$30+'Inputs'!$B$31+'Inputs'!$B$32)/1000+'Inputs'!$B$21))/SQRT((((783-43)*MAX('Inputs'!$B$33,'Inputs'!$B$29+'Inputs'!$B$31+'Inputs'!$B$32,'Inputs'!$B$30+'Inputs'!$B$31+'Inputs'!$B$32)/1000+'Inputs'!$B$21))^2+('Inputs'!$B$8/2)^2)))-'Results'!B7*(1-'Inputs'!$B$24)*(0.5*((((783-43)*MAX('Inputs'!$B$33,'Inputs'!$B$29+'Inputs'!$B$31+'Inputs'!$B$32,'Inputs'!$B$30+'Inputs'!$B$31+'Inputs'!$B$32)/1000+'Inputs'!$B$21+'Inputs'!$B$9+'Inputs'!$B$10)+'Inputs'!$B$7)/SQRT((((783-43)*MAX('Inputs'!$B$33,'Inputs'!$B$29+'Inputs'!$B$31+'Inputs'!$B$32,'Inputs'!$B$30+'Inputs'!$B$31+'Inputs'!$B$32)/1000+'Inputs'!$B$21+'Inputs'!$B$9+'Inputs'!$B$10)+'Inputs'!$B$7)^2+('Inputs'!$B$6/2)^2)-(((783-43)*MAX('Inputs'!$B$33,'Inputs'!$B$29+'Inputs'!$B$31+'Inputs'!$B$32,'Inputs'!$B$30+'Inputs'!$B$31+'Inputs'!$B$32)/1000+'Inputs'!$B$21+'Inputs'!$B$9+'Inputs'!$B$10))/SQRT((((783-43)*MAX('Inputs'!$B$33,'Inputs'!$B$29+'Inputs'!$B$31+'Inputs'!$B$32,'Inputs'!$B$30+'Inputs'!$B$31+'Inputs'!$B$32)/1000+'Inputs'!$B$21+'Inputs'!$B$9+'Inputs'!$B$10))^2+('Inputs'!$B$6/2)^2))))*'Results'!$B$8))),"")</x:f>
        <x:v>1.1121533952842118</x:v>
      </x:c>
      <x:c r="P783" t="n">
        <x:f>IF(AND(MAX(J783,J782)&gt;0,J783&gt;J782+0.00000001),1,0)</x:f>
        <x:v>0</x:v>
      </x:c>
      <x:c r="Q783" t="n">
        <x:f>IF(AND(MAX(K783,K782)&gt;0,K783&gt;K782+0.00000001),1,0)</x:f>
        <x:v>0</x:v>
      </x:c>
      <x:c r="R783" t="n">
        <x:f>IF(AND(MAX(L783,L782)&gt;0,L783&gt;L782+0.00000001),1,0)</x:f>
        <x:v>0</x:v>
      </x:c>
      <x:c r="S783" t="n">
        <x:f>IF(AND(MAX(M783,M782)&gt;0,M783&gt;M782+0.00000001),1,0)</x:f>
        <x:v>0</x:v>
      </x:c>
      <x:c r="T783" t="n">
        <x:f>IF(AND(MAX(N783,N782)&gt;0,N783&gt;N782+0.00000001),1,0)</x:f>
        <x:v>0</x:v>
      </x:c>
      <x:c r="U783" t="n">
        <x:f>IF(AND(MAX(O783,O782)&gt;0,O783&gt;O782+0.00000001),1,0)</x:f>
        <x:v>0</x:v>
      </x:c>
    </x:row>
    <x:row r="784">
      <x:c r="J784" t="n">
        <x:f>IF(AND(ISNUMBER('Results'!B7),ISNUMBER('Results'!C7),ISNUMBER('Results'!$B$8),ISNUMBER('Inputs'!$B$6),ISNUMBER('Inputs'!$B$7),ISNUMBER('Inputs'!$B$8),ISNUMBER('Inputs'!$B$9),ISNUMBER('Inputs'!$B$10),ISNUMBER('Inputs'!$B$21),ISNUMBER('Inputs'!$B$24),ISNUMBER('Inputs'!$B$28)),(('Results'!B7*(0.5*((((784-43)*MAX('Inputs'!$B$33,'Inputs'!$B$29+'Inputs'!$B$31+'Inputs'!$B$32,'Inputs'!$B$30+'Inputs'!$B$31+'Inputs'!$B$32)/1000+'Inputs'!$B$21)+'Inputs'!$B$7)/SQRT((((784-43)*MAX('Inputs'!$B$33,'Inputs'!$B$29+'Inputs'!$B$31+'Inputs'!$B$32,'Inputs'!$B$30+'Inputs'!$B$31+'Inputs'!$B$32)/1000+'Inputs'!$B$21)+'Inputs'!$B$7)^2+('Inputs'!$B$6/2)^2)-(((784-43)*MAX('Inputs'!$B$33,'Inputs'!$B$29+'Inputs'!$B$31+'Inputs'!$B$32,'Inputs'!$B$30+'Inputs'!$B$31+'Inputs'!$B$32)/1000+'Inputs'!$B$21))/SQRT((((784-43)*MAX('Inputs'!$B$33,'Inputs'!$B$29+'Inputs'!$B$31+'Inputs'!$B$32,'Inputs'!$B$30+'Inputs'!$B$31+'Inputs'!$B$32)/1000+'Inputs'!$B$21))^2+('Inputs'!$B$6/2)^2)))-'Results'!C7*(0.5*((((784-43)*MAX('Inputs'!$B$33,'Inputs'!$B$29+'Inputs'!$B$31+'Inputs'!$B$32,'Inputs'!$B$30+'Inputs'!$B$31+'Inputs'!$B$32)/1000+'Inputs'!$B$21+'Inputs'!$B$7+'Inputs'!$B$10)+'Inputs'!$B$9)/SQRT((((784-43)*MAX('Inputs'!$B$33,'Inputs'!$B$29+'Inputs'!$B$31+'Inputs'!$B$32,'Inputs'!$B$30+'Inputs'!$B$31+'Inputs'!$B$32)/1000+'Inputs'!$B$21+'Inputs'!$B$7+'Inputs'!$B$10)+'Inputs'!$B$9)^2+('Inputs'!$B$8/2)^2)-(((784-43)*MAX('Inputs'!$B$33,'Inputs'!$B$29+'Inputs'!$B$31+'Inputs'!$B$32,'Inputs'!$B$30+'Inputs'!$B$31+'Inputs'!$B$32)/1000+'Inputs'!$B$21+'Inputs'!$B$7+'Inputs'!$B$10))/SQRT((((784-43)*MAX('Inputs'!$B$33,'Inputs'!$B$29+'Inputs'!$B$31+'Inputs'!$B$32,'Inputs'!$B$30+'Inputs'!$B$31+'Inputs'!$B$32)/1000+'Inputs'!$B$21+'Inputs'!$B$7+'Inputs'!$B$10))^2+('Inputs'!$B$8/2)^2))))*'Results'!$B$8),"")</x:f>
        <x:v>1.0552871444852587</x:v>
      </x:c>
      <x:c r="K784" t="n">
        <x:f>IF(AND(ISNUMBER('Results'!B7),ISNUMBER('Results'!C7),ISNUMBER('Results'!$B$8),ISNUMBER('Inputs'!$B$6),ISNUMBER('Inputs'!$B$7),ISNUMBER('Inputs'!$B$8),ISNUMBER('Inputs'!$B$9),ISNUMBER('Inputs'!$B$10),ISNUMBER('Inputs'!$B$21),ISNUMBER('Inputs'!$B$24),ISNUMBER('Inputs'!$B$28)),((('Results'!B7*(1-'Inputs'!$B$24)*(0.5*((((784-43)*MAX('Inputs'!$B$33,'Inputs'!$B$29+'Inputs'!$B$31+'Inputs'!$B$32,'Inputs'!$B$30+'Inputs'!$B$31+'Inputs'!$B$32)/1000+'Inputs'!$B$21)+'Inputs'!$B$7)/SQRT((((784-43)*MAX('Inputs'!$B$33,'Inputs'!$B$29+'Inputs'!$B$31+'Inputs'!$B$32,'Inputs'!$B$30+'Inputs'!$B$31+'Inputs'!$B$32)/1000+'Inputs'!$B$21)+'Inputs'!$B$7)^2+('Inputs'!$B$6/2)^2)-(((784-43)*MAX('Inputs'!$B$33,'Inputs'!$B$29+'Inputs'!$B$31+'Inputs'!$B$32,'Inputs'!$B$30+'Inputs'!$B$31+'Inputs'!$B$32)/1000+'Inputs'!$B$21))/SQRT((((784-43)*MAX('Inputs'!$B$33,'Inputs'!$B$29+'Inputs'!$B$31+'Inputs'!$B$32,'Inputs'!$B$30+'Inputs'!$B$31+'Inputs'!$B$32)/1000+'Inputs'!$B$21))^2+('Inputs'!$B$6/2)^2)))-'Results'!C7*(1+'Inputs'!$B$24)*(0.5*((((784-43)*MAX('Inputs'!$B$33,'Inputs'!$B$29+'Inputs'!$B$31+'Inputs'!$B$32,'Inputs'!$B$30+'Inputs'!$B$31+'Inputs'!$B$32)/1000+'Inputs'!$B$21+'Inputs'!$B$7+'Inputs'!$B$10)+'Inputs'!$B$9)/SQRT((((784-43)*MAX('Inputs'!$B$33,'Inputs'!$B$29+'Inputs'!$B$31+'Inputs'!$B$32,'Inputs'!$B$30+'Inputs'!$B$31+'Inputs'!$B$32)/1000+'Inputs'!$B$21+'Inputs'!$B$7+'Inputs'!$B$10)+'Inputs'!$B$9)^2+('Inputs'!$B$8/2)^2)-(((784-43)*MAX('Inputs'!$B$33,'Inputs'!$B$29+'Inputs'!$B$31+'Inputs'!$B$32,'Inputs'!$B$30+'Inputs'!$B$31+'Inputs'!$B$32)/1000+'Inputs'!$B$21+'Inputs'!$B$7+'Inputs'!$B$10))/SQRT((((784-43)*MAX('Inputs'!$B$33,'Inputs'!$B$29+'Inputs'!$B$31+'Inputs'!$B$32,'Inputs'!$B$30+'Inputs'!$B$31+'Inputs'!$B$32)/1000+'Inputs'!$B$21+'Inputs'!$B$7+'Inputs'!$B$10))^2+('Inputs'!$B$8/2)^2))))*'Results'!$B$8)-'Inputs'!$B$28*ABS((('Results'!B7*(1-'Inputs'!$B$24)*(0.5*((((784-43)*MAX('Inputs'!$B$33,'Inputs'!$B$29+'Inputs'!$B$31+'Inputs'!$B$32,'Inputs'!$B$30+'Inputs'!$B$31+'Inputs'!$B$32)/1000+'Inputs'!$B$21)+'Inputs'!$B$7)/SQRT((((784-43)*MAX('Inputs'!$B$33,'Inputs'!$B$29+'Inputs'!$B$31+'Inputs'!$B$32,'Inputs'!$B$30+'Inputs'!$B$31+'Inputs'!$B$32)/1000+'Inputs'!$B$21)+'Inputs'!$B$7)^2+('Inputs'!$B$6/2)^2)-(((784-43)*MAX('Inputs'!$B$33,'Inputs'!$B$29+'Inputs'!$B$31+'Inputs'!$B$32,'Inputs'!$B$30+'Inputs'!$B$31+'Inputs'!$B$32)/1000+'Inputs'!$B$21))/SQRT((((784-43)*MAX('Inputs'!$B$33,'Inputs'!$B$29+'Inputs'!$B$31+'Inputs'!$B$32,'Inputs'!$B$30+'Inputs'!$B$31+'Inputs'!$B$32)/1000+'Inputs'!$B$21))^2+('Inputs'!$B$6/2)^2)))-'Results'!C7*(1+'Inputs'!$B$24)*(0.5*((((784-43)*MAX('Inputs'!$B$33,'Inputs'!$B$29+'Inputs'!$B$31+'Inputs'!$B$32,'Inputs'!$B$30+'Inputs'!$B$31+'Inputs'!$B$32)/1000+'Inputs'!$B$21+'Inputs'!$B$7+'Inputs'!$B$10)+'Inputs'!$B$9)/SQRT((((784-43)*MAX('Inputs'!$B$33,'Inputs'!$B$29+'Inputs'!$B$31+'Inputs'!$B$32,'Inputs'!$B$30+'Inputs'!$B$31+'Inputs'!$B$32)/1000+'Inputs'!$B$21+'Inputs'!$B$7+'Inputs'!$B$10)+'Inputs'!$B$9)^2+('Inputs'!$B$8/2)^2)-(((784-43)*MAX('Inputs'!$B$33,'Inputs'!$B$29+'Inputs'!$B$31+'Inputs'!$B$32,'Inputs'!$B$30+'Inputs'!$B$31+'Inputs'!$B$32)/1000+'Inputs'!$B$21+'Inputs'!$B$7+'Inputs'!$B$10))/SQRT((((784-43)*MAX('Inputs'!$B$33,'Inputs'!$B$29+'Inputs'!$B$31+'Inputs'!$B$32,'Inputs'!$B$30+'Inputs'!$B$31+'Inputs'!$B$32)/1000+'Inputs'!$B$21+'Inputs'!$B$7+'Inputs'!$B$10))^2+('Inputs'!$B$8/2)^2))))*'Results'!$B$8))),"")</x:f>
        <x:v>0.9094621101914323</x:v>
      </x:c>
      <x:c r="L784" t="n">
        <x:f>IF(AND(ISNUMBER('Results'!B7),ISNUMBER('Results'!C7),ISNUMBER('Results'!$B$8),ISNUMBER('Inputs'!$B$6),ISNUMBER('Inputs'!$B$7),ISNUMBER('Inputs'!$B$8),ISNUMBER('Inputs'!$B$9),ISNUMBER('Inputs'!$B$10),ISNUMBER('Inputs'!$B$21),ISNUMBER('Inputs'!$B$24),ISNUMBER('Inputs'!$B$28)),((('Results'!B7*(1+'Inputs'!$B$24)*(0.5*((((784-43)*MAX('Inputs'!$B$33,'Inputs'!$B$29+'Inputs'!$B$31+'Inputs'!$B$32,'Inputs'!$B$30+'Inputs'!$B$31+'Inputs'!$B$32)/1000+'Inputs'!$B$21)+'Inputs'!$B$7)/SQRT((((784-43)*MAX('Inputs'!$B$33,'Inputs'!$B$29+'Inputs'!$B$31+'Inputs'!$B$32,'Inputs'!$B$30+'Inputs'!$B$31+'Inputs'!$B$32)/1000+'Inputs'!$B$21)+'Inputs'!$B$7)^2+('Inputs'!$B$6/2)^2)-(((784-43)*MAX('Inputs'!$B$33,'Inputs'!$B$29+'Inputs'!$B$31+'Inputs'!$B$32,'Inputs'!$B$30+'Inputs'!$B$31+'Inputs'!$B$32)/1000+'Inputs'!$B$21))/SQRT((((784-43)*MAX('Inputs'!$B$33,'Inputs'!$B$29+'Inputs'!$B$31+'Inputs'!$B$32,'Inputs'!$B$30+'Inputs'!$B$31+'Inputs'!$B$32)/1000+'Inputs'!$B$21))^2+('Inputs'!$B$6/2)^2)))-'Results'!C7*(1-'Inputs'!$B$24)*(0.5*((((784-43)*MAX('Inputs'!$B$33,'Inputs'!$B$29+'Inputs'!$B$31+'Inputs'!$B$32,'Inputs'!$B$30+'Inputs'!$B$31+'Inputs'!$B$32)/1000+'Inputs'!$B$21+'Inputs'!$B$7+'Inputs'!$B$10)+'Inputs'!$B$9)/SQRT((((784-43)*MAX('Inputs'!$B$33,'Inputs'!$B$29+'Inputs'!$B$31+'Inputs'!$B$32,'Inputs'!$B$30+'Inputs'!$B$31+'Inputs'!$B$32)/1000+'Inputs'!$B$21+'Inputs'!$B$7+'Inputs'!$B$10)+'Inputs'!$B$9)^2+('Inputs'!$B$8/2)^2)-(((784-43)*MAX('Inputs'!$B$33,'Inputs'!$B$29+'Inputs'!$B$31+'Inputs'!$B$32,'Inputs'!$B$30+'Inputs'!$B$31+'Inputs'!$B$32)/1000+'Inputs'!$B$21+'Inputs'!$B$7+'Inputs'!$B$10))/SQRT((((784-43)*MAX('Inputs'!$B$33,'Inputs'!$B$29+'Inputs'!$B$31+'Inputs'!$B$32,'Inputs'!$B$30+'Inputs'!$B$31+'Inputs'!$B$32)/1000+'Inputs'!$B$21+'Inputs'!$B$7+'Inputs'!$B$10))^2+('Inputs'!$B$8/2)^2))))*'Results'!$B$8)+'Inputs'!$B$28*ABS((('Results'!B7*(1+'Inputs'!$B$24)*(0.5*((((784-43)*MAX('Inputs'!$B$33,'Inputs'!$B$29+'Inputs'!$B$31+'Inputs'!$B$32,'Inputs'!$B$30+'Inputs'!$B$31+'Inputs'!$B$32)/1000+'Inputs'!$B$21)+'Inputs'!$B$7)/SQRT((((784-43)*MAX('Inputs'!$B$33,'Inputs'!$B$29+'Inputs'!$B$31+'Inputs'!$B$32,'Inputs'!$B$30+'Inputs'!$B$31+'Inputs'!$B$32)/1000+'Inputs'!$B$21)+'Inputs'!$B$7)^2+('Inputs'!$B$6/2)^2)-(((784-43)*MAX('Inputs'!$B$33,'Inputs'!$B$29+'Inputs'!$B$31+'Inputs'!$B$32,'Inputs'!$B$30+'Inputs'!$B$31+'Inputs'!$B$32)/1000+'Inputs'!$B$21))/SQRT((((784-43)*MAX('Inputs'!$B$33,'Inputs'!$B$29+'Inputs'!$B$31+'Inputs'!$B$32,'Inputs'!$B$30+'Inputs'!$B$31+'Inputs'!$B$32)/1000+'Inputs'!$B$21))^2+('Inputs'!$B$6/2)^2)))-'Results'!C7*(1-'Inputs'!$B$24)*(0.5*((((784-43)*MAX('Inputs'!$B$33,'Inputs'!$B$29+'Inputs'!$B$31+'Inputs'!$B$32,'Inputs'!$B$30+'Inputs'!$B$31+'Inputs'!$B$32)/1000+'Inputs'!$B$21+'Inputs'!$B$7+'Inputs'!$B$10)+'Inputs'!$B$9)/SQRT((((784-43)*MAX('Inputs'!$B$33,'Inputs'!$B$29+'Inputs'!$B$31+'Inputs'!$B$32,'Inputs'!$B$30+'Inputs'!$B$31+'Inputs'!$B$32)/1000+'Inputs'!$B$21+'Inputs'!$B$7+'Inputs'!$B$10)+'Inputs'!$B$9)^2+('Inputs'!$B$8/2)^2)-(((784-43)*MAX('Inputs'!$B$33,'Inputs'!$B$29+'Inputs'!$B$31+'Inputs'!$B$32,'Inputs'!$B$30+'Inputs'!$B$31+'Inputs'!$B$32)/1000+'Inputs'!$B$21+'Inputs'!$B$7+'Inputs'!$B$10))/SQRT((((784-43)*MAX('Inputs'!$B$33,'Inputs'!$B$29+'Inputs'!$B$31+'Inputs'!$B$32,'Inputs'!$B$30+'Inputs'!$B$31+'Inputs'!$B$32)/1000+'Inputs'!$B$21+'Inputs'!$B$7+'Inputs'!$B$10))^2+('Inputs'!$B$8/2)^2))))*'Results'!$B$8))),"")</x:f>
        <x:v>1.2109080395232497</x:v>
      </x:c>
      <x:c r="M784" t="n">
        <x:f>IF(AND(ISNUMBER('Results'!C7),ISNUMBER('Results'!B7),ISNUMBER('Results'!$B$8),ISNUMBER('Inputs'!$B$6),ISNUMBER('Inputs'!$B$7),ISNUMBER('Inputs'!$B$8),ISNUMBER('Inputs'!$B$9),ISNUMBER('Inputs'!$B$10),ISNUMBER('Inputs'!$B$21),ISNUMBER('Inputs'!$B$24),ISNUMBER('Inputs'!$B$28)),(('Results'!C7*(0.5*((((784-43)*MAX('Inputs'!$B$33,'Inputs'!$B$29+'Inputs'!$B$31+'Inputs'!$B$32,'Inputs'!$B$30+'Inputs'!$B$31+'Inputs'!$B$32)/1000+'Inputs'!$B$21)+'Inputs'!$B$9)/SQRT((((784-43)*MAX('Inputs'!$B$33,'Inputs'!$B$29+'Inputs'!$B$31+'Inputs'!$B$32,'Inputs'!$B$30+'Inputs'!$B$31+'Inputs'!$B$32)/1000+'Inputs'!$B$21)+'Inputs'!$B$9)^2+('Inputs'!$B$8/2)^2)-(((784-43)*MAX('Inputs'!$B$33,'Inputs'!$B$29+'Inputs'!$B$31+'Inputs'!$B$32,'Inputs'!$B$30+'Inputs'!$B$31+'Inputs'!$B$32)/1000+'Inputs'!$B$21))/SQRT((((784-43)*MAX('Inputs'!$B$33,'Inputs'!$B$29+'Inputs'!$B$31+'Inputs'!$B$32,'Inputs'!$B$30+'Inputs'!$B$31+'Inputs'!$B$32)/1000+'Inputs'!$B$21))^2+('Inputs'!$B$8/2)^2)))-'Results'!B7*(0.5*((((784-43)*MAX('Inputs'!$B$33,'Inputs'!$B$29+'Inputs'!$B$31+'Inputs'!$B$32,'Inputs'!$B$30+'Inputs'!$B$31+'Inputs'!$B$32)/1000+'Inputs'!$B$21+'Inputs'!$B$9+'Inputs'!$B$10)+'Inputs'!$B$7)/SQRT((((784-43)*MAX('Inputs'!$B$33,'Inputs'!$B$29+'Inputs'!$B$31+'Inputs'!$B$32,'Inputs'!$B$30+'Inputs'!$B$31+'Inputs'!$B$32)/1000+'Inputs'!$B$21+'Inputs'!$B$9+'Inputs'!$B$10)+'Inputs'!$B$7)^2+('Inputs'!$B$6/2)^2)-(((784-43)*MAX('Inputs'!$B$33,'Inputs'!$B$29+'Inputs'!$B$31+'Inputs'!$B$32,'Inputs'!$B$30+'Inputs'!$B$31+'Inputs'!$B$32)/1000+'Inputs'!$B$21+'Inputs'!$B$9+'Inputs'!$B$10))/SQRT((((784-43)*MAX('Inputs'!$B$33,'Inputs'!$B$29+'Inputs'!$B$31+'Inputs'!$B$32,'Inputs'!$B$30+'Inputs'!$B$31+'Inputs'!$B$32)/1000+'Inputs'!$B$21+'Inputs'!$B$9+'Inputs'!$B$10))^2+('Inputs'!$B$6/2)^2))))*'Results'!$B$8),"")</x:f>
        <x:v>0.9565443241400218</x:v>
      </x:c>
      <x:c r="N784" t="n">
        <x:f>IF(AND(ISNUMBER('Results'!C7),ISNUMBER('Results'!B7),ISNUMBER('Results'!$B$8),ISNUMBER('Inputs'!$B$6),ISNUMBER('Inputs'!$B$7),ISNUMBER('Inputs'!$B$8),ISNUMBER('Inputs'!$B$9),ISNUMBER('Inputs'!$B$10),ISNUMBER('Inputs'!$B$21),ISNUMBER('Inputs'!$B$24),ISNUMBER('Inputs'!$B$28)),((('Results'!C7*(1-'Inputs'!$B$24)*(0.5*((((784-43)*MAX('Inputs'!$B$33,'Inputs'!$B$29+'Inputs'!$B$31+'Inputs'!$B$32,'Inputs'!$B$30+'Inputs'!$B$31+'Inputs'!$B$32)/1000+'Inputs'!$B$21)+'Inputs'!$B$9)/SQRT((((784-43)*MAX('Inputs'!$B$33,'Inputs'!$B$29+'Inputs'!$B$31+'Inputs'!$B$32,'Inputs'!$B$30+'Inputs'!$B$31+'Inputs'!$B$32)/1000+'Inputs'!$B$21)+'Inputs'!$B$9)^2+('Inputs'!$B$8/2)^2)-(((784-43)*MAX('Inputs'!$B$33,'Inputs'!$B$29+'Inputs'!$B$31+'Inputs'!$B$32,'Inputs'!$B$30+'Inputs'!$B$31+'Inputs'!$B$32)/1000+'Inputs'!$B$21))/SQRT((((784-43)*MAX('Inputs'!$B$33,'Inputs'!$B$29+'Inputs'!$B$31+'Inputs'!$B$32,'Inputs'!$B$30+'Inputs'!$B$31+'Inputs'!$B$32)/1000+'Inputs'!$B$21))^2+('Inputs'!$B$8/2)^2)))-'Results'!B7*(1+'Inputs'!$B$24)*(0.5*((((784-43)*MAX('Inputs'!$B$33,'Inputs'!$B$29+'Inputs'!$B$31+'Inputs'!$B$32,'Inputs'!$B$30+'Inputs'!$B$31+'Inputs'!$B$32)/1000+'Inputs'!$B$21+'Inputs'!$B$9+'Inputs'!$B$10)+'Inputs'!$B$7)/SQRT((((784-43)*MAX('Inputs'!$B$33,'Inputs'!$B$29+'Inputs'!$B$31+'Inputs'!$B$32,'Inputs'!$B$30+'Inputs'!$B$31+'Inputs'!$B$32)/1000+'Inputs'!$B$21+'Inputs'!$B$9+'Inputs'!$B$10)+'Inputs'!$B$7)^2+('Inputs'!$B$6/2)^2)-(((784-43)*MAX('Inputs'!$B$33,'Inputs'!$B$29+'Inputs'!$B$31+'Inputs'!$B$32,'Inputs'!$B$30+'Inputs'!$B$31+'Inputs'!$B$32)/1000+'Inputs'!$B$21+'Inputs'!$B$9+'Inputs'!$B$10))/SQRT((((784-43)*MAX('Inputs'!$B$33,'Inputs'!$B$29+'Inputs'!$B$31+'Inputs'!$B$32,'Inputs'!$B$30+'Inputs'!$B$31+'Inputs'!$B$32)/1000+'Inputs'!$B$21+'Inputs'!$B$9+'Inputs'!$B$10))^2+('Inputs'!$B$6/2)^2))))*'Results'!$B$8)-'Inputs'!$B$28*ABS((('Results'!C7*(1-'Inputs'!$B$24)*(0.5*((((784-43)*MAX('Inputs'!$B$33,'Inputs'!$B$29+'Inputs'!$B$31+'Inputs'!$B$32,'Inputs'!$B$30+'Inputs'!$B$31+'Inputs'!$B$32)/1000+'Inputs'!$B$21)+'Inputs'!$B$9)/SQRT((((784-43)*MAX('Inputs'!$B$33,'Inputs'!$B$29+'Inputs'!$B$31+'Inputs'!$B$32,'Inputs'!$B$30+'Inputs'!$B$31+'Inputs'!$B$32)/1000+'Inputs'!$B$21)+'Inputs'!$B$9)^2+('Inputs'!$B$8/2)^2)-(((784-43)*MAX('Inputs'!$B$33,'Inputs'!$B$29+'Inputs'!$B$31+'Inputs'!$B$32,'Inputs'!$B$30+'Inputs'!$B$31+'Inputs'!$B$32)/1000+'Inputs'!$B$21))/SQRT((((784-43)*MAX('Inputs'!$B$33,'Inputs'!$B$29+'Inputs'!$B$31+'Inputs'!$B$32,'Inputs'!$B$30+'Inputs'!$B$31+'Inputs'!$B$32)/1000+'Inputs'!$B$21))^2+('Inputs'!$B$8/2)^2)))-'Results'!B7*(1+'Inputs'!$B$24)*(0.5*((((784-43)*MAX('Inputs'!$B$33,'Inputs'!$B$29+'Inputs'!$B$31+'Inputs'!$B$32,'Inputs'!$B$30+'Inputs'!$B$31+'Inputs'!$B$32)/1000+'Inputs'!$B$21+'Inputs'!$B$9+'Inputs'!$B$10)+'Inputs'!$B$7)/SQRT((((784-43)*MAX('Inputs'!$B$33,'Inputs'!$B$29+'Inputs'!$B$31+'Inputs'!$B$32,'Inputs'!$B$30+'Inputs'!$B$31+'Inputs'!$B$32)/1000+'Inputs'!$B$21+'Inputs'!$B$9+'Inputs'!$B$10)+'Inputs'!$B$7)^2+('Inputs'!$B$6/2)^2)-(((784-43)*MAX('Inputs'!$B$33,'Inputs'!$B$29+'Inputs'!$B$31+'Inputs'!$B$32,'Inputs'!$B$30+'Inputs'!$B$31+'Inputs'!$B$32)/1000+'Inputs'!$B$21+'Inputs'!$B$9+'Inputs'!$B$10))/SQRT((((784-43)*MAX('Inputs'!$B$33,'Inputs'!$B$29+'Inputs'!$B$31+'Inputs'!$B$32,'Inputs'!$B$30+'Inputs'!$B$31+'Inputs'!$B$32)/1000+'Inputs'!$B$21+'Inputs'!$B$9+'Inputs'!$B$10))^2+('Inputs'!$B$6/2)^2))))*'Results'!$B$8))),"")</x:f>
        <x:v>0.8160425399331934</x:v>
      </x:c>
      <x:c r="O784" t="n">
        <x:f>IF(AND(ISNUMBER('Results'!C7),ISNUMBER('Results'!B7),ISNUMBER('Results'!$B$8),ISNUMBER('Inputs'!$B$6),ISNUMBER('Inputs'!$B$7),ISNUMBER('Inputs'!$B$8),ISNUMBER('Inputs'!$B$9),ISNUMBER('Inputs'!$B$10),ISNUMBER('Inputs'!$B$21),ISNUMBER('Inputs'!$B$24),ISNUMBER('Inputs'!$B$28)),((('Results'!C7*(1+'Inputs'!$B$24)*(0.5*((((784-43)*MAX('Inputs'!$B$33,'Inputs'!$B$29+'Inputs'!$B$31+'Inputs'!$B$32,'Inputs'!$B$30+'Inputs'!$B$31+'Inputs'!$B$32)/1000+'Inputs'!$B$21)+'Inputs'!$B$9)/SQRT((((784-43)*MAX('Inputs'!$B$33,'Inputs'!$B$29+'Inputs'!$B$31+'Inputs'!$B$32,'Inputs'!$B$30+'Inputs'!$B$31+'Inputs'!$B$32)/1000+'Inputs'!$B$21)+'Inputs'!$B$9)^2+('Inputs'!$B$8/2)^2)-(((784-43)*MAX('Inputs'!$B$33,'Inputs'!$B$29+'Inputs'!$B$31+'Inputs'!$B$32,'Inputs'!$B$30+'Inputs'!$B$31+'Inputs'!$B$32)/1000+'Inputs'!$B$21))/SQRT((((784-43)*MAX('Inputs'!$B$33,'Inputs'!$B$29+'Inputs'!$B$31+'Inputs'!$B$32,'Inputs'!$B$30+'Inputs'!$B$31+'Inputs'!$B$32)/1000+'Inputs'!$B$21))^2+('Inputs'!$B$8/2)^2)))-'Results'!B7*(1-'Inputs'!$B$24)*(0.5*((((784-43)*MAX('Inputs'!$B$33,'Inputs'!$B$29+'Inputs'!$B$31+'Inputs'!$B$32,'Inputs'!$B$30+'Inputs'!$B$31+'Inputs'!$B$32)/1000+'Inputs'!$B$21+'Inputs'!$B$9+'Inputs'!$B$10)+'Inputs'!$B$7)/SQRT((((784-43)*MAX('Inputs'!$B$33,'Inputs'!$B$29+'Inputs'!$B$31+'Inputs'!$B$32,'Inputs'!$B$30+'Inputs'!$B$31+'Inputs'!$B$32)/1000+'Inputs'!$B$21+'Inputs'!$B$9+'Inputs'!$B$10)+'Inputs'!$B$7)^2+('Inputs'!$B$6/2)^2)-(((784-43)*MAX('Inputs'!$B$33,'Inputs'!$B$29+'Inputs'!$B$31+'Inputs'!$B$32,'Inputs'!$B$30+'Inputs'!$B$31+'Inputs'!$B$32)/1000+'Inputs'!$B$21+'Inputs'!$B$9+'Inputs'!$B$10))/SQRT((((784-43)*MAX('Inputs'!$B$33,'Inputs'!$B$29+'Inputs'!$B$31+'Inputs'!$B$32,'Inputs'!$B$30+'Inputs'!$B$31+'Inputs'!$B$32)/1000+'Inputs'!$B$21+'Inputs'!$B$9+'Inputs'!$B$10))^2+('Inputs'!$B$6/2)^2))))*'Results'!$B$8)+'Inputs'!$B$28*ABS((('Results'!C7*(1+'Inputs'!$B$24)*(0.5*((((784-43)*MAX('Inputs'!$B$33,'Inputs'!$B$29+'Inputs'!$B$31+'Inputs'!$B$32,'Inputs'!$B$30+'Inputs'!$B$31+'Inputs'!$B$32)/1000+'Inputs'!$B$21)+'Inputs'!$B$9)/SQRT((((784-43)*MAX('Inputs'!$B$33,'Inputs'!$B$29+'Inputs'!$B$31+'Inputs'!$B$32,'Inputs'!$B$30+'Inputs'!$B$31+'Inputs'!$B$32)/1000+'Inputs'!$B$21)+'Inputs'!$B$9)^2+('Inputs'!$B$8/2)^2)-(((784-43)*MAX('Inputs'!$B$33,'Inputs'!$B$29+'Inputs'!$B$31+'Inputs'!$B$32,'Inputs'!$B$30+'Inputs'!$B$31+'Inputs'!$B$32)/1000+'Inputs'!$B$21))/SQRT((((784-43)*MAX('Inputs'!$B$33,'Inputs'!$B$29+'Inputs'!$B$31+'Inputs'!$B$32,'Inputs'!$B$30+'Inputs'!$B$31+'Inputs'!$B$32)/1000+'Inputs'!$B$21))^2+('Inputs'!$B$8/2)^2)))-'Results'!B7*(1-'Inputs'!$B$24)*(0.5*((((784-43)*MAX('Inputs'!$B$33,'Inputs'!$B$29+'Inputs'!$B$31+'Inputs'!$B$32,'Inputs'!$B$30+'Inputs'!$B$31+'Inputs'!$B$32)/1000+'Inputs'!$B$21+'Inputs'!$B$9+'Inputs'!$B$10)+'Inputs'!$B$7)/SQRT((((784-43)*MAX('Inputs'!$B$33,'Inputs'!$B$29+'Inputs'!$B$31+'Inputs'!$B$32,'Inputs'!$B$30+'Inputs'!$B$31+'Inputs'!$B$32)/1000+'Inputs'!$B$21+'Inputs'!$B$9+'Inputs'!$B$10)+'Inputs'!$B$7)^2+('Inputs'!$B$6/2)^2)-(((784-43)*MAX('Inputs'!$B$33,'Inputs'!$B$29+'Inputs'!$B$31+'Inputs'!$B$32,'Inputs'!$B$30+'Inputs'!$B$31+'Inputs'!$B$32)/1000+'Inputs'!$B$21+'Inputs'!$B$9+'Inputs'!$B$10))/SQRT((((784-43)*MAX('Inputs'!$B$33,'Inputs'!$B$29+'Inputs'!$B$31+'Inputs'!$B$32,'Inputs'!$B$30+'Inputs'!$B$31+'Inputs'!$B$32)/1000+'Inputs'!$B$21+'Inputs'!$B$9+'Inputs'!$B$10))^2+('Inputs'!$B$6/2)^2))))*'Results'!$B$8))),"")</x:f>
        <x:v>1.106801326031043</x:v>
      </x:c>
      <x:c r="P784" t="n">
        <x:f>IF(AND(MAX(J784,J783)&gt;0,J784&gt;J783+0.00000001),1,0)</x:f>
        <x:v>0</x:v>
      </x:c>
      <x:c r="Q784" t="n">
        <x:f>IF(AND(MAX(K784,K783)&gt;0,K784&gt;K783+0.00000001),1,0)</x:f>
        <x:v>0</x:v>
      </x:c>
      <x:c r="R784" t="n">
        <x:f>IF(AND(MAX(L784,L783)&gt;0,L784&gt;L783+0.00000001),1,0)</x:f>
        <x:v>0</x:v>
      </x:c>
      <x:c r="S784" t="n">
        <x:f>IF(AND(MAX(M784,M783)&gt;0,M784&gt;M783+0.00000001),1,0)</x:f>
        <x:v>0</x:v>
      </x:c>
      <x:c r="T784" t="n">
        <x:f>IF(AND(MAX(N784,N783)&gt;0,N784&gt;N783+0.00000001),1,0)</x:f>
        <x:v>0</x:v>
      </x:c>
      <x:c r="U784" t="n">
        <x:f>IF(AND(MAX(O784,O783)&gt;0,O784&gt;O783+0.00000001),1,0)</x:f>
        <x:v>0</x:v>
      </x:c>
    </x:row>
    <x:row r="785">
      <x:c r="J785" t="n">
        <x:f>IF(AND(ISNUMBER('Results'!B7),ISNUMBER('Results'!C7),ISNUMBER('Results'!$B$8),ISNUMBER('Inputs'!$B$6),ISNUMBER('Inputs'!$B$7),ISNUMBER('Inputs'!$B$8),ISNUMBER('Inputs'!$B$9),ISNUMBER('Inputs'!$B$10),ISNUMBER('Inputs'!$B$21),ISNUMBER('Inputs'!$B$24),ISNUMBER('Inputs'!$B$28)),(('Results'!B7*(0.5*((((785-43)*MAX('Inputs'!$B$33,'Inputs'!$B$29+'Inputs'!$B$31+'Inputs'!$B$32,'Inputs'!$B$30+'Inputs'!$B$31+'Inputs'!$B$32)/1000+'Inputs'!$B$21)+'Inputs'!$B$7)/SQRT((((785-43)*MAX('Inputs'!$B$33,'Inputs'!$B$29+'Inputs'!$B$31+'Inputs'!$B$32,'Inputs'!$B$30+'Inputs'!$B$31+'Inputs'!$B$32)/1000+'Inputs'!$B$21)+'Inputs'!$B$7)^2+('Inputs'!$B$6/2)^2)-(((785-43)*MAX('Inputs'!$B$33,'Inputs'!$B$29+'Inputs'!$B$31+'Inputs'!$B$32,'Inputs'!$B$30+'Inputs'!$B$31+'Inputs'!$B$32)/1000+'Inputs'!$B$21))/SQRT((((785-43)*MAX('Inputs'!$B$33,'Inputs'!$B$29+'Inputs'!$B$31+'Inputs'!$B$32,'Inputs'!$B$30+'Inputs'!$B$31+'Inputs'!$B$32)/1000+'Inputs'!$B$21))^2+('Inputs'!$B$6/2)^2)))-'Results'!C7*(0.5*((((785-43)*MAX('Inputs'!$B$33,'Inputs'!$B$29+'Inputs'!$B$31+'Inputs'!$B$32,'Inputs'!$B$30+'Inputs'!$B$31+'Inputs'!$B$32)/1000+'Inputs'!$B$21+'Inputs'!$B$7+'Inputs'!$B$10)+'Inputs'!$B$9)/SQRT((((785-43)*MAX('Inputs'!$B$33,'Inputs'!$B$29+'Inputs'!$B$31+'Inputs'!$B$32,'Inputs'!$B$30+'Inputs'!$B$31+'Inputs'!$B$32)/1000+'Inputs'!$B$21+'Inputs'!$B$7+'Inputs'!$B$10)+'Inputs'!$B$9)^2+('Inputs'!$B$8/2)^2)-(((785-43)*MAX('Inputs'!$B$33,'Inputs'!$B$29+'Inputs'!$B$31+'Inputs'!$B$32,'Inputs'!$B$30+'Inputs'!$B$31+'Inputs'!$B$32)/1000+'Inputs'!$B$21+'Inputs'!$B$7+'Inputs'!$B$10))/SQRT((((785-43)*MAX('Inputs'!$B$33,'Inputs'!$B$29+'Inputs'!$B$31+'Inputs'!$B$32,'Inputs'!$B$30+'Inputs'!$B$31+'Inputs'!$B$32)/1000+'Inputs'!$B$21+'Inputs'!$B$7+'Inputs'!$B$10))^2+('Inputs'!$B$8/2)^2))))*'Results'!$B$8),"")</x:f>
        <x:v>1.0502160392439526</x:v>
      </x:c>
      <x:c r="K785" t="n">
        <x:f>IF(AND(ISNUMBER('Results'!B7),ISNUMBER('Results'!C7),ISNUMBER('Results'!$B$8),ISNUMBER('Inputs'!$B$6),ISNUMBER('Inputs'!$B$7),ISNUMBER('Inputs'!$B$8),ISNUMBER('Inputs'!$B$9),ISNUMBER('Inputs'!$B$10),ISNUMBER('Inputs'!$B$21),ISNUMBER('Inputs'!$B$24),ISNUMBER('Inputs'!$B$28)),((('Results'!B7*(1-'Inputs'!$B$24)*(0.5*((((785-43)*MAX('Inputs'!$B$33,'Inputs'!$B$29+'Inputs'!$B$31+'Inputs'!$B$32,'Inputs'!$B$30+'Inputs'!$B$31+'Inputs'!$B$32)/1000+'Inputs'!$B$21)+'Inputs'!$B$7)/SQRT((((785-43)*MAX('Inputs'!$B$33,'Inputs'!$B$29+'Inputs'!$B$31+'Inputs'!$B$32,'Inputs'!$B$30+'Inputs'!$B$31+'Inputs'!$B$32)/1000+'Inputs'!$B$21)+'Inputs'!$B$7)^2+('Inputs'!$B$6/2)^2)-(((785-43)*MAX('Inputs'!$B$33,'Inputs'!$B$29+'Inputs'!$B$31+'Inputs'!$B$32,'Inputs'!$B$30+'Inputs'!$B$31+'Inputs'!$B$32)/1000+'Inputs'!$B$21))/SQRT((((785-43)*MAX('Inputs'!$B$33,'Inputs'!$B$29+'Inputs'!$B$31+'Inputs'!$B$32,'Inputs'!$B$30+'Inputs'!$B$31+'Inputs'!$B$32)/1000+'Inputs'!$B$21))^2+('Inputs'!$B$6/2)^2)))-'Results'!C7*(1+'Inputs'!$B$24)*(0.5*((((785-43)*MAX('Inputs'!$B$33,'Inputs'!$B$29+'Inputs'!$B$31+'Inputs'!$B$32,'Inputs'!$B$30+'Inputs'!$B$31+'Inputs'!$B$32)/1000+'Inputs'!$B$21+'Inputs'!$B$7+'Inputs'!$B$10)+'Inputs'!$B$9)/SQRT((((785-43)*MAX('Inputs'!$B$33,'Inputs'!$B$29+'Inputs'!$B$31+'Inputs'!$B$32,'Inputs'!$B$30+'Inputs'!$B$31+'Inputs'!$B$32)/1000+'Inputs'!$B$21+'Inputs'!$B$7+'Inputs'!$B$10)+'Inputs'!$B$9)^2+('Inputs'!$B$8/2)^2)-(((785-43)*MAX('Inputs'!$B$33,'Inputs'!$B$29+'Inputs'!$B$31+'Inputs'!$B$32,'Inputs'!$B$30+'Inputs'!$B$31+'Inputs'!$B$32)/1000+'Inputs'!$B$21+'Inputs'!$B$7+'Inputs'!$B$10))/SQRT((((785-43)*MAX('Inputs'!$B$33,'Inputs'!$B$29+'Inputs'!$B$31+'Inputs'!$B$32,'Inputs'!$B$30+'Inputs'!$B$31+'Inputs'!$B$32)/1000+'Inputs'!$B$21+'Inputs'!$B$7+'Inputs'!$B$10))^2+('Inputs'!$B$8/2)^2))))*'Results'!$B$8)-'Inputs'!$B$28*ABS((('Results'!B7*(1-'Inputs'!$B$24)*(0.5*((((785-43)*MAX('Inputs'!$B$33,'Inputs'!$B$29+'Inputs'!$B$31+'Inputs'!$B$32,'Inputs'!$B$30+'Inputs'!$B$31+'Inputs'!$B$32)/1000+'Inputs'!$B$21)+'Inputs'!$B$7)/SQRT((((785-43)*MAX('Inputs'!$B$33,'Inputs'!$B$29+'Inputs'!$B$31+'Inputs'!$B$32,'Inputs'!$B$30+'Inputs'!$B$31+'Inputs'!$B$32)/1000+'Inputs'!$B$21)+'Inputs'!$B$7)^2+('Inputs'!$B$6/2)^2)-(((785-43)*MAX('Inputs'!$B$33,'Inputs'!$B$29+'Inputs'!$B$31+'Inputs'!$B$32,'Inputs'!$B$30+'Inputs'!$B$31+'Inputs'!$B$32)/1000+'Inputs'!$B$21))/SQRT((((785-43)*MAX('Inputs'!$B$33,'Inputs'!$B$29+'Inputs'!$B$31+'Inputs'!$B$32,'Inputs'!$B$30+'Inputs'!$B$31+'Inputs'!$B$32)/1000+'Inputs'!$B$21))^2+('Inputs'!$B$6/2)^2)))-'Results'!C7*(1+'Inputs'!$B$24)*(0.5*((((785-43)*MAX('Inputs'!$B$33,'Inputs'!$B$29+'Inputs'!$B$31+'Inputs'!$B$32,'Inputs'!$B$30+'Inputs'!$B$31+'Inputs'!$B$32)/1000+'Inputs'!$B$21+'Inputs'!$B$7+'Inputs'!$B$10)+'Inputs'!$B$9)/SQRT((((785-43)*MAX('Inputs'!$B$33,'Inputs'!$B$29+'Inputs'!$B$31+'Inputs'!$B$32,'Inputs'!$B$30+'Inputs'!$B$31+'Inputs'!$B$32)/1000+'Inputs'!$B$21+'Inputs'!$B$7+'Inputs'!$B$10)+'Inputs'!$B$9)^2+('Inputs'!$B$8/2)^2)-(((785-43)*MAX('Inputs'!$B$33,'Inputs'!$B$29+'Inputs'!$B$31+'Inputs'!$B$32,'Inputs'!$B$30+'Inputs'!$B$31+'Inputs'!$B$32)/1000+'Inputs'!$B$21+'Inputs'!$B$7+'Inputs'!$B$10))/SQRT((((785-43)*MAX('Inputs'!$B$33,'Inputs'!$B$29+'Inputs'!$B$31+'Inputs'!$B$32,'Inputs'!$B$30+'Inputs'!$B$31+'Inputs'!$B$32)/1000+'Inputs'!$B$21+'Inputs'!$B$7+'Inputs'!$B$10))^2+('Inputs'!$B$8/2)^2))))*'Results'!$B$8))),"")</x:f>
        <x:v>0.9049886450760684</x:v>
      </x:c>
      <x:c r="L785" t="n">
        <x:f>IF(AND(ISNUMBER('Results'!B7),ISNUMBER('Results'!C7),ISNUMBER('Results'!$B$8),ISNUMBER('Inputs'!$B$6),ISNUMBER('Inputs'!$B$7),ISNUMBER('Inputs'!$B$8),ISNUMBER('Inputs'!$B$9),ISNUMBER('Inputs'!$B$10),ISNUMBER('Inputs'!$B$21),ISNUMBER('Inputs'!$B$24),ISNUMBER('Inputs'!$B$28)),((('Results'!B7*(1+'Inputs'!$B$24)*(0.5*((((785-43)*MAX('Inputs'!$B$33,'Inputs'!$B$29+'Inputs'!$B$31+'Inputs'!$B$32,'Inputs'!$B$30+'Inputs'!$B$31+'Inputs'!$B$32)/1000+'Inputs'!$B$21)+'Inputs'!$B$7)/SQRT((((785-43)*MAX('Inputs'!$B$33,'Inputs'!$B$29+'Inputs'!$B$31+'Inputs'!$B$32,'Inputs'!$B$30+'Inputs'!$B$31+'Inputs'!$B$32)/1000+'Inputs'!$B$21)+'Inputs'!$B$7)^2+('Inputs'!$B$6/2)^2)-(((785-43)*MAX('Inputs'!$B$33,'Inputs'!$B$29+'Inputs'!$B$31+'Inputs'!$B$32,'Inputs'!$B$30+'Inputs'!$B$31+'Inputs'!$B$32)/1000+'Inputs'!$B$21))/SQRT((((785-43)*MAX('Inputs'!$B$33,'Inputs'!$B$29+'Inputs'!$B$31+'Inputs'!$B$32,'Inputs'!$B$30+'Inputs'!$B$31+'Inputs'!$B$32)/1000+'Inputs'!$B$21))^2+('Inputs'!$B$6/2)^2)))-'Results'!C7*(1-'Inputs'!$B$24)*(0.5*((((785-43)*MAX('Inputs'!$B$33,'Inputs'!$B$29+'Inputs'!$B$31+'Inputs'!$B$32,'Inputs'!$B$30+'Inputs'!$B$31+'Inputs'!$B$32)/1000+'Inputs'!$B$21+'Inputs'!$B$7+'Inputs'!$B$10)+'Inputs'!$B$9)/SQRT((((785-43)*MAX('Inputs'!$B$33,'Inputs'!$B$29+'Inputs'!$B$31+'Inputs'!$B$32,'Inputs'!$B$30+'Inputs'!$B$31+'Inputs'!$B$32)/1000+'Inputs'!$B$21+'Inputs'!$B$7+'Inputs'!$B$10)+'Inputs'!$B$9)^2+('Inputs'!$B$8/2)^2)-(((785-43)*MAX('Inputs'!$B$33,'Inputs'!$B$29+'Inputs'!$B$31+'Inputs'!$B$32,'Inputs'!$B$30+'Inputs'!$B$31+'Inputs'!$B$32)/1000+'Inputs'!$B$21+'Inputs'!$B$7+'Inputs'!$B$10))/SQRT((((785-43)*MAX('Inputs'!$B$33,'Inputs'!$B$29+'Inputs'!$B$31+'Inputs'!$B$32,'Inputs'!$B$30+'Inputs'!$B$31+'Inputs'!$B$32)/1000+'Inputs'!$B$21+'Inputs'!$B$7+'Inputs'!$B$10))^2+('Inputs'!$B$8/2)^2))))*'Results'!$B$8)+'Inputs'!$B$28*ABS((('Results'!B7*(1+'Inputs'!$B$24)*(0.5*((((785-43)*MAX('Inputs'!$B$33,'Inputs'!$B$29+'Inputs'!$B$31+'Inputs'!$B$32,'Inputs'!$B$30+'Inputs'!$B$31+'Inputs'!$B$32)/1000+'Inputs'!$B$21)+'Inputs'!$B$7)/SQRT((((785-43)*MAX('Inputs'!$B$33,'Inputs'!$B$29+'Inputs'!$B$31+'Inputs'!$B$32,'Inputs'!$B$30+'Inputs'!$B$31+'Inputs'!$B$32)/1000+'Inputs'!$B$21)+'Inputs'!$B$7)^2+('Inputs'!$B$6/2)^2)-(((785-43)*MAX('Inputs'!$B$33,'Inputs'!$B$29+'Inputs'!$B$31+'Inputs'!$B$32,'Inputs'!$B$30+'Inputs'!$B$31+'Inputs'!$B$32)/1000+'Inputs'!$B$21))/SQRT((((785-43)*MAX('Inputs'!$B$33,'Inputs'!$B$29+'Inputs'!$B$31+'Inputs'!$B$32,'Inputs'!$B$30+'Inputs'!$B$31+'Inputs'!$B$32)/1000+'Inputs'!$B$21))^2+('Inputs'!$B$6/2)^2)))-'Results'!C7*(1-'Inputs'!$B$24)*(0.5*((((785-43)*MAX('Inputs'!$B$33,'Inputs'!$B$29+'Inputs'!$B$31+'Inputs'!$B$32,'Inputs'!$B$30+'Inputs'!$B$31+'Inputs'!$B$32)/1000+'Inputs'!$B$21+'Inputs'!$B$7+'Inputs'!$B$10)+'Inputs'!$B$9)/SQRT((((785-43)*MAX('Inputs'!$B$33,'Inputs'!$B$29+'Inputs'!$B$31+'Inputs'!$B$32,'Inputs'!$B$30+'Inputs'!$B$31+'Inputs'!$B$32)/1000+'Inputs'!$B$21+'Inputs'!$B$7+'Inputs'!$B$10)+'Inputs'!$B$9)^2+('Inputs'!$B$8/2)^2)-(((785-43)*MAX('Inputs'!$B$33,'Inputs'!$B$29+'Inputs'!$B$31+'Inputs'!$B$32,'Inputs'!$B$30+'Inputs'!$B$31+'Inputs'!$B$32)/1000+'Inputs'!$B$21+'Inputs'!$B$7+'Inputs'!$B$10))/SQRT((((785-43)*MAX('Inputs'!$B$33,'Inputs'!$B$29+'Inputs'!$B$31+'Inputs'!$B$32,'Inputs'!$B$30+'Inputs'!$B$31+'Inputs'!$B$32)/1000+'Inputs'!$B$21+'Inputs'!$B$7+'Inputs'!$B$10))^2+('Inputs'!$B$8/2)^2))))*'Results'!$B$8))),"")</x:f>
        <x:v>1.2052030746966464</x:v>
      </x:c>
      <x:c r="M785" t="n">
        <x:f>IF(AND(ISNUMBER('Results'!C7),ISNUMBER('Results'!B7),ISNUMBER('Results'!$B$8),ISNUMBER('Inputs'!$B$6),ISNUMBER('Inputs'!$B$7),ISNUMBER('Inputs'!$B$8),ISNUMBER('Inputs'!$B$9),ISNUMBER('Inputs'!$B$10),ISNUMBER('Inputs'!$B$21),ISNUMBER('Inputs'!$B$24),ISNUMBER('Inputs'!$B$28)),(('Results'!C7*(0.5*((((785-43)*MAX('Inputs'!$B$33,'Inputs'!$B$29+'Inputs'!$B$31+'Inputs'!$B$32,'Inputs'!$B$30+'Inputs'!$B$31+'Inputs'!$B$32)/1000+'Inputs'!$B$21)+'Inputs'!$B$9)/SQRT((((785-43)*MAX('Inputs'!$B$33,'Inputs'!$B$29+'Inputs'!$B$31+'Inputs'!$B$32,'Inputs'!$B$30+'Inputs'!$B$31+'Inputs'!$B$32)/1000+'Inputs'!$B$21)+'Inputs'!$B$9)^2+('Inputs'!$B$8/2)^2)-(((785-43)*MAX('Inputs'!$B$33,'Inputs'!$B$29+'Inputs'!$B$31+'Inputs'!$B$32,'Inputs'!$B$30+'Inputs'!$B$31+'Inputs'!$B$32)/1000+'Inputs'!$B$21))/SQRT((((785-43)*MAX('Inputs'!$B$33,'Inputs'!$B$29+'Inputs'!$B$31+'Inputs'!$B$32,'Inputs'!$B$30+'Inputs'!$B$31+'Inputs'!$B$32)/1000+'Inputs'!$B$21))^2+('Inputs'!$B$8/2)^2)))-'Results'!B7*(0.5*((((785-43)*MAX('Inputs'!$B$33,'Inputs'!$B$29+'Inputs'!$B$31+'Inputs'!$B$32,'Inputs'!$B$30+'Inputs'!$B$31+'Inputs'!$B$32)/1000+'Inputs'!$B$21+'Inputs'!$B$9+'Inputs'!$B$10)+'Inputs'!$B$7)/SQRT((((785-43)*MAX('Inputs'!$B$33,'Inputs'!$B$29+'Inputs'!$B$31+'Inputs'!$B$32,'Inputs'!$B$30+'Inputs'!$B$31+'Inputs'!$B$32)/1000+'Inputs'!$B$21+'Inputs'!$B$9+'Inputs'!$B$10)+'Inputs'!$B$7)^2+('Inputs'!$B$6/2)^2)-(((785-43)*MAX('Inputs'!$B$33,'Inputs'!$B$29+'Inputs'!$B$31+'Inputs'!$B$32,'Inputs'!$B$30+'Inputs'!$B$31+'Inputs'!$B$32)/1000+'Inputs'!$B$21+'Inputs'!$B$9+'Inputs'!$B$10))/SQRT((((785-43)*MAX('Inputs'!$B$33,'Inputs'!$B$29+'Inputs'!$B$31+'Inputs'!$B$32,'Inputs'!$B$30+'Inputs'!$B$31+'Inputs'!$B$32)/1000+'Inputs'!$B$21+'Inputs'!$B$9+'Inputs'!$B$10))^2+('Inputs'!$B$6/2)^2))))*'Results'!$B$8),"")</x:f>
        <x:v>0.9518380744360329</x:v>
      </x:c>
      <x:c r="N785" t="n">
        <x:f>IF(AND(ISNUMBER('Results'!C7),ISNUMBER('Results'!B7),ISNUMBER('Results'!$B$8),ISNUMBER('Inputs'!$B$6),ISNUMBER('Inputs'!$B$7),ISNUMBER('Inputs'!$B$8),ISNUMBER('Inputs'!$B$9),ISNUMBER('Inputs'!$B$10),ISNUMBER('Inputs'!$B$21),ISNUMBER('Inputs'!$B$24),ISNUMBER('Inputs'!$B$28)),((('Results'!C7*(1-'Inputs'!$B$24)*(0.5*((((785-43)*MAX('Inputs'!$B$33,'Inputs'!$B$29+'Inputs'!$B$31+'Inputs'!$B$32,'Inputs'!$B$30+'Inputs'!$B$31+'Inputs'!$B$32)/1000+'Inputs'!$B$21)+'Inputs'!$B$9)/SQRT((((785-43)*MAX('Inputs'!$B$33,'Inputs'!$B$29+'Inputs'!$B$31+'Inputs'!$B$32,'Inputs'!$B$30+'Inputs'!$B$31+'Inputs'!$B$32)/1000+'Inputs'!$B$21)+'Inputs'!$B$9)^2+('Inputs'!$B$8/2)^2)-(((785-43)*MAX('Inputs'!$B$33,'Inputs'!$B$29+'Inputs'!$B$31+'Inputs'!$B$32,'Inputs'!$B$30+'Inputs'!$B$31+'Inputs'!$B$32)/1000+'Inputs'!$B$21))/SQRT((((785-43)*MAX('Inputs'!$B$33,'Inputs'!$B$29+'Inputs'!$B$31+'Inputs'!$B$32,'Inputs'!$B$30+'Inputs'!$B$31+'Inputs'!$B$32)/1000+'Inputs'!$B$21))^2+('Inputs'!$B$8/2)^2)))-'Results'!B7*(1+'Inputs'!$B$24)*(0.5*((((785-43)*MAX('Inputs'!$B$33,'Inputs'!$B$29+'Inputs'!$B$31+'Inputs'!$B$32,'Inputs'!$B$30+'Inputs'!$B$31+'Inputs'!$B$32)/1000+'Inputs'!$B$21+'Inputs'!$B$9+'Inputs'!$B$10)+'Inputs'!$B$7)/SQRT((((785-43)*MAX('Inputs'!$B$33,'Inputs'!$B$29+'Inputs'!$B$31+'Inputs'!$B$32,'Inputs'!$B$30+'Inputs'!$B$31+'Inputs'!$B$32)/1000+'Inputs'!$B$21+'Inputs'!$B$9+'Inputs'!$B$10)+'Inputs'!$B$7)^2+('Inputs'!$B$6/2)^2)-(((785-43)*MAX('Inputs'!$B$33,'Inputs'!$B$29+'Inputs'!$B$31+'Inputs'!$B$32,'Inputs'!$B$30+'Inputs'!$B$31+'Inputs'!$B$32)/1000+'Inputs'!$B$21+'Inputs'!$B$9+'Inputs'!$B$10))/SQRT((((785-43)*MAX('Inputs'!$B$33,'Inputs'!$B$29+'Inputs'!$B$31+'Inputs'!$B$32,'Inputs'!$B$30+'Inputs'!$B$31+'Inputs'!$B$32)/1000+'Inputs'!$B$21+'Inputs'!$B$9+'Inputs'!$B$10))^2+('Inputs'!$B$6/2)^2))))*'Results'!$B$8)-'Inputs'!$B$28*ABS((('Results'!C7*(1-'Inputs'!$B$24)*(0.5*((((785-43)*MAX('Inputs'!$B$33,'Inputs'!$B$29+'Inputs'!$B$31+'Inputs'!$B$32,'Inputs'!$B$30+'Inputs'!$B$31+'Inputs'!$B$32)/1000+'Inputs'!$B$21)+'Inputs'!$B$9)/SQRT((((785-43)*MAX('Inputs'!$B$33,'Inputs'!$B$29+'Inputs'!$B$31+'Inputs'!$B$32,'Inputs'!$B$30+'Inputs'!$B$31+'Inputs'!$B$32)/1000+'Inputs'!$B$21)+'Inputs'!$B$9)^2+('Inputs'!$B$8/2)^2)-(((785-43)*MAX('Inputs'!$B$33,'Inputs'!$B$29+'Inputs'!$B$31+'Inputs'!$B$32,'Inputs'!$B$30+'Inputs'!$B$31+'Inputs'!$B$32)/1000+'Inputs'!$B$21))/SQRT((((785-43)*MAX('Inputs'!$B$33,'Inputs'!$B$29+'Inputs'!$B$31+'Inputs'!$B$32,'Inputs'!$B$30+'Inputs'!$B$31+'Inputs'!$B$32)/1000+'Inputs'!$B$21))^2+('Inputs'!$B$8/2)^2)))-'Results'!B7*(1+'Inputs'!$B$24)*(0.5*((((785-43)*MAX('Inputs'!$B$33,'Inputs'!$B$29+'Inputs'!$B$31+'Inputs'!$B$32,'Inputs'!$B$30+'Inputs'!$B$31+'Inputs'!$B$32)/1000+'Inputs'!$B$21+'Inputs'!$B$9+'Inputs'!$B$10)+'Inputs'!$B$7)/SQRT((((785-43)*MAX('Inputs'!$B$33,'Inputs'!$B$29+'Inputs'!$B$31+'Inputs'!$B$32,'Inputs'!$B$30+'Inputs'!$B$31+'Inputs'!$B$32)/1000+'Inputs'!$B$21+'Inputs'!$B$9+'Inputs'!$B$10)+'Inputs'!$B$7)^2+('Inputs'!$B$6/2)^2)-(((785-43)*MAX('Inputs'!$B$33,'Inputs'!$B$29+'Inputs'!$B$31+'Inputs'!$B$32,'Inputs'!$B$30+'Inputs'!$B$31+'Inputs'!$B$32)/1000+'Inputs'!$B$21+'Inputs'!$B$9+'Inputs'!$B$10))/SQRT((((785-43)*MAX('Inputs'!$B$33,'Inputs'!$B$29+'Inputs'!$B$31+'Inputs'!$B$32,'Inputs'!$B$30+'Inputs'!$B$31+'Inputs'!$B$32)/1000+'Inputs'!$B$21+'Inputs'!$B$9+'Inputs'!$B$10))^2+('Inputs'!$B$6/2)^2))))*'Results'!$B$8))),"")</x:f>
        <x:v>0.8119138111162203</x:v>
      </x:c>
      <x:c r="O785" t="n">
        <x:f>IF(AND(ISNUMBER('Results'!C7),ISNUMBER('Results'!B7),ISNUMBER('Results'!$B$8),ISNUMBER('Inputs'!$B$6),ISNUMBER('Inputs'!$B$7),ISNUMBER('Inputs'!$B$8),ISNUMBER('Inputs'!$B$9),ISNUMBER('Inputs'!$B$10),ISNUMBER('Inputs'!$B$21),ISNUMBER('Inputs'!$B$24),ISNUMBER('Inputs'!$B$28)),((('Results'!C7*(1+'Inputs'!$B$24)*(0.5*((((785-43)*MAX('Inputs'!$B$33,'Inputs'!$B$29+'Inputs'!$B$31+'Inputs'!$B$32,'Inputs'!$B$30+'Inputs'!$B$31+'Inputs'!$B$32)/1000+'Inputs'!$B$21)+'Inputs'!$B$9)/SQRT((((785-43)*MAX('Inputs'!$B$33,'Inputs'!$B$29+'Inputs'!$B$31+'Inputs'!$B$32,'Inputs'!$B$30+'Inputs'!$B$31+'Inputs'!$B$32)/1000+'Inputs'!$B$21)+'Inputs'!$B$9)^2+('Inputs'!$B$8/2)^2)-(((785-43)*MAX('Inputs'!$B$33,'Inputs'!$B$29+'Inputs'!$B$31+'Inputs'!$B$32,'Inputs'!$B$30+'Inputs'!$B$31+'Inputs'!$B$32)/1000+'Inputs'!$B$21))/SQRT((((785-43)*MAX('Inputs'!$B$33,'Inputs'!$B$29+'Inputs'!$B$31+'Inputs'!$B$32,'Inputs'!$B$30+'Inputs'!$B$31+'Inputs'!$B$32)/1000+'Inputs'!$B$21))^2+('Inputs'!$B$8/2)^2)))-'Results'!B7*(1-'Inputs'!$B$24)*(0.5*((((785-43)*MAX('Inputs'!$B$33,'Inputs'!$B$29+'Inputs'!$B$31+'Inputs'!$B$32,'Inputs'!$B$30+'Inputs'!$B$31+'Inputs'!$B$32)/1000+'Inputs'!$B$21+'Inputs'!$B$9+'Inputs'!$B$10)+'Inputs'!$B$7)/SQRT((((785-43)*MAX('Inputs'!$B$33,'Inputs'!$B$29+'Inputs'!$B$31+'Inputs'!$B$32,'Inputs'!$B$30+'Inputs'!$B$31+'Inputs'!$B$32)/1000+'Inputs'!$B$21+'Inputs'!$B$9+'Inputs'!$B$10)+'Inputs'!$B$7)^2+('Inputs'!$B$6/2)^2)-(((785-43)*MAX('Inputs'!$B$33,'Inputs'!$B$29+'Inputs'!$B$31+'Inputs'!$B$32,'Inputs'!$B$30+'Inputs'!$B$31+'Inputs'!$B$32)/1000+'Inputs'!$B$21+'Inputs'!$B$9+'Inputs'!$B$10))/SQRT((((785-43)*MAX('Inputs'!$B$33,'Inputs'!$B$29+'Inputs'!$B$31+'Inputs'!$B$32,'Inputs'!$B$30+'Inputs'!$B$31+'Inputs'!$B$32)/1000+'Inputs'!$B$21+'Inputs'!$B$9+'Inputs'!$B$10))^2+('Inputs'!$B$6/2)^2))))*'Results'!$B$8)+'Inputs'!$B$28*ABS((('Results'!C7*(1+'Inputs'!$B$24)*(0.5*((((785-43)*MAX('Inputs'!$B$33,'Inputs'!$B$29+'Inputs'!$B$31+'Inputs'!$B$32,'Inputs'!$B$30+'Inputs'!$B$31+'Inputs'!$B$32)/1000+'Inputs'!$B$21)+'Inputs'!$B$9)/SQRT((((785-43)*MAX('Inputs'!$B$33,'Inputs'!$B$29+'Inputs'!$B$31+'Inputs'!$B$32,'Inputs'!$B$30+'Inputs'!$B$31+'Inputs'!$B$32)/1000+'Inputs'!$B$21)+'Inputs'!$B$9)^2+('Inputs'!$B$8/2)^2)-(((785-43)*MAX('Inputs'!$B$33,'Inputs'!$B$29+'Inputs'!$B$31+'Inputs'!$B$32,'Inputs'!$B$30+'Inputs'!$B$31+'Inputs'!$B$32)/1000+'Inputs'!$B$21))/SQRT((((785-43)*MAX('Inputs'!$B$33,'Inputs'!$B$29+'Inputs'!$B$31+'Inputs'!$B$32,'Inputs'!$B$30+'Inputs'!$B$31+'Inputs'!$B$32)/1000+'Inputs'!$B$21))^2+('Inputs'!$B$8/2)^2)))-'Results'!B7*(1-'Inputs'!$B$24)*(0.5*((((785-43)*MAX('Inputs'!$B$33,'Inputs'!$B$29+'Inputs'!$B$31+'Inputs'!$B$32,'Inputs'!$B$30+'Inputs'!$B$31+'Inputs'!$B$32)/1000+'Inputs'!$B$21+'Inputs'!$B$9+'Inputs'!$B$10)+'Inputs'!$B$7)/SQRT((((785-43)*MAX('Inputs'!$B$33,'Inputs'!$B$29+'Inputs'!$B$31+'Inputs'!$B$32,'Inputs'!$B$30+'Inputs'!$B$31+'Inputs'!$B$32)/1000+'Inputs'!$B$21+'Inputs'!$B$9+'Inputs'!$B$10)+'Inputs'!$B$7)^2+('Inputs'!$B$6/2)^2)-(((785-43)*MAX('Inputs'!$B$33,'Inputs'!$B$29+'Inputs'!$B$31+'Inputs'!$B$32,'Inputs'!$B$30+'Inputs'!$B$31+'Inputs'!$B$32)/1000+'Inputs'!$B$21+'Inputs'!$B$9+'Inputs'!$B$10))/SQRT((((785-43)*MAX('Inputs'!$B$33,'Inputs'!$B$29+'Inputs'!$B$31+'Inputs'!$B$32,'Inputs'!$B$30+'Inputs'!$B$31+'Inputs'!$B$32)/1000+'Inputs'!$B$21+'Inputs'!$B$9+'Inputs'!$B$10))^2+('Inputs'!$B$6/2)^2))))*'Results'!$B$8))),"")</x:f>
        <x:v>1.1014815335030044</x:v>
      </x:c>
      <x:c r="P785" t="n">
        <x:f>IF(AND(MAX(J785,J784)&gt;0,J785&gt;J784+0.00000001),1,0)</x:f>
        <x:v>0</x:v>
      </x:c>
      <x:c r="Q785" t="n">
        <x:f>IF(AND(MAX(K785,K784)&gt;0,K785&gt;K784+0.00000001),1,0)</x:f>
        <x:v>0</x:v>
      </x:c>
      <x:c r="R785" t="n">
        <x:f>IF(AND(MAX(L785,L784)&gt;0,L785&gt;L784+0.00000001),1,0)</x:f>
        <x:v>0</x:v>
      </x:c>
      <x:c r="S785" t="n">
        <x:f>IF(AND(MAX(M785,M784)&gt;0,M785&gt;M784+0.00000001),1,0)</x:f>
        <x:v>0</x:v>
      </x:c>
      <x:c r="T785" t="n">
        <x:f>IF(AND(MAX(N785,N784)&gt;0,N785&gt;N784+0.00000001),1,0)</x:f>
        <x:v>0</x:v>
      </x:c>
      <x:c r="U785" t="n">
        <x:f>IF(AND(MAX(O785,O784)&gt;0,O785&gt;O784+0.00000001),1,0)</x:f>
        <x:v>0</x:v>
      </x:c>
    </x:row>
    <x:row r="786">
      <x:c r="J786" t="n">
        <x:f>IF(AND(ISNUMBER('Results'!B7),ISNUMBER('Results'!C7),ISNUMBER('Results'!$B$8),ISNUMBER('Inputs'!$B$6),ISNUMBER('Inputs'!$B$7),ISNUMBER('Inputs'!$B$8),ISNUMBER('Inputs'!$B$9),ISNUMBER('Inputs'!$B$10),ISNUMBER('Inputs'!$B$21),ISNUMBER('Inputs'!$B$24),ISNUMBER('Inputs'!$B$28)),(('Results'!B7*(0.5*((((786-43)*MAX('Inputs'!$B$33,'Inputs'!$B$29+'Inputs'!$B$31+'Inputs'!$B$32,'Inputs'!$B$30+'Inputs'!$B$31+'Inputs'!$B$32)/1000+'Inputs'!$B$21)+'Inputs'!$B$7)/SQRT((((786-43)*MAX('Inputs'!$B$33,'Inputs'!$B$29+'Inputs'!$B$31+'Inputs'!$B$32,'Inputs'!$B$30+'Inputs'!$B$31+'Inputs'!$B$32)/1000+'Inputs'!$B$21)+'Inputs'!$B$7)^2+('Inputs'!$B$6/2)^2)-(((786-43)*MAX('Inputs'!$B$33,'Inputs'!$B$29+'Inputs'!$B$31+'Inputs'!$B$32,'Inputs'!$B$30+'Inputs'!$B$31+'Inputs'!$B$32)/1000+'Inputs'!$B$21))/SQRT((((786-43)*MAX('Inputs'!$B$33,'Inputs'!$B$29+'Inputs'!$B$31+'Inputs'!$B$32,'Inputs'!$B$30+'Inputs'!$B$31+'Inputs'!$B$32)/1000+'Inputs'!$B$21))^2+('Inputs'!$B$6/2)^2)))-'Results'!C7*(0.5*((((786-43)*MAX('Inputs'!$B$33,'Inputs'!$B$29+'Inputs'!$B$31+'Inputs'!$B$32,'Inputs'!$B$30+'Inputs'!$B$31+'Inputs'!$B$32)/1000+'Inputs'!$B$21+'Inputs'!$B$7+'Inputs'!$B$10)+'Inputs'!$B$9)/SQRT((((786-43)*MAX('Inputs'!$B$33,'Inputs'!$B$29+'Inputs'!$B$31+'Inputs'!$B$32,'Inputs'!$B$30+'Inputs'!$B$31+'Inputs'!$B$32)/1000+'Inputs'!$B$21+'Inputs'!$B$7+'Inputs'!$B$10)+'Inputs'!$B$9)^2+('Inputs'!$B$8/2)^2)-(((786-43)*MAX('Inputs'!$B$33,'Inputs'!$B$29+'Inputs'!$B$31+'Inputs'!$B$32,'Inputs'!$B$30+'Inputs'!$B$31+'Inputs'!$B$32)/1000+'Inputs'!$B$21+'Inputs'!$B$7+'Inputs'!$B$10))/SQRT((((786-43)*MAX('Inputs'!$B$33,'Inputs'!$B$29+'Inputs'!$B$31+'Inputs'!$B$32,'Inputs'!$B$30+'Inputs'!$B$31+'Inputs'!$B$32)/1000+'Inputs'!$B$21+'Inputs'!$B$7+'Inputs'!$B$10))^2+('Inputs'!$B$8/2)^2))))*'Results'!$B$8),"")</x:f>
        <x:v>1.0451754752040998</x:v>
      </x:c>
      <x:c r="K786" t="n">
        <x:f>IF(AND(ISNUMBER('Results'!B7),ISNUMBER('Results'!C7),ISNUMBER('Results'!$B$8),ISNUMBER('Inputs'!$B$6),ISNUMBER('Inputs'!$B$7),ISNUMBER('Inputs'!$B$8),ISNUMBER('Inputs'!$B$9),ISNUMBER('Inputs'!$B$10),ISNUMBER('Inputs'!$B$21),ISNUMBER('Inputs'!$B$24),ISNUMBER('Inputs'!$B$28)),((('Results'!B7*(1-'Inputs'!$B$24)*(0.5*((((786-43)*MAX('Inputs'!$B$33,'Inputs'!$B$29+'Inputs'!$B$31+'Inputs'!$B$32,'Inputs'!$B$30+'Inputs'!$B$31+'Inputs'!$B$32)/1000+'Inputs'!$B$21)+'Inputs'!$B$7)/SQRT((((786-43)*MAX('Inputs'!$B$33,'Inputs'!$B$29+'Inputs'!$B$31+'Inputs'!$B$32,'Inputs'!$B$30+'Inputs'!$B$31+'Inputs'!$B$32)/1000+'Inputs'!$B$21)+'Inputs'!$B$7)^2+('Inputs'!$B$6/2)^2)-(((786-43)*MAX('Inputs'!$B$33,'Inputs'!$B$29+'Inputs'!$B$31+'Inputs'!$B$32,'Inputs'!$B$30+'Inputs'!$B$31+'Inputs'!$B$32)/1000+'Inputs'!$B$21))/SQRT((((786-43)*MAX('Inputs'!$B$33,'Inputs'!$B$29+'Inputs'!$B$31+'Inputs'!$B$32,'Inputs'!$B$30+'Inputs'!$B$31+'Inputs'!$B$32)/1000+'Inputs'!$B$21))^2+('Inputs'!$B$6/2)^2)))-'Results'!C7*(1+'Inputs'!$B$24)*(0.5*((((786-43)*MAX('Inputs'!$B$33,'Inputs'!$B$29+'Inputs'!$B$31+'Inputs'!$B$32,'Inputs'!$B$30+'Inputs'!$B$31+'Inputs'!$B$32)/1000+'Inputs'!$B$21+'Inputs'!$B$7+'Inputs'!$B$10)+'Inputs'!$B$9)/SQRT((((786-43)*MAX('Inputs'!$B$33,'Inputs'!$B$29+'Inputs'!$B$31+'Inputs'!$B$32,'Inputs'!$B$30+'Inputs'!$B$31+'Inputs'!$B$32)/1000+'Inputs'!$B$21+'Inputs'!$B$7+'Inputs'!$B$10)+'Inputs'!$B$9)^2+('Inputs'!$B$8/2)^2)-(((786-43)*MAX('Inputs'!$B$33,'Inputs'!$B$29+'Inputs'!$B$31+'Inputs'!$B$32,'Inputs'!$B$30+'Inputs'!$B$31+'Inputs'!$B$32)/1000+'Inputs'!$B$21+'Inputs'!$B$7+'Inputs'!$B$10))/SQRT((((786-43)*MAX('Inputs'!$B$33,'Inputs'!$B$29+'Inputs'!$B$31+'Inputs'!$B$32,'Inputs'!$B$30+'Inputs'!$B$31+'Inputs'!$B$32)/1000+'Inputs'!$B$21+'Inputs'!$B$7+'Inputs'!$B$10))^2+('Inputs'!$B$8/2)^2))))*'Results'!$B$8)-'Inputs'!$B$28*ABS((('Results'!B7*(1-'Inputs'!$B$24)*(0.5*((((786-43)*MAX('Inputs'!$B$33,'Inputs'!$B$29+'Inputs'!$B$31+'Inputs'!$B$32,'Inputs'!$B$30+'Inputs'!$B$31+'Inputs'!$B$32)/1000+'Inputs'!$B$21)+'Inputs'!$B$7)/SQRT((((786-43)*MAX('Inputs'!$B$33,'Inputs'!$B$29+'Inputs'!$B$31+'Inputs'!$B$32,'Inputs'!$B$30+'Inputs'!$B$31+'Inputs'!$B$32)/1000+'Inputs'!$B$21)+'Inputs'!$B$7)^2+('Inputs'!$B$6/2)^2)-(((786-43)*MAX('Inputs'!$B$33,'Inputs'!$B$29+'Inputs'!$B$31+'Inputs'!$B$32,'Inputs'!$B$30+'Inputs'!$B$31+'Inputs'!$B$32)/1000+'Inputs'!$B$21))/SQRT((((786-43)*MAX('Inputs'!$B$33,'Inputs'!$B$29+'Inputs'!$B$31+'Inputs'!$B$32,'Inputs'!$B$30+'Inputs'!$B$31+'Inputs'!$B$32)/1000+'Inputs'!$B$21))^2+('Inputs'!$B$6/2)^2)))-'Results'!C7*(1+'Inputs'!$B$24)*(0.5*((((786-43)*MAX('Inputs'!$B$33,'Inputs'!$B$29+'Inputs'!$B$31+'Inputs'!$B$32,'Inputs'!$B$30+'Inputs'!$B$31+'Inputs'!$B$32)/1000+'Inputs'!$B$21+'Inputs'!$B$7+'Inputs'!$B$10)+'Inputs'!$B$9)/SQRT((((786-43)*MAX('Inputs'!$B$33,'Inputs'!$B$29+'Inputs'!$B$31+'Inputs'!$B$32,'Inputs'!$B$30+'Inputs'!$B$31+'Inputs'!$B$32)/1000+'Inputs'!$B$21+'Inputs'!$B$7+'Inputs'!$B$10)+'Inputs'!$B$9)^2+('Inputs'!$B$8/2)^2)-(((786-43)*MAX('Inputs'!$B$33,'Inputs'!$B$29+'Inputs'!$B$31+'Inputs'!$B$32,'Inputs'!$B$30+'Inputs'!$B$31+'Inputs'!$B$32)/1000+'Inputs'!$B$21+'Inputs'!$B$7+'Inputs'!$B$10))/SQRT((((786-43)*MAX('Inputs'!$B$33,'Inputs'!$B$29+'Inputs'!$B$31+'Inputs'!$B$32,'Inputs'!$B$30+'Inputs'!$B$31+'Inputs'!$B$32)/1000+'Inputs'!$B$21+'Inputs'!$B$7+'Inputs'!$B$10))^2+('Inputs'!$B$8/2)^2))))*'Results'!$B$8))),"")</x:f>
        <x:v>0.9005424963977251</x:v>
      </x:c>
      <x:c r="L786" t="n">
        <x:f>IF(AND(ISNUMBER('Results'!B7),ISNUMBER('Results'!C7),ISNUMBER('Results'!$B$8),ISNUMBER('Inputs'!$B$6),ISNUMBER('Inputs'!$B$7),ISNUMBER('Inputs'!$B$8),ISNUMBER('Inputs'!$B$9),ISNUMBER('Inputs'!$B$10),ISNUMBER('Inputs'!$B$21),ISNUMBER('Inputs'!$B$24),ISNUMBER('Inputs'!$B$28)),((('Results'!B7*(1+'Inputs'!$B$24)*(0.5*((((786-43)*MAX('Inputs'!$B$33,'Inputs'!$B$29+'Inputs'!$B$31+'Inputs'!$B$32,'Inputs'!$B$30+'Inputs'!$B$31+'Inputs'!$B$32)/1000+'Inputs'!$B$21)+'Inputs'!$B$7)/SQRT((((786-43)*MAX('Inputs'!$B$33,'Inputs'!$B$29+'Inputs'!$B$31+'Inputs'!$B$32,'Inputs'!$B$30+'Inputs'!$B$31+'Inputs'!$B$32)/1000+'Inputs'!$B$21)+'Inputs'!$B$7)^2+('Inputs'!$B$6/2)^2)-(((786-43)*MAX('Inputs'!$B$33,'Inputs'!$B$29+'Inputs'!$B$31+'Inputs'!$B$32,'Inputs'!$B$30+'Inputs'!$B$31+'Inputs'!$B$32)/1000+'Inputs'!$B$21))/SQRT((((786-43)*MAX('Inputs'!$B$33,'Inputs'!$B$29+'Inputs'!$B$31+'Inputs'!$B$32,'Inputs'!$B$30+'Inputs'!$B$31+'Inputs'!$B$32)/1000+'Inputs'!$B$21))^2+('Inputs'!$B$6/2)^2)))-'Results'!C7*(1-'Inputs'!$B$24)*(0.5*((((786-43)*MAX('Inputs'!$B$33,'Inputs'!$B$29+'Inputs'!$B$31+'Inputs'!$B$32,'Inputs'!$B$30+'Inputs'!$B$31+'Inputs'!$B$32)/1000+'Inputs'!$B$21+'Inputs'!$B$7+'Inputs'!$B$10)+'Inputs'!$B$9)/SQRT((((786-43)*MAX('Inputs'!$B$33,'Inputs'!$B$29+'Inputs'!$B$31+'Inputs'!$B$32,'Inputs'!$B$30+'Inputs'!$B$31+'Inputs'!$B$32)/1000+'Inputs'!$B$21+'Inputs'!$B$7+'Inputs'!$B$10)+'Inputs'!$B$9)^2+('Inputs'!$B$8/2)^2)-(((786-43)*MAX('Inputs'!$B$33,'Inputs'!$B$29+'Inputs'!$B$31+'Inputs'!$B$32,'Inputs'!$B$30+'Inputs'!$B$31+'Inputs'!$B$32)/1000+'Inputs'!$B$21+'Inputs'!$B$7+'Inputs'!$B$10))/SQRT((((786-43)*MAX('Inputs'!$B$33,'Inputs'!$B$29+'Inputs'!$B$31+'Inputs'!$B$32,'Inputs'!$B$30+'Inputs'!$B$31+'Inputs'!$B$32)/1000+'Inputs'!$B$21+'Inputs'!$B$7+'Inputs'!$B$10))^2+('Inputs'!$B$8/2)^2))))*'Results'!$B$8)+'Inputs'!$B$28*ABS((('Results'!B7*(1+'Inputs'!$B$24)*(0.5*((((786-43)*MAX('Inputs'!$B$33,'Inputs'!$B$29+'Inputs'!$B$31+'Inputs'!$B$32,'Inputs'!$B$30+'Inputs'!$B$31+'Inputs'!$B$32)/1000+'Inputs'!$B$21)+'Inputs'!$B$7)/SQRT((((786-43)*MAX('Inputs'!$B$33,'Inputs'!$B$29+'Inputs'!$B$31+'Inputs'!$B$32,'Inputs'!$B$30+'Inputs'!$B$31+'Inputs'!$B$32)/1000+'Inputs'!$B$21)+'Inputs'!$B$7)^2+('Inputs'!$B$6/2)^2)-(((786-43)*MAX('Inputs'!$B$33,'Inputs'!$B$29+'Inputs'!$B$31+'Inputs'!$B$32,'Inputs'!$B$30+'Inputs'!$B$31+'Inputs'!$B$32)/1000+'Inputs'!$B$21))/SQRT((((786-43)*MAX('Inputs'!$B$33,'Inputs'!$B$29+'Inputs'!$B$31+'Inputs'!$B$32,'Inputs'!$B$30+'Inputs'!$B$31+'Inputs'!$B$32)/1000+'Inputs'!$B$21))^2+('Inputs'!$B$6/2)^2)))-'Results'!C7*(1-'Inputs'!$B$24)*(0.5*((((786-43)*MAX('Inputs'!$B$33,'Inputs'!$B$29+'Inputs'!$B$31+'Inputs'!$B$32,'Inputs'!$B$30+'Inputs'!$B$31+'Inputs'!$B$32)/1000+'Inputs'!$B$21+'Inputs'!$B$7+'Inputs'!$B$10)+'Inputs'!$B$9)/SQRT((((786-43)*MAX('Inputs'!$B$33,'Inputs'!$B$29+'Inputs'!$B$31+'Inputs'!$B$32,'Inputs'!$B$30+'Inputs'!$B$31+'Inputs'!$B$32)/1000+'Inputs'!$B$21+'Inputs'!$B$7+'Inputs'!$B$10)+'Inputs'!$B$9)^2+('Inputs'!$B$8/2)^2)-(((786-43)*MAX('Inputs'!$B$33,'Inputs'!$B$29+'Inputs'!$B$31+'Inputs'!$B$32,'Inputs'!$B$30+'Inputs'!$B$31+'Inputs'!$B$32)/1000+'Inputs'!$B$21+'Inputs'!$B$7+'Inputs'!$B$10))/SQRT((((786-43)*MAX('Inputs'!$B$33,'Inputs'!$B$29+'Inputs'!$B$31+'Inputs'!$B$32,'Inputs'!$B$30+'Inputs'!$B$31+'Inputs'!$B$32)/1000+'Inputs'!$B$21+'Inputs'!$B$7+'Inputs'!$B$10))^2+('Inputs'!$B$8/2)^2))))*'Results'!$B$8))),"")</x:f>
        <x:v>1.1995320545416515</x:v>
      </x:c>
      <x:c r="M786" t="n">
        <x:f>IF(AND(ISNUMBER('Results'!C7),ISNUMBER('Results'!B7),ISNUMBER('Results'!$B$8),ISNUMBER('Inputs'!$B$6),ISNUMBER('Inputs'!$B$7),ISNUMBER('Inputs'!$B$8),ISNUMBER('Inputs'!$B$9),ISNUMBER('Inputs'!$B$10),ISNUMBER('Inputs'!$B$21),ISNUMBER('Inputs'!$B$24),ISNUMBER('Inputs'!$B$28)),(('Results'!C7*(0.5*((((786-43)*MAX('Inputs'!$B$33,'Inputs'!$B$29+'Inputs'!$B$31+'Inputs'!$B$32,'Inputs'!$B$30+'Inputs'!$B$31+'Inputs'!$B$32)/1000+'Inputs'!$B$21)+'Inputs'!$B$9)/SQRT((((786-43)*MAX('Inputs'!$B$33,'Inputs'!$B$29+'Inputs'!$B$31+'Inputs'!$B$32,'Inputs'!$B$30+'Inputs'!$B$31+'Inputs'!$B$32)/1000+'Inputs'!$B$21)+'Inputs'!$B$9)^2+('Inputs'!$B$8/2)^2)-(((786-43)*MAX('Inputs'!$B$33,'Inputs'!$B$29+'Inputs'!$B$31+'Inputs'!$B$32,'Inputs'!$B$30+'Inputs'!$B$31+'Inputs'!$B$32)/1000+'Inputs'!$B$21))/SQRT((((786-43)*MAX('Inputs'!$B$33,'Inputs'!$B$29+'Inputs'!$B$31+'Inputs'!$B$32,'Inputs'!$B$30+'Inputs'!$B$31+'Inputs'!$B$32)/1000+'Inputs'!$B$21))^2+('Inputs'!$B$8/2)^2)))-'Results'!B7*(0.5*((((786-43)*MAX('Inputs'!$B$33,'Inputs'!$B$29+'Inputs'!$B$31+'Inputs'!$B$32,'Inputs'!$B$30+'Inputs'!$B$31+'Inputs'!$B$32)/1000+'Inputs'!$B$21+'Inputs'!$B$9+'Inputs'!$B$10)+'Inputs'!$B$7)/SQRT((((786-43)*MAX('Inputs'!$B$33,'Inputs'!$B$29+'Inputs'!$B$31+'Inputs'!$B$32,'Inputs'!$B$30+'Inputs'!$B$31+'Inputs'!$B$32)/1000+'Inputs'!$B$21+'Inputs'!$B$9+'Inputs'!$B$10)+'Inputs'!$B$7)^2+('Inputs'!$B$6/2)^2)-(((786-43)*MAX('Inputs'!$B$33,'Inputs'!$B$29+'Inputs'!$B$31+'Inputs'!$B$32,'Inputs'!$B$30+'Inputs'!$B$31+'Inputs'!$B$32)/1000+'Inputs'!$B$21+'Inputs'!$B$9+'Inputs'!$B$10))/SQRT((((786-43)*MAX('Inputs'!$B$33,'Inputs'!$B$29+'Inputs'!$B$31+'Inputs'!$B$32,'Inputs'!$B$30+'Inputs'!$B$31+'Inputs'!$B$32)/1000+'Inputs'!$B$21+'Inputs'!$B$9+'Inputs'!$B$10))^2+('Inputs'!$B$6/2)^2))))*'Results'!$B$8),"")</x:f>
        <x:v>0.9471605668738967</x:v>
      </x:c>
      <x:c r="N786" t="n">
        <x:f>IF(AND(ISNUMBER('Results'!C7),ISNUMBER('Results'!B7),ISNUMBER('Results'!$B$8),ISNUMBER('Inputs'!$B$6),ISNUMBER('Inputs'!$B$7),ISNUMBER('Inputs'!$B$8),ISNUMBER('Inputs'!$B$9),ISNUMBER('Inputs'!$B$10),ISNUMBER('Inputs'!$B$21),ISNUMBER('Inputs'!$B$24),ISNUMBER('Inputs'!$B$28)),((('Results'!C7*(1-'Inputs'!$B$24)*(0.5*((((786-43)*MAX('Inputs'!$B$33,'Inputs'!$B$29+'Inputs'!$B$31+'Inputs'!$B$32,'Inputs'!$B$30+'Inputs'!$B$31+'Inputs'!$B$32)/1000+'Inputs'!$B$21)+'Inputs'!$B$9)/SQRT((((786-43)*MAX('Inputs'!$B$33,'Inputs'!$B$29+'Inputs'!$B$31+'Inputs'!$B$32,'Inputs'!$B$30+'Inputs'!$B$31+'Inputs'!$B$32)/1000+'Inputs'!$B$21)+'Inputs'!$B$9)^2+('Inputs'!$B$8/2)^2)-(((786-43)*MAX('Inputs'!$B$33,'Inputs'!$B$29+'Inputs'!$B$31+'Inputs'!$B$32,'Inputs'!$B$30+'Inputs'!$B$31+'Inputs'!$B$32)/1000+'Inputs'!$B$21))/SQRT((((786-43)*MAX('Inputs'!$B$33,'Inputs'!$B$29+'Inputs'!$B$31+'Inputs'!$B$32,'Inputs'!$B$30+'Inputs'!$B$31+'Inputs'!$B$32)/1000+'Inputs'!$B$21))^2+('Inputs'!$B$8/2)^2)))-'Results'!B7*(1+'Inputs'!$B$24)*(0.5*((((786-43)*MAX('Inputs'!$B$33,'Inputs'!$B$29+'Inputs'!$B$31+'Inputs'!$B$32,'Inputs'!$B$30+'Inputs'!$B$31+'Inputs'!$B$32)/1000+'Inputs'!$B$21+'Inputs'!$B$9+'Inputs'!$B$10)+'Inputs'!$B$7)/SQRT((((786-43)*MAX('Inputs'!$B$33,'Inputs'!$B$29+'Inputs'!$B$31+'Inputs'!$B$32,'Inputs'!$B$30+'Inputs'!$B$31+'Inputs'!$B$32)/1000+'Inputs'!$B$21+'Inputs'!$B$9+'Inputs'!$B$10)+'Inputs'!$B$7)^2+('Inputs'!$B$6/2)^2)-(((786-43)*MAX('Inputs'!$B$33,'Inputs'!$B$29+'Inputs'!$B$31+'Inputs'!$B$32,'Inputs'!$B$30+'Inputs'!$B$31+'Inputs'!$B$32)/1000+'Inputs'!$B$21+'Inputs'!$B$9+'Inputs'!$B$10))/SQRT((((786-43)*MAX('Inputs'!$B$33,'Inputs'!$B$29+'Inputs'!$B$31+'Inputs'!$B$32,'Inputs'!$B$30+'Inputs'!$B$31+'Inputs'!$B$32)/1000+'Inputs'!$B$21+'Inputs'!$B$9+'Inputs'!$B$10))^2+('Inputs'!$B$6/2)^2))))*'Results'!$B$8)-'Inputs'!$B$28*ABS((('Results'!C7*(1-'Inputs'!$B$24)*(0.5*((((786-43)*MAX('Inputs'!$B$33,'Inputs'!$B$29+'Inputs'!$B$31+'Inputs'!$B$32,'Inputs'!$B$30+'Inputs'!$B$31+'Inputs'!$B$32)/1000+'Inputs'!$B$21)+'Inputs'!$B$9)/SQRT((((786-43)*MAX('Inputs'!$B$33,'Inputs'!$B$29+'Inputs'!$B$31+'Inputs'!$B$32,'Inputs'!$B$30+'Inputs'!$B$31+'Inputs'!$B$32)/1000+'Inputs'!$B$21)+'Inputs'!$B$9)^2+('Inputs'!$B$8/2)^2)-(((786-43)*MAX('Inputs'!$B$33,'Inputs'!$B$29+'Inputs'!$B$31+'Inputs'!$B$32,'Inputs'!$B$30+'Inputs'!$B$31+'Inputs'!$B$32)/1000+'Inputs'!$B$21))/SQRT((((786-43)*MAX('Inputs'!$B$33,'Inputs'!$B$29+'Inputs'!$B$31+'Inputs'!$B$32,'Inputs'!$B$30+'Inputs'!$B$31+'Inputs'!$B$32)/1000+'Inputs'!$B$21))^2+('Inputs'!$B$8/2)^2)))-'Results'!B7*(1+'Inputs'!$B$24)*(0.5*((((786-43)*MAX('Inputs'!$B$33,'Inputs'!$B$29+'Inputs'!$B$31+'Inputs'!$B$32,'Inputs'!$B$30+'Inputs'!$B$31+'Inputs'!$B$32)/1000+'Inputs'!$B$21+'Inputs'!$B$9+'Inputs'!$B$10)+'Inputs'!$B$7)/SQRT((((786-43)*MAX('Inputs'!$B$33,'Inputs'!$B$29+'Inputs'!$B$31+'Inputs'!$B$32,'Inputs'!$B$30+'Inputs'!$B$31+'Inputs'!$B$32)/1000+'Inputs'!$B$21+'Inputs'!$B$9+'Inputs'!$B$10)+'Inputs'!$B$7)^2+('Inputs'!$B$6/2)^2)-(((786-43)*MAX('Inputs'!$B$33,'Inputs'!$B$29+'Inputs'!$B$31+'Inputs'!$B$32,'Inputs'!$B$30+'Inputs'!$B$31+'Inputs'!$B$32)/1000+'Inputs'!$B$21+'Inputs'!$B$9+'Inputs'!$B$10))/SQRT((((786-43)*MAX('Inputs'!$B$33,'Inputs'!$B$29+'Inputs'!$B$31+'Inputs'!$B$32,'Inputs'!$B$30+'Inputs'!$B$31+'Inputs'!$B$32)/1000+'Inputs'!$B$21+'Inputs'!$B$9+'Inputs'!$B$10))^2+('Inputs'!$B$6/2)^2))))*'Results'!$B$8))),"")</x:f>
        <x:v>0.8078107010072586</x:v>
      </x:c>
      <x:c r="O786" t="n">
        <x:f>IF(AND(ISNUMBER('Results'!C7),ISNUMBER('Results'!B7),ISNUMBER('Results'!$B$8),ISNUMBER('Inputs'!$B$6),ISNUMBER('Inputs'!$B$7),ISNUMBER('Inputs'!$B$8),ISNUMBER('Inputs'!$B$9),ISNUMBER('Inputs'!$B$10),ISNUMBER('Inputs'!$B$21),ISNUMBER('Inputs'!$B$24),ISNUMBER('Inputs'!$B$28)),((('Results'!C7*(1+'Inputs'!$B$24)*(0.5*((((786-43)*MAX('Inputs'!$B$33,'Inputs'!$B$29+'Inputs'!$B$31+'Inputs'!$B$32,'Inputs'!$B$30+'Inputs'!$B$31+'Inputs'!$B$32)/1000+'Inputs'!$B$21)+'Inputs'!$B$9)/SQRT((((786-43)*MAX('Inputs'!$B$33,'Inputs'!$B$29+'Inputs'!$B$31+'Inputs'!$B$32,'Inputs'!$B$30+'Inputs'!$B$31+'Inputs'!$B$32)/1000+'Inputs'!$B$21)+'Inputs'!$B$9)^2+('Inputs'!$B$8/2)^2)-(((786-43)*MAX('Inputs'!$B$33,'Inputs'!$B$29+'Inputs'!$B$31+'Inputs'!$B$32,'Inputs'!$B$30+'Inputs'!$B$31+'Inputs'!$B$32)/1000+'Inputs'!$B$21))/SQRT((((786-43)*MAX('Inputs'!$B$33,'Inputs'!$B$29+'Inputs'!$B$31+'Inputs'!$B$32,'Inputs'!$B$30+'Inputs'!$B$31+'Inputs'!$B$32)/1000+'Inputs'!$B$21))^2+('Inputs'!$B$8/2)^2)))-'Results'!B7*(1-'Inputs'!$B$24)*(0.5*((((786-43)*MAX('Inputs'!$B$33,'Inputs'!$B$29+'Inputs'!$B$31+'Inputs'!$B$32,'Inputs'!$B$30+'Inputs'!$B$31+'Inputs'!$B$32)/1000+'Inputs'!$B$21+'Inputs'!$B$9+'Inputs'!$B$10)+'Inputs'!$B$7)/SQRT((((786-43)*MAX('Inputs'!$B$33,'Inputs'!$B$29+'Inputs'!$B$31+'Inputs'!$B$32,'Inputs'!$B$30+'Inputs'!$B$31+'Inputs'!$B$32)/1000+'Inputs'!$B$21+'Inputs'!$B$9+'Inputs'!$B$10)+'Inputs'!$B$7)^2+('Inputs'!$B$6/2)^2)-(((786-43)*MAX('Inputs'!$B$33,'Inputs'!$B$29+'Inputs'!$B$31+'Inputs'!$B$32,'Inputs'!$B$30+'Inputs'!$B$31+'Inputs'!$B$32)/1000+'Inputs'!$B$21+'Inputs'!$B$9+'Inputs'!$B$10))/SQRT((((786-43)*MAX('Inputs'!$B$33,'Inputs'!$B$29+'Inputs'!$B$31+'Inputs'!$B$32,'Inputs'!$B$30+'Inputs'!$B$31+'Inputs'!$B$32)/1000+'Inputs'!$B$21+'Inputs'!$B$9+'Inputs'!$B$10))^2+('Inputs'!$B$6/2)^2))))*'Results'!$B$8)+'Inputs'!$B$28*ABS((('Results'!C7*(1+'Inputs'!$B$24)*(0.5*((((786-43)*MAX('Inputs'!$B$33,'Inputs'!$B$29+'Inputs'!$B$31+'Inputs'!$B$32,'Inputs'!$B$30+'Inputs'!$B$31+'Inputs'!$B$32)/1000+'Inputs'!$B$21)+'Inputs'!$B$9)/SQRT((((786-43)*MAX('Inputs'!$B$33,'Inputs'!$B$29+'Inputs'!$B$31+'Inputs'!$B$32,'Inputs'!$B$30+'Inputs'!$B$31+'Inputs'!$B$32)/1000+'Inputs'!$B$21)+'Inputs'!$B$9)^2+('Inputs'!$B$8/2)^2)-(((786-43)*MAX('Inputs'!$B$33,'Inputs'!$B$29+'Inputs'!$B$31+'Inputs'!$B$32,'Inputs'!$B$30+'Inputs'!$B$31+'Inputs'!$B$32)/1000+'Inputs'!$B$21))/SQRT((((786-43)*MAX('Inputs'!$B$33,'Inputs'!$B$29+'Inputs'!$B$31+'Inputs'!$B$32,'Inputs'!$B$30+'Inputs'!$B$31+'Inputs'!$B$32)/1000+'Inputs'!$B$21))^2+('Inputs'!$B$8/2)^2)))-'Results'!B7*(1-'Inputs'!$B$24)*(0.5*((((786-43)*MAX('Inputs'!$B$33,'Inputs'!$B$29+'Inputs'!$B$31+'Inputs'!$B$32,'Inputs'!$B$30+'Inputs'!$B$31+'Inputs'!$B$32)/1000+'Inputs'!$B$21+'Inputs'!$B$9+'Inputs'!$B$10)+'Inputs'!$B$7)/SQRT((((786-43)*MAX('Inputs'!$B$33,'Inputs'!$B$29+'Inputs'!$B$31+'Inputs'!$B$32,'Inputs'!$B$30+'Inputs'!$B$31+'Inputs'!$B$32)/1000+'Inputs'!$B$21+'Inputs'!$B$9+'Inputs'!$B$10)+'Inputs'!$B$7)^2+('Inputs'!$B$6/2)^2)-(((786-43)*MAX('Inputs'!$B$33,'Inputs'!$B$29+'Inputs'!$B$31+'Inputs'!$B$32,'Inputs'!$B$30+'Inputs'!$B$31+'Inputs'!$B$32)/1000+'Inputs'!$B$21+'Inputs'!$B$9+'Inputs'!$B$10))/SQRT((((786-43)*MAX('Inputs'!$B$33,'Inputs'!$B$29+'Inputs'!$B$31+'Inputs'!$B$32,'Inputs'!$B$30+'Inputs'!$B$31+'Inputs'!$B$32)/1000+'Inputs'!$B$21+'Inputs'!$B$9+'Inputs'!$B$10))^2+('Inputs'!$B$6/2)^2))))*'Results'!$B$8))),"")</x:f>
        <x:v>1.096193784058739</x:v>
      </x:c>
      <x:c r="P786" t="n">
        <x:f>IF(AND(MAX(J786,J785)&gt;0,J786&gt;J785+0.00000001),1,0)</x:f>
        <x:v>0</x:v>
      </x:c>
      <x:c r="Q786" t="n">
        <x:f>IF(AND(MAX(K786,K785)&gt;0,K786&gt;K785+0.00000001),1,0)</x:f>
        <x:v>0</x:v>
      </x:c>
      <x:c r="R786" t="n">
        <x:f>IF(AND(MAX(L786,L785)&gt;0,L786&gt;L785+0.00000001),1,0)</x:f>
        <x:v>0</x:v>
      </x:c>
      <x:c r="S786" t="n">
        <x:f>IF(AND(MAX(M786,M785)&gt;0,M786&gt;M785+0.00000001),1,0)</x:f>
        <x:v>0</x:v>
      </x:c>
      <x:c r="T786" t="n">
        <x:f>IF(AND(MAX(N786,N785)&gt;0,N786&gt;N785+0.00000001),1,0)</x:f>
        <x:v>0</x:v>
      </x:c>
      <x:c r="U786" t="n">
        <x:f>IF(AND(MAX(O786,O785)&gt;0,O786&gt;O785+0.00000001),1,0)</x:f>
        <x:v>0</x:v>
      </x:c>
    </x:row>
    <x:row r="787">
      <x:c r="J787" t="n">
        <x:f>IF(AND(ISNUMBER('Results'!B7),ISNUMBER('Results'!C7),ISNUMBER('Results'!$B$8),ISNUMBER('Inputs'!$B$6),ISNUMBER('Inputs'!$B$7),ISNUMBER('Inputs'!$B$8),ISNUMBER('Inputs'!$B$9),ISNUMBER('Inputs'!$B$10),ISNUMBER('Inputs'!$B$21),ISNUMBER('Inputs'!$B$24),ISNUMBER('Inputs'!$B$28)),(('Results'!B7*(0.5*((((787-43)*MAX('Inputs'!$B$33,'Inputs'!$B$29+'Inputs'!$B$31+'Inputs'!$B$32,'Inputs'!$B$30+'Inputs'!$B$31+'Inputs'!$B$32)/1000+'Inputs'!$B$21)+'Inputs'!$B$7)/SQRT((((787-43)*MAX('Inputs'!$B$33,'Inputs'!$B$29+'Inputs'!$B$31+'Inputs'!$B$32,'Inputs'!$B$30+'Inputs'!$B$31+'Inputs'!$B$32)/1000+'Inputs'!$B$21)+'Inputs'!$B$7)^2+('Inputs'!$B$6/2)^2)-(((787-43)*MAX('Inputs'!$B$33,'Inputs'!$B$29+'Inputs'!$B$31+'Inputs'!$B$32,'Inputs'!$B$30+'Inputs'!$B$31+'Inputs'!$B$32)/1000+'Inputs'!$B$21))/SQRT((((787-43)*MAX('Inputs'!$B$33,'Inputs'!$B$29+'Inputs'!$B$31+'Inputs'!$B$32,'Inputs'!$B$30+'Inputs'!$B$31+'Inputs'!$B$32)/1000+'Inputs'!$B$21))^2+('Inputs'!$B$6/2)^2)))-'Results'!C7*(0.5*((((787-43)*MAX('Inputs'!$B$33,'Inputs'!$B$29+'Inputs'!$B$31+'Inputs'!$B$32,'Inputs'!$B$30+'Inputs'!$B$31+'Inputs'!$B$32)/1000+'Inputs'!$B$21+'Inputs'!$B$7+'Inputs'!$B$10)+'Inputs'!$B$9)/SQRT((((787-43)*MAX('Inputs'!$B$33,'Inputs'!$B$29+'Inputs'!$B$31+'Inputs'!$B$32,'Inputs'!$B$30+'Inputs'!$B$31+'Inputs'!$B$32)/1000+'Inputs'!$B$21+'Inputs'!$B$7+'Inputs'!$B$10)+'Inputs'!$B$9)^2+('Inputs'!$B$8/2)^2)-(((787-43)*MAX('Inputs'!$B$33,'Inputs'!$B$29+'Inputs'!$B$31+'Inputs'!$B$32,'Inputs'!$B$30+'Inputs'!$B$31+'Inputs'!$B$32)/1000+'Inputs'!$B$21+'Inputs'!$B$7+'Inputs'!$B$10))/SQRT((((787-43)*MAX('Inputs'!$B$33,'Inputs'!$B$29+'Inputs'!$B$31+'Inputs'!$B$32,'Inputs'!$B$30+'Inputs'!$B$31+'Inputs'!$B$32)/1000+'Inputs'!$B$21+'Inputs'!$B$7+'Inputs'!$B$10))^2+('Inputs'!$B$8/2)^2))))*'Results'!$B$8),"")</x:f>
        <x:v>1.0401652315673642</x:v>
      </x:c>
      <x:c r="K787" t="n">
        <x:f>IF(AND(ISNUMBER('Results'!B7),ISNUMBER('Results'!C7),ISNUMBER('Results'!$B$8),ISNUMBER('Inputs'!$B$6),ISNUMBER('Inputs'!$B$7),ISNUMBER('Inputs'!$B$8),ISNUMBER('Inputs'!$B$9),ISNUMBER('Inputs'!$B$10),ISNUMBER('Inputs'!$B$21),ISNUMBER('Inputs'!$B$24),ISNUMBER('Inputs'!$B$28)),((('Results'!B7*(1-'Inputs'!$B$24)*(0.5*((((787-43)*MAX('Inputs'!$B$33,'Inputs'!$B$29+'Inputs'!$B$31+'Inputs'!$B$32,'Inputs'!$B$30+'Inputs'!$B$31+'Inputs'!$B$32)/1000+'Inputs'!$B$21)+'Inputs'!$B$7)/SQRT((((787-43)*MAX('Inputs'!$B$33,'Inputs'!$B$29+'Inputs'!$B$31+'Inputs'!$B$32,'Inputs'!$B$30+'Inputs'!$B$31+'Inputs'!$B$32)/1000+'Inputs'!$B$21)+'Inputs'!$B$7)^2+('Inputs'!$B$6/2)^2)-(((787-43)*MAX('Inputs'!$B$33,'Inputs'!$B$29+'Inputs'!$B$31+'Inputs'!$B$32,'Inputs'!$B$30+'Inputs'!$B$31+'Inputs'!$B$32)/1000+'Inputs'!$B$21))/SQRT((((787-43)*MAX('Inputs'!$B$33,'Inputs'!$B$29+'Inputs'!$B$31+'Inputs'!$B$32,'Inputs'!$B$30+'Inputs'!$B$31+'Inputs'!$B$32)/1000+'Inputs'!$B$21))^2+('Inputs'!$B$6/2)^2)))-'Results'!C7*(1+'Inputs'!$B$24)*(0.5*((((787-43)*MAX('Inputs'!$B$33,'Inputs'!$B$29+'Inputs'!$B$31+'Inputs'!$B$32,'Inputs'!$B$30+'Inputs'!$B$31+'Inputs'!$B$32)/1000+'Inputs'!$B$21+'Inputs'!$B$7+'Inputs'!$B$10)+'Inputs'!$B$9)/SQRT((((787-43)*MAX('Inputs'!$B$33,'Inputs'!$B$29+'Inputs'!$B$31+'Inputs'!$B$32,'Inputs'!$B$30+'Inputs'!$B$31+'Inputs'!$B$32)/1000+'Inputs'!$B$21+'Inputs'!$B$7+'Inputs'!$B$10)+'Inputs'!$B$9)^2+('Inputs'!$B$8/2)^2)-(((787-43)*MAX('Inputs'!$B$33,'Inputs'!$B$29+'Inputs'!$B$31+'Inputs'!$B$32,'Inputs'!$B$30+'Inputs'!$B$31+'Inputs'!$B$32)/1000+'Inputs'!$B$21+'Inputs'!$B$7+'Inputs'!$B$10))/SQRT((((787-43)*MAX('Inputs'!$B$33,'Inputs'!$B$29+'Inputs'!$B$31+'Inputs'!$B$32,'Inputs'!$B$30+'Inputs'!$B$31+'Inputs'!$B$32)/1000+'Inputs'!$B$21+'Inputs'!$B$7+'Inputs'!$B$10))^2+('Inputs'!$B$8/2)^2))))*'Results'!$B$8)-'Inputs'!$B$28*ABS((('Results'!B7*(1-'Inputs'!$B$24)*(0.5*((((787-43)*MAX('Inputs'!$B$33,'Inputs'!$B$29+'Inputs'!$B$31+'Inputs'!$B$32,'Inputs'!$B$30+'Inputs'!$B$31+'Inputs'!$B$32)/1000+'Inputs'!$B$21)+'Inputs'!$B$7)/SQRT((((787-43)*MAX('Inputs'!$B$33,'Inputs'!$B$29+'Inputs'!$B$31+'Inputs'!$B$32,'Inputs'!$B$30+'Inputs'!$B$31+'Inputs'!$B$32)/1000+'Inputs'!$B$21)+'Inputs'!$B$7)^2+('Inputs'!$B$6/2)^2)-(((787-43)*MAX('Inputs'!$B$33,'Inputs'!$B$29+'Inputs'!$B$31+'Inputs'!$B$32,'Inputs'!$B$30+'Inputs'!$B$31+'Inputs'!$B$32)/1000+'Inputs'!$B$21))/SQRT((((787-43)*MAX('Inputs'!$B$33,'Inputs'!$B$29+'Inputs'!$B$31+'Inputs'!$B$32,'Inputs'!$B$30+'Inputs'!$B$31+'Inputs'!$B$32)/1000+'Inputs'!$B$21))^2+('Inputs'!$B$6/2)^2)))-'Results'!C7*(1+'Inputs'!$B$24)*(0.5*((((787-43)*MAX('Inputs'!$B$33,'Inputs'!$B$29+'Inputs'!$B$31+'Inputs'!$B$32,'Inputs'!$B$30+'Inputs'!$B$31+'Inputs'!$B$32)/1000+'Inputs'!$B$21+'Inputs'!$B$7+'Inputs'!$B$10)+'Inputs'!$B$9)/SQRT((((787-43)*MAX('Inputs'!$B$33,'Inputs'!$B$29+'Inputs'!$B$31+'Inputs'!$B$32,'Inputs'!$B$30+'Inputs'!$B$31+'Inputs'!$B$32)/1000+'Inputs'!$B$21+'Inputs'!$B$7+'Inputs'!$B$10)+'Inputs'!$B$9)^2+('Inputs'!$B$8/2)^2)-(((787-43)*MAX('Inputs'!$B$33,'Inputs'!$B$29+'Inputs'!$B$31+'Inputs'!$B$32,'Inputs'!$B$30+'Inputs'!$B$31+'Inputs'!$B$32)/1000+'Inputs'!$B$21+'Inputs'!$B$7+'Inputs'!$B$10))/SQRT((((787-43)*MAX('Inputs'!$B$33,'Inputs'!$B$29+'Inputs'!$B$31+'Inputs'!$B$32,'Inputs'!$B$30+'Inputs'!$B$31+'Inputs'!$B$32)/1000+'Inputs'!$B$21+'Inputs'!$B$7+'Inputs'!$B$10))^2+('Inputs'!$B$8/2)^2))))*'Results'!$B$8))),"")</x:f>
        <x:v>0.8961234648743907</x:v>
      </x:c>
      <x:c r="L787" t="n">
        <x:f>IF(AND(ISNUMBER('Results'!B7),ISNUMBER('Results'!C7),ISNUMBER('Results'!$B$8),ISNUMBER('Inputs'!$B$6),ISNUMBER('Inputs'!$B$7),ISNUMBER('Inputs'!$B$8),ISNUMBER('Inputs'!$B$9),ISNUMBER('Inputs'!$B$10),ISNUMBER('Inputs'!$B$21),ISNUMBER('Inputs'!$B$24),ISNUMBER('Inputs'!$B$28)),((('Results'!B7*(1+'Inputs'!$B$24)*(0.5*((((787-43)*MAX('Inputs'!$B$33,'Inputs'!$B$29+'Inputs'!$B$31+'Inputs'!$B$32,'Inputs'!$B$30+'Inputs'!$B$31+'Inputs'!$B$32)/1000+'Inputs'!$B$21)+'Inputs'!$B$7)/SQRT((((787-43)*MAX('Inputs'!$B$33,'Inputs'!$B$29+'Inputs'!$B$31+'Inputs'!$B$32,'Inputs'!$B$30+'Inputs'!$B$31+'Inputs'!$B$32)/1000+'Inputs'!$B$21)+'Inputs'!$B$7)^2+('Inputs'!$B$6/2)^2)-(((787-43)*MAX('Inputs'!$B$33,'Inputs'!$B$29+'Inputs'!$B$31+'Inputs'!$B$32,'Inputs'!$B$30+'Inputs'!$B$31+'Inputs'!$B$32)/1000+'Inputs'!$B$21))/SQRT((((787-43)*MAX('Inputs'!$B$33,'Inputs'!$B$29+'Inputs'!$B$31+'Inputs'!$B$32,'Inputs'!$B$30+'Inputs'!$B$31+'Inputs'!$B$32)/1000+'Inputs'!$B$21))^2+('Inputs'!$B$6/2)^2)))-'Results'!C7*(1-'Inputs'!$B$24)*(0.5*((((787-43)*MAX('Inputs'!$B$33,'Inputs'!$B$29+'Inputs'!$B$31+'Inputs'!$B$32,'Inputs'!$B$30+'Inputs'!$B$31+'Inputs'!$B$32)/1000+'Inputs'!$B$21+'Inputs'!$B$7+'Inputs'!$B$10)+'Inputs'!$B$9)/SQRT((((787-43)*MAX('Inputs'!$B$33,'Inputs'!$B$29+'Inputs'!$B$31+'Inputs'!$B$32,'Inputs'!$B$30+'Inputs'!$B$31+'Inputs'!$B$32)/1000+'Inputs'!$B$21+'Inputs'!$B$7+'Inputs'!$B$10)+'Inputs'!$B$9)^2+('Inputs'!$B$8/2)^2)-(((787-43)*MAX('Inputs'!$B$33,'Inputs'!$B$29+'Inputs'!$B$31+'Inputs'!$B$32,'Inputs'!$B$30+'Inputs'!$B$31+'Inputs'!$B$32)/1000+'Inputs'!$B$21+'Inputs'!$B$7+'Inputs'!$B$10))/SQRT((((787-43)*MAX('Inputs'!$B$33,'Inputs'!$B$29+'Inputs'!$B$31+'Inputs'!$B$32,'Inputs'!$B$30+'Inputs'!$B$31+'Inputs'!$B$32)/1000+'Inputs'!$B$21+'Inputs'!$B$7+'Inputs'!$B$10))^2+('Inputs'!$B$8/2)^2))))*'Results'!$B$8)+'Inputs'!$B$28*ABS((('Results'!B7*(1+'Inputs'!$B$24)*(0.5*((((787-43)*MAX('Inputs'!$B$33,'Inputs'!$B$29+'Inputs'!$B$31+'Inputs'!$B$32,'Inputs'!$B$30+'Inputs'!$B$31+'Inputs'!$B$32)/1000+'Inputs'!$B$21)+'Inputs'!$B$7)/SQRT((((787-43)*MAX('Inputs'!$B$33,'Inputs'!$B$29+'Inputs'!$B$31+'Inputs'!$B$32,'Inputs'!$B$30+'Inputs'!$B$31+'Inputs'!$B$32)/1000+'Inputs'!$B$21)+'Inputs'!$B$7)^2+('Inputs'!$B$6/2)^2)-(((787-43)*MAX('Inputs'!$B$33,'Inputs'!$B$29+'Inputs'!$B$31+'Inputs'!$B$32,'Inputs'!$B$30+'Inputs'!$B$31+'Inputs'!$B$32)/1000+'Inputs'!$B$21))/SQRT((((787-43)*MAX('Inputs'!$B$33,'Inputs'!$B$29+'Inputs'!$B$31+'Inputs'!$B$32,'Inputs'!$B$30+'Inputs'!$B$31+'Inputs'!$B$32)/1000+'Inputs'!$B$21))^2+('Inputs'!$B$6/2)^2)))-'Results'!C7*(1-'Inputs'!$B$24)*(0.5*((((787-43)*MAX('Inputs'!$B$33,'Inputs'!$B$29+'Inputs'!$B$31+'Inputs'!$B$32,'Inputs'!$B$30+'Inputs'!$B$31+'Inputs'!$B$32)/1000+'Inputs'!$B$21+'Inputs'!$B$7+'Inputs'!$B$10)+'Inputs'!$B$9)/SQRT((((787-43)*MAX('Inputs'!$B$33,'Inputs'!$B$29+'Inputs'!$B$31+'Inputs'!$B$32,'Inputs'!$B$30+'Inputs'!$B$31+'Inputs'!$B$32)/1000+'Inputs'!$B$21+'Inputs'!$B$7+'Inputs'!$B$10)+'Inputs'!$B$9)^2+('Inputs'!$B$8/2)^2)-(((787-43)*MAX('Inputs'!$B$33,'Inputs'!$B$29+'Inputs'!$B$31+'Inputs'!$B$32,'Inputs'!$B$30+'Inputs'!$B$31+'Inputs'!$B$32)/1000+'Inputs'!$B$21+'Inputs'!$B$7+'Inputs'!$B$10))/SQRT((((787-43)*MAX('Inputs'!$B$33,'Inputs'!$B$29+'Inputs'!$B$31+'Inputs'!$B$32,'Inputs'!$B$30+'Inputs'!$B$31+'Inputs'!$B$32)/1000+'Inputs'!$B$21+'Inputs'!$B$7+'Inputs'!$B$10))^2+('Inputs'!$B$8/2)^2))))*'Results'!$B$8))),"")</x:f>
        <x:v>1.1938947356408232</x:v>
      </x:c>
      <x:c r="M787" t="n">
        <x:f>IF(AND(ISNUMBER('Results'!C7),ISNUMBER('Results'!B7),ISNUMBER('Results'!$B$8),ISNUMBER('Inputs'!$B$6),ISNUMBER('Inputs'!$B$7),ISNUMBER('Inputs'!$B$8),ISNUMBER('Inputs'!$B$9),ISNUMBER('Inputs'!$B$10),ISNUMBER('Inputs'!$B$21),ISNUMBER('Inputs'!$B$24),ISNUMBER('Inputs'!$B$28)),(('Results'!C7*(0.5*((((787-43)*MAX('Inputs'!$B$33,'Inputs'!$B$29+'Inputs'!$B$31+'Inputs'!$B$32,'Inputs'!$B$30+'Inputs'!$B$31+'Inputs'!$B$32)/1000+'Inputs'!$B$21)+'Inputs'!$B$9)/SQRT((((787-43)*MAX('Inputs'!$B$33,'Inputs'!$B$29+'Inputs'!$B$31+'Inputs'!$B$32,'Inputs'!$B$30+'Inputs'!$B$31+'Inputs'!$B$32)/1000+'Inputs'!$B$21)+'Inputs'!$B$9)^2+('Inputs'!$B$8/2)^2)-(((787-43)*MAX('Inputs'!$B$33,'Inputs'!$B$29+'Inputs'!$B$31+'Inputs'!$B$32,'Inputs'!$B$30+'Inputs'!$B$31+'Inputs'!$B$32)/1000+'Inputs'!$B$21))/SQRT((((787-43)*MAX('Inputs'!$B$33,'Inputs'!$B$29+'Inputs'!$B$31+'Inputs'!$B$32,'Inputs'!$B$30+'Inputs'!$B$31+'Inputs'!$B$32)/1000+'Inputs'!$B$21))^2+('Inputs'!$B$8/2)^2)))-'Results'!B7*(0.5*((((787-43)*MAX('Inputs'!$B$33,'Inputs'!$B$29+'Inputs'!$B$31+'Inputs'!$B$32,'Inputs'!$B$30+'Inputs'!$B$31+'Inputs'!$B$32)/1000+'Inputs'!$B$21+'Inputs'!$B$9+'Inputs'!$B$10)+'Inputs'!$B$7)/SQRT((((787-43)*MAX('Inputs'!$B$33,'Inputs'!$B$29+'Inputs'!$B$31+'Inputs'!$B$32,'Inputs'!$B$30+'Inputs'!$B$31+'Inputs'!$B$32)/1000+'Inputs'!$B$21+'Inputs'!$B$9+'Inputs'!$B$10)+'Inputs'!$B$7)^2+('Inputs'!$B$6/2)^2)-(((787-43)*MAX('Inputs'!$B$33,'Inputs'!$B$29+'Inputs'!$B$31+'Inputs'!$B$32,'Inputs'!$B$30+'Inputs'!$B$31+'Inputs'!$B$32)/1000+'Inputs'!$B$21+'Inputs'!$B$9+'Inputs'!$B$10))/SQRT((((787-43)*MAX('Inputs'!$B$33,'Inputs'!$B$29+'Inputs'!$B$31+'Inputs'!$B$32,'Inputs'!$B$30+'Inputs'!$B$31+'Inputs'!$B$32)/1000+'Inputs'!$B$21+'Inputs'!$B$9+'Inputs'!$B$10))^2+('Inputs'!$B$6/2)^2))))*'Results'!$B$8),"")</x:f>
        <x:v>0.9425115917505422</x:v>
      </x:c>
      <x:c r="N787" t="n">
        <x:f>IF(AND(ISNUMBER('Results'!C7),ISNUMBER('Results'!B7),ISNUMBER('Results'!$B$8),ISNUMBER('Inputs'!$B$6),ISNUMBER('Inputs'!$B$7),ISNUMBER('Inputs'!$B$8),ISNUMBER('Inputs'!$B$9),ISNUMBER('Inputs'!$B$10),ISNUMBER('Inputs'!$B$21),ISNUMBER('Inputs'!$B$24),ISNUMBER('Inputs'!$B$28)),((('Results'!C7*(1-'Inputs'!$B$24)*(0.5*((((787-43)*MAX('Inputs'!$B$33,'Inputs'!$B$29+'Inputs'!$B$31+'Inputs'!$B$32,'Inputs'!$B$30+'Inputs'!$B$31+'Inputs'!$B$32)/1000+'Inputs'!$B$21)+'Inputs'!$B$9)/SQRT((((787-43)*MAX('Inputs'!$B$33,'Inputs'!$B$29+'Inputs'!$B$31+'Inputs'!$B$32,'Inputs'!$B$30+'Inputs'!$B$31+'Inputs'!$B$32)/1000+'Inputs'!$B$21)+'Inputs'!$B$9)^2+('Inputs'!$B$8/2)^2)-(((787-43)*MAX('Inputs'!$B$33,'Inputs'!$B$29+'Inputs'!$B$31+'Inputs'!$B$32,'Inputs'!$B$30+'Inputs'!$B$31+'Inputs'!$B$32)/1000+'Inputs'!$B$21))/SQRT((((787-43)*MAX('Inputs'!$B$33,'Inputs'!$B$29+'Inputs'!$B$31+'Inputs'!$B$32,'Inputs'!$B$30+'Inputs'!$B$31+'Inputs'!$B$32)/1000+'Inputs'!$B$21))^2+('Inputs'!$B$8/2)^2)))-'Results'!B7*(1+'Inputs'!$B$24)*(0.5*((((787-43)*MAX('Inputs'!$B$33,'Inputs'!$B$29+'Inputs'!$B$31+'Inputs'!$B$32,'Inputs'!$B$30+'Inputs'!$B$31+'Inputs'!$B$32)/1000+'Inputs'!$B$21+'Inputs'!$B$9+'Inputs'!$B$10)+'Inputs'!$B$7)/SQRT((((787-43)*MAX('Inputs'!$B$33,'Inputs'!$B$29+'Inputs'!$B$31+'Inputs'!$B$32,'Inputs'!$B$30+'Inputs'!$B$31+'Inputs'!$B$32)/1000+'Inputs'!$B$21+'Inputs'!$B$9+'Inputs'!$B$10)+'Inputs'!$B$7)^2+('Inputs'!$B$6/2)^2)-(((787-43)*MAX('Inputs'!$B$33,'Inputs'!$B$29+'Inputs'!$B$31+'Inputs'!$B$32,'Inputs'!$B$30+'Inputs'!$B$31+'Inputs'!$B$32)/1000+'Inputs'!$B$21+'Inputs'!$B$9+'Inputs'!$B$10))/SQRT((((787-43)*MAX('Inputs'!$B$33,'Inputs'!$B$29+'Inputs'!$B$31+'Inputs'!$B$32,'Inputs'!$B$30+'Inputs'!$B$31+'Inputs'!$B$32)/1000+'Inputs'!$B$21+'Inputs'!$B$9+'Inputs'!$B$10))^2+('Inputs'!$B$6/2)^2))))*'Results'!$B$8)-'Inputs'!$B$28*ABS((('Results'!C7*(1-'Inputs'!$B$24)*(0.5*((((787-43)*MAX('Inputs'!$B$33,'Inputs'!$B$29+'Inputs'!$B$31+'Inputs'!$B$32,'Inputs'!$B$30+'Inputs'!$B$31+'Inputs'!$B$32)/1000+'Inputs'!$B$21)+'Inputs'!$B$9)/SQRT((((787-43)*MAX('Inputs'!$B$33,'Inputs'!$B$29+'Inputs'!$B$31+'Inputs'!$B$32,'Inputs'!$B$30+'Inputs'!$B$31+'Inputs'!$B$32)/1000+'Inputs'!$B$21)+'Inputs'!$B$9)^2+('Inputs'!$B$8/2)^2)-(((787-43)*MAX('Inputs'!$B$33,'Inputs'!$B$29+'Inputs'!$B$31+'Inputs'!$B$32,'Inputs'!$B$30+'Inputs'!$B$31+'Inputs'!$B$32)/1000+'Inputs'!$B$21))/SQRT((((787-43)*MAX('Inputs'!$B$33,'Inputs'!$B$29+'Inputs'!$B$31+'Inputs'!$B$32,'Inputs'!$B$30+'Inputs'!$B$31+'Inputs'!$B$32)/1000+'Inputs'!$B$21))^2+('Inputs'!$B$8/2)^2)))-'Results'!B7*(1+'Inputs'!$B$24)*(0.5*((((787-43)*MAX('Inputs'!$B$33,'Inputs'!$B$29+'Inputs'!$B$31+'Inputs'!$B$32,'Inputs'!$B$30+'Inputs'!$B$31+'Inputs'!$B$32)/1000+'Inputs'!$B$21+'Inputs'!$B$9+'Inputs'!$B$10)+'Inputs'!$B$7)/SQRT((((787-43)*MAX('Inputs'!$B$33,'Inputs'!$B$29+'Inputs'!$B$31+'Inputs'!$B$32,'Inputs'!$B$30+'Inputs'!$B$31+'Inputs'!$B$32)/1000+'Inputs'!$B$21+'Inputs'!$B$9+'Inputs'!$B$10)+'Inputs'!$B$7)^2+('Inputs'!$B$6/2)^2)-(((787-43)*MAX('Inputs'!$B$33,'Inputs'!$B$29+'Inputs'!$B$31+'Inputs'!$B$32,'Inputs'!$B$30+'Inputs'!$B$31+'Inputs'!$B$32)/1000+'Inputs'!$B$21+'Inputs'!$B$9+'Inputs'!$B$10))/SQRT((((787-43)*MAX('Inputs'!$B$33,'Inputs'!$B$29+'Inputs'!$B$31+'Inputs'!$B$32,'Inputs'!$B$30+'Inputs'!$B$31+'Inputs'!$B$32)/1000+'Inputs'!$B$21+'Inputs'!$B$9+'Inputs'!$B$10))^2+('Inputs'!$B$6/2)^2))))*'Results'!$B$8))),"")</x:f>
        <x:v>0.8037330207821773</x:v>
      </x:c>
      <x:c r="O787" t="n">
        <x:f>IF(AND(ISNUMBER('Results'!C7),ISNUMBER('Results'!B7),ISNUMBER('Results'!$B$8),ISNUMBER('Inputs'!$B$6),ISNUMBER('Inputs'!$B$7),ISNUMBER('Inputs'!$B$8),ISNUMBER('Inputs'!$B$9),ISNUMBER('Inputs'!$B$10),ISNUMBER('Inputs'!$B$21),ISNUMBER('Inputs'!$B$24),ISNUMBER('Inputs'!$B$28)),((('Results'!C7*(1+'Inputs'!$B$24)*(0.5*((((787-43)*MAX('Inputs'!$B$33,'Inputs'!$B$29+'Inputs'!$B$31+'Inputs'!$B$32,'Inputs'!$B$30+'Inputs'!$B$31+'Inputs'!$B$32)/1000+'Inputs'!$B$21)+'Inputs'!$B$9)/SQRT((((787-43)*MAX('Inputs'!$B$33,'Inputs'!$B$29+'Inputs'!$B$31+'Inputs'!$B$32,'Inputs'!$B$30+'Inputs'!$B$31+'Inputs'!$B$32)/1000+'Inputs'!$B$21)+'Inputs'!$B$9)^2+('Inputs'!$B$8/2)^2)-(((787-43)*MAX('Inputs'!$B$33,'Inputs'!$B$29+'Inputs'!$B$31+'Inputs'!$B$32,'Inputs'!$B$30+'Inputs'!$B$31+'Inputs'!$B$32)/1000+'Inputs'!$B$21))/SQRT((((787-43)*MAX('Inputs'!$B$33,'Inputs'!$B$29+'Inputs'!$B$31+'Inputs'!$B$32,'Inputs'!$B$30+'Inputs'!$B$31+'Inputs'!$B$32)/1000+'Inputs'!$B$21))^2+('Inputs'!$B$8/2)^2)))-'Results'!B7*(1-'Inputs'!$B$24)*(0.5*((((787-43)*MAX('Inputs'!$B$33,'Inputs'!$B$29+'Inputs'!$B$31+'Inputs'!$B$32,'Inputs'!$B$30+'Inputs'!$B$31+'Inputs'!$B$32)/1000+'Inputs'!$B$21+'Inputs'!$B$9+'Inputs'!$B$10)+'Inputs'!$B$7)/SQRT((((787-43)*MAX('Inputs'!$B$33,'Inputs'!$B$29+'Inputs'!$B$31+'Inputs'!$B$32,'Inputs'!$B$30+'Inputs'!$B$31+'Inputs'!$B$32)/1000+'Inputs'!$B$21+'Inputs'!$B$9+'Inputs'!$B$10)+'Inputs'!$B$7)^2+('Inputs'!$B$6/2)^2)-(((787-43)*MAX('Inputs'!$B$33,'Inputs'!$B$29+'Inputs'!$B$31+'Inputs'!$B$32,'Inputs'!$B$30+'Inputs'!$B$31+'Inputs'!$B$32)/1000+'Inputs'!$B$21+'Inputs'!$B$9+'Inputs'!$B$10))/SQRT((((787-43)*MAX('Inputs'!$B$33,'Inputs'!$B$29+'Inputs'!$B$31+'Inputs'!$B$32,'Inputs'!$B$30+'Inputs'!$B$31+'Inputs'!$B$32)/1000+'Inputs'!$B$21+'Inputs'!$B$9+'Inputs'!$B$10))^2+('Inputs'!$B$6/2)^2))))*'Results'!$B$8)+'Inputs'!$B$28*ABS((('Results'!C7*(1+'Inputs'!$B$24)*(0.5*((((787-43)*MAX('Inputs'!$B$33,'Inputs'!$B$29+'Inputs'!$B$31+'Inputs'!$B$32,'Inputs'!$B$30+'Inputs'!$B$31+'Inputs'!$B$32)/1000+'Inputs'!$B$21)+'Inputs'!$B$9)/SQRT((((787-43)*MAX('Inputs'!$B$33,'Inputs'!$B$29+'Inputs'!$B$31+'Inputs'!$B$32,'Inputs'!$B$30+'Inputs'!$B$31+'Inputs'!$B$32)/1000+'Inputs'!$B$21)+'Inputs'!$B$9)^2+('Inputs'!$B$8/2)^2)-(((787-43)*MAX('Inputs'!$B$33,'Inputs'!$B$29+'Inputs'!$B$31+'Inputs'!$B$32,'Inputs'!$B$30+'Inputs'!$B$31+'Inputs'!$B$32)/1000+'Inputs'!$B$21))/SQRT((((787-43)*MAX('Inputs'!$B$33,'Inputs'!$B$29+'Inputs'!$B$31+'Inputs'!$B$32,'Inputs'!$B$30+'Inputs'!$B$31+'Inputs'!$B$32)/1000+'Inputs'!$B$21))^2+('Inputs'!$B$8/2)^2)))-'Results'!B7*(1-'Inputs'!$B$24)*(0.5*((((787-43)*MAX('Inputs'!$B$33,'Inputs'!$B$29+'Inputs'!$B$31+'Inputs'!$B$32,'Inputs'!$B$30+'Inputs'!$B$31+'Inputs'!$B$32)/1000+'Inputs'!$B$21+'Inputs'!$B$9+'Inputs'!$B$10)+'Inputs'!$B$7)/SQRT((((787-43)*MAX('Inputs'!$B$33,'Inputs'!$B$29+'Inputs'!$B$31+'Inputs'!$B$32,'Inputs'!$B$30+'Inputs'!$B$31+'Inputs'!$B$32)/1000+'Inputs'!$B$21+'Inputs'!$B$9+'Inputs'!$B$10)+'Inputs'!$B$7)^2+('Inputs'!$B$6/2)^2)-(((787-43)*MAX('Inputs'!$B$33,'Inputs'!$B$29+'Inputs'!$B$31+'Inputs'!$B$32,'Inputs'!$B$30+'Inputs'!$B$31+'Inputs'!$B$32)/1000+'Inputs'!$B$21+'Inputs'!$B$9+'Inputs'!$B$10))/SQRT((((787-43)*MAX('Inputs'!$B$33,'Inputs'!$B$29+'Inputs'!$B$31+'Inputs'!$B$32,'Inputs'!$B$30+'Inputs'!$B$31+'Inputs'!$B$32)/1000+'Inputs'!$B$21+'Inputs'!$B$9+'Inputs'!$B$10))^2+('Inputs'!$B$6/2)^2))))*'Results'!$B$8))),"")</x:f>
        <x:v>1.0909378460221524</x:v>
      </x:c>
      <x:c r="P787" t="n">
        <x:f>IF(AND(MAX(J787,J786)&gt;0,J787&gt;J786+0.00000001),1,0)</x:f>
        <x:v>0</x:v>
      </x:c>
      <x:c r="Q787" t="n">
        <x:f>IF(AND(MAX(K787,K786)&gt;0,K787&gt;K786+0.00000001),1,0)</x:f>
        <x:v>0</x:v>
      </x:c>
      <x:c r="R787" t="n">
        <x:f>IF(AND(MAX(L787,L786)&gt;0,L787&gt;L786+0.00000001),1,0)</x:f>
        <x:v>0</x:v>
      </x:c>
      <x:c r="S787" t="n">
        <x:f>IF(AND(MAX(M787,M786)&gt;0,M787&gt;M786+0.00000001),1,0)</x:f>
        <x:v>0</x:v>
      </x:c>
      <x:c r="T787" t="n">
        <x:f>IF(AND(MAX(N787,N786)&gt;0,N787&gt;N786+0.00000001),1,0)</x:f>
        <x:v>0</x:v>
      </x:c>
      <x:c r="U787" t="n">
        <x:f>IF(AND(MAX(O787,O786)&gt;0,O787&gt;O786+0.00000001),1,0)</x:f>
        <x:v>0</x:v>
      </x:c>
    </x:row>
    <x:row r="788">
      <x:c r="J788" t="n">
        <x:f>IF(AND(ISNUMBER('Results'!B7),ISNUMBER('Results'!C7),ISNUMBER('Results'!$B$8),ISNUMBER('Inputs'!$B$6),ISNUMBER('Inputs'!$B$7),ISNUMBER('Inputs'!$B$8),ISNUMBER('Inputs'!$B$9),ISNUMBER('Inputs'!$B$10),ISNUMBER('Inputs'!$B$21),ISNUMBER('Inputs'!$B$24),ISNUMBER('Inputs'!$B$28)),(('Results'!B7*(0.5*((((788-43)*MAX('Inputs'!$B$33,'Inputs'!$B$29+'Inputs'!$B$31+'Inputs'!$B$32,'Inputs'!$B$30+'Inputs'!$B$31+'Inputs'!$B$32)/1000+'Inputs'!$B$21)+'Inputs'!$B$7)/SQRT((((788-43)*MAX('Inputs'!$B$33,'Inputs'!$B$29+'Inputs'!$B$31+'Inputs'!$B$32,'Inputs'!$B$30+'Inputs'!$B$31+'Inputs'!$B$32)/1000+'Inputs'!$B$21)+'Inputs'!$B$7)^2+('Inputs'!$B$6/2)^2)-(((788-43)*MAX('Inputs'!$B$33,'Inputs'!$B$29+'Inputs'!$B$31+'Inputs'!$B$32,'Inputs'!$B$30+'Inputs'!$B$31+'Inputs'!$B$32)/1000+'Inputs'!$B$21))/SQRT((((788-43)*MAX('Inputs'!$B$33,'Inputs'!$B$29+'Inputs'!$B$31+'Inputs'!$B$32,'Inputs'!$B$30+'Inputs'!$B$31+'Inputs'!$B$32)/1000+'Inputs'!$B$21))^2+('Inputs'!$B$6/2)^2)))-'Results'!C7*(0.5*((((788-43)*MAX('Inputs'!$B$33,'Inputs'!$B$29+'Inputs'!$B$31+'Inputs'!$B$32,'Inputs'!$B$30+'Inputs'!$B$31+'Inputs'!$B$32)/1000+'Inputs'!$B$21+'Inputs'!$B$7+'Inputs'!$B$10)+'Inputs'!$B$9)/SQRT((((788-43)*MAX('Inputs'!$B$33,'Inputs'!$B$29+'Inputs'!$B$31+'Inputs'!$B$32,'Inputs'!$B$30+'Inputs'!$B$31+'Inputs'!$B$32)/1000+'Inputs'!$B$21+'Inputs'!$B$7+'Inputs'!$B$10)+'Inputs'!$B$9)^2+('Inputs'!$B$8/2)^2)-(((788-43)*MAX('Inputs'!$B$33,'Inputs'!$B$29+'Inputs'!$B$31+'Inputs'!$B$32,'Inputs'!$B$30+'Inputs'!$B$31+'Inputs'!$B$32)/1000+'Inputs'!$B$21+'Inputs'!$B$7+'Inputs'!$B$10))/SQRT((((788-43)*MAX('Inputs'!$B$33,'Inputs'!$B$29+'Inputs'!$B$31+'Inputs'!$B$32,'Inputs'!$B$30+'Inputs'!$B$31+'Inputs'!$B$32)/1000+'Inputs'!$B$21+'Inputs'!$B$7+'Inputs'!$B$10))^2+('Inputs'!$B$8/2)^2))))*'Results'!$B$8),"")</x:f>
        <x:v>1.0351850893979464</x:v>
      </x:c>
      <x:c r="K788" t="n">
        <x:f>IF(AND(ISNUMBER('Results'!B7),ISNUMBER('Results'!C7),ISNUMBER('Results'!$B$8),ISNUMBER('Inputs'!$B$6),ISNUMBER('Inputs'!$B$7),ISNUMBER('Inputs'!$B$8),ISNUMBER('Inputs'!$B$9),ISNUMBER('Inputs'!$B$10),ISNUMBER('Inputs'!$B$21),ISNUMBER('Inputs'!$B$24),ISNUMBER('Inputs'!$B$28)),((('Results'!B7*(1-'Inputs'!$B$24)*(0.5*((((788-43)*MAX('Inputs'!$B$33,'Inputs'!$B$29+'Inputs'!$B$31+'Inputs'!$B$32,'Inputs'!$B$30+'Inputs'!$B$31+'Inputs'!$B$32)/1000+'Inputs'!$B$21)+'Inputs'!$B$7)/SQRT((((788-43)*MAX('Inputs'!$B$33,'Inputs'!$B$29+'Inputs'!$B$31+'Inputs'!$B$32,'Inputs'!$B$30+'Inputs'!$B$31+'Inputs'!$B$32)/1000+'Inputs'!$B$21)+'Inputs'!$B$7)^2+('Inputs'!$B$6/2)^2)-(((788-43)*MAX('Inputs'!$B$33,'Inputs'!$B$29+'Inputs'!$B$31+'Inputs'!$B$32,'Inputs'!$B$30+'Inputs'!$B$31+'Inputs'!$B$32)/1000+'Inputs'!$B$21))/SQRT((((788-43)*MAX('Inputs'!$B$33,'Inputs'!$B$29+'Inputs'!$B$31+'Inputs'!$B$32,'Inputs'!$B$30+'Inputs'!$B$31+'Inputs'!$B$32)/1000+'Inputs'!$B$21))^2+('Inputs'!$B$6/2)^2)))-'Results'!C7*(1+'Inputs'!$B$24)*(0.5*((((788-43)*MAX('Inputs'!$B$33,'Inputs'!$B$29+'Inputs'!$B$31+'Inputs'!$B$32,'Inputs'!$B$30+'Inputs'!$B$31+'Inputs'!$B$32)/1000+'Inputs'!$B$21+'Inputs'!$B$7+'Inputs'!$B$10)+'Inputs'!$B$9)/SQRT((((788-43)*MAX('Inputs'!$B$33,'Inputs'!$B$29+'Inputs'!$B$31+'Inputs'!$B$32,'Inputs'!$B$30+'Inputs'!$B$31+'Inputs'!$B$32)/1000+'Inputs'!$B$21+'Inputs'!$B$7+'Inputs'!$B$10)+'Inputs'!$B$9)^2+('Inputs'!$B$8/2)^2)-(((788-43)*MAX('Inputs'!$B$33,'Inputs'!$B$29+'Inputs'!$B$31+'Inputs'!$B$32,'Inputs'!$B$30+'Inputs'!$B$31+'Inputs'!$B$32)/1000+'Inputs'!$B$21+'Inputs'!$B$7+'Inputs'!$B$10))/SQRT((((788-43)*MAX('Inputs'!$B$33,'Inputs'!$B$29+'Inputs'!$B$31+'Inputs'!$B$32,'Inputs'!$B$30+'Inputs'!$B$31+'Inputs'!$B$32)/1000+'Inputs'!$B$21+'Inputs'!$B$7+'Inputs'!$B$10))^2+('Inputs'!$B$8/2)^2))))*'Results'!$B$8)-'Inputs'!$B$28*ABS((('Results'!B7*(1-'Inputs'!$B$24)*(0.5*((((788-43)*MAX('Inputs'!$B$33,'Inputs'!$B$29+'Inputs'!$B$31+'Inputs'!$B$32,'Inputs'!$B$30+'Inputs'!$B$31+'Inputs'!$B$32)/1000+'Inputs'!$B$21)+'Inputs'!$B$7)/SQRT((((788-43)*MAX('Inputs'!$B$33,'Inputs'!$B$29+'Inputs'!$B$31+'Inputs'!$B$32,'Inputs'!$B$30+'Inputs'!$B$31+'Inputs'!$B$32)/1000+'Inputs'!$B$21)+'Inputs'!$B$7)^2+('Inputs'!$B$6/2)^2)-(((788-43)*MAX('Inputs'!$B$33,'Inputs'!$B$29+'Inputs'!$B$31+'Inputs'!$B$32,'Inputs'!$B$30+'Inputs'!$B$31+'Inputs'!$B$32)/1000+'Inputs'!$B$21))/SQRT((((788-43)*MAX('Inputs'!$B$33,'Inputs'!$B$29+'Inputs'!$B$31+'Inputs'!$B$32,'Inputs'!$B$30+'Inputs'!$B$31+'Inputs'!$B$32)/1000+'Inputs'!$B$21))^2+('Inputs'!$B$6/2)^2)))-'Results'!C7*(1+'Inputs'!$B$24)*(0.5*((((788-43)*MAX('Inputs'!$B$33,'Inputs'!$B$29+'Inputs'!$B$31+'Inputs'!$B$32,'Inputs'!$B$30+'Inputs'!$B$31+'Inputs'!$B$32)/1000+'Inputs'!$B$21+'Inputs'!$B$7+'Inputs'!$B$10)+'Inputs'!$B$9)/SQRT((((788-43)*MAX('Inputs'!$B$33,'Inputs'!$B$29+'Inputs'!$B$31+'Inputs'!$B$32,'Inputs'!$B$30+'Inputs'!$B$31+'Inputs'!$B$32)/1000+'Inputs'!$B$21+'Inputs'!$B$7+'Inputs'!$B$10)+'Inputs'!$B$9)^2+('Inputs'!$B$8/2)^2)-(((788-43)*MAX('Inputs'!$B$33,'Inputs'!$B$29+'Inputs'!$B$31+'Inputs'!$B$32,'Inputs'!$B$30+'Inputs'!$B$31+'Inputs'!$B$32)/1000+'Inputs'!$B$21+'Inputs'!$B$7+'Inputs'!$B$10))/SQRT((((788-43)*MAX('Inputs'!$B$33,'Inputs'!$B$29+'Inputs'!$B$31+'Inputs'!$B$32,'Inputs'!$B$30+'Inputs'!$B$31+'Inputs'!$B$32)/1000+'Inputs'!$B$21+'Inputs'!$B$7+'Inputs'!$B$10))^2+('Inputs'!$B$8/2)^2))))*'Results'!$B$8))),"")</x:f>
        <x:v>0.8917313529158963</x:v>
      </x:c>
      <x:c r="L788" t="n">
        <x:f>IF(AND(ISNUMBER('Results'!B7),ISNUMBER('Results'!C7),ISNUMBER('Results'!$B$8),ISNUMBER('Inputs'!$B$6),ISNUMBER('Inputs'!$B$7),ISNUMBER('Inputs'!$B$8),ISNUMBER('Inputs'!$B$9),ISNUMBER('Inputs'!$B$10),ISNUMBER('Inputs'!$B$21),ISNUMBER('Inputs'!$B$24),ISNUMBER('Inputs'!$B$28)),((('Results'!B7*(1+'Inputs'!$B$24)*(0.5*((((788-43)*MAX('Inputs'!$B$33,'Inputs'!$B$29+'Inputs'!$B$31+'Inputs'!$B$32,'Inputs'!$B$30+'Inputs'!$B$31+'Inputs'!$B$32)/1000+'Inputs'!$B$21)+'Inputs'!$B$7)/SQRT((((788-43)*MAX('Inputs'!$B$33,'Inputs'!$B$29+'Inputs'!$B$31+'Inputs'!$B$32,'Inputs'!$B$30+'Inputs'!$B$31+'Inputs'!$B$32)/1000+'Inputs'!$B$21)+'Inputs'!$B$7)^2+('Inputs'!$B$6/2)^2)-(((788-43)*MAX('Inputs'!$B$33,'Inputs'!$B$29+'Inputs'!$B$31+'Inputs'!$B$32,'Inputs'!$B$30+'Inputs'!$B$31+'Inputs'!$B$32)/1000+'Inputs'!$B$21))/SQRT((((788-43)*MAX('Inputs'!$B$33,'Inputs'!$B$29+'Inputs'!$B$31+'Inputs'!$B$32,'Inputs'!$B$30+'Inputs'!$B$31+'Inputs'!$B$32)/1000+'Inputs'!$B$21))^2+('Inputs'!$B$6/2)^2)))-'Results'!C7*(1-'Inputs'!$B$24)*(0.5*((((788-43)*MAX('Inputs'!$B$33,'Inputs'!$B$29+'Inputs'!$B$31+'Inputs'!$B$32,'Inputs'!$B$30+'Inputs'!$B$31+'Inputs'!$B$32)/1000+'Inputs'!$B$21+'Inputs'!$B$7+'Inputs'!$B$10)+'Inputs'!$B$9)/SQRT((((788-43)*MAX('Inputs'!$B$33,'Inputs'!$B$29+'Inputs'!$B$31+'Inputs'!$B$32,'Inputs'!$B$30+'Inputs'!$B$31+'Inputs'!$B$32)/1000+'Inputs'!$B$21+'Inputs'!$B$7+'Inputs'!$B$10)+'Inputs'!$B$9)^2+('Inputs'!$B$8/2)^2)-(((788-43)*MAX('Inputs'!$B$33,'Inputs'!$B$29+'Inputs'!$B$31+'Inputs'!$B$32,'Inputs'!$B$30+'Inputs'!$B$31+'Inputs'!$B$32)/1000+'Inputs'!$B$21+'Inputs'!$B$7+'Inputs'!$B$10))/SQRT((((788-43)*MAX('Inputs'!$B$33,'Inputs'!$B$29+'Inputs'!$B$31+'Inputs'!$B$32,'Inputs'!$B$30+'Inputs'!$B$31+'Inputs'!$B$32)/1000+'Inputs'!$B$21+'Inputs'!$B$7+'Inputs'!$B$10))^2+('Inputs'!$B$8/2)^2))))*'Results'!$B$8)+'Inputs'!$B$28*ABS((('Results'!B7*(1+'Inputs'!$B$24)*(0.5*((((788-43)*MAX('Inputs'!$B$33,'Inputs'!$B$29+'Inputs'!$B$31+'Inputs'!$B$32,'Inputs'!$B$30+'Inputs'!$B$31+'Inputs'!$B$32)/1000+'Inputs'!$B$21)+'Inputs'!$B$7)/SQRT((((788-43)*MAX('Inputs'!$B$33,'Inputs'!$B$29+'Inputs'!$B$31+'Inputs'!$B$32,'Inputs'!$B$30+'Inputs'!$B$31+'Inputs'!$B$32)/1000+'Inputs'!$B$21)+'Inputs'!$B$7)^2+('Inputs'!$B$6/2)^2)-(((788-43)*MAX('Inputs'!$B$33,'Inputs'!$B$29+'Inputs'!$B$31+'Inputs'!$B$32,'Inputs'!$B$30+'Inputs'!$B$31+'Inputs'!$B$32)/1000+'Inputs'!$B$21))/SQRT((((788-43)*MAX('Inputs'!$B$33,'Inputs'!$B$29+'Inputs'!$B$31+'Inputs'!$B$32,'Inputs'!$B$30+'Inputs'!$B$31+'Inputs'!$B$32)/1000+'Inputs'!$B$21))^2+('Inputs'!$B$6/2)^2)))-'Results'!C7*(1-'Inputs'!$B$24)*(0.5*((((788-43)*MAX('Inputs'!$B$33,'Inputs'!$B$29+'Inputs'!$B$31+'Inputs'!$B$32,'Inputs'!$B$30+'Inputs'!$B$31+'Inputs'!$B$32)/1000+'Inputs'!$B$21+'Inputs'!$B$7+'Inputs'!$B$10)+'Inputs'!$B$9)/SQRT((((788-43)*MAX('Inputs'!$B$33,'Inputs'!$B$29+'Inputs'!$B$31+'Inputs'!$B$32,'Inputs'!$B$30+'Inputs'!$B$31+'Inputs'!$B$32)/1000+'Inputs'!$B$21+'Inputs'!$B$7+'Inputs'!$B$10)+'Inputs'!$B$9)^2+('Inputs'!$B$8/2)^2)-(((788-43)*MAX('Inputs'!$B$33,'Inputs'!$B$29+'Inputs'!$B$31+'Inputs'!$B$32,'Inputs'!$B$30+'Inputs'!$B$31+'Inputs'!$B$32)/1000+'Inputs'!$B$21+'Inputs'!$B$7+'Inputs'!$B$10))/SQRT((((788-43)*MAX('Inputs'!$B$33,'Inputs'!$B$29+'Inputs'!$B$31+'Inputs'!$B$32,'Inputs'!$B$30+'Inputs'!$B$31+'Inputs'!$B$32)/1000+'Inputs'!$B$21+'Inputs'!$B$7+'Inputs'!$B$10))^2+('Inputs'!$B$8/2)^2))))*'Results'!$B$8))),"")</x:f>
        <x:v>1.1882908766181175</x:v>
      </x:c>
      <x:c r="M788" t="n">
        <x:f>IF(AND(ISNUMBER('Results'!C7),ISNUMBER('Results'!B7),ISNUMBER('Results'!$B$8),ISNUMBER('Inputs'!$B$6),ISNUMBER('Inputs'!$B$7),ISNUMBER('Inputs'!$B$8),ISNUMBER('Inputs'!$B$9),ISNUMBER('Inputs'!$B$10),ISNUMBER('Inputs'!$B$21),ISNUMBER('Inputs'!$B$24),ISNUMBER('Inputs'!$B$28)),(('Results'!C7*(0.5*((((788-43)*MAX('Inputs'!$B$33,'Inputs'!$B$29+'Inputs'!$B$31+'Inputs'!$B$32,'Inputs'!$B$30+'Inputs'!$B$31+'Inputs'!$B$32)/1000+'Inputs'!$B$21)+'Inputs'!$B$9)/SQRT((((788-43)*MAX('Inputs'!$B$33,'Inputs'!$B$29+'Inputs'!$B$31+'Inputs'!$B$32,'Inputs'!$B$30+'Inputs'!$B$31+'Inputs'!$B$32)/1000+'Inputs'!$B$21)+'Inputs'!$B$9)^2+('Inputs'!$B$8/2)^2)-(((788-43)*MAX('Inputs'!$B$33,'Inputs'!$B$29+'Inputs'!$B$31+'Inputs'!$B$32,'Inputs'!$B$30+'Inputs'!$B$31+'Inputs'!$B$32)/1000+'Inputs'!$B$21))/SQRT((((788-43)*MAX('Inputs'!$B$33,'Inputs'!$B$29+'Inputs'!$B$31+'Inputs'!$B$32,'Inputs'!$B$30+'Inputs'!$B$31+'Inputs'!$B$32)/1000+'Inputs'!$B$21))^2+('Inputs'!$B$8/2)^2)))-'Results'!B7*(0.5*((((788-43)*MAX('Inputs'!$B$33,'Inputs'!$B$29+'Inputs'!$B$31+'Inputs'!$B$32,'Inputs'!$B$30+'Inputs'!$B$31+'Inputs'!$B$32)/1000+'Inputs'!$B$21+'Inputs'!$B$9+'Inputs'!$B$10)+'Inputs'!$B$7)/SQRT((((788-43)*MAX('Inputs'!$B$33,'Inputs'!$B$29+'Inputs'!$B$31+'Inputs'!$B$32,'Inputs'!$B$30+'Inputs'!$B$31+'Inputs'!$B$32)/1000+'Inputs'!$B$21+'Inputs'!$B$9+'Inputs'!$B$10)+'Inputs'!$B$7)^2+('Inputs'!$B$6/2)^2)-(((788-43)*MAX('Inputs'!$B$33,'Inputs'!$B$29+'Inputs'!$B$31+'Inputs'!$B$32,'Inputs'!$B$30+'Inputs'!$B$31+'Inputs'!$B$32)/1000+'Inputs'!$B$21+'Inputs'!$B$9+'Inputs'!$B$10))/SQRT((((788-43)*MAX('Inputs'!$B$33,'Inputs'!$B$29+'Inputs'!$B$31+'Inputs'!$B$32,'Inputs'!$B$30+'Inputs'!$B$31+'Inputs'!$B$32)/1000+'Inputs'!$B$21+'Inputs'!$B$9+'Inputs'!$B$10))^2+('Inputs'!$B$6/2)^2))))*'Results'!$B$8),"")</x:f>
        <x:v>0.9378909411433325</x:v>
      </x:c>
      <x:c r="N788" t="n">
        <x:f>IF(AND(ISNUMBER('Results'!C7),ISNUMBER('Results'!B7),ISNUMBER('Results'!$B$8),ISNUMBER('Inputs'!$B$6),ISNUMBER('Inputs'!$B$7),ISNUMBER('Inputs'!$B$8),ISNUMBER('Inputs'!$B$9),ISNUMBER('Inputs'!$B$10),ISNUMBER('Inputs'!$B$21),ISNUMBER('Inputs'!$B$24),ISNUMBER('Inputs'!$B$28)),((('Results'!C7*(1-'Inputs'!$B$24)*(0.5*((((788-43)*MAX('Inputs'!$B$33,'Inputs'!$B$29+'Inputs'!$B$31+'Inputs'!$B$32,'Inputs'!$B$30+'Inputs'!$B$31+'Inputs'!$B$32)/1000+'Inputs'!$B$21)+'Inputs'!$B$9)/SQRT((((788-43)*MAX('Inputs'!$B$33,'Inputs'!$B$29+'Inputs'!$B$31+'Inputs'!$B$32,'Inputs'!$B$30+'Inputs'!$B$31+'Inputs'!$B$32)/1000+'Inputs'!$B$21)+'Inputs'!$B$9)^2+('Inputs'!$B$8/2)^2)-(((788-43)*MAX('Inputs'!$B$33,'Inputs'!$B$29+'Inputs'!$B$31+'Inputs'!$B$32,'Inputs'!$B$30+'Inputs'!$B$31+'Inputs'!$B$32)/1000+'Inputs'!$B$21))/SQRT((((788-43)*MAX('Inputs'!$B$33,'Inputs'!$B$29+'Inputs'!$B$31+'Inputs'!$B$32,'Inputs'!$B$30+'Inputs'!$B$31+'Inputs'!$B$32)/1000+'Inputs'!$B$21))^2+('Inputs'!$B$8/2)^2)))-'Results'!B7*(1+'Inputs'!$B$24)*(0.5*((((788-43)*MAX('Inputs'!$B$33,'Inputs'!$B$29+'Inputs'!$B$31+'Inputs'!$B$32,'Inputs'!$B$30+'Inputs'!$B$31+'Inputs'!$B$32)/1000+'Inputs'!$B$21+'Inputs'!$B$9+'Inputs'!$B$10)+'Inputs'!$B$7)/SQRT((((788-43)*MAX('Inputs'!$B$33,'Inputs'!$B$29+'Inputs'!$B$31+'Inputs'!$B$32,'Inputs'!$B$30+'Inputs'!$B$31+'Inputs'!$B$32)/1000+'Inputs'!$B$21+'Inputs'!$B$9+'Inputs'!$B$10)+'Inputs'!$B$7)^2+('Inputs'!$B$6/2)^2)-(((788-43)*MAX('Inputs'!$B$33,'Inputs'!$B$29+'Inputs'!$B$31+'Inputs'!$B$32,'Inputs'!$B$30+'Inputs'!$B$31+'Inputs'!$B$32)/1000+'Inputs'!$B$21+'Inputs'!$B$9+'Inputs'!$B$10))/SQRT((((788-43)*MAX('Inputs'!$B$33,'Inputs'!$B$29+'Inputs'!$B$31+'Inputs'!$B$32,'Inputs'!$B$30+'Inputs'!$B$31+'Inputs'!$B$32)/1000+'Inputs'!$B$21+'Inputs'!$B$9+'Inputs'!$B$10))^2+('Inputs'!$B$6/2)^2))))*'Results'!$B$8)-'Inputs'!$B$28*ABS((('Results'!C7*(1-'Inputs'!$B$24)*(0.5*((((788-43)*MAX('Inputs'!$B$33,'Inputs'!$B$29+'Inputs'!$B$31+'Inputs'!$B$32,'Inputs'!$B$30+'Inputs'!$B$31+'Inputs'!$B$32)/1000+'Inputs'!$B$21)+'Inputs'!$B$9)/SQRT((((788-43)*MAX('Inputs'!$B$33,'Inputs'!$B$29+'Inputs'!$B$31+'Inputs'!$B$32,'Inputs'!$B$30+'Inputs'!$B$31+'Inputs'!$B$32)/1000+'Inputs'!$B$21)+'Inputs'!$B$9)^2+('Inputs'!$B$8/2)^2)-(((788-43)*MAX('Inputs'!$B$33,'Inputs'!$B$29+'Inputs'!$B$31+'Inputs'!$B$32,'Inputs'!$B$30+'Inputs'!$B$31+'Inputs'!$B$32)/1000+'Inputs'!$B$21))/SQRT((((788-43)*MAX('Inputs'!$B$33,'Inputs'!$B$29+'Inputs'!$B$31+'Inputs'!$B$32,'Inputs'!$B$30+'Inputs'!$B$31+'Inputs'!$B$32)/1000+'Inputs'!$B$21))^2+('Inputs'!$B$8/2)^2)))-'Results'!B7*(1+'Inputs'!$B$24)*(0.5*((((788-43)*MAX('Inputs'!$B$33,'Inputs'!$B$29+'Inputs'!$B$31+'Inputs'!$B$32,'Inputs'!$B$30+'Inputs'!$B$31+'Inputs'!$B$32)/1000+'Inputs'!$B$21+'Inputs'!$B$9+'Inputs'!$B$10)+'Inputs'!$B$7)/SQRT((((788-43)*MAX('Inputs'!$B$33,'Inputs'!$B$29+'Inputs'!$B$31+'Inputs'!$B$32,'Inputs'!$B$30+'Inputs'!$B$31+'Inputs'!$B$32)/1000+'Inputs'!$B$21+'Inputs'!$B$9+'Inputs'!$B$10)+'Inputs'!$B$7)^2+('Inputs'!$B$6/2)^2)-(((788-43)*MAX('Inputs'!$B$33,'Inputs'!$B$29+'Inputs'!$B$31+'Inputs'!$B$32,'Inputs'!$B$30+'Inputs'!$B$31+'Inputs'!$B$32)/1000+'Inputs'!$B$21+'Inputs'!$B$9+'Inputs'!$B$10))/SQRT((((788-43)*MAX('Inputs'!$B$33,'Inputs'!$B$29+'Inputs'!$B$31+'Inputs'!$B$32,'Inputs'!$B$30+'Inputs'!$B$31+'Inputs'!$B$32)/1000+'Inputs'!$B$21+'Inputs'!$B$9+'Inputs'!$B$10))^2+('Inputs'!$B$6/2)^2))))*'Results'!$B$8))),"")</x:f>
        <x:v>0.7996805832313895</x:v>
      </x:c>
      <x:c r="O788" t="n">
        <x:f>IF(AND(ISNUMBER('Results'!C7),ISNUMBER('Results'!B7),ISNUMBER('Results'!$B$8),ISNUMBER('Inputs'!$B$6),ISNUMBER('Inputs'!$B$7),ISNUMBER('Inputs'!$B$8),ISNUMBER('Inputs'!$B$9),ISNUMBER('Inputs'!$B$10),ISNUMBER('Inputs'!$B$21),ISNUMBER('Inputs'!$B$24),ISNUMBER('Inputs'!$B$28)),((('Results'!C7*(1+'Inputs'!$B$24)*(0.5*((((788-43)*MAX('Inputs'!$B$33,'Inputs'!$B$29+'Inputs'!$B$31+'Inputs'!$B$32,'Inputs'!$B$30+'Inputs'!$B$31+'Inputs'!$B$32)/1000+'Inputs'!$B$21)+'Inputs'!$B$9)/SQRT((((788-43)*MAX('Inputs'!$B$33,'Inputs'!$B$29+'Inputs'!$B$31+'Inputs'!$B$32,'Inputs'!$B$30+'Inputs'!$B$31+'Inputs'!$B$32)/1000+'Inputs'!$B$21)+'Inputs'!$B$9)^2+('Inputs'!$B$8/2)^2)-(((788-43)*MAX('Inputs'!$B$33,'Inputs'!$B$29+'Inputs'!$B$31+'Inputs'!$B$32,'Inputs'!$B$30+'Inputs'!$B$31+'Inputs'!$B$32)/1000+'Inputs'!$B$21))/SQRT((((788-43)*MAX('Inputs'!$B$33,'Inputs'!$B$29+'Inputs'!$B$31+'Inputs'!$B$32,'Inputs'!$B$30+'Inputs'!$B$31+'Inputs'!$B$32)/1000+'Inputs'!$B$21))^2+('Inputs'!$B$8/2)^2)))-'Results'!B7*(1-'Inputs'!$B$24)*(0.5*((((788-43)*MAX('Inputs'!$B$33,'Inputs'!$B$29+'Inputs'!$B$31+'Inputs'!$B$32,'Inputs'!$B$30+'Inputs'!$B$31+'Inputs'!$B$32)/1000+'Inputs'!$B$21+'Inputs'!$B$9+'Inputs'!$B$10)+'Inputs'!$B$7)/SQRT((((788-43)*MAX('Inputs'!$B$33,'Inputs'!$B$29+'Inputs'!$B$31+'Inputs'!$B$32,'Inputs'!$B$30+'Inputs'!$B$31+'Inputs'!$B$32)/1000+'Inputs'!$B$21+'Inputs'!$B$9+'Inputs'!$B$10)+'Inputs'!$B$7)^2+('Inputs'!$B$6/2)^2)-(((788-43)*MAX('Inputs'!$B$33,'Inputs'!$B$29+'Inputs'!$B$31+'Inputs'!$B$32,'Inputs'!$B$30+'Inputs'!$B$31+'Inputs'!$B$32)/1000+'Inputs'!$B$21+'Inputs'!$B$9+'Inputs'!$B$10))/SQRT((((788-43)*MAX('Inputs'!$B$33,'Inputs'!$B$29+'Inputs'!$B$31+'Inputs'!$B$32,'Inputs'!$B$30+'Inputs'!$B$31+'Inputs'!$B$32)/1000+'Inputs'!$B$21+'Inputs'!$B$9+'Inputs'!$B$10))^2+('Inputs'!$B$6/2)^2))))*'Results'!$B$8)+'Inputs'!$B$28*ABS((('Results'!C7*(1+'Inputs'!$B$24)*(0.5*((((788-43)*MAX('Inputs'!$B$33,'Inputs'!$B$29+'Inputs'!$B$31+'Inputs'!$B$32,'Inputs'!$B$30+'Inputs'!$B$31+'Inputs'!$B$32)/1000+'Inputs'!$B$21)+'Inputs'!$B$9)/SQRT((((788-43)*MAX('Inputs'!$B$33,'Inputs'!$B$29+'Inputs'!$B$31+'Inputs'!$B$32,'Inputs'!$B$30+'Inputs'!$B$31+'Inputs'!$B$32)/1000+'Inputs'!$B$21)+'Inputs'!$B$9)^2+('Inputs'!$B$8/2)^2)-(((788-43)*MAX('Inputs'!$B$33,'Inputs'!$B$29+'Inputs'!$B$31+'Inputs'!$B$32,'Inputs'!$B$30+'Inputs'!$B$31+'Inputs'!$B$32)/1000+'Inputs'!$B$21))/SQRT((((788-43)*MAX('Inputs'!$B$33,'Inputs'!$B$29+'Inputs'!$B$31+'Inputs'!$B$32,'Inputs'!$B$30+'Inputs'!$B$31+'Inputs'!$B$32)/1000+'Inputs'!$B$21))^2+('Inputs'!$B$8/2)^2)))-'Results'!B7*(1-'Inputs'!$B$24)*(0.5*((((788-43)*MAX('Inputs'!$B$33,'Inputs'!$B$29+'Inputs'!$B$31+'Inputs'!$B$32,'Inputs'!$B$30+'Inputs'!$B$31+'Inputs'!$B$32)/1000+'Inputs'!$B$21+'Inputs'!$B$9+'Inputs'!$B$10)+'Inputs'!$B$7)/SQRT((((788-43)*MAX('Inputs'!$B$33,'Inputs'!$B$29+'Inputs'!$B$31+'Inputs'!$B$32,'Inputs'!$B$30+'Inputs'!$B$31+'Inputs'!$B$32)/1000+'Inputs'!$B$21+'Inputs'!$B$9+'Inputs'!$B$10)+'Inputs'!$B$7)^2+('Inputs'!$B$6/2)^2)-(((788-43)*MAX('Inputs'!$B$33,'Inputs'!$B$29+'Inputs'!$B$31+'Inputs'!$B$32,'Inputs'!$B$30+'Inputs'!$B$31+'Inputs'!$B$32)/1000+'Inputs'!$B$21+'Inputs'!$B$9+'Inputs'!$B$10))/SQRT((((788-43)*MAX('Inputs'!$B$33,'Inputs'!$B$29+'Inputs'!$B$31+'Inputs'!$B$32,'Inputs'!$B$30+'Inputs'!$B$31+'Inputs'!$B$32)/1000+'Inputs'!$B$21+'Inputs'!$B$9+'Inputs'!$B$10))^2+('Inputs'!$B$6/2)^2))))*'Results'!$B$8))),"")</x:f>
        <x:v>1.0857134896715674</x:v>
      </x:c>
      <x:c r="P788" t="n">
        <x:f>IF(AND(MAX(J788,J787)&gt;0,J788&gt;J787+0.00000001),1,0)</x:f>
        <x:v>0</x:v>
      </x:c>
      <x:c r="Q788" t="n">
        <x:f>IF(AND(MAX(K788,K787)&gt;0,K788&gt;K787+0.00000001),1,0)</x:f>
        <x:v>0</x:v>
      </x:c>
      <x:c r="R788" t="n">
        <x:f>IF(AND(MAX(L788,L787)&gt;0,L788&gt;L787+0.00000001),1,0)</x:f>
        <x:v>0</x:v>
      </x:c>
      <x:c r="S788" t="n">
        <x:f>IF(AND(MAX(M788,M787)&gt;0,M788&gt;M787+0.00000001),1,0)</x:f>
        <x:v>0</x:v>
      </x:c>
      <x:c r="T788" t="n">
        <x:f>IF(AND(MAX(N788,N787)&gt;0,N788&gt;N787+0.00000001),1,0)</x:f>
        <x:v>0</x:v>
      </x:c>
      <x:c r="U788" t="n">
        <x:f>IF(AND(MAX(O788,O787)&gt;0,O788&gt;O787+0.00000001),1,0)</x:f>
        <x:v>0</x:v>
      </x:c>
    </x:row>
    <x:row r="789">
      <x:c r="J789" t="n">
        <x:f>IF(AND(ISNUMBER('Results'!B7),ISNUMBER('Results'!C7),ISNUMBER('Results'!$B$8),ISNUMBER('Inputs'!$B$6),ISNUMBER('Inputs'!$B$7),ISNUMBER('Inputs'!$B$8),ISNUMBER('Inputs'!$B$9),ISNUMBER('Inputs'!$B$10),ISNUMBER('Inputs'!$B$21),ISNUMBER('Inputs'!$B$24),ISNUMBER('Inputs'!$B$28)),(('Results'!B7*(0.5*((((789-43)*MAX('Inputs'!$B$33,'Inputs'!$B$29+'Inputs'!$B$31+'Inputs'!$B$32,'Inputs'!$B$30+'Inputs'!$B$31+'Inputs'!$B$32)/1000+'Inputs'!$B$21)+'Inputs'!$B$7)/SQRT((((789-43)*MAX('Inputs'!$B$33,'Inputs'!$B$29+'Inputs'!$B$31+'Inputs'!$B$32,'Inputs'!$B$30+'Inputs'!$B$31+'Inputs'!$B$32)/1000+'Inputs'!$B$21)+'Inputs'!$B$7)^2+('Inputs'!$B$6/2)^2)-(((789-43)*MAX('Inputs'!$B$33,'Inputs'!$B$29+'Inputs'!$B$31+'Inputs'!$B$32,'Inputs'!$B$30+'Inputs'!$B$31+'Inputs'!$B$32)/1000+'Inputs'!$B$21))/SQRT((((789-43)*MAX('Inputs'!$B$33,'Inputs'!$B$29+'Inputs'!$B$31+'Inputs'!$B$32,'Inputs'!$B$30+'Inputs'!$B$31+'Inputs'!$B$32)/1000+'Inputs'!$B$21))^2+('Inputs'!$B$6/2)^2)))-'Results'!C7*(0.5*((((789-43)*MAX('Inputs'!$B$33,'Inputs'!$B$29+'Inputs'!$B$31+'Inputs'!$B$32,'Inputs'!$B$30+'Inputs'!$B$31+'Inputs'!$B$32)/1000+'Inputs'!$B$21+'Inputs'!$B$7+'Inputs'!$B$10)+'Inputs'!$B$9)/SQRT((((789-43)*MAX('Inputs'!$B$33,'Inputs'!$B$29+'Inputs'!$B$31+'Inputs'!$B$32,'Inputs'!$B$30+'Inputs'!$B$31+'Inputs'!$B$32)/1000+'Inputs'!$B$21+'Inputs'!$B$7+'Inputs'!$B$10)+'Inputs'!$B$9)^2+('Inputs'!$B$8/2)^2)-(((789-43)*MAX('Inputs'!$B$33,'Inputs'!$B$29+'Inputs'!$B$31+'Inputs'!$B$32,'Inputs'!$B$30+'Inputs'!$B$31+'Inputs'!$B$32)/1000+'Inputs'!$B$21+'Inputs'!$B$7+'Inputs'!$B$10))/SQRT((((789-43)*MAX('Inputs'!$B$33,'Inputs'!$B$29+'Inputs'!$B$31+'Inputs'!$B$32,'Inputs'!$B$30+'Inputs'!$B$31+'Inputs'!$B$32)/1000+'Inputs'!$B$21+'Inputs'!$B$7+'Inputs'!$B$10))^2+('Inputs'!$B$8/2)^2))))*'Results'!$B$8),"")</x:f>
        <x:v>1.030234831601268</x:v>
      </x:c>
      <x:c r="K789" t="n">
        <x:f>IF(AND(ISNUMBER('Results'!B7),ISNUMBER('Results'!C7),ISNUMBER('Results'!$B$8),ISNUMBER('Inputs'!$B$6),ISNUMBER('Inputs'!$B$7),ISNUMBER('Inputs'!$B$8),ISNUMBER('Inputs'!$B$9),ISNUMBER('Inputs'!$B$10),ISNUMBER('Inputs'!$B$21),ISNUMBER('Inputs'!$B$24),ISNUMBER('Inputs'!$B$28)),((('Results'!B7*(1-'Inputs'!$B$24)*(0.5*((((789-43)*MAX('Inputs'!$B$33,'Inputs'!$B$29+'Inputs'!$B$31+'Inputs'!$B$32,'Inputs'!$B$30+'Inputs'!$B$31+'Inputs'!$B$32)/1000+'Inputs'!$B$21)+'Inputs'!$B$7)/SQRT((((789-43)*MAX('Inputs'!$B$33,'Inputs'!$B$29+'Inputs'!$B$31+'Inputs'!$B$32,'Inputs'!$B$30+'Inputs'!$B$31+'Inputs'!$B$32)/1000+'Inputs'!$B$21)+'Inputs'!$B$7)^2+('Inputs'!$B$6/2)^2)-(((789-43)*MAX('Inputs'!$B$33,'Inputs'!$B$29+'Inputs'!$B$31+'Inputs'!$B$32,'Inputs'!$B$30+'Inputs'!$B$31+'Inputs'!$B$32)/1000+'Inputs'!$B$21))/SQRT((((789-43)*MAX('Inputs'!$B$33,'Inputs'!$B$29+'Inputs'!$B$31+'Inputs'!$B$32,'Inputs'!$B$30+'Inputs'!$B$31+'Inputs'!$B$32)/1000+'Inputs'!$B$21))^2+('Inputs'!$B$6/2)^2)))-'Results'!C7*(1+'Inputs'!$B$24)*(0.5*((((789-43)*MAX('Inputs'!$B$33,'Inputs'!$B$29+'Inputs'!$B$31+'Inputs'!$B$32,'Inputs'!$B$30+'Inputs'!$B$31+'Inputs'!$B$32)/1000+'Inputs'!$B$21+'Inputs'!$B$7+'Inputs'!$B$10)+'Inputs'!$B$9)/SQRT((((789-43)*MAX('Inputs'!$B$33,'Inputs'!$B$29+'Inputs'!$B$31+'Inputs'!$B$32,'Inputs'!$B$30+'Inputs'!$B$31+'Inputs'!$B$32)/1000+'Inputs'!$B$21+'Inputs'!$B$7+'Inputs'!$B$10)+'Inputs'!$B$9)^2+('Inputs'!$B$8/2)^2)-(((789-43)*MAX('Inputs'!$B$33,'Inputs'!$B$29+'Inputs'!$B$31+'Inputs'!$B$32,'Inputs'!$B$30+'Inputs'!$B$31+'Inputs'!$B$32)/1000+'Inputs'!$B$21+'Inputs'!$B$7+'Inputs'!$B$10))/SQRT((((789-43)*MAX('Inputs'!$B$33,'Inputs'!$B$29+'Inputs'!$B$31+'Inputs'!$B$32,'Inputs'!$B$30+'Inputs'!$B$31+'Inputs'!$B$32)/1000+'Inputs'!$B$21+'Inputs'!$B$7+'Inputs'!$B$10))^2+('Inputs'!$B$8/2)^2))))*'Results'!$B$8)-'Inputs'!$B$28*ABS((('Results'!B7*(1-'Inputs'!$B$24)*(0.5*((((789-43)*MAX('Inputs'!$B$33,'Inputs'!$B$29+'Inputs'!$B$31+'Inputs'!$B$32,'Inputs'!$B$30+'Inputs'!$B$31+'Inputs'!$B$32)/1000+'Inputs'!$B$21)+'Inputs'!$B$7)/SQRT((((789-43)*MAX('Inputs'!$B$33,'Inputs'!$B$29+'Inputs'!$B$31+'Inputs'!$B$32,'Inputs'!$B$30+'Inputs'!$B$31+'Inputs'!$B$32)/1000+'Inputs'!$B$21)+'Inputs'!$B$7)^2+('Inputs'!$B$6/2)^2)-(((789-43)*MAX('Inputs'!$B$33,'Inputs'!$B$29+'Inputs'!$B$31+'Inputs'!$B$32,'Inputs'!$B$30+'Inputs'!$B$31+'Inputs'!$B$32)/1000+'Inputs'!$B$21))/SQRT((((789-43)*MAX('Inputs'!$B$33,'Inputs'!$B$29+'Inputs'!$B$31+'Inputs'!$B$32,'Inputs'!$B$30+'Inputs'!$B$31+'Inputs'!$B$32)/1000+'Inputs'!$B$21))^2+('Inputs'!$B$6/2)^2)))-'Results'!C7*(1+'Inputs'!$B$24)*(0.5*((((789-43)*MAX('Inputs'!$B$33,'Inputs'!$B$29+'Inputs'!$B$31+'Inputs'!$B$32,'Inputs'!$B$30+'Inputs'!$B$31+'Inputs'!$B$32)/1000+'Inputs'!$B$21+'Inputs'!$B$7+'Inputs'!$B$10)+'Inputs'!$B$9)/SQRT((((789-43)*MAX('Inputs'!$B$33,'Inputs'!$B$29+'Inputs'!$B$31+'Inputs'!$B$32,'Inputs'!$B$30+'Inputs'!$B$31+'Inputs'!$B$32)/1000+'Inputs'!$B$21+'Inputs'!$B$7+'Inputs'!$B$10)+'Inputs'!$B$9)^2+('Inputs'!$B$8/2)^2)-(((789-43)*MAX('Inputs'!$B$33,'Inputs'!$B$29+'Inputs'!$B$31+'Inputs'!$B$32,'Inputs'!$B$30+'Inputs'!$B$31+'Inputs'!$B$32)/1000+'Inputs'!$B$21+'Inputs'!$B$7+'Inputs'!$B$10))/SQRT((((789-43)*MAX('Inputs'!$B$33,'Inputs'!$B$29+'Inputs'!$B$31+'Inputs'!$B$32,'Inputs'!$B$30+'Inputs'!$B$31+'Inputs'!$B$32)/1000+'Inputs'!$B$21+'Inputs'!$B$7+'Inputs'!$B$10))^2+('Inputs'!$B$8/2)^2))))*'Results'!$B$8))),"")</x:f>
        <x:v>0.8873659646041586</x:v>
      </x:c>
      <x:c r="L789" t="n">
        <x:f>IF(AND(ISNUMBER('Results'!B7),ISNUMBER('Results'!C7),ISNUMBER('Results'!$B$8),ISNUMBER('Inputs'!$B$6),ISNUMBER('Inputs'!$B$7),ISNUMBER('Inputs'!$B$8),ISNUMBER('Inputs'!$B$9),ISNUMBER('Inputs'!$B$10),ISNUMBER('Inputs'!$B$21),ISNUMBER('Inputs'!$B$24),ISNUMBER('Inputs'!$B$28)),((('Results'!B7*(1+'Inputs'!$B$24)*(0.5*((((789-43)*MAX('Inputs'!$B$33,'Inputs'!$B$29+'Inputs'!$B$31+'Inputs'!$B$32,'Inputs'!$B$30+'Inputs'!$B$31+'Inputs'!$B$32)/1000+'Inputs'!$B$21)+'Inputs'!$B$7)/SQRT((((789-43)*MAX('Inputs'!$B$33,'Inputs'!$B$29+'Inputs'!$B$31+'Inputs'!$B$32,'Inputs'!$B$30+'Inputs'!$B$31+'Inputs'!$B$32)/1000+'Inputs'!$B$21)+'Inputs'!$B$7)^2+('Inputs'!$B$6/2)^2)-(((789-43)*MAX('Inputs'!$B$33,'Inputs'!$B$29+'Inputs'!$B$31+'Inputs'!$B$32,'Inputs'!$B$30+'Inputs'!$B$31+'Inputs'!$B$32)/1000+'Inputs'!$B$21))/SQRT((((789-43)*MAX('Inputs'!$B$33,'Inputs'!$B$29+'Inputs'!$B$31+'Inputs'!$B$32,'Inputs'!$B$30+'Inputs'!$B$31+'Inputs'!$B$32)/1000+'Inputs'!$B$21))^2+('Inputs'!$B$6/2)^2)))-'Results'!C7*(1-'Inputs'!$B$24)*(0.5*((((789-43)*MAX('Inputs'!$B$33,'Inputs'!$B$29+'Inputs'!$B$31+'Inputs'!$B$32,'Inputs'!$B$30+'Inputs'!$B$31+'Inputs'!$B$32)/1000+'Inputs'!$B$21+'Inputs'!$B$7+'Inputs'!$B$10)+'Inputs'!$B$9)/SQRT((((789-43)*MAX('Inputs'!$B$33,'Inputs'!$B$29+'Inputs'!$B$31+'Inputs'!$B$32,'Inputs'!$B$30+'Inputs'!$B$31+'Inputs'!$B$32)/1000+'Inputs'!$B$21+'Inputs'!$B$7+'Inputs'!$B$10)+'Inputs'!$B$9)^2+('Inputs'!$B$8/2)^2)-(((789-43)*MAX('Inputs'!$B$33,'Inputs'!$B$29+'Inputs'!$B$31+'Inputs'!$B$32,'Inputs'!$B$30+'Inputs'!$B$31+'Inputs'!$B$32)/1000+'Inputs'!$B$21+'Inputs'!$B$7+'Inputs'!$B$10))/SQRT((((789-43)*MAX('Inputs'!$B$33,'Inputs'!$B$29+'Inputs'!$B$31+'Inputs'!$B$32,'Inputs'!$B$30+'Inputs'!$B$31+'Inputs'!$B$32)/1000+'Inputs'!$B$21+'Inputs'!$B$7+'Inputs'!$B$10))^2+('Inputs'!$B$8/2)^2))))*'Results'!$B$8)+'Inputs'!$B$28*ABS((('Results'!B7*(1+'Inputs'!$B$24)*(0.5*((((789-43)*MAX('Inputs'!$B$33,'Inputs'!$B$29+'Inputs'!$B$31+'Inputs'!$B$32,'Inputs'!$B$30+'Inputs'!$B$31+'Inputs'!$B$32)/1000+'Inputs'!$B$21)+'Inputs'!$B$7)/SQRT((((789-43)*MAX('Inputs'!$B$33,'Inputs'!$B$29+'Inputs'!$B$31+'Inputs'!$B$32,'Inputs'!$B$30+'Inputs'!$B$31+'Inputs'!$B$32)/1000+'Inputs'!$B$21)+'Inputs'!$B$7)^2+('Inputs'!$B$6/2)^2)-(((789-43)*MAX('Inputs'!$B$33,'Inputs'!$B$29+'Inputs'!$B$31+'Inputs'!$B$32,'Inputs'!$B$30+'Inputs'!$B$31+'Inputs'!$B$32)/1000+'Inputs'!$B$21))/SQRT((((789-43)*MAX('Inputs'!$B$33,'Inputs'!$B$29+'Inputs'!$B$31+'Inputs'!$B$32,'Inputs'!$B$30+'Inputs'!$B$31+'Inputs'!$B$32)/1000+'Inputs'!$B$21))^2+('Inputs'!$B$6/2)^2)))-'Results'!C7*(1-'Inputs'!$B$24)*(0.5*((((789-43)*MAX('Inputs'!$B$33,'Inputs'!$B$29+'Inputs'!$B$31+'Inputs'!$B$32,'Inputs'!$B$30+'Inputs'!$B$31+'Inputs'!$B$32)/1000+'Inputs'!$B$21+'Inputs'!$B$7+'Inputs'!$B$10)+'Inputs'!$B$9)/SQRT((((789-43)*MAX('Inputs'!$B$33,'Inputs'!$B$29+'Inputs'!$B$31+'Inputs'!$B$32,'Inputs'!$B$30+'Inputs'!$B$31+'Inputs'!$B$32)/1000+'Inputs'!$B$21+'Inputs'!$B$7+'Inputs'!$B$10)+'Inputs'!$B$9)^2+('Inputs'!$B$8/2)^2)-(((789-43)*MAX('Inputs'!$B$33,'Inputs'!$B$29+'Inputs'!$B$31+'Inputs'!$B$32,'Inputs'!$B$30+'Inputs'!$B$31+'Inputs'!$B$32)/1000+'Inputs'!$B$21+'Inputs'!$B$7+'Inputs'!$B$10))/SQRT((((789-43)*MAX('Inputs'!$B$33,'Inputs'!$B$29+'Inputs'!$B$31+'Inputs'!$B$32,'Inputs'!$B$30+'Inputs'!$B$31+'Inputs'!$B$32)/1000+'Inputs'!$B$21+'Inputs'!$B$7+'Inputs'!$B$10))^2+('Inputs'!$B$8/2)^2))))*'Results'!$B$8))),"")</x:f>
        <x:v>1.1827202381159618</x:v>
      </x:c>
      <x:c r="M789" t="n">
        <x:f>IF(AND(ISNUMBER('Results'!C7),ISNUMBER('Results'!B7),ISNUMBER('Results'!$B$8),ISNUMBER('Inputs'!$B$6),ISNUMBER('Inputs'!$B$7),ISNUMBER('Inputs'!$B$8),ISNUMBER('Inputs'!$B$9),ISNUMBER('Inputs'!$B$10),ISNUMBER('Inputs'!$B$21),ISNUMBER('Inputs'!$B$24),ISNUMBER('Inputs'!$B$28)),(('Results'!C7*(0.5*((((789-43)*MAX('Inputs'!$B$33,'Inputs'!$B$29+'Inputs'!$B$31+'Inputs'!$B$32,'Inputs'!$B$30+'Inputs'!$B$31+'Inputs'!$B$32)/1000+'Inputs'!$B$21)+'Inputs'!$B$9)/SQRT((((789-43)*MAX('Inputs'!$B$33,'Inputs'!$B$29+'Inputs'!$B$31+'Inputs'!$B$32,'Inputs'!$B$30+'Inputs'!$B$31+'Inputs'!$B$32)/1000+'Inputs'!$B$21)+'Inputs'!$B$9)^2+('Inputs'!$B$8/2)^2)-(((789-43)*MAX('Inputs'!$B$33,'Inputs'!$B$29+'Inputs'!$B$31+'Inputs'!$B$32,'Inputs'!$B$30+'Inputs'!$B$31+'Inputs'!$B$32)/1000+'Inputs'!$B$21))/SQRT((((789-43)*MAX('Inputs'!$B$33,'Inputs'!$B$29+'Inputs'!$B$31+'Inputs'!$B$32,'Inputs'!$B$30+'Inputs'!$B$31+'Inputs'!$B$32)/1000+'Inputs'!$B$21))^2+('Inputs'!$B$8/2)^2)))-'Results'!B7*(0.5*((((789-43)*MAX('Inputs'!$B$33,'Inputs'!$B$29+'Inputs'!$B$31+'Inputs'!$B$32,'Inputs'!$B$30+'Inputs'!$B$31+'Inputs'!$B$32)/1000+'Inputs'!$B$21+'Inputs'!$B$9+'Inputs'!$B$10)+'Inputs'!$B$7)/SQRT((((789-43)*MAX('Inputs'!$B$33,'Inputs'!$B$29+'Inputs'!$B$31+'Inputs'!$B$32,'Inputs'!$B$30+'Inputs'!$B$31+'Inputs'!$B$32)/1000+'Inputs'!$B$21+'Inputs'!$B$9+'Inputs'!$B$10)+'Inputs'!$B$7)^2+('Inputs'!$B$6/2)^2)-(((789-43)*MAX('Inputs'!$B$33,'Inputs'!$B$29+'Inputs'!$B$31+'Inputs'!$B$32,'Inputs'!$B$30+'Inputs'!$B$31+'Inputs'!$B$32)/1000+'Inputs'!$B$21+'Inputs'!$B$9+'Inputs'!$B$10))/SQRT((((789-43)*MAX('Inputs'!$B$33,'Inputs'!$B$29+'Inputs'!$B$31+'Inputs'!$B$32,'Inputs'!$B$30+'Inputs'!$B$31+'Inputs'!$B$32)/1000+'Inputs'!$B$21+'Inputs'!$B$9+'Inputs'!$B$10))^2+('Inputs'!$B$6/2)^2))))*'Results'!$B$8),"")</x:f>
        <x:v>0.9332984088892691</x:v>
      </x:c>
      <x:c r="N789" t="n">
        <x:f>IF(AND(ISNUMBER('Results'!C7),ISNUMBER('Results'!B7),ISNUMBER('Results'!$B$8),ISNUMBER('Inputs'!$B$6),ISNUMBER('Inputs'!$B$7),ISNUMBER('Inputs'!$B$8),ISNUMBER('Inputs'!$B$9),ISNUMBER('Inputs'!$B$10),ISNUMBER('Inputs'!$B$21),ISNUMBER('Inputs'!$B$24),ISNUMBER('Inputs'!$B$28)),((('Results'!C7*(1-'Inputs'!$B$24)*(0.5*((((789-43)*MAX('Inputs'!$B$33,'Inputs'!$B$29+'Inputs'!$B$31+'Inputs'!$B$32,'Inputs'!$B$30+'Inputs'!$B$31+'Inputs'!$B$32)/1000+'Inputs'!$B$21)+'Inputs'!$B$9)/SQRT((((789-43)*MAX('Inputs'!$B$33,'Inputs'!$B$29+'Inputs'!$B$31+'Inputs'!$B$32,'Inputs'!$B$30+'Inputs'!$B$31+'Inputs'!$B$32)/1000+'Inputs'!$B$21)+'Inputs'!$B$9)^2+('Inputs'!$B$8/2)^2)-(((789-43)*MAX('Inputs'!$B$33,'Inputs'!$B$29+'Inputs'!$B$31+'Inputs'!$B$32,'Inputs'!$B$30+'Inputs'!$B$31+'Inputs'!$B$32)/1000+'Inputs'!$B$21))/SQRT((((789-43)*MAX('Inputs'!$B$33,'Inputs'!$B$29+'Inputs'!$B$31+'Inputs'!$B$32,'Inputs'!$B$30+'Inputs'!$B$31+'Inputs'!$B$32)/1000+'Inputs'!$B$21))^2+('Inputs'!$B$8/2)^2)))-'Results'!B7*(1+'Inputs'!$B$24)*(0.5*((((789-43)*MAX('Inputs'!$B$33,'Inputs'!$B$29+'Inputs'!$B$31+'Inputs'!$B$32,'Inputs'!$B$30+'Inputs'!$B$31+'Inputs'!$B$32)/1000+'Inputs'!$B$21+'Inputs'!$B$9+'Inputs'!$B$10)+'Inputs'!$B$7)/SQRT((((789-43)*MAX('Inputs'!$B$33,'Inputs'!$B$29+'Inputs'!$B$31+'Inputs'!$B$32,'Inputs'!$B$30+'Inputs'!$B$31+'Inputs'!$B$32)/1000+'Inputs'!$B$21+'Inputs'!$B$9+'Inputs'!$B$10)+'Inputs'!$B$7)^2+('Inputs'!$B$6/2)^2)-(((789-43)*MAX('Inputs'!$B$33,'Inputs'!$B$29+'Inputs'!$B$31+'Inputs'!$B$32,'Inputs'!$B$30+'Inputs'!$B$31+'Inputs'!$B$32)/1000+'Inputs'!$B$21+'Inputs'!$B$9+'Inputs'!$B$10))/SQRT((((789-43)*MAX('Inputs'!$B$33,'Inputs'!$B$29+'Inputs'!$B$31+'Inputs'!$B$32,'Inputs'!$B$30+'Inputs'!$B$31+'Inputs'!$B$32)/1000+'Inputs'!$B$21+'Inputs'!$B$9+'Inputs'!$B$10))^2+('Inputs'!$B$6/2)^2))))*'Results'!$B$8)-'Inputs'!$B$28*ABS((('Results'!C7*(1-'Inputs'!$B$24)*(0.5*((((789-43)*MAX('Inputs'!$B$33,'Inputs'!$B$29+'Inputs'!$B$31+'Inputs'!$B$32,'Inputs'!$B$30+'Inputs'!$B$31+'Inputs'!$B$32)/1000+'Inputs'!$B$21)+'Inputs'!$B$9)/SQRT((((789-43)*MAX('Inputs'!$B$33,'Inputs'!$B$29+'Inputs'!$B$31+'Inputs'!$B$32,'Inputs'!$B$30+'Inputs'!$B$31+'Inputs'!$B$32)/1000+'Inputs'!$B$21)+'Inputs'!$B$9)^2+('Inputs'!$B$8/2)^2)-(((789-43)*MAX('Inputs'!$B$33,'Inputs'!$B$29+'Inputs'!$B$31+'Inputs'!$B$32,'Inputs'!$B$30+'Inputs'!$B$31+'Inputs'!$B$32)/1000+'Inputs'!$B$21))/SQRT((((789-43)*MAX('Inputs'!$B$33,'Inputs'!$B$29+'Inputs'!$B$31+'Inputs'!$B$32,'Inputs'!$B$30+'Inputs'!$B$31+'Inputs'!$B$32)/1000+'Inputs'!$B$21))^2+('Inputs'!$B$8/2)^2)))-'Results'!B7*(1+'Inputs'!$B$24)*(0.5*((((789-43)*MAX('Inputs'!$B$33,'Inputs'!$B$29+'Inputs'!$B$31+'Inputs'!$B$32,'Inputs'!$B$30+'Inputs'!$B$31+'Inputs'!$B$32)/1000+'Inputs'!$B$21+'Inputs'!$B$9+'Inputs'!$B$10)+'Inputs'!$B$7)/SQRT((((789-43)*MAX('Inputs'!$B$33,'Inputs'!$B$29+'Inputs'!$B$31+'Inputs'!$B$32,'Inputs'!$B$30+'Inputs'!$B$31+'Inputs'!$B$32)/1000+'Inputs'!$B$21+'Inputs'!$B$9+'Inputs'!$B$10)+'Inputs'!$B$7)^2+('Inputs'!$B$6/2)^2)-(((789-43)*MAX('Inputs'!$B$33,'Inputs'!$B$29+'Inputs'!$B$31+'Inputs'!$B$32,'Inputs'!$B$30+'Inputs'!$B$31+'Inputs'!$B$32)/1000+'Inputs'!$B$21+'Inputs'!$B$9+'Inputs'!$B$10))/SQRT((((789-43)*MAX('Inputs'!$B$33,'Inputs'!$B$29+'Inputs'!$B$31+'Inputs'!$B$32,'Inputs'!$B$30+'Inputs'!$B$31+'Inputs'!$B$32)/1000+'Inputs'!$B$21+'Inputs'!$B$9+'Inputs'!$B$10))^2+('Inputs'!$B$6/2)^2))))*'Results'!$B$8))),"")</x:f>
        <x:v>0.7956532027405809</x:v>
      </x:c>
      <x:c r="O789" t="n">
        <x:f>IF(AND(ISNUMBER('Results'!C7),ISNUMBER('Results'!B7),ISNUMBER('Results'!$B$8),ISNUMBER('Inputs'!$B$6),ISNUMBER('Inputs'!$B$7),ISNUMBER('Inputs'!$B$8),ISNUMBER('Inputs'!$B$9),ISNUMBER('Inputs'!$B$10),ISNUMBER('Inputs'!$B$21),ISNUMBER('Inputs'!$B$24),ISNUMBER('Inputs'!$B$28)),((('Results'!C7*(1+'Inputs'!$B$24)*(0.5*((((789-43)*MAX('Inputs'!$B$33,'Inputs'!$B$29+'Inputs'!$B$31+'Inputs'!$B$32,'Inputs'!$B$30+'Inputs'!$B$31+'Inputs'!$B$32)/1000+'Inputs'!$B$21)+'Inputs'!$B$9)/SQRT((((789-43)*MAX('Inputs'!$B$33,'Inputs'!$B$29+'Inputs'!$B$31+'Inputs'!$B$32,'Inputs'!$B$30+'Inputs'!$B$31+'Inputs'!$B$32)/1000+'Inputs'!$B$21)+'Inputs'!$B$9)^2+('Inputs'!$B$8/2)^2)-(((789-43)*MAX('Inputs'!$B$33,'Inputs'!$B$29+'Inputs'!$B$31+'Inputs'!$B$32,'Inputs'!$B$30+'Inputs'!$B$31+'Inputs'!$B$32)/1000+'Inputs'!$B$21))/SQRT((((789-43)*MAX('Inputs'!$B$33,'Inputs'!$B$29+'Inputs'!$B$31+'Inputs'!$B$32,'Inputs'!$B$30+'Inputs'!$B$31+'Inputs'!$B$32)/1000+'Inputs'!$B$21))^2+('Inputs'!$B$8/2)^2)))-'Results'!B7*(1-'Inputs'!$B$24)*(0.5*((((789-43)*MAX('Inputs'!$B$33,'Inputs'!$B$29+'Inputs'!$B$31+'Inputs'!$B$32,'Inputs'!$B$30+'Inputs'!$B$31+'Inputs'!$B$32)/1000+'Inputs'!$B$21+'Inputs'!$B$9+'Inputs'!$B$10)+'Inputs'!$B$7)/SQRT((((789-43)*MAX('Inputs'!$B$33,'Inputs'!$B$29+'Inputs'!$B$31+'Inputs'!$B$32,'Inputs'!$B$30+'Inputs'!$B$31+'Inputs'!$B$32)/1000+'Inputs'!$B$21+'Inputs'!$B$9+'Inputs'!$B$10)+'Inputs'!$B$7)^2+('Inputs'!$B$6/2)^2)-(((789-43)*MAX('Inputs'!$B$33,'Inputs'!$B$29+'Inputs'!$B$31+'Inputs'!$B$32,'Inputs'!$B$30+'Inputs'!$B$31+'Inputs'!$B$32)/1000+'Inputs'!$B$21+'Inputs'!$B$9+'Inputs'!$B$10))/SQRT((((789-43)*MAX('Inputs'!$B$33,'Inputs'!$B$29+'Inputs'!$B$31+'Inputs'!$B$32,'Inputs'!$B$30+'Inputs'!$B$31+'Inputs'!$B$32)/1000+'Inputs'!$B$21+'Inputs'!$B$9+'Inputs'!$B$10))^2+('Inputs'!$B$6/2)^2))))*'Results'!$B$8)+'Inputs'!$B$28*ABS((('Results'!C7*(1+'Inputs'!$B$24)*(0.5*((((789-43)*MAX('Inputs'!$B$33,'Inputs'!$B$29+'Inputs'!$B$31+'Inputs'!$B$32,'Inputs'!$B$30+'Inputs'!$B$31+'Inputs'!$B$32)/1000+'Inputs'!$B$21)+'Inputs'!$B$9)/SQRT((((789-43)*MAX('Inputs'!$B$33,'Inputs'!$B$29+'Inputs'!$B$31+'Inputs'!$B$32,'Inputs'!$B$30+'Inputs'!$B$31+'Inputs'!$B$32)/1000+'Inputs'!$B$21)+'Inputs'!$B$9)^2+('Inputs'!$B$8/2)^2)-(((789-43)*MAX('Inputs'!$B$33,'Inputs'!$B$29+'Inputs'!$B$31+'Inputs'!$B$32,'Inputs'!$B$30+'Inputs'!$B$31+'Inputs'!$B$32)/1000+'Inputs'!$B$21))/SQRT((((789-43)*MAX('Inputs'!$B$33,'Inputs'!$B$29+'Inputs'!$B$31+'Inputs'!$B$32,'Inputs'!$B$30+'Inputs'!$B$31+'Inputs'!$B$32)/1000+'Inputs'!$B$21))^2+('Inputs'!$B$8/2)^2)))-'Results'!B7*(1-'Inputs'!$B$24)*(0.5*((((789-43)*MAX('Inputs'!$B$33,'Inputs'!$B$29+'Inputs'!$B$31+'Inputs'!$B$32,'Inputs'!$B$30+'Inputs'!$B$31+'Inputs'!$B$32)/1000+'Inputs'!$B$21+'Inputs'!$B$9+'Inputs'!$B$10)+'Inputs'!$B$7)/SQRT((((789-43)*MAX('Inputs'!$B$33,'Inputs'!$B$29+'Inputs'!$B$31+'Inputs'!$B$32,'Inputs'!$B$30+'Inputs'!$B$31+'Inputs'!$B$32)/1000+'Inputs'!$B$21+'Inputs'!$B$9+'Inputs'!$B$10)+'Inputs'!$B$7)^2+('Inputs'!$B$6/2)^2)-(((789-43)*MAX('Inputs'!$B$33,'Inputs'!$B$29+'Inputs'!$B$31+'Inputs'!$B$32,'Inputs'!$B$30+'Inputs'!$B$31+'Inputs'!$B$32)/1000+'Inputs'!$B$21+'Inputs'!$B$9+'Inputs'!$B$10))/SQRT((((789-43)*MAX('Inputs'!$B$33,'Inputs'!$B$29+'Inputs'!$B$31+'Inputs'!$B$32,'Inputs'!$B$30+'Inputs'!$B$31+'Inputs'!$B$32)/1000+'Inputs'!$B$21+'Inputs'!$B$9+'Inputs'!$B$10))^2+('Inputs'!$B$6/2)^2))))*'Results'!$B$8))),"")</x:f>
        <x:v>1.0805204872173493</x:v>
      </x:c>
      <x:c r="P789" t="n">
        <x:f>IF(AND(MAX(J789,J788)&gt;0,J789&gt;J788+0.00000001),1,0)</x:f>
        <x:v>0</x:v>
      </x:c>
      <x:c r="Q789" t="n">
        <x:f>IF(AND(MAX(K789,K788)&gt;0,K789&gt;K788+0.00000001),1,0)</x:f>
        <x:v>0</x:v>
      </x:c>
      <x:c r="R789" t="n">
        <x:f>IF(AND(MAX(L789,L788)&gt;0,L789&gt;L788+0.00000001),1,0)</x:f>
        <x:v>0</x:v>
      </x:c>
      <x:c r="S789" t="n">
        <x:f>IF(AND(MAX(M789,M788)&gt;0,M789&gt;M788+0.00000001),1,0)</x:f>
        <x:v>0</x:v>
      </x:c>
      <x:c r="T789" t="n">
        <x:f>IF(AND(MAX(N789,N788)&gt;0,N789&gt;N788+0.00000001),1,0)</x:f>
        <x:v>0</x:v>
      </x:c>
      <x:c r="U789" t="n">
        <x:f>IF(AND(MAX(O789,O788)&gt;0,O789&gt;O788+0.00000001),1,0)</x:f>
        <x:v>0</x:v>
      </x:c>
    </x:row>
    <x:row r="790">
      <x:c r="J790" t="n">
        <x:f>IF(AND(ISNUMBER('Results'!B7),ISNUMBER('Results'!C7),ISNUMBER('Results'!$B$8),ISNUMBER('Inputs'!$B$6),ISNUMBER('Inputs'!$B$7),ISNUMBER('Inputs'!$B$8),ISNUMBER('Inputs'!$B$9),ISNUMBER('Inputs'!$B$10),ISNUMBER('Inputs'!$B$21),ISNUMBER('Inputs'!$B$24),ISNUMBER('Inputs'!$B$28)),(('Results'!B7*(0.5*((((790-43)*MAX('Inputs'!$B$33,'Inputs'!$B$29+'Inputs'!$B$31+'Inputs'!$B$32,'Inputs'!$B$30+'Inputs'!$B$31+'Inputs'!$B$32)/1000+'Inputs'!$B$21)+'Inputs'!$B$7)/SQRT((((790-43)*MAX('Inputs'!$B$33,'Inputs'!$B$29+'Inputs'!$B$31+'Inputs'!$B$32,'Inputs'!$B$30+'Inputs'!$B$31+'Inputs'!$B$32)/1000+'Inputs'!$B$21)+'Inputs'!$B$7)^2+('Inputs'!$B$6/2)^2)-(((790-43)*MAX('Inputs'!$B$33,'Inputs'!$B$29+'Inputs'!$B$31+'Inputs'!$B$32,'Inputs'!$B$30+'Inputs'!$B$31+'Inputs'!$B$32)/1000+'Inputs'!$B$21))/SQRT((((790-43)*MAX('Inputs'!$B$33,'Inputs'!$B$29+'Inputs'!$B$31+'Inputs'!$B$32,'Inputs'!$B$30+'Inputs'!$B$31+'Inputs'!$B$32)/1000+'Inputs'!$B$21))^2+('Inputs'!$B$6/2)^2)))-'Results'!C7*(0.5*((((790-43)*MAX('Inputs'!$B$33,'Inputs'!$B$29+'Inputs'!$B$31+'Inputs'!$B$32,'Inputs'!$B$30+'Inputs'!$B$31+'Inputs'!$B$32)/1000+'Inputs'!$B$21+'Inputs'!$B$7+'Inputs'!$B$10)+'Inputs'!$B$9)/SQRT((((790-43)*MAX('Inputs'!$B$33,'Inputs'!$B$29+'Inputs'!$B$31+'Inputs'!$B$32,'Inputs'!$B$30+'Inputs'!$B$31+'Inputs'!$B$32)/1000+'Inputs'!$B$21+'Inputs'!$B$7+'Inputs'!$B$10)+'Inputs'!$B$9)^2+('Inputs'!$B$8/2)^2)-(((790-43)*MAX('Inputs'!$B$33,'Inputs'!$B$29+'Inputs'!$B$31+'Inputs'!$B$32,'Inputs'!$B$30+'Inputs'!$B$31+'Inputs'!$B$32)/1000+'Inputs'!$B$21+'Inputs'!$B$7+'Inputs'!$B$10))/SQRT((((790-43)*MAX('Inputs'!$B$33,'Inputs'!$B$29+'Inputs'!$B$31+'Inputs'!$B$32,'Inputs'!$B$30+'Inputs'!$B$31+'Inputs'!$B$32)/1000+'Inputs'!$B$21+'Inputs'!$B$7+'Inputs'!$B$10))^2+('Inputs'!$B$8/2)^2))))*'Results'!$B$8),"")</x:f>
        <x:v>1.025314242911128</x:v>
      </x:c>
      <x:c r="K790" t="n">
        <x:f>IF(AND(ISNUMBER('Results'!B7),ISNUMBER('Results'!C7),ISNUMBER('Results'!$B$8),ISNUMBER('Inputs'!$B$6),ISNUMBER('Inputs'!$B$7),ISNUMBER('Inputs'!$B$8),ISNUMBER('Inputs'!$B$9),ISNUMBER('Inputs'!$B$10),ISNUMBER('Inputs'!$B$21),ISNUMBER('Inputs'!$B$24),ISNUMBER('Inputs'!$B$28)),((('Results'!B7*(1-'Inputs'!$B$24)*(0.5*((((790-43)*MAX('Inputs'!$B$33,'Inputs'!$B$29+'Inputs'!$B$31+'Inputs'!$B$32,'Inputs'!$B$30+'Inputs'!$B$31+'Inputs'!$B$32)/1000+'Inputs'!$B$21)+'Inputs'!$B$7)/SQRT((((790-43)*MAX('Inputs'!$B$33,'Inputs'!$B$29+'Inputs'!$B$31+'Inputs'!$B$32,'Inputs'!$B$30+'Inputs'!$B$31+'Inputs'!$B$32)/1000+'Inputs'!$B$21)+'Inputs'!$B$7)^2+('Inputs'!$B$6/2)^2)-(((790-43)*MAX('Inputs'!$B$33,'Inputs'!$B$29+'Inputs'!$B$31+'Inputs'!$B$32,'Inputs'!$B$30+'Inputs'!$B$31+'Inputs'!$B$32)/1000+'Inputs'!$B$21))/SQRT((((790-43)*MAX('Inputs'!$B$33,'Inputs'!$B$29+'Inputs'!$B$31+'Inputs'!$B$32,'Inputs'!$B$30+'Inputs'!$B$31+'Inputs'!$B$32)/1000+'Inputs'!$B$21))^2+('Inputs'!$B$6/2)^2)))-'Results'!C7*(1+'Inputs'!$B$24)*(0.5*((((790-43)*MAX('Inputs'!$B$33,'Inputs'!$B$29+'Inputs'!$B$31+'Inputs'!$B$32,'Inputs'!$B$30+'Inputs'!$B$31+'Inputs'!$B$32)/1000+'Inputs'!$B$21+'Inputs'!$B$7+'Inputs'!$B$10)+'Inputs'!$B$9)/SQRT((((790-43)*MAX('Inputs'!$B$33,'Inputs'!$B$29+'Inputs'!$B$31+'Inputs'!$B$32,'Inputs'!$B$30+'Inputs'!$B$31+'Inputs'!$B$32)/1000+'Inputs'!$B$21+'Inputs'!$B$7+'Inputs'!$B$10)+'Inputs'!$B$9)^2+('Inputs'!$B$8/2)^2)-(((790-43)*MAX('Inputs'!$B$33,'Inputs'!$B$29+'Inputs'!$B$31+'Inputs'!$B$32,'Inputs'!$B$30+'Inputs'!$B$31+'Inputs'!$B$32)/1000+'Inputs'!$B$21+'Inputs'!$B$7+'Inputs'!$B$10))/SQRT((((790-43)*MAX('Inputs'!$B$33,'Inputs'!$B$29+'Inputs'!$B$31+'Inputs'!$B$32,'Inputs'!$B$30+'Inputs'!$B$31+'Inputs'!$B$32)/1000+'Inputs'!$B$21+'Inputs'!$B$7+'Inputs'!$B$10))^2+('Inputs'!$B$8/2)^2))))*'Results'!$B$8)-'Inputs'!$B$28*ABS((('Results'!B7*(1-'Inputs'!$B$24)*(0.5*((((790-43)*MAX('Inputs'!$B$33,'Inputs'!$B$29+'Inputs'!$B$31+'Inputs'!$B$32,'Inputs'!$B$30+'Inputs'!$B$31+'Inputs'!$B$32)/1000+'Inputs'!$B$21)+'Inputs'!$B$7)/SQRT((((790-43)*MAX('Inputs'!$B$33,'Inputs'!$B$29+'Inputs'!$B$31+'Inputs'!$B$32,'Inputs'!$B$30+'Inputs'!$B$31+'Inputs'!$B$32)/1000+'Inputs'!$B$21)+'Inputs'!$B$7)^2+('Inputs'!$B$6/2)^2)-(((790-43)*MAX('Inputs'!$B$33,'Inputs'!$B$29+'Inputs'!$B$31+'Inputs'!$B$32,'Inputs'!$B$30+'Inputs'!$B$31+'Inputs'!$B$32)/1000+'Inputs'!$B$21))/SQRT((((790-43)*MAX('Inputs'!$B$33,'Inputs'!$B$29+'Inputs'!$B$31+'Inputs'!$B$32,'Inputs'!$B$30+'Inputs'!$B$31+'Inputs'!$B$32)/1000+'Inputs'!$B$21))^2+('Inputs'!$B$6/2)^2)))-'Results'!C7*(1+'Inputs'!$B$24)*(0.5*((((790-43)*MAX('Inputs'!$B$33,'Inputs'!$B$29+'Inputs'!$B$31+'Inputs'!$B$32,'Inputs'!$B$30+'Inputs'!$B$31+'Inputs'!$B$32)/1000+'Inputs'!$B$21+'Inputs'!$B$7+'Inputs'!$B$10)+'Inputs'!$B$9)/SQRT((((790-43)*MAX('Inputs'!$B$33,'Inputs'!$B$29+'Inputs'!$B$31+'Inputs'!$B$32,'Inputs'!$B$30+'Inputs'!$B$31+'Inputs'!$B$32)/1000+'Inputs'!$B$21+'Inputs'!$B$7+'Inputs'!$B$10)+'Inputs'!$B$9)^2+('Inputs'!$B$8/2)^2)-(((790-43)*MAX('Inputs'!$B$33,'Inputs'!$B$29+'Inputs'!$B$31+'Inputs'!$B$32,'Inputs'!$B$30+'Inputs'!$B$31+'Inputs'!$B$32)/1000+'Inputs'!$B$21+'Inputs'!$B$7+'Inputs'!$B$10))/SQRT((((790-43)*MAX('Inputs'!$B$33,'Inputs'!$B$29+'Inputs'!$B$31+'Inputs'!$B$32,'Inputs'!$B$30+'Inputs'!$B$31+'Inputs'!$B$32)/1000+'Inputs'!$B$21+'Inputs'!$B$7+'Inputs'!$B$10))^2+('Inputs'!$B$8/2)^2))))*'Results'!$B$8))),"")</x:f>
        <x:v>0.8830271056820344</x:v>
      </x:c>
      <x:c r="L790" t="n">
        <x:f>IF(AND(ISNUMBER('Results'!B7),ISNUMBER('Results'!C7),ISNUMBER('Results'!$B$8),ISNUMBER('Inputs'!$B$6),ISNUMBER('Inputs'!$B$7),ISNUMBER('Inputs'!$B$8),ISNUMBER('Inputs'!$B$9),ISNUMBER('Inputs'!$B$10),ISNUMBER('Inputs'!$B$21),ISNUMBER('Inputs'!$B$24),ISNUMBER('Inputs'!$B$28)),((('Results'!B7*(1+'Inputs'!$B$24)*(0.5*((((790-43)*MAX('Inputs'!$B$33,'Inputs'!$B$29+'Inputs'!$B$31+'Inputs'!$B$32,'Inputs'!$B$30+'Inputs'!$B$31+'Inputs'!$B$32)/1000+'Inputs'!$B$21)+'Inputs'!$B$7)/SQRT((((790-43)*MAX('Inputs'!$B$33,'Inputs'!$B$29+'Inputs'!$B$31+'Inputs'!$B$32,'Inputs'!$B$30+'Inputs'!$B$31+'Inputs'!$B$32)/1000+'Inputs'!$B$21)+'Inputs'!$B$7)^2+('Inputs'!$B$6/2)^2)-(((790-43)*MAX('Inputs'!$B$33,'Inputs'!$B$29+'Inputs'!$B$31+'Inputs'!$B$32,'Inputs'!$B$30+'Inputs'!$B$31+'Inputs'!$B$32)/1000+'Inputs'!$B$21))/SQRT((((790-43)*MAX('Inputs'!$B$33,'Inputs'!$B$29+'Inputs'!$B$31+'Inputs'!$B$32,'Inputs'!$B$30+'Inputs'!$B$31+'Inputs'!$B$32)/1000+'Inputs'!$B$21))^2+('Inputs'!$B$6/2)^2)))-'Results'!C7*(1-'Inputs'!$B$24)*(0.5*((((790-43)*MAX('Inputs'!$B$33,'Inputs'!$B$29+'Inputs'!$B$31+'Inputs'!$B$32,'Inputs'!$B$30+'Inputs'!$B$31+'Inputs'!$B$32)/1000+'Inputs'!$B$21+'Inputs'!$B$7+'Inputs'!$B$10)+'Inputs'!$B$9)/SQRT((((790-43)*MAX('Inputs'!$B$33,'Inputs'!$B$29+'Inputs'!$B$31+'Inputs'!$B$32,'Inputs'!$B$30+'Inputs'!$B$31+'Inputs'!$B$32)/1000+'Inputs'!$B$21+'Inputs'!$B$7+'Inputs'!$B$10)+'Inputs'!$B$9)^2+('Inputs'!$B$8/2)^2)-(((790-43)*MAX('Inputs'!$B$33,'Inputs'!$B$29+'Inputs'!$B$31+'Inputs'!$B$32,'Inputs'!$B$30+'Inputs'!$B$31+'Inputs'!$B$32)/1000+'Inputs'!$B$21+'Inputs'!$B$7+'Inputs'!$B$10))/SQRT((((790-43)*MAX('Inputs'!$B$33,'Inputs'!$B$29+'Inputs'!$B$31+'Inputs'!$B$32,'Inputs'!$B$30+'Inputs'!$B$31+'Inputs'!$B$32)/1000+'Inputs'!$B$21+'Inputs'!$B$7+'Inputs'!$B$10))^2+('Inputs'!$B$8/2)^2))))*'Results'!$B$8)+'Inputs'!$B$28*ABS((('Results'!B7*(1+'Inputs'!$B$24)*(0.5*((((790-43)*MAX('Inputs'!$B$33,'Inputs'!$B$29+'Inputs'!$B$31+'Inputs'!$B$32,'Inputs'!$B$30+'Inputs'!$B$31+'Inputs'!$B$32)/1000+'Inputs'!$B$21)+'Inputs'!$B$7)/SQRT((((790-43)*MAX('Inputs'!$B$33,'Inputs'!$B$29+'Inputs'!$B$31+'Inputs'!$B$32,'Inputs'!$B$30+'Inputs'!$B$31+'Inputs'!$B$32)/1000+'Inputs'!$B$21)+'Inputs'!$B$7)^2+('Inputs'!$B$6/2)^2)-(((790-43)*MAX('Inputs'!$B$33,'Inputs'!$B$29+'Inputs'!$B$31+'Inputs'!$B$32,'Inputs'!$B$30+'Inputs'!$B$31+'Inputs'!$B$32)/1000+'Inputs'!$B$21))/SQRT((((790-43)*MAX('Inputs'!$B$33,'Inputs'!$B$29+'Inputs'!$B$31+'Inputs'!$B$32,'Inputs'!$B$30+'Inputs'!$B$31+'Inputs'!$B$32)/1000+'Inputs'!$B$21))^2+('Inputs'!$B$6/2)^2)))-'Results'!C7*(1-'Inputs'!$B$24)*(0.5*((((790-43)*MAX('Inputs'!$B$33,'Inputs'!$B$29+'Inputs'!$B$31+'Inputs'!$B$32,'Inputs'!$B$30+'Inputs'!$B$31+'Inputs'!$B$32)/1000+'Inputs'!$B$21+'Inputs'!$B$7+'Inputs'!$B$10)+'Inputs'!$B$9)/SQRT((((790-43)*MAX('Inputs'!$B$33,'Inputs'!$B$29+'Inputs'!$B$31+'Inputs'!$B$32,'Inputs'!$B$30+'Inputs'!$B$31+'Inputs'!$B$32)/1000+'Inputs'!$B$21+'Inputs'!$B$7+'Inputs'!$B$10)+'Inputs'!$B$9)^2+('Inputs'!$B$8/2)^2)-(((790-43)*MAX('Inputs'!$B$33,'Inputs'!$B$29+'Inputs'!$B$31+'Inputs'!$B$32,'Inputs'!$B$30+'Inputs'!$B$31+'Inputs'!$B$32)/1000+'Inputs'!$B$21+'Inputs'!$B$7+'Inputs'!$B$10))/SQRT((((790-43)*MAX('Inputs'!$B$33,'Inputs'!$B$29+'Inputs'!$B$31+'Inputs'!$B$32,'Inputs'!$B$30+'Inputs'!$B$31+'Inputs'!$B$32)/1000+'Inputs'!$B$21+'Inputs'!$B$7+'Inputs'!$B$10))^2+('Inputs'!$B$8/2)^2))))*'Results'!$B$8))),"")</x:f>
        <x:v>1.1771825827805944</x:v>
      </x:c>
      <x:c r="M790" t="n">
        <x:f>IF(AND(ISNUMBER('Results'!C7),ISNUMBER('Results'!B7),ISNUMBER('Results'!$B$8),ISNUMBER('Inputs'!$B$6),ISNUMBER('Inputs'!$B$7),ISNUMBER('Inputs'!$B$8),ISNUMBER('Inputs'!$B$9),ISNUMBER('Inputs'!$B$10),ISNUMBER('Inputs'!$B$21),ISNUMBER('Inputs'!$B$24),ISNUMBER('Inputs'!$B$28)),(('Results'!C7*(0.5*((((790-43)*MAX('Inputs'!$B$33,'Inputs'!$B$29+'Inputs'!$B$31+'Inputs'!$B$32,'Inputs'!$B$30+'Inputs'!$B$31+'Inputs'!$B$32)/1000+'Inputs'!$B$21)+'Inputs'!$B$9)/SQRT((((790-43)*MAX('Inputs'!$B$33,'Inputs'!$B$29+'Inputs'!$B$31+'Inputs'!$B$32,'Inputs'!$B$30+'Inputs'!$B$31+'Inputs'!$B$32)/1000+'Inputs'!$B$21)+'Inputs'!$B$9)^2+('Inputs'!$B$8/2)^2)-(((790-43)*MAX('Inputs'!$B$33,'Inputs'!$B$29+'Inputs'!$B$31+'Inputs'!$B$32,'Inputs'!$B$30+'Inputs'!$B$31+'Inputs'!$B$32)/1000+'Inputs'!$B$21))/SQRT((((790-43)*MAX('Inputs'!$B$33,'Inputs'!$B$29+'Inputs'!$B$31+'Inputs'!$B$32,'Inputs'!$B$30+'Inputs'!$B$31+'Inputs'!$B$32)/1000+'Inputs'!$B$21))^2+('Inputs'!$B$8/2)^2)))-'Results'!B7*(0.5*((((790-43)*MAX('Inputs'!$B$33,'Inputs'!$B$29+'Inputs'!$B$31+'Inputs'!$B$32,'Inputs'!$B$30+'Inputs'!$B$31+'Inputs'!$B$32)/1000+'Inputs'!$B$21+'Inputs'!$B$9+'Inputs'!$B$10)+'Inputs'!$B$7)/SQRT((((790-43)*MAX('Inputs'!$B$33,'Inputs'!$B$29+'Inputs'!$B$31+'Inputs'!$B$32,'Inputs'!$B$30+'Inputs'!$B$31+'Inputs'!$B$32)/1000+'Inputs'!$B$21+'Inputs'!$B$9+'Inputs'!$B$10)+'Inputs'!$B$7)^2+('Inputs'!$B$6/2)^2)-(((790-43)*MAX('Inputs'!$B$33,'Inputs'!$B$29+'Inputs'!$B$31+'Inputs'!$B$32,'Inputs'!$B$30+'Inputs'!$B$31+'Inputs'!$B$32)/1000+'Inputs'!$B$21+'Inputs'!$B$9+'Inputs'!$B$10))/SQRT((((790-43)*MAX('Inputs'!$B$33,'Inputs'!$B$29+'Inputs'!$B$31+'Inputs'!$B$32,'Inputs'!$B$30+'Inputs'!$B$31+'Inputs'!$B$32)/1000+'Inputs'!$B$21+'Inputs'!$B$9+'Inputs'!$B$10))^2+('Inputs'!$B$6/2)^2))))*'Results'!$B$8),"")</x:f>
        <x:v>0.9287337905732671</x:v>
      </x:c>
      <x:c r="N790" t="n">
        <x:f>IF(AND(ISNUMBER('Results'!C7),ISNUMBER('Results'!B7),ISNUMBER('Results'!$B$8),ISNUMBER('Inputs'!$B$6),ISNUMBER('Inputs'!$B$7),ISNUMBER('Inputs'!$B$8),ISNUMBER('Inputs'!$B$9),ISNUMBER('Inputs'!$B$10),ISNUMBER('Inputs'!$B$21),ISNUMBER('Inputs'!$B$24),ISNUMBER('Inputs'!$B$28)),((('Results'!C7*(1-'Inputs'!$B$24)*(0.5*((((790-43)*MAX('Inputs'!$B$33,'Inputs'!$B$29+'Inputs'!$B$31+'Inputs'!$B$32,'Inputs'!$B$30+'Inputs'!$B$31+'Inputs'!$B$32)/1000+'Inputs'!$B$21)+'Inputs'!$B$9)/SQRT((((790-43)*MAX('Inputs'!$B$33,'Inputs'!$B$29+'Inputs'!$B$31+'Inputs'!$B$32,'Inputs'!$B$30+'Inputs'!$B$31+'Inputs'!$B$32)/1000+'Inputs'!$B$21)+'Inputs'!$B$9)^2+('Inputs'!$B$8/2)^2)-(((790-43)*MAX('Inputs'!$B$33,'Inputs'!$B$29+'Inputs'!$B$31+'Inputs'!$B$32,'Inputs'!$B$30+'Inputs'!$B$31+'Inputs'!$B$32)/1000+'Inputs'!$B$21))/SQRT((((790-43)*MAX('Inputs'!$B$33,'Inputs'!$B$29+'Inputs'!$B$31+'Inputs'!$B$32,'Inputs'!$B$30+'Inputs'!$B$31+'Inputs'!$B$32)/1000+'Inputs'!$B$21))^2+('Inputs'!$B$8/2)^2)))-'Results'!B7*(1+'Inputs'!$B$24)*(0.5*((((790-43)*MAX('Inputs'!$B$33,'Inputs'!$B$29+'Inputs'!$B$31+'Inputs'!$B$32,'Inputs'!$B$30+'Inputs'!$B$31+'Inputs'!$B$32)/1000+'Inputs'!$B$21+'Inputs'!$B$9+'Inputs'!$B$10)+'Inputs'!$B$7)/SQRT((((790-43)*MAX('Inputs'!$B$33,'Inputs'!$B$29+'Inputs'!$B$31+'Inputs'!$B$32,'Inputs'!$B$30+'Inputs'!$B$31+'Inputs'!$B$32)/1000+'Inputs'!$B$21+'Inputs'!$B$9+'Inputs'!$B$10)+'Inputs'!$B$7)^2+('Inputs'!$B$6/2)^2)-(((790-43)*MAX('Inputs'!$B$33,'Inputs'!$B$29+'Inputs'!$B$31+'Inputs'!$B$32,'Inputs'!$B$30+'Inputs'!$B$31+'Inputs'!$B$32)/1000+'Inputs'!$B$21+'Inputs'!$B$9+'Inputs'!$B$10))/SQRT((((790-43)*MAX('Inputs'!$B$33,'Inputs'!$B$29+'Inputs'!$B$31+'Inputs'!$B$32,'Inputs'!$B$30+'Inputs'!$B$31+'Inputs'!$B$32)/1000+'Inputs'!$B$21+'Inputs'!$B$9+'Inputs'!$B$10))^2+('Inputs'!$B$6/2)^2))))*'Results'!$B$8)-'Inputs'!$B$28*ABS((('Results'!C7*(1-'Inputs'!$B$24)*(0.5*((((790-43)*MAX('Inputs'!$B$33,'Inputs'!$B$29+'Inputs'!$B$31+'Inputs'!$B$32,'Inputs'!$B$30+'Inputs'!$B$31+'Inputs'!$B$32)/1000+'Inputs'!$B$21)+'Inputs'!$B$9)/SQRT((((790-43)*MAX('Inputs'!$B$33,'Inputs'!$B$29+'Inputs'!$B$31+'Inputs'!$B$32,'Inputs'!$B$30+'Inputs'!$B$31+'Inputs'!$B$32)/1000+'Inputs'!$B$21)+'Inputs'!$B$9)^2+('Inputs'!$B$8/2)^2)-(((790-43)*MAX('Inputs'!$B$33,'Inputs'!$B$29+'Inputs'!$B$31+'Inputs'!$B$32,'Inputs'!$B$30+'Inputs'!$B$31+'Inputs'!$B$32)/1000+'Inputs'!$B$21))/SQRT((((790-43)*MAX('Inputs'!$B$33,'Inputs'!$B$29+'Inputs'!$B$31+'Inputs'!$B$32,'Inputs'!$B$30+'Inputs'!$B$31+'Inputs'!$B$32)/1000+'Inputs'!$B$21))^2+('Inputs'!$B$8/2)^2)))-'Results'!B7*(1+'Inputs'!$B$24)*(0.5*((((790-43)*MAX('Inputs'!$B$33,'Inputs'!$B$29+'Inputs'!$B$31+'Inputs'!$B$32,'Inputs'!$B$30+'Inputs'!$B$31+'Inputs'!$B$32)/1000+'Inputs'!$B$21+'Inputs'!$B$9+'Inputs'!$B$10)+'Inputs'!$B$7)/SQRT((((790-43)*MAX('Inputs'!$B$33,'Inputs'!$B$29+'Inputs'!$B$31+'Inputs'!$B$32,'Inputs'!$B$30+'Inputs'!$B$31+'Inputs'!$B$32)/1000+'Inputs'!$B$21+'Inputs'!$B$9+'Inputs'!$B$10)+'Inputs'!$B$7)^2+('Inputs'!$B$6/2)^2)-(((790-43)*MAX('Inputs'!$B$33,'Inputs'!$B$29+'Inputs'!$B$31+'Inputs'!$B$32,'Inputs'!$B$30+'Inputs'!$B$31+'Inputs'!$B$32)/1000+'Inputs'!$B$21+'Inputs'!$B$9+'Inputs'!$B$10))/SQRT((((790-43)*MAX('Inputs'!$B$33,'Inputs'!$B$29+'Inputs'!$B$31+'Inputs'!$B$32,'Inputs'!$B$30+'Inputs'!$B$31+'Inputs'!$B$32)/1000+'Inputs'!$B$21+'Inputs'!$B$9+'Inputs'!$B$10))^2+('Inputs'!$B$6/2)^2))))*'Results'!$B$8))),"")</x:f>
        <x:v>0.7916506952806239</x:v>
      </x:c>
      <x:c r="O790" t="n">
        <x:f>IF(AND(ISNUMBER('Results'!C7),ISNUMBER('Results'!B7),ISNUMBER('Results'!$B$8),ISNUMBER('Inputs'!$B$6),ISNUMBER('Inputs'!$B$7),ISNUMBER('Inputs'!$B$8),ISNUMBER('Inputs'!$B$9),ISNUMBER('Inputs'!$B$10),ISNUMBER('Inputs'!$B$21),ISNUMBER('Inputs'!$B$24),ISNUMBER('Inputs'!$B$28)),((('Results'!C7*(1+'Inputs'!$B$24)*(0.5*((((790-43)*MAX('Inputs'!$B$33,'Inputs'!$B$29+'Inputs'!$B$31+'Inputs'!$B$32,'Inputs'!$B$30+'Inputs'!$B$31+'Inputs'!$B$32)/1000+'Inputs'!$B$21)+'Inputs'!$B$9)/SQRT((((790-43)*MAX('Inputs'!$B$33,'Inputs'!$B$29+'Inputs'!$B$31+'Inputs'!$B$32,'Inputs'!$B$30+'Inputs'!$B$31+'Inputs'!$B$32)/1000+'Inputs'!$B$21)+'Inputs'!$B$9)^2+('Inputs'!$B$8/2)^2)-(((790-43)*MAX('Inputs'!$B$33,'Inputs'!$B$29+'Inputs'!$B$31+'Inputs'!$B$32,'Inputs'!$B$30+'Inputs'!$B$31+'Inputs'!$B$32)/1000+'Inputs'!$B$21))/SQRT((((790-43)*MAX('Inputs'!$B$33,'Inputs'!$B$29+'Inputs'!$B$31+'Inputs'!$B$32,'Inputs'!$B$30+'Inputs'!$B$31+'Inputs'!$B$32)/1000+'Inputs'!$B$21))^2+('Inputs'!$B$8/2)^2)))-'Results'!B7*(1-'Inputs'!$B$24)*(0.5*((((790-43)*MAX('Inputs'!$B$33,'Inputs'!$B$29+'Inputs'!$B$31+'Inputs'!$B$32,'Inputs'!$B$30+'Inputs'!$B$31+'Inputs'!$B$32)/1000+'Inputs'!$B$21+'Inputs'!$B$9+'Inputs'!$B$10)+'Inputs'!$B$7)/SQRT((((790-43)*MAX('Inputs'!$B$33,'Inputs'!$B$29+'Inputs'!$B$31+'Inputs'!$B$32,'Inputs'!$B$30+'Inputs'!$B$31+'Inputs'!$B$32)/1000+'Inputs'!$B$21+'Inputs'!$B$9+'Inputs'!$B$10)+'Inputs'!$B$7)^2+('Inputs'!$B$6/2)^2)-(((790-43)*MAX('Inputs'!$B$33,'Inputs'!$B$29+'Inputs'!$B$31+'Inputs'!$B$32,'Inputs'!$B$30+'Inputs'!$B$31+'Inputs'!$B$32)/1000+'Inputs'!$B$21+'Inputs'!$B$9+'Inputs'!$B$10))/SQRT((((790-43)*MAX('Inputs'!$B$33,'Inputs'!$B$29+'Inputs'!$B$31+'Inputs'!$B$32,'Inputs'!$B$30+'Inputs'!$B$31+'Inputs'!$B$32)/1000+'Inputs'!$B$21+'Inputs'!$B$9+'Inputs'!$B$10))^2+('Inputs'!$B$6/2)^2))))*'Results'!$B$8)+'Inputs'!$B$28*ABS((('Results'!C7*(1+'Inputs'!$B$24)*(0.5*((((790-43)*MAX('Inputs'!$B$33,'Inputs'!$B$29+'Inputs'!$B$31+'Inputs'!$B$32,'Inputs'!$B$30+'Inputs'!$B$31+'Inputs'!$B$32)/1000+'Inputs'!$B$21)+'Inputs'!$B$9)/SQRT((((790-43)*MAX('Inputs'!$B$33,'Inputs'!$B$29+'Inputs'!$B$31+'Inputs'!$B$32,'Inputs'!$B$30+'Inputs'!$B$31+'Inputs'!$B$32)/1000+'Inputs'!$B$21)+'Inputs'!$B$9)^2+('Inputs'!$B$8/2)^2)-(((790-43)*MAX('Inputs'!$B$33,'Inputs'!$B$29+'Inputs'!$B$31+'Inputs'!$B$32,'Inputs'!$B$30+'Inputs'!$B$31+'Inputs'!$B$32)/1000+'Inputs'!$B$21))/SQRT((((790-43)*MAX('Inputs'!$B$33,'Inputs'!$B$29+'Inputs'!$B$31+'Inputs'!$B$32,'Inputs'!$B$30+'Inputs'!$B$31+'Inputs'!$B$32)/1000+'Inputs'!$B$21))^2+('Inputs'!$B$8/2)^2)))-'Results'!B7*(1-'Inputs'!$B$24)*(0.5*((((790-43)*MAX('Inputs'!$B$33,'Inputs'!$B$29+'Inputs'!$B$31+'Inputs'!$B$32,'Inputs'!$B$30+'Inputs'!$B$31+'Inputs'!$B$32)/1000+'Inputs'!$B$21+'Inputs'!$B$9+'Inputs'!$B$10)+'Inputs'!$B$7)/SQRT((((790-43)*MAX('Inputs'!$B$33,'Inputs'!$B$29+'Inputs'!$B$31+'Inputs'!$B$32,'Inputs'!$B$30+'Inputs'!$B$31+'Inputs'!$B$32)/1000+'Inputs'!$B$21+'Inputs'!$B$9+'Inputs'!$B$10)+'Inputs'!$B$7)^2+('Inputs'!$B$6/2)^2)-(((790-43)*MAX('Inputs'!$B$33,'Inputs'!$B$29+'Inputs'!$B$31+'Inputs'!$B$32,'Inputs'!$B$30+'Inputs'!$B$31+'Inputs'!$B$32)/1000+'Inputs'!$B$21+'Inputs'!$B$9+'Inputs'!$B$10))/SQRT((((790-43)*MAX('Inputs'!$B$33,'Inputs'!$B$29+'Inputs'!$B$31+'Inputs'!$B$32,'Inputs'!$B$30+'Inputs'!$B$31+'Inputs'!$B$32)/1000+'Inputs'!$B$21+'Inputs'!$B$9+'Inputs'!$B$10))^2+('Inputs'!$B$6/2)^2))))*'Results'!$B$8))),"")</x:f>
        <x:v>1.0753586127884343</x:v>
      </x:c>
      <x:c r="P790" t="n">
        <x:f>IF(AND(MAX(J790,J789)&gt;0,J790&gt;J789+0.00000001),1,0)</x:f>
        <x:v>0</x:v>
      </x:c>
      <x:c r="Q790" t="n">
        <x:f>IF(AND(MAX(K790,K789)&gt;0,K790&gt;K789+0.00000001),1,0)</x:f>
        <x:v>0</x:v>
      </x:c>
      <x:c r="R790" t="n">
        <x:f>IF(AND(MAX(L790,L789)&gt;0,L790&gt;L789+0.00000001),1,0)</x:f>
        <x:v>0</x:v>
      </x:c>
      <x:c r="S790" t="n">
        <x:f>IF(AND(MAX(M790,M789)&gt;0,M790&gt;M789+0.00000001),1,0)</x:f>
        <x:v>0</x:v>
      </x:c>
      <x:c r="T790" t="n">
        <x:f>IF(AND(MAX(N790,N789)&gt;0,N790&gt;N789+0.00000001),1,0)</x:f>
        <x:v>0</x:v>
      </x:c>
      <x:c r="U790" t="n">
        <x:f>IF(AND(MAX(O790,O789)&gt;0,O790&gt;O789+0.00000001),1,0)</x:f>
        <x:v>0</x:v>
      </x:c>
    </x:row>
    <x:row r="791">
      <x:c r="J791" t="n">
        <x:f>IF(AND(ISNUMBER('Results'!B7),ISNUMBER('Results'!C7),ISNUMBER('Results'!$B$8),ISNUMBER('Inputs'!$B$6),ISNUMBER('Inputs'!$B$7),ISNUMBER('Inputs'!$B$8),ISNUMBER('Inputs'!$B$9),ISNUMBER('Inputs'!$B$10),ISNUMBER('Inputs'!$B$21),ISNUMBER('Inputs'!$B$24),ISNUMBER('Inputs'!$B$28)),(('Results'!B7*(0.5*((((791-43)*MAX('Inputs'!$B$33,'Inputs'!$B$29+'Inputs'!$B$31+'Inputs'!$B$32,'Inputs'!$B$30+'Inputs'!$B$31+'Inputs'!$B$32)/1000+'Inputs'!$B$21)+'Inputs'!$B$7)/SQRT((((791-43)*MAX('Inputs'!$B$33,'Inputs'!$B$29+'Inputs'!$B$31+'Inputs'!$B$32,'Inputs'!$B$30+'Inputs'!$B$31+'Inputs'!$B$32)/1000+'Inputs'!$B$21)+'Inputs'!$B$7)^2+('Inputs'!$B$6/2)^2)-(((791-43)*MAX('Inputs'!$B$33,'Inputs'!$B$29+'Inputs'!$B$31+'Inputs'!$B$32,'Inputs'!$B$30+'Inputs'!$B$31+'Inputs'!$B$32)/1000+'Inputs'!$B$21))/SQRT((((791-43)*MAX('Inputs'!$B$33,'Inputs'!$B$29+'Inputs'!$B$31+'Inputs'!$B$32,'Inputs'!$B$30+'Inputs'!$B$31+'Inputs'!$B$32)/1000+'Inputs'!$B$21))^2+('Inputs'!$B$6/2)^2)))-'Results'!C7*(0.5*((((791-43)*MAX('Inputs'!$B$33,'Inputs'!$B$29+'Inputs'!$B$31+'Inputs'!$B$32,'Inputs'!$B$30+'Inputs'!$B$31+'Inputs'!$B$32)/1000+'Inputs'!$B$21+'Inputs'!$B$7+'Inputs'!$B$10)+'Inputs'!$B$9)/SQRT((((791-43)*MAX('Inputs'!$B$33,'Inputs'!$B$29+'Inputs'!$B$31+'Inputs'!$B$32,'Inputs'!$B$30+'Inputs'!$B$31+'Inputs'!$B$32)/1000+'Inputs'!$B$21+'Inputs'!$B$7+'Inputs'!$B$10)+'Inputs'!$B$9)^2+('Inputs'!$B$8/2)^2)-(((791-43)*MAX('Inputs'!$B$33,'Inputs'!$B$29+'Inputs'!$B$31+'Inputs'!$B$32,'Inputs'!$B$30+'Inputs'!$B$31+'Inputs'!$B$32)/1000+'Inputs'!$B$21+'Inputs'!$B$7+'Inputs'!$B$10))/SQRT((((791-43)*MAX('Inputs'!$B$33,'Inputs'!$B$29+'Inputs'!$B$31+'Inputs'!$B$32,'Inputs'!$B$30+'Inputs'!$B$31+'Inputs'!$B$32)/1000+'Inputs'!$B$21+'Inputs'!$B$7+'Inputs'!$B$10))^2+('Inputs'!$B$8/2)^2))))*'Results'!$B$8),"")</x:f>
        <x:v>1.020423109865641</x:v>
      </x:c>
      <x:c r="K791" t="n">
        <x:f>IF(AND(ISNUMBER('Results'!B7),ISNUMBER('Results'!C7),ISNUMBER('Results'!$B$8),ISNUMBER('Inputs'!$B$6),ISNUMBER('Inputs'!$B$7),ISNUMBER('Inputs'!$B$8),ISNUMBER('Inputs'!$B$9),ISNUMBER('Inputs'!$B$10),ISNUMBER('Inputs'!$B$21),ISNUMBER('Inputs'!$B$24),ISNUMBER('Inputs'!$B$28)),((('Results'!B7*(1-'Inputs'!$B$24)*(0.5*((((791-43)*MAX('Inputs'!$B$33,'Inputs'!$B$29+'Inputs'!$B$31+'Inputs'!$B$32,'Inputs'!$B$30+'Inputs'!$B$31+'Inputs'!$B$32)/1000+'Inputs'!$B$21)+'Inputs'!$B$7)/SQRT((((791-43)*MAX('Inputs'!$B$33,'Inputs'!$B$29+'Inputs'!$B$31+'Inputs'!$B$32,'Inputs'!$B$30+'Inputs'!$B$31+'Inputs'!$B$32)/1000+'Inputs'!$B$21)+'Inputs'!$B$7)^2+('Inputs'!$B$6/2)^2)-(((791-43)*MAX('Inputs'!$B$33,'Inputs'!$B$29+'Inputs'!$B$31+'Inputs'!$B$32,'Inputs'!$B$30+'Inputs'!$B$31+'Inputs'!$B$32)/1000+'Inputs'!$B$21))/SQRT((((791-43)*MAX('Inputs'!$B$33,'Inputs'!$B$29+'Inputs'!$B$31+'Inputs'!$B$32,'Inputs'!$B$30+'Inputs'!$B$31+'Inputs'!$B$32)/1000+'Inputs'!$B$21))^2+('Inputs'!$B$6/2)^2)))-'Results'!C7*(1+'Inputs'!$B$24)*(0.5*((((791-43)*MAX('Inputs'!$B$33,'Inputs'!$B$29+'Inputs'!$B$31+'Inputs'!$B$32,'Inputs'!$B$30+'Inputs'!$B$31+'Inputs'!$B$32)/1000+'Inputs'!$B$21+'Inputs'!$B$7+'Inputs'!$B$10)+'Inputs'!$B$9)/SQRT((((791-43)*MAX('Inputs'!$B$33,'Inputs'!$B$29+'Inputs'!$B$31+'Inputs'!$B$32,'Inputs'!$B$30+'Inputs'!$B$31+'Inputs'!$B$32)/1000+'Inputs'!$B$21+'Inputs'!$B$7+'Inputs'!$B$10)+'Inputs'!$B$9)^2+('Inputs'!$B$8/2)^2)-(((791-43)*MAX('Inputs'!$B$33,'Inputs'!$B$29+'Inputs'!$B$31+'Inputs'!$B$32,'Inputs'!$B$30+'Inputs'!$B$31+'Inputs'!$B$32)/1000+'Inputs'!$B$21+'Inputs'!$B$7+'Inputs'!$B$10))/SQRT((((791-43)*MAX('Inputs'!$B$33,'Inputs'!$B$29+'Inputs'!$B$31+'Inputs'!$B$32,'Inputs'!$B$30+'Inputs'!$B$31+'Inputs'!$B$32)/1000+'Inputs'!$B$21+'Inputs'!$B$7+'Inputs'!$B$10))^2+('Inputs'!$B$8/2)^2))))*'Results'!$B$8)-'Inputs'!$B$28*ABS((('Results'!B7*(1-'Inputs'!$B$24)*(0.5*((((791-43)*MAX('Inputs'!$B$33,'Inputs'!$B$29+'Inputs'!$B$31+'Inputs'!$B$32,'Inputs'!$B$30+'Inputs'!$B$31+'Inputs'!$B$32)/1000+'Inputs'!$B$21)+'Inputs'!$B$7)/SQRT((((791-43)*MAX('Inputs'!$B$33,'Inputs'!$B$29+'Inputs'!$B$31+'Inputs'!$B$32,'Inputs'!$B$30+'Inputs'!$B$31+'Inputs'!$B$32)/1000+'Inputs'!$B$21)+'Inputs'!$B$7)^2+('Inputs'!$B$6/2)^2)-(((791-43)*MAX('Inputs'!$B$33,'Inputs'!$B$29+'Inputs'!$B$31+'Inputs'!$B$32,'Inputs'!$B$30+'Inputs'!$B$31+'Inputs'!$B$32)/1000+'Inputs'!$B$21))/SQRT((((791-43)*MAX('Inputs'!$B$33,'Inputs'!$B$29+'Inputs'!$B$31+'Inputs'!$B$32,'Inputs'!$B$30+'Inputs'!$B$31+'Inputs'!$B$32)/1000+'Inputs'!$B$21))^2+('Inputs'!$B$6/2)^2)))-'Results'!C7*(1+'Inputs'!$B$24)*(0.5*((((791-43)*MAX('Inputs'!$B$33,'Inputs'!$B$29+'Inputs'!$B$31+'Inputs'!$B$32,'Inputs'!$B$30+'Inputs'!$B$31+'Inputs'!$B$32)/1000+'Inputs'!$B$21+'Inputs'!$B$7+'Inputs'!$B$10)+'Inputs'!$B$9)/SQRT((((791-43)*MAX('Inputs'!$B$33,'Inputs'!$B$29+'Inputs'!$B$31+'Inputs'!$B$32,'Inputs'!$B$30+'Inputs'!$B$31+'Inputs'!$B$32)/1000+'Inputs'!$B$21+'Inputs'!$B$7+'Inputs'!$B$10)+'Inputs'!$B$9)^2+('Inputs'!$B$8/2)^2)-(((791-43)*MAX('Inputs'!$B$33,'Inputs'!$B$29+'Inputs'!$B$31+'Inputs'!$B$32,'Inputs'!$B$30+'Inputs'!$B$31+'Inputs'!$B$32)/1000+'Inputs'!$B$21+'Inputs'!$B$7+'Inputs'!$B$10))/SQRT((((791-43)*MAX('Inputs'!$B$33,'Inputs'!$B$29+'Inputs'!$B$31+'Inputs'!$B$32,'Inputs'!$B$30+'Inputs'!$B$31+'Inputs'!$B$32)/1000+'Inputs'!$B$21+'Inputs'!$B$7+'Inputs'!$B$10))^2+('Inputs'!$B$8/2)^2))))*'Results'!$B$8))),"")</x:f>
        <x:v>0.8787145835306139</x:v>
      </x:c>
      <x:c r="L791" t="n">
        <x:f>IF(AND(ISNUMBER('Results'!B7),ISNUMBER('Results'!C7),ISNUMBER('Results'!$B$8),ISNUMBER('Inputs'!$B$6),ISNUMBER('Inputs'!$B$7),ISNUMBER('Inputs'!$B$8),ISNUMBER('Inputs'!$B$9),ISNUMBER('Inputs'!$B$10),ISNUMBER('Inputs'!$B$21),ISNUMBER('Inputs'!$B$24),ISNUMBER('Inputs'!$B$28)),((('Results'!B7*(1+'Inputs'!$B$24)*(0.5*((((791-43)*MAX('Inputs'!$B$33,'Inputs'!$B$29+'Inputs'!$B$31+'Inputs'!$B$32,'Inputs'!$B$30+'Inputs'!$B$31+'Inputs'!$B$32)/1000+'Inputs'!$B$21)+'Inputs'!$B$7)/SQRT((((791-43)*MAX('Inputs'!$B$33,'Inputs'!$B$29+'Inputs'!$B$31+'Inputs'!$B$32,'Inputs'!$B$30+'Inputs'!$B$31+'Inputs'!$B$32)/1000+'Inputs'!$B$21)+'Inputs'!$B$7)^2+('Inputs'!$B$6/2)^2)-(((791-43)*MAX('Inputs'!$B$33,'Inputs'!$B$29+'Inputs'!$B$31+'Inputs'!$B$32,'Inputs'!$B$30+'Inputs'!$B$31+'Inputs'!$B$32)/1000+'Inputs'!$B$21))/SQRT((((791-43)*MAX('Inputs'!$B$33,'Inputs'!$B$29+'Inputs'!$B$31+'Inputs'!$B$32,'Inputs'!$B$30+'Inputs'!$B$31+'Inputs'!$B$32)/1000+'Inputs'!$B$21))^2+('Inputs'!$B$6/2)^2)))-'Results'!C7*(1-'Inputs'!$B$24)*(0.5*((((791-43)*MAX('Inputs'!$B$33,'Inputs'!$B$29+'Inputs'!$B$31+'Inputs'!$B$32,'Inputs'!$B$30+'Inputs'!$B$31+'Inputs'!$B$32)/1000+'Inputs'!$B$21+'Inputs'!$B$7+'Inputs'!$B$10)+'Inputs'!$B$9)/SQRT((((791-43)*MAX('Inputs'!$B$33,'Inputs'!$B$29+'Inputs'!$B$31+'Inputs'!$B$32,'Inputs'!$B$30+'Inputs'!$B$31+'Inputs'!$B$32)/1000+'Inputs'!$B$21+'Inputs'!$B$7+'Inputs'!$B$10)+'Inputs'!$B$9)^2+('Inputs'!$B$8/2)^2)-(((791-43)*MAX('Inputs'!$B$33,'Inputs'!$B$29+'Inputs'!$B$31+'Inputs'!$B$32,'Inputs'!$B$30+'Inputs'!$B$31+'Inputs'!$B$32)/1000+'Inputs'!$B$21+'Inputs'!$B$7+'Inputs'!$B$10))/SQRT((((791-43)*MAX('Inputs'!$B$33,'Inputs'!$B$29+'Inputs'!$B$31+'Inputs'!$B$32,'Inputs'!$B$30+'Inputs'!$B$31+'Inputs'!$B$32)/1000+'Inputs'!$B$21+'Inputs'!$B$7+'Inputs'!$B$10))^2+('Inputs'!$B$8/2)^2))))*'Results'!$B$8)+'Inputs'!$B$28*ABS((('Results'!B7*(1+'Inputs'!$B$24)*(0.5*((((791-43)*MAX('Inputs'!$B$33,'Inputs'!$B$29+'Inputs'!$B$31+'Inputs'!$B$32,'Inputs'!$B$30+'Inputs'!$B$31+'Inputs'!$B$32)/1000+'Inputs'!$B$21)+'Inputs'!$B$7)/SQRT((((791-43)*MAX('Inputs'!$B$33,'Inputs'!$B$29+'Inputs'!$B$31+'Inputs'!$B$32,'Inputs'!$B$30+'Inputs'!$B$31+'Inputs'!$B$32)/1000+'Inputs'!$B$21)+'Inputs'!$B$7)^2+('Inputs'!$B$6/2)^2)-(((791-43)*MAX('Inputs'!$B$33,'Inputs'!$B$29+'Inputs'!$B$31+'Inputs'!$B$32,'Inputs'!$B$30+'Inputs'!$B$31+'Inputs'!$B$32)/1000+'Inputs'!$B$21))/SQRT((((791-43)*MAX('Inputs'!$B$33,'Inputs'!$B$29+'Inputs'!$B$31+'Inputs'!$B$32,'Inputs'!$B$30+'Inputs'!$B$31+'Inputs'!$B$32)/1000+'Inputs'!$B$21))^2+('Inputs'!$B$6/2)^2)))-'Results'!C7*(1-'Inputs'!$B$24)*(0.5*((((791-43)*MAX('Inputs'!$B$33,'Inputs'!$B$29+'Inputs'!$B$31+'Inputs'!$B$32,'Inputs'!$B$30+'Inputs'!$B$31+'Inputs'!$B$32)/1000+'Inputs'!$B$21+'Inputs'!$B$7+'Inputs'!$B$10)+'Inputs'!$B$9)/SQRT((((791-43)*MAX('Inputs'!$B$33,'Inputs'!$B$29+'Inputs'!$B$31+'Inputs'!$B$32,'Inputs'!$B$30+'Inputs'!$B$31+'Inputs'!$B$32)/1000+'Inputs'!$B$21+'Inputs'!$B$7+'Inputs'!$B$10)+'Inputs'!$B$9)^2+('Inputs'!$B$8/2)^2)-(((791-43)*MAX('Inputs'!$B$33,'Inputs'!$B$29+'Inputs'!$B$31+'Inputs'!$B$32,'Inputs'!$B$30+'Inputs'!$B$31+'Inputs'!$B$32)/1000+'Inputs'!$B$21+'Inputs'!$B$7+'Inputs'!$B$10))/SQRT((((791-43)*MAX('Inputs'!$B$33,'Inputs'!$B$29+'Inputs'!$B$31+'Inputs'!$B$32,'Inputs'!$B$30+'Inputs'!$B$31+'Inputs'!$B$32)/1000+'Inputs'!$B$21+'Inputs'!$B$7+'Inputs'!$B$10))^2+('Inputs'!$B$8/2)^2))))*'Results'!$B$8))),"")</x:f>
        <x:v>1.1716776752366418</x:v>
      </x:c>
      <x:c r="M791" t="n">
        <x:f>IF(AND(ISNUMBER('Results'!C7),ISNUMBER('Results'!B7),ISNUMBER('Results'!$B$8),ISNUMBER('Inputs'!$B$6),ISNUMBER('Inputs'!$B$7),ISNUMBER('Inputs'!$B$8),ISNUMBER('Inputs'!$B$9),ISNUMBER('Inputs'!$B$10),ISNUMBER('Inputs'!$B$21),ISNUMBER('Inputs'!$B$24),ISNUMBER('Inputs'!$B$28)),(('Results'!C7*(0.5*((((791-43)*MAX('Inputs'!$B$33,'Inputs'!$B$29+'Inputs'!$B$31+'Inputs'!$B$32,'Inputs'!$B$30+'Inputs'!$B$31+'Inputs'!$B$32)/1000+'Inputs'!$B$21)+'Inputs'!$B$9)/SQRT((((791-43)*MAX('Inputs'!$B$33,'Inputs'!$B$29+'Inputs'!$B$31+'Inputs'!$B$32,'Inputs'!$B$30+'Inputs'!$B$31+'Inputs'!$B$32)/1000+'Inputs'!$B$21)+'Inputs'!$B$9)^2+('Inputs'!$B$8/2)^2)-(((791-43)*MAX('Inputs'!$B$33,'Inputs'!$B$29+'Inputs'!$B$31+'Inputs'!$B$32,'Inputs'!$B$30+'Inputs'!$B$31+'Inputs'!$B$32)/1000+'Inputs'!$B$21))/SQRT((((791-43)*MAX('Inputs'!$B$33,'Inputs'!$B$29+'Inputs'!$B$31+'Inputs'!$B$32,'Inputs'!$B$30+'Inputs'!$B$31+'Inputs'!$B$32)/1000+'Inputs'!$B$21))^2+('Inputs'!$B$8/2)^2)))-'Results'!B7*(0.5*((((791-43)*MAX('Inputs'!$B$33,'Inputs'!$B$29+'Inputs'!$B$31+'Inputs'!$B$32,'Inputs'!$B$30+'Inputs'!$B$31+'Inputs'!$B$32)/1000+'Inputs'!$B$21+'Inputs'!$B$9+'Inputs'!$B$10)+'Inputs'!$B$7)/SQRT((((791-43)*MAX('Inputs'!$B$33,'Inputs'!$B$29+'Inputs'!$B$31+'Inputs'!$B$32,'Inputs'!$B$30+'Inputs'!$B$31+'Inputs'!$B$32)/1000+'Inputs'!$B$21+'Inputs'!$B$9+'Inputs'!$B$10)+'Inputs'!$B$7)^2+('Inputs'!$B$6/2)^2)-(((791-43)*MAX('Inputs'!$B$33,'Inputs'!$B$29+'Inputs'!$B$31+'Inputs'!$B$32,'Inputs'!$B$30+'Inputs'!$B$31+'Inputs'!$B$32)/1000+'Inputs'!$B$21+'Inputs'!$B$9+'Inputs'!$B$10))/SQRT((((791-43)*MAX('Inputs'!$B$33,'Inputs'!$B$29+'Inputs'!$B$31+'Inputs'!$B$32,'Inputs'!$B$30+'Inputs'!$B$31+'Inputs'!$B$32)/1000+'Inputs'!$B$21+'Inputs'!$B$9+'Inputs'!$B$10))^2+('Inputs'!$B$6/2)^2))))*'Results'!$B$8),"")</x:f>
        <x:v>0.9241968835042523</x:v>
      </x:c>
      <x:c r="N791" t="n">
        <x:f>IF(AND(ISNUMBER('Results'!C7),ISNUMBER('Results'!B7),ISNUMBER('Results'!$B$8),ISNUMBER('Inputs'!$B$6),ISNUMBER('Inputs'!$B$7),ISNUMBER('Inputs'!$B$8),ISNUMBER('Inputs'!$B$9),ISNUMBER('Inputs'!$B$10),ISNUMBER('Inputs'!$B$21),ISNUMBER('Inputs'!$B$24),ISNUMBER('Inputs'!$B$28)),((('Results'!C7*(1-'Inputs'!$B$24)*(0.5*((((791-43)*MAX('Inputs'!$B$33,'Inputs'!$B$29+'Inputs'!$B$31+'Inputs'!$B$32,'Inputs'!$B$30+'Inputs'!$B$31+'Inputs'!$B$32)/1000+'Inputs'!$B$21)+'Inputs'!$B$9)/SQRT((((791-43)*MAX('Inputs'!$B$33,'Inputs'!$B$29+'Inputs'!$B$31+'Inputs'!$B$32,'Inputs'!$B$30+'Inputs'!$B$31+'Inputs'!$B$32)/1000+'Inputs'!$B$21)+'Inputs'!$B$9)^2+('Inputs'!$B$8/2)^2)-(((791-43)*MAX('Inputs'!$B$33,'Inputs'!$B$29+'Inputs'!$B$31+'Inputs'!$B$32,'Inputs'!$B$30+'Inputs'!$B$31+'Inputs'!$B$32)/1000+'Inputs'!$B$21))/SQRT((((791-43)*MAX('Inputs'!$B$33,'Inputs'!$B$29+'Inputs'!$B$31+'Inputs'!$B$32,'Inputs'!$B$30+'Inputs'!$B$31+'Inputs'!$B$32)/1000+'Inputs'!$B$21))^2+('Inputs'!$B$8/2)^2)))-'Results'!B7*(1+'Inputs'!$B$24)*(0.5*((((791-43)*MAX('Inputs'!$B$33,'Inputs'!$B$29+'Inputs'!$B$31+'Inputs'!$B$32,'Inputs'!$B$30+'Inputs'!$B$31+'Inputs'!$B$32)/1000+'Inputs'!$B$21+'Inputs'!$B$9+'Inputs'!$B$10)+'Inputs'!$B$7)/SQRT((((791-43)*MAX('Inputs'!$B$33,'Inputs'!$B$29+'Inputs'!$B$31+'Inputs'!$B$32,'Inputs'!$B$30+'Inputs'!$B$31+'Inputs'!$B$32)/1000+'Inputs'!$B$21+'Inputs'!$B$9+'Inputs'!$B$10)+'Inputs'!$B$7)^2+('Inputs'!$B$6/2)^2)-(((791-43)*MAX('Inputs'!$B$33,'Inputs'!$B$29+'Inputs'!$B$31+'Inputs'!$B$32,'Inputs'!$B$30+'Inputs'!$B$31+'Inputs'!$B$32)/1000+'Inputs'!$B$21+'Inputs'!$B$9+'Inputs'!$B$10))/SQRT((((791-43)*MAX('Inputs'!$B$33,'Inputs'!$B$29+'Inputs'!$B$31+'Inputs'!$B$32,'Inputs'!$B$30+'Inputs'!$B$31+'Inputs'!$B$32)/1000+'Inputs'!$B$21+'Inputs'!$B$9+'Inputs'!$B$10))^2+('Inputs'!$B$6/2)^2))))*'Results'!$B$8)-'Inputs'!$B$28*ABS((('Results'!C7*(1-'Inputs'!$B$24)*(0.5*((((791-43)*MAX('Inputs'!$B$33,'Inputs'!$B$29+'Inputs'!$B$31+'Inputs'!$B$32,'Inputs'!$B$30+'Inputs'!$B$31+'Inputs'!$B$32)/1000+'Inputs'!$B$21)+'Inputs'!$B$9)/SQRT((((791-43)*MAX('Inputs'!$B$33,'Inputs'!$B$29+'Inputs'!$B$31+'Inputs'!$B$32,'Inputs'!$B$30+'Inputs'!$B$31+'Inputs'!$B$32)/1000+'Inputs'!$B$21)+'Inputs'!$B$9)^2+('Inputs'!$B$8/2)^2)-(((791-43)*MAX('Inputs'!$B$33,'Inputs'!$B$29+'Inputs'!$B$31+'Inputs'!$B$32,'Inputs'!$B$30+'Inputs'!$B$31+'Inputs'!$B$32)/1000+'Inputs'!$B$21))/SQRT((((791-43)*MAX('Inputs'!$B$33,'Inputs'!$B$29+'Inputs'!$B$31+'Inputs'!$B$32,'Inputs'!$B$30+'Inputs'!$B$31+'Inputs'!$B$32)/1000+'Inputs'!$B$21))^2+('Inputs'!$B$8/2)^2)))-'Results'!B7*(1+'Inputs'!$B$24)*(0.5*((((791-43)*MAX('Inputs'!$B$33,'Inputs'!$B$29+'Inputs'!$B$31+'Inputs'!$B$32,'Inputs'!$B$30+'Inputs'!$B$31+'Inputs'!$B$32)/1000+'Inputs'!$B$21+'Inputs'!$B$9+'Inputs'!$B$10)+'Inputs'!$B$7)/SQRT((((791-43)*MAX('Inputs'!$B$33,'Inputs'!$B$29+'Inputs'!$B$31+'Inputs'!$B$32,'Inputs'!$B$30+'Inputs'!$B$31+'Inputs'!$B$32)/1000+'Inputs'!$B$21+'Inputs'!$B$9+'Inputs'!$B$10)+'Inputs'!$B$7)^2+('Inputs'!$B$6/2)^2)-(((791-43)*MAX('Inputs'!$B$33,'Inputs'!$B$29+'Inputs'!$B$31+'Inputs'!$B$32,'Inputs'!$B$30+'Inputs'!$B$31+'Inputs'!$B$32)/1000+'Inputs'!$B$21+'Inputs'!$B$9+'Inputs'!$B$10))/SQRT((((791-43)*MAX('Inputs'!$B$33,'Inputs'!$B$29+'Inputs'!$B$31+'Inputs'!$B$32,'Inputs'!$B$30+'Inputs'!$B$31+'Inputs'!$B$32)/1000+'Inputs'!$B$21+'Inputs'!$B$9+'Inputs'!$B$10))^2+('Inputs'!$B$6/2)^2))))*'Results'!$B$8))),"")</x:f>
        <x:v>0.7876728783850119</x:v>
      </x:c>
      <x:c r="O791" t="n">
        <x:f>IF(AND(ISNUMBER('Results'!C7),ISNUMBER('Results'!B7),ISNUMBER('Results'!$B$8),ISNUMBER('Inputs'!$B$6),ISNUMBER('Inputs'!$B$7),ISNUMBER('Inputs'!$B$8),ISNUMBER('Inputs'!$B$9),ISNUMBER('Inputs'!$B$10),ISNUMBER('Inputs'!$B$21),ISNUMBER('Inputs'!$B$24),ISNUMBER('Inputs'!$B$28)),((('Results'!C7*(1+'Inputs'!$B$24)*(0.5*((((791-43)*MAX('Inputs'!$B$33,'Inputs'!$B$29+'Inputs'!$B$31+'Inputs'!$B$32,'Inputs'!$B$30+'Inputs'!$B$31+'Inputs'!$B$32)/1000+'Inputs'!$B$21)+'Inputs'!$B$9)/SQRT((((791-43)*MAX('Inputs'!$B$33,'Inputs'!$B$29+'Inputs'!$B$31+'Inputs'!$B$32,'Inputs'!$B$30+'Inputs'!$B$31+'Inputs'!$B$32)/1000+'Inputs'!$B$21)+'Inputs'!$B$9)^2+('Inputs'!$B$8/2)^2)-(((791-43)*MAX('Inputs'!$B$33,'Inputs'!$B$29+'Inputs'!$B$31+'Inputs'!$B$32,'Inputs'!$B$30+'Inputs'!$B$31+'Inputs'!$B$32)/1000+'Inputs'!$B$21))/SQRT((((791-43)*MAX('Inputs'!$B$33,'Inputs'!$B$29+'Inputs'!$B$31+'Inputs'!$B$32,'Inputs'!$B$30+'Inputs'!$B$31+'Inputs'!$B$32)/1000+'Inputs'!$B$21))^2+('Inputs'!$B$8/2)^2)))-'Results'!B7*(1-'Inputs'!$B$24)*(0.5*((((791-43)*MAX('Inputs'!$B$33,'Inputs'!$B$29+'Inputs'!$B$31+'Inputs'!$B$32,'Inputs'!$B$30+'Inputs'!$B$31+'Inputs'!$B$32)/1000+'Inputs'!$B$21+'Inputs'!$B$9+'Inputs'!$B$10)+'Inputs'!$B$7)/SQRT((((791-43)*MAX('Inputs'!$B$33,'Inputs'!$B$29+'Inputs'!$B$31+'Inputs'!$B$32,'Inputs'!$B$30+'Inputs'!$B$31+'Inputs'!$B$32)/1000+'Inputs'!$B$21+'Inputs'!$B$9+'Inputs'!$B$10)+'Inputs'!$B$7)^2+('Inputs'!$B$6/2)^2)-(((791-43)*MAX('Inputs'!$B$33,'Inputs'!$B$29+'Inputs'!$B$31+'Inputs'!$B$32,'Inputs'!$B$30+'Inputs'!$B$31+'Inputs'!$B$32)/1000+'Inputs'!$B$21+'Inputs'!$B$9+'Inputs'!$B$10))/SQRT((((791-43)*MAX('Inputs'!$B$33,'Inputs'!$B$29+'Inputs'!$B$31+'Inputs'!$B$32,'Inputs'!$B$30+'Inputs'!$B$31+'Inputs'!$B$32)/1000+'Inputs'!$B$21+'Inputs'!$B$9+'Inputs'!$B$10))^2+('Inputs'!$B$6/2)^2))))*'Results'!$B$8)+'Inputs'!$B$28*ABS((('Results'!C7*(1+'Inputs'!$B$24)*(0.5*((((791-43)*MAX('Inputs'!$B$33,'Inputs'!$B$29+'Inputs'!$B$31+'Inputs'!$B$32,'Inputs'!$B$30+'Inputs'!$B$31+'Inputs'!$B$32)/1000+'Inputs'!$B$21)+'Inputs'!$B$9)/SQRT((((791-43)*MAX('Inputs'!$B$33,'Inputs'!$B$29+'Inputs'!$B$31+'Inputs'!$B$32,'Inputs'!$B$30+'Inputs'!$B$31+'Inputs'!$B$32)/1000+'Inputs'!$B$21)+'Inputs'!$B$9)^2+('Inputs'!$B$8/2)^2)-(((791-43)*MAX('Inputs'!$B$33,'Inputs'!$B$29+'Inputs'!$B$31+'Inputs'!$B$32,'Inputs'!$B$30+'Inputs'!$B$31+'Inputs'!$B$32)/1000+'Inputs'!$B$21))/SQRT((((791-43)*MAX('Inputs'!$B$33,'Inputs'!$B$29+'Inputs'!$B$31+'Inputs'!$B$32,'Inputs'!$B$30+'Inputs'!$B$31+'Inputs'!$B$32)/1000+'Inputs'!$B$21))^2+('Inputs'!$B$8/2)^2)))-'Results'!B7*(1-'Inputs'!$B$24)*(0.5*((((791-43)*MAX('Inputs'!$B$33,'Inputs'!$B$29+'Inputs'!$B$31+'Inputs'!$B$32,'Inputs'!$B$30+'Inputs'!$B$31+'Inputs'!$B$32)/1000+'Inputs'!$B$21+'Inputs'!$B$9+'Inputs'!$B$10)+'Inputs'!$B$7)/SQRT((((791-43)*MAX('Inputs'!$B$33,'Inputs'!$B$29+'Inputs'!$B$31+'Inputs'!$B$32,'Inputs'!$B$30+'Inputs'!$B$31+'Inputs'!$B$32)/1000+'Inputs'!$B$21+'Inputs'!$B$9+'Inputs'!$B$10)+'Inputs'!$B$7)^2+('Inputs'!$B$6/2)^2)-(((791-43)*MAX('Inputs'!$B$33,'Inputs'!$B$29+'Inputs'!$B$31+'Inputs'!$B$32,'Inputs'!$B$30+'Inputs'!$B$31+'Inputs'!$B$32)/1000+'Inputs'!$B$21+'Inputs'!$B$9+'Inputs'!$B$10))/SQRT((((791-43)*MAX('Inputs'!$B$33,'Inputs'!$B$29+'Inputs'!$B$31+'Inputs'!$B$32,'Inputs'!$B$30+'Inputs'!$B$31+'Inputs'!$B$32)/1000+'Inputs'!$B$21+'Inputs'!$B$9+'Inputs'!$B$10))^2+('Inputs'!$B$6/2)^2))))*'Results'!$B$8))),"")</x:f>
        <x:v>1.0702276424070742</x:v>
      </x:c>
      <x:c r="P791" t="n">
        <x:f>IF(AND(MAX(J791,J790)&gt;0,J791&gt;J790+0.00000001),1,0)</x:f>
        <x:v>0</x:v>
      </x:c>
      <x:c r="Q791" t="n">
        <x:f>IF(AND(MAX(K791,K790)&gt;0,K791&gt;K790+0.00000001),1,0)</x:f>
        <x:v>0</x:v>
      </x:c>
      <x:c r="R791" t="n">
        <x:f>IF(AND(MAX(L791,L790)&gt;0,L791&gt;L790+0.00000001),1,0)</x:f>
        <x:v>0</x:v>
      </x:c>
      <x:c r="S791" t="n">
        <x:f>IF(AND(MAX(M791,M790)&gt;0,M791&gt;M790+0.00000001),1,0)</x:f>
        <x:v>0</x:v>
      </x:c>
      <x:c r="T791" t="n">
        <x:f>IF(AND(MAX(N791,N790)&gt;0,N791&gt;N790+0.00000001),1,0)</x:f>
        <x:v>0</x:v>
      </x:c>
      <x:c r="U791" t="n">
        <x:f>IF(AND(MAX(O791,O790)&gt;0,O791&gt;O790+0.00000001),1,0)</x:f>
        <x:v>0</x:v>
      </x:c>
    </x:row>
    <x:row r="792">
      <x:c r="J792" t="n">
        <x:f>IF(AND(ISNUMBER('Results'!B7),ISNUMBER('Results'!C7),ISNUMBER('Results'!$B$8),ISNUMBER('Inputs'!$B$6),ISNUMBER('Inputs'!$B$7),ISNUMBER('Inputs'!$B$8),ISNUMBER('Inputs'!$B$9),ISNUMBER('Inputs'!$B$10),ISNUMBER('Inputs'!$B$21),ISNUMBER('Inputs'!$B$24),ISNUMBER('Inputs'!$B$28)),(('Results'!B7*(0.5*((((792-43)*MAX('Inputs'!$B$33,'Inputs'!$B$29+'Inputs'!$B$31+'Inputs'!$B$32,'Inputs'!$B$30+'Inputs'!$B$31+'Inputs'!$B$32)/1000+'Inputs'!$B$21)+'Inputs'!$B$7)/SQRT((((792-43)*MAX('Inputs'!$B$33,'Inputs'!$B$29+'Inputs'!$B$31+'Inputs'!$B$32,'Inputs'!$B$30+'Inputs'!$B$31+'Inputs'!$B$32)/1000+'Inputs'!$B$21)+'Inputs'!$B$7)^2+('Inputs'!$B$6/2)^2)-(((792-43)*MAX('Inputs'!$B$33,'Inputs'!$B$29+'Inputs'!$B$31+'Inputs'!$B$32,'Inputs'!$B$30+'Inputs'!$B$31+'Inputs'!$B$32)/1000+'Inputs'!$B$21))/SQRT((((792-43)*MAX('Inputs'!$B$33,'Inputs'!$B$29+'Inputs'!$B$31+'Inputs'!$B$32,'Inputs'!$B$30+'Inputs'!$B$31+'Inputs'!$B$32)/1000+'Inputs'!$B$21))^2+('Inputs'!$B$6/2)^2)))-'Results'!C7*(0.5*((((792-43)*MAX('Inputs'!$B$33,'Inputs'!$B$29+'Inputs'!$B$31+'Inputs'!$B$32,'Inputs'!$B$30+'Inputs'!$B$31+'Inputs'!$B$32)/1000+'Inputs'!$B$21+'Inputs'!$B$7+'Inputs'!$B$10)+'Inputs'!$B$9)/SQRT((((792-43)*MAX('Inputs'!$B$33,'Inputs'!$B$29+'Inputs'!$B$31+'Inputs'!$B$32,'Inputs'!$B$30+'Inputs'!$B$31+'Inputs'!$B$32)/1000+'Inputs'!$B$21+'Inputs'!$B$7+'Inputs'!$B$10)+'Inputs'!$B$9)^2+('Inputs'!$B$8/2)^2)-(((792-43)*MAX('Inputs'!$B$33,'Inputs'!$B$29+'Inputs'!$B$31+'Inputs'!$B$32,'Inputs'!$B$30+'Inputs'!$B$31+'Inputs'!$B$32)/1000+'Inputs'!$B$21+'Inputs'!$B$7+'Inputs'!$B$10))/SQRT((((792-43)*MAX('Inputs'!$B$33,'Inputs'!$B$29+'Inputs'!$B$31+'Inputs'!$B$32,'Inputs'!$B$30+'Inputs'!$B$31+'Inputs'!$B$32)/1000+'Inputs'!$B$21+'Inputs'!$B$7+'Inputs'!$B$10))^2+('Inputs'!$B$8/2)^2))))*'Results'!$B$8),"")</x:f>
        <x:v>1.0155612207978675</x:v>
      </x:c>
      <x:c r="K792" t="n">
        <x:f>IF(AND(ISNUMBER('Results'!B7),ISNUMBER('Results'!C7),ISNUMBER('Results'!$B$8),ISNUMBER('Inputs'!$B$6),ISNUMBER('Inputs'!$B$7),ISNUMBER('Inputs'!$B$8),ISNUMBER('Inputs'!$B$9),ISNUMBER('Inputs'!$B$10),ISNUMBER('Inputs'!$B$21),ISNUMBER('Inputs'!$B$24),ISNUMBER('Inputs'!$B$28)),((('Results'!B7*(1-'Inputs'!$B$24)*(0.5*((((792-43)*MAX('Inputs'!$B$33,'Inputs'!$B$29+'Inputs'!$B$31+'Inputs'!$B$32,'Inputs'!$B$30+'Inputs'!$B$31+'Inputs'!$B$32)/1000+'Inputs'!$B$21)+'Inputs'!$B$7)/SQRT((((792-43)*MAX('Inputs'!$B$33,'Inputs'!$B$29+'Inputs'!$B$31+'Inputs'!$B$32,'Inputs'!$B$30+'Inputs'!$B$31+'Inputs'!$B$32)/1000+'Inputs'!$B$21)+'Inputs'!$B$7)^2+('Inputs'!$B$6/2)^2)-(((792-43)*MAX('Inputs'!$B$33,'Inputs'!$B$29+'Inputs'!$B$31+'Inputs'!$B$32,'Inputs'!$B$30+'Inputs'!$B$31+'Inputs'!$B$32)/1000+'Inputs'!$B$21))/SQRT((((792-43)*MAX('Inputs'!$B$33,'Inputs'!$B$29+'Inputs'!$B$31+'Inputs'!$B$32,'Inputs'!$B$30+'Inputs'!$B$31+'Inputs'!$B$32)/1000+'Inputs'!$B$21))^2+('Inputs'!$B$6/2)^2)))-'Results'!C7*(1+'Inputs'!$B$24)*(0.5*((((792-43)*MAX('Inputs'!$B$33,'Inputs'!$B$29+'Inputs'!$B$31+'Inputs'!$B$32,'Inputs'!$B$30+'Inputs'!$B$31+'Inputs'!$B$32)/1000+'Inputs'!$B$21+'Inputs'!$B$7+'Inputs'!$B$10)+'Inputs'!$B$9)/SQRT((((792-43)*MAX('Inputs'!$B$33,'Inputs'!$B$29+'Inputs'!$B$31+'Inputs'!$B$32,'Inputs'!$B$30+'Inputs'!$B$31+'Inputs'!$B$32)/1000+'Inputs'!$B$21+'Inputs'!$B$7+'Inputs'!$B$10)+'Inputs'!$B$9)^2+('Inputs'!$B$8/2)^2)-(((792-43)*MAX('Inputs'!$B$33,'Inputs'!$B$29+'Inputs'!$B$31+'Inputs'!$B$32,'Inputs'!$B$30+'Inputs'!$B$31+'Inputs'!$B$32)/1000+'Inputs'!$B$21+'Inputs'!$B$7+'Inputs'!$B$10))/SQRT((((792-43)*MAX('Inputs'!$B$33,'Inputs'!$B$29+'Inputs'!$B$31+'Inputs'!$B$32,'Inputs'!$B$30+'Inputs'!$B$31+'Inputs'!$B$32)/1000+'Inputs'!$B$21+'Inputs'!$B$7+'Inputs'!$B$10))^2+('Inputs'!$B$8/2)^2))))*'Results'!$B$8)-'Inputs'!$B$28*ABS((('Results'!B7*(1-'Inputs'!$B$24)*(0.5*((((792-43)*MAX('Inputs'!$B$33,'Inputs'!$B$29+'Inputs'!$B$31+'Inputs'!$B$32,'Inputs'!$B$30+'Inputs'!$B$31+'Inputs'!$B$32)/1000+'Inputs'!$B$21)+'Inputs'!$B$7)/SQRT((((792-43)*MAX('Inputs'!$B$33,'Inputs'!$B$29+'Inputs'!$B$31+'Inputs'!$B$32,'Inputs'!$B$30+'Inputs'!$B$31+'Inputs'!$B$32)/1000+'Inputs'!$B$21)+'Inputs'!$B$7)^2+('Inputs'!$B$6/2)^2)-(((792-43)*MAX('Inputs'!$B$33,'Inputs'!$B$29+'Inputs'!$B$31+'Inputs'!$B$32,'Inputs'!$B$30+'Inputs'!$B$31+'Inputs'!$B$32)/1000+'Inputs'!$B$21))/SQRT((((792-43)*MAX('Inputs'!$B$33,'Inputs'!$B$29+'Inputs'!$B$31+'Inputs'!$B$32,'Inputs'!$B$30+'Inputs'!$B$31+'Inputs'!$B$32)/1000+'Inputs'!$B$21))^2+('Inputs'!$B$6/2)^2)))-'Results'!C7*(1+'Inputs'!$B$24)*(0.5*((((792-43)*MAX('Inputs'!$B$33,'Inputs'!$B$29+'Inputs'!$B$31+'Inputs'!$B$32,'Inputs'!$B$30+'Inputs'!$B$31+'Inputs'!$B$32)/1000+'Inputs'!$B$21+'Inputs'!$B$7+'Inputs'!$B$10)+'Inputs'!$B$9)/SQRT((((792-43)*MAX('Inputs'!$B$33,'Inputs'!$B$29+'Inputs'!$B$31+'Inputs'!$B$32,'Inputs'!$B$30+'Inputs'!$B$31+'Inputs'!$B$32)/1000+'Inputs'!$B$21+'Inputs'!$B$7+'Inputs'!$B$10)+'Inputs'!$B$9)^2+('Inputs'!$B$8/2)^2)-(((792-43)*MAX('Inputs'!$B$33,'Inputs'!$B$29+'Inputs'!$B$31+'Inputs'!$B$32,'Inputs'!$B$30+'Inputs'!$B$31+'Inputs'!$B$32)/1000+'Inputs'!$B$21+'Inputs'!$B$7+'Inputs'!$B$10))/SQRT((((792-43)*MAX('Inputs'!$B$33,'Inputs'!$B$29+'Inputs'!$B$31+'Inputs'!$B$32,'Inputs'!$B$30+'Inputs'!$B$31+'Inputs'!$B$32)/1000+'Inputs'!$B$21+'Inputs'!$B$7+'Inputs'!$B$10))^2+('Inputs'!$B$8/2)^2))))*'Results'!$B$8))),"")</x:f>
        <x:v>0.8744282071614418</x:v>
      </x:c>
      <x:c r="L792" t="n">
        <x:f>IF(AND(ISNUMBER('Results'!B7),ISNUMBER('Results'!C7),ISNUMBER('Results'!$B$8),ISNUMBER('Inputs'!$B$6),ISNUMBER('Inputs'!$B$7),ISNUMBER('Inputs'!$B$8),ISNUMBER('Inputs'!$B$9),ISNUMBER('Inputs'!$B$10),ISNUMBER('Inputs'!$B$21),ISNUMBER('Inputs'!$B$24),ISNUMBER('Inputs'!$B$28)),((('Results'!B7*(1+'Inputs'!$B$24)*(0.5*((((792-43)*MAX('Inputs'!$B$33,'Inputs'!$B$29+'Inputs'!$B$31+'Inputs'!$B$32,'Inputs'!$B$30+'Inputs'!$B$31+'Inputs'!$B$32)/1000+'Inputs'!$B$21)+'Inputs'!$B$7)/SQRT((((792-43)*MAX('Inputs'!$B$33,'Inputs'!$B$29+'Inputs'!$B$31+'Inputs'!$B$32,'Inputs'!$B$30+'Inputs'!$B$31+'Inputs'!$B$32)/1000+'Inputs'!$B$21)+'Inputs'!$B$7)^2+('Inputs'!$B$6/2)^2)-(((792-43)*MAX('Inputs'!$B$33,'Inputs'!$B$29+'Inputs'!$B$31+'Inputs'!$B$32,'Inputs'!$B$30+'Inputs'!$B$31+'Inputs'!$B$32)/1000+'Inputs'!$B$21))/SQRT((((792-43)*MAX('Inputs'!$B$33,'Inputs'!$B$29+'Inputs'!$B$31+'Inputs'!$B$32,'Inputs'!$B$30+'Inputs'!$B$31+'Inputs'!$B$32)/1000+'Inputs'!$B$21))^2+('Inputs'!$B$6/2)^2)))-'Results'!C7*(1-'Inputs'!$B$24)*(0.5*((((792-43)*MAX('Inputs'!$B$33,'Inputs'!$B$29+'Inputs'!$B$31+'Inputs'!$B$32,'Inputs'!$B$30+'Inputs'!$B$31+'Inputs'!$B$32)/1000+'Inputs'!$B$21+'Inputs'!$B$7+'Inputs'!$B$10)+'Inputs'!$B$9)/SQRT((((792-43)*MAX('Inputs'!$B$33,'Inputs'!$B$29+'Inputs'!$B$31+'Inputs'!$B$32,'Inputs'!$B$30+'Inputs'!$B$31+'Inputs'!$B$32)/1000+'Inputs'!$B$21+'Inputs'!$B$7+'Inputs'!$B$10)+'Inputs'!$B$9)^2+('Inputs'!$B$8/2)^2)-(((792-43)*MAX('Inputs'!$B$33,'Inputs'!$B$29+'Inputs'!$B$31+'Inputs'!$B$32,'Inputs'!$B$30+'Inputs'!$B$31+'Inputs'!$B$32)/1000+'Inputs'!$B$21+'Inputs'!$B$7+'Inputs'!$B$10))/SQRT((((792-43)*MAX('Inputs'!$B$33,'Inputs'!$B$29+'Inputs'!$B$31+'Inputs'!$B$32,'Inputs'!$B$30+'Inputs'!$B$31+'Inputs'!$B$32)/1000+'Inputs'!$B$21+'Inputs'!$B$7+'Inputs'!$B$10))^2+('Inputs'!$B$8/2)^2))))*'Results'!$B$8)+'Inputs'!$B$28*ABS((('Results'!B7*(1+'Inputs'!$B$24)*(0.5*((((792-43)*MAX('Inputs'!$B$33,'Inputs'!$B$29+'Inputs'!$B$31+'Inputs'!$B$32,'Inputs'!$B$30+'Inputs'!$B$31+'Inputs'!$B$32)/1000+'Inputs'!$B$21)+'Inputs'!$B$7)/SQRT((((792-43)*MAX('Inputs'!$B$33,'Inputs'!$B$29+'Inputs'!$B$31+'Inputs'!$B$32,'Inputs'!$B$30+'Inputs'!$B$31+'Inputs'!$B$32)/1000+'Inputs'!$B$21)+'Inputs'!$B$7)^2+('Inputs'!$B$6/2)^2)-(((792-43)*MAX('Inputs'!$B$33,'Inputs'!$B$29+'Inputs'!$B$31+'Inputs'!$B$32,'Inputs'!$B$30+'Inputs'!$B$31+'Inputs'!$B$32)/1000+'Inputs'!$B$21))/SQRT((((792-43)*MAX('Inputs'!$B$33,'Inputs'!$B$29+'Inputs'!$B$31+'Inputs'!$B$32,'Inputs'!$B$30+'Inputs'!$B$31+'Inputs'!$B$32)/1000+'Inputs'!$B$21))^2+('Inputs'!$B$6/2)^2)))-'Results'!C7*(1-'Inputs'!$B$24)*(0.5*((((792-43)*MAX('Inputs'!$B$33,'Inputs'!$B$29+'Inputs'!$B$31+'Inputs'!$B$32,'Inputs'!$B$30+'Inputs'!$B$31+'Inputs'!$B$32)/1000+'Inputs'!$B$21+'Inputs'!$B$7+'Inputs'!$B$10)+'Inputs'!$B$9)/SQRT((((792-43)*MAX('Inputs'!$B$33,'Inputs'!$B$29+'Inputs'!$B$31+'Inputs'!$B$32,'Inputs'!$B$30+'Inputs'!$B$31+'Inputs'!$B$32)/1000+'Inputs'!$B$21+'Inputs'!$B$7+'Inputs'!$B$10)+'Inputs'!$B$9)^2+('Inputs'!$B$8/2)^2)-(((792-43)*MAX('Inputs'!$B$33,'Inputs'!$B$29+'Inputs'!$B$31+'Inputs'!$B$32,'Inputs'!$B$30+'Inputs'!$B$31+'Inputs'!$B$32)/1000+'Inputs'!$B$21+'Inputs'!$B$7+'Inputs'!$B$10))/SQRT((((792-43)*MAX('Inputs'!$B$33,'Inputs'!$B$29+'Inputs'!$B$31+'Inputs'!$B$32,'Inputs'!$B$30+'Inputs'!$B$31+'Inputs'!$B$32)/1000+'Inputs'!$B$21+'Inputs'!$B$7+'Inputs'!$B$10))^2+('Inputs'!$B$8/2)^2))))*'Results'!$B$8))),"")</x:f>
        <x:v>1.1662052820760336</x:v>
      </x:c>
      <x:c r="M792" t="n">
        <x:f>IF(AND(ISNUMBER('Results'!C7),ISNUMBER('Results'!B7),ISNUMBER('Results'!$B$8),ISNUMBER('Inputs'!$B$6),ISNUMBER('Inputs'!$B$7),ISNUMBER('Inputs'!$B$8),ISNUMBER('Inputs'!$B$9),ISNUMBER('Inputs'!$B$10),ISNUMBER('Inputs'!$B$21),ISNUMBER('Inputs'!$B$24),ISNUMBER('Inputs'!$B$28)),(('Results'!C7*(0.5*((((792-43)*MAX('Inputs'!$B$33,'Inputs'!$B$29+'Inputs'!$B$31+'Inputs'!$B$32,'Inputs'!$B$30+'Inputs'!$B$31+'Inputs'!$B$32)/1000+'Inputs'!$B$21)+'Inputs'!$B$9)/SQRT((((792-43)*MAX('Inputs'!$B$33,'Inputs'!$B$29+'Inputs'!$B$31+'Inputs'!$B$32,'Inputs'!$B$30+'Inputs'!$B$31+'Inputs'!$B$32)/1000+'Inputs'!$B$21)+'Inputs'!$B$9)^2+('Inputs'!$B$8/2)^2)-(((792-43)*MAX('Inputs'!$B$33,'Inputs'!$B$29+'Inputs'!$B$31+'Inputs'!$B$32,'Inputs'!$B$30+'Inputs'!$B$31+'Inputs'!$B$32)/1000+'Inputs'!$B$21))/SQRT((((792-43)*MAX('Inputs'!$B$33,'Inputs'!$B$29+'Inputs'!$B$31+'Inputs'!$B$32,'Inputs'!$B$30+'Inputs'!$B$31+'Inputs'!$B$32)/1000+'Inputs'!$B$21))^2+('Inputs'!$B$8/2)^2)))-'Results'!B7*(0.5*((((792-43)*MAX('Inputs'!$B$33,'Inputs'!$B$29+'Inputs'!$B$31+'Inputs'!$B$32,'Inputs'!$B$30+'Inputs'!$B$31+'Inputs'!$B$32)/1000+'Inputs'!$B$21+'Inputs'!$B$9+'Inputs'!$B$10)+'Inputs'!$B$7)/SQRT((((792-43)*MAX('Inputs'!$B$33,'Inputs'!$B$29+'Inputs'!$B$31+'Inputs'!$B$32,'Inputs'!$B$30+'Inputs'!$B$31+'Inputs'!$B$32)/1000+'Inputs'!$B$21+'Inputs'!$B$9+'Inputs'!$B$10)+'Inputs'!$B$7)^2+('Inputs'!$B$6/2)^2)-(((792-43)*MAX('Inputs'!$B$33,'Inputs'!$B$29+'Inputs'!$B$31+'Inputs'!$B$32,'Inputs'!$B$30+'Inputs'!$B$31+'Inputs'!$B$32)/1000+'Inputs'!$B$21+'Inputs'!$B$9+'Inputs'!$B$10))/SQRT((((792-43)*MAX('Inputs'!$B$33,'Inputs'!$B$29+'Inputs'!$B$31+'Inputs'!$B$32,'Inputs'!$B$30+'Inputs'!$B$31+'Inputs'!$B$32)/1000+'Inputs'!$B$21+'Inputs'!$B$9+'Inputs'!$B$10))^2+('Inputs'!$B$6/2)^2))))*'Results'!$B$8),"")</x:f>
        <x:v>0.9196874867069809</x:v>
      </x:c>
      <x:c r="N792" t="n">
        <x:f>IF(AND(ISNUMBER('Results'!C7),ISNUMBER('Results'!B7),ISNUMBER('Results'!$B$8),ISNUMBER('Inputs'!$B$6),ISNUMBER('Inputs'!$B$7),ISNUMBER('Inputs'!$B$8),ISNUMBER('Inputs'!$B$9),ISNUMBER('Inputs'!$B$10),ISNUMBER('Inputs'!$B$21),ISNUMBER('Inputs'!$B$24),ISNUMBER('Inputs'!$B$28)),((('Results'!C7*(1-'Inputs'!$B$24)*(0.5*((((792-43)*MAX('Inputs'!$B$33,'Inputs'!$B$29+'Inputs'!$B$31+'Inputs'!$B$32,'Inputs'!$B$30+'Inputs'!$B$31+'Inputs'!$B$32)/1000+'Inputs'!$B$21)+'Inputs'!$B$9)/SQRT((((792-43)*MAX('Inputs'!$B$33,'Inputs'!$B$29+'Inputs'!$B$31+'Inputs'!$B$32,'Inputs'!$B$30+'Inputs'!$B$31+'Inputs'!$B$32)/1000+'Inputs'!$B$21)+'Inputs'!$B$9)^2+('Inputs'!$B$8/2)^2)-(((792-43)*MAX('Inputs'!$B$33,'Inputs'!$B$29+'Inputs'!$B$31+'Inputs'!$B$32,'Inputs'!$B$30+'Inputs'!$B$31+'Inputs'!$B$32)/1000+'Inputs'!$B$21))/SQRT((((792-43)*MAX('Inputs'!$B$33,'Inputs'!$B$29+'Inputs'!$B$31+'Inputs'!$B$32,'Inputs'!$B$30+'Inputs'!$B$31+'Inputs'!$B$32)/1000+'Inputs'!$B$21))^2+('Inputs'!$B$8/2)^2)))-'Results'!B7*(1+'Inputs'!$B$24)*(0.5*((((792-43)*MAX('Inputs'!$B$33,'Inputs'!$B$29+'Inputs'!$B$31+'Inputs'!$B$32,'Inputs'!$B$30+'Inputs'!$B$31+'Inputs'!$B$32)/1000+'Inputs'!$B$21+'Inputs'!$B$9+'Inputs'!$B$10)+'Inputs'!$B$7)/SQRT((((792-43)*MAX('Inputs'!$B$33,'Inputs'!$B$29+'Inputs'!$B$31+'Inputs'!$B$32,'Inputs'!$B$30+'Inputs'!$B$31+'Inputs'!$B$32)/1000+'Inputs'!$B$21+'Inputs'!$B$9+'Inputs'!$B$10)+'Inputs'!$B$7)^2+('Inputs'!$B$6/2)^2)-(((792-43)*MAX('Inputs'!$B$33,'Inputs'!$B$29+'Inputs'!$B$31+'Inputs'!$B$32,'Inputs'!$B$30+'Inputs'!$B$31+'Inputs'!$B$32)/1000+'Inputs'!$B$21+'Inputs'!$B$9+'Inputs'!$B$10))/SQRT((((792-43)*MAX('Inputs'!$B$33,'Inputs'!$B$29+'Inputs'!$B$31+'Inputs'!$B$32,'Inputs'!$B$30+'Inputs'!$B$31+'Inputs'!$B$32)/1000+'Inputs'!$B$21+'Inputs'!$B$9+'Inputs'!$B$10))^2+('Inputs'!$B$6/2)^2))))*'Results'!$B$8)-'Inputs'!$B$28*ABS((('Results'!C7*(1-'Inputs'!$B$24)*(0.5*((((792-43)*MAX('Inputs'!$B$33,'Inputs'!$B$29+'Inputs'!$B$31+'Inputs'!$B$32,'Inputs'!$B$30+'Inputs'!$B$31+'Inputs'!$B$32)/1000+'Inputs'!$B$21)+'Inputs'!$B$9)/SQRT((((792-43)*MAX('Inputs'!$B$33,'Inputs'!$B$29+'Inputs'!$B$31+'Inputs'!$B$32,'Inputs'!$B$30+'Inputs'!$B$31+'Inputs'!$B$32)/1000+'Inputs'!$B$21)+'Inputs'!$B$9)^2+('Inputs'!$B$8/2)^2)-(((792-43)*MAX('Inputs'!$B$33,'Inputs'!$B$29+'Inputs'!$B$31+'Inputs'!$B$32,'Inputs'!$B$30+'Inputs'!$B$31+'Inputs'!$B$32)/1000+'Inputs'!$B$21))/SQRT((((792-43)*MAX('Inputs'!$B$33,'Inputs'!$B$29+'Inputs'!$B$31+'Inputs'!$B$32,'Inputs'!$B$30+'Inputs'!$B$31+'Inputs'!$B$32)/1000+'Inputs'!$B$21))^2+('Inputs'!$B$8/2)^2)))-'Results'!B7*(1+'Inputs'!$B$24)*(0.5*((((792-43)*MAX('Inputs'!$B$33,'Inputs'!$B$29+'Inputs'!$B$31+'Inputs'!$B$32,'Inputs'!$B$30+'Inputs'!$B$31+'Inputs'!$B$32)/1000+'Inputs'!$B$21+'Inputs'!$B$9+'Inputs'!$B$10)+'Inputs'!$B$7)/SQRT((((792-43)*MAX('Inputs'!$B$33,'Inputs'!$B$29+'Inputs'!$B$31+'Inputs'!$B$32,'Inputs'!$B$30+'Inputs'!$B$31+'Inputs'!$B$32)/1000+'Inputs'!$B$21+'Inputs'!$B$9+'Inputs'!$B$10)+'Inputs'!$B$7)^2+('Inputs'!$B$6/2)^2)-(((792-43)*MAX('Inputs'!$B$33,'Inputs'!$B$29+'Inputs'!$B$31+'Inputs'!$B$32,'Inputs'!$B$30+'Inputs'!$B$31+'Inputs'!$B$32)/1000+'Inputs'!$B$21+'Inputs'!$B$9+'Inputs'!$B$10))/SQRT((((792-43)*MAX('Inputs'!$B$33,'Inputs'!$B$29+'Inputs'!$B$31+'Inputs'!$B$32,'Inputs'!$B$30+'Inputs'!$B$31+'Inputs'!$B$32)/1000+'Inputs'!$B$21+'Inputs'!$B$9+'Inputs'!$B$10))^2+('Inputs'!$B$6/2)^2))))*'Results'!$B$8))),"")</x:f>
        <x:v>0.7837195711432066</x:v>
      </x:c>
      <x:c r="O792" t="n">
        <x:f>IF(AND(ISNUMBER('Results'!C7),ISNUMBER('Results'!B7),ISNUMBER('Results'!$B$8),ISNUMBER('Inputs'!$B$6),ISNUMBER('Inputs'!$B$7),ISNUMBER('Inputs'!$B$8),ISNUMBER('Inputs'!$B$9),ISNUMBER('Inputs'!$B$10),ISNUMBER('Inputs'!$B$21),ISNUMBER('Inputs'!$B$24),ISNUMBER('Inputs'!$B$28)),((('Results'!C7*(1+'Inputs'!$B$24)*(0.5*((((792-43)*MAX('Inputs'!$B$33,'Inputs'!$B$29+'Inputs'!$B$31+'Inputs'!$B$32,'Inputs'!$B$30+'Inputs'!$B$31+'Inputs'!$B$32)/1000+'Inputs'!$B$21)+'Inputs'!$B$9)/SQRT((((792-43)*MAX('Inputs'!$B$33,'Inputs'!$B$29+'Inputs'!$B$31+'Inputs'!$B$32,'Inputs'!$B$30+'Inputs'!$B$31+'Inputs'!$B$32)/1000+'Inputs'!$B$21)+'Inputs'!$B$9)^2+('Inputs'!$B$8/2)^2)-(((792-43)*MAX('Inputs'!$B$33,'Inputs'!$B$29+'Inputs'!$B$31+'Inputs'!$B$32,'Inputs'!$B$30+'Inputs'!$B$31+'Inputs'!$B$32)/1000+'Inputs'!$B$21))/SQRT((((792-43)*MAX('Inputs'!$B$33,'Inputs'!$B$29+'Inputs'!$B$31+'Inputs'!$B$32,'Inputs'!$B$30+'Inputs'!$B$31+'Inputs'!$B$32)/1000+'Inputs'!$B$21))^2+('Inputs'!$B$8/2)^2)))-'Results'!B7*(1-'Inputs'!$B$24)*(0.5*((((792-43)*MAX('Inputs'!$B$33,'Inputs'!$B$29+'Inputs'!$B$31+'Inputs'!$B$32,'Inputs'!$B$30+'Inputs'!$B$31+'Inputs'!$B$32)/1000+'Inputs'!$B$21+'Inputs'!$B$9+'Inputs'!$B$10)+'Inputs'!$B$7)/SQRT((((792-43)*MAX('Inputs'!$B$33,'Inputs'!$B$29+'Inputs'!$B$31+'Inputs'!$B$32,'Inputs'!$B$30+'Inputs'!$B$31+'Inputs'!$B$32)/1000+'Inputs'!$B$21+'Inputs'!$B$9+'Inputs'!$B$10)+'Inputs'!$B$7)^2+('Inputs'!$B$6/2)^2)-(((792-43)*MAX('Inputs'!$B$33,'Inputs'!$B$29+'Inputs'!$B$31+'Inputs'!$B$32,'Inputs'!$B$30+'Inputs'!$B$31+'Inputs'!$B$32)/1000+'Inputs'!$B$21+'Inputs'!$B$9+'Inputs'!$B$10))/SQRT((((792-43)*MAX('Inputs'!$B$33,'Inputs'!$B$29+'Inputs'!$B$31+'Inputs'!$B$32,'Inputs'!$B$30+'Inputs'!$B$31+'Inputs'!$B$32)/1000+'Inputs'!$B$21+'Inputs'!$B$9+'Inputs'!$B$10))^2+('Inputs'!$B$6/2)^2))))*'Results'!$B$8)+'Inputs'!$B$28*ABS((('Results'!C7*(1+'Inputs'!$B$24)*(0.5*((((792-43)*MAX('Inputs'!$B$33,'Inputs'!$B$29+'Inputs'!$B$31+'Inputs'!$B$32,'Inputs'!$B$30+'Inputs'!$B$31+'Inputs'!$B$32)/1000+'Inputs'!$B$21)+'Inputs'!$B$9)/SQRT((((792-43)*MAX('Inputs'!$B$33,'Inputs'!$B$29+'Inputs'!$B$31+'Inputs'!$B$32,'Inputs'!$B$30+'Inputs'!$B$31+'Inputs'!$B$32)/1000+'Inputs'!$B$21)+'Inputs'!$B$9)^2+('Inputs'!$B$8/2)^2)-(((792-43)*MAX('Inputs'!$B$33,'Inputs'!$B$29+'Inputs'!$B$31+'Inputs'!$B$32,'Inputs'!$B$30+'Inputs'!$B$31+'Inputs'!$B$32)/1000+'Inputs'!$B$21))/SQRT((((792-43)*MAX('Inputs'!$B$33,'Inputs'!$B$29+'Inputs'!$B$31+'Inputs'!$B$32,'Inputs'!$B$30+'Inputs'!$B$31+'Inputs'!$B$32)/1000+'Inputs'!$B$21))^2+('Inputs'!$B$8/2)^2)))-'Results'!B7*(1-'Inputs'!$B$24)*(0.5*((((792-43)*MAX('Inputs'!$B$33,'Inputs'!$B$29+'Inputs'!$B$31+'Inputs'!$B$32,'Inputs'!$B$30+'Inputs'!$B$31+'Inputs'!$B$32)/1000+'Inputs'!$B$21+'Inputs'!$B$9+'Inputs'!$B$10)+'Inputs'!$B$7)/SQRT((((792-43)*MAX('Inputs'!$B$33,'Inputs'!$B$29+'Inputs'!$B$31+'Inputs'!$B$32,'Inputs'!$B$30+'Inputs'!$B$31+'Inputs'!$B$32)/1000+'Inputs'!$B$21+'Inputs'!$B$9+'Inputs'!$B$10)+'Inputs'!$B$7)^2+('Inputs'!$B$6/2)^2)-(((792-43)*MAX('Inputs'!$B$33,'Inputs'!$B$29+'Inputs'!$B$31+'Inputs'!$B$32,'Inputs'!$B$30+'Inputs'!$B$31+'Inputs'!$B$32)/1000+'Inputs'!$B$21+'Inputs'!$B$9+'Inputs'!$B$10))/SQRT((((792-43)*MAX('Inputs'!$B$33,'Inputs'!$B$29+'Inputs'!$B$31+'Inputs'!$B$32,'Inputs'!$B$30+'Inputs'!$B$31+'Inputs'!$B$32)/1000+'Inputs'!$B$21+'Inputs'!$B$9+'Inputs'!$B$10))^2+('Inputs'!$B$6/2)^2))))*'Results'!$B$8))),"")</x:f>
        <x:v>1.065127353979011</x:v>
      </x:c>
      <x:c r="P792" t="n">
        <x:f>IF(AND(MAX(J792,J791)&gt;0,J792&gt;J791+0.00000001),1,0)</x:f>
        <x:v>0</x:v>
      </x:c>
      <x:c r="Q792" t="n">
        <x:f>IF(AND(MAX(K792,K791)&gt;0,K792&gt;K791+0.00000001),1,0)</x:f>
        <x:v>0</x:v>
      </x:c>
      <x:c r="R792" t="n">
        <x:f>IF(AND(MAX(L792,L791)&gt;0,L792&gt;L791+0.00000001),1,0)</x:f>
        <x:v>0</x:v>
      </x:c>
      <x:c r="S792" t="n">
        <x:f>IF(AND(MAX(M792,M791)&gt;0,M792&gt;M791+0.00000001),1,0)</x:f>
        <x:v>0</x:v>
      </x:c>
      <x:c r="T792" t="n">
        <x:f>IF(AND(MAX(N792,N791)&gt;0,N792&gt;N791+0.00000001),1,0)</x:f>
        <x:v>0</x:v>
      </x:c>
      <x:c r="U792" t="n">
        <x:f>IF(AND(MAX(O792,O791)&gt;0,O792&gt;O791+0.00000001),1,0)</x:f>
        <x:v>0</x:v>
      </x:c>
    </x:row>
    <x:row r="793">
      <x:c r="J793" t="n">
        <x:f>IF(AND(ISNUMBER('Results'!B7),ISNUMBER('Results'!C7),ISNUMBER('Results'!$B$8),ISNUMBER('Inputs'!$B$6),ISNUMBER('Inputs'!$B$7),ISNUMBER('Inputs'!$B$8),ISNUMBER('Inputs'!$B$9),ISNUMBER('Inputs'!$B$10),ISNUMBER('Inputs'!$B$21),ISNUMBER('Inputs'!$B$24),ISNUMBER('Inputs'!$B$28)),(('Results'!B7*(0.5*((((793-43)*MAX('Inputs'!$B$33,'Inputs'!$B$29+'Inputs'!$B$31+'Inputs'!$B$32,'Inputs'!$B$30+'Inputs'!$B$31+'Inputs'!$B$32)/1000+'Inputs'!$B$21)+'Inputs'!$B$7)/SQRT((((793-43)*MAX('Inputs'!$B$33,'Inputs'!$B$29+'Inputs'!$B$31+'Inputs'!$B$32,'Inputs'!$B$30+'Inputs'!$B$31+'Inputs'!$B$32)/1000+'Inputs'!$B$21)+'Inputs'!$B$7)^2+('Inputs'!$B$6/2)^2)-(((793-43)*MAX('Inputs'!$B$33,'Inputs'!$B$29+'Inputs'!$B$31+'Inputs'!$B$32,'Inputs'!$B$30+'Inputs'!$B$31+'Inputs'!$B$32)/1000+'Inputs'!$B$21))/SQRT((((793-43)*MAX('Inputs'!$B$33,'Inputs'!$B$29+'Inputs'!$B$31+'Inputs'!$B$32,'Inputs'!$B$30+'Inputs'!$B$31+'Inputs'!$B$32)/1000+'Inputs'!$B$21))^2+('Inputs'!$B$6/2)^2)))-'Results'!C7*(0.5*((((793-43)*MAX('Inputs'!$B$33,'Inputs'!$B$29+'Inputs'!$B$31+'Inputs'!$B$32,'Inputs'!$B$30+'Inputs'!$B$31+'Inputs'!$B$32)/1000+'Inputs'!$B$21+'Inputs'!$B$7+'Inputs'!$B$10)+'Inputs'!$B$9)/SQRT((((793-43)*MAX('Inputs'!$B$33,'Inputs'!$B$29+'Inputs'!$B$31+'Inputs'!$B$32,'Inputs'!$B$30+'Inputs'!$B$31+'Inputs'!$B$32)/1000+'Inputs'!$B$21+'Inputs'!$B$7+'Inputs'!$B$10)+'Inputs'!$B$9)^2+('Inputs'!$B$8/2)^2)-(((793-43)*MAX('Inputs'!$B$33,'Inputs'!$B$29+'Inputs'!$B$31+'Inputs'!$B$32,'Inputs'!$B$30+'Inputs'!$B$31+'Inputs'!$B$32)/1000+'Inputs'!$B$21+'Inputs'!$B$7+'Inputs'!$B$10))/SQRT((((793-43)*MAX('Inputs'!$B$33,'Inputs'!$B$29+'Inputs'!$B$31+'Inputs'!$B$32,'Inputs'!$B$30+'Inputs'!$B$31+'Inputs'!$B$32)/1000+'Inputs'!$B$21+'Inputs'!$B$7+'Inputs'!$B$10))^2+('Inputs'!$B$8/2)^2))))*'Results'!$B$8),"")</x:f>
        <x:v>1.0107283658110697</x:v>
      </x:c>
      <x:c r="K793" t="n">
        <x:f>IF(AND(ISNUMBER('Results'!B7),ISNUMBER('Results'!C7),ISNUMBER('Results'!$B$8),ISNUMBER('Inputs'!$B$6),ISNUMBER('Inputs'!$B$7),ISNUMBER('Inputs'!$B$8),ISNUMBER('Inputs'!$B$9),ISNUMBER('Inputs'!$B$10),ISNUMBER('Inputs'!$B$21),ISNUMBER('Inputs'!$B$24),ISNUMBER('Inputs'!$B$28)),((('Results'!B7*(1-'Inputs'!$B$24)*(0.5*((((793-43)*MAX('Inputs'!$B$33,'Inputs'!$B$29+'Inputs'!$B$31+'Inputs'!$B$32,'Inputs'!$B$30+'Inputs'!$B$31+'Inputs'!$B$32)/1000+'Inputs'!$B$21)+'Inputs'!$B$7)/SQRT((((793-43)*MAX('Inputs'!$B$33,'Inputs'!$B$29+'Inputs'!$B$31+'Inputs'!$B$32,'Inputs'!$B$30+'Inputs'!$B$31+'Inputs'!$B$32)/1000+'Inputs'!$B$21)+'Inputs'!$B$7)^2+('Inputs'!$B$6/2)^2)-(((793-43)*MAX('Inputs'!$B$33,'Inputs'!$B$29+'Inputs'!$B$31+'Inputs'!$B$32,'Inputs'!$B$30+'Inputs'!$B$31+'Inputs'!$B$32)/1000+'Inputs'!$B$21))/SQRT((((793-43)*MAX('Inputs'!$B$33,'Inputs'!$B$29+'Inputs'!$B$31+'Inputs'!$B$32,'Inputs'!$B$30+'Inputs'!$B$31+'Inputs'!$B$32)/1000+'Inputs'!$B$21))^2+('Inputs'!$B$6/2)^2)))-'Results'!C7*(1+'Inputs'!$B$24)*(0.5*((((793-43)*MAX('Inputs'!$B$33,'Inputs'!$B$29+'Inputs'!$B$31+'Inputs'!$B$32,'Inputs'!$B$30+'Inputs'!$B$31+'Inputs'!$B$32)/1000+'Inputs'!$B$21+'Inputs'!$B$7+'Inputs'!$B$10)+'Inputs'!$B$9)/SQRT((((793-43)*MAX('Inputs'!$B$33,'Inputs'!$B$29+'Inputs'!$B$31+'Inputs'!$B$32,'Inputs'!$B$30+'Inputs'!$B$31+'Inputs'!$B$32)/1000+'Inputs'!$B$21+'Inputs'!$B$7+'Inputs'!$B$10)+'Inputs'!$B$9)^2+('Inputs'!$B$8/2)^2)-(((793-43)*MAX('Inputs'!$B$33,'Inputs'!$B$29+'Inputs'!$B$31+'Inputs'!$B$32,'Inputs'!$B$30+'Inputs'!$B$31+'Inputs'!$B$32)/1000+'Inputs'!$B$21+'Inputs'!$B$7+'Inputs'!$B$10))/SQRT((((793-43)*MAX('Inputs'!$B$33,'Inputs'!$B$29+'Inputs'!$B$31+'Inputs'!$B$32,'Inputs'!$B$30+'Inputs'!$B$31+'Inputs'!$B$32)/1000+'Inputs'!$B$21+'Inputs'!$B$7+'Inputs'!$B$10))^2+('Inputs'!$B$8/2)^2))))*'Results'!$B$8)-'Inputs'!$B$28*ABS((('Results'!B7*(1-'Inputs'!$B$24)*(0.5*((((793-43)*MAX('Inputs'!$B$33,'Inputs'!$B$29+'Inputs'!$B$31+'Inputs'!$B$32,'Inputs'!$B$30+'Inputs'!$B$31+'Inputs'!$B$32)/1000+'Inputs'!$B$21)+'Inputs'!$B$7)/SQRT((((793-43)*MAX('Inputs'!$B$33,'Inputs'!$B$29+'Inputs'!$B$31+'Inputs'!$B$32,'Inputs'!$B$30+'Inputs'!$B$31+'Inputs'!$B$32)/1000+'Inputs'!$B$21)+'Inputs'!$B$7)^2+('Inputs'!$B$6/2)^2)-(((793-43)*MAX('Inputs'!$B$33,'Inputs'!$B$29+'Inputs'!$B$31+'Inputs'!$B$32,'Inputs'!$B$30+'Inputs'!$B$31+'Inputs'!$B$32)/1000+'Inputs'!$B$21))/SQRT((((793-43)*MAX('Inputs'!$B$33,'Inputs'!$B$29+'Inputs'!$B$31+'Inputs'!$B$32,'Inputs'!$B$30+'Inputs'!$B$31+'Inputs'!$B$32)/1000+'Inputs'!$B$21))^2+('Inputs'!$B$6/2)^2)))-'Results'!C7*(1+'Inputs'!$B$24)*(0.5*((((793-43)*MAX('Inputs'!$B$33,'Inputs'!$B$29+'Inputs'!$B$31+'Inputs'!$B$32,'Inputs'!$B$30+'Inputs'!$B$31+'Inputs'!$B$32)/1000+'Inputs'!$B$21+'Inputs'!$B$7+'Inputs'!$B$10)+'Inputs'!$B$9)/SQRT((((793-43)*MAX('Inputs'!$B$33,'Inputs'!$B$29+'Inputs'!$B$31+'Inputs'!$B$32,'Inputs'!$B$30+'Inputs'!$B$31+'Inputs'!$B$32)/1000+'Inputs'!$B$21+'Inputs'!$B$7+'Inputs'!$B$10)+'Inputs'!$B$9)^2+('Inputs'!$B$8/2)^2)-(((793-43)*MAX('Inputs'!$B$33,'Inputs'!$B$29+'Inputs'!$B$31+'Inputs'!$B$32,'Inputs'!$B$30+'Inputs'!$B$31+'Inputs'!$B$32)/1000+'Inputs'!$B$21+'Inputs'!$B$7+'Inputs'!$B$10))/SQRT((((793-43)*MAX('Inputs'!$B$33,'Inputs'!$B$29+'Inputs'!$B$31+'Inputs'!$B$32,'Inputs'!$B$30+'Inputs'!$B$31+'Inputs'!$B$32)/1000+'Inputs'!$B$21+'Inputs'!$B$7+'Inputs'!$B$10))^2+('Inputs'!$B$8/2)^2))))*'Results'!$B$8))),"")</x:f>
        <x:v>0.8701677871933493</x:v>
      </x:c>
      <x:c r="L793" t="n">
        <x:f>IF(AND(ISNUMBER('Results'!B7),ISNUMBER('Results'!C7),ISNUMBER('Results'!$B$8),ISNUMBER('Inputs'!$B$6),ISNUMBER('Inputs'!$B$7),ISNUMBER('Inputs'!$B$8),ISNUMBER('Inputs'!$B$9),ISNUMBER('Inputs'!$B$10),ISNUMBER('Inputs'!$B$21),ISNUMBER('Inputs'!$B$24),ISNUMBER('Inputs'!$B$28)),((('Results'!B7*(1+'Inputs'!$B$24)*(0.5*((((793-43)*MAX('Inputs'!$B$33,'Inputs'!$B$29+'Inputs'!$B$31+'Inputs'!$B$32,'Inputs'!$B$30+'Inputs'!$B$31+'Inputs'!$B$32)/1000+'Inputs'!$B$21)+'Inputs'!$B$7)/SQRT((((793-43)*MAX('Inputs'!$B$33,'Inputs'!$B$29+'Inputs'!$B$31+'Inputs'!$B$32,'Inputs'!$B$30+'Inputs'!$B$31+'Inputs'!$B$32)/1000+'Inputs'!$B$21)+'Inputs'!$B$7)^2+('Inputs'!$B$6/2)^2)-(((793-43)*MAX('Inputs'!$B$33,'Inputs'!$B$29+'Inputs'!$B$31+'Inputs'!$B$32,'Inputs'!$B$30+'Inputs'!$B$31+'Inputs'!$B$32)/1000+'Inputs'!$B$21))/SQRT((((793-43)*MAX('Inputs'!$B$33,'Inputs'!$B$29+'Inputs'!$B$31+'Inputs'!$B$32,'Inputs'!$B$30+'Inputs'!$B$31+'Inputs'!$B$32)/1000+'Inputs'!$B$21))^2+('Inputs'!$B$6/2)^2)))-'Results'!C7*(1-'Inputs'!$B$24)*(0.5*((((793-43)*MAX('Inputs'!$B$33,'Inputs'!$B$29+'Inputs'!$B$31+'Inputs'!$B$32,'Inputs'!$B$30+'Inputs'!$B$31+'Inputs'!$B$32)/1000+'Inputs'!$B$21+'Inputs'!$B$7+'Inputs'!$B$10)+'Inputs'!$B$9)/SQRT((((793-43)*MAX('Inputs'!$B$33,'Inputs'!$B$29+'Inputs'!$B$31+'Inputs'!$B$32,'Inputs'!$B$30+'Inputs'!$B$31+'Inputs'!$B$32)/1000+'Inputs'!$B$21+'Inputs'!$B$7+'Inputs'!$B$10)+'Inputs'!$B$9)^2+('Inputs'!$B$8/2)^2)-(((793-43)*MAX('Inputs'!$B$33,'Inputs'!$B$29+'Inputs'!$B$31+'Inputs'!$B$32,'Inputs'!$B$30+'Inputs'!$B$31+'Inputs'!$B$32)/1000+'Inputs'!$B$21+'Inputs'!$B$7+'Inputs'!$B$10))/SQRT((((793-43)*MAX('Inputs'!$B$33,'Inputs'!$B$29+'Inputs'!$B$31+'Inputs'!$B$32,'Inputs'!$B$30+'Inputs'!$B$31+'Inputs'!$B$32)/1000+'Inputs'!$B$21+'Inputs'!$B$7+'Inputs'!$B$10))^2+('Inputs'!$B$8/2)^2))))*'Results'!$B$8)+'Inputs'!$B$28*ABS((('Results'!B7*(1+'Inputs'!$B$24)*(0.5*((((793-43)*MAX('Inputs'!$B$33,'Inputs'!$B$29+'Inputs'!$B$31+'Inputs'!$B$32,'Inputs'!$B$30+'Inputs'!$B$31+'Inputs'!$B$32)/1000+'Inputs'!$B$21)+'Inputs'!$B$7)/SQRT((((793-43)*MAX('Inputs'!$B$33,'Inputs'!$B$29+'Inputs'!$B$31+'Inputs'!$B$32,'Inputs'!$B$30+'Inputs'!$B$31+'Inputs'!$B$32)/1000+'Inputs'!$B$21)+'Inputs'!$B$7)^2+('Inputs'!$B$6/2)^2)-(((793-43)*MAX('Inputs'!$B$33,'Inputs'!$B$29+'Inputs'!$B$31+'Inputs'!$B$32,'Inputs'!$B$30+'Inputs'!$B$31+'Inputs'!$B$32)/1000+'Inputs'!$B$21))/SQRT((((793-43)*MAX('Inputs'!$B$33,'Inputs'!$B$29+'Inputs'!$B$31+'Inputs'!$B$32,'Inputs'!$B$30+'Inputs'!$B$31+'Inputs'!$B$32)/1000+'Inputs'!$B$21))^2+('Inputs'!$B$6/2)^2)))-'Results'!C7*(1-'Inputs'!$B$24)*(0.5*((((793-43)*MAX('Inputs'!$B$33,'Inputs'!$B$29+'Inputs'!$B$31+'Inputs'!$B$32,'Inputs'!$B$30+'Inputs'!$B$31+'Inputs'!$B$32)/1000+'Inputs'!$B$21+'Inputs'!$B$7+'Inputs'!$B$10)+'Inputs'!$B$9)/SQRT((((793-43)*MAX('Inputs'!$B$33,'Inputs'!$B$29+'Inputs'!$B$31+'Inputs'!$B$32,'Inputs'!$B$30+'Inputs'!$B$31+'Inputs'!$B$32)/1000+'Inputs'!$B$21+'Inputs'!$B$7+'Inputs'!$B$10)+'Inputs'!$B$9)^2+('Inputs'!$B$8/2)^2)-(((793-43)*MAX('Inputs'!$B$33,'Inputs'!$B$29+'Inputs'!$B$31+'Inputs'!$B$32,'Inputs'!$B$30+'Inputs'!$B$31+'Inputs'!$B$32)/1000+'Inputs'!$B$21+'Inputs'!$B$7+'Inputs'!$B$10))/SQRT((((793-43)*MAX('Inputs'!$B$33,'Inputs'!$B$29+'Inputs'!$B$31+'Inputs'!$B$32,'Inputs'!$B$30+'Inputs'!$B$31+'Inputs'!$B$32)/1000+'Inputs'!$B$21+'Inputs'!$B$7+'Inputs'!$B$10))^2+('Inputs'!$B$8/2)^2))))*'Results'!$B$8))),"")</x:f>
        <x:v>1.16076517183165</x:v>
      </x:c>
      <x:c r="M793" t="n">
        <x:f>IF(AND(ISNUMBER('Results'!C7),ISNUMBER('Results'!B7),ISNUMBER('Results'!$B$8),ISNUMBER('Inputs'!$B$6),ISNUMBER('Inputs'!$B$7),ISNUMBER('Inputs'!$B$8),ISNUMBER('Inputs'!$B$9),ISNUMBER('Inputs'!$B$10),ISNUMBER('Inputs'!$B$21),ISNUMBER('Inputs'!$B$24),ISNUMBER('Inputs'!$B$28)),(('Results'!C7*(0.5*((((793-43)*MAX('Inputs'!$B$33,'Inputs'!$B$29+'Inputs'!$B$31+'Inputs'!$B$32,'Inputs'!$B$30+'Inputs'!$B$31+'Inputs'!$B$32)/1000+'Inputs'!$B$21)+'Inputs'!$B$9)/SQRT((((793-43)*MAX('Inputs'!$B$33,'Inputs'!$B$29+'Inputs'!$B$31+'Inputs'!$B$32,'Inputs'!$B$30+'Inputs'!$B$31+'Inputs'!$B$32)/1000+'Inputs'!$B$21)+'Inputs'!$B$9)^2+('Inputs'!$B$8/2)^2)-(((793-43)*MAX('Inputs'!$B$33,'Inputs'!$B$29+'Inputs'!$B$31+'Inputs'!$B$32,'Inputs'!$B$30+'Inputs'!$B$31+'Inputs'!$B$32)/1000+'Inputs'!$B$21))/SQRT((((793-43)*MAX('Inputs'!$B$33,'Inputs'!$B$29+'Inputs'!$B$31+'Inputs'!$B$32,'Inputs'!$B$30+'Inputs'!$B$31+'Inputs'!$B$32)/1000+'Inputs'!$B$21))^2+('Inputs'!$B$8/2)^2)))-'Results'!B7*(0.5*((((793-43)*MAX('Inputs'!$B$33,'Inputs'!$B$29+'Inputs'!$B$31+'Inputs'!$B$32,'Inputs'!$B$30+'Inputs'!$B$31+'Inputs'!$B$32)/1000+'Inputs'!$B$21+'Inputs'!$B$9+'Inputs'!$B$10)+'Inputs'!$B$7)/SQRT((((793-43)*MAX('Inputs'!$B$33,'Inputs'!$B$29+'Inputs'!$B$31+'Inputs'!$B$32,'Inputs'!$B$30+'Inputs'!$B$31+'Inputs'!$B$32)/1000+'Inputs'!$B$21+'Inputs'!$B$9+'Inputs'!$B$10)+'Inputs'!$B$7)^2+('Inputs'!$B$6/2)^2)-(((793-43)*MAX('Inputs'!$B$33,'Inputs'!$B$29+'Inputs'!$B$31+'Inputs'!$B$32,'Inputs'!$B$30+'Inputs'!$B$31+'Inputs'!$B$32)/1000+'Inputs'!$B$21+'Inputs'!$B$9+'Inputs'!$B$10))/SQRT((((793-43)*MAX('Inputs'!$B$33,'Inputs'!$B$29+'Inputs'!$B$31+'Inputs'!$B$32,'Inputs'!$B$30+'Inputs'!$B$31+'Inputs'!$B$32)/1000+'Inputs'!$B$21+'Inputs'!$B$9+'Inputs'!$B$10))^2+('Inputs'!$B$6/2)^2))))*'Results'!$B$8),"")</x:f>
        <x:v>0.915205400897653</x:v>
      </x:c>
      <x:c r="N793" t="n">
        <x:f>IF(AND(ISNUMBER('Results'!C7),ISNUMBER('Results'!B7),ISNUMBER('Results'!$B$8),ISNUMBER('Inputs'!$B$6),ISNUMBER('Inputs'!$B$7),ISNUMBER('Inputs'!$B$8),ISNUMBER('Inputs'!$B$9),ISNUMBER('Inputs'!$B$10),ISNUMBER('Inputs'!$B$21),ISNUMBER('Inputs'!$B$24),ISNUMBER('Inputs'!$B$28)),((('Results'!C7*(1-'Inputs'!$B$24)*(0.5*((((793-43)*MAX('Inputs'!$B$33,'Inputs'!$B$29+'Inputs'!$B$31+'Inputs'!$B$32,'Inputs'!$B$30+'Inputs'!$B$31+'Inputs'!$B$32)/1000+'Inputs'!$B$21)+'Inputs'!$B$9)/SQRT((((793-43)*MAX('Inputs'!$B$33,'Inputs'!$B$29+'Inputs'!$B$31+'Inputs'!$B$32,'Inputs'!$B$30+'Inputs'!$B$31+'Inputs'!$B$32)/1000+'Inputs'!$B$21)+'Inputs'!$B$9)^2+('Inputs'!$B$8/2)^2)-(((793-43)*MAX('Inputs'!$B$33,'Inputs'!$B$29+'Inputs'!$B$31+'Inputs'!$B$32,'Inputs'!$B$30+'Inputs'!$B$31+'Inputs'!$B$32)/1000+'Inputs'!$B$21))/SQRT((((793-43)*MAX('Inputs'!$B$33,'Inputs'!$B$29+'Inputs'!$B$31+'Inputs'!$B$32,'Inputs'!$B$30+'Inputs'!$B$31+'Inputs'!$B$32)/1000+'Inputs'!$B$21))^2+('Inputs'!$B$8/2)^2)))-'Results'!B7*(1+'Inputs'!$B$24)*(0.5*((((793-43)*MAX('Inputs'!$B$33,'Inputs'!$B$29+'Inputs'!$B$31+'Inputs'!$B$32,'Inputs'!$B$30+'Inputs'!$B$31+'Inputs'!$B$32)/1000+'Inputs'!$B$21+'Inputs'!$B$9+'Inputs'!$B$10)+'Inputs'!$B$7)/SQRT((((793-43)*MAX('Inputs'!$B$33,'Inputs'!$B$29+'Inputs'!$B$31+'Inputs'!$B$32,'Inputs'!$B$30+'Inputs'!$B$31+'Inputs'!$B$32)/1000+'Inputs'!$B$21+'Inputs'!$B$9+'Inputs'!$B$10)+'Inputs'!$B$7)^2+('Inputs'!$B$6/2)^2)-(((793-43)*MAX('Inputs'!$B$33,'Inputs'!$B$29+'Inputs'!$B$31+'Inputs'!$B$32,'Inputs'!$B$30+'Inputs'!$B$31+'Inputs'!$B$32)/1000+'Inputs'!$B$21+'Inputs'!$B$9+'Inputs'!$B$10))/SQRT((((793-43)*MAX('Inputs'!$B$33,'Inputs'!$B$29+'Inputs'!$B$31+'Inputs'!$B$32,'Inputs'!$B$30+'Inputs'!$B$31+'Inputs'!$B$32)/1000+'Inputs'!$B$21+'Inputs'!$B$9+'Inputs'!$B$10))^2+('Inputs'!$B$6/2)^2))))*'Results'!$B$8)-'Inputs'!$B$28*ABS((('Results'!C7*(1-'Inputs'!$B$24)*(0.5*((((793-43)*MAX('Inputs'!$B$33,'Inputs'!$B$29+'Inputs'!$B$31+'Inputs'!$B$32,'Inputs'!$B$30+'Inputs'!$B$31+'Inputs'!$B$32)/1000+'Inputs'!$B$21)+'Inputs'!$B$9)/SQRT((((793-43)*MAX('Inputs'!$B$33,'Inputs'!$B$29+'Inputs'!$B$31+'Inputs'!$B$32,'Inputs'!$B$30+'Inputs'!$B$31+'Inputs'!$B$32)/1000+'Inputs'!$B$21)+'Inputs'!$B$9)^2+('Inputs'!$B$8/2)^2)-(((793-43)*MAX('Inputs'!$B$33,'Inputs'!$B$29+'Inputs'!$B$31+'Inputs'!$B$32,'Inputs'!$B$30+'Inputs'!$B$31+'Inputs'!$B$32)/1000+'Inputs'!$B$21))/SQRT((((793-43)*MAX('Inputs'!$B$33,'Inputs'!$B$29+'Inputs'!$B$31+'Inputs'!$B$32,'Inputs'!$B$30+'Inputs'!$B$31+'Inputs'!$B$32)/1000+'Inputs'!$B$21))^2+('Inputs'!$B$8/2)^2)))-'Results'!B7*(1+'Inputs'!$B$24)*(0.5*((((793-43)*MAX('Inputs'!$B$33,'Inputs'!$B$29+'Inputs'!$B$31+'Inputs'!$B$32,'Inputs'!$B$30+'Inputs'!$B$31+'Inputs'!$B$32)/1000+'Inputs'!$B$21+'Inputs'!$B$9+'Inputs'!$B$10)+'Inputs'!$B$7)/SQRT((((793-43)*MAX('Inputs'!$B$33,'Inputs'!$B$29+'Inputs'!$B$31+'Inputs'!$B$32,'Inputs'!$B$30+'Inputs'!$B$31+'Inputs'!$B$32)/1000+'Inputs'!$B$21+'Inputs'!$B$9+'Inputs'!$B$10)+'Inputs'!$B$7)^2+('Inputs'!$B$6/2)^2)-(((793-43)*MAX('Inputs'!$B$33,'Inputs'!$B$29+'Inputs'!$B$31+'Inputs'!$B$32,'Inputs'!$B$30+'Inputs'!$B$31+'Inputs'!$B$32)/1000+'Inputs'!$B$21+'Inputs'!$B$9+'Inputs'!$B$10))/SQRT((((793-43)*MAX('Inputs'!$B$33,'Inputs'!$B$29+'Inputs'!$B$31+'Inputs'!$B$32,'Inputs'!$B$30+'Inputs'!$B$31+'Inputs'!$B$32)/1000+'Inputs'!$B$21+'Inputs'!$B$9+'Inputs'!$B$10))^2+('Inputs'!$B$6/2)^2))))*'Results'!$B$8))),"")</x:f>
        <x:v>0.7797905941778003</x:v>
      </x:c>
      <x:c r="O793" t="n">
        <x:f>IF(AND(ISNUMBER('Results'!C7),ISNUMBER('Results'!B7),ISNUMBER('Results'!$B$8),ISNUMBER('Inputs'!$B$6),ISNUMBER('Inputs'!$B$7),ISNUMBER('Inputs'!$B$8),ISNUMBER('Inputs'!$B$9),ISNUMBER('Inputs'!$B$10),ISNUMBER('Inputs'!$B$21),ISNUMBER('Inputs'!$B$24),ISNUMBER('Inputs'!$B$28)),((('Results'!C7*(1+'Inputs'!$B$24)*(0.5*((((793-43)*MAX('Inputs'!$B$33,'Inputs'!$B$29+'Inputs'!$B$31+'Inputs'!$B$32,'Inputs'!$B$30+'Inputs'!$B$31+'Inputs'!$B$32)/1000+'Inputs'!$B$21)+'Inputs'!$B$9)/SQRT((((793-43)*MAX('Inputs'!$B$33,'Inputs'!$B$29+'Inputs'!$B$31+'Inputs'!$B$32,'Inputs'!$B$30+'Inputs'!$B$31+'Inputs'!$B$32)/1000+'Inputs'!$B$21)+'Inputs'!$B$9)^2+('Inputs'!$B$8/2)^2)-(((793-43)*MAX('Inputs'!$B$33,'Inputs'!$B$29+'Inputs'!$B$31+'Inputs'!$B$32,'Inputs'!$B$30+'Inputs'!$B$31+'Inputs'!$B$32)/1000+'Inputs'!$B$21))/SQRT((((793-43)*MAX('Inputs'!$B$33,'Inputs'!$B$29+'Inputs'!$B$31+'Inputs'!$B$32,'Inputs'!$B$30+'Inputs'!$B$31+'Inputs'!$B$32)/1000+'Inputs'!$B$21))^2+('Inputs'!$B$8/2)^2)))-'Results'!B7*(1-'Inputs'!$B$24)*(0.5*((((793-43)*MAX('Inputs'!$B$33,'Inputs'!$B$29+'Inputs'!$B$31+'Inputs'!$B$32,'Inputs'!$B$30+'Inputs'!$B$31+'Inputs'!$B$32)/1000+'Inputs'!$B$21+'Inputs'!$B$9+'Inputs'!$B$10)+'Inputs'!$B$7)/SQRT((((793-43)*MAX('Inputs'!$B$33,'Inputs'!$B$29+'Inputs'!$B$31+'Inputs'!$B$32,'Inputs'!$B$30+'Inputs'!$B$31+'Inputs'!$B$32)/1000+'Inputs'!$B$21+'Inputs'!$B$9+'Inputs'!$B$10)+'Inputs'!$B$7)^2+('Inputs'!$B$6/2)^2)-(((793-43)*MAX('Inputs'!$B$33,'Inputs'!$B$29+'Inputs'!$B$31+'Inputs'!$B$32,'Inputs'!$B$30+'Inputs'!$B$31+'Inputs'!$B$32)/1000+'Inputs'!$B$21+'Inputs'!$B$9+'Inputs'!$B$10))/SQRT((((793-43)*MAX('Inputs'!$B$33,'Inputs'!$B$29+'Inputs'!$B$31+'Inputs'!$B$32,'Inputs'!$B$30+'Inputs'!$B$31+'Inputs'!$B$32)/1000+'Inputs'!$B$21+'Inputs'!$B$9+'Inputs'!$B$10))^2+('Inputs'!$B$6/2)^2))))*'Results'!$B$8)+'Inputs'!$B$28*ABS((('Results'!C7*(1+'Inputs'!$B$24)*(0.5*((((793-43)*MAX('Inputs'!$B$33,'Inputs'!$B$29+'Inputs'!$B$31+'Inputs'!$B$32,'Inputs'!$B$30+'Inputs'!$B$31+'Inputs'!$B$32)/1000+'Inputs'!$B$21)+'Inputs'!$B$9)/SQRT((((793-43)*MAX('Inputs'!$B$33,'Inputs'!$B$29+'Inputs'!$B$31+'Inputs'!$B$32,'Inputs'!$B$30+'Inputs'!$B$31+'Inputs'!$B$32)/1000+'Inputs'!$B$21)+'Inputs'!$B$9)^2+('Inputs'!$B$8/2)^2)-(((793-43)*MAX('Inputs'!$B$33,'Inputs'!$B$29+'Inputs'!$B$31+'Inputs'!$B$32,'Inputs'!$B$30+'Inputs'!$B$31+'Inputs'!$B$32)/1000+'Inputs'!$B$21))/SQRT((((793-43)*MAX('Inputs'!$B$33,'Inputs'!$B$29+'Inputs'!$B$31+'Inputs'!$B$32,'Inputs'!$B$30+'Inputs'!$B$31+'Inputs'!$B$32)/1000+'Inputs'!$B$21))^2+('Inputs'!$B$8/2)^2)))-'Results'!B7*(1-'Inputs'!$B$24)*(0.5*((((793-43)*MAX('Inputs'!$B$33,'Inputs'!$B$29+'Inputs'!$B$31+'Inputs'!$B$32,'Inputs'!$B$30+'Inputs'!$B$31+'Inputs'!$B$32)/1000+'Inputs'!$B$21+'Inputs'!$B$9+'Inputs'!$B$10)+'Inputs'!$B$7)/SQRT((((793-43)*MAX('Inputs'!$B$33,'Inputs'!$B$29+'Inputs'!$B$31+'Inputs'!$B$32,'Inputs'!$B$30+'Inputs'!$B$31+'Inputs'!$B$32)/1000+'Inputs'!$B$21+'Inputs'!$B$9+'Inputs'!$B$10)+'Inputs'!$B$7)^2+('Inputs'!$B$6/2)^2)-(((793-43)*MAX('Inputs'!$B$33,'Inputs'!$B$29+'Inputs'!$B$31+'Inputs'!$B$32,'Inputs'!$B$30+'Inputs'!$B$31+'Inputs'!$B$32)/1000+'Inputs'!$B$21+'Inputs'!$B$9+'Inputs'!$B$10))/SQRT((((793-43)*MAX('Inputs'!$B$33,'Inputs'!$B$29+'Inputs'!$B$31+'Inputs'!$B$32,'Inputs'!$B$30+'Inputs'!$B$31+'Inputs'!$B$32)/1000+'Inputs'!$B$21+'Inputs'!$B$9+'Inputs'!$B$10))^2+('Inputs'!$B$6/2)^2))))*'Results'!$B$8))),"")</x:f>
        <x:v>1.060057527267503</x:v>
      </x:c>
      <x:c r="P793" t="n">
        <x:f>IF(AND(MAX(J793,J792)&gt;0,J793&gt;J792+0.00000001),1,0)</x:f>
        <x:v>0</x:v>
      </x:c>
      <x:c r="Q793" t="n">
        <x:f>IF(AND(MAX(K793,K792)&gt;0,K793&gt;K792+0.00000001),1,0)</x:f>
        <x:v>0</x:v>
      </x:c>
      <x:c r="R793" t="n">
        <x:f>IF(AND(MAX(L793,L792)&gt;0,L793&gt;L792+0.00000001),1,0)</x:f>
        <x:v>0</x:v>
      </x:c>
      <x:c r="S793" t="n">
        <x:f>IF(AND(MAX(M793,M792)&gt;0,M793&gt;M792+0.00000001),1,0)</x:f>
        <x:v>0</x:v>
      </x:c>
      <x:c r="T793" t="n">
        <x:f>IF(AND(MAX(N793,N792)&gt;0,N793&gt;N792+0.00000001),1,0)</x:f>
        <x:v>0</x:v>
      </x:c>
      <x:c r="U793" t="n">
        <x:f>IF(AND(MAX(O793,O792)&gt;0,O793&gt;O792+0.00000001),1,0)</x:f>
        <x:v>0</x:v>
      </x:c>
    </x:row>
    <x:row r="794">
      <x:c r="J794" t="n">
        <x:f>IF(AND(ISNUMBER('Results'!B7),ISNUMBER('Results'!C7),ISNUMBER('Results'!$B$8),ISNUMBER('Inputs'!$B$6),ISNUMBER('Inputs'!$B$7),ISNUMBER('Inputs'!$B$8),ISNUMBER('Inputs'!$B$9),ISNUMBER('Inputs'!$B$10),ISNUMBER('Inputs'!$B$21),ISNUMBER('Inputs'!$B$24),ISNUMBER('Inputs'!$B$28)),(('Results'!B7*(0.5*((((794-43)*MAX('Inputs'!$B$33,'Inputs'!$B$29+'Inputs'!$B$31+'Inputs'!$B$32,'Inputs'!$B$30+'Inputs'!$B$31+'Inputs'!$B$32)/1000+'Inputs'!$B$21)+'Inputs'!$B$7)/SQRT((((794-43)*MAX('Inputs'!$B$33,'Inputs'!$B$29+'Inputs'!$B$31+'Inputs'!$B$32,'Inputs'!$B$30+'Inputs'!$B$31+'Inputs'!$B$32)/1000+'Inputs'!$B$21)+'Inputs'!$B$7)^2+('Inputs'!$B$6/2)^2)-(((794-43)*MAX('Inputs'!$B$33,'Inputs'!$B$29+'Inputs'!$B$31+'Inputs'!$B$32,'Inputs'!$B$30+'Inputs'!$B$31+'Inputs'!$B$32)/1000+'Inputs'!$B$21))/SQRT((((794-43)*MAX('Inputs'!$B$33,'Inputs'!$B$29+'Inputs'!$B$31+'Inputs'!$B$32,'Inputs'!$B$30+'Inputs'!$B$31+'Inputs'!$B$32)/1000+'Inputs'!$B$21))^2+('Inputs'!$B$6/2)^2)))-'Results'!C7*(0.5*((((794-43)*MAX('Inputs'!$B$33,'Inputs'!$B$29+'Inputs'!$B$31+'Inputs'!$B$32,'Inputs'!$B$30+'Inputs'!$B$31+'Inputs'!$B$32)/1000+'Inputs'!$B$21+'Inputs'!$B$7+'Inputs'!$B$10)+'Inputs'!$B$9)/SQRT((((794-43)*MAX('Inputs'!$B$33,'Inputs'!$B$29+'Inputs'!$B$31+'Inputs'!$B$32,'Inputs'!$B$30+'Inputs'!$B$31+'Inputs'!$B$32)/1000+'Inputs'!$B$21+'Inputs'!$B$7+'Inputs'!$B$10)+'Inputs'!$B$9)^2+('Inputs'!$B$8/2)^2)-(((794-43)*MAX('Inputs'!$B$33,'Inputs'!$B$29+'Inputs'!$B$31+'Inputs'!$B$32,'Inputs'!$B$30+'Inputs'!$B$31+'Inputs'!$B$32)/1000+'Inputs'!$B$21+'Inputs'!$B$7+'Inputs'!$B$10))/SQRT((((794-43)*MAX('Inputs'!$B$33,'Inputs'!$B$29+'Inputs'!$B$31+'Inputs'!$B$32,'Inputs'!$B$30+'Inputs'!$B$31+'Inputs'!$B$32)/1000+'Inputs'!$B$21+'Inputs'!$B$7+'Inputs'!$B$10))^2+('Inputs'!$B$8/2)^2))))*'Results'!$B$8),"")</x:f>
        <x:v>1.005924336764307</x:v>
      </x:c>
      <x:c r="K794" t="n">
        <x:f>IF(AND(ISNUMBER('Results'!B7),ISNUMBER('Results'!C7),ISNUMBER('Results'!$B$8),ISNUMBER('Inputs'!$B$6),ISNUMBER('Inputs'!$B$7),ISNUMBER('Inputs'!$B$8),ISNUMBER('Inputs'!$B$9),ISNUMBER('Inputs'!$B$10),ISNUMBER('Inputs'!$B$21),ISNUMBER('Inputs'!$B$24),ISNUMBER('Inputs'!$B$28)),((('Results'!B7*(1-'Inputs'!$B$24)*(0.5*((((794-43)*MAX('Inputs'!$B$33,'Inputs'!$B$29+'Inputs'!$B$31+'Inputs'!$B$32,'Inputs'!$B$30+'Inputs'!$B$31+'Inputs'!$B$32)/1000+'Inputs'!$B$21)+'Inputs'!$B$7)/SQRT((((794-43)*MAX('Inputs'!$B$33,'Inputs'!$B$29+'Inputs'!$B$31+'Inputs'!$B$32,'Inputs'!$B$30+'Inputs'!$B$31+'Inputs'!$B$32)/1000+'Inputs'!$B$21)+'Inputs'!$B$7)^2+('Inputs'!$B$6/2)^2)-(((794-43)*MAX('Inputs'!$B$33,'Inputs'!$B$29+'Inputs'!$B$31+'Inputs'!$B$32,'Inputs'!$B$30+'Inputs'!$B$31+'Inputs'!$B$32)/1000+'Inputs'!$B$21))/SQRT((((794-43)*MAX('Inputs'!$B$33,'Inputs'!$B$29+'Inputs'!$B$31+'Inputs'!$B$32,'Inputs'!$B$30+'Inputs'!$B$31+'Inputs'!$B$32)/1000+'Inputs'!$B$21))^2+('Inputs'!$B$6/2)^2)))-'Results'!C7*(1+'Inputs'!$B$24)*(0.5*((((794-43)*MAX('Inputs'!$B$33,'Inputs'!$B$29+'Inputs'!$B$31+'Inputs'!$B$32,'Inputs'!$B$30+'Inputs'!$B$31+'Inputs'!$B$32)/1000+'Inputs'!$B$21+'Inputs'!$B$7+'Inputs'!$B$10)+'Inputs'!$B$9)/SQRT((((794-43)*MAX('Inputs'!$B$33,'Inputs'!$B$29+'Inputs'!$B$31+'Inputs'!$B$32,'Inputs'!$B$30+'Inputs'!$B$31+'Inputs'!$B$32)/1000+'Inputs'!$B$21+'Inputs'!$B$7+'Inputs'!$B$10)+'Inputs'!$B$9)^2+('Inputs'!$B$8/2)^2)-(((794-43)*MAX('Inputs'!$B$33,'Inputs'!$B$29+'Inputs'!$B$31+'Inputs'!$B$32,'Inputs'!$B$30+'Inputs'!$B$31+'Inputs'!$B$32)/1000+'Inputs'!$B$21+'Inputs'!$B$7+'Inputs'!$B$10))/SQRT((((794-43)*MAX('Inputs'!$B$33,'Inputs'!$B$29+'Inputs'!$B$31+'Inputs'!$B$32,'Inputs'!$B$30+'Inputs'!$B$31+'Inputs'!$B$32)/1000+'Inputs'!$B$21+'Inputs'!$B$7+'Inputs'!$B$10))^2+('Inputs'!$B$8/2)^2))))*'Results'!$B$8)-'Inputs'!$B$28*ABS((('Results'!B7*(1-'Inputs'!$B$24)*(0.5*((((794-43)*MAX('Inputs'!$B$33,'Inputs'!$B$29+'Inputs'!$B$31+'Inputs'!$B$32,'Inputs'!$B$30+'Inputs'!$B$31+'Inputs'!$B$32)/1000+'Inputs'!$B$21)+'Inputs'!$B$7)/SQRT((((794-43)*MAX('Inputs'!$B$33,'Inputs'!$B$29+'Inputs'!$B$31+'Inputs'!$B$32,'Inputs'!$B$30+'Inputs'!$B$31+'Inputs'!$B$32)/1000+'Inputs'!$B$21)+'Inputs'!$B$7)^2+('Inputs'!$B$6/2)^2)-(((794-43)*MAX('Inputs'!$B$33,'Inputs'!$B$29+'Inputs'!$B$31+'Inputs'!$B$32,'Inputs'!$B$30+'Inputs'!$B$31+'Inputs'!$B$32)/1000+'Inputs'!$B$21))/SQRT((((794-43)*MAX('Inputs'!$B$33,'Inputs'!$B$29+'Inputs'!$B$31+'Inputs'!$B$32,'Inputs'!$B$30+'Inputs'!$B$31+'Inputs'!$B$32)/1000+'Inputs'!$B$21))^2+('Inputs'!$B$6/2)^2)))-'Results'!C7*(1+'Inputs'!$B$24)*(0.5*((((794-43)*MAX('Inputs'!$B$33,'Inputs'!$B$29+'Inputs'!$B$31+'Inputs'!$B$32,'Inputs'!$B$30+'Inputs'!$B$31+'Inputs'!$B$32)/1000+'Inputs'!$B$21+'Inputs'!$B$7+'Inputs'!$B$10)+'Inputs'!$B$9)/SQRT((((794-43)*MAX('Inputs'!$B$33,'Inputs'!$B$29+'Inputs'!$B$31+'Inputs'!$B$32,'Inputs'!$B$30+'Inputs'!$B$31+'Inputs'!$B$32)/1000+'Inputs'!$B$21+'Inputs'!$B$7+'Inputs'!$B$10)+'Inputs'!$B$9)^2+('Inputs'!$B$8/2)^2)-(((794-43)*MAX('Inputs'!$B$33,'Inputs'!$B$29+'Inputs'!$B$31+'Inputs'!$B$32,'Inputs'!$B$30+'Inputs'!$B$31+'Inputs'!$B$32)/1000+'Inputs'!$B$21+'Inputs'!$B$7+'Inputs'!$B$10))/SQRT((((794-43)*MAX('Inputs'!$B$33,'Inputs'!$B$29+'Inputs'!$B$31+'Inputs'!$B$32,'Inputs'!$B$30+'Inputs'!$B$31+'Inputs'!$B$32)/1000+'Inputs'!$B$21+'Inputs'!$B$7+'Inputs'!$B$10))^2+('Inputs'!$B$8/2)^2))))*'Results'!$B$8))),"")</x:f>
        <x:v>0.8659331358394611</x:v>
      </x:c>
      <x:c r="L794" t="n">
        <x:f>IF(AND(ISNUMBER('Results'!B7),ISNUMBER('Results'!C7),ISNUMBER('Results'!$B$8),ISNUMBER('Inputs'!$B$6),ISNUMBER('Inputs'!$B$7),ISNUMBER('Inputs'!$B$8),ISNUMBER('Inputs'!$B$9),ISNUMBER('Inputs'!$B$10),ISNUMBER('Inputs'!$B$21),ISNUMBER('Inputs'!$B$24),ISNUMBER('Inputs'!$B$28)),((('Results'!B7*(1+'Inputs'!$B$24)*(0.5*((((794-43)*MAX('Inputs'!$B$33,'Inputs'!$B$29+'Inputs'!$B$31+'Inputs'!$B$32,'Inputs'!$B$30+'Inputs'!$B$31+'Inputs'!$B$32)/1000+'Inputs'!$B$21)+'Inputs'!$B$7)/SQRT((((794-43)*MAX('Inputs'!$B$33,'Inputs'!$B$29+'Inputs'!$B$31+'Inputs'!$B$32,'Inputs'!$B$30+'Inputs'!$B$31+'Inputs'!$B$32)/1000+'Inputs'!$B$21)+'Inputs'!$B$7)^2+('Inputs'!$B$6/2)^2)-(((794-43)*MAX('Inputs'!$B$33,'Inputs'!$B$29+'Inputs'!$B$31+'Inputs'!$B$32,'Inputs'!$B$30+'Inputs'!$B$31+'Inputs'!$B$32)/1000+'Inputs'!$B$21))/SQRT((((794-43)*MAX('Inputs'!$B$33,'Inputs'!$B$29+'Inputs'!$B$31+'Inputs'!$B$32,'Inputs'!$B$30+'Inputs'!$B$31+'Inputs'!$B$32)/1000+'Inputs'!$B$21))^2+('Inputs'!$B$6/2)^2)))-'Results'!C7*(1-'Inputs'!$B$24)*(0.5*((((794-43)*MAX('Inputs'!$B$33,'Inputs'!$B$29+'Inputs'!$B$31+'Inputs'!$B$32,'Inputs'!$B$30+'Inputs'!$B$31+'Inputs'!$B$32)/1000+'Inputs'!$B$21+'Inputs'!$B$7+'Inputs'!$B$10)+'Inputs'!$B$9)/SQRT((((794-43)*MAX('Inputs'!$B$33,'Inputs'!$B$29+'Inputs'!$B$31+'Inputs'!$B$32,'Inputs'!$B$30+'Inputs'!$B$31+'Inputs'!$B$32)/1000+'Inputs'!$B$21+'Inputs'!$B$7+'Inputs'!$B$10)+'Inputs'!$B$9)^2+('Inputs'!$B$8/2)^2)-(((794-43)*MAX('Inputs'!$B$33,'Inputs'!$B$29+'Inputs'!$B$31+'Inputs'!$B$32,'Inputs'!$B$30+'Inputs'!$B$31+'Inputs'!$B$32)/1000+'Inputs'!$B$21+'Inputs'!$B$7+'Inputs'!$B$10))/SQRT((((794-43)*MAX('Inputs'!$B$33,'Inputs'!$B$29+'Inputs'!$B$31+'Inputs'!$B$32,'Inputs'!$B$30+'Inputs'!$B$31+'Inputs'!$B$32)/1000+'Inputs'!$B$21+'Inputs'!$B$7+'Inputs'!$B$10))^2+('Inputs'!$B$8/2)^2))))*'Results'!$B$8)+'Inputs'!$B$28*ABS((('Results'!B7*(1+'Inputs'!$B$24)*(0.5*((((794-43)*MAX('Inputs'!$B$33,'Inputs'!$B$29+'Inputs'!$B$31+'Inputs'!$B$32,'Inputs'!$B$30+'Inputs'!$B$31+'Inputs'!$B$32)/1000+'Inputs'!$B$21)+'Inputs'!$B$7)/SQRT((((794-43)*MAX('Inputs'!$B$33,'Inputs'!$B$29+'Inputs'!$B$31+'Inputs'!$B$32,'Inputs'!$B$30+'Inputs'!$B$31+'Inputs'!$B$32)/1000+'Inputs'!$B$21)+'Inputs'!$B$7)^2+('Inputs'!$B$6/2)^2)-(((794-43)*MAX('Inputs'!$B$33,'Inputs'!$B$29+'Inputs'!$B$31+'Inputs'!$B$32,'Inputs'!$B$30+'Inputs'!$B$31+'Inputs'!$B$32)/1000+'Inputs'!$B$21))/SQRT((((794-43)*MAX('Inputs'!$B$33,'Inputs'!$B$29+'Inputs'!$B$31+'Inputs'!$B$32,'Inputs'!$B$30+'Inputs'!$B$31+'Inputs'!$B$32)/1000+'Inputs'!$B$21))^2+('Inputs'!$B$6/2)^2)))-'Results'!C7*(1-'Inputs'!$B$24)*(0.5*((((794-43)*MAX('Inputs'!$B$33,'Inputs'!$B$29+'Inputs'!$B$31+'Inputs'!$B$32,'Inputs'!$B$30+'Inputs'!$B$31+'Inputs'!$B$32)/1000+'Inputs'!$B$21+'Inputs'!$B$7+'Inputs'!$B$10)+'Inputs'!$B$9)/SQRT((((794-43)*MAX('Inputs'!$B$33,'Inputs'!$B$29+'Inputs'!$B$31+'Inputs'!$B$32,'Inputs'!$B$30+'Inputs'!$B$31+'Inputs'!$B$32)/1000+'Inputs'!$B$21+'Inputs'!$B$7+'Inputs'!$B$10)+'Inputs'!$B$9)^2+('Inputs'!$B$8/2)^2)-(((794-43)*MAX('Inputs'!$B$33,'Inputs'!$B$29+'Inputs'!$B$31+'Inputs'!$B$32,'Inputs'!$B$30+'Inputs'!$B$31+'Inputs'!$B$32)/1000+'Inputs'!$B$21+'Inputs'!$B$7+'Inputs'!$B$10))/SQRT((((794-43)*MAX('Inputs'!$B$33,'Inputs'!$B$29+'Inputs'!$B$31+'Inputs'!$B$32,'Inputs'!$B$30+'Inputs'!$B$31+'Inputs'!$B$32)/1000+'Inputs'!$B$21+'Inputs'!$B$7+'Inputs'!$B$10))^2+('Inputs'!$B$8/2)^2))))*'Results'!$B$8))),"")</x:f>
        <x:v>1.1553571149614295</x:v>
      </x:c>
      <x:c r="M794" t="n">
        <x:f>IF(AND(ISNUMBER('Results'!C7),ISNUMBER('Results'!B7),ISNUMBER('Results'!$B$8),ISNUMBER('Inputs'!$B$6),ISNUMBER('Inputs'!$B$7),ISNUMBER('Inputs'!$B$8),ISNUMBER('Inputs'!$B$9),ISNUMBER('Inputs'!$B$10),ISNUMBER('Inputs'!$B$21),ISNUMBER('Inputs'!$B$24),ISNUMBER('Inputs'!$B$28)),(('Results'!C7*(0.5*((((794-43)*MAX('Inputs'!$B$33,'Inputs'!$B$29+'Inputs'!$B$31+'Inputs'!$B$32,'Inputs'!$B$30+'Inputs'!$B$31+'Inputs'!$B$32)/1000+'Inputs'!$B$21)+'Inputs'!$B$9)/SQRT((((794-43)*MAX('Inputs'!$B$33,'Inputs'!$B$29+'Inputs'!$B$31+'Inputs'!$B$32,'Inputs'!$B$30+'Inputs'!$B$31+'Inputs'!$B$32)/1000+'Inputs'!$B$21)+'Inputs'!$B$9)^2+('Inputs'!$B$8/2)^2)-(((794-43)*MAX('Inputs'!$B$33,'Inputs'!$B$29+'Inputs'!$B$31+'Inputs'!$B$32,'Inputs'!$B$30+'Inputs'!$B$31+'Inputs'!$B$32)/1000+'Inputs'!$B$21))/SQRT((((794-43)*MAX('Inputs'!$B$33,'Inputs'!$B$29+'Inputs'!$B$31+'Inputs'!$B$32,'Inputs'!$B$30+'Inputs'!$B$31+'Inputs'!$B$32)/1000+'Inputs'!$B$21))^2+('Inputs'!$B$8/2)^2)))-'Results'!B7*(0.5*((((794-43)*MAX('Inputs'!$B$33,'Inputs'!$B$29+'Inputs'!$B$31+'Inputs'!$B$32,'Inputs'!$B$30+'Inputs'!$B$31+'Inputs'!$B$32)/1000+'Inputs'!$B$21+'Inputs'!$B$9+'Inputs'!$B$10)+'Inputs'!$B$7)/SQRT((((794-43)*MAX('Inputs'!$B$33,'Inputs'!$B$29+'Inputs'!$B$31+'Inputs'!$B$32,'Inputs'!$B$30+'Inputs'!$B$31+'Inputs'!$B$32)/1000+'Inputs'!$B$21+'Inputs'!$B$9+'Inputs'!$B$10)+'Inputs'!$B$7)^2+('Inputs'!$B$6/2)^2)-(((794-43)*MAX('Inputs'!$B$33,'Inputs'!$B$29+'Inputs'!$B$31+'Inputs'!$B$32,'Inputs'!$B$30+'Inputs'!$B$31+'Inputs'!$B$32)/1000+'Inputs'!$B$21+'Inputs'!$B$9+'Inputs'!$B$10))/SQRT((((794-43)*MAX('Inputs'!$B$33,'Inputs'!$B$29+'Inputs'!$B$31+'Inputs'!$B$32,'Inputs'!$B$30+'Inputs'!$B$31+'Inputs'!$B$32)/1000+'Inputs'!$B$21+'Inputs'!$B$9+'Inputs'!$B$10))^2+('Inputs'!$B$6/2)^2))))*'Results'!$B$8),"")</x:f>
        <x:v>0.9107504284702373</x:v>
      </x:c>
      <x:c r="N794" t="n">
        <x:f>IF(AND(ISNUMBER('Results'!C7),ISNUMBER('Results'!B7),ISNUMBER('Results'!$B$8),ISNUMBER('Inputs'!$B$6),ISNUMBER('Inputs'!$B$7),ISNUMBER('Inputs'!$B$8),ISNUMBER('Inputs'!$B$9),ISNUMBER('Inputs'!$B$10),ISNUMBER('Inputs'!$B$21),ISNUMBER('Inputs'!$B$24),ISNUMBER('Inputs'!$B$28)),((('Results'!C7*(1-'Inputs'!$B$24)*(0.5*((((794-43)*MAX('Inputs'!$B$33,'Inputs'!$B$29+'Inputs'!$B$31+'Inputs'!$B$32,'Inputs'!$B$30+'Inputs'!$B$31+'Inputs'!$B$32)/1000+'Inputs'!$B$21)+'Inputs'!$B$9)/SQRT((((794-43)*MAX('Inputs'!$B$33,'Inputs'!$B$29+'Inputs'!$B$31+'Inputs'!$B$32,'Inputs'!$B$30+'Inputs'!$B$31+'Inputs'!$B$32)/1000+'Inputs'!$B$21)+'Inputs'!$B$9)^2+('Inputs'!$B$8/2)^2)-(((794-43)*MAX('Inputs'!$B$33,'Inputs'!$B$29+'Inputs'!$B$31+'Inputs'!$B$32,'Inputs'!$B$30+'Inputs'!$B$31+'Inputs'!$B$32)/1000+'Inputs'!$B$21))/SQRT((((794-43)*MAX('Inputs'!$B$33,'Inputs'!$B$29+'Inputs'!$B$31+'Inputs'!$B$32,'Inputs'!$B$30+'Inputs'!$B$31+'Inputs'!$B$32)/1000+'Inputs'!$B$21))^2+('Inputs'!$B$8/2)^2)))-'Results'!B7*(1+'Inputs'!$B$24)*(0.5*((((794-43)*MAX('Inputs'!$B$33,'Inputs'!$B$29+'Inputs'!$B$31+'Inputs'!$B$32,'Inputs'!$B$30+'Inputs'!$B$31+'Inputs'!$B$32)/1000+'Inputs'!$B$21+'Inputs'!$B$9+'Inputs'!$B$10)+'Inputs'!$B$7)/SQRT((((794-43)*MAX('Inputs'!$B$33,'Inputs'!$B$29+'Inputs'!$B$31+'Inputs'!$B$32,'Inputs'!$B$30+'Inputs'!$B$31+'Inputs'!$B$32)/1000+'Inputs'!$B$21+'Inputs'!$B$9+'Inputs'!$B$10)+'Inputs'!$B$7)^2+('Inputs'!$B$6/2)^2)-(((794-43)*MAX('Inputs'!$B$33,'Inputs'!$B$29+'Inputs'!$B$31+'Inputs'!$B$32,'Inputs'!$B$30+'Inputs'!$B$31+'Inputs'!$B$32)/1000+'Inputs'!$B$21+'Inputs'!$B$9+'Inputs'!$B$10))/SQRT((((794-43)*MAX('Inputs'!$B$33,'Inputs'!$B$29+'Inputs'!$B$31+'Inputs'!$B$32,'Inputs'!$B$30+'Inputs'!$B$31+'Inputs'!$B$32)/1000+'Inputs'!$B$21+'Inputs'!$B$9+'Inputs'!$B$10))^2+('Inputs'!$B$6/2)^2))))*'Results'!$B$8)-'Inputs'!$B$28*ABS((('Results'!C7*(1-'Inputs'!$B$24)*(0.5*((((794-43)*MAX('Inputs'!$B$33,'Inputs'!$B$29+'Inputs'!$B$31+'Inputs'!$B$32,'Inputs'!$B$30+'Inputs'!$B$31+'Inputs'!$B$32)/1000+'Inputs'!$B$21)+'Inputs'!$B$9)/SQRT((((794-43)*MAX('Inputs'!$B$33,'Inputs'!$B$29+'Inputs'!$B$31+'Inputs'!$B$32,'Inputs'!$B$30+'Inputs'!$B$31+'Inputs'!$B$32)/1000+'Inputs'!$B$21)+'Inputs'!$B$9)^2+('Inputs'!$B$8/2)^2)-(((794-43)*MAX('Inputs'!$B$33,'Inputs'!$B$29+'Inputs'!$B$31+'Inputs'!$B$32,'Inputs'!$B$30+'Inputs'!$B$31+'Inputs'!$B$32)/1000+'Inputs'!$B$21))/SQRT((((794-43)*MAX('Inputs'!$B$33,'Inputs'!$B$29+'Inputs'!$B$31+'Inputs'!$B$32,'Inputs'!$B$30+'Inputs'!$B$31+'Inputs'!$B$32)/1000+'Inputs'!$B$21))^2+('Inputs'!$B$8/2)^2)))-'Results'!B7*(1+'Inputs'!$B$24)*(0.5*((((794-43)*MAX('Inputs'!$B$33,'Inputs'!$B$29+'Inputs'!$B$31+'Inputs'!$B$32,'Inputs'!$B$30+'Inputs'!$B$31+'Inputs'!$B$32)/1000+'Inputs'!$B$21+'Inputs'!$B$9+'Inputs'!$B$10)+'Inputs'!$B$7)/SQRT((((794-43)*MAX('Inputs'!$B$33,'Inputs'!$B$29+'Inputs'!$B$31+'Inputs'!$B$32,'Inputs'!$B$30+'Inputs'!$B$31+'Inputs'!$B$32)/1000+'Inputs'!$B$21+'Inputs'!$B$9+'Inputs'!$B$10)+'Inputs'!$B$7)^2+('Inputs'!$B$6/2)^2)-(((794-43)*MAX('Inputs'!$B$33,'Inputs'!$B$29+'Inputs'!$B$31+'Inputs'!$B$32,'Inputs'!$B$30+'Inputs'!$B$31+'Inputs'!$B$32)/1000+'Inputs'!$B$21+'Inputs'!$B$9+'Inputs'!$B$10))/SQRT((((794-43)*MAX('Inputs'!$B$33,'Inputs'!$B$29+'Inputs'!$B$31+'Inputs'!$B$32,'Inputs'!$B$30+'Inputs'!$B$31+'Inputs'!$B$32)/1000+'Inputs'!$B$21+'Inputs'!$B$9+'Inputs'!$B$10))^2+('Inputs'!$B$6/2)^2))))*'Results'!$B$8))),"")</x:f>
        <x:v>0.7758857696322109</x:v>
      </x:c>
      <x:c r="O794" t="n">
        <x:f>IF(AND(ISNUMBER('Results'!C7),ISNUMBER('Results'!B7),ISNUMBER('Results'!$B$8),ISNUMBER('Inputs'!$B$6),ISNUMBER('Inputs'!$B$7),ISNUMBER('Inputs'!$B$8),ISNUMBER('Inputs'!$B$9),ISNUMBER('Inputs'!$B$10),ISNUMBER('Inputs'!$B$21),ISNUMBER('Inputs'!$B$24),ISNUMBER('Inputs'!$B$28)),((('Results'!C7*(1+'Inputs'!$B$24)*(0.5*((((794-43)*MAX('Inputs'!$B$33,'Inputs'!$B$29+'Inputs'!$B$31+'Inputs'!$B$32,'Inputs'!$B$30+'Inputs'!$B$31+'Inputs'!$B$32)/1000+'Inputs'!$B$21)+'Inputs'!$B$9)/SQRT((((794-43)*MAX('Inputs'!$B$33,'Inputs'!$B$29+'Inputs'!$B$31+'Inputs'!$B$32,'Inputs'!$B$30+'Inputs'!$B$31+'Inputs'!$B$32)/1000+'Inputs'!$B$21)+'Inputs'!$B$9)^2+('Inputs'!$B$8/2)^2)-(((794-43)*MAX('Inputs'!$B$33,'Inputs'!$B$29+'Inputs'!$B$31+'Inputs'!$B$32,'Inputs'!$B$30+'Inputs'!$B$31+'Inputs'!$B$32)/1000+'Inputs'!$B$21))/SQRT((((794-43)*MAX('Inputs'!$B$33,'Inputs'!$B$29+'Inputs'!$B$31+'Inputs'!$B$32,'Inputs'!$B$30+'Inputs'!$B$31+'Inputs'!$B$32)/1000+'Inputs'!$B$21))^2+('Inputs'!$B$8/2)^2)))-'Results'!B7*(1-'Inputs'!$B$24)*(0.5*((((794-43)*MAX('Inputs'!$B$33,'Inputs'!$B$29+'Inputs'!$B$31+'Inputs'!$B$32,'Inputs'!$B$30+'Inputs'!$B$31+'Inputs'!$B$32)/1000+'Inputs'!$B$21+'Inputs'!$B$9+'Inputs'!$B$10)+'Inputs'!$B$7)/SQRT((((794-43)*MAX('Inputs'!$B$33,'Inputs'!$B$29+'Inputs'!$B$31+'Inputs'!$B$32,'Inputs'!$B$30+'Inputs'!$B$31+'Inputs'!$B$32)/1000+'Inputs'!$B$21+'Inputs'!$B$9+'Inputs'!$B$10)+'Inputs'!$B$7)^2+('Inputs'!$B$6/2)^2)-(((794-43)*MAX('Inputs'!$B$33,'Inputs'!$B$29+'Inputs'!$B$31+'Inputs'!$B$32,'Inputs'!$B$30+'Inputs'!$B$31+'Inputs'!$B$32)/1000+'Inputs'!$B$21+'Inputs'!$B$9+'Inputs'!$B$10))/SQRT((((794-43)*MAX('Inputs'!$B$33,'Inputs'!$B$29+'Inputs'!$B$31+'Inputs'!$B$32,'Inputs'!$B$30+'Inputs'!$B$31+'Inputs'!$B$32)/1000+'Inputs'!$B$21+'Inputs'!$B$9+'Inputs'!$B$10))^2+('Inputs'!$B$6/2)^2))))*'Results'!$B$8)+'Inputs'!$B$28*ABS((('Results'!C7*(1+'Inputs'!$B$24)*(0.5*((((794-43)*MAX('Inputs'!$B$33,'Inputs'!$B$29+'Inputs'!$B$31+'Inputs'!$B$32,'Inputs'!$B$30+'Inputs'!$B$31+'Inputs'!$B$32)/1000+'Inputs'!$B$21)+'Inputs'!$B$9)/SQRT((((794-43)*MAX('Inputs'!$B$33,'Inputs'!$B$29+'Inputs'!$B$31+'Inputs'!$B$32,'Inputs'!$B$30+'Inputs'!$B$31+'Inputs'!$B$32)/1000+'Inputs'!$B$21)+'Inputs'!$B$9)^2+('Inputs'!$B$8/2)^2)-(((794-43)*MAX('Inputs'!$B$33,'Inputs'!$B$29+'Inputs'!$B$31+'Inputs'!$B$32,'Inputs'!$B$30+'Inputs'!$B$31+'Inputs'!$B$32)/1000+'Inputs'!$B$21))/SQRT((((794-43)*MAX('Inputs'!$B$33,'Inputs'!$B$29+'Inputs'!$B$31+'Inputs'!$B$32,'Inputs'!$B$30+'Inputs'!$B$31+'Inputs'!$B$32)/1000+'Inputs'!$B$21))^2+('Inputs'!$B$8/2)^2)))-'Results'!B7*(1-'Inputs'!$B$24)*(0.5*((((794-43)*MAX('Inputs'!$B$33,'Inputs'!$B$29+'Inputs'!$B$31+'Inputs'!$B$32,'Inputs'!$B$30+'Inputs'!$B$31+'Inputs'!$B$32)/1000+'Inputs'!$B$21+'Inputs'!$B$9+'Inputs'!$B$10)+'Inputs'!$B$7)/SQRT((((794-43)*MAX('Inputs'!$B$33,'Inputs'!$B$29+'Inputs'!$B$31+'Inputs'!$B$32,'Inputs'!$B$30+'Inputs'!$B$31+'Inputs'!$B$32)/1000+'Inputs'!$B$21+'Inputs'!$B$9+'Inputs'!$B$10)+'Inputs'!$B$7)^2+('Inputs'!$B$6/2)^2)-(((794-43)*MAX('Inputs'!$B$33,'Inputs'!$B$29+'Inputs'!$B$31+'Inputs'!$B$32,'Inputs'!$B$30+'Inputs'!$B$31+'Inputs'!$B$32)/1000+'Inputs'!$B$21+'Inputs'!$B$9+'Inputs'!$B$10))/SQRT((((794-43)*MAX('Inputs'!$B$33,'Inputs'!$B$29+'Inputs'!$B$31+'Inputs'!$B$32,'Inputs'!$B$30+'Inputs'!$B$31+'Inputs'!$B$32)/1000+'Inputs'!$B$21+'Inputs'!$B$9+'Inputs'!$B$10))^2+('Inputs'!$B$6/2)^2))))*'Results'!$B$8))),"")</x:f>
        <x:v>1.055017943878213</x:v>
      </x:c>
      <x:c r="P794" t="n">
        <x:f>IF(AND(MAX(J794,J793)&gt;0,J794&gt;J793+0.00000001),1,0)</x:f>
        <x:v>0</x:v>
      </x:c>
      <x:c r="Q794" t="n">
        <x:f>IF(AND(MAX(K794,K793)&gt;0,K794&gt;K793+0.00000001),1,0)</x:f>
        <x:v>0</x:v>
      </x:c>
      <x:c r="R794" t="n">
        <x:f>IF(AND(MAX(L794,L793)&gt;0,L794&gt;L793+0.00000001),1,0)</x:f>
        <x:v>0</x:v>
      </x:c>
      <x:c r="S794" t="n">
        <x:f>IF(AND(MAX(M794,M793)&gt;0,M794&gt;M793+0.00000001),1,0)</x:f>
        <x:v>0</x:v>
      </x:c>
      <x:c r="T794" t="n">
        <x:f>IF(AND(MAX(N794,N793)&gt;0,N794&gt;N793+0.00000001),1,0)</x:f>
        <x:v>0</x:v>
      </x:c>
      <x:c r="U794" t="n">
        <x:f>IF(AND(MAX(O794,O793)&gt;0,O794&gt;O793+0.00000001),1,0)</x:f>
        <x:v>0</x:v>
      </x:c>
    </x:row>
    <x:row r="795">
      <x:c r="J795" t="n">
        <x:f>IF(AND(ISNUMBER('Results'!B7),ISNUMBER('Results'!C7),ISNUMBER('Results'!$B$8),ISNUMBER('Inputs'!$B$6),ISNUMBER('Inputs'!$B$7),ISNUMBER('Inputs'!$B$8),ISNUMBER('Inputs'!$B$9),ISNUMBER('Inputs'!$B$10),ISNUMBER('Inputs'!$B$21),ISNUMBER('Inputs'!$B$24),ISNUMBER('Inputs'!$B$28)),(('Results'!B7*(0.5*((((795-43)*MAX('Inputs'!$B$33,'Inputs'!$B$29+'Inputs'!$B$31+'Inputs'!$B$32,'Inputs'!$B$30+'Inputs'!$B$31+'Inputs'!$B$32)/1000+'Inputs'!$B$21)+'Inputs'!$B$7)/SQRT((((795-43)*MAX('Inputs'!$B$33,'Inputs'!$B$29+'Inputs'!$B$31+'Inputs'!$B$32,'Inputs'!$B$30+'Inputs'!$B$31+'Inputs'!$B$32)/1000+'Inputs'!$B$21)+'Inputs'!$B$7)^2+('Inputs'!$B$6/2)^2)-(((795-43)*MAX('Inputs'!$B$33,'Inputs'!$B$29+'Inputs'!$B$31+'Inputs'!$B$32,'Inputs'!$B$30+'Inputs'!$B$31+'Inputs'!$B$32)/1000+'Inputs'!$B$21))/SQRT((((795-43)*MAX('Inputs'!$B$33,'Inputs'!$B$29+'Inputs'!$B$31+'Inputs'!$B$32,'Inputs'!$B$30+'Inputs'!$B$31+'Inputs'!$B$32)/1000+'Inputs'!$B$21))^2+('Inputs'!$B$6/2)^2)))-'Results'!C7*(0.5*((((795-43)*MAX('Inputs'!$B$33,'Inputs'!$B$29+'Inputs'!$B$31+'Inputs'!$B$32,'Inputs'!$B$30+'Inputs'!$B$31+'Inputs'!$B$32)/1000+'Inputs'!$B$21+'Inputs'!$B$7+'Inputs'!$B$10)+'Inputs'!$B$9)/SQRT((((795-43)*MAX('Inputs'!$B$33,'Inputs'!$B$29+'Inputs'!$B$31+'Inputs'!$B$32,'Inputs'!$B$30+'Inputs'!$B$31+'Inputs'!$B$32)/1000+'Inputs'!$B$21+'Inputs'!$B$7+'Inputs'!$B$10)+'Inputs'!$B$9)^2+('Inputs'!$B$8/2)^2)-(((795-43)*MAX('Inputs'!$B$33,'Inputs'!$B$29+'Inputs'!$B$31+'Inputs'!$B$32,'Inputs'!$B$30+'Inputs'!$B$31+'Inputs'!$B$32)/1000+'Inputs'!$B$21+'Inputs'!$B$7+'Inputs'!$B$10))/SQRT((((795-43)*MAX('Inputs'!$B$33,'Inputs'!$B$29+'Inputs'!$B$31+'Inputs'!$B$32,'Inputs'!$B$30+'Inputs'!$B$31+'Inputs'!$B$32)/1000+'Inputs'!$B$21+'Inputs'!$B$7+'Inputs'!$B$10))^2+('Inputs'!$B$8/2)^2))))*'Results'!$B$8),"")</x:f>
        <x:v>1.00114892725979</x:v>
      </x:c>
      <x:c r="K795" t="n">
        <x:f>IF(AND(ISNUMBER('Results'!B7),ISNUMBER('Results'!C7),ISNUMBER('Results'!$B$8),ISNUMBER('Inputs'!$B$6),ISNUMBER('Inputs'!$B$7),ISNUMBER('Inputs'!$B$8),ISNUMBER('Inputs'!$B$9),ISNUMBER('Inputs'!$B$10),ISNUMBER('Inputs'!$B$21),ISNUMBER('Inputs'!$B$24),ISNUMBER('Inputs'!$B$28)),((('Results'!B7*(1-'Inputs'!$B$24)*(0.5*((((795-43)*MAX('Inputs'!$B$33,'Inputs'!$B$29+'Inputs'!$B$31+'Inputs'!$B$32,'Inputs'!$B$30+'Inputs'!$B$31+'Inputs'!$B$32)/1000+'Inputs'!$B$21)+'Inputs'!$B$7)/SQRT((((795-43)*MAX('Inputs'!$B$33,'Inputs'!$B$29+'Inputs'!$B$31+'Inputs'!$B$32,'Inputs'!$B$30+'Inputs'!$B$31+'Inputs'!$B$32)/1000+'Inputs'!$B$21)+'Inputs'!$B$7)^2+('Inputs'!$B$6/2)^2)-(((795-43)*MAX('Inputs'!$B$33,'Inputs'!$B$29+'Inputs'!$B$31+'Inputs'!$B$32,'Inputs'!$B$30+'Inputs'!$B$31+'Inputs'!$B$32)/1000+'Inputs'!$B$21))/SQRT((((795-43)*MAX('Inputs'!$B$33,'Inputs'!$B$29+'Inputs'!$B$31+'Inputs'!$B$32,'Inputs'!$B$30+'Inputs'!$B$31+'Inputs'!$B$32)/1000+'Inputs'!$B$21))^2+('Inputs'!$B$6/2)^2)))-'Results'!C7*(1+'Inputs'!$B$24)*(0.5*((((795-43)*MAX('Inputs'!$B$33,'Inputs'!$B$29+'Inputs'!$B$31+'Inputs'!$B$32,'Inputs'!$B$30+'Inputs'!$B$31+'Inputs'!$B$32)/1000+'Inputs'!$B$21+'Inputs'!$B$7+'Inputs'!$B$10)+'Inputs'!$B$9)/SQRT((((795-43)*MAX('Inputs'!$B$33,'Inputs'!$B$29+'Inputs'!$B$31+'Inputs'!$B$32,'Inputs'!$B$30+'Inputs'!$B$31+'Inputs'!$B$32)/1000+'Inputs'!$B$21+'Inputs'!$B$7+'Inputs'!$B$10)+'Inputs'!$B$9)^2+('Inputs'!$B$8/2)^2)-(((795-43)*MAX('Inputs'!$B$33,'Inputs'!$B$29+'Inputs'!$B$31+'Inputs'!$B$32,'Inputs'!$B$30+'Inputs'!$B$31+'Inputs'!$B$32)/1000+'Inputs'!$B$21+'Inputs'!$B$7+'Inputs'!$B$10))/SQRT((((795-43)*MAX('Inputs'!$B$33,'Inputs'!$B$29+'Inputs'!$B$31+'Inputs'!$B$32,'Inputs'!$B$30+'Inputs'!$B$31+'Inputs'!$B$32)/1000+'Inputs'!$B$21+'Inputs'!$B$7+'Inputs'!$B$10))^2+('Inputs'!$B$8/2)^2))))*'Results'!$B$8)-'Inputs'!$B$28*ABS((('Results'!B7*(1-'Inputs'!$B$24)*(0.5*((((795-43)*MAX('Inputs'!$B$33,'Inputs'!$B$29+'Inputs'!$B$31+'Inputs'!$B$32,'Inputs'!$B$30+'Inputs'!$B$31+'Inputs'!$B$32)/1000+'Inputs'!$B$21)+'Inputs'!$B$7)/SQRT((((795-43)*MAX('Inputs'!$B$33,'Inputs'!$B$29+'Inputs'!$B$31+'Inputs'!$B$32,'Inputs'!$B$30+'Inputs'!$B$31+'Inputs'!$B$32)/1000+'Inputs'!$B$21)+'Inputs'!$B$7)^2+('Inputs'!$B$6/2)^2)-(((795-43)*MAX('Inputs'!$B$33,'Inputs'!$B$29+'Inputs'!$B$31+'Inputs'!$B$32,'Inputs'!$B$30+'Inputs'!$B$31+'Inputs'!$B$32)/1000+'Inputs'!$B$21))/SQRT((((795-43)*MAX('Inputs'!$B$33,'Inputs'!$B$29+'Inputs'!$B$31+'Inputs'!$B$32,'Inputs'!$B$30+'Inputs'!$B$31+'Inputs'!$B$32)/1000+'Inputs'!$B$21))^2+('Inputs'!$B$6/2)^2)))-'Results'!C7*(1+'Inputs'!$B$24)*(0.5*((((795-43)*MAX('Inputs'!$B$33,'Inputs'!$B$29+'Inputs'!$B$31+'Inputs'!$B$32,'Inputs'!$B$30+'Inputs'!$B$31+'Inputs'!$B$32)/1000+'Inputs'!$B$21+'Inputs'!$B$7+'Inputs'!$B$10)+'Inputs'!$B$9)/SQRT((((795-43)*MAX('Inputs'!$B$33,'Inputs'!$B$29+'Inputs'!$B$31+'Inputs'!$B$32,'Inputs'!$B$30+'Inputs'!$B$31+'Inputs'!$B$32)/1000+'Inputs'!$B$21+'Inputs'!$B$7+'Inputs'!$B$10)+'Inputs'!$B$9)^2+('Inputs'!$B$8/2)^2)-(((795-43)*MAX('Inputs'!$B$33,'Inputs'!$B$29+'Inputs'!$B$31+'Inputs'!$B$32,'Inputs'!$B$30+'Inputs'!$B$31+'Inputs'!$B$32)/1000+'Inputs'!$B$21+'Inputs'!$B$7+'Inputs'!$B$10))/SQRT((((795-43)*MAX('Inputs'!$B$33,'Inputs'!$B$29+'Inputs'!$B$31+'Inputs'!$B$32,'Inputs'!$B$30+'Inputs'!$B$31+'Inputs'!$B$32)/1000+'Inputs'!$B$21+'Inputs'!$B$7+'Inputs'!$B$10))^2+('Inputs'!$B$8/2)^2))))*'Results'!$B$8))),"")</x:f>
        <x:v>0.8617240668958629</x:v>
      </x:c>
      <x:c r="L795" t="n">
        <x:f>IF(AND(ISNUMBER('Results'!B7),ISNUMBER('Results'!C7),ISNUMBER('Results'!$B$8),ISNUMBER('Inputs'!$B$6),ISNUMBER('Inputs'!$B$7),ISNUMBER('Inputs'!$B$8),ISNUMBER('Inputs'!$B$9),ISNUMBER('Inputs'!$B$10),ISNUMBER('Inputs'!$B$21),ISNUMBER('Inputs'!$B$24),ISNUMBER('Inputs'!$B$28)),((('Results'!B7*(1+'Inputs'!$B$24)*(0.5*((((795-43)*MAX('Inputs'!$B$33,'Inputs'!$B$29+'Inputs'!$B$31+'Inputs'!$B$32,'Inputs'!$B$30+'Inputs'!$B$31+'Inputs'!$B$32)/1000+'Inputs'!$B$21)+'Inputs'!$B$7)/SQRT((((795-43)*MAX('Inputs'!$B$33,'Inputs'!$B$29+'Inputs'!$B$31+'Inputs'!$B$32,'Inputs'!$B$30+'Inputs'!$B$31+'Inputs'!$B$32)/1000+'Inputs'!$B$21)+'Inputs'!$B$7)^2+('Inputs'!$B$6/2)^2)-(((795-43)*MAX('Inputs'!$B$33,'Inputs'!$B$29+'Inputs'!$B$31+'Inputs'!$B$32,'Inputs'!$B$30+'Inputs'!$B$31+'Inputs'!$B$32)/1000+'Inputs'!$B$21))/SQRT((((795-43)*MAX('Inputs'!$B$33,'Inputs'!$B$29+'Inputs'!$B$31+'Inputs'!$B$32,'Inputs'!$B$30+'Inputs'!$B$31+'Inputs'!$B$32)/1000+'Inputs'!$B$21))^2+('Inputs'!$B$6/2)^2)))-'Results'!C7*(1-'Inputs'!$B$24)*(0.5*((((795-43)*MAX('Inputs'!$B$33,'Inputs'!$B$29+'Inputs'!$B$31+'Inputs'!$B$32,'Inputs'!$B$30+'Inputs'!$B$31+'Inputs'!$B$32)/1000+'Inputs'!$B$21+'Inputs'!$B$7+'Inputs'!$B$10)+'Inputs'!$B$9)/SQRT((((795-43)*MAX('Inputs'!$B$33,'Inputs'!$B$29+'Inputs'!$B$31+'Inputs'!$B$32,'Inputs'!$B$30+'Inputs'!$B$31+'Inputs'!$B$32)/1000+'Inputs'!$B$21+'Inputs'!$B$7+'Inputs'!$B$10)+'Inputs'!$B$9)^2+('Inputs'!$B$8/2)^2)-(((795-43)*MAX('Inputs'!$B$33,'Inputs'!$B$29+'Inputs'!$B$31+'Inputs'!$B$32,'Inputs'!$B$30+'Inputs'!$B$31+'Inputs'!$B$32)/1000+'Inputs'!$B$21+'Inputs'!$B$7+'Inputs'!$B$10))/SQRT((((795-43)*MAX('Inputs'!$B$33,'Inputs'!$B$29+'Inputs'!$B$31+'Inputs'!$B$32,'Inputs'!$B$30+'Inputs'!$B$31+'Inputs'!$B$32)/1000+'Inputs'!$B$21+'Inputs'!$B$7+'Inputs'!$B$10))^2+('Inputs'!$B$8/2)^2))))*'Results'!$B$8)+'Inputs'!$B$28*ABS((('Results'!B7*(1+'Inputs'!$B$24)*(0.5*((((795-43)*MAX('Inputs'!$B$33,'Inputs'!$B$29+'Inputs'!$B$31+'Inputs'!$B$32,'Inputs'!$B$30+'Inputs'!$B$31+'Inputs'!$B$32)/1000+'Inputs'!$B$21)+'Inputs'!$B$7)/SQRT((((795-43)*MAX('Inputs'!$B$33,'Inputs'!$B$29+'Inputs'!$B$31+'Inputs'!$B$32,'Inputs'!$B$30+'Inputs'!$B$31+'Inputs'!$B$32)/1000+'Inputs'!$B$21)+'Inputs'!$B$7)^2+('Inputs'!$B$6/2)^2)-(((795-43)*MAX('Inputs'!$B$33,'Inputs'!$B$29+'Inputs'!$B$31+'Inputs'!$B$32,'Inputs'!$B$30+'Inputs'!$B$31+'Inputs'!$B$32)/1000+'Inputs'!$B$21))/SQRT((((795-43)*MAX('Inputs'!$B$33,'Inputs'!$B$29+'Inputs'!$B$31+'Inputs'!$B$32,'Inputs'!$B$30+'Inputs'!$B$31+'Inputs'!$B$32)/1000+'Inputs'!$B$21))^2+('Inputs'!$B$6/2)^2)))-'Results'!C7*(1-'Inputs'!$B$24)*(0.5*((((795-43)*MAX('Inputs'!$B$33,'Inputs'!$B$29+'Inputs'!$B$31+'Inputs'!$B$32,'Inputs'!$B$30+'Inputs'!$B$31+'Inputs'!$B$32)/1000+'Inputs'!$B$21+'Inputs'!$B$7+'Inputs'!$B$10)+'Inputs'!$B$9)/SQRT((((795-43)*MAX('Inputs'!$B$33,'Inputs'!$B$29+'Inputs'!$B$31+'Inputs'!$B$32,'Inputs'!$B$30+'Inputs'!$B$31+'Inputs'!$B$32)/1000+'Inputs'!$B$21+'Inputs'!$B$7+'Inputs'!$B$10)+'Inputs'!$B$9)^2+('Inputs'!$B$8/2)^2)-(((795-43)*MAX('Inputs'!$B$33,'Inputs'!$B$29+'Inputs'!$B$31+'Inputs'!$B$32,'Inputs'!$B$30+'Inputs'!$B$31+'Inputs'!$B$32)/1000+'Inputs'!$B$21+'Inputs'!$B$7+'Inputs'!$B$10))/SQRT((((795-43)*MAX('Inputs'!$B$33,'Inputs'!$B$29+'Inputs'!$B$31+'Inputs'!$B$32,'Inputs'!$B$30+'Inputs'!$B$31+'Inputs'!$B$32)/1000+'Inputs'!$B$21+'Inputs'!$B$7+'Inputs'!$B$10))^2+('Inputs'!$B$8/2)^2))))*'Results'!$B$8))),"")</x:f>
        <x:v>1.1499808838343424</x:v>
      </x:c>
      <x:c r="M795" t="n">
        <x:f>IF(AND(ISNUMBER('Results'!C7),ISNUMBER('Results'!B7),ISNUMBER('Results'!$B$8),ISNUMBER('Inputs'!$B$6),ISNUMBER('Inputs'!$B$7),ISNUMBER('Inputs'!$B$8),ISNUMBER('Inputs'!$B$9),ISNUMBER('Inputs'!$B$10),ISNUMBER('Inputs'!$B$21),ISNUMBER('Inputs'!$B$24),ISNUMBER('Inputs'!$B$28)),(('Results'!C7*(0.5*((((795-43)*MAX('Inputs'!$B$33,'Inputs'!$B$29+'Inputs'!$B$31+'Inputs'!$B$32,'Inputs'!$B$30+'Inputs'!$B$31+'Inputs'!$B$32)/1000+'Inputs'!$B$21)+'Inputs'!$B$9)/SQRT((((795-43)*MAX('Inputs'!$B$33,'Inputs'!$B$29+'Inputs'!$B$31+'Inputs'!$B$32,'Inputs'!$B$30+'Inputs'!$B$31+'Inputs'!$B$32)/1000+'Inputs'!$B$21)+'Inputs'!$B$9)^2+('Inputs'!$B$8/2)^2)-(((795-43)*MAX('Inputs'!$B$33,'Inputs'!$B$29+'Inputs'!$B$31+'Inputs'!$B$32,'Inputs'!$B$30+'Inputs'!$B$31+'Inputs'!$B$32)/1000+'Inputs'!$B$21))/SQRT((((795-43)*MAX('Inputs'!$B$33,'Inputs'!$B$29+'Inputs'!$B$31+'Inputs'!$B$32,'Inputs'!$B$30+'Inputs'!$B$31+'Inputs'!$B$32)/1000+'Inputs'!$B$21))^2+('Inputs'!$B$8/2)^2)))-'Results'!B7*(0.5*((((795-43)*MAX('Inputs'!$B$33,'Inputs'!$B$29+'Inputs'!$B$31+'Inputs'!$B$32,'Inputs'!$B$30+'Inputs'!$B$31+'Inputs'!$B$32)/1000+'Inputs'!$B$21+'Inputs'!$B$9+'Inputs'!$B$10)+'Inputs'!$B$7)/SQRT((((795-43)*MAX('Inputs'!$B$33,'Inputs'!$B$29+'Inputs'!$B$31+'Inputs'!$B$32,'Inputs'!$B$30+'Inputs'!$B$31+'Inputs'!$B$32)/1000+'Inputs'!$B$21+'Inputs'!$B$9+'Inputs'!$B$10)+'Inputs'!$B$7)^2+('Inputs'!$B$6/2)^2)-(((795-43)*MAX('Inputs'!$B$33,'Inputs'!$B$29+'Inputs'!$B$31+'Inputs'!$B$32,'Inputs'!$B$30+'Inputs'!$B$31+'Inputs'!$B$32)/1000+'Inputs'!$B$21+'Inputs'!$B$9+'Inputs'!$B$10))/SQRT((((795-43)*MAX('Inputs'!$B$33,'Inputs'!$B$29+'Inputs'!$B$31+'Inputs'!$B$32,'Inputs'!$B$30+'Inputs'!$B$31+'Inputs'!$B$32)/1000+'Inputs'!$B$21+'Inputs'!$B$9+'Inputs'!$B$10))^2+('Inputs'!$B$6/2)^2))))*'Results'!$B$8),"")</x:f>
        <x:v>0.9063223734845497</x:v>
      </x:c>
      <x:c r="N795" t="n">
        <x:f>IF(AND(ISNUMBER('Results'!C7),ISNUMBER('Results'!B7),ISNUMBER('Results'!$B$8),ISNUMBER('Inputs'!$B$6),ISNUMBER('Inputs'!$B$7),ISNUMBER('Inputs'!$B$8),ISNUMBER('Inputs'!$B$9),ISNUMBER('Inputs'!$B$10),ISNUMBER('Inputs'!$B$21),ISNUMBER('Inputs'!$B$24),ISNUMBER('Inputs'!$B$28)),((('Results'!C7*(1-'Inputs'!$B$24)*(0.5*((((795-43)*MAX('Inputs'!$B$33,'Inputs'!$B$29+'Inputs'!$B$31+'Inputs'!$B$32,'Inputs'!$B$30+'Inputs'!$B$31+'Inputs'!$B$32)/1000+'Inputs'!$B$21)+'Inputs'!$B$9)/SQRT((((795-43)*MAX('Inputs'!$B$33,'Inputs'!$B$29+'Inputs'!$B$31+'Inputs'!$B$32,'Inputs'!$B$30+'Inputs'!$B$31+'Inputs'!$B$32)/1000+'Inputs'!$B$21)+'Inputs'!$B$9)^2+('Inputs'!$B$8/2)^2)-(((795-43)*MAX('Inputs'!$B$33,'Inputs'!$B$29+'Inputs'!$B$31+'Inputs'!$B$32,'Inputs'!$B$30+'Inputs'!$B$31+'Inputs'!$B$32)/1000+'Inputs'!$B$21))/SQRT((((795-43)*MAX('Inputs'!$B$33,'Inputs'!$B$29+'Inputs'!$B$31+'Inputs'!$B$32,'Inputs'!$B$30+'Inputs'!$B$31+'Inputs'!$B$32)/1000+'Inputs'!$B$21))^2+('Inputs'!$B$8/2)^2)))-'Results'!B7*(1+'Inputs'!$B$24)*(0.5*((((795-43)*MAX('Inputs'!$B$33,'Inputs'!$B$29+'Inputs'!$B$31+'Inputs'!$B$32,'Inputs'!$B$30+'Inputs'!$B$31+'Inputs'!$B$32)/1000+'Inputs'!$B$21+'Inputs'!$B$9+'Inputs'!$B$10)+'Inputs'!$B$7)/SQRT((((795-43)*MAX('Inputs'!$B$33,'Inputs'!$B$29+'Inputs'!$B$31+'Inputs'!$B$32,'Inputs'!$B$30+'Inputs'!$B$31+'Inputs'!$B$32)/1000+'Inputs'!$B$21+'Inputs'!$B$9+'Inputs'!$B$10)+'Inputs'!$B$7)^2+('Inputs'!$B$6/2)^2)-(((795-43)*MAX('Inputs'!$B$33,'Inputs'!$B$29+'Inputs'!$B$31+'Inputs'!$B$32,'Inputs'!$B$30+'Inputs'!$B$31+'Inputs'!$B$32)/1000+'Inputs'!$B$21+'Inputs'!$B$9+'Inputs'!$B$10))/SQRT((((795-43)*MAX('Inputs'!$B$33,'Inputs'!$B$29+'Inputs'!$B$31+'Inputs'!$B$32,'Inputs'!$B$30+'Inputs'!$B$31+'Inputs'!$B$32)/1000+'Inputs'!$B$21+'Inputs'!$B$9+'Inputs'!$B$10))^2+('Inputs'!$B$6/2)^2))))*'Results'!$B$8)-'Inputs'!$B$28*ABS((('Results'!C7*(1-'Inputs'!$B$24)*(0.5*((((795-43)*MAX('Inputs'!$B$33,'Inputs'!$B$29+'Inputs'!$B$31+'Inputs'!$B$32,'Inputs'!$B$30+'Inputs'!$B$31+'Inputs'!$B$32)/1000+'Inputs'!$B$21)+'Inputs'!$B$9)/SQRT((((795-43)*MAX('Inputs'!$B$33,'Inputs'!$B$29+'Inputs'!$B$31+'Inputs'!$B$32,'Inputs'!$B$30+'Inputs'!$B$31+'Inputs'!$B$32)/1000+'Inputs'!$B$21)+'Inputs'!$B$9)^2+('Inputs'!$B$8/2)^2)-(((795-43)*MAX('Inputs'!$B$33,'Inputs'!$B$29+'Inputs'!$B$31+'Inputs'!$B$32,'Inputs'!$B$30+'Inputs'!$B$31+'Inputs'!$B$32)/1000+'Inputs'!$B$21))/SQRT((((795-43)*MAX('Inputs'!$B$33,'Inputs'!$B$29+'Inputs'!$B$31+'Inputs'!$B$32,'Inputs'!$B$30+'Inputs'!$B$31+'Inputs'!$B$32)/1000+'Inputs'!$B$21))^2+('Inputs'!$B$8/2)^2)))-'Results'!B7*(1+'Inputs'!$B$24)*(0.5*((((795-43)*MAX('Inputs'!$B$33,'Inputs'!$B$29+'Inputs'!$B$31+'Inputs'!$B$32,'Inputs'!$B$30+'Inputs'!$B$31+'Inputs'!$B$32)/1000+'Inputs'!$B$21+'Inputs'!$B$9+'Inputs'!$B$10)+'Inputs'!$B$7)/SQRT((((795-43)*MAX('Inputs'!$B$33,'Inputs'!$B$29+'Inputs'!$B$31+'Inputs'!$B$32,'Inputs'!$B$30+'Inputs'!$B$31+'Inputs'!$B$32)/1000+'Inputs'!$B$21+'Inputs'!$B$9+'Inputs'!$B$10)+'Inputs'!$B$7)^2+('Inputs'!$B$6/2)^2)-(((795-43)*MAX('Inputs'!$B$33,'Inputs'!$B$29+'Inputs'!$B$31+'Inputs'!$B$32,'Inputs'!$B$30+'Inputs'!$B$31+'Inputs'!$B$32)/1000+'Inputs'!$B$21+'Inputs'!$B$9+'Inputs'!$B$10))/SQRT((((795-43)*MAX('Inputs'!$B$33,'Inputs'!$B$29+'Inputs'!$B$31+'Inputs'!$B$32,'Inputs'!$B$30+'Inputs'!$B$31+'Inputs'!$B$32)/1000+'Inputs'!$B$21+'Inputs'!$B$9+'Inputs'!$B$10))^2+('Inputs'!$B$6/2)^2))))*'Results'!$B$8))),"")</x:f>
        <x:v>0.772004921160032</x:v>
      </x:c>
      <x:c r="O795" t="n">
        <x:f>IF(AND(ISNUMBER('Results'!C7),ISNUMBER('Results'!B7),ISNUMBER('Results'!$B$8),ISNUMBER('Inputs'!$B$6),ISNUMBER('Inputs'!$B$7),ISNUMBER('Inputs'!$B$8),ISNUMBER('Inputs'!$B$9),ISNUMBER('Inputs'!$B$10),ISNUMBER('Inputs'!$B$21),ISNUMBER('Inputs'!$B$24),ISNUMBER('Inputs'!$B$28)),((('Results'!C7*(1+'Inputs'!$B$24)*(0.5*((((795-43)*MAX('Inputs'!$B$33,'Inputs'!$B$29+'Inputs'!$B$31+'Inputs'!$B$32,'Inputs'!$B$30+'Inputs'!$B$31+'Inputs'!$B$32)/1000+'Inputs'!$B$21)+'Inputs'!$B$9)/SQRT((((795-43)*MAX('Inputs'!$B$33,'Inputs'!$B$29+'Inputs'!$B$31+'Inputs'!$B$32,'Inputs'!$B$30+'Inputs'!$B$31+'Inputs'!$B$32)/1000+'Inputs'!$B$21)+'Inputs'!$B$9)^2+('Inputs'!$B$8/2)^2)-(((795-43)*MAX('Inputs'!$B$33,'Inputs'!$B$29+'Inputs'!$B$31+'Inputs'!$B$32,'Inputs'!$B$30+'Inputs'!$B$31+'Inputs'!$B$32)/1000+'Inputs'!$B$21))/SQRT((((795-43)*MAX('Inputs'!$B$33,'Inputs'!$B$29+'Inputs'!$B$31+'Inputs'!$B$32,'Inputs'!$B$30+'Inputs'!$B$31+'Inputs'!$B$32)/1000+'Inputs'!$B$21))^2+('Inputs'!$B$8/2)^2)))-'Results'!B7*(1-'Inputs'!$B$24)*(0.5*((((795-43)*MAX('Inputs'!$B$33,'Inputs'!$B$29+'Inputs'!$B$31+'Inputs'!$B$32,'Inputs'!$B$30+'Inputs'!$B$31+'Inputs'!$B$32)/1000+'Inputs'!$B$21+'Inputs'!$B$9+'Inputs'!$B$10)+'Inputs'!$B$7)/SQRT((((795-43)*MAX('Inputs'!$B$33,'Inputs'!$B$29+'Inputs'!$B$31+'Inputs'!$B$32,'Inputs'!$B$30+'Inputs'!$B$31+'Inputs'!$B$32)/1000+'Inputs'!$B$21+'Inputs'!$B$9+'Inputs'!$B$10)+'Inputs'!$B$7)^2+('Inputs'!$B$6/2)^2)-(((795-43)*MAX('Inputs'!$B$33,'Inputs'!$B$29+'Inputs'!$B$31+'Inputs'!$B$32,'Inputs'!$B$30+'Inputs'!$B$31+'Inputs'!$B$32)/1000+'Inputs'!$B$21+'Inputs'!$B$9+'Inputs'!$B$10))/SQRT((((795-43)*MAX('Inputs'!$B$33,'Inputs'!$B$29+'Inputs'!$B$31+'Inputs'!$B$32,'Inputs'!$B$30+'Inputs'!$B$31+'Inputs'!$B$32)/1000+'Inputs'!$B$21+'Inputs'!$B$9+'Inputs'!$B$10))^2+('Inputs'!$B$6/2)^2))))*'Results'!$B$8)+'Inputs'!$B$28*ABS((('Results'!C7*(1+'Inputs'!$B$24)*(0.5*((((795-43)*MAX('Inputs'!$B$33,'Inputs'!$B$29+'Inputs'!$B$31+'Inputs'!$B$32,'Inputs'!$B$30+'Inputs'!$B$31+'Inputs'!$B$32)/1000+'Inputs'!$B$21)+'Inputs'!$B$9)/SQRT((((795-43)*MAX('Inputs'!$B$33,'Inputs'!$B$29+'Inputs'!$B$31+'Inputs'!$B$32,'Inputs'!$B$30+'Inputs'!$B$31+'Inputs'!$B$32)/1000+'Inputs'!$B$21)+'Inputs'!$B$9)^2+('Inputs'!$B$8/2)^2)-(((795-43)*MAX('Inputs'!$B$33,'Inputs'!$B$29+'Inputs'!$B$31+'Inputs'!$B$32,'Inputs'!$B$30+'Inputs'!$B$31+'Inputs'!$B$32)/1000+'Inputs'!$B$21))/SQRT((((795-43)*MAX('Inputs'!$B$33,'Inputs'!$B$29+'Inputs'!$B$31+'Inputs'!$B$32,'Inputs'!$B$30+'Inputs'!$B$31+'Inputs'!$B$32)/1000+'Inputs'!$B$21))^2+('Inputs'!$B$8/2)^2)))-'Results'!B7*(1-'Inputs'!$B$24)*(0.5*((((795-43)*MAX('Inputs'!$B$33,'Inputs'!$B$29+'Inputs'!$B$31+'Inputs'!$B$32,'Inputs'!$B$30+'Inputs'!$B$31+'Inputs'!$B$32)/1000+'Inputs'!$B$21+'Inputs'!$B$9+'Inputs'!$B$10)+'Inputs'!$B$7)/SQRT((((795-43)*MAX('Inputs'!$B$33,'Inputs'!$B$29+'Inputs'!$B$31+'Inputs'!$B$32,'Inputs'!$B$30+'Inputs'!$B$31+'Inputs'!$B$32)/1000+'Inputs'!$B$21+'Inputs'!$B$9+'Inputs'!$B$10)+'Inputs'!$B$7)^2+('Inputs'!$B$6/2)^2)-(((795-43)*MAX('Inputs'!$B$33,'Inputs'!$B$29+'Inputs'!$B$31+'Inputs'!$B$32,'Inputs'!$B$30+'Inputs'!$B$31+'Inputs'!$B$32)/1000+'Inputs'!$B$21+'Inputs'!$B$9+'Inputs'!$B$10))/SQRT((((795-43)*MAX('Inputs'!$B$33,'Inputs'!$B$29+'Inputs'!$B$31+'Inputs'!$B$32,'Inputs'!$B$30+'Inputs'!$B$31+'Inputs'!$B$32)/1000+'Inputs'!$B$21+'Inputs'!$B$9+'Inputs'!$B$10))^2+('Inputs'!$B$6/2)^2))))*'Results'!$B$8))),"")</x:f>
        <x:v>1.0500083872459398</x:v>
      </x:c>
      <x:c r="P795" t="n">
        <x:f>IF(AND(MAX(J795,J794)&gt;0,J795&gt;J794+0.00000001),1,0)</x:f>
        <x:v>0</x:v>
      </x:c>
      <x:c r="Q795" t="n">
        <x:f>IF(AND(MAX(K795,K794)&gt;0,K795&gt;K794+0.00000001),1,0)</x:f>
        <x:v>0</x:v>
      </x:c>
      <x:c r="R795" t="n">
        <x:f>IF(AND(MAX(L795,L794)&gt;0,L795&gt;L794+0.00000001),1,0)</x:f>
        <x:v>0</x:v>
      </x:c>
      <x:c r="S795" t="n">
        <x:f>IF(AND(MAX(M795,M794)&gt;0,M795&gt;M794+0.00000001),1,0)</x:f>
        <x:v>0</x:v>
      </x:c>
      <x:c r="T795" t="n">
        <x:f>IF(AND(MAX(N795,N794)&gt;0,N795&gt;N794+0.00000001),1,0)</x:f>
        <x:v>0</x:v>
      </x:c>
      <x:c r="U795" t="n">
        <x:f>IF(AND(MAX(O795,O794)&gt;0,O795&gt;O794+0.00000001),1,0)</x:f>
        <x:v>0</x:v>
      </x:c>
    </x:row>
    <x:row r="796">
      <x:c r="J796" t="n">
        <x:f>IF(AND(ISNUMBER('Results'!B7),ISNUMBER('Results'!C7),ISNUMBER('Results'!$B$8),ISNUMBER('Inputs'!$B$6),ISNUMBER('Inputs'!$B$7),ISNUMBER('Inputs'!$B$8),ISNUMBER('Inputs'!$B$9),ISNUMBER('Inputs'!$B$10),ISNUMBER('Inputs'!$B$21),ISNUMBER('Inputs'!$B$24),ISNUMBER('Inputs'!$B$28)),(('Results'!B7*(0.5*((((796-43)*MAX('Inputs'!$B$33,'Inputs'!$B$29+'Inputs'!$B$31+'Inputs'!$B$32,'Inputs'!$B$30+'Inputs'!$B$31+'Inputs'!$B$32)/1000+'Inputs'!$B$21)+'Inputs'!$B$7)/SQRT((((796-43)*MAX('Inputs'!$B$33,'Inputs'!$B$29+'Inputs'!$B$31+'Inputs'!$B$32,'Inputs'!$B$30+'Inputs'!$B$31+'Inputs'!$B$32)/1000+'Inputs'!$B$21)+'Inputs'!$B$7)^2+('Inputs'!$B$6/2)^2)-(((796-43)*MAX('Inputs'!$B$33,'Inputs'!$B$29+'Inputs'!$B$31+'Inputs'!$B$32,'Inputs'!$B$30+'Inputs'!$B$31+'Inputs'!$B$32)/1000+'Inputs'!$B$21))/SQRT((((796-43)*MAX('Inputs'!$B$33,'Inputs'!$B$29+'Inputs'!$B$31+'Inputs'!$B$32,'Inputs'!$B$30+'Inputs'!$B$31+'Inputs'!$B$32)/1000+'Inputs'!$B$21))^2+('Inputs'!$B$6/2)^2)))-'Results'!C7*(0.5*((((796-43)*MAX('Inputs'!$B$33,'Inputs'!$B$29+'Inputs'!$B$31+'Inputs'!$B$32,'Inputs'!$B$30+'Inputs'!$B$31+'Inputs'!$B$32)/1000+'Inputs'!$B$21+'Inputs'!$B$7+'Inputs'!$B$10)+'Inputs'!$B$9)/SQRT((((796-43)*MAX('Inputs'!$B$33,'Inputs'!$B$29+'Inputs'!$B$31+'Inputs'!$B$32,'Inputs'!$B$30+'Inputs'!$B$31+'Inputs'!$B$32)/1000+'Inputs'!$B$21+'Inputs'!$B$7+'Inputs'!$B$10)+'Inputs'!$B$9)^2+('Inputs'!$B$8/2)^2)-(((796-43)*MAX('Inputs'!$B$33,'Inputs'!$B$29+'Inputs'!$B$31+'Inputs'!$B$32,'Inputs'!$B$30+'Inputs'!$B$31+'Inputs'!$B$32)/1000+'Inputs'!$B$21+'Inputs'!$B$7+'Inputs'!$B$10))/SQRT((((796-43)*MAX('Inputs'!$B$33,'Inputs'!$B$29+'Inputs'!$B$31+'Inputs'!$B$32,'Inputs'!$B$30+'Inputs'!$B$31+'Inputs'!$B$32)/1000+'Inputs'!$B$21+'Inputs'!$B$7+'Inputs'!$B$10))^2+('Inputs'!$B$8/2)^2))))*'Results'!$B$8),"")</x:f>
        <x:v>0.9964019326173476</x:v>
      </x:c>
      <x:c r="K796" t="n">
        <x:f>IF(AND(ISNUMBER('Results'!B7),ISNUMBER('Results'!C7),ISNUMBER('Results'!$B$8),ISNUMBER('Inputs'!$B$6),ISNUMBER('Inputs'!$B$7),ISNUMBER('Inputs'!$B$8),ISNUMBER('Inputs'!$B$9),ISNUMBER('Inputs'!$B$10),ISNUMBER('Inputs'!$B$21),ISNUMBER('Inputs'!$B$24),ISNUMBER('Inputs'!$B$28)),((('Results'!B7*(1-'Inputs'!$B$24)*(0.5*((((796-43)*MAX('Inputs'!$B$33,'Inputs'!$B$29+'Inputs'!$B$31+'Inputs'!$B$32,'Inputs'!$B$30+'Inputs'!$B$31+'Inputs'!$B$32)/1000+'Inputs'!$B$21)+'Inputs'!$B$7)/SQRT((((796-43)*MAX('Inputs'!$B$33,'Inputs'!$B$29+'Inputs'!$B$31+'Inputs'!$B$32,'Inputs'!$B$30+'Inputs'!$B$31+'Inputs'!$B$32)/1000+'Inputs'!$B$21)+'Inputs'!$B$7)^2+('Inputs'!$B$6/2)^2)-(((796-43)*MAX('Inputs'!$B$33,'Inputs'!$B$29+'Inputs'!$B$31+'Inputs'!$B$32,'Inputs'!$B$30+'Inputs'!$B$31+'Inputs'!$B$32)/1000+'Inputs'!$B$21))/SQRT((((796-43)*MAX('Inputs'!$B$33,'Inputs'!$B$29+'Inputs'!$B$31+'Inputs'!$B$32,'Inputs'!$B$30+'Inputs'!$B$31+'Inputs'!$B$32)/1000+'Inputs'!$B$21))^2+('Inputs'!$B$6/2)^2)))-'Results'!C7*(1+'Inputs'!$B$24)*(0.5*((((796-43)*MAX('Inputs'!$B$33,'Inputs'!$B$29+'Inputs'!$B$31+'Inputs'!$B$32,'Inputs'!$B$30+'Inputs'!$B$31+'Inputs'!$B$32)/1000+'Inputs'!$B$21+'Inputs'!$B$7+'Inputs'!$B$10)+'Inputs'!$B$9)/SQRT((((796-43)*MAX('Inputs'!$B$33,'Inputs'!$B$29+'Inputs'!$B$31+'Inputs'!$B$32,'Inputs'!$B$30+'Inputs'!$B$31+'Inputs'!$B$32)/1000+'Inputs'!$B$21+'Inputs'!$B$7+'Inputs'!$B$10)+'Inputs'!$B$9)^2+('Inputs'!$B$8/2)^2)-(((796-43)*MAX('Inputs'!$B$33,'Inputs'!$B$29+'Inputs'!$B$31+'Inputs'!$B$32,'Inputs'!$B$30+'Inputs'!$B$31+'Inputs'!$B$32)/1000+'Inputs'!$B$21+'Inputs'!$B$7+'Inputs'!$B$10))/SQRT((((796-43)*MAX('Inputs'!$B$33,'Inputs'!$B$29+'Inputs'!$B$31+'Inputs'!$B$32,'Inputs'!$B$30+'Inputs'!$B$31+'Inputs'!$B$32)/1000+'Inputs'!$B$21+'Inputs'!$B$7+'Inputs'!$B$10))^2+('Inputs'!$B$8/2)^2))))*'Results'!$B$8)-'Inputs'!$B$28*ABS((('Results'!B7*(1-'Inputs'!$B$24)*(0.5*((((796-43)*MAX('Inputs'!$B$33,'Inputs'!$B$29+'Inputs'!$B$31+'Inputs'!$B$32,'Inputs'!$B$30+'Inputs'!$B$31+'Inputs'!$B$32)/1000+'Inputs'!$B$21)+'Inputs'!$B$7)/SQRT((((796-43)*MAX('Inputs'!$B$33,'Inputs'!$B$29+'Inputs'!$B$31+'Inputs'!$B$32,'Inputs'!$B$30+'Inputs'!$B$31+'Inputs'!$B$32)/1000+'Inputs'!$B$21)+'Inputs'!$B$7)^2+('Inputs'!$B$6/2)^2)-(((796-43)*MAX('Inputs'!$B$33,'Inputs'!$B$29+'Inputs'!$B$31+'Inputs'!$B$32,'Inputs'!$B$30+'Inputs'!$B$31+'Inputs'!$B$32)/1000+'Inputs'!$B$21))/SQRT((((796-43)*MAX('Inputs'!$B$33,'Inputs'!$B$29+'Inputs'!$B$31+'Inputs'!$B$32,'Inputs'!$B$30+'Inputs'!$B$31+'Inputs'!$B$32)/1000+'Inputs'!$B$21))^2+('Inputs'!$B$6/2)^2)))-'Results'!C7*(1+'Inputs'!$B$24)*(0.5*((((796-43)*MAX('Inputs'!$B$33,'Inputs'!$B$29+'Inputs'!$B$31+'Inputs'!$B$32,'Inputs'!$B$30+'Inputs'!$B$31+'Inputs'!$B$32)/1000+'Inputs'!$B$21+'Inputs'!$B$7+'Inputs'!$B$10)+'Inputs'!$B$9)/SQRT((((796-43)*MAX('Inputs'!$B$33,'Inputs'!$B$29+'Inputs'!$B$31+'Inputs'!$B$32,'Inputs'!$B$30+'Inputs'!$B$31+'Inputs'!$B$32)/1000+'Inputs'!$B$21+'Inputs'!$B$7+'Inputs'!$B$10)+'Inputs'!$B$9)^2+('Inputs'!$B$8/2)^2)-(((796-43)*MAX('Inputs'!$B$33,'Inputs'!$B$29+'Inputs'!$B$31+'Inputs'!$B$32,'Inputs'!$B$30+'Inputs'!$B$31+'Inputs'!$B$32)/1000+'Inputs'!$B$21+'Inputs'!$B$7+'Inputs'!$B$10))/SQRT((((796-43)*MAX('Inputs'!$B$33,'Inputs'!$B$29+'Inputs'!$B$31+'Inputs'!$B$32,'Inputs'!$B$30+'Inputs'!$B$31+'Inputs'!$B$32)/1000+'Inputs'!$B$21+'Inputs'!$B$7+'Inputs'!$B$10))^2+('Inputs'!$B$8/2)^2))))*'Results'!$B$8))),"")</x:f>
        <x:v>0.8575403957180701</x:v>
      </x:c>
      <x:c r="L796" t="n">
        <x:f>IF(AND(ISNUMBER('Results'!B7),ISNUMBER('Results'!C7),ISNUMBER('Results'!$B$8),ISNUMBER('Inputs'!$B$6),ISNUMBER('Inputs'!$B$7),ISNUMBER('Inputs'!$B$8),ISNUMBER('Inputs'!$B$9),ISNUMBER('Inputs'!$B$10),ISNUMBER('Inputs'!$B$21),ISNUMBER('Inputs'!$B$24),ISNUMBER('Inputs'!$B$28)),((('Results'!B7*(1+'Inputs'!$B$24)*(0.5*((((796-43)*MAX('Inputs'!$B$33,'Inputs'!$B$29+'Inputs'!$B$31+'Inputs'!$B$32,'Inputs'!$B$30+'Inputs'!$B$31+'Inputs'!$B$32)/1000+'Inputs'!$B$21)+'Inputs'!$B$7)/SQRT((((796-43)*MAX('Inputs'!$B$33,'Inputs'!$B$29+'Inputs'!$B$31+'Inputs'!$B$32,'Inputs'!$B$30+'Inputs'!$B$31+'Inputs'!$B$32)/1000+'Inputs'!$B$21)+'Inputs'!$B$7)^2+('Inputs'!$B$6/2)^2)-(((796-43)*MAX('Inputs'!$B$33,'Inputs'!$B$29+'Inputs'!$B$31+'Inputs'!$B$32,'Inputs'!$B$30+'Inputs'!$B$31+'Inputs'!$B$32)/1000+'Inputs'!$B$21))/SQRT((((796-43)*MAX('Inputs'!$B$33,'Inputs'!$B$29+'Inputs'!$B$31+'Inputs'!$B$32,'Inputs'!$B$30+'Inputs'!$B$31+'Inputs'!$B$32)/1000+'Inputs'!$B$21))^2+('Inputs'!$B$6/2)^2)))-'Results'!C7*(1-'Inputs'!$B$24)*(0.5*((((796-43)*MAX('Inputs'!$B$33,'Inputs'!$B$29+'Inputs'!$B$31+'Inputs'!$B$32,'Inputs'!$B$30+'Inputs'!$B$31+'Inputs'!$B$32)/1000+'Inputs'!$B$21+'Inputs'!$B$7+'Inputs'!$B$10)+'Inputs'!$B$9)/SQRT((((796-43)*MAX('Inputs'!$B$33,'Inputs'!$B$29+'Inputs'!$B$31+'Inputs'!$B$32,'Inputs'!$B$30+'Inputs'!$B$31+'Inputs'!$B$32)/1000+'Inputs'!$B$21+'Inputs'!$B$7+'Inputs'!$B$10)+'Inputs'!$B$9)^2+('Inputs'!$B$8/2)^2)-(((796-43)*MAX('Inputs'!$B$33,'Inputs'!$B$29+'Inputs'!$B$31+'Inputs'!$B$32,'Inputs'!$B$30+'Inputs'!$B$31+'Inputs'!$B$32)/1000+'Inputs'!$B$21+'Inputs'!$B$7+'Inputs'!$B$10))/SQRT((((796-43)*MAX('Inputs'!$B$33,'Inputs'!$B$29+'Inputs'!$B$31+'Inputs'!$B$32,'Inputs'!$B$30+'Inputs'!$B$31+'Inputs'!$B$32)/1000+'Inputs'!$B$21+'Inputs'!$B$7+'Inputs'!$B$10))^2+('Inputs'!$B$8/2)^2))))*'Results'!$B$8)+'Inputs'!$B$28*ABS((('Results'!B7*(1+'Inputs'!$B$24)*(0.5*((((796-43)*MAX('Inputs'!$B$33,'Inputs'!$B$29+'Inputs'!$B$31+'Inputs'!$B$32,'Inputs'!$B$30+'Inputs'!$B$31+'Inputs'!$B$32)/1000+'Inputs'!$B$21)+'Inputs'!$B$7)/SQRT((((796-43)*MAX('Inputs'!$B$33,'Inputs'!$B$29+'Inputs'!$B$31+'Inputs'!$B$32,'Inputs'!$B$30+'Inputs'!$B$31+'Inputs'!$B$32)/1000+'Inputs'!$B$21)+'Inputs'!$B$7)^2+('Inputs'!$B$6/2)^2)-(((796-43)*MAX('Inputs'!$B$33,'Inputs'!$B$29+'Inputs'!$B$31+'Inputs'!$B$32,'Inputs'!$B$30+'Inputs'!$B$31+'Inputs'!$B$32)/1000+'Inputs'!$B$21))/SQRT((((796-43)*MAX('Inputs'!$B$33,'Inputs'!$B$29+'Inputs'!$B$31+'Inputs'!$B$32,'Inputs'!$B$30+'Inputs'!$B$31+'Inputs'!$B$32)/1000+'Inputs'!$B$21))^2+('Inputs'!$B$6/2)^2)))-'Results'!C7*(1-'Inputs'!$B$24)*(0.5*((((796-43)*MAX('Inputs'!$B$33,'Inputs'!$B$29+'Inputs'!$B$31+'Inputs'!$B$32,'Inputs'!$B$30+'Inputs'!$B$31+'Inputs'!$B$32)/1000+'Inputs'!$B$21+'Inputs'!$B$7+'Inputs'!$B$10)+'Inputs'!$B$9)/SQRT((((796-43)*MAX('Inputs'!$B$33,'Inputs'!$B$29+'Inputs'!$B$31+'Inputs'!$B$32,'Inputs'!$B$30+'Inputs'!$B$31+'Inputs'!$B$32)/1000+'Inputs'!$B$21+'Inputs'!$B$7+'Inputs'!$B$10)+'Inputs'!$B$9)^2+('Inputs'!$B$8/2)^2)-(((796-43)*MAX('Inputs'!$B$33,'Inputs'!$B$29+'Inputs'!$B$31+'Inputs'!$B$32,'Inputs'!$B$30+'Inputs'!$B$31+'Inputs'!$B$32)/1000+'Inputs'!$B$21+'Inputs'!$B$7+'Inputs'!$B$10))/SQRT((((796-43)*MAX('Inputs'!$B$33,'Inputs'!$B$29+'Inputs'!$B$31+'Inputs'!$B$32,'Inputs'!$B$30+'Inputs'!$B$31+'Inputs'!$B$32)/1000+'Inputs'!$B$21+'Inputs'!$B$7+'Inputs'!$B$10))^2+('Inputs'!$B$8/2)^2))))*'Results'!$B$8))),"")</x:f>
        <x:v>1.1446362527027736</x:v>
      </x:c>
      <x:c r="M796" t="n">
        <x:f>IF(AND(ISNUMBER('Results'!C7),ISNUMBER('Results'!B7),ISNUMBER('Results'!$B$8),ISNUMBER('Inputs'!$B$6),ISNUMBER('Inputs'!$B$7),ISNUMBER('Inputs'!$B$8),ISNUMBER('Inputs'!$B$9),ISNUMBER('Inputs'!$B$10),ISNUMBER('Inputs'!$B$21),ISNUMBER('Inputs'!$B$24),ISNUMBER('Inputs'!$B$28)),(('Results'!C7*(0.5*((((796-43)*MAX('Inputs'!$B$33,'Inputs'!$B$29+'Inputs'!$B$31+'Inputs'!$B$32,'Inputs'!$B$30+'Inputs'!$B$31+'Inputs'!$B$32)/1000+'Inputs'!$B$21)+'Inputs'!$B$9)/SQRT((((796-43)*MAX('Inputs'!$B$33,'Inputs'!$B$29+'Inputs'!$B$31+'Inputs'!$B$32,'Inputs'!$B$30+'Inputs'!$B$31+'Inputs'!$B$32)/1000+'Inputs'!$B$21)+'Inputs'!$B$9)^2+('Inputs'!$B$8/2)^2)-(((796-43)*MAX('Inputs'!$B$33,'Inputs'!$B$29+'Inputs'!$B$31+'Inputs'!$B$32,'Inputs'!$B$30+'Inputs'!$B$31+'Inputs'!$B$32)/1000+'Inputs'!$B$21))/SQRT((((796-43)*MAX('Inputs'!$B$33,'Inputs'!$B$29+'Inputs'!$B$31+'Inputs'!$B$32,'Inputs'!$B$30+'Inputs'!$B$31+'Inputs'!$B$32)/1000+'Inputs'!$B$21))^2+('Inputs'!$B$8/2)^2)))-'Results'!B7*(0.5*((((796-43)*MAX('Inputs'!$B$33,'Inputs'!$B$29+'Inputs'!$B$31+'Inputs'!$B$32,'Inputs'!$B$30+'Inputs'!$B$31+'Inputs'!$B$32)/1000+'Inputs'!$B$21+'Inputs'!$B$9+'Inputs'!$B$10)+'Inputs'!$B$7)/SQRT((((796-43)*MAX('Inputs'!$B$33,'Inputs'!$B$29+'Inputs'!$B$31+'Inputs'!$B$32,'Inputs'!$B$30+'Inputs'!$B$31+'Inputs'!$B$32)/1000+'Inputs'!$B$21+'Inputs'!$B$9+'Inputs'!$B$10)+'Inputs'!$B$7)^2+('Inputs'!$B$6/2)^2)-(((796-43)*MAX('Inputs'!$B$33,'Inputs'!$B$29+'Inputs'!$B$31+'Inputs'!$B$32,'Inputs'!$B$30+'Inputs'!$B$31+'Inputs'!$B$32)/1000+'Inputs'!$B$21+'Inputs'!$B$9+'Inputs'!$B$10))/SQRT((((796-43)*MAX('Inputs'!$B$33,'Inputs'!$B$29+'Inputs'!$B$31+'Inputs'!$B$32,'Inputs'!$B$30+'Inputs'!$B$31+'Inputs'!$B$32)/1000+'Inputs'!$B$21+'Inputs'!$B$9+'Inputs'!$B$10))^2+('Inputs'!$B$6/2)^2))))*'Results'!$B$8),"")</x:f>
        <x:v>0.9019210416414842</x:v>
      </x:c>
      <x:c r="N796" t="n">
        <x:f>IF(AND(ISNUMBER('Results'!C7),ISNUMBER('Results'!B7),ISNUMBER('Results'!$B$8),ISNUMBER('Inputs'!$B$6),ISNUMBER('Inputs'!$B$7),ISNUMBER('Inputs'!$B$8),ISNUMBER('Inputs'!$B$9),ISNUMBER('Inputs'!$B$10),ISNUMBER('Inputs'!$B$21),ISNUMBER('Inputs'!$B$24),ISNUMBER('Inputs'!$B$28)),((('Results'!C7*(1-'Inputs'!$B$24)*(0.5*((((796-43)*MAX('Inputs'!$B$33,'Inputs'!$B$29+'Inputs'!$B$31+'Inputs'!$B$32,'Inputs'!$B$30+'Inputs'!$B$31+'Inputs'!$B$32)/1000+'Inputs'!$B$21)+'Inputs'!$B$9)/SQRT((((796-43)*MAX('Inputs'!$B$33,'Inputs'!$B$29+'Inputs'!$B$31+'Inputs'!$B$32,'Inputs'!$B$30+'Inputs'!$B$31+'Inputs'!$B$32)/1000+'Inputs'!$B$21)+'Inputs'!$B$9)^2+('Inputs'!$B$8/2)^2)-(((796-43)*MAX('Inputs'!$B$33,'Inputs'!$B$29+'Inputs'!$B$31+'Inputs'!$B$32,'Inputs'!$B$30+'Inputs'!$B$31+'Inputs'!$B$32)/1000+'Inputs'!$B$21))/SQRT((((796-43)*MAX('Inputs'!$B$33,'Inputs'!$B$29+'Inputs'!$B$31+'Inputs'!$B$32,'Inputs'!$B$30+'Inputs'!$B$31+'Inputs'!$B$32)/1000+'Inputs'!$B$21))^2+('Inputs'!$B$8/2)^2)))-'Results'!B7*(1+'Inputs'!$B$24)*(0.5*((((796-43)*MAX('Inputs'!$B$33,'Inputs'!$B$29+'Inputs'!$B$31+'Inputs'!$B$32,'Inputs'!$B$30+'Inputs'!$B$31+'Inputs'!$B$32)/1000+'Inputs'!$B$21+'Inputs'!$B$9+'Inputs'!$B$10)+'Inputs'!$B$7)/SQRT((((796-43)*MAX('Inputs'!$B$33,'Inputs'!$B$29+'Inputs'!$B$31+'Inputs'!$B$32,'Inputs'!$B$30+'Inputs'!$B$31+'Inputs'!$B$32)/1000+'Inputs'!$B$21+'Inputs'!$B$9+'Inputs'!$B$10)+'Inputs'!$B$7)^2+('Inputs'!$B$6/2)^2)-(((796-43)*MAX('Inputs'!$B$33,'Inputs'!$B$29+'Inputs'!$B$31+'Inputs'!$B$32,'Inputs'!$B$30+'Inputs'!$B$31+'Inputs'!$B$32)/1000+'Inputs'!$B$21+'Inputs'!$B$9+'Inputs'!$B$10))/SQRT((((796-43)*MAX('Inputs'!$B$33,'Inputs'!$B$29+'Inputs'!$B$31+'Inputs'!$B$32,'Inputs'!$B$30+'Inputs'!$B$31+'Inputs'!$B$32)/1000+'Inputs'!$B$21+'Inputs'!$B$9+'Inputs'!$B$10))^2+('Inputs'!$B$6/2)^2))))*'Results'!$B$8)-'Inputs'!$B$28*ABS((('Results'!C7*(1-'Inputs'!$B$24)*(0.5*((((796-43)*MAX('Inputs'!$B$33,'Inputs'!$B$29+'Inputs'!$B$31+'Inputs'!$B$32,'Inputs'!$B$30+'Inputs'!$B$31+'Inputs'!$B$32)/1000+'Inputs'!$B$21)+'Inputs'!$B$9)/SQRT((((796-43)*MAX('Inputs'!$B$33,'Inputs'!$B$29+'Inputs'!$B$31+'Inputs'!$B$32,'Inputs'!$B$30+'Inputs'!$B$31+'Inputs'!$B$32)/1000+'Inputs'!$B$21)+'Inputs'!$B$9)^2+('Inputs'!$B$8/2)^2)-(((796-43)*MAX('Inputs'!$B$33,'Inputs'!$B$29+'Inputs'!$B$31+'Inputs'!$B$32,'Inputs'!$B$30+'Inputs'!$B$31+'Inputs'!$B$32)/1000+'Inputs'!$B$21))/SQRT((((796-43)*MAX('Inputs'!$B$33,'Inputs'!$B$29+'Inputs'!$B$31+'Inputs'!$B$32,'Inputs'!$B$30+'Inputs'!$B$31+'Inputs'!$B$32)/1000+'Inputs'!$B$21))^2+('Inputs'!$B$8/2)^2)))-'Results'!B7*(1+'Inputs'!$B$24)*(0.5*((((796-43)*MAX('Inputs'!$B$33,'Inputs'!$B$29+'Inputs'!$B$31+'Inputs'!$B$32,'Inputs'!$B$30+'Inputs'!$B$31+'Inputs'!$B$32)/1000+'Inputs'!$B$21+'Inputs'!$B$9+'Inputs'!$B$10)+'Inputs'!$B$7)/SQRT((((796-43)*MAX('Inputs'!$B$33,'Inputs'!$B$29+'Inputs'!$B$31+'Inputs'!$B$32,'Inputs'!$B$30+'Inputs'!$B$31+'Inputs'!$B$32)/1000+'Inputs'!$B$21+'Inputs'!$B$9+'Inputs'!$B$10)+'Inputs'!$B$7)^2+('Inputs'!$B$6/2)^2)-(((796-43)*MAX('Inputs'!$B$33,'Inputs'!$B$29+'Inputs'!$B$31+'Inputs'!$B$32,'Inputs'!$B$30+'Inputs'!$B$31+'Inputs'!$B$32)/1000+'Inputs'!$B$21+'Inputs'!$B$9+'Inputs'!$B$10))/SQRT((((796-43)*MAX('Inputs'!$B$33,'Inputs'!$B$29+'Inputs'!$B$31+'Inputs'!$B$32,'Inputs'!$B$30+'Inputs'!$B$31+'Inputs'!$B$32)/1000+'Inputs'!$B$21+'Inputs'!$B$9+'Inputs'!$B$10))^2+('Inputs'!$B$6/2)^2))))*'Results'!$B$8))),"")</x:f>
        <x:v>0.7681478739022214</x:v>
      </x:c>
      <x:c r="O796" t="n">
        <x:f>IF(AND(ISNUMBER('Results'!C7),ISNUMBER('Results'!B7),ISNUMBER('Results'!$B$8),ISNUMBER('Inputs'!$B$6),ISNUMBER('Inputs'!$B$7),ISNUMBER('Inputs'!$B$8),ISNUMBER('Inputs'!$B$9),ISNUMBER('Inputs'!$B$10),ISNUMBER('Inputs'!$B$21),ISNUMBER('Inputs'!$B$24),ISNUMBER('Inputs'!$B$28)),((('Results'!C7*(1+'Inputs'!$B$24)*(0.5*((((796-43)*MAX('Inputs'!$B$33,'Inputs'!$B$29+'Inputs'!$B$31+'Inputs'!$B$32,'Inputs'!$B$30+'Inputs'!$B$31+'Inputs'!$B$32)/1000+'Inputs'!$B$21)+'Inputs'!$B$9)/SQRT((((796-43)*MAX('Inputs'!$B$33,'Inputs'!$B$29+'Inputs'!$B$31+'Inputs'!$B$32,'Inputs'!$B$30+'Inputs'!$B$31+'Inputs'!$B$32)/1000+'Inputs'!$B$21)+'Inputs'!$B$9)^2+('Inputs'!$B$8/2)^2)-(((796-43)*MAX('Inputs'!$B$33,'Inputs'!$B$29+'Inputs'!$B$31+'Inputs'!$B$32,'Inputs'!$B$30+'Inputs'!$B$31+'Inputs'!$B$32)/1000+'Inputs'!$B$21))/SQRT((((796-43)*MAX('Inputs'!$B$33,'Inputs'!$B$29+'Inputs'!$B$31+'Inputs'!$B$32,'Inputs'!$B$30+'Inputs'!$B$31+'Inputs'!$B$32)/1000+'Inputs'!$B$21))^2+('Inputs'!$B$8/2)^2)))-'Results'!B7*(1-'Inputs'!$B$24)*(0.5*((((796-43)*MAX('Inputs'!$B$33,'Inputs'!$B$29+'Inputs'!$B$31+'Inputs'!$B$32,'Inputs'!$B$30+'Inputs'!$B$31+'Inputs'!$B$32)/1000+'Inputs'!$B$21+'Inputs'!$B$9+'Inputs'!$B$10)+'Inputs'!$B$7)/SQRT((((796-43)*MAX('Inputs'!$B$33,'Inputs'!$B$29+'Inputs'!$B$31+'Inputs'!$B$32,'Inputs'!$B$30+'Inputs'!$B$31+'Inputs'!$B$32)/1000+'Inputs'!$B$21+'Inputs'!$B$9+'Inputs'!$B$10)+'Inputs'!$B$7)^2+('Inputs'!$B$6/2)^2)-(((796-43)*MAX('Inputs'!$B$33,'Inputs'!$B$29+'Inputs'!$B$31+'Inputs'!$B$32,'Inputs'!$B$30+'Inputs'!$B$31+'Inputs'!$B$32)/1000+'Inputs'!$B$21+'Inputs'!$B$9+'Inputs'!$B$10))/SQRT((((796-43)*MAX('Inputs'!$B$33,'Inputs'!$B$29+'Inputs'!$B$31+'Inputs'!$B$32,'Inputs'!$B$30+'Inputs'!$B$31+'Inputs'!$B$32)/1000+'Inputs'!$B$21+'Inputs'!$B$9+'Inputs'!$B$10))^2+('Inputs'!$B$6/2)^2))))*'Results'!$B$8)+'Inputs'!$B$28*ABS((('Results'!C7*(1+'Inputs'!$B$24)*(0.5*((((796-43)*MAX('Inputs'!$B$33,'Inputs'!$B$29+'Inputs'!$B$31+'Inputs'!$B$32,'Inputs'!$B$30+'Inputs'!$B$31+'Inputs'!$B$32)/1000+'Inputs'!$B$21)+'Inputs'!$B$9)/SQRT((((796-43)*MAX('Inputs'!$B$33,'Inputs'!$B$29+'Inputs'!$B$31+'Inputs'!$B$32,'Inputs'!$B$30+'Inputs'!$B$31+'Inputs'!$B$32)/1000+'Inputs'!$B$21)+'Inputs'!$B$9)^2+('Inputs'!$B$8/2)^2)-(((796-43)*MAX('Inputs'!$B$33,'Inputs'!$B$29+'Inputs'!$B$31+'Inputs'!$B$32,'Inputs'!$B$30+'Inputs'!$B$31+'Inputs'!$B$32)/1000+'Inputs'!$B$21))/SQRT((((796-43)*MAX('Inputs'!$B$33,'Inputs'!$B$29+'Inputs'!$B$31+'Inputs'!$B$32,'Inputs'!$B$30+'Inputs'!$B$31+'Inputs'!$B$32)/1000+'Inputs'!$B$21))^2+('Inputs'!$B$8/2)^2)))-'Results'!B7*(1-'Inputs'!$B$24)*(0.5*((((796-43)*MAX('Inputs'!$B$33,'Inputs'!$B$29+'Inputs'!$B$31+'Inputs'!$B$32,'Inputs'!$B$30+'Inputs'!$B$31+'Inputs'!$B$32)/1000+'Inputs'!$B$21+'Inputs'!$B$9+'Inputs'!$B$10)+'Inputs'!$B$7)/SQRT((((796-43)*MAX('Inputs'!$B$33,'Inputs'!$B$29+'Inputs'!$B$31+'Inputs'!$B$32,'Inputs'!$B$30+'Inputs'!$B$31+'Inputs'!$B$32)/1000+'Inputs'!$B$21+'Inputs'!$B$9+'Inputs'!$B$10)+'Inputs'!$B$7)^2+('Inputs'!$B$6/2)^2)-(((796-43)*MAX('Inputs'!$B$33,'Inputs'!$B$29+'Inputs'!$B$31+'Inputs'!$B$32,'Inputs'!$B$30+'Inputs'!$B$31+'Inputs'!$B$32)/1000+'Inputs'!$B$21+'Inputs'!$B$9+'Inputs'!$B$10))/SQRT((((796-43)*MAX('Inputs'!$B$33,'Inputs'!$B$29+'Inputs'!$B$31+'Inputs'!$B$32,'Inputs'!$B$30+'Inputs'!$B$31+'Inputs'!$B$32)/1000+'Inputs'!$B$21+'Inputs'!$B$9+'Inputs'!$B$10))^2+('Inputs'!$B$6/2)^2))))*'Results'!$B$8))),"")</x:f>
        <x:v>1.0450286426078201</x:v>
      </x:c>
      <x:c r="P796" t="n">
        <x:f>IF(AND(MAX(J796,J795)&gt;0,J796&gt;J795+0.00000001),1,0)</x:f>
        <x:v>0</x:v>
      </x:c>
      <x:c r="Q796" t="n">
        <x:f>IF(AND(MAX(K796,K795)&gt;0,K796&gt;K795+0.00000001),1,0)</x:f>
        <x:v>0</x:v>
      </x:c>
      <x:c r="R796" t="n">
        <x:f>IF(AND(MAX(L796,L795)&gt;0,L796&gt;L795+0.00000001),1,0)</x:f>
        <x:v>0</x:v>
      </x:c>
      <x:c r="S796" t="n">
        <x:f>IF(AND(MAX(M796,M795)&gt;0,M796&gt;M795+0.00000001),1,0)</x:f>
        <x:v>0</x:v>
      </x:c>
      <x:c r="T796" t="n">
        <x:f>IF(AND(MAX(N796,N795)&gt;0,N796&gt;N795+0.00000001),1,0)</x:f>
        <x:v>0</x:v>
      </x:c>
      <x:c r="U796" t="n">
        <x:f>IF(AND(MAX(O796,O795)&gt;0,O796&gt;O795+0.00000001),1,0)</x:f>
        <x:v>0</x:v>
      </x:c>
    </x:row>
    <x:row r="797">
      <x:c r="J797" t="n">
        <x:f>IF(AND(ISNUMBER('Results'!B7),ISNUMBER('Results'!C7),ISNUMBER('Results'!$B$8),ISNUMBER('Inputs'!$B$6),ISNUMBER('Inputs'!$B$7),ISNUMBER('Inputs'!$B$8),ISNUMBER('Inputs'!$B$9),ISNUMBER('Inputs'!$B$10),ISNUMBER('Inputs'!$B$21),ISNUMBER('Inputs'!$B$24),ISNUMBER('Inputs'!$B$28)),(('Results'!B7*(0.5*((((797-43)*MAX('Inputs'!$B$33,'Inputs'!$B$29+'Inputs'!$B$31+'Inputs'!$B$32,'Inputs'!$B$30+'Inputs'!$B$31+'Inputs'!$B$32)/1000+'Inputs'!$B$21)+'Inputs'!$B$7)/SQRT((((797-43)*MAX('Inputs'!$B$33,'Inputs'!$B$29+'Inputs'!$B$31+'Inputs'!$B$32,'Inputs'!$B$30+'Inputs'!$B$31+'Inputs'!$B$32)/1000+'Inputs'!$B$21)+'Inputs'!$B$7)^2+('Inputs'!$B$6/2)^2)-(((797-43)*MAX('Inputs'!$B$33,'Inputs'!$B$29+'Inputs'!$B$31+'Inputs'!$B$32,'Inputs'!$B$30+'Inputs'!$B$31+'Inputs'!$B$32)/1000+'Inputs'!$B$21))/SQRT((((797-43)*MAX('Inputs'!$B$33,'Inputs'!$B$29+'Inputs'!$B$31+'Inputs'!$B$32,'Inputs'!$B$30+'Inputs'!$B$31+'Inputs'!$B$32)/1000+'Inputs'!$B$21))^2+('Inputs'!$B$6/2)^2)))-'Results'!C7*(0.5*((((797-43)*MAX('Inputs'!$B$33,'Inputs'!$B$29+'Inputs'!$B$31+'Inputs'!$B$32,'Inputs'!$B$30+'Inputs'!$B$31+'Inputs'!$B$32)/1000+'Inputs'!$B$21+'Inputs'!$B$7+'Inputs'!$B$10)+'Inputs'!$B$9)/SQRT((((797-43)*MAX('Inputs'!$B$33,'Inputs'!$B$29+'Inputs'!$B$31+'Inputs'!$B$32,'Inputs'!$B$30+'Inputs'!$B$31+'Inputs'!$B$32)/1000+'Inputs'!$B$21+'Inputs'!$B$7+'Inputs'!$B$10)+'Inputs'!$B$9)^2+('Inputs'!$B$8/2)^2)-(((797-43)*MAX('Inputs'!$B$33,'Inputs'!$B$29+'Inputs'!$B$31+'Inputs'!$B$32,'Inputs'!$B$30+'Inputs'!$B$31+'Inputs'!$B$32)/1000+'Inputs'!$B$21+'Inputs'!$B$7+'Inputs'!$B$10))/SQRT((((797-43)*MAX('Inputs'!$B$33,'Inputs'!$B$29+'Inputs'!$B$31+'Inputs'!$B$32,'Inputs'!$B$30+'Inputs'!$B$31+'Inputs'!$B$32)/1000+'Inputs'!$B$21+'Inputs'!$B$7+'Inputs'!$B$10))^2+('Inputs'!$B$8/2)^2))))*'Results'!$B$8),"")</x:f>
        <x:v>0.9916831498671917</x:v>
      </x:c>
      <x:c r="K797" t="n">
        <x:f>IF(AND(ISNUMBER('Results'!B7),ISNUMBER('Results'!C7),ISNUMBER('Results'!$B$8),ISNUMBER('Inputs'!$B$6),ISNUMBER('Inputs'!$B$7),ISNUMBER('Inputs'!$B$8),ISNUMBER('Inputs'!$B$9),ISNUMBER('Inputs'!$B$10),ISNUMBER('Inputs'!$B$21),ISNUMBER('Inputs'!$B$24),ISNUMBER('Inputs'!$B$28)),((('Results'!B7*(1-'Inputs'!$B$24)*(0.5*((((797-43)*MAX('Inputs'!$B$33,'Inputs'!$B$29+'Inputs'!$B$31+'Inputs'!$B$32,'Inputs'!$B$30+'Inputs'!$B$31+'Inputs'!$B$32)/1000+'Inputs'!$B$21)+'Inputs'!$B$7)/SQRT((((797-43)*MAX('Inputs'!$B$33,'Inputs'!$B$29+'Inputs'!$B$31+'Inputs'!$B$32,'Inputs'!$B$30+'Inputs'!$B$31+'Inputs'!$B$32)/1000+'Inputs'!$B$21)+'Inputs'!$B$7)^2+('Inputs'!$B$6/2)^2)-(((797-43)*MAX('Inputs'!$B$33,'Inputs'!$B$29+'Inputs'!$B$31+'Inputs'!$B$32,'Inputs'!$B$30+'Inputs'!$B$31+'Inputs'!$B$32)/1000+'Inputs'!$B$21))/SQRT((((797-43)*MAX('Inputs'!$B$33,'Inputs'!$B$29+'Inputs'!$B$31+'Inputs'!$B$32,'Inputs'!$B$30+'Inputs'!$B$31+'Inputs'!$B$32)/1000+'Inputs'!$B$21))^2+('Inputs'!$B$6/2)^2)))-'Results'!C7*(1+'Inputs'!$B$24)*(0.5*((((797-43)*MAX('Inputs'!$B$33,'Inputs'!$B$29+'Inputs'!$B$31+'Inputs'!$B$32,'Inputs'!$B$30+'Inputs'!$B$31+'Inputs'!$B$32)/1000+'Inputs'!$B$21+'Inputs'!$B$7+'Inputs'!$B$10)+'Inputs'!$B$9)/SQRT((((797-43)*MAX('Inputs'!$B$33,'Inputs'!$B$29+'Inputs'!$B$31+'Inputs'!$B$32,'Inputs'!$B$30+'Inputs'!$B$31+'Inputs'!$B$32)/1000+'Inputs'!$B$21+'Inputs'!$B$7+'Inputs'!$B$10)+'Inputs'!$B$9)^2+('Inputs'!$B$8/2)^2)-(((797-43)*MAX('Inputs'!$B$33,'Inputs'!$B$29+'Inputs'!$B$31+'Inputs'!$B$32,'Inputs'!$B$30+'Inputs'!$B$31+'Inputs'!$B$32)/1000+'Inputs'!$B$21+'Inputs'!$B$7+'Inputs'!$B$10))/SQRT((((797-43)*MAX('Inputs'!$B$33,'Inputs'!$B$29+'Inputs'!$B$31+'Inputs'!$B$32,'Inputs'!$B$30+'Inputs'!$B$31+'Inputs'!$B$32)/1000+'Inputs'!$B$21+'Inputs'!$B$7+'Inputs'!$B$10))^2+('Inputs'!$B$8/2)^2))))*'Results'!$B$8)-'Inputs'!$B$28*ABS((('Results'!B7*(1-'Inputs'!$B$24)*(0.5*((((797-43)*MAX('Inputs'!$B$33,'Inputs'!$B$29+'Inputs'!$B$31+'Inputs'!$B$32,'Inputs'!$B$30+'Inputs'!$B$31+'Inputs'!$B$32)/1000+'Inputs'!$B$21)+'Inputs'!$B$7)/SQRT((((797-43)*MAX('Inputs'!$B$33,'Inputs'!$B$29+'Inputs'!$B$31+'Inputs'!$B$32,'Inputs'!$B$30+'Inputs'!$B$31+'Inputs'!$B$32)/1000+'Inputs'!$B$21)+'Inputs'!$B$7)^2+('Inputs'!$B$6/2)^2)-(((797-43)*MAX('Inputs'!$B$33,'Inputs'!$B$29+'Inputs'!$B$31+'Inputs'!$B$32,'Inputs'!$B$30+'Inputs'!$B$31+'Inputs'!$B$32)/1000+'Inputs'!$B$21))/SQRT((((797-43)*MAX('Inputs'!$B$33,'Inputs'!$B$29+'Inputs'!$B$31+'Inputs'!$B$32,'Inputs'!$B$30+'Inputs'!$B$31+'Inputs'!$B$32)/1000+'Inputs'!$B$21))^2+('Inputs'!$B$6/2)^2)))-'Results'!C7*(1+'Inputs'!$B$24)*(0.5*((((797-43)*MAX('Inputs'!$B$33,'Inputs'!$B$29+'Inputs'!$B$31+'Inputs'!$B$32,'Inputs'!$B$30+'Inputs'!$B$31+'Inputs'!$B$32)/1000+'Inputs'!$B$21+'Inputs'!$B$7+'Inputs'!$B$10)+'Inputs'!$B$9)/SQRT((((797-43)*MAX('Inputs'!$B$33,'Inputs'!$B$29+'Inputs'!$B$31+'Inputs'!$B$32,'Inputs'!$B$30+'Inputs'!$B$31+'Inputs'!$B$32)/1000+'Inputs'!$B$21+'Inputs'!$B$7+'Inputs'!$B$10)+'Inputs'!$B$9)^2+('Inputs'!$B$8/2)^2)-(((797-43)*MAX('Inputs'!$B$33,'Inputs'!$B$29+'Inputs'!$B$31+'Inputs'!$B$32,'Inputs'!$B$30+'Inputs'!$B$31+'Inputs'!$B$32)/1000+'Inputs'!$B$21+'Inputs'!$B$7+'Inputs'!$B$10))/SQRT((((797-43)*MAX('Inputs'!$B$33,'Inputs'!$B$29+'Inputs'!$B$31+'Inputs'!$B$32,'Inputs'!$B$30+'Inputs'!$B$31+'Inputs'!$B$32)/1000+'Inputs'!$B$21+'Inputs'!$B$7+'Inputs'!$B$10))^2+('Inputs'!$B$8/2)^2))))*'Results'!$B$8))),"")</x:f>
        <x:v>0.8533819392145592</x:v>
      </x:c>
      <x:c r="L797" t="n">
        <x:f>IF(AND(ISNUMBER('Results'!B7),ISNUMBER('Results'!C7),ISNUMBER('Results'!$B$8),ISNUMBER('Inputs'!$B$6),ISNUMBER('Inputs'!$B$7),ISNUMBER('Inputs'!$B$8),ISNUMBER('Inputs'!$B$9),ISNUMBER('Inputs'!$B$10),ISNUMBER('Inputs'!$B$21),ISNUMBER('Inputs'!$B$24),ISNUMBER('Inputs'!$B$28)),((('Results'!B7*(1+'Inputs'!$B$24)*(0.5*((((797-43)*MAX('Inputs'!$B$33,'Inputs'!$B$29+'Inputs'!$B$31+'Inputs'!$B$32,'Inputs'!$B$30+'Inputs'!$B$31+'Inputs'!$B$32)/1000+'Inputs'!$B$21)+'Inputs'!$B$7)/SQRT((((797-43)*MAX('Inputs'!$B$33,'Inputs'!$B$29+'Inputs'!$B$31+'Inputs'!$B$32,'Inputs'!$B$30+'Inputs'!$B$31+'Inputs'!$B$32)/1000+'Inputs'!$B$21)+'Inputs'!$B$7)^2+('Inputs'!$B$6/2)^2)-(((797-43)*MAX('Inputs'!$B$33,'Inputs'!$B$29+'Inputs'!$B$31+'Inputs'!$B$32,'Inputs'!$B$30+'Inputs'!$B$31+'Inputs'!$B$32)/1000+'Inputs'!$B$21))/SQRT((((797-43)*MAX('Inputs'!$B$33,'Inputs'!$B$29+'Inputs'!$B$31+'Inputs'!$B$32,'Inputs'!$B$30+'Inputs'!$B$31+'Inputs'!$B$32)/1000+'Inputs'!$B$21))^2+('Inputs'!$B$6/2)^2)))-'Results'!C7*(1-'Inputs'!$B$24)*(0.5*((((797-43)*MAX('Inputs'!$B$33,'Inputs'!$B$29+'Inputs'!$B$31+'Inputs'!$B$32,'Inputs'!$B$30+'Inputs'!$B$31+'Inputs'!$B$32)/1000+'Inputs'!$B$21+'Inputs'!$B$7+'Inputs'!$B$10)+'Inputs'!$B$9)/SQRT((((797-43)*MAX('Inputs'!$B$33,'Inputs'!$B$29+'Inputs'!$B$31+'Inputs'!$B$32,'Inputs'!$B$30+'Inputs'!$B$31+'Inputs'!$B$32)/1000+'Inputs'!$B$21+'Inputs'!$B$7+'Inputs'!$B$10)+'Inputs'!$B$9)^2+('Inputs'!$B$8/2)^2)-(((797-43)*MAX('Inputs'!$B$33,'Inputs'!$B$29+'Inputs'!$B$31+'Inputs'!$B$32,'Inputs'!$B$30+'Inputs'!$B$31+'Inputs'!$B$32)/1000+'Inputs'!$B$21+'Inputs'!$B$7+'Inputs'!$B$10))/SQRT((((797-43)*MAX('Inputs'!$B$33,'Inputs'!$B$29+'Inputs'!$B$31+'Inputs'!$B$32,'Inputs'!$B$30+'Inputs'!$B$31+'Inputs'!$B$32)/1000+'Inputs'!$B$21+'Inputs'!$B$7+'Inputs'!$B$10))^2+('Inputs'!$B$8/2)^2))))*'Results'!$B$8)+'Inputs'!$B$28*ABS((('Results'!B7*(1+'Inputs'!$B$24)*(0.5*((((797-43)*MAX('Inputs'!$B$33,'Inputs'!$B$29+'Inputs'!$B$31+'Inputs'!$B$32,'Inputs'!$B$30+'Inputs'!$B$31+'Inputs'!$B$32)/1000+'Inputs'!$B$21)+'Inputs'!$B$7)/SQRT((((797-43)*MAX('Inputs'!$B$33,'Inputs'!$B$29+'Inputs'!$B$31+'Inputs'!$B$32,'Inputs'!$B$30+'Inputs'!$B$31+'Inputs'!$B$32)/1000+'Inputs'!$B$21)+'Inputs'!$B$7)^2+('Inputs'!$B$6/2)^2)-(((797-43)*MAX('Inputs'!$B$33,'Inputs'!$B$29+'Inputs'!$B$31+'Inputs'!$B$32,'Inputs'!$B$30+'Inputs'!$B$31+'Inputs'!$B$32)/1000+'Inputs'!$B$21))/SQRT((((797-43)*MAX('Inputs'!$B$33,'Inputs'!$B$29+'Inputs'!$B$31+'Inputs'!$B$32,'Inputs'!$B$30+'Inputs'!$B$31+'Inputs'!$B$32)/1000+'Inputs'!$B$21))^2+('Inputs'!$B$6/2)^2)))-'Results'!C7*(1-'Inputs'!$B$24)*(0.5*((((797-43)*MAX('Inputs'!$B$33,'Inputs'!$B$29+'Inputs'!$B$31+'Inputs'!$B$32,'Inputs'!$B$30+'Inputs'!$B$31+'Inputs'!$B$32)/1000+'Inputs'!$B$21+'Inputs'!$B$7+'Inputs'!$B$10)+'Inputs'!$B$9)/SQRT((((797-43)*MAX('Inputs'!$B$33,'Inputs'!$B$29+'Inputs'!$B$31+'Inputs'!$B$32,'Inputs'!$B$30+'Inputs'!$B$31+'Inputs'!$B$32)/1000+'Inputs'!$B$21+'Inputs'!$B$7+'Inputs'!$B$10)+'Inputs'!$B$9)^2+('Inputs'!$B$8/2)^2)-(((797-43)*MAX('Inputs'!$B$33,'Inputs'!$B$29+'Inputs'!$B$31+'Inputs'!$B$32,'Inputs'!$B$30+'Inputs'!$B$31+'Inputs'!$B$32)/1000+'Inputs'!$B$21+'Inputs'!$B$7+'Inputs'!$B$10))/SQRT((((797-43)*MAX('Inputs'!$B$33,'Inputs'!$B$29+'Inputs'!$B$31+'Inputs'!$B$32,'Inputs'!$B$30+'Inputs'!$B$31+'Inputs'!$B$32)/1000+'Inputs'!$B$21+'Inputs'!$B$7+'Inputs'!$B$10))^2+('Inputs'!$B$8/2)^2))))*'Results'!$B$8))),"")</x:f>
        <x:v>1.1393229976944854</x:v>
      </x:c>
      <x:c r="M797" t="n">
        <x:f>IF(AND(ISNUMBER('Results'!C7),ISNUMBER('Results'!B7),ISNUMBER('Results'!$B$8),ISNUMBER('Inputs'!$B$6),ISNUMBER('Inputs'!$B$7),ISNUMBER('Inputs'!$B$8),ISNUMBER('Inputs'!$B$9),ISNUMBER('Inputs'!$B$10),ISNUMBER('Inputs'!$B$21),ISNUMBER('Inputs'!$B$24),ISNUMBER('Inputs'!$B$28)),(('Results'!C7*(0.5*((((797-43)*MAX('Inputs'!$B$33,'Inputs'!$B$29+'Inputs'!$B$31+'Inputs'!$B$32,'Inputs'!$B$30+'Inputs'!$B$31+'Inputs'!$B$32)/1000+'Inputs'!$B$21)+'Inputs'!$B$9)/SQRT((((797-43)*MAX('Inputs'!$B$33,'Inputs'!$B$29+'Inputs'!$B$31+'Inputs'!$B$32,'Inputs'!$B$30+'Inputs'!$B$31+'Inputs'!$B$32)/1000+'Inputs'!$B$21)+'Inputs'!$B$9)^2+('Inputs'!$B$8/2)^2)-(((797-43)*MAX('Inputs'!$B$33,'Inputs'!$B$29+'Inputs'!$B$31+'Inputs'!$B$32,'Inputs'!$B$30+'Inputs'!$B$31+'Inputs'!$B$32)/1000+'Inputs'!$B$21))/SQRT((((797-43)*MAX('Inputs'!$B$33,'Inputs'!$B$29+'Inputs'!$B$31+'Inputs'!$B$32,'Inputs'!$B$30+'Inputs'!$B$31+'Inputs'!$B$32)/1000+'Inputs'!$B$21))^2+('Inputs'!$B$8/2)^2)))-'Results'!B7*(0.5*((((797-43)*MAX('Inputs'!$B$33,'Inputs'!$B$29+'Inputs'!$B$31+'Inputs'!$B$32,'Inputs'!$B$30+'Inputs'!$B$31+'Inputs'!$B$32)/1000+'Inputs'!$B$21+'Inputs'!$B$9+'Inputs'!$B$10)+'Inputs'!$B$7)/SQRT((((797-43)*MAX('Inputs'!$B$33,'Inputs'!$B$29+'Inputs'!$B$31+'Inputs'!$B$32,'Inputs'!$B$30+'Inputs'!$B$31+'Inputs'!$B$32)/1000+'Inputs'!$B$21+'Inputs'!$B$9+'Inputs'!$B$10)+'Inputs'!$B$7)^2+('Inputs'!$B$6/2)^2)-(((797-43)*MAX('Inputs'!$B$33,'Inputs'!$B$29+'Inputs'!$B$31+'Inputs'!$B$32,'Inputs'!$B$30+'Inputs'!$B$31+'Inputs'!$B$32)/1000+'Inputs'!$B$21+'Inputs'!$B$9+'Inputs'!$B$10))/SQRT((((797-43)*MAX('Inputs'!$B$33,'Inputs'!$B$29+'Inputs'!$B$31+'Inputs'!$B$32,'Inputs'!$B$30+'Inputs'!$B$31+'Inputs'!$B$32)/1000+'Inputs'!$B$21+'Inputs'!$B$9+'Inputs'!$B$10))^2+('Inputs'!$B$6/2)^2))))*'Results'!$B$8),"")</x:f>
        <x:v>0.8975462402762084</x:v>
      </x:c>
      <x:c r="N797" t="n">
        <x:f>IF(AND(ISNUMBER('Results'!C7),ISNUMBER('Results'!B7),ISNUMBER('Results'!$B$8),ISNUMBER('Inputs'!$B$6),ISNUMBER('Inputs'!$B$7),ISNUMBER('Inputs'!$B$8),ISNUMBER('Inputs'!$B$9),ISNUMBER('Inputs'!$B$10),ISNUMBER('Inputs'!$B$21),ISNUMBER('Inputs'!$B$24),ISNUMBER('Inputs'!$B$28)),((('Results'!C7*(1-'Inputs'!$B$24)*(0.5*((((797-43)*MAX('Inputs'!$B$33,'Inputs'!$B$29+'Inputs'!$B$31+'Inputs'!$B$32,'Inputs'!$B$30+'Inputs'!$B$31+'Inputs'!$B$32)/1000+'Inputs'!$B$21)+'Inputs'!$B$9)/SQRT((((797-43)*MAX('Inputs'!$B$33,'Inputs'!$B$29+'Inputs'!$B$31+'Inputs'!$B$32,'Inputs'!$B$30+'Inputs'!$B$31+'Inputs'!$B$32)/1000+'Inputs'!$B$21)+'Inputs'!$B$9)^2+('Inputs'!$B$8/2)^2)-(((797-43)*MAX('Inputs'!$B$33,'Inputs'!$B$29+'Inputs'!$B$31+'Inputs'!$B$32,'Inputs'!$B$30+'Inputs'!$B$31+'Inputs'!$B$32)/1000+'Inputs'!$B$21))/SQRT((((797-43)*MAX('Inputs'!$B$33,'Inputs'!$B$29+'Inputs'!$B$31+'Inputs'!$B$32,'Inputs'!$B$30+'Inputs'!$B$31+'Inputs'!$B$32)/1000+'Inputs'!$B$21))^2+('Inputs'!$B$8/2)^2)))-'Results'!B7*(1+'Inputs'!$B$24)*(0.5*((((797-43)*MAX('Inputs'!$B$33,'Inputs'!$B$29+'Inputs'!$B$31+'Inputs'!$B$32,'Inputs'!$B$30+'Inputs'!$B$31+'Inputs'!$B$32)/1000+'Inputs'!$B$21+'Inputs'!$B$9+'Inputs'!$B$10)+'Inputs'!$B$7)/SQRT((((797-43)*MAX('Inputs'!$B$33,'Inputs'!$B$29+'Inputs'!$B$31+'Inputs'!$B$32,'Inputs'!$B$30+'Inputs'!$B$31+'Inputs'!$B$32)/1000+'Inputs'!$B$21+'Inputs'!$B$9+'Inputs'!$B$10)+'Inputs'!$B$7)^2+('Inputs'!$B$6/2)^2)-(((797-43)*MAX('Inputs'!$B$33,'Inputs'!$B$29+'Inputs'!$B$31+'Inputs'!$B$32,'Inputs'!$B$30+'Inputs'!$B$31+'Inputs'!$B$32)/1000+'Inputs'!$B$21+'Inputs'!$B$9+'Inputs'!$B$10))/SQRT((((797-43)*MAX('Inputs'!$B$33,'Inputs'!$B$29+'Inputs'!$B$31+'Inputs'!$B$32,'Inputs'!$B$30+'Inputs'!$B$31+'Inputs'!$B$32)/1000+'Inputs'!$B$21+'Inputs'!$B$9+'Inputs'!$B$10))^2+('Inputs'!$B$6/2)^2))))*'Results'!$B$8)-'Inputs'!$B$28*ABS((('Results'!C7*(1-'Inputs'!$B$24)*(0.5*((((797-43)*MAX('Inputs'!$B$33,'Inputs'!$B$29+'Inputs'!$B$31+'Inputs'!$B$32,'Inputs'!$B$30+'Inputs'!$B$31+'Inputs'!$B$32)/1000+'Inputs'!$B$21)+'Inputs'!$B$9)/SQRT((((797-43)*MAX('Inputs'!$B$33,'Inputs'!$B$29+'Inputs'!$B$31+'Inputs'!$B$32,'Inputs'!$B$30+'Inputs'!$B$31+'Inputs'!$B$32)/1000+'Inputs'!$B$21)+'Inputs'!$B$9)^2+('Inputs'!$B$8/2)^2)-(((797-43)*MAX('Inputs'!$B$33,'Inputs'!$B$29+'Inputs'!$B$31+'Inputs'!$B$32,'Inputs'!$B$30+'Inputs'!$B$31+'Inputs'!$B$32)/1000+'Inputs'!$B$21))/SQRT((((797-43)*MAX('Inputs'!$B$33,'Inputs'!$B$29+'Inputs'!$B$31+'Inputs'!$B$32,'Inputs'!$B$30+'Inputs'!$B$31+'Inputs'!$B$32)/1000+'Inputs'!$B$21))^2+('Inputs'!$B$8/2)^2)))-'Results'!B7*(1+'Inputs'!$B$24)*(0.5*((((797-43)*MAX('Inputs'!$B$33,'Inputs'!$B$29+'Inputs'!$B$31+'Inputs'!$B$32,'Inputs'!$B$30+'Inputs'!$B$31+'Inputs'!$B$32)/1000+'Inputs'!$B$21+'Inputs'!$B$9+'Inputs'!$B$10)+'Inputs'!$B$7)/SQRT((((797-43)*MAX('Inputs'!$B$33,'Inputs'!$B$29+'Inputs'!$B$31+'Inputs'!$B$32,'Inputs'!$B$30+'Inputs'!$B$31+'Inputs'!$B$32)/1000+'Inputs'!$B$21+'Inputs'!$B$9+'Inputs'!$B$10)+'Inputs'!$B$7)^2+('Inputs'!$B$6/2)^2)-(((797-43)*MAX('Inputs'!$B$33,'Inputs'!$B$29+'Inputs'!$B$31+'Inputs'!$B$32,'Inputs'!$B$30+'Inputs'!$B$31+'Inputs'!$B$32)/1000+'Inputs'!$B$21+'Inputs'!$B$9+'Inputs'!$B$10))/SQRT((((797-43)*MAX('Inputs'!$B$33,'Inputs'!$B$29+'Inputs'!$B$31+'Inputs'!$B$32,'Inputs'!$B$30+'Inputs'!$B$31+'Inputs'!$B$32)/1000+'Inputs'!$B$21+'Inputs'!$B$9+'Inputs'!$B$10))^2+('Inputs'!$B$6/2)^2))))*'Results'!$B$8))),"")</x:f>
        <x:v>0.7643144544810313</x:v>
      </x:c>
      <x:c r="O797" t="n">
        <x:f>IF(AND(ISNUMBER('Results'!C7),ISNUMBER('Results'!B7),ISNUMBER('Results'!$B$8),ISNUMBER('Inputs'!$B$6),ISNUMBER('Inputs'!$B$7),ISNUMBER('Inputs'!$B$8),ISNUMBER('Inputs'!$B$9),ISNUMBER('Inputs'!$B$10),ISNUMBER('Inputs'!$B$21),ISNUMBER('Inputs'!$B$24),ISNUMBER('Inputs'!$B$28)),((('Results'!C7*(1+'Inputs'!$B$24)*(0.5*((((797-43)*MAX('Inputs'!$B$33,'Inputs'!$B$29+'Inputs'!$B$31+'Inputs'!$B$32,'Inputs'!$B$30+'Inputs'!$B$31+'Inputs'!$B$32)/1000+'Inputs'!$B$21)+'Inputs'!$B$9)/SQRT((((797-43)*MAX('Inputs'!$B$33,'Inputs'!$B$29+'Inputs'!$B$31+'Inputs'!$B$32,'Inputs'!$B$30+'Inputs'!$B$31+'Inputs'!$B$32)/1000+'Inputs'!$B$21)+'Inputs'!$B$9)^2+('Inputs'!$B$8/2)^2)-(((797-43)*MAX('Inputs'!$B$33,'Inputs'!$B$29+'Inputs'!$B$31+'Inputs'!$B$32,'Inputs'!$B$30+'Inputs'!$B$31+'Inputs'!$B$32)/1000+'Inputs'!$B$21))/SQRT((((797-43)*MAX('Inputs'!$B$33,'Inputs'!$B$29+'Inputs'!$B$31+'Inputs'!$B$32,'Inputs'!$B$30+'Inputs'!$B$31+'Inputs'!$B$32)/1000+'Inputs'!$B$21))^2+('Inputs'!$B$8/2)^2)))-'Results'!B7*(1-'Inputs'!$B$24)*(0.5*((((797-43)*MAX('Inputs'!$B$33,'Inputs'!$B$29+'Inputs'!$B$31+'Inputs'!$B$32,'Inputs'!$B$30+'Inputs'!$B$31+'Inputs'!$B$32)/1000+'Inputs'!$B$21+'Inputs'!$B$9+'Inputs'!$B$10)+'Inputs'!$B$7)/SQRT((((797-43)*MAX('Inputs'!$B$33,'Inputs'!$B$29+'Inputs'!$B$31+'Inputs'!$B$32,'Inputs'!$B$30+'Inputs'!$B$31+'Inputs'!$B$32)/1000+'Inputs'!$B$21+'Inputs'!$B$9+'Inputs'!$B$10)+'Inputs'!$B$7)^2+('Inputs'!$B$6/2)^2)-(((797-43)*MAX('Inputs'!$B$33,'Inputs'!$B$29+'Inputs'!$B$31+'Inputs'!$B$32,'Inputs'!$B$30+'Inputs'!$B$31+'Inputs'!$B$32)/1000+'Inputs'!$B$21+'Inputs'!$B$9+'Inputs'!$B$10))/SQRT((((797-43)*MAX('Inputs'!$B$33,'Inputs'!$B$29+'Inputs'!$B$31+'Inputs'!$B$32,'Inputs'!$B$30+'Inputs'!$B$31+'Inputs'!$B$32)/1000+'Inputs'!$B$21+'Inputs'!$B$9+'Inputs'!$B$10))^2+('Inputs'!$B$6/2)^2))))*'Results'!$B$8)+'Inputs'!$B$28*ABS((('Results'!C7*(1+'Inputs'!$B$24)*(0.5*((((797-43)*MAX('Inputs'!$B$33,'Inputs'!$B$29+'Inputs'!$B$31+'Inputs'!$B$32,'Inputs'!$B$30+'Inputs'!$B$31+'Inputs'!$B$32)/1000+'Inputs'!$B$21)+'Inputs'!$B$9)/SQRT((((797-43)*MAX('Inputs'!$B$33,'Inputs'!$B$29+'Inputs'!$B$31+'Inputs'!$B$32,'Inputs'!$B$30+'Inputs'!$B$31+'Inputs'!$B$32)/1000+'Inputs'!$B$21)+'Inputs'!$B$9)^2+('Inputs'!$B$8/2)^2)-(((797-43)*MAX('Inputs'!$B$33,'Inputs'!$B$29+'Inputs'!$B$31+'Inputs'!$B$32,'Inputs'!$B$30+'Inputs'!$B$31+'Inputs'!$B$32)/1000+'Inputs'!$B$21))/SQRT((((797-43)*MAX('Inputs'!$B$33,'Inputs'!$B$29+'Inputs'!$B$31+'Inputs'!$B$32,'Inputs'!$B$30+'Inputs'!$B$31+'Inputs'!$B$32)/1000+'Inputs'!$B$21))^2+('Inputs'!$B$8/2)^2)))-'Results'!B7*(1-'Inputs'!$B$24)*(0.5*((((797-43)*MAX('Inputs'!$B$33,'Inputs'!$B$29+'Inputs'!$B$31+'Inputs'!$B$32,'Inputs'!$B$30+'Inputs'!$B$31+'Inputs'!$B$32)/1000+'Inputs'!$B$21+'Inputs'!$B$9+'Inputs'!$B$10)+'Inputs'!$B$7)/SQRT((((797-43)*MAX('Inputs'!$B$33,'Inputs'!$B$29+'Inputs'!$B$31+'Inputs'!$B$32,'Inputs'!$B$30+'Inputs'!$B$31+'Inputs'!$B$32)/1000+'Inputs'!$B$21+'Inputs'!$B$9+'Inputs'!$B$10)+'Inputs'!$B$7)^2+('Inputs'!$B$6/2)^2)-(((797-43)*MAX('Inputs'!$B$33,'Inputs'!$B$29+'Inputs'!$B$31+'Inputs'!$B$32,'Inputs'!$B$30+'Inputs'!$B$31+'Inputs'!$B$32)/1000+'Inputs'!$B$21+'Inputs'!$B$9+'Inputs'!$B$10))/SQRT((((797-43)*MAX('Inputs'!$B$33,'Inputs'!$B$29+'Inputs'!$B$31+'Inputs'!$B$32,'Inputs'!$B$30+'Inputs'!$B$31+'Inputs'!$B$32)/1000+'Inputs'!$B$21+'Inputs'!$B$9+'Inputs'!$B$10))^2+('Inputs'!$B$6/2)^2))))*'Results'!$B$8))),"")</x:f>
        <x:v>1.0400784969957404</x:v>
      </x:c>
      <x:c r="P797" t="n">
        <x:f>IF(AND(MAX(J797,J796)&gt;0,J797&gt;J796+0.00000001),1,0)</x:f>
        <x:v>0</x:v>
      </x:c>
      <x:c r="Q797" t="n">
        <x:f>IF(AND(MAX(K797,K796)&gt;0,K797&gt;K796+0.00000001),1,0)</x:f>
        <x:v>0</x:v>
      </x:c>
      <x:c r="R797" t="n">
        <x:f>IF(AND(MAX(L797,L796)&gt;0,L797&gt;L796+0.00000001),1,0)</x:f>
        <x:v>0</x:v>
      </x:c>
      <x:c r="S797" t="n">
        <x:f>IF(AND(MAX(M797,M796)&gt;0,M797&gt;M796+0.00000001),1,0)</x:f>
        <x:v>0</x:v>
      </x:c>
      <x:c r="T797" t="n">
        <x:f>IF(AND(MAX(N797,N796)&gt;0,N797&gt;N796+0.00000001),1,0)</x:f>
        <x:v>0</x:v>
      </x:c>
      <x:c r="U797" t="n">
        <x:f>IF(AND(MAX(O797,O796)&gt;0,O797&gt;O796+0.00000001),1,0)</x:f>
        <x:v>0</x:v>
      </x:c>
    </x:row>
    <x:row r="798">
      <x:c r="J798" t="n">
        <x:f>IF(AND(ISNUMBER('Results'!B7),ISNUMBER('Results'!C7),ISNUMBER('Results'!$B$8),ISNUMBER('Inputs'!$B$6),ISNUMBER('Inputs'!$B$7),ISNUMBER('Inputs'!$B$8),ISNUMBER('Inputs'!$B$9),ISNUMBER('Inputs'!$B$10),ISNUMBER('Inputs'!$B$21),ISNUMBER('Inputs'!$B$24),ISNUMBER('Inputs'!$B$28)),(('Results'!B7*(0.5*((((798-43)*MAX('Inputs'!$B$33,'Inputs'!$B$29+'Inputs'!$B$31+'Inputs'!$B$32,'Inputs'!$B$30+'Inputs'!$B$31+'Inputs'!$B$32)/1000+'Inputs'!$B$21)+'Inputs'!$B$7)/SQRT((((798-43)*MAX('Inputs'!$B$33,'Inputs'!$B$29+'Inputs'!$B$31+'Inputs'!$B$32,'Inputs'!$B$30+'Inputs'!$B$31+'Inputs'!$B$32)/1000+'Inputs'!$B$21)+'Inputs'!$B$7)^2+('Inputs'!$B$6/2)^2)-(((798-43)*MAX('Inputs'!$B$33,'Inputs'!$B$29+'Inputs'!$B$31+'Inputs'!$B$32,'Inputs'!$B$30+'Inputs'!$B$31+'Inputs'!$B$32)/1000+'Inputs'!$B$21))/SQRT((((798-43)*MAX('Inputs'!$B$33,'Inputs'!$B$29+'Inputs'!$B$31+'Inputs'!$B$32,'Inputs'!$B$30+'Inputs'!$B$31+'Inputs'!$B$32)/1000+'Inputs'!$B$21))^2+('Inputs'!$B$6/2)^2)))-'Results'!C7*(0.5*((((798-43)*MAX('Inputs'!$B$33,'Inputs'!$B$29+'Inputs'!$B$31+'Inputs'!$B$32,'Inputs'!$B$30+'Inputs'!$B$31+'Inputs'!$B$32)/1000+'Inputs'!$B$21+'Inputs'!$B$7+'Inputs'!$B$10)+'Inputs'!$B$9)/SQRT((((798-43)*MAX('Inputs'!$B$33,'Inputs'!$B$29+'Inputs'!$B$31+'Inputs'!$B$32,'Inputs'!$B$30+'Inputs'!$B$31+'Inputs'!$B$32)/1000+'Inputs'!$B$21+'Inputs'!$B$7+'Inputs'!$B$10)+'Inputs'!$B$9)^2+('Inputs'!$B$8/2)^2)-(((798-43)*MAX('Inputs'!$B$33,'Inputs'!$B$29+'Inputs'!$B$31+'Inputs'!$B$32,'Inputs'!$B$30+'Inputs'!$B$31+'Inputs'!$B$32)/1000+'Inputs'!$B$21+'Inputs'!$B$7+'Inputs'!$B$10))/SQRT((((798-43)*MAX('Inputs'!$B$33,'Inputs'!$B$29+'Inputs'!$B$31+'Inputs'!$B$32,'Inputs'!$B$30+'Inputs'!$B$31+'Inputs'!$B$32)/1000+'Inputs'!$B$21+'Inputs'!$B$7+'Inputs'!$B$10))^2+('Inputs'!$B$8/2)^2))))*'Results'!$B$8),"")</x:f>
        <x:v>0.9869923777343221</x:v>
      </x:c>
      <x:c r="K798" t="n">
        <x:f>IF(AND(ISNUMBER('Results'!B7),ISNUMBER('Results'!C7),ISNUMBER('Results'!$B$8),ISNUMBER('Inputs'!$B$6),ISNUMBER('Inputs'!$B$7),ISNUMBER('Inputs'!$B$8),ISNUMBER('Inputs'!$B$9),ISNUMBER('Inputs'!$B$10),ISNUMBER('Inputs'!$B$21),ISNUMBER('Inputs'!$B$24),ISNUMBER('Inputs'!$B$28)),((('Results'!B7*(1-'Inputs'!$B$24)*(0.5*((((798-43)*MAX('Inputs'!$B$33,'Inputs'!$B$29+'Inputs'!$B$31+'Inputs'!$B$32,'Inputs'!$B$30+'Inputs'!$B$31+'Inputs'!$B$32)/1000+'Inputs'!$B$21)+'Inputs'!$B$7)/SQRT((((798-43)*MAX('Inputs'!$B$33,'Inputs'!$B$29+'Inputs'!$B$31+'Inputs'!$B$32,'Inputs'!$B$30+'Inputs'!$B$31+'Inputs'!$B$32)/1000+'Inputs'!$B$21)+'Inputs'!$B$7)^2+('Inputs'!$B$6/2)^2)-(((798-43)*MAX('Inputs'!$B$33,'Inputs'!$B$29+'Inputs'!$B$31+'Inputs'!$B$32,'Inputs'!$B$30+'Inputs'!$B$31+'Inputs'!$B$32)/1000+'Inputs'!$B$21))/SQRT((((798-43)*MAX('Inputs'!$B$33,'Inputs'!$B$29+'Inputs'!$B$31+'Inputs'!$B$32,'Inputs'!$B$30+'Inputs'!$B$31+'Inputs'!$B$32)/1000+'Inputs'!$B$21))^2+('Inputs'!$B$6/2)^2)))-'Results'!C7*(1+'Inputs'!$B$24)*(0.5*((((798-43)*MAX('Inputs'!$B$33,'Inputs'!$B$29+'Inputs'!$B$31+'Inputs'!$B$32,'Inputs'!$B$30+'Inputs'!$B$31+'Inputs'!$B$32)/1000+'Inputs'!$B$21+'Inputs'!$B$7+'Inputs'!$B$10)+'Inputs'!$B$9)/SQRT((((798-43)*MAX('Inputs'!$B$33,'Inputs'!$B$29+'Inputs'!$B$31+'Inputs'!$B$32,'Inputs'!$B$30+'Inputs'!$B$31+'Inputs'!$B$32)/1000+'Inputs'!$B$21+'Inputs'!$B$7+'Inputs'!$B$10)+'Inputs'!$B$9)^2+('Inputs'!$B$8/2)^2)-(((798-43)*MAX('Inputs'!$B$33,'Inputs'!$B$29+'Inputs'!$B$31+'Inputs'!$B$32,'Inputs'!$B$30+'Inputs'!$B$31+'Inputs'!$B$32)/1000+'Inputs'!$B$21+'Inputs'!$B$7+'Inputs'!$B$10))/SQRT((((798-43)*MAX('Inputs'!$B$33,'Inputs'!$B$29+'Inputs'!$B$31+'Inputs'!$B$32,'Inputs'!$B$30+'Inputs'!$B$31+'Inputs'!$B$32)/1000+'Inputs'!$B$21+'Inputs'!$B$7+'Inputs'!$B$10))^2+('Inputs'!$B$8/2)^2))))*'Results'!$B$8)-'Inputs'!$B$28*ABS((('Results'!B7*(1-'Inputs'!$B$24)*(0.5*((((798-43)*MAX('Inputs'!$B$33,'Inputs'!$B$29+'Inputs'!$B$31+'Inputs'!$B$32,'Inputs'!$B$30+'Inputs'!$B$31+'Inputs'!$B$32)/1000+'Inputs'!$B$21)+'Inputs'!$B$7)/SQRT((((798-43)*MAX('Inputs'!$B$33,'Inputs'!$B$29+'Inputs'!$B$31+'Inputs'!$B$32,'Inputs'!$B$30+'Inputs'!$B$31+'Inputs'!$B$32)/1000+'Inputs'!$B$21)+'Inputs'!$B$7)^2+('Inputs'!$B$6/2)^2)-(((798-43)*MAX('Inputs'!$B$33,'Inputs'!$B$29+'Inputs'!$B$31+'Inputs'!$B$32,'Inputs'!$B$30+'Inputs'!$B$31+'Inputs'!$B$32)/1000+'Inputs'!$B$21))/SQRT((((798-43)*MAX('Inputs'!$B$33,'Inputs'!$B$29+'Inputs'!$B$31+'Inputs'!$B$32,'Inputs'!$B$30+'Inputs'!$B$31+'Inputs'!$B$32)/1000+'Inputs'!$B$21))^2+('Inputs'!$B$6/2)^2)))-'Results'!C7*(1+'Inputs'!$B$24)*(0.5*((((798-43)*MAX('Inputs'!$B$33,'Inputs'!$B$29+'Inputs'!$B$31+'Inputs'!$B$32,'Inputs'!$B$30+'Inputs'!$B$31+'Inputs'!$B$32)/1000+'Inputs'!$B$21+'Inputs'!$B$7+'Inputs'!$B$10)+'Inputs'!$B$9)/SQRT((((798-43)*MAX('Inputs'!$B$33,'Inputs'!$B$29+'Inputs'!$B$31+'Inputs'!$B$32,'Inputs'!$B$30+'Inputs'!$B$31+'Inputs'!$B$32)/1000+'Inputs'!$B$21+'Inputs'!$B$7+'Inputs'!$B$10)+'Inputs'!$B$9)^2+('Inputs'!$B$8/2)^2)-(((798-43)*MAX('Inputs'!$B$33,'Inputs'!$B$29+'Inputs'!$B$31+'Inputs'!$B$32,'Inputs'!$B$30+'Inputs'!$B$31+'Inputs'!$B$32)/1000+'Inputs'!$B$21+'Inputs'!$B$7+'Inputs'!$B$10))/SQRT((((798-43)*MAX('Inputs'!$B$33,'Inputs'!$B$29+'Inputs'!$B$31+'Inputs'!$B$32,'Inputs'!$B$30+'Inputs'!$B$31+'Inputs'!$B$32)/1000+'Inputs'!$B$21+'Inputs'!$B$7+'Inputs'!$B$10))^2+('Inputs'!$B$8/2)^2))))*'Results'!$B$8))),"")</x:f>
        <x:v>0.849248515832685</x:v>
      </x:c>
      <x:c r="L798" t="n">
        <x:f>IF(AND(ISNUMBER('Results'!B7),ISNUMBER('Results'!C7),ISNUMBER('Results'!$B$8),ISNUMBER('Inputs'!$B$6),ISNUMBER('Inputs'!$B$7),ISNUMBER('Inputs'!$B$8),ISNUMBER('Inputs'!$B$9),ISNUMBER('Inputs'!$B$10),ISNUMBER('Inputs'!$B$21),ISNUMBER('Inputs'!$B$24),ISNUMBER('Inputs'!$B$28)),((('Results'!B7*(1+'Inputs'!$B$24)*(0.5*((((798-43)*MAX('Inputs'!$B$33,'Inputs'!$B$29+'Inputs'!$B$31+'Inputs'!$B$32,'Inputs'!$B$30+'Inputs'!$B$31+'Inputs'!$B$32)/1000+'Inputs'!$B$21)+'Inputs'!$B$7)/SQRT((((798-43)*MAX('Inputs'!$B$33,'Inputs'!$B$29+'Inputs'!$B$31+'Inputs'!$B$32,'Inputs'!$B$30+'Inputs'!$B$31+'Inputs'!$B$32)/1000+'Inputs'!$B$21)+'Inputs'!$B$7)^2+('Inputs'!$B$6/2)^2)-(((798-43)*MAX('Inputs'!$B$33,'Inputs'!$B$29+'Inputs'!$B$31+'Inputs'!$B$32,'Inputs'!$B$30+'Inputs'!$B$31+'Inputs'!$B$32)/1000+'Inputs'!$B$21))/SQRT((((798-43)*MAX('Inputs'!$B$33,'Inputs'!$B$29+'Inputs'!$B$31+'Inputs'!$B$32,'Inputs'!$B$30+'Inputs'!$B$31+'Inputs'!$B$32)/1000+'Inputs'!$B$21))^2+('Inputs'!$B$6/2)^2)))-'Results'!C7*(1-'Inputs'!$B$24)*(0.5*((((798-43)*MAX('Inputs'!$B$33,'Inputs'!$B$29+'Inputs'!$B$31+'Inputs'!$B$32,'Inputs'!$B$30+'Inputs'!$B$31+'Inputs'!$B$32)/1000+'Inputs'!$B$21+'Inputs'!$B$7+'Inputs'!$B$10)+'Inputs'!$B$9)/SQRT((((798-43)*MAX('Inputs'!$B$33,'Inputs'!$B$29+'Inputs'!$B$31+'Inputs'!$B$32,'Inputs'!$B$30+'Inputs'!$B$31+'Inputs'!$B$32)/1000+'Inputs'!$B$21+'Inputs'!$B$7+'Inputs'!$B$10)+'Inputs'!$B$9)^2+('Inputs'!$B$8/2)^2)-(((798-43)*MAX('Inputs'!$B$33,'Inputs'!$B$29+'Inputs'!$B$31+'Inputs'!$B$32,'Inputs'!$B$30+'Inputs'!$B$31+'Inputs'!$B$32)/1000+'Inputs'!$B$21+'Inputs'!$B$7+'Inputs'!$B$10))/SQRT((((798-43)*MAX('Inputs'!$B$33,'Inputs'!$B$29+'Inputs'!$B$31+'Inputs'!$B$32,'Inputs'!$B$30+'Inputs'!$B$31+'Inputs'!$B$32)/1000+'Inputs'!$B$21+'Inputs'!$B$7+'Inputs'!$B$10))^2+('Inputs'!$B$8/2)^2))))*'Results'!$B$8)+'Inputs'!$B$28*ABS((('Results'!B7*(1+'Inputs'!$B$24)*(0.5*((((798-43)*MAX('Inputs'!$B$33,'Inputs'!$B$29+'Inputs'!$B$31+'Inputs'!$B$32,'Inputs'!$B$30+'Inputs'!$B$31+'Inputs'!$B$32)/1000+'Inputs'!$B$21)+'Inputs'!$B$7)/SQRT((((798-43)*MAX('Inputs'!$B$33,'Inputs'!$B$29+'Inputs'!$B$31+'Inputs'!$B$32,'Inputs'!$B$30+'Inputs'!$B$31+'Inputs'!$B$32)/1000+'Inputs'!$B$21)+'Inputs'!$B$7)^2+('Inputs'!$B$6/2)^2)-(((798-43)*MAX('Inputs'!$B$33,'Inputs'!$B$29+'Inputs'!$B$31+'Inputs'!$B$32,'Inputs'!$B$30+'Inputs'!$B$31+'Inputs'!$B$32)/1000+'Inputs'!$B$21))/SQRT((((798-43)*MAX('Inputs'!$B$33,'Inputs'!$B$29+'Inputs'!$B$31+'Inputs'!$B$32,'Inputs'!$B$30+'Inputs'!$B$31+'Inputs'!$B$32)/1000+'Inputs'!$B$21))^2+('Inputs'!$B$6/2)^2)))-'Results'!C7*(1-'Inputs'!$B$24)*(0.5*((((798-43)*MAX('Inputs'!$B$33,'Inputs'!$B$29+'Inputs'!$B$31+'Inputs'!$B$32,'Inputs'!$B$30+'Inputs'!$B$31+'Inputs'!$B$32)/1000+'Inputs'!$B$21+'Inputs'!$B$7+'Inputs'!$B$10)+'Inputs'!$B$9)/SQRT((((798-43)*MAX('Inputs'!$B$33,'Inputs'!$B$29+'Inputs'!$B$31+'Inputs'!$B$32,'Inputs'!$B$30+'Inputs'!$B$31+'Inputs'!$B$32)/1000+'Inputs'!$B$21+'Inputs'!$B$7+'Inputs'!$B$10)+'Inputs'!$B$9)^2+('Inputs'!$B$8/2)^2)-(((798-43)*MAX('Inputs'!$B$33,'Inputs'!$B$29+'Inputs'!$B$31+'Inputs'!$B$32,'Inputs'!$B$30+'Inputs'!$B$31+'Inputs'!$B$32)/1000+'Inputs'!$B$21+'Inputs'!$B$7+'Inputs'!$B$10))/SQRT((((798-43)*MAX('Inputs'!$B$33,'Inputs'!$B$29+'Inputs'!$B$31+'Inputs'!$B$32,'Inputs'!$B$30+'Inputs'!$B$31+'Inputs'!$B$32)/1000+'Inputs'!$B$21+'Inputs'!$B$7+'Inputs'!$B$10))^2+('Inputs'!$B$8/2)^2))))*'Results'!$B$8))),"")</x:f>
        <x:v>1.1340408967954245</x:v>
      </x:c>
      <x:c r="M798" t="n">
        <x:f>IF(AND(ISNUMBER('Results'!C7),ISNUMBER('Results'!B7),ISNUMBER('Results'!$B$8),ISNUMBER('Inputs'!$B$6),ISNUMBER('Inputs'!$B$7),ISNUMBER('Inputs'!$B$8),ISNUMBER('Inputs'!$B$9),ISNUMBER('Inputs'!$B$10),ISNUMBER('Inputs'!$B$21),ISNUMBER('Inputs'!$B$24),ISNUMBER('Inputs'!$B$28)),(('Results'!C7*(0.5*((((798-43)*MAX('Inputs'!$B$33,'Inputs'!$B$29+'Inputs'!$B$31+'Inputs'!$B$32,'Inputs'!$B$30+'Inputs'!$B$31+'Inputs'!$B$32)/1000+'Inputs'!$B$21)+'Inputs'!$B$9)/SQRT((((798-43)*MAX('Inputs'!$B$33,'Inputs'!$B$29+'Inputs'!$B$31+'Inputs'!$B$32,'Inputs'!$B$30+'Inputs'!$B$31+'Inputs'!$B$32)/1000+'Inputs'!$B$21)+'Inputs'!$B$9)^2+('Inputs'!$B$8/2)^2)-(((798-43)*MAX('Inputs'!$B$33,'Inputs'!$B$29+'Inputs'!$B$31+'Inputs'!$B$32,'Inputs'!$B$30+'Inputs'!$B$31+'Inputs'!$B$32)/1000+'Inputs'!$B$21))/SQRT((((798-43)*MAX('Inputs'!$B$33,'Inputs'!$B$29+'Inputs'!$B$31+'Inputs'!$B$32,'Inputs'!$B$30+'Inputs'!$B$31+'Inputs'!$B$32)/1000+'Inputs'!$B$21))^2+('Inputs'!$B$8/2)^2)))-'Results'!B7*(0.5*((((798-43)*MAX('Inputs'!$B$33,'Inputs'!$B$29+'Inputs'!$B$31+'Inputs'!$B$32,'Inputs'!$B$30+'Inputs'!$B$31+'Inputs'!$B$32)/1000+'Inputs'!$B$21+'Inputs'!$B$9+'Inputs'!$B$10)+'Inputs'!$B$7)/SQRT((((798-43)*MAX('Inputs'!$B$33,'Inputs'!$B$29+'Inputs'!$B$31+'Inputs'!$B$32,'Inputs'!$B$30+'Inputs'!$B$31+'Inputs'!$B$32)/1000+'Inputs'!$B$21+'Inputs'!$B$9+'Inputs'!$B$10)+'Inputs'!$B$7)^2+('Inputs'!$B$6/2)^2)-(((798-43)*MAX('Inputs'!$B$33,'Inputs'!$B$29+'Inputs'!$B$31+'Inputs'!$B$32,'Inputs'!$B$30+'Inputs'!$B$31+'Inputs'!$B$32)/1000+'Inputs'!$B$21+'Inputs'!$B$9+'Inputs'!$B$10))/SQRT((((798-43)*MAX('Inputs'!$B$33,'Inputs'!$B$29+'Inputs'!$B$31+'Inputs'!$B$32,'Inputs'!$B$30+'Inputs'!$B$31+'Inputs'!$B$32)/1000+'Inputs'!$B$21+'Inputs'!$B$9+'Inputs'!$B$10))^2+('Inputs'!$B$6/2)^2))))*'Results'!$B$8),"")</x:f>
        <x:v>0.8931977783433425</x:v>
      </x:c>
      <x:c r="N798" t="n">
        <x:f>IF(AND(ISNUMBER('Results'!C7),ISNUMBER('Results'!B7),ISNUMBER('Results'!$B$8),ISNUMBER('Inputs'!$B$6),ISNUMBER('Inputs'!$B$7),ISNUMBER('Inputs'!$B$8),ISNUMBER('Inputs'!$B$9),ISNUMBER('Inputs'!$B$10),ISNUMBER('Inputs'!$B$21),ISNUMBER('Inputs'!$B$24),ISNUMBER('Inputs'!$B$28)),((('Results'!C7*(1-'Inputs'!$B$24)*(0.5*((((798-43)*MAX('Inputs'!$B$33,'Inputs'!$B$29+'Inputs'!$B$31+'Inputs'!$B$32,'Inputs'!$B$30+'Inputs'!$B$31+'Inputs'!$B$32)/1000+'Inputs'!$B$21)+'Inputs'!$B$9)/SQRT((((798-43)*MAX('Inputs'!$B$33,'Inputs'!$B$29+'Inputs'!$B$31+'Inputs'!$B$32,'Inputs'!$B$30+'Inputs'!$B$31+'Inputs'!$B$32)/1000+'Inputs'!$B$21)+'Inputs'!$B$9)^2+('Inputs'!$B$8/2)^2)-(((798-43)*MAX('Inputs'!$B$33,'Inputs'!$B$29+'Inputs'!$B$31+'Inputs'!$B$32,'Inputs'!$B$30+'Inputs'!$B$31+'Inputs'!$B$32)/1000+'Inputs'!$B$21))/SQRT((((798-43)*MAX('Inputs'!$B$33,'Inputs'!$B$29+'Inputs'!$B$31+'Inputs'!$B$32,'Inputs'!$B$30+'Inputs'!$B$31+'Inputs'!$B$32)/1000+'Inputs'!$B$21))^2+('Inputs'!$B$8/2)^2)))-'Results'!B7*(1+'Inputs'!$B$24)*(0.5*((((798-43)*MAX('Inputs'!$B$33,'Inputs'!$B$29+'Inputs'!$B$31+'Inputs'!$B$32,'Inputs'!$B$30+'Inputs'!$B$31+'Inputs'!$B$32)/1000+'Inputs'!$B$21+'Inputs'!$B$9+'Inputs'!$B$10)+'Inputs'!$B$7)/SQRT((((798-43)*MAX('Inputs'!$B$33,'Inputs'!$B$29+'Inputs'!$B$31+'Inputs'!$B$32,'Inputs'!$B$30+'Inputs'!$B$31+'Inputs'!$B$32)/1000+'Inputs'!$B$21+'Inputs'!$B$9+'Inputs'!$B$10)+'Inputs'!$B$7)^2+('Inputs'!$B$6/2)^2)-(((798-43)*MAX('Inputs'!$B$33,'Inputs'!$B$29+'Inputs'!$B$31+'Inputs'!$B$32,'Inputs'!$B$30+'Inputs'!$B$31+'Inputs'!$B$32)/1000+'Inputs'!$B$21+'Inputs'!$B$9+'Inputs'!$B$10))/SQRT((((798-43)*MAX('Inputs'!$B$33,'Inputs'!$B$29+'Inputs'!$B$31+'Inputs'!$B$32,'Inputs'!$B$30+'Inputs'!$B$31+'Inputs'!$B$32)/1000+'Inputs'!$B$21+'Inputs'!$B$9+'Inputs'!$B$10))^2+('Inputs'!$B$6/2)^2))))*'Results'!$B$8)-'Inputs'!$B$28*ABS((('Results'!C7*(1-'Inputs'!$B$24)*(0.5*((((798-43)*MAX('Inputs'!$B$33,'Inputs'!$B$29+'Inputs'!$B$31+'Inputs'!$B$32,'Inputs'!$B$30+'Inputs'!$B$31+'Inputs'!$B$32)/1000+'Inputs'!$B$21)+'Inputs'!$B$9)/SQRT((((798-43)*MAX('Inputs'!$B$33,'Inputs'!$B$29+'Inputs'!$B$31+'Inputs'!$B$32,'Inputs'!$B$30+'Inputs'!$B$31+'Inputs'!$B$32)/1000+'Inputs'!$B$21)+'Inputs'!$B$9)^2+('Inputs'!$B$8/2)^2)-(((798-43)*MAX('Inputs'!$B$33,'Inputs'!$B$29+'Inputs'!$B$31+'Inputs'!$B$32,'Inputs'!$B$30+'Inputs'!$B$31+'Inputs'!$B$32)/1000+'Inputs'!$B$21))/SQRT((((798-43)*MAX('Inputs'!$B$33,'Inputs'!$B$29+'Inputs'!$B$31+'Inputs'!$B$32,'Inputs'!$B$30+'Inputs'!$B$31+'Inputs'!$B$32)/1000+'Inputs'!$B$21))^2+('Inputs'!$B$8/2)^2)))-'Results'!B7*(1+'Inputs'!$B$24)*(0.5*((((798-43)*MAX('Inputs'!$B$33,'Inputs'!$B$29+'Inputs'!$B$31+'Inputs'!$B$32,'Inputs'!$B$30+'Inputs'!$B$31+'Inputs'!$B$32)/1000+'Inputs'!$B$21+'Inputs'!$B$9+'Inputs'!$B$10)+'Inputs'!$B$7)/SQRT((((798-43)*MAX('Inputs'!$B$33,'Inputs'!$B$29+'Inputs'!$B$31+'Inputs'!$B$32,'Inputs'!$B$30+'Inputs'!$B$31+'Inputs'!$B$32)/1000+'Inputs'!$B$21+'Inputs'!$B$9+'Inputs'!$B$10)+'Inputs'!$B$7)^2+('Inputs'!$B$6/2)^2)-(((798-43)*MAX('Inputs'!$B$33,'Inputs'!$B$29+'Inputs'!$B$31+'Inputs'!$B$32,'Inputs'!$B$30+'Inputs'!$B$31+'Inputs'!$B$32)/1000+'Inputs'!$B$21+'Inputs'!$B$9+'Inputs'!$B$10))/SQRT((((798-43)*MAX('Inputs'!$B$33,'Inputs'!$B$29+'Inputs'!$B$31+'Inputs'!$B$32,'Inputs'!$B$30+'Inputs'!$B$31+'Inputs'!$B$32)/1000+'Inputs'!$B$21+'Inputs'!$B$9+'Inputs'!$B$10))^2+('Inputs'!$B$6/2)^2))))*'Results'!$B$8))),"")</x:f>
        <x:v>0.7605044909866631</x:v>
      </x:c>
      <x:c r="O798" t="n">
        <x:f>IF(AND(ISNUMBER('Results'!C7),ISNUMBER('Results'!B7),ISNUMBER('Results'!$B$8),ISNUMBER('Inputs'!$B$6),ISNUMBER('Inputs'!$B$7),ISNUMBER('Inputs'!$B$8),ISNUMBER('Inputs'!$B$9),ISNUMBER('Inputs'!$B$10),ISNUMBER('Inputs'!$B$21),ISNUMBER('Inputs'!$B$24),ISNUMBER('Inputs'!$B$28)),((('Results'!C7*(1+'Inputs'!$B$24)*(0.5*((((798-43)*MAX('Inputs'!$B$33,'Inputs'!$B$29+'Inputs'!$B$31+'Inputs'!$B$32,'Inputs'!$B$30+'Inputs'!$B$31+'Inputs'!$B$32)/1000+'Inputs'!$B$21)+'Inputs'!$B$9)/SQRT((((798-43)*MAX('Inputs'!$B$33,'Inputs'!$B$29+'Inputs'!$B$31+'Inputs'!$B$32,'Inputs'!$B$30+'Inputs'!$B$31+'Inputs'!$B$32)/1000+'Inputs'!$B$21)+'Inputs'!$B$9)^2+('Inputs'!$B$8/2)^2)-(((798-43)*MAX('Inputs'!$B$33,'Inputs'!$B$29+'Inputs'!$B$31+'Inputs'!$B$32,'Inputs'!$B$30+'Inputs'!$B$31+'Inputs'!$B$32)/1000+'Inputs'!$B$21))/SQRT((((798-43)*MAX('Inputs'!$B$33,'Inputs'!$B$29+'Inputs'!$B$31+'Inputs'!$B$32,'Inputs'!$B$30+'Inputs'!$B$31+'Inputs'!$B$32)/1000+'Inputs'!$B$21))^2+('Inputs'!$B$8/2)^2)))-'Results'!B7*(1-'Inputs'!$B$24)*(0.5*((((798-43)*MAX('Inputs'!$B$33,'Inputs'!$B$29+'Inputs'!$B$31+'Inputs'!$B$32,'Inputs'!$B$30+'Inputs'!$B$31+'Inputs'!$B$32)/1000+'Inputs'!$B$21+'Inputs'!$B$9+'Inputs'!$B$10)+'Inputs'!$B$7)/SQRT((((798-43)*MAX('Inputs'!$B$33,'Inputs'!$B$29+'Inputs'!$B$31+'Inputs'!$B$32,'Inputs'!$B$30+'Inputs'!$B$31+'Inputs'!$B$32)/1000+'Inputs'!$B$21+'Inputs'!$B$9+'Inputs'!$B$10)+'Inputs'!$B$7)^2+('Inputs'!$B$6/2)^2)-(((798-43)*MAX('Inputs'!$B$33,'Inputs'!$B$29+'Inputs'!$B$31+'Inputs'!$B$32,'Inputs'!$B$30+'Inputs'!$B$31+'Inputs'!$B$32)/1000+'Inputs'!$B$21+'Inputs'!$B$9+'Inputs'!$B$10))/SQRT((((798-43)*MAX('Inputs'!$B$33,'Inputs'!$B$29+'Inputs'!$B$31+'Inputs'!$B$32,'Inputs'!$B$30+'Inputs'!$B$31+'Inputs'!$B$32)/1000+'Inputs'!$B$21+'Inputs'!$B$9+'Inputs'!$B$10))^2+('Inputs'!$B$6/2)^2))))*'Results'!$B$8)+'Inputs'!$B$28*ABS((('Results'!C7*(1+'Inputs'!$B$24)*(0.5*((((798-43)*MAX('Inputs'!$B$33,'Inputs'!$B$29+'Inputs'!$B$31+'Inputs'!$B$32,'Inputs'!$B$30+'Inputs'!$B$31+'Inputs'!$B$32)/1000+'Inputs'!$B$21)+'Inputs'!$B$9)/SQRT((((798-43)*MAX('Inputs'!$B$33,'Inputs'!$B$29+'Inputs'!$B$31+'Inputs'!$B$32,'Inputs'!$B$30+'Inputs'!$B$31+'Inputs'!$B$32)/1000+'Inputs'!$B$21)+'Inputs'!$B$9)^2+('Inputs'!$B$8/2)^2)-(((798-43)*MAX('Inputs'!$B$33,'Inputs'!$B$29+'Inputs'!$B$31+'Inputs'!$B$32,'Inputs'!$B$30+'Inputs'!$B$31+'Inputs'!$B$32)/1000+'Inputs'!$B$21))/SQRT((((798-43)*MAX('Inputs'!$B$33,'Inputs'!$B$29+'Inputs'!$B$31+'Inputs'!$B$32,'Inputs'!$B$30+'Inputs'!$B$31+'Inputs'!$B$32)/1000+'Inputs'!$B$21))^2+('Inputs'!$B$8/2)^2)))-'Results'!B7*(1-'Inputs'!$B$24)*(0.5*((((798-43)*MAX('Inputs'!$B$33,'Inputs'!$B$29+'Inputs'!$B$31+'Inputs'!$B$32,'Inputs'!$B$30+'Inputs'!$B$31+'Inputs'!$B$32)/1000+'Inputs'!$B$21+'Inputs'!$B$9+'Inputs'!$B$10)+'Inputs'!$B$7)/SQRT((((798-43)*MAX('Inputs'!$B$33,'Inputs'!$B$29+'Inputs'!$B$31+'Inputs'!$B$32,'Inputs'!$B$30+'Inputs'!$B$31+'Inputs'!$B$32)/1000+'Inputs'!$B$21+'Inputs'!$B$9+'Inputs'!$B$10)+'Inputs'!$B$7)^2+('Inputs'!$B$6/2)^2)-(((798-43)*MAX('Inputs'!$B$33,'Inputs'!$B$29+'Inputs'!$B$31+'Inputs'!$B$32,'Inputs'!$B$30+'Inputs'!$B$31+'Inputs'!$B$32)/1000+'Inputs'!$B$21+'Inputs'!$B$9+'Inputs'!$B$10))/SQRT((((798-43)*MAX('Inputs'!$B$33,'Inputs'!$B$29+'Inputs'!$B$31+'Inputs'!$B$32,'Inputs'!$B$30+'Inputs'!$B$31+'Inputs'!$B$32)/1000+'Inputs'!$B$21+'Inputs'!$B$9+'Inputs'!$B$10))^2+('Inputs'!$B$6/2)^2))))*'Results'!$B$8))),"")</x:f>
        <x:v>1.0351577392199702</x:v>
      </x:c>
      <x:c r="P798" t="n">
        <x:f>IF(AND(MAX(J798,J797)&gt;0,J798&gt;J797+0.00000001),1,0)</x:f>
        <x:v>0</x:v>
      </x:c>
      <x:c r="Q798" t="n">
        <x:f>IF(AND(MAX(K798,K797)&gt;0,K798&gt;K797+0.00000001),1,0)</x:f>
        <x:v>0</x:v>
      </x:c>
      <x:c r="R798" t="n">
        <x:f>IF(AND(MAX(L798,L797)&gt;0,L798&gt;L797+0.00000001),1,0)</x:f>
        <x:v>0</x:v>
      </x:c>
      <x:c r="S798" t="n">
        <x:f>IF(AND(MAX(M798,M797)&gt;0,M798&gt;M797+0.00000001),1,0)</x:f>
        <x:v>0</x:v>
      </x:c>
      <x:c r="T798" t="n">
        <x:f>IF(AND(MAX(N798,N797)&gt;0,N798&gt;N797+0.00000001),1,0)</x:f>
        <x:v>0</x:v>
      </x:c>
      <x:c r="U798" t="n">
        <x:f>IF(AND(MAX(O798,O797)&gt;0,O798&gt;O797+0.00000001),1,0)</x:f>
        <x:v>0</x:v>
      </x:c>
    </x:row>
    <x:row r="799">
      <x:c r="J799" t="n">
        <x:f>IF(AND(ISNUMBER('Results'!B7),ISNUMBER('Results'!C7),ISNUMBER('Results'!$B$8),ISNUMBER('Inputs'!$B$6),ISNUMBER('Inputs'!$B$7),ISNUMBER('Inputs'!$B$8),ISNUMBER('Inputs'!$B$9),ISNUMBER('Inputs'!$B$10),ISNUMBER('Inputs'!$B$21),ISNUMBER('Inputs'!$B$24),ISNUMBER('Inputs'!$B$28)),(('Results'!B7*(0.5*((((799-43)*MAX('Inputs'!$B$33,'Inputs'!$B$29+'Inputs'!$B$31+'Inputs'!$B$32,'Inputs'!$B$30+'Inputs'!$B$31+'Inputs'!$B$32)/1000+'Inputs'!$B$21)+'Inputs'!$B$7)/SQRT((((799-43)*MAX('Inputs'!$B$33,'Inputs'!$B$29+'Inputs'!$B$31+'Inputs'!$B$32,'Inputs'!$B$30+'Inputs'!$B$31+'Inputs'!$B$32)/1000+'Inputs'!$B$21)+'Inputs'!$B$7)^2+('Inputs'!$B$6/2)^2)-(((799-43)*MAX('Inputs'!$B$33,'Inputs'!$B$29+'Inputs'!$B$31+'Inputs'!$B$32,'Inputs'!$B$30+'Inputs'!$B$31+'Inputs'!$B$32)/1000+'Inputs'!$B$21))/SQRT((((799-43)*MAX('Inputs'!$B$33,'Inputs'!$B$29+'Inputs'!$B$31+'Inputs'!$B$32,'Inputs'!$B$30+'Inputs'!$B$31+'Inputs'!$B$32)/1000+'Inputs'!$B$21))^2+('Inputs'!$B$6/2)^2)))-'Results'!C7*(0.5*((((799-43)*MAX('Inputs'!$B$33,'Inputs'!$B$29+'Inputs'!$B$31+'Inputs'!$B$32,'Inputs'!$B$30+'Inputs'!$B$31+'Inputs'!$B$32)/1000+'Inputs'!$B$21+'Inputs'!$B$7+'Inputs'!$B$10)+'Inputs'!$B$9)/SQRT((((799-43)*MAX('Inputs'!$B$33,'Inputs'!$B$29+'Inputs'!$B$31+'Inputs'!$B$32,'Inputs'!$B$30+'Inputs'!$B$31+'Inputs'!$B$32)/1000+'Inputs'!$B$21+'Inputs'!$B$7+'Inputs'!$B$10)+'Inputs'!$B$9)^2+('Inputs'!$B$8/2)^2)-(((799-43)*MAX('Inputs'!$B$33,'Inputs'!$B$29+'Inputs'!$B$31+'Inputs'!$B$32,'Inputs'!$B$30+'Inputs'!$B$31+'Inputs'!$B$32)/1000+'Inputs'!$B$21+'Inputs'!$B$7+'Inputs'!$B$10))/SQRT((((799-43)*MAX('Inputs'!$B$33,'Inputs'!$B$29+'Inputs'!$B$31+'Inputs'!$B$32,'Inputs'!$B$30+'Inputs'!$B$31+'Inputs'!$B$32)/1000+'Inputs'!$B$21+'Inputs'!$B$7+'Inputs'!$B$10))^2+('Inputs'!$B$8/2)^2))))*'Results'!$B$8),"")</x:f>
        <x:v>0.982329416607196</x:v>
      </x:c>
      <x:c r="K799" t="n">
        <x:f>IF(AND(ISNUMBER('Results'!B7),ISNUMBER('Results'!C7),ISNUMBER('Results'!$B$8),ISNUMBER('Inputs'!$B$6),ISNUMBER('Inputs'!$B$7),ISNUMBER('Inputs'!$B$8),ISNUMBER('Inputs'!$B$9),ISNUMBER('Inputs'!$B$10),ISNUMBER('Inputs'!$B$21),ISNUMBER('Inputs'!$B$24),ISNUMBER('Inputs'!$B$28)),((('Results'!B7*(1-'Inputs'!$B$24)*(0.5*((((799-43)*MAX('Inputs'!$B$33,'Inputs'!$B$29+'Inputs'!$B$31+'Inputs'!$B$32,'Inputs'!$B$30+'Inputs'!$B$31+'Inputs'!$B$32)/1000+'Inputs'!$B$21)+'Inputs'!$B$7)/SQRT((((799-43)*MAX('Inputs'!$B$33,'Inputs'!$B$29+'Inputs'!$B$31+'Inputs'!$B$32,'Inputs'!$B$30+'Inputs'!$B$31+'Inputs'!$B$32)/1000+'Inputs'!$B$21)+'Inputs'!$B$7)^2+('Inputs'!$B$6/2)^2)-(((799-43)*MAX('Inputs'!$B$33,'Inputs'!$B$29+'Inputs'!$B$31+'Inputs'!$B$32,'Inputs'!$B$30+'Inputs'!$B$31+'Inputs'!$B$32)/1000+'Inputs'!$B$21))/SQRT((((799-43)*MAX('Inputs'!$B$33,'Inputs'!$B$29+'Inputs'!$B$31+'Inputs'!$B$32,'Inputs'!$B$30+'Inputs'!$B$31+'Inputs'!$B$32)/1000+'Inputs'!$B$21))^2+('Inputs'!$B$6/2)^2)))-'Results'!C7*(1+'Inputs'!$B$24)*(0.5*((((799-43)*MAX('Inputs'!$B$33,'Inputs'!$B$29+'Inputs'!$B$31+'Inputs'!$B$32,'Inputs'!$B$30+'Inputs'!$B$31+'Inputs'!$B$32)/1000+'Inputs'!$B$21+'Inputs'!$B$7+'Inputs'!$B$10)+'Inputs'!$B$9)/SQRT((((799-43)*MAX('Inputs'!$B$33,'Inputs'!$B$29+'Inputs'!$B$31+'Inputs'!$B$32,'Inputs'!$B$30+'Inputs'!$B$31+'Inputs'!$B$32)/1000+'Inputs'!$B$21+'Inputs'!$B$7+'Inputs'!$B$10)+'Inputs'!$B$9)^2+('Inputs'!$B$8/2)^2)-(((799-43)*MAX('Inputs'!$B$33,'Inputs'!$B$29+'Inputs'!$B$31+'Inputs'!$B$32,'Inputs'!$B$30+'Inputs'!$B$31+'Inputs'!$B$32)/1000+'Inputs'!$B$21+'Inputs'!$B$7+'Inputs'!$B$10))/SQRT((((799-43)*MAX('Inputs'!$B$33,'Inputs'!$B$29+'Inputs'!$B$31+'Inputs'!$B$32,'Inputs'!$B$30+'Inputs'!$B$31+'Inputs'!$B$32)/1000+'Inputs'!$B$21+'Inputs'!$B$7+'Inputs'!$B$10))^2+('Inputs'!$B$8/2)^2))))*'Results'!$B$8)-'Inputs'!$B$28*ABS((('Results'!B7*(1-'Inputs'!$B$24)*(0.5*((((799-43)*MAX('Inputs'!$B$33,'Inputs'!$B$29+'Inputs'!$B$31+'Inputs'!$B$32,'Inputs'!$B$30+'Inputs'!$B$31+'Inputs'!$B$32)/1000+'Inputs'!$B$21)+'Inputs'!$B$7)/SQRT((((799-43)*MAX('Inputs'!$B$33,'Inputs'!$B$29+'Inputs'!$B$31+'Inputs'!$B$32,'Inputs'!$B$30+'Inputs'!$B$31+'Inputs'!$B$32)/1000+'Inputs'!$B$21)+'Inputs'!$B$7)^2+('Inputs'!$B$6/2)^2)-(((799-43)*MAX('Inputs'!$B$33,'Inputs'!$B$29+'Inputs'!$B$31+'Inputs'!$B$32,'Inputs'!$B$30+'Inputs'!$B$31+'Inputs'!$B$32)/1000+'Inputs'!$B$21))/SQRT((((799-43)*MAX('Inputs'!$B$33,'Inputs'!$B$29+'Inputs'!$B$31+'Inputs'!$B$32,'Inputs'!$B$30+'Inputs'!$B$31+'Inputs'!$B$32)/1000+'Inputs'!$B$21))^2+('Inputs'!$B$6/2)^2)))-'Results'!C7*(1+'Inputs'!$B$24)*(0.5*((((799-43)*MAX('Inputs'!$B$33,'Inputs'!$B$29+'Inputs'!$B$31+'Inputs'!$B$32,'Inputs'!$B$30+'Inputs'!$B$31+'Inputs'!$B$32)/1000+'Inputs'!$B$21+'Inputs'!$B$7+'Inputs'!$B$10)+'Inputs'!$B$9)/SQRT((((799-43)*MAX('Inputs'!$B$33,'Inputs'!$B$29+'Inputs'!$B$31+'Inputs'!$B$32,'Inputs'!$B$30+'Inputs'!$B$31+'Inputs'!$B$32)/1000+'Inputs'!$B$21+'Inputs'!$B$7+'Inputs'!$B$10)+'Inputs'!$B$9)^2+('Inputs'!$B$8/2)^2)-(((799-43)*MAX('Inputs'!$B$33,'Inputs'!$B$29+'Inputs'!$B$31+'Inputs'!$B$32,'Inputs'!$B$30+'Inputs'!$B$31+'Inputs'!$B$32)/1000+'Inputs'!$B$21+'Inputs'!$B$7+'Inputs'!$B$10))/SQRT((((799-43)*MAX('Inputs'!$B$33,'Inputs'!$B$29+'Inputs'!$B$31+'Inputs'!$B$32,'Inputs'!$B$30+'Inputs'!$B$31+'Inputs'!$B$32)/1000+'Inputs'!$B$21+'Inputs'!$B$7+'Inputs'!$B$10))^2+('Inputs'!$B$8/2)^2))))*'Results'!$B$8))),"")</x:f>
        <x:v>0.8451399455295378</x:v>
      </x:c>
      <x:c r="L799" t="n">
        <x:f>IF(AND(ISNUMBER('Results'!B7),ISNUMBER('Results'!C7),ISNUMBER('Results'!$B$8),ISNUMBER('Inputs'!$B$6),ISNUMBER('Inputs'!$B$7),ISNUMBER('Inputs'!$B$8),ISNUMBER('Inputs'!$B$9),ISNUMBER('Inputs'!$B$10),ISNUMBER('Inputs'!$B$21),ISNUMBER('Inputs'!$B$24),ISNUMBER('Inputs'!$B$28)),((('Results'!B7*(1+'Inputs'!$B$24)*(0.5*((((799-43)*MAX('Inputs'!$B$33,'Inputs'!$B$29+'Inputs'!$B$31+'Inputs'!$B$32,'Inputs'!$B$30+'Inputs'!$B$31+'Inputs'!$B$32)/1000+'Inputs'!$B$21)+'Inputs'!$B$7)/SQRT((((799-43)*MAX('Inputs'!$B$33,'Inputs'!$B$29+'Inputs'!$B$31+'Inputs'!$B$32,'Inputs'!$B$30+'Inputs'!$B$31+'Inputs'!$B$32)/1000+'Inputs'!$B$21)+'Inputs'!$B$7)^2+('Inputs'!$B$6/2)^2)-(((799-43)*MAX('Inputs'!$B$33,'Inputs'!$B$29+'Inputs'!$B$31+'Inputs'!$B$32,'Inputs'!$B$30+'Inputs'!$B$31+'Inputs'!$B$32)/1000+'Inputs'!$B$21))/SQRT((((799-43)*MAX('Inputs'!$B$33,'Inputs'!$B$29+'Inputs'!$B$31+'Inputs'!$B$32,'Inputs'!$B$30+'Inputs'!$B$31+'Inputs'!$B$32)/1000+'Inputs'!$B$21))^2+('Inputs'!$B$6/2)^2)))-'Results'!C7*(1-'Inputs'!$B$24)*(0.5*((((799-43)*MAX('Inputs'!$B$33,'Inputs'!$B$29+'Inputs'!$B$31+'Inputs'!$B$32,'Inputs'!$B$30+'Inputs'!$B$31+'Inputs'!$B$32)/1000+'Inputs'!$B$21+'Inputs'!$B$7+'Inputs'!$B$10)+'Inputs'!$B$9)/SQRT((((799-43)*MAX('Inputs'!$B$33,'Inputs'!$B$29+'Inputs'!$B$31+'Inputs'!$B$32,'Inputs'!$B$30+'Inputs'!$B$31+'Inputs'!$B$32)/1000+'Inputs'!$B$21+'Inputs'!$B$7+'Inputs'!$B$10)+'Inputs'!$B$9)^2+('Inputs'!$B$8/2)^2)-(((799-43)*MAX('Inputs'!$B$33,'Inputs'!$B$29+'Inputs'!$B$31+'Inputs'!$B$32,'Inputs'!$B$30+'Inputs'!$B$31+'Inputs'!$B$32)/1000+'Inputs'!$B$21+'Inputs'!$B$7+'Inputs'!$B$10))/SQRT((((799-43)*MAX('Inputs'!$B$33,'Inputs'!$B$29+'Inputs'!$B$31+'Inputs'!$B$32,'Inputs'!$B$30+'Inputs'!$B$31+'Inputs'!$B$32)/1000+'Inputs'!$B$21+'Inputs'!$B$7+'Inputs'!$B$10))^2+('Inputs'!$B$8/2)^2))))*'Results'!$B$8)+'Inputs'!$B$28*ABS((('Results'!B7*(1+'Inputs'!$B$24)*(0.5*((((799-43)*MAX('Inputs'!$B$33,'Inputs'!$B$29+'Inputs'!$B$31+'Inputs'!$B$32,'Inputs'!$B$30+'Inputs'!$B$31+'Inputs'!$B$32)/1000+'Inputs'!$B$21)+'Inputs'!$B$7)/SQRT((((799-43)*MAX('Inputs'!$B$33,'Inputs'!$B$29+'Inputs'!$B$31+'Inputs'!$B$32,'Inputs'!$B$30+'Inputs'!$B$31+'Inputs'!$B$32)/1000+'Inputs'!$B$21)+'Inputs'!$B$7)^2+('Inputs'!$B$6/2)^2)-(((799-43)*MAX('Inputs'!$B$33,'Inputs'!$B$29+'Inputs'!$B$31+'Inputs'!$B$32,'Inputs'!$B$30+'Inputs'!$B$31+'Inputs'!$B$32)/1000+'Inputs'!$B$21))/SQRT((((799-43)*MAX('Inputs'!$B$33,'Inputs'!$B$29+'Inputs'!$B$31+'Inputs'!$B$32,'Inputs'!$B$30+'Inputs'!$B$31+'Inputs'!$B$32)/1000+'Inputs'!$B$21))^2+('Inputs'!$B$6/2)^2)))-'Results'!C7*(1-'Inputs'!$B$24)*(0.5*((((799-43)*MAX('Inputs'!$B$33,'Inputs'!$B$29+'Inputs'!$B$31+'Inputs'!$B$32,'Inputs'!$B$30+'Inputs'!$B$31+'Inputs'!$B$32)/1000+'Inputs'!$B$21+'Inputs'!$B$7+'Inputs'!$B$10)+'Inputs'!$B$9)/SQRT((((799-43)*MAX('Inputs'!$B$33,'Inputs'!$B$29+'Inputs'!$B$31+'Inputs'!$B$32,'Inputs'!$B$30+'Inputs'!$B$31+'Inputs'!$B$32)/1000+'Inputs'!$B$21+'Inputs'!$B$7+'Inputs'!$B$10)+'Inputs'!$B$9)^2+('Inputs'!$B$8/2)^2)-(((799-43)*MAX('Inputs'!$B$33,'Inputs'!$B$29+'Inputs'!$B$31+'Inputs'!$B$32,'Inputs'!$B$30+'Inputs'!$B$31+'Inputs'!$B$32)/1000+'Inputs'!$B$21+'Inputs'!$B$7+'Inputs'!$B$10))/SQRT((((799-43)*MAX('Inputs'!$B$33,'Inputs'!$B$29+'Inputs'!$B$31+'Inputs'!$B$32,'Inputs'!$B$30+'Inputs'!$B$31+'Inputs'!$B$32)/1000+'Inputs'!$B$21+'Inputs'!$B$7+'Inputs'!$B$10))^2+('Inputs'!$B$8/2)^2))))*'Results'!$B$8))),"")</x:f>
        <x:v>1.128789729816149</x:v>
      </x:c>
      <x:c r="M799" t="n">
        <x:f>IF(AND(ISNUMBER('Results'!C7),ISNUMBER('Results'!B7),ISNUMBER('Results'!$B$8),ISNUMBER('Inputs'!$B$6),ISNUMBER('Inputs'!$B$7),ISNUMBER('Inputs'!$B$8),ISNUMBER('Inputs'!$B$9),ISNUMBER('Inputs'!$B$10),ISNUMBER('Inputs'!$B$21),ISNUMBER('Inputs'!$B$24),ISNUMBER('Inputs'!$B$28)),(('Results'!C7*(0.5*((((799-43)*MAX('Inputs'!$B$33,'Inputs'!$B$29+'Inputs'!$B$31+'Inputs'!$B$32,'Inputs'!$B$30+'Inputs'!$B$31+'Inputs'!$B$32)/1000+'Inputs'!$B$21)+'Inputs'!$B$9)/SQRT((((799-43)*MAX('Inputs'!$B$33,'Inputs'!$B$29+'Inputs'!$B$31+'Inputs'!$B$32,'Inputs'!$B$30+'Inputs'!$B$31+'Inputs'!$B$32)/1000+'Inputs'!$B$21)+'Inputs'!$B$9)^2+('Inputs'!$B$8/2)^2)-(((799-43)*MAX('Inputs'!$B$33,'Inputs'!$B$29+'Inputs'!$B$31+'Inputs'!$B$32,'Inputs'!$B$30+'Inputs'!$B$31+'Inputs'!$B$32)/1000+'Inputs'!$B$21))/SQRT((((799-43)*MAX('Inputs'!$B$33,'Inputs'!$B$29+'Inputs'!$B$31+'Inputs'!$B$32,'Inputs'!$B$30+'Inputs'!$B$31+'Inputs'!$B$32)/1000+'Inputs'!$B$21))^2+('Inputs'!$B$8/2)^2)))-'Results'!B7*(0.5*((((799-43)*MAX('Inputs'!$B$33,'Inputs'!$B$29+'Inputs'!$B$31+'Inputs'!$B$32,'Inputs'!$B$30+'Inputs'!$B$31+'Inputs'!$B$32)/1000+'Inputs'!$B$21+'Inputs'!$B$9+'Inputs'!$B$10)+'Inputs'!$B$7)/SQRT((((799-43)*MAX('Inputs'!$B$33,'Inputs'!$B$29+'Inputs'!$B$31+'Inputs'!$B$32,'Inputs'!$B$30+'Inputs'!$B$31+'Inputs'!$B$32)/1000+'Inputs'!$B$21+'Inputs'!$B$9+'Inputs'!$B$10)+'Inputs'!$B$7)^2+('Inputs'!$B$6/2)^2)-(((799-43)*MAX('Inputs'!$B$33,'Inputs'!$B$29+'Inputs'!$B$31+'Inputs'!$B$32,'Inputs'!$B$30+'Inputs'!$B$31+'Inputs'!$B$32)/1000+'Inputs'!$B$21+'Inputs'!$B$9+'Inputs'!$B$10))/SQRT((((799-43)*MAX('Inputs'!$B$33,'Inputs'!$B$29+'Inputs'!$B$31+'Inputs'!$B$32,'Inputs'!$B$30+'Inputs'!$B$31+'Inputs'!$B$32)/1000+'Inputs'!$B$21+'Inputs'!$B$9+'Inputs'!$B$10))^2+('Inputs'!$B$6/2)^2))))*'Results'!$B$8),"")</x:f>
        <x:v>0.8888754663862832</x:v>
      </x:c>
      <x:c r="N799" t="n">
        <x:f>IF(AND(ISNUMBER('Results'!C7),ISNUMBER('Results'!B7),ISNUMBER('Results'!$B$8),ISNUMBER('Inputs'!$B$6),ISNUMBER('Inputs'!$B$7),ISNUMBER('Inputs'!$B$8),ISNUMBER('Inputs'!$B$9),ISNUMBER('Inputs'!$B$10),ISNUMBER('Inputs'!$B$21),ISNUMBER('Inputs'!$B$24),ISNUMBER('Inputs'!$B$28)),((('Results'!C7*(1-'Inputs'!$B$24)*(0.5*((((799-43)*MAX('Inputs'!$B$33,'Inputs'!$B$29+'Inputs'!$B$31+'Inputs'!$B$32,'Inputs'!$B$30+'Inputs'!$B$31+'Inputs'!$B$32)/1000+'Inputs'!$B$21)+'Inputs'!$B$9)/SQRT((((799-43)*MAX('Inputs'!$B$33,'Inputs'!$B$29+'Inputs'!$B$31+'Inputs'!$B$32,'Inputs'!$B$30+'Inputs'!$B$31+'Inputs'!$B$32)/1000+'Inputs'!$B$21)+'Inputs'!$B$9)^2+('Inputs'!$B$8/2)^2)-(((799-43)*MAX('Inputs'!$B$33,'Inputs'!$B$29+'Inputs'!$B$31+'Inputs'!$B$32,'Inputs'!$B$30+'Inputs'!$B$31+'Inputs'!$B$32)/1000+'Inputs'!$B$21))/SQRT((((799-43)*MAX('Inputs'!$B$33,'Inputs'!$B$29+'Inputs'!$B$31+'Inputs'!$B$32,'Inputs'!$B$30+'Inputs'!$B$31+'Inputs'!$B$32)/1000+'Inputs'!$B$21))^2+('Inputs'!$B$8/2)^2)))-'Results'!B7*(1+'Inputs'!$B$24)*(0.5*((((799-43)*MAX('Inputs'!$B$33,'Inputs'!$B$29+'Inputs'!$B$31+'Inputs'!$B$32,'Inputs'!$B$30+'Inputs'!$B$31+'Inputs'!$B$32)/1000+'Inputs'!$B$21+'Inputs'!$B$9+'Inputs'!$B$10)+'Inputs'!$B$7)/SQRT((((799-43)*MAX('Inputs'!$B$33,'Inputs'!$B$29+'Inputs'!$B$31+'Inputs'!$B$32,'Inputs'!$B$30+'Inputs'!$B$31+'Inputs'!$B$32)/1000+'Inputs'!$B$21+'Inputs'!$B$9+'Inputs'!$B$10)+'Inputs'!$B$7)^2+('Inputs'!$B$6/2)^2)-(((799-43)*MAX('Inputs'!$B$33,'Inputs'!$B$29+'Inputs'!$B$31+'Inputs'!$B$32,'Inputs'!$B$30+'Inputs'!$B$31+'Inputs'!$B$32)/1000+'Inputs'!$B$21+'Inputs'!$B$9+'Inputs'!$B$10))/SQRT((((799-43)*MAX('Inputs'!$B$33,'Inputs'!$B$29+'Inputs'!$B$31+'Inputs'!$B$32,'Inputs'!$B$30+'Inputs'!$B$31+'Inputs'!$B$32)/1000+'Inputs'!$B$21+'Inputs'!$B$9+'Inputs'!$B$10))^2+('Inputs'!$B$6/2)^2))))*'Results'!$B$8)-'Inputs'!$B$28*ABS((('Results'!C7*(1-'Inputs'!$B$24)*(0.5*((((799-43)*MAX('Inputs'!$B$33,'Inputs'!$B$29+'Inputs'!$B$31+'Inputs'!$B$32,'Inputs'!$B$30+'Inputs'!$B$31+'Inputs'!$B$32)/1000+'Inputs'!$B$21)+'Inputs'!$B$9)/SQRT((((799-43)*MAX('Inputs'!$B$33,'Inputs'!$B$29+'Inputs'!$B$31+'Inputs'!$B$32,'Inputs'!$B$30+'Inputs'!$B$31+'Inputs'!$B$32)/1000+'Inputs'!$B$21)+'Inputs'!$B$9)^2+('Inputs'!$B$8/2)^2)-(((799-43)*MAX('Inputs'!$B$33,'Inputs'!$B$29+'Inputs'!$B$31+'Inputs'!$B$32,'Inputs'!$B$30+'Inputs'!$B$31+'Inputs'!$B$32)/1000+'Inputs'!$B$21))/SQRT((((799-43)*MAX('Inputs'!$B$33,'Inputs'!$B$29+'Inputs'!$B$31+'Inputs'!$B$32,'Inputs'!$B$30+'Inputs'!$B$31+'Inputs'!$B$32)/1000+'Inputs'!$B$21))^2+('Inputs'!$B$8/2)^2)))-'Results'!B7*(1+'Inputs'!$B$24)*(0.5*((((799-43)*MAX('Inputs'!$B$33,'Inputs'!$B$29+'Inputs'!$B$31+'Inputs'!$B$32,'Inputs'!$B$30+'Inputs'!$B$31+'Inputs'!$B$32)/1000+'Inputs'!$B$21+'Inputs'!$B$9+'Inputs'!$B$10)+'Inputs'!$B$7)/SQRT((((799-43)*MAX('Inputs'!$B$33,'Inputs'!$B$29+'Inputs'!$B$31+'Inputs'!$B$32,'Inputs'!$B$30+'Inputs'!$B$31+'Inputs'!$B$32)/1000+'Inputs'!$B$21+'Inputs'!$B$9+'Inputs'!$B$10)+'Inputs'!$B$7)^2+('Inputs'!$B$6/2)^2)-(((799-43)*MAX('Inputs'!$B$33,'Inputs'!$B$29+'Inputs'!$B$31+'Inputs'!$B$32,'Inputs'!$B$30+'Inputs'!$B$31+'Inputs'!$B$32)/1000+'Inputs'!$B$21+'Inputs'!$B$9+'Inputs'!$B$10))/SQRT((((799-43)*MAX('Inputs'!$B$33,'Inputs'!$B$29+'Inputs'!$B$31+'Inputs'!$B$32,'Inputs'!$B$30+'Inputs'!$B$31+'Inputs'!$B$32)/1000+'Inputs'!$B$21+'Inputs'!$B$9+'Inputs'!$B$10))^2+('Inputs'!$B$6/2)^2))))*'Results'!$B$8))),"")</x:f>
        <x:v>0.7567178129487299</x:v>
      </x:c>
      <x:c r="O799" t="n">
        <x:f>IF(AND(ISNUMBER('Results'!C7),ISNUMBER('Results'!B7),ISNUMBER('Results'!$B$8),ISNUMBER('Inputs'!$B$6),ISNUMBER('Inputs'!$B$7),ISNUMBER('Inputs'!$B$8),ISNUMBER('Inputs'!$B$9),ISNUMBER('Inputs'!$B$10),ISNUMBER('Inputs'!$B$21),ISNUMBER('Inputs'!$B$24),ISNUMBER('Inputs'!$B$28)),((('Results'!C7*(1+'Inputs'!$B$24)*(0.5*((((799-43)*MAX('Inputs'!$B$33,'Inputs'!$B$29+'Inputs'!$B$31+'Inputs'!$B$32,'Inputs'!$B$30+'Inputs'!$B$31+'Inputs'!$B$32)/1000+'Inputs'!$B$21)+'Inputs'!$B$9)/SQRT((((799-43)*MAX('Inputs'!$B$33,'Inputs'!$B$29+'Inputs'!$B$31+'Inputs'!$B$32,'Inputs'!$B$30+'Inputs'!$B$31+'Inputs'!$B$32)/1000+'Inputs'!$B$21)+'Inputs'!$B$9)^2+('Inputs'!$B$8/2)^2)-(((799-43)*MAX('Inputs'!$B$33,'Inputs'!$B$29+'Inputs'!$B$31+'Inputs'!$B$32,'Inputs'!$B$30+'Inputs'!$B$31+'Inputs'!$B$32)/1000+'Inputs'!$B$21))/SQRT((((799-43)*MAX('Inputs'!$B$33,'Inputs'!$B$29+'Inputs'!$B$31+'Inputs'!$B$32,'Inputs'!$B$30+'Inputs'!$B$31+'Inputs'!$B$32)/1000+'Inputs'!$B$21))^2+('Inputs'!$B$8/2)^2)))-'Results'!B7*(1-'Inputs'!$B$24)*(0.5*((((799-43)*MAX('Inputs'!$B$33,'Inputs'!$B$29+'Inputs'!$B$31+'Inputs'!$B$32,'Inputs'!$B$30+'Inputs'!$B$31+'Inputs'!$B$32)/1000+'Inputs'!$B$21+'Inputs'!$B$9+'Inputs'!$B$10)+'Inputs'!$B$7)/SQRT((((799-43)*MAX('Inputs'!$B$33,'Inputs'!$B$29+'Inputs'!$B$31+'Inputs'!$B$32,'Inputs'!$B$30+'Inputs'!$B$31+'Inputs'!$B$32)/1000+'Inputs'!$B$21+'Inputs'!$B$9+'Inputs'!$B$10)+'Inputs'!$B$7)^2+('Inputs'!$B$6/2)^2)-(((799-43)*MAX('Inputs'!$B$33,'Inputs'!$B$29+'Inputs'!$B$31+'Inputs'!$B$32,'Inputs'!$B$30+'Inputs'!$B$31+'Inputs'!$B$32)/1000+'Inputs'!$B$21+'Inputs'!$B$9+'Inputs'!$B$10))/SQRT((((799-43)*MAX('Inputs'!$B$33,'Inputs'!$B$29+'Inputs'!$B$31+'Inputs'!$B$32,'Inputs'!$B$30+'Inputs'!$B$31+'Inputs'!$B$32)/1000+'Inputs'!$B$21+'Inputs'!$B$9+'Inputs'!$B$10))^2+('Inputs'!$B$6/2)^2))))*'Results'!$B$8)+'Inputs'!$B$28*ABS((('Results'!C7*(1+'Inputs'!$B$24)*(0.5*((((799-43)*MAX('Inputs'!$B$33,'Inputs'!$B$29+'Inputs'!$B$31+'Inputs'!$B$32,'Inputs'!$B$30+'Inputs'!$B$31+'Inputs'!$B$32)/1000+'Inputs'!$B$21)+'Inputs'!$B$9)/SQRT((((799-43)*MAX('Inputs'!$B$33,'Inputs'!$B$29+'Inputs'!$B$31+'Inputs'!$B$32,'Inputs'!$B$30+'Inputs'!$B$31+'Inputs'!$B$32)/1000+'Inputs'!$B$21)+'Inputs'!$B$9)^2+('Inputs'!$B$8/2)^2)-(((799-43)*MAX('Inputs'!$B$33,'Inputs'!$B$29+'Inputs'!$B$31+'Inputs'!$B$32,'Inputs'!$B$30+'Inputs'!$B$31+'Inputs'!$B$32)/1000+'Inputs'!$B$21))/SQRT((((799-43)*MAX('Inputs'!$B$33,'Inputs'!$B$29+'Inputs'!$B$31+'Inputs'!$B$32,'Inputs'!$B$30+'Inputs'!$B$31+'Inputs'!$B$32)/1000+'Inputs'!$B$21))^2+('Inputs'!$B$8/2)^2)))-'Results'!B7*(1-'Inputs'!$B$24)*(0.5*((((799-43)*MAX('Inputs'!$B$33,'Inputs'!$B$29+'Inputs'!$B$31+'Inputs'!$B$32,'Inputs'!$B$30+'Inputs'!$B$31+'Inputs'!$B$32)/1000+'Inputs'!$B$21+'Inputs'!$B$9+'Inputs'!$B$10)+'Inputs'!$B$7)/SQRT((((799-43)*MAX('Inputs'!$B$33,'Inputs'!$B$29+'Inputs'!$B$31+'Inputs'!$B$32,'Inputs'!$B$30+'Inputs'!$B$31+'Inputs'!$B$32)/1000+'Inputs'!$B$21+'Inputs'!$B$9+'Inputs'!$B$10)+'Inputs'!$B$7)^2+('Inputs'!$B$6/2)^2)-(((799-43)*MAX('Inputs'!$B$33,'Inputs'!$B$29+'Inputs'!$B$31+'Inputs'!$B$32,'Inputs'!$B$30+'Inputs'!$B$31+'Inputs'!$B$32)/1000+'Inputs'!$B$21+'Inputs'!$B$9+'Inputs'!$B$10))/SQRT((((799-43)*MAX('Inputs'!$B$33,'Inputs'!$B$29+'Inputs'!$B$31+'Inputs'!$B$32,'Inputs'!$B$30+'Inputs'!$B$31+'Inputs'!$B$32)/1000+'Inputs'!$B$21+'Inputs'!$B$9+'Inputs'!$B$10))^2+('Inputs'!$B$6/2)^2))))*'Results'!$B$8))),"")</x:f>
        <x:v>1.0302661598362826</x:v>
      </x:c>
      <x:c r="P799" t="n">
        <x:f>IF(AND(MAX(J799,J798)&gt;0,J799&gt;J798+0.00000001),1,0)</x:f>
        <x:v>0</x:v>
      </x:c>
      <x:c r="Q799" t="n">
        <x:f>IF(AND(MAX(K799,K798)&gt;0,K799&gt;K798+0.00000001),1,0)</x:f>
        <x:v>0</x:v>
      </x:c>
      <x:c r="R799" t="n">
        <x:f>IF(AND(MAX(L799,L798)&gt;0,L799&gt;L798+0.00000001),1,0)</x:f>
        <x:v>0</x:v>
      </x:c>
      <x:c r="S799" t="n">
        <x:f>IF(AND(MAX(M799,M798)&gt;0,M799&gt;M798+0.00000001),1,0)</x:f>
        <x:v>0</x:v>
      </x:c>
      <x:c r="T799" t="n">
        <x:f>IF(AND(MAX(N799,N798)&gt;0,N799&gt;N798+0.00000001),1,0)</x:f>
        <x:v>0</x:v>
      </x:c>
      <x:c r="U799" t="n">
        <x:f>IF(AND(MAX(O799,O798)&gt;0,O799&gt;O798+0.00000001),1,0)</x:f>
        <x:v>0</x:v>
      </x:c>
    </x:row>
    <x:row r="800">
      <x:c r="J800" t="n">
        <x:f>IF(AND(ISNUMBER('Results'!B7),ISNUMBER('Results'!C7),ISNUMBER('Results'!$B$8),ISNUMBER('Inputs'!$B$6),ISNUMBER('Inputs'!$B$7),ISNUMBER('Inputs'!$B$8),ISNUMBER('Inputs'!$B$9),ISNUMBER('Inputs'!$B$10),ISNUMBER('Inputs'!$B$21),ISNUMBER('Inputs'!$B$24),ISNUMBER('Inputs'!$B$28)),(('Results'!B7*(0.5*((((800-43)*MAX('Inputs'!$B$33,'Inputs'!$B$29+'Inputs'!$B$31+'Inputs'!$B$32,'Inputs'!$B$30+'Inputs'!$B$31+'Inputs'!$B$32)/1000+'Inputs'!$B$21)+'Inputs'!$B$7)/SQRT((((800-43)*MAX('Inputs'!$B$33,'Inputs'!$B$29+'Inputs'!$B$31+'Inputs'!$B$32,'Inputs'!$B$30+'Inputs'!$B$31+'Inputs'!$B$32)/1000+'Inputs'!$B$21)+'Inputs'!$B$7)^2+('Inputs'!$B$6/2)^2)-(((800-43)*MAX('Inputs'!$B$33,'Inputs'!$B$29+'Inputs'!$B$31+'Inputs'!$B$32,'Inputs'!$B$30+'Inputs'!$B$31+'Inputs'!$B$32)/1000+'Inputs'!$B$21))/SQRT((((800-43)*MAX('Inputs'!$B$33,'Inputs'!$B$29+'Inputs'!$B$31+'Inputs'!$B$32,'Inputs'!$B$30+'Inputs'!$B$31+'Inputs'!$B$32)/1000+'Inputs'!$B$21))^2+('Inputs'!$B$6/2)^2)))-'Results'!C7*(0.5*((((800-43)*MAX('Inputs'!$B$33,'Inputs'!$B$29+'Inputs'!$B$31+'Inputs'!$B$32,'Inputs'!$B$30+'Inputs'!$B$31+'Inputs'!$B$32)/1000+'Inputs'!$B$21+'Inputs'!$B$7+'Inputs'!$B$10)+'Inputs'!$B$9)/SQRT((((800-43)*MAX('Inputs'!$B$33,'Inputs'!$B$29+'Inputs'!$B$31+'Inputs'!$B$32,'Inputs'!$B$30+'Inputs'!$B$31+'Inputs'!$B$32)/1000+'Inputs'!$B$21+'Inputs'!$B$7+'Inputs'!$B$10)+'Inputs'!$B$9)^2+('Inputs'!$B$8/2)^2)-(((800-43)*MAX('Inputs'!$B$33,'Inputs'!$B$29+'Inputs'!$B$31+'Inputs'!$B$32,'Inputs'!$B$30+'Inputs'!$B$31+'Inputs'!$B$32)/1000+'Inputs'!$B$21+'Inputs'!$B$7+'Inputs'!$B$10))/SQRT((((800-43)*MAX('Inputs'!$B$33,'Inputs'!$B$29+'Inputs'!$B$31+'Inputs'!$B$32,'Inputs'!$B$30+'Inputs'!$B$31+'Inputs'!$B$32)/1000+'Inputs'!$B$21+'Inputs'!$B$7+'Inputs'!$B$10))^2+('Inputs'!$B$8/2)^2))))*'Results'!$B$8),"")</x:f>
        <x:v>0.9776940685403559</x:v>
      </x:c>
      <x:c r="K800" t="n">
        <x:f>IF(AND(ISNUMBER('Results'!B7),ISNUMBER('Results'!C7),ISNUMBER('Results'!$B$8),ISNUMBER('Inputs'!$B$6),ISNUMBER('Inputs'!$B$7),ISNUMBER('Inputs'!$B$8),ISNUMBER('Inputs'!$B$9),ISNUMBER('Inputs'!$B$10),ISNUMBER('Inputs'!$B$21),ISNUMBER('Inputs'!$B$24),ISNUMBER('Inputs'!$B$28)),((('Results'!B7*(1-'Inputs'!$B$24)*(0.5*((((800-43)*MAX('Inputs'!$B$33,'Inputs'!$B$29+'Inputs'!$B$31+'Inputs'!$B$32,'Inputs'!$B$30+'Inputs'!$B$31+'Inputs'!$B$32)/1000+'Inputs'!$B$21)+'Inputs'!$B$7)/SQRT((((800-43)*MAX('Inputs'!$B$33,'Inputs'!$B$29+'Inputs'!$B$31+'Inputs'!$B$32,'Inputs'!$B$30+'Inputs'!$B$31+'Inputs'!$B$32)/1000+'Inputs'!$B$21)+'Inputs'!$B$7)^2+('Inputs'!$B$6/2)^2)-(((800-43)*MAX('Inputs'!$B$33,'Inputs'!$B$29+'Inputs'!$B$31+'Inputs'!$B$32,'Inputs'!$B$30+'Inputs'!$B$31+'Inputs'!$B$32)/1000+'Inputs'!$B$21))/SQRT((((800-43)*MAX('Inputs'!$B$33,'Inputs'!$B$29+'Inputs'!$B$31+'Inputs'!$B$32,'Inputs'!$B$30+'Inputs'!$B$31+'Inputs'!$B$32)/1000+'Inputs'!$B$21))^2+('Inputs'!$B$6/2)^2)))-'Results'!C7*(1+'Inputs'!$B$24)*(0.5*((((800-43)*MAX('Inputs'!$B$33,'Inputs'!$B$29+'Inputs'!$B$31+'Inputs'!$B$32,'Inputs'!$B$30+'Inputs'!$B$31+'Inputs'!$B$32)/1000+'Inputs'!$B$21+'Inputs'!$B$7+'Inputs'!$B$10)+'Inputs'!$B$9)/SQRT((((800-43)*MAX('Inputs'!$B$33,'Inputs'!$B$29+'Inputs'!$B$31+'Inputs'!$B$32,'Inputs'!$B$30+'Inputs'!$B$31+'Inputs'!$B$32)/1000+'Inputs'!$B$21+'Inputs'!$B$7+'Inputs'!$B$10)+'Inputs'!$B$9)^2+('Inputs'!$B$8/2)^2)-(((800-43)*MAX('Inputs'!$B$33,'Inputs'!$B$29+'Inputs'!$B$31+'Inputs'!$B$32,'Inputs'!$B$30+'Inputs'!$B$31+'Inputs'!$B$32)/1000+'Inputs'!$B$21+'Inputs'!$B$7+'Inputs'!$B$10))/SQRT((((800-43)*MAX('Inputs'!$B$33,'Inputs'!$B$29+'Inputs'!$B$31+'Inputs'!$B$32,'Inputs'!$B$30+'Inputs'!$B$31+'Inputs'!$B$32)/1000+'Inputs'!$B$21+'Inputs'!$B$7+'Inputs'!$B$10))^2+('Inputs'!$B$8/2)^2))))*'Results'!$B$8)-'Inputs'!$B$28*ABS((('Results'!B7*(1-'Inputs'!$B$24)*(0.5*((((800-43)*MAX('Inputs'!$B$33,'Inputs'!$B$29+'Inputs'!$B$31+'Inputs'!$B$32,'Inputs'!$B$30+'Inputs'!$B$31+'Inputs'!$B$32)/1000+'Inputs'!$B$21)+'Inputs'!$B$7)/SQRT((((800-43)*MAX('Inputs'!$B$33,'Inputs'!$B$29+'Inputs'!$B$31+'Inputs'!$B$32,'Inputs'!$B$30+'Inputs'!$B$31+'Inputs'!$B$32)/1000+'Inputs'!$B$21)+'Inputs'!$B$7)^2+('Inputs'!$B$6/2)^2)-(((800-43)*MAX('Inputs'!$B$33,'Inputs'!$B$29+'Inputs'!$B$31+'Inputs'!$B$32,'Inputs'!$B$30+'Inputs'!$B$31+'Inputs'!$B$32)/1000+'Inputs'!$B$21))/SQRT((((800-43)*MAX('Inputs'!$B$33,'Inputs'!$B$29+'Inputs'!$B$31+'Inputs'!$B$32,'Inputs'!$B$30+'Inputs'!$B$31+'Inputs'!$B$32)/1000+'Inputs'!$B$21))^2+('Inputs'!$B$6/2)^2)))-'Results'!C7*(1+'Inputs'!$B$24)*(0.5*((((800-43)*MAX('Inputs'!$B$33,'Inputs'!$B$29+'Inputs'!$B$31+'Inputs'!$B$32,'Inputs'!$B$30+'Inputs'!$B$31+'Inputs'!$B$32)/1000+'Inputs'!$B$21+'Inputs'!$B$7+'Inputs'!$B$10)+'Inputs'!$B$9)/SQRT((((800-43)*MAX('Inputs'!$B$33,'Inputs'!$B$29+'Inputs'!$B$31+'Inputs'!$B$32,'Inputs'!$B$30+'Inputs'!$B$31+'Inputs'!$B$32)/1000+'Inputs'!$B$21+'Inputs'!$B$7+'Inputs'!$B$10)+'Inputs'!$B$9)^2+('Inputs'!$B$8/2)^2)-(((800-43)*MAX('Inputs'!$B$33,'Inputs'!$B$29+'Inputs'!$B$31+'Inputs'!$B$32,'Inputs'!$B$30+'Inputs'!$B$31+'Inputs'!$B$32)/1000+'Inputs'!$B$21+'Inputs'!$B$7+'Inputs'!$B$10))/SQRT((((800-43)*MAX('Inputs'!$B$33,'Inputs'!$B$29+'Inputs'!$B$31+'Inputs'!$B$32,'Inputs'!$B$30+'Inputs'!$B$31+'Inputs'!$B$32)/1000+'Inputs'!$B$21+'Inputs'!$B$7+'Inputs'!$B$10))^2+('Inputs'!$B$8/2)^2))))*'Results'!$B$8))),"")</x:f>
        <x:v>0.8410560497750027</x:v>
      </x:c>
      <x:c r="L800" t="n">
        <x:f>IF(AND(ISNUMBER('Results'!B7),ISNUMBER('Results'!C7),ISNUMBER('Results'!$B$8),ISNUMBER('Inputs'!$B$6),ISNUMBER('Inputs'!$B$7),ISNUMBER('Inputs'!$B$8),ISNUMBER('Inputs'!$B$9),ISNUMBER('Inputs'!$B$10),ISNUMBER('Inputs'!$B$21),ISNUMBER('Inputs'!$B$24),ISNUMBER('Inputs'!$B$28)),((('Results'!B7*(1+'Inputs'!$B$24)*(0.5*((((800-43)*MAX('Inputs'!$B$33,'Inputs'!$B$29+'Inputs'!$B$31+'Inputs'!$B$32,'Inputs'!$B$30+'Inputs'!$B$31+'Inputs'!$B$32)/1000+'Inputs'!$B$21)+'Inputs'!$B$7)/SQRT((((800-43)*MAX('Inputs'!$B$33,'Inputs'!$B$29+'Inputs'!$B$31+'Inputs'!$B$32,'Inputs'!$B$30+'Inputs'!$B$31+'Inputs'!$B$32)/1000+'Inputs'!$B$21)+'Inputs'!$B$7)^2+('Inputs'!$B$6/2)^2)-(((800-43)*MAX('Inputs'!$B$33,'Inputs'!$B$29+'Inputs'!$B$31+'Inputs'!$B$32,'Inputs'!$B$30+'Inputs'!$B$31+'Inputs'!$B$32)/1000+'Inputs'!$B$21))/SQRT((((800-43)*MAX('Inputs'!$B$33,'Inputs'!$B$29+'Inputs'!$B$31+'Inputs'!$B$32,'Inputs'!$B$30+'Inputs'!$B$31+'Inputs'!$B$32)/1000+'Inputs'!$B$21))^2+('Inputs'!$B$6/2)^2)))-'Results'!C7*(1-'Inputs'!$B$24)*(0.5*((((800-43)*MAX('Inputs'!$B$33,'Inputs'!$B$29+'Inputs'!$B$31+'Inputs'!$B$32,'Inputs'!$B$30+'Inputs'!$B$31+'Inputs'!$B$32)/1000+'Inputs'!$B$21+'Inputs'!$B$7+'Inputs'!$B$10)+'Inputs'!$B$9)/SQRT((((800-43)*MAX('Inputs'!$B$33,'Inputs'!$B$29+'Inputs'!$B$31+'Inputs'!$B$32,'Inputs'!$B$30+'Inputs'!$B$31+'Inputs'!$B$32)/1000+'Inputs'!$B$21+'Inputs'!$B$7+'Inputs'!$B$10)+'Inputs'!$B$9)^2+('Inputs'!$B$8/2)^2)-(((800-43)*MAX('Inputs'!$B$33,'Inputs'!$B$29+'Inputs'!$B$31+'Inputs'!$B$32,'Inputs'!$B$30+'Inputs'!$B$31+'Inputs'!$B$32)/1000+'Inputs'!$B$21+'Inputs'!$B$7+'Inputs'!$B$10))/SQRT((((800-43)*MAX('Inputs'!$B$33,'Inputs'!$B$29+'Inputs'!$B$31+'Inputs'!$B$32,'Inputs'!$B$30+'Inputs'!$B$31+'Inputs'!$B$32)/1000+'Inputs'!$B$21+'Inputs'!$B$7+'Inputs'!$B$10))^2+('Inputs'!$B$8/2)^2))))*'Results'!$B$8)+'Inputs'!$B$28*ABS((('Results'!B7*(1+'Inputs'!$B$24)*(0.5*((((800-43)*MAX('Inputs'!$B$33,'Inputs'!$B$29+'Inputs'!$B$31+'Inputs'!$B$32,'Inputs'!$B$30+'Inputs'!$B$31+'Inputs'!$B$32)/1000+'Inputs'!$B$21)+'Inputs'!$B$7)/SQRT((((800-43)*MAX('Inputs'!$B$33,'Inputs'!$B$29+'Inputs'!$B$31+'Inputs'!$B$32,'Inputs'!$B$30+'Inputs'!$B$31+'Inputs'!$B$32)/1000+'Inputs'!$B$21)+'Inputs'!$B$7)^2+('Inputs'!$B$6/2)^2)-(((800-43)*MAX('Inputs'!$B$33,'Inputs'!$B$29+'Inputs'!$B$31+'Inputs'!$B$32,'Inputs'!$B$30+'Inputs'!$B$31+'Inputs'!$B$32)/1000+'Inputs'!$B$21))/SQRT((((800-43)*MAX('Inputs'!$B$33,'Inputs'!$B$29+'Inputs'!$B$31+'Inputs'!$B$32,'Inputs'!$B$30+'Inputs'!$B$31+'Inputs'!$B$32)/1000+'Inputs'!$B$21))^2+('Inputs'!$B$6/2)^2)))-'Results'!C7*(1-'Inputs'!$B$24)*(0.5*((((800-43)*MAX('Inputs'!$B$33,'Inputs'!$B$29+'Inputs'!$B$31+'Inputs'!$B$32,'Inputs'!$B$30+'Inputs'!$B$31+'Inputs'!$B$32)/1000+'Inputs'!$B$21+'Inputs'!$B$7+'Inputs'!$B$10)+'Inputs'!$B$9)/SQRT((((800-43)*MAX('Inputs'!$B$33,'Inputs'!$B$29+'Inputs'!$B$31+'Inputs'!$B$32,'Inputs'!$B$30+'Inputs'!$B$31+'Inputs'!$B$32)/1000+'Inputs'!$B$21+'Inputs'!$B$7+'Inputs'!$B$10)+'Inputs'!$B$9)^2+('Inputs'!$B$8/2)^2)-(((800-43)*MAX('Inputs'!$B$33,'Inputs'!$B$29+'Inputs'!$B$31+'Inputs'!$B$32,'Inputs'!$B$30+'Inputs'!$B$31+'Inputs'!$B$32)/1000+'Inputs'!$B$21+'Inputs'!$B$7+'Inputs'!$B$10))/SQRT((((800-43)*MAX('Inputs'!$B$33,'Inputs'!$B$29+'Inputs'!$B$31+'Inputs'!$B$32,'Inputs'!$B$30+'Inputs'!$B$31+'Inputs'!$B$32)/1000+'Inputs'!$B$21+'Inputs'!$B$7+'Inputs'!$B$10))^2+('Inputs'!$B$8/2)^2))))*'Results'!$B$8))),"")</x:f>
        <x:v>1.123569278393955</x:v>
      </x:c>
      <x:c r="M800" t="n">
        <x:f>IF(AND(ISNUMBER('Results'!C7),ISNUMBER('Results'!B7),ISNUMBER('Results'!$B$8),ISNUMBER('Inputs'!$B$6),ISNUMBER('Inputs'!$B$7),ISNUMBER('Inputs'!$B$8),ISNUMBER('Inputs'!$B$9),ISNUMBER('Inputs'!$B$10),ISNUMBER('Inputs'!$B$21),ISNUMBER('Inputs'!$B$24),ISNUMBER('Inputs'!$B$28)),(('Results'!C7*(0.5*((((800-43)*MAX('Inputs'!$B$33,'Inputs'!$B$29+'Inputs'!$B$31+'Inputs'!$B$32,'Inputs'!$B$30+'Inputs'!$B$31+'Inputs'!$B$32)/1000+'Inputs'!$B$21)+'Inputs'!$B$9)/SQRT((((800-43)*MAX('Inputs'!$B$33,'Inputs'!$B$29+'Inputs'!$B$31+'Inputs'!$B$32,'Inputs'!$B$30+'Inputs'!$B$31+'Inputs'!$B$32)/1000+'Inputs'!$B$21)+'Inputs'!$B$9)^2+('Inputs'!$B$8/2)^2)-(((800-43)*MAX('Inputs'!$B$33,'Inputs'!$B$29+'Inputs'!$B$31+'Inputs'!$B$32,'Inputs'!$B$30+'Inputs'!$B$31+'Inputs'!$B$32)/1000+'Inputs'!$B$21))/SQRT((((800-43)*MAX('Inputs'!$B$33,'Inputs'!$B$29+'Inputs'!$B$31+'Inputs'!$B$32,'Inputs'!$B$30+'Inputs'!$B$31+'Inputs'!$B$32)/1000+'Inputs'!$B$21))^2+('Inputs'!$B$8/2)^2)))-'Results'!B7*(0.5*((((800-43)*MAX('Inputs'!$B$33,'Inputs'!$B$29+'Inputs'!$B$31+'Inputs'!$B$32,'Inputs'!$B$30+'Inputs'!$B$31+'Inputs'!$B$32)/1000+'Inputs'!$B$21+'Inputs'!$B$9+'Inputs'!$B$10)+'Inputs'!$B$7)/SQRT((((800-43)*MAX('Inputs'!$B$33,'Inputs'!$B$29+'Inputs'!$B$31+'Inputs'!$B$32,'Inputs'!$B$30+'Inputs'!$B$31+'Inputs'!$B$32)/1000+'Inputs'!$B$21+'Inputs'!$B$9+'Inputs'!$B$10)+'Inputs'!$B$7)^2+('Inputs'!$B$6/2)^2)-(((800-43)*MAX('Inputs'!$B$33,'Inputs'!$B$29+'Inputs'!$B$31+'Inputs'!$B$32,'Inputs'!$B$30+'Inputs'!$B$31+'Inputs'!$B$32)/1000+'Inputs'!$B$21+'Inputs'!$B$9+'Inputs'!$B$10))/SQRT((((800-43)*MAX('Inputs'!$B$33,'Inputs'!$B$29+'Inputs'!$B$31+'Inputs'!$B$32,'Inputs'!$B$30+'Inputs'!$B$31+'Inputs'!$B$32)/1000+'Inputs'!$B$21+'Inputs'!$B$9+'Inputs'!$B$10))^2+('Inputs'!$B$6/2)^2))))*'Results'!$B$8),"")</x:f>
        <x:v>0.8845791165404318</x:v>
      </x:c>
      <x:c r="N800" t="n">
        <x:f>IF(AND(ISNUMBER('Results'!C7),ISNUMBER('Results'!B7),ISNUMBER('Results'!$B$8),ISNUMBER('Inputs'!$B$6),ISNUMBER('Inputs'!$B$7),ISNUMBER('Inputs'!$B$8),ISNUMBER('Inputs'!$B$9),ISNUMBER('Inputs'!$B$10),ISNUMBER('Inputs'!$B$21),ISNUMBER('Inputs'!$B$24),ISNUMBER('Inputs'!$B$28)),((('Results'!C7*(1-'Inputs'!$B$24)*(0.5*((((800-43)*MAX('Inputs'!$B$33,'Inputs'!$B$29+'Inputs'!$B$31+'Inputs'!$B$32,'Inputs'!$B$30+'Inputs'!$B$31+'Inputs'!$B$32)/1000+'Inputs'!$B$21)+'Inputs'!$B$9)/SQRT((((800-43)*MAX('Inputs'!$B$33,'Inputs'!$B$29+'Inputs'!$B$31+'Inputs'!$B$32,'Inputs'!$B$30+'Inputs'!$B$31+'Inputs'!$B$32)/1000+'Inputs'!$B$21)+'Inputs'!$B$9)^2+('Inputs'!$B$8/2)^2)-(((800-43)*MAX('Inputs'!$B$33,'Inputs'!$B$29+'Inputs'!$B$31+'Inputs'!$B$32,'Inputs'!$B$30+'Inputs'!$B$31+'Inputs'!$B$32)/1000+'Inputs'!$B$21))/SQRT((((800-43)*MAX('Inputs'!$B$33,'Inputs'!$B$29+'Inputs'!$B$31+'Inputs'!$B$32,'Inputs'!$B$30+'Inputs'!$B$31+'Inputs'!$B$32)/1000+'Inputs'!$B$21))^2+('Inputs'!$B$8/2)^2)))-'Results'!B7*(1+'Inputs'!$B$24)*(0.5*((((800-43)*MAX('Inputs'!$B$33,'Inputs'!$B$29+'Inputs'!$B$31+'Inputs'!$B$32,'Inputs'!$B$30+'Inputs'!$B$31+'Inputs'!$B$32)/1000+'Inputs'!$B$21+'Inputs'!$B$9+'Inputs'!$B$10)+'Inputs'!$B$7)/SQRT((((800-43)*MAX('Inputs'!$B$33,'Inputs'!$B$29+'Inputs'!$B$31+'Inputs'!$B$32,'Inputs'!$B$30+'Inputs'!$B$31+'Inputs'!$B$32)/1000+'Inputs'!$B$21+'Inputs'!$B$9+'Inputs'!$B$10)+'Inputs'!$B$7)^2+('Inputs'!$B$6/2)^2)-(((800-43)*MAX('Inputs'!$B$33,'Inputs'!$B$29+'Inputs'!$B$31+'Inputs'!$B$32,'Inputs'!$B$30+'Inputs'!$B$31+'Inputs'!$B$32)/1000+'Inputs'!$B$21+'Inputs'!$B$9+'Inputs'!$B$10))/SQRT((((800-43)*MAX('Inputs'!$B$33,'Inputs'!$B$29+'Inputs'!$B$31+'Inputs'!$B$32,'Inputs'!$B$30+'Inputs'!$B$31+'Inputs'!$B$32)/1000+'Inputs'!$B$21+'Inputs'!$B$9+'Inputs'!$B$10))^2+('Inputs'!$B$6/2)^2))))*'Results'!$B$8)-'Inputs'!$B$28*ABS((('Results'!C7*(1-'Inputs'!$B$24)*(0.5*((((800-43)*MAX('Inputs'!$B$33,'Inputs'!$B$29+'Inputs'!$B$31+'Inputs'!$B$32,'Inputs'!$B$30+'Inputs'!$B$31+'Inputs'!$B$32)/1000+'Inputs'!$B$21)+'Inputs'!$B$9)/SQRT((((800-43)*MAX('Inputs'!$B$33,'Inputs'!$B$29+'Inputs'!$B$31+'Inputs'!$B$32,'Inputs'!$B$30+'Inputs'!$B$31+'Inputs'!$B$32)/1000+'Inputs'!$B$21)+'Inputs'!$B$9)^2+('Inputs'!$B$8/2)^2)-(((800-43)*MAX('Inputs'!$B$33,'Inputs'!$B$29+'Inputs'!$B$31+'Inputs'!$B$32,'Inputs'!$B$30+'Inputs'!$B$31+'Inputs'!$B$32)/1000+'Inputs'!$B$21))/SQRT((((800-43)*MAX('Inputs'!$B$33,'Inputs'!$B$29+'Inputs'!$B$31+'Inputs'!$B$32,'Inputs'!$B$30+'Inputs'!$B$31+'Inputs'!$B$32)/1000+'Inputs'!$B$21))^2+('Inputs'!$B$8/2)^2)))-'Results'!B7*(1+'Inputs'!$B$24)*(0.5*((((800-43)*MAX('Inputs'!$B$33,'Inputs'!$B$29+'Inputs'!$B$31+'Inputs'!$B$32,'Inputs'!$B$30+'Inputs'!$B$31+'Inputs'!$B$32)/1000+'Inputs'!$B$21+'Inputs'!$B$9+'Inputs'!$B$10)+'Inputs'!$B$7)/SQRT((((800-43)*MAX('Inputs'!$B$33,'Inputs'!$B$29+'Inputs'!$B$31+'Inputs'!$B$32,'Inputs'!$B$30+'Inputs'!$B$31+'Inputs'!$B$32)/1000+'Inputs'!$B$21+'Inputs'!$B$9+'Inputs'!$B$10)+'Inputs'!$B$7)^2+('Inputs'!$B$6/2)^2)-(((800-43)*MAX('Inputs'!$B$33,'Inputs'!$B$29+'Inputs'!$B$31+'Inputs'!$B$32,'Inputs'!$B$30+'Inputs'!$B$31+'Inputs'!$B$32)/1000+'Inputs'!$B$21+'Inputs'!$B$9+'Inputs'!$B$10))/SQRT((((800-43)*MAX('Inputs'!$B$33,'Inputs'!$B$29+'Inputs'!$B$31+'Inputs'!$B$32,'Inputs'!$B$30+'Inputs'!$B$31+'Inputs'!$B$32)/1000+'Inputs'!$B$21+'Inputs'!$B$9+'Inputs'!$B$10))^2+('Inputs'!$B$6/2)^2))))*'Results'!$B$8))),"")</x:f>
        <x:v>0.7529542513398882</x:v>
      </x:c>
      <x:c r="O800" t="n">
        <x:f>IF(AND(ISNUMBER('Results'!C7),ISNUMBER('Results'!B7),ISNUMBER('Results'!$B$8),ISNUMBER('Inputs'!$B$6),ISNUMBER('Inputs'!$B$7),ISNUMBER('Inputs'!$B$8),ISNUMBER('Inputs'!$B$9),ISNUMBER('Inputs'!$B$10),ISNUMBER('Inputs'!$B$21),ISNUMBER('Inputs'!$B$24),ISNUMBER('Inputs'!$B$28)),((('Results'!C7*(1+'Inputs'!$B$24)*(0.5*((((800-43)*MAX('Inputs'!$B$33,'Inputs'!$B$29+'Inputs'!$B$31+'Inputs'!$B$32,'Inputs'!$B$30+'Inputs'!$B$31+'Inputs'!$B$32)/1000+'Inputs'!$B$21)+'Inputs'!$B$9)/SQRT((((800-43)*MAX('Inputs'!$B$33,'Inputs'!$B$29+'Inputs'!$B$31+'Inputs'!$B$32,'Inputs'!$B$30+'Inputs'!$B$31+'Inputs'!$B$32)/1000+'Inputs'!$B$21)+'Inputs'!$B$9)^2+('Inputs'!$B$8/2)^2)-(((800-43)*MAX('Inputs'!$B$33,'Inputs'!$B$29+'Inputs'!$B$31+'Inputs'!$B$32,'Inputs'!$B$30+'Inputs'!$B$31+'Inputs'!$B$32)/1000+'Inputs'!$B$21))/SQRT((((800-43)*MAX('Inputs'!$B$33,'Inputs'!$B$29+'Inputs'!$B$31+'Inputs'!$B$32,'Inputs'!$B$30+'Inputs'!$B$31+'Inputs'!$B$32)/1000+'Inputs'!$B$21))^2+('Inputs'!$B$8/2)^2)))-'Results'!B7*(1-'Inputs'!$B$24)*(0.5*((((800-43)*MAX('Inputs'!$B$33,'Inputs'!$B$29+'Inputs'!$B$31+'Inputs'!$B$32,'Inputs'!$B$30+'Inputs'!$B$31+'Inputs'!$B$32)/1000+'Inputs'!$B$21+'Inputs'!$B$9+'Inputs'!$B$10)+'Inputs'!$B$7)/SQRT((((800-43)*MAX('Inputs'!$B$33,'Inputs'!$B$29+'Inputs'!$B$31+'Inputs'!$B$32,'Inputs'!$B$30+'Inputs'!$B$31+'Inputs'!$B$32)/1000+'Inputs'!$B$21+'Inputs'!$B$9+'Inputs'!$B$10)+'Inputs'!$B$7)^2+('Inputs'!$B$6/2)^2)-(((800-43)*MAX('Inputs'!$B$33,'Inputs'!$B$29+'Inputs'!$B$31+'Inputs'!$B$32,'Inputs'!$B$30+'Inputs'!$B$31+'Inputs'!$B$32)/1000+'Inputs'!$B$21+'Inputs'!$B$9+'Inputs'!$B$10))/SQRT((((800-43)*MAX('Inputs'!$B$33,'Inputs'!$B$29+'Inputs'!$B$31+'Inputs'!$B$32,'Inputs'!$B$30+'Inputs'!$B$31+'Inputs'!$B$32)/1000+'Inputs'!$B$21+'Inputs'!$B$9+'Inputs'!$B$10))^2+('Inputs'!$B$6/2)^2))))*'Results'!$B$8)+'Inputs'!$B$28*ABS((('Results'!C7*(1+'Inputs'!$B$24)*(0.5*((((800-43)*MAX('Inputs'!$B$33,'Inputs'!$B$29+'Inputs'!$B$31+'Inputs'!$B$32,'Inputs'!$B$30+'Inputs'!$B$31+'Inputs'!$B$32)/1000+'Inputs'!$B$21)+'Inputs'!$B$9)/SQRT((((800-43)*MAX('Inputs'!$B$33,'Inputs'!$B$29+'Inputs'!$B$31+'Inputs'!$B$32,'Inputs'!$B$30+'Inputs'!$B$31+'Inputs'!$B$32)/1000+'Inputs'!$B$21)+'Inputs'!$B$9)^2+('Inputs'!$B$8/2)^2)-(((800-43)*MAX('Inputs'!$B$33,'Inputs'!$B$29+'Inputs'!$B$31+'Inputs'!$B$32,'Inputs'!$B$30+'Inputs'!$B$31+'Inputs'!$B$32)/1000+'Inputs'!$B$21))/SQRT((((800-43)*MAX('Inputs'!$B$33,'Inputs'!$B$29+'Inputs'!$B$31+'Inputs'!$B$32,'Inputs'!$B$30+'Inputs'!$B$31+'Inputs'!$B$32)/1000+'Inputs'!$B$21))^2+('Inputs'!$B$8/2)^2)))-'Results'!B7*(1-'Inputs'!$B$24)*(0.5*((((800-43)*MAX('Inputs'!$B$33,'Inputs'!$B$29+'Inputs'!$B$31+'Inputs'!$B$32,'Inputs'!$B$30+'Inputs'!$B$31+'Inputs'!$B$32)/1000+'Inputs'!$B$21+'Inputs'!$B$9+'Inputs'!$B$10)+'Inputs'!$B$7)/SQRT((((800-43)*MAX('Inputs'!$B$33,'Inputs'!$B$29+'Inputs'!$B$31+'Inputs'!$B$32,'Inputs'!$B$30+'Inputs'!$B$31+'Inputs'!$B$32)/1000+'Inputs'!$B$21+'Inputs'!$B$9+'Inputs'!$B$10)+'Inputs'!$B$7)^2+('Inputs'!$B$6/2)^2)-(((800-43)*MAX('Inputs'!$B$33,'Inputs'!$B$29+'Inputs'!$B$31+'Inputs'!$B$32,'Inputs'!$B$30+'Inputs'!$B$31+'Inputs'!$B$32)/1000+'Inputs'!$B$21+'Inputs'!$B$9+'Inputs'!$B$10))/SQRT((((800-43)*MAX('Inputs'!$B$33,'Inputs'!$B$29+'Inputs'!$B$31+'Inputs'!$B$32,'Inputs'!$B$30+'Inputs'!$B$31+'Inputs'!$B$32)/1000+'Inputs'!$B$21+'Inputs'!$B$9+'Inputs'!$B$10))^2+('Inputs'!$B$6/2)^2))))*'Results'!$B$8))),"")</x:f>
        <x:v>1.0254035511487147</x:v>
      </x:c>
      <x:c r="P800" t="n">
        <x:f>IF(AND(MAX(J800,J799)&gt;0,J800&gt;J799+0.00000001),1,0)</x:f>
        <x:v>0</x:v>
      </x:c>
      <x:c r="Q800" t="n">
        <x:f>IF(AND(MAX(K800,K799)&gt;0,K800&gt;K799+0.00000001),1,0)</x:f>
        <x:v>0</x:v>
      </x:c>
      <x:c r="R800" t="n">
        <x:f>IF(AND(MAX(L800,L799)&gt;0,L800&gt;L799+0.00000001),1,0)</x:f>
        <x:v>0</x:v>
      </x:c>
      <x:c r="S800" t="n">
        <x:f>IF(AND(MAX(M800,M799)&gt;0,M800&gt;M799+0.00000001),1,0)</x:f>
        <x:v>0</x:v>
      </x:c>
      <x:c r="T800" t="n">
        <x:f>IF(AND(MAX(N800,N799)&gt;0,N800&gt;N799+0.00000001),1,0)</x:f>
        <x:v>0</x:v>
      </x:c>
      <x:c r="U800" t="n">
        <x:f>IF(AND(MAX(O800,O799)&gt;0,O800&gt;O799+0.00000001),1,0)</x:f>
        <x:v>0</x:v>
      </x:c>
    </x:row>
    <x:row r="801">
      <x:c r="J801" t="n">
        <x:f>IF(AND(ISNUMBER('Results'!B7),ISNUMBER('Results'!C7),ISNUMBER('Results'!$B$8),ISNUMBER('Inputs'!$B$6),ISNUMBER('Inputs'!$B$7),ISNUMBER('Inputs'!$B$8),ISNUMBER('Inputs'!$B$9),ISNUMBER('Inputs'!$B$10),ISNUMBER('Inputs'!$B$21),ISNUMBER('Inputs'!$B$24),ISNUMBER('Inputs'!$B$28)),(('Results'!B7*(0.5*((((801-43)*MAX('Inputs'!$B$33,'Inputs'!$B$29+'Inputs'!$B$31+'Inputs'!$B$32,'Inputs'!$B$30+'Inputs'!$B$31+'Inputs'!$B$32)/1000+'Inputs'!$B$21)+'Inputs'!$B$7)/SQRT((((801-43)*MAX('Inputs'!$B$33,'Inputs'!$B$29+'Inputs'!$B$31+'Inputs'!$B$32,'Inputs'!$B$30+'Inputs'!$B$31+'Inputs'!$B$32)/1000+'Inputs'!$B$21)+'Inputs'!$B$7)^2+('Inputs'!$B$6/2)^2)-(((801-43)*MAX('Inputs'!$B$33,'Inputs'!$B$29+'Inputs'!$B$31+'Inputs'!$B$32,'Inputs'!$B$30+'Inputs'!$B$31+'Inputs'!$B$32)/1000+'Inputs'!$B$21))/SQRT((((801-43)*MAX('Inputs'!$B$33,'Inputs'!$B$29+'Inputs'!$B$31+'Inputs'!$B$32,'Inputs'!$B$30+'Inputs'!$B$31+'Inputs'!$B$32)/1000+'Inputs'!$B$21))^2+('Inputs'!$B$6/2)^2)))-'Results'!C7*(0.5*((((801-43)*MAX('Inputs'!$B$33,'Inputs'!$B$29+'Inputs'!$B$31+'Inputs'!$B$32,'Inputs'!$B$30+'Inputs'!$B$31+'Inputs'!$B$32)/1000+'Inputs'!$B$21+'Inputs'!$B$7+'Inputs'!$B$10)+'Inputs'!$B$9)/SQRT((((801-43)*MAX('Inputs'!$B$33,'Inputs'!$B$29+'Inputs'!$B$31+'Inputs'!$B$32,'Inputs'!$B$30+'Inputs'!$B$31+'Inputs'!$B$32)/1000+'Inputs'!$B$21+'Inputs'!$B$7+'Inputs'!$B$10)+'Inputs'!$B$9)^2+('Inputs'!$B$8/2)^2)-(((801-43)*MAX('Inputs'!$B$33,'Inputs'!$B$29+'Inputs'!$B$31+'Inputs'!$B$32,'Inputs'!$B$30+'Inputs'!$B$31+'Inputs'!$B$32)/1000+'Inputs'!$B$21+'Inputs'!$B$7+'Inputs'!$B$10))/SQRT((((801-43)*MAX('Inputs'!$B$33,'Inputs'!$B$29+'Inputs'!$B$31+'Inputs'!$B$32,'Inputs'!$B$30+'Inputs'!$B$31+'Inputs'!$B$32)/1000+'Inputs'!$B$21+'Inputs'!$B$7+'Inputs'!$B$10))^2+('Inputs'!$B$8/2)^2))))*'Results'!$B$8),"")</x:f>
        <x:v>0.9730861372295636</x:v>
      </x:c>
      <x:c r="K801" t="n">
        <x:f>IF(AND(ISNUMBER('Results'!B7),ISNUMBER('Results'!C7),ISNUMBER('Results'!$B$8),ISNUMBER('Inputs'!$B$6),ISNUMBER('Inputs'!$B$7),ISNUMBER('Inputs'!$B$8),ISNUMBER('Inputs'!$B$9),ISNUMBER('Inputs'!$B$10),ISNUMBER('Inputs'!$B$21),ISNUMBER('Inputs'!$B$24),ISNUMBER('Inputs'!$B$28)),((('Results'!B7*(1-'Inputs'!$B$24)*(0.5*((((801-43)*MAX('Inputs'!$B$33,'Inputs'!$B$29+'Inputs'!$B$31+'Inputs'!$B$32,'Inputs'!$B$30+'Inputs'!$B$31+'Inputs'!$B$32)/1000+'Inputs'!$B$21)+'Inputs'!$B$7)/SQRT((((801-43)*MAX('Inputs'!$B$33,'Inputs'!$B$29+'Inputs'!$B$31+'Inputs'!$B$32,'Inputs'!$B$30+'Inputs'!$B$31+'Inputs'!$B$32)/1000+'Inputs'!$B$21)+'Inputs'!$B$7)^2+('Inputs'!$B$6/2)^2)-(((801-43)*MAX('Inputs'!$B$33,'Inputs'!$B$29+'Inputs'!$B$31+'Inputs'!$B$32,'Inputs'!$B$30+'Inputs'!$B$31+'Inputs'!$B$32)/1000+'Inputs'!$B$21))/SQRT((((801-43)*MAX('Inputs'!$B$33,'Inputs'!$B$29+'Inputs'!$B$31+'Inputs'!$B$32,'Inputs'!$B$30+'Inputs'!$B$31+'Inputs'!$B$32)/1000+'Inputs'!$B$21))^2+('Inputs'!$B$6/2)^2)))-'Results'!C7*(1+'Inputs'!$B$24)*(0.5*((((801-43)*MAX('Inputs'!$B$33,'Inputs'!$B$29+'Inputs'!$B$31+'Inputs'!$B$32,'Inputs'!$B$30+'Inputs'!$B$31+'Inputs'!$B$32)/1000+'Inputs'!$B$21+'Inputs'!$B$7+'Inputs'!$B$10)+'Inputs'!$B$9)/SQRT((((801-43)*MAX('Inputs'!$B$33,'Inputs'!$B$29+'Inputs'!$B$31+'Inputs'!$B$32,'Inputs'!$B$30+'Inputs'!$B$31+'Inputs'!$B$32)/1000+'Inputs'!$B$21+'Inputs'!$B$7+'Inputs'!$B$10)+'Inputs'!$B$9)^2+('Inputs'!$B$8/2)^2)-(((801-43)*MAX('Inputs'!$B$33,'Inputs'!$B$29+'Inputs'!$B$31+'Inputs'!$B$32,'Inputs'!$B$30+'Inputs'!$B$31+'Inputs'!$B$32)/1000+'Inputs'!$B$21+'Inputs'!$B$7+'Inputs'!$B$10))/SQRT((((801-43)*MAX('Inputs'!$B$33,'Inputs'!$B$29+'Inputs'!$B$31+'Inputs'!$B$32,'Inputs'!$B$30+'Inputs'!$B$31+'Inputs'!$B$32)/1000+'Inputs'!$B$21+'Inputs'!$B$7+'Inputs'!$B$10))^2+('Inputs'!$B$8/2)^2))))*'Results'!$B$8)-'Inputs'!$B$28*ABS((('Results'!B7*(1-'Inputs'!$B$24)*(0.5*((((801-43)*MAX('Inputs'!$B$33,'Inputs'!$B$29+'Inputs'!$B$31+'Inputs'!$B$32,'Inputs'!$B$30+'Inputs'!$B$31+'Inputs'!$B$32)/1000+'Inputs'!$B$21)+'Inputs'!$B$7)/SQRT((((801-43)*MAX('Inputs'!$B$33,'Inputs'!$B$29+'Inputs'!$B$31+'Inputs'!$B$32,'Inputs'!$B$30+'Inputs'!$B$31+'Inputs'!$B$32)/1000+'Inputs'!$B$21)+'Inputs'!$B$7)^2+('Inputs'!$B$6/2)^2)-(((801-43)*MAX('Inputs'!$B$33,'Inputs'!$B$29+'Inputs'!$B$31+'Inputs'!$B$32,'Inputs'!$B$30+'Inputs'!$B$31+'Inputs'!$B$32)/1000+'Inputs'!$B$21))/SQRT((((801-43)*MAX('Inputs'!$B$33,'Inputs'!$B$29+'Inputs'!$B$31+'Inputs'!$B$32,'Inputs'!$B$30+'Inputs'!$B$31+'Inputs'!$B$32)/1000+'Inputs'!$B$21))^2+('Inputs'!$B$6/2)^2)))-'Results'!C7*(1+'Inputs'!$B$24)*(0.5*((((801-43)*MAX('Inputs'!$B$33,'Inputs'!$B$29+'Inputs'!$B$31+'Inputs'!$B$32,'Inputs'!$B$30+'Inputs'!$B$31+'Inputs'!$B$32)/1000+'Inputs'!$B$21+'Inputs'!$B$7+'Inputs'!$B$10)+'Inputs'!$B$9)/SQRT((((801-43)*MAX('Inputs'!$B$33,'Inputs'!$B$29+'Inputs'!$B$31+'Inputs'!$B$32,'Inputs'!$B$30+'Inputs'!$B$31+'Inputs'!$B$32)/1000+'Inputs'!$B$21+'Inputs'!$B$7+'Inputs'!$B$10)+'Inputs'!$B$9)^2+('Inputs'!$B$8/2)^2)-(((801-43)*MAX('Inputs'!$B$33,'Inputs'!$B$29+'Inputs'!$B$31+'Inputs'!$B$32,'Inputs'!$B$30+'Inputs'!$B$31+'Inputs'!$B$32)/1000+'Inputs'!$B$21+'Inputs'!$B$7+'Inputs'!$B$10))/SQRT((((801-43)*MAX('Inputs'!$B$33,'Inputs'!$B$29+'Inputs'!$B$31+'Inputs'!$B$32,'Inputs'!$B$30+'Inputs'!$B$31+'Inputs'!$B$32)/1000+'Inputs'!$B$21+'Inputs'!$B$7+'Inputs'!$B$10))^2+('Inputs'!$B$8/2)^2))))*'Results'!$B$8))),"")</x:f>
        <x:v>0.8369966515286992</x:v>
      </x:c>
      <x:c r="L801" t="n">
        <x:f>IF(AND(ISNUMBER('Results'!B7),ISNUMBER('Results'!C7),ISNUMBER('Results'!$B$8),ISNUMBER('Inputs'!$B$6),ISNUMBER('Inputs'!$B$7),ISNUMBER('Inputs'!$B$8),ISNUMBER('Inputs'!$B$9),ISNUMBER('Inputs'!$B$10),ISNUMBER('Inputs'!$B$21),ISNUMBER('Inputs'!$B$24),ISNUMBER('Inputs'!$B$28)),((('Results'!B7*(1+'Inputs'!$B$24)*(0.5*((((801-43)*MAX('Inputs'!$B$33,'Inputs'!$B$29+'Inputs'!$B$31+'Inputs'!$B$32,'Inputs'!$B$30+'Inputs'!$B$31+'Inputs'!$B$32)/1000+'Inputs'!$B$21)+'Inputs'!$B$7)/SQRT((((801-43)*MAX('Inputs'!$B$33,'Inputs'!$B$29+'Inputs'!$B$31+'Inputs'!$B$32,'Inputs'!$B$30+'Inputs'!$B$31+'Inputs'!$B$32)/1000+'Inputs'!$B$21)+'Inputs'!$B$7)^2+('Inputs'!$B$6/2)^2)-(((801-43)*MAX('Inputs'!$B$33,'Inputs'!$B$29+'Inputs'!$B$31+'Inputs'!$B$32,'Inputs'!$B$30+'Inputs'!$B$31+'Inputs'!$B$32)/1000+'Inputs'!$B$21))/SQRT((((801-43)*MAX('Inputs'!$B$33,'Inputs'!$B$29+'Inputs'!$B$31+'Inputs'!$B$32,'Inputs'!$B$30+'Inputs'!$B$31+'Inputs'!$B$32)/1000+'Inputs'!$B$21))^2+('Inputs'!$B$6/2)^2)))-'Results'!C7*(1-'Inputs'!$B$24)*(0.5*((((801-43)*MAX('Inputs'!$B$33,'Inputs'!$B$29+'Inputs'!$B$31+'Inputs'!$B$32,'Inputs'!$B$30+'Inputs'!$B$31+'Inputs'!$B$32)/1000+'Inputs'!$B$21+'Inputs'!$B$7+'Inputs'!$B$10)+'Inputs'!$B$9)/SQRT((((801-43)*MAX('Inputs'!$B$33,'Inputs'!$B$29+'Inputs'!$B$31+'Inputs'!$B$32,'Inputs'!$B$30+'Inputs'!$B$31+'Inputs'!$B$32)/1000+'Inputs'!$B$21+'Inputs'!$B$7+'Inputs'!$B$10)+'Inputs'!$B$9)^2+('Inputs'!$B$8/2)^2)-(((801-43)*MAX('Inputs'!$B$33,'Inputs'!$B$29+'Inputs'!$B$31+'Inputs'!$B$32,'Inputs'!$B$30+'Inputs'!$B$31+'Inputs'!$B$32)/1000+'Inputs'!$B$21+'Inputs'!$B$7+'Inputs'!$B$10))/SQRT((((801-43)*MAX('Inputs'!$B$33,'Inputs'!$B$29+'Inputs'!$B$31+'Inputs'!$B$32,'Inputs'!$B$30+'Inputs'!$B$31+'Inputs'!$B$32)/1000+'Inputs'!$B$21+'Inputs'!$B$7+'Inputs'!$B$10))^2+('Inputs'!$B$8/2)^2))))*'Results'!$B$8)+'Inputs'!$B$28*ABS((('Results'!B7*(1+'Inputs'!$B$24)*(0.5*((((801-43)*MAX('Inputs'!$B$33,'Inputs'!$B$29+'Inputs'!$B$31+'Inputs'!$B$32,'Inputs'!$B$30+'Inputs'!$B$31+'Inputs'!$B$32)/1000+'Inputs'!$B$21)+'Inputs'!$B$7)/SQRT((((801-43)*MAX('Inputs'!$B$33,'Inputs'!$B$29+'Inputs'!$B$31+'Inputs'!$B$32,'Inputs'!$B$30+'Inputs'!$B$31+'Inputs'!$B$32)/1000+'Inputs'!$B$21)+'Inputs'!$B$7)^2+('Inputs'!$B$6/2)^2)-(((801-43)*MAX('Inputs'!$B$33,'Inputs'!$B$29+'Inputs'!$B$31+'Inputs'!$B$32,'Inputs'!$B$30+'Inputs'!$B$31+'Inputs'!$B$32)/1000+'Inputs'!$B$21))/SQRT((((801-43)*MAX('Inputs'!$B$33,'Inputs'!$B$29+'Inputs'!$B$31+'Inputs'!$B$32,'Inputs'!$B$30+'Inputs'!$B$31+'Inputs'!$B$32)/1000+'Inputs'!$B$21))^2+('Inputs'!$B$6/2)^2)))-'Results'!C7*(1-'Inputs'!$B$24)*(0.5*((((801-43)*MAX('Inputs'!$B$33,'Inputs'!$B$29+'Inputs'!$B$31+'Inputs'!$B$32,'Inputs'!$B$30+'Inputs'!$B$31+'Inputs'!$B$32)/1000+'Inputs'!$B$21+'Inputs'!$B$7+'Inputs'!$B$10)+'Inputs'!$B$9)/SQRT((((801-43)*MAX('Inputs'!$B$33,'Inputs'!$B$29+'Inputs'!$B$31+'Inputs'!$B$32,'Inputs'!$B$30+'Inputs'!$B$31+'Inputs'!$B$32)/1000+'Inputs'!$B$21+'Inputs'!$B$7+'Inputs'!$B$10)+'Inputs'!$B$9)^2+('Inputs'!$B$8/2)^2)-(((801-43)*MAX('Inputs'!$B$33,'Inputs'!$B$29+'Inputs'!$B$31+'Inputs'!$B$32,'Inputs'!$B$30+'Inputs'!$B$31+'Inputs'!$B$32)/1000+'Inputs'!$B$21+'Inputs'!$B$7+'Inputs'!$B$10))/SQRT((((801-43)*MAX('Inputs'!$B$33,'Inputs'!$B$29+'Inputs'!$B$31+'Inputs'!$B$32,'Inputs'!$B$30+'Inputs'!$B$31+'Inputs'!$B$32)/1000+'Inputs'!$B$21+'Inputs'!$B$7+'Inputs'!$B$10))^2+('Inputs'!$B$8/2)^2))))*'Results'!$B$8))),"")</x:f>
        <x:v>1.1183793259661527</x:v>
      </x:c>
      <x:c r="M801" t="n">
        <x:f>IF(AND(ISNUMBER('Results'!C7),ISNUMBER('Results'!B7),ISNUMBER('Results'!$B$8),ISNUMBER('Inputs'!$B$6),ISNUMBER('Inputs'!$B$7),ISNUMBER('Inputs'!$B$8),ISNUMBER('Inputs'!$B$9),ISNUMBER('Inputs'!$B$10),ISNUMBER('Inputs'!$B$21),ISNUMBER('Inputs'!$B$24),ISNUMBER('Inputs'!$B$28)),(('Results'!C7*(0.5*((((801-43)*MAX('Inputs'!$B$33,'Inputs'!$B$29+'Inputs'!$B$31+'Inputs'!$B$32,'Inputs'!$B$30+'Inputs'!$B$31+'Inputs'!$B$32)/1000+'Inputs'!$B$21)+'Inputs'!$B$9)/SQRT((((801-43)*MAX('Inputs'!$B$33,'Inputs'!$B$29+'Inputs'!$B$31+'Inputs'!$B$32,'Inputs'!$B$30+'Inputs'!$B$31+'Inputs'!$B$32)/1000+'Inputs'!$B$21)+'Inputs'!$B$9)^2+('Inputs'!$B$8/2)^2)-(((801-43)*MAX('Inputs'!$B$33,'Inputs'!$B$29+'Inputs'!$B$31+'Inputs'!$B$32,'Inputs'!$B$30+'Inputs'!$B$31+'Inputs'!$B$32)/1000+'Inputs'!$B$21))/SQRT((((801-43)*MAX('Inputs'!$B$33,'Inputs'!$B$29+'Inputs'!$B$31+'Inputs'!$B$32,'Inputs'!$B$30+'Inputs'!$B$31+'Inputs'!$B$32)/1000+'Inputs'!$B$21))^2+('Inputs'!$B$8/2)^2)))-'Results'!B7*(0.5*((((801-43)*MAX('Inputs'!$B$33,'Inputs'!$B$29+'Inputs'!$B$31+'Inputs'!$B$32,'Inputs'!$B$30+'Inputs'!$B$31+'Inputs'!$B$32)/1000+'Inputs'!$B$21+'Inputs'!$B$9+'Inputs'!$B$10)+'Inputs'!$B$7)/SQRT((((801-43)*MAX('Inputs'!$B$33,'Inputs'!$B$29+'Inputs'!$B$31+'Inputs'!$B$32,'Inputs'!$B$30+'Inputs'!$B$31+'Inputs'!$B$32)/1000+'Inputs'!$B$21+'Inputs'!$B$9+'Inputs'!$B$10)+'Inputs'!$B$7)^2+('Inputs'!$B$6/2)^2)-(((801-43)*MAX('Inputs'!$B$33,'Inputs'!$B$29+'Inputs'!$B$31+'Inputs'!$B$32,'Inputs'!$B$30+'Inputs'!$B$31+'Inputs'!$B$32)/1000+'Inputs'!$B$21+'Inputs'!$B$9+'Inputs'!$B$10))/SQRT((((801-43)*MAX('Inputs'!$B$33,'Inputs'!$B$29+'Inputs'!$B$31+'Inputs'!$B$32,'Inputs'!$B$30+'Inputs'!$B$31+'Inputs'!$B$32)/1000+'Inputs'!$B$21+'Inputs'!$B$9+'Inputs'!$B$10))^2+('Inputs'!$B$6/2)^2))))*'Results'!$B$8),"")</x:f>
        <x:v>0.8803085425089207</x:v>
      </x:c>
      <x:c r="N801" t="n">
        <x:f>IF(AND(ISNUMBER('Results'!C7),ISNUMBER('Results'!B7),ISNUMBER('Results'!$B$8),ISNUMBER('Inputs'!$B$6),ISNUMBER('Inputs'!$B$7),ISNUMBER('Inputs'!$B$8),ISNUMBER('Inputs'!$B$9),ISNUMBER('Inputs'!$B$10),ISNUMBER('Inputs'!$B$21),ISNUMBER('Inputs'!$B$24),ISNUMBER('Inputs'!$B$28)),((('Results'!C7*(1-'Inputs'!$B$24)*(0.5*((((801-43)*MAX('Inputs'!$B$33,'Inputs'!$B$29+'Inputs'!$B$31+'Inputs'!$B$32,'Inputs'!$B$30+'Inputs'!$B$31+'Inputs'!$B$32)/1000+'Inputs'!$B$21)+'Inputs'!$B$9)/SQRT((((801-43)*MAX('Inputs'!$B$33,'Inputs'!$B$29+'Inputs'!$B$31+'Inputs'!$B$32,'Inputs'!$B$30+'Inputs'!$B$31+'Inputs'!$B$32)/1000+'Inputs'!$B$21)+'Inputs'!$B$9)^2+('Inputs'!$B$8/2)^2)-(((801-43)*MAX('Inputs'!$B$33,'Inputs'!$B$29+'Inputs'!$B$31+'Inputs'!$B$32,'Inputs'!$B$30+'Inputs'!$B$31+'Inputs'!$B$32)/1000+'Inputs'!$B$21))/SQRT((((801-43)*MAX('Inputs'!$B$33,'Inputs'!$B$29+'Inputs'!$B$31+'Inputs'!$B$32,'Inputs'!$B$30+'Inputs'!$B$31+'Inputs'!$B$32)/1000+'Inputs'!$B$21))^2+('Inputs'!$B$8/2)^2)))-'Results'!B7*(1+'Inputs'!$B$24)*(0.5*((((801-43)*MAX('Inputs'!$B$33,'Inputs'!$B$29+'Inputs'!$B$31+'Inputs'!$B$32,'Inputs'!$B$30+'Inputs'!$B$31+'Inputs'!$B$32)/1000+'Inputs'!$B$21+'Inputs'!$B$9+'Inputs'!$B$10)+'Inputs'!$B$7)/SQRT((((801-43)*MAX('Inputs'!$B$33,'Inputs'!$B$29+'Inputs'!$B$31+'Inputs'!$B$32,'Inputs'!$B$30+'Inputs'!$B$31+'Inputs'!$B$32)/1000+'Inputs'!$B$21+'Inputs'!$B$9+'Inputs'!$B$10)+'Inputs'!$B$7)^2+('Inputs'!$B$6/2)^2)-(((801-43)*MAX('Inputs'!$B$33,'Inputs'!$B$29+'Inputs'!$B$31+'Inputs'!$B$32,'Inputs'!$B$30+'Inputs'!$B$31+'Inputs'!$B$32)/1000+'Inputs'!$B$21+'Inputs'!$B$9+'Inputs'!$B$10))/SQRT((((801-43)*MAX('Inputs'!$B$33,'Inputs'!$B$29+'Inputs'!$B$31+'Inputs'!$B$32,'Inputs'!$B$30+'Inputs'!$B$31+'Inputs'!$B$32)/1000+'Inputs'!$B$21+'Inputs'!$B$9+'Inputs'!$B$10))^2+('Inputs'!$B$6/2)^2))))*'Results'!$B$8)-'Inputs'!$B$28*ABS((('Results'!C7*(1-'Inputs'!$B$24)*(0.5*((((801-43)*MAX('Inputs'!$B$33,'Inputs'!$B$29+'Inputs'!$B$31+'Inputs'!$B$32,'Inputs'!$B$30+'Inputs'!$B$31+'Inputs'!$B$32)/1000+'Inputs'!$B$21)+'Inputs'!$B$9)/SQRT((((801-43)*MAX('Inputs'!$B$33,'Inputs'!$B$29+'Inputs'!$B$31+'Inputs'!$B$32,'Inputs'!$B$30+'Inputs'!$B$31+'Inputs'!$B$32)/1000+'Inputs'!$B$21)+'Inputs'!$B$9)^2+('Inputs'!$B$8/2)^2)-(((801-43)*MAX('Inputs'!$B$33,'Inputs'!$B$29+'Inputs'!$B$31+'Inputs'!$B$32,'Inputs'!$B$30+'Inputs'!$B$31+'Inputs'!$B$32)/1000+'Inputs'!$B$21))/SQRT((((801-43)*MAX('Inputs'!$B$33,'Inputs'!$B$29+'Inputs'!$B$31+'Inputs'!$B$32,'Inputs'!$B$30+'Inputs'!$B$31+'Inputs'!$B$32)/1000+'Inputs'!$B$21))^2+('Inputs'!$B$8/2)^2)))-'Results'!B7*(1+'Inputs'!$B$24)*(0.5*((((801-43)*MAX('Inputs'!$B$33,'Inputs'!$B$29+'Inputs'!$B$31+'Inputs'!$B$32,'Inputs'!$B$30+'Inputs'!$B$31+'Inputs'!$B$32)/1000+'Inputs'!$B$21+'Inputs'!$B$9+'Inputs'!$B$10)+'Inputs'!$B$7)/SQRT((((801-43)*MAX('Inputs'!$B$33,'Inputs'!$B$29+'Inputs'!$B$31+'Inputs'!$B$32,'Inputs'!$B$30+'Inputs'!$B$31+'Inputs'!$B$32)/1000+'Inputs'!$B$21+'Inputs'!$B$9+'Inputs'!$B$10)+'Inputs'!$B$7)^2+('Inputs'!$B$6/2)^2)-(((801-43)*MAX('Inputs'!$B$33,'Inputs'!$B$29+'Inputs'!$B$31+'Inputs'!$B$32,'Inputs'!$B$30+'Inputs'!$B$31+'Inputs'!$B$32)/1000+'Inputs'!$B$21+'Inputs'!$B$9+'Inputs'!$B$10))/SQRT((((801-43)*MAX('Inputs'!$B$33,'Inputs'!$B$29+'Inputs'!$B$31+'Inputs'!$B$32,'Inputs'!$B$30+'Inputs'!$B$31+'Inputs'!$B$32)/1000+'Inputs'!$B$21+'Inputs'!$B$9+'Inputs'!$B$10))^2+('Inputs'!$B$6/2)^2))))*'Results'!$B$8))),"")</x:f>
        <x:v>0.7492136385533307</x:v>
      </x:c>
      <x:c r="O801" t="n">
        <x:f>IF(AND(ISNUMBER('Results'!C7),ISNUMBER('Results'!B7),ISNUMBER('Results'!$B$8),ISNUMBER('Inputs'!$B$6),ISNUMBER('Inputs'!$B$7),ISNUMBER('Inputs'!$B$8),ISNUMBER('Inputs'!$B$9),ISNUMBER('Inputs'!$B$10),ISNUMBER('Inputs'!$B$21),ISNUMBER('Inputs'!$B$24),ISNUMBER('Inputs'!$B$28)),((('Results'!C7*(1+'Inputs'!$B$24)*(0.5*((((801-43)*MAX('Inputs'!$B$33,'Inputs'!$B$29+'Inputs'!$B$31+'Inputs'!$B$32,'Inputs'!$B$30+'Inputs'!$B$31+'Inputs'!$B$32)/1000+'Inputs'!$B$21)+'Inputs'!$B$9)/SQRT((((801-43)*MAX('Inputs'!$B$33,'Inputs'!$B$29+'Inputs'!$B$31+'Inputs'!$B$32,'Inputs'!$B$30+'Inputs'!$B$31+'Inputs'!$B$32)/1000+'Inputs'!$B$21)+'Inputs'!$B$9)^2+('Inputs'!$B$8/2)^2)-(((801-43)*MAX('Inputs'!$B$33,'Inputs'!$B$29+'Inputs'!$B$31+'Inputs'!$B$32,'Inputs'!$B$30+'Inputs'!$B$31+'Inputs'!$B$32)/1000+'Inputs'!$B$21))/SQRT((((801-43)*MAX('Inputs'!$B$33,'Inputs'!$B$29+'Inputs'!$B$31+'Inputs'!$B$32,'Inputs'!$B$30+'Inputs'!$B$31+'Inputs'!$B$32)/1000+'Inputs'!$B$21))^2+('Inputs'!$B$8/2)^2)))-'Results'!B7*(1-'Inputs'!$B$24)*(0.5*((((801-43)*MAX('Inputs'!$B$33,'Inputs'!$B$29+'Inputs'!$B$31+'Inputs'!$B$32,'Inputs'!$B$30+'Inputs'!$B$31+'Inputs'!$B$32)/1000+'Inputs'!$B$21+'Inputs'!$B$9+'Inputs'!$B$10)+'Inputs'!$B$7)/SQRT((((801-43)*MAX('Inputs'!$B$33,'Inputs'!$B$29+'Inputs'!$B$31+'Inputs'!$B$32,'Inputs'!$B$30+'Inputs'!$B$31+'Inputs'!$B$32)/1000+'Inputs'!$B$21+'Inputs'!$B$9+'Inputs'!$B$10)+'Inputs'!$B$7)^2+('Inputs'!$B$6/2)^2)-(((801-43)*MAX('Inputs'!$B$33,'Inputs'!$B$29+'Inputs'!$B$31+'Inputs'!$B$32,'Inputs'!$B$30+'Inputs'!$B$31+'Inputs'!$B$32)/1000+'Inputs'!$B$21+'Inputs'!$B$9+'Inputs'!$B$10))/SQRT((((801-43)*MAX('Inputs'!$B$33,'Inputs'!$B$29+'Inputs'!$B$31+'Inputs'!$B$32,'Inputs'!$B$30+'Inputs'!$B$31+'Inputs'!$B$32)/1000+'Inputs'!$B$21+'Inputs'!$B$9+'Inputs'!$B$10))^2+('Inputs'!$B$6/2)^2))))*'Results'!$B$8)+'Inputs'!$B$28*ABS((('Results'!C7*(1+'Inputs'!$B$24)*(0.5*((((801-43)*MAX('Inputs'!$B$33,'Inputs'!$B$29+'Inputs'!$B$31+'Inputs'!$B$32,'Inputs'!$B$30+'Inputs'!$B$31+'Inputs'!$B$32)/1000+'Inputs'!$B$21)+'Inputs'!$B$9)/SQRT((((801-43)*MAX('Inputs'!$B$33,'Inputs'!$B$29+'Inputs'!$B$31+'Inputs'!$B$32,'Inputs'!$B$30+'Inputs'!$B$31+'Inputs'!$B$32)/1000+'Inputs'!$B$21)+'Inputs'!$B$9)^2+('Inputs'!$B$8/2)^2)-(((801-43)*MAX('Inputs'!$B$33,'Inputs'!$B$29+'Inputs'!$B$31+'Inputs'!$B$32,'Inputs'!$B$30+'Inputs'!$B$31+'Inputs'!$B$32)/1000+'Inputs'!$B$21))/SQRT((((801-43)*MAX('Inputs'!$B$33,'Inputs'!$B$29+'Inputs'!$B$31+'Inputs'!$B$32,'Inputs'!$B$30+'Inputs'!$B$31+'Inputs'!$B$32)/1000+'Inputs'!$B$21))^2+('Inputs'!$B$8/2)^2)))-'Results'!B7*(1-'Inputs'!$B$24)*(0.5*((((801-43)*MAX('Inputs'!$B$33,'Inputs'!$B$29+'Inputs'!$B$31+'Inputs'!$B$32,'Inputs'!$B$30+'Inputs'!$B$31+'Inputs'!$B$32)/1000+'Inputs'!$B$21+'Inputs'!$B$9+'Inputs'!$B$10)+'Inputs'!$B$7)/SQRT((((801-43)*MAX('Inputs'!$B$33,'Inputs'!$B$29+'Inputs'!$B$31+'Inputs'!$B$32,'Inputs'!$B$30+'Inputs'!$B$31+'Inputs'!$B$32)/1000+'Inputs'!$B$21+'Inputs'!$B$9+'Inputs'!$B$10)+'Inputs'!$B$7)^2+('Inputs'!$B$6/2)^2)-(((801-43)*MAX('Inputs'!$B$33,'Inputs'!$B$29+'Inputs'!$B$31+'Inputs'!$B$32,'Inputs'!$B$30+'Inputs'!$B$31+'Inputs'!$B$32)/1000+'Inputs'!$B$21+'Inputs'!$B$9+'Inputs'!$B$10))/SQRT((((801-43)*MAX('Inputs'!$B$33,'Inputs'!$B$29+'Inputs'!$B$31+'Inputs'!$B$32,'Inputs'!$B$30+'Inputs'!$B$31+'Inputs'!$B$32)/1000+'Inputs'!$B$21+'Inputs'!$B$9+'Inputs'!$B$10))^2+('Inputs'!$B$6/2)^2))))*'Results'!$B$8))),"")</x:f>
        <x:v>1.0205697071834727</x:v>
      </x:c>
      <x:c r="P801" t="n">
        <x:f>IF(AND(MAX(J801,J800)&gt;0,J801&gt;J800+0.00000001),1,0)</x:f>
        <x:v>0</x:v>
      </x:c>
      <x:c r="Q801" t="n">
        <x:f>IF(AND(MAX(K801,K800)&gt;0,K801&gt;K800+0.00000001),1,0)</x:f>
        <x:v>0</x:v>
      </x:c>
      <x:c r="R801" t="n">
        <x:f>IF(AND(MAX(L801,L800)&gt;0,L801&gt;L800+0.00000001),1,0)</x:f>
        <x:v>0</x:v>
      </x:c>
      <x:c r="S801" t="n">
        <x:f>IF(AND(MAX(M801,M800)&gt;0,M801&gt;M800+0.00000001),1,0)</x:f>
        <x:v>0</x:v>
      </x:c>
      <x:c r="T801" t="n">
        <x:f>IF(AND(MAX(N801,N800)&gt;0,N801&gt;N800+0.00000001),1,0)</x:f>
        <x:v>0</x:v>
      </x:c>
      <x:c r="U801" t="n">
        <x:f>IF(AND(MAX(O801,O800)&gt;0,O801&gt;O800+0.00000001),1,0)</x:f>
        <x:v>0</x:v>
      </x:c>
    </x:row>
    <x:row r="802">
      <x:c r="J802" t="n">
        <x:f>IF(AND(ISNUMBER('Results'!B7),ISNUMBER('Results'!C7),ISNUMBER('Results'!$B$8),ISNUMBER('Inputs'!$B$6),ISNUMBER('Inputs'!$B$7),ISNUMBER('Inputs'!$B$8),ISNUMBER('Inputs'!$B$9),ISNUMBER('Inputs'!$B$10),ISNUMBER('Inputs'!$B$21),ISNUMBER('Inputs'!$B$24),ISNUMBER('Inputs'!$B$28)),(('Results'!B7*(0.5*((((802-43)*MAX('Inputs'!$B$33,'Inputs'!$B$29+'Inputs'!$B$31+'Inputs'!$B$32,'Inputs'!$B$30+'Inputs'!$B$31+'Inputs'!$B$32)/1000+'Inputs'!$B$21)+'Inputs'!$B$7)/SQRT((((802-43)*MAX('Inputs'!$B$33,'Inputs'!$B$29+'Inputs'!$B$31+'Inputs'!$B$32,'Inputs'!$B$30+'Inputs'!$B$31+'Inputs'!$B$32)/1000+'Inputs'!$B$21)+'Inputs'!$B$7)^2+('Inputs'!$B$6/2)^2)-(((802-43)*MAX('Inputs'!$B$33,'Inputs'!$B$29+'Inputs'!$B$31+'Inputs'!$B$32,'Inputs'!$B$30+'Inputs'!$B$31+'Inputs'!$B$32)/1000+'Inputs'!$B$21))/SQRT((((802-43)*MAX('Inputs'!$B$33,'Inputs'!$B$29+'Inputs'!$B$31+'Inputs'!$B$32,'Inputs'!$B$30+'Inputs'!$B$31+'Inputs'!$B$32)/1000+'Inputs'!$B$21))^2+('Inputs'!$B$6/2)^2)))-'Results'!C7*(0.5*((((802-43)*MAX('Inputs'!$B$33,'Inputs'!$B$29+'Inputs'!$B$31+'Inputs'!$B$32,'Inputs'!$B$30+'Inputs'!$B$31+'Inputs'!$B$32)/1000+'Inputs'!$B$21+'Inputs'!$B$7+'Inputs'!$B$10)+'Inputs'!$B$9)/SQRT((((802-43)*MAX('Inputs'!$B$33,'Inputs'!$B$29+'Inputs'!$B$31+'Inputs'!$B$32,'Inputs'!$B$30+'Inputs'!$B$31+'Inputs'!$B$32)/1000+'Inputs'!$B$21+'Inputs'!$B$7+'Inputs'!$B$10)+'Inputs'!$B$9)^2+('Inputs'!$B$8/2)^2)-(((802-43)*MAX('Inputs'!$B$33,'Inputs'!$B$29+'Inputs'!$B$31+'Inputs'!$B$32,'Inputs'!$B$30+'Inputs'!$B$31+'Inputs'!$B$32)/1000+'Inputs'!$B$21+'Inputs'!$B$7+'Inputs'!$B$10))/SQRT((((802-43)*MAX('Inputs'!$B$33,'Inputs'!$B$29+'Inputs'!$B$31+'Inputs'!$B$32,'Inputs'!$B$30+'Inputs'!$B$31+'Inputs'!$B$32)/1000+'Inputs'!$B$21+'Inputs'!$B$7+'Inputs'!$B$10))^2+('Inputs'!$B$8/2)^2))))*'Results'!$B$8),"")</x:f>
        <x:v>0.9685054279956236</x:v>
      </x:c>
      <x:c r="K802" t="n">
        <x:f>IF(AND(ISNUMBER('Results'!B7),ISNUMBER('Results'!C7),ISNUMBER('Results'!$B$8),ISNUMBER('Inputs'!$B$6),ISNUMBER('Inputs'!$B$7),ISNUMBER('Inputs'!$B$8),ISNUMBER('Inputs'!$B$9),ISNUMBER('Inputs'!$B$10),ISNUMBER('Inputs'!$B$21),ISNUMBER('Inputs'!$B$24),ISNUMBER('Inputs'!$B$28)),((('Results'!B7*(1-'Inputs'!$B$24)*(0.5*((((802-43)*MAX('Inputs'!$B$33,'Inputs'!$B$29+'Inputs'!$B$31+'Inputs'!$B$32,'Inputs'!$B$30+'Inputs'!$B$31+'Inputs'!$B$32)/1000+'Inputs'!$B$21)+'Inputs'!$B$7)/SQRT((((802-43)*MAX('Inputs'!$B$33,'Inputs'!$B$29+'Inputs'!$B$31+'Inputs'!$B$32,'Inputs'!$B$30+'Inputs'!$B$31+'Inputs'!$B$32)/1000+'Inputs'!$B$21)+'Inputs'!$B$7)^2+('Inputs'!$B$6/2)^2)-(((802-43)*MAX('Inputs'!$B$33,'Inputs'!$B$29+'Inputs'!$B$31+'Inputs'!$B$32,'Inputs'!$B$30+'Inputs'!$B$31+'Inputs'!$B$32)/1000+'Inputs'!$B$21))/SQRT((((802-43)*MAX('Inputs'!$B$33,'Inputs'!$B$29+'Inputs'!$B$31+'Inputs'!$B$32,'Inputs'!$B$30+'Inputs'!$B$31+'Inputs'!$B$32)/1000+'Inputs'!$B$21))^2+('Inputs'!$B$6/2)^2)))-'Results'!C7*(1+'Inputs'!$B$24)*(0.5*((((802-43)*MAX('Inputs'!$B$33,'Inputs'!$B$29+'Inputs'!$B$31+'Inputs'!$B$32,'Inputs'!$B$30+'Inputs'!$B$31+'Inputs'!$B$32)/1000+'Inputs'!$B$21+'Inputs'!$B$7+'Inputs'!$B$10)+'Inputs'!$B$9)/SQRT((((802-43)*MAX('Inputs'!$B$33,'Inputs'!$B$29+'Inputs'!$B$31+'Inputs'!$B$32,'Inputs'!$B$30+'Inputs'!$B$31+'Inputs'!$B$32)/1000+'Inputs'!$B$21+'Inputs'!$B$7+'Inputs'!$B$10)+'Inputs'!$B$9)^2+('Inputs'!$B$8/2)^2)-(((802-43)*MAX('Inputs'!$B$33,'Inputs'!$B$29+'Inputs'!$B$31+'Inputs'!$B$32,'Inputs'!$B$30+'Inputs'!$B$31+'Inputs'!$B$32)/1000+'Inputs'!$B$21+'Inputs'!$B$7+'Inputs'!$B$10))/SQRT((((802-43)*MAX('Inputs'!$B$33,'Inputs'!$B$29+'Inputs'!$B$31+'Inputs'!$B$32,'Inputs'!$B$30+'Inputs'!$B$31+'Inputs'!$B$32)/1000+'Inputs'!$B$21+'Inputs'!$B$7+'Inputs'!$B$10))^2+('Inputs'!$B$8/2)^2))))*'Results'!$B$8)-'Inputs'!$B$28*ABS((('Results'!B7*(1-'Inputs'!$B$24)*(0.5*((((802-43)*MAX('Inputs'!$B$33,'Inputs'!$B$29+'Inputs'!$B$31+'Inputs'!$B$32,'Inputs'!$B$30+'Inputs'!$B$31+'Inputs'!$B$32)/1000+'Inputs'!$B$21)+'Inputs'!$B$7)/SQRT((((802-43)*MAX('Inputs'!$B$33,'Inputs'!$B$29+'Inputs'!$B$31+'Inputs'!$B$32,'Inputs'!$B$30+'Inputs'!$B$31+'Inputs'!$B$32)/1000+'Inputs'!$B$21)+'Inputs'!$B$7)^2+('Inputs'!$B$6/2)^2)-(((802-43)*MAX('Inputs'!$B$33,'Inputs'!$B$29+'Inputs'!$B$31+'Inputs'!$B$32,'Inputs'!$B$30+'Inputs'!$B$31+'Inputs'!$B$32)/1000+'Inputs'!$B$21))/SQRT((((802-43)*MAX('Inputs'!$B$33,'Inputs'!$B$29+'Inputs'!$B$31+'Inputs'!$B$32,'Inputs'!$B$30+'Inputs'!$B$31+'Inputs'!$B$32)/1000+'Inputs'!$B$21))^2+('Inputs'!$B$6/2)^2)))-'Results'!C7*(1+'Inputs'!$B$24)*(0.5*((((802-43)*MAX('Inputs'!$B$33,'Inputs'!$B$29+'Inputs'!$B$31+'Inputs'!$B$32,'Inputs'!$B$30+'Inputs'!$B$31+'Inputs'!$B$32)/1000+'Inputs'!$B$21+'Inputs'!$B$7+'Inputs'!$B$10)+'Inputs'!$B$9)/SQRT((((802-43)*MAX('Inputs'!$B$33,'Inputs'!$B$29+'Inputs'!$B$31+'Inputs'!$B$32,'Inputs'!$B$30+'Inputs'!$B$31+'Inputs'!$B$32)/1000+'Inputs'!$B$21+'Inputs'!$B$7+'Inputs'!$B$10)+'Inputs'!$B$9)^2+('Inputs'!$B$8/2)^2)-(((802-43)*MAX('Inputs'!$B$33,'Inputs'!$B$29+'Inputs'!$B$31+'Inputs'!$B$32,'Inputs'!$B$30+'Inputs'!$B$31+'Inputs'!$B$32)/1000+'Inputs'!$B$21+'Inputs'!$B$7+'Inputs'!$B$10))/SQRT((((802-43)*MAX('Inputs'!$B$33,'Inputs'!$B$29+'Inputs'!$B$31+'Inputs'!$B$32,'Inputs'!$B$30+'Inputs'!$B$31+'Inputs'!$B$32)/1000+'Inputs'!$B$21+'Inputs'!$B$7+'Inputs'!$B$10))^2+('Inputs'!$B$8/2)^2))))*'Results'!$B$8))),"")</x:f>
        <x:v>0.8329615752253384</x:v>
      </x:c>
      <x:c r="L802" t="n">
        <x:f>IF(AND(ISNUMBER('Results'!B7),ISNUMBER('Results'!C7),ISNUMBER('Results'!$B$8),ISNUMBER('Inputs'!$B$6),ISNUMBER('Inputs'!$B$7),ISNUMBER('Inputs'!$B$8),ISNUMBER('Inputs'!$B$9),ISNUMBER('Inputs'!$B$10),ISNUMBER('Inputs'!$B$21),ISNUMBER('Inputs'!$B$24),ISNUMBER('Inputs'!$B$28)),((('Results'!B7*(1+'Inputs'!$B$24)*(0.5*((((802-43)*MAX('Inputs'!$B$33,'Inputs'!$B$29+'Inputs'!$B$31+'Inputs'!$B$32,'Inputs'!$B$30+'Inputs'!$B$31+'Inputs'!$B$32)/1000+'Inputs'!$B$21)+'Inputs'!$B$7)/SQRT((((802-43)*MAX('Inputs'!$B$33,'Inputs'!$B$29+'Inputs'!$B$31+'Inputs'!$B$32,'Inputs'!$B$30+'Inputs'!$B$31+'Inputs'!$B$32)/1000+'Inputs'!$B$21)+'Inputs'!$B$7)^2+('Inputs'!$B$6/2)^2)-(((802-43)*MAX('Inputs'!$B$33,'Inputs'!$B$29+'Inputs'!$B$31+'Inputs'!$B$32,'Inputs'!$B$30+'Inputs'!$B$31+'Inputs'!$B$32)/1000+'Inputs'!$B$21))/SQRT((((802-43)*MAX('Inputs'!$B$33,'Inputs'!$B$29+'Inputs'!$B$31+'Inputs'!$B$32,'Inputs'!$B$30+'Inputs'!$B$31+'Inputs'!$B$32)/1000+'Inputs'!$B$21))^2+('Inputs'!$B$6/2)^2)))-'Results'!C7*(1-'Inputs'!$B$24)*(0.5*((((802-43)*MAX('Inputs'!$B$33,'Inputs'!$B$29+'Inputs'!$B$31+'Inputs'!$B$32,'Inputs'!$B$30+'Inputs'!$B$31+'Inputs'!$B$32)/1000+'Inputs'!$B$21+'Inputs'!$B$7+'Inputs'!$B$10)+'Inputs'!$B$9)/SQRT((((802-43)*MAX('Inputs'!$B$33,'Inputs'!$B$29+'Inputs'!$B$31+'Inputs'!$B$32,'Inputs'!$B$30+'Inputs'!$B$31+'Inputs'!$B$32)/1000+'Inputs'!$B$21+'Inputs'!$B$7+'Inputs'!$B$10)+'Inputs'!$B$9)^2+('Inputs'!$B$8/2)^2)-(((802-43)*MAX('Inputs'!$B$33,'Inputs'!$B$29+'Inputs'!$B$31+'Inputs'!$B$32,'Inputs'!$B$30+'Inputs'!$B$31+'Inputs'!$B$32)/1000+'Inputs'!$B$21+'Inputs'!$B$7+'Inputs'!$B$10))/SQRT((((802-43)*MAX('Inputs'!$B$33,'Inputs'!$B$29+'Inputs'!$B$31+'Inputs'!$B$32,'Inputs'!$B$30+'Inputs'!$B$31+'Inputs'!$B$32)/1000+'Inputs'!$B$21+'Inputs'!$B$7+'Inputs'!$B$10))^2+('Inputs'!$B$8/2)^2))))*'Results'!$B$8)+'Inputs'!$B$28*ABS((('Results'!B7*(1+'Inputs'!$B$24)*(0.5*((((802-43)*MAX('Inputs'!$B$33,'Inputs'!$B$29+'Inputs'!$B$31+'Inputs'!$B$32,'Inputs'!$B$30+'Inputs'!$B$31+'Inputs'!$B$32)/1000+'Inputs'!$B$21)+'Inputs'!$B$7)/SQRT((((802-43)*MAX('Inputs'!$B$33,'Inputs'!$B$29+'Inputs'!$B$31+'Inputs'!$B$32,'Inputs'!$B$30+'Inputs'!$B$31+'Inputs'!$B$32)/1000+'Inputs'!$B$21)+'Inputs'!$B$7)^2+('Inputs'!$B$6/2)^2)-(((802-43)*MAX('Inputs'!$B$33,'Inputs'!$B$29+'Inputs'!$B$31+'Inputs'!$B$32,'Inputs'!$B$30+'Inputs'!$B$31+'Inputs'!$B$32)/1000+'Inputs'!$B$21))/SQRT((((802-43)*MAX('Inputs'!$B$33,'Inputs'!$B$29+'Inputs'!$B$31+'Inputs'!$B$32,'Inputs'!$B$30+'Inputs'!$B$31+'Inputs'!$B$32)/1000+'Inputs'!$B$21))^2+('Inputs'!$B$6/2)^2)))-'Results'!C7*(1-'Inputs'!$B$24)*(0.5*((((802-43)*MAX('Inputs'!$B$33,'Inputs'!$B$29+'Inputs'!$B$31+'Inputs'!$B$32,'Inputs'!$B$30+'Inputs'!$B$31+'Inputs'!$B$32)/1000+'Inputs'!$B$21+'Inputs'!$B$7+'Inputs'!$B$10)+'Inputs'!$B$9)/SQRT((((802-43)*MAX('Inputs'!$B$33,'Inputs'!$B$29+'Inputs'!$B$31+'Inputs'!$B$32,'Inputs'!$B$30+'Inputs'!$B$31+'Inputs'!$B$32)/1000+'Inputs'!$B$21+'Inputs'!$B$7+'Inputs'!$B$10)+'Inputs'!$B$9)^2+('Inputs'!$B$8/2)^2)-(((802-43)*MAX('Inputs'!$B$33,'Inputs'!$B$29+'Inputs'!$B$31+'Inputs'!$B$32,'Inputs'!$B$30+'Inputs'!$B$31+'Inputs'!$B$32)/1000+'Inputs'!$B$21+'Inputs'!$B$7+'Inputs'!$B$10))/SQRT((((802-43)*MAX('Inputs'!$B$33,'Inputs'!$B$29+'Inputs'!$B$31+'Inputs'!$B$32,'Inputs'!$B$30+'Inputs'!$B$31+'Inputs'!$B$32)/1000+'Inputs'!$B$21+'Inputs'!$B$7+'Inputs'!$B$10))^2+('Inputs'!$B$8/2)^2))))*'Results'!$B$8))),"")</x:f>
        <x:v>1.113219657752278</x:v>
      </x:c>
      <x:c r="M802" t="n">
        <x:f>IF(AND(ISNUMBER('Results'!C7),ISNUMBER('Results'!B7),ISNUMBER('Results'!$B$8),ISNUMBER('Inputs'!$B$6),ISNUMBER('Inputs'!$B$7),ISNUMBER('Inputs'!$B$8),ISNUMBER('Inputs'!$B$9),ISNUMBER('Inputs'!$B$10),ISNUMBER('Inputs'!$B$21),ISNUMBER('Inputs'!$B$24),ISNUMBER('Inputs'!$B$28)),(('Results'!C7*(0.5*((((802-43)*MAX('Inputs'!$B$33,'Inputs'!$B$29+'Inputs'!$B$31+'Inputs'!$B$32,'Inputs'!$B$30+'Inputs'!$B$31+'Inputs'!$B$32)/1000+'Inputs'!$B$21)+'Inputs'!$B$9)/SQRT((((802-43)*MAX('Inputs'!$B$33,'Inputs'!$B$29+'Inputs'!$B$31+'Inputs'!$B$32,'Inputs'!$B$30+'Inputs'!$B$31+'Inputs'!$B$32)/1000+'Inputs'!$B$21)+'Inputs'!$B$9)^2+('Inputs'!$B$8/2)^2)-(((802-43)*MAX('Inputs'!$B$33,'Inputs'!$B$29+'Inputs'!$B$31+'Inputs'!$B$32,'Inputs'!$B$30+'Inputs'!$B$31+'Inputs'!$B$32)/1000+'Inputs'!$B$21))/SQRT((((802-43)*MAX('Inputs'!$B$33,'Inputs'!$B$29+'Inputs'!$B$31+'Inputs'!$B$32,'Inputs'!$B$30+'Inputs'!$B$31+'Inputs'!$B$32)/1000+'Inputs'!$B$21))^2+('Inputs'!$B$8/2)^2)))-'Results'!B7*(0.5*((((802-43)*MAX('Inputs'!$B$33,'Inputs'!$B$29+'Inputs'!$B$31+'Inputs'!$B$32,'Inputs'!$B$30+'Inputs'!$B$31+'Inputs'!$B$32)/1000+'Inputs'!$B$21+'Inputs'!$B$9+'Inputs'!$B$10)+'Inputs'!$B$7)/SQRT((((802-43)*MAX('Inputs'!$B$33,'Inputs'!$B$29+'Inputs'!$B$31+'Inputs'!$B$32,'Inputs'!$B$30+'Inputs'!$B$31+'Inputs'!$B$32)/1000+'Inputs'!$B$21+'Inputs'!$B$9+'Inputs'!$B$10)+'Inputs'!$B$7)^2+('Inputs'!$B$6/2)^2)-(((802-43)*MAX('Inputs'!$B$33,'Inputs'!$B$29+'Inputs'!$B$31+'Inputs'!$B$32,'Inputs'!$B$30+'Inputs'!$B$31+'Inputs'!$B$32)/1000+'Inputs'!$B$21+'Inputs'!$B$9+'Inputs'!$B$10))/SQRT((((802-43)*MAX('Inputs'!$B$33,'Inputs'!$B$29+'Inputs'!$B$31+'Inputs'!$B$32,'Inputs'!$B$30+'Inputs'!$B$31+'Inputs'!$B$32)/1000+'Inputs'!$B$21+'Inputs'!$B$9+'Inputs'!$B$10))^2+('Inputs'!$B$6/2)^2))))*'Results'!$B$8),"")</x:f>
        <x:v>0.8760635595472029</x:v>
      </x:c>
      <x:c r="N802" t="n">
        <x:f>IF(AND(ISNUMBER('Results'!C7),ISNUMBER('Results'!B7),ISNUMBER('Results'!$B$8),ISNUMBER('Inputs'!$B$6),ISNUMBER('Inputs'!$B$7),ISNUMBER('Inputs'!$B$8),ISNUMBER('Inputs'!$B$9),ISNUMBER('Inputs'!$B$10),ISNUMBER('Inputs'!$B$21),ISNUMBER('Inputs'!$B$24),ISNUMBER('Inputs'!$B$28)),((('Results'!C7*(1-'Inputs'!$B$24)*(0.5*((((802-43)*MAX('Inputs'!$B$33,'Inputs'!$B$29+'Inputs'!$B$31+'Inputs'!$B$32,'Inputs'!$B$30+'Inputs'!$B$31+'Inputs'!$B$32)/1000+'Inputs'!$B$21)+'Inputs'!$B$9)/SQRT((((802-43)*MAX('Inputs'!$B$33,'Inputs'!$B$29+'Inputs'!$B$31+'Inputs'!$B$32,'Inputs'!$B$30+'Inputs'!$B$31+'Inputs'!$B$32)/1000+'Inputs'!$B$21)+'Inputs'!$B$9)^2+('Inputs'!$B$8/2)^2)-(((802-43)*MAX('Inputs'!$B$33,'Inputs'!$B$29+'Inputs'!$B$31+'Inputs'!$B$32,'Inputs'!$B$30+'Inputs'!$B$31+'Inputs'!$B$32)/1000+'Inputs'!$B$21))/SQRT((((802-43)*MAX('Inputs'!$B$33,'Inputs'!$B$29+'Inputs'!$B$31+'Inputs'!$B$32,'Inputs'!$B$30+'Inputs'!$B$31+'Inputs'!$B$32)/1000+'Inputs'!$B$21))^2+('Inputs'!$B$8/2)^2)))-'Results'!B7*(1+'Inputs'!$B$24)*(0.5*((((802-43)*MAX('Inputs'!$B$33,'Inputs'!$B$29+'Inputs'!$B$31+'Inputs'!$B$32,'Inputs'!$B$30+'Inputs'!$B$31+'Inputs'!$B$32)/1000+'Inputs'!$B$21+'Inputs'!$B$9+'Inputs'!$B$10)+'Inputs'!$B$7)/SQRT((((802-43)*MAX('Inputs'!$B$33,'Inputs'!$B$29+'Inputs'!$B$31+'Inputs'!$B$32,'Inputs'!$B$30+'Inputs'!$B$31+'Inputs'!$B$32)/1000+'Inputs'!$B$21+'Inputs'!$B$9+'Inputs'!$B$10)+'Inputs'!$B$7)^2+('Inputs'!$B$6/2)^2)-(((802-43)*MAX('Inputs'!$B$33,'Inputs'!$B$29+'Inputs'!$B$31+'Inputs'!$B$32,'Inputs'!$B$30+'Inputs'!$B$31+'Inputs'!$B$32)/1000+'Inputs'!$B$21+'Inputs'!$B$9+'Inputs'!$B$10))/SQRT((((802-43)*MAX('Inputs'!$B$33,'Inputs'!$B$29+'Inputs'!$B$31+'Inputs'!$B$32,'Inputs'!$B$30+'Inputs'!$B$31+'Inputs'!$B$32)/1000+'Inputs'!$B$21+'Inputs'!$B$9+'Inputs'!$B$10))^2+('Inputs'!$B$6/2)^2))))*'Results'!$B$8)-'Inputs'!$B$28*ABS((('Results'!C7*(1-'Inputs'!$B$24)*(0.5*((((802-43)*MAX('Inputs'!$B$33,'Inputs'!$B$29+'Inputs'!$B$31+'Inputs'!$B$32,'Inputs'!$B$30+'Inputs'!$B$31+'Inputs'!$B$32)/1000+'Inputs'!$B$21)+'Inputs'!$B$9)/SQRT((((802-43)*MAX('Inputs'!$B$33,'Inputs'!$B$29+'Inputs'!$B$31+'Inputs'!$B$32,'Inputs'!$B$30+'Inputs'!$B$31+'Inputs'!$B$32)/1000+'Inputs'!$B$21)+'Inputs'!$B$9)^2+('Inputs'!$B$8/2)^2)-(((802-43)*MAX('Inputs'!$B$33,'Inputs'!$B$29+'Inputs'!$B$31+'Inputs'!$B$32,'Inputs'!$B$30+'Inputs'!$B$31+'Inputs'!$B$32)/1000+'Inputs'!$B$21))/SQRT((((802-43)*MAX('Inputs'!$B$33,'Inputs'!$B$29+'Inputs'!$B$31+'Inputs'!$B$32,'Inputs'!$B$30+'Inputs'!$B$31+'Inputs'!$B$32)/1000+'Inputs'!$B$21))^2+('Inputs'!$B$8/2)^2)))-'Results'!B7*(1+'Inputs'!$B$24)*(0.5*((((802-43)*MAX('Inputs'!$B$33,'Inputs'!$B$29+'Inputs'!$B$31+'Inputs'!$B$32,'Inputs'!$B$30+'Inputs'!$B$31+'Inputs'!$B$32)/1000+'Inputs'!$B$21+'Inputs'!$B$9+'Inputs'!$B$10)+'Inputs'!$B$7)/SQRT((((802-43)*MAX('Inputs'!$B$33,'Inputs'!$B$29+'Inputs'!$B$31+'Inputs'!$B$32,'Inputs'!$B$30+'Inputs'!$B$31+'Inputs'!$B$32)/1000+'Inputs'!$B$21+'Inputs'!$B$9+'Inputs'!$B$10)+'Inputs'!$B$7)^2+('Inputs'!$B$6/2)^2)-(((802-43)*MAX('Inputs'!$B$33,'Inputs'!$B$29+'Inputs'!$B$31+'Inputs'!$B$32,'Inputs'!$B$30+'Inputs'!$B$31+'Inputs'!$B$32)/1000+'Inputs'!$B$21+'Inputs'!$B$9+'Inputs'!$B$10))/SQRT((((802-43)*MAX('Inputs'!$B$33,'Inputs'!$B$29+'Inputs'!$B$31+'Inputs'!$B$32,'Inputs'!$B$30+'Inputs'!$B$31+'Inputs'!$B$32)/1000+'Inputs'!$B$21+'Inputs'!$B$9+'Inputs'!$B$10))^2+('Inputs'!$B$6/2)^2))))*'Results'!$B$8))),"")</x:f>
        <x:v>0.7454958083888674</x:v>
      </x:c>
      <x:c r="O802" t="n">
        <x:f>IF(AND(ISNUMBER('Results'!C7),ISNUMBER('Results'!B7),ISNUMBER('Results'!$B$8),ISNUMBER('Inputs'!$B$6),ISNUMBER('Inputs'!$B$7),ISNUMBER('Inputs'!$B$8),ISNUMBER('Inputs'!$B$9),ISNUMBER('Inputs'!$B$10),ISNUMBER('Inputs'!$B$21),ISNUMBER('Inputs'!$B$24),ISNUMBER('Inputs'!$B$28)),((('Results'!C7*(1+'Inputs'!$B$24)*(0.5*((((802-43)*MAX('Inputs'!$B$33,'Inputs'!$B$29+'Inputs'!$B$31+'Inputs'!$B$32,'Inputs'!$B$30+'Inputs'!$B$31+'Inputs'!$B$32)/1000+'Inputs'!$B$21)+'Inputs'!$B$9)/SQRT((((802-43)*MAX('Inputs'!$B$33,'Inputs'!$B$29+'Inputs'!$B$31+'Inputs'!$B$32,'Inputs'!$B$30+'Inputs'!$B$31+'Inputs'!$B$32)/1000+'Inputs'!$B$21)+'Inputs'!$B$9)^2+('Inputs'!$B$8/2)^2)-(((802-43)*MAX('Inputs'!$B$33,'Inputs'!$B$29+'Inputs'!$B$31+'Inputs'!$B$32,'Inputs'!$B$30+'Inputs'!$B$31+'Inputs'!$B$32)/1000+'Inputs'!$B$21))/SQRT((((802-43)*MAX('Inputs'!$B$33,'Inputs'!$B$29+'Inputs'!$B$31+'Inputs'!$B$32,'Inputs'!$B$30+'Inputs'!$B$31+'Inputs'!$B$32)/1000+'Inputs'!$B$21))^2+('Inputs'!$B$8/2)^2)))-'Results'!B7*(1-'Inputs'!$B$24)*(0.5*((((802-43)*MAX('Inputs'!$B$33,'Inputs'!$B$29+'Inputs'!$B$31+'Inputs'!$B$32,'Inputs'!$B$30+'Inputs'!$B$31+'Inputs'!$B$32)/1000+'Inputs'!$B$21+'Inputs'!$B$9+'Inputs'!$B$10)+'Inputs'!$B$7)/SQRT((((802-43)*MAX('Inputs'!$B$33,'Inputs'!$B$29+'Inputs'!$B$31+'Inputs'!$B$32,'Inputs'!$B$30+'Inputs'!$B$31+'Inputs'!$B$32)/1000+'Inputs'!$B$21+'Inputs'!$B$9+'Inputs'!$B$10)+'Inputs'!$B$7)^2+('Inputs'!$B$6/2)^2)-(((802-43)*MAX('Inputs'!$B$33,'Inputs'!$B$29+'Inputs'!$B$31+'Inputs'!$B$32,'Inputs'!$B$30+'Inputs'!$B$31+'Inputs'!$B$32)/1000+'Inputs'!$B$21+'Inputs'!$B$9+'Inputs'!$B$10))/SQRT((((802-43)*MAX('Inputs'!$B$33,'Inputs'!$B$29+'Inputs'!$B$31+'Inputs'!$B$32,'Inputs'!$B$30+'Inputs'!$B$31+'Inputs'!$B$32)/1000+'Inputs'!$B$21+'Inputs'!$B$9+'Inputs'!$B$10))^2+('Inputs'!$B$6/2)^2))))*'Results'!$B$8)+'Inputs'!$B$28*ABS((('Results'!C7*(1+'Inputs'!$B$24)*(0.5*((((802-43)*MAX('Inputs'!$B$33,'Inputs'!$B$29+'Inputs'!$B$31+'Inputs'!$B$32,'Inputs'!$B$30+'Inputs'!$B$31+'Inputs'!$B$32)/1000+'Inputs'!$B$21)+'Inputs'!$B$9)/SQRT((((802-43)*MAX('Inputs'!$B$33,'Inputs'!$B$29+'Inputs'!$B$31+'Inputs'!$B$32,'Inputs'!$B$30+'Inputs'!$B$31+'Inputs'!$B$32)/1000+'Inputs'!$B$21)+'Inputs'!$B$9)^2+('Inputs'!$B$8/2)^2)-(((802-43)*MAX('Inputs'!$B$33,'Inputs'!$B$29+'Inputs'!$B$31+'Inputs'!$B$32,'Inputs'!$B$30+'Inputs'!$B$31+'Inputs'!$B$32)/1000+'Inputs'!$B$21))/SQRT((((802-43)*MAX('Inputs'!$B$33,'Inputs'!$B$29+'Inputs'!$B$31+'Inputs'!$B$32,'Inputs'!$B$30+'Inputs'!$B$31+'Inputs'!$B$32)/1000+'Inputs'!$B$21))^2+('Inputs'!$B$8/2)^2)))-'Results'!B7*(1-'Inputs'!$B$24)*(0.5*((((802-43)*MAX('Inputs'!$B$33,'Inputs'!$B$29+'Inputs'!$B$31+'Inputs'!$B$32,'Inputs'!$B$30+'Inputs'!$B$31+'Inputs'!$B$32)/1000+'Inputs'!$B$21+'Inputs'!$B$9+'Inputs'!$B$10)+'Inputs'!$B$7)/SQRT((((802-43)*MAX('Inputs'!$B$33,'Inputs'!$B$29+'Inputs'!$B$31+'Inputs'!$B$32,'Inputs'!$B$30+'Inputs'!$B$31+'Inputs'!$B$32)/1000+'Inputs'!$B$21+'Inputs'!$B$9+'Inputs'!$B$10)+'Inputs'!$B$7)^2+('Inputs'!$B$6/2)^2)-(((802-43)*MAX('Inputs'!$B$33,'Inputs'!$B$29+'Inputs'!$B$31+'Inputs'!$B$32,'Inputs'!$B$30+'Inputs'!$B$31+'Inputs'!$B$32)/1000+'Inputs'!$B$21+'Inputs'!$B$9+'Inputs'!$B$10))/SQRT((((802-43)*MAX('Inputs'!$B$33,'Inputs'!$B$29+'Inputs'!$B$31+'Inputs'!$B$32,'Inputs'!$B$30+'Inputs'!$B$31+'Inputs'!$B$32)/1000+'Inputs'!$B$21+'Inputs'!$B$9+'Inputs'!$B$10))^2+('Inputs'!$B$6/2)^2))))*'Results'!$B$8))),"")</x:f>
        <x:v>1.0157644236719576</x:v>
      </x:c>
      <x:c r="P802" t="n">
        <x:f>IF(AND(MAX(J802,J801)&gt;0,J802&gt;J801+0.00000001),1,0)</x:f>
        <x:v>0</x:v>
      </x:c>
      <x:c r="Q802" t="n">
        <x:f>IF(AND(MAX(K802,K801)&gt;0,K802&gt;K801+0.00000001),1,0)</x:f>
        <x:v>0</x:v>
      </x:c>
      <x:c r="R802" t="n">
        <x:f>IF(AND(MAX(L802,L801)&gt;0,L802&gt;L801+0.00000001),1,0)</x:f>
        <x:v>0</x:v>
      </x:c>
      <x:c r="S802" t="n">
        <x:f>IF(AND(MAX(M802,M801)&gt;0,M802&gt;M801+0.00000001),1,0)</x:f>
        <x:v>0</x:v>
      </x:c>
      <x:c r="T802" t="n">
        <x:f>IF(AND(MAX(N802,N801)&gt;0,N802&gt;N801+0.00000001),1,0)</x:f>
        <x:v>0</x:v>
      </x:c>
      <x:c r="U802" t="n">
        <x:f>IF(AND(MAX(O802,O801)&gt;0,O802&gt;O801+0.00000001),1,0)</x:f>
        <x:v>0</x:v>
      </x:c>
    </x:row>
    <x:row r="803">
      <x:c r="J803" t="n">
        <x:f>IF(AND(ISNUMBER('Results'!B7),ISNUMBER('Results'!C7),ISNUMBER('Results'!$B$8),ISNUMBER('Inputs'!$B$6),ISNUMBER('Inputs'!$B$7),ISNUMBER('Inputs'!$B$8),ISNUMBER('Inputs'!$B$9),ISNUMBER('Inputs'!$B$10),ISNUMBER('Inputs'!$B$21),ISNUMBER('Inputs'!$B$24),ISNUMBER('Inputs'!$B$28)),(('Results'!B7*(0.5*((((803-43)*MAX('Inputs'!$B$33,'Inputs'!$B$29+'Inputs'!$B$31+'Inputs'!$B$32,'Inputs'!$B$30+'Inputs'!$B$31+'Inputs'!$B$32)/1000+'Inputs'!$B$21)+'Inputs'!$B$7)/SQRT((((803-43)*MAX('Inputs'!$B$33,'Inputs'!$B$29+'Inputs'!$B$31+'Inputs'!$B$32,'Inputs'!$B$30+'Inputs'!$B$31+'Inputs'!$B$32)/1000+'Inputs'!$B$21)+'Inputs'!$B$7)^2+('Inputs'!$B$6/2)^2)-(((803-43)*MAX('Inputs'!$B$33,'Inputs'!$B$29+'Inputs'!$B$31+'Inputs'!$B$32,'Inputs'!$B$30+'Inputs'!$B$31+'Inputs'!$B$32)/1000+'Inputs'!$B$21))/SQRT((((803-43)*MAX('Inputs'!$B$33,'Inputs'!$B$29+'Inputs'!$B$31+'Inputs'!$B$32,'Inputs'!$B$30+'Inputs'!$B$31+'Inputs'!$B$32)/1000+'Inputs'!$B$21))^2+('Inputs'!$B$6/2)^2)))-'Results'!C7*(0.5*((((803-43)*MAX('Inputs'!$B$33,'Inputs'!$B$29+'Inputs'!$B$31+'Inputs'!$B$32,'Inputs'!$B$30+'Inputs'!$B$31+'Inputs'!$B$32)/1000+'Inputs'!$B$21+'Inputs'!$B$7+'Inputs'!$B$10)+'Inputs'!$B$9)/SQRT((((803-43)*MAX('Inputs'!$B$33,'Inputs'!$B$29+'Inputs'!$B$31+'Inputs'!$B$32,'Inputs'!$B$30+'Inputs'!$B$31+'Inputs'!$B$32)/1000+'Inputs'!$B$21+'Inputs'!$B$7+'Inputs'!$B$10)+'Inputs'!$B$9)^2+('Inputs'!$B$8/2)^2)-(((803-43)*MAX('Inputs'!$B$33,'Inputs'!$B$29+'Inputs'!$B$31+'Inputs'!$B$32,'Inputs'!$B$30+'Inputs'!$B$31+'Inputs'!$B$32)/1000+'Inputs'!$B$21+'Inputs'!$B$7+'Inputs'!$B$10))/SQRT((((803-43)*MAX('Inputs'!$B$33,'Inputs'!$B$29+'Inputs'!$B$31+'Inputs'!$B$32,'Inputs'!$B$30+'Inputs'!$B$31+'Inputs'!$B$32)/1000+'Inputs'!$B$21+'Inputs'!$B$7+'Inputs'!$B$10))^2+('Inputs'!$B$8/2)^2))))*'Results'!$B$8),"")</x:f>
        <x:v>0.9639517477776849</x:v>
      </x:c>
      <x:c r="K803" t="n">
        <x:f>IF(AND(ISNUMBER('Results'!B7),ISNUMBER('Results'!C7),ISNUMBER('Results'!$B$8),ISNUMBER('Inputs'!$B$6),ISNUMBER('Inputs'!$B$7),ISNUMBER('Inputs'!$B$8),ISNUMBER('Inputs'!$B$9),ISNUMBER('Inputs'!$B$10),ISNUMBER('Inputs'!$B$21),ISNUMBER('Inputs'!$B$24),ISNUMBER('Inputs'!$B$28)),((('Results'!B7*(1-'Inputs'!$B$24)*(0.5*((((803-43)*MAX('Inputs'!$B$33,'Inputs'!$B$29+'Inputs'!$B$31+'Inputs'!$B$32,'Inputs'!$B$30+'Inputs'!$B$31+'Inputs'!$B$32)/1000+'Inputs'!$B$21)+'Inputs'!$B$7)/SQRT((((803-43)*MAX('Inputs'!$B$33,'Inputs'!$B$29+'Inputs'!$B$31+'Inputs'!$B$32,'Inputs'!$B$30+'Inputs'!$B$31+'Inputs'!$B$32)/1000+'Inputs'!$B$21)+'Inputs'!$B$7)^2+('Inputs'!$B$6/2)^2)-(((803-43)*MAX('Inputs'!$B$33,'Inputs'!$B$29+'Inputs'!$B$31+'Inputs'!$B$32,'Inputs'!$B$30+'Inputs'!$B$31+'Inputs'!$B$32)/1000+'Inputs'!$B$21))/SQRT((((803-43)*MAX('Inputs'!$B$33,'Inputs'!$B$29+'Inputs'!$B$31+'Inputs'!$B$32,'Inputs'!$B$30+'Inputs'!$B$31+'Inputs'!$B$32)/1000+'Inputs'!$B$21))^2+('Inputs'!$B$6/2)^2)))-'Results'!C7*(1+'Inputs'!$B$24)*(0.5*((((803-43)*MAX('Inputs'!$B$33,'Inputs'!$B$29+'Inputs'!$B$31+'Inputs'!$B$32,'Inputs'!$B$30+'Inputs'!$B$31+'Inputs'!$B$32)/1000+'Inputs'!$B$21+'Inputs'!$B$7+'Inputs'!$B$10)+'Inputs'!$B$9)/SQRT((((803-43)*MAX('Inputs'!$B$33,'Inputs'!$B$29+'Inputs'!$B$31+'Inputs'!$B$32,'Inputs'!$B$30+'Inputs'!$B$31+'Inputs'!$B$32)/1000+'Inputs'!$B$21+'Inputs'!$B$7+'Inputs'!$B$10)+'Inputs'!$B$9)^2+('Inputs'!$B$8/2)^2)-(((803-43)*MAX('Inputs'!$B$33,'Inputs'!$B$29+'Inputs'!$B$31+'Inputs'!$B$32,'Inputs'!$B$30+'Inputs'!$B$31+'Inputs'!$B$32)/1000+'Inputs'!$B$21+'Inputs'!$B$7+'Inputs'!$B$10))/SQRT((((803-43)*MAX('Inputs'!$B$33,'Inputs'!$B$29+'Inputs'!$B$31+'Inputs'!$B$32,'Inputs'!$B$30+'Inputs'!$B$31+'Inputs'!$B$32)/1000+'Inputs'!$B$21+'Inputs'!$B$7+'Inputs'!$B$10))^2+('Inputs'!$B$8/2)^2))))*'Results'!$B$8)-'Inputs'!$B$28*ABS((('Results'!B7*(1-'Inputs'!$B$24)*(0.5*((((803-43)*MAX('Inputs'!$B$33,'Inputs'!$B$29+'Inputs'!$B$31+'Inputs'!$B$32,'Inputs'!$B$30+'Inputs'!$B$31+'Inputs'!$B$32)/1000+'Inputs'!$B$21)+'Inputs'!$B$7)/SQRT((((803-43)*MAX('Inputs'!$B$33,'Inputs'!$B$29+'Inputs'!$B$31+'Inputs'!$B$32,'Inputs'!$B$30+'Inputs'!$B$31+'Inputs'!$B$32)/1000+'Inputs'!$B$21)+'Inputs'!$B$7)^2+('Inputs'!$B$6/2)^2)-(((803-43)*MAX('Inputs'!$B$33,'Inputs'!$B$29+'Inputs'!$B$31+'Inputs'!$B$32,'Inputs'!$B$30+'Inputs'!$B$31+'Inputs'!$B$32)/1000+'Inputs'!$B$21))/SQRT((((803-43)*MAX('Inputs'!$B$33,'Inputs'!$B$29+'Inputs'!$B$31+'Inputs'!$B$32,'Inputs'!$B$30+'Inputs'!$B$31+'Inputs'!$B$32)/1000+'Inputs'!$B$21))^2+('Inputs'!$B$6/2)^2)))-'Results'!C7*(1+'Inputs'!$B$24)*(0.5*((((803-43)*MAX('Inputs'!$B$33,'Inputs'!$B$29+'Inputs'!$B$31+'Inputs'!$B$32,'Inputs'!$B$30+'Inputs'!$B$31+'Inputs'!$B$32)/1000+'Inputs'!$B$21+'Inputs'!$B$7+'Inputs'!$B$10)+'Inputs'!$B$9)/SQRT((((803-43)*MAX('Inputs'!$B$33,'Inputs'!$B$29+'Inputs'!$B$31+'Inputs'!$B$32,'Inputs'!$B$30+'Inputs'!$B$31+'Inputs'!$B$32)/1000+'Inputs'!$B$21+'Inputs'!$B$7+'Inputs'!$B$10)+'Inputs'!$B$9)^2+('Inputs'!$B$8/2)^2)-(((803-43)*MAX('Inputs'!$B$33,'Inputs'!$B$29+'Inputs'!$B$31+'Inputs'!$B$32,'Inputs'!$B$30+'Inputs'!$B$31+'Inputs'!$B$32)/1000+'Inputs'!$B$21+'Inputs'!$B$7+'Inputs'!$B$10))/SQRT((((803-43)*MAX('Inputs'!$B$33,'Inputs'!$B$29+'Inputs'!$B$31+'Inputs'!$B$32,'Inputs'!$B$30+'Inputs'!$B$31+'Inputs'!$B$32)/1000+'Inputs'!$B$21+'Inputs'!$B$7+'Inputs'!$B$10))^2+('Inputs'!$B$8/2)^2))))*'Results'!$B$8))),"")</x:f>
        <x:v>0.8289506467688612</x:v>
      </x:c>
      <x:c r="L803" t="n">
        <x:f>IF(AND(ISNUMBER('Results'!B7),ISNUMBER('Results'!C7),ISNUMBER('Results'!$B$8),ISNUMBER('Inputs'!$B$6),ISNUMBER('Inputs'!$B$7),ISNUMBER('Inputs'!$B$8),ISNUMBER('Inputs'!$B$9),ISNUMBER('Inputs'!$B$10),ISNUMBER('Inputs'!$B$21),ISNUMBER('Inputs'!$B$24),ISNUMBER('Inputs'!$B$28)),((('Results'!B7*(1+'Inputs'!$B$24)*(0.5*((((803-43)*MAX('Inputs'!$B$33,'Inputs'!$B$29+'Inputs'!$B$31+'Inputs'!$B$32,'Inputs'!$B$30+'Inputs'!$B$31+'Inputs'!$B$32)/1000+'Inputs'!$B$21)+'Inputs'!$B$7)/SQRT((((803-43)*MAX('Inputs'!$B$33,'Inputs'!$B$29+'Inputs'!$B$31+'Inputs'!$B$32,'Inputs'!$B$30+'Inputs'!$B$31+'Inputs'!$B$32)/1000+'Inputs'!$B$21)+'Inputs'!$B$7)^2+('Inputs'!$B$6/2)^2)-(((803-43)*MAX('Inputs'!$B$33,'Inputs'!$B$29+'Inputs'!$B$31+'Inputs'!$B$32,'Inputs'!$B$30+'Inputs'!$B$31+'Inputs'!$B$32)/1000+'Inputs'!$B$21))/SQRT((((803-43)*MAX('Inputs'!$B$33,'Inputs'!$B$29+'Inputs'!$B$31+'Inputs'!$B$32,'Inputs'!$B$30+'Inputs'!$B$31+'Inputs'!$B$32)/1000+'Inputs'!$B$21))^2+('Inputs'!$B$6/2)^2)))-'Results'!C7*(1-'Inputs'!$B$24)*(0.5*((((803-43)*MAX('Inputs'!$B$33,'Inputs'!$B$29+'Inputs'!$B$31+'Inputs'!$B$32,'Inputs'!$B$30+'Inputs'!$B$31+'Inputs'!$B$32)/1000+'Inputs'!$B$21+'Inputs'!$B$7+'Inputs'!$B$10)+'Inputs'!$B$9)/SQRT((((803-43)*MAX('Inputs'!$B$33,'Inputs'!$B$29+'Inputs'!$B$31+'Inputs'!$B$32,'Inputs'!$B$30+'Inputs'!$B$31+'Inputs'!$B$32)/1000+'Inputs'!$B$21+'Inputs'!$B$7+'Inputs'!$B$10)+'Inputs'!$B$9)^2+('Inputs'!$B$8/2)^2)-(((803-43)*MAX('Inputs'!$B$33,'Inputs'!$B$29+'Inputs'!$B$31+'Inputs'!$B$32,'Inputs'!$B$30+'Inputs'!$B$31+'Inputs'!$B$32)/1000+'Inputs'!$B$21+'Inputs'!$B$7+'Inputs'!$B$10))/SQRT((((803-43)*MAX('Inputs'!$B$33,'Inputs'!$B$29+'Inputs'!$B$31+'Inputs'!$B$32,'Inputs'!$B$30+'Inputs'!$B$31+'Inputs'!$B$32)/1000+'Inputs'!$B$21+'Inputs'!$B$7+'Inputs'!$B$10))^2+('Inputs'!$B$8/2)^2))))*'Results'!$B$8)+'Inputs'!$B$28*ABS((('Results'!B7*(1+'Inputs'!$B$24)*(0.5*((((803-43)*MAX('Inputs'!$B$33,'Inputs'!$B$29+'Inputs'!$B$31+'Inputs'!$B$32,'Inputs'!$B$30+'Inputs'!$B$31+'Inputs'!$B$32)/1000+'Inputs'!$B$21)+'Inputs'!$B$7)/SQRT((((803-43)*MAX('Inputs'!$B$33,'Inputs'!$B$29+'Inputs'!$B$31+'Inputs'!$B$32,'Inputs'!$B$30+'Inputs'!$B$31+'Inputs'!$B$32)/1000+'Inputs'!$B$21)+'Inputs'!$B$7)^2+('Inputs'!$B$6/2)^2)-(((803-43)*MAX('Inputs'!$B$33,'Inputs'!$B$29+'Inputs'!$B$31+'Inputs'!$B$32,'Inputs'!$B$30+'Inputs'!$B$31+'Inputs'!$B$32)/1000+'Inputs'!$B$21))/SQRT((((803-43)*MAX('Inputs'!$B$33,'Inputs'!$B$29+'Inputs'!$B$31+'Inputs'!$B$32,'Inputs'!$B$30+'Inputs'!$B$31+'Inputs'!$B$32)/1000+'Inputs'!$B$21))^2+('Inputs'!$B$6/2)^2)))-'Results'!C7*(1-'Inputs'!$B$24)*(0.5*((((803-43)*MAX('Inputs'!$B$33,'Inputs'!$B$29+'Inputs'!$B$31+'Inputs'!$B$32,'Inputs'!$B$30+'Inputs'!$B$31+'Inputs'!$B$32)/1000+'Inputs'!$B$21+'Inputs'!$B$7+'Inputs'!$B$10)+'Inputs'!$B$9)/SQRT((((803-43)*MAX('Inputs'!$B$33,'Inputs'!$B$29+'Inputs'!$B$31+'Inputs'!$B$32,'Inputs'!$B$30+'Inputs'!$B$31+'Inputs'!$B$32)/1000+'Inputs'!$B$21+'Inputs'!$B$7+'Inputs'!$B$10)+'Inputs'!$B$9)^2+('Inputs'!$B$8/2)^2)-(((803-43)*MAX('Inputs'!$B$33,'Inputs'!$B$29+'Inputs'!$B$31+'Inputs'!$B$32,'Inputs'!$B$30+'Inputs'!$B$31+'Inputs'!$B$32)/1000+'Inputs'!$B$21+'Inputs'!$B$7+'Inputs'!$B$10))/SQRT((((803-43)*MAX('Inputs'!$B$33,'Inputs'!$B$29+'Inputs'!$B$31+'Inputs'!$B$32,'Inputs'!$B$30+'Inputs'!$B$31+'Inputs'!$B$32)/1000+'Inputs'!$B$21+'Inputs'!$B$7+'Inputs'!$B$10))^2+('Inputs'!$B$8/2)^2))))*'Results'!$B$8))),"")</x:f>
        <x:v>1.1080900607465027</x:v>
      </x:c>
      <x:c r="M803" t="n">
        <x:f>IF(AND(ISNUMBER('Results'!C7),ISNUMBER('Results'!B7),ISNUMBER('Results'!$B$8),ISNUMBER('Inputs'!$B$6),ISNUMBER('Inputs'!$B$7),ISNUMBER('Inputs'!$B$8),ISNUMBER('Inputs'!$B$9),ISNUMBER('Inputs'!$B$10),ISNUMBER('Inputs'!$B$21),ISNUMBER('Inputs'!$B$24),ISNUMBER('Inputs'!$B$28)),(('Results'!C7*(0.5*((((803-43)*MAX('Inputs'!$B$33,'Inputs'!$B$29+'Inputs'!$B$31+'Inputs'!$B$32,'Inputs'!$B$30+'Inputs'!$B$31+'Inputs'!$B$32)/1000+'Inputs'!$B$21)+'Inputs'!$B$9)/SQRT((((803-43)*MAX('Inputs'!$B$33,'Inputs'!$B$29+'Inputs'!$B$31+'Inputs'!$B$32,'Inputs'!$B$30+'Inputs'!$B$31+'Inputs'!$B$32)/1000+'Inputs'!$B$21)+'Inputs'!$B$9)^2+('Inputs'!$B$8/2)^2)-(((803-43)*MAX('Inputs'!$B$33,'Inputs'!$B$29+'Inputs'!$B$31+'Inputs'!$B$32,'Inputs'!$B$30+'Inputs'!$B$31+'Inputs'!$B$32)/1000+'Inputs'!$B$21))/SQRT((((803-43)*MAX('Inputs'!$B$33,'Inputs'!$B$29+'Inputs'!$B$31+'Inputs'!$B$32,'Inputs'!$B$30+'Inputs'!$B$31+'Inputs'!$B$32)/1000+'Inputs'!$B$21))^2+('Inputs'!$B$8/2)^2)))-'Results'!B7*(0.5*((((803-43)*MAX('Inputs'!$B$33,'Inputs'!$B$29+'Inputs'!$B$31+'Inputs'!$B$32,'Inputs'!$B$30+'Inputs'!$B$31+'Inputs'!$B$32)/1000+'Inputs'!$B$21+'Inputs'!$B$9+'Inputs'!$B$10)+'Inputs'!$B$7)/SQRT((((803-43)*MAX('Inputs'!$B$33,'Inputs'!$B$29+'Inputs'!$B$31+'Inputs'!$B$32,'Inputs'!$B$30+'Inputs'!$B$31+'Inputs'!$B$32)/1000+'Inputs'!$B$21+'Inputs'!$B$9+'Inputs'!$B$10)+'Inputs'!$B$7)^2+('Inputs'!$B$6/2)^2)-(((803-43)*MAX('Inputs'!$B$33,'Inputs'!$B$29+'Inputs'!$B$31+'Inputs'!$B$32,'Inputs'!$B$30+'Inputs'!$B$31+'Inputs'!$B$32)/1000+'Inputs'!$B$21+'Inputs'!$B$9+'Inputs'!$B$10))/SQRT((((803-43)*MAX('Inputs'!$B$33,'Inputs'!$B$29+'Inputs'!$B$31+'Inputs'!$B$32,'Inputs'!$B$30+'Inputs'!$B$31+'Inputs'!$B$32)/1000+'Inputs'!$B$21+'Inputs'!$B$9+'Inputs'!$B$10))^2+('Inputs'!$B$6/2)^2))))*'Results'!$B$8),"")</x:f>
        <x:v>0.8718439844568879</x:v>
      </x:c>
      <x:c r="N803" t="n">
        <x:f>IF(AND(ISNUMBER('Results'!C7),ISNUMBER('Results'!B7),ISNUMBER('Results'!$B$8),ISNUMBER('Inputs'!$B$6),ISNUMBER('Inputs'!$B$7),ISNUMBER('Inputs'!$B$8),ISNUMBER('Inputs'!$B$9),ISNUMBER('Inputs'!$B$10),ISNUMBER('Inputs'!$B$21),ISNUMBER('Inputs'!$B$24),ISNUMBER('Inputs'!$B$28)),((('Results'!C7*(1-'Inputs'!$B$24)*(0.5*((((803-43)*MAX('Inputs'!$B$33,'Inputs'!$B$29+'Inputs'!$B$31+'Inputs'!$B$32,'Inputs'!$B$30+'Inputs'!$B$31+'Inputs'!$B$32)/1000+'Inputs'!$B$21)+'Inputs'!$B$9)/SQRT((((803-43)*MAX('Inputs'!$B$33,'Inputs'!$B$29+'Inputs'!$B$31+'Inputs'!$B$32,'Inputs'!$B$30+'Inputs'!$B$31+'Inputs'!$B$32)/1000+'Inputs'!$B$21)+'Inputs'!$B$9)^2+('Inputs'!$B$8/2)^2)-(((803-43)*MAX('Inputs'!$B$33,'Inputs'!$B$29+'Inputs'!$B$31+'Inputs'!$B$32,'Inputs'!$B$30+'Inputs'!$B$31+'Inputs'!$B$32)/1000+'Inputs'!$B$21))/SQRT((((803-43)*MAX('Inputs'!$B$33,'Inputs'!$B$29+'Inputs'!$B$31+'Inputs'!$B$32,'Inputs'!$B$30+'Inputs'!$B$31+'Inputs'!$B$32)/1000+'Inputs'!$B$21))^2+('Inputs'!$B$8/2)^2)))-'Results'!B7*(1+'Inputs'!$B$24)*(0.5*((((803-43)*MAX('Inputs'!$B$33,'Inputs'!$B$29+'Inputs'!$B$31+'Inputs'!$B$32,'Inputs'!$B$30+'Inputs'!$B$31+'Inputs'!$B$32)/1000+'Inputs'!$B$21+'Inputs'!$B$9+'Inputs'!$B$10)+'Inputs'!$B$7)/SQRT((((803-43)*MAX('Inputs'!$B$33,'Inputs'!$B$29+'Inputs'!$B$31+'Inputs'!$B$32,'Inputs'!$B$30+'Inputs'!$B$31+'Inputs'!$B$32)/1000+'Inputs'!$B$21+'Inputs'!$B$9+'Inputs'!$B$10)+'Inputs'!$B$7)^2+('Inputs'!$B$6/2)^2)-(((803-43)*MAX('Inputs'!$B$33,'Inputs'!$B$29+'Inputs'!$B$31+'Inputs'!$B$32,'Inputs'!$B$30+'Inputs'!$B$31+'Inputs'!$B$32)/1000+'Inputs'!$B$21+'Inputs'!$B$9+'Inputs'!$B$10))/SQRT((((803-43)*MAX('Inputs'!$B$33,'Inputs'!$B$29+'Inputs'!$B$31+'Inputs'!$B$32,'Inputs'!$B$30+'Inputs'!$B$31+'Inputs'!$B$32)/1000+'Inputs'!$B$21+'Inputs'!$B$9+'Inputs'!$B$10))^2+('Inputs'!$B$6/2)^2))))*'Results'!$B$8)-'Inputs'!$B$28*ABS((('Results'!C7*(1-'Inputs'!$B$24)*(0.5*((((803-43)*MAX('Inputs'!$B$33,'Inputs'!$B$29+'Inputs'!$B$31+'Inputs'!$B$32,'Inputs'!$B$30+'Inputs'!$B$31+'Inputs'!$B$32)/1000+'Inputs'!$B$21)+'Inputs'!$B$9)/SQRT((((803-43)*MAX('Inputs'!$B$33,'Inputs'!$B$29+'Inputs'!$B$31+'Inputs'!$B$32,'Inputs'!$B$30+'Inputs'!$B$31+'Inputs'!$B$32)/1000+'Inputs'!$B$21)+'Inputs'!$B$9)^2+('Inputs'!$B$8/2)^2)-(((803-43)*MAX('Inputs'!$B$33,'Inputs'!$B$29+'Inputs'!$B$31+'Inputs'!$B$32,'Inputs'!$B$30+'Inputs'!$B$31+'Inputs'!$B$32)/1000+'Inputs'!$B$21))/SQRT((((803-43)*MAX('Inputs'!$B$33,'Inputs'!$B$29+'Inputs'!$B$31+'Inputs'!$B$32,'Inputs'!$B$30+'Inputs'!$B$31+'Inputs'!$B$32)/1000+'Inputs'!$B$21))^2+('Inputs'!$B$8/2)^2)))-'Results'!B7*(1+'Inputs'!$B$24)*(0.5*((((803-43)*MAX('Inputs'!$B$33,'Inputs'!$B$29+'Inputs'!$B$31+'Inputs'!$B$32,'Inputs'!$B$30+'Inputs'!$B$31+'Inputs'!$B$32)/1000+'Inputs'!$B$21+'Inputs'!$B$9+'Inputs'!$B$10)+'Inputs'!$B$7)/SQRT((((803-43)*MAX('Inputs'!$B$33,'Inputs'!$B$29+'Inputs'!$B$31+'Inputs'!$B$32,'Inputs'!$B$30+'Inputs'!$B$31+'Inputs'!$B$32)/1000+'Inputs'!$B$21+'Inputs'!$B$9+'Inputs'!$B$10)+'Inputs'!$B$7)^2+('Inputs'!$B$6/2)^2)-(((803-43)*MAX('Inputs'!$B$33,'Inputs'!$B$29+'Inputs'!$B$31+'Inputs'!$B$32,'Inputs'!$B$30+'Inputs'!$B$31+'Inputs'!$B$32)/1000+'Inputs'!$B$21+'Inputs'!$B$9+'Inputs'!$B$10))/SQRT((((803-43)*MAX('Inputs'!$B$33,'Inputs'!$B$29+'Inputs'!$B$31+'Inputs'!$B$32,'Inputs'!$B$30+'Inputs'!$B$31+'Inputs'!$B$32)/1000+'Inputs'!$B$21+'Inputs'!$B$9+'Inputs'!$B$10))^2+('Inputs'!$B$6/2)^2))))*'Results'!$B$8))),"")</x:f>
        <x:v>0.7418005960475627</x:v>
      </x:c>
      <x:c r="O803" t="n">
        <x:f>IF(AND(ISNUMBER('Results'!C7),ISNUMBER('Results'!B7),ISNUMBER('Results'!$B$8),ISNUMBER('Inputs'!$B$6),ISNUMBER('Inputs'!$B$7),ISNUMBER('Inputs'!$B$8),ISNUMBER('Inputs'!$B$9),ISNUMBER('Inputs'!$B$10),ISNUMBER('Inputs'!$B$21),ISNUMBER('Inputs'!$B$24),ISNUMBER('Inputs'!$B$28)),((('Results'!C7*(1+'Inputs'!$B$24)*(0.5*((((803-43)*MAX('Inputs'!$B$33,'Inputs'!$B$29+'Inputs'!$B$31+'Inputs'!$B$32,'Inputs'!$B$30+'Inputs'!$B$31+'Inputs'!$B$32)/1000+'Inputs'!$B$21)+'Inputs'!$B$9)/SQRT((((803-43)*MAX('Inputs'!$B$33,'Inputs'!$B$29+'Inputs'!$B$31+'Inputs'!$B$32,'Inputs'!$B$30+'Inputs'!$B$31+'Inputs'!$B$32)/1000+'Inputs'!$B$21)+'Inputs'!$B$9)^2+('Inputs'!$B$8/2)^2)-(((803-43)*MAX('Inputs'!$B$33,'Inputs'!$B$29+'Inputs'!$B$31+'Inputs'!$B$32,'Inputs'!$B$30+'Inputs'!$B$31+'Inputs'!$B$32)/1000+'Inputs'!$B$21))/SQRT((((803-43)*MAX('Inputs'!$B$33,'Inputs'!$B$29+'Inputs'!$B$31+'Inputs'!$B$32,'Inputs'!$B$30+'Inputs'!$B$31+'Inputs'!$B$32)/1000+'Inputs'!$B$21))^2+('Inputs'!$B$8/2)^2)))-'Results'!B7*(1-'Inputs'!$B$24)*(0.5*((((803-43)*MAX('Inputs'!$B$33,'Inputs'!$B$29+'Inputs'!$B$31+'Inputs'!$B$32,'Inputs'!$B$30+'Inputs'!$B$31+'Inputs'!$B$32)/1000+'Inputs'!$B$21+'Inputs'!$B$9+'Inputs'!$B$10)+'Inputs'!$B$7)/SQRT((((803-43)*MAX('Inputs'!$B$33,'Inputs'!$B$29+'Inputs'!$B$31+'Inputs'!$B$32,'Inputs'!$B$30+'Inputs'!$B$31+'Inputs'!$B$32)/1000+'Inputs'!$B$21+'Inputs'!$B$9+'Inputs'!$B$10)+'Inputs'!$B$7)^2+('Inputs'!$B$6/2)^2)-(((803-43)*MAX('Inputs'!$B$33,'Inputs'!$B$29+'Inputs'!$B$31+'Inputs'!$B$32,'Inputs'!$B$30+'Inputs'!$B$31+'Inputs'!$B$32)/1000+'Inputs'!$B$21+'Inputs'!$B$9+'Inputs'!$B$10))/SQRT((((803-43)*MAX('Inputs'!$B$33,'Inputs'!$B$29+'Inputs'!$B$31+'Inputs'!$B$32,'Inputs'!$B$30+'Inputs'!$B$31+'Inputs'!$B$32)/1000+'Inputs'!$B$21+'Inputs'!$B$9+'Inputs'!$B$10))^2+('Inputs'!$B$6/2)^2))))*'Results'!$B$8)+'Inputs'!$B$28*ABS((('Results'!C7*(1+'Inputs'!$B$24)*(0.5*((((803-43)*MAX('Inputs'!$B$33,'Inputs'!$B$29+'Inputs'!$B$31+'Inputs'!$B$32,'Inputs'!$B$30+'Inputs'!$B$31+'Inputs'!$B$32)/1000+'Inputs'!$B$21)+'Inputs'!$B$9)/SQRT((((803-43)*MAX('Inputs'!$B$33,'Inputs'!$B$29+'Inputs'!$B$31+'Inputs'!$B$32,'Inputs'!$B$30+'Inputs'!$B$31+'Inputs'!$B$32)/1000+'Inputs'!$B$21)+'Inputs'!$B$9)^2+('Inputs'!$B$8/2)^2)-(((803-43)*MAX('Inputs'!$B$33,'Inputs'!$B$29+'Inputs'!$B$31+'Inputs'!$B$32,'Inputs'!$B$30+'Inputs'!$B$31+'Inputs'!$B$32)/1000+'Inputs'!$B$21))/SQRT((((803-43)*MAX('Inputs'!$B$33,'Inputs'!$B$29+'Inputs'!$B$31+'Inputs'!$B$32,'Inputs'!$B$30+'Inputs'!$B$31+'Inputs'!$B$32)/1000+'Inputs'!$B$21))^2+('Inputs'!$B$8/2)^2)))-'Results'!B7*(1-'Inputs'!$B$24)*(0.5*((((803-43)*MAX('Inputs'!$B$33,'Inputs'!$B$29+'Inputs'!$B$31+'Inputs'!$B$32,'Inputs'!$B$30+'Inputs'!$B$31+'Inputs'!$B$32)/1000+'Inputs'!$B$21+'Inputs'!$B$9+'Inputs'!$B$10)+'Inputs'!$B$7)/SQRT((((803-43)*MAX('Inputs'!$B$33,'Inputs'!$B$29+'Inputs'!$B$31+'Inputs'!$B$32,'Inputs'!$B$30+'Inputs'!$B$31+'Inputs'!$B$32)/1000+'Inputs'!$B$21+'Inputs'!$B$9+'Inputs'!$B$10)+'Inputs'!$B$7)^2+('Inputs'!$B$6/2)^2)-(((803-43)*MAX('Inputs'!$B$33,'Inputs'!$B$29+'Inputs'!$B$31+'Inputs'!$B$32,'Inputs'!$B$30+'Inputs'!$B$31+'Inputs'!$B$32)/1000+'Inputs'!$B$21+'Inputs'!$B$9+'Inputs'!$B$10))/SQRT((((803-43)*MAX('Inputs'!$B$33,'Inputs'!$B$29+'Inputs'!$B$31+'Inputs'!$B$32,'Inputs'!$B$30+'Inputs'!$B$31+'Inputs'!$B$32)/1000+'Inputs'!$B$21+'Inputs'!$B$9+'Inputs'!$B$10))^2+('Inputs'!$B$6/2)^2))))*'Results'!$B$8))),"")</x:f>
        <x:v>1.0109874980437372</x:v>
      </x:c>
      <x:c r="P803" t="n">
        <x:f>IF(AND(MAX(J803,J802)&gt;0,J803&gt;J802+0.00000001),1,0)</x:f>
        <x:v>0</x:v>
      </x:c>
      <x:c r="Q803" t="n">
        <x:f>IF(AND(MAX(K803,K802)&gt;0,K803&gt;K802+0.00000001),1,0)</x:f>
        <x:v>0</x:v>
      </x:c>
      <x:c r="R803" t="n">
        <x:f>IF(AND(MAX(L803,L802)&gt;0,L803&gt;L802+0.00000001),1,0)</x:f>
        <x:v>0</x:v>
      </x:c>
      <x:c r="S803" t="n">
        <x:f>IF(AND(MAX(M803,M802)&gt;0,M803&gt;M802+0.00000001),1,0)</x:f>
        <x:v>0</x:v>
      </x:c>
      <x:c r="T803" t="n">
        <x:f>IF(AND(MAX(N803,N802)&gt;0,N803&gt;N802+0.00000001),1,0)</x:f>
        <x:v>0</x:v>
      </x:c>
      <x:c r="U803" t="n">
        <x:f>IF(AND(MAX(O803,O802)&gt;0,O803&gt;O802+0.00000001),1,0)</x:f>
        <x:v>0</x:v>
      </x:c>
    </x:row>
    <x:row r="804">
      <x:c r="J804" t="n">
        <x:f>IF(AND(ISNUMBER('Results'!B7),ISNUMBER('Results'!C7),ISNUMBER('Results'!$B$8),ISNUMBER('Inputs'!$B$6),ISNUMBER('Inputs'!$B$7),ISNUMBER('Inputs'!$B$8),ISNUMBER('Inputs'!$B$9),ISNUMBER('Inputs'!$B$10),ISNUMBER('Inputs'!$B$21),ISNUMBER('Inputs'!$B$24),ISNUMBER('Inputs'!$B$28)),(('Results'!B7*(0.5*((((804-43)*MAX('Inputs'!$B$33,'Inputs'!$B$29+'Inputs'!$B$31+'Inputs'!$B$32,'Inputs'!$B$30+'Inputs'!$B$31+'Inputs'!$B$32)/1000+'Inputs'!$B$21)+'Inputs'!$B$7)/SQRT((((804-43)*MAX('Inputs'!$B$33,'Inputs'!$B$29+'Inputs'!$B$31+'Inputs'!$B$32,'Inputs'!$B$30+'Inputs'!$B$31+'Inputs'!$B$32)/1000+'Inputs'!$B$21)+'Inputs'!$B$7)^2+('Inputs'!$B$6/2)^2)-(((804-43)*MAX('Inputs'!$B$33,'Inputs'!$B$29+'Inputs'!$B$31+'Inputs'!$B$32,'Inputs'!$B$30+'Inputs'!$B$31+'Inputs'!$B$32)/1000+'Inputs'!$B$21))/SQRT((((804-43)*MAX('Inputs'!$B$33,'Inputs'!$B$29+'Inputs'!$B$31+'Inputs'!$B$32,'Inputs'!$B$30+'Inputs'!$B$31+'Inputs'!$B$32)/1000+'Inputs'!$B$21))^2+('Inputs'!$B$6/2)^2)))-'Results'!C7*(0.5*((((804-43)*MAX('Inputs'!$B$33,'Inputs'!$B$29+'Inputs'!$B$31+'Inputs'!$B$32,'Inputs'!$B$30+'Inputs'!$B$31+'Inputs'!$B$32)/1000+'Inputs'!$B$21+'Inputs'!$B$7+'Inputs'!$B$10)+'Inputs'!$B$9)/SQRT((((804-43)*MAX('Inputs'!$B$33,'Inputs'!$B$29+'Inputs'!$B$31+'Inputs'!$B$32,'Inputs'!$B$30+'Inputs'!$B$31+'Inputs'!$B$32)/1000+'Inputs'!$B$21+'Inputs'!$B$7+'Inputs'!$B$10)+'Inputs'!$B$9)^2+('Inputs'!$B$8/2)^2)-(((804-43)*MAX('Inputs'!$B$33,'Inputs'!$B$29+'Inputs'!$B$31+'Inputs'!$B$32,'Inputs'!$B$30+'Inputs'!$B$31+'Inputs'!$B$32)/1000+'Inputs'!$B$21+'Inputs'!$B$7+'Inputs'!$B$10))/SQRT((((804-43)*MAX('Inputs'!$B$33,'Inputs'!$B$29+'Inputs'!$B$31+'Inputs'!$B$32,'Inputs'!$B$30+'Inputs'!$B$31+'Inputs'!$B$32)/1000+'Inputs'!$B$21+'Inputs'!$B$7+'Inputs'!$B$10))^2+('Inputs'!$B$8/2)^2))))*'Results'!$B$8),"")</x:f>
        <x:v>0.9594249050979298</x:v>
      </x:c>
      <x:c r="K804" t="n">
        <x:f>IF(AND(ISNUMBER('Results'!B7),ISNUMBER('Results'!C7),ISNUMBER('Results'!$B$8),ISNUMBER('Inputs'!$B$6),ISNUMBER('Inputs'!$B$7),ISNUMBER('Inputs'!$B$8),ISNUMBER('Inputs'!$B$9),ISNUMBER('Inputs'!$B$10),ISNUMBER('Inputs'!$B$21),ISNUMBER('Inputs'!$B$24),ISNUMBER('Inputs'!$B$28)),((('Results'!B7*(1-'Inputs'!$B$24)*(0.5*((((804-43)*MAX('Inputs'!$B$33,'Inputs'!$B$29+'Inputs'!$B$31+'Inputs'!$B$32,'Inputs'!$B$30+'Inputs'!$B$31+'Inputs'!$B$32)/1000+'Inputs'!$B$21)+'Inputs'!$B$7)/SQRT((((804-43)*MAX('Inputs'!$B$33,'Inputs'!$B$29+'Inputs'!$B$31+'Inputs'!$B$32,'Inputs'!$B$30+'Inputs'!$B$31+'Inputs'!$B$32)/1000+'Inputs'!$B$21)+'Inputs'!$B$7)^2+('Inputs'!$B$6/2)^2)-(((804-43)*MAX('Inputs'!$B$33,'Inputs'!$B$29+'Inputs'!$B$31+'Inputs'!$B$32,'Inputs'!$B$30+'Inputs'!$B$31+'Inputs'!$B$32)/1000+'Inputs'!$B$21))/SQRT((((804-43)*MAX('Inputs'!$B$33,'Inputs'!$B$29+'Inputs'!$B$31+'Inputs'!$B$32,'Inputs'!$B$30+'Inputs'!$B$31+'Inputs'!$B$32)/1000+'Inputs'!$B$21))^2+('Inputs'!$B$6/2)^2)))-'Results'!C7*(1+'Inputs'!$B$24)*(0.5*((((804-43)*MAX('Inputs'!$B$33,'Inputs'!$B$29+'Inputs'!$B$31+'Inputs'!$B$32,'Inputs'!$B$30+'Inputs'!$B$31+'Inputs'!$B$32)/1000+'Inputs'!$B$21+'Inputs'!$B$7+'Inputs'!$B$10)+'Inputs'!$B$9)/SQRT((((804-43)*MAX('Inputs'!$B$33,'Inputs'!$B$29+'Inputs'!$B$31+'Inputs'!$B$32,'Inputs'!$B$30+'Inputs'!$B$31+'Inputs'!$B$32)/1000+'Inputs'!$B$21+'Inputs'!$B$7+'Inputs'!$B$10)+'Inputs'!$B$9)^2+('Inputs'!$B$8/2)^2)-(((804-43)*MAX('Inputs'!$B$33,'Inputs'!$B$29+'Inputs'!$B$31+'Inputs'!$B$32,'Inputs'!$B$30+'Inputs'!$B$31+'Inputs'!$B$32)/1000+'Inputs'!$B$21+'Inputs'!$B$7+'Inputs'!$B$10))/SQRT((((804-43)*MAX('Inputs'!$B$33,'Inputs'!$B$29+'Inputs'!$B$31+'Inputs'!$B$32,'Inputs'!$B$30+'Inputs'!$B$31+'Inputs'!$B$32)/1000+'Inputs'!$B$21+'Inputs'!$B$7+'Inputs'!$B$10))^2+('Inputs'!$B$8/2)^2))))*'Results'!$B$8)-'Inputs'!$B$28*ABS((('Results'!B7*(1-'Inputs'!$B$24)*(0.5*((((804-43)*MAX('Inputs'!$B$33,'Inputs'!$B$29+'Inputs'!$B$31+'Inputs'!$B$32,'Inputs'!$B$30+'Inputs'!$B$31+'Inputs'!$B$32)/1000+'Inputs'!$B$21)+'Inputs'!$B$7)/SQRT((((804-43)*MAX('Inputs'!$B$33,'Inputs'!$B$29+'Inputs'!$B$31+'Inputs'!$B$32,'Inputs'!$B$30+'Inputs'!$B$31+'Inputs'!$B$32)/1000+'Inputs'!$B$21)+'Inputs'!$B$7)^2+('Inputs'!$B$6/2)^2)-(((804-43)*MAX('Inputs'!$B$33,'Inputs'!$B$29+'Inputs'!$B$31+'Inputs'!$B$32,'Inputs'!$B$30+'Inputs'!$B$31+'Inputs'!$B$32)/1000+'Inputs'!$B$21))/SQRT((((804-43)*MAX('Inputs'!$B$33,'Inputs'!$B$29+'Inputs'!$B$31+'Inputs'!$B$32,'Inputs'!$B$30+'Inputs'!$B$31+'Inputs'!$B$32)/1000+'Inputs'!$B$21))^2+('Inputs'!$B$6/2)^2)))-'Results'!C7*(1+'Inputs'!$B$24)*(0.5*((((804-43)*MAX('Inputs'!$B$33,'Inputs'!$B$29+'Inputs'!$B$31+'Inputs'!$B$32,'Inputs'!$B$30+'Inputs'!$B$31+'Inputs'!$B$32)/1000+'Inputs'!$B$21+'Inputs'!$B$7+'Inputs'!$B$10)+'Inputs'!$B$9)/SQRT((((804-43)*MAX('Inputs'!$B$33,'Inputs'!$B$29+'Inputs'!$B$31+'Inputs'!$B$32,'Inputs'!$B$30+'Inputs'!$B$31+'Inputs'!$B$32)/1000+'Inputs'!$B$21+'Inputs'!$B$7+'Inputs'!$B$10)+'Inputs'!$B$9)^2+('Inputs'!$B$8/2)^2)-(((804-43)*MAX('Inputs'!$B$33,'Inputs'!$B$29+'Inputs'!$B$31+'Inputs'!$B$32,'Inputs'!$B$30+'Inputs'!$B$31+'Inputs'!$B$32)/1000+'Inputs'!$B$21+'Inputs'!$B$7+'Inputs'!$B$10))/SQRT((((804-43)*MAX('Inputs'!$B$33,'Inputs'!$B$29+'Inputs'!$B$31+'Inputs'!$B$32,'Inputs'!$B$30+'Inputs'!$B$31+'Inputs'!$B$32)/1000+'Inputs'!$B$21+'Inputs'!$B$7+'Inputs'!$B$10))^2+('Inputs'!$B$8/2)^2))))*'Results'!$B$8))),"")</x:f>
        <x:v>0.8249636934992984</x:v>
      </x:c>
      <x:c r="L804" t="n">
        <x:f>IF(AND(ISNUMBER('Results'!B7),ISNUMBER('Results'!C7),ISNUMBER('Results'!$B$8),ISNUMBER('Inputs'!$B$6),ISNUMBER('Inputs'!$B$7),ISNUMBER('Inputs'!$B$8),ISNUMBER('Inputs'!$B$9),ISNUMBER('Inputs'!$B$10),ISNUMBER('Inputs'!$B$21),ISNUMBER('Inputs'!$B$24),ISNUMBER('Inputs'!$B$28)),((('Results'!B7*(1+'Inputs'!$B$24)*(0.5*((((804-43)*MAX('Inputs'!$B$33,'Inputs'!$B$29+'Inputs'!$B$31+'Inputs'!$B$32,'Inputs'!$B$30+'Inputs'!$B$31+'Inputs'!$B$32)/1000+'Inputs'!$B$21)+'Inputs'!$B$7)/SQRT((((804-43)*MAX('Inputs'!$B$33,'Inputs'!$B$29+'Inputs'!$B$31+'Inputs'!$B$32,'Inputs'!$B$30+'Inputs'!$B$31+'Inputs'!$B$32)/1000+'Inputs'!$B$21)+'Inputs'!$B$7)^2+('Inputs'!$B$6/2)^2)-(((804-43)*MAX('Inputs'!$B$33,'Inputs'!$B$29+'Inputs'!$B$31+'Inputs'!$B$32,'Inputs'!$B$30+'Inputs'!$B$31+'Inputs'!$B$32)/1000+'Inputs'!$B$21))/SQRT((((804-43)*MAX('Inputs'!$B$33,'Inputs'!$B$29+'Inputs'!$B$31+'Inputs'!$B$32,'Inputs'!$B$30+'Inputs'!$B$31+'Inputs'!$B$32)/1000+'Inputs'!$B$21))^2+('Inputs'!$B$6/2)^2)))-'Results'!C7*(1-'Inputs'!$B$24)*(0.5*((((804-43)*MAX('Inputs'!$B$33,'Inputs'!$B$29+'Inputs'!$B$31+'Inputs'!$B$32,'Inputs'!$B$30+'Inputs'!$B$31+'Inputs'!$B$32)/1000+'Inputs'!$B$21+'Inputs'!$B$7+'Inputs'!$B$10)+'Inputs'!$B$9)/SQRT((((804-43)*MAX('Inputs'!$B$33,'Inputs'!$B$29+'Inputs'!$B$31+'Inputs'!$B$32,'Inputs'!$B$30+'Inputs'!$B$31+'Inputs'!$B$32)/1000+'Inputs'!$B$21+'Inputs'!$B$7+'Inputs'!$B$10)+'Inputs'!$B$9)^2+('Inputs'!$B$8/2)^2)-(((804-43)*MAX('Inputs'!$B$33,'Inputs'!$B$29+'Inputs'!$B$31+'Inputs'!$B$32,'Inputs'!$B$30+'Inputs'!$B$31+'Inputs'!$B$32)/1000+'Inputs'!$B$21+'Inputs'!$B$7+'Inputs'!$B$10))/SQRT((((804-43)*MAX('Inputs'!$B$33,'Inputs'!$B$29+'Inputs'!$B$31+'Inputs'!$B$32,'Inputs'!$B$30+'Inputs'!$B$31+'Inputs'!$B$32)/1000+'Inputs'!$B$21+'Inputs'!$B$7+'Inputs'!$B$10))^2+('Inputs'!$B$8/2)^2))))*'Results'!$B$8)+'Inputs'!$B$28*ABS((('Results'!B7*(1+'Inputs'!$B$24)*(0.5*((((804-43)*MAX('Inputs'!$B$33,'Inputs'!$B$29+'Inputs'!$B$31+'Inputs'!$B$32,'Inputs'!$B$30+'Inputs'!$B$31+'Inputs'!$B$32)/1000+'Inputs'!$B$21)+'Inputs'!$B$7)/SQRT((((804-43)*MAX('Inputs'!$B$33,'Inputs'!$B$29+'Inputs'!$B$31+'Inputs'!$B$32,'Inputs'!$B$30+'Inputs'!$B$31+'Inputs'!$B$32)/1000+'Inputs'!$B$21)+'Inputs'!$B$7)^2+('Inputs'!$B$6/2)^2)-(((804-43)*MAX('Inputs'!$B$33,'Inputs'!$B$29+'Inputs'!$B$31+'Inputs'!$B$32,'Inputs'!$B$30+'Inputs'!$B$31+'Inputs'!$B$32)/1000+'Inputs'!$B$21))/SQRT((((804-43)*MAX('Inputs'!$B$33,'Inputs'!$B$29+'Inputs'!$B$31+'Inputs'!$B$32,'Inputs'!$B$30+'Inputs'!$B$31+'Inputs'!$B$32)/1000+'Inputs'!$B$21))^2+('Inputs'!$B$6/2)^2)))-'Results'!C7*(1-'Inputs'!$B$24)*(0.5*((((804-43)*MAX('Inputs'!$B$33,'Inputs'!$B$29+'Inputs'!$B$31+'Inputs'!$B$32,'Inputs'!$B$30+'Inputs'!$B$31+'Inputs'!$B$32)/1000+'Inputs'!$B$21+'Inputs'!$B$7+'Inputs'!$B$10)+'Inputs'!$B$9)/SQRT((((804-43)*MAX('Inputs'!$B$33,'Inputs'!$B$29+'Inputs'!$B$31+'Inputs'!$B$32,'Inputs'!$B$30+'Inputs'!$B$31+'Inputs'!$B$32)/1000+'Inputs'!$B$21+'Inputs'!$B$7+'Inputs'!$B$10)+'Inputs'!$B$9)^2+('Inputs'!$B$8/2)^2)-(((804-43)*MAX('Inputs'!$B$33,'Inputs'!$B$29+'Inputs'!$B$31+'Inputs'!$B$32,'Inputs'!$B$30+'Inputs'!$B$31+'Inputs'!$B$32)/1000+'Inputs'!$B$21+'Inputs'!$B$7+'Inputs'!$B$10))/SQRT((((804-43)*MAX('Inputs'!$B$33,'Inputs'!$B$29+'Inputs'!$B$31+'Inputs'!$B$32,'Inputs'!$B$30+'Inputs'!$B$31+'Inputs'!$B$32)/1000+'Inputs'!$B$21+'Inputs'!$B$7+'Inputs'!$B$10))^2+('Inputs'!$B$8/2)^2))))*'Results'!$B$8))),"")</x:f>
        <x:v>1.1029903236801122</x:v>
      </x:c>
      <x:c r="M804" t="n">
        <x:f>IF(AND(ISNUMBER('Results'!C7),ISNUMBER('Results'!B7),ISNUMBER('Results'!$B$8),ISNUMBER('Inputs'!$B$6),ISNUMBER('Inputs'!$B$7),ISNUMBER('Inputs'!$B$8),ISNUMBER('Inputs'!$B$9),ISNUMBER('Inputs'!$B$10),ISNUMBER('Inputs'!$B$21),ISNUMBER('Inputs'!$B$24),ISNUMBER('Inputs'!$B$28)),(('Results'!C7*(0.5*((((804-43)*MAX('Inputs'!$B$33,'Inputs'!$B$29+'Inputs'!$B$31+'Inputs'!$B$32,'Inputs'!$B$30+'Inputs'!$B$31+'Inputs'!$B$32)/1000+'Inputs'!$B$21)+'Inputs'!$B$9)/SQRT((((804-43)*MAX('Inputs'!$B$33,'Inputs'!$B$29+'Inputs'!$B$31+'Inputs'!$B$32,'Inputs'!$B$30+'Inputs'!$B$31+'Inputs'!$B$32)/1000+'Inputs'!$B$21)+'Inputs'!$B$9)^2+('Inputs'!$B$8/2)^2)-(((804-43)*MAX('Inputs'!$B$33,'Inputs'!$B$29+'Inputs'!$B$31+'Inputs'!$B$32,'Inputs'!$B$30+'Inputs'!$B$31+'Inputs'!$B$32)/1000+'Inputs'!$B$21))/SQRT((((804-43)*MAX('Inputs'!$B$33,'Inputs'!$B$29+'Inputs'!$B$31+'Inputs'!$B$32,'Inputs'!$B$30+'Inputs'!$B$31+'Inputs'!$B$32)/1000+'Inputs'!$B$21))^2+('Inputs'!$B$8/2)^2)))-'Results'!B7*(0.5*((((804-43)*MAX('Inputs'!$B$33,'Inputs'!$B$29+'Inputs'!$B$31+'Inputs'!$B$32,'Inputs'!$B$30+'Inputs'!$B$31+'Inputs'!$B$32)/1000+'Inputs'!$B$21+'Inputs'!$B$9+'Inputs'!$B$10)+'Inputs'!$B$7)/SQRT((((804-43)*MAX('Inputs'!$B$33,'Inputs'!$B$29+'Inputs'!$B$31+'Inputs'!$B$32,'Inputs'!$B$30+'Inputs'!$B$31+'Inputs'!$B$32)/1000+'Inputs'!$B$21+'Inputs'!$B$9+'Inputs'!$B$10)+'Inputs'!$B$7)^2+('Inputs'!$B$6/2)^2)-(((804-43)*MAX('Inputs'!$B$33,'Inputs'!$B$29+'Inputs'!$B$31+'Inputs'!$B$32,'Inputs'!$B$30+'Inputs'!$B$31+'Inputs'!$B$32)/1000+'Inputs'!$B$21+'Inputs'!$B$9+'Inputs'!$B$10))/SQRT((((804-43)*MAX('Inputs'!$B$33,'Inputs'!$B$29+'Inputs'!$B$31+'Inputs'!$B$32,'Inputs'!$B$30+'Inputs'!$B$31+'Inputs'!$B$32)/1000+'Inputs'!$B$21+'Inputs'!$B$9+'Inputs'!$B$10))^2+('Inputs'!$B$6/2)^2))))*'Results'!$B$8),"")</x:f>
        <x:v>0.8676496355508528</x:v>
      </x:c>
      <x:c r="N804" t="n">
        <x:f>IF(AND(ISNUMBER('Results'!C7),ISNUMBER('Results'!B7),ISNUMBER('Results'!$B$8),ISNUMBER('Inputs'!$B$6),ISNUMBER('Inputs'!$B$7),ISNUMBER('Inputs'!$B$8),ISNUMBER('Inputs'!$B$9),ISNUMBER('Inputs'!$B$10),ISNUMBER('Inputs'!$B$21),ISNUMBER('Inputs'!$B$24),ISNUMBER('Inputs'!$B$28)),((('Results'!C7*(1-'Inputs'!$B$24)*(0.5*((((804-43)*MAX('Inputs'!$B$33,'Inputs'!$B$29+'Inputs'!$B$31+'Inputs'!$B$32,'Inputs'!$B$30+'Inputs'!$B$31+'Inputs'!$B$32)/1000+'Inputs'!$B$21)+'Inputs'!$B$9)/SQRT((((804-43)*MAX('Inputs'!$B$33,'Inputs'!$B$29+'Inputs'!$B$31+'Inputs'!$B$32,'Inputs'!$B$30+'Inputs'!$B$31+'Inputs'!$B$32)/1000+'Inputs'!$B$21)+'Inputs'!$B$9)^2+('Inputs'!$B$8/2)^2)-(((804-43)*MAX('Inputs'!$B$33,'Inputs'!$B$29+'Inputs'!$B$31+'Inputs'!$B$32,'Inputs'!$B$30+'Inputs'!$B$31+'Inputs'!$B$32)/1000+'Inputs'!$B$21))/SQRT((((804-43)*MAX('Inputs'!$B$33,'Inputs'!$B$29+'Inputs'!$B$31+'Inputs'!$B$32,'Inputs'!$B$30+'Inputs'!$B$31+'Inputs'!$B$32)/1000+'Inputs'!$B$21))^2+('Inputs'!$B$8/2)^2)))-'Results'!B7*(1+'Inputs'!$B$24)*(0.5*((((804-43)*MAX('Inputs'!$B$33,'Inputs'!$B$29+'Inputs'!$B$31+'Inputs'!$B$32,'Inputs'!$B$30+'Inputs'!$B$31+'Inputs'!$B$32)/1000+'Inputs'!$B$21+'Inputs'!$B$9+'Inputs'!$B$10)+'Inputs'!$B$7)/SQRT((((804-43)*MAX('Inputs'!$B$33,'Inputs'!$B$29+'Inputs'!$B$31+'Inputs'!$B$32,'Inputs'!$B$30+'Inputs'!$B$31+'Inputs'!$B$32)/1000+'Inputs'!$B$21+'Inputs'!$B$9+'Inputs'!$B$10)+'Inputs'!$B$7)^2+('Inputs'!$B$6/2)^2)-(((804-43)*MAX('Inputs'!$B$33,'Inputs'!$B$29+'Inputs'!$B$31+'Inputs'!$B$32,'Inputs'!$B$30+'Inputs'!$B$31+'Inputs'!$B$32)/1000+'Inputs'!$B$21+'Inputs'!$B$9+'Inputs'!$B$10))/SQRT((((804-43)*MAX('Inputs'!$B$33,'Inputs'!$B$29+'Inputs'!$B$31+'Inputs'!$B$32,'Inputs'!$B$30+'Inputs'!$B$31+'Inputs'!$B$32)/1000+'Inputs'!$B$21+'Inputs'!$B$9+'Inputs'!$B$10))^2+('Inputs'!$B$6/2)^2))))*'Results'!$B$8)-'Inputs'!$B$28*ABS((('Results'!C7*(1-'Inputs'!$B$24)*(0.5*((((804-43)*MAX('Inputs'!$B$33,'Inputs'!$B$29+'Inputs'!$B$31+'Inputs'!$B$32,'Inputs'!$B$30+'Inputs'!$B$31+'Inputs'!$B$32)/1000+'Inputs'!$B$21)+'Inputs'!$B$9)/SQRT((((804-43)*MAX('Inputs'!$B$33,'Inputs'!$B$29+'Inputs'!$B$31+'Inputs'!$B$32,'Inputs'!$B$30+'Inputs'!$B$31+'Inputs'!$B$32)/1000+'Inputs'!$B$21)+'Inputs'!$B$9)^2+('Inputs'!$B$8/2)^2)-(((804-43)*MAX('Inputs'!$B$33,'Inputs'!$B$29+'Inputs'!$B$31+'Inputs'!$B$32,'Inputs'!$B$30+'Inputs'!$B$31+'Inputs'!$B$32)/1000+'Inputs'!$B$21))/SQRT((((804-43)*MAX('Inputs'!$B$33,'Inputs'!$B$29+'Inputs'!$B$31+'Inputs'!$B$32,'Inputs'!$B$30+'Inputs'!$B$31+'Inputs'!$B$32)/1000+'Inputs'!$B$21))^2+('Inputs'!$B$8/2)^2)))-'Results'!B7*(1+'Inputs'!$B$24)*(0.5*((((804-43)*MAX('Inputs'!$B$33,'Inputs'!$B$29+'Inputs'!$B$31+'Inputs'!$B$32,'Inputs'!$B$30+'Inputs'!$B$31+'Inputs'!$B$32)/1000+'Inputs'!$B$21+'Inputs'!$B$9+'Inputs'!$B$10)+'Inputs'!$B$7)/SQRT((((804-43)*MAX('Inputs'!$B$33,'Inputs'!$B$29+'Inputs'!$B$31+'Inputs'!$B$32,'Inputs'!$B$30+'Inputs'!$B$31+'Inputs'!$B$32)/1000+'Inputs'!$B$21+'Inputs'!$B$9+'Inputs'!$B$10)+'Inputs'!$B$7)^2+('Inputs'!$B$6/2)^2)-(((804-43)*MAX('Inputs'!$B$33,'Inputs'!$B$29+'Inputs'!$B$31+'Inputs'!$B$32,'Inputs'!$B$30+'Inputs'!$B$31+'Inputs'!$B$32)/1000+'Inputs'!$B$21+'Inputs'!$B$9+'Inputs'!$B$10))/SQRT((((804-43)*MAX('Inputs'!$B$33,'Inputs'!$B$29+'Inputs'!$B$31+'Inputs'!$B$32,'Inputs'!$B$30+'Inputs'!$B$31+'Inputs'!$B$32)/1000+'Inputs'!$B$21+'Inputs'!$B$9+'Inputs'!$B$10))^2+('Inputs'!$B$6/2)^2))))*'Results'!$B$8))),"")</x:f>
        <x:v>0.7381278380989927</x:v>
      </x:c>
      <x:c r="O804" t="n">
        <x:f>IF(AND(ISNUMBER('Results'!C7),ISNUMBER('Results'!B7),ISNUMBER('Results'!$B$8),ISNUMBER('Inputs'!$B$6),ISNUMBER('Inputs'!$B$7),ISNUMBER('Inputs'!$B$8),ISNUMBER('Inputs'!$B$9),ISNUMBER('Inputs'!$B$10),ISNUMBER('Inputs'!$B$21),ISNUMBER('Inputs'!$B$24),ISNUMBER('Inputs'!$B$28)),((('Results'!C7*(1+'Inputs'!$B$24)*(0.5*((((804-43)*MAX('Inputs'!$B$33,'Inputs'!$B$29+'Inputs'!$B$31+'Inputs'!$B$32,'Inputs'!$B$30+'Inputs'!$B$31+'Inputs'!$B$32)/1000+'Inputs'!$B$21)+'Inputs'!$B$9)/SQRT((((804-43)*MAX('Inputs'!$B$33,'Inputs'!$B$29+'Inputs'!$B$31+'Inputs'!$B$32,'Inputs'!$B$30+'Inputs'!$B$31+'Inputs'!$B$32)/1000+'Inputs'!$B$21)+'Inputs'!$B$9)^2+('Inputs'!$B$8/2)^2)-(((804-43)*MAX('Inputs'!$B$33,'Inputs'!$B$29+'Inputs'!$B$31+'Inputs'!$B$32,'Inputs'!$B$30+'Inputs'!$B$31+'Inputs'!$B$32)/1000+'Inputs'!$B$21))/SQRT((((804-43)*MAX('Inputs'!$B$33,'Inputs'!$B$29+'Inputs'!$B$31+'Inputs'!$B$32,'Inputs'!$B$30+'Inputs'!$B$31+'Inputs'!$B$32)/1000+'Inputs'!$B$21))^2+('Inputs'!$B$8/2)^2)))-'Results'!B7*(1-'Inputs'!$B$24)*(0.5*((((804-43)*MAX('Inputs'!$B$33,'Inputs'!$B$29+'Inputs'!$B$31+'Inputs'!$B$32,'Inputs'!$B$30+'Inputs'!$B$31+'Inputs'!$B$32)/1000+'Inputs'!$B$21+'Inputs'!$B$9+'Inputs'!$B$10)+'Inputs'!$B$7)/SQRT((((804-43)*MAX('Inputs'!$B$33,'Inputs'!$B$29+'Inputs'!$B$31+'Inputs'!$B$32,'Inputs'!$B$30+'Inputs'!$B$31+'Inputs'!$B$32)/1000+'Inputs'!$B$21+'Inputs'!$B$9+'Inputs'!$B$10)+'Inputs'!$B$7)^2+('Inputs'!$B$6/2)^2)-(((804-43)*MAX('Inputs'!$B$33,'Inputs'!$B$29+'Inputs'!$B$31+'Inputs'!$B$32,'Inputs'!$B$30+'Inputs'!$B$31+'Inputs'!$B$32)/1000+'Inputs'!$B$21+'Inputs'!$B$9+'Inputs'!$B$10))/SQRT((((804-43)*MAX('Inputs'!$B$33,'Inputs'!$B$29+'Inputs'!$B$31+'Inputs'!$B$32,'Inputs'!$B$30+'Inputs'!$B$31+'Inputs'!$B$32)/1000+'Inputs'!$B$21+'Inputs'!$B$9+'Inputs'!$B$10))^2+('Inputs'!$B$6/2)^2))))*'Results'!$B$8)+'Inputs'!$B$28*ABS((('Results'!C7*(1+'Inputs'!$B$24)*(0.5*((((804-43)*MAX('Inputs'!$B$33,'Inputs'!$B$29+'Inputs'!$B$31+'Inputs'!$B$32,'Inputs'!$B$30+'Inputs'!$B$31+'Inputs'!$B$32)/1000+'Inputs'!$B$21)+'Inputs'!$B$9)/SQRT((((804-43)*MAX('Inputs'!$B$33,'Inputs'!$B$29+'Inputs'!$B$31+'Inputs'!$B$32,'Inputs'!$B$30+'Inputs'!$B$31+'Inputs'!$B$32)/1000+'Inputs'!$B$21)+'Inputs'!$B$9)^2+('Inputs'!$B$8/2)^2)-(((804-43)*MAX('Inputs'!$B$33,'Inputs'!$B$29+'Inputs'!$B$31+'Inputs'!$B$32,'Inputs'!$B$30+'Inputs'!$B$31+'Inputs'!$B$32)/1000+'Inputs'!$B$21))/SQRT((((804-43)*MAX('Inputs'!$B$33,'Inputs'!$B$29+'Inputs'!$B$31+'Inputs'!$B$32,'Inputs'!$B$30+'Inputs'!$B$31+'Inputs'!$B$32)/1000+'Inputs'!$B$21))^2+('Inputs'!$B$8/2)^2)))-'Results'!B7*(1-'Inputs'!$B$24)*(0.5*((((804-43)*MAX('Inputs'!$B$33,'Inputs'!$B$29+'Inputs'!$B$31+'Inputs'!$B$32,'Inputs'!$B$30+'Inputs'!$B$31+'Inputs'!$B$32)/1000+'Inputs'!$B$21+'Inputs'!$B$9+'Inputs'!$B$10)+'Inputs'!$B$7)/SQRT((((804-43)*MAX('Inputs'!$B$33,'Inputs'!$B$29+'Inputs'!$B$31+'Inputs'!$B$32,'Inputs'!$B$30+'Inputs'!$B$31+'Inputs'!$B$32)/1000+'Inputs'!$B$21+'Inputs'!$B$9+'Inputs'!$B$10)+'Inputs'!$B$7)^2+('Inputs'!$B$6/2)^2)-(((804-43)*MAX('Inputs'!$B$33,'Inputs'!$B$29+'Inputs'!$B$31+'Inputs'!$B$32,'Inputs'!$B$30+'Inputs'!$B$31+'Inputs'!$B$32)/1000+'Inputs'!$B$21+'Inputs'!$B$9+'Inputs'!$B$10))/SQRT((((804-43)*MAX('Inputs'!$B$33,'Inputs'!$B$29+'Inputs'!$B$31+'Inputs'!$B$32,'Inputs'!$B$30+'Inputs'!$B$31+'Inputs'!$B$32)/1000+'Inputs'!$B$21+'Inputs'!$B$9+'Inputs'!$B$10))^2+('Inputs'!$B$6/2)^2))))*'Results'!$B$8))),"")</x:f>
        <x:v>1.0062387293894832</x:v>
      </x:c>
      <x:c r="P804" t="n">
        <x:f>IF(AND(MAX(J804,J803)&gt;0,J804&gt;J803+0.00000001),1,0)</x:f>
        <x:v>0</x:v>
      </x:c>
      <x:c r="Q804" t="n">
        <x:f>IF(AND(MAX(K804,K803)&gt;0,K804&gt;K803+0.00000001),1,0)</x:f>
        <x:v>0</x:v>
      </x:c>
      <x:c r="R804" t="n">
        <x:f>IF(AND(MAX(L804,L803)&gt;0,L804&gt;L803+0.00000001),1,0)</x:f>
        <x:v>0</x:v>
      </x:c>
      <x:c r="S804" t="n">
        <x:f>IF(AND(MAX(M804,M803)&gt;0,M804&gt;M803+0.00000001),1,0)</x:f>
        <x:v>0</x:v>
      </x:c>
      <x:c r="T804" t="n">
        <x:f>IF(AND(MAX(N804,N803)&gt;0,N804&gt;N803+0.00000001),1,0)</x:f>
        <x:v>0</x:v>
      </x:c>
      <x:c r="U804" t="n">
        <x:f>IF(AND(MAX(O804,O803)&gt;0,O804&gt;O803+0.00000001),1,0)</x:f>
        <x:v>0</x:v>
      </x:c>
    </x:row>
    <x:row r="805">
      <x:c r="J805" t="n">
        <x:f>IF(AND(ISNUMBER('Results'!B7),ISNUMBER('Results'!C7),ISNUMBER('Results'!$B$8),ISNUMBER('Inputs'!$B$6),ISNUMBER('Inputs'!$B$7),ISNUMBER('Inputs'!$B$8),ISNUMBER('Inputs'!$B$9),ISNUMBER('Inputs'!$B$10),ISNUMBER('Inputs'!$B$21),ISNUMBER('Inputs'!$B$24),ISNUMBER('Inputs'!$B$28)),(('Results'!B7*(0.5*((((805-43)*MAX('Inputs'!$B$33,'Inputs'!$B$29+'Inputs'!$B$31+'Inputs'!$B$32,'Inputs'!$B$30+'Inputs'!$B$31+'Inputs'!$B$32)/1000+'Inputs'!$B$21)+'Inputs'!$B$7)/SQRT((((805-43)*MAX('Inputs'!$B$33,'Inputs'!$B$29+'Inputs'!$B$31+'Inputs'!$B$32,'Inputs'!$B$30+'Inputs'!$B$31+'Inputs'!$B$32)/1000+'Inputs'!$B$21)+'Inputs'!$B$7)^2+('Inputs'!$B$6/2)^2)-(((805-43)*MAX('Inputs'!$B$33,'Inputs'!$B$29+'Inputs'!$B$31+'Inputs'!$B$32,'Inputs'!$B$30+'Inputs'!$B$31+'Inputs'!$B$32)/1000+'Inputs'!$B$21))/SQRT((((805-43)*MAX('Inputs'!$B$33,'Inputs'!$B$29+'Inputs'!$B$31+'Inputs'!$B$32,'Inputs'!$B$30+'Inputs'!$B$31+'Inputs'!$B$32)/1000+'Inputs'!$B$21))^2+('Inputs'!$B$6/2)^2)))-'Results'!C7*(0.5*((((805-43)*MAX('Inputs'!$B$33,'Inputs'!$B$29+'Inputs'!$B$31+'Inputs'!$B$32,'Inputs'!$B$30+'Inputs'!$B$31+'Inputs'!$B$32)/1000+'Inputs'!$B$21+'Inputs'!$B$7+'Inputs'!$B$10)+'Inputs'!$B$9)/SQRT((((805-43)*MAX('Inputs'!$B$33,'Inputs'!$B$29+'Inputs'!$B$31+'Inputs'!$B$32,'Inputs'!$B$30+'Inputs'!$B$31+'Inputs'!$B$32)/1000+'Inputs'!$B$21+'Inputs'!$B$7+'Inputs'!$B$10)+'Inputs'!$B$9)^2+('Inputs'!$B$8/2)^2)-(((805-43)*MAX('Inputs'!$B$33,'Inputs'!$B$29+'Inputs'!$B$31+'Inputs'!$B$32,'Inputs'!$B$30+'Inputs'!$B$31+'Inputs'!$B$32)/1000+'Inputs'!$B$21+'Inputs'!$B$7+'Inputs'!$B$10))/SQRT((((805-43)*MAX('Inputs'!$B$33,'Inputs'!$B$29+'Inputs'!$B$31+'Inputs'!$B$32,'Inputs'!$B$30+'Inputs'!$B$31+'Inputs'!$B$32)/1000+'Inputs'!$B$21+'Inputs'!$B$7+'Inputs'!$B$10))^2+('Inputs'!$B$8/2)^2))))*'Results'!$B$8),"")</x:f>
        <x:v>0.9549247100792283</x:v>
      </x:c>
      <x:c r="K805" t="n">
        <x:f>IF(AND(ISNUMBER('Results'!B7),ISNUMBER('Results'!C7),ISNUMBER('Results'!$B$8),ISNUMBER('Inputs'!$B$6),ISNUMBER('Inputs'!$B$7),ISNUMBER('Inputs'!$B$8),ISNUMBER('Inputs'!$B$9),ISNUMBER('Inputs'!$B$10),ISNUMBER('Inputs'!$B$21),ISNUMBER('Inputs'!$B$24),ISNUMBER('Inputs'!$B$28)),((('Results'!B7*(1-'Inputs'!$B$24)*(0.5*((((805-43)*MAX('Inputs'!$B$33,'Inputs'!$B$29+'Inputs'!$B$31+'Inputs'!$B$32,'Inputs'!$B$30+'Inputs'!$B$31+'Inputs'!$B$32)/1000+'Inputs'!$B$21)+'Inputs'!$B$7)/SQRT((((805-43)*MAX('Inputs'!$B$33,'Inputs'!$B$29+'Inputs'!$B$31+'Inputs'!$B$32,'Inputs'!$B$30+'Inputs'!$B$31+'Inputs'!$B$32)/1000+'Inputs'!$B$21)+'Inputs'!$B$7)^2+('Inputs'!$B$6/2)^2)-(((805-43)*MAX('Inputs'!$B$33,'Inputs'!$B$29+'Inputs'!$B$31+'Inputs'!$B$32,'Inputs'!$B$30+'Inputs'!$B$31+'Inputs'!$B$32)/1000+'Inputs'!$B$21))/SQRT((((805-43)*MAX('Inputs'!$B$33,'Inputs'!$B$29+'Inputs'!$B$31+'Inputs'!$B$32,'Inputs'!$B$30+'Inputs'!$B$31+'Inputs'!$B$32)/1000+'Inputs'!$B$21))^2+('Inputs'!$B$6/2)^2)))-'Results'!C7*(1+'Inputs'!$B$24)*(0.5*((((805-43)*MAX('Inputs'!$B$33,'Inputs'!$B$29+'Inputs'!$B$31+'Inputs'!$B$32,'Inputs'!$B$30+'Inputs'!$B$31+'Inputs'!$B$32)/1000+'Inputs'!$B$21+'Inputs'!$B$7+'Inputs'!$B$10)+'Inputs'!$B$9)/SQRT((((805-43)*MAX('Inputs'!$B$33,'Inputs'!$B$29+'Inputs'!$B$31+'Inputs'!$B$32,'Inputs'!$B$30+'Inputs'!$B$31+'Inputs'!$B$32)/1000+'Inputs'!$B$21+'Inputs'!$B$7+'Inputs'!$B$10)+'Inputs'!$B$9)^2+('Inputs'!$B$8/2)^2)-(((805-43)*MAX('Inputs'!$B$33,'Inputs'!$B$29+'Inputs'!$B$31+'Inputs'!$B$32,'Inputs'!$B$30+'Inputs'!$B$31+'Inputs'!$B$32)/1000+'Inputs'!$B$21+'Inputs'!$B$7+'Inputs'!$B$10))/SQRT((((805-43)*MAX('Inputs'!$B$33,'Inputs'!$B$29+'Inputs'!$B$31+'Inputs'!$B$32,'Inputs'!$B$30+'Inputs'!$B$31+'Inputs'!$B$32)/1000+'Inputs'!$B$21+'Inputs'!$B$7+'Inputs'!$B$10))^2+('Inputs'!$B$8/2)^2))))*'Results'!$B$8)-'Inputs'!$B$28*ABS((('Results'!B7*(1-'Inputs'!$B$24)*(0.5*((((805-43)*MAX('Inputs'!$B$33,'Inputs'!$B$29+'Inputs'!$B$31+'Inputs'!$B$32,'Inputs'!$B$30+'Inputs'!$B$31+'Inputs'!$B$32)/1000+'Inputs'!$B$21)+'Inputs'!$B$7)/SQRT((((805-43)*MAX('Inputs'!$B$33,'Inputs'!$B$29+'Inputs'!$B$31+'Inputs'!$B$32,'Inputs'!$B$30+'Inputs'!$B$31+'Inputs'!$B$32)/1000+'Inputs'!$B$21)+'Inputs'!$B$7)^2+('Inputs'!$B$6/2)^2)-(((805-43)*MAX('Inputs'!$B$33,'Inputs'!$B$29+'Inputs'!$B$31+'Inputs'!$B$32,'Inputs'!$B$30+'Inputs'!$B$31+'Inputs'!$B$32)/1000+'Inputs'!$B$21))/SQRT((((805-43)*MAX('Inputs'!$B$33,'Inputs'!$B$29+'Inputs'!$B$31+'Inputs'!$B$32,'Inputs'!$B$30+'Inputs'!$B$31+'Inputs'!$B$32)/1000+'Inputs'!$B$21))^2+('Inputs'!$B$6/2)^2)))-'Results'!C7*(1+'Inputs'!$B$24)*(0.5*((((805-43)*MAX('Inputs'!$B$33,'Inputs'!$B$29+'Inputs'!$B$31+'Inputs'!$B$32,'Inputs'!$B$30+'Inputs'!$B$31+'Inputs'!$B$32)/1000+'Inputs'!$B$21+'Inputs'!$B$7+'Inputs'!$B$10)+'Inputs'!$B$9)/SQRT((((805-43)*MAX('Inputs'!$B$33,'Inputs'!$B$29+'Inputs'!$B$31+'Inputs'!$B$32,'Inputs'!$B$30+'Inputs'!$B$31+'Inputs'!$B$32)/1000+'Inputs'!$B$21+'Inputs'!$B$7+'Inputs'!$B$10)+'Inputs'!$B$9)^2+('Inputs'!$B$8/2)^2)-(((805-43)*MAX('Inputs'!$B$33,'Inputs'!$B$29+'Inputs'!$B$31+'Inputs'!$B$32,'Inputs'!$B$30+'Inputs'!$B$31+'Inputs'!$B$32)/1000+'Inputs'!$B$21+'Inputs'!$B$7+'Inputs'!$B$10))/SQRT((((805-43)*MAX('Inputs'!$B$33,'Inputs'!$B$29+'Inputs'!$B$31+'Inputs'!$B$32,'Inputs'!$B$30+'Inputs'!$B$31+'Inputs'!$B$32)/1000+'Inputs'!$B$21+'Inputs'!$B$7+'Inputs'!$B$10))^2+('Inputs'!$B$8/2)^2))))*'Results'!$B$8))),"")</x:f>
        <x:v>0.8210005442104421</x:v>
      </x:c>
      <x:c r="L805" t="n">
        <x:f>IF(AND(ISNUMBER('Results'!B7),ISNUMBER('Results'!C7),ISNUMBER('Results'!$B$8),ISNUMBER('Inputs'!$B$6),ISNUMBER('Inputs'!$B$7),ISNUMBER('Inputs'!$B$8),ISNUMBER('Inputs'!$B$9),ISNUMBER('Inputs'!$B$10),ISNUMBER('Inputs'!$B$21),ISNUMBER('Inputs'!$B$24),ISNUMBER('Inputs'!$B$28)),((('Results'!B7*(1+'Inputs'!$B$24)*(0.5*((((805-43)*MAX('Inputs'!$B$33,'Inputs'!$B$29+'Inputs'!$B$31+'Inputs'!$B$32,'Inputs'!$B$30+'Inputs'!$B$31+'Inputs'!$B$32)/1000+'Inputs'!$B$21)+'Inputs'!$B$7)/SQRT((((805-43)*MAX('Inputs'!$B$33,'Inputs'!$B$29+'Inputs'!$B$31+'Inputs'!$B$32,'Inputs'!$B$30+'Inputs'!$B$31+'Inputs'!$B$32)/1000+'Inputs'!$B$21)+'Inputs'!$B$7)^2+('Inputs'!$B$6/2)^2)-(((805-43)*MAX('Inputs'!$B$33,'Inputs'!$B$29+'Inputs'!$B$31+'Inputs'!$B$32,'Inputs'!$B$30+'Inputs'!$B$31+'Inputs'!$B$32)/1000+'Inputs'!$B$21))/SQRT((((805-43)*MAX('Inputs'!$B$33,'Inputs'!$B$29+'Inputs'!$B$31+'Inputs'!$B$32,'Inputs'!$B$30+'Inputs'!$B$31+'Inputs'!$B$32)/1000+'Inputs'!$B$21))^2+('Inputs'!$B$6/2)^2)))-'Results'!C7*(1-'Inputs'!$B$24)*(0.5*((((805-43)*MAX('Inputs'!$B$33,'Inputs'!$B$29+'Inputs'!$B$31+'Inputs'!$B$32,'Inputs'!$B$30+'Inputs'!$B$31+'Inputs'!$B$32)/1000+'Inputs'!$B$21+'Inputs'!$B$7+'Inputs'!$B$10)+'Inputs'!$B$9)/SQRT((((805-43)*MAX('Inputs'!$B$33,'Inputs'!$B$29+'Inputs'!$B$31+'Inputs'!$B$32,'Inputs'!$B$30+'Inputs'!$B$31+'Inputs'!$B$32)/1000+'Inputs'!$B$21+'Inputs'!$B$7+'Inputs'!$B$10)+'Inputs'!$B$9)^2+('Inputs'!$B$8/2)^2)-(((805-43)*MAX('Inputs'!$B$33,'Inputs'!$B$29+'Inputs'!$B$31+'Inputs'!$B$32,'Inputs'!$B$30+'Inputs'!$B$31+'Inputs'!$B$32)/1000+'Inputs'!$B$21+'Inputs'!$B$7+'Inputs'!$B$10))/SQRT((((805-43)*MAX('Inputs'!$B$33,'Inputs'!$B$29+'Inputs'!$B$31+'Inputs'!$B$32,'Inputs'!$B$30+'Inputs'!$B$31+'Inputs'!$B$32)/1000+'Inputs'!$B$21+'Inputs'!$B$7+'Inputs'!$B$10))^2+('Inputs'!$B$8/2)^2))))*'Results'!$B$8)+'Inputs'!$B$28*ABS((('Results'!B7*(1+'Inputs'!$B$24)*(0.5*((((805-43)*MAX('Inputs'!$B$33,'Inputs'!$B$29+'Inputs'!$B$31+'Inputs'!$B$32,'Inputs'!$B$30+'Inputs'!$B$31+'Inputs'!$B$32)/1000+'Inputs'!$B$21)+'Inputs'!$B$7)/SQRT((((805-43)*MAX('Inputs'!$B$33,'Inputs'!$B$29+'Inputs'!$B$31+'Inputs'!$B$32,'Inputs'!$B$30+'Inputs'!$B$31+'Inputs'!$B$32)/1000+'Inputs'!$B$21)+'Inputs'!$B$7)^2+('Inputs'!$B$6/2)^2)-(((805-43)*MAX('Inputs'!$B$33,'Inputs'!$B$29+'Inputs'!$B$31+'Inputs'!$B$32,'Inputs'!$B$30+'Inputs'!$B$31+'Inputs'!$B$32)/1000+'Inputs'!$B$21))/SQRT((((805-43)*MAX('Inputs'!$B$33,'Inputs'!$B$29+'Inputs'!$B$31+'Inputs'!$B$32,'Inputs'!$B$30+'Inputs'!$B$31+'Inputs'!$B$32)/1000+'Inputs'!$B$21))^2+('Inputs'!$B$6/2)^2)))-'Results'!C7*(1-'Inputs'!$B$24)*(0.5*((((805-43)*MAX('Inputs'!$B$33,'Inputs'!$B$29+'Inputs'!$B$31+'Inputs'!$B$32,'Inputs'!$B$30+'Inputs'!$B$31+'Inputs'!$B$32)/1000+'Inputs'!$B$21+'Inputs'!$B$7+'Inputs'!$B$10)+'Inputs'!$B$9)/SQRT((((805-43)*MAX('Inputs'!$B$33,'Inputs'!$B$29+'Inputs'!$B$31+'Inputs'!$B$32,'Inputs'!$B$30+'Inputs'!$B$31+'Inputs'!$B$32)/1000+'Inputs'!$B$21+'Inputs'!$B$7+'Inputs'!$B$10)+'Inputs'!$B$9)^2+('Inputs'!$B$8/2)^2)-(((805-43)*MAX('Inputs'!$B$33,'Inputs'!$B$29+'Inputs'!$B$31+'Inputs'!$B$32,'Inputs'!$B$30+'Inputs'!$B$31+'Inputs'!$B$32)/1000+'Inputs'!$B$21+'Inputs'!$B$7+'Inputs'!$B$10))/SQRT((((805-43)*MAX('Inputs'!$B$33,'Inputs'!$B$29+'Inputs'!$B$31+'Inputs'!$B$32,'Inputs'!$B$30+'Inputs'!$B$31+'Inputs'!$B$32)/1000+'Inputs'!$B$21+'Inputs'!$B$7+'Inputs'!$B$10))^2+('Inputs'!$B$8/2)^2))))*'Results'!$B$8))),"")</x:f>
        <x:v>1.0979202370390488</x:v>
      </x:c>
      <x:c r="M805" t="n">
        <x:f>IF(AND(ISNUMBER('Results'!C7),ISNUMBER('Results'!B7),ISNUMBER('Results'!$B$8),ISNUMBER('Inputs'!$B$6),ISNUMBER('Inputs'!$B$7),ISNUMBER('Inputs'!$B$8),ISNUMBER('Inputs'!$B$9),ISNUMBER('Inputs'!$B$10),ISNUMBER('Inputs'!$B$21),ISNUMBER('Inputs'!$B$24),ISNUMBER('Inputs'!$B$28)),(('Results'!C7*(0.5*((((805-43)*MAX('Inputs'!$B$33,'Inputs'!$B$29+'Inputs'!$B$31+'Inputs'!$B$32,'Inputs'!$B$30+'Inputs'!$B$31+'Inputs'!$B$32)/1000+'Inputs'!$B$21)+'Inputs'!$B$9)/SQRT((((805-43)*MAX('Inputs'!$B$33,'Inputs'!$B$29+'Inputs'!$B$31+'Inputs'!$B$32,'Inputs'!$B$30+'Inputs'!$B$31+'Inputs'!$B$32)/1000+'Inputs'!$B$21)+'Inputs'!$B$9)^2+('Inputs'!$B$8/2)^2)-(((805-43)*MAX('Inputs'!$B$33,'Inputs'!$B$29+'Inputs'!$B$31+'Inputs'!$B$32,'Inputs'!$B$30+'Inputs'!$B$31+'Inputs'!$B$32)/1000+'Inputs'!$B$21))/SQRT((((805-43)*MAX('Inputs'!$B$33,'Inputs'!$B$29+'Inputs'!$B$31+'Inputs'!$B$32,'Inputs'!$B$30+'Inputs'!$B$31+'Inputs'!$B$32)/1000+'Inputs'!$B$21))^2+('Inputs'!$B$8/2)^2)))-'Results'!B7*(0.5*((((805-43)*MAX('Inputs'!$B$33,'Inputs'!$B$29+'Inputs'!$B$31+'Inputs'!$B$32,'Inputs'!$B$30+'Inputs'!$B$31+'Inputs'!$B$32)/1000+'Inputs'!$B$21+'Inputs'!$B$9+'Inputs'!$B$10)+'Inputs'!$B$7)/SQRT((((805-43)*MAX('Inputs'!$B$33,'Inputs'!$B$29+'Inputs'!$B$31+'Inputs'!$B$32,'Inputs'!$B$30+'Inputs'!$B$31+'Inputs'!$B$32)/1000+'Inputs'!$B$21+'Inputs'!$B$9+'Inputs'!$B$10)+'Inputs'!$B$7)^2+('Inputs'!$B$6/2)^2)-(((805-43)*MAX('Inputs'!$B$33,'Inputs'!$B$29+'Inputs'!$B$31+'Inputs'!$B$32,'Inputs'!$B$30+'Inputs'!$B$31+'Inputs'!$B$32)/1000+'Inputs'!$B$21+'Inputs'!$B$9+'Inputs'!$B$10))/SQRT((((805-43)*MAX('Inputs'!$B$33,'Inputs'!$B$29+'Inputs'!$B$31+'Inputs'!$B$32,'Inputs'!$B$30+'Inputs'!$B$31+'Inputs'!$B$32)/1000+'Inputs'!$B$21+'Inputs'!$B$9+'Inputs'!$B$10))^2+('Inputs'!$B$6/2)^2))))*'Results'!$B$8),"")</x:f>
        <x:v>0.8634803326718584</x:v>
      </x:c>
      <x:c r="N805" t="n">
        <x:f>IF(AND(ISNUMBER('Results'!C7),ISNUMBER('Results'!B7),ISNUMBER('Results'!$B$8),ISNUMBER('Inputs'!$B$6),ISNUMBER('Inputs'!$B$7),ISNUMBER('Inputs'!$B$8),ISNUMBER('Inputs'!$B$9),ISNUMBER('Inputs'!$B$10),ISNUMBER('Inputs'!$B$21),ISNUMBER('Inputs'!$B$24),ISNUMBER('Inputs'!$B$28)),((('Results'!C7*(1-'Inputs'!$B$24)*(0.5*((((805-43)*MAX('Inputs'!$B$33,'Inputs'!$B$29+'Inputs'!$B$31+'Inputs'!$B$32,'Inputs'!$B$30+'Inputs'!$B$31+'Inputs'!$B$32)/1000+'Inputs'!$B$21)+'Inputs'!$B$9)/SQRT((((805-43)*MAX('Inputs'!$B$33,'Inputs'!$B$29+'Inputs'!$B$31+'Inputs'!$B$32,'Inputs'!$B$30+'Inputs'!$B$31+'Inputs'!$B$32)/1000+'Inputs'!$B$21)+'Inputs'!$B$9)^2+('Inputs'!$B$8/2)^2)-(((805-43)*MAX('Inputs'!$B$33,'Inputs'!$B$29+'Inputs'!$B$31+'Inputs'!$B$32,'Inputs'!$B$30+'Inputs'!$B$31+'Inputs'!$B$32)/1000+'Inputs'!$B$21))/SQRT((((805-43)*MAX('Inputs'!$B$33,'Inputs'!$B$29+'Inputs'!$B$31+'Inputs'!$B$32,'Inputs'!$B$30+'Inputs'!$B$31+'Inputs'!$B$32)/1000+'Inputs'!$B$21))^2+('Inputs'!$B$8/2)^2)))-'Results'!B7*(1+'Inputs'!$B$24)*(0.5*((((805-43)*MAX('Inputs'!$B$33,'Inputs'!$B$29+'Inputs'!$B$31+'Inputs'!$B$32,'Inputs'!$B$30+'Inputs'!$B$31+'Inputs'!$B$32)/1000+'Inputs'!$B$21+'Inputs'!$B$9+'Inputs'!$B$10)+'Inputs'!$B$7)/SQRT((((805-43)*MAX('Inputs'!$B$33,'Inputs'!$B$29+'Inputs'!$B$31+'Inputs'!$B$32,'Inputs'!$B$30+'Inputs'!$B$31+'Inputs'!$B$32)/1000+'Inputs'!$B$21+'Inputs'!$B$9+'Inputs'!$B$10)+'Inputs'!$B$7)^2+('Inputs'!$B$6/2)^2)-(((805-43)*MAX('Inputs'!$B$33,'Inputs'!$B$29+'Inputs'!$B$31+'Inputs'!$B$32,'Inputs'!$B$30+'Inputs'!$B$31+'Inputs'!$B$32)/1000+'Inputs'!$B$21+'Inputs'!$B$9+'Inputs'!$B$10))/SQRT((((805-43)*MAX('Inputs'!$B$33,'Inputs'!$B$29+'Inputs'!$B$31+'Inputs'!$B$32,'Inputs'!$B$30+'Inputs'!$B$31+'Inputs'!$B$32)/1000+'Inputs'!$B$21+'Inputs'!$B$9+'Inputs'!$B$10))^2+('Inputs'!$B$6/2)^2))))*'Results'!$B$8)-'Inputs'!$B$28*ABS((('Results'!C7*(1-'Inputs'!$B$24)*(0.5*((((805-43)*MAX('Inputs'!$B$33,'Inputs'!$B$29+'Inputs'!$B$31+'Inputs'!$B$32,'Inputs'!$B$30+'Inputs'!$B$31+'Inputs'!$B$32)/1000+'Inputs'!$B$21)+'Inputs'!$B$9)/SQRT((((805-43)*MAX('Inputs'!$B$33,'Inputs'!$B$29+'Inputs'!$B$31+'Inputs'!$B$32,'Inputs'!$B$30+'Inputs'!$B$31+'Inputs'!$B$32)/1000+'Inputs'!$B$21)+'Inputs'!$B$9)^2+('Inputs'!$B$8/2)^2)-(((805-43)*MAX('Inputs'!$B$33,'Inputs'!$B$29+'Inputs'!$B$31+'Inputs'!$B$32,'Inputs'!$B$30+'Inputs'!$B$31+'Inputs'!$B$32)/1000+'Inputs'!$B$21))/SQRT((((805-43)*MAX('Inputs'!$B$33,'Inputs'!$B$29+'Inputs'!$B$31+'Inputs'!$B$32,'Inputs'!$B$30+'Inputs'!$B$31+'Inputs'!$B$32)/1000+'Inputs'!$B$21))^2+('Inputs'!$B$8/2)^2)))-'Results'!B7*(1+'Inputs'!$B$24)*(0.5*((((805-43)*MAX('Inputs'!$B$33,'Inputs'!$B$29+'Inputs'!$B$31+'Inputs'!$B$32,'Inputs'!$B$30+'Inputs'!$B$31+'Inputs'!$B$32)/1000+'Inputs'!$B$21+'Inputs'!$B$9+'Inputs'!$B$10)+'Inputs'!$B$7)/SQRT((((805-43)*MAX('Inputs'!$B$33,'Inputs'!$B$29+'Inputs'!$B$31+'Inputs'!$B$32,'Inputs'!$B$30+'Inputs'!$B$31+'Inputs'!$B$32)/1000+'Inputs'!$B$21+'Inputs'!$B$9+'Inputs'!$B$10)+'Inputs'!$B$7)^2+('Inputs'!$B$6/2)^2)-(((805-43)*MAX('Inputs'!$B$33,'Inputs'!$B$29+'Inputs'!$B$31+'Inputs'!$B$32,'Inputs'!$B$30+'Inputs'!$B$31+'Inputs'!$B$32)/1000+'Inputs'!$B$21+'Inputs'!$B$9+'Inputs'!$B$10))/SQRT((((805-43)*MAX('Inputs'!$B$33,'Inputs'!$B$29+'Inputs'!$B$31+'Inputs'!$B$32,'Inputs'!$B$30+'Inputs'!$B$31+'Inputs'!$B$32)/1000+'Inputs'!$B$21+'Inputs'!$B$9+'Inputs'!$B$10))^2+('Inputs'!$B$6/2)^2))))*'Results'!$B$8))),"")</x:f>
        <x:v>0.7344773724998269</x:v>
      </x:c>
      <x:c r="O805" t="n">
        <x:f>IF(AND(ISNUMBER('Results'!C7),ISNUMBER('Results'!B7),ISNUMBER('Results'!$B$8),ISNUMBER('Inputs'!$B$6),ISNUMBER('Inputs'!$B$7),ISNUMBER('Inputs'!$B$8),ISNUMBER('Inputs'!$B$9),ISNUMBER('Inputs'!$B$10),ISNUMBER('Inputs'!$B$21),ISNUMBER('Inputs'!$B$24),ISNUMBER('Inputs'!$B$28)),((('Results'!C7*(1+'Inputs'!$B$24)*(0.5*((((805-43)*MAX('Inputs'!$B$33,'Inputs'!$B$29+'Inputs'!$B$31+'Inputs'!$B$32,'Inputs'!$B$30+'Inputs'!$B$31+'Inputs'!$B$32)/1000+'Inputs'!$B$21)+'Inputs'!$B$9)/SQRT((((805-43)*MAX('Inputs'!$B$33,'Inputs'!$B$29+'Inputs'!$B$31+'Inputs'!$B$32,'Inputs'!$B$30+'Inputs'!$B$31+'Inputs'!$B$32)/1000+'Inputs'!$B$21)+'Inputs'!$B$9)^2+('Inputs'!$B$8/2)^2)-(((805-43)*MAX('Inputs'!$B$33,'Inputs'!$B$29+'Inputs'!$B$31+'Inputs'!$B$32,'Inputs'!$B$30+'Inputs'!$B$31+'Inputs'!$B$32)/1000+'Inputs'!$B$21))/SQRT((((805-43)*MAX('Inputs'!$B$33,'Inputs'!$B$29+'Inputs'!$B$31+'Inputs'!$B$32,'Inputs'!$B$30+'Inputs'!$B$31+'Inputs'!$B$32)/1000+'Inputs'!$B$21))^2+('Inputs'!$B$8/2)^2)))-'Results'!B7*(1-'Inputs'!$B$24)*(0.5*((((805-43)*MAX('Inputs'!$B$33,'Inputs'!$B$29+'Inputs'!$B$31+'Inputs'!$B$32,'Inputs'!$B$30+'Inputs'!$B$31+'Inputs'!$B$32)/1000+'Inputs'!$B$21+'Inputs'!$B$9+'Inputs'!$B$10)+'Inputs'!$B$7)/SQRT((((805-43)*MAX('Inputs'!$B$33,'Inputs'!$B$29+'Inputs'!$B$31+'Inputs'!$B$32,'Inputs'!$B$30+'Inputs'!$B$31+'Inputs'!$B$32)/1000+'Inputs'!$B$21+'Inputs'!$B$9+'Inputs'!$B$10)+'Inputs'!$B$7)^2+('Inputs'!$B$6/2)^2)-(((805-43)*MAX('Inputs'!$B$33,'Inputs'!$B$29+'Inputs'!$B$31+'Inputs'!$B$32,'Inputs'!$B$30+'Inputs'!$B$31+'Inputs'!$B$32)/1000+'Inputs'!$B$21+'Inputs'!$B$9+'Inputs'!$B$10))/SQRT((((805-43)*MAX('Inputs'!$B$33,'Inputs'!$B$29+'Inputs'!$B$31+'Inputs'!$B$32,'Inputs'!$B$30+'Inputs'!$B$31+'Inputs'!$B$32)/1000+'Inputs'!$B$21+'Inputs'!$B$9+'Inputs'!$B$10))^2+('Inputs'!$B$6/2)^2))))*'Results'!$B$8)+'Inputs'!$B$28*ABS((('Results'!C7*(1+'Inputs'!$B$24)*(0.5*((((805-43)*MAX('Inputs'!$B$33,'Inputs'!$B$29+'Inputs'!$B$31+'Inputs'!$B$32,'Inputs'!$B$30+'Inputs'!$B$31+'Inputs'!$B$32)/1000+'Inputs'!$B$21)+'Inputs'!$B$9)/SQRT((((805-43)*MAX('Inputs'!$B$33,'Inputs'!$B$29+'Inputs'!$B$31+'Inputs'!$B$32,'Inputs'!$B$30+'Inputs'!$B$31+'Inputs'!$B$32)/1000+'Inputs'!$B$21)+'Inputs'!$B$9)^2+('Inputs'!$B$8/2)^2)-(((805-43)*MAX('Inputs'!$B$33,'Inputs'!$B$29+'Inputs'!$B$31+'Inputs'!$B$32,'Inputs'!$B$30+'Inputs'!$B$31+'Inputs'!$B$32)/1000+'Inputs'!$B$21))/SQRT((((805-43)*MAX('Inputs'!$B$33,'Inputs'!$B$29+'Inputs'!$B$31+'Inputs'!$B$32,'Inputs'!$B$30+'Inputs'!$B$31+'Inputs'!$B$32)/1000+'Inputs'!$B$21))^2+('Inputs'!$B$8/2)^2)))-'Results'!B7*(1-'Inputs'!$B$24)*(0.5*((((805-43)*MAX('Inputs'!$B$33,'Inputs'!$B$29+'Inputs'!$B$31+'Inputs'!$B$32,'Inputs'!$B$30+'Inputs'!$B$31+'Inputs'!$B$32)/1000+'Inputs'!$B$21+'Inputs'!$B$9+'Inputs'!$B$10)+'Inputs'!$B$7)/SQRT((((805-43)*MAX('Inputs'!$B$33,'Inputs'!$B$29+'Inputs'!$B$31+'Inputs'!$B$32,'Inputs'!$B$30+'Inputs'!$B$31+'Inputs'!$B$32)/1000+'Inputs'!$B$21+'Inputs'!$B$9+'Inputs'!$B$10)+'Inputs'!$B$7)^2+('Inputs'!$B$6/2)^2)-(((805-43)*MAX('Inputs'!$B$33,'Inputs'!$B$29+'Inputs'!$B$31+'Inputs'!$B$32,'Inputs'!$B$30+'Inputs'!$B$31+'Inputs'!$B$32)/1000+'Inputs'!$B$21+'Inputs'!$B$9+'Inputs'!$B$10))/SQRT((((805-43)*MAX('Inputs'!$B$33,'Inputs'!$B$29+'Inputs'!$B$31+'Inputs'!$B$32,'Inputs'!$B$30+'Inputs'!$B$31+'Inputs'!$B$32)/1000+'Inputs'!$B$21+'Inputs'!$B$9+'Inputs'!$B$10))^2+('Inputs'!$B$6/2)^2))))*'Results'!$B$8))),"")</x:f>
        <x:v>1.0015179184795144</x:v>
      </x:c>
      <x:c r="P805" t="n">
        <x:f>IF(AND(MAX(J805,J804)&gt;0,J805&gt;J804+0.00000001),1,0)</x:f>
        <x:v>0</x:v>
      </x:c>
      <x:c r="Q805" t="n">
        <x:f>IF(AND(MAX(K805,K804)&gt;0,K805&gt;K804+0.00000001),1,0)</x:f>
        <x:v>0</x:v>
      </x:c>
      <x:c r="R805" t="n">
        <x:f>IF(AND(MAX(L805,L804)&gt;0,L805&gt;L804+0.00000001),1,0)</x:f>
        <x:v>0</x:v>
      </x:c>
      <x:c r="S805" t="n">
        <x:f>IF(AND(MAX(M805,M804)&gt;0,M805&gt;M804+0.00000001),1,0)</x:f>
        <x:v>0</x:v>
      </x:c>
      <x:c r="T805" t="n">
        <x:f>IF(AND(MAX(N805,N804)&gt;0,N805&gt;N804+0.00000001),1,0)</x:f>
        <x:v>0</x:v>
      </x:c>
      <x:c r="U805" t="n">
        <x:f>IF(AND(MAX(O805,O804)&gt;0,O805&gt;O804+0.00000001),1,0)</x:f>
        <x:v>0</x:v>
      </x:c>
    </x:row>
    <x:row r="806">
      <x:c r="J806" t="n">
        <x:f>IF(AND(ISNUMBER('Results'!B7),ISNUMBER('Results'!C7),ISNUMBER('Results'!$B$8),ISNUMBER('Inputs'!$B$6),ISNUMBER('Inputs'!$B$7),ISNUMBER('Inputs'!$B$8),ISNUMBER('Inputs'!$B$9),ISNUMBER('Inputs'!$B$10),ISNUMBER('Inputs'!$B$21),ISNUMBER('Inputs'!$B$24),ISNUMBER('Inputs'!$B$28)),(('Results'!B7*(0.5*((((806-43)*MAX('Inputs'!$B$33,'Inputs'!$B$29+'Inputs'!$B$31+'Inputs'!$B$32,'Inputs'!$B$30+'Inputs'!$B$31+'Inputs'!$B$32)/1000+'Inputs'!$B$21)+'Inputs'!$B$7)/SQRT((((806-43)*MAX('Inputs'!$B$33,'Inputs'!$B$29+'Inputs'!$B$31+'Inputs'!$B$32,'Inputs'!$B$30+'Inputs'!$B$31+'Inputs'!$B$32)/1000+'Inputs'!$B$21)+'Inputs'!$B$7)^2+('Inputs'!$B$6/2)^2)-(((806-43)*MAX('Inputs'!$B$33,'Inputs'!$B$29+'Inputs'!$B$31+'Inputs'!$B$32,'Inputs'!$B$30+'Inputs'!$B$31+'Inputs'!$B$32)/1000+'Inputs'!$B$21))/SQRT((((806-43)*MAX('Inputs'!$B$33,'Inputs'!$B$29+'Inputs'!$B$31+'Inputs'!$B$32,'Inputs'!$B$30+'Inputs'!$B$31+'Inputs'!$B$32)/1000+'Inputs'!$B$21))^2+('Inputs'!$B$6/2)^2)))-'Results'!C7*(0.5*((((806-43)*MAX('Inputs'!$B$33,'Inputs'!$B$29+'Inputs'!$B$31+'Inputs'!$B$32,'Inputs'!$B$30+'Inputs'!$B$31+'Inputs'!$B$32)/1000+'Inputs'!$B$21+'Inputs'!$B$7+'Inputs'!$B$10)+'Inputs'!$B$9)/SQRT((((806-43)*MAX('Inputs'!$B$33,'Inputs'!$B$29+'Inputs'!$B$31+'Inputs'!$B$32,'Inputs'!$B$30+'Inputs'!$B$31+'Inputs'!$B$32)/1000+'Inputs'!$B$21+'Inputs'!$B$7+'Inputs'!$B$10)+'Inputs'!$B$9)^2+('Inputs'!$B$8/2)^2)-(((806-43)*MAX('Inputs'!$B$33,'Inputs'!$B$29+'Inputs'!$B$31+'Inputs'!$B$32,'Inputs'!$B$30+'Inputs'!$B$31+'Inputs'!$B$32)/1000+'Inputs'!$B$21+'Inputs'!$B$7+'Inputs'!$B$10))/SQRT((((806-43)*MAX('Inputs'!$B$33,'Inputs'!$B$29+'Inputs'!$B$31+'Inputs'!$B$32,'Inputs'!$B$30+'Inputs'!$B$31+'Inputs'!$B$32)/1000+'Inputs'!$B$21+'Inputs'!$B$7+'Inputs'!$B$10))^2+('Inputs'!$B$8/2)^2))))*'Results'!$B$8),"")</x:f>
        <x:v>0.9504509743905227</x:v>
      </x:c>
      <x:c r="K806" t="n">
        <x:f>IF(AND(ISNUMBER('Results'!B7),ISNUMBER('Results'!C7),ISNUMBER('Results'!$B$8),ISNUMBER('Inputs'!$B$6),ISNUMBER('Inputs'!$B$7),ISNUMBER('Inputs'!$B$8),ISNUMBER('Inputs'!$B$9),ISNUMBER('Inputs'!$B$10),ISNUMBER('Inputs'!$B$21),ISNUMBER('Inputs'!$B$24),ISNUMBER('Inputs'!$B$28)),((('Results'!B7*(1-'Inputs'!$B$24)*(0.5*((((806-43)*MAX('Inputs'!$B$33,'Inputs'!$B$29+'Inputs'!$B$31+'Inputs'!$B$32,'Inputs'!$B$30+'Inputs'!$B$31+'Inputs'!$B$32)/1000+'Inputs'!$B$21)+'Inputs'!$B$7)/SQRT((((806-43)*MAX('Inputs'!$B$33,'Inputs'!$B$29+'Inputs'!$B$31+'Inputs'!$B$32,'Inputs'!$B$30+'Inputs'!$B$31+'Inputs'!$B$32)/1000+'Inputs'!$B$21)+'Inputs'!$B$7)^2+('Inputs'!$B$6/2)^2)-(((806-43)*MAX('Inputs'!$B$33,'Inputs'!$B$29+'Inputs'!$B$31+'Inputs'!$B$32,'Inputs'!$B$30+'Inputs'!$B$31+'Inputs'!$B$32)/1000+'Inputs'!$B$21))/SQRT((((806-43)*MAX('Inputs'!$B$33,'Inputs'!$B$29+'Inputs'!$B$31+'Inputs'!$B$32,'Inputs'!$B$30+'Inputs'!$B$31+'Inputs'!$B$32)/1000+'Inputs'!$B$21))^2+('Inputs'!$B$6/2)^2)))-'Results'!C7*(1+'Inputs'!$B$24)*(0.5*((((806-43)*MAX('Inputs'!$B$33,'Inputs'!$B$29+'Inputs'!$B$31+'Inputs'!$B$32,'Inputs'!$B$30+'Inputs'!$B$31+'Inputs'!$B$32)/1000+'Inputs'!$B$21+'Inputs'!$B$7+'Inputs'!$B$10)+'Inputs'!$B$9)/SQRT((((806-43)*MAX('Inputs'!$B$33,'Inputs'!$B$29+'Inputs'!$B$31+'Inputs'!$B$32,'Inputs'!$B$30+'Inputs'!$B$31+'Inputs'!$B$32)/1000+'Inputs'!$B$21+'Inputs'!$B$7+'Inputs'!$B$10)+'Inputs'!$B$9)^2+('Inputs'!$B$8/2)^2)-(((806-43)*MAX('Inputs'!$B$33,'Inputs'!$B$29+'Inputs'!$B$31+'Inputs'!$B$32,'Inputs'!$B$30+'Inputs'!$B$31+'Inputs'!$B$32)/1000+'Inputs'!$B$21+'Inputs'!$B$7+'Inputs'!$B$10))/SQRT((((806-43)*MAX('Inputs'!$B$33,'Inputs'!$B$29+'Inputs'!$B$31+'Inputs'!$B$32,'Inputs'!$B$30+'Inputs'!$B$31+'Inputs'!$B$32)/1000+'Inputs'!$B$21+'Inputs'!$B$7+'Inputs'!$B$10))^2+('Inputs'!$B$8/2)^2))))*'Results'!$B$8)-'Inputs'!$B$28*ABS((('Results'!B7*(1-'Inputs'!$B$24)*(0.5*((((806-43)*MAX('Inputs'!$B$33,'Inputs'!$B$29+'Inputs'!$B$31+'Inputs'!$B$32,'Inputs'!$B$30+'Inputs'!$B$31+'Inputs'!$B$32)/1000+'Inputs'!$B$21)+'Inputs'!$B$7)/SQRT((((806-43)*MAX('Inputs'!$B$33,'Inputs'!$B$29+'Inputs'!$B$31+'Inputs'!$B$32,'Inputs'!$B$30+'Inputs'!$B$31+'Inputs'!$B$32)/1000+'Inputs'!$B$21)+'Inputs'!$B$7)^2+('Inputs'!$B$6/2)^2)-(((806-43)*MAX('Inputs'!$B$33,'Inputs'!$B$29+'Inputs'!$B$31+'Inputs'!$B$32,'Inputs'!$B$30+'Inputs'!$B$31+'Inputs'!$B$32)/1000+'Inputs'!$B$21))/SQRT((((806-43)*MAX('Inputs'!$B$33,'Inputs'!$B$29+'Inputs'!$B$31+'Inputs'!$B$32,'Inputs'!$B$30+'Inputs'!$B$31+'Inputs'!$B$32)/1000+'Inputs'!$B$21))^2+('Inputs'!$B$6/2)^2)))-'Results'!C7*(1+'Inputs'!$B$24)*(0.5*((((806-43)*MAX('Inputs'!$B$33,'Inputs'!$B$29+'Inputs'!$B$31+'Inputs'!$B$32,'Inputs'!$B$30+'Inputs'!$B$31+'Inputs'!$B$32)/1000+'Inputs'!$B$21+'Inputs'!$B$7+'Inputs'!$B$10)+'Inputs'!$B$9)/SQRT((((806-43)*MAX('Inputs'!$B$33,'Inputs'!$B$29+'Inputs'!$B$31+'Inputs'!$B$32,'Inputs'!$B$30+'Inputs'!$B$31+'Inputs'!$B$32)/1000+'Inputs'!$B$21+'Inputs'!$B$7+'Inputs'!$B$10)+'Inputs'!$B$9)^2+('Inputs'!$B$8/2)^2)-(((806-43)*MAX('Inputs'!$B$33,'Inputs'!$B$29+'Inputs'!$B$31+'Inputs'!$B$32,'Inputs'!$B$30+'Inputs'!$B$31+'Inputs'!$B$32)/1000+'Inputs'!$B$21+'Inputs'!$B$7+'Inputs'!$B$10))/SQRT((((806-43)*MAX('Inputs'!$B$33,'Inputs'!$B$29+'Inputs'!$B$31+'Inputs'!$B$32,'Inputs'!$B$30+'Inputs'!$B$31+'Inputs'!$B$32)/1000+'Inputs'!$B$21+'Inputs'!$B$7+'Inputs'!$B$10))^2+('Inputs'!$B$8/2)^2))))*'Results'!$B$8))),"")</x:f>
        <x:v>0.8170610290983782</x:v>
      </x:c>
      <x:c r="L806" t="n">
        <x:f>IF(AND(ISNUMBER('Results'!B7),ISNUMBER('Results'!C7),ISNUMBER('Results'!$B$8),ISNUMBER('Inputs'!$B$6),ISNUMBER('Inputs'!$B$7),ISNUMBER('Inputs'!$B$8),ISNUMBER('Inputs'!$B$9),ISNUMBER('Inputs'!$B$10),ISNUMBER('Inputs'!$B$21),ISNUMBER('Inputs'!$B$24),ISNUMBER('Inputs'!$B$28)),((('Results'!B7*(1+'Inputs'!$B$24)*(0.5*((((806-43)*MAX('Inputs'!$B$33,'Inputs'!$B$29+'Inputs'!$B$31+'Inputs'!$B$32,'Inputs'!$B$30+'Inputs'!$B$31+'Inputs'!$B$32)/1000+'Inputs'!$B$21)+'Inputs'!$B$7)/SQRT((((806-43)*MAX('Inputs'!$B$33,'Inputs'!$B$29+'Inputs'!$B$31+'Inputs'!$B$32,'Inputs'!$B$30+'Inputs'!$B$31+'Inputs'!$B$32)/1000+'Inputs'!$B$21)+'Inputs'!$B$7)^2+('Inputs'!$B$6/2)^2)-(((806-43)*MAX('Inputs'!$B$33,'Inputs'!$B$29+'Inputs'!$B$31+'Inputs'!$B$32,'Inputs'!$B$30+'Inputs'!$B$31+'Inputs'!$B$32)/1000+'Inputs'!$B$21))/SQRT((((806-43)*MAX('Inputs'!$B$33,'Inputs'!$B$29+'Inputs'!$B$31+'Inputs'!$B$32,'Inputs'!$B$30+'Inputs'!$B$31+'Inputs'!$B$32)/1000+'Inputs'!$B$21))^2+('Inputs'!$B$6/2)^2)))-'Results'!C7*(1-'Inputs'!$B$24)*(0.5*((((806-43)*MAX('Inputs'!$B$33,'Inputs'!$B$29+'Inputs'!$B$31+'Inputs'!$B$32,'Inputs'!$B$30+'Inputs'!$B$31+'Inputs'!$B$32)/1000+'Inputs'!$B$21+'Inputs'!$B$7+'Inputs'!$B$10)+'Inputs'!$B$9)/SQRT((((806-43)*MAX('Inputs'!$B$33,'Inputs'!$B$29+'Inputs'!$B$31+'Inputs'!$B$32,'Inputs'!$B$30+'Inputs'!$B$31+'Inputs'!$B$32)/1000+'Inputs'!$B$21+'Inputs'!$B$7+'Inputs'!$B$10)+'Inputs'!$B$9)^2+('Inputs'!$B$8/2)^2)-(((806-43)*MAX('Inputs'!$B$33,'Inputs'!$B$29+'Inputs'!$B$31+'Inputs'!$B$32,'Inputs'!$B$30+'Inputs'!$B$31+'Inputs'!$B$32)/1000+'Inputs'!$B$21+'Inputs'!$B$7+'Inputs'!$B$10))/SQRT((((806-43)*MAX('Inputs'!$B$33,'Inputs'!$B$29+'Inputs'!$B$31+'Inputs'!$B$32,'Inputs'!$B$30+'Inputs'!$B$31+'Inputs'!$B$32)/1000+'Inputs'!$B$21+'Inputs'!$B$7+'Inputs'!$B$10))^2+('Inputs'!$B$8/2)^2))))*'Results'!$B$8)+'Inputs'!$B$28*ABS((('Results'!B7*(1+'Inputs'!$B$24)*(0.5*((((806-43)*MAX('Inputs'!$B$33,'Inputs'!$B$29+'Inputs'!$B$31+'Inputs'!$B$32,'Inputs'!$B$30+'Inputs'!$B$31+'Inputs'!$B$32)/1000+'Inputs'!$B$21)+'Inputs'!$B$7)/SQRT((((806-43)*MAX('Inputs'!$B$33,'Inputs'!$B$29+'Inputs'!$B$31+'Inputs'!$B$32,'Inputs'!$B$30+'Inputs'!$B$31+'Inputs'!$B$32)/1000+'Inputs'!$B$21)+'Inputs'!$B$7)^2+('Inputs'!$B$6/2)^2)-(((806-43)*MAX('Inputs'!$B$33,'Inputs'!$B$29+'Inputs'!$B$31+'Inputs'!$B$32,'Inputs'!$B$30+'Inputs'!$B$31+'Inputs'!$B$32)/1000+'Inputs'!$B$21))/SQRT((((806-43)*MAX('Inputs'!$B$33,'Inputs'!$B$29+'Inputs'!$B$31+'Inputs'!$B$32,'Inputs'!$B$30+'Inputs'!$B$31+'Inputs'!$B$32)/1000+'Inputs'!$B$21))^2+('Inputs'!$B$6/2)^2)))-'Results'!C7*(1-'Inputs'!$B$24)*(0.5*((((806-43)*MAX('Inputs'!$B$33,'Inputs'!$B$29+'Inputs'!$B$31+'Inputs'!$B$32,'Inputs'!$B$30+'Inputs'!$B$31+'Inputs'!$B$32)/1000+'Inputs'!$B$21+'Inputs'!$B$7+'Inputs'!$B$10)+'Inputs'!$B$9)/SQRT((((806-43)*MAX('Inputs'!$B$33,'Inputs'!$B$29+'Inputs'!$B$31+'Inputs'!$B$32,'Inputs'!$B$30+'Inputs'!$B$31+'Inputs'!$B$32)/1000+'Inputs'!$B$21+'Inputs'!$B$7+'Inputs'!$B$10)+'Inputs'!$B$9)^2+('Inputs'!$B$8/2)^2)-(((806-43)*MAX('Inputs'!$B$33,'Inputs'!$B$29+'Inputs'!$B$31+'Inputs'!$B$32,'Inputs'!$B$30+'Inputs'!$B$31+'Inputs'!$B$32)/1000+'Inputs'!$B$21+'Inputs'!$B$7+'Inputs'!$B$10))/SQRT((((806-43)*MAX('Inputs'!$B$33,'Inputs'!$B$29+'Inputs'!$B$31+'Inputs'!$B$32,'Inputs'!$B$30+'Inputs'!$B$31+'Inputs'!$B$32)/1000+'Inputs'!$B$21+'Inputs'!$B$7+'Inputs'!$B$10))^2+('Inputs'!$B$8/2)^2))))*'Results'!$B$8))),"")</x:f>
        <x:v>1.0928795930061002</x:v>
      </x:c>
      <x:c r="M806" t="n">
        <x:f>IF(AND(ISNUMBER('Results'!C7),ISNUMBER('Results'!B7),ISNUMBER('Results'!$B$8),ISNUMBER('Inputs'!$B$6),ISNUMBER('Inputs'!$B$7),ISNUMBER('Inputs'!$B$8),ISNUMBER('Inputs'!$B$9),ISNUMBER('Inputs'!$B$10),ISNUMBER('Inputs'!$B$21),ISNUMBER('Inputs'!$B$24),ISNUMBER('Inputs'!$B$28)),(('Results'!C7*(0.5*((((806-43)*MAX('Inputs'!$B$33,'Inputs'!$B$29+'Inputs'!$B$31+'Inputs'!$B$32,'Inputs'!$B$30+'Inputs'!$B$31+'Inputs'!$B$32)/1000+'Inputs'!$B$21)+'Inputs'!$B$9)/SQRT((((806-43)*MAX('Inputs'!$B$33,'Inputs'!$B$29+'Inputs'!$B$31+'Inputs'!$B$32,'Inputs'!$B$30+'Inputs'!$B$31+'Inputs'!$B$32)/1000+'Inputs'!$B$21)+'Inputs'!$B$9)^2+('Inputs'!$B$8/2)^2)-(((806-43)*MAX('Inputs'!$B$33,'Inputs'!$B$29+'Inputs'!$B$31+'Inputs'!$B$32,'Inputs'!$B$30+'Inputs'!$B$31+'Inputs'!$B$32)/1000+'Inputs'!$B$21))/SQRT((((806-43)*MAX('Inputs'!$B$33,'Inputs'!$B$29+'Inputs'!$B$31+'Inputs'!$B$32,'Inputs'!$B$30+'Inputs'!$B$31+'Inputs'!$B$32)/1000+'Inputs'!$B$21))^2+('Inputs'!$B$8/2)^2)))-'Results'!B7*(0.5*((((806-43)*MAX('Inputs'!$B$33,'Inputs'!$B$29+'Inputs'!$B$31+'Inputs'!$B$32,'Inputs'!$B$30+'Inputs'!$B$31+'Inputs'!$B$32)/1000+'Inputs'!$B$21+'Inputs'!$B$9+'Inputs'!$B$10)+'Inputs'!$B$7)/SQRT((((806-43)*MAX('Inputs'!$B$33,'Inputs'!$B$29+'Inputs'!$B$31+'Inputs'!$B$32,'Inputs'!$B$30+'Inputs'!$B$31+'Inputs'!$B$32)/1000+'Inputs'!$B$21+'Inputs'!$B$9+'Inputs'!$B$10)+'Inputs'!$B$7)^2+('Inputs'!$B$6/2)^2)-(((806-43)*MAX('Inputs'!$B$33,'Inputs'!$B$29+'Inputs'!$B$31+'Inputs'!$B$32,'Inputs'!$B$30+'Inputs'!$B$31+'Inputs'!$B$32)/1000+'Inputs'!$B$21+'Inputs'!$B$9+'Inputs'!$B$10))/SQRT((((806-43)*MAX('Inputs'!$B$33,'Inputs'!$B$29+'Inputs'!$B$31+'Inputs'!$B$32,'Inputs'!$B$30+'Inputs'!$B$31+'Inputs'!$B$32)/1000+'Inputs'!$B$21+'Inputs'!$B$9+'Inputs'!$B$10))^2+('Inputs'!$B$6/2)^2))))*'Results'!$B$8),"")</x:f>
        <x:v>0.8593358971383662</x:v>
      </x:c>
      <x:c r="N806" t="n">
        <x:f>IF(AND(ISNUMBER('Results'!C7),ISNUMBER('Results'!B7),ISNUMBER('Results'!$B$8),ISNUMBER('Inputs'!$B$6),ISNUMBER('Inputs'!$B$7),ISNUMBER('Inputs'!$B$8),ISNUMBER('Inputs'!$B$9),ISNUMBER('Inputs'!$B$10),ISNUMBER('Inputs'!$B$21),ISNUMBER('Inputs'!$B$24),ISNUMBER('Inputs'!$B$28)),((('Results'!C7*(1-'Inputs'!$B$24)*(0.5*((((806-43)*MAX('Inputs'!$B$33,'Inputs'!$B$29+'Inputs'!$B$31+'Inputs'!$B$32,'Inputs'!$B$30+'Inputs'!$B$31+'Inputs'!$B$32)/1000+'Inputs'!$B$21)+'Inputs'!$B$9)/SQRT((((806-43)*MAX('Inputs'!$B$33,'Inputs'!$B$29+'Inputs'!$B$31+'Inputs'!$B$32,'Inputs'!$B$30+'Inputs'!$B$31+'Inputs'!$B$32)/1000+'Inputs'!$B$21)+'Inputs'!$B$9)^2+('Inputs'!$B$8/2)^2)-(((806-43)*MAX('Inputs'!$B$33,'Inputs'!$B$29+'Inputs'!$B$31+'Inputs'!$B$32,'Inputs'!$B$30+'Inputs'!$B$31+'Inputs'!$B$32)/1000+'Inputs'!$B$21))/SQRT((((806-43)*MAX('Inputs'!$B$33,'Inputs'!$B$29+'Inputs'!$B$31+'Inputs'!$B$32,'Inputs'!$B$30+'Inputs'!$B$31+'Inputs'!$B$32)/1000+'Inputs'!$B$21))^2+('Inputs'!$B$8/2)^2)))-'Results'!B7*(1+'Inputs'!$B$24)*(0.5*((((806-43)*MAX('Inputs'!$B$33,'Inputs'!$B$29+'Inputs'!$B$31+'Inputs'!$B$32,'Inputs'!$B$30+'Inputs'!$B$31+'Inputs'!$B$32)/1000+'Inputs'!$B$21+'Inputs'!$B$9+'Inputs'!$B$10)+'Inputs'!$B$7)/SQRT((((806-43)*MAX('Inputs'!$B$33,'Inputs'!$B$29+'Inputs'!$B$31+'Inputs'!$B$32,'Inputs'!$B$30+'Inputs'!$B$31+'Inputs'!$B$32)/1000+'Inputs'!$B$21+'Inputs'!$B$9+'Inputs'!$B$10)+'Inputs'!$B$7)^2+('Inputs'!$B$6/2)^2)-(((806-43)*MAX('Inputs'!$B$33,'Inputs'!$B$29+'Inputs'!$B$31+'Inputs'!$B$32,'Inputs'!$B$30+'Inputs'!$B$31+'Inputs'!$B$32)/1000+'Inputs'!$B$21+'Inputs'!$B$9+'Inputs'!$B$10))/SQRT((((806-43)*MAX('Inputs'!$B$33,'Inputs'!$B$29+'Inputs'!$B$31+'Inputs'!$B$32,'Inputs'!$B$30+'Inputs'!$B$31+'Inputs'!$B$32)/1000+'Inputs'!$B$21+'Inputs'!$B$9+'Inputs'!$B$10))^2+('Inputs'!$B$6/2)^2))))*'Results'!$B$8)-'Inputs'!$B$28*ABS((('Results'!C7*(1-'Inputs'!$B$24)*(0.5*((((806-43)*MAX('Inputs'!$B$33,'Inputs'!$B$29+'Inputs'!$B$31+'Inputs'!$B$32,'Inputs'!$B$30+'Inputs'!$B$31+'Inputs'!$B$32)/1000+'Inputs'!$B$21)+'Inputs'!$B$9)/SQRT((((806-43)*MAX('Inputs'!$B$33,'Inputs'!$B$29+'Inputs'!$B$31+'Inputs'!$B$32,'Inputs'!$B$30+'Inputs'!$B$31+'Inputs'!$B$32)/1000+'Inputs'!$B$21)+'Inputs'!$B$9)^2+('Inputs'!$B$8/2)^2)-(((806-43)*MAX('Inputs'!$B$33,'Inputs'!$B$29+'Inputs'!$B$31+'Inputs'!$B$32,'Inputs'!$B$30+'Inputs'!$B$31+'Inputs'!$B$32)/1000+'Inputs'!$B$21))/SQRT((((806-43)*MAX('Inputs'!$B$33,'Inputs'!$B$29+'Inputs'!$B$31+'Inputs'!$B$32,'Inputs'!$B$30+'Inputs'!$B$31+'Inputs'!$B$32)/1000+'Inputs'!$B$21))^2+('Inputs'!$B$8/2)^2)))-'Results'!B7*(1+'Inputs'!$B$24)*(0.5*((((806-43)*MAX('Inputs'!$B$33,'Inputs'!$B$29+'Inputs'!$B$31+'Inputs'!$B$32,'Inputs'!$B$30+'Inputs'!$B$31+'Inputs'!$B$32)/1000+'Inputs'!$B$21+'Inputs'!$B$9+'Inputs'!$B$10)+'Inputs'!$B$7)/SQRT((((806-43)*MAX('Inputs'!$B$33,'Inputs'!$B$29+'Inputs'!$B$31+'Inputs'!$B$32,'Inputs'!$B$30+'Inputs'!$B$31+'Inputs'!$B$32)/1000+'Inputs'!$B$21+'Inputs'!$B$9+'Inputs'!$B$10)+'Inputs'!$B$7)^2+('Inputs'!$B$6/2)^2)-(((806-43)*MAX('Inputs'!$B$33,'Inputs'!$B$29+'Inputs'!$B$31+'Inputs'!$B$32,'Inputs'!$B$30+'Inputs'!$B$31+'Inputs'!$B$32)/1000+'Inputs'!$B$21+'Inputs'!$B$9+'Inputs'!$B$10))/SQRT((((806-43)*MAX('Inputs'!$B$33,'Inputs'!$B$29+'Inputs'!$B$31+'Inputs'!$B$32,'Inputs'!$B$30+'Inputs'!$B$31+'Inputs'!$B$32)/1000+'Inputs'!$B$21+'Inputs'!$B$9+'Inputs'!$B$10))^2+('Inputs'!$B$6/2)^2))))*'Results'!$B$8))),"")</x:f>
        <x:v>0.7308490385427595</x:v>
      </x:c>
      <x:c r="O806" t="n">
        <x:f>IF(AND(ISNUMBER('Results'!C7),ISNUMBER('Results'!B7),ISNUMBER('Results'!$B$8),ISNUMBER('Inputs'!$B$6),ISNUMBER('Inputs'!$B$7),ISNUMBER('Inputs'!$B$8),ISNUMBER('Inputs'!$B$9),ISNUMBER('Inputs'!$B$10),ISNUMBER('Inputs'!$B$21),ISNUMBER('Inputs'!$B$24),ISNUMBER('Inputs'!$B$28)),((('Results'!C7*(1+'Inputs'!$B$24)*(0.5*((((806-43)*MAX('Inputs'!$B$33,'Inputs'!$B$29+'Inputs'!$B$31+'Inputs'!$B$32,'Inputs'!$B$30+'Inputs'!$B$31+'Inputs'!$B$32)/1000+'Inputs'!$B$21)+'Inputs'!$B$9)/SQRT((((806-43)*MAX('Inputs'!$B$33,'Inputs'!$B$29+'Inputs'!$B$31+'Inputs'!$B$32,'Inputs'!$B$30+'Inputs'!$B$31+'Inputs'!$B$32)/1000+'Inputs'!$B$21)+'Inputs'!$B$9)^2+('Inputs'!$B$8/2)^2)-(((806-43)*MAX('Inputs'!$B$33,'Inputs'!$B$29+'Inputs'!$B$31+'Inputs'!$B$32,'Inputs'!$B$30+'Inputs'!$B$31+'Inputs'!$B$32)/1000+'Inputs'!$B$21))/SQRT((((806-43)*MAX('Inputs'!$B$33,'Inputs'!$B$29+'Inputs'!$B$31+'Inputs'!$B$32,'Inputs'!$B$30+'Inputs'!$B$31+'Inputs'!$B$32)/1000+'Inputs'!$B$21))^2+('Inputs'!$B$8/2)^2)))-'Results'!B7*(1-'Inputs'!$B$24)*(0.5*((((806-43)*MAX('Inputs'!$B$33,'Inputs'!$B$29+'Inputs'!$B$31+'Inputs'!$B$32,'Inputs'!$B$30+'Inputs'!$B$31+'Inputs'!$B$32)/1000+'Inputs'!$B$21+'Inputs'!$B$9+'Inputs'!$B$10)+'Inputs'!$B$7)/SQRT((((806-43)*MAX('Inputs'!$B$33,'Inputs'!$B$29+'Inputs'!$B$31+'Inputs'!$B$32,'Inputs'!$B$30+'Inputs'!$B$31+'Inputs'!$B$32)/1000+'Inputs'!$B$21+'Inputs'!$B$9+'Inputs'!$B$10)+'Inputs'!$B$7)^2+('Inputs'!$B$6/2)^2)-(((806-43)*MAX('Inputs'!$B$33,'Inputs'!$B$29+'Inputs'!$B$31+'Inputs'!$B$32,'Inputs'!$B$30+'Inputs'!$B$31+'Inputs'!$B$32)/1000+'Inputs'!$B$21+'Inputs'!$B$9+'Inputs'!$B$10))/SQRT((((806-43)*MAX('Inputs'!$B$33,'Inputs'!$B$29+'Inputs'!$B$31+'Inputs'!$B$32,'Inputs'!$B$30+'Inputs'!$B$31+'Inputs'!$B$32)/1000+'Inputs'!$B$21+'Inputs'!$B$9+'Inputs'!$B$10))^2+('Inputs'!$B$6/2)^2))))*'Results'!$B$8)+'Inputs'!$B$28*ABS((('Results'!C7*(1+'Inputs'!$B$24)*(0.5*((((806-43)*MAX('Inputs'!$B$33,'Inputs'!$B$29+'Inputs'!$B$31+'Inputs'!$B$32,'Inputs'!$B$30+'Inputs'!$B$31+'Inputs'!$B$32)/1000+'Inputs'!$B$21)+'Inputs'!$B$9)/SQRT((((806-43)*MAX('Inputs'!$B$33,'Inputs'!$B$29+'Inputs'!$B$31+'Inputs'!$B$32,'Inputs'!$B$30+'Inputs'!$B$31+'Inputs'!$B$32)/1000+'Inputs'!$B$21)+'Inputs'!$B$9)^2+('Inputs'!$B$8/2)^2)-(((806-43)*MAX('Inputs'!$B$33,'Inputs'!$B$29+'Inputs'!$B$31+'Inputs'!$B$32,'Inputs'!$B$30+'Inputs'!$B$31+'Inputs'!$B$32)/1000+'Inputs'!$B$21))/SQRT((((806-43)*MAX('Inputs'!$B$33,'Inputs'!$B$29+'Inputs'!$B$31+'Inputs'!$B$32,'Inputs'!$B$30+'Inputs'!$B$31+'Inputs'!$B$32)/1000+'Inputs'!$B$21))^2+('Inputs'!$B$8/2)^2)))-'Results'!B7*(1-'Inputs'!$B$24)*(0.5*((((806-43)*MAX('Inputs'!$B$33,'Inputs'!$B$29+'Inputs'!$B$31+'Inputs'!$B$32,'Inputs'!$B$30+'Inputs'!$B$31+'Inputs'!$B$32)/1000+'Inputs'!$B$21+'Inputs'!$B$9+'Inputs'!$B$10)+'Inputs'!$B$7)/SQRT((((806-43)*MAX('Inputs'!$B$33,'Inputs'!$B$29+'Inputs'!$B$31+'Inputs'!$B$32,'Inputs'!$B$30+'Inputs'!$B$31+'Inputs'!$B$32)/1000+'Inputs'!$B$21+'Inputs'!$B$9+'Inputs'!$B$10)+'Inputs'!$B$7)^2+('Inputs'!$B$6/2)^2)-(((806-43)*MAX('Inputs'!$B$33,'Inputs'!$B$29+'Inputs'!$B$31+'Inputs'!$B$32,'Inputs'!$B$30+'Inputs'!$B$31+'Inputs'!$B$32)/1000+'Inputs'!$B$21+'Inputs'!$B$9+'Inputs'!$B$10))/SQRT((((806-43)*MAX('Inputs'!$B$33,'Inputs'!$B$29+'Inputs'!$B$31+'Inputs'!$B$32,'Inputs'!$B$30+'Inputs'!$B$31+'Inputs'!$B$32)/1000+'Inputs'!$B$21+'Inputs'!$B$9+'Inputs'!$B$10))^2+('Inputs'!$B$6/2)^2))))*'Results'!$B$8))),"")</x:f>
        <x:v>0.9968248677064665</x:v>
      </x:c>
      <x:c r="P806" t="n">
        <x:f>IF(AND(MAX(J806,J805)&gt;0,J806&gt;J805+0.00000001),1,0)</x:f>
        <x:v>0</x:v>
      </x:c>
      <x:c r="Q806" t="n">
        <x:f>IF(AND(MAX(K806,K805)&gt;0,K806&gt;K805+0.00000001),1,0)</x:f>
        <x:v>0</x:v>
      </x:c>
      <x:c r="R806" t="n">
        <x:f>IF(AND(MAX(L806,L805)&gt;0,L806&gt;L805+0.00000001),1,0)</x:f>
        <x:v>0</x:v>
      </x:c>
      <x:c r="S806" t="n">
        <x:f>IF(AND(MAX(M806,M805)&gt;0,M806&gt;M805+0.00000001),1,0)</x:f>
        <x:v>0</x:v>
      </x:c>
      <x:c r="T806" t="n">
        <x:f>IF(AND(MAX(N806,N805)&gt;0,N806&gt;N805+0.00000001),1,0)</x:f>
        <x:v>0</x:v>
      </x:c>
      <x:c r="U806" t="n">
        <x:f>IF(AND(MAX(O806,O805)&gt;0,O806&gt;O805+0.00000001),1,0)</x:f>
        <x:v>0</x:v>
      </x:c>
    </x:row>
    <x:row r="807">
      <x:c r="J807" t="n">
        <x:f>IF(AND(ISNUMBER('Results'!B7),ISNUMBER('Results'!C7),ISNUMBER('Results'!$B$8),ISNUMBER('Inputs'!$B$6),ISNUMBER('Inputs'!$B$7),ISNUMBER('Inputs'!$B$8),ISNUMBER('Inputs'!$B$9),ISNUMBER('Inputs'!$B$10),ISNUMBER('Inputs'!$B$21),ISNUMBER('Inputs'!$B$24),ISNUMBER('Inputs'!$B$28)),(('Results'!B7*(0.5*((((807-43)*MAX('Inputs'!$B$33,'Inputs'!$B$29+'Inputs'!$B$31+'Inputs'!$B$32,'Inputs'!$B$30+'Inputs'!$B$31+'Inputs'!$B$32)/1000+'Inputs'!$B$21)+'Inputs'!$B$7)/SQRT((((807-43)*MAX('Inputs'!$B$33,'Inputs'!$B$29+'Inputs'!$B$31+'Inputs'!$B$32,'Inputs'!$B$30+'Inputs'!$B$31+'Inputs'!$B$32)/1000+'Inputs'!$B$21)+'Inputs'!$B$7)^2+('Inputs'!$B$6/2)^2)-(((807-43)*MAX('Inputs'!$B$33,'Inputs'!$B$29+'Inputs'!$B$31+'Inputs'!$B$32,'Inputs'!$B$30+'Inputs'!$B$31+'Inputs'!$B$32)/1000+'Inputs'!$B$21))/SQRT((((807-43)*MAX('Inputs'!$B$33,'Inputs'!$B$29+'Inputs'!$B$31+'Inputs'!$B$32,'Inputs'!$B$30+'Inputs'!$B$31+'Inputs'!$B$32)/1000+'Inputs'!$B$21))^2+('Inputs'!$B$6/2)^2)))-'Results'!C7*(0.5*((((807-43)*MAX('Inputs'!$B$33,'Inputs'!$B$29+'Inputs'!$B$31+'Inputs'!$B$32,'Inputs'!$B$30+'Inputs'!$B$31+'Inputs'!$B$32)/1000+'Inputs'!$B$21+'Inputs'!$B$7+'Inputs'!$B$10)+'Inputs'!$B$9)/SQRT((((807-43)*MAX('Inputs'!$B$33,'Inputs'!$B$29+'Inputs'!$B$31+'Inputs'!$B$32,'Inputs'!$B$30+'Inputs'!$B$31+'Inputs'!$B$32)/1000+'Inputs'!$B$21+'Inputs'!$B$7+'Inputs'!$B$10)+'Inputs'!$B$9)^2+('Inputs'!$B$8/2)^2)-(((807-43)*MAX('Inputs'!$B$33,'Inputs'!$B$29+'Inputs'!$B$31+'Inputs'!$B$32,'Inputs'!$B$30+'Inputs'!$B$31+'Inputs'!$B$32)/1000+'Inputs'!$B$21+'Inputs'!$B$7+'Inputs'!$B$10))/SQRT((((807-43)*MAX('Inputs'!$B$33,'Inputs'!$B$29+'Inputs'!$B$31+'Inputs'!$B$32,'Inputs'!$B$30+'Inputs'!$B$31+'Inputs'!$B$32)/1000+'Inputs'!$B$21+'Inputs'!$B$7+'Inputs'!$B$10))^2+('Inputs'!$B$8/2)^2))))*'Results'!$B$8),"")</x:f>
        <x:v>0.9460035112688404</x:v>
      </x:c>
      <x:c r="K807" t="n">
        <x:f>IF(AND(ISNUMBER('Results'!B7),ISNUMBER('Results'!C7),ISNUMBER('Results'!$B$8),ISNUMBER('Inputs'!$B$6),ISNUMBER('Inputs'!$B$7),ISNUMBER('Inputs'!$B$8),ISNUMBER('Inputs'!$B$9),ISNUMBER('Inputs'!$B$10),ISNUMBER('Inputs'!$B$21),ISNUMBER('Inputs'!$B$24),ISNUMBER('Inputs'!$B$28)),((('Results'!B7*(1-'Inputs'!$B$24)*(0.5*((((807-43)*MAX('Inputs'!$B$33,'Inputs'!$B$29+'Inputs'!$B$31+'Inputs'!$B$32,'Inputs'!$B$30+'Inputs'!$B$31+'Inputs'!$B$32)/1000+'Inputs'!$B$21)+'Inputs'!$B$7)/SQRT((((807-43)*MAX('Inputs'!$B$33,'Inputs'!$B$29+'Inputs'!$B$31+'Inputs'!$B$32,'Inputs'!$B$30+'Inputs'!$B$31+'Inputs'!$B$32)/1000+'Inputs'!$B$21)+'Inputs'!$B$7)^2+('Inputs'!$B$6/2)^2)-(((807-43)*MAX('Inputs'!$B$33,'Inputs'!$B$29+'Inputs'!$B$31+'Inputs'!$B$32,'Inputs'!$B$30+'Inputs'!$B$31+'Inputs'!$B$32)/1000+'Inputs'!$B$21))/SQRT((((807-43)*MAX('Inputs'!$B$33,'Inputs'!$B$29+'Inputs'!$B$31+'Inputs'!$B$32,'Inputs'!$B$30+'Inputs'!$B$31+'Inputs'!$B$32)/1000+'Inputs'!$B$21))^2+('Inputs'!$B$6/2)^2)))-'Results'!C7*(1+'Inputs'!$B$24)*(0.5*((((807-43)*MAX('Inputs'!$B$33,'Inputs'!$B$29+'Inputs'!$B$31+'Inputs'!$B$32,'Inputs'!$B$30+'Inputs'!$B$31+'Inputs'!$B$32)/1000+'Inputs'!$B$21+'Inputs'!$B$7+'Inputs'!$B$10)+'Inputs'!$B$9)/SQRT((((807-43)*MAX('Inputs'!$B$33,'Inputs'!$B$29+'Inputs'!$B$31+'Inputs'!$B$32,'Inputs'!$B$30+'Inputs'!$B$31+'Inputs'!$B$32)/1000+'Inputs'!$B$21+'Inputs'!$B$7+'Inputs'!$B$10)+'Inputs'!$B$9)^2+('Inputs'!$B$8/2)^2)-(((807-43)*MAX('Inputs'!$B$33,'Inputs'!$B$29+'Inputs'!$B$31+'Inputs'!$B$32,'Inputs'!$B$30+'Inputs'!$B$31+'Inputs'!$B$32)/1000+'Inputs'!$B$21+'Inputs'!$B$7+'Inputs'!$B$10))/SQRT((((807-43)*MAX('Inputs'!$B$33,'Inputs'!$B$29+'Inputs'!$B$31+'Inputs'!$B$32,'Inputs'!$B$30+'Inputs'!$B$31+'Inputs'!$B$32)/1000+'Inputs'!$B$21+'Inputs'!$B$7+'Inputs'!$B$10))^2+('Inputs'!$B$8/2)^2))))*'Results'!$B$8)-'Inputs'!$B$28*ABS((('Results'!B7*(1-'Inputs'!$B$24)*(0.5*((((807-43)*MAX('Inputs'!$B$33,'Inputs'!$B$29+'Inputs'!$B$31+'Inputs'!$B$32,'Inputs'!$B$30+'Inputs'!$B$31+'Inputs'!$B$32)/1000+'Inputs'!$B$21)+'Inputs'!$B$7)/SQRT((((807-43)*MAX('Inputs'!$B$33,'Inputs'!$B$29+'Inputs'!$B$31+'Inputs'!$B$32,'Inputs'!$B$30+'Inputs'!$B$31+'Inputs'!$B$32)/1000+'Inputs'!$B$21)+'Inputs'!$B$7)^2+('Inputs'!$B$6/2)^2)-(((807-43)*MAX('Inputs'!$B$33,'Inputs'!$B$29+'Inputs'!$B$31+'Inputs'!$B$32,'Inputs'!$B$30+'Inputs'!$B$31+'Inputs'!$B$32)/1000+'Inputs'!$B$21))/SQRT((((807-43)*MAX('Inputs'!$B$33,'Inputs'!$B$29+'Inputs'!$B$31+'Inputs'!$B$32,'Inputs'!$B$30+'Inputs'!$B$31+'Inputs'!$B$32)/1000+'Inputs'!$B$21))^2+('Inputs'!$B$6/2)^2)))-'Results'!C7*(1+'Inputs'!$B$24)*(0.5*((((807-43)*MAX('Inputs'!$B$33,'Inputs'!$B$29+'Inputs'!$B$31+'Inputs'!$B$32,'Inputs'!$B$30+'Inputs'!$B$31+'Inputs'!$B$32)/1000+'Inputs'!$B$21+'Inputs'!$B$7+'Inputs'!$B$10)+'Inputs'!$B$9)/SQRT((((807-43)*MAX('Inputs'!$B$33,'Inputs'!$B$29+'Inputs'!$B$31+'Inputs'!$B$32,'Inputs'!$B$30+'Inputs'!$B$31+'Inputs'!$B$32)/1000+'Inputs'!$B$21+'Inputs'!$B$7+'Inputs'!$B$10)+'Inputs'!$B$9)^2+('Inputs'!$B$8/2)^2)-(((807-43)*MAX('Inputs'!$B$33,'Inputs'!$B$29+'Inputs'!$B$31+'Inputs'!$B$32,'Inputs'!$B$30+'Inputs'!$B$31+'Inputs'!$B$32)/1000+'Inputs'!$B$21+'Inputs'!$B$7+'Inputs'!$B$10))/SQRT((((807-43)*MAX('Inputs'!$B$33,'Inputs'!$B$29+'Inputs'!$B$31+'Inputs'!$B$32,'Inputs'!$B$30+'Inputs'!$B$31+'Inputs'!$B$32)/1000+'Inputs'!$B$21+'Inputs'!$B$7+'Inputs'!$B$10))^2+('Inputs'!$B$8/2)^2))))*'Results'!$B$8))),"")</x:f>
        <x:v>0.8131449797827993</x:v>
      </x:c>
      <x:c r="L807" t="n">
        <x:f>IF(AND(ISNUMBER('Results'!B7),ISNUMBER('Results'!C7),ISNUMBER('Results'!$B$8),ISNUMBER('Inputs'!$B$6),ISNUMBER('Inputs'!$B$7),ISNUMBER('Inputs'!$B$8),ISNUMBER('Inputs'!$B$9),ISNUMBER('Inputs'!$B$10),ISNUMBER('Inputs'!$B$21),ISNUMBER('Inputs'!$B$24),ISNUMBER('Inputs'!$B$28)),((('Results'!B7*(1+'Inputs'!$B$24)*(0.5*((((807-43)*MAX('Inputs'!$B$33,'Inputs'!$B$29+'Inputs'!$B$31+'Inputs'!$B$32,'Inputs'!$B$30+'Inputs'!$B$31+'Inputs'!$B$32)/1000+'Inputs'!$B$21)+'Inputs'!$B$7)/SQRT((((807-43)*MAX('Inputs'!$B$33,'Inputs'!$B$29+'Inputs'!$B$31+'Inputs'!$B$32,'Inputs'!$B$30+'Inputs'!$B$31+'Inputs'!$B$32)/1000+'Inputs'!$B$21)+'Inputs'!$B$7)^2+('Inputs'!$B$6/2)^2)-(((807-43)*MAX('Inputs'!$B$33,'Inputs'!$B$29+'Inputs'!$B$31+'Inputs'!$B$32,'Inputs'!$B$30+'Inputs'!$B$31+'Inputs'!$B$32)/1000+'Inputs'!$B$21))/SQRT((((807-43)*MAX('Inputs'!$B$33,'Inputs'!$B$29+'Inputs'!$B$31+'Inputs'!$B$32,'Inputs'!$B$30+'Inputs'!$B$31+'Inputs'!$B$32)/1000+'Inputs'!$B$21))^2+('Inputs'!$B$6/2)^2)))-'Results'!C7*(1-'Inputs'!$B$24)*(0.5*((((807-43)*MAX('Inputs'!$B$33,'Inputs'!$B$29+'Inputs'!$B$31+'Inputs'!$B$32,'Inputs'!$B$30+'Inputs'!$B$31+'Inputs'!$B$32)/1000+'Inputs'!$B$21+'Inputs'!$B$7+'Inputs'!$B$10)+'Inputs'!$B$9)/SQRT((((807-43)*MAX('Inputs'!$B$33,'Inputs'!$B$29+'Inputs'!$B$31+'Inputs'!$B$32,'Inputs'!$B$30+'Inputs'!$B$31+'Inputs'!$B$32)/1000+'Inputs'!$B$21+'Inputs'!$B$7+'Inputs'!$B$10)+'Inputs'!$B$9)^2+('Inputs'!$B$8/2)^2)-(((807-43)*MAX('Inputs'!$B$33,'Inputs'!$B$29+'Inputs'!$B$31+'Inputs'!$B$32,'Inputs'!$B$30+'Inputs'!$B$31+'Inputs'!$B$32)/1000+'Inputs'!$B$21+'Inputs'!$B$7+'Inputs'!$B$10))/SQRT((((807-43)*MAX('Inputs'!$B$33,'Inputs'!$B$29+'Inputs'!$B$31+'Inputs'!$B$32,'Inputs'!$B$30+'Inputs'!$B$31+'Inputs'!$B$32)/1000+'Inputs'!$B$21+'Inputs'!$B$7+'Inputs'!$B$10))^2+('Inputs'!$B$8/2)^2))))*'Results'!$B$8)+'Inputs'!$B$28*ABS((('Results'!B7*(1+'Inputs'!$B$24)*(0.5*((((807-43)*MAX('Inputs'!$B$33,'Inputs'!$B$29+'Inputs'!$B$31+'Inputs'!$B$32,'Inputs'!$B$30+'Inputs'!$B$31+'Inputs'!$B$32)/1000+'Inputs'!$B$21)+'Inputs'!$B$7)/SQRT((((807-43)*MAX('Inputs'!$B$33,'Inputs'!$B$29+'Inputs'!$B$31+'Inputs'!$B$32,'Inputs'!$B$30+'Inputs'!$B$31+'Inputs'!$B$32)/1000+'Inputs'!$B$21)+'Inputs'!$B$7)^2+('Inputs'!$B$6/2)^2)-(((807-43)*MAX('Inputs'!$B$33,'Inputs'!$B$29+'Inputs'!$B$31+'Inputs'!$B$32,'Inputs'!$B$30+'Inputs'!$B$31+'Inputs'!$B$32)/1000+'Inputs'!$B$21))/SQRT((((807-43)*MAX('Inputs'!$B$33,'Inputs'!$B$29+'Inputs'!$B$31+'Inputs'!$B$32,'Inputs'!$B$30+'Inputs'!$B$31+'Inputs'!$B$32)/1000+'Inputs'!$B$21))^2+('Inputs'!$B$6/2)^2)))-'Results'!C7*(1-'Inputs'!$B$24)*(0.5*((((807-43)*MAX('Inputs'!$B$33,'Inputs'!$B$29+'Inputs'!$B$31+'Inputs'!$B$32,'Inputs'!$B$30+'Inputs'!$B$31+'Inputs'!$B$32)/1000+'Inputs'!$B$21+'Inputs'!$B$7+'Inputs'!$B$10)+'Inputs'!$B$9)/SQRT((((807-43)*MAX('Inputs'!$B$33,'Inputs'!$B$29+'Inputs'!$B$31+'Inputs'!$B$32,'Inputs'!$B$30+'Inputs'!$B$31+'Inputs'!$B$32)/1000+'Inputs'!$B$21+'Inputs'!$B$7+'Inputs'!$B$10)+'Inputs'!$B$9)^2+('Inputs'!$B$8/2)^2)-(((807-43)*MAX('Inputs'!$B$33,'Inputs'!$B$29+'Inputs'!$B$31+'Inputs'!$B$32,'Inputs'!$B$30+'Inputs'!$B$31+'Inputs'!$B$32)/1000+'Inputs'!$B$21+'Inputs'!$B$7+'Inputs'!$B$10))/SQRT((((807-43)*MAX('Inputs'!$B$33,'Inputs'!$B$29+'Inputs'!$B$31+'Inputs'!$B$32,'Inputs'!$B$30+'Inputs'!$B$31+'Inputs'!$B$32)/1000+'Inputs'!$B$21+'Inputs'!$B$7+'Inputs'!$B$10))^2+('Inputs'!$B$8/2)^2))))*'Results'!$B$8))),"")</x:f>
        <x:v>1.0878681854835766</x:v>
      </x:c>
      <x:c r="M807" t="n">
        <x:f>IF(AND(ISNUMBER('Results'!C7),ISNUMBER('Results'!B7),ISNUMBER('Results'!$B$8),ISNUMBER('Inputs'!$B$6),ISNUMBER('Inputs'!$B$7),ISNUMBER('Inputs'!$B$8),ISNUMBER('Inputs'!$B$9),ISNUMBER('Inputs'!$B$10),ISNUMBER('Inputs'!$B$21),ISNUMBER('Inputs'!$B$24),ISNUMBER('Inputs'!$B$28)),(('Results'!C7*(0.5*((((807-43)*MAX('Inputs'!$B$33,'Inputs'!$B$29+'Inputs'!$B$31+'Inputs'!$B$32,'Inputs'!$B$30+'Inputs'!$B$31+'Inputs'!$B$32)/1000+'Inputs'!$B$21)+'Inputs'!$B$9)/SQRT((((807-43)*MAX('Inputs'!$B$33,'Inputs'!$B$29+'Inputs'!$B$31+'Inputs'!$B$32,'Inputs'!$B$30+'Inputs'!$B$31+'Inputs'!$B$32)/1000+'Inputs'!$B$21)+'Inputs'!$B$9)^2+('Inputs'!$B$8/2)^2)-(((807-43)*MAX('Inputs'!$B$33,'Inputs'!$B$29+'Inputs'!$B$31+'Inputs'!$B$32,'Inputs'!$B$30+'Inputs'!$B$31+'Inputs'!$B$32)/1000+'Inputs'!$B$21))/SQRT((((807-43)*MAX('Inputs'!$B$33,'Inputs'!$B$29+'Inputs'!$B$31+'Inputs'!$B$32,'Inputs'!$B$30+'Inputs'!$B$31+'Inputs'!$B$32)/1000+'Inputs'!$B$21))^2+('Inputs'!$B$8/2)^2)))-'Results'!B7*(0.5*((((807-43)*MAX('Inputs'!$B$33,'Inputs'!$B$29+'Inputs'!$B$31+'Inputs'!$B$32,'Inputs'!$B$30+'Inputs'!$B$31+'Inputs'!$B$32)/1000+'Inputs'!$B$21+'Inputs'!$B$9+'Inputs'!$B$10)+'Inputs'!$B$7)/SQRT((((807-43)*MAX('Inputs'!$B$33,'Inputs'!$B$29+'Inputs'!$B$31+'Inputs'!$B$32,'Inputs'!$B$30+'Inputs'!$B$31+'Inputs'!$B$32)/1000+'Inputs'!$B$21+'Inputs'!$B$9+'Inputs'!$B$10)+'Inputs'!$B$7)^2+('Inputs'!$B$6/2)^2)-(((807-43)*MAX('Inputs'!$B$33,'Inputs'!$B$29+'Inputs'!$B$31+'Inputs'!$B$32,'Inputs'!$B$30+'Inputs'!$B$31+'Inputs'!$B$32)/1000+'Inputs'!$B$21+'Inputs'!$B$9+'Inputs'!$B$10))/SQRT((((807-43)*MAX('Inputs'!$B$33,'Inputs'!$B$29+'Inputs'!$B$31+'Inputs'!$B$32,'Inputs'!$B$30+'Inputs'!$B$31+'Inputs'!$B$32)/1000+'Inputs'!$B$21+'Inputs'!$B$9+'Inputs'!$B$10))^2+('Inputs'!$B$6/2)^2))))*'Results'!$B$8),"")</x:f>
        <x:v>0.8552161517669801</x:v>
      </x:c>
      <x:c r="N807" t="n">
        <x:f>IF(AND(ISNUMBER('Results'!C7),ISNUMBER('Results'!B7),ISNUMBER('Results'!$B$8),ISNUMBER('Inputs'!$B$6),ISNUMBER('Inputs'!$B$7),ISNUMBER('Inputs'!$B$8),ISNUMBER('Inputs'!$B$9),ISNUMBER('Inputs'!$B$10),ISNUMBER('Inputs'!$B$21),ISNUMBER('Inputs'!$B$24),ISNUMBER('Inputs'!$B$28)),((('Results'!C7*(1-'Inputs'!$B$24)*(0.5*((((807-43)*MAX('Inputs'!$B$33,'Inputs'!$B$29+'Inputs'!$B$31+'Inputs'!$B$32,'Inputs'!$B$30+'Inputs'!$B$31+'Inputs'!$B$32)/1000+'Inputs'!$B$21)+'Inputs'!$B$9)/SQRT((((807-43)*MAX('Inputs'!$B$33,'Inputs'!$B$29+'Inputs'!$B$31+'Inputs'!$B$32,'Inputs'!$B$30+'Inputs'!$B$31+'Inputs'!$B$32)/1000+'Inputs'!$B$21)+'Inputs'!$B$9)^2+('Inputs'!$B$8/2)^2)-(((807-43)*MAX('Inputs'!$B$33,'Inputs'!$B$29+'Inputs'!$B$31+'Inputs'!$B$32,'Inputs'!$B$30+'Inputs'!$B$31+'Inputs'!$B$32)/1000+'Inputs'!$B$21))/SQRT((((807-43)*MAX('Inputs'!$B$33,'Inputs'!$B$29+'Inputs'!$B$31+'Inputs'!$B$32,'Inputs'!$B$30+'Inputs'!$B$31+'Inputs'!$B$32)/1000+'Inputs'!$B$21))^2+('Inputs'!$B$8/2)^2)))-'Results'!B7*(1+'Inputs'!$B$24)*(0.5*((((807-43)*MAX('Inputs'!$B$33,'Inputs'!$B$29+'Inputs'!$B$31+'Inputs'!$B$32,'Inputs'!$B$30+'Inputs'!$B$31+'Inputs'!$B$32)/1000+'Inputs'!$B$21+'Inputs'!$B$9+'Inputs'!$B$10)+'Inputs'!$B$7)/SQRT((((807-43)*MAX('Inputs'!$B$33,'Inputs'!$B$29+'Inputs'!$B$31+'Inputs'!$B$32,'Inputs'!$B$30+'Inputs'!$B$31+'Inputs'!$B$32)/1000+'Inputs'!$B$21+'Inputs'!$B$9+'Inputs'!$B$10)+'Inputs'!$B$7)^2+('Inputs'!$B$6/2)^2)-(((807-43)*MAX('Inputs'!$B$33,'Inputs'!$B$29+'Inputs'!$B$31+'Inputs'!$B$32,'Inputs'!$B$30+'Inputs'!$B$31+'Inputs'!$B$32)/1000+'Inputs'!$B$21+'Inputs'!$B$9+'Inputs'!$B$10))/SQRT((((807-43)*MAX('Inputs'!$B$33,'Inputs'!$B$29+'Inputs'!$B$31+'Inputs'!$B$32,'Inputs'!$B$30+'Inputs'!$B$31+'Inputs'!$B$32)/1000+'Inputs'!$B$21+'Inputs'!$B$9+'Inputs'!$B$10))^2+('Inputs'!$B$6/2)^2))))*'Results'!$B$8)-'Inputs'!$B$28*ABS((('Results'!C7*(1-'Inputs'!$B$24)*(0.5*((((807-43)*MAX('Inputs'!$B$33,'Inputs'!$B$29+'Inputs'!$B$31+'Inputs'!$B$32,'Inputs'!$B$30+'Inputs'!$B$31+'Inputs'!$B$32)/1000+'Inputs'!$B$21)+'Inputs'!$B$9)/SQRT((((807-43)*MAX('Inputs'!$B$33,'Inputs'!$B$29+'Inputs'!$B$31+'Inputs'!$B$32,'Inputs'!$B$30+'Inputs'!$B$31+'Inputs'!$B$32)/1000+'Inputs'!$B$21)+'Inputs'!$B$9)^2+('Inputs'!$B$8/2)^2)-(((807-43)*MAX('Inputs'!$B$33,'Inputs'!$B$29+'Inputs'!$B$31+'Inputs'!$B$32,'Inputs'!$B$30+'Inputs'!$B$31+'Inputs'!$B$32)/1000+'Inputs'!$B$21))/SQRT((((807-43)*MAX('Inputs'!$B$33,'Inputs'!$B$29+'Inputs'!$B$31+'Inputs'!$B$32,'Inputs'!$B$30+'Inputs'!$B$31+'Inputs'!$B$32)/1000+'Inputs'!$B$21))^2+('Inputs'!$B$8/2)^2)))-'Results'!B7*(1+'Inputs'!$B$24)*(0.5*((((807-43)*MAX('Inputs'!$B$33,'Inputs'!$B$29+'Inputs'!$B$31+'Inputs'!$B$32,'Inputs'!$B$30+'Inputs'!$B$31+'Inputs'!$B$32)/1000+'Inputs'!$B$21+'Inputs'!$B$9+'Inputs'!$B$10)+'Inputs'!$B$7)/SQRT((((807-43)*MAX('Inputs'!$B$33,'Inputs'!$B$29+'Inputs'!$B$31+'Inputs'!$B$32,'Inputs'!$B$30+'Inputs'!$B$31+'Inputs'!$B$32)/1000+'Inputs'!$B$21+'Inputs'!$B$9+'Inputs'!$B$10)+'Inputs'!$B$7)^2+('Inputs'!$B$6/2)^2)-(((807-43)*MAX('Inputs'!$B$33,'Inputs'!$B$29+'Inputs'!$B$31+'Inputs'!$B$32,'Inputs'!$B$30+'Inputs'!$B$31+'Inputs'!$B$32)/1000+'Inputs'!$B$21+'Inputs'!$B$9+'Inputs'!$B$10))/SQRT((((807-43)*MAX('Inputs'!$B$33,'Inputs'!$B$29+'Inputs'!$B$31+'Inputs'!$B$32,'Inputs'!$B$30+'Inputs'!$B$31+'Inputs'!$B$32)/1000+'Inputs'!$B$21+'Inputs'!$B$9+'Inputs'!$B$10))^2+('Inputs'!$B$6/2)^2))))*'Results'!$B$8))),"")</x:f>
        <x:v>0.7272426768782304</x:v>
      </x:c>
      <x:c r="O807" t="n">
        <x:f>IF(AND(ISNUMBER('Results'!C7),ISNUMBER('Results'!B7),ISNUMBER('Results'!$B$8),ISNUMBER('Inputs'!$B$6),ISNUMBER('Inputs'!$B$7),ISNUMBER('Inputs'!$B$8),ISNUMBER('Inputs'!$B$9),ISNUMBER('Inputs'!$B$10),ISNUMBER('Inputs'!$B$21),ISNUMBER('Inputs'!$B$24),ISNUMBER('Inputs'!$B$28)),((('Results'!C7*(1+'Inputs'!$B$24)*(0.5*((((807-43)*MAX('Inputs'!$B$33,'Inputs'!$B$29+'Inputs'!$B$31+'Inputs'!$B$32,'Inputs'!$B$30+'Inputs'!$B$31+'Inputs'!$B$32)/1000+'Inputs'!$B$21)+'Inputs'!$B$9)/SQRT((((807-43)*MAX('Inputs'!$B$33,'Inputs'!$B$29+'Inputs'!$B$31+'Inputs'!$B$32,'Inputs'!$B$30+'Inputs'!$B$31+'Inputs'!$B$32)/1000+'Inputs'!$B$21)+'Inputs'!$B$9)^2+('Inputs'!$B$8/2)^2)-(((807-43)*MAX('Inputs'!$B$33,'Inputs'!$B$29+'Inputs'!$B$31+'Inputs'!$B$32,'Inputs'!$B$30+'Inputs'!$B$31+'Inputs'!$B$32)/1000+'Inputs'!$B$21))/SQRT((((807-43)*MAX('Inputs'!$B$33,'Inputs'!$B$29+'Inputs'!$B$31+'Inputs'!$B$32,'Inputs'!$B$30+'Inputs'!$B$31+'Inputs'!$B$32)/1000+'Inputs'!$B$21))^2+('Inputs'!$B$8/2)^2)))-'Results'!B7*(1-'Inputs'!$B$24)*(0.5*((((807-43)*MAX('Inputs'!$B$33,'Inputs'!$B$29+'Inputs'!$B$31+'Inputs'!$B$32,'Inputs'!$B$30+'Inputs'!$B$31+'Inputs'!$B$32)/1000+'Inputs'!$B$21+'Inputs'!$B$9+'Inputs'!$B$10)+'Inputs'!$B$7)/SQRT((((807-43)*MAX('Inputs'!$B$33,'Inputs'!$B$29+'Inputs'!$B$31+'Inputs'!$B$32,'Inputs'!$B$30+'Inputs'!$B$31+'Inputs'!$B$32)/1000+'Inputs'!$B$21+'Inputs'!$B$9+'Inputs'!$B$10)+'Inputs'!$B$7)^2+('Inputs'!$B$6/2)^2)-(((807-43)*MAX('Inputs'!$B$33,'Inputs'!$B$29+'Inputs'!$B$31+'Inputs'!$B$32,'Inputs'!$B$30+'Inputs'!$B$31+'Inputs'!$B$32)/1000+'Inputs'!$B$21+'Inputs'!$B$9+'Inputs'!$B$10))/SQRT((((807-43)*MAX('Inputs'!$B$33,'Inputs'!$B$29+'Inputs'!$B$31+'Inputs'!$B$32,'Inputs'!$B$30+'Inputs'!$B$31+'Inputs'!$B$32)/1000+'Inputs'!$B$21+'Inputs'!$B$9+'Inputs'!$B$10))^2+('Inputs'!$B$6/2)^2))))*'Results'!$B$8)+'Inputs'!$B$28*ABS((('Results'!C7*(1+'Inputs'!$B$24)*(0.5*((((807-43)*MAX('Inputs'!$B$33,'Inputs'!$B$29+'Inputs'!$B$31+'Inputs'!$B$32,'Inputs'!$B$30+'Inputs'!$B$31+'Inputs'!$B$32)/1000+'Inputs'!$B$21)+'Inputs'!$B$9)/SQRT((((807-43)*MAX('Inputs'!$B$33,'Inputs'!$B$29+'Inputs'!$B$31+'Inputs'!$B$32,'Inputs'!$B$30+'Inputs'!$B$31+'Inputs'!$B$32)/1000+'Inputs'!$B$21)+'Inputs'!$B$9)^2+('Inputs'!$B$8/2)^2)-(((807-43)*MAX('Inputs'!$B$33,'Inputs'!$B$29+'Inputs'!$B$31+'Inputs'!$B$32,'Inputs'!$B$30+'Inputs'!$B$31+'Inputs'!$B$32)/1000+'Inputs'!$B$21))/SQRT((((807-43)*MAX('Inputs'!$B$33,'Inputs'!$B$29+'Inputs'!$B$31+'Inputs'!$B$32,'Inputs'!$B$30+'Inputs'!$B$31+'Inputs'!$B$32)/1000+'Inputs'!$B$21))^2+('Inputs'!$B$8/2)^2)))-'Results'!B7*(1-'Inputs'!$B$24)*(0.5*((((807-43)*MAX('Inputs'!$B$33,'Inputs'!$B$29+'Inputs'!$B$31+'Inputs'!$B$32,'Inputs'!$B$30+'Inputs'!$B$31+'Inputs'!$B$32)/1000+'Inputs'!$B$21+'Inputs'!$B$9+'Inputs'!$B$10)+'Inputs'!$B$7)/SQRT((((807-43)*MAX('Inputs'!$B$33,'Inputs'!$B$29+'Inputs'!$B$31+'Inputs'!$B$32,'Inputs'!$B$30+'Inputs'!$B$31+'Inputs'!$B$32)/1000+'Inputs'!$B$21+'Inputs'!$B$9+'Inputs'!$B$10)+'Inputs'!$B$7)^2+('Inputs'!$B$6/2)^2)-(((807-43)*MAX('Inputs'!$B$33,'Inputs'!$B$29+'Inputs'!$B$31+'Inputs'!$B$32,'Inputs'!$B$30+'Inputs'!$B$31+'Inputs'!$B$32)/1000+'Inputs'!$B$21+'Inputs'!$B$9+'Inputs'!$B$10))/SQRT((((807-43)*MAX('Inputs'!$B$33,'Inputs'!$B$29+'Inputs'!$B$31+'Inputs'!$B$32,'Inputs'!$B$30+'Inputs'!$B$31+'Inputs'!$B$32)/1000+'Inputs'!$B$21+'Inputs'!$B$9+'Inputs'!$B$10))^2+('Inputs'!$B$6/2)^2))))*'Results'!$B$8))),"")</x:f>
        <x:v>0.9921593811084033</x:v>
      </x:c>
      <x:c r="P807" t="n">
        <x:f>IF(AND(MAX(J807,J806)&gt;0,J807&gt;J806+0.00000001),1,0)</x:f>
        <x:v>0</x:v>
      </x:c>
      <x:c r="Q807" t="n">
        <x:f>IF(AND(MAX(K807,K806)&gt;0,K807&gt;K806+0.00000001),1,0)</x:f>
        <x:v>0</x:v>
      </x:c>
      <x:c r="R807" t="n">
        <x:f>IF(AND(MAX(L807,L806)&gt;0,L807&gt;L806+0.00000001),1,0)</x:f>
        <x:v>0</x:v>
      </x:c>
      <x:c r="S807" t="n">
        <x:f>IF(AND(MAX(M807,M806)&gt;0,M807&gt;M806+0.00000001),1,0)</x:f>
        <x:v>0</x:v>
      </x:c>
      <x:c r="T807" t="n">
        <x:f>IF(AND(MAX(N807,N806)&gt;0,N807&gt;N806+0.00000001),1,0)</x:f>
        <x:v>0</x:v>
      </x:c>
      <x:c r="U807" t="n">
        <x:f>IF(AND(MAX(O807,O806)&gt;0,O807&gt;O806+0.00000001),1,0)</x:f>
        <x:v>0</x:v>
      </x:c>
    </x:row>
    <x:row r="808">
      <x:c r="J808" t="n">
        <x:f>IF(AND(ISNUMBER('Results'!B7),ISNUMBER('Results'!C7),ISNUMBER('Results'!$B$8),ISNUMBER('Inputs'!$B$6),ISNUMBER('Inputs'!$B$7),ISNUMBER('Inputs'!$B$8),ISNUMBER('Inputs'!$B$9),ISNUMBER('Inputs'!$B$10),ISNUMBER('Inputs'!$B$21),ISNUMBER('Inputs'!$B$24),ISNUMBER('Inputs'!$B$28)),(('Results'!B7*(0.5*((((808-43)*MAX('Inputs'!$B$33,'Inputs'!$B$29+'Inputs'!$B$31+'Inputs'!$B$32,'Inputs'!$B$30+'Inputs'!$B$31+'Inputs'!$B$32)/1000+'Inputs'!$B$21)+'Inputs'!$B$7)/SQRT((((808-43)*MAX('Inputs'!$B$33,'Inputs'!$B$29+'Inputs'!$B$31+'Inputs'!$B$32,'Inputs'!$B$30+'Inputs'!$B$31+'Inputs'!$B$32)/1000+'Inputs'!$B$21)+'Inputs'!$B$7)^2+('Inputs'!$B$6/2)^2)-(((808-43)*MAX('Inputs'!$B$33,'Inputs'!$B$29+'Inputs'!$B$31+'Inputs'!$B$32,'Inputs'!$B$30+'Inputs'!$B$31+'Inputs'!$B$32)/1000+'Inputs'!$B$21))/SQRT((((808-43)*MAX('Inputs'!$B$33,'Inputs'!$B$29+'Inputs'!$B$31+'Inputs'!$B$32,'Inputs'!$B$30+'Inputs'!$B$31+'Inputs'!$B$32)/1000+'Inputs'!$B$21))^2+('Inputs'!$B$6/2)^2)))-'Results'!C7*(0.5*((((808-43)*MAX('Inputs'!$B$33,'Inputs'!$B$29+'Inputs'!$B$31+'Inputs'!$B$32,'Inputs'!$B$30+'Inputs'!$B$31+'Inputs'!$B$32)/1000+'Inputs'!$B$21+'Inputs'!$B$7+'Inputs'!$B$10)+'Inputs'!$B$9)/SQRT((((808-43)*MAX('Inputs'!$B$33,'Inputs'!$B$29+'Inputs'!$B$31+'Inputs'!$B$32,'Inputs'!$B$30+'Inputs'!$B$31+'Inputs'!$B$32)/1000+'Inputs'!$B$21+'Inputs'!$B$7+'Inputs'!$B$10)+'Inputs'!$B$9)^2+('Inputs'!$B$8/2)^2)-(((808-43)*MAX('Inputs'!$B$33,'Inputs'!$B$29+'Inputs'!$B$31+'Inputs'!$B$32,'Inputs'!$B$30+'Inputs'!$B$31+'Inputs'!$B$32)/1000+'Inputs'!$B$21+'Inputs'!$B$7+'Inputs'!$B$10))/SQRT((((808-43)*MAX('Inputs'!$B$33,'Inputs'!$B$29+'Inputs'!$B$31+'Inputs'!$B$32,'Inputs'!$B$30+'Inputs'!$B$31+'Inputs'!$B$32)/1000+'Inputs'!$B$21+'Inputs'!$B$7+'Inputs'!$B$10))^2+('Inputs'!$B$8/2)^2))))*'Results'!$B$8),"")</x:f>
        <x:v>0.9415821354779134</x:v>
      </x:c>
      <x:c r="K808" t="n">
        <x:f>IF(AND(ISNUMBER('Results'!B7),ISNUMBER('Results'!C7),ISNUMBER('Results'!$B$8),ISNUMBER('Inputs'!$B$6),ISNUMBER('Inputs'!$B$7),ISNUMBER('Inputs'!$B$8),ISNUMBER('Inputs'!$B$9),ISNUMBER('Inputs'!$B$10),ISNUMBER('Inputs'!$B$21),ISNUMBER('Inputs'!$B$24),ISNUMBER('Inputs'!$B$28)),((('Results'!B7*(1-'Inputs'!$B$24)*(0.5*((((808-43)*MAX('Inputs'!$B$33,'Inputs'!$B$29+'Inputs'!$B$31+'Inputs'!$B$32,'Inputs'!$B$30+'Inputs'!$B$31+'Inputs'!$B$32)/1000+'Inputs'!$B$21)+'Inputs'!$B$7)/SQRT((((808-43)*MAX('Inputs'!$B$33,'Inputs'!$B$29+'Inputs'!$B$31+'Inputs'!$B$32,'Inputs'!$B$30+'Inputs'!$B$31+'Inputs'!$B$32)/1000+'Inputs'!$B$21)+'Inputs'!$B$7)^2+('Inputs'!$B$6/2)^2)-(((808-43)*MAX('Inputs'!$B$33,'Inputs'!$B$29+'Inputs'!$B$31+'Inputs'!$B$32,'Inputs'!$B$30+'Inputs'!$B$31+'Inputs'!$B$32)/1000+'Inputs'!$B$21))/SQRT((((808-43)*MAX('Inputs'!$B$33,'Inputs'!$B$29+'Inputs'!$B$31+'Inputs'!$B$32,'Inputs'!$B$30+'Inputs'!$B$31+'Inputs'!$B$32)/1000+'Inputs'!$B$21))^2+('Inputs'!$B$6/2)^2)))-'Results'!C7*(1+'Inputs'!$B$24)*(0.5*((((808-43)*MAX('Inputs'!$B$33,'Inputs'!$B$29+'Inputs'!$B$31+'Inputs'!$B$32,'Inputs'!$B$30+'Inputs'!$B$31+'Inputs'!$B$32)/1000+'Inputs'!$B$21+'Inputs'!$B$7+'Inputs'!$B$10)+'Inputs'!$B$9)/SQRT((((808-43)*MAX('Inputs'!$B$33,'Inputs'!$B$29+'Inputs'!$B$31+'Inputs'!$B$32,'Inputs'!$B$30+'Inputs'!$B$31+'Inputs'!$B$32)/1000+'Inputs'!$B$21+'Inputs'!$B$7+'Inputs'!$B$10)+'Inputs'!$B$9)^2+('Inputs'!$B$8/2)^2)-(((808-43)*MAX('Inputs'!$B$33,'Inputs'!$B$29+'Inputs'!$B$31+'Inputs'!$B$32,'Inputs'!$B$30+'Inputs'!$B$31+'Inputs'!$B$32)/1000+'Inputs'!$B$21+'Inputs'!$B$7+'Inputs'!$B$10))/SQRT((((808-43)*MAX('Inputs'!$B$33,'Inputs'!$B$29+'Inputs'!$B$31+'Inputs'!$B$32,'Inputs'!$B$30+'Inputs'!$B$31+'Inputs'!$B$32)/1000+'Inputs'!$B$21+'Inputs'!$B$7+'Inputs'!$B$10))^2+('Inputs'!$B$8/2)^2))))*'Results'!$B$8)-'Inputs'!$B$28*ABS((('Results'!B7*(1-'Inputs'!$B$24)*(0.5*((((808-43)*MAX('Inputs'!$B$33,'Inputs'!$B$29+'Inputs'!$B$31+'Inputs'!$B$32,'Inputs'!$B$30+'Inputs'!$B$31+'Inputs'!$B$32)/1000+'Inputs'!$B$21)+'Inputs'!$B$7)/SQRT((((808-43)*MAX('Inputs'!$B$33,'Inputs'!$B$29+'Inputs'!$B$31+'Inputs'!$B$32,'Inputs'!$B$30+'Inputs'!$B$31+'Inputs'!$B$32)/1000+'Inputs'!$B$21)+'Inputs'!$B$7)^2+('Inputs'!$B$6/2)^2)-(((808-43)*MAX('Inputs'!$B$33,'Inputs'!$B$29+'Inputs'!$B$31+'Inputs'!$B$32,'Inputs'!$B$30+'Inputs'!$B$31+'Inputs'!$B$32)/1000+'Inputs'!$B$21))/SQRT((((808-43)*MAX('Inputs'!$B$33,'Inputs'!$B$29+'Inputs'!$B$31+'Inputs'!$B$32,'Inputs'!$B$30+'Inputs'!$B$31+'Inputs'!$B$32)/1000+'Inputs'!$B$21))^2+('Inputs'!$B$6/2)^2)))-'Results'!C7*(1+'Inputs'!$B$24)*(0.5*((((808-43)*MAX('Inputs'!$B$33,'Inputs'!$B$29+'Inputs'!$B$31+'Inputs'!$B$32,'Inputs'!$B$30+'Inputs'!$B$31+'Inputs'!$B$32)/1000+'Inputs'!$B$21+'Inputs'!$B$7+'Inputs'!$B$10)+'Inputs'!$B$9)/SQRT((((808-43)*MAX('Inputs'!$B$33,'Inputs'!$B$29+'Inputs'!$B$31+'Inputs'!$B$32,'Inputs'!$B$30+'Inputs'!$B$31+'Inputs'!$B$32)/1000+'Inputs'!$B$21+'Inputs'!$B$7+'Inputs'!$B$10)+'Inputs'!$B$9)^2+('Inputs'!$B$8/2)^2)-(((808-43)*MAX('Inputs'!$B$33,'Inputs'!$B$29+'Inputs'!$B$31+'Inputs'!$B$32,'Inputs'!$B$30+'Inputs'!$B$31+'Inputs'!$B$32)/1000+'Inputs'!$B$21+'Inputs'!$B$7+'Inputs'!$B$10))/SQRT((((808-43)*MAX('Inputs'!$B$33,'Inputs'!$B$29+'Inputs'!$B$31+'Inputs'!$B$32,'Inputs'!$B$30+'Inputs'!$B$31+'Inputs'!$B$32)/1000+'Inputs'!$B$21+'Inputs'!$B$7+'Inputs'!$B$10))^2+('Inputs'!$B$8/2)^2))))*'Results'!$B$8))),"")</x:f>
        <x:v>0.8092522292685185</x:v>
      </x:c>
      <x:c r="L808" t="n">
        <x:f>IF(AND(ISNUMBER('Results'!B7),ISNUMBER('Results'!C7),ISNUMBER('Results'!$B$8),ISNUMBER('Inputs'!$B$6),ISNUMBER('Inputs'!$B$7),ISNUMBER('Inputs'!$B$8),ISNUMBER('Inputs'!$B$9),ISNUMBER('Inputs'!$B$10),ISNUMBER('Inputs'!$B$21),ISNUMBER('Inputs'!$B$24),ISNUMBER('Inputs'!$B$28)),((('Results'!B7*(1+'Inputs'!$B$24)*(0.5*((((808-43)*MAX('Inputs'!$B$33,'Inputs'!$B$29+'Inputs'!$B$31+'Inputs'!$B$32,'Inputs'!$B$30+'Inputs'!$B$31+'Inputs'!$B$32)/1000+'Inputs'!$B$21)+'Inputs'!$B$7)/SQRT((((808-43)*MAX('Inputs'!$B$33,'Inputs'!$B$29+'Inputs'!$B$31+'Inputs'!$B$32,'Inputs'!$B$30+'Inputs'!$B$31+'Inputs'!$B$32)/1000+'Inputs'!$B$21)+'Inputs'!$B$7)^2+('Inputs'!$B$6/2)^2)-(((808-43)*MAX('Inputs'!$B$33,'Inputs'!$B$29+'Inputs'!$B$31+'Inputs'!$B$32,'Inputs'!$B$30+'Inputs'!$B$31+'Inputs'!$B$32)/1000+'Inputs'!$B$21))/SQRT((((808-43)*MAX('Inputs'!$B$33,'Inputs'!$B$29+'Inputs'!$B$31+'Inputs'!$B$32,'Inputs'!$B$30+'Inputs'!$B$31+'Inputs'!$B$32)/1000+'Inputs'!$B$21))^2+('Inputs'!$B$6/2)^2)))-'Results'!C7*(1-'Inputs'!$B$24)*(0.5*((((808-43)*MAX('Inputs'!$B$33,'Inputs'!$B$29+'Inputs'!$B$31+'Inputs'!$B$32,'Inputs'!$B$30+'Inputs'!$B$31+'Inputs'!$B$32)/1000+'Inputs'!$B$21+'Inputs'!$B$7+'Inputs'!$B$10)+'Inputs'!$B$9)/SQRT((((808-43)*MAX('Inputs'!$B$33,'Inputs'!$B$29+'Inputs'!$B$31+'Inputs'!$B$32,'Inputs'!$B$30+'Inputs'!$B$31+'Inputs'!$B$32)/1000+'Inputs'!$B$21+'Inputs'!$B$7+'Inputs'!$B$10)+'Inputs'!$B$9)^2+('Inputs'!$B$8/2)^2)-(((808-43)*MAX('Inputs'!$B$33,'Inputs'!$B$29+'Inputs'!$B$31+'Inputs'!$B$32,'Inputs'!$B$30+'Inputs'!$B$31+'Inputs'!$B$32)/1000+'Inputs'!$B$21+'Inputs'!$B$7+'Inputs'!$B$10))/SQRT((((808-43)*MAX('Inputs'!$B$33,'Inputs'!$B$29+'Inputs'!$B$31+'Inputs'!$B$32,'Inputs'!$B$30+'Inputs'!$B$31+'Inputs'!$B$32)/1000+'Inputs'!$B$21+'Inputs'!$B$7+'Inputs'!$B$10))^2+('Inputs'!$B$8/2)^2))))*'Results'!$B$8)+'Inputs'!$B$28*ABS((('Results'!B7*(1+'Inputs'!$B$24)*(0.5*((((808-43)*MAX('Inputs'!$B$33,'Inputs'!$B$29+'Inputs'!$B$31+'Inputs'!$B$32,'Inputs'!$B$30+'Inputs'!$B$31+'Inputs'!$B$32)/1000+'Inputs'!$B$21)+'Inputs'!$B$7)/SQRT((((808-43)*MAX('Inputs'!$B$33,'Inputs'!$B$29+'Inputs'!$B$31+'Inputs'!$B$32,'Inputs'!$B$30+'Inputs'!$B$31+'Inputs'!$B$32)/1000+'Inputs'!$B$21)+'Inputs'!$B$7)^2+('Inputs'!$B$6/2)^2)-(((808-43)*MAX('Inputs'!$B$33,'Inputs'!$B$29+'Inputs'!$B$31+'Inputs'!$B$32,'Inputs'!$B$30+'Inputs'!$B$31+'Inputs'!$B$32)/1000+'Inputs'!$B$21))/SQRT((((808-43)*MAX('Inputs'!$B$33,'Inputs'!$B$29+'Inputs'!$B$31+'Inputs'!$B$32,'Inputs'!$B$30+'Inputs'!$B$31+'Inputs'!$B$32)/1000+'Inputs'!$B$21))^2+('Inputs'!$B$6/2)^2)))-'Results'!C7*(1-'Inputs'!$B$24)*(0.5*((((808-43)*MAX('Inputs'!$B$33,'Inputs'!$B$29+'Inputs'!$B$31+'Inputs'!$B$32,'Inputs'!$B$30+'Inputs'!$B$31+'Inputs'!$B$32)/1000+'Inputs'!$B$21+'Inputs'!$B$7+'Inputs'!$B$10)+'Inputs'!$B$9)/SQRT((((808-43)*MAX('Inputs'!$B$33,'Inputs'!$B$29+'Inputs'!$B$31+'Inputs'!$B$32,'Inputs'!$B$30+'Inputs'!$B$31+'Inputs'!$B$32)/1000+'Inputs'!$B$21+'Inputs'!$B$7+'Inputs'!$B$10)+'Inputs'!$B$9)^2+('Inputs'!$B$8/2)^2)-(((808-43)*MAX('Inputs'!$B$33,'Inputs'!$B$29+'Inputs'!$B$31+'Inputs'!$B$32,'Inputs'!$B$30+'Inputs'!$B$31+'Inputs'!$B$32)/1000+'Inputs'!$B$21+'Inputs'!$B$7+'Inputs'!$B$10))/SQRT((((808-43)*MAX('Inputs'!$B$33,'Inputs'!$B$29+'Inputs'!$B$31+'Inputs'!$B$32,'Inputs'!$B$30+'Inputs'!$B$31+'Inputs'!$B$32)/1000+'Inputs'!$B$21+'Inputs'!$B$7+'Inputs'!$B$10))^2+('Inputs'!$B$8/2)^2))))*'Results'!$B$8))),"")</x:f>
        <x:v>1.0828858100489398</x:v>
      </x:c>
      <x:c r="M808" t="n">
        <x:f>IF(AND(ISNUMBER('Results'!C7),ISNUMBER('Results'!B7),ISNUMBER('Results'!$B$8),ISNUMBER('Inputs'!$B$6),ISNUMBER('Inputs'!$B$7),ISNUMBER('Inputs'!$B$8),ISNUMBER('Inputs'!$B$9),ISNUMBER('Inputs'!$B$10),ISNUMBER('Inputs'!$B$21),ISNUMBER('Inputs'!$B$24),ISNUMBER('Inputs'!$B$28)),(('Results'!C7*(0.5*((((808-43)*MAX('Inputs'!$B$33,'Inputs'!$B$29+'Inputs'!$B$31+'Inputs'!$B$32,'Inputs'!$B$30+'Inputs'!$B$31+'Inputs'!$B$32)/1000+'Inputs'!$B$21)+'Inputs'!$B$9)/SQRT((((808-43)*MAX('Inputs'!$B$33,'Inputs'!$B$29+'Inputs'!$B$31+'Inputs'!$B$32,'Inputs'!$B$30+'Inputs'!$B$31+'Inputs'!$B$32)/1000+'Inputs'!$B$21)+'Inputs'!$B$9)^2+('Inputs'!$B$8/2)^2)-(((808-43)*MAX('Inputs'!$B$33,'Inputs'!$B$29+'Inputs'!$B$31+'Inputs'!$B$32,'Inputs'!$B$30+'Inputs'!$B$31+'Inputs'!$B$32)/1000+'Inputs'!$B$21))/SQRT((((808-43)*MAX('Inputs'!$B$33,'Inputs'!$B$29+'Inputs'!$B$31+'Inputs'!$B$32,'Inputs'!$B$30+'Inputs'!$B$31+'Inputs'!$B$32)/1000+'Inputs'!$B$21))^2+('Inputs'!$B$8/2)^2)))-'Results'!B7*(0.5*((((808-43)*MAX('Inputs'!$B$33,'Inputs'!$B$29+'Inputs'!$B$31+'Inputs'!$B$32,'Inputs'!$B$30+'Inputs'!$B$31+'Inputs'!$B$32)/1000+'Inputs'!$B$21+'Inputs'!$B$9+'Inputs'!$B$10)+'Inputs'!$B$7)/SQRT((((808-43)*MAX('Inputs'!$B$33,'Inputs'!$B$29+'Inputs'!$B$31+'Inputs'!$B$32,'Inputs'!$B$30+'Inputs'!$B$31+'Inputs'!$B$32)/1000+'Inputs'!$B$21+'Inputs'!$B$9+'Inputs'!$B$10)+'Inputs'!$B$7)^2+('Inputs'!$B$6/2)^2)-(((808-43)*MAX('Inputs'!$B$33,'Inputs'!$B$29+'Inputs'!$B$31+'Inputs'!$B$32,'Inputs'!$B$30+'Inputs'!$B$31+'Inputs'!$B$32)/1000+'Inputs'!$B$21+'Inputs'!$B$9+'Inputs'!$B$10))/SQRT((((808-43)*MAX('Inputs'!$B$33,'Inputs'!$B$29+'Inputs'!$B$31+'Inputs'!$B$32,'Inputs'!$B$30+'Inputs'!$B$31+'Inputs'!$B$32)/1000+'Inputs'!$B$21+'Inputs'!$B$9+'Inputs'!$B$10))^2+('Inputs'!$B$6/2)^2))))*'Results'!$B$8),"")</x:f>
        <x:v>0.8511209208319377</x:v>
      </x:c>
      <x:c r="N808" t="n">
        <x:f>IF(AND(ISNUMBER('Results'!C7),ISNUMBER('Results'!B7),ISNUMBER('Results'!$B$8),ISNUMBER('Inputs'!$B$6),ISNUMBER('Inputs'!$B$7),ISNUMBER('Inputs'!$B$8),ISNUMBER('Inputs'!$B$9),ISNUMBER('Inputs'!$B$10),ISNUMBER('Inputs'!$B$21),ISNUMBER('Inputs'!$B$24),ISNUMBER('Inputs'!$B$28)),((('Results'!C7*(1-'Inputs'!$B$24)*(0.5*((((808-43)*MAX('Inputs'!$B$33,'Inputs'!$B$29+'Inputs'!$B$31+'Inputs'!$B$32,'Inputs'!$B$30+'Inputs'!$B$31+'Inputs'!$B$32)/1000+'Inputs'!$B$21)+'Inputs'!$B$9)/SQRT((((808-43)*MAX('Inputs'!$B$33,'Inputs'!$B$29+'Inputs'!$B$31+'Inputs'!$B$32,'Inputs'!$B$30+'Inputs'!$B$31+'Inputs'!$B$32)/1000+'Inputs'!$B$21)+'Inputs'!$B$9)^2+('Inputs'!$B$8/2)^2)-(((808-43)*MAX('Inputs'!$B$33,'Inputs'!$B$29+'Inputs'!$B$31+'Inputs'!$B$32,'Inputs'!$B$30+'Inputs'!$B$31+'Inputs'!$B$32)/1000+'Inputs'!$B$21))/SQRT((((808-43)*MAX('Inputs'!$B$33,'Inputs'!$B$29+'Inputs'!$B$31+'Inputs'!$B$32,'Inputs'!$B$30+'Inputs'!$B$31+'Inputs'!$B$32)/1000+'Inputs'!$B$21))^2+('Inputs'!$B$8/2)^2)))-'Results'!B7*(1+'Inputs'!$B$24)*(0.5*((((808-43)*MAX('Inputs'!$B$33,'Inputs'!$B$29+'Inputs'!$B$31+'Inputs'!$B$32,'Inputs'!$B$30+'Inputs'!$B$31+'Inputs'!$B$32)/1000+'Inputs'!$B$21+'Inputs'!$B$9+'Inputs'!$B$10)+'Inputs'!$B$7)/SQRT((((808-43)*MAX('Inputs'!$B$33,'Inputs'!$B$29+'Inputs'!$B$31+'Inputs'!$B$32,'Inputs'!$B$30+'Inputs'!$B$31+'Inputs'!$B$32)/1000+'Inputs'!$B$21+'Inputs'!$B$9+'Inputs'!$B$10)+'Inputs'!$B$7)^2+('Inputs'!$B$6/2)^2)-(((808-43)*MAX('Inputs'!$B$33,'Inputs'!$B$29+'Inputs'!$B$31+'Inputs'!$B$32,'Inputs'!$B$30+'Inputs'!$B$31+'Inputs'!$B$32)/1000+'Inputs'!$B$21+'Inputs'!$B$9+'Inputs'!$B$10))/SQRT((((808-43)*MAX('Inputs'!$B$33,'Inputs'!$B$29+'Inputs'!$B$31+'Inputs'!$B$32,'Inputs'!$B$30+'Inputs'!$B$31+'Inputs'!$B$32)/1000+'Inputs'!$B$21+'Inputs'!$B$9+'Inputs'!$B$10))^2+('Inputs'!$B$6/2)^2))))*'Results'!$B$8)-'Inputs'!$B$28*ABS((('Results'!C7*(1-'Inputs'!$B$24)*(0.5*((((808-43)*MAX('Inputs'!$B$33,'Inputs'!$B$29+'Inputs'!$B$31+'Inputs'!$B$32,'Inputs'!$B$30+'Inputs'!$B$31+'Inputs'!$B$32)/1000+'Inputs'!$B$21)+'Inputs'!$B$9)/SQRT((((808-43)*MAX('Inputs'!$B$33,'Inputs'!$B$29+'Inputs'!$B$31+'Inputs'!$B$32,'Inputs'!$B$30+'Inputs'!$B$31+'Inputs'!$B$32)/1000+'Inputs'!$B$21)+'Inputs'!$B$9)^2+('Inputs'!$B$8/2)^2)-(((808-43)*MAX('Inputs'!$B$33,'Inputs'!$B$29+'Inputs'!$B$31+'Inputs'!$B$32,'Inputs'!$B$30+'Inputs'!$B$31+'Inputs'!$B$32)/1000+'Inputs'!$B$21))/SQRT((((808-43)*MAX('Inputs'!$B$33,'Inputs'!$B$29+'Inputs'!$B$31+'Inputs'!$B$32,'Inputs'!$B$30+'Inputs'!$B$31+'Inputs'!$B$32)/1000+'Inputs'!$B$21))^2+('Inputs'!$B$8/2)^2)))-'Results'!B7*(1+'Inputs'!$B$24)*(0.5*((((808-43)*MAX('Inputs'!$B$33,'Inputs'!$B$29+'Inputs'!$B$31+'Inputs'!$B$32,'Inputs'!$B$30+'Inputs'!$B$31+'Inputs'!$B$32)/1000+'Inputs'!$B$21+'Inputs'!$B$9+'Inputs'!$B$10)+'Inputs'!$B$7)/SQRT((((808-43)*MAX('Inputs'!$B$33,'Inputs'!$B$29+'Inputs'!$B$31+'Inputs'!$B$32,'Inputs'!$B$30+'Inputs'!$B$31+'Inputs'!$B$32)/1000+'Inputs'!$B$21+'Inputs'!$B$9+'Inputs'!$B$10)+'Inputs'!$B$7)^2+('Inputs'!$B$6/2)^2)-(((808-43)*MAX('Inputs'!$B$33,'Inputs'!$B$29+'Inputs'!$B$31+'Inputs'!$B$32,'Inputs'!$B$30+'Inputs'!$B$31+'Inputs'!$B$32)/1000+'Inputs'!$B$21+'Inputs'!$B$9+'Inputs'!$B$10))/SQRT((((808-43)*MAX('Inputs'!$B$33,'Inputs'!$B$29+'Inputs'!$B$31+'Inputs'!$B$32,'Inputs'!$B$30+'Inputs'!$B$31+'Inputs'!$B$32)/1000+'Inputs'!$B$21+'Inputs'!$B$9+'Inputs'!$B$10))^2+('Inputs'!$B$6/2)^2))))*'Results'!$B$8))),"")</x:f>
        <x:v>0.7236581294767594</x:v>
      </x:c>
      <x:c r="O808" t="n">
        <x:f>IF(AND(ISNUMBER('Results'!C7),ISNUMBER('Results'!B7),ISNUMBER('Results'!$B$8),ISNUMBER('Inputs'!$B$6),ISNUMBER('Inputs'!$B$7),ISNUMBER('Inputs'!$B$8),ISNUMBER('Inputs'!$B$9),ISNUMBER('Inputs'!$B$10),ISNUMBER('Inputs'!$B$21),ISNUMBER('Inputs'!$B$24),ISNUMBER('Inputs'!$B$28)),((('Results'!C7*(1+'Inputs'!$B$24)*(0.5*((((808-43)*MAX('Inputs'!$B$33,'Inputs'!$B$29+'Inputs'!$B$31+'Inputs'!$B$32,'Inputs'!$B$30+'Inputs'!$B$31+'Inputs'!$B$32)/1000+'Inputs'!$B$21)+'Inputs'!$B$9)/SQRT((((808-43)*MAX('Inputs'!$B$33,'Inputs'!$B$29+'Inputs'!$B$31+'Inputs'!$B$32,'Inputs'!$B$30+'Inputs'!$B$31+'Inputs'!$B$32)/1000+'Inputs'!$B$21)+'Inputs'!$B$9)^2+('Inputs'!$B$8/2)^2)-(((808-43)*MAX('Inputs'!$B$33,'Inputs'!$B$29+'Inputs'!$B$31+'Inputs'!$B$32,'Inputs'!$B$30+'Inputs'!$B$31+'Inputs'!$B$32)/1000+'Inputs'!$B$21))/SQRT((((808-43)*MAX('Inputs'!$B$33,'Inputs'!$B$29+'Inputs'!$B$31+'Inputs'!$B$32,'Inputs'!$B$30+'Inputs'!$B$31+'Inputs'!$B$32)/1000+'Inputs'!$B$21))^2+('Inputs'!$B$8/2)^2)))-'Results'!B7*(1-'Inputs'!$B$24)*(0.5*((((808-43)*MAX('Inputs'!$B$33,'Inputs'!$B$29+'Inputs'!$B$31+'Inputs'!$B$32,'Inputs'!$B$30+'Inputs'!$B$31+'Inputs'!$B$32)/1000+'Inputs'!$B$21+'Inputs'!$B$9+'Inputs'!$B$10)+'Inputs'!$B$7)/SQRT((((808-43)*MAX('Inputs'!$B$33,'Inputs'!$B$29+'Inputs'!$B$31+'Inputs'!$B$32,'Inputs'!$B$30+'Inputs'!$B$31+'Inputs'!$B$32)/1000+'Inputs'!$B$21+'Inputs'!$B$9+'Inputs'!$B$10)+'Inputs'!$B$7)^2+('Inputs'!$B$6/2)^2)-(((808-43)*MAX('Inputs'!$B$33,'Inputs'!$B$29+'Inputs'!$B$31+'Inputs'!$B$32,'Inputs'!$B$30+'Inputs'!$B$31+'Inputs'!$B$32)/1000+'Inputs'!$B$21+'Inputs'!$B$9+'Inputs'!$B$10))/SQRT((((808-43)*MAX('Inputs'!$B$33,'Inputs'!$B$29+'Inputs'!$B$31+'Inputs'!$B$32,'Inputs'!$B$30+'Inputs'!$B$31+'Inputs'!$B$32)/1000+'Inputs'!$B$21+'Inputs'!$B$9+'Inputs'!$B$10))^2+('Inputs'!$B$6/2)^2))))*'Results'!$B$8)+'Inputs'!$B$28*ABS((('Results'!C7*(1+'Inputs'!$B$24)*(0.5*((((808-43)*MAX('Inputs'!$B$33,'Inputs'!$B$29+'Inputs'!$B$31+'Inputs'!$B$32,'Inputs'!$B$30+'Inputs'!$B$31+'Inputs'!$B$32)/1000+'Inputs'!$B$21)+'Inputs'!$B$9)/SQRT((((808-43)*MAX('Inputs'!$B$33,'Inputs'!$B$29+'Inputs'!$B$31+'Inputs'!$B$32,'Inputs'!$B$30+'Inputs'!$B$31+'Inputs'!$B$32)/1000+'Inputs'!$B$21)+'Inputs'!$B$9)^2+('Inputs'!$B$8/2)^2)-(((808-43)*MAX('Inputs'!$B$33,'Inputs'!$B$29+'Inputs'!$B$31+'Inputs'!$B$32,'Inputs'!$B$30+'Inputs'!$B$31+'Inputs'!$B$32)/1000+'Inputs'!$B$21))/SQRT((((808-43)*MAX('Inputs'!$B$33,'Inputs'!$B$29+'Inputs'!$B$31+'Inputs'!$B$32,'Inputs'!$B$30+'Inputs'!$B$31+'Inputs'!$B$32)/1000+'Inputs'!$B$21))^2+('Inputs'!$B$8/2)^2)))-'Results'!B7*(1-'Inputs'!$B$24)*(0.5*((((808-43)*MAX('Inputs'!$B$33,'Inputs'!$B$29+'Inputs'!$B$31+'Inputs'!$B$32,'Inputs'!$B$30+'Inputs'!$B$31+'Inputs'!$B$32)/1000+'Inputs'!$B$21+'Inputs'!$B$9+'Inputs'!$B$10)+'Inputs'!$B$7)/SQRT((((808-43)*MAX('Inputs'!$B$33,'Inputs'!$B$29+'Inputs'!$B$31+'Inputs'!$B$32,'Inputs'!$B$30+'Inputs'!$B$31+'Inputs'!$B$32)/1000+'Inputs'!$B$21+'Inputs'!$B$9+'Inputs'!$B$10)+'Inputs'!$B$7)^2+('Inputs'!$B$6/2)^2)-(((808-43)*MAX('Inputs'!$B$33,'Inputs'!$B$29+'Inputs'!$B$31+'Inputs'!$B$32,'Inputs'!$B$30+'Inputs'!$B$31+'Inputs'!$B$32)/1000+'Inputs'!$B$21+'Inputs'!$B$9+'Inputs'!$B$10))/SQRT((((808-43)*MAX('Inputs'!$B$33,'Inputs'!$B$29+'Inputs'!$B$31+'Inputs'!$B$32,'Inputs'!$B$30+'Inputs'!$B$31+'Inputs'!$B$32)/1000+'Inputs'!$B$21+'Inputs'!$B$9+'Inputs'!$B$10))^2+('Inputs'!$B$6/2)^2))))*'Results'!$B$8))),"")</x:f>
        <x:v>0.9875212643253876</x:v>
      </x:c>
      <x:c r="P808" t="n">
        <x:f>IF(AND(MAX(J808,J807)&gt;0,J808&gt;J807+0.00000001),1,0)</x:f>
        <x:v>0</x:v>
      </x:c>
      <x:c r="Q808" t="n">
        <x:f>IF(AND(MAX(K808,K807)&gt;0,K808&gt;K807+0.00000001),1,0)</x:f>
        <x:v>0</x:v>
      </x:c>
      <x:c r="R808" t="n">
        <x:f>IF(AND(MAX(L808,L807)&gt;0,L808&gt;L807+0.00000001),1,0)</x:f>
        <x:v>0</x:v>
      </x:c>
      <x:c r="S808" t="n">
        <x:f>IF(AND(MAX(M808,M807)&gt;0,M808&gt;M807+0.00000001),1,0)</x:f>
        <x:v>0</x:v>
      </x:c>
      <x:c r="T808" t="n">
        <x:f>IF(AND(MAX(N808,N807)&gt;0,N808&gt;N807+0.00000001),1,0)</x:f>
        <x:v>0</x:v>
      </x:c>
      <x:c r="U808" t="n">
        <x:f>IF(AND(MAX(O808,O807)&gt;0,O808&gt;O807+0.00000001),1,0)</x:f>
        <x:v>0</x:v>
      </x:c>
    </x:row>
    <x:row r="809">
      <x:c r="J809" t="n">
        <x:f>IF(AND(ISNUMBER('Results'!B7),ISNUMBER('Results'!C7),ISNUMBER('Results'!$B$8),ISNUMBER('Inputs'!$B$6),ISNUMBER('Inputs'!$B$7),ISNUMBER('Inputs'!$B$8),ISNUMBER('Inputs'!$B$9),ISNUMBER('Inputs'!$B$10),ISNUMBER('Inputs'!$B$21),ISNUMBER('Inputs'!$B$24),ISNUMBER('Inputs'!$B$28)),(('Results'!B7*(0.5*((((809-43)*MAX('Inputs'!$B$33,'Inputs'!$B$29+'Inputs'!$B$31+'Inputs'!$B$32,'Inputs'!$B$30+'Inputs'!$B$31+'Inputs'!$B$32)/1000+'Inputs'!$B$21)+'Inputs'!$B$7)/SQRT((((809-43)*MAX('Inputs'!$B$33,'Inputs'!$B$29+'Inputs'!$B$31+'Inputs'!$B$32,'Inputs'!$B$30+'Inputs'!$B$31+'Inputs'!$B$32)/1000+'Inputs'!$B$21)+'Inputs'!$B$7)^2+('Inputs'!$B$6/2)^2)-(((809-43)*MAX('Inputs'!$B$33,'Inputs'!$B$29+'Inputs'!$B$31+'Inputs'!$B$32,'Inputs'!$B$30+'Inputs'!$B$31+'Inputs'!$B$32)/1000+'Inputs'!$B$21))/SQRT((((809-43)*MAX('Inputs'!$B$33,'Inputs'!$B$29+'Inputs'!$B$31+'Inputs'!$B$32,'Inputs'!$B$30+'Inputs'!$B$31+'Inputs'!$B$32)/1000+'Inputs'!$B$21))^2+('Inputs'!$B$6/2)^2)))-'Results'!C7*(0.5*((((809-43)*MAX('Inputs'!$B$33,'Inputs'!$B$29+'Inputs'!$B$31+'Inputs'!$B$32,'Inputs'!$B$30+'Inputs'!$B$31+'Inputs'!$B$32)/1000+'Inputs'!$B$21+'Inputs'!$B$7+'Inputs'!$B$10)+'Inputs'!$B$9)/SQRT((((809-43)*MAX('Inputs'!$B$33,'Inputs'!$B$29+'Inputs'!$B$31+'Inputs'!$B$32,'Inputs'!$B$30+'Inputs'!$B$31+'Inputs'!$B$32)/1000+'Inputs'!$B$21+'Inputs'!$B$7+'Inputs'!$B$10)+'Inputs'!$B$9)^2+('Inputs'!$B$8/2)^2)-(((809-43)*MAX('Inputs'!$B$33,'Inputs'!$B$29+'Inputs'!$B$31+'Inputs'!$B$32,'Inputs'!$B$30+'Inputs'!$B$31+'Inputs'!$B$32)/1000+'Inputs'!$B$21+'Inputs'!$B$7+'Inputs'!$B$10))/SQRT((((809-43)*MAX('Inputs'!$B$33,'Inputs'!$B$29+'Inputs'!$B$31+'Inputs'!$B$32,'Inputs'!$B$30+'Inputs'!$B$31+'Inputs'!$B$32)/1000+'Inputs'!$B$21+'Inputs'!$B$7+'Inputs'!$B$10))^2+('Inputs'!$B$8/2)^2))))*'Results'!$B$8),"")</x:f>
        <x:v>0.9371866633102542</x:v>
      </x:c>
      <x:c r="K809" t="n">
        <x:f>IF(AND(ISNUMBER('Results'!B7),ISNUMBER('Results'!C7),ISNUMBER('Results'!$B$8),ISNUMBER('Inputs'!$B$6),ISNUMBER('Inputs'!$B$7),ISNUMBER('Inputs'!$B$8),ISNUMBER('Inputs'!$B$9),ISNUMBER('Inputs'!$B$10),ISNUMBER('Inputs'!$B$21),ISNUMBER('Inputs'!$B$24),ISNUMBER('Inputs'!$B$28)),((('Results'!B7*(1-'Inputs'!$B$24)*(0.5*((((809-43)*MAX('Inputs'!$B$33,'Inputs'!$B$29+'Inputs'!$B$31+'Inputs'!$B$32,'Inputs'!$B$30+'Inputs'!$B$31+'Inputs'!$B$32)/1000+'Inputs'!$B$21)+'Inputs'!$B$7)/SQRT((((809-43)*MAX('Inputs'!$B$33,'Inputs'!$B$29+'Inputs'!$B$31+'Inputs'!$B$32,'Inputs'!$B$30+'Inputs'!$B$31+'Inputs'!$B$32)/1000+'Inputs'!$B$21)+'Inputs'!$B$7)^2+('Inputs'!$B$6/2)^2)-(((809-43)*MAX('Inputs'!$B$33,'Inputs'!$B$29+'Inputs'!$B$31+'Inputs'!$B$32,'Inputs'!$B$30+'Inputs'!$B$31+'Inputs'!$B$32)/1000+'Inputs'!$B$21))/SQRT((((809-43)*MAX('Inputs'!$B$33,'Inputs'!$B$29+'Inputs'!$B$31+'Inputs'!$B$32,'Inputs'!$B$30+'Inputs'!$B$31+'Inputs'!$B$32)/1000+'Inputs'!$B$21))^2+('Inputs'!$B$6/2)^2)))-'Results'!C7*(1+'Inputs'!$B$24)*(0.5*((((809-43)*MAX('Inputs'!$B$33,'Inputs'!$B$29+'Inputs'!$B$31+'Inputs'!$B$32,'Inputs'!$B$30+'Inputs'!$B$31+'Inputs'!$B$32)/1000+'Inputs'!$B$21+'Inputs'!$B$7+'Inputs'!$B$10)+'Inputs'!$B$9)/SQRT((((809-43)*MAX('Inputs'!$B$33,'Inputs'!$B$29+'Inputs'!$B$31+'Inputs'!$B$32,'Inputs'!$B$30+'Inputs'!$B$31+'Inputs'!$B$32)/1000+'Inputs'!$B$21+'Inputs'!$B$7+'Inputs'!$B$10)+'Inputs'!$B$9)^2+('Inputs'!$B$8/2)^2)-(((809-43)*MAX('Inputs'!$B$33,'Inputs'!$B$29+'Inputs'!$B$31+'Inputs'!$B$32,'Inputs'!$B$30+'Inputs'!$B$31+'Inputs'!$B$32)/1000+'Inputs'!$B$21+'Inputs'!$B$7+'Inputs'!$B$10))/SQRT((((809-43)*MAX('Inputs'!$B$33,'Inputs'!$B$29+'Inputs'!$B$31+'Inputs'!$B$32,'Inputs'!$B$30+'Inputs'!$B$31+'Inputs'!$B$32)/1000+'Inputs'!$B$21+'Inputs'!$B$7+'Inputs'!$B$10))^2+('Inputs'!$B$8/2)^2))))*'Results'!$B$8)-'Inputs'!$B$28*ABS((('Results'!B7*(1-'Inputs'!$B$24)*(0.5*((((809-43)*MAX('Inputs'!$B$33,'Inputs'!$B$29+'Inputs'!$B$31+'Inputs'!$B$32,'Inputs'!$B$30+'Inputs'!$B$31+'Inputs'!$B$32)/1000+'Inputs'!$B$21)+'Inputs'!$B$7)/SQRT((((809-43)*MAX('Inputs'!$B$33,'Inputs'!$B$29+'Inputs'!$B$31+'Inputs'!$B$32,'Inputs'!$B$30+'Inputs'!$B$31+'Inputs'!$B$32)/1000+'Inputs'!$B$21)+'Inputs'!$B$7)^2+('Inputs'!$B$6/2)^2)-(((809-43)*MAX('Inputs'!$B$33,'Inputs'!$B$29+'Inputs'!$B$31+'Inputs'!$B$32,'Inputs'!$B$30+'Inputs'!$B$31+'Inputs'!$B$32)/1000+'Inputs'!$B$21))/SQRT((((809-43)*MAX('Inputs'!$B$33,'Inputs'!$B$29+'Inputs'!$B$31+'Inputs'!$B$32,'Inputs'!$B$30+'Inputs'!$B$31+'Inputs'!$B$32)/1000+'Inputs'!$B$21))^2+('Inputs'!$B$6/2)^2)))-'Results'!C7*(1+'Inputs'!$B$24)*(0.5*((((809-43)*MAX('Inputs'!$B$33,'Inputs'!$B$29+'Inputs'!$B$31+'Inputs'!$B$32,'Inputs'!$B$30+'Inputs'!$B$31+'Inputs'!$B$32)/1000+'Inputs'!$B$21+'Inputs'!$B$7+'Inputs'!$B$10)+'Inputs'!$B$9)/SQRT((((809-43)*MAX('Inputs'!$B$33,'Inputs'!$B$29+'Inputs'!$B$31+'Inputs'!$B$32,'Inputs'!$B$30+'Inputs'!$B$31+'Inputs'!$B$32)/1000+'Inputs'!$B$21+'Inputs'!$B$7+'Inputs'!$B$10)+'Inputs'!$B$9)^2+('Inputs'!$B$8/2)^2)-(((809-43)*MAX('Inputs'!$B$33,'Inputs'!$B$29+'Inputs'!$B$31+'Inputs'!$B$32,'Inputs'!$B$30+'Inputs'!$B$31+'Inputs'!$B$32)/1000+'Inputs'!$B$21+'Inputs'!$B$7+'Inputs'!$B$10))/SQRT((((809-43)*MAX('Inputs'!$B$33,'Inputs'!$B$29+'Inputs'!$B$31+'Inputs'!$B$32,'Inputs'!$B$30+'Inputs'!$B$31+'Inputs'!$B$32)/1000+'Inputs'!$B$21+'Inputs'!$B$7+'Inputs'!$B$10))^2+('Inputs'!$B$8/2)^2))))*'Results'!$B$8))),"")</x:f>
        <x:v>0.805382611947935</x:v>
      </x:c>
      <x:c r="L809" t="n">
        <x:f>IF(AND(ISNUMBER('Results'!B7),ISNUMBER('Results'!C7),ISNUMBER('Results'!$B$8),ISNUMBER('Inputs'!$B$6),ISNUMBER('Inputs'!$B$7),ISNUMBER('Inputs'!$B$8),ISNUMBER('Inputs'!$B$9),ISNUMBER('Inputs'!$B$10),ISNUMBER('Inputs'!$B$21),ISNUMBER('Inputs'!$B$24),ISNUMBER('Inputs'!$B$28)),((('Results'!B7*(1+'Inputs'!$B$24)*(0.5*((((809-43)*MAX('Inputs'!$B$33,'Inputs'!$B$29+'Inputs'!$B$31+'Inputs'!$B$32,'Inputs'!$B$30+'Inputs'!$B$31+'Inputs'!$B$32)/1000+'Inputs'!$B$21)+'Inputs'!$B$7)/SQRT((((809-43)*MAX('Inputs'!$B$33,'Inputs'!$B$29+'Inputs'!$B$31+'Inputs'!$B$32,'Inputs'!$B$30+'Inputs'!$B$31+'Inputs'!$B$32)/1000+'Inputs'!$B$21)+'Inputs'!$B$7)^2+('Inputs'!$B$6/2)^2)-(((809-43)*MAX('Inputs'!$B$33,'Inputs'!$B$29+'Inputs'!$B$31+'Inputs'!$B$32,'Inputs'!$B$30+'Inputs'!$B$31+'Inputs'!$B$32)/1000+'Inputs'!$B$21))/SQRT((((809-43)*MAX('Inputs'!$B$33,'Inputs'!$B$29+'Inputs'!$B$31+'Inputs'!$B$32,'Inputs'!$B$30+'Inputs'!$B$31+'Inputs'!$B$32)/1000+'Inputs'!$B$21))^2+('Inputs'!$B$6/2)^2)))-'Results'!C7*(1-'Inputs'!$B$24)*(0.5*((((809-43)*MAX('Inputs'!$B$33,'Inputs'!$B$29+'Inputs'!$B$31+'Inputs'!$B$32,'Inputs'!$B$30+'Inputs'!$B$31+'Inputs'!$B$32)/1000+'Inputs'!$B$21+'Inputs'!$B$7+'Inputs'!$B$10)+'Inputs'!$B$9)/SQRT((((809-43)*MAX('Inputs'!$B$33,'Inputs'!$B$29+'Inputs'!$B$31+'Inputs'!$B$32,'Inputs'!$B$30+'Inputs'!$B$31+'Inputs'!$B$32)/1000+'Inputs'!$B$21+'Inputs'!$B$7+'Inputs'!$B$10)+'Inputs'!$B$9)^2+('Inputs'!$B$8/2)^2)-(((809-43)*MAX('Inputs'!$B$33,'Inputs'!$B$29+'Inputs'!$B$31+'Inputs'!$B$32,'Inputs'!$B$30+'Inputs'!$B$31+'Inputs'!$B$32)/1000+'Inputs'!$B$21+'Inputs'!$B$7+'Inputs'!$B$10))/SQRT((((809-43)*MAX('Inputs'!$B$33,'Inputs'!$B$29+'Inputs'!$B$31+'Inputs'!$B$32,'Inputs'!$B$30+'Inputs'!$B$31+'Inputs'!$B$32)/1000+'Inputs'!$B$21+'Inputs'!$B$7+'Inputs'!$B$10))^2+('Inputs'!$B$8/2)^2))))*'Results'!$B$8)+'Inputs'!$B$28*ABS((('Results'!B7*(1+'Inputs'!$B$24)*(0.5*((((809-43)*MAX('Inputs'!$B$33,'Inputs'!$B$29+'Inputs'!$B$31+'Inputs'!$B$32,'Inputs'!$B$30+'Inputs'!$B$31+'Inputs'!$B$32)/1000+'Inputs'!$B$21)+'Inputs'!$B$7)/SQRT((((809-43)*MAX('Inputs'!$B$33,'Inputs'!$B$29+'Inputs'!$B$31+'Inputs'!$B$32,'Inputs'!$B$30+'Inputs'!$B$31+'Inputs'!$B$32)/1000+'Inputs'!$B$21)+'Inputs'!$B$7)^2+('Inputs'!$B$6/2)^2)-(((809-43)*MAX('Inputs'!$B$33,'Inputs'!$B$29+'Inputs'!$B$31+'Inputs'!$B$32,'Inputs'!$B$30+'Inputs'!$B$31+'Inputs'!$B$32)/1000+'Inputs'!$B$21))/SQRT((((809-43)*MAX('Inputs'!$B$33,'Inputs'!$B$29+'Inputs'!$B$31+'Inputs'!$B$32,'Inputs'!$B$30+'Inputs'!$B$31+'Inputs'!$B$32)/1000+'Inputs'!$B$21))^2+('Inputs'!$B$6/2)^2)))-'Results'!C7*(1-'Inputs'!$B$24)*(0.5*((((809-43)*MAX('Inputs'!$B$33,'Inputs'!$B$29+'Inputs'!$B$31+'Inputs'!$B$32,'Inputs'!$B$30+'Inputs'!$B$31+'Inputs'!$B$32)/1000+'Inputs'!$B$21+'Inputs'!$B$7+'Inputs'!$B$10)+'Inputs'!$B$9)/SQRT((((809-43)*MAX('Inputs'!$B$33,'Inputs'!$B$29+'Inputs'!$B$31+'Inputs'!$B$32,'Inputs'!$B$30+'Inputs'!$B$31+'Inputs'!$B$32)/1000+'Inputs'!$B$21+'Inputs'!$B$7+'Inputs'!$B$10)+'Inputs'!$B$9)^2+('Inputs'!$B$8/2)^2)-(((809-43)*MAX('Inputs'!$B$33,'Inputs'!$B$29+'Inputs'!$B$31+'Inputs'!$B$32,'Inputs'!$B$30+'Inputs'!$B$31+'Inputs'!$B$32)/1000+'Inputs'!$B$21+'Inputs'!$B$7+'Inputs'!$B$10))/SQRT((((809-43)*MAX('Inputs'!$B$33,'Inputs'!$B$29+'Inputs'!$B$31+'Inputs'!$B$32,'Inputs'!$B$30+'Inputs'!$B$31+'Inputs'!$B$32)/1000+'Inputs'!$B$21+'Inputs'!$B$7+'Inputs'!$B$10))^2+('Inputs'!$B$8/2)^2))))*'Results'!$B$8))),"")</x:f>
        <x:v>1.077932263956448</x:v>
      </x:c>
      <x:c r="M809" t="n">
        <x:f>IF(AND(ISNUMBER('Results'!C7),ISNUMBER('Results'!B7),ISNUMBER('Results'!$B$8),ISNUMBER('Inputs'!$B$6),ISNUMBER('Inputs'!$B$7),ISNUMBER('Inputs'!$B$8),ISNUMBER('Inputs'!$B$9),ISNUMBER('Inputs'!$B$10),ISNUMBER('Inputs'!$B$21),ISNUMBER('Inputs'!$B$24),ISNUMBER('Inputs'!$B$28)),(('Results'!C7*(0.5*((((809-43)*MAX('Inputs'!$B$33,'Inputs'!$B$29+'Inputs'!$B$31+'Inputs'!$B$32,'Inputs'!$B$30+'Inputs'!$B$31+'Inputs'!$B$32)/1000+'Inputs'!$B$21)+'Inputs'!$B$9)/SQRT((((809-43)*MAX('Inputs'!$B$33,'Inputs'!$B$29+'Inputs'!$B$31+'Inputs'!$B$32,'Inputs'!$B$30+'Inputs'!$B$31+'Inputs'!$B$32)/1000+'Inputs'!$B$21)+'Inputs'!$B$9)^2+('Inputs'!$B$8/2)^2)-(((809-43)*MAX('Inputs'!$B$33,'Inputs'!$B$29+'Inputs'!$B$31+'Inputs'!$B$32,'Inputs'!$B$30+'Inputs'!$B$31+'Inputs'!$B$32)/1000+'Inputs'!$B$21))/SQRT((((809-43)*MAX('Inputs'!$B$33,'Inputs'!$B$29+'Inputs'!$B$31+'Inputs'!$B$32,'Inputs'!$B$30+'Inputs'!$B$31+'Inputs'!$B$32)/1000+'Inputs'!$B$21))^2+('Inputs'!$B$8/2)^2)))-'Results'!B7*(0.5*((((809-43)*MAX('Inputs'!$B$33,'Inputs'!$B$29+'Inputs'!$B$31+'Inputs'!$B$32,'Inputs'!$B$30+'Inputs'!$B$31+'Inputs'!$B$32)/1000+'Inputs'!$B$21+'Inputs'!$B$9+'Inputs'!$B$10)+'Inputs'!$B$7)/SQRT((((809-43)*MAX('Inputs'!$B$33,'Inputs'!$B$29+'Inputs'!$B$31+'Inputs'!$B$32,'Inputs'!$B$30+'Inputs'!$B$31+'Inputs'!$B$32)/1000+'Inputs'!$B$21+'Inputs'!$B$9+'Inputs'!$B$10)+'Inputs'!$B$7)^2+('Inputs'!$B$6/2)^2)-(((809-43)*MAX('Inputs'!$B$33,'Inputs'!$B$29+'Inputs'!$B$31+'Inputs'!$B$32,'Inputs'!$B$30+'Inputs'!$B$31+'Inputs'!$B$32)/1000+'Inputs'!$B$21+'Inputs'!$B$9+'Inputs'!$B$10))/SQRT((((809-43)*MAX('Inputs'!$B$33,'Inputs'!$B$29+'Inputs'!$B$31+'Inputs'!$B$32,'Inputs'!$B$30+'Inputs'!$B$31+'Inputs'!$B$32)/1000+'Inputs'!$B$21+'Inputs'!$B$9+'Inputs'!$B$10))^2+('Inputs'!$B$6/2)^2))))*'Results'!$B$8),"")</x:f>
        <x:v>0.8470500300677094</x:v>
      </x:c>
      <x:c r="N809" t="n">
        <x:f>IF(AND(ISNUMBER('Results'!C7),ISNUMBER('Results'!B7),ISNUMBER('Results'!$B$8),ISNUMBER('Inputs'!$B$6),ISNUMBER('Inputs'!$B$7),ISNUMBER('Inputs'!$B$8),ISNUMBER('Inputs'!$B$9),ISNUMBER('Inputs'!$B$10),ISNUMBER('Inputs'!$B$21),ISNUMBER('Inputs'!$B$24),ISNUMBER('Inputs'!$B$28)),((('Results'!C7*(1-'Inputs'!$B$24)*(0.5*((((809-43)*MAX('Inputs'!$B$33,'Inputs'!$B$29+'Inputs'!$B$31+'Inputs'!$B$32,'Inputs'!$B$30+'Inputs'!$B$31+'Inputs'!$B$32)/1000+'Inputs'!$B$21)+'Inputs'!$B$9)/SQRT((((809-43)*MAX('Inputs'!$B$33,'Inputs'!$B$29+'Inputs'!$B$31+'Inputs'!$B$32,'Inputs'!$B$30+'Inputs'!$B$31+'Inputs'!$B$32)/1000+'Inputs'!$B$21)+'Inputs'!$B$9)^2+('Inputs'!$B$8/2)^2)-(((809-43)*MAX('Inputs'!$B$33,'Inputs'!$B$29+'Inputs'!$B$31+'Inputs'!$B$32,'Inputs'!$B$30+'Inputs'!$B$31+'Inputs'!$B$32)/1000+'Inputs'!$B$21))/SQRT((((809-43)*MAX('Inputs'!$B$33,'Inputs'!$B$29+'Inputs'!$B$31+'Inputs'!$B$32,'Inputs'!$B$30+'Inputs'!$B$31+'Inputs'!$B$32)/1000+'Inputs'!$B$21))^2+('Inputs'!$B$8/2)^2)))-'Results'!B7*(1+'Inputs'!$B$24)*(0.5*((((809-43)*MAX('Inputs'!$B$33,'Inputs'!$B$29+'Inputs'!$B$31+'Inputs'!$B$32,'Inputs'!$B$30+'Inputs'!$B$31+'Inputs'!$B$32)/1000+'Inputs'!$B$21+'Inputs'!$B$9+'Inputs'!$B$10)+'Inputs'!$B$7)/SQRT((((809-43)*MAX('Inputs'!$B$33,'Inputs'!$B$29+'Inputs'!$B$31+'Inputs'!$B$32,'Inputs'!$B$30+'Inputs'!$B$31+'Inputs'!$B$32)/1000+'Inputs'!$B$21+'Inputs'!$B$9+'Inputs'!$B$10)+'Inputs'!$B$7)^2+('Inputs'!$B$6/2)^2)-(((809-43)*MAX('Inputs'!$B$33,'Inputs'!$B$29+'Inputs'!$B$31+'Inputs'!$B$32,'Inputs'!$B$30+'Inputs'!$B$31+'Inputs'!$B$32)/1000+'Inputs'!$B$21+'Inputs'!$B$9+'Inputs'!$B$10))/SQRT((((809-43)*MAX('Inputs'!$B$33,'Inputs'!$B$29+'Inputs'!$B$31+'Inputs'!$B$32,'Inputs'!$B$30+'Inputs'!$B$31+'Inputs'!$B$32)/1000+'Inputs'!$B$21+'Inputs'!$B$9+'Inputs'!$B$10))^2+('Inputs'!$B$6/2)^2))))*'Results'!$B$8)-'Inputs'!$B$28*ABS((('Results'!C7*(1-'Inputs'!$B$24)*(0.5*((((809-43)*MAX('Inputs'!$B$33,'Inputs'!$B$29+'Inputs'!$B$31+'Inputs'!$B$32,'Inputs'!$B$30+'Inputs'!$B$31+'Inputs'!$B$32)/1000+'Inputs'!$B$21)+'Inputs'!$B$9)/SQRT((((809-43)*MAX('Inputs'!$B$33,'Inputs'!$B$29+'Inputs'!$B$31+'Inputs'!$B$32,'Inputs'!$B$30+'Inputs'!$B$31+'Inputs'!$B$32)/1000+'Inputs'!$B$21)+'Inputs'!$B$9)^2+('Inputs'!$B$8/2)^2)-(((809-43)*MAX('Inputs'!$B$33,'Inputs'!$B$29+'Inputs'!$B$31+'Inputs'!$B$32,'Inputs'!$B$30+'Inputs'!$B$31+'Inputs'!$B$32)/1000+'Inputs'!$B$21))/SQRT((((809-43)*MAX('Inputs'!$B$33,'Inputs'!$B$29+'Inputs'!$B$31+'Inputs'!$B$32,'Inputs'!$B$30+'Inputs'!$B$31+'Inputs'!$B$32)/1000+'Inputs'!$B$21))^2+('Inputs'!$B$8/2)^2)))-'Results'!B7*(1+'Inputs'!$B$24)*(0.5*((((809-43)*MAX('Inputs'!$B$33,'Inputs'!$B$29+'Inputs'!$B$31+'Inputs'!$B$32,'Inputs'!$B$30+'Inputs'!$B$31+'Inputs'!$B$32)/1000+'Inputs'!$B$21+'Inputs'!$B$9+'Inputs'!$B$10)+'Inputs'!$B$7)/SQRT((((809-43)*MAX('Inputs'!$B$33,'Inputs'!$B$29+'Inputs'!$B$31+'Inputs'!$B$32,'Inputs'!$B$30+'Inputs'!$B$31+'Inputs'!$B$32)/1000+'Inputs'!$B$21+'Inputs'!$B$9+'Inputs'!$B$10)+'Inputs'!$B$7)^2+('Inputs'!$B$6/2)^2)-(((809-43)*MAX('Inputs'!$B$33,'Inputs'!$B$29+'Inputs'!$B$31+'Inputs'!$B$32,'Inputs'!$B$30+'Inputs'!$B$31+'Inputs'!$B$32)/1000+'Inputs'!$B$21+'Inputs'!$B$9+'Inputs'!$B$10))/SQRT((((809-43)*MAX('Inputs'!$B$33,'Inputs'!$B$29+'Inputs'!$B$31+'Inputs'!$B$32,'Inputs'!$B$30+'Inputs'!$B$31+'Inputs'!$B$32)/1000+'Inputs'!$B$21+'Inputs'!$B$9+'Inputs'!$B$10))^2+('Inputs'!$B$6/2)^2))))*'Results'!$B$8))),"")</x:f>
        <x:v>0.7200952396319029</x:v>
      </x:c>
      <x:c r="O809" t="n">
        <x:f>IF(AND(ISNUMBER('Results'!C7),ISNUMBER('Results'!B7),ISNUMBER('Results'!$B$8),ISNUMBER('Inputs'!$B$6),ISNUMBER('Inputs'!$B$7),ISNUMBER('Inputs'!$B$8),ISNUMBER('Inputs'!$B$9),ISNUMBER('Inputs'!$B$10),ISNUMBER('Inputs'!$B$21),ISNUMBER('Inputs'!$B$24),ISNUMBER('Inputs'!$B$28)),((('Results'!C7*(1+'Inputs'!$B$24)*(0.5*((((809-43)*MAX('Inputs'!$B$33,'Inputs'!$B$29+'Inputs'!$B$31+'Inputs'!$B$32,'Inputs'!$B$30+'Inputs'!$B$31+'Inputs'!$B$32)/1000+'Inputs'!$B$21)+'Inputs'!$B$9)/SQRT((((809-43)*MAX('Inputs'!$B$33,'Inputs'!$B$29+'Inputs'!$B$31+'Inputs'!$B$32,'Inputs'!$B$30+'Inputs'!$B$31+'Inputs'!$B$32)/1000+'Inputs'!$B$21)+'Inputs'!$B$9)^2+('Inputs'!$B$8/2)^2)-(((809-43)*MAX('Inputs'!$B$33,'Inputs'!$B$29+'Inputs'!$B$31+'Inputs'!$B$32,'Inputs'!$B$30+'Inputs'!$B$31+'Inputs'!$B$32)/1000+'Inputs'!$B$21))/SQRT((((809-43)*MAX('Inputs'!$B$33,'Inputs'!$B$29+'Inputs'!$B$31+'Inputs'!$B$32,'Inputs'!$B$30+'Inputs'!$B$31+'Inputs'!$B$32)/1000+'Inputs'!$B$21))^2+('Inputs'!$B$8/2)^2)))-'Results'!B7*(1-'Inputs'!$B$24)*(0.5*((((809-43)*MAX('Inputs'!$B$33,'Inputs'!$B$29+'Inputs'!$B$31+'Inputs'!$B$32,'Inputs'!$B$30+'Inputs'!$B$31+'Inputs'!$B$32)/1000+'Inputs'!$B$21+'Inputs'!$B$9+'Inputs'!$B$10)+'Inputs'!$B$7)/SQRT((((809-43)*MAX('Inputs'!$B$33,'Inputs'!$B$29+'Inputs'!$B$31+'Inputs'!$B$32,'Inputs'!$B$30+'Inputs'!$B$31+'Inputs'!$B$32)/1000+'Inputs'!$B$21+'Inputs'!$B$9+'Inputs'!$B$10)+'Inputs'!$B$7)^2+('Inputs'!$B$6/2)^2)-(((809-43)*MAX('Inputs'!$B$33,'Inputs'!$B$29+'Inputs'!$B$31+'Inputs'!$B$32,'Inputs'!$B$30+'Inputs'!$B$31+'Inputs'!$B$32)/1000+'Inputs'!$B$21+'Inputs'!$B$9+'Inputs'!$B$10))/SQRT((((809-43)*MAX('Inputs'!$B$33,'Inputs'!$B$29+'Inputs'!$B$31+'Inputs'!$B$32,'Inputs'!$B$30+'Inputs'!$B$31+'Inputs'!$B$32)/1000+'Inputs'!$B$21+'Inputs'!$B$9+'Inputs'!$B$10))^2+('Inputs'!$B$6/2)^2))))*'Results'!$B$8)+'Inputs'!$B$28*ABS((('Results'!C7*(1+'Inputs'!$B$24)*(0.5*((((809-43)*MAX('Inputs'!$B$33,'Inputs'!$B$29+'Inputs'!$B$31+'Inputs'!$B$32,'Inputs'!$B$30+'Inputs'!$B$31+'Inputs'!$B$32)/1000+'Inputs'!$B$21)+'Inputs'!$B$9)/SQRT((((809-43)*MAX('Inputs'!$B$33,'Inputs'!$B$29+'Inputs'!$B$31+'Inputs'!$B$32,'Inputs'!$B$30+'Inputs'!$B$31+'Inputs'!$B$32)/1000+'Inputs'!$B$21)+'Inputs'!$B$9)^2+('Inputs'!$B$8/2)^2)-(((809-43)*MAX('Inputs'!$B$33,'Inputs'!$B$29+'Inputs'!$B$31+'Inputs'!$B$32,'Inputs'!$B$30+'Inputs'!$B$31+'Inputs'!$B$32)/1000+'Inputs'!$B$21))/SQRT((((809-43)*MAX('Inputs'!$B$33,'Inputs'!$B$29+'Inputs'!$B$31+'Inputs'!$B$32,'Inputs'!$B$30+'Inputs'!$B$31+'Inputs'!$B$32)/1000+'Inputs'!$B$21))^2+('Inputs'!$B$8/2)^2)))-'Results'!B7*(1-'Inputs'!$B$24)*(0.5*((((809-43)*MAX('Inputs'!$B$33,'Inputs'!$B$29+'Inputs'!$B$31+'Inputs'!$B$32,'Inputs'!$B$30+'Inputs'!$B$31+'Inputs'!$B$32)/1000+'Inputs'!$B$21+'Inputs'!$B$9+'Inputs'!$B$10)+'Inputs'!$B$7)/SQRT((((809-43)*MAX('Inputs'!$B$33,'Inputs'!$B$29+'Inputs'!$B$31+'Inputs'!$B$32,'Inputs'!$B$30+'Inputs'!$B$31+'Inputs'!$B$32)/1000+'Inputs'!$B$21+'Inputs'!$B$9+'Inputs'!$B$10)+'Inputs'!$B$7)^2+('Inputs'!$B$6/2)^2)-(((809-43)*MAX('Inputs'!$B$33,'Inputs'!$B$29+'Inputs'!$B$31+'Inputs'!$B$32,'Inputs'!$B$30+'Inputs'!$B$31+'Inputs'!$B$32)/1000+'Inputs'!$B$21+'Inputs'!$B$9+'Inputs'!$B$10))/SQRT((((809-43)*MAX('Inputs'!$B$33,'Inputs'!$B$29+'Inputs'!$B$31+'Inputs'!$B$32,'Inputs'!$B$30+'Inputs'!$B$31+'Inputs'!$B$32)/1000+'Inputs'!$B$21+'Inputs'!$B$9+'Inputs'!$B$10))^2+('Inputs'!$B$6/2)^2))))*'Results'!$B$8))),"")</x:f>
        <x:v>0.9829103246016654</x:v>
      </x:c>
      <x:c r="P809" t="n">
        <x:f>IF(AND(MAX(J809,J808)&gt;0,J809&gt;J808+0.00000001),1,0)</x:f>
        <x:v>0</x:v>
      </x:c>
      <x:c r="Q809" t="n">
        <x:f>IF(AND(MAX(K809,K808)&gt;0,K809&gt;K808+0.00000001),1,0)</x:f>
        <x:v>0</x:v>
      </x:c>
      <x:c r="R809" t="n">
        <x:f>IF(AND(MAX(L809,L808)&gt;0,L809&gt;L808+0.00000001),1,0)</x:f>
        <x:v>0</x:v>
      </x:c>
      <x:c r="S809" t="n">
        <x:f>IF(AND(MAX(M809,M808)&gt;0,M809&gt;M808+0.00000001),1,0)</x:f>
        <x:v>0</x:v>
      </x:c>
      <x:c r="T809" t="n">
        <x:f>IF(AND(MAX(N809,N808)&gt;0,N809&gt;N808+0.00000001),1,0)</x:f>
        <x:v>0</x:v>
      </x:c>
      <x:c r="U809" t="n">
        <x:f>IF(AND(MAX(O809,O808)&gt;0,O809&gt;O808+0.00000001),1,0)</x:f>
        <x:v>0</x:v>
      </x:c>
    </x:row>
    <x:row r="810">
      <x:c r="J810" t="n">
        <x:f>IF(AND(ISNUMBER('Results'!B7),ISNUMBER('Results'!C7),ISNUMBER('Results'!$B$8),ISNUMBER('Inputs'!$B$6),ISNUMBER('Inputs'!$B$7),ISNUMBER('Inputs'!$B$8),ISNUMBER('Inputs'!$B$9),ISNUMBER('Inputs'!$B$10),ISNUMBER('Inputs'!$B$21),ISNUMBER('Inputs'!$B$24),ISNUMBER('Inputs'!$B$28)),(('Results'!B7*(0.5*((((810-43)*MAX('Inputs'!$B$33,'Inputs'!$B$29+'Inputs'!$B$31+'Inputs'!$B$32,'Inputs'!$B$30+'Inputs'!$B$31+'Inputs'!$B$32)/1000+'Inputs'!$B$21)+'Inputs'!$B$7)/SQRT((((810-43)*MAX('Inputs'!$B$33,'Inputs'!$B$29+'Inputs'!$B$31+'Inputs'!$B$32,'Inputs'!$B$30+'Inputs'!$B$31+'Inputs'!$B$32)/1000+'Inputs'!$B$21)+'Inputs'!$B$7)^2+('Inputs'!$B$6/2)^2)-(((810-43)*MAX('Inputs'!$B$33,'Inputs'!$B$29+'Inputs'!$B$31+'Inputs'!$B$32,'Inputs'!$B$30+'Inputs'!$B$31+'Inputs'!$B$32)/1000+'Inputs'!$B$21))/SQRT((((810-43)*MAX('Inputs'!$B$33,'Inputs'!$B$29+'Inputs'!$B$31+'Inputs'!$B$32,'Inputs'!$B$30+'Inputs'!$B$31+'Inputs'!$B$32)/1000+'Inputs'!$B$21))^2+('Inputs'!$B$6/2)^2)))-'Results'!C7*(0.5*((((810-43)*MAX('Inputs'!$B$33,'Inputs'!$B$29+'Inputs'!$B$31+'Inputs'!$B$32,'Inputs'!$B$30+'Inputs'!$B$31+'Inputs'!$B$32)/1000+'Inputs'!$B$21+'Inputs'!$B$7+'Inputs'!$B$10)+'Inputs'!$B$9)/SQRT((((810-43)*MAX('Inputs'!$B$33,'Inputs'!$B$29+'Inputs'!$B$31+'Inputs'!$B$32,'Inputs'!$B$30+'Inputs'!$B$31+'Inputs'!$B$32)/1000+'Inputs'!$B$21+'Inputs'!$B$7+'Inputs'!$B$10)+'Inputs'!$B$9)^2+('Inputs'!$B$8/2)^2)-(((810-43)*MAX('Inputs'!$B$33,'Inputs'!$B$29+'Inputs'!$B$31+'Inputs'!$B$32,'Inputs'!$B$30+'Inputs'!$B$31+'Inputs'!$B$32)/1000+'Inputs'!$B$21+'Inputs'!$B$7+'Inputs'!$B$10))/SQRT((((810-43)*MAX('Inputs'!$B$33,'Inputs'!$B$29+'Inputs'!$B$31+'Inputs'!$B$32,'Inputs'!$B$30+'Inputs'!$B$31+'Inputs'!$B$32)/1000+'Inputs'!$B$21+'Inputs'!$B$7+'Inputs'!$B$10))^2+('Inputs'!$B$8/2)^2))))*'Results'!$B$8),"")</x:f>
        <x:v>0.9328169125618722</x:v>
      </x:c>
      <x:c r="K810" t="n">
        <x:f>IF(AND(ISNUMBER('Results'!B7),ISNUMBER('Results'!C7),ISNUMBER('Results'!$B$8),ISNUMBER('Inputs'!$B$6),ISNUMBER('Inputs'!$B$7),ISNUMBER('Inputs'!$B$8),ISNUMBER('Inputs'!$B$9),ISNUMBER('Inputs'!$B$10),ISNUMBER('Inputs'!$B$21),ISNUMBER('Inputs'!$B$24),ISNUMBER('Inputs'!$B$28)),((('Results'!B7*(1-'Inputs'!$B$24)*(0.5*((((810-43)*MAX('Inputs'!$B$33,'Inputs'!$B$29+'Inputs'!$B$31+'Inputs'!$B$32,'Inputs'!$B$30+'Inputs'!$B$31+'Inputs'!$B$32)/1000+'Inputs'!$B$21)+'Inputs'!$B$7)/SQRT((((810-43)*MAX('Inputs'!$B$33,'Inputs'!$B$29+'Inputs'!$B$31+'Inputs'!$B$32,'Inputs'!$B$30+'Inputs'!$B$31+'Inputs'!$B$32)/1000+'Inputs'!$B$21)+'Inputs'!$B$7)^2+('Inputs'!$B$6/2)^2)-(((810-43)*MAX('Inputs'!$B$33,'Inputs'!$B$29+'Inputs'!$B$31+'Inputs'!$B$32,'Inputs'!$B$30+'Inputs'!$B$31+'Inputs'!$B$32)/1000+'Inputs'!$B$21))/SQRT((((810-43)*MAX('Inputs'!$B$33,'Inputs'!$B$29+'Inputs'!$B$31+'Inputs'!$B$32,'Inputs'!$B$30+'Inputs'!$B$31+'Inputs'!$B$32)/1000+'Inputs'!$B$21))^2+('Inputs'!$B$6/2)^2)))-'Results'!C7*(1+'Inputs'!$B$24)*(0.5*((((810-43)*MAX('Inputs'!$B$33,'Inputs'!$B$29+'Inputs'!$B$31+'Inputs'!$B$32,'Inputs'!$B$30+'Inputs'!$B$31+'Inputs'!$B$32)/1000+'Inputs'!$B$21+'Inputs'!$B$7+'Inputs'!$B$10)+'Inputs'!$B$9)/SQRT((((810-43)*MAX('Inputs'!$B$33,'Inputs'!$B$29+'Inputs'!$B$31+'Inputs'!$B$32,'Inputs'!$B$30+'Inputs'!$B$31+'Inputs'!$B$32)/1000+'Inputs'!$B$21+'Inputs'!$B$7+'Inputs'!$B$10)+'Inputs'!$B$9)^2+('Inputs'!$B$8/2)^2)-(((810-43)*MAX('Inputs'!$B$33,'Inputs'!$B$29+'Inputs'!$B$31+'Inputs'!$B$32,'Inputs'!$B$30+'Inputs'!$B$31+'Inputs'!$B$32)/1000+'Inputs'!$B$21+'Inputs'!$B$7+'Inputs'!$B$10))/SQRT((((810-43)*MAX('Inputs'!$B$33,'Inputs'!$B$29+'Inputs'!$B$31+'Inputs'!$B$32,'Inputs'!$B$30+'Inputs'!$B$31+'Inputs'!$B$32)/1000+'Inputs'!$B$21+'Inputs'!$B$7+'Inputs'!$B$10))^2+('Inputs'!$B$8/2)^2))))*'Results'!$B$8)-'Inputs'!$B$28*ABS((('Results'!B7*(1-'Inputs'!$B$24)*(0.5*((((810-43)*MAX('Inputs'!$B$33,'Inputs'!$B$29+'Inputs'!$B$31+'Inputs'!$B$32,'Inputs'!$B$30+'Inputs'!$B$31+'Inputs'!$B$32)/1000+'Inputs'!$B$21)+'Inputs'!$B$7)/SQRT((((810-43)*MAX('Inputs'!$B$33,'Inputs'!$B$29+'Inputs'!$B$31+'Inputs'!$B$32,'Inputs'!$B$30+'Inputs'!$B$31+'Inputs'!$B$32)/1000+'Inputs'!$B$21)+'Inputs'!$B$7)^2+('Inputs'!$B$6/2)^2)-(((810-43)*MAX('Inputs'!$B$33,'Inputs'!$B$29+'Inputs'!$B$31+'Inputs'!$B$32,'Inputs'!$B$30+'Inputs'!$B$31+'Inputs'!$B$32)/1000+'Inputs'!$B$21))/SQRT((((810-43)*MAX('Inputs'!$B$33,'Inputs'!$B$29+'Inputs'!$B$31+'Inputs'!$B$32,'Inputs'!$B$30+'Inputs'!$B$31+'Inputs'!$B$32)/1000+'Inputs'!$B$21))^2+('Inputs'!$B$6/2)^2)))-'Results'!C7*(1+'Inputs'!$B$24)*(0.5*((((810-43)*MAX('Inputs'!$B$33,'Inputs'!$B$29+'Inputs'!$B$31+'Inputs'!$B$32,'Inputs'!$B$30+'Inputs'!$B$31+'Inputs'!$B$32)/1000+'Inputs'!$B$21+'Inputs'!$B$7+'Inputs'!$B$10)+'Inputs'!$B$9)/SQRT((((810-43)*MAX('Inputs'!$B$33,'Inputs'!$B$29+'Inputs'!$B$31+'Inputs'!$B$32,'Inputs'!$B$30+'Inputs'!$B$31+'Inputs'!$B$32)/1000+'Inputs'!$B$21+'Inputs'!$B$7+'Inputs'!$B$10)+'Inputs'!$B$9)^2+('Inputs'!$B$8/2)^2)-(((810-43)*MAX('Inputs'!$B$33,'Inputs'!$B$29+'Inputs'!$B$31+'Inputs'!$B$32,'Inputs'!$B$30+'Inputs'!$B$31+'Inputs'!$B$32)/1000+'Inputs'!$B$21+'Inputs'!$B$7+'Inputs'!$B$10))/SQRT((((810-43)*MAX('Inputs'!$B$33,'Inputs'!$B$29+'Inputs'!$B$31+'Inputs'!$B$32,'Inputs'!$B$30+'Inputs'!$B$31+'Inputs'!$B$32)/1000+'Inputs'!$B$21+'Inputs'!$B$7+'Inputs'!$B$10))^2+('Inputs'!$B$8/2)^2))))*'Results'!$B$8))),"")</x:f>
        <x:v>0.8015359635772716</x:v>
      </x:c>
      <x:c r="L810" t="n">
        <x:f>IF(AND(ISNUMBER('Results'!B7),ISNUMBER('Results'!C7),ISNUMBER('Results'!$B$8),ISNUMBER('Inputs'!$B$6),ISNUMBER('Inputs'!$B$7),ISNUMBER('Inputs'!$B$8),ISNUMBER('Inputs'!$B$9),ISNUMBER('Inputs'!$B$10),ISNUMBER('Inputs'!$B$21),ISNUMBER('Inputs'!$B$24),ISNUMBER('Inputs'!$B$28)),((('Results'!B7*(1+'Inputs'!$B$24)*(0.5*((((810-43)*MAX('Inputs'!$B$33,'Inputs'!$B$29+'Inputs'!$B$31+'Inputs'!$B$32,'Inputs'!$B$30+'Inputs'!$B$31+'Inputs'!$B$32)/1000+'Inputs'!$B$21)+'Inputs'!$B$7)/SQRT((((810-43)*MAX('Inputs'!$B$33,'Inputs'!$B$29+'Inputs'!$B$31+'Inputs'!$B$32,'Inputs'!$B$30+'Inputs'!$B$31+'Inputs'!$B$32)/1000+'Inputs'!$B$21)+'Inputs'!$B$7)^2+('Inputs'!$B$6/2)^2)-(((810-43)*MAX('Inputs'!$B$33,'Inputs'!$B$29+'Inputs'!$B$31+'Inputs'!$B$32,'Inputs'!$B$30+'Inputs'!$B$31+'Inputs'!$B$32)/1000+'Inputs'!$B$21))/SQRT((((810-43)*MAX('Inputs'!$B$33,'Inputs'!$B$29+'Inputs'!$B$31+'Inputs'!$B$32,'Inputs'!$B$30+'Inputs'!$B$31+'Inputs'!$B$32)/1000+'Inputs'!$B$21))^2+('Inputs'!$B$6/2)^2)))-'Results'!C7*(1-'Inputs'!$B$24)*(0.5*((((810-43)*MAX('Inputs'!$B$33,'Inputs'!$B$29+'Inputs'!$B$31+'Inputs'!$B$32,'Inputs'!$B$30+'Inputs'!$B$31+'Inputs'!$B$32)/1000+'Inputs'!$B$21+'Inputs'!$B$7+'Inputs'!$B$10)+'Inputs'!$B$9)/SQRT((((810-43)*MAX('Inputs'!$B$33,'Inputs'!$B$29+'Inputs'!$B$31+'Inputs'!$B$32,'Inputs'!$B$30+'Inputs'!$B$31+'Inputs'!$B$32)/1000+'Inputs'!$B$21+'Inputs'!$B$7+'Inputs'!$B$10)+'Inputs'!$B$9)^2+('Inputs'!$B$8/2)^2)-(((810-43)*MAX('Inputs'!$B$33,'Inputs'!$B$29+'Inputs'!$B$31+'Inputs'!$B$32,'Inputs'!$B$30+'Inputs'!$B$31+'Inputs'!$B$32)/1000+'Inputs'!$B$21+'Inputs'!$B$7+'Inputs'!$B$10))/SQRT((((810-43)*MAX('Inputs'!$B$33,'Inputs'!$B$29+'Inputs'!$B$31+'Inputs'!$B$32,'Inputs'!$B$30+'Inputs'!$B$31+'Inputs'!$B$32)/1000+'Inputs'!$B$21+'Inputs'!$B$7+'Inputs'!$B$10))^2+('Inputs'!$B$8/2)^2))))*'Results'!$B$8)+'Inputs'!$B$28*ABS((('Results'!B7*(1+'Inputs'!$B$24)*(0.5*((((810-43)*MAX('Inputs'!$B$33,'Inputs'!$B$29+'Inputs'!$B$31+'Inputs'!$B$32,'Inputs'!$B$30+'Inputs'!$B$31+'Inputs'!$B$32)/1000+'Inputs'!$B$21)+'Inputs'!$B$7)/SQRT((((810-43)*MAX('Inputs'!$B$33,'Inputs'!$B$29+'Inputs'!$B$31+'Inputs'!$B$32,'Inputs'!$B$30+'Inputs'!$B$31+'Inputs'!$B$32)/1000+'Inputs'!$B$21)+'Inputs'!$B$7)^2+('Inputs'!$B$6/2)^2)-(((810-43)*MAX('Inputs'!$B$33,'Inputs'!$B$29+'Inputs'!$B$31+'Inputs'!$B$32,'Inputs'!$B$30+'Inputs'!$B$31+'Inputs'!$B$32)/1000+'Inputs'!$B$21))/SQRT((((810-43)*MAX('Inputs'!$B$33,'Inputs'!$B$29+'Inputs'!$B$31+'Inputs'!$B$32,'Inputs'!$B$30+'Inputs'!$B$31+'Inputs'!$B$32)/1000+'Inputs'!$B$21))^2+('Inputs'!$B$6/2)^2)))-'Results'!C7*(1-'Inputs'!$B$24)*(0.5*((((810-43)*MAX('Inputs'!$B$33,'Inputs'!$B$29+'Inputs'!$B$31+'Inputs'!$B$32,'Inputs'!$B$30+'Inputs'!$B$31+'Inputs'!$B$32)/1000+'Inputs'!$B$21+'Inputs'!$B$7+'Inputs'!$B$10)+'Inputs'!$B$9)/SQRT((((810-43)*MAX('Inputs'!$B$33,'Inputs'!$B$29+'Inputs'!$B$31+'Inputs'!$B$32,'Inputs'!$B$30+'Inputs'!$B$31+'Inputs'!$B$32)/1000+'Inputs'!$B$21+'Inputs'!$B$7+'Inputs'!$B$10)+'Inputs'!$B$9)^2+('Inputs'!$B$8/2)^2)-(((810-43)*MAX('Inputs'!$B$33,'Inputs'!$B$29+'Inputs'!$B$31+'Inputs'!$B$32,'Inputs'!$B$30+'Inputs'!$B$31+'Inputs'!$B$32)/1000+'Inputs'!$B$21+'Inputs'!$B$7+'Inputs'!$B$10))/SQRT((((810-43)*MAX('Inputs'!$B$33,'Inputs'!$B$29+'Inputs'!$B$31+'Inputs'!$B$32,'Inputs'!$B$30+'Inputs'!$B$31+'Inputs'!$B$32)/1000+'Inputs'!$B$21+'Inputs'!$B$7+'Inputs'!$B$10))^2+('Inputs'!$B$8/2)^2))))*'Results'!$B$8))),"")</x:f>
        <x:v>1.0730073461103162</x:v>
      </x:c>
      <x:c r="M810" t="n">
        <x:f>IF(AND(ISNUMBER('Results'!C7),ISNUMBER('Results'!B7),ISNUMBER('Results'!$B$8),ISNUMBER('Inputs'!$B$6),ISNUMBER('Inputs'!$B$7),ISNUMBER('Inputs'!$B$8),ISNUMBER('Inputs'!$B$9),ISNUMBER('Inputs'!$B$10),ISNUMBER('Inputs'!$B$21),ISNUMBER('Inputs'!$B$24),ISNUMBER('Inputs'!$B$28)),(('Results'!C7*(0.5*((((810-43)*MAX('Inputs'!$B$33,'Inputs'!$B$29+'Inputs'!$B$31+'Inputs'!$B$32,'Inputs'!$B$30+'Inputs'!$B$31+'Inputs'!$B$32)/1000+'Inputs'!$B$21)+'Inputs'!$B$9)/SQRT((((810-43)*MAX('Inputs'!$B$33,'Inputs'!$B$29+'Inputs'!$B$31+'Inputs'!$B$32,'Inputs'!$B$30+'Inputs'!$B$31+'Inputs'!$B$32)/1000+'Inputs'!$B$21)+'Inputs'!$B$9)^2+('Inputs'!$B$8/2)^2)-(((810-43)*MAX('Inputs'!$B$33,'Inputs'!$B$29+'Inputs'!$B$31+'Inputs'!$B$32,'Inputs'!$B$30+'Inputs'!$B$31+'Inputs'!$B$32)/1000+'Inputs'!$B$21))/SQRT((((810-43)*MAX('Inputs'!$B$33,'Inputs'!$B$29+'Inputs'!$B$31+'Inputs'!$B$32,'Inputs'!$B$30+'Inputs'!$B$31+'Inputs'!$B$32)/1000+'Inputs'!$B$21))^2+('Inputs'!$B$8/2)^2)))-'Results'!B7*(0.5*((((810-43)*MAX('Inputs'!$B$33,'Inputs'!$B$29+'Inputs'!$B$31+'Inputs'!$B$32,'Inputs'!$B$30+'Inputs'!$B$31+'Inputs'!$B$32)/1000+'Inputs'!$B$21+'Inputs'!$B$9+'Inputs'!$B$10)+'Inputs'!$B$7)/SQRT((((810-43)*MAX('Inputs'!$B$33,'Inputs'!$B$29+'Inputs'!$B$31+'Inputs'!$B$32,'Inputs'!$B$30+'Inputs'!$B$31+'Inputs'!$B$32)/1000+'Inputs'!$B$21+'Inputs'!$B$9+'Inputs'!$B$10)+'Inputs'!$B$7)^2+('Inputs'!$B$6/2)^2)-(((810-43)*MAX('Inputs'!$B$33,'Inputs'!$B$29+'Inputs'!$B$31+'Inputs'!$B$32,'Inputs'!$B$30+'Inputs'!$B$31+'Inputs'!$B$32)/1000+'Inputs'!$B$21+'Inputs'!$B$9+'Inputs'!$B$10))/SQRT((((810-43)*MAX('Inputs'!$B$33,'Inputs'!$B$29+'Inputs'!$B$31+'Inputs'!$B$32,'Inputs'!$B$30+'Inputs'!$B$31+'Inputs'!$B$32)/1000+'Inputs'!$B$21+'Inputs'!$B$9+'Inputs'!$B$10))^2+('Inputs'!$B$6/2)^2))))*'Results'!$B$8),"")</x:f>
        <x:v>0.8430033066439828</x:v>
      </x:c>
      <x:c r="N810" t="n">
        <x:f>IF(AND(ISNUMBER('Results'!C7),ISNUMBER('Results'!B7),ISNUMBER('Results'!$B$8),ISNUMBER('Inputs'!$B$6),ISNUMBER('Inputs'!$B$7),ISNUMBER('Inputs'!$B$8),ISNUMBER('Inputs'!$B$9),ISNUMBER('Inputs'!$B$10),ISNUMBER('Inputs'!$B$21),ISNUMBER('Inputs'!$B$24),ISNUMBER('Inputs'!$B$28)),((('Results'!C7*(1-'Inputs'!$B$24)*(0.5*((((810-43)*MAX('Inputs'!$B$33,'Inputs'!$B$29+'Inputs'!$B$31+'Inputs'!$B$32,'Inputs'!$B$30+'Inputs'!$B$31+'Inputs'!$B$32)/1000+'Inputs'!$B$21)+'Inputs'!$B$9)/SQRT((((810-43)*MAX('Inputs'!$B$33,'Inputs'!$B$29+'Inputs'!$B$31+'Inputs'!$B$32,'Inputs'!$B$30+'Inputs'!$B$31+'Inputs'!$B$32)/1000+'Inputs'!$B$21)+'Inputs'!$B$9)^2+('Inputs'!$B$8/2)^2)-(((810-43)*MAX('Inputs'!$B$33,'Inputs'!$B$29+'Inputs'!$B$31+'Inputs'!$B$32,'Inputs'!$B$30+'Inputs'!$B$31+'Inputs'!$B$32)/1000+'Inputs'!$B$21))/SQRT((((810-43)*MAX('Inputs'!$B$33,'Inputs'!$B$29+'Inputs'!$B$31+'Inputs'!$B$32,'Inputs'!$B$30+'Inputs'!$B$31+'Inputs'!$B$32)/1000+'Inputs'!$B$21))^2+('Inputs'!$B$8/2)^2)))-'Results'!B7*(1+'Inputs'!$B$24)*(0.5*((((810-43)*MAX('Inputs'!$B$33,'Inputs'!$B$29+'Inputs'!$B$31+'Inputs'!$B$32,'Inputs'!$B$30+'Inputs'!$B$31+'Inputs'!$B$32)/1000+'Inputs'!$B$21+'Inputs'!$B$9+'Inputs'!$B$10)+'Inputs'!$B$7)/SQRT((((810-43)*MAX('Inputs'!$B$33,'Inputs'!$B$29+'Inputs'!$B$31+'Inputs'!$B$32,'Inputs'!$B$30+'Inputs'!$B$31+'Inputs'!$B$32)/1000+'Inputs'!$B$21+'Inputs'!$B$9+'Inputs'!$B$10)+'Inputs'!$B$7)^2+('Inputs'!$B$6/2)^2)-(((810-43)*MAX('Inputs'!$B$33,'Inputs'!$B$29+'Inputs'!$B$31+'Inputs'!$B$32,'Inputs'!$B$30+'Inputs'!$B$31+'Inputs'!$B$32)/1000+'Inputs'!$B$21+'Inputs'!$B$9+'Inputs'!$B$10))/SQRT((((810-43)*MAX('Inputs'!$B$33,'Inputs'!$B$29+'Inputs'!$B$31+'Inputs'!$B$32,'Inputs'!$B$30+'Inputs'!$B$31+'Inputs'!$B$32)/1000+'Inputs'!$B$21+'Inputs'!$B$9+'Inputs'!$B$10))^2+('Inputs'!$B$6/2)^2))))*'Results'!$B$8)-'Inputs'!$B$28*ABS((('Results'!C7*(1-'Inputs'!$B$24)*(0.5*((((810-43)*MAX('Inputs'!$B$33,'Inputs'!$B$29+'Inputs'!$B$31+'Inputs'!$B$32,'Inputs'!$B$30+'Inputs'!$B$31+'Inputs'!$B$32)/1000+'Inputs'!$B$21)+'Inputs'!$B$9)/SQRT((((810-43)*MAX('Inputs'!$B$33,'Inputs'!$B$29+'Inputs'!$B$31+'Inputs'!$B$32,'Inputs'!$B$30+'Inputs'!$B$31+'Inputs'!$B$32)/1000+'Inputs'!$B$21)+'Inputs'!$B$9)^2+('Inputs'!$B$8/2)^2)-(((810-43)*MAX('Inputs'!$B$33,'Inputs'!$B$29+'Inputs'!$B$31+'Inputs'!$B$32,'Inputs'!$B$30+'Inputs'!$B$31+'Inputs'!$B$32)/1000+'Inputs'!$B$21))/SQRT((((810-43)*MAX('Inputs'!$B$33,'Inputs'!$B$29+'Inputs'!$B$31+'Inputs'!$B$32,'Inputs'!$B$30+'Inputs'!$B$31+'Inputs'!$B$32)/1000+'Inputs'!$B$21))^2+('Inputs'!$B$8/2)^2)))-'Results'!B7*(1+'Inputs'!$B$24)*(0.5*((((810-43)*MAX('Inputs'!$B$33,'Inputs'!$B$29+'Inputs'!$B$31+'Inputs'!$B$32,'Inputs'!$B$30+'Inputs'!$B$31+'Inputs'!$B$32)/1000+'Inputs'!$B$21+'Inputs'!$B$9+'Inputs'!$B$10)+'Inputs'!$B$7)/SQRT((((810-43)*MAX('Inputs'!$B$33,'Inputs'!$B$29+'Inputs'!$B$31+'Inputs'!$B$32,'Inputs'!$B$30+'Inputs'!$B$31+'Inputs'!$B$32)/1000+'Inputs'!$B$21+'Inputs'!$B$9+'Inputs'!$B$10)+'Inputs'!$B$7)^2+('Inputs'!$B$6/2)^2)-(((810-43)*MAX('Inputs'!$B$33,'Inputs'!$B$29+'Inputs'!$B$31+'Inputs'!$B$32,'Inputs'!$B$30+'Inputs'!$B$31+'Inputs'!$B$32)/1000+'Inputs'!$B$21+'Inputs'!$B$9+'Inputs'!$B$10))/SQRT((((810-43)*MAX('Inputs'!$B$33,'Inputs'!$B$29+'Inputs'!$B$31+'Inputs'!$B$32,'Inputs'!$B$30+'Inputs'!$B$31+'Inputs'!$B$32)/1000+'Inputs'!$B$21+'Inputs'!$B$9+'Inputs'!$B$10))^2+('Inputs'!$B$6/2)^2))))*'Results'!$B$8))),"")</x:f>
        <x:v>0.7165538519367399</x:v>
      </x:c>
      <x:c r="O810" t="n">
        <x:f>IF(AND(ISNUMBER('Results'!C7),ISNUMBER('Results'!B7),ISNUMBER('Results'!$B$8),ISNUMBER('Inputs'!$B$6),ISNUMBER('Inputs'!$B$7),ISNUMBER('Inputs'!$B$8),ISNUMBER('Inputs'!$B$9),ISNUMBER('Inputs'!$B$10),ISNUMBER('Inputs'!$B$21),ISNUMBER('Inputs'!$B$24),ISNUMBER('Inputs'!$B$28)),((('Results'!C7*(1+'Inputs'!$B$24)*(0.5*((((810-43)*MAX('Inputs'!$B$33,'Inputs'!$B$29+'Inputs'!$B$31+'Inputs'!$B$32,'Inputs'!$B$30+'Inputs'!$B$31+'Inputs'!$B$32)/1000+'Inputs'!$B$21)+'Inputs'!$B$9)/SQRT((((810-43)*MAX('Inputs'!$B$33,'Inputs'!$B$29+'Inputs'!$B$31+'Inputs'!$B$32,'Inputs'!$B$30+'Inputs'!$B$31+'Inputs'!$B$32)/1000+'Inputs'!$B$21)+'Inputs'!$B$9)^2+('Inputs'!$B$8/2)^2)-(((810-43)*MAX('Inputs'!$B$33,'Inputs'!$B$29+'Inputs'!$B$31+'Inputs'!$B$32,'Inputs'!$B$30+'Inputs'!$B$31+'Inputs'!$B$32)/1000+'Inputs'!$B$21))/SQRT((((810-43)*MAX('Inputs'!$B$33,'Inputs'!$B$29+'Inputs'!$B$31+'Inputs'!$B$32,'Inputs'!$B$30+'Inputs'!$B$31+'Inputs'!$B$32)/1000+'Inputs'!$B$21))^2+('Inputs'!$B$8/2)^2)))-'Results'!B7*(1-'Inputs'!$B$24)*(0.5*((((810-43)*MAX('Inputs'!$B$33,'Inputs'!$B$29+'Inputs'!$B$31+'Inputs'!$B$32,'Inputs'!$B$30+'Inputs'!$B$31+'Inputs'!$B$32)/1000+'Inputs'!$B$21+'Inputs'!$B$9+'Inputs'!$B$10)+'Inputs'!$B$7)/SQRT((((810-43)*MAX('Inputs'!$B$33,'Inputs'!$B$29+'Inputs'!$B$31+'Inputs'!$B$32,'Inputs'!$B$30+'Inputs'!$B$31+'Inputs'!$B$32)/1000+'Inputs'!$B$21+'Inputs'!$B$9+'Inputs'!$B$10)+'Inputs'!$B$7)^2+('Inputs'!$B$6/2)^2)-(((810-43)*MAX('Inputs'!$B$33,'Inputs'!$B$29+'Inputs'!$B$31+'Inputs'!$B$32,'Inputs'!$B$30+'Inputs'!$B$31+'Inputs'!$B$32)/1000+'Inputs'!$B$21+'Inputs'!$B$9+'Inputs'!$B$10))/SQRT((((810-43)*MAX('Inputs'!$B$33,'Inputs'!$B$29+'Inputs'!$B$31+'Inputs'!$B$32,'Inputs'!$B$30+'Inputs'!$B$31+'Inputs'!$B$32)/1000+'Inputs'!$B$21+'Inputs'!$B$9+'Inputs'!$B$10))^2+('Inputs'!$B$6/2)^2))))*'Results'!$B$8)+'Inputs'!$B$28*ABS((('Results'!C7*(1+'Inputs'!$B$24)*(0.5*((((810-43)*MAX('Inputs'!$B$33,'Inputs'!$B$29+'Inputs'!$B$31+'Inputs'!$B$32,'Inputs'!$B$30+'Inputs'!$B$31+'Inputs'!$B$32)/1000+'Inputs'!$B$21)+'Inputs'!$B$9)/SQRT((((810-43)*MAX('Inputs'!$B$33,'Inputs'!$B$29+'Inputs'!$B$31+'Inputs'!$B$32,'Inputs'!$B$30+'Inputs'!$B$31+'Inputs'!$B$32)/1000+'Inputs'!$B$21)+'Inputs'!$B$9)^2+('Inputs'!$B$8/2)^2)-(((810-43)*MAX('Inputs'!$B$33,'Inputs'!$B$29+'Inputs'!$B$31+'Inputs'!$B$32,'Inputs'!$B$30+'Inputs'!$B$31+'Inputs'!$B$32)/1000+'Inputs'!$B$21))/SQRT((((810-43)*MAX('Inputs'!$B$33,'Inputs'!$B$29+'Inputs'!$B$31+'Inputs'!$B$32,'Inputs'!$B$30+'Inputs'!$B$31+'Inputs'!$B$32)/1000+'Inputs'!$B$21))^2+('Inputs'!$B$8/2)^2)))-'Results'!B7*(1-'Inputs'!$B$24)*(0.5*((((810-43)*MAX('Inputs'!$B$33,'Inputs'!$B$29+'Inputs'!$B$31+'Inputs'!$B$32,'Inputs'!$B$30+'Inputs'!$B$31+'Inputs'!$B$32)/1000+'Inputs'!$B$21+'Inputs'!$B$9+'Inputs'!$B$10)+'Inputs'!$B$7)/SQRT((((810-43)*MAX('Inputs'!$B$33,'Inputs'!$B$29+'Inputs'!$B$31+'Inputs'!$B$32,'Inputs'!$B$30+'Inputs'!$B$31+'Inputs'!$B$32)/1000+'Inputs'!$B$21+'Inputs'!$B$9+'Inputs'!$B$10)+'Inputs'!$B$7)^2+('Inputs'!$B$6/2)^2)-(((810-43)*MAX('Inputs'!$B$33,'Inputs'!$B$29+'Inputs'!$B$31+'Inputs'!$B$32,'Inputs'!$B$30+'Inputs'!$B$31+'Inputs'!$B$32)/1000+'Inputs'!$B$21+'Inputs'!$B$9+'Inputs'!$B$10))/SQRT((((810-43)*MAX('Inputs'!$B$33,'Inputs'!$B$29+'Inputs'!$B$31+'Inputs'!$B$32,'Inputs'!$B$30+'Inputs'!$B$31+'Inputs'!$B$32)/1000+'Inputs'!$B$21+'Inputs'!$B$9+'Inputs'!$B$10))^2+('Inputs'!$B$6/2)^2))))*'Results'!$B$8))),"")</x:f>
        <x:v>0.9783263707591245</x:v>
      </x:c>
      <x:c r="P810" t="n">
        <x:f>IF(AND(MAX(J810,J809)&gt;0,J810&gt;J809+0.00000001),1,0)</x:f>
        <x:v>0</x:v>
      </x:c>
      <x:c r="Q810" t="n">
        <x:f>IF(AND(MAX(K810,K809)&gt;0,K810&gt;K809+0.00000001),1,0)</x:f>
        <x:v>0</x:v>
      </x:c>
      <x:c r="R810" t="n">
        <x:f>IF(AND(MAX(L810,L809)&gt;0,L810&gt;L809+0.00000001),1,0)</x:f>
        <x:v>0</x:v>
      </x:c>
      <x:c r="S810" t="n">
        <x:f>IF(AND(MAX(M810,M809)&gt;0,M810&gt;M809+0.00000001),1,0)</x:f>
        <x:v>0</x:v>
      </x:c>
      <x:c r="T810" t="n">
        <x:f>IF(AND(MAX(N810,N809)&gt;0,N810&gt;N809+0.00000001),1,0)</x:f>
        <x:v>0</x:v>
      </x:c>
      <x:c r="U810" t="n">
        <x:f>IF(AND(MAX(O810,O809)&gt;0,O810&gt;O809+0.00000001),1,0)</x:f>
        <x:v>0</x:v>
      </x:c>
    </x:row>
    <x:row r="811">
      <x:c r="J811" t="n">
        <x:f>IF(AND(ISNUMBER('Results'!B7),ISNUMBER('Results'!C7),ISNUMBER('Results'!$B$8),ISNUMBER('Inputs'!$B$6),ISNUMBER('Inputs'!$B$7),ISNUMBER('Inputs'!$B$8),ISNUMBER('Inputs'!$B$9),ISNUMBER('Inputs'!$B$10),ISNUMBER('Inputs'!$B$21),ISNUMBER('Inputs'!$B$24),ISNUMBER('Inputs'!$B$28)),(('Results'!B7*(0.5*((((811-43)*MAX('Inputs'!$B$33,'Inputs'!$B$29+'Inputs'!$B$31+'Inputs'!$B$32,'Inputs'!$B$30+'Inputs'!$B$31+'Inputs'!$B$32)/1000+'Inputs'!$B$21)+'Inputs'!$B$7)/SQRT((((811-43)*MAX('Inputs'!$B$33,'Inputs'!$B$29+'Inputs'!$B$31+'Inputs'!$B$32,'Inputs'!$B$30+'Inputs'!$B$31+'Inputs'!$B$32)/1000+'Inputs'!$B$21)+'Inputs'!$B$7)^2+('Inputs'!$B$6/2)^2)-(((811-43)*MAX('Inputs'!$B$33,'Inputs'!$B$29+'Inputs'!$B$31+'Inputs'!$B$32,'Inputs'!$B$30+'Inputs'!$B$31+'Inputs'!$B$32)/1000+'Inputs'!$B$21))/SQRT((((811-43)*MAX('Inputs'!$B$33,'Inputs'!$B$29+'Inputs'!$B$31+'Inputs'!$B$32,'Inputs'!$B$30+'Inputs'!$B$31+'Inputs'!$B$32)/1000+'Inputs'!$B$21))^2+('Inputs'!$B$6/2)^2)))-'Results'!C7*(0.5*((((811-43)*MAX('Inputs'!$B$33,'Inputs'!$B$29+'Inputs'!$B$31+'Inputs'!$B$32,'Inputs'!$B$30+'Inputs'!$B$31+'Inputs'!$B$32)/1000+'Inputs'!$B$21+'Inputs'!$B$7+'Inputs'!$B$10)+'Inputs'!$B$9)/SQRT((((811-43)*MAX('Inputs'!$B$33,'Inputs'!$B$29+'Inputs'!$B$31+'Inputs'!$B$32,'Inputs'!$B$30+'Inputs'!$B$31+'Inputs'!$B$32)/1000+'Inputs'!$B$21+'Inputs'!$B$7+'Inputs'!$B$10)+'Inputs'!$B$9)^2+('Inputs'!$B$8/2)^2)-(((811-43)*MAX('Inputs'!$B$33,'Inputs'!$B$29+'Inputs'!$B$31+'Inputs'!$B$32,'Inputs'!$B$30+'Inputs'!$B$31+'Inputs'!$B$32)/1000+'Inputs'!$B$21+'Inputs'!$B$7+'Inputs'!$B$10))/SQRT((((811-43)*MAX('Inputs'!$B$33,'Inputs'!$B$29+'Inputs'!$B$31+'Inputs'!$B$32,'Inputs'!$B$30+'Inputs'!$B$31+'Inputs'!$B$32)/1000+'Inputs'!$B$21+'Inputs'!$B$7+'Inputs'!$B$10))^2+('Inputs'!$B$8/2)^2))))*'Results'!$B$8),"")</x:f>
        <x:v>0.9284727025293762</x:v>
      </x:c>
      <x:c r="K811" t="n">
        <x:f>IF(AND(ISNUMBER('Results'!B7),ISNUMBER('Results'!C7),ISNUMBER('Results'!$B$8),ISNUMBER('Inputs'!$B$6),ISNUMBER('Inputs'!$B$7),ISNUMBER('Inputs'!$B$8),ISNUMBER('Inputs'!$B$9),ISNUMBER('Inputs'!$B$10),ISNUMBER('Inputs'!$B$21),ISNUMBER('Inputs'!$B$24),ISNUMBER('Inputs'!$B$28)),((('Results'!B7*(1-'Inputs'!$B$24)*(0.5*((((811-43)*MAX('Inputs'!$B$33,'Inputs'!$B$29+'Inputs'!$B$31+'Inputs'!$B$32,'Inputs'!$B$30+'Inputs'!$B$31+'Inputs'!$B$32)/1000+'Inputs'!$B$21)+'Inputs'!$B$7)/SQRT((((811-43)*MAX('Inputs'!$B$33,'Inputs'!$B$29+'Inputs'!$B$31+'Inputs'!$B$32,'Inputs'!$B$30+'Inputs'!$B$31+'Inputs'!$B$32)/1000+'Inputs'!$B$21)+'Inputs'!$B$7)^2+('Inputs'!$B$6/2)^2)-(((811-43)*MAX('Inputs'!$B$33,'Inputs'!$B$29+'Inputs'!$B$31+'Inputs'!$B$32,'Inputs'!$B$30+'Inputs'!$B$31+'Inputs'!$B$32)/1000+'Inputs'!$B$21))/SQRT((((811-43)*MAX('Inputs'!$B$33,'Inputs'!$B$29+'Inputs'!$B$31+'Inputs'!$B$32,'Inputs'!$B$30+'Inputs'!$B$31+'Inputs'!$B$32)/1000+'Inputs'!$B$21))^2+('Inputs'!$B$6/2)^2)))-'Results'!C7*(1+'Inputs'!$B$24)*(0.5*((((811-43)*MAX('Inputs'!$B$33,'Inputs'!$B$29+'Inputs'!$B$31+'Inputs'!$B$32,'Inputs'!$B$30+'Inputs'!$B$31+'Inputs'!$B$32)/1000+'Inputs'!$B$21+'Inputs'!$B$7+'Inputs'!$B$10)+'Inputs'!$B$9)/SQRT((((811-43)*MAX('Inputs'!$B$33,'Inputs'!$B$29+'Inputs'!$B$31+'Inputs'!$B$32,'Inputs'!$B$30+'Inputs'!$B$31+'Inputs'!$B$32)/1000+'Inputs'!$B$21+'Inputs'!$B$7+'Inputs'!$B$10)+'Inputs'!$B$9)^2+('Inputs'!$B$8/2)^2)-(((811-43)*MAX('Inputs'!$B$33,'Inputs'!$B$29+'Inputs'!$B$31+'Inputs'!$B$32,'Inputs'!$B$30+'Inputs'!$B$31+'Inputs'!$B$32)/1000+'Inputs'!$B$21+'Inputs'!$B$7+'Inputs'!$B$10))/SQRT((((811-43)*MAX('Inputs'!$B$33,'Inputs'!$B$29+'Inputs'!$B$31+'Inputs'!$B$32,'Inputs'!$B$30+'Inputs'!$B$31+'Inputs'!$B$32)/1000+'Inputs'!$B$21+'Inputs'!$B$7+'Inputs'!$B$10))^2+('Inputs'!$B$8/2)^2))))*'Results'!$B$8)-'Inputs'!$B$28*ABS((('Results'!B7*(1-'Inputs'!$B$24)*(0.5*((((811-43)*MAX('Inputs'!$B$33,'Inputs'!$B$29+'Inputs'!$B$31+'Inputs'!$B$32,'Inputs'!$B$30+'Inputs'!$B$31+'Inputs'!$B$32)/1000+'Inputs'!$B$21)+'Inputs'!$B$7)/SQRT((((811-43)*MAX('Inputs'!$B$33,'Inputs'!$B$29+'Inputs'!$B$31+'Inputs'!$B$32,'Inputs'!$B$30+'Inputs'!$B$31+'Inputs'!$B$32)/1000+'Inputs'!$B$21)+'Inputs'!$B$7)^2+('Inputs'!$B$6/2)^2)-(((811-43)*MAX('Inputs'!$B$33,'Inputs'!$B$29+'Inputs'!$B$31+'Inputs'!$B$32,'Inputs'!$B$30+'Inputs'!$B$31+'Inputs'!$B$32)/1000+'Inputs'!$B$21))/SQRT((((811-43)*MAX('Inputs'!$B$33,'Inputs'!$B$29+'Inputs'!$B$31+'Inputs'!$B$32,'Inputs'!$B$30+'Inputs'!$B$31+'Inputs'!$B$32)/1000+'Inputs'!$B$21))^2+('Inputs'!$B$6/2)^2)))-'Results'!C7*(1+'Inputs'!$B$24)*(0.5*((((811-43)*MAX('Inputs'!$B$33,'Inputs'!$B$29+'Inputs'!$B$31+'Inputs'!$B$32,'Inputs'!$B$30+'Inputs'!$B$31+'Inputs'!$B$32)/1000+'Inputs'!$B$21+'Inputs'!$B$7+'Inputs'!$B$10)+'Inputs'!$B$9)/SQRT((((811-43)*MAX('Inputs'!$B$33,'Inputs'!$B$29+'Inputs'!$B$31+'Inputs'!$B$32,'Inputs'!$B$30+'Inputs'!$B$31+'Inputs'!$B$32)/1000+'Inputs'!$B$21+'Inputs'!$B$7+'Inputs'!$B$10)+'Inputs'!$B$9)^2+('Inputs'!$B$8/2)^2)-(((811-43)*MAX('Inputs'!$B$33,'Inputs'!$B$29+'Inputs'!$B$31+'Inputs'!$B$32,'Inputs'!$B$30+'Inputs'!$B$31+'Inputs'!$B$32)/1000+'Inputs'!$B$21+'Inputs'!$B$7+'Inputs'!$B$10))/SQRT((((811-43)*MAX('Inputs'!$B$33,'Inputs'!$B$29+'Inputs'!$B$31+'Inputs'!$B$32,'Inputs'!$B$30+'Inputs'!$B$31+'Inputs'!$B$32)/1000+'Inputs'!$B$21+'Inputs'!$B$7+'Inputs'!$B$10))^2+('Inputs'!$B$8/2)^2))))*'Results'!$B$8))),"")</x:f>
        <x:v>0.7977121212748678</x:v>
      </x:c>
      <x:c r="L811" t="n">
        <x:f>IF(AND(ISNUMBER('Results'!B7),ISNUMBER('Results'!C7),ISNUMBER('Results'!$B$8),ISNUMBER('Inputs'!$B$6),ISNUMBER('Inputs'!$B$7),ISNUMBER('Inputs'!$B$8),ISNUMBER('Inputs'!$B$9),ISNUMBER('Inputs'!$B$10),ISNUMBER('Inputs'!$B$21),ISNUMBER('Inputs'!$B$24),ISNUMBER('Inputs'!$B$28)),((('Results'!B7*(1+'Inputs'!$B$24)*(0.5*((((811-43)*MAX('Inputs'!$B$33,'Inputs'!$B$29+'Inputs'!$B$31+'Inputs'!$B$32,'Inputs'!$B$30+'Inputs'!$B$31+'Inputs'!$B$32)/1000+'Inputs'!$B$21)+'Inputs'!$B$7)/SQRT((((811-43)*MAX('Inputs'!$B$33,'Inputs'!$B$29+'Inputs'!$B$31+'Inputs'!$B$32,'Inputs'!$B$30+'Inputs'!$B$31+'Inputs'!$B$32)/1000+'Inputs'!$B$21)+'Inputs'!$B$7)^2+('Inputs'!$B$6/2)^2)-(((811-43)*MAX('Inputs'!$B$33,'Inputs'!$B$29+'Inputs'!$B$31+'Inputs'!$B$32,'Inputs'!$B$30+'Inputs'!$B$31+'Inputs'!$B$32)/1000+'Inputs'!$B$21))/SQRT((((811-43)*MAX('Inputs'!$B$33,'Inputs'!$B$29+'Inputs'!$B$31+'Inputs'!$B$32,'Inputs'!$B$30+'Inputs'!$B$31+'Inputs'!$B$32)/1000+'Inputs'!$B$21))^2+('Inputs'!$B$6/2)^2)))-'Results'!C7*(1-'Inputs'!$B$24)*(0.5*((((811-43)*MAX('Inputs'!$B$33,'Inputs'!$B$29+'Inputs'!$B$31+'Inputs'!$B$32,'Inputs'!$B$30+'Inputs'!$B$31+'Inputs'!$B$32)/1000+'Inputs'!$B$21+'Inputs'!$B$7+'Inputs'!$B$10)+'Inputs'!$B$9)/SQRT((((811-43)*MAX('Inputs'!$B$33,'Inputs'!$B$29+'Inputs'!$B$31+'Inputs'!$B$32,'Inputs'!$B$30+'Inputs'!$B$31+'Inputs'!$B$32)/1000+'Inputs'!$B$21+'Inputs'!$B$7+'Inputs'!$B$10)+'Inputs'!$B$9)^2+('Inputs'!$B$8/2)^2)-(((811-43)*MAX('Inputs'!$B$33,'Inputs'!$B$29+'Inputs'!$B$31+'Inputs'!$B$32,'Inputs'!$B$30+'Inputs'!$B$31+'Inputs'!$B$32)/1000+'Inputs'!$B$21+'Inputs'!$B$7+'Inputs'!$B$10))/SQRT((((811-43)*MAX('Inputs'!$B$33,'Inputs'!$B$29+'Inputs'!$B$31+'Inputs'!$B$32,'Inputs'!$B$30+'Inputs'!$B$31+'Inputs'!$B$32)/1000+'Inputs'!$B$21+'Inputs'!$B$7+'Inputs'!$B$10))^2+('Inputs'!$B$8/2)^2))))*'Results'!$B$8)+'Inputs'!$B$28*ABS((('Results'!B7*(1+'Inputs'!$B$24)*(0.5*((((811-43)*MAX('Inputs'!$B$33,'Inputs'!$B$29+'Inputs'!$B$31+'Inputs'!$B$32,'Inputs'!$B$30+'Inputs'!$B$31+'Inputs'!$B$32)/1000+'Inputs'!$B$21)+'Inputs'!$B$7)/SQRT((((811-43)*MAX('Inputs'!$B$33,'Inputs'!$B$29+'Inputs'!$B$31+'Inputs'!$B$32,'Inputs'!$B$30+'Inputs'!$B$31+'Inputs'!$B$32)/1000+'Inputs'!$B$21)+'Inputs'!$B$7)^2+('Inputs'!$B$6/2)^2)-(((811-43)*MAX('Inputs'!$B$33,'Inputs'!$B$29+'Inputs'!$B$31+'Inputs'!$B$32,'Inputs'!$B$30+'Inputs'!$B$31+'Inputs'!$B$32)/1000+'Inputs'!$B$21))/SQRT((((811-43)*MAX('Inputs'!$B$33,'Inputs'!$B$29+'Inputs'!$B$31+'Inputs'!$B$32,'Inputs'!$B$30+'Inputs'!$B$31+'Inputs'!$B$32)/1000+'Inputs'!$B$21))^2+('Inputs'!$B$6/2)^2)))-'Results'!C7*(1-'Inputs'!$B$24)*(0.5*((((811-43)*MAX('Inputs'!$B$33,'Inputs'!$B$29+'Inputs'!$B$31+'Inputs'!$B$32,'Inputs'!$B$30+'Inputs'!$B$31+'Inputs'!$B$32)/1000+'Inputs'!$B$21+'Inputs'!$B$7+'Inputs'!$B$10)+'Inputs'!$B$9)/SQRT((((811-43)*MAX('Inputs'!$B$33,'Inputs'!$B$29+'Inputs'!$B$31+'Inputs'!$B$32,'Inputs'!$B$30+'Inputs'!$B$31+'Inputs'!$B$32)/1000+'Inputs'!$B$21+'Inputs'!$B$7+'Inputs'!$B$10)+'Inputs'!$B$9)^2+('Inputs'!$B$8/2)^2)-(((811-43)*MAX('Inputs'!$B$33,'Inputs'!$B$29+'Inputs'!$B$31+'Inputs'!$B$32,'Inputs'!$B$30+'Inputs'!$B$31+'Inputs'!$B$32)/1000+'Inputs'!$B$21+'Inputs'!$B$7+'Inputs'!$B$10))/SQRT((((811-43)*MAX('Inputs'!$B$33,'Inputs'!$B$29+'Inputs'!$B$31+'Inputs'!$B$32,'Inputs'!$B$30+'Inputs'!$B$31+'Inputs'!$B$32)/1000+'Inputs'!$B$21+'Inputs'!$B$7+'Inputs'!$B$10))^2+('Inputs'!$B$8/2)^2))))*'Results'!$B$8))),"")</x:f>
        <x:v>1.0681108570605202</x:v>
      </x:c>
      <x:c r="M811" t="n">
        <x:f>IF(AND(ISNUMBER('Results'!C7),ISNUMBER('Results'!B7),ISNUMBER('Results'!$B$8),ISNUMBER('Inputs'!$B$6),ISNUMBER('Inputs'!$B$7),ISNUMBER('Inputs'!$B$8),ISNUMBER('Inputs'!$B$9),ISNUMBER('Inputs'!$B$10),ISNUMBER('Inputs'!$B$21),ISNUMBER('Inputs'!$B$24),ISNUMBER('Inputs'!$B$28)),(('Results'!C7*(0.5*((((811-43)*MAX('Inputs'!$B$33,'Inputs'!$B$29+'Inputs'!$B$31+'Inputs'!$B$32,'Inputs'!$B$30+'Inputs'!$B$31+'Inputs'!$B$32)/1000+'Inputs'!$B$21)+'Inputs'!$B$9)/SQRT((((811-43)*MAX('Inputs'!$B$33,'Inputs'!$B$29+'Inputs'!$B$31+'Inputs'!$B$32,'Inputs'!$B$30+'Inputs'!$B$31+'Inputs'!$B$32)/1000+'Inputs'!$B$21)+'Inputs'!$B$9)^2+('Inputs'!$B$8/2)^2)-(((811-43)*MAX('Inputs'!$B$33,'Inputs'!$B$29+'Inputs'!$B$31+'Inputs'!$B$32,'Inputs'!$B$30+'Inputs'!$B$31+'Inputs'!$B$32)/1000+'Inputs'!$B$21))/SQRT((((811-43)*MAX('Inputs'!$B$33,'Inputs'!$B$29+'Inputs'!$B$31+'Inputs'!$B$32,'Inputs'!$B$30+'Inputs'!$B$31+'Inputs'!$B$32)/1000+'Inputs'!$B$21))^2+('Inputs'!$B$8/2)^2)))-'Results'!B7*(0.5*((((811-43)*MAX('Inputs'!$B$33,'Inputs'!$B$29+'Inputs'!$B$31+'Inputs'!$B$32,'Inputs'!$B$30+'Inputs'!$B$31+'Inputs'!$B$32)/1000+'Inputs'!$B$21+'Inputs'!$B$9+'Inputs'!$B$10)+'Inputs'!$B$7)/SQRT((((811-43)*MAX('Inputs'!$B$33,'Inputs'!$B$29+'Inputs'!$B$31+'Inputs'!$B$32,'Inputs'!$B$30+'Inputs'!$B$31+'Inputs'!$B$32)/1000+'Inputs'!$B$21+'Inputs'!$B$9+'Inputs'!$B$10)+'Inputs'!$B$7)^2+('Inputs'!$B$6/2)^2)-(((811-43)*MAX('Inputs'!$B$33,'Inputs'!$B$29+'Inputs'!$B$31+'Inputs'!$B$32,'Inputs'!$B$30+'Inputs'!$B$31+'Inputs'!$B$32)/1000+'Inputs'!$B$21+'Inputs'!$B$9+'Inputs'!$B$10))/SQRT((((811-43)*MAX('Inputs'!$B$33,'Inputs'!$B$29+'Inputs'!$B$31+'Inputs'!$B$32,'Inputs'!$B$30+'Inputs'!$B$31+'Inputs'!$B$32)/1000+'Inputs'!$B$21+'Inputs'!$B$9+'Inputs'!$B$10))^2+('Inputs'!$B$6/2)^2))))*'Results'!$B$8),"")</x:f>
        <x:v>0.8389805791638785</x:v>
      </x:c>
      <x:c r="N811" t="n">
        <x:f>IF(AND(ISNUMBER('Results'!C7),ISNUMBER('Results'!B7),ISNUMBER('Results'!$B$8),ISNUMBER('Inputs'!$B$6),ISNUMBER('Inputs'!$B$7),ISNUMBER('Inputs'!$B$8),ISNUMBER('Inputs'!$B$9),ISNUMBER('Inputs'!$B$10),ISNUMBER('Inputs'!$B$21),ISNUMBER('Inputs'!$B$24),ISNUMBER('Inputs'!$B$28)),((('Results'!C7*(1-'Inputs'!$B$24)*(0.5*((((811-43)*MAX('Inputs'!$B$33,'Inputs'!$B$29+'Inputs'!$B$31+'Inputs'!$B$32,'Inputs'!$B$30+'Inputs'!$B$31+'Inputs'!$B$32)/1000+'Inputs'!$B$21)+'Inputs'!$B$9)/SQRT((((811-43)*MAX('Inputs'!$B$33,'Inputs'!$B$29+'Inputs'!$B$31+'Inputs'!$B$32,'Inputs'!$B$30+'Inputs'!$B$31+'Inputs'!$B$32)/1000+'Inputs'!$B$21)+'Inputs'!$B$9)^2+('Inputs'!$B$8/2)^2)-(((811-43)*MAX('Inputs'!$B$33,'Inputs'!$B$29+'Inputs'!$B$31+'Inputs'!$B$32,'Inputs'!$B$30+'Inputs'!$B$31+'Inputs'!$B$32)/1000+'Inputs'!$B$21))/SQRT((((811-43)*MAX('Inputs'!$B$33,'Inputs'!$B$29+'Inputs'!$B$31+'Inputs'!$B$32,'Inputs'!$B$30+'Inputs'!$B$31+'Inputs'!$B$32)/1000+'Inputs'!$B$21))^2+('Inputs'!$B$8/2)^2)))-'Results'!B7*(1+'Inputs'!$B$24)*(0.5*((((811-43)*MAX('Inputs'!$B$33,'Inputs'!$B$29+'Inputs'!$B$31+'Inputs'!$B$32,'Inputs'!$B$30+'Inputs'!$B$31+'Inputs'!$B$32)/1000+'Inputs'!$B$21+'Inputs'!$B$9+'Inputs'!$B$10)+'Inputs'!$B$7)/SQRT((((811-43)*MAX('Inputs'!$B$33,'Inputs'!$B$29+'Inputs'!$B$31+'Inputs'!$B$32,'Inputs'!$B$30+'Inputs'!$B$31+'Inputs'!$B$32)/1000+'Inputs'!$B$21+'Inputs'!$B$9+'Inputs'!$B$10)+'Inputs'!$B$7)^2+('Inputs'!$B$6/2)^2)-(((811-43)*MAX('Inputs'!$B$33,'Inputs'!$B$29+'Inputs'!$B$31+'Inputs'!$B$32,'Inputs'!$B$30+'Inputs'!$B$31+'Inputs'!$B$32)/1000+'Inputs'!$B$21+'Inputs'!$B$9+'Inputs'!$B$10))/SQRT((((811-43)*MAX('Inputs'!$B$33,'Inputs'!$B$29+'Inputs'!$B$31+'Inputs'!$B$32,'Inputs'!$B$30+'Inputs'!$B$31+'Inputs'!$B$32)/1000+'Inputs'!$B$21+'Inputs'!$B$9+'Inputs'!$B$10))^2+('Inputs'!$B$6/2)^2))))*'Results'!$B$8)-'Inputs'!$B$28*ABS((('Results'!C7*(1-'Inputs'!$B$24)*(0.5*((((811-43)*MAX('Inputs'!$B$33,'Inputs'!$B$29+'Inputs'!$B$31+'Inputs'!$B$32,'Inputs'!$B$30+'Inputs'!$B$31+'Inputs'!$B$32)/1000+'Inputs'!$B$21)+'Inputs'!$B$9)/SQRT((((811-43)*MAX('Inputs'!$B$33,'Inputs'!$B$29+'Inputs'!$B$31+'Inputs'!$B$32,'Inputs'!$B$30+'Inputs'!$B$31+'Inputs'!$B$32)/1000+'Inputs'!$B$21)+'Inputs'!$B$9)^2+('Inputs'!$B$8/2)^2)-(((811-43)*MAX('Inputs'!$B$33,'Inputs'!$B$29+'Inputs'!$B$31+'Inputs'!$B$32,'Inputs'!$B$30+'Inputs'!$B$31+'Inputs'!$B$32)/1000+'Inputs'!$B$21))/SQRT((((811-43)*MAX('Inputs'!$B$33,'Inputs'!$B$29+'Inputs'!$B$31+'Inputs'!$B$32,'Inputs'!$B$30+'Inputs'!$B$31+'Inputs'!$B$32)/1000+'Inputs'!$B$21))^2+('Inputs'!$B$8/2)^2)))-'Results'!B7*(1+'Inputs'!$B$24)*(0.5*((((811-43)*MAX('Inputs'!$B$33,'Inputs'!$B$29+'Inputs'!$B$31+'Inputs'!$B$32,'Inputs'!$B$30+'Inputs'!$B$31+'Inputs'!$B$32)/1000+'Inputs'!$B$21+'Inputs'!$B$9+'Inputs'!$B$10)+'Inputs'!$B$7)/SQRT((((811-43)*MAX('Inputs'!$B$33,'Inputs'!$B$29+'Inputs'!$B$31+'Inputs'!$B$32,'Inputs'!$B$30+'Inputs'!$B$31+'Inputs'!$B$32)/1000+'Inputs'!$B$21+'Inputs'!$B$9+'Inputs'!$B$10)+'Inputs'!$B$7)^2+('Inputs'!$B$6/2)^2)-(((811-43)*MAX('Inputs'!$B$33,'Inputs'!$B$29+'Inputs'!$B$31+'Inputs'!$B$32,'Inputs'!$B$30+'Inputs'!$B$31+'Inputs'!$B$32)/1000+'Inputs'!$B$21+'Inputs'!$B$9+'Inputs'!$B$10))/SQRT((((811-43)*MAX('Inputs'!$B$33,'Inputs'!$B$29+'Inputs'!$B$31+'Inputs'!$B$32,'Inputs'!$B$30+'Inputs'!$B$31+'Inputs'!$B$32)/1000+'Inputs'!$B$21+'Inputs'!$B$9+'Inputs'!$B$10))^2+('Inputs'!$B$6/2)^2))))*'Results'!$B$8))),"")</x:f>
        <x:v>0.7130338122832224</x:v>
      </x:c>
      <x:c r="O811" t="n">
        <x:f>IF(AND(ISNUMBER('Results'!C7),ISNUMBER('Results'!B7),ISNUMBER('Results'!$B$8),ISNUMBER('Inputs'!$B$6),ISNUMBER('Inputs'!$B$7),ISNUMBER('Inputs'!$B$8),ISNUMBER('Inputs'!$B$9),ISNUMBER('Inputs'!$B$10),ISNUMBER('Inputs'!$B$21),ISNUMBER('Inputs'!$B$24),ISNUMBER('Inputs'!$B$28)),((('Results'!C7*(1+'Inputs'!$B$24)*(0.5*((((811-43)*MAX('Inputs'!$B$33,'Inputs'!$B$29+'Inputs'!$B$31+'Inputs'!$B$32,'Inputs'!$B$30+'Inputs'!$B$31+'Inputs'!$B$32)/1000+'Inputs'!$B$21)+'Inputs'!$B$9)/SQRT((((811-43)*MAX('Inputs'!$B$33,'Inputs'!$B$29+'Inputs'!$B$31+'Inputs'!$B$32,'Inputs'!$B$30+'Inputs'!$B$31+'Inputs'!$B$32)/1000+'Inputs'!$B$21)+'Inputs'!$B$9)^2+('Inputs'!$B$8/2)^2)-(((811-43)*MAX('Inputs'!$B$33,'Inputs'!$B$29+'Inputs'!$B$31+'Inputs'!$B$32,'Inputs'!$B$30+'Inputs'!$B$31+'Inputs'!$B$32)/1000+'Inputs'!$B$21))/SQRT((((811-43)*MAX('Inputs'!$B$33,'Inputs'!$B$29+'Inputs'!$B$31+'Inputs'!$B$32,'Inputs'!$B$30+'Inputs'!$B$31+'Inputs'!$B$32)/1000+'Inputs'!$B$21))^2+('Inputs'!$B$8/2)^2)))-'Results'!B7*(1-'Inputs'!$B$24)*(0.5*((((811-43)*MAX('Inputs'!$B$33,'Inputs'!$B$29+'Inputs'!$B$31+'Inputs'!$B$32,'Inputs'!$B$30+'Inputs'!$B$31+'Inputs'!$B$32)/1000+'Inputs'!$B$21+'Inputs'!$B$9+'Inputs'!$B$10)+'Inputs'!$B$7)/SQRT((((811-43)*MAX('Inputs'!$B$33,'Inputs'!$B$29+'Inputs'!$B$31+'Inputs'!$B$32,'Inputs'!$B$30+'Inputs'!$B$31+'Inputs'!$B$32)/1000+'Inputs'!$B$21+'Inputs'!$B$9+'Inputs'!$B$10)+'Inputs'!$B$7)^2+('Inputs'!$B$6/2)^2)-(((811-43)*MAX('Inputs'!$B$33,'Inputs'!$B$29+'Inputs'!$B$31+'Inputs'!$B$32,'Inputs'!$B$30+'Inputs'!$B$31+'Inputs'!$B$32)/1000+'Inputs'!$B$21+'Inputs'!$B$9+'Inputs'!$B$10))/SQRT((((811-43)*MAX('Inputs'!$B$33,'Inputs'!$B$29+'Inputs'!$B$31+'Inputs'!$B$32,'Inputs'!$B$30+'Inputs'!$B$31+'Inputs'!$B$32)/1000+'Inputs'!$B$21+'Inputs'!$B$9+'Inputs'!$B$10))^2+('Inputs'!$B$6/2)^2))))*'Results'!$B$8)+'Inputs'!$B$28*ABS((('Results'!C7*(1+'Inputs'!$B$24)*(0.5*((((811-43)*MAX('Inputs'!$B$33,'Inputs'!$B$29+'Inputs'!$B$31+'Inputs'!$B$32,'Inputs'!$B$30+'Inputs'!$B$31+'Inputs'!$B$32)/1000+'Inputs'!$B$21)+'Inputs'!$B$9)/SQRT((((811-43)*MAX('Inputs'!$B$33,'Inputs'!$B$29+'Inputs'!$B$31+'Inputs'!$B$32,'Inputs'!$B$30+'Inputs'!$B$31+'Inputs'!$B$32)/1000+'Inputs'!$B$21)+'Inputs'!$B$9)^2+('Inputs'!$B$8/2)^2)-(((811-43)*MAX('Inputs'!$B$33,'Inputs'!$B$29+'Inputs'!$B$31+'Inputs'!$B$32,'Inputs'!$B$30+'Inputs'!$B$31+'Inputs'!$B$32)/1000+'Inputs'!$B$21))/SQRT((((811-43)*MAX('Inputs'!$B$33,'Inputs'!$B$29+'Inputs'!$B$31+'Inputs'!$B$32,'Inputs'!$B$30+'Inputs'!$B$31+'Inputs'!$B$32)/1000+'Inputs'!$B$21))^2+('Inputs'!$B$8/2)^2)))-'Results'!B7*(1-'Inputs'!$B$24)*(0.5*((((811-43)*MAX('Inputs'!$B$33,'Inputs'!$B$29+'Inputs'!$B$31+'Inputs'!$B$32,'Inputs'!$B$30+'Inputs'!$B$31+'Inputs'!$B$32)/1000+'Inputs'!$B$21+'Inputs'!$B$9+'Inputs'!$B$10)+'Inputs'!$B$7)/SQRT((((811-43)*MAX('Inputs'!$B$33,'Inputs'!$B$29+'Inputs'!$B$31+'Inputs'!$B$32,'Inputs'!$B$30+'Inputs'!$B$31+'Inputs'!$B$32)/1000+'Inputs'!$B$21+'Inputs'!$B$9+'Inputs'!$B$10)+'Inputs'!$B$7)^2+('Inputs'!$B$6/2)^2)-(((811-43)*MAX('Inputs'!$B$33,'Inputs'!$B$29+'Inputs'!$B$31+'Inputs'!$B$32,'Inputs'!$B$30+'Inputs'!$B$31+'Inputs'!$B$32)/1000+'Inputs'!$B$21+'Inputs'!$B$9+'Inputs'!$B$10))/SQRT((((811-43)*MAX('Inputs'!$B$33,'Inputs'!$B$29+'Inputs'!$B$31+'Inputs'!$B$32,'Inputs'!$B$30+'Inputs'!$B$31+'Inputs'!$B$32)/1000+'Inputs'!$B$21+'Inputs'!$B$9+'Inputs'!$B$10))^2+('Inputs'!$B$6/2)^2))))*'Results'!$B$8))),"")</x:f>
        <x:v>0.9737692131942671</x:v>
      </x:c>
      <x:c r="P811" t="n">
        <x:f>IF(AND(MAX(J811,J810)&gt;0,J811&gt;J810+0.00000001),1,0)</x:f>
        <x:v>0</x:v>
      </x:c>
      <x:c r="Q811" t="n">
        <x:f>IF(AND(MAX(K811,K810)&gt;0,K811&gt;K810+0.00000001),1,0)</x:f>
        <x:v>0</x:v>
      </x:c>
      <x:c r="R811" t="n">
        <x:f>IF(AND(MAX(L811,L810)&gt;0,L811&gt;L810+0.00000001),1,0)</x:f>
        <x:v>0</x:v>
      </x:c>
      <x:c r="S811" t="n">
        <x:f>IF(AND(MAX(M811,M810)&gt;0,M811&gt;M810+0.00000001),1,0)</x:f>
        <x:v>0</x:v>
      </x:c>
      <x:c r="T811" t="n">
        <x:f>IF(AND(MAX(N811,N810)&gt;0,N811&gt;N810+0.00000001),1,0)</x:f>
        <x:v>0</x:v>
      </x:c>
      <x:c r="U811" t="n">
        <x:f>IF(AND(MAX(O811,O810)&gt;0,O811&gt;O810+0.00000001),1,0)</x:f>
        <x:v>0</x:v>
      </x:c>
    </x:row>
    <x:row r="812">
      <x:c r="J812" t="n">
        <x:f>IF(AND(ISNUMBER('Results'!B7),ISNUMBER('Results'!C7),ISNUMBER('Results'!$B$8),ISNUMBER('Inputs'!$B$6),ISNUMBER('Inputs'!$B$7),ISNUMBER('Inputs'!$B$8),ISNUMBER('Inputs'!$B$9),ISNUMBER('Inputs'!$B$10),ISNUMBER('Inputs'!$B$21),ISNUMBER('Inputs'!$B$24),ISNUMBER('Inputs'!$B$28)),(('Results'!B7*(0.5*((((812-43)*MAX('Inputs'!$B$33,'Inputs'!$B$29+'Inputs'!$B$31+'Inputs'!$B$32,'Inputs'!$B$30+'Inputs'!$B$31+'Inputs'!$B$32)/1000+'Inputs'!$B$21)+'Inputs'!$B$7)/SQRT((((812-43)*MAX('Inputs'!$B$33,'Inputs'!$B$29+'Inputs'!$B$31+'Inputs'!$B$32,'Inputs'!$B$30+'Inputs'!$B$31+'Inputs'!$B$32)/1000+'Inputs'!$B$21)+'Inputs'!$B$7)^2+('Inputs'!$B$6/2)^2)-(((812-43)*MAX('Inputs'!$B$33,'Inputs'!$B$29+'Inputs'!$B$31+'Inputs'!$B$32,'Inputs'!$B$30+'Inputs'!$B$31+'Inputs'!$B$32)/1000+'Inputs'!$B$21))/SQRT((((812-43)*MAX('Inputs'!$B$33,'Inputs'!$B$29+'Inputs'!$B$31+'Inputs'!$B$32,'Inputs'!$B$30+'Inputs'!$B$31+'Inputs'!$B$32)/1000+'Inputs'!$B$21))^2+('Inputs'!$B$6/2)^2)))-'Results'!C7*(0.5*((((812-43)*MAX('Inputs'!$B$33,'Inputs'!$B$29+'Inputs'!$B$31+'Inputs'!$B$32,'Inputs'!$B$30+'Inputs'!$B$31+'Inputs'!$B$32)/1000+'Inputs'!$B$21+'Inputs'!$B$7+'Inputs'!$B$10)+'Inputs'!$B$9)/SQRT((((812-43)*MAX('Inputs'!$B$33,'Inputs'!$B$29+'Inputs'!$B$31+'Inputs'!$B$32,'Inputs'!$B$30+'Inputs'!$B$31+'Inputs'!$B$32)/1000+'Inputs'!$B$21+'Inputs'!$B$7+'Inputs'!$B$10)+'Inputs'!$B$9)^2+('Inputs'!$B$8/2)^2)-(((812-43)*MAX('Inputs'!$B$33,'Inputs'!$B$29+'Inputs'!$B$31+'Inputs'!$B$32,'Inputs'!$B$30+'Inputs'!$B$31+'Inputs'!$B$32)/1000+'Inputs'!$B$21+'Inputs'!$B$7+'Inputs'!$B$10))/SQRT((((812-43)*MAX('Inputs'!$B$33,'Inputs'!$B$29+'Inputs'!$B$31+'Inputs'!$B$32,'Inputs'!$B$30+'Inputs'!$B$31+'Inputs'!$B$32)/1000+'Inputs'!$B$21+'Inputs'!$B$7+'Inputs'!$B$10))^2+('Inputs'!$B$8/2)^2))))*'Results'!$B$8),"")</x:f>
        <x:v>0.9241538539824761</x:v>
      </x:c>
      <x:c r="K812" t="n">
        <x:f>IF(AND(ISNUMBER('Results'!B7),ISNUMBER('Results'!C7),ISNUMBER('Results'!$B$8),ISNUMBER('Inputs'!$B$6),ISNUMBER('Inputs'!$B$7),ISNUMBER('Inputs'!$B$8),ISNUMBER('Inputs'!$B$9),ISNUMBER('Inputs'!$B$10),ISNUMBER('Inputs'!$B$21),ISNUMBER('Inputs'!$B$24),ISNUMBER('Inputs'!$B$28)),((('Results'!B7*(1-'Inputs'!$B$24)*(0.5*((((812-43)*MAX('Inputs'!$B$33,'Inputs'!$B$29+'Inputs'!$B$31+'Inputs'!$B$32,'Inputs'!$B$30+'Inputs'!$B$31+'Inputs'!$B$32)/1000+'Inputs'!$B$21)+'Inputs'!$B$7)/SQRT((((812-43)*MAX('Inputs'!$B$33,'Inputs'!$B$29+'Inputs'!$B$31+'Inputs'!$B$32,'Inputs'!$B$30+'Inputs'!$B$31+'Inputs'!$B$32)/1000+'Inputs'!$B$21)+'Inputs'!$B$7)^2+('Inputs'!$B$6/2)^2)-(((812-43)*MAX('Inputs'!$B$33,'Inputs'!$B$29+'Inputs'!$B$31+'Inputs'!$B$32,'Inputs'!$B$30+'Inputs'!$B$31+'Inputs'!$B$32)/1000+'Inputs'!$B$21))/SQRT((((812-43)*MAX('Inputs'!$B$33,'Inputs'!$B$29+'Inputs'!$B$31+'Inputs'!$B$32,'Inputs'!$B$30+'Inputs'!$B$31+'Inputs'!$B$32)/1000+'Inputs'!$B$21))^2+('Inputs'!$B$6/2)^2)))-'Results'!C7*(1+'Inputs'!$B$24)*(0.5*((((812-43)*MAX('Inputs'!$B$33,'Inputs'!$B$29+'Inputs'!$B$31+'Inputs'!$B$32,'Inputs'!$B$30+'Inputs'!$B$31+'Inputs'!$B$32)/1000+'Inputs'!$B$21+'Inputs'!$B$7+'Inputs'!$B$10)+'Inputs'!$B$9)/SQRT((((812-43)*MAX('Inputs'!$B$33,'Inputs'!$B$29+'Inputs'!$B$31+'Inputs'!$B$32,'Inputs'!$B$30+'Inputs'!$B$31+'Inputs'!$B$32)/1000+'Inputs'!$B$21+'Inputs'!$B$7+'Inputs'!$B$10)+'Inputs'!$B$9)^2+('Inputs'!$B$8/2)^2)-(((812-43)*MAX('Inputs'!$B$33,'Inputs'!$B$29+'Inputs'!$B$31+'Inputs'!$B$32,'Inputs'!$B$30+'Inputs'!$B$31+'Inputs'!$B$32)/1000+'Inputs'!$B$21+'Inputs'!$B$7+'Inputs'!$B$10))/SQRT((((812-43)*MAX('Inputs'!$B$33,'Inputs'!$B$29+'Inputs'!$B$31+'Inputs'!$B$32,'Inputs'!$B$30+'Inputs'!$B$31+'Inputs'!$B$32)/1000+'Inputs'!$B$21+'Inputs'!$B$7+'Inputs'!$B$10))^2+('Inputs'!$B$8/2)^2))))*'Results'!$B$8)-'Inputs'!$B$28*ABS((('Results'!B7*(1-'Inputs'!$B$24)*(0.5*((((812-43)*MAX('Inputs'!$B$33,'Inputs'!$B$29+'Inputs'!$B$31+'Inputs'!$B$32,'Inputs'!$B$30+'Inputs'!$B$31+'Inputs'!$B$32)/1000+'Inputs'!$B$21)+'Inputs'!$B$7)/SQRT((((812-43)*MAX('Inputs'!$B$33,'Inputs'!$B$29+'Inputs'!$B$31+'Inputs'!$B$32,'Inputs'!$B$30+'Inputs'!$B$31+'Inputs'!$B$32)/1000+'Inputs'!$B$21)+'Inputs'!$B$7)^2+('Inputs'!$B$6/2)^2)-(((812-43)*MAX('Inputs'!$B$33,'Inputs'!$B$29+'Inputs'!$B$31+'Inputs'!$B$32,'Inputs'!$B$30+'Inputs'!$B$31+'Inputs'!$B$32)/1000+'Inputs'!$B$21))/SQRT((((812-43)*MAX('Inputs'!$B$33,'Inputs'!$B$29+'Inputs'!$B$31+'Inputs'!$B$32,'Inputs'!$B$30+'Inputs'!$B$31+'Inputs'!$B$32)/1000+'Inputs'!$B$21))^2+('Inputs'!$B$6/2)^2)))-'Results'!C7*(1+'Inputs'!$B$24)*(0.5*((((812-43)*MAX('Inputs'!$B$33,'Inputs'!$B$29+'Inputs'!$B$31+'Inputs'!$B$32,'Inputs'!$B$30+'Inputs'!$B$31+'Inputs'!$B$32)/1000+'Inputs'!$B$21+'Inputs'!$B$7+'Inputs'!$B$10)+'Inputs'!$B$9)/SQRT((((812-43)*MAX('Inputs'!$B$33,'Inputs'!$B$29+'Inputs'!$B$31+'Inputs'!$B$32,'Inputs'!$B$30+'Inputs'!$B$31+'Inputs'!$B$32)/1000+'Inputs'!$B$21+'Inputs'!$B$7+'Inputs'!$B$10)+'Inputs'!$B$9)^2+('Inputs'!$B$8/2)^2)-(((812-43)*MAX('Inputs'!$B$33,'Inputs'!$B$29+'Inputs'!$B$31+'Inputs'!$B$32,'Inputs'!$B$30+'Inputs'!$B$31+'Inputs'!$B$32)/1000+'Inputs'!$B$21+'Inputs'!$B$7+'Inputs'!$B$10))/SQRT((((812-43)*MAX('Inputs'!$B$33,'Inputs'!$B$29+'Inputs'!$B$31+'Inputs'!$B$32,'Inputs'!$B$30+'Inputs'!$B$31+'Inputs'!$B$32)/1000+'Inputs'!$B$21+'Inputs'!$B$7+'Inputs'!$B$10))^2+('Inputs'!$B$8/2)^2))))*'Results'!$B$8))),"")</x:f>
        <x:v>0.7939109234950747</x:v>
      </x:c>
      <x:c r="L812" t="n">
        <x:f>IF(AND(ISNUMBER('Results'!B7),ISNUMBER('Results'!C7),ISNUMBER('Results'!$B$8),ISNUMBER('Inputs'!$B$6),ISNUMBER('Inputs'!$B$7),ISNUMBER('Inputs'!$B$8),ISNUMBER('Inputs'!$B$9),ISNUMBER('Inputs'!$B$10),ISNUMBER('Inputs'!$B$21),ISNUMBER('Inputs'!$B$24),ISNUMBER('Inputs'!$B$28)),((('Results'!B7*(1+'Inputs'!$B$24)*(0.5*((((812-43)*MAX('Inputs'!$B$33,'Inputs'!$B$29+'Inputs'!$B$31+'Inputs'!$B$32,'Inputs'!$B$30+'Inputs'!$B$31+'Inputs'!$B$32)/1000+'Inputs'!$B$21)+'Inputs'!$B$7)/SQRT((((812-43)*MAX('Inputs'!$B$33,'Inputs'!$B$29+'Inputs'!$B$31+'Inputs'!$B$32,'Inputs'!$B$30+'Inputs'!$B$31+'Inputs'!$B$32)/1000+'Inputs'!$B$21)+'Inputs'!$B$7)^2+('Inputs'!$B$6/2)^2)-(((812-43)*MAX('Inputs'!$B$33,'Inputs'!$B$29+'Inputs'!$B$31+'Inputs'!$B$32,'Inputs'!$B$30+'Inputs'!$B$31+'Inputs'!$B$32)/1000+'Inputs'!$B$21))/SQRT((((812-43)*MAX('Inputs'!$B$33,'Inputs'!$B$29+'Inputs'!$B$31+'Inputs'!$B$32,'Inputs'!$B$30+'Inputs'!$B$31+'Inputs'!$B$32)/1000+'Inputs'!$B$21))^2+('Inputs'!$B$6/2)^2)))-'Results'!C7*(1-'Inputs'!$B$24)*(0.5*((((812-43)*MAX('Inputs'!$B$33,'Inputs'!$B$29+'Inputs'!$B$31+'Inputs'!$B$32,'Inputs'!$B$30+'Inputs'!$B$31+'Inputs'!$B$32)/1000+'Inputs'!$B$21+'Inputs'!$B$7+'Inputs'!$B$10)+'Inputs'!$B$9)/SQRT((((812-43)*MAX('Inputs'!$B$33,'Inputs'!$B$29+'Inputs'!$B$31+'Inputs'!$B$32,'Inputs'!$B$30+'Inputs'!$B$31+'Inputs'!$B$32)/1000+'Inputs'!$B$21+'Inputs'!$B$7+'Inputs'!$B$10)+'Inputs'!$B$9)^2+('Inputs'!$B$8/2)^2)-(((812-43)*MAX('Inputs'!$B$33,'Inputs'!$B$29+'Inputs'!$B$31+'Inputs'!$B$32,'Inputs'!$B$30+'Inputs'!$B$31+'Inputs'!$B$32)/1000+'Inputs'!$B$21+'Inputs'!$B$7+'Inputs'!$B$10))/SQRT((((812-43)*MAX('Inputs'!$B$33,'Inputs'!$B$29+'Inputs'!$B$31+'Inputs'!$B$32,'Inputs'!$B$30+'Inputs'!$B$31+'Inputs'!$B$32)/1000+'Inputs'!$B$21+'Inputs'!$B$7+'Inputs'!$B$10))^2+('Inputs'!$B$8/2)^2))))*'Results'!$B$8)+'Inputs'!$B$28*ABS((('Results'!B7*(1+'Inputs'!$B$24)*(0.5*((((812-43)*MAX('Inputs'!$B$33,'Inputs'!$B$29+'Inputs'!$B$31+'Inputs'!$B$32,'Inputs'!$B$30+'Inputs'!$B$31+'Inputs'!$B$32)/1000+'Inputs'!$B$21)+'Inputs'!$B$7)/SQRT((((812-43)*MAX('Inputs'!$B$33,'Inputs'!$B$29+'Inputs'!$B$31+'Inputs'!$B$32,'Inputs'!$B$30+'Inputs'!$B$31+'Inputs'!$B$32)/1000+'Inputs'!$B$21)+'Inputs'!$B$7)^2+('Inputs'!$B$6/2)^2)-(((812-43)*MAX('Inputs'!$B$33,'Inputs'!$B$29+'Inputs'!$B$31+'Inputs'!$B$32,'Inputs'!$B$30+'Inputs'!$B$31+'Inputs'!$B$32)/1000+'Inputs'!$B$21))/SQRT((((812-43)*MAX('Inputs'!$B$33,'Inputs'!$B$29+'Inputs'!$B$31+'Inputs'!$B$32,'Inputs'!$B$30+'Inputs'!$B$31+'Inputs'!$B$32)/1000+'Inputs'!$B$21))^2+('Inputs'!$B$6/2)^2)))-'Results'!C7*(1-'Inputs'!$B$24)*(0.5*((((812-43)*MAX('Inputs'!$B$33,'Inputs'!$B$29+'Inputs'!$B$31+'Inputs'!$B$32,'Inputs'!$B$30+'Inputs'!$B$31+'Inputs'!$B$32)/1000+'Inputs'!$B$21+'Inputs'!$B$7+'Inputs'!$B$10)+'Inputs'!$B$9)/SQRT((((812-43)*MAX('Inputs'!$B$33,'Inputs'!$B$29+'Inputs'!$B$31+'Inputs'!$B$32,'Inputs'!$B$30+'Inputs'!$B$31+'Inputs'!$B$32)/1000+'Inputs'!$B$21+'Inputs'!$B$7+'Inputs'!$B$10)+'Inputs'!$B$9)^2+('Inputs'!$B$8/2)^2)-(((812-43)*MAX('Inputs'!$B$33,'Inputs'!$B$29+'Inputs'!$B$31+'Inputs'!$B$32,'Inputs'!$B$30+'Inputs'!$B$31+'Inputs'!$B$32)/1000+'Inputs'!$B$21+'Inputs'!$B$7+'Inputs'!$B$10))/SQRT((((812-43)*MAX('Inputs'!$B$33,'Inputs'!$B$29+'Inputs'!$B$31+'Inputs'!$B$32,'Inputs'!$B$30+'Inputs'!$B$31+'Inputs'!$B$32)/1000+'Inputs'!$B$21+'Inputs'!$B$7+'Inputs'!$B$10))^2+('Inputs'!$B$8/2)^2))))*'Results'!$B$8))),"")</x:f>
        <x:v>1.0632425989739065</x:v>
      </x:c>
      <x:c r="M812" t="n">
        <x:f>IF(AND(ISNUMBER('Results'!C7),ISNUMBER('Results'!B7),ISNUMBER('Results'!$B$8),ISNUMBER('Inputs'!$B$6),ISNUMBER('Inputs'!$B$7),ISNUMBER('Inputs'!$B$8),ISNUMBER('Inputs'!$B$9),ISNUMBER('Inputs'!$B$10),ISNUMBER('Inputs'!$B$21),ISNUMBER('Inputs'!$B$24),ISNUMBER('Inputs'!$B$28)),(('Results'!C7*(0.5*((((812-43)*MAX('Inputs'!$B$33,'Inputs'!$B$29+'Inputs'!$B$31+'Inputs'!$B$32,'Inputs'!$B$30+'Inputs'!$B$31+'Inputs'!$B$32)/1000+'Inputs'!$B$21)+'Inputs'!$B$9)/SQRT((((812-43)*MAX('Inputs'!$B$33,'Inputs'!$B$29+'Inputs'!$B$31+'Inputs'!$B$32,'Inputs'!$B$30+'Inputs'!$B$31+'Inputs'!$B$32)/1000+'Inputs'!$B$21)+'Inputs'!$B$9)^2+('Inputs'!$B$8/2)^2)-(((812-43)*MAX('Inputs'!$B$33,'Inputs'!$B$29+'Inputs'!$B$31+'Inputs'!$B$32,'Inputs'!$B$30+'Inputs'!$B$31+'Inputs'!$B$32)/1000+'Inputs'!$B$21))/SQRT((((812-43)*MAX('Inputs'!$B$33,'Inputs'!$B$29+'Inputs'!$B$31+'Inputs'!$B$32,'Inputs'!$B$30+'Inputs'!$B$31+'Inputs'!$B$32)/1000+'Inputs'!$B$21))^2+('Inputs'!$B$8/2)^2)))-'Results'!B7*(0.5*((((812-43)*MAX('Inputs'!$B$33,'Inputs'!$B$29+'Inputs'!$B$31+'Inputs'!$B$32,'Inputs'!$B$30+'Inputs'!$B$31+'Inputs'!$B$32)/1000+'Inputs'!$B$21+'Inputs'!$B$9+'Inputs'!$B$10)+'Inputs'!$B$7)/SQRT((((812-43)*MAX('Inputs'!$B$33,'Inputs'!$B$29+'Inputs'!$B$31+'Inputs'!$B$32,'Inputs'!$B$30+'Inputs'!$B$31+'Inputs'!$B$32)/1000+'Inputs'!$B$21+'Inputs'!$B$9+'Inputs'!$B$10)+'Inputs'!$B$7)^2+('Inputs'!$B$6/2)^2)-(((812-43)*MAX('Inputs'!$B$33,'Inputs'!$B$29+'Inputs'!$B$31+'Inputs'!$B$32,'Inputs'!$B$30+'Inputs'!$B$31+'Inputs'!$B$32)/1000+'Inputs'!$B$21+'Inputs'!$B$9+'Inputs'!$B$10))/SQRT((((812-43)*MAX('Inputs'!$B$33,'Inputs'!$B$29+'Inputs'!$B$31+'Inputs'!$B$32,'Inputs'!$B$30+'Inputs'!$B$31+'Inputs'!$B$32)/1000+'Inputs'!$B$21+'Inputs'!$B$9+'Inputs'!$B$10))^2+('Inputs'!$B$6/2)^2))))*'Results'!$B$8),"")</x:f>
        <x:v>0.8349816776364632</x:v>
      </x:c>
      <x:c r="N812" t="n">
        <x:f>IF(AND(ISNUMBER('Results'!C7),ISNUMBER('Results'!B7),ISNUMBER('Results'!$B$8),ISNUMBER('Inputs'!$B$6),ISNUMBER('Inputs'!$B$7),ISNUMBER('Inputs'!$B$8),ISNUMBER('Inputs'!$B$9),ISNUMBER('Inputs'!$B$10),ISNUMBER('Inputs'!$B$21),ISNUMBER('Inputs'!$B$24),ISNUMBER('Inputs'!$B$28)),((('Results'!C7*(1-'Inputs'!$B$24)*(0.5*((((812-43)*MAX('Inputs'!$B$33,'Inputs'!$B$29+'Inputs'!$B$31+'Inputs'!$B$32,'Inputs'!$B$30+'Inputs'!$B$31+'Inputs'!$B$32)/1000+'Inputs'!$B$21)+'Inputs'!$B$9)/SQRT((((812-43)*MAX('Inputs'!$B$33,'Inputs'!$B$29+'Inputs'!$B$31+'Inputs'!$B$32,'Inputs'!$B$30+'Inputs'!$B$31+'Inputs'!$B$32)/1000+'Inputs'!$B$21)+'Inputs'!$B$9)^2+('Inputs'!$B$8/2)^2)-(((812-43)*MAX('Inputs'!$B$33,'Inputs'!$B$29+'Inputs'!$B$31+'Inputs'!$B$32,'Inputs'!$B$30+'Inputs'!$B$31+'Inputs'!$B$32)/1000+'Inputs'!$B$21))/SQRT((((812-43)*MAX('Inputs'!$B$33,'Inputs'!$B$29+'Inputs'!$B$31+'Inputs'!$B$32,'Inputs'!$B$30+'Inputs'!$B$31+'Inputs'!$B$32)/1000+'Inputs'!$B$21))^2+('Inputs'!$B$8/2)^2)))-'Results'!B7*(1+'Inputs'!$B$24)*(0.5*((((812-43)*MAX('Inputs'!$B$33,'Inputs'!$B$29+'Inputs'!$B$31+'Inputs'!$B$32,'Inputs'!$B$30+'Inputs'!$B$31+'Inputs'!$B$32)/1000+'Inputs'!$B$21+'Inputs'!$B$9+'Inputs'!$B$10)+'Inputs'!$B$7)/SQRT((((812-43)*MAX('Inputs'!$B$33,'Inputs'!$B$29+'Inputs'!$B$31+'Inputs'!$B$32,'Inputs'!$B$30+'Inputs'!$B$31+'Inputs'!$B$32)/1000+'Inputs'!$B$21+'Inputs'!$B$9+'Inputs'!$B$10)+'Inputs'!$B$7)^2+('Inputs'!$B$6/2)^2)-(((812-43)*MAX('Inputs'!$B$33,'Inputs'!$B$29+'Inputs'!$B$31+'Inputs'!$B$32,'Inputs'!$B$30+'Inputs'!$B$31+'Inputs'!$B$32)/1000+'Inputs'!$B$21+'Inputs'!$B$9+'Inputs'!$B$10))/SQRT((((812-43)*MAX('Inputs'!$B$33,'Inputs'!$B$29+'Inputs'!$B$31+'Inputs'!$B$32,'Inputs'!$B$30+'Inputs'!$B$31+'Inputs'!$B$32)/1000+'Inputs'!$B$21+'Inputs'!$B$9+'Inputs'!$B$10))^2+('Inputs'!$B$6/2)^2))))*'Results'!$B$8)-'Inputs'!$B$28*ABS((('Results'!C7*(1-'Inputs'!$B$24)*(0.5*((((812-43)*MAX('Inputs'!$B$33,'Inputs'!$B$29+'Inputs'!$B$31+'Inputs'!$B$32,'Inputs'!$B$30+'Inputs'!$B$31+'Inputs'!$B$32)/1000+'Inputs'!$B$21)+'Inputs'!$B$9)/SQRT((((812-43)*MAX('Inputs'!$B$33,'Inputs'!$B$29+'Inputs'!$B$31+'Inputs'!$B$32,'Inputs'!$B$30+'Inputs'!$B$31+'Inputs'!$B$32)/1000+'Inputs'!$B$21)+'Inputs'!$B$9)^2+('Inputs'!$B$8/2)^2)-(((812-43)*MAX('Inputs'!$B$33,'Inputs'!$B$29+'Inputs'!$B$31+'Inputs'!$B$32,'Inputs'!$B$30+'Inputs'!$B$31+'Inputs'!$B$32)/1000+'Inputs'!$B$21))/SQRT((((812-43)*MAX('Inputs'!$B$33,'Inputs'!$B$29+'Inputs'!$B$31+'Inputs'!$B$32,'Inputs'!$B$30+'Inputs'!$B$31+'Inputs'!$B$32)/1000+'Inputs'!$B$21))^2+('Inputs'!$B$8/2)^2)))-'Results'!B7*(1+'Inputs'!$B$24)*(0.5*((((812-43)*MAX('Inputs'!$B$33,'Inputs'!$B$29+'Inputs'!$B$31+'Inputs'!$B$32,'Inputs'!$B$30+'Inputs'!$B$31+'Inputs'!$B$32)/1000+'Inputs'!$B$21+'Inputs'!$B$9+'Inputs'!$B$10)+'Inputs'!$B$7)/SQRT((((812-43)*MAX('Inputs'!$B$33,'Inputs'!$B$29+'Inputs'!$B$31+'Inputs'!$B$32,'Inputs'!$B$30+'Inputs'!$B$31+'Inputs'!$B$32)/1000+'Inputs'!$B$21+'Inputs'!$B$9+'Inputs'!$B$10)+'Inputs'!$B$7)^2+('Inputs'!$B$6/2)^2)-(((812-43)*MAX('Inputs'!$B$33,'Inputs'!$B$29+'Inputs'!$B$31+'Inputs'!$B$32,'Inputs'!$B$30+'Inputs'!$B$31+'Inputs'!$B$32)/1000+'Inputs'!$B$21+'Inputs'!$B$9+'Inputs'!$B$10))/SQRT((((812-43)*MAX('Inputs'!$B$33,'Inputs'!$B$29+'Inputs'!$B$31+'Inputs'!$B$32,'Inputs'!$B$30+'Inputs'!$B$31+'Inputs'!$B$32)/1000+'Inputs'!$B$21+'Inputs'!$B$9+'Inputs'!$B$10))^2+('Inputs'!$B$6/2)^2))))*'Results'!$B$8))),"")</x:f>
        <x:v>0.709534967836067</x:v>
      </x:c>
      <x:c r="O812" t="n">
        <x:f>IF(AND(ISNUMBER('Results'!C7),ISNUMBER('Results'!B7),ISNUMBER('Results'!$B$8),ISNUMBER('Inputs'!$B$6),ISNUMBER('Inputs'!$B$7),ISNUMBER('Inputs'!$B$8),ISNUMBER('Inputs'!$B$9),ISNUMBER('Inputs'!$B$10),ISNUMBER('Inputs'!$B$21),ISNUMBER('Inputs'!$B$24),ISNUMBER('Inputs'!$B$28)),((('Results'!C7*(1+'Inputs'!$B$24)*(0.5*((((812-43)*MAX('Inputs'!$B$33,'Inputs'!$B$29+'Inputs'!$B$31+'Inputs'!$B$32,'Inputs'!$B$30+'Inputs'!$B$31+'Inputs'!$B$32)/1000+'Inputs'!$B$21)+'Inputs'!$B$9)/SQRT((((812-43)*MAX('Inputs'!$B$33,'Inputs'!$B$29+'Inputs'!$B$31+'Inputs'!$B$32,'Inputs'!$B$30+'Inputs'!$B$31+'Inputs'!$B$32)/1000+'Inputs'!$B$21)+'Inputs'!$B$9)^2+('Inputs'!$B$8/2)^2)-(((812-43)*MAX('Inputs'!$B$33,'Inputs'!$B$29+'Inputs'!$B$31+'Inputs'!$B$32,'Inputs'!$B$30+'Inputs'!$B$31+'Inputs'!$B$32)/1000+'Inputs'!$B$21))/SQRT((((812-43)*MAX('Inputs'!$B$33,'Inputs'!$B$29+'Inputs'!$B$31+'Inputs'!$B$32,'Inputs'!$B$30+'Inputs'!$B$31+'Inputs'!$B$32)/1000+'Inputs'!$B$21))^2+('Inputs'!$B$8/2)^2)))-'Results'!B7*(1-'Inputs'!$B$24)*(0.5*((((812-43)*MAX('Inputs'!$B$33,'Inputs'!$B$29+'Inputs'!$B$31+'Inputs'!$B$32,'Inputs'!$B$30+'Inputs'!$B$31+'Inputs'!$B$32)/1000+'Inputs'!$B$21+'Inputs'!$B$9+'Inputs'!$B$10)+'Inputs'!$B$7)/SQRT((((812-43)*MAX('Inputs'!$B$33,'Inputs'!$B$29+'Inputs'!$B$31+'Inputs'!$B$32,'Inputs'!$B$30+'Inputs'!$B$31+'Inputs'!$B$32)/1000+'Inputs'!$B$21+'Inputs'!$B$9+'Inputs'!$B$10)+'Inputs'!$B$7)^2+('Inputs'!$B$6/2)^2)-(((812-43)*MAX('Inputs'!$B$33,'Inputs'!$B$29+'Inputs'!$B$31+'Inputs'!$B$32,'Inputs'!$B$30+'Inputs'!$B$31+'Inputs'!$B$32)/1000+'Inputs'!$B$21+'Inputs'!$B$9+'Inputs'!$B$10))/SQRT((((812-43)*MAX('Inputs'!$B$33,'Inputs'!$B$29+'Inputs'!$B$31+'Inputs'!$B$32,'Inputs'!$B$30+'Inputs'!$B$31+'Inputs'!$B$32)/1000+'Inputs'!$B$21+'Inputs'!$B$9+'Inputs'!$B$10))^2+('Inputs'!$B$6/2)^2))))*'Results'!$B$8)+'Inputs'!$B$28*ABS((('Results'!C7*(1+'Inputs'!$B$24)*(0.5*((((812-43)*MAX('Inputs'!$B$33,'Inputs'!$B$29+'Inputs'!$B$31+'Inputs'!$B$32,'Inputs'!$B$30+'Inputs'!$B$31+'Inputs'!$B$32)/1000+'Inputs'!$B$21)+'Inputs'!$B$9)/SQRT((((812-43)*MAX('Inputs'!$B$33,'Inputs'!$B$29+'Inputs'!$B$31+'Inputs'!$B$32,'Inputs'!$B$30+'Inputs'!$B$31+'Inputs'!$B$32)/1000+'Inputs'!$B$21)+'Inputs'!$B$9)^2+('Inputs'!$B$8/2)^2)-(((812-43)*MAX('Inputs'!$B$33,'Inputs'!$B$29+'Inputs'!$B$31+'Inputs'!$B$32,'Inputs'!$B$30+'Inputs'!$B$31+'Inputs'!$B$32)/1000+'Inputs'!$B$21))/SQRT((((812-43)*MAX('Inputs'!$B$33,'Inputs'!$B$29+'Inputs'!$B$31+'Inputs'!$B$32,'Inputs'!$B$30+'Inputs'!$B$31+'Inputs'!$B$32)/1000+'Inputs'!$B$21))^2+('Inputs'!$B$8/2)^2)))-'Results'!B7*(1-'Inputs'!$B$24)*(0.5*((((812-43)*MAX('Inputs'!$B$33,'Inputs'!$B$29+'Inputs'!$B$31+'Inputs'!$B$32,'Inputs'!$B$30+'Inputs'!$B$31+'Inputs'!$B$32)/1000+'Inputs'!$B$21+'Inputs'!$B$9+'Inputs'!$B$10)+'Inputs'!$B$7)/SQRT((((812-43)*MAX('Inputs'!$B$33,'Inputs'!$B$29+'Inputs'!$B$31+'Inputs'!$B$32,'Inputs'!$B$30+'Inputs'!$B$31+'Inputs'!$B$32)/1000+'Inputs'!$B$21+'Inputs'!$B$9+'Inputs'!$B$10)+'Inputs'!$B$7)^2+('Inputs'!$B$6/2)^2)-(((812-43)*MAX('Inputs'!$B$33,'Inputs'!$B$29+'Inputs'!$B$31+'Inputs'!$B$32,'Inputs'!$B$30+'Inputs'!$B$31+'Inputs'!$B$32)/1000+'Inputs'!$B$21+'Inputs'!$B$9+'Inputs'!$B$10))/SQRT((((812-43)*MAX('Inputs'!$B$33,'Inputs'!$B$29+'Inputs'!$B$31+'Inputs'!$B$32,'Inputs'!$B$30+'Inputs'!$B$31+'Inputs'!$B$32)/1000+'Inputs'!$B$21+'Inputs'!$B$9+'Inputs'!$B$10))^2+('Inputs'!$B$6/2)^2))))*'Results'!$B$8))),"")</x:f>
        <x:v>0.9692386638493405</x:v>
      </x:c>
      <x:c r="P812" t="n">
        <x:f>IF(AND(MAX(J812,J811)&gt;0,J812&gt;J811+0.00000001),1,0)</x:f>
        <x:v>0</x:v>
      </x:c>
      <x:c r="Q812" t="n">
        <x:f>IF(AND(MAX(K812,K811)&gt;0,K812&gt;K811+0.00000001),1,0)</x:f>
        <x:v>0</x:v>
      </x:c>
      <x:c r="R812" t="n">
        <x:f>IF(AND(MAX(L812,L811)&gt;0,L812&gt;L811+0.00000001),1,0)</x:f>
        <x:v>0</x:v>
      </x:c>
      <x:c r="S812" t="n">
        <x:f>IF(AND(MAX(M812,M811)&gt;0,M812&gt;M811+0.00000001),1,0)</x:f>
        <x:v>0</x:v>
      </x:c>
      <x:c r="T812" t="n">
        <x:f>IF(AND(MAX(N812,N811)&gt;0,N812&gt;N811+0.00000001),1,0)</x:f>
        <x:v>0</x:v>
      </x:c>
      <x:c r="U812" t="n">
        <x:f>IF(AND(MAX(O812,O811)&gt;0,O812&gt;O811+0.00000001),1,0)</x:f>
        <x:v>0</x:v>
      </x:c>
    </x:row>
    <x:row r="813">
      <x:c r="J813" t="n">
        <x:f>IF(AND(ISNUMBER('Results'!B7),ISNUMBER('Results'!C7),ISNUMBER('Results'!$B$8),ISNUMBER('Inputs'!$B$6),ISNUMBER('Inputs'!$B$7),ISNUMBER('Inputs'!$B$8),ISNUMBER('Inputs'!$B$9),ISNUMBER('Inputs'!$B$10),ISNUMBER('Inputs'!$B$21),ISNUMBER('Inputs'!$B$24),ISNUMBER('Inputs'!$B$28)),(('Results'!B7*(0.5*((((813-43)*MAX('Inputs'!$B$33,'Inputs'!$B$29+'Inputs'!$B$31+'Inputs'!$B$32,'Inputs'!$B$30+'Inputs'!$B$31+'Inputs'!$B$32)/1000+'Inputs'!$B$21)+'Inputs'!$B$7)/SQRT((((813-43)*MAX('Inputs'!$B$33,'Inputs'!$B$29+'Inputs'!$B$31+'Inputs'!$B$32,'Inputs'!$B$30+'Inputs'!$B$31+'Inputs'!$B$32)/1000+'Inputs'!$B$21)+'Inputs'!$B$7)^2+('Inputs'!$B$6/2)^2)-(((813-43)*MAX('Inputs'!$B$33,'Inputs'!$B$29+'Inputs'!$B$31+'Inputs'!$B$32,'Inputs'!$B$30+'Inputs'!$B$31+'Inputs'!$B$32)/1000+'Inputs'!$B$21))/SQRT((((813-43)*MAX('Inputs'!$B$33,'Inputs'!$B$29+'Inputs'!$B$31+'Inputs'!$B$32,'Inputs'!$B$30+'Inputs'!$B$31+'Inputs'!$B$32)/1000+'Inputs'!$B$21))^2+('Inputs'!$B$6/2)^2)))-'Results'!C7*(0.5*((((813-43)*MAX('Inputs'!$B$33,'Inputs'!$B$29+'Inputs'!$B$31+'Inputs'!$B$32,'Inputs'!$B$30+'Inputs'!$B$31+'Inputs'!$B$32)/1000+'Inputs'!$B$21+'Inputs'!$B$7+'Inputs'!$B$10)+'Inputs'!$B$9)/SQRT((((813-43)*MAX('Inputs'!$B$33,'Inputs'!$B$29+'Inputs'!$B$31+'Inputs'!$B$32,'Inputs'!$B$30+'Inputs'!$B$31+'Inputs'!$B$32)/1000+'Inputs'!$B$21+'Inputs'!$B$7+'Inputs'!$B$10)+'Inputs'!$B$9)^2+('Inputs'!$B$8/2)^2)-(((813-43)*MAX('Inputs'!$B$33,'Inputs'!$B$29+'Inputs'!$B$31+'Inputs'!$B$32,'Inputs'!$B$30+'Inputs'!$B$31+'Inputs'!$B$32)/1000+'Inputs'!$B$21+'Inputs'!$B$7+'Inputs'!$B$10))/SQRT((((813-43)*MAX('Inputs'!$B$33,'Inputs'!$B$29+'Inputs'!$B$31+'Inputs'!$B$32,'Inputs'!$B$30+'Inputs'!$B$31+'Inputs'!$B$32)/1000+'Inputs'!$B$21+'Inputs'!$B$7+'Inputs'!$B$10))^2+('Inputs'!$B$8/2)^2))))*'Results'!$B$8),"")</x:f>
        <x:v>0.9198601891640668</x:v>
      </x:c>
      <x:c r="K813" t="n">
        <x:f>IF(AND(ISNUMBER('Results'!B7),ISNUMBER('Results'!C7),ISNUMBER('Results'!$B$8),ISNUMBER('Inputs'!$B$6),ISNUMBER('Inputs'!$B$7),ISNUMBER('Inputs'!$B$8),ISNUMBER('Inputs'!$B$9),ISNUMBER('Inputs'!$B$10),ISNUMBER('Inputs'!$B$21),ISNUMBER('Inputs'!$B$24),ISNUMBER('Inputs'!$B$28)),((('Results'!B7*(1-'Inputs'!$B$24)*(0.5*((((813-43)*MAX('Inputs'!$B$33,'Inputs'!$B$29+'Inputs'!$B$31+'Inputs'!$B$32,'Inputs'!$B$30+'Inputs'!$B$31+'Inputs'!$B$32)/1000+'Inputs'!$B$21)+'Inputs'!$B$7)/SQRT((((813-43)*MAX('Inputs'!$B$33,'Inputs'!$B$29+'Inputs'!$B$31+'Inputs'!$B$32,'Inputs'!$B$30+'Inputs'!$B$31+'Inputs'!$B$32)/1000+'Inputs'!$B$21)+'Inputs'!$B$7)^2+('Inputs'!$B$6/2)^2)-(((813-43)*MAX('Inputs'!$B$33,'Inputs'!$B$29+'Inputs'!$B$31+'Inputs'!$B$32,'Inputs'!$B$30+'Inputs'!$B$31+'Inputs'!$B$32)/1000+'Inputs'!$B$21))/SQRT((((813-43)*MAX('Inputs'!$B$33,'Inputs'!$B$29+'Inputs'!$B$31+'Inputs'!$B$32,'Inputs'!$B$30+'Inputs'!$B$31+'Inputs'!$B$32)/1000+'Inputs'!$B$21))^2+('Inputs'!$B$6/2)^2)))-'Results'!C7*(1+'Inputs'!$B$24)*(0.5*((((813-43)*MAX('Inputs'!$B$33,'Inputs'!$B$29+'Inputs'!$B$31+'Inputs'!$B$32,'Inputs'!$B$30+'Inputs'!$B$31+'Inputs'!$B$32)/1000+'Inputs'!$B$21+'Inputs'!$B$7+'Inputs'!$B$10)+'Inputs'!$B$9)/SQRT((((813-43)*MAX('Inputs'!$B$33,'Inputs'!$B$29+'Inputs'!$B$31+'Inputs'!$B$32,'Inputs'!$B$30+'Inputs'!$B$31+'Inputs'!$B$32)/1000+'Inputs'!$B$21+'Inputs'!$B$7+'Inputs'!$B$10)+'Inputs'!$B$9)^2+('Inputs'!$B$8/2)^2)-(((813-43)*MAX('Inputs'!$B$33,'Inputs'!$B$29+'Inputs'!$B$31+'Inputs'!$B$32,'Inputs'!$B$30+'Inputs'!$B$31+'Inputs'!$B$32)/1000+'Inputs'!$B$21+'Inputs'!$B$7+'Inputs'!$B$10))/SQRT((((813-43)*MAX('Inputs'!$B$33,'Inputs'!$B$29+'Inputs'!$B$31+'Inputs'!$B$32,'Inputs'!$B$30+'Inputs'!$B$31+'Inputs'!$B$32)/1000+'Inputs'!$B$21+'Inputs'!$B$7+'Inputs'!$B$10))^2+('Inputs'!$B$8/2)^2))))*'Results'!$B$8)-'Inputs'!$B$28*ABS((('Results'!B7*(1-'Inputs'!$B$24)*(0.5*((((813-43)*MAX('Inputs'!$B$33,'Inputs'!$B$29+'Inputs'!$B$31+'Inputs'!$B$32,'Inputs'!$B$30+'Inputs'!$B$31+'Inputs'!$B$32)/1000+'Inputs'!$B$21)+'Inputs'!$B$7)/SQRT((((813-43)*MAX('Inputs'!$B$33,'Inputs'!$B$29+'Inputs'!$B$31+'Inputs'!$B$32,'Inputs'!$B$30+'Inputs'!$B$31+'Inputs'!$B$32)/1000+'Inputs'!$B$21)+'Inputs'!$B$7)^2+('Inputs'!$B$6/2)^2)-(((813-43)*MAX('Inputs'!$B$33,'Inputs'!$B$29+'Inputs'!$B$31+'Inputs'!$B$32,'Inputs'!$B$30+'Inputs'!$B$31+'Inputs'!$B$32)/1000+'Inputs'!$B$21))/SQRT((((813-43)*MAX('Inputs'!$B$33,'Inputs'!$B$29+'Inputs'!$B$31+'Inputs'!$B$32,'Inputs'!$B$30+'Inputs'!$B$31+'Inputs'!$B$32)/1000+'Inputs'!$B$21))^2+('Inputs'!$B$6/2)^2)))-'Results'!C7*(1+'Inputs'!$B$24)*(0.5*((((813-43)*MAX('Inputs'!$B$33,'Inputs'!$B$29+'Inputs'!$B$31+'Inputs'!$B$32,'Inputs'!$B$30+'Inputs'!$B$31+'Inputs'!$B$32)/1000+'Inputs'!$B$21+'Inputs'!$B$7+'Inputs'!$B$10)+'Inputs'!$B$9)/SQRT((((813-43)*MAX('Inputs'!$B$33,'Inputs'!$B$29+'Inputs'!$B$31+'Inputs'!$B$32,'Inputs'!$B$30+'Inputs'!$B$31+'Inputs'!$B$32)/1000+'Inputs'!$B$21+'Inputs'!$B$7+'Inputs'!$B$10)+'Inputs'!$B$9)^2+('Inputs'!$B$8/2)^2)-(((813-43)*MAX('Inputs'!$B$33,'Inputs'!$B$29+'Inputs'!$B$31+'Inputs'!$B$32,'Inputs'!$B$30+'Inputs'!$B$31+'Inputs'!$B$32)/1000+'Inputs'!$B$21+'Inputs'!$B$7+'Inputs'!$B$10))/SQRT((((813-43)*MAX('Inputs'!$B$33,'Inputs'!$B$29+'Inputs'!$B$31+'Inputs'!$B$32,'Inputs'!$B$30+'Inputs'!$B$31+'Inputs'!$B$32)/1000+'Inputs'!$B$21+'Inputs'!$B$7+'Inputs'!$B$10))^2+('Inputs'!$B$8/2)^2))))*'Results'!$B$8))),"")</x:f>
        <x:v>0.7901322100292778</x:v>
      </x:c>
      <x:c r="L813" t="n">
        <x:f>IF(AND(ISNUMBER('Results'!B7),ISNUMBER('Results'!C7),ISNUMBER('Results'!$B$8),ISNUMBER('Inputs'!$B$6),ISNUMBER('Inputs'!$B$7),ISNUMBER('Inputs'!$B$8),ISNUMBER('Inputs'!$B$9),ISNUMBER('Inputs'!$B$10),ISNUMBER('Inputs'!$B$21),ISNUMBER('Inputs'!$B$24),ISNUMBER('Inputs'!$B$28)),((('Results'!B7*(1+'Inputs'!$B$24)*(0.5*((((813-43)*MAX('Inputs'!$B$33,'Inputs'!$B$29+'Inputs'!$B$31+'Inputs'!$B$32,'Inputs'!$B$30+'Inputs'!$B$31+'Inputs'!$B$32)/1000+'Inputs'!$B$21)+'Inputs'!$B$7)/SQRT((((813-43)*MAX('Inputs'!$B$33,'Inputs'!$B$29+'Inputs'!$B$31+'Inputs'!$B$32,'Inputs'!$B$30+'Inputs'!$B$31+'Inputs'!$B$32)/1000+'Inputs'!$B$21)+'Inputs'!$B$7)^2+('Inputs'!$B$6/2)^2)-(((813-43)*MAX('Inputs'!$B$33,'Inputs'!$B$29+'Inputs'!$B$31+'Inputs'!$B$32,'Inputs'!$B$30+'Inputs'!$B$31+'Inputs'!$B$32)/1000+'Inputs'!$B$21))/SQRT((((813-43)*MAX('Inputs'!$B$33,'Inputs'!$B$29+'Inputs'!$B$31+'Inputs'!$B$32,'Inputs'!$B$30+'Inputs'!$B$31+'Inputs'!$B$32)/1000+'Inputs'!$B$21))^2+('Inputs'!$B$6/2)^2)))-'Results'!C7*(1-'Inputs'!$B$24)*(0.5*((((813-43)*MAX('Inputs'!$B$33,'Inputs'!$B$29+'Inputs'!$B$31+'Inputs'!$B$32,'Inputs'!$B$30+'Inputs'!$B$31+'Inputs'!$B$32)/1000+'Inputs'!$B$21+'Inputs'!$B$7+'Inputs'!$B$10)+'Inputs'!$B$9)/SQRT((((813-43)*MAX('Inputs'!$B$33,'Inputs'!$B$29+'Inputs'!$B$31+'Inputs'!$B$32,'Inputs'!$B$30+'Inputs'!$B$31+'Inputs'!$B$32)/1000+'Inputs'!$B$21+'Inputs'!$B$7+'Inputs'!$B$10)+'Inputs'!$B$9)^2+('Inputs'!$B$8/2)^2)-(((813-43)*MAX('Inputs'!$B$33,'Inputs'!$B$29+'Inputs'!$B$31+'Inputs'!$B$32,'Inputs'!$B$30+'Inputs'!$B$31+'Inputs'!$B$32)/1000+'Inputs'!$B$21+'Inputs'!$B$7+'Inputs'!$B$10))/SQRT((((813-43)*MAX('Inputs'!$B$33,'Inputs'!$B$29+'Inputs'!$B$31+'Inputs'!$B$32,'Inputs'!$B$30+'Inputs'!$B$31+'Inputs'!$B$32)/1000+'Inputs'!$B$21+'Inputs'!$B$7+'Inputs'!$B$10))^2+('Inputs'!$B$8/2)^2))))*'Results'!$B$8)+'Inputs'!$B$28*ABS((('Results'!B7*(1+'Inputs'!$B$24)*(0.5*((((813-43)*MAX('Inputs'!$B$33,'Inputs'!$B$29+'Inputs'!$B$31+'Inputs'!$B$32,'Inputs'!$B$30+'Inputs'!$B$31+'Inputs'!$B$32)/1000+'Inputs'!$B$21)+'Inputs'!$B$7)/SQRT((((813-43)*MAX('Inputs'!$B$33,'Inputs'!$B$29+'Inputs'!$B$31+'Inputs'!$B$32,'Inputs'!$B$30+'Inputs'!$B$31+'Inputs'!$B$32)/1000+'Inputs'!$B$21)+'Inputs'!$B$7)^2+('Inputs'!$B$6/2)^2)-(((813-43)*MAX('Inputs'!$B$33,'Inputs'!$B$29+'Inputs'!$B$31+'Inputs'!$B$32,'Inputs'!$B$30+'Inputs'!$B$31+'Inputs'!$B$32)/1000+'Inputs'!$B$21))/SQRT((((813-43)*MAX('Inputs'!$B$33,'Inputs'!$B$29+'Inputs'!$B$31+'Inputs'!$B$32,'Inputs'!$B$30+'Inputs'!$B$31+'Inputs'!$B$32)/1000+'Inputs'!$B$21))^2+('Inputs'!$B$6/2)^2)))-'Results'!C7*(1-'Inputs'!$B$24)*(0.5*((((813-43)*MAX('Inputs'!$B$33,'Inputs'!$B$29+'Inputs'!$B$31+'Inputs'!$B$32,'Inputs'!$B$30+'Inputs'!$B$31+'Inputs'!$B$32)/1000+'Inputs'!$B$21+'Inputs'!$B$7+'Inputs'!$B$10)+'Inputs'!$B$9)/SQRT((((813-43)*MAX('Inputs'!$B$33,'Inputs'!$B$29+'Inputs'!$B$31+'Inputs'!$B$32,'Inputs'!$B$30+'Inputs'!$B$31+'Inputs'!$B$32)/1000+'Inputs'!$B$21+'Inputs'!$B$7+'Inputs'!$B$10)+'Inputs'!$B$9)^2+('Inputs'!$B$8/2)^2)-(((813-43)*MAX('Inputs'!$B$33,'Inputs'!$B$29+'Inputs'!$B$31+'Inputs'!$B$32,'Inputs'!$B$30+'Inputs'!$B$31+'Inputs'!$B$32)/1000+'Inputs'!$B$21+'Inputs'!$B$7+'Inputs'!$B$10))/SQRT((((813-43)*MAX('Inputs'!$B$33,'Inputs'!$B$29+'Inputs'!$B$31+'Inputs'!$B$32,'Inputs'!$B$30+'Inputs'!$B$31+'Inputs'!$B$32)/1000+'Inputs'!$B$21+'Inputs'!$B$7+'Inputs'!$B$10))^2+('Inputs'!$B$8/2)^2))))*'Results'!$B$8))),"")</x:f>
        <x:v>1.058402375633233</x:v>
      </x:c>
      <x:c r="M813" t="n">
        <x:f>IF(AND(ISNUMBER('Results'!C7),ISNUMBER('Results'!B7),ISNUMBER('Results'!$B$8),ISNUMBER('Inputs'!$B$6),ISNUMBER('Inputs'!$B$7),ISNUMBER('Inputs'!$B$8),ISNUMBER('Inputs'!$B$9),ISNUMBER('Inputs'!$B$10),ISNUMBER('Inputs'!$B$21),ISNUMBER('Inputs'!$B$24),ISNUMBER('Inputs'!$B$28)),(('Results'!C7*(0.5*((((813-43)*MAX('Inputs'!$B$33,'Inputs'!$B$29+'Inputs'!$B$31+'Inputs'!$B$32,'Inputs'!$B$30+'Inputs'!$B$31+'Inputs'!$B$32)/1000+'Inputs'!$B$21)+'Inputs'!$B$9)/SQRT((((813-43)*MAX('Inputs'!$B$33,'Inputs'!$B$29+'Inputs'!$B$31+'Inputs'!$B$32,'Inputs'!$B$30+'Inputs'!$B$31+'Inputs'!$B$32)/1000+'Inputs'!$B$21)+'Inputs'!$B$9)^2+('Inputs'!$B$8/2)^2)-(((813-43)*MAX('Inputs'!$B$33,'Inputs'!$B$29+'Inputs'!$B$31+'Inputs'!$B$32,'Inputs'!$B$30+'Inputs'!$B$31+'Inputs'!$B$32)/1000+'Inputs'!$B$21))/SQRT((((813-43)*MAX('Inputs'!$B$33,'Inputs'!$B$29+'Inputs'!$B$31+'Inputs'!$B$32,'Inputs'!$B$30+'Inputs'!$B$31+'Inputs'!$B$32)/1000+'Inputs'!$B$21))^2+('Inputs'!$B$8/2)^2)))-'Results'!B7*(0.5*((((813-43)*MAX('Inputs'!$B$33,'Inputs'!$B$29+'Inputs'!$B$31+'Inputs'!$B$32,'Inputs'!$B$30+'Inputs'!$B$31+'Inputs'!$B$32)/1000+'Inputs'!$B$21+'Inputs'!$B$9+'Inputs'!$B$10)+'Inputs'!$B$7)/SQRT((((813-43)*MAX('Inputs'!$B$33,'Inputs'!$B$29+'Inputs'!$B$31+'Inputs'!$B$32,'Inputs'!$B$30+'Inputs'!$B$31+'Inputs'!$B$32)/1000+'Inputs'!$B$21+'Inputs'!$B$9+'Inputs'!$B$10)+'Inputs'!$B$7)^2+('Inputs'!$B$6/2)^2)-(((813-43)*MAX('Inputs'!$B$33,'Inputs'!$B$29+'Inputs'!$B$31+'Inputs'!$B$32,'Inputs'!$B$30+'Inputs'!$B$31+'Inputs'!$B$32)/1000+'Inputs'!$B$21+'Inputs'!$B$9+'Inputs'!$B$10))/SQRT((((813-43)*MAX('Inputs'!$B$33,'Inputs'!$B$29+'Inputs'!$B$31+'Inputs'!$B$32,'Inputs'!$B$30+'Inputs'!$B$31+'Inputs'!$B$32)/1000+'Inputs'!$B$21+'Inputs'!$B$9+'Inputs'!$B$10))^2+('Inputs'!$B$6/2)^2))))*'Results'!$B$8),"")</x:f>
        <x:v>0.8310064334778386</x:v>
      </x:c>
      <x:c r="N813" t="n">
        <x:f>IF(AND(ISNUMBER('Results'!C7),ISNUMBER('Results'!B7),ISNUMBER('Results'!$B$8),ISNUMBER('Inputs'!$B$6),ISNUMBER('Inputs'!$B$7),ISNUMBER('Inputs'!$B$8),ISNUMBER('Inputs'!$B$9),ISNUMBER('Inputs'!$B$10),ISNUMBER('Inputs'!$B$21),ISNUMBER('Inputs'!$B$24),ISNUMBER('Inputs'!$B$28)),((('Results'!C7*(1-'Inputs'!$B$24)*(0.5*((((813-43)*MAX('Inputs'!$B$33,'Inputs'!$B$29+'Inputs'!$B$31+'Inputs'!$B$32,'Inputs'!$B$30+'Inputs'!$B$31+'Inputs'!$B$32)/1000+'Inputs'!$B$21)+'Inputs'!$B$9)/SQRT((((813-43)*MAX('Inputs'!$B$33,'Inputs'!$B$29+'Inputs'!$B$31+'Inputs'!$B$32,'Inputs'!$B$30+'Inputs'!$B$31+'Inputs'!$B$32)/1000+'Inputs'!$B$21)+'Inputs'!$B$9)^2+('Inputs'!$B$8/2)^2)-(((813-43)*MAX('Inputs'!$B$33,'Inputs'!$B$29+'Inputs'!$B$31+'Inputs'!$B$32,'Inputs'!$B$30+'Inputs'!$B$31+'Inputs'!$B$32)/1000+'Inputs'!$B$21))/SQRT((((813-43)*MAX('Inputs'!$B$33,'Inputs'!$B$29+'Inputs'!$B$31+'Inputs'!$B$32,'Inputs'!$B$30+'Inputs'!$B$31+'Inputs'!$B$32)/1000+'Inputs'!$B$21))^2+('Inputs'!$B$8/2)^2)))-'Results'!B7*(1+'Inputs'!$B$24)*(0.5*((((813-43)*MAX('Inputs'!$B$33,'Inputs'!$B$29+'Inputs'!$B$31+'Inputs'!$B$32,'Inputs'!$B$30+'Inputs'!$B$31+'Inputs'!$B$32)/1000+'Inputs'!$B$21+'Inputs'!$B$9+'Inputs'!$B$10)+'Inputs'!$B$7)/SQRT((((813-43)*MAX('Inputs'!$B$33,'Inputs'!$B$29+'Inputs'!$B$31+'Inputs'!$B$32,'Inputs'!$B$30+'Inputs'!$B$31+'Inputs'!$B$32)/1000+'Inputs'!$B$21+'Inputs'!$B$9+'Inputs'!$B$10)+'Inputs'!$B$7)^2+('Inputs'!$B$6/2)^2)-(((813-43)*MAX('Inputs'!$B$33,'Inputs'!$B$29+'Inputs'!$B$31+'Inputs'!$B$32,'Inputs'!$B$30+'Inputs'!$B$31+'Inputs'!$B$32)/1000+'Inputs'!$B$21+'Inputs'!$B$9+'Inputs'!$B$10))/SQRT((((813-43)*MAX('Inputs'!$B$33,'Inputs'!$B$29+'Inputs'!$B$31+'Inputs'!$B$32,'Inputs'!$B$30+'Inputs'!$B$31+'Inputs'!$B$32)/1000+'Inputs'!$B$21+'Inputs'!$B$9+'Inputs'!$B$10))^2+('Inputs'!$B$6/2)^2))))*'Results'!$B$8)-'Inputs'!$B$28*ABS((('Results'!C7*(1-'Inputs'!$B$24)*(0.5*((((813-43)*MAX('Inputs'!$B$33,'Inputs'!$B$29+'Inputs'!$B$31+'Inputs'!$B$32,'Inputs'!$B$30+'Inputs'!$B$31+'Inputs'!$B$32)/1000+'Inputs'!$B$21)+'Inputs'!$B$9)/SQRT((((813-43)*MAX('Inputs'!$B$33,'Inputs'!$B$29+'Inputs'!$B$31+'Inputs'!$B$32,'Inputs'!$B$30+'Inputs'!$B$31+'Inputs'!$B$32)/1000+'Inputs'!$B$21)+'Inputs'!$B$9)^2+('Inputs'!$B$8/2)^2)-(((813-43)*MAX('Inputs'!$B$33,'Inputs'!$B$29+'Inputs'!$B$31+'Inputs'!$B$32,'Inputs'!$B$30+'Inputs'!$B$31+'Inputs'!$B$32)/1000+'Inputs'!$B$21))/SQRT((((813-43)*MAX('Inputs'!$B$33,'Inputs'!$B$29+'Inputs'!$B$31+'Inputs'!$B$32,'Inputs'!$B$30+'Inputs'!$B$31+'Inputs'!$B$32)/1000+'Inputs'!$B$21))^2+('Inputs'!$B$8/2)^2)))-'Results'!B7*(1+'Inputs'!$B$24)*(0.5*((((813-43)*MAX('Inputs'!$B$33,'Inputs'!$B$29+'Inputs'!$B$31+'Inputs'!$B$32,'Inputs'!$B$30+'Inputs'!$B$31+'Inputs'!$B$32)/1000+'Inputs'!$B$21+'Inputs'!$B$9+'Inputs'!$B$10)+'Inputs'!$B$7)/SQRT((((813-43)*MAX('Inputs'!$B$33,'Inputs'!$B$29+'Inputs'!$B$31+'Inputs'!$B$32,'Inputs'!$B$30+'Inputs'!$B$31+'Inputs'!$B$32)/1000+'Inputs'!$B$21+'Inputs'!$B$9+'Inputs'!$B$10)+'Inputs'!$B$7)^2+('Inputs'!$B$6/2)^2)-(((813-43)*MAX('Inputs'!$B$33,'Inputs'!$B$29+'Inputs'!$B$31+'Inputs'!$B$32,'Inputs'!$B$30+'Inputs'!$B$31+'Inputs'!$B$32)/1000+'Inputs'!$B$21+'Inputs'!$B$9+'Inputs'!$B$10))/SQRT((((813-43)*MAX('Inputs'!$B$33,'Inputs'!$B$29+'Inputs'!$B$31+'Inputs'!$B$32,'Inputs'!$B$30+'Inputs'!$B$31+'Inputs'!$B$32)/1000+'Inputs'!$B$21+'Inputs'!$B$9+'Inputs'!$B$10))^2+('Inputs'!$B$6/2)^2))))*'Results'!$B$8))),"")</x:f>
        <x:v>0.7060571670347363</x:v>
      </x:c>
      <x:c r="O813" t="n">
        <x:f>IF(AND(ISNUMBER('Results'!C7),ISNUMBER('Results'!B7),ISNUMBER('Results'!$B$8),ISNUMBER('Inputs'!$B$6),ISNUMBER('Inputs'!$B$7),ISNUMBER('Inputs'!$B$8),ISNUMBER('Inputs'!$B$9),ISNUMBER('Inputs'!$B$10),ISNUMBER('Inputs'!$B$21),ISNUMBER('Inputs'!$B$24),ISNUMBER('Inputs'!$B$28)),((('Results'!C7*(1+'Inputs'!$B$24)*(0.5*((((813-43)*MAX('Inputs'!$B$33,'Inputs'!$B$29+'Inputs'!$B$31+'Inputs'!$B$32,'Inputs'!$B$30+'Inputs'!$B$31+'Inputs'!$B$32)/1000+'Inputs'!$B$21)+'Inputs'!$B$9)/SQRT((((813-43)*MAX('Inputs'!$B$33,'Inputs'!$B$29+'Inputs'!$B$31+'Inputs'!$B$32,'Inputs'!$B$30+'Inputs'!$B$31+'Inputs'!$B$32)/1000+'Inputs'!$B$21)+'Inputs'!$B$9)^2+('Inputs'!$B$8/2)^2)-(((813-43)*MAX('Inputs'!$B$33,'Inputs'!$B$29+'Inputs'!$B$31+'Inputs'!$B$32,'Inputs'!$B$30+'Inputs'!$B$31+'Inputs'!$B$32)/1000+'Inputs'!$B$21))/SQRT((((813-43)*MAX('Inputs'!$B$33,'Inputs'!$B$29+'Inputs'!$B$31+'Inputs'!$B$32,'Inputs'!$B$30+'Inputs'!$B$31+'Inputs'!$B$32)/1000+'Inputs'!$B$21))^2+('Inputs'!$B$8/2)^2)))-'Results'!B7*(1-'Inputs'!$B$24)*(0.5*((((813-43)*MAX('Inputs'!$B$33,'Inputs'!$B$29+'Inputs'!$B$31+'Inputs'!$B$32,'Inputs'!$B$30+'Inputs'!$B$31+'Inputs'!$B$32)/1000+'Inputs'!$B$21+'Inputs'!$B$9+'Inputs'!$B$10)+'Inputs'!$B$7)/SQRT((((813-43)*MAX('Inputs'!$B$33,'Inputs'!$B$29+'Inputs'!$B$31+'Inputs'!$B$32,'Inputs'!$B$30+'Inputs'!$B$31+'Inputs'!$B$32)/1000+'Inputs'!$B$21+'Inputs'!$B$9+'Inputs'!$B$10)+'Inputs'!$B$7)^2+('Inputs'!$B$6/2)^2)-(((813-43)*MAX('Inputs'!$B$33,'Inputs'!$B$29+'Inputs'!$B$31+'Inputs'!$B$32,'Inputs'!$B$30+'Inputs'!$B$31+'Inputs'!$B$32)/1000+'Inputs'!$B$21+'Inputs'!$B$9+'Inputs'!$B$10))/SQRT((((813-43)*MAX('Inputs'!$B$33,'Inputs'!$B$29+'Inputs'!$B$31+'Inputs'!$B$32,'Inputs'!$B$30+'Inputs'!$B$31+'Inputs'!$B$32)/1000+'Inputs'!$B$21+'Inputs'!$B$9+'Inputs'!$B$10))^2+('Inputs'!$B$6/2)^2))))*'Results'!$B$8)+'Inputs'!$B$28*ABS((('Results'!C7*(1+'Inputs'!$B$24)*(0.5*((((813-43)*MAX('Inputs'!$B$33,'Inputs'!$B$29+'Inputs'!$B$31+'Inputs'!$B$32,'Inputs'!$B$30+'Inputs'!$B$31+'Inputs'!$B$32)/1000+'Inputs'!$B$21)+'Inputs'!$B$9)/SQRT((((813-43)*MAX('Inputs'!$B$33,'Inputs'!$B$29+'Inputs'!$B$31+'Inputs'!$B$32,'Inputs'!$B$30+'Inputs'!$B$31+'Inputs'!$B$32)/1000+'Inputs'!$B$21)+'Inputs'!$B$9)^2+('Inputs'!$B$8/2)^2)-(((813-43)*MAX('Inputs'!$B$33,'Inputs'!$B$29+'Inputs'!$B$31+'Inputs'!$B$32,'Inputs'!$B$30+'Inputs'!$B$31+'Inputs'!$B$32)/1000+'Inputs'!$B$21))/SQRT((((813-43)*MAX('Inputs'!$B$33,'Inputs'!$B$29+'Inputs'!$B$31+'Inputs'!$B$32,'Inputs'!$B$30+'Inputs'!$B$31+'Inputs'!$B$32)/1000+'Inputs'!$B$21))^2+('Inputs'!$B$8/2)^2)))-'Results'!B7*(1-'Inputs'!$B$24)*(0.5*((((813-43)*MAX('Inputs'!$B$33,'Inputs'!$B$29+'Inputs'!$B$31+'Inputs'!$B$32,'Inputs'!$B$30+'Inputs'!$B$31+'Inputs'!$B$32)/1000+'Inputs'!$B$21+'Inputs'!$B$9+'Inputs'!$B$10)+'Inputs'!$B$7)/SQRT((((813-43)*MAX('Inputs'!$B$33,'Inputs'!$B$29+'Inputs'!$B$31+'Inputs'!$B$32,'Inputs'!$B$30+'Inputs'!$B$31+'Inputs'!$B$32)/1000+'Inputs'!$B$21+'Inputs'!$B$9+'Inputs'!$B$10)+'Inputs'!$B$7)^2+('Inputs'!$B$6/2)^2)-(((813-43)*MAX('Inputs'!$B$33,'Inputs'!$B$29+'Inputs'!$B$31+'Inputs'!$B$32,'Inputs'!$B$30+'Inputs'!$B$31+'Inputs'!$B$32)/1000+'Inputs'!$B$21+'Inputs'!$B$9+'Inputs'!$B$10))/SQRT((((813-43)*MAX('Inputs'!$B$33,'Inputs'!$B$29+'Inputs'!$B$31+'Inputs'!$B$32,'Inputs'!$B$30+'Inputs'!$B$31+'Inputs'!$B$32)/1000+'Inputs'!$B$21+'Inputs'!$B$9+'Inputs'!$B$10))^2+('Inputs'!$B$6/2)^2))))*'Results'!$B$8))),"")</x:f>
        <x:v>0.9647345362124362</x:v>
      </x:c>
      <x:c r="P813" t="n">
        <x:f>IF(AND(MAX(J813,J812)&gt;0,J813&gt;J812+0.00000001),1,0)</x:f>
        <x:v>0</x:v>
      </x:c>
      <x:c r="Q813" t="n">
        <x:f>IF(AND(MAX(K813,K812)&gt;0,K813&gt;K812+0.00000001),1,0)</x:f>
        <x:v>0</x:v>
      </x:c>
      <x:c r="R813" t="n">
        <x:f>IF(AND(MAX(L813,L812)&gt;0,L813&gt;L812+0.00000001),1,0)</x:f>
        <x:v>0</x:v>
      </x:c>
      <x:c r="S813" t="n">
        <x:f>IF(AND(MAX(M813,M812)&gt;0,M813&gt;M812+0.00000001),1,0)</x:f>
        <x:v>0</x:v>
      </x:c>
      <x:c r="T813" t="n">
        <x:f>IF(AND(MAX(N813,N812)&gt;0,N813&gt;N812+0.00000001),1,0)</x:f>
        <x:v>0</x:v>
      </x:c>
      <x:c r="U813" t="n">
        <x:f>IF(AND(MAX(O813,O812)&gt;0,O813&gt;O812+0.00000001),1,0)</x:f>
        <x:v>0</x:v>
      </x:c>
    </x:row>
    <x:row r="814">
      <x:c r="J814" t="n">
        <x:f>IF(AND(ISNUMBER('Results'!B7),ISNUMBER('Results'!C7),ISNUMBER('Results'!$B$8),ISNUMBER('Inputs'!$B$6),ISNUMBER('Inputs'!$B$7),ISNUMBER('Inputs'!$B$8),ISNUMBER('Inputs'!$B$9),ISNUMBER('Inputs'!$B$10),ISNUMBER('Inputs'!$B$21),ISNUMBER('Inputs'!$B$24),ISNUMBER('Inputs'!$B$28)),(('Results'!B7*(0.5*((((814-43)*MAX('Inputs'!$B$33,'Inputs'!$B$29+'Inputs'!$B$31+'Inputs'!$B$32,'Inputs'!$B$30+'Inputs'!$B$31+'Inputs'!$B$32)/1000+'Inputs'!$B$21)+'Inputs'!$B$7)/SQRT((((814-43)*MAX('Inputs'!$B$33,'Inputs'!$B$29+'Inputs'!$B$31+'Inputs'!$B$32,'Inputs'!$B$30+'Inputs'!$B$31+'Inputs'!$B$32)/1000+'Inputs'!$B$21)+'Inputs'!$B$7)^2+('Inputs'!$B$6/2)^2)-(((814-43)*MAX('Inputs'!$B$33,'Inputs'!$B$29+'Inputs'!$B$31+'Inputs'!$B$32,'Inputs'!$B$30+'Inputs'!$B$31+'Inputs'!$B$32)/1000+'Inputs'!$B$21))/SQRT((((814-43)*MAX('Inputs'!$B$33,'Inputs'!$B$29+'Inputs'!$B$31+'Inputs'!$B$32,'Inputs'!$B$30+'Inputs'!$B$31+'Inputs'!$B$32)/1000+'Inputs'!$B$21))^2+('Inputs'!$B$6/2)^2)))-'Results'!C7*(0.5*((((814-43)*MAX('Inputs'!$B$33,'Inputs'!$B$29+'Inputs'!$B$31+'Inputs'!$B$32,'Inputs'!$B$30+'Inputs'!$B$31+'Inputs'!$B$32)/1000+'Inputs'!$B$21+'Inputs'!$B$7+'Inputs'!$B$10)+'Inputs'!$B$9)/SQRT((((814-43)*MAX('Inputs'!$B$33,'Inputs'!$B$29+'Inputs'!$B$31+'Inputs'!$B$32,'Inputs'!$B$30+'Inputs'!$B$31+'Inputs'!$B$32)/1000+'Inputs'!$B$21+'Inputs'!$B$7+'Inputs'!$B$10)+'Inputs'!$B$9)^2+('Inputs'!$B$8/2)^2)-(((814-43)*MAX('Inputs'!$B$33,'Inputs'!$B$29+'Inputs'!$B$31+'Inputs'!$B$32,'Inputs'!$B$30+'Inputs'!$B$31+'Inputs'!$B$32)/1000+'Inputs'!$B$21+'Inputs'!$B$7+'Inputs'!$B$10))/SQRT((((814-43)*MAX('Inputs'!$B$33,'Inputs'!$B$29+'Inputs'!$B$31+'Inputs'!$B$32,'Inputs'!$B$30+'Inputs'!$B$31+'Inputs'!$B$32)/1000+'Inputs'!$B$21+'Inputs'!$B$7+'Inputs'!$B$10))^2+('Inputs'!$B$8/2)^2))))*'Results'!$B$8),"")</x:f>
        <x:v>0.9155915317660747</x:v>
      </x:c>
      <x:c r="K814" t="n">
        <x:f>IF(AND(ISNUMBER('Results'!B7),ISNUMBER('Results'!C7),ISNUMBER('Results'!$B$8),ISNUMBER('Inputs'!$B$6),ISNUMBER('Inputs'!$B$7),ISNUMBER('Inputs'!$B$8),ISNUMBER('Inputs'!$B$9),ISNUMBER('Inputs'!$B$10),ISNUMBER('Inputs'!$B$21),ISNUMBER('Inputs'!$B$24),ISNUMBER('Inputs'!$B$28)),((('Results'!B7*(1-'Inputs'!$B$24)*(0.5*((((814-43)*MAX('Inputs'!$B$33,'Inputs'!$B$29+'Inputs'!$B$31+'Inputs'!$B$32,'Inputs'!$B$30+'Inputs'!$B$31+'Inputs'!$B$32)/1000+'Inputs'!$B$21)+'Inputs'!$B$7)/SQRT((((814-43)*MAX('Inputs'!$B$33,'Inputs'!$B$29+'Inputs'!$B$31+'Inputs'!$B$32,'Inputs'!$B$30+'Inputs'!$B$31+'Inputs'!$B$32)/1000+'Inputs'!$B$21)+'Inputs'!$B$7)^2+('Inputs'!$B$6/2)^2)-(((814-43)*MAX('Inputs'!$B$33,'Inputs'!$B$29+'Inputs'!$B$31+'Inputs'!$B$32,'Inputs'!$B$30+'Inputs'!$B$31+'Inputs'!$B$32)/1000+'Inputs'!$B$21))/SQRT((((814-43)*MAX('Inputs'!$B$33,'Inputs'!$B$29+'Inputs'!$B$31+'Inputs'!$B$32,'Inputs'!$B$30+'Inputs'!$B$31+'Inputs'!$B$32)/1000+'Inputs'!$B$21))^2+('Inputs'!$B$6/2)^2)))-'Results'!C7*(1+'Inputs'!$B$24)*(0.5*((((814-43)*MAX('Inputs'!$B$33,'Inputs'!$B$29+'Inputs'!$B$31+'Inputs'!$B$32,'Inputs'!$B$30+'Inputs'!$B$31+'Inputs'!$B$32)/1000+'Inputs'!$B$21+'Inputs'!$B$7+'Inputs'!$B$10)+'Inputs'!$B$9)/SQRT((((814-43)*MAX('Inputs'!$B$33,'Inputs'!$B$29+'Inputs'!$B$31+'Inputs'!$B$32,'Inputs'!$B$30+'Inputs'!$B$31+'Inputs'!$B$32)/1000+'Inputs'!$B$21+'Inputs'!$B$7+'Inputs'!$B$10)+'Inputs'!$B$9)^2+('Inputs'!$B$8/2)^2)-(((814-43)*MAX('Inputs'!$B$33,'Inputs'!$B$29+'Inputs'!$B$31+'Inputs'!$B$32,'Inputs'!$B$30+'Inputs'!$B$31+'Inputs'!$B$32)/1000+'Inputs'!$B$21+'Inputs'!$B$7+'Inputs'!$B$10))/SQRT((((814-43)*MAX('Inputs'!$B$33,'Inputs'!$B$29+'Inputs'!$B$31+'Inputs'!$B$32,'Inputs'!$B$30+'Inputs'!$B$31+'Inputs'!$B$32)/1000+'Inputs'!$B$21+'Inputs'!$B$7+'Inputs'!$B$10))^2+('Inputs'!$B$8/2)^2))))*'Results'!$B$8)-'Inputs'!$B$28*ABS((('Results'!B7*(1-'Inputs'!$B$24)*(0.5*((((814-43)*MAX('Inputs'!$B$33,'Inputs'!$B$29+'Inputs'!$B$31+'Inputs'!$B$32,'Inputs'!$B$30+'Inputs'!$B$31+'Inputs'!$B$32)/1000+'Inputs'!$B$21)+'Inputs'!$B$7)/SQRT((((814-43)*MAX('Inputs'!$B$33,'Inputs'!$B$29+'Inputs'!$B$31+'Inputs'!$B$32,'Inputs'!$B$30+'Inputs'!$B$31+'Inputs'!$B$32)/1000+'Inputs'!$B$21)+'Inputs'!$B$7)^2+('Inputs'!$B$6/2)^2)-(((814-43)*MAX('Inputs'!$B$33,'Inputs'!$B$29+'Inputs'!$B$31+'Inputs'!$B$32,'Inputs'!$B$30+'Inputs'!$B$31+'Inputs'!$B$32)/1000+'Inputs'!$B$21))/SQRT((((814-43)*MAX('Inputs'!$B$33,'Inputs'!$B$29+'Inputs'!$B$31+'Inputs'!$B$32,'Inputs'!$B$30+'Inputs'!$B$31+'Inputs'!$B$32)/1000+'Inputs'!$B$21))^2+('Inputs'!$B$6/2)^2)))-'Results'!C7*(1+'Inputs'!$B$24)*(0.5*((((814-43)*MAX('Inputs'!$B$33,'Inputs'!$B$29+'Inputs'!$B$31+'Inputs'!$B$32,'Inputs'!$B$30+'Inputs'!$B$31+'Inputs'!$B$32)/1000+'Inputs'!$B$21+'Inputs'!$B$7+'Inputs'!$B$10)+'Inputs'!$B$9)/SQRT((((814-43)*MAX('Inputs'!$B$33,'Inputs'!$B$29+'Inputs'!$B$31+'Inputs'!$B$32,'Inputs'!$B$30+'Inputs'!$B$31+'Inputs'!$B$32)/1000+'Inputs'!$B$21+'Inputs'!$B$7+'Inputs'!$B$10)+'Inputs'!$B$9)^2+('Inputs'!$B$8/2)^2)-(((814-43)*MAX('Inputs'!$B$33,'Inputs'!$B$29+'Inputs'!$B$31+'Inputs'!$B$32,'Inputs'!$B$30+'Inputs'!$B$31+'Inputs'!$B$32)/1000+'Inputs'!$B$21+'Inputs'!$B$7+'Inputs'!$B$10))/SQRT((((814-43)*MAX('Inputs'!$B$33,'Inputs'!$B$29+'Inputs'!$B$31+'Inputs'!$B$32,'Inputs'!$B$30+'Inputs'!$B$31+'Inputs'!$B$32)/1000+'Inputs'!$B$21+'Inputs'!$B$7+'Inputs'!$B$10))^2+('Inputs'!$B$8/2)^2))))*'Results'!$B$8))),"")</x:f>
        <x:v>0.7863758219832768</x:v>
      </x:c>
      <x:c r="L814" t="n">
        <x:f>IF(AND(ISNUMBER('Results'!B7),ISNUMBER('Results'!C7),ISNUMBER('Results'!$B$8),ISNUMBER('Inputs'!$B$6),ISNUMBER('Inputs'!$B$7),ISNUMBER('Inputs'!$B$8),ISNUMBER('Inputs'!$B$9),ISNUMBER('Inputs'!$B$10),ISNUMBER('Inputs'!$B$21),ISNUMBER('Inputs'!$B$24),ISNUMBER('Inputs'!$B$28)),((('Results'!B7*(1+'Inputs'!$B$24)*(0.5*((((814-43)*MAX('Inputs'!$B$33,'Inputs'!$B$29+'Inputs'!$B$31+'Inputs'!$B$32,'Inputs'!$B$30+'Inputs'!$B$31+'Inputs'!$B$32)/1000+'Inputs'!$B$21)+'Inputs'!$B$7)/SQRT((((814-43)*MAX('Inputs'!$B$33,'Inputs'!$B$29+'Inputs'!$B$31+'Inputs'!$B$32,'Inputs'!$B$30+'Inputs'!$B$31+'Inputs'!$B$32)/1000+'Inputs'!$B$21)+'Inputs'!$B$7)^2+('Inputs'!$B$6/2)^2)-(((814-43)*MAX('Inputs'!$B$33,'Inputs'!$B$29+'Inputs'!$B$31+'Inputs'!$B$32,'Inputs'!$B$30+'Inputs'!$B$31+'Inputs'!$B$32)/1000+'Inputs'!$B$21))/SQRT((((814-43)*MAX('Inputs'!$B$33,'Inputs'!$B$29+'Inputs'!$B$31+'Inputs'!$B$32,'Inputs'!$B$30+'Inputs'!$B$31+'Inputs'!$B$32)/1000+'Inputs'!$B$21))^2+('Inputs'!$B$6/2)^2)))-'Results'!C7*(1-'Inputs'!$B$24)*(0.5*((((814-43)*MAX('Inputs'!$B$33,'Inputs'!$B$29+'Inputs'!$B$31+'Inputs'!$B$32,'Inputs'!$B$30+'Inputs'!$B$31+'Inputs'!$B$32)/1000+'Inputs'!$B$21+'Inputs'!$B$7+'Inputs'!$B$10)+'Inputs'!$B$9)/SQRT((((814-43)*MAX('Inputs'!$B$33,'Inputs'!$B$29+'Inputs'!$B$31+'Inputs'!$B$32,'Inputs'!$B$30+'Inputs'!$B$31+'Inputs'!$B$32)/1000+'Inputs'!$B$21+'Inputs'!$B$7+'Inputs'!$B$10)+'Inputs'!$B$9)^2+('Inputs'!$B$8/2)^2)-(((814-43)*MAX('Inputs'!$B$33,'Inputs'!$B$29+'Inputs'!$B$31+'Inputs'!$B$32,'Inputs'!$B$30+'Inputs'!$B$31+'Inputs'!$B$32)/1000+'Inputs'!$B$21+'Inputs'!$B$7+'Inputs'!$B$10))/SQRT((((814-43)*MAX('Inputs'!$B$33,'Inputs'!$B$29+'Inputs'!$B$31+'Inputs'!$B$32,'Inputs'!$B$30+'Inputs'!$B$31+'Inputs'!$B$32)/1000+'Inputs'!$B$21+'Inputs'!$B$7+'Inputs'!$B$10))^2+('Inputs'!$B$8/2)^2))))*'Results'!$B$8)+'Inputs'!$B$28*ABS((('Results'!B7*(1+'Inputs'!$B$24)*(0.5*((((814-43)*MAX('Inputs'!$B$33,'Inputs'!$B$29+'Inputs'!$B$31+'Inputs'!$B$32,'Inputs'!$B$30+'Inputs'!$B$31+'Inputs'!$B$32)/1000+'Inputs'!$B$21)+'Inputs'!$B$7)/SQRT((((814-43)*MAX('Inputs'!$B$33,'Inputs'!$B$29+'Inputs'!$B$31+'Inputs'!$B$32,'Inputs'!$B$30+'Inputs'!$B$31+'Inputs'!$B$32)/1000+'Inputs'!$B$21)+'Inputs'!$B$7)^2+('Inputs'!$B$6/2)^2)-(((814-43)*MAX('Inputs'!$B$33,'Inputs'!$B$29+'Inputs'!$B$31+'Inputs'!$B$32,'Inputs'!$B$30+'Inputs'!$B$31+'Inputs'!$B$32)/1000+'Inputs'!$B$21))/SQRT((((814-43)*MAX('Inputs'!$B$33,'Inputs'!$B$29+'Inputs'!$B$31+'Inputs'!$B$32,'Inputs'!$B$30+'Inputs'!$B$31+'Inputs'!$B$32)/1000+'Inputs'!$B$21))^2+('Inputs'!$B$6/2)^2)))-'Results'!C7*(1-'Inputs'!$B$24)*(0.5*((((814-43)*MAX('Inputs'!$B$33,'Inputs'!$B$29+'Inputs'!$B$31+'Inputs'!$B$32,'Inputs'!$B$30+'Inputs'!$B$31+'Inputs'!$B$32)/1000+'Inputs'!$B$21+'Inputs'!$B$7+'Inputs'!$B$10)+'Inputs'!$B$9)/SQRT((((814-43)*MAX('Inputs'!$B$33,'Inputs'!$B$29+'Inputs'!$B$31+'Inputs'!$B$32,'Inputs'!$B$30+'Inputs'!$B$31+'Inputs'!$B$32)/1000+'Inputs'!$B$21+'Inputs'!$B$7+'Inputs'!$B$10)+'Inputs'!$B$9)^2+('Inputs'!$B$8/2)^2)-(((814-43)*MAX('Inputs'!$B$33,'Inputs'!$B$29+'Inputs'!$B$31+'Inputs'!$B$32,'Inputs'!$B$30+'Inputs'!$B$31+'Inputs'!$B$32)/1000+'Inputs'!$B$21+'Inputs'!$B$7+'Inputs'!$B$10))/SQRT((((814-43)*MAX('Inputs'!$B$33,'Inputs'!$B$29+'Inputs'!$B$31+'Inputs'!$B$32,'Inputs'!$B$30+'Inputs'!$B$31+'Inputs'!$B$32)/1000+'Inputs'!$B$21+'Inputs'!$B$7+'Inputs'!$B$10))^2+('Inputs'!$B$8/2)^2))))*'Results'!$B$8))),"")</x:f>
        <x:v>1.0535899924114511</x:v>
      </x:c>
      <x:c r="M814" t="n">
        <x:f>IF(AND(ISNUMBER('Results'!C7),ISNUMBER('Results'!B7),ISNUMBER('Results'!$B$8),ISNUMBER('Inputs'!$B$6),ISNUMBER('Inputs'!$B$7),ISNUMBER('Inputs'!$B$8),ISNUMBER('Inputs'!$B$9),ISNUMBER('Inputs'!$B$10),ISNUMBER('Inputs'!$B$21),ISNUMBER('Inputs'!$B$24),ISNUMBER('Inputs'!$B$28)),(('Results'!C7*(0.5*((((814-43)*MAX('Inputs'!$B$33,'Inputs'!$B$29+'Inputs'!$B$31+'Inputs'!$B$32,'Inputs'!$B$30+'Inputs'!$B$31+'Inputs'!$B$32)/1000+'Inputs'!$B$21)+'Inputs'!$B$9)/SQRT((((814-43)*MAX('Inputs'!$B$33,'Inputs'!$B$29+'Inputs'!$B$31+'Inputs'!$B$32,'Inputs'!$B$30+'Inputs'!$B$31+'Inputs'!$B$32)/1000+'Inputs'!$B$21)+'Inputs'!$B$9)^2+('Inputs'!$B$8/2)^2)-(((814-43)*MAX('Inputs'!$B$33,'Inputs'!$B$29+'Inputs'!$B$31+'Inputs'!$B$32,'Inputs'!$B$30+'Inputs'!$B$31+'Inputs'!$B$32)/1000+'Inputs'!$B$21))/SQRT((((814-43)*MAX('Inputs'!$B$33,'Inputs'!$B$29+'Inputs'!$B$31+'Inputs'!$B$32,'Inputs'!$B$30+'Inputs'!$B$31+'Inputs'!$B$32)/1000+'Inputs'!$B$21))^2+('Inputs'!$B$8/2)^2)))-'Results'!B7*(0.5*((((814-43)*MAX('Inputs'!$B$33,'Inputs'!$B$29+'Inputs'!$B$31+'Inputs'!$B$32,'Inputs'!$B$30+'Inputs'!$B$31+'Inputs'!$B$32)/1000+'Inputs'!$B$21+'Inputs'!$B$9+'Inputs'!$B$10)+'Inputs'!$B$7)/SQRT((((814-43)*MAX('Inputs'!$B$33,'Inputs'!$B$29+'Inputs'!$B$31+'Inputs'!$B$32,'Inputs'!$B$30+'Inputs'!$B$31+'Inputs'!$B$32)/1000+'Inputs'!$B$21+'Inputs'!$B$9+'Inputs'!$B$10)+'Inputs'!$B$7)^2+('Inputs'!$B$6/2)^2)-(((814-43)*MAX('Inputs'!$B$33,'Inputs'!$B$29+'Inputs'!$B$31+'Inputs'!$B$32,'Inputs'!$B$30+'Inputs'!$B$31+'Inputs'!$B$32)/1000+'Inputs'!$B$21+'Inputs'!$B$9+'Inputs'!$B$10))/SQRT((((814-43)*MAX('Inputs'!$B$33,'Inputs'!$B$29+'Inputs'!$B$31+'Inputs'!$B$32,'Inputs'!$B$30+'Inputs'!$B$31+'Inputs'!$B$32)/1000+'Inputs'!$B$21+'Inputs'!$B$9+'Inputs'!$B$10))^2+('Inputs'!$B$6/2)^2))))*'Results'!$B$8),"")</x:f>
        <x:v>0.8270546794873276</x:v>
      </x:c>
      <x:c r="N814" t="n">
        <x:f>IF(AND(ISNUMBER('Results'!C7),ISNUMBER('Results'!B7),ISNUMBER('Results'!$B$8),ISNUMBER('Inputs'!$B$6),ISNUMBER('Inputs'!$B$7),ISNUMBER('Inputs'!$B$8),ISNUMBER('Inputs'!$B$9),ISNUMBER('Inputs'!$B$10),ISNUMBER('Inputs'!$B$21),ISNUMBER('Inputs'!$B$24),ISNUMBER('Inputs'!$B$28)),((('Results'!C7*(1-'Inputs'!$B$24)*(0.5*((((814-43)*MAX('Inputs'!$B$33,'Inputs'!$B$29+'Inputs'!$B$31+'Inputs'!$B$32,'Inputs'!$B$30+'Inputs'!$B$31+'Inputs'!$B$32)/1000+'Inputs'!$B$21)+'Inputs'!$B$9)/SQRT((((814-43)*MAX('Inputs'!$B$33,'Inputs'!$B$29+'Inputs'!$B$31+'Inputs'!$B$32,'Inputs'!$B$30+'Inputs'!$B$31+'Inputs'!$B$32)/1000+'Inputs'!$B$21)+'Inputs'!$B$9)^2+('Inputs'!$B$8/2)^2)-(((814-43)*MAX('Inputs'!$B$33,'Inputs'!$B$29+'Inputs'!$B$31+'Inputs'!$B$32,'Inputs'!$B$30+'Inputs'!$B$31+'Inputs'!$B$32)/1000+'Inputs'!$B$21))/SQRT((((814-43)*MAX('Inputs'!$B$33,'Inputs'!$B$29+'Inputs'!$B$31+'Inputs'!$B$32,'Inputs'!$B$30+'Inputs'!$B$31+'Inputs'!$B$32)/1000+'Inputs'!$B$21))^2+('Inputs'!$B$8/2)^2)))-'Results'!B7*(1+'Inputs'!$B$24)*(0.5*((((814-43)*MAX('Inputs'!$B$33,'Inputs'!$B$29+'Inputs'!$B$31+'Inputs'!$B$32,'Inputs'!$B$30+'Inputs'!$B$31+'Inputs'!$B$32)/1000+'Inputs'!$B$21+'Inputs'!$B$9+'Inputs'!$B$10)+'Inputs'!$B$7)/SQRT((((814-43)*MAX('Inputs'!$B$33,'Inputs'!$B$29+'Inputs'!$B$31+'Inputs'!$B$32,'Inputs'!$B$30+'Inputs'!$B$31+'Inputs'!$B$32)/1000+'Inputs'!$B$21+'Inputs'!$B$9+'Inputs'!$B$10)+'Inputs'!$B$7)^2+('Inputs'!$B$6/2)^2)-(((814-43)*MAX('Inputs'!$B$33,'Inputs'!$B$29+'Inputs'!$B$31+'Inputs'!$B$32,'Inputs'!$B$30+'Inputs'!$B$31+'Inputs'!$B$32)/1000+'Inputs'!$B$21+'Inputs'!$B$9+'Inputs'!$B$10))/SQRT((((814-43)*MAX('Inputs'!$B$33,'Inputs'!$B$29+'Inputs'!$B$31+'Inputs'!$B$32,'Inputs'!$B$30+'Inputs'!$B$31+'Inputs'!$B$32)/1000+'Inputs'!$B$21+'Inputs'!$B$9+'Inputs'!$B$10))^2+('Inputs'!$B$6/2)^2))))*'Results'!$B$8)-'Inputs'!$B$28*ABS((('Results'!C7*(1-'Inputs'!$B$24)*(0.5*((((814-43)*MAX('Inputs'!$B$33,'Inputs'!$B$29+'Inputs'!$B$31+'Inputs'!$B$32,'Inputs'!$B$30+'Inputs'!$B$31+'Inputs'!$B$32)/1000+'Inputs'!$B$21)+'Inputs'!$B$9)/SQRT((((814-43)*MAX('Inputs'!$B$33,'Inputs'!$B$29+'Inputs'!$B$31+'Inputs'!$B$32,'Inputs'!$B$30+'Inputs'!$B$31+'Inputs'!$B$32)/1000+'Inputs'!$B$21)+'Inputs'!$B$9)^2+('Inputs'!$B$8/2)^2)-(((814-43)*MAX('Inputs'!$B$33,'Inputs'!$B$29+'Inputs'!$B$31+'Inputs'!$B$32,'Inputs'!$B$30+'Inputs'!$B$31+'Inputs'!$B$32)/1000+'Inputs'!$B$21))/SQRT((((814-43)*MAX('Inputs'!$B$33,'Inputs'!$B$29+'Inputs'!$B$31+'Inputs'!$B$32,'Inputs'!$B$30+'Inputs'!$B$31+'Inputs'!$B$32)/1000+'Inputs'!$B$21))^2+('Inputs'!$B$8/2)^2)))-'Results'!B7*(1+'Inputs'!$B$24)*(0.5*((((814-43)*MAX('Inputs'!$B$33,'Inputs'!$B$29+'Inputs'!$B$31+'Inputs'!$B$32,'Inputs'!$B$30+'Inputs'!$B$31+'Inputs'!$B$32)/1000+'Inputs'!$B$21+'Inputs'!$B$9+'Inputs'!$B$10)+'Inputs'!$B$7)/SQRT((((814-43)*MAX('Inputs'!$B$33,'Inputs'!$B$29+'Inputs'!$B$31+'Inputs'!$B$32,'Inputs'!$B$30+'Inputs'!$B$31+'Inputs'!$B$32)/1000+'Inputs'!$B$21+'Inputs'!$B$9+'Inputs'!$B$10)+'Inputs'!$B$7)^2+('Inputs'!$B$6/2)^2)-(((814-43)*MAX('Inputs'!$B$33,'Inputs'!$B$29+'Inputs'!$B$31+'Inputs'!$B$32,'Inputs'!$B$30+'Inputs'!$B$31+'Inputs'!$B$32)/1000+'Inputs'!$B$21+'Inputs'!$B$9+'Inputs'!$B$10))/SQRT((((814-43)*MAX('Inputs'!$B$33,'Inputs'!$B$29+'Inputs'!$B$31+'Inputs'!$B$32,'Inputs'!$B$30+'Inputs'!$B$31+'Inputs'!$B$32)/1000+'Inputs'!$B$21+'Inputs'!$B$9+'Inputs'!$B$10))^2+('Inputs'!$B$6/2)^2))))*'Results'!$B$8))),"")</x:f>
        <x:v>0.7026002595711319</x:v>
      </x:c>
      <x:c r="O814" t="n">
        <x:f>IF(AND(ISNUMBER('Results'!C7),ISNUMBER('Results'!B7),ISNUMBER('Results'!$B$8),ISNUMBER('Inputs'!$B$6),ISNUMBER('Inputs'!$B$7),ISNUMBER('Inputs'!$B$8),ISNUMBER('Inputs'!$B$9),ISNUMBER('Inputs'!$B$10),ISNUMBER('Inputs'!$B$21),ISNUMBER('Inputs'!$B$24),ISNUMBER('Inputs'!$B$28)),((('Results'!C7*(1+'Inputs'!$B$24)*(0.5*((((814-43)*MAX('Inputs'!$B$33,'Inputs'!$B$29+'Inputs'!$B$31+'Inputs'!$B$32,'Inputs'!$B$30+'Inputs'!$B$31+'Inputs'!$B$32)/1000+'Inputs'!$B$21)+'Inputs'!$B$9)/SQRT((((814-43)*MAX('Inputs'!$B$33,'Inputs'!$B$29+'Inputs'!$B$31+'Inputs'!$B$32,'Inputs'!$B$30+'Inputs'!$B$31+'Inputs'!$B$32)/1000+'Inputs'!$B$21)+'Inputs'!$B$9)^2+('Inputs'!$B$8/2)^2)-(((814-43)*MAX('Inputs'!$B$33,'Inputs'!$B$29+'Inputs'!$B$31+'Inputs'!$B$32,'Inputs'!$B$30+'Inputs'!$B$31+'Inputs'!$B$32)/1000+'Inputs'!$B$21))/SQRT((((814-43)*MAX('Inputs'!$B$33,'Inputs'!$B$29+'Inputs'!$B$31+'Inputs'!$B$32,'Inputs'!$B$30+'Inputs'!$B$31+'Inputs'!$B$32)/1000+'Inputs'!$B$21))^2+('Inputs'!$B$8/2)^2)))-'Results'!B7*(1-'Inputs'!$B$24)*(0.5*((((814-43)*MAX('Inputs'!$B$33,'Inputs'!$B$29+'Inputs'!$B$31+'Inputs'!$B$32,'Inputs'!$B$30+'Inputs'!$B$31+'Inputs'!$B$32)/1000+'Inputs'!$B$21+'Inputs'!$B$9+'Inputs'!$B$10)+'Inputs'!$B$7)/SQRT((((814-43)*MAX('Inputs'!$B$33,'Inputs'!$B$29+'Inputs'!$B$31+'Inputs'!$B$32,'Inputs'!$B$30+'Inputs'!$B$31+'Inputs'!$B$32)/1000+'Inputs'!$B$21+'Inputs'!$B$9+'Inputs'!$B$10)+'Inputs'!$B$7)^2+('Inputs'!$B$6/2)^2)-(((814-43)*MAX('Inputs'!$B$33,'Inputs'!$B$29+'Inputs'!$B$31+'Inputs'!$B$32,'Inputs'!$B$30+'Inputs'!$B$31+'Inputs'!$B$32)/1000+'Inputs'!$B$21+'Inputs'!$B$9+'Inputs'!$B$10))/SQRT((((814-43)*MAX('Inputs'!$B$33,'Inputs'!$B$29+'Inputs'!$B$31+'Inputs'!$B$32,'Inputs'!$B$30+'Inputs'!$B$31+'Inputs'!$B$32)/1000+'Inputs'!$B$21+'Inputs'!$B$9+'Inputs'!$B$10))^2+('Inputs'!$B$6/2)^2))))*'Results'!$B$8)+'Inputs'!$B$28*ABS((('Results'!C7*(1+'Inputs'!$B$24)*(0.5*((((814-43)*MAX('Inputs'!$B$33,'Inputs'!$B$29+'Inputs'!$B$31+'Inputs'!$B$32,'Inputs'!$B$30+'Inputs'!$B$31+'Inputs'!$B$32)/1000+'Inputs'!$B$21)+'Inputs'!$B$9)/SQRT((((814-43)*MAX('Inputs'!$B$33,'Inputs'!$B$29+'Inputs'!$B$31+'Inputs'!$B$32,'Inputs'!$B$30+'Inputs'!$B$31+'Inputs'!$B$32)/1000+'Inputs'!$B$21)+'Inputs'!$B$9)^2+('Inputs'!$B$8/2)^2)-(((814-43)*MAX('Inputs'!$B$33,'Inputs'!$B$29+'Inputs'!$B$31+'Inputs'!$B$32,'Inputs'!$B$30+'Inputs'!$B$31+'Inputs'!$B$32)/1000+'Inputs'!$B$21))/SQRT((((814-43)*MAX('Inputs'!$B$33,'Inputs'!$B$29+'Inputs'!$B$31+'Inputs'!$B$32,'Inputs'!$B$30+'Inputs'!$B$31+'Inputs'!$B$32)/1000+'Inputs'!$B$21))^2+('Inputs'!$B$8/2)^2)))-'Results'!B7*(1-'Inputs'!$B$24)*(0.5*((((814-43)*MAX('Inputs'!$B$33,'Inputs'!$B$29+'Inputs'!$B$31+'Inputs'!$B$32,'Inputs'!$B$30+'Inputs'!$B$31+'Inputs'!$B$32)/1000+'Inputs'!$B$21+'Inputs'!$B$9+'Inputs'!$B$10)+'Inputs'!$B$7)/SQRT((((814-43)*MAX('Inputs'!$B$33,'Inputs'!$B$29+'Inputs'!$B$31+'Inputs'!$B$32,'Inputs'!$B$30+'Inputs'!$B$31+'Inputs'!$B$32)/1000+'Inputs'!$B$21+'Inputs'!$B$9+'Inputs'!$B$10)+'Inputs'!$B$7)^2+('Inputs'!$B$6/2)^2)-(((814-43)*MAX('Inputs'!$B$33,'Inputs'!$B$29+'Inputs'!$B$31+'Inputs'!$B$32,'Inputs'!$B$30+'Inputs'!$B$31+'Inputs'!$B$32)/1000+'Inputs'!$B$21+'Inputs'!$B$9+'Inputs'!$B$10))/SQRT((((814-43)*MAX('Inputs'!$B$33,'Inputs'!$B$29+'Inputs'!$B$31+'Inputs'!$B$32,'Inputs'!$B$30+'Inputs'!$B$31+'Inputs'!$B$32)/1000+'Inputs'!$B$21+'Inputs'!$B$9+'Inputs'!$B$10))^2+('Inputs'!$B$6/2)^2))))*'Results'!$B$8))),"")</x:f>
        <x:v>0.960256645292137</x:v>
      </x:c>
      <x:c r="P814" t="n">
        <x:f>IF(AND(MAX(J814,J813)&gt;0,J814&gt;J813+0.00000001),1,0)</x:f>
        <x:v>0</x:v>
      </x:c>
      <x:c r="Q814" t="n">
        <x:f>IF(AND(MAX(K814,K813)&gt;0,K814&gt;K813+0.00000001),1,0)</x:f>
        <x:v>0</x:v>
      </x:c>
      <x:c r="R814" t="n">
        <x:f>IF(AND(MAX(L814,L813)&gt;0,L814&gt;L813+0.00000001),1,0)</x:f>
        <x:v>0</x:v>
      </x:c>
      <x:c r="S814" t="n">
        <x:f>IF(AND(MAX(M814,M813)&gt;0,M814&gt;M813+0.00000001),1,0)</x:f>
        <x:v>0</x:v>
      </x:c>
      <x:c r="T814" t="n">
        <x:f>IF(AND(MAX(N814,N813)&gt;0,N814&gt;N813+0.00000001),1,0)</x:f>
        <x:v>0</x:v>
      </x:c>
      <x:c r="U814" t="n">
        <x:f>IF(AND(MAX(O814,O813)&gt;0,O814&gt;O813+0.00000001),1,0)</x:f>
        <x:v>0</x:v>
      </x:c>
    </x:row>
    <x:row r="815">
      <x:c r="J815" t="n">
        <x:f>IF(AND(ISNUMBER('Results'!B7),ISNUMBER('Results'!C7),ISNUMBER('Results'!$B$8),ISNUMBER('Inputs'!$B$6),ISNUMBER('Inputs'!$B$7),ISNUMBER('Inputs'!$B$8),ISNUMBER('Inputs'!$B$9),ISNUMBER('Inputs'!$B$10),ISNUMBER('Inputs'!$B$21),ISNUMBER('Inputs'!$B$24),ISNUMBER('Inputs'!$B$28)),(('Results'!B7*(0.5*((((815-43)*MAX('Inputs'!$B$33,'Inputs'!$B$29+'Inputs'!$B$31+'Inputs'!$B$32,'Inputs'!$B$30+'Inputs'!$B$31+'Inputs'!$B$32)/1000+'Inputs'!$B$21)+'Inputs'!$B$7)/SQRT((((815-43)*MAX('Inputs'!$B$33,'Inputs'!$B$29+'Inputs'!$B$31+'Inputs'!$B$32,'Inputs'!$B$30+'Inputs'!$B$31+'Inputs'!$B$32)/1000+'Inputs'!$B$21)+'Inputs'!$B$7)^2+('Inputs'!$B$6/2)^2)-(((815-43)*MAX('Inputs'!$B$33,'Inputs'!$B$29+'Inputs'!$B$31+'Inputs'!$B$32,'Inputs'!$B$30+'Inputs'!$B$31+'Inputs'!$B$32)/1000+'Inputs'!$B$21))/SQRT((((815-43)*MAX('Inputs'!$B$33,'Inputs'!$B$29+'Inputs'!$B$31+'Inputs'!$B$32,'Inputs'!$B$30+'Inputs'!$B$31+'Inputs'!$B$32)/1000+'Inputs'!$B$21))^2+('Inputs'!$B$6/2)^2)))-'Results'!C7*(0.5*((((815-43)*MAX('Inputs'!$B$33,'Inputs'!$B$29+'Inputs'!$B$31+'Inputs'!$B$32,'Inputs'!$B$30+'Inputs'!$B$31+'Inputs'!$B$32)/1000+'Inputs'!$B$21+'Inputs'!$B$7+'Inputs'!$B$10)+'Inputs'!$B$9)/SQRT((((815-43)*MAX('Inputs'!$B$33,'Inputs'!$B$29+'Inputs'!$B$31+'Inputs'!$B$32,'Inputs'!$B$30+'Inputs'!$B$31+'Inputs'!$B$32)/1000+'Inputs'!$B$21+'Inputs'!$B$7+'Inputs'!$B$10)+'Inputs'!$B$9)^2+('Inputs'!$B$8/2)^2)-(((815-43)*MAX('Inputs'!$B$33,'Inputs'!$B$29+'Inputs'!$B$31+'Inputs'!$B$32,'Inputs'!$B$30+'Inputs'!$B$31+'Inputs'!$B$32)/1000+'Inputs'!$B$21+'Inputs'!$B$7+'Inputs'!$B$10))/SQRT((((815-43)*MAX('Inputs'!$B$33,'Inputs'!$B$29+'Inputs'!$B$31+'Inputs'!$B$32,'Inputs'!$B$30+'Inputs'!$B$31+'Inputs'!$B$32)/1000+'Inputs'!$B$21+'Inputs'!$B$7+'Inputs'!$B$10))^2+('Inputs'!$B$8/2)^2))))*'Results'!$B$8),"")</x:f>
        <x:v>0.9113477069169896</x:v>
      </x:c>
      <x:c r="K815" t="n">
        <x:f>IF(AND(ISNUMBER('Results'!B7),ISNUMBER('Results'!C7),ISNUMBER('Results'!$B$8),ISNUMBER('Inputs'!$B$6),ISNUMBER('Inputs'!$B$7),ISNUMBER('Inputs'!$B$8),ISNUMBER('Inputs'!$B$9),ISNUMBER('Inputs'!$B$10),ISNUMBER('Inputs'!$B$21),ISNUMBER('Inputs'!$B$24),ISNUMBER('Inputs'!$B$28)),((('Results'!B7*(1-'Inputs'!$B$24)*(0.5*((((815-43)*MAX('Inputs'!$B$33,'Inputs'!$B$29+'Inputs'!$B$31+'Inputs'!$B$32,'Inputs'!$B$30+'Inputs'!$B$31+'Inputs'!$B$32)/1000+'Inputs'!$B$21)+'Inputs'!$B$7)/SQRT((((815-43)*MAX('Inputs'!$B$33,'Inputs'!$B$29+'Inputs'!$B$31+'Inputs'!$B$32,'Inputs'!$B$30+'Inputs'!$B$31+'Inputs'!$B$32)/1000+'Inputs'!$B$21)+'Inputs'!$B$7)^2+('Inputs'!$B$6/2)^2)-(((815-43)*MAX('Inputs'!$B$33,'Inputs'!$B$29+'Inputs'!$B$31+'Inputs'!$B$32,'Inputs'!$B$30+'Inputs'!$B$31+'Inputs'!$B$32)/1000+'Inputs'!$B$21))/SQRT((((815-43)*MAX('Inputs'!$B$33,'Inputs'!$B$29+'Inputs'!$B$31+'Inputs'!$B$32,'Inputs'!$B$30+'Inputs'!$B$31+'Inputs'!$B$32)/1000+'Inputs'!$B$21))^2+('Inputs'!$B$6/2)^2)))-'Results'!C7*(1+'Inputs'!$B$24)*(0.5*((((815-43)*MAX('Inputs'!$B$33,'Inputs'!$B$29+'Inputs'!$B$31+'Inputs'!$B$32,'Inputs'!$B$30+'Inputs'!$B$31+'Inputs'!$B$32)/1000+'Inputs'!$B$21+'Inputs'!$B$7+'Inputs'!$B$10)+'Inputs'!$B$9)/SQRT((((815-43)*MAX('Inputs'!$B$33,'Inputs'!$B$29+'Inputs'!$B$31+'Inputs'!$B$32,'Inputs'!$B$30+'Inputs'!$B$31+'Inputs'!$B$32)/1000+'Inputs'!$B$21+'Inputs'!$B$7+'Inputs'!$B$10)+'Inputs'!$B$9)^2+('Inputs'!$B$8/2)^2)-(((815-43)*MAX('Inputs'!$B$33,'Inputs'!$B$29+'Inputs'!$B$31+'Inputs'!$B$32,'Inputs'!$B$30+'Inputs'!$B$31+'Inputs'!$B$32)/1000+'Inputs'!$B$21+'Inputs'!$B$7+'Inputs'!$B$10))/SQRT((((815-43)*MAX('Inputs'!$B$33,'Inputs'!$B$29+'Inputs'!$B$31+'Inputs'!$B$32,'Inputs'!$B$30+'Inputs'!$B$31+'Inputs'!$B$32)/1000+'Inputs'!$B$21+'Inputs'!$B$7+'Inputs'!$B$10))^2+('Inputs'!$B$8/2)^2))))*'Results'!$B$8)-'Inputs'!$B$28*ABS((('Results'!B7*(1-'Inputs'!$B$24)*(0.5*((((815-43)*MAX('Inputs'!$B$33,'Inputs'!$B$29+'Inputs'!$B$31+'Inputs'!$B$32,'Inputs'!$B$30+'Inputs'!$B$31+'Inputs'!$B$32)/1000+'Inputs'!$B$21)+'Inputs'!$B$7)/SQRT((((815-43)*MAX('Inputs'!$B$33,'Inputs'!$B$29+'Inputs'!$B$31+'Inputs'!$B$32,'Inputs'!$B$30+'Inputs'!$B$31+'Inputs'!$B$32)/1000+'Inputs'!$B$21)+'Inputs'!$B$7)^2+('Inputs'!$B$6/2)^2)-(((815-43)*MAX('Inputs'!$B$33,'Inputs'!$B$29+'Inputs'!$B$31+'Inputs'!$B$32,'Inputs'!$B$30+'Inputs'!$B$31+'Inputs'!$B$32)/1000+'Inputs'!$B$21))/SQRT((((815-43)*MAX('Inputs'!$B$33,'Inputs'!$B$29+'Inputs'!$B$31+'Inputs'!$B$32,'Inputs'!$B$30+'Inputs'!$B$31+'Inputs'!$B$32)/1000+'Inputs'!$B$21))^2+('Inputs'!$B$6/2)^2)))-'Results'!C7*(1+'Inputs'!$B$24)*(0.5*((((815-43)*MAX('Inputs'!$B$33,'Inputs'!$B$29+'Inputs'!$B$31+'Inputs'!$B$32,'Inputs'!$B$30+'Inputs'!$B$31+'Inputs'!$B$32)/1000+'Inputs'!$B$21+'Inputs'!$B$7+'Inputs'!$B$10)+'Inputs'!$B$9)/SQRT((((815-43)*MAX('Inputs'!$B$33,'Inputs'!$B$29+'Inputs'!$B$31+'Inputs'!$B$32,'Inputs'!$B$30+'Inputs'!$B$31+'Inputs'!$B$32)/1000+'Inputs'!$B$21+'Inputs'!$B$7+'Inputs'!$B$10)+'Inputs'!$B$9)^2+('Inputs'!$B$8/2)^2)-(((815-43)*MAX('Inputs'!$B$33,'Inputs'!$B$29+'Inputs'!$B$31+'Inputs'!$B$32,'Inputs'!$B$30+'Inputs'!$B$31+'Inputs'!$B$32)/1000+'Inputs'!$B$21+'Inputs'!$B$7+'Inputs'!$B$10))/SQRT((((815-43)*MAX('Inputs'!$B$33,'Inputs'!$B$29+'Inputs'!$B$31+'Inputs'!$B$32,'Inputs'!$B$30+'Inputs'!$B$31+'Inputs'!$B$32)/1000+'Inputs'!$B$21+'Inputs'!$B$7+'Inputs'!$B$10))^2+('Inputs'!$B$8/2)^2))))*'Results'!$B$8))),"")</x:f>
        <x:v>0.7826416017657905</x:v>
      </x:c>
      <x:c r="L815" t="n">
        <x:f>IF(AND(ISNUMBER('Results'!B7),ISNUMBER('Results'!C7),ISNUMBER('Results'!$B$8),ISNUMBER('Inputs'!$B$6),ISNUMBER('Inputs'!$B$7),ISNUMBER('Inputs'!$B$8),ISNUMBER('Inputs'!$B$9),ISNUMBER('Inputs'!$B$10),ISNUMBER('Inputs'!$B$21),ISNUMBER('Inputs'!$B$24),ISNUMBER('Inputs'!$B$28)),((('Results'!B7*(1+'Inputs'!$B$24)*(0.5*((((815-43)*MAX('Inputs'!$B$33,'Inputs'!$B$29+'Inputs'!$B$31+'Inputs'!$B$32,'Inputs'!$B$30+'Inputs'!$B$31+'Inputs'!$B$32)/1000+'Inputs'!$B$21)+'Inputs'!$B$7)/SQRT((((815-43)*MAX('Inputs'!$B$33,'Inputs'!$B$29+'Inputs'!$B$31+'Inputs'!$B$32,'Inputs'!$B$30+'Inputs'!$B$31+'Inputs'!$B$32)/1000+'Inputs'!$B$21)+'Inputs'!$B$7)^2+('Inputs'!$B$6/2)^2)-(((815-43)*MAX('Inputs'!$B$33,'Inputs'!$B$29+'Inputs'!$B$31+'Inputs'!$B$32,'Inputs'!$B$30+'Inputs'!$B$31+'Inputs'!$B$32)/1000+'Inputs'!$B$21))/SQRT((((815-43)*MAX('Inputs'!$B$33,'Inputs'!$B$29+'Inputs'!$B$31+'Inputs'!$B$32,'Inputs'!$B$30+'Inputs'!$B$31+'Inputs'!$B$32)/1000+'Inputs'!$B$21))^2+('Inputs'!$B$6/2)^2)))-'Results'!C7*(1-'Inputs'!$B$24)*(0.5*((((815-43)*MAX('Inputs'!$B$33,'Inputs'!$B$29+'Inputs'!$B$31+'Inputs'!$B$32,'Inputs'!$B$30+'Inputs'!$B$31+'Inputs'!$B$32)/1000+'Inputs'!$B$21+'Inputs'!$B$7+'Inputs'!$B$10)+'Inputs'!$B$9)/SQRT((((815-43)*MAX('Inputs'!$B$33,'Inputs'!$B$29+'Inputs'!$B$31+'Inputs'!$B$32,'Inputs'!$B$30+'Inputs'!$B$31+'Inputs'!$B$32)/1000+'Inputs'!$B$21+'Inputs'!$B$7+'Inputs'!$B$10)+'Inputs'!$B$9)^2+('Inputs'!$B$8/2)^2)-(((815-43)*MAX('Inputs'!$B$33,'Inputs'!$B$29+'Inputs'!$B$31+'Inputs'!$B$32,'Inputs'!$B$30+'Inputs'!$B$31+'Inputs'!$B$32)/1000+'Inputs'!$B$21+'Inputs'!$B$7+'Inputs'!$B$10))/SQRT((((815-43)*MAX('Inputs'!$B$33,'Inputs'!$B$29+'Inputs'!$B$31+'Inputs'!$B$32,'Inputs'!$B$30+'Inputs'!$B$31+'Inputs'!$B$32)/1000+'Inputs'!$B$21+'Inputs'!$B$7+'Inputs'!$B$10))^2+('Inputs'!$B$8/2)^2))))*'Results'!$B$8)+'Inputs'!$B$28*ABS((('Results'!B7*(1+'Inputs'!$B$24)*(0.5*((((815-43)*MAX('Inputs'!$B$33,'Inputs'!$B$29+'Inputs'!$B$31+'Inputs'!$B$32,'Inputs'!$B$30+'Inputs'!$B$31+'Inputs'!$B$32)/1000+'Inputs'!$B$21)+'Inputs'!$B$7)/SQRT((((815-43)*MAX('Inputs'!$B$33,'Inputs'!$B$29+'Inputs'!$B$31+'Inputs'!$B$32,'Inputs'!$B$30+'Inputs'!$B$31+'Inputs'!$B$32)/1000+'Inputs'!$B$21)+'Inputs'!$B$7)^2+('Inputs'!$B$6/2)^2)-(((815-43)*MAX('Inputs'!$B$33,'Inputs'!$B$29+'Inputs'!$B$31+'Inputs'!$B$32,'Inputs'!$B$30+'Inputs'!$B$31+'Inputs'!$B$32)/1000+'Inputs'!$B$21))/SQRT((((815-43)*MAX('Inputs'!$B$33,'Inputs'!$B$29+'Inputs'!$B$31+'Inputs'!$B$32,'Inputs'!$B$30+'Inputs'!$B$31+'Inputs'!$B$32)/1000+'Inputs'!$B$21))^2+('Inputs'!$B$6/2)^2)))-'Results'!C7*(1-'Inputs'!$B$24)*(0.5*((((815-43)*MAX('Inputs'!$B$33,'Inputs'!$B$29+'Inputs'!$B$31+'Inputs'!$B$32,'Inputs'!$B$30+'Inputs'!$B$31+'Inputs'!$B$32)/1000+'Inputs'!$B$21+'Inputs'!$B$7+'Inputs'!$B$10)+'Inputs'!$B$9)/SQRT((((815-43)*MAX('Inputs'!$B$33,'Inputs'!$B$29+'Inputs'!$B$31+'Inputs'!$B$32,'Inputs'!$B$30+'Inputs'!$B$31+'Inputs'!$B$32)/1000+'Inputs'!$B$21+'Inputs'!$B$7+'Inputs'!$B$10)+'Inputs'!$B$9)^2+('Inputs'!$B$8/2)^2)-(((815-43)*MAX('Inputs'!$B$33,'Inputs'!$B$29+'Inputs'!$B$31+'Inputs'!$B$32,'Inputs'!$B$30+'Inputs'!$B$31+'Inputs'!$B$32)/1000+'Inputs'!$B$21+'Inputs'!$B$7+'Inputs'!$B$10))/SQRT((((815-43)*MAX('Inputs'!$B$33,'Inputs'!$B$29+'Inputs'!$B$31+'Inputs'!$B$32,'Inputs'!$B$30+'Inputs'!$B$31+'Inputs'!$B$32)/1000+'Inputs'!$B$21+'Inputs'!$B$7+'Inputs'!$B$10))^2+('Inputs'!$B$8/2)^2))))*'Results'!$B$8))),"")</x:f>
        <x:v>1.0488052562582253</x:v>
      </x:c>
      <x:c r="M815" t="n">
        <x:f>IF(AND(ISNUMBER('Results'!C7),ISNUMBER('Results'!B7),ISNUMBER('Results'!$B$8),ISNUMBER('Inputs'!$B$6),ISNUMBER('Inputs'!$B$7),ISNUMBER('Inputs'!$B$8),ISNUMBER('Inputs'!$B$9),ISNUMBER('Inputs'!$B$10),ISNUMBER('Inputs'!$B$21),ISNUMBER('Inputs'!$B$24),ISNUMBER('Inputs'!$B$28)),(('Results'!C7*(0.5*((((815-43)*MAX('Inputs'!$B$33,'Inputs'!$B$29+'Inputs'!$B$31+'Inputs'!$B$32,'Inputs'!$B$30+'Inputs'!$B$31+'Inputs'!$B$32)/1000+'Inputs'!$B$21)+'Inputs'!$B$9)/SQRT((((815-43)*MAX('Inputs'!$B$33,'Inputs'!$B$29+'Inputs'!$B$31+'Inputs'!$B$32,'Inputs'!$B$30+'Inputs'!$B$31+'Inputs'!$B$32)/1000+'Inputs'!$B$21)+'Inputs'!$B$9)^2+('Inputs'!$B$8/2)^2)-(((815-43)*MAX('Inputs'!$B$33,'Inputs'!$B$29+'Inputs'!$B$31+'Inputs'!$B$32,'Inputs'!$B$30+'Inputs'!$B$31+'Inputs'!$B$32)/1000+'Inputs'!$B$21))/SQRT((((815-43)*MAX('Inputs'!$B$33,'Inputs'!$B$29+'Inputs'!$B$31+'Inputs'!$B$32,'Inputs'!$B$30+'Inputs'!$B$31+'Inputs'!$B$32)/1000+'Inputs'!$B$21))^2+('Inputs'!$B$8/2)^2)))-'Results'!B7*(0.5*((((815-43)*MAX('Inputs'!$B$33,'Inputs'!$B$29+'Inputs'!$B$31+'Inputs'!$B$32,'Inputs'!$B$30+'Inputs'!$B$31+'Inputs'!$B$32)/1000+'Inputs'!$B$21+'Inputs'!$B$9+'Inputs'!$B$10)+'Inputs'!$B$7)/SQRT((((815-43)*MAX('Inputs'!$B$33,'Inputs'!$B$29+'Inputs'!$B$31+'Inputs'!$B$32,'Inputs'!$B$30+'Inputs'!$B$31+'Inputs'!$B$32)/1000+'Inputs'!$B$21+'Inputs'!$B$9+'Inputs'!$B$10)+'Inputs'!$B$7)^2+('Inputs'!$B$6/2)^2)-(((815-43)*MAX('Inputs'!$B$33,'Inputs'!$B$29+'Inputs'!$B$31+'Inputs'!$B$32,'Inputs'!$B$30+'Inputs'!$B$31+'Inputs'!$B$32)/1000+'Inputs'!$B$21+'Inputs'!$B$9+'Inputs'!$B$10))/SQRT((((815-43)*MAX('Inputs'!$B$33,'Inputs'!$B$29+'Inputs'!$B$31+'Inputs'!$B$32,'Inputs'!$B$30+'Inputs'!$B$31+'Inputs'!$B$32)/1000+'Inputs'!$B$21+'Inputs'!$B$9+'Inputs'!$B$10))^2+('Inputs'!$B$6/2)^2))))*'Results'!$B$8),"")</x:f>
        <x:v>0.8231262498353766</x:v>
      </x:c>
      <x:c r="N815" t="n">
        <x:f>IF(AND(ISNUMBER('Results'!C7),ISNUMBER('Results'!B7),ISNUMBER('Results'!$B$8),ISNUMBER('Inputs'!$B$6),ISNUMBER('Inputs'!$B$7),ISNUMBER('Inputs'!$B$8),ISNUMBER('Inputs'!$B$9),ISNUMBER('Inputs'!$B$10),ISNUMBER('Inputs'!$B$21),ISNUMBER('Inputs'!$B$24),ISNUMBER('Inputs'!$B$28)),((('Results'!C7*(1-'Inputs'!$B$24)*(0.5*((((815-43)*MAX('Inputs'!$B$33,'Inputs'!$B$29+'Inputs'!$B$31+'Inputs'!$B$32,'Inputs'!$B$30+'Inputs'!$B$31+'Inputs'!$B$32)/1000+'Inputs'!$B$21)+'Inputs'!$B$9)/SQRT((((815-43)*MAX('Inputs'!$B$33,'Inputs'!$B$29+'Inputs'!$B$31+'Inputs'!$B$32,'Inputs'!$B$30+'Inputs'!$B$31+'Inputs'!$B$32)/1000+'Inputs'!$B$21)+'Inputs'!$B$9)^2+('Inputs'!$B$8/2)^2)-(((815-43)*MAX('Inputs'!$B$33,'Inputs'!$B$29+'Inputs'!$B$31+'Inputs'!$B$32,'Inputs'!$B$30+'Inputs'!$B$31+'Inputs'!$B$32)/1000+'Inputs'!$B$21))/SQRT((((815-43)*MAX('Inputs'!$B$33,'Inputs'!$B$29+'Inputs'!$B$31+'Inputs'!$B$32,'Inputs'!$B$30+'Inputs'!$B$31+'Inputs'!$B$32)/1000+'Inputs'!$B$21))^2+('Inputs'!$B$8/2)^2)))-'Results'!B7*(1+'Inputs'!$B$24)*(0.5*((((815-43)*MAX('Inputs'!$B$33,'Inputs'!$B$29+'Inputs'!$B$31+'Inputs'!$B$32,'Inputs'!$B$30+'Inputs'!$B$31+'Inputs'!$B$32)/1000+'Inputs'!$B$21+'Inputs'!$B$9+'Inputs'!$B$10)+'Inputs'!$B$7)/SQRT((((815-43)*MAX('Inputs'!$B$33,'Inputs'!$B$29+'Inputs'!$B$31+'Inputs'!$B$32,'Inputs'!$B$30+'Inputs'!$B$31+'Inputs'!$B$32)/1000+'Inputs'!$B$21+'Inputs'!$B$9+'Inputs'!$B$10)+'Inputs'!$B$7)^2+('Inputs'!$B$6/2)^2)-(((815-43)*MAX('Inputs'!$B$33,'Inputs'!$B$29+'Inputs'!$B$31+'Inputs'!$B$32,'Inputs'!$B$30+'Inputs'!$B$31+'Inputs'!$B$32)/1000+'Inputs'!$B$21+'Inputs'!$B$9+'Inputs'!$B$10))/SQRT((((815-43)*MAX('Inputs'!$B$33,'Inputs'!$B$29+'Inputs'!$B$31+'Inputs'!$B$32,'Inputs'!$B$30+'Inputs'!$B$31+'Inputs'!$B$32)/1000+'Inputs'!$B$21+'Inputs'!$B$9+'Inputs'!$B$10))^2+('Inputs'!$B$6/2)^2))))*'Results'!$B$8)-'Inputs'!$B$28*ABS((('Results'!C7*(1-'Inputs'!$B$24)*(0.5*((((815-43)*MAX('Inputs'!$B$33,'Inputs'!$B$29+'Inputs'!$B$31+'Inputs'!$B$32,'Inputs'!$B$30+'Inputs'!$B$31+'Inputs'!$B$32)/1000+'Inputs'!$B$21)+'Inputs'!$B$9)/SQRT((((815-43)*MAX('Inputs'!$B$33,'Inputs'!$B$29+'Inputs'!$B$31+'Inputs'!$B$32,'Inputs'!$B$30+'Inputs'!$B$31+'Inputs'!$B$32)/1000+'Inputs'!$B$21)+'Inputs'!$B$9)^2+('Inputs'!$B$8/2)^2)-(((815-43)*MAX('Inputs'!$B$33,'Inputs'!$B$29+'Inputs'!$B$31+'Inputs'!$B$32,'Inputs'!$B$30+'Inputs'!$B$31+'Inputs'!$B$32)/1000+'Inputs'!$B$21))/SQRT((((815-43)*MAX('Inputs'!$B$33,'Inputs'!$B$29+'Inputs'!$B$31+'Inputs'!$B$32,'Inputs'!$B$30+'Inputs'!$B$31+'Inputs'!$B$32)/1000+'Inputs'!$B$21))^2+('Inputs'!$B$8/2)^2)))-'Results'!B7*(1+'Inputs'!$B$24)*(0.5*((((815-43)*MAX('Inputs'!$B$33,'Inputs'!$B$29+'Inputs'!$B$31+'Inputs'!$B$32,'Inputs'!$B$30+'Inputs'!$B$31+'Inputs'!$B$32)/1000+'Inputs'!$B$21+'Inputs'!$B$9+'Inputs'!$B$10)+'Inputs'!$B$7)/SQRT((((815-43)*MAX('Inputs'!$B$33,'Inputs'!$B$29+'Inputs'!$B$31+'Inputs'!$B$32,'Inputs'!$B$30+'Inputs'!$B$31+'Inputs'!$B$32)/1000+'Inputs'!$B$21+'Inputs'!$B$9+'Inputs'!$B$10)+'Inputs'!$B$7)^2+('Inputs'!$B$6/2)^2)-(((815-43)*MAX('Inputs'!$B$33,'Inputs'!$B$29+'Inputs'!$B$31+'Inputs'!$B$32,'Inputs'!$B$30+'Inputs'!$B$31+'Inputs'!$B$32)/1000+'Inputs'!$B$21+'Inputs'!$B$9+'Inputs'!$B$10))/SQRT((((815-43)*MAX('Inputs'!$B$33,'Inputs'!$B$29+'Inputs'!$B$31+'Inputs'!$B$32,'Inputs'!$B$30+'Inputs'!$B$31+'Inputs'!$B$32)/1000+'Inputs'!$B$21+'Inputs'!$B$9+'Inputs'!$B$10))^2+('Inputs'!$B$6/2)^2))))*'Results'!$B$8))),"")</x:f>
        <x:v>0.6991640963784432</x:v>
      </x:c>
      <x:c r="O815" t="n">
        <x:f>IF(AND(ISNUMBER('Results'!C7),ISNUMBER('Results'!B7),ISNUMBER('Results'!$B$8),ISNUMBER('Inputs'!$B$6),ISNUMBER('Inputs'!$B$7),ISNUMBER('Inputs'!$B$8),ISNUMBER('Inputs'!$B$9),ISNUMBER('Inputs'!$B$10),ISNUMBER('Inputs'!$B$21),ISNUMBER('Inputs'!$B$24),ISNUMBER('Inputs'!$B$28)),((('Results'!C7*(1+'Inputs'!$B$24)*(0.5*((((815-43)*MAX('Inputs'!$B$33,'Inputs'!$B$29+'Inputs'!$B$31+'Inputs'!$B$32,'Inputs'!$B$30+'Inputs'!$B$31+'Inputs'!$B$32)/1000+'Inputs'!$B$21)+'Inputs'!$B$9)/SQRT((((815-43)*MAX('Inputs'!$B$33,'Inputs'!$B$29+'Inputs'!$B$31+'Inputs'!$B$32,'Inputs'!$B$30+'Inputs'!$B$31+'Inputs'!$B$32)/1000+'Inputs'!$B$21)+'Inputs'!$B$9)^2+('Inputs'!$B$8/2)^2)-(((815-43)*MAX('Inputs'!$B$33,'Inputs'!$B$29+'Inputs'!$B$31+'Inputs'!$B$32,'Inputs'!$B$30+'Inputs'!$B$31+'Inputs'!$B$32)/1000+'Inputs'!$B$21))/SQRT((((815-43)*MAX('Inputs'!$B$33,'Inputs'!$B$29+'Inputs'!$B$31+'Inputs'!$B$32,'Inputs'!$B$30+'Inputs'!$B$31+'Inputs'!$B$32)/1000+'Inputs'!$B$21))^2+('Inputs'!$B$8/2)^2)))-'Results'!B7*(1-'Inputs'!$B$24)*(0.5*((((815-43)*MAX('Inputs'!$B$33,'Inputs'!$B$29+'Inputs'!$B$31+'Inputs'!$B$32,'Inputs'!$B$30+'Inputs'!$B$31+'Inputs'!$B$32)/1000+'Inputs'!$B$21+'Inputs'!$B$9+'Inputs'!$B$10)+'Inputs'!$B$7)/SQRT((((815-43)*MAX('Inputs'!$B$33,'Inputs'!$B$29+'Inputs'!$B$31+'Inputs'!$B$32,'Inputs'!$B$30+'Inputs'!$B$31+'Inputs'!$B$32)/1000+'Inputs'!$B$21+'Inputs'!$B$9+'Inputs'!$B$10)+'Inputs'!$B$7)^2+('Inputs'!$B$6/2)^2)-(((815-43)*MAX('Inputs'!$B$33,'Inputs'!$B$29+'Inputs'!$B$31+'Inputs'!$B$32,'Inputs'!$B$30+'Inputs'!$B$31+'Inputs'!$B$32)/1000+'Inputs'!$B$21+'Inputs'!$B$9+'Inputs'!$B$10))/SQRT((((815-43)*MAX('Inputs'!$B$33,'Inputs'!$B$29+'Inputs'!$B$31+'Inputs'!$B$32,'Inputs'!$B$30+'Inputs'!$B$31+'Inputs'!$B$32)/1000+'Inputs'!$B$21+'Inputs'!$B$9+'Inputs'!$B$10))^2+('Inputs'!$B$6/2)^2))))*'Results'!$B$8)+'Inputs'!$B$28*ABS((('Results'!C7*(1+'Inputs'!$B$24)*(0.5*((((815-43)*MAX('Inputs'!$B$33,'Inputs'!$B$29+'Inputs'!$B$31+'Inputs'!$B$32,'Inputs'!$B$30+'Inputs'!$B$31+'Inputs'!$B$32)/1000+'Inputs'!$B$21)+'Inputs'!$B$9)/SQRT((((815-43)*MAX('Inputs'!$B$33,'Inputs'!$B$29+'Inputs'!$B$31+'Inputs'!$B$32,'Inputs'!$B$30+'Inputs'!$B$31+'Inputs'!$B$32)/1000+'Inputs'!$B$21)+'Inputs'!$B$9)^2+('Inputs'!$B$8/2)^2)-(((815-43)*MAX('Inputs'!$B$33,'Inputs'!$B$29+'Inputs'!$B$31+'Inputs'!$B$32,'Inputs'!$B$30+'Inputs'!$B$31+'Inputs'!$B$32)/1000+'Inputs'!$B$21))/SQRT((((815-43)*MAX('Inputs'!$B$33,'Inputs'!$B$29+'Inputs'!$B$31+'Inputs'!$B$32,'Inputs'!$B$30+'Inputs'!$B$31+'Inputs'!$B$32)/1000+'Inputs'!$B$21))^2+('Inputs'!$B$8/2)^2)))-'Results'!B7*(1-'Inputs'!$B$24)*(0.5*((((815-43)*MAX('Inputs'!$B$33,'Inputs'!$B$29+'Inputs'!$B$31+'Inputs'!$B$32,'Inputs'!$B$30+'Inputs'!$B$31+'Inputs'!$B$32)/1000+'Inputs'!$B$21+'Inputs'!$B$9+'Inputs'!$B$10)+'Inputs'!$B$7)/SQRT((((815-43)*MAX('Inputs'!$B$33,'Inputs'!$B$29+'Inputs'!$B$31+'Inputs'!$B$32,'Inputs'!$B$30+'Inputs'!$B$31+'Inputs'!$B$32)/1000+'Inputs'!$B$21+'Inputs'!$B$9+'Inputs'!$B$10)+'Inputs'!$B$7)^2+('Inputs'!$B$6/2)^2)-(((815-43)*MAX('Inputs'!$B$33,'Inputs'!$B$29+'Inputs'!$B$31+'Inputs'!$B$32,'Inputs'!$B$30+'Inputs'!$B$31+'Inputs'!$B$32)/1000+'Inputs'!$B$21+'Inputs'!$B$9+'Inputs'!$B$10))/SQRT((((815-43)*MAX('Inputs'!$B$33,'Inputs'!$B$29+'Inputs'!$B$31+'Inputs'!$B$32,'Inputs'!$B$30+'Inputs'!$B$31+'Inputs'!$B$32)/1000+'Inputs'!$B$21+'Inputs'!$B$9+'Inputs'!$B$10))^2+('Inputs'!$B$6/2)^2))))*'Results'!$B$8))),"")</x:f>
        <x:v>0.9558048076044332</x:v>
      </x:c>
      <x:c r="P815" t="n">
        <x:f>IF(AND(MAX(J815,J814)&gt;0,J815&gt;J814+0.00000001),1,0)</x:f>
        <x:v>0</x:v>
      </x:c>
      <x:c r="Q815" t="n">
        <x:f>IF(AND(MAX(K815,K814)&gt;0,K815&gt;K814+0.00000001),1,0)</x:f>
        <x:v>0</x:v>
      </x:c>
      <x:c r="R815" t="n">
        <x:f>IF(AND(MAX(L815,L814)&gt;0,L815&gt;L814+0.00000001),1,0)</x:f>
        <x:v>0</x:v>
      </x:c>
      <x:c r="S815" t="n">
        <x:f>IF(AND(MAX(M815,M814)&gt;0,M815&gt;M814+0.00000001),1,0)</x:f>
        <x:v>0</x:v>
      </x:c>
      <x:c r="T815" t="n">
        <x:f>IF(AND(MAX(N815,N814)&gt;0,N815&gt;N814+0.00000001),1,0)</x:f>
        <x:v>0</x:v>
      </x:c>
      <x:c r="U815" t="n">
        <x:f>IF(AND(MAX(O815,O814)&gt;0,O815&gt;O814+0.00000001),1,0)</x:f>
        <x:v>0</x:v>
      </x:c>
    </x:row>
    <x:row r="816">
      <x:c r="J816" t="n">
        <x:f>IF(AND(ISNUMBER('Results'!B7),ISNUMBER('Results'!C7),ISNUMBER('Results'!$B$8),ISNUMBER('Inputs'!$B$6),ISNUMBER('Inputs'!$B$7),ISNUMBER('Inputs'!$B$8),ISNUMBER('Inputs'!$B$9),ISNUMBER('Inputs'!$B$10),ISNUMBER('Inputs'!$B$21),ISNUMBER('Inputs'!$B$24),ISNUMBER('Inputs'!$B$28)),(('Results'!B7*(0.5*((((816-43)*MAX('Inputs'!$B$33,'Inputs'!$B$29+'Inputs'!$B$31+'Inputs'!$B$32,'Inputs'!$B$30+'Inputs'!$B$31+'Inputs'!$B$32)/1000+'Inputs'!$B$21)+'Inputs'!$B$7)/SQRT((((816-43)*MAX('Inputs'!$B$33,'Inputs'!$B$29+'Inputs'!$B$31+'Inputs'!$B$32,'Inputs'!$B$30+'Inputs'!$B$31+'Inputs'!$B$32)/1000+'Inputs'!$B$21)+'Inputs'!$B$7)^2+('Inputs'!$B$6/2)^2)-(((816-43)*MAX('Inputs'!$B$33,'Inputs'!$B$29+'Inputs'!$B$31+'Inputs'!$B$32,'Inputs'!$B$30+'Inputs'!$B$31+'Inputs'!$B$32)/1000+'Inputs'!$B$21))/SQRT((((816-43)*MAX('Inputs'!$B$33,'Inputs'!$B$29+'Inputs'!$B$31+'Inputs'!$B$32,'Inputs'!$B$30+'Inputs'!$B$31+'Inputs'!$B$32)/1000+'Inputs'!$B$21))^2+('Inputs'!$B$6/2)^2)))-'Results'!C7*(0.5*((((816-43)*MAX('Inputs'!$B$33,'Inputs'!$B$29+'Inputs'!$B$31+'Inputs'!$B$32,'Inputs'!$B$30+'Inputs'!$B$31+'Inputs'!$B$32)/1000+'Inputs'!$B$21+'Inputs'!$B$7+'Inputs'!$B$10)+'Inputs'!$B$9)/SQRT((((816-43)*MAX('Inputs'!$B$33,'Inputs'!$B$29+'Inputs'!$B$31+'Inputs'!$B$32,'Inputs'!$B$30+'Inputs'!$B$31+'Inputs'!$B$32)/1000+'Inputs'!$B$21+'Inputs'!$B$7+'Inputs'!$B$10)+'Inputs'!$B$9)^2+('Inputs'!$B$8/2)^2)-(((816-43)*MAX('Inputs'!$B$33,'Inputs'!$B$29+'Inputs'!$B$31+'Inputs'!$B$32,'Inputs'!$B$30+'Inputs'!$B$31+'Inputs'!$B$32)/1000+'Inputs'!$B$21+'Inputs'!$B$7+'Inputs'!$B$10))/SQRT((((816-43)*MAX('Inputs'!$B$33,'Inputs'!$B$29+'Inputs'!$B$31+'Inputs'!$B$32,'Inputs'!$B$30+'Inputs'!$B$31+'Inputs'!$B$32)/1000+'Inputs'!$B$21+'Inputs'!$B$7+'Inputs'!$B$10))^2+('Inputs'!$B$8/2)^2))))*'Results'!$B$8),"")</x:f>
        <x:v>0.9071285411777895</x:v>
      </x:c>
      <x:c r="K816" t="n">
        <x:f>IF(AND(ISNUMBER('Results'!B7),ISNUMBER('Results'!C7),ISNUMBER('Results'!$B$8),ISNUMBER('Inputs'!$B$6),ISNUMBER('Inputs'!$B$7),ISNUMBER('Inputs'!$B$8),ISNUMBER('Inputs'!$B$9),ISNUMBER('Inputs'!$B$10),ISNUMBER('Inputs'!$B$21),ISNUMBER('Inputs'!$B$24),ISNUMBER('Inputs'!$B$28)),((('Results'!B7*(1-'Inputs'!$B$24)*(0.5*((((816-43)*MAX('Inputs'!$B$33,'Inputs'!$B$29+'Inputs'!$B$31+'Inputs'!$B$32,'Inputs'!$B$30+'Inputs'!$B$31+'Inputs'!$B$32)/1000+'Inputs'!$B$21)+'Inputs'!$B$7)/SQRT((((816-43)*MAX('Inputs'!$B$33,'Inputs'!$B$29+'Inputs'!$B$31+'Inputs'!$B$32,'Inputs'!$B$30+'Inputs'!$B$31+'Inputs'!$B$32)/1000+'Inputs'!$B$21)+'Inputs'!$B$7)^2+('Inputs'!$B$6/2)^2)-(((816-43)*MAX('Inputs'!$B$33,'Inputs'!$B$29+'Inputs'!$B$31+'Inputs'!$B$32,'Inputs'!$B$30+'Inputs'!$B$31+'Inputs'!$B$32)/1000+'Inputs'!$B$21))/SQRT((((816-43)*MAX('Inputs'!$B$33,'Inputs'!$B$29+'Inputs'!$B$31+'Inputs'!$B$32,'Inputs'!$B$30+'Inputs'!$B$31+'Inputs'!$B$32)/1000+'Inputs'!$B$21))^2+('Inputs'!$B$6/2)^2)))-'Results'!C7*(1+'Inputs'!$B$24)*(0.5*((((816-43)*MAX('Inputs'!$B$33,'Inputs'!$B$29+'Inputs'!$B$31+'Inputs'!$B$32,'Inputs'!$B$30+'Inputs'!$B$31+'Inputs'!$B$32)/1000+'Inputs'!$B$21+'Inputs'!$B$7+'Inputs'!$B$10)+'Inputs'!$B$9)/SQRT((((816-43)*MAX('Inputs'!$B$33,'Inputs'!$B$29+'Inputs'!$B$31+'Inputs'!$B$32,'Inputs'!$B$30+'Inputs'!$B$31+'Inputs'!$B$32)/1000+'Inputs'!$B$21+'Inputs'!$B$7+'Inputs'!$B$10)+'Inputs'!$B$9)^2+('Inputs'!$B$8/2)^2)-(((816-43)*MAX('Inputs'!$B$33,'Inputs'!$B$29+'Inputs'!$B$31+'Inputs'!$B$32,'Inputs'!$B$30+'Inputs'!$B$31+'Inputs'!$B$32)/1000+'Inputs'!$B$21+'Inputs'!$B$7+'Inputs'!$B$10))/SQRT((((816-43)*MAX('Inputs'!$B$33,'Inputs'!$B$29+'Inputs'!$B$31+'Inputs'!$B$32,'Inputs'!$B$30+'Inputs'!$B$31+'Inputs'!$B$32)/1000+'Inputs'!$B$21+'Inputs'!$B$7+'Inputs'!$B$10))^2+('Inputs'!$B$8/2)^2))))*'Results'!$B$8)-'Inputs'!$B$28*ABS((('Results'!B7*(1-'Inputs'!$B$24)*(0.5*((((816-43)*MAX('Inputs'!$B$33,'Inputs'!$B$29+'Inputs'!$B$31+'Inputs'!$B$32,'Inputs'!$B$30+'Inputs'!$B$31+'Inputs'!$B$32)/1000+'Inputs'!$B$21)+'Inputs'!$B$7)/SQRT((((816-43)*MAX('Inputs'!$B$33,'Inputs'!$B$29+'Inputs'!$B$31+'Inputs'!$B$32,'Inputs'!$B$30+'Inputs'!$B$31+'Inputs'!$B$32)/1000+'Inputs'!$B$21)+'Inputs'!$B$7)^2+('Inputs'!$B$6/2)^2)-(((816-43)*MAX('Inputs'!$B$33,'Inputs'!$B$29+'Inputs'!$B$31+'Inputs'!$B$32,'Inputs'!$B$30+'Inputs'!$B$31+'Inputs'!$B$32)/1000+'Inputs'!$B$21))/SQRT((((816-43)*MAX('Inputs'!$B$33,'Inputs'!$B$29+'Inputs'!$B$31+'Inputs'!$B$32,'Inputs'!$B$30+'Inputs'!$B$31+'Inputs'!$B$32)/1000+'Inputs'!$B$21))^2+('Inputs'!$B$6/2)^2)))-'Results'!C7*(1+'Inputs'!$B$24)*(0.5*((((816-43)*MAX('Inputs'!$B$33,'Inputs'!$B$29+'Inputs'!$B$31+'Inputs'!$B$32,'Inputs'!$B$30+'Inputs'!$B$31+'Inputs'!$B$32)/1000+'Inputs'!$B$21+'Inputs'!$B$7+'Inputs'!$B$10)+'Inputs'!$B$9)/SQRT((((816-43)*MAX('Inputs'!$B$33,'Inputs'!$B$29+'Inputs'!$B$31+'Inputs'!$B$32,'Inputs'!$B$30+'Inputs'!$B$31+'Inputs'!$B$32)/1000+'Inputs'!$B$21+'Inputs'!$B$7+'Inputs'!$B$10)+'Inputs'!$B$9)^2+('Inputs'!$B$8/2)^2)-(((816-43)*MAX('Inputs'!$B$33,'Inputs'!$B$29+'Inputs'!$B$31+'Inputs'!$B$32,'Inputs'!$B$30+'Inputs'!$B$31+'Inputs'!$B$32)/1000+'Inputs'!$B$21+'Inputs'!$B$7+'Inputs'!$B$10))/SQRT((((816-43)*MAX('Inputs'!$B$33,'Inputs'!$B$29+'Inputs'!$B$31+'Inputs'!$B$32,'Inputs'!$B$30+'Inputs'!$B$31+'Inputs'!$B$32)/1000+'Inputs'!$B$21+'Inputs'!$B$7+'Inputs'!$B$10))^2+('Inputs'!$B$8/2)^2))))*'Results'!$B$8))),"")</x:f>
        <x:v>0.7789293930856517</x:v>
      </x:c>
      <x:c r="L816" t="n">
        <x:f>IF(AND(ISNUMBER('Results'!B7),ISNUMBER('Results'!C7),ISNUMBER('Results'!$B$8),ISNUMBER('Inputs'!$B$6),ISNUMBER('Inputs'!$B$7),ISNUMBER('Inputs'!$B$8),ISNUMBER('Inputs'!$B$9),ISNUMBER('Inputs'!$B$10),ISNUMBER('Inputs'!$B$21),ISNUMBER('Inputs'!$B$24),ISNUMBER('Inputs'!$B$28)),((('Results'!B7*(1+'Inputs'!$B$24)*(0.5*((((816-43)*MAX('Inputs'!$B$33,'Inputs'!$B$29+'Inputs'!$B$31+'Inputs'!$B$32,'Inputs'!$B$30+'Inputs'!$B$31+'Inputs'!$B$32)/1000+'Inputs'!$B$21)+'Inputs'!$B$7)/SQRT((((816-43)*MAX('Inputs'!$B$33,'Inputs'!$B$29+'Inputs'!$B$31+'Inputs'!$B$32,'Inputs'!$B$30+'Inputs'!$B$31+'Inputs'!$B$32)/1000+'Inputs'!$B$21)+'Inputs'!$B$7)^2+('Inputs'!$B$6/2)^2)-(((816-43)*MAX('Inputs'!$B$33,'Inputs'!$B$29+'Inputs'!$B$31+'Inputs'!$B$32,'Inputs'!$B$30+'Inputs'!$B$31+'Inputs'!$B$32)/1000+'Inputs'!$B$21))/SQRT((((816-43)*MAX('Inputs'!$B$33,'Inputs'!$B$29+'Inputs'!$B$31+'Inputs'!$B$32,'Inputs'!$B$30+'Inputs'!$B$31+'Inputs'!$B$32)/1000+'Inputs'!$B$21))^2+('Inputs'!$B$6/2)^2)))-'Results'!C7*(1-'Inputs'!$B$24)*(0.5*((((816-43)*MAX('Inputs'!$B$33,'Inputs'!$B$29+'Inputs'!$B$31+'Inputs'!$B$32,'Inputs'!$B$30+'Inputs'!$B$31+'Inputs'!$B$32)/1000+'Inputs'!$B$21+'Inputs'!$B$7+'Inputs'!$B$10)+'Inputs'!$B$9)/SQRT((((816-43)*MAX('Inputs'!$B$33,'Inputs'!$B$29+'Inputs'!$B$31+'Inputs'!$B$32,'Inputs'!$B$30+'Inputs'!$B$31+'Inputs'!$B$32)/1000+'Inputs'!$B$21+'Inputs'!$B$7+'Inputs'!$B$10)+'Inputs'!$B$9)^2+('Inputs'!$B$8/2)^2)-(((816-43)*MAX('Inputs'!$B$33,'Inputs'!$B$29+'Inputs'!$B$31+'Inputs'!$B$32,'Inputs'!$B$30+'Inputs'!$B$31+'Inputs'!$B$32)/1000+'Inputs'!$B$21+'Inputs'!$B$7+'Inputs'!$B$10))/SQRT((((816-43)*MAX('Inputs'!$B$33,'Inputs'!$B$29+'Inputs'!$B$31+'Inputs'!$B$32,'Inputs'!$B$30+'Inputs'!$B$31+'Inputs'!$B$32)/1000+'Inputs'!$B$21+'Inputs'!$B$7+'Inputs'!$B$10))^2+('Inputs'!$B$8/2)^2))))*'Results'!$B$8)+'Inputs'!$B$28*ABS((('Results'!B7*(1+'Inputs'!$B$24)*(0.5*((((816-43)*MAX('Inputs'!$B$33,'Inputs'!$B$29+'Inputs'!$B$31+'Inputs'!$B$32,'Inputs'!$B$30+'Inputs'!$B$31+'Inputs'!$B$32)/1000+'Inputs'!$B$21)+'Inputs'!$B$7)/SQRT((((816-43)*MAX('Inputs'!$B$33,'Inputs'!$B$29+'Inputs'!$B$31+'Inputs'!$B$32,'Inputs'!$B$30+'Inputs'!$B$31+'Inputs'!$B$32)/1000+'Inputs'!$B$21)+'Inputs'!$B$7)^2+('Inputs'!$B$6/2)^2)-(((816-43)*MAX('Inputs'!$B$33,'Inputs'!$B$29+'Inputs'!$B$31+'Inputs'!$B$32,'Inputs'!$B$30+'Inputs'!$B$31+'Inputs'!$B$32)/1000+'Inputs'!$B$21))/SQRT((((816-43)*MAX('Inputs'!$B$33,'Inputs'!$B$29+'Inputs'!$B$31+'Inputs'!$B$32,'Inputs'!$B$30+'Inputs'!$B$31+'Inputs'!$B$32)/1000+'Inputs'!$B$21))^2+('Inputs'!$B$6/2)^2)))-'Results'!C7*(1-'Inputs'!$B$24)*(0.5*((((816-43)*MAX('Inputs'!$B$33,'Inputs'!$B$29+'Inputs'!$B$31+'Inputs'!$B$32,'Inputs'!$B$30+'Inputs'!$B$31+'Inputs'!$B$32)/1000+'Inputs'!$B$21+'Inputs'!$B$7+'Inputs'!$B$10)+'Inputs'!$B$9)/SQRT((((816-43)*MAX('Inputs'!$B$33,'Inputs'!$B$29+'Inputs'!$B$31+'Inputs'!$B$32,'Inputs'!$B$30+'Inputs'!$B$31+'Inputs'!$B$32)/1000+'Inputs'!$B$21+'Inputs'!$B$7+'Inputs'!$B$10)+'Inputs'!$B$9)^2+('Inputs'!$B$8/2)^2)-(((816-43)*MAX('Inputs'!$B$33,'Inputs'!$B$29+'Inputs'!$B$31+'Inputs'!$B$32,'Inputs'!$B$30+'Inputs'!$B$31+'Inputs'!$B$32)/1000+'Inputs'!$B$21+'Inputs'!$B$7+'Inputs'!$B$10))/SQRT((((816-43)*MAX('Inputs'!$B$33,'Inputs'!$B$29+'Inputs'!$B$31+'Inputs'!$B$32,'Inputs'!$B$30+'Inputs'!$B$31+'Inputs'!$B$32)/1000+'Inputs'!$B$21+'Inputs'!$B$7+'Inputs'!$B$10))^2+('Inputs'!$B$8/2)^2))))*'Results'!$B$8))),"")</x:f>
        <x:v>1.0440479756944796</x:v>
      </x:c>
      <x:c r="M816" t="n">
        <x:f>IF(AND(ISNUMBER('Results'!C7),ISNUMBER('Results'!B7),ISNUMBER('Results'!$B$8),ISNUMBER('Inputs'!$B$6),ISNUMBER('Inputs'!$B$7),ISNUMBER('Inputs'!$B$8),ISNUMBER('Inputs'!$B$9),ISNUMBER('Inputs'!$B$10),ISNUMBER('Inputs'!$B$21),ISNUMBER('Inputs'!$B$24),ISNUMBER('Inputs'!$B$28)),(('Results'!C7*(0.5*((((816-43)*MAX('Inputs'!$B$33,'Inputs'!$B$29+'Inputs'!$B$31+'Inputs'!$B$32,'Inputs'!$B$30+'Inputs'!$B$31+'Inputs'!$B$32)/1000+'Inputs'!$B$21)+'Inputs'!$B$9)/SQRT((((816-43)*MAX('Inputs'!$B$33,'Inputs'!$B$29+'Inputs'!$B$31+'Inputs'!$B$32,'Inputs'!$B$30+'Inputs'!$B$31+'Inputs'!$B$32)/1000+'Inputs'!$B$21)+'Inputs'!$B$9)^2+('Inputs'!$B$8/2)^2)-(((816-43)*MAX('Inputs'!$B$33,'Inputs'!$B$29+'Inputs'!$B$31+'Inputs'!$B$32,'Inputs'!$B$30+'Inputs'!$B$31+'Inputs'!$B$32)/1000+'Inputs'!$B$21))/SQRT((((816-43)*MAX('Inputs'!$B$33,'Inputs'!$B$29+'Inputs'!$B$31+'Inputs'!$B$32,'Inputs'!$B$30+'Inputs'!$B$31+'Inputs'!$B$32)/1000+'Inputs'!$B$21))^2+('Inputs'!$B$8/2)^2)))-'Results'!B7*(0.5*((((816-43)*MAX('Inputs'!$B$33,'Inputs'!$B$29+'Inputs'!$B$31+'Inputs'!$B$32,'Inputs'!$B$30+'Inputs'!$B$31+'Inputs'!$B$32)/1000+'Inputs'!$B$21+'Inputs'!$B$9+'Inputs'!$B$10)+'Inputs'!$B$7)/SQRT((((816-43)*MAX('Inputs'!$B$33,'Inputs'!$B$29+'Inputs'!$B$31+'Inputs'!$B$32,'Inputs'!$B$30+'Inputs'!$B$31+'Inputs'!$B$32)/1000+'Inputs'!$B$21+'Inputs'!$B$9+'Inputs'!$B$10)+'Inputs'!$B$7)^2+('Inputs'!$B$6/2)^2)-(((816-43)*MAX('Inputs'!$B$33,'Inputs'!$B$29+'Inputs'!$B$31+'Inputs'!$B$32,'Inputs'!$B$30+'Inputs'!$B$31+'Inputs'!$B$32)/1000+'Inputs'!$B$21+'Inputs'!$B$9+'Inputs'!$B$10))/SQRT((((816-43)*MAX('Inputs'!$B$33,'Inputs'!$B$29+'Inputs'!$B$31+'Inputs'!$B$32,'Inputs'!$B$30+'Inputs'!$B$31+'Inputs'!$B$32)/1000+'Inputs'!$B$21+'Inputs'!$B$9+'Inputs'!$B$10))^2+('Inputs'!$B$6/2)^2))))*'Results'!$B$8),"")</x:f>
        <x:v>0.8192209800606124</x:v>
      </x:c>
      <x:c r="N816" t="n">
        <x:f>IF(AND(ISNUMBER('Results'!C7),ISNUMBER('Results'!B7),ISNUMBER('Results'!$B$8),ISNUMBER('Inputs'!$B$6),ISNUMBER('Inputs'!$B$7),ISNUMBER('Inputs'!$B$8),ISNUMBER('Inputs'!$B$9),ISNUMBER('Inputs'!$B$10),ISNUMBER('Inputs'!$B$21),ISNUMBER('Inputs'!$B$24),ISNUMBER('Inputs'!$B$28)),((('Results'!C7*(1-'Inputs'!$B$24)*(0.5*((((816-43)*MAX('Inputs'!$B$33,'Inputs'!$B$29+'Inputs'!$B$31+'Inputs'!$B$32,'Inputs'!$B$30+'Inputs'!$B$31+'Inputs'!$B$32)/1000+'Inputs'!$B$21)+'Inputs'!$B$9)/SQRT((((816-43)*MAX('Inputs'!$B$33,'Inputs'!$B$29+'Inputs'!$B$31+'Inputs'!$B$32,'Inputs'!$B$30+'Inputs'!$B$31+'Inputs'!$B$32)/1000+'Inputs'!$B$21)+'Inputs'!$B$9)^2+('Inputs'!$B$8/2)^2)-(((816-43)*MAX('Inputs'!$B$33,'Inputs'!$B$29+'Inputs'!$B$31+'Inputs'!$B$32,'Inputs'!$B$30+'Inputs'!$B$31+'Inputs'!$B$32)/1000+'Inputs'!$B$21))/SQRT((((816-43)*MAX('Inputs'!$B$33,'Inputs'!$B$29+'Inputs'!$B$31+'Inputs'!$B$32,'Inputs'!$B$30+'Inputs'!$B$31+'Inputs'!$B$32)/1000+'Inputs'!$B$21))^2+('Inputs'!$B$8/2)^2)))-'Results'!B7*(1+'Inputs'!$B$24)*(0.5*((((816-43)*MAX('Inputs'!$B$33,'Inputs'!$B$29+'Inputs'!$B$31+'Inputs'!$B$32,'Inputs'!$B$30+'Inputs'!$B$31+'Inputs'!$B$32)/1000+'Inputs'!$B$21+'Inputs'!$B$9+'Inputs'!$B$10)+'Inputs'!$B$7)/SQRT((((816-43)*MAX('Inputs'!$B$33,'Inputs'!$B$29+'Inputs'!$B$31+'Inputs'!$B$32,'Inputs'!$B$30+'Inputs'!$B$31+'Inputs'!$B$32)/1000+'Inputs'!$B$21+'Inputs'!$B$9+'Inputs'!$B$10)+'Inputs'!$B$7)^2+('Inputs'!$B$6/2)^2)-(((816-43)*MAX('Inputs'!$B$33,'Inputs'!$B$29+'Inputs'!$B$31+'Inputs'!$B$32,'Inputs'!$B$30+'Inputs'!$B$31+'Inputs'!$B$32)/1000+'Inputs'!$B$21+'Inputs'!$B$9+'Inputs'!$B$10))/SQRT((((816-43)*MAX('Inputs'!$B$33,'Inputs'!$B$29+'Inputs'!$B$31+'Inputs'!$B$32,'Inputs'!$B$30+'Inputs'!$B$31+'Inputs'!$B$32)/1000+'Inputs'!$B$21+'Inputs'!$B$9+'Inputs'!$B$10))^2+('Inputs'!$B$6/2)^2))))*'Results'!$B$8)-'Inputs'!$B$28*ABS((('Results'!C7*(1-'Inputs'!$B$24)*(0.5*((((816-43)*MAX('Inputs'!$B$33,'Inputs'!$B$29+'Inputs'!$B$31+'Inputs'!$B$32,'Inputs'!$B$30+'Inputs'!$B$31+'Inputs'!$B$32)/1000+'Inputs'!$B$21)+'Inputs'!$B$9)/SQRT((((816-43)*MAX('Inputs'!$B$33,'Inputs'!$B$29+'Inputs'!$B$31+'Inputs'!$B$32,'Inputs'!$B$30+'Inputs'!$B$31+'Inputs'!$B$32)/1000+'Inputs'!$B$21)+'Inputs'!$B$9)^2+('Inputs'!$B$8/2)^2)-(((816-43)*MAX('Inputs'!$B$33,'Inputs'!$B$29+'Inputs'!$B$31+'Inputs'!$B$32,'Inputs'!$B$30+'Inputs'!$B$31+'Inputs'!$B$32)/1000+'Inputs'!$B$21))/SQRT((((816-43)*MAX('Inputs'!$B$33,'Inputs'!$B$29+'Inputs'!$B$31+'Inputs'!$B$32,'Inputs'!$B$30+'Inputs'!$B$31+'Inputs'!$B$32)/1000+'Inputs'!$B$21))^2+('Inputs'!$B$8/2)^2)))-'Results'!B7*(1+'Inputs'!$B$24)*(0.5*((((816-43)*MAX('Inputs'!$B$33,'Inputs'!$B$29+'Inputs'!$B$31+'Inputs'!$B$32,'Inputs'!$B$30+'Inputs'!$B$31+'Inputs'!$B$32)/1000+'Inputs'!$B$21+'Inputs'!$B$9+'Inputs'!$B$10)+'Inputs'!$B$7)/SQRT((((816-43)*MAX('Inputs'!$B$33,'Inputs'!$B$29+'Inputs'!$B$31+'Inputs'!$B$32,'Inputs'!$B$30+'Inputs'!$B$31+'Inputs'!$B$32)/1000+'Inputs'!$B$21+'Inputs'!$B$9+'Inputs'!$B$10)+'Inputs'!$B$7)^2+('Inputs'!$B$6/2)^2)-(((816-43)*MAX('Inputs'!$B$33,'Inputs'!$B$29+'Inputs'!$B$31+'Inputs'!$B$32,'Inputs'!$B$30+'Inputs'!$B$31+'Inputs'!$B$32)/1000+'Inputs'!$B$21+'Inputs'!$B$9+'Inputs'!$B$10))/SQRT((((816-43)*MAX('Inputs'!$B$33,'Inputs'!$B$29+'Inputs'!$B$31+'Inputs'!$B$32,'Inputs'!$B$30+'Inputs'!$B$31+'Inputs'!$B$32)/1000+'Inputs'!$B$21+'Inputs'!$B$9+'Inputs'!$B$10))^2+('Inputs'!$B$6/2)^2))))*'Results'!$B$8))),"")</x:f>
        <x:v>0.6957485296294198</x:v>
      </x:c>
      <x:c r="O816" t="n">
        <x:f>IF(AND(ISNUMBER('Results'!C7),ISNUMBER('Results'!B7),ISNUMBER('Results'!$B$8),ISNUMBER('Inputs'!$B$6),ISNUMBER('Inputs'!$B$7),ISNUMBER('Inputs'!$B$8),ISNUMBER('Inputs'!$B$9),ISNUMBER('Inputs'!$B$10),ISNUMBER('Inputs'!$B$21),ISNUMBER('Inputs'!$B$24),ISNUMBER('Inputs'!$B$28)),((('Results'!C7*(1+'Inputs'!$B$24)*(0.5*((((816-43)*MAX('Inputs'!$B$33,'Inputs'!$B$29+'Inputs'!$B$31+'Inputs'!$B$32,'Inputs'!$B$30+'Inputs'!$B$31+'Inputs'!$B$32)/1000+'Inputs'!$B$21)+'Inputs'!$B$9)/SQRT((((816-43)*MAX('Inputs'!$B$33,'Inputs'!$B$29+'Inputs'!$B$31+'Inputs'!$B$32,'Inputs'!$B$30+'Inputs'!$B$31+'Inputs'!$B$32)/1000+'Inputs'!$B$21)+'Inputs'!$B$9)^2+('Inputs'!$B$8/2)^2)-(((816-43)*MAX('Inputs'!$B$33,'Inputs'!$B$29+'Inputs'!$B$31+'Inputs'!$B$32,'Inputs'!$B$30+'Inputs'!$B$31+'Inputs'!$B$32)/1000+'Inputs'!$B$21))/SQRT((((816-43)*MAX('Inputs'!$B$33,'Inputs'!$B$29+'Inputs'!$B$31+'Inputs'!$B$32,'Inputs'!$B$30+'Inputs'!$B$31+'Inputs'!$B$32)/1000+'Inputs'!$B$21))^2+('Inputs'!$B$8/2)^2)))-'Results'!B7*(1-'Inputs'!$B$24)*(0.5*((((816-43)*MAX('Inputs'!$B$33,'Inputs'!$B$29+'Inputs'!$B$31+'Inputs'!$B$32,'Inputs'!$B$30+'Inputs'!$B$31+'Inputs'!$B$32)/1000+'Inputs'!$B$21+'Inputs'!$B$9+'Inputs'!$B$10)+'Inputs'!$B$7)/SQRT((((816-43)*MAX('Inputs'!$B$33,'Inputs'!$B$29+'Inputs'!$B$31+'Inputs'!$B$32,'Inputs'!$B$30+'Inputs'!$B$31+'Inputs'!$B$32)/1000+'Inputs'!$B$21+'Inputs'!$B$9+'Inputs'!$B$10)+'Inputs'!$B$7)^2+('Inputs'!$B$6/2)^2)-(((816-43)*MAX('Inputs'!$B$33,'Inputs'!$B$29+'Inputs'!$B$31+'Inputs'!$B$32,'Inputs'!$B$30+'Inputs'!$B$31+'Inputs'!$B$32)/1000+'Inputs'!$B$21+'Inputs'!$B$9+'Inputs'!$B$10))/SQRT((((816-43)*MAX('Inputs'!$B$33,'Inputs'!$B$29+'Inputs'!$B$31+'Inputs'!$B$32,'Inputs'!$B$30+'Inputs'!$B$31+'Inputs'!$B$32)/1000+'Inputs'!$B$21+'Inputs'!$B$9+'Inputs'!$B$10))^2+('Inputs'!$B$6/2)^2))))*'Results'!$B$8)+'Inputs'!$B$28*ABS((('Results'!C7*(1+'Inputs'!$B$24)*(0.5*((((816-43)*MAX('Inputs'!$B$33,'Inputs'!$B$29+'Inputs'!$B$31+'Inputs'!$B$32,'Inputs'!$B$30+'Inputs'!$B$31+'Inputs'!$B$32)/1000+'Inputs'!$B$21)+'Inputs'!$B$9)/SQRT((((816-43)*MAX('Inputs'!$B$33,'Inputs'!$B$29+'Inputs'!$B$31+'Inputs'!$B$32,'Inputs'!$B$30+'Inputs'!$B$31+'Inputs'!$B$32)/1000+'Inputs'!$B$21)+'Inputs'!$B$9)^2+('Inputs'!$B$8/2)^2)-(((816-43)*MAX('Inputs'!$B$33,'Inputs'!$B$29+'Inputs'!$B$31+'Inputs'!$B$32,'Inputs'!$B$30+'Inputs'!$B$31+'Inputs'!$B$32)/1000+'Inputs'!$B$21))/SQRT((((816-43)*MAX('Inputs'!$B$33,'Inputs'!$B$29+'Inputs'!$B$31+'Inputs'!$B$32,'Inputs'!$B$30+'Inputs'!$B$31+'Inputs'!$B$32)/1000+'Inputs'!$B$21))^2+('Inputs'!$B$8/2)^2)))-'Results'!B7*(1-'Inputs'!$B$24)*(0.5*((((816-43)*MAX('Inputs'!$B$33,'Inputs'!$B$29+'Inputs'!$B$31+'Inputs'!$B$32,'Inputs'!$B$30+'Inputs'!$B$31+'Inputs'!$B$32)/1000+'Inputs'!$B$21+'Inputs'!$B$9+'Inputs'!$B$10)+'Inputs'!$B$7)/SQRT((((816-43)*MAX('Inputs'!$B$33,'Inputs'!$B$29+'Inputs'!$B$31+'Inputs'!$B$32,'Inputs'!$B$30+'Inputs'!$B$31+'Inputs'!$B$32)/1000+'Inputs'!$B$21+'Inputs'!$B$9+'Inputs'!$B$10)+'Inputs'!$B$7)^2+('Inputs'!$B$6/2)^2)-(((816-43)*MAX('Inputs'!$B$33,'Inputs'!$B$29+'Inputs'!$B$31+'Inputs'!$B$32,'Inputs'!$B$30+'Inputs'!$B$31+'Inputs'!$B$32)/1000+'Inputs'!$B$21+'Inputs'!$B$9+'Inputs'!$B$10))/SQRT((((816-43)*MAX('Inputs'!$B$33,'Inputs'!$B$29+'Inputs'!$B$31+'Inputs'!$B$32,'Inputs'!$B$30+'Inputs'!$B$31+'Inputs'!$B$32)/1000+'Inputs'!$B$21+'Inputs'!$B$9+'Inputs'!$B$10))^2+('Inputs'!$B$6/2)^2))))*'Results'!$B$8))),"")</x:f>
        <x:v>0.9513788411684538</x:v>
      </x:c>
      <x:c r="P816" t="n">
        <x:f>IF(AND(MAX(J816,J815)&gt;0,J816&gt;J815+0.00000001),1,0)</x:f>
        <x:v>0</x:v>
      </x:c>
      <x:c r="Q816" t="n">
        <x:f>IF(AND(MAX(K816,K815)&gt;0,K816&gt;K815+0.00000001),1,0)</x:f>
        <x:v>0</x:v>
      </x:c>
      <x:c r="R816" t="n">
        <x:f>IF(AND(MAX(L816,L815)&gt;0,L816&gt;L815+0.00000001),1,0)</x:f>
        <x:v>0</x:v>
      </x:c>
      <x:c r="S816" t="n">
        <x:f>IF(AND(MAX(M816,M815)&gt;0,M816&gt;M815+0.00000001),1,0)</x:f>
        <x:v>0</x:v>
      </x:c>
      <x:c r="T816" t="n">
        <x:f>IF(AND(MAX(N816,N815)&gt;0,N816&gt;N815+0.00000001),1,0)</x:f>
        <x:v>0</x:v>
      </x:c>
      <x:c r="U816" t="n">
        <x:f>IF(AND(MAX(O816,O815)&gt;0,O816&gt;O815+0.00000001),1,0)</x:f>
        <x:v>0</x:v>
      </x:c>
    </x:row>
    <x:row r="817">
      <x:c r="J817" t="n">
        <x:f>IF(AND(ISNUMBER('Results'!B7),ISNUMBER('Results'!C7),ISNUMBER('Results'!$B$8),ISNUMBER('Inputs'!$B$6),ISNUMBER('Inputs'!$B$7),ISNUMBER('Inputs'!$B$8),ISNUMBER('Inputs'!$B$9),ISNUMBER('Inputs'!$B$10),ISNUMBER('Inputs'!$B$21),ISNUMBER('Inputs'!$B$24),ISNUMBER('Inputs'!$B$28)),(('Results'!B7*(0.5*((((817-43)*MAX('Inputs'!$B$33,'Inputs'!$B$29+'Inputs'!$B$31+'Inputs'!$B$32,'Inputs'!$B$30+'Inputs'!$B$31+'Inputs'!$B$32)/1000+'Inputs'!$B$21)+'Inputs'!$B$7)/SQRT((((817-43)*MAX('Inputs'!$B$33,'Inputs'!$B$29+'Inputs'!$B$31+'Inputs'!$B$32,'Inputs'!$B$30+'Inputs'!$B$31+'Inputs'!$B$32)/1000+'Inputs'!$B$21)+'Inputs'!$B$7)^2+('Inputs'!$B$6/2)^2)-(((817-43)*MAX('Inputs'!$B$33,'Inputs'!$B$29+'Inputs'!$B$31+'Inputs'!$B$32,'Inputs'!$B$30+'Inputs'!$B$31+'Inputs'!$B$32)/1000+'Inputs'!$B$21))/SQRT((((817-43)*MAX('Inputs'!$B$33,'Inputs'!$B$29+'Inputs'!$B$31+'Inputs'!$B$32,'Inputs'!$B$30+'Inputs'!$B$31+'Inputs'!$B$32)/1000+'Inputs'!$B$21))^2+('Inputs'!$B$6/2)^2)))-'Results'!C7*(0.5*((((817-43)*MAX('Inputs'!$B$33,'Inputs'!$B$29+'Inputs'!$B$31+'Inputs'!$B$32,'Inputs'!$B$30+'Inputs'!$B$31+'Inputs'!$B$32)/1000+'Inputs'!$B$21+'Inputs'!$B$7+'Inputs'!$B$10)+'Inputs'!$B$9)/SQRT((((817-43)*MAX('Inputs'!$B$33,'Inputs'!$B$29+'Inputs'!$B$31+'Inputs'!$B$32,'Inputs'!$B$30+'Inputs'!$B$31+'Inputs'!$B$32)/1000+'Inputs'!$B$21+'Inputs'!$B$7+'Inputs'!$B$10)+'Inputs'!$B$9)^2+('Inputs'!$B$8/2)^2)-(((817-43)*MAX('Inputs'!$B$33,'Inputs'!$B$29+'Inputs'!$B$31+'Inputs'!$B$32,'Inputs'!$B$30+'Inputs'!$B$31+'Inputs'!$B$32)/1000+'Inputs'!$B$21+'Inputs'!$B$7+'Inputs'!$B$10))/SQRT((((817-43)*MAX('Inputs'!$B$33,'Inputs'!$B$29+'Inputs'!$B$31+'Inputs'!$B$32,'Inputs'!$B$30+'Inputs'!$B$31+'Inputs'!$B$32)/1000+'Inputs'!$B$21+'Inputs'!$B$7+'Inputs'!$B$10))^2+('Inputs'!$B$8/2)^2))))*'Results'!$B$8),"")</x:f>
        <x:v>0.9029338625192146</x:v>
      </x:c>
      <x:c r="K817" t="n">
        <x:f>IF(AND(ISNUMBER('Results'!B7),ISNUMBER('Results'!C7),ISNUMBER('Results'!$B$8),ISNUMBER('Inputs'!$B$6),ISNUMBER('Inputs'!$B$7),ISNUMBER('Inputs'!$B$8),ISNUMBER('Inputs'!$B$9),ISNUMBER('Inputs'!$B$10),ISNUMBER('Inputs'!$B$21),ISNUMBER('Inputs'!$B$24),ISNUMBER('Inputs'!$B$28)),((('Results'!B7*(1-'Inputs'!$B$24)*(0.5*((((817-43)*MAX('Inputs'!$B$33,'Inputs'!$B$29+'Inputs'!$B$31+'Inputs'!$B$32,'Inputs'!$B$30+'Inputs'!$B$31+'Inputs'!$B$32)/1000+'Inputs'!$B$21)+'Inputs'!$B$7)/SQRT((((817-43)*MAX('Inputs'!$B$33,'Inputs'!$B$29+'Inputs'!$B$31+'Inputs'!$B$32,'Inputs'!$B$30+'Inputs'!$B$31+'Inputs'!$B$32)/1000+'Inputs'!$B$21)+'Inputs'!$B$7)^2+('Inputs'!$B$6/2)^2)-(((817-43)*MAX('Inputs'!$B$33,'Inputs'!$B$29+'Inputs'!$B$31+'Inputs'!$B$32,'Inputs'!$B$30+'Inputs'!$B$31+'Inputs'!$B$32)/1000+'Inputs'!$B$21))/SQRT((((817-43)*MAX('Inputs'!$B$33,'Inputs'!$B$29+'Inputs'!$B$31+'Inputs'!$B$32,'Inputs'!$B$30+'Inputs'!$B$31+'Inputs'!$B$32)/1000+'Inputs'!$B$21))^2+('Inputs'!$B$6/2)^2)))-'Results'!C7*(1+'Inputs'!$B$24)*(0.5*((((817-43)*MAX('Inputs'!$B$33,'Inputs'!$B$29+'Inputs'!$B$31+'Inputs'!$B$32,'Inputs'!$B$30+'Inputs'!$B$31+'Inputs'!$B$32)/1000+'Inputs'!$B$21+'Inputs'!$B$7+'Inputs'!$B$10)+'Inputs'!$B$9)/SQRT((((817-43)*MAX('Inputs'!$B$33,'Inputs'!$B$29+'Inputs'!$B$31+'Inputs'!$B$32,'Inputs'!$B$30+'Inputs'!$B$31+'Inputs'!$B$32)/1000+'Inputs'!$B$21+'Inputs'!$B$7+'Inputs'!$B$10)+'Inputs'!$B$9)^2+('Inputs'!$B$8/2)^2)-(((817-43)*MAX('Inputs'!$B$33,'Inputs'!$B$29+'Inputs'!$B$31+'Inputs'!$B$32,'Inputs'!$B$30+'Inputs'!$B$31+'Inputs'!$B$32)/1000+'Inputs'!$B$21+'Inputs'!$B$7+'Inputs'!$B$10))/SQRT((((817-43)*MAX('Inputs'!$B$33,'Inputs'!$B$29+'Inputs'!$B$31+'Inputs'!$B$32,'Inputs'!$B$30+'Inputs'!$B$31+'Inputs'!$B$32)/1000+'Inputs'!$B$21+'Inputs'!$B$7+'Inputs'!$B$10))^2+('Inputs'!$B$8/2)^2))))*'Results'!$B$8)-'Inputs'!$B$28*ABS((('Results'!B7*(1-'Inputs'!$B$24)*(0.5*((((817-43)*MAX('Inputs'!$B$33,'Inputs'!$B$29+'Inputs'!$B$31+'Inputs'!$B$32,'Inputs'!$B$30+'Inputs'!$B$31+'Inputs'!$B$32)/1000+'Inputs'!$B$21)+'Inputs'!$B$7)/SQRT((((817-43)*MAX('Inputs'!$B$33,'Inputs'!$B$29+'Inputs'!$B$31+'Inputs'!$B$32,'Inputs'!$B$30+'Inputs'!$B$31+'Inputs'!$B$32)/1000+'Inputs'!$B$21)+'Inputs'!$B$7)^2+('Inputs'!$B$6/2)^2)-(((817-43)*MAX('Inputs'!$B$33,'Inputs'!$B$29+'Inputs'!$B$31+'Inputs'!$B$32,'Inputs'!$B$30+'Inputs'!$B$31+'Inputs'!$B$32)/1000+'Inputs'!$B$21))/SQRT((((817-43)*MAX('Inputs'!$B$33,'Inputs'!$B$29+'Inputs'!$B$31+'Inputs'!$B$32,'Inputs'!$B$30+'Inputs'!$B$31+'Inputs'!$B$32)/1000+'Inputs'!$B$21))^2+('Inputs'!$B$6/2)^2)))-'Results'!C7*(1+'Inputs'!$B$24)*(0.5*((((817-43)*MAX('Inputs'!$B$33,'Inputs'!$B$29+'Inputs'!$B$31+'Inputs'!$B$32,'Inputs'!$B$30+'Inputs'!$B$31+'Inputs'!$B$32)/1000+'Inputs'!$B$21+'Inputs'!$B$7+'Inputs'!$B$10)+'Inputs'!$B$9)/SQRT((((817-43)*MAX('Inputs'!$B$33,'Inputs'!$B$29+'Inputs'!$B$31+'Inputs'!$B$32,'Inputs'!$B$30+'Inputs'!$B$31+'Inputs'!$B$32)/1000+'Inputs'!$B$21+'Inputs'!$B$7+'Inputs'!$B$10)+'Inputs'!$B$9)^2+('Inputs'!$B$8/2)^2)-(((817-43)*MAX('Inputs'!$B$33,'Inputs'!$B$29+'Inputs'!$B$31+'Inputs'!$B$32,'Inputs'!$B$30+'Inputs'!$B$31+'Inputs'!$B$32)/1000+'Inputs'!$B$21+'Inputs'!$B$7+'Inputs'!$B$10))/SQRT((((817-43)*MAX('Inputs'!$B$33,'Inputs'!$B$29+'Inputs'!$B$31+'Inputs'!$B$32,'Inputs'!$B$30+'Inputs'!$B$31+'Inputs'!$B$32)/1000+'Inputs'!$B$21+'Inputs'!$B$7+'Inputs'!$B$10))^2+('Inputs'!$B$8/2)^2))))*'Results'!$B$8))),"")</x:f>
        <x:v>0.7752390409300544</x:v>
      </x:c>
      <x:c r="L817" t="n">
        <x:f>IF(AND(ISNUMBER('Results'!B7),ISNUMBER('Results'!C7),ISNUMBER('Results'!$B$8),ISNUMBER('Inputs'!$B$6),ISNUMBER('Inputs'!$B$7),ISNUMBER('Inputs'!$B$8),ISNUMBER('Inputs'!$B$9),ISNUMBER('Inputs'!$B$10),ISNUMBER('Inputs'!$B$21),ISNUMBER('Inputs'!$B$24),ISNUMBER('Inputs'!$B$28)),((('Results'!B7*(1+'Inputs'!$B$24)*(0.5*((((817-43)*MAX('Inputs'!$B$33,'Inputs'!$B$29+'Inputs'!$B$31+'Inputs'!$B$32,'Inputs'!$B$30+'Inputs'!$B$31+'Inputs'!$B$32)/1000+'Inputs'!$B$21)+'Inputs'!$B$7)/SQRT((((817-43)*MAX('Inputs'!$B$33,'Inputs'!$B$29+'Inputs'!$B$31+'Inputs'!$B$32,'Inputs'!$B$30+'Inputs'!$B$31+'Inputs'!$B$32)/1000+'Inputs'!$B$21)+'Inputs'!$B$7)^2+('Inputs'!$B$6/2)^2)-(((817-43)*MAX('Inputs'!$B$33,'Inputs'!$B$29+'Inputs'!$B$31+'Inputs'!$B$32,'Inputs'!$B$30+'Inputs'!$B$31+'Inputs'!$B$32)/1000+'Inputs'!$B$21))/SQRT((((817-43)*MAX('Inputs'!$B$33,'Inputs'!$B$29+'Inputs'!$B$31+'Inputs'!$B$32,'Inputs'!$B$30+'Inputs'!$B$31+'Inputs'!$B$32)/1000+'Inputs'!$B$21))^2+('Inputs'!$B$6/2)^2)))-'Results'!C7*(1-'Inputs'!$B$24)*(0.5*((((817-43)*MAX('Inputs'!$B$33,'Inputs'!$B$29+'Inputs'!$B$31+'Inputs'!$B$32,'Inputs'!$B$30+'Inputs'!$B$31+'Inputs'!$B$32)/1000+'Inputs'!$B$21+'Inputs'!$B$7+'Inputs'!$B$10)+'Inputs'!$B$9)/SQRT((((817-43)*MAX('Inputs'!$B$33,'Inputs'!$B$29+'Inputs'!$B$31+'Inputs'!$B$32,'Inputs'!$B$30+'Inputs'!$B$31+'Inputs'!$B$32)/1000+'Inputs'!$B$21+'Inputs'!$B$7+'Inputs'!$B$10)+'Inputs'!$B$9)^2+('Inputs'!$B$8/2)^2)-(((817-43)*MAX('Inputs'!$B$33,'Inputs'!$B$29+'Inputs'!$B$31+'Inputs'!$B$32,'Inputs'!$B$30+'Inputs'!$B$31+'Inputs'!$B$32)/1000+'Inputs'!$B$21+'Inputs'!$B$7+'Inputs'!$B$10))/SQRT((((817-43)*MAX('Inputs'!$B$33,'Inputs'!$B$29+'Inputs'!$B$31+'Inputs'!$B$32,'Inputs'!$B$30+'Inputs'!$B$31+'Inputs'!$B$32)/1000+'Inputs'!$B$21+'Inputs'!$B$7+'Inputs'!$B$10))^2+('Inputs'!$B$8/2)^2))))*'Results'!$B$8)+'Inputs'!$B$28*ABS((('Results'!B7*(1+'Inputs'!$B$24)*(0.5*((((817-43)*MAX('Inputs'!$B$33,'Inputs'!$B$29+'Inputs'!$B$31+'Inputs'!$B$32,'Inputs'!$B$30+'Inputs'!$B$31+'Inputs'!$B$32)/1000+'Inputs'!$B$21)+'Inputs'!$B$7)/SQRT((((817-43)*MAX('Inputs'!$B$33,'Inputs'!$B$29+'Inputs'!$B$31+'Inputs'!$B$32,'Inputs'!$B$30+'Inputs'!$B$31+'Inputs'!$B$32)/1000+'Inputs'!$B$21)+'Inputs'!$B$7)^2+('Inputs'!$B$6/2)^2)-(((817-43)*MAX('Inputs'!$B$33,'Inputs'!$B$29+'Inputs'!$B$31+'Inputs'!$B$32,'Inputs'!$B$30+'Inputs'!$B$31+'Inputs'!$B$32)/1000+'Inputs'!$B$21))/SQRT((((817-43)*MAX('Inputs'!$B$33,'Inputs'!$B$29+'Inputs'!$B$31+'Inputs'!$B$32,'Inputs'!$B$30+'Inputs'!$B$31+'Inputs'!$B$32)/1000+'Inputs'!$B$21))^2+('Inputs'!$B$6/2)^2)))-'Results'!C7*(1-'Inputs'!$B$24)*(0.5*((((817-43)*MAX('Inputs'!$B$33,'Inputs'!$B$29+'Inputs'!$B$31+'Inputs'!$B$32,'Inputs'!$B$30+'Inputs'!$B$31+'Inputs'!$B$32)/1000+'Inputs'!$B$21+'Inputs'!$B$7+'Inputs'!$B$10)+'Inputs'!$B$9)/SQRT((((817-43)*MAX('Inputs'!$B$33,'Inputs'!$B$29+'Inputs'!$B$31+'Inputs'!$B$32,'Inputs'!$B$30+'Inputs'!$B$31+'Inputs'!$B$32)/1000+'Inputs'!$B$21+'Inputs'!$B$7+'Inputs'!$B$10)+'Inputs'!$B$9)^2+('Inputs'!$B$8/2)^2)-(((817-43)*MAX('Inputs'!$B$33,'Inputs'!$B$29+'Inputs'!$B$31+'Inputs'!$B$32,'Inputs'!$B$30+'Inputs'!$B$31+'Inputs'!$B$32)/1000+'Inputs'!$B$21+'Inputs'!$B$7+'Inputs'!$B$10))/SQRT((((817-43)*MAX('Inputs'!$B$33,'Inputs'!$B$29+'Inputs'!$B$31+'Inputs'!$B$32,'Inputs'!$B$30+'Inputs'!$B$31+'Inputs'!$B$32)/1000+'Inputs'!$B$21+'Inputs'!$B$7+'Inputs'!$B$10))^2+('Inputs'!$B$8/2)^2))))*'Results'!$B$8))),"")</x:f>
        <x:v>1.0393179607887115</x:v>
      </x:c>
      <x:c r="M817" t="n">
        <x:f>IF(AND(ISNUMBER('Results'!C7),ISNUMBER('Results'!B7),ISNUMBER('Results'!$B$8),ISNUMBER('Inputs'!$B$6),ISNUMBER('Inputs'!$B$7),ISNUMBER('Inputs'!$B$8),ISNUMBER('Inputs'!$B$9),ISNUMBER('Inputs'!$B$10),ISNUMBER('Inputs'!$B$21),ISNUMBER('Inputs'!$B$24),ISNUMBER('Inputs'!$B$28)),(('Results'!C7*(0.5*((((817-43)*MAX('Inputs'!$B$33,'Inputs'!$B$29+'Inputs'!$B$31+'Inputs'!$B$32,'Inputs'!$B$30+'Inputs'!$B$31+'Inputs'!$B$32)/1000+'Inputs'!$B$21)+'Inputs'!$B$9)/SQRT((((817-43)*MAX('Inputs'!$B$33,'Inputs'!$B$29+'Inputs'!$B$31+'Inputs'!$B$32,'Inputs'!$B$30+'Inputs'!$B$31+'Inputs'!$B$32)/1000+'Inputs'!$B$21)+'Inputs'!$B$9)^2+('Inputs'!$B$8/2)^2)-(((817-43)*MAX('Inputs'!$B$33,'Inputs'!$B$29+'Inputs'!$B$31+'Inputs'!$B$32,'Inputs'!$B$30+'Inputs'!$B$31+'Inputs'!$B$32)/1000+'Inputs'!$B$21))/SQRT((((817-43)*MAX('Inputs'!$B$33,'Inputs'!$B$29+'Inputs'!$B$31+'Inputs'!$B$32,'Inputs'!$B$30+'Inputs'!$B$31+'Inputs'!$B$32)/1000+'Inputs'!$B$21))^2+('Inputs'!$B$8/2)^2)))-'Results'!B7*(0.5*((((817-43)*MAX('Inputs'!$B$33,'Inputs'!$B$29+'Inputs'!$B$31+'Inputs'!$B$32,'Inputs'!$B$30+'Inputs'!$B$31+'Inputs'!$B$32)/1000+'Inputs'!$B$21+'Inputs'!$B$9+'Inputs'!$B$10)+'Inputs'!$B$7)/SQRT((((817-43)*MAX('Inputs'!$B$33,'Inputs'!$B$29+'Inputs'!$B$31+'Inputs'!$B$32,'Inputs'!$B$30+'Inputs'!$B$31+'Inputs'!$B$32)/1000+'Inputs'!$B$21+'Inputs'!$B$9+'Inputs'!$B$10)+'Inputs'!$B$7)^2+('Inputs'!$B$6/2)^2)-(((817-43)*MAX('Inputs'!$B$33,'Inputs'!$B$29+'Inputs'!$B$31+'Inputs'!$B$32,'Inputs'!$B$30+'Inputs'!$B$31+'Inputs'!$B$32)/1000+'Inputs'!$B$21+'Inputs'!$B$9+'Inputs'!$B$10))/SQRT((((817-43)*MAX('Inputs'!$B$33,'Inputs'!$B$29+'Inputs'!$B$31+'Inputs'!$B$32,'Inputs'!$B$30+'Inputs'!$B$31+'Inputs'!$B$32)/1000+'Inputs'!$B$21+'Inputs'!$B$9+'Inputs'!$B$10))^2+('Inputs'!$B$6/2)^2))))*'Results'!$B$8),"")</x:f>
        <x:v>0.8153387070469388</x:v>
      </x:c>
      <x:c r="N817" t="n">
        <x:f>IF(AND(ISNUMBER('Results'!C7),ISNUMBER('Results'!B7),ISNUMBER('Results'!$B$8),ISNUMBER('Inputs'!$B$6),ISNUMBER('Inputs'!$B$7),ISNUMBER('Inputs'!$B$8),ISNUMBER('Inputs'!$B$9),ISNUMBER('Inputs'!$B$10),ISNUMBER('Inputs'!$B$21),ISNUMBER('Inputs'!$B$24),ISNUMBER('Inputs'!$B$28)),((('Results'!C7*(1-'Inputs'!$B$24)*(0.5*((((817-43)*MAX('Inputs'!$B$33,'Inputs'!$B$29+'Inputs'!$B$31+'Inputs'!$B$32,'Inputs'!$B$30+'Inputs'!$B$31+'Inputs'!$B$32)/1000+'Inputs'!$B$21)+'Inputs'!$B$9)/SQRT((((817-43)*MAX('Inputs'!$B$33,'Inputs'!$B$29+'Inputs'!$B$31+'Inputs'!$B$32,'Inputs'!$B$30+'Inputs'!$B$31+'Inputs'!$B$32)/1000+'Inputs'!$B$21)+'Inputs'!$B$9)^2+('Inputs'!$B$8/2)^2)-(((817-43)*MAX('Inputs'!$B$33,'Inputs'!$B$29+'Inputs'!$B$31+'Inputs'!$B$32,'Inputs'!$B$30+'Inputs'!$B$31+'Inputs'!$B$32)/1000+'Inputs'!$B$21))/SQRT((((817-43)*MAX('Inputs'!$B$33,'Inputs'!$B$29+'Inputs'!$B$31+'Inputs'!$B$32,'Inputs'!$B$30+'Inputs'!$B$31+'Inputs'!$B$32)/1000+'Inputs'!$B$21))^2+('Inputs'!$B$8/2)^2)))-'Results'!B7*(1+'Inputs'!$B$24)*(0.5*((((817-43)*MAX('Inputs'!$B$33,'Inputs'!$B$29+'Inputs'!$B$31+'Inputs'!$B$32,'Inputs'!$B$30+'Inputs'!$B$31+'Inputs'!$B$32)/1000+'Inputs'!$B$21+'Inputs'!$B$9+'Inputs'!$B$10)+'Inputs'!$B$7)/SQRT((((817-43)*MAX('Inputs'!$B$33,'Inputs'!$B$29+'Inputs'!$B$31+'Inputs'!$B$32,'Inputs'!$B$30+'Inputs'!$B$31+'Inputs'!$B$32)/1000+'Inputs'!$B$21+'Inputs'!$B$9+'Inputs'!$B$10)+'Inputs'!$B$7)^2+('Inputs'!$B$6/2)^2)-(((817-43)*MAX('Inputs'!$B$33,'Inputs'!$B$29+'Inputs'!$B$31+'Inputs'!$B$32,'Inputs'!$B$30+'Inputs'!$B$31+'Inputs'!$B$32)/1000+'Inputs'!$B$21+'Inputs'!$B$9+'Inputs'!$B$10))/SQRT((((817-43)*MAX('Inputs'!$B$33,'Inputs'!$B$29+'Inputs'!$B$31+'Inputs'!$B$32,'Inputs'!$B$30+'Inputs'!$B$31+'Inputs'!$B$32)/1000+'Inputs'!$B$21+'Inputs'!$B$9+'Inputs'!$B$10))^2+('Inputs'!$B$6/2)^2))))*'Results'!$B$8)-'Inputs'!$B$28*ABS((('Results'!C7*(1-'Inputs'!$B$24)*(0.5*((((817-43)*MAX('Inputs'!$B$33,'Inputs'!$B$29+'Inputs'!$B$31+'Inputs'!$B$32,'Inputs'!$B$30+'Inputs'!$B$31+'Inputs'!$B$32)/1000+'Inputs'!$B$21)+'Inputs'!$B$9)/SQRT((((817-43)*MAX('Inputs'!$B$33,'Inputs'!$B$29+'Inputs'!$B$31+'Inputs'!$B$32,'Inputs'!$B$30+'Inputs'!$B$31+'Inputs'!$B$32)/1000+'Inputs'!$B$21)+'Inputs'!$B$9)^2+('Inputs'!$B$8/2)^2)-(((817-43)*MAX('Inputs'!$B$33,'Inputs'!$B$29+'Inputs'!$B$31+'Inputs'!$B$32,'Inputs'!$B$30+'Inputs'!$B$31+'Inputs'!$B$32)/1000+'Inputs'!$B$21))/SQRT((((817-43)*MAX('Inputs'!$B$33,'Inputs'!$B$29+'Inputs'!$B$31+'Inputs'!$B$32,'Inputs'!$B$30+'Inputs'!$B$31+'Inputs'!$B$32)/1000+'Inputs'!$B$21))^2+('Inputs'!$B$8/2)^2)))-'Results'!B7*(1+'Inputs'!$B$24)*(0.5*((((817-43)*MAX('Inputs'!$B$33,'Inputs'!$B$29+'Inputs'!$B$31+'Inputs'!$B$32,'Inputs'!$B$30+'Inputs'!$B$31+'Inputs'!$B$32)/1000+'Inputs'!$B$21+'Inputs'!$B$9+'Inputs'!$B$10)+'Inputs'!$B$7)/SQRT((((817-43)*MAX('Inputs'!$B$33,'Inputs'!$B$29+'Inputs'!$B$31+'Inputs'!$B$32,'Inputs'!$B$30+'Inputs'!$B$31+'Inputs'!$B$32)/1000+'Inputs'!$B$21+'Inputs'!$B$9+'Inputs'!$B$10)+'Inputs'!$B$7)^2+('Inputs'!$B$6/2)^2)-(((817-43)*MAX('Inputs'!$B$33,'Inputs'!$B$29+'Inputs'!$B$31+'Inputs'!$B$32,'Inputs'!$B$30+'Inputs'!$B$31+'Inputs'!$B$32)/1000+'Inputs'!$B$21+'Inputs'!$B$9+'Inputs'!$B$10))/SQRT((((817-43)*MAX('Inputs'!$B$33,'Inputs'!$B$29+'Inputs'!$B$31+'Inputs'!$B$32,'Inputs'!$B$30+'Inputs'!$B$31+'Inputs'!$B$32)/1000+'Inputs'!$B$21+'Inputs'!$B$9+'Inputs'!$B$10))^2+('Inputs'!$B$6/2)^2))))*'Results'!$B$8))),"")</x:f>
        <x:v>0.6923534127144406</x:v>
      </x:c>
      <x:c r="O817" t="n">
        <x:f>IF(AND(ISNUMBER('Results'!C7),ISNUMBER('Results'!B7),ISNUMBER('Results'!$B$8),ISNUMBER('Inputs'!$B$6),ISNUMBER('Inputs'!$B$7),ISNUMBER('Inputs'!$B$8),ISNUMBER('Inputs'!$B$9),ISNUMBER('Inputs'!$B$10),ISNUMBER('Inputs'!$B$21),ISNUMBER('Inputs'!$B$24),ISNUMBER('Inputs'!$B$28)),((('Results'!C7*(1+'Inputs'!$B$24)*(0.5*((((817-43)*MAX('Inputs'!$B$33,'Inputs'!$B$29+'Inputs'!$B$31+'Inputs'!$B$32,'Inputs'!$B$30+'Inputs'!$B$31+'Inputs'!$B$32)/1000+'Inputs'!$B$21)+'Inputs'!$B$9)/SQRT((((817-43)*MAX('Inputs'!$B$33,'Inputs'!$B$29+'Inputs'!$B$31+'Inputs'!$B$32,'Inputs'!$B$30+'Inputs'!$B$31+'Inputs'!$B$32)/1000+'Inputs'!$B$21)+'Inputs'!$B$9)^2+('Inputs'!$B$8/2)^2)-(((817-43)*MAX('Inputs'!$B$33,'Inputs'!$B$29+'Inputs'!$B$31+'Inputs'!$B$32,'Inputs'!$B$30+'Inputs'!$B$31+'Inputs'!$B$32)/1000+'Inputs'!$B$21))/SQRT((((817-43)*MAX('Inputs'!$B$33,'Inputs'!$B$29+'Inputs'!$B$31+'Inputs'!$B$32,'Inputs'!$B$30+'Inputs'!$B$31+'Inputs'!$B$32)/1000+'Inputs'!$B$21))^2+('Inputs'!$B$8/2)^2)))-'Results'!B7*(1-'Inputs'!$B$24)*(0.5*((((817-43)*MAX('Inputs'!$B$33,'Inputs'!$B$29+'Inputs'!$B$31+'Inputs'!$B$32,'Inputs'!$B$30+'Inputs'!$B$31+'Inputs'!$B$32)/1000+'Inputs'!$B$21+'Inputs'!$B$9+'Inputs'!$B$10)+'Inputs'!$B$7)/SQRT((((817-43)*MAX('Inputs'!$B$33,'Inputs'!$B$29+'Inputs'!$B$31+'Inputs'!$B$32,'Inputs'!$B$30+'Inputs'!$B$31+'Inputs'!$B$32)/1000+'Inputs'!$B$21+'Inputs'!$B$9+'Inputs'!$B$10)+'Inputs'!$B$7)^2+('Inputs'!$B$6/2)^2)-(((817-43)*MAX('Inputs'!$B$33,'Inputs'!$B$29+'Inputs'!$B$31+'Inputs'!$B$32,'Inputs'!$B$30+'Inputs'!$B$31+'Inputs'!$B$32)/1000+'Inputs'!$B$21+'Inputs'!$B$9+'Inputs'!$B$10))/SQRT((((817-43)*MAX('Inputs'!$B$33,'Inputs'!$B$29+'Inputs'!$B$31+'Inputs'!$B$32,'Inputs'!$B$30+'Inputs'!$B$31+'Inputs'!$B$32)/1000+'Inputs'!$B$21+'Inputs'!$B$9+'Inputs'!$B$10))^2+('Inputs'!$B$6/2)^2))))*'Results'!$B$8)+'Inputs'!$B$28*ABS((('Results'!C7*(1+'Inputs'!$B$24)*(0.5*((((817-43)*MAX('Inputs'!$B$33,'Inputs'!$B$29+'Inputs'!$B$31+'Inputs'!$B$32,'Inputs'!$B$30+'Inputs'!$B$31+'Inputs'!$B$32)/1000+'Inputs'!$B$21)+'Inputs'!$B$9)/SQRT((((817-43)*MAX('Inputs'!$B$33,'Inputs'!$B$29+'Inputs'!$B$31+'Inputs'!$B$32,'Inputs'!$B$30+'Inputs'!$B$31+'Inputs'!$B$32)/1000+'Inputs'!$B$21)+'Inputs'!$B$9)^2+('Inputs'!$B$8/2)^2)-(((817-43)*MAX('Inputs'!$B$33,'Inputs'!$B$29+'Inputs'!$B$31+'Inputs'!$B$32,'Inputs'!$B$30+'Inputs'!$B$31+'Inputs'!$B$32)/1000+'Inputs'!$B$21))/SQRT((((817-43)*MAX('Inputs'!$B$33,'Inputs'!$B$29+'Inputs'!$B$31+'Inputs'!$B$32,'Inputs'!$B$30+'Inputs'!$B$31+'Inputs'!$B$32)/1000+'Inputs'!$B$21))^2+('Inputs'!$B$8/2)^2)))-'Results'!B7*(1-'Inputs'!$B$24)*(0.5*((((817-43)*MAX('Inputs'!$B$33,'Inputs'!$B$29+'Inputs'!$B$31+'Inputs'!$B$32,'Inputs'!$B$30+'Inputs'!$B$31+'Inputs'!$B$32)/1000+'Inputs'!$B$21+'Inputs'!$B$9+'Inputs'!$B$10)+'Inputs'!$B$7)/SQRT((((817-43)*MAX('Inputs'!$B$33,'Inputs'!$B$29+'Inputs'!$B$31+'Inputs'!$B$32,'Inputs'!$B$30+'Inputs'!$B$31+'Inputs'!$B$32)/1000+'Inputs'!$B$21+'Inputs'!$B$9+'Inputs'!$B$10)+'Inputs'!$B$7)^2+('Inputs'!$B$6/2)^2)-(((817-43)*MAX('Inputs'!$B$33,'Inputs'!$B$29+'Inputs'!$B$31+'Inputs'!$B$32,'Inputs'!$B$30+'Inputs'!$B$31+'Inputs'!$B$32)/1000+'Inputs'!$B$21+'Inputs'!$B$9+'Inputs'!$B$10))/SQRT((((817-43)*MAX('Inputs'!$B$33,'Inputs'!$B$29+'Inputs'!$B$31+'Inputs'!$B$32,'Inputs'!$B$30+'Inputs'!$B$31+'Inputs'!$B$32)/1000+'Inputs'!$B$21+'Inputs'!$B$9+'Inputs'!$B$10))^2+('Inputs'!$B$6/2)^2))))*'Results'!$B$8))),"")</x:f>
        <x:v>0.9469785654826111</x:v>
      </x:c>
      <x:c r="P817" t="n">
        <x:f>IF(AND(MAX(J817,J816)&gt;0,J817&gt;J816+0.00000001),1,0)</x:f>
        <x:v>0</x:v>
      </x:c>
      <x:c r="Q817" t="n">
        <x:f>IF(AND(MAX(K817,K816)&gt;0,K817&gt;K816+0.00000001),1,0)</x:f>
        <x:v>0</x:v>
      </x:c>
      <x:c r="R817" t="n">
        <x:f>IF(AND(MAX(L817,L816)&gt;0,L817&gt;L816+0.00000001),1,0)</x:f>
        <x:v>0</x:v>
      </x:c>
      <x:c r="S817" t="n">
        <x:f>IF(AND(MAX(M817,M816)&gt;0,M817&gt;M816+0.00000001),1,0)</x:f>
        <x:v>0</x:v>
      </x:c>
      <x:c r="T817" t="n">
        <x:f>IF(AND(MAX(N817,N816)&gt;0,N817&gt;N816+0.00000001),1,0)</x:f>
        <x:v>0</x:v>
      </x:c>
      <x:c r="U817" t="n">
        <x:f>IF(AND(MAX(O817,O816)&gt;0,O817&gt;O816+0.00000001),1,0)</x:f>
        <x:v>0</x:v>
      </x:c>
    </x:row>
    <x:row r="818">
      <x:c r="J818" t="n">
        <x:f>IF(AND(ISNUMBER('Results'!B7),ISNUMBER('Results'!C7),ISNUMBER('Results'!$B$8),ISNUMBER('Inputs'!$B$6),ISNUMBER('Inputs'!$B$7),ISNUMBER('Inputs'!$B$8),ISNUMBER('Inputs'!$B$9),ISNUMBER('Inputs'!$B$10),ISNUMBER('Inputs'!$B$21),ISNUMBER('Inputs'!$B$24),ISNUMBER('Inputs'!$B$28)),(('Results'!B7*(0.5*((((818-43)*MAX('Inputs'!$B$33,'Inputs'!$B$29+'Inputs'!$B$31+'Inputs'!$B$32,'Inputs'!$B$30+'Inputs'!$B$31+'Inputs'!$B$32)/1000+'Inputs'!$B$21)+'Inputs'!$B$7)/SQRT((((818-43)*MAX('Inputs'!$B$33,'Inputs'!$B$29+'Inputs'!$B$31+'Inputs'!$B$32,'Inputs'!$B$30+'Inputs'!$B$31+'Inputs'!$B$32)/1000+'Inputs'!$B$21)+'Inputs'!$B$7)^2+('Inputs'!$B$6/2)^2)-(((818-43)*MAX('Inputs'!$B$33,'Inputs'!$B$29+'Inputs'!$B$31+'Inputs'!$B$32,'Inputs'!$B$30+'Inputs'!$B$31+'Inputs'!$B$32)/1000+'Inputs'!$B$21))/SQRT((((818-43)*MAX('Inputs'!$B$33,'Inputs'!$B$29+'Inputs'!$B$31+'Inputs'!$B$32,'Inputs'!$B$30+'Inputs'!$B$31+'Inputs'!$B$32)/1000+'Inputs'!$B$21))^2+('Inputs'!$B$6/2)^2)))-'Results'!C7*(0.5*((((818-43)*MAX('Inputs'!$B$33,'Inputs'!$B$29+'Inputs'!$B$31+'Inputs'!$B$32,'Inputs'!$B$30+'Inputs'!$B$31+'Inputs'!$B$32)/1000+'Inputs'!$B$21+'Inputs'!$B$7+'Inputs'!$B$10)+'Inputs'!$B$9)/SQRT((((818-43)*MAX('Inputs'!$B$33,'Inputs'!$B$29+'Inputs'!$B$31+'Inputs'!$B$32,'Inputs'!$B$30+'Inputs'!$B$31+'Inputs'!$B$32)/1000+'Inputs'!$B$21+'Inputs'!$B$7+'Inputs'!$B$10)+'Inputs'!$B$9)^2+('Inputs'!$B$8/2)^2)-(((818-43)*MAX('Inputs'!$B$33,'Inputs'!$B$29+'Inputs'!$B$31+'Inputs'!$B$32,'Inputs'!$B$30+'Inputs'!$B$31+'Inputs'!$B$32)/1000+'Inputs'!$B$21+'Inputs'!$B$7+'Inputs'!$B$10))/SQRT((((818-43)*MAX('Inputs'!$B$33,'Inputs'!$B$29+'Inputs'!$B$31+'Inputs'!$B$32,'Inputs'!$B$30+'Inputs'!$B$31+'Inputs'!$B$32)/1000+'Inputs'!$B$21+'Inputs'!$B$7+'Inputs'!$B$10))^2+('Inputs'!$B$8/2)^2))))*'Results'!$B$8),"")</x:f>
        <x:v>0.8987635003089727</x:v>
      </x:c>
      <x:c r="K818" t="n">
        <x:f>IF(AND(ISNUMBER('Results'!B7),ISNUMBER('Results'!C7),ISNUMBER('Results'!$B$8),ISNUMBER('Inputs'!$B$6),ISNUMBER('Inputs'!$B$7),ISNUMBER('Inputs'!$B$8),ISNUMBER('Inputs'!$B$9),ISNUMBER('Inputs'!$B$10),ISNUMBER('Inputs'!$B$21),ISNUMBER('Inputs'!$B$24),ISNUMBER('Inputs'!$B$28)),((('Results'!B7*(1-'Inputs'!$B$24)*(0.5*((((818-43)*MAX('Inputs'!$B$33,'Inputs'!$B$29+'Inputs'!$B$31+'Inputs'!$B$32,'Inputs'!$B$30+'Inputs'!$B$31+'Inputs'!$B$32)/1000+'Inputs'!$B$21)+'Inputs'!$B$7)/SQRT((((818-43)*MAX('Inputs'!$B$33,'Inputs'!$B$29+'Inputs'!$B$31+'Inputs'!$B$32,'Inputs'!$B$30+'Inputs'!$B$31+'Inputs'!$B$32)/1000+'Inputs'!$B$21)+'Inputs'!$B$7)^2+('Inputs'!$B$6/2)^2)-(((818-43)*MAX('Inputs'!$B$33,'Inputs'!$B$29+'Inputs'!$B$31+'Inputs'!$B$32,'Inputs'!$B$30+'Inputs'!$B$31+'Inputs'!$B$32)/1000+'Inputs'!$B$21))/SQRT((((818-43)*MAX('Inputs'!$B$33,'Inputs'!$B$29+'Inputs'!$B$31+'Inputs'!$B$32,'Inputs'!$B$30+'Inputs'!$B$31+'Inputs'!$B$32)/1000+'Inputs'!$B$21))^2+('Inputs'!$B$6/2)^2)))-'Results'!C7*(1+'Inputs'!$B$24)*(0.5*((((818-43)*MAX('Inputs'!$B$33,'Inputs'!$B$29+'Inputs'!$B$31+'Inputs'!$B$32,'Inputs'!$B$30+'Inputs'!$B$31+'Inputs'!$B$32)/1000+'Inputs'!$B$21+'Inputs'!$B$7+'Inputs'!$B$10)+'Inputs'!$B$9)/SQRT((((818-43)*MAX('Inputs'!$B$33,'Inputs'!$B$29+'Inputs'!$B$31+'Inputs'!$B$32,'Inputs'!$B$30+'Inputs'!$B$31+'Inputs'!$B$32)/1000+'Inputs'!$B$21+'Inputs'!$B$7+'Inputs'!$B$10)+'Inputs'!$B$9)^2+('Inputs'!$B$8/2)^2)-(((818-43)*MAX('Inputs'!$B$33,'Inputs'!$B$29+'Inputs'!$B$31+'Inputs'!$B$32,'Inputs'!$B$30+'Inputs'!$B$31+'Inputs'!$B$32)/1000+'Inputs'!$B$21+'Inputs'!$B$7+'Inputs'!$B$10))/SQRT((((818-43)*MAX('Inputs'!$B$33,'Inputs'!$B$29+'Inputs'!$B$31+'Inputs'!$B$32,'Inputs'!$B$30+'Inputs'!$B$31+'Inputs'!$B$32)/1000+'Inputs'!$B$21+'Inputs'!$B$7+'Inputs'!$B$10))^2+('Inputs'!$B$8/2)^2))))*'Results'!$B$8)-'Inputs'!$B$28*ABS((('Results'!B7*(1-'Inputs'!$B$24)*(0.5*((((818-43)*MAX('Inputs'!$B$33,'Inputs'!$B$29+'Inputs'!$B$31+'Inputs'!$B$32,'Inputs'!$B$30+'Inputs'!$B$31+'Inputs'!$B$32)/1000+'Inputs'!$B$21)+'Inputs'!$B$7)/SQRT((((818-43)*MAX('Inputs'!$B$33,'Inputs'!$B$29+'Inputs'!$B$31+'Inputs'!$B$32,'Inputs'!$B$30+'Inputs'!$B$31+'Inputs'!$B$32)/1000+'Inputs'!$B$21)+'Inputs'!$B$7)^2+('Inputs'!$B$6/2)^2)-(((818-43)*MAX('Inputs'!$B$33,'Inputs'!$B$29+'Inputs'!$B$31+'Inputs'!$B$32,'Inputs'!$B$30+'Inputs'!$B$31+'Inputs'!$B$32)/1000+'Inputs'!$B$21))/SQRT((((818-43)*MAX('Inputs'!$B$33,'Inputs'!$B$29+'Inputs'!$B$31+'Inputs'!$B$32,'Inputs'!$B$30+'Inputs'!$B$31+'Inputs'!$B$32)/1000+'Inputs'!$B$21))^2+('Inputs'!$B$6/2)^2)))-'Results'!C7*(1+'Inputs'!$B$24)*(0.5*((((818-43)*MAX('Inputs'!$B$33,'Inputs'!$B$29+'Inputs'!$B$31+'Inputs'!$B$32,'Inputs'!$B$30+'Inputs'!$B$31+'Inputs'!$B$32)/1000+'Inputs'!$B$21+'Inputs'!$B$7+'Inputs'!$B$10)+'Inputs'!$B$9)/SQRT((((818-43)*MAX('Inputs'!$B$33,'Inputs'!$B$29+'Inputs'!$B$31+'Inputs'!$B$32,'Inputs'!$B$30+'Inputs'!$B$31+'Inputs'!$B$32)/1000+'Inputs'!$B$21+'Inputs'!$B$7+'Inputs'!$B$10)+'Inputs'!$B$9)^2+('Inputs'!$B$8/2)^2)-(((818-43)*MAX('Inputs'!$B$33,'Inputs'!$B$29+'Inputs'!$B$31+'Inputs'!$B$32,'Inputs'!$B$30+'Inputs'!$B$31+'Inputs'!$B$32)/1000+'Inputs'!$B$21+'Inputs'!$B$7+'Inputs'!$B$10))/SQRT((((818-43)*MAX('Inputs'!$B$33,'Inputs'!$B$29+'Inputs'!$B$31+'Inputs'!$B$32,'Inputs'!$B$30+'Inputs'!$B$31+'Inputs'!$B$32)/1000+'Inputs'!$B$21+'Inputs'!$B$7+'Inputs'!$B$10))^2+('Inputs'!$B$8/2)^2))))*'Results'!$B$8))),"")</x:f>
        <x:v>0.7715703915533693</x:v>
      </x:c>
      <x:c r="L818" t="n">
        <x:f>IF(AND(ISNUMBER('Results'!B7),ISNUMBER('Results'!C7),ISNUMBER('Results'!$B$8),ISNUMBER('Inputs'!$B$6),ISNUMBER('Inputs'!$B$7),ISNUMBER('Inputs'!$B$8),ISNUMBER('Inputs'!$B$9),ISNUMBER('Inputs'!$B$10),ISNUMBER('Inputs'!$B$21),ISNUMBER('Inputs'!$B$24),ISNUMBER('Inputs'!$B$28)),((('Results'!B7*(1+'Inputs'!$B$24)*(0.5*((((818-43)*MAX('Inputs'!$B$33,'Inputs'!$B$29+'Inputs'!$B$31+'Inputs'!$B$32,'Inputs'!$B$30+'Inputs'!$B$31+'Inputs'!$B$32)/1000+'Inputs'!$B$21)+'Inputs'!$B$7)/SQRT((((818-43)*MAX('Inputs'!$B$33,'Inputs'!$B$29+'Inputs'!$B$31+'Inputs'!$B$32,'Inputs'!$B$30+'Inputs'!$B$31+'Inputs'!$B$32)/1000+'Inputs'!$B$21)+'Inputs'!$B$7)^2+('Inputs'!$B$6/2)^2)-(((818-43)*MAX('Inputs'!$B$33,'Inputs'!$B$29+'Inputs'!$B$31+'Inputs'!$B$32,'Inputs'!$B$30+'Inputs'!$B$31+'Inputs'!$B$32)/1000+'Inputs'!$B$21))/SQRT((((818-43)*MAX('Inputs'!$B$33,'Inputs'!$B$29+'Inputs'!$B$31+'Inputs'!$B$32,'Inputs'!$B$30+'Inputs'!$B$31+'Inputs'!$B$32)/1000+'Inputs'!$B$21))^2+('Inputs'!$B$6/2)^2)))-'Results'!C7*(1-'Inputs'!$B$24)*(0.5*((((818-43)*MAX('Inputs'!$B$33,'Inputs'!$B$29+'Inputs'!$B$31+'Inputs'!$B$32,'Inputs'!$B$30+'Inputs'!$B$31+'Inputs'!$B$32)/1000+'Inputs'!$B$21+'Inputs'!$B$7+'Inputs'!$B$10)+'Inputs'!$B$9)/SQRT((((818-43)*MAX('Inputs'!$B$33,'Inputs'!$B$29+'Inputs'!$B$31+'Inputs'!$B$32,'Inputs'!$B$30+'Inputs'!$B$31+'Inputs'!$B$32)/1000+'Inputs'!$B$21+'Inputs'!$B$7+'Inputs'!$B$10)+'Inputs'!$B$9)^2+('Inputs'!$B$8/2)^2)-(((818-43)*MAX('Inputs'!$B$33,'Inputs'!$B$29+'Inputs'!$B$31+'Inputs'!$B$32,'Inputs'!$B$30+'Inputs'!$B$31+'Inputs'!$B$32)/1000+'Inputs'!$B$21+'Inputs'!$B$7+'Inputs'!$B$10))/SQRT((((818-43)*MAX('Inputs'!$B$33,'Inputs'!$B$29+'Inputs'!$B$31+'Inputs'!$B$32,'Inputs'!$B$30+'Inputs'!$B$31+'Inputs'!$B$32)/1000+'Inputs'!$B$21+'Inputs'!$B$7+'Inputs'!$B$10))^2+('Inputs'!$B$8/2)^2))))*'Results'!$B$8)+'Inputs'!$B$28*ABS((('Results'!B7*(1+'Inputs'!$B$24)*(0.5*((((818-43)*MAX('Inputs'!$B$33,'Inputs'!$B$29+'Inputs'!$B$31+'Inputs'!$B$32,'Inputs'!$B$30+'Inputs'!$B$31+'Inputs'!$B$32)/1000+'Inputs'!$B$21)+'Inputs'!$B$7)/SQRT((((818-43)*MAX('Inputs'!$B$33,'Inputs'!$B$29+'Inputs'!$B$31+'Inputs'!$B$32,'Inputs'!$B$30+'Inputs'!$B$31+'Inputs'!$B$32)/1000+'Inputs'!$B$21)+'Inputs'!$B$7)^2+('Inputs'!$B$6/2)^2)-(((818-43)*MAX('Inputs'!$B$33,'Inputs'!$B$29+'Inputs'!$B$31+'Inputs'!$B$32,'Inputs'!$B$30+'Inputs'!$B$31+'Inputs'!$B$32)/1000+'Inputs'!$B$21))/SQRT((((818-43)*MAX('Inputs'!$B$33,'Inputs'!$B$29+'Inputs'!$B$31+'Inputs'!$B$32,'Inputs'!$B$30+'Inputs'!$B$31+'Inputs'!$B$32)/1000+'Inputs'!$B$21))^2+('Inputs'!$B$6/2)^2)))-'Results'!C7*(1-'Inputs'!$B$24)*(0.5*((((818-43)*MAX('Inputs'!$B$33,'Inputs'!$B$29+'Inputs'!$B$31+'Inputs'!$B$32,'Inputs'!$B$30+'Inputs'!$B$31+'Inputs'!$B$32)/1000+'Inputs'!$B$21+'Inputs'!$B$7+'Inputs'!$B$10)+'Inputs'!$B$9)/SQRT((((818-43)*MAX('Inputs'!$B$33,'Inputs'!$B$29+'Inputs'!$B$31+'Inputs'!$B$32,'Inputs'!$B$30+'Inputs'!$B$31+'Inputs'!$B$32)/1000+'Inputs'!$B$21+'Inputs'!$B$7+'Inputs'!$B$10)+'Inputs'!$B$9)^2+('Inputs'!$B$8/2)^2)-(((818-43)*MAX('Inputs'!$B$33,'Inputs'!$B$29+'Inputs'!$B$31+'Inputs'!$B$32,'Inputs'!$B$30+'Inputs'!$B$31+'Inputs'!$B$32)/1000+'Inputs'!$B$21+'Inputs'!$B$7+'Inputs'!$B$10))/SQRT((((818-43)*MAX('Inputs'!$B$33,'Inputs'!$B$29+'Inputs'!$B$31+'Inputs'!$B$32,'Inputs'!$B$30+'Inputs'!$B$31+'Inputs'!$B$32)/1000+'Inputs'!$B$21+'Inputs'!$B$7+'Inputs'!$B$10))^2+('Inputs'!$B$8/2)^2))))*'Results'!$B$8))),"")</x:f>
        <x:v>1.0346150231424864</x:v>
      </x:c>
      <x:c r="M818" t="n">
        <x:f>IF(AND(ISNUMBER('Results'!C7),ISNUMBER('Results'!B7),ISNUMBER('Results'!$B$8),ISNUMBER('Inputs'!$B$6),ISNUMBER('Inputs'!$B$7),ISNUMBER('Inputs'!$B$8),ISNUMBER('Inputs'!$B$9),ISNUMBER('Inputs'!$B$10),ISNUMBER('Inputs'!$B$21),ISNUMBER('Inputs'!$B$24),ISNUMBER('Inputs'!$B$28)),(('Results'!C7*(0.5*((((818-43)*MAX('Inputs'!$B$33,'Inputs'!$B$29+'Inputs'!$B$31+'Inputs'!$B$32,'Inputs'!$B$30+'Inputs'!$B$31+'Inputs'!$B$32)/1000+'Inputs'!$B$21)+'Inputs'!$B$9)/SQRT((((818-43)*MAX('Inputs'!$B$33,'Inputs'!$B$29+'Inputs'!$B$31+'Inputs'!$B$32,'Inputs'!$B$30+'Inputs'!$B$31+'Inputs'!$B$32)/1000+'Inputs'!$B$21)+'Inputs'!$B$9)^2+('Inputs'!$B$8/2)^2)-(((818-43)*MAX('Inputs'!$B$33,'Inputs'!$B$29+'Inputs'!$B$31+'Inputs'!$B$32,'Inputs'!$B$30+'Inputs'!$B$31+'Inputs'!$B$32)/1000+'Inputs'!$B$21))/SQRT((((818-43)*MAX('Inputs'!$B$33,'Inputs'!$B$29+'Inputs'!$B$31+'Inputs'!$B$32,'Inputs'!$B$30+'Inputs'!$B$31+'Inputs'!$B$32)/1000+'Inputs'!$B$21))^2+('Inputs'!$B$8/2)^2)))-'Results'!B7*(0.5*((((818-43)*MAX('Inputs'!$B$33,'Inputs'!$B$29+'Inputs'!$B$31+'Inputs'!$B$32,'Inputs'!$B$30+'Inputs'!$B$31+'Inputs'!$B$32)/1000+'Inputs'!$B$21+'Inputs'!$B$9+'Inputs'!$B$10)+'Inputs'!$B$7)/SQRT((((818-43)*MAX('Inputs'!$B$33,'Inputs'!$B$29+'Inputs'!$B$31+'Inputs'!$B$32,'Inputs'!$B$30+'Inputs'!$B$31+'Inputs'!$B$32)/1000+'Inputs'!$B$21+'Inputs'!$B$9+'Inputs'!$B$10)+'Inputs'!$B$7)^2+('Inputs'!$B$6/2)^2)-(((818-43)*MAX('Inputs'!$B$33,'Inputs'!$B$29+'Inputs'!$B$31+'Inputs'!$B$32,'Inputs'!$B$30+'Inputs'!$B$31+'Inputs'!$B$32)/1000+'Inputs'!$B$21+'Inputs'!$B$9+'Inputs'!$B$10))/SQRT((((818-43)*MAX('Inputs'!$B$33,'Inputs'!$B$29+'Inputs'!$B$31+'Inputs'!$B$32,'Inputs'!$B$30+'Inputs'!$B$31+'Inputs'!$B$32)/1000+'Inputs'!$B$21+'Inputs'!$B$9+'Inputs'!$B$10))^2+('Inputs'!$B$6/2)^2))))*'Results'!$B$8),"")</x:f>
        <x:v>0.8114792690117714</x:v>
      </x:c>
      <x:c r="N818" t="n">
        <x:f>IF(AND(ISNUMBER('Results'!C7),ISNUMBER('Results'!B7),ISNUMBER('Results'!$B$8),ISNUMBER('Inputs'!$B$6),ISNUMBER('Inputs'!$B$7),ISNUMBER('Inputs'!$B$8),ISNUMBER('Inputs'!$B$9),ISNUMBER('Inputs'!$B$10),ISNUMBER('Inputs'!$B$21),ISNUMBER('Inputs'!$B$24),ISNUMBER('Inputs'!$B$28)),((('Results'!C7*(1-'Inputs'!$B$24)*(0.5*((((818-43)*MAX('Inputs'!$B$33,'Inputs'!$B$29+'Inputs'!$B$31+'Inputs'!$B$32,'Inputs'!$B$30+'Inputs'!$B$31+'Inputs'!$B$32)/1000+'Inputs'!$B$21)+'Inputs'!$B$9)/SQRT((((818-43)*MAX('Inputs'!$B$33,'Inputs'!$B$29+'Inputs'!$B$31+'Inputs'!$B$32,'Inputs'!$B$30+'Inputs'!$B$31+'Inputs'!$B$32)/1000+'Inputs'!$B$21)+'Inputs'!$B$9)^2+('Inputs'!$B$8/2)^2)-(((818-43)*MAX('Inputs'!$B$33,'Inputs'!$B$29+'Inputs'!$B$31+'Inputs'!$B$32,'Inputs'!$B$30+'Inputs'!$B$31+'Inputs'!$B$32)/1000+'Inputs'!$B$21))/SQRT((((818-43)*MAX('Inputs'!$B$33,'Inputs'!$B$29+'Inputs'!$B$31+'Inputs'!$B$32,'Inputs'!$B$30+'Inputs'!$B$31+'Inputs'!$B$32)/1000+'Inputs'!$B$21))^2+('Inputs'!$B$8/2)^2)))-'Results'!B7*(1+'Inputs'!$B$24)*(0.5*((((818-43)*MAX('Inputs'!$B$33,'Inputs'!$B$29+'Inputs'!$B$31+'Inputs'!$B$32,'Inputs'!$B$30+'Inputs'!$B$31+'Inputs'!$B$32)/1000+'Inputs'!$B$21+'Inputs'!$B$9+'Inputs'!$B$10)+'Inputs'!$B$7)/SQRT((((818-43)*MAX('Inputs'!$B$33,'Inputs'!$B$29+'Inputs'!$B$31+'Inputs'!$B$32,'Inputs'!$B$30+'Inputs'!$B$31+'Inputs'!$B$32)/1000+'Inputs'!$B$21+'Inputs'!$B$9+'Inputs'!$B$10)+'Inputs'!$B$7)^2+('Inputs'!$B$6/2)^2)-(((818-43)*MAX('Inputs'!$B$33,'Inputs'!$B$29+'Inputs'!$B$31+'Inputs'!$B$32,'Inputs'!$B$30+'Inputs'!$B$31+'Inputs'!$B$32)/1000+'Inputs'!$B$21+'Inputs'!$B$9+'Inputs'!$B$10))/SQRT((((818-43)*MAX('Inputs'!$B$33,'Inputs'!$B$29+'Inputs'!$B$31+'Inputs'!$B$32,'Inputs'!$B$30+'Inputs'!$B$31+'Inputs'!$B$32)/1000+'Inputs'!$B$21+'Inputs'!$B$9+'Inputs'!$B$10))^2+('Inputs'!$B$6/2)^2))))*'Results'!$B$8)-'Inputs'!$B$28*ABS((('Results'!C7*(1-'Inputs'!$B$24)*(0.5*((((818-43)*MAX('Inputs'!$B$33,'Inputs'!$B$29+'Inputs'!$B$31+'Inputs'!$B$32,'Inputs'!$B$30+'Inputs'!$B$31+'Inputs'!$B$32)/1000+'Inputs'!$B$21)+'Inputs'!$B$9)/SQRT((((818-43)*MAX('Inputs'!$B$33,'Inputs'!$B$29+'Inputs'!$B$31+'Inputs'!$B$32,'Inputs'!$B$30+'Inputs'!$B$31+'Inputs'!$B$32)/1000+'Inputs'!$B$21)+'Inputs'!$B$9)^2+('Inputs'!$B$8/2)^2)-(((818-43)*MAX('Inputs'!$B$33,'Inputs'!$B$29+'Inputs'!$B$31+'Inputs'!$B$32,'Inputs'!$B$30+'Inputs'!$B$31+'Inputs'!$B$32)/1000+'Inputs'!$B$21))/SQRT((((818-43)*MAX('Inputs'!$B$33,'Inputs'!$B$29+'Inputs'!$B$31+'Inputs'!$B$32,'Inputs'!$B$30+'Inputs'!$B$31+'Inputs'!$B$32)/1000+'Inputs'!$B$21))^2+('Inputs'!$B$8/2)^2)))-'Results'!B7*(1+'Inputs'!$B$24)*(0.5*((((818-43)*MAX('Inputs'!$B$33,'Inputs'!$B$29+'Inputs'!$B$31+'Inputs'!$B$32,'Inputs'!$B$30+'Inputs'!$B$31+'Inputs'!$B$32)/1000+'Inputs'!$B$21+'Inputs'!$B$9+'Inputs'!$B$10)+'Inputs'!$B$7)/SQRT((((818-43)*MAX('Inputs'!$B$33,'Inputs'!$B$29+'Inputs'!$B$31+'Inputs'!$B$32,'Inputs'!$B$30+'Inputs'!$B$31+'Inputs'!$B$32)/1000+'Inputs'!$B$21+'Inputs'!$B$9+'Inputs'!$B$10)+'Inputs'!$B$7)^2+('Inputs'!$B$6/2)^2)-(((818-43)*MAX('Inputs'!$B$33,'Inputs'!$B$29+'Inputs'!$B$31+'Inputs'!$B$32,'Inputs'!$B$30+'Inputs'!$B$31+'Inputs'!$B$32)/1000+'Inputs'!$B$21+'Inputs'!$B$9+'Inputs'!$B$10))/SQRT((((818-43)*MAX('Inputs'!$B$33,'Inputs'!$B$29+'Inputs'!$B$31+'Inputs'!$B$32,'Inputs'!$B$30+'Inputs'!$B$31+'Inputs'!$B$32)/1000+'Inputs'!$B$21+'Inputs'!$B$9+'Inputs'!$B$10))^2+('Inputs'!$B$6/2)^2))))*'Results'!$B$8))),"")</x:f>
        <x:v>0.6889786002313019</x:v>
      </x:c>
      <x:c r="O818" t="n">
        <x:f>IF(AND(ISNUMBER('Results'!C7),ISNUMBER('Results'!B7),ISNUMBER('Results'!$B$8),ISNUMBER('Inputs'!$B$6),ISNUMBER('Inputs'!$B$7),ISNUMBER('Inputs'!$B$8),ISNUMBER('Inputs'!$B$9),ISNUMBER('Inputs'!$B$10),ISNUMBER('Inputs'!$B$21),ISNUMBER('Inputs'!$B$24),ISNUMBER('Inputs'!$B$28)),((('Results'!C7*(1+'Inputs'!$B$24)*(0.5*((((818-43)*MAX('Inputs'!$B$33,'Inputs'!$B$29+'Inputs'!$B$31+'Inputs'!$B$32,'Inputs'!$B$30+'Inputs'!$B$31+'Inputs'!$B$32)/1000+'Inputs'!$B$21)+'Inputs'!$B$9)/SQRT((((818-43)*MAX('Inputs'!$B$33,'Inputs'!$B$29+'Inputs'!$B$31+'Inputs'!$B$32,'Inputs'!$B$30+'Inputs'!$B$31+'Inputs'!$B$32)/1000+'Inputs'!$B$21)+'Inputs'!$B$9)^2+('Inputs'!$B$8/2)^2)-(((818-43)*MAX('Inputs'!$B$33,'Inputs'!$B$29+'Inputs'!$B$31+'Inputs'!$B$32,'Inputs'!$B$30+'Inputs'!$B$31+'Inputs'!$B$32)/1000+'Inputs'!$B$21))/SQRT((((818-43)*MAX('Inputs'!$B$33,'Inputs'!$B$29+'Inputs'!$B$31+'Inputs'!$B$32,'Inputs'!$B$30+'Inputs'!$B$31+'Inputs'!$B$32)/1000+'Inputs'!$B$21))^2+('Inputs'!$B$8/2)^2)))-'Results'!B7*(1-'Inputs'!$B$24)*(0.5*((((818-43)*MAX('Inputs'!$B$33,'Inputs'!$B$29+'Inputs'!$B$31+'Inputs'!$B$32,'Inputs'!$B$30+'Inputs'!$B$31+'Inputs'!$B$32)/1000+'Inputs'!$B$21+'Inputs'!$B$9+'Inputs'!$B$10)+'Inputs'!$B$7)/SQRT((((818-43)*MAX('Inputs'!$B$33,'Inputs'!$B$29+'Inputs'!$B$31+'Inputs'!$B$32,'Inputs'!$B$30+'Inputs'!$B$31+'Inputs'!$B$32)/1000+'Inputs'!$B$21+'Inputs'!$B$9+'Inputs'!$B$10)+'Inputs'!$B$7)^2+('Inputs'!$B$6/2)^2)-(((818-43)*MAX('Inputs'!$B$33,'Inputs'!$B$29+'Inputs'!$B$31+'Inputs'!$B$32,'Inputs'!$B$30+'Inputs'!$B$31+'Inputs'!$B$32)/1000+'Inputs'!$B$21+'Inputs'!$B$9+'Inputs'!$B$10))/SQRT((((818-43)*MAX('Inputs'!$B$33,'Inputs'!$B$29+'Inputs'!$B$31+'Inputs'!$B$32,'Inputs'!$B$30+'Inputs'!$B$31+'Inputs'!$B$32)/1000+'Inputs'!$B$21+'Inputs'!$B$9+'Inputs'!$B$10))^2+('Inputs'!$B$6/2)^2))))*'Results'!$B$8)+'Inputs'!$B$28*ABS((('Results'!C7*(1+'Inputs'!$B$24)*(0.5*((((818-43)*MAX('Inputs'!$B$33,'Inputs'!$B$29+'Inputs'!$B$31+'Inputs'!$B$32,'Inputs'!$B$30+'Inputs'!$B$31+'Inputs'!$B$32)/1000+'Inputs'!$B$21)+'Inputs'!$B$9)/SQRT((((818-43)*MAX('Inputs'!$B$33,'Inputs'!$B$29+'Inputs'!$B$31+'Inputs'!$B$32,'Inputs'!$B$30+'Inputs'!$B$31+'Inputs'!$B$32)/1000+'Inputs'!$B$21)+'Inputs'!$B$9)^2+('Inputs'!$B$8/2)^2)-(((818-43)*MAX('Inputs'!$B$33,'Inputs'!$B$29+'Inputs'!$B$31+'Inputs'!$B$32,'Inputs'!$B$30+'Inputs'!$B$31+'Inputs'!$B$32)/1000+'Inputs'!$B$21))/SQRT((((818-43)*MAX('Inputs'!$B$33,'Inputs'!$B$29+'Inputs'!$B$31+'Inputs'!$B$32,'Inputs'!$B$30+'Inputs'!$B$31+'Inputs'!$B$32)/1000+'Inputs'!$B$21))^2+('Inputs'!$B$8/2)^2)))-'Results'!B7*(1-'Inputs'!$B$24)*(0.5*((((818-43)*MAX('Inputs'!$B$33,'Inputs'!$B$29+'Inputs'!$B$31+'Inputs'!$B$32,'Inputs'!$B$30+'Inputs'!$B$31+'Inputs'!$B$32)/1000+'Inputs'!$B$21+'Inputs'!$B$9+'Inputs'!$B$10)+'Inputs'!$B$7)/SQRT((((818-43)*MAX('Inputs'!$B$33,'Inputs'!$B$29+'Inputs'!$B$31+'Inputs'!$B$32,'Inputs'!$B$30+'Inputs'!$B$31+'Inputs'!$B$32)/1000+'Inputs'!$B$21+'Inputs'!$B$9+'Inputs'!$B$10)+'Inputs'!$B$7)^2+('Inputs'!$B$6/2)^2)-(((818-43)*MAX('Inputs'!$B$33,'Inputs'!$B$29+'Inputs'!$B$31+'Inputs'!$B$32,'Inputs'!$B$30+'Inputs'!$B$31+'Inputs'!$B$32)/1000+'Inputs'!$B$21+'Inputs'!$B$9+'Inputs'!$B$10))/SQRT((((818-43)*MAX('Inputs'!$B$33,'Inputs'!$B$29+'Inputs'!$B$31+'Inputs'!$B$32,'Inputs'!$B$30+'Inputs'!$B$31+'Inputs'!$B$32)/1000+'Inputs'!$B$21+'Inputs'!$B$9+'Inputs'!$B$10))^2+('Inputs'!$B$6/2)^2))))*'Results'!$B$8))),"")</x:f>
        <x:v>0.942603801511176</x:v>
      </x:c>
      <x:c r="P818" t="n">
        <x:f>IF(AND(MAX(J818,J817)&gt;0,J818&gt;J817+0.00000001),1,0)</x:f>
        <x:v>0</x:v>
      </x:c>
      <x:c r="Q818" t="n">
        <x:f>IF(AND(MAX(K818,K817)&gt;0,K818&gt;K817+0.00000001),1,0)</x:f>
        <x:v>0</x:v>
      </x:c>
      <x:c r="R818" t="n">
        <x:f>IF(AND(MAX(L818,L817)&gt;0,L818&gt;L817+0.00000001),1,0)</x:f>
        <x:v>0</x:v>
      </x:c>
      <x:c r="S818" t="n">
        <x:f>IF(AND(MAX(M818,M817)&gt;0,M818&gt;M817+0.00000001),1,0)</x:f>
        <x:v>0</x:v>
      </x:c>
      <x:c r="T818" t="n">
        <x:f>IF(AND(MAX(N818,N817)&gt;0,N818&gt;N817+0.00000001),1,0)</x:f>
        <x:v>0</x:v>
      </x:c>
      <x:c r="U818" t="n">
        <x:f>IF(AND(MAX(O818,O817)&gt;0,O818&gt;O817+0.00000001),1,0)</x:f>
        <x:v>0</x:v>
      </x:c>
    </x:row>
    <x:row r="819">
      <x:c r="J819" t="n">
        <x:f>IF(AND(ISNUMBER('Results'!B7),ISNUMBER('Results'!C7),ISNUMBER('Results'!$B$8),ISNUMBER('Inputs'!$B$6),ISNUMBER('Inputs'!$B$7),ISNUMBER('Inputs'!$B$8),ISNUMBER('Inputs'!$B$9),ISNUMBER('Inputs'!$B$10),ISNUMBER('Inputs'!$B$21),ISNUMBER('Inputs'!$B$24),ISNUMBER('Inputs'!$B$28)),(('Results'!B7*(0.5*((((819-43)*MAX('Inputs'!$B$33,'Inputs'!$B$29+'Inputs'!$B$31+'Inputs'!$B$32,'Inputs'!$B$30+'Inputs'!$B$31+'Inputs'!$B$32)/1000+'Inputs'!$B$21)+'Inputs'!$B$7)/SQRT((((819-43)*MAX('Inputs'!$B$33,'Inputs'!$B$29+'Inputs'!$B$31+'Inputs'!$B$32,'Inputs'!$B$30+'Inputs'!$B$31+'Inputs'!$B$32)/1000+'Inputs'!$B$21)+'Inputs'!$B$7)^2+('Inputs'!$B$6/2)^2)-(((819-43)*MAX('Inputs'!$B$33,'Inputs'!$B$29+'Inputs'!$B$31+'Inputs'!$B$32,'Inputs'!$B$30+'Inputs'!$B$31+'Inputs'!$B$32)/1000+'Inputs'!$B$21))/SQRT((((819-43)*MAX('Inputs'!$B$33,'Inputs'!$B$29+'Inputs'!$B$31+'Inputs'!$B$32,'Inputs'!$B$30+'Inputs'!$B$31+'Inputs'!$B$32)/1000+'Inputs'!$B$21))^2+('Inputs'!$B$6/2)^2)))-'Results'!C7*(0.5*((((819-43)*MAX('Inputs'!$B$33,'Inputs'!$B$29+'Inputs'!$B$31+'Inputs'!$B$32,'Inputs'!$B$30+'Inputs'!$B$31+'Inputs'!$B$32)/1000+'Inputs'!$B$21+'Inputs'!$B$7+'Inputs'!$B$10)+'Inputs'!$B$9)/SQRT((((819-43)*MAX('Inputs'!$B$33,'Inputs'!$B$29+'Inputs'!$B$31+'Inputs'!$B$32,'Inputs'!$B$30+'Inputs'!$B$31+'Inputs'!$B$32)/1000+'Inputs'!$B$21+'Inputs'!$B$7+'Inputs'!$B$10)+'Inputs'!$B$9)^2+('Inputs'!$B$8/2)^2)-(((819-43)*MAX('Inputs'!$B$33,'Inputs'!$B$29+'Inputs'!$B$31+'Inputs'!$B$32,'Inputs'!$B$30+'Inputs'!$B$31+'Inputs'!$B$32)/1000+'Inputs'!$B$21+'Inputs'!$B$7+'Inputs'!$B$10))/SQRT((((819-43)*MAX('Inputs'!$B$33,'Inputs'!$B$29+'Inputs'!$B$31+'Inputs'!$B$32,'Inputs'!$B$30+'Inputs'!$B$31+'Inputs'!$B$32)/1000+'Inputs'!$B$21+'Inputs'!$B$7+'Inputs'!$B$10))^2+('Inputs'!$B$8/2)^2))))*'Results'!$B$8),"")</x:f>
        <x:v>0.8946172853021755</x:v>
      </x:c>
      <x:c r="K819" t="n">
        <x:f>IF(AND(ISNUMBER('Results'!B7),ISNUMBER('Results'!C7),ISNUMBER('Results'!$B$8),ISNUMBER('Inputs'!$B$6),ISNUMBER('Inputs'!$B$7),ISNUMBER('Inputs'!$B$8),ISNUMBER('Inputs'!$B$9),ISNUMBER('Inputs'!$B$10),ISNUMBER('Inputs'!$B$21),ISNUMBER('Inputs'!$B$24),ISNUMBER('Inputs'!$B$28)),((('Results'!B7*(1-'Inputs'!$B$24)*(0.5*((((819-43)*MAX('Inputs'!$B$33,'Inputs'!$B$29+'Inputs'!$B$31+'Inputs'!$B$32,'Inputs'!$B$30+'Inputs'!$B$31+'Inputs'!$B$32)/1000+'Inputs'!$B$21)+'Inputs'!$B$7)/SQRT((((819-43)*MAX('Inputs'!$B$33,'Inputs'!$B$29+'Inputs'!$B$31+'Inputs'!$B$32,'Inputs'!$B$30+'Inputs'!$B$31+'Inputs'!$B$32)/1000+'Inputs'!$B$21)+'Inputs'!$B$7)^2+('Inputs'!$B$6/2)^2)-(((819-43)*MAX('Inputs'!$B$33,'Inputs'!$B$29+'Inputs'!$B$31+'Inputs'!$B$32,'Inputs'!$B$30+'Inputs'!$B$31+'Inputs'!$B$32)/1000+'Inputs'!$B$21))/SQRT((((819-43)*MAX('Inputs'!$B$33,'Inputs'!$B$29+'Inputs'!$B$31+'Inputs'!$B$32,'Inputs'!$B$30+'Inputs'!$B$31+'Inputs'!$B$32)/1000+'Inputs'!$B$21))^2+('Inputs'!$B$6/2)^2)))-'Results'!C7*(1+'Inputs'!$B$24)*(0.5*((((819-43)*MAX('Inputs'!$B$33,'Inputs'!$B$29+'Inputs'!$B$31+'Inputs'!$B$32,'Inputs'!$B$30+'Inputs'!$B$31+'Inputs'!$B$32)/1000+'Inputs'!$B$21+'Inputs'!$B$7+'Inputs'!$B$10)+'Inputs'!$B$9)/SQRT((((819-43)*MAX('Inputs'!$B$33,'Inputs'!$B$29+'Inputs'!$B$31+'Inputs'!$B$32,'Inputs'!$B$30+'Inputs'!$B$31+'Inputs'!$B$32)/1000+'Inputs'!$B$21+'Inputs'!$B$7+'Inputs'!$B$10)+'Inputs'!$B$9)^2+('Inputs'!$B$8/2)^2)-(((819-43)*MAX('Inputs'!$B$33,'Inputs'!$B$29+'Inputs'!$B$31+'Inputs'!$B$32,'Inputs'!$B$30+'Inputs'!$B$31+'Inputs'!$B$32)/1000+'Inputs'!$B$21+'Inputs'!$B$7+'Inputs'!$B$10))/SQRT((((819-43)*MAX('Inputs'!$B$33,'Inputs'!$B$29+'Inputs'!$B$31+'Inputs'!$B$32,'Inputs'!$B$30+'Inputs'!$B$31+'Inputs'!$B$32)/1000+'Inputs'!$B$21+'Inputs'!$B$7+'Inputs'!$B$10))^2+('Inputs'!$B$8/2)^2))))*'Results'!$B$8)-'Inputs'!$B$28*ABS((('Results'!B7*(1-'Inputs'!$B$24)*(0.5*((((819-43)*MAX('Inputs'!$B$33,'Inputs'!$B$29+'Inputs'!$B$31+'Inputs'!$B$32,'Inputs'!$B$30+'Inputs'!$B$31+'Inputs'!$B$32)/1000+'Inputs'!$B$21)+'Inputs'!$B$7)/SQRT((((819-43)*MAX('Inputs'!$B$33,'Inputs'!$B$29+'Inputs'!$B$31+'Inputs'!$B$32,'Inputs'!$B$30+'Inputs'!$B$31+'Inputs'!$B$32)/1000+'Inputs'!$B$21)+'Inputs'!$B$7)^2+('Inputs'!$B$6/2)^2)-(((819-43)*MAX('Inputs'!$B$33,'Inputs'!$B$29+'Inputs'!$B$31+'Inputs'!$B$32,'Inputs'!$B$30+'Inputs'!$B$31+'Inputs'!$B$32)/1000+'Inputs'!$B$21))/SQRT((((819-43)*MAX('Inputs'!$B$33,'Inputs'!$B$29+'Inputs'!$B$31+'Inputs'!$B$32,'Inputs'!$B$30+'Inputs'!$B$31+'Inputs'!$B$32)/1000+'Inputs'!$B$21))^2+('Inputs'!$B$6/2)^2)))-'Results'!C7*(1+'Inputs'!$B$24)*(0.5*((((819-43)*MAX('Inputs'!$B$33,'Inputs'!$B$29+'Inputs'!$B$31+'Inputs'!$B$32,'Inputs'!$B$30+'Inputs'!$B$31+'Inputs'!$B$32)/1000+'Inputs'!$B$21+'Inputs'!$B$7+'Inputs'!$B$10)+'Inputs'!$B$9)/SQRT((((819-43)*MAX('Inputs'!$B$33,'Inputs'!$B$29+'Inputs'!$B$31+'Inputs'!$B$32,'Inputs'!$B$30+'Inputs'!$B$31+'Inputs'!$B$32)/1000+'Inputs'!$B$21+'Inputs'!$B$7+'Inputs'!$B$10)+'Inputs'!$B$9)^2+('Inputs'!$B$8/2)^2)-(((819-43)*MAX('Inputs'!$B$33,'Inputs'!$B$29+'Inputs'!$B$31+'Inputs'!$B$32,'Inputs'!$B$30+'Inputs'!$B$31+'Inputs'!$B$32)/1000+'Inputs'!$B$21+'Inputs'!$B$7+'Inputs'!$B$10))/SQRT((((819-43)*MAX('Inputs'!$B$33,'Inputs'!$B$29+'Inputs'!$B$31+'Inputs'!$B$32,'Inputs'!$B$30+'Inputs'!$B$31+'Inputs'!$B$32)/1000+'Inputs'!$B$21+'Inputs'!$B$7+'Inputs'!$B$10))^2+('Inputs'!$B$8/2)^2))))*'Results'!$B$8))),"")</x:f>
        <x:v>0.767923292468438</x:v>
      </x:c>
      <x:c r="L819" t="n">
        <x:f>IF(AND(ISNUMBER('Results'!B7),ISNUMBER('Results'!C7),ISNUMBER('Results'!$B$8),ISNUMBER('Inputs'!$B$6),ISNUMBER('Inputs'!$B$7),ISNUMBER('Inputs'!$B$8),ISNUMBER('Inputs'!$B$9),ISNUMBER('Inputs'!$B$10),ISNUMBER('Inputs'!$B$21),ISNUMBER('Inputs'!$B$24),ISNUMBER('Inputs'!$B$28)),((('Results'!B7*(1+'Inputs'!$B$24)*(0.5*((((819-43)*MAX('Inputs'!$B$33,'Inputs'!$B$29+'Inputs'!$B$31+'Inputs'!$B$32,'Inputs'!$B$30+'Inputs'!$B$31+'Inputs'!$B$32)/1000+'Inputs'!$B$21)+'Inputs'!$B$7)/SQRT((((819-43)*MAX('Inputs'!$B$33,'Inputs'!$B$29+'Inputs'!$B$31+'Inputs'!$B$32,'Inputs'!$B$30+'Inputs'!$B$31+'Inputs'!$B$32)/1000+'Inputs'!$B$21)+'Inputs'!$B$7)^2+('Inputs'!$B$6/2)^2)-(((819-43)*MAX('Inputs'!$B$33,'Inputs'!$B$29+'Inputs'!$B$31+'Inputs'!$B$32,'Inputs'!$B$30+'Inputs'!$B$31+'Inputs'!$B$32)/1000+'Inputs'!$B$21))/SQRT((((819-43)*MAX('Inputs'!$B$33,'Inputs'!$B$29+'Inputs'!$B$31+'Inputs'!$B$32,'Inputs'!$B$30+'Inputs'!$B$31+'Inputs'!$B$32)/1000+'Inputs'!$B$21))^2+('Inputs'!$B$6/2)^2)))-'Results'!C7*(1-'Inputs'!$B$24)*(0.5*((((819-43)*MAX('Inputs'!$B$33,'Inputs'!$B$29+'Inputs'!$B$31+'Inputs'!$B$32,'Inputs'!$B$30+'Inputs'!$B$31+'Inputs'!$B$32)/1000+'Inputs'!$B$21+'Inputs'!$B$7+'Inputs'!$B$10)+'Inputs'!$B$9)/SQRT((((819-43)*MAX('Inputs'!$B$33,'Inputs'!$B$29+'Inputs'!$B$31+'Inputs'!$B$32,'Inputs'!$B$30+'Inputs'!$B$31+'Inputs'!$B$32)/1000+'Inputs'!$B$21+'Inputs'!$B$7+'Inputs'!$B$10)+'Inputs'!$B$9)^2+('Inputs'!$B$8/2)^2)-(((819-43)*MAX('Inputs'!$B$33,'Inputs'!$B$29+'Inputs'!$B$31+'Inputs'!$B$32,'Inputs'!$B$30+'Inputs'!$B$31+'Inputs'!$B$32)/1000+'Inputs'!$B$21+'Inputs'!$B$7+'Inputs'!$B$10))/SQRT((((819-43)*MAX('Inputs'!$B$33,'Inputs'!$B$29+'Inputs'!$B$31+'Inputs'!$B$32,'Inputs'!$B$30+'Inputs'!$B$31+'Inputs'!$B$32)/1000+'Inputs'!$B$21+'Inputs'!$B$7+'Inputs'!$B$10))^2+('Inputs'!$B$8/2)^2))))*'Results'!$B$8)+'Inputs'!$B$28*ABS((('Results'!B7*(1+'Inputs'!$B$24)*(0.5*((((819-43)*MAX('Inputs'!$B$33,'Inputs'!$B$29+'Inputs'!$B$31+'Inputs'!$B$32,'Inputs'!$B$30+'Inputs'!$B$31+'Inputs'!$B$32)/1000+'Inputs'!$B$21)+'Inputs'!$B$7)/SQRT((((819-43)*MAX('Inputs'!$B$33,'Inputs'!$B$29+'Inputs'!$B$31+'Inputs'!$B$32,'Inputs'!$B$30+'Inputs'!$B$31+'Inputs'!$B$32)/1000+'Inputs'!$B$21)+'Inputs'!$B$7)^2+('Inputs'!$B$6/2)^2)-(((819-43)*MAX('Inputs'!$B$33,'Inputs'!$B$29+'Inputs'!$B$31+'Inputs'!$B$32,'Inputs'!$B$30+'Inputs'!$B$31+'Inputs'!$B$32)/1000+'Inputs'!$B$21))/SQRT((((819-43)*MAX('Inputs'!$B$33,'Inputs'!$B$29+'Inputs'!$B$31+'Inputs'!$B$32,'Inputs'!$B$30+'Inputs'!$B$31+'Inputs'!$B$32)/1000+'Inputs'!$B$21))^2+('Inputs'!$B$6/2)^2)))-'Results'!C7*(1-'Inputs'!$B$24)*(0.5*((((819-43)*MAX('Inputs'!$B$33,'Inputs'!$B$29+'Inputs'!$B$31+'Inputs'!$B$32,'Inputs'!$B$30+'Inputs'!$B$31+'Inputs'!$B$32)/1000+'Inputs'!$B$21+'Inputs'!$B$7+'Inputs'!$B$10)+'Inputs'!$B$9)/SQRT((((819-43)*MAX('Inputs'!$B$33,'Inputs'!$B$29+'Inputs'!$B$31+'Inputs'!$B$32,'Inputs'!$B$30+'Inputs'!$B$31+'Inputs'!$B$32)/1000+'Inputs'!$B$21+'Inputs'!$B$7+'Inputs'!$B$10)+'Inputs'!$B$9)^2+('Inputs'!$B$8/2)^2)-(((819-43)*MAX('Inputs'!$B$33,'Inputs'!$B$29+'Inputs'!$B$31+'Inputs'!$B$32,'Inputs'!$B$30+'Inputs'!$B$31+'Inputs'!$B$32)/1000+'Inputs'!$B$21+'Inputs'!$B$7+'Inputs'!$B$10))/SQRT((((819-43)*MAX('Inputs'!$B$33,'Inputs'!$B$29+'Inputs'!$B$31+'Inputs'!$B$32,'Inputs'!$B$30+'Inputs'!$B$31+'Inputs'!$B$32)/1000+'Inputs'!$B$21+'Inputs'!$B$7+'Inputs'!$B$10))^2+('Inputs'!$B$8/2)^2))))*'Results'!$B$8))),"")</x:f>
        <x:v>1.0299389758799793</x:v>
      </x:c>
      <x:c r="M819" t="n">
        <x:f>IF(AND(ISNUMBER('Results'!C7),ISNUMBER('Results'!B7),ISNUMBER('Results'!$B$8),ISNUMBER('Inputs'!$B$6),ISNUMBER('Inputs'!$B$7),ISNUMBER('Inputs'!$B$8),ISNUMBER('Inputs'!$B$9),ISNUMBER('Inputs'!$B$10),ISNUMBER('Inputs'!$B$21),ISNUMBER('Inputs'!$B$24),ISNUMBER('Inputs'!$B$28)),(('Results'!C7*(0.5*((((819-43)*MAX('Inputs'!$B$33,'Inputs'!$B$29+'Inputs'!$B$31+'Inputs'!$B$32,'Inputs'!$B$30+'Inputs'!$B$31+'Inputs'!$B$32)/1000+'Inputs'!$B$21)+'Inputs'!$B$9)/SQRT((((819-43)*MAX('Inputs'!$B$33,'Inputs'!$B$29+'Inputs'!$B$31+'Inputs'!$B$32,'Inputs'!$B$30+'Inputs'!$B$31+'Inputs'!$B$32)/1000+'Inputs'!$B$21)+'Inputs'!$B$9)^2+('Inputs'!$B$8/2)^2)-(((819-43)*MAX('Inputs'!$B$33,'Inputs'!$B$29+'Inputs'!$B$31+'Inputs'!$B$32,'Inputs'!$B$30+'Inputs'!$B$31+'Inputs'!$B$32)/1000+'Inputs'!$B$21))/SQRT((((819-43)*MAX('Inputs'!$B$33,'Inputs'!$B$29+'Inputs'!$B$31+'Inputs'!$B$32,'Inputs'!$B$30+'Inputs'!$B$31+'Inputs'!$B$32)/1000+'Inputs'!$B$21))^2+('Inputs'!$B$8/2)^2)))-'Results'!B7*(0.5*((((819-43)*MAX('Inputs'!$B$33,'Inputs'!$B$29+'Inputs'!$B$31+'Inputs'!$B$32,'Inputs'!$B$30+'Inputs'!$B$31+'Inputs'!$B$32)/1000+'Inputs'!$B$21+'Inputs'!$B$9+'Inputs'!$B$10)+'Inputs'!$B$7)/SQRT((((819-43)*MAX('Inputs'!$B$33,'Inputs'!$B$29+'Inputs'!$B$31+'Inputs'!$B$32,'Inputs'!$B$30+'Inputs'!$B$31+'Inputs'!$B$32)/1000+'Inputs'!$B$21+'Inputs'!$B$9+'Inputs'!$B$10)+'Inputs'!$B$7)^2+('Inputs'!$B$6/2)^2)-(((819-43)*MAX('Inputs'!$B$33,'Inputs'!$B$29+'Inputs'!$B$31+'Inputs'!$B$32,'Inputs'!$B$30+'Inputs'!$B$31+'Inputs'!$B$32)/1000+'Inputs'!$B$21+'Inputs'!$B$9+'Inputs'!$B$10))/SQRT((((819-43)*MAX('Inputs'!$B$33,'Inputs'!$B$29+'Inputs'!$B$31+'Inputs'!$B$32,'Inputs'!$B$30+'Inputs'!$B$31+'Inputs'!$B$32)/1000+'Inputs'!$B$21+'Inputs'!$B$9+'Inputs'!$B$10))^2+('Inputs'!$B$6/2)^2))))*'Results'!$B$8),"")</x:f>
        <x:v>0.8076425054968748</x:v>
      </x:c>
      <x:c r="N819" t="n">
        <x:f>IF(AND(ISNUMBER('Results'!C7),ISNUMBER('Results'!B7),ISNUMBER('Results'!$B$8),ISNUMBER('Inputs'!$B$6),ISNUMBER('Inputs'!$B$7),ISNUMBER('Inputs'!$B$8),ISNUMBER('Inputs'!$B$9),ISNUMBER('Inputs'!$B$10),ISNUMBER('Inputs'!$B$21),ISNUMBER('Inputs'!$B$24),ISNUMBER('Inputs'!$B$28)),((('Results'!C7*(1-'Inputs'!$B$24)*(0.5*((((819-43)*MAX('Inputs'!$B$33,'Inputs'!$B$29+'Inputs'!$B$31+'Inputs'!$B$32,'Inputs'!$B$30+'Inputs'!$B$31+'Inputs'!$B$32)/1000+'Inputs'!$B$21)+'Inputs'!$B$9)/SQRT((((819-43)*MAX('Inputs'!$B$33,'Inputs'!$B$29+'Inputs'!$B$31+'Inputs'!$B$32,'Inputs'!$B$30+'Inputs'!$B$31+'Inputs'!$B$32)/1000+'Inputs'!$B$21)+'Inputs'!$B$9)^2+('Inputs'!$B$8/2)^2)-(((819-43)*MAX('Inputs'!$B$33,'Inputs'!$B$29+'Inputs'!$B$31+'Inputs'!$B$32,'Inputs'!$B$30+'Inputs'!$B$31+'Inputs'!$B$32)/1000+'Inputs'!$B$21))/SQRT((((819-43)*MAX('Inputs'!$B$33,'Inputs'!$B$29+'Inputs'!$B$31+'Inputs'!$B$32,'Inputs'!$B$30+'Inputs'!$B$31+'Inputs'!$B$32)/1000+'Inputs'!$B$21))^2+('Inputs'!$B$8/2)^2)))-'Results'!B7*(1+'Inputs'!$B$24)*(0.5*((((819-43)*MAX('Inputs'!$B$33,'Inputs'!$B$29+'Inputs'!$B$31+'Inputs'!$B$32,'Inputs'!$B$30+'Inputs'!$B$31+'Inputs'!$B$32)/1000+'Inputs'!$B$21+'Inputs'!$B$9+'Inputs'!$B$10)+'Inputs'!$B$7)/SQRT((((819-43)*MAX('Inputs'!$B$33,'Inputs'!$B$29+'Inputs'!$B$31+'Inputs'!$B$32,'Inputs'!$B$30+'Inputs'!$B$31+'Inputs'!$B$32)/1000+'Inputs'!$B$21+'Inputs'!$B$9+'Inputs'!$B$10)+'Inputs'!$B$7)^2+('Inputs'!$B$6/2)^2)-(((819-43)*MAX('Inputs'!$B$33,'Inputs'!$B$29+'Inputs'!$B$31+'Inputs'!$B$32,'Inputs'!$B$30+'Inputs'!$B$31+'Inputs'!$B$32)/1000+'Inputs'!$B$21+'Inputs'!$B$9+'Inputs'!$B$10))/SQRT((((819-43)*MAX('Inputs'!$B$33,'Inputs'!$B$29+'Inputs'!$B$31+'Inputs'!$B$32,'Inputs'!$B$30+'Inputs'!$B$31+'Inputs'!$B$32)/1000+'Inputs'!$B$21+'Inputs'!$B$9+'Inputs'!$B$10))^2+('Inputs'!$B$6/2)^2))))*'Results'!$B$8)-'Inputs'!$B$28*ABS((('Results'!C7*(1-'Inputs'!$B$24)*(0.5*((((819-43)*MAX('Inputs'!$B$33,'Inputs'!$B$29+'Inputs'!$B$31+'Inputs'!$B$32,'Inputs'!$B$30+'Inputs'!$B$31+'Inputs'!$B$32)/1000+'Inputs'!$B$21)+'Inputs'!$B$9)/SQRT((((819-43)*MAX('Inputs'!$B$33,'Inputs'!$B$29+'Inputs'!$B$31+'Inputs'!$B$32,'Inputs'!$B$30+'Inputs'!$B$31+'Inputs'!$B$32)/1000+'Inputs'!$B$21)+'Inputs'!$B$9)^2+('Inputs'!$B$8/2)^2)-(((819-43)*MAX('Inputs'!$B$33,'Inputs'!$B$29+'Inputs'!$B$31+'Inputs'!$B$32,'Inputs'!$B$30+'Inputs'!$B$31+'Inputs'!$B$32)/1000+'Inputs'!$B$21))/SQRT((((819-43)*MAX('Inputs'!$B$33,'Inputs'!$B$29+'Inputs'!$B$31+'Inputs'!$B$32,'Inputs'!$B$30+'Inputs'!$B$31+'Inputs'!$B$32)/1000+'Inputs'!$B$21))^2+('Inputs'!$B$8/2)^2)))-'Results'!B7*(1+'Inputs'!$B$24)*(0.5*((((819-43)*MAX('Inputs'!$B$33,'Inputs'!$B$29+'Inputs'!$B$31+'Inputs'!$B$32,'Inputs'!$B$30+'Inputs'!$B$31+'Inputs'!$B$32)/1000+'Inputs'!$B$21+'Inputs'!$B$9+'Inputs'!$B$10)+'Inputs'!$B$7)/SQRT((((819-43)*MAX('Inputs'!$B$33,'Inputs'!$B$29+'Inputs'!$B$31+'Inputs'!$B$32,'Inputs'!$B$30+'Inputs'!$B$31+'Inputs'!$B$32)/1000+'Inputs'!$B$21+'Inputs'!$B$9+'Inputs'!$B$10)+'Inputs'!$B$7)^2+('Inputs'!$B$6/2)^2)-(((819-43)*MAX('Inputs'!$B$33,'Inputs'!$B$29+'Inputs'!$B$31+'Inputs'!$B$32,'Inputs'!$B$30+'Inputs'!$B$31+'Inputs'!$B$32)/1000+'Inputs'!$B$21+'Inputs'!$B$9+'Inputs'!$B$10))/SQRT((((819-43)*MAX('Inputs'!$B$33,'Inputs'!$B$29+'Inputs'!$B$31+'Inputs'!$B$32,'Inputs'!$B$30+'Inputs'!$B$31+'Inputs'!$B$32)/1000+'Inputs'!$B$21+'Inputs'!$B$9+'Inputs'!$B$10))^2+('Inputs'!$B$6/2)^2))))*'Results'!$B$8))),"")</x:f>
        <x:v>0.6856239479768891</x:v>
      </x:c>
      <x:c r="O819" t="n">
        <x:f>IF(AND(ISNUMBER('Results'!C7),ISNUMBER('Results'!B7),ISNUMBER('Results'!$B$8),ISNUMBER('Inputs'!$B$6),ISNUMBER('Inputs'!$B$7),ISNUMBER('Inputs'!$B$8),ISNUMBER('Inputs'!$B$9),ISNUMBER('Inputs'!$B$10),ISNUMBER('Inputs'!$B$21),ISNUMBER('Inputs'!$B$24),ISNUMBER('Inputs'!$B$28)),((('Results'!C7*(1+'Inputs'!$B$24)*(0.5*((((819-43)*MAX('Inputs'!$B$33,'Inputs'!$B$29+'Inputs'!$B$31+'Inputs'!$B$32,'Inputs'!$B$30+'Inputs'!$B$31+'Inputs'!$B$32)/1000+'Inputs'!$B$21)+'Inputs'!$B$9)/SQRT((((819-43)*MAX('Inputs'!$B$33,'Inputs'!$B$29+'Inputs'!$B$31+'Inputs'!$B$32,'Inputs'!$B$30+'Inputs'!$B$31+'Inputs'!$B$32)/1000+'Inputs'!$B$21)+'Inputs'!$B$9)^2+('Inputs'!$B$8/2)^2)-(((819-43)*MAX('Inputs'!$B$33,'Inputs'!$B$29+'Inputs'!$B$31+'Inputs'!$B$32,'Inputs'!$B$30+'Inputs'!$B$31+'Inputs'!$B$32)/1000+'Inputs'!$B$21))/SQRT((((819-43)*MAX('Inputs'!$B$33,'Inputs'!$B$29+'Inputs'!$B$31+'Inputs'!$B$32,'Inputs'!$B$30+'Inputs'!$B$31+'Inputs'!$B$32)/1000+'Inputs'!$B$21))^2+('Inputs'!$B$8/2)^2)))-'Results'!B7*(1-'Inputs'!$B$24)*(0.5*((((819-43)*MAX('Inputs'!$B$33,'Inputs'!$B$29+'Inputs'!$B$31+'Inputs'!$B$32,'Inputs'!$B$30+'Inputs'!$B$31+'Inputs'!$B$32)/1000+'Inputs'!$B$21+'Inputs'!$B$9+'Inputs'!$B$10)+'Inputs'!$B$7)/SQRT((((819-43)*MAX('Inputs'!$B$33,'Inputs'!$B$29+'Inputs'!$B$31+'Inputs'!$B$32,'Inputs'!$B$30+'Inputs'!$B$31+'Inputs'!$B$32)/1000+'Inputs'!$B$21+'Inputs'!$B$9+'Inputs'!$B$10)+'Inputs'!$B$7)^2+('Inputs'!$B$6/2)^2)-(((819-43)*MAX('Inputs'!$B$33,'Inputs'!$B$29+'Inputs'!$B$31+'Inputs'!$B$32,'Inputs'!$B$30+'Inputs'!$B$31+'Inputs'!$B$32)/1000+'Inputs'!$B$21+'Inputs'!$B$9+'Inputs'!$B$10))/SQRT((((819-43)*MAX('Inputs'!$B$33,'Inputs'!$B$29+'Inputs'!$B$31+'Inputs'!$B$32,'Inputs'!$B$30+'Inputs'!$B$31+'Inputs'!$B$32)/1000+'Inputs'!$B$21+'Inputs'!$B$9+'Inputs'!$B$10))^2+('Inputs'!$B$6/2)^2))))*'Results'!$B$8)+'Inputs'!$B$28*ABS((('Results'!C7*(1+'Inputs'!$B$24)*(0.5*((((819-43)*MAX('Inputs'!$B$33,'Inputs'!$B$29+'Inputs'!$B$31+'Inputs'!$B$32,'Inputs'!$B$30+'Inputs'!$B$31+'Inputs'!$B$32)/1000+'Inputs'!$B$21)+'Inputs'!$B$9)/SQRT((((819-43)*MAX('Inputs'!$B$33,'Inputs'!$B$29+'Inputs'!$B$31+'Inputs'!$B$32,'Inputs'!$B$30+'Inputs'!$B$31+'Inputs'!$B$32)/1000+'Inputs'!$B$21)+'Inputs'!$B$9)^2+('Inputs'!$B$8/2)^2)-(((819-43)*MAX('Inputs'!$B$33,'Inputs'!$B$29+'Inputs'!$B$31+'Inputs'!$B$32,'Inputs'!$B$30+'Inputs'!$B$31+'Inputs'!$B$32)/1000+'Inputs'!$B$21))/SQRT((((819-43)*MAX('Inputs'!$B$33,'Inputs'!$B$29+'Inputs'!$B$31+'Inputs'!$B$32,'Inputs'!$B$30+'Inputs'!$B$31+'Inputs'!$B$32)/1000+'Inputs'!$B$21))^2+('Inputs'!$B$8/2)^2)))-'Results'!B7*(1-'Inputs'!$B$24)*(0.5*((((819-43)*MAX('Inputs'!$B$33,'Inputs'!$B$29+'Inputs'!$B$31+'Inputs'!$B$32,'Inputs'!$B$30+'Inputs'!$B$31+'Inputs'!$B$32)/1000+'Inputs'!$B$21+'Inputs'!$B$9+'Inputs'!$B$10)+'Inputs'!$B$7)/SQRT((((819-43)*MAX('Inputs'!$B$33,'Inputs'!$B$29+'Inputs'!$B$31+'Inputs'!$B$32,'Inputs'!$B$30+'Inputs'!$B$31+'Inputs'!$B$32)/1000+'Inputs'!$B$21+'Inputs'!$B$9+'Inputs'!$B$10)+'Inputs'!$B$7)^2+('Inputs'!$B$6/2)^2)-(((819-43)*MAX('Inputs'!$B$33,'Inputs'!$B$29+'Inputs'!$B$31+'Inputs'!$B$32,'Inputs'!$B$30+'Inputs'!$B$31+'Inputs'!$B$32)/1000+'Inputs'!$B$21+'Inputs'!$B$9+'Inputs'!$B$10))/SQRT((((819-43)*MAX('Inputs'!$B$33,'Inputs'!$B$29+'Inputs'!$B$31+'Inputs'!$B$32,'Inputs'!$B$30+'Inputs'!$B$31+'Inputs'!$B$32)/1000+'Inputs'!$B$21+'Inputs'!$B$9+'Inputs'!$B$10))^2+('Inputs'!$B$6/2)^2))))*'Results'!$B$8))),"")</x:f>
        <x:v>0.9382543716742441</x:v>
      </x:c>
      <x:c r="P819" t="n">
        <x:f>IF(AND(MAX(J819,J818)&gt;0,J819&gt;J818+0.00000001),1,0)</x:f>
        <x:v>0</x:v>
      </x:c>
      <x:c r="Q819" t="n">
        <x:f>IF(AND(MAX(K819,K818)&gt;0,K819&gt;K818+0.00000001),1,0)</x:f>
        <x:v>0</x:v>
      </x:c>
      <x:c r="R819" t="n">
        <x:f>IF(AND(MAX(L819,L818)&gt;0,L819&gt;L818+0.00000001),1,0)</x:f>
        <x:v>0</x:v>
      </x:c>
      <x:c r="S819" t="n">
        <x:f>IF(AND(MAX(M819,M818)&gt;0,M819&gt;M818+0.00000001),1,0)</x:f>
        <x:v>0</x:v>
      </x:c>
      <x:c r="T819" t="n">
        <x:f>IF(AND(MAX(N819,N818)&gt;0,N819&gt;N818+0.00000001),1,0)</x:f>
        <x:v>0</x:v>
      </x:c>
      <x:c r="U819" t="n">
        <x:f>IF(AND(MAX(O819,O818)&gt;0,O819&gt;O818+0.00000001),1,0)</x:f>
        <x:v>0</x:v>
      </x:c>
    </x:row>
    <x:row r="820">
      <x:c r="J820" t="n">
        <x:f>IF(AND(ISNUMBER('Results'!B7),ISNUMBER('Results'!C7),ISNUMBER('Results'!$B$8),ISNUMBER('Inputs'!$B$6),ISNUMBER('Inputs'!$B$7),ISNUMBER('Inputs'!$B$8),ISNUMBER('Inputs'!$B$9),ISNUMBER('Inputs'!$B$10),ISNUMBER('Inputs'!$B$21),ISNUMBER('Inputs'!$B$24),ISNUMBER('Inputs'!$B$28)),(('Results'!B7*(0.5*((((820-43)*MAX('Inputs'!$B$33,'Inputs'!$B$29+'Inputs'!$B$31+'Inputs'!$B$32,'Inputs'!$B$30+'Inputs'!$B$31+'Inputs'!$B$32)/1000+'Inputs'!$B$21)+'Inputs'!$B$7)/SQRT((((820-43)*MAX('Inputs'!$B$33,'Inputs'!$B$29+'Inputs'!$B$31+'Inputs'!$B$32,'Inputs'!$B$30+'Inputs'!$B$31+'Inputs'!$B$32)/1000+'Inputs'!$B$21)+'Inputs'!$B$7)^2+('Inputs'!$B$6/2)^2)-(((820-43)*MAX('Inputs'!$B$33,'Inputs'!$B$29+'Inputs'!$B$31+'Inputs'!$B$32,'Inputs'!$B$30+'Inputs'!$B$31+'Inputs'!$B$32)/1000+'Inputs'!$B$21))/SQRT((((820-43)*MAX('Inputs'!$B$33,'Inputs'!$B$29+'Inputs'!$B$31+'Inputs'!$B$32,'Inputs'!$B$30+'Inputs'!$B$31+'Inputs'!$B$32)/1000+'Inputs'!$B$21))^2+('Inputs'!$B$6/2)^2)))-'Results'!C7*(0.5*((((820-43)*MAX('Inputs'!$B$33,'Inputs'!$B$29+'Inputs'!$B$31+'Inputs'!$B$32,'Inputs'!$B$30+'Inputs'!$B$31+'Inputs'!$B$32)/1000+'Inputs'!$B$21+'Inputs'!$B$7+'Inputs'!$B$10)+'Inputs'!$B$9)/SQRT((((820-43)*MAX('Inputs'!$B$33,'Inputs'!$B$29+'Inputs'!$B$31+'Inputs'!$B$32,'Inputs'!$B$30+'Inputs'!$B$31+'Inputs'!$B$32)/1000+'Inputs'!$B$21+'Inputs'!$B$7+'Inputs'!$B$10)+'Inputs'!$B$9)^2+('Inputs'!$B$8/2)^2)-(((820-43)*MAX('Inputs'!$B$33,'Inputs'!$B$29+'Inputs'!$B$31+'Inputs'!$B$32,'Inputs'!$B$30+'Inputs'!$B$31+'Inputs'!$B$32)/1000+'Inputs'!$B$21+'Inputs'!$B$7+'Inputs'!$B$10))/SQRT((((820-43)*MAX('Inputs'!$B$33,'Inputs'!$B$29+'Inputs'!$B$31+'Inputs'!$B$32,'Inputs'!$B$30+'Inputs'!$B$31+'Inputs'!$B$32)/1000+'Inputs'!$B$21+'Inputs'!$B$7+'Inputs'!$B$10))^2+('Inputs'!$B$8/2)^2))))*'Results'!$B$8),"")</x:f>
        <x:v>0.8904950496300345</x:v>
      </x:c>
      <x:c r="K820" t="n">
        <x:f>IF(AND(ISNUMBER('Results'!B7),ISNUMBER('Results'!C7),ISNUMBER('Results'!$B$8),ISNUMBER('Inputs'!$B$6),ISNUMBER('Inputs'!$B$7),ISNUMBER('Inputs'!$B$8),ISNUMBER('Inputs'!$B$9),ISNUMBER('Inputs'!$B$10),ISNUMBER('Inputs'!$B$21),ISNUMBER('Inputs'!$B$24),ISNUMBER('Inputs'!$B$28)),((('Results'!B7*(1-'Inputs'!$B$24)*(0.5*((((820-43)*MAX('Inputs'!$B$33,'Inputs'!$B$29+'Inputs'!$B$31+'Inputs'!$B$32,'Inputs'!$B$30+'Inputs'!$B$31+'Inputs'!$B$32)/1000+'Inputs'!$B$21)+'Inputs'!$B$7)/SQRT((((820-43)*MAX('Inputs'!$B$33,'Inputs'!$B$29+'Inputs'!$B$31+'Inputs'!$B$32,'Inputs'!$B$30+'Inputs'!$B$31+'Inputs'!$B$32)/1000+'Inputs'!$B$21)+'Inputs'!$B$7)^2+('Inputs'!$B$6/2)^2)-(((820-43)*MAX('Inputs'!$B$33,'Inputs'!$B$29+'Inputs'!$B$31+'Inputs'!$B$32,'Inputs'!$B$30+'Inputs'!$B$31+'Inputs'!$B$32)/1000+'Inputs'!$B$21))/SQRT((((820-43)*MAX('Inputs'!$B$33,'Inputs'!$B$29+'Inputs'!$B$31+'Inputs'!$B$32,'Inputs'!$B$30+'Inputs'!$B$31+'Inputs'!$B$32)/1000+'Inputs'!$B$21))^2+('Inputs'!$B$6/2)^2)))-'Results'!C7*(1+'Inputs'!$B$24)*(0.5*((((820-43)*MAX('Inputs'!$B$33,'Inputs'!$B$29+'Inputs'!$B$31+'Inputs'!$B$32,'Inputs'!$B$30+'Inputs'!$B$31+'Inputs'!$B$32)/1000+'Inputs'!$B$21+'Inputs'!$B$7+'Inputs'!$B$10)+'Inputs'!$B$9)/SQRT((((820-43)*MAX('Inputs'!$B$33,'Inputs'!$B$29+'Inputs'!$B$31+'Inputs'!$B$32,'Inputs'!$B$30+'Inputs'!$B$31+'Inputs'!$B$32)/1000+'Inputs'!$B$21+'Inputs'!$B$7+'Inputs'!$B$10)+'Inputs'!$B$9)^2+('Inputs'!$B$8/2)^2)-(((820-43)*MAX('Inputs'!$B$33,'Inputs'!$B$29+'Inputs'!$B$31+'Inputs'!$B$32,'Inputs'!$B$30+'Inputs'!$B$31+'Inputs'!$B$32)/1000+'Inputs'!$B$21+'Inputs'!$B$7+'Inputs'!$B$10))/SQRT((((820-43)*MAX('Inputs'!$B$33,'Inputs'!$B$29+'Inputs'!$B$31+'Inputs'!$B$32,'Inputs'!$B$30+'Inputs'!$B$31+'Inputs'!$B$32)/1000+'Inputs'!$B$21+'Inputs'!$B$7+'Inputs'!$B$10))^2+('Inputs'!$B$8/2)^2))))*'Results'!$B$8)-'Inputs'!$B$28*ABS((('Results'!B7*(1-'Inputs'!$B$24)*(0.5*((((820-43)*MAX('Inputs'!$B$33,'Inputs'!$B$29+'Inputs'!$B$31+'Inputs'!$B$32,'Inputs'!$B$30+'Inputs'!$B$31+'Inputs'!$B$32)/1000+'Inputs'!$B$21)+'Inputs'!$B$7)/SQRT((((820-43)*MAX('Inputs'!$B$33,'Inputs'!$B$29+'Inputs'!$B$31+'Inputs'!$B$32,'Inputs'!$B$30+'Inputs'!$B$31+'Inputs'!$B$32)/1000+'Inputs'!$B$21)+'Inputs'!$B$7)^2+('Inputs'!$B$6/2)^2)-(((820-43)*MAX('Inputs'!$B$33,'Inputs'!$B$29+'Inputs'!$B$31+'Inputs'!$B$32,'Inputs'!$B$30+'Inputs'!$B$31+'Inputs'!$B$32)/1000+'Inputs'!$B$21))/SQRT((((820-43)*MAX('Inputs'!$B$33,'Inputs'!$B$29+'Inputs'!$B$31+'Inputs'!$B$32,'Inputs'!$B$30+'Inputs'!$B$31+'Inputs'!$B$32)/1000+'Inputs'!$B$21))^2+('Inputs'!$B$6/2)^2)))-'Results'!C7*(1+'Inputs'!$B$24)*(0.5*((((820-43)*MAX('Inputs'!$B$33,'Inputs'!$B$29+'Inputs'!$B$31+'Inputs'!$B$32,'Inputs'!$B$30+'Inputs'!$B$31+'Inputs'!$B$32)/1000+'Inputs'!$B$21+'Inputs'!$B$7+'Inputs'!$B$10)+'Inputs'!$B$9)/SQRT((((820-43)*MAX('Inputs'!$B$33,'Inputs'!$B$29+'Inputs'!$B$31+'Inputs'!$B$32,'Inputs'!$B$30+'Inputs'!$B$31+'Inputs'!$B$32)/1000+'Inputs'!$B$21+'Inputs'!$B$7+'Inputs'!$B$10)+'Inputs'!$B$9)^2+('Inputs'!$B$8/2)^2)-(((820-43)*MAX('Inputs'!$B$33,'Inputs'!$B$29+'Inputs'!$B$31+'Inputs'!$B$32,'Inputs'!$B$30+'Inputs'!$B$31+'Inputs'!$B$32)/1000+'Inputs'!$B$21+'Inputs'!$B$7+'Inputs'!$B$10))/SQRT((((820-43)*MAX('Inputs'!$B$33,'Inputs'!$B$29+'Inputs'!$B$31+'Inputs'!$B$32,'Inputs'!$B$30+'Inputs'!$B$31+'Inputs'!$B$32)/1000+'Inputs'!$B$21+'Inputs'!$B$7+'Inputs'!$B$10))^2+('Inputs'!$B$8/2)^2))))*'Results'!$B$8))),"")</x:f>
        <x:v>0.7642975924362012</x:v>
      </x:c>
      <x:c r="L820" t="n">
        <x:f>IF(AND(ISNUMBER('Results'!B7),ISNUMBER('Results'!C7),ISNUMBER('Results'!$B$8),ISNUMBER('Inputs'!$B$6),ISNUMBER('Inputs'!$B$7),ISNUMBER('Inputs'!$B$8),ISNUMBER('Inputs'!$B$9),ISNUMBER('Inputs'!$B$10),ISNUMBER('Inputs'!$B$21),ISNUMBER('Inputs'!$B$24),ISNUMBER('Inputs'!$B$28)),((('Results'!B7*(1+'Inputs'!$B$24)*(0.5*((((820-43)*MAX('Inputs'!$B$33,'Inputs'!$B$29+'Inputs'!$B$31+'Inputs'!$B$32,'Inputs'!$B$30+'Inputs'!$B$31+'Inputs'!$B$32)/1000+'Inputs'!$B$21)+'Inputs'!$B$7)/SQRT((((820-43)*MAX('Inputs'!$B$33,'Inputs'!$B$29+'Inputs'!$B$31+'Inputs'!$B$32,'Inputs'!$B$30+'Inputs'!$B$31+'Inputs'!$B$32)/1000+'Inputs'!$B$21)+'Inputs'!$B$7)^2+('Inputs'!$B$6/2)^2)-(((820-43)*MAX('Inputs'!$B$33,'Inputs'!$B$29+'Inputs'!$B$31+'Inputs'!$B$32,'Inputs'!$B$30+'Inputs'!$B$31+'Inputs'!$B$32)/1000+'Inputs'!$B$21))/SQRT((((820-43)*MAX('Inputs'!$B$33,'Inputs'!$B$29+'Inputs'!$B$31+'Inputs'!$B$32,'Inputs'!$B$30+'Inputs'!$B$31+'Inputs'!$B$32)/1000+'Inputs'!$B$21))^2+('Inputs'!$B$6/2)^2)))-'Results'!C7*(1-'Inputs'!$B$24)*(0.5*((((820-43)*MAX('Inputs'!$B$33,'Inputs'!$B$29+'Inputs'!$B$31+'Inputs'!$B$32,'Inputs'!$B$30+'Inputs'!$B$31+'Inputs'!$B$32)/1000+'Inputs'!$B$21+'Inputs'!$B$7+'Inputs'!$B$10)+'Inputs'!$B$9)/SQRT((((820-43)*MAX('Inputs'!$B$33,'Inputs'!$B$29+'Inputs'!$B$31+'Inputs'!$B$32,'Inputs'!$B$30+'Inputs'!$B$31+'Inputs'!$B$32)/1000+'Inputs'!$B$21+'Inputs'!$B$7+'Inputs'!$B$10)+'Inputs'!$B$9)^2+('Inputs'!$B$8/2)^2)-(((820-43)*MAX('Inputs'!$B$33,'Inputs'!$B$29+'Inputs'!$B$31+'Inputs'!$B$32,'Inputs'!$B$30+'Inputs'!$B$31+'Inputs'!$B$32)/1000+'Inputs'!$B$21+'Inputs'!$B$7+'Inputs'!$B$10))/SQRT((((820-43)*MAX('Inputs'!$B$33,'Inputs'!$B$29+'Inputs'!$B$31+'Inputs'!$B$32,'Inputs'!$B$30+'Inputs'!$B$31+'Inputs'!$B$32)/1000+'Inputs'!$B$21+'Inputs'!$B$7+'Inputs'!$B$10))^2+('Inputs'!$B$8/2)^2))))*'Results'!$B$8)+'Inputs'!$B$28*ABS((('Results'!B7*(1+'Inputs'!$B$24)*(0.5*((((820-43)*MAX('Inputs'!$B$33,'Inputs'!$B$29+'Inputs'!$B$31+'Inputs'!$B$32,'Inputs'!$B$30+'Inputs'!$B$31+'Inputs'!$B$32)/1000+'Inputs'!$B$21)+'Inputs'!$B$7)/SQRT((((820-43)*MAX('Inputs'!$B$33,'Inputs'!$B$29+'Inputs'!$B$31+'Inputs'!$B$32,'Inputs'!$B$30+'Inputs'!$B$31+'Inputs'!$B$32)/1000+'Inputs'!$B$21)+'Inputs'!$B$7)^2+('Inputs'!$B$6/2)^2)-(((820-43)*MAX('Inputs'!$B$33,'Inputs'!$B$29+'Inputs'!$B$31+'Inputs'!$B$32,'Inputs'!$B$30+'Inputs'!$B$31+'Inputs'!$B$32)/1000+'Inputs'!$B$21))/SQRT((((820-43)*MAX('Inputs'!$B$33,'Inputs'!$B$29+'Inputs'!$B$31+'Inputs'!$B$32,'Inputs'!$B$30+'Inputs'!$B$31+'Inputs'!$B$32)/1000+'Inputs'!$B$21))^2+('Inputs'!$B$6/2)^2)))-'Results'!C7*(1-'Inputs'!$B$24)*(0.5*((((820-43)*MAX('Inputs'!$B$33,'Inputs'!$B$29+'Inputs'!$B$31+'Inputs'!$B$32,'Inputs'!$B$30+'Inputs'!$B$31+'Inputs'!$B$32)/1000+'Inputs'!$B$21+'Inputs'!$B$7+'Inputs'!$B$10)+'Inputs'!$B$9)/SQRT((((820-43)*MAX('Inputs'!$B$33,'Inputs'!$B$29+'Inputs'!$B$31+'Inputs'!$B$32,'Inputs'!$B$30+'Inputs'!$B$31+'Inputs'!$B$32)/1000+'Inputs'!$B$21+'Inputs'!$B$7+'Inputs'!$B$10)+'Inputs'!$B$9)^2+('Inputs'!$B$8/2)^2)-(((820-43)*MAX('Inputs'!$B$33,'Inputs'!$B$29+'Inputs'!$B$31+'Inputs'!$B$32,'Inputs'!$B$30+'Inputs'!$B$31+'Inputs'!$B$32)/1000+'Inputs'!$B$21+'Inputs'!$B$7+'Inputs'!$B$10))/SQRT((((820-43)*MAX('Inputs'!$B$33,'Inputs'!$B$29+'Inputs'!$B$31+'Inputs'!$B$32,'Inputs'!$B$30+'Inputs'!$B$31+'Inputs'!$B$32)/1000+'Inputs'!$B$21+'Inputs'!$B$7+'Inputs'!$B$10))^2+('Inputs'!$B$8/2)^2))))*'Results'!$B$8))),"")</x:f>
        <x:v>1.0252896336356918</x:v>
      </x:c>
      <x:c r="M820" t="n">
        <x:f>IF(AND(ISNUMBER('Results'!C7),ISNUMBER('Results'!B7),ISNUMBER('Results'!$B$8),ISNUMBER('Inputs'!$B$6),ISNUMBER('Inputs'!$B$7),ISNUMBER('Inputs'!$B$8),ISNUMBER('Inputs'!$B$9),ISNUMBER('Inputs'!$B$10),ISNUMBER('Inputs'!$B$21),ISNUMBER('Inputs'!$B$24),ISNUMBER('Inputs'!$B$28)),(('Results'!C7*(0.5*((((820-43)*MAX('Inputs'!$B$33,'Inputs'!$B$29+'Inputs'!$B$31+'Inputs'!$B$32,'Inputs'!$B$30+'Inputs'!$B$31+'Inputs'!$B$32)/1000+'Inputs'!$B$21)+'Inputs'!$B$9)/SQRT((((820-43)*MAX('Inputs'!$B$33,'Inputs'!$B$29+'Inputs'!$B$31+'Inputs'!$B$32,'Inputs'!$B$30+'Inputs'!$B$31+'Inputs'!$B$32)/1000+'Inputs'!$B$21)+'Inputs'!$B$9)^2+('Inputs'!$B$8/2)^2)-(((820-43)*MAX('Inputs'!$B$33,'Inputs'!$B$29+'Inputs'!$B$31+'Inputs'!$B$32,'Inputs'!$B$30+'Inputs'!$B$31+'Inputs'!$B$32)/1000+'Inputs'!$B$21))/SQRT((((820-43)*MAX('Inputs'!$B$33,'Inputs'!$B$29+'Inputs'!$B$31+'Inputs'!$B$32,'Inputs'!$B$30+'Inputs'!$B$31+'Inputs'!$B$32)/1000+'Inputs'!$B$21))^2+('Inputs'!$B$8/2)^2)))-'Results'!B7*(0.5*((((820-43)*MAX('Inputs'!$B$33,'Inputs'!$B$29+'Inputs'!$B$31+'Inputs'!$B$32,'Inputs'!$B$30+'Inputs'!$B$31+'Inputs'!$B$32)/1000+'Inputs'!$B$21+'Inputs'!$B$9+'Inputs'!$B$10)+'Inputs'!$B$7)/SQRT((((820-43)*MAX('Inputs'!$B$33,'Inputs'!$B$29+'Inputs'!$B$31+'Inputs'!$B$32,'Inputs'!$B$30+'Inputs'!$B$31+'Inputs'!$B$32)/1000+'Inputs'!$B$21+'Inputs'!$B$9+'Inputs'!$B$10)+'Inputs'!$B$7)^2+('Inputs'!$B$6/2)^2)-(((820-43)*MAX('Inputs'!$B$33,'Inputs'!$B$29+'Inputs'!$B$31+'Inputs'!$B$32,'Inputs'!$B$30+'Inputs'!$B$31+'Inputs'!$B$32)/1000+'Inputs'!$B$21+'Inputs'!$B$9+'Inputs'!$B$10))/SQRT((((820-43)*MAX('Inputs'!$B$33,'Inputs'!$B$29+'Inputs'!$B$31+'Inputs'!$B$32,'Inputs'!$B$30+'Inputs'!$B$31+'Inputs'!$B$32)/1000+'Inputs'!$B$21+'Inputs'!$B$9+'Inputs'!$B$10))^2+('Inputs'!$B$6/2)^2))))*'Results'!$B$8),"")</x:f>
        <x:v>0.8038282573574473</x:v>
      </x:c>
      <x:c r="N820" t="n">
        <x:f>IF(AND(ISNUMBER('Results'!C7),ISNUMBER('Results'!B7),ISNUMBER('Results'!$B$8),ISNUMBER('Inputs'!$B$6),ISNUMBER('Inputs'!$B$7),ISNUMBER('Inputs'!$B$8),ISNUMBER('Inputs'!$B$9),ISNUMBER('Inputs'!$B$10),ISNUMBER('Inputs'!$B$21),ISNUMBER('Inputs'!$B$24),ISNUMBER('Inputs'!$B$28)),((('Results'!C7*(1-'Inputs'!$B$24)*(0.5*((((820-43)*MAX('Inputs'!$B$33,'Inputs'!$B$29+'Inputs'!$B$31+'Inputs'!$B$32,'Inputs'!$B$30+'Inputs'!$B$31+'Inputs'!$B$32)/1000+'Inputs'!$B$21)+'Inputs'!$B$9)/SQRT((((820-43)*MAX('Inputs'!$B$33,'Inputs'!$B$29+'Inputs'!$B$31+'Inputs'!$B$32,'Inputs'!$B$30+'Inputs'!$B$31+'Inputs'!$B$32)/1000+'Inputs'!$B$21)+'Inputs'!$B$9)^2+('Inputs'!$B$8/2)^2)-(((820-43)*MAX('Inputs'!$B$33,'Inputs'!$B$29+'Inputs'!$B$31+'Inputs'!$B$32,'Inputs'!$B$30+'Inputs'!$B$31+'Inputs'!$B$32)/1000+'Inputs'!$B$21))/SQRT((((820-43)*MAX('Inputs'!$B$33,'Inputs'!$B$29+'Inputs'!$B$31+'Inputs'!$B$32,'Inputs'!$B$30+'Inputs'!$B$31+'Inputs'!$B$32)/1000+'Inputs'!$B$21))^2+('Inputs'!$B$8/2)^2)))-'Results'!B7*(1+'Inputs'!$B$24)*(0.5*((((820-43)*MAX('Inputs'!$B$33,'Inputs'!$B$29+'Inputs'!$B$31+'Inputs'!$B$32,'Inputs'!$B$30+'Inputs'!$B$31+'Inputs'!$B$32)/1000+'Inputs'!$B$21+'Inputs'!$B$9+'Inputs'!$B$10)+'Inputs'!$B$7)/SQRT((((820-43)*MAX('Inputs'!$B$33,'Inputs'!$B$29+'Inputs'!$B$31+'Inputs'!$B$32,'Inputs'!$B$30+'Inputs'!$B$31+'Inputs'!$B$32)/1000+'Inputs'!$B$21+'Inputs'!$B$9+'Inputs'!$B$10)+'Inputs'!$B$7)^2+('Inputs'!$B$6/2)^2)-(((820-43)*MAX('Inputs'!$B$33,'Inputs'!$B$29+'Inputs'!$B$31+'Inputs'!$B$32,'Inputs'!$B$30+'Inputs'!$B$31+'Inputs'!$B$32)/1000+'Inputs'!$B$21+'Inputs'!$B$9+'Inputs'!$B$10))/SQRT((((820-43)*MAX('Inputs'!$B$33,'Inputs'!$B$29+'Inputs'!$B$31+'Inputs'!$B$32,'Inputs'!$B$30+'Inputs'!$B$31+'Inputs'!$B$32)/1000+'Inputs'!$B$21+'Inputs'!$B$9+'Inputs'!$B$10))^2+('Inputs'!$B$6/2)^2))))*'Results'!$B$8)-'Inputs'!$B$28*ABS((('Results'!C7*(1-'Inputs'!$B$24)*(0.5*((((820-43)*MAX('Inputs'!$B$33,'Inputs'!$B$29+'Inputs'!$B$31+'Inputs'!$B$32,'Inputs'!$B$30+'Inputs'!$B$31+'Inputs'!$B$32)/1000+'Inputs'!$B$21)+'Inputs'!$B$9)/SQRT((((820-43)*MAX('Inputs'!$B$33,'Inputs'!$B$29+'Inputs'!$B$31+'Inputs'!$B$32,'Inputs'!$B$30+'Inputs'!$B$31+'Inputs'!$B$32)/1000+'Inputs'!$B$21)+'Inputs'!$B$9)^2+('Inputs'!$B$8/2)^2)-(((820-43)*MAX('Inputs'!$B$33,'Inputs'!$B$29+'Inputs'!$B$31+'Inputs'!$B$32,'Inputs'!$B$30+'Inputs'!$B$31+'Inputs'!$B$32)/1000+'Inputs'!$B$21))/SQRT((((820-43)*MAX('Inputs'!$B$33,'Inputs'!$B$29+'Inputs'!$B$31+'Inputs'!$B$32,'Inputs'!$B$30+'Inputs'!$B$31+'Inputs'!$B$32)/1000+'Inputs'!$B$21))^2+('Inputs'!$B$8/2)^2)))-'Results'!B7*(1+'Inputs'!$B$24)*(0.5*((((820-43)*MAX('Inputs'!$B$33,'Inputs'!$B$29+'Inputs'!$B$31+'Inputs'!$B$32,'Inputs'!$B$30+'Inputs'!$B$31+'Inputs'!$B$32)/1000+'Inputs'!$B$21+'Inputs'!$B$9+'Inputs'!$B$10)+'Inputs'!$B$7)/SQRT((((820-43)*MAX('Inputs'!$B$33,'Inputs'!$B$29+'Inputs'!$B$31+'Inputs'!$B$32,'Inputs'!$B$30+'Inputs'!$B$31+'Inputs'!$B$32)/1000+'Inputs'!$B$21+'Inputs'!$B$9+'Inputs'!$B$10)+'Inputs'!$B$7)^2+('Inputs'!$B$6/2)^2)-(((820-43)*MAX('Inputs'!$B$33,'Inputs'!$B$29+'Inputs'!$B$31+'Inputs'!$B$32,'Inputs'!$B$30+'Inputs'!$B$31+'Inputs'!$B$32)/1000+'Inputs'!$B$21+'Inputs'!$B$9+'Inputs'!$B$10))/SQRT((((820-43)*MAX('Inputs'!$B$33,'Inputs'!$B$29+'Inputs'!$B$31+'Inputs'!$B$32,'Inputs'!$B$30+'Inputs'!$B$31+'Inputs'!$B$32)/1000+'Inputs'!$B$21+'Inputs'!$B$9+'Inputs'!$B$10))^2+('Inputs'!$B$6/2)^2))))*'Results'!$B$8))),"")</x:f>
        <x:v>0.6822893129371707</x:v>
      </x:c>
      <x:c r="O820" t="n">
        <x:f>IF(AND(ISNUMBER('Results'!C7),ISNUMBER('Results'!B7),ISNUMBER('Results'!$B$8),ISNUMBER('Inputs'!$B$6),ISNUMBER('Inputs'!$B$7),ISNUMBER('Inputs'!$B$8),ISNUMBER('Inputs'!$B$9),ISNUMBER('Inputs'!$B$10),ISNUMBER('Inputs'!$B$21),ISNUMBER('Inputs'!$B$24),ISNUMBER('Inputs'!$B$28)),((('Results'!C7*(1+'Inputs'!$B$24)*(0.5*((((820-43)*MAX('Inputs'!$B$33,'Inputs'!$B$29+'Inputs'!$B$31+'Inputs'!$B$32,'Inputs'!$B$30+'Inputs'!$B$31+'Inputs'!$B$32)/1000+'Inputs'!$B$21)+'Inputs'!$B$9)/SQRT((((820-43)*MAX('Inputs'!$B$33,'Inputs'!$B$29+'Inputs'!$B$31+'Inputs'!$B$32,'Inputs'!$B$30+'Inputs'!$B$31+'Inputs'!$B$32)/1000+'Inputs'!$B$21)+'Inputs'!$B$9)^2+('Inputs'!$B$8/2)^2)-(((820-43)*MAX('Inputs'!$B$33,'Inputs'!$B$29+'Inputs'!$B$31+'Inputs'!$B$32,'Inputs'!$B$30+'Inputs'!$B$31+'Inputs'!$B$32)/1000+'Inputs'!$B$21))/SQRT((((820-43)*MAX('Inputs'!$B$33,'Inputs'!$B$29+'Inputs'!$B$31+'Inputs'!$B$32,'Inputs'!$B$30+'Inputs'!$B$31+'Inputs'!$B$32)/1000+'Inputs'!$B$21))^2+('Inputs'!$B$8/2)^2)))-'Results'!B7*(1-'Inputs'!$B$24)*(0.5*((((820-43)*MAX('Inputs'!$B$33,'Inputs'!$B$29+'Inputs'!$B$31+'Inputs'!$B$32,'Inputs'!$B$30+'Inputs'!$B$31+'Inputs'!$B$32)/1000+'Inputs'!$B$21+'Inputs'!$B$9+'Inputs'!$B$10)+'Inputs'!$B$7)/SQRT((((820-43)*MAX('Inputs'!$B$33,'Inputs'!$B$29+'Inputs'!$B$31+'Inputs'!$B$32,'Inputs'!$B$30+'Inputs'!$B$31+'Inputs'!$B$32)/1000+'Inputs'!$B$21+'Inputs'!$B$9+'Inputs'!$B$10)+'Inputs'!$B$7)^2+('Inputs'!$B$6/2)^2)-(((820-43)*MAX('Inputs'!$B$33,'Inputs'!$B$29+'Inputs'!$B$31+'Inputs'!$B$32,'Inputs'!$B$30+'Inputs'!$B$31+'Inputs'!$B$32)/1000+'Inputs'!$B$21+'Inputs'!$B$9+'Inputs'!$B$10))/SQRT((((820-43)*MAX('Inputs'!$B$33,'Inputs'!$B$29+'Inputs'!$B$31+'Inputs'!$B$32,'Inputs'!$B$30+'Inputs'!$B$31+'Inputs'!$B$32)/1000+'Inputs'!$B$21+'Inputs'!$B$9+'Inputs'!$B$10))^2+('Inputs'!$B$6/2)^2))))*'Results'!$B$8)+'Inputs'!$B$28*ABS((('Results'!C7*(1+'Inputs'!$B$24)*(0.5*((((820-43)*MAX('Inputs'!$B$33,'Inputs'!$B$29+'Inputs'!$B$31+'Inputs'!$B$32,'Inputs'!$B$30+'Inputs'!$B$31+'Inputs'!$B$32)/1000+'Inputs'!$B$21)+'Inputs'!$B$9)/SQRT((((820-43)*MAX('Inputs'!$B$33,'Inputs'!$B$29+'Inputs'!$B$31+'Inputs'!$B$32,'Inputs'!$B$30+'Inputs'!$B$31+'Inputs'!$B$32)/1000+'Inputs'!$B$21)+'Inputs'!$B$9)^2+('Inputs'!$B$8/2)^2)-(((820-43)*MAX('Inputs'!$B$33,'Inputs'!$B$29+'Inputs'!$B$31+'Inputs'!$B$32,'Inputs'!$B$30+'Inputs'!$B$31+'Inputs'!$B$32)/1000+'Inputs'!$B$21))/SQRT((((820-43)*MAX('Inputs'!$B$33,'Inputs'!$B$29+'Inputs'!$B$31+'Inputs'!$B$32,'Inputs'!$B$30+'Inputs'!$B$31+'Inputs'!$B$32)/1000+'Inputs'!$B$21))^2+('Inputs'!$B$8/2)^2)))-'Results'!B7*(1-'Inputs'!$B$24)*(0.5*((((820-43)*MAX('Inputs'!$B$33,'Inputs'!$B$29+'Inputs'!$B$31+'Inputs'!$B$32,'Inputs'!$B$30+'Inputs'!$B$31+'Inputs'!$B$32)/1000+'Inputs'!$B$21+'Inputs'!$B$9+'Inputs'!$B$10)+'Inputs'!$B$7)/SQRT((((820-43)*MAX('Inputs'!$B$33,'Inputs'!$B$29+'Inputs'!$B$31+'Inputs'!$B$32,'Inputs'!$B$30+'Inputs'!$B$31+'Inputs'!$B$32)/1000+'Inputs'!$B$21+'Inputs'!$B$9+'Inputs'!$B$10)+'Inputs'!$B$7)^2+('Inputs'!$B$6/2)^2)-(((820-43)*MAX('Inputs'!$B$33,'Inputs'!$B$29+'Inputs'!$B$31+'Inputs'!$B$32,'Inputs'!$B$30+'Inputs'!$B$31+'Inputs'!$B$32)/1000+'Inputs'!$B$21+'Inputs'!$B$9+'Inputs'!$B$10))/SQRT((((820-43)*MAX('Inputs'!$B$33,'Inputs'!$B$29+'Inputs'!$B$31+'Inputs'!$B$32,'Inputs'!$B$30+'Inputs'!$B$31+'Inputs'!$B$32)/1000+'Inputs'!$B$21+'Inputs'!$B$9+'Inputs'!$B$10))^2+('Inputs'!$B$6/2)^2))))*'Results'!$B$8))),"")</x:f>
        <x:v>0.9339300998358726</x:v>
      </x:c>
      <x:c r="P820" t="n">
        <x:f>IF(AND(MAX(J820,J819)&gt;0,J820&gt;J819+0.00000001),1,0)</x:f>
        <x:v>0</x:v>
      </x:c>
      <x:c r="Q820" t="n">
        <x:f>IF(AND(MAX(K820,K819)&gt;0,K820&gt;K819+0.00000001),1,0)</x:f>
        <x:v>0</x:v>
      </x:c>
      <x:c r="R820" t="n">
        <x:f>IF(AND(MAX(L820,L819)&gt;0,L820&gt;L819+0.00000001),1,0)</x:f>
        <x:v>0</x:v>
      </x:c>
      <x:c r="S820" t="n">
        <x:f>IF(AND(MAX(M820,M819)&gt;0,M820&gt;M819+0.00000001),1,0)</x:f>
        <x:v>0</x:v>
      </x:c>
      <x:c r="T820" t="n">
        <x:f>IF(AND(MAX(N820,N819)&gt;0,N820&gt;N819+0.00000001),1,0)</x:f>
        <x:v>0</x:v>
      </x:c>
      <x:c r="U820" t="n">
        <x:f>IF(AND(MAX(O820,O819)&gt;0,O820&gt;O819+0.00000001),1,0)</x:f>
        <x:v>0</x:v>
      </x:c>
    </x:row>
    <x:row r="821">
      <x:c r="J821" t="n">
        <x:f>IF(AND(ISNUMBER('Results'!B7),ISNUMBER('Results'!C7),ISNUMBER('Results'!$B$8),ISNUMBER('Inputs'!$B$6),ISNUMBER('Inputs'!$B$7),ISNUMBER('Inputs'!$B$8),ISNUMBER('Inputs'!$B$9),ISNUMBER('Inputs'!$B$10),ISNUMBER('Inputs'!$B$21),ISNUMBER('Inputs'!$B$24),ISNUMBER('Inputs'!$B$28)),(('Results'!B7*(0.5*((((821-43)*MAX('Inputs'!$B$33,'Inputs'!$B$29+'Inputs'!$B$31+'Inputs'!$B$32,'Inputs'!$B$30+'Inputs'!$B$31+'Inputs'!$B$32)/1000+'Inputs'!$B$21)+'Inputs'!$B$7)/SQRT((((821-43)*MAX('Inputs'!$B$33,'Inputs'!$B$29+'Inputs'!$B$31+'Inputs'!$B$32,'Inputs'!$B$30+'Inputs'!$B$31+'Inputs'!$B$32)/1000+'Inputs'!$B$21)+'Inputs'!$B$7)^2+('Inputs'!$B$6/2)^2)-(((821-43)*MAX('Inputs'!$B$33,'Inputs'!$B$29+'Inputs'!$B$31+'Inputs'!$B$32,'Inputs'!$B$30+'Inputs'!$B$31+'Inputs'!$B$32)/1000+'Inputs'!$B$21))/SQRT((((821-43)*MAX('Inputs'!$B$33,'Inputs'!$B$29+'Inputs'!$B$31+'Inputs'!$B$32,'Inputs'!$B$30+'Inputs'!$B$31+'Inputs'!$B$32)/1000+'Inputs'!$B$21))^2+('Inputs'!$B$6/2)^2)))-'Results'!C7*(0.5*((((821-43)*MAX('Inputs'!$B$33,'Inputs'!$B$29+'Inputs'!$B$31+'Inputs'!$B$32,'Inputs'!$B$30+'Inputs'!$B$31+'Inputs'!$B$32)/1000+'Inputs'!$B$21+'Inputs'!$B$7+'Inputs'!$B$10)+'Inputs'!$B$9)/SQRT((((821-43)*MAX('Inputs'!$B$33,'Inputs'!$B$29+'Inputs'!$B$31+'Inputs'!$B$32,'Inputs'!$B$30+'Inputs'!$B$31+'Inputs'!$B$32)/1000+'Inputs'!$B$21+'Inputs'!$B$7+'Inputs'!$B$10)+'Inputs'!$B$9)^2+('Inputs'!$B$8/2)^2)-(((821-43)*MAX('Inputs'!$B$33,'Inputs'!$B$29+'Inputs'!$B$31+'Inputs'!$B$32,'Inputs'!$B$30+'Inputs'!$B$31+'Inputs'!$B$32)/1000+'Inputs'!$B$21+'Inputs'!$B$7+'Inputs'!$B$10))/SQRT((((821-43)*MAX('Inputs'!$B$33,'Inputs'!$B$29+'Inputs'!$B$31+'Inputs'!$B$32,'Inputs'!$B$30+'Inputs'!$B$31+'Inputs'!$B$32)/1000+'Inputs'!$B$21+'Inputs'!$B$7+'Inputs'!$B$10))^2+('Inputs'!$B$8/2)^2))))*'Results'!$B$8),"")</x:f>
        <x:v>0.8863966267830881</x:v>
      </x:c>
      <x:c r="K821" t="n">
        <x:f>IF(AND(ISNUMBER('Results'!B7),ISNUMBER('Results'!C7),ISNUMBER('Results'!$B$8),ISNUMBER('Inputs'!$B$6),ISNUMBER('Inputs'!$B$7),ISNUMBER('Inputs'!$B$8),ISNUMBER('Inputs'!$B$9),ISNUMBER('Inputs'!$B$10),ISNUMBER('Inputs'!$B$21),ISNUMBER('Inputs'!$B$24),ISNUMBER('Inputs'!$B$28)),((('Results'!B7*(1-'Inputs'!$B$24)*(0.5*((((821-43)*MAX('Inputs'!$B$33,'Inputs'!$B$29+'Inputs'!$B$31+'Inputs'!$B$32,'Inputs'!$B$30+'Inputs'!$B$31+'Inputs'!$B$32)/1000+'Inputs'!$B$21)+'Inputs'!$B$7)/SQRT((((821-43)*MAX('Inputs'!$B$33,'Inputs'!$B$29+'Inputs'!$B$31+'Inputs'!$B$32,'Inputs'!$B$30+'Inputs'!$B$31+'Inputs'!$B$32)/1000+'Inputs'!$B$21)+'Inputs'!$B$7)^2+('Inputs'!$B$6/2)^2)-(((821-43)*MAX('Inputs'!$B$33,'Inputs'!$B$29+'Inputs'!$B$31+'Inputs'!$B$32,'Inputs'!$B$30+'Inputs'!$B$31+'Inputs'!$B$32)/1000+'Inputs'!$B$21))/SQRT((((821-43)*MAX('Inputs'!$B$33,'Inputs'!$B$29+'Inputs'!$B$31+'Inputs'!$B$32,'Inputs'!$B$30+'Inputs'!$B$31+'Inputs'!$B$32)/1000+'Inputs'!$B$21))^2+('Inputs'!$B$6/2)^2)))-'Results'!C7*(1+'Inputs'!$B$24)*(0.5*((((821-43)*MAX('Inputs'!$B$33,'Inputs'!$B$29+'Inputs'!$B$31+'Inputs'!$B$32,'Inputs'!$B$30+'Inputs'!$B$31+'Inputs'!$B$32)/1000+'Inputs'!$B$21+'Inputs'!$B$7+'Inputs'!$B$10)+'Inputs'!$B$9)/SQRT((((821-43)*MAX('Inputs'!$B$33,'Inputs'!$B$29+'Inputs'!$B$31+'Inputs'!$B$32,'Inputs'!$B$30+'Inputs'!$B$31+'Inputs'!$B$32)/1000+'Inputs'!$B$21+'Inputs'!$B$7+'Inputs'!$B$10)+'Inputs'!$B$9)^2+('Inputs'!$B$8/2)^2)-(((821-43)*MAX('Inputs'!$B$33,'Inputs'!$B$29+'Inputs'!$B$31+'Inputs'!$B$32,'Inputs'!$B$30+'Inputs'!$B$31+'Inputs'!$B$32)/1000+'Inputs'!$B$21+'Inputs'!$B$7+'Inputs'!$B$10))/SQRT((((821-43)*MAX('Inputs'!$B$33,'Inputs'!$B$29+'Inputs'!$B$31+'Inputs'!$B$32,'Inputs'!$B$30+'Inputs'!$B$31+'Inputs'!$B$32)/1000+'Inputs'!$B$21+'Inputs'!$B$7+'Inputs'!$B$10))^2+('Inputs'!$B$8/2)^2))))*'Results'!$B$8)-'Inputs'!$B$28*ABS((('Results'!B7*(1-'Inputs'!$B$24)*(0.5*((((821-43)*MAX('Inputs'!$B$33,'Inputs'!$B$29+'Inputs'!$B$31+'Inputs'!$B$32,'Inputs'!$B$30+'Inputs'!$B$31+'Inputs'!$B$32)/1000+'Inputs'!$B$21)+'Inputs'!$B$7)/SQRT((((821-43)*MAX('Inputs'!$B$33,'Inputs'!$B$29+'Inputs'!$B$31+'Inputs'!$B$32,'Inputs'!$B$30+'Inputs'!$B$31+'Inputs'!$B$32)/1000+'Inputs'!$B$21)+'Inputs'!$B$7)^2+('Inputs'!$B$6/2)^2)-(((821-43)*MAX('Inputs'!$B$33,'Inputs'!$B$29+'Inputs'!$B$31+'Inputs'!$B$32,'Inputs'!$B$30+'Inputs'!$B$31+'Inputs'!$B$32)/1000+'Inputs'!$B$21))/SQRT((((821-43)*MAX('Inputs'!$B$33,'Inputs'!$B$29+'Inputs'!$B$31+'Inputs'!$B$32,'Inputs'!$B$30+'Inputs'!$B$31+'Inputs'!$B$32)/1000+'Inputs'!$B$21))^2+('Inputs'!$B$6/2)^2)))-'Results'!C7*(1+'Inputs'!$B$24)*(0.5*((((821-43)*MAX('Inputs'!$B$33,'Inputs'!$B$29+'Inputs'!$B$31+'Inputs'!$B$32,'Inputs'!$B$30+'Inputs'!$B$31+'Inputs'!$B$32)/1000+'Inputs'!$B$21+'Inputs'!$B$7+'Inputs'!$B$10)+'Inputs'!$B$9)/SQRT((((821-43)*MAX('Inputs'!$B$33,'Inputs'!$B$29+'Inputs'!$B$31+'Inputs'!$B$32,'Inputs'!$B$30+'Inputs'!$B$31+'Inputs'!$B$32)/1000+'Inputs'!$B$21+'Inputs'!$B$7+'Inputs'!$B$10)+'Inputs'!$B$9)^2+('Inputs'!$B$8/2)^2)-(((821-43)*MAX('Inputs'!$B$33,'Inputs'!$B$29+'Inputs'!$B$31+'Inputs'!$B$32,'Inputs'!$B$30+'Inputs'!$B$31+'Inputs'!$B$32)/1000+'Inputs'!$B$21+'Inputs'!$B$7+'Inputs'!$B$10))/SQRT((((821-43)*MAX('Inputs'!$B$33,'Inputs'!$B$29+'Inputs'!$B$31+'Inputs'!$B$32,'Inputs'!$B$30+'Inputs'!$B$31+'Inputs'!$B$32)/1000+'Inputs'!$B$21+'Inputs'!$B$7+'Inputs'!$B$10))^2+('Inputs'!$B$8/2)^2))))*'Results'!$B$8))),"")</x:f>
        <x:v>0.7606931414505039</x:v>
      </x:c>
      <x:c r="L821" t="n">
        <x:f>IF(AND(ISNUMBER('Results'!B7),ISNUMBER('Results'!C7),ISNUMBER('Results'!$B$8),ISNUMBER('Inputs'!$B$6),ISNUMBER('Inputs'!$B$7),ISNUMBER('Inputs'!$B$8),ISNUMBER('Inputs'!$B$9),ISNUMBER('Inputs'!$B$10),ISNUMBER('Inputs'!$B$21),ISNUMBER('Inputs'!$B$24),ISNUMBER('Inputs'!$B$28)),((('Results'!B7*(1+'Inputs'!$B$24)*(0.5*((((821-43)*MAX('Inputs'!$B$33,'Inputs'!$B$29+'Inputs'!$B$31+'Inputs'!$B$32,'Inputs'!$B$30+'Inputs'!$B$31+'Inputs'!$B$32)/1000+'Inputs'!$B$21)+'Inputs'!$B$7)/SQRT((((821-43)*MAX('Inputs'!$B$33,'Inputs'!$B$29+'Inputs'!$B$31+'Inputs'!$B$32,'Inputs'!$B$30+'Inputs'!$B$31+'Inputs'!$B$32)/1000+'Inputs'!$B$21)+'Inputs'!$B$7)^2+('Inputs'!$B$6/2)^2)-(((821-43)*MAX('Inputs'!$B$33,'Inputs'!$B$29+'Inputs'!$B$31+'Inputs'!$B$32,'Inputs'!$B$30+'Inputs'!$B$31+'Inputs'!$B$32)/1000+'Inputs'!$B$21))/SQRT((((821-43)*MAX('Inputs'!$B$33,'Inputs'!$B$29+'Inputs'!$B$31+'Inputs'!$B$32,'Inputs'!$B$30+'Inputs'!$B$31+'Inputs'!$B$32)/1000+'Inputs'!$B$21))^2+('Inputs'!$B$6/2)^2)))-'Results'!C7*(1-'Inputs'!$B$24)*(0.5*((((821-43)*MAX('Inputs'!$B$33,'Inputs'!$B$29+'Inputs'!$B$31+'Inputs'!$B$32,'Inputs'!$B$30+'Inputs'!$B$31+'Inputs'!$B$32)/1000+'Inputs'!$B$21+'Inputs'!$B$7+'Inputs'!$B$10)+'Inputs'!$B$9)/SQRT((((821-43)*MAX('Inputs'!$B$33,'Inputs'!$B$29+'Inputs'!$B$31+'Inputs'!$B$32,'Inputs'!$B$30+'Inputs'!$B$31+'Inputs'!$B$32)/1000+'Inputs'!$B$21+'Inputs'!$B$7+'Inputs'!$B$10)+'Inputs'!$B$9)^2+('Inputs'!$B$8/2)^2)-(((821-43)*MAX('Inputs'!$B$33,'Inputs'!$B$29+'Inputs'!$B$31+'Inputs'!$B$32,'Inputs'!$B$30+'Inputs'!$B$31+'Inputs'!$B$32)/1000+'Inputs'!$B$21+'Inputs'!$B$7+'Inputs'!$B$10))/SQRT((((821-43)*MAX('Inputs'!$B$33,'Inputs'!$B$29+'Inputs'!$B$31+'Inputs'!$B$32,'Inputs'!$B$30+'Inputs'!$B$31+'Inputs'!$B$32)/1000+'Inputs'!$B$21+'Inputs'!$B$7+'Inputs'!$B$10))^2+('Inputs'!$B$8/2)^2))))*'Results'!$B$8)+'Inputs'!$B$28*ABS((('Results'!B7*(1+'Inputs'!$B$24)*(0.5*((((821-43)*MAX('Inputs'!$B$33,'Inputs'!$B$29+'Inputs'!$B$31+'Inputs'!$B$32,'Inputs'!$B$30+'Inputs'!$B$31+'Inputs'!$B$32)/1000+'Inputs'!$B$21)+'Inputs'!$B$7)/SQRT((((821-43)*MAX('Inputs'!$B$33,'Inputs'!$B$29+'Inputs'!$B$31+'Inputs'!$B$32,'Inputs'!$B$30+'Inputs'!$B$31+'Inputs'!$B$32)/1000+'Inputs'!$B$21)+'Inputs'!$B$7)^2+('Inputs'!$B$6/2)^2)-(((821-43)*MAX('Inputs'!$B$33,'Inputs'!$B$29+'Inputs'!$B$31+'Inputs'!$B$32,'Inputs'!$B$30+'Inputs'!$B$31+'Inputs'!$B$32)/1000+'Inputs'!$B$21))/SQRT((((821-43)*MAX('Inputs'!$B$33,'Inputs'!$B$29+'Inputs'!$B$31+'Inputs'!$B$32,'Inputs'!$B$30+'Inputs'!$B$31+'Inputs'!$B$32)/1000+'Inputs'!$B$21))^2+('Inputs'!$B$6/2)^2)))-'Results'!C7*(1-'Inputs'!$B$24)*(0.5*((((821-43)*MAX('Inputs'!$B$33,'Inputs'!$B$29+'Inputs'!$B$31+'Inputs'!$B$32,'Inputs'!$B$30+'Inputs'!$B$31+'Inputs'!$B$32)/1000+'Inputs'!$B$21+'Inputs'!$B$7+'Inputs'!$B$10)+'Inputs'!$B$9)/SQRT((((821-43)*MAX('Inputs'!$B$33,'Inputs'!$B$29+'Inputs'!$B$31+'Inputs'!$B$32,'Inputs'!$B$30+'Inputs'!$B$31+'Inputs'!$B$32)/1000+'Inputs'!$B$21+'Inputs'!$B$7+'Inputs'!$B$10)+'Inputs'!$B$9)^2+('Inputs'!$B$8/2)^2)-(((821-43)*MAX('Inputs'!$B$33,'Inputs'!$B$29+'Inputs'!$B$31+'Inputs'!$B$32,'Inputs'!$B$30+'Inputs'!$B$31+'Inputs'!$B$32)/1000+'Inputs'!$B$21+'Inputs'!$B$7+'Inputs'!$B$10))/SQRT((((821-43)*MAX('Inputs'!$B$33,'Inputs'!$B$29+'Inputs'!$B$31+'Inputs'!$B$32,'Inputs'!$B$30+'Inputs'!$B$31+'Inputs'!$B$32)/1000+'Inputs'!$B$21+'Inputs'!$B$7+'Inputs'!$B$10))^2+('Inputs'!$B$8/2)^2))))*'Results'!$B$8))),"")</x:f>
        <x:v>1.0206668125360332</x:v>
      </x:c>
      <x:c r="M821" t="n">
        <x:f>IF(AND(ISNUMBER('Results'!C7),ISNUMBER('Results'!B7),ISNUMBER('Results'!$B$8),ISNUMBER('Inputs'!$B$6),ISNUMBER('Inputs'!$B$7),ISNUMBER('Inputs'!$B$8),ISNUMBER('Inputs'!$B$9),ISNUMBER('Inputs'!$B$10),ISNUMBER('Inputs'!$B$21),ISNUMBER('Inputs'!$B$24),ISNUMBER('Inputs'!$B$28)),(('Results'!C7*(0.5*((((821-43)*MAX('Inputs'!$B$33,'Inputs'!$B$29+'Inputs'!$B$31+'Inputs'!$B$32,'Inputs'!$B$30+'Inputs'!$B$31+'Inputs'!$B$32)/1000+'Inputs'!$B$21)+'Inputs'!$B$9)/SQRT((((821-43)*MAX('Inputs'!$B$33,'Inputs'!$B$29+'Inputs'!$B$31+'Inputs'!$B$32,'Inputs'!$B$30+'Inputs'!$B$31+'Inputs'!$B$32)/1000+'Inputs'!$B$21)+'Inputs'!$B$9)^2+('Inputs'!$B$8/2)^2)-(((821-43)*MAX('Inputs'!$B$33,'Inputs'!$B$29+'Inputs'!$B$31+'Inputs'!$B$32,'Inputs'!$B$30+'Inputs'!$B$31+'Inputs'!$B$32)/1000+'Inputs'!$B$21))/SQRT((((821-43)*MAX('Inputs'!$B$33,'Inputs'!$B$29+'Inputs'!$B$31+'Inputs'!$B$32,'Inputs'!$B$30+'Inputs'!$B$31+'Inputs'!$B$32)/1000+'Inputs'!$B$21))^2+('Inputs'!$B$8/2)^2)))-'Results'!B7*(0.5*((((821-43)*MAX('Inputs'!$B$33,'Inputs'!$B$29+'Inputs'!$B$31+'Inputs'!$B$32,'Inputs'!$B$30+'Inputs'!$B$31+'Inputs'!$B$32)/1000+'Inputs'!$B$21+'Inputs'!$B$9+'Inputs'!$B$10)+'Inputs'!$B$7)/SQRT((((821-43)*MAX('Inputs'!$B$33,'Inputs'!$B$29+'Inputs'!$B$31+'Inputs'!$B$32,'Inputs'!$B$30+'Inputs'!$B$31+'Inputs'!$B$32)/1000+'Inputs'!$B$21+'Inputs'!$B$9+'Inputs'!$B$10)+'Inputs'!$B$7)^2+('Inputs'!$B$6/2)^2)-(((821-43)*MAX('Inputs'!$B$33,'Inputs'!$B$29+'Inputs'!$B$31+'Inputs'!$B$32,'Inputs'!$B$30+'Inputs'!$B$31+'Inputs'!$B$32)/1000+'Inputs'!$B$21+'Inputs'!$B$9+'Inputs'!$B$10))/SQRT((((821-43)*MAX('Inputs'!$B$33,'Inputs'!$B$29+'Inputs'!$B$31+'Inputs'!$B$32,'Inputs'!$B$30+'Inputs'!$B$31+'Inputs'!$B$32)/1000+'Inputs'!$B$21+'Inputs'!$B$9+'Inputs'!$B$10))^2+('Inputs'!$B$6/2)^2))))*'Results'!$B$8),"")</x:f>
        <x:v>0.8000363667461315</x:v>
      </x:c>
      <x:c r="N821" t="n">
        <x:f>IF(AND(ISNUMBER('Results'!C7),ISNUMBER('Results'!B7),ISNUMBER('Results'!$B$8),ISNUMBER('Inputs'!$B$6),ISNUMBER('Inputs'!$B$7),ISNUMBER('Inputs'!$B$8),ISNUMBER('Inputs'!$B$9),ISNUMBER('Inputs'!$B$10),ISNUMBER('Inputs'!$B$21),ISNUMBER('Inputs'!$B$24),ISNUMBER('Inputs'!$B$28)),((('Results'!C7*(1-'Inputs'!$B$24)*(0.5*((((821-43)*MAX('Inputs'!$B$33,'Inputs'!$B$29+'Inputs'!$B$31+'Inputs'!$B$32,'Inputs'!$B$30+'Inputs'!$B$31+'Inputs'!$B$32)/1000+'Inputs'!$B$21)+'Inputs'!$B$9)/SQRT((((821-43)*MAX('Inputs'!$B$33,'Inputs'!$B$29+'Inputs'!$B$31+'Inputs'!$B$32,'Inputs'!$B$30+'Inputs'!$B$31+'Inputs'!$B$32)/1000+'Inputs'!$B$21)+'Inputs'!$B$9)^2+('Inputs'!$B$8/2)^2)-(((821-43)*MAX('Inputs'!$B$33,'Inputs'!$B$29+'Inputs'!$B$31+'Inputs'!$B$32,'Inputs'!$B$30+'Inputs'!$B$31+'Inputs'!$B$32)/1000+'Inputs'!$B$21))/SQRT((((821-43)*MAX('Inputs'!$B$33,'Inputs'!$B$29+'Inputs'!$B$31+'Inputs'!$B$32,'Inputs'!$B$30+'Inputs'!$B$31+'Inputs'!$B$32)/1000+'Inputs'!$B$21))^2+('Inputs'!$B$8/2)^2)))-'Results'!B7*(1+'Inputs'!$B$24)*(0.5*((((821-43)*MAX('Inputs'!$B$33,'Inputs'!$B$29+'Inputs'!$B$31+'Inputs'!$B$32,'Inputs'!$B$30+'Inputs'!$B$31+'Inputs'!$B$32)/1000+'Inputs'!$B$21+'Inputs'!$B$9+'Inputs'!$B$10)+'Inputs'!$B$7)/SQRT((((821-43)*MAX('Inputs'!$B$33,'Inputs'!$B$29+'Inputs'!$B$31+'Inputs'!$B$32,'Inputs'!$B$30+'Inputs'!$B$31+'Inputs'!$B$32)/1000+'Inputs'!$B$21+'Inputs'!$B$9+'Inputs'!$B$10)+'Inputs'!$B$7)^2+('Inputs'!$B$6/2)^2)-(((821-43)*MAX('Inputs'!$B$33,'Inputs'!$B$29+'Inputs'!$B$31+'Inputs'!$B$32,'Inputs'!$B$30+'Inputs'!$B$31+'Inputs'!$B$32)/1000+'Inputs'!$B$21+'Inputs'!$B$9+'Inputs'!$B$10))/SQRT((((821-43)*MAX('Inputs'!$B$33,'Inputs'!$B$29+'Inputs'!$B$31+'Inputs'!$B$32,'Inputs'!$B$30+'Inputs'!$B$31+'Inputs'!$B$32)/1000+'Inputs'!$B$21+'Inputs'!$B$9+'Inputs'!$B$10))^2+('Inputs'!$B$6/2)^2))))*'Results'!$B$8)-'Inputs'!$B$28*ABS((('Results'!C7*(1-'Inputs'!$B$24)*(0.5*((((821-43)*MAX('Inputs'!$B$33,'Inputs'!$B$29+'Inputs'!$B$31+'Inputs'!$B$32,'Inputs'!$B$30+'Inputs'!$B$31+'Inputs'!$B$32)/1000+'Inputs'!$B$21)+'Inputs'!$B$9)/SQRT((((821-43)*MAX('Inputs'!$B$33,'Inputs'!$B$29+'Inputs'!$B$31+'Inputs'!$B$32,'Inputs'!$B$30+'Inputs'!$B$31+'Inputs'!$B$32)/1000+'Inputs'!$B$21)+'Inputs'!$B$9)^2+('Inputs'!$B$8/2)^2)-(((821-43)*MAX('Inputs'!$B$33,'Inputs'!$B$29+'Inputs'!$B$31+'Inputs'!$B$32,'Inputs'!$B$30+'Inputs'!$B$31+'Inputs'!$B$32)/1000+'Inputs'!$B$21))/SQRT((((821-43)*MAX('Inputs'!$B$33,'Inputs'!$B$29+'Inputs'!$B$31+'Inputs'!$B$32,'Inputs'!$B$30+'Inputs'!$B$31+'Inputs'!$B$32)/1000+'Inputs'!$B$21))^2+('Inputs'!$B$8/2)^2)))-'Results'!B7*(1+'Inputs'!$B$24)*(0.5*((((821-43)*MAX('Inputs'!$B$33,'Inputs'!$B$29+'Inputs'!$B$31+'Inputs'!$B$32,'Inputs'!$B$30+'Inputs'!$B$31+'Inputs'!$B$32)/1000+'Inputs'!$B$21+'Inputs'!$B$9+'Inputs'!$B$10)+'Inputs'!$B$7)/SQRT((((821-43)*MAX('Inputs'!$B$33,'Inputs'!$B$29+'Inputs'!$B$31+'Inputs'!$B$32,'Inputs'!$B$30+'Inputs'!$B$31+'Inputs'!$B$32)/1000+'Inputs'!$B$21+'Inputs'!$B$9+'Inputs'!$B$10)+'Inputs'!$B$7)^2+('Inputs'!$B$6/2)^2)-(((821-43)*MAX('Inputs'!$B$33,'Inputs'!$B$29+'Inputs'!$B$31+'Inputs'!$B$32,'Inputs'!$B$30+'Inputs'!$B$31+'Inputs'!$B$32)/1000+'Inputs'!$B$21+'Inputs'!$B$9+'Inputs'!$B$10))/SQRT((((821-43)*MAX('Inputs'!$B$33,'Inputs'!$B$29+'Inputs'!$B$31+'Inputs'!$B$32,'Inputs'!$B$30+'Inputs'!$B$31+'Inputs'!$B$32)/1000+'Inputs'!$B$21+'Inputs'!$B$9+'Inputs'!$B$10))^2+('Inputs'!$B$6/2)^2))))*'Results'!$B$8))),"")</x:f>
        <x:v>0.6789745532727393</x:v>
      </x:c>
      <x:c r="O821" t="n">
        <x:f>IF(AND(ISNUMBER('Results'!C7),ISNUMBER('Results'!B7),ISNUMBER('Results'!$B$8),ISNUMBER('Inputs'!$B$6),ISNUMBER('Inputs'!$B$7),ISNUMBER('Inputs'!$B$8),ISNUMBER('Inputs'!$B$9),ISNUMBER('Inputs'!$B$10),ISNUMBER('Inputs'!$B$21),ISNUMBER('Inputs'!$B$24),ISNUMBER('Inputs'!$B$28)),((('Results'!C7*(1+'Inputs'!$B$24)*(0.5*((((821-43)*MAX('Inputs'!$B$33,'Inputs'!$B$29+'Inputs'!$B$31+'Inputs'!$B$32,'Inputs'!$B$30+'Inputs'!$B$31+'Inputs'!$B$32)/1000+'Inputs'!$B$21)+'Inputs'!$B$9)/SQRT((((821-43)*MAX('Inputs'!$B$33,'Inputs'!$B$29+'Inputs'!$B$31+'Inputs'!$B$32,'Inputs'!$B$30+'Inputs'!$B$31+'Inputs'!$B$32)/1000+'Inputs'!$B$21)+'Inputs'!$B$9)^2+('Inputs'!$B$8/2)^2)-(((821-43)*MAX('Inputs'!$B$33,'Inputs'!$B$29+'Inputs'!$B$31+'Inputs'!$B$32,'Inputs'!$B$30+'Inputs'!$B$31+'Inputs'!$B$32)/1000+'Inputs'!$B$21))/SQRT((((821-43)*MAX('Inputs'!$B$33,'Inputs'!$B$29+'Inputs'!$B$31+'Inputs'!$B$32,'Inputs'!$B$30+'Inputs'!$B$31+'Inputs'!$B$32)/1000+'Inputs'!$B$21))^2+('Inputs'!$B$8/2)^2)))-'Results'!B7*(1-'Inputs'!$B$24)*(0.5*((((821-43)*MAX('Inputs'!$B$33,'Inputs'!$B$29+'Inputs'!$B$31+'Inputs'!$B$32,'Inputs'!$B$30+'Inputs'!$B$31+'Inputs'!$B$32)/1000+'Inputs'!$B$21+'Inputs'!$B$9+'Inputs'!$B$10)+'Inputs'!$B$7)/SQRT((((821-43)*MAX('Inputs'!$B$33,'Inputs'!$B$29+'Inputs'!$B$31+'Inputs'!$B$32,'Inputs'!$B$30+'Inputs'!$B$31+'Inputs'!$B$32)/1000+'Inputs'!$B$21+'Inputs'!$B$9+'Inputs'!$B$10)+'Inputs'!$B$7)^2+('Inputs'!$B$6/2)^2)-(((821-43)*MAX('Inputs'!$B$33,'Inputs'!$B$29+'Inputs'!$B$31+'Inputs'!$B$32,'Inputs'!$B$30+'Inputs'!$B$31+'Inputs'!$B$32)/1000+'Inputs'!$B$21+'Inputs'!$B$9+'Inputs'!$B$10))/SQRT((((821-43)*MAX('Inputs'!$B$33,'Inputs'!$B$29+'Inputs'!$B$31+'Inputs'!$B$32,'Inputs'!$B$30+'Inputs'!$B$31+'Inputs'!$B$32)/1000+'Inputs'!$B$21+'Inputs'!$B$9+'Inputs'!$B$10))^2+('Inputs'!$B$6/2)^2))))*'Results'!$B$8)+'Inputs'!$B$28*ABS((('Results'!C7*(1+'Inputs'!$B$24)*(0.5*((((821-43)*MAX('Inputs'!$B$33,'Inputs'!$B$29+'Inputs'!$B$31+'Inputs'!$B$32,'Inputs'!$B$30+'Inputs'!$B$31+'Inputs'!$B$32)/1000+'Inputs'!$B$21)+'Inputs'!$B$9)/SQRT((((821-43)*MAX('Inputs'!$B$33,'Inputs'!$B$29+'Inputs'!$B$31+'Inputs'!$B$32,'Inputs'!$B$30+'Inputs'!$B$31+'Inputs'!$B$32)/1000+'Inputs'!$B$21)+'Inputs'!$B$9)^2+('Inputs'!$B$8/2)^2)-(((821-43)*MAX('Inputs'!$B$33,'Inputs'!$B$29+'Inputs'!$B$31+'Inputs'!$B$32,'Inputs'!$B$30+'Inputs'!$B$31+'Inputs'!$B$32)/1000+'Inputs'!$B$21))/SQRT((((821-43)*MAX('Inputs'!$B$33,'Inputs'!$B$29+'Inputs'!$B$31+'Inputs'!$B$32,'Inputs'!$B$30+'Inputs'!$B$31+'Inputs'!$B$32)/1000+'Inputs'!$B$21))^2+('Inputs'!$B$8/2)^2)))-'Results'!B7*(1-'Inputs'!$B$24)*(0.5*((((821-43)*MAX('Inputs'!$B$33,'Inputs'!$B$29+'Inputs'!$B$31+'Inputs'!$B$32,'Inputs'!$B$30+'Inputs'!$B$31+'Inputs'!$B$32)/1000+'Inputs'!$B$21+'Inputs'!$B$9+'Inputs'!$B$10)+'Inputs'!$B$7)/SQRT((((821-43)*MAX('Inputs'!$B$33,'Inputs'!$B$29+'Inputs'!$B$31+'Inputs'!$B$32,'Inputs'!$B$30+'Inputs'!$B$31+'Inputs'!$B$32)/1000+'Inputs'!$B$21+'Inputs'!$B$9+'Inputs'!$B$10)+'Inputs'!$B$7)^2+('Inputs'!$B$6/2)^2)-(((821-43)*MAX('Inputs'!$B$33,'Inputs'!$B$29+'Inputs'!$B$31+'Inputs'!$B$32,'Inputs'!$B$30+'Inputs'!$B$31+'Inputs'!$B$32)/1000+'Inputs'!$B$21+'Inputs'!$B$9+'Inputs'!$B$10))/SQRT((((821-43)*MAX('Inputs'!$B$33,'Inputs'!$B$29+'Inputs'!$B$31+'Inputs'!$B$32,'Inputs'!$B$30+'Inputs'!$B$31+'Inputs'!$B$32)/1000+'Inputs'!$B$21+'Inputs'!$B$9+'Inputs'!$B$10))^2+('Inputs'!$B$6/2)^2))))*'Results'!$B$8))),"")</x:f>
        <x:v>0.9296308112864804</x:v>
      </x:c>
      <x:c r="P821" t="n">
        <x:f>IF(AND(MAX(J821,J820)&gt;0,J821&gt;J820+0.00000001),1,0)</x:f>
        <x:v>0</x:v>
      </x:c>
      <x:c r="Q821" t="n">
        <x:f>IF(AND(MAX(K821,K820)&gt;0,K821&gt;K820+0.00000001),1,0)</x:f>
        <x:v>0</x:v>
      </x:c>
      <x:c r="R821" t="n">
        <x:f>IF(AND(MAX(L821,L820)&gt;0,L821&gt;L820+0.00000001),1,0)</x:f>
        <x:v>0</x:v>
      </x:c>
      <x:c r="S821" t="n">
        <x:f>IF(AND(MAX(M821,M820)&gt;0,M821&gt;M820+0.00000001),1,0)</x:f>
        <x:v>0</x:v>
      </x:c>
      <x:c r="T821" t="n">
        <x:f>IF(AND(MAX(N821,N820)&gt;0,N821&gt;N820+0.00000001),1,0)</x:f>
        <x:v>0</x:v>
      </x:c>
      <x:c r="U821" t="n">
        <x:f>IF(AND(MAX(O821,O820)&gt;0,O821&gt;O820+0.00000001),1,0)</x:f>
        <x:v>0</x:v>
      </x:c>
    </x:row>
    <x:row r="822">
      <x:c r="J822" t="n">
        <x:f>IF(AND(ISNUMBER('Results'!B7),ISNUMBER('Results'!C7),ISNUMBER('Results'!$B$8),ISNUMBER('Inputs'!$B$6),ISNUMBER('Inputs'!$B$7),ISNUMBER('Inputs'!$B$8),ISNUMBER('Inputs'!$B$9),ISNUMBER('Inputs'!$B$10),ISNUMBER('Inputs'!$B$21),ISNUMBER('Inputs'!$B$24),ISNUMBER('Inputs'!$B$28)),(('Results'!B7*(0.5*((((822-43)*MAX('Inputs'!$B$33,'Inputs'!$B$29+'Inputs'!$B$31+'Inputs'!$B$32,'Inputs'!$B$30+'Inputs'!$B$31+'Inputs'!$B$32)/1000+'Inputs'!$B$21)+'Inputs'!$B$7)/SQRT((((822-43)*MAX('Inputs'!$B$33,'Inputs'!$B$29+'Inputs'!$B$31+'Inputs'!$B$32,'Inputs'!$B$30+'Inputs'!$B$31+'Inputs'!$B$32)/1000+'Inputs'!$B$21)+'Inputs'!$B$7)^2+('Inputs'!$B$6/2)^2)-(((822-43)*MAX('Inputs'!$B$33,'Inputs'!$B$29+'Inputs'!$B$31+'Inputs'!$B$32,'Inputs'!$B$30+'Inputs'!$B$31+'Inputs'!$B$32)/1000+'Inputs'!$B$21))/SQRT((((822-43)*MAX('Inputs'!$B$33,'Inputs'!$B$29+'Inputs'!$B$31+'Inputs'!$B$32,'Inputs'!$B$30+'Inputs'!$B$31+'Inputs'!$B$32)/1000+'Inputs'!$B$21))^2+('Inputs'!$B$6/2)^2)))-'Results'!C7*(0.5*((((822-43)*MAX('Inputs'!$B$33,'Inputs'!$B$29+'Inputs'!$B$31+'Inputs'!$B$32,'Inputs'!$B$30+'Inputs'!$B$31+'Inputs'!$B$32)/1000+'Inputs'!$B$21+'Inputs'!$B$7+'Inputs'!$B$10)+'Inputs'!$B$9)/SQRT((((822-43)*MAX('Inputs'!$B$33,'Inputs'!$B$29+'Inputs'!$B$31+'Inputs'!$B$32,'Inputs'!$B$30+'Inputs'!$B$31+'Inputs'!$B$32)/1000+'Inputs'!$B$21+'Inputs'!$B$7+'Inputs'!$B$10)+'Inputs'!$B$9)^2+('Inputs'!$B$8/2)^2)-(((822-43)*MAX('Inputs'!$B$33,'Inputs'!$B$29+'Inputs'!$B$31+'Inputs'!$B$32,'Inputs'!$B$30+'Inputs'!$B$31+'Inputs'!$B$32)/1000+'Inputs'!$B$21+'Inputs'!$B$7+'Inputs'!$B$10))/SQRT((((822-43)*MAX('Inputs'!$B$33,'Inputs'!$B$29+'Inputs'!$B$31+'Inputs'!$B$32,'Inputs'!$B$30+'Inputs'!$B$31+'Inputs'!$B$32)/1000+'Inputs'!$B$21+'Inputs'!$B$7+'Inputs'!$B$10))^2+('Inputs'!$B$8/2)^2))))*'Results'!$B$8),"")</x:f>
        <x:v>0.882321851596493</x:v>
      </x:c>
      <x:c r="K822" t="n">
        <x:f>IF(AND(ISNUMBER('Results'!B7),ISNUMBER('Results'!C7),ISNUMBER('Results'!$B$8),ISNUMBER('Inputs'!$B$6),ISNUMBER('Inputs'!$B$7),ISNUMBER('Inputs'!$B$8),ISNUMBER('Inputs'!$B$9),ISNUMBER('Inputs'!$B$10),ISNUMBER('Inputs'!$B$21),ISNUMBER('Inputs'!$B$24),ISNUMBER('Inputs'!$B$28)),((('Results'!B7*(1-'Inputs'!$B$24)*(0.5*((((822-43)*MAX('Inputs'!$B$33,'Inputs'!$B$29+'Inputs'!$B$31+'Inputs'!$B$32,'Inputs'!$B$30+'Inputs'!$B$31+'Inputs'!$B$32)/1000+'Inputs'!$B$21)+'Inputs'!$B$7)/SQRT((((822-43)*MAX('Inputs'!$B$33,'Inputs'!$B$29+'Inputs'!$B$31+'Inputs'!$B$32,'Inputs'!$B$30+'Inputs'!$B$31+'Inputs'!$B$32)/1000+'Inputs'!$B$21)+'Inputs'!$B$7)^2+('Inputs'!$B$6/2)^2)-(((822-43)*MAX('Inputs'!$B$33,'Inputs'!$B$29+'Inputs'!$B$31+'Inputs'!$B$32,'Inputs'!$B$30+'Inputs'!$B$31+'Inputs'!$B$32)/1000+'Inputs'!$B$21))/SQRT((((822-43)*MAX('Inputs'!$B$33,'Inputs'!$B$29+'Inputs'!$B$31+'Inputs'!$B$32,'Inputs'!$B$30+'Inputs'!$B$31+'Inputs'!$B$32)/1000+'Inputs'!$B$21))^2+('Inputs'!$B$6/2)^2)))-'Results'!C7*(1+'Inputs'!$B$24)*(0.5*((((822-43)*MAX('Inputs'!$B$33,'Inputs'!$B$29+'Inputs'!$B$31+'Inputs'!$B$32,'Inputs'!$B$30+'Inputs'!$B$31+'Inputs'!$B$32)/1000+'Inputs'!$B$21+'Inputs'!$B$7+'Inputs'!$B$10)+'Inputs'!$B$9)/SQRT((((822-43)*MAX('Inputs'!$B$33,'Inputs'!$B$29+'Inputs'!$B$31+'Inputs'!$B$32,'Inputs'!$B$30+'Inputs'!$B$31+'Inputs'!$B$32)/1000+'Inputs'!$B$21+'Inputs'!$B$7+'Inputs'!$B$10)+'Inputs'!$B$9)^2+('Inputs'!$B$8/2)^2)-(((822-43)*MAX('Inputs'!$B$33,'Inputs'!$B$29+'Inputs'!$B$31+'Inputs'!$B$32,'Inputs'!$B$30+'Inputs'!$B$31+'Inputs'!$B$32)/1000+'Inputs'!$B$21+'Inputs'!$B$7+'Inputs'!$B$10))/SQRT((((822-43)*MAX('Inputs'!$B$33,'Inputs'!$B$29+'Inputs'!$B$31+'Inputs'!$B$32,'Inputs'!$B$30+'Inputs'!$B$31+'Inputs'!$B$32)/1000+'Inputs'!$B$21+'Inputs'!$B$7+'Inputs'!$B$10))^2+('Inputs'!$B$8/2)^2))))*'Results'!$B$8)-'Inputs'!$B$28*ABS((('Results'!B7*(1-'Inputs'!$B$24)*(0.5*((((822-43)*MAX('Inputs'!$B$33,'Inputs'!$B$29+'Inputs'!$B$31+'Inputs'!$B$32,'Inputs'!$B$30+'Inputs'!$B$31+'Inputs'!$B$32)/1000+'Inputs'!$B$21)+'Inputs'!$B$7)/SQRT((((822-43)*MAX('Inputs'!$B$33,'Inputs'!$B$29+'Inputs'!$B$31+'Inputs'!$B$32,'Inputs'!$B$30+'Inputs'!$B$31+'Inputs'!$B$32)/1000+'Inputs'!$B$21)+'Inputs'!$B$7)^2+('Inputs'!$B$6/2)^2)-(((822-43)*MAX('Inputs'!$B$33,'Inputs'!$B$29+'Inputs'!$B$31+'Inputs'!$B$32,'Inputs'!$B$30+'Inputs'!$B$31+'Inputs'!$B$32)/1000+'Inputs'!$B$21))/SQRT((((822-43)*MAX('Inputs'!$B$33,'Inputs'!$B$29+'Inputs'!$B$31+'Inputs'!$B$32,'Inputs'!$B$30+'Inputs'!$B$31+'Inputs'!$B$32)/1000+'Inputs'!$B$21))^2+('Inputs'!$B$6/2)^2)))-'Results'!C7*(1+'Inputs'!$B$24)*(0.5*((((822-43)*MAX('Inputs'!$B$33,'Inputs'!$B$29+'Inputs'!$B$31+'Inputs'!$B$32,'Inputs'!$B$30+'Inputs'!$B$31+'Inputs'!$B$32)/1000+'Inputs'!$B$21+'Inputs'!$B$7+'Inputs'!$B$10)+'Inputs'!$B$9)/SQRT((((822-43)*MAX('Inputs'!$B$33,'Inputs'!$B$29+'Inputs'!$B$31+'Inputs'!$B$32,'Inputs'!$B$30+'Inputs'!$B$31+'Inputs'!$B$32)/1000+'Inputs'!$B$21+'Inputs'!$B$7+'Inputs'!$B$10)+'Inputs'!$B$9)^2+('Inputs'!$B$8/2)^2)-(((822-43)*MAX('Inputs'!$B$33,'Inputs'!$B$29+'Inputs'!$B$31+'Inputs'!$B$32,'Inputs'!$B$30+'Inputs'!$B$31+'Inputs'!$B$32)/1000+'Inputs'!$B$21+'Inputs'!$B$7+'Inputs'!$B$10))/SQRT((((822-43)*MAX('Inputs'!$B$33,'Inputs'!$B$29+'Inputs'!$B$31+'Inputs'!$B$32,'Inputs'!$B$30+'Inputs'!$B$31+'Inputs'!$B$32)/1000+'Inputs'!$B$21+'Inputs'!$B$7+'Inputs'!$B$10))^2+('Inputs'!$B$8/2)^2))))*'Results'!$B$8))),"")</x:f>
        <x:v>0.7571097907242901</x:v>
      </x:c>
      <x:c r="L822" t="n">
        <x:f>IF(AND(ISNUMBER('Results'!B7),ISNUMBER('Results'!C7),ISNUMBER('Results'!$B$8),ISNUMBER('Inputs'!$B$6),ISNUMBER('Inputs'!$B$7),ISNUMBER('Inputs'!$B$8),ISNUMBER('Inputs'!$B$9),ISNUMBER('Inputs'!$B$10),ISNUMBER('Inputs'!$B$21),ISNUMBER('Inputs'!$B$24),ISNUMBER('Inputs'!$B$28)),((('Results'!B7*(1+'Inputs'!$B$24)*(0.5*((((822-43)*MAX('Inputs'!$B$33,'Inputs'!$B$29+'Inputs'!$B$31+'Inputs'!$B$32,'Inputs'!$B$30+'Inputs'!$B$31+'Inputs'!$B$32)/1000+'Inputs'!$B$21)+'Inputs'!$B$7)/SQRT((((822-43)*MAX('Inputs'!$B$33,'Inputs'!$B$29+'Inputs'!$B$31+'Inputs'!$B$32,'Inputs'!$B$30+'Inputs'!$B$31+'Inputs'!$B$32)/1000+'Inputs'!$B$21)+'Inputs'!$B$7)^2+('Inputs'!$B$6/2)^2)-(((822-43)*MAX('Inputs'!$B$33,'Inputs'!$B$29+'Inputs'!$B$31+'Inputs'!$B$32,'Inputs'!$B$30+'Inputs'!$B$31+'Inputs'!$B$32)/1000+'Inputs'!$B$21))/SQRT((((822-43)*MAX('Inputs'!$B$33,'Inputs'!$B$29+'Inputs'!$B$31+'Inputs'!$B$32,'Inputs'!$B$30+'Inputs'!$B$31+'Inputs'!$B$32)/1000+'Inputs'!$B$21))^2+('Inputs'!$B$6/2)^2)))-'Results'!C7*(1-'Inputs'!$B$24)*(0.5*((((822-43)*MAX('Inputs'!$B$33,'Inputs'!$B$29+'Inputs'!$B$31+'Inputs'!$B$32,'Inputs'!$B$30+'Inputs'!$B$31+'Inputs'!$B$32)/1000+'Inputs'!$B$21+'Inputs'!$B$7+'Inputs'!$B$10)+'Inputs'!$B$9)/SQRT((((822-43)*MAX('Inputs'!$B$33,'Inputs'!$B$29+'Inputs'!$B$31+'Inputs'!$B$32,'Inputs'!$B$30+'Inputs'!$B$31+'Inputs'!$B$32)/1000+'Inputs'!$B$21+'Inputs'!$B$7+'Inputs'!$B$10)+'Inputs'!$B$9)^2+('Inputs'!$B$8/2)^2)-(((822-43)*MAX('Inputs'!$B$33,'Inputs'!$B$29+'Inputs'!$B$31+'Inputs'!$B$32,'Inputs'!$B$30+'Inputs'!$B$31+'Inputs'!$B$32)/1000+'Inputs'!$B$21+'Inputs'!$B$7+'Inputs'!$B$10))/SQRT((((822-43)*MAX('Inputs'!$B$33,'Inputs'!$B$29+'Inputs'!$B$31+'Inputs'!$B$32,'Inputs'!$B$30+'Inputs'!$B$31+'Inputs'!$B$32)/1000+'Inputs'!$B$21+'Inputs'!$B$7+'Inputs'!$B$10))^2+('Inputs'!$B$8/2)^2))))*'Results'!$B$8)+'Inputs'!$B$28*ABS((('Results'!B7*(1+'Inputs'!$B$24)*(0.5*((((822-43)*MAX('Inputs'!$B$33,'Inputs'!$B$29+'Inputs'!$B$31+'Inputs'!$B$32,'Inputs'!$B$30+'Inputs'!$B$31+'Inputs'!$B$32)/1000+'Inputs'!$B$21)+'Inputs'!$B$7)/SQRT((((822-43)*MAX('Inputs'!$B$33,'Inputs'!$B$29+'Inputs'!$B$31+'Inputs'!$B$32,'Inputs'!$B$30+'Inputs'!$B$31+'Inputs'!$B$32)/1000+'Inputs'!$B$21)+'Inputs'!$B$7)^2+('Inputs'!$B$6/2)^2)-(((822-43)*MAX('Inputs'!$B$33,'Inputs'!$B$29+'Inputs'!$B$31+'Inputs'!$B$32,'Inputs'!$B$30+'Inputs'!$B$31+'Inputs'!$B$32)/1000+'Inputs'!$B$21))/SQRT((((822-43)*MAX('Inputs'!$B$33,'Inputs'!$B$29+'Inputs'!$B$31+'Inputs'!$B$32,'Inputs'!$B$30+'Inputs'!$B$31+'Inputs'!$B$32)/1000+'Inputs'!$B$21))^2+('Inputs'!$B$6/2)^2)))-'Results'!C7*(1-'Inputs'!$B$24)*(0.5*((((822-43)*MAX('Inputs'!$B$33,'Inputs'!$B$29+'Inputs'!$B$31+'Inputs'!$B$32,'Inputs'!$B$30+'Inputs'!$B$31+'Inputs'!$B$32)/1000+'Inputs'!$B$21+'Inputs'!$B$7+'Inputs'!$B$10)+'Inputs'!$B$9)/SQRT((((822-43)*MAX('Inputs'!$B$33,'Inputs'!$B$29+'Inputs'!$B$31+'Inputs'!$B$32,'Inputs'!$B$30+'Inputs'!$B$31+'Inputs'!$B$32)/1000+'Inputs'!$B$21+'Inputs'!$B$7+'Inputs'!$B$10)+'Inputs'!$B$9)^2+('Inputs'!$B$8/2)^2)-(((822-43)*MAX('Inputs'!$B$33,'Inputs'!$B$29+'Inputs'!$B$31+'Inputs'!$B$32,'Inputs'!$B$30+'Inputs'!$B$31+'Inputs'!$B$32)/1000+'Inputs'!$B$21+'Inputs'!$B$7+'Inputs'!$B$10))/SQRT((((822-43)*MAX('Inputs'!$B$33,'Inputs'!$B$29+'Inputs'!$B$31+'Inputs'!$B$32,'Inputs'!$B$30+'Inputs'!$B$31+'Inputs'!$B$32)/1000+'Inputs'!$B$21+'Inputs'!$B$7+'Inputs'!$B$10))^2+('Inputs'!$B$8/2)^2))))*'Results'!$B$8))),"")</x:f>
        <x:v>1.0160703301836835</x:v>
      </x:c>
      <x:c r="M822" t="n">
        <x:f>IF(AND(ISNUMBER('Results'!C7),ISNUMBER('Results'!B7),ISNUMBER('Results'!$B$8),ISNUMBER('Inputs'!$B$6),ISNUMBER('Inputs'!$B$7),ISNUMBER('Inputs'!$B$8),ISNUMBER('Inputs'!$B$9),ISNUMBER('Inputs'!$B$10),ISNUMBER('Inputs'!$B$21),ISNUMBER('Inputs'!$B$24),ISNUMBER('Inputs'!$B$28)),(('Results'!C7*(0.5*((((822-43)*MAX('Inputs'!$B$33,'Inputs'!$B$29+'Inputs'!$B$31+'Inputs'!$B$32,'Inputs'!$B$30+'Inputs'!$B$31+'Inputs'!$B$32)/1000+'Inputs'!$B$21)+'Inputs'!$B$9)/SQRT((((822-43)*MAX('Inputs'!$B$33,'Inputs'!$B$29+'Inputs'!$B$31+'Inputs'!$B$32,'Inputs'!$B$30+'Inputs'!$B$31+'Inputs'!$B$32)/1000+'Inputs'!$B$21)+'Inputs'!$B$9)^2+('Inputs'!$B$8/2)^2)-(((822-43)*MAX('Inputs'!$B$33,'Inputs'!$B$29+'Inputs'!$B$31+'Inputs'!$B$32,'Inputs'!$B$30+'Inputs'!$B$31+'Inputs'!$B$32)/1000+'Inputs'!$B$21))/SQRT((((822-43)*MAX('Inputs'!$B$33,'Inputs'!$B$29+'Inputs'!$B$31+'Inputs'!$B$32,'Inputs'!$B$30+'Inputs'!$B$31+'Inputs'!$B$32)/1000+'Inputs'!$B$21))^2+('Inputs'!$B$8/2)^2)))-'Results'!B7*(0.5*((((822-43)*MAX('Inputs'!$B$33,'Inputs'!$B$29+'Inputs'!$B$31+'Inputs'!$B$32,'Inputs'!$B$30+'Inputs'!$B$31+'Inputs'!$B$32)/1000+'Inputs'!$B$21+'Inputs'!$B$9+'Inputs'!$B$10)+'Inputs'!$B$7)/SQRT((((822-43)*MAX('Inputs'!$B$33,'Inputs'!$B$29+'Inputs'!$B$31+'Inputs'!$B$32,'Inputs'!$B$30+'Inputs'!$B$31+'Inputs'!$B$32)/1000+'Inputs'!$B$21+'Inputs'!$B$9+'Inputs'!$B$10)+'Inputs'!$B$7)^2+('Inputs'!$B$6/2)^2)-(((822-43)*MAX('Inputs'!$B$33,'Inputs'!$B$29+'Inputs'!$B$31+'Inputs'!$B$32,'Inputs'!$B$30+'Inputs'!$B$31+'Inputs'!$B$32)/1000+'Inputs'!$B$21+'Inputs'!$B$9+'Inputs'!$B$10))/SQRT((((822-43)*MAX('Inputs'!$B$33,'Inputs'!$B$29+'Inputs'!$B$31+'Inputs'!$B$32,'Inputs'!$B$30+'Inputs'!$B$31+'Inputs'!$B$32)/1000+'Inputs'!$B$21+'Inputs'!$B$9+'Inputs'!$B$10))^2+('Inputs'!$B$6/2)^2))))*'Results'!$B$8),"")</x:f>
        <x:v>0.7962666770984791</x:v>
      </x:c>
      <x:c r="N822" t="n">
        <x:f>IF(AND(ISNUMBER('Results'!C7),ISNUMBER('Results'!B7),ISNUMBER('Results'!$B$8),ISNUMBER('Inputs'!$B$6),ISNUMBER('Inputs'!$B$7),ISNUMBER('Inputs'!$B$8),ISNUMBER('Inputs'!$B$9),ISNUMBER('Inputs'!$B$10),ISNUMBER('Inputs'!$B$21),ISNUMBER('Inputs'!$B$24),ISNUMBER('Inputs'!$B$28)),((('Results'!C7*(1-'Inputs'!$B$24)*(0.5*((((822-43)*MAX('Inputs'!$B$33,'Inputs'!$B$29+'Inputs'!$B$31+'Inputs'!$B$32,'Inputs'!$B$30+'Inputs'!$B$31+'Inputs'!$B$32)/1000+'Inputs'!$B$21)+'Inputs'!$B$9)/SQRT((((822-43)*MAX('Inputs'!$B$33,'Inputs'!$B$29+'Inputs'!$B$31+'Inputs'!$B$32,'Inputs'!$B$30+'Inputs'!$B$31+'Inputs'!$B$32)/1000+'Inputs'!$B$21)+'Inputs'!$B$9)^2+('Inputs'!$B$8/2)^2)-(((822-43)*MAX('Inputs'!$B$33,'Inputs'!$B$29+'Inputs'!$B$31+'Inputs'!$B$32,'Inputs'!$B$30+'Inputs'!$B$31+'Inputs'!$B$32)/1000+'Inputs'!$B$21))/SQRT((((822-43)*MAX('Inputs'!$B$33,'Inputs'!$B$29+'Inputs'!$B$31+'Inputs'!$B$32,'Inputs'!$B$30+'Inputs'!$B$31+'Inputs'!$B$32)/1000+'Inputs'!$B$21))^2+('Inputs'!$B$8/2)^2)))-'Results'!B7*(1+'Inputs'!$B$24)*(0.5*((((822-43)*MAX('Inputs'!$B$33,'Inputs'!$B$29+'Inputs'!$B$31+'Inputs'!$B$32,'Inputs'!$B$30+'Inputs'!$B$31+'Inputs'!$B$32)/1000+'Inputs'!$B$21+'Inputs'!$B$9+'Inputs'!$B$10)+'Inputs'!$B$7)/SQRT((((822-43)*MAX('Inputs'!$B$33,'Inputs'!$B$29+'Inputs'!$B$31+'Inputs'!$B$32,'Inputs'!$B$30+'Inputs'!$B$31+'Inputs'!$B$32)/1000+'Inputs'!$B$21+'Inputs'!$B$9+'Inputs'!$B$10)+'Inputs'!$B$7)^2+('Inputs'!$B$6/2)^2)-(((822-43)*MAX('Inputs'!$B$33,'Inputs'!$B$29+'Inputs'!$B$31+'Inputs'!$B$32,'Inputs'!$B$30+'Inputs'!$B$31+'Inputs'!$B$32)/1000+'Inputs'!$B$21+'Inputs'!$B$9+'Inputs'!$B$10))/SQRT((((822-43)*MAX('Inputs'!$B$33,'Inputs'!$B$29+'Inputs'!$B$31+'Inputs'!$B$32,'Inputs'!$B$30+'Inputs'!$B$31+'Inputs'!$B$32)/1000+'Inputs'!$B$21+'Inputs'!$B$9+'Inputs'!$B$10))^2+('Inputs'!$B$6/2)^2))))*'Results'!$B$8)-'Inputs'!$B$28*ABS((('Results'!C7*(1-'Inputs'!$B$24)*(0.5*((((822-43)*MAX('Inputs'!$B$33,'Inputs'!$B$29+'Inputs'!$B$31+'Inputs'!$B$32,'Inputs'!$B$30+'Inputs'!$B$31+'Inputs'!$B$32)/1000+'Inputs'!$B$21)+'Inputs'!$B$9)/SQRT((((822-43)*MAX('Inputs'!$B$33,'Inputs'!$B$29+'Inputs'!$B$31+'Inputs'!$B$32,'Inputs'!$B$30+'Inputs'!$B$31+'Inputs'!$B$32)/1000+'Inputs'!$B$21)+'Inputs'!$B$9)^2+('Inputs'!$B$8/2)^2)-(((822-43)*MAX('Inputs'!$B$33,'Inputs'!$B$29+'Inputs'!$B$31+'Inputs'!$B$32,'Inputs'!$B$30+'Inputs'!$B$31+'Inputs'!$B$32)/1000+'Inputs'!$B$21))/SQRT((((822-43)*MAX('Inputs'!$B$33,'Inputs'!$B$29+'Inputs'!$B$31+'Inputs'!$B$32,'Inputs'!$B$30+'Inputs'!$B$31+'Inputs'!$B$32)/1000+'Inputs'!$B$21))^2+('Inputs'!$B$8/2)^2)))-'Results'!B7*(1+'Inputs'!$B$24)*(0.5*((((822-43)*MAX('Inputs'!$B$33,'Inputs'!$B$29+'Inputs'!$B$31+'Inputs'!$B$32,'Inputs'!$B$30+'Inputs'!$B$31+'Inputs'!$B$32)/1000+'Inputs'!$B$21+'Inputs'!$B$9+'Inputs'!$B$10)+'Inputs'!$B$7)/SQRT((((822-43)*MAX('Inputs'!$B$33,'Inputs'!$B$29+'Inputs'!$B$31+'Inputs'!$B$32,'Inputs'!$B$30+'Inputs'!$B$31+'Inputs'!$B$32)/1000+'Inputs'!$B$21+'Inputs'!$B$9+'Inputs'!$B$10)+'Inputs'!$B$7)^2+('Inputs'!$B$6/2)^2)-(((822-43)*MAX('Inputs'!$B$33,'Inputs'!$B$29+'Inputs'!$B$31+'Inputs'!$B$32,'Inputs'!$B$30+'Inputs'!$B$31+'Inputs'!$B$32)/1000+'Inputs'!$B$21+'Inputs'!$B$9+'Inputs'!$B$10))/SQRT((((822-43)*MAX('Inputs'!$B$33,'Inputs'!$B$29+'Inputs'!$B$31+'Inputs'!$B$32,'Inputs'!$B$30+'Inputs'!$B$31+'Inputs'!$B$32)/1000+'Inputs'!$B$21+'Inputs'!$B$9+'Inputs'!$B$10))^2+('Inputs'!$B$6/2)^2))))*'Results'!$B$8))),"")</x:f>
        <x:v>0.6756795283051686</x:v>
      </x:c>
      <x:c r="O822" t="n">
        <x:f>IF(AND(ISNUMBER('Results'!C7),ISNUMBER('Results'!B7),ISNUMBER('Results'!$B$8),ISNUMBER('Inputs'!$B$6),ISNUMBER('Inputs'!$B$7),ISNUMBER('Inputs'!$B$8),ISNUMBER('Inputs'!$B$9),ISNUMBER('Inputs'!$B$10),ISNUMBER('Inputs'!$B$21),ISNUMBER('Inputs'!$B$24),ISNUMBER('Inputs'!$B$28)),((('Results'!C7*(1+'Inputs'!$B$24)*(0.5*((((822-43)*MAX('Inputs'!$B$33,'Inputs'!$B$29+'Inputs'!$B$31+'Inputs'!$B$32,'Inputs'!$B$30+'Inputs'!$B$31+'Inputs'!$B$32)/1000+'Inputs'!$B$21)+'Inputs'!$B$9)/SQRT((((822-43)*MAX('Inputs'!$B$33,'Inputs'!$B$29+'Inputs'!$B$31+'Inputs'!$B$32,'Inputs'!$B$30+'Inputs'!$B$31+'Inputs'!$B$32)/1000+'Inputs'!$B$21)+'Inputs'!$B$9)^2+('Inputs'!$B$8/2)^2)-(((822-43)*MAX('Inputs'!$B$33,'Inputs'!$B$29+'Inputs'!$B$31+'Inputs'!$B$32,'Inputs'!$B$30+'Inputs'!$B$31+'Inputs'!$B$32)/1000+'Inputs'!$B$21))/SQRT((((822-43)*MAX('Inputs'!$B$33,'Inputs'!$B$29+'Inputs'!$B$31+'Inputs'!$B$32,'Inputs'!$B$30+'Inputs'!$B$31+'Inputs'!$B$32)/1000+'Inputs'!$B$21))^2+('Inputs'!$B$8/2)^2)))-'Results'!B7*(1-'Inputs'!$B$24)*(0.5*((((822-43)*MAX('Inputs'!$B$33,'Inputs'!$B$29+'Inputs'!$B$31+'Inputs'!$B$32,'Inputs'!$B$30+'Inputs'!$B$31+'Inputs'!$B$32)/1000+'Inputs'!$B$21+'Inputs'!$B$9+'Inputs'!$B$10)+'Inputs'!$B$7)/SQRT((((822-43)*MAX('Inputs'!$B$33,'Inputs'!$B$29+'Inputs'!$B$31+'Inputs'!$B$32,'Inputs'!$B$30+'Inputs'!$B$31+'Inputs'!$B$32)/1000+'Inputs'!$B$21+'Inputs'!$B$9+'Inputs'!$B$10)+'Inputs'!$B$7)^2+('Inputs'!$B$6/2)^2)-(((822-43)*MAX('Inputs'!$B$33,'Inputs'!$B$29+'Inputs'!$B$31+'Inputs'!$B$32,'Inputs'!$B$30+'Inputs'!$B$31+'Inputs'!$B$32)/1000+'Inputs'!$B$21+'Inputs'!$B$9+'Inputs'!$B$10))/SQRT((((822-43)*MAX('Inputs'!$B$33,'Inputs'!$B$29+'Inputs'!$B$31+'Inputs'!$B$32,'Inputs'!$B$30+'Inputs'!$B$31+'Inputs'!$B$32)/1000+'Inputs'!$B$21+'Inputs'!$B$9+'Inputs'!$B$10))^2+('Inputs'!$B$6/2)^2))))*'Results'!$B$8)+'Inputs'!$B$28*ABS((('Results'!C7*(1+'Inputs'!$B$24)*(0.5*((((822-43)*MAX('Inputs'!$B$33,'Inputs'!$B$29+'Inputs'!$B$31+'Inputs'!$B$32,'Inputs'!$B$30+'Inputs'!$B$31+'Inputs'!$B$32)/1000+'Inputs'!$B$21)+'Inputs'!$B$9)/SQRT((((822-43)*MAX('Inputs'!$B$33,'Inputs'!$B$29+'Inputs'!$B$31+'Inputs'!$B$32,'Inputs'!$B$30+'Inputs'!$B$31+'Inputs'!$B$32)/1000+'Inputs'!$B$21)+'Inputs'!$B$9)^2+('Inputs'!$B$8/2)^2)-(((822-43)*MAX('Inputs'!$B$33,'Inputs'!$B$29+'Inputs'!$B$31+'Inputs'!$B$32,'Inputs'!$B$30+'Inputs'!$B$31+'Inputs'!$B$32)/1000+'Inputs'!$B$21))/SQRT((((822-43)*MAX('Inputs'!$B$33,'Inputs'!$B$29+'Inputs'!$B$31+'Inputs'!$B$32,'Inputs'!$B$30+'Inputs'!$B$31+'Inputs'!$B$32)/1000+'Inputs'!$B$21))^2+('Inputs'!$B$8/2)^2)))-'Results'!B7*(1-'Inputs'!$B$24)*(0.5*((((822-43)*MAX('Inputs'!$B$33,'Inputs'!$B$29+'Inputs'!$B$31+'Inputs'!$B$32,'Inputs'!$B$30+'Inputs'!$B$31+'Inputs'!$B$32)/1000+'Inputs'!$B$21+'Inputs'!$B$9+'Inputs'!$B$10)+'Inputs'!$B$7)/SQRT((((822-43)*MAX('Inputs'!$B$33,'Inputs'!$B$29+'Inputs'!$B$31+'Inputs'!$B$32,'Inputs'!$B$30+'Inputs'!$B$31+'Inputs'!$B$32)/1000+'Inputs'!$B$21+'Inputs'!$B$9+'Inputs'!$B$10)+'Inputs'!$B$7)^2+('Inputs'!$B$6/2)^2)-(((822-43)*MAX('Inputs'!$B$33,'Inputs'!$B$29+'Inputs'!$B$31+'Inputs'!$B$32,'Inputs'!$B$30+'Inputs'!$B$31+'Inputs'!$B$32)/1000+'Inputs'!$B$21+'Inputs'!$B$9+'Inputs'!$B$10))/SQRT((((822-43)*MAX('Inputs'!$B$33,'Inputs'!$B$29+'Inputs'!$B$31+'Inputs'!$B$32,'Inputs'!$B$30+'Inputs'!$B$31+'Inputs'!$B$32)/1000+'Inputs'!$B$21+'Inputs'!$B$9+'Inputs'!$B$10))^2+('Inputs'!$B$6/2)^2))))*'Results'!$B$8))),"")</x:f>
        <x:v>0.9253563327274089</x:v>
      </x:c>
      <x:c r="P822" t="n">
        <x:f>IF(AND(MAX(J822,J821)&gt;0,J822&gt;J821+0.00000001),1,0)</x:f>
        <x:v>0</x:v>
      </x:c>
      <x:c r="Q822" t="n">
        <x:f>IF(AND(MAX(K822,K821)&gt;0,K822&gt;K821+0.00000001),1,0)</x:f>
        <x:v>0</x:v>
      </x:c>
      <x:c r="R822" t="n">
        <x:f>IF(AND(MAX(L822,L821)&gt;0,L822&gt;L821+0.00000001),1,0)</x:f>
        <x:v>0</x:v>
      </x:c>
      <x:c r="S822" t="n">
        <x:f>IF(AND(MAX(M822,M821)&gt;0,M822&gt;M821+0.00000001),1,0)</x:f>
        <x:v>0</x:v>
      </x:c>
      <x:c r="T822" t="n">
        <x:f>IF(AND(MAX(N822,N821)&gt;0,N822&gt;N821+0.00000001),1,0)</x:f>
        <x:v>0</x:v>
      </x:c>
      <x:c r="U822" t="n">
        <x:f>IF(AND(MAX(O822,O821)&gt;0,O822&gt;O821+0.00000001),1,0)</x:f>
        <x:v>0</x:v>
      </x:c>
    </x:row>
    <x:row r="823">
      <x:c r="J823" t="n">
        <x:f>IF(AND(ISNUMBER('Results'!B7),ISNUMBER('Results'!C7),ISNUMBER('Results'!$B$8),ISNUMBER('Inputs'!$B$6),ISNUMBER('Inputs'!$B$7),ISNUMBER('Inputs'!$B$8),ISNUMBER('Inputs'!$B$9),ISNUMBER('Inputs'!$B$10),ISNUMBER('Inputs'!$B$21),ISNUMBER('Inputs'!$B$24),ISNUMBER('Inputs'!$B$28)),(('Results'!B7*(0.5*((((823-43)*MAX('Inputs'!$B$33,'Inputs'!$B$29+'Inputs'!$B$31+'Inputs'!$B$32,'Inputs'!$B$30+'Inputs'!$B$31+'Inputs'!$B$32)/1000+'Inputs'!$B$21)+'Inputs'!$B$7)/SQRT((((823-43)*MAX('Inputs'!$B$33,'Inputs'!$B$29+'Inputs'!$B$31+'Inputs'!$B$32,'Inputs'!$B$30+'Inputs'!$B$31+'Inputs'!$B$32)/1000+'Inputs'!$B$21)+'Inputs'!$B$7)^2+('Inputs'!$B$6/2)^2)-(((823-43)*MAX('Inputs'!$B$33,'Inputs'!$B$29+'Inputs'!$B$31+'Inputs'!$B$32,'Inputs'!$B$30+'Inputs'!$B$31+'Inputs'!$B$32)/1000+'Inputs'!$B$21))/SQRT((((823-43)*MAX('Inputs'!$B$33,'Inputs'!$B$29+'Inputs'!$B$31+'Inputs'!$B$32,'Inputs'!$B$30+'Inputs'!$B$31+'Inputs'!$B$32)/1000+'Inputs'!$B$21))^2+('Inputs'!$B$6/2)^2)))-'Results'!C7*(0.5*((((823-43)*MAX('Inputs'!$B$33,'Inputs'!$B$29+'Inputs'!$B$31+'Inputs'!$B$32,'Inputs'!$B$30+'Inputs'!$B$31+'Inputs'!$B$32)/1000+'Inputs'!$B$21+'Inputs'!$B$7+'Inputs'!$B$10)+'Inputs'!$B$9)/SQRT((((823-43)*MAX('Inputs'!$B$33,'Inputs'!$B$29+'Inputs'!$B$31+'Inputs'!$B$32,'Inputs'!$B$30+'Inputs'!$B$31+'Inputs'!$B$32)/1000+'Inputs'!$B$21+'Inputs'!$B$7+'Inputs'!$B$10)+'Inputs'!$B$9)^2+('Inputs'!$B$8/2)^2)-(((823-43)*MAX('Inputs'!$B$33,'Inputs'!$B$29+'Inputs'!$B$31+'Inputs'!$B$32,'Inputs'!$B$30+'Inputs'!$B$31+'Inputs'!$B$32)/1000+'Inputs'!$B$21+'Inputs'!$B$7+'Inputs'!$B$10))/SQRT((((823-43)*MAX('Inputs'!$B$33,'Inputs'!$B$29+'Inputs'!$B$31+'Inputs'!$B$32,'Inputs'!$B$30+'Inputs'!$B$31+'Inputs'!$B$32)/1000+'Inputs'!$B$21+'Inputs'!$B$7+'Inputs'!$B$10))^2+('Inputs'!$B$8/2)^2))))*'Results'!$B$8),"")</x:f>
        <x:v>0.8782705602472578</x:v>
      </x:c>
      <x:c r="K823" t="n">
        <x:f>IF(AND(ISNUMBER('Results'!B7),ISNUMBER('Results'!C7),ISNUMBER('Results'!$B$8),ISNUMBER('Inputs'!$B$6),ISNUMBER('Inputs'!$B$7),ISNUMBER('Inputs'!$B$8),ISNUMBER('Inputs'!$B$9),ISNUMBER('Inputs'!$B$10),ISNUMBER('Inputs'!$B$21),ISNUMBER('Inputs'!$B$24),ISNUMBER('Inputs'!$B$28)),((('Results'!B7*(1-'Inputs'!$B$24)*(0.5*((((823-43)*MAX('Inputs'!$B$33,'Inputs'!$B$29+'Inputs'!$B$31+'Inputs'!$B$32,'Inputs'!$B$30+'Inputs'!$B$31+'Inputs'!$B$32)/1000+'Inputs'!$B$21)+'Inputs'!$B$7)/SQRT((((823-43)*MAX('Inputs'!$B$33,'Inputs'!$B$29+'Inputs'!$B$31+'Inputs'!$B$32,'Inputs'!$B$30+'Inputs'!$B$31+'Inputs'!$B$32)/1000+'Inputs'!$B$21)+'Inputs'!$B$7)^2+('Inputs'!$B$6/2)^2)-(((823-43)*MAX('Inputs'!$B$33,'Inputs'!$B$29+'Inputs'!$B$31+'Inputs'!$B$32,'Inputs'!$B$30+'Inputs'!$B$31+'Inputs'!$B$32)/1000+'Inputs'!$B$21))/SQRT((((823-43)*MAX('Inputs'!$B$33,'Inputs'!$B$29+'Inputs'!$B$31+'Inputs'!$B$32,'Inputs'!$B$30+'Inputs'!$B$31+'Inputs'!$B$32)/1000+'Inputs'!$B$21))^2+('Inputs'!$B$6/2)^2)))-'Results'!C7*(1+'Inputs'!$B$24)*(0.5*((((823-43)*MAX('Inputs'!$B$33,'Inputs'!$B$29+'Inputs'!$B$31+'Inputs'!$B$32,'Inputs'!$B$30+'Inputs'!$B$31+'Inputs'!$B$32)/1000+'Inputs'!$B$21+'Inputs'!$B$7+'Inputs'!$B$10)+'Inputs'!$B$9)/SQRT((((823-43)*MAX('Inputs'!$B$33,'Inputs'!$B$29+'Inputs'!$B$31+'Inputs'!$B$32,'Inputs'!$B$30+'Inputs'!$B$31+'Inputs'!$B$32)/1000+'Inputs'!$B$21+'Inputs'!$B$7+'Inputs'!$B$10)+'Inputs'!$B$9)^2+('Inputs'!$B$8/2)^2)-(((823-43)*MAX('Inputs'!$B$33,'Inputs'!$B$29+'Inputs'!$B$31+'Inputs'!$B$32,'Inputs'!$B$30+'Inputs'!$B$31+'Inputs'!$B$32)/1000+'Inputs'!$B$21+'Inputs'!$B$7+'Inputs'!$B$10))/SQRT((((823-43)*MAX('Inputs'!$B$33,'Inputs'!$B$29+'Inputs'!$B$31+'Inputs'!$B$32,'Inputs'!$B$30+'Inputs'!$B$31+'Inputs'!$B$32)/1000+'Inputs'!$B$21+'Inputs'!$B$7+'Inputs'!$B$10))^2+('Inputs'!$B$8/2)^2))))*'Results'!$B$8)-'Inputs'!$B$28*ABS((('Results'!B7*(1-'Inputs'!$B$24)*(0.5*((((823-43)*MAX('Inputs'!$B$33,'Inputs'!$B$29+'Inputs'!$B$31+'Inputs'!$B$32,'Inputs'!$B$30+'Inputs'!$B$31+'Inputs'!$B$32)/1000+'Inputs'!$B$21)+'Inputs'!$B$7)/SQRT((((823-43)*MAX('Inputs'!$B$33,'Inputs'!$B$29+'Inputs'!$B$31+'Inputs'!$B$32,'Inputs'!$B$30+'Inputs'!$B$31+'Inputs'!$B$32)/1000+'Inputs'!$B$21)+'Inputs'!$B$7)^2+('Inputs'!$B$6/2)^2)-(((823-43)*MAX('Inputs'!$B$33,'Inputs'!$B$29+'Inputs'!$B$31+'Inputs'!$B$32,'Inputs'!$B$30+'Inputs'!$B$31+'Inputs'!$B$32)/1000+'Inputs'!$B$21))/SQRT((((823-43)*MAX('Inputs'!$B$33,'Inputs'!$B$29+'Inputs'!$B$31+'Inputs'!$B$32,'Inputs'!$B$30+'Inputs'!$B$31+'Inputs'!$B$32)/1000+'Inputs'!$B$21))^2+('Inputs'!$B$6/2)^2)))-'Results'!C7*(1+'Inputs'!$B$24)*(0.5*((((823-43)*MAX('Inputs'!$B$33,'Inputs'!$B$29+'Inputs'!$B$31+'Inputs'!$B$32,'Inputs'!$B$30+'Inputs'!$B$31+'Inputs'!$B$32)/1000+'Inputs'!$B$21+'Inputs'!$B$7+'Inputs'!$B$10)+'Inputs'!$B$9)/SQRT((((823-43)*MAX('Inputs'!$B$33,'Inputs'!$B$29+'Inputs'!$B$31+'Inputs'!$B$32,'Inputs'!$B$30+'Inputs'!$B$31+'Inputs'!$B$32)/1000+'Inputs'!$B$21+'Inputs'!$B$7+'Inputs'!$B$10)+'Inputs'!$B$9)^2+('Inputs'!$B$8/2)^2)-(((823-43)*MAX('Inputs'!$B$33,'Inputs'!$B$29+'Inputs'!$B$31+'Inputs'!$B$32,'Inputs'!$B$30+'Inputs'!$B$31+'Inputs'!$B$32)/1000+'Inputs'!$B$21+'Inputs'!$B$7+'Inputs'!$B$10))/SQRT((((823-43)*MAX('Inputs'!$B$33,'Inputs'!$B$29+'Inputs'!$B$31+'Inputs'!$B$32,'Inputs'!$B$30+'Inputs'!$B$31+'Inputs'!$B$32)/1000+'Inputs'!$B$21+'Inputs'!$B$7+'Inputs'!$B$10))^2+('Inputs'!$B$8/2)^2))))*'Results'!$B$8))),"")</x:f>
        <x:v>0.7535473926877746</x:v>
      </x:c>
      <x:c r="L823" t="n">
        <x:f>IF(AND(ISNUMBER('Results'!B7),ISNUMBER('Results'!C7),ISNUMBER('Results'!$B$8),ISNUMBER('Inputs'!$B$6),ISNUMBER('Inputs'!$B$7),ISNUMBER('Inputs'!$B$8),ISNUMBER('Inputs'!$B$9),ISNUMBER('Inputs'!$B$10),ISNUMBER('Inputs'!$B$21),ISNUMBER('Inputs'!$B$24),ISNUMBER('Inputs'!$B$28)),((('Results'!B7*(1+'Inputs'!$B$24)*(0.5*((((823-43)*MAX('Inputs'!$B$33,'Inputs'!$B$29+'Inputs'!$B$31+'Inputs'!$B$32,'Inputs'!$B$30+'Inputs'!$B$31+'Inputs'!$B$32)/1000+'Inputs'!$B$21)+'Inputs'!$B$7)/SQRT((((823-43)*MAX('Inputs'!$B$33,'Inputs'!$B$29+'Inputs'!$B$31+'Inputs'!$B$32,'Inputs'!$B$30+'Inputs'!$B$31+'Inputs'!$B$32)/1000+'Inputs'!$B$21)+'Inputs'!$B$7)^2+('Inputs'!$B$6/2)^2)-(((823-43)*MAX('Inputs'!$B$33,'Inputs'!$B$29+'Inputs'!$B$31+'Inputs'!$B$32,'Inputs'!$B$30+'Inputs'!$B$31+'Inputs'!$B$32)/1000+'Inputs'!$B$21))/SQRT((((823-43)*MAX('Inputs'!$B$33,'Inputs'!$B$29+'Inputs'!$B$31+'Inputs'!$B$32,'Inputs'!$B$30+'Inputs'!$B$31+'Inputs'!$B$32)/1000+'Inputs'!$B$21))^2+('Inputs'!$B$6/2)^2)))-'Results'!C7*(1-'Inputs'!$B$24)*(0.5*((((823-43)*MAX('Inputs'!$B$33,'Inputs'!$B$29+'Inputs'!$B$31+'Inputs'!$B$32,'Inputs'!$B$30+'Inputs'!$B$31+'Inputs'!$B$32)/1000+'Inputs'!$B$21+'Inputs'!$B$7+'Inputs'!$B$10)+'Inputs'!$B$9)/SQRT((((823-43)*MAX('Inputs'!$B$33,'Inputs'!$B$29+'Inputs'!$B$31+'Inputs'!$B$32,'Inputs'!$B$30+'Inputs'!$B$31+'Inputs'!$B$32)/1000+'Inputs'!$B$21+'Inputs'!$B$7+'Inputs'!$B$10)+'Inputs'!$B$9)^2+('Inputs'!$B$8/2)^2)-(((823-43)*MAX('Inputs'!$B$33,'Inputs'!$B$29+'Inputs'!$B$31+'Inputs'!$B$32,'Inputs'!$B$30+'Inputs'!$B$31+'Inputs'!$B$32)/1000+'Inputs'!$B$21+'Inputs'!$B$7+'Inputs'!$B$10))/SQRT((((823-43)*MAX('Inputs'!$B$33,'Inputs'!$B$29+'Inputs'!$B$31+'Inputs'!$B$32,'Inputs'!$B$30+'Inputs'!$B$31+'Inputs'!$B$32)/1000+'Inputs'!$B$21+'Inputs'!$B$7+'Inputs'!$B$10))^2+('Inputs'!$B$8/2)^2))))*'Results'!$B$8)+'Inputs'!$B$28*ABS((('Results'!B7*(1+'Inputs'!$B$24)*(0.5*((((823-43)*MAX('Inputs'!$B$33,'Inputs'!$B$29+'Inputs'!$B$31+'Inputs'!$B$32,'Inputs'!$B$30+'Inputs'!$B$31+'Inputs'!$B$32)/1000+'Inputs'!$B$21)+'Inputs'!$B$7)/SQRT((((823-43)*MAX('Inputs'!$B$33,'Inputs'!$B$29+'Inputs'!$B$31+'Inputs'!$B$32,'Inputs'!$B$30+'Inputs'!$B$31+'Inputs'!$B$32)/1000+'Inputs'!$B$21)+'Inputs'!$B$7)^2+('Inputs'!$B$6/2)^2)-(((823-43)*MAX('Inputs'!$B$33,'Inputs'!$B$29+'Inputs'!$B$31+'Inputs'!$B$32,'Inputs'!$B$30+'Inputs'!$B$31+'Inputs'!$B$32)/1000+'Inputs'!$B$21))/SQRT((((823-43)*MAX('Inputs'!$B$33,'Inputs'!$B$29+'Inputs'!$B$31+'Inputs'!$B$32,'Inputs'!$B$30+'Inputs'!$B$31+'Inputs'!$B$32)/1000+'Inputs'!$B$21))^2+('Inputs'!$B$6/2)^2)))-'Results'!C7*(1-'Inputs'!$B$24)*(0.5*((((823-43)*MAX('Inputs'!$B$33,'Inputs'!$B$29+'Inputs'!$B$31+'Inputs'!$B$32,'Inputs'!$B$30+'Inputs'!$B$31+'Inputs'!$B$32)/1000+'Inputs'!$B$21+'Inputs'!$B$7+'Inputs'!$B$10)+'Inputs'!$B$9)/SQRT((((823-43)*MAX('Inputs'!$B$33,'Inputs'!$B$29+'Inputs'!$B$31+'Inputs'!$B$32,'Inputs'!$B$30+'Inputs'!$B$31+'Inputs'!$B$32)/1000+'Inputs'!$B$21+'Inputs'!$B$7+'Inputs'!$B$10)+'Inputs'!$B$9)^2+('Inputs'!$B$8/2)^2)-(((823-43)*MAX('Inputs'!$B$33,'Inputs'!$B$29+'Inputs'!$B$31+'Inputs'!$B$32,'Inputs'!$B$30+'Inputs'!$B$31+'Inputs'!$B$32)/1000+'Inputs'!$B$21+'Inputs'!$B$7+'Inputs'!$B$10))/SQRT((((823-43)*MAX('Inputs'!$B$33,'Inputs'!$B$29+'Inputs'!$B$31+'Inputs'!$B$32,'Inputs'!$B$30+'Inputs'!$B$31+'Inputs'!$B$32)/1000+'Inputs'!$B$21+'Inputs'!$B$7+'Inputs'!$B$10))^2+('Inputs'!$B$8/2)^2))))*'Results'!$B$8))),"")</x:f>
        <x:v>1.0115000056538066</x:v>
      </x:c>
      <x:c r="M823" t="n">
        <x:f>IF(AND(ISNUMBER('Results'!C7),ISNUMBER('Results'!B7),ISNUMBER('Results'!$B$8),ISNUMBER('Inputs'!$B$6),ISNUMBER('Inputs'!$B$7),ISNUMBER('Inputs'!$B$8),ISNUMBER('Inputs'!$B$9),ISNUMBER('Inputs'!$B$10),ISNUMBER('Inputs'!$B$21),ISNUMBER('Inputs'!$B$24),ISNUMBER('Inputs'!$B$28)),(('Results'!C7*(0.5*((((823-43)*MAX('Inputs'!$B$33,'Inputs'!$B$29+'Inputs'!$B$31+'Inputs'!$B$32,'Inputs'!$B$30+'Inputs'!$B$31+'Inputs'!$B$32)/1000+'Inputs'!$B$21)+'Inputs'!$B$9)/SQRT((((823-43)*MAX('Inputs'!$B$33,'Inputs'!$B$29+'Inputs'!$B$31+'Inputs'!$B$32,'Inputs'!$B$30+'Inputs'!$B$31+'Inputs'!$B$32)/1000+'Inputs'!$B$21)+'Inputs'!$B$9)^2+('Inputs'!$B$8/2)^2)-(((823-43)*MAX('Inputs'!$B$33,'Inputs'!$B$29+'Inputs'!$B$31+'Inputs'!$B$32,'Inputs'!$B$30+'Inputs'!$B$31+'Inputs'!$B$32)/1000+'Inputs'!$B$21))/SQRT((((823-43)*MAX('Inputs'!$B$33,'Inputs'!$B$29+'Inputs'!$B$31+'Inputs'!$B$32,'Inputs'!$B$30+'Inputs'!$B$31+'Inputs'!$B$32)/1000+'Inputs'!$B$21))^2+('Inputs'!$B$8/2)^2)))-'Results'!B7*(0.5*((((823-43)*MAX('Inputs'!$B$33,'Inputs'!$B$29+'Inputs'!$B$31+'Inputs'!$B$32,'Inputs'!$B$30+'Inputs'!$B$31+'Inputs'!$B$32)/1000+'Inputs'!$B$21+'Inputs'!$B$9+'Inputs'!$B$10)+'Inputs'!$B$7)/SQRT((((823-43)*MAX('Inputs'!$B$33,'Inputs'!$B$29+'Inputs'!$B$31+'Inputs'!$B$32,'Inputs'!$B$30+'Inputs'!$B$31+'Inputs'!$B$32)/1000+'Inputs'!$B$21+'Inputs'!$B$9+'Inputs'!$B$10)+'Inputs'!$B$7)^2+('Inputs'!$B$6/2)^2)-(((823-43)*MAX('Inputs'!$B$33,'Inputs'!$B$29+'Inputs'!$B$31+'Inputs'!$B$32,'Inputs'!$B$30+'Inputs'!$B$31+'Inputs'!$B$32)/1000+'Inputs'!$B$21+'Inputs'!$B$9+'Inputs'!$B$10))/SQRT((((823-43)*MAX('Inputs'!$B$33,'Inputs'!$B$29+'Inputs'!$B$31+'Inputs'!$B$32,'Inputs'!$B$30+'Inputs'!$B$31+'Inputs'!$B$32)/1000+'Inputs'!$B$21+'Inputs'!$B$9+'Inputs'!$B$10))^2+('Inputs'!$B$6/2)^2))))*'Results'!$B$8),"")</x:f>
        <x:v>0.7925190331310367</x:v>
      </x:c>
      <x:c r="N823" t="n">
        <x:f>IF(AND(ISNUMBER('Results'!C7),ISNUMBER('Results'!B7),ISNUMBER('Results'!$B$8),ISNUMBER('Inputs'!$B$6),ISNUMBER('Inputs'!$B$7),ISNUMBER('Inputs'!$B$8),ISNUMBER('Inputs'!$B$9),ISNUMBER('Inputs'!$B$10),ISNUMBER('Inputs'!$B$21),ISNUMBER('Inputs'!$B$24),ISNUMBER('Inputs'!$B$28)),((('Results'!C7*(1-'Inputs'!$B$24)*(0.5*((((823-43)*MAX('Inputs'!$B$33,'Inputs'!$B$29+'Inputs'!$B$31+'Inputs'!$B$32,'Inputs'!$B$30+'Inputs'!$B$31+'Inputs'!$B$32)/1000+'Inputs'!$B$21)+'Inputs'!$B$9)/SQRT((((823-43)*MAX('Inputs'!$B$33,'Inputs'!$B$29+'Inputs'!$B$31+'Inputs'!$B$32,'Inputs'!$B$30+'Inputs'!$B$31+'Inputs'!$B$32)/1000+'Inputs'!$B$21)+'Inputs'!$B$9)^2+('Inputs'!$B$8/2)^2)-(((823-43)*MAX('Inputs'!$B$33,'Inputs'!$B$29+'Inputs'!$B$31+'Inputs'!$B$32,'Inputs'!$B$30+'Inputs'!$B$31+'Inputs'!$B$32)/1000+'Inputs'!$B$21))/SQRT((((823-43)*MAX('Inputs'!$B$33,'Inputs'!$B$29+'Inputs'!$B$31+'Inputs'!$B$32,'Inputs'!$B$30+'Inputs'!$B$31+'Inputs'!$B$32)/1000+'Inputs'!$B$21))^2+('Inputs'!$B$8/2)^2)))-'Results'!B7*(1+'Inputs'!$B$24)*(0.5*((((823-43)*MAX('Inputs'!$B$33,'Inputs'!$B$29+'Inputs'!$B$31+'Inputs'!$B$32,'Inputs'!$B$30+'Inputs'!$B$31+'Inputs'!$B$32)/1000+'Inputs'!$B$21+'Inputs'!$B$9+'Inputs'!$B$10)+'Inputs'!$B$7)/SQRT((((823-43)*MAX('Inputs'!$B$33,'Inputs'!$B$29+'Inputs'!$B$31+'Inputs'!$B$32,'Inputs'!$B$30+'Inputs'!$B$31+'Inputs'!$B$32)/1000+'Inputs'!$B$21+'Inputs'!$B$9+'Inputs'!$B$10)+'Inputs'!$B$7)^2+('Inputs'!$B$6/2)^2)-(((823-43)*MAX('Inputs'!$B$33,'Inputs'!$B$29+'Inputs'!$B$31+'Inputs'!$B$32,'Inputs'!$B$30+'Inputs'!$B$31+'Inputs'!$B$32)/1000+'Inputs'!$B$21+'Inputs'!$B$9+'Inputs'!$B$10))/SQRT((((823-43)*MAX('Inputs'!$B$33,'Inputs'!$B$29+'Inputs'!$B$31+'Inputs'!$B$32,'Inputs'!$B$30+'Inputs'!$B$31+'Inputs'!$B$32)/1000+'Inputs'!$B$21+'Inputs'!$B$9+'Inputs'!$B$10))^2+('Inputs'!$B$6/2)^2))))*'Results'!$B$8)-'Inputs'!$B$28*ABS((('Results'!C7*(1-'Inputs'!$B$24)*(0.5*((((823-43)*MAX('Inputs'!$B$33,'Inputs'!$B$29+'Inputs'!$B$31+'Inputs'!$B$32,'Inputs'!$B$30+'Inputs'!$B$31+'Inputs'!$B$32)/1000+'Inputs'!$B$21)+'Inputs'!$B$9)/SQRT((((823-43)*MAX('Inputs'!$B$33,'Inputs'!$B$29+'Inputs'!$B$31+'Inputs'!$B$32,'Inputs'!$B$30+'Inputs'!$B$31+'Inputs'!$B$32)/1000+'Inputs'!$B$21)+'Inputs'!$B$9)^2+('Inputs'!$B$8/2)^2)-(((823-43)*MAX('Inputs'!$B$33,'Inputs'!$B$29+'Inputs'!$B$31+'Inputs'!$B$32,'Inputs'!$B$30+'Inputs'!$B$31+'Inputs'!$B$32)/1000+'Inputs'!$B$21))/SQRT((((823-43)*MAX('Inputs'!$B$33,'Inputs'!$B$29+'Inputs'!$B$31+'Inputs'!$B$32,'Inputs'!$B$30+'Inputs'!$B$31+'Inputs'!$B$32)/1000+'Inputs'!$B$21))^2+('Inputs'!$B$8/2)^2)))-'Results'!B7*(1+'Inputs'!$B$24)*(0.5*((((823-43)*MAX('Inputs'!$B$33,'Inputs'!$B$29+'Inputs'!$B$31+'Inputs'!$B$32,'Inputs'!$B$30+'Inputs'!$B$31+'Inputs'!$B$32)/1000+'Inputs'!$B$21+'Inputs'!$B$9+'Inputs'!$B$10)+'Inputs'!$B$7)/SQRT((((823-43)*MAX('Inputs'!$B$33,'Inputs'!$B$29+'Inputs'!$B$31+'Inputs'!$B$32,'Inputs'!$B$30+'Inputs'!$B$31+'Inputs'!$B$32)/1000+'Inputs'!$B$21+'Inputs'!$B$9+'Inputs'!$B$10)+'Inputs'!$B$7)^2+('Inputs'!$B$6/2)^2)-(((823-43)*MAX('Inputs'!$B$33,'Inputs'!$B$29+'Inputs'!$B$31+'Inputs'!$B$32,'Inputs'!$B$30+'Inputs'!$B$31+'Inputs'!$B$32)/1000+'Inputs'!$B$21+'Inputs'!$B$9+'Inputs'!$B$10))/SQRT((((823-43)*MAX('Inputs'!$B$33,'Inputs'!$B$29+'Inputs'!$B$31+'Inputs'!$B$32,'Inputs'!$B$30+'Inputs'!$B$31+'Inputs'!$B$32)/1000+'Inputs'!$B$21+'Inputs'!$B$9+'Inputs'!$B$10))^2+('Inputs'!$B$6/2)^2))))*'Results'!$B$8))),"")</x:f>
        <x:v>0.6724040985159919</x:v>
      </x:c>
      <x:c r="O823" t="n">
        <x:f>IF(AND(ISNUMBER('Results'!C7),ISNUMBER('Results'!B7),ISNUMBER('Results'!$B$8),ISNUMBER('Inputs'!$B$6),ISNUMBER('Inputs'!$B$7),ISNUMBER('Inputs'!$B$8),ISNUMBER('Inputs'!$B$9),ISNUMBER('Inputs'!$B$10),ISNUMBER('Inputs'!$B$21),ISNUMBER('Inputs'!$B$24),ISNUMBER('Inputs'!$B$28)),((('Results'!C7*(1+'Inputs'!$B$24)*(0.5*((((823-43)*MAX('Inputs'!$B$33,'Inputs'!$B$29+'Inputs'!$B$31+'Inputs'!$B$32,'Inputs'!$B$30+'Inputs'!$B$31+'Inputs'!$B$32)/1000+'Inputs'!$B$21)+'Inputs'!$B$9)/SQRT((((823-43)*MAX('Inputs'!$B$33,'Inputs'!$B$29+'Inputs'!$B$31+'Inputs'!$B$32,'Inputs'!$B$30+'Inputs'!$B$31+'Inputs'!$B$32)/1000+'Inputs'!$B$21)+'Inputs'!$B$9)^2+('Inputs'!$B$8/2)^2)-(((823-43)*MAX('Inputs'!$B$33,'Inputs'!$B$29+'Inputs'!$B$31+'Inputs'!$B$32,'Inputs'!$B$30+'Inputs'!$B$31+'Inputs'!$B$32)/1000+'Inputs'!$B$21))/SQRT((((823-43)*MAX('Inputs'!$B$33,'Inputs'!$B$29+'Inputs'!$B$31+'Inputs'!$B$32,'Inputs'!$B$30+'Inputs'!$B$31+'Inputs'!$B$32)/1000+'Inputs'!$B$21))^2+('Inputs'!$B$8/2)^2)))-'Results'!B7*(1-'Inputs'!$B$24)*(0.5*((((823-43)*MAX('Inputs'!$B$33,'Inputs'!$B$29+'Inputs'!$B$31+'Inputs'!$B$32,'Inputs'!$B$30+'Inputs'!$B$31+'Inputs'!$B$32)/1000+'Inputs'!$B$21+'Inputs'!$B$9+'Inputs'!$B$10)+'Inputs'!$B$7)/SQRT((((823-43)*MAX('Inputs'!$B$33,'Inputs'!$B$29+'Inputs'!$B$31+'Inputs'!$B$32,'Inputs'!$B$30+'Inputs'!$B$31+'Inputs'!$B$32)/1000+'Inputs'!$B$21+'Inputs'!$B$9+'Inputs'!$B$10)+'Inputs'!$B$7)^2+('Inputs'!$B$6/2)^2)-(((823-43)*MAX('Inputs'!$B$33,'Inputs'!$B$29+'Inputs'!$B$31+'Inputs'!$B$32,'Inputs'!$B$30+'Inputs'!$B$31+'Inputs'!$B$32)/1000+'Inputs'!$B$21+'Inputs'!$B$9+'Inputs'!$B$10))/SQRT((((823-43)*MAX('Inputs'!$B$33,'Inputs'!$B$29+'Inputs'!$B$31+'Inputs'!$B$32,'Inputs'!$B$30+'Inputs'!$B$31+'Inputs'!$B$32)/1000+'Inputs'!$B$21+'Inputs'!$B$9+'Inputs'!$B$10))^2+('Inputs'!$B$6/2)^2))))*'Results'!$B$8)+'Inputs'!$B$28*ABS((('Results'!C7*(1+'Inputs'!$B$24)*(0.5*((((823-43)*MAX('Inputs'!$B$33,'Inputs'!$B$29+'Inputs'!$B$31+'Inputs'!$B$32,'Inputs'!$B$30+'Inputs'!$B$31+'Inputs'!$B$32)/1000+'Inputs'!$B$21)+'Inputs'!$B$9)/SQRT((((823-43)*MAX('Inputs'!$B$33,'Inputs'!$B$29+'Inputs'!$B$31+'Inputs'!$B$32,'Inputs'!$B$30+'Inputs'!$B$31+'Inputs'!$B$32)/1000+'Inputs'!$B$21)+'Inputs'!$B$9)^2+('Inputs'!$B$8/2)^2)-(((823-43)*MAX('Inputs'!$B$33,'Inputs'!$B$29+'Inputs'!$B$31+'Inputs'!$B$32,'Inputs'!$B$30+'Inputs'!$B$31+'Inputs'!$B$32)/1000+'Inputs'!$B$21))/SQRT((((823-43)*MAX('Inputs'!$B$33,'Inputs'!$B$29+'Inputs'!$B$31+'Inputs'!$B$32,'Inputs'!$B$30+'Inputs'!$B$31+'Inputs'!$B$32)/1000+'Inputs'!$B$21))^2+('Inputs'!$B$8/2)^2)))-'Results'!B7*(1-'Inputs'!$B$24)*(0.5*((((823-43)*MAX('Inputs'!$B$33,'Inputs'!$B$29+'Inputs'!$B$31+'Inputs'!$B$32,'Inputs'!$B$30+'Inputs'!$B$31+'Inputs'!$B$32)/1000+'Inputs'!$B$21+'Inputs'!$B$9+'Inputs'!$B$10)+'Inputs'!$B$7)/SQRT((((823-43)*MAX('Inputs'!$B$33,'Inputs'!$B$29+'Inputs'!$B$31+'Inputs'!$B$32,'Inputs'!$B$30+'Inputs'!$B$31+'Inputs'!$B$32)/1000+'Inputs'!$B$21+'Inputs'!$B$9+'Inputs'!$B$10)+'Inputs'!$B$7)^2+('Inputs'!$B$6/2)^2)-(((823-43)*MAX('Inputs'!$B$33,'Inputs'!$B$29+'Inputs'!$B$31+'Inputs'!$B$32,'Inputs'!$B$30+'Inputs'!$B$31+'Inputs'!$B$32)/1000+'Inputs'!$B$21+'Inputs'!$B$9+'Inputs'!$B$10))/SQRT((((823-43)*MAX('Inputs'!$B$33,'Inputs'!$B$29+'Inputs'!$B$31+'Inputs'!$B$32,'Inputs'!$B$30+'Inputs'!$B$31+'Inputs'!$B$32)/1000+'Inputs'!$B$21+'Inputs'!$B$9+'Inputs'!$B$10))^2+('Inputs'!$B$6/2)^2))))*'Results'!$B$8))),"")</x:f>
        <x:v>0.9211064922680274</x:v>
      </x:c>
      <x:c r="P823" t="n">
        <x:f>IF(AND(MAX(J823,J822)&gt;0,J823&gt;J822+0.00000001),1,0)</x:f>
        <x:v>0</x:v>
      </x:c>
      <x:c r="Q823" t="n">
        <x:f>IF(AND(MAX(K823,K822)&gt;0,K823&gt;K822+0.00000001),1,0)</x:f>
        <x:v>0</x:v>
      </x:c>
      <x:c r="R823" t="n">
        <x:f>IF(AND(MAX(L823,L822)&gt;0,L823&gt;L822+0.00000001),1,0)</x:f>
        <x:v>0</x:v>
      </x:c>
      <x:c r="S823" t="n">
        <x:f>IF(AND(MAX(M823,M822)&gt;0,M823&gt;M822+0.00000001),1,0)</x:f>
        <x:v>0</x:v>
      </x:c>
      <x:c r="T823" t="n">
        <x:f>IF(AND(MAX(N823,N822)&gt;0,N823&gt;N822+0.00000001),1,0)</x:f>
        <x:v>0</x:v>
      </x:c>
      <x:c r="U823" t="n">
        <x:f>IF(AND(MAX(O823,O822)&gt;0,O823&gt;O822+0.00000001),1,0)</x:f>
        <x:v>0</x:v>
      </x:c>
    </x:row>
    <x:row r="824">
      <x:c r="J824" t="n">
        <x:f>IF(AND(ISNUMBER('Results'!B7),ISNUMBER('Results'!C7),ISNUMBER('Results'!$B$8),ISNUMBER('Inputs'!$B$6),ISNUMBER('Inputs'!$B$7),ISNUMBER('Inputs'!$B$8),ISNUMBER('Inputs'!$B$9),ISNUMBER('Inputs'!$B$10),ISNUMBER('Inputs'!$B$21),ISNUMBER('Inputs'!$B$24),ISNUMBER('Inputs'!$B$28)),(('Results'!B7*(0.5*((((824-43)*MAX('Inputs'!$B$33,'Inputs'!$B$29+'Inputs'!$B$31+'Inputs'!$B$32,'Inputs'!$B$30+'Inputs'!$B$31+'Inputs'!$B$32)/1000+'Inputs'!$B$21)+'Inputs'!$B$7)/SQRT((((824-43)*MAX('Inputs'!$B$33,'Inputs'!$B$29+'Inputs'!$B$31+'Inputs'!$B$32,'Inputs'!$B$30+'Inputs'!$B$31+'Inputs'!$B$32)/1000+'Inputs'!$B$21)+'Inputs'!$B$7)^2+('Inputs'!$B$6/2)^2)-(((824-43)*MAX('Inputs'!$B$33,'Inputs'!$B$29+'Inputs'!$B$31+'Inputs'!$B$32,'Inputs'!$B$30+'Inputs'!$B$31+'Inputs'!$B$32)/1000+'Inputs'!$B$21))/SQRT((((824-43)*MAX('Inputs'!$B$33,'Inputs'!$B$29+'Inputs'!$B$31+'Inputs'!$B$32,'Inputs'!$B$30+'Inputs'!$B$31+'Inputs'!$B$32)/1000+'Inputs'!$B$21))^2+('Inputs'!$B$6/2)^2)))-'Results'!C7*(0.5*((((824-43)*MAX('Inputs'!$B$33,'Inputs'!$B$29+'Inputs'!$B$31+'Inputs'!$B$32,'Inputs'!$B$30+'Inputs'!$B$31+'Inputs'!$B$32)/1000+'Inputs'!$B$21+'Inputs'!$B$7+'Inputs'!$B$10)+'Inputs'!$B$9)/SQRT((((824-43)*MAX('Inputs'!$B$33,'Inputs'!$B$29+'Inputs'!$B$31+'Inputs'!$B$32,'Inputs'!$B$30+'Inputs'!$B$31+'Inputs'!$B$32)/1000+'Inputs'!$B$21+'Inputs'!$B$7+'Inputs'!$B$10)+'Inputs'!$B$9)^2+('Inputs'!$B$8/2)^2)-(((824-43)*MAX('Inputs'!$B$33,'Inputs'!$B$29+'Inputs'!$B$31+'Inputs'!$B$32,'Inputs'!$B$30+'Inputs'!$B$31+'Inputs'!$B$32)/1000+'Inputs'!$B$21+'Inputs'!$B$7+'Inputs'!$B$10))/SQRT((((824-43)*MAX('Inputs'!$B$33,'Inputs'!$B$29+'Inputs'!$B$31+'Inputs'!$B$32,'Inputs'!$B$30+'Inputs'!$B$31+'Inputs'!$B$32)/1000+'Inputs'!$B$21+'Inputs'!$B$7+'Inputs'!$B$10))^2+('Inputs'!$B$8/2)^2))))*'Results'!$B$8),"")</x:f>
        <x:v>0.8742425902324411</x:v>
      </x:c>
      <x:c r="K824" t="n">
        <x:f>IF(AND(ISNUMBER('Results'!B7),ISNUMBER('Results'!C7),ISNUMBER('Results'!$B$8),ISNUMBER('Inputs'!$B$6),ISNUMBER('Inputs'!$B$7),ISNUMBER('Inputs'!$B$8),ISNUMBER('Inputs'!$B$9),ISNUMBER('Inputs'!$B$10),ISNUMBER('Inputs'!$B$21),ISNUMBER('Inputs'!$B$24),ISNUMBER('Inputs'!$B$28)),((('Results'!B7*(1-'Inputs'!$B$24)*(0.5*((((824-43)*MAX('Inputs'!$B$33,'Inputs'!$B$29+'Inputs'!$B$31+'Inputs'!$B$32,'Inputs'!$B$30+'Inputs'!$B$31+'Inputs'!$B$32)/1000+'Inputs'!$B$21)+'Inputs'!$B$7)/SQRT((((824-43)*MAX('Inputs'!$B$33,'Inputs'!$B$29+'Inputs'!$B$31+'Inputs'!$B$32,'Inputs'!$B$30+'Inputs'!$B$31+'Inputs'!$B$32)/1000+'Inputs'!$B$21)+'Inputs'!$B$7)^2+('Inputs'!$B$6/2)^2)-(((824-43)*MAX('Inputs'!$B$33,'Inputs'!$B$29+'Inputs'!$B$31+'Inputs'!$B$32,'Inputs'!$B$30+'Inputs'!$B$31+'Inputs'!$B$32)/1000+'Inputs'!$B$21))/SQRT((((824-43)*MAX('Inputs'!$B$33,'Inputs'!$B$29+'Inputs'!$B$31+'Inputs'!$B$32,'Inputs'!$B$30+'Inputs'!$B$31+'Inputs'!$B$32)/1000+'Inputs'!$B$21))^2+('Inputs'!$B$6/2)^2)))-'Results'!C7*(1+'Inputs'!$B$24)*(0.5*((((824-43)*MAX('Inputs'!$B$33,'Inputs'!$B$29+'Inputs'!$B$31+'Inputs'!$B$32,'Inputs'!$B$30+'Inputs'!$B$31+'Inputs'!$B$32)/1000+'Inputs'!$B$21+'Inputs'!$B$7+'Inputs'!$B$10)+'Inputs'!$B$9)/SQRT((((824-43)*MAX('Inputs'!$B$33,'Inputs'!$B$29+'Inputs'!$B$31+'Inputs'!$B$32,'Inputs'!$B$30+'Inputs'!$B$31+'Inputs'!$B$32)/1000+'Inputs'!$B$21+'Inputs'!$B$7+'Inputs'!$B$10)+'Inputs'!$B$9)^2+('Inputs'!$B$8/2)^2)-(((824-43)*MAX('Inputs'!$B$33,'Inputs'!$B$29+'Inputs'!$B$31+'Inputs'!$B$32,'Inputs'!$B$30+'Inputs'!$B$31+'Inputs'!$B$32)/1000+'Inputs'!$B$21+'Inputs'!$B$7+'Inputs'!$B$10))/SQRT((((824-43)*MAX('Inputs'!$B$33,'Inputs'!$B$29+'Inputs'!$B$31+'Inputs'!$B$32,'Inputs'!$B$30+'Inputs'!$B$31+'Inputs'!$B$32)/1000+'Inputs'!$B$21+'Inputs'!$B$7+'Inputs'!$B$10))^2+('Inputs'!$B$8/2)^2))))*'Results'!$B$8)-'Inputs'!$B$28*ABS((('Results'!B7*(1-'Inputs'!$B$24)*(0.5*((((824-43)*MAX('Inputs'!$B$33,'Inputs'!$B$29+'Inputs'!$B$31+'Inputs'!$B$32,'Inputs'!$B$30+'Inputs'!$B$31+'Inputs'!$B$32)/1000+'Inputs'!$B$21)+'Inputs'!$B$7)/SQRT((((824-43)*MAX('Inputs'!$B$33,'Inputs'!$B$29+'Inputs'!$B$31+'Inputs'!$B$32,'Inputs'!$B$30+'Inputs'!$B$31+'Inputs'!$B$32)/1000+'Inputs'!$B$21)+'Inputs'!$B$7)^2+('Inputs'!$B$6/2)^2)-(((824-43)*MAX('Inputs'!$B$33,'Inputs'!$B$29+'Inputs'!$B$31+'Inputs'!$B$32,'Inputs'!$B$30+'Inputs'!$B$31+'Inputs'!$B$32)/1000+'Inputs'!$B$21))/SQRT((((824-43)*MAX('Inputs'!$B$33,'Inputs'!$B$29+'Inputs'!$B$31+'Inputs'!$B$32,'Inputs'!$B$30+'Inputs'!$B$31+'Inputs'!$B$32)/1000+'Inputs'!$B$21))^2+('Inputs'!$B$6/2)^2)))-'Results'!C7*(1+'Inputs'!$B$24)*(0.5*((((824-43)*MAX('Inputs'!$B$33,'Inputs'!$B$29+'Inputs'!$B$31+'Inputs'!$B$32,'Inputs'!$B$30+'Inputs'!$B$31+'Inputs'!$B$32)/1000+'Inputs'!$B$21+'Inputs'!$B$7+'Inputs'!$B$10)+'Inputs'!$B$9)/SQRT((((824-43)*MAX('Inputs'!$B$33,'Inputs'!$B$29+'Inputs'!$B$31+'Inputs'!$B$32,'Inputs'!$B$30+'Inputs'!$B$31+'Inputs'!$B$32)/1000+'Inputs'!$B$21+'Inputs'!$B$7+'Inputs'!$B$10)+'Inputs'!$B$9)^2+('Inputs'!$B$8/2)^2)-(((824-43)*MAX('Inputs'!$B$33,'Inputs'!$B$29+'Inputs'!$B$31+'Inputs'!$B$32,'Inputs'!$B$30+'Inputs'!$B$31+'Inputs'!$B$32)/1000+'Inputs'!$B$21+'Inputs'!$B$7+'Inputs'!$B$10))/SQRT((((824-43)*MAX('Inputs'!$B$33,'Inputs'!$B$29+'Inputs'!$B$31+'Inputs'!$B$32,'Inputs'!$B$30+'Inputs'!$B$31+'Inputs'!$B$32)/1000+'Inputs'!$B$21+'Inputs'!$B$7+'Inputs'!$B$10))^2+('Inputs'!$B$8/2)^2))))*'Results'!$B$8))),"")</x:f>
        <x:v>0.7500058009680368</x:v>
      </x:c>
      <x:c r="L824" t="n">
        <x:f>IF(AND(ISNUMBER('Results'!B7),ISNUMBER('Results'!C7),ISNUMBER('Results'!$B$8),ISNUMBER('Inputs'!$B$6),ISNUMBER('Inputs'!$B$7),ISNUMBER('Inputs'!$B$8),ISNUMBER('Inputs'!$B$9),ISNUMBER('Inputs'!$B$10),ISNUMBER('Inputs'!$B$21),ISNUMBER('Inputs'!$B$24),ISNUMBER('Inputs'!$B$28)),((('Results'!B7*(1+'Inputs'!$B$24)*(0.5*((((824-43)*MAX('Inputs'!$B$33,'Inputs'!$B$29+'Inputs'!$B$31+'Inputs'!$B$32,'Inputs'!$B$30+'Inputs'!$B$31+'Inputs'!$B$32)/1000+'Inputs'!$B$21)+'Inputs'!$B$7)/SQRT((((824-43)*MAX('Inputs'!$B$33,'Inputs'!$B$29+'Inputs'!$B$31+'Inputs'!$B$32,'Inputs'!$B$30+'Inputs'!$B$31+'Inputs'!$B$32)/1000+'Inputs'!$B$21)+'Inputs'!$B$7)^2+('Inputs'!$B$6/2)^2)-(((824-43)*MAX('Inputs'!$B$33,'Inputs'!$B$29+'Inputs'!$B$31+'Inputs'!$B$32,'Inputs'!$B$30+'Inputs'!$B$31+'Inputs'!$B$32)/1000+'Inputs'!$B$21))/SQRT((((824-43)*MAX('Inputs'!$B$33,'Inputs'!$B$29+'Inputs'!$B$31+'Inputs'!$B$32,'Inputs'!$B$30+'Inputs'!$B$31+'Inputs'!$B$32)/1000+'Inputs'!$B$21))^2+('Inputs'!$B$6/2)^2)))-'Results'!C7*(1-'Inputs'!$B$24)*(0.5*((((824-43)*MAX('Inputs'!$B$33,'Inputs'!$B$29+'Inputs'!$B$31+'Inputs'!$B$32,'Inputs'!$B$30+'Inputs'!$B$31+'Inputs'!$B$32)/1000+'Inputs'!$B$21+'Inputs'!$B$7+'Inputs'!$B$10)+'Inputs'!$B$9)/SQRT((((824-43)*MAX('Inputs'!$B$33,'Inputs'!$B$29+'Inputs'!$B$31+'Inputs'!$B$32,'Inputs'!$B$30+'Inputs'!$B$31+'Inputs'!$B$32)/1000+'Inputs'!$B$21+'Inputs'!$B$7+'Inputs'!$B$10)+'Inputs'!$B$9)^2+('Inputs'!$B$8/2)^2)-(((824-43)*MAX('Inputs'!$B$33,'Inputs'!$B$29+'Inputs'!$B$31+'Inputs'!$B$32,'Inputs'!$B$30+'Inputs'!$B$31+'Inputs'!$B$32)/1000+'Inputs'!$B$21+'Inputs'!$B$7+'Inputs'!$B$10))/SQRT((((824-43)*MAX('Inputs'!$B$33,'Inputs'!$B$29+'Inputs'!$B$31+'Inputs'!$B$32,'Inputs'!$B$30+'Inputs'!$B$31+'Inputs'!$B$32)/1000+'Inputs'!$B$21+'Inputs'!$B$7+'Inputs'!$B$10))^2+('Inputs'!$B$8/2)^2))))*'Results'!$B$8)+'Inputs'!$B$28*ABS((('Results'!B7*(1+'Inputs'!$B$24)*(0.5*((((824-43)*MAX('Inputs'!$B$33,'Inputs'!$B$29+'Inputs'!$B$31+'Inputs'!$B$32,'Inputs'!$B$30+'Inputs'!$B$31+'Inputs'!$B$32)/1000+'Inputs'!$B$21)+'Inputs'!$B$7)/SQRT((((824-43)*MAX('Inputs'!$B$33,'Inputs'!$B$29+'Inputs'!$B$31+'Inputs'!$B$32,'Inputs'!$B$30+'Inputs'!$B$31+'Inputs'!$B$32)/1000+'Inputs'!$B$21)+'Inputs'!$B$7)^2+('Inputs'!$B$6/2)^2)-(((824-43)*MAX('Inputs'!$B$33,'Inputs'!$B$29+'Inputs'!$B$31+'Inputs'!$B$32,'Inputs'!$B$30+'Inputs'!$B$31+'Inputs'!$B$32)/1000+'Inputs'!$B$21))/SQRT((((824-43)*MAX('Inputs'!$B$33,'Inputs'!$B$29+'Inputs'!$B$31+'Inputs'!$B$32,'Inputs'!$B$30+'Inputs'!$B$31+'Inputs'!$B$32)/1000+'Inputs'!$B$21))^2+('Inputs'!$B$6/2)^2)))-'Results'!C7*(1-'Inputs'!$B$24)*(0.5*((((824-43)*MAX('Inputs'!$B$33,'Inputs'!$B$29+'Inputs'!$B$31+'Inputs'!$B$32,'Inputs'!$B$30+'Inputs'!$B$31+'Inputs'!$B$32)/1000+'Inputs'!$B$21+'Inputs'!$B$7+'Inputs'!$B$10)+'Inputs'!$B$9)/SQRT((((824-43)*MAX('Inputs'!$B$33,'Inputs'!$B$29+'Inputs'!$B$31+'Inputs'!$B$32,'Inputs'!$B$30+'Inputs'!$B$31+'Inputs'!$B$32)/1000+'Inputs'!$B$21+'Inputs'!$B$7+'Inputs'!$B$10)+'Inputs'!$B$9)^2+('Inputs'!$B$8/2)^2)-(((824-43)*MAX('Inputs'!$B$33,'Inputs'!$B$29+'Inputs'!$B$31+'Inputs'!$B$32,'Inputs'!$B$30+'Inputs'!$B$31+'Inputs'!$B$32)/1000+'Inputs'!$B$21+'Inputs'!$B$7+'Inputs'!$B$10))/SQRT((((824-43)*MAX('Inputs'!$B$33,'Inputs'!$B$29+'Inputs'!$B$31+'Inputs'!$B$32,'Inputs'!$B$30+'Inputs'!$B$31+'Inputs'!$B$32)/1000+'Inputs'!$B$21+'Inputs'!$B$7+'Inputs'!$B$10))^2+('Inputs'!$B$8/2)^2))))*'Results'!$B$8))),"")</x:f>
        <x:v>1.0069556594708218</x:v>
      </x:c>
      <x:c r="M824" t="n">
        <x:f>IF(AND(ISNUMBER('Results'!C7),ISNUMBER('Results'!B7),ISNUMBER('Results'!$B$8),ISNUMBER('Inputs'!$B$6),ISNUMBER('Inputs'!$B$7),ISNUMBER('Inputs'!$B$8),ISNUMBER('Inputs'!$B$9),ISNUMBER('Inputs'!$B$10),ISNUMBER('Inputs'!$B$21),ISNUMBER('Inputs'!$B$24),ISNUMBER('Inputs'!$B$28)),(('Results'!C7*(0.5*((((824-43)*MAX('Inputs'!$B$33,'Inputs'!$B$29+'Inputs'!$B$31+'Inputs'!$B$32,'Inputs'!$B$30+'Inputs'!$B$31+'Inputs'!$B$32)/1000+'Inputs'!$B$21)+'Inputs'!$B$9)/SQRT((((824-43)*MAX('Inputs'!$B$33,'Inputs'!$B$29+'Inputs'!$B$31+'Inputs'!$B$32,'Inputs'!$B$30+'Inputs'!$B$31+'Inputs'!$B$32)/1000+'Inputs'!$B$21)+'Inputs'!$B$9)^2+('Inputs'!$B$8/2)^2)-(((824-43)*MAX('Inputs'!$B$33,'Inputs'!$B$29+'Inputs'!$B$31+'Inputs'!$B$32,'Inputs'!$B$30+'Inputs'!$B$31+'Inputs'!$B$32)/1000+'Inputs'!$B$21))/SQRT((((824-43)*MAX('Inputs'!$B$33,'Inputs'!$B$29+'Inputs'!$B$31+'Inputs'!$B$32,'Inputs'!$B$30+'Inputs'!$B$31+'Inputs'!$B$32)/1000+'Inputs'!$B$21))^2+('Inputs'!$B$8/2)^2)))-'Results'!B7*(0.5*((((824-43)*MAX('Inputs'!$B$33,'Inputs'!$B$29+'Inputs'!$B$31+'Inputs'!$B$32,'Inputs'!$B$30+'Inputs'!$B$31+'Inputs'!$B$32)/1000+'Inputs'!$B$21+'Inputs'!$B$9+'Inputs'!$B$10)+'Inputs'!$B$7)/SQRT((((824-43)*MAX('Inputs'!$B$33,'Inputs'!$B$29+'Inputs'!$B$31+'Inputs'!$B$32,'Inputs'!$B$30+'Inputs'!$B$31+'Inputs'!$B$32)/1000+'Inputs'!$B$21+'Inputs'!$B$9+'Inputs'!$B$10)+'Inputs'!$B$7)^2+('Inputs'!$B$6/2)^2)-(((824-43)*MAX('Inputs'!$B$33,'Inputs'!$B$29+'Inputs'!$B$31+'Inputs'!$B$32,'Inputs'!$B$30+'Inputs'!$B$31+'Inputs'!$B$32)/1000+'Inputs'!$B$21+'Inputs'!$B$9+'Inputs'!$B$10))/SQRT((((824-43)*MAX('Inputs'!$B$33,'Inputs'!$B$29+'Inputs'!$B$31+'Inputs'!$B$32,'Inputs'!$B$30+'Inputs'!$B$31+'Inputs'!$B$32)/1000+'Inputs'!$B$21+'Inputs'!$B$9+'Inputs'!$B$10))^2+('Inputs'!$B$6/2)^2))))*'Results'!$B$8),"")</x:f>
        <x:v>0.7887932808198631</x:v>
      </x:c>
      <x:c r="N824" t="n">
        <x:f>IF(AND(ISNUMBER('Results'!C7),ISNUMBER('Results'!B7),ISNUMBER('Results'!$B$8),ISNUMBER('Inputs'!$B$6),ISNUMBER('Inputs'!$B$7),ISNUMBER('Inputs'!$B$8),ISNUMBER('Inputs'!$B$9),ISNUMBER('Inputs'!$B$10),ISNUMBER('Inputs'!$B$21),ISNUMBER('Inputs'!$B$24),ISNUMBER('Inputs'!$B$28)),((('Results'!C7*(1-'Inputs'!$B$24)*(0.5*((((824-43)*MAX('Inputs'!$B$33,'Inputs'!$B$29+'Inputs'!$B$31+'Inputs'!$B$32,'Inputs'!$B$30+'Inputs'!$B$31+'Inputs'!$B$32)/1000+'Inputs'!$B$21)+'Inputs'!$B$9)/SQRT((((824-43)*MAX('Inputs'!$B$33,'Inputs'!$B$29+'Inputs'!$B$31+'Inputs'!$B$32,'Inputs'!$B$30+'Inputs'!$B$31+'Inputs'!$B$32)/1000+'Inputs'!$B$21)+'Inputs'!$B$9)^2+('Inputs'!$B$8/2)^2)-(((824-43)*MAX('Inputs'!$B$33,'Inputs'!$B$29+'Inputs'!$B$31+'Inputs'!$B$32,'Inputs'!$B$30+'Inputs'!$B$31+'Inputs'!$B$32)/1000+'Inputs'!$B$21))/SQRT((((824-43)*MAX('Inputs'!$B$33,'Inputs'!$B$29+'Inputs'!$B$31+'Inputs'!$B$32,'Inputs'!$B$30+'Inputs'!$B$31+'Inputs'!$B$32)/1000+'Inputs'!$B$21))^2+('Inputs'!$B$8/2)^2)))-'Results'!B7*(1+'Inputs'!$B$24)*(0.5*((((824-43)*MAX('Inputs'!$B$33,'Inputs'!$B$29+'Inputs'!$B$31+'Inputs'!$B$32,'Inputs'!$B$30+'Inputs'!$B$31+'Inputs'!$B$32)/1000+'Inputs'!$B$21+'Inputs'!$B$9+'Inputs'!$B$10)+'Inputs'!$B$7)/SQRT((((824-43)*MAX('Inputs'!$B$33,'Inputs'!$B$29+'Inputs'!$B$31+'Inputs'!$B$32,'Inputs'!$B$30+'Inputs'!$B$31+'Inputs'!$B$32)/1000+'Inputs'!$B$21+'Inputs'!$B$9+'Inputs'!$B$10)+'Inputs'!$B$7)^2+('Inputs'!$B$6/2)^2)-(((824-43)*MAX('Inputs'!$B$33,'Inputs'!$B$29+'Inputs'!$B$31+'Inputs'!$B$32,'Inputs'!$B$30+'Inputs'!$B$31+'Inputs'!$B$32)/1000+'Inputs'!$B$21+'Inputs'!$B$9+'Inputs'!$B$10))/SQRT((((824-43)*MAX('Inputs'!$B$33,'Inputs'!$B$29+'Inputs'!$B$31+'Inputs'!$B$32,'Inputs'!$B$30+'Inputs'!$B$31+'Inputs'!$B$32)/1000+'Inputs'!$B$21+'Inputs'!$B$9+'Inputs'!$B$10))^2+('Inputs'!$B$6/2)^2))))*'Results'!$B$8)-'Inputs'!$B$28*ABS((('Results'!C7*(1-'Inputs'!$B$24)*(0.5*((((824-43)*MAX('Inputs'!$B$33,'Inputs'!$B$29+'Inputs'!$B$31+'Inputs'!$B$32,'Inputs'!$B$30+'Inputs'!$B$31+'Inputs'!$B$32)/1000+'Inputs'!$B$21)+'Inputs'!$B$9)/SQRT((((824-43)*MAX('Inputs'!$B$33,'Inputs'!$B$29+'Inputs'!$B$31+'Inputs'!$B$32,'Inputs'!$B$30+'Inputs'!$B$31+'Inputs'!$B$32)/1000+'Inputs'!$B$21)+'Inputs'!$B$9)^2+('Inputs'!$B$8/2)^2)-(((824-43)*MAX('Inputs'!$B$33,'Inputs'!$B$29+'Inputs'!$B$31+'Inputs'!$B$32,'Inputs'!$B$30+'Inputs'!$B$31+'Inputs'!$B$32)/1000+'Inputs'!$B$21))/SQRT((((824-43)*MAX('Inputs'!$B$33,'Inputs'!$B$29+'Inputs'!$B$31+'Inputs'!$B$32,'Inputs'!$B$30+'Inputs'!$B$31+'Inputs'!$B$32)/1000+'Inputs'!$B$21))^2+('Inputs'!$B$8/2)^2)))-'Results'!B7*(1+'Inputs'!$B$24)*(0.5*((((824-43)*MAX('Inputs'!$B$33,'Inputs'!$B$29+'Inputs'!$B$31+'Inputs'!$B$32,'Inputs'!$B$30+'Inputs'!$B$31+'Inputs'!$B$32)/1000+'Inputs'!$B$21+'Inputs'!$B$9+'Inputs'!$B$10)+'Inputs'!$B$7)/SQRT((((824-43)*MAX('Inputs'!$B$33,'Inputs'!$B$29+'Inputs'!$B$31+'Inputs'!$B$32,'Inputs'!$B$30+'Inputs'!$B$31+'Inputs'!$B$32)/1000+'Inputs'!$B$21+'Inputs'!$B$9+'Inputs'!$B$10)+'Inputs'!$B$7)^2+('Inputs'!$B$6/2)^2)-(((824-43)*MAX('Inputs'!$B$33,'Inputs'!$B$29+'Inputs'!$B$31+'Inputs'!$B$32,'Inputs'!$B$30+'Inputs'!$B$31+'Inputs'!$B$32)/1000+'Inputs'!$B$21+'Inputs'!$B$9+'Inputs'!$B$10))/SQRT((((824-43)*MAX('Inputs'!$B$33,'Inputs'!$B$29+'Inputs'!$B$31+'Inputs'!$B$32,'Inputs'!$B$30+'Inputs'!$B$31+'Inputs'!$B$32)/1000+'Inputs'!$B$21+'Inputs'!$B$9+'Inputs'!$B$10))^2+('Inputs'!$B$6/2)^2))))*'Results'!$B$8))),"")</x:f>
        <x:v>0.6691481255265931</x:v>
      </x:c>
      <x:c r="O824" t="n">
        <x:f>IF(AND(ISNUMBER('Results'!C7),ISNUMBER('Results'!B7),ISNUMBER('Results'!$B$8),ISNUMBER('Inputs'!$B$6),ISNUMBER('Inputs'!$B$7),ISNUMBER('Inputs'!$B$8),ISNUMBER('Inputs'!$B$9),ISNUMBER('Inputs'!$B$10),ISNUMBER('Inputs'!$B$21),ISNUMBER('Inputs'!$B$24),ISNUMBER('Inputs'!$B$28)),((('Results'!C7*(1+'Inputs'!$B$24)*(0.5*((((824-43)*MAX('Inputs'!$B$33,'Inputs'!$B$29+'Inputs'!$B$31+'Inputs'!$B$32,'Inputs'!$B$30+'Inputs'!$B$31+'Inputs'!$B$32)/1000+'Inputs'!$B$21)+'Inputs'!$B$9)/SQRT((((824-43)*MAX('Inputs'!$B$33,'Inputs'!$B$29+'Inputs'!$B$31+'Inputs'!$B$32,'Inputs'!$B$30+'Inputs'!$B$31+'Inputs'!$B$32)/1000+'Inputs'!$B$21)+'Inputs'!$B$9)^2+('Inputs'!$B$8/2)^2)-(((824-43)*MAX('Inputs'!$B$33,'Inputs'!$B$29+'Inputs'!$B$31+'Inputs'!$B$32,'Inputs'!$B$30+'Inputs'!$B$31+'Inputs'!$B$32)/1000+'Inputs'!$B$21))/SQRT((((824-43)*MAX('Inputs'!$B$33,'Inputs'!$B$29+'Inputs'!$B$31+'Inputs'!$B$32,'Inputs'!$B$30+'Inputs'!$B$31+'Inputs'!$B$32)/1000+'Inputs'!$B$21))^2+('Inputs'!$B$8/2)^2)))-'Results'!B7*(1-'Inputs'!$B$24)*(0.5*((((824-43)*MAX('Inputs'!$B$33,'Inputs'!$B$29+'Inputs'!$B$31+'Inputs'!$B$32,'Inputs'!$B$30+'Inputs'!$B$31+'Inputs'!$B$32)/1000+'Inputs'!$B$21+'Inputs'!$B$9+'Inputs'!$B$10)+'Inputs'!$B$7)/SQRT((((824-43)*MAX('Inputs'!$B$33,'Inputs'!$B$29+'Inputs'!$B$31+'Inputs'!$B$32,'Inputs'!$B$30+'Inputs'!$B$31+'Inputs'!$B$32)/1000+'Inputs'!$B$21+'Inputs'!$B$9+'Inputs'!$B$10)+'Inputs'!$B$7)^2+('Inputs'!$B$6/2)^2)-(((824-43)*MAX('Inputs'!$B$33,'Inputs'!$B$29+'Inputs'!$B$31+'Inputs'!$B$32,'Inputs'!$B$30+'Inputs'!$B$31+'Inputs'!$B$32)/1000+'Inputs'!$B$21+'Inputs'!$B$9+'Inputs'!$B$10))/SQRT((((824-43)*MAX('Inputs'!$B$33,'Inputs'!$B$29+'Inputs'!$B$31+'Inputs'!$B$32,'Inputs'!$B$30+'Inputs'!$B$31+'Inputs'!$B$32)/1000+'Inputs'!$B$21+'Inputs'!$B$9+'Inputs'!$B$10))^2+('Inputs'!$B$6/2)^2))))*'Results'!$B$8)+'Inputs'!$B$28*ABS((('Results'!C7*(1+'Inputs'!$B$24)*(0.5*((((824-43)*MAX('Inputs'!$B$33,'Inputs'!$B$29+'Inputs'!$B$31+'Inputs'!$B$32,'Inputs'!$B$30+'Inputs'!$B$31+'Inputs'!$B$32)/1000+'Inputs'!$B$21)+'Inputs'!$B$9)/SQRT((((824-43)*MAX('Inputs'!$B$33,'Inputs'!$B$29+'Inputs'!$B$31+'Inputs'!$B$32,'Inputs'!$B$30+'Inputs'!$B$31+'Inputs'!$B$32)/1000+'Inputs'!$B$21)+'Inputs'!$B$9)^2+('Inputs'!$B$8/2)^2)-(((824-43)*MAX('Inputs'!$B$33,'Inputs'!$B$29+'Inputs'!$B$31+'Inputs'!$B$32,'Inputs'!$B$30+'Inputs'!$B$31+'Inputs'!$B$32)/1000+'Inputs'!$B$21))/SQRT((((824-43)*MAX('Inputs'!$B$33,'Inputs'!$B$29+'Inputs'!$B$31+'Inputs'!$B$32,'Inputs'!$B$30+'Inputs'!$B$31+'Inputs'!$B$32)/1000+'Inputs'!$B$21))^2+('Inputs'!$B$8/2)^2)))-'Results'!B7*(1-'Inputs'!$B$24)*(0.5*((((824-43)*MAX('Inputs'!$B$33,'Inputs'!$B$29+'Inputs'!$B$31+'Inputs'!$B$32,'Inputs'!$B$30+'Inputs'!$B$31+'Inputs'!$B$32)/1000+'Inputs'!$B$21+'Inputs'!$B$9+'Inputs'!$B$10)+'Inputs'!$B$7)/SQRT((((824-43)*MAX('Inputs'!$B$33,'Inputs'!$B$29+'Inputs'!$B$31+'Inputs'!$B$32,'Inputs'!$B$30+'Inputs'!$B$31+'Inputs'!$B$32)/1000+'Inputs'!$B$21+'Inputs'!$B$9+'Inputs'!$B$10)+'Inputs'!$B$7)^2+('Inputs'!$B$6/2)^2)-(((824-43)*MAX('Inputs'!$B$33,'Inputs'!$B$29+'Inputs'!$B$31+'Inputs'!$B$32,'Inputs'!$B$30+'Inputs'!$B$31+'Inputs'!$B$32)/1000+'Inputs'!$B$21+'Inputs'!$B$9+'Inputs'!$B$10))/SQRT((((824-43)*MAX('Inputs'!$B$33,'Inputs'!$B$29+'Inputs'!$B$31+'Inputs'!$B$32,'Inputs'!$B$30+'Inputs'!$B$31+'Inputs'!$B$32)/1000+'Inputs'!$B$21+'Inputs'!$B$9+'Inputs'!$B$10))^2+('Inputs'!$B$6/2)^2))))*'Results'!$B$8))),"")</x:f>
        <x:v>0.9168811194028468</x:v>
      </x:c>
      <x:c r="P824" t="n">
        <x:f>IF(AND(MAX(J824,J823)&gt;0,J824&gt;J823+0.00000001),1,0)</x:f>
        <x:v>0</x:v>
      </x:c>
      <x:c r="Q824" t="n">
        <x:f>IF(AND(MAX(K824,K823)&gt;0,K824&gt;K823+0.00000001),1,0)</x:f>
        <x:v>0</x:v>
      </x:c>
      <x:c r="R824" t="n">
        <x:f>IF(AND(MAX(L824,L823)&gt;0,L824&gt;L823+0.00000001),1,0)</x:f>
        <x:v>0</x:v>
      </x:c>
      <x:c r="S824" t="n">
        <x:f>IF(AND(MAX(M824,M823)&gt;0,M824&gt;M823+0.00000001),1,0)</x:f>
        <x:v>0</x:v>
      </x:c>
      <x:c r="T824" t="n">
        <x:f>IF(AND(MAX(N824,N823)&gt;0,N824&gt;N823+0.00000001),1,0)</x:f>
        <x:v>0</x:v>
      </x:c>
      <x:c r="U824" t="n">
        <x:f>IF(AND(MAX(O824,O823)&gt;0,O824&gt;O823+0.00000001),1,0)</x:f>
        <x:v>0</x:v>
      </x:c>
    </x:row>
    <x:row r="825">
      <x:c r="J825" t="n">
        <x:f>IF(AND(ISNUMBER('Results'!B7),ISNUMBER('Results'!C7),ISNUMBER('Results'!$B$8),ISNUMBER('Inputs'!$B$6),ISNUMBER('Inputs'!$B$7),ISNUMBER('Inputs'!$B$8),ISNUMBER('Inputs'!$B$9),ISNUMBER('Inputs'!$B$10),ISNUMBER('Inputs'!$B$21),ISNUMBER('Inputs'!$B$24),ISNUMBER('Inputs'!$B$28)),(('Results'!B7*(0.5*((((825-43)*MAX('Inputs'!$B$33,'Inputs'!$B$29+'Inputs'!$B$31+'Inputs'!$B$32,'Inputs'!$B$30+'Inputs'!$B$31+'Inputs'!$B$32)/1000+'Inputs'!$B$21)+'Inputs'!$B$7)/SQRT((((825-43)*MAX('Inputs'!$B$33,'Inputs'!$B$29+'Inputs'!$B$31+'Inputs'!$B$32,'Inputs'!$B$30+'Inputs'!$B$31+'Inputs'!$B$32)/1000+'Inputs'!$B$21)+'Inputs'!$B$7)^2+('Inputs'!$B$6/2)^2)-(((825-43)*MAX('Inputs'!$B$33,'Inputs'!$B$29+'Inputs'!$B$31+'Inputs'!$B$32,'Inputs'!$B$30+'Inputs'!$B$31+'Inputs'!$B$32)/1000+'Inputs'!$B$21))/SQRT((((825-43)*MAX('Inputs'!$B$33,'Inputs'!$B$29+'Inputs'!$B$31+'Inputs'!$B$32,'Inputs'!$B$30+'Inputs'!$B$31+'Inputs'!$B$32)/1000+'Inputs'!$B$21))^2+('Inputs'!$B$6/2)^2)))-'Results'!C7*(0.5*((((825-43)*MAX('Inputs'!$B$33,'Inputs'!$B$29+'Inputs'!$B$31+'Inputs'!$B$32,'Inputs'!$B$30+'Inputs'!$B$31+'Inputs'!$B$32)/1000+'Inputs'!$B$21+'Inputs'!$B$7+'Inputs'!$B$10)+'Inputs'!$B$9)/SQRT((((825-43)*MAX('Inputs'!$B$33,'Inputs'!$B$29+'Inputs'!$B$31+'Inputs'!$B$32,'Inputs'!$B$30+'Inputs'!$B$31+'Inputs'!$B$32)/1000+'Inputs'!$B$21+'Inputs'!$B$7+'Inputs'!$B$10)+'Inputs'!$B$9)^2+('Inputs'!$B$8/2)^2)-(((825-43)*MAX('Inputs'!$B$33,'Inputs'!$B$29+'Inputs'!$B$31+'Inputs'!$B$32,'Inputs'!$B$30+'Inputs'!$B$31+'Inputs'!$B$32)/1000+'Inputs'!$B$21+'Inputs'!$B$7+'Inputs'!$B$10))/SQRT((((825-43)*MAX('Inputs'!$B$33,'Inputs'!$B$29+'Inputs'!$B$31+'Inputs'!$B$32,'Inputs'!$B$30+'Inputs'!$B$31+'Inputs'!$B$32)/1000+'Inputs'!$B$21+'Inputs'!$B$7+'Inputs'!$B$10))^2+('Inputs'!$B$8/2)^2))))*'Results'!$B$8),"")</x:f>
        <x:v>0.8702377803619067</x:v>
      </x:c>
      <x:c r="K825" t="n">
        <x:f>IF(AND(ISNUMBER('Results'!B7),ISNUMBER('Results'!C7),ISNUMBER('Results'!$B$8),ISNUMBER('Inputs'!$B$6),ISNUMBER('Inputs'!$B$7),ISNUMBER('Inputs'!$B$8),ISNUMBER('Inputs'!$B$9),ISNUMBER('Inputs'!$B$10),ISNUMBER('Inputs'!$B$21),ISNUMBER('Inputs'!$B$24),ISNUMBER('Inputs'!$B$28)),((('Results'!B7*(1-'Inputs'!$B$24)*(0.5*((((825-43)*MAX('Inputs'!$B$33,'Inputs'!$B$29+'Inputs'!$B$31+'Inputs'!$B$32,'Inputs'!$B$30+'Inputs'!$B$31+'Inputs'!$B$32)/1000+'Inputs'!$B$21)+'Inputs'!$B$7)/SQRT((((825-43)*MAX('Inputs'!$B$33,'Inputs'!$B$29+'Inputs'!$B$31+'Inputs'!$B$32,'Inputs'!$B$30+'Inputs'!$B$31+'Inputs'!$B$32)/1000+'Inputs'!$B$21)+'Inputs'!$B$7)^2+('Inputs'!$B$6/2)^2)-(((825-43)*MAX('Inputs'!$B$33,'Inputs'!$B$29+'Inputs'!$B$31+'Inputs'!$B$32,'Inputs'!$B$30+'Inputs'!$B$31+'Inputs'!$B$32)/1000+'Inputs'!$B$21))/SQRT((((825-43)*MAX('Inputs'!$B$33,'Inputs'!$B$29+'Inputs'!$B$31+'Inputs'!$B$32,'Inputs'!$B$30+'Inputs'!$B$31+'Inputs'!$B$32)/1000+'Inputs'!$B$21))^2+('Inputs'!$B$6/2)^2)))-'Results'!C7*(1+'Inputs'!$B$24)*(0.5*((((825-43)*MAX('Inputs'!$B$33,'Inputs'!$B$29+'Inputs'!$B$31+'Inputs'!$B$32,'Inputs'!$B$30+'Inputs'!$B$31+'Inputs'!$B$32)/1000+'Inputs'!$B$21+'Inputs'!$B$7+'Inputs'!$B$10)+'Inputs'!$B$9)/SQRT((((825-43)*MAX('Inputs'!$B$33,'Inputs'!$B$29+'Inputs'!$B$31+'Inputs'!$B$32,'Inputs'!$B$30+'Inputs'!$B$31+'Inputs'!$B$32)/1000+'Inputs'!$B$21+'Inputs'!$B$7+'Inputs'!$B$10)+'Inputs'!$B$9)^2+('Inputs'!$B$8/2)^2)-(((825-43)*MAX('Inputs'!$B$33,'Inputs'!$B$29+'Inputs'!$B$31+'Inputs'!$B$32,'Inputs'!$B$30+'Inputs'!$B$31+'Inputs'!$B$32)/1000+'Inputs'!$B$21+'Inputs'!$B$7+'Inputs'!$B$10))/SQRT((((825-43)*MAX('Inputs'!$B$33,'Inputs'!$B$29+'Inputs'!$B$31+'Inputs'!$B$32,'Inputs'!$B$30+'Inputs'!$B$31+'Inputs'!$B$32)/1000+'Inputs'!$B$21+'Inputs'!$B$7+'Inputs'!$B$10))^2+('Inputs'!$B$8/2)^2))))*'Results'!$B$8)-'Inputs'!$B$28*ABS((('Results'!B7*(1-'Inputs'!$B$24)*(0.5*((((825-43)*MAX('Inputs'!$B$33,'Inputs'!$B$29+'Inputs'!$B$31+'Inputs'!$B$32,'Inputs'!$B$30+'Inputs'!$B$31+'Inputs'!$B$32)/1000+'Inputs'!$B$21)+'Inputs'!$B$7)/SQRT((((825-43)*MAX('Inputs'!$B$33,'Inputs'!$B$29+'Inputs'!$B$31+'Inputs'!$B$32,'Inputs'!$B$30+'Inputs'!$B$31+'Inputs'!$B$32)/1000+'Inputs'!$B$21)+'Inputs'!$B$7)^2+('Inputs'!$B$6/2)^2)-(((825-43)*MAX('Inputs'!$B$33,'Inputs'!$B$29+'Inputs'!$B$31+'Inputs'!$B$32,'Inputs'!$B$30+'Inputs'!$B$31+'Inputs'!$B$32)/1000+'Inputs'!$B$21))/SQRT((((825-43)*MAX('Inputs'!$B$33,'Inputs'!$B$29+'Inputs'!$B$31+'Inputs'!$B$32,'Inputs'!$B$30+'Inputs'!$B$31+'Inputs'!$B$32)/1000+'Inputs'!$B$21))^2+('Inputs'!$B$6/2)^2)))-'Results'!C7*(1+'Inputs'!$B$24)*(0.5*((((825-43)*MAX('Inputs'!$B$33,'Inputs'!$B$29+'Inputs'!$B$31+'Inputs'!$B$32,'Inputs'!$B$30+'Inputs'!$B$31+'Inputs'!$B$32)/1000+'Inputs'!$B$21+'Inputs'!$B$7+'Inputs'!$B$10)+'Inputs'!$B$9)/SQRT((((825-43)*MAX('Inputs'!$B$33,'Inputs'!$B$29+'Inputs'!$B$31+'Inputs'!$B$32,'Inputs'!$B$30+'Inputs'!$B$31+'Inputs'!$B$32)/1000+'Inputs'!$B$21+'Inputs'!$B$7+'Inputs'!$B$10)+'Inputs'!$B$9)^2+('Inputs'!$B$8/2)^2)-(((825-43)*MAX('Inputs'!$B$33,'Inputs'!$B$29+'Inputs'!$B$31+'Inputs'!$B$32,'Inputs'!$B$30+'Inputs'!$B$31+'Inputs'!$B$32)/1000+'Inputs'!$B$21+'Inputs'!$B$7+'Inputs'!$B$10))/SQRT((((825-43)*MAX('Inputs'!$B$33,'Inputs'!$B$29+'Inputs'!$B$31+'Inputs'!$B$32,'Inputs'!$B$30+'Inputs'!$B$31+'Inputs'!$B$32)/1000+'Inputs'!$B$21+'Inputs'!$B$7+'Inputs'!$B$10))^2+('Inputs'!$B$8/2)^2))))*'Results'!$B$8))),"")</x:f>
        <x:v>0.7464848703825624</x:v>
      </x:c>
      <x:c r="L825" t="n">
        <x:f>IF(AND(ISNUMBER('Results'!B7),ISNUMBER('Results'!C7),ISNUMBER('Results'!$B$8),ISNUMBER('Inputs'!$B$6),ISNUMBER('Inputs'!$B$7),ISNUMBER('Inputs'!$B$8),ISNUMBER('Inputs'!$B$9),ISNUMBER('Inputs'!$B$10),ISNUMBER('Inputs'!$B$21),ISNUMBER('Inputs'!$B$24),ISNUMBER('Inputs'!$B$28)),((('Results'!B7*(1+'Inputs'!$B$24)*(0.5*((((825-43)*MAX('Inputs'!$B$33,'Inputs'!$B$29+'Inputs'!$B$31+'Inputs'!$B$32,'Inputs'!$B$30+'Inputs'!$B$31+'Inputs'!$B$32)/1000+'Inputs'!$B$21)+'Inputs'!$B$7)/SQRT((((825-43)*MAX('Inputs'!$B$33,'Inputs'!$B$29+'Inputs'!$B$31+'Inputs'!$B$32,'Inputs'!$B$30+'Inputs'!$B$31+'Inputs'!$B$32)/1000+'Inputs'!$B$21)+'Inputs'!$B$7)^2+('Inputs'!$B$6/2)^2)-(((825-43)*MAX('Inputs'!$B$33,'Inputs'!$B$29+'Inputs'!$B$31+'Inputs'!$B$32,'Inputs'!$B$30+'Inputs'!$B$31+'Inputs'!$B$32)/1000+'Inputs'!$B$21))/SQRT((((825-43)*MAX('Inputs'!$B$33,'Inputs'!$B$29+'Inputs'!$B$31+'Inputs'!$B$32,'Inputs'!$B$30+'Inputs'!$B$31+'Inputs'!$B$32)/1000+'Inputs'!$B$21))^2+('Inputs'!$B$6/2)^2)))-'Results'!C7*(1-'Inputs'!$B$24)*(0.5*((((825-43)*MAX('Inputs'!$B$33,'Inputs'!$B$29+'Inputs'!$B$31+'Inputs'!$B$32,'Inputs'!$B$30+'Inputs'!$B$31+'Inputs'!$B$32)/1000+'Inputs'!$B$21+'Inputs'!$B$7+'Inputs'!$B$10)+'Inputs'!$B$9)/SQRT((((825-43)*MAX('Inputs'!$B$33,'Inputs'!$B$29+'Inputs'!$B$31+'Inputs'!$B$32,'Inputs'!$B$30+'Inputs'!$B$31+'Inputs'!$B$32)/1000+'Inputs'!$B$21+'Inputs'!$B$7+'Inputs'!$B$10)+'Inputs'!$B$9)^2+('Inputs'!$B$8/2)^2)-(((825-43)*MAX('Inputs'!$B$33,'Inputs'!$B$29+'Inputs'!$B$31+'Inputs'!$B$32,'Inputs'!$B$30+'Inputs'!$B$31+'Inputs'!$B$32)/1000+'Inputs'!$B$21+'Inputs'!$B$7+'Inputs'!$B$10))/SQRT((((825-43)*MAX('Inputs'!$B$33,'Inputs'!$B$29+'Inputs'!$B$31+'Inputs'!$B$32,'Inputs'!$B$30+'Inputs'!$B$31+'Inputs'!$B$32)/1000+'Inputs'!$B$21+'Inputs'!$B$7+'Inputs'!$B$10))^2+('Inputs'!$B$8/2)^2))))*'Results'!$B$8)+'Inputs'!$B$28*ABS((('Results'!B7*(1+'Inputs'!$B$24)*(0.5*((((825-43)*MAX('Inputs'!$B$33,'Inputs'!$B$29+'Inputs'!$B$31+'Inputs'!$B$32,'Inputs'!$B$30+'Inputs'!$B$31+'Inputs'!$B$32)/1000+'Inputs'!$B$21)+'Inputs'!$B$7)/SQRT((((825-43)*MAX('Inputs'!$B$33,'Inputs'!$B$29+'Inputs'!$B$31+'Inputs'!$B$32,'Inputs'!$B$30+'Inputs'!$B$31+'Inputs'!$B$32)/1000+'Inputs'!$B$21)+'Inputs'!$B$7)^2+('Inputs'!$B$6/2)^2)-(((825-43)*MAX('Inputs'!$B$33,'Inputs'!$B$29+'Inputs'!$B$31+'Inputs'!$B$32,'Inputs'!$B$30+'Inputs'!$B$31+'Inputs'!$B$32)/1000+'Inputs'!$B$21))/SQRT((((825-43)*MAX('Inputs'!$B$33,'Inputs'!$B$29+'Inputs'!$B$31+'Inputs'!$B$32,'Inputs'!$B$30+'Inputs'!$B$31+'Inputs'!$B$32)/1000+'Inputs'!$B$21))^2+('Inputs'!$B$6/2)^2)))-'Results'!C7*(1-'Inputs'!$B$24)*(0.5*((((825-43)*MAX('Inputs'!$B$33,'Inputs'!$B$29+'Inputs'!$B$31+'Inputs'!$B$32,'Inputs'!$B$30+'Inputs'!$B$31+'Inputs'!$B$32)/1000+'Inputs'!$B$21+'Inputs'!$B$7+'Inputs'!$B$10)+'Inputs'!$B$9)/SQRT((((825-43)*MAX('Inputs'!$B$33,'Inputs'!$B$29+'Inputs'!$B$31+'Inputs'!$B$32,'Inputs'!$B$30+'Inputs'!$B$31+'Inputs'!$B$32)/1000+'Inputs'!$B$21+'Inputs'!$B$7+'Inputs'!$B$10)+'Inputs'!$B$9)^2+('Inputs'!$B$8/2)^2)-(((825-43)*MAX('Inputs'!$B$33,'Inputs'!$B$29+'Inputs'!$B$31+'Inputs'!$B$32,'Inputs'!$B$30+'Inputs'!$B$31+'Inputs'!$B$32)/1000+'Inputs'!$B$21+'Inputs'!$B$7+'Inputs'!$B$10))/SQRT((((825-43)*MAX('Inputs'!$B$33,'Inputs'!$B$29+'Inputs'!$B$31+'Inputs'!$B$32,'Inputs'!$B$30+'Inputs'!$B$31+'Inputs'!$B$32)/1000+'Inputs'!$B$21+'Inputs'!$B$7+'Inputs'!$B$10))^2+('Inputs'!$B$8/2)^2))))*'Results'!$B$8))),"")</x:f>
        <x:v>1.00243711360033</x:v>
      </x:c>
      <x:c r="M825" t="n">
        <x:f>IF(AND(ISNUMBER('Results'!C7),ISNUMBER('Results'!B7),ISNUMBER('Results'!$B$8),ISNUMBER('Inputs'!$B$6),ISNUMBER('Inputs'!$B$7),ISNUMBER('Inputs'!$B$8),ISNUMBER('Inputs'!$B$9),ISNUMBER('Inputs'!$B$10),ISNUMBER('Inputs'!$B$21),ISNUMBER('Inputs'!$B$24),ISNUMBER('Inputs'!$B$28)),(('Results'!C7*(0.5*((((825-43)*MAX('Inputs'!$B$33,'Inputs'!$B$29+'Inputs'!$B$31+'Inputs'!$B$32,'Inputs'!$B$30+'Inputs'!$B$31+'Inputs'!$B$32)/1000+'Inputs'!$B$21)+'Inputs'!$B$9)/SQRT((((825-43)*MAX('Inputs'!$B$33,'Inputs'!$B$29+'Inputs'!$B$31+'Inputs'!$B$32,'Inputs'!$B$30+'Inputs'!$B$31+'Inputs'!$B$32)/1000+'Inputs'!$B$21)+'Inputs'!$B$9)^2+('Inputs'!$B$8/2)^2)-(((825-43)*MAX('Inputs'!$B$33,'Inputs'!$B$29+'Inputs'!$B$31+'Inputs'!$B$32,'Inputs'!$B$30+'Inputs'!$B$31+'Inputs'!$B$32)/1000+'Inputs'!$B$21))/SQRT((((825-43)*MAX('Inputs'!$B$33,'Inputs'!$B$29+'Inputs'!$B$31+'Inputs'!$B$32,'Inputs'!$B$30+'Inputs'!$B$31+'Inputs'!$B$32)/1000+'Inputs'!$B$21))^2+('Inputs'!$B$8/2)^2)))-'Results'!B7*(0.5*((((825-43)*MAX('Inputs'!$B$33,'Inputs'!$B$29+'Inputs'!$B$31+'Inputs'!$B$32,'Inputs'!$B$30+'Inputs'!$B$31+'Inputs'!$B$32)/1000+'Inputs'!$B$21+'Inputs'!$B$9+'Inputs'!$B$10)+'Inputs'!$B$7)/SQRT((((825-43)*MAX('Inputs'!$B$33,'Inputs'!$B$29+'Inputs'!$B$31+'Inputs'!$B$32,'Inputs'!$B$30+'Inputs'!$B$31+'Inputs'!$B$32)/1000+'Inputs'!$B$21+'Inputs'!$B$9+'Inputs'!$B$10)+'Inputs'!$B$7)^2+('Inputs'!$B$6/2)^2)-(((825-43)*MAX('Inputs'!$B$33,'Inputs'!$B$29+'Inputs'!$B$31+'Inputs'!$B$32,'Inputs'!$B$30+'Inputs'!$B$31+'Inputs'!$B$32)/1000+'Inputs'!$B$21+'Inputs'!$B$9+'Inputs'!$B$10))/SQRT((((825-43)*MAX('Inputs'!$B$33,'Inputs'!$B$29+'Inputs'!$B$31+'Inputs'!$B$32,'Inputs'!$B$30+'Inputs'!$B$31+'Inputs'!$B$32)/1000+'Inputs'!$B$21+'Inputs'!$B$9+'Inputs'!$B$10))^2+('Inputs'!$B$6/2)^2))))*'Results'!$B$8),"")</x:f>
        <x:v>0.7850892673937353</x:v>
      </x:c>
      <x:c r="N825" t="n">
        <x:f>IF(AND(ISNUMBER('Results'!C7),ISNUMBER('Results'!B7),ISNUMBER('Results'!$B$8),ISNUMBER('Inputs'!$B$6),ISNUMBER('Inputs'!$B$7),ISNUMBER('Inputs'!$B$8),ISNUMBER('Inputs'!$B$9),ISNUMBER('Inputs'!$B$10),ISNUMBER('Inputs'!$B$21),ISNUMBER('Inputs'!$B$24),ISNUMBER('Inputs'!$B$28)),((('Results'!C7*(1-'Inputs'!$B$24)*(0.5*((((825-43)*MAX('Inputs'!$B$33,'Inputs'!$B$29+'Inputs'!$B$31+'Inputs'!$B$32,'Inputs'!$B$30+'Inputs'!$B$31+'Inputs'!$B$32)/1000+'Inputs'!$B$21)+'Inputs'!$B$9)/SQRT((((825-43)*MAX('Inputs'!$B$33,'Inputs'!$B$29+'Inputs'!$B$31+'Inputs'!$B$32,'Inputs'!$B$30+'Inputs'!$B$31+'Inputs'!$B$32)/1000+'Inputs'!$B$21)+'Inputs'!$B$9)^2+('Inputs'!$B$8/2)^2)-(((825-43)*MAX('Inputs'!$B$33,'Inputs'!$B$29+'Inputs'!$B$31+'Inputs'!$B$32,'Inputs'!$B$30+'Inputs'!$B$31+'Inputs'!$B$32)/1000+'Inputs'!$B$21))/SQRT((((825-43)*MAX('Inputs'!$B$33,'Inputs'!$B$29+'Inputs'!$B$31+'Inputs'!$B$32,'Inputs'!$B$30+'Inputs'!$B$31+'Inputs'!$B$32)/1000+'Inputs'!$B$21))^2+('Inputs'!$B$8/2)^2)))-'Results'!B7*(1+'Inputs'!$B$24)*(0.5*((((825-43)*MAX('Inputs'!$B$33,'Inputs'!$B$29+'Inputs'!$B$31+'Inputs'!$B$32,'Inputs'!$B$30+'Inputs'!$B$31+'Inputs'!$B$32)/1000+'Inputs'!$B$21+'Inputs'!$B$9+'Inputs'!$B$10)+'Inputs'!$B$7)/SQRT((((825-43)*MAX('Inputs'!$B$33,'Inputs'!$B$29+'Inputs'!$B$31+'Inputs'!$B$32,'Inputs'!$B$30+'Inputs'!$B$31+'Inputs'!$B$32)/1000+'Inputs'!$B$21+'Inputs'!$B$9+'Inputs'!$B$10)+'Inputs'!$B$7)^2+('Inputs'!$B$6/2)^2)-(((825-43)*MAX('Inputs'!$B$33,'Inputs'!$B$29+'Inputs'!$B$31+'Inputs'!$B$32,'Inputs'!$B$30+'Inputs'!$B$31+'Inputs'!$B$32)/1000+'Inputs'!$B$21+'Inputs'!$B$9+'Inputs'!$B$10))/SQRT((((825-43)*MAX('Inputs'!$B$33,'Inputs'!$B$29+'Inputs'!$B$31+'Inputs'!$B$32,'Inputs'!$B$30+'Inputs'!$B$31+'Inputs'!$B$32)/1000+'Inputs'!$B$21+'Inputs'!$B$9+'Inputs'!$B$10))^2+('Inputs'!$B$6/2)^2))))*'Results'!$B$8)-'Inputs'!$B$28*ABS((('Results'!C7*(1-'Inputs'!$B$24)*(0.5*((((825-43)*MAX('Inputs'!$B$33,'Inputs'!$B$29+'Inputs'!$B$31+'Inputs'!$B$32,'Inputs'!$B$30+'Inputs'!$B$31+'Inputs'!$B$32)/1000+'Inputs'!$B$21)+'Inputs'!$B$9)/SQRT((((825-43)*MAX('Inputs'!$B$33,'Inputs'!$B$29+'Inputs'!$B$31+'Inputs'!$B$32,'Inputs'!$B$30+'Inputs'!$B$31+'Inputs'!$B$32)/1000+'Inputs'!$B$21)+'Inputs'!$B$9)^2+('Inputs'!$B$8/2)^2)-(((825-43)*MAX('Inputs'!$B$33,'Inputs'!$B$29+'Inputs'!$B$31+'Inputs'!$B$32,'Inputs'!$B$30+'Inputs'!$B$31+'Inputs'!$B$32)/1000+'Inputs'!$B$21))/SQRT((((825-43)*MAX('Inputs'!$B$33,'Inputs'!$B$29+'Inputs'!$B$31+'Inputs'!$B$32,'Inputs'!$B$30+'Inputs'!$B$31+'Inputs'!$B$32)/1000+'Inputs'!$B$21))^2+('Inputs'!$B$8/2)^2)))-'Results'!B7*(1+'Inputs'!$B$24)*(0.5*((((825-43)*MAX('Inputs'!$B$33,'Inputs'!$B$29+'Inputs'!$B$31+'Inputs'!$B$32,'Inputs'!$B$30+'Inputs'!$B$31+'Inputs'!$B$32)/1000+'Inputs'!$B$21+'Inputs'!$B$9+'Inputs'!$B$10)+'Inputs'!$B$7)/SQRT((((825-43)*MAX('Inputs'!$B$33,'Inputs'!$B$29+'Inputs'!$B$31+'Inputs'!$B$32,'Inputs'!$B$30+'Inputs'!$B$31+'Inputs'!$B$32)/1000+'Inputs'!$B$21+'Inputs'!$B$9+'Inputs'!$B$10)+'Inputs'!$B$7)^2+('Inputs'!$B$6/2)^2)-(((825-43)*MAX('Inputs'!$B$33,'Inputs'!$B$29+'Inputs'!$B$31+'Inputs'!$B$32,'Inputs'!$B$30+'Inputs'!$B$31+'Inputs'!$B$32)/1000+'Inputs'!$B$21+'Inputs'!$B$9+'Inputs'!$B$10))/SQRT((((825-43)*MAX('Inputs'!$B$33,'Inputs'!$B$29+'Inputs'!$B$31+'Inputs'!$B$32,'Inputs'!$B$30+'Inputs'!$B$31+'Inputs'!$B$32)/1000+'Inputs'!$B$21+'Inputs'!$B$9+'Inputs'!$B$10))^2+('Inputs'!$B$6/2)^2))))*'Results'!$B$8))),"")</x:f>
        <x:v>0.665911472092167</x:v>
      </x:c>
      <x:c r="O825" t="n">
        <x:f>IF(AND(ISNUMBER('Results'!C7),ISNUMBER('Results'!B7),ISNUMBER('Results'!$B$8),ISNUMBER('Inputs'!$B$6),ISNUMBER('Inputs'!$B$7),ISNUMBER('Inputs'!$B$8),ISNUMBER('Inputs'!$B$9),ISNUMBER('Inputs'!$B$10),ISNUMBER('Inputs'!$B$21),ISNUMBER('Inputs'!$B$24),ISNUMBER('Inputs'!$B$28)),((('Results'!C7*(1+'Inputs'!$B$24)*(0.5*((((825-43)*MAX('Inputs'!$B$33,'Inputs'!$B$29+'Inputs'!$B$31+'Inputs'!$B$32,'Inputs'!$B$30+'Inputs'!$B$31+'Inputs'!$B$32)/1000+'Inputs'!$B$21)+'Inputs'!$B$9)/SQRT((((825-43)*MAX('Inputs'!$B$33,'Inputs'!$B$29+'Inputs'!$B$31+'Inputs'!$B$32,'Inputs'!$B$30+'Inputs'!$B$31+'Inputs'!$B$32)/1000+'Inputs'!$B$21)+'Inputs'!$B$9)^2+('Inputs'!$B$8/2)^2)-(((825-43)*MAX('Inputs'!$B$33,'Inputs'!$B$29+'Inputs'!$B$31+'Inputs'!$B$32,'Inputs'!$B$30+'Inputs'!$B$31+'Inputs'!$B$32)/1000+'Inputs'!$B$21))/SQRT((((825-43)*MAX('Inputs'!$B$33,'Inputs'!$B$29+'Inputs'!$B$31+'Inputs'!$B$32,'Inputs'!$B$30+'Inputs'!$B$31+'Inputs'!$B$32)/1000+'Inputs'!$B$21))^2+('Inputs'!$B$8/2)^2)))-'Results'!B7*(1-'Inputs'!$B$24)*(0.5*((((825-43)*MAX('Inputs'!$B$33,'Inputs'!$B$29+'Inputs'!$B$31+'Inputs'!$B$32,'Inputs'!$B$30+'Inputs'!$B$31+'Inputs'!$B$32)/1000+'Inputs'!$B$21+'Inputs'!$B$9+'Inputs'!$B$10)+'Inputs'!$B$7)/SQRT((((825-43)*MAX('Inputs'!$B$33,'Inputs'!$B$29+'Inputs'!$B$31+'Inputs'!$B$32,'Inputs'!$B$30+'Inputs'!$B$31+'Inputs'!$B$32)/1000+'Inputs'!$B$21+'Inputs'!$B$9+'Inputs'!$B$10)+'Inputs'!$B$7)^2+('Inputs'!$B$6/2)^2)-(((825-43)*MAX('Inputs'!$B$33,'Inputs'!$B$29+'Inputs'!$B$31+'Inputs'!$B$32,'Inputs'!$B$30+'Inputs'!$B$31+'Inputs'!$B$32)/1000+'Inputs'!$B$21+'Inputs'!$B$9+'Inputs'!$B$10))/SQRT((((825-43)*MAX('Inputs'!$B$33,'Inputs'!$B$29+'Inputs'!$B$31+'Inputs'!$B$32,'Inputs'!$B$30+'Inputs'!$B$31+'Inputs'!$B$32)/1000+'Inputs'!$B$21+'Inputs'!$B$9+'Inputs'!$B$10))^2+('Inputs'!$B$6/2)^2))))*'Results'!$B$8)+'Inputs'!$B$28*ABS((('Results'!C7*(1+'Inputs'!$B$24)*(0.5*((((825-43)*MAX('Inputs'!$B$33,'Inputs'!$B$29+'Inputs'!$B$31+'Inputs'!$B$32,'Inputs'!$B$30+'Inputs'!$B$31+'Inputs'!$B$32)/1000+'Inputs'!$B$21)+'Inputs'!$B$9)/SQRT((((825-43)*MAX('Inputs'!$B$33,'Inputs'!$B$29+'Inputs'!$B$31+'Inputs'!$B$32,'Inputs'!$B$30+'Inputs'!$B$31+'Inputs'!$B$32)/1000+'Inputs'!$B$21)+'Inputs'!$B$9)^2+('Inputs'!$B$8/2)^2)-(((825-43)*MAX('Inputs'!$B$33,'Inputs'!$B$29+'Inputs'!$B$31+'Inputs'!$B$32,'Inputs'!$B$30+'Inputs'!$B$31+'Inputs'!$B$32)/1000+'Inputs'!$B$21))/SQRT((((825-43)*MAX('Inputs'!$B$33,'Inputs'!$B$29+'Inputs'!$B$31+'Inputs'!$B$32,'Inputs'!$B$30+'Inputs'!$B$31+'Inputs'!$B$32)/1000+'Inputs'!$B$21))^2+('Inputs'!$B$8/2)^2)))-'Results'!B7*(1-'Inputs'!$B$24)*(0.5*((((825-43)*MAX('Inputs'!$B$33,'Inputs'!$B$29+'Inputs'!$B$31+'Inputs'!$B$32,'Inputs'!$B$30+'Inputs'!$B$31+'Inputs'!$B$32)/1000+'Inputs'!$B$21+'Inputs'!$B$9+'Inputs'!$B$10)+'Inputs'!$B$7)/SQRT((((825-43)*MAX('Inputs'!$B$33,'Inputs'!$B$29+'Inputs'!$B$31+'Inputs'!$B$32,'Inputs'!$B$30+'Inputs'!$B$31+'Inputs'!$B$32)/1000+'Inputs'!$B$21+'Inputs'!$B$9+'Inputs'!$B$10)+'Inputs'!$B$7)^2+('Inputs'!$B$6/2)^2)-(((825-43)*MAX('Inputs'!$B$33,'Inputs'!$B$29+'Inputs'!$B$31+'Inputs'!$B$32,'Inputs'!$B$30+'Inputs'!$B$31+'Inputs'!$B$32)/1000+'Inputs'!$B$21+'Inputs'!$B$9+'Inputs'!$B$10))/SQRT((((825-43)*MAX('Inputs'!$B$33,'Inputs'!$B$29+'Inputs'!$B$31+'Inputs'!$B$32,'Inputs'!$B$30+'Inputs'!$B$31+'Inputs'!$B$32)/1000+'Inputs'!$B$21+'Inputs'!$B$9+'Inputs'!$B$10))^2+('Inputs'!$B$6/2)^2))))*'Results'!$B$8))),"")</x:f>
        <x:v>0.9126800450039231</x:v>
      </x:c>
      <x:c r="P825" t="n">
        <x:f>IF(AND(MAX(J825,J824)&gt;0,J825&gt;J824+0.00000001),1,0)</x:f>
        <x:v>0</x:v>
      </x:c>
      <x:c r="Q825" t="n">
        <x:f>IF(AND(MAX(K825,K824)&gt;0,K825&gt;K824+0.00000001),1,0)</x:f>
        <x:v>0</x:v>
      </x:c>
      <x:c r="R825" t="n">
        <x:f>IF(AND(MAX(L825,L824)&gt;0,L825&gt;L824+0.00000001),1,0)</x:f>
        <x:v>0</x:v>
      </x:c>
      <x:c r="S825" t="n">
        <x:f>IF(AND(MAX(M825,M824)&gt;0,M825&gt;M824+0.00000001),1,0)</x:f>
        <x:v>0</x:v>
      </x:c>
      <x:c r="T825" t="n">
        <x:f>IF(AND(MAX(N825,N824)&gt;0,N825&gt;N824+0.00000001),1,0)</x:f>
        <x:v>0</x:v>
      </x:c>
      <x:c r="U825" t="n">
        <x:f>IF(AND(MAX(O825,O824)&gt;0,O825&gt;O824+0.00000001),1,0)</x:f>
        <x:v>0</x:v>
      </x:c>
    </x:row>
    <x:row r="826">
      <x:c r="J826" t="n">
        <x:f>IF(AND(ISNUMBER('Results'!B7),ISNUMBER('Results'!C7),ISNUMBER('Results'!$B$8),ISNUMBER('Inputs'!$B$6),ISNUMBER('Inputs'!$B$7),ISNUMBER('Inputs'!$B$8),ISNUMBER('Inputs'!$B$9),ISNUMBER('Inputs'!$B$10),ISNUMBER('Inputs'!$B$21),ISNUMBER('Inputs'!$B$24),ISNUMBER('Inputs'!$B$28)),(('Results'!B7*(0.5*((((826-43)*MAX('Inputs'!$B$33,'Inputs'!$B$29+'Inputs'!$B$31+'Inputs'!$B$32,'Inputs'!$B$30+'Inputs'!$B$31+'Inputs'!$B$32)/1000+'Inputs'!$B$21)+'Inputs'!$B$7)/SQRT((((826-43)*MAX('Inputs'!$B$33,'Inputs'!$B$29+'Inputs'!$B$31+'Inputs'!$B$32,'Inputs'!$B$30+'Inputs'!$B$31+'Inputs'!$B$32)/1000+'Inputs'!$B$21)+'Inputs'!$B$7)^2+('Inputs'!$B$6/2)^2)-(((826-43)*MAX('Inputs'!$B$33,'Inputs'!$B$29+'Inputs'!$B$31+'Inputs'!$B$32,'Inputs'!$B$30+'Inputs'!$B$31+'Inputs'!$B$32)/1000+'Inputs'!$B$21))/SQRT((((826-43)*MAX('Inputs'!$B$33,'Inputs'!$B$29+'Inputs'!$B$31+'Inputs'!$B$32,'Inputs'!$B$30+'Inputs'!$B$31+'Inputs'!$B$32)/1000+'Inputs'!$B$21))^2+('Inputs'!$B$6/2)^2)))-'Results'!C7*(0.5*((((826-43)*MAX('Inputs'!$B$33,'Inputs'!$B$29+'Inputs'!$B$31+'Inputs'!$B$32,'Inputs'!$B$30+'Inputs'!$B$31+'Inputs'!$B$32)/1000+'Inputs'!$B$21+'Inputs'!$B$7+'Inputs'!$B$10)+'Inputs'!$B$9)/SQRT((((826-43)*MAX('Inputs'!$B$33,'Inputs'!$B$29+'Inputs'!$B$31+'Inputs'!$B$32,'Inputs'!$B$30+'Inputs'!$B$31+'Inputs'!$B$32)/1000+'Inputs'!$B$21+'Inputs'!$B$7+'Inputs'!$B$10)+'Inputs'!$B$9)^2+('Inputs'!$B$8/2)^2)-(((826-43)*MAX('Inputs'!$B$33,'Inputs'!$B$29+'Inputs'!$B$31+'Inputs'!$B$32,'Inputs'!$B$30+'Inputs'!$B$31+'Inputs'!$B$32)/1000+'Inputs'!$B$21+'Inputs'!$B$7+'Inputs'!$B$10))/SQRT((((826-43)*MAX('Inputs'!$B$33,'Inputs'!$B$29+'Inputs'!$B$31+'Inputs'!$B$32,'Inputs'!$B$30+'Inputs'!$B$31+'Inputs'!$B$32)/1000+'Inputs'!$B$21+'Inputs'!$B$7+'Inputs'!$B$10))^2+('Inputs'!$B$8/2)^2))))*'Results'!$B$8),"")</x:f>
        <x:v>0.8662559707428106</x:v>
      </x:c>
      <x:c r="K826" t="n">
        <x:f>IF(AND(ISNUMBER('Results'!B7),ISNUMBER('Results'!C7),ISNUMBER('Results'!$B$8),ISNUMBER('Inputs'!$B$6),ISNUMBER('Inputs'!$B$7),ISNUMBER('Inputs'!$B$8),ISNUMBER('Inputs'!$B$9),ISNUMBER('Inputs'!$B$10),ISNUMBER('Inputs'!$B$21),ISNUMBER('Inputs'!$B$24),ISNUMBER('Inputs'!$B$28)),((('Results'!B7*(1-'Inputs'!$B$24)*(0.5*((((826-43)*MAX('Inputs'!$B$33,'Inputs'!$B$29+'Inputs'!$B$31+'Inputs'!$B$32,'Inputs'!$B$30+'Inputs'!$B$31+'Inputs'!$B$32)/1000+'Inputs'!$B$21)+'Inputs'!$B$7)/SQRT((((826-43)*MAX('Inputs'!$B$33,'Inputs'!$B$29+'Inputs'!$B$31+'Inputs'!$B$32,'Inputs'!$B$30+'Inputs'!$B$31+'Inputs'!$B$32)/1000+'Inputs'!$B$21)+'Inputs'!$B$7)^2+('Inputs'!$B$6/2)^2)-(((826-43)*MAX('Inputs'!$B$33,'Inputs'!$B$29+'Inputs'!$B$31+'Inputs'!$B$32,'Inputs'!$B$30+'Inputs'!$B$31+'Inputs'!$B$32)/1000+'Inputs'!$B$21))/SQRT((((826-43)*MAX('Inputs'!$B$33,'Inputs'!$B$29+'Inputs'!$B$31+'Inputs'!$B$32,'Inputs'!$B$30+'Inputs'!$B$31+'Inputs'!$B$32)/1000+'Inputs'!$B$21))^2+('Inputs'!$B$6/2)^2)))-'Results'!C7*(1+'Inputs'!$B$24)*(0.5*((((826-43)*MAX('Inputs'!$B$33,'Inputs'!$B$29+'Inputs'!$B$31+'Inputs'!$B$32,'Inputs'!$B$30+'Inputs'!$B$31+'Inputs'!$B$32)/1000+'Inputs'!$B$21+'Inputs'!$B$7+'Inputs'!$B$10)+'Inputs'!$B$9)/SQRT((((826-43)*MAX('Inputs'!$B$33,'Inputs'!$B$29+'Inputs'!$B$31+'Inputs'!$B$32,'Inputs'!$B$30+'Inputs'!$B$31+'Inputs'!$B$32)/1000+'Inputs'!$B$21+'Inputs'!$B$7+'Inputs'!$B$10)+'Inputs'!$B$9)^2+('Inputs'!$B$8/2)^2)-(((826-43)*MAX('Inputs'!$B$33,'Inputs'!$B$29+'Inputs'!$B$31+'Inputs'!$B$32,'Inputs'!$B$30+'Inputs'!$B$31+'Inputs'!$B$32)/1000+'Inputs'!$B$21+'Inputs'!$B$7+'Inputs'!$B$10))/SQRT((((826-43)*MAX('Inputs'!$B$33,'Inputs'!$B$29+'Inputs'!$B$31+'Inputs'!$B$32,'Inputs'!$B$30+'Inputs'!$B$31+'Inputs'!$B$32)/1000+'Inputs'!$B$21+'Inputs'!$B$7+'Inputs'!$B$10))^2+('Inputs'!$B$8/2)^2))))*'Results'!$B$8)-'Inputs'!$B$28*ABS((('Results'!B7*(1-'Inputs'!$B$24)*(0.5*((((826-43)*MAX('Inputs'!$B$33,'Inputs'!$B$29+'Inputs'!$B$31+'Inputs'!$B$32,'Inputs'!$B$30+'Inputs'!$B$31+'Inputs'!$B$32)/1000+'Inputs'!$B$21)+'Inputs'!$B$7)/SQRT((((826-43)*MAX('Inputs'!$B$33,'Inputs'!$B$29+'Inputs'!$B$31+'Inputs'!$B$32,'Inputs'!$B$30+'Inputs'!$B$31+'Inputs'!$B$32)/1000+'Inputs'!$B$21)+'Inputs'!$B$7)^2+('Inputs'!$B$6/2)^2)-(((826-43)*MAX('Inputs'!$B$33,'Inputs'!$B$29+'Inputs'!$B$31+'Inputs'!$B$32,'Inputs'!$B$30+'Inputs'!$B$31+'Inputs'!$B$32)/1000+'Inputs'!$B$21))/SQRT((((826-43)*MAX('Inputs'!$B$33,'Inputs'!$B$29+'Inputs'!$B$31+'Inputs'!$B$32,'Inputs'!$B$30+'Inputs'!$B$31+'Inputs'!$B$32)/1000+'Inputs'!$B$21))^2+('Inputs'!$B$6/2)^2)))-'Results'!C7*(1+'Inputs'!$B$24)*(0.5*((((826-43)*MAX('Inputs'!$B$33,'Inputs'!$B$29+'Inputs'!$B$31+'Inputs'!$B$32,'Inputs'!$B$30+'Inputs'!$B$31+'Inputs'!$B$32)/1000+'Inputs'!$B$21+'Inputs'!$B$7+'Inputs'!$B$10)+'Inputs'!$B$9)/SQRT((((826-43)*MAX('Inputs'!$B$33,'Inputs'!$B$29+'Inputs'!$B$31+'Inputs'!$B$32,'Inputs'!$B$30+'Inputs'!$B$31+'Inputs'!$B$32)/1000+'Inputs'!$B$21+'Inputs'!$B$7+'Inputs'!$B$10)+'Inputs'!$B$9)^2+('Inputs'!$B$8/2)^2)-(((826-43)*MAX('Inputs'!$B$33,'Inputs'!$B$29+'Inputs'!$B$31+'Inputs'!$B$32,'Inputs'!$B$30+'Inputs'!$B$31+'Inputs'!$B$32)/1000+'Inputs'!$B$21+'Inputs'!$B$7+'Inputs'!$B$10))/SQRT((((826-43)*MAX('Inputs'!$B$33,'Inputs'!$B$29+'Inputs'!$B$31+'Inputs'!$B$32,'Inputs'!$B$30+'Inputs'!$B$31+'Inputs'!$B$32)/1000+'Inputs'!$B$21+'Inputs'!$B$7+'Inputs'!$B$10))^2+('Inputs'!$B$8/2)^2))))*'Results'!$B$8))),"")</x:f>
        <x:v>0.7429844569250844</x:v>
      </x:c>
      <x:c r="L826" t="n">
        <x:f>IF(AND(ISNUMBER('Results'!B7),ISNUMBER('Results'!C7),ISNUMBER('Results'!$B$8),ISNUMBER('Inputs'!$B$6),ISNUMBER('Inputs'!$B$7),ISNUMBER('Inputs'!$B$8),ISNUMBER('Inputs'!$B$9),ISNUMBER('Inputs'!$B$10),ISNUMBER('Inputs'!$B$21),ISNUMBER('Inputs'!$B$24),ISNUMBER('Inputs'!$B$28)),((('Results'!B7*(1+'Inputs'!$B$24)*(0.5*((((826-43)*MAX('Inputs'!$B$33,'Inputs'!$B$29+'Inputs'!$B$31+'Inputs'!$B$32,'Inputs'!$B$30+'Inputs'!$B$31+'Inputs'!$B$32)/1000+'Inputs'!$B$21)+'Inputs'!$B$7)/SQRT((((826-43)*MAX('Inputs'!$B$33,'Inputs'!$B$29+'Inputs'!$B$31+'Inputs'!$B$32,'Inputs'!$B$30+'Inputs'!$B$31+'Inputs'!$B$32)/1000+'Inputs'!$B$21)+'Inputs'!$B$7)^2+('Inputs'!$B$6/2)^2)-(((826-43)*MAX('Inputs'!$B$33,'Inputs'!$B$29+'Inputs'!$B$31+'Inputs'!$B$32,'Inputs'!$B$30+'Inputs'!$B$31+'Inputs'!$B$32)/1000+'Inputs'!$B$21))/SQRT((((826-43)*MAX('Inputs'!$B$33,'Inputs'!$B$29+'Inputs'!$B$31+'Inputs'!$B$32,'Inputs'!$B$30+'Inputs'!$B$31+'Inputs'!$B$32)/1000+'Inputs'!$B$21))^2+('Inputs'!$B$6/2)^2)))-'Results'!C7*(1-'Inputs'!$B$24)*(0.5*((((826-43)*MAX('Inputs'!$B$33,'Inputs'!$B$29+'Inputs'!$B$31+'Inputs'!$B$32,'Inputs'!$B$30+'Inputs'!$B$31+'Inputs'!$B$32)/1000+'Inputs'!$B$21+'Inputs'!$B$7+'Inputs'!$B$10)+'Inputs'!$B$9)/SQRT((((826-43)*MAX('Inputs'!$B$33,'Inputs'!$B$29+'Inputs'!$B$31+'Inputs'!$B$32,'Inputs'!$B$30+'Inputs'!$B$31+'Inputs'!$B$32)/1000+'Inputs'!$B$21+'Inputs'!$B$7+'Inputs'!$B$10)+'Inputs'!$B$9)^2+('Inputs'!$B$8/2)^2)-(((826-43)*MAX('Inputs'!$B$33,'Inputs'!$B$29+'Inputs'!$B$31+'Inputs'!$B$32,'Inputs'!$B$30+'Inputs'!$B$31+'Inputs'!$B$32)/1000+'Inputs'!$B$21+'Inputs'!$B$7+'Inputs'!$B$10))/SQRT((((826-43)*MAX('Inputs'!$B$33,'Inputs'!$B$29+'Inputs'!$B$31+'Inputs'!$B$32,'Inputs'!$B$30+'Inputs'!$B$31+'Inputs'!$B$32)/1000+'Inputs'!$B$21+'Inputs'!$B$7+'Inputs'!$B$10))^2+('Inputs'!$B$8/2)^2))))*'Results'!$B$8)+'Inputs'!$B$28*ABS((('Results'!B7*(1+'Inputs'!$B$24)*(0.5*((((826-43)*MAX('Inputs'!$B$33,'Inputs'!$B$29+'Inputs'!$B$31+'Inputs'!$B$32,'Inputs'!$B$30+'Inputs'!$B$31+'Inputs'!$B$32)/1000+'Inputs'!$B$21)+'Inputs'!$B$7)/SQRT((((826-43)*MAX('Inputs'!$B$33,'Inputs'!$B$29+'Inputs'!$B$31+'Inputs'!$B$32,'Inputs'!$B$30+'Inputs'!$B$31+'Inputs'!$B$32)/1000+'Inputs'!$B$21)+'Inputs'!$B$7)^2+('Inputs'!$B$6/2)^2)-(((826-43)*MAX('Inputs'!$B$33,'Inputs'!$B$29+'Inputs'!$B$31+'Inputs'!$B$32,'Inputs'!$B$30+'Inputs'!$B$31+'Inputs'!$B$32)/1000+'Inputs'!$B$21))/SQRT((((826-43)*MAX('Inputs'!$B$33,'Inputs'!$B$29+'Inputs'!$B$31+'Inputs'!$B$32,'Inputs'!$B$30+'Inputs'!$B$31+'Inputs'!$B$32)/1000+'Inputs'!$B$21))^2+('Inputs'!$B$6/2)^2)))-'Results'!C7*(1-'Inputs'!$B$24)*(0.5*((((826-43)*MAX('Inputs'!$B$33,'Inputs'!$B$29+'Inputs'!$B$31+'Inputs'!$B$32,'Inputs'!$B$30+'Inputs'!$B$31+'Inputs'!$B$32)/1000+'Inputs'!$B$21+'Inputs'!$B$7+'Inputs'!$B$10)+'Inputs'!$B$9)/SQRT((((826-43)*MAX('Inputs'!$B$33,'Inputs'!$B$29+'Inputs'!$B$31+'Inputs'!$B$32,'Inputs'!$B$30+'Inputs'!$B$31+'Inputs'!$B$32)/1000+'Inputs'!$B$21+'Inputs'!$B$7+'Inputs'!$B$10)+'Inputs'!$B$9)^2+('Inputs'!$B$8/2)^2)-(((826-43)*MAX('Inputs'!$B$33,'Inputs'!$B$29+'Inputs'!$B$31+'Inputs'!$B$32,'Inputs'!$B$30+'Inputs'!$B$31+'Inputs'!$B$32)/1000+'Inputs'!$B$21+'Inputs'!$B$7+'Inputs'!$B$10))/SQRT((((826-43)*MAX('Inputs'!$B$33,'Inputs'!$B$29+'Inputs'!$B$31+'Inputs'!$B$32,'Inputs'!$B$30+'Inputs'!$B$31+'Inputs'!$B$32)/1000+'Inputs'!$B$21+'Inputs'!$B$7+'Inputs'!$B$10))^2+('Inputs'!$B$8/2)^2))))*'Results'!$B$8))),"")</x:f>
        <x:v>0.997944191432177</x:v>
      </x:c>
      <x:c r="M826" t="n">
        <x:f>IF(AND(ISNUMBER('Results'!C7),ISNUMBER('Results'!B7),ISNUMBER('Results'!$B$8),ISNUMBER('Inputs'!$B$6),ISNUMBER('Inputs'!$B$7),ISNUMBER('Inputs'!$B$8),ISNUMBER('Inputs'!$B$9),ISNUMBER('Inputs'!$B$10),ISNUMBER('Inputs'!$B$21),ISNUMBER('Inputs'!$B$24),ISNUMBER('Inputs'!$B$28)),(('Results'!C7*(0.5*((((826-43)*MAX('Inputs'!$B$33,'Inputs'!$B$29+'Inputs'!$B$31+'Inputs'!$B$32,'Inputs'!$B$30+'Inputs'!$B$31+'Inputs'!$B$32)/1000+'Inputs'!$B$21)+'Inputs'!$B$9)/SQRT((((826-43)*MAX('Inputs'!$B$33,'Inputs'!$B$29+'Inputs'!$B$31+'Inputs'!$B$32,'Inputs'!$B$30+'Inputs'!$B$31+'Inputs'!$B$32)/1000+'Inputs'!$B$21)+'Inputs'!$B$9)^2+('Inputs'!$B$8/2)^2)-(((826-43)*MAX('Inputs'!$B$33,'Inputs'!$B$29+'Inputs'!$B$31+'Inputs'!$B$32,'Inputs'!$B$30+'Inputs'!$B$31+'Inputs'!$B$32)/1000+'Inputs'!$B$21))/SQRT((((826-43)*MAX('Inputs'!$B$33,'Inputs'!$B$29+'Inputs'!$B$31+'Inputs'!$B$32,'Inputs'!$B$30+'Inputs'!$B$31+'Inputs'!$B$32)/1000+'Inputs'!$B$21))^2+('Inputs'!$B$8/2)^2)))-'Results'!B7*(0.5*((((826-43)*MAX('Inputs'!$B$33,'Inputs'!$B$29+'Inputs'!$B$31+'Inputs'!$B$32,'Inputs'!$B$30+'Inputs'!$B$31+'Inputs'!$B$32)/1000+'Inputs'!$B$21+'Inputs'!$B$9+'Inputs'!$B$10)+'Inputs'!$B$7)/SQRT((((826-43)*MAX('Inputs'!$B$33,'Inputs'!$B$29+'Inputs'!$B$31+'Inputs'!$B$32,'Inputs'!$B$30+'Inputs'!$B$31+'Inputs'!$B$32)/1000+'Inputs'!$B$21+'Inputs'!$B$9+'Inputs'!$B$10)+'Inputs'!$B$7)^2+('Inputs'!$B$6/2)^2)-(((826-43)*MAX('Inputs'!$B$33,'Inputs'!$B$29+'Inputs'!$B$31+'Inputs'!$B$32,'Inputs'!$B$30+'Inputs'!$B$31+'Inputs'!$B$32)/1000+'Inputs'!$B$21+'Inputs'!$B$9+'Inputs'!$B$10))/SQRT((((826-43)*MAX('Inputs'!$B$33,'Inputs'!$B$29+'Inputs'!$B$31+'Inputs'!$B$32,'Inputs'!$B$30+'Inputs'!$B$31+'Inputs'!$B$32)/1000+'Inputs'!$B$21+'Inputs'!$B$9+'Inputs'!$B$10))^2+('Inputs'!$B$6/2)^2))))*'Results'!$B$8),"")</x:f>
        <x:v>0.7814068413192462</x:v>
      </x:c>
      <x:c r="N826" t="n">
        <x:f>IF(AND(ISNUMBER('Results'!C7),ISNUMBER('Results'!B7),ISNUMBER('Results'!$B$8),ISNUMBER('Inputs'!$B$6),ISNUMBER('Inputs'!$B$7),ISNUMBER('Inputs'!$B$8),ISNUMBER('Inputs'!$B$9),ISNUMBER('Inputs'!$B$10),ISNUMBER('Inputs'!$B$21),ISNUMBER('Inputs'!$B$24),ISNUMBER('Inputs'!$B$28)),((('Results'!C7*(1-'Inputs'!$B$24)*(0.5*((((826-43)*MAX('Inputs'!$B$33,'Inputs'!$B$29+'Inputs'!$B$31+'Inputs'!$B$32,'Inputs'!$B$30+'Inputs'!$B$31+'Inputs'!$B$32)/1000+'Inputs'!$B$21)+'Inputs'!$B$9)/SQRT((((826-43)*MAX('Inputs'!$B$33,'Inputs'!$B$29+'Inputs'!$B$31+'Inputs'!$B$32,'Inputs'!$B$30+'Inputs'!$B$31+'Inputs'!$B$32)/1000+'Inputs'!$B$21)+'Inputs'!$B$9)^2+('Inputs'!$B$8/2)^2)-(((826-43)*MAX('Inputs'!$B$33,'Inputs'!$B$29+'Inputs'!$B$31+'Inputs'!$B$32,'Inputs'!$B$30+'Inputs'!$B$31+'Inputs'!$B$32)/1000+'Inputs'!$B$21))/SQRT((((826-43)*MAX('Inputs'!$B$33,'Inputs'!$B$29+'Inputs'!$B$31+'Inputs'!$B$32,'Inputs'!$B$30+'Inputs'!$B$31+'Inputs'!$B$32)/1000+'Inputs'!$B$21))^2+('Inputs'!$B$8/2)^2)))-'Results'!B7*(1+'Inputs'!$B$24)*(0.5*((((826-43)*MAX('Inputs'!$B$33,'Inputs'!$B$29+'Inputs'!$B$31+'Inputs'!$B$32,'Inputs'!$B$30+'Inputs'!$B$31+'Inputs'!$B$32)/1000+'Inputs'!$B$21+'Inputs'!$B$9+'Inputs'!$B$10)+'Inputs'!$B$7)/SQRT((((826-43)*MAX('Inputs'!$B$33,'Inputs'!$B$29+'Inputs'!$B$31+'Inputs'!$B$32,'Inputs'!$B$30+'Inputs'!$B$31+'Inputs'!$B$32)/1000+'Inputs'!$B$21+'Inputs'!$B$9+'Inputs'!$B$10)+'Inputs'!$B$7)^2+('Inputs'!$B$6/2)^2)-(((826-43)*MAX('Inputs'!$B$33,'Inputs'!$B$29+'Inputs'!$B$31+'Inputs'!$B$32,'Inputs'!$B$30+'Inputs'!$B$31+'Inputs'!$B$32)/1000+'Inputs'!$B$21+'Inputs'!$B$9+'Inputs'!$B$10))/SQRT((((826-43)*MAX('Inputs'!$B$33,'Inputs'!$B$29+'Inputs'!$B$31+'Inputs'!$B$32,'Inputs'!$B$30+'Inputs'!$B$31+'Inputs'!$B$32)/1000+'Inputs'!$B$21+'Inputs'!$B$9+'Inputs'!$B$10))^2+('Inputs'!$B$6/2)^2))))*'Results'!$B$8)-'Inputs'!$B$28*ABS((('Results'!C7*(1-'Inputs'!$B$24)*(0.5*((((826-43)*MAX('Inputs'!$B$33,'Inputs'!$B$29+'Inputs'!$B$31+'Inputs'!$B$32,'Inputs'!$B$30+'Inputs'!$B$31+'Inputs'!$B$32)/1000+'Inputs'!$B$21)+'Inputs'!$B$9)/SQRT((((826-43)*MAX('Inputs'!$B$33,'Inputs'!$B$29+'Inputs'!$B$31+'Inputs'!$B$32,'Inputs'!$B$30+'Inputs'!$B$31+'Inputs'!$B$32)/1000+'Inputs'!$B$21)+'Inputs'!$B$9)^2+('Inputs'!$B$8/2)^2)-(((826-43)*MAX('Inputs'!$B$33,'Inputs'!$B$29+'Inputs'!$B$31+'Inputs'!$B$32,'Inputs'!$B$30+'Inputs'!$B$31+'Inputs'!$B$32)/1000+'Inputs'!$B$21))/SQRT((((826-43)*MAX('Inputs'!$B$33,'Inputs'!$B$29+'Inputs'!$B$31+'Inputs'!$B$32,'Inputs'!$B$30+'Inputs'!$B$31+'Inputs'!$B$32)/1000+'Inputs'!$B$21))^2+('Inputs'!$B$8/2)^2)))-'Results'!B7*(1+'Inputs'!$B$24)*(0.5*((((826-43)*MAX('Inputs'!$B$33,'Inputs'!$B$29+'Inputs'!$B$31+'Inputs'!$B$32,'Inputs'!$B$30+'Inputs'!$B$31+'Inputs'!$B$32)/1000+'Inputs'!$B$21+'Inputs'!$B$9+'Inputs'!$B$10)+'Inputs'!$B$7)/SQRT((((826-43)*MAX('Inputs'!$B$33,'Inputs'!$B$29+'Inputs'!$B$31+'Inputs'!$B$32,'Inputs'!$B$30+'Inputs'!$B$31+'Inputs'!$B$32)/1000+'Inputs'!$B$21+'Inputs'!$B$9+'Inputs'!$B$10)+'Inputs'!$B$7)^2+('Inputs'!$B$6/2)^2)-(((826-43)*MAX('Inputs'!$B$33,'Inputs'!$B$29+'Inputs'!$B$31+'Inputs'!$B$32,'Inputs'!$B$30+'Inputs'!$B$31+'Inputs'!$B$32)/1000+'Inputs'!$B$21+'Inputs'!$B$9+'Inputs'!$B$10))/SQRT((((826-43)*MAX('Inputs'!$B$33,'Inputs'!$B$29+'Inputs'!$B$31+'Inputs'!$B$32,'Inputs'!$B$30+'Inputs'!$B$31+'Inputs'!$B$32)/1000+'Inputs'!$B$21+'Inputs'!$B$9+'Inputs'!$B$10))^2+('Inputs'!$B$6/2)^2))))*'Results'!$B$8))),"")</x:f>
        <x:v>0.662694002088145</x:v>
      </x:c>
      <x:c r="O826" t="n">
        <x:f>IF(AND(ISNUMBER('Results'!C7),ISNUMBER('Results'!B7),ISNUMBER('Results'!$B$8),ISNUMBER('Inputs'!$B$6),ISNUMBER('Inputs'!$B$7),ISNUMBER('Inputs'!$B$8),ISNUMBER('Inputs'!$B$9),ISNUMBER('Inputs'!$B$10),ISNUMBER('Inputs'!$B$21),ISNUMBER('Inputs'!$B$24),ISNUMBER('Inputs'!$B$28)),((('Results'!C7*(1+'Inputs'!$B$24)*(0.5*((((826-43)*MAX('Inputs'!$B$33,'Inputs'!$B$29+'Inputs'!$B$31+'Inputs'!$B$32,'Inputs'!$B$30+'Inputs'!$B$31+'Inputs'!$B$32)/1000+'Inputs'!$B$21)+'Inputs'!$B$9)/SQRT((((826-43)*MAX('Inputs'!$B$33,'Inputs'!$B$29+'Inputs'!$B$31+'Inputs'!$B$32,'Inputs'!$B$30+'Inputs'!$B$31+'Inputs'!$B$32)/1000+'Inputs'!$B$21)+'Inputs'!$B$9)^2+('Inputs'!$B$8/2)^2)-(((826-43)*MAX('Inputs'!$B$33,'Inputs'!$B$29+'Inputs'!$B$31+'Inputs'!$B$32,'Inputs'!$B$30+'Inputs'!$B$31+'Inputs'!$B$32)/1000+'Inputs'!$B$21))/SQRT((((826-43)*MAX('Inputs'!$B$33,'Inputs'!$B$29+'Inputs'!$B$31+'Inputs'!$B$32,'Inputs'!$B$30+'Inputs'!$B$31+'Inputs'!$B$32)/1000+'Inputs'!$B$21))^2+('Inputs'!$B$8/2)^2)))-'Results'!B7*(1-'Inputs'!$B$24)*(0.5*((((826-43)*MAX('Inputs'!$B$33,'Inputs'!$B$29+'Inputs'!$B$31+'Inputs'!$B$32,'Inputs'!$B$30+'Inputs'!$B$31+'Inputs'!$B$32)/1000+'Inputs'!$B$21+'Inputs'!$B$9+'Inputs'!$B$10)+'Inputs'!$B$7)/SQRT((((826-43)*MAX('Inputs'!$B$33,'Inputs'!$B$29+'Inputs'!$B$31+'Inputs'!$B$32,'Inputs'!$B$30+'Inputs'!$B$31+'Inputs'!$B$32)/1000+'Inputs'!$B$21+'Inputs'!$B$9+'Inputs'!$B$10)+'Inputs'!$B$7)^2+('Inputs'!$B$6/2)^2)-(((826-43)*MAX('Inputs'!$B$33,'Inputs'!$B$29+'Inputs'!$B$31+'Inputs'!$B$32,'Inputs'!$B$30+'Inputs'!$B$31+'Inputs'!$B$32)/1000+'Inputs'!$B$21+'Inputs'!$B$9+'Inputs'!$B$10))/SQRT((((826-43)*MAX('Inputs'!$B$33,'Inputs'!$B$29+'Inputs'!$B$31+'Inputs'!$B$32,'Inputs'!$B$30+'Inputs'!$B$31+'Inputs'!$B$32)/1000+'Inputs'!$B$21+'Inputs'!$B$9+'Inputs'!$B$10))^2+('Inputs'!$B$6/2)^2))))*'Results'!$B$8)+'Inputs'!$B$28*ABS((('Results'!C7*(1+'Inputs'!$B$24)*(0.5*((((826-43)*MAX('Inputs'!$B$33,'Inputs'!$B$29+'Inputs'!$B$31+'Inputs'!$B$32,'Inputs'!$B$30+'Inputs'!$B$31+'Inputs'!$B$32)/1000+'Inputs'!$B$21)+'Inputs'!$B$9)/SQRT((((826-43)*MAX('Inputs'!$B$33,'Inputs'!$B$29+'Inputs'!$B$31+'Inputs'!$B$32,'Inputs'!$B$30+'Inputs'!$B$31+'Inputs'!$B$32)/1000+'Inputs'!$B$21)+'Inputs'!$B$9)^2+('Inputs'!$B$8/2)^2)-(((826-43)*MAX('Inputs'!$B$33,'Inputs'!$B$29+'Inputs'!$B$31+'Inputs'!$B$32,'Inputs'!$B$30+'Inputs'!$B$31+'Inputs'!$B$32)/1000+'Inputs'!$B$21))/SQRT((((826-43)*MAX('Inputs'!$B$33,'Inputs'!$B$29+'Inputs'!$B$31+'Inputs'!$B$32,'Inputs'!$B$30+'Inputs'!$B$31+'Inputs'!$B$32)/1000+'Inputs'!$B$21))^2+('Inputs'!$B$8/2)^2)))-'Results'!B7*(1-'Inputs'!$B$24)*(0.5*((((826-43)*MAX('Inputs'!$B$33,'Inputs'!$B$29+'Inputs'!$B$31+'Inputs'!$B$32,'Inputs'!$B$30+'Inputs'!$B$31+'Inputs'!$B$32)/1000+'Inputs'!$B$21+'Inputs'!$B$9+'Inputs'!$B$10)+'Inputs'!$B$7)/SQRT((((826-43)*MAX('Inputs'!$B$33,'Inputs'!$B$29+'Inputs'!$B$31+'Inputs'!$B$32,'Inputs'!$B$30+'Inputs'!$B$31+'Inputs'!$B$32)/1000+'Inputs'!$B$21+'Inputs'!$B$9+'Inputs'!$B$10)+'Inputs'!$B$7)^2+('Inputs'!$B$6/2)^2)-(((826-43)*MAX('Inputs'!$B$33,'Inputs'!$B$29+'Inputs'!$B$31+'Inputs'!$B$32,'Inputs'!$B$30+'Inputs'!$B$31+'Inputs'!$B$32)/1000+'Inputs'!$B$21+'Inputs'!$B$9+'Inputs'!$B$10))/SQRT((((826-43)*MAX('Inputs'!$B$33,'Inputs'!$B$29+'Inputs'!$B$31+'Inputs'!$B$32,'Inputs'!$B$30+'Inputs'!$B$31+'Inputs'!$B$32)/1000+'Inputs'!$B$21+'Inputs'!$B$9+'Inputs'!$B$10))^2+('Inputs'!$B$6/2)^2))))*'Results'!$B$8))),"")</x:f>
        <x:v>0.908503101304573</x:v>
      </x:c>
      <x:c r="P826" t="n">
        <x:f>IF(AND(MAX(J826,J825)&gt;0,J826&gt;J825+0.00000001),1,0)</x:f>
        <x:v>0</x:v>
      </x:c>
      <x:c r="Q826" t="n">
        <x:f>IF(AND(MAX(K826,K825)&gt;0,K826&gt;K825+0.00000001),1,0)</x:f>
        <x:v>0</x:v>
      </x:c>
      <x:c r="R826" t="n">
        <x:f>IF(AND(MAX(L826,L825)&gt;0,L826&gt;L825+0.00000001),1,0)</x:f>
        <x:v>0</x:v>
      </x:c>
      <x:c r="S826" t="n">
        <x:f>IF(AND(MAX(M826,M825)&gt;0,M826&gt;M825+0.00000001),1,0)</x:f>
        <x:v>0</x:v>
      </x:c>
      <x:c r="T826" t="n">
        <x:f>IF(AND(MAX(N826,N825)&gt;0,N826&gt;N825+0.00000001),1,0)</x:f>
        <x:v>0</x:v>
      </x:c>
      <x:c r="U826" t="n">
        <x:f>IF(AND(MAX(O826,O825)&gt;0,O826&gt;O825+0.00000001),1,0)</x:f>
        <x:v>0</x:v>
      </x:c>
    </x:row>
    <x:row r="827">
      <x:c r="J827" t="n">
        <x:f>IF(AND(ISNUMBER('Results'!B7),ISNUMBER('Results'!C7),ISNUMBER('Results'!$B$8),ISNUMBER('Inputs'!$B$6),ISNUMBER('Inputs'!$B$7),ISNUMBER('Inputs'!$B$8),ISNUMBER('Inputs'!$B$9),ISNUMBER('Inputs'!$B$10),ISNUMBER('Inputs'!$B$21),ISNUMBER('Inputs'!$B$24),ISNUMBER('Inputs'!$B$28)),(('Results'!B7*(0.5*((((827-43)*MAX('Inputs'!$B$33,'Inputs'!$B$29+'Inputs'!$B$31+'Inputs'!$B$32,'Inputs'!$B$30+'Inputs'!$B$31+'Inputs'!$B$32)/1000+'Inputs'!$B$21)+'Inputs'!$B$7)/SQRT((((827-43)*MAX('Inputs'!$B$33,'Inputs'!$B$29+'Inputs'!$B$31+'Inputs'!$B$32,'Inputs'!$B$30+'Inputs'!$B$31+'Inputs'!$B$32)/1000+'Inputs'!$B$21)+'Inputs'!$B$7)^2+('Inputs'!$B$6/2)^2)-(((827-43)*MAX('Inputs'!$B$33,'Inputs'!$B$29+'Inputs'!$B$31+'Inputs'!$B$32,'Inputs'!$B$30+'Inputs'!$B$31+'Inputs'!$B$32)/1000+'Inputs'!$B$21))/SQRT((((827-43)*MAX('Inputs'!$B$33,'Inputs'!$B$29+'Inputs'!$B$31+'Inputs'!$B$32,'Inputs'!$B$30+'Inputs'!$B$31+'Inputs'!$B$32)/1000+'Inputs'!$B$21))^2+('Inputs'!$B$6/2)^2)))-'Results'!C7*(0.5*((((827-43)*MAX('Inputs'!$B$33,'Inputs'!$B$29+'Inputs'!$B$31+'Inputs'!$B$32,'Inputs'!$B$30+'Inputs'!$B$31+'Inputs'!$B$32)/1000+'Inputs'!$B$21+'Inputs'!$B$7+'Inputs'!$B$10)+'Inputs'!$B$9)/SQRT((((827-43)*MAX('Inputs'!$B$33,'Inputs'!$B$29+'Inputs'!$B$31+'Inputs'!$B$32,'Inputs'!$B$30+'Inputs'!$B$31+'Inputs'!$B$32)/1000+'Inputs'!$B$21+'Inputs'!$B$7+'Inputs'!$B$10)+'Inputs'!$B$9)^2+('Inputs'!$B$8/2)^2)-(((827-43)*MAX('Inputs'!$B$33,'Inputs'!$B$29+'Inputs'!$B$31+'Inputs'!$B$32,'Inputs'!$B$30+'Inputs'!$B$31+'Inputs'!$B$32)/1000+'Inputs'!$B$21+'Inputs'!$B$7+'Inputs'!$B$10))/SQRT((((827-43)*MAX('Inputs'!$B$33,'Inputs'!$B$29+'Inputs'!$B$31+'Inputs'!$B$32,'Inputs'!$B$30+'Inputs'!$B$31+'Inputs'!$B$32)/1000+'Inputs'!$B$21+'Inputs'!$B$7+'Inputs'!$B$10))^2+('Inputs'!$B$8/2)^2))))*'Results'!$B$8),"")</x:f>
        <x:v>0.8622970027687739</x:v>
      </x:c>
      <x:c r="K827" t="n">
        <x:f>IF(AND(ISNUMBER('Results'!B7),ISNUMBER('Results'!C7),ISNUMBER('Results'!$B$8),ISNUMBER('Inputs'!$B$6),ISNUMBER('Inputs'!$B$7),ISNUMBER('Inputs'!$B$8),ISNUMBER('Inputs'!$B$9),ISNUMBER('Inputs'!$B$10),ISNUMBER('Inputs'!$B$21),ISNUMBER('Inputs'!$B$24),ISNUMBER('Inputs'!$B$28)),((('Results'!B7*(1-'Inputs'!$B$24)*(0.5*((((827-43)*MAX('Inputs'!$B$33,'Inputs'!$B$29+'Inputs'!$B$31+'Inputs'!$B$32,'Inputs'!$B$30+'Inputs'!$B$31+'Inputs'!$B$32)/1000+'Inputs'!$B$21)+'Inputs'!$B$7)/SQRT((((827-43)*MAX('Inputs'!$B$33,'Inputs'!$B$29+'Inputs'!$B$31+'Inputs'!$B$32,'Inputs'!$B$30+'Inputs'!$B$31+'Inputs'!$B$32)/1000+'Inputs'!$B$21)+'Inputs'!$B$7)^2+('Inputs'!$B$6/2)^2)-(((827-43)*MAX('Inputs'!$B$33,'Inputs'!$B$29+'Inputs'!$B$31+'Inputs'!$B$32,'Inputs'!$B$30+'Inputs'!$B$31+'Inputs'!$B$32)/1000+'Inputs'!$B$21))/SQRT((((827-43)*MAX('Inputs'!$B$33,'Inputs'!$B$29+'Inputs'!$B$31+'Inputs'!$B$32,'Inputs'!$B$30+'Inputs'!$B$31+'Inputs'!$B$32)/1000+'Inputs'!$B$21))^2+('Inputs'!$B$6/2)^2)))-'Results'!C7*(1+'Inputs'!$B$24)*(0.5*((((827-43)*MAX('Inputs'!$B$33,'Inputs'!$B$29+'Inputs'!$B$31+'Inputs'!$B$32,'Inputs'!$B$30+'Inputs'!$B$31+'Inputs'!$B$32)/1000+'Inputs'!$B$21+'Inputs'!$B$7+'Inputs'!$B$10)+'Inputs'!$B$9)/SQRT((((827-43)*MAX('Inputs'!$B$33,'Inputs'!$B$29+'Inputs'!$B$31+'Inputs'!$B$32,'Inputs'!$B$30+'Inputs'!$B$31+'Inputs'!$B$32)/1000+'Inputs'!$B$21+'Inputs'!$B$7+'Inputs'!$B$10)+'Inputs'!$B$9)^2+('Inputs'!$B$8/2)^2)-(((827-43)*MAX('Inputs'!$B$33,'Inputs'!$B$29+'Inputs'!$B$31+'Inputs'!$B$32,'Inputs'!$B$30+'Inputs'!$B$31+'Inputs'!$B$32)/1000+'Inputs'!$B$21+'Inputs'!$B$7+'Inputs'!$B$10))/SQRT((((827-43)*MAX('Inputs'!$B$33,'Inputs'!$B$29+'Inputs'!$B$31+'Inputs'!$B$32,'Inputs'!$B$30+'Inputs'!$B$31+'Inputs'!$B$32)/1000+'Inputs'!$B$21+'Inputs'!$B$7+'Inputs'!$B$10))^2+('Inputs'!$B$8/2)^2))))*'Results'!$B$8)-'Inputs'!$B$28*ABS((('Results'!B7*(1-'Inputs'!$B$24)*(0.5*((((827-43)*MAX('Inputs'!$B$33,'Inputs'!$B$29+'Inputs'!$B$31+'Inputs'!$B$32,'Inputs'!$B$30+'Inputs'!$B$31+'Inputs'!$B$32)/1000+'Inputs'!$B$21)+'Inputs'!$B$7)/SQRT((((827-43)*MAX('Inputs'!$B$33,'Inputs'!$B$29+'Inputs'!$B$31+'Inputs'!$B$32,'Inputs'!$B$30+'Inputs'!$B$31+'Inputs'!$B$32)/1000+'Inputs'!$B$21)+'Inputs'!$B$7)^2+('Inputs'!$B$6/2)^2)-(((827-43)*MAX('Inputs'!$B$33,'Inputs'!$B$29+'Inputs'!$B$31+'Inputs'!$B$32,'Inputs'!$B$30+'Inputs'!$B$31+'Inputs'!$B$32)/1000+'Inputs'!$B$21))/SQRT((((827-43)*MAX('Inputs'!$B$33,'Inputs'!$B$29+'Inputs'!$B$31+'Inputs'!$B$32,'Inputs'!$B$30+'Inputs'!$B$31+'Inputs'!$B$32)/1000+'Inputs'!$B$21))^2+('Inputs'!$B$6/2)^2)))-'Results'!C7*(1+'Inputs'!$B$24)*(0.5*((((827-43)*MAX('Inputs'!$B$33,'Inputs'!$B$29+'Inputs'!$B$31+'Inputs'!$B$32,'Inputs'!$B$30+'Inputs'!$B$31+'Inputs'!$B$32)/1000+'Inputs'!$B$21+'Inputs'!$B$7+'Inputs'!$B$10)+'Inputs'!$B$9)/SQRT((((827-43)*MAX('Inputs'!$B$33,'Inputs'!$B$29+'Inputs'!$B$31+'Inputs'!$B$32,'Inputs'!$B$30+'Inputs'!$B$31+'Inputs'!$B$32)/1000+'Inputs'!$B$21+'Inputs'!$B$7+'Inputs'!$B$10)+'Inputs'!$B$9)^2+('Inputs'!$B$8/2)^2)-(((827-43)*MAX('Inputs'!$B$33,'Inputs'!$B$29+'Inputs'!$B$31+'Inputs'!$B$32,'Inputs'!$B$30+'Inputs'!$B$31+'Inputs'!$B$32)/1000+'Inputs'!$B$21+'Inputs'!$B$7+'Inputs'!$B$10))/SQRT((((827-43)*MAX('Inputs'!$B$33,'Inputs'!$B$29+'Inputs'!$B$31+'Inputs'!$B$32,'Inputs'!$B$30+'Inputs'!$B$31+'Inputs'!$B$32)/1000+'Inputs'!$B$21+'Inputs'!$B$7+'Inputs'!$B$10))^2+('Inputs'!$B$8/2)^2))))*'Results'!$B$8))),"")</x:f>
        <x:v>0.7395044177558578</x:v>
      </x:c>
      <x:c r="L827" t="n">
        <x:f>IF(AND(ISNUMBER('Results'!B7),ISNUMBER('Results'!C7),ISNUMBER('Results'!$B$8),ISNUMBER('Inputs'!$B$6),ISNUMBER('Inputs'!$B$7),ISNUMBER('Inputs'!$B$8),ISNUMBER('Inputs'!$B$9),ISNUMBER('Inputs'!$B$10),ISNUMBER('Inputs'!$B$21),ISNUMBER('Inputs'!$B$24),ISNUMBER('Inputs'!$B$28)),((('Results'!B7*(1+'Inputs'!$B$24)*(0.5*((((827-43)*MAX('Inputs'!$B$33,'Inputs'!$B$29+'Inputs'!$B$31+'Inputs'!$B$32,'Inputs'!$B$30+'Inputs'!$B$31+'Inputs'!$B$32)/1000+'Inputs'!$B$21)+'Inputs'!$B$7)/SQRT((((827-43)*MAX('Inputs'!$B$33,'Inputs'!$B$29+'Inputs'!$B$31+'Inputs'!$B$32,'Inputs'!$B$30+'Inputs'!$B$31+'Inputs'!$B$32)/1000+'Inputs'!$B$21)+'Inputs'!$B$7)^2+('Inputs'!$B$6/2)^2)-(((827-43)*MAX('Inputs'!$B$33,'Inputs'!$B$29+'Inputs'!$B$31+'Inputs'!$B$32,'Inputs'!$B$30+'Inputs'!$B$31+'Inputs'!$B$32)/1000+'Inputs'!$B$21))/SQRT((((827-43)*MAX('Inputs'!$B$33,'Inputs'!$B$29+'Inputs'!$B$31+'Inputs'!$B$32,'Inputs'!$B$30+'Inputs'!$B$31+'Inputs'!$B$32)/1000+'Inputs'!$B$21))^2+('Inputs'!$B$6/2)^2)))-'Results'!C7*(1-'Inputs'!$B$24)*(0.5*((((827-43)*MAX('Inputs'!$B$33,'Inputs'!$B$29+'Inputs'!$B$31+'Inputs'!$B$32,'Inputs'!$B$30+'Inputs'!$B$31+'Inputs'!$B$32)/1000+'Inputs'!$B$21+'Inputs'!$B$7+'Inputs'!$B$10)+'Inputs'!$B$9)/SQRT((((827-43)*MAX('Inputs'!$B$33,'Inputs'!$B$29+'Inputs'!$B$31+'Inputs'!$B$32,'Inputs'!$B$30+'Inputs'!$B$31+'Inputs'!$B$32)/1000+'Inputs'!$B$21+'Inputs'!$B$7+'Inputs'!$B$10)+'Inputs'!$B$9)^2+('Inputs'!$B$8/2)^2)-(((827-43)*MAX('Inputs'!$B$33,'Inputs'!$B$29+'Inputs'!$B$31+'Inputs'!$B$32,'Inputs'!$B$30+'Inputs'!$B$31+'Inputs'!$B$32)/1000+'Inputs'!$B$21+'Inputs'!$B$7+'Inputs'!$B$10))/SQRT((((827-43)*MAX('Inputs'!$B$33,'Inputs'!$B$29+'Inputs'!$B$31+'Inputs'!$B$32,'Inputs'!$B$30+'Inputs'!$B$31+'Inputs'!$B$32)/1000+'Inputs'!$B$21+'Inputs'!$B$7+'Inputs'!$B$10))^2+('Inputs'!$B$8/2)^2))))*'Results'!$B$8)+'Inputs'!$B$28*ABS((('Results'!B7*(1+'Inputs'!$B$24)*(0.5*((((827-43)*MAX('Inputs'!$B$33,'Inputs'!$B$29+'Inputs'!$B$31+'Inputs'!$B$32,'Inputs'!$B$30+'Inputs'!$B$31+'Inputs'!$B$32)/1000+'Inputs'!$B$21)+'Inputs'!$B$7)/SQRT((((827-43)*MAX('Inputs'!$B$33,'Inputs'!$B$29+'Inputs'!$B$31+'Inputs'!$B$32,'Inputs'!$B$30+'Inputs'!$B$31+'Inputs'!$B$32)/1000+'Inputs'!$B$21)+'Inputs'!$B$7)^2+('Inputs'!$B$6/2)^2)-(((827-43)*MAX('Inputs'!$B$33,'Inputs'!$B$29+'Inputs'!$B$31+'Inputs'!$B$32,'Inputs'!$B$30+'Inputs'!$B$31+'Inputs'!$B$32)/1000+'Inputs'!$B$21))/SQRT((((827-43)*MAX('Inputs'!$B$33,'Inputs'!$B$29+'Inputs'!$B$31+'Inputs'!$B$32,'Inputs'!$B$30+'Inputs'!$B$31+'Inputs'!$B$32)/1000+'Inputs'!$B$21))^2+('Inputs'!$B$6/2)^2)))-'Results'!C7*(1-'Inputs'!$B$24)*(0.5*((((827-43)*MAX('Inputs'!$B$33,'Inputs'!$B$29+'Inputs'!$B$31+'Inputs'!$B$32,'Inputs'!$B$30+'Inputs'!$B$31+'Inputs'!$B$32)/1000+'Inputs'!$B$21+'Inputs'!$B$7+'Inputs'!$B$10)+'Inputs'!$B$9)/SQRT((((827-43)*MAX('Inputs'!$B$33,'Inputs'!$B$29+'Inputs'!$B$31+'Inputs'!$B$32,'Inputs'!$B$30+'Inputs'!$B$31+'Inputs'!$B$32)/1000+'Inputs'!$B$21+'Inputs'!$B$7+'Inputs'!$B$10)+'Inputs'!$B$9)^2+('Inputs'!$B$8/2)^2)-(((827-43)*MAX('Inputs'!$B$33,'Inputs'!$B$29+'Inputs'!$B$31+'Inputs'!$B$32,'Inputs'!$B$30+'Inputs'!$B$31+'Inputs'!$B$32)/1000+'Inputs'!$B$21+'Inputs'!$B$7+'Inputs'!$B$10))/SQRT((((827-43)*MAX('Inputs'!$B$33,'Inputs'!$B$29+'Inputs'!$B$31+'Inputs'!$B$32,'Inputs'!$B$30+'Inputs'!$B$31+'Inputs'!$B$32)/1000+'Inputs'!$B$21+'Inputs'!$B$7+'Inputs'!$B$10))^2+('Inputs'!$B$8/2)^2))))*'Results'!$B$8))),"")</x:f>
        <x:v>0.993476717768477</x:v>
      </x:c>
      <x:c r="M827" t="n">
        <x:f>IF(AND(ISNUMBER('Results'!C7),ISNUMBER('Results'!B7),ISNUMBER('Results'!$B$8),ISNUMBER('Inputs'!$B$6),ISNUMBER('Inputs'!$B$7),ISNUMBER('Inputs'!$B$8),ISNUMBER('Inputs'!$B$9),ISNUMBER('Inputs'!$B$10),ISNUMBER('Inputs'!$B$21),ISNUMBER('Inputs'!$B$24),ISNUMBER('Inputs'!$B$28)),(('Results'!C7*(0.5*((((827-43)*MAX('Inputs'!$B$33,'Inputs'!$B$29+'Inputs'!$B$31+'Inputs'!$B$32,'Inputs'!$B$30+'Inputs'!$B$31+'Inputs'!$B$32)/1000+'Inputs'!$B$21)+'Inputs'!$B$9)/SQRT((((827-43)*MAX('Inputs'!$B$33,'Inputs'!$B$29+'Inputs'!$B$31+'Inputs'!$B$32,'Inputs'!$B$30+'Inputs'!$B$31+'Inputs'!$B$32)/1000+'Inputs'!$B$21)+'Inputs'!$B$9)^2+('Inputs'!$B$8/2)^2)-(((827-43)*MAX('Inputs'!$B$33,'Inputs'!$B$29+'Inputs'!$B$31+'Inputs'!$B$32,'Inputs'!$B$30+'Inputs'!$B$31+'Inputs'!$B$32)/1000+'Inputs'!$B$21))/SQRT((((827-43)*MAX('Inputs'!$B$33,'Inputs'!$B$29+'Inputs'!$B$31+'Inputs'!$B$32,'Inputs'!$B$30+'Inputs'!$B$31+'Inputs'!$B$32)/1000+'Inputs'!$B$21))^2+('Inputs'!$B$8/2)^2)))-'Results'!B7*(0.5*((((827-43)*MAX('Inputs'!$B$33,'Inputs'!$B$29+'Inputs'!$B$31+'Inputs'!$B$32,'Inputs'!$B$30+'Inputs'!$B$31+'Inputs'!$B$32)/1000+'Inputs'!$B$21+'Inputs'!$B$9+'Inputs'!$B$10)+'Inputs'!$B$7)/SQRT((((827-43)*MAX('Inputs'!$B$33,'Inputs'!$B$29+'Inputs'!$B$31+'Inputs'!$B$32,'Inputs'!$B$30+'Inputs'!$B$31+'Inputs'!$B$32)/1000+'Inputs'!$B$21+'Inputs'!$B$9+'Inputs'!$B$10)+'Inputs'!$B$7)^2+('Inputs'!$B$6/2)^2)-(((827-43)*MAX('Inputs'!$B$33,'Inputs'!$B$29+'Inputs'!$B$31+'Inputs'!$B$32,'Inputs'!$B$30+'Inputs'!$B$31+'Inputs'!$B$32)/1000+'Inputs'!$B$21+'Inputs'!$B$9+'Inputs'!$B$10))/SQRT((((827-43)*MAX('Inputs'!$B$33,'Inputs'!$B$29+'Inputs'!$B$31+'Inputs'!$B$32,'Inputs'!$B$30+'Inputs'!$B$31+'Inputs'!$B$32)/1000+'Inputs'!$B$21+'Inputs'!$B$9+'Inputs'!$B$10))^2+('Inputs'!$B$6/2)^2))))*'Results'!$B$8),"")</x:f>
        <x:v>0.7777458522905717</x:v>
      </x:c>
      <x:c r="N827" t="n">
        <x:f>IF(AND(ISNUMBER('Results'!C7),ISNUMBER('Results'!B7),ISNUMBER('Results'!$B$8),ISNUMBER('Inputs'!$B$6),ISNUMBER('Inputs'!$B$7),ISNUMBER('Inputs'!$B$8),ISNUMBER('Inputs'!$B$9),ISNUMBER('Inputs'!$B$10),ISNUMBER('Inputs'!$B$21),ISNUMBER('Inputs'!$B$24),ISNUMBER('Inputs'!$B$28)),((('Results'!C7*(1-'Inputs'!$B$24)*(0.5*((((827-43)*MAX('Inputs'!$B$33,'Inputs'!$B$29+'Inputs'!$B$31+'Inputs'!$B$32,'Inputs'!$B$30+'Inputs'!$B$31+'Inputs'!$B$32)/1000+'Inputs'!$B$21)+'Inputs'!$B$9)/SQRT((((827-43)*MAX('Inputs'!$B$33,'Inputs'!$B$29+'Inputs'!$B$31+'Inputs'!$B$32,'Inputs'!$B$30+'Inputs'!$B$31+'Inputs'!$B$32)/1000+'Inputs'!$B$21)+'Inputs'!$B$9)^2+('Inputs'!$B$8/2)^2)-(((827-43)*MAX('Inputs'!$B$33,'Inputs'!$B$29+'Inputs'!$B$31+'Inputs'!$B$32,'Inputs'!$B$30+'Inputs'!$B$31+'Inputs'!$B$32)/1000+'Inputs'!$B$21))/SQRT((((827-43)*MAX('Inputs'!$B$33,'Inputs'!$B$29+'Inputs'!$B$31+'Inputs'!$B$32,'Inputs'!$B$30+'Inputs'!$B$31+'Inputs'!$B$32)/1000+'Inputs'!$B$21))^2+('Inputs'!$B$8/2)^2)))-'Results'!B7*(1+'Inputs'!$B$24)*(0.5*((((827-43)*MAX('Inputs'!$B$33,'Inputs'!$B$29+'Inputs'!$B$31+'Inputs'!$B$32,'Inputs'!$B$30+'Inputs'!$B$31+'Inputs'!$B$32)/1000+'Inputs'!$B$21+'Inputs'!$B$9+'Inputs'!$B$10)+'Inputs'!$B$7)/SQRT((((827-43)*MAX('Inputs'!$B$33,'Inputs'!$B$29+'Inputs'!$B$31+'Inputs'!$B$32,'Inputs'!$B$30+'Inputs'!$B$31+'Inputs'!$B$32)/1000+'Inputs'!$B$21+'Inputs'!$B$9+'Inputs'!$B$10)+'Inputs'!$B$7)^2+('Inputs'!$B$6/2)^2)-(((827-43)*MAX('Inputs'!$B$33,'Inputs'!$B$29+'Inputs'!$B$31+'Inputs'!$B$32,'Inputs'!$B$30+'Inputs'!$B$31+'Inputs'!$B$32)/1000+'Inputs'!$B$21+'Inputs'!$B$9+'Inputs'!$B$10))/SQRT((((827-43)*MAX('Inputs'!$B$33,'Inputs'!$B$29+'Inputs'!$B$31+'Inputs'!$B$32,'Inputs'!$B$30+'Inputs'!$B$31+'Inputs'!$B$32)/1000+'Inputs'!$B$21+'Inputs'!$B$9+'Inputs'!$B$10))^2+('Inputs'!$B$6/2)^2))))*'Results'!$B$8)-'Inputs'!$B$28*ABS((('Results'!C7*(1-'Inputs'!$B$24)*(0.5*((((827-43)*MAX('Inputs'!$B$33,'Inputs'!$B$29+'Inputs'!$B$31+'Inputs'!$B$32,'Inputs'!$B$30+'Inputs'!$B$31+'Inputs'!$B$32)/1000+'Inputs'!$B$21)+'Inputs'!$B$9)/SQRT((((827-43)*MAX('Inputs'!$B$33,'Inputs'!$B$29+'Inputs'!$B$31+'Inputs'!$B$32,'Inputs'!$B$30+'Inputs'!$B$31+'Inputs'!$B$32)/1000+'Inputs'!$B$21)+'Inputs'!$B$9)^2+('Inputs'!$B$8/2)^2)-(((827-43)*MAX('Inputs'!$B$33,'Inputs'!$B$29+'Inputs'!$B$31+'Inputs'!$B$32,'Inputs'!$B$30+'Inputs'!$B$31+'Inputs'!$B$32)/1000+'Inputs'!$B$21))/SQRT((((827-43)*MAX('Inputs'!$B$33,'Inputs'!$B$29+'Inputs'!$B$31+'Inputs'!$B$32,'Inputs'!$B$30+'Inputs'!$B$31+'Inputs'!$B$32)/1000+'Inputs'!$B$21))^2+('Inputs'!$B$8/2)^2)))-'Results'!B7*(1+'Inputs'!$B$24)*(0.5*((((827-43)*MAX('Inputs'!$B$33,'Inputs'!$B$29+'Inputs'!$B$31+'Inputs'!$B$32,'Inputs'!$B$30+'Inputs'!$B$31+'Inputs'!$B$32)/1000+'Inputs'!$B$21+'Inputs'!$B$9+'Inputs'!$B$10)+'Inputs'!$B$7)/SQRT((((827-43)*MAX('Inputs'!$B$33,'Inputs'!$B$29+'Inputs'!$B$31+'Inputs'!$B$32,'Inputs'!$B$30+'Inputs'!$B$31+'Inputs'!$B$32)/1000+'Inputs'!$B$21+'Inputs'!$B$9+'Inputs'!$B$10)+'Inputs'!$B$7)^2+('Inputs'!$B$6/2)^2)-(((827-43)*MAX('Inputs'!$B$33,'Inputs'!$B$29+'Inputs'!$B$31+'Inputs'!$B$32,'Inputs'!$B$30+'Inputs'!$B$31+'Inputs'!$B$32)/1000+'Inputs'!$B$21+'Inputs'!$B$9+'Inputs'!$B$10))/SQRT((((827-43)*MAX('Inputs'!$B$33,'Inputs'!$B$29+'Inputs'!$B$31+'Inputs'!$B$32,'Inputs'!$B$30+'Inputs'!$B$31+'Inputs'!$B$32)/1000+'Inputs'!$B$21+'Inputs'!$B$9+'Inputs'!$B$10))^2+('Inputs'!$B$6/2)^2))))*'Results'!$B$8))),"")</x:f>
        <x:v>0.6594955805010213</x:v>
      </x:c>
      <x:c r="O827" t="n">
        <x:f>IF(AND(ISNUMBER('Results'!C7),ISNUMBER('Results'!B7),ISNUMBER('Results'!$B$8),ISNUMBER('Inputs'!$B$6),ISNUMBER('Inputs'!$B$7),ISNUMBER('Inputs'!$B$8),ISNUMBER('Inputs'!$B$9),ISNUMBER('Inputs'!$B$10),ISNUMBER('Inputs'!$B$21),ISNUMBER('Inputs'!$B$24),ISNUMBER('Inputs'!$B$28)),((('Results'!C7*(1+'Inputs'!$B$24)*(0.5*((((827-43)*MAX('Inputs'!$B$33,'Inputs'!$B$29+'Inputs'!$B$31+'Inputs'!$B$32,'Inputs'!$B$30+'Inputs'!$B$31+'Inputs'!$B$32)/1000+'Inputs'!$B$21)+'Inputs'!$B$9)/SQRT((((827-43)*MAX('Inputs'!$B$33,'Inputs'!$B$29+'Inputs'!$B$31+'Inputs'!$B$32,'Inputs'!$B$30+'Inputs'!$B$31+'Inputs'!$B$32)/1000+'Inputs'!$B$21)+'Inputs'!$B$9)^2+('Inputs'!$B$8/2)^2)-(((827-43)*MAX('Inputs'!$B$33,'Inputs'!$B$29+'Inputs'!$B$31+'Inputs'!$B$32,'Inputs'!$B$30+'Inputs'!$B$31+'Inputs'!$B$32)/1000+'Inputs'!$B$21))/SQRT((((827-43)*MAX('Inputs'!$B$33,'Inputs'!$B$29+'Inputs'!$B$31+'Inputs'!$B$32,'Inputs'!$B$30+'Inputs'!$B$31+'Inputs'!$B$32)/1000+'Inputs'!$B$21))^2+('Inputs'!$B$8/2)^2)))-'Results'!B7*(1-'Inputs'!$B$24)*(0.5*((((827-43)*MAX('Inputs'!$B$33,'Inputs'!$B$29+'Inputs'!$B$31+'Inputs'!$B$32,'Inputs'!$B$30+'Inputs'!$B$31+'Inputs'!$B$32)/1000+'Inputs'!$B$21+'Inputs'!$B$9+'Inputs'!$B$10)+'Inputs'!$B$7)/SQRT((((827-43)*MAX('Inputs'!$B$33,'Inputs'!$B$29+'Inputs'!$B$31+'Inputs'!$B$32,'Inputs'!$B$30+'Inputs'!$B$31+'Inputs'!$B$32)/1000+'Inputs'!$B$21+'Inputs'!$B$9+'Inputs'!$B$10)+'Inputs'!$B$7)^2+('Inputs'!$B$6/2)^2)-(((827-43)*MAX('Inputs'!$B$33,'Inputs'!$B$29+'Inputs'!$B$31+'Inputs'!$B$32,'Inputs'!$B$30+'Inputs'!$B$31+'Inputs'!$B$32)/1000+'Inputs'!$B$21+'Inputs'!$B$9+'Inputs'!$B$10))/SQRT((((827-43)*MAX('Inputs'!$B$33,'Inputs'!$B$29+'Inputs'!$B$31+'Inputs'!$B$32,'Inputs'!$B$30+'Inputs'!$B$31+'Inputs'!$B$32)/1000+'Inputs'!$B$21+'Inputs'!$B$9+'Inputs'!$B$10))^2+('Inputs'!$B$6/2)^2))))*'Results'!$B$8)+'Inputs'!$B$28*ABS((('Results'!C7*(1+'Inputs'!$B$24)*(0.5*((((827-43)*MAX('Inputs'!$B$33,'Inputs'!$B$29+'Inputs'!$B$31+'Inputs'!$B$32,'Inputs'!$B$30+'Inputs'!$B$31+'Inputs'!$B$32)/1000+'Inputs'!$B$21)+'Inputs'!$B$9)/SQRT((((827-43)*MAX('Inputs'!$B$33,'Inputs'!$B$29+'Inputs'!$B$31+'Inputs'!$B$32,'Inputs'!$B$30+'Inputs'!$B$31+'Inputs'!$B$32)/1000+'Inputs'!$B$21)+'Inputs'!$B$9)^2+('Inputs'!$B$8/2)^2)-(((827-43)*MAX('Inputs'!$B$33,'Inputs'!$B$29+'Inputs'!$B$31+'Inputs'!$B$32,'Inputs'!$B$30+'Inputs'!$B$31+'Inputs'!$B$32)/1000+'Inputs'!$B$21))/SQRT((((827-43)*MAX('Inputs'!$B$33,'Inputs'!$B$29+'Inputs'!$B$31+'Inputs'!$B$32,'Inputs'!$B$30+'Inputs'!$B$31+'Inputs'!$B$32)/1000+'Inputs'!$B$21))^2+('Inputs'!$B$8/2)^2)))-'Results'!B7*(1-'Inputs'!$B$24)*(0.5*((((827-43)*MAX('Inputs'!$B$33,'Inputs'!$B$29+'Inputs'!$B$31+'Inputs'!$B$32,'Inputs'!$B$30+'Inputs'!$B$31+'Inputs'!$B$32)/1000+'Inputs'!$B$21+'Inputs'!$B$9+'Inputs'!$B$10)+'Inputs'!$B$7)/SQRT((((827-43)*MAX('Inputs'!$B$33,'Inputs'!$B$29+'Inputs'!$B$31+'Inputs'!$B$32,'Inputs'!$B$30+'Inputs'!$B$31+'Inputs'!$B$32)/1000+'Inputs'!$B$21+'Inputs'!$B$9+'Inputs'!$B$10)+'Inputs'!$B$7)^2+('Inputs'!$B$6/2)^2)-(((827-43)*MAX('Inputs'!$B$33,'Inputs'!$B$29+'Inputs'!$B$31+'Inputs'!$B$32,'Inputs'!$B$30+'Inputs'!$B$31+'Inputs'!$B$32)/1000+'Inputs'!$B$21+'Inputs'!$B$9+'Inputs'!$B$10))/SQRT((((827-43)*MAX('Inputs'!$B$33,'Inputs'!$B$29+'Inputs'!$B$31+'Inputs'!$B$32,'Inputs'!$B$30+'Inputs'!$B$31+'Inputs'!$B$32)/1000+'Inputs'!$B$21+'Inputs'!$B$9+'Inputs'!$B$10))^2+('Inputs'!$B$6/2)^2))))*'Results'!$B$8))),"")</x:f>
        <x:v>0.9043501218880188</x:v>
      </x:c>
      <x:c r="P827" t="n">
        <x:f>IF(AND(MAX(J827,J826)&gt;0,J827&gt;J826+0.00000001),1,0)</x:f>
        <x:v>0</x:v>
      </x:c>
      <x:c r="Q827" t="n">
        <x:f>IF(AND(MAX(K827,K826)&gt;0,K827&gt;K826+0.00000001),1,0)</x:f>
        <x:v>0</x:v>
      </x:c>
      <x:c r="R827" t="n">
        <x:f>IF(AND(MAX(L827,L826)&gt;0,L827&gt;L826+0.00000001),1,0)</x:f>
        <x:v>0</x:v>
      </x:c>
      <x:c r="S827" t="n">
        <x:f>IF(AND(MAX(M827,M826)&gt;0,M827&gt;M826+0.00000001),1,0)</x:f>
        <x:v>0</x:v>
      </x:c>
      <x:c r="T827" t="n">
        <x:f>IF(AND(MAX(N827,N826)&gt;0,N827&gt;N826+0.00000001),1,0)</x:f>
        <x:v>0</x:v>
      </x:c>
      <x:c r="U827" t="n">
        <x:f>IF(AND(MAX(O827,O826)&gt;0,O827&gt;O826+0.00000001),1,0)</x:f>
        <x:v>0</x:v>
      </x:c>
    </x:row>
    <x:row r="828">
      <x:c r="J828" t="n">
        <x:f>IF(AND(ISNUMBER('Results'!B7),ISNUMBER('Results'!C7),ISNUMBER('Results'!$B$8),ISNUMBER('Inputs'!$B$6),ISNUMBER('Inputs'!$B$7),ISNUMBER('Inputs'!$B$8),ISNUMBER('Inputs'!$B$9),ISNUMBER('Inputs'!$B$10),ISNUMBER('Inputs'!$B$21),ISNUMBER('Inputs'!$B$24),ISNUMBER('Inputs'!$B$28)),(('Results'!B7*(0.5*((((828-43)*MAX('Inputs'!$B$33,'Inputs'!$B$29+'Inputs'!$B$31+'Inputs'!$B$32,'Inputs'!$B$30+'Inputs'!$B$31+'Inputs'!$B$32)/1000+'Inputs'!$B$21)+'Inputs'!$B$7)/SQRT((((828-43)*MAX('Inputs'!$B$33,'Inputs'!$B$29+'Inputs'!$B$31+'Inputs'!$B$32,'Inputs'!$B$30+'Inputs'!$B$31+'Inputs'!$B$32)/1000+'Inputs'!$B$21)+'Inputs'!$B$7)^2+('Inputs'!$B$6/2)^2)-(((828-43)*MAX('Inputs'!$B$33,'Inputs'!$B$29+'Inputs'!$B$31+'Inputs'!$B$32,'Inputs'!$B$30+'Inputs'!$B$31+'Inputs'!$B$32)/1000+'Inputs'!$B$21))/SQRT((((828-43)*MAX('Inputs'!$B$33,'Inputs'!$B$29+'Inputs'!$B$31+'Inputs'!$B$32,'Inputs'!$B$30+'Inputs'!$B$31+'Inputs'!$B$32)/1000+'Inputs'!$B$21))^2+('Inputs'!$B$6/2)^2)))-'Results'!C7*(0.5*((((828-43)*MAX('Inputs'!$B$33,'Inputs'!$B$29+'Inputs'!$B$31+'Inputs'!$B$32,'Inputs'!$B$30+'Inputs'!$B$31+'Inputs'!$B$32)/1000+'Inputs'!$B$21+'Inputs'!$B$7+'Inputs'!$B$10)+'Inputs'!$B$9)/SQRT((((828-43)*MAX('Inputs'!$B$33,'Inputs'!$B$29+'Inputs'!$B$31+'Inputs'!$B$32,'Inputs'!$B$30+'Inputs'!$B$31+'Inputs'!$B$32)/1000+'Inputs'!$B$21+'Inputs'!$B$7+'Inputs'!$B$10)+'Inputs'!$B$9)^2+('Inputs'!$B$8/2)^2)-(((828-43)*MAX('Inputs'!$B$33,'Inputs'!$B$29+'Inputs'!$B$31+'Inputs'!$B$32,'Inputs'!$B$30+'Inputs'!$B$31+'Inputs'!$B$32)/1000+'Inputs'!$B$21+'Inputs'!$B$7+'Inputs'!$B$10))/SQRT((((828-43)*MAX('Inputs'!$B$33,'Inputs'!$B$29+'Inputs'!$B$31+'Inputs'!$B$32,'Inputs'!$B$30+'Inputs'!$B$31+'Inputs'!$B$32)/1000+'Inputs'!$B$21+'Inputs'!$B$7+'Inputs'!$B$10))^2+('Inputs'!$B$8/2)^2))))*'Results'!$B$8),"")</x:f>
        <x:v>0.8583607191122153</x:v>
      </x:c>
      <x:c r="K828" t="n">
        <x:f>IF(AND(ISNUMBER('Results'!B7),ISNUMBER('Results'!C7),ISNUMBER('Results'!$B$8),ISNUMBER('Inputs'!$B$6),ISNUMBER('Inputs'!$B$7),ISNUMBER('Inputs'!$B$8),ISNUMBER('Inputs'!$B$9),ISNUMBER('Inputs'!$B$10),ISNUMBER('Inputs'!$B$21),ISNUMBER('Inputs'!$B$24),ISNUMBER('Inputs'!$B$28)),((('Results'!B7*(1-'Inputs'!$B$24)*(0.5*((((828-43)*MAX('Inputs'!$B$33,'Inputs'!$B$29+'Inputs'!$B$31+'Inputs'!$B$32,'Inputs'!$B$30+'Inputs'!$B$31+'Inputs'!$B$32)/1000+'Inputs'!$B$21)+'Inputs'!$B$7)/SQRT((((828-43)*MAX('Inputs'!$B$33,'Inputs'!$B$29+'Inputs'!$B$31+'Inputs'!$B$32,'Inputs'!$B$30+'Inputs'!$B$31+'Inputs'!$B$32)/1000+'Inputs'!$B$21)+'Inputs'!$B$7)^2+('Inputs'!$B$6/2)^2)-(((828-43)*MAX('Inputs'!$B$33,'Inputs'!$B$29+'Inputs'!$B$31+'Inputs'!$B$32,'Inputs'!$B$30+'Inputs'!$B$31+'Inputs'!$B$32)/1000+'Inputs'!$B$21))/SQRT((((828-43)*MAX('Inputs'!$B$33,'Inputs'!$B$29+'Inputs'!$B$31+'Inputs'!$B$32,'Inputs'!$B$30+'Inputs'!$B$31+'Inputs'!$B$32)/1000+'Inputs'!$B$21))^2+('Inputs'!$B$6/2)^2)))-'Results'!C7*(1+'Inputs'!$B$24)*(0.5*((((828-43)*MAX('Inputs'!$B$33,'Inputs'!$B$29+'Inputs'!$B$31+'Inputs'!$B$32,'Inputs'!$B$30+'Inputs'!$B$31+'Inputs'!$B$32)/1000+'Inputs'!$B$21+'Inputs'!$B$7+'Inputs'!$B$10)+'Inputs'!$B$9)/SQRT((((828-43)*MAX('Inputs'!$B$33,'Inputs'!$B$29+'Inputs'!$B$31+'Inputs'!$B$32,'Inputs'!$B$30+'Inputs'!$B$31+'Inputs'!$B$32)/1000+'Inputs'!$B$21+'Inputs'!$B$7+'Inputs'!$B$10)+'Inputs'!$B$9)^2+('Inputs'!$B$8/2)^2)-(((828-43)*MAX('Inputs'!$B$33,'Inputs'!$B$29+'Inputs'!$B$31+'Inputs'!$B$32,'Inputs'!$B$30+'Inputs'!$B$31+'Inputs'!$B$32)/1000+'Inputs'!$B$21+'Inputs'!$B$7+'Inputs'!$B$10))/SQRT((((828-43)*MAX('Inputs'!$B$33,'Inputs'!$B$29+'Inputs'!$B$31+'Inputs'!$B$32,'Inputs'!$B$30+'Inputs'!$B$31+'Inputs'!$B$32)/1000+'Inputs'!$B$21+'Inputs'!$B$7+'Inputs'!$B$10))^2+('Inputs'!$B$8/2)^2))))*'Results'!$B$8)-'Inputs'!$B$28*ABS((('Results'!B7*(1-'Inputs'!$B$24)*(0.5*((((828-43)*MAX('Inputs'!$B$33,'Inputs'!$B$29+'Inputs'!$B$31+'Inputs'!$B$32,'Inputs'!$B$30+'Inputs'!$B$31+'Inputs'!$B$32)/1000+'Inputs'!$B$21)+'Inputs'!$B$7)/SQRT((((828-43)*MAX('Inputs'!$B$33,'Inputs'!$B$29+'Inputs'!$B$31+'Inputs'!$B$32,'Inputs'!$B$30+'Inputs'!$B$31+'Inputs'!$B$32)/1000+'Inputs'!$B$21)+'Inputs'!$B$7)^2+('Inputs'!$B$6/2)^2)-(((828-43)*MAX('Inputs'!$B$33,'Inputs'!$B$29+'Inputs'!$B$31+'Inputs'!$B$32,'Inputs'!$B$30+'Inputs'!$B$31+'Inputs'!$B$32)/1000+'Inputs'!$B$21))/SQRT((((828-43)*MAX('Inputs'!$B$33,'Inputs'!$B$29+'Inputs'!$B$31+'Inputs'!$B$32,'Inputs'!$B$30+'Inputs'!$B$31+'Inputs'!$B$32)/1000+'Inputs'!$B$21))^2+('Inputs'!$B$6/2)^2)))-'Results'!C7*(1+'Inputs'!$B$24)*(0.5*((((828-43)*MAX('Inputs'!$B$33,'Inputs'!$B$29+'Inputs'!$B$31+'Inputs'!$B$32,'Inputs'!$B$30+'Inputs'!$B$31+'Inputs'!$B$32)/1000+'Inputs'!$B$21+'Inputs'!$B$7+'Inputs'!$B$10)+'Inputs'!$B$9)/SQRT((((828-43)*MAX('Inputs'!$B$33,'Inputs'!$B$29+'Inputs'!$B$31+'Inputs'!$B$32,'Inputs'!$B$30+'Inputs'!$B$31+'Inputs'!$B$32)/1000+'Inputs'!$B$21+'Inputs'!$B$7+'Inputs'!$B$10)+'Inputs'!$B$9)^2+('Inputs'!$B$8/2)^2)-(((828-43)*MAX('Inputs'!$B$33,'Inputs'!$B$29+'Inputs'!$B$31+'Inputs'!$B$32,'Inputs'!$B$30+'Inputs'!$B$31+'Inputs'!$B$32)/1000+'Inputs'!$B$21+'Inputs'!$B$7+'Inputs'!$B$10))/SQRT((((828-43)*MAX('Inputs'!$B$33,'Inputs'!$B$29+'Inputs'!$B$31+'Inputs'!$B$32,'Inputs'!$B$30+'Inputs'!$B$31+'Inputs'!$B$32)/1000+'Inputs'!$B$21+'Inputs'!$B$7+'Inputs'!$B$10))^2+('Inputs'!$B$8/2)^2))))*'Results'!$B$8))),"")</x:f>
        <x:v>0.7360446111944967</x:v>
      </x:c>
      <x:c r="L828" t="n">
        <x:f>IF(AND(ISNUMBER('Results'!B7),ISNUMBER('Results'!C7),ISNUMBER('Results'!$B$8),ISNUMBER('Inputs'!$B$6),ISNUMBER('Inputs'!$B$7),ISNUMBER('Inputs'!$B$8),ISNUMBER('Inputs'!$B$9),ISNUMBER('Inputs'!$B$10),ISNUMBER('Inputs'!$B$21),ISNUMBER('Inputs'!$B$24),ISNUMBER('Inputs'!$B$28)),((('Results'!B7*(1+'Inputs'!$B$24)*(0.5*((((828-43)*MAX('Inputs'!$B$33,'Inputs'!$B$29+'Inputs'!$B$31+'Inputs'!$B$32,'Inputs'!$B$30+'Inputs'!$B$31+'Inputs'!$B$32)/1000+'Inputs'!$B$21)+'Inputs'!$B$7)/SQRT((((828-43)*MAX('Inputs'!$B$33,'Inputs'!$B$29+'Inputs'!$B$31+'Inputs'!$B$32,'Inputs'!$B$30+'Inputs'!$B$31+'Inputs'!$B$32)/1000+'Inputs'!$B$21)+'Inputs'!$B$7)^2+('Inputs'!$B$6/2)^2)-(((828-43)*MAX('Inputs'!$B$33,'Inputs'!$B$29+'Inputs'!$B$31+'Inputs'!$B$32,'Inputs'!$B$30+'Inputs'!$B$31+'Inputs'!$B$32)/1000+'Inputs'!$B$21))/SQRT((((828-43)*MAX('Inputs'!$B$33,'Inputs'!$B$29+'Inputs'!$B$31+'Inputs'!$B$32,'Inputs'!$B$30+'Inputs'!$B$31+'Inputs'!$B$32)/1000+'Inputs'!$B$21))^2+('Inputs'!$B$6/2)^2)))-'Results'!C7*(1-'Inputs'!$B$24)*(0.5*((((828-43)*MAX('Inputs'!$B$33,'Inputs'!$B$29+'Inputs'!$B$31+'Inputs'!$B$32,'Inputs'!$B$30+'Inputs'!$B$31+'Inputs'!$B$32)/1000+'Inputs'!$B$21+'Inputs'!$B$7+'Inputs'!$B$10)+'Inputs'!$B$9)/SQRT((((828-43)*MAX('Inputs'!$B$33,'Inputs'!$B$29+'Inputs'!$B$31+'Inputs'!$B$32,'Inputs'!$B$30+'Inputs'!$B$31+'Inputs'!$B$32)/1000+'Inputs'!$B$21+'Inputs'!$B$7+'Inputs'!$B$10)+'Inputs'!$B$9)^2+('Inputs'!$B$8/2)^2)-(((828-43)*MAX('Inputs'!$B$33,'Inputs'!$B$29+'Inputs'!$B$31+'Inputs'!$B$32,'Inputs'!$B$30+'Inputs'!$B$31+'Inputs'!$B$32)/1000+'Inputs'!$B$21+'Inputs'!$B$7+'Inputs'!$B$10))/SQRT((((828-43)*MAX('Inputs'!$B$33,'Inputs'!$B$29+'Inputs'!$B$31+'Inputs'!$B$32,'Inputs'!$B$30+'Inputs'!$B$31+'Inputs'!$B$32)/1000+'Inputs'!$B$21+'Inputs'!$B$7+'Inputs'!$B$10))^2+('Inputs'!$B$8/2)^2))))*'Results'!$B$8)+'Inputs'!$B$28*ABS((('Results'!B7*(1+'Inputs'!$B$24)*(0.5*((((828-43)*MAX('Inputs'!$B$33,'Inputs'!$B$29+'Inputs'!$B$31+'Inputs'!$B$32,'Inputs'!$B$30+'Inputs'!$B$31+'Inputs'!$B$32)/1000+'Inputs'!$B$21)+'Inputs'!$B$7)/SQRT((((828-43)*MAX('Inputs'!$B$33,'Inputs'!$B$29+'Inputs'!$B$31+'Inputs'!$B$32,'Inputs'!$B$30+'Inputs'!$B$31+'Inputs'!$B$32)/1000+'Inputs'!$B$21)+'Inputs'!$B$7)^2+('Inputs'!$B$6/2)^2)-(((828-43)*MAX('Inputs'!$B$33,'Inputs'!$B$29+'Inputs'!$B$31+'Inputs'!$B$32,'Inputs'!$B$30+'Inputs'!$B$31+'Inputs'!$B$32)/1000+'Inputs'!$B$21))/SQRT((((828-43)*MAX('Inputs'!$B$33,'Inputs'!$B$29+'Inputs'!$B$31+'Inputs'!$B$32,'Inputs'!$B$30+'Inputs'!$B$31+'Inputs'!$B$32)/1000+'Inputs'!$B$21))^2+('Inputs'!$B$6/2)^2)))-'Results'!C7*(1-'Inputs'!$B$24)*(0.5*((((828-43)*MAX('Inputs'!$B$33,'Inputs'!$B$29+'Inputs'!$B$31+'Inputs'!$B$32,'Inputs'!$B$30+'Inputs'!$B$31+'Inputs'!$B$32)/1000+'Inputs'!$B$21+'Inputs'!$B$7+'Inputs'!$B$10)+'Inputs'!$B$9)/SQRT((((828-43)*MAX('Inputs'!$B$33,'Inputs'!$B$29+'Inputs'!$B$31+'Inputs'!$B$32,'Inputs'!$B$30+'Inputs'!$B$31+'Inputs'!$B$32)/1000+'Inputs'!$B$21+'Inputs'!$B$7+'Inputs'!$B$10)+'Inputs'!$B$9)^2+('Inputs'!$B$8/2)^2)-(((828-43)*MAX('Inputs'!$B$33,'Inputs'!$B$29+'Inputs'!$B$31+'Inputs'!$B$32,'Inputs'!$B$30+'Inputs'!$B$31+'Inputs'!$B$32)/1000+'Inputs'!$B$21+'Inputs'!$B$7+'Inputs'!$B$10))/SQRT((((828-43)*MAX('Inputs'!$B$33,'Inputs'!$B$29+'Inputs'!$B$31+'Inputs'!$B$32,'Inputs'!$B$30+'Inputs'!$B$31+'Inputs'!$B$32)/1000+'Inputs'!$B$21+'Inputs'!$B$7+'Inputs'!$B$10))^2+('Inputs'!$B$8/2)^2))))*'Results'!$B$8))),"")</x:f>
        <x:v>0.9890345188154188</x:v>
      </x:c>
      <x:c r="M828" t="n">
        <x:f>IF(AND(ISNUMBER('Results'!C7),ISNUMBER('Results'!B7),ISNUMBER('Results'!$B$8),ISNUMBER('Inputs'!$B$6),ISNUMBER('Inputs'!$B$7),ISNUMBER('Inputs'!$B$8),ISNUMBER('Inputs'!$B$9),ISNUMBER('Inputs'!$B$10),ISNUMBER('Inputs'!$B$21),ISNUMBER('Inputs'!$B$24),ISNUMBER('Inputs'!$B$28)),(('Results'!C7*(0.5*((((828-43)*MAX('Inputs'!$B$33,'Inputs'!$B$29+'Inputs'!$B$31+'Inputs'!$B$32,'Inputs'!$B$30+'Inputs'!$B$31+'Inputs'!$B$32)/1000+'Inputs'!$B$21)+'Inputs'!$B$9)/SQRT((((828-43)*MAX('Inputs'!$B$33,'Inputs'!$B$29+'Inputs'!$B$31+'Inputs'!$B$32,'Inputs'!$B$30+'Inputs'!$B$31+'Inputs'!$B$32)/1000+'Inputs'!$B$21)+'Inputs'!$B$9)^2+('Inputs'!$B$8/2)^2)-(((828-43)*MAX('Inputs'!$B$33,'Inputs'!$B$29+'Inputs'!$B$31+'Inputs'!$B$32,'Inputs'!$B$30+'Inputs'!$B$31+'Inputs'!$B$32)/1000+'Inputs'!$B$21))/SQRT((((828-43)*MAX('Inputs'!$B$33,'Inputs'!$B$29+'Inputs'!$B$31+'Inputs'!$B$32,'Inputs'!$B$30+'Inputs'!$B$31+'Inputs'!$B$32)/1000+'Inputs'!$B$21))^2+('Inputs'!$B$8/2)^2)))-'Results'!B7*(0.5*((((828-43)*MAX('Inputs'!$B$33,'Inputs'!$B$29+'Inputs'!$B$31+'Inputs'!$B$32,'Inputs'!$B$30+'Inputs'!$B$31+'Inputs'!$B$32)/1000+'Inputs'!$B$21+'Inputs'!$B$9+'Inputs'!$B$10)+'Inputs'!$B$7)/SQRT((((828-43)*MAX('Inputs'!$B$33,'Inputs'!$B$29+'Inputs'!$B$31+'Inputs'!$B$32,'Inputs'!$B$30+'Inputs'!$B$31+'Inputs'!$B$32)/1000+'Inputs'!$B$21+'Inputs'!$B$9+'Inputs'!$B$10)+'Inputs'!$B$7)^2+('Inputs'!$B$6/2)^2)-(((828-43)*MAX('Inputs'!$B$33,'Inputs'!$B$29+'Inputs'!$B$31+'Inputs'!$B$32,'Inputs'!$B$30+'Inputs'!$B$31+'Inputs'!$B$32)/1000+'Inputs'!$B$21+'Inputs'!$B$9+'Inputs'!$B$10))/SQRT((((828-43)*MAX('Inputs'!$B$33,'Inputs'!$B$29+'Inputs'!$B$31+'Inputs'!$B$32,'Inputs'!$B$30+'Inputs'!$B$31+'Inputs'!$B$32)/1000+'Inputs'!$B$21+'Inputs'!$B$9+'Inputs'!$B$10))^2+('Inputs'!$B$6/2)^2))))*'Results'!$B$8),"")</x:f>
        <x:v>0.7741061512219303</x:v>
      </x:c>
      <x:c r="N828" t="n">
        <x:f>IF(AND(ISNUMBER('Results'!C7),ISNUMBER('Results'!B7),ISNUMBER('Results'!$B$8),ISNUMBER('Inputs'!$B$6),ISNUMBER('Inputs'!$B$7),ISNUMBER('Inputs'!$B$8),ISNUMBER('Inputs'!$B$9),ISNUMBER('Inputs'!$B$10),ISNUMBER('Inputs'!$B$21),ISNUMBER('Inputs'!$B$24),ISNUMBER('Inputs'!$B$28)),((('Results'!C7*(1-'Inputs'!$B$24)*(0.5*((((828-43)*MAX('Inputs'!$B$33,'Inputs'!$B$29+'Inputs'!$B$31+'Inputs'!$B$32,'Inputs'!$B$30+'Inputs'!$B$31+'Inputs'!$B$32)/1000+'Inputs'!$B$21)+'Inputs'!$B$9)/SQRT((((828-43)*MAX('Inputs'!$B$33,'Inputs'!$B$29+'Inputs'!$B$31+'Inputs'!$B$32,'Inputs'!$B$30+'Inputs'!$B$31+'Inputs'!$B$32)/1000+'Inputs'!$B$21)+'Inputs'!$B$9)^2+('Inputs'!$B$8/2)^2)-(((828-43)*MAX('Inputs'!$B$33,'Inputs'!$B$29+'Inputs'!$B$31+'Inputs'!$B$32,'Inputs'!$B$30+'Inputs'!$B$31+'Inputs'!$B$32)/1000+'Inputs'!$B$21))/SQRT((((828-43)*MAX('Inputs'!$B$33,'Inputs'!$B$29+'Inputs'!$B$31+'Inputs'!$B$32,'Inputs'!$B$30+'Inputs'!$B$31+'Inputs'!$B$32)/1000+'Inputs'!$B$21))^2+('Inputs'!$B$8/2)^2)))-'Results'!B7*(1+'Inputs'!$B$24)*(0.5*((((828-43)*MAX('Inputs'!$B$33,'Inputs'!$B$29+'Inputs'!$B$31+'Inputs'!$B$32,'Inputs'!$B$30+'Inputs'!$B$31+'Inputs'!$B$32)/1000+'Inputs'!$B$21+'Inputs'!$B$9+'Inputs'!$B$10)+'Inputs'!$B$7)/SQRT((((828-43)*MAX('Inputs'!$B$33,'Inputs'!$B$29+'Inputs'!$B$31+'Inputs'!$B$32,'Inputs'!$B$30+'Inputs'!$B$31+'Inputs'!$B$32)/1000+'Inputs'!$B$21+'Inputs'!$B$9+'Inputs'!$B$10)+'Inputs'!$B$7)^2+('Inputs'!$B$6/2)^2)-(((828-43)*MAX('Inputs'!$B$33,'Inputs'!$B$29+'Inputs'!$B$31+'Inputs'!$B$32,'Inputs'!$B$30+'Inputs'!$B$31+'Inputs'!$B$32)/1000+'Inputs'!$B$21+'Inputs'!$B$9+'Inputs'!$B$10))/SQRT((((828-43)*MAX('Inputs'!$B$33,'Inputs'!$B$29+'Inputs'!$B$31+'Inputs'!$B$32,'Inputs'!$B$30+'Inputs'!$B$31+'Inputs'!$B$32)/1000+'Inputs'!$B$21+'Inputs'!$B$9+'Inputs'!$B$10))^2+('Inputs'!$B$6/2)^2))))*'Results'!$B$8)-'Inputs'!$B$28*ABS((('Results'!C7*(1-'Inputs'!$B$24)*(0.5*((((828-43)*MAX('Inputs'!$B$33,'Inputs'!$B$29+'Inputs'!$B$31+'Inputs'!$B$32,'Inputs'!$B$30+'Inputs'!$B$31+'Inputs'!$B$32)/1000+'Inputs'!$B$21)+'Inputs'!$B$9)/SQRT((((828-43)*MAX('Inputs'!$B$33,'Inputs'!$B$29+'Inputs'!$B$31+'Inputs'!$B$32,'Inputs'!$B$30+'Inputs'!$B$31+'Inputs'!$B$32)/1000+'Inputs'!$B$21)+'Inputs'!$B$9)^2+('Inputs'!$B$8/2)^2)-(((828-43)*MAX('Inputs'!$B$33,'Inputs'!$B$29+'Inputs'!$B$31+'Inputs'!$B$32,'Inputs'!$B$30+'Inputs'!$B$31+'Inputs'!$B$32)/1000+'Inputs'!$B$21))/SQRT((((828-43)*MAX('Inputs'!$B$33,'Inputs'!$B$29+'Inputs'!$B$31+'Inputs'!$B$32,'Inputs'!$B$30+'Inputs'!$B$31+'Inputs'!$B$32)/1000+'Inputs'!$B$21))^2+('Inputs'!$B$8/2)^2)))-'Results'!B7*(1+'Inputs'!$B$24)*(0.5*((((828-43)*MAX('Inputs'!$B$33,'Inputs'!$B$29+'Inputs'!$B$31+'Inputs'!$B$32,'Inputs'!$B$30+'Inputs'!$B$31+'Inputs'!$B$32)/1000+'Inputs'!$B$21+'Inputs'!$B$9+'Inputs'!$B$10)+'Inputs'!$B$7)/SQRT((((828-43)*MAX('Inputs'!$B$33,'Inputs'!$B$29+'Inputs'!$B$31+'Inputs'!$B$32,'Inputs'!$B$30+'Inputs'!$B$31+'Inputs'!$B$32)/1000+'Inputs'!$B$21+'Inputs'!$B$9+'Inputs'!$B$10)+'Inputs'!$B$7)^2+('Inputs'!$B$6/2)^2)-(((828-43)*MAX('Inputs'!$B$33,'Inputs'!$B$29+'Inputs'!$B$31+'Inputs'!$B$32,'Inputs'!$B$30+'Inputs'!$B$31+'Inputs'!$B$32)/1000+'Inputs'!$B$21+'Inputs'!$B$9+'Inputs'!$B$10))/SQRT((((828-43)*MAX('Inputs'!$B$33,'Inputs'!$B$29+'Inputs'!$B$31+'Inputs'!$B$32,'Inputs'!$B$30+'Inputs'!$B$31+'Inputs'!$B$32)/1000+'Inputs'!$B$21+'Inputs'!$B$9+'Inputs'!$B$10))^2+('Inputs'!$B$6/2)^2))))*'Results'!$B$8))),"")</x:f>
        <x:v>0.6563160734213155</x:v>
      </x:c>
      <x:c r="O828" t="n">
        <x:f>IF(AND(ISNUMBER('Results'!C7),ISNUMBER('Results'!B7),ISNUMBER('Results'!$B$8),ISNUMBER('Inputs'!$B$6),ISNUMBER('Inputs'!$B$7),ISNUMBER('Inputs'!$B$8),ISNUMBER('Inputs'!$B$9),ISNUMBER('Inputs'!$B$10),ISNUMBER('Inputs'!$B$21),ISNUMBER('Inputs'!$B$24),ISNUMBER('Inputs'!$B$28)),((('Results'!C7*(1+'Inputs'!$B$24)*(0.5*((((828-43)*MAX('Inputs'!$B$33,'Inputs'!$B$29+'Inputs'!$B$31+'Inputs'!$B$32,'Inputs'!$B$30+'Inputs'!$B$31+'Inputs'!$B$32)/1000+'Inputs'!$B$21)+'Inputs'!$B$9)/SQRT((((828-43)*MAX('Inputs'!$B$33,'Inputs'!$B$29+'Inputs'!$B$31+'Inputs'!$B$32,'Inputs'!$B$30+'Inputs'!$B$31+'Inputs'!$B$32)/1000+'Inputs'!$B$21)+'Inputs'!$B$9)^2+('Inputs'!$B$8/2)^2)-(((828-43)*MAX('Inputs'!$B$33,'Inputs'!$B$29+'Inputs'!$B$31+'Inputs'!$B$32,'Inputs'!$B$30+'Inputs'!$B$31+'Inputs'!$B$32)/1000+'Inputs'!$B$21))/SQRT((((828-43)*MAX('Inputs'!$B$33,'Inputs'!$B$29+'Inputs'!$B$31+'Inputs'!$B$32,'Inputs'!$B$30+'Inputs'!$B$31+'Inputs'!$B$32)/1000+'Inputs'!$B$21))^2+('Inputs'!$B$8/2)^2)))-'Results'!B7*(1-'Inputs'!$B$24)*(0.5*((((828-43)*MAX('Inputs'!$B$33,'Inputs'!$B$29+'Inputs'!$B$31+'Inputs'!$B$32,'Inputs'!$B$30+'Inputs'!$B$31+'Inputs'!$B$32)/1000+'Inputs'!$B$21+'Inputs'!$B$9+'Inputs'!$B$10)+'Inputs'!$B$7)/SQRT((((828-43)*MAX('Inputs'!$B$33,'Inputs'!$B$29+'Inputs'!$B$31+'Inputs'!$B$32,'Inputs'!$B$30+'Inputs'!$B$31+'Inputs'!$B$32)/1000+'Inputs'!$B$21+'Inputs'!$B$9+'Inputs'!$B$10)+'Inputs'!$B$7)^2+('Inputs'!$B$6/2)^2)-(((828-43)*MAX('Inputs'!$B$33,'Inputs'!$B$29+'Inputs'!$B$31+'Inputs'!$B$32,'Inputs'!$B$30+'Inputs'!$B$31+'Inputs'!$B$32)/1000+'Inputs'!$B$21+'Inputs'!$B$9+'Inputs'!$B$10))/SQRT((((828-43)*MAX('Inputs'!$B$33,'Inputs'!$B$29+'Inputs'!$B$31+'Inputs'!$B$32,'Inputs'!$B$30+'Inputs'!$B$31+'Inputs'!$B$32)/1000+'Inputs'!$B$21+'Inputs'!$B$9+'Inputs'!$B$10))^2+('Inputs'!$B$6/2)^2))))*'Results'!$B$8)+'Inputs'!$B$28*ABS((('Results'!C7*(1+'Inputs'!$B$24)*(0.5*((((828-43)*MAX('Inputs'!$B$33,'Inputs'!$B$29+'Inputs'!$B$31+'Inputs'!$B$32,'Inputs'!$B$30+'Inputs'!$B$31+'Inputs'!$B$32)/1000+'Inputs'!$B$21)+'Inputs'!$B$9)/SQRT((((828-43)*MAX('Inputs'!$B$33,'Inputs'!$B$29+'Inputs'!$B$31+'Inputs'!$B$32,'Inputs'!$B$30+'Inputs'!$B$31+'Inputs'!$B$32)/1000+'Inputs'!$B$21)+'Inputs'!$B$9)^2+('Inputs'!$B$8/2)^2)-(((828-43)*MAX('Inputs'!$B$33,'Inputs'!$B$29+'Inputs'!$B$31+'Inputs'!$B$32,'Inputs'!$B$30+'Inputs'!$B$31+'Inputs'!$B$32)/1000+'Inputs'!$B$21))/SQRT((((828-43)*MAX('Inputs'!$B$33,'Inputs'!$B$29+'Inputs'!$B$31+'Inputs'!$B$32,'Inputs'!$B$30+'Inputs'!$B$31+'Inputs'!$B$32)/1000+'Inputs'!$B$21))^2+('Inputs'!$B$8/2)^2)))-'Results'!B7*(1-'Inputs'!$B$24)*(0.5*((((828-43)*MAX('Inputs'!$B$33,'Inputs'!$B$29+'Inputs'!$B$31+'Inputs'!$B$32,'Inputs'!$B$30+'Inputs'!$B$31+'Inputs'!$B$32)/1000+'Inputs'!$B$21+'Inputs'!$B$9+'Inputs'!$B$10)+'Inputs'!$B$7)/SQRT((((828-43)*MAX('Inputs'!$B$33,'Inputs'!$B$29+'Inputs'!$B$31+'Inputs'!$B$32,'Inputs'!$B$30+'Inputs'!$B$31+'Inputs'!$B$32)/1000+'Inputs'!$B$21+'Inputs'!$B$9+'Inputs'!$B$10)+'Inputs'!$B$7)^2+('Inputs'!$B$6/2)^2)-(((828-43)*MAX('Inputs'!$B$33,'Inputs'!$B$29+'Inputs'!$B$31+'Inputs'!$B$32,'Inputs'!$B$30+'Inputs'!$B$31+'Inputs'!$B$32)/1000+'Inputs'!$B$21+'Inputs'!$B$9+'Inputs'!$B$10))/SQRT((((828-43)*MAX('Inputs'!$B$33,'Inputs'!$B$29+'Inputs'!$B$31+'Inputs'!$B$32,'Inputs'!$B$30+'Inputs'!$B$31+'Inputs'!$B$32)/1000+'Inputs'!$B$21+'Inputs'!$B$9+'Inputs'!$B$10))^2+('Inputs'!$B$6/2)^2))))*'Results'!$B$8))),"")</x:f>
        <x:v>0.900220941679337</x:v>
      </x:c>
      <x:c r="P828" t="n">
        <x:f>IF(AND(MAX(J828,J827)&gt;0,J828&gt;J827+0.00000001),1,0)</x:f>
        <x:v>0</x:v>
      </x:c>
      <x:c r="Q828" t="n">
        <x:f>IF(AND(MAX(K828,K827)&gt;0,K828&gt;K827+0.00000001),1,0)</x:f>
        <x:v>0</x:v>
      </x:c>
      <x:c r="R828" t="n">
        <x:f>IF(AND(MAX(L828,L827)&gt;0,L828&gt;L827+0.00000001),1,0)</x:f>
        <x:v>0</x:v>
      </x:c>
      <x:c r="S828" t="n">
        <x:f>IF(AND(MAX(M828,M827)&gt;0,M828&gt;M827+0.00000001),1,0)</x:f>
        <x:v>0</x:v>
      </x:c>
      <x:c r="T828" t="n">
        <x:f>IF(AND(MAX(N828,N827)&gt;0,N828&gt;N827+0.00000001),1,0)</x:f>
        <x:v>0</x:v>
      </x:c>
      <x:c r="U828" t="n">
        <x:f>IF(AND(MAX(O828,O827)&gt;0,O828&gt;O827+0.00000001),1,0)</x:f>
        <x:v>0</x:v>
      </x:c>
    </x:row>
    <x:row r="829">
      <x:c r="J829" t="n">
        <x:f>IF(AND(ISNUMBER('Results'!B7),ISNUMBER('Results'!C7),ISNUMBER('Results'!$B$8),ISNUMBER('Inputs'!$B$6),ISNUMBER('Inputs'!$B$7),ISNUMBER('Inputs'!$B$8),ISNUMBER('Inputs'!$B$9),ISNUMBER('Inputs'!$B$10),ISNUMBER('Inputs'!$B$21),ISNUMBER('Inputs'!$B$24),ISNUMBER('Inputs'!$B$28)),(('Results'!B7*(0.5*((((829-43)*MAX('Inputs'!$B$33,'Inputs'!$B$29+'Inputs'!$B$31+'Inputs'!$B$32,'Inputs'!$B$30+'Inputs'!$B$31+'Inputs'!$B$32)/1000+'Inputs'!$B$21)+'Inputs'!$B$7)/SQRT((((829-43)*MAX('Inputs'!$B$33,'Inputs'!$B$29+'Inputs'!$B$31+'Inputs'!$B$32,'Inputs'!$B$30+'Inputs'!$B$31+'Inputs'!$B$32)/1000+'Inputs'!$B$21)+'Inputs'!$B$7)^2+('Inputs'!$B$6/2)^2)-(((829-43)*MAX('Inputs'!$B$33,'Inputs'!$B$29+'Inputs'!$B$31+'Inputs'!$B$32,'Inputs'!$B$30+'Inputs'!$B$31+'Inputs'!$B$32)/1000+'Inputs'!$B$21))/SQRT((((829-43)*MAX('Inputs'!$B$33,'Inputs'!$B$29+'Inputs'!$B$31+'Inputs'!$B$32,'Inputs'!$B$30+'Inputs'!$B$31+'Inputs'!$B$32)/1000+'Inputs'!$B$21))^2+('Inputs'!$B$6/2)^2)))-'Results'!C7*(0.5*((((829-43)*MAX('Inputs'!$B$33,'Inputs'!$B$29+'Inputs'!$B$31+'Inputs'!$B$32,'Inputs'!$B$30+'Inputs'!$B$31+'Inputs'!$B$32)/1000+'Inputs'!$B$21+'Inputs'!$B$7+'Inputs'!$B$10)+'Inputs'!$B$9)/SQRT((((829-43)*MAX('Inputs'!$B$33,'Inputs'!$B$29+'Inputs'!$B$31+'Inputs'!$B$32,'Inputs'!$B$30+'Inputs'!$B$31+'Inputs'!$B$32)/1000+'Inputs'!$B$21+'Inputs'!$B$7+'Inputs'!$B$10)+'Inputs'!$B$9)^2+('Inputs'!$B$8/2)^2)-(((829-43)*MAX('Inputs'!$B$33,'Inputs'!$B$29+'Inputs'!$B$31+'Inputs'!$B$32,'Inputs'!$B$30+'Inputs'!$B$31+'Inputs'!$B$32)/1000+'Inputs'!$B$21+'Inputs'!$B$7+'Inputs'!$B$10))/SQRT((((829-43)*MAX('Inputs'!$B$33,'Inputs'!$B$29+'Inputs'!$B$31+'Inputs'!$B$32,'Inputs'!$B$30+'Inputs'!$B$31+'Inputs'!$B$32)/1000+'Inputs'!$B$21+'Inputs'!$B$7+'Inputs'!$B$10))^2+('Inputs'!$B$8/2)^2))))*'Results'!$B$8),"")</x:f>
        <x:v>0.8544469637075593</x:v>
      </x:c>
      <x:c r="K829" t="n">
        <x:f>IF(AND(ISNUMBER('Results'!B7),ISNUMBER('Results'!C7),ISNUMBER('Results'!$B$8),ISNUMBER('Inputs'!$B$6),ISNUMBER('Inputs'!$B$7),ISNUMBER('Inputs'!$B$8),ISNUMBER('Inputs'!$B$9),ISNUMBER('Inputs'!$B$10),ISNUMBER('Inputs'!$B$21),ISNUMBER('Inputs'!$B$24),ISNUMBER('Inputs'!$B$28)),((('Results'!B7*(1-'Inputs'!$B$24)*(0.5*((((829-43)*MAX('Inputs'!$B$33,'Inputs'!$B$29+'Inputs'!$B$31+'Inputs'!$B$32,'Inputs'!$B$30+'Inputs'!$B$31+'Inputs'!$B$32)/1000+'Inputs'!$B$21)+'Inputs'!$B$7)/SQRT((((829-43)*MAX('Inputs'!$B$33,'Inputs'!$B$29+'Inputs'!$B$31+'Inputs'!$B$32,'Inputs'!$B$30+'Inputs'!$B$31+'Inputs'!$B$32)/1000+'Inputs'!$B$21)+'Inputs'!$B$7)^2+('Inputs'!$B$6/2)^2)-(((829-43)*MAX('Inputs'!$B$33,'Inputs'!$B$29+'Inputs'!$B$31+'Inputs'!$B$32,'Inputs'!$B$30+'Inputs'!$B$31+'Inputs'!$B$32)/1000+'Inputs'!$B$21))/SQRT((((829-43)*MAX('Inputs'!$B$33,'Inputs'!$B$29+'Inputs'!$B$31+'Inputs'!$B$32,'Inputs'!$B$30+'Inputs'!$B$31+'Inputs'!$B$32)/1000+'Inputs'!$B$21))^2+('Inputs'!$B$6/2)^2)))-'Results'!C7*(1+'Inputs'!$B$24)*(0.5*((((829-43)*MAX('Inputs'!$B$33,'Inputs'!$B$29+'Inputs'!$B$31+'Inputs'!$B$32,'Inputs'!$B$30+'Inputs'!$B$31+'Inputs'!$B$32)/1000+'Inputs'!$B$21+'Inputs'!$B$7+'Inputs'!$B$10)+'Inputs'!$B$9)/SQRT((((829-43)*MAX('Inputs'!$B$33,'Inputs'!$B$29+'Inputs'!$B$31+'Inputs'!$B$32,'Inputs'!$B$30+'Inputs'!$B$31+'Inputs'!$B$32)/1000+'Inputs'!$B$21+'Inputs'!$B$7+'Inputs'!$B$10)+'Inputs'!$B$9)^2+('Inputs'!$B$8/2)^2)-(((829-43)*MAX('Inputs'!$B$33,'Inputs'!$B$29+'Inputs'!$B$31+'Inputs'!$B$32,'Inputs'!$B$30+'Inputs'!$B$31+'Inputs'!$B$32)/1000+'Inputs'!$B$21+'Inputs'!$B$7+'Inputs'!$B$10))/SQRT((((829-43)*MAX('Inputs'!$B$33,'Inputs'!$B$29+'Inputs'!$B$31+'Inputs'!$B$32,'Inputs'!$B$30+'Inputs'!$B$31+'Inputs'!$B$32)/1000+'Inputs'!$B$21+'Inputs'!$B$7+'Inputs'!$B$10))^2+('Inputs'!$B$8/2)^2))))*'Results'!$B$8)-'Inputs'!$B$28*ABS((('Results'!B7*(1-'Inputs'!$B$24)*(0.5*((((829-43)*MAX('Inputs'!$B$33,'Inputs'!$B$29+'Inputs'!$B$31+'Inputs'!$B$32,'Inputs'!$B$30+'Inputs'!$B$31+'Inputs'!$B$32)/1000+'Inputs'!$B$21)+'Inputs'!$B$7)/SQRT((((829-43)*MAX('Inputs'!$B$33,'Inputs'!$B$29+'Inputs'!$B$31+'Inputs'!$B$32,'Inputs'!$B$30+'Inputs'!$B$31+'Inputs'!$B$32)/1000+'Inputs'!$B$21)+'Inputs'!$B$7)^2+('Inputs'!$B$6/2)^2)-(((829-43)*MAX('Inputs'!$B$33,'Inputs'!$B$29+'Inputs'!$B$31+'Inputs'!$B$32,'Inputs'!$B$30+'Inputs'!$B$31+'Inputs'!$B$32)/1000+'Inputs'!$B$21))/SQRT((((829-43)*MAX('Inputs'!$B$33,'Inputs'!$B$29+'Inputs'!$B$31+'Inputs'!$B$32,'Inputs'!$B$30+'Inputs'!$B$31+'Inputs'!$B$32)/1000+'Inputs'!$B$21))^2+('Inputs'!$B$6/2)^2)))-'Results'!C7*(1+'Inputs'!$B$24)*(0.5*((((829-43)*MAX('Inputs'!$B$33,'Inputs'!$B$29+'Inputs'!$B$31+'Inputs'!$B$32,'Inputs'!$B$30+'Inputs'!$B$31+'Inputs'!$B$32)/1000+'Inputs'!$B$21+'Inputs'!$B$7+'Inputs'!$B$10)+'Inputs'!$B$9)/SQRT((((829-43)*MAX('Inputs'!$B$33,'Inputs'!$B$29+'Inputs'!$B$31+'Inputs'!$B$32,'Inputs'!$B$30+'Inputs'!$B$31+'Inputs'!$B$32)/1000+'Inputs'!$B$21+'Inputs'!$B$7+'Inputs'!$B$10)+'Inputs'!$B$9)^2+('Inputs'!$B$8/2)^2)-(((829-43)*MAX('Inputs'!$B$33,'Inputs'!$B$29+'Inputs'!$B$31+'Inputs'!$B$32,'Inputs'!$B$30+'Inputs'!$B$31+'Inputs'!$B$32)/1000+'Inputs'!$B$21+'Inputs'!$B$7+'Inputs'!$B$10))/SQRT((((829-43)*MAX('Inputs'!$B$33,'Inputs'!$B$29+'Inputs'!$B$31+'Inputs'!$B$32,'Inputs'!$B$30+'Inputs'!$B$31+'Inputs'!$B$32)/1000+'Inputs'!$B$21+'Inputs'!$B$7+'Inputs'!$B$10))^2+('Inputs'!$B$8/2)^2))))*'Results'!$B$8))),"")</x:f>
        <x:v>0.7326048967048053</x:v>
      </x:c>
      <x:c r="L829" t="n">
        <x:f>IF(AND(ISNUMBER('Results'!B7),ISNUMBER('Results'!C7),ISNUMBER('Results'!$B$8),ISNUMBER('Inputs'!$B$6),ISNUMBER('Inputs'!$B$7),ISNUMBER('Inputs'!$B$8),ISNUMBER('Inputs'!$B$9),ISNUMBER('Inputs'!$B$10),ISNUMBER('Inputs'!$B$21),ISNUMBER('Inputs'!$B$24),ISNUMBER('Inputs'!$B$28)),((('Results'!B7*(1+'Inputs'!$B$24)*(0.5*((((829-43)*MAX('Inputs'!$B$33,'Inputs'!$B$29+'Inputs'!$B$31+'Inputs'!$B$32,'Inputs'!$B$30+'Inputs'!$B$31+'Inputs'!$B$32)/1000+'Inputs'!$B$21)+'Inputs'!$B$7)/SQRT((((829-43)*MAX('Inputs'!$B$33,'Inputs'!$B$29+'Inputs'!$B$31+'Inputs'!$B$32,'Inputs'!$B$30+'Inputs'!$B$31+'Inputs'!$B$32)/1000+'Inputs'!$B$21)+'Inputs'!$B$7)^2+('Inputs'!$B$6/2)^2)-(((829-43)*MAX('Inputs'!$B$33,'Inputs'!$B$29+'Inputs'!$B$31+'Inputs'!$B$32,'Inputs'!$B$30+'Inputs'!$B$31+'Inputs'!$B$32)/1000+'Inputs'!$B$21))/SQRT((((829-43)*MAX('Inputs'!$B$33,'Inputs'!$B$29+'Inputs'!$B$31+'Inputs'!$B$32,'Inputs'!$B$30+'Inputs'!$B$31+'Inputs'!$B$32)/1000+'Inputs'!$B$21))^2+('Inputs'!$B$6/2)^2)))-'Results'!C7*(1-'Inputs'!$B$24)*(0.5*((((829-43)*MAX('Inputs'!$B$33,'Inputs'!$B$29+'Inputs'!$B$31+'Inputs'!$B$32,'Inputs'!$B$30+'Inputs'!$B$31+'Inputs'!$B$32)/1000+'Inputs'!$B$21+'Inputs'!$B$7+'Inputs'!$B$10)+'Inputs'!$B$9)/SQRT((((829-43)*MAX('Inputs'!$B$33,'Inputs'!$B$29+'Inputs'!$B$31+'Inputs'!$B$32,'Inputs'!$B$30+'Inputs'!$B$31+'Inputs'!$B$32)/1000+'Inputs'!$B$21+'Inputs'!$B$7+'Inputs'!$B$10)+'Inputs'!$B$9)^2+('Inputs'!$B$8/2)^2)-(((829-43)*MAX('Inputs'!$B$33,'Inputs'!$B$29+'Inputs'!$B$31+'Inputs'!$B$32,'Inputs'!$B$30+'Inputs'!$B$31+'Inputs'!$B$32)/1000+'Inputs'!$B$21+'Inputs'!$B$7+'Inputs'!$B$10))/SQRT((((829-43)*MAX('Inputs'!$B$33,'Inputs'!$B$29+'Inputs'!$B$31+'Inputs'!$B$32,'Inputs'!$B$30+'Inputs'!$B$31+'Inputs'!$B$32)/1000+'Inputs'!$B$21+'Inputs'!$B$7+'Inputs'!$B$10))^2+('Inputs'!$B$8/2)^2))))*'Results'!$B$8)+'Inputs'!$B$28*ABS((('Results'!B7*(1+'Inputs'!$B$24)*(0.5*((((829-43)*MAX('Inputs'!$B$33,'Inputs'!$B$29+'Inputs'!$B$31+'Inputs'!$B$32,'Inputs'!$B$30+'Inputs'!$B$31+'Inputs'!$B$32)/1000+'Inputs'!$B$21)+'Inputs'!$B$7)/SQRT((((829-43)*MAX('Inputs'!$B$33,'Inputs'!$B$29+'Inputs'!$B$31+'Inputs'!$B$32,'Inputs'!$B$30+'Inputs'!$B$31+'Inputs'!$B$32)/1000+'Inputs'!$B$21)+'Inputs'!$B$7)^2+('Inputs'!$B$6/2)^2)-(((829-43)*MAX('Inputs'!$B$33,'Inputs'!$B$29+'Inputs'!$B$31+'Inputs'!$B$32,'Inputs'!$B$30+'Inputs'!$B$31+'Inputs'!$B$32)/1000+'Inputs'!$B$21))/SQRT((((829-43)*MAX('Inputs'!$B$33,'Inputs'!$B$29+'Inputs'!$B$31+'Inputs'!$B$32,'Inputs'!$B$30+'Inputs'!$B$31+'Inputs'!$B$32)/1000+'Inputs'!$B$21))^2+('Inputs'!$B$6/2)^2)))-'Results'!C7*(1-'Inputs'!$B$24)*(0.5*((((829-43)*MAX('Inputs'!$B$33,'Inputs'!$B$29+'Inputs'!$B$31+'Inputs'!$B$32,'Inputs'!$B$30+'Inputs'!$B$31+'Inputs'!$B$32)/1000+'Inputs'!$B$21+'Inputs'!$B$7+'Inputs'!$B$10)+'Inputs'!$B$9)/SQRT((((829-43)*MAX('Inputs'!$B$33,'Inputs'!$B$29+'Inputs'!$B$31+'Inputs'!$B$32,'Inputs'!$B$30+'Inputs'!$B$31+'Inputs'!$B$32)/1000+'Inputs'!$B$21+'Inputs'!$B$7+'Inputs'!$B$10)+'Inputs'!$B$9)^2+('Inputs'!$B$8/2)^2)-(((829-43)*MAX('Inputs'!$B$33,'Inputs'!$B$29+'Inputs'!$B$31+'Inputs'!$B$32,'Inputs'!$B$30+'Inputs'!$B$31+'Inputs'!$B$32)/1000+'Inputs'!$B$21+'Inputs'!$B$7+'Inputs'!$B$10))/SQRT((((829-43)*MAX('Inputs'!$B$33,'Inputs'!$B$29+'Inputs'!$B$31+'Inputs'!$B$32,'Inputs'!$B$30+'Inputs'!$B$31+'Inputs'!$B$32)/1000+'Inputs'!$B$21+'Inputs'!$B$7+'Inputs'!$B$10))^2+('Inputs'!$B$8/2)^2))))*'Results'!$B$8))),"")</x:f>
        <x:v>0.9846174221647741</x:v>
      </x:c>
      <x:c r="M829" t="n">
        <x:f>IF(AND(ISNUMBER('Results'!C7),ISNUMBER('Results'!B7),ISNUMBER('Results'!$B$8),ISNUMBER('Inputs'!$B$6),ISNUMBER('Inputs'!$B$7),ISNUMBER('Inputs'!$B$8),ISNUMBER('Inputs'!$B$9),ISNUMBER('Inputs'!$B$10),ISNUMBER('Inputs'!$B$21),ISNUMBER('Inputs'!$B$24),ISNUMBER('Inputs'!$B$28)),(('Results'!C7*(0.5*((((829-43)*MAX('Inputs'!$B$33,'Inputs'!$B$29+'Inputs'!$B$31+'Inputs'!$B$32,'Inputs'!$B$30+'Inputs'!$B$31+'Inputs'!$B$32)/1000+'Inputs'!$B$21)+'Inputs'!$B$9)/SQRT((((829-43)*MAX('Inputs'!$B$33,'Inputs'!$B$29+'Inputs'!$B$31+'Inputs'!$B$32,'Inputs'!$B$30+'Inputs'!$B$31+'Inputs'!$B$32)/1000+'Inputs'!$B$21)+'Inputs'!$B$9)^2+('Inputs'!$B$8/2)^2)-(((829-43)*MAX('Inputs'!$B$33,'Inputs'!$B$29+'Inputs'!$B$31+'Inputs'!$B$32,'Inputs'!$B$30+'Inputs'!$B$31+'Inputs'!$B$32)/1000+'Inputs'!$B$21))/SQRT((((829-43)*MAX('Inputs'!$B$33,'Inputs'!$B$29+'Inputs'!$B$31+'Inputs'!$B$32,'Inputs'!$B$30+'Inputs'!$B$31+'Inputs'!$B$32)/1000+'Inputs'!$B$21))^2+('Inputs'!$B$8/2)^2)))-'Results'!B7*(0.5*((((829-43)*MAX('Inputs'!$B$33,'Inputs'!$B$29+'Inputs'!$B$31+'Inputs'!$B$32,'Inputs'!$B$30+'Inputs'!$B$31+'Inputs'!$B$32)/1000+'Inputs'!$B$21+'Inputs'!$B$9+'Inputs'!$B$10)+'Inputs'!$B$7)/SQRT((((829-43)*MAX('Inputs'!$B$33,'Inputs'!$B$29+'Inputs'!$B$31+'Inputs'!$B$32,'Inputs'!$B$30+'Inputs'!$B$31+'Inputs'!$B$32)/1000+'Inputs'!$B$21+'Inputs'!$B$9+'Inputs'!$B$10)+'Inputs'!$B$7)^2+('Inputs'!$B$6/2)^2)-(((829-43)*MAX('Inputs'!$B$33,'Inputs'!$B$29+'Inputs'!$B$31+'Inputs'!$B$32,'Inputs'!$B$30+'Inputs'!$B$31+'Inputs'!$B$32)/1000+'Inputs'!$B$21+'Inputs'!$B$9+'Inputs'!$B$10))/SQRT((((829-43)*MAX('Inputs'!$B$33,'Inputs'!$B$29+'Inputs'!$B$31+'Inputs'!$B$32,'Inputs'!$B$30+'Inputs'!$B$31+'Inputs'!$B$32)/1000+'Inputs'!$B$21+'Inputs'!$B$9+'Inputs'!$B$10))^2+('Inputs'!$B$6/2)^2))))*'Results'!$B$8),"")</x:f>
        <x:v>0.7704875902316219</x:v>
      </x:c>
      <x:c r="N829" t="n">
        <x:f>IF(AND(ISNUMBER('Results'!C7),ISNUMBER('Results'!B7),ISNUMBER('Results'!$B$8),ISNUMBER('Inputs'!$B$6),ISNUMBER('Inputs'!$B$7),ISNUMBER('Inputs'!$B$8),ISNUMBER('Inputs'!$B$9),ISNUMBER('Inputs'!$B$10),ISNUMBER('Inputs'!$B$21),ISNUMBER('Inputs'!$B$24),ISNUMBER('Inputs'!$B$28)),((('Results'!C7*(1-'Inputs'!$B$24)*(0.5*((((829-43)*MAX('Inputs'!$B$33,'Inputs'!$B$29+'Inputs'!$B$31+'Inputs'!$B$32,'Inputs'!$B$30+'Inputs'!$B$31+'Inputs'!$B$32)/1000+'Inputs'!$B$21)+'Inputs'!$B$9)/SQRT((((829-43)*MAX('Inputs'!$B$33,'Inputs'!$B$29+'Inputs'!$B$31+'Inputs'!$B$32,'Inputs'!$B$30+'Inputs'!$B$31+'Inputs'!$B$32)/1000+'Inputs'!$B$21)+'Inputs'!$B$9)^2+('Inputs'!$B$8/2)^2)-(((829-43)*MAX('Inputs'!$B$33,'Inputs'!$B$29+'Inputs'!$B$31+'Inputs'!$B$32,'Inputs'!$B$30+'Inputs'!$B$31+'Inputs'!$B$32)/1000+'Inputs'!$B$21))/SQRT((((829-43)*MAX('Inputs'!$B$33,'Inputs'!$B$29+'Inputs'!$B$31+'Inputs'!$B$32,'Inputs'!$B$30+'Inputs'!$B$31+'Inputs'!$B$32)/1000+'Inputs'!$B$21))^2+('Inputs'!$B$8/2)^2)))-'Results'!B7*(1+'Inputs'!$B$24)*(0.5*((((829-43)*MAX('Inputs'!$B$33,'Inputs'!$B$29+'Inputs'!$B$31+'Inputs'!$B$32,'Inputs'!$B$30+'Inputs'!$B$31+'Inputs'!$B$32)/1000+'Inputs'!$B$21+'Inputs'!$B$9+'Inputs'!$B$10)+'Inputs'!$B$7)/SQRT((((829-43)*MAX('Inputs'!$B$33,'Inputs'!$B$29+'Inputs'!$B$31+'Inputs'!$B$32,'Inputs'!$B$30+'Inputs'!$B$31+'Inputs'!$B$32)/1000+'Inputs'!$B$21+'Inputs'!$B$9+'Inputs'!$B$10)+'Inputs'!$B$7)^2+('Inputs'!$B$6/2)^2)-(((829-43)*MAX('Inputs'!$B$33,'Inputs'!$B$29+'Inputs'!$B$31+'Inputs'!$B$32,'Inputs'!$B$30+'Inputs'!$B$31+'Inputs'!$B$32)/1000+'Inputs'!$B$21+'Inputs'!$B$9+'Inputs'!$B$10))/SQRT((((829-43)*MAX('Inputs'!$B$33,'Inputs'!$B$29+'Inputs'!$B$31+'Inputs'!$B$32,'Inputs'!$B$30+'Inputs'!$B$31+'Inputs'!$B$32)/1000+'Inputs'!$B$21+'Inputs'!$B$9+'Inputs'!$B$10))^2+('Inputs'!$B$6/2)^2))))*'Results'!$B$8)-'Inputs'!$B$28*ABS((('Results'!C7*(1-'Inputs'!$B$24)*(0.5*((((829-43)*MAX('Inputs'!$B$33,'Inputs'!$B$29+'Inputs'!$B$31+'Inputs'!$B$32,'Inputs'!$B$30+'Inputs'!$B$31+'Inputs'!$B$32)/1000+'Inputs'!$B$21)+'Inputs'!$B$9)/SQRT((((829-43)*MAX('Inputs'!$B$33,'Inputs'!$B$29+'Inputs'!$B$31+'Inputs'!$B$32,'Inputs'!$B$30+'Inputs'!$B$31+'Inputs'!$B$32)/1000+'Inputs'!$B$21)+'Inputs'!$B$9)^2+('Inputs'!$B$8/2)^2)-(((829-43)*MAX('Inputs'!$B$33,'Inputs'!$B$29+'Inputs'!$B$31+'Inputs'!$B$32,'Inputs'!$B$30+'Inputs'!$B$31+'Inputs'!$B$32)/1000+'Inputs'!$B$21))/SQRT((((829-43)*MAX('Inputs'!$B$33,'Inputs'!$B$29+'Inputs'!$B$31+'Inputs'!$B$32,'Inputs'!$B$30+'Inputs'!$B$31+'Inputs'!$B$32)/1000+'Inputs'!$B$21))^2+('Inputs'!$B$8/2)^2)))-'Results'!B7*(1+'Inputs'!$B$24)*(0.5*((((829-43)*MAX('Inputs'!$B$33,'Inputs'!$B$29+'Inputs'!$B$31+'Inputs'!$B$32,'Inputs'!$B$30+'Inputs'!$B$31+'Inputs'!$B$32)/1000+'Inputs'!$B$21+'Inputs'!$B$9+'Inputs'!$B$10)+'Inputs'!$B$7)/SQRT((((829-43)*MAX('Inputs'!$B$33,'Inputs'!$B$29+'Inputs'!$B$31+'Inputs'!$B$32,'Inputs'!$B$30+'Inputs'!$B$31+'Inputs'!$B$32)/1000+'Inputs'!$B$21+'Inputs'!$B$9+'Inputs'!$B$10)+'Inputs'!$B$7)^2+('Inputs'!$B$6/2)^2)-(((829-43)*MAX('Inputs'!$B$33,'Inputs'!$B$29+'Inputs'!$B$31+'Inputs'!$B$32,'Inputs'!$B$30+'Inputs'!$B$31+'Inputs'!$B$32)/1000+'Inputs'!$B$21+'Inputs'!$B$9+'Inputs'!$B$10))/SQRT((((829-43)*MAX('Inputs'!$B$33,'Inputs'!$B$29+'Inputs'!$B$31+'Inputs'!$B$32,'Inputs'!$B$30+'Inputs'!$B$31+'Inputs'!$B$32)/1000+'Inputs'!$B$21+'Inputs'!$B$9+'Inputs'!$B$10))^2+('Inputs'!$B$6/2)^2))))*'Results'!$B$8))),"")</x:f>
        <x:v>0.6531553480291785</x:v>
      </x:c>
      <x:c r="O829" t="n">
        <x:f>IF(AND(ISNUMBER('Results'!C7),ISNUMBER('Results'!B7),ISNUMBER('Results'!$B$8),ISNUMBER('Inputs'!$B$6),ISNUMBER('Inputs'!$B$7),ISNUMBER('Inputs'!$B$8),ISNUMBER('Inputs'!$B$9),ISNUMBER('Inputs'!$B$10),ISNUMBER('Inputs'!$B$21),ISNUMBER('Inputs'!$B$24),ISNUMBER('Inputs'!$B$28)),((('Results'!C7*(1+'Inputs'!$B$24)*(0.5*((((829-43)*MAX('Inputs'!$B$33,'Inputs'!$B$29+'Inputs'!$B$31+'Inputs'!$B$32,'Inputs'!$B$30+'Inputs'!$B$31+'Inputs'!$B$32)/1000+'Inputs'!$B$21)+'Inputs'!$B$9)/SQRT((((829-43)*MAX('Inputs'!$B$33,'Inputs'!$B$29+'Inputs'!$B$31+'Inputs'!$B$32,'Inputs'!$B$30+'Inputs'!$B$31+'Inputs'!$B$32)/1000+'Inputs'!$B$21)+'Inputs'!$B$9)^2+('Inputs'!$B$8/2)^2)-(((829-43)*MAX('Inputs'!$B$33,'Inputs'!$B$29+'Inputs'!$B$31+'Inputs'!$B$32,'Inputs'!$B$30+'Inputs'!$B$31+'Inputs'!$B$32)/1000+'Inputs'!$B$21))/SQRT((((829-43)*MAX('Inputs'!$B$33,'Inputs'!$B$29+'Inputs'!$B$31+'Inputs'!$B$32,'Inputs'!$B$30+'Inputs'!$B$31+'Inputs'!$B$32)/1000+'Inputs'!$B$21))^2+('Inputs'!$B$8/2)^2)))-'Results'!B7*(1-'Inputs'!$B$24)*(0.5*((((829-43)*MAX('Inputs'!$B$33,'Inputs'!$B$29+'Inputs'!$B$31+'Inputs'!$B$32,'Inputs'!$B$30+'Inputs'!$B$31+'Inputs'!$B$32)/1000+'Inputs'!$B$21+'Inputs'!$B$9+'Inputs'!$B$10)+'Inputs'!$B$7)/SQRT((((829-43)*MAX('Inputs'!$B$33,'Inputs'!$B$29+'Inputs'!$B$31+'Inputs'!$B$32,'Inputs'!$B$30+'Inputs'!$B$31+'Inputs'!$B$32)/1000+'Inputs'!$B$21+'Inputs'!$B$9+'Inputs'!$B$10)+'Inputs'!$B$7)^2+('Inputs'!$B$6/2)^2)-(((829-43)*MAX('Inputs'!$B$33,'Inputs'!$B$29+'Inputs'!$B$31+'Inputs'!$B$32,'Inputs'!$B$30+'Inputs'!$B$31+'Inputs'!$B$32)/1000+'Inputs'!$B$21+'Inputs'!$B$9+'Inputs'!$B$10))/SQRT((((829-43)*MAX('Inputs'!$B$33,'Inputs'!$B$29+'Inputs'!$B$31+'Inputs'!$B$32,'Inputs'!$B$30+'Inputs'!$B$31+'Inputs'!$B$32)/1000+'Inputs'!$B$21+'Inputs'!$B$9+'Inputs'!$B$10))^2+('Inputs'!$B$6/2)^2))))*'Results'!$B$8)+'Inputs'!$B$28*ABS((('Results'!C7*(1+'Inputs'!$B$24)*(0.5*((((829-43)*MAX('Inputs'!$B$33,'Inputs'!$B$29+'Inputs'!$B$31+'Inputs'!$B$32,'Inputs'!$B$30+'Inputs'!$B$31+'Inputs'!$B$32)/1000+'Inputs'!$B$21)+'Inputs'!$B$9)/SQRT((((829-43)*MAX('Inputs'!$B$33,'Inputs'!$B$29+'Inputs'!$B$31+'Inputs'!$B$32,'Inputs'!$B$30+'Inputs'!$B$31+'Inputs'!$B$32)/1000+'Inputs'!$B$21)+'Inputs'!$B$9)^2+('Inputs'!$B$8/2)^2)-(((829-43)*MAX('Inputs'!$B$33,'Inputs'!$B$29+'Inputs'!$B$31+'Inputs'!$B$32,'Inputs'!$B$30+'Inputs'!$B$31+'Inputs'!$B$32)/1000+'Inputs'!$B$21))/SQRT((((829-43)*MAX('Inputs'!$B$33,'Inputs'!$B$29+'Inputs'!$B$31+'Inputs'!$B$32,'Inputs'!$B$30+'Inputs'!$B$31+'Inputs'!$B$32)/1000+'Inputs'!$B$21))^2+('Inputs'!$B$8/2)^2)))-'Results'!B7*(1-'Inputs'!$B$24)*(0.5*((((829-43)*MAX('Inputs'!$B$33,'Inputs'!$B$29+'Inputs'!$B$31+'Inputs'!$B$32,'Inputs'!$B$30+'Inputs'!$B$31+'Inputs'!$B$32)/1000+'Inputs'!$B$21+'Inputs'!$B$9+'Inputs'!$B$10)+'Inputs'!$B$7)/SQRT((((829-43)*MAX('Inputs'!$B$33,'Inputs'!$B$29+'Inputs'!$B$31+'Inputs'!$B$32,'Inputs'!$B$30+'Inputs'!$B$31+'Inputs'!$B$32)/1000+'Inputs'!$B$21+'Inputs'!$B$9+'Inputs'!$B$10)+'Inputs'!$B$7)^2+('Inputs'!$B$6/2)^2)-(((829-43)*MAX('Inputs'!$B$33,'Inputs'!$B$29+'Inputs'!$B$31+'Inputs'!$B$32,'Inputs'!$B$30+'Inputs'!$B$31+'Inputs'!$B$32)/1000+'Inputs'!$B$21+'Inputs'!$B$9+'Inputs'!$B$10))/SQRT((((829-43)*MAX('Inputs'!$B$33,'Inputs'!$B$29+'Inputs'!$B$31+'Inputs'!$B$32,'Inputs'!$B$30+'Inputs'!$B$31+'Inputs'!$B$32)/1000+'Inputs'!$B$21+'Inputs'!$B$9+'Inputs'!$B$10))^2+('Inputs'!$B$6/2)^2))))*'Results'!$B$8))),"")</x:f>
        <x:v>0.8961153969278408</x:v>
      </x:c>
      <x:c r="P829" t="n">
        <x:f>IF(AND(MAX(J829,J828)&gt;0,J829&gt;J828+0.00000001),1,0)</x:f>
        <x:v>0</x:v>
      </x:c>
      <x:c r="Q829" t="n">
        <x:f>IF(AND(MAX(K829,K828)&gt;0,K829&gt;K828+0.00000001),1,0)</x:f>
        <x:v>0</x:v>
      </x:c>
      <x:c r="R829" t="n">
        <x:f>IF(AND(MAX(L829,L828)&gt;0,L829&gt;L828+0.00000001),1,0)</x:f>
        <x:v>0</x:v>
      </x:c>
      <x:c r="S829" t="n">
        <x:f>IF(AND(MAX(M829,M828)&gt;0,M829&gt;M828+0.00000001),1,0)</x:f>
        <x:v>0</x:v>
      </x:c>
      <x:c r="T829" t="n">
        <x:f>IF(AND(MAX(N829,N828)&gt;0,N829&gt;N828+0.00000001),1,0)</x:f>
        <x:v>0</x:v>
      </x:c>
      <x:c r="U829" t="n">
        <x:f>IF(AND(MAX(O829,O828)&gt;0,O829&gt;O828+0.00000001),1,0)</x:f>
        <x:v>0</x:v>
      </x:c>
    </x:row>
    <x:row r="830">
      <x:c r="J830" t="n">
        <x:f>IF(AND(ISNUMBER('Results'!B7),ISNUMBER('Results'!C7),ISNUMBER('Results'!$B$8),ISNUMBER('Inputs'!$B$6),ISNUMBER('Inputs'!$B$7),ISNUMBER('Inputs'!$B$8),ISNUMBER('Inputs'!$B$9),ISNUMBER('Inputs'!$B$10),ISNUMBER('Inputs'!$B$21),ISNUMBER('Inputs'!$B$24),ISNUMBER('Inputs'!$B$28)),(('Results'!B7*(0.5*((((830-43)*MAX('Inputs'!$B$33,'Inputs'!$B$29+'Inputs'!$B$31+'Inputs'!$B$32,'Inputs'!$B$30+'Inputs'!$B$31+'Inputs'!$B$32)/1000+'Inputs'!$B$21)+'Inputs'!$B$7)/SQRT((((830-43)*MAX('Inputs'!$B$33,'Inputs'!$B$29+'Inputs'!$B$31+'Inputs'!$B$32,'Inputs'!$B$30+'Inputs'!$B$31+'Inputs'!$B$32)/1000+'Inputs'!$B$21)+'Inputs'!$B$7)^2+('Inputs'!$B$6/2)^2)-(((830-43)*MAX('Inputs'!$B$33,'Inputs'!$B$29+'Inputs'!$B$31+'Inputs'!$B$32,'Inputs'!$B$30+'Inputs'!$B$31+'Inputs'!$B$32)/1000+'Inputs'!$B$21))/SQRT((((830-43)*MAX('Inputs'!$B$33,'Inputs'!$B$29+'Inputs'!$B$31+'Inputs'!$B$32,'Inputs'!$B$30+'Inputs'!$B$31+'Inputs'!$B$32)/1000+'Inputs'!$B$21))^2+('Inputs'!$B$6/2)^2)))-'Results'!C7*(0.5*((((830-43)*MAX('Inputs'!$B$33,'Inputs'!$B$29+'Inputs'!$B$31+'Inputs'!$B$32,'Inputs'!$B$30+'Inputs'!$B$31+'Inputs'!$B$32)/1000+'Inputs'!$B$21+'Inputs'!$B$7+'Inputs'!$B$10)+'Inputs'!$B$9)/SQRT((((830-43)*MAX('Inputs'!$B$33,'Inputs'!$B$29+'Inputs'!$B$31+'Inputs'!$B$32,'Inputs'!$B$30+'Inputs'!$B$31+'Inputs'!$B$32)/1000+'Inputs'!$B$21+'Inputs'!$B$7+'Inputs'!$B$10)+'Inputs'!$B$9)^2+('Inputs'!$B$8/2)^2)-(((830-43)*MAX('Inputs'!$B$33,'Inputs'!$B$29+'Inputs'!$B$31+'Inputs'!$B$32,'Inputs'!$B$30+'Inputs'!$B$31+'Inputs'!$B$32)/1000+'Inputs'!$B$21+'Inputs'!$B$7+'Inputs'!$B$10))/SQRT((((830-43)*MAX('Inputs'!$B$33,'Inputs'!$B$29+'Inputs'!$B$31+'Inputs'!$B$32,'Inputs'!$B$30+'Inputs'!$B$31+'Inputs'!$B$32)/1000+'Inputs'!$B$21+'Inputs'!$B$7+'Inputs'!$B$10))^2+('Inputs'!$B$8/2)^2))))*'Results'!$B$8),"")</x:f>
        <x:v>0.8505555817417118</x:v>
      </x:c>
      <x:c r="K830" t="n">
        <x:f>IF(AND(ISNUMBER('Results'!B7),ISNUMBER('Results'!C7),ISNUMBER('Results'!$B$8),ISNUMBER('Inputs'!$B$6),ISNUMBER('Inputs'!$B$7),ISNUMBER('Inputs'!$B$8),ISNUMBER('Inputs'!$B$9),ISNUMBER('Inputs'!$B$10),ISNUMBER('Inputs'!$B$21),ISNUMBER('Inputs'!$B$24),ISNUMBER('Inputs'!$B$28)),((('Results'!B7*(1-'Inputs'!$B$24)*(0.5*((((830-43)*MAX('Inputs'!$B$33,'Inputs'!$B$29+'Inputs'!$B$31+'Inputs'!$B$32,'Inputs'!$B$30+'Inputs'!$B$31+'Inputs'!$B$32)/1000+'Inputs'!$B$21)+'Inputs'!$B$7)/SQRT((((830-43)*MAX('Inputs'!$B$33,'Inputs'!$B$29+'Inputs'!$B$31+'Inputs'!$B$32,'Inputs'!$B$30+'Inputs'!$B$31+'Inputs'!$B$32)/1000+'Inputs'!$B$21)+'Inputs'!$B$7)^2+('Inputs'!$B$6/2)^2)-(((830-43)*MAX('Inputs'!$B$33,'Inputs'!$B$29+'Inputs'!$B$31+'Inputs'!$B$32,'Inputs'!$B$30+'Inputs'!$B$31+'Inputs'!$B$32)/1000+'Inputs'!$B$21))/SQRT((((830-43)*MAX('Inputs'!$B$33,'Inputs'!$B$29+'Inputs'!$B$31+'Inputs'!$B$32,'Inputs'!$B$30+'Inputs'!$B$31+'Inputs'!$B$32)/1000+'Inputs'!$B$21))^2+('Inputs'!$B$6/2)^2)))-'Results'!C7*(1+'Inputs'!$B$24)*(0.5*((((830-43)*MAX('Inputs'!$B$33,'Inputs'!$B$29+'Inputs'!$B$31+'Inputs'!$B$32,'Inputs'!$B$30+'Inputs'!$B$31+'Inputs'!$B$32)/1000+'Inputs'!$B$21+'Inputs'!$B$7+'Inputs'!$B$10)+'Inputs'!$B$9)/SQRT((((830-43)*MAX('Inputs'!$B$33,'Inputs'!$B$29+'Inputs'!$B$31+'Inputs'!$B$32,'Inputs'!$B$30+'Inputs'!$B$31+'Inputs'!$B$32)/1000+'Inputs'!$B$21+'Inputs'!$B$7+'Inputs'!$B$10)+'Inputs'!$B$9)^2+('Inputs'!$B$8/2)^2)-(((830-43)*MAX('Inputs'!$B$33,'Inputs'!$B$29+'Inputs'!$B$31+'Inputs'!$B$32,'Inputs'!$B$30+'Inputs'!$B$31+'Inputs'!$B$32)/1000+'Inputs'!$B$21+'Inputs'!$B$7+'Inputs'!$B$10))/SQRT((((830-43)*MAX('Inputs'!$B$33,'Inputs'!$B$29+'Inputs'!$B$31+'Inputs'!$B$32,'Inputs'!$B$30+'Inputs'!$B$31+'Inputs'!$B$32)/1000+'Inputs'!$B$21+'Inputs'!$B$7+'Inputs'!$B$10))^2+('Inputs'!$B$8/2)^2))))*'Results'!$B$8)-'Inputs'!$B$28*ABS((('Results'!B7*(1-'Inputs'!$B$24)*(0.5*((((830-43)*MAX('Inputs'!$B$33,'Inputs'!$B$29+'Inputs'!$B$31+'Inputs'!$B$32,'Inputs'!$B$30+'Inputs'!$B$31+'Inputs'!$B$32)/1000+'Inputs'!$B$21)+'Inputs'!$B$7)/SQRT((((830-43)*MAX('Inputs'!$B$33,'Inputs'!$B$29+'Inputs'!$B$31+'Inputs'!$B$32,'Inputs'!$B$30+'Inputs'!$B$31+'Inputs'!$B$32)/1000+'Inputs'!$B$21)+'Inputs'!$B$7)^2+('Inputs'!$B$6/2)^2)-(((830-43)*MAX('Inputs'!$B$33,'Inputs'!$B$29+'Inputs'!$B$31+'Inputs'!$B$32,'Inputs'!$B$30+'Inputs'!$B$31+'Inputs'!$B$32)/1000+'Inputs'!$B$21))/SQRT((((830-43)*MAX('Inputs'!$B$33,'Inputs'!$B$29+'Inputs'!$B$31+'Inputs'!$B$32,'Inputs'!$B$30+'Inputs'!$B$31+'Inputs'!$B$32)/1000+'Inputs'!$B$21))^2+('Inputs'!$B$6/2)^2)))-'Results'!C7*(1+'Inputs'!$B$24)*(0.5*((((830-43)*MAX('Inputs'!$B$33,'Inputs'!$B$29+'Inputs'!$B$31+'Inputs'!$B$32,'Inputs'!$B$30+'Inputs'!$B$31+'Inputs'!$B$32)/1000+'Inputs'!$B$21+'Inputs'!$B$7+'Inputs'!$B$10)+'Inputs'!$B$9)/SQRT((((830-43)*MAX('Inputs'!$B$33,'Inputs'!$B$29+'Inputs'!$B$31+'Inputs'!$B$32,'Inputs'!$B$30+'Inputs'!$B$31+'Inputs'!$B$32)/1000+'Inputs'!$B$21+'Inputs'!$B$7+'Inputs'!$B$10)+'Inputs'!$B$9)^2+('Inputs'!$B$8/2)^2)-(((830-43)*MAX('Inputs'!$B$33,'Inputs'!$B$29+'Inputs'!$B$31+'Inputs'!$B$32,'Inputs'!$B$30+'Inputs'!$B$31+'Inputs'!$B$32)/1000+'Inputs'!$B$21+'Inputs'!$B$7+'Inputs'!$B$10))/SQRT((((830-43)*MAX('Inputs'!$B$33,'Inputs'!$B$29+'Inputs'!$B$31+'Inputs'!$B$32,'Inputs'!$B$30+'Inputs'!$B$31+'Inputs'!$B$32)/1000+'Inputs'!$B$21+'Inputs'!$B$7+'Inputs'!$B$10))^2+('Inputs'!$B$8/2)^2))))*'Results'!$B$8))),"")</x:f>
        <x:v>0.7291851348860413</x:v>
      </x:c>
      <x:c r="L830" t="n">
        <x:f>IF(AND(ISNUMBER('Results'!B7),ISNUMBER('Results'!C7),ISNUMBER('Results'!$B$8),ISNUMBER('Inputs'!$B$6),ISNUMBER('Inputs'!$B$7),ISNUMBER('Inputs'!$B$8),ISNUMBER('Inputs'!$B$9),ISNUMBER('Inputs'!$B$10),ISNUMBER('Inputs'!$B$21),ISNUMBER('Inputs'!$B$24),ISNUMBER('Inputs'!$B$28)),((('Results'!B7*(1+'Inputs'!$B$24)*(0.5*((((830-43)*MAX('Inputs'!$B$33,'Inputs'!$B$29+'Inputs'!$B$31+'Inputs'!$B$32,'Inputs'!$B$30+'Inputs'!$B$31+'Inputs'!$B$32)/1000+'Inputs'!$B$21)+'Inputs'!$B$7)/SQRT((((830-43)*MAX('Inputs'!$B$33,'Inputs'!$B$29+'Inputs'!$B$31+'Inputs'!$B$32,'Inputs'!$B$30+'Inputs'!$B$31+'Inputs'!$B$32)/1000+'Inputs'!$B$21)+'Inputs'!$B$7)^2+('Inputs'!$B$6/2)^2)-(((830-43)*MAX('Inputs'!$B$33,'Inputs'!$B$29+'Inputs'!$B$31+'Inputs'!$B$32,'Inputs'!$B$30+'Inputs'!$B$31+'Inputs'!$B$32)/1000+'Inputs'!$B$21))/SQRT((((830-43)*MAX('Inputs'!$B$33,'Inputs'!$B$29+'Inputs'!$B$31+'Inputs'!$B$32,'Inputs'!$B$30+'Inputs'!$B$31+'Inputs'!$B$32)/1000+'Inputs'!$B$21))^2+('Inputs'!$B$6/2)^2)))-'Results'!C7*(1-'Inputs'!$B$24)*(0.5*((((830-43)*MAX('Inputs'!$B$33,'Inputs'!$B$29+'Inputs'!$B$31+'Inputs'!$B$32,'Inputs'!$B$30+'Inputs'!$B$31+'Inputs'!$B$32)/1000+'Inputs'!$B$21+'Inputs'!$B$7+'Inputs'!$B$10)+'Inputs'!$B$9)/SQRT((((830-43)*MAX('Inputs'!$B$33,'Inputs'!$B$29+'Inputs'!$B$31+'Inputs'!$B$32,'Inputs'!$B$30+'Inputs'!$B$31+'Inputs'!$B$32)/1000+'Inputs'!$B$21+'Inputs'!$B$7+'Inputs'!$B$10)+'Inputs'!$B$9)^2+('Inputs'!$B$8/2)^2)-(((830-43)*MAX('Inputs'!$B$33,'Inputs'!$B$29+'Inputs'!$B$31+'Inputs'!$B$32,'Inputs'!$B$30+'Inputs'!$B$31+'Inputs'!$B$32)/1000+'Inputs'!$B$21+'Inputs'!$B$7+'Inputs'!$B$10))/SQRT((((830-43)*MAX('Inputs'!$B$33,'Inputs'!$B$29+'Inputs'!$B$31+'Inputs'!$B$32,'Inputs'!$B$30+'Inputs'!$B$31+'Inputs'!$B$32)/1000+'Inputs'!$B$21+'Inputs'!$B$7+'Inputs'!$B$10))^2+('Inputs'!$B$8/2)^2))))*'Results'!$B$8)+'Inputs'!$B$28*ABS((('Results'!B7*(1+'Inputs'!$B$24)*(0.5*((((830-43)*MAX('Inputs'!$B$33,'Inputs'!$B$29+'Inputs'!$B$31+'Inputs'!$B$32,'Inputs'!$B$30+'Inputs'!$B$31+'Inputs'!$B$32)/1000+'Inputs'!$B$21)+'Inputs'!$B$7)/SQRT((((830-43)*MAX('Inputs'!$B$33,'Inputs'!$B$29+'Inputs'!$B$31+'Inputs'!$B$32,'Inputs'!$B$30+'Inputs'!$B$31+'Inputs'!$B$32)/1000+'Inputs'!$B$21)+'Inputs'!$B$7)^2+('Inputs'!$B$6/2)^2)-(((830-43)*MAX('Inputs'!$B$33,'Inputs'!$B$29+'Inputs'!$B$31+'Inputs'!$B$32,'Inputs'!$B$30+'Inputs'!$B$31+'Inputs'!$B$32)/1000+'Inputs'!$B$21))/SQRT((((830-43)*MAX('Inputs'!$B$33,'Inputs'!$B$29+'Inputs'!$B$31+'Inputs'!$B$32,'Inputs'!$B$30+'Inputs'!$B$31+'Inputs'!$B$32)/1000+'Inputs'!$B$21))^2+('Inputs'!$B$6/2)^2)))-'Results'!C7*(1-'Inputs'!$B$24)*(0.5*((((830-43)*MAX('Inputs'!$B$33,'Inputs'!$B$29+'Inputs'!$B$31+'Inputs'!$B$32,'Inputs'!$B$30+'Inputs'!$B$31+'Inputs'!$B$32)/1000+'Inputs'!$B$21+'Inputs'!$B$7+'Inputs'!$B$10)+'Inputs'!$B$9)/SQRT((((830-43)*MAX('Inputs'!$B$33,'Inputs'!$B$29+'Inputs'!$B$31+'Inputs'!$B$32,'Inputs'!$B$30+'Inputs'!$B$31+'Inputs'!$B$32)/1000+'Inputs'!$B$21+'Inputs'!$B$7+'Inputs'!$B$10)+'Inputs'!$B$9)^2+('Inputs'!$B$8/2)^2)-(((830-43)*MAX('Inputs'!$B$33,'Inputs'!$B$29+'Inputs'!$B$31+'Inputs'!$B$32,'Inputs'!$B$30+'Inputs'!$B$31+'Inputs'!$B$32)/1000+'Inputs'!$B$21+'Inputs'!$B$7+'Inputs'!$B$10))/SQRT((((830-43)*MAX('Inputs'!$B$33,'Inputs'!$B$29+'Inputs'!$B$31+'Inputs'!$B$32,'Inputs'!$B$30+'Inputs'!$B$31+'Inputs'!$B$32)/1000+'Inputs'!$B$21+'Inputs'!$B$7+'Inputs'!$B$10))^2+('Inputs'!$B$8/2)^2))))*'Results'!$B$8))),"")</x:f>
        <x:v>0.9802252567835488</x:v>
      </x:c>
      <x:c r="M830" t="n">
        <x:f>IF(AND(ISNUMBER('Results'!C7),ISNUMBER('Results'!B7),ISNUMBER('Results'!$B$8),ISNUMBER('Inputs'!$B$6),ISNUMBER('Inputs'!$B$7),ISNUMBER('Inputs'!$B$8),ISNUMBER('Inputs'!$B$9),ISNUMBER('Inputs'!$B$10),ISNUMBER('Inputs'!$B$21),ISNUMBER('Inputs'!$B$24),ISNUMBER('Inputs'!$B$28)),(('Results'!C7*(0.5*((((830-43)*MAX('Inputs'!$B$33,'Inputs'!$B$29+'Inputs'!$B$31+'Inputs'!$B$32,'Inputs'!$B$30+'Inputs'!$B$31+'Inputs'!$B$32)/1000+'Inputs'!$B$21)+'Inputs'!$B$9)/SQRT((((830-43)*MAX('Inputs'!$B$33,'Inputs'!$B$29+'Inputs'!$B$31+'Inputs'!$B$32,'Inputs'!$B$30+'Inputs'!$B$31+'Inputs'!$B$32)/1000+'Inputs'!$B$21)+'Inputs'!$B$9)^2+('Inputs'!$B$8/2)^2)-(((830-43)*MAX('Inputs'!$B$33,'Inputs'!$B$29+'Inputs'!$B$31+'Inputs'!$B$32,'Inputs'!$B$30+'Inputs'!$B$31+'Inputs'!$B$32)/1000+'Inputs'!$B$21))/SQRT((((830-43)*MAX('Inputs'!$B$33,'Inputs'!$B$29+'Inputs'!$B$31+'Inputs'!$B$32,'Inputs'!$B$30+'Inputs'!$B$31+'Inputs'!$B$32)/1000+'Inputs'!$B$21))^2+('Inputs'!$B$8/2)^2)))-'Results'!B7*(0.5*((((830-43)*MAX('Inputs'!$B$33,'Inputs'!$B$29+'Inputs'!$B$31+'Inputs'!$B$32,'Inputs'!$B$30+'Inputs'!$B$31+'Inputs'!$B$32)/1000+'Inputs'!$B$21+'Inputs'!$B$9+'Inputs'!$B$10)+'Inputs'!$B$7)/SQRT((((830-43)*MAX('Inputs'!$B$33,'Inputs'!$B$29+'Inputs'!$B$31+'Inputs'!$B$32,'Inputs'!$B$30+'Inputs'!$B$31+'Inputs'!$B$32)/1000+'Inputs'!$B$21+'Inputs'!$B$9+'Inputs'!$B$10)+'Inputs'!$B$7)^2+('Inputs'!$B$6/2)^2)-(((830-43)*MAX('Inputs'!$B$33,'Inputs'!$B$29+'Inputs'!$B$31+'Inputs'!$B$32,'Inputs'!$B$30+'Inputs'!$B$31+'Inputs'!$B$32)/1000+'Inputs'!$B$21+'Inputs'!$B$9+'Inputs'!$B$10))/SQRT((((830-43)*MAX('Inputs'!$B$33,'Inputs'!$B$29+'Inputs'!$B$31+'Inputs'!$B$32,'Inputs'!$B$30+'Inputs'!$B$31+'Inputs'!$B$32)/1000+'Inputs'!$B$21+'Inputs'!$B$9+'Inputs'!$B$10))^2+('Inputs'!$B$6/2)^2))))*'Results'!$B$8),"")</x:f>
        <x:v>0.7668900226328309</x:v>
      </x:c>
      <x:c r="N830" t="n">
        <x:f>IF(AND(ISNUMBER('Results'!C7),ISNUMBER('Results'!B7),ISNUMBER('Results'!$B$8),ISNUMBER('Inputs'!$B$6),ISNUMBER('Inputs'!$B$7),ISNUMBER('Inputs'!$B$8),ISNUMBER('Inputs'!$B$9),ISNUMBER('Inputs'!$B$10),ISNUMBER('Inputs'!$B$21),ISNUMBER('Inputs'!$B$24),ISNUMBER('Inputs'!$B$28)),((('Results'!C7*(1-'Inputs'!$B$24)*(0.5*((((830-43)*MAX('Inputs'!$B$33,'Inputs'!$B$29+'Inputs'!$B$31+'Inputs'!$B$32,'Inputs'!$B$30+'Inputs'!$B$31+'Inputs'!$B$32)/1000+'Inputs'!$B$21)+'Inputs'!$B$9)/SQRT((((830-43)*MAX('Inputs'!$B$33,'Inputs'!$B$29+'Inputs'!$B$31+'Inputs'!$B$32,'Inputs'!$B$30+'Inputs'!$B$31+'Inputs'!$B$32)/1000+'Inputs'!$B$21)+'Inputs'!$B$9)^2+('Inputs'!$B$8/2)^2)-(((830-43)*MAX('Inputs'!$B$33,'Inputs'!$B$29+'Inputs'!$B$31+'Inputs'!$B$32,'Inputs'!$B$30+'Inputs'!$B$31+'Inputs'!$B$32)/1000+'Inputs'!$B$21))/SQRT((((830-43)*MAX('Inputs'!$B$33,'Inputs'!$B$29+'Inputs'!$B$31+'Inputs'!$B$32,'Inputs'!$B$30+'Inputs'!$B$31+'Inputs'!$B$32)/1000+'Inputs'!$B$21))^2+('Inputs'!$B$8/2)^2)))-'Results'!B7*(1+'Inputs'!$B$24)*(0.5*((((830-43)*MAX('Inputs'!$B$33,'Inputs'!$B$29+'Inputs'!$B$31+'Inputs'!$B$32,'Inputs'!$B$30+'Inputs'!$B$31+'Inputs'!$B$32)/1000+'Inputs'!$B$21+'Inputs'!$B$9+'Inputs'!$B$10)+'Inputs'!$B$7)/SQRT((((830-43)*MAX('Inputs'!$B$33,'Inputs'!$B$29+'Inputs'!$B$31+'Inputs'!$B$32,'Inputs'!$B$30+'Inputs'!$B$31+'Inputs'!$B$32)/1000+'Inputs'!$B$21+'Inputs'!$B$9+'Inputs'!$B$10)+'Inputs'!$B$7)^2+('Inputs'!$B$6/2)^2)-(((830-43)*MAX('Inputs'!$B$33,'Inputs'!$B$29+'Inputs'!$B$31+'Inputs'!$B$32,'Inputs'!$B$30+'Inputs'!$B$31+'Inputs'!$B$32)/1000+'Inputs'!$B$21+'Inputs'!$B$9+'Inputs'!$B$10))/SQRT((((830-43)*MAX('Inputs'!$B$33,'Inputs'!$B$29+'Inputs'!$B$31+'Inputs'!$B$32,'Inputs'!$B$30+'Inputs'!$B$31+'Inputs'!$B$32)/1000+'Inputs'!$B$21+'Inputs'!$B$9+'Inputs'!$B$10))^2+('Inputs'!$B$6/2)^2))))*'Results'!$B$8)-'Inputs'!$B$28*ABS((('Results'!C7*(1-'Inputs'!$B$24)*(0.5*((((830-43)*MAX('Inputs'!$B$33,'Inputs'!$B$29+'Inputs'!$B$31+'Inputs'!$B$32,'Inputs'!$B$30+'Inputs'!$B$31+'Inputs'!$B$32)/1000+'Inputs'!$B$21)+'Inputs'!$B$9)/SQRT((((830-43)*MAX('Inputs'!$B$33,'Inputs'!$B$29+'Inputs'!$B$31+'Inputs'!$B$32,'Inputs'!$B$30+'Inputs'!$B$31+'Inputs'!$B$32)/1000+'Inputs'!$B$21)+'Inputs'!$B$9)^2+('Inputs'!$B$8/2)^2)-(((830-43)*MAX('Inputs'!$B$33,'Inputs'!$B$29+'Inputs'!$B$31+'Inputs'!$B$32,'Inputs'!$B$30+'Inputs'!$B$31+'Inputs'!$B$32)/1000+'Inputs'!$B$21))/SQRT((((830-43)*MAX('Inputs'!$B$33,'Inputs'!$B$29+'Inputs'!$B$31+'Inputs'!$B$32,'Inputs'!$B$30+'Inputs'!$B$31+'Inputs'!$B$32)/1000+'Inputs'!$B$21))^2+('Inputs'!$B$8/2)^2)))-'Results'!B7*(1+'Inputs'!$B$24)*(0.5*((((830-43)*MAX('Inputs'!$B$33,'Inputs'!$B$29+'Inputs'!$B$31+'Inputs'!$B$32,'Inputs'!$B$30+'Inputs'!$B$31+'Inputs'!$B$32)/1000+'Inputs'!$B$21+'Inputs'!$B$9+'Inputs'!$B$10)+'Inputs'!$B$7)/SQRT((((830-43)*MAX('Inputs'!$B$33,'Inputs'!$B$29+'Inputs'!$B$31+'Inputs'!$B$32,'Inputs'!$B$30+'Inputs'!$B$31+'Inputs'!$B$32)/1000+'Inputs'!$B$21+'Inputs'!$B$9+'Inputs'!$B$10)+'Inputs'!$B$7)^2+('Inputs'!$B$6/2)^2)-(((830-43)*MAX('Inputs'!$B$33,'Inputs'!$B$29+'Inputs'!$B$31+'Inputs'!$B$32,'Inputs'!$B$30+'Inputs'!$B$31+'Inputs'!$B$32)/1000+'Inputs'!$B$21+'Inputs'!$B$9+'Inputs'!$B$10))/SQRT((((830-43)*MAX('Inputs'!$B$33,'Inputs'!$B$29+'Inputs'!$B$31+'Inputs'!$B$32,'Inputs'!$B$30+'Inputs'!$B$31+'Inputs'!$B$32)/1000+'Inputs'!$B$21+'Inputs'!$B$9+'Inputs'!$B$10))^2+('Inputs'!$B$6/2)^2))))*'Results'!$B$8))),"")</x:f>
        <x:v>0.6500132725859693</x:v>
      </x:c>
      <x:c r="O830" t="n">
        <x:f>IF(AND(ISNUMBER('Results'!C7),ISNUMBER('Results'!B7),ISNUMBER('Results'!$B$8),ISNUMBER('Inputs'!$B$6),ISNUMBER('Inputs'!$B$7),ISNUMBER('Inputs'!$B$8),ISNUMBER('Inputs'!$B$9),ISNUMBER('Inputs'!$B$10),ISNUMBER('Inputs'!$B$21),ISNUMBER('Inputs'!$B$24),ISNUMBER('Inputs'!$B$28)),((('Results'!C7*(1+'Inputs'!$B$24)*(0.5*((((830-43)*MAX('Inputs'!$B$33,'Inputs'!$B$29+'Inputs'!$B$31+'Inputs'!$B$32,'Inputs'!$B$30+'Inputs'!$B$31+'Inputs'!$B$32)/1000+'Inputs'!$B$21)+'Inputs'!$B$9)/SQRT((((830-43)*MAX('Inputs'!$B$33,'Inputs'!$B$29+'Inputs'!$B$31+'Inputs'!$B$32,'Inputs'!$B$30+'Inputs'!$B$31+'Inputs'!$B$32)/1000+'Inputs'!$B$21)+'Inputs'!$B$9)^2+('Inputs'!$B$8/2)^2)-(((830-43)*MAX('Inputs'!$B$33,'Inputs'!$B$29+'Inputs'!$B$31+'Inputs'!$B$32,'Inputs'!$B$30+'Inputs'!$B$31+'Inputs'!$B$32)/1000+'Inputs'!$B$21))/SQRT((((830-43)*MAX('Inputs'!$B$33,'Inputs'!$B$29+'Inputs'!$B$31+'Inputs'!$B$32,'Inputs'!$B$30+'Inputs'!$B$31+'Inputs'!$B$32)/1000+'Inputs'!$B$21))^2+('Inputs'!$B$8/2)^2)))-'Results'!B7*(1-'Inputs'!$B$24)*(0.5*((((830-43)*MAX('Inputs'!$B$33,'Inputs'!$B$29+'Inputs'!$B$31+'Inputs'!$B$32,'Inputs'!$B$30+'Inputs'!$B$31+'Inputs'!$B$32)/1000+'Inputs'!$B$21+'Inputs'!$B$9+'Inputs'!$B$10)+'Inputs'!$B$7)/SQRT((((830-43)*MAX('Inputs'!$B$33,'Inputs'!$B$29+'Inputs'!$B$31+'Inputs'!$B$32,'Inputs'!$B$30+'Inputs'!$B$31+'Inputs'!$B$32)/1000+'Inputs'!$B$21+'Inputs'!$B$9+'Inputs'!$B$10)+'Inputs'!$B$7)^2+('Inputs'!$B$6/2)^2)-(((830-43)*MAX('Inputs'!$B$33,'Inputs'!$B$29+'Inputs'!$B$31+'Inputs'!$B$32,'Inputs'!$B$30+'Inputs'!$B$31+'Inputs'!$B$32)/1000+'Inputs'!$B$21+'Inputs'!$B$9+'Inputs'!$B$10))/SQRT((((830-43)*MAX('Inputs'!$B$33,'Inputs'!$B$29+'Inputs'!$B$31+'Inputs'!$B$32,'Inputs'!$B$30+'Inputs'!$B$31+'Inputs'!$B$32)/1000+'Inputs'!$B$21+'Inputs'!$B$9+'Inputs'!$B$10))^2+('Inputs'!$B$6/2)^2))))*'Results'!$B$8)+'Inputs'!$B$28*ABS((('Results'!C7*(1+'Inputs'!$B$24)*(0.5*((((830-43)*MAX('Inputs'!$B$33,'Inputs'!$B$29+'Inputs'!$B$31+'Inputs'!$B$32,'Inputs'!$B$30+'Inputs'!$B$31+'Inputs'!$B$32)/1000+'Inputs'!$B$21)+'Inputs'!$B$9)/SQRT((((830-43)*MAX('Inputs'!$B$33,'Inputs'!$B$29+'Inputs'!$B$31+'Inputs'!$B$32,'Inputs'!$B$30+'Inputs'!$B$31+'Inputs'!$B$32)/1000+'Inputs'!$B$21)+'Inputs'!$B$9)^2+('Inputs'!$B$8/2)^2)-(((830-43)*MAX('Inputs'!$B$33,'Inputs'!$B$29+'Inputs'!$B$31+'Inputs'!$B$32,'Inputs'!$B$30+'Inputs'!$B$31+'Inputs'!$B$32)/1000+'Inputs'!$B$21))/SQRT((((830-43)*MAX('Inputs'!$B$33,'Inputs'!$B$29+'Inputs'!$B$31+'Inputs'!$B$32,'Inputs'!$B$30+'Inputs'!$B$31+'Inputs'!$B$32)/1000+'Inputs'!$B$21))^2+('Inputs'!$B$8/2)^2)))-'Results'!B7*(1-'Inputs'!$B$24)*(0.5*((((830-43)*MAX('Inputs'!$B$33,'Inputs'!$B$29+'Inputs'!$B$31+'Inputs'!$B$32,'Inputs'!$B$30+'Inputs'!$B$31+'Inputs'!$B$32)/1000+'Inputs'!$B$21+'Inputs'!$B$9+'Inputs'!$B$10)+'Inputs'!$B$7)/SQRT((((830-43)*MAX('Inputs'!$B$33,'Inputs'!$B$29+'Inputs'!$B$31+'Inputs'!$B$32,'Inputs'!$B$30+'Inputs'!$B$31+'Inputs'!$B$32)/1000+'Inputs'!$B$21+'Inputs'!$B$9+'Inputs'!$B$10)+'Inputs'!$B$7)^2+('Inputs'!$B$6/2)^2)-(((830-43)*MAX('Inputs'!$B$33,'Inputs'!$B$29+'Inputs'!$B$31+'Inputs'!$B$32,'Inputs'!$B$30+'Inputs'!$B$31+'Inputs'!$B$32)/1000+'Inputs'!$B$21+'Inputs'!$B$9+'Inputs'!$B$10))/SQRT((((830-43)*MAX('Inputs'!$B$33,'Inputs'!$B$29+'Inputs'!$B$31+'Inputs'!$B$32,'Inputs'!$B$30+'Inputs'!$B$31+'Inputs'!$B$32)/1000+'Inputs'!$B$21+'Inputs'!$B$9+'Inputs'!$B$10))^2+('Inputs'!$B$6/2)^2))))*'Results'!$B$8))),"")</x:f>
        <x:v>0.8920333251970841</x:v>
      </x:c>
      <x:c r="P830" t="n">
        <x:f>IF(AND(MAX(J830,J829)&gt;0,J830&gt;J829+0.00000001),1,0)</x:f>
        <x:v>0</x:v>
      </x:c>
      <x:c r="Q830" t="n">
        <x:f>IF(AND(MAX(K830,K829)&gt;0,K830&gt;K829+0.00000001),1,0)</x:f>
        <x:v>0</x:v>
      </x:c>
      <x:c r="R830" t="n">
        <x:f>IF(AND(MAX(L830,L829)&gt;0,L830&gt;L829+0.00000001),1,0)</x:f>
        <x:v>0</x:v>
      </x:c>
      <x:c r="S830" t="n">
        <x:f>IF(AND(MAX(M830,M829)&gt;0,M830&gt;M829+0.00000001),1,0)</x:f>
        <x:v>0</x:v>
      </x:c>
      <x:c r="T830" t="n">
        <x:f>IF(AND(MAX(N830,N829)&gt;0,N830&gt;N829+0.00000001),1,0)</x:f>
        <x:v>0</x:v>
      </x:c>
      <x:c r="U830" t="n">
        <x:f>IF(AND(MAX(O830,O829)&gt;0,O830&gt;O829+0.00000001),1,0)</x:f>
        <x:v>0</x:v>
      </x:c>
    </x:row>
    <x:row r="831">
      <x:c r="J831" t="n">
        <x:f>IF(AND(ISNUMBER('Results'!B7),ISNUMBER('Results'!C7),ISNUMBER('Results'!$B$8),ISNUMBER('Inputs'!$B$6),ISNUMBER('Inputs'!$B$7),ISNUMBER('Inputs'!$B$8),ISNUMBER('Inputs'!$B$9),ISNUMBER('Inputs'!$B$10),ISNUMBER('Inputs'!$B$21),ISNUMBER('Inputs'!$B$24),ISNUMBER('Inputs'!$B$28)),(('Results'!B7*(0.5*((((831-43)*MAX('Inputs'!$B$33,'Inputs'!$B$29+'Inputs'!$B$31+'Inputs'!$B$32,'Inputs'!$B$30+'Inputs'!$B$31+'Inputs'!$B$32)/1000+'Inputs'!$B$21)+'Inputs'!$B$7)/SQRT((((831-43)*MAX('Inputs'!$B$33,'Inputs'!$B$29+'Inputs'!$B$31+'Inputs'!$B$32,'Inputs'!$B$30+'Inputs'!$B$31+'Inputs'!$B$32)/1000+'Inputs'!$B$21)+'Inputs'!$B$7)^2+('Inputs'!$B$6/2)^2)-(((831-43)*MAX('Inputs'!$B$33,'Inputs'!$B$29+'Inputs'!$B$31+'Inputs'!$B$32,'Inputs'!$B$30+'Inputs'!$B$31+'Inputs'!$B$32)/1000+'Inputs'!$B$21))/SQRT((((831-43)*MAX('Inputs'!$B$33,'Inputs'!$B$29+'Inputs'!$B$31+'Inputs'!$B$32,'Inputs'!$B$30+'Inputs'!$B$31+'Inputs'!$B$32)/1000+'Inputs'!$B$21))^2+('Inputs'!$B$6/2)^2)))-'Results'!C7*(0.5*((((831-43)*MAX('Inputs'!$B$33,'Inputs'!$B$29+'Inputs'!$B$31+'Inputs'!$B$32,'Inputs'!$B$30+'Inputs'!$B$31+'Inputs'!$B$32)/1000+'Inputs'!$B$21+'Inputs'!$B$7+'Inputs'!$B$10)+'Inputs'!$B$9)/SQRT((((831-43)*MAX('Inputs'!$B$33,'Inputs'!$B$29+'Inputs'!$B$31+'Inputs'!$B$32,'Inputs'!$B$30+'Inputs'!$B$31+'Inputs'!$B$32)/1000+'Inputs'!$B$21+'Inputs'!$B$7+'Inputs'!$B$10)+'Inputs'!$B$9)^2+('Inputs'!$B$8/2)^2)-(((831-43)*MAX('Inputs'!$B$33,'Inputs'!$B$29+'Inputs'!$B$31+'Inputs'!$B$32,'Inputs'!$B$30+'Inputs'!$B$31+'Inputs'!$B$32)/1000+'Inputs'!$B$21+'Inputs'!$B$7+'Inputs'!$B$10))/SQRT((((831-43)*MAX('Inputs'!$B$33,'Inputs'!$B$29+'Inputs'!$B$31+'Inputs'!$B$32,'Inputs'!$B$30+'Inputs'!$B$31+'Inputs'!$B$32)/1000+'Inputs'!$B$21+'Inputs'!$B$7+'Inputs'!$B$10))^2+('Inputs'!$B$8/2)^2))))*'Results'!$B$8),"")</x:f>
        <x:v>0.8466864196385777</x:v>
      </x:c>
      <x:c r="K831" t="n">
        <x:f>IF(AND(ISNUMBER('Results'!B7),ISNUMBER('Results'!C7),ISNUMBER('Results'!$B$8),ISNUMBER('Inputs'!$B$6),ISNUMBER('Inputs'!$B$7),ISNUMBER('Inputs'!$B$8),ISNUMBER('Inputs'!$B$9),ISNUMBER('Inputs'!$B$10),ISNUMBER('Inputs'!$B$21),ISNUMBER('Inputs'!$B$24),ISNUMBER('Inputs'!$B$28)),((('Results'!B7*(1-'Inputs'!$B$24)*(0.5*((((831-43)*MAX('Inputs'!$B$33,'Inputs'!$B$29+'Inputs'!$B$31+'Inputs'!$B$32,'Inputs'!$B$30+'Inputs'!$B$31+'Inputs'!$B$32)/1000+'Inputs'!$B$21)+'Inputs'!$B$7)/SQRT((((831-43)*MAX('Inputs'!$B$33,'Inputs'!$B$29+'Inputs'!$B$31+'Inputs'!$B$32,'Inputs'!$B$30+'Inputs'!$B$31+'Inputs'!$B$32)/1000+'Inputs'!$B$21)+'Inputs'!$B$7)^2+('Inputs'!$B$6/2)^2)-(((831-43)*MAX('Inputs'!$B$33,'Inputs'!$B$29+'Inputs'!$B$31+'Inputs'!$B$32,'Inputs'!$B$30+'Inputs'!$B$31+'Inputs'!$B$32)/1000+'Inputs'!$B$21))/SQRT((((831-43)*MAX('Inputs'!$B$33,'Inputs'!$B$29+'Inputs'!$B$31+'Inputs'!$B$32,'Inputs'!$B$30+'Inputs'!$B$31+'Inputs'!$B$32)/1000+'Inputs'!$B$21))^2+('Inputs'!$B$6/2)^2)))-'Results'!C7*(1+'Inputs'!$B$24)*(0.5*((((831-43)*MAX('Inputs'!$B$33,'Inputs'!$B$29+'Inputs'!$B$31+'Inputs'!$B$32,'Inputs'!$B$30+'Inputs'!$B$31+'Inputs'!$B$32)/1000+'Inputs'!$B$21+'Inputs'!$B$7+'Inputs'!$B$10)+'Inputs'!$B$9)/SQRT((((831-43)*MAX('Inputs'!$B$33,'Inputs'!$B$29+'Inputs'!$B$31+'Inputs'!$B$32,'Inputs'!$B$30+'Inputs'!$B$31+'Inputs'!$B$32)/1000+'Inputs'!$B$21+'Inputs'!$B$7+'Inputs'!$B$10)+'Inputs'!$B$9)^2+('Inputs'!$B$8/2)^2)-(((831-43)*MAX('Inputs'!$B$33,'Inputs'!$B$29+'Inputs'!$B$31+'Inputs'!$B$32,'Inputs'!$B$30+'Inputs'!$B$31+'Inputs'!$B$32)/1000+'Inputs'!$B$21+'Inputs'!$B$7+'Inputs'!$B$10))/SQRT((((831-43)*MAX('Inputs'!$B$33,'Inputs'!$B$29+'Inputs'!$B$31+'Inputs'!$B$32,'Inputs'!$B$30+'Inputs'!$B$31+'Inputs'!$B$32)/1000+'Inputs'!$B$21+'Inputs'!$B$7+'Inputs'!$B$10))^2+('Inputs'!$B$8/2)^2))))*'Results'!$B$8)-'Inputs'!$B$28*ABS((('Results'!B7*(1-'Inputs'!$B$24)*(0.5*((((831-43)*MAX('Inputs'!$B$33,'Inputs'!$B$29+'Inputs'!$B$31+'Inputs'!$B$32,'Inputs'!$B$30+'Inputs'!$B$31+'Inputs'!$B$32)/1000+'Inputs'!$B$21)+'Inputs'!$B$7)/SQRT((((831-43)*MAX('Inputs'!$B$33,'Inputs'!$B$29+'Inputs'!$B$31+'Inputs'!$B$32,'Inputs'!$B$30+'Inputs'!$B$31+'Inputs'!$B$32)/1000+'Inputs'!$B$21)+'Inputs'!$B$7)^2+('Inputs'!$B$6/2)^2)-(((831-43)*MAX('Inputs'!$B$33,'Inputs'!$B$29+'Inputs'!$B$31+'Inputs'!$B$32,'Inputs'!$B$30+'Inputs'!$B$31+'Inputs'!$B$32)/1000+'Inputs'!$B$21))/SQRT((((831-43)*MAX('Inputs'!$B$33,'Inputs'!$B$29+'Inputs'!$B$31+'Inputs'!$B$32,'Inputs'!$B$30+'Inputs'!$B$31+'Inputs'!$B$32)/1000+'Inputs'!$B$21))^2+('Inputs'!$B$6/2)^2)))-'Results'!C7*(1+'Inputs'!$B$24)*(0.5*((((831-43)*MAX('Inputs'!$B$33,'Inputs'!$B$29+'Inputs'!$B$31+'Inputs'!$B$32,'Inputs'!$B$30+'Inputs'!$B$31+'Inputs'!$B$32)/1000+'Inputs'!$B$21+'Inputs'!$B$7+'Inputs'!$B$10)+'Inputs'!$B$9)/SQRT((((831-43)*MAX('Inputs'!$B$33,'Inputs'!$B$29+'Inputs'!$B$31+'Inputs'!$B$32,'Inputs'!$B$30+'Inputs'!$B$31+'Inputs'!$B$32)/1000+'Inputs'!$B$21+'Inputs'!$B$7+'Inputs'!$B$10)+'Inputs'!$B$9)^2+('Inputs'!$B$8/2)^2)-(((831-43)*MAX('Inputs'!$B$33,'Inputs'!$B$29+'Inputs'!$B$31+'Inputs'!$B$32,'Inputs'!$B$30+'Inputs'!$B$31+'Inputs'!$B$32)/1000+'Inputs'!$B$21+'Inputs'!$B$7+'Inputs'!$B$10))/SQRT((((831-43)*MAX('Inputs'!$B$33,'Inputs'!$B$29+'Inputs'!$B$31+'Inputs'!$B$32,'Inputs'!$B$30+'Inputs'!$B$31+'Inputs'!$B$32)/1000+'Inputs'!$B$21+'Inputs'!$B$7+'Inputs'!$B$10))^2+('Inputs'!$B$8/2)^2))))*'Results'!$B$8))),"")</x:f>
        <x:v>0.7257851874587231</x:v>
      </x:c>
      <x:c r="L831" t="n">
        <x:f>IF(AND(ISNUMBER('Results'!B7),ISNUMBER('Results'!C7),ISNUMBER('Results'!$B$8),ISNUMBER('Inputs'!$B$6),ISNUMBER('Inputs'!$B$7),ISNUMBER('Inputs'!$B$8),ISNUMBER('Inputs'!$B$9),ISNUMBER('Inputs'!$B$10),ISNUMBER('Inputs'!$B$21),ISNUMBER('Inputs'!$B$24),ISNUMBER('Inputs'!$B$28)),((('Results'!B7*(1+'Inputs'!$B$24)*(0.5*((((831-43)*MAX('Inputs'!$B$33,'Inputs'!$B$29+'Inputs'!$B$31+'Inputs'!$B$32,'Inputs'!$B$30+'Inputs'!$B$31+'Inputs'!$B$32)/1000+'Inputs'!$B$21)+'Inputs'!$B$7)/SQRT((((831-43)*MAX('Inputs'!$B$33,'Inputs'!$B$29+'Inputs'!$B$31+'Inputs'!$B$32,'Inputs'!$B$30+'Inputs'!$B$31+'Inputs'!$B$32)/1000+'Inputs'!$B$21)+'Inputs'!$B$7)^2+('Inputs'!$B$6/2)^2)-(((831-43)*MAX('Inputs'!$B$33,'Inputs'!$B$29+'Inputs'!$B$31+'Inputs'!$B$32,'Inputs'!$B$30+'Inputs'!$B$31+'Inputs'!$B$32)/1000+'Inputs'!$B$21))/SQRT((((831-43)*MAX('Inputs'!$B$33,'Inputs'!$B$29+'Inputs'!$B$31+'Inputs'!$B$32,'Inputs'!$B$30+'Inputs'!$B$31+'Inputs'!$B$32)/1000+'Inputs'!$B$21))^2+('Inputs'!$B$6/2)^2)))-'Results'!C7*(1-'Inputs'!$B$24)*(0.5*((((831-43)*MAX('Inputs'!$B$33,'Inputs'!$B$29+'Inputs'!$B$31+'Inputs'!$B$32,'Inputs'!$B$30+'Inputs'!$B$31+'Inputs'!$B$32)/1000+'Inputs'!$B$21+'Inputs'!$B$7+'Inputs'!$B$10)+'Inputs'!$B$9)/SQRT((((831-43)*MAX('Inputs'!$B$33,'Inputs'!$B$29+'Inputs'!$B$31+'Inputs'!$B$32,'Inputs'!$B$30+'Inputs'!$B$31+'Inputs'!$B$32)/1000+'Inputs'!$B$21+'Inputs'!$B$7+'Inputs'!$B$10)+'Inputs'!$B$9)^2+('Inputs'!$B$8/2)^2)-(((831-43)*MAX('Inputs'!$B$33,'Inputs'!$B$29+'Inputs'!$B$31+'Inputs'!$B$32,'Inputs'!$B$30+'Inputs'!$B$31+'Inputs'!$B$32)/1000+'Inputs'!$B$21+'Inputs'!$B$7+'Inputs'!$B$10))/SQRT((((831-43)*MAX('Inputs'!$B$33,'Inputs'!$B$29+'Inputs'!$B$31+'Inputs'!$B$32,'Inputs'!$B$30+'Inputs'!$B$31+'Inputs'!$B$32)/1000+'Inputs'!$B$21+'Inputs'!$B$7+'Inputs'!$B$10))^2+('Inputs'!$B$8/2)^2))))*'Results'!$B$8)+'Inputs'!$B$28*ABS((('Results'!B7*(1+'Inputs'!$B$24)*(0.5*((((831-43)*MAX('Inputs'!$B$33,'Inputs'!$B$29+'Inputs'!$B$31+'Inputs'!$B$32,'Inputs'!$B$30+'Inputs'!$B$31+'Inputs'!$B$32)/1000+'Inputs'!$B$21)+'Inputs'!$B$7)/SQRT((((831-43)*MAX('Inputs'!$B$33,'Inputs'!$B$29+'Inputs'!$B$31+'Inputs'!$B$32,'Inputs'!$B$30+'Inputs'!$B$31+'Inputs'!$B$32)/1000+'Inputs'!$B$21)+'Inputs'!$B$7)^2+('Inputs'!$B$6/2)^2)-(((831-43)*MAX('Inputs'!$B$33,'Inputs'!$B$29+'Inputs'!$B$31+'Inputs'!$B$32,'Inputs'!$B$30+'Inputs'!$B$31+'Inputs'!$B$32)/1000+'Inputs'!$B$21))/SQRT((((831-43)*MAX('Inputs'!$B$33,'Inputs'!$B$29+'Inputs'!$B$31+'Inputs'!$B$32,'Inputs'!$B$30+'Inputs'!$B$31+'Inputs'!$B$32)/1000+'Inputs'!$B$21))^2+('Inputs'!$B$6/2)^2)))-'Results'!C7*(1-'Inputs'!$B$24)*(0.5*((((831-43)*MAX('Inputs'!$B$33,'Inputs'!$B$29+'Inputs'!$B$31+'Inputs'!$B$32,'Inputs'!$B$30+'Inputs'!$B$31+'Inputs'!$B$32)/1000+'Inputs'!$B$21+'Inputs'!$B$7+'Inputs'!$B$10)+'Inputs'!$B$9)/SQRT((((831-43)*MAX('Inputs'!$B$33,'Inputs'!$B$29+'Inputs'!$B$31+'Inputs'!$B$32,'Inputs'!$B$30+'Inputs'!$B$31+'Inputs'!$B$32)/1000+'Inputs'!$B$21+'Inputs'!$B$7+'Inputs'!$B$10)+'Inputs'!$B$9)^2+('Inputs'!$B$8/2)^2)-(((831-43)*MAX('Inputs'!$B$33,'Inputs'!$B$29+'Inputs'!$B$31+'Inputs'!$B$32,'Inputs'!$B$30+'Inputs'!$B$31+'Inputs'!$B$32)/1000+'Inputs'!$B$21+'Inputs'!$B$7+'Inputs'!$B$10))/SQRT((((831-43)*MAX('Inputs'!$B$33,'Inputs'!$B$29+'Inputs'!$B$31+'Inputs'!$B$32,'Inputs'!$B$30+'Inputs'!$B$31+'Inputs'!$B$32)/1000+'Inputs'!$B$21+'Inputs'!$B$7+'Inputs'!$B$10))^2+('Inputs'!$B$8/2)^2))))*'Results'!$B$8))),"")</x:f>
        <x:v>0.9758578529971617</x:v>
      </x:c>
      <x:c r="M831" t="n">
        <x:f>IF(AND(ISNUMBER('Results'!C7),ISNUMBER('Results'!B7),ISNUMBER('Results'!$B$8),ISNUMBER('Inputs'!$B$6),ISNUMBER('Inputs'!$B$7),ISNUMBER('Inputs'!$B$8),ISNUMBER('Inputs'!$B$9),ISNUMBER('Inputs'!$B$10),ISNUMBER('Inputs'!$B$21),ISNUMBER('Inputs'!$B$24),ISNUMBER('Inputs'!$B$28)),(('Results'!C7*(0.5*((((831-43)*MAX('Inputs'!$B$33,'Inputs'!$B$29+'Inputs'!$B$31+'Inputs'!$B$32,'Inputs'!$B$30+'Inputs'!$B$31+'Inputs'!$B$32)/1000+'Inputs'!$B$21)+'Inputs'!$B$9)/SQRT((((831-43)*MAX('Inputs'!$B$33,'Inputs'!$B$29+'Inputs'!$B$31+'Inputs'!$B$32,'Inputs'!$B$30+'Inputs'!$B$31+'Inputs'!$B$32)/1000+'Inputs'!$B$21)+'Inputs'!$B$9)^2+('Inputs'!$B$8/2)^2)-(((831-43)*MAX('Inputs'!$B$33,'Inputs'!$B$29+'Inputs'!$B$31+'Inputs'!$B$32,'Inputs'!$B$30+'Inputs'!$B$31+'Inputs'!$B$32)/1000+'Inputs'!$B$21))/SQRT((((831-43)*MAX('Inputs'!$B$33,'Inputs'!$B$29+'Inputs'!$B$31+'Inputs'!$B$32,'Inputs'!$B$30+'Inputs'!$B$31+'Inputs'!$B$32)/1000+'Inputs'!$B$21))^2+('Inputs'!$B$8/2)^2)))-'Results'!B7*(0.5*((((831-43)*MAX('Inputs'!$B$33,'Inputs'!$B$29+'Inputs'!$B$31+'Inputs'!$B$32,'Inputs'!$B$30+'Inputs'!$B$31+'Inputs'!$B$32)/1000+'Inputs'!$B$21+'Inputs'!$B$9+'Inputs'!$B$10)+'Inputs'!$B$7)/SQRT((((831-43)*MAX('Inputs'!$B$33,'Inputs'!$B$29+'Inputs'!$B$31+'Inputs'!$B$32,'Inputs'!$B$30+'Inputs'!$B$31+'Inputs'!$B$32)/1000+'Inputs'!$B$21+'Inputs'!$B$9+'Inputs'!$B$10)+'Inputs'!$B$7)^2+('Inputs'!$B$6/2)^2)-(((831-43)*MAX('Inputs'!$B$33,'Inputs'!$B$29+'Inputs'!$B$31+'Inputs'!$B$32,'Inputs'!$B$30+'Inputs'!$B$31+'Inputs'!$B$32)/1000+'Inputs'!$B$21+'Inputs'!$B$9+'Inputs'!$B$10))/SQRT((((831-43)*MAX('Inputs'!$B$33,'Inputs'!$B$29+'Inputs'!$B$31+'Inputs'!$B$32,'Inputs'!$B$30+'Inputs'!$B$31+'Inputs'!$B$32)/1000+'Inputs'!$B$21+'Inputs'!$B$9+'Inputs'!$B$10))^2+('Inputs'!$B$6/2)^2))))*'Results'!$B$8),"")</x:f>
        <x:v>0.7633133029186906</x:v>
      </x:c>
      <x:c r="N831" t="n">
        <x:f>IF(AND(ISNUMBER('Results'!C7),ISNUMBER('Results'!B7),ISNUMBER('Results'!$B$8),ISNUMBER('Inputs'!$B$6),ISNUMBER('Inputs'!$B$7),ISNUMBER('Inputs'!$B$8),ISNUMBER('Inputs'!$B$9),ISNUMBER('Inputs'!$B$10),ISNUMBER('Inputs'!$B$21),ISNUMBER('Inputs'!$B$24),ISNUMBER('Inputs'!$B$28)),((('Results'!C7*(1-'Inputs'!$B$24)*(0.5*((((831-43)*MAX('Inputs'!$B$33,'Inputs'!$B$29+'Inputs'!$B$31+'Inputs'!$B$32,'Inputs'!$B$30+'Inputs'!$B$31+'Inputs'!$B$32)/1000+'Inputs'!$B$21)+'Inputs'!$B$9)/SQRT((((831-43)*MAX('Inputs'!$B$33,'Inputs'!$B$29+'Inputs'!$B$31+'Inputs'!$B$32,'Inputs'!$B$30+'Inputs'!$B$31+'Inputs'!$B$32)/1000+'Inputs'!$B$21)+'Inputs'!$B$9)^2+('Inputs'!$B$8/2)^2)-(((831-43)*MAX('Inputs'!$B$33,'Inputs'!$B$29+'Inputs'!$B$31+'Inputs'!$B$32,'Inputs'!$B$30+'Inputs'!$B$31+'Inputs'!$B$32)/1000+'Inputs'!$B$21))/SQRT((((831-43)*MAX('Inputs'!$B$33,'Inputs'!$B$29+'Inputs'!$B$31+'Inputs'!$B$32,'Inputs'!$B$30+'Inputs'!$B$31+'Inputs'!$B$32)/1000+'Inputs'!$B$21))^2+('Inputs'!$B$8/2)^2)))-'Results'!B7*(1+'Inputs'!$B$24)*(0.5*((((831-43)*MAX('Inputs'!$B$33,'Inputs'!$B$29+'Inputs'!$B$31+'Inputs'!$B$32,'Inputs'!$B$30+'Inputs'!$B$31+'Inputs'!$B$32)/1000+'Inputs'!$B$21+'Inputs'!$B$9+'Inputs'!$B$10)+'Inputs'!$B$7)/SQRT((((831-43)*MAX('Inputs'!$B$33,'Inputs'!$B$29+'Inputs'!$B$31+'Inputs'!$B$32,'Inputs'!$B$30+'Inputs'!$B$31+'Inputs'!$B$32)/1000+'Inputs'!$B$21+'Inputs'!$B$9+'Inputs'!$B$10)+'Inputs'!$B$7)^2+('Inputs'!$B$6/2)^2)-(((831-43)*MAX('Inputs'!$B$33,'Inputs'!$B$29+'Inputs'!$B$31+'Inputs'!$B$32,'Inputs'!$B$30+'Inputs'!$B$31+'Inputs'!$B$32)/1000+'Inputs'!$B$21+'Inputs'!$B$9+'Inputs'!$B$10))/SQRT((((831-43)*MAX('Inputs'!$B$33,'Inputs'!$B$29+'Inputs'!$B$31+'Inputs'!$B$32,'Inputs'!$B$30+'Inputs'!$B$31+'Inputs'!$B$32)/1000+'Inputs'!$B$21+'Inputs'!$B$9+'Inputs'!$B$10))^2+('Inputs'!$B$6/2)^2))))*'Results'!$B$8)-'Inputs'!$B$28*ABS((('Results'!C7*(1-'Inputs'!$B$24)*(0.5*((((831-43)*MAX('Inputs'!$B$33,'Inputs'!$B$29+'Inputs'!$B$31+'Inputs'!$B$32,'Inputs'!$B$30+'Inputs'!$B$31+'Inputs'!$B$32)/1000+'Inputs'!$B$21)+'Inputs'!$B$9)/SQRT((((831-43)*MAX('Inputs'!$B$33,'Inputs'!$B$29+'Inputs'!$B$31+'Inputs'!$B$32,'Inputs'!$B$30+'Inputs'!$B$31+'Inputs'!$B$32)/1000+'Inputs'!$B$21)+'Inputs'!$B$9)^2+('Inputs'!$B$8/2)^2)-(((831-43)*MAX('Inputs'!$B$33,'Inputs'!$B$29+'Inputs'!$B$31+'Inputs'!$B$32,'Inputs'!$B$30+'Inputs'!$B$31+'Inputs'!$B$32)/1000+'Inputs'!$B$21))/SQRT((((831-43)*MAX('Inputs'!$B$33,'Inputs'!$B$29+'Inputs'!$B$31+'Inputs'!$B$32,'Inputs'!$B$30+'Inputs'!$B$31+'Inputs'!$B$32)/1000+'Inputs'!$B$21))^2+('Inputs'!$B$8/2)^2)))-'Results'!B7*(1+'Inputs'!$B$24)*(0.5*((((831-43)*MAX('Inputs'!$B$33,'Inputs'!$B$29+'Inputs'!$B$31+'Inputs'!$B$32,'Inputs'!$B$30+'Inputs'!$B$31+'Inputs'!$B$32)/1000+'Inputs'!$B$21+'Inputs'!$B$9+'Inputs'!$B$10)+'Inputs'!$B$7)/SQRT((((831-43)*MAX('Inputs'!$B$33,'Inputs'!$B$29+'Inputs'!$B$31+'Inputs'!$B$32,'Inputs'!$B$30+'Inputs'!$B$31+'Inputs'!$B$32)/1000+'Inputs'!$B$21+'Inputs'!$B$9+'Inputs'!$B$10)+'Inputs'!$B$7)^2+('Inputs'!$B$6/2)^2)-(((831-43)*MAX('Inputs'!$B$33,'Inputs'!$B$29+'Inputs'!$B$31+'Inputs'!$B$32,'Inputs'!$B$30+'Inputs'!$B$31+'Inputs'!$B$32)/1000+'Inputs'!$B$21+'Inputs'!$B$9+'Inputs'!$B$10))/SQRT((((831-43)*MAX('Inputs'!$B$33,'Inputs'!$B$29+'Inputs'!$B$31+'Inputs'!$B$32,'Inputs'!$B$30+'Inputs'!$B$31+'Inputs'!$B$32)/1000+'Inputs'!$B$21+'Inputs'!$B$9+'Inputs'!$B$10))^2+('Inputs'!$B$6/2)^2))))*'Results'!$B$8))),"")</x:f>
        <x:v>0.6468897164205734</x:v>
      </x:c>
      <x:c r="O831" t="n">
        <x:f>IF(AND(ISNUMBER('Results'!C7),ISNUMBER('Results'!B7),ISNUMBER('Results'!$B$8),ISNUMBER('Inputs'!$B$6),ISNUMBER('Inputs'!$B$7),ISNUMBER('Inputs'!$B$8),ISNUMBER('Inputs'!$B$9),ISNUMBER('Inputs'!$B$10),ISNUMBER('Inputs'!$B$21),ISNUMBER('Inputs'!$B$24),ISNUMBER('Inputs'!$B$28)),((('Results'!C7*(1+'Inputs'!$B$24)*(0.5*((((831-43)*MAX('Inputs'!$B$33,'Inputs'!$B$29+'Inputs'!$B$31+'Inputs'!$B$32,'Inputs'!$B$30+'Inputs'!$B$31+'Inputs'!$B$32)/1000+'Inputs'!$B$21)+'Inputs'!$B$9)/SQRT((((831-43)*MAX('Inputs'!$B$33,'Inputs'!$B$29+'Inputs'!$B$31+'Inputs'!$B$32,'Inputs'!$B$30+'Inputs'!$B$31+'Inputs'!$B$32)/1000+'Inputs'!$B$21)+'Inputs'!$B$9)^2+('Inputs'!$B$8/2)^2)-(((831-43)*MAX('Inputs'!$B$33,'Inputs'!$B$29+'Inputs'!$B$31+'Inputs'!$B$32,'Inputs'!$B$30+'Inputs'!$B$31+'Inputs'!$B$32)/1000+'Inputs'!$B$21))/SQRT((((831-43)*MAX('Inputs'!$B$33,'Inputs'!$B$29+'Inputs'!$B$31+'Inputs'!$B$32,'Inputs'!$B$30+'Inputs'!$B$31+'Inputs'!$B$32)/1000+'Inputs'!$B$21))^2+('Inputs'!$B$8/2)^2)))-'Results'!B7*(1-'Inputs'!$B$24)*(0.5*((((831-43)*MAX('Inputs'!$B$33,'Inputs'!$B$29+'Inputs'!$B$31+'Inputs'!$B$32,'Inputs'!$B$30+'Inputs'!$B$31+'Inputs'!$B$32)/1000+'Inputs'!$B$21+'Inputs'!$B$9+'Inputs'!$B$10)+'Inputs'!$B$7)/SQRT((((831-43)*MAX('Inputs'!$B$33,'Inputs'!$B$29+'Inputs'!$B$31+'Inputs'!$B$32,'Inputs'!$B$30+'Inputs'!$B$31+'Inputs'!$B$32)/1000+'Inputs'!$B$21+'Inputs'!$B$9+'Inputs'!$B$10)+'Inputs'!$B$7)^2+('Inputs'!$B$6/2)^2)-(((831-43)*MAX('Inputs'!$B$33,'Inputs'!$B$29+'Inputs'!$B$31+'Inputs'!$B$32,'Inputs'!$B$30+'Inputs'!$B$31+'Inputs'!$B$32)/1000+'Inputs'!$B$21+'Inputs'!$B$9+'Inputs'!$B$10))/SQRT((((831-43)*MAX('Inputs'!$B$33,'Inputs'!$B$29+'Inputs'!$B$31+'Inputs'!$B$32,'Inputs'!$B$30+'Inputs'!$B$31+'Inputs'!$B$32)/1000+'Inputs'!$B$21+'Inputs'!$B$9+'Inputs'!$B$10))^2+('Inputs'!$B$6/2)^2))))*'Results'!$B$8)+'Inputs'!$B$28*ABS((('Results'!C7*(1+'Inputs'!$B$24)*(0.5*((((831-43)*MAX('Inputs'!$B$33,'Inputs'!$B$29+'Inputs'!$B$31+'Inputs'!$B$32,'Inputs'!$B$30+'Inputs'!$B$31+'Inputs'!$B$32)/1000+'Inputs'!$B$21)+'Inputs'!$B$9)/SQRT((((831-43)*MAX('Inputs'!$B$33,'Inputs'!$B$29+'Inputs'!$B$31+'Inputs'!$B$32,'Inputs'!$B$30+'Inputs'!$B$31+'Inputs'!$B$32)/1000+'Inputs'!$B$21)+'Inputs'!$B$9)^2+('Inputs'!$B$8/2)^2)-(((831-43)*MAX('Inputs'!$B$33,'Inputs'!$B$29+'Inputs'!$B$31+'Inputs'!$B$32,'Inputs'!$B$30+'Inputs'!$B$31+'Inputs'!$B$32)/1000+'Inputs'!$B$21))/SQRT((((831-43)*MAX('Inputs'!$B$33,'Inputs'!$B$29+'Inputs'!$B$31+'Inputs'!$B$32,'Inputs'!$B$30+'Inputs'!$B$31+'Inputs'!$B$32)/1000+'Inputs'!$B$21))^2+('Inputs'!$B$8/2)^2)))-'Results'!B7*(1-'Inputs'!$B$24)*(0.5*((((831-43)*MAX('Inputs'!$B$33,'Inputs'!$B$29+'Inputs'!$B$31+'Inputs'!$B$32,'Inputs'!$B$30+'Inputs'!$B$31+'Inputs'!$B$32)/1000+'Inputs'!$B$21+'Inputs'!$B$9+'Inputs'!$B$10)+'Inputs'!$B$7)/SQRT((((831-43)*MAX('Inputs'!$B$33,'Inputs'!$B$29+'Inputs'!$B$31+'Inputs'!$B$32,'Inputs'!$B$30+'Inputs'!$B$31+'Inputs'!$B$32)/1000+'Inputs'!$B$21+'Inputs'!$B$9+'Inputs'!$B$10)+'Inputs'!$B$7)^2+('Inputs'!$B$6/2)^2)-(((831-43)*MAX('Inputs'!$B$33,'Inputs'!$B$29+'Inputs'!$B$31+'Inputs'!$B$32,'Inputs'!$B$30+'Inputs'!$B$31+'Inputs'!$B$32)/1000+'Inputs'!$B$21+'Inputs'!$B$9+'Inputs'!$B$10))/SQRT((((831-43)*MAX('Inputs'!$B$33,'Inputs'!$B$29+'Inputs'!$B$31+'Inputs'!$B$32,'Inputs'!$B$30+'Inputs'!$B$31+'Inputs'!$B$32)/1000+'Inputs'!$B$21+'Inputs'!$B$9+'Inputs'!$B$10))^2+('Inputs'!$B$6/2)^2))))*'Results'!$B$8))),"")</x:f>
        <x:v>0.8879745653486162</x:v>
      </x:c>
      <x:c r="P831" t="n">
        <x:f>IF(AND(MAX(J831,J830)&gt;0,J831&gt;J830+0.00000001),1,0)</x:f>
        <x:v>0</x:v>
      </x:c>
      <x:c r="Q831" t="n">
        <x:f>IF(AND(MAX(K831,K830)&gt;0,K831&gt;K830+0.00000001),1,0)</x:f>
        <x:v>0</x:v>
      </x:c>
      <x:c r="R831" t="n">
        <x:f>IF(AND(MAX(L831,L830)&gt;0,L831&gt;L830+0.00000001),1,0)</x:f>
        <x:v>0</x:v>
      </x:c>
      <x:c r="S831" t="n">
        <x:f>IF(AND(MAX(M831,M830)&gt;0,M831&gt;M830+0.00000001),1,0)</x:f>
        <x:v>0</x:v>
      </x:c>
      <x:c r="T831" t="n">
        <x:f>IF(AND(MAX(N831,N830)&gt;0,N831&gt;N830+0.00000001),1,0)</x:f>
        <x:v>0</x:v>
      </x:c>
      <x:c r="U831" t="n">
        <x:f>IF(AND(MAX(O831,O830)&gt;0,O831&gt;O830+0.00000001),1,0)</x:f>
        <x:v>0</x:v>
      </x:c>
    </x:row>
    <x:row r="832">
      <x:c r="J832" t="n">
        <x:f>IF(AND(ISNUMBER('Results'!B7),ISNUMBER('Results'!C7),ISNUMBER('Results'!$B$8),ISNUMBER('Inputs'!$B$6),ISNUMBER('Inputs'!$B$7),ISNUMBER('Inputs'!$B$8),ISNUMBER('Inputs'!$B$9),ISNUMBER('Inputs'!$B$10),ISNUMBER('Inputs'!$B$21),ISNUMBER('Inputs'!$B$24),ISNUMBER('Inputs'!$B$28)),(('Results'!B7*(0.5*((((832-43)*MAX('Inputs'!$B$33,'Inputs'!$B$29+'Inputs'!$B$31+'Inputs'!$B$32,'Inputs'!$B$30+'Inputs'!$B$31+'Inputs'!$B$32)/1000+'Inputs'!$B$21)+'Inputs'!$B$7)/SQRT((((832-43)*MAX('Inputs'!$B$33,'Inputs'!$B$29+'Inputs'!$B$31+'Inputs'!$B$32,'Inputs'!$B$30+'Inputs'!$B$31+'Inputs'!$B$32)/1000+'Inputs'!$B$21)+'Inputs'!$B$7)^2+('Inputs'!$B$6/2)^2)-(((832-43)*MAX('Inputs'!$B$33,'Inputs'!$B$29+'Inputs'!$B$31+'Inputs'!$B$32,'Inputs'!$B$30+'Inputs'!$B$31+'Inputs'!$B$32)/1000+'Inputs'!$B$21))/SQRT((((832-43)*MAX('Inputs'!$B$33,'Inputs'!$B$29+'Inputs'!$B$31+'Inputs'!$B$32,'Inputs'!$B$30+'Inputs'!$B$31+'Inputs'!$B$32)/1000+'Inputs'!$B$21))^2+('Inputs'!$B$6/2)^2)))-'Results'!C7*(0.5*((((832-43)*MAX('Inputs'!$B$33,'Inputs'!$B$29+'Inputs'!$B$31+'Inputs'!$B$32,'Inputs'!$B$30+'Inputs'!$B$31+'Inputs'!$B$32)/1000+'Inputs'!$B$21+'Inputs'!$B$7+'Inputs'!$B$10)+'Inputs'!$B$9)/SQRT((((832-43)*MAX('Inputs'!$B$33,'Inputs'!$B$29+'Inputs'!$B$31+'Inputs'!$B$32,'Inputs'!$B$30+'Inputs'!$B$31+'Inputs'!$B$32)/1000+'Inputs'!$B$21+'Inputs'!$B$7+'Inputs'!$B$10)+'Inputs'!$B$9)^2+('Inputs'!$B$8/2)^2)-(((832-43)*MAX('Inputs'!$B$33,'Inputs'!$B$29+'Inputs'!$B$31+'Inputs'!$B$32,'Inputs'!$B$30+'Inputs'!$B$31+'Inputs'!$B$32)/1000+'Inputs'!$B$21+'Inputs'!$B$7+'Inputs'!$B$10))/SQRT((((832-43)*MAX('Inputs'!$B$33,'Inputs'!$B$29+'Inputs'!$B$31+'Inputs'!$B$32,'Inputs'!$B$30+'Inputs'!$B$31+'Inputs'!$B$32)/1000+'Inputs'!$B$21+'Inputs'!$B$7+'Inputs'!$B$10))^2+('Inputs'!$B$8/2)^2))))*'Results'!$B$8),"")</x:f>
        <x:v>0.842839325056005</x:v>
      </x:c>
      <x:c r="K832" t="n">
        <x:f>IF(AND(ISNUMBER('Results'!B7),ISNUMBER('Results'!C7),ISNUMBER('Results'!$B$8),ISNUMBER('Inputs'!$B$6),ISNUMBER('Inputs'!$B$7),ISNUMBER('Inputs'!$B$8),ISNUMBER('Inputs'!$B$9),ISNUMBER('Inputs'!$B$10),ISNUMBER('Inputs'!$B$21),ISNUMBER('Inputs'!$B$24),ISNUMBER('Inputs'!$B$28)),((('Results'!B7*(1-'Inputs'!$B$24)*(0.5*((((832-43)*MAX('Inputs'!$B$33,'Inputs'!$B$29+'Inputs'!$B$31+'Inputs'!$B$32,'Inputs'!$B$30+'Inputs'!$B$31+'Inputs'!$B$32)/1000+'Inputs'!$B$21)+'Inputs'!$B$7)/SQRT((((832-43)*MAX('Inputs'!$B$33,'Inputs'!$B$29+'Inputs'!$B$31+'Inputs'!$B$32,'Inputs'!$B$30+'Inputs'!$B$31+'Inputs'!$B$32)/1000+'Inputs'!$B$21)+'Inputs'!$B$7)^2+('Inputs'!$B$6/2)^2)-(((832-43)*MAX('Inputs'!$B$33,'Inputs'!$B$29+'Inputs'!$B$31+'Inputs'!$B$32,'Inputs'!$B$30+'Inputs'!$B$31+'Inputs'!$B$32)/1000+'Inputs'!$B$21))/SQRT((((832-43)*MAX('Inputs'!$B$33,'Inputs'!$B$29+'Inputs'!$B$31+'Inputs'!$B$32,'Inputs'!$B$30+'Inputs'!$B$31+'Inputs'!$B$32)/1000+'Inputs'!$B$21))^2+('Inputs'!$B$6/2)^2)))-'Results'!C7*(1+'Inputs'!$B$24)*(0.5*((((832-43)*MAX('Inputs'!$B$33,'Inputs'!$B$29+'Inputs'!$B$31+'Inputs'!$B$32,'Inputs'!$B$30+'Inputs'!$B$31+'Inputs'!$B$32)/1000+'Inputs'!$B$21+'Inputs'!$B$7+'Inputs'!$B$10)+'Inputs'!$B$9)/SQRT((((832-43)*MAX('Inputs'!$B$33,'Inputs'!$B$29+'Inputs'!$B$31+'Inputs'!$B$32,'Inputs'!$B$30+'Inputs'!$B$31+'Inputs'!$B$32)/1000+'Inputs'!$B$21+'Inputs'!$B$7+'Inputs'!$B$10)+'Inputs'!$B$9)^2+('Inputs'!$B$8/2)^2)-(((832-43)*MAX('Inputs'!$B$33,'Inputs'!$B$29+'Inputs'!$B$31+'Inputs'!$B$32,'Inputs'!$B$30+'Inputs'!$B$31+'Inputs'!$B$32)/1000+'Inputs'!$B$21+'Inputs'!$B$7+'Inputs'!$B$10))/SQRT((((832-43)*MAX('Inputs'!$B$33,'Inputs'!$B$29+'Inputs'!$B$31+'Inputs'!$B$32,'Inputs'!$B$30+'Inputs'!$B$31+'Inputs'!$B$32)/1000+'Inputs'!$B$21+'Inputs'!$B$7+'Inputs'!$B$10))^2+('Inputs'!$B$8/2)^2))))*'Results'!$B$8)-'Inputs'!$B$28*ABS((('Results'!B7*(1-'Inputs'!$B$24)*(0.5*((((832-43)*MAX('Inputs'!$B$33,'Inputs'!$B$29+'Inputs'!$B$31+'Inputs'!$B$32,'Inputs'!$B$30+'Inputs'!$B$31+'Inputs'!$B$32)/1000+'Inputs'!$B$21)+'Inputs'!$B$7)/SQRT((((832-43)*MAX('Inputs'!$B$33,'Inputs'!$B$29+'Inputs'!$B$31+'Inputs'!$B$32,'Inputs'!$B$30+'Inputs'!$B$31+'Inputs'!$B$32)/1000+'Inputs'!$B$21)+'Inputs'!$B$7)^2+('Inputs'!$B$6/2)^2)-(((832-43)*MAX('Inputs'!$B$33,'Inputs'!$B$29+'Inputs'!$B$31+'Inputs'!$B$32,'Inputs'!$B$30+'Inputs'!$B$31+'Inputs'!$B$32)/1000+'Inputs'!$B$21))/SQRT((((832-43)*MAX('Inputs'!$B$33,'Inputs'!$B$29+'Inputs'!$B$31+'Inputs'!$B$32,'Inputs'!$B$30+'Inputs'!$B$31+'Inputs'!$B$32)/1000+'Inputs'!$B$21))^2+('Inputs'!$B$6/2)^2)))-'Results'!C7*(1+'Inputs'!$B$24)*(0.5*((((832-43)*MAX('Inputs'!$B$33,'Inputs'!$B$29+'Inputs'!$B$31+'Inputs'!$B$32,'Inputs'!$B$30+'Inputs'!$B$31+'Inputs'!$B$32)/1000+'Inputs'!$B$21+'Inputs'!$B$7+'Inputs'!$B$10)+'Inputs'!$B$9)/SQRT((((832-43)*MAX('Inputs'!$B$33,'Inputs'!$B$29+'Inputs'!$B$31+'Inputs'!$B$32,'Inputs'!$B$30+'Inputs'!$B$31+'Inputs'!$B$32)/1000+'Inputs'!$B$21+'Inputs'!$B$7+'Inputs'!$B$10)+'Inputs'!$B$9)^2+('Inputs'!$B$8/2)^2)-(((832-43)*MAX('Inputs'!$B$33,'Inputs'!$B$29+'Inputs'!$B$31+'Inputs'!$B$32,'Inputs'!$B$30+'Inputs'!$B$31+'Inputs'!$B$32)/1000+'Inputs'!$B$21+'Inputs'!$B$7+'Inputs'!$B$10))/SQRT((((832-43)*MAX('Inputs'!$B$33,'Inputs'!$B$29+'Inputs'!$B$31+'Inputs'!$B$32,'Inputs'!$B$30+'Inputs'!$B$31+'Inputs'!$B$32)/1000+'Inputs'!$B$21+'Inputs'!$B$7+'Inputs'!$B$10))^2+('Inputs'!$B$8/2)^2))))*'Results'!$B$8))),"")</x:f>
        <x:v>0.7224049172619806</x:v>
      </x:c>
      <x:c r="L832" t="n">
        <x:f>IF(AND(ISNUMBER('Results'!B7),ISNUMBER('Results'!C7),ISNUMBER('Results'!$B$8),ISNUMBER('Inputs'!$B$6),ISNUMBER('Inputs'!$B$7),ISNUMBER('Inputs'!$B$8),ISNUMBER('Inputs'!$B$9),ISNUMBER('Inputs'!$B$10),ISNUMBER('Inputs'!$B$21),ISNUMBER('Inputs'!$B$24),ISNUMBER('Inputs'!$B$28)),((('Results'!B7*(1+'Inputs'!$B$24)*(0.5*((((832-43)*MAX('Inputs'!$B$33,'Inputs'!$B$29+'Inputs'!$B$31+'Inputs'!$B$32,'Inputs'!$B$30+'Inputs'!$B$31+'Inputs'!$B$32)/1000+'Inputs'!$B$21)+'Inputs'!$B$7)/SQRT((((832-43)*MAX('Inputs'!$B$33,'Inputs'!$B$29+'Inputs'!$B$31+'Inputs'!$B$32,'Inputs'!$B$30+'Inputs'!$B$31+'Inputs'!$B$32)/1000+'Inputs'!$B$21)+'Inputs'!$B$7)^2+('Inputs'!$B$6/2)^2)-(((832-43)*MAX('Inputs'!$B$33,'Inputs'!$B$29+'Inputs'!$B$31+'Inputs'!$B$32,'Inputs'!$B$30+'Inputs'!$B$31+'Inputs'!$B$32)/1000+'Inputs'!$B$21))/SQRT((((832-43)*MAX('Inputs'!$B$33,'Inputs'!$B$29+'Inputs'!$B$31+'Inputs'!$B$32,'Inputs'!$B$30+'Inputs'!$B$31+'Inputs'!$B$32)/1000+'Inputs'!$B$21))^2+('Inputs'!$B$6/2)^2)))-'Results'!C7*(1-'Inputs'!$B$24)*(0.5*((((832-43)*MAX('Inputs'!$B$33,'Inputs'!$B$29+'Inputs'!$B$31+'Inputs'!$B$32,'Inputs'!$B$30+'Inputs'!$B$31+'Inputs'!$B$32)/1000+'Inputs'!$B$21+'Inputs'!$B$7+'Inputs'!$B$10)+'Inputs'!$B$9)/SQRT((((832-43)*MAX('Inputs'!$B$33,'Inputs'!$B$29+'Inputs'!$B$31+'Inputs'!$B$32,'Inputs'!$B$30+'Inputs'!$B$31+'Inputs'!$B$32)/1000+'Inputs'!$B$21+'Inputs'!$B$7+'Inputs'!$B$10)+'Inputs'!$B$9)^2+('Inputs'!$B$8/2)^2)-(((832-43)*MAX('Inputs'!$B$33,'Inputs'!$B$29+'Inputs'!$B$31+'Inputs'!$B$32,'Inputs'!$B$30+'Inputs'!$B$31+'Inputs'!$B$32)/1000+'Inputs'!$B$21+'Inputs'!$B$7+'Inputs'!$B$10))/SQRT((((832-43)*MAX('Inputs'!$B$33,'Inputs'!$B$29+'Inputs'!$B$31+'Inputs'!$B$32,'Inputs'!$B$30+'Inputs'!$B$31+'Inputs'!$B$32)/1000+'Inputs'!$B$21+'Inputs'!$B$7+'Inputs'!$B$10))^2+('Inputs'!$B$8/2)^2))))*'Results'!$B$8)+'Inputs'!$B$28*ABS((('Results'!B7*(1+'Inputs'!$B$24)*(0.5*((((832-43)*MAX('Inputs'!$B$33,'Inputs'!$B$29+'Inputs'!$B$31+'Inputs'!$B$32,'Inputs'!$B$30+'Inputs'!$B$31+'Inputs'!$B$32)/1000+'Inputs'!$B$21)+'Inputs'!$B$7)/SQRT((((832-43)*MAX('Inputs'!$B$33,'Inputs'!$B$29+'Inputs'!$B$31+'Inputs'!$B$32,'Inputs'!$B$30+'Inputs'!$B$31+'Inputs'!$B$32)/1000+'Inputs'!$B$21)+'Inputs'!$B$7)^2+('Inputs'!$B$6/2)^2)-(((832-43)*MAX('Inputs'!$B$33,'Inputs'!$B$29+'Inputs'!$B$31+'Inputs'!$B$32,'Inputs'!$B$30+'Inputs'!$B$31+'Inputs'!$B$32)/1000+'Inputs'!$B$21))/SQRT((((832-43)*MAX('Inputs'!$B$33,'Inputs'!$B$29+'Inputs'!$B$31+'Inputs'!$B$32,'Inputs'!$B$30+'Inputs'!$B$31+'Inputs'!$B$32)/1000+'Inputs'!$B$21))^2+('Inputs'!$B$6/2)^2)))-'Results'!C7*(1-'Inputs'!$B$24)*(0.5*((((832-43)*MAX('Inputs'!$B$33,'Inputs'!$B$29+'Inputs'!$B$31+'Inputs'!$B$32,'Inputs'!$B$30+'Inputs'!$B$31+'Inputs'!$B$32)/1000+'Inputs'!$B$21+'Inputs'!$B$7+'Inputs'!$B$10)+'Inputs'!$B$9)/SQRT((((832-43)*MAX('Inputs'!$B$33,'Inputs'!$B$29+'Inputs'!$B$31+'Inputs'!$B$32,'Inputs'!$B$30+'Inputs'!$B$31+'Inputs'!$B$32)/1000+'Inputs'!$B$21+'Inputs'!$B$7+'Inputs'!$B$10)+'Inputs'!$B$9)^2+('Inputs'!$B$8/2)^2)-(((832-43)*MAX('Inputs'!$B$33,'Inputs'!$B$29+'Inputs'!$B$31+'Inputs'!$B$32,'Inputs'!$B$30+'Inputs'!$B$31+'Inputs'!$B$32)/1000+'Inputs'!$B$21+'Inputs'!$B$7+'Inputs'!$B$10))/SQRT((((832-43)*MAX('Inputs'!$B$33,'Inputs'!$B$29+'Inputs'!$B$31+'Inputs'!$B$32,'Inputs'!$B$30+'Inputs'!$B$31+'Inputs'!$B$32)/1000+'Inputs'!$B$21+'Inputs'!$B$7+'Inputs'!$B$10))^2+('Inputs'!$B$8/2)^2))))*'Results'!$B$8))),"")</x:f>
        <x:v>0.9715150424859474</x:v>
      </x:c>
      <x:c r="M832" t="n">
        <x:f>IF(AND(ISNUMBER('Results'!C7),ISNUMBER('Results'!B7),ISNUMBER('Results'!$B$8),ISNUMBER('Inputs'!$B$6),ISNUMBER('Inputs'!$B$7),ISNUMBER('Inputs'!$B$8),ISNUMBER('Inputs'!$B$9),ISNUMBER('Inputs'!$B$10),ISNUMBER('Inputs'!$B$21),ISNUMBER('Inputs'!$B$24),ISNUMBER('Inputs'!$B$28)),(('Results'!C7*(0.5*((((832-43)*MAX('Inputs'!$B$33,'Inputs'!$B$29+'Inputs'!$B$31+'Inputs'!$B$32,'Inputs'!$B$30+'Inputs'!$B$31+'Inputs'!$B$32)/1000+'Inputs'!$B$21)+'Inputs'!$B$9)/SQRT((((832-43)*MAX('Inputs'!$B$33,'Inputs'!$B$29+'Inputs'!$B$31+'Inputs'!$B$32,'Inputs'!$B$30+'Inputs'!$B$31+'Inputs'!$B$32)/1000+'Inputs'!$B$21)+'Inputs'!$B$9)^2+('Inputs'!$B$8/2)^2)-(((832-43)*MAX('Inputs'!$B$33,'Inputs'!$B$29+'Inputs'!$B$31+'Inputs'!$B$32,'Inputs'!$B$30+'Inputs'!$B$31+'Inputs'!$B$32)/1000+'Inputs'!$B$21))/SQRT((((832-43)*MAX('Inputs'!$B$33,'Inputs'!$B$29+'Inputs'!$B$31+'Inputs'!$B$32,'Inputs'!$B$30+'Inputs'!$B$31+'Inputs'!$B$32)/1000+'Inputs'!$B$21))^2+('Inputs'!$B$8/2)^2)))-'Results'!B7*(0.5*((((832-43)*MAX('Inputs'!$B$33,'Inputs'!$B$29+'Inputs'!$B$31+'Inputs'!$B$32,'Inputs'!$B$30+'Inputs'!$B$31+'Inputs'!$B$32)/1000+'Inputs'!$B$21+'Inputs'!$B$9+'Inputs'!$B$10)+'Inputs'!$B$7)/SQRT((((832-43)*MAX('Inputs'!$B$33,'Inputs'!$B$29+'Inputs'!$B$31+'Inputs'!$B$32,'Inputs'!$B$30+'Inputs'!$B$31+'Inputs'!$B$32)/1000+'Inputs'!$B$21+'Inputs'!$B$9+'Inputs'!$B$10)+'Inputs'!$B$7)^2+('Inputs'!$B$6/2)^2)-(((832-43)*MAX('Inputs'!$B$33,'Inputs'!$B$29+'Inputs'!$B$31+'Inputs'!$B$32,'Inputs'!$B$30+'Inputs'!$B$31+'Inputs'!$B$32)/1000+'Inputs'!$B$21+'Inputs'!$B$9+'Inputs'!$B$10))/SQRT((((832-43)*MAX('Inputs'!$B$33,'Inputs'!$B$29+'Inputs'!$B$31+'Inputs'!$B$32,'Inputs'!$B$30+'Inputs'!$B$31+'Inputs'!$B$32)/1000+'Inputs'!$B$21+'Inputs'!$B$9+'Inputs'!$B$10))^2+('Inputs'!$B$6/2)^2))))*'Results'!$B$8),"")</x:f>
        <x:v>0.7597572867594949</x:v>
      </x:c>
      <x:c r="N832" t="n">
        <x:f>IF(AND(ISNUMBER('Results'!C7),ISNUMBER('Results'!B7),ISNUMBER('Results'!$B$8),ISNUMBER('Inputs'!$B$6),ISNUMBER('Inputs'!$B$7),ISNUMBER('Inputs'!$B$8),ISNUMBER('Inputs'!$B$9),ISNUMBER('Inputs'!$B$10),ISNUMBER('Inputs'!$B$21),ISNUMBER('Inputs'!$B$24),ISNUMBER('Inputs'!$B$28)),((('Results'!C7*(1-'Inputs'!$B$24)*(0.5*((((832-43)*MAX('Inputs'!$B$33,'Inputs'!$B$29+'Inputs'!$B$31+'Inputs'!$B$32,'Inputs'!$B$30+'Inputs'!$B$31+'Inputs'!$B$32)/1000+'Inputs'!$B$21)+'Inputs'!$B$9)/SQRT((((832-43)*MAX('Inputs'!$B$33,'Inputs'!$B$29+'Inputs'!$B$31+'Inputs'!$B$32,'Inputs'!$B$30+'Inputs'!$B$31+'Inputs'!$B$32)/1000+'Inputs'!$B$21)+'Inputs'!$B$9)^2+('Inputs'!$B$8/2)^2)-(((832-43)*MAX('Inputs'!$B$33,'Inputs'!$B$29+'Inputs'!$B$31+'Inputs'!$B$32,'Inputs'!$B$30+'Inputs'!$B$31+'Inputs'!$B$32)/1000+'Inputs'!$B$21))/SQRT((((832-43)*MAX('Inputs'!$B$33,'Inputs'!$B$29+'Inputs'!$B$31+'Inputs'!$B$32,'Inputs'!$B$30+'Inputs'!$B$31+'Inputs'!$B$32)/1000+'Inputs'!$B$21))^2+('Inputs'!$B$8/2)^2)))-'Results'!B7*(1+'Inputs'!$B$24)*(0.5*((((832-43)*MAX('Inputs'!$B$33,'Inputs'!$B$29+'Inputs'!$B$31+'Inputs'!$B$32,'Inputs'!$B$30+'Inputs'!$B$31+'Inputs'!$B$32)/1000+'Inputs'!$B$21+'Inputs'!$B$9+'Inputs'!$B$10)+'Inputs'!$B$7)/SQRT((((832-43)*MAX('Inputs'!$B$33,'Inputs'!$B$29+'Inputs'!$B$31+'Inputs'!$B$32,'Inputs'!$B$30+'Inputs'!$B$31+'Inputs'!$B$32)/1000+'Inputs'!$B$21+'Inputs'!$B$9+'Inputs'!$B$10)+'Inputs'!$B$7)^2+('Inputs'!$B$6/2)^2)-(((832-43)*MAX('Inputs'!$B$33,'Inputs'!$B$29+'Inputs'!$B$31+'Inputs'!$B$32,'Inputs'!$B$30+'Inputs'!$B$31+'Inputs'!$B$32)/1000+'Inputs'!$B$21+'Inputs'!$B$9+'Inputs'!$B$10))/SQRT((((832-43)*MAX('Inputs'!$B$33,'Inputs'!$B$29+'Inputs'!$B$31+'Inputs'!$B$32,'Inputs'!$B$30+'Inputs'!$B$31+'Inputs'!$B$32)/1000+'Inputs'!$B$21+'Inputs'!$B$9+'Inputs'!$B$10))^2+('Inputs'!$B$6/2)^2))))*'Results'!$B$8)-'Inputs'!$B$28*ABS((('Results'!C7*(1-'Inputs'!$B$24)*(0.5*((((832-43)*MAX('Inputs'!$B$33,'Inputs'!$B$29+'Inputs'!$B$31+'Inputs'!$B$32,'Inputs'!$B$30+'Inputs'!$B$31+'Inputs'!$B$32)/1000+'Inputs'!$B$21)+'Inputs'!$B$9)/SQRT((((832-43)*MAX('Inputs'!$B$33,'Inputs'!$B$29+'Inputs'!$B$31+'Inputs'!$B$32,'Inputs'!$B$30+'Inputs'!$B$31+'Inputs'!$B$32)/1000+'Inputs'!$B$21)+'Inputs'!$B$9)^2+('Inputs'!$B$8/2)^2)-(((832-43)*MAX('Inputs'!$B$33,'Inputs'!$B$29+'Inputs'!$B$31+'Inputs'!$B$32,'Inputs'!$B$30+'Inputs'!$B$31+'Inputs'!$B$32)/1000+'Inputs'!$B$21))/SQRT((((832-43)*MAX('Inputs'!$B$33,'Inputs'!$B$29+'Inputs'!$B$31+'Inputs'!$B$32,'Inputs'!$B$30+'Inputs'!$B$31+'Inputs'!$B$32)/1000+'Inputs'!$B$21))^2+('Inputs'!$B$8/2)^2)))-'Results'!B7*(1+'Inputs'!$B$24)*(0.5*((((832-43)*MAX('Inputs'!$B$33,'Inputs'!$B$29+'Inputs'!$B$31+'Inputs'!$B$32,'Inputs'!$B$30+'Inputs'!$B$31+'Inputs'!$B$32)/1000+'Inputs'!$B$21+'Inputs'!$B$9+'Inputs'!$B$10)+'Inputs'!$B$7)/SQRT((((832-43)*MAX('Inputs'!$B$33,'Inputs'!$B$29+'Inputs'!$B$31+'Inputs'!$B$32,'Inputs'!$B$30+'Inputs'!$B$31+'Inputs'!$B$32)/1000+'Inputs'!$B$21+'Inputs'!$B$9+'Inputs'!$B$10)+'Inputs'!$B$7)^2+('Inputs'!$B$6/2)^2)-(((832-43)*MAX('Inputs'!$B$33,'Inputs'!$B$29+'Inputs'!$B$31+'Inputs'!$B$32,'Inputs'!$B$30+'Inputs'!$B$31+'Inputs'!$B$32)/1000+'Inputs'!$B$21+'Inputs'!$B$9+'Inputs'!$B$10))/SQRT((((832-43)*MAX('Inputs'!$B$33,'Inputs'!$B$29+'Inputs'!$B$31+'Inputs'!$B$32,'Inputs'!$B$30+'Inputs'!$B$31+'Inputs'!$B$32)/1000+'Inputs'!$B$21+'Inputs'!$B$9+'Inputs'!$B$10))^2+('Inputs'!$B$6/2)^2))))*'Results'!$B$8))),"")</x:f>
        <x:v>0.6437845499270082</x:v>
      </x:c>
      <x:c r="O832" t="n">
        <x:f>IF(AND(ISNUMBER('Results'!C7),ISNUMBER('Results'!B7),ISNUMBER('Results'!$B$8),ISNUMBER('Inputs'!$B$6),ISNUMBER('Inputs'!$B$7),ISNUMBER('Inputs'!$B$8),ISNUMBER('Inputs'!$B$9),ISNUMBER('Inputs'!$B$10),ISNUMBER('Inputs'!$B$21),ISNUMBER('Inputs'!$B$24),ISNUMBER('Inputs'!$B$28)),((('Results'!C7*(1+'Inputs'!$B$24)*(0.5*((((832-43)*MAX('Inputs'!$B$33,'Inputs'!$B$29+'Inputs'!$B$31+'Inputs'!$B$32,'Inputs'!$B$30+'Inputs'!$B$31+'Inputs'!$B$32)/1000+'Inputs'!$B$21)+'Inputs'!$B$9)/SQRT((((832-43)*MAX('Inputs'!$B$33,'Inputs'!$B$29+'Inputs'!$B$31+'Inputs'!$B$32,'Inputs'!$B$30+'Inputs'!$B$31+'Inputs'!$B$32)/1000+'Inputs'!$B$21)+'Inputs'!$B$9)^2+('Inputs'!$B$8/2)^2)-(((832-43)*MAX('Inputs'!$B$33,'Inputs'!$B$29+'Inputs'!$B$31+'Inputs'!$B$32,'Inputs'!$B$30+'Inputs'!$B$31+'Inputs'!$B$32)/1000+'Inputs'!$B$21))/SQRT((((832-43)*MAX('Inputs'!$B$33,'Inputs'!$B$29+'Inputs'!$B$31+'Inputs'!$B$32,'Inputs'!$B$30+'Inputs'!$B$31+'Inputs'!$B$32)/1000+'Inputs'!$B$21))^2+('Inputs'!$B$8/2)^2)))-'Results'!B7*(1-'Inputs'!$B$24)*(0.5*((((832-43)*MAX('Inputs'!$B$33,'Inputs'!$B$29+'Inputs'!$B$31+'Inputs'!$B$32,'Inputs'!$B$30+'Inputs'!$B$31+'Inputs'!$B$32)/1000+'Inputs'!$B$21+'Inputs'!$B$9+'Inputs'!$B$10)+'Inputs'!$B$7)/SQRT((((832-43)*MAX('Inputs'!$B$33,'Inputs'!$B$29+'Inputs'!$B$31+'Inputs'!$B$32,'Inputs'!$B$30+'Inputs'!$B$31+'Inputs'!$B$32)/1000+'Inputs'!$B$21+'Inputs'!$B$9+'Inputs'!$B$10)+'Inputs'!$B$7)^2+('Inputs'!$B$6/2)^2)-(((832-43)*MAX('Inputs'!$B$33,'Inputs'!$B$29+'Inputs'!$B$31+'Inputs'!$B$32,'Inputs'!$B$30+'Inputs'!$B$31+'Inputs'!$B$32)/1000+'Inputs'!$B$21+'Inputs'!$B$9+'Inputs'!$B$10))/SQRT((((832-43)*MAX('Inputs'!$B$33,'Inputs'!$B$29+'Inputs'!$B$31+'Inputs'!$B$32,'Inputs'!$B$30+'Inputs'!$B$31+'Inputs'!$B$32)/1000+'Inputs'!$B$21+'Inputs'!$B$9+'Inputs'!$B$10))^2+('Inputs'!$B$6/2)^2))))*'Results'!$B$8)+'Inputs'!$B$28*ABS((('Results'!C7*(1+'Inputs'!$B$24)*(0.5*((((832-43)*MAX('Inputs'!$B$33,'Inputs'!$B$29+'Inputs'!$B$31+'Inputs'!$B$32,'Inputs'!$B$30+'Inputs'!$B$31+'Inputs'!$B$32)/1000+'Inputs'!$B$21)+'Inputs'!$B$9)/SQRT((((832-43)*MAX('Inputs'!$B$33,'Inputs'!$B$29+'Inputs'!$B$31+'Inputs'!$B$32,'Inputs'!$B$30+'Inputs'!$B$31+'Inputs'!$B$32)/1000+'Inputs'!$B$21)+'Inputs'!$B$9)^2+('Inputs'!$B$8/2)^2)-(((832-43)*MAX('Inputs'!$B$33,'Inputs'!$B$29+'Inputs'!$B$31+'Inputs'!$B$32,'Inputs'!$B$30+'Inputs'!$B$31+'Inputs'!$B$32)/1000+'Inputs'!$B$21))/SQRT((((832-43)*MAX('Inputs'!$B$33,'Inputs'!$B$29+'Inputs'!$B$31+'Inputs'!$B$32,'Inputs'!$B$30+'Inputs'!$B$31+'Inputs'!$B$32)/1000+'Inputs'!$B$21))^2+('Inputs'!$B$8/2)^2)))-'Results'!B7*(1-'Inputs'!$B$24)*(0.5*((((832-43)*MAX('Inputs'!$B$33,'Inputs'!$B$29+'Inputs'!$B$31+'Inputs'!$B$32,'Inputs'!$B$30+'Inputs'!$B$31+'Inputs'!$B$32)/1000+'Inputs'!$B$21+'Inputs'!$B$9+'Inputs'!$B$10)+'Inputs'!$B$7)/SQRT((((832-43)*MAX('Inputs'!$B$33,'Inputs'!$B$29+'Inputs'!$B$31+'Inputs'!$B$32,'Inputs'!$B$30+'Inputs'!$B$31+'Inputs'!$B$32)/1000+'Inputs'!$B$21+'Inputs'!$B$9+'Inputs'!$B$10)+'Inputs'!$B$7)^2+('Inputs'!$B$6/2)^2)-(((832-43)*MAX('Inputs'!$B$33,'Inputs'!$B$29+'Inputs'!$B$31+'Inputs'!$B$32,'Inputs'!$B$30+'Inputs'!$B$31+'Inputs'!$B$32)/1000+'Inputs'!$B$21+'Inputs'!$B$9+'Inputs'!$B$10))/SQRT((((832-43)*MAX('Inputs'!$B$33,'Inputs'!$B$29+'Inputs'!$B$31+'Inputs'!$B$32,'Inputs'!$B$30+'Inputs'!$B$31+'Inputs'!$B$32)/1000+'Inputs'!$B$21+'Inputs'!$B$9+'Inputs'!$B$10))^2+('Inputs'!$B$6/2)^2))))*'Results'!$B$8))),"")</x:f>
        <x:v>0.8839389575387725</x:v>
      </x:c>
      <x:c r="P832" t="n">
        <x:f>IF(AND(MAX(J832,J831)&gt;0,J832&gt;J831+0.00000001),1,0)</x:f>
        <x:v>0</x:v>
      </x:c>
      <x:c r="Q832" t="n">
        <x:f>IF(AND(MAX(K832,K831)&gt;0,K832&gt;K831+0.00000001),1,0)</x:f>
        <x:v>0</x:v>
      </x:c>
      <x:c r="R832" t="n">
        <x:f>IF(AND(MAX(L832,L831)&gt;0,L832&gt;L831+0.00000001),1,0)</x:f>
        <x:v>0</x:v>
      </x:c>
      <x:c r="S832" t="n">
        <x:f>IF(AND(MAX(M832,M831)&gt;0,M832&gt;M831+0.00000001),1,0)</x:f>
        <x:v>0</x:v>
      </x:c>
      <x:c r="T832" t="n">
        <x:f>IF(AND(MAX(N832,N831)&gt;0,N832&gt;N831+0.00000001),1,0)</x:f>
        <x:v>0</x:v>
      </x:c>
      <x:c r="U832" t="n">
        <x:f>IF(AND(MAX(O832,O831)&gt;0,O832&gt;O831+0.00000001),1,0)</x:f>
        <x:v>0</x:v>
      </x:c>
    </x:row>
    <x:row r="833">
      <x:c r="J833" t="n">
        <x:f>IF(AND(ISNUMBER('Results'!B7),ISNUMBER('Results'!C7),ISNUMBER('Results'!$B$8),ISNUMBER('Inputs'!$B$6),ISNUMBER('Inputs'!$B$7),ISNUMBER('Inputs'!$B$8),ISNUMBER('Inputs'!$B$9),ISNUMBER('Inputs'!$B$10),ISNUMBER('Inputs'!$B$21),ISNUMBER('Inputs'!$B$24),ISNUMBER('Inputs'!$B$28)),(('Results'!B7*(0.5*((((833-43)*MAX('Inputs'!$B$33,'Inputs'!$B$29+'Inputs'!$B$31+'Inputs'!$B$32,'Inputs'!$B$30+'Inputs'!$B$31+'Inputs'!$B$32)/1000+'Inputs'!$B$21)+'Inputs'!$B$7)/SQRT((((833-43)*MAX('Inputs'!$B$33,'Inputs'!$B$29+'Inputs'!$B$31+'Inputs'!$B$32,'Inputs'!$B$30+'Inputs'!$B$31+'Inputs'!$B$32)/1000+'Inputs'!$B$21)+'Inputs'!$B$7)^2+('Inputs'!$B$6/2)^2)-(((833-43)*MAX('Inputs'!$B$33,'Inputs'!$B$29+'Inputs'!$B$31+'Inputs'!$B$32,'Inputs'!$B$30+'Inputs'!$B$31+'Inputs'!$B$32)/1000+'Inputs'!$B$21))/SQRT((((833-43)*MAX('Inputs'!$B$33,'Inputs'!$B$29+'Inputs'!$B$31+'Inputs'!$B$32,'Inputs'!$B$30+'Inputs'!$B$31+'Inputs'!$B$32)/1000+'Inputs'!$B$21))^2+('Inputs'!$B$6/2)^2)))-'Results'!C7*(0.5*((((833-43)*MAX('Inputs'!$B$33,'Inputs'!$B$29+'Inputs'!$B$31+'Inputs'!$B$32,'Inputs'!$B$30+'Inputs'!$B$31+'Inputs'!$B$32)/1000+'Inputs'!$B$21+'Inputs'!$B$7+'Inputs'!$B$10)+'Inputs'!$B$9)/SQRT((((833-43)*MAX('Inputs'!$B$33,'Inputs'!$B$29+'Inputs'!$B$31+'Inputs'!$B$32,'Inputs'!$B$30+'Inputs'!$B$31+'Inputs'!$B$32)/1000+'Inputs'!$B$21+'Inputs'!$B$7+'Inputs'!$B$10)+'Inputs'!$B$9)^2+('Inputs'!$B$8/2)^2)-(((833-43)*MAX('Inputs'!$B$33,'Inputs'!$B$29+'Inputs'!$B$31+'Inputs'!$B$32,'Inputs'!$B$30+'Inputs'!$B$31+'Inputs'!$B$32)/1000+'Inputs'!$B$21+'Inputs'!$B$7+'Inputs'!$B$10))/SQRT((((833-43)*MAX('Inputs'!$B$33,'Inputs'!$B$29+'Inputs'!$B$31+'Inputs'!$B$32,'Inputs'!$B$30+'Inputs'!$B$31+'Inputs'!$B$32)/1000+'Inputs'!$B$21+'Inputs'!$B$7+'Inputs'!$B$10))^2+('Inputs'!$B$8/2)^2))))*'Results'!$B$8),"")</x:f>
        <x:v>0.8390141468684449</x:v>
      </x:c>
      <x:c r="K833" t="n">
        <x:f>IF(AND(ISNUMBER('Results'!B7),ISNUMBER('Results'!C7),ISNUMBER('Results'!$B$8),ISNUMBER('Inputs'!$B$6),ISNUMBER('Inputs'!$B$7),ISNUMBER('Inputs'!$B$8),ISNUMBER('Inputs'!$B$9),ISNUMBER('Inputs'!$B$10),ISNUMBER('Inputs'!$B$21),ISNUMBER('Inputs'!$B$24),ISNUMBER('Inputs'!$B$28)),((('Results'!B7*(1-'Inputs'!$B$24)*(0.5*((((833-43)*MAX('Inputs'!$B$33,'Inputs'!$B$29+'Inputs'!$B$31+'Inputs'!$B$32,'Inputs'!$B$30+'Inputs'!$B$31+'Inputs'!$B$32)/1000+'Inputs'!$B$21)+'Inputs'!$B$7)/SQRT((((833-43)*MAX('Inputs'!$B$33,'Inputs'!$B$29+'Inputs'!$B$31+'Inputs'!$B$32,'Inputs'!$B$30+'Inputs'!$B$31+'Inputs'!$B$32)/1000+'Inputs'!$B$21)+'Inputs'!$B$7)^2+('Inputs'!$B$6/2)^2)-(((833-43)*MAX('Inputs'!$B$33,'Inputs'!$B$29+'Inputs'!$B$31+'Inputs'!$B$32,'Inputs'!$B$30+'Inputs'!$B$31+'Inputs'!$B$32)/1000+'Inputs'!$B$21))/SQRT((((833-43)*MAX('Inputs'!$B$33,'Inputs'!$B$29+'Inputs'!$B$31+'Inputs'!$B$32,'Inputs'!$B$30+'Inputs'!$B$31+'Inputs'!$B$32)/1000+'Inputs'!$B$21))^2+('Inputs'!$B$6/2)^2)))-'Results'!C7*(1+'Inputs'!$B$24)*(0.5*((((833-43)*MAX('Inputs'!$B$33,'Inputs'!$B$29+'Inputs'!$B$31+'Inputs'!$B$32,'Inputs'!$B$30+'Inputs'!$B$31+'Inputs'!$B$32)/1000+'Inputs'!$B$21+'Inputs'!$B$7+'Inputs'!$B$10)+'Inputs'!$B$9)/SQRT((((833-43)*MAX('Inputs'!$B$33,'Inputs'!$B$29+'Inputs'!$B$31+'Inputs'!$B$32,'Inputs'!$B$30+'Inputs'!$B$31+'Inputs'!$B$32)/1000+'Inputs'!$B$21+'Inputs'!$B$7+'Inputs'!$B$10)+'Inputs'!$B$9)^2+('Inputs'!$B$8/2)^2)-(((833-43)*MAX('Inputs'!$B$33,'Inputs'!$B$29+'Inputs'!$B$31+'Inputs'!$B$32,'Inputs'!$B$30+'Inputs'!$B$31+'Inputs'!$B$32)/1000+'Inputs'!$B$21+'Inputs'!$B$7+'Inputs'!$B$10))/SQRT((((833-43)*MAX('Inputs'!$B$33,'Inputs'!$B$29+'Inputs'!$B$31+'Inputs'!$B$32,'Inputs'!$B$30+'Inputs'!$B$31+'Inputs'!$B$32)/1000+'Inputs'!$B$21+'Inputs'!$B$7+'Inputs'!$B$10))^2+('Inputs'!$B$8/2)^2))))*'Results'!$B$8)-'Inputs'!$B$28*ABS((('Results'!B7*(1-'Inputs'!$B$24)*(0.5*((((833-43)*MAX('Inputs'!$B$33,'Inputs'!$B$29+'Inputs'!$B$31+'Inputs'!$B$32,'Inputs'!$B$30+'Inputs'!$B$31+'Inputs'!$B$32)/1000+'Inputs'!$B$21)+'Inputs'!$B$7)/SQRT((((833-43)*MAX('Inputs'!$B$33,'Inputs'!$B$29+'Inputs'!$B$31+'Inputs'!$B$32,'Inputs'!$B$30+'Inputs'!$B$31+'Inputs'!$B$32)/1000+'Inputs'!$B$21)+'Inputs'!$B$7)^2+('Inputs'!$B$6/2)^2)-(((833-43)*MAX('Inputs'!$B$33,'Inputs'!$B$29+'Inputs'!$B$31+'Inputs'!$B$32,'Inputs'!$B$30+'Inputs'!$B$31+'Inputs'!$B$32)/1000+'Inputs'!$B$21))/SQRT((((833-43)*MAX('Inputs'!$B$33,'Inputs'!$B$29+'Inputs'!$B$31+'Inputs'!$B$32,'Inputs'!$B$30+'Inputs'!$B$31+'Inputs'!$B$32)/1000+'Inputs'!$B$21))^2+('Inputs'!$B$6/2)^2)))-'Results'!C7*(1+'Inputs'!$B$24)*(0.5*((((833-43)*MAX('Inputs'!$B$33,'Inputs'!$B$29+'Inputs'!$B$31+'Inputs'!$B$32,'Inputs'!$B$30+'Inputs'!$B$31+'Inputs'!$B$32)/1000+'Inputs'!$B$21+'Inputs'!$B$7+'Inputs'!$B$10)+'Inputs'!$B$9)/SQRT((((833-43)*MAX('Inputs'!$B$33,'Inputs'!$B$29+'Inputs'!$B$31+'Inputs'!$B$32,'Inputs'!$B$30+'Inputs'!$B$31+'Inputs'!$B$32)/1000+'Inputs'!$B$21+'Inputs'!$B$7+'Inputs'!$B$10)+'Inputs'!$B$9)^2+('Inputs'!$B$8/2)^2)-(((833-43)*MAX('Inputs'!$B$33,'Inputs'!$B$29+'Inputs'!$B$31+'Inputs'!$B$32,'Inputs'!$B$30+'Inputs'!$B$31+'Inputs'!$B$32)/1000+'Inputs'!$B$21+'Inputs'!$B$7+'Inputs'!$B$10))/SQRT((((833-43)*MAX('Inputs'!$B$33,'Inputs'!$B$29+'Inputs'!$B$31+'Inputs'!$B$32,'Inputs'!$B$30+'Inputs'!$B$31+'Inputs'!$B$32)/1000+'Inputs'!$B$21+'Inputs'!$B$7+'Inputs'!$B$10))^2+('Inputs'!$B$8/2)^2))))*'Results'!$B$8))),"")</x:f>
        <x:v>0.7190441882377888</x:v>
      </x:c>
      <x:c r="L833" t="n">
        <x:f>IF(AND(ISNUMBER('Results'!B7),ISNUMBER('Results'!C7),ISNUMBER('Results'!$B$8),ISNUMBER('Inputs'!$B$6),ISNUMBER('Inputs'!$B$7),ISNUMBER('Inputs'!$B$8),ISNUMBER('Inputs'!$B$9),ISNUMBER('Inputs'!$B$10),ISNUMBER('Inputs'!$B$21),ISNUMBER('Inputs'!$B$24),ISNUMBER('Inputs'!$B$28)),((('Results'!B7*(1+'Inputs'!$B$24)*(0.5*((((833-43)*MAX('Inputs'!$B$33,'Inputs'!$B$29+'Inputs'!$B$31+'Inputs'!$B$32,'Inputs'!$B$30+'Inputs'!$B$31+'Inputs'!$B$32)/1000+'Inputs'!$B$21)+'Inputs'!$B$7)/SQRT((((833-43)*MAX('Inputs'!$B$33,'Inputs'!$B$29+'Inputs'!$B$31+'Inputs'!$B$32,'Inputs'!$B$30+'Inputs'!$B$31+'Inputs'!$B$32)/1000+'Inputs'!$B$21)+'Inputs'!$B$7)^2+('Inputs'!$B$6/2)^2)-(((833-43)*MAX('Inputs'!$B$33,'Inputs'!$B$29+'Inputs'!$B$31+'Inputs'!$B$32,'Inputs'!$B$30+'Inputs'!$B$31+'Inputs'!$B$32)/1000+'Inputs'!$B$21))/SQRT((((833-43)*MAX('Inputs'!$B$33,'Inputs'!$B$29+'Inputs'!$B$31+'Inputs'!$B$32,'Inputs'!$B$30+'Inputs'!$B$31+'Inputs'!$B$32)/1000+'Inputs'!$B$21))^2+('Inputs'!$B$6/2)^2)))-'Results'!C7*(1-'Inputs'!$B$24)*(0.5*((((833-43)*MAX('Inputs'!$B$33,'Inputs'!$B$29+'Inputs'!$B$31+'Inputs'!$B$32,'Inputs'!$B$30+'Inputs'!$B$31+'Inputs'!$B$32)/1000+'Inputs'!$B$21+'Inputs'!$B$7+'Inputs'!$B$10)+'Inputs'!$B$9)/SQRT((((833-43)*MAX('Inputs'!$B$33,'Inputs'!$B$29+'Inputs'!$B$31+'Inputs'!$B$32,'Inputs'!$B$30+'Inputs'!$B$31+'Inputs'!$B$32)/1000+'Inputs'!$B$21+'Inputs'!$B$7+'Inputs'!$B$10)+'Inputs'!$B$9)^2+('Inputs'!$B$8/2)^2)-(((833-43)*MAX('Inputs'!$B$33,'Inputs'!$B$29+'Inputs'!$B$31+'Inputs'!$B$32,'Inputs'!$B$30+'Inputs'!$B$31+'Inputs'!$B$32)/1000+'Inputs'!$B$21+'Inputs'!$B$7+'Inputs'!$B$10))/SQRT((((833-43)*MAX('Inputs'!$B$33,'Inputs'!$B$29+'Inputs'!$B$31+'Inputs'!$B$32,'Inputs'!$B$30+'Inputs'!$B$31+'Inputs'!$B$32)/1000+'Inputs'!$B$21+'Inputs'!$B$7+'Inputs'!$B$10))^2+('Inputs'!$B$8/2)^2))))*'Results'!$B$8)+'Inputs'!$B$28*ABS((('Results'!B7*(1+'Inputs'!$B$24)*(0.5*((((833-43)*MAX('Inputs'!$B$33,'Inputs'!$B$29+'Inputs'!$B$31+'Inputs'!$B$32,'Inputs'!$B$30+'Inputs'!$B$31+'Inputs'!$B$32)/1000+'Inputs'!$B$21)+'Inputs'!$B$7)/SQRT((((833-43)*MAX('Inputs'!$B$33,'Inputs'!$B$29+'Inputs'!$B$31+'Inputs'!$B$32,'Inputs'!$B$30+'Inputs'!$B$31+'Inputs'!$B$32)/1000+'Inputs'!$B$21)+'Inputs'!$B$7)^2+('Inputs'!$B$6/2)^2)-(((833-43)*MAX('Inputs'!$B$33,'Inputs'!$B$29+'Inputs'!$B$31+'Inputs'!$B$32,'Inputs'!$B$30+'Inputs'!$B$31+'Inputs'!$B$32)/1000+'Inputs'!$B$21))/SQRT((((833-43)*MAX('Inputs'!$B$33,'Inputs'!$B$29+'Inputs'!$B$31+'Inputs'!$B$32,'Inputs'!$B$30+'Inputs'!$B$31+'Inputs'!$B$32)/1000+'Inputs'!$B$21))^2+('Inputs'!$B$6/2)^2)))-'Results'!C7*(1-'Inputs'!$B$24)*(0.5*((((833-43)*MAX('Inputs'!$B$33,'Inputs'!$B$29+'Inputs'!$B$31+'Inputs'!$B$32,'Inputs'!$B$30+'Inputs'!$B$31+'Inputs'!$B$32)/1000+'Inputs'!$B$21+'Inputs'!$B$7+'Inputs'!$B$10)+'Inputs'!$B$9)/SQRT((((833-43)*MAX('Inputs'!$B$33,'Inputs'!$B$29+'Inputs'!$B$31+'Inputs'!$B$32,'Inputs'!$B$30+'Inputs'!$B$31+'Inputs'!$B$32)/1000+'Inputs'!$B$21+'Inputs'!$B$7+'Inputs'!$B$10)+'Inputs'!$B$9)^2+('Inputs'!$B$8/2)^2)-(((833-43)*MAX('Inputs'!$B$33,'Inputs'!$B$29+'Inputs'!$B$31+'Inputs'!$B$32,'Inputs'!$B$30+'Inputs'!$B$31+'Inputs'!$B$32)/1000+'Inputs'!$B$21+'Inputs'!$B$7+'Inputs'!$B$10))/SQRT((((833-43)*MAX('Inputs'!$B$33,'Inputs'!$B$29+'Inputs'!$B$31+'Inputs'!$B$32,'Inputs'!$B$30+'Inputs'!$B$31+'Inputs'!$B$32)/1000+'Inputs'!$B$21+'Inputs'!$B$7+'Inputs'!$B$10))^2+('Inputs'!$B$8/2)^2))))*'Results'!$B$8))),"")</x:f>
        <x:v>0.9671966582661778</x:v>
      </x:c>
      <x:c r="M833" t="n">
        <x:f>IF(AND(ISNUMBER('Results'!C7),ISNUMBER('Results'!B7),ISNUMBER('Results'!$B$8),ISNUMBER('Inputs'!$B$6),ISNUMBER('Inputs'!$B$7),ISNUMBER('Inputs'!$B$8),ISNUMBER('Inputs'!$B$9),ISNUMBER('Inputs'!$B$10),ISNUMBER('Inputs'!$B$21),ISNUMBER('Inputs'!$B$24),ISNUMBER('Inputs'!$B$28)),(('Results'!C7*(0.5*((((833-43)*MAX('Inputs'!$B$33,'Inputs'!$B$29+'Inputs'!$B$31+'Inputs'!$B$32,'Inputs'!$B$30+'Inputs'!$B$31+'Inputs'!$B$32)/1000+'Inputs'!$B$21)+'Inputs'!$B$9)/SQRT((((833-43)*MAX('Inputs'!$B$33,'Inputs'!$B$29+'Inputs'!$B$31+'Inputs'!$B$32,'Inputs'!$B$30+'Inputs'!$B$31+'Inputs'!$B$32)/1000+'Inputs'!$B$21)+'Inputs'!$B$9)^2+('Inputs'!$B$8/2)^2)-(((833-43)*MAX('Inputs'!$B$33,'Inputs'!$B$29+'Inputs'!$B$31+'Inputs'!$B$32,'Inputs'!$B$30+'Inputs'!$B$31+'Inputs'!$B$32)/1000+'Inputs'!$B$21))/SQRT((((833-43)*MAX('Inputs'!$B$33,'Inputs'!$B$29+'Inputs'!$B$31+'Inputs'!$B$32,'Inputs'!$B$30+'Inputs'!$B$31+'Inputs'!$B$32)/1000+'Inputs'!$B$21))^2+('Inputs'!$B$8/2)^2)))-'Results'!B7*(0.5*((((833-43)*MAX('Inputs'!$B$33,'Inputs'!$B$29+'Inputs'!$B$31+'Inputs'!$B$32,'Inputs'!$B$30+'Inputs'!$B$31+'Inputs'!$B$32)/1000+'Inputs'!$B$21+'Inputs'!$B$9+'Inputs'!$B$10)+'Inputs'!$B$7)/SQRT((((833-43)*MAX('Inputs'!$B$33,'Inputs'!$B$29+'Inputs'!$B$31+'Inputs'!$B$32,'Inputs'!$B$30+'Inputs'!$B$31+'Inputs'!$B$32)/1000+'Inputs'!$B$21+'Inputs'!$B$9+'Inputs'!$B$10)+'Inputs'!$B$7)^2+('Inputs'!$B$6/2)^2)-(((833-43)*MAX('Inputs'!$B$33,'Inputs'!$B$29+'Inputs'!$B$31+'Inputs'!$B$32,'Inputs'!$B$30+'Inputs'!$B$31+'Inputs'!$B$32)/1000+'Inputs'!$B$21+'Inputs'!$B$9+'Inputs'!$B$10))/SQRT((((833-43)*MAX('Inputs'!$B$33,'Inputs'!$B$29+'Inputs'!$B$31+'Inputs'!$B$32,'Inputs'!$B$30+'Inputs'!$B$31+'Inputs'!$B$32)/1000+'Inputs'!$B$21+'Inputs'!$B$9+'Inputs'!$B$10))^2+('Inputs'!$B$6/2)^2))))*'Results'!$B$8),"")</x:f>
        <x:v>0.7562218309861074</x:v>
      </x:c>
      <x:c r="N833" t="n">
        <x:f>IF(AND(ISNUMBER('Results'!C7),ISNUMBER('Results'!B7),ISNUMBER('Results'!$B$8),ISNUMBER('Inputs'!$B$6),ISNUMBER('Inputs'!$B$7),ISNUMBER('Inputs'!$B$8),ISNUMBER('Inputs'!$B$9),ISNUMBER('Inputs'!$B$10),ISNUMBER('Inputs'!$B$21),ISNUMBER('Inputs'!$B$24),ISNUMBER('Inputs'!$B$28)),((('Results'!C7*(1-'Inputs'!$B$24)*(0.5*((((833-43)*MAX('Inputs'!$B$33,'Inputs'!$B$29+'Inputs'!$B$31+'Inputs'!$B$32,'Inputs'!$B$30+'Inputs'!$B$31+'Inputs'!$B$32)/1000+'Inputs'!$B$21)+'Inputs'!$B$9)/SQRT((((833-43)*MAX('Inputs'!$B$33,'Inputs'!$B$29+'Inputs'!$B$31+'Inputs'!$B$32,'Inputs'!$B$30+'Inputs'!$B$31+'Inputs'!$B$32)/1000+'Inputs'!$B$21)+'Inputs'!$B$9)^2+('Inputs'!$B$8/2)^2)-(((833-43)*MAX('Inputs'!$B$33,'Inputs'!$B$29+'Inputs'!$B$31+'Inputs'!$B$32,'Inputs'!$B$30+'Inputs'!$B$31+'Inputs'!$B$32)/1000+'Inputs'!$B$21))/SQRT((((833-43)*MAX('Inputs'!$B$33,'Inputs'!$B$29+'Inputs'!$B$31+'Inputs'!$B$32,'Inputs'!$B$30+'Inputs'!$B$31+'Inputs'!$B$32)/1000+'Inputs'!$B$21))^2+('Inputs'!$B$8/2)^2)))-'Results'!B7*(1+'Inputs'!$B$24)*(0.5*((((833-43)*MAX('Inputs'!$B$33,'Inputs'!$B$29+'Inputs'!$B$31+'Inputs'!$B$32,'Inputs'!$B$30+'Inputs'!$B$31+'Inputs'!$B$32)/1000+'Inputs'!$B$21+'Inputs'!$B$9+'Inputs'!$B$10)+'Inputs'!$B$7)/SQRT((((833-43)*MAX('Inputs'!$B$33,'Inputs'!$B$29+'Inputs'!$B$31+'Inputs'!$B$32,'Inputs'!$B$30+'Inputs'!$B$31+'Inputs'!$B$32)/1000+'Inputs'!$B$21+'Inputs'!$B$9+'Inputs'!$B$10)+'Inputs'!$B$7)^2+('Inputs'!$B$6/2)^2)-(((833-43)*MAX('Inputs'!$B$33,'Inputs'!$B$29+'Inputs'!$B$31+'Inputs'!$B$32,'Inputs'!$B$30+'Inputs'!$B$31+'Inputs'!$B$32)/1000+'Inputs'!$B$21+'Inputs'!$B$9+'Inputs'!$B$10))/SQRT((((833-43)*MAX('Inputs'!$B$33,'Inputs'!$B$29+'Inputs'!$B$31+'Inputs'!$B$32,'Inputs'!$B$30+'Inputs'!$B$31+'Inputs'!$B$32)/1000+'Inputs'!$B$21+'Inputs'!$B$9+'Inputs'!$B$10))^2+('Inputs'!$B$6/2)^2))))*'Results'!$B$8)-'Inputs'!$B$28*ABS((('Results'!C7*(1-'Inputs'!$B$24)*(0.5*((((833-43)*MAX('Inputs'!$B$33,'Inputs'!$B$29+'Inputs'!$B$31+'Inputs'!$B$32,'Inputs'!$B$30+'Inputs'!$B$31+'Inputs'!$B$32)/1000+'Inputs'!$B$21)+'Inputs'!$B$9)/SQRT((((833-43)*MAX('Inputs'!$B$33,'Inputs'!$B$29+'Inputs'!$B$31+'Inputs'!$B$32,'Inputs'!$B$30+'Inputs'!$B$31+'Inputs'!$B$32)/1000+'Inputs'!$B$21)+'Inputs'!$B$9)^2+('Inputs'!$B$8/2)^2)-(((833-43)*MAX('Inputs'!$B$33,'Inputs'!$B$29+'Inputs'!$B$31+'Inputs'!$B$32,'Inputs'!$B$30+'Inputs'!$B$31+'Inputs'!$B$32)/1000+'Inputs'!$B$21))/SQRT((((833-43)*MAX('Inputs'!$B$33,'Inputs'!$B$29+'Inputs'!$B$31+'Inputs'!$B$32,'Inputs'!$B$30+'Inputs'!$B$31+'Inputs'!$B$32)/1000+'Inputs'!$B$21))^2+('Inputs'!$B$8/2)^2)))-'Results'!B7*(1+'Inputs'!$B$24)*(0.5*((((833-43)*MAX('Inputs'!$B$33,'Inputs'!$B$29+'Inputs'!$B$31+'Inputs'!$B$32,'Inputs'!$B$30+'Inputs'!$B$31+'Inputs'!$B$32)/1000+'Inputs'!$B$21+'Inputs'!$B$9+'Inputs'!$B$10)+'Inputs'!$B$7)/SQRT((((833-43)*MAX('Inputs'!$B$33,'Inputs'!$B$29+'Inputs'!$B$31+'Inputs'!$B$32,'Inputs'!$B$30+'Inputs'!$B$31+'Inputs'!$B$32)/1000+'Inputs'!$B$21+'Inputs'!$B$9+'Inputs'!$B$10)+'Inputs'!$B$7)^2+('Inputs'!$B$6/2)^2)-(((833-43)*MAX('Inputs'!$B$33,'Inputs'!$B$29+'Inputs'!$B$31+'Inputs'!$B$32,'Inputs'!$B$30+'Inputs'!$B$31+'Inputs'!$B$32)/1000+'Inputs'!$B$21+'Inputs'!$B$9+'Inputs'!$B$10))/SQRT((((833-43)*MAX('Inputs'!$B$33,'Inputs'!$B$29+'Inputs'!$B$31+'Inputs'!$B$32,'Inputs'!$B$30+'Inputs'!$B$31+'Inputs'!$B$32)/1000+'Inputs'!$B$21+'Inputs'!$B$9+'Inputs'!$B$10))^2+('Inputs'!$B$6/2)^2))))*'Results'!$B$8))),"")</x:f>
        <x:v>0.6406976445493587</x:v>
      </x:c>
      <x:c r="O833" t="n">
        <x:f>IF(AND(ISNUMBER('Results'!C7),ISNUMBER('Results'!B7),ISNUMBER('Results'!$B$8),ISNUMBER('Inputs'!$B$6),ISNUMBER('Inputs'!$B$7),ISNUMBER('Inputs'!$B$8),ISNUMBER('Inputs'!$B$9),ISNUMBER('Inputs'!$B$10),ISNUMBER('Inputs'!$B$21),ISNUMBER('Inputs'!$B$24),ISNUMBER('Inputs'!$B$28)),((('Results'!C7*(1+'Inputs'!$B$24)*(0.5*((((833-43)*MAX('Inputs'!$B$33,'Inputs'!$B$29+'Inputs'!$B$31+'Inputs'!$B$32,'Inputs'!$B$30+'Inputs'!$B$31+'Inputs'!$B$32)/1000+'Inputs'!$B$21)+'Inputs'!$B$9)/SQRT((((833-43)*MAX('Inputs'!$B$33,'Inputs'!$B$29+'Inputs'!$B$31+'Inputs'!$B$32,'Inputs'!$B$30+'Inputs'!$B$31+'Inputs'!$B$32)/1000+'Inputs'!$B$21)+'Inputs'!$B$9)^2+('Inputs'!$B$8/2)^2)-(((833-43)*MAX('Inputs'!$B$33,'Inputs'!$B$29+'Inputs'!$B$31+'Inputs'!$B$32,'Inputs'!$B$30+'Inputs'!$B$31+'Inputs'!$B$32)/1000+'Inputs'!$B$21))/SQRT((((833-43)*MAX('Inputs'!$B$33,'Inputs'!$B$29+'Inputs'!$B$31+'Inputs'!$B$32,'Inputs'!$B$30+'Inputs'!$B$31+'Inputs'!$B$32)/1000+'Inputs'!$B$21))^2+('Inputs'!$B$8/2)^2)))-'Results'!B7*(1-'Inputs'!$B$24)*(0.5*((((833-43)*MAX('Inputs'!$B$33,'Inputs'!$B$29+'Inputs'!$B$31+'Inputs'!$B$32,'Inputs'!$B$30+'Inputs'!$B$31+'Inputs'!$B$32)/1000+'Inputs'!$B$21+'Inputs'!$B$9+'Inputs'!$B$10)+'Inputs'!$B$7)/SQRT((((833-43)*MAX('Inputs'!$B$33,'Inputs'!$B$29+'Inputs'!$B$31+'Inputs'!$B$32,'Inputs'!$B$30+'Inputs'!$B$31+'Inputs'!$B$32)/1000+'Inputs'!$B$21+'Inputs'!$B$9+'Inputs'!$B$10)+'Inputs'!$B$7)^2+('Inputs'!$B$6/2)^2)-(((833-43)*MAX('Inputs'!$B$33,'Inputs'!$B$29+'Inputs'!$B$31+'Inputs'!$B$32,'Inputs'!$B$30+'Inputs'!$B$31+'Inputs'!$B$32)/1000+'Inputs'!$B$21+'Inputs'!$B$9+'Inputs'!$B$10))/SQRT((((833-43)*MAX('Inputs'!$B$33,'Inputs'!$B$29+'Inputs'!$B$31+'Inputs'!$B$32,'Inputs'!$B$30+'Inputs'!$B$31+'Inputs'!$B$32)/1000+'Inputs'!$B$21+'Inputs'!$B$9+'Inputs'!$B$10))^2+('Inputs'!$B$6/2)^2))))*'Results'!$B$8)+'Inputs'!$B$28*ABS((('Results'!C7*(1+'Inputs'!$B$24)*(0.5*((((833-43)*MAX('Inputs'!$B$33,'Inputs'!$B$29+'Inputs'!$B$31+'Inputs'!$B$32,'Inputs'!$B$30+'Inputs'!$B$31+'Inputs'!$B$32)/1000+'Inputs'!$B$21)+'Inputs'!$B$9)/SQRT((((833-43)*MAX('Inputs'!$B$33,'Inputs'!$B$29+'Inputs'!$B$31+'Inputs'!$B$32,'Inputs'!$B$30+'Inputs'!$B$31+'Inputs'!$B$32)/1000+'Inputs'!$B$21)+'Inputs'!$B$9)^2+('Inputs'!$B$8/2)^2)-(((833-43)*MAX('Inputs'!$B$33,'Inputs'!$B$29+'Inputs'!$B$31+'Inputs'!$B$32,'Inputs'!$B$30+'Inputs'!$B$31+'Inputs'!$B$32)/1000+'Inputs'!$B$21))/SQRT((((833-43)*MAX('Inputs'!$B$33,'Inputs'!$B$29+'Inputs'!$B$31+'Inputs'!$B$32,'Inputs'!$B$30+'Inputs'!$B$31+'Inputs'!$B$32)/1000+'Inputs'!$B$21))^2+('Inputs'!$B$8/2)^2)))-'Results'!B7*(1-'Inputs'!$B$24)*(0.5*((((833-43)*MAX('Inputs'!$B$33,'Inputs'!$B$29+'Inputs'!$B$31+'Inputs'!$B$32,'Inputs'!$B$30+'Inputs'!$B$31+'Inputs'!$B$32)/1000+'Inputs'!$B$21+'Inputs'!$B$9+'Inputs'!$B$10)+'Inputs'!$B$7)/SQRT((((833-43)*MAX('Inputs'!$B$33,'Inputs'!$B$29+'Inputs'!$B$31+'Inputs'!$B$32,'Inputs'!$B$30+'Inputs'!$B$31+'Inputs'!$B$32)/1000+'Inputs'!$B$21+'Inputs'!$B$9+'Inputs'!$B$10)+'Inputs'!$B$7)^2+('Inputs'!$B$6/2)^2)-(((833-43)*MAX('Inputs'!$B$33,'Inputs'!$B$29+'Inputs'!$B$31+'Inputs'!$B$32,'Inputs'!$B$30+'Inputs'!$B$31+'Inputs'!$B$32)/1000+'Inputs'!$B$21+'Inputs'!$B$9+'Inputs'!$B$10))/SQRT((((833-43)*MAX('Inputs'!$B$33,'Inputs'!$B$29+'Inputs'!$B$31+'Inputs'!$B$32,'Inputs'!$B$30+'Inputs'!$B$31+'Inputs'!$B$32)/1000+'Inputs'!$B$21+'Inputs'!$B$9+'Inputs'!$B$10))^2+('Inputs'!$B$6/2)^2))))*'Results'!$B$8))),"")</x:f>
        <x:v>0.8799263432004819</x:v>
      </x:c>
      <x:c r="P833" t="n">
        <x:f>IF(AND(MAX(J833,J832)&gt;0,J833&gt;J832+0.00000001),1,0)</x:f>
        <x:v>0</x:v>
      </x:c>
      <x:c r="Q833" t="n">
        <x:f>IF(AND(MAX(K833,K832)&gt;0,K833&gt;K832+0.00000001),1,0)</x:f>
        <x:v>0</x:v>
      </x:c>
      <x:c r="R833" t="n">
        <x:f>IF(AND(MAX(L833,L832)&gt;0,L833&gt;L832+0.00000001),1,0)</x:f>
        <x:v>0</x:v>
      </x:c>
      <x:c r="S833" t="n">
        <x:f>IF(AND(MAX(M833,M832)&gt;0,M833&gt;M832+0.00000001),1,0)</x:f>
        <x:v>0</x:v>
      </x:c>
      <x:c r="T833" t="n">
        <x:f>IF(AND(MAX(N833,N832)&gt;0,N833&gt;N832+0.00000001),1,0)</x:f>
        <x:v>0</x:v>
      </x:c>
      <x:c r="U833" t="n">
        <x:f>IF(AND(MAX(O833,O832)&gt;0,O833&gt;O832+0.00000001),1,0)</x:f>
        <x:v>0</x:v>
      </x:c>
    </x:row>
    <x:row r="834">
      <x:c r="J834" t="n">
        <x:f>IF(AND(ISNUMBER('Results'!B7),ISNUMBER('Results'!C7),ISNUMBER('Results'!$B$8),ISNUMBER('Inputs'!$B$6),ISNUMBER('Inputs'!$B$7),ISNUMBER('Inputs'!$B$8),ISNUMBER('Inputs'!$B$9),ISNUMBER('Inputs'!$B$10),ISNUMBER('Inputs'!$B$21),ISNUMBER('Inputs'!$B$24),ISNUMBER('Inputs'!$B$28)),(('Results'!B7*(0.5*((((834-43)*MAX('Inputs'!$B$33,'Inputs'!$B$29+'Inputs'!$B$31+'Inputs'!$B$32,'Inputs'!$B$30+'Inputs'!$B$31+'Inputs'!$B$32)/1000+'Inputs'!$B$21)+'Inputs'!$B$7)/SQRT((((834-43)*MAX('Inputs'!$B$33,'Inputs'!$B$29+'Inputs'!$B$31+'Inputs'!$B$32,'Inputs'!$B$30+'Inputs'!$B$31+'Inputs'!$B$32)/1000+'Inputs'!$B$21)+'Inputs'!$B$7)^2+('Inputs'!$B$6/2)^2)-(((834-43)*MAX('Inputs'!$B$33,'Inputs'!$B$29+'Inputs'!$B$31+'Inputs'!$B$32,'Inputs'!$B$30+'Inputs'!$B$31+'Inputs'!$B$32)/1000+'Inputs'!$B$21))/SQRT((((834-43)*MAX('Inputs'!$B$33,'Inputs'!$B$29+'Inputs'!$B$31+'Inputs'!$B$32,'Inputs'!$B$30+'Inputs'!$B$31+'Inputs'!$B$32)/1000+'Inputs'!$B$21))^2+('Inputs'!$B$6/2)^2)))-'Results'!C7*(0.5*((((834-43)*MAX('Inputs'!$B$33,'Inputs'!$B$29+'Inputs'!$B$31+'Inputs'!$B$32,'Inputs'!$B$30+'Inputs'!$B$31+'Inputs'!$B$32)/1000+'Inputs'!$B$21+'Inputs'!$B$7+'Inputs'!$B$10)+'Inputs'!$B$9)/SQRT((((834-43)*MAX('Inputs'!$B$33,'Inputs'!$B$29+'Inputs'!$B$31+'Inputs'!$B$32,'Inputs'!$B$30+'Inputs'!$B$31+'Inputs'!$B$32)/1000+'Inputs'!$B$21+'Inputs'!$B$7+'Inputs'!$B$10)+'Inputs'!$B$9)^2+('Inputs'!$B$8/2)^2)-(((834-43)*MAX('Inputs'!$B$33,'Inputs'!$B$29+'Inputs'!$B$31+'Inputs'!$B$32,'Inputs'!$B$30+'Inputs'!$B$31+'Inputs'!$B$32)/1000+'Inputs'!$B$21+'Inputs'!$B$7+'Inputs'!$B$10))/SQRT((((834-43)*MAX('Inputs'!$B$33,'Inputs'!$B$29+'Inputs'!$B$31+'Inputs'!$B$32,'Inputs'!$B$30+'Inputs'!$B$31+'Inputs'!$B$32)/1000+'Inputs'!$B$21+'Inputs'!$B$7+'Inputs'!$B$10))^2+('Inputs'!$B$8/2)^2))))*'Results'!$B$8),"")</x:f>
        <x:v>0.8352107351557049</x:v>
      </x:c>
      <x:c r="K834" t="n">
        <x:f>IF(AND(ISNUMBER('Results'!B7),ISNUMBER('Results'!C7),ISNUMBER('Results'!$B$8),ISNUMBER('Inputs'!$B$6),ISNUMBER('Inputs'!$B$7),ISNUMBER('Inputs'!$B$8),ISNUMBER('Inputs'!$B$9),ISNUMBER('Inputs'!$B$10),ISNUMBER('Inputs'!$B$21),ISNUMBER('Inputs'!$B$24),ISNUMBER('Inputs'!$B$28)),((('Results'!B7*(1-'Inputs'!$B$24)*(0.5*((((834-43)*MAX('Inputs'!$B$33,'Inputs'!$B$29+'Inputs'!$B$31+'Inputs'!$B$32,'Inputs'!$B$30+'Inputs'!$B$31+'Inputs'!$B$32)/1000+'Inputs'!$B$21)+'Inputs'!$B$7)/SQRT((((834-43)*MAX('Inputs'!$B$33,'Inputs'!$B$29+'Inputs'!$B$31+'Inputs'!$B$32,'Inputs'!$B$30+'Inputs'!$B$31+'Inputs'!$B$32)/1000+'Inputs'!$B$21)+'Inputs'!$B$7)^2+('Inputs'!$B$6/2)^2)-(((834-43)*MAX('Inputs'!$B$33,'Inputs'!$B$29+'Inputs'!$B$31+'Inputs'!$B$32,'Inputs'!$B$30+'Inputs'!$B$31+'Inputs'!$B$32)/1000+'Inputs'!$B$21))/SQRT((((834-43)*MAX('Inputs'!$B$33,'Inputs'!$B$29+'Inputs'!$B$31+'Inputs'!$B$32,'Inputs'!$B$30+'Inputs'!$B$31+'Inputs'!$B$32)/1000+'Inputs'!$B$21))^2+('Inputs'!$B$6/2)^2)))-'Results'!C7*(1+'Inputs'!$B$24)*(0.5*((((834-43)*MAX('Inputs'!$B$33,'Inputs'!$B$29+'Inputs'!$B$31+'Inputs'!$B$32,'Inputs'!$B$30+'Inputs'!$B$31+'Inputs'!$B$32)/1000+'Inputs'!$B$21+'Inputs'!$B$7+'Inputs'!$B$10)+'Inputs'!$B$9)/SQRT((((834-43)*MAX('Inputs'!$B$33,'Inputs'!$B$29+'Inputs'!$B$31+'Inputs'!$B$32,'Inputs'!$B$30+'Inputs'!$B$31+'Inputs'!$B$32)/1000+'Inputs'!$B$21+'Inputs'!$B$7+'Inputs'!$B$10)+'Inputs'!$B$9)^2+('Inputs'!$B$8/2)^2)-(((834-43)*MAX('Inputs'!$B$33,'Inputs'!$B$29+'Inputs'!$B$31+'Inputs'!$B$32,'Inputs'!$B$30+'Inputs'!$B$31+'Inputs'!$B$32)/1000+'Inputs'!$B$21+'Inputs'!$B$7+'Inputs'!$B$10))/SQRT((((834-43)*MAX('Inputs'!$B$33,'Inputs'!$B$29+'Inputs'!$B$31+'Inputs'!$B$32,'Inputs'!$B$30+'Inputs'!$B$31+'Inputs'!$B$32)/1000+'Inputs'!$B$21+'Inputs'!$B$7+'Inputs'!$B$10))^2+('Inputs'!$B$8/2)^2))))*'Results'!$B$8)-'Inputs'!$B$28*ABS((('Results'!B7*(1-'Inputs'!$B$24)*(0.5*((((834-43)*MAX('Inputs'!$B$33,'Inputs'!$B$29+'Inputs'!$B$31+'Inputs'!$B$32,'Inputs'!$B$30+'Inputs'!$B$31+'Inputs'!$B$32)/1000+'Inputs'!$B$21)+'Inputs'!$B$7)/SQRT((((834-43)*MAX('Inputs'!$B$33,'Inputs'!$B$29+'Inputs'!$B$31+'Inputs'!$B$32,'Inputs'!$B$30+'Inputs'!$B$31+'Inputs'!$B$32)/1000+'Inputs'!$B$21)+'Inputs'!$B$7)^2+('Inputs'!$B$6/2)^2)-(((834-43)*MAX('Inputs'!$B$33,'Inputs'!$B$29+'Inputs'!$B$31+'Inputs'!$B$32,'Inputs'!$B$30+'Inputs'!$B$31+'Inputs'!$B$32)/1000+'Inputs'!$B$21))/SQRT((((834-43)*MAX('Inputs'!$B$33,'Inputs'!$B$29+'Inputs'!$B$31+'Inputs'!$B$32,'Inputs'!$B$30+'Inputs'!$B$31+'Inputs'!$B$32)/1000+'Inputs'!$B$21))^2+('Inputs'!$B$6/2)^2)))-'Results'!C7*(1+'Inputs'!$B$24)*(0.5*((((834-43)*MAX('Inputs'!$B$33,'Inputs'!$B$29+'Inputs'!$B$31+'Inputs'!$B$32,'Inputs'!$B$30+'Inputs'!$B$31+'Inputs'!$B$32)/1000+'Inputs'!$B$21+'Inputs'!$B$7+'Inputs'!$B$10)+'Inputs'!$B$9)/SQRT((((834-43)*MAX('Inputs'!$B$33,'Inputs'!$B$29+'Inputs'!$B$31+'Inputs'!$B$32,'Inputs'!$B$30+'Inputs'!$B$31+'Inputs'!$B$32)/1000+'Inputs'!$B$21+'Inputs'!$B$7+'Inputs'!$B$10)+'Inputs'!$B$9)^2+('Inputs'!$B$8/2)^2)-(((834-43)*MAX('Inputs'!$B$33,'Inputs'!$B$29+'Inputs'!$B$31+'Inputs'!$B$32,'Inputs'!$B$30+'Inputs'!$B$31+'Inputs'!$B$32)/1000+'Inputs'!$B$21+'Inputs'!$B$7+'Inputs'!$B$10))/SQRT((((834-43)*MAX('Inputs'!$B$33,'Inputs'!$B$29+'Inputs'!$B$31+'Inputs'!$B$32,'Inputs'!$B$30+'Inputs'!$B$31+'Inputs'!$B$32)/1000+'Inputs'!$B$21+'Inputs'!$B$7+'Inputs'!$B$10))^2+('Inputs'!$B$8/2)^2))))*'Results'!$B$8))),"")</x:f>
        <x:v>0.7157028654205388</x:v>
      </x:c>
      <x:c r="L834" t="n">
        <x:f>IF(AND(ISNUMBER('Results'!B7),ISNUMBER('Results'!C7),ISNUMBER('Results'!$B$8),ISNUMBER('Inputs'!$B$6),ISNUMBER('Inputs'!$B$7),ISNUMBER('Inputs'!$B$8),ISNUMBER('Inputs'!$B$9),ISNUMBER('Inputs'!$B$10),ISNUMBER('Inputs'!$B$21),ISNUMBER('Inputs'!$B$24),ISNUMBER('Inputs'!$B$28)),((('Results'!B7*(1+'Inputs'!$B$24)*(0.5*((((834-43)*MAX('Inputs'!$B$33,'Inputs'!$B$29+'Inputs'!$B$31+'Inputs'!$B$32,'Inputs'!$B$30+'Inputs'!$B$31+'Inputs'!$B$32)/1000+'Inputs'!$B$21)+'Inputs'!$B$7)/SQRT((((834-43)*MAX('Inputs'!$B$33,'Inputs'!$B$29+'Inputs'!$B$31+'Inputs'!$B$32,'Inputs'!$B$30+'Inputs'!$B$31+'Inputs'!$B$32)/1000+'Inputs'!$B$21)+'Inputs'!$B$7)^2+('Inputs'!$B$6/2)^2)-(((834-43)*MAX('Inputs'!$B$33,'Inputs'!$B$29+'Inputs'!$B$31+'Inputs'!$B$32,'Inputs'!$B$30+'Inputs'!$B$31+'Inputs'!$B$32)/1000+'Inputs'!$B$21))/SQRT((((834-43)*MAX('Inputs'!$B$33,'Inputs'!$B$29+'Inputs'!$B$31+'Inputs'!$B$32,'Inputs'!$B$30+'Inputs'!$B$31+'Inputs'!$B$32)/1000+'Inputs'!$B$21))^2+('Inputs'!$B$6/2)^2)))-'Results'!C7*(1-'Inputs'!$B$24)*(0.5*((((834-43)*MAX('Inputs'!$B$33,'Inputs'!$B$29+'Inputs'!$B$31+'Inputs'!$B$32,'Inputs'!$B$30+'Inputs'!$B$31+'Inputs'!$B$32)/1000+'Inputs'!$B$21+'Inputs'!$B$7+'Inputs'!$B$10)+'Inputs'!$B$9)/SQRT((((834-43)*MAX('Inputs'!$B$33,'Inputs'!$B$29+'Inputs'!$B$31+'Inputs'!$B$32,'Inputs'!$B$30+'Inputs'!$B$31+'Inputs'!$B$32)/1000+'Inputs'!$B$21+'Inputs'!$B$7+'Inputs'!$B$10)+'Inputs'!$B$9)^2+('Inputs'!$B$8/2)^2)-(((834-43)*MAX('Inputs'!$B$33,'Inputs'!$B$29+'Inputs'!$B$31+'Inputs'!$B$32,'Inputs'!$B$30+'Inputs'!$B$31+'Inputs'!$B$32)/1000+'Inputs'!$B$21+'Inputs'!$B$7+'Inputs'!$B$10))/SQRT((((834-43)*MAX('Inputs'!$B$33,'Inputs'!$B$29+'Inputs'!$B$31+'Inputs'!$B$32,'Inputs'!$B$30+'Inputs'!$B$31+'Inputs'!$B$32)/1000+'Inputs'!$B$21+'Inputs'!$B$7+'Inputs'!$B$10))^2+('Inputs'!$B$8/2)^2))))*'Results'!$B$8)+'Inputs'!$B$28*ABS((('Results'!B7*(1+'Inputs'!$B$24)*(0.5*((((834-43)*MAX('Inputs'!$B$33,'Inputs'!$B$29+'Inputs'!$B$31+'Inputs'!$B$32,'Inputs'!$B$30+'Inputs'!$B$31+'Inputs'!$B$32)/1000+'Inputs'!$B$21)+'Inputs'!$B$7)/SQRT((((834-43)*MAX('Inputs'!$B$33,'Inputs'!$B$29+'Inputs'!$B$31+'Inputs'!$B$32,'Inputs'!$B$30+'Inputs'!$B$31+'Inputs'!$B$32)/1000+'Inputs'!$B$21)+'Inputs'!$B$7)^2+('Inputs'!$B$6/2)^2)-(((834-43)*MAX('Inputs'!$B$33,'Inputs'!$B$29+'Inputs'!$B$31+'Inputs'!$B$32,'Inputs'!$B$30+'Inputs'!$B$31+'Inputs'!$B$32)/1000+'Inputs'!$B$21))/SQRT((((834-43)*MAX('Inputs'!$B$33,'Inputs'!$B$29+'Inputs'!$B$31+'Inputs'!$B$32,'Inputs'!$B$30+'Inputs'!$B$31+'Inputs'!$B$32)/1000+'Inputs'!$B$21))^2+('Inputs'!$B$6/2)^2)))-'Results'!C7*(1-'Inputs'!$B$24)*(0.5*((((834-43)*MAX('Inputs'!$B$33,'Inputs'!$B$29+'Inputs'!$B$31+'Inputs'!$B$32,'Inputs'!$B$30+'Inputs'!$B$31+'Inputs'!$B$32)/1000+'Inputs'!$B$21+'Inputs'!$B$7+'Inputs'!$B$10)+'Inputs'!$B$9)/SQRT((((834-43)*MAX('Inputs'!$B$33,'Inputs'!$B$29+'Inputs'!$B$31+'Inputs'!$B$32,'Inputs'!$B$30+'Inputs'!$B$31+'Inputs'!$B$32)/1000+'Inputs'!$B$21+'Inputs'!$B$7+'Inputs'!$B$10)+'Inputs'!$B$9)^2+('Inputs'!$B$8/2)^2)-(((834-43)*MAX('Inputs'!$B$33,'Inputs'!$B$29+'Inputs'!$B$31+'Inputs'!$B$32,'Inputs'!$B$30+'Inputs'!$B$31+'Inputs'!$B$32)/1000+'Inputs'!$B$21+'Inputs'!$B$7+'Inputs'!$B$10))/SQRT((((834-43)*MAX('Inputs'!$B$33,'Inputs'!$B$29+'Inputs'!$B$31+'Inputs'!$B$32,'Inputs'!$B$30+'Inputs'!$B$31+'Inputs'!$B$32)/1000+'Inputs'!$B$21+'Inputs'!$B$7+'Inputs'!$B$10))^2+('Inputs'!$B$8/2)^2))))*'Results'!$B$8))),"")</x:f>
        <x:v>0.9629025346779637</x:v>
      </x:c>
      <x:c r="M834" t="n">
        <x:f>IF(AND(ISNUMBER('Results'!C7),ISNUMBER('Results'!B7),ISNUMBER('Results'!$B$8),ISNUMBER('Inputs'!$B$6),ISNUMBER('Inputs'!$B$7),ISNUMBER('Inputs'!$B$8),ISNUMBER('Inputs'!$B$9),ISNUMBER('Inputs'!$B$10),ISNUMBER('Inputs'!$B$21),ISNUMBER('Inputs'!$B$24),ISNUMBER('Inputs'!$B$28)),(('Results'!C7*(0.5*((((834-43)*MAX('Inputs'!$B$33,'Inputs'!$B$29+'Inputs'!$B$31+'Inputs'!$B$32,'Inputs'!$B$30+'Inputs'!$B$31+'Inputs'!$B$32)/1000+'Inputs'!$B$21)+'Inputs'!$B$9)/SQRT((((834-43)*MAX('Inputs'!$B$33,'Inputs'!$B$29+'Inputs'!$B$31+'Inputs'!$B$32,'Inputs'!$B$30+'Inputs'!$B$31+'Inputs'!$B$32)/1000+'Inputs'!$B$21)+'Inputs'!$B$9)^2+('Inputs'!$B$8/2)^2)-(((834-43)*MAX('Inputs'!$B$33,'Inputs'!$B$29+'Inputs'!$B$31+'Inputs'!$B$32,'Inputs'!$B$30+'Inputs'!$B$31+'Inputs'!$B$32)/1000+'Inputs'!$B$21))/SQRT((((834-43)*MAX('Inputs'!$B$33,'Inputs'!$B$29+'Inputs'!$B$31+'Inputs'!$B$32,'Inputs'!$B$30+'Inputs'!$B$31+'Inputs'!$B$32)/1000+'Inputs'!$B$21))^2+('Inputs'!$B$8/2)^2)))-'Results'!B7*(0.5*((((834-43)*MAX('Inputs'!$B$33,'Inputs'!$B$29+'Inputs'!$B$31+'Inputs'!$B$32,'Inputs'!$B$30+'Inputs'!$B$31+'Inputs'!$B$32)/1000+'Inputs'!$B$21+'Inputs'!$B$9+'Inputs'!$B$10)+'Inputs'!$B$7)/SQRT((((834-43)*MAX('Inputs'!$B$33,'Inputs'!$B$29+'Inputs'!$B$31+'Inputs'!$B$32,'Inputs'!$B$30+'Inputs'!$B$31+'Inputs'!$B$32)/1000+'Inputs'!$B$21+'Inputs'!$B$9+'Inputs'!$B$10)+'Inputs'!$B$7)^2+('Inputs'!$B$6/2)^2)-(((834-43)*MAX('Inputs'!$B$33,'Inputs'!$B$29+'Inputs'!$B$31+'Inputs'!$B$32,'Inputs'!$B$30+'Inputs'!$B$31+'Inputs'!$B$32)/1000+'Inputs'!$B$21+'Inputs'!$B$9+'Inputs'!$B$10))/SQRT((((834-43)*MAX('Inputs'!$B$33,'Inputs'!$B$29+'Inputs'!$B$31+'Inputs'!$B$32,'Inputs'!$B$30+'Inputs'!$B$31+'Inputs'!$B$32)/1000+'Inputs'!$B$21+'Inputs'!$B$9+'Inputs'!$B$10))^2+('Inputs'!$B$6/2)^2))))*'Results'!$B$8),"")</x:f>
        <x:v>0.7527067935789841</x:v>
      </x:c>
      <x:c r="N834" t="n">
        <x:f>IF(AND(ISNUMBER('Results'!C7),ISNUMBER('Results'!B7),ISNUMBER('Results'!$B$8),ISNUMBER('Inputs'!$B$6),ISNUMBER('Inputs'!$B$7),ISNUMBER('Inputs'!$B$8),ISNUMBER('Inputs'!$B$9),ISNUMBER('Inputs'!$B$10),ISNUMBER('Inputs'!$B$21),ISNUMBER('Inputs'!$B$24),ISNUMBER('Inputs'!$B$28)),((('Results'!C7*(1-'Inputs'!$B$24)*(0.5*((((834-43)*MAX('Inputs'!$B$33,'Inputs'!$B$29+'Inputs'!$B$31+'Inputs'!$B$32,'Inputs'!$B$30+'Inputs'!$B$31+'Inputs'!$B$32)/1000+'Inputs'!$B$21)+'Inputs'!$B$9)/SQRT((((834-43)*MAX('Inputs'!$B$33,'Inputs'!$B$29+'Inputs'!$B$31+'Inputs'!$B$32,'Inputs'!$B$30+'Inputs'!$B$31+'Inputs'!$B$32)/1000+'Inputs'!$B$21)+'Inputs'!$B$9)^2+('Inputs'!$B$8/2)^2)-(((834-43)*MAX('Inputs'!$B$33,'Inputs'!$B$29+'Inputs'!$B$31+'Inputs'!$B$32,'Inputs'!$B$30+'Inputs'!$B$31+'Inputs'!$B$32)/1000+'Inputs'!$B$21))/SQRT((((834-43)*MAX('Inputs'!$B$33,'Inputs'!$B$29+'Inputs'!$B$31+'Inputs'!$B$32,'Inputs'!$B$30+'Inputs'!$B$31+'Inputs'!$B$32)/1000+'Inputs'!$B$21))^2+('Inputs'!$B$8/2)^2)))-'Results'!B7*(1+'Inputs'!$B$24)*(0.5*((((834-43)*MAX('Inputs'!$B$33,'Inputs'!$B$29+'Inputs'!$B$31+'Inputs'!$B$32,'Inputs'!$B$30+'Inputs'!$B$31+'Inputs'!$B$32)/1000+'Inputs'!$B$21+'Inputs'!$B$9+'Inputs'!$B$10)+'Inputs'!$B$7)/SQRT((((834-43)*MAX('Inputs'!$B$33,'Inputs'!$B$29+'Inputs'!$B$31+'Inputs'!$B$32,'Inputs'!$B$30+'Inputs'!$B$31+'Inputs'!$B$32)/1000+'Inputs'!$B$21+'Inputs'!$B$9+'Inputs'!$B$10)+'Inputs'!$B$7)^2+('Inputs'!$B$6/2)^2)-(((834-43)*MAX('Inputs'!$B$33,'Inputs'!$B$29+'Inputs'!$B$31+'Inputs'!$B$32,'Inputs'!$B$30+'Inputs'!$B$31+'Inputs'!$B$32)/1000+'Inputs'!$B$21+'Inputs'!$B$9+'Inputs'!$B$10))/SQRT((((834-43)*MAX('Inputs'!$B$33,'Inputs'!$B$29+'Inputs'!$B$31+'Inputs'!$B$32,'Inputs'!$B$30+'Inputs'!$B$31+'Inputs'!$B$32)/1000+'Inputs'!$B$21+'Inputs'!$B$9+'Inputs'!$B$10))^2+('Inputs'!$B$6/2)^2))))*'Results'!$B$8)-'Inputs'!$B$28*ABS((('Results'!C7*(1-'Inputs'!$B$24)*(0.5*((((834-43)*MAX('Inputs'!$B$33,'Inputs'!$B$29+'Inputs'!$B$31+'Inputs'!$B$32,'Inputs'!$B$30+'Inputs'!$B$31+'Inputs'!$B$32)/1000+'Inputs'!$B$21)+'Inputs'!$B$9)/SQRT((((834-43)*MAX('Inputs'!$B$33,'Inputs'!$B$29+'Inputs'!$B$31+'Inputs'!$B$32,'Inputs'!$B$30+'Inputs'!$B$31+'Inputs'!$B$32)/1000+'Inputs'!$B$21)+'Inputs'!$B$9)^2+('Inputs'!$B$8/2)^2)-(((834-43)*MAX('Inputs'!$B$33,'Inputs'!$B$29+'Inputs'!$B$31+'Inputs'!$B$32,'Inputs'!$B$30+'Inputs'!$B$31+'Inputs'!$B$32)/1000+'Inputs'!$B$21))/SQRT((((834-43)*MAX('Inputs'!$B$33,'Inputs'!$B$29+'Inputs'!$B$31+'Inputs'!$B$32,'Inputs'!$B$30+'Inputs'!$B$31+'Inputs'!$B$32)/1000+'Inputs'!$B$21))^2+('Inputs'!$B$8/2)^2)))-'Results'!B7*(1+'Inputs'!$B$24)*(0.5*((((834-43)*MAX('Inputs'!$B$33,'Inputs'!$B$29+'Inputs'!$B$31+'Inputs'!$B$32,'Inputs'!$B$30+'Inputs'!$B$31+'Inputs'!$B$32)/1000+'Inputs'!$B$21+'Inputs'!$B$9+'Inputs'!$B$10)+'Inputs'!$B$7)/SQRT((((834-43)*MAX('Inputs'!$B$33,'Inputs'!$B$29+'Inputs'!$B$31+'Inputs'!$B$32,'Inputs'!$B$30+'Inputs'!$B$31+'Inputs'!$B$32)/1000+'Inputs'!$B$21+'Inputs'!$B$9+'Inputs'!$B$10)+'Inputs'!$B$7)^2+('Inputs'!$B$6/2)^2)-(((834-43)*MAX('Inputs'!$B$33,'Inputs'!$B$29+'Inputs'!$B$31+'Inputs'!$B$32,'Inputs'!$B$30+'Inputs'!$B$31+'Inputs'!$B$32)/1000+'Inputs'!$B$21+'Inputs'!$B$9+'Inputs'!$B$10))/SQRT((((834-43)*MAX('Inputs'!$B$33,'Inputs'!$B$29+'Inputs'!$B$31+'Inputs'!$B$32,'Inputs'!$B$30+'Inputs'!$B$31+'Inputs'!$B$32)/1000+'Inputs'!$B$21+'Inputs'!$B$9+'Inputs'!$B$10))^2+('Inputs'!$B$6/2)^2))))*'Results'!$B$8))),"")</x:f>
        <x:v>0.6376288727716029</x:v>
      </x:c>
      <x:c r="O834" t="n">
        <x:f>IF(AND(ISNUMBER('Results'!C7),ISNUMBER('Results'!B7),ISNUMBER('Results'!$B$8),ISNUMBER('Inputs'!$B$6),ISNUMBER('Inputs'!$B$7),ISNUMBER('Inputs'!$B$8),ISNUMBER('Inputs'!$B$9),ISNUMBER('Inputs'!$B$10),ISNUMBER('Inputs'!$B$21),ISNUMBER('Inputs'!$B$24),ISNUMBER('Inputs'!$B$28)),((('Results'!C7*(1+'Inputs'!$B$24)*(0.5*((((834-43)*MAX('Inputs'!$B$33,'Inputs'!$B$29+'Inputs'!$B$31+'Inputs'!$B$32,'Inputs'!$B$30+'Inputs'!$B$31+'Inputs'!$B$32)/1000+'Inputs'!$B$21)+'Inputs'!$B$9)/SQRT((((834-43)*MAX('Inputs'!$B$33,'Inputs'!$B$29+'Inputs'!$B$31+'Inputs'!$B$32,'Inputs'!$B$30+'Inputs'!$B$31+'Inputs'!$B$32)/1000+'Inputs'!$B$21)+'Inputs'!$B$9)^2+('Inputs'!$B$8/2)^2)-(((834-43)*MAX('Inputs'!$B$33,'Inputs'!$B$29+'Inputs'!$B$31+'Inputs'!$B$32,'Inputs'!$B$30+'Inputs'!$B$31+'Inputs'!$B$32)/1000+'Inputs'!$B$21))/SQRT((((834-43)*MAX('Inputs'!$B$33,'Inputs'!$B$29+'Inputs'!$B$31+'Inputs'!$B$32,'Inputs'!$B$30+'Inputs'!$B$31+'Inputs'!$B$32)/1000+'Inputs'!$B$21))^2+('Inputs'!$B$8/2)^2)))-'Results'!B7*(1-'Inputs'!$B$24)*(0.5*((((834-43)*MAX('Inputs'!$B$33,'Inputs'!$B$29+'Inputs'!$B$31+'Inputs'!$B$32,'Inputs'!$B$30+'Inputs'!$B$31+'Inputs'!$B$32)/1000+'Inputs'!$B$21+'Inputs'!$B$9+'Inputs'!$B$10)+'Inputs'!$B$7)/SQRT((((834-43)*MAX('Inputs'!$B$33,'Inputs'!$B$29+'Inputs'!$B$31+'Inputs'!$B$32,'Inputs'!$B$30+'Inputs'!$B$31+'Inputs'!$B$32)/1000+'Inputs'!$B$21+'Inputs'!$B$9+'Inputs'!$B$10)+'Inputs'!$B$7)^2+('Inputs'!$B$6/2)^2)-(((834-43)*MAX('Inputs'!$B$33,'Inputs'!$B$29+'Inputs'!$B$31+'Inputs'!$B$32,'Inputs'!$B$30+'Inputs'!$B$31+'Inputs'!$B$32)/1000+'Inputs'!$B$21+'Inputs'!$B$9+'Inputs'!$B$10))/SQRT((((834-43)*MAX('Inputs'!$B$33,'Inputs'!$B$29+'Inputs'!$B$31+'Inputs'!$B$32,'Inputs'!$B$30+'Inputs'!$B$31+'Inputs'!$B$32)/1000+'Inputs'!$B$21+'Inputs'!$B$9+'Inputs'!$B$10))^2+('Inputs'!$B$6/2)^2))))*'Results'!$B$8)+'Inputs'!$B$28*ABS((('Results'!C7*(1+'Inputs'!$B$24)*(0.5*((((834-43)*MAX('Inputs'!$B$33,'Inputs'!$B$29+'Inputs'!$B$31+'Inputs'!$B$32,'Inputs'!$B$30+'Inputs'!$B$31+'Inputs'!$B$32)/1000+'Inputs'!$B$21)+'Inputs'!$B$9)/SQRT((((834-43)*MAX('Inputs'!$B$33,'Inputs'!$B$29+'Inputs'!$B$31+'Inputs'!$B$32,'Inputs'!$B$30+'Inputs'!$B$31+'Inputs'!$B$32)/1000+'Inputs'!$B$21)+'Inputs'!$B$9)^2+('Inputs'!$B$8/2)^2)-(((834-43)*MAX('Inputs'!$B$33,'Inputs'!$B$29+'Inputs'!$B$31+'Inputs'!$B$32,'Inputs'!$B$30+'Inputs'!$B$31+'Inputs'!$B$32)/1000+'Inputs'!$B$21))/SQRT((((834-43)*MAX('Inputs'!$B$33,'Inputs'!$B$29+'Inputs'!$B$31+'Inputs'!$B$32,'Inputs'!$B$30+'Inputs'!$B$31+'Inputs'!$B$32)/1000+'Inputs'!$B$21))^2+('Inputs'!$B$8/2)^2)))-'Results'!B7*(1-'Inputs'!$B$24)*(0.5*((((834-43)*MAX('Inputs'!$B$33,'Inputs'!$B$29+'Inputs'!$B$31+'Inputs'!$B$32,'Inputs'!$B$30+'Inputs'!$B$31+'Inputs'!$B$32)/1000+'Inputs'!$B$21+'Inputs'!$B$9+'Inputs'!$B$10)+'Inputs'!$B$7)/SQRT((((834-43)*MAX('Inputs'!$B$33,'Inputs'!$B$29+'Inputs'!$B$31+'Inputs'!$B$32,'Inputs'!$B$30+'Inputs'!$B$31+'Inputs'!$B$32)/1000+'Inputs'!$B$21+'Inputs'!$B$9+'Inputs'!$B$10)+'Inputs'!$B$7)^2+('Inputs'!$B$6/2)^2)-(((834-43)*MAX('Inputs'!$B$33,'Inputs'!$B$29+'Inputs'!$B$31+'Inputs'!$B$32,'Inputs'!$B$30+'Inputs'!$B$31+'Inputs'!$B$32)/1000+'Inputs'!$B$21+'Inputs'!$B$9+'Inputs'!$B$10))/SQRT((((834-43)*MAX('Inputs'!$B$33,'Inputs'!$B$29+'Inputs'!$B$31+'Inputs'!$B$32,'Inputs'!$B$30+'Inputs'!$B$31+'Inputs'!$B$32)/1000+'Inputs'!$B$21+'Inputs'!$B$9+'Inputs'!$B$10))^2+('Inputs'!$B$6/2)^2))))*'Results'!$B$8))),"")</x:f>
        <x:v>0.875936565031463</x:v>
      </x:c>
      <x:c r="P834" t="n">
        <x:f>IF(AND(MAX(J834,J833)&gt;0,J834&gt;J833+0.00000001),1,0)</x:f>
        <x:v>0</x:v>
      </x:c>
      <x:c r="Q834" t="n">
        <x:f>IF(AND(MAX(K834,K833)&gt;0,K834&gt;K833+0.00000001),1,0)</x:f>
        <x:v>0</x:v>
      </x:c>
      <x:c r="R834" t="n">
        <x:f>IF(AND(MAX(L834,L833)&gt;0,L834&gt;L833+0.00000001),1,0)</x:f>
        <x:v>0</x:v>
      </x:c>
      <x:c r="S834" t="n">
        <x:f>IF(AND(MAX(M834,M833)&gt;0,M834&gt;M833+0.00000001),1,0)</x:f>
        <x:v>0</x:v>
      </x:c>
      <x:c r="T834" t="n">
        <x:f>IF(AND(MAX(N834,N833)&gt;0,N834&gt;N833+0.00000001),1,0)</x:f>
        <x:v>0</x:v>
      </x:c>
      <x:c r="U834" t="n">
        <x:f>IF(AND(MAX(O834,O833)&gt;0,O834&gt;O833+0.00000001),1,0)</x:f>
        <x:v>0</x:v>
      </x:c>
    </x:row>
    <x:row r="835">
      <x:c r="J835" t="n">
        <x:f>IF(AND(ISNUMBER('Results'!B7),ISNUMBER('Results'!C7),ISNUMBER('Results'!$B$8),ISNUMBER('Inputs'!$B$6),ISNUMBER('Inputs'!$B$7),ISNUMBER('Inputs'!$B$8),ISNUMBER('Inputs'!$B$9),ISNUMBER('Inputs'!$B$10),ISNUMBER('Inputs'!$B$21),ISNUMBER('Inputs'!$B$24),ISNUMBER('Inputs'!$B$28)),(('Results'!B7*(0.5*((((835-43)*MAX('Inputs'!$B$33,'Inputs'!$B$29+'Inputs'!$B$31+'Inputs'!$B$32,'Inputs'!$B$30+'Inputs'!$B$31+'Inputs'!$B$32)/1000+'Inputs'!$B$21)+'Inputs'!$B$7)/SQRT((((835-43)*MAX('Inputs'!$B$33,'Inputs'!$B$29+'Inputs'!$B$31+'Inputs'!$B$32,'Inputs'!$B$30+'Inputs'!$B$31+'Inputs'!$B$32)/1000+'Inputs'!$B$21)+'Inputs'!$B$7)^2+('Inputs'!$B$6/2)^2)-(((835-43)*MAX('Inputs'!$B$33,'Inputs'!$B$29+'Inputs'!$B$31+'Inputs'!$B$32,'Inputs'!$B$30+'Inputs'!$B$31+'Inputs'!$B$32)/1000+'Inputs'!$B$21))/SQRT((((835-43)*MAX('Inputs'!$B$33,'Inputs'!$B$29+'Inputs'!$B$31+'Inputs'!$B$32,'Inputs'!$B$30+'Inputs'!$B$31+'Inputs'!$B$32)/1000+'Inputs'!$B$21))^2+('Inputs'!$B$6/2)^2)))-'Results'!C7*(0.5*((((835-43)*MAX('Inputs'!$B$33,'Inputs'!$B$29+'Inputs'!$B$31+'Inputs'!$B$32,'Inputs'!$B$30+'Inputs'!$B$31+'Inputs'!$B$32)/1000+'Inputs'!$B$21+'Inputs'!$B$7+'Inputs'!$B$10)+'Inputs'!$B$9)/SQRT((((835-43)*MAX('Inputs'!$B$33,'Inputs'!$B$29+'Inputs'!$B$31+'Inputs'!$B$32,'Inputs'!$B$30+'Inputs'!$B$31+'Inputs'!$B$32)/1000+'Inputs'!$B$21+'Inputs'!$B$7+'Inputs'!$B$10)+'Inputs'!$B$9)^2+('Inputs'!$B$8/2)^2)-(((835-43)*MAX('Inputs'!$B$33,'Inputs'!$B$29+'Inputs'!$B$31+'Inputs'!$B$32,'Inputs'!$B$30+'Inputs'!$B$31+'Inputs'!$B$32)/1000+'Inputs'!$B$21+'Inputs'!$B$7+'Inputs'!$B$10))/SQRT((((835-43)*MAX('Inputs'!$B$33,'Inputs'!$B$29+'Inputs'!$B$31+'Inputs'!$B$32,'Inputs'!$B$30+'Inputs'!$B$31+'Inputs'!$B$32)/1000+'Inputs'!$B$21+'Inputs'!$B$7+'Inputs'!$B$10))^2+('Inputs'!$B$8/2)^2))))*'Results'!$B$8),"")</x:f>
        <x:v>0.8314289411968032</x:v>
      </x:c>
      <x:c r="K835" t="n">
        <x:f>IF(AND(ISNUMBER('Results'!B7),ISNUMBER('Results'!C7),ISNUMBER('Results'!$B$8),ISNUMBER('Inputs'!$B$6),ISNUMBER('Inputs'!$B$7),ISNUMBER('Inputs'!$B$8),ISNUMBER('Inputs'!$B$9),ISNUMBER('Inputs'!$B$10),ISNUMBER('Inputs'!$B$21),ISNUMBER('Inputs'!$B$24),ISNUMBER('Inputs'!$B$28)),((('Results'!B7*(1-'Inputs'!$B$24)*(0.5*((((835-43)*MAX('Inputs'!$B$33,'Inputs'!$B$29+'Inputs'!$B$31+'Inputs'!$B$32,'Inputs'!$B$30+'Inputs'!$B$31+'Inputs'!$B$32)/1000+'Inputs'!$B$21)+'Inputs'!$B$7)/SQRT((((835-43)*MAX('Inputs'!$B$33,'Inputs'!$B$29+'Inputs'!$B$31+'Inputs'!$B$32,'Inputs'!$B$30+'Inputs'!$B$31+'Inputs'!$B$32)/1000+'Inputs'!$B$21)+'Inputs'!$B$7)^2+('Inputs'!$B$6/2)^2)-(((835-43)*MAX('Inputs'!$B$33,'Inputs'!$B$29+'Inputs'!$B$31+'Inputs'!$B$32,'Inputs'!$B$30+'Inputs'!$B$31+'Inputs'!$B$32)/1000+'Inputs'!$B$21))/SQRT((((835-43)*MAX('Inputs'!$B$33,'Inputs'!$B$29+'Inputs'!$B$31+'Inputs'!$B$32,'Inputs'!$B$30+'Inputs'!$B$31+'Inputs'!$B$32)/1000+'Inputs'!$B$21))^2+('Inputs'!$B$6/2)^2)))-'Results'!C7*(1+'Inputs'!$B$24)*(0.5*((((835-43)*MAX('Inputs'!$B$33,'Inputs'!$B$29+'Inputs'!$B$31+'Inputs'!$B$32,'Inputs'!$B$30+'Inputs'!$B$31+'Inputs'!$B$32)/1000+'Inputs'!$B$21+'Inputs'!$B$7+'Inputs'!$B$10)+'Inputs'!$B$9)/SQRT((((835-43)*MAX('Inputs'!$B$33,'Inputs'!$B$29+'Inputs'!$B$31+'Inputs'!$B$32,'Inputs'!$B$30+'Inputs'!$B$31+'Inputs'!$B$32)/1000+'Inputs'!$B$21+'Inputs'!$B$7+'Inputs'!$B$10)+'Inputs'!$B$9)^2+('Inputs'!$B$8/2)^2)-(((835-43)*MAX('Inputs'!$B$33,'Inputs'!$B$29+'Inputs'!$B$31+'Inputs'!$B$32,'Inputs'!$B$30+'Inputs'!$B$31+'Inputs'!$B$32)/1000+'Inputs'!$B$21+'Inputs'!$B$7+'Inputs'!$B$10))/SQRT((((835-43)*MAX('Inputs'!$B$33,'Inputs'!$B$29+'Inputs'!$B$31+'Inputs'!$B$32,'Inputs'!$B$30+'Inputs'!$B$31+'Inputs'!$B$32)/1000+'Inputs'!$B$21+'Inputs'!$B$7+'Inputs'!$B$10))^2+('Inputs'!$B$8/2)^2))))*'Results'!$B$8)-'Inputs'!$B$28*ABS((('Results'!B7*(1-'Inputs'!$B$24)*(0.5*((((835-43)*MAX('Inputs'!$B$33,'Inputs'!$B$29+'Inputs'!$B$31+'Inputs'!$B$32,'Inputs'!$B$30+'Inputs'!$B$31+'Inputs'!$B$32)/1000+'Inputs'!$B$21)+'Inputs'!$B$7)/SQRT((((835-43)*MAX('Inputs'!$B$33,'Inputs'!$B$29+'Inputs'!$B$31+'Inputs'!$B$32,'Inputs'!$B$30+'Inputs'!$B$31+'Inputs'!$B$32)/1000+'Inputs'!$B$21)+'Inputs'!$B$7)^2+('Inputs'!$B$6/2)^2)-(((835-43)*MAX('Inputs'!$B$33,'Inputs'!$B$29+'Inputs'!$B$31+'Inputs'!$B$32,'Inputs'!$B$30+'Inputs'!$B$31+'Inputs'!$B$32)/1000+'Inputs'!$B$21))/SQRT((((835-43)*MAX('Inputs'!$B$33,'Inputs'!$B$29+'Inputs'!$B$31+'Inputs'!$B$32,'Inputs'!$B$30+'Inputs'!$B$31+'Inputs'!$B$32)/1000+'Inputs'!$B$21))^2+('Inputs'!$B$6/2)^2)))-'Results'!C7*(1+'Inputs'!$B$24)*(0.5*((((835-43)*MAX('Inputs'!$B$33,'Inputs'!$B$29+'Inputs'!$B$31+'Inputs'!$B$32,'Inputs'!$B$30+'Inputs'!$B$31+'Inputs'!$B$32)/1000+'Inputs'!$B$21+'Inputs'!$B$7+'Inputs'!$B$10)+'Inputs'!$B$9)/SQRT((((835-43)*MAX('Inputs'!$B$33,'Inputs'!$B$29+'Inputs'!$B$31+'Inputs'!$B$32,'Inputs'!$B$30+'Inputs'!$B$31+'Inputs'!$B$32)/1000+'Inputs'!$B$21+'Inputs'!$B$7+'Inputs'!$B$10)+'Inputs'!$B$9)^2+('Inputs'!$B$8/2)^2)-(((835-43)*MAX('Inputs'!$B$33,'Inputs'!$B$29+'Inputs'!$B$31+'Inputs'!$B$32,'Inputs'!$B$30+'Inputs'!$B$31+'Inputs'!$B$32)/1000+'Inputs'!$B$21+'Inputs'!$B$7+'Inputs'!$B$10))/SQRT((((835-43)*MAX('Inputs'!$B$33,'Inputs'!$B$29+'Inputs'!$B$31+'Inputs'!$B$32,'Inputs'!$B$30+'Inputs'!$B$31+'Inputs'!$B$32)/1000+'Inputs'!$B$21+'Inputs'!$B$7+'Inputs'!$B$10))^2+('Inputs'!$B$8/2)^2))))*'Results'!$B$8))),"")</x:f>
        <x:v>0.7123808149317561</x:v>
      </x:c>
      <x:c r="L835" t="n">
        <x:f>IF(AND(ISNUMBER('Results'!B7),ISNUMBER('Results'!C7),ISNUMBER('Results'!$B$8),ISNUMBER('Inputs'!$B$6),ISNUMBER('Inputs'!$B$7),ISNUMBER('Inputs'!$B$8),ISNUMBER('Inputs'!$B$9),ISNUMBER('Inputs'!$B$10),ISNUMBER('Inputs'!$B$21),ISNUMBER('Inputs'!$B$24),ISNUMBER('Inputs'!$B$28)),((('Results'!B7*(1+'Inputs'!$B$24)*(0.5*((((835-43)*MAX('Inputs'!$B$33,'Inputs'!$B$29+'Inputs'!$B$31+'Inputs'!$B$32,'Inputs'!$B$30+'Inputs'!$B$31+'Inputs'!$B$32)/1000+'Inputs'!$B$21)+'Inputs'!$B$7)/SQRT((((835-43)*MAX('Inputs'!$B$33,'Inputs'!$B$29+'Inputs'!$B$31+'Inputs'!$B$32,'Inputs'!$B$30+'Inputs'!$B$31+'Inputs'!$B$32)/1000+'Inputs'!$B$21)+'Inputs'!$B$7)^2+('Inputs'!$B$6/2)^2)-(((835-43)*MAX('Inputs'!$B$33,'Inputs'!$B$29+'Inputs'!$B$31+'Inputs'!$B$32,'Inputs'!$B$30+'Inputs'!$B$31+'Inputs'!$B$32)/1000+'Inputs'!$B$21))/SQRT((((835-43)*MAX('Inputs'!$B$33,'Inputs'!$B$29+'Inputs'!$B$31+'Inputs'!$B$32,'Inputs'!$B$30+'Inputs'!$B$31+'Inputs'!$B$32)/1000+'Inputs'!$B$21))^2+('Inputs'!$B$6/2)^2)))-'Results'!C7*(1-'Inputs'!$B$24)*(0.5*((((835-43)*MAX('Inputs'!$B$33,'Inputs'!$B$29+'Inputs'!$B$31+'Inputs'!$B$32,'Inputs'!$B$30+'Inputs'!$B$31+'Inputs'!$B$32)/1000+'Inputs'!$B$21+'Inputs'!$B$7+'Inputs'!$B$10)+'Inputs'!$B$9)/SQRT((((835-43)*MAX('Inputs'!$B$33,'Inputs'!$B$29+'Inputs'!$B$31+'Inputs'!$B$32,'Inputs'!$B$30+'Inputs'!$B$31+'Inputs'!$B$32)/1000+'Inputs'!$B$21+'Inputs'!$B$7+'Inputs'!$B$10)+'Inputs'!$B$9)^2+('Inputs'!$B$8/2)^2)-(((835-43)*MAX('Inputs'!$B$33,'Inputs'!$B$29+'Inputs'!$B$31+'Inputs'!$B$32,'Inputs'!$B$30+'Inputs'!$B$31+'Inputs'!$B$32)/1000+'Inputs'!$B$21+'Inputs'!$B$7+'Inputs'!$B$10))/SQRT((((835-43)*MAX('Inputs'!$B$33,'Inputs'!$B$29+'Inputs'!$B$31+'Inputs'!$B$32,'Inputs'!$B$30+'Inputs'!$B$31+'Inputs'!$B$32)/1000+'Inputs'!$B$21+'Inputs'!$B$7+'Inputs'!$B$10))^2+('Inputs'!$B$8/2)^2))))*'Results'!$B$8)+'Inputs'!$B$28*ABS((('Results'!B7*(1+'Inputs'!$B$24)*(0.5*((((835-43)*MAX('Inputs'!$B$33,'Inputs'!$B$29+'Inputs'!$B$31+'Inputs'!$B$32,'Inputs'!$B$30+'Inputs'!$B$31+'Inputs'!$B$32)/1000+'Inputs'!$B$21)+'Inputs'!$B$7)/SQRT((((835-43)*MAX('Inputs'!$B$33,'Inputs'!$B$29+'Inputs'!$B$31+'Inputs'!$B$32,'Inputs'!$B$30+'Inputs'!$B$31+'Inputs'!$B$32)/1000+'Inputs'!$B$21)+'Inputs'!$B$7)^2+('Inputs'!$B$6/2)^2)-(((835-43)*MAX('Inputs'!$B$33,'Inputs'!$B$29+'Inputs'!$B$31+'Inputs'!$B$32,'Inputs'!$B$30+'Inputs'!$B$31+'Inputs'!$B$32)/1000+'Inputs'!$B$21))/SQRT((((835-43)*MAX('Inputs'!$B$33,'Inputs'!$B$29+'Inputs'!$B$31+'Inputs'!$B$32,'Inputs'!$B$30+'Inputs'!$B$31+'Inputs'!$B$32)/1000+'Inputs'!$B$21))^2+('Inputs'!$B$6/2)^2)))-'Results'!C7*(1-'Inputs'!$B$24)*(0.5*((((835-43)*MAX('Inputs'!$B$33,'Inputs'!$B$29+'Inputs'!$B$31+'Inputs'!$B$32,'Inputs'!$B$30+'Inputs'!$B$31+'Inputs'!$B$32)/1000+'Inputs'!$B$21+'Inputs'!$B$7+'Inputs'!$B$10)+'Inputs'!$B$9)/SQRT((((835-43)*MAX('Inputs'!$B$33,'Inputs'!$B$29+'Inputs'!$B$31+'Inputs'!$B$32,'Inputs'!$B$30+'Inputs'!$B$31+'Inputs'!$B$32)/1000+'Inputs'!$B$21+'Inputs'!$B$7+'Inputs'!$B$10)+'Inputs'!$B$9)^2+('Inputs'!$B$8/2)^2)-(((835-43)*MAX('Inputs'!$B$33,'Inputs'!$B$29+'Inputs'!$B$31+'Inputs'!$B$32,'Inputs'!$B$30+'Inputs'!$B$31+'Inputs'!$B$32)/1000+'Inputs'!$B$21+'Inputs'!$B$7+'Inputs'!$B$10))/SQRT((((835-43)*MAX('Inputs'!$B$33,'Inputs'!$B$29+'Inputs'!$B$31+'Inputs'!$B$32,'Inputs'!$B$30+'Inputs'!$B$31+'Inputs'!$B$32)/1000+'Inputs'!$B$21+'Inputs'!$B$7+'Inputs'!$B$10))^2+('Inputs'!$B$8/2)^2))))*'Results'!$B$8))),"")</x:f>
        <x:v>0.9586325073781876</x:v>
      </x:c>
      <x:c r="M835" t="n">
        <x:f>IF(AND(ISNUMBER('Results'!C7),ISNUMBER('Results'!B7),ISNUMBER('Results'!$B$8),ISNUMBER('Inputs'!$B$6),ISNUMBER('Inputs'!$B$7),ISNUMBER('Inputs'!$B$8),ISNUMBER('Inputs'!$B$9),ISNUMBER('Inputs'!$B$10),ISNUMBER('Inputs'!$B$21),ISNUMBER('Inputs'!$B$24),ISNUMBER('Inputs'!$B$28)),(('Results'!C7*(0.5*((((835-43)*MAX('Inputs'!$B$33,'Inputs'!$B$29+'Inputs'!$B$31+'Inputs'!$B$32,'Inputs'!$B$30+'Inputs'!$B$31+'Inputs'!$B$32)/1000+'Inputs'!$B$21)+'Inputs'!$B$9)/SQRT((((835-43)*MAX('Inputs'!$B$33,'Inputs'!$B$29+'Inputs'!$B$31+'Inputs'!$B$32,'Inputs'!$B$30+'Inputs'!$B$31+'Inputs'!$B$32)/1000+'Inputs'!$B$21)+'Inputs'!$B$9)^2+('Inputs'!$B$8/2)^2)-(((835-43)*MAX('Inputs'!$B$33,'Inputs'!$B$29+'Inputs'!$B$31+'Inputs'!$B$32,'Inputs'!$B$30+'Inputs'!$B$31+'Inputs'!$B$32)/1000+'Inputs'!$B$21))/SQRT((((835-43)*MAX('Inputs'!$B$33,'Inputs'!$B$29+'Inputs'!$B$31+'Inputs'!$B$32,'Inputs'!$B$30+'Inputs'!$B$31+'Inputs'!$B$32)/1000+'Inputs'!$B$21))^2+('Inputs'!$B$8/2)^2)))-'Results'!B7*(0.5*((((835-43)*MAX('Inputs'!$B$33,'Inputs'!$B$29+'Inputs'!$B$31+'Inputs'!$B$32,'Inputs'!$B$30+'Inputs'!$B$31+'Inputs'!$B$32)/1000+'Inputs'!$B$21+'Inputs'!$B$9+'Inputs'!$B$10)+'Inputs'!$B$7)/SQRT((((835-43)*MAX('Inputs'!$B$33,'Inputs'!$B$29+'Inputs'!$B$31+'Inputs'!$B$32,'Inputs'!$B$30+'Inputs'!$B$31+'Inputs'!$B$32)/1000+'Inputs'!$B$21+'Inputs'!$B$9+'Inputs'!$B$10)+'Inputs'!$B$7)^2+('Inputs'!$B$6/2)^2)-(((835-43)*MAX('Inputs'!$B$33,'Inputs'!$B$29+'Inputs'!$B$31+'Inputs'!$B$32,'Inputs'!$B$30+'Inputs'!$B$31+'Inputs'!$B$32)/1000+'Inputs'!$B$21+'Inputs'!$B$9+'Inputs'!$B$10))/SQRT((((835-43)*MAX('Inputs'!$B$33,'Inputs'!$B$29+'Inputs'!$B$31+'Inputs'!$B$32,'Inputs'!$B$30+'Inputs'!$B$31+'Inputs'!$B$32)/1000+'Inputs'!$B$21+'Inputs'!$B$9+'Inputs'!$B$10))^2+('Inputs'!$B$6/2)^2))))*'Results'!$B$8),"")</x:f>
        <x:v>0.7492120336626169</x:v>
      </x:c>
      <x:c r="N835" t="n">
        <x:f>IF(AND(ISNUMBER('Results'!C7),ISNUMBER('Results'!B7),ISNUMBER('Results'!$B$8),ISNUMBER('Inputs'!$B$6),ISNUMBER('Inputs'!$B$7),ISNUMBER('Inputs'!$B$8),ISNUMBER('Inputs'!$B$9),ISNUMBER('Inputs'!$B$10),ISNUMBER('Inputs'!$B$21),ISNUMBER('Inputs'!$B$24),ISNUMBER('Inputs'!$B$28)),((('Results'!C7*(1-'Inputs'!$B$24)*(0.5*((((835-43)*MAX('Inputs'!$B$33,'Inputs'!$B$29+'Inputs'!$B$31+'Inputs'!$B$32,'Inputs'!$B$30+'Inputs'!$B$31+'Inputs'!$B$32)/1000+'Inputs'!$B$21)+'Inputs'!$B$9)/SQRT((((835-43)*MAX('Inputs'!$B$33,'Inputs'!$B$29+'Inputs'!$B$31+'Inputs'!$B$32,'Inputs'!$B$30+'Inputs'!$B$31+'Inputs'!$B$32)/1000+'Inputs'!$B$21)+'Inputs'!$B$9)^2+('Inputs'!$B$8/2)^2)-(((835-43)*MAX('Inputs'!$B$33,'Inputs'!$B$29+'Inputs'!$B$31+'Inputs'!$B$32,'Inputs'!$B$30+'Inputs'!$B$31+'Inputs'!$B$32)/1000+'Inputs'!$B$21))/SQRT((((835-43)*MAX('Inputs'!$B$33,'Inputs'!$B$29+'Inputs'!$B$31+'Inputs'!$B$32,'Inputs'!$B$30+'Inputs'!$B$31+'Inputs'!$B$32)/1000+'Inputs'!$B$21))^2+('Inputs'!$B$8/2)^2)))-'Results'!B7*(1+'Inputs'!$B$24)*(0.5*((((835-43)*MAX('Inputs'!$B$33,'Inputs'!$B$29+'Inputs'!$B$31+'Inputs'!$B$32,'Inputs'!$B$30+'Inputs'!$B$31+'Inputs'!$B$32)/1000+'Inputs'!$B$21+'Inputs'!$B$9+'Inputs'!$B$10)+'Inputs'!$B$7)/SQRT((((835-43)*MAX('Inputs'!$B$33,'Inputs'!$B$29+'Inputs'!$B$31+'Inputs'!$B$32,'Inputs'!$B$30+'Inputs'!$B$31+'Inputs'!$B$32)/1000+'Inputs'!$B$21+'Inputs'!$B$9+'Inputs'!$B$10)+'Inputs'!$B$7)^2+('Inputs'!$B$6/2)^2)-(((835-43)*MAX('Inputs'!$B$33,'Inputs'!$B$29+'Inputs'!$B$31+'Inputs'!$B$32,'Inputs'!$B$30+'Inputs'!$B$31+'Inputs'!$B$32)/1000+'Inputs'!$B$21+'Inputs'!$B$9+'Inputs'!$B$10))/SQRT((((835-43)*MAX('Inputs'!$B$33,'Inputs'!$B$29+'Inputs'!$B$31+'Inputs'!$B$32,'Inputs'!$B$30+'Inputs'!$B$31+'Inputs'!$B$32)/1000+'Inputs'!$B$21+'Inputs'!$B$9+'Inputs'!$B$10))^2+('Inputs'!$B$6/2)^2))))*'Results'!$B$8)-'Inputs'!$B$28*ABS((('Results'!C7*(1-'Inputs'!$B$24)*(0.5*((((835-43)*MAX('Inputs'!$B$33,'Inputs'!$B$29+'Inputs'!$B$31+'Inputs'!$B$32,'Inputs'!$B$30+'Inputs'!$B$31+'Inputs'!$B$32)/1000+'Inputs'!$B$21)+'Inputs'!$B$9)/SQRT((((835-43)*MAX('Inputs'!$B$33,'Inputs'!$B$29+'Inputs'!$B$31+'Inputs'!$B$32,'Inputs'!$B$30+'Inputs'!$B$31+'Inputs'!$B$32)/1000+'Inputs'!$B$21)+'Inputs'!$B$9)^2+('Inputs'!$B$8/2)^2)-(((835-43)*MAX('Inputs'!$B$33,'Inputs'!$B$29+'Inputs'!$B$31+'Inputs'!$B$32,'Inputs'!$B$30+'Inputs'!$B$31+'Inputs'!$B$32)/1000+'Inputs'!$B$21))/SQRT((((835-43)*MAX('Inputs'!$B$33,'Inputs'!$B$29+'Inputs'!$B$31+'Inputs'!$B$32,'Inputs'!$B$30+'Inputs'!$B$31+'Inputs'!$B$32)/1000+'Inputs'!$B$21))^2+('Inputs'!$B$8/2)^2)))-'Results'!B7*(1+'Inputs'!$B$24)*(0.5*((((835-43)*MAX('Inputs'!$B$33,'Inputs'!$B$29+'Inputs'!$B$31+'Inputs'!$B$32,'Inputs'!$B$30+'Inputs'!$B$31+'Inputs'!$B$32)/1000+'Inputs'!$B$21+'Inputs'!$B$9+'Inputs'!$B$10)+'Inputs'!$B$7)/SQRT((((835-43)*MAX('Inputs'!$B$33,'Inputs'!$B$29+'Inputs'!$B$31+'Inputs'!$B$32,'Inputs'!$B$30+'Inputs'!$B$31+'Inputs'!$B$32)/1000+'Inputs'!$B$21+'Inputs'!$B$9+'Inputs'!$B$10)+'Inputs'!$B$7)^2+('Inputs'!$B$6/2)^2)-(((835-43)*MAX('Inputs'!$B$33,'Inputs'!$B$29+'Inputs'!$B$31+'Inputs'!$B$32,'Inputs'!$B$30+'Inputs'!$B$31+'Inputs'!$B$32)/1000+'Inputs'!$B$21+'Inputs'!$B$9+'Inputs'!$B$10))/SQRT((((835-43)*MAX('Inputs'!$B$33,'Inputs'!$B$29+'Inputs'!$B$31+'Inputs'!$B$32,'Inputs'!$B$30+'Inputs'!$B$31+'Inputs'!$B$32)/1000+'Inputs'!$B$21+'Inputs'!$B$9+'Inputs'!$B$10))^2+('Inputs'!$B$6/2)^2))))*'Results'!$B$8))),"")</x:f>
        <x:v>0.6345781081128885</x:v>
      </x:c>
      <x:c r="O835" t="n">
        <x:f>IF(AND(ISNUMBER('Results'!C7),ISNUMBER('Results'!B7),ISNUMBER('Results'!$B$8),ISNUMBER('Inputs'!$B$6),ISNUMBER('Inputs'!$B$7),ISNUMBER('Inputs'!$B$8),ISNUMBER('Inputs'!$B$9),ISNUMBER('Inputs'!$B$10),ISNUMBER('Inputs'!$B$21),ISNUMBER('Inputs'!$B$24),ISNUMBER('Inputs'!$B$28)),((('Results'!C7*(1+'Inputs'!$B$24)*(0.5*((((835-43)*MAX('Inputs'!$B$33,'Inputs'!$B$29+'Inputs'!$B$31+'Inputs'!$B$32,'Inputs'!$B$30+'Inputs'!$B$31+'Inputs'!$B$32)/1000+'Inputs'!$B$21)+'Inputs'!$B$9)/SQRT((((835-43)*MAX('Inputs'!$B$33,'Inputs'!$B$29+'Inputs'!$B$31+'Inputs'!$B$32,'Inputs'!$B$30+'Inputs'!$B$31+'Inputs'!$B$32)/1000+'Inputs'!$B$21)+'Inputs'!$B$9)^2+('Inputs'!$B$8/2)^2)-(((835-43)*MAX('Inputs'!$B$33,'Inputs'!$B$29+'Inputs'!$B$31+'Inputs'!$B$32,'Inputs'!$B$30+'Inputs'!$B$31+'Inputs'!$B$32)/1000+'Inputs'!$B$21))/SQRT((((835-43)*MAX('Inputs'!$B$33,'Inputs'!$B$29+'Inputs'!$B$31+'Inputs'!$B$32,'Inputs'!$B$30+'Inputs'!$B$31+'Inputs'!$B$32)/1000+'Inputs'!$B$21))^2+('Inputs'!$B$8/2)^2)))-'Results'!B7*(1-'Inputs'!$B$24)*(0.5*((((835-43)*MAX('Inputs'!$B$33,'Inputs'!$B$29+'Inputs'!$B$31+'Inputs'!$B$32,'Inputs'!$B$30+'Inputs'!$B$31+'Inputs'!$B$32)/1000+'Inputs'!$B$21+'Inputs'!$B$9+'Inputs'!$B$10)+'Inputs'!$B$7)/SQRT((((835-43)*MAX('Inputs'!$B$33,'Inputs'!$B$29+'Inputs'!$B$31+'Inputs'!$B$32,'Inputs'!$B$30+'Inputs'!$B$31+'Inputs'!$B$32)/1000+'Inputs'!$B$21+'Inputs'!$B$9+'Inputs'!$B$10)+'Inputs'!$B$7)^2+('Inputs'!$B$6/2)^2)-(((835-43)*MAX('Inputs'!$B$33,'Inputs'!$B$29+'Inputs'!$B$31+'Inputs'!$B$32,'Inputs'!$B$30+'Inputs'!$B$31+'Inputs'!$B$32)/1000+'Inputs'!$B$21+'Inputs'!$B$9+'Inputs'!$B$10))/SQRT((((835-43)*MAX('Inputs'!$B$33,'Inputs'!$B$29+'Inputs'!$B$31+'Inputs'!$B$32,'Inputs'!$B$30+'Inputs'!$B$31+'Inputs'!$B$32)/1000+'Inputs'!$B$21+'Inputs'!$B$9+'Inputs'!$B$10))^2+('Inputs'!$B$6/2)^2))))*'Results'!$B$8)+'Inputs'!$B$28*ABS((('Results'!C7*(1+'Inputs'!$B$24)*(0.5*((((835-43)*MAX('Inputs'!$B$33,'Inputs'!$B$29+'Inputs'!$B$31+'Inputs'!$B$32,'Inputs'!$B$30+'Inputs'!$B$31+'Inputs'!$B$32)/1000+'Inputs'!$B$21)+'Inputs'!$B$9)/SQRT((((835-43)*MAX('Inputs'!$B$33,'Inputs'!$B$29+'Inputs'!$B$31+'Inputs'!$B$32,'Inputs'!$B$30+'Inputs'!$B$31+'Inputs'!$B$32)/1000+'Inputs'!$B$21)+'Inputs'!$B$9)^2+('Inputs'!$B$8/2)^2)-(((835-43)*MAX('Inputs'!$B$33,'Inputs'!$B$29+'Inputs'!$B$31+'Inputs'!$B$32,'Inputs'!$B$30+'Inputs'!$B$31+'Inputs'!$B$32)/1000+'Inputs'!$B$21))/SQRT((((835-43)*MAX('Inputs'!$B$33,'Inputs'!$B$29+'Inputs'!$B$31+'Inputs'!$B$32,'Inputs'!$B$30+'Inputs'!$B$31+'Inputs'!$B$32)/1000+'Inputs'!$B$21))^2+('Inputs'!$B$8/2)^2)))-'Results'!B7*(1-'Inputs'!$B$24)*(0.5*((((835-43)*MAX('Inputs'!$B$33,'Inputs'!$B$29+'Inputs'!$B$31+'Inputs'!$B$32,'Inputs'!$B$30+'Inputs'!$B$31+'Inputs'!$B$32)/1000+'Inputs'!$B$21+'Inputs'!$B$9+'Inputs'!$B$10)+'Inputs'!$B$7)/SQRT((((835-43)*MAX('Inputs'!$B$33,'Inputs'!$B$29+'Inputs'!$B$31+'Inputs'!$B$32,'Inputs'!$B$30+'Inputs'!$B$31+'Inputs'!$B$32)/1000+'Inputs'!$B$21+'Inputs'!$B$9+'Inputs'!$B$10)+'Inputs'!$B$7)^2+('Inputs'!$B$6/2)^2)-(((835-43)*MAX('Inputs'!$B$33,'Inputs'!$B$29+'Inputs'!$B$31+'Inputs'!$B$32,'Inputs'!$B$30+'Inputs'!$B$31+'Inputs'!$B$32)/1000+'Inputs'!$B$21+'Inputs'!$B$9+'Inputs'!$B$10))/SQRT((((835-43)*MAX('Inputs'!$B$33,'Inputs'!$B$29+'Inputs'!$B$31+'Inputs'!$B$32,'Inputs'!$B$30+'Inputs'!$B$31+'Inputs'!$B$32)/1000+'Inputs'!$B$21+'Inputs'!$B$9+'Inputs'!$B$10))^2+('Inputs'!$B$6/2)^2))))*'Results'!$B$8))),"")</x:f>
        <x:v>0.8719694669877766</x:v>
      </x:c>
      <x:c r="P835" t="n">
        <x:f>IF(AND(MAX(J835,J834)&gt;0,J835&gt;J834+0.00000001),1,0)</x:f>
        <x:v>0</x:v>
      </x:c>
      <x:c r="Q835" t="n">
        <x:f>IF(AND(MAX(K835,K834)&gt;0,K835&gt;K834+0.00000001),1,0)</x:f>
        <x:v>0</x:v>
      </x:c>
      <x:c r="R835" t="n">
        <x:f>IF(AND(MAX(L835,L834)&gt;0,L835&gt;L834+0.00000001),1,0)</x:f>
        <x:v>0</x:v>
      </x:c>
      <x:c r="S835" t="n">
        <x:f>IF(AND(MAX(M835,M834)&gt;0,M835&gt;M834+0.00000001),1,0)</x:f>
        <x:v>0</x:v>
      </x:c>
      <x:c r="T835" t="n">
        <x:f>IF(AND(MAX(N835,N834)&gt;0,N835&gt;N834+0.00000001),1,0)</x:f>
        <x:v>0</x:v>
      </x:c>
      <x:c r="U835" t="n">
        <x:f>IF(AND(MAX(O835,O834)&gt;0,O835&gt;O834+0.00000001),1,0)</x:f>
        <x:v>0</x:v>
      </x:c>
    </x:row>
    <x:row r="836">
      <x:c r="J836" t="n">
        <x:f>IF(AND(ISNUMBER('Results'!B7),ISNUMBER('Results'!C7),ISNUMBER('Results'!$B$8),ISNUMBER('Inputs'!$B$6),ISNUMBER('Inputs'!$B$7),ISNUMBER('Inputs'!$B$8),ISNUMBER('Inputs'!$B$9),ISNUMBER('Inputs'!$B$10),ISNUMBER('Inputs'!$B$21),ISNUMBER('Inputs'!$B$24),ISNUMBER('Inputs'!$B$28)),(('Results'!B7*(0.5*((((836-43)*MAX('Inputs'!$B$33,'Inputs'!$B$29+'Inputs'!$B$31+'Inputs'!$B$32,'Inputs'!$B$30+'Inputs'!$B$31+'Inputs'!$B$32)/1000+'Inputs'!$B$21)+'Inputs'!$B$7)/SQRT((((836-43)*MAX('Inputs'!$B$33,'Inputs'!$B$29+'Inputs'!$B$31+'Inputs'!$B$32,'Inputs'!$B$30+'Inputs'!$B$31+'Inputs'!$B$32)/1000+'Inputs'!$B$21)+'Inputs'!$B$7)^2+('Inputs'!$B$6/2)^2)-(((836-43)*MAX('Inputs'!$B$33,'Inputs'!$B$29+'Inputs'!$B$31+'Inputs'!$B$32,'Inputs'!$B$30+'Inputs'!$B$31+'Inputs'!$B$32)/1000+'Inputs'!$B$21))/SQRT((((836-43)*MAX('Inputs'!$B$33,'Inputs'!$B$29+'Inputs'!$B$31+'Inputs'!$B$32,'Inputs'!$B$30+'Inputs'!$B$31+'Inputs'!$B$32)/1000+'Inputs'!$B$21))^2+('Inputs'!$B$6/2)^2)))-'Results'!C7*(0.5*((((836-43)*MAX('Inputs'!$B$33,'Inputs'!$B$29+'Inputs'!$B$31+'Inputs'!$B$32,'Inputs'!$B$30+'Inputs'!$B$31+'Inputs'!$B$32)/1000+'Inputs'!$B$21+'Inputs'!$B$7+'Inputs'!$B$10)+'Inputs'!$B$9)/SQRT((((836-43)*MAX('Inputs'!$B$33,'Inputs'!$B$29+'Inputs'!$B$31+'Inputs'!$B$32,'Inputs'!$B$30+'Inputs'!$B$31+'Inputs'!$B$32)/1000+'Inputs'!$B$21+'Inputs'!$B$7+'Inputs'!$B$10)+'Inputs'!$B$9)^2+('Inputs'!$B$8/2)^2)-(((836-43)*MAX('Inputs'!$B$33,'Inputs'!$B$29+'Inputs'!$B$31+'Inputs'!$B$32,'Inputs'!$B$30+'Inputs'!$B$31+'Inputs'!$B$32)/1000+'Inputs'!$B$21+'Inputs'!$B$7+'Inputs'!$B$10))/SQRT((((836-43)*MAX('Inputs'!$B$33,'Inputs'!$B$29+'Inputs'!$B$31+'Inputs'!$B$32,'Inputs'!$B$30+'Inputs'!$B$31+'Inputs'!$B$32)/1000+'Inputs'!$B$21+'Inputs'!$B$7+'Inputs'!$B$10))^2+('Inputs'!$B$8/2)^2))))*'Results'!$B$8),"")</x:f>
        <x:v>0.827668617452904</x:v>
      </x:c>
      <x:c r="K836" t="n">
        <x:f>IF(AND(ISNUMBER('Results'!B7),ISNUMBER('Results'!C7),ISNUMBER('Results'!$B$8),ISNUMBER('Inputs'!$B$6),ISNUMBER('Inputs'!$B$7),ISNUMBER('Inputs'!$B$8),ISNUMBER('Inputs'!$B$9),ISNUMBER('Inputs'!$B$10),ISNUMBER('Inputs'!$B$21),ISNUMBER('Inputs'!$B$24),ISNUMBER('Inputs'!$B$28)),((('Results'!B7*(1-'Inputs'!$B$24)*(0.5*((((836-43)*MAX('Inputs'!$B$33,'Inputs'!$B$29+'Inputs'!$B$31+'Inputs'!$B$32,'Inputs'!$B$30+'Inputs'!$B$31+'Inputs'!$B$32)/1000+'Inputs'!$B$21)+'Inputs'!$B$7)/SQRT((((836-43)*MAX('Inputs'!$B$33,'Inputs'!$B$29+'Inputs'!$B$31+'Inputs'!$B$32,'Inputs'!$B$30+'Inputs'!$B$31+'Inputs'!$B$32)/1000+'Inputs'!$B$21)+'Inputs'!$B$7)^2+('Inputs'!$B$6/2)^2)-(((836-43)*MAX('Inputs'!$B$33,'Inputs'!$B$29+'Inputs'!$B$31+'Inputs'!$B$32,'Inputs'!$B$30+'Inputs'!$B$31+'Inputs'!$B$32)/1000+'Inputs'!$B$21))/SQRT((((836-43)*MAX('Inputs'!$B$33,'Inputs'!$B$29+'Inputs'!$B$31+'Inputs'!$B$32,'Inputs'!$B$30+'Inputs'!$B$31+'Inputs'!$B$32)/1000+'Inputs'!$B$21))^2+('Inputs'!$B$6/2)^2)))-'Results'!C7*(1+'Inputs'!$B$24)*(0.5*((((836-43)*MAX('Inputs'!$B$33,'Inputs'!$B$29+'Inputs'!$B$31+'Inputs'!$B$32,'Inputs'!$B$30+'Inputs'!$B$31+'Inputs'!$B$32)/1000+'Inputs'!$B$21+'Inputs'!$B$7+'Inputs'!$B$10)+'Inputs'!$B$9)/SQRT((((836-43)*MAX('Inputs'!$B$33,'Inputs'!$B$29+'Inputs'!$B$31+'Inputs'!$B$32,'Inputs'!$B$30+'Inputs'!$B$31+'Inputs'!$B$32)/1000+'Inputs'!$B$21+'Inputs'!$B$7+'Inputs'!$B$10)+'Inputs'!$B$9)^2+('Inputs'!$B$8/2)^2)-(((836-43)*MAX('Inputs'!$B$33,'Inputs'!$B$29+'Inputs'!$B$31+'Inputs'!$B$32,'Inputs'!$B$30+'Inputs'!$B$31+'Inputs'!$B$32)/1000+'Inputs'!$B$21+'Inputs'!$B$7+'Inputs'!$B$10))/SQRT((((836-43)*MAX('Inputs'!$B$33,'Inputs'!$B$29+'Inputs'!$B$31+'Inputs'!$B$32,'Inputs'!$B$30+'Inputs'!$B$31+'Inputs'!$B$32)/1000+'Inputs'!$B$21+'Inputs'!$B$7+'Inputs'!$B$10))^2+('Inputs'!$B$8/2)^2))))*'Results'!$B$8)-'Inputs'!$B$28*ABS((('Results'!B7*(1-'Inputs'!$B$24)*(0.5*((((836-43)*MAX('Inputs'!$B$33,'Inputs'!$B$29+'Inputs'!$B$31+'Inputs'!$B$32,'Inputs'!$B$30+'Inputs'!$B$31+'Inputs'!$B$32)/1000+'Inputs'!$B$21)+'Inputs'!$B$7)/SQRT((((836-43)*MAX('Inputs'!$B$33,'Inputs'!$B$29+'Inputs'!$B$31+'Inputs'!$B$32,'Inputs'!$B$30+'Inputs'!$B$31+'Inputs'!$B$32)/1000+'Inputs'!$B$21)+'Inputs'!$B$7)^2+('Inputs'!$B$6/2)^2)-(((836-43)*MAX('Inputs'!$B$33,'Inputs'!$B$29+'Inputs'!$B$31+'Inputs'!$B$32,'Inputs'!$B$30+'Inputs'!$B$31+'Inputs'!$B$32)/1000+'Inputs'!$B$21))/SQRT((((836-43)*MAX('Inputs'!$B$33,'Inputs'!$B$29+'Inputs'!$B$31+'Inputs'!$B$32,'Inputs'!$B$30+'Inputs'!$B$31+'Inputs'!$B$32)/1000+'Inputs'!$B$21))^2+('Inputs'!$B$6/2)^2)))-'Results'!C7*(1+'Inputs'!$B$24)*(0.5*((((836-43)*MAX('Inputs'!$B$33,'Inputs'!$B$29+'Inputs'!$B$31+'Inputs'!$B$32,'Inputs'!$B$30+'Inputs'!$B$31+'Inputs'!$B$32)/1000+'Inputs'!$B$21+'Inputs'!$B$7+'Inputs'!$B$10)+'Inputs'!$B$9)/SQRT((((836-43)*MAX('Inputs'!$B$33,'Inputs'!$B$29+'Inputs'!$B$31+'Inputs'!$B$32,'Inputs'!$B$30+'Inputs'!$B$31+'Inputs'!$B$32)/1000+'Inputs'!$B$21+'Inputs'!$B$7+'Inputs'!$B$10)+'Inputs'!$B$9)^2+('Inputs'!$B$8/2)^2)-(((836-43)*MAX('Inputs'!$B$33,'Inputs'!$B$29+'Inputs'!$B$31+'Inputs'!$B$32,'Inputs'!$B$30+'Inputs'!$B$31+'Inputs'!$B$32)/1000+'Inputs'!$B$21+'Inputs'!$B$7+'Inputs'!$B$10))/SQRT((((836-43)*MAX('Inputs'!$B$33,'Inputs'!$B$29+'Inputs'!$B$31+'Inputs'!$B$32,'Inputs'!$B$30+'Inputs'!$B$31+'Inputs'!$B$32)/1000+'Inputs'!$B$21+'Inputs'!$B$7+'Inputs'!$B$10))^2+('Inputs'!$B$8/2)^2))))*'Results'!$B$8))),"")</x:f>
        <x:v>0.7090779039640832</x:v>
      </x:c>
      <x:c r="L836" t="n">
        <x:f>IF(AND(ISNUMBER('Results'!B7),ISNUMBER('Results'!C7),ISNUMBER('Results'!$B$8),ISNUMBER('Inputs'!$B$6),ISNUMBER('Inputs'!$B$7),ISNUMBER('Inputs'!$B$8),ISNUMBER('Inputs'!$B$9),ISNUMBER('Inputs'!$B$10),ISNUMBER('Inputs'!$B$21),ISNUMBER('Inputs'!$B$24),ISNUMBER('Inputs'!$B$28)),((('Results'!B7*(1+'Inputs'!$B$24)*(0.5*((((836-43)*MAX('Inputs'!$B$33,'Inputs'!$B$29+'Inputs'!$B$31+'Inputs'!$B$32,'Inputs'!$B$30+'Inputs'!$B$31+'Inputs'!$B$32)/1000+'Inputs'!$B$21)+'Inputs'!$B$7)/SQRT((((836-43)*MAX('Inputs'!$B$33,'Inputs'!$B$29+'Inputs'!$B$31+'Inputs'!$B$32,'Inputs'!$B$30+'Inputs'!$B$31+'Inputs'!$B$32)/1000+'Inputs'!$B$21)+'Inputs'!$B$7)^2+('Inputs'!$B$6/2)^2)-(((836-43)*MAX('Inputs'!$B$33,'Inputs'!$B$29+'Inputs'!$B$31+'Inputs'!$B$32,'Inputs'!$B$30+'Inputs'!$B$31+'Inputs'!$B$32)/1000+'Inputs'!$B$21))/SQRT((((836-43)*MAX('Inputs'!$B$33,'Inputs'!$B$29+'Inputs'!$B$31+'Inputs'!$B$32,'Inputs'!$B$30+'Inputs'!$B$31+'Inputs'!$B$32)/1000+'Inputs'!$B$21))^2+('Inputs'!$B$6/2)^2)))-'Results'!C7*(1-'Inputs'!$B$24)*(0.5*((((836-43)*MAX('Inputs'!$B$33,'Inputs'!$B$29+'Inputs'!$B$31+'Inputs'!$B$32,'Inputs'!$B$30+'Inputs'!$B$31+'Inputs'!$B$32)/1000+'Inputs'!$B$21+'Inputs'!$B$7+'Inputs'!$B$10)+'Inputs'!$B$9)/SQRT((((836-43)*MAX('Inputs'!$B$33,'Inputs'!$B$29+'Inputs'!$B$31+'Inputs'!$B$32,'Inputs'!$B$30+'Inputs'!$B$31+'Inputs'!$B$32)/1000+'Inputs'!$B$21+'Inputs'!$B$7+'Inputs'!$B$10)+'Inputs'!$B$9)^2+('Inputs'!$B$8/2)^2)-(((836-43)*MAX('Inputs'!$B$33,'Inputs'!$B$29+'Inputs'!$B$31+'Inputs'!$B$32,'Inputs'!$B$30+'Inputs'!$B$31+'Inputs'!$B$32)/1000+'Inputs'!$B$21+'Inputs'!$B$7+'Inputs'!$B$10))/SQRT((((836-43)*MAX('Inputs'!$B$33,'Inputs'!$B$29+'Inputs'!$B$31+'Inputs'!$B$32,'Inputs'!$B$30+'Inputs'!$B$31+'Inputs'!$B$32)/1000+'Inputs'!$B$21+'Inputs'!$B$7+'Inputs'!$B$10))^2+('Inputs'!$B$8/2)^2))))*'Results'!$B$8)+'Inputs'!$B$28*ABS((('Results'!B7*(1+'Inputs'!$B$24)*(0.5*((((836-43)*MAX('Inputs'!$B$33,'Inputs'!$B$29+'Inputs'!$B$31+'Inputs'!$B$32,'Inputs'!$B$30+'Inputs'!$B$31+'Inputs'!$B$32)/1000+'Inputs'!$B$21)+'Inputs'!$B$7)/SQRT((((836-43)*MAX('Inputs'!$B$33,'Inputs'!$B$29+'Inputs'!$B$31+'Inputs'!$B$32,'Inputs'!$B$30+'Inputs'!$B$31+'Inputs'!$B$32)/1000+'Inputs'!$B$21)+'Inputs'!$B$7)^2+('Inputs'!$B$6/2)^2)-(((836-43)*MAX('Inputs'!$B$33,'Inputs'!$B$29+'Inputs'!$B$31+'Inputs'!$B$32,'Inputs'!$B$30+'Inputs'!$B$31+'Inputs'!$B$32)/1000+'Inputs'!$B$21))/SQRT((((836-43)*MAX('Inputs'!$B$33,'Inputs'!$B$29+'Inputs'!$B$31+'Inputs'!$B$32,'Inputs'!$B$30+'Inputs'!$B$31+'Inputs'!$B$32)/1000+'Inputs'!$B$21))^2+('Inputs'!$B$6/2)^2)))-'Results'!C7*(1-'Inputs'!$B$24)*(0.5*((((836-43)*MAX('Inputs'!$B$33,'Inputs'!$B$29+'Inputs'!$B$31+'Inputs'!$B$32,'Inputs'!$B$30+'Inputs'!$B$31+'Inputs'!$B$32)/1000+'Inputs'!$B$21+'Inputs'!$B$7+'Inputs'!$B$10)+'Inputs'!$B$9)/SQRT((((836-43)*MAX('Inputs'!$B$33,'Inputs'!$B$29+'Inputs'!$B$31+'Inputs'!$B$32,'Inputs'!$B$30+'Inputs'!$B$31+'Inputs'!$B$32)/1000+'Inputs'!$B$21+'Inputs'!$B$7+'Inputs'!$B$10)+'Inputs'!$B$9)^2+('Inputs'!$B$8/2)^2)-(((836-43)*MAX('Inputs'!$B$33,'Inputs'!$B$29+'Inputs'!$B$31+'Inputs'!$B$32,'Inputs'!$B$30+'Inputs'!$B$31+'Inputs'!$B$32)/1000+'Inputs'!$B$21+'Inputs'!$B$7+'Inputs'!$B$10))/SQRT((((836-43)*MAX('Inputs'!$B$33,'Inputs'!$B$29+'Inputs'!$B$31+'Inputs'!$B$32,'Inputs'!$B$30+'Inputs'!$B$31+'Inputs'!$B$32)/1000+'Inputs'!$B$21+'Inputs'!$B$7+'Inputs'!$B$10))^2+('Inputs'!$B$8/2)^2))))*'Results'!$B$8))),"")</x:f>
        <x:v>0.9543864133223756</x:v>
      </x:c>
      <x:c r="M836" t="n">
        <x:f>IF(AND(ISNUMBER('Results'!C7),ISNUMBER('Results'!B7),ISNUMBER('Results'!$B$8),ISNUMBER('Inputs'!$B$6),ISNUMBER('Inputs'!$B$7),ISNUMBER('Inputs'!$B$8),ISNUMBER('Inputs'!$B$9),ISNUMBER('Inputs'!$B$10),ISNUMBER('Inputs'!$B$21),ISNUMBER('Inputs'!$B$24),ISNUMBER('Inputs'!$B$28)),(('Results'!C7*(0.5*((((836-43)*MAX('Inputs'!$B$33,'Inputs'!$B$29+'Inputs'!$B$31+'Inputs'!$B$32,'Inputs'!$B$30+'Inputs'!$B$31+'Inputs'!$B$32)/1000+'Inputs'!$B$21)+'Inputs'!$B$9)/SQRT((((836-43)*MAX('Inputs'!$B$33,'Inputs'!$B$29+'Inputs'!$B$31+'Inputs'!$B$32,'Inputs'!$B$30+'Inputs'!$B$31+'Inputs'!$B$32)/1000+'Inputs'!$B$21)+'Inputs'!$B$9)^2+('Inputs'!$B$8/2)^2)-(((836-43)*MAX('Inputs'!$B$33,'Inputs'!$B$29+'Inputs'!$B$31+'Inputs'!$B$32,'Inputs'!$B$30+'Inputs'!$B$31+'Inputs'!$B$32)/1000+'Inputs'!$B$21))/SQRT((((836-43)*MAX('Inputs'!$B$33,'Inputs'!$B$29+'Inputs'!$B$31+'Inputs'!$B$32,'Inputs'!$B$30+'Inputs'!$B$31+'Inputs'!$B$32)/1000+'Inputs'!$B$21))^2+('Inputs'!$B$8/2)^2)))-'Results'!B7*(0.5*((((836-43)*MAX('Inputs'!$B$33,'Inputs'!$B$29+'Inputs'!$B$31+'Inputs'!$B$32,'Inputs'!$B$30+'Inputs'!$B$31+'Inputs'!$B$32)/1000+'Inputs'!$B$21+'Inputs'!$B$9+'Inputs'!$B$10)+'Inputs'!$B$7)/SQRT((((836-43)*MAX('Inputs'!$B$33,'Inputs'!$B$29+'Inputs'!$B$31+'Inputs'!$B$32,'Inputs'!$B$30+'Inputs'!$B$31+'Inputs'!$B$32)/1000+'Inputs'!$B$21+'Inputs'!$B$9+'Inputs'!$B$10)+'Inputs'!$B$7)^2+('Inputs'!$B$6/2)^2)-(((836-43)*MAX('Inputs'!$B$33,'Inputs'!$B$29+'Inputs'!$B$31+'Inputs'!$B$32,'Inputs'!$B$30+'Inputs'!$B$31+'Inputs'!$B$32)/1000+'Inputs'!$B$21+'Inputs'!$B$9+'Inputs'!$B$10))/SQRT((((836-43)*MAX('Inputs'!$B$33,'Inputs'!$B$29+'Inputs'!$B$31+'Inputs'!$B$32,'Inputs'!$B$30+'Inputs'!$B$31+'Inputs'!$B$32)/1000+'Inputs'!$B$21+'Inputs'!$B$9+'Inputs'!$B$10))^2+('Inputs'!$B$6/2)^2))))*'Results'!$B$8),"")</x:f>
        <x:v>0.7457374114886745</x:v>
      </x:c>
      <x:c r="N836" t="n">
        <x:f>IF(AND(ISNUMBER('Results'!C7),ISNUMBER('Results'!B7),ISNUMBER('Results'!$B$8),ISNUMBER('Inputs'!$B$6),ISNUMBER('Inputs'!$B$7),ISNUMBER('Inputs'!$B$8),ISNUMBER('Inputs'!$B$9),ISNUMBER('Inputs'!$B$10),ISNUMBER('Inputs'!$B$21),ISNUMBER('Inputs'!$B$24),ISNUMBER('Inputs'!$B$28)),((('Results'!C7*(1-'Inputs'!$B$24)*(0.5*((((836-43)*MAX('Inputs'!$B$33,'Inputs'!$B$29+'Inputs'!$B$31+'Inputs'!$B$32,'Inputs'!$B$30+'Inputs'!$B$31+'Inputs'!$B$32)/1000+'Inputs'!$B$21)+'Inputs'!$B$9)/SQRT((((836-43)*MAX('Inputs'!$B$33,'Inputs'!$B$29+'Inputs'!$B$31+'Inputs'!$B$32,'Inputs'!$B$30+'Inputs'!$B$31+'Inputs'!$B$32)/1000+'Inputs'!$B$21)+'Inputs'!$B$9)^2+('Inputs'!$B$8/2)^2)-(((836-43)*MAX('Inputs'!$B$33,'Inputs'!$B$29+'Inputs'!$B$31+'Inputs'!$B$32,'Inputs'!$B$30+'Inputs'!$B$31+'Inputs'!$B$32)/1000+'Inputs'!$B$21))/SQRT((((836-43)*MAX('Inputs'!$B$33,'Inputs'!$B$29+'Inputs'!$B$31+'Inputs'!$B$32,'Inputs'!$B$30+'Inputs'!$B$31+'Inputs'!$B$32)/1000+'Inputs'!$B$21))^2+('Inputs'!$B$8/2)^2)))-'Results'!B7*(1+'Inputs'!$B$24)*(0.5*((((836-43)*MAX('Inputs'!$B$33,'Inputs'!$B$29+'Inputs'!$B$31+'Inputs'!$B$32,'Inputs'!$B$30+'Inputs'!$B$31+'Inputs'!$B$32)/1000+'Inputs'!$B$21+'Inputs'!$B$9+'Inputs'!$B$10)+'Inputs'!$B$7)/SQRT((((836-43)*MAX('Inputs'!$B$33,'Inputs'!$B$29+'Inputs'!$B$31+'Inputs'!$B$32,'Inputs'!$B$30+'Inputs'!$B$31+'Inputs'!$B$32)/1000+'Inputs'!$B$21+'Inputs'!$B$9+'Inputs'!$B$10)+'Inputs'!$B$7)^2+('Inputs'!$B$6/2)^2)-(((836-43)*MAX('Inputs'!$B$33,'Inputs'!$B$29+'Inputs'!$B$31+'Inputs'!$B$32,'Inputs'!$B$30+'Inputs'!$B$31+'Inputs'!$B$32)/1000+'Inputs'!$B$21+'Inputs'!$B$9+'Inputs'!$B$10))/SQRT((((836-43)*MAX('Inputs'!$B$33,'Inputs'!$B$29+'Inputs'!$B$31+'Inputs'!$B$32,'Inputs'!$B$30+'Inputs'!$B$31+'Inputs'!$B$32)/1000+'Inputs'!$B$21+'Inputs'!$B$9+'Inputs'!$B$10))^2+('Inputs'!$B$6/2)^2))))*'Results'!$B$8)-'Inputs'!$B$28*ABS((('Results'!C7*(1-'Inputs'!$B$24)*(0.5*((((836-43)*MAX('Inputs'!$B$33,'Inputs'!$B$29+'Inputs'!$B$31+'Inputs'!$B$32,'Inputs'!$B$30+'Inputs'!$B$31+'Inputs'!$B$32)/1000+'Inputs'!$B$21)+'Inputs'!$B$9)/SQRT((((836-43)*MAX('Inputs'!$B$33,'Inputs'!$B$29+'Inputs'!$B$31+'Inputs'!$B$32,'Inputs'!$B$30+'Inputs'!$B$31+'Inputs'!$B$32)/1000+'Inputs'!$B$21)+'Inputs'!$B$9)^2+('Inputs'!$B$8/2)^2)-(((836-43)*MAX('Inputs'!$B$33,'Inputs'!$B$29+'Inputs'!$B$31+'Inputs'!$B$32,'Inputs'!$B$30+'Inputs'!$B$31+'Inputs'!$B$32)/1000+'Inputs'!$B$21))/SQRT((((836-43)*MAX('Inputs'!$B$33,'Inputs'!$B$29+'Inputs'!$B$31+'Inputs'!$B$32,'Inputs'!$B$30+'Inputs'!$B$31+'Inputs'!$B$32)/1000+'Inputs'!$B$21))^2+('Inputs'!$B$8/2)^2)))-'Results'!B7*(1+'Inputs'!$B$24)*(0.5*((((836-43)*MAX('Inputs'!$B$33,'Inputs'!$B$29+'Inputs'!$B$31+'Inputs'!$B$32,'Inputs'!$B$30+'Inputs'!$B$31+'Inputs'!$B$32)/1000+'Inputs'!$B$21+'Inputs'!$B$9+'Inputs'!$B$10)+'Inputs'!$B$7)/SQRT((((836-43)*MAX('Inputs'!$B$33,'Inputs'!$B$29+'Inputs'!$B$31+'Inputs'!$B$32,'Inputs'!$B$30+'Inputs'!$B$31+'Inputs'!$B$32)/1000+'Inputs'!$B$21+'Inputs'!$B$9+'Inputs'!$B$10)+'Inputs'!$B$7)^2+('Inputs'!$B$6/2)^2)-(((836-43)*MAX('Inputs'!$B$33,'Inputs'!$B$29+'Inputs'!$B$31+'Inputs'!$B$32,'Inputs'!$B$30+'Inputs'!$B$31+'Inputs'!$B$32)/1000+'Inputs'!$B$21+'Inputs'!$B$9+'Inputs'!$B$10))/SQRT((((836-43)*MAX('Inputs'!$B$33,'Inputs'!$B$29+'Inputs'!$B$31+'Inputs'!$B$32,'Inputs'!$B$30+'Inputs'!$B$31+'Inputs'!$B$32)/1000+'Inputs'!$B$21+'Inputs'!$B$9+'Inputs'!$B$10))^2+('Inputs'!$B$6/2)^2))))*'Results'!$B$8))),"")</x:f>
        <x:v>0.6315452251117</x:v>
      </x:c>
      <x:c r="O836" t="n">
        <x:f>IF(AND(ISNUMBER('Results'!C7),ISNUMBER('Results'!B7),ISNUMBER('Results'!$B$8),ISNUMBER('Inputs'!$B$6),ISNUMBER('Inputs'!$B$7),ISNUMBER('Inputs'!$B$8),ISNUMBER('Inputs'!$B$9),ISNUMBER('Inputs'!$B$10),ISNUMBER('Inputs'!$B$21),ISNUMBER('Inputs'!$B$24),ISNUMBER('Inputs'!$B$28)),((('Results'!C7*(1+'Inputs'!$B$24)*(0.5*((((836-43)*MAX('Inputs'!$B$33,'Inputs'!$B$29+'Inputs'!$B$31+'Inputs'!$B$32,'Inputs'!$B$30+'Inputs'!$B$31+'Inputs'!$B$32)/1000+'Inputs'!$B$21)+'Inputs'!$B$9)/SQRT((((836-43)*MAX('Inputs'!$B$33,'Inputs'!$B$29+'Inputs'!$B$31+'Inputs'!$B$32,'Inputs'!$B$30+'Inputs'!$B$31+'Inputs'!$B$32)/1000+'Inputs'!$B$21)+'Inputs'!$B$9)^2+('Inputs'!$B$8/2)^2)-(((836-43)*MAX('Inputs'!$B$33,'Inputs'!$B$29+'Inputs'!$B$31+'Inputs'!$B$32,'Inputs'!$B$30+'Inputs'!$B$31+'Inputs'!$B$32)/1000+'Inputs'!$B$21))/SQRT((((836-43)*MAX('Inputs'!$B$33,'Inputs'!$B$29+'Inputs'!$B$31+'Inputs'!$B$32,'Inputs'!$B$30+'Inputs'!$B$31+'Inputs'!$B$32)/1000+'Inputs'!$B$21))^2+('Inputs'!$B$8/2)^2)))-'Results'!B7*(1-'Inputs'!$B$24)*(0.5*((((836-43)*MAX('Inputs'!$B$33,'Inputs'!$B$29+'Inputs'!$B$31+'Inputs'!$B$32,'Inputs'!$B$30+'Inputs'!$B$31+'Inputs'!$B$32)/1000+'Inputs'!$B$21+'Inputs'!$B$9+'Inputs'!$B$10)+'Inputs'!$B$7)/SQRT((((836-43)*MAX('Inputs'!$B$33,'Inputs'!$B$29+'Inputs'!$B$31+'Inputs'!$B$32,'Inputs'!$B$30+'Inputs'!$B$31+'Inputs'!$B$32)/1000+'Inputs'!$B$21+'Inputs'!$B$9+'Inputs'!$B$10)+'Inputs'!$B$7)^2+('Inputs'!$B$6/2)^2)-(((836-43)*MAX('Inputs'!$B$33,'Inputs'!$B$29+'Inputs'!$B$31+'Inputs'!$B$32,'Inputs'!$B$30+'Inputs'!$B$31+'Inputs'!$B$32)/1000+'Inputs'!$B$21+'Inputs'!$B$9+'Inputs'!$B$10))/SQRT((((836-43)*MAX('Inputs'!$B$33,'Inputs'!$B$29+'Inputs'!$B$31+'Inputs'!$B$32,'Inputs'!$B$30+'Inputs'!$B$31+'Inputs'!$B$32)/1000+'Inputs'!$B$21+'Inputs'!$B$9+'Inputs'!$B$10))^2+('Inputs'!$B$6/2)^2))))*'Results'!$B$8)+'Inputs'!$B$28*ABS((('Results'!C7*(1+'Inputs'!$B$24)*(0.5*((((836-43)*MAX('Inputs'!$B$33,'Inputs'!$B$29+'Inputs'!$B$31+'Inputs'!$B$32,'Inputs'!$B$30+'Inputs'!$B$31+'Inputs'!$B$32)/1000+'Inputs'!$B$21)+'Inputs'!$B$9)/SQRT((((836-43)*MAX('Inputs'!$B$33,'Inputs'!$B$29+'Inputs'!$B$31+'Inputs'!$B$32,'Inputs'!$B$30+'Inputs'!$B$31+'Inputs'!$B$32)/1000+'Inputs'!$B$21)+'Inputs'!$B$9)^2+('Inputs'!$B$8/2)^2)-(((836-43)*MAX('Inputs'!$B$33,'Inputs'!$B$29+'Inputs'!$B$31+'Inputs'!$B$32,'Inputs'!$B$30+'Inputs'!$B$31+'Inputs'!$B$32)/1000+'Inputs'!$B$21))/SQRT((((836-43)*MAX('Inputs'!$B$33,'Inputs'!$B$29+'Inputs'!$B$31+'Inputs'!$B$32,'Inputs'!$B$30+'Inputs'!$B$31+'Inputs'!$B$32)/1000+'Inputs'!$B$21))^2+('Inputs'!$B$8/2)^2)))-'Results'!B7*(1-'Inputs'!$B$24)*(0.5*((((836-43)*MAX('Inputs'!$B$33,'Inputs'!$B$29+'Inputs'!$B$31+'Inputs'!$B$32,'Inputs'!$B$30+'Inputs'!$B$31+'Inputs'!$B$32)/1000+'Inputs'!$B$21+'Inputs'!$B$9+'Inputs'!$B$10)+'Inputs'!$B$7)/SQRT((((836-43)*MAX('Inputs'!$B$33,'Inputs'!$B$29+'Inputs'!$B$31+'Inputs'!$B$32,'Inputs'!$B$30+'Inputs'!$B$31+'Inputs'!$B$32)/1000+'Inputs'!$B$21+'Inputs'!$B$9+'Inputs'!$B$10)+'Inputs'!$B$7)^2+('Inputs'!$B$6/2)^2)-(((836-43)*MAX('Inputs'!$B$33,'Inputs'!$B$29+'Inputs'!$B$31+'Inputs'!$B$32,'Inputs'!$B$30+'Inputs'!$B$31+'Inputs'!$B$32)/1000+'Inputs'!$B$21+'Inputs'!$B$9+'Inputs'!$B$10))/SQRT((((836-43)*MAX('Inputs'!$B$33,'Inputs'!$B$29+'Inputs'!$B$31+'Inputs'!$B$32,'Inputs'!$B$30+'Inputs'!$B$31+'Inputs'!$B$32)/1000+'Inputs'!$B$21+'Inputs'!$B$9+'Inputs'!$B$10))^2+('Inputs'!$B$6/2)^2))))*'Results'!$B$8))),"")</x:f>
        <x:v>0.8680248942659161</x:v>
      </x:c>
      <x:c r="P836" t="n">
        <x:f>IF(AND(MAX(J836,J835)&gt;0,J836&gt;J835+0.00000001),1,0)</x:f>
        <x:v>0</x:v>
      </x:c>
      <x:c r="Q836" t="n">
        <x:f>IF(AND(MAX(K836,K835)&gt;0,K836&gt;K835+0.00000001),1,0)</x:f>
        <x:v>0</x:v>
      </x:c>
      <x:c r="R836" t="n">
        <x:f>IF(AND(MAX(L836,L835)&gt;0,L836&gt;L835+0.00000001),1,0)</x:f>
        <x:v>0</x:v>
      </x:c>
      <x:c r="S836" t="n">
        <x:f>IF(AND(MAX(M836,M835)&gt;0,M836&gt;M835+0.00000001),1,0)</x:f>
        <x:v>0</x:v>
      </x:c>
      <x:c r="T836" t="n">
        <x:f>IF(AND(MAX(N836,N835)&gt;0,N836&gt;N835+0.00000001),1,0)</x:f>
        <x:v>0</x:v>
      </x:c>
      <x:c r="U836" t="n">
        <x:f>IF(AND(MAX(O836,O835)&gt;0,O836&gt;O835+0.00000001),1,0)</x:f>
        <x:v>0</x:v>
      </x:c>
    </x:row>
    <x:row r="837">
      <x:c r="J837" t="n">
        <x:f>IF(AND(ISNUMBER('Results'!B7),ISNUMBER('Results'!C7),ISNUMBER('Results'!$B$8),ISNUMBER('Inputs'!$B$6),ISNUMBER('Inputs'!$B$7),ISNUMBER('Inputs'!$B$8),ISNUMBER('Inputs'!$B$9),ISNUMBER('Inputs'!$B$10),ISNUMBER('Inputs'!$B$21),ISNUMBER('Inputs'!$B$24),ISNUMBER('Inputs'!$B$28)),(('Results'!B7*(0.5*((((837-43)*MAX('Inputs'!$B$33,'Inputs'!$B$29+'Inputs'!$B$31+'Inputs'!$B$32,'Inputs'!$B$30+'Inputs'!$B$31+'Inputs'!$B$32)/1000+'Inputs'!$B$21)+'Inputs'!$B$7)/SQRT((((837-43)*MAX('Inputs'!$B$33,'Inputs'!$B$29+'Inputs'!$B$31+'Inputs'!$B$32,'Inputs'!$B$30+'Inputs'!$B$31+'Inputs'!$B$32)/1000+'Inputs'!$B$21)+'Inputs'!$B$7)^2+('Inputs'!$B$6/2)^2)-(((837-43)*MAX('Inputs'!$B$33,'Inputs'!$B$29+'Inputs'!$B$31+'Inputs'!$B$32,'Inputs'!$B$30+'Inputs'!$B$31+'Inputs'!$B$32)/1000+'Inputs'!$B$21))/SQRT((((837-43)*MAX('Inputs'!$B$33,'Inputs'!$B$29+'Inputs'!$B$31+'Inputs'!$B$32,'Inputs'!$B$30+'Inputs'!$B$31+'Inputs'!$B$32)/1000+'Inputs'!$B$21))^2+('Inputs'!$B$6/2)^2)))-'Results'!C7*(0.5*((((837-43)*MAX('Inputs'!$B$33,'Inputs'!$B$29+'Inputs'!$B$31+'Inputs'!$B$32,'Inputs'!$B$30+'Inputs'!$B$31+'Inputs'!$B$32)/1000+'Inputs'!$B$21+'Inputs'!$B$7+'Inputs'!$B$10)+'Inputs'!$B$9)/SQRT((((837-43)*MAX('Inputs'!$B$33,'Inputs'!$B$29+'Inputs'!$B$31+'Inputs'!$B$32,'Inputs'!$B$30+'Inputs'!$B$31+'Inputs'!$B$32)/1000+'Inputs'!$B$21+'Inputs'!$B$7+'Inputs'!$B$10)+'Inputs'!$B$9)^2+('Inputs'!$B$8/2)^2)-(((837-43)*MAX('Inputs'!$B$33,'Inputs'!$B$29+'Inputs'!$B$31+'Inputs'!$B$32,'Inputs'!$B$30+'Inputs'!$B$31+'Inputs'!$B$32)/1000+'Inputs'!$B$21+'Inputs'!$B$7+'Inputs'!$B$10))/SQRT((((837-43)*MAX('Inputs'!$B$33,'Inputs'!$B$29+'Inputs'!$B$31+'Inputs'!$B$32,'Inputs'!$B$30+'Inputs'!$B$31+'Inputs'!$B$32)/1000+'Inputs'!$B$21+'Inputs'!$B$7+'Inputs'!$B$10))^2+('Inputs'!$B$8/2)^2))))*'Results'!$B$8),"")</x:f>
        <x:v>0.823929617557028</x:v>
      </x:c>
      <x:c r="K837" t="n">
        <x:f>IF(AND(ISNUMBER('Results'!B7),ISNUMBER('Results'!C7),ISNUMBER('Results'!$B$8),ISNUMBER('Inputs'!$B$6),ISNUMBER('Inputs'!$B$7),ISNUMBER('Inputs'!$B$8),ISNUMBER('Inputs'!$B$9),ISNUMBER('Inputs'!$B$10),ISNUMBER('Inputs'!$B$21),ISNUMBER('Inputs'!$B$24),ISNUMBER('Inputs'!$B$28)),((('Results'!B7*(1-'Inputs'!$B$24)*(0.5*((((837-43)*MAX('Inputs'!$B$33,'Inputs'!$B$29+'Inputs'!$B$31+'Inputs'!$B$32,'Inputs'!$B$30+'Inputs'!$B$31+'Inputs'!$B$32)/1000+'Inputs'!$B$21)+'Inputs'!$B$7)/SQRT((((837-43)*MAX('Inputs'!$B$33,'Inputs'!$B$29+'Inputs'!$B$31+'Inputs'!$B$32,'Inputs'!$B$30+'Inputs'!$B$31+'Inputs'!$B$32)/1000+'Inputs'!$B$21)+'Inputs'!$B$7)^2+('Inputs'!$B$6/2)^2)-(((837-43)*MAX('Inputs'!$B$33,'Inputs'!$B$29+'Inputs'!$B$31+'Inputs'!$B$32,'Inputs'!$B$30+'Inputs'!$B$31+'Inputs'!$B$32)/1000+'Inputs'!$B$21))/SQRT((((837-43)*MAX('Inputs'!$B$33,'Inputs'!$B$29+'Inputs'!$B$31+'Inputs'!$B$32,'Inputs'!$B$30+'Inputs'!$B$31+'Inputs'!$B$32)/1000+'Inputs'!$B$21))^2+('Inputs'!$B$6/2)^2)))-'Results'!C7*(1+'Inputs'!$B$24)*(0.5*((((837-43)*MAX('Inputs'!$B$33,'Inputs'!$B$29+'Inputs'!$B$31+'Inputs'!$B$32,'Inputs'!$B$30+'Inputs'!$B$31+'Inputs'!$B$32)/1000+'Inputs'!$B$21+'Inputs'!$B$7+'Inputs'!$B$10)+'Inputs'!$B$9)/SQRT((((837-43)*MAX('Inputs'!$B$33,'Inputs'!$B$29+'Inputs'!$B$31+'Inputs'!$B$32,'Inputs'!$B$30+'Inputs'!$B$31+'Inputs'!$B$32)/1000+'Inputs'!$B$21+'Inputs'!$B$7+'Inputs'!$B$10)+'Inputs'!$B$9)^2+('Inputs'!$B$8/2)^2)-(((837-43)*MAX('Inputs'!$B$33,'Inputs'!$B$29+'Inputs'!$B$31+'Inputs'!$B$32,'Inputs'!$B$30+'Inputs'!$B$31+'Inputs'!$B$32)/1000+'Inputs'!$B$21+'Inputs'!$B$7+'Inputs'!$B$10))/SQRT((((837-43)*MAX('Inputs'!$B$33,'Inputs'!$B$29+'Inputs'!$B$31+'Inputs'!$B$32,'Inputs'!$B$30+'Inputs'!$B$31+'Inputs'!$B$32)/1000+'Inputs'!$B$21+'Inputs'!$B$7+'Inputs'!$B$10))^2+('Inputs'!$B$8/2)^2))))*'Results'!$B$8)-'Inputs'!$B$28*ABS((('Results'!B7*(1-'Inputs'!$B$24)*(0.5*((((837-43)*MAX('Inputs'!$B$33,'Inputs'!$B$29+'Inputs'!$B$31+'Inputs'!$B$32,'Inputs'!$B$30+'Inputs'!$B$31+'Inputs'!$B$32)/1000+'Inputs'!$B$21)+'Inputs'!$B$7)/SQRT((((837-43)*MAX('Inputs'!$B$33,'Inputs'!$B$29+'Inputs'!$B$31+'Inputs'!$B$32,'Inputs'!$B$30+'Inputs'!$B$31+'Inputs'!$B$32)/1000+'Inputs'!$B$21)+'Inputs'!$B$7)^2+('Inputs'!$B$6/2)^2)-(((837-43)*MAX('Inputs'!$B$33,'Inputs'!$B$29+'Inputs'!$B$31+'Inputs'!$B$32,'Inputs'!$B$30+'Inputs'!$B$31+'Inputs'!$B$32)/1000+'Inputs'!$B$21))/SQRT((((837-43)*MAX('Inputs'!$B$33,'Inputs'!$B$29+'Inputs'!$B$31+'Inputs'!$B$32,'Inputs'!$B$30+'Inputs'!$B$31+'Inputs'!$B$32)/1000+'Inputs'!$B$21))^2+('Inputs'!$B$6/2)^2)))-'Results'!C7*(1+'Inputs'!$B$24)*(0.5*((((837-43)*MAX('Inputs'!$B$33,'Inputs'!$B$29+'Inputs'!$B$31+'Inputs'!$B$32,'Inputs'!$B$30+'Inputs'!$B$31+'Inputs'!$B$32)/1000+'Inputs'!$B$21+'Inputs'!$B$7+'Inputs'!$B$10)+'Inputs'!$B$9)/SQRT((((837-43)*MAX('Inputs'!$B$33,'Inputs'!$B$29+'Inputs'!$B$31+'Inputs'!$B$32,'Inputs'!$B$30+'Inputs'!$B$31+'Inputs'!$B$32)/1000+'Inputs'!$B$21+'Inputs'!$B$7+'Inputs'!$B$10)+'Inputs'!$B$9)^2+('Inputs'!$B$8/2)^2)-(((837-43)*MAX('Inputs'!$B$33,'Inputs'!$B$29+'Inputs'!$B$31+'Inputs'!$B$32,'Inputs'!$B$30+'Inputs'!$B$31+'Inputs'!$B$32)/1000+'Inputs'!$B$21+'Inputs'!$B$7+'Inputs'!$B$10))/SQRT((((837-43)*MAX('Inputs'!$B$33,'Inputs'!$B$29+'Inputs'!$B$31+'Inputs'!$B$32,'Inputs'!$B$30+'Inputs'!$B$31+'Inputs'!$B$32)/1000+'Inputs'!$B$21+'Inputs'!$B$7+'Inputs'!$B$10))^2+('Inputs'!$B$8/2)^2))))*'Results'!$B$8))),"")</x:f>
        <x:v>0.7057940007721599</x:v>
      </x:c>
      <x:c r="L837" t="n">
        <x:f>IF(AND(ISNUMBER('Results'!B7),ISNUMBER('Results'!C7),ISNUMBER('Results'!$B$8),ISNUMBER('Inputs'!$B$6),ISNUMBER('Inputs'!$B$7),ISNUMBER('Inputs'!$B$8),ISNUMBER('Inputs'!$B$9),ISNUMBER('Inputs'!$B$10),ISNUMBER('Inputs'!$B$21),ISNUMBER('Inputs'!$B$24),ISNUMBER('Inputs'!$B$28)),((('Results'!B7*(1+'Inputs'!$B$24)*(0.5*((((837-43)*MAX('Inputs'!$B$33,'Inputs'!$B$29+'Inputs'!$B$31+'Inputs'!$B$32,'Inputs'!$B$30+'Inputs'!$B$31+'Inputs'!$B$32)/1000+'Inputs'!$B$21)+'Inputs'!$B$7)/SQRT((((837-43)*MAX('Inputs'!$B$33,'Inputs'!$B$29+'Inputs'!$B$31+'Inputs'!$B$32,'Inputs'!$B$30+'Inputs'!$B$31+'Inputs'!$B$32)/1000+'Inputs'!$B$21)+'Inputs'!$B$7)^2+('Inputs'!$B$6/2)^2)-(((837-43)*MAX('Inputs'!$B$33,'Inputs'!$B$29+'Inputs'!$B$31+'Inputs'!$B$32,'Inputs'!$B$30+'Inputs'!$B$31+'Inputs'!$B$32)/1000+'Inputs'!$B$21))/SQRT((((837-43)*MAX('Inputs'!$B$33,'Inputs'!$B$29+'Inputs'!$B$31+'Inputs'!$B$32,'Inputs'!$B$30+'Inputs'!$B$31+'Inputs'!$B$32)/1000+'Inputs'!$B$21))^2+('Inputs'!$B$6/2)^2)))-'Results'!C7*(1-'Inputs'!$B$24)*(0.5*((((837-43)*MAX('Inputs'!$B$33,'Inputs'!$B$29+'Inputs'!$B$31+'Inputs'!$B$32,'Inputs'!$B$30+'Inputs'!$B$31+'Inputs'!$B$32)/1000+'Inputs'!$B$21+'Inputs'!$B$7+'Inputs'!$B$10)+'Inputs'!$B$9)/SQRT((((837-43)*MAX('Inputs'!$B$33,'Inputs'!$B$29+'Inputs'!$B$31+'Inputs'!$B$32,'Inputs'!$B$30+'Inputs'!$B$31+'Inputs'!$B$32)/1000+'Inputs'!$B$21+'Inputs'!$B$7+'Inputs'!$B$10)+'Inputs'!$B$9)^2+('Inputs'!$B$8/2)^2)-(((837-43)*MAX('Inputs'!$B$33,'Inputs'!$B$29+'Inputs'!$B$31+'Inputs'!$B$32,'Inputs'!$B$30+'Inputs'!$B$31+'Inputs'!$B$32)/1000+'Inputs'!$B$21+'Inputs'!$B$7+'Inputs'!$B$10))/SQRT((((837-43)*MAX('Inputs'!$B$33,'Inputs'!$B$29+'Inputs'!$B$31+'Inputs'!$B$32,'Inputs'!$B$30+'Inputs'!$B$31+'Inputs'!$B$32)/1000+'Inputs'!$B$21+'Inputs'!$B$7+'Inputs'!$B$10))^2+('Inputs'!$B$8/2)^2))))*'Results'!$B$8)+'Inputs'!$B$28*ABS((('Results'!B7*(1+'Inputs'!$B$24)*(0.5*((((837-43)*MAX('Inputs'!$B$33,'Inputs'!$B$29+'Inputs'!$B$31+'Inputs'!$B$32,'Inputs'!$B$30+'Inputs'!$B$31+'Inputs'!$B$32)/1000+'Inputs'!$B$21)+'Inputs'!$B$7)/SQRT((((837-43)*MAX('Inputs'!$B$33,'Inputs'!$B$29+'Inputs'!$B$31+'Inputs'!$B$32,'Inputs'!$B$30+'Inputs'!$B$31+'Inputs'!$B$32)/1000+'Inputs'!$B$21)+'Inputs'!$B$7)^2+('Inputs'!$B$6/2)^2)-(((837-43)*MAX('Inputs'!$B$33,'Inputs'!$B$29+'Inputs'!$B$31+'Inputs'!$B$32,'Inputs'!$B$30+'Inputs'!$B$31+'Inputs'!$B$32)/1000+'Inputs'!$B$21))/SQRT((((837-43)*MAX('Inputs'!$B$33,'Inputs'!$B$29+'Inputs'!$B$31+'Inputs'!$B$32,'Inputs'!$B$30+'Inputs'!$B$31+'Inputs'!$B$32)/1000+'Inputs'!$B$21))^2+('Inputs'!$B$6/2)^2)))-'Results'!C7*(1-'Inputs'!$B$24)*(0.5*((((837-43)*MAX('Inputs'!$B$33,'Inputs'!$B$29+'Inputs'!$B$31+'Inputs'!$B$32,'Inputs'!$B$30+'Inputs'!$B$31+'Inputs'!$B$32)/1000+'Inputs'!$B$21+'Inputs'!$B$7+'Inputs'!$B$10)+'Inputs'!$B$9)/SQRT((((837-43)*MAX('Inputs'!$B$33,'Inputs'!$B$29+'Inputs'!$B$31+'Inputs'!$B$32,'Inputs'!$B$30+'Inputs'!$B$31+'Inputs'!$B$32)/1000+'Inputs'!$B$21+'Inputs'!$B$7+'Inputs'!$B$10)+'Inputs'!$B$9)^2+('Inputs'!$B$8/2)^2)-(((837-43)*MAX('Inputs'!$B$33,'Inputs'!$B$29+'Inputs'!$B$31+'Inputs'!$B$32,'Inputs'!$B$30+'Inputs'!$B$31+'Inputs'!$B$32)/1000+'Inputs'!$B$21+'Inputs'!$B$7+'Inputs'!$B$10))/SQRT((((837-43)*MAX('Inputs'!$B$33,'Inputs'!$B$29+'Inputs'!$B$31+'Inputs'!$B$32,'Inputs'!$B$30+'Inputs'!$B$31+'Inputs'!$B$32)/1000+'Inputs'!$B$21+'Inputs'!$B$7+'Inputs'!$B$10))^2+('Inputs'!$B$8/2)^2))))*'Results'!$B$8))),"")</x:f>
        <x:v>0.950164090753161</x:v>
      </x:c>
      <x:c r="M837" t="n">
        <x:f>IF(AND(ISNUMBER('Results'!C7),ISNUMBER('Results'!B7),ISNUMBER('Results'!$B$8),ISNUMBER('Inputs'!$B$6),ISNUMBER('Inputs'!$B$7),ISNUMBER('Inputs'!$B$8),ISNUMBER('Inputs'!$B$9),ISNUMBER('Inputs'!$B$10),ISNUMBER('Inputs'!$B$21),ISNUMBER('Inputs'!$B$24),ISNUMBER('Inputs'!$B$28)),(('Results'!C7*(0.5*((((837-43)*MAX('Inputs'!$B$33,'Inputs'!$B$29+'Inputs'!$B$31+'Inputs'!$B$32,'Inputs'!$B$30+'Inputs'!$B$31+'Inputs'!$B$32)/1000+'Inputs'!$B$21)+'Inputs'!$B$9)/SQRT((((837-43)*MAX('Inputs'!$B$33,'Inputs'!$B$29+'Inputs'!$B$31+'Inputs'!$B$32,'Inputs'!$B$30+'Inputs'!$B$31+'Inputs'!$B$32)/1000+'Inputs'!$B$21)+'Inputs'!$B$9)^2+('Inputs'!$B$8/2)^2)-(((837-43)*MAX('Inputs'!$B$33,'Inputs'!$B$29+'Inputs'!$B$31+'Inputs'!$B$32,'Inputs'!$B$30+'Inputs'!$B$31+'Inputs'!$B$32)/1000+'Inputs'!$B$21))/SQRT((((837-43)*MAX('Inputs'!$B$33,'Inputs'!$B$29+'Inputs'!$B$31+'Inputs'!$B$32,'Inputs'!$B$30+'Inputs'!$B$31+'Inputs'!$B$32)/1000+'Inputs'!$B$21))^2+('Inputs'!$B$8/2)^2)))-'Results'!B7*(0.5*((((837-43)*MAX('Inputs'!$B$33,'Inputs'!$B$29+'Inputs'!$B$31+'Inputs'!$B$32,'Inputs'!$B$30+'Inputs'!$B$31+'Inputs'!$B$32)/1000+'Inputs'!$B$21+'Inputs'!$B$9+'Inputs'!$B$10)+'Inputs'!$B$7)/SQRT((((837-43)*MAX('Inputs'!$B$33,'Inputs'!$B$29+'Inputs'!$B$31+'Inputs'!$B$32,'Inputs'!$B$30+'Inputs'!$B$31+'Inputs'!$B$32)/1000+'Inputs'!$B$21+'Inputs'!$B$9+'Inputs'!$B$10)+'Inputs'!$B$7)^2+('Inputs'!$B$6/2)^2)-(((837-43)*MAX('Inputs'!$B$33,'Inputs'!$B$29+'Inputs'!$B$31+'Inputs'!$B$32,'Inputs'!$B$30+'Inputs'!$B$31+'Inputs'!$B$32)/1000+'Inputs'!$B$21+'Inputs'!$B$9+'Inputs'!$B$10))/SQRT((((837-43)*MAX('Inputs'!$B$33,'Inputs'!$B$29+'Inputs'!$B$31+'Inputs'!$B$32,'Inputs'!$B$30+'Inputs'!$B$31+'Inputs'!$B$32)/1000+'Inputs'!$B$21+'Inputs'!$B$9+'Inputs'!$B$10))^2+('Inputs'!$B$6/2)^2))))*'Results'!$B$8),"")</x:f>
        <x:v>0.7422827884264045</x:v>
      </x:c>
      <x:c r="N837" t="n">
        <x:f>IF(AND(ISNUMBER('Results'!C7),ISNUMBER('Results'!B7),ISNUMBER('Results'!$B$8),ISNUMBER('Inputs'!$B$6),ISNUMBER('Inputs'!$B$7),ISNUMBER('Inputs'!$B$8),ISNUMBER('Inputs'!$B$9),ISNUMBER('Inputs'!$B$10),ISNUMBER('Inputs'!$B$21),ISNUMBER('Inputs'!$B$24),ISNUMBER('Inputs'!$B$28)),((('Results'!C7*(1-'Inputs'!$B$24)*(0.5*((((837-43)*MAX('Inputs'!$B$33,'Inputs'!$B$29+'Inputs'!$B$31+'Inputs'!$B$32,'Inputs'!$B$30+'Inputs'!$B$31+'Inputs'!$B$32)/1000+'Inputs'!$B$21)+'Inputs'!$B$9)/SQRT((((837-43)*MAX('Inputs'!$B$33,'Inputs'!$B$29+'Inputs'!$B$31+'Inputs'!$B$32,'Inputs'!$B$30+'Inputs'!$B$31+'Inputs'!$B$32)/1000+'Inputs'!$B$21)+'Inputs'!$B$9)^2+('Inputs'!$B$8/2)^2)-(((837-43)*MAX('Inputs'!$B$33,'Inputs'!$B$29+'Inputs'!$B$31+'Inputs'!$B$32,'Inputs'!$B$30+'Inputs'!$B$31+'Inputs'!$B$32)/1000+'Inputs'!$B$21))/SQRT((((837-43)*MAX('Inputs'!$B$33,'Inputs'!$B$29+'Inputs'!$B$31+'Inputs'!$B$32,'Inputs'!$B$30+'Inputs'!$B$31+'Inputs'!$B$32)/1000+'Inputs'!$B$21))^2+('Inputs'!$B$8/2)^2)))-'Results'!B7*(1+'Inputs'!$B$24)*(0.5*((((837-43)*MAX('Inputs'!$B$33,'Inputs'!$B$29+'Inputs'!$B$31+'Inputs'!$B$32,'Inputs'!$B$30+'Inputs'!$B$31+'Inputs'!$B$32)/1000+'Inputs'!$B$21+'Inputs'!$B$9+'Inputs'!$B$10)+'Inputs'!$B$7)/SQRT((((837-43)*MAX('Inputs'!$B$33,'Inputs'!$B$29+'Inputs'!$B$31+'Inputs'!$B$32,'Inputs'!$B$30+'Inputs'!$B$31+'Inputs'!$B$32)/1000+'Inputs'!$B$21+'Inputs'!$B$9+'Inputs'!$B$10)+'Inputs'!$B$7)^2+('Inputs'!$B$6/2)^2)-(((837-43)*MAX('Inputs'!$B$33,'Inputs'!$B$29+'Inputs'!$B$31+'Inputs'!$B$32,'Inputs'!$B$30+'Inputs'!$B$31+'Inputs'!$B$32)/1000+'Inputs'!$B$21+'Inputs'!$B$9+'Inputs'!$B$10))/SQRT((((837-43)*MAX('Inputs'!$B$33,'Inputs'!$B$29+'Inputs'!$B$31+'Inputs'!$B$32,'Inputs'!$B$30+'Inputs'!$B$31+'Inputs'!$B$32)/1000+'Inputs'!$B$21+'Inputs'!$B$9+'Inputs'!$B$10))^2+('Inputs'!$B$6/2)^2))))*'Results'!$B$8)-'Inputs'!$B$28*ABS((('Results'!C7*(1-'Inputs'!$B$24)*(0.5*((((837-43)*MAX('Inputs'!$B$33,'Inputs'!$B$29+'Inputs'!$B$31+'Inputs'!$B$32,'Inputs'!$B$30+'Inputs'!$B$31+'Inputs'!$B$32)/1000+'Inputs'!$B$21)+'Inputs'!$B$9)/SQRT((((837-43)*MAX('Inputs'!$B$33,'Inputs'!$B$29+'Inputs'!$B$31+'Inputs'!$B$32,'Inputs'!$B$30+'Inputs'!$B$31+'Inputs'!$B$32)/1000+'Inputs'!$B$21)+'Inputs'!$B$9)^2+('Inputs'!$B$8/2)^2)-(((837-43)*MAX('Inputs'!$B$33,'Inputs'!$B$29+'Inputs'!$B$31+'Inputs'!$B$32,'Inputs'!$B$30+'Inputs'!$B$31+'Inputs'!$B$32)/1000+'Inputs'!$B$21))/SQRT((((837-43)*MAX('Inputs'!$B$33,'Inputs'!$B$29+'Inputs'!$B$31+'Inputs'!$B$32,'Inputs'!$B$30+'Inputs'!$B$31+'Inputs'!$B$32)/1000+'Inputs'!$B$21))^2+('Inputs'!$B$8/2)^2)))-'Results'!B7*(1+'Inputs'!$B$24)*(0.5*((((837-43)*MAX('Inputs'!$B$33,'Inputs'!$B$29+'Inputs'!$B$31+'Inputs'!$B$32,'Inputs'!$B$30+'Inputs'!$B$31+'Inputs'!$B$32)/1000+'Inputs'!$B$21+'Inputs'!$B$9+'Inputs'!$B$10)+'Inputs'!$B$7)/SQRT((((837-43)*MAX('Inputs'!$B$33,'Inputs'!$B$29+'Inputs'!$B$31+'Inputs'!$B$32,'Inputs'!$B$30+'Inputs'!$B$31+'Inputs'!$B$32)/1000+'Inputs'!$B$21+'Inputs'!$B$9+'Inputs'!$B$10)+'Inputs'!$B$7)^2+('Inputs'!$B$6/2)^2)-(((837-43)*MAX('Inputs'!$B$33,'Inputs'!$B$29+'Inputs'!$B$31+'Inputs'!$B$32,'Inputs'!$B$30+'Inputs'!$B$31+'Inputs'!$B$32)/1000+'Inputs'!$B$21+'Inputs'!$B$9+'Inputs'!$B$10))/SQRT((((837-43)*MAX('Inputs'!$B$33,'Inputs'!$B$29+'Inputs'!$B$31+'Inputs'!$B$32,'Inputs'!$B$30+'Inputs'!$B$31+'Inputs'!$B$32)/1000+'Inputs'!$B$21+'Inputs'!$B$9+'Inputs'!$B$10))^2+('Inputs'!$B$6/2)^2))))*'Results'!$B$8))),"")</x:f>
        <x:v>0.6285300993173975</x:v>
      </x:c>
      <x:c r="O837" t="n">
        <x:f>IF(AND(ISNUMBER('Results'!C7),ISNUMBER('Results'!B7),ISNUMBER('Results'!$B$8),ISNUMBER('Inputs'!$B$6),ISNUMBER('Inputs'!$B$7),ISNUMBER('Inputs'!$B$8),ISNUMBER('Inputs'!$B$9),ISNUMBER('Inputs'!$B$10),ISNUMBER('Inputs'!$B$21),ISNUMBER('Inputs'!$B$24),ISNUMBER('Inputs'!$B$28)),((('Results'!C7*(1+'Inputs'!$B$24)*(0.5*((((837-43)*MAX('Inputs'!$B$33,'Inputs'!$B$29+'Inputs'!$B$31+'Inputs'!$B$32,'Inputs'!$B$30+'Inputs'!$B$31+'Inputs'!$B$32)/1000+'Inputs'!$B$21)+'Inputs'!$B$9)/SQRT((((837-43)*MAX('Inputs'!$B$33,'Inputs'!$B$29+'Inputs'!$B$31+'Inputs'!$B$32,'Inputs'!$B$30+'Inputs'!$B$31+'Inputs'!$B$32)/1000+'Inputs'!$B$21)+'Inputs'!$B$9)^2+('Inputs'!$B$8/2)^2)-(((837-43)*MAX('Inputs'!$B$33,'Inputs'!$B$29+'Inputs'!$B$31+'Inputs'!$B$32,'Inputs'!$B$30+'Inputs'!$B$31+'Inputs'!$B$32)/1000+'Inputs'!$B$21))/SQRT((((837-43)*MAX('Inputs'!$B$33,'Inputs'!$B$29+'Inputs'!$B$31+'Inputs'!$B$32,'Inputs'!$B$30+'Inputs'!$B$31+'Inputs'!$B$32)/1000+'Inputs'!$B$21))^2+('Inputs'!$B$8/2)^2)))-'Results'!B7*(1-'Inputs'!$B$24)*(0.5*((((837-43)*MAX('Inputs'!$B$33,'Inputs'!$B$29+'Inputs'!$B$31+'Inputs'!$B$32,'Inputs'!$B$30+'Inputs'!$B$31+'Inputs'!$B$32)/1000+'Inputs'!$B$21+'Inputs'!$B$9+'Inputs'!$B$10)+'Inputs'!$B$7)/SQRT((((837-43)*MAX('Inputs'!$B$33,'Inputs'!$B$29+'Inputs'!$B$31+'Inputs'!$B$32,'Inputs'!$B$30+'Inputs'!$B$31+'Inputs'!$B$32)/1000+'Inputs'!$B$21+'Inputs'!$B$9+'Inputs'!$B$10)+'Inputs'!$B$7)^2+('Inputs'!$B$6/2)^2)-(((837-43)*MAX('Inputs'!$B$33,'Inputs'!$B$29+'Inputs'!$B$31+'Inputs'!$B$32,'Inputs'!$B$30+'Inputs'!$B$31+'Inputs'!$B$32)/1000+'Inputs'!$B$21+'Inputs'!$B$9+'Inputs'!$B$10))/SQRT((((837-43)*MAX('Inputs'!$B$33,'Inputs'!$B$29+'Inputs'!$B$31+'Inputs'!$B$32,'Inputs'!$B$30+'Inputs'!$B$31+'Inputs'!$B$32)/1000+'Inputs'!$B$21+'Inputs'!$B$9+'Inputs'!$B$10))^2+('Inputs'!$B$6/2)^2))))*'Results'!$B$8)+'Inputs'!$B$28*ABS((('Results'!C7*(1+'Inputs'!$B$24)*(0.5*((((837-43)*MAX('Inputs'!$B$33,'Inputs'!$B$29+'Inputs'!$B$31+'Inputs'!$B$32,'Inputs'!$B$30+'Inputs'!$B$31+'Inputs'!$B$32)/1000+'Inputs'!$B$21)+'Inputs'!$B$9)/SQRT((((837-43)*MAX('Inputs'!$B$33,'Inputs'!$B$29+'Inputs'!$B$31+'Inputs'!$B$32,'Inputs'!$B$30+'Inputs'!$B$31+'Inputs'!$B$32)/1000+'Inputs'!$B$21)+'Inputs'!$B$9)^2+('Inputs'!$B$8/2)^2)-(((837-43)*MAX('Inputs'!$B$33,'Inputs'!$B$29+'Inputs'!$B$31+'Inputs'!$B$32,'Inputs'!$B$30+'Inputs'!$B$31+'Inputs'!$B$32)/1000+'Inputs'!$B$21))/SQRT((((837-43)*MAX('Inputs'!$B$33,'Inputs'!$B$29+'Inputs'!$B$31+'Inputs'!$B$32,'Inputs'!$B$30+'Inputs'!$B$31+'Inputs'!$B$32)/1000+'Inputs'!$B$21))^2+('Inputs'!$B$8/2)^2)))-'Results'!B7*(1-'Inputs'!$B$24)*(0.5*((((837-43)*MAX('Inputs'!$B$33,'Inputs'!$B$29+'Inputs'!$B$31+'Inputs'!$B$32,'Inputs'!$B$30+'Inputs'!$B$31+'Inputs'!$B$32)/1000+'Inputs'!$B$21+'Inputs'!$B$9+'Inputs'!$B$10)+'Inputs'!$B$7)/SQRT((((837-43)*MAX('Inputs'!$B$33,'Inputs'!$B$29+'Inputs'!$B$31+'Inputs'!$B$32,'Inputs'!$B$30+'Inputs'!$B$31+'Inputs'!$B$32)/1000+'Inputs'!$B$21+'Inputs'!$B$9+'Inputs'!$B$10)+'Inputs'!$B$7)^2+('Inputs'!$B$6/2)^2)-(((837-43)*MAX('Inputs'!$B$33,'Inputs'!$B$29+'Inputs'!$B$31+'Inputs'!$B$32,'Inputs'!$B$30+'Inputs'!$B$31+'Inputs'!$B$32)/1000+'Inputs'!$B$21+'Inputs'!$B$9+'Inputs'!$B$10))/SQRT((((837-43)*MAX('Inputs'!$B$33,'Inputs'!$B$29+'Inputs'!$B$31+'Inputs'!$B$32,'Inputs'!$B$30+'Inputs'!$B$31+'Inputs'!$B$32)/1000+'Inputs'!$B$21+'Inputs'!$B$9+'Inputs'!$B$10))^2+('Inputs'!$B$6/2)^2))))*'Results'!$B$8))),"")</x:f>
        <x:v>0.86410269329201</x:v>
      </x:c>
      <x:c r="P837" t="n">
        <x:f>IF(AND(MAX(J837,J836)&gt;0,J837&gt;J836+0.00000001),1,0)</x:f>
        <x:v>0</x:v>
      </x:c>
      <x:c r="Q837" t="n">
        <x:f>IF(AND(MAX(K837,K836)&gt;0,K837&gt;K836+0.00000001),1,0)</x:f>
        <x:v>0</x:v>
      </x:c>
      <x:c r="R837" t="n">
        <x:f>IF(AND(MAX(L837,L836)&gt;0,L837&gt;L836+0.00000001),1,0)</x:f>
        <x:v>0</x:v>
      </x:c>
      <x:c r="S837" t="n">
        <x:f>IF(AND(MAX(M837,M836)&gt;0,M837&gt;M836+0.00000001),1,0)</x:f>
        <x:v>0</x:v>
      </x:c>
      <x:c r="T837" t="n">
        <x:f>IF(AND(MAX(N837,N836)&gt;0,N837&gt;N836+0.00000001),1,0)</x:f>
        <x:v>0</x:v>
      </x:c>
      <x:c r="U837" t="n">
        <x:f>IF(AND(MAX(O837,O836)&gt;0,O837&gt;O836+0.00000001),1,0)</x:f>
        <x:v>0</x:v>
      </x:c>
    </x:row>
    <x:row r="838">
      <x:c r="J838" t="n">
        <x:f>IF(AND(ISNUMBER('Results'!B7),ISNUMBER('Results'!C7),ISNUMBER('Results'!$B$8),ISNUMBER('Inputs'!$B$6),ISNUMBER('Inputs'!$B$7),ISNUMBER('Inputs'!$B$8),ISNUMBER('Inputs'!$B$9),ISNUMBER('Inputs'!$B$10),ISNUMBER('Inputs'!$B$21),ISNUMBER('Inputs'!$B$24),ISNUMBER('Inputs'!$B$28)),(('Results'!B7*(0.5*((((838-43)*MAX('Inputs'!$B$33,'Inputs'!$B$29+'Inputs'!$B$31+'Inputs'!$B$32,'Inputs'!$B$30+'Inputs'!$B$31+'Inputs'!$B$32)/1000+'Inputs'!$B$21)+'Inputs'!$B$7)/SQRT((((838-43)*MAX('Inputs'!$B$33,'Inputs'!$B$29+'Inputs'!$B$31+'Inputs'!$B$32,'Inputs'!$B$30+'Inputs'!$B$31+'Inputs'!$B$32)/1000+'Inputs'!$B$21)+'Inputs'!$B$7)^2+('Inputs'!$B$6/2)^2)-(((838-43)*MAX('Inputs'!$B$33,'Inputs'!$B$29+'Inputs'!$B$31+'Inputs'!$B$32,'Inputs'!$B$30+'Inputs'!$B$31+'Inputs'!$B$32)/1000+'Inputs'!$B$21))/SQRT((((838-43)*MAX('Inputs'!$B$33,'Inputs'!$B$29+'Inputs'!$B$31+'Inputs'!$B$32,'Inputs'!$B$30+'Inputs'!$B$31+'Inputs'!$B$32)/1000+'Inputs'!$B$21))^2+('Inputs'!$B$6/2)^2)))-'Results'!C7*(0.5*((((838-43)*MAX('Inputs'!$B$33,'Inputs'!$B$29+'Inputs'!$B$31+'Inputs'!$B$32,'Inputs'!$B$30+'Inputs'!$B$31+'Inputs'!$B$32)/1000+'Inputs'!$B$21+'Inputs'!$B$7+'Inputs'!$B$10)+'Inputs'!$B$9)/SQRT((((838-43)*MAX('Inputs'!$B$33,'Inputs'!$B$29+'Inputs'!$B$31+'Inputs'!$B$32,'Inputs'!$B$30+'Inputs'!$B$31+'Inputs'!$B$32)/1000+'Inputs'!$B$21+'Inputs'!$B$7+'Inputs'!$B$10)+'Inputs'!$B$9)^2+('Inputs'!$B$8/2)^2)-(((838-43)*MAX('Inputs'!$B$33,'Inputs'!$B$29+'Inputs'!$B$31+'Inputs'!$B$32,'Inputs'!$B$30+'Inputs'!$B$31+'Inputs'!$B$32)/1000+'Inputs'!$B$21+'Inputs'!$B$7+'Inputs'!$B$10))/SQRT((((838-43)*MAX('Inputs'!$B$33,'Inputs'!$B$29+'Inputs'!$B$31+'Inputs'!$B$32,'Inputs'!$B$30+'Inputs'!$B$31+'Inputs'!$B$32)/1000+'Inputs'!$B$21+'Inputs'!$B$7+'Inputs'!$B$10))^2+('Inputs'!$B$8/2)^2))))*'Results'!$B$8),"")</x:f>
        <x:v>0.8202117963138243</x:v>
      </x:c>
      <x:c r="K838" t="n">
        <x:f>IF(AND(ISNUMBER('Results'!B7),ISNUMBER('Results'!C7),ISNUMBER('Results'!$B$8),ISNUMBER('Inputs'!$B$6),ISNUMBER('Inputs'!$B$7),ISNUMBER('Inputs'!$B$8),ISNUMBER('Inputs'!$B$9),ISNUMBER('Inputs'!$B$10),ISNUMBER('Inputs'!$B$21),ISNUMBER('Inputs'!$B$24),ISNUMBER('Inputs'!$B$28)),((('Results'!B7*(1-'Inputs'!$B$24)*(0.5*((((838-43)*MAX('Inputs'!$B$33,'Inputs'!$B$29+'Inputs'!$B$31+'Inputs'!$B$32,'Inputs'!$B$30+'Inputs'!$B$31+'Inputs'!$B$32)/1000+'Inputs'!$B$21)+'Inputs'!$B$7)/SQRT((((838-43)*MAX('Inputs'!$B$33,'Inputs'!$B$29+'Inputs'!$B$31+'Inputs'!$B$32,'Inputs'!$B$30+'Inputs'!$B$31+'Inputs'!$B$32)/1000+'Inputs'!$B$21)+'Inputs'!$B$7)^2+('Inputs'!$B$6/2)^2)-(((838-43)*MAX('Inputs'!$B$33,'Inputs'!$B$29+'Inputs'!$B$31+'Inputs'!$B$32,'Inputs'!$B$30+'Inputs'!$B$31+'Inputs'!$B$32)/1000+'Inputs'!$B$21))/SQRT((((838-43)*MAX('Inputs'!$B$33,'Inputs'!$B$29+'Inputs'!$B$31+'Inputs'!$B$32,'Inputs'!$B$30+'Inputs'!$B$31+'Inputs'!$B$32)/1000+'Inputs'!$B$21))^2+('Inputs'!$B$6/2)^2)))-'Results'!C7*(1+'Inputs'!$B$24)*(0.5*((((838-43)*MAX('Inputs'!$B$33,'Inputs'!$B$29+'Inputs'!$B$31+'Inputs'!$B$32,'Inputs'!$B$30+'Inputs'!$B$31+'Inputs'!$B$32)/1000+'Inputs'!$B$21+'Inputs'!$B$7+'Inputs'!$B$10)+'Inputs'!$B$9)/SQRT((((838-43)*MAX('Inputs'!$B$33,'Inputs'!$B$29+'Inputs'!$B$31+'Inputs'!$B$32,'Inputs'!$B$30+'Inputs'!$B$31+'Inputs'!$B$32)/1000+'Inputs'!$B$21+'Inputs'!$B$7+'Inputs'!$B$10)+'Inputs'!$B$9)^2+('Inputs'!$B$8/2)^2)-(((838-43)*MAX('Inputs'!$B$33,'Inputs'!$B$29+'Inputs'!$B$31+'Inputs'!$B$32,'Inputs'!$B$30+'Inputs'!$B$31+'Inputs'!$B$32)/1000+'Inputs'!$B$21+'Inputs'!$B$7+'Inputs'!$B$10))/SQRT((((838-43)*MAX('Inputs'!$B$33,'Inputs'!$B$29+'Inputs'!$B$31+'Inputs'!$B$32,'Inputs'!$B$30+'Inputs'!$B$31+'Inputs'!$B$32)/1000+'Inputs'!$B$21+'Inputs'!$B$7+'Inputs'!$B$10))^2+('Inputs'!$B$8/2)^2))))*'Results'!$B$8)-'Inputs'!$B$28*ABS((('Results'!B7*(1-'Inputs'!$B$24)*(0.5*((((838-43)*MAX('Inputs'!$B$33,'Inputs'!$B$29+'Inputs'!$B$31+'Inputs'!$B$32,'Inputs'!$B$30+'Inputs'!$B$31+'Inputs'!$B$32)/1000+'Inputs'!$B$21)+'Inputs'!$B$7)/SQRT((((838-43)*MAX('Inputs'!$B$33,'Inputs'!$B$29+'Inputs'!$B$31+'Inputs'!$B$32,'Inputs'!$B$30+'Inputs'!$B$31+'Inputs'!$B$32)/1000+'Inputs'!$B$21)+'Inputs'!$B$7)^2+('Inputs'!$B$6/2)^2)-(((838-43)*MAX('Inputs'!$B$33,'Inputs'!$B$29+'Inputs'!$B$31+'Inputs'!$B$32,'Inputs'!$B$30+'Inputs'!$B$31+'Inputs'!$B$32)/1000+'Inputs'!$B$21))/SQRT((((838-43)*MAX('Inputs'!$B$33,'Inputs'!$B$29+'Inputs'!$B$31+'Inputs'!$B$32,'Inputs'!$B$30+'Inputs'!$B$31+'Inputs'!$B$32)/1000+'Inputs'!$B$21))^2+('Inputs'!$B$6/2)^2)))-'Results'!C7*(1+'Inputs'!$B$24)*(0.5*((((838-43)*MAX('Inputs'!$B$33,'Inputs'!$B$29+'Inputs'!$B$31+'Inputs'!$B$32,'Inputs'!$B$30+'Inputs'!$B$31+'Inputs'!$B$32)/1000+'Inputs'!$B$21+'Inputs'!$B$7+'Inputs'!$B$10)+'Inputs'!$B$9)/SQRT((((838-43)*MAX('Inputs'!$B$33,'Inputs'!$B$29+'Inputs'!$B$31+'Inputs'!$B$32,'Inputs'!$B$30+'Inputs'!$B$31+'Inputs'!$B$32)/1000+'Inputs'!$B$21+'Inputs'!$B$7+'Inputs'!$B$10)+'Inputs'!$B$9)^2+('Inputs'!$B$8/2)^2)-(((838-43)*MAX('Inputs'!$B$33,'Inputs'!$B$29+'Inputs'!$B$31+'Inputs'!$B$32,'Inputs'!$B$30+'Inputs'!$B$31+'Inputs'!$B$32)/1000+'Inputs'!$B$21+'Inputs'!$B$7+'Inputs'!$B$10))/SQRT((((838-43)*MAX('Inputs'!$B$33,'Inputs'!$B$29+'Inputs'!$B$31+'Inputs'!$B$32,'Inputs'!$B$30+'Inputs'!$B$31+'Inputs'!$B$32)/1000+'Inputs'!$B$21+'Inputs'!$B$7+'Inputs'!$B$10))^2+('Inputs'!$B$8/2)^2))))*'Results'!$B$8))),"")</x:f>
        <x:v>0.7025289746728318</x:v>
      </x:c>
      <x:c r="L838" t="n">
        <x:f>IF(AND(ISNUMBER('Results'!B7),ISNUMBER('Results'!C7),ISNUMBER('Results'!$B$8),ISNUMBER('Inputs'!$B$6),ISNUMBER('Inputs'!$B$7),ISNUMBER('Inputs'!$B$8),ISNUMBER('Inputs'!$B$9),ISNUMBER('Inputs'!$B$10),ISNUMBER('Inputs'!$B$21),ISNUMBER('Inputs'!$B$24),ISNUMBER('Inputs'!$B$28)),((('Results'!B7*(1+'Inputs'!$B$24)*(0.5*((((838-43)*MAX('Inputs'!$B$33,'Inputs'!$B$29+'Inputs'!$B$31+'Inputs'!$B$32,'Inputs'!$B$30+'Inputs'!$B$31+'Inputs'!$B$32)/1000+'Inputs'!$B$21)+'Inputs'!$B$7)/SQRT((((838-43)*MAX('Inputs'!$B$33,'Inputs'!$B$29+'Inputs'!$B$31+'Inputs'!$B$32,'Inputs'!$B$30+'Inputs'!$B$31+'Inputs'!$B$32)/1000+'Inputs'!$B$21)+'Inputs'!$B$7)^2+('Inputs'!$B$6/2)^2)-(((838-43)*MAX('Inputs'!$B$33,'Inputs'!$B$29+'Inputs'!$B$31+'Inputs'!$B$32,'Inputs'!$B$30+'Inputs'!$B$31+'Inputs'!$B$32)/1000+'Inputs'!$B$21))/SQRT((((838-43)*MAX('Inputs'!$B$33,'Inputs'!$B$29+'Inputs'!$B$31+'Inputs'!$B$32,'Inputs'!$B$30+'Inputs'!$B$31+'Inputs'!$B$32)/1000+'Inputs'!$B$21))^2+('Inputs'!$B$6/2)^2)))-'Results'!C7*(1-'Inputs'!$B$24)*(0.5*((((838-43)*MAX('Inputs'!$B$33,'Inputs'!$B$29+'Inputs'!$B$31+'Inputs'!$B$32,'Inputs'!$B$30+'Inputs'!$B$31+'Inputs'!$B$32)/1000+'Inputs'!$B$21+'Inputs'!$B$7+'Inputs'!$B$10)+'Inputs'!$B$9)/SQRT((((838-43)*MAX('Inputs'!$B$33,'Inputs'!$B$29+'Inputs'!$B$31+'Inputs'!$B$32,'Inputs'!$B$30+'Inputs'!$B$31+'Inputs'!$B$32)/1000+'Inputs'!$B$21+'Inputs'!$B$7+'Inputs'!$B$10)+'Inputs'!$B$9)^2+('Inputs'!$B$8/2)^2)-(((838-43)*MAX('Inputs'!$B$33,'Inputs'!$B$29+'Inputs'!$B$31+'Inputs'!$B$32,'Inputs'!$B$30+'Inputs'!$B$31+'Inputs'!$B$32)/1000+'Inputs'!$B$21+'Inputs'!$B$7+'Inputs'!$B$10))/SQRT((((838-43)*MAX('Inputs'!$B$33,'Inputs'!$B$29+'Inputs'!$B$31+'Inputs'!$B$32,'Inputs'!$B$30+'Inputs'!$B$31+'Inputs'!$B$32)/1000+'Inputs'!$B$21+'Inputs'!$B$7+'Inputs'!$B$10))^2+('Inputs'!$B$8/2)^2))))*'Results'!$B$8)+'Inputs'!$B$28*ABS((('Results'!B7*(1+'Inputs'!$B$24)*(0.5*((((838-43)*MAX('Inputs'!$B$33,'Inputs'!$B$29+'Inputs'!$B$31+'Inputs'!$B$32,'Inputs'!$B$30+'Inputs'!$B$31+'Inputs'!$B$32)/1000+'Inputs'!$B$21)+'Inputs'!$B$7)/SQRT((((838-43)*MAX('Inputs'!$B$33,'Inputs'!$B$29+'Inputs'!$B$31+'Inputs'!$B$32,'Inputs'!$B$30+'Inputs'!$B$31+'Inputs'!$B$32)/1000+'Inputs'!$B$21)+'Inputs'!$B$7)^2+('Inputs'!$B$6/2)^2)-(((838-43)*MAX('Inputs'!$B$33,'Inputs'!$B$29+'Inputs'!$B$31+'Inputs'!$B$32,'Inputs'!$B$30+'Inputs'!$B$31+'Inputs'!$B$32)/1000+'Inputs'!$B$21))/SQRT((((838-43)*MAX('Inputs'!$B$33,'Inputs'!$B$29+'Inputs'!$B$31+'Inputs'!$B$32,'Inputs'!$B$30+'Inputs'!$B$31+'Inputs'!$B$32)/1000+'Inputs'!$B$21))^2+('Inputs'!$B$6/2)^2)))-'Results'!C7*(1-'Inputs'!$B$24)*(0.5*((((838-43)*MAX('Inputs'!$B$33,'Inputs'!$B$29+'Inputs'!$B$31+'Inputs'!$B$32,'Inputs'!$B$30+'Inputs'!$B$31+'Inputs'!$B$32)/1000+'Inputs'!$B$21+'Inputs'!$B$7+'Inputs'!$B$10)+'Inputs'!$B$9)/SQRT((((838-43)*MAX('Inputs'!$B$33,'Inputs'!$B$29+'Inputs'!$B$31+'Inputs'!$B$32,'Inputs'!$B$30+'Inputs'!$B$31+'Inputs'!$B$32)/1000+'Inputs'!$B$21+'Inputs'!$B$7+'Inputs'!$B$10)+'Inputs'!$B$9)^2+('Inputs'!$B$8/2)^2)-(((838-43)*MAX('Inputs'!$B$33,'Inputs'!$B$29+'Inputs'!$B$31+'Inputs'!$B$32,'Inputs'!$B$30+'Inputs'!$B$31+'Inputs'!$B$32)/1000+'Inputs'!$B$21+'Inputs'!$B$7+'Inputs'!$B$10))/SQRT((((838-43)*MAX('Inputs'!$B$33,'Inputs'!$B$29+'Inputs'!$B$31+'Inputs'!$B$32,'Inputs'!$B$30+'Inputs'!$B$31+'Inputs'!$B$32)/1000+'Inputs'!$B$21+'Inputs'!$B$7+'Inputs'!$B$10))^2+('Inputs'!$B$8/2)^2))))*'Results'!$B$8))),"")</x:f>
        <x:v>0.9459653791995861</x:v>
      </x:c>
      <x:c r="M838" t="n">
        <x:f>IF(AND(ISNUMBER('Results'!C7),ISNUMBER('Results'!B7),ISNUMBER('Results'!$B$8),ISNUMBER('Inputs'!$B$6),ISNUMBER('Inputs'!$B$7),ISNUMBER('Inputs'!$B$8),ISNUMBER('Inputs'!$B$9),ISNUMBER('Inputs'!$B$10),ISNUMBER('Inputs'!$B$21),ISNUMBER('Inputs'!$B$24),ISNUMBER('Inputs'!$B$28)),(('Results'!C7*(0.5*((((838-43)*MAX('Inputs'!$B$33,'Inputs'!$B$29+'Inputs'!$B$31+'Inputs'!$B$32,'Inputs'!$B$30+'Inputs'!$B$31+'Inputs'!$B$32)/1000+'Inputs'!$B$21)+'Inputs'!$B$9)/SQRT((((838-43)*MAX('Inputs'!$B$33,'Inputs'!$B$29+'Inputs'!$B$31+'Inputs'!$B$32,'Inputs'!$B$30+'Inputs'!$B$31+'Inputs'!$B$32)/1000+'Inputs'!$B$21)+'Inputs'!$B$9)^2+('Inputs'!$B$8/2)^2)-(((838-43)*MAX('Inputs'!$B$33,'Inputs'!$B$29+'Inputs'!$B$31+'Inputs'!$B$32,'Inputs'!$B$30+'Inputs'!$B$31+'Inputs'!$B$32)/1000+'Inputs'!$B$21))/SQRT((((838-43)*MAX('Inputs'!$B$33,'Inputs'!$B$29+'Inputs'!$B$31+'Inputs'!$B$32,'Inputs'!$B$30+'Inputs'!$B$31+'Inputs'!$B$32)/1000+'Inputs'!$B$21))^2+('Inputs'!$B$8/2)^2)))-'Results'!B7*(0.5*((((838-43)*MAX('Inputs'!$B$33,'Inputs'!$B$29+'Inputs'!$B$31+'Inputs'!$B$32,'Inputs'!$B$30+'Inputs'!$B$31+'Inputs'!$B$32)/1000+'Inputs'!$B$21+'Inputs'!$B$9+'Inputs'!$B$10)+'Inputs'!$B$7)/SQRT((((838-43)*MAX('Inputs'!$B$33,'Inputs'!$B$29+'Inputs'!$B$31+'Inputs'!$B$32,'Inputs'!$B$30+'Inputs'!$B$31+'Inputs'!$B$32)/1000+'Inputs'!$B$21+'Inputs'!$B$9+'Inputs'!$B$10)+'Inputs'!$B$7)^2+('Inputs'!$B$6/2)^2)-(((838-43)*MAX('Inputs'!$B$33,'Inputs'!$B$29+'Inputs'!$B$31+'Inputs'!$B$32,'Inputs'!$B$30+'Inputs'!$B$31+'Inputs'!$B$32)/1000+'Inputs'!$B$21+'Inputs'!$B$9+'Inputs'!$B$10))/SQRT((((838-43)*MAX('Inputs'!$B$33,'Inputs'!$B$29+'Inputs'!$B$31+'Inputs'!$B$32,'Inputs'!$B$30+'Inputs'!$B$31+'Inputs'!$B$32)/1000+'Inputs'!$B$21+'Inputs'!$B$9+'Inputs'!$B$10))^2+('Inputs'!$B$6/2)^2))))*'Results'!$B$8),"")</x:f>
        <x:v>0.738848026962859</x:v>
      </x:c>
      <x:c r="N838" t="n">
        <x:f>IF(AND(ISNUMBER('Results'!C7),ISNUMBER('Results'!B7),ISNUMBER('Results'!$B$8),ISNUMBER('Inputs'!$B$6),ISNUMBER('Inputs'!$B$7),ISNUMBER('Inputs'!$B$8),ISNUMBER('Inputs'!$B$9),ISNUMBER('Inputs'!$B$10),ISNUMBER('Inputs'!$B$21),ISNUMBER('Inputs'!$B$24),ISNUMBER('Inputs'!$B$28)),((('Results'!C7*(1-'Inputs'!$B$24)*(0.5*((((838-43)*MAX('Inputs'!$B$33,'Inputs'!$B$29+'Inputs'!$B$31+'Inputs'!$B$32,'Inputs'!$B$30+'Inputs'!$B$31+'Inputs'!$B$32)/1000+'Inputs'!$B$21)+'Inputs'!$B$9)/SQRT((((838-43)*MAX('Inputs'!$B$33,'Inputs'!$B$29+'Inputs'!$B$31+'Inputs'!$B$32,'Inputs'!$B$30+'Inputs'!$B$31+'Inputs'!$B$32)/1000+'Inputs'!$B$21)+'Inputs'!$B$9)^2+('Inputs'!$B$8/2)^2)-(((838-43)*MAX('Inputs'!$B$33,'Inputs'!$B$29+'Inputs'!$B$31+'Inputs'!$B$32,'Inputs'!$B$30+'Inputs'!$B$31+'Inputs'!$B$32)/1000+'Inputs'!$B$21))/SQRT((((838-43)*MAX('Inputs'!$B$33,'Inputs'!$B$29+'Inputs'!$B$31+'Inputs'!$B$32,'Inputs'!$B$30+'Inputs'!$B$31+'Inputs'!$B$32)/1000+'Inputs'!$B$21))^2+('Inputs'!$B$8/2)^2)))-'Results'!B7*(1+'Inputs'!$B$24)*(0.5*((((838-43)*MAX('Inputs'!$B$33,'Inputs'!$B$29+'Inputs'!$B$31+'Inputs'!$B$32,'Inputs'!$B$30+'Inputs'!$B$31+'Inputs'!$B$32)/1000+'Inputs'!$B$21+'Inputs'!$B$9+'Inputs'!$B$10)+'Inputs'!$B$7)/SQRT((((838-43)*MAX('Inputs'!$B$33,'Inputs'!$B$29+'Inputs'!$B$31+'Inputs'!$B$32,'Inputs'!$B$30+'Inputs'!$B$31+'Inputs'!$B$32)/1000+'Inputs'!$B$21+'Inputs'!$B$9+'Inputs'!$B$10)+'Inputs'!$B$7)^2+('Inputs'!$B$6/2)^2)-(((838-43)*MAX('Inputs'!$B$33,'Inputs'!$B$29+'Inputs'!$B$31+'Inputs'!$B$32,'Inputs'!$B$30+'Inputs'!$B$31+'Inputs'!$B$32)/1000+'Inputs'!$B$21+'Inputs'!$B$9+'Inputs'!$B$10))/SQRT((((838-43)*MAX('Inputs'!$B$33,'Inputs'!$B$29+'Inputs'!$B$31+'Inputs'!$B$32,'Inputs'!$B$30+'Inputs'!$B$31+'Inputs'!$B$32)/1000+'Inputs'!$B$21+'Inputs'!$B$9+'Inputs'!$B$10))^2+('Inputs'!$B$6/2)^2))))*'Results'!$B$8)-'Inputs'!$B$28*ABS((('Results'!C7*(1-'Inputs'!$B$24)*(0.5*((((838-43)*MAX('Inputs'!$B$33,'Inputs'!$B$29+'Inputs'!$B$31+'Inputs'!$B$32,'Inputs'!$B$30+'Inputs'!$B$31+'Inputs'!$B$32)/1000+'Inputs'!$B$21)+'Inputs'!$B$9)/SQRT((((838-43)*MAX('Inputs'!$B$33,'Inputs'!$B$29+'Inputs'!$B$31+'Inputs'!$B$32,'Inputs'!$B$30+'Inputs'!$B$31+'Inputs'!$B$32)/1000+'Inputs'!$B$21)+'Inputs'!$B$9)^2+('Inputs'!$B$8/2)^2)-(((838-43)*MAX('Inputs'!$B$33,'Inputs'!$B$29+'Inputs'!$B$31+'Inputs'!$B$32,'Inputs'!$B$30+'Inputs'!$B$31+'Inputs'!$B$32)/1000+'Inputs'!$B$21))/SQRT((((838-43)*MAX('Inputs'!$B$33,'Inputs'!$B$29+'Inputs'!$B$31+'Inputs'!$B$32,'Inputs'!$B$30+'Inputs'!$B$31+'Inputs'!$B$32)/1000+'Inputs'!$B$21))^2+('Inputs'!$B$8/2)^2)))-'Results'!B7*(1+'Inputs'!$B$24)*(0.5*((((838-43)*MAX('Inputs'!$B$33,'Inputs'!$B$29+'Inputs'!$B$31+'Inputs'!$B$32,'Inputs'!$B$30+'Inputs'!$B$31+'Inputs'!$B$32)/1000+'Inputs'!$B$21+'Inputs'!$B$9+'Inputs'!$B$10)+'Inputs'!$B$7)/SQRT((((838-43)*MAX('Inputs'!$B$33,'Inputs'!$B$29+'Inputs'!$B$31+'Inputs'!$B$32,'Inputs'!$B$30+'Inputs'!$B$31+'Inputs'!$B$32)/1000+'Inputs'!$B$21+'Inputs'!$B$9+'Inputs'!$B$10)+'Inputs'!$B$7)^2+('Inputs'!$B$6/2)^2)-(((838-43)*MAX('Inputs'!$B$33,'Inputs'!$B$29+'Inputs'!$B$31+'Inputs'!$B$32,'Inputs'!$B$30+'Inputs'!$B$31+'Inputs'!$B$32)/1000+'Inputs'!$B$21+'Inputs'!$B$9+'Inputs'!$B$10))/SQRT((((838-43)*MAX('Inputs'!$B$33,'Inputs'!$B$29+'Inputs'!$B$31+'Inputs'!$B$32,'Inputs'!$B$30+'Inputs'!$B$31+'Inputs'!$B$32)/1000+'Inputs'!$B$21+'Inputs'!$B$9+'Inputs'!$B$10))^2+('Inputs'!$B$6/2)^2))))*'Results'!$B$8))),"")</x:f>
        <x:v>0.6255326072908515</x:v>
      </x:c>
      <x:c r="O838" t="n">
        <x:f>IF(AND(ISNUMBER('Results'!C7),ISNUMBER('Results'!B7),ISNUMBER('Results'!$B$8),ISNUMBER('Inputs'!$B$6),ISNUMBER('Inputs'!$B$7),ISNUMBER('Inputs'!$B$8),ISNUMBER('Inputs'!$B$9),ISNUMBER('Inputs'!$B$10),ISNUMBER('Inputs'!$B$21),ISNUMBER('Inputs'!$B$24),ISNUMBER('Inputs'!$B$28)),((('Results'!C7*(1+'Inputs'!$B$24)*(0.5*((((838-43)*MAX('Inputs'!$B$33,'Inputs'!$B$29+'Inputs'!$B$31+'Inputs'!$B$32,'Inputs'!$B$30+'Inputs'!$B$31+'Inputs'!$B$32)/1000+'Inputs'!$B$21)+'Inputs'!$B$9)/SQRT((((838-43)*MAX('Inputs'!$B$33,'Inputs'!$B$29+'Inputs'!$B$31+'Inputs'!$B$32,'Inputs'!$B$30+'Inputs'!$B$31+'Inputs'!$B$32)/1000+'Inputs'!$B$21)+'Inputs'!$B$9)^2+('Inputs'!$B$8/2)^2)-(((838-43)*MAX('Inputs'!$B$33,'Inputs'!$B$29+'Inputs'!$B$31+'Inputs'!$B$32,'Inputs'!$B$30+'Inputs'!$B$31+'Inputs'!$B$32)/1000+'Inputs'!$B$21))/SQRT((((838-43)*MAX('Inputs'!$B$33,'Inputs'!$B$29+'Inputs'!$B$31+'Inputs'!$B$32,'Inputs'!$B$30+'Inputs'!$B$31+'Inputs'!$B$32)/1000+'Inputs'!$B$21))^2+('Inputs'!$B$8/2)^2)))-'Results'!B7*(1-'Inputs'!$B$24)*(0.5*((((838-43)*MAX('Inputs'!$B$33,'Inputs'!$B$29+'Inputs'!$B$31+'Inputs'!$B$32,'Inputs'!$B$30+'Inputs'!$B$31+'Inputs'!$B$32)/1000+'Inputs'!$B$21+'Inputs'!$B$9+'Inputs'!$B$10)+'Inputs'!$B$7)/SQRT((((838-43)*MAX('Inputs'!$B$33,'Inputs'!$B$29+'Inputs'!$B$31+'Inputs'!$B$32,'Inputs'!$B$30+'Inputs'!$B$31+'Inputs'!$B$32)/1000+'Inputs'!$B$21+'Inputs'!$B$9+'Inputs'!$B$10)+'Inputs'!$B$7)^2+('Inputs'!$B$6/2)^2)-(((838-43)*MAX('Inputs'!$B$33,'Inputs'!$B$29+'Inputs'!$B$31+'Inputs'!$B$32,'Inputs'!$B$30+'Inputs'!$B$31+'Inputs'!$B$32)/1000+'Inputs'!$B$21+'Inputs'!$B$9+'Inputs'!$B$10))/SQRT((((838-43)*MAX('Inputs'!$B$33,'Inputs'!$B$29+'Inputs'!$B$31+'Inputs'!$B$32,'Inputs'!$B$30+'Inputs'!$B$31+'Inputs'!$B$32)/1000+'Inputs'!$B$21+'Inputs'!$B$9+'Inputs'!$B$10))^2+('Inputs'!$B$6/2)^2))))*'Results'!$B$8)+'Inputs'!$B$28*ABS((('Results'!C7*(1+'Inputs'!$B$24)*(0.5*((((838-43)*MAX('Inputs'!$B$33,'Inputs'!$B$29+'Inputs'!$B$31+'Inputs'!$B$32,'Inputs'!$B$30+'Inputs'!$B$31+'Inputs'!$B$32)/1000+'Inputs'!$B$21)+'Inputs'!$B$9)/SQRT((((838-43)*MAX('Inputs'!$B$33,'Inputs'!$B$29+'Inputs'!$B$31+'Inputs'!$B$32,'Inputs'!$B$30+'Inputs'!$B$31+'Inputs'!$B$32)/1000+'Inputs'!$B$21)+'Inputs'!$B$9)^2+('Inputs'!$B$8/2)^2)-(((838-43)*MAX('Inputs'!$B$33,'Inputs'!$B$29+'Inputs'!$B$31+'Inputs'!$B$32,'Inputs'!$B$30+'Inputs'!$B$31+'Inputs'!$B$32)/1000+'Inputs'!$B$21))/SQRT((((838-43)*MAX('Inputs'!$B$33,'Inputs'!$B$29+'Inputs'!$B$31+'Inputs'!$B$32,'Inputs'!$B$30+'Inputs'!$B$31+'Inputs'!$B$32)/1000+'Inputs'!$B$21))^2+('Inputs'!$B$8/2)^2)))-'Results'!B7*(1-'Inputs'!$B$24)*(0.5*((((838-43)*MAX('Inputs'!$B$33,'Inputs'!$B$29+'Inputs'!$B$31+'Inputs'!$B$32,'Inputs'!$B$30+'Inputs'!$B$31+'Inputs'!$B$32)/1000+'Inputs'!$B$21+'Inputs'!$B$9+'Inputs'!$B$10)+'Inputs'!$B$7)/SQRT((((838-43)*MAX('Inputs'!$B$33,'Inputs'!$B$29+'Inputs'!$B$31+'Inputs'!$B$32,'Inputs'!$B$30+'Inputs'!$B$31+'Inputs'!$B$32)/1000+'Inputs'!$B$21+'Inputs'!$B$9+'Inputs'!$B$10)+'Inputs'!$B$7)^2+('Inputs'!$B$6/2)^2)-(((838-43)*MAX('Inputs'!$B$33,'Inputs'!$B$29+'Inputs'!$B$31+'Inputs'!$B$32,'Inputs'!$B$30+'Inputs'!$B$31+'Inputs'!$B$32)/1000+'Inputs'!$B$21+'Inputs'!$B$9+'Inputs'!$B$10))/SQRT((((838-43)*MAX('Inputs'!$B$33,'Inputs'!$B$29+'Inputs'!$B$31+'Inputs'!$B$32,'Inputs'!$B$30+'Inputs'!$B$31+'Inputs'!$B$32)/1000+'Inputs'!$B$21+'Inputs'!$B$9+'Inputs'!$B$10))^2+('Inputs'!$B$6/2)^2))))*'Results'!$B$8))),"")</x:f>
        <x:v>0.8602027117215894</x:v>
      </x:c>
      <x:c r="P838" t="n">
        <x:f>IF(AND(MAX(J838,J837)&gt;0,J838&gt;J837+0.00000001),1,0)</x:f>
        <x:v>0</x:v>
      </x:c>
      <x:c r="Q838" t="n">
        <x:f>IF(AND(MAX(K838,K837)&gt;0,K838&gt;K837+0.00000001),1,0)</x:f>
        <x:v>0</x:v>
      </x:c>
      <x:c r="R838" t="n">
        <x:f>IF(AND(MAX(L838,L837)&gt;0,L838&gt;L837+0.00000001),1,0)</x:f>
        <x:v>0</x:v>
      </x:c>
      <x:c r="S838" t="n">
        <x:f>IF(AND(MAX(M838,M837)&gt;0,M838&gt;M837+0.00000001),1,0)</x:f>
        <x:v>0</x:v>
      </x:c>
      <x:c r="T838" t="n">
        <x:f>IF(AND(MAX(N838,N837)&gt;0,N838&gt;N837+0.00000001),1,0)</x:f>
        <x:v>0</x:v>
      </x:c>
      <x:c r="U838" t="n">
        <x:f>IF(AND(MAX(O838,O837)&gt;0,O838&gt;O837+0.00000001),1,0)</x:f>
        <x:v>0</x:v>
      </x:c>
    </x:row>
    <x:row r="839">
      <x:c r="J839" t="n">
        <x:f>IF(AND(ISNUMBER('Results'!B7),ISNUMBER('Results'!C7),ISNUMBER('Results'!$B$8),ISNUMBER('Inputs'!$B$6),ISNUMBER('Inputs'!$B$7),ISNUMBER('Inputs'!$B$8),ISNUMBER('Inputs'!$B$9),ISNUMBER('Inputs'!$B$10),ISNUMBER('Inputs'!$B$21),ISNUMBER('Inputs'!$B$24),ISNUMBER('Inputs'!$B$28)),(('Results'!B7*(0.5*((((839-43)*MAX('Inputs'!$B$33,'Inputs'!$B$29+'Inputs'!$B$31+'Inputs'!$B$32,'Inputs'!$B$30+'Inputs'!$B$31+'Inputs'!$B$32)/1000+'Inputs'!$B$21)+'Inputs'!$B$7)/SQRT((((839-43)*MAX('Inputs'!$B$33,'Inputs'!$B$29+'Inputs'!$B$31+'Inputs'!$B$32,'Inputs'!$B$30+'Inputs'!$B$31+'Inputs'!$B$32)/1000+'Inputs'!$B$21)+'Inputs'!$B$7)^2+('Inputs'!$B$6/2)^2)-(((839-43)*MAX('Inputs'!$B$33,'Inputs'!$B$29+'Inputs'!$B$31+'Inputs'!$B$32,'Inputs'!$B$30+'Inputs'!$B$31+'Inputs'!$B$32)/1000+'Inputs'!$B$21))/SQRT((((839-43)*MAX('Inputs'!$B$33,'Inputs'!$B$29+'Inputs'!$B$31+'Inputs'!$B$32,'Inputs'!$B$30+'Inputs'!$B$31+'Inputs'!$B$32)/1000+'Inputs'!$B$21))^2+('Inputs'!$B$6/2)^2)))-'Results'!C7*(0.5*((((839-43)*MAX('Inputs'!$B$33,'Inputs'!$B$29+'Inputs'!$B$31+'Inputs'!$B$32,'Inputs'!$B$30+'Inputs'!$B$31+'Inputs'!$B$32)/1000+'Inputs'!$B$21+'Inputs'!$B$7+'Inputs'!$B$10)+'Inputs'!$B$9)/SQRT((((839-43)*MAX('Inputs'!$B$33,'Inputs'!$B$29+'Inputs'!$B$31+'Inputs'!$B$32,'Inputs'!$B$30+'Inputs'!$B$31+'Inputs'!$B$32)/1000+'Inputs'!$B$21+'Inputs'!$B$7+'Inputs'!$B$10)+'Inputs'!$B$9)^2+('Inputs'!$B$8/2)^2)-(((839-43)*MAX('Inputs'!$B$33,'Inputs'!$B$29+'Inputs'!$B$31+'Inputs'!$B$32,'Inputs'!$B$30+'Inputs'!$B$31+'Inputs'!$B$32)/1000+'Inputs'!$B$21+'Inputs'!$B$7+'Inputs'!$B$10))/SQRT((((839-43)*MAX('Inputs'!$B$33,'Inputs'!$B$29+'Inputs'!$B$31+'Inputs'!$B$32,'Inputs'!$B$30+'Inputs'!$B$31+'Inputs'!$B$32)/1000+'Inputs'!$B$21+'Inputs'!$B$7+'Inputs'!$B$10))^2+('Inputs'!$B$8/2)^2))))*'Results'!$B$8),"")</x:f>
        <x:v>0.8165150096737296</x:v>
      </x:c>
      <x:c r="K839" t="n">
        <x:f>IF(AND(ISNUMBER('Results'!B7),ISNUMBER('Results'!C7),ISNUMBER('Results'!$B$8),ISNUMBER('Inputs'!$B$6),ISNUMBER('Inputs'!$B$7),ISNUMBER('Inputs'!$B$8),ISNUMBER('Inputs'!$B$9),ISNUMBER('Inputs'!$B$10),ISNUMBER('Inputs'!$B$21),ISNUMBER('Inputs'!$B$24),ISNUMBER('Inputs'!$B$28)),((('Results'!B7*(1-'Inputs'!$B$24)*(0.5*((((839-43)*MAX('Inputs'!$B$33,'Inputs'!$B$29+'Inputs'!$B$31+'Inputs'!$B$32,'Inputs'!$B$30+'Inputs'!$B$31+'Inputs'!$B$32)/1000+'Inputs'!$B$21)+'Inputs'!$B$7)/SQRT((((839-43)*MAX('Inputs'!$B$33,'Inputs'!$B$29+'Inputs'!$B$31+'Inputs'!$B$32,'Inputs'!$B$30+'Inputs'!$B$31+'Inputs'!$B$32)/1000+'Inputs'!$B$21)+'Inputs'!$B$7)^2+('Inputs'!$B$6/2)^2)-(((839-43)*MAX('Inputs'!$B$33,'Inputs'!$B$29+'Inputs'!$B$31+'Inputs'!$B$32,'Inputs'!$B$30+'Inputs'!$B$31+'Inputs'!$B$32)/1000+'Inputs'!$B$21))/SQRT((((839-43)*MAX('Inputs'!$B$33,'Inputs'!$B$29+'Inputs'!$B$31+'Inputs'!$B$32,'Inputs'!$B$30+'Inputs'!$B$31+'Inputs'!$B$32)/1000+'Inputs'!$B$21))^2+('Inputs'!$B$6/2)^2)))-'Results'!C7*(1+'Inputs'!$B$24)*(0.5*((((839-43)*MAX('Inputs'!$B$33,'Inputs'!$B$29+'Inputs'!$B$31+'Inputs'!$B$32,'Inputs'!$B$30+'Inputs'!$B$31+'Inputs'!$B$32)/1000+'Inputs'!$B$21+'Inputs'!$B$7+'Inputs'!$B$10)+'Inputs'!$B$9)/SQRT((((839-43)*MAX('Inputs'!$B$33,'Inputs'!$B$29+'Inputs'!$B$31+'Inputs'!$B$32,'Inputs'!$B$30+'Inputs'!$B$31+'Inputs'!$B$32)/1000+'Inputs'!$B$21+'Inputs'!$B$7+'Inputs'!$B$10)+'Inputs'!$B$9)^2+('Inputs'!$B$8/2)^2)-(((839-43)*MAX('Inputs'!$B$33,'Inputs'!$B$29+'Inputs'!$B$31+'Inputs'!$B$32,'Inputs'!$B$30+'Inputs'!$B$31+'Inputs'!$B$32)/1000+'Inputs'!$B$21+'Inputs'!$B$7+'Inputs'!$B$10))/SQRT((((839-43)*MAX('Inputs'!$B$33,'Inputs'!$B$29+'Inputs'!$B$31+'Inputs'!$B$32,'Inputs'!$B$30+'Inputs'!$B$31+'Inputs'!$B$32)/1000+'Inputs'!$B$21+'Inputs'!$B$7+'Inputs'!$B$10))^2+('Inputs'!$B$8/2)^2))))*'Results'!$B$8)-'Inputs'!$B$28*ABS((('Results'!B7*(1-'Inputs'!$B$24)*(0.5*((((839-43)*MAX('Inputs'!$B$33,'Inputs'!$B$29+'Inputs'!$B$31+'Inputs'!$B$32,'Inputs'!$B$30+'Inputs'!$B$31+'Inputs'!$B$32)/1000+'Inputs'!$B$21)+'Inputs'!$B$7)/SQRT((((839-43)*MAX('Inputs'!$B$33,'Inputs'!$B$29+'Inputs'!$B$31+'Inputs'!$B$32,'Inputs'!$B$30+'Inputs'!$B$31+'Inputs'!$B$32)/1000+'Inputs'!$B$21)+'Inputs'!$B$7)^2+('Inputs'!$B$6/2)^2)-(((839-43)*MAX('Inputs'!$B$33,'Inputs'!$B$29+'Inputs'!$B$31+'Inputs'!$B$32,'Inputs'!$B$30+'Inputs'!$B$31+'Inputs'!$B$32)/1000+'Inputs'!$B$21))/SQRT((((839-43)*MAX('Inputs'!$B$33,'Inputs'!$B$29+'Inputs'!$B$31+'Inputs'!$B$32,'Inputs'!$B$30+'Inputs'!$B$31+'Inputs'!$B$32)/1000+'Inputs'!$B$21))^2+('Inputs'!$B$6/2)^2)))-'Results'!C7*(1+'Inputs'!$B$24)*(0.5*((((839-43)*MAX('Inputs'!$B$33,'Inputs'!$B$29+'Inputs'!$B$31+'Inputs'!$B$32,'Inputs'!$B$30+'Inputs'!$B$31+'Inputs'!$B$32)/1000+'Inputs'!$B$21+'Inputs'!$B$7+'Inputs'!$B$10)+'Inputs'!$B$9)/SQRT((((839-43)*MAX('Inputs'!$B$33,'Inputs'!$B$29+'Inputs'!$B$31+'Inputs'!$B$32,'Inputs'!$B$30+'Inputs'!$B$31+'Inputs'!$B$32)/1000+'Inputs'!$B$21+'Inputs'!$B$7+'Inputs'!$B$10)+'Inputs'!$B$9)^2+('Inputs'!$B$8/2)^2)-(((839-43)*MAX('Inputs'!$B$33,'Inputs'!$B$29+'Inputs'!$B$31+'Inputs'!$B$32,'Inputs'!$B$30+'Inputs'!$B$31+'Inputs'!$B$32)/1000+'Inputs'!$B$21+'Inputs'!$B$7+'Inputs'!$B$10))/SQRT((((839-43)*MAX('Inputs'!$B$33,'Inputs'!$B$29+'Inputs'!$B$31+'Inputs'!$B$32,'Inputs'!$B$30+'Inputs'!$B$31+'Inputs'!$B$32)/1000+'Inputs'!$B$21+'Inputs'!$B$7+'Inputs'!$B$10))^2+('Inputs'!$B$8/2)^2))))*'Results'!$B$8))),"")</x:f>
        <x:v>0.6992826960208028</x:v>
      </x:c>
      <x:c r="L839" t="n">
        <x:f>IF(AND(ISNUMBER('Results'!B7),ISNUMBER('Results'!C7),ISNUMBER('Results'!$B$8),ISNUMBER('Inputs'!$B$6),ISNUMBER('Inputs'!$B$7),ISNUMBER('Inputs'!$B$8),ISNUMBER('Inputs'!$B$9),ISNUMBER('Inputs'!$B$10),ISNUMBER('Inputs'!$B$21),ISNUMBER('Inputs'!$B$24),ISNUMBER('Inputs'!$B$28)),((('Results'!B7*(1+'Inputs'!$B$24)*(0.5*((((839-43)*MAX('Inputs'!$B$33,'Inputs'!$B$29+'Inputs'!$B$31+'Inputs'!$B$32,'Inputs'!$B$30+'Inputs'!$B$31+'Inputs'!$B$32)/1000+'Inputs'!$B$21)+'Inputs'!$B$7)/SQRT((((839-43)*MAX('Inputs'!$B$33,'Inputs'!$B$29+'Inputs'!$B$31+'Inputs'!$B$32,'Inputs'!$B$30+'Inputs'!$B$31+'Inputs'!$B$32)/1000+'Inputs'!$B$21)+'Inputs'!$B$7)^2+('Inputs'!$B$6/2)^2)-(((839-43)*MAX('Inputs'!$B$33,'Inputs'!$B$29+'Inputs'!$B$31+'Inputs'!$B$32,'Inputs'!$B$30+'Inputs'!$B$31+'Inputs'!$B$32)/1000+'Inputs'!$B$21))/SQRT((((839-43)*MAX('Inputs'!$B$33,'Inputs'!$B$29+'Inputs'!$B$31+'Inputs'!$B$32,'Inputs'!$B$30+'Inputs'!$B$31+'Inputs'!$B$32)/1000+'Inputs'!$B$21))^2+('Inputs'!$B$6/2)^2)))-'Results'!C7*(1-'Inputs'!$B$24)*(0.5*((((839-43)*MAX('Inputs'!$B$33,'Inputs'!$B$29+'Inputs'!$B$31+'Inputs'!$B$32,'Inputs'!$B$30+'Inputs'!$B$31+'Inputs'!$B$32)/1000+'Inputs'!$B$21+'Inputs'!$B$7+'Inputs'!$B$10)+'Inputs'!$B$9)/SQRT((((839-43)*MAX('Inputs'!$B$33,'Inputs'!$B$29+'Inputs'!$B$31+'Inputs'!$B$32,'Inputs'!$B$30+'Inputs'!$B$31+'Inputs'!$B$32)/1000+'Inputs'!$B$21+'Inputs'!$B$7+'Inputs'!$B$10)+'Inputs'!$B$9)^2+('Inputs'!$B$8/2)^2)-(((839-43)*MAX('Inputs'!$B$33,'Inputs'!$B$29+'Inputs'!$B$31+'Inputs'!$B$32,'Inputs'!$B$30+'Inputs'!$B$31+'Inputs'!$B$32)/1000+'Inputs'!$B$21+'Inputs'!$B$7+'Inputs'!$B$10))/SQRT((((839-43)*MAX('Inputs'!$B$33,'Inputs'!$B$29+'Inputs'!$B$31+'Inputs'!$B$32,'Inputs'!$B$30+'Inputs'!$B$31+'Inputs'!$B$32)/1000+'Inputs'!$B$21+'Inputs'!$B$7+'Inputs'!$B$10))^2+('Inputs'!$B$8/2)^2))))*'Results'!$B$8)+'Inputs'!$B$28*ABS((('Results'!B7*(1+'Inputs'!$B$24)*(0.5*((((839-43)*MAX('Inputs'!$B$33,'Inputs'!$B$29+'Inputs'!$B$31+'Inputs'!$B$32,'Inputs'!$B$30+'Inputs'!$B$31+'Inputs'!$B$32)/1000+'Inputs'!$B$21)+'Inputs'!$B$7)/SQRT((((839-43)*MAX('Inputs'!$B$33,'Inputs'!$B$29+'Inputs'!$B$31+'Inputs'!$B$32,'Inputs'!$B$30+'Inputs'!$B$31+'Inputs'!$B$32)/1000+'Inputs'!$B$21)+'Inputs'!$B$7)^2+('Inputs'!$B$6/2)^2)-(((839-43)*MAX('Inputs'!$B$33,'Inputs'!$B$29+'Inputs'!$B$31+'Inputs'!$B$32,'Inputs'!$B$30+'Inputs'!$B$31+'Inputs'!$B$32)/1000+'Inputs'!$B$21))/SQRT((((839-43)*MAX('Inputs'!$B$33,'Inputs'!$B$29+'Inputs'!$B$31+'Inputs'!$B$32,'Inputs'!$B$30+'Inputs'!$B$31+'Inputs'!$B$32)/1000+'Inputs'!$B$21))^2+('Inputs'!$B$6/2)^2)))-'Results'!C7*(1-'Inputs'!$B$24)*(0.5*((((839-43)*MAX('Inputs'!$B$33,'Inputs'!$B$29+'Inputs'!$B$31+'Inputs'!$B$32,'Inputs'!$B$30+'Inputs'!$B$31+'Inputs'!$B$32)/1000+'Inputs'!$B$21+'Inputs'!$B$7+'Inputs'!$B$10)+'Inputs'!$B$9)/SQRT((((839-43)*MAX('Inputs'!$B$33,'Inputs'!$B$29+'Inputs'!$B$31+'Inputs'!$B$32,'Inputs'!$B$30+'Inputs'!$B$31+'Inputs'!$B$32)/1000+'Inputs'!$B$21+'Inputs'!$B$7+'Inputs'!$B$10)+'Inputs'!$B$9)^2+('Inputs'!$B$8/2)^2)-(((839-43)*MAX('Inputs'!$B$33,'Inputs'!$B$29+'Inputs'!$B$31+'Inputs'!$B$32,'Inputs'!$B$30+'Inputs'!$B$31+'Inputs'!$B$32)/1000+'Inputs'!$B$21+'Inputs'!$B$7+'Inputs'!$B$10))/SQRT((((839-43)*MAX('Inputs'!$B$33,'Inputs'!$B$29+'Inputs'!$B$31+'Inputs'!$B$32,'Inputs'!$B$30+'Inputs'!$B$31+'Inputs'!$B$32)/1000+'Inputs'!$B$21+'Inputs'!$B$7+'Inputs'!$B$10))^2+('Inputs'!$B$8/2)^2))))*'Results'!$B$8))),"")</x:f>
        <x:v>0.9417901194497343</x:v>
      </x:c>
      <x:c r="M839" t="n">
        <x:f>IF(AND(ISNUMBER('Results'!C7),ISNUMBER('Results'!B7),ISNUMBER('Results'!$B$8),ISNUMBER('Inputs'!$B$6),ISNUMBER('Inputs'!$B$7),ISNUMBER('Inputs'!$B$8),ISNUMBER('Inputs'!$B$9),ISNUMBER('Inputs'!$B$10),ISNUMBER('Inputs'!$B$21),ISNUMBER('Inputs'!$B$24),ISNUMBER('Inputs'!$B$28)),(('Results'!C7*(0.5*((((839-43)*MAX('Inputs'!$B$33,'Inputs'!$B$29+'Inputs'!$B$31+'Inputs'!$B$32,'Inputs'!$B$30+'Inputs'!$B$31+'Inputs'!$B$32)/1000+'Inputs'!$B$21)+'Inputs'!$B$9)/SQRT((((839-43)*MAX('Inputs'!$B$33,'Inputs'!$B$29+'Inputs'!$B$31+'Inputs'!$B$32,'Inputs'!$B$30+'Inputs'!$B$31+'Inputs'!$B$32)/1000+'Inputs'!$B$21)+'Inputs'!$B$9)^2+('Inputs'!$B$8/2)^2)-(((839-43)*MAX('Inputs'!$B$33,'Inputs'!$B$29+'Inputs'!$B$31+'Inputs'!$B$32,'Inputs'!$B$30+'Inputs'!$B$31+'Inputs'!$B$32)/1000+'Inputs'!$B$21))/SQRT((((839-43)*MAX('Inputs'!$B$33,'Inputs'!$B$29+'Inputs'!$B$31+'Inputs'!$B$32,'Inputs'!$B$30+'Inputs'!$B$31+'Inputs'!$B$32)/1000+'Inputs'!$B$21))^2+('Inputs'!$B$8/2)^2)))-'Results'!B7*(0.5*((((839-43)*MAX('Inputs'!$B$33,'Inputs'!$B$29+'Inputs'!$B$31+'Inputs'!$B$32,'Inputs'!$B$30+'Inputs'!$B$31+'Inputs'!$B$32)/1000+'Inputs'!$B$21+'Inputs'!$B$9+'Inputs'!$B$10)+'Inputs'!$B$7)/SQRT((((839-43)*MAX('Inputs'!$B$33,'Inputs'!$B$29+'Inputs'!$B$31+'Inputs'!$B$32,'Inputs'!$B$30+'Inputs'!$B$31+'Inputs'!$B$32)/1000+'Inputs'!$B$21+'Inputs'!$B$9+'Inputs'!$B$10)+'Inputs'!$B$7)^2+('Inputs'!$B$6/2)^2)-(((839-43)*MAX('Inputs'!$B$33,'Inputs'!$B$29+'Inputs'!$B$31+'Inputs'!$B$32,'Inputs'!$B$30+'Inputs'!$B$31+'Inputs'!$B$32)/1000+'Inputs'!$B$21+'Inputs'!$B$9+'Inputs'!$B$10))/SQRT((((839-43)*MAX('Inputs'!$B$33,'Inputs'!$B$29+'Inputs'!$B$31+'Inputs'!$B$32,'Inputs'!$B$30+'Inputs'!$B$31+'Inputs'!$B$32)/1000+'Inputs'!$B$21+'Inputs'!$B$9+'Inputs'!$B$10))^2+('Inputs'!$B$6/2)^2))))*'Results'!$B$8),"")</x:f>
        <x:v>0.7354329906772636</x:v>
      </x:c>
      <x:c r="N839" t="n">
        <x:f>IF(AND(ISNUMBER('Results'!C7),ISNUMBER('Results'!B7),ISNUMBER('Results'!$B$8),ISNUMBER('Inputs'!$B$6),ISNUMBER('Inputs'!$B$7),ISNUMBER('Inputs'!$B$8),ISNUMBER('Inputs'!$B$9),ISNUMBER('Inputs'!$B$10),ISNUMBER('Inputs'!$B$21),ISNUMBER('Inputs'!$B$24),ISNUMBER('Inputs'!$B$28)),((('Results'!C7*(1-'Inputs'!$B$24)*(0.5*((((839-43)*MAX('Inputs'!$B$33,'Inputs'!$B$29+'Inputs'!$B$31+'Inputs'!$B$32,'Inputs'!$B$30+'Inputs'!$B$31+'Inputs'!$B$32)/1000+'Inputs'!$B$21)+'Inputs'!$B$9)/SQRT((((839-43)*MAX('Inputs'!$B$33,'Inputs'!$B$29+'Inputs'!$B$31+'Inputs'!$B$32,'Inputs'!$B$30+'Inputs'!$B$31+'Inputs'!$B$32)/1000+'Inputs'!$B$21)+'Inputs'!$B$9)^2+('Inputs'!$B$8/2)^2)-(((839-43)*MAX('Inputs'!$B$33,'Inputs'!$B$29+'Inputs'!$B$31+'Inputs'!$B$32,'Inputs'!$B$30+'Inputs'!$B$31+'Inputs'!$B$32)/1000+'Inputs'!$B$21))/SQRT((((839-43)*MAX('Inputs'!$B$33,'Inputs'!$B$29+'Inputs'!$B$31+'Inputs'!$B$32,'Inputs'!$B$30+'Inputs'!$B$31+'Inputs'!$B$32)/1000+'Inputs'!$B$21))^2+('Inputs'!$B$8/2)^2)))-'Results'!B7*(1+'Inputs'!$B$24)*(0.5*((((839-43)*MAX('Inputs'!$B$33,'Inputs'!$B$29+'Inputs'!$B$31+'Inputs'!$B$32,'Inputs'!$B$30+'Inputs'!$B$31+'Inputs'!$B$32)/1000+'Inputs'!$B$21+'Inputs'!$B$9+'Inputs'!$B$10)+'Inputs'!$B$7)/SQRT((((839-43)*MAX('Inputs'!$B$33,'Inputs'!$B$29+'Inputs'!$B$31+'Inputs'!$B$32,'Inputs'!$B$30+'Inputs'!$B$31+'Inputs'!$B$32)/1000+'Inputs'!$B$21+'Inputs'!$B$9+'Inputs'!$B$10)+'Inputs'!$B$7)^2+('Inputs'!$B$6/2)^2)-(((839-43)*MAX('Inputs'!$B$33,'Inputs'!$B$29+'Inputs'!$B$31+'Inputs'!$B$32,'Inputs'!$B$30+'Inputs'!$B$31+'Inputs'!$B$32)/1000+'Inputs'!$B$21+'Inputs'!$B$9+'Inputs'!$B$10))/SQRT((((839-43)*MAX('Inputs'!$B$33,'Inputs'!$B$29+'Inputs'!$B$31+'Inputs'!$B$32,'Inputs'!$B$30+'Inputs'!$B$31+'Inputs'!$B$32)/1000+'Inputs'!$B$21+'Inputs'!$B$9+'Inputs'!$B$10))^2+('Inputs'!$B$6/2)^2))))*'Results'!$B$8)-'Inputs'!$B$28*ABS((('Results'!C7*(1-'Inputs'!$B$24)*(0.5*((((839-43)*MAX('Inputs'!$B$33,'Inputs'!$B$29+'Inputs'!$B$31+'Inputs'!$B$32,'Inputs'!$B$30+'Inputs'!$B$31+'Inputs'!$B$32)/1000+'Inputs'!$B$21)+'Inputs'!$B$9)/SQRT((((839-43)*MAX('Inputs'!$B$33,'Inputs'!$B$29+'Inputs'!$B$31+'Inputs'!$B$32,'Inputs'!$B$30+'Inputs'!$B$31+'Inputs'!$B$32)/1000+'Inputs'!$B$21)+'Inputs'!$B$9)^2+('Inputs'!$B$8/2)^2)-(((839-43)*MAX('Inputs'!$B$33,'Inputs'!$B$29+'Inputs'!$B$31+'Inputs'!$B$32,'Inputs'!$B$30+'Inputs'!$B$31+'Inputs'!$B$32)/1000+'Inputs'!$B$21))/SQRT((((839-43)*MAX('Inputs'!$B$33,'Inputs'!$B$29+'Inputs'!$B$31+'Inputs'!$B$32,'Inputs'!$B$30+'Inputs'!$B$31+'Inputs'!$B$32)/1000+'Inputs'!$B$21))^2+('Inputs'!$B$8/2)^2)))-'Results'!B7*(1+'Inputs'!$B$24)*(0.5*((((839-43)*MAX('Inputs'!$B$33,'Inputs'!$B$29+'Inputs'!$B$31+'Inputs'!$B$32,'Inputs'!$B$30+'Inputs'!$B$31+'Inputs'!$B$32)/1000+'Inputs'!$B$21+'Inputs'!$B$9+'Inputs'!$B$10)+'Inputs'!$B$7)/SQRT((((839-43)*MAX('Inputs'!$B$33,'Inputs'!$B$29+'Inputs'!$B$31+'Inputs'!$B$32,'Inputs'!$B$30+'Inputs'!$B$31+'Inputs'!$B$32)/1000+'Inputs'!$B$21+'Inputs'!$B$9+'Inputs'!$B$10)+'Inputs'!$B$7)^2+('Inputs'!$B$6/2)^2)-(((839-43)*MAX('Inputs'!$B$33,'Inputs'!$B$29+'Inputs'!$B$31+'Inputs'!$B$32,'Inputs'!$B$30+'Inputs'!$B$31+'Inputs'!$B$32)/1000+'Inputs'!$B$21+'Inputs'!$B$9+'Inputs'!$B$10))/SQRT((((839-43)*MAX('Inputs'!$B$33,'Inputs'!$B$29+'Inputs'!$B$31+'Inputs'!$B$32,'Inputs'!$B$30+'Inputs'!$B$31+'Inputs'!$B$32)/1000+'Inputs'!$B$21+'Inputs'!$B$9+'Inputs'!$B$10))^2+('Inputs'!$B$6/2)^2))))*'Results'!$B$8))),"")</x:f>
        <x:v>0.6225526265802881</x:v>
      </x:c>
      <x:c r="O839" t="n">
        <x:f>IF(AND(ISNUMBER('Results'!C7),ISNUMBER('Results'!B7),ISNUMBER('Results'!$B$8),ISNUMBER('Inputs'!$B$6),ISNUMBER('Inputs'!$B$7),ISNUMBER('Inputs'!$B$8),ISNUMBER('Inputs'!$B$9),ISNUMBER('Inputs'!$B$10),ISNUMBER('Inputs'!$B$21),ISNUMBER('Inputs'!$B$24),ISNUMBER('Inputs'!$B$28)),((('Results'!C7*(1+'Inputs'!$B$24)*(0.5*((((839-43)*MAX('Inputs'!$B$33,'Inputs'!$B$29+'Inputs'!$B$31+'Inputs'!$B$32,'Inputs'!$B$30+'Inputs'!$B$31+'Inputs'!$B$32)/1000+'Inputs'!$B$21)+'Inputs'!$B$9)/SQRT((((839-43)*MAX('Inputs'!$B$33,'Inputs'!$B$29+'Inputs'!$B$31+'Inputs'!$B$32,'Inputs'!$B$30+'Inputs'!$B$31+'Inputs'!$B$32)/1000+'Inputs'!$B$21)+'Inputs'!$B$9)^2+('Inputs'!$B$8/2)^2)-(((839-43)*MAX('Inputs'!$B$33,'Inputs'!$B$29+'Inputs'!$B$31+'Inputs'!$B$32,'Inputs'!$B$30+'Inputs'!$B$31+'Inputs'!$B$32)/1000+'Inputs'!$B$21))/SQRT((((839-43)*MAX('Inputs'!$B$33,'Inputs'!$B$29+'Inputs'!$B$31+'Inputs'!$B$32,'Inputs'!$B$30+'Inputs'!$B$31+'Inputs'!$B$32)/1000+'Inputs'!$B$21))^2+('Inputs'!$B$8/2)^2)))-'Results'!B7*(1-'Inputs'!$B$24)*(0.5*((((839-43)*MAX('Inputs'!$B$33,'Inputs'!$B$29+'Inputs'!$B$31+'Inputs'!$B$32,'Inputs'!$B$30+'Inputs'!$B$31+'Inputs'!$B$32)/1000+'Inputs'!$B$21+'Inputs'!$B$9+'Inputs'!$B$10)+'Inputs'!$B$7)/SQRT((((839-43)*MAX('Inputs'!$B$33,'Inputs'!$B$29+'Inputs'!$B$31+'Inputs'!$B$32,'Inputs'!$B$30+'Inputs'!$B$31+'Inputs'!$B$32)/1000+'Inputs'!$B$21+'Inputs'!$B$9+'Inputs'!$B$10)+'Inputs'!$B$7)^2+('Inputs'!$B$6/2)^2)-(((839-43)*MAX('Inputs'!$B$33,'Inputs'!$B$29+'Inputs'!$B$31+'Inputs'!$B$32,'Inputs'!$B$30+'Inputs'!$B$31+'Inputs'!$B$32)/1000+'Inputs'!$B$21+'Inputs'!$B$9+'Inputs'!$B$10))/SQRT((((839-43)*MAX('Inputs'!$B$33,'Inputs'!$B$29+'Inputs'!$B$31+'Inputs'!$B$32,'Inputs'!$B$30+'Inputs'!$B$31+'Inputs'!$B$32)/1000+'Inputs'!$B$21+'Inputs'!$B$9+'Inputs'!$B$10))^2+('Inputs'!$B$6/2)^2))))*'Results'!$B$8)+'Inputs'!$B$28*ABS((('Results'!C7*(1+'Inputs'!$B$24)*(0.5*((((839-43)*MAX('Inputs'!$B$33,'Inputs'!$B$29+'Inputs'!$B$31+'Inputs'!$B$32,'Inputs'!$B$30+'Inputs'!$B$31+'Inputs'!$B$32)/1000+'Inputs'!$B$21)+'Inputs'!$B$9)/SQRT((((839-43)*MAX('Inputs'!$B$33,'Inputs'!$B$29+'Inputs'!$B$31+'Inputs'!$B$32,'Inputs'!$B$30+'Inputs'!$B$31+'Inputs'!$B$32)/1000+'Inputs'!$B$21)+'Inputs'!$B$9)^2+('Inputs'!$B$8/2)^2)-(((839-43)*MAX('Inputs'!$B$33,'Inputs'!$B$29+'Inputs'!$B$31+'Inputs'!$B$32,'Inputs'!$B$30+'Inputs'!$B$31+'Inputs'!$B$32)/1000+'Inputs'!$B$21))/SQRT((((839-43)*MAX('Inputs'!$B$33,'Inputs'!$B$29+'Inputs'!$B$31+'Inputs'!$B$32,'Inputs'!$B$30+'Inputs'!$B$31+'Inputs'!$B$32)/1000+'Inputs'!$B$21))^2+('Inputs'!$B$8/2)^2)))-'Results'!B7*(1-'Inputs'!$B$24)*(0.5*((((839-43)*MAX('Inputs'!$B$33,'Inputs'!$B$29+'Inputs'!$B$31+'Inputs'!$B$32,'Inputs'!$B$30+'Inputs'!$B$31+'Inputs'!$B$32)/1000+'Inputs'!$B$21+'Inputs'!$B$9+'Inputs'!$B$10)+'Inputs'!$B$7)/SQRT((((839-43)*MAX('Inputs'!$B$33,'Inputs'!$B$29+'Inputs'!$B$31+'Inputs'!$B$32,'Inputs'!$B$30+'Inputs'!$B$31+'Inputs'!$B$32)/1000+'Inputs'!$B$21+'Inputs'!$B$9+'Inputs'!$B$10)+'Inputs'!$B$7)^2+('Inputs'!$B$6/2)^2)-(((839-43)*MAX('Inputs'!$B$33,'Inputs'!$B$29+'Inputs'!$B$31+'Inputs'!$B$32,'Inputs'!$B$30+'Inputs'!$B$31+'Inputs'!$B$32)/1000+'Inputs'!$B$21+'Inputs'!$B$9+'Inputs'!$B$10))/SQRT((((839-43)*MAX('Inputs'!$B$33,'Inputs'!$B$29+'Inputs'!$B$31+'Inputs'!$B$32,'Inputs'!$B$30+'Inputs'!$B$31+'Inputs'!$B$32)/1000+'Inputs'!$B$21+'Inputs'!$B$9+'Inputs'!$B$10))^2+('Inputs'!$B$6/2)^2))))*'Results'!$B$8))),"")</x:f>
        <x:v>0.8563247984124618</x:v>
      </x:c>
      <x:c r="P839" t="n">
        <x:f>IF(AND(MAX(J839,J838)&gt;0,J839&gt;J838+0.00000001),1,0)</x:f>
        <x:v>0</x:v>
      </x:c>
      <x:c r="Q839" t="n">
        <x:f>IF(AND(MAX(K839,K838)&gt;0,K839&gt;K838+0.00000001),1,0)</x:f>
        <x:v>0</x:v>
      </x:c>
      <x:c r="R839" t="n">
        <x:f>IF(AND(MAX(L839,L838)&gt;0,L839&gt;L838+0.00000001),1,0)</x:f>
        <x:v>0</x:v>
      </x:c>
      <x:c r="S839" t="n">
        <x:f>IF(AND(MAX(M839,M838)&gt;0,M839&gt;M838+0.00000001),1,0)</x:f>
        <x:v>0</x:v>
      </x:c>
      <x:c r="T839" t="n">
        <x:f>IF(AND(MAX(N839,N838)&gt;0,N839&gt;N838+0.00000001),1,0)</x:f>
        <x:v>0</x:v>
      </x:c>
      <x:c r="U839" t="n">
        <x:f>IF(AND(MAX(O839,O838)&gt;0,O839&gt;O838+0.00000001),1,0)</x:f>
        <x:v>0</x:v>
      </x:c>
    </x:row>
    <x:row r="840">
      <x:c r="J840" t="n">
        <x:f>IF(AND(ISNUMBER('Results'!B7),ISNUMBER('Results'!C7),ISNUMBER('Results'!$B$8),ISNUMBER('Inputs'!$B$6),ISNUMBER('Inputs'!$B$7),ISNUMBER('Inputs'!$B$8),ISNUMBER('Inputs'!$B$9),ISNUMBER('Inputs'!$B$10),ISNUMBER('Inputs'!$B$21),ISNUMBER('Inputs'!$B$24),ISNUMBER('Inputs'!$B$28)),(('Results'!B7*(0.5*((((840-43)*MAX('Inputs'!$B$33,'Inputs'!$B$29+'Inputs'!$B$31+'Inputs'!$B$32,'Inputs'!$B$30+'Inputs'!$B$31+'Inputs'!$B$32)/1000+'Inputs'!$B$21)+'Inputs'!$B$7)/SQRT((((840-43)*MAX('Inputs'!$B$33,'Inputs'!$B$29+'Inputs'!$B$31+'Inputs'!$B$32,'Inputs'!$B$30+'Inputs'!$B$31+'Inputs'!$B$32)/1000+'Inputs'!$B$21)+'Inputs'!$B$7)^2+('Inputs'!$B$6/2)^2)-(((840-43)*MAX('Inputs'!$B$33,'Inputs'!$B$29+'Inputs'!$B$31+'Inputs'!$B$32,'Inputs'!$B$30+'Inputs'!$B$31+'Inputs'!$B$32)/1000+'Inputs'!$B$21))/SQRT((((840-43)*MAX('Inputs'!$B$33,'Inputs'!$B$29+'Inputs'!$B$31+'Inputs'!$B$32,'Inputs'!$B$30+'Inputs'!$B$31+'Inputs'!$B$32)/1000+'Inputs'!$B$21))^2+('Inputs'!$B$6/2)^2)))-'Results'!C7*(0.5*((((840-43)*MAX('Inputs'!$B$33,'Inputs'!$B$29+'Inputs'!$B$31+'Inputs'!$B$32,'Inputs'!$B$30+'Inputs'!$B$31+'Inputs'!$B$32)/1000+'Inputs'!$B$21+'Inputs'!$B$7+'Inputs'!$B$10)+'Inputs'!$B$9)/SQRT((((840-43)*MAX('Inputs'!$B$33,'Inputs'!$B$29+'Inputs'!$B$31+'Inputs'!$B$32,'Inputs'!$B$30+'Inputs'!$B$31+'Inputs'!$B$32)/1000+'Inputs'!$B$21+'Inputs'!$B$7+'Inputs'!$B$10)+'Inputs'!$B$9)^2+('Inputs'!$B$8/2)^2)-(((840-43)*MAX('Inputs'!$B$33,'Inputs'!$B$29+'Inputs'!$B$31+'Inputs'!$B$32,'Inputs'!$B$30+'Inputs'!$B$31+'Inputs'!$B$32)/1000+'Inputs'!$B$21+'Inputs'!$B$7+'Inputs'!$B$10))/SQRT((((840-43)*MAX('Inputs'!$B$33,'Inputs'!$B$29+'Inputs'!$B$31+'Inputs'!$B$32,'Inputs'!$B$30+'Inputs'!$B$31+'Inputs'!$B$32)/1000+'Inputs'!$B$21+'Inputs'!$B$7+'Inputs'!$B$10))^2+('Inputs'!$B$8/2)^2))))*'Results'!$B$8),"")</x:f>
        <x:v>0.812839114731478</x:v>
      </x:c>
      <x:c r="K840" t="n">
        <x:f>IF(AND(ISNUMBER('Results'!B7),ISNUMBER('Results'!C7),ISNUMBER('Results'!$B$8),ISNUMBER('Inputs'!$B$6),ISNUMBER('Inputs'!$B$7),ISNUMBER('Inputs'!$B$8),ISNUMBER('Inputs'!$B$9),ISNUMBER('Inputs'!$B$10),ISNUMBER('Inputs'!$B$21),ISNUMBER('Inputs'!$B$24),ISNUMBER('Inputs'!$B$28)),((('Results'!B7*(1-'Inputs'!$B$24)*(0.5*((((840-43)*MAX('Inputs'!$B$33,'Inputs'!$B$29+'Inputs'!$B$31+'Inputs'!$B$32,'Inputs'!$B$30+'Inputs'!$B$31+'Inputs'!$B$32)/1000+'Inputs'!$B$21)+'Inputs'!$B$7)/SQRT((((840-43)*MAX('Inputs'!$B$33,'Inputs'!$B$29+'Inputs'!$B$31+'Inputs'!$B$32,'Inputs'!$B$30+'Inputs'!$B$31+'Inputs'!$B$32)/1000+'Inputs'!$B$21)+'Inputs'!$B$7)^2+('Inputs'!$B$6/2)^2)-(((840-43)*MAX('Inputs'!$B$33,'Inputs'!$B$29+'Inputs'!$B$31+'Inputs'!$B$32,'Inputs'!$B$30+'Inputs'!$B$31+'Inputs'!$B$32)/1000+'Inputs'!$B$21))/SQRT((((840-43)*MAX('Inputs'!$B$33,'Inputs'!$B$29+'Inputs'!$B$31+'Inputs'!$B$32,'Inputs'!$B$30+'Inputs'!$B$31+'Inputs'!$B$32)/1000+'Inputs'!$B$21))^2+('Inputs'!$B$6/2)^2)))-'Results'!C7*(1+'Inputs'!$B$24)*(0.5*((((840-43)*MAX('Inputs'!$B$33,'Inputs'!$B$29+'Inputs'!$B$31+'Inputs'!$B$32,'Inputs'!$B$30+'Inputs'!$B$31+'Inputs'!$B$32)/1000+'Inputs'!$B$21+'Inputs'!$B$7+'Inputs'!$B$10)+'Inputs'!$B$9)/SQRT((((840-43)*MAX('Inputs'!$B$33,'Inputs'!$B$29+'Inputs'!$B$31+'Inputs'!$B$32,'Inputs'!$B$30+'Inputs'!$B$31+'Inputs'!$B$32)/1000+'Inputs'!$B$21+'Inputs'!$B$7+'Inputs'!$B$10)+'Inputs'!$B$9)^2+('Inputs'!$B$8/2)^2)-(((840-43)*MAX('Inputs'!$B$33,'Inputs'!$B$29+'Inputs'!$B$31+'Inputs'!$B$32,'Inputs'!$B$30+'Inputs'!$B$31+'Inputs'!$B$32)/1000+'Inputs'!$B$21+'Inputs'!$B$7+'Inputs'!$B$10))/SQRT((((840-43)*MAX('Inputs'!$B$33,'Inputs'!$B$29+'Inputs'!$B$31+'Inputs'!$B$32,'Inputs'!$B$30+'Inputs'!$B$31+'Inputs'!$B$32)/1000+'Inputs'!$B$21+'Inputs'!$B$7+'Inputs'!$B$10))^2+('Inputs'!$B$8/2)^2))))*'Results'!$B$8)-'Inputs'!$B$28*ABS((('Results'!B7*(1-'Inputs'!$B$24)*(0.5*((((840-43)*MAX('Inputs'!$B$33,'Inputs'!$B$29+'Inputs'!$B$31+'Inputs'!$B$32,'Inputs'!$B$30+'Inputs'!$B$31+'Inputs'!$B$32)/1000+'Inputs'!$B$21)+'Inputs'!$B$7)/SQRT((((840-43)*MAX('Inputs'!$B$33,'Inputs'!$B$29+'Inputs'!$B$31+'Inputs'!$B$32,'Inputs'!$B$30+'Inputs'!$B$31+'Inputs'!$B$32)/1000+'Inputs'!$B$21)+'Inputs'!$B$7)^2+('Inputs'!$B$6/2)^2)-(((840-43)*MAX('Inputs'!$B$33,'Inputs'!$B$29+'Inputs'!$B$31+'Inputs'!$B$32,'Inputs'!$B$30+'Inputs'!$B$31+'Inputs'!$B$32)/1000+'Inputs'!$B$21))/SQRT((((840-43)*MAX('Inputs'!$B$33,'Inputs'!$B$29+'Inputs'!$B$31+'Inputs'!$B$32,'Inputs'!$B$30+'Inputs'!$B$31+'Inputs'!$B$32)/1000+'Inputs'!$B$21))^2+('Inputs'!$B$6/2)^2)))-'Results'!C7*(1+'Inputs'!$B$24)*(0.5*((((840-43)*MAX('Inputs'!$B$33,'Inputs'!$B$29+'Inputs'!$B$31+'Inputs'!$B$32,'Inputs'!$B$30+'Inputs'!$B$31+'Inputs'!$B$32)/1000+'Inputs'!$B$21+'Inputs'!$B$7+'Inputs'!$B$10)+'Inputs'!$B$9)/SQRT((((840-43)*MAX('Inputs'!$B$33,'Inputs'!$B$29+'Inputs'!$B$31+'Inputs'!$B$32,'Inputs'!$B$30+'Inputs'!$B$31+'Inputs'!$B$32)/1000+'Inputs'!$B$21+'Inputs'!$B$7+'Inputs'!$B$10)+'Inputs'!$B$9)^2+('Inputs'!$B$8/2)^2)-(((840-43)*MAX('Inputs'!$B$33,'Inputs'!$B$29+'Inputs'!$B$31+'Inputs'!$B$32,'Inputs'!$B$30+'Inputs'!$B$31+'Inputs'!$B$32)/1000+'Inputs'!$B$21+'Inputs'!$B$7+'Inputs'!$B$10))/SQRT((((840-43)*MAX('Inputs'!$B$33,'Inputs'!$B$29+'Inputs'!$B$31+'Inputs'!$B$32,'Inputs'!$B$30+'Inputs'!$B$31+'Inputs'!$B$32)/1000+'Inputs'!$B$21+'Inputs'!$B$7+'Inputs'!$B$10))^2+('Inputs'!$B$8/2)^2))))*'Results'!$B$8))),"")</x:f>
        <x:v>0.6960550362078236</x:v>
      </x:c>
      <x:c r="L840" t="n">
        <x:f>IF(AND(ISNUMBER('Results'!B7),ISNUMBER('Results'!C7),ISNUMBER('Results'!$B$8),ISNUMBER('Inputs'!$B$6),ISNUMBER('Inputs'!$B$7),ISNUMBER('Inputs'!$B$8),ISNUMBER('Inputs'!$B$9),ISNUMBER('Inputs'!$B$10),ISNUMBER('Inputs'!$B$21),ISNUMBER('Inputs'!$B$24),ISNUMBER('Inputs'!$B$28)),((('Results'!B7*(1+'Inputs'!$B$24)*(0.5*((((840-43)*MAX('Inputs'!$B$33,'Inputs'!$B$29+'Inputs'!$B$31+'Inputs'!$B$32,'Inputs'!$B$30+'Inputs'!$B$31+'Inputs'!$B$32)/1000+'Inputs'!$B$21)+'Inputs'!$B$7)/SQRT((((840-43)*MAX('Inputs'!$B$33,'Inputs'!$B$29+'Inputs'!$B$31+'Inputs'!$B$32,'Inputs'!$B$30+'Inputs'!$B$31+'Inputs'!$B$32)/1000+'Inputs'!$B$21)+'Inputs'!$B$7)^2+('Inputs'!$B$6/2)^2)-(((840-43)*MAX('Inputs'!$B$33,'Inputs'!$B$29+'Inputs'!$B$31+'Inputs'!$B$32,'Inputs'!$B$30+'Inputs'!$B$31+'Inputs'!$B$32)/1000+'Inputs'!$B$21))/SQRT((((840-43)*MAX('Inputs'!$B$33,'Inputs'!$B$29+'Inputs'!$B$31+'Inputs'!$B$32,'Inputs'!$B$30+'Inputs'!$B$31+'Inputs'!$B$32)/1000+'Inputs'!$B$21))^2+('Inputs'!$B$6/2)^2)))-'Results'!C7*(1-'Inputs'!$B$24)*(0.5*((((840-43)*MAX('Inputs'!$B$33,'Inputs'!$B$29+'Inputs'!$B$31+'Inputs'!$B$32,'Inputs'!$B$30+'Inputs'!$B$31+'Inputs'!$B$32)/1000+'Inputs'!$B$21+'Inputs'!$B$7+'Inputs'!$B$10)+'Inputs'!$B$9)/SQRT((((840-43)*MAX('Inputs'!$B$33,'Inputs'!$B$29+'Inputs'!$B$31+'Inputs'!$B$32,'Inputs'!$B$30+'Inputs'!$B$31+'Inputs'!$B$32)/1000+'Inputs'!$B$21+'Inputs'!$B$7+'Inputs'!$B$10)+'Inputs'!$B$9)^2+('Inputs'!$B$8/2)^2)-(((840-43)*MAX('Inputs'!$B$33,'Inputs'!$B$29+'Inputs'!$B$31+'Inputs'!$B$32,'Inputs'!$B$30+'Inputs'!$B$31+'Inputs'!$B$32)/1000+'Inputs'!$B$21+'Inputs'!$B$7+'Inputs'!$B$10))/SQRT((((840-43)*MAX('Inputs'!$B$33,'Inputs'!$B$29+'Inputs'!$B$31+'Inputs'!$B$32,'Inputs'!$B$30+'Inputs'!$B$31+'Inputs'!$B$32)/1000+'Inputs'!$B$21+'Inputs'!$B$7+'Inputs'!$B$10))^2+('Inputs'!$B$8/2)^2))))*'Results'!$B$8)+'Inputs'!$B$28*ABS((('Results'!B7*(1+'Inputs'!$B$24)*(0.5*((((840-43)*MAX('Inputs'!$B$33,'Inputs'!$B$29+'Inputs'!$B$31+'Inputs'!$B$32,'Inputs'!$B$30+'Inputs'!$B$31+'Inputs'!$B$32)/1000+'Inputs'!$B$21)+'Inputs'!$B$7)/SQRT((((840-43)*MAX('Inputs'!$B$33,'Inputs'!$B$29+'Inputs'!$B$31+'Inputs'!$B$32,'Inputs'!$B$30+'Inputs'!$B$31+'Inputs'!$B$32)/1000+'Inputs'!$B$21)+'Inputs'!$B$7)^2+('Inputs'!$B$6/2)^2)-(((840-43)*MAX('Inputs'!$B$33,'Inputs'!$B$29+'Inputs'!$B$31+'Inputs'!$B$32,'Inputs'!$B$30+'Inputs'!$B$31+'Inputs'!$B$32)/1000+'Inputs'!$B$21))/SQRT((((840-43)*MAX('Inputs'!$B$33,'Inputs'!$B$29+'Inputs'!$B$31+'Inputs'!$B$32,'Inputs'!$B$30+'Inputs'!$B$31+'Inputs'!$B$32)/1000+'Inputs'!$B$21))^2+('Inputs'!$B$6/2)^2)))-'Results'!C7*(1-'Inputs'!$B$24)*(0.5*((((840-43)*MAX('Inputs'!$B$33,'Inputs'!$B$29+'Inputs'!$B$31+'Inputs'!$B$32,'Inputs'!$B$30+'Inputs'!$B$31+'Inputs'!$B$32)/1000+'Inputs'!$B$21+'Inputs'!$B$7+'Inputs'!$B$10)+'Inputs'!$B$9)/SQRT((((840-43)*MAX('Inputs'!$B$33,'Inputs'!$B$29+'Inputs'!$B$31+'Inputs'!$B$32,'Inputs'!$B$30+'Inputs'!$B$31+'Inputs'!$B$32)/1000+'Inputs'!$B$21+'Inputs'!$B$7+'Inputs'!$B$10)+'Inputs'!$B$9)^2+('Inputs'!$B$8/2)^2)-(((840-43)*MAX('Inputs'!$B$33,'Inputs'!$B$29+'Inputs'!$B$31+'Inputs'!$B$32,'Inputs'!$B$30+'Inputs'!$B$31+'Inputs'!$B$32)/1000+'Inputs'!$B$21+'Inputs'!$B$7+'Inputs'!$B$10))/SQRT((((840-43)*MAX('Inputs'!$B$33,'Inputs'!$B$29+'Inputs'!$B$31+'Inputs'!$B$32,'Inputs'!$B$30+'Inputs'!$B$31+'Inputs'!$B$32)/1000+'Inputs'!$B$21+'Inputs'!$B$7+'Inputs'!$B$10))^2+('Inputs'!$B$8/2)^2))))*'Results'!$B$8))),"")</x:f>
        <x:v>0.9376381535485097</x:v>
      </x:c>
      <x:c r="M840" t="n">
        <x:f>IF(AND(ISNUMBER('Results'!C7),ISNUMBER('Results'!B7),ISNUMBER('Results'!$B$8),ISNUMBER('Inputs'!$B$6),ISNUMBER('Inputs'!$B$7),ISNUMBER('Inputs'!$B$8),ISNUMBER('Inputs'!$B$9),ISNUMBER('Inputs'!$B$10),ISNUMBER('Inputs'!$B$21),ISNUMBER('Inputs'!$B$24),ISNUMBER('Inputs'!$B$28)),(('Results'!C7*(0.5*((((840-43)*MAX('Inputs'!$B$33,'Inputs'!$B$29+'Inputs'!$B$31+'Inputs'!$B$32,'Inputs'!$B$30+'Inputs'!$B$31+'Inputs'!$B$32)/1000+'Inputs'!$B$21)+'Inputs'!$B$9)/SQRT((((840-43)*MAX('Inputs'!$B$33,'Inputs'!$B$29+'Inputs'!$B$31+'Inputs'!$B$32,'Inputs'!$B$30+'Inputs'!$B$31+'Inputs'!$B$32)/1000+'Inputs'!$B$21)+'Inputs'!$B$9)^2+('Inputs'!$B$8/2)^2)-(((840-43)*MAX('Inputs'!$B$33,'Inputs'!$B$29+'Inputs'!$B$31+'Inputs'!$B$32,'Inputs'!$B$30+'Inputs'!$B$31+'Inputs'!$B$32)/1000+'Inputs'!$B$21))/SQRT((((840-43)*MAX('Inputs'!$B$33,'Inputs'!$B$29+'Inputs'!$B$31+'Inputs'!$B$32,'Inputs'!$B$30+'Inputs'!$B$31+'Inputs'!$B$32)/1000+'Inputs'!$B$21))^2+('Inputs'!$B$8/2)^2)))-'Results'!B7*(0.5*((((840-43)*MAX('Inputs'!$B$33,'Inputs'!$B$29+'Inputs'!$B$31+'Inputs'!$B$32,'Inputs'!$B$30+'Inputs'!$B$31+'Inputs'!$B$32)/1000+'Inputs'!$B$21+'Inputs'!$B$9+'Inputs'!$B$10)+'Inputs'!$B$7)/SQRT((((840-43)*MAX('Inputs'!$B$33,'Inputs'!$B$29+'Inputs'!$B$31+'Inputs'!$B$32,'Inputs'!$B$30+'Inputs'!$B$31+'Inputs'!$B$32)/1000+'Inputs'!$B$21+'Inputs'!$B$9+'Inputs'!$B$10)+'Inputs'!$B$7)^2+('Inputs'!$B$6/2)^2)-(((840-43)*MAX('Inputs'!$B$33,'Inputs'!$B$29+'Inputs'!$B$31+'Inputs'!$B$32,'Inputs'!$B$30+'Inputs'!$B$31+'Inputs'!$B$32)/1000+'Inputs'!$B$21+'Inputs'!$B$9+'Inputs'!$B$10))/SQRT((((840-43)*MAX('Inputs'!$B$33,'Inputs'!$B$29+'Inputs'!$B$31+'Inputs'!$B$32,'Inputs'!$B$30+'Inputs'!$B$31+'Inputs'!$B$32)/1000+'Inputs'!$B$21+'Inputs'!$B$9+'Inputs'!$B$10))^2+('Inputs'!$B$6/2)^2))))*'Results'!$B$8),"")</x:f>
        <x:v>0.732037544240167</x:v>
      </x:c>
      <x:c r="N840" t="n">
        <x:f>IF(AND(ISNUMBER('Results'!C7),ISNUMBER('Results'!B7),ISNUMBER('Results'!$B$8),ISNUMBER('Inputs'!$B$6),ISNUMBER('Inputs'!$B$7),ISNUMBER('Inputs'!$B$8),ISNUMBER('Inputs'!$B$9),ISNUMBER('Inputs'!$B$10),ISNUMBER('Inputs'!$B$21),ISNUMBER('Inputs'!$B$24),ISNUMBER('Inputs'!$B$28)),((('Results'!C7*(1-'Inputs'!$B$24)*(0.5*((((840-43)*MAX('Inputs'!$B$33,'Inputs'!$B$29+'Inputs'!$B$31+'Inputs'!$B$32,'Inputs'!$B$30+'Inputs'!$B$31+'Inputs'!$B$32)/1000+'Inputs'!$B$21)+'Inputs'!$B$9)/SQRT((((840-43)*MAX('Inputs'!$B$33,'Inputs'!$B$29+'Inputs'!$B$31+'Inputs'!$B$32,'Inputs'!$B$30+'Inputs'!$B$31+'Inputs'!$B$32)/1000+'Inputs'!$B$21)+'Inputs'!$B$9)^2+('Inputs'!$B$8/2)^2)-(((840-43)*MAX('Inputs'!$B$33,'Inputs'!$B$29+'Inputs'!$B$31+'Inputs'!$B$32,'Inputs'!$B$30+'Inputs'!$B$31+'Inputs'!$B$32)/1000+'Inputs'!$B$21))/SQRT((((840-43)*MAX('Inputs'!$B$33,'Inputs'!$B$29+'Inputs'!$B$31+'Inputs'!$B$32,'Inputs'!$B$30+'Inputs'!$B$31+'Inputs'!$B$32)/1000+'Inputs'!$B$21))^2+('Inputs'!$B$8/2)^2)))-'Results'!B7*(1+'Inputs'!$B$24)*(0.5*((((840-43)*MAX('Inputs'!$B$33,'Inputs'!$B$29+'Inputs'!$B$31+'Inputs'!$B$32,'Inputs'!$B$30+'Inputs'!$B$31+'Inputs'!$B$32)/1000+'Inputs'!$B$21+'Inputs'!$B$9+'Inputs'!$B$10)+'Inputs'!$B$7)/SQRT((((840-43)*MAX('Inputs'!$B$33,'Inputs'!$B$29+'Inputs'!$B$31+'Inputs'!$B$32,'Inputs'!$B$30+'Inputs'!$B$31+'Inputs'!$B$32)/1000+'Inputs'!$B$21+'Inputs'!$B$9+'Inputs'!$B$10)+'Inputs'!$B$7)^2+('Inputs'!$B$6/2)^2)-(((840-43)*MAX('Inputs'!$B$33,'Inputs'!$B$29+'Inputs'!$B$31+'Inputs'!$B$32,'Inputs'!$B$30+'Inputs'!$B$31+'Inputs'!$B$32)/1000+'Inputs'!$B$21+'Inputs'!$B$9+'Inputs'!$B$10))/SQRT((((840-43)*MAX('Inputs'!$B$33,'Inputs'!$B$29+'Inputs'!$B$31+'Inputs'!$B$32,'Inputs'!$B$30+'Inputs'!$B$31+'Inputs'!$B$32)/1000+'Inputs'!$B$21+'Inputs'!$B$9+'Inputs'!$B$10))^2+('Inputs'!$B$6/2)^2))))*'Results'!$B$8)-'Inputs'!$B$28*ABS((('Results'!C7*(1-'Inputs'!$B$24)*(0.5*((((840-43)*MAX('Inputs'!$B$33,'Inputs'!$B$29+'Inputs'!$B$31+'Inputs'!$B$32,'Inputs'!$B$30+'Inputs'!$B$31+'Inputs'!$B$32)/1000+'Inputs'!$B$21)+'Inputs'!$B$9)/SQRT((((840-43)*MAX('Inputs'!$B$33,'Inputs'!$B$29+'Inputs'!$B$31+'Inputs'!$B$32,'Inputs'!$B$30+'Inputs'!$B$31+'Inputs'!$B$32)/1000+'Inputs'!$B$21)+'Inputs'!$B$9)^2+('Inputs'!$B$8/2)^2)-(((840-43)*MAX('Inputs'!$B$33,'Inputs'!$B$29+'Inputs'!$B$31+'Inputs'!$B$32,'Inputs'!$B$30+'Inputs'!$B$31+'Inputs'!$B$32)/1000+'Inputs'!$B$21))/SQRT((((840-43)*MAX('Inputs'!$B$33,'Inputs'!$B$29+'Inputs'!$B$31+'Inputs'!$B$32,'Inputs'!$B$30+'Inputs'!$B$31+'Inputs'!$B$32)/1000+'Inputs'!$B$21))^2+('Inputs'!$B$8/2)^2)))-'Results'!B7*(1+'Inputs'!$B$24)*(0.5*((((840-43)*MAX('Inputs'!$B$33,'Inputs'!$B$29+'Inputs'!$B$31+'Inputs'!$B$32,'Inputs'!$B$30+'Inputs'!$B$31+'Inputs'!$B$32)/1000+'Inputs'!$B$21+'Inputs'!$B$9+'Inputs'!$B$10)+'Inputs'!$B$7)/SQRT((((840-43)*MAX('Inputs'!$B$33,'Inputs'!$B$29+'Inputs'!$B$31+'Inputs'!$B$32,'Inputs'!$B$30+'Inputs'!$B$31+'Inputs'!$B$32)/1000+'Inputs'!$B$21+'Inputs'!$B$9+'Inputs'!$B$10)+'Inputs'!$B$7)^2+('Inputs'!$B$6/2)^2)-(((840-43)*MAX('Inputs'!$B$33,'Inputs'!$B$29+'Inputs'!$B$31+'Inputs'!$B$32,'Inputs'!$B$30+'Inputs'!$B$31+'Inputs'!$B$32)/1000+'Inputs'!$B$21+'Inputs'!$B$9+'Inputs'!$B$10))/SQRT((((840-43)*MAX('Inputs'!$B$33,'Inputs'!$B$29+'Inputs'!$B$31+'Inputs'!$B$32,'Inputs'!$B$30+'Inputs'!$B$31+'Inputs'!$B$32)/1000+'Inputs'!$B$21+'Inputs'!$B$9+'Inputs'!$B$10))^2+('Inputs'!$B$6/2)^2))))*'Results'!$B$8))),"")</x:f>
        <x:v>0.6195900357210824</x:v>
      </x:c>
      <x:c r="O840" t="n">
        <x:f>IF(AND(ISNUMBER('Results'!C7),ISNUMBER('Results'!B7),ISNUMBER('Results'!$B$8),ISNUMBER('Inputs'!$B$6),ISNUMBER('Inputs'!$B$7),ISNUMBER('Inputs'!$B$8),ISNUMBER('Inputs'!$B$9),ISNUMBER('Inputs'!$B$10),ISNUMBER('Inputs'!$B$21),ISNUMBER('Inputs'!$B$24),ISNUMBER('Inputs'!$B$28)),((('Results'!C7*(1+'Inputs'!$B$24)*(0.5*((((840-43)*MAX('Inputs'!$B$33,'Inputs'!$B$29+'Inputs'!$B$31+'Inputs'!$B$32,'Inputs'!$B$30+'Inputs'!$B$31+'Inputs'!$B$32)/1000+'Inputs'!$B$21)+'Inputs'!$B$9)/SQRT((((840-43)*MAX('Inputs'!$B$33,'Inputs'!$B$29+'Inputs'!$B$31+'Inputs'!$B$32,'Inputs'!$B$30+'Inputs'!$B$31+'Inputs'!$B$32)/1000+'Inputs'!$B$21)+'Inputs'!$B$9)^2+('Inputs'!$B$8/2)^2)-(((840-43)*MAX('Inputs'!$B$33,'Inputs'!$B$29+'Inputs'!$B$31+'Inputs'!$B$32,'Inputs'!$B$30+'Inputs'!$B$31+'Inputs'!$B$32)/1000+'Inputs'!$B$21))/SQRT((((840-43)*MAX('Inputs'!$B$33,'Inputs'!$B$29+'Inputs'!$B$31+'Inputs'!$B$32,'Inputs'!$B$30+'Inputs'!$B$31+'Inputs'!$B$32)/1000+'Inputs'!$B$21))^2+('Inputs'!$B$8/2)^2)))-'Results'!B7*(1-'Inputs'!$B$24)*(0.5*((((840-43)*MAX('Inputs'!$B$33,'Inputs'!$B$29+'Inputs'!$B$31+'Inputs'!$B$32,'Inputs'!$B$30+'Inputs'!$B$31+'Inputs'!$B$32)/1000+'Inputs'!$B$21+'Inputs'!$B$9+'Inputs'!$B$10)+'Inputs'!$B$7)/SQRT((((840-43)*MAX('Inputs'!$B$33,'Inputs'!$B$29+'Inputs'!$B$31+'Inputs'!$B$32,'Inputs'!$B$30+'Inputs'!$B$31+'Inputs'!$B$32)/1000+'Inputs'!$B$21+'Inputs'!$B$9+'Inputs'!$B$10)+'Inputs'!$B$7)^2+('Inputs'!$B$6/2)^2)-(((840-43)*MAX('Inputs'!$B$33,'Inputs'!$B$29+'Inputs'!$B$31+'Inputs'!$B$32,'Inputs'!$B$30+'Inputs'!$B$31+'Inputs'!$B$32)/1000+'Inputs'!$B$21+'Inputs'!$B$9+'Inputs'!$B$10))/SQRT((((840-43)*MAX('Inputs'!$B$33,'Inputs'!$B$29+'Inputs'!$B$31+'Inputs'!$B$32,'Inputs'!$B$30+'Inputs'!$B$31+'Inputs'!$B$32)/1000+'Inputs'!$B$21+'Inputs'!$B$9+'Inputs'!$B$10))^2+('Inputs'!$B$6/2)^2))))*'Results'!$B$8)+'Inputs'!$B$28*ABS((('Results'!C7*(1+'Inputs'!$B$24)*(0.5*((((840-43)*MAX('Inputs'!$B$33,'Inputs'!$B$29+'Inputs'!$B$31+'Inputs'!$B$32,'Inputs'!$B$30+'Inputs'!$B$31+'Inputs'!$B$32)/1000+'Inputs'!$B$21)+'Inputs'!$B$9)/SQRT((((840-43)*MAX('Inputs'!$B$33,'Inputs'!$B$29+'Inputs'!$B$31+'Inputs'!$B$32,'Inputs'!$B$30+'Inputs'!$B$31+'Inputs'!$B$32)/1000+'Inputs'!$B$21)+'Inputs'!$B$9)^2+('Inputs'!$B$8/2)^2)-(((840-43)*MAX('Inputs'!$B$33,'Inputs'!$B$29+'Inputs'!$B$31+'Inputs'!$B$32,'Inputs'!$B$30+'Inputs'!$B$31+'Inputs'!$B$32)/1000+'Inputs'!$B$21))/SQRT((((840-43)*MAX('Inputs'!$B$33,'Inputs'!$B$29+'Inputs'!$B$31+'Inputs'!$B$32,'Inputs'!$B$30+'Inputs'!$B$31+'Inputs'!$B$32)/1000+'Inputs'!$B$21))^2+('Inputs'!$B$8/2)^2)))-'Results'!B7*(1-'Inputs'!$B$24)*(0.5*((((840-43)*MAX('Inputs'!$B$33,'Inputs'!$B$29+'Inputs'!$B$31+'Inputs'!$B$32,'Inputs'!$B$30+'Inputs'!$B$31+'Inputs'!$B$32)/1000+'Inputs'!$B$21+'Inputs'!$B$9+'Inputs'!$B$10)+'Inputs'!$B$7)/SQRT((((840-43)*MAX('Inputs'!$B$33,'Inputs'!$B$29+'Inputs'!$B$31+'Inputs'!$B$32,'Inputs'!$B$30+'Inputs'!$B$31+'Inputs'!$B$32)/1000+'Inputs'!$B$21+'Inputs'!$B$9+'Inputs'!$B$10)+'Inputs'!$B$7)^2+('Inputs'!$B$6/2)^2)-(((840-43)*MAX('Inputs'!$B$33,'Inputs'!$B$29+'Inputs'!$B$31+'Inputs'!$B$32,'Inputs'!$B$30+'Inputs'!$B$31+'Inputs'!$B$32)/1000+'Inputs'!$B$21+'Inputs'!$B$9+'Inputs'!$B$10))/SQRT((((840-43)*MAX('Inputs'!$B$33,'Inputs'!$B$29+'Inputs'!$B$31+'Inputs'!$B$32,'Inputs'!$B$30+'Inputs'!$B$31+'Inputs'!$B$32)/1000+'Inputs'!$B$21+'Inputs'!$B$9+'Inputs'!$B$10))^2+('Inputs'!$B$6/2)^2))))*'Results'!$B$8))),"")</x:f>
        <x:v>0.8524688034231538</x:v>
      </x:c>
      <x:c r="P840" t="n">
        <x:f>IF(AND(MAX(J840,J839)&gt;0,J840&gt;J839+0.00000001),1,0)</x:f>
        <x:v>0</x:v>
      </x:c>
      <x:c r="Q840" t="n">
        <x:f>IF(AND(MAX(K840,K839)&gt;0,K840&gt;K839+0.00000001),1,0)</x:f>
        <x:v>0</x:v>
      </x:c>
      <x:c r="R840" t="n">
        <x:f>IF(AND(MAX(L840,L839)&gt;0,L840&gt;L839+0.00000001),1,0)</x:f>
        <x:v>0</x:v>
      </x:c>
      <x:c r="S840" t="n">
        <x:f>IF(AND(MAX(M840,M839)&gt;0,M840&gt;M839+0.00000001),1,0)</x:f>
        <x:v>0</x:v>
      </x:c>
      <x:c r="T840" t="n">
        <x:f>IF(AND(MAX(N840,N839)&gt;0,N840&gt;N839+0.00000001),1,0)</x:f>
        <x:v>0</x:v>
      </x:c>
      <x:c r="U840" t="n">
        <x:f>IF(AND(MAX(O840,O839)&gt;0,O840&gt;O839+0.00000001),1,0)</x:f>
        <x:v>0</x:v>
      </x:c>
    </x:row>
    <x:row r="841">
      <x:c r="J841" t="n">
        <x:f>IF(AND(ISNUMBER('Results'!B7),ISNUMBER('Results'!C7),ISNUMBER('Results'!$B$8),ISNUMBER('Inputs'!$B$6),ISNUMBER('Inputs'!$B$7),ISNUMBER('Inputs'!$B$8),ISNUMBER('Inputs'!$B$9),ISNUMBER('Inputs'!$B$10),ISNUMBER('Inputs'!$B$21),ISNUMBER('Inputs'!$B$24),ISNUMBER('Inputs'!$B$28)),(('Results'!B7*(0.5*((((841-43)*MAX('Inputs'!$B$33,'Inputs'!$B$29+'Inputs'!$B$31+'Inputs'!$B$32,'Inputs'!$B$30+'Inputs'!$B$31+'Inputs'!$B$32)/1000+'Inputs'!$B$21)+'Inputs'!$B$7)/SQRT((((841-43)*MAX('Inputs'!$B$33,'Inputs'!$B$29+'Inputs'!$B$31+'Inputs'!$B$32,'Inputs'!$B$30+'Inputs'!$B$31+'Inputs'!$B$32)/1000+'Inputs'!$B$21)+'Inputs'!$B$7)^2+('Inputs'!$B$6/2)^2)-(((841-43)*MAX('Inputs'!$B$33,'Inputs'!$B$29+'Inputs'!$B$31+'Inputs'!$B$32,'Inputs'!$B$30+'Inputs'!$B$31+'Inputs'!$B$32)/1000+'Inputs'!$B$21))/SQRT((((841-43)*MAX('Inputs'!$B$33,'Inputs'!$B$29+'Inputs'!$B$31+'Inputs'!$B$32,'Inputs'!$B$30+'Inputs'!$B$31+'Inputs'!$B$32)/1000+'Inputs'!$B$21))^2+('Inputs'!$B$6/2)^2)))-'Results'!C7*(0.5*((((841-43)*MAX('Inputs'!$B$33,'Inputs'!$B$29+'Inputs'!$B$31+'Inputs'!$B$32,'Inputs'!$B$30+'Inputs'!$B$31+'Inputs'!$B$32)/1000+'Inputs'!$B$21+'Inputs'!$B$7+'Inputs'!$B$10)+'Inputs'!$B$9)/SQRT((((841-43)*MAX('Inputs'!$B$33,'Inputs'!$B$29+'Inputs'!$B$31+'Inputs'!$B$32,'Inputs'!$B$30+'Inputs'!$B$31+'Inputs'!$B$32)/1000+'Inputs'!$B$21+'Inputs'!$B$7+'Inputs'!$B$10)+'Inputs'!$B$9)^2+('Inputs'!$B$8/2)^2)-(((841-43)*MAX('Inputs'!$B$33,'Inputs'!$B$29+'Inputs'!$B$31+'Inputs'!$B$32,'Inputs'!$B$30+'Inputs'!$B$31+'Inputs'!$B$32)/1000+'Inputs'!$B$21+'Inputs'!$B$7+'Inputs'!$B$10))/SQRT((((841-43)*MAX('Inputs'!$B$33,'Inputs'!$B$29+'Inputs'!$B$31+'Inputs'!$B$32,'Inputs'!$B$30+'Inputs'!$B$31+'Inputs'!$B$32)/1000+'Inputs'!$B$21+'Inputs'!$B$7+'Inputs'!$B$10))^2+('Inputs'!$B$8/2)^2))))*'Results'!$B$8),"")</x:f>
        <x:v>0.809183969715986</x:v>
      </x:c>
      <x:c r="K841" t="n">
        <x:f>IF(AND(ISNUMBER('Results'!B7),ISNUMBER('Results'!C7),ISNUMBER('Results'!$B$8),ISNUMBER('Inputs'!$B$6),ISNUMBER('Inputs'!$B$7),ISNUMBER('Inputs'!$B$8),ISNUMBER('Inputs'!$B$9),ISNUMBER('Inputs'!$B$10),ISNUMBER('Inputs'!$B$21),ISNUMBER('Inputs'!$B$24),ISNUMBER('Inputs'!$B$28)),((('Results'!B7*(1-'Inputs'!$B$24)*(0.5*((((841-43)*MAX('Inputs'!$B$33,'Inputs'!$B$29+'Inputs'!$B$31+'Inputs'!$B$32,'Inputs'!$B$30+'Inputs'!$B$31+'Inputs'!$B$32)/1000+'Inputs'!$B$21)+'Inputs'!$B$7)/SQRT((((841-43)*MAX('Inputs'!$B$33,'Inputs'!$B$29+'Inputs'!$B$31+'Inputs'!$B$32,'Inputs'!$B$30+'Inputs'!$B$31+'Inputs'!$B$32)/1000+'Inputs'!$B$21)+'Inputs'!$B$7)^2+('Inputs'!$B$6/2)^2)-(((841-43)*MAX('Inputs'!$B$33,'Inputs'!$B$29+'Inputs'!$B$31+'Inputs'!$B$32,'Inputs'!$B$30+'Inputs'!$B$31+'Inputs'!$B$32)/1000+'Inputs'!$B$21))/SQRT((((841-43)*MAX('Inputs'!$B$33,'Inputs'!$B$29+'Inputs'!$B$31+'Inputs'!$B$32,'Inputs'!$B$30+'Inputs'!$B$31+'Inputs'!$B$32)/1000+'Inputs'!$B$21))^2+('Inputs'!$B$6/2)^2)))-'Results'!C7*(1+'Inputs'!$B$24)*(0.5*((((841-43)*MAX('Inputs'!$B$33,'Inputs'!$B$29+'Inputs'!$B$31+'Inputs'!$B$32,'Inputs'!$B$30+'Inputs'!$B$31+'Inputs'!$B$32)/1000+'Inputs'!$B$21+'Inputs'!$B$7+'Inputs'!$B$10)+'Inputs'!$B$9)/SQRT((((841-43)*MAX('Inputs'!$B$33,'Inputs'!$B$29+'Inputs'!$B$31+'Inputs'!$B$32,'Inputs'!$B$30+'Inputs'!$B$31+'Inputs'!$B$32)/1000+'Inputs'!$B$21+'Inputs'!$B$7+'Inputs'!$B$10)+'Inputs'!$B$9)^2+('Inputs'!$B$8/2)^2)-(((841-43)*MAX('Inputs'!$B$33,'Inputs'!$B$29+'Inputs'!$B$31+'Inputs'!$B$32,'Inputs'!$B$30+'Inputs'!$B$31+'Inputs'!$B$32)/1000+'Inputs'!$B$21+'Inputs'!$B$7+'Inputs'!$B$10))/SQRT((((841-43)*MAX('Inputs'!$B$33,'Inputs'!$B$29+'Inputs'!$B$31+'Inputs'!$B$32,'Inputs'!$B$30+'Inputs'!$B$31+'Inputs'!$B$32)/1000+'Inputs'!$B$21+'Inputs'!$B$7+'Inputs'!$B$10))^2+('Inputs'!$B$8/2)^2))))*'Results'!$B$8)-'Inputs'!$B$28*ABS((('Results'!B7*(1-'Inputs'!$B$24)*(0.5*((((841-43)*MAX('Inputs'!$B$33,'Inputs'!$B$29+'Inputs'!$B$31+'Inputs'!$B$32,'Inputs'!$B$30+'Inputs'!$B$31+'Inputs'!$B$32)/1000+'Inputs'!$B$21)+'Inputs'!$B$7)/SQRT((((841-43)*MAX('Inputs'!$B$33,'Inputs'!$B$29+'Inputs'!$B$31+'Inputs'!$B$32,'Inputs'!$B$30+'Inputs'!$B$31+'Inputs'!$B$32)/1000+'Inputs'!$B$21)+'Inputs'!$B$7)^2+('Inputs'!$B$6/2)^2)-(((841-43)*MAX('Inputs'!$B$33,'Inputs'!$B$29+'Inputs'!$B$31+'Inputs'!$B$32,'Inputs'!$B$30+'Inputs'!$B$31+'Inputs'!$B$32)/1000+'Inputs'!$B$21))/SQRT((((841-43)*MAX('Inputs'!$B$33,'Inputs'!$B$29+'Inputs'!$B$31+'Inputs'!$B$32,'Inputs'!$B$30+'Inputs'!$B$31+'Inputs'!$B$32)/1000+'Inputs'!$B$21))^2+('Inputs'!$B$6/2)^2)))-'Results'!C7*(1+'Inputs'!$B$24)*(0.5*((((841-43)*MAX('Inputs'!$B$33,'Inputs'!$B$29+'Inputs'!$B$31+'Inputs'!$B$32,'Inputs'!$B$30+'Inputs'!$B$31+'Inputs'!$B$32)/1000+'Inputs'!$B$21+'Inputs'!$B$7+'Inputs'!$B$10)+'Inputs'!$B$9)/SQRT((((841-43)*MAX('Inputs'!$B$33,'Inputs'!$B$29+'Inputs'!$B$31+'Inputs'!$B$32,'Inputs'!$B$30+'Inputs'!$B$31+'Inputs'!$B$32)/1000+'Inputs'!$B$21+'Inputs'!$B$7+'Inputs'!$B$10)+'Inputs'!$B$9)^2+('Inputs'!$B$8/2)^2)-(((841-43)*MAX('Inputs'!$B$33,'Inputs'!$B$29+'Inputs'!$B$31+'Inputs'!$B$32,'Inputs'!$B$30+'Inputs'!$B$31+'Inputs'!$B$32)/1000+'Inputs'!$B$21+'Inputs'!$B$7+'Inputs'!$B$10))/SQRT((((841-43)*MAX('Inputs'!$B$33,'Inputs'!$B$29+'Inputs'!$B$31+'Inputs'!$B$32,'Inputs'!$B$30+'Inputs'!$B$31+'Inputs'!$B$32)/1000+'Inputs'!$B$21+'Inputs'!$B$7+'Inputs'!$B$10))^2+('Inputs'!$B$8/2)^2))))*'Results'!$B$8))),"")</x:f>
        <x:v>0.6928458676534038</x:v>
      </x:c>
      <x:c r="L841" t="n">
        <x:f>IF(AND(ISNUMBER('Results'!B7),ISNUMBER('Results'!C7),ISNUMBER('Results'!$B$8),ISNUMBER('Inputs'!$B$6),ISNUMBER('Inputs'!$B$7),ISNUMBER('Inputs'!$B$8),ISNUMBER('Inputs'!$B$9),ISNUMBER('Inputs'!$B$10),ISNUMBER('Inputs'!$B$21),ISNUMBER('Inputs'!$B$24),ISNUMBER('Inputs'!$B$28)),((('Results'!B7*(1+'Inputs'!$B$24)*(0.5*((((841-43)*MAX('Inputs'!$B$33,'Inputs'!$B$29+'Inputs'!$B$31+'Inputs'!$B$32,'Inputs'!$B$30+'Inputs'!$B$31+'Inputs'!$B$32)/1000+'Inputs'!$B$21)+'Inputs'!$B$7)/SQRT((((841-43)*MAX('Inputs'!$B$33,'Inputs'!$B$29+'Inputs'!$B$31+'Inputs'!$B$32,'Inputs'!$B$30+'Inputs'!$B$31+'Inputs'!$B$32)/1000+'Inputs'!$B$21)+'Inputs'!$B$7)^2+('Inputs'!$B$6/2)^2)-(((841-43)*MAX('Inputs'!$B$33,'Inputs'!$B$29+'Inputs'!$B$31+'Inputs'!$B$32,'Inputs'!$B$30+'Inputs'!$B$31+'Inputs'!$B$32)/1000+'Inputs'!$B$21))/SQRT((((841-43)*MAX('Inputs'!$B$33,'Inputs'!$B$29+'Inputs'!$B$31+'Inputs'!$B$32,'Inputs'!$B$30+'Inputs'!$B$31+'Inputs'!$B$32)/1000+'Inputs'!$B$21))^2+('Inputs'!$B$6/2)^2)))-'Results'!C7*(1-'Inputs'!$B$24)*(0.5*((((841-43)*MAX('Inputs'!$B$33,'Inputs'!$B$29+'Inputs'!$B$31+'Inputs'!$B$32,'Inputs'!$B$30+'Inputs'!$B$31+'Inputs'!$B$32)/1000+'Inputs'!$B$21+'Inputs'!$B$7+'Inputs'!$B$10)+'Inputs'!$B$9)/SQRT((((841-43)*MAX('Inputs'!$B$33,'Inputs'!$B$29+'Inputs'!$B$31+'Inputs'!$B$32,'Inputs'!$B$30+'Inputs'!$B$31+'Inputs'!$B$32)/1000+'Inputs'!$B$21+'Inputs'!$B$7+'Inputs'!$B$10)+'Inputs'!$B$9)^2+('Inputs'!$B$8/2)^2)-(((841-43)*MAX('Inputs'!$B$33,'Inputs'!$B$29+'Inputs'!$B$31+'Inputs'!$B$32,'Inputs'!$B$30+'Inputs'!$B$31+'Inputs'!$B$32)/1000+'Inputs'!$B$21+'Inputs'!$B$7+'Inputs'!$B$10))/SQRT((((841-43)*MAX('Inputs'!$B$33,'Inputs'!$B$29+'Inputs'!$B$31+'Inputs'!$B$32,'Inputs'!$B$30+'Inputs'!$B$31+'Inputs'!$B$32)/1000+'Inputs'!$B$21+'Inputs'!$B$7+'Inputs'!$B$10))^2+('Inputs'!$B$8/2)^2))))*'Results'!$B$8)+'Inputs'!$B$28*ABS((('Results'!B7*(1+'Inputs'!$B$24)*(0.5*((((841-43)*MAX('Inputs'!$B$33,'Inputs'!$B$29+'Inputs'!$B$31+'Inputs'!$B$32,'Inputs'!$B$30+'Inputs'!$B$31+'Inputs'!$B$32)/1000+'Inputs'!$B$21)+'Inputs'!$B$7)/SQRT((((841-43)*MAX('Inputs'!$B$33,'Inputs'!$B$29+'Inputs'!$B$31+'Inputs'!$B$32,'Inputs'!$B$30+'Inputs'!$B$31+'Inputs'!$B$32)/1000+'Inputs'!$B$21)+'Inputs'!$B$7)^2+('Inputs'!$B$6/2)^2)-(((841-43)*MAX('Inputs'!$B$33,'Inputs'!$B$29+'Inputs'!$B$31+'Inputs'!$B$32,'Inputs'!$B$30+'Inputs'!$B$31+'Inputs'!$B$32)/1000+'Inputs'!$B$21))/SQRT((((841-43)*MAX('Inputs'!$B$33,'Inputs'!$B$29+'Inputs'!$B$31+'Inputs'!$B$32,'Inputs'!$B$30+'Inputs'!$B$31+'Inputs'!$B$32)/1000+'Inputs'!$B$21))^2+('Inputs'!$B$6/2)^2)))-'Results'!C7*(1-'Inputs'!$B$24)*(0.5*((((841-43)*MAX('Inputs'!$B$33,'Inputs'!$B$29+'Inputs'!$B$31+'Inputs'!$B$32,'Inputs'!$B$30+'Inputs'!$B$31+'Inputs'!$B$32)/1000+'Inputs'!$B$21+'Inputs'!$B$7+'Inputs'!$B$10)+'Inputs'!$B$9)/SQRT((((841-43)*MAX('Inputs'!$B$33,'Inputs'!$B$29+'Inputs'!$B$31+'Inputs'!$B$32,'Inputs'!$B$30+'Inputs'!$B$31+'Inputs'!$B$32)/1000+'Inputs'!$B$21+'Inputs'!$B$7+'Inputs'!$B$10)+'Inputs'!$B$9)^2+('Inputs'!$B$8/2)^2)-(((841-43)*MAX('Inputs'!$B$33,'Inputs'!$B$29+'Inputs'!$B$31+'Inputs'!$B$32,'Inputs'!$B$30+'Inputs'!$B$31+'Inputs'!$B$32)/1000+'Inputs'!$B$21+'Inputs'!$B$7+'Inputs'!$B$10))/SQRT((((841-43)*MAX('Inputs'!$B$33,'Inputs'!$B$29+'Inputs'!$B$31+'Inputs'!$B$32,'Inputs'!$B$30+'Inputs'!$B$31+'Inputs'!$B$32)/1000+'Inputs'!$B$21+'Inputs'!$B$7+'Inputs'!$B$10))^2+('Inputs'!$B$8/2)^2))))*'Results'!$B$8))),"")</x:f>
        <x:v>0.9335093247866507</x:v>
      </x:c>
      <x:c r="M841" t="n">
        <x:f>IF(AND(ISNUMBER('Results'!C7),ISNUMBER('Results'!B7),ISNUMBER('Results'!$B$8),ISNUMBER('Inputs'!$B$6),ISNUMBER('Inputs'!$B$7),ISNUMBER('Inputs'!$B$8),ISNUMBER('Inputs'!$B$9),ISNUMBER('Inputs'!$B$10),ISNUMBER('Inputs'!$B$21),ISNUMBER('Inputs'!$B$24),ISNUMBER('Inputs'!$B$28)),(('Results'!C7*(0.5*((((841-43)*MAX('Inputs'!$B$33,'Inputs'!$B$29+'Inputs'!$B$31+'Inputs'!$B$32,'Inputs'!$B$30+'Inputs'!$B$31+'Inputs'!$B$32)/1000+'Inputs'!$B$21)+'Inputs'!$B$9)/SQRT((((841-43)*MAX('Inputs'!$B$33,'Inputs'!$B$29+'Inputs'!$B$31+'Inputs'!$B$32,'Inputs'!$B$30+'Inputs'!$B$31+'Inputs'!$B$32)/1000+'Inputs'!$B$21)+'Inputs'!$B$9)^2+('Inputs'!$B$8/2)^2)-(((841-43)*MAX('Inputs'!$B$33,'Inputs'!$B$29+'Inputs'!$B$31+'Inputs'!$B$32,'Inputs'!$B$30+'Inputs'!$B$31+'Inputs'!$B$32)/1000+'Inputs'!$B$21))/SQRT((((841-43)*MAX('Inputs'!$B$33,'Inputs'!$B$29+'Inputs'!$B$31+'Inputs'!$B$32,'Inputs'!$B$30+'Inputs'!$B$31+'Inputs'!$B$32)/1000+'Inputs'!$B$21))^2+('Inputs'!$B$8/2)^2)))-'Results'!B7*(0.5*((((841-43)*MAX('Inputs'!$B$33,'Inputs'!$B$29+'Inputs'!$B$31+'Inputs'!$B$32,'Inputs'!$B$30+'Inputs'!$B$31+'Inputs'!$B$32)/1000+'Inputs'!$B$21+'Inputs'!$B$9+'Inputs'!$B$10)+'Inputs'!$B$7)/SQRT((((841-43)*MAX('Inputs'!$B$33,'Inputs'!$B$29+'Inputs'!$B$31+'Inputs'!$B$32,'Inputs'!$B$30+'Inputs'!$B$31+'Inputs'!$B$32)/1000+'Inputs'!$B$21+'Inputs'!$B$9+'Inputs'!$B$10)+'Inputs'!$B$7)^2+('Inputs'!$B$6/2)^2)-(((841-43)*MAX('Inputs'!$B$33,'Inputs'!$B$29+'Inputs'!$B$31+'Inputs'!$B$32,'Inputs'!$B$30+'Inputs'!$B$31+'Inputs'!$B$32)/1000+'Inputs'!$B$21+'Inputs'!$B$9+'Inputs'!$B$10))/SQRT((((841-43)*MAX('Inputs'!$B$33,'Inputs'!$B$29+'Inputs'!$B$31+'Inputs'!$B$32,'Inputs'!$B$30+'Inputs'!$B$31+'Inputs'!$B$32)/1000+'Inputs'!$B$21+'Inputs'!$B$9+'Inputs'!$B$10))^2+('Inputs'!$B$6/2)^2))))*'Results'!$B$8),"")</x:f>
        <x:v>0.7286615534036672</x:v>
      </x:c>
      <x:c r="N841" t="n">
        <x:f>IF(AND(ISNUMBER('Results'!C7),ISNUMBER('Results'!B7),ISNUMBER('Results'!$B$8),ISNUMBER('Inputs'!$B$6),ISNUMBER('Inputs'!$B$7),ISNUMBER('Inputs'!$B$8),ISNUMBER('Inputs'!$B$9),ISNUMBER('Inputs'!$B$10),ISNUMBER('Inputs'!$B$21),ISNUMBER('Inputs'!$B$24),ISNUMBER('Inputs'!$B$28)),((('Results'!C7*(1-'Inputs'!$B$24)*(0.5*((((841-43)*MAX('Inputs'!$B$33,'Inputs'!$B$29+'Inputs'!$B$31+'Inputs'!$B$32,'Inputs'!$B$30+'Inputs'!$B$31+'Inputs'!$B$32)/1000+'Inputs'!$B$21)+'Inputs'!$B$9)/SQRT((((841-43)*MAX('Inputs'!$B$33,'Inputs'!$B$29+'Inputs'!$B$31+'Inputs'!$B$32,'Inputs'!$B$30+'Inputs'!$B$31+'Inputs'!$B$32)/1000+'Inputs'!$B$21)+'Inputs'!$B$9)^2+('Inputs'!$B$8/2)^2)-(((841-43)*MAX('Inputs'!$B$33,'Inputs'!$B$29+'Inputs'!$B$31+'Inputs'!$B$32,'Inputs'!$B$30+'Inputs'!$B$31+'Inputs'!$B$32)/1000+'Inputs'!$B$21))/SQRT((((841-43)*MAX('Inputs'!$B$33,'Inputs'!$B$29+'Inputs'!$B$31+'Inputs'!$B$32,'Inputs'!$B$30+'Inputs'!$B$31+'Inputs'!$B$32)/1000+'Inputs'!$B$21))^2+('Inputs'!$B$8/2)^2)))-'Results'!B7*(1+'Inputs'!$B$24)*(0.5*((((841-43)*MAX('Inputs'!$B$33,'Inputs'!$B$29+'Inputs'!$B$31+'Inputs'!$B$32,'Inputs'!$B$30+'Inputs'!$B$31+'Inputs'!$B$32)/1000+'Inputs'!$B$21+'Inputs'!$B$9+'Inputs'!$B$10)+'Inputs'!$B$7)/SQRT((((841-43)*MAX('Inputs'!$B$33,'Inputs'!$B$29+'Inputs'!$B$31+'Inputs'!$B$32,'Inputs'!$B$30+'Inputs'!$B$31+'Inputs'!$B$32)/1000+'Inputs'!$B$21+'Inputs'!$B$9+'Inputs'!$B$10)+'Inputs'!$B$7)^2+('Inputs'!$B$6/2)^2)-(((841-43)*MAX('Inputs'!$B$33,'Inputs'!$B$29+'Inputs'!$B$31+'Inputs'!$B$32,'Inputs'!$B$30+'Inputs'!$B$31+'Inputs'!$B$32)/1000+'Inputs'!$B$21+'Inputs'!$B$9+'Inputs'!$B$10))/SQRT((((841-43)*MAX('Inputs'!$B$33,'Inputs'!$B$29+'Inputs'!$B$31+'Inputs'!$B$32,'Inputs'!$B$30+'Inputs'!$B$31+'Inputs'!$B$32)/1000+'Inputs'!$B$21+'Inputs'!$B$9+'Inputs'!$B$10))^2+('Inputs'!$B$6/2)^2))))*'Results'!$B$8)-'Inputs'!$B$28*ABS((('Results'!C7*(1-'Inputs'!$B$24)*(0.5*((((841-43)*MAX('Inputs'!$B$33,'Inputs'!$B$29+'Inputs'!$B$31+'Inputs'!$B$32,'Inputs'!$B$30+'Inputs'!$B$31+'Inputs'!$B$32)/1000+'Inputs'!$B$21)+'Inputs'!$B$9)/SQRT((((841-43)*MAX('Inputs'!$B$33,'Inputs'!$B$29+'Inputs'!$B$31+'Inputs'!$B$32,'Inputs'!$B$30+'Inputs'!$B$31+'Inputs'!$B$32)/1000+'Inputs'!$B$21)+'Inputs'!$B$9)^2+('Inputs'!$B$8/2)^2)-(((841-43)*MAX('Inputs'!$B$33,'Inputs'!$B$29+'Inputs'!$B$31+'Inputs'!$B$32,'Inputs'!$B$30+'Inputs'!$B$31+'Inputs'!$B$32)/1000+'Inputs'!$B$21))/SQRT((((841-43)*MAX('Inputs'!$B$33,'Inputs'!$B$29+'Inputs'!$B$31+'Inputs'!$B$32,'Inputs'!$B$30+'Inputs'!$B$31+'Inputs'!$B$32)/1000+'Inputs'!$B$21))^2+('Inputs'!$B$8/2)^2)))-'Results'!B7*(1+'Inputs'!$B$24)*(0.5*((((841-43)*MAX('Inputs'!$B$33,'Inputs'!$B$29+'Inputs'!$B$31+'Inputs'!$B$32,'Inputs'!$B$30+'Inputs'!$B$31+'Inputs'!$B$32)/1000+'Inputs'!$B$21+'Inputs'!$B$9+'Inputs'!$B$10)+'Inputs'!$B$7)/SQRT((((841-43)*MAX('Inputs'!$B$33,'Inputs'!$B$29+'Inputs'!$B$31+'Inputs'!$B$32,'Inputs'!$B$30+'Inputs'!$B$31+'Inputs'!$B$32)/1000+'Inputs'!$B$21+'Inputs'!$B$9+'Inputs'!$B$10)+'Inputs'!$B$7)^2+('Inputs'!$B$6/2)^2)-(((841-43)*MAX('Inputs'!$B$33,'Inputs'!$B$29+'Inputs'!$B$31+'Inputs'!$B$32,'Inputs'!$B$30+'Inputs'!$B$31+'Inputs'!$B$32)/1000+'Inputs'!$B$21+'Inputs'!$B$9+'Inputs'!$B$10))/SQRT((((841-43)*MAX('Inputs'!$B$33,'Inputs'!$B$29+'Inputs'!$B$31+'Inputs'!$B$32,'Inputs'!$B$30+'Inputs'!$B$31+'Inputs'!$B$32)/1000+'Inputs'!$B$21+'Inputs'!$B$9+'Inputs'!$B$10))^2+('Inputs'!$B$6/2)^2))))*'Results'!$B$8))),"")</x:f>
        <x:v>0.6166447142267946</x:v>
      </x:c>
      <x:c r="O841" t="n">
        <x:f>IF(AND(ISNUMBER('Results'!C7),ISNUMBER('Results'!B7),ISNUMBER('Results'!$B$8),ISNUMBER('Inputs'!$B$6),ISNUMBER('Inputs'!$B$7),ISNUMBER('Inputs'!$B$8),ISNUMBER('Inputs'!$B$9),ISNUMBER('Inputs'!$B$10),ISNUMBER('Inputs'!$B$21),ISNUMBER('Inputs'!$B$24),ISNUMBER('Inputs'!$B$28)),((('Results'!C7*(1+'Inputs'!$B$24)*(0.5*((((841-43)*MAX('Inputs'!$B$33,'Inputs'!$B$29+'Inputs'!$B$31+'Inputs'!$B$32,'Inputs'!$B$30+'Inputs'!$B$31+'Inputs'!$B$32)/1000+'Inputs'!$B$21)+'Inputs'!$B$9)/SQRT((((841-43)*MAX('Inputs'!$B$33,'Inputs'!$B$29+'Inputs'!$B$31+'Inputs'!$B$32,'Inputs'!$B$30+'Inputs'!$B$31+'Inputs'!$B$32)/1000+'Inputs'!$B$21)+'Inputs'!$B$9)^2+('Inputs'!$B$8/2)^2)-(((841-43)*MAX('Inputs'!$B$33,'Inputs'!$B$29+'Inputs'!$B$31+'Inputs'!$B$32,'Inputs'!$B$30+'Inputs'!$B$31+'Inputs'!$B$32)/1000+'Inputs'!$B$21))/SQRT((((841-43)*MAX('Inputs'!$B$33,'Inputs'!$B$29+'Inputs'!$B$31+'Inputs'!$B$32,'Inputs'!$B$30+'Inputs'!$B$31+'Inputs'!$B$32)/1000+'Inputs'!$B$21))^2+('Inputs'!$B$8/2)^2)))-'Results'!B7*(1-'Inputs'!$B$24)*(0.5*((((841-43)*MAX('Inputs'!$B$33,'Inputs'!$B$29+'Inputs'!$B$31+'Inputs'!$B$32,'Inputs'!$B$30+'Inputs'!$B$31+'Inputs'!$B$32)/1000+'Inputs'!$B$21+'Inputs'!$B$9+'Inputs'!$B$10)+'Inputs'!$B$7)/SQRT((((841-43)*MAX('Inputs'!$B$33,'Inputs'!$B$29+'Inputs'!$B$31+'Inputs'!$B$32,'Inputs'!$B$30+'Inputs'!$B$31+'Inputs'!$B$32)/1000+'Inputs'!$B$21+'Inputs'!$B$9+'Inputs'!$B$10)+'Inputs'!$B$7)^2+('Inputs'!$B$6/2)^2)-(((841-43)*MAX('Inputs'!$B$33,'Inputs'!$B$29+'Inputs'!$B$31+'Inputs'!$B$32,'Inputs'!$B$30+'Inputs'!$B$31+'Inputs'!$B$32)/1000+'Inputs'!$B$21+'Inputs'!$B$9+'Inputs'!$B$10))/SQRT((((841-43)*MAX('Inputs'!$B$33,'Inputs'!$B$29+'Inputs'!$B$31+'Inputs'!$B$32,'Inputs'!$B$30+'Inputs'!$B$31+'Inputs'!$B$32)/1000+'Inputs'!$B$21+'Inputs'!$B$9+'Inputs'!$B$10))^2+('Inputs'!$B$6/2)^2))))*'Results'!$B$8)+'Inputs'!$B$28*ABS((('Results'!C7*(1+'Inputs'!$B$24)*(0.5*((((841-43)*MAX('Inputs'!$B$33,'Inputs'!$B$29+'Inputs'!$B$31+'Inputs'!$B$32,'Inputs'!$B$30+'Inputs'!$B$31+'Inputs'!$B$32)/1000+'Inputs'!$B$21)+'Inputs'!$B$9)/SQRT((((841-43)*MAX('Inputs'!$B$33,'Inputs'!$B$29+'Inputs'!$B$31+'Inputs'!$B$32,'Inputs'!$B$30+'Inputs'!$B$31+'Inputs'!$B$32)/1000+'Inputs'!$B$21)+'Inputs'!$B$9)^2+('Inputs'!$B$8/2)^2)-(((841-43)*MAX('Inputs'!$B$33,'Inputs'!$B$29+'Inputs'!$B$31+'Inputs'!$B$32,'Inputs'!$B$30+'Inputs'!$B$31+'Inputs'!$B$32)/1000+'Inputs'!$B$21))/SQRT((((841-43)*MAX('Inputs'!$B$33,'Inputs'!$B$29+'Inputs'!$B$31+'Inputs'!$B$32,'Inputs'!$B$30+'Inputs'!$B$31+'Inputs'!$B$32)/1000+'Inputs'!$B$21))^2+('Inputs'!$B$8/2)^2)))-'Results'!B7*(1-'Inputs'!$B$24)*(0.5*((((841-43)*MAX('Inputs'!$B$33,'Inputs'!$B$29+'Inputs'!$B$31+'Inputs'!$B$32,'Inputs'!$B$30+'Inputs'!$B$31+'Inputs'!$B$32)/1000+'Inputs'!$B$21+'Inputs'!$B$9+'Inputs'!$B$10)+'Inputs'!$B$7)/SQRT((((841-43)*MAX('Inputs'!$B$33,'Inputs'!$B$29+'Inputs'!$B$31+'Inputs'!$B$32,'Inputs'!$B$30+'Inputs'!$B$31+'Inputs'!$B$32)/1000+'Inputs'!$B$21+'Inputs'!$B$9+'Inputs'!$B$10)+'Inputs'!$B$7)^2+('Inputs'!$B$6/2)^2)-(((841-43)*MAX('Inputs'!$B$33,'Inputs'!$B$29+'Inputs'!$B$31+'Inputs'!$B$32,'Inputs'!$B$30+'Inputs'!$B$31+'Inputs'!$B$32)/1000+'Inputs'!$B$21+'Inputs'!$B$9+'Inputs'!$B$10))/SQRT((((841-43)*MAX('Inputs'!$B$33,'Inputs'!$B$29+'Inputs'!$B$31+'Inputs'!$B$32,'Inputs'!$B$30+'Inputs'!$B$31+'Inputs'!$B$32)/1000+'Inputs'!$B$21+'Inputs'!$B$9+'Inputs'!$B$10))^2+('Inputs'!$B$6/2)^2))))*'Results'!$B$8))),"")</x:f>
        <x:v>0.8486345780022964</x:v>
      </x:c>
      <x:c r="P841" t="n">
        <x:f>IF(AND(MAX(J841,J840)&gt;0,J841&gt;J840+0.00000001),1,0)</x:f>
        <x:v>0</x:v>
      </x:c>
      <x:c r="Q841" t="n">
        <x:f>IF(AND(MAX(K841,K840)&gt;0,K841&gt;K840+0.00000001),1,0)</x:f>
        <x:v>0</x:v>
      </x:c>
      <x:c r="R841" t="n">
        <x:f>IF(AND(MAX(L841,L840)&gt;0,L841&gt;L840+0.00000001),1,0)</x:f>
        <x:v>0</x:v>
      </x:c>
      <x:c r="S841" t="n">
        <x:f>IF(AND(MAX(M841,M840)&gt;0,M841&gt;M840+0.00000001),1,0)</x:f>
        <x:v>0</x:v>
      </x:c>
      <x:c r="T841" t="n">
        <x:f>IF(AND(MAX(N841,N840)&gt;0,N841&gt;N840+0.00000001),1,0)</x:f>
        <x:v>0</x:v>
      </x:c>
      <x:c r="U841" t="n">
        <x:f>IF(AND(MAX(O841,O840)&gt;0,O841&gt;O840+0.00000001),1,0)</x:f>
        <x:v>0</x:v>
      </x:c>
    </x:row>
    <x:row r="842">
      <x:c r="J842" t="n">
        <x:f>IF(AND(ISNUMBER('Results'!B7),ISNUMBER('Results'!C7),ISNUMBER('Results'!$B$8),ISNUMBER('Inputs'!$B$6),ISNUMBER('Inputs'!$B$7),ISNUMBER('Inputs'!$B$8),ISNUMBER('Inputs'!$B$9),ISNUMBER('Inputs'!$B$10),ISNUMBER('Inputs'!$B$21),ISNUMBER('Inputs'!$B$24),ISNUMBER('Inputs'!$B$28)),(('Results'!B7*(0.5*((((842-43)*MAX('Inputs'!$B$33,'Inputs'!$B$29+'Inputs'!$B$31+'Inputs'!$B$32,'Inputs'!$B$30+'Inputs'!$B$31+'Inputs'!$B$32)/1000+'Inputs'!$B$21)+'Inputs'!$B$7)/SQRT((((842-43)*MAX('Inputs'!$B$33,'Inputs'!$B$29+'Inputs'!$B$31+'Inputs'!$B$32,'Inputs'!$B$30+'Inputs'!$B$31+'Inputs'!$B$32)/1000+'Inputs'!$B$21)+'Inputs'!$B$7)^2+('Inputs'!$B$6/2)^2)-(((842-43)*MAX('Inputs'!$B$33,'Inputs'!$B$29+'Inputs'!$B$31+'Inputs'!$B$32,'Inputs'!$B$30+'Inputs'!$B$31+'Inputs'!$B$32)/1000+'Inputs'!$B$21))/SQRT((((842-43)*MAX('Inputs'!$B$33,'Inputs'!$B$29+'Inputs'!$B$31+'Inputs'!$B$32,'Inputs'!$B$30+'Inputs'!$B$31+'Inputs'!$B$32)/1000+'Inputs'!$B$21))^2+('Inputs'!$B$6/2)^2)))-'Results'!C7*(0.5*((((842-43)*MAX('Inputs'!$B$33,'Inputs'!$B$29+'Inputs'!$B$31+'Inputs'!$B$32,'Inputs'!$B$30+'Inputs'!$B$31+'Inputs'!$B$32)/1000+'Inputs'!$B$21+'Inputs'!$B$7+'Inputs'!$B$10)+'Inputs'!$B$9)/SQRT((((842-43)*MAX('Inputs'!$B$33,'Inputs'!$B$29+'Inputs'!$B$31+'Inputs'!$B$32,'Inputs'!$B$30+'Inputs'!$B$31+'Inputs'!$B$32)/1000+'Inputs'!$B$21+'Inputs'!$B$7+'Inputs'!$B$10)+'Inputs'!$B$9)^2+('Inputs'!$B$8/2)^2)-(((842-43)*MAX('Inputs'!$B$33,'Inputs'!$B$29+'Inputs'!$B$31+'Inputs'!$B$32,'Inputs'!$B$30+'Inputs'!$B$31+'Inputs'!$B$32)/1000+'Inputs'!$B$21+'Inputs'!$B$7+'Inputs'!$B$10))/SQRT((((842-43)*MAX('Inputs'!$B$33,'Inputs'!$B$29+'Inputs'!$B$31+'Inputs'!$B$32,'Inputs'!$B$30+'Inputs'!$B$31+'Inputs'!$B$32)/1000+'Inputs'!$B$21+'Inputs'!$B$7+'Inputs'!$B$10))^2+('Inputs'!$B$8/2)^2))))*'Results'!$B$8),"")</x:f>
        <x:v>0.8055494339743291</x:v>
      </x:c>
      <x:c r="K842" t="n">
        <x:f>IF(AND(ISNUMBER('Results'!B7),ISNUMBER('Results'!C7),ISNUMBER('Results'!$B$8),ISNUMBER('Inputs'!$B$6),ISNUMBER('Inputs'!$B$7),ISNUMBER('Inputs'!$B$8),ISNUMBER('Inputs'!$B$9),ISNUMBER('Inputs'!$B$10),ISNUMBER('Inputs'!$B$21),ISNUMBER('Inputs'!$B$24),ISNUMBER('Inputs'!$B$28)),((('Results'!B7*(1-'Inputs'!$B$24)*(0.5*((((842-43)*MAX('Inputs'!$B$33,'Inputs'!$B$29+'Inputs'!$B$31+'Inputs'!$B$32,'Inputs'!$B$30+'Inputs'!$B$31+'Inputs'!$B$32)/1000+'Inputs'!$B$21)+'Inputs'!$B$7)/SQRT((((842-43)*MAX('Inputs'!$B$33,'Inputs'!$B$29+'Inputs'!$B$31+'Inputs'!$B$32,'Inputs'!$B$30+'Inputs'!$B$31+'Inputs'!$B$32)/1000+'Inputs'!$B$21)+'Inputs'!$B$7)^2+('Inputs'!$B$6/2)^2)-(((842-43)*MAX('Inputs'!$B$33,'Inputs'!$B$29+'Inputs'!$B$31+'Inputs'!$B$32,'Inputs'!$B$30+'Inputs'!$B$31+'Inputs'!$B$32)/1000+'Inputs'!$B$21))/SQRT((((842-43)*MAX('Inputs'!$B$33,'Inputs'!$B$29+'Inputs'!$B$31+'Inputs'!$B$32,'Inputs'!$B$30+'Inputs'!$B$31+'Inputs'!$B$32)/1000+'Inputs'!$B$21))^2+('Inputs'!$B$6/2)^2)))-'Results'!C7*(1+'Inputs'!$B$24)*(0.5*((((842-43)*MAX('Inputs'!$B$33,'Inputs'!$B$29+'Inputs'!$B$31+'Inputs'!$B$32,'Inputs'!$B$30+'Inputs'!$B$31+'Inputs'!$B$32)/1000+'Inputs'!$B$21+'Inputs'!$B$7+'Inputs'!$B$10)+'Inputs'!$B$9)/SQRT((((842-43)*MAX('Inputs'!$B$33,'Inputs'!$B$29+'Inputs'!$B$31+'Inputs'!$B$32,'Inputs'!$B$30+'Inputs'!$B$31+'Inputs'!$B$32)/1000+'Inputs'!$B$21+'Inputs'!$B$7+'Inputs'!$B$10)+'Inputs'!$B$9)^2+('Inputs'!$B$8/2)^2)-(((842-43)*MAX('Inputs'!$B$33,'Inputs'!$B$29+'Inputs'!$B$31+'Inputs'!$B$32,'Inputs'!$B$30+'Inputs'!$B$31+'Inputs'!$B$32)/1000+'Inputs'!$B$21+'Inputs'!$B$7+'Inputs'!$B$10))/SQRT((((842-43)*MAX('Inputs'!$B$33,'Inputs'!$B$29+'Inputs'!$B$31+'Inputs'!$B$32,'Inputs'!$B$30+'Inputs'!$B$31+'Inputs'!$B$32)/1000+'Inputs'!$B$21+'Inputs'!$B$7+'Inputs'!$B$10))^2+('Inputs'!$B$8/2)^2))))*'Results'!$B$8)-'Inputs'!$B$28*ABS((('Results'!B7*(1-'Inputs'!$B$24)*(0.5*((((842-43)*MAX('Inputs'!$B$33,'Inputs'!$B$29+'Inputs'!$B$31+'Inputs'!$B$32,'Inputs'!$B$30+'Inputs'!$B$31+'Inputs'!$B$32)/1000+'Inputs'!$B$21)+'Inputs'!$B$7)/SQRT((((842-43)*MAX('Inputs'!$B$33,'Inputs'!$B$29+'Inputs'!$B$31+'Inputs'!$B$32,'Inputs'!$B$30+'Inputs'!$B$31+'Inputs'!$B$32)/1000+'Inputs'!$B$21)+'Inputs'!$B$7)^2+('Inputs'!$B$6/2)^2)-(((842-43)*MAX('Inputs'!$B$33,'Inputs'!$B$29+'Inputs'!$B$31+'Inputs'!$B$32,'Inputs'!$B$30+'Inputs'!$B$31+'Inputs'!$B$32)/1000+'Inputs'!$B$21))/SQRT((((842-43)*MAX('Inputs'!$B$33,'Inputs'!$B$29+'Inputs'!$B$31+'Inputs'!$B$32,'Inputs'!$B$30+'Inputs'!$B$31+'Inputs'!$B$32)/1000+'Inputs'!$B$21))^2+('Inputs'!$B$6/2)^2)))-'Results'!C7*(1+'Inputs'!$B$24)*(0.5*((((842-43)*MAX('Inputs'!$B$33,'Inputs'!$B$29+'Inputs'!$B$31+'Inputs'!$B$32,'Inputs'!$B$30+'Inputs'!$B$31+'Inputs'!$B$32)/1000+'Inputs'!$B$21+'Inputs'!$B$7+'Inputs'!$B$10)+'Inputs'!$B$9)/SQRT((((842-43)*MAX('Inputs'!$B$33,'Inputs'!$B$29+'Inputs'!$B$31+'Inputs'!$B$32,'Inputs'!$B$30+'Inputs'!$B$31+'Inputs'!$B$32)/1000+'Inputs'!$B$21+'Inputs'!$B$7+'Inputs'!$B$10)+'Inputs'!$B$9)^2+('Inputs'!$B$8/2)^2)-(((842-43)*MAX('Inputs'!$B$33,'Inputs'!$B$29+'Inputs'!$B$31+'Inputs'!$B$32,'Inputs'!$B$30+'Inputs'!$B$31+'Inputs'!$B$32)/1000+'Inputs'!$B$21+'Inputs'!$B$7+'Inputs'!$B$10))/SQRT((((842-43)*MAX('Inputs'!$B$33,'Inputs'!$B$29+'Inputs'!$B$31+'Inputs'!$B$32,'Inputs'!$B$30+'Inputs'!$B$31+'Inputs'!$B$32)/1000+'Inputs'!$B$21+'Inputs'!$B$7+'Inputs'!$B$10))^2+('Inputs'!$B$8/2)^2))))*'Results'!$B$8))),"")</x:f>
        <x:v>0.6896550637900277</x:v>
      </x:c>
      <x:c r="L842" t="n">
        <x:f>IF(AND(ISNUMBER('Results'!B7),ISNUMBER('Results'!C7),ISNUMBER('Results'!$B$8),ISNUMBER('Inputs'!$B$6),ISNUMBER('Inputs'!$B$7),ISNUMBER('Inputs'!$B$8),ISNUMBER('Inputs'!$B$9),ISNUMBER('Inputs'!$B$10),ISNUMBER('Inputs'!$B$21),ISNUMBER('Inputs'!$B$24),ISNUMBER('Inputs'!$B$28)),((('Results'!B7*(1+'Inputs'!$B$24)*(0.5*((((842-43)*MAX('Inputs'!$B$33,'Inputs'!$B$29+'Inputs'!$B$31+'Inputs'!$B$32,'Inputs'!$B$30+'Inputs'!$B$31+'Inputs'!$B$32)/1000+'Inputs'!$B$21)+'Inputs'!$B$7)/SQRT((((842-43)*MAX('Inputs'!$B$33,'Inputs'!$B$29+'Inputs'!$B$31+'Inputs'!$B$32,'Inputs'!$B$30+'Inputs'!$B$31+'Inputs'!$B$32)/1000+'Inputs'!$B$21)+'Inputs'!$B$7)^2+('Inputs'!$B$6/2)^2)-(((842-43)*MAX('Inputs'!$B$33,'Inputs'!$B$29+'Inputs'!$B$31+'Inputs'!$B$32,'Inputs'!$B$30+'Inputs'!$B$31+'Inputs'!$B$32)/1000+'Inputs'!$B$21))/SQRT((((842-43)*MAX('Inputs'!$B$33,'Inputs'!$B$29+'Inputs'!$B$31+'Inputs'!$B$32,'Inputs'!$B$30+'Inputs'!$B$31+'Inputs'!$B$32)/1000+'Inputs'!$B$21))^2+('Inputs'!$B$6/2)^2)))-'Results'!C7*(1-'Inputs'!$B$24)*(0.5*((((842-43)*MAX('Inputs'!$B$33,'Inputs'!$B$29+'Inputs'!$B$31+'Inputs'!$B$32,'Inputs'!$B$30+'Inputs'!$B$31+'Inputs'!$B$32)/1000+'Inputs'!$B$21+'Inputs'!$B$7+'Inputs'!$B$10)+'Inputs'!$B$9)/SQRT((((842-43)*MAX('Inputs'!$B$33,'Inputs'!$B$29+'Inputs'!$B$31+'Inputs'!$B$32,'Inputs'!$B$30+'Inputs'!$B$31+'Inputs'!$B$32)/1000+'Inputs'!$B$21+'Inputs'!$B$7+'Inputs'!$B$10)+'Inputs'!$B$9)^2+('Inputs'!$B$8/2)^2)-(((842-43)*MAX('Inputs'!$B$33,'Inputs'!$B$29+'Inputs'!$B$31+'Inputs'!$B$32,'Inputs'!$B$30+'Inputs'!$B$31+'Inputs'!$B$32)/1000+'Inputs'!$B$21+'Inputs'!$B$7+'Inputs'!$B$10))/SQRT((((842-43)*MAX('Inputs'!$B$33,'Inputs'!$B$29+'Inputs'!$B$31+'Inputs'!$B$32,'Inputs'!$B$30+'Inputs'!$B$31+'Inputs'!$B$32)/1000+'Inputs'!$B$21+'Inputs'!$B$7+'Inputs'!$B$10))^2+('Inputs'!$B$8/2)^2))))*'Results'!$B$8)+'Inputs'!$B$28*ABS((('Results'!B7*(1+'Inputs'!$B$24)*(0.5*((((842-43)*MAX('Inputs'!$B$33,'Inputs'!$B$29+'Inputs'!$B$31+'Inputs'!$B$32,'Inputs'!$B$30+'Inputs'!$B$31+'Inputs'!$B$32)/1000+'Inputs'!$B$21)+'Inputs'!$B$7)/SQRT((((842-43)*MAX('Inputs'!$B$33,'Inputs'!$B$29+'Inputs'!$B$31+'Inputs'!$B$32,'Inputs'!$B$30+'Inputs'!$B$31+'Inputs'!$B$32)/1000+'Inputs'!$B$21)+'Inputs'!$B$7)^2+('Inputs'!$B$6/2)^2)-(((842-43)*MAX('Inputs'!$B$33,'Inputs'!$B$29+'Inputs'!$B$31+'Inputs'!$B$32,'Inputs'!$B$30+'Inputs'!$B$31+'Inputs'!$B$32)/1000+'Inputs'!$B$21))/SQRT((((842-43)*MAX('Inputs'!$B$33,'Inputs'!$B$29+'Inputs'!$B$31+'Inputs'!$B$32,'Inputs'!$B$30+'Inputs'!$B$31+'Inputs'!$B$32)/1000+'Inputs'!$B$21))^2+('Inputs'!$B$6/2)^2)))-'Results'!C7*(1-'Inputs'!$B$24)*(0.5*((((842-43)*MAX('Inputs'!$B$33,'Inputs'!$B$29+'Inputs'!$B$31+'Inputs'!$B$32,'Inputs'!$B$30+'Inputs'!$B$31+'Inputs'!$B$32)/1000+'Inputs'!$B$21+'Inputs'!$B$7+'Inputs'!$B$10)+'Inputs'!$B$9)/SQRT((((842-43)*MAX('Inputs'!$B$33,'Inputs'!$B$29+'Inputs'!$B$31+'Inputs'!$B$32,'Inputs'!$B$30+'Inputs'!$B$31+'Inputs'!$B$32)/1000+'Inputs'!$B$21+'Inputs'!$B$7+'Inputs'!$B$10)+'Inputs'!$B$9)^2+('Inputs'!$B$8/2)^2)-(((842-43)*MAX('Inputs'!$B$33,'Inputs'!$B$29+'Inputs'!$B$31+'Inputs'!$B$32,'Inputs'!$B$30+'Inputs'!$B$31+'Inputs'!$B$32)/1000+'Inputs'!$B$21+'Inputs'!$B$7+'Inputs'!$B$10))/SQRT((((842-43)*MAX('Inputs'!$B$33,'Inputs'!$B$29+'Inputs'!$B$31+'Inputs'!$B$32,'Inputs'!$B$30+'Inputs'!$B$31+'Inputs'!$B$32)/1000+'Inputs'!$B$21+'Inputs'!$B$7+'Inputs'!$B$10))^2+('Inputs'!$B$8/2)^2))))*'Results'!$B$8))),"")</x:f>
        <x:v>0.9294034776834285</x:v>
      </x:c>
      <x:c r="M842" t="n">
        <x:f>IF(AND(ISNUMBER('Results'!C7),ISNUMBER('Results'!B7),ISNUMBER('Results'!$B$8),ISNUMBER('Inputs'!$B$6),ISNUMBER('Inputs'!$B$7),ISNUMBER('Inputs'!$B$8),ISNUMBER('Inputs'!$B$9),ISNUMBER('Inputs'!$B$10),ISNUMBER('Inputs'!$B$21),ISNUMBER('Inputs'!$B$24),ISNUMBER('Inputs'!$B$28)),(('Results'!C7*(0.5*((((842-43)*MAX('Inputs'!$B$33,'Inputs'!$B$29+'Inputs'!$B$31+'Inputs'!$B$32,'Inputs'!$B$30+'Inputs'!$B$31+'Inputs'!$B$32)/1000+'Inputs'!$B$21)+'Inputs'!$B$9)/SQRT((((842-43)*MAX('Inputs'!$B$33,'Inputs'!$B$29+'Inputs'!$B$31+'Inputs'!$B$32,'Inputs'!$B$30+'Inputs'!$B$31+'Inputs'!$B$32)/1000+'Inputs'!$B$21)+'Inputs'!$B$9)^2+('Inputs'!$B$8/2)^2)-(((842-43)*MAX('Inputs'!$B$33,'Inputs'!$B$29+'Inputs'!$B$31+'Inputs'!$B$32,'Inputs'!$B$30+'Inputs'!$B$31+'Inputs'!$B$32)/1000+'Inputs'!$B$21))/SQRT((((842-43)*MAX('Inputs'!$B$33,'Inputs'!$B$29+'Inputs'!$B$31+'Inputs'!$B$32,'Inputs'!$B$30+'Inputs'!$B$31+'Inputs'!$B$32)/1000+'Inputs'!$B$21))^2+('Inputs'!$B$8/2)^2)))-'Results'!B7*(0.5*((((842-43)*MAX('Inputs'!$B$33,'Inputs'!$B$29+'Inputs'!$B$31+'Inputs'!$B$32,'Inputs'!$B$30+'Inputs'!$B$31+'Inputs'!$B$32)/1000+'Inputs'!$B$21+'Inputs'!$B$9+'Inputs'!$B$10)+'Inputs'!$B$7)/SQRT((((842-43)*MAX('Inputs'!$B$33,'Inputs'!$B$29+'Inputs'!$B$31+'Inputs'!$B$32,'Inputs'!$B$30+'Inputs'!$B$31+'Inputs'!$B$32)/1000+'Inputs'!$B$21+'Inputs'!$B$9+'Inputs'!$B$10)+'Inputs'!$B$7)^2+('Inputs'!$B$6/2)^2)-(((842-43)*MAX('Inputs'!$B$33,'Inputs'!$B$29+'Inputs'!$B$31+'Inputs'!$B$32,'Inputs'!$B$30+'Inputs'!$B$31+'Inputs'!$B$32)/1000+'Inputs'!$B$21+'Inputs'!$B$9+'Inputs'!$B$10))/SQRT((((842-43)*MAX('Inputs'!$B$33,'Inputs'!$B$29+'Inputs'!$B$31+'Inputs'!$B$32,'Inputs'!$B$30+'Inputs'!$B$31+'Inputs'!$B$32)/1000+'Inputs'!$B$21+'Inputs'!$B$9+'Inputs'!$B$10))^2+('Inputs'!$B$6/2)^2))))*'Results'!$B$8),"")</x:f>
        <x:v>0.7253048849858502</x:v>
      </x:c>
      <x:c r="N842" t="n">
        <x:f>IF(AND(ISNUMBER('Results'!C7),ISNUMBER('Results'!B7),ISNUMBER('Results'!$B$8),ISNUMBER('Inputs'!$B$6),ISNUMBER('Inputs'!$B$7),ISNUMBER('Inputs'!$B$8),ISNUMBER('Inputs'!$B$9),ISNUMBER('Inputs'!$B$10),ISNUMBER('Inputs'!$B$21),ISNUMBER('Inputs'!$B$24),ISNUMBER('Inputs'!$B$28)),((('Results'!C7*(1-'Inputs'!$B$24)*(0.5*((((842-43)*MAX('Inputs'!$B$33,'Inputs'!$B$29+'Inputs'!$B$31+'Inputs'!$B$32,'Inputs'!$B$30+'Inputs'!$B$31+'Inputs'!$B$32)/1000+'Inputs'!$B$21)+'Inputs'!$B$9)/SQRT((((842-43)*MAX('Inputs'!$B$33,'Inputs'!$B$29+'Inputs'!$B$31+'Inputs'!$B$32,'Inputs'!$B$30+'Inputs'!$B$31+'Inputs'!$B$32)/1000+'Inputs'!$B$21)+'Inputs'!$B$9)^2+('Inputs'!$B$8/2)^2)-(((842-43)*MAX('Inputs'!$B$33,'Inputs'!$B$29+'Inputs'!$B$31+'Inputs'!$B$32,'Inputs'!$B$30+'Inputs'!$B$31+'Inputs'!$B$32)/1000+'Inputs'!$B$21))/SQRT((((842-43)*MAX('Inputs'!$B$33,'Inputs'!$B$29+'Inputs'!$B$31+'Inputs'!$B$32,'Inputs'!$B$30+'Inputs'!$B$31+'Inputs'!$B$32)/1000+'Inputs'!$B$21))^2+('Inputs'!$B$8/2)^2)))-'Results'!B7*(1+'Inputs'!$B$24)*(0.5*((((842-43)*MAX('Inputs'!$B$33,'Inputs'!$B$29+'Inputs'!$B$31+'Inputs'!$B$32,'Inputs'!$B$30+'Inputs'!$B$31+'Inputs'!$B$32)/1000+'Inputs'!$B$21+'Inputs'!$B$9+'Inputs'!$B$10)+'Inputs'!$B$7)/SQRT((((842-43)*MAX('Inputs'!$B$33,'Inputs'!$B$29+'Inputs'!$B$31+'Inputs'!$B$32,'Inputs'!$B$30+'Inputs'!$B$31+'Inputs'!$B$32)/1000+'Inputs'!$B$21+'Inputs'!$B$9+'Inputs'!$B$10)+'Inputs'!$B$7)^2+('Inputs'!$B$6/2)^2)-(((842-43)*MAX('Inputs'!$B$33,'Inputs'!$B$29+'Inputs'!$B$31+'Inputs'!$B$32,'Inputs'!$B$30+'Inputs'!$B$31+'Inputs'!$B$32)/1000+'Inputs'!$B$21+'Inputs'!$B$9+'Inputs'!$B$10))/SQRT((((842-43)*MAX('Inputs'!$B$33,'Inputs'!$B$29+'Inputs'!$B$31+'Inputs'!$B$32,'Inputs'!$B$30+'Inputs'!$B$31+'Inputs'!$B$32)/1000+'Inputs'!$B$21+'Inputs'!$B$9+'Inputs'!$B$10))^2+('Inputs'!$B$6/2)^2))))*'Results'!$B$8)-'Inputs'!$B$28*ABS((('Results'!C7*(1-'Inputs'!$B$24)*(0.5*((((842-43)*MAX('Inputs'!$B$33,'Inputs'!$B$29+'Inputs'!$B$31+'Inputs'!$B$32,'Inputs'!$B$30+'Inputs'!$B$31+'Inputs'!$B$32)/1000+'Inputs'!$B$21)+'Inputs'!$B$9)/SQRT((((842-43)*MAX('Inputs'!$B$33,'Inputs'!$B$29+'Inputs'!$B$31+'Inputs'!$B$32,'Inputs'!$B$30+'Inputs'!$B$31+'Inputs'!$B$32)/1000+'Inputs'!$B$21)+'Inputs'!$B$9)^2+('Inputs'!$B$8/2)^2)-(((842-43)*MAX('Inputs'!$B$33,'Inputs'!$B$29+'Inputs'!$B$31+'Inputs'!$B$32,'Inputs'!$B$30+'Inputs'!$B$31+'Inputs'!$B$32)/1000+'Inputs'!$B$21))/SQRT((((842-43)*MAX('Inputs'!$B$33,'Inputs'!$B$29+'Inputs'!$B$31+'Inputs'!$B$32,'Inputs'!$B$30+'Inputs'!$B$31+'Inputs'!$B$32)/1000+'Inputs'!$B$21))^2+('Inputs'!$B$8/2)^2)))-'Results'!B7*(1+'Inputs'!$B$24)*(0.5*((((842-43)*MAX('Inputs'!$B$33,'Inputs'!$B$29+'Inputs'!$B$31+'Inputs'!$B$32,'Inputs'!$B$30+'Inputs'!$B$31+'Inputs'!$B$32)/1000+'Inputs'!$B$21+'Inputs'!$B$9+'Inputs'!$B$10)+'Inputs'!$B$7)/SQRT((((842-43)*MAX('Inputs'!$B$33,'Inputs'!$B$29+'Inputs'!$B$31+'Inputs'!$B$32,'Inputs'!$B$30+'Inputs'!$B$31+'Inputs'!$B$32)/1000+'Inputs'!$B$21+'Inputs'!$B$9+'Inputs'!$B$10)+'Inputs'!$B$7)^2+('Inputs'!$B$6/2)^2)-(((842-43)*MAX('Inputs'!$B$33,'Inputs'!$B$29+'Inputs'!$B$31+'Inputs'!$B$32,'Inputs'!$B$30+'Inputs'!$B$31+'Inputs'!$B$32)/1000+'Inputs'!$B$21+'Inputs'!$B$9+'Inputs'!$B$10))/SQRT((((842-43)*MAX('Inputs'!$B$33,'Inputs'!$B$29+'Inputs'!$B$31+'Inputs'!$B$32,'Inputs'!$B$30+'Inputs'!$B$31+'Inputs'!$B$32)/1000+'Inputs'!$B$21+'Inputs'!$B$9+'Inputs'!$B$10))^2+('Inputs'!$B$6/2)^2))))*'Results'!$B$8))),"")</x:f>
        <x:v>0.6137165425748137</x:v>
      </x:c>
      <x:c r="O842" t="n">
        <x:f>IF(AND(ISNUMBER('Results'!C7),ISNUMBER('Results'!B7),ISNUMBER('Results'!$B$8),ISNUMBER('Inputs'!$B$6),ISNUMBER('Inputs'!$B$7),ISNUMBER('Inputs'!$B$8),ISNUMBER('Inputs'!$B$9),ISNUMBER('Inputs'!$B$10),ISNUMBER('Inputs'!$B$21),ISNUMBER('Inputs'!$B$24),ISNUMBER('Inputs'!$B$28)),((('Results'!C7*(1+'Inputs'!$B$24)*(0.5*((((842-43)*MAX('Inputs'!$B$33,'Inputs'!$B$29+'Inputs'!$B$31+'Inputs'!$B$32,'Inputs'!$B$30+'Inputs'!$B$31+'Inputs'!$B$32)/1000+'Inputs'!$B$21)+'Inputs'!$B$9)/SQRT((((842-43)*MAX('Inputs'!$B$33,'Inputs'!$B$29+'Inputs'!$B$31+'Inputs'!$B$32,'Inputs'!$B$30+'Inputs'!$B$31+'Inputs'!$B$32)/1000+'Inputs'!$B$21)+'Inputs'!$B$9)^2+('Inputs'!$B$8/2)^2)-(((842-43)*MAX('Inputs'!$B$33,'Inputs'!$B$29+'Inputs'!$B$31+'Inputs'!$B$32,'Inputs'!$B$30+'Inputs'!$B$31+'Inputs'!$B$32)/1000+'Inputs'!$B$21))/SQRT((((842-43)*MAX('Inputs'!$B$33,'Inputs'!$B$29+'Inputs'!$B$31+'Inputs'!$B$32,'Inputs'!$B$30+'Inputs'!$B$31+'Inputs'!$B$32)/1000+'Inputs'!$B$21))^2+('Inputs'!$B$8/2)^2)))-'Results'!B7*(1-'Inputs'!$B$24)*(0.5*((((842-43)*MAX('Inputs'!$B$33,'Inputs'!$B$29+'Inputs'!$B$31+'Inputs'!$B$32,'Inputs'!$B$30+'Inputs'!$B$31+'Inputs'!$B$32)/1000+'Inputs'!$B$21+'Inputs'!$B$9+'Inputs'!$B$10)+'Inputs'!$B$7)/SQRT((((842-43)*MAX('Inputs'!$B$33,'Inputs'!$B$29+'Inputs'!$B$31+'Inputs'!$B$32,'Inputs'!$B$30+'Inputs'!$B$31+'Inputs'!$B$32)/1000+'Inputs'!$B$21+'Inputs'!$B$9+'Inputs'!$B$10)+'Inputs'!$B$7)^2+('Inputs'!$B$6/2)^2)-(((842-43)*MAX('Inputs'!$B$33,'Inputs'!$B$29+'Inputs'!$B$31+'Inputs'!$B$32,'Inputs'!$B$30+'Inputs'!$B$31+'Inputs'!$B$32)/1000+'Inputs'!$B$21+'Inputs'!$B$9+'Inputs'!$B$10))/SQRT((((842-43)*MAX('Inputs'!$B$33,'Inputs'!$B$29+'Inputs'!$B$31+'Inputs'!$B$32,'Inputs'!$B$30+'Inputs'!$B$31+'Inputs'!$B$32)/1000+'Inputs'!$B$21+'Inputs'!$B$9+'Inputs'!$B$10))^2+('Inputs'!$B$6/2)^2))))*'Results'!$B$8)+'Inputs'!$B$28*ABS((('Results'!C7*(1+'Inputs'!$B$24)*(0.5*((((842-43)*MAX('Inputs'!$B$33,'Inputs'!$B$29+'Inputs'!$B$31+'Inputs'!$B$32,'Inputs'!$B$30+'Inputs'!$B$31+'Inputs'!$B$32)/1000+'Inputs'!$B$21)+'Inputs'!$B$9)/SQRT((((842-43)*MAX('Inputs'!$B$33,'Inputs'!$B$29+'Inputs'!$B$31+'Inputs'!$B$32,'Inputs'!$B$30+'Inputs'!$B$31+'Inputs'!$B$32)/1000+'Inputs'!$B$21)+'Inputs'!$B$9)^2+('Inputs'!$B$8/2)^2)-(((842-43)*MAX('Inputs'!$B$33,'Inputs'!$B$29+'Inputs'!$B$31+'Inputs'!$B$32,'Inputs'!$B$30+'Inputs'!$B$31+'Inputs'!$B$32)/1000+'Inputs'!$B$21))/SQRT((((842-43)*MAX('Inputs'!$B$33,'Inputs'!$B$29+'Inputs'!$B$31+'Inputs'!$B$32,'Inputs'!$B$30+'Inputs'!$B$31+'Inputs'!$B$32)/1000+'Inputs'!$B$21))^2+('Inputs'!$B$8/2)^2)))-'Results'!B7*(1-'Inputs'!$B$24)*(0.5*((((842-43)*MAX('Inputs'!$B$33,'Inputs'!$B$29+'Inputs'!$B$31+'Inputs'!$B$32,'Inputs'!$B$30+'Inputs'!$B$31+'Inputs'!$B$32)/1000+'Inputs'!$B$21+'Inputs'!$B$9+'Inputs'!$B$10)+'Inputs'!$B$7)/SQRT((((842-43)*MAX('Inputs'!$B$33,'Inputs'!$B$29+'Inputs'!$B$31+'Inputs'!$B$32,'Inputs'!$B$30+'Inputs'!$B$31+'Inputs'!$B$32)/1000+'Inputs'!$B$21+'Inputs'!$B$9+'Inputs'!$B$10)+'Inputs'!$B$7)^2+('Inputs'!$B$6/2)^2)-(((842-43)*MAX('Inputs'!$B$33,'Inputs'!$B$29+'Inputs'!$B$31+'Inputs'!$B$32,'Inputs'!$B$30+'Inputs'!$B$31+'Inputs'!$B$32)/1000+'Inputs'!$B$21+'Inputs'!$B$9+'Inputs'!$B$10))/SQRT((((842-43)*MAX('Inputs'!$B$33,'Inputs'!$B$29+'Inputs'!$B$31+'Inputs'!$B$32,'Inputs'!$B$30+'Inputs'!$B$31+'Inputs'!$B$32)/1000+'Inputs'!$B$21+'Inputs'!$B$9+'Inputs'!$B$10))^2+('Inputs'!$B$6/2)^2))))*'Results'!$B$8))),"")</x:f>
        <x:v>0.8448219745718073</x:v>
      </x:c>
      <x:c r="P842" t="n">
        <x:f>IF(AND(MAX(J842,J841)&gt;0,J842&gt;J841+0.00000001),1,0)</x:f>
        <x:v>0</x:v>
      </x:c>
      <x:c r="Q842" t="n">
        <x:f>IF(AND(MAX(K842,K841)&gt;0,K842&gt;K841+0.00000001),1,0)</x:f>
        <x:v>0</x:v>
      </x:c>
      <x:c r="R842" t="n">
        <x:f>IF(AND(MAX(L842,L841)&gt;0,L842&gt;L841+0.00000001),1,0)</x:f>
        <x:v>0</x:v>
      </x:c>
      <x:c r="S842" t="n">
        <x:f>IF(AND(MAX(M842,M841)&gt;0,M842&gt;M841+0.00000001),1,0)</x:f>
        <x:v>0</x:v>
      </x:c>
      <x:c r="T842" t="n">
        <x:f>IF(AND(MAX(N842,N841)&gt;0,N842&gt;N841+0.00000001),1,0)</x:f>
        <x:v>0</x:v>
      </x:c>
      <x:c r="U842" t="n">
        <x:f>IF(AND(MAX(O842,O841)&gt;0,O842&gt;O841+0.00000001),1,0)</x:f>
        <x:v>0</x:v>
      </x:c>
    </x:row>
    <x:row r="843">
      <x:c r="J843" t="n">
        <x:f>IF(AND(ISNUMBER('Results'!B7),ISNUMBER('Results'!C7),ISNUMBER('Results'!$B$8),ISNUMBER('Inputs'!$B$6),ISNUMBER('Inputs'!$B$7),ISNUMBER('Inputs'!$B$8),ISNUMBER('Inputs'!$B$9),ISNUMBER('Inputs'!$B$10),ISNUMBER('Inputs'!$B$21),ISNUMBER('Inputs'!$B$24),ISNUMBER('Inputs'!$B$28)),(('Results'!B7*(0.5*((((843-43)*MAX('Inputs'!$B$33,'Inputs'!$B$29+'Inputs'!$B$31+'Inputs'!$B$32,'Inputs'!$B$30+'Inputs'!$B$31+'Inputs'!$B$32)/1000+'Inputs'!$B$21)+'Inputs'!$B$7)/SQRT((((843-43)*MAX('Inputs'!$B$33,'Inputs'!$B$29+'Inputs'!$B$31+'Inputs'!$B$32,'Inputs'!$B$30+'Inputs'!$B$31+'Inputs'!$B$32)/1000+'Inputs'!$B$21)+'Inputs'!$B$7)^2+('Inputs'!$B$6/2)^2)-(((843-43)*MAX('Inputs'!$B$33,'Inputs'!$B$29+'Inputs'!$B$31+'Inputs'!$B$32,'Inputs'!$B$30+'Inputs'!$B$31+'Inputs'!$B$32)/1000+'Inputs'!$B$21))/SQRT((((843-43)*MAX('Inputs'!$B$33,'Inputs'!$B$29+'Inputs'!$B$31+'Inputs'!$B$32,'Inputs'!$B$30+'Inputs'!$B$31+'Inputs'!$B$32)/1000+'Inputs'!$B$21))^2+('Inputs'!$B$6/2)^2)))-'Results'!C7*(0.5*((((843-43)*MAX('Inputs'!$B$33,'Inputs'!$B$29+'Inputs'!$B$31+'Inputs'!$B$32,'Inputs'!$B$30+'Inputs'!$B$31+'Inputs'!$B$32)/1000+'Inputs'!$B$21+'Inputs'!$B$7+'Inputs'!$B$10)+'Inputs'!$B$9)/SQRT((((843-43)*MAX('Inputs'!$B$33,'Inputs'!$B$29+'Inputs'!$B$31+'Inputs'!$B$32,'Inputs'!$B$30+'Inputs'!$B$31+'Inputs'!$B$32)/1000+'Inputs'!$B$21+'Inputs'!$B$7+'Inputs'!$B$10)+'Inputs'!$B$9)^2+('Inputs'!$B$8/2)^2)-(((843-43)*MAX('Inputs'!$B$33,'Inputs'!$B$29+'Inputs'!$B$31+'Inputs'!$B$32,'Inputs'!$B$30+'Inputs'!$B$31+'Inputs'!$B$32)/1000+'Inputs'!$B$21+'Inputs'!$B$7+'Inputs'!$B$10))/SQRT((((843-43)*MAX('Inputs'!$B$33,'Inputs'!$B$29+'Inputs'!$B$31+'Inputs'!$B$32,'Inputs'!$B$30+'Inputs'!$B$31+'Inputs'!$B$32)/1000+'Inputs'!$B$21+'Inputs'!$B$7+'Inputs'!$B$10))^2+('Inputs'!$B$8/2)^2))))*'Results'!$B$8),"")</x:f>
        <x:v>0.8019353679680541</x:v>
      </x:c>
      <x:c r="K843" t="n">
        <x:f>IF(AND(ISNUMBER('Results'!B7),ISNUMBER('Results'!C7),ISNUMBER('Results'!$B$8),ISNUMBER('Inputs'!$B$6),ISNUMBER('Inputs'!$B$7),ISNUMBER('Inputs'!$B$8),ISNUMBER('Inputs'!$B$9),ISNUMBER('Inputs'!$B$10),ISNUMBER('Inputs'!$B$21),ISNUMBER('Inputs'!$B$24),ISNUMBER('Inputs'!$B$28)),((('Results'!B7*(1-'Inputs'!$B$24)*(0.5*((((843-43)*MAX('Inputs'!$B$33,'Inputs'!$B$29+'Inputs'!$B$31+'Inputs'!$B$32,'Inputs'!$B$30+'Inputs'!$B$31+'Inputs'!$B$32)/1000+'Inputs'!$B$21)+'Inputs'!$B$7)/SQRT((((843-43)*MAX('Inputs'!$B$33,'Inputs'!$B$29+'Inputs'!$B$31+'Inputs'!$B$32,'Inputs'!$B$30+'Inputs'!$B$31+'Inputs'!$B$32)/1000+'Inputs'!$B$21)+'Inputs'!$B$7)^2+('Inputs'!$B$6/2)^2)-(((843-43)*MAX('Inputs'!$B$33,'Inputs'!$B$29+'Inputs'!$B$31+'Inputs'!$B$32,'Inputs'!$B$30+'Inputs'!$B$31+'Inputs'!$B$32)/1000+'Inputs'!$B$21))/SQRT((((843-43)*MAX('Inputs'!$B$33,'Inputs'!$B$29+'Inputs'!$B$31+'Inputs'!$B$32,'Inputs'!$B$30+'Inputs'!$B$31+'Inputs'!$B$32)/1000+'Inputs'!$B$21))^2+('Inputs'!$B$6/2)^2)))-'Results'!C7*(1+'Inputs'!$B$24)*(0.5*((((843-43)*MAX('Inputs'!$B$33,'Inputs'!$B$29+'Inputs'!$B$31+'Inputs'!$B$32,'Inputs'!$B$30+'Inputs'!$B$31+'Inputs'!$B$32)/1000+'Inputs'!$B$21+'Inputs'!$B$7+'Inputs'!$B$10)+'Inputs'!$B$9)/SQRT((((843-43)*MAX('Inputs'!$B$33,'Inputs'!$B$29+'Inputs'!$B$31+'Inputs'!$B$32,'Inputs'!$B$30+'Inputs'!$B$31+'Inputs'!$B$32)/1000+'Inputs'!$B$21+'Inputs'!$B$7+'Inputs'!$B$10)+'Inputs'!$B$9)^2+('Inputs'!$B$8/2)^2)-(((843-43)*MAX('Inputs'!$B$33,'Inputs'!$B$29+'Inputs'!$B$31+'Inputs'!$B$32,'Inputs'!$B$30+'Inputs'!$B$31+'Inputs'!$B$32)/1000+'Inputs'!$B$21+'Inputs'!$B$7+'Inputs'!$B$10))/SQRT((((843-43)*MAX('Inputs'!$B$33,'Inputs'!$B$29+'Inputs'!$B$31+'Inputs'!$B$32,'Inputs'!$B$30+'Inputs'!$B$31+'Inputs'!$B$32)/1000+'Inputs'!$B$21+'Inputs'!$B$7+'Inputs'!$B$10))^2+('Inputs'!$B$8/2)^2))))*'Results'!$B$8)-'Inputs'!$B$28*ABS((('Results'!B7*(1-'Inputs'!$B$24)*(0.5*((((843-43)*MAX('Inputs'!$B$33,'Inputs'!$B$29+'Inputs'!$B$31+'Inputs'!$B$32,'Inputs'!$B$30+'Inputs'!$B$31+'Inputs'!$B$32)/1000+'Inputs'!$B$21)+'Inputs'!$B$7)/SQRT((((843-43)*MAX('Inputs'!$B$33,'Inputs'!$B$29+'Inputs'!$B$31+'Inputs'!$B$32,'Inputs'!$B$30+'Inputs'!$B$31+'Inputs'!$B$32)/1000+'Inputs'!$B$21)+'Inputs'!$B$7)^2+('Inputs'!$B$6/2)^2)-(((843-43)*MAX('Inputs'!$B$33,'Inputs'!$B$29+'Inputs'!$B$31+'Inputs'!$B$32,'Inputs'!$B$30+'Inputs'!$B$31+'Inputs'!$B$32)/1000+'Inputs'!$B$21))/SQRT((((843-43)*MAX('Inputs'!$B$33,'Inputs'!$B$29+'Inputs'!$B$31+'Inputs'!$B$32,'Inputs'!$B$30+'Inputs'!$B$31+'Inputs'!$B$32)/1000+'Inputs'!$B$21))^2+('Inputs'!$B$6/2)^2)))-'Results'!C7*(1+'Inputs'!$B$24)*(0.5*((((843-43)*MAX('Inputs'!$B$33,'Inputs'!$B$29+'Inputs'!$B$31+'Inputs'!$B$32,'Inputs'!$B$30+'Inputs'!$B$31+'Inputs'!$B$32)/1000+'Inputs'!$B$21+'Inputs'!$B$7+'Inputs'!$B$10)+'Inputs'!$B$9)/SQRT((((843-43)*MAX('Inputs'!$B$33,'Inputs'!$B$29+'Inputs'!$B$31+'Inputs'!$B$32,'Inputs'!$B$30+'Inputs'!$B$31+'Inputs'!$B$32)/1000+'Inputs'!$B$21+'Inputs'!$B$7+'Inputs'!$B$10)+'Inputs'!$B$9)^2+('Inputs'!$B$8/2)^2)-(((843-43)*MAX('Inputs'!$B$33,'Inputs'!$B$29+'Inputs'!$B$31+'Inputs'!$B$32,'Inputs'!$B$30+'Inputs'!$B$31+'Inputs'!$B$32)/1000+'Inputs'!$B$21+'Inputs'!$B$7+'Inputs'!$B$10))/SQRT((((843-43)*MAX('Inputs'!$B$33,'Inputs'!$B$29+'Inputs'!$B$31+'Inputs'!$B$32,'Inputs'!$B$30+'Inputs'!$B$31+'Inputs'!$B$32)/1000+'Inputs'!$B$21+'Inputs'!$B$7+'Inputs'!$B$10))^2+('Inputs'!$B$8/2)^2))))*'Results'!$B$8))),"")</x:f>
        <x:v>0.6864824990599848</x:v>
      </x:c>
      <x:c r="L843" t="n">
        <x:f>IF(AND(ISNUMBER('Results'!B7),ISNUMBER('Results'!C7),ISNUMBER('Results'!$B$8),ISNUMBER('Inputs'!$B$6),ISNUMBER('Inputs'!$B$7),ISNUMBER('Inputs'!$B$8),ISNUMBER('Inputs'!$B$9),ISNUMBER('Inputs'!$B$10),ISNUMBER('Inputs'!$B$21),ISNUMBER('Inputs'!$B$24),ISNUMBER('Inputs'!$B$28)),((('Results'!B7*(1+'Inputs'!$B$24)*(0.5*((((843-43)*MAX('Inputs'!$B$33,'Inputs'!$B$29+'Inputs'!$B$31+'Inputs'!$B$32,'Inputs'!$B$30+'Inputs'!$B$31+'Inputs'!$B$32)/1000+'Inputs'!$B$21)+'Inputs'!$B$7)/SQRT((((843-43)*MAX('Inputs'!$B$33,'Inputs'!$B$29+'Inputs'!$B$31+'Inputs'!$B$32,'Inputs'!$B$30+'Inputs'!$B$31+'Inputs'!$B$32)/1000+'Inputs'!$B$21)+'Inputs'!$B$7)^2+('Inputs'!$B$6/2)^2)-(((843-43)*MAX('Inputs'!$B$33,'Inputs'!$B$29+'Inputs'!$B$31+'Inputs'!$B$32,'Inputs'!$B$30+'Inputs'!$B$31+'Inputs'!$B$32)/1000+'Inputs'!$B$21))/SQRT((((843-43)*MAX('Inputs'!$B$33,'Inputs'!$B$29+'Inputs'!$B$31+'Inputs'!$B$32,'Inputs'!$B$30+'Inputs'!$B$31+'Inputs'!$B$32)/1000+'Inputs'!$B$21))^2+('Inputs'!$B$6/2)^2)))-'Results'!C7*(1-'Inputs'!$B$24)*(0.5*((((843-43)*MAX('Inputs'!$B$33,'Inputs'!$B$29+'Inputs'!$B$31+'Inputs'!$B$32,'Inputs'!$B$30+'Inputs'!$B$31+'Inputs'!$B$32)/1000+'Inputs'!$B$21+'Inputs'!$B$7+'Inputs'!$B$10)+'Inputs'!$B$9)/SQRT((((843-43)*MAX('Inputs'!$B$33,'Inputs'!$B$29+'Inputs'!$B$31+'Inputs'!$B$32,'Inputs'!$B$30+'Inputs'!$B$31+'Inputs'!$B$32)/1000+'Inputs'!$B$21+'Inputs'!$B$7+'Inputs'!$B$10)+'Inputs'!$B$9)^2+('Inputs'!$B$8/2)^2)-(((843-43)*MAX('Inputs'!$B$33,'Inputs'!$B$29+'Inputs'!$B$31+'Inputs'!$B$32,'Inputs'!$B$30+'Inputs'!$B$31+'Inputs'!$B$32)/1000+'Inputs'!$B$21+'Inputs'!$B$7+'Inputs'!$B$10))/SQRT((((843-43)*MAX('Inputs'!$B$33,'Inputs'!$B$29+'Inputs'!$B$31+'Inputs'!$B$32,'Inputs'!$B$30+'Inputs'!$B$31+'Inputs'!$B$32)/1000+'Inputs'!$B$21+'Inputs'!$B$7+'Inputs'!$B$10))^2+('Inputs'!$B$8/2)^2))))*'Results'!$B$8)+'Inputs'!$B$28*ABS((('Results'!B7*(1+'Inputs'!$B$24)*(0.5*((((843-43)*MAX('Inputs'!$B$33,'Inputs'!$B$29+'Inputs'!$B$31+'Inputs'!$B$32,'Inputs'!$B$30+'Inputs'!$B$31+'Inputs'!$B$32)/1000+'Inputs'!$B$21)+'Inputs'!$B$7)/SQRT((((843-43)*MAX('Inputs'!$B$33,'Inputs'!$B$29+'Inputs'!$B$31+'Inputs'!$B$32,'Inputs'!$B$30+'Inputs'!$B$31+'Inputs'!$B$32)/1000+'Inputs'!$B$21)+'Inputs'!$B$7)^2+('Inputs'!$B$6/2)^2)-(((843-43)*MAX('Inputs'!$B$33,'Inputs'!$B$29+'Inputs'!$B$31+'Inputs'!$B$32,'Inputs'!$B$30+'Inputs'!$B$31+'Inputs'!$B$32)/1000+'Inputs'!$B$21))/SQRT((((843-43)*MAX('Inputs'!$B$33,'Inputs'!$B$29+'Inputs'!$B$31+'Inputs'!$B$32,'Inputs'!$B$30+'Inputs'!$B$31+'Inputs'!$B$32)/1000+'Inputs'!$B$21))^2+('Inputs'!$B$6/2)^2)))-'Results'!C7*(1-'Inputs'!$B$24)*(0.5*((((843-43)*MAX('Inputs'!$B$33,'Inputs'!$B$29+'Inputs'!$B$31+'Inputs'!$B$32,'Inputs'!$B$30+'Inputs'!$B$31+'Inputs'!$B$32)/1000+'Inputs'!$B$21+'Inputs'!$B$7+'Inputs'!$B$10)+'Inputs'!$B$9)/SQRT((((843-43)*MAX('Inputs'!$B$33,'Inputs'!$B$29+'Inputs'!$B$31+'Inputs'!$B$32,'Inputs'!$B$30+'Inputs'!$B$31+'Inputs'!$B$32)/1000+'Inputs'!$B$21+'Inputs'!$B$7+'Inputs'!$B$10)+'Inputs'!$B$9)^2+('Inputs'!$B$8/2)^2)-(((843-43)*MAX('Inputs'!$B$33,'Inputs'!$B$29+'Inputs'!$B$31+'Inputs'!$B$32,'Inputs'!$B$30+'Inputs'!$B$31+'Inputs'!$B$32)/1000+'Inputs'!$B$21+'Inputs'!$B$7+'Inputs'!$B$10))/SQRT((((843-43)*MAX('Inputs'!$B$33,'Inputs'!$B$29+'Inputs'!$B$31+'Inputs'!$B$32,'Inputs'!$B$30+'Inputs'!$B$31+'Inputs'!$B$32)/1000+'Inputs'!$B$21+'Inputs'!$B$7+'Inputs'!$B$10))^2+('Inputs'!$B$8/2)^2))))*'Results'!$B$8))),"")</x:f>
        <x:v>0.9253204579824044</x:v>
      </x:c>
      <x:c r="M843" t="n">
        <x:f>IF(AND(ISNUMBER('Results'!C7),ISNUMBER('Results'!B7),ISNUMBER('Results'!$B$8),ISNUMBER('Inputs'!$B$6),ISNUMBER('Inputs'!$B$7),ISNUMBER('Inputs'!$B$8),ISNUMBER('Inputs'!$B$9),ISNUMBER('Inputs'!$B$10),ISNUMBER('Inputs'!$B$21),ISNUMBER('Inputs'!$B$24),ISNUMBER('Inputs'!$B$28)),(('Results'!C7*(0.5*((((843-43)*MAX('Inputs'!$B$33,'Inputs'!$B$29+'Inputs'!$B$31+'Inputs'!$B$32,'Inputs'!$B$30+'Inputs'!$B$31+'Inputs'!$B$32)/1000+'Inputs'!$B$21)+'Inputs'!$B$9)/SQRT((((843-43)*MAX('Inputs'!$B$33,'Inputs'!$B$29+'Inputs'!$B$31+'Inputs'!$B$32,'Inputs'!$B$30+'Inputs'!$B$31+'Inputs'!$B$32)/1000+'Inputs'!$B$21)+'Inputs'!$B$9)^2+('Inputs'!$B$8/2)^2)-(((843-43)*MAX('Inputs'!$B$33,'Inputs'!$B$29+'Inputs'!$B$31+'Inputs'!$B$32,'Inputs'!$B$30+'Inputs'!$B$31+'Inputs'!$B$32)/1000+'Inputs'!$B$21))/SQRT((((843-43)*MAX('Inputs'!$B$33,'Inputs'!$B$29+'Inputs'!$B$31+'Inputs'!$B$32,'Inputs'!$B$30+'Inputs'!$B$31+'Inputs'!$B$32)/1000+'Inputs'!$B$21))^2+('Inputs'!$B$8/2)^2)))-'Results'!B7*(0.5*((((843-43)*MAX('Inputs'!$B$33,'Inputs'!$B$29+'Inputs'!$B$31+'Inputs'!$B$32,'Inputs'!$B$30+'Inputs'!$B$31+'Inputs'!$B$32)/1000+'Inputs'!$B$21+'Inputs'!$B$9+'Inputs'!$B$10)+'Inputs'!$B$7)/SQRT((((843-43)*MAX('Inputs'!$B$33,'Inputs'!$B$29+'Inputs'!$B$31+'Inputs'!$B$32,'Inputs'!$B$30+'Inputs'!$B$31+'Inputs'!$B$32)/1000+'Inputs'!$B$21+'Inputs'!$B$9+'Inputs'!$B$10)+'Inputs'!$B$7)^2+('Inputs'!$B$6/2)^2)-(((843-43)*MAX('Inputs'!$B$33,'Inputs'!$B$29+'Inputs'!$B$31+'Inputs'!$B$32,'Inputs'!$B$30+'Inputs'!$B$31+'Inputs'!$B$32)/1000+'Inputs'!$B$21+'Inputs'!$B$9+'Inputs'!$B$10))/SQRT((((843-43)*MAX('Inputs'!$B$33,'Inputs'!$B$29+'Inputs'!$B$31+'Inputs'!$B$32,'Inputs'!$B$30+'Inputs'!$B$31+'Inputs'!$B$32)/1000+'Inputs'!$B$21+'Inputs'!$B$9+'Inputs'!$B$10))^2+('Inputs'!$B$6/2)^2))))*'Results'!$B$8),"")</x:f>
        <x:v>0.7219674068674573</x:v>
      </x:c>
      <x:c r="N843" t="n">
        <x:f>IF(AND(ISNUMBER('Results'!C7),ISNUMBER('Results'!B7),ISNUMBER('Results'!$B$8),ISNUMBER('Inputs'!$B$6),ISNUMBER('Inputs'!$B$7),ISNUMBER('Inputs'!$B$8),ISNUMBER('Inputs'!$B$9),ISNUMBER('Inputs'!$B$10),ISNUMBER('Inputs'!$B$21),ISNUMBER('Inputs'!$B$24),ISNUMBER('Inputs'!$B$28)),((('Results'!C7*(1-'Inputs'!$B$24)*(0.5*((((843-43)*MAX('Inputs'!$B$33,'Inputs'!$B$29+'Inputs'!$B$31+'Inputs'!$B$32,'Inputs'!$B$30+'Inputs'!$B$31+'Inputs'!$B$32)/1000+'Inputs'!$B$21)+'Inputs'!$B$9)/SQRT((((843-43)*MAX('Inputs'!$B$33,'Inputs'!$B$29+'Inputs'!$B$31+'Inputs'!$B$32,'Inputs'!$B$30+'Inputs'!$B$31+'Inputs'!$B$32)/1000+'Inputs'!$B$21)+'Inputs'!$B$9)^2+('Inputs'!$B$8/2)^2)-(((843-43)*MAX('Inputs'!$B$33,'Inputs'!$B$29+'Inputs'!$B$31+'Inputs'!$B$32,'Inputs'!$B$30+'Inputs'!$B$31+'Inputs'!$B$32)/1000+'Inputs'!$B$21))/SQRT((((843-43)*MAX('Inputs'!$B$33,'Inputs'!$B$29+'Inputs'!$B$31+'Inputs'!$B$32,'Inputs'!$B$30+'Inputs'!$B$31+'Inputs'!$B$32)/1000+'Inputs'!$B$21))^2+('Inputs'!$B$8/2)^2)))-'Results'!B7*(1+'Inputs'!$B$24)*(0.5*((((843-43)*MAX('Inputs'!$B$33,'Inputs'!$B$29+'Inputs'!$B$31+'Inputs'!$B$32,'Inputs'!$B$30+'Inputs'!$B$31+'Inputs'!$B$32)/1000+'Inputs'!$B$21+'Inputs'!$B$9+'Inputs'!$B$10)+'Inputs'!$B$7)/SQRT((((843-43)*MAX('Inputs'!$B$33,'Inputs'!$B$29+'Inputs'!$B$31+'Inputs'!$B$32,'Inputs'!$B$30+'Inputs'!$B$31+'Inputs'!$B$32)/1000+'Inputs'!$B$21+'Inputs'!$B$9+'Inputs'!$B$10)+'Inputs'!$B$7)^2+('Inputs'!$B$6/2)^2)-(((843-43)*MAX('Inputs'!$B$33,'Inputs'!$B$29+'Inputs'!$B$31+'Inputs'!$B$32,'Inputs'!$B$30+'Inputs'!$B$31+'Inputs'!$B$32)/1000+'Inputs'!$B$21+'Inputs'!$B$9+'Inputs'!$B$10))/SQRT((((843-43)*MAX('Inputs'!$B$33,'Inputs'!$B$29+'Inputs'!$B$31+'Inputs'!$B$32,'Inputs'!$B$30+'Inputs'!$B$31+'Inputs'!$B$32)/1000+'Inputs'!$B$21+'Inputs'!$B$9+'Inputs'!$B$10))^2+('Inputs'!$B$6/2)^2))))*'Results'!$B$8)-'Inputs'!$B$28*ABS((('Results'!C7*(1-'Inputs'!$B$24)*(0.5*((((843-43)*MAX('Inputs'!$B$33,'Inputs'!$B$29+'Inputs'!$B$31+'Inputs'!$B$32,'Inputs'!$B$30+'Inputs'!$B$31+'Inputs'!$B$32)/1000+'Inputs'!$B$21)+'Inputs'!$B$9)/SQRT((((843-43)*MAX('Inputs'!$B$33,'Inputs'!$B$29+'Inputs'!$B$31+'Inputs'!$B$32,'Inputs'!$B$30+'Inputs'!$B$31+'Inputs'!$B$32)/1000+'Inputs'!$B$21)+'Inputs'!$B$9)^2+('Inputs'!$B$8/2)^2)-(((843-43)*MAX('Inputs'!$B$33,'Inputs'!$B$29+'Inputs'!$B$31+'Inputs'!$B$32,'Inputs'!$B$30+'Inputs'!$B$31+'Inputs'!$B$32)/1000+'Inputs'!$B$21))/SQRT((((843-43)*MAX('Inputs'!$B$33,'Inputs'!$B$29+'Inputs'!$B$31+'Inputs'!$B$32,'Inputs'!$B$30+'Inputs'!$B$31+'Inputs'!$B$32)/1000+'Inputs'!$B$21))^2+('Inputs'!$B$8/2)^2)))-'Results'!B7*(1+'Inputs'!$B$24)*(0.5*((((843-43)*MAX('Inputs'!$B$33,'Inputs'!$B$29+'Inputs'!$B$31+'Inputs'!$B$32,'Inputs'!$B$30+'Inputs'!$B$31+'Inputs'!$B$32)/1000+'Inputs'!$B$21+'Inputs'!$B$9+'Inputs'!$B$10)+'Inputs'!$B$7)/SQRT((((843-43)*MAX('Inputs'!$B$33,'Inputs'!$B$29+'Inputs'!$B$31+'Inputs'!$B$32,'Inputs'!$B$30+'Inputs'!$B$31+'Inputs'!$B$32)/1000+'Inputs'!$B$21+'Inputs'!$B$9+'Inputs'!$B$10)+'Inputs'!$B$7)^2+('Inputs'!$B$6/2)^2)-(((843-43)*MAX('Inputs'!$B$33,'Inputs'!$B$29+'Inputs'!$B$31+'Inputs'!$B$32,'Inputs'!$B$30+'Inputs'!$B$31+'Inputs'!$B$32)/1000+'Inputs'!$B$21+'Inputs'!$B$9+'Inputs'!$B$10))/SQRT((((843-43)*MAX('Inputs'!$B$33,'Inputs'!$B$29+'Inputs'!$B$31+'Inputs'!$B$32,'Inputs'!$B$30+'Inputs'!$B$31+'Inputs'!$B$32)/1000+'Inputs'!$B$21+'Inputs'!$B$9+'Inputs'!$B$10))^2+('Inputs'!$B$6/2)^2))))*'Results'!$B$8))),"")</x:f>
        <x:v>0.6108054022035275</x:v>
      </x:c>
      <x:c r="O843" t="n">
        <x:f>IF(AND(ISNUMBER('Results'!C7),ISNUMBER('Results'!B7),ISNUMBER('Results'!$B$8),ISNUMBER('Inputs'!$B$6),ISNUMBER('Inputs'!$B$7),ISNUMBER('Inputs'!$B$8),ISNUMBER('Inputs'!$B$9),ISNUMBER('Inputs'!$B$10),ISNUMBER('Inputs'!$B$21),ISNUMBER('Inputs'!$B$24),ISNUMBER('Inputs'!$B$28)),((('Results'!C7*(1+'Inputs'!$B$24)*(0.5*((((843-43)*MAX('Inputs'!$B$33,'Inputs'!$B$29+'Inputs'!$B$31+'Inputs'!$B$32,'Inputs'!$B$30+'Inputs'!$B$31+'Inputs'!$B$32)/1000+'Inputs'!$B$21)+'Inputs'!$B$9)/SQRT((((843-43)*MAX('Inputs'!$B$33,'Inputs'!$B$29+'Inputs'!$B$31+'Inputs'!$B$32,'Inputs'!$B$30+'Inputs'!$B$31+'Inputs'!$B$32)/1000+'Inputs'!$B$21)+'Inputs'!$B$9)^2+('Inputs'!$B$8/2)^2)-(((843-43)*MAX('Inputs'!$B$33,'Inputs'!$B$29+'Inputs'!$B$31+'Inputs'!$B$32,'Inputs'!$B$30+'Inputs'!$B$31+'Inputs'!$B$32)/1000+'Inputs'!$B$21))/SQRT((((843-43)*MAX('Inputs'!$B$33,'Inputs'!$B$29+'Inputs'!$B$31+'Inputs'!$B$32,'Inputs'!$B$30+'Inputs'!$B$31+'Inputs'!$B$32)/1000+'Inputs'!$B$21))^2+('Inputs'!$B$8/2)^2)))-'Results'!B7*(1-'Inputs'!$B$24)*(0.5*((((843-43)*MAX('Inputs'!$B$33,'Inputs'!$B$29+'Inputs'!$B$31+'Inputs'!$B$32,'Inputs'!$B$30+'Inputs'!$B$31+'Inputs'!$B$32)/1000+'Inputs'!$B$21+'Inputs'!$B$9+'Inputs'!$B$10)+'Inputs'!$B$7)/SQRT((((843-43)*MAX('Inputs'!$B$33,'Inputs'!$B$29+'Inputs'!$B$31+'Inputs'!$B$32,'Inputs'!$B$30+'Inputs'!$B$31+'Inputs'!$B$32)/1000+'Inputs'!$B$21+'Inputs'!$B$9+'Inputs'!$B$10)+'Inputs'!$B$7)^2+('Inputs'!$B$6/2)^2)-(((843-43)*MAX('Inputs'!$B$33,'Inputs'!$B$29+'Inputs'!$B$31+'Inputs'!$B$32,'Inputs'!$B$30+'Inputs'!$B$31+'Inputs'!$B$32)/1000+'Inputs'!$B$21+'Inputs'!$B$9+'Inputs'!$B$10))/SQRT((((843-43)*MAX('Inputs'!$B$33,'Inputs'!$B$29+'Inputs'!$B$31+'Inputs'!$B$32,'Inputs'!$B$30+'Inputs'!$B$31+'Inputs'!$B$32)/1000+'Inputs'!$B$21+'Inputs'!$B$9+'Inputs'!$B$10))^2+('Inputs'!$B$6/2)^2))))*'Results'!$B$8)+'Inputs'!$B$28*ABS((('Results'!C7*(1+'Inputs'!$B$24)*(0.5*((((843-43)*MAX('Inputs'!$B$33,'Inputs'!$B$29+'Inputs'!$B$31+'Inputs'!$B$32,'Inputs'!$B$30+'Inputs'!$B$31+'Inputs'!$B$32)/1000+'Inputs'!$B$21)+'Inputs'!$B$9)/SQRT((((843-43)*MAX('Inputs'!$B$33,'Inputs'!$B$29+'Inputs'!$B$31+'Inputs'!$B$32,'Inputs'!$B$30+'Inputs'!$B$31+'Inputs'!$B$32)/1000+'Inputs'!$B$21)+'Inputs'!$B$9)^2+('Inputs'!$B$8/2)^2)-(((843-43)*MAX('Inputs'!$B$33,'Inputs'!$B$29+'Inputs'!$B$31+'Inputs'!$B$32,'Inputs'!$B$30+'Inputs'!$B$31+'Inputs'!$B$32)/1000+'Inputs'!$B$21))/SQRT((((843-43)*MAX('Inputs'!$B$33,'Inputs'!$B$29+'Inputs'!$B$31+'Inputs'!$B$32,'Inputs'!$B$30+'Inputs'!$B$31+'Inputs'!$B$32)/1000+'Inputs'!$B$21))^2+('Inputs'!$B$8/2)^2)))-'Results'!B7*(1-'Inputs'!$B$24)*(0.5*((((843-43)*MAX('Inputs'!$B$33,'Inputs'!$B$29+'Inputs'!$B$31+'Inputs'!$B$32,'Inputs'!$B$30+'Inputs'!$B$31+'Inputs'!$B$32)/1000+'Inputs'!$B$21+'Inputs'!$B$9+'Inputs'!$B$10)+'Inputs'!$B$7)/SQRT((((843-43)*MAX('Inputs'!$B$33,'Inputs'!$B$29+'Inputs'!$B$31+'Inputs'!$B$32,'Inputs'!$B$30+'Inputs'!$B$31+'Inputs'!$B$32)/1000+'Inputs'!$B$21+'Inputs'!$B$9+'Inputs'!$B$10)+'Inputs'!$B$7)^2+('Inputs'!$B$6/2)^2)-(((843-43)*MAX('Inputs'!$B$33,'Inputs'!$B$29+'Inputs'!$B$31+'Inputs'!$B$32,'Inputs'!$B$30+'Inputs'!$B$31+'Inputs'!$B$32)/1000+'Inputs'!$B$21+'Inputs'!$B$9+'Inputs'!$B$10))/SQRT((((843-43)*MAX('Inputs'!$B$33,'Inputs'!$B$29+'Inputs'!$B$31+'Inputs'!$B$32,'Inputs'!$B$30+'Inputs'!$B$31+'Inputs'!$B$32)/1000+'Inputs'!$B$21+'Inputs'!$B$9+'Inputs'!$B$10))^2+('Inputs'!$B$6/2)^2))))*'Results'!$B$8))),"")</x:f>
        <x:v>0.8410308467230243</x:v>
      </x:c>
      <x:c r="P843" t="n">
        <x:f>IF(AND(MAX(J843,J842)&gt;0,J843&gt;J842+0.00000001),1,0)</x:f>
        <x:v>0</x:v>
      </x:c>
      <x:c r="Q843" t="n">
        <x:f>IF(AND(MAX(K843,K842)&gt;0,K843&gt;K842+0.00000001),1,0)</x:f>
        <x:v>0</x:v>
      </x:c>
      <x:c r="R843" t="n">
        <x:f>IF(AND(MAX(L843,L842)&gt;0,L843&gt;L842+0.00000001),1,0)</x:f>
        <x:v>0</x:v>
      </x:c>
      <x:c r="S843" t="n">
        <x:f>IF(AND(MAX(M843,M842)&gt;0,M843&gt;M842+0.00000001),1,0)</x:f>
        <x:v>0</x:v>
      </x:c>
      <x:c r="T843" t="n">
        <x:f>IF(AND(MAX(N843,N842)&gt;0,N843&gt;N842+0.00000001),1,0)</x:f>
        <x:v>0</x:v>
      </x:c>
      <x:c r="U843" t="n">
        <x:f>IF(AND(MAX(O843,O842)&gt;0,O843&gt;O842+0.00000001),1,0)</x:f>
        <x:v>0</x:v>
      </x:c>
    </x:row>
    <x:row r="844">
      <x:c r="J844" t="n">
        <x:f>IF(AND(ISNUMBER('Results'!B7),ISNUMBER('Results'!C7),ISNUMBER('Results'!$B$8),ISNUMBER('Inputs'!$B$6),ISNUMBER('Inputs'!$B$7),ISNUMBER('Inputs'!$B$8),ISNUMBER('Inputs'!$B$9),ISNUMBER('Inputs'!$B$10),ISNUMBER('Inputs'!$B$21),ISNUMBER('Inputs'!$B$24),ISNUMBER('Inputs'!$B$28)),(('Results'!B7*(0.5*((((844-43)*MAX('Inputs'!$B$33,'Inputs'!$B$29+'Inputs'!$B$31+'Inputs'!$B$32,'Inputs'!$B$30+'Inputs'!$B$31+'Inputs'!$B$32)/1000+'Inputs'!$B$21)+'Inputs'!$B$7)/SQRT((((844-43)*MAX('Inputs'!$B$33,'Inputs'!$B$29+'Inputs'!$B$31+'Inputs'!$B$32,'Inputs'!$B$30+'Inputs'!$B$31+'Inputs'!$B$32)/1000+'Inputs'!$B$21)+'Inputs'!$B$7)^2+('Inputs'!$B$6/2)^2)-(((844-43)*MAX('Inputs'!$B$33,'Inputs'!$B$29+'Inputs'!$B$31+'Inputs'!$B$32,'Inputs'!$B$30+'Inputs'!$B$31+'Inputs'!$B$32)/1000+'Inputs'!$B$21))/SQRT((((844-43)*MAX('Inputs'!$B$33,'Inputs'!$B$29+'Inputs'!$B$31+'Inputs'!$B$32,'Inputs'!$B$30+'Inputs'!$B$31+'Inputs'!$B$32)/1000+'Inputs'!$B$21))^2+('Inputs'!$B$6/2)^2)))-'Results'!C7*(0.5*((((844-43)*MAX('Inputs'!$B$33,'Inputs'!$B$29+'Inputs'!$B$31+'Inputs'!$B$32,'Inputs'!$B$30+'Inputs'!$B$31+'Inputs'!$B$32)/1000+'Inputs'!$B$21+'Inputs'!$B$7+'Inputs'!$B$10)+'Inputs'!$B$9)/SQRT((((844-43)*MAX('Inputs'!$B$33,'Inputs'!$B$29+'Inputs'!$B$31+'Inputs'!$B$32,'Inputs'!$B$30+'Inputs'!$B$31+'Inputs'!$B$32)/1000+'Inputs'!$B$21+'Inputs'!$B$7+'Inputs'!$B$10)+'Inputs'!$B$9)^2+('Inputs'!$B$8/2)^2)-(((844-43)*MAX('Inputs'!$B$33,'Inputs'!$B$29+'Inputs'!$B$31+'Inputs'!$B$32,'Inputs'!$B$30+'Inputs'!$B$31+'Inputs'!$B$32)/1000+'Inputs'!$B$21+'Inputs'!$B$7+'Inputs'!$B$10))/SQRT((((844-43)*MAX('Inputs'!$B$33,'Inputs'!$B$29+'Inputs'!$B$31+'Inputs'!$B$32,'Inputs'!$B$30+'Inputs'!$B$31+'Inputs'!$B$32)/1000+'Inputs'!$B$21+'Inputs'!$B$7+'Inputs'!$B$10))^2+('Inputs'!$B$8/2)^2))))*'Results'!$B$8),"")</x:f>
        <x:v>0.7983416332635266</x:v>
      </x:c>
      <x:c r="K844" t="n">
        <x:f>IF(AND(ISNUMBER('Results'!B7),ISNUMBER('Results'!C7),ISNUMBER('Results'!$B$8),ISNUMBER('Inputs'!$B$6),ISNUMBER('Inputs'!$B$7),ISNUMBER('Inputs'!$B$8),ISNUMBER('Inputs'!$B$9),ISNUMBER('Inputs'!$B$10),ISNUMBER('Inputs'!$B$21),ISNUMBER('Inputs'!$B$24),ISNUMBER('Inputs'!$B$28)),((('Results'!B7*(1-'Inputs'!$B$24)*(0.5*((((844-43)*MAX('Inputs'!$B$33,'Inputs'!$B$29+'Inputs'!$B$31+'Inputs'!$B$32,'Inputs'!$B$30+'Inputs'!$B$31+'Inputs'!$B$32)/1000+'Inputs'!$B$21)+'Inputs'!$B$7)/SQRT((((844-43)*MAX('Inputs'!$B$33,'Inputs'!$B$29+'Inputs'!$B$31+'Inputs'!$B$32,'Inputs'!$B$30+'Inputs'!$B$31+'Inputs'!$B$32)/1000+'Inputs'!$B$21)+'Inputs'!$B$7)^2+('Inputs'!$B$6/2)^2)-(((844-43)*MAX('Inputs'!$B$33,'Inputs'!$B$29+'Inputs'!$B$31+'Inputs'!$B$32,'Inputs'!$B$30+'Inputs'!$B$31+'Inputs'!$B$32)/1000+'Inputs'!$B$21))/SQRT((((844-43)*MAX('Inputs'!$B$33,'Inputs'!$B$29+'Inputs'!$B$31+'Inputs'!$B$32,'Inputs'!$B$30+'Inputs'!$B$31+'Inputs'!$B$32)/1000+'Inputs'!$B$21))^2+('Inputs'!$B$6/2)^2)))-'Results'!C7*(1+'Inputs'!$B$24)*(0.5*((((844-43)*MAX('Inputs'!$B$33,'Inputs'!$B$29+'Inputs'!$B$31+'Inputs'!$B$32,'Inputs'!$B$30+'Inputs'!$B$31+'Inputs'!$B$32)/1000+'Inputs'!$B$21+'Inputs'!$B$7+'Inputs'!$B$10)+'Inputs'!$B$9)/SQRT((((844-43)*MAX('Inputs'!$B$33,'Inputs'!$B$29+'Inputs'!$B$31+'Inputs'!$B$32,'Inputs'!$B$30+'Inputs'!$B$31+'Inputs'!$B$32)/1000+'Inputs'!$B$21+'Inputs'!$B$7+'Inputs'!$B$10)+'Inputs'!$B$9)^2+('Inputs'!$B$8/2)^2)-(((844-43)*MAX('Inputs'!$B$33,'Inputs'!$B$29+'Inputs'!$B$31+'Inputs'!$B$32,'Inputs'!$B$30+'Inputs'!$B$31+'Inputs'!$B$32)/1000+'Inputs'!$B$21+'Inputs'!$B$7+'Inputs'!$B$10))/SQRT((((844-43)*MAX('Inputs'!$B$33,'Inputs'!$B$29+'Inputs'!$B$31+'Inputs'!$B$32,'Inputs'!$B$30+'Inputs'!$B$31+'Inputs'!$B$32)/1000+'Inputs'!$B$21+'Inputs'!$B$7+'Inputs'!$B$10))^2+('Inputs'!$B$8/2)^2))))*'Results'!$B$8)-'Inputs'!$B$28*ABS((('Results'!B7*(1-'Inputs'!$B$24)*(0.5*((((844-43)*MAX('Inputs'!$B$33,'Inputs'!$B$29+'Inputs'!$B$31+'Inputs'!$B$32,'Inputs'!$B$30+'Inputs'!$B$31+'Inputs'!$B$32)/1000+'Inputs'!$B$21)+'Inputs'!$B$7)/SQRT((((844-43)*MAX('Inputs'!$B$33,'Inputs'!$B$29+'Inputs'!$B$31+'Inputs'!$B$32,'Inputs'!$B$30+'Inputs'!$B$31+'Inputs'!$B$32)/1000+'Inputs'!$B$21)+'Inputs'!$B$7)^2+('Inputs'!$B$6/2)^2)-(((844-43)*MAX('Inputs'!$B$33,'Inputs'!$B$29+'Inputs'!$B$31+'Inputs'!$B$32,'Inputs'!$B$30+'Inputs'!$B$31+'Inputs'!$B$32)/1000+'Inputs'!$B$21))/SQRT((((844-43)*MAX('Inputs'!$B$33,'Inputs'!$B$29+'Inputs'!$B$31+'Inputs'!$B$32,'Inputs'!$B$30+'Inputs'!$B$31+'Inputs'!$B$32)/1000+'Inputs'!$B$21))^2+('Inputs'!$B$6/2)^2)))-'Results'!C7*(1+'Inputs'!$B$24)*(0.5*((((844-43)*MAX('Inputs'!$B$33,'Inputs'!$B$29+'Inputs'!$B$31+'Inputs'!$B$32,'Inputs'!$B$30+'Inputs'!$B$31+'Inputs'!$B$32)/1000+'Inputs'!$B$21+'Inputs'!$B$7+'Inputs'!$B$10)+'Inputs'!$B$9)/SQRT((((844-43)*MAX('Inputs'!$B$33,'Inputs'!$B$29+'Inputs'!$B$31+'Inputs'!$B$32,'Inputs'!$B$30+'Inputs'!$B$31+'Inputs'!$B$32)/1000+'Inputs'!$B$21+'Inputs'!$B$7+'Inputs'!$B$10)+'Inputs'!$B$9)^2+('Inputs'!$B$8/2)^2)-(((844-43)*MAX('Inputs'!$B$33,'Inputs'!$B$29+'Inputs'!$B$31+'Inputs'!$B$32,'Inputs'!$B$30+'Inputs'!$B$31+'Inputs'!$B$32)/1000+'Inputs'!$B$21+'Inputs'!$B$7+'Inputs'!$B$10))/SQRT((((844-43)*MAX('Inputs'!$B$33,'Inputs'!$B$29+'Inputs'!$B$31+'Inputs'!$B$32,'Inputs'!$B$30+'Inputs'!$B$31+'Inputs'!$B$32)/1000+'Inputs'!$B$21+'Inputs'!$B$7+'Inputs'!$B$10))^2+('Inputs'!$B$8/2)^2))))*'Results'!$B$8))),"")</x:f>
        <x:v>0.6833280489067564</x:v>
      </x:c>
      <x:c r="L844" t="n">
        <x:f>IF(AND(ISNUMBER('Results'!B7),ISNUMBER('Results'!C7),ISNUMBER('Results'!$B$8),ISNUMBER('Inputs'!$B$6),ISNUMBER('Inputs'!$B$7),ISNUMBER('Inputs'!$B$8),ISNUMBER('Inputs'!$B$9),ISNUMBER('Inputs'!$B$10),ISNUMBER('Inputs'!$B$21),ISNUMBER('Inputs'!$B$24),ISNUMBER('Inputs'!$B$28)),((('Results'!B7*(1+'Inputs'!$B$24)*(0.5*((((844-43)*MAX('Inputs'!$B$33,'Inputs'!$B$29+'Inputs'!$B$31+'Inputs'!$B$32,'Inputs'!$B$30+'Inputs'!$B$31+'Inputs'!$B$32)/1000+'Inputs'!$B$21)+'Inputs'!$B$7)/SQRT((((844-43)*MAX('Inputs'!$B$33,'Inputs'!$B$29+'Inputs'!$B$31+'Inputs'!$B$32,'Inputs'!$B$30+'Inputs'!$B$31+'Inputs'!$B$32)/1000+'Inputs'!$B$21)+'Inputs'!$B$7)^2+('Inputs'!$B$6/2)^2)-(((844-43)*MAX('Inputs'!$B$33,'Inputs'!$B$29+'Inputs'!$B$31+'Inputs'!$B$32,'Inputs'!$B$30+'Inputs'!$B$31+'Inputs'!$B$32)/1000+'Inputs'!$B$21))/SQRT((((844-43)*MAX('Inputs'!$B$33,'Inputs'!$B$29+'Inputs'!$B$31+'Inputs'!$B$32,'Inputs'!$B$30+'Inputs'!$B$31+'Inputs'!$B$32)/1000+'Inputs'!$B$21))^2+('Inputs'!$B$6/2)^2)))-'Results'!C7*(1-'Inputs'!$B$24)*(0.5*((((844-43)*MAX('Inputs'!$B$33,'Inputs'!$B$29+'Inputs'!$B$31+'Inputs'!$B$32,'Inputs'!$B$30+'Inputs'!$B$31+'Inputs'!$B$32)/1000+'Inputs'!$B$21+'Inputs'!$B$7+'Inputs'!$B$10)+'Inputs'!$B$9)/SQRT((((844-43)*MAX('Inputs'!$B$33,'Inputs'!$B$29+'Inputs'!$B$31+'Inputs'!$B$32,'Inputs'!$B$30+'Inputs'!$B$31+'Inputs'!$B$32)/1000+'Inputs'!$B$21+'Inputs'!$B$7+'Inputs'!$B$10)+'Inputs'!$B$9)^2+('Inputs'!$B$8/2)^2)-(((844-43)*MAX('Inputs'!$B$33,'Inputs'!$B$29+'Inputs'!$B$31+'Inputs'!$B$32,'Inputs'!$B$30+'Inputs'!$B$31+'Inputs'!$B$32)/1000+'Inputs'!$B$21+'Inputs'!$B$7+'Inputs'!$B$10))/SQRT((((844-43)*MAX('Inputs'!$B$33,'Inputs'!$B$29+'Inputs'!$B$31+'Inputs'!$B$32,'Inputs'!$B$30+'Inputs'!$B$31+'Inputs'!$B$32)/1000+'Inputs'!$B$21+'Inputs'!$B$7+'Inputs'!$B$10))^2+('Inputs'!$B$8/2)^2))))*'Results'!$B$8)+'Inputs'!$B$28*ABS((('Results'!B7*(1+'Inputs'!$B$24)*(0.5*((((844-43)*MAX('Inputs'!$B$33,'Inputs'!$B$29+'Inputs'!$B$31+'Inputs'!$B$32,'Inputs'!$B$30+'Inputs'!$B$31+'Inputs'!$B$32)/1000+'Inputs'!$B$21)+'Inputs'!$B$7)/SQRT((((844-43)*MAX('Inputs'!$B$33,'Inputs'!$B$29+'Inputs'!$B$31+'Inputs'!$B$32,'Inputs'!$B$30+'Inputs'!$B$31+'Inputs'!$B$32)/1000+'Inputs'!$B$21)+'Inputs'!$B$7)^2+('Inputs'!$B$6/2)^2)-(((844-43)*MAX('Inputs'!$B$33,'Inputs'!$B$29+'Inputs'!$B$31+'Inputs'!$B$32,'Inputs'!$B$30+'Inputs'!$B$31+'Inputs'!$B$32)/1000+'Inputs'!$B$21))/SQRT((((844-43)*MAX('Inputs'!$B$33,'Inputs'!$B$29+'Inputs'!$B$31+'Inputs'!$B$32,'Inputs'!$B$30+'Inputs'!$B$31+'Inputs'!$B$32)/1000+'Inputs'!$B$21))^2+('Inputs'!$B$6/2)^2)))-'Results'!C7*(1-'Inputs'!$B$24)*(0.5*((((844-43)*MAX('Inputs'!$B$33,'Inputs'!$B$29+'Inputs'!$B$31+'Inputs'!$B$32,'Inputs'!$B$30+'Inputs'!$B$31+'Inputs'!$B$32)/1000+'Inputs'!$B$21+'Inputs'!$B$7+'Inputs'!$B$10)+'Inputs'!$B$9)/SQRT((((844-43)*MAX('Inputs'!$B$33,'Inputs'!$B$29+'Inputs'!$B$31+'Inputs'!$B$32,'Inputs'!$B$30+'Inputs'!$B$31+'Inputs'!$B$32)/1000+'Inputs'!$B$21+'Inputs'!$B$7+'Inputs'!$B$10)+'Inputs'!$B$9)^2+('Inputs'!$B$8/2)^2)-(((844-43)*MAX('Inputs'!$B$33,'Inputs'!$B$29+'Inputs'!$B$31+'Inputs'!$B$32,'Inputs'!$B$30+'Inputs'!$B$31+'Inputs'!$B$32)/1000+'Inputs'!$B$21+'Inputs'!$B$7+'Inputs'!$B$10))/SQRT((((844-43)*MAX('Inputs'!$B$33,'Inputs'!$B$29+'Inputs'!$B$31+'Inputs'!$B$32,'Inputs'!$B$30+'Inputs'!$B$31+'Inputs'!$B$32)/1000+'Inputs'!$B$21+'Inputs'!$B$7+'Inputs'!$B$10))^2+('Inputs'!$B$8/2)^2))))*'Results'!$B$8))),"")</x:f>
        <x:v>0.9212601126406755</x:v>
      </x:c>
      <x:c r="M844" t="n">
        <x:f>IF(AND(ISNUMBER('Results'!C7),ISNUMBER('Results'!B7),ISNUMBER('Results'!$B$8),ISNUMBER('Inputs'!$B$6),ISNUMBER('Inputs'!$B$7),ISNUMBER('Inputs'!$B$8),ISNUMBER('Inputs'!$B$9),ISNUMBER('Inputs'!$B$10),ISNUMBER('Inputs'!$B$21),ISNUMBER('Inputs'!$B$24),ISNUMBER('Inputs'!$B$28)),(('Results'!C7*(0.5*((((844-43)*MAX('Inputs'!$B$33,'Inputs'!$B$29+'Inputs'!$B$31+'Inputs'!$B$32,'Inputs'!$B$30+'Inputs'!$B$31+'Inputs'!$B$32)/1000+'Inputs'!$B$21)+'Inputs'!$B$9)/SQRT((((844-43)*MAX('Inputs'!$B$33,'Inputs'!$B$29+'Inputs'!$B$31+'Inputs'!$B$32,'Inputs'!$B$30+'Inputs'!$B$31+'Inputs'!$B$32)/1000+'Inputs'!$B$21)+'Inputs'!$B$9)^2+('Inputs'!$B$8/2)^2)-(((844-43)*MAX('Inputs'!$B$33,'Inputs'!$B$29+'Inputs'!$B$31+'Inputs'!$B$32,'Inputs'!$B$30+'Inputs'!$B$31+'Inputs'!$B$32)/1000+'Inputs'!$B$21))/SQRT((((844-43)*MAX('Inputs'!$B$33,'Inputs'!$B$29+'Inputs'!$B$31+'Inputs'!$B$32,'Inputs'!$B$30+'Inputs'!$B$31+'Inputs'!$B$32)/1000+'Inputs'!$B$21))^2+('Inputs'!$B$8/2)^2)))-'Results'!B7*(0.5*((((844-43)*MAX('Inputs'!$B$33,'Inputs'!$B$29+'Inputs'!$B$31+'Inputs'!$B$32,'Inputs'!$B$30+'Inputs'!$B$31+'Inputs'!$B$32)/1000+'Inputs'!$B$21+'Inputs'!$B$9+'Inputs'!$B$10)+'Inputs'!$B$7)/SQRT((((844-43)*MAX('Inputs'!$B$33,'Inputs'!$B$29+'Inputs'!$B$31+'Inputs'!$B$32,'Inputs'!$B$30+'Inputs'!$B$31+'Inputs'!$B$32)/1000+'Inputs'!$B$21+'Inputs'!$B$9+'Inputs'!$B$10)+'Inputs'!$B$7)^2+('Inputs'!$B$6/2)^2)-(((844-43)*MAX('Inputs'!$B$33,'Inputs'!$B$29+'Inputs'!$B$31+'Inputs'!$B$32,'Inputs'!$B$30+'Inputs'!$B$31+'Inputs'!$B$32)/1000+'Inputs'!$B$21+'Inputs'!$B$9+'Inputs'!$B$10))/SQRT((((844-43)*MAX('Inputs'!$B$33,'Inputs'!$B$29+'Inputs'!$B$31+'Inputs'!$B$32,'Inputs'!$B$30+'Inputs'!$B$31+'Inputs'!$B$32)/1000+'Inputs'!$B$21+'Inputs'!$B$9+'Inputs'!$B$10))^2+('Inputs'!$B$6/2)^2))))*'Results'!$B$8),"")</x:f>
        <x:v>0.7186489879828201</x:v>
      </x:c>
      <x:c r="N844" t="n">
        <x:f>IF(AND(ISNUMBER('Results'!C7),ISNUMBER('Results'!B7),ISNUMBER('Results'!$B$8),ISNUMBER('Inputs'!$B$6),ISNUMBER('Inputs'!$B$7),ISNUMBER('Inputs'!$B$8),ISNUMBER('Inputs'!$B$9),ISNUMBER('Inputs'!$B$10),ISNUMBER('Inputs'!$B$21),ISNUMBER('Inputs'!$B$24),ISNUMBER('Inputs'!$B$28)),((('Results'!C7*(1-'Inputs'!$B$24)*(0.5*((((844-43)*MAX('Inputs'!$B$33,'Inputs'!$B$29+'Inputs'!$B$31+'Inputs'!$B$32,'Inputs'!$B$30+'Inputs'!$B$31+'Inputs'!$B$32)/1000+'Inputs'!$B$21)+'Inputs'!$B$9)/SQRT((((844-43)*MAX('Inputs'!$B$33,'Inputs'!$B$29+'Inputs'!$B$31+'Inputs'!$B$32,'Inputs'!$B$30+'Inputs'!$B$31+'Inputs'!$B$32)/1000+'Inputs'!$B$21)+'Inputs'!$B$9)^2+('Inputs'!$B$8/2)^2)-(((844-43)*MAX('Inputs'!$B$33,'Inputs'!$B$29+'Inputs'!$B$31+'Inputs'!$B$32,'Inputs'!$B$30+'Inputs'!$B$31+'Inputs'!$B$32)/1000+'Inputs'!$B$21))/SQRT((((844-43)*MAX('Inputs'!$B$33,'Inputs'!$B$29+'Inputs'!$B$31+'Inputs'!$B$32,'Inputs'!$B$30+'Inputs'!$B$31+'Inputs'!$B$32)/1000+'Inputs'!$B$21))^2+('Inputs'!$B$8/2)^2)))-'Results'!B7*(1+'Inputs'!$B$24)*(0.5*((((844-43)*MAX('Inputs'!$B$33,'Inputs'!$B$29+'Inputs'!$B$31+'Inputs'!$B$32,'Inputs'!$B$30+'Inputs'!$B$31+'Inputs'!$B$32)/1000+'Inputs'!$B$21+'Inputs'!$B$9+'Inputs'!$B$10)+'Inputs'!$B$7)/SQRT((((844-43)*MAX('Inputs'!$B$33,'Inputs'!$B$29+'Inputs'!$B$31+'Inputs'!$B$32,'Inputs'!$B$30+'Inputs'!$B$31+'Inputs'!$B$32)/1000+'Inputs'!$B$21+'Inputs'!$B$9+'Inputs'!$B$10)+'Inputs'!$B$7)^2+('Inputs'!$B$6/2)^2)-(((844-43)*MAX('Inputs'!$B$33,'Inputs'!$B$29+'Inputs'!$B$31+'Inputs'!$B$32,'Inputs'!$B$30+'Inputs'!$B$31+'Inputs'!$B$32)/1000+'Inputs'!$B$21+'Inputs'!$B$9+'Inputs'!$B$10))/SQRT((((844-43)*MAX('Inputs'!$B$33,'Inputs'!$B$29+'Inputs'!$B$31+'Inputs'!$B$32,'Inputs'!$B$30+'Inputs'!$B$31+'Inputs'!$B$32)/1000+'Inputs'!$B$21+'Inputs'!$B$9+'Inputs'!$B$10))^2+('Inputs'!$B$6/2)^2))))*'Results'!$B$8)-'Inputs'!$B$28*ABS((('Results'!C7*(1-'Inputs'!$B$24)*(0.5*((((844-43)*MAX('Inputs'!$B$33,'Inputs'!$B$29+'Inputs'!$B$31+'Inputs'!$B$32,'Inputs'!$B$30+'Inputs'!$B$31+'Inputs'!$B$32)/1000+'Inputs'!$B$21)+'Inputs'!$B$9)/SQRT((((844-43)*MAX('Inputs'!$B$33,'Inputs'!$B$29+'Inputs'!$B$31+'Inputs'!$B$32,'Inputs'!$B$30+'Inputs'!$B$31+'Inputs'!$B$32)/1000+'Inputs'!$B$21)+'Inputs'!$B$9)^2+('Inputs'!$B$8/2)^2)-(((844-43)*MAX('Inputs'!$B$33,'Inputs'!$B$29+'Inputs'!$B$31+'Inputs'!$B$32,'Inputs'!$B$30+'Inputs'!$B$31+'Inputs'!$B$32)/1000+'Inputs'!$B$21))/SQRT((((844-43)*MAX('Inputs'!$B$33,'Inputs'!$B$29+'Inputs'!$B$31+'Inputs'!$B$32,'Inputs'!$B$30+'Inputs'!$B$31+'Inputs'!$B$32)/1000+'Inputs'!$B$21))^2+('Inputs'!$B$8/2)^2)))-'Results'!B7*(1+'Inputs'!$B$24)*(0.5*((((844-43)*MAX('Inputs'!$B$33,'Inputs'!$B$29+'Inputs'!$B$31+'Inputs'!$B$32,'Inputs'!$B$30+'Inputs'!$B$31+'Inputs'!$B$32)/1000+'Inputs'!$B$21+'Inputs'!$B$9+'Inputs'!$B$10)+'Inputs'!$B$7)/SQRT((((844-43)*MAX('Inputs'!$B$33,'Inputs'!$B$29+'Inputs'!$B$31+'Inputs'!$B$32,'Inputs'!$B$30+'Inputs'!$B$31+'Inputs'!$B$32)/1000+'Inputs'!$B$21+'Inputs'!$B$9+'Inputs'!$B$10)+'Inputs'!$B$7)^2+('Inputs'!$B$6/2)^2)-(((844-43)*MAX('Inputs'!$B$33,'Inputs'!$B$29+'Inputs'!$B$31+'Inputs'!$B$32,'Inputs'!$B$30+'Inputs'!$B$31+'Inputs'!$B$32)/1000+'Inputs'!$B$21+'Inputs'!$B$9+'Inputs'!$B$10))/SQRT((((844-43)*MAX('Inputs'!$B$33,'Inputs'!$B$29+'Inputs'!$B$31+'Inputs'!$B$32,'Inputs'!$B$30+'Inputs'!$B$31+'Inputs'!$B$32)/1000+'Inputs'!$B$21+'Inputs'!$B$9+'Inputs'!$B$10))^2+('Inputs'!$B$6/2)^2))))*'Results'!$B$8))),"")</x:f>
        <x:v>0.6079111755042635</x:v>
      </x:c>
      <x:c r="O844" t="n">
        <x:f>IF(AND(ISNUMBER('Results'!C7),ISNUMBER('Results'!B7),ISNUMBER('Results'!$B$8),ISNUMBER('Inputs'!$B$6),ISNUMBER('Inputs'!$B$7),ISNUMBER('Inputs'!$B$8),ISNUMBER('Inputs'!$B$9),ISNUMBER('Inputs'!$B$10),ISNUMBER('Inputs'!$B$21),ISNUMBER('Inputs'!$B$24),ISNUMBER('Inputs'!$B$28)),((('Results'!C7*(1+'Inputs'!$B$24)*(0.5*((((844-43)*MAX('Inputs'!$B$33,'Inputs'!$B$29+'Inputs'!$B$31+'Inputs'!$B$32,'Inputs'!$B$30+'Inputs'!$B$31+'Inputs'!$B$32)/1000+'Inputs'!$B$21)+'Inputs'!$B$9)/SQRT((((844-43)*MAX('Inputs'!$B$33,'Inputs'!$B$29+'Inputs'!$B$31+'Inputs'!$B$32,'Inputs'!$B$30+'Inputs'!$B$31+'Inputs'!$B$32)/1000+'Inputs'!$B$21)+'Inputs'!$B$9)^2+('Inputs'!$B$8/2)^2)-(((844-43)*MAX('Inputs'!$B$33,'Inputs'!$B$29+'Inputs'!$B$31+'Inputs'!$B$32,'Inputs'!$B$30+'Inputs'!$B$31+'Inputs'!$B$32)/1000+'Inputs'!$B$21))/SQRT((((844-43)*MAX('Inputs'!$B$33,'Inputs'!$B$29+'Inputs'!$B$31+'Inputs'!$B$32,'Inputs'!$B$30+'Inputs'!$B$31+'Inputs'!$B$32)/1000+'Inputs'!$B$21))^2+('Inputs'!$B$8/2)^2)))-'Results'!B7*(1-'Inputs'!$B$24)*(0.5*((((844-43)*MAX('Inputs'!$B$33,'Inputs'!$B$29+'Inputs'!$B$31+'Inputs'!$B$32,'Inputs'!$B$30+'Inputs'!$B$31+'Inputs'!$B$32)/1000+'Inputs'!$B$21+'Inputs'!$B$9+'Inputs'!$B$10)+'Inputs'!$B$7)/SQRT((((844-43)*MAX('Inputs'!$B$33,'Inputs'!$B$29+'Inputs'!$B$31+'Inputs'!$B$32,'Inputs'!$B$30+'Inputs'!$B$31+'Inputs'!$B$32)/1000+'Inputs'!$B$21+'Inputs'!$B$9+'Inputs'!$B$10)+'Inputs'!$B$7)^2+('Inputs'!$B$6/2)^2)-(((844-43)*MAX('Inputs'!$B$33,'Inputs'!$B$29+'Inputs'!$B$31+'Inputs'!$B$32,'Inputs'!$B$30+'Inputs'!$B$31+'Inputs'!$B$32)/1000+'Inputs'!$B$21+'Inputs'!$B$9+'Inputs'!$B$10))/SQRT((((844-43)*MAX('Inputs'!$B$33,'Inputs'!$B$29+'Inputs'!$B$31+'Inputs'!$B$32,'Inputs'!$B$30+'Inputs'!$B$31+'Inputs'!$B$32)/1000+'Inputs'!$B$21+'Inputs'!$B$9+'Inputs'!$B$10))^2+('Inputs'!$B$6/2)^2))))*'Results'!$B$8)+'Inputs'!$B$28*ABS((('Results'!C7*(1+'Inputs'!$B$24)*(0.5*((((844-43)*MAX('Inputs'!$B$33,'Inputs'!$B$29+'Inputs'!$B$31+'Inputs'!$B$32,'Inputs'!$B$30+'Inputs'!$B$31+'Inputs'!$B$32)/1000+'Inputs'!$B$21)+'Inputs'!$B$9)/SQRT((((844-43)*MAX('Inputs'!$B$33,'Inputs'!$B$29+'Inputs'!$B$31+'Inputs'!$B$32,'Inputs'!$B$30+'Inputs'!$B$31+'Inputs'!$B$32)/1000+'Inputs'!$B$21)+'Inputs'!$B$9)^2+('Inputs'!$B$8/2)^2)-(((844-43)*MAX('Inputs'!$B$33,'Inputs'!$B$29+'Inputs'!$B$31+'Inputs'!$B$32,'Inputs'!$B$30+'Inputs'!$B$31+'Inputs'!$B$32)/1000+'Inputs'!$B$21))/SQRT((((844-43)*MAX('Inputs'!$B$33,'Inputs'!$B$29+'Inputs'!$B$31+'Inputs'!$B$32,'Inputs'!$B$30+'Inputs'!$B$31+'Inputs'!$B$32)/1000+'Inputs'!$B$21))^2+('Inputs'!$B$8/2)^2)))-'Results'!B7*(1-'Inputs'!$B$24)*(0.5*((((844-43)*MAX('Inputs'!$B$33,'Inputs'!$B$29+'Inputs'!$B$31+'Inputs'!$B$32,'Inputs'!$B$30+'Inputs'!$B$31+'Inputs'!$B$32)/1000+'Inputs'!$B$21+'Inputs'!$B$9+'Inputs'!$B$10)+'Inputs'!$B$7)/SQRT((((844-43)*MAX('Inputs'!$B$33,'Inputs'!$B$29+'Inputs'!$B$31+'Inputs'!$B$32,'Inputs'!$B$30+'Inputs'!$B$31+'Inputs'!$B$32)/1000+'Inputs'!$B$21+'Inputs'!$B$9+'Inputs'!$B$10)+'Inputs'!$B$7)^2+('Inputs'!$B$6/2)^2)-(((844-43)*MAX('Inputs'!$B$33,'Inputs'!$B$29+'Inputs'!$B$31+'Inputs'!$B$32,'Inputs'!$B$30+'Inputs'!$B$31+'Inputs'!$B$32)/1000+'Inputs'!$B$21+'Inputs'!$B$9+'Inputs'!$B$10))/SQRT((((844-43)*MAX('Inputs'!$B$33,'Inputs'!$B$29+'Inputs'!$B$31+'Inputs'!$B$32,'Inputs'!$B$30+'Inputs'!$B$31+'Inputs'!$B$32)/1000+'Inputs'!$B$21+'Inputs'!$B$9+'Inputs'!$B$10))^2+('Inputs'!$B$6/2)^2))))*'Results'!$B$8))),"")</x:f>
        <x:v>0.8372610492065782</x:v>
      </x:c>
      <x:c r="P844" t="n">
        <x:f>IF(AND(MAX(J844,J843)&gt;0,J844&gt;J843+0.00000001),1,0)</x:f>
        <x:v>0</x:v>
      </x:c>
      <x:c r="Q844" t="n">
        <x:f>IF(AND(MAX(K844,K843)&gt;0,K844&gt;K843+0.00000001),1,0)</x:f>
        <x:v>0</x:v>
      </x:c>
      <x:c r="R844" t="n">
        <x:f>IF(AND(MAX(L844,L843)&gt;0,L844&gt;L843+0.00000001),1,0)</x:f>
        <x:v>0</x:v>
      </x:c>
      <x:c r="S844" t="n">
        <x:f>IF(AND(MAX(M844,M843)&gt;0,M844&gt;M843+0.00000001),1,0)</x:f>
        <x:v>0</x:v>
      </x:c>
      <x:c r="T844" t="n">
        <x:f>IF(AND(MAX(N844,N843)&gt;0,N844&gt;N843+0.00000001),1,0)</x:f>
        <x:v>0</x:v>
      </x:c>
      <x:c r="U844" t="n">
        <x:f>IF(AND(MAX(O844,O843)&gt;0,O844&gt;O843+0.00000001),1,0)</x:f>
        <x:v>0</x:v>
      </x:c>
    </x:row>
    <x:row r="845">
      <x:c r="J845" t="n">
        <x:f>IF(AND(ISNUMBER('Results'!B7),ISNUMBER('Results'!C7),ISNUMBER('Results'!$B$8),ISNUMBER('Inputs'!$B$6),ISNUMBER('Inputs'!$B$7),ISNUMBER('Inputs'!$B$8),ISNUMBER('Inputs'!$B$9),ISNUMBER('Inputs'!$B$10),ISNUMBER('Inputs'!$B$21),ISNUMBER('Inputs'!$B$24),ISNUMBER('Inputs'!$B$28)),(('Results'!B7*(0.5*((((845-43)*MAX('Inputs'!$B$33,'Inputs'!$B$29+'Inputs'!$B$31+'Inputs'!$B$32,'Inputs'!$B$30+'Inputs'!$B$31+'Inputs'!$B$32)/1000+'Inputs'!$B$21)+'Inputs'!$B$7)/SQRT((((845-43)*MAX('Inputs'!$B$33,'Inputs'!$B$29+'Inputs'!$B$31+'Inputs'!$B$32,'Inputs'!$B$30+'Inputs'!$B$31+'Inputs'!$B$32)/1000+'Inputs'!$B$21)+'Inputs'!$B$7)^2+('Inputs'!$B$6/2)^2)-(((845-43)*MAX('Inputs'!$B$33,'Inputs'!$B$29+'Inputs'!$B$31+'Inputs'!$B$32,'Inputs'!$B$30+'Inputs'!$B$31+'Inputs'!$B$32)/1000+'Inputs'!$B$21))/SQRT((((845-43)*MAX('Inputs'!$B$33,'Inputs'!$B$29+'Inputs'!$B$31+'Inputs'!$B$32,'Inputs'!$B$30+'Inputs'!$B$31+'Inputs'!$B$32)/1000+'Inputs'!$B$21))^2+('Inputs'!$B$6/2)^2)))-'Results'!C7*(0.5*((((845-43)*MAX('Inputs'!$B$33,'Inputs'!$B$29+'Inputs'!$B$31+'Inputs'!$B$32,'Inputs'!$B$30+'Inputs'!$B$31+'Inputs'!$B$32)/1000+'Inputs'!$B$21+'Inputs'!$B$7+'Inputs'!$B$10)+'Inputs'!$B$9)/SQRT((((845-43)*MAX('Inputs'!$B$33,'Inputs'!$B$29+'Inputs'!$B$31+'Inputs'!$B$32,'Inputs'!$B$30+'Inputs'!$B$31+'Inputs'!$B$32)/1000+'Inputs'!$B$21+'Inputs'!$B$7+'Inputs'!$B$10)+'Inputs'!$B$9)^2+('Inputs'!$B$8/2)^2)-(((845-43)*MAX('Inputs'!$B$33,'Inputs'!$B$29+'Inputs'!$B$31+'Inputs'!$B$32,'Inputs'!$B$30+'Inputs'!$B$31+'Inputs'!$B$32)/1000+'Inputs'!$B$21+'Inputs'!$B$7+'Inputs'!$B$10))/SQRT((((845-43)*MAX('Inputs'!$B$33,'Inputs'!$B$29+'Inputs'!$B$31+'Inputs'!$B$32,'Inputs'!$B$30+'Inputs'!$B$31+'Inputs'!$B$32)/1000+'Inputs'!$B$21+'Inputs'!$B$7+'Inputs'!$B$10))^2+('Inputs'!$B$8/2)^2))))*'Results'!$B$8),"")</x:f>
        <x:v>0.7947680925113799</x:v>
      </x:c>
      <x:c r="K845" t="n">
        <x:f>IF(AND(ISNUMBER('Results'!B7),ISNUMBER('Results'!C7),ISNUMBER('Results'!$B$8),ISNUMBER('Inputs'!$B$6),ISNUMBER('Inputs'!$B$7),ISNUMBER('Inputs'!$B$8),ISNUMBER('Inputs'!$B$9),ISNUMBER('Inputs'!$B$10),ISNUMBER('Inputs'!$B$21),ISNUMBER('Inputs'!$B$24),ISNUMBER('Inputs'!$B$28)),((('Results'!B7*(1-'Inputs'!$B$24)*(0.5*((((845-43)*MAX('Inputs'!$B$33,'Inputs'!$B$29+'Inputs'!$B$31+'Inputs'!$B$32,'Inputs'!$B$30+'Inputs'!$B$31+'Inputs'!$B$32)/1000+'Inputs'!$B$21)+'Inputs'!$B$7)/SQRT((((845-43)*MAX('Inputs'!$B$33,'Inputs'!$B$29+'Inputs'!$B$31+'Inputs'!$B$32,'Inputs'!$B$30+'Inputs'!$B$31+'Inputs'!$B$32)/1000+'Inputs'!$B$21)+'Inputs'!$B$7)^2+('Inputs'!$B$6/2)^2)-(((845-43)*MAX('Inputs'!$B$33,'Inputs'!$B$29+'Inputs'!$B$31+'Inputs'!$B$32,'Inputs'!$B$30+'Inputs'!$B$31+'Inputs'!$B$32)/1000+'Inputs'!$B$21))/SQRT((((845-43)*MAX('Inputs'!$B$33,'Inputs'!$B$29+'Inputs'!$B$31+'Inputs'!$B$32,'Inputs'!$B$30+'Inputs'!$B$31+'Inputs'!$B$32)/1000+'Inputs'!$B$21))^2+('Inputs'!$B$6/2)^2)))-'Results'!C7*(1+'Inputs'!$B$24)*(0.5*((((845-43)*MAX('Inputs'!$B$33,'Inputs'!$B$29+'Inputs'!$B$31+'Inputs'!$B$32,'Inputs'!$B$30+'Inputs'!$B$31+'Inputs'!$B$32)/1000+'Inputs'!$B$21+'Inputs'!$B$7+'Inputs'!$B$10)+'Inputs'!$B$9)/SQRT((((845-43)*MAX('Inputs'!$B$33,'Inputs'!$B$29+'Inputs'!$B$31+'Inputs'!$B$32,'Inputs'!$B$30+'Inputs'!$B$31+'Inputs'!$B$32)/1000+'Inputs'!$B$21+'Inputs'!$B$7+'Inputs'!$B$10)+'Inputs'!$B$9)^2+('Inputs'!$B$8/2)^2)-(((845-43)*MAX('Inputs'!$B$33,'Inputs'!$B$29+'Inputs'!$B$31+'Inputs'!$B$32,'Inputs'!$B$30+'Inputs'!$B$31+'Inputs'!$B$32)/1000+'Inputs'!$B$21+'Inputs'!$B$7+'Inputs'!$B$10))/SQRT((((845-43)*MAX('Inputs'!$B$33,'Inputs'!$B$29+'Inputs'!$B$31+'Inputs'!$B$32,'Inputs'!$B$30+'Inputs'!$B$31+'Inputs'!$B$32)/1000+'Inputs'!$B$21+'Inputs'!$B$7+'Inputs'!$B$10))^2+('Inputs'!$B$8/2)^2))))*'Results'!$B$8)-'Inputs'!$B$28*ABS((('Results'!B7*(1-'Inputs'!$B$24)*(0.5*((((845-43)*MAX('Inputs'!$B$33,'Inputs'!$B$29+'Inputs'!$B$31+'Inputs'!$B$32,'Inputs'!$B$30+'Inputs'!$B$31+'Inputs'!$B$32)/1000+'Inputs'!$B$21)+'Inputs'!$B$7)/SQRT((((845-43)*MAX('Inputs'!$B$33,'Inputs'!$B$29+'Inputs'!$B$31+'Inputs'!$B$32,'Inputs'!$B$30+'Inputs'!$B$31+'Inputs'!$B$32)/1000+'Inputs'!$B$21)+'Inputs'!$B$7)^2+('Inputs'!$B$6/2)^2)-(((845-43)*MAX('Inputs'!$B$33,'Inputs'!$B$29+'Inputs'!$B$31+'Inputs'!$B$32,'Inputs'!$B$30+'Inputs'!$B$31+'Inputs'!$B$32)/1000+'Inputs'!$B$21))/SQRT((((845-43)*MAX('Inputs'!$B$33,'Inputs'!$B$29+'Inputs'!$B$31+'Inputs'!$B$32,'Inputs'!$B$30+'Inputs'!$B$31+'Inputs'!$B$32)/1000+'Inputs'!$B$21))^2+('Inputs'!$B$6/2)^2)))-'Results'!C7*(1+'Inputs'!$B$24)*(0.5*((((845-43)*MAX('Inputs'!$B$33,'Inputs'!$B$29+'Inputs'!$B$31+'Inputs'!$B$32,'Inputs'!$B$30+'Inputs'!$B$31+'Inputs'!$B$32)/1000+'Inputs'!$B$21+'Inputs'!$B$7+'Inputs'!$B$10)+'Inputs'!$B$9)/SQRT((((845-43)*MAX('Inputs'!$B$33,'Inputs'!$B$29+'Inputs'!$B$31+'Inputs'!$B$32,'Inputs'!$B$30+'Inputs'!$B$31+'Inputs'!$B$32)/1000+'Inputs'!$B$21+'Inputs'!$B$7+'Inputs'!$B$10)+'Inputs'!$B$9)^2+('Inputs'!$B$8/2)^2)-(((845-43)*MAX('Inputs'!$B$33,'Inputs'!$B$29+'Inputs'!$B$31+'Inputs'!$B$32,'Inputs'!$B$30+'Inputs'!$B$31+'Inputs'!$B$32)/1000+'Inputs'!$B$21+'Inputs'!$B$7+'Inputs'!$B$10))/SQRT((((845-43)*MAX('Inputs'!$B$33,'Inputs'!$B$29+'Inputs'!$B$31+'Inputs'!$B$32,'Inputs'!$B$30+'Inputs'!$B$31+'Inputs'!$B$32)/1000+'Inputs'!$B$21+'Inputs'!$B$7+'Inputs'!$B$10))^2+('Inputs'!$B$8/2)^2))))*'Results'!$B$8))),"")</x:f>
        <x:v>0.6801915897556409</x:v>
      </x:c>
      <x:c r="L845" t="n">
        <x:f>IF(AND(ISNUMBER('Results'!B7),ISNUMBER('Results'!C7),ISNUMBER('Results'!$B$8),ISNUMBER('Inputs'!$B$6),ISNUMBER('Inputs'!$B$7),ISNUMBER('Inputs'!$B$8),ISNUMBER('Inputs'!$B$9),ISNUMBER('Inputs'!$B$10),ISNUMBER('Inputs'!$B$21),ISNUMBER('Inputs'!$B$24),ISNUMBER('Inputs'!$B$28)),((('Results'!B7*(1+'Inputs'!$B$24)*(0.5*((((845-43)*MAX('Inputs'!$B$33,'Inputs'!$B$29+'Inputs'!$B$31+'Inputs'!$B$32,'Inputs'!$B$30+'Inputs'!$B$31+'Inputs'!$B$32)/1000+'Inputs'!$B$21)+'Inputs'!$B$7)/SQRT((((845-43)*MAX('Inputs'!$B$33,'Inputs'!$B$29+'Inputs'!$B$31+'Inputs'!$B$32,'Inputs'!$B$30+'Inputs'!$B$31+'Inputs'!$B$32)/1000+'Inputs'!$B$21)+'Inputs'!$B$7)^2+('Inputs'!$B$6/2)^2)-(((845-43)*MAX('Inputs'!$B$33,'Inputs'!$B$29+'Inputs'!$B$31+'Inputs'!$B$32,'Inputs'!$B$30+'Inputs'!$B$31+'Inputs'!$B$32)/1000+'Inputs'!$B$21))/SQRT((((845-43)*MAX('Inputs'!$B$33,'Inputs'!$B$29+'Inputs'!$B$31+'Inputs'!$B$32,'Inputs'!$B$30+'Inputs'!$B$31+'Inputs'!$B$32)/1000+'Inputs'!$B$21))^2+('Inputs'!$B$6/2)^2)))-'Results'!C7*(1-'Inputs'!$B$24)*(0.5*((((845-43)*MAX('Inputs'!$B$33,'Inputs'!$B$29+'Inputs'!$B$31+'Inputs'!$B$32,'Inputs'!$B$30+'Inputs'!$B$31+'Inputs'!$B$32)/1000+'Inputs'!$B$21+'Inputs'!$B$7+'Inputs'!$B$10)+'Inputs'!$B$9)/SQRT((((845-43)*MAX('Inputs'!$B$33,'Inputs'!$B$29+'Inputs'!$B$31+'Inputs'!$B$32,'Inputs'!$B$30+'Inputs'!$B$31+'Inputs'!$B$32)/1000+'Inputs'!$B$21+'Inputs'!$B$7+'Inputs'!$B$10)+'Inputs'!$B$9)^2+('Inputs'!$B$8/2)^2)-(((845-43)*MAX('Inputs'!$B$33,'Inputs'!$B$29+'Inputs'!$B$31+'Inputs'!$B$32,'Inputs'!$B$30+'Inputs'!$B$31+'Inputs'!$B$32)/1000+'Inputs'!$B$21+'Inputs'!$B$7+'Inputs'!$B$10))/SQRT((((845-43)*MAX('Inputs'!$B$33,'Inputs'!$B$29+'Inputs'!$B$31+'Inputs'!$B$32,'Inputs'!$B$30+'Inputs'!$B$31+'Inputs'!$B$32)/1000+'Inputs'!$B$21+'Inputs'!$B$7+'Inputs'!$B$10))^2+('Inputs'!$B$8/2)^2))))*'Results'!$B$8)+'Inputs'!$B$28*ABS((('Results'!B7*(1+'Inputs'!$B$24)*(0.5*((((845-43)*MAX('Inputs'!$B$33,'Inputs'!$B$29+'Inputs'!$B$31+'Inputs'!$B$32,'Inputs'!$B$30+'Inputs'!$B$31+'Inputs'!$B$32)/1000+'Inputs'!$B$21)+'Inputs'!$B$7)/SQRT((((845-43)*MAX('Inputs'!$B$33,'Inputs'!$B$29+'Inputs'!$B$31+'Inputs'!$B$32,'Inputs'!$B$30+'Inputs'!$B$31+'Inputs'!$B$32)/1000+'Inputs'!$B$21)+'Inputs'!$B$7)^2+('Inputs'!$B$6/2)^2)-(((845-43)*MAX('Inputs'!$B$33,'Inputs'!$B$29+'Inputs'!$B$31+'Inputs'!$B$32,'Inputs'!$B$30+'Inputs'!$B$31+'Inputs'!$B$32)/1000+'Inputs'!$B$21))/SQRT((((845-43)*MAX('Inputs'!$B$33,'Inputs'!$B$29+'Inputs'!$B$31+'Inputs'!$B$32,'Inputs'!$B$30+'Inputs'!$B$31+'Inputs'!$B$32)/1000+'Inputs'!$B$21))^2+('Inputs'!$B$6/2)^2)))-'Results'!C7*(1-'Inputs'!$B$24)*(0.5*((((845-43)*MAX('Inputs'!$B$33,'Inputs'!$B$29+'Inputs'!$B$31+'Inputs'!$B$32,'Inputs'!$B$30+'Inputs'!$B$31+'Inputs'!$B$32)/1000+'Inputs'!$B$21+'Inputs'!$B$7+'Inputs'!$B$10)+'Inputs'!$B$9)/SQRT((((845-43)*MAX('Inputs'!$B$33,'Inputs'!$B$29+'Inputs'!$B$31+'Inputs'!$B$32,'Inputs'!$B$30+'Inputs'!$B$31+'Inputs'!$B$32)/1000+'Inputs'!$B$21+'Inputs'!$B$7+'Inputs'!$B$10)+'Inputs'!$B$9)^2+('Inputs'!$B$8/2)^2)-(((845-43)*MAX('Inputs'!$B$33,'Inputs'!$B$29+'Inputs'!$B$31+'Inputs'!$B$32,'Inputs'!$B$30+'Inputs'!$B$31+'Inputs'!$B$32)/1000+'Inputs'!$B$21+'Inputs'!$B$7+'Inputs'!$B$10))/SQRT((((845-43)*MAX('Inputs'!$B$33,'Inputs'!$B$29+'Inputs'!$B$31+'Inputs'!$B$32,'Inputs'!$B$30+'Inputs'!$B$31+'Inputs'!$B$32)/1000+'Inputs'!$B$21+'Inputs'!$B$7+'Inputs'!$B$10))^2+('Inputs'!$B$8/2)^2))))*'Results'!$B$8))),"")</x:f>
        <x:v>0.917222289807136</x:v>
      </x:c>
      <x:c r="M845" t="n">
        <x:f>IF(AND(ISNUMBER('Results'!C7),ISNUMBER('Results'!B7),ISNUMBER('Results'!$B$8),ISNUMBER('Inputs'!$B$6),ISNUMBER('Inputs'!$B$7),ISNUMBER('Inputs'!$B$8),ISNUMBER('Inputs'!$B$9),ISNUMBER('Inputs'!$B$10),ISNUMBER('Inputs'!$B$21),ISNUMBER('Inputs'!$B$24),ISNUMBER('Inputs'!$B$28)),(('Results'!C7*(0.5*((((845-43)*MAX('Inputs'!$B$33,'Inputs'!$B$29+'Inputs'!$B$31+'Inputs'!$B$32,'Inputs'!$B$30+'Inputs'!$B$31+'Inputs'!$B$32)/1000+'Inputs'!$B$21)+'Inputs'!$B$9)/SQRT((((845-43)*MAX('Inputs'!$B$33,'Inputs'!$B$29+'Inputs'!$B$31+'Inputs'!$B$32,'Inputs'!$B$30+'Inputs'!$B$31+'Inputs'!$B$32)/1000+'Inputs'!$B$21)+'Inputs'!$B$9)^2+('Inputs'!$B$8/2)^2)-(((845-43)*MAX('Inputs'!$B$33,'Inputs'!$B$29+'Inputs'!$B$31+'Inputs'!$B$32,'Inputs'!$B$30+'Inputs'!$B$31+'Inputs'!$B$32)/1000+'Inputs'!$B$21))/SQRT((((845-43)*MAX('Inputs'!$B$33,'Inputs'!$B$29+'Inputs'!$B$31+'Inputs'!$B$32,'Inputs'!$B$30+'Inputs'!$B$31+'Inputs'!$B$32)/1000+'Inputs'!$B$21))^2+('Inputs'!$B$8/2)^2)))-'Results'!B7*(0.5*((((845-43)*MAX('Inputs'!$B$33,'Inputs'!$B$29+'Inputs'!$B$31+'Inputs'!$B$32,'Inputs'!$B$30+'Inputs'!$B$31+'Inputs'!$B$32)/1000+'Inputs'!$B$21+'Inputs'!$B$9+'Inputs'!$B$10)+'Inputs'!$B$7)/SQRT((((845-43)*MAX('Inputs'!$B$33,'Inputs'!$B$29+'Inputs'!$B$31+'Inputs'!$B$32,'Inputs'!$B$30+'Inputs'!$B$31+'Inputs'!$B$32)/1000+'Inputs'!$B$21+'Inputs'!$B$9+'Inputs'!$B$10)+'Inputs'!$B$7)^2+('Inputs'!$B$6/2)^2)-(((845-43)*MAX('Inputs'!$B$33,'Inputs'!$B$29+'Inputs'!$B$31+'Inputs'!$B$32,'Inputs'!$B$30+'Inputs'!$B$31+'Inputs'!$B$32)/1000+'Inputs'!$B$21+'Inputs'!$B$9+'Inputs'!$B$10))/SQRT((((845-43)*MAX('Inputs'!$B$33,'Inputs'!$B$29+'Inputs'!$B$31+'Inputs'!$B$32,'Inputs'!$B$30+'Inputs'!$B$31+'Inputs'!$B$32)/1000+'Inputs'!$B$21+'Inputs'!$B$9+'Inputs'!$B$10))^2+('Inputs'!$B$6/2)^2))))*'Results'!$B$8),"")</x:f>
        <x:v>0.7153494982994669</x:v>
      </x:c>
      <x:c r="N845" t="n">
        <x:f>IF(AND(ISNUMBER('Results'!C7),ISNUMBER('Results'!B7),ISNUMBER('Results'!$B$8),ISNUMBER('Inputs'!$B$6),ISNUMBER('Inputs'!$B$7),ISNUMBER('Inputs'!$B$8),ISNUMBER('Inputs'!$B$9),ISNUMBER('Inputs'!$B$10),ISNUMBER('Inputs'!$B$21),ISNUMBER('Inputs'!$B$24),ISNUMBER('Inputs'!$B$28)),((('Results'!C7*(1-'Inputs'!$B$24)*(0.5*((((845-43)*MAX('Inputs'!$B$33,'Inputs'!$B$29+'Inputs'!$B$31+'Inputs'!$B$32,'Inputs'!$B$30+'Inputs'!$B$31+'Inputs'!$B$32)/1000+'Inputs'!$B$21)+'Inputs'!$B$9)/SQRT((((845-43)*MAX('Inputs'!$B$33,'Inputs'!$B$29+'Inputs'!$B$31+'Inputs'!$B$32,'Inputs'!$B$30+'Inputs'!$B$31+'Inputs'!$B$32)/1000+'Inputs'!$B$21)+'Inputs'!$B$9)^2+('Inputs'!$B$8/2)^2)-(((845-43)*MAX('Inputs'!$B$33,'Inputs'!$B$29+'Inputs'!$B$31+'Inputs'!$B$32,'Inputs'!$B$30+'Inputs'!$B$31+'Inputs'!$B$32)/1000+'Inputs'!$B$21))/SQRT((((845-43)*MAX('Inputs'!$B$33,'Inputs'!$B$29+'Inputs'!$B$31+'Inputs'!$B$32,'Inputs'!$B$30+'Inputs'!$B$31+'Inputs'!$B$32)/1000+'Inputs'!$B$21))^2+('Inputs'!$B$8/2)^2)))-'Results'!B7*(1+'Inputs'!$B$24)*(0.5*((((845-43)*MAX('Inputs'!$B$33,'Inputs'!$B$29+'Inputs'!$B$31+'Inputs'!$B$32,'Inputs'!$B$30+'Inputs'!$B$31+'Inputs'!$B$32)/1000+'Inputs'!$B$21+'Inputs'!$B$9+'Inputs'!$B$10)+'Inputs'!$B$7)/SQRT((((845-43)*MAX('Inputs'!$B$33,'Inputs'!$B$29+'Inputs'!$B$31+'Inputs'!$B$32,'Inputs'!$B$30+'Inputs'!$B$31+'Inputs'!$B$32)/1000+'Inputs'!$B$21+'Inputs'!$B$9+'Inputs'!$B$10)+'Inputs'!$B$7)^2+('Inputs'!$B$6/2)^2)-(((845-43)*MAX('Inputs'!$B$33,'Inputs'!$B$29+'Inputs'!$B$31+'Inputs'!$B$32,'Inputs'!$B$30+'Inputs'!$B$31+'Inputs'!$B$32)/1000+'Inputs'!$B$21+'Inputs'!$B$9+'Inputs'!$B$10))/SQRT((((845-43)*MAX('Inputs'!$B$33,'Inputs'!$B$29+'Inputs'!$B$31+'Inputs'!$B$32,'Inputs'!$B$30+'Inputs'!$B$31+'Inputs'!$B$32)/1000+'Inputs'!$B$21+'Inputs'!$B$9+'Inputs'!$B$10))^2+('Inputs'!$B$6/2)^2))))*'Results'!$B$8)-'Inputs'!$B$28*ABS((('Results'!C7*(1-'Inputs'!$B$24)*(0.5*((((845-43)*MAX('Inputs'!$B$33,'Inputs'!$B$29+'Inputs'!$B$31+'Inputs'!$B$32,'Inputs'!$B$30+'Inputs'!$B$31+'Inputs'!$B$32)/1000+'Inputs'!$B$21)+'Inputs'!$B$9)/SQRT((((845-43)*MAX('Inputs'!$B$33,'Inputs'!$B$29+'Inputs'!$B$31+'Inputs'!$B$32,'Inputs'!$B$30+'Inputs'!$B$31+'Inputs'!$B$32)/1000+'Inputs'!$B$21)+'Inputs'!$B$9)^2+('Inputs'!$B$8/2)^2)-(((845-43)*MAX('Inputs'!$B$33,'Inputs'!$B$29+'Inputs'!$B$31+'Inputs'!$B$32,'Inputs'!$B$30+'Inputs'!$B$31+'Inputs'!$B$32)/1000+'Inputs'!$B$21))/SQRT((((845-43)*MAX('Inputs'!$B$33,'Inputs'!$B$29+'Inputs'!$B$31+'Inputs'!$B$32,'Inputs'!$B$30+'Inputs'!$B$31+'Inputs'!$B$32)/1000+'Inputs'!$B$21))^2+('Inputs'!$B$8/2)^2)))-'Results'!B7*(1+'Inputs'!$B$24)*(0.5*((((845-43)*MAX('Inputs'!$B$33,'Inputs'!$B$29+'Inputs'!$B$31+'Inputs'!$B$32,'Inputs'!$B$30+'Inputs'!$B$31+'Inputs'!$B$32)/1000+'Inputs'!$B$21+'Inputs'!$B$9+'Inputs'!$B$10)+'Inputs'!$B$7)/SQRT((((845-43)*MAX('Inputs'!$B$33,'Inputs'!$B$29+'Inputs'!$B$31+'Inputs'!$B$32,'Inputs'!$B$30+'Inputs'!$B$31+'Inputs'!$B$32)/1000+'Inputs'!$B$21+'Inputs'!$B$9+'Inputs'!$B$10)+'Inputs'!$B$7)^2+('Inputs'!$B$6/2)^2)-(((845-43)*MAX('Inputs'!$B$33,'Inputs'!$B$29+'Inputs'!$B$31+'Inputs'!$B$32,'Inputs'!$B$30+'Inputs'!$B$31+'Inputs'!$B$32)/1000+'Inputs'!$B$21+'Inputs'!$B$9+'Inputs'!$B$10))/SQRT((((845-43)*MAX('Inputs'!$B$33,'Inputs'!$B$29+'Inputs'!$B$31+'Inputs'!$B$32,'Inputs'!$B$30+'Inputs'!$B$31+'Inputs'!$B$32)/1000+'Inputs'!$B$21+'Inputs'!$B$9+'Inputs'!$B$10))^2+('Inputs'!$B$6/2)^2))))*'Results'!$B$8))),"")</x:f>
        <x:v>0.6050337458020554</x:v>
      </x:c>
      <x:c r="O845" t="n">
        <x:f>IF(AND(ISNUMBER('Results'!C7),ISNUMBER('Results'!B7),ISNUMBER('Results'!$B$8),ISNUMBER('Inputs'!$B$6),ISNUMBER('Inputs'!$B$7),ISNUMBER('Inputs'!$B$8),ISNUMBER('Inputs'!$B$9),ISNUMBER('Inputs'!$B$10),ISNUMBER('Inputs'!$B$21),ISNUMBER('Inputs'!$B$24),ISNUMBER('Inputs'!$B$28)),((('Results'!C7*(1+'Inputs'!$B$24)*(0.5*((((845-43)*MAX('Inputs'!$B$33,'Inputs'!$B$29+'Inputs'!$B$31+'Inputs'!$B$32,'Inputs'!$B$30+'Inputs'!$B$31+'Inputs'!$B$32)/1000+'Inputs'!$B$21)+'Inputs'!$B$9)/SQRT((((845-43)*MAX('Inputs'!$B$33,'Inputs'!$B$29+'Inputs'!$B$31+'Inputs'!$B$32,'Inputs'!$B$30+'Inputs'!$B$31+'Inputs'!$B$32)/1000+'Inputs'!$B$21)+'Inputs'!$B$9)^2+('Inputs'!$B$8/2)^2)-(((845-43)*MAX('Inputs'!$B$33,'Inputs'!$B$29+'Inputs'!$B$31+'Inputs'!$B$32,'Inputs'!$B$30+'Inputs'!$B$31+'Inputs'!$B$32)/1000+'Inputs'!$B$21))/SQRT((((845-43)*MAX('Inputs'!$B$33,'Inputs'!$B$29+'Inputs'!$B$31+'Inputs'!$B$32,'Inputs'!$B$30+'Inputs'!$B$31+'Inputs'!$B$32)/1000+'Inputs'!$B$21))^2+('Inputs'!$B$8/2)^2)))-'Results'!B7*(1-'Inputs'!$B$24)*(0.5*((((845-43)*MAX('Inputs'!$B$33,'Inputs'!$B$29+'Inputs'!$B$31+'Inputs'!$B$32,'Inputs'!$B$30+'Inputs'!$B$31+'Inputs'!$B$32)/1000+'Inputs'!$B$21+'Inputs'!$B$9+'Inputs'!$B$10)+'Inputs'!$B$7)/SQRT((((845-43)*MAX('Inputs'!$B$33,'Inputs'!$B$29+'Inputs'!$B$31+'Inputs'!$B$32,'Inputs'!$B$30+'Inputs'!$B$31+'Inputs'!$B$32)/1000+'Inputs'!$B$21+'Inputs'!$B$9+'Inputs'!$B$10)+'Inputs'!$B$7)^2+('Inputs'!$B$6/2)^2)-(((845-43)*MAX('Inputs'!$B$33,'Inputs'!$B$29+'Inputs'!$B$31+'Inputs'!$B$32,'Inputs'!$B$30+'Inputs'!$B$31+'Inputs'!$B$32)/1000+'Inputs'!$B$21+'Inputs'!$B$9+'Inputs'!$B$10))/SQRT((((845-43)*MAX('Inputs'!$B$33,'Inputs'!$B$29+'Inputs'!$B$31+'Inputs'!$B$32,'Inputs'!$B$30+'Inputs'!$B$31+'Inputs'!$B$32)/1000+'Inputs'!$B$21+'Inputs'!$B$9+'Inputs'!$B$10))^2+('Inputs'!$B$6/2)^2))))*'Results'!$B$8)+'Inputs'!$B$28*ABS((('Results'!C7*(1+'Inputs'!$B$24)*(0.5*((((845-43)*MAX('Inputs'!$B$33,'Inputs'!$B$29+'Inputs'!$B$31+'Inputs'!$B$32,'Inputs'!$B$30+'Inputs'!$B$31+'Inputs'!$B$32)/1000+'Inputs'!$B$21)+'Inputs'!$B$9)/SQRT((((845-43)*MAX('Inputs'!$B$33,'Inputs'!$B$29+'Inputs'!$B$31+'Inputs'!$B$32,'Inputs'!$B$30+'Inputs'!$B$31+'Inputs'!$B$32)/1000+'Inputs'!$B$21)+'Inputs'!$B$9)^2+('Inputs'!$B$8/2)^2)-(((845-43)*MAX('Inputs'!$B$33,'Inputs'!$B$29+'Inputs'!$B$31+'Inputs'!$B$32,'Inputs'!$B$30+'Inputs'!$B$31+'Inputs'!$B$32)/1000+'Inputs'!$B$21))/SQRT((((845-43)*MAX('Inputs'!$B$33,'Inputs'!$B$29+'Inputs'!$B$31+'Inputs'!$B$32,'Inputs'!$B$30+'Inputs'!$B$31+'Inputs'!$B$32)/1000+'Inputs'!$B$21))^2+('Inputs'!$B$8/2)^2)))-'Results'!B7*(1-'Inputs'!$B$24)*(0.5*((((845-43)*MAX('Inputs'!$B$33,'Inputs'!$B$29+'Inputs'!$B$31+'Inputs'!$B$32,'Inputs'!$B$30+'Inputs'!$B$31+'Inputs'!$B$32)/1000+'Inputs'!$B$21+'Inputs'!$B$9+'Inputs'!$B$10)+'Inputs'!$B$7)/SQRT((((845-43)*MAX('Inputs'!$B$33,'Inputs'!$B$29+'Inputs'!$B$31+'Inputs'!$B$32,'Inputs'!$B$30+'Inputs'!$B$31+'Inputs'!$B$32)/1000+'Inputs'!$B$21+'Inputs'!$B$9+'Inputs'!$B$10)+'Inputs'!$B$7)^2+('Inputs'!$B$6/2)^2)-(((845-43)*MAX('Inputs'!$B$33,'Inputs'!$B$29+'Inputs'!$B$31+'Inputs'!$B$32,'Inputs'!$B$30+'Inputs'!$B$31+'Inputs'!$B$32)/1000+'Inputs'!$B$21+'Inputs'!$B$9+'Inputs'!$B$10))/SQRT((((845-43)*MAX('Inputs'!$B$33,'Inputs'!$B$29+'Inputs'!$B$31+'Inputs'!$B$32,'Inputs'!$B$30+'Inputs'!$B$31+'Inputs'!$B$32)/1000+'Inputs'!$B$21+'Inputs'!$B$9+'Inputs'!$B$10))^2+('Inputs'!$B$6/2)^2))))*'Results'!$B$8))),"")</x:f>
        <x:v>0.8335124379108196</x:v>
      </x:c>
      <x:c r="P845" t="n">
        <x:f>IF(AND(MAX(J845,J844)&gt;0,J845&gt;J844+0.00000001),1,0)</x:f>
        <x:v>0</x:v>
      </x:c>
      <x:c r="Q845" t="n">
        <x:f>IF(AND(MAX(K845,K844)&gt;0,K845&gt;K844+0.00000001),1,0)</x:f>
        <x:v>0</x:v>
      </x:c>
      <x:c r="R845" t="n">
        <x:f>IF(AND(MAX(L845,L844)&gt;0,L845&gt;L844+0.00000001),1,0)</x:f>
        <x:v>0</x:v>
      </x:c>
      <x:c r="S845" t="n">
        <x:f>IF(AND(MAX(M845,M844)&gt;0,M845&gt;M844+0.00000001),1,0)</x:f>
        <x:v>0</x:v>
      </x:c>
      <x:c r="T845" t="n">
        <x:f>IF(AND(MAX(N845,N844)&gt;0,N845&gt;N844+0.00000001),1,0)</x:f>
        <x:v>0</x:v>
      </x:c>
      <x:c r="U845" t="n">
        <x:f>IF(AND(MAX(O845,O844)&gt;0,O845&gt;O844+0.00000001),1,0)</x:f>
        <x:v>0</x:v>
      </x:c>
    </x:row>
    <x:row r="846">
      <x:c r="J846" t="n">
        <x:f>IF(AND(ISNUMBER('Results'!B7),ISNUMBER('Results'!C7),ISNUMBER('Results'!$B$8),ISNUMBER('Inputs'!$B$6),ISNUMBER('Inputs'!$B$7),ISNUMBER('Inputs'!$B$8),ISNUMBER('Inputs'!$B$9),ISNUMBER('Inputs'!$B$10),ISNUMBER('Inputs'!$B$21),ISNUMBER('Inputs'!$B$24),ISNUMBER('Inputs'!$B$28)),(('Results'!B7*(0.5*((((846-43)*MAX('Inputs'!$B$33,'Inputs'!$B$29+'Inputs'!$B$31+'Inputs'!$B$32,'Inputs'!$B$30+'Inputs'!$B$31+'Inputs'!$B$32)/1000+'Inputs'!$B$21)+'Inputs'!$B$7)/SQRT((((846-43)*MAX('Inputs'!$B$33,'Inputs'!$B$29+'Inputs'!$B$31+'Inputs'!$B$32,'Inputs'!$B$30+'Inputs'!$B$31+'Inputs'!$B$32)/1000+'Inputs'!$B$21)+'Inputs'!$B$7)^2+('Inputs'!$B$6/2)^2)-(((846-43)*MAX('Inputs'!$B$33,'Inputs'!$B$29+'Inputs'!$B$31+'Inputs'!$B$32,'Inputs'!$B$30+'Inputs'!$B$31+'Inputs'!$B$32)/1000+'Inputs'!$B$21))/SQRT((((846-43)*MAX('Inputs'!$B$33,'Inputs'!$B$29+'Inputs'!$B$31+'Inputs'!$B$32,'Inputs'!$B$30+'Inputs'!$B$31+'Inputs'!$B$32)/1000+'Inputs'!$B$21))^2+('Inputs'!$B$6/2)^2)))-'Results'!C7*(0.5*((((846-43)*MAX('Inputs'!$B$33,'Inputs'!$B$29+'Inputs'!$B$31+'Inputs'!$B$32,'Inputs'!$B$30+'Inputs'!$B$31+'Inputs'!$B$32)/1000+'Inputs'!$B$21+'Inputs'!$B$7+'Inputs'!$B$10)+'Inputs'!$B$9)/SQRT((((846-43)*MAX('Inputs'!$B$33,'Inputs'!$B$29+'Inputs'!$B$31+'Inputs'!$B$32,'Inputs'!$B$30+'Inputs'!$B$31+'Inputs'!$B$32)/1000+'Inputs'!$B$21+'Inputs'!$B$7+'Inputs'!$B$10)+'Inputs'!$B$9)^2+('Inputs'!$B$8/2)^2)-(((846-43)*MAX('Inputs'!$B$33,'Inputs'!$B$29+'Inputs'!$B$31+'Inputs'!$B$32,'Inputs'!$B$30+'Inputs'!$B$31+'Inputs'!$B$32)/1000+'Inputs'!$B$21+'Inputs'!$B$7+'Inputs'!$B$10))/SQRT((((846-43)*MAX('Inputs'!$B$33,'Inputs'!$B$29+'Inputs'!$B$31+'Inputs'!$B$32,'Inputs'!$B$30+'Inputs'!$B$31+'Inputs'!$B$32)/1000+'Inputs'!$B$21+'Inputs'!$B$7+'Inputs'!$B$10))^2+('Inputs'!$B$8/2)^2))))*'Results'!$B$8),"")</x:f>
        <x:v>0.791214609450283</x:v>
      </x:c>
      <x:c r="K846" t="n">
        <x:f>IF(AND(ISNUMBER('Results'!B7),ISNUMBER('Results'!C7),ISNUMBER('Results'!$B$8),ISNUMBER('Inputs'!$B$6),ISNUMBER('Inputs'!$B$7),ISNUMBER('Inputs'!$B$8),ISNUMBER('Inputs'!$B$9),ISNUMBER('Inputs'!$B$10),ISNUMBER('Inputs'!$B$21),ISNUMBER('Inputs'!$B$24),ISNUMBER('Inputs'!$B$28)),((('Results'!B7*(1-'Inputs'!$B$24)*(0.5*((((846-43)*MAX('Inputs'!$B$33,'Inputs'!$B$29+'Inputs'!$B$31+'Inputs'!$B$32,'Inputs'!$B$30+'Inputs'!$B$31+'Inputs'!$B$32)/1000+'Inputs'!$B$21)+'Inputs'!$B$7)/SQRT((((846-43)*MAX('Inputs'!$B$33,'Inputs'!$B$29+'Inputs'!$B$31+'Inputs'!$B$32,'Inputs'!$B$30+'Inputs'!$B$31+'Inputs'!$B$32)/1000+'Inputs'!$B$21)+'Inputs'!$B$7)^2+('Inputs'!$B$6/2)^2)-(((846-43)*MAX('Inputs'!$B$33,'Inputs'!$B$29+'Inputs'!$B$31+'Inputs'!$B$32,'Inputs'!$B$30+'Inputs'!$B$31+'Inputs'!$B$32)/1000+'Inputs'!$B$21))/SQRT((((846-43)*MAX('Inputs'!$B$33,'Inputs'!$B$29+'Inputs'!$B$31+'Inputs'!$B$32,'Inputs'!$B$30+'Inputs'!$B$31+'Inputs'!$B$32)/1000+'Inputs'!$B$21))^2+('Inputs'!$B$6/2)^2)))-'Results'!C7*(1+'Inputs'!$B$24)*(0.5*((((846-43)*MAX('Inputs'!$B$33,'Inputs'!$B$29+'Inputs'!$B$31+'Inputs'!$B$32,'Inputs'!$B$30+'Inputs'!$B$31+'Inputs'!$B$32)/1000+'Inputs'!$B$21+'Inputs'!$B$7+'Inputs'!$B$10)+'Inputs'!$B$9)/SQRT((((846-43)*MAX('Inputs'!$B$33,'Inputs'!$B$29+'Inputs'!$B$31+'Inputs'!$B$32,'Inputs'!$B$30+'Inputs'!$B$31+'Inputs'!$B$32)/1000+'Inputs'!$B$21+'Inputs'!$B$7+'Inputs'!$B$10)+'Inputs'!$B$9)^2+('Inputs'!$B$8/2)^2)-(((846-43)*MAX('Inputs'!$B$33,'Inputs'!$B$29+'Inputs'!$B$31+'Inputs'!$B$32,'Inputs'!$B$30+'Inputs'!$B$31+'Inputs'!$B$32)/1000+'Inputs'!$B$21+'Inputs'!$B$7+'Inputs'!$B$10))/SQRT((((846-43)*MAX('Inputs'!$B$33,'Inputs'!$B$29+'Inputs'!$B$31+'Inputs'!$B$32,'Inputs'!$B$30+'Inputs'!$B$31+'Inputs'!$B$32)/1000+'Inputs'!$B$21+'Inputs'!$B$7+'Inputs'!$B$10))^2+('Inputs'!$B$8/2)^2))))*'Results'!$B$8)-'Inputs'!$B$28*ABS((('Results'!B7*(1-'Inputs'!$B$24)*(0.5*((((846-43)*MAX('Inputs'!$B$33,'Inputs'!$B$29+'Inputs'!$B$31+'Inputs'!$B$32,'Inputs'!$B$30+'Inputs'!$B$31+'Inputs'!$B$32)/1000+'Inputs'!$B$21)+'Inputs'!$B$7)/SQRT((((846-43)*MAX('Inputs'!$B$33,'Inputs'!$B$29+'Inputs'!$B$31+'Inputs'!$B$32,'Inputs'!$B$30+'Inputs'!$B$31+'Inputs'!$B$32)/1000+'Inputs'!$B$21)+'Inputs'!$B$7)^2+('Inputs'!$B$6/2)^2)-(((846-43)*MAX('Inputs'!$B$33,'Inputs'!$B$29+'Inputs'!$B$31+'Inputs'!$B$32,'Inputs'!$B$30+'Inputs'!$B$31+'Inputs'!$B$32)/1000+'Inputs'!$B$21))/SQRT((((846-43)*MAX('Inputs'!$B$33,'Inputs'!$B$29+'Inputs'!$B$31+'Inputs'!$B$32,'Inputs'!$B$30+'Inputs'!$B$31+'Inputs'!$B$32)/1000+'Inputs'!$B$21))^2+('Inputs'!$B$6/2)^2)))-'Results'!C7*(1+'Inputs'!$B$24)*(0.5*((((846-43)*MAX('Inputs'!$B$33,'Inputs'!$B$29+'Inputs'!$B$31+'Inputs'!$B$32,'Inputs'!$B$30+'Inputs'!$B$31+'Inputs'!$B$32)/1000+'Inputs'!$B$21+'Inputs'!$B$7+'Inputs'!$B$10)+'Inputs'!$B$9)/SQRT((((846-43)*MAX('Inputs'!$B$33,'Inputs'!$B$29+'Inputs'!$B$31+'Inputs'!$B$32,'Inputs'!$B$30+'Inputs'!$B$31+'Inputs'!$B$32)/1000+'Inputs'!$B$21+'Inputs'!$B$7+'Inputs'!$B$10)+'Inputs'!$B$9)^2+('Inputs'!$B$8/2)^2)-(((846-43)*MAX('Inputs'!$B$33,'Inputs'!$B$29+'Inputs'!$B$31+'Inputs'!$B$32,'Inputs'!$B$30+'Inputs'!$B$31+'Inputs'!$B$32)/1000+'Inputs'!$B$21+'Inputs'!$B$7+'Inputs'!$B$10))/SQRT((((846-43)*MAX('Inputs'!$B$33,'Inputs'!$B$29+'Inputs'!$B$31+'Inputs'!$B$32,'Inputs'!$B$30+'Inputs'!$B$31+'Inputs'!$B$32)/1000+'Inputs'!$B$21+'Inputs'!$B$7+'Inputs'!$B$10))^2+('Inputs'!$B$8/2)^2))))*'Results'!$B$8))),"")</x:f>
        <x:v>0.677072999017947</x:v>
      </x:c>
      <x:c r="L846" t="n">
        <x:f>IF(AND(ISNUMBER('Results'!B7),ISNUMBER('Results'!C7),ISNUMBER('Results'!$B$8),ISNUMBER('Inputs'!$B$6),ISNUMBER('Inputs'!$B$7),ISNUMBER('Inputs'!$B$8),ISNUMBER('Inputs'!$B$9),ISNUMBER('Inputs'!$B$10),ISNUMBER('Inputs'!$B$21),ISNUMBER('Inputs'!$B$24),ISNUMBER('Inputs'!$B$28)),((('Results'!B7*(1+'Inputs'!$B$24)*(0.5*((((846-43)*MAX('Inputs'!$B$33,'Inputs'!$B$29+'Inputs'!$B$31+'Inputs'!$B$32,'Inputs'!$B$30+'Inputs'!$B$31+'Inputs'!$B$32)/1000+'Inputs'!$B$21)+'Inputs'!$B$7)/SQRT((((846-43)*MAX('Inputs'!$B$33,'Inputs'!$B$29+'Inputs'!$B$31+'Inputs'!$B$32,'Inputs'!$B$30+'Inputs'!$B$31+'Inputs'!$B$32)/1000+'Inputs'!$B$21)+'Inputs'!$B$7)^2+('Inputs'!$B$6/2)^2)-(((846-43)*MAX('Inputs'!$B$33,'Inputs'!$B$29+'Inputs'!$B$31+'Inputs'!$B$32,'Inputs'!$B$30+'Inputs'!$B$31+'Inputs'!$B$32)/1000+'Inputs'!$B$21))/SQRT((((846-43)*MAX('Inputs'!$B$33,'Inputs'!$B$29+'Inputs'!$B$31+'Inputs'!$B$32,'Inputs'!$B$30+'Inputs'!$B$31+'Inputs'!$B$32)/1000+'Inputs'!$B$21))^2+('Inputs'!$B$6/2)^2)))-'Results'!C7*(1-'Inputs'!$B$24)*(0.5*((((846-43)*MAX('Inputs'!$B$33,'Inputs'!$B$29+'Inputs'!$B$31+'Inputs'!$B$32,'Inputs'!$B$30+'Inputs'!$B$31+'Inputs'!$B$32)/1000+'Inputs'!$B$21+'Inputs'!$B$7+'Inputs'!$B$10)+'Inputs'!$B$9)/SQRT((((846-43)*MAX('Inputs'!$B$33,'Inputs'!$B$29+'Inputs'!$B$31+'Inputs'!$B$32,'Inputs'!$B$30+'Inputs'!$B$31+'Inputs'!$B$32)/1000+'Inputs'!$B$21+'Inputs'!$B$7+'Inputs'!$B$10)+'Inputs'!$B$9)^2+('Inputs'!$B$8/2)^2)-(((846-43)*MAX('Inputs'!$B$33,'Inputs'!$B$29+'Inputs'!$B$31+'Inputs'!$B$32,'Inputs'!$B$30+'Inputs'!$B$31+'Inputs'!$B$32)/1000+'Inputs'!$B$21+'Inputs'!$B$7+'Inputs'!$B$10))/SQRT((((846-43)*MAX('Inputs'!$B$33,'Inputs'!$B$29+'Inputs'!$B$31+'Inputs'!$B$32,'Inputs'!$B$30+'Inputs'!$B$31+'Inputs'!$B$32)/1000+'Inputs'!$B$21+'Inputs'!$B$7+'Inputs'!$B$10))^2+('Inputs'!$B$8/2)^2))))*'Results'!$B$8)+'Inputs'!$B$28*ABS((('Results'!B7*(1+'Inputs'!$B$24)*(0.5*((((846-43)*MAX('Inputs'!$B$33,'Inputs'!$B$29+'Inputs'!$B$31+'Inputs'!$B$32,'Inputs'!$B$30+'Inputs'!$B$31+'Inputs'!$B$32)/1000+'Inputs'!$B$21)+'Inputs'!$B$7)/SQRT((((846-43)*MAX('Inputs'!$B$33,'Inputs'!$B$29+'Inputs'!$B$31+'Inputs'!$B$32,'Inputs'!$B$30+'Inputs'!$B$31+'Inputs'!$B$32)/1000+'Inputs'!$B$21)+'Inputs'!$B$7)^2+('Inputs'!$B$6/2)^2)-(((846-43)*MAX('Inputs'!$B$33,'Inputs'!$B$29+'Inputs'!$B$31+'Inputs'!$B$32,'Inputs'!$B$30+'Inputs'!$B$31+'Inputs'!$B$32)/1000+'Inputs'!$B$21))/SQRT((((846-43)*MAX('Inputs'!$B$33,'Inputs'!$B$29+'Inputs'!$B$31+'Inputs'!$B$32,'Inputs'!$B$30+'Inputs'!$B$31+'Inputs'!$B$32)/1000+'Inputs'!$B$21))^2+('Inputs'!$B$6/2)^2)))-'Results'!C7*(1-'Inputs'!$B$24)*(0.5*((((846-43)*MAX('Inputs'!$B$33,'Inputs'!$B$29+'Inputs'!$B$31+'Inputs'!$B$32,'Inputs'!$B$30+'Inputs'!$B$31+'Inputs'!$B$32)/1000+'Inputs'!$B$21+'Inputs'!$B$7+'Inputs'!$B$10)+'Inputs'!$B$9)/SQRT((((846-43)*MAX('Inputs'!$B$33,'Inputs'!$B$29+'Inputs'!$B$31+'Inputs'!$B$32,'Inputs'!$B$30+'Inputs'!$B$31+'Inputs'!$B$32)/1000+'Inputs'!$B$21+'Inputs'!$B$7+'Inputs'!$B$10)+'Inputs'!$B$9)^2+('Inputs'!$B$8/2)^2)-(((846-43)*MAX('Inputs'!$B$33,'Inputs'!$B$29+'Inputs'!$B$31+'Inputs'!$B$32,'Inputs'!$B$30+'Inputs'!$B$31+'Inputs'!$B$32)/1000+'Inputs'!$B$21+'Inputs'!$B$7+'Inputs'!$B$10))/SQRT((((846-43)*MAX('Inputs'!$B$33,'Inputs'!$B$29+'Inputs'!$B$31+'Inputs'!$B$32,'Inputs'!$B$30+'Inputs'!$B$31+'Inputs'!$B$32)/1000+'Inputs'!$B$21+'Inputs'!$B$7+'Inputs'!$B$10))^2+('Inputs'!$B$8/2)^2))))*'Results'!$B$8))),"")</x:f>
        <x:v>0.9132068388257581</x:v>
      </x:c>
      <x:c r="M846" t="n">
        <x:f>IF(AND(ISNUMBER('Results'!C7),ISNUMBER('Results'!B7),ISNUMBER('Results'!$B$8),ISNUMBER('Inputs'!$B$6),ISNUMBER('Inputs'!$B$7),ISNUMBER('Inputs'!$B$8),ISNUMBER('Inputs'!$B$9),ISNUMBER('Inputs'!$B$10),ISNUMBER('Inputs'!$B$21),ISNUMBER('Inputs'!$B$24),ISNUMBER('Inputs'!$B$28)),(('Results'!C7*(0.5*((((846-43)*MAX('Inputs'!$B$33,'Inputs'!$B$29+'Inputs'!$B$31+'Inputs'!$B$32,'Inputs'!$B$30+'Inputs'!$B$31+'Inputs'!$B$32)/1000+'Inputs'!$B$21)+'Inputs'!$B$9)/SQRT((((846-43)*MAX('Inputs'!$B$33,'Inputs'!$B$29+'Inputs'!$B$31+'Inputs'!$B$32,'Inputs'!$B$30+'Inputs'!$B$31+'Inputs'!$B$32)/1000+'Inputs'!$B$21)+'Inputs'!$B$9)^2+('Inputs'!$B$8/2)^2)-(((846-43)*MAX('Inputs'!$B$33,'Inputs'!$B$29+'Inputs'!$B$31+'Inputs'!$B$32,'Inputs'!$B$30+'Inputs'!$B$31+'Inputs'!$B$32)/1000+'Inputs'!$B$21))/SQRT((((846-43)*MAX('Inputs'!$B$33,'Inputs'!$B$29+'Inputs'!$B$31+'Inputs'!$B$32,'Inputs'!$B$30+'Inputs'!$B$31+'Inputs'!$B$32)/1000+'Inputs'!$B$21))^2+('Inputs'!$B$8/2)^2)))-'Results'!B7*(0.5*((((846-43)*MAX('Inputs'!$B$33,'Inputs'!$B$29+'Inputs'!$B$31+'Inputs'!$B$32,'Inputs'!$B$30+'Inputs'!$B$31+'Inputs'!$B$32)/1000+'Inputs'!$B$21+'Inputs'!$B$9+'Inputs'!$B$10)+'Inputs'!$B$7)/SQRT((((846-43)*MAX('Inputs'!$B$33,'Inputs'!$B$29+'Inputs'!$B$31+'Inputs'!$B$32,'Inputs'!$B$30+'Inputs'!$B$31+'Inputs'!$B$32)/1000+'Inputs'!$B$21+'Inputs'!$B$9+'Inputs'!$B$10)+'Inputs'!$B$7)^2+('Inputs'!$B$6/2)^2)-(((846-43)*MAX('Inputs'!$B$33,'Inputs'!$B$29+'Inputs'!$B$31+'Inputs'!$B$32,'Inputs'!$B$30+'Inputs'!$B$31+'Inputs'!$B$32)/1000+'Inputs'!$B$21+'Inputs'!$B$9+'Inputs'!$B$10))/SQRT((((846-43)*MAX('Inputs'!$B$33,'Inputs'!$B$29+'Inputs'!$B$31+'Inputs'!$B$32,'Inputs'!$B$30+'Inputs'!$B$31+'Inputs'!$B$32)/1000+'Inputs'!$B$21+'Inputs'!$B$9+'Inputs'!$B$10))^2+('Inputs'!$B$6/2)^2))))*'Results'!$B$8),"")</x:f>
        <x:v>0.712068808822541</x:v>
      </x:c>
      <x:c r="N846" t="n">
        <x:f>IF(AND(ISNUMBER('Results'!C7),ISNUMBER('Results'!B7),ISNUMBER('Results'!$B$8),ISNUMBER('Inputs'!$B$6),ISNUMBER('Inputs'!$B$7),ISNUMBER('Inputs'!$B$8),ISNUMBER('Inputs'!$B$9),ISNUMBER('Inputs'!$B$10),ISNUMBER('Inputs'!$B$21),ISNUMBER('Inputs'!$B$24),ISNUMBER('Inputs'!$B$28)),((('Results'!C7*(1-'Inputs'!$B$24)*(0.5*((((846-43)*MAX('Inputs'!$B$33,'Inputs'!$B$29+'Inputs'!$B$31+'Inputs'!$B$32,'Inputs'!$B$30+'Inputs'!$B$31+'Inputs'!$B$32)/1000+'Inputs'!$B$21)+'Inputs'!$B$9)/SQRT((((846-43)*MAX('Inputs'!$B$33,'Inputs'!$B$29+'Inputs'!$B$31+'Inputs'!$B$32,'Inputs'!$B$30+'Inputs'!$B$31+'Inputs'!$B$32)/1000+'Inputs'!$B$21)+'Inputs'!$B$9)^2+('Inputs'!$B$8/2)^2)-(((846-43)*MAX('Inputs'!$B$33,'Inputs'!$B$29+'Inputs'!$B$31+'Inputs'!$B$32,'Inputs'!$B$30+'Inputs'!$B$31+'Inputs'!$B$32)/1000+'Inputs'!$B$21))/SQRT((((846-43)*MAX('Inputs'!$B$33,'Inputs'!$B$29+'Inputs'!$B$31+'Inputs'!$B$32,'Inputs'!$B$30+'Inputs'!$B$31+'Inputs'!$B$32)/1000+'Inputs'!$B$21))^2+('Inputs'!$B$8/2)^2)))-'Results'!B7*(1+'Inputs'!$B$24)*(0.5*((((846-43)*MAX('Inputs'!$B$33,'Inputs'!$B$29+'Inputs'!$B$31+'Inputs'!$B$32,'Inputs'!$B$30+'Inputs'!$B$31+'Inputs'!$B$32)/1000+'Inputs'!$B$21+'Inputs'!$B$9+'Inputs'!$B$10)+'Inputs'!$B$7)/SQRT((((846-43)*MAX('Inputs'!$B$33,'Inputs'!$B$29+'Inputs'!$B$31+'Inputs'!$B$32,'Inputs'!$B$30+'Inputs'!$B$31+'Inputs'!$B$32)/1000+'Inputs'!$B$21+'Inputs'!$B$9+'Inputs'!$B$10)+'Inputs'!$B$7)^2+('Inputs'!$B$6/2)^2)-(((846-43)*MAX('Inputs'!$B$33,'Inputs'!$B$29+'Inputs'!$B$31+'Inputs'!$B$32,'Inputs'!$B$30+'Inputs'!$B$31+'Inputs'!$B$32)/1000+'Inputs'!$B$21+'Inputs'!$B$9+'Inputs'!$B$10))/SQRT((((846-43)*MAX('Inputs'!$B$33,'Inputs'!$B$29+'Inputs'!$B$31+'Inputs'!$B$32,'Inputs'!$B$30+'Inputs'!$B$31+'Inputs'!$B$32)/1000+'Inputs'!$B$21+'Inputs'!$B$9+'Inputs'!$B$10))^2+('Inputs'!$B$6/2)^2))))*'Results'!$B$8)-'Inputs'!$B$28*ABS((('Results'!C7*(1-'Inputs'!$B$24)*(0.5*((((846-43)*MAX('Inputs'!$B$33,'Inputs'!$B$29+'Inputs'!$B$31+'Inputs'!$B$32,'Inputs'!$B$30+'Inputs'!$B$31+'Inputs'!$B$32)/1000+'Inputs'!$B$21)+'Inputs'!$B$9)/SQRT((((846-43)*MAX('Inputs'!$B$33,'Inputs'!$B$29+'Inputs'!$B$31+'Inputs'!$B$32,'Inputs'!$B$30+'Inputs'!$B$31+'Inputs'!$B$32)/1000+'Inputs'!$B$21)+'Inputs'!$B$9)^2+('Inputs'!$B$8/2)^2)-(((846-43)*MAX('Inputs'!$B$33,'Inputs'!$B$29+'Inputs'!$B$31+'Inputs'!$B$32,'Inputs'!$B$30+'Inputs'!$B$31+'Inputs'!$B$32)/1000+'Inputs'!$B$21))/SQRT((((846-43)*MAX('Inputs'!$B$33,'Inputs'!$B$29+'Inputs'!$B$31+'Inputs'!$B$32,'Inputs'!$B$30+'Inputs'!$B$31+'Inputs'!$B$32)/1000+'Inputs'!$B$21))^2+('Inputs'!$B$8/2)^2)))-'Results'!B7*(1+'Inputs'!$B$24)*(0.5*((((846-43)*MAX('Inputs'!$B$33,'Inputs'!$B$29+'Inputs'!$B$31+'Inputs'!$B$32,'Inputs'!$B$30+'Inputs'!$B$31+'Inputs'!$B$32)/1000+'Inputs'!$B$21+'Inputs'!$B$9+'Inputs'!$B$10)+'Inputs'!$B$7)/SQRT((((846-43)*MAX('Inputs'!$B$33,'Inputs'!$B$29+'Inputs'!$B$31+'Inputs'!$B$32,'Inputs'!$B$30+'Inputs'!$B$31+'Inputs'!$B$32)/1000+'Inputs'!$B$21+'Inputs'!$B$9+'Inputs'!$B$10)+'Inputs'!$B$7)^2+('Inputs'!$B$6/2)^2)-(((846-43)*MAX('Inputs'!$B$33,'Inputs'!$B$29+'Inputs'!$B$31+'Inputs'!$B$32,'Inputs'!$B$30+'Inputs'!$B$31+'Inputs'!$B$32)/1000+'Inputs'!$B$21+'Inputs'!$B$9+'Inputs'!$B$10))/SQRT((((846-43)*MAX('Inputs'!$B$33,'Inputs'!$B$29+'Inputs'!$B$31+'Inputs'!$B$32,'Inputs'!$B$30+'Inputs'!$B$31+'Inputs'!$B$32)/1000+'Inputs'!$B$21+'Inputs'!$B$9+'Inputs'!$B$10))^2+('Inputs'!$B$6/2)^2))))*'Results'!$B$8))),"")</x:f>
        <x:v>0.6021729973604526</x:v>
      </x:c>
      <x:c r="O846" t="n">
        <x:f>IF(AND(ISNUMBER('Results'!C7),ISNUMBER('Results'!B7),ISNUMBER('Results'!$B$8),ISNUMBER('Inputs'!$B$6),ISNUMBER('Inputs'!$B$7),ISNUMBER('Inputs'!$B$8),ISNUMBER('Inputs'!$B$9),ISNUMBER('Inputs'!$B$10),ISNUMBER('Inputs'!$B$21),ISNUMBER('Inputs'!$B$24),ISNUMBER('Inputs'!$B$28)),((('Results'!C7*(1+'Inputs'!$B$24)*(0.5*((((846-43)*MAX('Inputs'!$B$33,'Inputs'!$B$29+'Inputs'!$B$31+'Inputs'!$B$32,'Inputs'!$B$30+'Inputs'!$B$31+'Inputs'!$B$32)/1000+'Inputs'!$B$21)+'Inputs'!$B$9)/SQRT((((846-43)*MAX('Inputs'!$B$33,'Inputs'!$B$29+'Inputs'!$B$31+'Inputs'!$B$32,'Inputs'!$B$30+'Inputs'!$B$31+'Inputs'!$B$32)/1000+'Inputs'!$B$21)+'Inputs'!$B$9)^2+('Inputs'!$B$8/2)^2)-(((846-43)*MAX('Inputs'!$B$33,'Inputs'!$B$29+'Inputs'!$B$31+'Inputs'!$B$32,'Inputs'!$B$30+'Inputs'!$B$31+'Inputs'!$B$32)/1000+'Inputs'!$B$21))/SQRT((((846-43)*MAX('Inputs'!$B$33,'Inputs'!$B$29+'Inputs'!$B$31+'Inputs'!$B$32,'Inputs'!$B$30+'Inputs'!$B$31+'Inputs'!$B$32)/1000+'Inputs'!$B$21))^2+('Inputs'!$B$8/2)^2)))-'Results'!B7*(1-'Inputs'!$B$24)*(0.5*((((846-43)*MAX('Inputs'!$B$33,'Inputs'!$B$29+'Inputs'!$B$31+'Inputs'!$B$32,'Inputs'!$B$30+'Inputs'!$B$31+'Inputs'!$B$32)/1000+'Inputs'!$B$21+'Inputs'!$B$9+'Inputs'!$B$10)+'Inputs'!$B$7)/SQRT((((846-43)*MAX('Inputs'!$B$33,'Inputs'!$B$29+'Inputs'!$B$31+'Inputs'!$B$32,'Inputs'!$B$30+'Inputs'!$B$31+'Inputs'!$B$32)/1000+'Inputs'!$B$21+'Inputs'!$B$9+'Inputs'!$B$10)+'Inputs'!$B$7)^2+('Inputs'!$B$6/2)^2)-(((846-43)*MAX('Inputs'!$B$33,'Inputs'!$B$29+'Inputs'!$B$31+'Inputs'!$B$32,'Inputs'!$B$30+'Inputs'!$B$31+'Inputs'!$B$32)/1000+'Inputs'!$B$21+'Inputs'!$B$9+'Inputs'!$B$10))/SQRT((((846-43)*MAX('Inputs'!$B$33,'Inputs'!$B$29+'Inputs'!$B$31+'Inputs'!$B$32,'Inputs'!$B$30+'Inputs'!$B$31+'Inputs'!$B$32)/1000+'Inputs'!$B$21+'Inputs'!$B$9+'Inputs'!$B$10))^2+('Inputs'!$B$6/2)^2))))*'Results'!$B$8)+'Inputs'!$B$28*ABS((('Results'!C7*(1+'Inputs'!$B$24)*(0.5*((((846-43)*MAX('Inputs'!$B$33,'Inputs'!$B$29+'Inputs'!$B$31+'Inputs'!$B$32,'Inputs'!$B$30+'Inputs'!$B$31+'Inputs'!$B$32)/1000+'Inputs'!$B$21)+'Inputs'!$B$9)/SQRT((((846-43)*MAX('Inputs'!$B$33,'Inputs'!$B$29+'Inputs'!$B$31+'Inputs'!$B$32,'Inputs'!$B$30+'Inputs'!$B$31+'Inputs'!$B$32)/1000+'Inputs'!$B$21)+'Inputs'!$B$9)^2+('Inputs'!$B$8/2)^2)-(((846-43)*MAX('Inputs'!$B$33,'Inputs'!$B$29+'Inputs'!$B$31+'Inputs'!$B$32,'Inputs'!$B$30+'Inputs'!$B$31+'Inputs'!$B$32)/1000+'Inputs'!$B$21))/SQRT((((846-43)*MAX('Inputs'!$B$33,'Inputs'!$B$29+'Inputs'!$B$31+'Inputs'!$B$32,'Inputs'!$B$30+'Inputs'!$B$31+'Inputs'!$B$32)/1000+'Inputs'!$B$21))^2+('Inputs'!$B$8/2)^2)))-'Results'!B7*(1-'Inputs'!$B$24)*(0.5*((((846-43)*MAX('Inputs'!$B$33,'Inputs'!$B$29+'Inputs'!$B$31+'Inputs'!$B$32,'Inputs'!$B$30+'Inputs'!$B$31+'Inputs'!$B$32)/1000+'Inputs'!$B$21+'Inputs'!$B$9+'Inputs'!$B$10)+'Inputs'!$B$7)/SQRT((((846-43)*MAX('Inputs'!$B$33,'Inputs'!$B$29+'Inputs'!$B$31+'Inputs'!$B$32,'Inputs'!$B$30+'Inputs'!$B$31+'Inputs'!$B$32)/1000+'Inputs'!$B$21+'Inputs'!$B$9+'Inputs'!$B$10)+'Inputs'!$B$7)^2+('Inputs'!$B$6/2)^2)-(((846-43)*MAX('Inputs'!$B$33,'Inputs'!$B$29+'Inputs'!$B$31+'Inputs'!$B$32,'Inputs'!$B$30+'Inputs'!$B$31+'Inputs'!$B$32)/1000+'Inputs'!$B$21+'Inputs'!$B$9+'Inputs'!$B$10))/SQRT((((846-43)*MAX('Inputs'!$B$33,'Inputs'!$B$29+'Inputs'!$B$31+'Inputs'!$B$32,'Inputs'!$B$30+'Inputs'!$B$31+'Inputs'!$B$32)/1000+'Inputs'!$B$21+'Inputs'!$B$9+'Inputs'!$B$10))^2+('Inputs'!$B$6/2)^2))))*'Results'!$B$8))),"")</x:f>
        <x:v>0.8297848698657833</x:v>
      </x:c>
      <x:c r="P846" t="n">
        <x:f>IF(AND(MAX(J846,J845)&gt;0,J846&gt;J845+0.00000001),1,0)</x:f>
        <x:v>0</x:v>
      </x:c>
      <x:c r="Q846" t="n">
        <x:f>IF(AND(MAX(K846,K845)&gt;0,K846&gt;K845+0.00000001),1,0)</x:f>
        <x:v>0</x:v>
      </x:c>
      <x:c r="R846" t="n">
        <x:f>IF(AND(MAX(L846,L845)&gt;0,L846&gt;L845+0.00000001),1,0)</x:f>
        <x:v>0</x:v>
      </x:c>
      <x:c r="S846" t="n">
        <x:f>IF(AND(MAX(M846,M845)&gt;0,M846&gt;M845+0.00000001),1,0)</x:f>
        <x:v>0</x:v>
      </x:c>
      <x:c r="T846" t="n">
        <x:f>IF(AND(MAX(N846,N845)&gt;0,N846&gt;N845+0.00000001),1,0)</x:f>
        <x:v>0</x:v>
      </x:c>
      <x:c r="U846" t="n">
        <x:f>IF(AND(MAX(O846,O845)&gt;0,O846&gt;O845+0.00000001),1,0)</x:f>
        <x:v>0</x:v>
      </x:c>
    </x:row>
    <x:row r="847">
      <x:c r="J847" t="n">
        <x:f>IF(AND(ISNUMBER('Results'!B7),ISNUMBER('Results'!C7),ISNUMBER('Results'!$B$8),ISNUMBER('Inputs'!$B$6),ISNUMBER('Inputs'!$B$7),ISNUMBER('Inputs'!$B$8),ISNUMBER('Inputs'!$B$9),ISNUMBER('Inputs'!$B$10),ISNUMBER('Inputs'!$B$21),ISNUMBER('Inputs'!$B$24),ISNUMBER('Inputs'!$B$28)),(('Results'!B7*(0.5*((((847-43)*MAX('Inputs'!$B$33,'Inputs'!$B$29+'Inputs'!$B$31+'Inputs'!$B$32,'Inputs'!$B$30+'Inputs'!$B$31+'Inputs'!$B$32)/1000+'Inputs'!$B$21)+'Inputs'!$B$7)/SQRT((((847-43)*MAX('Inputs'!$B$33,'Inputs'!$B$29+'Inputs'!$B$31+'Inputs'!$B$32,'Inputs'!$B$30+'Inputs'!$B$31+'Inputs'!$B$32)/1000+'Inputs'!$B$21)+'Inputs'!$B$7)^2+('Inputs'!$B$6/2)^2)-(((847-43)*MAX('Inputs'!$B$33,'Inputs'!$B$29+'Inputs'!$B$31+'Inputs'!$B$32,'Inputs'!$B$30+'Inputs'!$B$31+'Inputs'!$B$32)/1000+'Inputs'!$B$21))/SQRT((((847-43)*MAX('Inputs'!$B$33,'Inputs'!$B$29+'Inputs'!$B$31+'Inputs'!$B$32,'Inputs'!$B$30+'Inputs'!$B$31+'Inputs'!$B$32)/1000+'Inputs'!$B$21))^2+('Inputs'!$B$6/2)^2)))-'Results'!C7*(0.5*((((847-43)*MAX('Inputs'!$B$33,'Inputs'!$B$29+'Inputs'!$B$31+'Inputs'!$B$32,'Inputs'!$B$30+'Inputs'!$B$31+'Inputs'!$B$32)/1000+'Inputs'!$B$21+'Inputs'!$B$7+'Inputs'!$B$10)+'Inputs'!$B$9)/SQRT((((847-43)*MAX('Inputs'!$B$33,'Inputs'!$B$29+'Inputs'!$B$31+'Inputs'!$B$32,'Inputs'!$B$30+'Inputs'!$B$31+'Inputs'!$B$32)/1000+'Inputs'!$B$21+'Inputs'!$B$7+'Inputs'!$B$10)+'Inputs'!$B$9)^2+('Inputs'!$B$8/2)^2)-(((847-43)*MAX('Inputs'!$B$33,'Inputs'!$B$29+'Inputs'!$B$31+'Inputs'!$B$32,'Inputs'!$B$30+'Inputs'!$B$31+'Inputs'!$B$32)/1000+'Inputs'!$B$21+'Inputs'!$B$7+'Inputs'!$B$10))/SQRT((((847-43)*MAX('Inputs'!$B$33,'Inputs'!$B$29+'Inputs'!$B$31+'Inputs'!$B$32,'Inputs'!$B$30+'Inputs'!$B$31+'Inputs'!$B$32)/1000+'Inputs'!$B$21+'Inputs'!$B$7+'Inputs'!$B$10))^2+('Inputs'!$B$8/2)^2))))*'Results'!$B$8),"")</x:f>
        <x:v>0.7876810488898701</x:v>
      </x:c>
      <x:c r="K847" t="n">
        <x:f>IF(AND(ISNUMBER('Results'!B7),ISNUMBER('Results'!C7),ISNUMBER('Results'!$B$8),ISNUMBER('Inputs'!$B$6),ISNUMBER('Inputs'!$B$7),ISNUMBER('Inputs'!$B$8),ISNUMBER('Inputs'!$B$9),ISNUMBER('Inputs'!$B$10),ISNUMBER('Inputs'!$B$21),ISNUMBER('Inputs'!$B$24),ISNUMBER('Inputs'!$B$28)),((('Results'!B7*(1-'Inputs'!$B$24)*(0.5*((((847-43)*MAX('Inputs'!$B$33,'Inputs'!$B$29+'Inputs'!$B$31+'Inputs'!$B$32,'Inputs'!$B$30+'Inputs'!$B$31+'Inputs'!$B$32)/1000+'Inputs'!$B$21)+'Inputs'!$B$7)/SQRT((((847-43)*MAX('Inputs'!$B$33,'Inputs'!$B$29+'Inputs'!$B$31+'Inputs'!$B$32,'Inputs'!$B$30+'Inputs'!$B$31+'Inputs'!$B$32)/1000+'Inputs'!$B$21)+'Inputs'!$B$7)^2+('Inputs'!$B$6/2)^2)-(((847-43)*MAX('Inputs'!$B$33,'Inputs'!$B$29+'Inputs'!$B$31+'Inputs'!$B$32,'Inputs'!$B$30+'Inputs'!$B$31+'Inputs'!$B$32)/1000+'Inputs'!$B$21))/SQRT((((847-43)*MAX('Inputs'!$B$33,'Inputs'!$B$29+'Inputs'!$B$31+'Inputs'!$B$32,'Inputs'!$B$30+'Inputs'!$B$31+'Inputs'!$B$32)/1000+'Inputs'!$B$21))^2+('Inputs'!$B$6/2)^2)))-'Results'!C7*(1+'Inputs'!$B$24)*(0.5*((((847-43)*MAX('Inputs'!$B$33,'Inputs'!$B$29+'Inputs'!$B$31+'Inputs'!$B$32,'Inputs'!$B$30+'Inputs'!$B$31+'Inputs'!$B$32)/1000+'Inputs'!$B$21+'Inputs'!$B$7+'Inputs'!$B$10)+'Inputs'!$B$9)/SQRT((((847-43)*MAX('Inputs'!$B$33,'Inputs'!$B$29+'Inputs'!$B$31+'Inputs'!$B$32,'Inputs'!$B$30+'Inputs'!$B$31+'Inputs'!$B$32)/1000+'Inputs'!$B$21+'Inputs'!$B$7+'Inputs'!$B$10)+'Inputs'!$B$9)^2+('Inputs'!$B$8/2)^2)-(((847-43)*MAX('Inputs'!$B$33,'Inputs'!$B$29+'Inputs'!$B$31+'Inputs'!$B$32,'Inputs'!$B$30+'Inputs'!$B$31+'Inputs'!$B$32)/1000+'Inputs'!$B$21+'Inputs'!$B$7+'Inputs'!$B$10))/SQRT((((847-43)*MAX('Inputs'!$B$33,'Inputs'!$B$29+'Inputs'!$B$31+'Inputs'!$B$32,'Inputs'!$B$30+'Inputs'!$B$31+'Inputs'!$B$32)/1000+'Inputs'!$B$21+'Inputs'!$B$7+'Inputs'!$B$10))^2+('Inputs'!$B$8/2)^2))))*'Results'!$B$8)-'Inputs'!$B$28*ABS((('Results'!B7*(1-'Inputs'!$B$24)*(0.5*((((847-43)*MAX('Inputs'!$B$33,'Inputs'!$B$29+'Inputs'!$B$31+'Inputs'!$B$32,'Inputs'!$B$30+'Inputs'!$B$31+'Inputs'!$B$32)/1000+'Inputs'!$B$21)+'Inputs'!$B$7)/SQRT((((847-43)*MAX('Inputs'!$B$33,'Inputs'!$B$29+'Inputs'!$B$31+'Inputs'!$B$32,'Inputs'!$B$30+'Inputs'!$B$31+'Inputs'!$B$32)/1000+'Inputs'!$B$21)+'Inputs'!$B$7)^2+('Inputs'!$B$6/2)^2)-(((847-43)*MAX('Inputs'!$B$33,'Inputs'!$B$29+'Inputs'!$B$31+'Inputs'!$B$32,'Inputs'!$B$30+'Inputs'!$B$31+'Inputs'!$B$32)/1000+'Inputs'!$B$21))/SQRT((((847-43)*MAX('Inputs'!$B$33,'Inputs'!$B$29+'Inputs'!$B$31+'Inputs'!$B$32,'Inputs'!$B$30+'Inputs'!$B$31+'Inputs'!$B$32)/1000+'Inputs'!$B$21))^2+('Inputs'!$B$6/2)^2)))-'Results'!C7*(1+'Inputs'!$B$24)*(0.5*((((847-43)*MAX('Inputs'!$B$33,'Inputs'!$B$29+'Inputs'!$B$31+'Inputs'!$B$32,'Inputs'!$B$30+'Inputs'!$B$31+'Inputs'!$B$32)/1000+'Inputs'!$B$21+'Inputs'!$B$7+'Inputs'!$B$10)+'Inputs'!$B$9)/SQRT((((847-43)*MAX('Inputs'!$B$33,'Inputs'!$B$29+'Inputs'!$B$31+'Inputs'!$B$32,'Inputs'!$B$30+'Inputs'!$B$31+'Inputs'!$B$32)/1000+'Inputs'!$B$21+'Inputs'!$B$7+'Inputs'!$B$10)+'Inputs'!$B$9)^2+('Inputs'!$B$8/2)^2)-(((847-43)*MAX('Inputs'!$B$33,'Inputs'!$B$29+'Inputs'!$B$31+'Inputs'!$B$32,'Inputs'!$B$30+'Inputs'!$B$31+'Inputs'!$B$32)/1000+'Inputs'!$B$21+'Inputs'!$B$7+'Inputs'!$B$10))/SQRT((((847-43)*MAX('Inputs'!$B$33,'Inputs'!$B$29+'Inputs'!$B$31+'Inputs'!$B$32,'Inputs'!$B$30+'Inputs'!$B$31+'Inputs'!$B$32)/1000+'Inputs'!$B$21+'Inputs'!$B$7+'Inputs'!$B$10))^2+('Inputs'!$B$8/2)^2))))*'Results'!$B$8))),"")</x:f>
        <x:v>0.6739721550749849</x:v>
      </x:c>
      <x:c r="L847" t="n">
        <x:f>IF(AND(ISNUMBER('Results'!B7),ISNUMBER('Results'!C7),ISNUMBER('Results'!$B$8),ISNUMBER('Inputs'!$B$6),ISNUMBER('Inputs'!$B$7),ISNUMBER('Inputs'!$B$8),ISNUMBER('Inputs'!$B$9),ISNUMBER('Inputs'!$B$10),ISNUMBER('Inputs'!$B$21),ISNUMBER('Inputs'!$B$24),ISNUMBER('Inputs'!$B$28)),((('Results'!B7*(1+'Inputs'!$B$24)*(0.5*((((847-43)*MAX('Inputs'!$B$33,'Inputs'!$B$29+'Inputs'!$B$31+'Inputs'!$B$32,'Inputs'!$B$30+'Inputs'!$B$31+'Inputs'!$B$32)/1000+'Inputs'!$B$21)+'Inputs'!$B$7)/SQRT((((847-43)*MAX('Inputs'!$B$33,'Inputs'!$B$29+'Inputs'!$B$31+'Inputs'!$B$32,'Inputs'!$B$30+'Inputs'!$B$31+'Inputs'!$B$32)/1000+'Inputs'!$B$21)+'Inputs'!$B$7)^2+('Inputs'!$B$6/2)^2)-(((847-43)*MAX('Inputs'!$B$33,'Inputs'!$B$29+'Inputs'!$B$31+'Inputs'!$B$32,'Inputs'!$B$30+'Inputs'!$B$31+'Inputs'!$B$32)/1000+'Inputs'!$B$21))/SQRT((((847-43)*MAX('Inputs'!$B$33,'Inputs'!$B$29+'Inputs'!$B$31+'Inputs'!$B$32,'Inputs'!$B$30+'Inputs'!$B$31+'Inputs'!$B$32)/1000+'Inputs'!$B$21))^2+('Inputs'!$B$6/2)^2)))-'Results'!C7*(1-'Inputs'!$B$24)*(0.5*((((847-43)*MAX('Inputs'!$B$33,'Inputs'!$B$29+'Inputs'!$B$31+'Inputs'!$B$32,'Inputs'!$B$30+'Inputs'!$B$31+'Inputs'!$B$32)/1000+'Inputs'!$B$21+'Inputs'!$B$7+'Inputs'!$B$10)+'Inputs'!$B$9)/SQRT((((847-43)*MAX('Inputs'!$B$33,'Inputs'!$B$29+'Inputs'!$B$31+'Inputs'!$B$32,'Inputs'!$B$30+'Inputs'!$B$31+'Inputs'!$B$32)/1000+'Inputs'!$B$21+'Inputs'!$B$7+'Inputs'!$B$10)+'Inputs'!$B$9)^2+('Inputs'!$B$8/2)^2)-(((847-43)*MAX('Inputs'!$B$33,'Inputs'!$B$29+'Inputs'!$B$31+'Inputs'!$B$32,'Inputs'!$B$30+'Inputs'!$B$31+'Inputs'!$B$32)/1000+'Inputs'!$B$21+'Inputs'!$B$7+'Inputs'!$B$10))/SQRT((((847-43)*MAX('Inputs'!$B$33,'Inputs'!$B$29+'Inputs'!$B$31+'Inputs'!$B$32,'Inputs'!$B$30+'Inputs'!$B$31+'Inputs'!$B$32)/1000+'Inputs'!$B$21+'Inputs'!$B$7+'Inputs'!$B$10))^2+('Inputs'!$B$8/2)^2))))*'Results'!$B$8)+'Inputs'!$B$28*ABS((('Results'!B7*(1+'Inputs'!$B$24)*(0.5*((((847-43)*MAX('Inputs'!$B$33,'Inputs'!$B$29+'Inputs'!$B$31+'Inputs'!$B$32,'Inputs'!$B$30+'Inputs'!$B$31+'Inputs'!$B$32)/1000+'Inputs'!$B$21)+'Inputs'!$B$7)/SQRT((((847-43)*MAX('Inputs'!$B$33,'Inputs'!$B$29+'Inputs'!$B$31+'Inputs'!$B$32,'Inputs'!$B$30+'Inputs'!$B$31+'Inputs'!$B$32)/1000+'Inputs'!$B$21)+'Inputs'!$B$7)^2+('Inputs'!$B$6/2)^2)-(((847-43)*MAX('Inputs'!$B$33,'Inputs'!$B$29+'Inputs'!$B$31+'Inputs'!$B$32,'Inputs'!$B$30+'Inputs'!$B$31+'Inputs'!$B$32)/1000+'Inputs'!$B$21))/SQRT((((847-43)*MAX('Inputs'!$B$33,'Inputs'!$B$29+'Inputs'!$B$31+'Inputs'!$B$32,'Inputs'!$B$30+'Inputs'!$B$31+'Inputs'!$B$32)/1000+'Inputs'!$B$21))^2+('Inputs'!$B$6/2)^2)))-'Results'!C7*(1-'Inputs'!$B$24)*(0.5*((((847-43)*MAX('Inputs'!$B$33,'Inputs'!$B$29+'Inputs'!$B$31+'Inputs'!$B$32,'Inputs'!$B$30+'Inputs'!$B$31+'Inputs'!$B$32)/1000+'Inputs'!$B$21+'Inputs'!$B$7+'Inputs'!$B$10)+'Inputs'!$B$9)/SQRT((((847-43)*MAX('Inputs'!$B$33,'Inputs'!$B$29+'Inputs'!$B$31+'Inputs'!$B$32,'Inputs'!$B$30+'Inputs'!$B$31+'Inputs'!$B$32)/1000+'Inputs'!$B$21+'Inputs'!$B$7+'Inputs'!$B$10)+'Inputs'!$B$9)^2+('Inputs'!$B$8/2)^2)-(((847-43)*MAX('Inputs'!$B$33,'Inputs'!$B$29+'Inputs'!$B$31+'Inputs'!$B$32,'Inputs'!$B$30+'Inputs'!$B$31+'Inputs'!$B$32)/1000+'Inputs'!$B$21+'Inputs'!$B$7+'Inputs'!$B$10))/SQRT((((847-43)*MAX('Inputs'!$B$33,'Inputs'!$B$29+'Inputs'!$B$31+'Inputs'!$B$32,'Inputs'!$B$30+'Inputs'!$B$31+'Inputs'!$B$32)/1000+'Inputs'!$B$21+'Inputs'!$B$7+'Inputs'!$B$10))^2+('Inputs'!$B$8/2)^2))))*'Results'!$B$8))),"")</x:f>
        <x:v>0.9092136102174281</x:v>
      </x:c>
      <x:c r="M847" t="n">
        <x:f>IF(AND(ISNUMBER('Results'!C7),ISNUMBER('Results'!B7),ISNUMBER('Results'!$B$8),ISNUMBER('Inputs'!$B$6),ISNUMBER('Inputs'!$B$7),ISNUMBER('Inputs'!$B$8),ISNUMBER('Inputs'!$B$9),ISNUMBER('Inputs'!$B$10),ISNUMBER('Inputs'!$B$21),ISNUMBER('Inputs'!$B$24),ISNUMBER('Inputs'!$B$28)),(('Results'!C7*(0.5*((((847-43)*MAX('Inputs'!$B$33,'Inputs'!$B$29+'Inputs'!$B$31+'Inputs'!$B$32,'Inputs'!$B$30+'Inputs'!$B$31+'Inputs'!$B$32)/1000+'Inputs'!$B$21)+'Inputs'!$B$9)/SQRT((((847-43)*MAX('Inputs'!$B$33,'Inputs'!$B$29+'Inputs'!$B$31+'Inputs'!$B$32,'Inputs'!$B$30+'Inputs'!$B$31+'Inputs'!$B$32)/1000+'Inputs'!$B$21)+'Inputs'!$B$9)^2+('Inputs'!$B$8/2)^2)-(((847-43)*MAX('Inputs'!$B$33,'Inputs'!$B$29+'Inputs'!$B$31+'Inputs'!$B$32,'Inputs'!$B$30+'Inputs'!$B$31+'Inputs'!$B$32)/1000+'Inputs'!$B$21))/SQRT((((847-43)*MAX('Inputs'!$B$33,'Inputs'!$B$29+'Inputs'!$B$31+'Inputs'!$B$32,'Inputs'!$B$30+'Inputs'!$B$31+'Inputs'!$B$32)/1000+'Inputs'!$B$21))^2+('Inputs'!$B$8/2)^2)))-'Results'!B7*(0.5*((((847-43)*MAX('Inputs'!$B$33,'Inputs'!$B$29+'Inputs'!$B$31+'Inputs'!$B$32,'Inputs'!$B$30+'Inputs'!$B$31+'Inputs'!$B$32)/1000+'Inputs'!$B$21+'Inputs'!$B$9+'Inputs'!$B$10)+'Inputs'!$B$7)/SQRT((((847-43)*MAX('Inputs'!$B$33,'Inputs'!$B$29+'Inputs'!$B$31+'Inputs'!$B$32,'Inputs'!$B$30+'Inputs'!$B$31+'Inputs'!$B$32)/1000+'Inputs'!$B$21+'Inputs'!$B$9+'Inputs'!$B$10)+'Inputs'!$B$7)^2+('Inputs'!$B$6/2)^2)-(((847-43)*MAX('Inputs'!$B$33,'Inputs'!$B$29+'Inputs'!$B$31+'Inputs'!$B$32,'Inputs'!$B$30+'Inputs'!$B$31+'Inputs'!$B$32)/1000+'Inputs'!$B$21+'Inputs'!$B$9+'Inputs'!$B$10))/SQRT((((847-43)*MAX('Inputs'!$B$33,'Inputs'!$B$29+'Inputs'!$B$31+'Inputs'!$B$32,'Inputs'!$B$30+'Inputs'!$B$31+'Inputs'!$B$32)/1000+'Inputs'!$B$21+'Inputs'!$B$9+'Inputs'!$B$10))^2+('Inputs'!$B$6/2)^2))))*'Results'!$B$8),"")</x:f>
        <x:v>0.7088067915779488</x:v>
      </x:c>
      <x:c r="N847" t="n">
        <x:f>IF(AND(ISNUMBER('Results'!C7),ISNUMBER('Results'!B7),ISNUMBER('Results'!$B$8),ISNUMBER('Inputs'!$B$6),ISNUMBER('Inputs'!$B$7),ISNUMBER('Inputs'!$B$8),ISNUMBER('Inputs'!$B$9),ISNUMBER('Inputs'!$B$10),ISNUMBER('Inputs'!$B$21),ISNUMBER('Inputs'!$B$24),ISNUMBER('Inputs'!$B$28)),((('Results'!C7*(1-'Inputs'!$B$24)*(0.5*((((847-43)*MAX('Inputs'!$B$33,'Inputs'!$B$29+'Inputs'!$B$31+'Inputs'!$B$32,'Inputs'!$B$30+'Inputs'!$B$31+'Inputs'!$B$32)/1000+'Inputs'!$B$21)+'Inputs'!$B$9)/SQRT((((847-43)*MAX('Inputs'!$B$33,'Inputs'!$B$29+'Inputs'!$B$31+'Inputs'!$B$32,'Inputs'!$B$30+'Inputs'!$B$31+'Inputs'!$B$32)/1000+'Inputs'!$B$21)+'Inputs'!$B$9)^2+('Inputs'!$B$8/2)^2)-(((847-43)*MAX('Inputs'!$B$33,'Inputs'!$B$29+'Inputs'!$B$31+'Inputs'!$B$32,'Inputs'!$B$30+'Inputs'!$B$31+'Inputs'!$B$32)/1000+'Inputs'!$B$21))/SQRT((((847-43)*MAX('Inputs'!$B$33,'Inputs'!$B$29+'Inputs'!$B$31+'Inputs'!$B$32,'Inputs'!$B$30+'Inputs'!$B$31+'Inputs'!$B$32)/1000+'Inputs'!$B$21))^2+('Inputs'!$B$8/2)^2)))-'Results'!B7*(1+'Inputs'!$B$24)*(0.5*((((847-43)*MAX('Inputs'!$B$33,'Inputs'!$B$29+'Inputs'!$B$31+'Inputs'!$B$32,'Inputs'!$B$30+'Inputs'!$B$31+'Inputs'!$B$32)/1000+'Inputs'!$B$21+'Inputs'!$B$9+'Inputs'!$B$10)+'Inputs'!$B$7)/SQRT((((847-43)*MAX('Inputs'!$B$33,'Inputs'!$B$29+'Inputs'!$B$31+'Inputs'!$B$32,'Inputs'!$B$30+'Inputs'!$B$31+'Inputs'!$B$32)/1000+'Inputs'!$B$21+'Inputs'!$B$9+'Inputs'!$B$10)+'Inputs'!$B$7)^2+('Inputs'!$B$6/2)^2)-(((847-43)*MAX('Inputs'!$B$33,'Inputs'!$B$29+'Inputs'!$B$31+'Inputs'!$B$32,'Inputs'!$B$30+'Inputs'!$B$31+'Inputs'!$B$32)/1000+'Inputs'!$B$21+'Inputs'!$B$9+'Inputs'!$B$10))/SQRT((((847-43)*MAX('Inputs'!$B$33,'Inputs'!$B$29+'Inputs'!$B$31+'Inputs'!$B$32,'Inputs'!$B$30+'Inputs'!$B$31+'Inputs'!$B$32)/1000+'Inputs'!$B$21+'Inputs'!$B$9+'Inputs'!$B$10))^2+('Inputs'!$B$6/2)^2))))*'Results'!$B$8)-'Inputs'!$B$28*ABS((('Results'!C7*(1-'Inputs'!$B$24)*(0.5*((((847-43)*MAX('Inputs'!$B$33,'Inputs'!$B$29+'Inputs'!$B$31+'Inputs'!$B$32,'Inputs'!$B$30+'Inputs'!$B$31+'Inputs'!$B$32)/1000+'Inputs'!$B$21)+'Inputs'!$B$9)/SQRT((((847-43)*MAX('Inputs'!$B$33,'Inputs'!$B$29+'Inputs'!$B$31+'Inputs'!$B$32,'Inputs'!$B$30+'Inputs'!$B$31+'Inputs'!$B$32)/1000+'Inputs'!$B$21)+'Inputs'!$B$9)^2+('Inputs'!$B$8/2)^2)-(((847-43)*MAX('Inputs'!$B$33,'Inputs'!$B$29+'Inputs'!$B$31+'Inputs'!$B$32,'Inputs'!$B$30+'Inputs'!$B$31+'Inputs'!$B$32)/1000+'Inputs'!$B$21))/SQRT((((847-43)*MAX('Inputs'!$B$33,'Inputs'!$B$29+'Inputs'!$B$31+'Inputs'!$B$32,'Inputs'!$B$30+'Inputs'!$B$31+'Inputs'!$B$32)/1000+'Inputs'!$B$21))^2+('Inputs'!$B$8/2)^2)))-'Results'!B7*(1+'Inputs'!$B$24)*(0.5*((((847-43)*MAX('Inputs'!$B$33,'Inputs'!$B$29+'Inputs'!$B$31+'Inputs'!$B$32,'Inputs'!$B$30+'Inputs'!$B$31+'Inputs'!$B$32)/1000+'Inputs'!$B$21+'Inputs'!$B$9+'Inputs'!$B$10)+'Inputs'!$B$7)/SQRT((((847-43)*MAX('Inputs'!$B$33,'Inputs'!$B$29+'Inputs'!$B$31+'Inputs'!$B$32,'Inputs'!$B$30+'Inputs'!$B$31+'Inputs'!$B$32)/1000+'Inputs'!$B$21+'Inputs'!$B$9+'Inputs'!$B$10)+'Inputs'!$B$7)^2+('Inputs'!$B$6/2)^2)-(((847-43)*MAX('Inputs'!$B$33,'Inputs'!$B$29+'Inputs'!$B$31+'Inputs'!$B$32,'Inputs'!$B$30+'Inputs'!$B$31+'Inputs'!$B$32)/1000+'Inputs'!$B$21+'Inputs'!$B$9+'Inputs'!$B$10))/SQRT((((847-43)*MAX('Inputs'!$B$33,'Inputs'!$B$29+'Inputs'!$B$31+'Inputs'!$B$32,'Inputs'!$B$30+'Inputs'!$B$31+'Inputs'!$B$32)/1000+'Inputs'!$B$21+'Inputs'!$B$9+'Inputs'!$B$10))^2+('Inputs'!$B$6/2)^2))))*'Results'!$B$8))),"")</x:f>
        <x:v>0.5993288153657189</x:v>
      </x:c>
      <x:c r="O847" t="n">
        <x:f>IF(AND(ISNUMBER('Results'!C7),ISNUMBER('Results'!B7),ISNUMBER('Results'!$B$8),ISNUMBER('Inputs'!$B$6),ISNUMBER('Inputs'!$B$7),ISNUMBER('Inputs'!$B$8),ISNUMBER('Inputs'!$B$9),ISNUMBER('Inputs'!$B$10),ISNUMBER('Inputs'!$B$21),ISNUMBER('Inputs'!$B$24),ISNUMBER('Inputs'!$B$28)),((('Results'!C7*(1+'Inputs'!$B$24)*(0.5*((((847-43)*MAX('Inputs'!$B$33,'Inputs'!$B$29+'Inputs'!$B$31+'Inputs'!$B$32,'Inputs'!$B$30+'Inputs'!$B$31+'Inputs'!$B$32)/1000+'Inputs'!$B$21)+'Inputs'!$B$9)/SQRT((((847-43)*MAX('Inputs'!$B$33,'Inputs'!$B$29+'Inputs'!$B$31+'Inputs'!$B$32,'Inputs'!$B$30+'Inputs'!$B$31+'Inputs'!$B$32)/1000+'Inputs'!$B$21)+'Inputs'!$B$9)^2+('Inputs'!$B$8/2)^2)-(((847-43)*MAX('Inputs'!$B$33,'Inputs'!$B$29+'Inputs'!$B$31+'Inputs'!$B$32,'Inputs'!$B$30+'Inputs'!$B$31+'Inputs'!$B$32)/1000+'Inputs'!$B$21))/SQRT((((847-43)*MAX('Inputs'!$B$33,'Inputs'!$B$29+'Inputs'!$B$31+'Inputs'!$B$32,'Inputs'!$B$30+'Inputs'!$B$31+'Inputs'!$B$32)/1000+'Inputs'!$B$21))^2+('Inputs'!$B$8/2)^2)))-'Results'!B7*(1-'Inputs'!$B$24)*(0.5*((((847-43)*MAX('Inputs'!$B$33,'Inputs'!$B$29+'Inputs'!$B$31+'Inputs'!$B$32,'Inputs'!$B$30+'Inputs'!$B$31+'Inputs'!$B$32)/1000+'Inputs'!$B$21+'Inputs'!$B$9+'Inputs'!$B$10)+'Inputs'!$B$7)/SQRT((((847-43)*MAX('Inputs'!$B$33,'Inputs'!$B$29+'Inputs'!$B$31+'Inputs'!$B$32,'Inputs'!$B$30+'Inputs'!$B$31+'Inputs'!$B$32)/1000+'Inputs'!$B$21+'Inputs'!$B$9+'Inputs'!$B$10)+'Inputs'!$B$7)^2+('Inputs'!$B$6/2)^2)-(((847-43)*MAX('Inputs'!$B$33,'Inputs'!$B$29+'Inputs'!$B$31+'Inputs'!$B$32,'Inputs'!$B$30+'Inputs'!$B$31+'Inputs'!$B$32)/1000+'Inputs'!$B$21+'Inputs'!$B$9+'Inputs'!$B$10))/SQRT((((847-43)*MAX('Inputs'!$B$33,'Inputs'!$B$29+'Inputs'!$B$31+'Inputs'!$B$32,'Inputs'!$B$30+'Inputs'!$B$31+'Inputs'!$B$32)/1000+'Inputs'!$B$21+'Inputs'!$B$9+'Inputs'!$B$10))^2+('Inputs'!$B$6/2)^2))))*'Results'!$B$8)+'Inputs'!$B$28*ABS((('Results'!C7*(1+'Inputs'!$B$24)*(0.5*((((847-43)*MAX('Inputs'!$B$33,'Inputs'!$B$29+'Inputs'!$B$31+'Inputs'!$B$32,'Inputs'!$B$30+'Inputs'!$B$31+'Inputs'!$B$32)/1000+'Inputs'!$B$21)+'Inputs'!$B$9)/SQRT((((847-43)*MAX('Inputs'!$B$33,'Inputs'!$B$29+'Inputs'!$B$31+'Inputs'!$B$32,'Inputs'!$B$30+'Inputs'!$B$31+'Inputs'!$B$32)/1000+'Inputs'!$B$21)+'Inputs'!$B$9)^2+('Inputs'!$B$8/2)^2)-(((847-43)*MAX('Inputs'!$B$33,'Inputs'!$B$29+'Inputs'!$B$31+'Inputs'!$B$32,'Inputs'!$B$30+'Inputs'!$B$31+'Inputs'!$B$32)/1000+'Inputs'!$B$21))/SQRT((((847-43)*MAX('Inputs'!$B$33,'Inputs'!$B$29+'Inputs'!$B$31+'Inputs'!$B$32,'Inputs'!$B$30+'Inputs'!$B$31+'Inputs'!$B$32)/1000+'Inputs'!$B$21))^2+('Inputs'!$B$8/2)^2)))-'Results'!B7*(1-'Inputs'!$B$24)*(0.5*((((847-43)*MAX('Inputs'!$B$33,'Inputs'!$B$29+'Inputs'!$B$31+'Inputs'!$B$32,'Inputs'!$B$30+'Inputs'!$B$31+'Inputs'!$B$32)/1000+'Inputs'!$B$21+'Inputs'!$B$9+'Inputs'!$B$10)+'Inputs'!$B$7)/SQRT((((847-43)*MAX('Inputs'!$B$33,'Inputs'!$B$29+'Inputs'!$B$31+'Inputs'!$B$32,'Inputs'!$B$30+'Inputs'!$B$31+'Inputs'!$B$32)/1000+'Inputs'!$B$21+'Inputs'!$B$9+'Inputs'!$B$10)+'Inputs'!$B$7)^2+('Inputs'!$B$6/2)^2)-(((847-43)*MAX('Inputs'!$B$33,'Inputs'!$B$29+'Inputs'!$B$31+'Inputs'!$B$32,'Inputs'!$B$30+'Inputs'!$B$31+'Inputs'!$B$32)/1000+'Inputs'!$B$21+'Inputs'!$B$9+'Inputs'!$B$10))/SQRT((((847-43)*MAX('Inputs'!$B$33,'Inputs'!$B$29+'Inputs'!$B$31+'Inputs'!$B$32,'Inputs'!$B$30+'Inputs'!$B$31+'Inputs'!$B$32)/1000+'Inputs'!$B$21+'Inputs'!$B$9+'Inputs'!$B$10))^2+('Inputs'!$B$6/2)^2))))*'Results'!$B$8))),"")</x:f>
        <x:v>0.8260782032252663</x:v>
      </x:c>
      <x:c r="P847" t="n">
        <x:f>IF(AND(MAX(J847,J846)&gt;0,J847&gt;J846+0.00000001),1,0)</x:f>
        <x:v>0</x:v>
      </x:c>
      <x:c r="Q847" t="n">
        <x:f>IF(AND(MAX(K847,K846)&gt;0,K847&gt;K846+0.00000001),1,0)</x:f>
        <x:v>0</x:v>
      </x:c>
      <x:c r="R847" t="n">
        <x:f>IF(AND(MAX(L847,L846)&gt;0,L847&gt;L846+0.00000001),1,0)</x:f>
        <x:v>0</x:v>
      </x:c>
      <x:c r="S847" t="n">
        <x:f>IF(AND(MAX(M847,M846)&gt;0,M847&gt;M846+0.00000001),1,0)</x:f>
        <x:v>0</x:v>
      </x:c>
      <x:c r="T847" t="n">
        <x:f>IF(AND(MAX(N847,N846)&gt;0,N847&gt;N846+0.00000001),1,0)</x:f>
        <x:v>0</x:v>
      </x:c>
      <x:c r="U847" t="n">
        <x:f>IF(AND(MAX(O847,O846)&gt;0,O847&gt;O846+0.00000001),1,0)</x:f>
        <x:v>0</x:v>
      </x:c>
    </x:row>
    <x:row r="848">
      <x:c r="J848" t="n">
        <x:f>IF(AND(ISNUMBER('Results'!B7),ISNUMBER('Results'!C7),ISNUMBER('Results'!$B$8),ISNUMBER('Inputs'!$B$6),ISNUMBER('Inputs'!$B$7),ISNUMBER('Inputs'!$B$8),ISNUMBER('Inputs'!$B$9),ISNUMBER('Inputs'!$B$10),ISNUMBER('Inputs'!$B$21),ISNUMBER('Inputs'!$B$24),ISNUMBER('Inputs'!$B$28)),(('Results'!B7*(0.5*((((848-43)*MAX('Inputs'!$B$33,'Inputs'!$B$29+'Inputs'!$B$31+'Inputs'!$B$32,'Inputs'!$B$30+'Inputs'!$B$31+'Inputs'!$B$32)/1000+'Inputs'!$B$21)+'Inputs'!$B$7)/SQRT((((848-43)*MAX('Inputs'!$B$33,'Inputs'!$B$29+'Inputs'!$B$31+'Inputs'!$B$32,'Inputs'!$B$30+'Inputs'!$B$31+'Inputs'!$B$32)/1000+'Inputs'!$B$21)+'Inputs'!$B$7)^2+('Inputs'!$B$6/2)^2)-(((848-43)*MAX('Inputs'!$B$33,'Inputs'!$B$29+'Inputs'!$B$31+'Inputs'!$B$32,'Inputs'!$B$30+'Inputs'!$B$31+'Inputs'!$B$32)/1000+'Inputs'!$B$21))/SQRT((((848-43)*MAX('Inputs'!$B$33,'Inputs'!$B$29+'Inputs'!$B$31+'Inputs'!$B$32,'Inputs'!$B$30+'Inputs'!$B$31+'Inputs'!$B$32)/1000+'Inputs'!$B$21))^2+('Inputs'!$B$6/2)^2)))-'Results'!C7*(0.5*((((848-43)*MAX('Inputs'!$B$33,'Inputs'!$B$29+'Inputs'!$B$31+'Inputs'!$B$32,'Inputs'!$B$30+'Inputs'!$B$31+'Inputs'!$B$32)/1000+'Inputs'!$B$21+'Inputs'!$B$7+'Inputs'!$B$10)+'Inputs'!$B$9)/SQRT((((848-43)*MAX('Inputs'!$B$33,'Inputs'!$B$29+'Inputs'!$B$31+'Inputs'!$B$32,'Inputs'!$B$30+'Inputs'!$B$31+'Inputs'!$B$32)/1000+'Inputs'!$B$21+'Inputs'!$B$7+'Inputs'!$B$10)+'Inputs'!$B$9)^2+('Inputs'!$B$8/2)^2)-(((848-43)*MAX('Inputs'!$B$33,'Inputs'!$B$29+'Inputs'!$B$31+'Inputs'!$B$32,'Inputs'!$B$30+'Inputs'!$B$31+'Inputs'!$B$32)/1000+'Inputs'!$B$21+'Inputs'!$B$7+'Inputs'!$B$10))/SQRT((((848-43)*MAX('Inputs'!$B$33,'Inputs'!$B$29+'Inputs'!$B$31+'Inputs'!$B$32,'Inputs'!$B$30+'Inputs'!$B$31+'Inputs'!$B$32)/1000+'Inputs'!$B$21+'Inputs'!$B$7+'Inputs'!$B$10))^2+('Inputs'!$B$8/2)^2))))*'Results'!$B$8),"")</x:f>
        <x:v>0.7841672766998998</x:v>
      </x:c>
      <x:c r="K848" t="n">
        <x:f>IF(AND(ISNUMBER('Results'!B7),ISNUMBER('Results'!C7),ISNUMBER('Results'!$B$8),ISNUMBER('Inputs'!$B$6),ISNUMBER('Inputs'!$B$7),ISNUMBER('Inputs'!$B$8),ISNUMBER('Inputs'!$B$9),ISNUMBER('Inputs'!$B$10),ISNUMBER('Inputs'!$B$21),ISNUMBER('Inputs'!$B$24),ISNUMBER('Inputs'!$B$28)),((('Results'!B7*(1-'Inputs'!$B$24)*(0.5*((((848-43)*MAX('Inputs'!$B$33,'Inputs'!$B$29+'Inputs'!$B$31+'Inputs'!$B$32,'Inputs'!$B$30+'Inputs'!$B$31+'Inputs'!$B$32)/1000+'Inputs'!$B$21)+'Inputs'!$B$7)/SQRT((((848-43)*MAX('Inputs'!$B$33,'Inputs'!$B$29+'Inputs'!$B$31+'Inputs'!$B$32,'Inputs'!$B$30+'Inputs'!$B$31+'Inputs'!$B$32)/1000+'Inputs'!$B$21)+'Inputs'!$B$7)^2+('Inputs'!$B$6/2)^2)-(((848-43)*MAX('Inputs'!$B$33,'Inputs'!$B$29+'Inputs'!$B$31+'Inputs'!$B$32,'Inputs'!$B$30+'Inputs'!$B$31+'Inputs'!$B$32)/1000+'Inputs'!$B$21))/SQRT((((848-43)*MAX('Inputs'!$B$33,'Inputs'!$B$29+'Inputs'!$B$31+'Inputs'!$B$32,'Inputs'!$B$30+'Inputs'!$B$31+'Inputs'!$B$32)/1000+'Inputs'!$B$21))^2+('Inputs'!$B$6/2)^2)))-'Results'!C7*(1+'Inputs'!$B$24)*(0.5*((((848-43)*MAX('Inputs'!$B$33,'Inputs'!$B$29+'Inputs'!$B$31+'Inputs'!$B$32,'Inputs'!$B$30+'Inputs'!$B$31+'Inputs'!$B$32)/1000+'Inputs'!$B$21+'Inputs'!$B$7+'Inputs'!$B$10)+'Inputs'!$B$9)/SQRT((((848-43)*MAX('Inputs'!$B$33,'Inputs'!$B$29+'Inputs'!$B$31+'Inputs'!$B$32,'Inputs'!$B$30+'Inputs'!$B$31+'Inputs'!$B$32)/1000+'Inputs'!$B$21+'Inputs'!$B$7+'Inputs'!$B$10)+'Inputs'!$B$9)^2+('Inputs'!$B$8/2)^2)-(((848-43)*MAX('Inputs'!$B$33,'Inputs'!$B$29+'Inputs'!$B$31+'Inputs'!$B$32,'Inputs'!$B$30+'Inputs'!$B$31+'Inputs'!$B$32)/1000+'Inputs'!$B$21+'Inputs'!$B$7+'Inputs'!$B$10))/SQRT((((848-43)*MAX('Inputs'!$B$33,'Inputs'!$B$29+'Inputs'!$B$31+'Inputs'!$B$32,'Inputs'!$B$30+'Inputs'!$B$31+'Inputs'!$B$32)/1000+'Inputs'!$B$21+'Inputs'!$B$7+'Inputs'!$B$10))^2+('Inputs'!$B$8/2)^2))))*'Results'!$B$8)-'Inputs'!$B$28*ABS((('Results'!B7*(1-'Inputs'!$B$24)*(0.5*((((848-43)*MAX('Inputs'!$B$33,'Inputs'!$B$29+'Inputs'!$B$31+'Inputs'!$B$32,'Inputs'!$B$30+'Inputs'!$B$31+'Inputs'!$B$32)/1000+'Inputs'!$B$21)+'Inputs'!$B$7)/SQRT((((848-43)*MAX('Inputs'!$B$33,'Inputs'!$B$29+'Inputs'!$B$31+'Inputs'!$B$32,'Inputs'!$B$30+'Inputs'!$B$31+'Inputs'!$B$32)/1000+'Inputs'!$B$21)+'Inputs'!$B$7)^2+('Inputs'!$B$6/2)^2)-(((848-43)*MAX('Inputs'!$B$33,'Inputs'!$B$29+'Inputs'!$B$31+'Inputs'!$B$32,'Inputs'!$B$30+'Inputs'!$B$31+'Inputs'!$B$32)/1000+'Inputs'!$B$21))/SQRT((((848-43)*MAX('Inputs'!$B$33,'Inputs'!$B$29+'Inputs'!$B$31+'Inputs'!$B$32,'Inputs'!$B$30+'Inputs'!$B$31+'Inputs'!$B$32)/1000+'Inputs'!$B$21))^2+('Inputs'!$B$6/2)^2)))-'Results'!C7*(1+'Inputs'!$B$24)*(0.5*((((848-43)*MAX('Inputs'!$B$33,'Inputs'!$B$29+'Inputs'!$B$31+'Inputs'!$B$32,'Inputs'!$B$30+'Inputs'!$B$31+'Inputs'!$B$32)/1000+'Inputs'!$B$21+'Inputs'!$B$7+'Inputs'!$B$10)+'Inputs'!$B$9)/SQRT((((848-43)*MAX('Inputs'!$B$33,'Inputs'!$B$29+'Inputs'!$B$31+'Inputs'!$B$32,'Inputs'!$B$30+'Inputs'!$B$31+'Inputs'!$B$32)/1000+'Inputs'!$B$21+'Inputs'!$B$7+'Inputs'!$B$10)+'Inputs'!$B$9)^2+('Inputs'!$B$8/2)^2)-(((848-43)*MAX('Inputs'!$B$33,'Inputs'!$B$29+'Inputs'!$B$31+'Inputs'!$B$32,'Inputs'!$B$30+'Inputs'!$B$31+'Inputs'!$B$32)/1000+'Inputs'!$B$21+'Inputs'!$B$7+'Inputs'!$B$10))/SQRT((((848-43)*MAX('Inputs'!$B$33,'Inputs'!$B$29+'Inputs'!$B$31+'Inputs'!$B$32,'Inputs'!$B$30+'Inputs'!$B$31+'Inputs'!$B$32)/1000+'Inputs'!$B$21+'Inputs'!$B$7+'Inputs'!$B$10))^2+('Inputs'!$B$8/2)^2))))*'Results'!$B$8))),"")</x:f>
        <x:v>0.6708889372683526</x:v>
      </x:c>
      <x:c r="L848" t="n">
        <x:f>IF(AND(ISNUMBER('Results'!B7),ISNUMBER('Results'!C7),ISNUMBER('Results'!$B$8),ISNUMBER('Inputs'!$B$6),ISNUMBER('Inputs'!$B$7),ISNUMBER('Inputs'!$B$8),ISNUMBER('Inputs'!$B$9),ISNUMBER('Inputs'!$B$10),ISNUMBER('Inputs'!$B$21),ISNUMBER('Inputs'!$B$24),ISNUMBER('Inputs'!$B$28)),((('Results'!B7*(1+'Inputs'!$B$24)*(0.5*((((848-43)*MAX('Inputs'!$B$33,'Inputs'!$B$29+'Inputs'!$B$31+'Inputs'!$B$32,'Inputs'!$B$30+'Inputs'!$B$31+'Inputs'!$B$32)/1000+'Inputs'!$B$21)+'Inputs'!$B$7)/SQRT((((848-43)*MAX('Inputs'!$B$33,'Inputs'!$B$29+'Inputs'!$B$31+'Inputs'!$B$32,'Inputs'!$B$30+'Inputs'!$B$31+'Inputs'!$B$32)/1000+'Inputs'!$B$21)+'Inputs'!$B$7)^2+('Inputs'!$B$6/2)^2)-(((848-43)*MAX('Inputs'!$B$33,'Inputs'!$B$29+'Inputs'!$B$31+'Inputs'!$B$32,'Inputs'!$B$30+'Inputs'!$B$31+'Inputs'!$B$32)/1000+'Inputs'!$B$21))/SQRT((((848-43)*MAX('Inputs'!$B$33,'Inputs'!$B$29+'Inputs'!$B$31+'Inputs'!$B$32,'Inputs'!$B$30+'Inputs'!$B$31+'Inputs'!$B$32)/1000+'Inputs'!$B$21))^2+('Inputs'!$B$6/2)^2)))-'Results'!C7*(1-'Inputs'!$B$24)*(0.5*((((848-43)*MAX('Inputs'!$B$33,'Inputs'!$B$29+'Inputs'!$B$31+'Inputs'!$B$32,'Inputs'!$B$30+'Inputs'!$B$31+'Inputs'!$B$32)/1000+'Inputs'!$B$21+'Inputs'!$B$7+'Inputs'!$B$10)+'Inputs'!$B$9)/SQRT((((848-43)*MAX('Inputs'!$B$33,'Inputs'!$B$29+'Inputs'!$B$31+'Inputs'!$B$32,'Inputs'!$B$30+'Inputs'!$B$31+'Inputs'!$B$32)/1000+'Inputs'!$B$21+'Inputs'!$B$7+'Inputs'!$B$10)+'Inputs'!$B$9)^2+('Inputs'!$B$8/2)^2)-(((848-43)*MAX('Inputs'!$B$33,'Inputs'!$B$29+'Inputs'!$B$31+'Inputs'!$B$32,'Inputs'!$B$30+'Inputs'!$B$31+'Inputs'!$B$32)/1000+'Inputs'!$B$21+'Inputs'!$B$7+'Inputs'!$B$10))/SQRT((((848-43)*MAX('Inputs'!$B$33,'Inputs'!$B$29+'Inputs'!$B$31+'Inputs'!$B$32,'Inputs'!$B$30+'Inputs'!$B$31+'Inputs'!$B$32)/1000+'Inputs'!$B$21+'Inputs'!$B$7+'Inputs'!$B$10))^2+('Inputs'!$B$8/2)^2))))*'Results'!$B$8)+'Inputs'!$B$28*ABS((('Results'!B7*(1+'Inputs'!$B$24)*(0.5*((((848-43)*MAX('Inputs'!$B$33,'Inputs'!$B$29+'Inputs'!$B$31+'Inputs'!$B$32,'Inputs'!$B$30+'Inputs'!$B$31+'Inputs'!$B$32)/1000+'Inputs'!$B$21)+'Inputs'!$B$7)/SQRT((((848-43)*MAX('Inputs'!$B$33,'Inputs'!$B$29+'Inputs'!$B$31+'Inputs'!$B$32,'Inputs'!$B$30+'Inputs'!$B$31+'Inputs'!$B$32)/1000+'Inputs'!$B$21)+'Inputs'!$B$7)^2+('Inputs'!$B$6/2)^2)-(((848-43)*MAX('Inputs'!$B$33,'Inputs'!$B$29+'Inputs'!$B$31+'Inputs'!$B$32,'Inputs'!$B$30+'Inputs'!$B$31+'Inputs'!$B$32)/1000+'Inputs'!$B$21))/SQRT((((848-43)*MAX('Inputs'!$B$33,'Inputs'!$B$29+'Inputs'!$B$31+'Inputs'!$B$32,'Inputs'!$B$30+'Inputs'!$B$31+'Inputs'!$B$32)/1000+'Inputs'!$B$21))^2+('Inputs'!$B$6/2)^2)))-'Results'!C7*(1-'Inputs'!$B$24)*(0.5*((((848-43)*MAX('Inputs'!$B$33,'Inputs'!$B$29+'Inputs'!$B$31+'Inputs'!$B$32,'Inputs'!$B$30+'Inputs'!$B$31+'Inputs'!$B$32)/1000+'Inputs'!$B$21+'Inputs'!$B$7+'Inputs'!$B$10)+'Inputs'!$B$9)/SQRT((((848-43)*MAX('Inputs'!$B$33,'Inputs'!$B$29+'Inputs'!$B$31+'Inputs'!$B$32,'Inputs'!$B$30+'Inputs'!$B$31+'Inputs'!$B$32)/1000+'Inputs'!$B$21+'Inputs'!$B$7+'Inputs'!$B$10)+'Inputs'!$B$9)^2+('Inputs'!$B$8/2)^2)-(((848-43)*MAX('Inputs'!$B$33,'Inputs'!$B$29+'Inputs'!$B$31+'Inputs'!$B$32,'Inputs'!$B$30+'Inputs'!$B$31+'Inputs'!$B$32)/1000+'Inputs'!$B$21+'Inputs'!$B$7+'Inputs'!$B$10))/SQRT((((848-43)*MAX('Inputs'!$B$33,'Inputs'!$B$29+'Inputs'!$B$31+'Inputs'!$B$32,'Inputs'!$B$30+'Inputs'!$B$31+'Inputs'!$B$32)/1000+'Inputs'!$B$21+'Inputs'!$B$7+'Inputs'!$B$10))^2+('Inputs'!$B$8/2)^2))))*'Results'!$B$8))),"")</x:f>
        <x:v>0.9052424556679262</x:v>
      </x:c>
      <x:c r="M848" t="n">
        <x:f>IF(AND(ISNUMBER('Results'!C7),ISNUMBER('Results'!B7),ISNUMBER('Results'!$B$8),ISNUMBER('Inputs'!$B$6),ISNUMBER('Inputs'!$B$7),ISNUMBER('Inputs'!$B$8),ISNUMBER('Inputs'!$B$9),ISNUMBER('Inputs'!$B$10),ISNUMBER('Inputs'!$B$21),ISNUMBER('Inputs'!$B$24),ISNUMBER('Inputs'!$B$28)),(('Results'!C7*(0.5*((((848-43)*MAX('Inputs'!$B$33,'Inputs'!$B$29+'Inputs'!$B$31+'Inputs'!$B$32,'Inputs'!$B$30+'Inputs'!$B$31+'Inputs'!$B$32)/1000+'Inputs'!$B$21)+'Inputs'!$B$9)/SQRT((((848-43)*MAX('Inputs'!$B$33,'Inputs'!$B$29+'Inputs'!$B$31+'Inputs'!$B$32,'Inputs'!$B$30+'Inputs'!$B$31+'Inputs'!$B$32)/1000+'Inputs'!$B$21)+'Inputs'!$B$9)^2+('Inputs'!$B$8/2)^2)-(((848-43)*MAX('Inputs'!$B$33,'Inputs'!$B$29+'Inputs'!$B$31+'Inputs'!$B$32,'Inputs'!$B$30+'Inputs'!$B$31+'Inputs'!$B$32)/1000+'Inputs'!$B$21))/SQRT((((848-43)*MAX('Inputs'!$B$33,'Inputs'!$B$29+'Inputs'!$B$31+'Inputs'!$B$32,'Inputs'!$B$30+'Inputs'!$B$31+'Inputs'!$B$32)/1000+'Inputs'!$B$21))^2+('Inputs'!$B$8/2)^2)))-'Results'!B7*(0.5*((((848-43)*MAX('Inputs'!$B$33,'Inputs'!$B$29+'Inputs'!$B$31+'Inputs'!$B$32,'Inputs'!$B$30+'Inputs'!$B$31+'Inputs'!$B$32)/1000+'Inputs'!$B$21+'Inputs'!$B$9+'Inputs'!$B$10)+'Inputs'!$B$7)/SQRT((((848-43)*MAX('Inputs'!$B$33,'Inputs'!$B$29+'Inputs'!$B$31+'Inputs'!$B$32,'Inputs'!$B$30+'Inputs'!$B$31+'Inputs'!$B$32)/1000+'Inputs'!$B$21+'Inputs'!$B$9+'Inputs'!$B$10)+'Inputs'!$B$7)^2+('Inputs'!$B$6/2)^2)-(((848-43)*MAX('Inputs'!$B$33,'Inputs'!$B$29+'Inputs'!$B$31+'Inputs'!$B$32,'Inputs'!$B$30+'Inputs'!$B$31+'Inputs'!$B$32)/1000+'Inputs'!$B$21+'Inputs'!$B$9+'Inputs'!$B$10))/SQRT((((848-43)*MAX('Inputs'!$B$33,'Inputs'!$B$29+'Inputs'!$B$31+'Inputs'!$B$32,'Inputs'!$B$30+'Inputs'!$B$31+'Inputs'!$B$32)/1000+'Inputs'!$B$21+'Inputs'!$B$9+'Inputs'!$B$10))^2+('Inputs'!$B$6/2)^2))))*'Results'!$B$8),"")</x:f>
        <x:v>0.7055633196021407</x:v>
      </x:c>
      <x:c r="N848" t="n">
        <x:f>IF(AND(ISNUMBER('Results'!C7),ISNUMBER('Results'!B7),ISNUMBER('Results'!$B$8),ISNUMBER('Inputs'!$B$6),ISNUMBER('Inputs'!$B$7),ISNUMBER('Inputs'!$B$8),ISNUMBER('Inputs'!$B$9),ISNUMBER('Inputs'!$B$10),ISNUMBER('Inputs'!$B$21),ISNUMBER('Inputs'!$B$24),ISNUMBER('Inputs'!$B$28)),((('Results'!C7*(1-'Inputs'!$B$24)*(0.5*((((848-43)*MAX('Inputs'!$B$33,'Inputs'!$B$29+'Inputs'!$B$31+'Inputs'!$B$32,'Inputs'!$B$30+'Inputs'!$B$31+'Inputs'!$B$32)/1000+'Inputs'!$B$21)+'Inputs'!$B$9)/SQRT((((848-43)*MAX('Inputs'!$B$33,'Inputs'!$B$29+'Inputs'!$B$31+'Inputs'!$B$32,'Inputs'!$B$30+'Inputs'!$B$31+'Inputs'!$B$32)/1000+'Inputs'!$B$21)+'Inputs'!$B$9)^2+('Inputs'!$B$8/2)^2)-(((848-43)*MAX('Inputs'!$B$33,'Inputs'!$B$29+'Inputs'!$B$31+'Inputs'!$B$32,'Inputs'!$B$30+'Inputs'!$B$31+'Inputs'!$B$32)/1000+'Inputs'!$B$21))/SQRT((((848-43)*MAX('Inputs'!$B$33,'Inputs'!$B$29+'Inputs'!$B$31+'Inputs'!$B$32,'Inputs'!$B$30+'Inputs'!$B$31+'Inputs'!$B$32)/1000+'Inputs'!$B$21))^2+('Inputs'!$B$8/2)^2)))-'Results'!B7*(1+'Inputs'!$B$24)*(0.5*((((848-43)*MAX('Inputs'!$B$33,'Inputs'!$B$29+'Inputs'!$B$31+'Inputs'!$B$32,'Inputs'!$B$30+'Inputs'!$B$31+'Inputs'!$B$32)/1000+'Inputs'!$B$21+'Inputs'!$B$9+'Inputs'!$B$10)+'Inputs'!$B$7)/SQRT((((848-43)*MAX('Inputs'!$B$33,'Inputs'!$B$29+'Inputs'!$B$31+'Inputs'!$B$32,'Inputs'!$B$30+'Inputs'!$B$31+'Inputs'!$B$32)/1000+'Inputs'!$B$21+'Inputs'!$B$9+'Inputs'!$B$10)+'Inputs'!$B$7)^2+('Inputs'!$B$6/2)^2)-(((848-43)*MAX('Inputs'!$B$33,'Inputs'!$B$29+'Inputs'!$B$31+'Inputs'!$B$32,'Inputs'!$B$30+'Inputs'!$B$31+'Inputs'!$B$32)/1000+'Inputs'!$B$21+'Inputs'!$B$9+'Inputs'!$B$10))/SQRT((((848-43)*MAX('Inputs'!$B$33,'Inputs'!$B$29+'Inputs'!$B$31+'Inputs'!$B$32,'Inputs'!$B$30+'Inputs'!$B$31+'Inputs'!$B$32)/1000+'Inputs'!$B$21+'Inputs'!$B$9+'Inputs'!$B$10))^2+('Inputs'!$B$6/2)^2))))*'Results'!$B$8)-'Inputs'!$B$28*ABS((('Results'!C7*(1-'Inputs'!$B$24)*(0.5*((((848-43)*MAX('Inputs'!$B$33,'Inputs'!$B$29+'Inputs'!$B$31+'Inputs'!$B$32,'Inputs'!$B$30+'Inputs'!$B$31+'Inputs'!$B$32)/1000+'Inputs'!$B$21)+'Inputs'!$B$9)/SQRT((((848-43)*MAX('Inputs'!$B$33,'Inputs'!$B$29+'Inputs'!$B$31+'Inputs'!$B$32,'Inputs'!$B$30+'Inputs'!$B$31+'Inputs'!$B$32)/1000+'Inputs'!$B$21)+'Inputs'!$B$9)^2+('Inputs'!$B$8/2)^2)-(((848-43)*MAX('Inputs'!$B$33,'Inputs'!$B$29+'Inputs'!$B$31+'Inputs'!$B$32,'Inputs'!$B$30+'Inputs'!$B$31+'Inputs'!$B$32)/1000+'Inputs'!$B$21))/SQRT((((848-43)*MAX('Inputs'!$B$33,'Inputs'!$B$29+'Inputs'!$B$31+'Inputs'!$B$32,'Inputs'!$B$30+'Inputs'!$B$31+'Inputs'!$B$32)/1000+'Inputs'!$B$21))^2+('Inputs'!$B$8/2)^2)))-'Results'!B7*(1+'Inputs'!$B$24)*(0.5*((((848-43)*MAX('Inputs'!$B$33,'Inputs'!$B$29+'Inputs'!$B$31+'Inputs'!$B$32,'Inputs'!$B$30+'Inputs'!$B$31+'Inputs'!$B$32)/1000+'Inputs'!$B$21+'Inputs'!$B$9+'Inputs'!$B$10)+'Inputs'!$B$7)/SQRT((((848-43)*MAX('Inputs'!$B$33,'Inputs'!$B$29+'Inputs'!$B$31+'Inputs'!$B$32,'Inputs'!$B$30+'Inputs'!$B$31+'Inputs'!$B$32)/1000+'Inputs'!$B$21+'Inputs'!$B$9+'Inputs'!$B$10)+'Inputs'!$B$7)^2+('Inputs'!$B$6/2)^2)-(((848-43)*MAX('Inputs'!$B$33,'Inputs'!$B$29+'Inputs'!$B$31+'Inputs'!$B$32,'Inputs'!$B$30+'Inputs'!$B$31+'Inputs'!$B$32)/1000+'Inputs'!$B$21+'Inputs'!$B$9+'Inputs'!$B$10))/SQRT((((848-43)*MAX('Inputs'!$B$33,'Inputs'!$B$29+'Inputs'!$B$31+'Inputs'!$B$32,'Inputs'!$B$30+'Inputs'!$B$31+'Inputs'!$B$32)/1000+'Inputs'!$B$21+'Inputs'!$B$9+'Inputs'!$B$10))^2+('Inputs'!$B$6/2)^2))))*'Results'!$B$8))),"")</x:f>
        <x:v>0.5965010859177012</x:v>
      </x:c>
      <x:c r="O848" t="n">
        <x:f>IF(AND(ISNUMBER('Results'!C7),ISNUMBER('Results'!B7),ISNUMBER('Results'!$B$8),ISNUMBER('Inputs'!$B$6),ISNUMBER('Inputs'!$B$7),ISNUMBER('Inputs'!$B$8),ISNUMBER('Inputs'!$B$9),ISNUMBER('Inputs'!$B$10),ISNUMBER('Inputs'!$B$21),ISNUMBER('Inputs'!$B$24),ISNUMBER('Inputs'!$B$28)),((('Results'!C7*(1+'Inputs'!$B$24)*(0.5*((((848-43)*MAX('Inputs'!$B$33,'Inputs'!$B$29+'Inputs'!$B$31+'Inputs'!$B$32,'Inputs'!$B$30+'Inputs'!$B$31+'Inputs'!$B$32)/1000+'Inputs'!$B$21)+'Inputs'!$B$9)/SQRT((((848-43)*MAX('Inputs'!$B$33,'Inputs'!$B$29+'Inputs'!$B$31+'Inputs'!$B$32,'Inputs'!$B$30+'Inputs'!$B$31+'Inputs'!$B$32)/1000+'Inputs'!$B$21)+'Inputs'!$B$9)^2+('Inputs'!$B$8/2)^2)-(((848-43)*MAX('Inputs'!$B$33,'Inputs'!$B$29+'Inputs'!$B$31+'Inputs'!$B$32,'Inputs'!$B$30+'Inputs'!$B$31+'Inputs'!$B$32)/1000+'Inputs'!$B$21))/SQRT((((848-43)*MAX('Inputs'!$B$33,'Inputs'!$B$29+'Inputs'!$B$31+'Inputs'!$B$32,'Inputs'!$B$30+'Inputs'!$B$31+'Inputs'!$B$32)/1000+'Inputs'!$B$21))^2+('Inputs'!$B$8/2)^2)))-'Results'!B7*(1-'Inputs'!$B$24)*(0.5*((((848-43)*MAX('Inputs'!$B$33,'Inputs'!$B$29+'Inputs'!$B$31+'Inputs'!$B$32,'Inputs'!$B$30+'Inputs'!$B$31+'Inputs'!$B$32)/1000+'Inputs'!$B$21+'Inputs'!$B$9+'Inputs'!$B$10)+'Inputs'!$B$7)/SQRT((((848-43)*MAX('Inputs'!$B$33,'Inputs'!$B$29+'Inputs'!$B$31+'Inputs'!$B$32,'Inputs'!$B$30+'Inputs'!$B$31+'Inputs'!$B$32)/1000+'Inputs'!$B$21+'Inputs'!$B$9+'Inputs'!$B$10)+'Inputs'!$B$7)^2+('Inputs'!$B$6/2)^2)-(((848-43)*MAX('Inputs'!$B$33,'Inputs'!$B$29+'Inputs'!$B$31+'Inputs'!$B$32,'Inputs'!$B$30+'Inputs'!$B$31+'Inputs'!$B$32)/1000+'Inputs'!$B$21+'Inputs'!$B$9+'Inputs'!$B$10))/SQRT((((848-43)*MAX('Inputs'!$B$33,'Inputs'!$B$29+'Inputs'!$B$31+'Inputs'!$B$32,'Inputs'!$B$30+'Inputs'!$B$31+'Inputs'!$B$32)/1000+'Inputs'!$B$21+'Inputs'!$B$9+'Inputs'!$B$10))^2+('Inputs'!$B$6/2)^2))))*'Results'!$B$8)+'Inputs'!$B$28*ABS((('Results'!C7*(1+'Inputs'!$B$24)*(0.5*((((848-43)*MAX('Inputs'!$B$33,'Inputs'!$B$29+'Inputs'!$B$31+'Inputs'!$B$32,'Inputs'!$B$30+'Inputs'!$B$31+'Inputs'!$B$32)/1000+'Inputs'!$B$21)+'Inputs'!$B$9)/SQRT((((848-43)*MAX('Inputs'!$B$33,'Inputs'!$B$29+'Inputs'!$B$31+'Inputs'!$B$32,'Inputs'!$B$30+'Inputs'!$B$31+'Inputs'!$B$32)/1000+'Inputs'!$B$21)+'Inputs'!$B$9)^2+('Inputs'!$B$8/2)^2)-(((848-43)*MAX('Inputs'!$B$33,'Inputs'!$B$29+'Inputs'!$B$31+'Inputs'!$B$32,'Inputs'!$B$30+'Inputs'!$B$31+'Inputs'!$B$32)/1000+'Inputs'!$B$21))/SQRT((((848-43)*MAX('Inputs'!$B$33,'Inputs'!$B$29+'Inputs'!$B$31+'Inputs'!$B$32,'Inputs'!$B$30+'Inputs'!$B$31+'Inputs'!$B$32)/1000+'Inputs'!$B$21))^2+('Inputs'!$B$8/2)^2)))-'Results'!B7*(1-'Inputs'!$B$24)*(0.5*((((848-43)*MAX('Inputs'!$B$33,'Inputs'!$B$29+'Inputs'!$B$31+'Inputs'!$B$32,'Inputs'!$B$30+'Inputs'!$B$31+'Inputs'!$B$32)/1000+'Inputs'!$B$21+'Inputs'!$B$9+'Inputs'!$B$10)+'Inputs'!$B$7)/SQRT((((848-43)*MAX('Inputs'!$B$33,'Inputs'!$B$29+'Inputs'!$B$31+'Inputs'!$B$32,'Inputs'!$B$30+'Inputs'!$B$31+'Inputs'!$B$32)/1000+'Inputs'!$B$21+'Inputs'!$B$9+'Inputs'!$B$10)+'Inputs'!$B$7)^2+('Inputs'!$B$6/2)^2)-(((848-43)*MAX('Inputs'!$B$33,'Inputs'!$B$29+'Inputs'!$B$31+'Inputs'!$B$32,'Inputs'!$B$30+'Inputs'!$B$31+'Inputs'!$B$32)/1000+'Inputs'!$B$21+'Inputs'!$B$9+'Inputs'!$B$10))/SQRT((((848-43)*MAX('Inputs'!$B$33,'Inputs'!$B$29+'Inputs'!$B$31+'Inputs'!$B$32,'Inputs'!$B$30+'Inputs'!$B$31+'Inputs'!$B$32)/1000+'Inputs'!$B$21+'Inputs'!$B$9+'Inputs'!$B$10))^2+('Inputs'!$B$6/2)^2))))*'Results'!$B$8))),"")</x:f>
        <x:v>0.8223922972554577</x:v>
      </x:c>
      <x:c r="P848" t="n">
        <x:f>IF(AND(MAX(J848,J847)&gt;0,J848&gt;J847+0.00000001),1,0)</x:f>
        <x:v>0</x:v>
      </x:c>
      <x:c r="Q848" t="n">
        <x:f>IF(AND(MAX(K848,K847)&gt;0,K848&gt;K847+0.00000001),1,0)</x:f>
        <x:v>0</x:v>
      </x:c>
      <x:c r="R848" t="n">
        <x:f>IF(AND(MAX(L848,L847)&gt;0,L848&gt;L847+0.00000001),1,0)</x:f>
        <x:v>0</x:v>
      </x:c>
      <x:c r="S848" t="n">
        <x:f>IF(AND(MAX(M848,M847)&gt;0,M848&gt;M847+0.00000001),1,0)</x:f>
        <x:v>0</x:v>
      </x:c>
      <x:c r="T848" t="n">
        <x:f>IF(AND(MAX(N848,N847)&gt;0,N848&gt;N847+0.00000001),1,0)</x:f>
        <x:v>0</x:v>
      </x:c>
      <x:c r="U848" t="n">
        <x:f>IF(AND(MAX(O848,O847)&gt;0,O848&gt;O847+0.00000001),1,0)</x:f>
        <x:v>0</x:v>
      </x:c>
    </x:row>
    <x:row r="849">
      <x:c r="J849" t="n">
        <x:f>IF(AND(ISNUMBER('Results'!B7),ISNUMBER('Results'!C7),ISNUMBER('Results'!$B$8),ISNUMBER('Inputs'!$B$6),ISNUMBER('Inputs'!$B$7),ISNUMBER('Inputs'!$B$8),ISNUMBER('Inputs'!$B$9),ISNUMBER('Inputs'!$B$10),ISNUMBER('Inputs'!$B$21),ISNUMBER('Inputs'!$B$24),ISNUMBER('Inputs'!$B$28)),(('Results'!B7*(0.5*((((849-43)*MAX('Inputs'!$B$33,'Inputs'!$B$29+'Inputs'!$B$31+'Inputs'!$B$32,'Inputs'!$B$30+'Inputs'!$B$31+'Inputs'!$B$32)/1000+'Inputs'!$B$21)+'Inputs'!$B$7)/SQRT((((849-43)*MAX('Inputs'!$B$33,'Inputs'!$B$29+'Inputs'!$B$31+'Inputs'!$B$32,'Inputs'!$B$30+'Inputs'!$B$31+'Inputs'!$B$32)/1000+'Inputs'!$B$21)+'Inputs'!$B$7)^2+('Inputs'!$B$6/2)^2)-(((849-43)*MAX('Inputs'!$B$33,'Inputs'!$B$29+'Inputs'!$B$31+'Inputs'!$B$32,'Inputs'!$B$30+'Inputs'!$B$31+'Inputs'!$B$32)/1000+'Inputs'!$B$21))/SQRT((((849-43)*MAX('Inputs'!$B$33,'Inputs'!$B$29+'Inputs'!$B$31+'Inputs'!$B$32,'Inputs'!$B$30+'Inputs'!$B$31+'Inputs'!$B$32)/1000+'Inputs'!$B$21))^2+('Inputs'!$B$6/2)^2)))-'Results'!C7*(0.5*((((849-43)*MAX('Inputs'!$B$33,'Inputs'!$B$29+'Inputs'!$B$31+'Inputs'!$B$32,'Inputs'!$B$30+'Inputs'!$B$31+'Inputs'!$B$32)/1000+'Inputs'!$B$21+'Inputs'!$B$7+'Inputs'!$B$10)+'Inputs'!$B$9)/SQRT((((849-43)*MAX('Inputs'!$B$33,'Inputs'!$B$29+'Inputs'!$B$31+'Inputs'!$B$32,'Inputs'!$B$30+'Inputs'!$B$31+'Inputs'!$B$32)/1000+'Inputs'!$B$21+'Inputs'!$B$7+'Inputs'!$B$10)+'Inputs'!$B$9)^2+('Inputs'!$B$8/2)^2)-(((849-43)*MAX('Inputs'!$B$33,'Inputs'!$B$29+'Inputs'!$B$31+'Inputs'!$B$32,'Inputs'!$B$30+'Inputs'!$B$31+'Inputs'!$B$32)/1000+'Inputs'!$B$21+'Inputs'!$B$7+'Inputs'!$B$10))/SQRT((((849-43)*MAX('Inputs'!$B$33,'Inputs'!$B$29+'Inputs'!$B$31+'Inputs'!$B$32,'Inputs'!$B$30+'Inputs'!$B$31+'Inputs'!$B$32)/1000+'Inputs'!$B$21+'Inputs'!$B$7+'Inputs'!$B$10))^2+('Inputs'!$B$8/2)^2))))*'Results'!$B$8),"")</x:f>
        <x:v>0.7806731598090163</x:v>
      </x:c>
      <x:c r="K849" t="n">
        <x:f>IF(AND(ISNUMBER('Results'!B7),ISNUMBER('Results'!C7),ISNUMBER('Results'!$B$8),ISNUMBER('Inputs'!$B$6),ISNUMBER('Inputs'!$B$7),ISNUMBER('Inputs'!$B$8),ISNUMBER('Inputs'!$B$9),ISNUMBER('Inputs'!$B$10),ISNUMBER('Inputs'!$B$21),ISNUMBER('Inputs'!$B$24),ISNUMBER('Inputs'!$B$28)),((('Results'!B7*(1-'Inputs'!$B$24)*(0.5*((((849-43)*MAX('Inputs'!$B$33,'Inputs'!$B$29+'Inputs'!$B$31+'Inputs'!$B$32,'Inputs'!$B$30+'Inputs'!$B$31+'Inputs'!$B$32)/1000+'Inputs'!$B$21)+'Inputs'!$B$7)/SQRT((((849-43)*MAX('Inputs'!$B$33,'Inputs'!$B$29+'Inputs'!$B$31+'Inputs'!$B$32,'Inputs'!$B$30+'Inputs'!$B$31+'Inputs'!$B$32)/1000+'Inputs'!$B$21)+'Inputs'!$B$7)^2+('Inputs'!$B$6/2)^2)-(((849-43)*MAX('Inputs'!$B$33,'Inputs'!$B$29+'Inputs'!$B$31+'Inputs'!$B$32,'Inputs'!$B$30+'Inputs'!$B$31+'Inputs'!$B$32)/1000+'Inputs'!$B$21))/SQRT((((849-43)*MAX('Inputs'!$B$33,'Inputs'!$B$29+'Inputs'!$B$31+'Inputs'!$B$32,'Inputs'!$B$30+'Inputs'!$B$31+'Inputs'!$B$32)/1000+'Inputs'!$B$21))^2+('Inputs'!$B$6/2)^2)))-'Results'!C7*(1+'Inputs'!$B$24)*(0.5*((((849-43)*MAX('Inputs'!$B$33,'Inputs'!$B$29+'Inputs'!$B$31+'Inputs'!$B$32,'Inputs'!$B$30+'Inputs'!$B$31+'Inputs'!$B$32)/1000+'Inputs'!$B$21+'Inputs'!$B$7+'Inputs'!$B$10)+'Inputs'!$B$9)/SQRT((((849-43)*MAX('Inputs'!$B$33,'Inputs'!$B$29+'Inputs'!$B$31+'Inputs'!$B$32,'Inputs'!$B$30+'Inputs'!$B$31+'Inputs'!$B$32)/1000+'Inputs'!$B$21+'Inputs'!$B$7+'Inputs'!$B$10)+'Inputs'!$B$9)^2+('Inputs'!$B$8/2)^2)-(((849-43)*MAX('Inputs'!$B$33,'Inputs'!$B$29+'Inputs'!$B$31+'Inputs'!$B$32,'Inputs'!$B$30+'Inputs'!$B$31+'Inputs'!$B$32)/1000+'Inputs'!$B$21+'Inputs'!$B$7+'Inputs'!$B$10))/SQRT((((849-43)*MAX('Inputs'!$B$33,'Inputs'!$B$29+'Inputs'!$B$31+'Inputs'!$B$32,'Inputs'!$B$30+'Inputs'!$B$31+'Inputs'!$B$32)/1000+'Inputs'!$B$21+'Inputs'!$B$7+'Inputs'!$B$10))^2+('Inputs'!$B$8/2)^2))))*'Results'!$B$8)-'Inputs'!$B$28*ABS((('Results'!B7*(1-'Inputs'!$B$24)*(0.5*((((849-43)*MAX('Inputs'!$B$33,'Inputs'!$B$29+'Inputs'!$B$31+'Inputs'!$B$32,'Inputs'!$B$30+'Inputs'!$B$31+'Inputs'!$B$32)/1000+'Inputs'!$B$21)+'Inputs'!$B$7)/SQRT((((849-43)*MAX('Inputs'!$B$33,'Inputs'!$B$29+'Inputs'!$B$31+'Inputs'!$B$32,'Inputs'!$B$30+'Inputs'!$B$31+'Inputs'!$B$32)/1000+'Inputs'!$B$21)+'Inputs'!$B$7)^2+('Inputs'!$B$6/2)^2)-(((849-43)*MAX('Inputs'!$B$33,'Inputs'!$B$29+'Inputs'!$B$31+'Inputs'!$B$32,'Inputs'!$B$30+'Inputs'!$B$31+'Inputs'!$B$32)/1000+'Inputs'!$B$21))/SQRT((((849-43)*MAX('Inputs'!$B$33,'Inputs'!$B$29+'Inputs'!$B$31+'Inputs'!$B$32,'Inputs'!$B$30+'Inputs'!$B$31+'Inputs'!$B$32)/1000+'Inputs'!$B$21))^2+('Inputs'!$B$6/2)^2)))-'Results'!C7*(1+'Inputs'!$B$24)*(0.5*((((849-43)*MAX('Inputs'!$B$33,'Inputs'!$B$29+'Inputs'!$B$31+'Inputs'!$B$32,'Inputs'!$B$30+'Inputs'!$B$31+'Inputs'!$B$32)/1000+'Inputs'!$B$21+'Inputs'!$B$7+'Inputs'!$B$10)+'Inputs'!$B$9)/SQRT((((849-43)*MAX('Inputs'!$B$33,'Inputs'!$B$29+'Inputs'!$B$31+'Inputs'!$B$32,'Inputs'!$B$30+'Inputs'!$B$31+'Inputs'!$B$32)/1000+'Inputs'!$B$21+'Inputs'!$B$7+'Inputs'!$B$10)+'Inputs'!$B$9)^2+('Inputs'!$B$8/2)^2)-(((849-43)*MAX('Inputs'!$B$33,'Inputs'!$B$29+'Inputs'!$B$31+'Inputs'!$B$32,'Inputs'!$B$30+'Inputs'!$B$31+'Inputs'!$B$32)/1000+'Inputs'!$B$21+'Inputs'!$B$7+'Inputs'!$B$10))/SQRT((((849-43)*MAX('Inputs'!$B$33,'Inputs'!$B$29+'Inputs'!$B$31+'Inputs'!$B$32,'Inputs'!$B$30+'Inputs'!$B$31+'Inputs'!$B$32)/1000+'Inputs'!$B$21+'Inputs'!$B$7+'Inputs'!$B$10))^2+('Inputs'!$B$8/2)^2))))*'Results'!$B$8))),"")</x:f>
        <x:v>0.6678232258988914</x:v>
      </x:c>
      <x:c r="L849" t="n">
        <x:f>IF(AND(ISNUMBER('Results'!B7),ISNUMBER('Results'!C7),ISNUMBER('Results'!$B$8),ISNUMBER('Inputs'!$B$6),ISNUMBER('Inputs'!$B$7),ISNUMBER('Inputs'!$B$8),ISNUMBER('Inputs'!$B$9),ISNUMBER('Inputs'!$B$10),ISNUMBER('Inputs'!$B$21),ISNUMBER('Inputs'!$B$24),ISNUMBER('Inputs'!$B$28)),((('Results'!B7*(1+'Inputs'!$B$24)*(0.5*((((849-43)*MAX('Inputs'!$B$33,'Inputs'!$B$29+'Inputs'!$B$31+'Inputs'!$B$32,'Inputs'!$B$30+'Inputs'!$B$31+'Inputs'!$B$32)/1000+'Inputs'!$B$21)+'Inputs'!$B$7)/SQRT((((849-43)*MAX('Inputs'!$B$33,'Inputs'!$B$29+'Inputs'!$B$31+'Inputs'!$B$32,'Inputs'!$B$30+'Inputs'!$B$31+'Inputs'!$B$32)/1000+'Inputs'!$B$21)+'Inputs'!$B$7)^2+('Inputs'!$B$6/2)^2)-(((849-43)*MAX('Inputs'!$B$33,'Inputs'!$B$29+'Inputs'!$B$31+'Inputs'!$B$32,'Inputs'!$B$30+'Inputs'!$B$31+'Inputs'!$B$32)/1000+'Inputs'!$B$21))/SQRT((((849-43)*MAX('Inputs'!$B$33,'Inputs'!$B$29+'Inputs'!$B$31+'Inputs'!$B$32,'Inputs'!$B$30+'Inputs'!$B$31+'Inputs'!$B$32)/1000+'Inputs'!$B$21))^2+('Inputs'!$B$6/2)^2)))-'Results'!C7*(1-'Inputs'!$B$24)*(0.5*((((849-43)*MAX('Inputs'!$B$33,'Inputs'!$B$29+'Inputs'!$B$31+'Inputs'!$B$32,'Inputs'!$B$30+'Inputs'!$B$31+'Inputs'!$B$32)/1000+'Inputs'!$B$21+'Inputs'!$B$7+'Inputs'!$B$10)+'Inputs'!$B$9)/SQRT((((849-43)*MAX('Inputs'!$B$33,'Inputs'!$B$29+'Inputs'!$B$31+'Inputs'!$B$32,'Inputs'!$B$30+'Inputs'!$B$31+'Inputs'!$B$32)/1000+'Inputs'!$B$21+'Inputs'!$B$7+'Inputs'!$B$10)+'Inputs'!$B$9)^2+('Inputs'!$B$8/2)^2)-(((849-43)*MAX('Inputs'!$B$33,'Inputs'!$B$29+'Inputs'!$B$31+'Inputs'!$B$32,'Inputs'!$B$30+'Inputs'!$B$31+'Inputs'!$B$32)/1000+'Inputs'!$B$21+'Inputs'!$B$7+'Inputs'!$B$10))/SQRT((((849-43)*MAX('Inputs'!$B$33,'Inputs'!$B$29+'Inputs'!$B$31+'Inputs'!$B$32,'Inputs'!$B$30+'Inputs'!$B$31+'Inputs'!$B$32)/1000+'Inputs'!$B$21+'Inputs'!$B$7+'Inputs'!$B$10))^2+('Inputs'!$B$8/2)^2))))*'Results'!$B$8)+'Inputs'!$B$28*ABS((('Results'!B7*(1+'Inputs'!$B$24)*(0.5*((((849-43)*MAX('Inputs'!$B$33,'Inputs'!$B$29+'Inputs'!$B$31+'Inputs'!$B$32,'Inputs'!$B$30+'Inputs'!$B$31+'Inputs'!$B$32)/1000+'Inputs'!$B$21)+'Inputs'!$B$7)/SQRT((((849-43)*MAX('Inputs'!$B$33,'Inputs'!$B$29+'Inputs'!$B$31+'Inputs'!$B$32,'Inputs'!$B$30+'Inputs'!$B$31+'Inputs'!$B$32)/1000+'Inputs'!$B$21)+'Inputs'!$B$7)^2+('Inputs'!$B$6/2)^2)-(((849-43)*MAX('Inputs'!$B$33,'Inputs'!$B$29+'Inputs'!$B$31+'Inputs'!$B$32,'Inputs'!$B$30+'Inputs'!$B$31+'Inputs'!$B$32)/1000+'Inputs'!$B$21))/SQRT((((849-43)*MAX('Inputs'!$B$33,'Inputs'!$B$29+'Inputs'!$B$31+'Inputs'!$B$32,'Inputs'!$B$30+'Inputs'!$B$31+'Inputs'!$B$32)/1000+'Inputs'!$B$21))^2+('Inputs'!$B$6/2)^2)))-'Results'!C7*(1-'Inputs'!$B$24)*(0.5*((((849-43)*MAX('Inputs'!$B$33,'Inputs'!$B$29+'Inputs'!$B$31+'Inputs'!$B$32,'Inputs'!$B$30+'Inputs'!$B$31+'Inputs'!$B$32)/1000+'Inputs'!$B$21+'Inputs'!$B$7+'Inputs'!$B$10)+'Inputs'!$B$9)/SQRT((((849-43)*MAX('Inputs'!$B$33,'Inputs'!$B$29+'Inputs'!$B$31+'Inputs'!$B$32,'Inputs'!$B$30+'Inputs'!$B$31+'Inputs'!$B$32)/1000+'Inputs'!$B$21+'Inputs'!$B$7+'Inputs'!$B$10)+'Inputs'!$B$9)^2+('Inputs'!$B$8/2)^2)-(((849-43)*MAX('Inputs'!$B$33,'Inputs'!$B$29+'Inputs'!$B$31+'Inputs'!$B$32,'Inputs'!$B$30+'Inputs'!$B$31+'Inputs'!$B$32)/1000+'Inputs'!$B$21+'Inputs'!$B$7+'Inputs'!$B$10))/SQRT((((849-43)*MAX('Inputs'!$B$33,'Inputs'!$B$29+'Inputs'!$B$31+'Inputs'!$B$32,'Inputs'!$B$30+'Inputs'!$B$31+'Inputs'!$B$32)/1000+'Inputs'!$B$21+'Inputs'!$B$7+'Inputs'!$B$10))^2+('Inputs'!$B$8/2)^2))))*'Results'!$B$8))),"")</x:f>
        <x:v>0.9012932280264757</x:v>
      </x:c>
      <x:c r="M849" t="n">
        <x:f>IF(AND(ISNUMBER('Results'!C7),ISNUMBER('Results'!B7),ISNUMBER('Results'!$B$8),ISNUMBER('Inputs'!$B$6),ISNUMBER('Inputs'!$B$7),ISNUMBER('Inputs'!$B$8),ISNUMBER('Inputs'!$B$9),ISNUMBER('Inputs'!$B$10),ISNUMBER('Inputs'!$B$21),ISNUMBER('Inputs'!$B$24),ISNUMBER('Inputs'!$B$28)),(('Results'!C7*(0.5*((((849-43)*MAX('Inputs'!$B$33,'Inputs'!$B$29+'Inputs'!$B$31+'Inputs'!$B$32,'Inputs'!$B$30+'Inputs'!$B$31+'Inputs'!$B$32)/1000+'Inputs'!$B$21)+'Inputs'!$B$9)/SQRT((((849-43)*MAX('Inputs'!$B$33,'Inputs'!$B$29+'Inputs'!$B$31+'Inputs'!$B$32,'Inputs'!$B$30+'Inputs'!$B$31+'Inputs'!$B$32)/1000+'Inputs'!$B$21)+'Inputs'!$B$9)^2+('Inputs'!$B$8/2)^2)-(((849-43)*MAX('Inputs'!$B$33,'Inputs'!$B$29+'Inputs'!$B$31+'Inputs'!$B$32,'Inputs'!$B$30+'Inputs'!$B$31+'Inputs'!$B$32)/1000+'Inputs'!$B$21))/SQRT((((849-43)*MAX('Inputs'!$B$33,'Inputs'!$B$29+'Inputs'!$B$31+'Inputs'!$B$32,'Inputs'!$B$30+'Inputs'!$B$31+'Inputs'!$B$32)/1000+'Inputs'!$B$21))^2+('Inputs'!$B$8/2)^2)))-'Results'!B7*(0.5*((((849-43)*MAX('Inputs'!$B$33,'Inputs'!$B$29+'Inputs'!$B$31+'Inputs'!$B$32,'Inputs'!$B$30+'Inputs'!$B$31+'Inputs'!$B$32)/1000+'Inputs'!$B$21+'Inputs'!$B$9+'Inputs'!$B$10)+'Inputs'!$B$7)/SQRT((((849-43)*MAX('Inputs'!$B$33,'Inputs'!$B$29+'Inputs'!$B$31+'Inputs'!$B$32,'Inputs'!$B$30+'Inputs'!$B$31+'Inputs'!$B$32)/1000+'Inputs'!$B$21+'Inputs'!$B$9+'Inputs'!$B$10)+'Inputs'!$B$7)^2+('Inputs'!$B$6/2)^2)-(((849-43)*MAX('Inputs'!$B$33,'Inputs'!$B$29+'Inputs'!$B$31+'Inputs'!$B$32,'Inputs'!$B$30+'Inputs'!$B$31+'Inputs'!$B$32)/1000+'Inputs'!$B$21+'Inputs'!$B$9+'Inputs'!$B$10))/SQRT((((849-43)*MAX('Inputs'!$B$33,'Inputs'!$B$29+'Inputs'!$B$31+'Inputs'!$B$32,'Inputs'!$B$30+'Inputs'!$B$31+'Inputs'!$B$32)/1000+'Inputs'!$B$21+'Inputs'!$B$9+'Inputs'!$B$10))^2+('Inputs'!$B$6/2)^2))))*'Results'!$B$8),"")</x:f>
        <x:v>0.7023382669410103</x:v>
      </x:c>
      <x:c r="N849" t="n">
        <x:f>IF(AND(ISNUMBER('Results'!C7),ISNUMBER('Results'!B7),ISNUMBER('Results'!$B$8),ISNUMBER('Inputs'!$B$6),ISNUMBER('Inputs'!$B$7),ISNUMBER('Inputs'!$B$8),ISNUMBER('Inputs'!$B$9),ISNUMBER('Inputs'!$B$10),ISNUMBER('Inputs'!$B$21),ISNUMBER('Inputs'!$B$24),ISNUMBER('Inputs'!$B$28)),((('Results'!C7*(1-'Inputs'!$B$24)*(0.5*((((849-43)*MAX('Inputs'!$B$33,'Inputs'!$B$29+'Inputs'!$B$31+'Inputs'!$B$32,'Inputs'!$B$30+'Inputs'!$B$31+'Inputs'!$B$32)/1000+'Inputs'!$B$21)+'Inputs'!$B$9)/SQRT((((849-43)*MAX('Inputs'!$B$33,'Inputs'!$B$29+'Inputs'!$B$31+'Inputs'!$B$32,'Inputs'!$B$30+'Inputs'!$B$31+'Inputs'!$B$32)/1000+'Inputs'!$B$21)+'Inputs'!$B$9)^2+('Inputs'!$B$8/2)^2)-(((849-43)*MAX('Inputs'!$B$33,'Inputs'!$B$29+'Inputs'!$B$31+'Inputs'!$B$32,'Inputs'!$B$30+'Inputs'!$B$31+'Inputs'!$B$32)/1000+'Inputs'!$B$21))/SQRT((((849-43)*MAX('Inputs'!$B$33,'Inputs'!$B$29+'Inputs'!$B$31+'Inputs'!$B$32,'Inputs'!$B$30+'Inputs'!$B$31+'Inputs'!$B$32)/1000+'Inputs'!$B$21))^2+('Inputs'!$B$8/2)^2)))-'Results'!B7*(1+'Inputs'!$B$24)*(0.5*((((849-43)*MAX('Inputs'!$B$33,'Inputs'!$B$29+'Inputs'!$B$31+'Inputs'!$B$32,'Inputs'!$B$30+'Inputs'!$B$31+'Inputs'!$B$32)/1000+'Inputs'!$B$21+'Inputs'!$B$9+'Inputs'!$B$10)+'Inputs'!$B$7)/SQRT((((849-43)*MAX('Inputs'!$B$33,'Inputs'!$B$29+'Inputs'!$B$31+'Inputs'!$B$32,'Inputs'!$B$30+'Inputs'!$B$31+'Inputs'!$B$32)/1000+'Inputs'!$B$21+'Inputs'!$B$9+'Inputs'!$B$10)+'Inputs'!$B$7)^2+('Inputs'!$B$6/2)^2)-(((849-43)*MAX('Inputs'!$B$33,'Inputs'!$B$29+'Inputs'!$B$31+'Inputs'!$B$32,'Inputs'!$B$30+'Inputs'!$B$31+'Inputs'!$B$32)/1000+'Inputs'!$B$21+'Inputs'!$B$9+'Inputs'!$B$10))/SQRT((((849-43)*MAX('Inputs'!$B$33,'Inputs'!$B$29+'Inputs'!$B$31+'Inputs'!$B$32,'Inputs'!$B$30+'Inputs'!$B$31+'Inputs'!$B$32)/1000+'Inputs'!$B$21+'Inputs'!$B$9+'Inputs'!$B$10))^2+('Inputs'!$B$6/2)^2))))*'Results'!$B$8)-'Inputs'!$B$28*ABS((('Results'!C7*(1-'Inputs'!$B$24)*(0.5*((((849-43)*MAX('Inputs'!$B$33,'Inputs'!$B$29+'Inputs'!$B$31+'Inputs'!$B$32,'Inputs'!$B$30+'Inputs'!$B$31+'Inputs'!$B$32)/1000+'Inputs'!$B$21)+'Inputs'!$B$9)/SQRT((((849-43)*MAX('Inputs'!$B$33,'Inputs'!$B$29+'Inputs'!$B$31+'Inputs'!$B$32,'Inputs'!$B$30+'Inputs'!$B$31+'Inputs'!$B$32)/1000+'Inputs'!$B$21)+'Inputs'!$B$9)^2+('Inputs'!$B$8/2)^2)-(((849-43)*MAX('Inputs'!$B$33,'Inputs'!$B$29+'Inputs'!$B$31+'Inputs'!$B$32,'Inputs'!$B$30+'Inputs'!$B$31+'Inputs'!$B$32)/1000+'Inputs'!$B$21))/SQRT((((849-43)*MAX('Inputs'!$B$33,'Inputs'!$B$29+'Inputs'!$B$31+'Inputs'!$B$32,'Inputs'!$B$30+'Inputs'!$B$31+'Inputs'!$B$32)/1000+'Inputs'!$B$21))^2+('Inputs'!$B$8/2)^2)))-'Results'!B7*(1+'Inputs'!$B$24)*(0.5*((((849-43)*MAX('Inputs'!$B$33,'Inputs'!$B$29+'Inputs'!$B$31+'Inputs'!$B$32,'Inputs'!$B$30+'Inputs'!$B$31+'Inputs'!$B$32)/1000+'Inputs'!$B$21+'Inputs'!$B$9+'Inputs'!$B$10)+'Inputs'!$B$7)/SQRT((((849-43)*MAX('Inputs'!$B$33,'Inputs'!$B$29+'Inputs'!$B$31+'Inputs'!$B$32,'Inputs'!$B$30+'Inputs'!$B$31+'Inputs'!$B$32)/1000+'Inputs'!$B$21+'Inputs'!$B$9+'Inputs'!$B$10)+'Inputs'!$B$7)^2+('Inputs'!$B$6/2)^2)-(((849-43)*MAX('Inputs'!$B$33,'Inputs'!$B$29+'Inputs'!$B$31+'Inputs'!$B$32,'Inputs'!$B$30+'Inputs'!$B$31+'Inputs'!$B$32)/1000+'Inputs'!$B$21+'Inputs'!$B$9+'Inputs'!$B$10))/SQRT((((849-43)*MAX('Inputs'!$B$33,'Inputs'!$B$29+'Inputs'!$B$31+'Inputs'!$B$32,'Inputs'!$B$30+'Inputs'!$B$31+'Inputs'!$B$32)/1000+'Inputs'!$B$21+'Inputs'!$B$9+'Inputs'!$B$10))^2+('Inputs'!$B$6/2)^2))))*'Results'!$B$8))),"")</x:f>
        <x:v>0.5936896960289143</x:v>
      </x:c>
      <x:c r="O849" t="n">
        <x:f>IF(AND(ISNUMBER('Results'!C7),ISNUMBER('Results'!B7),ISNUMBER('Results'!$B$8),ISNUMBER('Inputs'!$B$6),ISNUMBER('Inputs'!$B$7),ISNUMBER('Inputs'!$B$8),ISNUMBER('Inputs'!$B$9),ISNUMBER('Inputs'!$B$10),ISNUMBER('Inputs'!$B$21),ISNUMBER('Inputs'!$B$24),ISNUMBER('Inputs'!$B$28)),((('Results'!C7*(1+'Inputs'!$B$24)*(0.5*((((849-43)*MAX('Inputs'!$B$33,'Inputs'!$B$29+'Inputs'!$B$31+'Inputs'!$B$32,'Inputs'!$B$30+'Inputs'!$B$31+'Inputs'!$B$32)/1000+'Inputs'!$B$21)+'Inputs'!$B$9)/SQRT((((849-43)*MAX('Inputs'!$B$33,'Inputs'!$B$29+'Inputs'!$B$31+'Inputs'!$B$32,'Inputs'!$B$30+'Inputs'!$B$31+'Inputs'!$B$32)/1000+'Inputs'!$B$21)+'Inputs'!$B$9)^2+('Inputs'!$B$8/2)^2)-(((849-43)*MAX('Inputs'!$B$33,'Inputs'!$B$29+'Inputs'!$B$31+'Inputs'!$B$32,'Inputs'!$B$30+'Inputs'!$B$31+'Inputs'!$B$32)/1000+'Inputs'!$B$21))/SQRT((((849-43)*MAX('Inputs'!$B$33,'Inputs'!$B$29+'Inputs'!$B$31+'Inputs'!$B$32,'Inputs'!$B$30+'Inputs'!$B$31+'Inputs'!$B$32)/1000+'Inputs'!$B$21))^2+('Inputs'!$B$8/2)^2)))-'Results'!B7*(1-'Inputs'!$B$24)*(0.5*((((849-43)*MAX('Inputs'!$B$33,'Inputs'!$B$29+'Inputs'!$B$31+'Inputs'!$B$32,'Inputs'!$B$30+'Inputs'!$B$31+'Inputs'!$B$32)/1000+'Inputs'!$B$21+'Inputs'!$B$9+'Inputs'!$B$10)+'Inputs'!$B$7)/SQRT((((849-43)*MAX('Inputs'!$B$33,'Inputs'!$B$29+'Inputs'!$B$31+'Inputs'!$B$32,'Inputs'!$B$30+'Inputs'!$B$31+'Inputs'!$B$32)/1000+'Inputs'!$B$21+'Inputs'!$B$9+'Inputs'!$B$10)+'Inputs'!$B$7)^2+('Inputs'!$B$6/2)^2)-(((849-43)*MAX('Inputs'!$B$33,'Inputs'!$B$29+'Inputs'!$B$31+'Inputs'!$B$32,'Inputs'!$B$30+'Inputs'!$B$31+'Inputs'!$B$32)/1000+'Inputs'!$B$21+'Inputs'!$B$9+'Inputs'!$B$10))/SQRT((((849-43)*MAX('Inputs'!$B$33,'Inputs'!$B$29+'Inputs'!$B$31+'Inputs'!$B$32,'Inputs'!$B$30+'Inputs'!$B$31+'Inputs'!$B$32)/1000+'Inputs'!$B$21+'Inputs'!$B$9+'Inputs'!$B$10))^2+('Inputs'!$B$6/2)^2))))*'Results'!$B$8)+'Inputs'!$B$28*ABS((('Results'!C7*(1+'Inputs'!$B$24)*(0.5*((((849-43)*MAX('Inputs'!$B$33,'Inputs'!$B$29+'Inputs'!$B$31+'Inputs'!$B$32,'Inputs'!$B$30+'Inputs'!$B$31+'Inputs'!$B$32)/1000+'Inputs'!$B$21)+'Inputs'!$B$9)/SQRT((((849-43)*MAX('Inputs'!$B$33,'Inputs'!$B$29+'Inputs'!$B$31+'Inputs'!$B$32,'Inputs'!$B$30+'Inputs'!$B$31+'Inputs'!$B$32)/1000+'Inputs'!$B$21)+'Inputs'!$B$9)^2+('Inputs'!$B$8/2)^2)-(((849-43)*MAX('Inputs'!$B$33,'Inputs'!$B$29+'Inputs'!$B$31+'Inputs'!$B$32,'Inputs'!$B$30+'Inputs'!$B$31+'Inputs'!$B$32)/1000+'Inputs'!$B$21))/SQRT((((849-43)*MAX('Inputs'!$B$33,'Inputs'!$B$29+'Inputs'!$B$31+'Inputs'!$B$32,'Inputs'!$B$30+'Inputs'!$B$31+'Inputs'!$B$32)/1000+'Inputs'!$B$21))^2+('Inputs'!$B$8/2)^2)))-'Results'!B7*(1-'Inputs'!$B$24)*(0.5*((((849-43)*MAX('Inputs'!$B$33,'Inputs'!$B$29+'Inputs'!$B$31+'Inputs'!$B$32,'Inputs'!$B$30+'Inputs'!$B$31+'Inputs'!$B$32)/1000+'Inputs'!$B$21+'Inputs'!$B$9+'Inputs'!$B$10)+'Inputs'!$B$7)/SQRT((((849-43)*MAX('Inputs'!$B$33,'Inputs'!$B$29+'Inputs'!$B$31+'Inputs'!$B$32,'Inputs'!$B$30+'Inputs'!$B$31+'Inputs'!$B$32)/1000+'Inputs'!$B$21+'Inputs'!$B$9+'Inputs'!$B$10)+'Inputs'!$B$7)^2+('Inputs'!$B$6/2)^2)-(((849-43)*MAX('Inputs'!$B$33,'Inputs'!$B$29+'Inputs'!$B$31+'Inputs'!$B$32,'Inputs'!$B$30+'Inputs'!$B$31+'Inputs'!$B$32)/1000+'Inputs'!$B$21+'Inputs'!$B$9+'Inputs'!$B$10))/SQRT((((849-43)*MAX('Inputs'!$B$33,'Inputs'!$B$29+'Inputs'!$B$31+'Inputs'!$B$32,'Inputs'!$B$30+'Inputs'!$B$31+'Inputs'!$B$32)/1000+'Inputs'!$B$21+'Inputs'!$B$9+'Inputs'!$B$10))^2+('Inputs'!$B$6/2)^2))))*'Results'!$B$8))),"")</x:f>
        <x:v>0.8187270123336376</x:v>
      </x:c>
      <x:c r="P849" t="n">
        <x:f>IF(AND(MAX(J849,J848)&gt;0,J849&gt;J848+0.00000001),1,0)</x:f>
        <x:v>0</x:v>
      </x:c>
      <x:c r="Q849" t="n">
        <x:f>IF(AND(MAX(K849,K848)&gt;0,K849&gt;K848+0.00000001),1,0)</x:f>
        <x:v>0</x:v>
      </x:c>
      <x:c r="R849" t="n">
        <x:f>IF(AND(MAX(L849,L848)&gt;0,L849&gt;L848+0.00000001),1,0)</x:f>
        <x:v>0</x:v>
      </x:c>
      <x:c r="S849" t="n">
        <x:f>IF(AND(MAX(M849,M848)&gt;0,M849&gt;M848+0.00000001),1,0)</x:f>
        <x:v>0</x:v>
      </x:c>
      <x:c r="T849" t="n">
        <x:f>IF(AND(MAX(N849,N848)&gt;0,N849&gt;N848+0.00000001),1,0)</x:f>
        <x:v>0</x:v>
      </x:c>
      <x:c r="U849" t="n">
        <x:f>IF(AND(MAX(O849,O848)&gt;0,O849&gt;O848+0.00000001),1,0)</x:f>
        <x:v>0</x:v>
      </x:c>
    </x:row>
    <x:row r="850">
      <x:c r="J850" t="n">
        <x:f>IF(AND(ISNUMBER('Results'!B7),ISNUMBER('Results'!C7),ISNUMBER('Results'!$B$8),ISNUMBER('Inputs'!$B$6),ISNUMBER('Inputs'!$B$7),ISNUMBER('Inputs'!$B$8),ISNUMBER('Inputs'!$B$9),ISNUMBER('Inputs'!$B$10),ISNUMBER('Inputs'!$B$21),ISNUMBER('Inputs'!$B$24),ISNUMBER('Inputs'!$B$28)),(('Results'!B7*(0.5*((((850-43)*MAX('Inputs'!$B$33,'Inputs'!$B$29+'Inputs'!$B$31+'Inputs'!$B$32,'Inputs'!$B$30+'Inputs'!$B$31+'Inputs'!$B$32)/1000+'Inputs'!$B$21)+'Inputs'!$B$7)/SQRT((((850-43)*MAX('Inputs'!$B$33,'Inputs'!$B$29+'Inputs'!$B$31+'Inputs'!$B$32,'Inputs'!$B$30+'Inputs'!$B$31+'Inputs'!$B$32)/1000+'Inputs'!$B$21)+'Inputs'!$B$7)^2+('Inputs'!$B$6/2)^2)-(((850-43)*MAX('Inputs'!$B$33,'Inputs'!$B$29+'Inputs'!$B$31+'Inputs'!$B$32,'Inputs'!$B$30+'Inputs'!$B$31+'Inputs'!$B$32)/1000+'Inputs'!$B$21))/SQRT((((850-43)*MAX('Inputs'!$B$33,'Inputs'!$B$29+'Inputs'!$B$31+'Inputs'!$B$32,'Inputs'!$B$30+'Inputs'!$B$31+'Inputs'!$B$32)/1000+'Inputs'!$B$21))^2+('Inputs'!$B$6/2)^2)))-'Results'!C7*(0.5*((((850-43)*MAX('Inputs'!$B$33,'Inputs'!$B$29+'Inputs'!$B$31+'Inputs'!$B$32,'Inputs'!$B$30+'Inputs'!$B$31+'Inputs'!$B$32)/1000+'Inputs'!$B$21+'Inputs'!$B$7+'Inputs'!$B$10)+'Inputs'!$B$9)/SQRT((((850-43)*MAX('Inputs'!$B$33,'Inputs'!$B$29+'Inputs'!$B$31+'Inputs'!$B$32,'Inputs'!$B$30+'Inputs'!$B$31+'Inputs'!$B$32)/1000+'Inputs'!$B$21+'Inputs'!$B$7+'Inputs'!$B$10)+'Inputs'!$B$9)^2+('Inputs'!$B$8/2)^2)-(((850-43)*MAX('Inputs'!$B$33,'Inputs'!$B$29+'Inputs'!$B$31+'Inputs'!$B$32,'Inputs'!$B$30+'Inputs'!$B$31+'Inputs'!$B$32)/1000+'Inputs'!$B$21+'Inputs'!$B$7+'Inputs'!$B$10))/SQRT((((850-43)*MAX('Inputs'!$B$33,'Inputs'!$B$29+'Inputs'!$B$31+'Inputs'!$B$32,'Inputs'!$B$30+'Inputs'!$B$31+'Inputs'!$B$32)/1000+'Inputs'!$B$21+'Inputs'!$B$7+'Inputs'!$B$10))^2+('Inputs'!$B$8/2)^2))))*'Results'!$B$8),"")</x:f>
        <x:v>0.777198566181636</x:v>
      </x:c>
      <x:c r="K850" t="n">
        <x:f>IF(AND(ISNUMBER('Results'!B7),ISNUMBER('Results'!C7),ISNUMBER('Results'!$B$8),ISNUMBER('Inputs'!$B$6),ISNUMBER('Inputs'!$B$7),ISNUMBER('Inputs'!$B$8),ISNUMBER('Inputs'!$B$9),ISNUMBER('Inputs'!$B$10),ISNUMBER('Inputs'!$B$21),ISNUMBER('Inputs'!$B$24),ISNUMBER('Inputs'!$B$28)),((('Results'!B7*(1-'Inputs'!$B$24)*(0.5*((((850-43)*MAX('Inputs'!$B$33,'Inputs'!$B$29+'Inputs'!$B$31+'Inputs'!$B$32,'Inputs'!$B$30+'Inputs'!$B$31+'Inputs'!$B$32)/1000+'Inputs'!$B$21)+'Inputs'!$B$7)/SQRT((((850-43)*MAX('Inputs'!$B$33,'Inputs'!$B$29+'Inputs'!$B$31+'Inputs'!$B$32,'Inputs'!$B$30+'Inputs'!$B$31+'Inputs'!$B$32)/1000+'Inputs'!$B$21)+'Inputs'!$B$7)^2+('Inputs'!$B$6/2)^2)-(((850-43)*MAX('Inputs'!$B$33,'Inputs'!$B$29+'Inputs'!$B$31+'Inputs'!$B$32,'Inputs'!$B$30+'Inputs'!$B$31+'Inputs'!$B$32)/1000+'Inputs'!$B$21))/SQRT((((850-43)*MAX('Inputs'!$B$33,'Inputs'!$B$29+'Inputs'!$B$31+'Inputs'!$B$32,'Inputs'!$B$30+'Inputs'!$B$31+'Inputs'!$B$32)/1000+'Inputs'!$B$21))^2+('Inputs'!$B$6/2)^2)))-'Results'!C7*(1+'Inputs'!$B$24)*(0.5*((((850-43)*MAX('Inputs'!$B$33,'Inputs'!$B$29+'Inputs'!$B$31+'Inputs'!$B$32,'Inputs'!$B$30+'Inputs'!$B$31+'Inputs'!$B$32)/1000+'Inputs'!$B$21+'Inputs'!$B$7+'Inputs'!$B$10)+'Inputs'!$B$9)/SQRT((((850-43)*MAX('Inputs'!$B$33,'Inputs'!$B$29+'Inputs'!$B$31+'Inputs'!$B$32,'Inputs'!$B$30+'Inputs'!$B$31+'Inputs'!$B$32)/1000+'Inputs'!$B$21+'Inputs'!$B$7+'Inputs'!$B$10)+'Inputs'!$B$9)^2+('Inputs'!$B$8/2)^2)-(((850-43)*MAX('Inputs'!$B$33,'Inputs'!$B$29+'Inputs'!$B$31+'Inputs'!$B$32,'Inputs'!$B$30+'Inputs'!$B$31+'Inputs'!$B$32)/1000+'Inputs'!$B$21+'Inputs'!$B$7+'Inputs'!$B$10))/SQRT((((850-43)*MAX('Inputs'!$B$33,'Inputs'!$B$29+'Inputs'!$B$31+'Inputs'!$B$32,'Inputs'!$B$30+'Inputs'!$B$31+'Inputs'!$B$32)/1000+'Inputs'!$B$21+'Inputs'!$B$7+'Inputs'!$B$10))^2+('Inputs'!$B$8/2)^2))))*'Results'!$B$8)-'Inputs'!$B$28*ABS((('Results'!B7*(1-'Inputs'!$B$24)*(0.5*((((850-43)*MAX('Inputs'!$B$33,'Inputs'!$B$29+'Inputs'!$B$31+'Inputs'!$B$32,'Inputs'!$B$30+'Inputs'!$B$31+'Inputs'!$B$32)/1000+'Inputs'!$B$21)+'Inputs'!$B$7)/SQRT((((850-43)*MAX('Inputs'!$B$33,'Inputs'!$B$29+'Inputs'!$B$31+'Inputs'!$B$32,'Inputs'!$B$30+'Inputs'!$B$31+'Inputs'!$B$32)/1000+'Inputs'!$B$21)+'Inputs'!$B$7)^2+('Inputs'!$B$6/2)^2)-(((850-43)*MAX('Inputs'!$B$33,'Inputs'!$B$29+'Inputs'!$B$31+'Inputs'!$B$32,'Inputs'!$B$30+'Inputs'!$B$31+'Inputs'!$B$32)/1000+'Inputs'!$B$21))/SQRT((((850-43)*MAX('Inputs'!$B$33,'Inputs'!$B$29+'Inputs'!$B$31+'Inputs'!$B$32,'Inputs'!$B$30+'Inputs'!$B$31+'Inputs'!$B$32)/1000+'Inputs'!$B$21))^2+('Inputs'!$B$6/2)^2)))-'Results'!C7*(1+'Inputs'!$B$24)*(0.5*((((850-43)*MAX('Inputs'!$B$33,'Inputs'!$B$29+'Inputs'!$B$31+'Inputs'!$B$32,'Inputs'!$B$30+'Inputs'!$B$31+'Inputs'!$B$32)/1000+'Inputs'!$B$21+'Inputs'!$B$7+'Inputs'!$B$10)+'Inputs'!$B$9)/SQRT((((850-43)*MAX('Inputs'!$B$33,'Inputs'!$B$29+'Inputs'!$B$31+'Inputs'!$B$32,'Inputs'!$B$30+'Inputs'!$B$31+'Inputs'!$B$32)/1000+'Inputs'!$B$21+'Inputs'!$B$7+'Inputs'!$B$10)+'Inputs'!$B$9)^2+('Inputs'!$B$8/2)^2)-(((850-43)*MAX('Inputs'!$B$33,'Inputs'!$B$29+'Inputs'!$B$31+'Inputs'!$B$32,'Inputs'!$B$30+'Inputs'!$B$31+'Inputs'!$B$32)/1000+'Inputs'!$B$21+'Inputs'!$B$7+'Inputs'!$B$10))/SQRT((((850-43)*MAX('Inputs'!$B$33,'Inputs'!$B$29+'Inputs'!$B$31+'Inputs'!$B$32,'Inputs'!$B$30+'Inputs'!$B$31+'Inputs'!$B$32)/1000+'Inputs'!$B$21+'Inputs'!$B$7+'Inputs'!$B$10))^2+('Inputs'!$B$8/2)^2))))*'Results'!$B$8))),"")</x:f>
        <x:v>0.6647749022052976</x:v>
      </x:c>
      <x:c r="L850" t="n">
        <x:f>IF(AND(ISNUMBER('Results'!B7),ISNUMBER('Results'!C7),ISNUMBER('Results'!$B$8),ISNUMBER('Inputs'!$B$6),ISNUMBER('Inputs'!$B$7),ISNUMBER('Inputs'!$B$8),ISNUMBER('Inputs'!$B$9),ISNUMBER('Inputs'!$B$10),ISNUMBER('Inputs'!$B$21),ISNUMBER('Inputs'!$B$24),ISNUMBER('Inputs'!$B$28)),((('Results'!B7*(1+'Inputs'!$B$24)*(0.5*((((850-43)*MAX('Inputs'!$B$33,'Inputs'!$B$29+'Inputs'!$B$31+'Inputs'!$B$32,'Inputs'!$B$30+'Inputs'!$B$31+'Inputs'!$B$32)/1000+'Inputs'!$B$21)+'Inputs'!$B$7)/SQRT((((850-43)*MAX('Inputs'!$B$33,'Inputs'!$B$29+'Inputs'!$B$31+'Inputs'!$B$32,'Inputs'!$B$30+'Inputs'!$B$31+'Inputs'!$B$32)/1000+'Inputs'!$B$21)+'Inputs'!$B$7)^2+('Inputs'!$B$6/2)^2)-(((850-43)*MAX('Inputs'!$B$33,'Inputs'!$B$29+'Inputs'!$B$31+'Inputs'!$B$32,'Inputs'!$B$30+'Inputs'!$B$31+'Inputs'!$B$32)/1000+'Inputs'!$B$21))/SQRT((((850-43)*MAX('Inputs'!$B$33,'Inputs'!$B$29+'Inputs'!$B$31+'Inputs'!$B$32,'Inputs'!$B$30+'Inputs'!$B$31+'Inputs'!$B$32)/1000+'Inputs'!$B$21))^2+('Inputs'!$B$6/2)^2)))-'Results'!C7*(1-'Inputs'!$B$24)*(0.5*((((850-43)*MAX('Inputs'!$B$33,'Inputs'!$B$29+'Inputs'!$B$31+'Inputs'!$B$32,'Inputs'!$B$30+'Inputs'!$B$31+'Inputs'!$B$32)/1000+'Inputs'!$B$21+'Inputs'!$B$7+'Inputs'!$B$10)+'Inputs'!$B$9)/SQRT((((850-43)*MAX('Inputs'!$B$33,'Inputs'!$B$29+'Inputs'!$B$31+'Inputs'!$B$32,'Inputs'!$B$30+'Inputs'!$B$31+'Inputs'!$B$32)/1000+'Inputs'!$B$21+'Inputs'!$B$7+'Inputs'!$B$10)+'Inputs'!$B$9)^2+('Inputs'!$B$8/2)^2)-(((850-43)*MAX('Inputs'!$B$33,'Inputs'!$B$29+'Inputs'!$B$31+'Inputs'!$B$32,'Inputs'!$B$30+'Inputs'!$B$31+'Inputs'!$B$32)/1000+'Inputs'!$B$21+'Inputs'!$B$7+'Inputs'!$B$10))/SQRT((((850-43)*MAX('Inputs'!$B$33,'Inputs'!$B$29+'Inputs'!$B$31+'Inputs'!$B$32,'Inputs'!$B$30+'Inputs'!$B$31+'Inputs'!$B$32)/1000+'Inputs'!$B$21+'Inputs'!$B$7+'Inputs'!$B$10))^2+('Inputs'!$B$8/2)^2))))*'Results'!$B$8)+'Inputs'!$B$28*ABS((('Results'!B7*(1+'Inputs'!$B$24)*(0.5*((((850-43)*MAX('Inputs'!$B$33,'Inputs'!$B$29+'Inputs'!$B$31+'Inputs'!$B$32,'Inputs'!$B$30+'Inputs'!$B$31+'Inputs'!$B$32)/1000+'Inputs'!$B$21)+'Inputs'!$B$7)/SQRT((((850-43)*MAX('Inputs'!$B$33,'Inputs'!$B$29+'Inputs'!$B$31+'Inputs'!$B$32,'Inputs'!$B$30+'Inputs'!$B$31+'Inputs'!$B$32)/1000+'Inputs'!$B$21)+'Inputs'!$B$7)^2+('Inputs'!$B$6/2)^2)-(((850-43)*MAX('Inputs'!$B$33,'Inputs'!$B$29+'Inputs'!$B$31+'Inputs'!$B$32,'Inputs'!$B$30+'Inputs'!$B$31+'Inputs'!$B$32)/1000+'Inputs'!$B$21))/SQRT((((850-43)*MAX('Inputs'!$B$33,'Inputs'!$B$29+'Inputs'!$B$31+'Inputs'!$B$32,'Inputs'!$B$30+'Inputs'!$B$31+'Inputs'!$B$32)/1000+'Inputs'!$B$21))^2+('Inputs'!$B$6/2)^2)))-'Results'!C7*(1-'Inputs'!$B$24)*(0.5*((((850-43)*MAX('Inputs'!$B$33,'Inputs'!$B$29+'Inputs'!$B$31+'Inputs'!$B$32,'Inputs'!$B$30+'Inputs'!$B$31+'Inputs'!$B$32)/1000+'Inputs'!$B$21+'Inputs'!$B$7+'Inputs'!$B$10)+'Inputs'!$B$9)/SQRT((((850-43)*MAX('Inputs'!$B$33,'Inputs'!$B$29+'Inputs'!$B$31+'Inputs'!$B$32,'Inputs'!$B$30+'Inputs'!$B$31+'Inputs'!$B$32)/1000+'Inputs'!$B$21+'Inputs'!$B$7+'Inputs'!$B$10)+'Inputs'!$B$9)^2+('Inputs'!$B$8/2)^2)-(((850-43)*MAX('Inputs'!$B$33,'Inputs'!$B$29+'Inputs'!$B$31+'Inputs'!$B$32,'Inputs'!$B$30+'Inputs'!$B$31+'Inputs'!$B$32)/1000+'Inputs'!$B$21+'Inputs'!$B$7+'Inputs'!$B$10))/SQRT((((850-43)*MAX('Inputs'!$B$33,'Inputs'!$B$29+'Inputs'!$B$31+'Inputs'!$B$32,'Inputs'!$B$30+'Inputs'!$B$31+'Inputs'!$B$32)/1000+'Inputs'!$B$21+'Inputs'!$B$7+'Inputs'!$B$10))^2+('Inputs'!$B$8/2)^2))))*'Results'!$B$8))),"")</x:f>
        <x:v>0.8973657812808438</x:v>
      </x:c>
      <x:c r="M850" t="n">
        <x:f>IF(AND(ISNUMBER('Results'!C7),ISNUMBER('Results'!B7),ISNUMBER('Results'!$B$8),ISNUMBER('Inputs'!$B$6),ISNUMBER('Inputs'!$B$7),ISNUMBER('Inputs'!$B$8),ISNUMBER('Inputs'!$B$9),ISNUMBER('Inputs'!$B$10),ISNUMBER('Inputs'!$B$21),ISNUMBER('Inputs'!$B$24),ISNUMBER('Inputs'!$B$28)),(('Results'!C7*(0.5*((((850-43)*MAX('Inputs'!$B$33,'Inputs'!$B$29+'Inputs'!$B$31+'Inputs'!$B$32,'Inputs'!$B$30+'Inputs'!$B$31+'Inputs'!$B$32)/1000+'Inputs'!$B$21)+'Inputs'!$B$9)/SQRT((((850-43)*MAX('Inputs'!$B$33,'Inputs'!$B$29+'Inputs'!$B$31+'Inputs'!$B$32,'Inputs'!$B$30+'Inputs'!$B$31+'Inputs'!$B$32)/1000+'Inputs'!$B$21)+'Inputs'!$B$9)^2+('Inputs'!$B$8/2)^2)-(((850-43)*MAX('Inputs'!$B$33,'Inputs'!$B$29+'Inputs'!$B$31+'Inputs'!$B$32,'Inputs'!$B$30+'Inputs'!$B$31+'Inputs'!$B$32)/1000+'Inputs'!$B$21))/SQRT((((850-43)*MAX('Inputs'!$B$33,'Inputs'!$B$29+'Inputs'!$B$31+'Inputs'!$B$32,'Inputs'!$B$30+'Inputs'!$B$31+'Inputs'!$B$32)/1000+'Inputs'!$B$21))^2+('Inputs'!$B$8/2)^2)))-'Results'!B7*(0.5*((((850-43)*MAX('Inputs'!$B$33,'Inputs'!$B$29+'Inputs'!$B$31+'Inputs'!$B$32,'Inputs'!$B$30+'Inputs'!$B$31+'Inputs'!$B$32)/1000+'Inputs'!$B$21+'Inputs'!$B$9+'Inputs'!$B$10)+'Inputs'!$B$7)/SQRT((((850-43)*MAX('Inputs'!$B$33,'Inputs'!$B$29+'Inputs'!$B$31+'Inputs'!$B$32,'Inputs'!$B$30+'Inputs'!$B$31+'Inputs'!$B$32)/1000+'Inputs'!$B$21+'Inputs'!$B$9+'Inputs'!$B$10)+'Inputs'!$B$7)^2+('Inputs'!$B$6/2)^2)-(((850-43)*MAX('Inputs'!$B$33,'Inputs'!$B$29+'Inputs'!$B$31+'Inputs'!$B$32,'Inputs'!$B$30+'Inputs'!$B$31+'Inputs'!$B$32)/1000+'Inputs'!$B$21+'Inputs'!$B$9+'Inputs'!$B$10))/SQRT((((850-43)*MAX('Inputs'!$B$33,'Inputs'!$B$29+'Inputs'!$B$31+'Inputs'!$B$32,'Inputs'!$B$30+'Inputs'!$B$31+'Inputs'!$B$32)/1000+'Inputs'!$B$21+'Inputs'!$B$9+'Inputs'!$B$10))^2+('Inputs'!$B$6/2)^2))))*'Results'!$B$8),"")</x:f>
        <x:v>0.699131508627383</x:v>
      </x:c>
      <x:c r="N850" t="n">
        <x:f>IF(AND(ISNUMBER('Results'!C7),ISNUMBER('Results'!B7),ISNUMBER('Results'!$B$8),ISNUMBER('Inputs'!$B$6),ISNUMBER('Inputs'!$B$7),ISNUMBER('Inputs'!$B$8),ISNUMBER('Inputs'!$B$9),ISNUMBER('Inputs'!$B$10),ISNUMBER('Inputs'!$B$21),ISNUMBER('Inputs'!$B$24),ISNUMBER('Inputs'!$B$28)),((('Results'!C7*(1-'Inputs'!$B$24)*(0.5*((((850-43)*MAX('Inputs'!$B$33,'Inputs'!$B$29+'Inputs'!$B$31+'Inputs'!$B$32,'Inputs'!$B$30+'Inputs'!$B$31+'Inputs'!$B$32)/1000+'Inputs'!$B$21)+'Inputs'!$B$9)/SQRT((((850-43)*MAX('Inputs'!$B$33,'Inputs'!$B$29+'Inputs'!$B$31+'Inputs'!$B$32,'Inputs'!$B$30+'Inputs'!$B$31+'Inputs'!$B$32)/1000+'Inputs'!$B$21)+'Inputs'!$B$9)^2+('Inputs'!$B$8/2)^2)-(((850-43)*MAX('Inputs'!$B$33,'Inputs'!$B$29+'Inputs'!$B$31+'Inputs'!$B$32,'Inputs'!$B$30+'Inputs'!$B$31+'Inputs'!$B$32)/1000+'Inputs'!$B$21))/SQRT((((850-43)*MAX('Inputs'!$B$33,'Inputs'!$B$29+'Inputs'!$B$31+'Inputs'!$B$32,'Inputs'!$B$30+'Inputs'!$B$31+'Inputs'!$B$32)/1000+'Inputs'!$B$21))^2+('Inputs'!$B$8/2)^2)))-'Results'!B7*(1+'Inputs'!$B$24)*(0.5*((((850-43)*MAX('Inputs'!$B$33,'Inputs'!$B$29+'Inputs'!$B$31+'Inputs'!$B$32,'Inputs'!$B$30+'Inputs'!$B$31+'Inputs'!$B$32)/1000+'Inputs'!$B$21+'Inputs'!$B$9+'Inputs'!$B$10)+'Inputs'!$B$7)/SQRT((((850-43)*MAX('Inputs'!$B$33,'Inputs'!$B$29+'Inputs'!$B$31+'Inputs'!$B$32,'Inputs'!$B$30+'Inputs'!$B$31+'Inputs'!$B$32)/1000+'Inputs'!$B$21+'Inputs'!$B$9+'Inputs'!$B$10)+'Inputs'!$B$7)^2+('Inputs'!$B$6/2)^2)-(((850-43)*MAX('Inputs'!$B$33,'Inputs'!$B$29+'Inputs'!$B$31+'Inputs'!$B$32,'Inputs'!$B$30+'Inputs'!$B$31+'Inputs'!$B$32)/1000+'Inputs'!$B$21+'Inputs'!$B$9+'Inputs'!$B$10))/SQRT((((850-43)*MAX('Inputs'!$B$33,'Inputs'!$B$29+'Inputs'!$B$31+'Inputs'!$B$32,'Inputs'!$B$30+'Inputs'!$B$31+'Inputs'!$B$32)/1000+'Inputs'!$B$21+'Inputs'!$B$9+'Inputs'!$B$10))^2+('Inputs'!$B$6/2)^2))))*'Results'!$B$8)-'Inputs'!$B$28*ABS((('Results'!C7*(1-'Inputs'!$B$24)*(0.5*((((850-43)*MAX('Inputs'!$B$33,'Inputs'!$B$29+'Inputs'!$B$31+'Inputs'!$B$32,'Inputs'!$B$30+'Inputs'!$B$31+'Inputs'!$B$32)/1000+'Inputs'!$B$21)+'Inputs'!$B$9)/SQRT((((850-43)*MAX('Inputs'!$B$33,'Inputs'!$B$29+'Inputs'!$B$31+'Inputs'!$B$32,'Inputs'!$B$30+'Inputs'!$B$31+'Inputs'!$B$32)/1000+'Inputs'!$B$21)+'Inputs'!$B$9)^2+('Inputs'!$B$8/2)^2)-(((850-43)*MAX('Inputs'!$B$33,'Inputs'!$B$29+'Inputs'!$B$31+'Inputs'!$B$32,'Inputs'!$B$30+'Inputs'!$B$31+'Inputs'!$B$32)/1000+'Inputs'!$B$21))/SQRT((((850-43)*MAX('Inputs'!$B$33,'Inputs'!$B$29+'Inputs'!$B$31+'Inputs'!$B$32,'Inputs'!$B$30+'Inputs'!$B$31+'Inputs'!$B$32)/1000+'Inputs'!$B$21))^2+('Inputs'!$B$8/2)^2)))-'Results'!B7*(1+'Inputs'!$B$24)*(0.5*((((850-43)*MAX('Inputs'!$B$33,'Inputs'!$B$29+'Inputs'!$B$31+'Inputs'!$B$32,'Inputs'!$B$30+'Inputs'!$B$31+'Inputs'!$B$32)/1000+'Inputs'!$B$21+'Inputs'!$B$9+'Inputs'!$B$10)+'Inputs'!$B$7)/SQRT((((850-43)*MAX('Inputs'!$B$33,'Inputs'!$B$29+'Inputs'!$B$31+'Inputs'!$B$32,'Inputs'!$B$30+'Inputs'!$B$31+'Inputs'!$B$32)/1000+'Inputs'!$B$21+'Inputs'!$B$9+'Inputs'!$B$10)+'Inputs'!$B$7)^2+('Inputs'!$B$6/2)^2)-(((850-43)*MAX('Inputs'!$B$33,'Inputs'!$B$29+'Inputs'!$B$31+'Inputs'!$B$32,'Inputs'!$B$30+'Inputs'!$B$31+'Inputs'!$B$32)/1000+'Inputs'!$B$21+'Inputs'!$B$9+'Inputs'!$B$10))/SQRT((((850-43)*MAX('Inputs'!$B$33,'Inputs'!$B$29+'Inputs'!$B$31+'Inputs'!$B$32,'Inputs'!$B$30+'Inputs'!$B$31+'Inputs'!$B$32)/1000+'Inputs'!$B$21+'Inputs'!$B$9+'Inputs'!$B$10))^2+('Inputs'!$B$6/2)^2))))*'Results'!$B$8))),"")</x:f>
        <x:v>0.5908945336037201</x:v>
      </x:c>
      <x:c r="O850" t="n">
        <x:f>IF(AND(ISNUMBER('Results'!C7),ISNUMBER('Results'!B7),ISNUMBER('Results'!$B$8),ISNUMBER('Inputs'!$B$6),ISNUMBER('Inputs'!$B$7),ISNUMBER('Inputs'!$B$8),ISNUMBER('Inputs'!$B$9),ISNUMBER('Inputs'!$B$10),ISNUMBER('Inputs'!$B$21),ISNUMBER('Inputs'!$B$24),ISNUMBER('Inputs'!$B$28)),((('Results'!C7*(1+'Inputs'!$B$24)*(0.5*((((850-43)*MAX('Inputs'!$B$33,'Inputs'!$B$29+'Inputs'!$B$31+'Inputs'!$B$32,'Inputs'!$B$30+'Inputs'!$B$31+'Inputs'!$B$32)/1000+'Inputs'!$B$21)+'Inputs'!$B$9)/SQRT((((850-43)*MAX('Inputs'!$B$33,'Inputs'!$B$29+'Inputs'!$B$31+'Inputs'!$B$32,'Inputs'!$B$30+'Inputs'!$B$31+'Inputs'!$B$32)/1000+'Inputs'!$B$21)+'Inputs'!$B$9)^2+('Inputs'!$B$8/2)^2)-(((850-43)*MAX('Inputs'!$B$33,'Inputs'!$B$29+'Inputs'!$B$31+'Inputs'!$B$32,'Inputs'!$B$30+'Inputs'!$B$31+'Inputs'!$B$32)/1000+'Inputs'!$B$21))/SQRT((((850-43)*MAX('Inputs'!$B$33,'Inputs'!$B$29+'Inputs'!$B$31+'Inputs'!$B$32,'Inputs'!$B$30+'Inputs'!$B$31+'Inputs'!$B$32)/1000+'Inputs'!$B$21))^2+('Inputs'!$B$8/2)^2)))-'Results'!B7*(1-'Inputs'!$B$24)*(0.5*((((850-43)*MAX('Inputs'!$B$33,'Inputs'!$B$29+'Inputs'!$B$31+'Inputs'!$B$32,'Inputs'!$B$30+'Inputs'!$B$31+'Inputs'!$B$32)/1000+'Inputs'!$B$21+'Inputs'!$B$9+'Inputs'!$B$10)+'Inputs'!$B$7)/SQRT((((850-43)*MAX('Inputs'!$B$33,'Inputs'!$B$29+'Inputs'!$B$31+'Inputs'!$B$32,'Inputs'!$B$30+'Inputs'!$B$31+'Inputs'!$B$32)/1000+'Inputs'!$B$21+'Inputs'!$B$9+'Inputs'!$B$10)+'Inputs'!$B$7)^2+('Inputs'!$B$6/2)^2)-(((850-43)*MAX('Inputs'!$B$33,'Inputs'!$B$29+'Inputs'!$B$31+'Inputs'!$B$32,'Inputs'!$B$30+'Inputs'!$B$31+'Inputs'!$B$32)/1000+'Inputs'!$B$21+'Inputs'!$B$9+'Inputs'!$B$10))/SQRT((((850-43)*MAX('Inputs'!$B$33,'Inputs'!$B$29+'Inputs'!$B$31+'Inputs'!$B$32,'Inputs'!$B$30+'Inputs'!$B$31+'Inputs'!$B$32)/1000+'Inputs'!$B$21+'Inputs'!$B$9+'Inputs'!$B$10))^2+('Inputs'!$B$6/2)^2))))*'Results'!$B$8)+'Inputs'!$B$28*ABS((('Results'!C7*(1+'Inputs'!$B$24)*(0.5*((((850-43)*MAX('Inputs'!$B$33,'Inputs'!$B$29+'Inputs'!$B$31+'Inputs'!$B$32,'Inputs'!$B$30+'Inputs'!$B$31+'Inputs'!$B$32)/1000+'Inputs'!$B$21)+'Inputs'!$B$9)/SQRT((((850-43)*MAX('Inputs'!$B$33,'Inputs'!$B$29+'Inputs'!$B$31+'Inputs'!$B$32,'Inputs'!$B$30+'Inputs'!$B$31+'Inputs'!$B$32)/1000+'Inputs'!$B$21)+'Inputs'!$B$9)^2+('Inputs'!$B$8/2)^2)-(((850-43)*MAX('Inputs'!$B$33,'Inputs'!$B$29+'Inputs'!$B$31+'Inputs'!$B$32,'Inputs'!$B$30+'Inputs'!$B$31+'Inputs'!$B$32)/1000+'Inputs'!$B$21))/SQRT((((850-43)*MAX('Inputs'!$B$33,'Inputs'!$B$29+'Inputs'!$B$31+'Inputs'!$B$32,'Inputs'!$B$30+'Inputs'!$B$31+'Inputs'!$B$32)/1000+'Inputs'!$B$21))^2+('Inputs'!$B$8/2)^2)))-'Results'!B7*(1-'Inputs'!$B$24)*(0.5*((((850-43)*MAX('Inputs'!$B$33,'Inputs'!$B$29+'Inputs'!$B$31+'Inputs'!$B$32,'Inputs'!$B$30+'Inputs'!$B$31+'Inputs'!$B$32)/1000+'Inputs'!$B$21+'Inputs'!$B$9+'Inputs'!$B$10)+'Inputs'!$B$7)/SQRT((((850-43)*MAX('Inputs'!$B$33,'Inputs'!$B$29+'Inputs'!$B$31+'Inputs'!$B$32,'Inputs'!$B$30+'Inputs'!$B$31+'Inputs'!$B$32)/1000+'Inputs'!$B$21+'Inputs'!$B$9+'Inputs'!$B$10)+'Inputs'!$B$7)^2+('Inputs'!$B$6/2)^2)-(((850-43)*MAX('Inputs'!$B$33,'Inputs'!$B$29+'Inputs'!$B$31+'Inputs'!$B$32,'Inputs'!$B$30+'Inputs'!$B$31+'Inputs'!$B$32)/1000+'Inputs'!$B$21+'Inputs'!$B$9+'Inputs'!$B$10))/SQRT((((850-43)*MAX('Inputs'!$B$33,'Inputs'!$B$29+'Inputs'!$B$31+'Inputs'!$B$32,'Inputs'!$B$30+'Inputs'!$B$31+'Inputs'!$B$32)/1000+'Inputs'!$B$21+'Inputs'!$B$9+'Inputs'!$B$10))^2+('Inputs'!$B$6/2)^2))))*'Results'!$B$8))),"")</x:f>
        <x:v>0.8150822099239184</x:v>
      </x:c>
      <x:c r="P850" t="n">
        <x:f>IF(AND(MAX(J850,J849)&gt;0,J850&gt;J849+0.00000001),1,0)</x:f>
        <x:v>0</x:v>
      </x:c>
      <x:c r="Q850" t="n">
        <x:f>IF(AND(MAX(K850,K849)&gt;0,K850&gt;K849+0.00000001),1,0)</x:f>
        <x:v>0</x:v>
      </x:c>
      <x:c r="R850" t="n">
        <x:f>IF(AND(MAX(L850,L849)&gt;0,L850&gt;L849+0.00000001),1,0)</x:f>
        <x:v>0</x:v>
      </x:c>
      <x:c r="S850" t="n">
        <x:f>IF(AND(MAX(M850,M849)&gt;0,M850&gt;M849+0.00000001),1,0)</x:f>
        <x:v>0</x:v>
      </x:c>
      <x:c r="T850" t="n">
        <x:f>IF(AND(MAX(N850,N849)&gt;0,N850&gt;N849+0.00000001),1,0)</x:f>
        <x:v>0</x:v>
      </x:c>
      <x:c r="U850" t="n">
        <x:f>IF(AND(MAX(O850,O849)&gt;0,O850&gt;O849+0.00000001),1,0)</x:f>
        <x:v>0</x:v>
      </x:c>
    </x:row>
    <x:row r="851">
      <x:c r="J851" t="n">
        <x:f>IF(AND(ISNUMBER('Results'!B7),ISNUMBER('Results'!C7),ISNUMBER('Results'!$B$8),ISNUMBER('Inputs'!$B$6),ISNUMBER('Inputs'!$B$7),ISNUMBER('Inputs'!$B$8),ISNUMBER('Inputs'!$B$9),ISNUMBER('Inputs'!$B$10),ISNUMBER('Inputs'!$B$21),ISNUMBER('Inputs'!$B$24),ISNUMBER('Inputs'!$B$28)),(('Results'!B7*(0.5*((((851-43)*MAX('Inputs'!$B$33,'Inputs'!$B$29+'Inputs'!$B$31+'Inputs'!$B$32,'Inputs'!$B$30+'Inputs'!$B$31+'Inputs'!$B$32)/1000+'Inputs'!$B$21)+'Inputs'!$B$7)/SQRT((((851-43)*MAX('Inputs'!$B$33,'Inputs'!$B$29+'Inputs'!$B$31+'Inputs'!$B$32,'Inputs'!$B$30+'Inputs'!$B$31+'Inputs'!$B$32)/1000+'Inputs'!$B$21)+'Inputs'!$B$7)^2+('Inputs'!$B$6/2)^2)-(((851-43)*MAX('Inputs'!$B$33,'Inputs'!$B$29+'Inputs'!$B$31+'Inputs'!$B$32,'Inputs'!$B$30+'Inputs'!$B$31+'Inputs'!$B$32)/1000+'Inputs'!$B$21))/SQRT((((851-43)*MAX('Inputs'!$B$33,'Inputs'!$B$29+'Inputs'!$B$31+'Inputs'!$B$32,'Inputs'!$B$30+'Inputs'!$B$31+'Inputs'!$B$32)/1000+'Inputs'!$B$21))^2+('Inputs'!$B$6/2)^2)))-'Results'!C7*(0.5*((((851-43)*MAX('Inputs'!$B$33,'Inputs'!$B$29+'Inputs'!$B$31+'Inputs'!$B$32,'Inputs'!$B$30+'Inputs'!$B$31+'Inputs'!$B$32)/1000+'Inputs'!$B$21+'Inputs'!$B$7+'Inputs'!$B$10)+'Inputs'!$B$9)/SQRT((((851-43)*MAX('Inputs'!$B$33,'Inputs'!$B$29+'Inputs'!$B$31+'Inputs'!$B$32,'Inputs'!$B$30+'Inputs'!$B$31+'Inputs'!$B$32)/1000+'Inputs'!$B$21+'Inputs'!$B$7+'Inputs'!$B$10)+'Inputs'!$B$9)^2+('Inputs'!$B$8/2)^2)-(((851-43)*MAX('Inputs'!$B$33,'Inputs'!$B$29+'Inputs'!$B$31+'Inputs'!$B$32,'Inputs'!$B$30+'Inputs'!$B$31+'Inputs'!$B$32)/1000+'Inputs'!$B$21+'Inputs'!$B$7+'Inputs'!$B$10))/SQRT((((851-43)*MAX('Inputs'!$B$33,'Inputs'!$B$29+'Inputs'!$B$31+'Inputs'!$B$32,'Inputs'!$B$30+'Inputs'!$B$31+'Inputs'!$B$32)/1000+'Inputs'!$B$21+'Inputs'!$B$7+'Inputs'!$B$10))^2+('Inputs'!$B$8/2)^2))))*'Results'!$B$8),"")</x:f>
        <x:v>0.7737433648219051</x:v>
      </x:c>
      <x:c r="K851" t="n">
        <x:f>IF(AND(ISNUMBER('Results'!B7),ISNUMBER('Results'!C7),ISNUMBER('Results'!$B$8),ISNUMBER('Inputs'!$B$6),ISNUMBER('Inputs'!$B$7),ISNUMBER('Inputs'!$B$8),ISNUMBER('Inputs'!$B$9),ISNUMBER('Inputs'!$B$10),ISNUMBER('Inputs'!$B$21),ISNUMBER('Inputs'!$B$24),ISNUMBER('Inputs'!$B$28)),((('Results'!B7*(1-'Inputs'!$B$24)*(0.5*((((851-43)*MAX('Inputs'!$B$33,'Inputs'!$B$29+'Inputs'!$B$31+'Inputs'!$B$32,'Inputs'!$B$30+'Inputs'!$B$31+'Inputs'!$B$32)/1000+'Inputs'!$B$21)+'Inputs'!$B$7)/SQRT((((851-43)*MAX('Inputs'!$B$33,'Inputs'!$B$29+'Inputs'!$B$31+'Inputs'!$B$32,'Inputs'!$B$30+'Inputs'!$B$31+'Inputs'!$B$32)/1000+'Inputs'!$B$21)+'Inputs'!$B$7)^2+('Inputs'!$B$6/2)^2)-(((851-43)*MAX('Inputs'!$B$33,'Inputs'!$B$29+'Inputs'!$B$31+'Inputs'!$B$32,'Inputs'!$B$30+'Inputs'!$B$31+'Inputs'!$B$32)/1000+'Inputs'!$B$21))/SQRT((((851-43)*MAX('Inputs'!$B$33,'Inputs'!$B$29+'Inputs'!$B$31+'Inputs'!$B$32,'Inputs'!$B$30+'Inputs'!$B$31+'Inputs'!$B$32)/1000+'Inputs'!$B$21))^2+('Inputs'!$B$6/2)^2)))-'Results'!C7*(1+'Inputs'!$B$24)*(0.5*((((851-43)*MAX('Inputs'!$B$33,'Inputs'!$B$29+'Inputs'!$B$31+'Inputs'!$B$32,'Inputs'!$B$30+'Inputs'!$B$31+'Inputs'!$B$32)/1000+'Inputs'!$B$21+'Inputs'!$B$7+'Inputs'!$B$10)+'Inputs'!$B$9)/SQRT((((851-43)*MAX('Inputs'!$B$33,'Inputs'!$B$29+'Inputs'!$B$31+'Inputs'!$B$32,'Inputs'!$B$30+'Inputs'!$B$31+'Inputs'!$B$32)/1000+'Inputs'!$B$21+'Inputs'!$B$7+'Inputs'!$B$10)+'Inputs'!$B$9)^2+('Inputs'!$B$8/2)^2)-(((851-43)*MAX('Inputs'!$B$33,'Inputs'!$B$29+'Inputs'!$B$31+'Inputs'!$B$32,'Inputs'!$B$30+'Inputs'!$B$31+'Inputs'!$B$32)/1000+'Inputs'!$B$21+'Inputs'!$B$7+'Inputs'!$B$10))/SQRT((((851-43)*MAX('Inputs'!$B$33,'Inputs'!$B$29+'Inputs'!$B$31+'Inputs'!$B$32,'Inputs'!$B$30+'Inputs'!$B$31+'Inputs'!$B$32)/1000+'Inputs'!$B$21+'Inputs'!$B$7+'Inputs'!$B$10))^2+('Inputs'!$B$8/2)^2))))*'Results'!$B$8)-'Inputs'!$B$28*ABS((('Results'!B7*(1-'Inputs'!$B$24)*(0.5*((((851-43)*MAX('Inputs'!$B$33,'Inputs'!$B$29+'Inputs'!$B$31+'Inputs'!$B$32,'Inputs'!$B$30+'Inputs'!$B$31+'Inputs'!$B$32)/1000+'Inputs'!$B$21)+'Inputs'!$B$7)/SQRT((((851-43)*MAX('Inputs'!$B$33,'Inputs'!$B$29+'Inputs'!$B$31+'Inputs'!$B$32,'Inputs'!$B$30+'Inputs'!$B$31+'Inputs'!$B$32)/1000+'Inputs'!$B$21)+'Inputs'!$B$7)^2+('Inputs'!$B$6/2)^2)-(((851-43)*MAX('Inputs'!$B$33,'Inputs'!$B$29+'Inputs'!$B$31+'Inputs'!$B$32,'Inputs'!$B$30+'Inputs'!$B$31+'Inputs'!$B$32)/1000+'Inputs'!$B$21))/SQRT((((851-43)*MAX('Inputs'!$B$33,'Inputs'!$B$29+'Inputs'!$B$31+'Inputs'!$B$32,'Inputs'!$B$30+'Inputs'!$B$31+'Inputs'!$B$32)/1000+'Inputs'!$B$21))^2+('Inputs'!$B$6/2)^2)))-'Results'!C7*(1+'Inputs'!$B$24)*(0.5*((((851-43)*MAX('Inputs'!$B$33,'Inputs'!$B$29+'Inputs'!$B$31+'Inputs'!$B$32,'Inputs'!$B$30+'Inputs'!$B$31+'Inputs'!$B$32)/1000+'Inputs'!$B$21+'Inputs'!$B$7+'Inputs'!$B$10)+'Inputs'!$B$9)/SQRT((((851-43)*MAX('Inputs'!$B$33,'Inputs'!$B$29+'Inputs'!$B$31+'Inputs'!$B$32,'Inputs'!$B$30+'Inputs'!$B$31+'Inputs'!$B$32)/1000+'Inputs'!$B$21+'Inputs'!$B$7+'Inputs'!$B$10)+'Inputs'!$B$9)^2+('Inputs'!$B$8/2)^2)-(((851-43)*MAX('Inputs'!$B$33,'Inputs'!$B$29+'Inputs'!$B$31+'Inputs'!$B$32,'Inputs'!$B$30+'Inputs'!$B$31+'Inputs'!$B$32)/1000+'Inputs'!$B$21+'Inputs'!$B$7+'Inputs'!$B$10))/SQRT((((851-43)*MAX('Inputs'!$B$33,'Inputs'!$B$29+'Inputs'!$B$31+'Inputs'!$B$32,'Inputs'!$B$30+'Inputs'!$B$31+'Inputs'!$B$32)/1000+'Inputs'!$B$21+'Inputs'!$B$7+'Inputs'!$B$10))^2+('Inputs'!$B$8/2)^2))))*'Results'!$B$8))),"")</x:f>
        <x:v>0.6617438483681392</x:v>
      </x:c>
      <x:c r="L851" t="n">
        <x:f>IF(AND(ISNUMBER('Results'!B7),ISNUMBER('Results'!C7),ISNUMBER('Results'!$B$8),ISNUMBER('Inputs'!$B$6),ISNUMBER('Inputs'!$B$7),ISNUMBER('Inputs'!$B$8),ISNUMBER('Inputs'!$B$9),ISNUMBER('Inputs'!$B$10),ISNUMBER('Inputs'!$B$21),ISNUMBER('Inputs'!$B$24),ISNUMBER('Inputs'!$B$28)),((('Results'!B7*(1+'Inputs'!$B$24)*(0.5*((((851-43)*MAX('Inputs'!$B$33,'Inputs'!$B$29+'Inputs'!$B$31+'Inputs'!$B$32,'Inputs'!$B$30+'Inputs'!$B$31+'Inputs'!$B$32)/1000+'Inputs'!$B$21)+'Inputs'!$B$7)/SQRT((((851-43)*MAX('Inputs'!$B$33,'Inputs'!$B$29+'Inputs'!$B$31+'Inputs'!$B$32,'Inputs'!$B$30+'Inputs'!$B$31+'Inputs'!$B$32)/1000+'Inputs'!$B$21)+'Inputs'!$B$7)^2+('Inputs'!$B$6/2)^2)-(((851-43)*MAX('Inputs'!$B$33,'Inputs'!$B$29+'Inputs'!$B$31+'Inputs'!$B$32,'Inputs'!$B$30+'Inputs'!$B$31+'Inputs'!$B$32)/1000+'Inputs'!$B$21))/SQRT((((851-43)*MAX('Inputs'!$B$33,'Inputs'!$B$29+'Inputs'!$B$31+'Inputs'!$B$32,'Inputs'!$B$30+'Inputs'!$B$31+'Inputs'!$B$32)/1000+'Inputs'!$B$21))^2+('Inputs'!$B$6/2)^2)))-'Results'!C7*(1-'Inputs'!$B$24)*(0.5*((((851-43)*MAX('Inputs'!$B$33,'Inputs'!$B$29+'Inputs'!$B$31+'Inputs'!$B$32,'Inputs'!$B$30+'Inputs'!$B$31+'Inputs'!$B$32)/1000+'Inputs'!$B$21+'Inputs'!$B$7+'Inputs'!$B$10)+'Inputs'!$B$9)/SQRT((((851-43)*MAX('Inputs'!$B$33,'Inputs'!$B$29+'Inputs'!$B$31+'Inputs'!$B$32,'Inputs'!$B$30+'Inputs'!$B$31+'Inputs'!$B$32)/1000+'Inputs'!$B$21+'Inputs'!$B$7+'Inputs'!$B$10)+'Inputs'!$B$9)^2+('Inputs'!$B$8/2)^2)-(((851-43)*MAX('Inputs'!$B$33,'Inputs'!$B$29+'Inputs'!$B$31+'Inputs'!$B$32,'Inputs'!$B$30+'Inputs'!$B$31+'Inputs'!$B$32)/1000+'Inputs'!$B$21+'Inputs'!$B$7+'Inputs'!$B$10))/SQRT((((851-43)*MAX('Inputs'!$B$33,'Inputs'!$B$29+'Inputs'!$B$31+'Inputs'!$B$32,'Inputs'!$B$30+'Inputs'!$B$31+'Inputs'!$B$32)/1000+'Inputs'!$B$21+'Inputs'!$B$7+'Inputs'!$B$10))^2+('Inputs'!$B$8/2)^2))))*'Results'!$B$8)+'Inputs'!$B$28*ABS((('Results'!B7*(1+'Inputs'!$B$24)*(0.5*((((851-43)*MAX('Inputs'!$B$33,'Inputs'!$B$29+'Inputs'!$B$31+'Inputs'!$B$32,'Inputs'!$B$30+'Inputs'!$B$31+'Inputs'!$B$32)/1000+'Inputs'!$B$21)+'Inputs'!$B$7)/SQRT((((851-43)*MAX('Inputs'!$B$33,'Inputs'!$B$29+'Inputs'!$B$31+'Inputs'!$B$32,'Inputs'!$B$30+'Inputs'!$B$31+'Inputs'!$B$32)/1000+'Inputs'!$B$21)+'Inputs'!$B$7)^2+('Inputs'!$B$6/2)^2)-(((851-43)*MAX('Inputs'!$B$33,'Inputs'!$B$29+'Inputs'!$B$31+'Inputs'!$B$32,'Inputs'!$B$30+'Inputs'!$B$31+'Inputs'!$B$32)/1000+'Inputs'!$B$21))/SQRT((((851-43)*MAX('Inputs'!$B$33,'Inputs'!$B$29+'Inputs'!$B$31+'Inputs'!$B$32,'Inputs'!$B$30+'Inputs'!$B$31+'Inputs'!$B$32)/1000+'Inputs'!$B$21))^2+('Inputs'!$B$6/2)^2)))-'Results'!C7*(1-'Inputs'!$B$24)*(0.5*((((851-43)*MAX('Inputs'!$B$33,'Inputs'!$B$29+'Inputs'!$B$31+'Inputs'!$B$32,'Inputs'!$B$30+'Inputs'!$B$31+'Inputs'!$B$32)/1000+'Inputs'!$B$21+'Inputs'!$B$7+'Inputs'!$B$10)+'Inputs'!$B$9)/SQRT((((851-43)*MAX('Inputs'!$B$33,'Inputs'!$B$29+'Inputs'!$B$31+'Inputs'!$B$32,'Inputs'!$B$30+'Inputs'!$B$31+'Inputs'!$B$32)/1000+'Inputs'!$B$21+'Inputs'!$B$7+'Inputs'!$B$10)+'Inputs'!$B$9)^2+('Inputs'!$B$8/2)^2)-(((851-43)*MAX('Inputs'!$B$33,'Inputs'!$B$29+'Inputs'!$B$31+'Inputs'!$B$32,'Inputs'!$B$30+'Inputs'!$B$31+'Inputs'!$B$32)/1000+'Inputs'!$B$21+'Inputs'!$B$7+'Inputs'!$B$10))/SQRT((((851-43)*MAX('Inputs'!$B$33,'Inputs'!$B$29+'Inputs'!$B$31+'Inputs'!$B$32,'Inputs'!$B$30+'Inputs'!$B$31+'Inputs'!$B$32)/1000+'Inputs'!$B$21+'Inputs'!$B$7+'Inputs'!$B$10))^2+('Inputs'!$B$8/2)^2))))*'Results'!$B$8))),"")</x:f>
        <x:v>0.8934599705612154</x:v>
      </x:c>
      <x:c r="M851" t="n">
        <x:f>IF(AND(ISNUMBER('Results'!C7),ISNUMBER('Results'!B7),ISNUMBER('Results'!$B$8),ISNUMBER('Inputs'!$B$6),ISNUMBER('Inputs'!$B$7),ISNUMBER('Inputs'!$B$8),ISNUMBER('Inputs'!$B$9),ISNUMBER('Inputs'!$B$10),ISNUMBER('Inputs'!$B$21),ISNUMBER('Inputs'!$B$24),ISNUMBER('Inputs'!$B$28)),(('Results'!C7*(0.5*((((851-43)*MAX('Inputs'!$B$33,'Inputs'!$B$29+'Inputs'!$B$31+'Inputs'!$B$32,'Inputs'!$B$30+'Inputs'!$B$31+'Inputs'!$B$32)/1000+'Inputs'!$B$21)+'Inputs'!$B$9)/SQRT((((851-43)*MAX('Inputs'!$B$33,'Inputs'!$B$29+'Inputs'!$B$31+'Inputs'!$B$32,'Inputs'!$B$30+'Inputs'!$B$31+'Inputs'!$B$32)/1000+'Inputs'!$B$21)+'Inputs'!$B$9)^2+('Inputs'!$B$8/2)^2)-(((851-43)*MAX('Inputs'!$B$33,'Inputs'!$B$29+'Inputs'!$B$31+'Inputs'!$B$32,'Inputs'!$B$30+'Inputs'!$B$31+'Inputs'!$B$32)/1000+'Inputs'!$B$21))/SQRT((((851-43)*MAX('Inputs'!$B$33,'Inputs'!$B$29+'Inputs'!$B$31+'Inputs'!$B$32,'Inputs'!$B$30+'Inputs'!$B$31+'Inputs'!$B$32)/1000+'Inputs'!$B$21))^2+('Inputs'!$B$8/2)^2)))-'Results'!B7*(0.5*((((851-43)*MAX('Inputs'!$B$33,'Inputs'!$B$29+'Inputs'!$B$31+'Inputs'!$B$32,'Inputs'!$B$30+'Inputs'!$B$31+'Inputs'!$B$32)/1000+'Inputs'!$B$21+'Inputs'!$B$9+'Inputs'!$B$10)+'Inputs'!$B$7)/SQRT((((851-43)*MAX('Inputs'!$B$33,'Inputs'!$B$29+'Inputs'!$B$31+'Inputs'!$B$32,'Inputs'!$B$30+'Inputs'!$B$31+'Inputs'!$B$32)/1000+'Inputs'!$B$21+'Inputs'!$B$9+'Inputs'!$B$10)+'Inputs'!$B$7)^2+('Inputs'!$B$6/2)^2)-(((851-43)*MAX('Inputs'!$B$33,'Inputs'!$B$29+'Inputs'!$B$31+'Inputs'!$B$32,'Inputs'!$B$30+'Inputs'!$B$31+'Inputs'!$B$32)/1000+'Inputs'!$B$21+'Inputs'!$B$9+'Inputs'!$B$10))/SQRT((((851-43)*MAX('Inputs'!$B$33,'Inputs'!$B$29+'Inputs'!$B$31+'Inputs'!$B$32,'Inputs'!$B$30+'Inputs'!$B$31+'Inputs'!$B$32)/1000+'Inputs'!$B$21+'Inputs'!$B$9+'Inputs'!$B$10))^2+('Inputs'!$B$6/2)^2))))*'Results'!$B$8),"")</x:f>
        <x:v>0.6959429206852482</x:v>
      </x:c>
      <x:c r="N851" t="n">
        <x:f>IF(AND(ISNUMBER('Results'!C7),ISNUMBER('Results'!B7),ISNUMBER('Results'!$B$8),ISNUMBER('Inputs'!$B$6),ISNUMBER('Inputs'!$B$7),ISNUMBER('Inputs'!$B$8),ISNUMBER('Inputs'!$B$9),ISNUMBER('Inputs'!$B$10),ISNUMBER('Inputs'!$B$21),ISNUMBER('Inputs'!$B$24),ISNUMBER('Inputs'!$B$28)),((('Results'!C7*(1-'Inputs'!$B$24)*(0.5*((((851-43)*MAX('Inputs'!$B$33,'Inputs'!$B$29+'Inputs'!$B$31+'Inputs'!$B$32,'Inputs'!$B$30+'Inputs'!$B$31+'Inputs'!$B$32)/1000+'Inputs'!$B$21)+'Inputs'!$B$9)/SQRT((((851-43)*MAX('Inputs'!$B$33,'Inputs'!$B$29+'Inputs'!$B$31+'Inputs'!$B$32,'Inputs'!$B$30+'Inputs'!$B$31+'Inputs'!$B$32)/1000+'Inputs'!$B$21)+'Inputs'!$B$9)^2+('Inputs'!$B$8/2)^2)-(((851-43)*MAX('Inputs'!$B$33,'Inputs'!$B$29+'Inputs'!$B$31+'Inputs'!$B$32,'Inputs'!$B$30+'Inputs'!$B$31+'Inputs'!$B$32)/1000+'Inputs'!$B$21))/SQRT((((851-43)*MAX('Inputs'!$B$33,'Inputs'!$B$29+'Inputs'!$B$31+'Inputs'!$B$32,'Inputs'!$B$30+'Inputs'!$B$31+'Inputs'!$B$32)/1000+'Inputs'!$B$21))^2+('Inputs'!$B$8/2)^2)))-'Results'!B7*(1+'Inputs'!$B$24)*(0.5*((((851-43)*MAX('Inputs'!$B$33,'Inputs'!$B$29+'Inputs'!$B$31+'Inputs'!$B$32,'Inputs'!$B$30+'Inputs'!$B$31+'Inputs'!$B$32)/1000+'Inputs'!$B$21+'Inputs'!$B$9+'Inputs'!$B$10)+'Inputs'!$B$7)/SQRT((((851-43)*MAX('Inputs'!$B$33,'Inputs'!$B$29+'Inputs'!$B$31+'Inputs'!$B$32,'Inputs'!$B$30+'Inputs'!$B$31+'Inputs'!$B$32)/1000+'Inputs'!$B$21+'Inputs'!$B$9+'Inputs'!$B$10)+'Inputs'!$B$7)^2+('Inputs'!$B$6/2)^2)-(((851-43)*MAX('Inputs'!$B$33,'Inputs'!$B$29+'Inputs'!$B$31+'Inputs'!$B$32,'Inputs'!$B$30+'Inputs'!$B$31+'Inputs'!$B$32)/1000+'Inputs'!$B$21+'Inputs'!$B$9+'Inputs'!$B$10))/SQRT((((851-43)*MAX('Inputs'!$B$33,'Inputs'!$B$29+'Inputs'!$B$31+'Inputs'!$B$32,'Inputs'!$B$30+'Inputs'!$B$31+'Inputs'!$B$32)/1000+'Inputs'!$B$21+'Inputs'!$B$9+'Inputs'!$B$10))^2+('Inputs'!$B$6/2)^2))))*'Results'!$B$8)-'Inputs'!$B$28*ABS((('Results'!C7*(1-'Inputs'!$B$24)*(0.5*((((851-43)*MAX('Inputs'!$B$33,'Inputs'!$B$29+'Inputs'!$B$31+'Inputs'!$B$32,'Inputs'!$B$30+'Inputs'!$B$31+'Inputs'!$B$32)/1000+'Inputs'!$B$21)+'Inputs'!$B$9)/SQRT((((851-43)*MAX('Inputs'!$B$33,'Inputs'!$B$29+'Inputs'!$B$31+'Inputs'!$B$32,'Inputs'!$B$30+'Inputs'!$B$31+'Inputs'!$B$32)/1000+'Inputs'!$B$21)+'Inputs'!$B$9)^2+('Inputs'!$B$8/2)^2)-(((851-43)*MAX('Inputs'!$B$33,'Inputs'!$B$29+'Inputs'!$B$31+'Inputs'!$B$32,'Inputs'!$B$30+'Inputs'!$B$31+'Inputs'!$B$32)/1000+'Inputs'!$B$21))/SQRT((((851-43)*MAX('Inputs'!$B$33,'Inputs'!$B$29+'Inputs'!$B$31+'Inputs'!$B$32,'Inputs'!$B$30+'Inputs'!$B$31+'Inputs'!$B$32)/1000+'Inputs'!$B$21))^2+('Inputs'!$B$8/2)^2)))-'Results'!B7*(1+'Inputs'!$B$24)*(0.5*((((851-43)*MAX('Inputs'!$B$33,'Inputs'!$B$29+'Inputs'!$B$31+'Inputs'!$B$32,'Inputs'!$B$30+'Inputs'!$B$31+'Inputs'!$B$32)/1000+'Inputs'!$B$21+'Inputs'!$B$9+'Inputs'!$B$10)+'Inputs'!$B$7)/SQRT((((851-43)*MAX('Inputs'!$B$33,'Inputs'!$B$29+'Inputs'!$B$31+'Inputs'!$B$32,'Inputs'!$B$30+'Inputs'!$B$31+'Inputs'!$B$32)/1000+'Inputs'!$B$21+'Inputs'!$B$9+'Inputs'!$B$10)+'Inputs'!$B$7)^2+('Inputs'!$B$6/2)^2)-(((851-43)*MAX('Inputs'!$B$33,'Inputs'!$B$29+'Inputs'!$B$31+'Inputs'!$B$32,'Inputs'!$B$30+'Inputs'!$B$31+'Inputs'!$B$32)/1000+'Inputs'!$B$21+'Inputs'!$B$9+'Inputs'!$B$10))/SQRT((((851-43)*MAX('Inputs'!$B$33,'Inputs'!$B$29+'Inputs'!$B$31+'Inputs'!$B$32,'Inputs'!$B$30+'Inputs'!$B$31+'Inputs'!$B$32)/1000+'Inputs'!$B$21+'Inputs'!$B$9+'Inputs'!$B$10))^2+('Inputs'!$B$6/2)^2))))*'Results'!$B$8))),"")</x:f>
        <x:v>0.5881154874426044</x:v>
      </x:c>
      <x:c r="O851" t="n">
        <x:f>IF(AND(ISNUMBER('Results'!C7),ISNUMBER('Results'!B7),ISNUMBER('Results'!$B$8),ISNUMBER('Inputs'!$B$6),ISNUMBER('Inputs'!$B$7),ISNUMBER('Inputs'!$B$8),ISNUMBER('Inputs'!$B$9),ISNUMBER('Inputs'!$B$10),ISNUMBER('Inputs'!$B$21),ISNUMBER('Inputs'!$B$24),ISNUMBER('Inputs'!$B$28)),((('Results'!C7*(1+'Inputs'!$B$24)*(0.5*((((851-43)*MAX('Inputs'!$B$33,'Inputs'!$B$29+'Inputs'!$B$31+'Inputs'!$B$32,'Inputs'!$B$30+'Inputs'!$B$31+'Inputs'!$B$32)/1000+'Inputs'!$B$21)+'Inputs'!$B$9)/SQRT((((851-43)*MAX('Inputs'!$B$33,'Inputs'!$B$29+'Inputs'!$B$31+'Inputs'!$B$32,'Inputs'!$B$30+'Inputs'!$B$31+'Inputs'!$B$32)/1000+'Inputs'!$B$21)+'Inputs'!$B$9)^2+('Inputs'!$B$8/2)^2)-(((851-43)*MAX('Inputs'!$B$33,'Inputs'!$B$29+'Inputs'!$B$31+'Inputs'!$B$32,'Inputs'!$B$30+'Inputs'!$B$31+'Inputs'!$B$32)/1000+'Inputs'!$B$21))/SQRT((((851-43)*MAX('Inputs'!$B$33,'Inputs'!$B$29+'Inputs'!$B$31+'Inputs'!$B$32,'Inputs'!$B$30+'Inputs'!$B$31+'Inputs'!$B$32)/1000+'Inputs'!$B$21))^2+('Inputs'!$B$8/2)^2)))-'Results'!B7*(1-'Inputs'!$B$24)*(0.5*((((851-43)*MAX('Inputs'!$B$33,'Inputs'!$B$29+'Inputs'!$B$31+'Inputs'!$B$32,'Inputs'!$B$30+'Inputs'!$B$31+'Inputs'!$B$32)/1000+'Inputs'!$B$21+'Inputs'!$B$9+'Inputs'!$B$10)+'Inputs'!$B$7)/SQRT((((851-43)*MAX('Inputs'!$B$33,'Inputs'!$B$29+'Inputs'!$B$31+'Inputs'!$B$32,'Inputs'!$B$30+'Inputs'!$B$31+'Inputs'!$B$32)/1000+'Inputs'!$B$21+'Inputs'!$B$9+'Inputs'!$B$10)+'Inputs'!$B$7)^2+('Inputs'!$B$6/2)^2)-(((851-43)*MAX('Inputs'!$B$33,'Inputs'!$B$29+'Inputs'!$B$31+'Inputs'!$B$32,'Inputs'!$B$30+'Inputs'!$B$31+'Inputs'!$B$32)/1000+'Inputs'!$B$21+'Inputs'!$B$9+'Inputs'!$B$10))/SQRT((((851-43)*MAX('Inputs'!$B$33,'Inputs'!$B$29+'Inputs'!$B$31+'Inputs'!$B$32,'Inputs'!$B$30+'Inputs'!$B$31+'Inputs'!$B$32)/1000+'Inputs'!$B$21+'Inputs'!$B$9+'Inputs'!$B$10))^2+('Inputs'!$B$6/2)^2))))*'Results'!$B$8)+'Inputs'!$B$28*ABS((('Results'!C7*(1+'Inputs'!$B$24)*(0.5*((((851-43)*MAX('Inputs'!$B$33,'Inputs'!$B$29+'Inputs'!$B$31+'Inputs'!$B$32,'Inputs'!$B$30+'Inputs'!$B$31+'Inputs'!$B$32)/1000+'Inputs'!$B$21)+'Inputs'!$B$9)/SQRT((((851-43)*MAX('Inputs'!$B$33,'Inputs'!$B$29+'Inputs'!$B$31+'Inputs'!$B$32,'Inputs'!$B$30+'Inputs'!$B$31+'Inputs'!$B$32)/1000+'Inputs'!$B$21)+'Inputs'!$B$9)^2+('Inputs'!$B$8/2)^2)-(((851-43)*MAX('Inputs'!$B$33,'Inputs'!$B$29+'Inputs'!$B$31+'Inputs'!$B$32,'Inputs'!$B$30+'Inputs'!$B$31+'Inputs'!$B$32)/1000+'Inputs'!$B$21))/SQRT((((851-43)*MAX('Inputs'!$B$33,'Inputs'!$B$29+'Inputs'!$B$31+'Inputs'!$B$32,'Inputs'!$B$30+'Inputs'!$B$31+'Inputs'!$B$32)/1000+'Inputs'!$B$21))^2+('Inputs'!$B$8/2)^2)))-'Results'!B7*(1-'Inputs'!$B$24)*(0.5*((((851-43)*MAX('Inputs'!$B$33,'Inputs'!$B$29+'Inputs'!$B$31+'Inputs'!$B$32,'Inputs'!$B$30+'Inputs'!$B$31+'Inputs'!$B$32)/1000+'Inputs'!$B$21+'Inputs'!$B$9+'Inputs'!$B$10)+'Inputs'!$B$7)/SQRT((((851-43)*MAX('Inputs'!$B$33,'Inputs'!$B$29+'Inputs'!$B$31+'Inputs'!$B$32,'Inputs'!$B$30+'Inputs'!$B$31+'Inputs'!$B$32)/1000+'Inputs'!$B$21+'Inputs'!$B$9+'Inputs'!$B$10)+'Inputs'!$B$7)^2+('Inputs'!$B$6/2)^2)-(((851-43)*MAX('Inputs'!$B$33,'Inputs'!$B$29+'Inputs'!$B$31+'Inputs'!$B$32,'Inputs'!$B$30+'Inputs'!$B$31+'Inputs'!$B$32)/1000+'Inputs'!$B$21+'Inputs'!$B$9+'Inputs'!$B$10))/SQRT((((851-43)*MAX('Inputs'!$B$33,'Inputs'!$B$29+'Inputs'!$B$31+'Inputs'!$B$32,'Inputs'!$B$30+'Inputs'!$B$31+'Inputs'!$B$32)/1000+'Inputs'!$B$21+'Inputs'!$B$9+'Inputs'!$B$10))^2+('Inputs'!$B$6/2)^2))))*'Results'!$B$8))),"")</x:f>
        <x:v>0.811457752581406</x:v>
      </x:c>
      <x:c r="P851" t="n">
        <x:f>IF(AND(MAX(J851,J850)&gt;0,J851&gt;J850+0.00000001),1,0)</x:f>
        <x:v>0</x:v>
      </x:c>
      <x:c r="Q851" t="n">
        <x:f>IF(AND(MAX(K851,K850)&gt;0,K851&gt;K850+0.00000001),1,0)</x:f>
        <x:v>0</x:v>
      </x:c>
      <x:c r="R851" t="n">
        <x:f>IF(AND(MAX(L851,L850)&gt;0,L851&gt;L850+0.00000001),1,0)</x:f>
        <x:v>0</x:v>
      </x:c>
      <x:c r="S851" t="n">
        <x:f>IF(AND(MAX(M851,M850)&gt;0,M851&gt;M850+0.00000001),1,0)</x:f>
        <x:v>0</x:v>
      </x:c>
      <x:c r="T851" t="n">
        <x:f>IF(AND(MAX(N851,N850)&gt;0,N851&gt;N850+0.00000001),1,0)</x:f>
        <x:v>0</x:v>
      </x:c>
      <x:c r="U851" t="n">
        <x:f>IF(AND(MAX(O851,O850)&gt;0,O851&gt;O850+0.00000001),1,0)</x:f>
        <x:v>0</x:v>
      </x:c>
    </x:row>
    <x:row r="852">
      <x:c r="J852" t="n">
        <x:f>IF(AND(ISNUMBER('Results'!B7),ISNUMBER('Results'!C7),ISNUMBER('Results'!$B$8),ISNUMBER('Inputs'!$B$6),ISNUMBER('Inputs'!$B$7),ISNUMBER('Inputs'!$B$8),ISNUMBER('Inputs'!$B$9),ISNUMBER('Inputs'!$B$10),ISNUMBER('Inputs'!$B$21),ISNUMBER('Inputs'!$B$24),ISNUMBER('Inputs'!$B$28)),(('Results'!B7*(0.5*((((852-43)*MAX('Inputs'!$B$33,'Inputs'!$B$29+'Inputs'!$B$31+'Inputs'!$B$32,'Inputs'!$B$30+'Inputs'!$B$31+'Inputs'!$B$32)/1000+'Inputs'!$B$21)+'Inputs'!$B$7)/SQRT((((852-43)*MAX('Inputs'!$B$33,'Inputs'!$B$29+'Inputs'!$B$31+'Inputs'!$B$32,'Inputs'!$B$30+'Inputs'!$B$31+'Inputs'!$B$32)/1000+'Inputs'!$B$21)+'Inputs'!$B$7)^2+('Inputs'!$B$6/2)^2)-(((852-43)*MAX('Inputs'!$B$33,'Inputs'!$B$29+'Inputs'!$B$31+'Inputs'!$B$32,'Inputs'!$B$30+'Inputs'!$B$31+'Inputs'!$B$32)/1000+'Inputs'!$B$21))/SQRT((((852-43)*MAX('Inputs'!$B$33,'Inputs'!$B$29+'Inputs'!$B$31+'Inputs'!$B$32,'Inputs'!$B$30+'Inputs'!$B$31+'Inputs'!$B$32)/1000+'Inputs'!$B$21))^2+('Inputs'!$B$6/2)^2)))-'Results'!C7*(0.5*((((852-43)*MAX('Inputs'!$B$33,'Inputs'!$B$29+'Inputs'!$B$31+'Inputs'!$B$32,'Inputs'!$B$30+'Inputs'!$B$31+'Inputs'!$B$32)/1000+'Inputs'!$B$21+'Inputs'!$B$7+'Inputs'!$B$10)+'Inputs'!$B$9)/SQRT((((852-43)*MAX('Inputs'!$B$33,'Inputs'!$B$29+'Inputs'!$B$31+'Inputs'!$B$32,'Inputs'!$B$30+'Inputs'!$B$31+'Inputs'!$B$32)/1000+'Inputs'!$B$21+'Inputs'!$B$7+'Inputs'!$B$10)+'Inputs'!$B$9)^2+('Inputs'!$B$8/2)^2)-(((852-43)*MAX('Inputs'!$B$33,'Inputs'!$B$29+'Inputs'!$B$31+'Inputs'!$B$32,'Inputs'!$B$30+'Inputs'!$B$31+'Inputs'!$B$32)/1000+'Inputs'!$B$21+'Inputs'!$B$7+'Inputs'!$B$10))/SQRT((((852-43)*MAX('Inputs'!$B$33,'Inputs'!$B$29+'Inputs'!$B$31+'Inputs'!$B$32,'Inputs'!$B$30+'Inputs'!$B$31+'Inputs'!$B$32)/1000+'Inputs'!$B$21+'Inputs'!$B$7+'Inputs'!$B$10))^2+('Inputs'!$B$8/2)^2))))*'Results'!$B$8),"")</x:f>
        <x:v>0.7703074257594255</x:v>
      </x:c>
      <x:c r="K852" t="n">
        <x:f>IF(AND(ISNUMBER('Results'!B7),ISNUMBER('Results'!C7),ISNUMBER('Results'!$B$8),ISNUMBER('Inputs'!$B$6),ISNUMBER('Inputs'!$B$7),ISNUMBER('Inputs'!$B$8),ISNUMBER('Inputs'!$B$9),ISNUMBER('Inputs'!$B$10),ISNUMBER('Inputs'!$B$21),ISNUMBER('Inputs'!$B$24),ISNUMBER('Inputs'!$B$28)),((('Results'!B7*(1-'Inputs'!$B$24)*(0.5*((((852-43)*MAX('Inputs'!$B$33,'Inputs'!$B$29+'Inputs'!$B$31+'Inputs'!$B$32,'Inputs'!$B$30+'Inputs'!$B$31+'Inputs'!$B$32)/1000+'Inputs'!$B$21)+'Inputs'!$B$7)/SQRT((((852-43)*MAX('Inputs'!$B$33,'Inputs'!$B$29+'Inputs'!$B$31+'Inputs'!$B$32,'Inputs'!$B$30+'Inputs'!$B$31+'Inputs'!$B$32)/1000+'Inputs'!$B$21)+'Inputs'!$B$7)^2+('Inputs'!$B$6/2)^2)-(((852-43)*MAX('Inputs'!$B$33,'Inputs'!$B$29+'Inputs'!$B$31+'Inputs'!$B$32,'Inputs'!$B$30+'Inputs'!$B$31+'Inputs'!$B$32)/1000+'Inputs'!$B$21))/SQRT((((852-43)*MAX('Inputs'!$B$33,'Inputs'!$B$29+'Inputs'!$B$31+'Inputs'!$B$32,'Inputs'!$B$30+'Inputs'!$B$31+'Inputs'!$B$32)/1000+'Inputs'!$B$21))^2+('Inputs'!$B$6/2)^2)))-'Results'!C7*(1+'Inputs'!$B$24)*(0.5*((((852-43)*MAX('Inputs'!$B$33,'Inputs'!$B$29+'Inputs'!$B$31+'Inputs'!$B$32,'Inputs'!$B$30+'Inputs'!$B$31+'Inputs'!$B$32)/1000+'Inputs'!$B$21+'Inputs'!$B$7+'Inputs'!$B$10)+'Inputs'!$B$9)/SQRT((((852-43)*MAX('Inputs'!$B$33,'Inputs'!$B$29+'Inputs'!$B$31+'Inputs'!$B$32,'Inputs'!$B$30+'Inputs'!$B$31+'Inputs'!$B$32)/1000+'Inputs'!$B$21+'Inputs'!$B$7+'Inputs'!$B$10)+'Inputs'!$B$9)^2+('Inputs'!$B$8/2)^2)-(((852-43)*MAX('Inputs'!$B$33,'Inputs'!$B$29+'Inputs'!$B$31+'Inputs'!$B$32,'Inputs'!$B$30+'Inputs'!$B$31+'Inputs'!$B$32)/1000+'Inputs'!$B$21+'Inputs'!$B$7+'Inputs'!$B$10))/SQRT((((852-43)*MAX('Inputs'!$B$33,'Inputs'!$B$29+'Inputs'!$B$31+'Inputs'!$B$32,'Inputs'!$B$30+'Inputs'!$B$31+'Inputs'!$B$32)/1000+'Inputs'!$B$21+'Inputs'!$B$7+'Inputs'!$B$10))^2+('Inputs'!$B$8/2)^2))))*'Results'!$B$8)-'Inputs'!$B$28*ABS((('Results'!B7*(1-'Inputs'!$B$24)*(0.5*((((852-43)*MAX('Inputs'!$B$33,'Inputs'!$B$29+'Inputs'!$B$31+'Inputs'!$B$32,'Inputs'!$B$30+'Inputs'!$B$31+'Inputs'!$B$32)/1000+'Inputs'!$B$21)+'Inputs'!$B$7)/SQRT((((852-43)*MAX('Inputs'!$B$33,'Inputs'!$B$29+'Inputs'!$B$31+'Inputs'!$B$32,'Inputs'!$B$30+'Inputs'!$B$31+'Inputs'!$B$32)/1000+'Inputs'!$B$21)+'Inputs'!$B$7)^2+('Inputs'!$B$6/2)^2)-(((852-43)*MAX('Inputs'!$B$33,'Inputs'!$B$29+'Inputs'!$B$31+'Inputs'!$B$32,'Inputs'!$B$30+'Inputs'!$B$31+'Inputs'!$B$32)/1000+'Inputs'!$B$21))/SQRT((((852-43)*MAX('Inputs'!$B$33,'Inputs'!$B$29+'Inputs'!$B$31+'Inputs'!$B$32,'Inputs'!$B$30+'Inputs'!$B$31+'Inputs'!$B$32)/1000+'Inputs'!$B$21))^2+('Inputs'!$B$6/2)^2)))-'Results'!C7*(1+'Inputs'!$B$24)*(0.5*((((852-43)*MAX('Inputs'!$B$33,'Inputs'!$B$29+'Inputs'!$B$31+'Inputs'!$B$32,'Inputs'!$B$30+'Inputs'!$B$31+'Inputs'!$B$32)/1000+'Inputs'!$B$21+'Inputs'!$B$7+'Inputs'!$B$10)+'Inputs'!$B$9)/SQRT((((852-43)*MAX('Inputs'!$B$33,'Inputs'!$B$29+'Inputs'!$B$31+'Inputs'!$B$32,'Inputs'!$B$30+'Inputs'!$B$31+'Inputs'!$B$32)/1000+'Inputs'!$B$21+'Inputs'!$B$7+'Inputs'!$B$10)+'Inputs'!$B$9)^2+('Inputs'!$B$8/2)^2)-(((852-43)*MAX('Inputs'!$B$33,'Inputs'!$B$29+'Inputs'!$B$31+'Inputs'!$B$32,'Inputs'!$B$30+'Inputs'!$B$31+'Inputs'!$B$32)/1000+'Inputs'!$B$21+'Inputs'!$B$7+'Inputs'!$B$10))/SQRT((((852-43)*MAX('Inputs'!$B$33,'Inputs'!$B$29+'Inputs'!$B$31+'Inputs'!$B$32,'Inputs'!$B$30+'Inputs'!$B$31+'Inputs'!$B$32)/1000+'Inputs'!$B$21+'Inputs'!$B$7+'Inputs'!$B$10))^2+('Inputs'!$B$8/2)^2))))*'Results'!$B$8))),"")</x:f>
        <x:v>0.6587299474967422</x:v>
      </x:c>
      <x:c r="L852" t="n">
        <x:f>IF(AND(ISNUMBER('Results'!B7),ISNUMBER('Results'!C7),ISNUMBER('Results'!$B$8),ISNUMBER('Inputs'!$B$6),ISNUMBER('Inputs'!$B$7),ISNUMBER('Inputs'!$B$8),ISNUMBER('Inputs'!$B$9),ISNUMBER('Inputs'!$B$10),ISNUMBER('Inputs'!$B$21),ISNUMBER('Inputs'!$B$24),ISNUMBER('Inputs'!$B$28)),((('Results'!B7*(1+'Inputs'!$B$24)*(0.5*((((852-43)*MAX('Inputs'!$B$33,'Inputs'!$B$29+'Inputs'!$B$31+'Inputs'!$B$32,'Inputs'!$B$30+'Inputs'!$B$31+'Inputs'!$B$32)/1000+'Inputs'!$B$21)+'Inputs'!$B$7)/SQRT((((852-43)*MAX('Inputs'!$B$33,'Inputs'!$B$29+'Inputs'!$B$31+'Inputs'!$B$32,'Inputs'!$B$30+'Inputs'!$B$31+'Inputs'!$B$32)/1000+'Inputs'!$B$21)+'Inputs'!$B$7)^2+('Inputs'!$B$6/2)^2)-(((852-43)*MAX('Inputs'!$B$33,'Inputs'!$B$29+'Inputs'!$B$31+'Inputs'!$B$32,'Inputs'!$B$30+'Inputs'!$B$31+'Inputs'!$B$32)/1000+'Inputs'!$B$21))/SQRT((((852-43)*MAX('Inputs'!$B$33,'Inputs'!$B$29+'Inputs'!$B$31+'Inputs'!$B$32,'Inputs'!$B$30+'Inputs'!$B$31+'Inputs'!$B$32)/1000+'Inputs'!$B$21))^2+('Inputs'!$B$6/2)^2)))-'Results'!C7*(1-'Inputs'!$B$24)*(0.5*((((852-43)*MAX('Inputs'!$B$33,'Inputs'!$B$29+'Inputs'!$B$31+'Inputs'!$B$32,'Inputs'!$B$30+'Inputs'!$B$31+'Inputs'!$B$32)/1000+'Inputs'!$B$21+'Inputs'!$B$7+'Inputs'!$B$10)+'Inputs'!$B$9)/SQRT((((852-43)*MAX('Inputs'!$B$33,'Inputs'!$B$29+'Inputs'!$B$31+'Inputs'!$B$32,'Inputs'!$B$30+'Inputs'!$B$31+'Inputs'!$B$32)/1000+'Inputs'!$B$21+'Inputs'!$B$7+'Inputs'!$B$10)+'Inputs'!$B$9)^2+('Inputs'!$B$8/2)^2)-(((852-43)*MAX('Inputs'!$B$33,'Inputs'!$B$29+'Inputs'!$B$31+'Inputs'!$B$32,'Inputs'!$B$30+'Inputs'!$B$31+'Inputs'!$B$32)/1000+'Inputs'!$B$21+'Inputs'!$B$7+'Inputs'!$B$10))/SQRT((((852-43)*MAX('Inputs'!$B$33,'Inputs'!$B$29+'Inputs'!$B$31+'Inputs'!$B$32,'Inputs'!$B$30+'Inputs'!$B$31+'Inputs'!$B$32)/1000+'Inputs'!$B$21+'Inputs'!$B$7+'Inputs'!$B$10))^2+('Inputs'!$B$8/2)^2))))*'Results'!$B$8)+'Inputs'!$B$28*ABS((('Results'!B7*(1+'Inputs'!$B$24)*(0.5*((((852-43)*MAX('Inputs'!$B$33,'Inputs'!$B$29+'Inputs'!$B$31+'Inputs'!$B$32,'Inputs'!$B$30+'Inputs'!$B$31+'Inputs'!$B$32)/1000+'Inputs'!$B$21)+'Inputs'!$B$7)/SQRT((((852-43)*MAX('Inputs'!$B$33,'Inputs'!$B$29+'Inputs'!$B$31+'Inputs'!$B$32,'Inputs'!$B$30+'Inputs'!$B$31+'Inputs'!$B$32)/1000+'Inputs'!$B$21)+'Inputs'!$B$7)^2+('Inputs'!$B$6/2)^2)-(((852-43)*MAX('Inputs'!$B$33,'Inputs'!$B$29+'Inputs'!$B$31+'Inputs'!$B$32,'Inputs'!$B$30+'Inputs'!$B$31+'Inputs'!$B$32)/1000+'Inputs'!$B$21))/SQRT((((852-43)*MAX('Inputs'!$B$33,'Inputs'!$B$29+'Inputs'!$B$31+'Inputs'!$B$32,'Inputs'!$B$30+'Inputs'!$B$31+'Inputs'!$B$32)/1000+'Inputs'!$B$21))^2+('Inputs'!$B$6/2)^2)))-'Results'!C7*(1-'Inputs'!$B$24)*(0.5*((((852-43)*MAX('Inputs'!$B$33,'Inputs'!$B$29+'Inputs'!$B$31+'Inputs'!$B$32,'Inputs'!$B$30+'Inputs'!$B$31+'Inputs'!$B$32)/1000+'Inputs'!$B$21+'Inputs'!$B$7+'Inputs'!$B$10)+'Inputs'!$B$9)/SQRT((((852-43)*MAX('Inputs'!$B$33,'Inputs'!$B$29+'Inputs'!$B$31+'Inputs'!$B$32,'Inputs'!$B$30+'Inputs'!$B$31+'Inputs'!$B$32)/1000+'Inputs'!$B$21+'Inputs'!$B$7+'Inputs'!$B$10)+'Inputs'!$B$9)^2+('Inputs'!$B$8/2)^2)-(((852-43)*MAX('Inputs'!$B$33,'Inputs'!$B$29+'Inputs'!$B$31+'Inputs'!$B$32,'Inputs'!$B$30+'Inputs'!$B$31+'Inputs'!$B$32)/1000+'Inputs'!$B$21+'Inputs'!$B$7+'Inputs'!$B$10))/SQRT((((852-43)*MAX('Inputs'!$B$33,'Inputs'!$B$29+'Inputs'!$B$31+'Inputs'!$B$32,'Inputs'!$B$30+'Inputs'!$B$31+'Inputs'!$B$32)/1000+'Inputs'!$B$21+'Inputs'!$B$7+'Inputs'!$B$10))^2+('Inputs'!$B$8/2)^2))))*'Results'!$B$8))),"")</x:f>
        <x:v>0.88957565212471</x:v>
      </x:c>
      <x:c r="M852" t="n">
        <x:f>IF(AND(ISNUMBER('Results'!C7),ISNUMBER('Results'!B7),ISNUMBER('Results'!$B$8),ISNUMBER('Inputs'!$B$6),ISNUMBER('Inputs'!$B$7),ISNUMBER('Inputs'!$B$8),ISNUMBER('Inputs'!$B$9),ISNUMBER('Inputs'!$B$10),ISNUMBER('Inputs'!$B$21),ISNUMBER('Inputs'!$B$24),ISNUMBER('Inputs'!$B$28)),(('Results'!C7*(0.5*((((852-43)*MAX('Inputs'!$B$33,'Inputs'!$B$29+'Inputs'!$B$31+'Inputs'!$B$32,'Inputs'!$B$30+'Inputs'!$B$31+'Inputs'!$B$32)/1000+'Inputs'!$B$21)+'Inputs'!$B$9)/SQRT((((852-43)*MAX('Inputs'!$B$33,'Inputs'!$B$29+'Inputs'!$B$31+'Inputs'!$B$32,'Inputs'!$B$30+'Inputs'!$B$31+'Inputs'!$B$32)/1000+'Inputs'!$B$21)+'Inputs'!$B$9)^2+('Inputs'!$B$8/2)^2)-(((852-43)*MAX('Inputs'!$B$33,'Inputs'!$B$29+'Inputs'!$B$31+'Inputs'!$B$32,'Inputs'!$B$30+'Inputs'!$B$31+'Inputs'!$B$32)/1000+'Inputs'!$B$21))/SQRT((((852-43)*MAX('Inputs'!$B$33,'Inputs'!$B$29+'Inputs'!$B$31+'Inputs'!$B$32,'Inputs'!$B$30+'Inputs'!$B$31+'Inputs'!$B$32)/1000+'Inputs'!$B$21))^2+('Inputs'!$B$8/2)^2)))-'Results'!B7*(0.5*((((852-43)*MAX('Inputs'!$B$33,'Inputs'!$B$29+'Inputs'!$B$31+'Inputs'!$B$32,'Inputs'!$B$30+'Inputs'!$B$31+'Inputs'!$B$32)/1000+'Inputs'!$B$21+'Inputs'!$B$9+'Inputs'!$B$10)+'Inputs'!$B$7)/SQRT((((852-43)*MAX('Inputs'!$B$33,'Inputs'!$B$29+'Inputs'!$B$31+'Inputs'!$B$32,'Inputs'!$B$30+'Inputs'!$B$31+'Inputs'!$B$32)/1000+'Inputs'!$B$21+'Inputs'!$B$9+'Inputs'!$B$10)+'Inputs'!$B$7)^2+('Inputs'!$B$6/2)^2)-(((852-43)*MAX('Inputs'!$B$33,'Inputs'!$B$29+'Inputs'!$B$31+'Inputs'!$B$32,'Inputs'!$B$30+'Inputs'!$B$31+'Inputs'!$B$32)/1000+'Inputs'!$B$21+'Inputs'!$B$9+'Inputs'!$B$10))/SQRT((((852-43)*MAX('Inputs'!$B$33,'Inputs'!$B$29+'Inputs'!$B$31+'Inputs'!$B$32,'Inputs'!$B$30+'Inputs'!$B$31+'Inputs'!$B$32)/1000+'Inputs'!$B$21+'Inputs'!$B$9+'Inputs'!$B$10))^2+('Inputs'!$B$6/2)^2))))*'Results'!$B$8),"")</x:f>
        <x:v>0.6927723801159555</x:v>
      </x:c>
      <x:c r="N852" t="n">
        <x:f>IF(AND(ISNUMBER('Results'!C7),ISNUMBER('Results'!B7),ISNUMBER('Results'!$B$8),ISNUMBER('Inputs'!$B$6),ISNUMBER('Inputs'!$B$7),ISNUMBER('Inputs'!$B$8),ISNUMBER('Inputs'!$B$9),ISNUMBER('Inputs'!$B$10),ISNUMBER('Inputs'!$B$21),ISNUMBER('Inputs'!$B$24),ISNUMBER('Inputs'!$B$28)),((('Results'!C7*(1-'Inputs'!$B$24)*(0.5*((((852-43)*MAX('Inputs'!$B$33,'Inputs'!$B$29+'Inputs'!$B$31+'Inputs'!$B$32,'Inputs'!$B$30+'Inputs'!$B$31+'Inputs'!$B$32)/1000+'Inputs'!$B$21)+'Inputs'!$B$9)/SQRT((((852-43)*MAX('Inputs'!$B$33,'Inputs'!$B$29+'Inputs'!$B$31+'Inputs'!$B$32,'Inputs'!$B$30+'Inputs'!$B$31+'Inputs'!$B$32)/1000+'Inputs'!$B$21)+'Inputs'!$B$9)^2+('Inputs'!$B$8/2)^2)-(((852-43)*MAX('Inputs'!$B$33,'Inputs'!$B$29+'Inputs'!$B$31+'Inputs'!$B$32,'Inputs'!$B$30+'Inputs'!$B$31+'Inputs'!$B$32)/1000+'Inputs'!$B$21))/SQRT((((852-43)*MAX('Inputs'!$B$33,'Inputs'!$B$29+'Inputs'!$B$31+'Inputs'!$B$32,'Inputs'!$B$30+'Inputs'!$B$31+'Inputs'!$B$32)/1000+'Inputs'!$B$21))^2+('Inputs'!$B$8/2)^2)))-'Results'!B7*(1+'Inputs'!$B$24)*(0.5*((((852-43)*MAX('Inputs'!$B$33,'Inputs'!$B$29+'Inputs'!$B$31+'Inputs'!$B$32,'Inputs'!$B$30+'Inputs'!$B$31+'Inputs'!$B$32)/1000+'Inputs'!$B$21+'Inputs'!$B$9+'Inputs'!$B$10)+'Inputs'!$B$7)/SQRT((((852-43)*MAX('Inputs'!$B$33,'Inputs'!$B$29+'Inputs'!$B$31+'Inputs'!$B$32,'Inputs'!$B$30+'Inputs'!$B$31+'Inputs'!$B$32)/1000+'Inputs'!$B$21+'Inputs'!$B$9+'Inputs'!$B$10)+'Inputs'!$B$7)^2+('Inputs'!$B$6/2)^2)-(((852-43)*MAX('Inputs'!$B$33,'Inputs'!$B$29+'Inputs'!$B$31+'Inputs'!$B$32,'Inputs'!$B$30+'Inputs'!$B$31+'Inputs'!$B$32)/1000+'Inputs'!$B$21+'Inputs'!$B$9+'Inputs'!$B$10))/SQRT((((852-43)*MAX('Inputs'!$B$33,'Inputs'!$B$29+'Inputs'!$B$31+'Inputs'!$B$32,'Inputs'!$B$30+'Inputs'!$B$31+'Inputs'!$B$32)/1000+'Inputs'!$B$21+'Inputs'!$B$9+'Inputs'!$B$10))^2+('Inputs'!$B$6/2)^2))))*'Results'!$B$8)-'Inputs'!$B$28*ABS((('Results'!C7*(1-'Inputs'!$B$24)*(0.5*((((852-43)*MAX('Inputs'!$B$33,'Inputs'!$B$29+'Inputs'!$B$31+'Inputs'!$B$32,'Inputs'!$B$30+'Inputs'!$B$31+'Inputs'!$B$32)/1000+'Inputs'!$B$21)+'Inputs'!$B$9)/SQRT((((852-43)*MAX('Inputs'!$B$33,'Inputs'!$B$29+'Inputs'!$B$31+'Inputs'!$B$32,'Inputs'!$B$30+'Inputs'!$B$31+'Inputs'!$B$32)/1000+'Inputs'!$B$21)+'Inputs'!$B$9)^2+('Inputs'!$B$8/2)^2)-(((852-43)*MAX('Inputs'!$B$33,'Inputs'!$B$29+'Inputs'!$B$31+'Inputs'!$B$32,'Inputs'!$B$30+'Inputs'!$B$31+'Inputs'!$B$32)/1000+'Inputs'!$B$21))/SQRT((((852-43)*MAX('Inputs'!$B$33,'Inputs'!$B$29+'Inputs'!$B$31+'Inputs'!$B$32,'Inputs'!$B$30+'Inputs'!$B$31+'Inputs'!$B$32)/1000+'Inputs'!$B$21))^2+('Inputs'!$B$8/2)^2)))-'Results'!B7*(1+'Inputs'!$B$24)*(0.5*((((852-43)*MAX('Inputs'!$B$33,'Inputs'!$B$29+'Inputs'!$B$31+'Inputs'!$B$32,'Inputs'!$B$30+'Inputs'!$B$31+'Inputs'!$B$32)/1000+'Inputs'!$B$21+'Inputs'!$B$9+'Inputs'!$B$10)+'Inputs'!$B$7)/SQRT((((852-43)*MAX('Inputs'!$B$33,'Inputs'!$B$29+'Inputs'!$B$31+'Inputs'!$B$32,'Inputs'!$B$30+'Inputs'!$B$31+'Inputs'!$B$32)/1000+'Inputs'!$B$21+'Inputs'!$B$9+'Inputs'!$B$10)+'Inputs'!$B$7)^2+('Inputs'!$B$6/2)^2)-(((852-43)*MAX('Inputs'!$B$33,'Inputs'!$B$29+'Inputs'!$B$31+'Inputs'!$B$32,'Inputs'!$B$30+'Inputs'!$B$31+'Inputs'!$B$32)/1000+'Inputs'!$B$21+'Inputs'!$B$9+'Inputs'!$B$10))/SQRT((((852-43)*MAX('Inputs'!$B$33,'Inputs'!$B$29+'Inputs'!$B$31+'Inputs'!$B$32,'Inputs'!$B$30+'Inputs'!$B$31+'Inputs'!$B$32)/1000+'Inputs'!$B$21+'Inputs'!$B$9+'Inputs'!$B$10))^2+('Inputs'!$B$6/2)^2))))*'Results'!$B$8))),"")</x:f>
        <x:v>0.585352447229503</x:v>
      </x:c>
      <x:c r="O852" t="n">
        <x:f>IF(AND(ISNUMBER('Results'!C7),ISNUMBER('Results'!B7),ISNUMBER('Results'!$B$8),ISNUMBER('Inputs'!$B$6),ISNUMBER('Inputs'!$B$7),ISNUMBER('Inputs'!$B$8),ISNUMBER('Inputs'!$B$9),ISNUMBER('Inputs'!$B$10),ISNUMBER('Inputs'!$B$21),ISNUMBER('Inputs'!$B$24),ISNUMBER('Inputs'!$B$28)),((('Results'!C7*(1+'Inputs'!$B$24)*(0.5*((((852-43)*MAX('Inputs'!$B$33,'Inputs'!$B$29+'Inputs'!$B$31+'Inputs'!$B$32,'Inputs'!$B$30+'Inputs'!$B$31+'Inputs'!$B$32)/1000+'Inputs'!$B$21)+'Inputs'!$B$9)/SQRT((((852-43)*MAX('Inputs'!$B$33,'Inputs'!$B$29+'Inputs'!$B$31+'Inputs'!$B$32,'Inputs'!$B$30+'Inputs'!$B$31+'Inputs'!$B$32)/1000+'Inputs'!$B$21)+'Inputs'!$B$9)^2+('Inputs'!$B$8/2)^2)-(((852-43)*MAX('Inputs'!$B$33,'Inputs'!$B$29+'Inputs'!$B$31+'Inputs'!$B$32,'Inputs'!$B$30+'Inputs'!$B$31+'Inputs'!$B$32)/1000+'Inputs'!$B$21))/SQRT((((852-43)*MAX('Inputs'!$B$33,'Inputs'!$B$29+'Inputs'!$B$31+'Inputs'!$B$32,'Inputs'!$B$30+'Inputs'!$B$31+'Inputs'!$B$32)/1000+'Inputs'!$B$21))^2+('Inputs'!$B$8/2)^2)))-'Results'!B7*(1-'Inputs'!$B$24)*(0.5*((((852-43)*MAX('Inputs'!$B$33,'Inputs'!$B$29+'Inputs'!$B$31+'Inputs'!$B$32,'Inputs'!$B$30+'Inputs'!$B$31+'Inputs'!$B$32)/1000+'Inputs'!$B$21+'Inputs'!$B$9+'Inputs'!$B$10)+'Inputs'!$B$7)/SQRT((((852-43)*MAX('Inputs'!$B$33,'Inputs'!$B$29+'Inputs'!$B$31+'Inputs'!$B$32,'Inputs'!$B$30+'Inputs'!$B$31+'Inputs'!$B$32)/1000+'Inputs'!$B$21+'Inputs'!$B$9+'Inputs'!$B$10)+'Inputs'!$B$7)^2+('Inputs'!$B$6/2)^2)-(((852-43)*MAX('Inputs'!$B$33,'Inputs'!$B$29+'Inputs'!$B$31+'Inputs'!$B$32,'Inputs'!$B$30+'Inputs'!$B$31+'Inputs'!$B$32)/1000+'Inputs'!$B$21+'Inputs'!$B$9+'Inputs'!$B$10))/SQRT((((852-43)*MAX('Inputs'!$B$33,'Inputs'!$B$29+'Inputs'!$B$31+'Inputs'!$B$32,'Inputs'!$B$30+'Inputs'!$B$31+'Inputs'!$B$32)/1000+'Inputs'!$B$21+'Inputs'!$B$9+'Inputs'!$B$10))^2+('Inputs'!$B$6/2)^2))))*'Results'!$B$8)+'Inputs'!$B$28*ABS((('Results'!C7*(1+'Inputs'!$B$24)*(0.5*((((852-43)*MAX('Inputs'!$B$33,'Inputs'!$B$29+'Inputs'!$B$31+'Inputs'!$B$32,'Inputs'!$B$30+'Inputs'!$B$31+'Inputs'!$B$32)/1000+'Inputs'!$B$21)+'Inputs'!$B$9)/SQRT((((852-43)*MAX('Inputs'!$B$33,'Inputs'!$B$29+'Inputs'!$B$31+'Inputs'!$B$32,'Inputs'!$B$30+'Inputs'!$B$31+'Inputs'!$B$32)/1000+'Inputs'!$B$21)+'Inputs'!$B$9)^2+('Inputs'!$B$8/2)^2)-(((852-43)*MAX('Inputs'!$B$33,'Inputs'!$B$29+'Inputs'!$B$31+'Inputs'!$B$32,'Inputs'!$B$30+'Inputs'!$B$31+'Inputs'!$B$32)/1000+'Inputs'!$B$21))/SQRT((((852-43)*MAX('Inputs'!$B$33,'Inputs'!$B$29+'Inputs'!$B$31+'Inputs'!$B$32,'Inputs'!$B$30+'Inputs'!$B$31+'Inputs'!$B$32)/1000+'Inputs'!$B$21))^2+('Inputs'!$B$8/2)^2)))-'Results'!B7*(1-'Inputs'!$B$24)*(0.5*((((852-43)*MAX('Inputs'!$B$33,'Inputs'!$B$29+'Inputs'!$B$31+'Inputs'!$B$32,'Inputs'!$B$30+'Inputs'!$B$31+'Inputs'!$B$32)/1000+'Inputs'!$B$21+'Inputs'!$B$9+'Inputs'!$B$10)+'Inputs'!$B$7)/SQRT((((852-43)*MAX('Inputs'!$B$33,'Inputs'!$B$29+'Inputs'!$B$31+'Inputs'!$B$32,'Inputs'!$B$30+'Inputs'!$B$31+'Inputs'!$B$32)/1000+'Inputs'!$B$21+'Inputs'!$B$9+'Inputs'!$B$10)+'Inputs'!$B$7)^2+('Inputs'!$B$6/2)^2)-(((852-43)*MAX('Inputs'!$B$33,'Inputs'!$B$29+'Inputs'!$B$31+'Inputs'!$B$32,'Inputs'!$B$30+'Inputs'!$B$31+'Inputs'!$B$32)/1000+'Inputs'!$B$21+'Inputs'!$B$9+'Inputs'!$B$10))/SQRT((((852-43)*MAX('Inputs'!$B$33,'Inputs'!$B$29+'Inputs'!$B$31+'Inputs'!$B$32,'Inputs'!$B$30+'Inputs'!$B$31+'Inputs'!$B$32)/1000+'Inputs'!$B$21+'Inputs'!$B$9+'Inputs'!$B$10))^2+('Inputs'!$B$6/2)^2))))*'Results'!$B$8))),"")</x:f>
        <x:v>0.8078535039372146</x:v>
      </x:c>
      <x:c r="P852" t="n">
        <x:f>IF(AND(MAX(J852,J851)&gt;0,J852&gt;J851+0.00000001),1,0)</x:f>
        <x:v>0</x:v>
      </x:c>
      <x:c r="Q852" t="n">
        <x:f>IF(AND(MAX(K852,K851)&gt;0,K852&gt;K851+0.00000001),1,0)</x:f>
        <x:v>0</x:v>
      </x:c>
      <x:c r="R852" t="n">
        <x:f>IF(AND(MAX(L852,L851)&gt;0,L852&gt;L851+0.00000001),1,0)</x:f>
        <x:v>0</x:v>
      </x:c>
      <x:c r="S852" t="n">
        <x:f>IF(AND(MAX(M852,M851)&gt;0,M852&gt;M851+0.00000001),1,0)</x:f>
        <x:v>0</x:v>
      </x:c>
      <x:c r="T852" t="n">
        <x:f>IF(AND(MAX(N852,N851)&gt;0,N852&gt;N851+0.00000001),1,0)</x:f>
        <x:v>0</x:v>
      </x:c>
      <x:c r="U852" t="n">
        <x:f>IF(AND(MAX(O852,O851)&gt;0,O852&gt;O851+0.00000001),1,0)</x:f>
        <x:v>0</x:v>
      </x:c>
    </x:row>
    <x:row r="853">
      <x:c r="J853" t="n">
        <x:f>IF(AND(ISNUMBER('Results'!B7),ISNUMBER('Results'!C7),ISNUMBER('Results'!$B$8),ISNUMBER('Inputs'!$B$6),ISNUMBER('Inputs'!$B$7),ISNUMBER('Inputs'!$B$8),ISNUMBER('Inputs'!$B$9),ISNUMBER('Inputs'!$B$10),ISNUMBER('Inputs'!$B$21),ISNUMBER('Inputs'!$B$24),ISNUMBER('Inputs'!$B$28)),(('Results'!B7*(0.5*((((853-43)*MAX('Inputs'!$B$33,'Inputs'!$B$29+'Inputs'!$B$31+'Inputs'!$B$32,'Inputs'!$B$30+'Inputs'!$B$31+'Inputs'!$B$32)/1000+'Inputs'!$B$21)+'Inputs'!$B$7)/SQRT((((853-43)*MAX('Inputs'!$B$33,'Inputs'!$B$29+'Inputs'!$B$31+'Inputs'!$B$32,'Inputs'!$B$30+'Inputs'!$B$31+'Inputs'!$B$32)/1000+'Inputs'!$B$21)+'Inputs'!$B$7)^2+('Inputs'!$B$6/2)^2)-(((853-43)*MAX('Inputs'!$B$33,'Inputs'!$B$29+'Inputs'!$B$31+'Inputs'!$B$32,'Inputs'!$B$30+'Inputs'!$B$31+'Inputs'!$B$32)/1000+'Inputs'!$B$21))/SQRT((((853-43)*MAX('Inputs'!$B$33,'Inputs'!$B$29+'Inputs'!$B$31+'Inputs'!$B$32,'Inputs'!$B$30+'Inputs'!$B$31+'Inputs'!$B$32)/1000+'Inputs'!$B$21))^2+('Inputs'!$B$6/2)^2)))-'Results'!C7*(0.5*((((853-43)*MAX('Inputs'!$B$33,'Inputs'!$B$29+'Inputs'!$B$31+'Inputs'!$B$32,'Inputs'!$B$30+'Inputs'!$B$31+'Inputs'!$B$32)/1000+'Inputs'!$B$21+'Inputs'!$B$7+'Inputs'!$B$10)+'Inputs'!$B$9)/SQRT((((853-43)*MAX('Inputs'!$B$33,'Inputs'!$B$29+'Inputs'!$B$31+'Inputs'!$B$32,'Inputs'!$B$30+'Inputs'!$B$31+'Inputs'!$B$32)/1000+'Inputs'!$B$21+'Inputs'!$B$7+'Inputs'!$B$10)+'Inputs'!$B$9)^2+('Inputs'!$B$8/2)^2)-(((853-43)*MAX('Inputs'!$B$33,'Inputs'!$B$29+'Inputs'!$B$31+'Inputs'!$B$32,'Inputs'!$B$30+'Inputs'!$B$31+'Inputs'!$B$32)/1000+'Inputs'!$B$21+'Inputs'!$B$7+'Inputs'!$B$10))/SQRT((((853-43)*MAX('Inputs'!$B$33,'Inputs'!$B$29+'Inputs'!$B$31+'Inputs'!$B$32,'Inputs'!$B$30+'Inputs'!$B$31+'Inputs'!$B$32)/1000+'Inputs'!$B$21+'Inputs'!$B$7+'Inputs'!$B$10))^2+('Inputs'!$B$8/2)^2))))*'Results'!$B$8),"")</x:f>
        <x:v>0.7668906200350504</x:v>
      </x:c>
      <x:c r="K853" t="n">
        <x:f>IF(AND(ISNUMBER('Results'!B7),ISNUMBER('Results'!C7),ISNUMBER('Results'!$B$8),ISNUMBER('Inputs'!$B$6),ISNUMBER('Inputs'!$B$7),ISNUMBER('Inputs'!$B$8),ISNUMBER('Inputs'!$B$9),ISNUMBER('Inputs'!$B$10),ISNUMBER('Inputs'!$B$21),ISNUMBER('Inputs'!$B$24),ISNUMBER('Inputs'!$B$28)),((('Results'!B7*(1-'Inputs'!$B$24)*(0.5*((((853-43)*MAX('Inputs'!$B$33,'Inputs'!$B$29+'Inputs'!$B$31+'Inputs'!$B$32,'Inputs'!$B$30+'Inputs'!$B$31+'Inputs'!$B$32)/1000+'Inputs'!$B$21)+'Inputs'!$B$7)/SQRT((((853-43)*MAX('Inputs'!$B$33,'Inputs'!$B$29+'Inputs'!$B$31+'Inputs'!$B$32,'Inputs'!$B$30+'Inputs'!$B$31+'Inputs'!$B$32)/1000+'Inputs'!$B$21)+'Inputs'!$B$7)^2+('Inputs'!$B$6/2)^2)-(((853-43)*MAX('Inputs'!$B$33,'Inputs'!$B$29+'Inputs'!$B$31+'Inputs'!$B$32,'Inputs'!$B$30+'Inputs'!$B$31+'Inputs'!$B$32)/1000+'Inputs'!$B$21))/SQRT((((853-43)*MAX('Inputs'!$B$33,'Inputs'!$B$29+'Inputs'!$B$31+'Inputs'!$B$32,'Inputs'!$B$30+'Inputs'!$B$31+'Inputs'!$B$32)/1000+'Inputs'!$B$21))^2+('Inputs'!$B$6/2)^2)))-'Results'!C7*(1+'Inputs'!$B$24)*(0.5*((((853-43)*MAX('Inputs'!$B$33,'Inputs'!$B$29+'Inputs'!$B$31+'Inputs'!$B$32,'Inputs'!$B$30+'Inputs'!$B$31+'Inputs'!$B$32)/1000+'Inputs'!$B$21+'Inputs'!$B$7+'Inputs'!$B$10)+'Inputs'!$B$9)/SQRT((((853-43)*MAX('Inputs'!$B$33,'Inputs'!$B$29+'Inputs'!$B$31+'Inputs'!$B$32,'Inputs'!$B$30+'Inputs'!$B$31+'Inputs'!$B$32)/1000+'Inputs'!$B$21+'Inputs'!$B$7+'Inputs'!$B$10)+'Inputs'!$B$9)^2+('Inputs'!$B$8/2)^2)-(((853-43)*MAX('Inputs'!$B$33,'Inputs'!$B$29+'Inputs'!$B$31+'Inputs'!$B$32,'Inputs'!$B$30+'Inputs'!$B$31+'Inputs'!$B$32)/1000+'Inputs'!$B$21+'Inputs'!$B$7+'Inputs'!$B$10))/SQRT((((853-43)*MAX('Inputs'!$B$33,'Inputs'!$B$29+'Inputs'!$B$31+'Inputs'!$B$32,'Inputs'!$B$30+'Inputs'!$B$31+'Inputs'!$B$32)/1000+'Inputs'!$B$21+'Inputs'!$B$7+'Inputs'!$B$10))^2+('Inputs'!$B$8/2)^2))))*'Results'!$B$8)-'Inputs'!$B$28*ABS((('Results'!B7*(1-'Inputs'!$B$24)*(0.5*((((853-43)*MAX('Inputs'!$B$33,'Inputs'!$B$29+'Inputs'!$B$31+'Inputs'!$B$32,'Inputs'!$B$30+'Inputs'!$B$31+'Inputs'!$B$32)/1000+'Inputs'!$B$21)+'Inputs'!$B$7)/SQRT((((853-43)*MAX('Inputs'!$B$33,'Inputs'!$B$29+'Inputs'!$B$31+'Inputs'!$B$32,'Inputs'!$B$30+'Inputs'!$B$31+'Inputs'!$B$32)/1000+'Inputs'!$B$21)+'Inputs'!$B$7)^2+('Inputs'!$B$6/2)^2)-(((853-43)*MAX('Inputs'!$B$33,'Inputs'!$B$29+'Inputs'!$B$31+'Inputs'!$B$32,'Inputs'!$B$30+'Inputs'!$B$31+'Inputs'!$B$32)/1000+'Inputs'!$B$21))/SQRT((((853-43)*MAX('Inputs'!$B$33,'Inputs'!$B$29+'Inputs'!$B$31+'Inputs'!$B$32,'Inputs'!$B$30+'Inputs'!$B$31+'Inputs'!$B$32)/1000+'Inputs'!$B$21))^2+('Inputs'!$B$6/2)^2)))-'Results'!C7*(1+'Inputs'!$B$24)*(0.5*((((853-43)*MAX('Inputs'!$B$33,'Inputs'!$B$29+'Inputs'!$B$31+'Inputs'!$B$32,'Inputs'!$B$30+'Inputs'!$B$31+'Inputs'!$B$32)/1000+'Inputs'!$B$21+'Inputs'!$B$7+'Inputs'!$B$10)+'Inputs'!$B$9)/SQRT((((853-43)*MAX('Inputs'!$B$33,'Inputs'!$B$29+'Inputs'!$B$31+'Inputs'!$B$32,'Inputs'!$B$30+'Inputs'!$B$31+'Inputs'!$B$32)/1000+'Inputs'!$B$21+'Inputs'!$B$7+'Inputs'!$B$10)+'Inputs'!$B$9)^2+('Inputs'!$B$8/2)^2)-(((853-43)*MAX('Inputs'!$B$33,'Inputs'!$B$29+'Inputs'!$B$31+'Inputs'!$B$32,'Inputs'!$B$30+'Inputs'!$B$31+'Inputs'!$B$32)/1000+'Inputs'!$B$21+'Inputs'!$B$7+'Inputs'!$B$10))/SQRT((((853-43)*MAX('Inputs'!$B$33,'Inputs'!$B$29+'Inputs'!$B$31+'Inputs'!$B$32,'Inputs'!$B$30+'Inputs'!$B$31+'Inputs'!$B$32)/1000+'Inputs'!$B$21+'Inputs'!$B$7+'Inputs'!$B$10))^2+('Inputs'!$B$8/2)^2))))*'Results'!$B$8))),"")</x:f>
        <x:v>0.6557330836160101</x:v>
      </x:c>
      <x:c r="L853" t="n">
        <x:f>IF(AND(ISNUMBER('Results'!B7),ISNUMBER('Results'!C7),ISNUMBER('Results'!$B$8),ISNUMBER('Inputs'!$B$6),ISNUMBER('Inputs'!$B$7),ISNUMBER('Inputs'!$B$8),ISNUMBER('Inputs'!$B$9),ISNUMBER('Inputs'!$B$10),ISNUMBER('Inputs'!$B$21),ISNUMBER('Inputs'!$B$24),ISNUMBER('Inputs'!$B$28)),((('Results'!B7*(1+'Inputs'!$B$24)*(0.5*((((853-43)*MAX('Inputs'!$B$33,'Inputs'!$B$29+'Inputs'!$B$31+'Inputs'!$B$32,'Inputs'!$B$30+'Inputs'!$B$31+'Inputs'!$B$32)/1000+'Inputs'!$B$21)+'Inputs'!$B$7)/SQRT((((853-43)*MAX('Inputs'!$B$33,'Inputs'!$B$29+'Inputs'!$B$31+'Inputs'!$B$32,'Inputs'!$B$30+'Inputs'!$B$31+'Inputs'!$B$32)/1000+'Inputs'!$B$21)+'Inputs'!$B$7)^2+('Inputs'!$B$6/2)^2)-(((853-43)*MAX('Inputs'!$B$33,'Inputs'!$B$29+'Inputs'!$B$31+'Inputs'!$B$32,'Inputs'!$B$30+'Inputs'!$B$31+'Inputs'!$B$32)/1000+'Inputs'!$B$21))/SQRT((((853-43)*MAX('Inputs'!$B$33,'Inputs'!$B$29+'Inputs'!$B$31+'Inputs'!$B$32,'Inputs'!$B$30+'Inputs'!$B$31+'Inputs'!$B$32)/1000+'Inputs'!$B$21))^2+('Inputs'!$B$6/2)^2)))-'Results'!C7*(1-'Inputs'!$B$24)*(0.5*((((853-43)*MAX('Inputs'!$B$33,'Inputs'!$B$29+'Inputs'!$B$31+'Inputs'!$B$32,'Inputs'!$B$30+'Inputs'!$B$31+'Inputs'!$B$32)/1000+'Inputs'!$B$21+'Inputs'!$B$7+'Inputs'!$B$10)+'Inputs'!$B$9)/SQRT((((853-43)*MAX('Inputs'!$B$33,'Inputs'!$B$29+'Inputs'!$B$31+'Inputs'!$B$32,'Inputs'!$B$30+'Inputs'!$B$31+'Inputs'!$B$32)/1000+'Inputs'!$B$21+'Inputs'!$B$7+'Inputs'!$B$10)+'Inputs'!$B$9)^2+('Inputs'!$B$8/2)^2)-(((853-43)*MAX('Inputs'!$B$33,'Inputs'!$B$29+'Inputs'!$B$31+'Inputs'!$B$32,'Inputs'!$B$30+'Inputs'!$B$31+'Inputs'!$B$32)/1000+'Inputs'!$B$21+'Inputs'!$B$7+'Inputs'!$B$10))/SQRT((((853-43)*MAX('Inputs'!$B$33,'Inputs'!$B$29+'Inputs'!$B$31+'Inputs'!$B$32,'Inputs'!$B$30+'Inputs'!$B$31+'Inputs'!$B$32)/1000+'Inputs'!$B$21+'Inputs'!$B$7+'Inputs'!$B$10))^2+('Inputs'!$B$8/2)^2))))*'Results'!$B$8)+'Inputs'!$B$28*ABS((('Results'!B7*(1+'Inputs'!$B$24)*(0.5*((((853-43)*MAX('Inputs'!$B$33,'Inputs'!$B$29+'Inputs'!$B$31+'Inputs'!$B$32,'Inputs'!$B$30+'Inputs'!$B$31+'Inputs'!$B$32)/1000+'Inputs'!$B$21)+'Inputs'!$B$7)/SQRT((((853-43)*MAX('Inputs'!$B$33,'Inputs'!$B$29+'Inputs'!$B$31+'Inputs'!$B$32,'Inputs'!$B$30+'Inputs'!$B$31+'Inputs'!$B$32)/1000+'Inputs'!$B$21)+'Inputs'!$B$7)^2+('Inputs'!$B$6/2)^2)-(((853-43)*MAX('Inputs'!$B$33,'Inputs'!$B$29+'Inputs'!$B$31+'Inputs'!$B$32,'Inputs'!$B$30+'Inputs'!$B$31+'Inputs'!$B$32)/1000+'Inputs'!$B$21))/SQRT((((853-43)*MAX('Inputs'!$B$33,'Inputs'!$B$29+'Inputs'!$B$31+'Inputs'!$B$32,'Inputs'!$B$30+'Inputs'!$B$31+'Inputs'!$B$32)/1000+'Inputs'!$B$21))^2+('Inputs'!$B$6/2)^2)))-'Results'!C7*(1-'Inputs'!$B$24)*(0.5*((((853-43)*MAX('Inputs'!$B$33,'Inputs'!$B$29+'Inputs'!$B$31+'Inputs'!$B$32,'Inputs'!$B$30+'Inputs'!$B$31+'Inputs'!$B$32)/1000+'Inputs'!$B$21+'Inputs'!$B$7+'Inputs'!$B$10)+'Inputs'!$B$9)/SQRT((((853-43)*MAX('Inputs'!$B$33,'Inputs'!$B$29+'Inputs'!$B$31+'Inputs'!$B$32,'Inputs'!$B$30+'Inputs'!$B$31+'Inputs'!$B$32)/1000+'Inputs'!$B$21+'Inputs'!$B$7+'Inputs'!$B$10)+'Inputs'!$B$9)^2+('Inputs'!$B$8/2)^2)-(((853-43)*MAX('Inputs'!$B$33,'Inputs'!$B$29+'Inputs'!$B$31+'Inputs'!$B$32,'Inputs'!$B$30+'Inputs'!$B$31+'Inputs'!$B$32)/1000+'Inputs'!$B$21+'Inputs'!$B$7+'Inputs'!$B$10))/SQRT((((853-43)*MAX('Inputs'!$B$33,'Inputs'!$B$29+'Inputs'!$B$31+'Inputs'!$B$32,'Inputs'!$B$30+'Inputs'!$B$31+'Inputs'!$B$32)/1000+'Inputs'!$B$21+'Inputs'!$B$7+'Inputs'!$B$10))^2+('Inputs'!$B$8/2)^2))))*'Results'!$B$8))),"")</x:f>
        <x:v>0.8857126833401215</x:v>
      </x:c>
      <x:c r="M853" t="n">
        <x:f>IF(AND(ISNUMBER('Results'!C7),ISNUMBER('Results'!B7),ISNUMBER('Results'!$B$8),ISNUMBER('Inputs'!$B$6),ISNUMBER('Inputs'!$B$7),ISNUMBER('Inputs'!$B$8),ISNUMBER('Inputs'!$B$9),ISNUMBER('Inputs'!$B$10),ISNUMBER('Inputs'!$B$21),ISNUMBER('Inputs'!$B$24),ISNUMBER('Inputs'!$B$28)),(('Results'!C7*(0.5*((((853-43)*MAX('Inputs'!$B$33,'Inputs'!$B$29+'Inputs'!$B$31+'Inputs'!$B$32,'Inputs'!$B$30+'Inputs'!$B$31+'Inputs'!$B$32)/1000+'Inputs'!$B$21)+'Inputs'!$B$9)/SQRT((((853-43)*MAX('Inputs'!$B$33,'Inputs'!$B$29+'Inputs'!$B$31+'Inputs'!$B$32,'Inputs'!$B$30+'Inputs'!$B$31+'Inputs'!$B$32)/1000+'Inputs'!$B$21)+'Inputs'!$B$9)^2+('Inputs'!$B$8/2)^2)-(((853-43)*MAX('Inputs'!$B$33,'Inputs'!$B$29+'Inputs'!$B$31+'Inputs'!$B$32,'Inputs'!$B$30+'Inputs'!$B$31+'Inputs'!$B$32)/1000+'Inputs'!$B$21))/SQRT((((853-43)*MAX('Inputs'!$B$33,'Inputs'!$B$29+'Inputs'!$B$31+'Inputs'!$B$32,'Inputs'!$B$30+'Inputs'!$B$31+'Inputs'!$B$32)/1000+'Inputs'!$B$21))^2+('Inputs'!$B$8/2)^2)))-'Results'!B7*(0.5*((((853-43)*MAX('Inputs'!$B$33,'Inputs'!$B$29+'Inputs'!$B$31+'Inputs'!$B$32,'Inputs'!$B$30+'Inputs'!$B$31+'Inputs'!$B$32)/1000+'Inputs'!$B$21+'Inputs'!$B$9+'Inputs'!$B$10)+'Inputs'!$B$7)/SQRT((((853-43)*MAX('Inputs'!$B$33,'Inputs'!$B$29+'Inputs'!$B$31+'Inputs'!$B$32,'Inputs'!$B$30+'Inputs'!$B$31+'Inputs'!$B$32)/1000+'Inputs'!$B$21+'Inputs'!$B$9+'Inputs'!$B$10)+'Inputs'!$B$7)^2+('Inputs'!$B$6/2)^2)-(((853-43)*MAX('Inputs'!$B$33,'Inputs'!$B$29+'Inputs'!$B$31+'Inputs'!$B$32,'Inputs'!$B$30+'Inputs'!$B$31+'Inputs'!$B$32)/1000+'Inputs'!$B$21+'Inputs'!$B$9+'Inputs'!$B$10))/SQRT((((853-43)*MAX('Inputs'!$B$33,'Inputs'!$B$29+'Inputs'!$B$31+'Inputs'!$B$32,'Inputs'!$B$30+'Inputs'!$B$31+'Inputs'!$B$32)/1000+'Inputs'!$B$21+'Inputs'!$B$9+'Inputs'!$B$10))^2+('Inputs'!$B$6/2)^2))))*'Results'!$B$8),"")</x:f>
        <x:v>0.6896197648843436</x:v>
      </x:c>
      <x:c r="N853" t="n">
        <x:f>IF(AND(ISNUMBER('Results'!C7),ISNUMBER('Results'!B7),ISNUMBER('Results'!$B$8),ISNUMBER('Inputs'!$B$6),ISNUMBER('Inputs'!$B$7),ISNUMBER('Inputs'!$B$8),ISNUMBER('Inputs'!$B$9),ISNUMBER('Inputs'!$B$10),ISNUMBER('Inputs'!$B$21),ISNUMBER('Inputs'!$B$24),ISNUMBER('Inputs'!$B$28)),((('Results'!C7*(1-'Inputs'!$B$24)*(0.5*((((853-43)*MAX('Inputs'!$B$33,'Inputs'!$B$29+'Inputs'!$B$31+'Inputs'!$B$32,'Inputs'!$B$30+'Inputs'!$B$31+'Inputs'!$B$32)/1000+'Inputs'!$B$21)+'Inputs'!$B$9)/SQRT((((853-43)*MAX('Inputs'!$B$33,'Inputs'!$B$29+'Inputs'!$B$31+'Inputs'!$B$32,'Inputs'!$B$30+'Inputs'!$B$31+'Inputs'!$B$32)/1000+'Inputs'!$B$21)+'Inputs'!$B$9)^2+('Inputs'!$B$8/2)^2)-(((853-43)*MAX('Inputs'!$B$33,'Inputs'!$B$29+'Inputs'!$B$31+'Inputs'!$B$32,'Inputs'!$B$30+'Inputs'!$B$31+'Inputs'!$B$32)/1000+'Inputs'!$B$21))/SQRT((((853-43)*MAX('Inputs'!$B$33,'Inputs'!$B$29+'Inputs'!$B$31+'Inputs'!$B$32,'Inputs'!$B$30+'Inputs'!$B$31+'Inputs'!$B$32)/1000+'Inputs'!$B$21))^2+('Inputs'!$B$8/2)^2)))-'Results'!B7*(1+'Inputs'!$B$24)*(0.5*((((853-43)*MAX('Inputs'!$B$33,'Inputs'!$B$29+'Inputs'!$B$31+'Inputs'!$B$32,'Inputs'!$B$30+'Inputs'!$B$31+'Inputs'!$B$32)/1000+'Inputs'!$B$21+'Inputs'!$B$9+'Inputs'!$B$10)+'Inputs'!$B$7)/SQRT((((853-43)*MAX('Inputs'!$B$33,'Inputs'!$B$29+'Inputs'!$B$31+'Inputs'!$B$32,'Inputs'!$B$30+'Inputs'!$B$31+'Inputs'!$B$32)/1000+'Inputs'!$B$21+'Inputs'!$B$9+'Inputs'!$B$10)+'Inputs'!$B$7)^2+('Inputs'!$B$6/2)^2)-(((853-43)*MAX('Inputs'!$B$33,'Inputs'!$B$29+'Inputs'!$B$31+'Inputs'!$B$32,'Inputs'!$B$30+'Inputs'!$B$31+'Inputs'!$B$32)/1000+'Inputs'!$B$21+'Inputs'!$B$9+'Inputs'!$B$10))/SQRT((((853-43)*MAX('Inputs'!$B$33,'Inputs'!$B$29+'Inputs'!$B$31+'Inputs'!$B$32,'Inputs'!$B$30+'Inputs'!$B$31+'Inputs'!$B$32)/1000+'Inputs'!$B$21+'Inputs'!$B$9+'Inputs'!$B$10))^2+('Inputs'!$B$6/2)^2))))*'Results'!$B$8)-'Inputs'!$B$28*ABS((('Results'!C7*(1-'Inputs'!$B$24)*(0.5*((((853-43)*MAX('Inputs'!$B$33,'Inputs'!$B$29+'Inputs'!$B$31+'Inputs'!$B$32,'Inputs'!$B$30+'Inputs'!$B$31+'Inputs'!$B$32)/1000+'Inputs'!$B$21)+'Inputs'!$B$9)/SQRT((((853-43)*MAX('Inputs'!$B$33,'Inputs'!$B$29+'Inputs'!$B$31+'Inputs'!$B$32,'Inputs'!$B$30+'Inputs'!$B$31+'Inputs'!$B$32)/1000+'Inputs'!$B$21)+'Inputs'!$B$9)^2+('Inputs'!$B$8/2)^2)-(((853-43)*MAX('Inputs'!$B$33,'Inputs'!$B$29+'Inputs'!$B$31+'Inputs'!$B$32,'Inputs'!$B$30+'Inputs'!$B$31+'Inputs'!$B$32)/1000+'Inputs'!$B$21))/SQRT((((853-43)*MAX('Inputs'!$B$33,'Inputs'!$B$29+'Inputs'!$B$31+'Inputs'!$B$32,'Inputs'!$B$30+'Inputs'!$B$31+'Inputs'!$B$32)/1000+'Inputs'!$B$21))^2+('Inputs'!$B$8/2)^2)))-'Results'!B7*(1+'Inputs'!$B$24)*(0.5*((((853-43)*MAX('Inputs'!$B$33,'Inputs'!$B$29+'Inputs'!$B$31+'Inputs'!$B$32,'Inputs'!$B$30+'Inputs'!$B$31+'Inputs'!$B$32)/1000+'Inputs'!$B$21+'Inputs'!$B$9+'Inputs'!$B$10)+'Inputs'!$B$7)/SQRT((((853-43)*MAX('Inputs'!$B$33,'Inputs'!$B$29+'Inputs'!$B$31+'Inputs'!$B$32,'Inputs'!$B$30+'Inputs'!$B$31+'Inputs'!$B$32)/1000+'Inputs'!$B$21+'Inputs'!$B$9+'Inputs'!$B$10)+'Inputs'!$B$7)^2+('Inputs'!$B$6/2)^2)-(((853-43)*MAX('Inputs'!$B$33,'Inputs'!$B$29+'Inputs'!$B$31+'Inputs'!$B$32,'Inputs'!$B$30+'Inputs'!$B$31+'Inputs'!$B$32)/1000+'Inputs'!$B$21+'Inputs'!$B$9+'Inputs'!$B$10))/SQRT((((853-43)*MAX('Inputs'!$B$33,'Inputs'!$B$29+'Inputs'!$B$31+'Inputs'!$B$32,'Inputs'!$B$30+'Inputs'!$B$31+'Inputs'!$B$32)/1000+'Inputs'!$B$21+'Inputs'!$B$9+'Inputs'!$B$10))^2+('Inputs'!$B$6/2)^2))))*'Results'!$B$8))),"")</x:f>
        <x:v>0.5826053035189337</x:v>
      </x:c>
      <x:c r="O853" t="n">
        <x:f>IF(AND(ISNUMBER('Results'!C7),ISNUMBER('Results'!B7),ISNUMBER('Results'!$B$8),ISNUMBER('Inputs'!$B$6),ISNUMBER('Inputs'!$B$7),ISNUMBER('Inputs'!$B$8),ISNUMBER('Inputs'!$B$9),ISNUMBER('Inputs'!$B$10),ISNUMBER('Inputs'!$B$21),ISNUMBER('Inputs'!$B$24),ISNUMBER('Inputs'!$B$28)),((('Results'!C7*(1+'Inputs'!$B$24)*(0.5*((((853-43)*MAX('Inputs'!$B$33,'Inputs'!$B$29+'Inputs'!$B$31+'Inputs'!$B$32,'Inputs'!$B$30+'Inputs'!$B$31+'Inputs'!$B$32)/1000+'Inputs'!$B$21)+'Inputs'!$B$9)/SQRT((((853-43)*MAX('Inputs'!$B$33,'Inputs'!$B$29+'Inputs'!$B$31+'Inputs'!$B$32,'Inputs'!$B$30+'Inputs'!$B$31+'Inputs'!$B$32)/1000+'Inputs'!$B$21)+'Inputs'!$B$9)^2+('Inputs'!$B$8/2)^2)-(((853-43)*MAX('Inputs'!$B$33,'Inputs'!$B$29+'Inputs'!$B$31+'Inputs'!$B$32,'Inputs'!$B$30+'Inputs'!$B$31+'Inputs'!$B$32)/1000+'Inputs'!$B$21))/SQRT((((853-43)*MAX('Inputs'!$B$33,'Inputs'!$B$29+'Inputs'!$B$31+'Inputs'!$B$32,'Inputs'!$B$30+'Inputs'!$B$31+'Inputs'!$B$32)/1000+'Inputs'!$B$21))^2+('Inputs'!$B$8/2)^2)))-'Results'!B7*(1-'Inputs'!$B$24)*(0.5*((((853-43)*MAX('Inputs'!$B$33,'Inputs'!$B$29+'Inputs'!$B$31+'Inputs'!$B$32,'Inputs'!$B$30+'Inputs'!$B$31+'Inputs'!$B$32)/1000+'Inputs'!$B$21+'Inputs'!$B$9+'Inputs'!$B$10)+'Inputs'!$B$7)/SQRT((((853-43)*MAX('Inputs'!$B$33,'Inputs'!$B$29+'Inputs'!$B$31+'Inputs'!$B$32,'Inputs'!$B$30+'Inputs'!$B$31+'Inputs'!$B$32)/1000+'Inputs'!$B$21+'Inputs'!$B$9+'Inputs'!$B$10)+'Inputs'!$B$7)^2+('Inputs'!$B$6/2)^2)-(((853-43)*MAX('Inputs'!$B$33,'Inputs'!$B$29+'Inputs'!$B$31+'Inputs'!$B$32,'Inputs'!$B$30+'Inputs'!$B$31+'Inputs'!$B$32)/1000+'Inputs'!$B$21+'Inputs'!$B$9+'Inputs'!$B$10))/SQRT((((853-43)*MAX('Inputs'!$B$33,'Inputs'!$B$29+'Inputs'!$B$31+'Inputs'!$B$32,'Inputs'!$B$30+'Inputs'!$B$31+'Inputs'!$B$32)/1000+'Inputs'!$B$21+'Inputs'!$B$9+'Inputs'!$B$10))^2+('Inputs'!$B$6/2)^2))))*'Results'!$B$8)+'Inputs'!$B$28*ABS((('Results'!C7*(1+'Inputs'!$B$24)*(0.5*((((853-43)*MAX('Inputs'!$B$33,'Inputs'!$B$29+'Inputs'!$B$31+'Inputs'!$B$32,'Inputs'!$B$30+'Inputs'!$B$31+'Inputs'!$B$32)/1000+'Inputs'!$B$21)+'Inputs'!$B$9)/SQRT((((853-43)*MAX('Inputs'!$B$33,'Inputs'!$B$29+'Inputs'!$B$31+'Inputs'!$B$32,'Inputs'!$B$30+'Inputs'!$B$31+'Inputs'!$B$32)/1000+'Inputs'!$B$21)+'Inputs'!$B$9)^2+('Inputs'!$B$8/2)^2)-(((853-43)*MAX('Inputs'!$B$33,'Inputs'!$B$29+'Inputs'!$B$31+'Inputs'!$B$32,'Inputs'!$B$30+'Inputs'!$B$31+'Inputs'!$B$32)/1000+'Inputs'!$B$21))/SQRT((((853-43)*MAX('Inputs'!$B$33,'Inputs'!$B$29+'Inputs'!$B$31+'Inputs'!$B$32,'Inputs'!$B$30+'Inputs'!$B$31+'Inputs'!$B$32)/1000+'Inputs'!$B$21))^2+('Inputs'!$B$8/2)^2)))-'Results'!B7*(1-'Inputs'!$B$24)*(0.5*((((853-43)*MAX('Inputs'!$B$33,'Inputs'!$B$29+'Inputs'!$B$31+'Inputs'!$B$32,'Inputs'!$B$30+'Inputs'!$B$31+'Inputs'!$B$32)/1000+'Inputs'!$B$21+'Inputs'!$B$9+'Inputs'!$B$10)+'Inputs'!$B$7)/SQRT((((853-43)*MAX('Inputs'!$B$33,'Inputs'!$B$29+'Inputs'!$B$31+'Inputs'!$B$32,'Inputs'!$B$30+'Inputs'!$B$31+'Inputs'!$B$32)/1000+'Inputs'!$B$21+'Inputs'!$B$9+'Inputs'!$B$10)+'Inputs'!$B$7)^2+('Inputs'!$B$6/2)^2)-(((853-43)*MAX('Inputs'!$B$33,'Inputs'!$B$29+'Inputs'!$B$31+'Inputs'!$B$32,'Inputs'!$B$30+'Inputs'!$B$31+'Inputs'!$B$32)/1000+'Inputs'!$B$21+'Inputs'!$B$9+'Inputs'!$B$10))/SQRT((((853-43)*MAX('Inputs'!$B$33,'Inputs'!$B$29+'Inputs'!$B$31+'Inputs'!$B$32,'Inputs'!$B$30+'Inputs'!$B$31+'Inputs'!$B$32)/1000+'Inputs'!$B$21+'Inputs'!$B$9+'Inputs'!$B$10))^2+('Inputs'!$B$6/2)^2))))*'Results'!$B$8))),"")</x:f>
        <x:v>0.8042693286835626</x:v>
      </x:c>
      <x:c r="P853" t="n">
        <x:f>IF(AND(MAX(J853,J852)&gt;0,J853&gt;J852+0.00000001),1,0)</x:f>
        <x:v>0</x:v>
      </x:c>
      <x:c r="Q853" t="n">
        <x:f>IF(AND(MAX(K853,K852)&gt;0,K853&gt;K852+0.00000001),1,0)</x:f>
        <x:v>0</x:v>
      </x:c>
      <x:c r="R853" t="n">
        <x:f>IF(AND(MAX(L853,L852)&gt;0,L853&gt;L852+0.00000001),1,0)</x:f>
        <x:v>0</x:v>
      </x:c>
      <x:c r="S853" t="n">
        <x:f>IF(AND(MAX(M853,M852)&gt;0,M853&gt;M852+0.00000001),1,0)</x:f>
        <x:v>0</x:v>
      </x:c>
      <x:c r="T853" t="n">
        <x:f>IF(AND(MAX(N853,N852)&gt;0,N853&gt;N852+0.00000001),1,0)</x:f>
        <x:v>0</x:v>
      </x:c>
      <x:c r="U853" t="n">
        <x:f>IF(AND(MAX(O853,O852)&gt;0,O853&gt;O852+0.00000001),1,0)</x:f>
        <x:v>0</x:v>
      </x:c>
    </x:row>
    <x:row r="854">
      <x:c r="J854" t="n">
        <x:f>IF(AND(ISNUMBER('Results'!B7),ISNUMBER('Results'!C7),ISNUMBER('Results'!$B$8),ISNUMBER('Inputs'!$B$6),ISNUMBER('Inputs'!$B$7),ISNUMBER('Inputs'!$B$8),ISNUMBER('Inputs'!$B$9),ISNUMBER('Inputs'!$B$10),ISNUMBER('Inputs'!$B$21),ISNUMBER('Inputs'!$B$24),ISNUMBER('Inputs'!$B$28)),(('Results'!B7*(0.5*((((854-43)*MAX('Inputs'!$B$33,'Inputs'!$B$29+'Inputs'!$B$31+'Inputs'!$B$32,'Inputs'!$B$30+'Inputs'!$B$31+'Inputs'!$B$32)/1000+'Inputs'!$B$21)+'Inputs'!$B$7)/SQRT((((854-43)*MAX('Inputs'!$B$33,'Inputs'!$B$29+'Inputs'!$B$31+'Inputs'!$B$32,'Inputs'!$B$30+'Inputs'!$B$31+'Inputs'!$B$32)/1000+'Inputs'!$B$21)+'Inputs'!$B$7)^2+('Inputs'!$B$6/2)^2)-(((854-43)*MAX('Inputs'!$B$33,'Inputs'!$B$29+'Inputs'!$B$31+'Inputs'!$B$32,'Inputs'!$B$30+'Inputs'!$B$31+'Inputs'!$B$32)/1000+'Inputs'!$B$21))/SQRT((((854-43)*MAX('Inputs'!$B$33,'Inputs'!$B$29+'Inputs'!$B$31+'Inputs'!$B$32,'Inputs'!$B$30+'Inputs'!$B$31+'Inputs'!$B$32)/1000+'Inputs'!$B$21))^2+('Inputs'!$B$6/2)^2)))-'Results'!C7*(0.5*((((854-43)*MAX('Inputs'!$B$33,'Inputs'!$B$29+'Inputs'!$B$31+'Inputs'!$B$32,'Inputs'!$B$30+'Inputs'!$B$31+'Inputs'!$B$32)/1000+'Inputs'!$B$21+'Inputs'!$B$7+'Inputs'!$B$10)+'Inputs'!$B$9)/SQRT((((854-43)*MAX('Inputs'!$B$33,'Inputs'!$B$29+'Inputs'!$B$31+'Inputs'!$B$32,'Inputs'!$B$30+'Inputs'!$B$31+'Inputs'!$B$32)/1000+'Inputs'!$B$21+'Inputs'!$B$7+'Inputs'!$B$10)+'Inputs'!$B$9)^2+('Inputs'!$B$8/2)^2)-(((854-43)*MAX('Inputs'!$B$33,'Inputs'!$B$29+'Inputs'!$B$31+'Inputs'!$B$32,'Inputs'!$B$30+'Inputs'!$B$31+'Inputs'!$B$32)/1000+'Inputs'!$B$21+'Inputs'!$B$7+'Inputs'!$B$10))/SQRT((((854-43)*MAX('Inputs'!$B$33,'Inputs'!$B$29+'Inputs'!$B$31+'Inputs'!$B$32,'Inputs'!$B$30+'Inputs'!$B$31+'Inputs'!$B$32)/1000+'Inputs'!$B$21+'Inputs'!$B$7+'Inputs'!$B$10))^2+('Inputs'!$B$8/2)^2))))*'Results'!$B$8),"")</x:f>
        <x:v>0.7634928197030129</x:v>
      </x:c>
      <x:c r="K854" t="n">
        <x:f>IF(AND(ISNUMBER('Results'!B7),ISNUMBER('Results'!C7),ISNUMBER('Results'!$B$8),ISNUMBER('Inputs'!$B$6),ISNUMBER('Inputs'!$B$7),ISNUMBER('Inputs'!$B$8),ISNUMBER('Inputs'!$B$9),ISNUMBER('Inputs'!$B$10),ISNUMBER('Inputs'!$B$21),ISNUMBER('Inputs'!$B$24),ISNUMBER('Inputs'!$B$28)),((('Results'!B7*(1-'Inputs'!$B$24)*(0.5*((((854-43)*MAX('Inputs'!$B$33,'Inputs'!$B$29+'Inputs'!$B$31+'Inputs'!$B$32,'Inputs'!$B$30+'Inputs'!$B$31+'Inputs'!$B$32)/1000+'Inputs'!$B$21)+'Inputs'!$B$7)/SQRT((((854-43)*MAX('Inputs'!$B$33,'Inputs'!$B$29+'Inputs'!$B$31+'Inputs'!$B$32,'Inputs'!$B$30+'Inputs'!$B$31+'Inputs'!$B$32)/1000+'Inputs'!$B$21)+'Inputs'!$B$7)^2+('Inputs'!$B$6/2)^2)-(((854-43)*MAX('Inputs'!$B$33,'Inputs'!$B$29+'Inputs'!$B$31+'Inputs'!$B$32,'Inputs'!$B$30+'Inputs'!$B$31+'Inputs'!$B$32)/1000+'Inputs'!$B$21))/SQRT((((854-43)*MAX('Inputs'!$B$33,'Inputs'!$B$29+'Inputs'!$B$31+'Inputs'!$B$32,'Inputs'!$B$30+'Inputs'!$B$31+'Inputs'!$B$32)/1000+'Inputs'!$B$21))^2+('Inputs'!$B$6/2)^2)))-'Results'!C7*(1+'Inputs'!$B$24)*(0.5*((((854-43)*MAX('Inputs'!$B$33,'Inputs'!$B$29+'Inputs'!$B$31+'Inputs'!$B$32,'Inputs'!$B$30+'Inputs'!$B$31+'Inputs'!$B$32)/1000+'Inputs'!$B$21+'Inputs'!$B$7+'Inputs'!$B$10)+'Inputs'!$B$9)/SQRT((((854-43)*MAX('Inputs'!$B$33,'Inputs'!$B$29+'Inputs'!$B$31+'Inputs'!$B$32,'Inputs'!$B$30+'Inputs'!$B$31+'Inputs'!$B$32)/1000+'Inputs'!$B$21+'Inputs'!$B$7+'Inputs'!$B$10)+'Inputs'!$B$9)^2+('Inputs'!$B$8/2)^2)-(((854-43)*MAX('Inputs'!$B$33,'Inputs'!$B$29+'Inputs'!$B$31+'Inputs'!$B$32,'Inputs'!$B$30+'Inputs'!$B$31+'Inputs'!$B$32)/1000+'Inputs'!$B$21+'Inputs'!$B$7+'Inputs'!$B$10))/SQRT((((854-43)*MAX('Inputs'!$B$33,'Inputs'!$B$29+'Inputs'!$B$31+'Inputs'!$B$32,'Inputs'!$B$30+'Inputs'!$B$31+'Inputs'!$B$32)/1000+'Inputs'!$B$21+'Inputs'!$B$7+'Inputs'!$B$10))^2+('Inputs'!$B$8/2)^2))))*'Results'!$B$8)-'Inputs'!$B$28*ABS((('Results'!B7*(1-'Inputs'!$B$24)*(0.5*((((854-43)*MAX('Inputs'!$B$33,'Inputs'!$B$29+'Inputs'!$B$31+'Inputs'!$B$32,'Inputs'!$B$30+'Inputs'!$B$31+'Inputs'!$B$32)/1000+'Inputs'!$B$21)+'Inputs'!$B$7)/SQRT((((854-43)*MAX('Inputs'!$B$33,'Inputs'!$B$29+'Inputs'!$B$31+'Inputs'!$B$32,'Inputs'!$B$30+'Inputs'!$B$31+'Inputs'!$B$32)/1000+'Inputs'!$B$21)+'Inputs'!$B$7)^2+('Inputs'!$B$6/2)^2)-(((854-43)*MAX('Inputs'!$B$33,'Inputs'!$B$29+'Inputs'!$B$31+'Inputs'!$B$32,'Inputs'!$B$30+'Inputs'!$B$31+'Inputs'!$B$32)/1000+'Inputs'!$B$21))/SQRT((((854-43)*MAX('Inputs'!$B$33,'Inputs'!$B$29+'Inputs'!$B$31+'Inputs'!$B$32,'Inputs'!$B$30+'Inputs'!$B$31+'Inputs'!$B$32)/1000+'Inputs'!$B$21))^2+('Inputs'!$B$6/2)^2)))-'Results'!C7*(1+'Inputs'!$B$24)*(0.5*((((854-43)*MAX('Inputs'!$B$33,'Inputs'!$B$29+'Inputs'!$B$31+'Inputs'!$B$32,'Inputs'!$B$30+'Inputs'!$B$31+'Inputs'!$B$32)/1000+'Inputs'!$B$21+'Inputs'!$B$7+'Inputs'!$B$10)+'Inputs'!$B$9)/SQRT((((854-43)*MAX('Inputs'!$B$33,'Inputs'!$B$29+'Inputs'!$B$31+'Inputs'!$B$32,'Inputs'!$B$30+'Inputs'!$B$31+'Inputs'!$B$32)/1000+'Inputs'!$B$21+'Inputs'!$B$7+'Inputs'!$B$10)+'Inputs'!$B$9)^2+('Inputs'!$B$8/2)^2)-(((854-43)*MAX('Inputs'!$B$33,'Inputs'!$B$29+'Inputs'!$B$31+'Inputs'!$B$32,'Inputs'!$B$30+'Inputs'!$B$31+'Inputs'!$B$32)/1000+'Inputs'!$B$21+'Inputs'!$B$7+'Inputs'!$B$10))/SQRT((((854-43)*MAX('Inputs'!$B$33,'Inputs'!$B$29+'Inputs'!$B$31+'Inputs'!$B$32,'Inputs'!$B$30+'Inputs'!$B$31+'Inputs'!$B$32)/1000+'Inputs'!$B$21+'Inputs'!$B$7+'Inputs'!$B$10))^2+('Inputs'!$B$8/2)^2))))*'Results'!$B$8))),"")</x:f>
        <x:v>0.6527531416688437</x:v>
      </x:c>
      <x:c r="L854" t="n">
        <x:f>IF(AND(ISNUMBER('Results'!B7),ISNUMBER('Results'!C7),ISNUMBER('Results'!$B$8),ISNUMBER('Inputs'!$B$6),ISNUMBER('Inputs'!$B$7),ISNUMBER('Inputs'!$B$8),ISNUMBER('Inputs'!$B$9),ISNUMBER('Inputs'!$B$10),ISNUMBER('Inputs'!$B$21),ISNUMBER('Inputs'!$B$24),ISNUMBER('Inputs'!$B$28)),((('Results'!B7*(1+'Inputs'!$B$24)*(0.5*((((854-43)*MAX('Inputs'!$B$33,'Inputs'!$B$29+'Inputs'!$B$31+'Inputs'!$B$32,'Inputs'!$B$30+'Inputs'!$B$31+'Inputs'!$B$32)/1000+'Inputs'!$B$21)+'Inputs'!$B$7)/SQRT((((854-43)*MAX('Inputs'!$B$33,'Inputs'!$B$29+'Inputs'!$B$31+'Inputs'!$B$32,'Inputs'!$B$30+'Inputs'!$B$31+'Inputs'!$B$32)/1000+'Inputs'!$B$21)+'Inputs'!$B$7)^2+('Inputs'!$B$6/2)^2)-(((854-43)*MAX('Inputs'!$B$33,'Inputs'!$B$29+'Inputs'!$B$31+'Inputs'!$B$32,'Inputs'!$B$30+'Inputs'!$B$31+'Inputs'!$B$32)/1000+'Inputs'!$B$21))/SQRT((((854-43)*MAX('Inputs'!$B$33,'Inputs'!$B$29+'Inputs'!$B$31+'Inputs'!$B$32,'Inputs'!$B$30+'Inputs'!$B$31+'Inputs'!$B$32)/1000+'Inputs'!$B$21))^2+('Inputs'!$B$6/2)^2)))-'Results'!C7*(1-'Inputs'!$B$24)*(0.5*((((854-43)*MAX('Inputs'!$B$33,'Inputs'!$B$29+'Inputs'!$B$31+'Inputs'!$B$32,'Inputs'!$B$30+'Inputs'!$B$31+'Inputs'!$B$32)/1000+'Inputs'!$B$21+'Inputs'!$B$7+'Inputs'!$B$10)+'Inputs'!$B$9)/SQRT((((854-43)*MAX('Inputs'!$B$33,'Inputs'!$B$29+'Inputs'!$B$31+'Inputs'!$B$32,'Inputs'!$B$30+'Inputs'!$B$31+'Inputs'!$B$32)/1000+'Inputs'!$B$21+'Inputs'!$B$7+'Inputs'!$B$10)+'Inputs'!$B$9)^2+('Inputs'!$B$8/2)^2)-(((854-43)*MAX('Inputs'!$B$33,'Inputs'!$B$29+'Inputs'!$B$31+'Inputs'!$B$32,'Inputs'!$B$30+'Inputs'!$B$31+'Inputs'!$B$32)/1000+'Inputs'!$B$21+'Inputs'!$B$7+'Inputs'!$B$10))/SQRT((((854-43)*MAX('Inputs'!$B$33,'Inputs'!$B$29+'Inputs'!$B$31+'Inputs'!$B$32,'Inputs'!$B$30+'Inputs'!$B$31+'Inputs'!$B$32)/1000+'Inputs'!$B$21+'Inputs'!$B$7+'Inputs'!$B$10))^2+('Inputs'!$B$8/2)^2))))*'Results'!$B$8)+'Inputs'!$B$28*ABS((('Results'!B7*(1+'Inputs'!$B$24)*(0.5*((((854-43)*MAX('Inputs'!$B$33,'Inputs'!$B$29+'Inputs'!$B$31+'Inputs'!$B$32,'Inputs'!$B$30+'Inputs'!$B$31+'Inputs'!$B$32)/1000+'Inputs'!$B$21)+'Inputs'!$B$7)/SQRT((((854-43)*MAX('Inputs'!$B$33,'Inputs'!$B$29+'Inputs'!$B$31+'Inputs'!$B$32,'Inputs'!$B$30+'Inputs'!$B$31+'Inputs'!$B$32)/1000+'Inputs'!$B$21)+'Inputs'!$B$7)^2+('Inputs'!$B$6/2)^2)-(((854-43)*MAX('Inputs'!$B$33,'Inputs'!$B$29+'Inputs'!$B$31+'Inputs'!$B$32,'Inputs'!$B$30+'Inputs'!$B$31+'Inputs'!$B$32)/1000+'Inputs'!$B$21))/SQRT((((854-43)*MAX('Inputs'!$B$33,'Inputs'!$B$29+'Inputs'!$B$31+'Inputs'!$B$32,'Inputs'!$B$30+'Inputs'!$B$31+'Inputs'!$B$32)/1000+'Inputs'!$B$21))^2+('Inputs'!$B$6/2)^2)))-'Results'!C7*(1-'Inputs'!$B$24)*(0.5*((((854-43)*MAX('Inputs'!$B$33,'Inputs'!$B$29+'Inputs'!$B$31+'Inputs'!$B$32,'Inputs'!$B$30+'Inputs'!$B$31+'Inputs'!$B$32)/1000+'Inputs'!$B$21+'Inputs'!$B$7+'Inputs'!$B$10)+'Inputs'!$B$9)/SQRT((((854-43)*MAX('Inputs'!$B$33,'Inputs'!$B$29+'Inputs'!$B$31+'Inputs'!$B$32,'Inputs'!$B$30+'Inputs'!$B$31+'Inputs'!$B$32)/1000+'Inputs'!$B$21+'Inputs'!$B$7+'Inputs'!$B$10)+'Inputs'!$B$9)^2+('Inputs'!$B$8/2)^2)-(((854-43)*MAX('Inputs'!$B$33,'Inputs'!$B$29+'Inputs'!$B$31+'Inputs'!$B$32,'Inputs'!$B$30+'Inputs'!$B$31+'Inputs'!$B$32)/1000+'Inputs'!$B$21+'Inputs'!$B$7+'Inputs'!$B$10))/SQRT((((854-43)*MAX('Inputs'!$B$33,'Inputs'!$B$29+'Inputs'!$B$31+'Inputs'!$B$32,'Inputs'!$B$30+'Inputs'!$B$31+'Inputs'!$B$32)/1000+'Inputs'!$B$21+'Inputs'!$B$7+'Inputs'!$B$10))^2+('Inputs'!$B$8/2)^2))))*'Results'!$B$8))),"")</x:f>
        <x:v>0.8818709226897101</x:v>
      </x:c>
      <x:c r="M854" t="n">
        <x:f>IF(AND(ISNUMBER('Results'!C7),ISNUMBER('Results'!B7),ISNUMBER('Results'!$B$8),ISNUMBER('Inputs'!$B$6),ISNUMBER('Inputs'!$B$7),ISNUMBER('Inputs'!$B$8),ISNUMBER('Inputs'!$B$9),ISNUMBER('Inputs'!$B$10),ISNUMBER('Inputs'!$B$21),ISNUMBER('Inputs'!$B$24),ISNUMBER('Inputs'!$B$28)),(('Results'!C7*(0.5*((((854-43)*MAX('Inputs'!$B$33,'Inputs'!$B$29+'Inputs'!$B$31+'Inputs'!$B$32,'Inputs'!$B$30+'Inputs'!$B$31+'Inputs'!$B$32)/1000+'Inputs'!$B$21)+'Inputs'!$B$9)/SQRT((((854-43)*MAX('Inputs'!$B$33,'Inputs'!$B$29+'Inputs'!$B$31+'Inputs'!$B$32,'Inputs'!$B$30+'Inputs'!$B$31+'Inputs'!$B$32)/1000+'Inputs'!$B$21)+'Inputs'!$B$9)^2+('Inputs'!$B$8/2)^2)-(((854-43)*MAX('Inputs'!$B$33,'Inputs'!$B$29+'Inputs'!$B$31+'Inputs'!$B$32,'Inputs'!$B$30+'Inputs'!$B$31+'Inputs'!$B$32)/1000+'Inputs'!$B$21))/SQRT((((854-43)*MAX('Inputs'!$B$33,'Inputs'!$B$29+'Inputs'!$B$31+'Inputs'!$B$32,'Inputs'!$B$30+'Inputs'!$B$31+'Inputs'!$B$32)/1000+'Inputs'!$B$21))^2+('Inputs'!$B$8/2)^2)))-'Results'!B7*(0.5*((((854-43)*MAX('Inputs'!$B$33,'Inputs'!$B$29+'Inputs'!$B$31+'Inputs'!$B$32,'Inputs'!$B$30+'Inputs'!$B$31+'Inputs'!$B$32)/1000+'Inputs'!$B$21+'Inputs'!$B$9+'Inputs'!$B$10)+'Inputs'!$B$7)/SQRT((((854-43)*MAX('Inputs'!$B$33,'Inputs'!$B$29+'Inputs'!$B$31+'Inputs'!$B$32,'Inputs'!$B$30+'Inputs'!$B$31+'Inputs'!$B$32)/1000+'Inputs'!$B$21+'Inputs'!$B$9+'Inputs'!$B$10)+'Inputs'!$B$7)^2+('Inputs'!$B$6/2)^2)-(((854-43)*MAX('Inputs'!$B$33,'Inputs'!$B$29+'Inputs'!$B$31+'Inputs'!$B$32,'Inputs'!$B$30+'Inputs'!$B$31+'Inputs'!$B$32)/1000+'Inputs'!$B$21+'Inputs'!$B$9+'Inputs'!$B$10))/SQRT((((854-43)*MAX('Inputs'!$B$33,'Inputs'!$B$29+'Inputs'!$B$31+'Inputs'!$B$32,'Inputs'!$B$30+'Inputs'!$B$31+'Inputs'!$B$32)/1000+'Inputs'!$B$21+'Inputs'!$B$9+'Inputs'!$B$10))^2+('Inputs'!$B$6/2)^2))))*'Results'!$B$8),"")</x:f>
        <x:v>0.6864849539212892</x:v>
      </x:c>
      <x:c r="N854" t="n">
        <x:f>IF(AND(ISNUMBER('Results'!C7),ISNUMBER('Results'!B7),ISNUMBER('Results'!$B$8),ISNUMBER('Inputs'!$B$6),ISNUMBER('Inputs'!$B$7),ISNUMBER('Inputs'!$B$8),ISNUMBER('Inputs'!$B$9),ISNUMBER('Inputs'!$B$10),ISNUMBER('Inputs'!$B$21),ISNUMBER('Inputs'!$B$24),ISNUMBER('Inputs'!$B$28)),((('Results'!C7*(1-'Inputs'!$B$24)*(0.5*((((854-43)*MAX('Inputs'!$B$33,'Inputs'!$B$29+'Inputs'!$B$31+'Inputs'!$B$32,'Inputs'!$B$30+'Inputs'!$B$31+'Inputs'!$B$32)/1000+'Inputs'!$B$21)+'Inputs'!$B$9)/SQRT((((854-43)*MAX('Inputs'!$B$33,'Inputs'!$B$29+'Inputs'!$B$31+'Inputs'!$B$32,'Inputs'!$B$30+'Inputs'!$B$31+'Inputs'!$B$32)/1000+'Inputs'!$B$21)+'Inputs'!$B$9)^2+('Inputs'!$B$8/2)^2)-(((854-43)*MAX('Inputs'!$B$33,'Inputs'!$B$29+'Inputs'!$B$31+'Inputs'!$B$32,'Inputs'!$B$30+'Inputs'!$B$31+'Inputs'!$B$32)/1000+'Inputs'!$B$21))/SQRT((((854-43)*MAX('Inputs'!$B$33,'Inputs'!$B$29+'Inputs'!$B$31+'Inputs'!$B$32,'Inputs'!$B$30+'Inputs'!$B$31+'Inputs'!$B$32)/1000+'Inputs'!$B$21))^2+('Inputs'!$B$8/2)^2)))-'Results'!B7*(1+'Inputs'!$B$24)*(0.5*((((854-43)*MAX('Inputs'!$B$33,'Inputs'!$B$29+'Inputs'!$B$31+'Inputs'!$B$32,'Inputs'!$B$30+'Inputs'!$B$31+'Inputs'!$B$32)/1000+'Inputs'!$B$21+'Inputs'!$B$9+'Inputs'!$B$10)+'Inputs'!$B$7)/SQRT((((854-43)*MAX('Inputs'!$B$33,'Inputs'!$B$29+'Inputs'!$B$31+'Inputs'!$B$32,'Inputs'!$B$30+'Inputs'!$B$31+'Inputs'!$B$32)/1000+'Inputs'!$B$21+'Inputs'!$B$9+'Inputs'!$B$10)+'Inputs'!$B$7)^2+('Inputs'!$B$6/2)^2)-(((854-43)*MAX('Inputs'!$B$33,'Inputs'!$B$29+'Inputs'!$B$31+'Inputs'!$B$32,'Inputs'!$B$30+'Inputs'!$B$31+'Inputs'!$B$32)/1000+'Inputs'!$B$21+'Inputs'!$B$9+'Inputs'!$B$10))/SQRT((((854-43)*MAX('Inputs'!$B$33,'Inputs'!$B$29+'Inputs'!$B$31+'Inputs'!$B$32,'Inputs'!$B$30+'Inputs'!$B$31+'Inputs'!$B$32)/1000+'Inputs'!$B$21+'Inputs'!$B$9+'Inputs'!$B$10))^2+('Inputs'!$B$6/2)^2))))*'Results'!$B$8)-'Inputs'!$B$28*ABS((('Results'!C7*(1-'Inputs'!$B$24)*(0.5*((((854-43)*MAX('Inputs'!$B$33,'Inputs'!$B$29+'Inputs'!$B$31+'Inputs'!$B$32,'Inputs'!$B$30+'Inputs'!$B$31+'Inputs'!$B$32)/1000+'Inputs'!$B$21)+'Inputs'!$B$9)/SQRT((((854-43)*MAX('Inputs'!$B$33,'Inputs'!$B$29+'Inputs'!$B$31+'Inputs'!$B$32,'Inputs'!$B$30+'Inputs'!$B$31+'Inputs'!$B$32)/1000+'Inputs'!$B$21)+'Inputs'!$B$9)^2+('Inputs'!$B$8/2)^2)-(((854-43)*MAX('Inputs'!$B$33,'Inputs'!$B$29+'Inputs'!$B$31+'Inputs'!$B$32,'Inputs'!$B$30+'Inputs'!$B$31+'Inputs'!$B$32)/1000+'Inputs'!$B$21))/SQRT((((854-43)*MAX('Inputs'!$B$33,'Inputs'!$B$29+'Inputs'!$B$31+'Inputs'!$B$32,'Inputs'!$B$30+'Inputs'!$B$31+'Inputs'!$B$32)/1000+'Inputs'!$B$21))^2+('Inputs'!$B$8/2)^2)))-'Results'!B7*(1+'Inputs'!$B$24)*(0.5*((((854-43)*MAX('Inputs'!$B$33,'Inputs'!$B$29+'Inputs'!$B$31+'Inputs'!$B$32,'Inputs'!$B$30+'Inputs'!$B$31+'Inputs'!$B$32)/1000+'Inputs'!$B$21+'Inputs'!$B$9+'Inputs'!$B$10)+'Inputs'!$B$7)/SQRT((((854-43)*MAX('Inputs'!$B$33,'Inputs'!$B$29+'Inputs'!$B$31+'Inputs'!$B$32,'Inputs'!$B$30+'Inputs'!$B$31+'Inputs'!$B$32)/1000+'Inputs'!$B$21+'Inputs'!$B$9+'Inputs'!$B$10)+'Inputs'!$B$7)^2+('Inputs'!$B$6/2)^2)-(((854-43)*MAX('Inputs'!$B$33,'Inputs'!$B$29+'Inputs'!$B$31+'Inputs'!$B$32,'Inputs'!$B$30+'Inputs'!$B$31+'Inputs'!$B$32)/1000+'Inputs'!$B$21+'Inputs'!$B$9+'Inputs'!$B$10))/SQRT((((854-43)*MAX('Inputs'!$B$33,'Inputs'!$B$29+'Inputs'!$B$31+'Inputs'!$B$32,'Inputs'!$B$30+'Inputs'!$B$31+'Inputs'!$B$32)/1000+'Inputs'!$B$21+'Inputs'!$B$9+'Inputs'!$B$10))^2+('Inputs'!$B$6/2)^2))))*'Results'!$B$8))),"")</x:f>
        <x:v>0.5798739477388213</x:v>
      </x:c>
      <x:c r="O854" t="n">
        <x:f>IF(AND(ISNUMBER('Results'!C7),ISNUMBER('Results'!B7),ISNUMBER('Results'!$B$8),ISNUMBER('Inputs'!$B$6),ISNUMBER('Inputs'!$B$7),ISNUMBER('Inputs'!$B$8),ISNUMBER('Inputs'!$B$9),ISNUMBER('Inputs'!$B$10),ISNUMBER('Inputs'!$B$21),ISNUMBER('Inputs'!$B$24),ISNUMBER('Inputs'!$B$28)),((('Results'!C7*(1+'Inputs'!$B$24)*(0.5*((((854-43)*MAX('Inputs'!$B$33,'Inputs'!$B$29+'Inputs'!$B$31+'Inputs'!$B$32,'Inputs'!$B$30+'Inputs'!$B$31+'Inputs'!$B$32)/1000+'Inputs'!$B$21)+'Inputs'!$B$9)/SQRT((((854-43)*MAX('Inputs'!$B$33,'Inputs'!$B$29+'Inputs'!$B$31+'Inputs'!$B$32,'Inputs'!$B$30+'Inputs'!$B$31+'Inputs'!$B$32)/1000+'Inputs'!$B$21)+'Inputs'!$B$9)^2+('Inputs'!$B$8/2)^2)-(((854-43)*MAX('Inputs'!$B$33,'Inputs'!$B$29+'Inputs'!$B$31+'Inputs'!$B$32,'Inputs'!$B$30+'Inputs'!$B$31+'Inputs'!$B$32)/1000+'Inputs'!$B$21))/SQRT((((854-43)*MAX('Inputs'!$B$33,'Inputs'!$B$29+'Inputs'!$B$31+'Inputs'!$B$32,'Inputs'!$B$30+'Inputs'!$B$31+'Inputs'!$B$32)/1000+'Inputs'!$B$21))^2+('Inputs'!$B$8/2)^2)))-'Results'!B7*(1-'Inputs'!$B$24)*(0.5*((((854-43)*MAX('Inputs'!$B$33,'Inputs'!$B$29+'Inputs'!$B$31+'Inputs'!$B$32,'Inputs'!$B$30+'Inputs'!$B$31+'Inputs'!$B$32)/1000+'Inputs'!$B$21+'Inputs'!$B$9+'Inputs'!$B$10)+'Inputs'!$B$7)/SQRT((((854-43)*MAX('Inputs'!$B$33,'Inputs'!$B$29+'Inputs'!$B$31+'Inputs'!$B$32,'Inputs'!$B$30+'Inputs'!$B$31+'Inputs'!$B$32)/1000+'Inputs'!$B$21+'Inputs'!$B$9+'Inputs'!$B$10)+'Inputs'!$B$7)^2+('Inputs'!$B$6/2)^2)-(((854-43)*MAX('Inputs'!$B$33,'Inputs'!$B$29+'Inputs'!$B$31+'Inputs'!$B$32,'Inputs'!$B$30+'Inputs'!$B$31+'Inputs'!$B$32)/1000+'Inputs'!$B$21+'Inputs'!$B$9+'Inputs'!$B$10))/SQRT((((854-43)*MAX('Inputs'!$B$33,'Inputs'!$B$29+'Inputs'!$B$31+'Inputs'!$B$32,'Inputs'!$B$30+'Inputs'!$B$31+'Inputs'!$B$32)/1000+'Inputs'!$B$21+'Inputs'!$B$9+'Inputs'!$B$10))^2+('Inputs'!$B$6/2)^2))))*'Results'!$B$8)+'Inputs'!$B$28*ABS((('Results'!C7*(1+'Inputs'!$B$24)*(0.5*((((854-43)*MAX('Inputs'!$B$33,'Inputs'!$B$29+'Inputs'!$B$31+'Inputs'!$B$32,'Inputs'!$B$30+'Inputs'!$B$31+'Inputs'!$B$32)/1000+'Inputs'!$B$21)+'Inputs'!$B$9)/SQRT((((854-43)*MAX('Inputs'!$B$33,'Inputs'!$B$29+'Inputs'!$B$31+'Inputs'!$B$32,'Inputs'!$B$30+'Inputs'!$B$31+'Inputs'!$B$32)/1000+'Inputs'!$B$21)+'Inputs'!$B$9)^2+('Inputs'!$B$8/2)^2)-(((854-43)*MAX('Inputs'!$B$33,'Inputs'!$B$29+'Inputs'!$B$31+'Inputs'!$B$32,'Inputs'!$B$30+'Inputs'!$B$31+'Inputs'!$B$32)/1000+'Inputs'!$B$21))/SQRT((((854-43)*MAX('Inputs'!$B$33,'Inputs'!$B$29+'Inputs'!$B$31+'Inputs'!$B$32,'Inputs'!$B$30+'Inputs'!$B$31+'Inputs'!$B$32)/1000+'Inputs'!$B$21))^2+('Inputs'!$B$8/2)^2)))-'Results'!B7*(1-'Inputs'!$B$24)*(0.5*((((854-43)*MAX('Inputs'!$B$33,'Inputs'!$B$29+'Inputs'!$B$31+'Inputs'!$B$32,'Inputs'!$B$30+'Inputs'!$B$31+'Inputs'!$B$32)/1000+'Inputs'!$B$21+'Inputs'!$B$9+'Inputs'!$B$10)+'Inputs'!$B$7)/SQRT((((854-43)*MAX('Inputs'!$B$33,'Inputs'!$B$29+'Inputs'!$B$31+'Inputs'!$B$32,'Inputs'!$B$30+'Inputs'!$B$31+'Inputs'!$B$32)/1000+'Inputs'!$B$21+'Inputs'!$B$9+'Inputs'!$B$10)+'Inputs'!$B$7)^2+('Inputs'!$B$6/2)^2)-(((854-43)*MAX('Inputs'!$B$33,'Inputs'!$B$29+'Inputs'!$B$31+'Inputs'!$B$32,'Inputs'!$B$30+'Inputs'!$B$31+'Inputs'!$B$32)/1000+'Inputs'!$B$21+'Inputs'!$B$9+'Inputs'!$B$10))/SQRT((((854-43)*MAX('Inputs'!$B$33,'Inputs'!$B$29+'Inputs'!$B$31+'Inputs'!$B$32,'Inputs'!$B$30+'Inputs'!$B$31+'Inputs'!$B$32)/1000+'Inputs'!$B$21+'Inputs'!$B$9+'Inputs'!$B$10))^2+('Inputs'!$B$6/2)^2))))*'Results'!$B$8))),"")</x:f>
        <x:v>0.8007050925760107</x:v>
      </x:c>
      <x:c r="P854" t="n">
        <x:f>IF(AND(MAX(J854,J853)&gt;0,J854&gt;J853+0.00000001),1,0)</x:f>
        <x:v>0</x:v>
      </x:c>
      <x:c r="Q854" t="n">
        <x:f>IF(AND(MAX(K854,K853)&gt;0,K854&gt;K853+0.00000001),1,0)</x:f>
        <x:v>0</x:v>
      </x:c>
      <x:c r="R854" t="n">
        <x:f>IF(AND(MAX(L854,L853)&gt;0,L854&gt;L853+0.00000001),1,0)</x:f>
        <x:v>0</x:v>
      </x:c>
      <x:c r="S854" t="n">
        <x:f>IF(AND(MAX(M854,M853)&gt;0,M854&gt;M853+0.00000001),1,0)</x:f>
        <x:v>0</x:v>
      </x:c>
      <x:c r="T854" t="n">
        <x:f>IF(AND(MAX(N854,N853)&gt;0,N854&gt;N853+0.00000001),1,0)</x:f>
        <x:v>0</x:v>
      </x:c>
      <x:c r="U854" t="n">
        <x:f>IF(AND(MAX(O854,O853)&gt;0,O854&gt;O853+0.00000001),1,0)</x:f>
        <x:v>0</x:v>
      </x:c>
    </x:row>
    <x:row r="855">
      <x:c r="J855" t="n">
        <x:f>IF(AND(ISNUMBER('Results'!B7),ISNUMBER('Results'!C7),ISNUMBER('Results'!$B$8),ISNUMBER('Inputs'!$B$6),ISNUMBER('Inputs'!$B$7),ISNUMBER('Inputs'!$B$8),ISNUMBER('Inputs'!$B$9),ISNUMBER('Inputs'!$B$10),ISNUMBER('Inputs'!$B$21),ISNUMBER('Inputs'!$B$24),ISNUMBER('Inputs'!$B$28)),(('Results'!B7*(0.5*((((855-43)*MAX('Inputs'!$B$33,'Inputs'!$B$29+'Inputs'!$B$31+'Inputs'!$B$32,'Inputs'!$B$30+'Inputs'!$B$31+'Inputs'!$B$32)/1000+'Inputs'!$B$21)+'Inputs'!$B$7)/SQRT((((855-43)*MAX('Inputs'!$B$33,'Inputs'!$B$29+'Inputs'!$B$31+'Inputs'!$B$32,'Inputs'!$B$30+'Inputs'!$B$31+'Inputs'!$B$32)/1000+'Inputs'!$B$21)+'Inputs'!$B$7)^2+('Inputs'!$B$6/2)^2)-(((855-43)*MAX('Inputs'!$B$33,'Inputs'!$B$29+'Inputs'!$B$31+'Inputs'!$B$32,'Inputs'!$B$30+'Inputs'!$B$31+'Inputs'!$B$32)/1000+'Inputs'!$B$21))/SQRT((((855-43)*MAX('Inputs'!$B$33,'Inputs'!$B$29+'Inputs'!$B$31+'Inputs'!$B$32,'Inputs'!$B$30+'Inputs'!$B$31+'Inputs'!$B$32)/1000+'Inputs'!$B$21))^2+('Inputs'!$B$6/2)^2)))-'Results'!C7*(0.5*((((855-43)*MAX('Inputs'!$B$33,'Inputs'!$B$29+'Inputs'!$B$31+'Inputs'!$B$32,'Inputs'!$B$30+'Inputs'!$B$31+'Inputs'!$B$32)/1000+'Inputs'!$B$21+'Inputs'!$B$7+'Inputs'!$B$10)+'Inputs'!$B$9)/SQRT((((855-43)*MAX('Inputs'!$B$33,'Inputs'!$B$29+'Inputs'!$B$31+'Inputs'!$B$32,'Inputs'!$B$30+'Inputs'!$B$31+'Inputs'!$B$32)/1000+'Inputs'!$B$21+'Inputs'!$B$7+'Inputs'!$B$10)+'Inputs'!$B$9)^2+('Inputs'!$B$8/2)^2)-(((855-43)*MAX('Inputs'!$B$33,'Inputs'!$B$29+'Inputs'!$B$31+'Inputs'!$B$32,'Inputs'!$B$30+'Inputs'!$B$31+'Inputs'!$B$32)/1000+'Inputs'!$B$21+'Inputs'!$B$7+'Inputs'!$B$10))/SQRT((((855-43)*MAX('Inputs'!$B$33,'Inputs'!$B$29+'Inputs'!$B$31+'Inputs'!$B$32,'Inputs'!$B$30+'Inputs'!$B$31+'Inputs'!$B$32)/1000+'Inputs'!$B$21+'Inputs'!$B$7+'Inputs'!$B$10))^2+('Inputs'!$B$8/2)^2))))*'Results'!$B$8),"")</x:f>
        <x:v>0.7601138978085538</x:v>
      </x:c>
      <x:c r="K855" t="n">
        <x:f>IF(AND(ISNUMBER('Results'!B7),ISNUMBER('Results'!C7),ISNUMBER('Results'!$B$8),ISNUMBER('Inputs'!$B$6),ISNUMBER('Inputs'!$B$7),ISNUMBER('Inputs'!$B$8),ISNUMBER('Inputs'!$B$9),ISNUMBER('Inputs'!$B$10),ISNUMBER('Inputs'!$B$21),ISNUMBER('Inputs'!$B$24),ISNUMBER('Inputs'!$B$28)),((('Results'!B7*(1-'Inputs'!$B$24)*(0.5*((((855-43)*MAX('Inputs'!$B$33,'Inputs'!$B$29+'Inputs'!$B$31+'Inputs'!$B$32,'Inputs'!$B$30+'Inputs'!$B$31+'Inputs'!$B$32)/1000+'Inputs'!$B$21)+'Inputs'!$B$7)/SQRT((((855-43)*MAX('Inputs'!$B$33,'Inputs'!$B$29+'Inputs'!$B$31+'Inputs'!$B$32,'Inputs'!$B$30+'Inputs'!$B$31+'Inputs'!$B$32)/1000+'Inputs'!$B$21)+'Inputs'!$B$7)^2+('Inputs'!$B$6/2)^2)-(((855-43)*MAX('Inputs'!$B$33,'Inputs'!$B$29+'Inputs'!$B$31+'Inputs'!$B$32,'Inputs'!$B$30+'Inputs'!$B$31+'Inputs'!$B$32)/1000+'Inputs'!$B$21))/SQRT((((855-43)*MAX('Inputs'!$B$33,'Inputs'!$B$29+'Inputs'!$B$31+'Inputs'!$B$32,'Inputs'!$B$30+'Inputs'!$B$31+'Inputs'!$B$32)/1000+'Inputs'!$B$21))^2+('Inputs'!$B$6/2)^2)))-'Results'!C7*(1+'Inputs'!$B$24)*(0.5*((((855-43)*MAX('Inputs'!$B$33,'Inputs'!$B$29+'Inputs'!$B$31+'Inputs'!$B$32,'Inputs'!$B$30+'Inputs'!$B$31+'Inputs'!$B$32)/1000+'Inputs'!$B$21+'Inputs'!$B$7+'Inputs'!$B$10)+'Inputs'!$B$9)/SQRT((((855-43)*MAX('Inputs'!$B$33,'Inputs'!$B$29+'Inputs'!$B$31+'Inputs'!$B$32,'Inputs'!$B$30+'Inputs'!$B$31+'Inputs'!$B$32)/1000+'Inputs'!$B$21+'Inputs'!$B$7+'Inputs'!$B$10)+'Inputs'!$B$9)^2+('Inputs'!$B$8/2)^2)-(((855-43)*MAX('Inputs'!$B$33,'Inputs'!$B$29+'Inputs'!$B$31+'Inputs'!$B$32,'Inputs'!$B$30+'Inputs'!$B$31+'Inputs'!$B$32)/1000+'Inputs'!$B$21+'Inputs'!$B$7+'Inputs'!$B$10))/SQRT((((855-43)*MAX('Inputs'!$B$33,'Inputs'!$B$29+'Inputs'!$B$31+'Inputs'!$B$32,'Inputs'!$B$30+'Inputs'!$B$31+'Inputs'!$B$32)/1000+'Inputs'!$B$21+'Inputs'!$B$7+'Inputs'!$B$10))^2+('Inputs'!$B$8/2)^2))))*'Results'!$B$8)-'Inputs'!$B$28*ABS((('Results'!B7*(1-'Inputs'!$B$24)*(0.5*((((855-43)*MAX('Inputs'!$B$33,'Inputs'!$B$29+'Inputs'!$B$31+'Inputs'!$B$32,'Inputs'!$B$30+'Inputs'!$B$31+'Inputs'!$B$32)/1000+'Inputs'!$B$21)+'Inputs'!$B$7)/SQRT((((855-43)*MAX('Inputs'!$B$33,'Inputs'!$B$29+'Inputs'!$B$31+'Inputs'!$B$32,'Inputs'!$B$30+'Inputs'!$B$31+'Inputs'!$B$32)/1000+'Inputs'!$B$21)+'Inputs'!$B$7)^2+('Inputs'!$B$6/2)^2)-(((855-43)*MAX('Inputs'!$B$33,'Inputs'!$B$29+'Inputs'!$B$31+'Inputs'!$B$32,'Inputs'!$B$30+'Inputs'!$B$31+'Inputs'!$B$32)/1000+'Inputs'!$B$21))/SQRT((((855-43)*MAX('Inputs'!$B$33,'Inputs'!$B$29+'Inputs'!$B$31+'Inputs'!$B$32,'Inputs'!$B$30+'Inputs'!$B$31+'Inputs'!$B$32)/1000+'Inputs'!$B$21))^2+('Inputs'!$B$6/2)^2)))-'Results'!C7*(1+'Inputs'!$B$24)*(0.5*((((855-43)*MAX('Inputs'!$B$33,'Inputs'!$B$29+'Inputs'!$B$31+'Inputs'!$B$32,'Inputs'!$B$30+'Inputs'!$B$31+'Inputs'!$B$32)/1000+'Inputs'!$B$21+'Inputs'!$B$7+'Inputs'!$B$10)+'Inputs'!$B$9)/SQRT((((855-43)*MAX('Inputs'!$B$33,'Inputs'!$B$29+'Inputs'!$B$31+'Inputs'!$B$32,'Inputs'!$B$30+'Inputs'!$B$31+'Inputs'!$B$32)/1000+'Inputs'!$B$21+'Inputs'!$B$7+'Inputs'!$B$10)+'Inputs'!$B$9)^2+('Inputs'!$B$8/2)^2)-(((855-43)*MAX('Inputs'!$B$33,'Inputs'!$B$29+'Inputs'!$B$31+'Inputs'!$B$32,'Inputs'!$B$30+'Inputs'!$B$31+'Inputs'!$B$32)/1000+'Inputs'!$B$21+'Inputs'!$B$7+'Inputs'!$B$10))/SQRT((((855-43)*MAX('Inputs'!$B$33,'Inputs'!$B$29+'Inputs'!$B$31+'Inputs'!$B$32,'Inputs'!$B$30+'Inputs'!$B$31+'Inputs'!$B$32)/1000+'Inputs'!$B$21+'Inputs'!$B$7+'Inputs'!$B$10))^2+('Inputs'!$B$8/2)^2))))*'Results'!$B$8))),"")</x:f>
        <x:v>0.6497900074951635</x:v>
      </x:c>
      <x:c r="L855" t="n">
        <x:f>IF(AND(ISNUMBER('Results'!B7),ISNUMBER('Results'!C7),ISNUMBER('Results'!$B$8),ISNUMBER('Inputs'!$B$6),ISNUMBER('Inputs'!$B$7),ISNUMBER('Inputs'!$B$8),ISNUMBER('Inputs'!$B$9),ISNUMBER('Inputs'!$B$10),ISNUMBER('Inputs'!$B$21),ISNUMBER('Inputs'!$B$24),ISNUMBER('Inputs'!$B$28)),((('Results'!B7*(1+'Inputs'!$B$24)*(0.5*((((855-43)*MAX('Inputs'!$B$33,'Inputs'!$B$29+'Inputs'!$B$31+'Inputs'!$B$32,'Inputs'!$B$30+'Inputs'!$B$31+'Inputs'!$B$32)/1000+'Inputs'!$B$21)+'Inputs'!$B$7)/SQRT((((855-43)*MAX('Inputs'!$B$33,'Inputs'!$B$29+'Inputs'!$B$31+'Inputs'!$B$32,'Inputs'!$B$30+'Inputs'!$B$31+'Inputs'!$B$32)/1000+'Inputs'!$B$21)+'Inputs'!$B$7)^2+('Inputs'!$B$6/2)^2)-(((855-43)*MAX('Inputs'!$B$33,'Inputs'!$B$29+'Inputs'!$B$31+'Inputs'!$B$32,'Inputs'!$B$30+'Inputs'!$B$31+'Inputs'!$B$32)/1000+'Inputs'!$B$21))/SQRT((((855-43)*MAX('Inputs'!$B$33,'Inputs'!$B$29+'Inputs'!$B$31+'Inputs'!$B$32,'Inputs'!$B$30+'Inputs'!$B$31+'Inputs'!$B$32)/1000+'Inputs'!$B$21))^2+('Inputs'!$B$6/2)^2)))-'Results'!C7*(1-'Inputs'!$B$24)*(0.5*((((855-43)*MAX('Inputs'!$B$33,'Inputs'!$B$29+'Inputs'!$B$31+'Inputs'!$B$32,'Inputs'!$B$30+'Inputs'!$B$31+'Inputs'!$B$32)/1000+'Inputs'!$B$21+'Inputs'!$B$7+'Inputs'!$B$10)+'Inputs'!$B$9)/SQRT((((855-43)*MAX('Inputs'!$B$33,'Inputs'!$B$29+'Inputs'!$B$31+'Inputs'!$B$32,'Inputs'!$B$30+'Inputs'!$B$31+'Inputs'!$B$32)/1000+'Inputs'!$B$21+'Inputs'!$B$7+'Inputs'!$B$10)+'Inputs'!$B$9)^2+('Inputs'!$B$8/2)^2)-(((855-43)*MAX('Inputs'!$B$33,'Inputs'!$B$29+'Inputs'!$B$31+'Inputs'!$B$32,'Inputs'!$B$30+'Inputs'!$B$31+'Inputs'!$B$32)/1000+'Inputs'!$B$21+'Inputs'!$B$7+'Inputs'!$B$10))/SQRT((((855-43)*MAX('Inputs'!$B$33,'Inputs'!$B$29+'Inputs'!$B$31+'Inputs'!$B$32,'Inputs'!$B$30+'Inputs'!$B$31+'Inputs'!$B$32)/1000+'Inputs'!$B$21+'Inputs'!$B$7+'Inputs'!$B$10))^2+('Inputs'!$B$8/2)^2))))*'Results'!$B$8)+'Inputs'!$B$28*ABS((('Results'!B7*(1+'Inputs'!$B$24)*(0.5*((((855-43)*MAX('Inputs'!$B$33,'Inputs'!$B$29+'Inputs'!$B$31+'Inputs'!$B$32,'Inputs'!$B$30+'Inputs'!$B$31+'Inputs'!$B$32)/1000+'Inputs'!$B$21)+'Inputs'!$B$7)/SQRT((((855-43)*MAX('Inputs'!$B$33,'Inputs'!$B$29+'Inputs'!$B$31+'Inputs'!$B$32,'Inputs'!$B$30+'Inputs'!$B$31+'Inputs'!$B$32)/1000+'Inputs'!$B$21)+'Inputs'!$B$7)^2+('Inputs'!$B$6/2)^2)-(((855-43)*MAX('Inputs'!$B$33,'Inputs'!$B$29+'Inputs'!$B$31+'Inputs'!$B$32,'Inputs'!$B$30+'Inputs'!$B$31+'Inputs'!$B$32)/1000+'Inputs'!$B$21))/SQRT((((855-43)*MAX('Inputs'!$B$33,'Inputs'!$B$29+'Inputs'!$B$31+'Inputs'!$B$32,'Inputs'!$B$30+'Inputs'!$B$31+'Inputs'!$B$32)/1000+'Inputs'!$B$21))^2+('Inputs'!$B$6/2)^2)))-'Results'!C7*(1-'Inputs'!$B$24)*(0.5*((((855-43)*MAX('Inputs'!$B$33,'Inputs'!$B$29+'Inputs'!$B$31+'Inputs'!$B$32,'Inputs'!$B$30+'Inputs'!$B$31+'Inputs'!$B$32)/1000+'Inputs'!$B$21+'Inputs'!$B$7+'Inputs'!$B$10)+'Inputs'!$B$9)/SQRT((((855-43)*MAX('Inputs'!$B$33,'Inputs'!$B$29+'Inputs'!$B$31+'Inputs'!$B$32,'Inputs'!$B$30+'Inputs'!$B$31+'Inputs'!$B$32)/1000+'Inputs'!$B$21+'Inputs'!$B$7+'Inputs'!$B$10)+'Inputs'!$B$9)^2+('Inputs'!$B$8/2)^2)-(((855-43)*MAX('Inputs'!$B$33,'Inputs'!$B$29+'Inputs'!$B$31+'Inputs'!$B$32,'Inputs'!$B$30+'Inputs'!$B$31+'Inputs'!$B$32)/1000+'Inputs'!$B$21+'Inputs'!$B$7+'Inputs'!$B$10))/SQRT((((855-43)*MAX('Inputs'!$B$33,'Inputs'!$B$29+'Inputs'!$B$31+'Inputs'!$B$32,'Inputs'!$B$30+'Inputs'!$B$31+'Inputs'!$B$32)/1000+'Inputs'!$B$21+'Inputs'!$B$7+'Inputs'!$B$10))^2+('Inputs'!$B$8/2)^2))))*'Results'!$B$8))),"")</x:f>
        <x:v>0.8780502297454137</x:v>
      </x:c>
      <x:c r="M855" t="n">
        <x:f>IF(AND(ISNUMBER('Results'!C7),ISNUMBER('Results'!B7),ISNUMBER('Results'!$B$8),ISNUMBER('Inputs'!$B$6),ISNUMBER('Inputs'!$B$7),ISNUMBER('Inputs'!$B$8),ISNUMBER('Inputs'!$B$9),ISNUMBER('Inputs'!$B$10),ISNUMBER('Inputs'!$B$21),ISNUMBER('Inputs'!$B$24),ISNUMBER('Inputs'!$B$28)),(('Results'!C7*(0.5*((((855-43)*MAX('Inputs'!$B$33,'Inputs'!$B$29+'Inputs'!$B$31+'Inputs'!$B$32,'Inputs'!$B$30+'Inputs'!$B$31+'Inputs'!$B$32)/1000+'Inputs'!$B$21)+'Inputs'!$B$9)/SQRT((((855-43)*MAX('Inputs'!$B$33,'Inputs'!$B$29+'Inputs'!$B$31+'Inputs'!$B$32,'Inputs'!$B$30+'Inputs'!$B$31+'Inputs'!$B$32)/1000+'Inputs'!$B$21)+'Inputs'!$B$9)^2+('Inputs'!$B$8/2)^2)-(((855-43)*MAX('Inputs'!$B$33,'Inputs'!$B$29+'Inputs'!$B$31+'Inputs'!$B$32,'Inputs'!$B$30+'Inputs'!$B$31+'Inputs'!$B$32)/1000+'Inputs'!$B$21))/SQRT((((855-43)*MAX('Inputs'!$B$33,'Inputs'!$B$29+'Inputs'!$B$31+'Inputs'!$B$32,'Inputs'!$B$30+'Inputs'!$B$31+'Inputs'!$B$32)/1000+'Inputs'!$B$21))^2+('Inputs'!$B$8/2)^2)))-'Results'!B7*(0.5*((((855-43)*MAX('Inputs'!$B$33,'Inputs'!$B$29+'Inputs'!$B$31+'Inputs'!$B$32,'Inputs'!$B$30+'Inputs'!$B$31+'Inputs'!$B$32)/1000+'Inputs'!$B$21+'Inputs'!$B$9+'Inputs'!$B$10)+'Inputs'!$B$7)/SQRT((((855-43)*MAX('Inputs'!$B$33,'Inputs'!$B$29+'Inputs'!$B$31+'Inputs'!$B$32,'Inputs'!$B$30+'Inputs'!$B$31+'Inputs'!$B$32)/1000+'Inputs'!$B$21+'Inputs'!$B$9+'Inputs'!$B$10)+'Inputs'!$B$7)^2+('Inputs'!$B$6/2)^2)-(((855-43)*MAX('Inputs'!$B$33,'Inputs'!$B$29+'Inputs'!$B$31+'Inputs'!$B$32,'Inputs'!$B$30+'Inputs'!$B$31+'Inputs'!$B$32)/1000+'Inputs'!$B$21+'Inputs'!$B$9+'Inputs'!$B$10))/SQRT((((855-43)*MAX('Inputs'!$B$33,'Inputs'!$B$29+'Inputs'!$B$31+'Inputs'!$B$32,'Inputs'!$B$30+'Inputs'!$B$31+'Inputs'!$B$32)/1000+'Inputs'!$B$21+'Inputs'!$B$9+'Inputs'!$B$10))^2+('Inputs'!$B$6/2)^2))))*'Results'!$B$8),"")</x:f>
        <x:v>0.6833678271016266</x:v>
      </x:c>
      <x:c r="N855" t="n">
        <x:f>IF(AND(ISNUMBER('Results'!C7),ISNUMBER('Results'!B7),ISNUMBER('Results'!$B$8),ISNUMBER('Inputs'!$B$6),ISNUMBER('Inputs'!$B$7),ISNUMBER('Inputs'!$B$8),ISNUMBER('Inputs'!$B$9),ISNUMBER('Inputs'!$B$10),ISNUMBER('Inputs'!$B$21),ISNUMBER('Inputs'!$B$24),ISNUMBER('Inputs'!$B$28)),((('Results'!C7*(1-'Inputs'!$B$24)*(0.5*((((855-43)*MAX('Inputs'!$B$33,'Inputs'!$B$29+'Inputs'!$B$31+'Inputs'!$B$32,'Inputs'!$B$30+'Inputs'!$B$31+'Inputs'!$B$32)/1000+'Inputs'!$B$21)+'Inputs'!$B$9)/SQRT((((855-43)*MAX('Inputs'!$B$33,'Inputs'!$B$29+'Inputs'!$B$31+'Inputs'!$B$32,'Inputs'!$B$30+'Inputs'!$B$31+'Inputs'!$B$32)/1000+'Inputs'!$B$21)+'Inputs'!$B$9)^2+('Inputs'!$B$8/2)^2)-(((855-43)*MAX('Inputs'!$B$33,'Inputs'!$B$29+'Inputs'!$B$31+'Inputs'!$B$32,'Inputs'!$B$30+'Inputs'!$B$31+'Inputs'!$B$32)/1000+'Inputs'!$B$21))/SQRT((((855-43)*MAX('Inputs'!$B$33,'Inputs'!$B$29+'Inputs'!$B$31+'Inputs'!$B$32,'Inputs'!$B$30+'Inputs'!$B$31+'Inputs'!$B$32)/1000+'Inputs'!$B$21))^2+('Inputs'!$B$8/2)^2)))-'Results'!B7*(1+'Inputs'!$B$24)*(0.5*((((855-43)*MAX('Inputs'!$B$33,'Inputs'!$B$29+'Inputs'!$B$31+'Inputs'!$B$32,'Inputs'!$B$30+'Inputs'!$B$31+'Inputs'!$B$32)/1000+'Inputs'!$B$21+'Inputs'!$B$9+'Inputs'!$B$10)+'Inputs'!$B$7)/SQRT((((855-43)*MAX('Inputs'!$B$33,'Inputs'!$B$29+'Inputs'!$B$31+'Inputs'!$B$32,'Inputs'!$B$30+'Inputs'!$B$31+'Inputs'!$B$32)/1000+'Inputs'!$B$21+'Inputs'!$B$9+'Inputs'!$B$10)+'Inputs'!$B$7)^2+('Inputs'!$B$6/2)^2)-(((855-43)*MAX('Inputs'!$B$33,'Inputs'!$B$29+'Inputs'!$B$31+'Inputs'!$B$32,'Inputs'!$B$30+'Inputs'!$B$31+'Inputs'!$B$32)/1000+'Inputs'!$B$21+'Inputs'!$B$9+'Inputs'!$B$10))/SQRT((((855-43)*MAX('Inputs'!$B$33,'Inputs'!$B$29+'Inputs'!$B$31+'Inputs'!$B$32,'Inputs'!$B$30+'Inputs'!$B$31+'Inputs'!$B$32)/1000+'Inputs'!$B$21+'Inputs'!$B$9+'Inputs'!$B$10))^2+('Inputs'!$B$6/2)^2))))*'Results'!$B$8)-'Inputs'!$B$28*ABS((('Results'!C7*(1-'Inputs'!$B$24)*(0.5*((((855-43)*MAX('Inputs'!$B$33,'Inputs'!$B$29+'Inputs'!$B$31+'Inputs'!$B$32,'Inputs'!$B$30+'Inputs'!$B$31+'Inputs'!$B$32)/1000+'Inputs'!$B$21)+'Inputs'!$B$9)/SQRT((((855-43)*MAX('Inputs'!$B$33,'Inputs'!$B$29+'Inputs'!$B$31+'Inputs'!$B$32,'Inputs'!$B$30+'Inputs'!$B$31+'Inputs'!$B$32)/1000+'Inputs'!$B$21)+'Inputs'!$B$9)^2+('Inputs'!$B$8/2)^2)-(((855-43)*MAX('Inputs'!$B$33,'Inputs'!$B$29+'Inputs'!$B$31+'Inputs'!$B$32,'Inputs'!$B$30+'Inputs'!$B$31+'Inputs'!$B$32)/1000+'Inputs'!$B$21))/SQRT((((855-43)*MAX('Inputs'!$B$33,'Inputs'!$B$29+'Inputs'!$B$31+'Inputs'!$B$32,'Inputs'!$B$30+'Inputs'!$B$31+'Inputs'!$B$32)/1000+'Inputs'!$B$21))^2+('Inputs'!$B$8/2)^2)))-'Results'!B7*(1+'Inputs'!$B$24)*(0.5*((((855-43)*MAX('Inputs'!$B$33,'Inputs'!$B$29+'Inputs'!$B$31+'Inputs'!$B$32,'Inputs'!$B$30+'Inputs'!$B$31+'Inputs'!$B$32)/1000+'Inputs'!$B$21+'Inputs'!$B$9+'Inputs'!$B$10)+'Inputs'!$B$7)/SQRT((((855-43)*MAX('Inputs'!$B$33,'Inputs'!$B$29+'Inputs'!$B$31+'Inputs'!$B$32,'Inputs'!$B$30+'Inputs'!$B$31+'Inputs'!$B$32)/1000+'Inputs'!$B$21+'Inputs'!$B$9+'Inputs'!$B$10)+'Inputs'!$B$7)^2+('Inputs'!$B$6/2)^2)-(((855-43)*MAX('Inputs'!$B$33,'Inputs'!$B$29+'Inputs'!$B$31+'Inputs'!$B$32,'Inputs'!$B$30+'Inputs'!$B$31+'Inputs'!$B$32)/1000+'Inputs'!$B$21+'Inputs'!$B$9+'Inputs'!$B$10))/SQRT((((855-43)*MAX('Inputs'!$B$33,'Inputs'!$B$29+'Inputs'!$B$31+'Inputs'!$B$32,'Inputs'!$B$30+'Inputs'!$B$31+'Inputs'!$B$32)/1000+'Inputs'!$B$21+'Inputs'!$B$9+'Inputs'!$B$10))^2+('Inputs'!$B$6/2)^2))))*'Results'!$B$8))),"")</x:f>
        <x:v>0.5771582721697774</x:v>
      </x:c>
      <x:c r="O855" t="n">
        <x:f>IF(AND(ISNUMBER('Results'!C7),ISNUMBER('Results'!B7),ISNUMBER('Results'!$B$8),ISNUMBER('Inputs'!$B$6),ISNUMBER('Inputs'!$B$7),ISNUMBER('Inputs'!$B$8),ISNUMBER('Inputs'!$B$9),ISNUMBER('Inputs'!$B$10),ISNUMBER('Inputs'!$B$21),ISNUMBER('Inputs'!$B$24),ISNUMBER('Inputs'!$B$28)),((('Results'!C7*(1+'Inputs'!$B$24)*(0.5*((((855-43)*MAX('Inputs'!$B$33,'Inputs'!$B$29+'Inputs'!$B$31+'Inputs'!$B$32,'Inputs'!$B$30+'Inputs'!$B$31+'Inputs'!$B$32)/1000+'Inputs'!$B$21)+'Inputs'!$B$9)/SQRT((((855-43)*MAX('Inputs'!$B$33,'Inputs'!$B$29+'Inputs'!$B$31+'Inputs'!$B$32,'Inputs'!$B$30+'Inputs'!$B$31+'Inputs'!$B$32)/1000+'Inputs'!$B$21)+'Inputs'!$B$9)^2+('Inputs'!$B$8/2)^2)-(((855-43)*MAX('Inputs'!$B$33,'Inputs'!$B$29+'Inputs'!$B$31+'Inputs'!$B$32,'Inputs'!$B$30+'Inputs'!$B$31+'Inputs'!$B$32)/1000+'Inputs'!$B$21))/SQRT((((855-43)*MAX('Inputs'!$B$33,'Inputs'!$B$29+'Inputs'!$B$31+'Inputs'!$B$32,'Inputs'!$B$30+'Inputs'!$B$31+'Inputs'!$B$32)/1000+'Inputs'!$B$21))^2+('Inputs'!$B$8/2)^2)))-'Results'!B7*(1-'Inputs'!$B$24)*(0.5*((((855-43)*MAX('Inputs'!$B$33,'Inputs'!$B$29+'Inputs'!$B$31+'Inputs'!$B$32,'Inputs'!$B$30+'Inputs'!$B$31+'Inputs'!$B$32)/1000+'Inputs'!$B$21+'Inputs'!$B$9+'Inputs'!$B$10)+'Inputs'!$B$7)/SQRT((((855-43)*MAX('Inputs'!$B$33,'Inputs'!$B$29+'Inputs'!$B$31+'Inputs'!$B$32,'Inputs'!$B$30+'Inputs'!$B$31+'Inputs'!$B$32)/1000+'Inputs'!$B$21+'Inputs'!$B$9+'Inputs'!$B$10)+'Inputs'!$B$7)^2+('Inputs'!$B$6/2)^2)-(((855-43)*MAX('Inputs'!$B$33,'Inputs'!$B$29+'Inputs'!$B$31+'Inputs'!$B$32,'Inputs'!$B$30+'Inputs'!$B$31+'Inputs'!$B$32)/1000+'Inputs'!$B$21+'Inputs'!$B$9+'Inputs'!$B$10))/SQRT((((855-43)*MAX('Inputs'!$B$33,'Inputs'!$B$29+'Inputs'!$B$31+'Inputs'!$B$32,'Inputs'!$B$30+'Inputs'!$B$31+'Inputs'!$B$32)/1000+'Inputs'!$B$21+'Inputs'!$B$9+'Inputs'!$B$10))^2+('Inputs'!$B$6/2)^2))))*'Results'!$B$8)+'Inputs'!$B$28*ABS((('Results'!C7*(1+'Inputs'!$B$24)*(0.5*((((855-43)*MAX('Inputs'!$B$33,'Inputs'!$B$29+'Inputs'!$B$31+'Inputs'!$B$32,'Inputs'!$B$30+'Inputs'!$B$31+'Inputs'!$B$32)/1000+'Inputs'!$B$21)+'Inputs'!$B$9)/SQRT((((855-43)*MAX('Inputs'!$B$33,'Inputs'!$B$29+'Inputs'!$B$31+'Inputs'!$B$32,'Inputs'!$B$30+'Inputs'!$B$31+'Inputs'!$B$32)/1000+'Inputs'!$B$21)+'Inputs'!$B$9)^2+('Inputs'!$B$8/2)^2)-(((855-43)*MAX('Inputs'!$B$33,'Inputs'!$B$29+'Inputs'!$B$31+'Inputs'!$B$32,'Inputs'!$B$30+'Inputs'!$B$31+'Inputs'!$B$32)/1000+'Inputs'!$B$21))/SQRT((((855-43)*MAX('Inputs'!$B$33,'Inputs'!$B$29+'Inputs'!$B$31+'Inputs'!$B$32,'Inputs'!$B$30+'Inputs'!$B$31+'Inputs'!$B$32)/1000+'Inputs'!$B$21))^2+('Inputs'!$B$8/2)^2)))-'Results'!B7*(1-'Inputs'!$B$24)*(0.5*((((855-43)*MAX('Inputs'!$B$33,'Inputs'!$B$29+'Inputs'!$B$31+'Inputs'!$B$32,'Inputs'!$B$30+'Inputs'!$B$31+'Inputs'!$B$32)/1000+'Inputs'!$B$21+'Inputs'!$B$9+'Inputs'!$B$10)+'Inputs'!$B$7)/SQRT((((855-43)*MAX('Inputs'!$B$33,'Inputs'!$B$29+'Inputs'!$B$31+'Inputs'!$B$32,'Inputs'!$B$30+'Inputs'!$B$31+'Inputs'!$B$32)/1000+'Inputs'!$B$21+'Inputs'!$B$9+'Inputs'!$B$10)+'Inputs'!$B$7)^2+('Inputs'!$B$6/2)^2)-(((855-43)*MAX('Inputs'!$B$33,'Inputs'!$B$29+'Inputs'!$B$31+'Inputs'!$B$32,'Inputs'!$B$30+'Inputs'!$B$31+'Inputs'!$B$32)/1000+'Inputs'!$B$21+'Inputs'!$B$9+'Inputs'!$B$10))/SQRT((((855-43)*MAX('Inputs'!$B$33,'Inputs'!$B$29+'Inputs'!$B$31+'Inputs'!$B$32,'Inputs'!$B$30+'Inputs'!$B$31+'Inputs'!$B$32)/1000+'Inputs'!$B$21+'Inputs'!$B$9+'Inputs'!$B$10))^2+('Inputs'!$B$6/2)^2))))*'Results'!$B$8))),"")</x:f>
        <x:v>0.7971606624099775</x:v>
      </x:c>
      <x:c r="P855" t="n">
        <x:f>IF(AND(MAX(J855,J854)&gt;0,J855&gt;J854+0.00000001),1,0)</x:f>
        <x:v>0</x:v>
      </x:c>
      <x:c r="Q855" t="n">
        <x:f>IF(AND(MAX(K855,K854)&gt;0,K855&gt;K854+0.00000001),1,0)</x:f>
        <x:v>0</x:v>
      </x:c>
      <x:c r="R855" t="n">
        <x:f>IF(AND(MAX(L855,L854)&gt;0,L855&gt;L854+0.00000001),1,0)</x:f>
        <x:v>0</x:v>
      </x:c>
      <x:c r="S855" t="n">
        <x:f>IF(AND(MAX(M855,M854)&gt;0,M855&gt;M854+0.00000001),1,0)</x:f>
        <x:v>0</x:v>
      </x:c>
      <x:c r="T855" t="n">
        <x:f>IF(AND(MAX(N855,N854)&gt;0,N855&gt;N854+0.00000001),1,0)</x:f>
        <x:v>0</x:v>
      </x:c>
      <x:c r="U855" t="n">
        <x:f>IF(AND(MAX(O855,O854)&gt;0,O855&gt;O854+0.00000001),1,0)</x:f>
        <x:v>0</x:v>
      </x:c>
    </x:row>
    <x:row r="856">
      <x:c r="J856" t="n">
        <x:f>IF(AND(ISNUMBER('Results'!B7),ISNUMBER('Results'!C7),ISNUMBER('Results'!$B$8),ISNUMBER('Inputs'!$B$6),ISNUMBER('Inputs'!$B$7),ISNUMBER('Inputs'!$B$8),ISNUMBER('Inputs'!$B$9),ISNUMBER('Inputs'!$B$10),ISNUMBER('Inputs'!$B$21),ISNUMBER('Inputs'!$B$24),ISNUMBER('Inputs'!$B$28)),(('Results'!B7*(0.5*((((856-43)*MAX('Inputs'!$B$33,'Inputs'!$B$29+'Inputs'!$B$31+'Inputs'!$B$32,'Inputs'!$B$30+'Inputs'!$B$31+'Inputs'!$B$32)/1000+'Inputs'!$B$21)+'Inputs'!$B$7)/SQRT((((856-43)*MAX('Inputs'!$B$33,'Inputs'!$B$29+'Inputs'!$B$31+'Inputs'!$B$32,'Inputs'!$B$30+'Inputs'!$B$31+'Inputs'!$B$32)/1000+'Inputs'!$B$21)+'Inputs'!$B$7)^2+('Inputs'!$B$6/2)^2)-(((856-43)*MAX('Inputs'!$B$33,'Inputs'!$B$29+'Inputs'!$B$31+'Inputs'!$B$32,'Inputs'!$B$30+'Inputs'!$B$31+'Inputs'!$B$32)/1000+'Inputs'!$B$21))/SQRT((((856-43)*MAX('Inputs'!$B$33,'Inputs'!$B$29+'Inputs'!$B$31+'Inputs'!$B$32,'Inputs'!$B$30+'Inputs'!$B$31+'Inputs'!$B$32)/1000+'Inputs'!$B$21))^2+('Inputs'!$B$6/2)^2)))-'Results'!C7*(0.5*((((856-43)*MAX('Inputs'!$B$33,'Inputs'!$B$29+'Inputs'!$B$31+'Inputs'!$B$32,'Inputs'!$B$30+'Inputs'!$B$31+'Inputs'!$B$32)/1000+'Inputs'!$B$21+'Inputs'!$B$7+'Inputs'!$B$10)+'Inputs'!$B$9)/SQRT((((856-43)*MAX('Inputs'!$B$33,'Inputs'!$B$29+'Inputs'!$B$31+'Inputs'!$B$32,'Inputs'!$B$30+'Inputs'!$B$31+'Inputs'!$B$32)/1000+'Inputs'!$B$21+'Inputs'!$B$7+'Inputs'!$B$10)+'Inputs'!$B$9)^2+('Inputs'!$B$8/2)^2)-(((856-43)*MAX('Inputs'!$B$33,'Inputs'!$B$29+'Inputs'!$B$31+'Inputs'!$B$32,'Inputs'!$B$30+'Inputs'!$B$31+'Inputs'!$B$32)/1000+'Inputs'!$B$21+'Inputs'!$B$7+'Inputs'!$B$10))/SQRT((((856-43)*MAX('Inputs'!$B$33,'Inputs'!$B$29+'Inputs'!$B$31+'Inputs'!$B$32,'Inputs'!$B$30+'Inputs'!$B$31+'Inputs'!$B$32)/1000+'Inputs'!$B$21+'Inputs'!$B$7+'Inputs'!$B$10))^2+('Inputs'!$B$8/2)^2))))*'Results'!$B$8),"")</x:f>
        <x:v>0.7567537283923672</x:v>
      </x:c>
      <x:c r="K856" t="n">
        <x:f>IF(AND(ISNUMBER('Results'!B7),ISNUMBER('Results'!C7),ISNUMBER('Results'!$B$8),ISNUMBER('Inputs'!$B$6),ISNUMBER('Inputs'!$B$7),ISNUMBER('Inputs'!$B$8),ISNUMBER('Inputs'!$B$9),ISNUMBER('Inputs'!$B$10),ISNUMBER('Inputs'!$B$21),ISNUMBER('Inputs'!$B$24),ISNUMBER('Inputs'!$B$28)),((('Results'!B7*(1-'Inputs'!$B$24)*(0.5*((((856-43)*MAX('Inputs'!$B$33,'Inputs'!$B$29+'Inputs'!$B$31+'Inputs'!$B$32,'Inputs'!$B$30+'Inputs'!$B$31+'Inputs'!$B$32)/1000+'Inputs'!$B$21)+'Inputs'!$B$7)/SQRT((((856-43)*MAX('Inputs'!$B$33,'Inputs'!$B$29+'Inputs'!$B$31+'Inputs'!$B$32,'Inputs'!$B$30+'Inputs'!$B$31+'Inputs'!$B$32)/1000+'Inputs'!$B$21)+'Inputs'!$B$7)^2+('Inputs'!$B$6/2)^2)-(((856-43)*MAX('Inputs'!$B$33,'Inputs'!$B$29+'Inputs'!$B$31+'Inputs'!$B$32,'Inputs'!$B$30+'Inputs'!$B$31+'Inputs'!$B$32)/1000+'Inputs'!$B$21))/SQRT((((856-43)*MAX('Inputs'!$B$33,'Inputs'!$B$29+'Inputs'!$B$31+'Inputs'!$B$32,'Inputs'!$B$30+'Inputs'!$B$31+'Inputs'!$B$32)/1000+'Inputs'!$B$21))^2+('Inputs'!$B$6/2)^2)))-'Results'!C7*(1+'Inputs'!$B$24)*(0.5*((((856-43)*MAX('Inputs'!$B$33,'Inputs'!$B$29+'Inputs'!$B$31+'Inputs'!$B$32,'Inputs'!$B$30+'Inputs'!$B$31+'Inputs'!$B$32)/1000+'Inputs'!$B$21+'Inputs'!$B$7+'Inputs'!$B$10)+'Inputs'!$B$9)/SQRT((((856-43)*MAX('Inputs'!$B$33,'Inputs'!$B$29+'Inputs'!$B$31+'Inputs'!$B$32,'Inputs'!$B$30+'Inputs'!$B$31+'Inputs'!$B$32)/1000+'Inputs'!$B$21+'Inputs'!$B$7+'Inputs'!$B$10)+'Inputs'!$B$9)^2+('Inputs'!$B$8/2)^2)-(((856-43)*MAX('Inputs'!$B$33,'Inputs'!$B$29+'Inputs'!$B$31+'Inputs'!$B$32,'Inputs'!$B$30+'Inputs'!$B$31+'Inputs'!$B$32)/1000+'Inputs'!$B$21+'Inputs'!$B$7+'Inputs'!$B$10))/SQRT((((856-43)*MAX('Inputs'!$B$33,'Inputs'!$B$29+'Inputs'!$B$31+'Inputs'!$B$32,'Inputs'!$B$30+'Inputs'!$B$31+'Inputs'!$B$32)/1000+'Inputs'!$B$21+'Inputs'!$B$7+'Inputs'!$B$10))^2+('Inputs'!$B$8/2)^2))))*'Results'!$B$8)-'Inputs'!$B$28*ABS((('Results'!B7*(1-'Inputs'!$B$24)*(0.5*((((856-43)*MAX('Inputs'!$B$33,'Inputs'!$B$29+'Inputs'!$B$31+'Inputs'!$B$32,'Inputs'!$B$30+'Inputs'!$B$31+'Inputs'!$B$32)/1000+'Inputs'!$B$21)+'Inputs'!$B$7)/SQRT((((856-43)*MAX('Inputs'!$B$33,'Inputs'!$B$29+'Inputs'!$B$31+'Inputs'!$B$32,'Inputs'!$B$30+'Inputs'!$B$31+'Inputs'!$B$32)/1000+'Inputs'!$B$21)+'Inputs'!$B$7)^2+('Inputs'!$B$6/2)^2)-(((856-43)*MAX('Inputs'!$B$33,'Inputs'!$B$29+'Inputs'!$B$31+'Inputs'!$B$32,'Inputs'!$B$30+'Inputs'!$B$31+'Inputs'!$B$32)/1000+'Inputs'!$B$21))/SQRT((((856-43)*MAX('Inputs'!$B$33,'Inputs'!$B$29+'Inputs'!$B$31+'Inputs'!$B$32,'Inputs'!$B$30+'Inputs'!$B$31+'Inputs'!$B$32)/1000+'Inputs'!$B$21))^2+('Inputs'!$B$6/2)^2)))-'Results'!C7*(1+'Inputs'!$B$24)*(0.5*((((856-43)*MAX('Inputs'!$B$33,'Inputs'!$B$29+'Inputs'!$B$31+'Inputs'!$B$32,'Inputs'!$B$30+'Inputs'!$B$31+'Inputs'!$B$32)/1000+'Inputs'!$B$21+'Inputs'!$B$7+'Inputs'!$B$10)+'Inputs'!$B$9)/SQRT((((856-43)*MAX('Inputs'!$B$33,'Inputs'!$B$29+'Inputs'!$B$31+'Inputs'!$B$32,'Inputs'!$B$30+'Inputs'!$B$31+'Inputs'!$B$32)/1000+'Inputs'!$B$21+'Inputs'!$B$7+'Inputs'!$B$10)+'Inputs'!$B$9)^2+('Inputs'!$B$8/2)^2)-(((856-43)*MAX('Inputs'!$B$33,'Inputs'!$B$29+'Inputs'!$B$31+'Inputs'!$B$32,'Inputs'!$B$30+'Inputs'!$B$31+'Inputs'!$B$32)/1000+'Inputs'!$B$21+'Inputs'!$B$7+'Inputs'!$B$10))/SQRT((((856-43)*MAX('Inputs'!$B$33,'Inputs'!$B$29+'Inputs'!$B$31+'Inputs'!$B$32,'Inputs'!$B$30+'Inputs'!$B$31+'Inputs'!$B$32)/1000+'Inputs'!$B$21+'Inputs'!$B$7+'Inputs'!$B$10))^2+('Inputs'!$B$8/2)^2))))*'Results'!$B$8))),"")</x:f>
        <x:v>0.6468435678365712</x:v>
      </x:c>
      <x:c r="L856" t="n">
        <x:f>IF(AND(ISNUMBER('Results'!B7),ISNUMBER('Results'!C7),ISNUMBER('Results'!$B$8),ISNUMBER('Inputs'!$B$6),ISNUMBER('Inputs'!$B$7),ISNUMBER('Inputs'!$B$8),ISNUMBER('Inputs'!$B$9),ISNUMBER('Inputs'!$B$10),ISNUMBER('Inputs'!$B$21),ISNUMBER('Inputs'!$B$24),ISNUMBER('Inputs'!$B$28)),((('Results'!B7*(1+'Inputs'!$B$24)*(0.5*((((856-43)*MAX('Inputs'!$B$33,'Inputs'!$B$29+'Inputs'!$B$31+'Inputs'!$B$32,'Inputs'!$B$30+'Inputs'!$B$31+'Inputs'!$B$32)/1000+'Inputs'!$B$21)+'Inputs'!$B$7)/SQRT((((856-43)*MAX('Inputs'!$B$33,'Inputs'!$B$29+'Inputs'!$B$31+'Inputs'!$B$32,'Inputs'!$B$30+'Inputs'!$B$31+'Inputs'!$B$32)/1000+'Inputs'!$B$21)+'Inputs'!$B$7)^2+('Inputs'!$B$6/2)^2)-(((856-43)*MAX('Inputs'!$B$33,'Inputs'!$B$29+'Inputs'!$B$31+'Inputs'!$B$32,'Inputs'!$B$30+'Inputs'!$B$31+'Inputs'!$B$32)/1000+'Inputs'!$B$21))/SQRT((((856-43)*MAX('Inputs'!$B$33,'Inputs'!$B$29+'Inputs'!$B$31+'Inputs'!$B$32,'Inputs'!$B$30+'Inputs'!$B$31+'Inputs'!$B$32)/1000+'Inputs'!$B$21))^2+('Inputs'!$B$6/2)^2)))-'Results'!C7*(1-'Inputs'!$B$24)*(0.5*((((856-43)*MAX('Inputs'!$B$33,'Inputs'!$B$29+'Inputs'!$B$31+'Inputs'!$B$32,'Inputs'!$B$30+'Inputs'!$B$31+'Inputs'!$B$32)/1000+'Inputs'!$B$21+'Inputs'!$B$7+'Inputs'!$B$10)+'Inputs'!$B$9)/SQRT((((856-43)*MAX('Inputs'!$B$33,'Inputs'!$B$29+'Inputs'!$B$31+'Inputs'!$B$32,'Inputs'!$B$30+'Inputs'!$B$31+'Inputs'!$B$32)/1000+'Inputs'!$B$21+'Inputs'!$B$7+'Inputs'!$B$10)+'Inputs'!$B$9)^2+('Inputs'!$B$8/2)^2)-(((856-43)*MAX('Inputs'!$B$33,'Inputs'!$B$29+'Inputs'!$B$31+'Inputs'!$B$32,'Inputs'!$B$30+'Inputs'!$B$31+'Inputs'!$B$32)/1000+'Inputs'!$B$21+'Inputs'!$B$7+'Inputs'!$B$10))/SQRT((((856-43)*MAX('Inputs'!$B$33,'Inputs'!$B$29+'Inputs'!$B$31+'Inputs'!$B$32,'Inputs'!$B$30+'Inputs'!$B$31+'Inputs'!$B$32)/1000+'Inputs'!$B$21+'Inputs'!$B$7+'Inputs'!$B$10))^2+('Inputs'!$B$8/2)^2))))*'Results'!$B$8)+'Inputs'!$B$28*ABS((('Results'!B7*(1+'Inputs'!$B$24)*(0.5*((((856-43)*MAX('Inputs'!$B$33,'Inputs'!$B$29+'Inputs'!$B$31+'Inputs'!$B$32,'Inputs'!$B$30+'Inputs'!$B$31+'Inputs'!$B$32)/1000+'Inputs'!$B$21)+'Inputs'!$B$7)/SQRT((((856-43)*MAX('Inputs'!$B$33,'Inputs'!$B$29+'Inputs'!$B$31+'Inputs'!$B$32,'Inputs'!$B$30+'Inputs'!$B$31+'Inputs'!$B$32)/1000+'Inputs'!$B$21)+'Inputs'!$B$7)^2+('Inputs'!$B$6/2)^2)-(((856-43)*MAX('Inputs'!$B$33,'Inputs'!$B$29+'Inputs'!$B$31+'Inputs'!$B$32,'Inputs'!$B$30+'Inputs'!$B$31+'Inputs'!$B$32)/1000+'Inputs'!$B$21))/SQRT((((856-43)*MAX('Inputs'!$B$33,'Inputs'!$B$29+'Inputs'!$B$31+'Inputs'!$B$32,'Inputs'!$B$30+'Inputs'!$B$31+'Inputs'!$B$32)/1000+'Inputs'!$B$21))^2+('Inputs'!$B$6/2)^2)))-'Results'!C7*(1-'Inputs'!$B$24)*(0.5*((((856-43)*MAX('Inputs'!$B$33,'Inputs'!$B$29+'Inputs'!$B$31+'Inputs'!$B$32,'Inputs'!$B$30+'Inputs'!$B$31+'Inputs'!$B$32)/1000+'Inputs'!$B$21+'Inputs'!$B$7+'Inputs'!$B$10)+'Inputs'!$B$9)/SQRT((((856-43)*MAX('Inputs'!$B$33,'Inputs'!$B$29+'Inputs'!$B$31+'Inputs'!$B$32,'Inputs'!$B$30+'Inputs'!$B$31+'Inputs'!$B$32)/1000+'Inputs'!$B$21+'Inputs'!$B$7+'Inputs'!$B$10)+'Inputs'!$B$9)^2+('Inputs'!$B$8/2)^2)-(((856-43)*MAX('Inputs'!$B$33,'Inputs'!$B$29+'Inputs'!$B$31+'Inputs'!$B$32,'Inputs'!$B$30+'Inputs'!$B$31+'Inputs'!$B$32)/1000+'Inputs'!$B$21+'Inputs'!$B$7+'Inputs'!$B$10))/SQRT((((856-43)*MAX('Inputs'!$B$33,'Inputs'!$B$29+'Inputs'!$B$31+'Inputs'!$B$32,'Inputs'!$B$30+'Inputs'!$B$31+'Inputs'!$B$32)/1000+'Inputs'!$B$21+'Inputs'!$B$7+'Inputs'!$B$10))^2+('Inputs'!$B$8/2)^2))))*'Results'!$B$8))),"")</x:f>
        <x:v>0.8742504651730236</x:v>
      </x:c>
      <x:c r="M856" t="n">
        <x:f>IF(AND(ISNUMBER('Results'!C7),ISNUMBER('Results'!B7),ISNUMBER('Results'!$B$8),ISNUMBER('Inputs'!$B$6),ISNUMBER('Inputs'!$B$7),ISNUMBER('Inputs'!$B$8),ISNUMBER('Inputs'!$B$9),ISNUMBER('Inputs'!$B$10),ISNUMBER('Inputs'!$B$21),ISNUMBER('Inputs'!$B$24),ISNUMBER('Inputs'!$B$28)),(('Results'!C7*(0.5*((((856-43)*MAX('Inputs'!$B$33,'Inputs'!$B$29+'Inputs'!$B$31+'Inputs'!$B$32,'Inputs'!$B$30+'Inputs'!$B$31+'Inputs'!$B$32)/1000+'Inputs'!$B$21)+'Inputs'!$B$9)/SQRT((((856-43)*MAX('Inputs'!$B$33,'Inputs'!$B$29+'Inputs'!$B$31+'Inputs'!$B$32,'Inputs'!$B$30+'Inputs'!$B$31+'Inputs'!$B$32)/1000+'Inputs'!$B$21)+'Inputs'!$B$9)^2+('Inputs'!$B$8/2)^2)-(((856-43)*MAX('Inputs'!$B$33,'Inputs'!$B$29+'Inputs'!$B$31+'Inputs'!$B$32,'Inputs'!$B$30+'Inputs'!$B$31+'Inputs'!$B$32)/1000+'Inputs'!$B$21))/SQRT((((856-43)*MAX('Inputs'!$B$33,'Inputs'!$B$29+'Inputs'!$B$31+'Inputs'!$B$32,'Inputs'!$B$30+'Inputs'!$B$31+'Inputs'!$B$32)/1000+'Inputs'!$B$21))^2+('Inputs'!$B$8/2)^2)))-'Results'!B7*(0.5*((((856-43)*MAX('Inputs'!$B$33,'Inputs'!$B$29+'Inputs'!$B$31+'Inputs'!$B$32,'Inputs'!$B$30+'Inputs'!$B$31+'Inputs'!$B$32)/1000+'Inputs'!$B$21+'Inputs'!$B$9+'Inputs'!$B$10)+'Inputs'!$B$7)/SQRT((((856-43)*MAX('Inputs'!$B$33,'Inputs'!$B$29+'Inputs'!$B$31+'Inputs'!$B$32,'Inputs'!$B$30+'Inputs'!$B$31+'Inputs'!$B$32)/1000+'Inputs'!$B$21+'Inputs'!$B$9+'Inputs'!$B$10)+'Inputs'!$B$7)^2+('Inputs'!$B$6/2)^2)-(((856-43)*MAX('Inputs'!$B$33,'Inputs'!$B$29+'Inputs'!$B$31+'Inputs'!$B$32,'Inputs'!$B$30+'Inputs'!$B$31+'Inputs'!$B$32)/1000+'Inputs'!$B$21+'Inputs'!$B$9+'Inputs'!$B$10))/SQRT((((856-43)*MAX('Inputs'!$B$33,'Inputs'!$B$29+'Inputs'!$B$31+'Inputs'!$B$32,'Inputs'!$B$30+'Inputs'!$B$31+'Inputs'!$B$32)/1000+'Inputs'!$B$21+'Inputs'!$B$9+'Inputs'!$B$10))^2+('Inputs'!$B$6/2)^2))))*'Results'!$B$8),"")</x:f>
        <x:v>0.6802682652490576</x:v>
      </x:c>
      <x:c r="N856" t="n">
        <x:f>IF(AND(ISNUMBER('Results'!C7),ISNUMBER('Results'!B7),ISNUMBER('Results'!$B$8),ISNUMBER('Inputs'!$B$6),ISNUMBER('Inputs'!$B$7),ISNUMBER('Inputs'!$B$8),ISNUMBER('Inputs'!$B$9),ISNUMBER('Inputs'!$B$10),ISNUMBER('Inputs'!$B$21),ISNUMBER('Inputs'!$B$24),ISNUMBER('Inputs'!$B$28)),((('Results'!C7*(1-'Inputs'!$B$24)*(0.5*((((856-43)*MAX('Inputs'!$B$33,'Inputs'!$B$29+'Inputs'!$B$31+'Inputs'!$B$32,'Inputs'!$B$30+'Inputs'!$B$31+'Inputs'!$B$32)/1000+'Inputs'!$B$21)+'Inputs'!$B$9)/SQRT((((856-43)*MAX('Inputs'!$B$33,'Inputs'!$B$29+'Inputs'!$B$31+'Inputs'!$B$32,'Inputs'!$B$30+'Inputs'!$B$31+'Inputs'!$B$32)/1000+'Inputs'!$B$21)+'Inputs'!$B$9)^2+('Inputs'!$B$8/2)^2)-(((856-43)*MAX('Inputs'!$B$33,'Inputs'!$B$29+'Inputs'!$B$31+'Inputs'!$B$32,'Inputs'!$B$30+'Inputs'!$B$31+'Inputs'!$B$32)/1000+'Inputs'!$B$21))/SQRT((((856-43)*MAX('Inputs'!$B$33,'Inputs'!$B$29+'Inputs'!$B$31+'Inputs'!$B$32,'Inputs'!$B$30+'Inputs'!$B$31+'Inputs'!$B$32)/1000+'Inputs'!$B$21))^2+('Inputs'!$B$8/2)^2)))-'Results'!B7*(1+'Inputs'!$B$24)*(0.5*((((856-43)*MAX('Inputs'!$B$33,'Inputs'!$B$29+'Inputs'!$B$31+'Inputs'!$B$32,'Inputs'!$B$30+'Inputs'!$B$31+'Inputs'!$B$32)/1000+'Inputs'!$B$21+'Inputs'!$B$9+'Inputs'!$B$10)+'Inputs'!$B$7)/SQRT((((856-43)*MAX('Inputs'!$B$33,'Inputs'!$B$29+'Inputs'!$B$31+'Inputs'!$B$32,'Inputs'!$B$30+'Inputs'!$B$31+'Inputs'!$B$32)/1000+'Inputs'!$B$21+'Inputs'!$B$9+'Inputs'!$B$10)+'Inputs'!$B$7)^2+('Inputs'!$B$6/2)^2)-(((856-43)*MAX('Inputs'!$B$33,'Inputs'!$B$29+'Inputs'!$B$31+'Inputs'!$B$32,'Inputs'!$B$30+'Inputs'!$B$31+'Inputs'!$B$32)/1000+'Inputs'!$B$21+'Inputs'!$B$9+'Inputs'!$B$10))/SQRT((((856-43)*MAX('Inputs'!$B$33,'Inputs'!$B$29+'Inputs'!$B$31+'Inputs'!$B$32,'Inputs'!$B$30+'Inputs'!$B$31+'Inputs'!$B$32)/1000+'Inputs'!$B$21+'Inputs'!$B$9+'Inputs'!$B$10))^2+('Inputs'!$B$6/2)^2))))*'Results'!$B$8)-'Inputs'!$B$28*ABS((('Results'!C7*(1-'Inputs'!$B$24)*(0.5*((((856-43)*MAX('Inputs'!$B$33,'Inputs'!$B$29+'Inputs'!$B$31+'Inputs'!$B$32,'Inputs'!$B$30+'Inputs'!$B$31+'Inputs'!$B$32)/1000+'Inputs'!$B$21)+'Inputs'!$B$9)/SQRT((((856-43)*MAX('Inputs'!$B$33,'Inputs'!$B$29+'Inputs'!$B$31+'Inputs'!$B$32,'Inputs'!$B$30+'Inputs'!$B$31+'Inputs'!$B$32)/1000+'Inputs'!$B$21)+'Inputs'!$B$9)^2+('Inputs'!$B$8/2)^2)-(((856-43)*MAX('Inputs'!$B$33,'Inputs'!$B$29+'Inputs'!$B$31+'Inputs'!$B$32,'Inputs'!$B$30+'Inputs'!$B$31+'Inputs'!$B$32)/1000+'Inputs'!$B$21))/SQRT((((856-43)*MAX('Inputs'!$B$33,'Inputs'!$B$29+'Inputs'!$B$31+'Inputs'!$B$32,'Inputs'!$B$30+'Inputs'!$B$31+'Inputs'!$B$32)/1000+'Inputs'!$B$21))^2+('Inputs'!$B$8/2)^2)))-'Results'!B7*(1+'Inputs'!$B$24)*(0.5*((((856-43)*MAX('Inputs'!$B$33,'Inputs'!$B$29+'Inputs'!$B$31+'Inputs'!$B$32,'Inputs'!$B$30+'Inputs'!$B$31+'Inputs'!$B$32)/1000+'Inputs'!$B$21+'Inputs'!$B$9+'Inputs'!$B$10)+'Inputs'!$B$7)/SQRT((((856-43)*MAX('Inputs'!$B$33,'Inputs'!$B$29+'Inputs'!$B$31+'Inputs'!$B$32,'Inputs'!$B$30+'Inputs'!$B$31+'Inputs'!$B$32)/1000+'Inputs'!$B$21+'Inputs'!$B$9+'Inputs'!$B$10)+'Inputs'!$B$7)^2+('Inputs'!$B$6/2)^2)-(((856-43)*MAX('Inputs'!$B$33,'Inputs'!$B$29+'Inputs'!$B$31+'Inputs'!$B$32,'Inputs'!$B$30+'Inputs'!$B$31+'Inputs'!$B$32)/1000+'Inputs'!$B$21+'Inputs'!$B$9+'Inputs'!$B$10))/SQRT((((856-43)*MAX('Inputs'!$B$33,'Inputs'!$B$29+'Inputs'!$B$31+'Inputs'!$B$32,'Inputs'!$B$30+'Inputs'!$B$31+'Inputs'!$B$32)/1000+'Inputs'!$B$21+'Inputs'!$B$9+'Inputs'!$B$10))^2+('Inputs'!$B$6/2)^2))))*'Results'!$B$8))),"")</x:f>
        <x:v>0.5744581699502171</x:v>
      </x:c>
      <x:c r="O856" t="n">
        <x:f>IF(AND(ISNUMBER('Results'!C7),ISNUMBER('Results'!B7),ISNUMBER('Results'!$B$8),ISNUMBER('Inputs'!$B$6),ISNUMBER('Inputs'!$B$7),ISNUMBER('Inputs'!$B$8),ISNUMBER('Inputs'!$B$9),ISNUMBER('Inputs'!$B$10),ISNUMBER('Inputs'!$B$21),ISNUMBER('Inputs'!$B$24),ISNUMBER('Inputs'!$B$28)),((('Results'!C7*(1+'Inputs'!$B$24)*(0.5*((((856-43)*MAX('Inputs'!$B$33,'Inputs'!$B$29+'Inputs'!$B$31+'Inputs'!$B$32,'Inputs'!$B$30+'Inputs'!$B$31+'Inputs'!$B$32)/1000+'Inputs'!$B$21)+'Inputs'!$B$9)/SQRT((((856-43)*MAX('Inputs'!$B$33,'Inputs'!$B$29+'Inputs'!$B$31+'Inputs'!$B$32,'Inputs'!$B$30+'Inputs'!$B$31+'Inputs'!$B$32)/1000+'Inputs'!$B$21)+'Inputs'!$B$9)^2+('Inputs'!$B$8/2)^2)-(((856-43)*MAX('Inputs'!$B$33,'Inputs'!$B$29+'Inputs'!$B$31+'Inputs'!$B$32,'Inputs'!$B$30+'Inputs'!$B$31+'Inputs'!$B$32)/1000+'Inputs'!$B$21))/SQRT((((856-43)*MAX('Inputs'!$B$33,'Inputs'!$B$29+'Inputs'!$B$31+'Inputs'!$B$32,'Inputs'!$B$30+'Inputs'!$B$31+'Inputs'!$B$32)/1000+'Inputs'!$B$21))^2+('Inputs'!$B$8/2)^2)))-'Results'!B7*(1-'Inputs'!$B$24)*(0.5*((((856-43)*MAX('Inputs'!$B$33,'Inputs'!$B$29+'Inputs'!$B$31+'Inputs'!$B$32,'Inputs'!$B$30+'Inputs'!$B$31+'Inputs'!$B$32)/1000+'Inputs'!$B$21+'Inputs'!$B$9+'Inputs'!$B$10)+'Inputs'!$B$7)/SQRT((((856-43)*MAX('Inputs'!$B$33,'Inputs'!$B$29+'Inputs'!$B$31+'Inputs'!$B$32,'Inputs'!$B$30+'Inputs'!$B$31+'Inputs'!$B$32)/1000+'Inputs'!$B$21+'Inputs'!$B$9+'Inputs'!$B$10)+'Inputs'!$B$7)^2+('Inputs'!$B$6/2)^2)-(((856-43)*MAX('Inputs'!$B$33,'Inputs'!$B$29+'Inputs'!$B$31+'Inputs'!$B$32,'Inputs'!$B$30+'Inputs'!$B$31+'Inputs'!$B$32)/1000+'Inputs'!$B$21+'Inputs'!$B$9+'Inputs'!$B$10))/SQRT((((856-43)*MAX('Inputs'!$B$33,'Inputs'!$B$29+'Inputs'!$B$31+'Inputs'!$B$32,'Inputs'!$B$30+'Inputs'!$B$31+'Inputs'!$B$32)/1000+'Inputs'!$B$21+'Inputs'!$B$9+'Inputs'!$B$10))^2+('Inputs'!$B$6/2)^2))))*'Results'!$B$8)+'Inputs'!$B$28*ABS((('Results'!C7*(1+'Inputs'!$B$24)*(0.5*((((856-43)*MAX('Inputs'!$B$33,'Inputs'!$B$29+'Inputs'!$B$31+'Inputs'!$B$32,'Inputs'!$B$30+'Inputs'!$B$31+'Inputs'!$B$32)/1000+'Inputs'!$B$21)+'Inputs'!$B$9)/SQRT((((856-43)*MAX('Inputs'!$B$33,'Inputs'!$B$29+'Inputs'!$B$31+'Inputs'!$B$32,'Inputs'!$B$30+'Inputs'!$B$31+'Inputs'!$B$32)/1000+'Inputs'!$B$21)+'Inputs'!$B$9)^2+('Inputs'!$B$8/2)^2)-(((856-43)*MAX('Inputs'!$B$33,'Inputs'!$B$29+'Inputs'!$B$31+'Inputs'!$B$32,'Inputs'!$B$30+'Inputs'!$B$31+'Inputs'!$B$32)/1000+'Inputs'!$B$21))/SQRT((((856-43)*MAX('Inputs'!$B$33,'Inputs'!$B$29+'Inputs'!$B$31+'Inputs'!$B$32,'Inputs'!$B$30+'Inputs'!$B$31+'Inputs'!$B$32)/1000+'Inputs'!$B$21))^2+('Inputs'!$B$8/2)^2)))-'Results'!B7*(1-'Inputs'!$B$24)*(0.5*((((856-43)*MAX('Inputs'!$B$33,'Inputs'!$B$29+'Inputs'!$B$31+'Inputs'!$B$32,'Inputs'!$B$30+'Inputs'!$B$31+'Inputs'!$B$32)/1000+'Inputs'!$B$21+'Inputs'!$B$9+'Inputs'!$B$10)+'Inputs'!$B$7)/SQRT((((856-43)*MAX('Inputs'!$B$33,'Inputs'!$B$29+'Inputs'!$B$31+'Inputs'!$B$32,'Inputs'!$B$30+'Inputs'!$B$31+'Inputs'!$B$32)/1000+'Inputs'!$B$21+'Inputs'!$B$9+'Inputs'!$B$10)+'Inputs'!$B$7)^2+('Inputs'!$B$6/2)^2)-(((856-43)*MAX('Inputs'!$B$33,'Inputs'!$B$29+'Inputs'!$B$31+'Inputs'!$B$32,'Inputs'!$B$30+'Inputs'!$B$31+'Inputs'!$B$32)/1000+'Inputs'!$B$21+'Inputs'!$B$9+'Inputs'!$B$10))/SQRT((((856-43)*MAX('Inputs'!$B$33,'Inputs'!$B$29+'Inputs'!$B$31+'Inputs'!$B$32,'Inputs'!$B$30+'Inputs'!$B$31+'Inputs'!$B$32)/1000+'Inputs'!$B$21+'Inputs'!$B$9+'Inputs'!$B$10))^2+('Inputs'!$B$6/2)^2))))*'Results'!$B$8))),"")</x:f>
        <x:v>0.7936359060254129</x:v>
      </x:c>
      <x:c r="P856" t="n">
        <x:f>IF(AND(MAX(J856,J855)&gt;0,J856&gt;J855+0.00000001),1,0)</x:f>
        <x:v>0</x:v>
      </x:c>
      <x:c r="Q856" t="n">
        <x:f>IF(AND(MAX(K856,K855)&gt;0,K856&gt;K855+0.00000001),1,0)</x:f>
        <x:v>0</x:v>
      </x:c>
      <x:c r="R856" t="n">
        <x:f>IF(AND(MAX(L856,L855)&gt;0,L856&gt;L855+0.00000001),1,0)</x:f>
        <x:v>0</x:v>
      </x:c>
      <x:c r="S856" t="n">
        <x:f>IF(AND(MAX(M856,M855)&gt;0,M856&gt;M855+0.00000001),1,0)</x:f>
        <x:v>0</x:v>
      </x:c>
      <x:c r="T856" t="n">
        <x:f>IF(AND(MAX(N856,N855)&gt;0,N856&gt;N855+0.00000001),1,0)</x:f>
        <x:v>0</x:v>
      </x:c>
      <x:c r="U856" t="n">
        <x:f>IF(AND(MAX(O856,O855)&gt;0,O856&gt;O855+0.00000001),1,0)</x:f>
        <x:v>0</x:v>
      </x:c>
    </x:row>
    <x:row r="857">
      <x:c r="J857" t="n">
        <x:f>IF(AND(ISNUMBER('Results'!B7),ISNUMBER('Results'!C7),ISNUMBER('Results'!$B$8),ISNUMBER('Inputs'!$B$6),ISNUMBER('Inputs'!$B$7),ISNUMBER('Inputs'!$B$8),ISNUMBER('Inputs'!$B$9),ISNUMBER('Inputs'!$B$10),ISNUMBER('Inputs'!$B$21),ISNUMBER('Inputs'!$B$24),ISNUMBER('Inputs'!$B$28)),(('Results'!B7*(0.5*((((857-43)*MAX('Inputs'!$B$33,'Inputs'!$B$29+'Inputs'!$B$31+'Inputs'!$B$32,'Inputs'!$B$30+'Inputs'!$B$31+'Inputs'!$B$32)/1000+'Inputs'!$B$21)+'Inputs'!$B$7)/SQRT((((857-43)*MAX('Inputs'!$B$33,'Inputs'!$B$29+'Inputs'!$B$31+'Inputs'!$B$32,'Inputs'!$B$30+'Inputs'!$B$31+'Inputs'!$B$32)/1000+'Inputs'!$B$21)+'Inputs'!$B$7)^2+('Inputs'!$B$6/2)^2)-(((857-43)*MAX('Inputs'!$B$33,'Inputs'!$B$29+'Inputs'!$B$31+'Inputs'!$B$32,'Inputs'!$B$30+'Inputs'!$B$31+'Inputs'!$B$32)/1000+'Inputs'!$B$21))/SQRT((((857-43)*MAX('Inputs'!$B$33,'Inputs'!$B$29+'Inputs'!$B$31+'Inputs'!$B$32,'Inputs'!$B$30+'Inputs'!$B$31+'Inputs'!$B$32)/1000+'Inputs'!$B$21))^2+('Inputs'!$B$6/2)^2)))-'Results'!C7*(0.5*((((857-43)*MAX('Inputs'!$B$33,'Inputs'!$B$29+'Inputs'!$B$31+'Inputs'!$B$32,'Inputs'!$B$30+'Inputs'!$B$31+'Inputs'!$B$32)/1000+'Inputs'!$B$21+'Inputs'!$B$7+'Inputs'!$B$10)+'Inputs'!$B$9)/SQRT((((857-43)*MAX('Inputs'!$B$33,'Inputs'!$B$29+'Inputs'!$B$31+'Inputs'!$B$32,'Inputs'!$B$30+'Inputs'!$B$31+'Inputs'!$B$32)/1000+'Inputs'!$B$21+'Inputs'!$B$7+'Inputs'!$B$10)+'Inputs'!$B$9)^2+('Inputs'!$B$8/2)^2)-(((857-43)*MAX('Inputs'!$B$33,'Inputs'!$B$29+'Inputs'!$B$31+'Inputs'!$B$32,'Inputs'!$B$30+'Inputs'!$B$31+'Inputs'!$B$32)/1000+'Inputs'!$B$21+'Inputs'!$B$7+'Inputs'!$B$10))/SQRT((((857-43)*MAX('Inputs'!$B$33,'Inputs'!$B$29+'Inputs'!$B$31+'Inputs'!$B$32,'Inputs'!$B$30+'Inputs'!$B$31+'Inputs'!$B$32)/1000+'Inputs'!$B$21+'Inputs'!$B$7+'Inputs'!$B$10))^2+('Inputs'!$B$8/2)^2))))*'Results'!$B$8),"")</x:f>
        <x:v>0.7534121864699675</x:v>
      </x:c>
      <x:c r="K857" t="n">
        <x:f>IF(AND(ISNUMBER('Results'!B7),ISNUMBER('Results'!C7),ISNUMBER('Results'!$B$8),ISNUMBER('Inputs'!$B$6),ISNUMBER('Inputs'!$B$7),ISNUMBER('Inputs'!$B$8),ISNUMBER('Inputs'!$B$9),ISNUMBER('Inputs'!$B$10),ISNUMBER('Inputs'!$B$21),ISNUMBER('Inputs'!$B$24),ISNUMBER('Inputs'!$B$28)),((('Results'!B7*(1-'Inputs'!$B$24)*(0.5*((((857-43)*MAX('Inputs'!$B$33,'Inputs'!$B$29+'Inputs'!$B$31+'Inputs'!$B$32,'Inputs'!$B$30+'Inputs'!$B$31+'Inputs'!$B$32)/1000+'Inputs'!$B$21)+'Inputs'!$B$7)/SQRT((((857-43)*MAX('Inputs'!$B$33,'Inputs'!$B$29+'Inputs'!$B$31+'Inputs'!$B$32,'Inputs'!$B$30+'Inputs'!$B$31+'Inputs'!$B$32)/1000+'Inputs'!$B$21)+'Inputs'!$B$7)^2+('Inputs'!$B$6/2)^2)-(((857-43)*MAX('Inputs'!$B$33,'Inputs'!$B$29+'Inputs'!$B$31+'Inputs'!$B$32,'Inputs'!$B$30+'Inputs'!$B$31+'Inputs'!$B$32)/1000+'Inputs'!$B$21))/SQRT((((857-43)*MAX('Inputs'!$B$33,'Inputs'!$B$29+'Inputs'!$B$31+'Inputs'!$B$32,'Inputs'!$B$30+'Inputs'!$B$31+'Inputs'!$B$32)/1000+'Inputs'!$B$21))^2+('Inputs'!$B$6/2)^2)))-'Results'!C7*(1+'Inputs'!$B$24)*(0.5*((((857-43)*MAX('Inputs'!$B$33,'Inputs'!$B$29+'Inputs'!$B$31+'Inputs'!$B$32,'Inputs'!$B$30+'Inputs'!$B$31+'Inputs'!$B$32)/1000+'Inputs'!$B$21+'Inputs'!$B$7+'Inputs'!$B$10)+'Inputs'!$B$9)/SQRT((((857-43)*MAX('Inputs'!$B$33,'Inputs'!$B$29+'Inputs'!$B$31+'Inputs'!$B$32,'Inputs'!$B$30+'Inputs'!$B$31+'Inputs'!$B$32)/1000+'Inputs'!$B$21+'Inputs'!$B$7+'Inputs'!$B$10)+'Inputs'!$B$9)^2+('Inputs'!$B$8/2)^2)-(((857-43)*MAX('Inputs'!$B$33,'Inputs'!$B$29+'Inputs'!$B$31+'Inputs'!$B$32,'Inputs'!$B$30+'Inputs'!$B$31+'Inputs'!$B$32)/1000+'Inputs'!$B$21+'Inputs'!$B$7+'Inputs'!$B$10))/SQRT((((857-43)*MAX('Inputs'!$B$33,'Inputs'!$B$29+'Inputs'!$B$31+'Inputs'!$B$32,'Inputs'!$B$30+'Inputs'!$B$31+'Inputs'!$B$32)/1000+'Inputs'!$B$21+'Inputs'!$B$7+'Inputs'!$B$10))^2+('Inputs'!$B$8/2)^2))))*'Results'!$B$8)-'Inputs'!$B$28*ABS((('Results'!B7*(1-'Inputs'!$B$24)*(0.5*((((857-43)*MAX('Inputs'!$B$33,'Inputs'!$B$29+'Inputs'!$B$31+'Inputs'!$B$32,'Inputs'!$B$30+'Inputs'!$B$31+'Inputs'!$B$32)/1000+'Inputs'!$B$21)+'Inputs'!$B$7)/SQRT((((857-43)*MAX('Inputs'!$B$33,'Inputs'!$B$29+'Inputs'!$B$31+'Inputs'!$B$32,'Inputs'!$B$30+'Inputs'!$B$31+'Inputs'!$B$32)/1000+'Inputs'!$B$21)+'Inputs'!$B$7)^2+('Inputs'!$B$6/2)^2)-(((857-43)*MAX('Inputs'!$B$33,'Inputs'!$B$29+'Inputs'!$B$31+'Inputs'!$B$32,'Inputs'!$B$30+'Inputs'!$B$31+'Inputs'!$B$32)/1000+'Inputs'!$B$21))/SQRT((((857-43)*MAX('Inputs'!$B$33,'Inputs'!$B$29+'Inputs'!$B$31+'Inputs'!$B$32,'Inputs'!$B$30+'Inputs'!$B$31+'Inputs'!$B$32)/1000+'Inputs'!$B$21))^2+('Inputs'!$B$6/2)^2)))-'Results'!C7*(1+'Inputs'!$B$24)*(0.5*((((857-43)*MAX('Inputs'!$B$33,'Inputs'!$B$29+'Inputs'!$B$31+'Inputs'!$B$32,'Inputs'!$B$30+'Inputs'!$B$31+'Inputs'!$B$32)/1000+'Inputs'!$B$21+'Inputs'!$B$7+'Inputs'!$B$10)+'Inputs'!$B$9)/SQRT((((857-43)*MAX('Inputs'!$B$33,'Inputs'!$B$29+'Inputs'!$B$31+'Inputs'!$B$32,'Inputs'!$B$30+'Inputs'!$B$31+'Inputs'!$B$32)/1000+'Inputs'!$B$21+'Inputs'!$B$7+'Inputs'!$B$10)+'Inputs'!$B$9)^2+('Inputs'!$B$8/2)^2)-(((857-43)*MAX('Inputs'!$B$33,'Inputs'!$B$29+'Inputs'!$B$31+'Inputs'!$B$32,'Inputs'!$B$30+'Inputs'!$B$31+'Inputs'!$B$32)/1000+'Inputs'!$B$21+'Inputs'!$B$7+'Inputs'!$B$10))/SQRT((((857-43)*MAX('Inputs'!$B$33,'Inputs'!$B$29+'Inputs'!$B$31+'Inputs'!$B$32,'Inputs'!$B$30+'Inputs'!$B$31+'Inputs'!$B$32)/1000+'Inputs'!$B$21+'Inputs'!$B$7+'Inputs'!$B$10))^2+('Inputs'!$B$8/2)^2))))*'Results'!$B$8))),"")</x:f>
        <x:v>0.643913710317056</x:v>
      </x:c>
      <x:c r="L857" t="n">
        <x:f>IF(AND(ISNUMBER('Results'!B7),ISNUMBER('Results'!C7),ISNUMBER('Results'!$B$8),ISNUMBER('Inputs'!$B$6),ISNUMBER('Inputs'!$B$7),ISNUMBER('Inputs'!$B$8),ISNUMBER('Inputs'!$B$9),ISNUMBER('Inputs'!$B$10),ISNUMBER('Inputs'!$B$21),ISNUMBER('Inputs'!$B$24),ISNUMBER('Inputs'!$B$28)),((('Results'!B7*(1+'Inputs'!$B$24)*(0.5*((((857-43)*MAX('Inputs'!$B$33,'Inputs'!$B$29+'Inputs'!$B$31+'Inputs'!$B$32,'Inputs'!$B$30+'Inputs'!$B$31+'Inputs'!$B$32)/1000+'Inputs'!$B$21)+'Inputs'!$B$7)/SQRT((((857-43)*MAX('Inputs'!$B$33,'Inputs'!$B$29+'Inputs'!$B$31+'Inputs'!$B$32,'Inputs'!$B$30+'Inputs'!$B$31+'Inputs'!$B$32)/1000+'Inputs'!$B$21)+'Inputs'!$B$7)^2+('Inputs'!$B$6/2)^2)-(((857-43)*MAX('Inputs'!$B$33,'Inputs'!$B$29+'Inputs'!$B$31+'Inputs'!$B$32,'Inputs'!$B$30+'Inputs'!$B$31+'Inputs'!$B$32)/1000+'Inputs'!$B$21))/SQRT((((857-43)*MAX('Inputs'!$B$33,'Inputs'!$B$29+'Inputs'!$B$31+'Inputs'!$B$32,'Inputs'!$B$30+'Inputs'!$B$31+'Inputs'!$B$32)/1000+'Inputs'!$B$21))^2+('Inputs'!$B$6/2)^2)))-'Results'!C7*(1-'Inputs'!$B$24)*(0.5*((((857-43)*MAX('Inputs'!$B$33,'Inputs'!$B$29+'Inputs'!$B$31+'Inputs'!$B$32,'Inputs'!$B$30+'Inputs'!$B$31+'Inputs'!$B$32)/1000+'Inputs'!$B$21+'Inputs'!$B$7+'Inputs'!$B$10)+'Inputs'!$B$9)/SQRT((((857-43)*MAX('Inputs'!$B$33,'Inputs'!$B$29+'Inputs'!$B$31+'Inputs'!$B$32,'Inputs'!$B$30+'Inputs'!$B$31+'Inputs'!$B$32)/1000+'Inputs'!$B$21+'Inputs'!$B$7+'Inputs'!$B$10)+'Inputs'!$B$9)^2+('Inputs'!$B$8/2)^2)-(((857-43)*MAX('Inputs'!$B$33,'Inputs'!$B$29+'Inputs'!$B$31+'Inputs'!$B$32,'Inputs'!$B$30+'Inputs'!$B$31+'Inputs'!$B$32)/1000+'Inputs'!$B$21+'Inputs'!$B$7+'Inputs'!$B$10))/SQRT((((857-43)*MAX('Inputs'!$B$33,'Inputs'!$B$29+'Inputs'!$B$31+'Inputs'!$B$32,'Inputs'!$B$30+'Inputs'!$B$31+'Inputs'!$B$32)/1000+'Inputs'!$B$21+'Inputs'!$B$7+'Inputs'!$B$10))^2+('Inputs'!$B$8/2)^2))))*'Results'!$B$8)+'Inputs'!$B$28*ABS((('Results'!B7*(1+'Inputs'!$B$24)*(0.5*((((857-43)*MAX('Inputs'!$B$33,'Inputs'!$B$29+'Inputs'!$B$31+'Inputs'!$B$32,'Inputs'!$B$30+'Inputs'!$B$31+'Inputs'!$B$32)/1000+'Inputs'!$B$21)+'Inputs'!$B$7)/SQRT((((857-43)*MAX('Inputs'!$B$33,'Inputs'!$B$29+'Inputs'!$B$31+'Inputs'!$B$32,'Inputs'!$B$30+'Inputs'!$B$31+'Inputs'!$B$32)/1000+'Inputs'!$B$21)+'Inputs'!$B$7)^2+('Inputs'!$B$6/2)^2)-(((857-43)*MAX('Inputs'!$B$33,'Inputs'!$B$29+'Inputs'!$B$31+'Inputs'!$B$32,'Inputs'!$B$30+'Inputs'!$B$31+'Inputs'!$B$32)/1000+'Inputs'!$B$21))/SQRT((((857-43)*MAX('Inputs'!$B$33,'Inputs'!$B$29+'Inputs'!$B$31+'Inputs'!$B$32,'Inputs'!$B$30+'Inputs'!$B$31+'Inputs'!$B$32)/1000+'Inputs'!$B$21))^2+('Inputs'!$B$6/2)^2)))-'Results'!C7*(1-'Inputs'!$B$24)*(0.5*((((857-43)*MAX('Inputs'!$B$33,'Inputs'!$B$29+'Inputs'!$B$31+'Inputs'!$B$32,'Inputs'!$B$30+'Inputs'!$B$31+'Inputs'!$B$32)/1000+'Inputs'!$B$21+'Inputs'!$B$7+'Inputs'!$B$10)+'Inputs'!$B$9)/SQRT((((857-43)*MAX('Inputs'!$B$33,'Inputs'!$B$29+'Inputs'!$B$31+'Inputs'!$B$32,'Inputs'!$B$30+'Inputs'!$B$31+'Inputs'!$B$32)/1000+'Inputs'!$B$21+'Inputs'!$B$7+'Inputs'!$B$10)+'Inputs'!$B$9)^2+('Inputs'!$B$8/2)^2)-(((857-43)*MAX('Inputs'!$B$33,'Inputs'!$B$29+'Inputs'!$B$31+'Inputs'!$B$32,'Inputs'!$B$30+'Inputs'!$B$31+'Inputs'!$B$32)/1000+'Inputs'!$B$21+'Inputs'!$B$7+'Inputs'!$B$10))/SQRT((((857-43)*MAX('Inputs'!$B$33,'Inputs'!$B$29+'Inputs'!$B$31+'Inputs'!$B$32,'Inputs'!$B$30+'Inputs'!$B$31+'Inputs'!$B$32)/1000+'Inputs'!$B$21+'Inputs'!$B$7+'Inputs'!$B$10))^2+('Inputs'!$B$8/2)^2))))*'Results'!$B$8))),"")</x:f>
        <x:v>0.870471490710185</x:v>
      </x:c>
      <x:c r="M857" t="n">
        <x:f>IF(AND(ISNUMBER('Results'!C7),ISNUMBER('Results'!B7),ISNUMBER('Results'!$B$8),ISNUMBER('Inputs'!$B$6),ISNUMBER('Inputs'!$B$7),ISNUMBER('Inputs'!$B$8),ISNUMBER('Inputs'!$B$9),ISNUMBER('Inputs'!$B$10),ISNUMBER('Inputs'!$B$21),ISNUMBER('Inputs'!$B$24),ISNUMBER('Inputs'!$B$28)),(('Results'!C7*(0.5*((((857-43)*MAX('Inputs'!$B$33,'Inputs'!$B$29+'Inputs'!$B$31+'Inputs'!$B$32,'Inputs'!$B$30+'Inputs'!$B$31+'Inputs'!$B$32)/1000+'Inputs'!$B$21)+'Inputs'!$B$9)/SQRT((((857-43)*MAX('Inputs'!$B$33,'Inputs'!$B$29+'Inputs'!$B$31+'Inputs'!$B$32,'Inputs'!$B$30+'Inputs'!$B$31+'Inputs'!$B$32)/1000+'Inputs'!$B$21)+'Inputs'!$B$9)^2+('Inputs'!$B$8/2)^2)-(((857-43)*MAX('Inputs'!$B$33,'Inputs'!$B$29+'Inputs'!$B$31+'Inputs'!$B$32,'Inputs'!$B$30+'Inputs'!$B$31+'Inputs'!$B$32)/1000+'Inputs'!$B$21))/SQRT((((857-43)*MAX('Inputs'!$B$33,'Inputs'!$B$29+'Inputs'!$B$31+'Inputs'!$B$32,'Inputs'!$B$30+'Inputs'!$B$31+'Inputs'!$B$32)/1000+'Inputs'!$B$21))^2+('Inputs'!$B$8/2)^2)))-'Results'!B7*(0.5*((((857-43)*MAX('Inputs'!$B$33,'Inputs'!$B$29+'Inputs'!$B$31+'Inputs'!$B$32,'Inputs'!$B$30+'Inputs'!$B$31+'Inputs'!$B$32)/1000+'Inputs'!$B$21+'Inputs'!$B$9+'Inputs'!$B$10)+'Inputs'!$B$7)/SQRT((((857-43)*MAX('Inputs'!$B$33,'Inputs'!$B$29+'Inputs'!$B$31+'Inputs'!$B$32,'Inputs'!$B$30+'Inputs'!$B$31+'Inputs'!$B$32)/1000+'Inputs'!$B$21+'Inputs'!$B$9+'Inputs'!$B$10)+'Inputs'!$B$7)^2+('Inputs'!$B$6/2)^2)-(((857-43)*MAX('Inputs'!$B$33,'Inputs'!$B$29+'Inputs'!$B$31+'Inputs'!$B$32,'Inputs'!$B$30+'Inputs'!$B$31+'Inputs'!$B$32)/1000+'Inputs'!$B$21+'Inputs'!$B$9+'Inputs'!$B$10))/SQRT((((857-43)*MAX('Inputs'!$B$33,'Inputs'!$B$29+'Inputs'!$B$31+'Inputs'!$B$32,'Inputs'!$B$30+'Inputs'!$B$31+'Inputs'!$B$32)/1000+'Inputs'!$B$21+'Inputs'!$B$9+'Inputs'!$B$10))^2+('Inputs'!$B$6/2)^2))))*'Results'!$B$8),"")</x:f>
        <x:v>0.6771861501158435</x:v>
      </x:c>
      <x:c r="N857" t="n">
        <x:f>IF(AND(ISNUMBER('Results'!C7),ISNUMBER('Results'!B7),ISNUMBER('Results'!$B$8),ISNUMBER('Inputs'!$B$6),ISNUMBER('Inputs'!$B$7),ISNUMBER('Inputs'!$B$8),ISNUMBER('Inputs'!$B$9),ISNUMBER('Inputs'!$B$10),ISNUMBER('Inputs'!$B$21),ISNUMBER('Inputs'!$B$24),ISNUMBER('Inputs'!$B$28)),((('Results'!C7*(1-'Inputs'!$B$24)*(0.5*((((857-43)*MAX('Inputs'!$B$33,'Inputs'!$B$29+'Inputs'!$B$31+'Inputs'!$B$32,'Inputs'!$B$30+'Inputs'!$B$31+'Inputs'!$B$32)/1000+'Inputs'!$B$21)+'Inputs'!$B$9)/SQRT((((857-43)*MAX('Inputs'!$B$33,'Inputs'!$B$29+'Inputs'!$B$31+'Inputs'!$B$32,'Inputs'!$B$30+'Inputs'!$B$31+'Inputs'!$B$32)/1000+'Inputs'!$B$21)+'Inputs'!$B$9)^2+('Inputs'!$B$8/2)^2)-(((857-43)*MAX('Inputs'!$B$33,'Inputs'!$B$29+'Inputs'!$B$31+'Inputs'!$B$32,'Inputs'!$B$30+'Inputs'!$B$31+'Inputs'!$B$32)/1000+'Inputs'!$B$21))/SQRT((((857-43)*MAX('Inputs'!$B$33,'Inputs'!$B$29+'Inputs'!$B$31+'Inputs'!$B$32,'Inputs'!$B$30+'Inputs'!$B$31+'Inputs'!$B$32)/1000+'Inputs'!$B$21))^2+('Inputs'!$B$8/2)^2)))-'Results'!B7*(1+'Inputs'!$B$24)*(0.5*((((857-43)*MAX('Inputs'!$B$33,'Inputs'!$B$29+'Inputs'!$B$31+'Inputs'!$B$32,'Inputs'!$B$30+'Inputs'!$B$31+'Inputs'!$B$32)/1000+'Inputs'!$B$21+'Inputs'!$B$9+'Inputs'!$B$10)+'Inputs'!$B$7)/SQRT((((857-43)*MAX('Inputs'!$B$33,'Inputs'!$B$29+'Inputs'!$B$31+'Inputs'!$B$32,'Inputs'!$B$30+'Inputs'!$B$31+'Inputs'!$B$32)/1000+'Inputs'!$B$21+'Inputs'!$B$9+'Inputs'!$B$10)+'Inputs'!$B$7)^2+('Inputs'!$B$6/2)^2)-(((857-43)*MAX('Inputs'!$B$33,'Inputs'!$B$29+'Inputs'!$B$31+'Inputs'!$B$32,'Inputs'!$B$30+'Inputs'!$B$31+'Inputs'!$B$32)/1000+'Inputs'!$B$21+'Inputs'!$B$9+'Inputs'!$B$10))/SQRT((((857-43)*MAX('Inputs'!$B$33,'Inputs'!$B$29+'Inputs'!$B$31+'Inputs'!$B$32,'Inputs'!$B$30+'Inputs'!$B$31+'Inputs'!$B$32)/1000+'Inputs'!$B$21+'Inputs'!$B$9+'Inputs'!$B$10))^2+('Inputs'!$B$6/2)^2))))*'Results'!$B$8)-'Inputs'!$B$28*ABS((('Results'!C7*(1-'Inputs'!$B$24)*(0.5*((((857-43)*MAX('Inputs'!$B$33,'Inputs'!$B$29+'Inputs'!$B$31+'Inputs'!$B$32,'Inputs'!$B$30+'Inputs'!$B$31+'Inputs'!$B$32)/1000+'Inputs'!$B$21)+'Inputs'!$B$9)/SQRT((((857-43)*MAX('Inputs'!$B$33,'Inputs'!$B$29+'Inputs'!$B$31+'Inputs'!$B$32,'Inputs'!$B$30+'Inputs'!$B$31+'Inputs'!$B$32)/1000+'Inputs'!$B$21)+'Inputs'!$B$9)^2+('Inputs'!$B$8/2)^2)-(((857-43)*MAX('Inputs'!$B$33,'Inputs'!$B$29+'Inputs'!$B$31+'Inputs'!$B$32,'Inputs'!$B$30+'Inputs'!$B$31+'Inputs'!$B$32)/1000+'Inputs'!$B$21))/SQRT((((857-43)*MAX('Inputs'!$B$33,'Inputs'!$B$29+'Inputs'!$B$31+'Inputs'!$B$32,'Inputs'!$B$30+'Inputs'!$B$31+'Inputs'!$B$32)/1000+'Inputs'!$B$21))^2+('Inputs'!$B$8/2)^2)))-'Results'!B7*(1+'Inputs'!$B$24)*(0.5*((((857-43)*MAX('Inputs'!$B$33,'Inputs'!$B$29+'Inputs'!$B$31+'Inputs'!$B$32,'Inputs'!$B$30+'Inputs'!$B$31+'Inputs'!$B$32)/1000+'Inputs'!$B$21+'Inputs'!$B$9+'Inputs'!$B$10)+'Inputs'!$B$7)/SQRT((((857-43)*MAX('Inputs'!$B$33,'Inputs'!$B$29+'Inputs'!$B$31+'Inputs'!$B$32,'Inputs'!$B$30+'Inputs'!$B$31+'Inputs'!$B$32)/1000+'Inputs'!$B$21+'Inputs'!$B$9+'Inputs'!$B$10)+'Inputs'!$B$7)^2+('Inputs'!$B$6/2)^2)-(((857-43)*MAX('Inputs'!$B$33,'Inputs'!$B$29+'Inputs'!$B$31+'Inputs'!$B$32,'Inputs'!$B$30+'Inputs'!$B$31+'Inputs'!$B$32)/1000+'Inputs'!$B$21+'Inputs'!$B$9+'Inputs'!$B$10))/SQRT((((857-43)*MAX('Inputs'!$B$33,'Inputs'!$B$29+'Inputs'!$B$31+'Inputs'!$B$32,'Inputs'!$B$30+'Inputs'!$B$31+'Inputs'!$B$32)/1000+'Inputs'!$B$21+'Inputs'!$B$9+'Inputs'!$B$10))^2+('Inputs'!$B$6/2)^2))))*'Results'!$B$8))),"")</x:f>
        <x:v>0.5717735350573567</x:v>
      </x:c>
      <x:c r="O857" t="n">
        <x:f>IF(AND(ISNUMBER('Results'!C7),ISNUMBER('Results'!B7),ISNUMBER('Results'!$B$8),ISNUMBER('Inputs'!$B$6),ISNUMBER('Inputs'!$B$7),ISNUMBER('Inputs'!$B$8),ISNUMBER('Inputs'!$B$9),ISNUMBER('Inputs'!$B$10),ISNUMBER('Inputs'!$B$21),ISNUMBER('Inputs'!$B$24),ISNUMBER('Inputs'!$B$28)),((('Results'!C7*(1+'Inputs'!$B$24)*(0.5*((((857-43)*MAX('Inputs'!$B$33,'Inputs'!$B$29+'Inputs'!$B$31+'Inputs'!$B$32,'Inputs'!$B$30+'Inputs'!$B$31+'Inputs'!$B$32)/1000+'Inputs'!$B$21)+'Inputs'!$B$9)/SQRT((((857-43)*MAX('Inputs'!$B$33,'Inputs'!$B$29+'Inputs'!$B$31+'Inputs'!$B$32,'Inputs'!$B$30+'Inputs'!$B$31+'Inputs'!$B$32)/1000+'Inputs'!$B$21)+'Inputs'!$B$9)^2+('Inputs'!$B$8/2)^2)-(((857-43)*MAX('Inputs'!$B$33,'Inputs'!$B$29+'Inputs'!$B$31+'Inputs'!$B$32,'Inputs'!$B$30+'Inputs'!$B$31+'Inputs'!$B$32)/1000+'Inputs'!$B$21))/SQRT((((857-43)*MAX('Inputs'!$B$33,'Inputs'!$B$29+'Inputs'!$B$31+'Inputs'!$B$32,'Inputs'!$B$30+'Inputs'!$B$31+'Inputs'!$B$32)/1000+'Inputs'!$B$21))^2+('Inputs'!$B$8/2)^2)))-'Results'!B7*(1-'Inputs'!$B$24)*(0.5*((((857-43)*MAX('Inputs'!$B$33,'Inputs'!$B$29+'Inputs'!$B$31+'Inputs'!$B$32,'Inputs'!$B$30+'Inputs'!$B$31+'Inputs'!$B$32)/1000+'Inputs'!$B$21+'Inputs'!$B$9+'Inputs'!$B$10)+'Inputs'!$B$7)/SQRT((((857-43)*MAX('Inputs'!$B$33,'Inputs'!$B$29+'Inputs'!$B$31+'Inputs'!$B$32,'Inputs'!$B$30+'Inputs'!$B$31+'Inputs'!$B$32)/1000+'Inputs'!$B$21+'Inputs'!$B$9+'Inputs'!$B$10)+'Inputs'!$B$7)^2+('Inputs'!$B$6/2)^2)-(((857-43)*MAX('Inputs'!$B$33,'Inputs'!$B$29+'Inputs'!$B$31+'Inputs'!$B$32,'Inputs'!$B$30+'Inputs'!$B$31+'Inputs'!$B$32)/1000+'Inputs'!$B$21+'Inputs'!$B$9+'Inputs'!$B$10))/SQRT((((857-43)*MAX('Inputs'!$B$33,'Inputs'!$B$29+'Inputs'!$B$31+'Inputs'!$B$32,'Inputs'!$B$30+'Inputs'!$B$31+'Inputs'!$B$32)/1000+'Inputs'!$B$21+'Inputs'!$B$9+'Inputs'!$B$10))^2+('Inputs'!$B$6/2)^2))))*'Results'!$B$8)+'Inputs'!$B$28*ABS((('Results'!C7*(1+'Inputs'!$B$24)*(0.5*((((857-43)*MAX('Inputs'!$B$33,'Inputs'!$B$29+'Inputs'!$B$31+'Inputs'!$B$32,'Inputs'!$B$30+'Inputs'!$B$31+'Inputs'!$B$32)/1000+'Inputs'!$B$21)+'Inputs'!$B$9)/SQRT((((857-43)*MAX('Inputs'!$B$33,'Inputs'!$B$29+'Inputs'!$B$31+'Inputs'!$B$32,'Inputs'!$B$30+'Inputs'!$B$31+'Inputs'!$B$32)/1000+'Inputs'!$B$21)+'Inputs'!$B$9)^2+('Inputs'!$B$8/2)^2)-(((857-43)*MAX('Inputs'!$B$33,'Inputs'!$B$29+'Inputs'!$B$31+'Inputs'!$B$32,'Inputs'!$B$30+'Inputs'!$B$31+'Inputs'!$B$32)/1000+'Inputs'!$B$21))/SQRT((((857-43)*MAX('Inputs'!$B$33,'Inputs'!$B$29+'Inputs'!$B$31+'Inputs'!$B$32,'Inputs'!$B$30+'Inputs'!$B$31+'Inputs'!$B$32)/1000+'Inputs'!$B$21))^2+('Inputs'!$B$8/2)^2)))-'Results'!B7*(1-'Inputs'!$B$24)*(0.5*((((857-43)*MAX('Inputs'!$B$33,'Inputs'!$B$29+'Inputs'!$B$31+'Inputs'!$B$32,'Inputs'!$B$30+'Inputs'!$B$31+'Inputs'!$B$32)/1000+'Inputs'!$B$21+'Inputs'!$B$9+'Inputs'!$B$10)+'Inputs'!$B$7)/SQRT((((857-43)*MAX('Inputs'!$B$33,'Inputs'!$B$29+'Inputs'!$B$31+'Inputs'!$B$32,'Inputs'!$B$30+'Inputs'!$B$31+'Inputs'!$B$32)/1000+'Inputs'!$B$21+'Inputs'!$B$9+'Inputs'!$B$10)+'Inputs'!$B$7)^2+('Inputs'!$B$6/2)^2)-(((857-43)*MAX('Inputs'!$B$33,'Inputs'!$B$29+'Inputs'!$B$31+'Inputs'!$B$32,'Inputs'!$B$30+'Inputs'!$B$31+'Inputs'!$B$32)/1000+'Inputs'!$B$21+'Inputs'!$B$9+'Inputs'!$B$10))/SQRT((((857-43)*MAX('Inputs'!$B$33,'Inputs'!$B$29+'Inputs'!$B$31+'Inputs'!$B$32,'Inputs'!$B$30+'Inputs'!$B$31+'Inputs'!$B$32)/1000+'Inputs'!$B$21+'Inputs'!$B$9+'Inputs'!$B$10))^2+('Inputs'!$B$6/2)^2))))*'Results'!$B$8))),"")</x:f>
        <x:v>0.7901306922851401</x:v>
      </x:c>
      <x:c r="P857" t="n">
        <x:f>IF(AND(MAX(J857,J856)&gt;0,J857&gt;J856+0.00000001),1,0)</x:f>
        <x:v>0</x:v>
      </x:c>
      <x:c r="Q857" t="n">
        <x:f>IF(AND(MAX(K857,K856)&gt;0,K857&gt;K856+0.00000001),1,0)</x:f>
        <x:v>0</x:v>
      </x:c>
      <x:c r="R857" t="n">
        <x:f>IF(AND(MAX(L857,L856)&gt;0,L857&gt;L856+0.00000001),1,0)</x:f>
        <x:v>0</x:v>
      </x:c>
      <x:c r="S857" t="n">
        <x:f>IF(AND(MAX(M857,M856)&gt;0,M857&gt;M856+0.00000001),1,0)</x:f>
        <x:v>0</x:v>
      </x:c>
      <x:c r="T857" t="n">
        <x:f>IF(AND(MAX(N857,N856)&gt;0,N857&gt;N856+0.00000001),1,0)</x:f>
        <x:v>0</x:v>
      </x:c>
      <x:c r="U857" t="n">
        <x:f>IF(AND(MAX(O857,O856)&gt;0,O857&gt;O856+0.00000001),1,0)</x:f>
        <x:v>0</x:v>
      </x:c>
    </x:row>
    <x:row r="858">
      <x:c r="J858" t="n">
        <x:f>IF(AND(ISNUMBER('Results'!B7),ISNUMBER('Results'!C7),ISNUMBER('Results'!$B$8),ISNUMBER('Inputs'!$B$6),ISNUMBER('Inputs'!$B$7),ISNUMBER('Inputs'!$B$8),ISNUMBER('Inputs'!$B$9),ISNUMBER('Inputs'!$B$10),ISNUMBER('Inputs'!$B$21),ISNUMBER('Inputs'!$B$24),ISNUMBER('Inputs'!$B$28)),(('Results'!B7*(0.5*((((858-43)*MAX('Inputs'!$B$33,'Inputs'!$B$29+'Inputs'!$B$31+'Inputs'!$B$32,'Inputs'!$B$30+'Inputs'!$B$31+'Inputs'!$B$32)/1000+'Inputs'!$B$21)+'Inputs'!$B$7)/SQRT((((858-43)*MAX('Inputs'!$B$33,'Inputs'!$B$29+'Inputs'!$B$31+'Inputs'!$B$32,'Inputs'!$B$30+'Inputs'!$B$31+'Inputs'!$B$32)/1000+'Inputs'!$B$21)+'Inputs'!$B$7)^2+('Inputs'!$B$6/2)^2)-(((858-43)*MAX('Inputs'!$B$33,'Inputs'!$B$29+'Inputs'!$B$31+'Inputs'!$B$32,'Inputs'!$B$30+'Inputs'!$B$31+'Inputs'!$B$32)/1000+'Inputs'!$B$21))/SQRT((((858-43)*MAX('Inputs'!$B$33,'Inputs'!$B$29+'Inputs'!$B$31+'Inputs'!$B$32,'Inputs'!$B$30+'Inputs'!$B$31+'Inputs'!$B$32)/1000+'Inputs'!$B$21))^2+('Inputs'!$B$6/2)^2)))-'Results'!C7*(0.5*((((858-43)*MAX('Inputs'!$B$33,'Inputs'!$B$29+'Inputs'!$B$31+'Inputs'!$B$32,'Inputs'!$B$30+'Inputs'!$B$31+'Inputs'!$B$32)/1000+'Inputs'!$B$21+'Inputs'!$B$7+'Inputs'!$B$10)+'Inputs'!$B$9)/SQRT((((858-43)*MAX('Inputs'!$B$33,'Inputs'!$B$29+'Inputs'!$B$31+'Inputs'!$B$32,'Inputs'!$B$30+'Inputs'!$B$31+'Inputs'!$B$32)/1000+'Inputs'!$B$21+'Inputs'!$B$7+'Inputs'!$B$10)+'Inputs'!$B$9)^2+('Inputs'!$B$8/2)^2)-(((858-43)*MAX('Inputs'!$B$33,'Inputs'!$B$29+'Inputs'!$B$31+'Inputs'!$B$32,'Inputs'!$B$30+'Inputs'!$B$31+'Inputs'!$B$32)/1000+'Inputs'!$B$21+'Inputs'!$B$7+'Inputs'!$B$10))/SQRT((((858-43)*MAX('Inputs'!$B$33,'Inputs'!$B$29+'Inputs'!$B$31+'Inputs'!$B$32,'Inputs'!$B$30+'Inputs'!$B$31+'Inputs'!$B$32)/1000+'Inputs'!$B$21+'Inputs'!$B$7+'Inputs'!$B$10))^2+('Inputs'!$B$8/2)^2))))*'Results'!$B$8),"")</x:f>
        <x:v>0.7500891480314528</x:v>
      </x:c>
      <x:c r="K858" t="n">
        <x:f>IF(AND(ISNUMBER('Results'!B7),ISNUMBER('Results'!C7),ISNUMBER('Results'!$B$8),ISNUMBER('Inputs'!$B$6),ISNUMBER('Inputs'!$B$7),ISNUMBER('Inputs'!$B$8),ISNUMBER('Inputs'!$B$9),ISNUMBER('Inputs'!$B$10),ISNUMBER('Inputs'!$B$21),ISNUMBER('Inputs'!$B$24),ISNUMBER('Inputs'!$B$28)),((('Results'!B7*(1-'Inputs'!$B$24)*(0.5*((((858-43)*MAX('Inputs'!$B$33,'Inputs'!$B$29+'Inputs'!$B$31+'Inputs'!$B$32,'Inputs'!$B$30+'Inputs'!$B$31+'Inputs'!$B$32)/1000+'Inputs'!$B$21)+'Inputs'!$B$7)/SQRT((((858-43)*MAX('Inputs'!$B$33,'Inputs'!$B$29+'Inputs'!$B$31+'Inputs'!$B$32,'Inputs'!$B$30+'Inputs'!$B$31+'Inputs'!$B$32)/1000+'Inputs'!$B$21)+'Inputs'!$B$7)^2+('Inputs'!$B$6/2)^2)-(((858-43)*MAX('Inputs'!$B$33,'Inputs'!$B$29+'Inputs'!$B$31+'Inputs'!$B$32,'Inputs'!$B$30+'Inputs'!$B$31+'Inputs'!$B$32)/1000+'Inputs'!$B$21))/SQRT((((858-43)*MAX('Inputs'!$B$33,'Inputs'!$B$29+'Inputs'!$B$31+'Inputs'!$B$32,'Inputs'!$B$30+'Inputs'!$B$31+'Inputs'!$B$32)/1000+'Inputs'!$B$21))^2+('Inputs'!$B$6/2)^2)))-'Results'!C7*(1+'Inputs'!$B$24)*(0.5*((((858-43)*MAX('Inputs'!$B$33,'Inputs'!$B$29+'Inputs'!$B$31+'Inputs'!$B$32,'Inputs'!$B$30+'Inputs'!$B$31+'Inputs'!$B$32)/1000+'Inputs'!$B$21+'Inputs'!$B$7+'Inputs'!$B$10)+'Inputs'!$B$9)/SQRT((((858-43)*MAX('Inputs'!$B$33,'Inputs'!$B$29+'Inputs'!$B$31+'Inputs'!$B$32,'Inputs'!$B$30+'Inputs'!$B$31+'Inputs'!$B$32)/1000+'Inputs'!$B$21+'Inputs'!$B$7+'Inputs'!$B$10)+'Inputs'!$B$9)^2+('Inputs'!$B$8/2)^2)-(((858-43)*MAX('Inputs'!$B$33,'Inputs'!$B$29+'Inputs'!$B$31+'Inputs'!$B$32,'Inputs'!$B$30+'Inputs'!$B$31+'Inputs'!$B$32)/1000+'Inputs'!$B$21+'Inputs'!$B$7+'Inputs'!$B$10))/SQRT((((858-43)*MAX('Inputs'!$B$33,'Inputs'!$B$29+'Inputs'!$B$31+'Inputs'!$B$32,'Inputs'!$B$30+'Inputs'!$B$31+'Inputs'!$B$32)/1000+'Inputs'!$B$21+'Inputs'!$B$7+'Inputs'!$B$10))^2+('Inputs'!$B$8/2)^2))))*'Results'!$B$8)-'Inputs'!$B$28*ABS((('Results'!B7*(1-'Inputs'!$B$24)*(0.5*((((858-43)*MAX('Inputs'!$B$33,'Inputs'!$B$29+'Inputs'!$B$31+'Inputs'!$B$32,'Inputs'!$B$30+'Inputs'!$B$31+'Inputs'!$B$32)/1000+'Inputs'!$B$21)+'Inputs'!$B$7)/SQRT((((858-43)*MAX('Inputs'!$B$33,'Inputs'!$B$29+'Inputs'!$B$31+'Inputs'!$B$32,'Inputs'!$B$30+'Inputs'!$B$31+'Inputs'!$B$32)/1000+'Inputs'!$B$21)+'Inputs'!$B$7)^2+('Inputs'!$B$6/2)^2)-(((858-43)*MAX('Inputs'!$B$33,'Inputs'!$B$29+'Inputs'!$B$31+'Inputs'!$B$32,'Inputs'!$B$30+'Inputs'!$B$31+'Inputs'!$B$32)/1000+'Inputs'!$B$21))/SQRT((((858-43)*MAX('Inputs'!$B$33,'Inputs'!$B$29+'Inputs'!$B$31+'Inputs'!$B$32,'Inputs'!$B$30+'Inputs'!$B$31+'Inputs'!$B$32)/1000+'Inputs'!$B$21))^2+('Inputs'!$B$6/2)^2)))-'Results'!C7*(1+'Inputs'!$B$24)*(0.5*((((858-43)*MAX('Inputs'!$B$33,'Inputs'!$B$29+'Inputs'!$B$31+'Inputs'!$B$32,'Inputs'!$B$30+'Inputs'!$B$31+'Inputs'!$B$32)/1000+'Inputs'!$B$21+'Inputs'!$B$7+'Inputs'!$B$10)+'Inputs'!$B$9)/SQRT((((858-43)*MAX('Inputs'!$B$33,'Inputs'!$B$29+'Inputs'!$B$31+'Inputs'!$B$32,'Inputs'!$B$30+'Inputs'!$B$31+'Inputs'!$B$32)/1000+'Inputs'!$B$21+'Inputs'!$B$7+'Inputs'!$B$10)+'Inputs'!$B$9)^2+('Inputs'!$B$8/2)^2)-(((858-43)*MAX('Inputs'!$B$33,'Inputs'!$B$29+'Inputs'!$B$31+'Inputs'!$B$32,'Inputs'!$B$30+'Inputs'!$B$31+'Inputs'!$B$32)/1000+'Inputs'!$B$21+'Inputs'!$B$7+'Inputs'!$B$10))/SQRT((((858-43)*MAX('Inputs'!$B$33,'Inputs'!$B$29+'Inputs'!$B$31+'Inputs'!$B$32,'Inputs'!$B$30+'Inputs'!$B$31+'Inputs'!$B$32)/1000+'Inputs'!$B$21+'Inputs'!$B$7+'Inputs'!$B$10))^2+('Inputs'!$B$8/2)^2))))*'Results'!$B$8))),"")</x:f>
        <x:v>0.6410003234432129</x:v>
      </x:c>
      <x:c r="L858" t="n">
        <x:f>IF(AND(ISNUMBER('Results'!B7),ISNUMBER('Results'!C7),ISNUMBER('Results'!$B$8),ISNUMBER('Inputs'!$B$6),ISNUMBER('Inputs'!$B$7),ISNUMBER('Inputs'!$B$8),ISNUMBER('Inputs'!$B$9),ISNUMBER('Inputs'!$B$10),ISNUMBER('Inputs'!$B$21),ISNUMBER('Inputs'!$B$24),ISNUMBER('Inputs'!$B$28)),((('Results'!B7*(1+'Inputs'!$B$24)*(0.5*((((858-43)*MAX('Inputs'!$B$33,'Inputs'!$B$29+'Inputs'!$B$31+'Inputs'!$B$32,'Inputs'!$B$30+'Inputs'!$B$31+'Inputs'!$B$32)/1000+'Inputs'!$B$21)+'Inputs'!$B$7)/SQRT((((858-43)*MAX('Inputs'!$B$33,'Inputs'!$B$29+'Inputs'!$B$31+'Inputs'!$B$32,'Inputs'!$B$30+'Inputs'!$B$31+'Inputs'!$B$32)/1000+'Inputs'!$B$21)+'Inputs'!$B$7)^2+('Inputs'!$B$6/2)^2)-(((858-43)*MAX('Inputs'!$B$33,'Inputs'!$B$29+'Inputs'!$B$31+'Inputs'!$B$32,'Inputs'!$B$30+'Inputs'!$B$31+'Inputs'!$B$32)/1000+'Inputs'!$B$21))/SQRT((((858-43)*MAX('Inputs'!$B$33,'Inputs'!$B$29+'Inputs'!$B$31+'Inputs'!$B$32,'Inputs'!$B$30+'Inputs'!$B$31+'Inputs'!$B$32)/1000+'Inputs'!$B$21))^2+('Inputs'!$B$6/2)^2)))-'Results'!C7*(1-'Inputs'!$B$24)*(0.5*((((858-43)*MAX('Inputs'!$B$33,'Inputs'!$B$29+'Inputs'!$B$31+'Inputs'!$B$32,'Inputs'!$B$30+'Inputs'!$B$31+'Inputs'!$B$32)/1000+'Inputs'!$B$21+'Inputs'!$B$7+'Inputs'!$B$10)+'Inputs'!$B$9)/SQRT((((858-43)*MAX('Inputs'!$B$33,'Inputs'!$B$29+'Inputs'!$B$31+'Inputs'!$B$32,'Inputs'!$B$30+'Inputs'!$B$31+'Inputs'!$B$32)/1000+'Inputs'!$B$21+'Inputs'!$B$7+'Inputs'!$B$10)+'Inputs'!$B$9)^2+('Inputs'!$B$8/2)^2)-(((858-43)*MAX('Inputs'!$B$33,'Inputs'!$B$29+'Inputs'!$B$31+'Inputs'!$B$32,'Inputs'!$B$30+'Inputs'!$B$31+'Inputs'!$B$32)/1000+'Inputs'!$B$21+'Inputs'!$B$7+'Inputs'!$B$10))/SQRT((((858-43)*MAX('Inputs'!$B$33,'Inputs'!$B$29+'Inputs'!$B$31+'Inputs'!$B$32,'Inputs'!$B$30+'Inputs'!$B$31+'Inputs'!$B$32)/1000+'Inputs'!$B$21+'Inputs'!$B$7+'Inputs'!$B$10))^2+('Inputs'!$B$8/2)^2))))*'Results'!$B$8)+'Inputs'!$B$28*ABS((('Results'!B7*(1+'Inputs'!$B$24)*(0.5*((((858-43)*MAX('Inputs'!$B$33,'Inputs'!$B$29+'Inputs'!$B$31+'Inputs'!$B$32,'Inputs'!$B$30+'Inputs'!$B$31+'Inputs'!$B$32)/1000+'Inputs'!$B$21)+'Inputs'!$B$7)/SQRT((((858-43)*MAX('Inputs'!$B$33,'Inputs'!$B$29+'Inputs'!$B$31+'Inputs'!$B$32,'Inputs'!$B$30+'Inputs'!$B$31+'Inputs'!$B$32)/1000+'Inputs'!$B$21)+'Inputs'!$B$7)^2+('Inputs'!$B$6/2)^2)-(((858-43)*MAX('Inputs'!$B$33,'Inputs'!$B$29+'Inputs'!$B$31+'Inputs'!$B$32,'Inputs'!$B$30+'Inputs'!$B$31+'Inputs'!$B$32)/1000+'Inputs'!$B$21))/SQRT((((858-43)*MAX('Inputs'!$B$33,'Inputs'!$B$29+'Inputs'!$B$31+'Inputs'!$B$32,'Inputs'!$B$30+'Inputs'!$B$31+'Inputs'!$B$32)/1000+'Inputs'!$B$21))^2+('Inputs'!$B$6/2)^2)))-'Results'!C7*(1-'Inputs'!$B$24)*(0.5*((((858-43)*MAX('Inputs'!$B$33,'Inputs'!$B$29+'Inputs'!$B$31+'Inputs'!$B$32,'Inputs'!$B$30+'Inputs'!$B$31+'Inputs'!$B$32)/1000+'Inputs'!$B$21+'Inputs'!$B$7+'Inputs'!$B$10)+'Inputs'!$B$9)/SQRT((((858-43)*MAX('Inputs'!$B$33,'Inputs'!$B$29+'Inputs'!$B$31+'Inputs'!$B$32,'Inputs'!$B$30+'Inputs'!$B$31+'Inputs'!$B$32)/1000+'Inputs'!$B$21+'Inputs'!$B$7+'Inputs'!$B$10)+'Inputs'!$B$9)^2+('Inputs'!$B$8/2)^2)-(((858-43)*MAX('Inputs'!$B$33,'Inputs'!$B$29+'Inputs'!$B$31+'Inputs'!$B$32,'Inputs'!$B$30+'Inputs'!$B$31+'Inputs'!$B$32)/1000+'Inputs'!$B$21+'Inputs'!$B$7+'Inputs'!$B$10))/SQRT((((858-43)*MAX('Inputs'!$B$33,'Inputs'!$B$29+'Inputs'!$B$31+'Inputs'!$B$32,'Inputs'!$B$30+'Inputs'!$B$31+'Inputs'!$B$32)/1000+'Inputs'!$B$21+'Inputs'!$B$7+'Inputs'!$B$10))^2+('Inputs'!$B$8/2)^2))))*'Results'!$B$8))),"")</x:f>
        <x:v>0.8667131691656577</x:v>
      </x:c>
      <x:c r="M858" t="n">
        <x:f>IF(AND(ISNUMBER('Results'!C7),ISNUMBER('Results'!B7),ISNUMBER('Results'!$B$8),ISNUMBER('Inputs'!$B$6),ISNUMBER('Inputs'!$B$7),ISNUMBER('Inputs'!$B$8),ISNUMBER('Inputs'!$B$9),ISNUMBER('Inputs'!$B$10),ISNUMBER('Inputs'!$B$21),ISNUMBER('Inputs'!$B$24),ISNUMBER('Inputs'!$B$28)),(('Results'!C7*(0.5*((((858-43)*MAX('Inputs'!$B$33,'Inputs'!$B$29+'Inputs'!$B$31+'Inputs'!$B$32,'Inputs'!$B$30+'Inputs'!$B$31+'Inputs'!$B$32)/1000+'Inputs'!$B$21)+'Inputs'!$B$9)/SQRT((((858-43)*MAX('Inputs'!$B$33,'Inputs'!$B$29+'Inputs'!$B$31+'Inputs'!$B$32,'Inputs'!$B$30+'Inputs'!$B$31+'Inputs'!$B$32)/1000+'Inputs'!$B$21)+'Inputs'!$B$9)^2+('Inputs'!$B$8/2)^2)-(((858-43)*MAX('Inputs'!$B$33,'Inputs'!$B$29+'Inputs'!$B$31+'Inputs'!$B$32,'Inputs'!$B$30+'Inputs'!$B$31+'Inputs'!$B$32)/1000+'Inputs'!$B$21))/SQRT((((858-43)*MAX('Inputs'!$B$33,'Inputs'!$B$29+'Inputs'!$B$31+'Inputs'!$B$32,'Inputs'!$B$30+'Inputs'!$B$31+'Inputs'!$B$32)/1000+'Inputs'!$B$21))^2+('Inputs'!$B$8/2)^2)))-'Results'!B7*(0.5*((((858-43)*MAX('Inputs'!$B$33,'Inputs'!$B$29+'Inputs'!$B$31+'Inputs'!$B$32,'Inputs'!$B$30+'Inputs'!$B$31+'Inputs'!$B$32)/1000+'Inputs'!$B$21+'Inputs'!$B$9+'Inputs'!$B$10)+'Inputs'!$B$7)/SQRT((((858-43)*MAX('Inputs'!$B$33,'Inputs'!$B$29+'Inputs'!$B$31+'Inputs'!$B$32,'Inputs'!$B$30+'Inputs'!$B$31+'Inputs'!$B$32)/1000+'Inputs'!$B$21+'Inputs'!$B$9+'Inputs'!$B$10)+'Inputs'!$B$7)^2+('Inputs'!$B$6/2)^2)-(((858-43)*MAX('Inputs'!$B$33,'Inputs'!$B$29+'Inputs'!$B$31+'Inputs'!$B$32,'Inputs'!$B$30+'Inputs'!$B$31+'Inputs'!$B$32)/1000+'Inputs'!$B$21+'Inputs'!$B$9+'Inputs'!$B$10))/SQRT((((858-43)*MAX('Inputs'!$B$33,'Inputs'!$B$29+'Inputs'!$B$31+'Inputs'!$B$32,'Inputs'!$B$30+'Inputs'!$B$31+'Inputs'!$B$32)/1000+'Inputs'!$B$21+'Inputs'!$B$9+'Inputs'!$B$10))^2+('Inputs'!$B$6/2)^2))))*'Results'!$B$8),"")</x:f>
        <x:v>0.6741213643830377</x:v>
      </x:c>
      <x:c r="N858" t="n">
        <x:f>IF(AND(ISNUMBER('Results'!C7),ISNUMBER('Results'!B7),ISNUMBER('Results'!$B$8),ISNUMBER('Inputs'!$B$6),ISNUMBER('Inputs'!$B$7),ISNUMBER('Inputs'!$B$8),ISNUMBER('Inputs'!$B$9),ISNUMBER('Inputs'!$B$10),ISNUMBER('Inputs'!$B$21),ISNUMBER('Inputs'!$B$24),ISNUMBER('Inputs'!$B$28)),((('Results'!C7*(1-'Inputs'!$B$24)*(0.5*((((858-43)*MAX('Inputs'!$B$33,'Inputs'!$B$29+'Inputs'!$B$31+'Inputs'!$B$32,'Inputs'!$B$30+'Inputs'!$B$31+'Inputs'!$B$32)/1000+'Inputs'!$B$21)+'Inputs'!$B$9)/SQRT((((858-43)*MAX('Inputs'!$B$33,'Inputs'!$B$29+'Inputs'!$B$31+'Inputs'!$B$32,'Inputs'!$B$30+'Inputs'!$B$31+'Inputs'!$B$32)/1000+'Inputs'!$B$21)+'Inputs'!$B$9)^2+('Inputs'!$B$8/2)^2)-(((858-43)*MAX('Inputs'!$B$33,'Inputs'!$B$29+'Inputs'!$B$31+'Inputs'!$B$32,'Inputs'!$B$30+'Inputs'!$B$31+'Inputs'!$B$32)/1000+'Inputs'!$B$21))/SQRT((((858-43)*MAX('Inputs'!$B$33,'Inputs'!$B$29+'Inputs'!$B$31+'Inputs'!$B$32,'Inputs'!$B$30+'Inputs'!$B$31+'Inputs'!$B$32)/1000+'Inputs'!$B$21))^2+('Inputs'!$B$8/2)^2)))-'Results'!B7*(1+'Inputs'!$B$24)*(0.5*((((858-43)*MAX('Inputs'!$B$33,'Inputs'!$B$29+'Inputs'!$B$31+'Inputs'!$B$32,'Inputs'!$B$30+'Inputs'!$B$31+'Inputs'!$B$32)/1000+'Inputs'!$B$21+'Inputs'!$B$9+'Inputs'!$B$10)+'Inputs'!$B$7)/SQRT((((858-43)*MAX('Inputs'!$B$33,'Inputs'!$B$29+'Inputs'!$B$31+'Inputs'!$B$32,'Inputs'!$B$30+'Inputs'!$B$31+'Inputs'!$B$32)/1000+'Inputs'!$B$21+'Inputs'!$B$9+'Inputs'!$B$10)+'Inputs'!$B$7)^2+('Inputs'!$B$6/2)^2)-(((858-43)*MAX('Inputs'!$B$33,'Inputs'!$B$29+'Inputs'!$B$31+'Inputs'!$B$32,'Inputs'!$B$30+'Inputs'!$B$31+'Inputs'!$B$32)/1000+'Inputs'!$B$21+'Inputs'!$B$9+'Inputs'!$B$10))/SQRT((((858-43)*MAX('Inputs'!$B$33,'Inputs'!$B$29+'Inputs'!$B$31+'Inputs'!$B$32,'Inputs'!$B$30+'Inputs'!$B$31+'Inputs'!$B$32)/1000+'Inputs'!$B$21+'Inputs'!$B$9+'Inputs'!$B$10))^2+('Inputs'!$B$6/2)^2))))*'Results'!$B$8)-'Inputs'!$B$28*ABS((('Results'!C7*(1-'Inputs'!$B$24)*(0.5*((((858-43)*MAX('Inputs'!$B$33,'Inputs'!$B$29+'Inputs'!$B$31+'Inputs'!$B$32,'Inputs'!$B$30+'Inputs'!$B$31+'Inputs'!$B$32)/1000+'Inputs'!$B$21)+'Inputs'!$B$9)/SQRT((((858-43)*MAX('Inputs'!$B$33,'Inputs'!$B$29+'Inputs'!$B$31+'Inputs'!$B$32,'Inputs'!$B$30+'Inputs'!$B$31+'Inputs'!$B$32)/1000+'Inputs'!$B$21)+'Inputs'!$B$9)^2+('Inputs'!$B$8/2)^2)-(((858-43)*MAX('Inputs'!$B$33,'Inputs'!$B$29+'Inputs'!$B$31+'Inputs'!$B$32,'Inputs'!$B$30+'Inputs'!$B$31+'Inputs'!$B$32)/1000+'Inputs'!$B$21))/SQRT((((858-43)*MAX('Inputs'!$B$33,'Inputs'!$B$29+'Inputs'!$B$31+'Inputs'!$B$32,'Inputs'!$B$30+'Inputs'!$B$31+'Inputs'!$B$32)/1000+'Inputs'!$B$21))^2+('Inputs'!$B$8/2)^2)))-'Results'!B7*(1+'Inputs'!$B$24)*(0.5*((((858-43)*MAX('Inputs'!$B$33,'Inputs'!$B$29+'Inputs'!$B$31+'Inputs'!$B$32,'Inputs'!$B$30+'Inputs'!$B$31+'Inputs'!$B$32)/1000+'Inputs'!$B$21+'Inputs'!$B$9+'Inputs'!$B$10)+'Inputs'!$B$7)/SQRT((((858-43)*MAX('Inputs'!$B$33,'Inputs'!$B$29+'Inputs'!$B$31+'Inputs'!$B$32,'Inputs'!$B$30+'Inputs'!$B$31+'Inputs'!$B$32)/1000+'Inputs'!$B$21+'Inputs'!$B$9+'Inputs'!$B$10)+'Inputs'!$B$7)^2+('Inputs'!$B$6/2)^2)-(((858-43)*MAX('Inputs'!$B$33,'Inputs'!$B$29+'Inputs'!$B$31+'Inputs'!$B$32,'Inputs'!$B$30+'Inputs'!$B$31+'Inputs'!$B$32)/1000+'Inputs'!$B$21+'Inputs'!$B$9+'Inputs'!$B$10))/SQRT((((858-43)*MAX('Inputs'!$B$33,'Inputs'!$B$29+'Inputs'!$B$31+'Inputs'!$B$32,'Inputs'!$B$30+'Inputs'!$B$31+'Inputs'!$B$32)/1000+'Inputs'!$B$21+'Inputs'!$B$9+'Inputs'!$B$10))^2+('Inputs'!$B$6/2)^2))))*'Results'!$B$8))),"")</x:f>
        <x:v>0.569104262307884</x:v>
      </x:c>
      <x:c r="O858" t="n">
        <x:f>IF(AND(ISNUMBER('Results'!C7),ISNUMBER('Results'!B7),ISNUMBER('Results'!$B$8),ISNUMBER('Inputs'!$B$6),ISNUMBER('Inputs'!$B$7),ISNUMBER('Inputs'!$B$8),ISNUMBER('Inputs'!$B$9),ISNUMBER('Inputs'!$B$10),ISNUMBER('Inputs'!$B$21),ISNUMBER('Inputs'!$B$24),ISNUMBER('Inputs'!$B$28)),((('Results'!C7*(1+'Inputs'!$B$24)*(0.5*((((858-43)*MAX('Inputs'!$B$33,'Inputs'!$B$29+'Inputs'!$B$31+'Inputs'!$B$32,'Inputs'!$B$30+'Inputs'!$B$31+'Inputs'!$B$32)/1000+'Inputs'!$B$21)+'Inputs'!$B$9)/SQRT((((858-43)*MAX('Inputs'!$B$33,'Inputs'!$B$29+'Inputs'!$B$31+'Inputs'!$B$32,'Inputs'!$B$30+'Inputs'!$B$31+'Inputs'!$B$32)/1000+'Inputs'!$B$21)+'Inputs'!$B$9)^2+('Inputs'!$B$8/2)^2)-(((858-43)*MAX('Inputs'!$B$33,'Inputs'!$B$29+'Inputs'!$B$31+'Inputs'!$B$32,'Inputs'!$B$30+'Inputs'!$B$31+'Inputs'!$B$32)/1000+'Inputs'!$B$21))/SQRT((((858-43)*MAX('Inputs'!$B$33,'Inputs'!$B$29+'Inputs'!$B$31+'Inputs'!$B$32,'Inputs'!$B$30+'Inputs'!$B$31+'Inputs'!$B$32)/1000+'Inputs'!$B$21))^2+('Inputs'!$B$8/2)^2)))-'Results'!B7*(1-'Inputs'!$B$24)*(0.5*((((858-43)*MAX('Inputs'!$B$33,'Inputs'!$B$29+'Inputs'!$B$31+'Inputs'!$B$32,'Inputs'!$B$30+'Inputs'!$B$31+'Inputs'!$B$32)/1000+'Inputs'!$B$21+'Inputs'!$B$9+'Inputs'!$B$10)+'Inputs'!$B$7)/SQRT((((858-43)*MAX('Inputs'!$B$33,'Inputs'!$B$29+'Inputs'!$B$31+'Inputs'!$B$32,'Inputs'!$B$30+'Inputs'!$B$31+'Inputs'!$B$32)/1000+'Inputs'!$B$21+'Inputs'!$B$9+'Inputs'!$B$10)+'Inputs'!$B$7)^2+('Inputs'!$B$6/2)^2)-(((858-43)*MAX('Inputs'!$B$33,'Inputs'!$B$29+'Inputs'!$B$31+'Inputs'!$B$32,'Inputs'!$B$30+'Inputs'!$B$31+'Inputs'!$B$32)/1000+'Inputs'!$B$21+'Inputs'!$B$9+'Inputs'!$B$10))/SQRT((((858-43)*MAX('Inputs'!$B$33,'Inputs'!$B$29+'Inputs'!$B$31+'Inputs'!$B$32,'Inputs'!$B$30+'Inputs'!$B$31+'Inputs'!$B$32)/1000+'Inputs'!$B$21+'Inputs'!$B$9+'Inputs'!$B$10))^2+('Inputs'!$B$6/2)^2))))*'Results'!$B$8)+'Inputs'!$B$28*ABS((('Results'!C7*(1+'Inputs'!$B$24)*(0.5*((((858-43)*MAX('Inputs'!$B$33,'Inputs'!$B$29+'Inputs'!$B$31+'Inputs'!$B$32,'Inputs'!$B$30+'Inputs'!$B$31+'Inputs'!$B$32)/1000+'Inputs'!$B$21)+'Inputs'!$B$9)/SQRT((((858-43)*MAX('Inputs'!$B$33,'Inputs'!$B$29+'Inputs'!$B$31+'Inputs'!$B$32,'Inputs'!$B$30+'Inputs'!$B$31+'Inputs'!$B$32)/1000+'Inputs'!$B$21)+'Inputs'!$B$9)^2+('Inputs'!$B$8/2)^2)-(((858-43)*MAX('Inputs'!$B$33,'Inputs'!$B$29+'Inputs'!$B$31+'Inputs'!$B$32,'Inputs'!$B$30+'Inputs'!$B$31+'Inputs'!$B$32)/1000+'Inputs'!$B$21))/SQRT((((858-43)*MAX('Inputs'!$B$33,'Inputs'!$B$29+'Inputs'!$B$31+'Inputs'!$B$32,'Inputs'!$B$30+'Inputs'!$B$31+'Inputs'!$B$32)/1000+'Inputs'!$B$21))^2+('Inputs'!$B$8/2)^2)))-'Results'!B7*(1-'Inputs'!$B$24)*(0.5*((((858-43)*MAX('Inputs'!$B$33,'Inputs'!$B$29+'Inputs'!$B$31+'Inputs'!$B$32,'Inputs'!$B$30+'Inputs'!$B$31+'Inputs'!$B$32)/1000+'Inputs'!$B$21+'Inputs'!$B$9+'Inputs'!$B$10)+'Inputs'!$B$7)/SQRT((((858-43)*MAX('Inputs'!$B$33,'Inputs'!$B$29+'Inputs'!$B$31+'Inputs'!$B$32,'Inputs'!$B$30+'Inputs'!$B$31+'Inputs'!$B$32)/1000+'Inputs'!$B$21+'Inputs'!$B$9+'Inputs'!$B$10)+'Inputs'!$B$7)^2+('Inputs'!$B$6/2)^2)-(((858-43)*MAX('Inputs'!$B$33,'Inputs'!$B$29+'Inputs'!$B$31+'Inputs'!$B$32,'Inputs'!$B$30+'Inputs'!$B$31+'Inputs'!$B$32)/1000+'Inputs'!$B$21+'Inputs'!$B$9+'Inputs'!$B$10))/SQRT((((858-43)*MAX('Inputs'!$B$33,'Inputs'!$B$29+'Inputs'!$B$31+'Inputs'!$B$32,'Inputs'!$B$30+'Inputs'!$B$31+'Inputs'!$B$32)/1000+'Inputs'!$B$21+'Inputs'!$B$9+'Inputs'!$B$10))^2+('Inputs'!$B$6/2)^2))))*'Results'!$B$8))),"")</x:f>
        <x:v>0.7866448910746129</x:v>
      </x:c>
      <x:c r="P858" t="n">
        <x:f>IF(AND(MAX(J858,J857)&gt;0,J858&gt;J857+0.00000001),1,0)</x:f>
        <x:v>0</x:v>
      </x:c>
      <x:c r="Q858" t="n">
        <x:f>IF(AND(MAX(K858,K857)&gt;0,K858&gt;K857+0.00000001),1,0)</x:f>
        <x:v>0</x:v>
      </x:c>
      <x:c r="R858" t="n">
        <x:f>IF(AND(MAX(L858,L857)&gt;0,L858&gt;L857+0.00000001),1,0)</x:f>
        <x:v>0</x:v>
      </x:c>
      <x:c r="S858" t="n">
        <x:f>IF(AND(MAX(M858,M857)&gt;0,M858&gt;M857+0.00000001),1,0)</x:f>
        <x:v>0</x:v>
      </x:c>
      <x:c r="T858" t="n">
        <x:f>IF(AND(MAX(N858,N857)&gt;0,N858&gt;N857+0.00000001),1,0)</x:f>
        <x:v>0</x:v>
      </x:c>
      <x:c r="U858" t="n">
        <x:f>IF(AND(MAX(O858,O857)&gt;0,O858&gt;O857+0.00000001),1,0)</x:f>
        <x:v>0</x:v>
      </x:c>
    </x:row>
    <x:row r="859">
      <x:c r="J859" t="n">
        <x:f>IF(AND(ISNUMBER('Results'!B7),ISNUMBER('Results'!C7),ISNUMBER('Results'!$B$8),ISNUMBER('Inputs'!$B$6),ISNUMBER('Inputs'!$B$7),ISNUMBER('Inputs'!$B$8),ISNUMBER('Inputs'!$B$9),ISNUMBER('Inputs'!$B$10),ISNUMBER('Inputs'!$B$21),ISNUMBER('Inputs'!$B$24),ISNUMBER('Inputs'!$B$28)),(('Results'!B7*(0.5*((((859-43)*MAX('Inputs'!$B$33,'Inputs'!$B$29+'Inputs'!$B$31+'Inputs'!$B$32,'Inputs'!$B$30+'Inputs'!$B$31+'Inputs'!$B$32)/1000+'Inputs'!$B$21)+'Inputs'!$B$7)/SQRT((((859-43)*MAX('Inputs'!$B$33,'Inputs'!$B$29+'Inputs'!$B$31+'Inputs'!$B$32,'Inputs'!$B$30+'Inputs'!$B$31+'Inputs'!$B$32)/1000+'Inputs'!$B$21)+'Inputs'!$B$7)^2+('Inputs'!$B$6/2)^2)-(((859-43)*MAX('Inputs'!$B$33,'Inputs'!$B$29+'Inputs'!$B$31+'Inputs'!$B$32,'Inputs'!$B$30+'Inputs'!$B$31+'Inputs'!$B$32)/1000+'Inputs'!$B$21))/SQRT((((859-43)*MAX('Inputs'!$B$33,'Inputs'!$B$29+'Inputs'!$B$31+'Inputs'!$B$32,'Inputs'!$B$30+'Inputs'!$B$31+'Inputs'!$B$32)/1000+'Inputs'!$B$21))^2+('Inputs'!$B$6/2)^2)))-'Results'!C7*(0.5*((((859-43)*MAX('Inputs'!$B$33,'Inputs'!$B$29+'Inputs'!$B$31+'Inputs'!$B$32,'Inputs'!$B$30+'Inputs'!$B$31+'Inputs'!$B$32)/1000+'Inputs'!$B$21+'Inputs'!$B$7+'Inputs'!$B$10)+'Inputs'!$B$9)/SQRT((((859-43)*MAX('Inputs'!$B$33,'Inputs'!$B$29+'Inputs'!$B$31+'Inputs'!$B$32,'Inputs'!$B$30+'Inputs'!$B$31+'Inputs'!$B$32)/1000+'Inputs'!$B$21+'Inputs'!$B$7+'Inputs'!$B$10)+'Inputs'!$B$9)^2+('Inputs'!$B$8/2)^2)-(((859-43)*MAX('Inputs'!$B$33,'Inputs'!$B$29+'Inputs'!$B$31+'Inputs'!$B$32,'Inputs'!$B$30+'Inputs'!$B$31+'Inputs'!$B$32)/1000+'Inputs'!$B$21+'Inputs'!$B$7+'Inputs'!$B$10))/SQRT((((859-43)*MAX('Inputs'!$B$33,'Inputs'!$B$29+'Inputs'!$B$31+'Inputs'!$B$32,'Inputs'!$B$30+'Inputs'!$B$31+'Inputs'!$B$32)/1000+'Inputs'!$B$21+'Inputs'!$B$7+'Inputs'!$B$10))^2+('Inputs'!$B$8/2)^2))))*'Results'!$B$8),"")</x:f>
        <x:v>0.7467844900297362</x:v>
      </x:c>
      <x:c r="K859" t="n">
        <x:f>IF(AND(ISNUMBER('Results'!B7),ISNUMBER('Results'!C7),ISNUMBER('Results'!$B$8),ISNUMBER('Inputs'!$B$6),ISNUMBER('Inputs'!$B$7),ISNUMBER('Inputs'!$B$8),ISNUMBER('Inputs'!$B$9),ISNUMBER('Inputs'!$B$10),ISNUMBER('Inputs'!$B$21),ISNUMBER('Inputs'!$B$24),ISNUMBER('Inputs'!$B$28)),((('Results'!B7*(1-'Inputs'!$B$24)*(0.5*((((859-43)*MAX('Inputs'!$B$33,'Inputs'!$B$29+'Inputs'!$B$31+'Inputs'!$B$32,'Inputs'!$B$30+'Inputs'!$B$31+'Inputs'!$B$32)/1000+'Inputs'!$B$21)+'Inputs'!$B$7)/SQRT((((859-43)*MAX('Inputs'!$B$33,'Inputs'!$B$29+'Inputs'!$B$31+'Inputs'!$B$32,'Inputs'!$B$30+'Inputs'!$B$31+'Inputs'!$B$32)/1000+'Inputs'!$B$21)+'Inputs'!$B$7)^2+('Inputs'!$B$6/2)^2)-(((859-43)*MAX('Inputs'!$B$33,'Inputs'!$B$29+'Inputs'!$B$31+'Inputs'!$B$32,'Inputs'!$B$30+'Inputs'!$B$31+'Inputs'!$B$32)/1000+'Inputs'!$B$21))/SQRT((((859-43)*MAX('Inputs'!$B$33,'Inputs'!$B$29+'Inputs'!$B$31+'Inputs'!$B$32,'Inputs'!$B$30+'Inputs'!$B$31+'Inputs'!$B$32)/1000+'Inputs'!$B$21))^2+('Inputs'!$B$6/2)^2)))-'Results'!C7*(1+'Inputs'!$B$24)*(0.5*((((859-43)*MAX('Inputs'!$B$33,'Inputs'!$B$29+'Inputs'!$B$31+'Inputs'!$B$32,'Inputs'!$B$30+'Inputs'!$B$31+'Inputs'!$B$32)/1000+'Inputs'!$B$21+'Inputs'!$B$7+'Inputs'!$B$10)+'Inputs'!$B$9)/SQRT((((859-43)*MAX('Inputs'!$B$33,'Inputs'!$B$29+'Inputs'!$B$31+'Inputs'!$B$32,'Inputs'!$B$30+'Inputs'!$B$31+'Inputs'!$B$32)/1000+'Inputs'!$B$21+'Inputs'!$B$7+'Inputs'!$B$10)+'Inputs'!$B$9)^2+('Inputs'!$B$8/2)^2)-(((859-43)*MAX('Inputs'!$B$33,'Inputs'!$B$29+'Inputs'!$B$31+'Inputs'!$B$32,'Inputs'!$B$30+'Inputs'!$B$31+'Inputs'!$B$32)/1000+'Inputs'!$B$21+'Inputs'!$B$7+'Inputs'!$B$10))/SQRT((((859-43)*MAX('Inputs'!$B$33,'Inputs'!$B$29+'Inputs'!$B$31+'Inputs'!$B$32,'Inputs'!$B$30+'Inputs'!$B$31+'Inputs'!$B$32)/1000+'Inputs'!$B$21+'Inputs'!$B$7+'Inputs'!$B$10))^2+('Inputs'!$B$8/2)^2))))*'Results'!$B$8)-'Inputs'!$B$28*ABS((('Results'!B7*(1-'Inputs'!$B$24)*(0.5*((((859-43)*MAX('Inputs'!$B$33,'Inputs'!$B$29+'Inputs'!$B$31+'Inputs'!$B$32,'Inputs'!$B$30+'Inputs'!$B$31+'Inputs'!$B$32)/1000+'Inputs'!$B$21)+'Inputs'!$B$7)/SQRT((((859-43)*MAX('Inputs'!$B$33,'Inputs'!$B$29+'Inputs'!$B$31+'Inputs'!$B$32,'Inputs'!$B$30+'Inputs'!$B$31+'Inputs'!$B$32)/1000+'Inputs'!$B$21)+'Inputs'!$B$7)^2+('Inputs'!$B$6/2)^2)-(((859-43)*MAX('Inputs'!$B$33,'Inputs'!$B$29+'Inputs'!$B$31+'Inputs'!$B$32,'Inputs'!$B$30+'Inputs'!$B$31+'Inputs'!$B$32)/1000+'Inputs'!$B$21))/SQRT((((859-43)*MAX('Inputs'!$B$33,'Inputs'!$B$29+'Inputs'!$B$31+'Inputs'!$B$32,'Inputs'!$B$30+'Inputs'!$B$31+'Inputs'!$B$32)/1000+'Inputs'!$B$21))^2+('Inputs'!$B$6/2)^2)))-'Results'!C7*(1+'Inputs'!$B$24)*(0.5*((((859-43)*MAX('Inputs'!$B$33,'Inputs'!$B$29+'Inputs'!$B$31+'Inputs'!$B$32,'Inputs'!$B$30+'Inputs'!$B$31+'Inputs'!$B$32)/1000+'Inputs'!$B$21+'Inputs'!$B$7+'Inputs'!$B$10)+'Inputs'!$B$9)/SQRT((((859-43)*MAX('Inputs'!$B$33,'Inputs'!$B$29+'Inputs'!$B$31+'Inputs'!$B$32,'Inputs'!$B$30+'Inputs'!$B$31+'Inputs'!$B$32)/1000+'Inputs'!$B$21+'Inputs'!$B$7+'Inputs'!$B$10)+'Inputs'!$B$9)^2+('Inputs'!$B$8/2)^2)-(((859-43)*MAX('Inputs'!$B$33,'Inputs'!$B$29+'Inputs'!$B$31+'Inputs'!$B$32,'Inputs'!$B$30+'Inputs'!$B$31+'Inputs'!$B$32)/1000+'Inputs'!$B$21+'Inputs'!$B$7+'Inputs'!$B$10))/SQRT((((859-43)*MAX('Inputs'!$B$33,'Inputs'!$B$29+'Inputs'!$B$31+'Inputs'!$B$32,'Inputs'!$B$30+'Inputs'!$B$31+'Inputs'!$B$32)/1000+'Inputs'!$B$21+'Inputs'!$B$7+'Inputs'!$B$10))^2+('Inputs'!$B$8/2)^2))))*'Results'!$B$8))),"")</x:f>
        <x:v>0.6381032965931976</x:v>
      </x:c>
      <x:c r="L859" t="n">
        <x:f>IF(AND(ISNUMBER('Results'!B7),ISNUMBER('Results'!C7),ISNUMBER('Results'!$B$8),ISNUMBER('Inputs'!$B$6),ISNUMBER('Inputs'!$B$7),ISNUMBER('Inputs'!$B$8),ISNUMBER('Inputs'!$B$9),ISNUMBER('Inputs'!$B$10),ISNUMBER('Inputs'!$B$21),ISNUMBER('Inputs'!$B$24),ISNUMBER('Inputs'!$B$28)),((('Results'!B7*(1+'Inputs'!$B$24)*(0.5*((((859-43)*MAX('Inputs'!$B$33,'Inputs'!$B$29+'Inputs'!$B$31+'Inputs'!$B$32,'Inputs'!$B$30+'Inputs'!$B$31+'Inputs'!$B$32)/1000+'Inputs'!$B$21)+'Inputs'!$B$7)/SQRT((((859-43)*MAX('Inputs'!$B$33,'Inputs'!$B$29+'Inputs'!$B$31+'Inputs'!$B$32,'Inputs'!$B$30+'Inputs'!$B$31+'Inputs'!$B$32)/1000+'Inputs'!$B$21)+'Inputs'!$B$7)^2+('Inputs'!$B$6/2)^2)-(((859-43)*MAX('Inputs'!$B$33,'Inputs'!$B$29+'Inputs'!$B$31+'Inputs'!$B$32,'Inputs'!$B$30+'Inputs'!$B$31+'Inputs'!$B$32)/1000+'Inputs'!$B$21))/SQRT((((859-43)*MAX('Inputs'!$B$33,'Inputs'!$B$29+'Inputs'!$B$31+'Inputs'!$B$32,'Inputs'!$B$30+'Inputs'!$B$31+'Inputs'!$B$32)/1000+'Inputs'!$B$21))^2+('Inputs'!$B$6/2)^2)))-'Results'!C7*(1-'Inputs'!$B$24)*(0.5*((((859-43)*MAX('Inputs'!$B$33,'Inputs'!$B$29+'Inputs'!$B$31+'Inputs'!$B$32,'Inputs'!$B$30+'Inputs'!$B$31+'Inputs'!$B$32)/1000+'Inputs'!$B$21+'Inputs'!$B$7+'Inputs'!$B$10)+'Inputs'!$B$9)/SQRT((((859-43)*MAX('Inputs'!$B$33,'Inputs'!$B$29+'Inputs'!$B$31+'Inputs'!$B$32,'Inputs'!$B$30+'Inputs'!$B$31+'Inputs'!$B$32)/1000+'Inputs'!$B$21+'Inputs'!$B$7+'Inputs'!$B$10)+'Inputs'!$B$9)^2+('Inputs'!$B$8/2)^2)-(((859-43)*MAX('Inputs'!$B$33,'Inputs'!$B$29+'Inputs'!$B$31+'Inputs'!$B$32,'Inputs'!$B$30+'Inputs'!$B$31+'Inputs'!$B$32)/1000+'Inputs'!$B$21+'Inputs'!$B$7+'Inputs'!$B$10))/SQRT((((859-43)*MAX('Inputs'!$B$33,'Inputs'!$B$29+'Inputs'!$B$31+'Inputs'!$B$32,'Inputs'!$B$30+'Inputs'!$B$31+'Inputs'!$B$32)/1000+'Inputs'!$B$21+'Inputs'!$B$7+'Inputs'!$B$10))^2+('Inputs'!$B$8/2)^2))))*'Results'!$B$8)+'Inputs'!$B$28*ABS((('Results'!B7*(1+'Inputs'!$B$24)*(0.5*((((859-43)*MAX('Inputs'!$B$33,'Inputs'!$B$29+'Inputs'!$B$31+'Inputs'!$B$32,'Inputs'!$B$30+'Inputs'!$B$31+'Inputs'!$B$32)/1000+'Inputs'!$B$21)+'Inputs'!$B$7)/SQRT((((859-43)*MAX('Inputs'!$B$33,'Inputs'!$B$29+'Inputs'!$B$31+'Inputs'!$B$32,'Inputs'!$B$30+'Inputs'!$B$31+'Inputs'!$B$32)/1000+'Inputs'!$B$21)+'Inputs'!$B$7)^2+('Inputs'!$B$6/2)^2)-(((859-43)*MAX('Inputs'!$B$33,'Inputs'!$B$29+'Inputs'!$B$31+'Inputs'!$B$32,'Inputs'!$B$30+'Inputs'!$B$31+'Inputs'!$B$32)/1000+'Inputs'!$B$21))/SQRT((((859-43)*MAX('Inputs'!$B$33,'Inputs'!$B$29+'Inputs'!$B$31+'Inputs'!$B$32,'Inputs'!$B$30+'Inputs'!$B$31+'Inputs'!$B$32)/1000+'Inputs'!$B$21))^2+('Inputs'!$B$6/2)^2)))-'Results'!C7*(1-'Inputs'!$B$24)*(0.5*((((859-43)*MAX('Inputs'!$B$33,'Inputs'!$B$29+'Inputs'!$B$31+'Inputs'!$B$32,'Inputs'!$B$30+'Inputs'!$B$31+'Inputs'!$B$32)/1000+'Inputs'!$B$21+'Inputs'!$B$7+'Inputs'!$B$10)+'Inputs'!$B$9)/SQRT((((859-43)*MAX('Inputs'!$B$33,'Inputs'!$B$29+'Inputs'!$B$31+'Inputs'!$B$32,'Inputs'!$B$30+'Inputs'!$B$31+'Inputs'!$B$32)/1000+'Inputs'!$B$21+'Inputs'!$B$7+'Inputs'!$B$10)+'Inputs'!$B$9)^2+('Inputs'!$B$8/2)^2)-(((859-43)*MAX('Inputs'!$B$33,'Inputs'!$B$29+'Inputs'!$B$31+'Inputs'!$B$32,'Inputs'!$B$30+'Inputs'!$B$31+'Inputs'!$B$32)/1000+'Inputs'!$B$21+'Inputs'!$B$7+'Inputs'!$B$10))/SQRT((((859-43)*MAX('Inputs'!$B$33,'Inputs'!$B$29+'Inputs'!$B$31+'Inputs'!$B$32,'Inputs'!$B$30+'Inputs'!$B$31+'Inputs'!$B$32)/1000+'Inputs'!$B$21+'Inputs'!$B$7+'Inputs'!$B$10))^2+('Inputs'!$B$8/2)^2))))*'Results'!$B$8))),"")</x:f>
        <x:v>0.8629753644068061</x:v>
      </x:c>
      <x:c r="M859" t="n">
        <x:f>IF(AND(ISNUMBER('Results'!C7),ISNUMBER('Results'!B7),ISNUMBER('Results'!$B$8),ISNUMBER('Inputs'!$B$6),ISNUMBER('Inputs'!$B$7),ISNUMBER('Inputs'!$B$8),ISNUMBER('Inputs'!$B$9),ISNUMBER('Inputs'!$B$10),ISNUMBER('Inputs'!$B$21),ISNUMBER('Inputs'!$B$24),ISNUMBER('Inputs'!$B$28)),(('Results'!C7*(0.5*((((859-43)*MAX('Inputs'!$B$33,'Inputs'!$B$29+'Inputs'!$B$31+'Inputs'!$B$32,'Inputs'!$B$30+'Inputs'!$B$31+'Inputs'!$B$32)/1000+'Inputs'!$B$21)+'Inputs'!$B$9)/SQRT((((859-43)*MAX('Inputs'!$B$33,'Inputs'!$B$29+'Inputs'!$B$31+'Inputs'!$B$32,'Inputs'!$B$30+'Inputs'!$B$31+'Inputs'!$B$32)/1000+'Inputs'!$B$21)+'Inputs'!$B$9)^2+('Inputs'!$B$8/2)^2)-(((859-43)*MAX('Inputs'!$B$33,'Inputs'!$B$29+'Inputs'!$B$31+'Inputs'!$B$32,'Inputs'!$B$30+'Inputs'!$B$31+'Inputs'!$B$32)/1000+'Inputs'!$B$21))/SQRT((((859-43)*MAX('Inputs'!$B$33,'Inputs'!$B$29+'Inputs'!$B$31+'Inputs'!$B$32,'Inputs'!$B$30+'Inputs'!$B$31+'Inputs'!$B$32)/1000+'Inputs'!$B$21))^2+('Inputs'!$B$8/2)^2)))-'Results'!B7*(0.5*((((859-43)*MAX('Inputs'!$B$33,'Inputs'!$B$29+'Inputs'!$B$31+'Inputs'!$B$32,'Inputs'!$B$30+'Inputs'!$B$31+'Inputs'!$B$32)/1000+'Inputs'!$B$21+'Inputs'!$B$9+'Inputs'!$B$10)+'Inputs'!$B$7)/SQRT((((859-43)*MAX('Inputs'!$B$33,'Inputs'!$B$29+'Inputs'!$B$31+'Inputs'!$B$32,'Inputs'!$B$30+'Inputs'!$B$31+'Inputs'!$B$32)/1000+'Inputs'!$B$21+'Inputs'!$B$9+'Inputs'!$B$10)+'Inputs'!$B$7)^2+('Inputs'!$B$6/2)^2)-(((859-43)*MAX('Inputs'!$B$33,'Inputs'!$B$29+'Inputs'!$B$31+'Inputs'!$B$32,'Inputs'!$B$30+'Inputs'!$B$31+'Inputs'!$B$32)/1000+'Inputs'!$B$21+'Inputs'!$B$9+'Inputs'!$B$10))/SQRT((((859-43)*MAX('Inputs'!$B$33,'Inputs'!$B$29+'Inputs'!$B$31+'Inputs'!$B$32,'Inputs'!$B$30+'Inputs'!$B$31+'Inputs'!$B$32)/1000+'Inputs'!$B$21+'Inputs'!$B$9+'Inputs'!$B$10))^2+('Inputs'!$B$6/2)^2))))*'Results'!$B$8),"")</x:f>
        <x:v>0.6710737916488602</x:v>
      </x:c>
      <x:c r="N859" t="n">
        <x:f>IF(AND(ISNUMBER('Results'!C7),ISNUMBER('Results'!B7),ISNUMBER('Results'!$B$8),ISNUMBER('Inputs'!$B$6),ISNUMBER('Inputs'!$B$7),ISNUMBER('Inputs'!$B$8),ISNUMBER('Inputs'!$B$9),ISNUMBER('Inputs'!$B$10),ISNUMBER('Inputs'!$B$21),ISNUMBER('Inputs'!$B$24),ISNUMBER('Inputs'!$B$28)),((('Results'!C7*(1-'Inputs'!$B$24)*(0.5*((((859-43)*MAX('Inputs'!$B$33,'Inputs'!$B$29+'Inputs'!$B$31+'Inputs'!$B$32,'Inputs'!$B$30+'Inputs'!$B$31+'Inputs'!$B$32)/1000+'Inputs'!$B$21)+'Inputs'!$B$9)/SQRT((((859-43)*MAX('Inputs'!$B$33,'Inputs'!$B$29+'Inputs'!$B$31+'Inputs'!$B$32,'Inputs'!$B$30+'Inputs'!$B$31+'Inputs'!$B$32)/1000+'Inputs'!$B$21)+'Inputs'!$B$9)^2+('Inputs'!$B$8/2)^2)-(((859-43)*MAX('Inputs'!$B$33,'Inputs'!$B$29+'Inputs'!$B$31+'Inputs'!$B$32,'Inputs'!$B$30+'Inputs'!$B$31+'Inputs'!$B$32)/1000+'Inputs'!$B$21))/SQRT((((859-43)*MAX('Inputs'!$B$33,'Inputs'!$B$29+'Inputs'!$B$31+'Inputs'!$B$32,'Inputs'!$B$30+'Inputs'!$B$31+'Inputs'!$B$32)/1000+'Inputs'!$B$21))^2+('Inputs'!$B$8/2)^2)))-'Results'!B7*(1+'Inputs'!$B$24)*(0.5*((((859-43)*MAX('Inputs'!$B$33,'Inputs'!$B$29+'Inputs'!$B$31+'Inputs'!$B$32,'Inputs'!$B$30+'Inputs'!$B$31+'Inputs'!$B$32)/1000+'Inputs'!$B$21+'Inputs'!$B$9+'Inputs'!$B$10)+'Inputs'!$B$7)/SQRT((((859-43)*MAX('Inputs'!$B$33,'Inputs'!$B$29+'Inputs'!$B$31+'Inputs'!$B$32,'Inputs'!$B$30+'Inputs'!$B$31+'Inputs'!$B$32)/1000+'Inputs'!$B$21+'Inputs'!$B$9+'Inputs'!$B$10)+'Inputs'!$B$7)^2+('Inputs'!$B$6/2)^2)-(((859-43)*MAX('Inputs'!$B$33,'Inputs'!$B$29+'Inputs'!$B$31+'Inputs'!$B$32,'Inputs'!$B$30+'Inputs'!$B$31+'Inputs'!$B$32)/1000+'Inputs'!$B$21+'Inputs'!$B$9+'Inputs'!$B$10))/SQRT((((859-43)*MAX('Inputs'!$B$33,'Inputs'!$B$29+'Inputs'!$B$31+'Inputs'!$B$32,'Inputs'!$B$30+'Inputs'!$B$31+'Inputs'!$B$32)/1000+'Inputs'!$B$21+'Inputs'!$B$9+'Inputs'!$B$10))^2+('Inputs'!$B$6/2)^2))))*'Results'!$B$8)-'Inputs'!$B$28*ABS((('Results'!C7*(1-'Inputs'!$B$24)*(0.5*((((859-43)*MAX('Inputs'!$B$33,'Inputs'!$B$29+'Inputs'!$B$31+'Inputs'!$B$32,'Inputs'!$B$30+'Inputs'!$B$31+'Inputs'!$B$32)/1000+'Inputs'!$B$21)+'Inputs'!$B$9)/SQRT((((859-43)*MAX('Inputs'!$B$33,'Inputs'!$B$29+'Inputs'!$B$31+'Inputs'!$B$32,'Inputs'!$B$30+'Inputs'!$B$31+'Inputs'!$B$32)/1000+'Inputs'!$B$21)+'Inputs'!$B$9)^2+('Inputs'!$B$8/2)^2)-(((859-43)*MAX('Inputs'!$B$33,'Inputs'!$B$29+'Inputs'!$B$31+'Inputs'!$B$32,'Inputs'!$B$30+'Inputs'!$B$31+'Inputs'!$B$32)/1000+'Inputs'!$B$21))/SQRT((((859-43)*MAX('Inputs'!$B$33,'Inputs'!$B$29+'Inputs'!$B$31+'Inputs'!$B$32,'Inputs'!$B$30+'Inputs'!$B$31+'Inputs'!$B$32)/1000+'Inputs'!$B$21))^2+('Inputs'!$B$8/2)^2)))-'Results'!B7*(1+'Inputs'!$B$24)*(0.5*((((859-43)*MAX('Inputs'!$B$33,'Inputs'!$B$29+'Inputs'!$B$31+'Inputs'!$B$32,'Inputs'!$B$30+'Inputs'!$B$31+'Inputs'!$B$32)/1000+'Inputs'!$B$21+'Inputs'!$B$9+'Inputs'!$B$10)+'Inputs'!$B$7)/SQRT((((859-43)*MAX('Inputs'!$B$33,'Inputs'!$B$29+'Inputs'!$B$31+'Inputs'!$B$32,'Inputs'!$B$30+'Inputs'!$B$31+'Inputs'!$B$32)/1000+'Inputs'!$B$21+'Inputs'!$B$9+'Inputs'!$B$10)+'Inputs'!$B$7)^2+('Inputs'!$B$6/2)^2)-(((859-43)*MAX('Inputs'!$B$33,'Inputs'!$B$29+'Inputs'!$B$31+'Inputs'!$B$32,'Inputs'!$B$30+'Inputs'!$B$31+'Inputs'!$B$32)/1000+'Inputs'!$B$21+'Inputs'!$B$9+'Inputs'!$B$10))/SQRT((((859-43)*MAX('Inputs'!$B$33,'Inputs'!$B$29+'Inputs'!$B$31+'Inputs'!$B$32,'Inputs'!$B$30+'Inputs'!$B$31+'Inputs'!$B$32)/1000+'Inputs'!$B$21+'Inputs'!$B$9+'Inputs'!$B$10))^2+('Inputs'!$B$6/2)^2))))*'Results'!$B$8))),"")</x:f>
        <x:v>0.5664502473470415</x:v>
      </x:c>
      <x:c r="O859" t="n">
        <x:f>IF(AND(ISNUMBER('Results'!C7),ISNUMBER('Results'!B7),ISNUMBER('Results'!$B$8),ISNUMBER('Inputs'!$B$6),ISNUMBER('Inputs'!$B$7),ISNUMBER('Inputs'!$B$8),ISNUMBER('Inputs'!$B$9),ISNUMBER('Inputs'!$B$10),ISNUMBER('Inputs'!$B$21),ISNUMBER('Inputs'!$B$24),ISNUMBER('Inputs'!$B$28)),((('Results'!C7*(1+'Inputs'!$B$24)*(0.5*((((859-43)*MAX('Inputs'!$B$33,'Inputs'!$B$29+'Inputs'!$B$31+'Inputs'!$B$32,'Inputs'!$B$30+'Inputs'!$B$31+'Inputs'!$B$32)/1000+'Inputs'!$B$21)+'Inputs'!$B$9)/SQRT((((859-43)*MAX('Inputs'!$B$33,'Inputs'!$B$29+'Inputs'!$B$31+'Inputs'!$B$32,'Inputs'!$B$30+'Inputs'!$B$31+'Inputs'!$B$32)/1000+'Inputs'!$B$21)+'Inputs'!$B$9)^2+('Inputs'!$B$8/2)^2)-(((859-43)*MAX('Inputs'!$B$33,'Inputs'!$B$29+'Inputs'!$B$31+'Inputs'!$B$32,'Inputs'!$B$30+'Inputs'!$B$31+'Inputs'!$B$32)/1000+'Inputs'!$B$21))/SQRT((((859-43)*MAX('Inputs'!$B$33,'Inputs'!$B$29+'Inputs'!$B$31+'Inputs'!$B$32,'Inputs'!$B$30+'Inputs'!$B$31+'Inputs'!$B$32)/1000+'Inputs'!$B$21))^2+('Inputs'!$B$8/2)^2)))-'Results'!B7*(1-'Inputs'!$B$24)*(0.5*((((859-43)*MAX('Inputs'!$B$33,'Inputs'!$B$29+'Inputs'!$B$31+'Inputs'!$B$32,'Inputs'!$B$30+'Inputs'!$B$31+'Inputs'!$B$32)/1000+'Inputs'!$B$21+'Inputs'!$B$9+'Inputs'!$B$10)+'Inputs'!$B$7)/SQRT((((859-43)*MAX('Inputs'!$B$33,'Inputs'!$B$29+'Inputs'!$B$31+'Inputs'!$B$32,'Inputs'!$B$30+'Inputs'!$B$31+'Inputs'!$B$32)/1000+'Inputs'!$B$21+'Inputs'!$B$9+'Inputs'!$B$10)+'Inputs'!$B$7)^2+('Inputs'!$B$6/2)^2)-(((859-43)*MAX('Inputs'!$B$33,'Inputs'!$B$29+'Inputs'!$B$31+'Inputs'!$B$32,'Inputs'!$B$30+'Inputs'!$B$31+'Inputs'!$B$32)/1000+'Inputs'!$B$21+'Inputs'!$B$9+'Inputs'!$B$10))/SQRT((((859-43)*MAX('Inputs'!$B$33,'Inputs'!$B$29+'Inputs'!$B$31+'Inputs'!$B$32,'Inputs'!$B$30+'Inputs'!$B$31+'Inputs'!$B$32)/1000+'Inputs'!$B$21+'Inputs'!$B$9+'Inputs'!$B$10))^2+('Inputs'!$B$6/2)^2))))*'Results'!$B$8)+'Inputs'!$B$28*ABS((('Results'!C7*(1+'Inputs'!$B$24)*(0.5*((((859-43)*MAX('Inputs'!$B$33,'Inputs'!$B$29+'Inputs'!$B$31+'Inputs'!$B$32,'Inputs'!$B$30+'Inputs'!$B$31+'Inputs'!$B$32)/1000+'Inputs'!$B$21)+'Inputs'!$B$9)/SQRT((((859-43)*MAX('Inputs'!$B$33,'Inputs'!$B$29+'Inputs'!$B$31+'Inputs'!$B$32,'Inputs'!$B$30+'Inputs'!$B$31+'Inputs'!$B$32)/1000+'Inputs'!$B$21)+'Inputs'!$B$9)^2+('Inputs'!$B$8/2)^2)-(((859-43)*MAX('Inputs'!$B$33,'Inputs'!$B$29+'Inputs'!$B$31+'Inputs'!$B$32,'Inputs'!$B$30+'Inputs'!$B$31+'Inputs'!$B$32)/1000+'Inputs'!$B$21))/SQRT((((859-43)*MAX('Inputs'!$B$33,'Inputs'!$B$29+'Inputs'!$B$31+'Inputs'!$B$32,'Inputs'!$B$30+'Inputs'!$B$31+'Inputs'!$B$32)/1000+'Inputs'!$B$21))^2+('Inputs'!$B$8/2)^2)))-'Results'!B7*(1-'Inputs'!$B$24)*(0.5*((((859-43)*MAX('Inputs'!$B$33,'Inputs'!$B$29+'Inputs'!$B$31+'Inputs'!$B$32,'Inputs'!$B$30+'Inputs'!$B$31+'Inputs'!$B$32)/1000+'Inputs'!$B$21+'Inputs'!$B$9+'Inputs'!$B$10)+'Inputs'!$B$7)/SQRT((((859-43)*MAX('Inputs'!$B$33,'Inputs'!$B$29+'Inputs'!$B$31+'Inputs'!$B$32,'Inputs'!$B$30+'Inputs'!$B$31+'Inputs'!$B$32)/1000+'Inputs'!$B$21+'Inputs'!$B$9+'Inputs'!$B$10)+'Inputs'!$B$7)^2+('Inputs'!$B$6/2)^2)-(((859-43)*MAX('Inputs'!$B$33,'Inputs'!$B$29+'Inputs'!$B$31+'Inputs'!$B$32,'Inputs'!$B$30+'Inputs'!$B$31+'Inputs'!$B$32)/1000+'Inputs'!$B$21+'Inputs'!$B$9+'Inputs'!$B$10))/SQRT((((859-43)*MAX('Inputs'!$B$33,'Inputs'!$B$29+'Inputs'!$B$31+'Inputs'!$B$32,'Inputs'!$B$30+'Inputs'!$B$31+'Inputs'!$B$32)/1000+'Inputs'!$B$21+'Inputs'!$B$9+'Inputs'!$B$10))^2+('Inputs'!$B$6/2)^2))))*'Results'!$B$8))),"")</x:f>
        <x:v>0.7831783732895613</x:v>
      </x:c>
      <x:c r="P859" t="n">
        <x:f>IF(AND(MAX(J859,J858)&gt;0,J859&gt;J858+0.00000001),1,0)</x:f>
        <x:v>0</x:v>
      </x:c>
      <x:c r="Q859" t="n">
        <x:f>IF(AND(MAX(K859,K858)&gt;0,K859&gt;K858+0.00000001),1,0)</x:f>
        <x:v>0</x:v>
      </x:c>
      <x:c r="R859" t="n">
        <x:f>IF(AND(MAX(L859,L858)&gt;0,L859&gt;L858+0.00000001),1,0)</x:f>
        <x:v>0</x:v>
      </x:c>
      <x:c r="S859" t="n">
        <x:f>IF(AND(MAX(M859,M858)&gt;0,M859&gt;M858+0.00000001),1,0)</x:f>
        <x:v>0</x:v>
      </x:c>
      <x:c r="T859" t="n">
        <x:f>IF(AND(MAX(N859,N858)&gt;0,N859&gt;N858+0.00000001),1,0)</x:f>
        <x:v>0</x:v>
      </x:c>
      <x:c r="U859" t="n">
        <x:f>IF(AND(MAX(O859,O858)&gt;0,O859&gt;O858+0.00000001),1,0)</x:f>
        <x:v>0</x:v>
      </x:c>
    </x:row>
    <x:row r="860">
      <x:c r="J860" t="n">
        <x:f>IF(AND(ISNUMBER('Results'!B7),ISNUMBER('Results'!C7),ISNUMBER('Results'!$B$8),ISNUMBER('Inputs'!$B$6),ISNUMBER('Inputs'!$B$7),ISNUMBER('Inputs'!$B$8),ISNUMBER('Inputs'!$B$9),ISNUMBER('Inputs'!$B$10),ISNUMBER('Inputs'!$B$21),ISNUMBER('Inputs'!$B$24),ISNUMBER('Inputs'!$B$28)),(('Results'!B7*(0.5*((((860-43)*MAX('Inputs'!$B$33,'Inputs'!$B$29+'Inputs'!$B$31+'Inputs'!$B$32,'Inputs'!$B$30+'Inputs'!$B$31+'Inputs'!$B$32)/1000+'Inputs'!$B$21)+'Inputs'!$B$7)/SQRT((((860-43)*MAX('Inputs'!$B$33,'Inputs'!$B$29+'Inputs'!$B$31+'Inputs'!$B$32,'Inputs'!$B$30+'Inputs'!$B$31+'Inputs'!$B$32)/1000+'Inputs'!$B$21)+'Inputs'!$B$7)^2+('Inputs'!$B$6/2)^2)-(((860-43)*MAX('Inputs'!$B$33,'Inputs'!$B$29+'Inputs'!$B$31+'Inputs'!$B$32,'Inputs'!$B$30+'Inputs'!$B$31+'Inputs'!$B$32)/1000+'Inputs'!$B$21))/SQRT((((860-43)*MAX('Inputs'!$B$33,'Inputs'!$B$29+'Inputs'!$B$31+'Inputs'!$B$32,'Inputs'!$B$30+'Inputs'!$B$31+'Inputs'!$B$32)/1000+'Inputs'!$B$21))^2+('Inputs'!$B$6/2)^2)))-'Results'!C7*(0.5*((((860-43)*MAX('Inputs'!$B$33,'Inputs'!$B$29+'Inputs'!$B$31+'Inputs'!$B$32,'Inputs'!$B$30+'Inputs'!$B$31+'Inputs'!$B$32)/1000+'Inputs'!$B$21+'Inputs'!$B$7+'Inputs'!$B$10)+'Inputs'!$B$9)/SQRT((((860-43)*MAX('Inputs'!$B$33,'Inputs'!$B$29+'Inputs'!$B$31+'Inputs'!$B$32,'Inputs'!$B$30+'Inputs'!$B$31+'Inputs'!$B$32)/1000+'Inputs'!$B$21+'Inputs'!$B$7+'Inputs'!$B$10)+'Inputs'!$B$9)^2+('Inputs'!$B$8/2)^2)-(((860-43)*MAX('Inputs'!$B$33,'Inputs'!$B$29+'Inputs'!$B$31+'Inputs'!$B$32,'Inputs'!$B$30+'Inputs'!$B$31+'Inputs'!$B$32)/1000+'Inputs'!$B$21+'Inputs'!$B$7+'Inputs'!$B$10))/SQRT((((860-43)*MAX('Inputs'!$B$33,'Inputs'!$B$29+'Inputs'!$B$31+'Inputs'!$B$32,'Inputs'!$B$30+'Inputs'!$B$31+'Inputs'!$B$32)/1000+'Inputs'!$B$21+'Inputs'!$B$7+'Inputs'!$B$10))^2+('Inputs'!$B$8/2)^2))))*'Results'!$B$8),"")</x:f>
        <x:v>0.7434980903702632</x:v>
      </x:c>
      <x:c r="K860" t="n">
        <x:f>IF(AND(ISNUMBER('Results'!B7),ISNUMBER('Results'!C7),ISNUMBER('Results'!$B$8),ISNUMBER('Inputs'!$B$6),ISNUMBER('Inputs'!$B$7),ISNUMBER('Inputs'!$B$8),ISNUMBER('Inputs'!$B$9),ISNUMBER('Inputs'!$B$10),ISNUMBER('Inputs'!$B$21),ISNUMBER('Inputs'!$B$24),ISNUMBER('Inputs'!$B$28)),((('Results'!B7*(1-'Inputs'!$B$24)*(0.5*((((860-43)*MAX('Inputs'!$B$33,'Inputs'!$B$29+'Inputs'!$B$31+'Inputs'!$B$32,'Inputs'!$B$30+'Inputs'!$B$31+'Inputs'!$B$32)/1000+'Inputs'!$B$21)+'Inputs'!$B$7)/SQRT((((860-43)*MAX('Inputs'!$B$33,'Inputs'!$B$29+'Inputs'!$B$31+'Inputs'!$B$32,'Inputs'!$B$30+'Inputs'!$B$31+'Inputs'!$B$32)/1000+'Inputs'!$B$21)+'Inputs'!$B$7)^2+('Inputs'!$B$6/2)^2)-(((860-43)*MAX('Inputs'!$B$33,'Inputs'!$B$29+'Inputs'!$B$31+'Inputs'!$B$32,'Inputs'!$B$30+'Inputs'!$B$31+'Inputs'!$B$32)/1000+'Inputs'!$B$21))/SQRT((((860-43)*MAX('Inputs'!$B$33,'Inputs'!$B$29+'Inputs'!$B$31+'Inputs'!$B$32,'Inputs'!$B$30+'Inputs'!$B$31+'Inputs'!$B$32)/1000+'Inputs'!$B$21))^2+('Inputs'!$B$6/2)^2)))-'Results'!C7*(1+'Inputs'!$B$24)*(0.5*((((860-43)*MAX('Inputs'!$B$33,'Inputs'!$B$29+'Inputs'!$B$31+'Inputs'!$B$32,'Inputs'!$B$30+'Inputs'!$B$31+'Inputs'!$B$32)/1000+'Inputs'!$B$21+'Inputs'!$B$7+'Inputs'!$B$10)+'Inputs'!$B$9)/SQRT((((860-43)*MAX('Inputs'!$B$33,'Inputs'!$B$29+'Inputs'!$B$31+'Inputs'!$B$32,'Inputs'!$B$30+'Inputs'!$B$31+'Inputs'!$B$32)/1000+'Inputs'!$B$21+'Inputs'!$B$7+'Inputs'!$B$10)+'Inputs'!$B$9)^2+('Inputs'!$B$8/2)^2)-(((860-43)*MAX('Inputs'!$B$33,'Inputs'!$B$29+'Inputs'!$B$31+'Inputs'!$B$32,'Inputs'!$B$30+'Inputs'!$B$31+'Inputs'!$B$32)/1000+'Inputs'!$B$21+'Inputs'!$B$7+'Inputs'!$B$10))/SQRT((((860-43)*MAX('Inputs'!$B$33,'Inputs'!$B$29+'Inputs'!$B$31+'Inputs'!$B$32,'Inputs'!$B$30+'Inputs'!$B$31+'Inputs'!$B$32)/1000+'Inputs'!$B$21+'Inputs'!$B$7+'Inputs'!$B$10))^2+('Inputs'!$B$8/2)^2))))*'Results'!$B$8)-'Inputs'!$B$28*ABS((('Results'!B7*(1-'Inputs'!$B$24)*(0.5*((((860-43)*MAX('Inputs'!$B$33,'Inputs'!$B$29+'Inputs'!$B$31+'Inputs'!$B$32,'Inputs'!$B$30+'Inputs'!$B$31+'Inputs'!$B$32)/1000+'Inputs'!$B$21)+'Inputs'!$B$7)/SQRT((((860-43)*MAX('Inputs'!$B$33,'Inputs'!$B$29+'Inputs'!$B$31+'Inputs'!$B$32,'Inputs'!$B$30+'Inputs'!$B$31+'Inputs'!$B$32)/1000+'Inputs'!$B$21)+'Inputs'!$B$7)^2+('Inputs'!$B$6/2)^2)-(((860-43)*MAX('Inputs'!$B$33,'Inputs'!$B$29+'Inputs'!$B$31+'Inputs'!$B$32,'Inputs'!$B$30+'Inputs'!$B$31+'Inputs'!$B$32)/1000+'Inputs'!$B$21))/SQRT((((860-43)*MAX('Inputs'!$B$33,'Inputs'!$B$29+'Inputs'!$B$31+'Inputs'!$B$32,'Inputs'!$B$30+'Inputs'!$B$31+'Inputs'!$B$32)/1000+'Inputs'!$B$21))^2+('Inputs'!$B$6/2)^2)))-'Results'!C7*(1+'Inputs'!$B$24)*(0.5*((((860-43)*MAX('Inputs'!$B$33,'Inputs'!$B$29+'Inputs'!$B$31+'Inputs'!$B$32,'Inputs'!$B$30+'Inputs'!$B$31+'Inputs'!$B$32)/1000+'Inputs'!$B$21+'Inputs'!$B$7+'Inputs'!$B$10)+'Inputs'!$B$9)/SQRT((((860-43)*MAX('Inputs'!$B$33,'Inputs'!$B$29+'Inputs'!$B$31+'Inputs'!$B$32,'Inputs'!$B$30+'Inputs'!$B$31+'Inputs'!$B$32)/1000+'Inputs'!$B$21+'Inputs'!$B$7+'Inputs'!$B$10)+'Inputs'!$B$9)^2+('Inputs'!$B$8/2)^2)-(((860-43)*MAX('Inputs'!$B$33,'Inputs'!$B$29+'Inputs'!$B$31+'Inputs'!$B$32,'Inputs'!$B$30+'Inputs'!$B$31+'Inputs'!$B$32)/1000+'Inputs'!$B$21+'Inputs'!$B$7+'Inputs'!$B$10))/SQRT((((860-43)*MAX('Inputs'!$B$33,'Inputs'!$B$29+'Inputs'!$B$31+'Inputs'!$B$32,'Inputs'!$B$30+'Inputs'!$B$31+'Inputs'!$B$32)/1000+'Inputs'!$B$21+'Inputs'!$B$7+'Inputs'!$B$10))^2+('Inputs'!$B$8/2)^2))))*'Results'!$B$8))),"")</x:f>
        <x:v>0.6352225200075958</x:v>
      </x:c>
      <x:c r="L860" t="n">
        <x:f>IF(AND(ISNUMBER('Results'!B7),ISNUMBER('Results'!C7),ISNUMBER('Results'!$B$8),ISNUMBER('Inputs'!$B$6),ISNUMBER('Inputs'!$B$7),ISNUMBER('Inputs'!$B$8),ISNUMBER('Inputs'!$B$9),ISNUMBER('Inputs'!$B$10),ISNUMBER('Inputs'!$B$21),ISNUMBER('Inputs'!$B$24),ISNUMBER('Inputs'!$B$28)),((('Results'!B7*(1+'Inputs'!$B$24)*(0.5*((((860-43)*MAX('Inputs'!$B$33,'Inputs'!$B$29+'Inputs'!$B$31+'Inputs'!$B$32,'Inputs'!$B$30+'Inputs'!$B$31+'Inputs'!$B$32)/1000+'Inputs'!$B$21)+'Inputs'!$B$7)/SQRT((((860-43)*MAX('Inputs'!$B$33,'Inputs'!$B$29+'Inputs'!$B$31+'Inputs'!$B$32,'Inputs'!$B$30+'Inputs'!$B$31+'Inputs'!$B$32)/1000+'Inputs'!$B$21)+'Inputs'!$B$7)^2+('Inputs'!$B$6/2)^2)-(((860-43)*MAX('Inputs'!$B$33,'Inputs'!$B$29+'Inputs'!$B$31+'Inputs'!$B$32,'Inputs'!$B$30+'Inputs'!$B$31+'Inputs'!$B$32)/1000+'Inputs'!$B$21))/SQRT((((860-43)*MAX('Inputs'!$B$33,'Inputs'!$B$29+'Inputs'!$B$31+'Inputs'!$B$32,'Inputs'!$B$30+'Inputs'!$B$31+'Inputs'!$B$32)/1000+'Inputs'!$B$21))^2+('Inputs'!$B$6/2)^2)))-'Results'!C7*(1-'Inputs'!$B$24)*(0.5*((((860-43)*MAX('Inputs'!$B$33,'Inputs'!$B$29+'Inputs'!$B$31+'Inputs'!$B$32,'Inputs'!$B$30+'Inputs'!$B$31+'Inputs'!$B$32)/1000+'Inputs'!$B$21+'Inputs'!$B$7+'Inputs'!$B$10)+'Inputs'!$B$9)/SQRT((((860-43)*MAX('Inputs'!$B$33,'Inputs'!$B$29+'Inputs'!$B$31+'Inputs'!$B$32,'Inputs'!$B$30+'Inputs'!$B$31+'Inputs'!$B$32)/1000+'Inputs'!$B$21+'Inputs'!$B$7+'Inputs'!$B$10)+'Inputs'!$B$9)^2+('Inputs'!$B$8/2)^2)-(((860-43)*MAX('Inputs'!$B$33,'Inputs'!$B$29+'Inputs'!$B$31+'Inputs'!$B$32,'Inputs'!$B$30+'Inputs'!$B$31+'Inputs'!$B$32)/1000+'Inputs'!$B$21+'Inputs'!$B$7+'Inputs'!$B$10))/SQRT((((860-43)*MAX('Inputs'!$B$33,'Inputs'!$B$29+'Inputs'!$B$31+'Inputs'!$B$32,'Inputs'!$B$30+'Inputs'!$B$31+'Inputs'!$B$32)/1000+'Inputs'!$B$21+'Inputs'!$B$7+'Inputs'!$B$10))^2+('Inputs'!$B$8/2)^2))))*'Results'!$B$8)+'Inputs'!$B$28*ABS((('Results'!B7*(1+'Inputs'!$B$24)*(0.5*((((860-43)*MAX('Inputs'!$B$33,'Inputs'!$B$29+'Inputs'!$B$31+'Inputs'!$B$32,'Inputs'!$B$30+'Inputs'!$B$31+'Inputs'!$B$32)/1000+'Inputs'!$B$21)+'Inputs'!$B$7)/SQRT((((860-43)*MAX('Inputs'!$B$33,'Inputs'!$B$29+'Inputs'!$B$31+'Inputs'!$B$32,'Inputs'!$B$30+'Inputs'!$B$31+'Inputs'!$B$32)/1000+'Inputs'!$B$21)+'Inputs'!$B$7)^2+('Inputs'!$B$6/2)^2)-(((860-43)*MAX('Inputs'!$B$33,'Inputs'!$B$29+'Inputs'!$B$31+'Inputs'!$B$32,'Inputs'!$B$30+'Inputs'!$B$31+'Inputs'!$B$32)/1000+'Inputs'!$B$21))/SQRT((((860-43)*MAX('Inputs'!$B$33,'Inputs'!$B$29+'Inputs'!$B$31+'Inputs'!$B$32,'Inputs'!$B$30+'Inputs'!$B$31+'Inputs'!$B$32)/1000+'Inputs'!$B$21))^2+('Inputs'!$B$6/2)^2)))-'Results'!C7*(1-'Inputs'!$B$24)*(0.5*((((860-43)*MAX('Inputs'!$B$33,'Inputs'!$B$29+'Inputs'!$B$31+'Inputs'!$B$32,'Inputs'!$B$30+'Inputs'!$B$31+'Inputs'!$B$32)/1000+'Inputs'!$B$21+'Inputs'!$B$7+'Inputs'!$B$10)+'Inputs'!$B$9)/SQRT((((860-43)*MAX('Inputs'!$B$33,'Inputs'!$B$29+'Inputs'!$B$31+'Inputs'!$B$32,'Inputs'!$B$30+'Inputs'!$B$31+'Inputs'!$B$32)/1000+'Inputs'!$B$21+'Inputs'!$B$7+'Inputs'!$B$10)+'Inputs'!$B$9)^2+('Inputs'!$B$8/2)^2)-(((860-43)*MAX('Inputs'!$B$33,'Inputs'!$B$29+'Inputs'!$B$31+'Inputs'!$B$32,'Inputs'!$B$30+'Inputs'!$B$31+'Inputs'!$B$32)/1000+'Inputs'!$B$21+'Inputs'!$B$7+'Inputs'!$B$10))/SQRT((((860-43)*MAX('Inputs'!$B$33,'Inputs'!$B$29+'Inputs'!$B$31+'Inputs'!$B$32,'Inputs'!$B$30+'Inputs'!$B$31+'Inputs'!$B$32)/1000+'Inputs'!$B$21+'Inputs'!$B$7+'Inputs'!$B$10))^2+('Inputs'!$B$8/2)^2))))*'Results'!$B$8))),"")</x:f>
        <x:v>0.8592579413481052</x:v>
      </x:c>
      <x:c r="M860" t="n">
        <x:f>IF(AND(ISNUMBER('Results'!C7),ISNUMBER('Results'!B7),ISNUMBER('Results'!$B$8),ISNUMBER('Inputs'!$B$6),ISNUMBER('Inputs'!$B$7),ISNUMBER('Inputs'!$B$8),ISNUMBER('Inputs'!$B$9),ISNUMBER('Inputs'!$B$10),ISNUMBER('Inputs'!$B$21),ISNUMBER('Inputs'!$B$24),ISNUMBER('Inputs'!$B$28)),(('Results'!C7*(0.5*((((860-43)*MAX('Inputs'!$B$33,'Inputs'!$B$29+'Inputs'!$B$31+'Inputs'!$B$32,'Inputs'!$B$30+'Inputs'!$B$31+'Inputs'!$B$32)/1000+'Inputs'!$B$21)+'Inputs'!$B$9)/SQRT((((860-43)*MAX('Inputs'!$B$33,'Inputs'!$B$29+'Inputs'!$B$31+'Inputs'!$B$32,'Inputs'!$B$30+'Inputs'!$B$31+'Inputs'!$B$32)/1000+'Inputs'!$B$21)+'Inputs'!$B$9)^2+('Inputs'!$B$8/2)^2)-(((860-43)*MAX('Inputs'!$B$33,'Inputs'!$B$29+'Inputs'!$B$31+'Inputs'!$B$32,'Inputs'!$B$30+'Inputs'!$B$31+'Inputs'!$B$32)/1000+'Inputs'!$B$21))/SQRT((((860-43)*MAX('Inputs'!$B$33,'Inputs'!$B$29+'Inputs'!$B$31+'Inputs'!$B$32,'Inputs'!$B$30+'Inputs'!$B$31+'Inputs'!$B$32)/1000+'Inputs'!$B$21))^2+('Inputs'!$B$8/2)^2)))-'Results'!B7*(0.5*((((860-43)*MAX('Inputs'!$B$33,'Inputs'!$B$29+'Inputs'!$B$31+'Inputs'!$B$32,'Inputs'!$B$30+'Inputs'!$B$31+'Inputs'!$B$32)/1000+'Inputs'!$B$21+'Inputs'!$B$9+'Inputs'!$B$10)+'Inputs'!$B$7)/SQRT((((860-43)*MAX('Inputs'!$B$33,'Inputs'!$B$29+'Inputs'!$B$31+'Inputs'!$B$32,'Inputs'!$B$30+'Inputs'!$B$31+'Inputs'!$B$32)/1000+'Inputs'!$B$21+'Inputs'!$B$9+'Inputs'!$B$10)+'Inputs'!$B$7)^2+('Inputs'!$B$6/2)^2)-(((860-43)*MAX('Inputs'!$B$33,'Inputs'!$B$29+'Inputs'!$B$31+'Inputs'!$B$32,'Inputs'!$B$30+'Inputs'!$B$31+'Inputs'!$B$32)/1000+'Inputs'!$B$21+'Inputs'!$B$9+'Inputs'!$B$10))/SQRT((((860-43)*MAX('Inputs'!$B$33,'Inputs'!$B$29+'Inputs'!$B$31+'Inputs'!$B$32,'Inputs'!$B$30+'Inputs'!$B$31+'Inputs'!$B$32)/1000+'Inputs'!$B$21+'Inputs'!$B$9+'Inputs'!$B$10))^2+('Inputs'!$B$6/2)^2))))*'Results'!$B$8),"")</x:f>
        <x:v>0.66804331641909</x:v>
      </x:c>
      <x:c r="N860" t="n">
        <x:f>IF(AND(ISNUMBER('Results'!C7),ISNUMBER('Results'!B7),ISNUMBER('Results'!$B$8),ISNUMBER('Inputs'!$B$6),ISNUMBER('Inputs'!$B$7),ISNUMBER('Inputs'!$B$8),ISNUMBER('Inputs'!$B$9),ISNUMBER('Inputs'!$B$10),ISNUMBER('Inputs'!$B$21),ISNUMBER('Inputs'!$B$24),ISNUMBER('Inputs'!$B$28)),((('Results'!C7*(1-'Inputs'!$B$24)*(0.5*((((860-43)*MAX('Inputs'!$B$33,'Inputs'!$B$29+'Inputs'!$B$31+'Inputs'!$B$32,'Inputs'!$B$30+'Inputs'!$B$31+'Inputs'!$B$32)/1000+'Inputs'!$B$21)+'Inputs'!$B$9)/SQRT((((860-43)*MAX('Inputs'!$B$33,'Inputs'!$B$29+'Inputs'!$B$31+'Inputs'!$B$32,'Inputs'!$B$30+'Inputs'!$B$31+'Inputs'!$B$32)/1000+'Inputs'!$B$21)+'Inputs'!$B$9)^2+('Inputs'!$B$8/2)^2)-(((860-43)*MAX('Inputs'!$B$33,'Inputs'!$B$29+'Inputs'!$B$31+'Inputs'!$B$32,'Inputs'!$B$30+'Inputs'!$B$31+'Inputs'!$B$32)/1000+'Inputs'!$B$21))/SQRT((((860-43)*MAX('Inputs'!$B$33,'Inputs'!$B$29+'Inputs'!$B$31+'Inputs'!$B$32,'Inputs'!$B$30+'Inputs'!$B$31+'Inputs'!$B$32)/1000+'Inputs'!$B$21))^2+('Inputs'!$B$8/2)^2)))-'Results'!B7*(1+'Inputs'!$B$24)*(0.5*((((860-43)*MAX('Inputs'!$B$33,'Inputs'!$B$29+'Inputs'!$B$31+'Inputs'!$B$32,'Inputs'!$B$30+'Inputs'!$B$31+'Inputs'!$B$32)/1000+'Inputs'!$B$21+'Inputs'!$B$9+'Inputs'!$B$10)+'Inputs'!$B$7)/SQRT((((860-43)*MAX('Inputs'!$B$33,'Inputs'!$B$29+'Inputs'!$B$31+'Inputs'!$B$32,'Inputs'!$B$30+'Inputs'!$B$31+'Inputs'!$B$32)/1000+'Inputs'!$B$21+'Inputs'!$B$9+'Inputs'!$B$10)+'Inputs'!$B$7)^2+('Inputs'!$B$6/2)^2)-(((860-43)*MAX('Inputs'!$B$33,'Inputs'!$B$29+'Inputs'!$B$31+'Inputs'!$B$32,'Inputs'!$B$30+'Inputs'!$B$31+'Inputs'!$B$32)/1000+'Inputs'!$B$21+'Inputs'!$B$9+'Inputs'!$B$10))/SQRT((((860-43)*MAX('Inputs'!$B$33,'Inputs'!$B$29+'Inputs'!$B$31+'Inputs'!$B$32,'Inputs'!$B$30+'Inputs'!$B$31+'Inputs'!$B$32)/1000+'Inputs'!$B$21+'Inputs'!$B$9+'Inputs'!$B$10))^2+('Inputs'!$B$6/2)^2))))*'Results'!$B$8)-'Inputs'!$B$28*ABS((('Results'!C7*(1-'Inputs'!$B$24)*(0.5*((((860-43)*MAX('Inputs'!$B$33,'Inputs'!$B$29+'Inputs'!$B$31+'Inputs'!$B$32,'Inputs'!$B$30+'Inputs'!$B$31+'Inputs'!$B$32)/1000+'Inputs'!$B$21)+'Inputs'!$B$9)/SQRT((((860-43)*MAX('Inputs'!$B$33,'Inputs'!$B$29+'Inputs'!$B$31+'Inputs'!$B$32,'Inputs'!$B$30+'Inputs'!$B$31+'Inputs'!$B$32)/1000+'Inputs'!$B$21)+'Inputs'!$B$9)^2+('Inputs'!$B$8/2)^2)-(((860-43)*MAX('Inputs'!$B$33,'Inputs'!$B$29+'Inputs'!$B$31+'Inputs'!$B$32,'Inputs'!$B$30+'Inputs'!$B$31+'Inputs'!$B$32)/1000+'Inputs'!$B$21))/SQRT((((860-43)*MAX('Inputs'!$B$33,'Inputs'!$B$29+'Inputs'!$B$31+'Inputs'!$B$32,'Inputs'!$B$30+'Inputs'!$B$31+'Inputs'!$B$32)/1000+'Inputs'!$B$21))^2+('Inputs'!$B$8/2)^2)))-'Results'!B7*(1+'Inputs'!$B$24)*(0.5*((((860-43)*MAX('Inputs'!$B$33,'Inputs'!$B$29+'Inputs'!$B$31+'Inputs'!$B$32,'Inputs'!$B$30+'Inputs'!$B$31+'Inputs'!$B$32)/1000+'Inputs'!$B$21+'Inputs'!$B$9+'Inputs'!$B$10)+'Inputs'!$B$7)/SQRT((((860-43)*MAX('Inputs'!$B$33,'Inputs'!$B$29+'Inputs'!$B$31+'Inputs'!$B$32,'Inputs'!$B$30+'Inputs'!$B$31+'Inputs'!$B$32)/1000+'Inputs'!$B$21+'Inputs'!$B$9+'Inputs'!$B$10)+'Inputs'!$B$7)^2+('Inputs'!$B$6/2)^2)-(((860-43)*MAX('Inputs'!$B$33,'Inputs'!$B$29+'Inputs'!$B$31+'Inputs'!$B$32,'Inputs'!$B$30+'Inputs'!$B$31+'Inputs'!$B$32)/1000+'Inputs'!$B$21+'Inputs'!$B$9+'Inputs'!$B$10))/SQRT((((860-43)*MAX('Inputs'!$B$33,'Inputs'!$B$29+'Inputs'!$B$31+'Inputs'!$B$32,'Inputs'!$B$30+'Inputs'!$B$31+'Inputs'!$B$32)/1000+'Inputs'!$B$21+'Inputs'!$B$9+'Inputs'!$B$10))^2+('Inputs'!$B$6/2)^2))))*'Results'!$B$8))),"")</x:f>
        <x:v>0.5638113866401321</x:v>
      </x:c>
      <x:c r="O860" t="n">
        <x:f>IF(AND(ISNUMBER('Results'!C7),ISNUMBER('Results'!B7),ISNUMBER('Results'!$B$8),ISNUMBER('Inputs'!$B$6),ISNUMBER('Inputs'!$B$7),ISNUMBER('Inputs'!$B$8),ISNUMBER('Inputs'!$B$9),ISNUMBER('Inputs'!$B$10),ISNUMBER('Inputs'!$B$21),ISNUMBER('Inputs'!$B$24),ISNUMBER('Inputs'!$B$28)),((('Results'!C7*(1+'Inputs'!$B$24)*(0.5*((((860-43)*MAX('Inputs'!$B$33,'Inputs'!$B$29+'Inputs'!$B$31+'Inputs'!$B$32,'Inputs'!$B$30+'Inputs'!$B$31+'Inputs'!$B$32)/1000+'Inputs'!$B$21)+'Inputs'!$B$9)/SQRT((((860-43)*MAX('Inputs'!$B$33,'Inputs'!$B$29+'Inputs'!$B$31+'Inputs'!$B$32,'Inputs'!$B$30+'Inputs'!$B$31+'Inputs'!$B$32)/1000+'Inputs'!$B$21)+'Inputs'!$B$9)^2+('Inputs'!$B$8/2)^2)-(((860-43)*MAX('Inputs'!$B$33,'Inputs'!$B$29+'Inputs'!$B$31+'Inputs'!$B$32,'Inputs'!$B$30+'Inputs'!$B$31+'Inputs'!$B$32)/1000+'Inputs'!$B$21))/SQRT((((860-43)*MAX('Inputs'!$B$33,'Inputs'!$B$29+'Inputs'!$B$31+'Inputs'!$B$32,'Inputs'!$B$30+'Inputs'!$B$31+'Inputs'!$B$32)/1000+'Inputs'!$B$21))^2+('Inputs'!$B$8/2)^2)))-'Results'!B7*(1-'Inputs'!$B$24)*(0.5*((((860-43)*MAX('Inputs'!$B$33,'Inputs'!$B$29+'Inputs'!$B$31+'Inputs'!$B$32,'Inputs'!$B$30+'Inputs'!$B$31+'Inputs'!$B$32)/1000+'Inputs'!$B$21+'Inputs'!$B$9+'Inputs'!$B$10)+'Inputs'!$B$7)/SQRT((((860-43)*MAX('Inputs'!$B$33,'Inputs'!$B$29+'Inputs'!$B$31+'Inputs'!$B$32,'Inputs'!$B$30+'Inputs'!$B$31+'Inputs'!$B$32)/1000+'Inputs'!$B$21+'Inputs'!$B$9+'Inputs'!$B$10)+'Inputs'!$B$7)^2+('Inputs'!$B$6/2)^2)-(((860-43)*MAX('Inputs'!$B$33,'Inputs'!$B$29+'Inputs'!$B$31+'Inputs'!$B$32,'Inputs'!$B$30+'Inputs'!$B$31+'Inputs'!$B$32)/1000+'Inputs'!$B$21+'Inputs'!$B$9+'Inputs'!$B$10))/SQRT((((860-43)*MAX('Inputs'!$B$33,'Inputs'!$B$29+'Inputs'!$B$31+'Inputs'!$B$32,'Inputs'!$B$30+'Inputs'!$B$31+'Inputs'!$B$32)/1000+'Inputs'!$B$21+'Inputs'!$B$9+'Inputs'!$B$10))^2+('Inputs'!$B$6/2)^2))))*'Results'!$B$8)+'Inputs'!$B$28*ABS((('Results'!C7*(1+'Inputs'!$B$24)*(0.5*((((860-43)*MAX('Inputs'!$B$33,'Inputs'!$B$29+'Inputs'!$B$31+'Inputs'!$B$32,'Inputs'!$B$30+'Inputs'!$B$31+'Inputs'!$B$32)/1000+'Inputs'!$B$21)+'Inputs'!$B$9)/SQRT((((860-43)*MAX('Inputs'!$B$33,'Inputs'!$B$29+'Inputs'!$B$31+'Inputs'!$B$32,'Inputs'!$B$30+'Inputs'!$B$31+'Inputs'!$B$32)/1000+'Inputs'!$B$21)+'Inputs'!$B$9)^2+('Inputs'!$B$8/2)^2)-(((860-43)*MAX('Inputs'!$B$33,'Inputs'!$B$29+'Inputs'!$B$31+'Inputs'!$B$32,'Inputs'!$B$30+'Inputs'!$B$31+'Inputs'!$B$32)/1000+'Inputs'!$B$21))/SQRT((((860-43)*MAX('Inputs'!$B$33,'Inputs'!$B$29+'Inputs'!$B$31+'Inputs'!$B$32,'Inputs'!$B$30+'Inputs'!$B$31+'Inputs'!$B$32)/1000+'Inputs'!$B$21))^2+('Inputs'!$B$8/2)^2)))-'Results'!B7*(1-'Inputs'!$B$24)*(0.5*((((860-43)*MAX('Inputs'!$B$33,'Inputs'!$B$29+'Inputs'!$B$31+'Inputs'!$B$32,'Inputs'!$B$30+'Inputs'!$B$31+'Inputs'!$B$32)/1000+'Inputs'!$B$21+'Inputs'!$B$9+'Inputs'!$B$10)+'Inputs'!$B$7)/SQRT((((860-43)*MAX('Inputs'!$B$33,'Inputs'!$B$29+'Inputs'!$B$31+'Inputs'!$B$32,'Inputs'!$B$30+'Inputs'!$B$31+'Inputs'!$B$32)/1000+'Inputs'!$B$21+'Inputs'!$B$9+'Inputs'!$B$10)+'Inputs'!$B$7)^2+('Inputs'!$B$6/2)^2)-(((860-43)*MAX('Inputs'!$B$33,'Inputs'!$B$29+'Inputs'!$B$31+'Inputs'!$B$32,'Inputs'!$B$30+'Inputs'!$B$31+'Inputs'!$B$32)/1000+'Inputs'!$B$21+'Inputs'!$B$9+'Inputs'!$B$10))/SQRT((((860-43)*MAX('Inputs'!$B$33,'Inputs'!$B$29+'Inputs'!$B$31+'Inputs'!$B$32,'Inputs'!$B$30+'Inputs'!$B$31+'Inputs'!$B$32)/1000+'Inputs'!$B$21+'Inputs'!$B$9+'Inputs'!$B$10))^2+('Inputs'!$B$6/2)^2))))*'Results'!$B$8))),"")</x:f>
        <x:v>0.7797310108252055</x:v>
      </x:c>
      <x:c r="P860" t="n">
        <x:f>IF(AND(MAX(J860,J859)&gt;0,J860&gt;J859+0.00000001),1,0)</x:f>
        <x:v>0</x:v>
      </x:c>
      <x:c r="Q860" t="n">
        <x:f>IF(AND(MAX(K860,K859)&gt;0,K860&gt;K859+0.00000001),1,0)</x:f>
        <x:v>0</x:v>
      </x:c>
      <x:c r="R860" t="n">
        <x:f>IF(AND(MAX(L860,L859)&gt;0,L860&gt;L859+0.00000001),1,0)</x:f>
        <x:v>0</x:v>
      </x:c>
      <x:c r="S860" t="n">
        <x:f>IF(AND(MAX(M860,M859)&gt;0,M860&gt;M859+0.00000001),1,0)</x:f>
        <x:v>0</x:v>
      </x:c>
      <x:c r="T860" t="n">
        <x:f>IF(AND(MAX(N860,N859)&gt;0,N860&gt;N859+0.00000001),1,0)</x:f>
        <x:v>0</x:v>
      </x:c>
      <x:c r="U860" t="n">
        <x:f>IF(AND(MAX(O860,O859)&gt;0,O860&gt;O859+0.00000001),1,0)</x:f>
        <x:v>0</x:v>
      </x:c>
    </x:row>
    <x:row r="861">
      <x:c r="J861" t="n">
        <x:f>IF(AND(ISNUMBER('Results'!B7),ISNUMBER('Results'!C7),ISNUMBER('Results'!$B$8),ISNUMBER('Inputs'!$B$6),ISNUMBER('Inputs'!$B$7),ISNUMBER('Inputs'!$B$8),ISNUMBER('Inputs'!$B$9),ISNUMBER('Inputs'!$B$10),ISNUMBER('Inputs'!$B$21),ISNUMBER('Inputs'!$B$24),ISNUMBER('Inputs'!$B$28)),(('Results'!B7*(0.5*((((861-43)*MAX('Inputs'!$B$33,'Inputs'!$B$29+'Inputs'!$B$31+'Inputs'!$B$32,'Inputs'!$B$30+'Inputs'!$B$31+'Inputs'!$B$32)/1000+'Inputs'!$B$21)+'Inputs'!$B$7)/SQRT((((861-43)*MAX('Inputs'!$B$33,'Inputs'!$B$29+'Inputs'!$B$31+'Inputs'!$B$32,'Inputs'!$B$30+'Inputs'!$B$31+'Inputs'!$B$32)/1000+'Inputs'!$B$21)+'Inputs'!$B$7)^2+('Inputs'!$B$6/2)^2)-(((861-43)*MAX('Inputs'!$B$33,'Inputs'!$B$29+'Inputs'!$B$31+'Inputs'!$B$32,'Inputs'!$B$30+'Inputs'!$B$31+'Inputs'!$B$32)/1000+'Inputs'!$B$21))/SQRT((((861-43)*MAX('Inputs'!$B$33,'Inputs'!$B$29+'Inputs'!$B$31+'Inputs'!$B$32,'Inputs'!$B$30+'Inputs'!$B$31+'Inputs'!$B$32)/1000+'Inputs'!$B$21))^2+('Inputs'!$B$6/2)^2)))-'Results'!C7*(0.5*((((861-43)*MAX('Inputs'!$B$33,'Inputs'!$B$29+'Inputs'!$B$31+'Inputs'!$B$32,'Inputs'!$B$30+'Inputs'!$B$31+'Inputs'!$B$32)/1000+'Inputs'!$B$21+'Inputs'!$B$7+'Inputs'!$B$10)+'Inputs'!$B$9)/SQRT((((861-43)*MAX('Inputs'!$B$33,'Inputs'!$B$29+'Inputs'!$B$31+'Inputs'!$B$32,'Inputs'!$B$30+'Inputs'!$B$31+'Inputs'!$B$32)/1000+'Inputs'!$B$21+'Inputs'!$B$7+'Inputs'!$B$10)+'Inputs'!$B$9)^2+('Inputs'!$B$8/2)^2)-(((861-43)*MAX('Inputs'!$B$33,'Inputs'!$B$29+'Inputs'!$B$31+'Inputs'!$B$32,'Inputs'!$B$30+'Inputs'!$B$31+'Inputs'!$B$32)/1000+'Inputs'!$B$21+'Inputs'!$B$7+'Inputs'!$B$10))/SQRT((((861-43)*MAX('Inputs'!$B$33,'Inputs'!$B$29+'Inputs'!$B$31+'Inputs'!$B$32,'Inputs'!$B$30+'Inputs'!$B$31+'Inputs'!$B$32)/1000+'Inputs'!$B$21+'Inputs'!$B$7+'Inputs'!$B$10))^2+('Inputs'!$B$8/2)^2))))*'Results'!$B$8),"")</x:f>
        <x:v>0.7402298279034162</x:v>
      </x:c>
      <x:c r="K861" t="n">
        <x:f>IF(AND(ISNUMBER('Results'!B7),ISNUMBER('Results'!C7),ISNUMBER('Results'!$B$8),ISNUMBER('Inputs'!$B$6),ISNUMBER('Inputs'!$B$7),ISNUMBER('Inputs'!$B$8),ISNUMBER('Inputs'!$B$9),ISNUMBER('Inputs'!$B$10),ISNUMBER('Inputs'!$B$21),ISNUMBER('Inputs'!$B$24),ISNUMBER('Inputs'!$B$28)),((('Results'!B7*(1-'Inputs'!$B$24)*(0.5*((((861-43)*MAX('Inputs'!$B$33,'Inputs'!$B$29+'Inputs'!$B$31+'Inputs'!$B$32,'Inputs'!$B$30+'Inputs'!$B$31+'Inputs'!$B$32)/1000+'Inputs'!$B$21)+'Inputs'!$B$7)/SQRT((((861-43)*MAX('Inputs'!$B$33,'Inputs'!$B$29+'Inputs'!$B$31+'Inputs'!$B$32,'Inputs'!$B$30+'Inputs'!$B$31+'Inputs'!$B$32)/1000+'Inputs'!$B$21)+'Inputs'!$B$7)^2+('Inputs'!$B$6/2)^2)-(((861-43)*MAX('Inputs'!$B$33,'Inputs'!$B$29+'Inputs'!$B$31+'Inputs'!$B$32,'Inputs'!$B$30+'Inputs'!$B$31+'Inputs'!$B$32)/1000+'Inputs'!$B$21))/SQRT((((861-43)*MAX('Inputs'!$B$33,'Inputs'!$B$29+'Inputs'!$B$31+'Inputs'!$B$32,'Inputs'!$B$30+'Inputs'!$B$31+'Inputs'!$B$32)/1000+'Inputs'!$B$21))^2+('Inputs'!$B$6/2)^2)))-'Results'!C7*(1+'Inputs'!$B$24)*(0.5*((((861-43)*MAX('Inputs'!$B$33,'Inputs'!$B$29+'Inputs'!$B$31+'Inputs'!$B$32,'Inputs'!$B$30+'Inputs'!$B$31+'Inputs'!$B$32)/1000+'Inputs'!$B$21+'Inputs'!$B$7+'Inputs'!$B$10)+'Inputs'!$B$9)/SQRT((((861-43)*MAX('Inputs'!$B$33,'Inputs'!$B$29+'Inputs'!$B$31+'Inputs'!$B$32,'Inputs'!$B$30+'Inputs'!$B$31+'Inputs'!$B$32)/1000+'Inputs'!$B$21+'Inputs'!$B$7+'Inputs'!$B$10)+'Inputs'!$B$9)^2+('Inputs'!$B$8/2)^2)-(((861-43)*MAX('Inputs'!$B$33,'Inputs'!$B$29+'Inputs'!$B$31+'Inputs'!$B$32,'Inputs'!$B$30+'Inputs'!$B$31+'Inputs'!$B$32)/1000+'Inputs'!$B$21+'Inputs'!$B$7+'Inputs'!$B$10))/SQRT((((861-43)*MAX('Inputs'!$B$33,'Inputs'!$B$29+'Inputs'!$B$31+'Inputs'!$B$32,'Inputs'!$B$30+'Inputs'!$B$31+'Inputs'!$B$32)/1000+'Inputs'!$B$21+'Inputs'!$B$7+'Inputs'!$B$10))^2+('Inputs'!$B$8/2)^2))))*'Results'!$B$8)-'Inputs'!$B$28*ABS((('Results'!B7*(1-'Inputs'!$B$24)*(0.5*((((861-43)*MAX('Inputs'!$B$33,'Inputs'!$B$29+'Inputs'!$B$31+'Inputs'!$B$32,'Inputs'!$B$30+'Inputs'!$B$31+'Inputs'!$B$32)/1000+'Inputs'!$B$21)+'Inputs'!$B$7)/SQRT((((861-43)*MAX('Inputs'!$B$33,'Inputs'!$B$29+'Inputs'!$B$31+'Inputs'!$B$32,'Inputs'!$B$30+'Inputs'!$B$31+'Inputs'!$B$32)/1000+'Inputs'!$B$21)+'Inputs'!$B$7)^2+('Inputs'!$B$6/2)^2)-(((861-43)*MAX('Inputs'!$B$33,'Inputs'!$B$29+'Inputs'!$B$31+'Inputs'!$B$32,'Inputs'!$B$30+'Inputs'!$B$31+'Inputs'!$B$32)/1000+'Inputs'!$B$21))/SQRT((((861-43)*MAX('Inputs'!$B$33,'Inputs'!$B$29+'Inputs'!$B$31+'Inputs'!$B$32,'Inputs'!$B$30+'Inputs'!$B$31+'Inputs'!$B$32)/1000+'Inputs'!$B$21))^2+('Inputs'!$B$6/2)^2)))-'Results'!C7*(1+'Inputs'!$B$24)*(0.5*((((861-43)*MAX('Inputs'!$B$33,'Inputs'!$B$29+'Inputs'!$B$31+'Inputs'!$B$32,'Inputs'!$B$30+'Inputs'!$B$31+'Inputs'!$B$32)/1000+'Inputs'!$B$21+'Inputs'!$B$7+'Inputs'!$B$10)+'Inputs'!$B$9)/SQRT((((861-43)*MAX('Inputs'!$B$33,'Inputs'!$B$29+'Inputs'!$B$31+'Inputs'!$B$32,'Inputs'!$B$30+'Inputs'!$B$31+'Inputs'!$B$32)/1000+'Inputs'!$B$21+'Inputs'!$B$7+'Inputs'!$B$10)+'Inputs'!$B$9)^2+('Inputs'!$B$8/2)^2)-(((861-43)*MAX('Inputs'!$B$33,'Inputs'!$B$29+'Inputs'!$B$31+'Inputs'!$B$32,'Inputs'!$B$30+'Inputs'!$B$31+'Inputs'!$B$32)/1000+'Inputs'!$B$21+'Inputs'!$B$7+'Inputs'!$B$10))/SQRT((((861-43)*MAX('Inputs'!$B$33,'Inputs'!$B$29+'Inputs'!$B$31+'Inputs'!$B$32,'Inputs'!$B$30+'Inputs'!$B$31+'Inputs'!$B$32)/1000+'Inputs'!$B$21+'Inputs'!$B$7+'Inputs'!$B$10))^2+('Inputs'!$B$8/2)^2))))*'Results'!$B$8))),"")</x:f>
        <x:v>0.6323578847821933</x:v>
      </x:c>
      <x:c r="L861" t="n">
        <x:f>IF(AND(ISNUMBER('Results'!B7),ISNUMBER('Results'!C7),ISNUMBER('Results'!$B$8),ISNUMBER('Inputs'!$B$6),ISNUMBER('Inputs'!$B$7),ISNUMBER('Inputs'!$B$8),ISNUMBER('Inputs'!$B$9),ISNUMBER('Inputs'!$B$10),ISNUMBER('Inputs'!$B$21),ISNUMBER('Inputs'!$B$24),ISNUMBER('Inputs'!$B$28)),((('Results'!B7*(1+'Inputs'!$B$24)*(0.5*((((861-43)*MAX('Inputs'!$B$33,'Inputs'!$B$29+'Inputs'!$B$31+'Inputs'!$B$32,'Inputs'!$B$30+'Inputs'!$B$31+'Inputs'!$B$32)/1000+'Inputs'!$B$21)+'Inputs'!$B$7)/SQRT((((861-43)*MAX('Inputs'!$B$33,'Inputs'!$B$29+'Inputs'!$B$31+'Inputs'!$B$32,'Inputs'!$B$30+'Inputs'!$B$31+'Inputs'!$B$32)/1000+'Inputs'!$B$21)+'Inputs'!$B$7)^2+('Inputs'!$B$6/2)^2)-(((861-43)*MAX('Inputs'!$B$33,'Inputs'!$B$29+'Inputs'!$B$31+'Inputs'!$B$32,'Inputs'!$B$30+'Inputs'!$B$31+'Inputs'!$B$32)/1000+'Inputs'!$B$21))/SQRT((((861-43)*MAX('Inputs'!$B$33,'Inputs'!$B$29+'Inputs'!$B$31+'Inputs'!$B$32,'Inputs'!$B$30+'Inputs'!$B$31+'Inputs'!$B$32)/1000+'Inputs'!$B$21))^2+('Inputs'!$B$6/2)^2)))-'Results'!C7*(1-'Inputs'!$B$24)*(0.5*((((861-43)*MAX('Inputs'!$B$33,'Inputs'!$B$29+'Inputs'!$B$31+'Inputs'!$B$32,'Inputs'!$B$30+'Inputs'!$B$31+'Inputs'!$B$32)/1000+'Inputs'!$B$21+'Inputs'!$B$7+'Inputs'!$B$10)+'Inputs'!$B$9)/SQRT((((861-43)*MAX('Inputs'!$B$33,'Inputs'!$B$29+'Inputs'!$B$31+'Inputs'!$B$32,'Inputs'!$B$30+'Inputs'!$B$31+'Inputs'!$B$32)/1000+'Inputs'!$B$21+'Inputs'!$B$7+'Inputs'!$B$10)+'Inputs'!$B$9)^2+('Inputs'!$B$8/2)^2)-(((861-43)*MAX('Inputs'!$B$33,'Inputs'!$B$29+'Inputs'!$B$31+'Inputs'!$B$32,'Inputs'!$B$30+'Inputs'!$B$31+'Inputs'!$B$32)/1000+'Inputs'!$B$21+'Inputs'!$B$7+'Inputs'!$B$10))/SQRT((((861-43)*MAX('Inputs'!$B$33,'Inputs'!$B$29+'Inputs'!$B$31+'Inputs'!$B$32,'Inputs'!$B$30+'Inputs'!$B$31+'Inputs'!$B$32)/1000+'Inputs'!$B$21+'Inputs'!$B$7+'Inputs'!$B$10))^2+('Inputs'!$B$8/2)^2))))*'Results'!$B$8)+'Inputs'!$B$28*ABS((('Results'!B7*(1+'Inputs'!$B$24)*(0.5*((((861-43)*MAX('Inputs'!$B$33,'Inputs'!$B$29+'Inputs'!$B$31+'Inputs'!$B$32,'Inputs'!$B$30+'Inputs'!$B$31+'Inputs'!$B$32)/1000+'Inputs'!$B$21)+'Inputs'!$B$7)/SQRT((((861-43)*MAX('Inputs'!$B$33,'Inputs'!$B$29+'Inputs'!$B$31+'Inputs'!$B$32,'Inputs'!$B$30+'Inputs'!$B$31+'Inputs'!$B$32)/1000+'Inputs'!$B$21)+'Inputs'!$B$7)^2+('Inputs'!$B$6/2)^2)-(((861-43)*MAX('Inputs'!$B$33,'Inputs'!$B$29+'Inputs'!$B$31+'Inputs'!$B$32,'Inputs'!$B$30+'Inputs'!$B$31+'Inputs'!$B$32)/1000+'Inputs'!$B$21))/SQRT((((861-43)*MAX('Inputs'!$B$33,'Inputs'!$B$29+'Inputs'!$B$31+'Inputs'!$B$32,'Inputs'!$B$30+'Inputs'!$B$31+'Inputs'!$B$32)/1000+'Inputs'!$B$21))^2+('Inputs'!$B$6/2)^2)))-'Results'!C7*(1-'Inputs'!$B$24)*(0.5*((((861-43)*MAX('Inputs'!$B$33,'Inputs'!$B$29+'Inputs'!$B$31+'Inputs'!$B$32,'Inputs'!$B$30+'Inputs'!$B$31+'Inputs'!$B$32)/1000+'Inputs'!$B$21+'Inputs'!$B$7+'Inputs'!$B$10)+'Inputs'!$B$9)/SQRT((((861-43)*MAX('Inputs'!$B$33,'Inputs'!$B$29+'Inputs'!$B$31+'Inputs'!$B$32,'Inputs'!$B$30+'Inputs'!$B$31+'Inputs'!$B$32)/1000+'Inputs'!$B$21+'Inputs'!$B$7+'Inputs'!$B$10)+'Inputs'!$B$9)^2+('Inputs'!$B$8/2)^2)-(((861-43)*MAX('Inputs'!$B$33,'Inputs'!$B$29+'Inputs'!$B$31+'Inputs'!$B$32,'Inputs'!$B$30+'Inputs'!$B$31+'Inputs'!$B$32)/1000+'Inputs'!$B$21+'Inputs'!$B$7+'Inputs'!$B$10))/SQRT((((861-43)*MAX('Inputs'!$B$33,'Inputs'!$B$29+'Inputs'!$B$31+'Inputs'!$B$32,'Inputs'!$B$30+'Inputs'!$B$31+'Inputs'!$B$32)/1000+'Inputs'!$B$21+'Inputs'!$B$7+'Inputs'!$B$10))^2+('Inputs'!$B$8/2)^2))))*'Results'!$B$8))),"")</x:f>
        <x:v>0.855560765943171</x:v>
      </x:c>
      <x:c r="M861" t="n">
        <x:f>IF(AND(ISNUMBER('Results'!C7),ISNUMBER('Results'!B7),ISNUMBER('Results'!$B$8),ISNUMBER('Inputs'!$B$6),ISNUMBER('Inputs'!$B$7),ISNUMBER('Inputs'!$B$8),ISNUMBER('Inputs'!$B$9),ISNUMBER('Inputs'!$B$10),ISNUMBER('Inputs'!$B$21),ISNUMBER('Inputs'!$B$24),ISNUMBER('Inputs'!$B$28)),(('Results'!C7*(0.5*((((861-43)*MAX('Inputs'!$B$33,'Inputs'!$B$29+'Inputs'!$B$31+'Inputs'!$B$32,'Inputs'!$B$30+'Inputs'!$B$31+'Inputs'!$B$32)/1000+'Inputs'!$B$21)+'Inputs'!$B$9)/SQRT((((861-43)*MAX('Inputs'!$B$33,'Inputs'!$B$29+'Inputs'!$B$31+'Inputs'!$B$32,'Inputs'!$B$30+'Inputs'!$B$31+'Inputs'!$B$32)/1000+'Inputs'!$B$21)+'Inputs'!$B$9)^2+('Inputs'!$B$8/2)^2)-(((861-43)*MAX('Inputs'!$B$33,'Inputs'!$B$29+'Inputs'!$B$31+'Inputs'!$B$32,'Inputs'!$B$30+'Inputs'!$B$31+'Inputs'!$B$32)/1000+'Inputs'!$B$21))/SQRT((((861-43)*MAX('Inputs'!$B$33,'Inputs'!$B$29+'Inputs'!$B$31+'Inputs'!$B$32,'Inputs'!$B$30+'Inputs'!$B$31+'Inputs'!$B$32)/1000+'Inputs'!$B$21))^2+('Inputs'!$B$8/2)^2)))-'Results'!B7*(0.5*((((861-43)*MAX('Inputs'!$B$33,'Inputs'!$B$29+'Inputs'!$B$31+'Inputs'!$B$32,'Inputs'!$B$30+'Inputs'!$B$31+'Inputs'!$B$32)/1000+'Inputs'!$B$21+'Inputs'!$B$9+'Inputs'!$B$10)+'Inputs'!$B$7)/SQRT((((861-43)*MAX('Inputs'!$B$33,'Inputs'!$B$29+'Inputs'!$B$31+'Inputs'!$B$32,'Inputs'!$B$30+'Inputs'!$B$31+'Inputs'!$B$32)/1000+'Inputs'!$B$21+'Inputs'!$B$9+'Inputs'!$B$10)+'Inputs'!$B$7)^2+('Inputs'!$B$6/2)^2)-(((861-43)*MAX('Inputs'!$B$33,'Inputs'!$B$29+'Inputs'!$B$31+'Inputs'!$B$32,'Inputs'!$B$30+'Inputs'!$B$31+'Inputs'!$B$32)/1000+'Inputs'!$B$21+'Inputs'!$B$9+'Inputs'!$B$10))/SQRT((((861-43)*MAX('Inputs'!$B$33,'Inputs'!$B$29+'Inputs'!$B$31+'Inputs'!$B$32,'Inputs'!$B$30+'Inputs'!$B$31+'Inputs'!$B$32)/1000+'Inputs'!$B$21+'Inputs'!$B$9+'Inputs'!$B$10))^2+('Inputs'!$B$6/2)^2))))*'Results'!$B$8),"")</x:f>
        <x:v>0.665029824099453</x:v>
      </x:c>
      <x:c r="N861" t="n">
        <x:f>IF(AND(ISNUMBER('Results'!C7),ISNUMBER('Results'!B7),ISNUMBER('Results'!$B$8),ISNUMBER('Inputs'!$B$6),ISNUMBER('Inputs'!$B$7),ISNUMBER('Inputs'!$B$8),ISNUMBER('Inputs'!$B$9),ISNUMBER('Inputs'!$B$10),ISNUMBER('Inputs'!$B$21),ISNUMBER('Inputs'!$B$24),ISNUMBER('Inputs'!$B$28)),((('Results'!C7*(1-'Inputs'!$B$24)*(0.5*((((861-43)*MAX('Inputs'!$B$33,'Inputs'!$B$29+'Inputs'!$B$31+'Inputs'!$B$32,'Inputs'!$B$30+'Inputs'!$B$31+'Inputs'!$B$32)/1000+'Inputs'!$B$21)+'Inputs'!$B$9)/SQRT((((861-43)*MAX('Inputs'!$B$33,'Inputs'!$B$29+'Inputs'!$B$31+'Inputs'!$B$32,'Inputs'!$B$30+'Inputs'!$B$31+'Inputs'!$B$32)/1000+'Inputs'!$B$21)+'Inputs'!$B$9)^2+('Inputs'!$B$8/2)^2)-(((861-43)*MAX('Inputs'!$B$33,'Inputs'!$B$29+'Inputs'!$B$31+'Inputs'!$B$32,'Inputs'!$B$30+'Inputs'!$B$31+'Inputs'!$B$32)/1000+'Inputs'!$B$21))/SQRT((((861-43)*MAX('Inputs'!$B$33,'Inputs'!$B$29+'Inputs'!$B$31+'Inputs'!$B$32,'Inputs'!$B$30+'Inputs'!$B$31+'Inputs'!$B$32)/1000+'Inputs'!$B$21))^2+('Inputs'!$B$8/2)^2)))-'Results'!B7*(1+'Inputs'!$B$24)*(0.5*((((861-43)*MAX('Inputs'!$B$33,'Inputs'!$B$29+'Inputs'!$B$31+'Inputs'!$B$32,'Inputs'!$B$30+'Inputs'!$B$31+'Inputs'!$B$32)/1000+'Inputs'!$B$21+'Inputs'!$B$9+'Inputs'!$B$10)+'Inputs'!$B$7)/SQRT((((861-43)*MAX('Inputs'!$B$33,'Inputs'!$B$29+'Inputs'!$B$31+'Inputs'!$B$32,'Inputs'!$B$30+'Inputs'!$B$31+'Inputs'!$B$32)/1000+'Inputs'!$B$21+'Inputs'!$B$9+'Inputs'!$B$10)+'Inputs'!$B$7)^2+('Inputs'!$B$6/2)^2)-(((861-43)*MAX('Inputs'!$B$33,'Inputs'!$B$29+'Inputs'!$B$31+'Inputs'!$B$32,'Inputs'!$B$30+'Inputs'!$B$31+'Inputs'!$B$32)/1000+'Inputs'!$B$21+'Inputs'!$B$9+'Inputs'!$B$10))/SQRT((((861-43)*MAX('Inputs'!$B$33,'Inputs'!$B$29+'Inputs'!$B$31+'Inputs'!$B$32,'Inputs'!$B$30+'Inputs'!$B$31+'Inputs'!$B$32)/1000+'Inputs'!$B$21+'Inputs'!$B$9+'Inputs'!$B$10))^2+('Inputs'!$B$6/2)^2))))*'Results'!$B$8)-'Inputs'!$B$28*ABS((('Results'!C7*(1-'Inputs'!$B$24)*(0.5*((((861-43)*MAX('Inputs'!$B$33,'Inputs'!$B$29+'Inputs'!$B$31+'Inputs'!$B$32,'Inputs'!$B$30+'Inputs'!$B$31+'Inputs'!$B$32)/1000+'Inputs'!$B$21)+'Inputs'!$B$9)/SQRT((((861-43)*MAX('Inputs'!$B$33,'Inputs'!$B$29+'Inputs'!$B$31+'Inputs'!$B$32,'Inputs'!$B$30+'Inputs'!$B$31+'Inputs'!$B$32)/1000+'Inputs'!$B$21)+'Inputs'!$B$9)^2+('Inputs'!$B$8/2)^2)-(((861-43)*MAX('Inputs'!$B$33,'Inputs'!$B$29+'Inputs'!$B$31+'Inputs'!$B$32,'Inputs'!$B$30+'Inputs'!$B$31+'Inputs'!$B$32)/1000+'Inputs'!$B$21))/SQRT((((861-43)*MAX('Inputs'!$B$33,'Inputs'!$B$29+'Inputs'!$B$31+'Inputs'!$B$32,'Inputs'!$B$30+'Inputs'!$B$31+'Inputs'!$B$32)/1000+'Inputs'!$B$21))^2+('Inputs'!$B$8/2)^2)))-'Results'!B7*(1+'Inputs'!$B$24)*(0.5*((((861-43)*MAX('Inputs'!$B$33,'Inputs'!$B$29+'Inputs'!$B$31+'Inputs'!$B$32,'Inputs'!$B$30+'Inputs'!$B$31+'Inputs'!$B$32)/1000+'Inputs'!$B$21+'Inputs'!$B$9+'Inputs'!$B$10)+'Inputs'!$B$7)/SQRT((((861-43)*MAX('Inputs'!$B$33,'Inputs'!$B$29+'Inputs'!$B$31+'Inputs'!$B$32,'Inputs'!$B$30+'Inputs'!$B$31+'Inputs'!$B$32)/1000+'Inputs'!$B$21+'Inputs'!$B$9+'Inputs'!$B$10)+'Inputs'!$B$7)^2+('Inputs'!$B$6/2)^2)-(((861-43)*MAX('Inputs'!$B$33,'Inputs'!$B$29+'Inputs'!$B$31+'Inputs'!$B$32,'Inputs'!$B$30+'Inputs'!$B$31+'Inputs'!$B$32)/1000+'Inputs'!$B$21+'Inputs'!$B$9+'Inputs'!$B$10))/SQRT((((861-43)*MAX('Inputs'!$B$33,'Inputs'!$B$29+'Inputs'!$B$31+'Inputs'!$B$32,'Inputs'!$B$30+'Inputs'!$B$31+'Inputs'!$B$32)/1000+'Inputs'!$B$21+'Inputs'!$B$9+'Inputs'!$B$10))^2+('Inputs'!$B$6/2)^2))))*'Results'!$B$8))),"")</x:f>
        <x:v>0.5611875774652773</x:v>
      </x:c>
      <x:c r="O861" t="n">
        <x:f>IF(AND(ISNUMBER('Results'!C7),ISNUMBER('Results'!B7),ISNUMBER('Results'!$B$8),ISNUMBER('Inputs'!$B$6),ISNUMBER('Inputs'!$B$7),ISNUMBER('Inputs'!$B$8),ISNUMBER('Inputs'!$B$9),ISNUMBER('Inputs'!$B$10),ISNUMBER('Inputs'!$B$21),ISNUMBER('Inputs'!$B$24),ISNUMBER('Inputs'!$B$28)),((('Results'!C7*(1+'Inputs'!$B$24)*(0.5*((((861-43)*MAX('Inputs'!$B$33,'Inputs'!$B$29+'Inputs'!$B$31+'Inputs'!$B$32,'Inputs'!$B$30+'Inputs'!$B$31+'Inputs'!$B$32)/1000+'Inputs'!$B$21)+'Inputs'!$B$9)/SQRT((((861-43)*MAX('Inputs'!$B$33,'Inputs'!$B$29+'Inputs'!$B$31+'Inputs'!$B$32,'Inputs'!$B$30+'Inputs'!$B$31+'Inputs'!$B$32)/1000+'Inputs'!$B$21)+'Inputs'!$B$9)^2+('Inputs'!$B$8/2)^2)-(((861-43)*MAX('Inputs'!$B$33,'Inputs'!$B$29+'Inputs'!$B$31+'Inputs'!$B$32,'Inputs'!$B$30+'Inputs'!$B$31+'Inputs'!$B$32)/1000+'Inputs'!$B$21))/SQRT((((861-43)*MAX('Inputs'!$B$33,'Inputs'!$B$29+'Inputs'!$B$31+'Inputs'!$B$32,'Inputs'!$B$30+'Inputs'!$B$31+'Inputs'!$B$32)/1000+'Inputs'!$B$21))^2+('Inputs'!$B$8/2)^2)))-'Results'!B7*(1-'Inputs'!$B$24)*(0.5*((((861-43)*MAX('Inputs'!$B$33,'Inputs'!$B$29+'Inputs'!$B$31+'Inputs'!$B$32,'Inputs'!$B$30+'Inputs'!$B$31+'Inputs'!$B$32)/1000+'Inputs'!$B$21+'Inputs'!$B$9+'Inputs'!$B$10)+'Inputs'!$B$7)/SQRT((((861-43)*MAX('Inputs'!$B$33,'Inputs'!$B$29+'Inputs'!$B$31+'Inputs'!$B$32,'Inputs'!$B$30+'Inputs'!$B$31+'Inputs'!$B$32)/1000+'Inputs'!$B$21+'Inputs'!$B$9+'Inputs'!$B$10)+'Inputs'!$B$7)^2+('Inputs'!$B$6/2)^2)-(((861-43)*MAX('Inputs'!$B$33,'Inputs'!$B$29+'Inputs'!$B$31+'Inputs'!$B$32,'Inputs'!$B$30+'Inputs'!$B$31+'Inputs'!$B$32)/1000+'Inputs'!$B$21+'Inputs'!$B$9+'Inputs'!$B$10))/SQRT((((861-43)*MAX('Inputs'!$B$33,'Inputs'!$B$29+'Inputs'!$B$31+'Inputs'!$B$32,'Inputs'!$B$30+'Inputs'!$B$31+'Inputs'!$B$32)/1000+'Inputs'!$B$21+'Inputs'!$B$9+'Inputs'!$B$10))^2+('Inputs'!$B$6/2)^2))))*'Results'!$B$8)+'Inputs'!$B$28*ABS((('Results'!C7*(1+'Inputs'!$B$24)*(0.5*((((861-43)*MAX('Inputs'!$B$33,'Inputs'!$B$29+'Inputs'!$B$31+'Inputs'!$B$32,'Inputs'!$B$30+'Inputs'!$B$31+'Inputs'!$B$32)/1000+'Inputs'!$B$21)+'Inputs'!$B$9)/SQRT((((861-43)*MAX('Inputs'!$B$33,'Inputs'!$B$29+'Inputs'!$B$31+'Inputs'!$B$32,'Inputs'!$B$30+'Inputs'!$B$31+'Inputs'!$B$32)/1000+'Inputs'!$B$21)+'Inputs'!$B$9)^2+('Inputs'!$B$8/2)^2)-(((861-43)*MAX('Inputs'!$B$33,'Inputs'!$B$29+'Inputs'!$B$31+'Inputs'!$B$32,'Inputs'!$B$30+'Inputs'!$B$31+'Inputs'!$B$32)/1000+'Inputs'!$B$21))/SQRT((((861-43)*MAX('Inputs'!$B$33,'Inputs'!$B$29+'Inputs'!$B$31+'Inputs'!$B$32,'Inputs'!$B$30+'Inputs'!$B$31+'Inputs'!$B$32)/1000+'Inputs'!$B$21))^2+('Inputs'!$B$8/2)^2)))-'Results'!B7*(1-'Inputs'!$B$24)*(0.5*((((861-43)*MAX('Inputs'!$B$33,'Inputs'!$B$29+'Inputs'!$B$31+'Inputs'!$B$32,'Inputs'!$B$30+'Inputs'!$B$31+'Inputs'!$B$32)/1000+'Inputs'!$B$21+'Inputs'!$B$9+'Inputs'!$B$10)+'Inputs'!$B$7)/SQRT((((861-43)*MAX('Inputs'!$B$33,'Inputs'!$B$29+'Inputs'!$B$31+'Inputs'!$B$32,'Inputs'!$B$30+'Inputs'!$B$31+'Inputs'!$B$32)/1000+'Inputs'!$B$21+'Inputs'!$B$9+'Inputs'!$B$10)+'Inputs'!$B$7)^2+('Inputs'!$B$6/2)^2)-(((861-43)*MAX('Inputs'!$B$33,'Inputs'!$B$29+'Inputs'!$B$31+'Inputs'!$B$32,'Inputs'!$B$30+'Inputs'!$B$31+'Inputs'!$B$32)/1000+'Inputs'!$B$21+'Inputs'!$B$9+'Inputs'!$B$10))/SQRT((((861-43)*MAX('Inputs'!$B$33,'Inputs'!$B$29+'Inputs'!$B$31+'Inputs'!$B$32,'Inputs'!$B$30+'Inputs'!$B$31+'Inputs'!$B$32)/1000+'Inputs'!$B$21+'Inputs'!$B$9+'Inputs'!$B$10))^2+('Inputs'!$B$6/2)^2))))*'Results'!$B$8))),"")</x:f>
        <x:v>0.7763026765682819</x:v>
      </x:c>
      <x:c r="P861" t="n">
        <x:f>IF(AND(MAX(J861,J860)&gt;0,J861&gt;J860+0.00000001),1,0)</x:f>
        <x:v>0</x:v>
      </x:c>
      <x:c r="Q861" t="n">
        <x:f>IF(AND(MAX(K861,K860)&gt;0,K861&gt;K860+0.00000001),1,0)</x:f>
        <x:v>0</x:v>
      </x:c>
      <x:c r="R861" t="n">
        <x:f>IF(AND(MAX(L861,L860)&gt;0,L861&gt;L860+0.00000001),1,0)</x:f>
        <x:v>0</x:v>
      </x:c>
      <x:c r="S861" t="n">
        <x:f>IF(AND(MAX(M861,M860)&gt;0,M861&gt;M860+0.00000001),1,0)</x:f>
        <x:v>0</x:v>
      </x:c>
      <x:c r="T861" t="n">
        <x:f>IF(AND(MAX(N861,N860)&gt;0,N861&gt;N860+0.00000001),1,0)</x:f>
        <x:v>0</x:v>
      </x:c>
      <x:c r="U861" t="n">
        <x:f>IF(AND(MAX(O861,O860)&gt;0,O861&gt;O860+0.00000001),1,0)</x:f>
        <x:v>0</x:v>
      </x:c>
    </x:row>
    <x:row r="862">
      <x:c r="J862" t="n">
        <x:f>IF(AND(ISNUMBER('Results'!B7),ISNUMBER('Results'!C7),ISNUMBER('Results'!$B$8),ISNUMBER('Inputs'!$B$6),ISNUMBER('Inputs'!$B$7),ISNUMBER('Inputs'!$B$8),ISNUMBER('Inputs'!$B$9),ISNUMBER('Inputs'!$B$10),ISNUMBER('Inputs'!$B$21),ISNUMBER('Inputs'!$B$24),ISNUMBER('Inputs'!$B$28)),(('Results'!B7*(0.5*((((862-43)*MAX('Inputs'!$B$33,'Inputs'!$B$29+'Inputs'!$B$31+'Inputs'!$B$32,'Inputs'!$B$30+'Inputs'!$B$31+'Inputs'!$B$32)/1000+'Inputs'!$B$21)+'Inputs'!$B$7)/SQRT((((862-43)*MAX('Inputs'!$B$33,'Inputs'!$B$29+'Inputs'!$B$31+'Inputs'!$B$32,'Inputs'!$B$30+'Inputs'!$B$31+'Inputs'!$B$32)/1000+'Inputs'!$B$21)+'Inputs'!$B$7)^2+('Inputs'!$B$6/2)^2)-(((862-43)*MAX('Inputs'!$B$33,'Inputs'!$B$29+'Inputs'!$B$31+'Inputs'!$B$32,'Inputs'!$B$30+'Inputs'!$B$31+'Inputs'!$B$32)/1000+'Inputs'!$B$21))/SQRT((((862-43)*MAX('Inputs'!$B$33,'Inputs'!$B$29+'Inputs'!$B$31+'Inputs'!$B$32,'Inputs'!$B$30+'Inputs'!$B$31+'Inputs'!$B$32)/1000+'Inputs'!$B$21))^2+('Inputs'!$B$6/2)^2)))-'Results'!C7*(0.5*((((862-43)*MAX('Inputs'!$B$33,'Inputs'!$B$29+'Inputs'!$B$31+'Inputs'!$B$32,'Inputs'!$B$30+'Inputs'!$B$31+'Inputs'!$B$32)/1000+'Inputs'!$B$21+'Inputs'!$B$7+'Inputs'!$B$10)+'Inputs'!$B$9)/SQRT((((862-43)*MAX('Inputs'!$B$33,'Inputs'!$B$29+'Inputs'!$B$31+'Inputs'!$B$32,'Inputs'!$B$30+'Inputs'!$B$31+'Inputs'!$B$32)/1000+'Inputs'!$B$21+'Inputs'!$B$7+'Inputs'!$B$10)+'Inputs'!$B$9)^2+('Inputs'!$B$8/2)^2)-(((862-43)*MAX('Inputs'!$B$33,'Inputs'!$B$29+'Inputs'!$B$31+'Inputs'!$B$32,'Inputs'!$B$30+'Inputs'!$B$31+'Inputs'!$B$32)/1000+'Inputs'!$B$21+'Inputs'!$B$7+'Inputs'!$B$10))/SQRT((((862-43)*MAX('Inputs'!$B$33,'Inputs'!$B$29+'Inputs'!$B$31+'Inputs'!$B$32,'Inputs'!$B$30+'Inputs'!$B$31+'Inputs'!$B$32)/1000+'Inputs'!$B$21+'Inputs'!$B$7+'Inputs'!$B$10))^2+('Inputs'!$B$8/2)^2))))*'Results'!$B$8),"")</x:f>
        <x:v>0.7369795824229995</x:v>
      </x:c>
      <x:c r="K862" t="n">
        <x:f>IF(AND(ISNUMBER('Results'!B7),ISNUMBER('Results'!C7),ISNUMBER('Results'!$B$8),ISNUMBER('Inputs'!$B$6),ISNUMBER('Inputs'!$B$7),ISNUMBER('Inputs'!$B$8),ISNUMBER('Inputs'!$B$9),ISNUMBER('Inputs'!$B$10),ISNUMBER('Inputs'!$B$21),ISNUMBER('Inputs'!$B$24),ISNUMBER('Inputs'!$B$28)),((('Results'!B7*(1-'Inputs'!$B$24)*(0.5*((((862-43)*MAX('Inputs'!$B$33,'Inputs'!$B$29+'Inputs'!$B$31+'Inputs'!$B$32,'Inputs'!$B$30+'Inputs'!$B$31+'Inputs'!$B$32)/1000+'Inputs'!$B$21)+'Inputs'!$B$7)/SQRT((((862-43)*MAX('Inputs'!$B$33,'Inputs'!$B$29+'Inputs'!$B$31+'Inputs'!$B$32,'Inputs'!$B$30+'Inputs'!$B$31+'Inputs'!$B$32)/1000+'Inputs'!$B$21)+'Inputs'!$B$7)^2+('Inputs'!$B$6/2)^2)-(((862-43)*MAX('Inputs'!$B$33,'Inputs'!$B$29+'Inputs'!$B$31+'Inputs'!$B$32,'Inputs'!$B$30+'Inputs'!$B$31+'Inputs'!$B$32)/1000+'Inputs'!$B$21))/SQRT((((862-43)*MAX('Inputs'!$B$33,'Inputs'!$B$29+'Inputs'!$B$31+'Inputs'!$B$32,'Inputs'!$B$30+'Inputs'!$B$31+'Inputs'!$B$32)/1000+'Inputs'!$B$21))^2+('Inputs'!$B$6/2)^2)))-'Results'!C7*(1+'Inputs'!$B$24)*(0.5*((((862-43)*MAX('Inputs'!$B$33,'Inputs'!$B$29+'Inputs'!$B$31+'Inputs'!$B$32,'Inputs'!$B$30+'Inputs'!$B$31+'Inputs'!$B$32)/1000+'Inputs'!$B$21+'Inputs'!$B$7+'Inputs'!$B$10)+'Inputs'!$B$9)/SQRT((((862-43)*MAX('Inputs'!$B$33,'Inputs'!$B$29+'Inputs'!$B$31+'Inputs'!$B$32,'Inputs'!$B$30+'Inputs'!$B$31+'Inputs'!$B$32)/1000+'Inputs'!$B$21+'Inputs'!$B$7+'Inputs'!$B$10)+'Inputs'!$B$9)^2+('Inputs'!$B$8/2)^2)-(((862-43)*MAX('Inputs'!$B$33,'Inputs'!$B$29+'Inputs'!$B$31+'Inputs'!$B$32,'Inputs'!$B$30+'Inputs'!$B$31+'Inputs'!$B$32)/1000+'Inputs'!$B$21+'Inputs'!$B$7+'Inputs'!$B$10))/SQRT((((862-43)*MAX('Inputs'!$B$33,'Inputs'!$B$29+'Inputs'!$B$31+'Inputs'!$B$32,'Inputs'!$B$30+'Inputs'!$B$31+'Inputs'!$B$32)/1000+'Inputs'!$B$21+'Inputs'!$B$7+'Inputs'!$B$10))^2+('Inputs'!$B$8/2)^2))))*'Results'!$B$8)-'Inputs'!$B$28*ABS((('Results'!B7*(1-'Inputs'!$B$24)*(0.5*((((862-43)*MAX('Inputs'!$B$33,'Inputs'!$B$29+'Inputs'!$B$31+'Inputs'!$B$32,'Inputs'!$B$30+'Inputs'!$B$31+'Inputs'!$B$32)/1000+'Inputs'!$B$21)+'Inputs'!$B$7)/SQRT((((862-43)*MAX('Inputs'!$B$33,'Inputs'!$B$29+'Inputs'!$B$31+'Inputs'!$B$32,'Inputs'!$B$30+'Inputs'!$B$31+'Inputs'!$B$32)/1000+'Inputs'!$B$21)+'Inputs'!$B$7)^2+('Inputs'!$B$6/2)^2)-(((862-43)*MAX('Inputs'!$B$33,'Inputs'!$B$29+'Inputs'!$B$31+'Inputs'!$B$32,'Inputs'!$B$30+'Inputs'!$B$31+'Inputs'!$B$32)/1000+'Inputs'!$B$21))/SQRT((((862-43)*MAX('Inputs'!$B$33,'Inputs'!$B$29+'Inputs'!$B$31+'Inputs'!$B$32,'Inputs'!$B$30+'Inputs'!$B$31+'Inputs'!$B$32)/1000+'Inputs'!$B$21))^2+('Inputs'!$B$6/2)^2)))-'Results'!C7*(1+'Inputs'!$B$24)*(0.5*((((862-43)*MAX('Inputs'!$B$33,'Inputs'!$B$29+'Inputs'!$B$31+'Inputs'!$B$32,'Inputs'!$B$30+'Inputs'!$B$31+'Inputs'!$B$32)/1000+'Inputs'!$B$21+'Inputs'!$B$7+'Inputs'!$B$10)+'Inputs'!$B$9)/SQRT((((862-43)*MAX('Inputs'!$B$33,'Inputs'!$B$29+'Inputs'!$B$31+'Inputs'!$B$32,'Inputs'!$B$30+'Inputs'!$B$31+'Inputs'!$B$32)/1000+'Inputs'!$B$21+'Inputs'!$B$7+'Inputs'!$B$10)+'Inputs'!$B$9)^2+('Inputs'!$B$8/2)^2)-(((862-43)*MAX('Inputs'!$B$33,'Inputs'!$B$29+'Inputs'!$B$31+'Inputs'!$B$32,'Inputs'!$B$30+'Inputs'!$B$31+'Inputs'!$B$32)/1000+'Inputs'!$B$21+'Inputs'!$B$7+'Inputs'!$B$10))/SQRT((((862-43)*MAX('Inputs'!$B$33,'Inputs'!$B$29+'Inputs'!$B$31+'Inputs'!$B$32,'Inputs'!$B$30+'Inputs'!$B$31+'Inputs'!$B$32)/1000+'Inputs'!$B$21+'Inputs'!$B$7+'Inputs'!$B$10))^2+('Inputs'!$B$8/2)^2))))*'Results'!$B$8))),"")</x:f>
        <x:v>0.6295092828671877</x:v>
      </x:c>
      <x:c r="L862" t="n">
        <x:f>IF(AND(ISNUMBER('Results'!B7),ISNUMBER('Results'!C7),ISNUMBER('Results'!$B$8),ISNUMBER('Inputs'!$B$6),ISNUMBER('Inputs'!$B$7),ISNUMBER('Inputs'!$B$8),ISNUMBER('Inputs'!$B$9),ISNUMBER('Inputs'!$B$10),ISNUMBER('Inputs'!$B$21),ISNUMBER('Inputs'!$B$24),ISNUMBER('Inputs'!$B$28)),((('Results'!B7*(1+'Inputs'!$B$24)*(0.5*((((862-43)*MAX('Inputs'!$B$33,'Inputs'!$B$29+'Inputs'!$B$31+'Inputs'!$B$32,'Inputs'!$B$30+'Inputs'!$B$31+'Inputs'!$B$32)/1000+'Inputs'!$B$21)+'Inputs'!$B$7)/SQRT((((862-43)*MAX('Inputs'!$B$33,'Inputs'!$B$29+'Inputs'!$B$31+'Inputs'!$B$32,'Inputs'!$B$30+'Inputs'!$B$31+'Inputs'!$B$32)/1000+'Inputs'!$B$21)+'Inputs'!$B$7)^2+('Inputs'!$B$6/2)^2)-(((862-43)*MAX('Inputs'!$B$33,'Inputs'!$B$29+'Inputs'!$B$31+'Inputs'!$B$32,'Inputs'!$B$30+'Inputs'!$B$31+'Inputs'!$B$32)/1000+'Inputs'!$B$21))/SQRT((((862-43)*MAX('Inputs'!$B$33,'Inputs'!$B$29+'Inputs'!$B$31+'Inputs'!$B$32,'Inputs'!$B$30+'Inputs'!$B$31+'Inputs'!$B$32)/1000+'Inputs'!$B$21))^2+('Inputs'!$B$6/2)^2)))-'Results'!C7*(1-'Inputs'!$B$24)*(0.5*((((862-43)*MAX('Inputs'!$B$33,'Inputs'!$B$29+'Inputs'!$B$31+'Inputs'!$B$32,'Inputs'!$B$30+'Inputs'!$B$31+'Inputs'!$B$32)/1000+'Inputs'!$B$21+'Inputs'!$B$7+'Inputs'!$B$10)+'Inputs'!$B$9)/SQRT((((862-43)*MAX('Inputs'!$B$33,'Inputs'!$B$29+'Inputs'!$B$31+'Inputs'!$B$32,'Inputs'!$B$30+'Inputs'!$B$31+'Inputs'!$B$32)/1000+'Inputs'!$B$21+'Inputs'!$B$7+'Inputs'!$B$10)+'Inputs'!$B$9)^2+('Inputs'!$B$8/2)^2)-(((862-43)*MAX('Inputs'!$B$33,'Inputs'!$B$29+'Inputs'!$B$31+'Inputs'!$B$32,'Inputs'!$B$30+'Inputs'!$B$31+'Inputs'!$B$32)/1000+'Inputs'!$B$21+'Inputs'!$B$7+'Inputs'!$B$10))/SQRT((((862-43)*MAX('Inputs'!$B$33,'Inputs'!$B$29+'Inputs'!$B$31+'Inputs'!$B$32,'Inputs'!$B$30+'Inputs'!$B$31+'Inputs'!$B$32)/1000+'Inputs'!$B$21+'Inputs'!$B$7+'Inputs'!$B$10))^2+('Inputs'!$B$8/2)^2))))*'Results'!$B$8)+'Inputs'!$B$28*ABS((('Results'!B7*(1+'Inputs'!$B$24)*(0.5*((((862-43)*MAX('Inputs'!$B$33,'Inputs'!$B$29+'Inputs'!$B$31+'Inputs'!$B$32,'Inputs'!$B$30+'Inputs'!$B$31+'Inputs'!$B$32)/1000+'Inputs'!$B$21)+'Inputs'!$B$7)/SQRT((((862-43)*MAX('Inputs'!$B$33,'Inputs'!$B$29+'Inputs'!$B$31+'Inputs'!$B$32,'Inputs'!$B$30+'Inputs'!$B$31+'Inputs'!$B$32)/1000+'Inputs'!$B$21)+'Inputs'!$B$7)^2+('Inputs'!$B$6/2)^2)-(((862-43)*MAX('Inputs'!$B$33,'Inputs'!$B$29+'Inputs'!$B$31+'Inputs'!$B$32,'Inputs'!$B$30+'Inputs'!$B$31+'Inputs'!$B$32)/1000+'Inputs'!$B$21))/SQRT((((862-43)*MAX('Inputs'!$B$33,'Inputs'!$B$29+'Inputs'!$B$31+'Inputs'!$B$32,'Inputs'!$B$30+'Inputs'!$B$31+'Inputs'!$B$32)/1000+'Inputs'!$B$21))^2+('Inputs'!$B$6/2)^2)))-'Results'!C7*(1-'Inputs'!$B$24)*(0.5*((((862-43)*MAX('Inputs'!$B$33,'Inputs'!$B$29+'Inputs'!$B$31+'Inputs'!$B$32,'Inputs'!$B$30+'Inputs'!$B$31+'Inputs'!$B$32)/1000+'Inputs'!$B$21+'Inputs'!$B$7+'Inputs'!$B$10)+'Inputs'!$B$9)/SQRT((((862-43)*MAX('Inputs'!$B$33,'Inputs'!$B$29+'Inputs'!$B$31+'Inputs'!$B$32,'Inputs'!$B$30+'Inputs'!$B$31+'Inputs'!$B$32)/1000+'Inputs'!$B$21+'Inputs'!$B$7+'Inputs'!$B$10)+'Inputs'!$B$9)^2+('Inputs'!$B$8/2)^2)-(((862-43)*MAX('Inputs'!$B$33,'Inputs'!$B$29+'Inputs'!$B$31+'Inputs'!$B$32,'Inputs'!$B$30+'Inputs'!$B$31+'Inputs'!$B$32)/1000+'Inputs'!$B$21+'Inputs'!$B$7+'Inputs'!$B$10))/SQRT((((862-43)*MAX('Inputs'!$B$33,'Inputs'!$B$29+'Inputs'!$B$31+'Inputs'!$B$32,'Inputs'!$B$30+'Inputs'!$B$31+'Inputs'!$B$32)/1000+'Inputs'!$B$21+'Inputs'!$B$7+'Inputs'!$B$10))^2+('Inputs'!$B$8/2)^2))))*'Results'!$B$8))),"")</x:f>
        <x:v>0.8518837051824601</x:v>
      </x:c>
      <x:c r="M862" t="n">
        <x:f>IF(AND(ISNUMBER('Results'!C7),ISNUMBER('Results'!B7),ISNUMBER('Results'!$B$8),ISNUMBER('Inputs'!$B$6),ISNUMBER('Inputs'!$B$7),ISNUMBER('Inputs'!$B$8),ISNUMBER('Inputs'!$B$9),ISNUMBER('Inputs'!$B$10),ISNUMBER('Inputs'!$B$21),ISNUMBER('Inputs'!$B$24),ISNUMBER('Inputs'!$B$28)),(('Results'!C7*(0.5*((((862-43)*MAX('Inputs'!$B$33,'Inputs'!$B$29+'Inputs'!$B$31+'Inputs'!$B$32,'Inputs'!$B$30+'Inputs'!$B$31+'Inputs'!$B$32)/1000+'Inputs'!$B$21)+'Inputs'!$B$9)/SQRT((((862-43)*MAX('Inputs'!$B$33,'Inputs'!$B$29+'Inputs'!$B$31+'Inputs'!$B$32,'Inputs'!$B$30+'Inputs'!$B$31+'Inputs'!$B$32)/1000+'Inputs'!$B$21)+'Inputs'!$B$9)^2+('Inputs'!$B$8/2)^2)-(((862-43)*MAX('Inputs'!$B$33,'Inputs'!$B$29+'Inputs'!$B$31+'Inputs'!$B$32,'Inputs'!$B$30+'Inputs'!$B$31+'Inputs'!$B$32)/1000+'Inputs'!$B$21))/SQRT((((862-43)*MAX('Inputs'!$B$33,'Inputs'!$B$29+'Inputs'!$B$31+'Inputs'!$B$32,'Inputs'!$B$30+'Inputs'!$B$31+'Inputs'!$B$32)/1000+'Inputs'!$B$21))^2+('Inputs'!$B$8/2)^2)))-'Results'!B7*(0.5*((((862-43)*MAX('Inputs'!$B$33,'Inputs'!$B$29+'Inputs'!$B$31+'Inputs'!$B$32,'Inputs'!$B$30+'Inputs'!$B$31+'Inputs'!$B$32)/1000+'Inputs'!$B$21+'Inputs'!$B$9+'Inputs'!$B$10)+'Inputs'!$B$7)/SQRT((((862-43)*MAX('Inputs'!$B$33,'Inputs'!$B$29+'Inputs'!$B$31+'Inputs'!$B$32,'Inputs'!$B$30+'Inputs'!$B$31+'Inputs'!$B$32)/1000+'Inputs'!$B$21+'Inputs'!$B$9+'Inputs'!$B$10)+'Inputs'!$B$7)^2+('Inputs'!$B$6/2)^2)-(((862-43)*MAX('Inputs'!$B$33,'Inputs'!$B$29+'Inputs'!$B$31+'Inputs'!$B$32,'Inputs'!$B$30+'Inputs'!$B$31+'Inputs'!$B$32)/1000+'Inputs'!$B$21+'Inputs'!$B$9+'Inputs'!$B$10))/SQRT((((862-43)*MAX('Inputs'!$B$33,'Inputs'!$B$29+'Inputs'!$B$31+'Inputs'!$B$32,'Inputs'!$B$30+'Inputs'!$B$31+'Inputs'!$B$32)/1000+'Inputs'!$B$21+'Inputs'!$B$9+'Inputs'!$B$10))^2+('Inputs'!$B$6/2)^2))))*'Results'!$B$8),"")</x:f>
        <x:v>0.6620332009947989</x:v>
      </x:c>
      <x:c r="N862" t="n">
        <x:f>IF(AND(ISNUMBER('Results'!C7),ISNUMBER('Results'!B7),ISNUMBER('Results'!$B$8),ISNUMBER('Inputs'!$B$6),ISNUMBER('Inputs'!$B$7),ISNUMBER('Inputs'!$B$8),ISNUMBER('Inputs'!$B$9),ISNUMBER('Inputs'!$B$10),ISNUMBER('Inputs'!$B$21),ISNUMBER('Inputs'!$B$24),ISNUMBER('Inputs'!$B$28)),((('Results'!C7*(1-'Inputs'!$B$24)*(0.5*((((862-43)*MAX('Inputs'!$B$33,'Inputs'!$B$29+'Inputs'!$B$31+'Inputs'!$B$32,'Inputs'!$B$30+'Inputs'!$B$31+'Inputs'!$B$32)/1000+'Inputs'!$B$21)+'Inputs'!$B$9)/SQRT((((862-43)*MAX('Inputs'!$B$33,'Inputs'!$B$29+'Inputs'!$B$31+'Inputs'!$B$32,'Inputs'!$B$30+'Inputs'!$B$31+'Inputs'!$B$32)/1000+'Inputs'!$B$21)+'Inputs'!$B$9)^2+('Inputs'!$B$8/2)^2)-(((862-43)*MAX('Inputs'!$B$33,'Inputs'!$B$29+'Inputs'!$B$31+'Inputs'!$B$32,'Inputs'!$B$30+'Inputs'!$B$31+'Inputs'!$B$32)/1000+'Inputs'!$B$21))/SQRT((((862-43)*MAX('Inputs'!$B$33,'Inputs'!$B$29+'Inputs'!$B$31+'Inputs'!$B$32,'Inputs'!$B$30+'Inputs'!$B$31+'Inputs'!$B$32)/1000+'Inputs'!$B$21))^2+('Inputs'!$B$8/2)^2)))-'Results'!B7*(1+'Inputs'!$B$24)*(0.5*((((862-43)*MAX('Inputs'!$B$33,'Inputs'!$B$29+'Inputs'!$B$31+'Inputs'!$B$32,'Inputs'!$B$30+'Inputs'!$B$31+'Inputs'!$B$32)/1000+'Inputs'!$B$21+'Inputs'!$B$9+'Inputs'!$B$10)+'Inputs'!$B$7)/SQRT((((862-43)*MAX('Inputs'!$B$33,'Inputs'!$B$29+'Inputs'!$B$31+'Inputs'!$B$32,'Inputs'!$B$30+'Inputs'!$B$31+'Inputs'!$B$32)/1000+'Inputs'!$B$21+'Inputs'!$B$9+'Inputs'!$B$10)+'Inputs'!$B$7)^2+('Inputs'!$B$6/2)^2)-(((862-43)*MAX('Inputs'!$B$33,'Inputs'!$B$29+'Inputs'!$B$31+'Inputs'!$B$32,'Inputs'!$B$30+'Inputs'!$B$31+'Inputs'!$B$32)/1000+'Inputs'!$B$21+'Inputs'!$B$9+'Inputs'!$B$10))/SQRT((((862-43)*MAX('Inputs'!$B$33,'Inputs'!$B$29+'Inputs'!$B$31+'Inputs'!$B$32,'Inputs'!$B$30+'Inputs'!$B$31+'Inputs'!$B$32)/1000+'Inputs'!$B$21+'Inputs'!$B$9+'Inputs'!$B$10))^2+('Inputs'!$B$6/2)^2))))*'Results'!$B$8)-'Inputs'!$B$28*ABS((('Results'!C7*(1-'Inputs'!$B$24)*(0.5*((((862-43)*MAX('Inputs'!$B$33,'Inputs'!$B$29+'Inputs'!$B$31+'Inputs'!$B$32,'Inputs'!$B$30+'Inputs'!$B$31+'Inputs'!$B$32)/1000+'Inputs'!$B$21)+'Inputs'!$B$9)/SQRT((((862-43)*MAX('Inputs'!$B$33,'Inputs'!$B$29+'Inputs'!$B$31+'Inputs'!$B$32,'Inputs'!$B$30+'Inputs'!$B$31+'Inputs'!$B$32)/1000+'Inputs'!$B$21)+'Inputs'!$B$9)^2+('Inputs'!$B$8/2)^2)-(((862-43)*MAX('Inputs'!$B$33,'Inputs'!$B$29+'Inputs'!$B$31+'Inputs'!$B$32,'Inputs'!$B$30+'Inputs'!$B$31+'Inputs'!$B$32)/1000+'Inputs'!$B$21))/SQRT((((862-43)*MAX('Inputs'!$B$33,'Inputs'!$B$29+'Inputs'!$B$31+'Inputs'!$B$32,'Inputs'!$B$30+'Inputs'!$B$31+'Inputs'!$B$32)/1000+'Inputs'!$B$21))^2+('Inputs'!$B$8/2)^2)))-'Results'!B7*(1+'Inputs'!$B$24)*(0.5*((((862-43)*MAX('Inputs'!$B$33,'Inputs'!$B$29+'Inputs'!$B$31+'Inputs'!$B$32,'Inputs'!$B$30+'Inputs'!$B$31+'Inputs'!$B$32)/1000+'Inputs'!$B$21+'Inputs'!$B$9+'Inputs'!$B$10)+'Inputs'!$B$7)/SQRT((((862-43)*MAX('Inputs'!$B$33,'Inputs'!$B$29+'Inputs'!$B$31+'Inputs'!$B$32,'Inputs'!$B$30+'Inputs'!$B$31+'Inputs'!$B$32)/1000+'Inputs'!$B$21+'Inputs'!$B$9+'Inputs'!$B$10)+'Inputs'!$B$7)^2+('Inputs'!$B$6/2)^2)-(((862-43)*MAX('Inputs'!$B$33,'Inputs'!$B$29+'Inputs'!$B$31+'Inputs'!$B$32,'Inputs'!$B$30+'Inputs'!$B$31+'Inputs'!$B$32)/1000+'Inputs'!$B$21+'Inputs'!$B$9+'Inputs'!$B$10))/SQRT((((862-43)*MAX('Inputs'!$B$33,'Inputs'!$B$29+'Inputs'!$B$31+'Inputs'!$B$32,'Inputs'!$B$30+'Inputs'!$B$31+'Inputs'!$B$32)/1000+'Inputs'!$B$21+'Inputs'!$B$9+'Inputs'!$B$10))^2+('Inputs'!$B$6/2)^2))))*'Results'!$B$8))),"")</x:f>
        <x:v>0.558578717913275</x:v>
      </x:c>
      <x:c r="O862" t="n">
        <x:f>IF(AND(ISNUMBER('Results'!C7),ISNUMBER('Results'!B7),ISNUMBER('Results'!$B$8),ISNUMBER('Inputs'!$B$6),ISNUMBER('Inputs'!$B$7),ISNUMBER('Inputs'!$B$8),ISNUMBER('Inputs'!$B$9),ISNUMBER('Inputs'!$B$10),ISNUMBER('Inputs'!$B$21),ISNUMBER('Inputs'!$B$24),ISNUMBER('Inputs'!$B$28)),((('Results'!C7*(1+'Inputs'!$B$24)*(0.5*((((862-43)*MAX('Inputs'!$B$33,'Inputs'!$B$29+'Inputs'!$B$31+'Inputs'!$B$32,'Inputs'!$B$30+'Inputs'!$B$31+'Inputs'!$B$32)/1000+'Inputs'!$B$21)+'Inputs'!$B$9)/SQRT((((862-43)*MAX('Inputs'!$B$33,'Inputs'!$B$29+'Inputs'!$B$31+'Inputs'!$B$32,'Inputs'!$B$30+'Inputs'!$B$31+'Inputs'!$B$32)/1000+'Inputs'!$B$21)+'Inputs'!$B$9)^2+('Inputs'!$B$8/2)^2)-(((862-43)*MAX('Inputs'!$B$33,'Inputs'!$B$29+'Inputs'!$B$31+'Inputs'!$B$32,'Inputs'!$B$30+'Inputs'!$B$31+'Inputs'!$B$32)/1000+'Inputs'!$B$21))/SQRT((((862-43)*MAX('Inputs'!$B$33,'Inputs'!$B$29+'Inputs'!$B$31+'Inputs'!$B$32,'Inputs'!$B$30+'Inputs'!$B$31+'Inputs'!$B$32)/1000+'Inputs'!$B$21))^2+('Inputs'!$B$8/2)^2)))-'Results'!B7*(1-'Inputs'!$B$24)*(0.5*((((862-43)*MAX('Inputs'!$B$33,'Inputs'!$B$29+'Inputs'!$B$31+'Inputs'!$B$32,'Inputs'!$B$30+'Inputs'!$B$31+'Inputs'!$B$32)/1000+'Inputs'!$B$21+'Inputs'!$B$9+'Inputs'!$B$10)+'Inputs'!$B$7)/SQRT((((862-43)*MAX('Inputs'!$B$33,'Inputs'!$B$29+'Inputs'!$B$31+'Inputs'!$B$32,'Inputs'!$B$30+'Inputs'!$B$31+'Inputs'!$B$32)/1000+'Inputs'!$B$21+'Inputs'!$B$9+'Inputs'!$B$10)+'Inputs'!$B$7)^2+('Inputs'!$B$6/2)^2)-(((862-43)*MAX('Inputs'!$B$33,'Inputs'!$B$29+'Inputs'!$B$31+'Inputs'!$B$32,'Inputs'!$B$30+'Inputs'!$B$31+'Inputs'!$B$32)/1000+'Inputs'!$B$21+'Inputs'!$B$9+'Inputs'!$B$10))/SQRT((((862-43)*MAX('Inputs'!$B$33,'Inputs'!$B$29+'Inputs'!$B$31+'Inputs'!$B$32,'Inputs'!$B$30+'Inputs'!$B$31+'Inputs'!$B$32)/1000+'Inputs'!$B$21+'Inputs'!$B$9+'Inputs'!$B$10))^2+('Inputs'!$B$6/2)^2))))*'Results'!$B$8)+'Inputs'!$B$28*ABS((('Results'!C7*(1+'Inputs'!$B$24)*(0.5*((((862-43)*MAX('Inputs'!$B$33,'Inputs'!$B$29+'Inputs'!$B$31+'Inputs'!$B$32,'Inputs'!$B$30+'Inputs'!$B$31+'Inputs'!$B$32)/1000+'Inputs'!$B$21)+'Inputs'!$B$9)/SQRT((((862-43)*MAX('Inputs'!$B$33,'Inputs'!$B$29+'Inputs'!$B$31+'Inputs'!$B$32,'Inputs'!$B$30+'Inputs'!$B$31+'Inputs'!$B$32)/1000+'Inputs'!$B$21)+'Inputs'!$B$9)^2+('Inputs'!$B$8/2)^2)-(((862-43)*MAX('Inputs'!$B$33,'Inputs'!$B$29+'Inputs'!$B$31+'Inputs'!$B$32,'Inputs'!$B$30+'Inputs'!$B$31+'Inputs'!$B$32)/1000+'Inputs'!$B$21))/SQRT((((862-43)*MAX('Inputs'!$B$33,'Inputs'!$B$29+'Inputs'!$B$31+'Inputs'!$B$32,'Inputs'!$B$30+'Inputs'!$B$31+'Inputs'!$B$32)/1000+'Inputs'!$B$21))^2+('Inputs'!$B$8/2)^2)))-'Results'!B7*(1-'Inputs'!$B$24)*(0.5*((((862-43)*MAX('Inputs'!$B$33,'Inputs'!$B$29+'Inputs'!$B$31+'Inputs'!$B$32,'Inputs'!$B$30+'Inputs'!$B$31+'Inputs'!$B$32)/1000+'Inputs'!$B$21+'Inputs'!$B$9+'Inputs'!$B$10)+'Inputs'!$B$7)/SQRT((((862-43)*MAX('Inputs'!$B$33,'Inputs'!$B$29+'Inputs'!$B$31+'Inputs'!$B$32,'Inputs'!$B$30+'Inputs'!$B$31+'Inputs'!$B$32)/1000+'Inputs'!$B$21+'Inputs'!$B$9+'Inputs'!$B$10)+'Inputs'!$B$7)^2+('Inputs'!$B$6/2)^2)-(((862-43)*MAX('Inputs'!$B$33,'Inputs'!$B$29+'Inputs'!$B$31+'Inputs'!$B$32,'Inputs'!$B$30+'Inputs'!$B$31+'Inputs'!$B$32)/1000+'Inputs'!$B$21+'Inputs'!$B$9+'Inputs'!$B$10))/SQRT((((862-43)*MAX('Inputs'!$B$33,'Inputs'!$B$29+'Inputs'!$B$31+'Inputs'!$B$32,'Inputs'!$B$30+'Inputs'!$B$31+'Inputs'!$B$32)/1000+'Inputs'!$B$21+'Inputs'!$B$9+'Inputs'!$B$10))^2+('Inputs'!$B$6/2)^2))))*'Results'!$B$8))),"")</x:f>
        <x:v>0.772893244395458</x:v>
      </x:c>
      <x:c r="P862" t="n">
        <x:f>IF(AND(MAX(J862,J861)&gt;0,J862&gt;J861+0.00000001),1,0)</x:f>
        <x:v>0</x:v>
      </x:c>
      <x:c r="Q862" t="n">
        <x:f>IF(AND(MAX(K862,K861)&gt;0,K862&gt;K861+0.00000001),1,0)</x:f>
        <x:v>0</x:v>
      </x:c>
      <x:c r="R862" t="n">
        <x:f>IF(AND(MAX(L862,L861)&gt;0,L862&gt;L861+0.00000001),1,0)</x:f>
        <x:v>0</x:v>
      </x:c>
      <x:c r="S862" t="n">
        <x:f>IF(AND(MAX(M862,M861)&gt;0,M862&gt;M861+0.00000001),1,0)</x:f>
        <x:v>0</x:v>
      </x:c>
      <x:c r="T862" t="n">
        <x:f>IF(AND(MAX(N862,N861)&gt;0,N862&gt;N861+0.00000001),1,0)</x:f>
        <x:v>0</x:v>
      </x:c>
      <x:c r="U862" t="n">
        <x:f>IF(AND(MAX(O862,O861)&gt;0,O862&gt;O861+0.00000001),1,0)</x:f>
        <x:v>0</x:v>
      </x:c>
    </x:row>
    <x:row r="863">
      <x:c r="J863" t="n">
        <x:f>IF(AND(ISNUMBER('Results'!B7),ISNUMBER('Results'!C7),ISNUMBER('Results'!$B$8),ISNUMBER('Inputs'!$B$6),ISNUMBER('Inputs'!$B$7),ISNUMBER('Inputs'!$B$8),ISNUMBER('Inputs'!$B$9),ISNUMBER('Inputs'!$B$10),ISNUMBER('Inputs'!$B$21),ISNUMBER('Inputs'!$B$24),ISNUMBER('Inputs'!$B$28)),(('Results'!B7*(0.5*((((863-43)*MAX('Inputs'!$B$33,'Inputs'!$B$29+'Inputs'!$B$31+'Inputs'!$B$32,'Inputs'!$B$30+'Inputs'!$B$31+'Inputs'!$B$32)/1000+'Inputs'!$B$21)+'Inputs'!$B$7)/SQRT((((863-43)*MAX('Inputs'!$B$33,'Inputs'!$B$29+'Inputs'!$B$31+'Inputs'!$B$32,'Inputs'!$B$30+'Inputs'!$B$31+'Inputs'!$B$32)/1000+'Inputs'!$B$21)+'Inputs'!$B$7)^2+('Inputs'!$B$6/2)^2)-(((863-43)*MAX('Inputs'!$B$33,'Inputs'!$B$29+'Inputs'!$B$31+'Inputs'!$B$32,'Inputs'!$B$30+'Inputs'!$B$31+'Inputs'!$B$32)/1000+'Inputs'!$B$21))/SQRT((((863-43)*MAX('Inputs'!$B$33,'Inputs'!$B$29+'Inputs'!$B$31+'Inputs'!$B$32,'Inputs'!$B$30+'Inputs'!$B$31+'Inputs'!$B$32)/1000+'Inputs'!$B$21))^2+('Inputs'!$B$6/2)^2)))-'Results'!C7*(0.5*((((863-43)*MAX('Inputs'!$B$33,'Inputs'!$B$29+'Inputs'!$B$31+'Inputs'!$B$32,'Inputs'!$B$30+'Inputs'!$B$31+'Inputs'!$B$32)/1000+'Inputs'!$B$21+'Inputs'!$B$7+'Inputs'!$B$10)+'Inputs'!$B$9)/SQRT((((863-43)*MAX('Inputs'!$B$33,'Inputs'!$B$29+'Inputs'!$B$31+'Inputs'!$B$32,'Inputs'!$B$30+'Inputs'!$B$31+'Inputs'!$B$32)/1000+'Inputs'!$B$21+'Inputs'!$B$7+'Inputs'!$B$10)+'Inputs'!$B$9)^2+('Inputs'!$B$8/2)^2)-(((863-43)*MAX('Inputs'!$B$33,'Inputs'!$B$29+'Inputs'!$B$31+'Inputs'!$B$32,'Inputs'!$B$30+'Inputs'!$B$31+'Inputs'!$B$32)/1000+'Inputs'!$B$21+'Inputs'!$B$7+'Inputs'!$B$10))/SQRT((((863-43)*MAX('Inputs'!$B$33,'Inputs'!$B$29+'Inputs'!$B$31+'Inputs'!$B$32,'Inputs'!$B$30+'Inputs'!$B$31+'Inputs'!$B$32)/1000+'Inputs'!$B$21+'Inputs'!$B$7+'Inputs'!$B$10))^2+('Inputs'!$B$8/2)^2))))*'Results'!$B$8),"")</x:f>
        <x:v>0.7337472346462818</x:v>
      </x:c>
      <x:c r="K863" t="n">
        <x:f>IF(AND(ISNUMBER('Results'!B7),ISNUMBER('Results'!C7),ISNUMBER('Results'!$B$8),ISNUMBER('Inputs'!$B$6),ISNUMBER('Inputs'!$B$7),ISNUMBER('Inputs'!$B$8),ISNUMBER('Inputs'!$B$9),ISNUMBER('Inputs'!$B$10),ISNUMBER('Inputs'!$B$21),ISNUMBER('Inputs'!$B$24),ISNUMBER('Inputs'!$B$28)),((('Results'!B7*(1-'Inputs'!$B$24)*(0.5*((((863-43)*MAX('Inputs'!$B$33,'Inputs'!$B$29+'Inputs'!$B$31+'Inputs'!$B$32,'Inputs'!$B$30+'Inputs'!$B$31+'Inputs'!$B$32)/1000+'Inputs'!$B$21)+'Inputs'!$B$7)/SQRT((((863-43)*MAX('Inputs'!$B$33,'Inputs'!$B$29+'Inputs'!$B$31+'Inputs'!$B$32,'Inputs'!$B$30+'Inputs'!$B$31+'Inputs'!$B$32)/1000+'Inputs'!$B$21)+'Inputs'!$B$7)^2+('Inputs'!$B$6/2)^2)-(((863-43)*MAX('Inputs'!$B$33,'Inputs'!$B$29+'Inputs'!$B$31+'Inputs'!$B$32,'Inputs'!$B$30+'Inputs'!$B$31+'Inputs'!$B$32)/1000+'Inputs'!$B$21))/SQRT((((863-43)*MAX('Inputs'!$B$33,'Inputs'!$B$29+'Inputs'!$B$31+'Inputs'!$B$32,'Inputs'!$B$30+'Inputs'!$B$31+'Inputs'!$B$32)/1000+'Inputs'!$B$21))^2+('Inputs'!$B$6/2)^2)))-'Results'!C7*(1+'Inputs'!$B$24)*(0.5*((((863-43)*MAX('Inputs'!$B$33,'Inputs'!$B$29+'Inputs'!$B$31+'Inputs'!$B$32,'Inputs'!$B$30+'Inputs'!$B$31+'Inputs'!$B$32)/1000+'Inputs'!$B$21+'Inputs'!$B$7+'Inputs'!$B$10)+'Inputs'!$B$9)/SQRT((((863-43)*MAX('Inputs'!$B$33,'Inputs'!$B$29+'Inputs'!$B$31+'Inputs'!$B$32,'Inputs'!$B$30+'Inputs'!$B$31+'Inputs'!$B$32)/1000+'Inputs'!$B$21+'Inputs'!$B$7+'Inputs'!$B$10)+'Inputs'!$B$9)^2+('Inputs'!$B$8/2)^2)-(((863-43)*MAX('Inputs'!$B$33,'Inputs'!$B$29+'Inputs'!$B$31+'Inputs'!$B$32,'Inputs'!$B$30+'Inputs'!$B$31+'Inputs'!$B$32)/1000+'Inputs'!$B$21+'Inputs'!$B$7+'Inputs'!$B$10))/SQRT((((863-43)*MAX('Inputs'!$B$33,'Inputs'!$B$29+'Inputs'!$B$31+'Inputs'!$B$32,'Inputs'!$B$30+'Inputs'!$B$31+'Inputs'!$B$32)/1000+'Inputs'!$B$21+'Inputs'!$B$7+'Inputs'!$B$10))^2+('Inputs'!$B$8/2)^2))))*'Results'!$B$8)-'Inputs'!$B$28*ABS((('Results'!B7*(1-'Inputs'!$B$24)*(0.5*((((863-43)*MAX('Inputs'!$B$33,'Inputs'!$B$29+'Inputs'!$B$31+'Inputs'!$B$32,'Inputs'!$B$30+'Inputs'!$B$31+'Inputs'!$B$32)/1000+'Inputs'!$B$21)+'Inputs'!$B$7)/SQRT((((863-43)*MAX('Inputs'!$B$33,'Inputs'!$B$29+'Inputs'!$B$31+'Inputs'!$B$32,'Inputs'!$B$30+'Inputs'!$B$31+'Inputs'!$B$32)/1000+'Inputs'!$B$21)+'Inputs'!$B$7)^2+('Inputs'!$B$6/2)^2)-(((863-43)*MAX('Inputs'!$B$33,'Inputs'!$B$29+'Inputs'!$B$31+'Inputs'!$B$32,'Inputs'!$B$30+'Inputs'!$B$31+'Inputs'!$B$32)/1000+'Inputs'!$B$21))/SQRT((((863-43)*MAX('Inputs'!$B$33,'Inputs'!$B$29+'Inputs'!$B$31+'Inputs'!$B$32,'Inputs'!$B$30+'Inputs'!$B$31+'Inputs'!$B$32)/1000+'Inputs'!$B$21))^2+('Inputs'!$B$6/2)^2)))-'Results'!C7*(1+'Inputs'!$B$24)*(0.5*((((863-43)*MAX('Inputs'!$B$33,'Inputs'!$B$29+'Inputs'!$B$31+'Inputs'!$B$32,'Inputs'!$B$30+'Inputs'!$B$31+'Inputs'!$B$32)/1000+'Inputs'!$B$21+'Inputs'!$B$7+'Inputs'!$B$10)+'Inputs'!$B$9)/SQRT((((863-43)*MAX('Inputs'!$B$33,'Inputs'!$B$29+'Inputs'!$B$31+'Inputs'!$B$32,'Inputs'!$B$30+'Inputs'!$B$31+'Inputs'!$B$32)/1000+'Inputs'!$B$21+'Inputs'!$B$7+'Inputs'!$B$10)+'Inputs'!$B$9)^2+('Inputs'!$B$8/2)^2)-(((863-43)*MAX('Inputs'!$B$33,'Inputs'!$B$29+'Inputs'!$B$31+'Inputs'!$B$32,'Inputs'!$B$30+'Inputs'!$B$31+'Inputs'!$B$32)/1000+'Inputs'!$B$21+'Inputs'!$B$7+'Inputs'!$B$10))/SQRT((((863-43)*MAX('Inputs'!$B$33,'Inputs'!$B$29+'Inputs'!$B$31+'Inputs'!$B$32,'Inputs'!$B$30+'Inputs'!$B$31+'Inputs'!$B$32)/1000+'Inputs'!$B$21+'Inputs'!$B$7+'Inputs'!$B$10))^2+('Inputs'!$B$8/2)^2))))*'Results'!$B$8))),"")</x:f>
        <x:v>0.6266766070483603</x:v>
      </x:c>
      <x:c r="L863" t="n">
        <x:f>IF(AND(ISNUMBER('Results'!B7),ISNUMBER('Results'!C7),ISNUMBER('Results'!$B$8),ISNUMBER('Inputs'!$B$6),ISNUMBER('Inputs'!$B$7),ISNUMBER('Inputs'!$B$8),ISNUMBER('Inputs'!$B$9),ISNUMBER('Inputs'!$B$10),ISNUMBER('Inputs'!$B$21),ISNUMBER('Inputs'!$B$24),ISNUMBER('Inputs'!$B$28)),((('Results'!B7*(1+'Inputs'!$B$24)*(0.5*((((863-43)*MAX('Inputs'!$B$33,'Inputs'!$B$29+'Inputs'!$B$31+'Inputs'!$B$32,'Inputs'!$B$30+'Inputs'!$B$31+'Inputs'!$B$32)/1000+'Inputs'!$B$21)+'Inputs'!$B$7)/SQRT((((863-43)*MAX('Inputs'!$B$33,'Inputs'!$B$29+'Inputs'!$B$31+'Inputs'!$B$32,'Inputs'!$B$30+'Inputs'!$B$31+'Inputs'!$B$32)/1000+'Inputs'!$B$21)+'Inputs'!$B$7)^2+('Inputs'!$B$6/2)^2)-(((863-43)*MAX('Inputs'!$B$33,'Inputs'!$B$29+'Inputs'!$B$31+'Inputs'!$B$32,'Inputs'!$B$30+'Inputs'!$B$31+'Inputs'!$B$32)/1000+'Inputs'!$B$21))/SQRT((((863-43)*MAX('Inputs'!$B$33,'Inputs'!$B$29+'Inputs'!$B$31+'Inputs'!$B$32,'Inputs'!$B$30+'Inputs'!$B$31+'Inputs'!$B$32)/1000+'Inputs'!$B$21))^2+('Inputs'!$B$6/2)^2)))-'Results'!C7*(1-'Inputs'!$B$24)*(0.5*((((863-43)*MAX('Inputs'!$B$33,'Inputs'!$B$29+'Inputs'!$B$31+'Inputs'!$B$32,'Inputs'!$B$30+'Inputs'!$B$31+'Inputs'!$B$32)/1000+'Inputs'!$B$21+'Inputs'!$B$7+'Inputs'!$B$10)+'Inputs'!$B$9)/SQRT((((863-43)*MAX('Inputs'!$B$33,'Inputs'!$B$29+'Inputs'!$B$31+'Inputs'!$B$32,'Inputs'!$B$30+'Inputs'!$B$31+'Inputs'!$B$32)/1000+'Inputs'!$B$21+'Inputs'!$B$7+'Inputs'!$B$10)+'Inputs'!$B$9)^2+('Inputs'!$B$8/2)^2)-(((863-43)*MAX('Inputs'!$B$33,'Inputs'!$B$29+'Inputs'!$B$31+'Inputs'!$B$32,'Inputs'!$B$30+'Inputs'!$B$31+'Inputs'!$B$32)/1000+'Inputs'!$B$21+'Inputs'!$B$7+'Inputs'!$B$10))/SQRT((((863-43)*MAX('Inputs'!$B$33,'Inputs'!$B$29+'Inputs'!$B$31+'Inputs'!$B$32,'Inputs'!$B$30+'Inputs'!$B$31+'Inputs'!$B$32)/1000+'Inputs'!$B$21+'Inputs'!$B$7+'Inputs'!$B$10))^2+('Inputs'!$B$8/2)^2))))*'Results'!$B$8)+'Inputs'!$B$28*ABS((('Results'!B7*(1+'Inputs'!$B$24)*(0.5*((((863-43)*MAX('Inputs'!$B$33,'Inputs'!$B$29+'Inputs'!$B$31+'Inputs'!$B$32,'Inputs'!$B$30+'Inputs'!$B$31+'Inputs'!$B$32)/1000+'Inputs'!$B$21)+'Inputs'!$B$7)/SQRT((((863-43)*MAX('Inputs'!$B$33,'Inputs'!$B$29+'Inputs'!$B$31+'Inputs'!$B$32,'Inputs'!$B$30+'Inputs'!$B$31+'Inputs'!$B$32)/1000+'Inputs'!$B$21)+'Inputs'!$B$7)^2+('Inputs'!$B$6/2)^2)-(((863-43)*MAX('Inputs'!$B$33,'Inputs'!$B$29+'Inputs'!$B$31+'Inputs'!$B$32,'Inputs'!$B$30+'Inputs'!$B$31+'Inputs'!$B$32)/1000+'Inputs'!$B$21))/SQRT((((863-43)*MAX('Inputs'!$B$33,'Inputs'!$B$29+'Inputs'!$B$31+'Inputs'!$B$32,'Inputs'!$B$30+'Inputs'!$B$31+'Inputs'!$B$32)/1000+'Inputs'!$B$21))^2+('Inputs'!$B$6/2)^2)))-'Results'!C7*(1-'Inputs'!$B$24)*(0.5*((((863-43)*MAX('Inputs'!$B$33,'Inputs'!$B$29+'Inputs'!$B$31+'Inputs'!$B$32,'Inputs'!$B$30+'Inputs'!$B$31+'Inputs'!$B$32)/1000+'Inputs'!$B$21+'Inputs'!$B$7+'Inputs'!$B$10)+'Inputs'!$B$9)/SQRT((((863-43)*MAX('Inputs'!$B$33,'Inputs'!$B$29+'Inputs'!$B$31+'Inputs'!$B$32,'Inputs'!$B$30+'Inputs'!$B$31+'Inputs'!$B$32)/1000+'Inputs'!$B$21+'Inputs'!$B$7+'Inputs'!$B$10)+'Inputs'!$B$9)^2+('Inputs'!$B$8/2)^2)-(((863-43)*MAX('Inputs'!$B$33,'Inputs'!$B$29+'Inputs'!$B$31+'Inputs'!$B$32,'Inputs'!$B$30+'Inputs'!$B$31+'Inputs'!$B$32)/1000+'Inputs'!$B$21+'Inputs'!$B$7+'Inputs'!$B$10))/SQRT((((863-43)*MAX('Inputs'!$B$33,'Inputs'!$B$29+'Inputs'!$B$31+'Inputs'!$B$32,'Inputs'!$B$30+'Inputs'!$B$31+'Inputs'!$B$32)/1000+'Inputs'!$B$21+'Inputs'!$B$7+'Inputs'!$B$10))^2+('Inputs'!$B$8/2)^2))))*'Results'!$B$8))),"")</x:f>
        <x:v>0.8482266270721618</x:v>
      </x:c>
      <x:c r="M863" t="n">
        <x:f>IF(AND(ISNUMBER('Results'!C7),ISNUMBER('Results'!B7),ISNUMBER('Results'!$B$8),ISNUMBER('Inputs'!$B$6),ISNUMBER('Inputs'!$B$7),ISNUMBER('Inputs'!$B$8),ISNUMBER('Inputs'!$B$9),ISNUMBER('Inputs'!$B$10),ISNUMBER('Inputs'!$B$21),ISNUMBER('Inputs'!$B$24),ISNUMBER('Inputs'!$B$28)),(('Results'!C7*(0.5*((((863-43)*MAX('Inputs'!$B$33,'Inputs'!$B$29+'Inputs'!$B$31+'Inputs'!$B$32,'Inputs'!$B$30+'Inputs'!$B$31+'Inputs'!$B$32)/1000+'Inputs'!$B$21)+'Inputs'!$B$9)/SQRT((((863-43)*MAX('Inputs'!$B$33,'Inputs'!$B$29+'Inputs'!$B$31+'Inputs'!$B$32,'Inputs'!$B$30+'Inputs'!$B$31+'Inputs'!$B$32)/1000+'Inputs'!$B$21)+'Inputs'!$B$9)^2+('Inputs'!$B$8/2)^2)-(((863-43)*MAX('Inputs'!$B$33,'Inputs'!$B$29+'Inputs'!$B$31+'Inputs'!$B$32,'Inputs'!$B$30+'Inputs'!$B$31+'Inputs'!$B$32)/1000+'Inputs'!$B$21))/SQRT((((863-43)*MAX('Inputs'!$B$33,'Inputs'!$B$29+'Inputs'!$B$31+'Inputs'!$B$32,'Inputs'!$B$30+'Inputs'!$B$31+'Inputs'!$B$32)/1000+'Inputs'!$B$21))^2+('Inputs'!$B$8/2)^2)))-'Results'!B7*(0.5*((((863-43)*MAX('Inputs'!$B$33,'Inputs'!$B$29+'Inputs'!$B$31+'Inputs'!$B$32,'Inputs'!$B$30+'Inputs'!$B$31+'Inputs'!$B$32)/1000+'Inputs'!$B$21+'Inputs'!$B$9+'Inputs'!$B$10)+'Inputs'!$B$7)/SQRT((((863-43)*MAX('Inputs'!$B$33,'Inputs'!$B$29+'Inputs'!$B$31+'Inputs'!$B$32,'Inputs'!$B$30+'Inputs'!$B$31+'Inputs'!$B$32)/1000+'Inputs'!$B$21+'Inputs'!$B$9+'Inputs'!$B$10)+'Inputs'!$B$7)^2+('Inputs'!$B$6/2)^2)-(((863-43)*MAX('Inputs'!$B$33,'Inputs'!$B$29+'Inputs'!$B$31+'Inputs'!$B$32,'Inputs'!$B$30+'Inputs'!$B$31+'Inputs'!$B$32)/1000+'Inputs'!$B$21+'Inputs'!$B$9+'Inputs'!$B$10))/SQRT((((863-43)*MAX('Inputs'!$B$33,'Inputs'!$B$29+'Inputs'!$B$31+'Inputs'!$B$32,'Inputs'!$B$30+'Inputs'!$B$31+'Inputs'!$B$32)/1000+'Inputs'!$B$21+'Inputs'!$B$9+'Inputs'!$B$10))^2+('Inputs'!$B$6/2)^2))))*'Results'!$B$8),"")</x:f>
        <x:v>0.6590533342892803</x:v>
      </x:c>
      <x:c r="N863" t="n">
        <x:f>IF(AND(ISNUMBER('Results'!C7),ISNUMBER('Results'!B7),ISNUMBER('Results'!$B$8),ISNUMBER('Inputs'!$B$6),ISNUMBER('Inputs'!$B$7),ISNUMBER('Inputs'!$B$8),ISNUMBER('Inputs'!$B$9),ISNUMBER('Inputs'!$B$10),ISNUMBER('Inputs'!$B$21),ISNUMBER('Inputs'!$B$24),ISNUMBER('Inputs'!$B$28)),((('Results'!C7*(1-'Inputs'!$B$24)*(0.5*((((863-43)*MAX('Inputs'!$B$33,'Inputs'!$B$29+'Inputs'!$B$31+'Inputs'!$B$32,'Inputs'!$B$30+'Inputs'!$B$31+'Inputs'!$B$32)/1000+'Inputs'!$B$21)+'Inputs'!$B$9)/SQRT((((863-43)*MAX('Inputs'!$B$33,'Inputs'!$B$29+'Inputs'!$B$31+'Inputs'!$B$32,'Inputs'!$B$30+'Inputs'!$B$31+'Inputs'!$B$32)/1000+'Inputs'!$B$21)+'Inputs'!$B$9)^2+('Inputs'!$B$8/2)^2)-(((863-43)*MAX('Inputs'!$B$33,'Inputs'!$B$29+'Inputs'!$B$31+'Inputs'!$B$32,'Inputs'!$B$30+'Inputs'!$B$31+'Inputs'!$B$32)/1000+'Inputs'!$B$21))/SQRT((((863-43)*MAX('Inputs'!$B$33,'Inputs'!$B$29+'Inputs'!$B$31+'Inputs'!$B$32,'Inputs'!$B$30+'Inputs'!$B$31+'Inputs'!$B$32)/1000+'Inputs'!$B$21))^2+('Inputs'!$B$8/2)^2)))-'Results'!B7*(1+'Inputs'!$B$24)*(0.5*((((863-43)*MAX('Inputs'!$B$33,'Inputs'!$B$29+'Inputs'!$B$31+'Inputs'!$B$32,'Inputs'!$B$30+'Inputs'!$B$31+'Inputs'!$B$32)/1000+'Inputs'!$B$21+'Inputs'!$B$9+'Inputs'!$B$10)+'Inputs'!$B$7)/SQRT((((863-43)*MAX('Inputs'!$B$33,'Inputs'!$B$29+'Inputs'!$B$31+'Inputs'!$B$32,'Inputs'!$B$30+'Inputs'!$B$31+'Inputs'!$B$32)/1000+'Inputs'!$B$21+'Inputs'!$B$9+'Inputs'!$B$10)+'Inputs'!$B$7)^2+('Inputs'!$B$6/2)^2)-(((863-43)*MAX('Inputs'!$B$33,'Inputs'!$B$29+'Inputs'!$B$31+'Inputs'!$B$32,'Inputs'!$B$30+'Inputs'!$B$31+'Inputs'!$B$32)/1000+'Inputs'!$B$21+'Inputs'!$B$9+'Inputs'!$B$10))/SQRT((((863-43)*MAX('Inputs'!$B$33,'Inputs'!$B$29+'Inputs'!$B$31+'Inputs'!$B$32,'Inputs'!$B$30+'Inputs'!$B$31+'Inputs'!$B$32)/1000+'Inputs'!$B$21+'Inputs'!$B$9+'Inputs'!$B$10))^2+('Inputs'!$B$6/2)^2))))*'Results'!$B$8)-'Inputs'!$B$28*ABS((('Results'!C7*(1-'Inputs'!$B$24)*(0.5*((((863-43)*MAX('Inputs'!$B$33,'Inputs'!$B$29+'Inputs'!$B$31+'Inputs'!$B$32,'Inputs'!$B$30+'Inputs'!$B$31+'Inputs'!$B$32)/1000+'Inputs'!$B$21)+'Inputs'!$B$9)/SQRT((((863-43)*MAX('Inputs'!$B$33,'Inputs'!$B$29+'Inputs'!$B$31+'Inputs'!$B$32,'Inputs'!$B$30+'Inputs'!$B$31+'Inputs'!$B$32)/1000+'Inputs'!$B$21)+'Inputs'!$B$9)^2+('Inputs'!$B$8/2)^2)-(((863-43)*MAX('Inputs'!$B$33,'Inputs'!$B$29+'Inputs'!$B$31+'Inputs'!$B$32,'Inputs'!$B$30+'Inputs'!$B$31+'Inputs'!$B$32)/1000+'Inputs'!$B$21))/SQRT((((863-43)*MAX('Inputs'!$B$33,'Inputs'!$B$29+'Inputs'!$B$31+'Inputs'!$B$32,'Inputs'!$B$30+'Inputs'!$B$31+'Inputs'!$B$32)/1000+'Inputs'!$B$21))^2+('Inputs'!$B$8/2)^2)))-'Results'!B7*(1+'Inputs'!$B$24)*(0.5*((((863-43)*MAX('Inputs'!$B$33,'Inputs'!$B$29+'Inputs'!$B$31+'Inputs'!$B$32,'Inputs'!$B$30+'Inputs'!$B$31+'Inputs'!$B$32)/1000+'Inputs'!$B$21+'Inputs'!$B$9+'Inputs'!$B$10)+'Inputs'!$B$7)/SQRT((((863-43)*MAX('Inputs'!$B$33,'Inputs'!$B$29+'Inputs'!$B$31+'Inputs'!$B$32,'Inputs'!$B$30+'Inputs'!$B$31+'Inputs'!$B$32)/1000+'Inputs'!$B$21+'Inputs'!$B$9+'Inputs'!$B$10)+'Inputs'!$B$7)^2+('Inputs'!$B$6/2)^2)-(((863-43)*MAX('Inputs'!$B$33,'Inputs'!$B$29+'Inputs'!$B$31+'Inputs'!$B$32,'Inputs'!$B$30+'Inputs'!$B$31+'Inputs'!$B$32)/1000+'Inputs'!$B$21+'Inputs'!$B$9+'Inputs'!$B$10))/SQRT((((863-43)*MAX('Inputs'!$B$33,'Inputs'!$B$29+'Inputs'!$B$31+'Inputs'!$B$32,'Inputs'!$B$30+'Inputs'!$B$31+'Inputs'!$B$32)/1000+'Inputs'!$B$21+'Inputs'!$B$9+'Inputs'!$B$10))^2+('Inputs'!$B$6/2)^2))))*'Results'!$B$8))),"")</x:f>
        <x:v>0.5559847068689034</x:v>
      </x:c>
      <x:c r="O863" t="n">
        <x:f>IF(AND(ISNUMBER('Results'!C7),ISNUMBER('Results'!B7),ISNUMBER('Results'!$B$8),ISNUMBER('Inputs'!$B$6),ISNUMBER('Inputs'!$B$7),ISNUMBER('Inputs'!$B$8),ISNUMBER('Inputs'!$B$9),ISNUMBER('Inputs'!$B$10),ISNUMBER('Inputs'!$B$21),ISNUMBER('Inputs'!$B$24),ISNUMBER('Inputs'!$B$28)),((('Results'!C7*(1+'Inputs'!$B$24)*(0.5*((((863-43)*MAX('Inputs'!$B$33,'Inputs'!$B$29+'Inputs'!$B$31+'Inputs'!$B$32,'Inputs'!$B$30+'Inputs'!$B$31+'Inputs'!$B$32)/1000+'Inputs'!$B$21)+'Inputs'!$B$9)/SQRT((((863-43)*MAX('Inputs'!$B$33,'Inputs'!$B$29+'Inputs'!$B$31+'Inputs'!$B$32,'Inputs'!$B$30+'Inputs'!$B$31+'Inputs'!$B$32)/1000+'Inputs'!$B$21)+'Inputs'!$B$9)^2+('Inputs'!$B$8/2)^2)-(((863-43)*MAX('Inputs'!$B$33,'Inputs'!$B$29+'Inputs'!$B$31+'Inputs'!$B$32,'Inputs'!$B$30+'Inputs'!$B$31+'Inputs'!$B$32)/1000+'Inputs'!$B$21))/SQRT((((863-43)*MAX('Inputs'!$B$33,'Inputs'!$B$29+'Inputs'!$B$31+'Inputs'!$B$32,'Inputs'!$B$30+'Inputs'!$B$31+'Inputs'!$B$32)/1000+'Inputs'!$B$21))^2+('Inputs'!$B$8/2)^2)))-'Results'!B7*(1-'Inputs'!$B$24)*(0.5*((((863-43)*MAX('Inputs'!$B$33,'Inputs'!$B$29+'Inputs'!$B$31+'Inputs'!$B$32,'Inputs'!$B$30+'Inputs'!$B$31+'Inputs'!$B$32)/1000+'Inputs'!$B$21+'Inputs'!$B$9+'Inputs'!$B$10)+'Inputs'!$B$7)/SQRT((((863-43)*MAX('Inputs'!$B$33,'Inputs'!$B$29+'Inputs'!$B$31+'Inputs'!$B$32,'Inputs'!$B$30+'Inputs'!$B$31+'Inputs'!$B$32)/1000+'Inputs'!$B$21+'Inputs'!$B$9+'Inputs'!$B$10)+'Inputs'!$B$7)^2+('Inputs'!$B$6/2)^2)-(((863-43)*MAX('Inputs'!$B$33,'Inputs'!$B$29+'Inputs'!$B$31+'Inputs'!$B$32,'Inputs'!$B$30+'Inputs'!$B$31+'Inputs'!$B$32)/1000+'Inputs'!$B$21+'Inputs'!$B$9+'Inputs'!$B$10))/SQRT((((863-43)*MAX('Inputs'!$B$33,'Inputs'!$B$29+'Inputs'!$B$31+'Inputs'!$B$32,'Inputs'!$B$30+'Inputs'!$B$31+'Inputs'!$B$32)/1000+'Inputs'!$B$21+'Inputs'!$B$9+'Inputs'!$B$10))^2+('Inputs'!$B$6/2)^2))))*'Results'!$B$8)+'Inputs'!$B$28*ABS((('Results'!C7*(1+'Inputs'!$B$24)*(0.5*((((863-43)*MAX('Inputs'!$B$33,'Inputs'!$B$29+'Inputs'!$B$31+'Inputs'!$B$32,'Inputs'!$B$30+'Inputs'!$B$31+'Inputs'!$B$32)/1000+'Inputs'!$B$21)+'Inputs'!$B$9)/SQRT((((863-43)*MAX('Inputs'!$B$33,'Inputs'!$B$29+'Inputs'!$B$31+'Inputs'!$B$32,'Inputs'!$B$30+'Inputs'!$B$31+'Inputs'!$B$32)/1000+'Inputs'!$B$21)+'Inputs'!$B$9)^2+('Inputs'!$B$8/2)^2)-(((863-43)*MAX('Inputs'!$B$33,'Inputs'!$B$29+'Inputs'!$B$31+'Inputs'!$B$32,'Inputs'!$B$30+'Inputs'!$B$31+'Inputs'!$B$32)/1000+'Inputs'!$B$21))/SQRT((((863-43)*MAX('Inputs'!$B$33,'Inputs'!$B$29+'Inputs'!$B$31+'Inputs'!$B$32,'Inputs'!$B$30+'Inputs'!$B$31+'Inputs'!$B$32)/1000+'Inputs'!$B$21))^2+('Inputs'!$B$8/2)^2)))-'Results'!B7*(1-'Inputs'!$B$24)*(0.5*((((863-43)*MAX('Inputs'!$B$33,'Inputs'!$B$29+'Inputs'!$B$31+'Inputs'!$B$32,'Inputs'!$B$30+'Inputs'!$B$31+'Inputs'!$B$32)/1000+'Inputs'!$B$21+'Inputs'!$B$9+'Inputs'!$B$10)+'Inputs'!$B$7)/SQRT((((863-43)*MAX('Inputs'!$B$33,'Inputs'!$B$29+'Inputs'!$B$31+'Inputs'!$B$32,'Inputs'!$B$30+'Inputs'!$B$31+'Inputs'!$B$32)/1000+'Inputs'!$B$21+'Inputs'!$B$9+'Inputs'!$B$10)+'Inputs'!$B$7)^2+('Inputs'!$B$6/2)^2)-(((863-43)*MAX('Inputs'!$B$33,'Inputs'!$B$29+'Inputs'!$B$31+'Inputs'!$B$32,'Inputs'!$B$30+'Inputs'!$B$31+'Inputs'!$B$32)/1000+'Inputs'!$B$21+'Inputs'!$B$9+'Inputs'!$B$10))/SQRT((((863-43)*MAX('Inputs'!$B$33,'Inputs'!$B$29+'Inputs'!$B$31+'Inputs'!$B$32,'Inputs'!$B$30+'Inputs'!$B$31+'Inputs'!$B$32)/1000+'Inputs'!$B$21+'Inputs'!$B$9+'Inputs'!$B$10))^2+('Inputs'!$B$6/2)^2))))*'Results'!$B$8))),"")</x:f>
        <x:v>0.7695025891523848</x:v>
      </x:c>
      <x:c r="P863" t="n">
        <x:f>IF(AND(MAX(J863,J862)&gt;0,J863&gt;J862+0.00000001),1,0)</x:f>
        <x:v>0</x:v>
      </x:c>
      <x:c r="Q863" t="n">
        <x:f>IF(AND(MAX(K863,K862)&gt;0,K863&gt;K862+0.00000001),1,0)</x:f>
        <x:v>0</x:v>
      </x:c>
      <x:c r="R863" t="n">
        <x:f>IF(AND(MAX(L863,L862)&gt;0,L863&gt;L862+0.00000001),1,0)</x:f>
        <x:v>0</x:v>
      </x:c>
      <x:c r="S863" t="n">
        <x:f>IF(AND(MAX(M863,M862)&gt;0,M863&gt;M862+0.00000001),1,0)</x:f>
        <x:v>0</x:v>
      </x:c>
      <x:c r="T863" t="n">
        <x:f>IF(AND(MAX(N863,N862)&gt;0,N863&gt;N862+0.00000001),1,0)</x:f>
        <x:v>0</x:v>
      </x:c>
      <x:c r="U863" t="n">
        <x:f>IF(AND(MAX(O863,O862)&gt;0,O863&gt;O862+0.00000001),1,0)</x:f>
        <x:v>0</x:v>
      </x:c>
    </x:row>
    <x:row r="864">
      <x:c r="J864" t="n">
        <x:f>IF(AND(ISNUMBER('Results'!B7),ISNUMBER('Results'!C7),ISNUMBER('Results'!$B$8),ISNUMBER('Inputs'!$B$6),ISNUMBER('Inputs'!$B$7),ISNUMBER('Inputs'!$B$8),ISNUMBER('Inputs'!$B$9),ISNUMBER('Inputs'!$B$10),ISNUMBER('Inputs'!$B$21),ISNUMBER('Inputs'!$B$24),ISNUMBER('Inputs'!$B$28)),(('Results'!B7*(0.5*((((864-43)*MAX('Inputs'!$B$33,'Inputs'!$B$29+'Inputs'!$B$31+'Inputs'!$B$32,'Inputs'!$B$30+'Inputs'!$B$31+'Inputs'!$B$32)/1000+'Inputs'!$B$21)+'Inputs'!$B$7)/SQRT((((864-43)*MAX('Inputs'!$B$33,'Inputs'!$B$29+'Inputs'!$B$31+'Inputs'!$B$32,'Inputs'!$B$30+'Inputs'!$B$31+'Inputs'!$B$32)/1000+'Inputs'!$B$21)+'Inputs'!$B$7)^2+('Inputs'!$B$6/2)^2)-(((864-43)*MAX('Inputs'!$B$33,'Inputs'!$B$29+'Inputs'!$B$31+'Inputs'!$B$32,'Inputs'!$B$30+'Inputs'!$B$31+'Inputs'!$B$32)/1000+'Inputs'!$B$21))/SQRT((((864-43)*MAX('Inputs'!$B$33,'Inputs'!$B$29+'Inputs'!$B$31+'Inputs'!$B$32,'Inputs'!$B$30+'Inputs'!$B$31+'Inputs'!$B$32)/1000+'Inputs'!$B$21))^2+('Inputs'!$B$6/2)^2)))-'Results'!C7*(0.5*((((864-43)*MAX('Inputs'!$B$33,'Inputs'!$B$29+'Inputs'!$B$31+'Inputs'!$B$32,'Inputs'!$B$30+'Inputs'!$B$31+'Inputs'!$B$32)/1000+'Inputs'!$B$21+'Inputs'!$B$7+'Inputs'!$B$10)+'Inputs'!$B$9)/SQRT((((864-43)*MAX('Inputs'!$B$33,'Inputs'!$B$29+'Inputs'!$B$31+'Inputs'!$B$32,'Inputs'!$B$30+'Inputs'!$B$31+'Inputs'!$B$32)/1000+'Inputs'!$B$21+'Inputs'!$B$7+'Inputs'!$B$10)+'Inputs'!$B$9)^2+('Inputs'!$B$8/2)^2)-(((864-43)*MAX('Inputs'!$B$33,'Inputs'!$B$29+'Inputs'!$B$31+'Inputs'!$B$32,'Inputs'!$B$30+'Inputs'!$B$31+'Inputs'!$B$32)/1000+'Inputs'!$B$21+'Inputs'!$B$7+'Inputs'!$B$10))/SQRT((((864-43)*MAX('Inputs'!$B$33,'Inputs'!$B$29+'Inputs'!$B$31+'Inputs'!$B$32,'Inputs'!$B$30+'Inputs'!$B$31+'Inputs'!$B$32)/1000+'Inputs'!$B$21+'Inputs'!$B$7+'Inputs'!$B$10))^2+('Inputs'!$B$8/2)^2))))*'Results'!$B$8),"")</x:f>
        <x:v>0.7305326662125775</x:v>
      </x:c>
      <x:c r="K864" t="n">
        <x:f>IF(AND(ISNUMBER('Results'!B7),ISNUMBER('Results'!C7),ISNUMBER('Results'!$B$8),ISNUMBER('Inputs'!$B$6),ISNUMBER('Inputs'!$B$7),ISNUMBER('Inputs'!$B$8),ISNUMBER('Inputs'!$B$9),ISNUMBER('Inputs'!$B$10),ISNUMBER('Inputs'!$B$21),ISNUMBER('Inputs'!$B$24),ISNUMBER('Inputs'!$B$28)),((('Results'!B7*(1-'Inputs'!$B$24)*(0.5*((((864-43)*MAX('Inputs'!$B$33,'Inputs'!$B$29+'Inputs'!$B$31+'Inputs'!$B$32,'Inputs'!$B$30+'Inputs'!$B$31+'Inputs'!$B$32)/1000+'Inputs'!$B$21)+'Inputs'!$B$7)/SQRT((((864-43)*MAX('Inputs'!$B$33,'Inputs'!$B$29+'Inputs'!$B$31+'Inputs'!$B$32,'Inputs'!$B$30+'Inputs'!$B$31+'Inputs'!$B$32)/1000+'Inputs'!$B$21)+'Inputs'!$B$7)^2+('Inputs'!$B$6/2)^2)-(((864-43)*MAX('Inputs'!$B$33,'Inputs'!$B$29+'Inputs'!$B$31+'Inputs'!$B$32,'Inputs'!$B$30+'Inputs'!$B$31+'Inputs'!$B$32)/1000+'Inputs'!$B$21))/SQRT((((864-43)*MAX('Inputs'!$B$33,'Inputs'!$B$29+'Inputs'!$B$31+'Inputs'!$B$32,'Inputs'!$B$30+'Inputs'!$B$31+'Inputs'!$B$32)/1000+'Inputs'!$B$21))^2+('Inputs'!$B$6/2)^2)))-'Results'!C7*(1+'Inputs'!$B$24)*(0.5*((((864-43)*MAX('Inputs'!$B$33,'Inputs'!$B$29+'Inputs'!$B$31+'Inputs'!$B$32,'Inputs'!$B$30+'Inputs'!$B$31+'Inputs'!$B$32)/1000+'Inputs'!$B$21+'Inputs'!$B$7+'Inputs'!$B$10)+'Inputs'!$B$9)/SQRT((((864-43)*MAX('Inputs'!$B$33,'Inputs'!$B$29+'Inputs'!$B$31+'Inputs'!$B$32,'Inputs'!$B$30+'Inputs'!$B$31+'Inputs'!$B$32)/1000+'Inputs'!$B$21+'Inputs'!$B$7+'Inputs'!$B$10)+'Inputs'!$B$9)^2+('Inputs'!$B$8/2)^2)-(((864-43)*MAX('Inputs'!$B$33,'Inputs'!$B$29+'Inputs'!$B$31+'Inputs'!$B$32,'Inputs'!$B$30+'Inputs'!$B$31+'Inputs'!$B$32)/1000+'Inputs'!$B$21+'Inputs'!$B$7+'Inputs'!$B$10))/SQRT((((864-43)*MAX('Inputs'!$B$33,'Inputs'!$B$29+'Inputs'!$B$31+'Inputs'!$B$32,'Inputs'!$B$30+'Inputs'!$B$31+'Inputs'!$B$32)/1000+'Inputs'!$B$21+'Inputs'!$B$7+'Inputs'!$B$10))^2+('Inputs'!$B$8/2)^2))))*'Results'!$B$8)-'Inputs'!$B$28*ABS((('Results'!B7*(1-'Inputs'!$B$24)*(0.5*((((864-43)*MAX('Inputs'!$B$33,'Inputs'!$B$29+'Inputs'!$B$31+'Inputs'!$B$32,'Inputs'!$B$30+'Inputs'!$B$31+'Inputs'!$B$32)/1000+'Inputs'!$B$21)+'Inputs'!$B$7)/SQRT((((864-43)*MAX('Inputs'!$B$33,'Inputs'!$B$29+'Inputs'!$B$31+'Inputs'!$B$32,'Inputs'!$B$30+'Inputs'!$B$31+'Inputs'!$B$32)/1000+'Inputs'!$B$21)+'Inputs'!$B$7)^2+('Inputs'!$B$6/2)^2)-(((864-43)*MAX('Inputs'!$B$33,'Inputs'!$B$29+'Inputs'!$B$31+'Inputs'!$B$32,'Inputs'!$B$30+'Inputs'!$B$31+'Inputs'!$B$32)/1000+'Inputs'!$B$21))/SQRT((((864-43)*MAX('Inputs'!$B$33,'Inputs'!$B$29+'Inputs'!$B$31+'Inputs'!$B$32,'Inputs'!$B$30+'Inputs'!$B$31+'Inputs'!$B$32)/1000+'Inputs'!$B$21))^2+('Inputs'!$B$6/2)^2)))-'Results'!C7*(1+'Inputs'!$B$24)*(0.5*((((864-43)*MAX('Inputs'!$B$33,'Inputs'!$B$29+'Inputs'!$B$31+'Inputs'!$B$32,'Inputs'!$B$30+'Inputs'!$B$31+'Inputs'!$B$32)/1000+'Inputs'!$B$21+'Inputs'!$B$7+'Inputs'!$B$10)+'Inputs'!$B$9)/SQRT((((864-43)*MAX('Inputs'!$B$33,'Inputs'!$B$29+'Inputs'!$B$31+'Inputs'!$B$32,'Inputs'!$B$30+'Inputs'!$B$31+'Inputs'!$B$32)/1000+'Inputs'!$B$21+'Inputs'!$B$7+'Inputs'!$B$10)+'Inputs'!$B$9)^2+('Inputs'!$B$8/2)^2)-(((864-43)*MAX('Inputs'!$B$33,'Inputs'!$B$29+'Inputs'!$B$31+'Inputs'!$B$32,'Inputs'!$B$30+'Inputs'!$B$31+'Inputs'!$B$32)/1000+'Inputs'!$B$21+'Inputs'!$B$7+'Inputs'!$B$10))/SQRT((((864-43)*MAX('Inputs'!$B$33,'Inputs'!$B$29+'Inputs'!$B$31+'Inputs'!$B$32,'Inputs'!$B$30+'Inputs'!$B$31+'Inputs'!$B$32)/1000+'Inputs'!$B$21+'Inputs'!$B$7+'Inputs'!$B$10))^2+('Inputs'!$B$8/2)^2))))*'Results'!$B$8))),"")</x:f>
        <x:v>0.6238597509461988</x:v>
      </x:c>
      <x:c r="L864" t="n">
        <x:f>IF(AND(ISNUMBER('Results'!B7),ISNUMBER('Results'!C7),ISNUMBER('Results'!$B$8),ISNUMBER('Inputs'!$B$6),ISNUMBER('Inputs'!$B$7),ISNUMBER('Inputs'!$B$8),ISNUMBER('Inputs'!$B$9),ISNUMBER('Inputs'!$B$10),ISNUMBER('Inputs'!$B$21),ISNUMBER('Inputs'!$B$24),ISNUMBER('Inputs'!$B$28)),((('Results'!B7*(1+'Inputs'!$B$24)*(0.5*((((864-43)*MAX('Inputs'!$B$33,'Inputs'!$B$29+'Inputs'!$B$31+'Inputs'!$B$32,'Inputs'!$B$30+'Inputs'!$B$31+'Inputs'!$B$32)/1000+'Inputs'!$B$21)+'Inputs'!$B$7)/SQRT((((864-43)*MAX('Inputs'!$B$33,'Inputs'!$B$29+'Inputs'!$B$31+'Inputs'!$B$32,'Inputs'!$B$30+'Inputs'!$B$31+'Inputs'!$B$32)/1000+'Inputs'!$B$21)+'Inputs'!$B$7)^2+('Inputs'!$B$6/2)^2)-(((864-43)*MAX('Inputs'!$B$33,'Inputs'!$B$29+'Inputs'!$B$31+'Inputs'!$B$32,'Inputs'!$B$30+'Inputs'!$B$31+'Inputs'!$B$32)/1000+'Inputs'!$B$21))/SQRT((((864-43)*MAX('Inputs'!$B$33,'Inputs'!$B$29+'Inputs'!$B$31+'Inputs'!$B$32,'Inputs'!$B$30+'Inputs'!$B$31+'Inputs'!$B$32)/1000+'Inputs'!$B$21))^2+('Inputs'!$B$6/2)^2)))-'Results'!C7*(1-'Inputs'!$B$24)*(0.5*((((864-43)*MAX('Inputs'!$B$33,'Inputs'!$B$29+'Inputs'!$B$31+'Inputs'!$B$32,'Inputs'!$B$30+'Inputs'!$B$31+'Inputs'!$B$32)/1000+'Inputs'!$B$21+'Inputs'!$B$7+'Inputs'!$B$10)+'Inputs'!$B$9)/SQRT((((864-43)*MAX('Inputs'!$B$33,'Inputs'!$B$29+'Inputs'!$B$31+'Inputs'!$B$32,'Inputs'!$B$30+'Inputs'!$B$31+'Inputs'!$B$32)/1000+'Inputs'!$B$21+'Inputs'!$B$7+'Inputs'!$B$10)+'Inputs'!$B$9)^2+('Inputs'!$B$8/2)^2)-(((864-43)*MAX('Inputs'!$B$33,'Inputs'!$B$29+'Inputs'!$B$31+'Inputs'!$B$32,'Inputs'!$B$30+'Inputs'!$B$31+'Inputs'!$B$32)/1000+'Inputs'!$B$21+'Inputs'!$B$7+'Inputs'!$B$10))/SQRT((((864-43)*MAX('Inputs'!$B$33,'Inputs'!$B$29+'Inputs'!$B$31+'Inputs'!$B$32,'Inputs'!$B$30+'Inputs'!$B$31+'Inputs'!$B$32)/1000+'Inputs'!$B$21+'Inputs'!$B$7+'Inputs'!$B$10))^2+('Inputs'!$B$8/2)^2))))*'Results'!$B$8)+'Inputs'!$B$28*ABS((('Results'!B7*(1+'Inputs'!$B$24)*(0.5*((((864-43)*MAX('Inputs'!$B$33,'Inputs'!$B$29+'Inputs'!$B$31+'Inputs'!$B$32,'Inputs'!$B$30+'Inputs'!$B$31+'Inputs'!$B$32)/1000+'Inputs'!$B$21)+'Inputs'!$B$7)/SQRT((((864-43)*MAX('Inputs'!$B$33,'Inputs'!$B$29+'Inputs'!$B$31+'Inputs'!$B$32,'Inputs'!$B$30+'Inputs'!$B$31+'Inputs'!$B$32)/1000+'Inputs'!$B$21)+'Inputs'!$B$7)^2+('Inputs'!$B$6/2)^2)-(((864-43)*MAX('Inputs'!$B$33,'Inputs'!$B$29+'Inputs'!$B$31+'Inputs'!$B$32,'Inputs'!$B$30+'Inputs'!$B$31+'Inputs'!$B$32)/1000+'Inputs'!$B$21))/SQRT((((864-43)*MAX('Inputs'!$B$33,'Inputs'!$B$29+'Inputs'!$B$31+'Inputs'!$B$32,'Inputs'!$B$30+'Inputs'!$B$31+'Inputs'!$B$32)/1000+'Inputs'!$B$21))^2+('Inputs'!$B$6/2)^2)))-'Results'!C7*(1-'Inputs'!$B$24)*(0.5*((((864-43)*MAX('Inputs'!$B$33,'Inputs'!$B$29+'Inputs'!$B$31+'Inputs'!$B$32,'Inputs'!$B$30+'Inputs'!$B$31+'Inputs'!$B$32)/1000+'Inputs'!$B$21+'Inputs'!$B$7+'Inputs'!$B$10)+'Inputs'!$B$9)/SQRT((((864-43)*MAX('Inputs'!$B$33,'Inputs'!$B$29+'Inputs'!$B$31+'Inputs'!$B$32,'Inputs'!$B$30+'Inputs'!$B$31+'Inputs'!$B$32)/1000+'Inputs'!$B$21+'Inputs'!$B$7+'Inputs'!$B$10)+'Inputs'!$B$9)^2+('Inputs'!$B$8/2)^2)-(((864-43)*MAX('Inputs'!$B$33,'Inputs'!$B$29+'Inputs'!$B$31+'Inputs'!$B$32,'Inputs'!$B$30+'Inputs'!$B$31+'Inputs'!$B$32)/1000+'Inputs'!$B$21+'Inputs'!$B$7+'Inputs'!$B$10))/SQRT((((864-43)*MAX('Inputs'!$B$33,'Inputs'!$B$29+'Inputs'!$B$31+'Inputs'!$B$32,'Inputs'!$B$30+'Inputs'!$B$31+'Inputs'!$B$32)/1000+'Inputs'!$B$21+'Inputs'!$B$7+'Inputs'!$B$10))^2+('Inputs'!$B$8/2)^2))))*'Results'!$B$8))),"")</x:f>
        <x:v>0.8445894006321928</x:v>
      </x:c>
      <x:c r="M864" t="n">
        <x:f>IF(AND(ISNUMBER('Results'!C7),ISNUMBER('Results'!B7),ISNUMBER('Results'!$B$8),ISNUMBER('Inputs'!$B$6),ISNUMBER('Inputs'!$B$7),ISNUMBER('Inputs'!$B$8),ISNUMBER('Inputs'!$B$9),ISNUMBER('Inputs'!$B$10),ISNUMBER('Inputs'!$B$21),ISNUMBER('Inputs'!$B$24),ISNUMBER('Inputs'!$B$28)),(('Results'!C7*(0.5*((((864-43)*MAX('Inputs'!$B$33,'Inputs'!$B$29+'Inputs'!$B$31+'Inputs'!$B$32,'Inputs'!$B$30+'Inputs'!$B$31+'Inputs'!$B$32)/1000+'Inputs'!$B$21)+'Inputs'!$B$9)/SQRT((((864-43)*MAX('Inputs'!$B$33,'Inputs'!$B$29+'Inputs'!$B$31+'Inputs'!$B$32,'Inputs'!$B$30+'Inputs'!$B$31+'Inputs'!$B$32)/1000+'Inputs'!$B$21)+'Inputs'!$B$9)^2+('Inputs'!$B$8/2)^2)-(((864-43)*MAX('Inputs'!$B$33,'Inputs'!$B$29+'Inputs'!$B$31+'Inputs'!$B$32,'Inputs'!$B$30+'Inputs'!$B$31+'Inputs'!$B$32)/1000+'Inputs'!$B$21))/SQRT((((864-43)*MAX('Inputs'!$B$33,'Inputs'!$B$29+'Inputs'!$B$31+'Inputs'!$B$32,'Inputs'!$B$30+'Inputs'!$B$31+'Inputs'!$B$32)/1000+'Inputs'!$B$21))^2+('Inputs'!$B$8/2)^2)))-'Results'!B7*(0.5*((((864-43)*MAX('Inputs'!$B$33,'Inputs'!$B$29+'Inputs'!$B$31+'Inputs'!$B$32,'Inputs'!$B$30+'Inputs'!$B$31+'Inputs'!$B$32)/1000+'Inputs'!$B$21+'Inputs'!$B$9+'Inputs'!$B$10)+'Inputs'!$B$7)/SQRT((((864-43)*MAX('Inputs'!$B$33,'Inputs'!$B$29+'Inputs'!$B$31+'Inputs'!$B$32,'Inputs'!$B$30+'Inputs'!$B$31+'Inputs'!$B$32)/1000+'Inputs'!$B$21+'Inputs'!$B$9+'Inputs'!$B$10)+'Inputs'!$B$7)^2+('Inputs'!$B$6/2)^2)-(((864-43)*MAX('Inputs'!$B$33,'Inputs'!$B$29+'Inputs'!$B$31+'Inputs'!$B$32,'Inputs'!$B$30+'Inputs'!$B$31+'Inputs'!$B$32)/1000+'Inputs'!$B$21+'Inputs'!$B$9+'Inputs'!$B$10))/SQRT((((864-43)*MAX('Inputs'!$B$33,'Inputs'!$B$29+'Inputs'!$B$31+'Inputs'!$B$32,'Inputs'!$B$30+'Inputs'!$B$31+'Inputs'!$B$32)/1000+'Inputs'!$B$21+'Inputs'!$B$9+'Inputs'!$B$10))^2+('Inputs'!$B$6/2)^2))))*'Results'!$B$8),"")</x:f>
        <x:v>0.6560901120454328</x:v>
      </x:c>
      <x:c r="N864" t="n">
        <x:f>IF(AND(ISNUMBER('Results'!C7),ISNUMBER('Results'!B7),ISNUMBER('Results'!$B$8),ISNUMBER('Inputs'!$B$6),ISNUMBER('Inputs'!$B$7),ISNUMBER('Inputs'!$B$8),ISNUMBER('Inputs'!$B$9),ISNUMBER('Inputs'!$B$10),ISNUMBER('Inputs'!$B$21),ISNUMBER('Inputs'!$B$24),ISNUMBER('Inputs'!$B$28)),((('Results'!C7*(1-'Inputs'!$B$24)*(0.5*((((864-43)*MAX('Inputs'!$B$33,'Inputs'!$B$29+'Inputs'!$B$31+'Inputs'!$B$32,'Inputs'!$B$30+'Inputs'!$B$31+'Inputs'!$B$32)/1000+'Inputs'!$B$21)+'Inputs'!$B$9)/SQRT((((864-43)*MAX('Inputs'!$B$33,'Inputs'!$B$29+'Inputs'!$B$31+'Inputs'!$B$32,'Inputs'!$B$30+'Inputs'!$B$31+'Inputs'!$B$32)/1000+'Inputs'!$B$21)+'Inputs'!$B$9)^2+('Inputs'!$B$8/2)^2)-(((864-43)*MAX('Inputs'!$B$33,'Inputs'!$B$29+'Inputs'!$B$31+'Inputs'!$B$32,'Inputs'!$B$30+'Inputs'!$B$31+'Inputs'!$B$32)/1000+'Inputs'!$B$21))/SQRT((((864-43)*MAX('Inputs'!$B$33,'Inputs'!$B$29+'Inputs'!$B$31+'Inputs'!$B$32,'Inputs'!$B$30+'Inputs'!$B$31+'Inputs'!$B$32)/1000+'Inputs'!$B$21))^2+('Inputs'!$B$8/2)^2)))-'Results'!B7*(1+'Inputs'!$B$24)*(0.5*((((864-43)*MAX('Inputs'!$B$33,'Inputs'!$B$29+'Inputs'!$B$31+'Inputs'!$B$32,'Inputs'!$B$30+'Inputs'!$B$31+'Inputs'!$B$32)/1000+'Inputs'!$B$21+'Inputs'!$B$9+'Inputs'!$B$10)+'Inputs'!$B$7)/SQRT((((864-43)*MAX('Inputs'!$B$33,'Inputs'!$B$29+'Inputs'!$B$31+'Inputs'!$B$32,'Inputs'!$B$30+'Inputs'!$B$31+'Inputs'!$B$32)/1000+'Inputs'!$B$21+'Inputs'!$B$9+'Inputs'!$B$10)+'Inputs'!$B$7)^2+('Inputs'!$B$6/2)^2)-(((864-43)*MAX('Inputs'!$B$33,'Inputs'!$B$29+'Inputs'!$B$31+'Inputs'!$B$32,'Inputs'!$B$30+'Inputs'!$B$31+'Inputs'!$B$32)/1000+'Inputs'!$B$21+'Inputs'!$B$9+'Inputs'!$B$10))/SQRT((((864-43)*MAX('Inputs'!$B$33,'Inputs'!$B$29+'Inputs'!$B$31+'Inputs'!$B$32,'Inputs'!$B$30+'Inputs'!$B$31+'Inputs'!$B$32)/1000+'Inputs'!$B$21+'Inputs'!$B$9+'Inputs'!$B$10))^2+('Inputs'!$B$6/2)^2))))*'Results'!$B$8)-'Inputs'!$B$28*ABS((('Results'!C7*(1-'Inputs'!$B$24)*(0.5*((((864-43)*MAX('Inputs'!$B$33,'Inputs'!$B$29+'Inputs'!$B$31+'Inputs'!$B$32,'Inputs'!$B$30+'Inputs'!$B$31+'Inputs'!$B$32)/1000+'Inputs'!$B$21)+'Inputs'!$B$9)/SQRT((((864-43)*MAX('Inputs'!$B$33,'Inputs'!$B$29+'Inputs'!$B$31+'Inputs'!$B$32,'Inputs'!$B$30+'Inputs'!$B$31+'Inputs'!$B$32)/1000+'Inputs'!$B$21)+'Inputs'!$B$9)^2+('Inputs'!$B$8/2)^2)-(((864-43)*MAX('Inputs'!$B$33,'Inputs'!$B$29+'Inputs'!$B$31+'Inputs'!$B$32,'Inputs'!$B$30+'Inputs'!$B$31+'Inputs'!$B$32)/1000+'Inputs'!$B$21))/SQRT((((864-43)*MAX('Inputs'!$B$33,'Inputs'!$B$29+'Inputs'!$B$31+'Inputs'!$B$32,'Inputs'!$B$30+'Inputs'!$B$31+'Inputs'!$B$32)/1000+'Inputs'!$B$21))^2+('Inputs'!$B$8/2)^2)))-'Results'!B7*(1+'Inputs'!$B$24)*(0.5*((((864-43)*MAX('Inputs'!$B$33,'Inputs'!$B$29+'Inputs'!$B$31+'Inputs'!$B$32,'Inputs'!$B$30+'Inputs'!$B$31+'Inputs'!$B$32)/1000+'Inputs'!$B$21+'Inputs'!$B$9+'Inputs'!$B$10)+'Inputs'!$B$7)/SQRT((((864-43)*MAX('Inputs'!$B$33,'Inputs'!$B$29+'Inputs'!$B$31+'Inputs'!$B$32,'Inputs'!$B$30+'Inputs'!$B$31+'Inputs'!$B$32)/1000+'Inputs'!$B$21+'Inputs'!$B$9+'Inputs'!$B$10)+'Inputs'!$B$7)^2+('Inputs'!$B$6/2)^2)-(((864-43)*MAX('Inputs'!$B$33,'Inputs'!$B$29+'Inputs'!$B$31+'Inputs'!$B$32,'Inputs'!$B$30+'Inputs'!$B$31+'Inputs'!$B$32)/1000+'Inputs'!$B$21+'Inputs'!$B$9+'Inputs'!$B$10))/SQRT((((864-43)*MAX('Inputs'!$B$33,'Inputs'!$B$29+'Inputs'!$B$31+'Inputs'!$B$32,'Inputs'!$B$30+'Inputs'!$B$31+'Inputs'!$B$32)/1000+'Inputs'!$B$21+'Inputs'!$B$9+'Inputs'!$B$10))^2+('Inputs'!$B$6/2)^2))))*'Results'!$B$8))),"")</x:f>
        <x:v>0.5534054440105113</x:v>
      </x:c>
      <x:c r="O864" t="n">
        <x:f>IF(AND(ISNUMBER('Results'!C7),ISNUMBER('Results'!B7),ISNUMBER('Results'!$B$8),ISNUMBER('Inputs'!$B$6),ISNUMBER('Inputs'!$B$7),ISNUMBER('Inputs'!$B$8),ISNUMBER('Inputs'!$B$9),ISNUMBER('Inputs'!$B$10),ISNUMBER('Inputs'!$B$21),ISNUMBER('Inputs'!$B$24),ISNUMBER('Inputs'!$B$28)),((('Results'!C7*(1+'Inputs'!$B$24)*(0.5*((((864-43)*MAX('Inputs'!$B$33,'Inputs'!$B$29+'Inputs'!$B$31+'Inputs'!$B$32,'Inputs'!$B$30+'Inputs'!$B$31+'Inputs'!$B$32)/1000+'Inputs'!$B$21)+'Inputs'!$B$9)/SQRT((((864-43)*MAX('Inputs'!$B$33,'Inputs'!$B$29+'Inputs'!$B$31+'Inputs'!$B$32,'Inputs'!$B$30+'Inputs'!$B$31+'Inputs'!$B$32)/1000+'Inputs'!$B$21)+'Inputs'!$B$9)^2+('Inputs'!$B$8/2)^2)-(((864-43)*MAX('Inputs'!$B$33,'Inputs'!$B$29+'Inputs'!$B$31+'Inputs'!$B$32,'Inputs'!$B$30+'Inputs'!$B$31+'Inputs'!$B$32)/1000+'Inputs'!$B$21))/SQRT((((864-43)*MAX('Inputs'!$B$33,'Inputs'!$B$29+'Inputs'!$B$31+'Inputs'!$B$32,'Inputs'!$B$30+'Inputs'!$B$31+'Inputs'!$B$32)/1000+'Inputs'!$B$21))^2+('Inputs'!$B$8/2)^2)))-'Results'!B7*(1-'Inputs'!$B$24)*(0.5*((((864-43)*MAX('Inputs'!$B$33,'Inputs'!$B$29+'Inputs'!$B$31+'Inputs'!$B$32,'Inputs'!$B$30+'Inputs'!$B$31+'Inputs'!$B$32)/1000+'Inputs'!$B$21+'Inputs'!$B$9+'Inputs'!$B$10)+'Inputs'!$B$7)/SQRT((((864-43)*MAX('Inputs'!$B$33,'Inputs'!$B$29+'Inputs'!$B$31+'Inputs'!$B$32,'Inputs'!$B$30+'Inputs'!$B$31+'Inputs'!$B$32)/1000+'Inputs'!$B$21+'Inputs'!$B$9+'Inputs'!$B$10)+'Inputs'!$B$7)^2+('Inputs'!$B$6/2)^2)-(((864-43)*MAX('Inputs'!$B$33,'Inputs'!$B$29+'Inputs'!$B$31+'Inputs'!$B$32,'Inputs'!$B$30+'Inputs'!$B$31+'Inputs'!$B$32)/1000+'Inputs'!$B$21+'Inputs'!$B$9+'Inputs'!$B$10))/SQRT((((864-43)*MAX('Inputs'!$B$33,'Inputs'!$B$29+'Inputs'!$B$31+'Inputs'!$B$32,'Inputs'!$B$30+'Inputs'!$B$31+'Inputs'!$B$32)/1000+'Inputs'!$B$21+'Inputs'!$B$9+'Inputs'!$B$10))^2+('Inputs'!$B$6/2)^2))))*'Results'!$B$8)+'Inputs'!$B$28*ABS((('Results'!C7*(1+'Inputs'!$B$24)*(0.5*((((864-43)*MAX('Inputs'!$B$33,'Inputs'!$B$29+'Inputs'!$B$31+'Inputs'!$B$32,'Inputs'!$B$30+'Inputs'!$B$31+'Inputs'!$B$32)/1000+'Inputs'!$B$21)+'Inputs'!$B$9)/SQRT((((864-43)*MAX('Inputs'!$B$33,'Inputs'!$B$29+'Inputs'!$B$31+'Inputs'!$B$32,'Inputs'!$B$30+'Inputs'!$B$31+'Inputs'!$B$32)/1000+'Inputs'!$B$21)+'Inputs'!$B$9)^2+('Inputs'!$B$8/2)^2)-(((864-43)*MAX('Inputs'!$B$33,'Inputs'!$B$29+'Inputs'!$B$31+'Inputs'!$B$32,'Inputs'!$B$30+'Inputs'!$B$31+'Inputs'!$B$32)/1000+'Inputs'!$B$21))/SQRT((((864-43)*MAX('Inputs'!$B$33,'Inputs'!$B$29+'Inputs'!$B$31+'Inputs'!$B$32,'Inputs'!$B$30+'Inputs'!$B$31+'Inputs'!$B$32)/1000+'Inputs'!$B$21))^2+('Inputs'!$B$8/2)^2)))-'Results'!B7*(1-'Inputs'!$B$24)*(0.5*((((864-43)*MAX('Inputs'!$B$33,'Inputs'!$B$29+'Inputs'!$B$31+'Inputs'!$B$32,'Inputs'!$B$30+'Inputs'!$B$31+'Inputs'!$B$32)/1000+'Inputs'!$B$21+'Inputs'!$B$9+'Inputs'!$B$10)+'Inputs'!$B$7)/SQRT((((864-43)*MAX('Inputs'!$B$33,'Inputs'!$B$29+'Inputs'!$B$31+'Inputs'!$B$32,'Inputs'!$B$30+'Inputs'!$B$31+'Inputs'!$B$32)/1000+'Inputs'!$B$21+'Inputs'!$B$9+'Inputs'!$B$10)+'Inputs'!$B$7)^2+('Inputs'!$B$6/2)^2)-(((864-43)*MAX('Inputs'!$B$33,'Inputs'!$B$29+'Inputs'!$B$31+'Inputs'!$B$32,'Inputs'!$B$30+'Inputs'!$B$31+'Inputs'!$B$32)/1000+'Inputs'!$B$21+'Inputs'!$B$9+'Inputs'!$B$10))/SQRT((((864-43)*MAX('Inputs'!$B$33,'Inputs'!$B$29+'Inputs'!$B$31+'Inputs'!$B$32,'Inputs'!$B$30+'Inputs'!$B$31+'Inputs'!$B$32)/1000+'Inputs'!$B$21+'Inputs'!$B$9+'Inputs'!$B$10))^2+('Inputs'!$B$6/2)^2))))*'Results'!$B$8))),"")</x:f>
        <x:v>0.766130586652212</x:v>
      </x:c>
      <x:c r="P864" t="n">
        <x:f>IF(AND(MAX(J864,J863)&gt;0,J864&gt;J863+0.00000001),1,0)</x:f>
        <x:v>0</x:v>
      </x:c>
      <x:c r="Q864" t="n">
        <x:f>IF(AND(MAX(K864,K863)&gt;0,K864&gt;K863+0.00000001),1,0)</x:f>
        <x:v>0</x:v>
      </x:c>
      <x:c r="R864" t="n">
        <x:f>IF(AND(MAX(L864,L863)&gt;0,L864&gt;L863+0.00000001),1,0)</x:f>
        <x:v>0</x:v>
      </x:c>
      <x:c r="S864" t="n">
        <x:f>IF(AND(MAX(M864,M863)&gt;0,M864&gt;M863+0.00000001),1,0)</x:f>
        <x:v>0</x:v>
      </x:c>
      <x:c r="T864" t="n">
        <x:f>IF(AND(MAX(N864,N863)&gt;0,N864&gt;N863+0.00000001),1,0)</x:f>
        <x:v>0</x:v>
      </x:c>
      <x:c r="U864" t="n">
        <x:f>IF(AND(MAX(O864,O863)&gt;0,O864&gt;O863+0.00000001),1,0)</x:f>
        <x:v>0</x:v>
      </x:c>
    </x:row>
    <x:row r="865">
      <x:c r="J865" t="n">
        <x:f>IF(AND(ISNUMBER('Results'!B7),ISNUMBER('Results'!C7),ISNUMBER('Results'!$B$8),ISNUMBER('Inputs'!$B$6),ISNUMBER('Inputs'!$B$7),ISNUMBER('Inputs'!$B$8),ISNUMBER('Inputs'!$B$9),ISNUMBER('Inputs'!$B$10),ISNUMBER('Inputs'!$B$21),ISNUMBER('Inputs'!$B$24),ISNUMBER('Inputs'!$B$28)),(('Results'!B7*(0.5*((((865-43)*MAX('Inputs'!$B$33,'Inputs'!$B$29+'Inputs'!$B$31+'Inputs'!$B$32,'Inputs'!$B$30+'Inputs'!$B$31+'Inputs'!$B$32)/1000+'Inputs'!$B$21)+'Inputs'!$B$7)/SQRT((((865-43)*MAX('Inputs'!$B$33,'Inputs'!$B$29+'Inputs'!$B$31+'Inputs'!$B$32,'Inputs'!$B$30+'Inputs'!$B$31+'Inputs'!$B$32)/1000+'Inputs'!$B$21)+'Inputs'!$B$7)^2+('Inputs'!$B$6/2)^2)-(((865-43)*MAX('Inputs'!$B$33,'Inputs'!$B$29+'Inputs'!$B$31+'Inputs'!$B$32,'Inputs'!$B$30+'Inputs'!$B$31+'Inputs'!$B$32)/1000+'Inputs'!$B$21))/SQRT((((865-43)*MAX('Inputs'!$B$33,'Inputs'!$B$29+'Inputs'!$B$31+'Inputs'!$B$32,'Inputs'!$B$30+'Inputs'!$B$31+'Inputs'!$B$32)/1000+'Inputs'!$B$21))^2+('Inputs'!$B$6/2)^2)))-'Results'!C7*(0.5*((((865-43)*MAX('Inputs'!$B$33,'Inputs'!$B$29+'Inputs'!$B$31+'Inputs'!$B$32,'Inputs'!$B$30+'Inputs'!$B$31+'Inputs'!$B$32)/1000+'Inputs'!$B$21+'Inputs'!$B$7+'Inputs'!$B$10)+'Inputs'!$B$9)/SQRT((((865-43)*MAX('Inputs'!$B$33,'Inputs'!$B$29+'Inputs'!$B$31+'Inputs'!$B$32,'Inputs'!$B$30+'Inputs'!$B$31+'Inputs'!$B$32)/1000+'Inputs'!$B$21+'Inputs'!$B$7+'Inputs'!$B$10)+'Inputs'!$B$9)^2+('Inputs'!$B$8/2)^2)-(((865-43)*MAX('Inputs'!$B$33,'Inputs'!$B$29+'Inputs'!$B$31+'Inputs'!$B$32,'Inputs'!$B$30+'Inputs'!$B$31+'Inputs'!$B$32)/1000+'Inputs'!$B$21+'Inputs'!$B$7+'Inputs'!$B$10))/SQRT((((865-43)*MAX('Inputs'!$B$33,'Inputs'!$B$29+'Inputs'!$B$31+'Inputs'!$B$32,'Inputs'!$B$30+'Inputs'!$B$31+'Inputs'!$B$32)/1000+'Inputs'!$B$21+'Inputs'!$B$7+'Inputs'!$B$10))^2+('Inputs'!$B$8/2)^2))))*'Results'!$B$8),"")</x:f>
        <x:v>0.7273357596749522</x:v>
      </x:c>
      <x:c r="K865" t="n">
        <x:f>IF(AND(ISNUMBER('Results'!B7),ISNUMBER('Results'!C7),ISNUMBER('Results'!$B$8),ISNUMBER('Inputs'!$B$6),ISNUMBER('Inputs'!$B$7),ISNUMBER('Inputs'!$B$8),ISNUMBER('Inputs'!$B$9),ISNUMBER('Inputs'!$B$10),ISNUMBER('Inputs'!$B$21),ISNUMBER('Inputs'!$B$24),ISNUMBER('Inputs'!$B$28)),((('Results'!B7*(1-'Inputs'!$B$24)*(0.5*((((865-43)*MAX('Inputs'!$B$33,'Inputs'!$B$29+'Inputs'!$B$31+'Inputs'!$B$32,'Inputs'!$B$30+'Inputs'!$B$31+'Inputs'!$B$32)/1000+'Inputs'!$B$21)+'Inputs'!$B$7)/SQRT((((865-43)*MAX('Inputs'!$B$33,'Inputs'!$B$29+'Inputs'!$B$31+'Inputs'!$B$32,'Inputs'!$B$30+'Inputs'!$B$31+'Inputs'!$B$32)/1000+'Inputs'!$B$21)+'Inputs'!$B$7)^2+('Inputs'!$B$6/2)^2)-(((865-43)*MAX('Inputs'!$B$33,'Inputs'!$B$29+'Inputs'!$B$31+'Inputs'!$B$32,'Inputs'!$B$30+'Inputs'!$B$31+'Inputs'!$B$32)/1000+'Inputs'!$B$21))/SQRT((((865-43)*MAX('Inputs'!$B$33,'Inputs'!$B$29+'Inputs'!$B$31+'Inputs'!$B$32,'Inputs'!$B$30+'Inputs'!$B$31+'Inputs'!$B$32)/1000+'Inputs'!$B$21))^2+('Inputs'!$B$6/2)^2)))-'Results'!C7*(1+'Inputs'!$B$24)*(0.5*((((865-43)*MAX('Inputs'!$B$33,'Inputs'!$B$29+'Inputs'!$B$31+'Inputs'!$B$32,'Inputs'!$B$30+'Inputs'!$B$31+'Inputs'!$B$32)/1000+'Inputs'!$B$21+'Inputs'!$B$7+'Inputs'!$B$10)+'Inputs'!$B$9)/SQRT((((865-43)*MAX('Inputs'!$B$33,'Inputs'!$B$29+'Inputs'!$B$31+'Inputs'!$B$32,'Inputs'!$B$30+'Inputs'!$B$31+'Inputs'!$B$32)/1000+'Inputs'!$B$21+'Inputs'!$B$7+'Inputs'!$B$10)+'Inputs'!$B$9)^2+('Inputs'!$B$8/2)^2)-(((865-43)*MAX('Inputs'!$B$33,'Inputs'!$B$29+'Inputs'!$B$31+'Inputs'!$B$32,'Inputs'!$B$30+'Inputs'!$B$31+'Inputs'!$B$32)/1000+'Inputs'!$B$21+'Inputs'!$B$7+'Inputs'!$B$10))/SQRT((((865-43)*MAX('Inputs'!$B$33,'Inputs'!$B$29+'Inputs'!$B$31+'Inputs'!$B$32,'Inputs'!$B$30+'Inputs'!$B$31+'Inputs'!$B$32)/1000+'Inputs'!$B$21+'Inputs'!$B$7+'Inputs'!$B$10))^2+('Inputs'!$B$8/2)^2))))*'Results'!$B$8)-'Inputs'!$B$28*ABS((('Results'!B7*(1-'Inputs'!$B$24)*(0.5*((((865-43)*MAX('Inputs'!$B$33,'Inputs'!$B$29+'Inputs'!$B$31+'Inputs'!$B$32,'Inputs'!$B$30+'Inputs'!$B$31+'Inputs'!$B$32)/1000+'Inputs'!$B$21)+'Inputs'!$B$7)/SQRT((((865-43)*MAX('Inputs'!$B$33,'Inputs'!$B$29+'Inputs'!$B$31+'Inputs'!$B$32,'Inputs'!$B$30+'Inputs'!$B$31+'Inputs'!$B$32)/1000+'Inputs'!$B$21)+'Inputs'!$B$7)^2+('Inputs'!$B$6/2)^2)-(((865-43)*MAX('Inputs'!$B$33,'Inputs'!$B$29+'Inputs'!$B$31+'Inputs'!$B$32,'Inputs'!$B$30+'Inputs'!$B$31+'Inputs'!$B$32)/1000+'Inputs'!$B$21))/SQRT((((865-43)*MAX('Inputs'!$B$33,'Inputs'!$B$29+'Inputs'!$B$31+'Inputs'!$B$32,'Inputs'!$B$30+'Inputs'!$B$31+'Inputs'!$B$32)/1000+'Inputs'!$B$21))^2+('Inputs'!$B$6/2)^2)))-'Results'!C7*(1+'Inputs'!$B$24)*(0.5*((((865-43)*MAX('Inputs'!$B$33,'Inputs'!$B$29+'Inputs'!$B$31+'Inputs'!$B$32,'Inputs'!$B$30+'Inputs'!$B$31+'Inputs'!$B$32)/1000+'Inputs'!$B$21+'Inputs'!$B$7+'Inputs'!$B$10)+'Inputs'!$B$9)/SQRT((((865-43)*MAX('Inputs'!$B$33,'Inputs'!$B$29+'Inputs'!$B$31+'Inputs'!$B$32,'Inputs'!$B$30+'Inputs'!$B$31+'Inputs'!$B$32)/1000+'Inputs'!$B$21+'Inputs'!$B$7+'Inputs'!$B$10)+'Inputs'!$B$9)^2+('Inputs'!$B$8/2)^2)-(((865-43)*MAX('Inputs'!$B$33,'Inputs'!$B$29+'Inputs'!$B$31+'Inputs'!$B$32,'Inputs'!$B$30+'Inputs'!$B$31+'Inputs'!$B$32)/1000+'Inputs'!$B$21+'Inputs'!$B$7+'Inputs'!$B$10))/SQRT((((865-43)*MAX('Inputs'!$B$33,'Inputs'!$B$29+'Inputs'!$B$31+'Inputs'!$B$32,'Inputs'!$B$30+'Inputs'!$B$31+'Inputs'!$B$32)/1000+'Inputs'!$B$21+'Inputs'!$B$7+'Inputs'!$B$10))^2+('Inputs'!$B$8/2)^2))))*'Results'!$B$8))),"")</x:f>
        <x:v>0.6210586090082184</x:v>
      </x:c>
      <x:c r="L865" t="n">
        <x:f>IF(AND(ISNUMBER('Results'!B7),ISNUMBER('Results'!C7),ISNUMBER('Results'!$B$8),ISNUMBER('Inputs'!$B$6),ISNUMBER('Inputs'!$B$7),ISNUMBER('Inputs'!$B$8),ISNUMBER('Inputs'!$B$9),ISNUMBER('Inputs'!$B$10),ISNUMBER('Inputs'!$B$21),ISNUMBER('Inputs'!$B$24),ISNUMBER('Inputs'!$B$28)),((('Results'!B7*(1+'Inputs'!$B$24)*(0.5*((((865-43)*MAX('Inputs'!$B$33,'Inputs'!$B$29+'Inputs'!$B$31+'Inputs'!$B$32,'Inputs'!$B$30+'Inputs'!$B$31+'Inputs'!$B$32)/1000+'Inputs'!$B$21)+'Inputs'!$B$7)/SQRT((((865-43)*MAX('Inputs'!$B$33,'Inputs'!$B$29+'Inputs'!$B$31+'Inputs'!$B$32,'Inputs'!$B$30+'Inputs'!$B$31+'Inputs'!$B$32)/1000+'Inputs'!$B$21)+'Inputs'!$B$7)^2+('Inputs'!$B$6/2)^2)-(((865-43)*MAX('Inputs'!$B$33,'Inputs'!$B$29+'Inputs'!$B$31+'Inputs'!$B$32,'Inputs'!$B$30+'Inputs'!$B$31+'Inputs'!$B$32)/1000+'Inputs'!$B$21))/SQRT((((865-43)*MAX('Inputs'!$B$33,'Inputs'!$B$29+'Inputs'!$B$31+'Inputs'!$B$32,'Inputs'!$B$30+'Inputs'!$B$31+'Inputs'!$B$32)/1000+'Inputs'!$B$21))^2+('Inputs'!$B$6/2)^2)))-'Results'!C7*(1-'Inputs'!$B$24)*(0.5*((((865-43)*MAX('Inputs'!$B$33,'Inputs'!$B$29+'Inputs'!$B$31+'Inputs'!$B$32,'Inputs'!$B$30+'Inputs'!$B$31+'Inputs'!$B$32)/1000+'Inputs'!$B$21+'Inputs'!$B$7+'Inputs'!$B$10)+'Inputs'!$B$9)/SQRT((((865-43)*MAX('Inputs'!$B$33,'Inputs'!$B$29+'Inputs'!$B$31+'Inputs'!$B$32,'Inputs'!$B$30+'Inputs'!$B$31+'Inputs'!$B$32)/1000+'Inputs'!$B$21+'Inputs'!$B$7+'Inputs'!$B$10)+'Inputs'!$B$9)^2+('Inputs'!$B$8/2)^2)-(((865-43)*MAX('Inputs'!$B$33,'Inputs'!$B$29+'Inputs'!$B$31+'Inputs'!$B$32,'Inputs'!$B$30+'Inputs'!$B$31+'Inputs'!$B$32)/1000+'Inputs'!$B$21+'Inputs'!$B$7+'Inputs'!$B$10))/SQRT((((865-43)*MAX('Inputs'!$B$33,'Inputs'!$B$29+'Inputs'!$B$31+'Inputs'!$B$32,'Inputs'!$B$30+'Inputs'!$B$31+'Inputs'!$B$32)/1000+'Inputs'!$B$21+'Inputs'!$B$7+'Inputs'!$B$10))^2+('Inputs'!$B$8/2)^2))))*'Results'!$B$8)+'Inputs'!$B$28*ABS((('Results'!B7*(1+'Inputs'!$B$24)*(0.5*((((865-43)*MAX('Inputs'!$B$33,'Inputs'!$B$29+'Inputs'!$B$31+'Inputs'!$B$32,'Inputs'!$B$30+'Inputs'!$B$31+'Inputs'!$B$32)/1000+'Inputs'!$B$21)+'Inputs'!$B$7)/SQRT((((865-43)*MAX('Inputs'!$B$33,'Inputs'!$B$29+'Inputs'!$B$31+'Inputs'!$B$32,'Inputs'!$B$30+'Inputs'!$B$31+'Inputs'!$B$32)/1000+'Inputs'!$B$21)+'Inputs'!$B$7)^2+('Inputs'!$B$6/2)^2)-(((865-43)*MAX('Inputs'!$B$33,'Inputs'!$B$29+'Inputs'!$B$31+'Inputs'!$B$32,'Inputs'!$B$30+'Inputs'!$B$31+'Inputs'!$B$32)/1000+'Inputs'!$B$21))/SQRT((((865-43)*MAX('Inputs'!$B$33,'Inputs'!$B$29+'Inputs'!$B$31+'Inputs'!$B$32,'Inputs'!$B$30+'Inputs'!$B$31+'Inputs'!$B$32)/1000+'Inputs'!$B$21))^2+('Inputs'!$B$6/2)^2)))-'Results'!C7*(1-'Inputs'!$B$24)*(0.5*((((865-43)*MAX('Inputs'!$B$33,'Inputs'!$B$29+'Inputs'!$B$31+'Inputs'!$B$32,'Inputs'!$B$30+'Inputs'!$B$31+'Inputs'!$B$32)/1000+'Inputs'!$B$21+'Inputs'!$B$7+'Inputs'!$B$10)+'Inputs'!$B$9)/SQRT((((865-43)*MAX('Inputs'!$B$33,'Inputs'!$B$29+'Inputs'!$B$31+'Inputs'!$B$32,'Inputs'!$B$30+'Inputs'!$B$31+'Inputs'!$B$32)/1000+'Inputs'!$B$21+'Inputs'!$B$7+'Inputs'!$B$10)+'Inputs'!$B$9)^2+('Inputs'!$B$8/2)^2)-(((865-43)*MAX('Inputs'!$B$33,'Inputs'!$B$29+'Inputs'!$B$31+'Inputs'!$B$32,'Inputs'!$B$30+'Inputs'!$B$31+'Inputs'!$B$32)/1000+'Inputs'!$B$21+'Inputs'!$B$7+'Inputs'!$B$10))/SQRT((((865-43)*MAX('Inputs'!$B$33,'Inputs'!$B$29+'Inputs'!$B$31+'Inputs'!$B$32,'Inputs'!$B$30+'Inputs'!$B$31+'Inputs'!$B$32)/1000+'Inputs'!$B$21+'Inputs'!$B$7+'Inputs'!$B$10))^2+('Inputs'!$B$8/2)^2))))*'Results'!$B$8))),"")</x:f>
        <x:v>0.8409718958872642</x:v>
      </x:c>
      <x:c r="M865" t="n">
        <x:f>IF(AND(ISNUMBER('Results'!C7),ISNUMBER('Results'!B7),ISNUMBER('Results'!$B$8),ISNUMBER('Inputs'!$B$6),ISNUMBER('Inputs'!$B$7),ISNUMBER('Inputs'!$B$8),ISNUMBER('Inputs'!$B$9),ISNUMBER('Inputs'!$B$10),ISNUMBER('Inputs'!$B$21),ISNUMBER('Inputs'!$B$24),ISNUMBER('Inputs'!$B$28)),(('Results'!C7*(0.5*((((865-43)*MAX('Inputs'!$B$33,'Inputs'!$B$29+'Inputs'!$B$31+'Inputs'!$B$32,'Inputs'!$B$30+'Inputs'!$B$31+'Inputs'!$B$32)/1000+'Inputs'!$B$21)+'Inputs'!$B$9)/SQRT((((865-43)*MAX('Inputs'!$B$33,'Inputs'!$B$29+'Inputs'!$B$31+'Inputs'!$B$32,'Inputs'!$B$30+'Inputs'!$B$31+'Inputs'!$B$32)/1000+'Inputs'!$B$21)+'Inputs'!$B$9)^2+('Inputs'!$B$8/2)^2)-(((865-43)*MAX('Inputs'!$B$33,'Inputs'!$B$29+'Inputs'!$B$31+'Inputs'!$B$32,'Inputs'!$B$30+'Inputs'!$B$31+'Inputs'!$B$32)/1000+'Inputs'!$B$21))/SQRT((((865-43)*MAX('Inputs'!$B$33,'Inputs'!$B$29+'Inputs'!$B$31+'Inputs'!$B$32,'Inputs'!$B$30+'Inputs'!$B$31+'Inputs'!$B$32)/1000+'Inputs'!$B$21))^2+('Inputs'!$B$8/2)^2)))-'Results'!B7*(0.5*((((865-43)*MAX('Inputs'!$B$33,'Inputs'!$B$29+'Inputs'!$B$31+'Inputs'!$B$32,'Inputs'!$B$30+'Inputs'!$B$31+'Inputs'!$B$32)/1000+'Inputs'!$B$21+'Inputs'!$B$9+'Inputs'!$B$10)+'Inputs'!$B$7)/SQRT((((865-43)*MAX('Inputs'!$B$33,'Inputs'!$B$29+'Inputs'!$B$31+'Inputs'!$B$32,'Inputs'!$B$30+'Inputs'!$B$31+'Inputs'!$B$32)/1000+'Inputs'!$B$21+'Inputs'!$B$9+'Inputs'!$B$10)+'Inputs'!$B$7)^2+('Inputs'!$B$6/2)^2)-(((865-43)*MAX('Inputs'!$B$33,'Inputs'!$B$29+'Inputs'!$B$31+'Inputs'!$B$32,'Inputs'!$B$30+'Inputs'!$B$31+'Inputs'!$B$32)/1000+'Inputs'!$B$21+'Inputs'!$B$9+'Inputs'!$B$10))/SQRT((((865-43)*MAX('Inputs'!$B$33,'Inputs'!$B$29+'Inputs'!$B$31+'Inputs'!$B$32,'Inputs'!$B$30+'Inputs'!$B$31+'Inputs'!$B$32)/1000+'Inputs'!$B$21+'Inputs'!$B$9+'Inputs'!$B$10))^2+('Inputs'!$B$6/2)^2))))*'Results'!$B$8),"")</x:f>
        <x:v>0.6531434231960928</x:v>
      </x:c>
      <x:c r="N865" t="n">
        <x:f>IF(AND(ISNUMBER('Results'!C7),ISNUMBER('Results'!B7),ISNUMBER('Results'!$B$8),ISNUMBER('Inputs'!$B$6),ISNUMBER('Inputs'!$B$7),ISNUMBER('Inputs'!$B$8),ISNUMBER('Inputs'!$B$9),ISNUMBER('Inputs'!$B$10),ISNUMBER('Inputs'!$B$21),ISNUMBER('Inputs'!$B$24),ISNUMBER('Inputs'!$B$28)),((('Results'!C7*(1-'Inputs'!$B$24)*(0.5*((((865-43)*MAX('Inputs'!$B$33,'Inputs'!$B$29+'Inputs'!$B$31+'Inputs'!$B$32,'Inputs'!$B$30+'Inputs'!$B$31+'Inputs'!$B$32)/1000+'Inputs'!$B$21)+'Inputs'!$B$9)/SQRT((((865-43)*MAX('Inputs'!$B$33,'Inputs'!$B$29+'Inputs'!$B$31+'Inputs'!$B$32,'Inputs'!$B$30+'Inputs'!$B$31+'Inputs'!$B$32)/1000+'Inputs'!$B$21)+'Inputs'!$B$9)^2+('Inputs'!$B$8/2)^2)-(((865-43)*MAX('Inputs'!$B$33,'Inputs'!$B$29+'Inputs'!$B$31+'Inputs'!$B$32,'Inputs'!$B$30+'Inputs'!$B$31+'Inputs'!$B$32)/1000+'Inputs'!$B$21))/SQRT((((865-43)*MAX('Inputs'!$B$33,'Inputs'!$B$29+'Inputs'!$B$31+'Inputs'!$B$32,'Inputs'!$B$30+'Inputs'!$B$31+'Inputs'!$B$32)/1000+'Inputs'!$B$21))^2+('Inputs'!$B$8/2)^2)))-'Results'!B7*(1+'Inputs'!$B$24)*(0.5*((((865-43)*MAX('Inputs'!$B$33,'Inputs'!$B$29+'Inputs'!$B$31+'Inputs'!$B$32,'Inputs'!$B$30+'Inputs'!$B$31+'Inputs'!$B$32)/1000+'Inputs'!$B$21+'Inputs'!$B$9+'Inputs'!$B$10)+'Inputs'!$B$7)/SQRT((((865-43)*MAX('Inputs'!$B$33,'Inputs'!$B$29+'Inputs'!$B$31+'Inputs'!$B$32,'Inputs'!$B$30+'Inputs'!$B$31+'Inputs'!$B$32)/1000+'Inputs'!$B$21+'Inputs'!$B$9+'Inputs'!$B$10)+'Inputs'!$B$7)^2+('Inputs'!$B$6/2)^2)-(((865-43)*MAX('Inputs'!$B$33,'Inputs'!$B$29+'Inputs'!$B$31+'Inputs'!$B$32,'Inputs'!$B$30+'Inputs'!$B$31+'Inputs'!$B$32)/1000+'Inputs'!$B$21+'Inputs'!$B$9+'Inputs'!$B$10))/SQRT((((865-43)*MAX('Inputs'!$B$33,'Inputs'!$B$29+'Inputs'!$B$31+'Inputs'!$B$32,'Inputs'!$B$30+'Inputs'!$B$31+'Inputs'!$B$32)/1000+'Inputs'!$B$21+'Inputs'!$B$9+'Inputs'!$B$10))^2+('Inputs'!$B$6/2)^2))))*'Results'!$B$8)-'Inputs'!$B$28*ABS((('Results'!C7*(1-'Inputs'!$B$24)*(0.5*((((865-43)*MAX('Inputs'!$B$33,'Inputs'!$B$29+'Inputs'!$B$31+'Inputs'!$B$32,'Inputs'!$B$30+'Inputs'!$B$31+'Inputs'!$B$32)/1000+'Inputs'!$B$21)+'Inputs'!$B$9)/SQRT((((865-43)*MAX('Inputs'!$B$33,'Inputs'!$B$29+'Inputs'!$B$31+'Inputs'!$B$32,'Inputs'!$B$30+'Inputs'!$B$31+'Inputs'!$B$32)/1000+'Inputs'!$B$21)+'Inputs'!$B$9)^2+('Inputs'!$B$8/2)^2)-(((865-43)*MAX('Inputs'!$B$33,'Inputs'!$B$29+'Inputs'!$B$31+'Inputs'!$B$32,'Inputs'!$B$30+'Inputs'!$B$31+'Inputs'!$B$32)/1000+'Inputs'!$B$21))/SQRT((((865-43)*MAX('Inputs'!$B$33,'Inputs'!$B$29+'Inputs'!$B$31+'Inputs'!$B$32,'Inputs'!$B$30+'Inputs'!$B$31+'Inputs'!$B$32)/1000+'Inputs'!$B$21))^2+('Inputs'!$B$8/2)^2)))-'Results'!B7*(1+'Inputs'!$B$24)*(0.5*((((865-43)*MAX('Inputs'!$B$33,'Inputs'!$B$29+'Inputs'!$B$31+'Inputs'!$B$32,'Inputs'!$B$30+'Inputs'!$B$31+'Inputs'!$B$32)/1000+'Inputs'!$B$21+'Inputs'!$B$9+'Inputs'!$B$10)+'Inputs'!$B$7)/SQRT((((865-43)*MAX('Inputs'!$B$33,'Inputs'!$B$29+'Inputs'!$B$31+'Inputs'!$B$32,'Inputs'!$B$30+'Inputs'!$B$31+'Inputs'!$B$32)/1000+'Inputs'!$B$21+'Inputs'!$B$9+'Inputs'!$B$10)+'Inputs'!$B$7)^2+('Inputs'!$B$6/2)^2)-(((865-43)*MAX('Inputs'!$B$33,'Inputs'!$B$29+'Inputs'!$B$31+'Inputs'!$B$32,'Inputs'!$B$30+'Inputs'!$B$31+'Inputs'!$B$32)/1000+'Inputs'!$B$21+'Inputs'!$B$9+'Inputs'!$B$10))/SQRT((((865-43)*MAX('Inputs'!$B$33,'Inputs'!$B$29+'Inputs'!$B$31+'Inputs'!$B$32,'Inputs'!$B$30+'Inputs'!$B$31+'Inputs'!$B$32)/1000+'Inputs'!$B$21+'Inputs'!$B$9+'Inputs'!$B$10))^2+('Inputs'!$B$6/2)^2))))*'Results'!$B$8))),"")</x:f>
        <x:v>0.5508408298025396</x:v>
      </x:c>
      <x:c r="O865" t="n">
        <x:f>IF(AND(ISNUMBER('Results'!C7),ISNUMBER('Results'!B7),ISNUMBER('Results'!$B$8),ISNUMBER('Inputs'!$B$6),ISNUMBER('Inputs'!$B$7),ISNUMBER('Inputs'!$B$8),ISNUMBER('Inputs'!$B$9),ISNUMBER('Inputs'!$B$10),ISNUMBER('Inputs'!$B$21),ISNUMBER('Inputs'!$B$24),ISNUMBER('Inputs'!$B$28)),((('Results'!C7*(1+'Inputs'!$B$24)*(0.5*((((865-43)*MAX('Inputs'!$B$33,'Inputs'!$B$29+'Inputs'!$B$31+'Inputs'!$B$32,'Inputs'!$B$30+'Inputs'!$B$31+'Inputs'!$B$32)/1000+'Inputs'!$B$21)+'Inputs'!$B$9)/SQRT((((865-43)*MAX('Inputs'!$B$33,'Inputs'!$B$29+'Inputs'!$B$31+'Inputs'!$B$32,'Inputs'!$B$30+'Inputs'!$B$31+'Inputs'!$B$32)/1000+'Inputs'!$B$21)+'Inputs'!$B$9)^2+('Inputs'!$B$8/2)^2)-(((865-43)*MAX('Inputs'!$B$33,'Inputs'!$B$29+'Inputs'!$B$31+'Inputs'!$B$32,'Inputs'!$B$30+'Inputs'!$B$31+'Inputs'!$B$32)/1000+'Inputs'!$B$21))/SQRT((((865-43)*MAX('Inputs'!$B$33,'Inputs'!$B$29+'Inputs'!$B$31+'Inputs'!$B$32,'Inputs'!$B$30+'Inputs'!$B$31+'Inputs'!$B$32)/1000+'Inputs'!$B$21))^2+('Inputs'!$B$8/2)^2)))-'Results'!B7*(1-'Inputs'!$B$24)*(0.5*((((865-43)*MAX('Inputs'!$B$33,'Inputs'!$B$29+'Inputs'!$B$31+'Inputs'!$B$32,'Inputs'!$B$30+'Inputs'!$B$31+'Inputs'!$B$32)/1000+'Inputs'!$B$21+'Inputs'!$B$9+'Inputs'!$B$10)+'Inputs'!$B$7)/SQRT((((865-43)*MAX('Inputs'!$B$33,'Inputs'!$B$29+'Inputs'!$B$31+'Inputs'!$B$32,'Inputs'!$B$30+'Inputs'!$B$31+'Inputs'!$B$32)/1000+'Inputs'!$B$21+'Inputs'!$B$9+'Inputs'!$B$10)+'Inputs'!$B$7)^2+('Inputs'!$B$6/2)^2)-(((865-43)*MAX('Inputs'!$B$33,'Inputs'!$B$29+'Inputs'!$B$31+'Inputs'!$B$32,'Inputs'!$B$30+'Inputs'!$B$31+'Inputs'!$B$32)/1000+'Inputs'!$B$21+'Inputs'!$B$9+'Inputs'!$B$10))/SQRT((((865-43)*MAX('Inputs'!$B$33,'Inputs'!$B$29+'Inputs'!$B$31+'Inputs'!$B$32,'Inputs'!$B$30+'Inputs'!$B$31+'Inputs'!$B$32)/1000+'Inputs'!$B$21+'Inputs'!$B$9+'Inputs'!$B$10))^2+('Inputs'!$B$6/2)^2))))*'Results'!$B$8)+'Inputs'!$B$28*ABS((('Results'!C7*(1+'Inputs'!$B$24)*(0.5*((((865-43)*MAX('Inputs'!$B$33,'Inputs'!$B$29+'Inputs'!$B$31+'Inputs'!$B$32,'Inputs'!$B$30+'Inputs'!$B$31+'Inputs'!$B$32)/1000+'Inputs'!$B$21)+'Inputs'!$B$9)/SQRT((((865-43)*MAX('Inputs'!$B$33,'Inputs'!$B$29+'Inputs'!$B$31+'Inputs'!$B$32,'Inputs'!$B$30+'Inputs'!$B$31+'Inputs'!$B$32)/1000+'Inputs'!$B$21)+'Inputs'!$B$9)^2+('Inputs'!$B$8/2)^2)-(((865-43)*MAX('Inputs'!$B$33,'Inputs'!$B$29+'Inputs'!$B$31+'Inputs'!$B$32,'Inputs'!$B$30+'Inputs'!$B$31+'Inputs'!$B$32)/1000+'Inputs'!$B$21))/SQRT((((865-43)*MAX('Inputs'!$B$33,'Inputs'!$B$29+'Inputs'!$B$31+'Inputs'!$B$32,'Inputs'!$B$30+'Inputs'!$B$31+'Inputs'!$B$32)/1000+'Inputs'!$B$21))^2+('Inputs'!$B$8/2)^2)))-'Results'!B7*(1-'Inputs'!$B$24)*(0.5*((((865-43)*MAX('Inputs'!$B$33,'Inputs'!$B$29+'Inputs'!$B$31+'Inputs'!$B$32,'Inputs'!$B$30+'Inputs'!$B$31+'Inputs'!$B$32)/1000+'Inputs'!$B$21+'Inputs'!$B$9+'Inputs'!$B$10)+'Inputs'!$B$7)/SQRT((((865-43)*MAX('Inputs'!$B$33,'Inputs'!$B$29+'Inputs'!$B$31+'Inputs'!$B$32,'Inputs'!$B$30+'Inputs'!$B$31+'Inputs'!$B$32)/1000+'Inputs'!$B$21+'Inputs'!$B$9+'Inputs'!$B$10)+'Inputs'!$B$7)^2+('Inputs'!$B$6/2)^2)-(((865-43)*MAX('Inputs'!$B$33,'Inputs'!$B$29+'Inputs'!$B$31+'Inputs'!$B$32,'Inputs'!$B$30+'Inputs'!$B$31+'Inputs'!$B$32)/1000+'Inputs'!$B$21+'Inputs'!$B$9+'Inputs'!$B$10))/SQRT((((865-43)*MAX('Inputs'!$B$33,'Inputs'!$B$29+'Inputs'!$B$31+'Inputs'!$B$32,'Inputs'!$B$30+'Inputs'!$B$31+'Inputs'!$B$32)/1000+'Inputs'!$B$21+'Inputs'!$B$9+'Inputs'!$B$10))^2+('Inputs'!$B$6/2)^2))))*'Results'!$B$8))),"")</x:f>
        <x:v>0.7627771136668828</x:v>
      </x:c>
      <x:c r="P865" t="n">
        <x:f>IF(AND(MAX(J865,J864)&gt;0,J865&gt;J864+0.00000001),1,0)</x:f>
        <x:v>0</x:v>
      </x:c>
      <x:c r="Q865" t="n">
        <x:f>IF(AND(MAX(K865,K864)&gt;0,K865&gt;K864+0.00000001),1,0)</x:f>
        <x:v>0</x:v>
      </x:c>
      <x:c r="R865" t="n">
        <x:f>IF(AND(MAX(L865,L864)&gt;0,L865&gt;L864+0.00000001),1,0)</x:f>
        <x:v>0</x:v>
      </x:c>
      <x:c r="S865" t="n">
        <x:f>IF(AND(MAX(M865,M864)&gt;0,M865&gt;M864+0.00000001),1,0)</x:f>
        <x:v>0</x:v>
      </x:c>
      <x:c r="T865" t="n">
        <x:f>IF(AND(MAX(N865,N864)&gt;0,N865&gt;N864+0.00000001),1,0)</x:f>
        <x:v>0</x:v>
      </x:c>
      <x:c r="U865" t="n">
        <x:f>IF(AND(MAX(O865,O864)&gt;0,O865&gt;O864+0.00000001),1,0)</x:f>
        <x:v>0</x:v>
      </x:c>
    </x:row>
    <x:row r="866">
      <x:c r="J866" t="n">
        <x:f>IF(AND(ISNUMBER('Results'!B7),ISNUMBER('Results'!C7),ISNUMBER('Results'!$B$8),ISNUMBER('Inputs'!$B$6),ISNUMBER('Inputs'!$B$7),ISNUMBER('Inputs'!$B$8),ISNUMBER('Inputs'!$B$9),ISNUMBER('Inputs'!$B$10),ISNUMBER('Inputs'!$B$21),ISNUMBER('Inputs'!$B$24),ISNUMBER('Inputs'!$B$28)),(('Results'!B7*(0.5*((((866-43)*MAX('Inputs'!$B$33,'Inputs'!$B$29+'Inputs'!$B$31+'Inputs'!$B$32,'Inputs'!$B$30+'Inputs'!$B$31+'Inputs'!$B$32)/1000+'Inputs'!$B$21)+'Inputs'!$B$7)/SQRT((((866-43)*MAX('Inputs'!$B$33,'Inputs'!$B$29+'Inputs'!$B$31+'Inputs'!$B$32,'Inputs'!$B$30+'Inputs'!$B$31+'Inputs'!$B$32)/1000+'Inputs'!$B$21)+'Inputs'!$B$7)^2+('Inputs'!$B$6/2)^2)-(((866-43)*MAX('Inputs'!$B$33,'Inputs'!$B$29+'Inputs'!$B$31+'Inputs'!$B$32,'Inputs'!$B$30+'Inputs'!$B$31+'Inputs'!$B$32)/1000+'Inputs'!$B$21))/SQRT((((866-43)*MAX('Inputs'!$B$33,'Inputs'!$B$29+'Inputs'!$B$31+'Inputs'!$B$32,'Inputs'!$B$30+'Inputs'!$B$31+'Inputs'!$B$32)/1000+'Inputs'!$B$21))^2+('Inputs'!$B$6/2)^2)))-'Results'!C7*(0.5*((((866-43)*MAX('Inputs'!$B$33,'Inputs'!$B$29+'Inputs'!$B$31+'Inputs'!$B$32,'Inputs'!$B$30+'Inputs'!$B$31+'Inputs'!$B$32)/1000+'Inputs'!$B$21+'Inputs'!$B$7+'Inputs'!$B$10)+'Inputs'!$B$9)/SQRT((((866-43)*MAX('Inputs'!$B$33,'Inputs'!$B$29+'Inputs'!$B$31+'Inputs'!$B$32,'Inputs'!$B$30+'Inputs'!$B$31+'Inputs'!$B$32)/1000+'Inputs'!$B$21+'Inputs'!$B$7+'Inputs'!$B$10)+'Inputs'!$B$9)^2+('Inputs'!$B$8/2)^2)-(((866-43)*MAX('Inputs'!$B$33,'Inputs'!$B$29+'Inputs'!$B$31+'Inputs'!$B$32,'Inputs'!$B$30+'Inputs'!$B$31+'Inputs'!$B$32)/1000+'Inputs'!$B$21+'Inputs'!$B$7+'Inputs'!$B$10))/SQRT((((866-43)*MAX('Inputs'!$B$33,'Inputs'!$B$29+'Inputs'!$B$31+'Inputs'!$B$32,'Inputs'!$B$30+'Inputs'!$B$31+'Inputs'!$B$32)/1000+'Inputs'!$B$21+'Inputs'!$B$7+'Inputs'!$B$10))^2+('Inputs'!$B$8/2)^2))))*'Results'!$B$8),"")</x:f>
        <x:v>0.7241563984924</x:v>
      </x:c>
      <x:c r="K866" t="n">
        <x:f>IF(AND(ISNUMBER('Results'!B7),ISNUMBER('Results'!C7),ISNUMBER('Results'!$B$8),ISNUMBER('Inputs'!$B$6),ISNUMBER('Inputs'!$B$7),ISNUMBER('Inputs'!$B$8),ISNUMBER('Inputs'!$B$9),ISNUMBER('Inputs'!$B$10),ISNUMBER('Inputs'!$B$21),ISNUMBER('Inputs'!$B$24),ISNUMBER('Inputs'!$B$28)),((('Results'!B7*(1-'Inputs'!$B$24)*(0.5*((((866-43)*MAX('Inputs'!$B$33,'Inputs'!$B$29+'Inputs'!$B$31+'Inputs'!$B$32,'Inputs'!$B$30+'Inputs'!$B$31+'Inputs'!$B$32)/1000+'Inputs'!$B$21)+'Inputs'!$B$7)/SQRT((((866-43)*MAX('Inputs'!$B$33,'Inputs'!$B$29+'Inputs'!$B$31+'Inputs'!$B$32,'Inputs'!$B$30+'Inputs'!$B$31+'Inputs'!$B$32)/1000+'Inputs'!$B$21)+'Inputs'!$B$7)^2+('Inputs'!$B$6/2)^2)-(((866-43)*MAX('Inputs'!$B$33,'Inputs'!$B$29+'Inputs'!$B$31+'Inputs'!$B$32,'Inputs'!$B$30+'Inputs'!$B$31+'Inputs'!$B$32)/1000+'Inputs'!$B$21))/SQRT((((866-43)*MAX('Inputs'!$B$33,'Inputs'!$B$29+'Inputs'!$B$31+'Inputs'!$B$32,'Inputs'!$B$30+'Inputs'!$B$31+'Inputs'!$B$32)/1000+'Inputs'!$B$21))^2+('Inputs'!$B$6/2)^2)))-'Results'!C7*(1+'Inputs'!$B$24)*(0.5*((((866-43)*MAX('Inputs'!$B$33,'Inputs'!$B$29+'Inputs'!$B$31+'Inputs'!$B$32,'Inputs'!$B$30+'Inputs'!$B$31+'Inputs'!$B$32)/1000+'Inputs'!$B$21+'Inputs'!$B$7+'Inputs'!$B$10)+'Inputs'!$B$9)/SQRT((((866-43)*MAX('Inputs'!$B$33,'Inputs'!$B$29+'Inputs'!$B$31+'Inputs'!$B$32,'Inputs'!$B$30+'Inputs'!$B$31+'Inputs'!$B$32)/1000+'Inputs'!$B$21+'Inputs'!$B$7+'Inputs'!$B$10)+'Inputs'!$B$9)^2+('Inputs'!$B$8/2)^2)-(((866-43)*MAX('Inputs'!$B$33,'Inputs'!$B$29+'Inputs'!$B$31+'Inputs'!$B$32,'Inputs'!$B$30+'Inputs'!$B$31+'Inputs'!$B$32)/1000+'Inputs'!$B$21+'Inputs'!$B$7+'Inputs'!$B$10))/SQRT((((866-43)*MAX('Inputs'!$B$33,'Inputs'!$B$29+'Inputs'!$B$31+'Inputs'!$B$32,'Inputs'!$B$30+'Inputs'!$B$31+'Inputs'!$B$32)/1000+'Inputs'!$B$21+'Inputs'!$B$7+'Inputs'!$B$10))^2+('Inputs'!$B$8/2)^2))))*'Results'!$B$8)-'Inputs'!$B$28*ABS((('Results'!B7*(1-'Inputs'!$B$24)*(0.5*((((866-43)*MAX('Inputs'!$B$33,'Inputs'!$B$29+'Inputs'!$B$31+'Inputs'!$B$32,'Inputs'!$B$30+'Inputs'!$B$31+'Inputs'!$B$32)/1000+'Inputs'!$B$21)+'Inputs'!$B$7)/SQRT((((866-43)*MAX('Inputs'!$B$33,'Inputs'!$B$29+'Inputs'!$B$31+'Inputs'!$B$32,'Inputs'!$B$30+'Inputs'!$B$31+'Inputs'!$B$32)/1000+'Inputs'!$B$21)+'Inputs'!$B$7)^2+('Inputs'!$B$6/2)^2)-(((866-43)*MAX('Inputs'!$B$33,'Inputs'!$B$29+'Inputs'!$B$31+'Inputs'!$B$32,'Inputs'!$B$30+'Inputs'!$B$31+'Inputs'!$B$32)/1000+'Inputs'!$B$21))/SQRT((((866-43)*MAX('Inputs'!$B$33,'Inputs'!$B$29+'Inputs'!$B$31+'Inputs'!$B$32,'Inputs'!$B$30+'Inputs'!$B$31+'Inputs'!$B$32)/1000+'Inputs'!$B$21))^2+('Inputs'!$B$6/2)^2)))-'Results'!C7*(1+'Inputs'!$B$24)*(0.5*((((866-43)*MAX('Inputs'!$B$33,'Inputs'!$B$29+'Inputs'!$B$31+'Inputs'!$B$32,'Inputs'!$B$30+'Inputs'!$B$31+'Inputs'!$B$32)/1000+'Inputs'!$B$21+'Inputs'!$B$7+'Inputs'!$B$10)+'Inputs'!$B$9)/SQRT((((866-43)*MAX('Inputs'!$B$33,'Inputs'!$B$29+'Inputs'!$B$31+'Inputs'!$B$32,'Inputs'!$B$30+'Inputs'!$B$31+'Inputs'!$B$32)/1000+'Inputs'!$B$21+'Inputs'!$B$7+'Inputs'!$B$10)+'Inputs'!$B$9)^2+('Inputs'!$B$8/2)^2)-(((866-43)*MAX('Inputs'!$B$33,'Inputs'!$B$29+'Inputs'!$B$31+'Inputs'!$B$32,'Inputs'!$B$30+'Inputs'!$B$31+'Inputs'!$B$32)/1000+'Inputs'!$B$21+'Inputs'!$B$7+'Inputs'!$B$10))/SQRT((((866-43)*MAX('Inputs'!$B$33,'Inputs'!$B$29+'Inputs'!$B$31+'Inputs'!$B$32,'Inputs'!$B$30+'Inputs'!$B$31+'Inputs'!$B$32)/1000+'Inputs'!$B$21+'Inputs'!$B$7+'Inputs'!$B$10))^2+('Inputs'!$B$8/2)^2))))*'Results'!$B$8))),"")</x:f>
        <x:v>0.6182730765019407</x:v>
      </x:c>
      <x:c r="L866" t="n">
        <x:f>IF(AND(ISNUMBER('Results'!B7),ISNUMBER('Results'!C7),ISNUMBER('Results'!$B$8),ISNUMBER('Inputs'!$B$6),ISNUMBER('Inputs'!$B$7),ISNUMBER('Inputs'!$B$8),ISNUMBER('Inputs'!$B$9),ISNUMBER('Inputs'!$B$10),ISNUMBER('Inputs'!$B$21),ISNUMBER('Inputs'!$B$24),ISNUMBER('Inputs'!$B$28)),((('Results'!B7*(1+'Inputs'!$B$24)*(0.5*((((866-43)*MAX('Inputs'!$B$33,'Inputs'!$B$29+'Inputs'!$B$31+'Inputs'!$B$32,'Inputs'!$B$30+'Inputs'!$B$31+'Inputs'!$B$32)/1000+'Inputs'!$B$21)+'Inputs'!$B$7)/SQRT((((866-43)*MAX('Inputs'!$B$33,'Inputs'!$B$29+'Inputs'!$B$31+'Inputs'!$B$32,'Inputs'!$B$30+'Inputs'!$B$31+'Inputs'!$B$32)/1000+'Inputs'!$B$21)+'Inputs'!$B$7)^2+('Inputs'!$B$6/2)^2)-(((866-43)*MAX('Inputs'!$B$33,'Inputs'!$B$29+'Inputs'!$B$31+'Inputs'!$B$32,'Inputs'!$B$30+'Inputs'!$B$31+'Inputs'!$B$32)/1000+'Inputs'!$B$21))/SQRT((((866-43)*MAX('Inputs'!$B$33,'Inputs'!$B$29+'Inputs'!$B$31+'Inputs'!$B$32,'Inputs'!$B$30+'Inputs'!$B$31+'Inputs'!$B$32)/1000+'Inputs'!$B$21))^2+('Inputs'!$B$6/2)^2)))-'Results'!C7*(1-'Inputs'!$B$24)*(0.5*((((866-43)*MAX('Inputs'!$B$33,'Inputs'!$B$29+'Inputs'!$B$31+'Inputs'!$B$32,'Inputs'!$B$30+'Inputs'!$B$31+'Inputs'!$B$32)/1000+'Inputs'!$B$21+'Inputs'!$B$7+'Inputs'!$B$10)+'Inputs'!$B$9)/SQRT((((866-43)*MAX('Inputs'!$B$33,'Inputs'!$B$29+'Inputs'!$B$31+'Inputs'!$B$32,'Inputs'!$B$30+'Inputs'!$B$31+'Inputs'!$B$32)/1000+'Inputs'!$B$21+'Inputs'!$B$7+'Inputs'!$B$10)+'Inputs'!$B$9)^2+('Inputs'!$B$8/2)^2)-(((866-43)*MAX('Inputs'!$B$33,'Inputs'!$B$29+'Inputs'!$B$31+'Inputs'!$B$32,'Inputs'!$B$30+'Inputs'!$B$31+'Inputs'!$B$32)/1000+'Inputs'!$B$21+'Inputs'!$B$7+'Inputs'!$B$10))/SQRT((((866-43)*MAX('Inputs'!$B$33,'Inputs'!$B$29+'Inputs'!$B$31+'Inputs'!$B$32,'Inputs'!$B$30+'Inputs'!$B$31+'Inputs'!$B$32)/1000+'Inputs'!$B$21+'Inputs'!$B$7+'Inputs'!$B$10))^2+('Inputs'!$B$8/2)^2))))*'Results'!$B$8)+'Inputs'!$B$28*ABS((('Results'!B7*(1+'Inputs'!$B$24)*(0.5*((((866-43)*MAX('Inputs'!$B$33,'Inputs'!$B$29+'Inputs'!$B$31+'Inputs'!$B$32,'Inputs'!$B$30+'Inputs'!$B$31+'Inputs'!$B$32)/1000+'Inputs'!$B$21)+'Inputs'!$B$7)/SQRT((((866-43)*MAX('Inputs'!$B$33,'Inputs'!$B$29+'Inputs'!$B$31+'Inputs'!$B$32,'Inputs'!$B$30+'Inputs'!$B$31+'Inputs'!$B$32)/1000+'Inputs'!$B$21)+'Inputs'!$B$7)^2+('Inputs'!$B$6/2)^2)-(((866-43)*MAX('Inputs'!$B$33,'Inputs'!$B$29+'Inputs'!$B$31+'Inputs'!$B$32,'Inputs'!$B$30+'Inputs'!$B$31+'Inputs'!$B$32)/1000+'Inputs'!$B$21))/SQRT((((866-43)*MAX('Inputs'!$B$33,'Inputs'!$B$29+'Inputs'!$B$31+'Inputs'!$B$32,'Inputs'!$B$30+'Inputs'!$B$31+'Inputs'!$B$32)/1000+'Inputs'!$B$21))^2+('Inputs'!$B$6/2)^2)))-'Results'!C7*(1-'Inputs'!$B$24)*(0.5*((((866-43)*MAX('Inputs'!$B$33,'Inputs'!$B$29+'Inputs'!$B$31+'Inputs'!$B$32,'Inputs'!$B$30+'Inputs'!$B$31+'Inputs'!$B$32)/1000+'Inputs'!$B$21+'Inputs'!$B$7+'Inputs'!$B$10)+'Inputs'!$B$9)/SQRT((((866-43)*MAX('Inputs'!$B$33,'Inputs'!$B$29+'Inputs'!$B$31+'Inputs'!$B$32,'Inputs'!$B$30+'Inputs'!$B$31+'Inputs'!$B$32)/1000+'Inputs'!$B$21+'Inputs'!$B$7+'Inputs'!$B$10)+'Inputs'!$B$9)^2+('Inputs'!$B$8/2)^2)-(((866-43)*MAX('Inputs'!$B$33,'Inputs'!$B$29+'Inputs'!$B$31+'Inputs'!$B$32,'Inputs'!$B$30+'Inputs'!$B$31+'Inputs'!$B$32)/1000+'Inputs'!$B$21+'Inputs'!$B$7+'Inputs'!$B$10))/SQRT((((866-43)*MAX('Inputs'!$B$33,'Inputs'!$B$29+'Inputs'!$B$31+'Inputs'!$B$32,'Inputs'!$B$30+'Inputs'!$B$31+'Inputs'!$B$32)/1000+'Inputs'!$B$21+'Inputs'!$B$7+'Inputs'!$B$10))^2+('Inputs'!$B$8/2)^2))))*'Results'!$B$8))),"")</x:f>
        <x:v>0.8373739838582116</x:v>
      </x:c>
      <x:c r="M866" t="n">
        <x:f>IF(AND(ISNUMBER('Results'!C7),ISNUMBER('Results'!B7),ISNUMBER('Results'!$B$8),ISNUMBER('Inputs'!$B$6),ISNUMBER('Inputs'!$B$7),ISNUMBER('Inputs'!$B$8),ISNUMBER('Inputs'!$B$9),ISNUMBER('Inputs'!$B$10),ISNUMBER('Inputs'!$B$21),ISNUMBER('Inputs'!$B$24),ISNUMBER('Inputs'!$B$28)),(('Results'!C7*(0.5*((((866-43)*MAX('Inputs'!$B$33,'Inputs'!$B$29+'Inputs'!$B$31+'Inputs'!$B$32,'Inputs'!$B$30+'Inputs'!$B$31+'Inputs'!$B$32)/1000+'Inputs'!$B$21)+'Inputs'!$B$9)/SQRT((((866-43)*MAX('Inputs'!$B$33,'Inputs'!$B$29+'Inputs'!$B$31+'Inputs'!$B$32,'Inputs'!$B$30+'Inputs'!$B$31+'Inputs'!$B$32)/1000+'Inputs'!$B$21)+'Inputs'!$B$9)^2+('Inputs'!$B$8/2)^2)-(((866-43)*MAX('Inputs'!$B$33,'Inputs'!$B$29+'Inputs'!$B$31+'Inputs'!$B$32,'Inputs'!$B$30+'Inputs'!$B$31+'Inputs'!$B$32)/1000+'Inputs'!$B$21))/SQRT((((866-43)*MAX('Inputs'!$B$33,'Inputs'!$B$29+'Inputs'!$B$31+'Inputs'!$B$32,'Inputs'!$B$30+'Inputs'!$B$31+'Inputs'!$B$32)/1000+'Inputs'!$B$21))^2+('Inputs'!$B$8/2)^2)))-'Results'!B7*(0.5*((((866-43)*MAX('Inputs'!$B$33,'Inputs'!$B$29+'Inputs'!$B$31+'Inputs'!$B$32,'Inputs'!$B$30+'Inputs'!$B$31+'Inputs'!$B$32)/1000+'Inputs'!$B$21+'Inputs'!$B$9+'Inputs'!$B$10)+'Inputs'!$B$7)/SQRT((((866-43)*MAX('Inputs'!$B$33,'Inputs'!$B$29+'Inputs'!$B$31+'Inputs'!$B$32,'Inputs'!$B$30+'Inputs'!$B$31+'Inputs'!$B$32)/1000+'Inputs'!$B$21+'Inputs'!$B$9+'Inputs'!$B$10)+'Inputs'!$B$7)^2+('Inputs'!$B$6/2)^2)-(((866-43)*MAX('Inputs'!$B$33,'Inputs'!$B$29+'Inputs'!$B$31+'Inputs'!$B$32,'Inputs'!$B$30+'Inputs'!$B$31+'Inputs'!$B$32)/1000+'Inputs'!$B$21+'Inputs'!$B$9+'Inputs'!$B$10))/SQRT((((866-43)*MAX('Inputs'!$B$33,'Inputs'!$B$29+'Inputs'!$B$31+'Inputs'!$B$32,'Inputs'!$B$30+'Inputs'!$B$31+'Inputs'!$B$32)/1000+'Inputs'!$B$21+'Inputs'!$B$9+'Inputs'!$B$10))^2+('Inputs'!$B$6/2)^2))))*'Results'!$B$8),"")</x:f>
        <x:v>0.650213157537011</x:v>
      </x:c>
      <x:c r="N866" t="n">
        <x:f>IF(AND(ISNUMBER('Results'!C7),ISNUMBER('Results'!B7),ISNUMBER('Results'!$B$8),ISNUMBER('Inputs'!$B$6),ISNUMBER('Inputs'!$B$7),ISNUMBER('Inputs'!$B$8),ISNUMBER('Inputs'!$B$9),ISNUMBER('Inputs'!$B$10),ISNUMBER('Inputs'!$B$21),ISNUMBER('Inputs'!$B$24),ISNUMBER('Inputs'!$B$28)),((('Results'!C7*(1-'Inputs'!$B$24)*(0.5*((((866-43)*MAX('Inputs'!$B$33,'Inputs'!$B$29+'Inputs'!$B$31+'Inputs'!$B$32,'Inputs'!$B$30+'Inputs'!$B$31+'Inputs'!$B$32)/1000+'Inputs'!$B$21)+'Inputs'!$B$9)/SQRT((((866-43)*MAX('Inputs'!$B$33,'Inputs'!$B$29+'Inputs'!$B$31+'Inputs'!$B$32,'Inputs'!$B$30+'Inputs'!$B$31+'Inputs'!$B$32)/1000+'Inputs'!$B$21)+'Inputs'!$B$9)^2+('Inputs'!$B$8/2)^2)-(((866-43)*MAX('Inputs'!$B$33,'Inputs'!$B$29+'Inputs'!$B$31+'Inputs'!$B$32,'Inputs'!$B$30+'Inputs'!$B$31+'Inputs'!$B$32)/1000+'Inputs'!$B$21))/SQRT((((866-43)*MAX('Inputs'!$B$33,'Inputs'!$B$29+'Inputs'!$B$31+'Inputs'!$B$32,'Inputs'!$B$30+'Inputs'!$B$31+'Inputs'!$B$32)/1000+'Inputs'!$B$21))^2+('Inputs'!$B$8/2)^2)))-'Results'!B7*(1+'Inputs'!$B$24)*(0.5*((((866-43)*MAX('Inputs'!$B$33,'Inputs'!$B$29+'Inputs'!$B$31+'Inputs'!$B$32,'Inputs'!$B$30+'Inputs'!$B$31+'Inputs'!$B$32)/1000+'Inputs'!$B$21+'Inputs'!$B$9+'Inputs'!$B$10)+'Inputs'!$B$7)/SQRT((((866-43)*MAX('Inputs'!$B$33,'Inputs'!$B$29+'Inputs'!$B$31+'Inputs'!$B$32,'Inputs'!$B$30+'Inputs'!$B$31+'Inputs'!$B$32)/1000+'Inputs'!$B$21+'Inputs'!$B$9+'Inputs'!$B$10)+'Inputs'!$B$7)^2+('Inputs'!$B$6/2)^2)-(((866-43)*MAX('Inputs'!$B$33,'Inputs'!$B$29+'Inputs'!$B$31+'Inputs'!$B$32,'Inputs'!$B$30+'Inputs'!$B$31+'Inputs'!$B$32)/1000+'Inputs'!$B$21+'Inputs'!$B$9+'Inputs'!$B$10))/SQRT((((866-43)*MAX('Inputs'!$B$33,'Inputs'!$B$29+'Inputs'!$B$31+'Inputs'!$B$32,'Inputs'!$B$30+'Inputs'!$B$31+'Inputs'!$B$32)/1000+'Inputs'!$B$21+'Inputs'!$B$9+'Inputs'!$B$10))^2+('Inputs'!$B$6/2)^2))))*'Results'!$B$8)-'Inputs'!$B$28*ABS((('Results'!C7*(1-'Inputs'!$B$24)*(0.5*((((866-43)*MAX('Inputs'!$B$33,'Inputs'!$B$29+'Inputs'!$B$31+'Inputs'!$B$32,'Inputs'!$B$30+'Inputs'!$B$31+'Inputs'!$B$32)/1000+'Inputs'!$B$21)+'Inputs'!$B$9)/SQRT((((866-43)*MAX('Inputs'!$B$33,'Inputs'!$B$29+'Inputs'!$B$31+'Inputs'!$B$32,'Inputs'!$B$30+'Inputs'!$B$31+'Inputs'!$B$32)/1000+'Inputs'!$B$21)+'Inputs'!$B$9)^2+('Inputs'!$B$8/2)^2)-(((866-43)*MAX('Inputs'!$B$33,'Inputs'!$B$29+'Inputs'!$B$31+'Inputs'!$B$32,'Inputs'!$B$30+'Inputs'!$B$31+'Inputs'!$B$32)/1000+'Inputs'!$B$21))/SQRT((((866-43)*MAX('Inputs'!$B$33,'Inputs'!$B$29+'Inputs'!$B$31+'Inputs'!$B$32,'Inputs'!$B$30+'Inputs'!$B$31+'Inputs'!$B$32)/1000+'Inputs'!$B$21))^2+('Inputs'!$B$8/2)^2)))-'Results'!B7*(1+'Inputs'!$B$24)*(0.5*((((866-43)*MAX('Inputs'!$B$33,'Inputs'!$B$29+'Inputs'!$B$31+'Inputs'!$B$32,'Inputs'!$B$30+'Inputs'!$B$31+'Inputs'!$B$32)/1000+'Inputs'!$B$21+'Inputs'!$B$9+'Inputs'!$B$10)+'Inputs'!$B$7)/SQRT((((866-43)*MAX('Inputs'!$B$33,'Inputs'!$B$29+'Inputs'!$B$31+'Inputs'!$B$32,'Inputs'!$B$30+'Inputs'!$B$31+'Inputs'!$B$32)/1000+'Inputs'!$B$21+'Inputs'!$B$9+'Inputs'!$B$10)+'Inputs'!$B$7)^2+('Inputs'!$B$6/2)^2)-(((866-43)*MAX('Inputs'!$B$33,'Inputs'!$B$29+'Inputs'!$B$31+'Inputs'!$B$32,'Inputs'!$B$30+'Inputs'!$B$31+'Inputs'!$B$32)/1000+'Inputs'!$B$21+'Inputs'!$B$9+'Inputs'!$B$10))/SQRT((((866-43)*MAX('Inputs'!$B$33,'Inputs'!$B$29+'Inputs'!$B$31+'Inputs'!$B$32,'Inputs'!$B$30+'Inputs'!$B$31+'Inputs'!$B$32)/1000+'Inputs'!$B$21+'Inputs'!$B$9+'Inputs'!$B$10))^2+('Inputs'!$B$6/2)^2))))*'Results'!$B$8))),"")</x:f>
        <x:v>0.5482907654889124</x:v>
      </x:c>
      <x:c r="O866" t="n">
        <x:f>IF(AND(ISNUMBER('Results'!C7),ISNUMBER('Results'!B7),ISNUMBER('Results'!$B$8),ISNUMBER('Inputs'!$B$6),ISNUMBER('Inputs'!$B$7),ISNUMBER('Inputs'!$B$8),ISNUMBER('Inputs'!$B$9),ISNUMBER('Inputs'!$B$10),ISNUMBER('Inputs'!$B$21),ISNUMBER('Inputs'!$B$24),ISNUMBER('Inputs'!$B$28)),((('Results'!C7*(1+'Inputs'!$B$24)*(0.5*((((866-43)*MAX('Inputs'!$B$33,'Inputs'!$B$29+'Inputs'!$B$31+'Inputs'!$B$32,'Inputs'!$B$30+'Inputs'!$B$31+'Inputs'!$B$32)/1000+'Inputs'!$B$21)+'Inputs'!$B$9)/SQRT((((866-43)*MAX('Inputs'!$B$33,'Inputs'!$B$29+'Inputs'!$B$31+'Inputs'!$B$32,'Inputs'!$B$30+'Inputs'!$B$31+'Inputs'!$B$32)/1000+'Inputs'!$B$21)+'Inputs'!$B$9)^2+('Inputs'!$B$8/2)^2)-(((866-43)*MAX('Inputs'!$B$33,'Inputs'!$B$29+'Inputs'!$B$31+'Inputs'!$B$32,'Inputs'!$B$30+'Inputs'!$B$31+'Inputs'!$B$32)/1000+'Inputs'!$B$21))/SQRT((((866-43)*MAX('Inputs'!$B$33,'Inputs'!$B$29+'Inputs'!$B$31+'Inputs'!$B$32,'Inputs'!$B$30+'Inputs'!$B$31+'Inputs'!$B$32)/1000+'Inputs'!$B$21))^2+('Inputs'!$B$8/2)^2)))-'Results'!B7*(1-'Inputs'!$B$24)*(0.5*((((866-43)*MAX('Inputs'!$B$33,'Inputs'!$B$29+'Inputs'!$B$31+'Inputs'!$B$32,'Inputs'!$B$30+'Inputs'!$B$31+'Inputs'!$B$32)/1000+'Inputs'!$B$21+'Inputs'!$B$9+'Inputs'!$B$10)+'Inputs'!$B$7)/SQRT((((866-43)*MAX('Inputs'!$B$33,'Inputs'!$B$29+'Inputs'!$B$31+'Inputs'!$B$32,'Inputs'!$B$30+'Inputs'!$B$31+'Inputs'!$B$32)/1000+'Inputs'!$B$21+'Inputs'!$B$9+'Inputs'!$B$10)+'Inputs'!$B$7)^2+('Inputs'!$B$6/2)^2)-(((866-43)*MAX('Inputs'!$B$33,'Inputs'!$B$29+'Inputs'!$B$31+'Inputs'!$B$32,'Inputs'!$B$30+'Inputs'!$B$31+'Inputs'!$B$32)/1000+'Inputs'!$B$21+'Inputs'!$B$9+'Inputs'!$B$10))/SQRT((((866-43)*MAX('Inputs'!$B$33,'Inputs'!$B$29+'Inputs'!$B$31+'Inputs'!$B$32,'Inputs'!$B$30+'Inputs'!$B$31+'Inputs'!$B$32)/1000+'Inputs'!$B$21+'Inputs'!$B$9+'Inputs'!$B$10))^2+('Inputs'!$B$6/2)^2))))*'Results'!$B$8)+'Inputs'!$B$28*ABS((('Results'!C7*(1+'Inputs'!$B$24)*(0.5*((((866-43)*MAX('Inputs'!$B$33,'Inputs'!$B$29+'Inputs'!$B$31+'Inputs'!$B$32,'Inputs'!$B$30+'Inputs'!$B$31+'Inputs'!$B$32)/1000+'Inputs'!$B$21)+'Inputs'!$B$9)/SQRT((((866-43)*MAX('Inputs'!$B$33,'Inputs'!$B$29+'Inputs'!$B$31+'Inputs'!$B$32,'Inputs'!$B$30+'Inputs'!$B$31+'Inputs'!$B$32)/1000+'Inputs'!$B$21)+'Inputs'!$B$9)^2+('Inputs'!$B$8/2)^2)-(((866-43)*MAX('Inputs'!$B$33,'Inputs'!$B$29+'Inputs'!$B$31+'Inputs'!$B$32,'Inputs'!$B$30+'Inputs'!$B$31+'Inputs'!$B$32)/1000+'Inputs'!$B$21))/SQRT((((866-43)*MAX('Inputs'!$B$33,'Inputs'!$B$29+'Inputs'!$B$31+'Inputs'!$B$32,'Inputs'!$B$30+'Inputs'!$B$31+'Inputs'!$B$32)/1000+'Inputs'!$B$21))^2+('Inputs'!$B$8/2)^2)))-'Results'!B7*(1-'Inputs'!$B$24)*(0.5*((((866-43)*MAX('Inputs'!$B$33,'Inputs'!$B$29+'Inputs'!$B$31+'Inputs'!$B$32,'Inputs'!$B$30+'Inputs'!$B$31+'Inputs'!$B$32)/1000+'Inputs'!$B$21+'Inputs'!$B$9+'Inputs'!$B$10)+'Inputs'!$B$7)/SQRT((((866-43)*MAX('Inputs'!$B$33,'Inputs'!$B$29+'Inputs'!$B$31+'Inputs'!$B$32,'Inputs'!$B$30+'Inputs'!$B$31+'Inputs'!$B$32)/1000+'Inputs'!$B$21+'Inputs'!$B$9+'Inputs'!$B$10)+'Inputs'!$B$7)^2+('Inputs'!$B$6/2)^2)-(((866-43)*MAX('Inputs'!$B$33,'Inputs'!$B$29+'Inputs'!$B$31+'Inputs'!$B$32,'Inputs'!$B$30+'Inputs'!$B$31+'Inputs'!$B$32)/1000+'Inputs'!$B$21+'Inputs'!$B$9+'Inputs'!$B$10))/SQRT((((866-43)*MAX('Inputs'!$B$33,'Inputs'!$B$29+'Inputs'!$B$31+'Inputs'!$B$32,'Inputs'!$B$30+'Inputs'!$B$31+'Inputs'!$B$32)/1000+'Inputs'!$B$21+'Inputs'!$B$9+'Inputs'!$B$10))^2+('Inputs'!$B$6/2)^2))))*'Results'!$B$8))),"")</x:f>
        <x:v>0.7594420479189253</x:v>
      </x:c>
      <x:c r="P866" t="n">
        <x:f>IF(AND(MAX(J866,J865)&gt;0,J866&gt;J865+0.00000001),1,0)</x:f>
        <x:v>0</x:v>
      </x:c>
      <x:c r="Q866" t="n">
        <x:f>IF(AND(MAX(K866,K865)&gt;0,K866&gt;K865+0.00000001),1,0)</x:f>
        <x:v>0</x:v>
      </x:c>
      <x:c r="R866" t="n">
        <x:f>IF(AND(MAX(L866,L865)&gt;0,L866&gt;L865+0.00000001),1,0)</x:f>
        <x:v>0</x:v>
      </x:c>
      <x:c r="S866" t="n">
        <x:f>IF(AND(MAX(M866,M865)&gt;0,M866&gt;M865+0.00000001),1,0)</x:f>
        <x:v>0</x:v>
      </x:c>
      <x:c r="T866" t="n">
        <x:f>IF(AND(MAX(N866,N865)&gt;0,N866&gt;N865+0.00000001),1,0)</x:f>
        <x:v>0</x:v>
      </x:c>
      <x:c r="U866" t="n">
        <x:f>IF(AND(MAX(O866,O865)&gt;0,O866&gt;O865+0.00000001),1,0)</x:f>
        <x:v>0</x:v>
      </x:c>
    </x:row>
    <x:row r="867">
      <x:c r="J867" t="n">
        <x:f>IF(AND(ISNUMBER('Results'!B7),ISNUMBER('Results'!C7),ISNUMBER('Results'!$B$8),ISNUMBER('Inputs'!$B$6),ISNUMBER('Inputs'!$B$7),ISNUMBER('Inputs'!$B$8),ISNUMBER('Inputs'!$B$9),ISNUMBER('Inputs'!$B$10),ISNUMBER('Inputs'!$B$21),ISNUMBER('Inputs'!$B$24),ISNUMBER('Inputs'!$B$28)),(('Results'!B7*(0.5*((((867-43)*MAX('Inputs'!$B$33,'Inputs'!$B$29+'Inputs'!$B$31+'Inputs'!$B$32,'Inputs'!$B$30+'Inputs'!$B$31+'Inputs'!$B$32)/1000+'Inputs'!$B$21)+'Inputs'!$B$7)/SQRT((((867-43)*MAX('Inputs'!$B$33,'Inputs'!$B$29+'Inputs'!$B$31+'Inputs'!$B$32,'Inputs'!$B$30+'Inputs'!$B$31+'Inputs'!$B$32)/1000+'Inputs'!$B$21)+'Inputs'!$B$7)^2+('Inputs'!$B$6/2)^2)-(((867-43)*MAX('Inputs'!$B$33,'Inputs'!$B$29+'Inputs'!$B$31+'Inputs'!$B$32,'Inputs'!$B$30+'Inputs'!$B$31+'Inputs'!$B$32)/1000+'Inputs'!$B$21))/SQRT((((867-43)*MAX('Inputs'!$B$33,'Inputs'!$B$29+'Inputs'!$B$31+'Inputs'!$B$32,'Inputs'!$B$30+'Inputs'!$B$31+'Inputs'!$B$32)/1000+'Inputs'!$B$21))^2+('Inputs'!$B$6/2)^2)))-'Results'!C7*(0.5*((((867-43)*MAX('Inputs'!$B$33,'Inputs'!$B$29+'Inputs'!$B$31+'Inputs'!$B$32,'Inputs'!$B$30+'Inputs'!$B$31+'Inputs'!$B$32)/1000+'Inputs'!$B$21+'Inputs'!$B$7+'Inputs'!$B$10)+'Inputs'!$B$9)/SQRT((((867-43)*MAX('Inputs'!$B$33,'Inputs'!$B$29+'Inputs'!$B$31+'Inputs'!$B$32,'Inputs'!$B$30+'Inputs'!$B$31+'Inputs'!$B$32)/1000+'Inputs'!$B$21+'Inputs'!$B$7+'Inputs'!$B$10)+'Inputs'!$B$9)^2+('Inputs'!$B$8/2)^2)-(((867-43)*MAX('Inputs'!$B$33,'Inputs'!$B$29+'Inputs'!$B$31+'Inputs'!$B$32,'Inputs'!$B$30+'Inputs'!$B$31+'Inputs'!$B$32)/1000+'Inputs'!$B$21+'Inputs'!$B$7+'Inputs'!$B$10))/SQRT((((867-43)*MAX('Inputs'!$B$33,'Inputs'!$B$29+'Inputs'!$B$31+'Inputs'!$B$32,'Inputs'!$B$30+'Inputs'!$B$31+'Inputs'!$B$32)/1000+'Inputs'!$B$21+'Inputs'!$B$7+'Inputs'!$B$10))^2+('Inputs'!$B$8/2)^2))))*'Results'!$B$8),"")</x:f>
        <x:v>0.7209944670185927</x:v>
      </x:c>
      <x:c r="K867" t="n">
        <x:f>IF(AND(ISNUMBER('Results'!B7),ISNUMBER('Results'!C7),ISNUMBER('Results'!$B$8),ISNUMBER('Inputs'!$B$6),ISNUMBER('Inputs'!$B$7),ISNUMBER('Inputs'!$B$8),ISNUMBER('Inputs'!$B$9),ISNUMBER('Inputs'!$B$10),ISNUMBER('Inputs'!$B$21),ISNUMBER('Inputs'!$B$24),ISNUMBER('Inputs'!$B$28)),((('Results'!B7*(1-'Inputs'!$B$24)*(0.5*((((867-43)*MAX('Inputs'!$B$33,'Inputs'!$B$29+'Inputs'!$B$31+'Inputs'!$B$32,'Inputs'!$B$30+'Inputs'!$B$31+'Inputs'!$B$32)/1000+'Inputs'!$B$21)+'Inputs'!$B$7)/SQRT((((867-43)*MAX('Inputs'!$B$33,'Inputs'!$B$29+'Inputs'!$B$31+'Inputs'!$B$32,'Inputs'!$B$30+'Inputs'!$B$31+'Inputs'!$B$32)/1000+'Inputs'!$B$21)+'Inputs'!$B$7)^2+('Inputs'!$B$6/2)^2)-(((867-43)*MAX('Inputs'!$B$33,'Inputs'!$B$29+'Inputs'!$B$31+'Inputs'!$B$32,'Inputs'!$B$30+'Inputs'!$B$31+'Inputs'!$B$32)/1000+'Inputs'!$B$21))/SQRT((((867-43)*MAX('Inputs'!$B$33,'Inputs'!$B$29+'Inputs'!$B$31+'Inputs'!$B$32,'Inputs'!$B$30+'Inputs'!$B$31+'Inputs'!$B$32)/1000+'Inputs'!$B$21))^2+('Inputs'!$B$6/2)^2)))-'Results'!C7*(1+'Inputs'!$B$24)*(0.5*((((867-43)*MAX('Inputs'!$B$33,'Inputs'!$B$29+'Inputs'!$B$31+'Inputs'!$B$32,'Inputs'!$B$30+'Inputs'!$B$31+'Inputs'!$B$32)/1000+'Inputs'!$B$21+'Inputs'!$B$7+'Inputs'!$B$10)+'Inputs'!$B$9)/SQRT((((867-43)*MAX('Inputs'!$B$33,'Inputs'!$B$29+'Inputs'!$B$31+'Inputs'!$B$32,'Inputs'!$B$30+'Inputs'!$B$31+'Inputs'!$B$32)/1000+'Inputs'!$B$21+'Inputs'!$B$7+'Inputs'!$B$10)+'Inputs'!$B$9)^2+('Inputs'!$B$8/2)^2)-(((867-43)*MAX('Inputs'!$B$33,'Inputs'!$B$29+'Inputs'!$B$31+'Inputs'!$B$32,'Inputs'!$B$30+'Inputs'!$B$31+'Inputs'!$B$32)/1000+'Inputs'!$B$21+'Inputs'!$B$7+'Inputs'!$B$10))/SQRT((((867-43)*MAX('Inputs'!$B$33,'Inputs'!$B$29+'Inputs'!$B$31+'Inputs'!$B$32,'Inputs'!$B$30+'Inputs'!$B$31+'Inputs'!$B$32)/1000+'Inputs'!$B$21+'Inputs'!$B$7+'Inputs'!$B$10))^2+('Inputs'!$B$8/2)^2))))*'Results'!$B$8)-'Inputs'!$B$28*ABS((('Results'!B7*(1-'Inputs'!$B$24)*(0.5*((((867-43)*MAX('Inputs'!$B$33,'Inputs'!$B$29+'Inputs'!$B$31+'Inputs'!$B$32,'Inputs'!$B$30+'Inputs'!$B$31+'Inputs'!$B$32)/1000+'Inputs'!$B$21)+'Inputs'!$B$7)/SQRT((((867-43)*MAX('Inputs'!$B$33,'Inputs'!$B$29+'Inputs'!$B$31+'Inputs'!$B$32,'Inputs'!$B$30+'Inputs'!$B$31+'Inputs'!$B$32)/1000+'Inputs'!$B$21)+'Inputs'!$B$7)^2+('Inputs'!$B$6/2)^2)-(((867-43)*MAX('Inputs'!$B$33,'Inputs'!$B$29+'Inputs'!$B$31+'Inputs'!$B$32,'Inputs'!$B$30+'Inputs'!$B$31+'Inputs'!$B$32)/1000+'Inputs'!$B$21))/SQRT((((867-43)*MAX('Inputs'!$B$33,'Inputs'!$B$29+'Inputs'!$B$31+'Inputs'!$B$32,'Inputs'!$B$30+'Inputs'!$B$31+'Inputs'!$B$32)/1000+'Inputs'!$B$21))^2+('Inputs'!$B$6/2)^2)))-'Results'!C7*(1+'Inputs'!$B$24)*(0.5*((((867-43)*MAX('Inputs'!$B$33,'Inputs'!$B$29+'Inputs'!$B$31+'Inputs'!$B$32,'Inputs'!$B$30+'Inputs'!$B$31+'Inputs'!$B$32)/1000+'Inputs'!$B$21+'Inputs'!$B$7+'Inputs'!$B$10)+'Inputs'!$B$9)/SQRT((((867-43)*MAX('Inputs'!$B$33,'Inputs'!$B$29+'Inputs'!$B$31+'Inputs'!$B$32,'Inputs'!$B$30+'Inputs'!$B$31+'Inputs'!$B$32)/1000+'Inputs'!$B$21+'Inputs'!$B$7+'Inputs'!$B$10)+'Inputs'!$B$9)^2+('Inputs'!$B$8/2)^2)-(((867-43)*MAX('Inputs'!$B$33,'Inputs'!$B$29+'Inputs'!$B$31+'Inputs'!$B$32,'Inputs'!$B$30+'Inputs'!$B$31+'Inputs'!$B$32)/1000+'Inputs'!$B$21+'Inputs'!$B$7+'Inputs'!$B$10))/SQRT((((867-43)*MAX('Inputs'!$B$33,'Inputs'!$B$29+'Inputs'!$B$31+'Inputs'!$B$32,'Inputs'!$B$30+'Inputs'!$B$31+'Inputs'!$B$32)/1000+'Inputs'!$B$21+'Inputs'!$B$7+'Inputs'!$B$10))^2+('Inputs'!$B$8/2)^2))))*'Results'!$B$8))),"")</x:f>
        <x:v>0.6155030495044669</x:v>
      </x:c>
      <x:c r="L867" t="n">
        <x:f>IF(AND(ISNUMBER('Results'!B7),ISNUMBER('Results'!C7),ISNUMBER('Results'!$B$8),ISNUMBER('Inputs'!$B$6),ISNUMBER('Inputs'!$B$7),ISNUMBER('Inputs'!$B$8),ISNUMBER('Inputs'!$B$9),ISNUMBER('Inputs'!$B$10),ISNUMBER('Inputs'!$B$21),ISNUMBER('Inputs'!$B$24),ISNUMBER('Inputs'!$B$28)),((('Results'!B7*(1+'Inputs'!$B$24)*(0.5*((((867-43)*MAX('Inputs'!$B$33,'Inputs'!$B$29+'Inputs'!$B$31+'Inputs'!$B$32,'Inputs'!$B$30+'Inputs'!$B$31+'Inputs'!$B$32)/1000+'Inputs'!$B$21)+'Inputs'!$B$7)/SQRT((((867-43)*MAX('Inputs'!$B$33,'Inputs'!$B$29+'Inputs'!$B$31+'Inputs'!$B$32,'Inputs'!$B$30+'Inputs'!$B$31+'Inputs'!$B$32)/1000+'Inputs'!$B$21)+'Inputs'!$B$7)^2+('Inputs'!$B$6/2)^2)-(((867-43)*MAX('Inputs'!$B$33,'Inputs'!$B$29+'Inputs'!$B$31+'Inputs'!$B$32,'Inputs'!$B$30+'Inputs'!$B$31+'Inputs'!$B$32)/1000+'Inputs'!$B$21))/SQRT((((867-43)*MAX('Inputs'!$B$33,'Inputs'!$B$29+'Inputs'!$B$31+'Inputs'!$B$32,'Inputs'!$B$30+'Inputs'!$B$31+'Inputs'!$B$32)/1000+'Inputs'!$B$21))^2+('Inputs'!$B$6/2)^2)))-'Results'!C7*(1-'Inputs'!$B$24)*(0.5*((((867-43)*MAX('Inputs'!$B$33,'Inputs'!$B$29+'Inputs'!$B$31+'Inputs'!$B$32,'Inputs'!$B$30+'Inputs'!$B$31+'Inputs'!$B$32)/1000+'Inputs'!$B$21+'Inputs'!$B$7+'Inputs'!$B$10)+'Inputs'!$B$9)/SQRT((((867-43)*MAX('Inputs'!$B$33,'Inputs'!$B$29+'Inputs'!$B$31+'Inputs'!$B$32,'Inputs'!$B$30+'Inputs'!$B$31+'Inputs'!$B$32)/1000+'Inputs'!$B$21+'Inputs'!$B$7+'Inputs'!$B$10)+'Inputs'!$B$9)^2+('Inputs'!$B$8/2)^2)-(((867-43)*MAX('Inputs'!$B$33,'Inputs'!$B$29+'Inputs'!$B$31+'Inputs'!$B$32,'Inputs'!$B$30+'Inputs'!$B$31+'Inputs'!$B$32)/1000+'Inputs'!$B$21+'Inputs'!$B$7+'Inputs'!$B$10))/SQRT((((867-43)*MAX('Inputs'!$B$33,'Inputs'!$B$29+'Inputs'!$B$31+'Inputs'!$B$32,'Inputs'!$B$30+'Inputs'!$B$31+'Inputs'!$B$32)/1000+'Inputs'!$B$21+'Inputs'!$B$7+'Inputs'!$B$10))^2+('Inputs'!$B$8/2)^2))))*'Results'!$B$8)+'Inputs'!$B$28*ABS((('Results'!B7*(1+'Inputs'!$B$24)*(0.5*((((867-43)*MAX('Inputs'!$B$33,'Inputs'!$B$29+'Inputs'!$B$31+'Inputs'!$B$32,'Inputs'!$B$30+'Inputs'!$B$31+'Inputs'!$B$32)/1000+'Inputs'!$B$21)+'Inputs'!$B$7)/SQRT((((867-43)*MAX('Inputs'!$B$33,'Inputs'!$B$29+'Inputs'!$B$31+'Inputs'!$B$32,'Inputs'!$B$30+'Inputs'!$B$31+'Inputs'!$B$32)/1000+'Inputs'!$B$21)+'Inputs'!$B$7)^2+('Inputs'!$B$6/2)^2)-(((867-43)*MAX('Inputs'!$B$33,'Inputs'!$B$29+'Inputs'!$B$31+'Inputs'!$B$32,'Inputs'!$B$30+'Inputs'!$B$31+'Inputs'!$B$32)/1000+'Inputs'!$B$21))/SQRT((((867-43)*MAX('Inputs'!$B$33,'Inputs'!$B$29+'Inputs'!$B$31+'Inputs'!$B$32,'Inputs'!$B$30+'Inputs'!$B$31+'Inputs'!$B$32)/1000+'Inputs'!$B$21))^2+('Inputs'!$B$6/2)^2)))-'Results'!C7*(1-'Inputs'!$B$24)*(0.5*((((867-43)*MAX('Inputs'!$B$33,'Inputs'!$B$29+'Inputs'!$B$31+'Inputs'!$B$32,'Inputs'!$B$30+'Inputs'!$B$31+'Inputs'!$B$32)/1000+'Inputs'!$B$21+'Inputs'!$B$7+'Inputs'!$B$10)+'Inputs'!$B$9)/SQRT((((867-43)*MAX('Inputs'!$B$33,'Inputs'!$B$29+'Inputs'!$B$31+'Inputs'!$B$32,'Inputs'!$B$30+'Inputs'!$B$31+'Inputs'!$B$32)/1000+'Inputs'!$B$21+'Inputs'!$B$7+'Inputs'!$B$10)+'Inputs'!$B$9)^2+('Inputs'!$B$8/2)^2)-(((867-43)*MAX('Inputs'!$B$33,'Inputs'!$B$29+'Inputs'!$B$31+'Inputs'!$B$32,'Inputs'!$B$30+'Inputs'!$B$31+'Inputs'!$B$32)/1000+'Inputs'!$B$21+'Inputs'!$B$7+'Inputs'!$B$10))/SQRT((((867-43)*MAX('Inputs'!$B$33,'Inputs'!$B$29+'Inputs'!$B$31+'Inputs'!$B$32,'Inputs'!$B$30+'Inputs'!$B$31+'Inputs'!$B$32)/1000+'Inputs'!$B$21+'Inputs'!$B$7+'Inputs'!$B$10))^2+('Inputs'!$B$8/2)^2))))*'Results'!$B$8))),"")</x:f>
        <x:v>0.8337955365498972</x:v>
      </x:c>
      <x:c r="M867" t="n">
        <x:f>IF(AND(ISNUMBER('Results'!C7),ISNUMBER('Results'!B7),ISNUMBER('Results'!$B$8),ISNUMBER('Inputs'!$B$6),ISNUMBER('Inputs'!$B$7),ISNUMBER('Inputs'!$B$8),ISNUMBER('Inputs'!$B$9),ISNUMBER('Inputs'!$B$10),ISNUMBER('Inputs'!$B$21),ISNUMBER('Inputs'!$B$24),ISNUMBER('Inputs'!$B$28)),(('Results'!C7*(0.5*((((867-43)*MAX('Inputs'!$B$33,'Inputs'!$B$29+'Inputs'!$B$31+'Inputs'!$B$32,'Inputs'!$B$30+'Inputs'!$B$31+'Inputs'!$B$32)/1000+'Inputs'!$B$21)+'Inputs'!$B$9)/SQRT((((867-43)*MAX('Inputs'!$B$33,'Inputs'!$B$29+'Inputs'!$B$31+'Inputs'!$B$32,'Inputs'!$B$30+'Inputs'!$B$31+'Inputs'!$B$32)/1000+'Inputs'!$B$21)+'Inputs'!$B$9)^2+('Inputs'!$B$8/2)^2)-(((867-43)*MAX('Inputs'!$B$33,'Inputs'!$B$29+'Inputs'!$B$31+'Inputs'!$B$32,'Inputs'!$B$30+'Inputs'!$B$31+'Inputs'!$B$32)/1000+'Inputs'!$B$21))/SQRT((((867-43)*MAX('Inputs'!$B$33,'Inputs'!$B$29+'Inputs'!$B$31+'Inputs'!$B$32,'Inputs'!$B$30+'Inputs'!$B$31+'Inputs'!$B$32)/1000+'Inputs'!$B$21))^2+('Inputs'!$B$8/2)^2)))-'Results'!B7*(0.5*((((867-43)*MAX('Inputs'!$B$33,'Inputs'!$B$29+'Inputs'!$B$31+'Inputs'!$B$32,'Inputs'!$B$30+'Inputs'!$B$31+'Inputs'!$B$32)/1000+'Inputs'!$B$21+'Inputs'!$B$9+'Inputs'!$B$10)+'Inputs'!$B$7)/SQRT((((867-43)*MAX('Inputs'!$B$33,'Inputs'!$B$29+'Inputs'!$B$31+'Inputs'!$B$32,'Inputs'!$B$30+'Inputs'!$B$31+'Inputs'!$B$32)/1000+'Inputs'!$B$21+'Inputs'!$B$9+'Inputs'!$B$10)+'Inputs'!$B$7)^2+('Inputs'!$B$6/2)^2)-(((867-43)*MAX('Inputs'!$B$33,'Inputs'!$B$29+'Inputs'!$B$31+'Inputs'!$B$32,'Inputs'!$B$30+'Inputs'!$B$31+'Inputs'!$B$32)/1000+'Inputs'!$B$21+'Inputs'!$B$9+'Inputs'!$B$10))/SQRT((((867-43)*MAX('Inputs'!$B$33,'Inputs'!$B$29+'Inputs'!$B$31+'Inputs'!$B$32,'Inputs'!$B$30+'Inputs'!$B$31+'Inputs'!$B$32)/1000+'Inputs'!$B$21+'Inputs'!$B$9+'Inputs'!$B$10))^2+('Inputs'!$B$6/2)^2))))*'Results'!$B$8),"")</x:f>
        <x:v>0.6472992057158747</x:v>
      </x:c>
      <x:c r="N867" t="n">
        <x:f>IF(AND(ISNUMBER('Results'!C7),ISNUMBER('Results'!B7),ISNUMBER('Results'!$B$8),ISNUMBER('Inputs'!$B$6),ISNUMBER('Inputs'!$B$7),ISNUMBER('Inputs'!$B$8),ISNUMBER('Inputs'!$B$9),ISNUMBER('Inputs'!$B$10),ISNUMBER('Inputs'!$B$21),ISNUMBER('Inputs'!$B$24),ISNUMBER('Inputs'!$B$28)),((('Results'!C7*(1-'Inputs'!$B$24)*(0.5*((((867-43)*MAX('Inputs'!$B$33,'Inputs'!$B$29+'Inputs'!$B$31+'Inputs'!$B$32,'Inputs'!$B$30+'Inputs'!$B$31+'Inputs'!$B$32)/1000+'Inputs'!$B$21)+'Inputs'!$B$9)/SQRT((((867-43)*MAX('Inputs'!$B$33,'Inputs'!$B$29+'Inputs'!$B$31+'Inputs'!$B$32,'Inputs'!$B$30+'Inputs'!$B$31+'Inputs'!$B$32)/1000+'Inputs'!$B$21)+'Inputs'!$B$9)^2+('Inputs'!$B$8/2)^2)-(((867-43)*MAX('Inputs'!$B$33,'Inputs'!$B$29+'Inputs'!$B$31+'Inputs'!$B$32,'Inputs'!$B$30+'Inputs'!$B$31+'Inputs'!$B$32)/1000+'Inputs'!$B$21))/SQRT((((867-43)*MAX('Inputs'!$B$33,'Inputs'!$B$29+'Inputs'!$B$31+'Inputs'!$B$32,'Inputs'!$B$30+'Inputs'!$B$31+'Inputs'!$B$32)/1000+'Inputs'!$B$21))^2+('Inputs'!$B$8/2)^2)))-'Results'!B7*(1+'Inputs'!$B$24)*(0.5*((((867-43)*MAX('Inputs'!$B$33,'Inputs'!$B$29+'Inputs'!$B$31+'Inputs'!$B$32,'Inputs'!$B$30+'Inputs'!$B$31+'Inputs'!$B$32)/1000+'Inputs'!$B$21+'Inputs'!$B$9+'Inputs'!$B$10)+'Inputs'!$B$7)/SQRT((((867-43)*MAX('Inputs'!$B$33,'Inputs'!$B$29+'Inputs'!$B$31+'Inputs'!$B$32,'Inputs'!$B$30+'Inputs'!$B$31+'Inputs'!$B$32)/1000+'Inputs'!$B$21+'Inputs'!$B$9+'Inputs'!$B$10)+'Inputs'!$B$7)^2+('Inputs'!$B$6/2)^2)-(((867-43)*MAX('Inputs'!$B$33,'Inputs'!$B$29+'Inputs'!$B$31+'Inputs'!$B$32,'Inputs'!$B$30+'Inputs'!$B$31+'Inputs'!$B$32)/1000+'Inputs'!$B$21+'Inputs'!$B$9+'Inputs'!$B$10))/SQRT((((867-43)*MAX('Inputs'!$B$33,'Inputs'!$B$29+'Inputs'!$B$31+'Inputs'!$B$32,'Inputs'!$B$30+'Inputs'!$B$31+'Inputs'!$B$32)/1000+'Inputs'!$B$21+'Inputs'!$B$9+'Inputs'!$B$10))^2+('Inputs'!$B$6/2)^2))))*'Results'!$B$8)-'Inputs'!$B$28*ABS((('Results'!C7*(1-'Inputs'!$B$24)*(0.5*((((867-43)*MAX('Inputs'!$B$33,'Inputs'!$B$29+'Inputs'!$B$31+'Inputs'!$B$32,'Inputs'!$B$30+'Inputs'!$B$31+'Inputs'!$B$32)/1000+'Inputs'!$B$21)+'Inputs'!$B$9)/SQRT((((867-43)*MAX('Inputs'!$B$33,'Inputs'!$B$29+'Inputs'!$B$31+'Inputs'!$B$32,'Inputs'!$B$30+'Inputs'!$B$31+'Inputs'!$B$32)/1000+'Inputs'!$B$21)+'Inputs'!$B$9)^2+('Inputs'!$B$8/2)^2)-(((867-43)*MAX('Inputs'!$B$33,'Inputs'!$B$29+'Inputs'!$B$31+'Inputs'!$B$32,'Inputs'!$B$30+'Inputs'!$B$31+'Inputs'!$B$32)/1000+'Inputs'!$B$21))/SQRT((((867-43)*MAX('Inputs'!$B$33,'Inputs'!$B$29+'Inputs'!$B$31+'Inputs'!$B$32,'Inputs'!$B$30+'Inputs'!$B$31+'Inputs'!$B$32)/1000+'Inputs'!$B$21))^2+('Inputs'!$B$8/2)^2)))-'Results'!B7*(1+'Inputs'!$B$24)*(0.5*((((867-43)*MAX('Inputs'!$B$33,'Inputs'!$B$29+'Inputs'!$B$31+'Inputs'!$B$32,'Inputs'!$B$30+'Inputs'!$B$31+'Inputs'!$B$32)/1000+'Inputs'!$B$21+'Inputs'!$B$9+'Inputs'!$B$10)+'Inputs'!$B$7)/SQRT((((867-43)*MAX('Inputs'!$B$33,'Inputs'!$B$29+'Inputs'!$B$31+'Inputs'!$B$32,'Inputs'!$B$30+'Inputs'!$B$31+'Inputs'!$B$32)/1000+'Inputs'!$B$21+'Inputs'!$B$9+'Inputs'!$B$10)+'Inputs'!$B$7)^2+('Inputs'!$B$6/2)^2)-(((867-43)*MAX('Inputs'!$B$33,'Inputs'!$B$29+'Inputs'!$B$31+'Inputs'!$B$32,'Inputs'!$B$30+'Inputs'!$B$31+'Inputs'!$B$32)/1000+'Inputs'!$B$21+'Inputs'!$B$9+'Inputs'!$B$10))/SQRT((((867-43)*MAX('Inputs'!$B$33,'Inputs'!$B$29+'Inputs'!$B$31+'Inputs'!$B$32,'Inputs'!$B$30+'Inputs'!$B$31+'Inputs'!$B$32)/1000+'Inputs'!$B$21+'Inputs'!$B$9+'Inputs'!$B$10))^2+('Inputs'!$B$6/2)^2))))*'Results'!$B$8))),"")</x:f>
        <x:v>0.5457551530828638</x:v>
      </x:c>
      <x:c r="O867" t="n">
        <x:f>IF(AND(ISNUMBER('Results'!C7),ISNUMBER('Results'!B7),ISNUMBER('Results'!$B$8),ISNUMBER('Inputs'!$B$6),ISNUMBER('Inputs'!$B$7),ISNUMBER('Inputs'!$B$8),ISNUMBER('Inputs'!$B$9),ISNUMBER('Inputs'!$B$10),ISNUMBER('Inputs'!$B$21),ISNUMBER('Inputs'!$B$24),ISNUMBER('Inputs'!$B$28)),((('Results'!C7*(1+'Inputs'!$B$24)*(0.5*((((867-43)*MAX('Inputs'!$B$33,'Inputs'!$B$29+'Inputs'!$B$31+'Inputs'!$B$32,'Inputs'!$B$30+'Inputs'!$B$31+'Inputs'!$B$32)/1000+'Inputs'!$B$21)+'Inputs'!$B$9)/SQRT((((867-43)*MAX('Inputs'!$B$33,'Inputs'!$B$29+'Inputs'!$B$31+'Inputs'!$B$32,'Inputs'!$B$30+'Inputs'!$B$31+'Inputs'!$B$32)/1000+'Inputs'!$B$21)+'Inputs'!$B$9)^2+('Inputs'!$B$8/2)^2)-(((867-43)*MAX('Inputs'!$B$33,'Inputs'!$B$29+'Inputs'!$B$31+'Inputs'!$B$32,'Inputs'!$B$30+'Inputs'!$B$31+'Inputs'!$B$32)/1000+'Inputs'!$B$21))/SQRT((((867-43)*MAX('Inputs'!$B$33,'Inputs'!$B$29+'Inputs'!$B$31+'Inputs'!$B$32,'Inputs'!$B$30+'Inputs'!$B$31+'Inputs'!$B$32)/1000+'Inputs'!$B$21))^2+('Inputs'!$B$8/2)^2)))-'Results'!B7*(1-'Inputs'!$B$24)*(0.5*((((867-43)*MAX('Inputs'!$B$33,'Inputs'!$B$29+'Inputs'!$B$31+'Inputs'!$B$32,'Inputs'!$B$30+'Inputs'!$B$31+'Inputs'!$B$32)/1000+'Inputs'!$B$21+'Inputs'!$B$9+'Inputs'!$B$10)+'Inputs'!$B$7)/SQRT((((867-43)*MAX('Inputs'!$B$33,'Inputs'!$B$29+'Inputs'!$B$31+'Inputs'!$B$32,'Inputs'!$B$30+'Inputs'!$B$31+'Inputs'!$B$32)/1000+'Inputs'!$B$21+'Inputs'!$B$9+'Inputs'!$B$10)+'Inputs'!$B$7)^2+('Inputs'!$B$6/2)^2)-(((867-43)*MAX('Inputs'!$B$33,'Inputs'!$B$29+'Inputs'!$B$31+'Inputs'!$B$32,'Inputs'!$B$30+'Inputs'!$B$31+'Inputs'!$B$32)/1000+'Inputs'!$B$21+'Inputs'!$B$9+'Inputs'!$B$10))/SQRT((((867-43)*MAX('Inputs'!$B$33,'Inputs'!$B$29+'Inputs'!$B$31+'Inputs'!$B$32,'Inputs'!$B$30+'Inputs'!$B$31+'Inputs'!$B$32)/1000+'Inputs'!$B$21+'Inputs'!$B$9+'Inputs'!$B$10))^2+('Inputs'!$B$6/2)^2))))*'Results'!$B$8)+'Inputs'!$B$28*ABS((('Results'!C7*(1+'Inputs'!$B$24)*(0.5*((((867-43)*MAX('Inputs'!$B$33,'Inputs'!$B$29+'Inputs'!$B$31+'Inputs'!$B$32,'Inputs'!$B$30+'Inputs'!$B$31+'Inputs'!$B$32)/1000+'Inputs'!$B$21)+'Inputs'!$B$9)/SQRT((((867-43)*MAX('Inputs'!$B$33,'Inputs'!$B$29+'Inputs'!$B$31+'Inputs'!$B$32,'Inputs'!$B$30+'Inputs'!$B$31+'Inputs'!$B$32)/1000+'Inputs'!$B$21)+'Inputs'!$B$9)^2+('Inputs'!$B$8/2)^2)-(((867-43)*MAX('Inputs'!$B$33,'Inputs'!$B$29+'Inputs'!$B$31+'Inputs'!$B$32,'Inputs'!$B$30+'Inputs'!$B$31+'Inputs'!$B$32)/1000+'Inputs'!$B$21))/SQRT((((867-43)*MAX('Inputs'!$B$33,'Inputs'!$B$29+'Inputs'!$B$31+'Inputs'!$B$32,'Inputs'!$B$30+'Inputs'!$B$31+'Inputs'!$B$32)/1000+'Inputs'!$B$21))^2+('Inputs'!$B$8/2)^2)))-'Results'!B7*(1-'Inputs'!$B$24)*(0.5*((((867-43)*MAX('Inputs'!$B$33,'Inputs'!$B$29+'Inputs'!$B$31+'Inputs'!$B$32,'Inputs'!$B$30+'Inputs'!$B$31+'Inputs'!$B$32)/1000+'Inputs'!$B$21+'Inputs'!$B$9+'Inputs'!$B$10)+'Inputs'!$B$7)/SQRT((((867-43)*MAX('Inputs'!$B$33,'Inputs'!$B$29+'Inputs'!$B$31+'Inputs'!$B$32,'Inputs'!$B$30+'Inputs'!$B$31+'Inputs'!$B$32)/1000+'Inputs'!$B$21+'Inputs'!$B$9+'Inputs'!$B$10)+'Inputs'!$B$7)^2+('Inputs'!$B$6/2)^2)-(((867-43)*MAX('Inputs'!$B$33,'Inputs'!$B$29+'Inputs'!$B$31+'Inputs'!$B$32,'Inputs'!$B$30+'Inputs'!$B$31+'Inputs'!$B$32)/1000+'Inputs'!$B$21+'Inputs'!$B$9+'Inputs'!$B$10))/SQRT((((867-43)*MAX('Inputs'!$B$33,'Inputs'!$B$29+'Inputs'!$B$31+'Inputs'!$B$32,'Inputs'!$B$30+'Inputs'!$B$31+'Inputs'!$B$32)/1000+'Inputs'!$B$21+'Inputs'!$B$9+'Inputs'!$B$10))^2+('Inputs'!$B$6/2)^2))))*'Results'!$B$8))),"")</x:f>
        <x:v>0.7561252680696449</x:v>
      </x:c>
      <x:c r="P867" t="n">
        <x:f>IF(AND(MAX(J867,J866)&gt;0,J867&gt;J866+0.00000001),1,0)</x:f>
        <x:v>0</x:v>
      </x:c>
      <x:c r="Q867" t="n">
        <x:f>IF(AND(MAX(K867,K866)&gt;0,K867&gt;K866+0.00000001),1,0)</x:f>
        <x:v>0</x:v>
      </x:c>
      <x:c r="R867" t="n">
        <x:f>IF(AND(MAX(L867,L866)&gt;0,L867&gt;L866+0.00000001),1,0)</x:f>
        <x:v>0</x:v>
      </x:c>
      <x:c r="S867" t="n">
        <x:f>IF(AND(MAX(M867,M866)&gt;0,M867&gt;M866+0.00000001),1,0)</x:f>
        <x:v>0</x:v>
      </x:c>
      <x:c r="T867" t="n">
        <x:f>IF(AND(MAX(N867,N866)&gt;0,N867&gt;N866+0.00000001),1,0)</x:f>
        <x:v>0</x:v>
      </x:c>
      <x:c r="U867" t="n">
        <x:f>IF(AND(MAX(O867,O866)&gt;0,O867&gt;O866+0.00000001),1,0)</x:f>
        <x:v>0</x:v>
      </x:c>
    </x:row>
    <x:row r="868">
      <x:c r="J868" t="n">
        <x:f>IF(AND(ISNUMBER('Results'!B7),ISNUMBER('Results'!C7),ISNUMBER('Results'!$B$8),ISNUMBER('Inputs'!$B$6),ISNUMBER('Inputs'!$B$7),ISNUMBER('Inputs'!$B$8),ISNUMBER('Inputs'!$B$9),ISNUMBER('Inputs'!$B$10),ISNUMBER('Inputs'!$B$21),ISNUMBER('Inputs'!$B$24),ISNUMBER('Inputs'!$B$28)),(('Results'!B7*(0.5*((((868-43)*MAX('Inputs'!$B$33,'Inputs'!$B$29+'Inputs'!$B$31+'Inputs'!$B$32,'Inputs'!$B$30+'Inputs'!$B$31+'Inputs'!$B$32)/1000+'Inputs'!$B$21)+'Inputs'!$B$7)/SQRT((((868-43)*MAX('Inputs'!$B$33,'Inputs'!$B$29+'Inputs'!$B$31+'Inputs'!$B$32,'Inputs'!$B$30+'Inputs'!$B$31+'Inputs'!$B$32)/1000+'Inputs'!$B$21)+'Inputs'!$B$7)^2+('Inputs'!$B$6/2)^2)-(((868-43)*MAX('Inputs'!$B$33,'Inputs'!$B$29+'Inputs'!$B$31+'Inputs'!$B$32,'Inputs'!$B$30+'Inputs'!$B$31+'Inputs'!$B$32)/1000+'Inputs'!$B$21))/SQRT((((868-43)*MAX('Inputs'!$B$33,'Inputs'!$B$29+'Inputs'!$B$31+'Inputs'!$B$32,'Inputs'!$B$30+'Inputs'!$B$31+'Inputs'!$B$32)/1000+'Inputs'!$B$21))^2+('Inputs'!$B$6/2)^2)))-'Results'!C7*(0.5*((((868-43)*MAX('Inputs'!$B$33,'Inputs'!$B$29+'Inputs'!$B$31+'Inputs'!$B$32,'Inputs'!$B$30+'Inputs'!$B$31+'Inputs'!$B$32)/1000+'Inputs'!$B$21+'Inputs'!$B$7+'Inputs'!$B$10)+'Inputs'!$B$9)/SQRT((((868-43)*MAX('Inputs'!$B$33,'Inputs'!$B$29+'Inputs'!$B$31+'Inputs'!$B$32,'Inputs'!$B$30+'Inputs'!$B$31+'Inputs'!$B$32)/1000+'Inputs'!$B$21+'Inputs'!$B$7+'Inputs'!$B$10)+'Inputs'!$B$9)^2+('Inputs'!$B$8/2)^2)-(((868-43)*MAX('Inputs'!$B$33,'Inputs'!$B$29+'Inputs'!$B$31+'Inputs'!$B$32,'Inputs'!$B$30+'Inputs'!$B$31+'Inputs'!$B$32)/1000+'Inputs'!$B$21+'Inputs'!$B$7+'Inputs'!$B$10))/SQRT((((868-43)*MAX('Inputs'!$B$33,'Inputs'!$B$29+'Inputs'!$B$31+'Inputs'!$B$32,'Inputs'!$B$30+'Inputs'!$B$31+'Inputs'!$B$32)/1000+'Inputs'!$B$21+'Inputs'!$B$7+'Inputs'!$B$10))^2+('Inputs'!$B$8/2)^2))))*'Results'!$B$8),"")</x:f>
        <x:v>0.7178498504970467</x:v>
      </x:c>
      <x:c r="K868" t="n">
        <x:f>IF(AND(ISNUMBER('Results'!B7),ISNUMBER('Results'!C7),ISNUMBER('Results'!$B$8),ISNUMBER('Inputs'!$B$6),ISNUMBER('Inputs'!$B$7),ISNUMBER('Inputs'!$B$8),ISNUMBER('Inputs'!$B$9),ISNUMBER('Inputs'!$B$10),ISNUMBER('Inputs'!$B$21),ISNUMBER('Inputs'!$B$24),ISNUMBER('Inputs'!$B$28)),((('Results'!B7*(1-'Inputs'!$B$24)*(0.5*((((868-43)*MAX('Inputs'!$B$33,'Inputs'!$B$29+'Inputs'!$B$31+'Inputs'!$B$32,'Inputs'!$B$30+'Inputs'!$B$31+'Inputs'!$B$32)/1000+'Inputs'!$B$21)+'Inputs'!$B$7)/SQRT((((868-43)*MAX('Inputs'!$B$33,'Inputs'!$B$29+'Inputs'!$B$31+'Inputs'!$B$32,'Inputs'!$B$30+'Inputs'!$B$31+'Inputs'!$B$32)/1000+'Inputs'!$B$21)+'Inputs'!$B$7)^2+('Inputs'!$B$6/2)^2)-(((868-43)*MAX('Inputs'!$B$33,'Inputs'!$B$29+'Inputs'!$B$31+'Inputs'!$B$32,'Inputs'!$B$30+'Inputs'!$B$31+'Inputs'!$B$32)/1000+'Inputs'!$B$21))/SQRT((((868-43)*MAX('Inputs'!$B$33,'Inputs'!$B$29+'Inputs'!$B$31+'Inputs'!$B$32,'Inputs'!$B$30+'Inputs'!$B$31+'Inputs'!$B$32)/1000+'Inputs'!$B$21))^2+('Inputs'!$B$6/2)^2)))-'Results'!C7*(1+'Inputs'!$B$24)*(0.5*((((868-43)*MAX('Inputs'!$B$33,'Inputs'!$B$29+'Inputs'!$B$31+'Inputs'!$B$32,'Inputs'!$B$30+'Inputs'!$B$31+'Inputs'!$B$32)/1000+'Inputs'!$B$21+'Inputs'!$B$7+'Inputs'!$B$10)+'Inputs'!$B$9)/SQRT((((868-43)*MAX('Inputs'!$B$33,'Inputs'!$B$29+'Inputs'!$B$31+'Inputs'!$B$32,'Inputs'!$B$30+'Inputs'!$B$31+'Inputs'!$B$32)/1000+'Inputs'!$B$21+'Inputs'!$B$7+'Inputs'!$B$10)+'Inputs'!$B$9)^2+('Inputs'!$B$8/2)^2)-(((868-43)*MAX('Inputs'!$B$33,'Inputs'!$B$29+'Inputs'!$B$31+'Inputs'!$B$32,'Inputs'!$B$30+'Inputs'!$B$31+'Inputs'!$B$32)/1000+'Inputs'!$B$21+'Inputs'!$B$7+'Inputs'!$B$10))/SQRT((((868-43)*MAX('Inputs'!$B$33,'Inputs'!$B$29+'Inputs'!$B$31+'Inputs'!$B$32,'Inputs'!$B$30+'Inputs'!$B$31+'Inputs'!$B$32)/1000+'Inputs'!$B$21+'Inputs'!$B$7+'Inputs'!$B$10))^2+('Inputs'!$B$8/2)^2))))*'Results'!$B$8)-'Inputs'!$B$28*ABS((('Results'!B7*(1-'Inputs'!$B$24)*(0.5*((((868-43)*MAX('Inputs'!$B$33,'Inputs'!$B$29+'Inputs'!$B$31+'Inputs'!$B$32,'Inputs'!$B$30+'Inputs'!$B$31+'Inputs'!$B$32)/1000+'Inputs'!$B$21)+'Inputs'!$B$7)/SQRT((((868-43)*MAX('Inputs'!$B$33,'Inputs'!$B$29+'Inputs'!$B$31+'Inputs'!$B$32,'Inputs'!$B$30+'Inputs'!$B$31+'Inputs'!$B$32)/1000+'Inputs'!$B$21)+'Inputs'!$B$7)^2+('Inputs'!$B$6/2)^2)-(((868-43)*MAX('Inputs'!$B$33,'Inputs'!$B$29+'Inputs'!$B$31+'Inputs'!$B$32,'Inputs'!$B$30+'Inputs'!$B$31+'Inputs'!$B$32)/1000+'Inputs'!$B$21))/SQRT((((868-43)*MAX('Inputs'!$B$33,'Inputs'!$B$29+'Inputs'!$B$31+'Inputs'!$B$32,'Inputs'!$B$30+'Inputs'!$B$31+'Inputs'!$B$32)/1000+'Inputs'!$B$21))^2+('Inputs'!$B$6/2)^2)))-'Results'!C7*(1+'Inputs'!$B$24)*(0.5*((((868-43)*MAX('Inputs'!$B$33,'Inputs'!$B$29+'Inputs'!$B$31+'Inputs'!$B$32,'Inputs'!$B$30+'Inputs'!$B$31+'Inputs'!$B$32)/1000+'Inputs'!$B$21+'Inputs'!$B$7+'Inputs'!$B$10)+'Inputs'!$B$9)/SQRT((((868-43)*MAX('Inputs'!$B$33,'Inputs'!$B$29+'Inputs'!$B$31+'Inputs'!$B$32,'Inputs'!$B$30+'Inputs'!$B$31+'Inputs'!$B$32)/1000+'Inputs'!$B$21+'Inputs'!$B$7+'Inputs'!$B$10)+'Inputs'!$B$9)^2+('Inputs'!$B$8/2)^2)-(((868-43)*MAX('Inputs'!$B$33,'Inputs'!$B$29+'Inputs'!$B$31+'Inputs'!$B$32,'Inputs'!$B$30+'Inputs'!$B$31+'Inputs'!$B$32)/1000+'Inputs'!$B$21+'Inputs'!$B$7+'Inputs'!$B$10))/SQRT((((868-43)*MAX('Inputs'!$B$33,'Inputs'!$B$29+'Inputs'!$B$31+'Inputs'!$B$32,'Inputs'!$B$30+'Inputs'!$B$31+'Inputs'!$B$32)/1000+'Inputs'!$B$21+'Inputs'!$B$7+'Inputs'!$B$10))^2+('Inputs'!$B$8/2)^2))))*'Results'!$B$8))),"")</x:f>
        <x:v>0.6127484248981735</x:v>
      </x:c>
      <x:c r="L868" t="n">
        <x:f>IF(AND(ISNUMBER('Results'!B7),ISNUMBER('Results'!C7),ISNUMBER('Results'!$B$8),ISNUMBER('Inputs'!$B$6),ISNUMBER('Inputs'!$B$7),ISNUMBER('Inputs'!$B$8),ISNUMBER('Inputs'!$B$9),ISNUMBER('Inputs'!$B$10),ISNUMBER('Inputs'!$B$21),ISNUMBER('Inputs'!$B$24),ISNUMBER('Inputs'!$B$28)),((('Results'!B7*(1+'Inputs'!$B$24)*(0.5*((((868-43)*MAX('Inputs'!$B$33,'Inputs'!$B$29+'Inputs'!$B$31+'Inputs'!$B$32,'Inputs'!$B$30+'Inputs'!$B$31+'Inputs'!$B$32)/1000+'Inputs'!$B$21)+'Inputs'!$B$7)/SQRT((((868-43)*MAX('Inputs'!$B$33,'Inputs'!$B$29+'Inputs'!$B$31+'Inputs'!$B$32,'Inputs'!$B$30+'Inputs'!$B$31+'Inputs'!$B$32)/1000+'Inputs'!$B$21)+'Inputs'!$B$7)^2+('Inputs'!$B$6/2)^2)-(((868-43)*MAX('Inputs'!$B$33,'Inputs'!$B$29+'Inputs'!$B$31+'Inputs'!$B$32,'Inputs'!$B$30+'Inputs'!$B$31+'Inputs'!$B$32)/1000+'Inputs'!$B$21))/SQRT((((868-43)*MAX('Inputs'!$B$33,'Inputs'!$B$29+'Inputs'!$B$31+'Inputs'!$B$32,'Inputs'!$B$30+'Inputs'!$B$31+'Inputs'!$B$32)/1000+'Inputs'!$B$21))^2+('Inputs'!$B$6/2)^2)))-'Results'!C7*(1-'Inputs'!$B$24)*(0.5*((((868-43)*MAX('Inputs'!$B$33,'Inputs'!$B$29+'Inputs'!$B$31+'Inputs'!$B$32,'Inputs'!$B$30+'Inputs'!$B$31+'Inputs'!$B$32)/1000+'Inputs'!$B$21+'Inputs'!$B$7+'Inputs'!$B$10)+'Inputs'!$B$9)/SQRT((((868-43)*MAX('Inputs'!$B$33,'Inputs'!$B$29+'Inputs'!$B$31+'Inputs'!$B$32,'Inputs'!$B$30+'Inputs'!$B$31+'Inputs'!$B$32)/1000+'Inputs'!$B$21+'Inputs'!$B$7+'Inputs'!$B$10)+'Inputs'!$B$9)^2+('Inputs'!$B$8/2)^2)-(((868-43)*MAX('Inputs'!$B$33,'Inputs'!$B$29+'Inputs'!$B$31+'Inputs'!$B$32,'Inputs'!$B$30+'Inputs'!$B$31+'Inputs'!$B$32)/1000+'Inputs'!$B$21+'Inputs'!$B$7+'Inputs'!$B$10))/SQRT((((868-43)*MAX('Inputs'!$B$33,'Inputs'!$B$29+'Inputs'!$B$31+'Inputs'!$B$32,'Inputs'!$B$30+'Inputs'!$B$31+'Inputs'!$B$32)/1000+'Inputs'!$B$21+'Inputs'!$B$7+'Inputs'!$B$10))^2+('Inputs'!$B$8/2)^2))))*'Results'!$B$8)+'Inputs'!$B$28*ABS((('Results'!B7*(1+'Inputs'!$B$24)*(0.5*((((868-43)*MAX('Inputs'!$B$33,'Inputs'!$B$29+'Inputs'!$B$31+'Inputs'!$B$32,'Inputs'!$B$30+'Inputs'!$B$31+'Inputs'!$B$32)/1000+'Inputs'!$B$21)+'Inputs'!$B$7)/SQRT((((868-43)*MAX('Inputs'!$B$33,'Inputs'!$B$29+'Inputs'!$B$31+'Inputs'!$B$32,'Inputs'!$B$30+'Inputs'!$B$31+'Inputs'!$B$32)/1000+'Inputs'!$B$21)+'Inputs'!$B$7)^2+('Inputs'!$B$6/2)^2)-(((868-43)*MAX('Inputs'!$B$33,'Inputs'!$B$29+'Inputs'!$B$31+'Inputs'!$B$32,'Inputs'!$B$30+'Inputs'!$B$31+'Inputs'!$B$32)/1000+'Inputs'!$B$21))/SQRT((((868-43)*MAX('Inputs'!$B$33,'Inputs'!$B$29+'Inputs'!$B$31+'Inputs'!$B$32,'Inputs'!$B$30+'Inputs'!$B$31+'Inputs'!$B$32)/1000+'Inputs'!$B$21))^2+('Inputs'!$B$6/2)^2)))-'Results'!C7*(1-'Inputs'!$B$24)*(0.5*((((868-43)*MAX('Inputs'!$B$33,'Inputs'!$B$29+'Inputs'!$B$31+'Inputs'!$B$32,'Inputs'!$B$30+'Inputs'!$B$31+'Inputs'!$B$32)/1000+'Inputs'!$B$21+'Inputs'!$B$7+'Inputs'!$B$10)+'Inputs'!$B$9)/SQRT((((868-43)*MAX('Inputs'!$B$33,'Inputs'!$B$29+'Inputs'!$B$31+'Inputs'!$B$32,'Inputs'!$B$30+'Inputs'!$B$31+'Inputs'!$B$32)/1000+'Inputs'!$B$21+'Inputs'!$B$7+'Inputs'!$B$10)+'Inputs'!$B$9)^2+('Inputs'!$B$8/2)^2)-(((868-43)*MAX('Inputs'!$B$33,'Inputs'!$B$29+'Inputs'!$B$31+'Inputs'!$B$32,'Inputs'!$B$30+'Inputs'!$B$31+'Inputs'!$B$32)/1000+'Inputs'!$B$21+'Inputs'!$B$7+'Inputs'!$B$10))/SQRT((((868-43)*MAX('Inputs'!$B$33,'Inputs'!$B$29+'Inputs'!$B$31+'Inputs'!$B$32,'Inputs'!$B$30+'Inputs'!$B$31+'Inputs'!$B$32)/1000+'Inputs'!$B$21+'Inputs'!$B$7+'Inputs'!$B$10))^2+('Inputs'!$B$8/2)^2))))*'Results'!$B$8))),"")</x:f>
        <x:v>0.8302364269458166</x:v>
      </x:c>
      <x:c r="M868" t="n">
        <x:f>IF(AND(ISNUMBER('Results'!C7),ISNUMBER('Results'!B7),ISNUMBER('Results'!$B$8),ISNUMBER('Inputs'!$B$6),ISNUMBER('Inputs'!$B$7),ISNUMBER('Inputs'!$B$8),ISNUMBER('Inputs'!$B$9),ISNUMBER('Inputs'!$B$10),ISNUMBER('Inputs'!$B$21),ISNUMBER('Inputs'!$B$24),ISNUMBER('Inputs'!$B$28)),(('Results'!C7*(0.5*((((868-43)*MAX('Inputs'!$B$33,'Inputs'!$B$29+'Inputs'!$B$31+'Inputs'!$B$32,'Inputs'!$B$30+'Inputs'!$B$31+'Inputs'!$B$32)/1000+'Inputs'!$B$21)+'Inputs'!$B$9)/SQRT((((868-43)*MAX('Inputs'!$B$33,'Inputs'!$B$29+'Inputs'!$B$31+'Inputs'!$B$32,'Inputs'!$B$30+'Inputs'!$B$31+'Inputs'!$B$32)/1000+'Inputs'!$B$21)+'Inputs'!$B$9)^2+('Inputs'!$B$8/2)^2)-(((868-43)*MAX('Inputs'!$B$33,'Inputs'!$B$29+'Inputs'!$B$31+'Inputs'!$B$32,'Inputs'!$B$30+'Inputs'!$B$31+'Inputs'!$B$32)/1000+'Inputs'!$B$21))/SQRT((((868-43)*MAX('Inputs'!$B$33,'Inputs'!$B$29+'Inputs'!$B$31+'Inputs'!$B$32,'Inputs'!$B$30+'Inputs'!$B$31+'Inputs'!$B$32)/1000+'Inputs'!$B$21))^2+('Inputs'!$B$8/2)^2)))-'Results'!B7*(0.5*((((868-43)*MAX('Inputs'!$B$33,'Inputs'!$B$29+'Inputs'!$B$31+'Inputs'!$B$32,'Inputs'!$B$30+'Inputs'!$B$31+'Inputs'!$B$32)/1000+'Inputs'!$B$21+'Inputs'!$B$9+'Inputs'!$B$10)+'Inputs'!$B$7)/SQRT((((868-43)*MAX('Inputs'!$B$33,'Inputs'!$B$29+'Inputs'!$B$31+'Inputs'!$B$32,'Inputs'!$B$30+'Inputs'!$B$31+'Inputs'!$B$32)/1000+'Inputs'!$B$21+'Inputs'!$B$9+'Inputs'!$B$10)+'Inputs'!$B$7)^2+('Inputs'!$B$6/2)^2)-(((868-43)*MAX('Inputs'!$B$33,'Inputs'!$B$29+'Inputs'!$B$31+'Inputs'!$B$32,'Inputs'!$B$30+'Inputs'!$B$31+'Inputs'!$B$32)/1000+'Inputs'!$B$21+'Inputs'!$B$9+'Inputs'!$B$10))/SQRT((((868-43)*MAX('Inputs'!$B$33,'Inputs'!$B$29+'Inputs'!$B$31+'Inputs'!$B$32,'Inputs'!$B$30+'Inputs'!$B$31+'Inputs'!$B$32)/1000+'Inputs'!$B$21+'Inputs'!$B$9+'Inputs'!$B$10))^2+('Inputs'!$B$6/2)^2))))*'Results'!$B$8),"")</x:f>
        <x:v>0.6444014592277814</x:v>
      </x:c>
      <x:c r="N868" t="n">
        <x:f>IF(AND(ISNUMBER('Results'!C7),ISNUMBER('Results'!B7),ISNUMBER('Results'!$B$8),ISNUMBER('Inputs'!$B$6),ISNUMBER('Inputs'!$B$7),ISNUMBER('Inputs'!$B$8),ISNUMBER('Inputs'!$B$9),ISNUMBER('Inputs'!$B$10),ISNUMBER('Inputs'!$B$21),ISNUMBER('Inputs'!$B$24),ISNUMBER('Inputs'!$B$28)),((('Results'!C7*(1-'Inputs'!$B$24)*(0.5*((((868-43)*MAX('Inputs'!$B$33,'Inputs'!$B$29+'Inputs'!$B$31+'Inputs'!$B$32,'Inputs'!$B$30+'Inputs'!$B$31+'Inputs'!$B$32)/1000+'Inputs'!$B$21)+'Inputs'!$B$9)/SQRT((((868-43)*MAX('Inputs'!$B$33,'Inputs'!$B$29+'Inputs'!$B$31+'Inputs'!$B$32,'Inputs'!$B$30+'Inputs'!$B$31+'Inputs'!$B$32)/1000+'Inputs'!$B$21)+'Inputs'!$B$9)^2+('Inputs'!$B$8/2)^2)-(((868-43)*MAX('Inputs'!$B$33,'Inputs'!$B$29+'Inputs'!$B$31+'Inputs'!$B$32,'Inputs'!$B$30+'Inputs'!$B$31+'Inputs'!$B$32)/1000+'Inputs'!$B$21))/SQRT((((868-43)*MAX('Inputs'!$B$33,'Inputs'!$B$29+'Inputs'!$B$31+'Inputs'!$B$32,'Inputs'!$B$30+'Inputs'!$B$31+'Inputs'!$B$32)/1000+'Inputs'!$B$21))^2+('Inputs'!$B$8/2)^2)))-'Results'!B7*(1+'Inputs'!$B$24)*(0.5*((((868-43)*MAX('Inputs'!$B$33,'Inputs'!$B$29+'Inputs'!$B$31+'Inputs'!$B$32,'Inputs'!$B$30+'Inputs'!$B$31+'Inputs'!$B$32)/1000+'Inputs'!$B$21+'Inputs'!$B$9+'Inputs'!$B$10)+'Inputs'!$B$7)/SQRT((((868-43)*MAX('Inputs'!$B$33,'Inputs'!$B$29+'Inputs'!$B$31+'Inputs'!$B$32,'Inputs'!$B$30+'Inputs'!$B$31+'Inputs'!$B$32)/1000+'Inputs'!$B$21+'Inputs'!$B$9+'Inputs'!$B$10)+'Inputs'!$B$7)^2+('Inputs'!$B$6/2)^2)-(((868-43)*MAX('Inputs'!$B$33,'Inputs'!$B$29+'Inputs'!$B$31+'Inputs'!$B$32,'Inputs'!$B$30+'Inputs'!$B$31+'Inputs'!$B$32)/1000+'Inputs'!$B$21+'Inputs'!$B$9+'Inputs'!$B$10))/SQRT((((868-43)*MAX('Inputs'!$B$33,'Inputs'!$B$29+'Inputs'!$B$31+'Inputs'!$B$32,'Inputs'!$B$30+'Inputs'!$B$31+'Inputs'!$B$32)/1000+'Inputs'!$B$21+'Inputs'!$B$9+'Inputs'!$B$10))^2+('Inputs'!$B$6/2)^2))))*'Results'!$B$8)-'Inputs'!$B$28*ABS((('Results'!C7*(1-'Inputs'!$B$24)*(0.5*((((868-43)*MAX('Inputs'!$B$33,'Inputs'!$B$29+'Inputs'!$B$31+'Inputs'!$B$32,'Inputs'!$B$30+'Inputs'!$B$31+'Inputs'!$B$32)/1000+'Inputs'!$B$21)+'Inputs'!$B$9)/SQRT((((868-43)*MAX('Inputs'!$B$33,'Inputs'!$B$29+'Inputs'!$B$31+'Inputs'!$B$32,'Inputs'!$B$30+'Inputs'!$B$31+'Inputs'!$B$32)/1000+'Inputs'!$B$21)+'Inputs'!$B$9)^2+('Inputs'!$B$8/2)^2)-(((868-43)*MAX('Inputs'!$B$33,'Inputs'!$B$29+'Inputs'!$B$31+'Inputs'!$B$32,'Inputs'!$B$30+'Inputs'!$B$31+'Inputs'!$B$32)/1000+'Inputs'!$B$21))/SQRT((((868-43)*MAX('Inputs'!$B$33,'Inputs'!$B$29+'Inputs'!$B$31+'Inputs'!$B$32,'Inputs'!$B$30+'Inputs'!$B$31+'Inputs'!$B$32)/1000+'Inputs'!$B$21))^2+('Inputs'!$B$8/2)^2)))-'Results'!B7*(1+'Inputs'!$B$24)*(0.5*((((868-43)*MAX('Inputs'!$B$33,'Inputs'!$B$29+'Inputs'!$B$31+'Inputs'!$B$32,'Inputs'!$B$30+'Inputs'!$B$31+'Inputs'!$B$32)/1000+'Inputs'!$B$21+'Inputs'!$B$9+'Inputs'!$B$10)+'Inputs'!$B$7)/SQRT((((868-43)*MAX('Inputs'!$B$33,'Inputs'!$B$29+'Inputs'!$B$31+'Inputs'!$B$32,'Inputs'!$B$30+'Inputs'!$B$31+'Inputs'!$B$32)/1000+'Inputs'!$B$21+'Inputs'!$B$9+'Inputs'!$B$10)+'Inputs'!$B$7)^2+('Inputs'!$B$6/2)^2)-(((868-43)*MAX('Inputs'!$B$33,'Inputs'!$B$29+'Inputs'!$B$31+'Inputs'!$B$32,'Inputs'!$B$30+'Inputs'!$B$31+'Inputs'!$B$32)/1000+'Inputs'!$B$21+'Inputs'!$B$9+'Inputs'!$B$10))/SQRT((((868-43)*MAX('Inputs'!$B$33,'Inputs'!$B$29+'Inputs'!$B$31+'Inputs'!$B$32,'Inputs'!$B$30+'Inputs'!$B$31+'Inputs'!$B$32)/1000+'Inputs'!$B$21+'Inputs'!$B$9+'Inputs'!$B$10))^2+('Inputs'!$B$6/2)^2))))*'Results'!$B$8))),"")</x:f>
        <x:v>0.543233895362925</x:v>
      </x:c>
      <x:c r="O868" t="n">
        <x:f>IF(AND(ISNUMBER('Results'!C7),ISNUMBER('Results'!B7),ISNUMBER('Results'!$B$8),ISNUMBER('Inputs'!$B$6),ISNUMBER('Inputs'!$B$7),ISNUMBER('Inputs'!$B$8),ISNUMBER('Inputs'!$B$9),ISNUMBER('Inputs'!$B$10),ISNUMBER('Inputs'!$B$21),ISNUMBER('Inputs'!$B$24),ISNUMBER('Inputs'!$B$28)),((('Results'!C7*(1+'Inputs'!$B$24)*(0.5*((((868-43)*MAX('Inputs'!$B$33,'Inputs'!$B$29+'Inputs'!$B$31+'Inputs'!$B$32,'Inputs'!$B$30+'Inputs'!$B$31+'Inputs'!$B$32)/1000+'Inputs'!$B$21)+'Inputs'!$B$9)/SQRT((((868-43)*MAX('Inputs'!$B$33,'Inputs'!$B$29+'Inputs'!$B$31+'Inputs'!$B$32,'Inputs'!$B$30+'Inputs'!$B$31+'Inputs'!$B$32)/1000+'Inputs'!$B$21)+'Inputs'!$B$9)^2+('Inputs'!$B$8/2)^2)-(((868-43)*MAX('Inputs'!$B$33,'Inputs'!$B$29+'Inputs'!$B$31+'Inputs'!$B$32,'Inputs'!$B$30+'Inputs'!$B$31+'Inputs'!$B$32)/1000+'Inputs'!$B$21))/SQRT((((868-43)*MAX('Inputs'!$B$33,'Inputs'!$B$29+'Inputs'!$B$31+'Inputs'!$B$32,'Inputs'!$B$30+'Inputs'!$B$31+'Inputs'!$B$32)/1000+'Inputs'!$B$21))^2+('Inputs'!$B$8/2)^2)))-'Results'!B7*(1-'Inputs'!$B$24)*(0.5*((((868-43)*MAX('Inputs'!$B$33,'Inputs'!$B$29+'Inputs'!$B$31+'Inputs'!$B$32,'Inputs'!$B$30+'Inputs'!$B$31+'Inputs'!$B$32)/1000+'Inputs'!$B$21+'Inputs'!$B$9+'Inputs'!$B$10)+'Inputs'!$B$7)/SQRT((((868-43)*MAX('Inputs'!$B$33,'Inputs'!$B$29+'Inputs'!$B$31+'Inputs'!$B$32,'Inputs'!$B$30+'Inputs'!$B$31+'Inputs'!$B$32)/1000+'Inputs'!$B$21+'Inputs'!$B$9+'Inputs'!$B$10)+'Inputs'!$B$7)^2+('Inputs'!$B$6/2)^2)-(((868-43)*MAX('Inputs'!$B$33,'Inputs'!$B$29+'Inputs'!$B$31+'Inputs'!$B$32,'Inputs'!$B$30+'Inputs'!$B$31+'Inputs'!$B$32)/1000+'Inputs'!$B$21+'Inputs'!$B$9+'Inputs'!$B$10))/SQRT((((868-43)*MAX('Inputs'!$B$33,'Inputs'!$B$29+'Inputs'!$B$31+'Inputs'!$B$32,'Inputs'!$B$30+'Inputs'!$B$31+'Inputs'!$B$32)/1000+'Inputs'!$B$21+'Inputs'!$B$9+'Inputs'!$B$10))^2+('Inputs'!$B$6/2)^2))))*'Results'!$B$8)+'Inputs'!$B$28*ABS((('Results'!C7*(1+'Inputs'!$B$24)*(0.5*((((868-43)*MAX('Inputs'!$B$33,'Inputs'!$B$29+'Inputs'!$B$31+'Inputs'!$B$32,'Inputs'!$B$30+'Inputs'!$B$31+'Inputs'!$B$32)/1000+'Inputs'!$B$21)+'Inputs'!$B$9)/SQRT((((868-43)*MAX('Inputs'!$B$33,'Inputs'!$B$29+'Inputs'!$B$31+'Inputs'!$B$32,'Inputs'!$B$30+'Inputs'!$B$31+'Inputs'!$B$32)/1000+'Inputs'!$B$21)+'Inputs'!$B$9)^2+('Inputs'!$B$8/2)^2)-(((868-43)*MAX('Inputs'!$B$33,'Inputs'!$B$29+'Inputs'!$B$31+'Inputs'!$B$32,'Inputs'!$B$30+'Inputs'!$B$31+'Inputs'!$B$32)/1000+'Inputs'!$B$21))/SQRT((((868-43)*MAX('Inputs'!$B$33,'Inputs'!$B$29+'Inputs'!$B$31+'Inputs'!$B$32,'Inputs'!$B$30+'Inputs'!$B$31+'Inputs'!$B$32)/1000+'Inputs'!$B$21))^2+('Inputs'!$B$8/2)^2)))-'Results'!B7*(1-'Inputs'!$B$24)*(0.5*((((868-43)*MAX('Inputs'!$B$33,'Inputs'!$B$29+'Inputs'!$B$31+'Inputs'!$B$32,'Inputs'!$B$30+'Inputs'!$B$31+'Inputs'!$B$32)/1000+'Inputs'!$B$21+'Inputs'!$B$9+'Inputs'!$B$10)+'Inputs'!$B$7)/SQRT((((868-43)*MAX('Inputs'!$B$33,'Inputs'!$B$29+'Inputs'!$B$31+'Inputs'!$B$32,'Inputs'!$B$30+'Inputs'!$B$31+'Inputs'!$B$32)/1000+'Inputs'!$B$21+'Inputs'!$B$9+'Inputs'!$B$10)+'Inputs'!$B$7)^2+('Inputs'!$B$6/2)^2)-(((868-43)*MAX('Inputs'!$B$33,'Inputs'!$B$29+'Inputs'!$B$31+'Inputs'!$B$32,'Inputs'!$B$30+'Inputs'!$B$31+'Inputs'!$B$32)/1000+'Inputs'!$B$21+'Inputs'!$B$9+'Inputs'!$B$10))/SQRT((((868-43)*MAX('Inputs'!$B$33,'Inputs'!$B$29+'Inputs'!$B$31+'Inputs'!$B$32,'Inputs'!$B$30+'Inputs'!$B$31+'Inputs'!$B$32)/1000+'Inputs'!$B$21+'Inputs'!$B$9+'Inputs'!$B$10))^2+('Inputs'!$B$6/2)^2))))*'Results'!$B$8))),"")</x:f>
        <x:v>0.7528266537140553</x:v>
      </x:c>
      <x:c r="P868" t="n">
        <x:f>IF(AND(MAX(J868,J867)&gt;0,J868&gt;J867+0.00000001),1,0)</x:f>
        <x:v>0</x:v>
      </x:c>
      <x:c r="Q868" t="n">
        <x:f>IF(AND(MAX(K868,K867)&gt;0,K868&gt;K867+0.00000001),1,0)</x:f>
        <x:v>0</x:v>
      </x:c>
      <x:c r="R868" t="n">
        <x:f>IF(AND(MAX(L868,L867)&gt;0,L868&gt;L867+0.00000001),1,0)</x:f>
        <x:v>0</x:v>
      </x:c>
      <x:c r="S868" t="n">
        <x:f>IF(AND(MAX(M868,M867)&gt;0,M868&gt;M867+0.00000001),1,0)</x:f>
        <x:v>0</x:v>
      </x:c>
      <x:c r="T868" t="n">
        <x:f>IF(AND(MAX(N868,N867)&gt;0,N868&gt;N867+0.00000001),1,0)</x:f>
        <x:v>0</x:v>
      </x:c>
      <x:c r="U868" t="n">
        <x:f>IF(AND(MAX(O868,O867)&gt;0,O868&gt;O867+0.00000001),1,0)</x:f>
        <x:v>0</x:v>
      </x:c>
    </x:row>
    <x:row r="869">
      <x:c r="J869" t="n">
        <x:f>IF(AND(ISNUMBER('Results'!B7),ISNUMBER('Results'!C7),ISNUMBER('Results'!$B$8),ISNUMBER('Inputs'!$B$6),ISNUMBER('Inputs'!$B$7),ISNUMBER('Inputs'!$B$8),ISNUMBER('Inputs'!$B$9),ISNUMBER('Inputs'!$B$10),ISNUMBER('Inputs'!$B$21),ISNUMBER('Inputs'!$B$24),ISNUMBER('Inputs'!$B$28)),(('Results'!B7*(0.5*((((869-43)*MAX('Inputs'!$B$33,'Inputs'!$B$29+'Inputs'!$B$31+'Inputs'!$B$32,'Inputs'!$B$30+'Inputs'!$B$31+'Inputs'!$B$32)/1000+'Inputs'!$B$21)+'Inputs'!$B$7)/SQRT((((869-43)*MAX('Inputs'!$B$33,'Inputs'!$B$29+'Inputs'!$B$31+'Inputs'!$B$32,'Inputs'!$B$30+'Inputs'!$B$31+'Inputs'!$B$32)/1000+'Inputs'!$B$21)+'Inputs'!$B$7)^2+('Inputs'!$B$6/2)^2)-(((869-43)*MAX('Inputs'!$B$33,'Inputs'!$B$29+'Inputs'!$B$31+'Inputs'!$B$32,'Inputs'!$B$30+'Inputs'!$B$31+'Inputs'!$B$32)/1000+'Inputs'!$B$21))/SQRT((((869-43)*MAX('Inputs'!$B$33,'Inputs'!$B$29+'Inputs'!$B$31+'Inputs'!$B$32,'Inputs'!$B$30+'Inputs'!$B$31+'Inputs'!$B$32)/1000+'Inputs'!$B$21))^2+('Inputs'!$B$6/2)^2)))-'Results'!C7*(0.5*((((869-43)*MAX('Inputs'!$B$33,'Inputs'!$B$29+'Inputs'!$B$31+'Inputs'!$B$32,'Inputs'!$B$30+'Inputs'!$B$31+'Inputs'!$B$32)/1000+'Inputs'!$B$21+'Inputs'!$B$7+'Inputs'!$B$10)+'Inputs'!$B$9)/SQRT((((869-43)*MAX('Inputs'!$B$33,'Inputs'!$B$29+'Inputs'!$B$31+'Inputs'!$B$32,'Inputs'!$B$30+'Inputs'!$B$31+'Inputs'!$B$32)/1000+'Inputs'!$B$21+'Inputs'!$B$7+'Inputs'!$B$10)+'Inputs'!$B$9)^2+('Inputs'!$B$8/2)^2)-(((869-43)*MAX('Inputs'!$B$33,'Inputs'!$B$29+'Inputs'!$B$31+'Inputs'!$B$32,'Inputs'!$B$30+'Inputs'!$B$31+'Inputs'!$B$32)/1000+'Inputs'!$B$21+'Inputs'!$B$7+'Inputs'!$B$10))/SQRT((((869-43)*MAX('Inputs'!$B$33,'Inputs'!$B$29+'Inputs'!$B$31+'Inputs'!$B$32,'Inputs'!$B$30+'Inputs'!$B$31+'Inputs'!$B$32)/1000+'Inputs'!$B$21+'Inputs'!$B$7+'Inputs'!$B$10))^2+('Inputs'!$B$8/2)^2))))*'Results'!$B$8),"")</x:f>
        <x:v>0.7147224350550034</x:v>
      </x:c>
      <x:c r="K869" t="n">
        <x:f>IF(AND(ISNUMBER('Results'!B7),ISNUMBER('Results'!C7),ISNUMBER('Results'!$B$8),ISNUMBER('Inputs'!$B$6),ISNUMBER('Inputs'!$B$7),ISNUMBER('Inputs'!$B$8),ISNUMBER('Inputs'!$B$9),ISNUMBER('Inputs'!$B$10),ISNUMBER('Inputs'!$B$21),ISNUMBER('Inputs'!$B$24),ISNUMBER('Inputs'!$B$28)),((('Results'!B7*(1-'Inputs'!$B$24)*(0.5*((((869-43)*MAX('Inputs'!$B$33,'Inputs'!$B$29+'Inputs'!$B$31+'Inputs'!$B$32,'Inputs'!$B$30+'Inputs'!$B$31+'Inputs'!$B$32)/1000+'Inputs'!$B$21)+'Inputs'!$B$7)/SQRT((((869-43)*MAX('Inputs'!$B$33,'Inputs'!$B$29+'Inputs'!$B$31+'Inputs'!$B$32,'Inputs'!$B$30+'Inputs'!$B$31+'Inputs'!$B$32)/1000+'Inputs'!$B$21)+'Inputs'!$B$7)^2+('Inputs'!$B$6/2)^2)-(((869-43)*MAX('Inputs'!$B$33,'Inputs'!$B$29+'Inputs'!$B$31+'Inputs'!$B$32,'Inputs'!$B$30+'Inputs'!$B$31+'Inputs'!$B$32)/1000+'Inputs'!$B$21))/SQRT((((869-43)*MAX('Inputs'!$B$33,'Inputs'!$B$29+'Inputs'!$B$31+'Inputs'!$B$32,'Inputs'!$B$30+'Inputs'!$B$31+'Inputs'!$B$32)/1000+'Inputs'!$B$21))^2+('Inputs'!$B$6/2)^2)))-'Results'!C7*(1+'Inputs'!$B$24)*(0.5*((((869-43)*MAX('Inputs'!$B$33,'Inputs'!$B$29+'Inputs'!$B$31+'Inputs'!$B$32,'Inputs'!$B$30+'Inputs'!$B$31+'Inputs'!$B$32)/1000+'Inputs'!$B$21+'Inputs'!$B$7+'Inputs'!$B$10)+'Inputs'!$B$9)/SQRT((((869-43)*MAX('Inputs'!$B$33,'Inputs'!$B$29+'Inputs'!$B$31+'Inputs'!$B$32,'Inputs'!$B$30+'Inputs'!$B$31+'Inputs'!$B$32)/1000+'Inputs'!$B$21+'Inputs'!$B$7+'Inputs'!$B$10)+'Inputs'!$B$9)^2+('Inputs'!$B$8/2)^2)-(((869-43)*MAX('Inputs'!$B$33,'Inputs'!$B$29+'Inputs'!$B$31+'Inputs'!$B$32,'Inputs'!$B$30+'Inputs'!$B$31+'Inputs'!$B$32)/1000+'Inputs'!$B$21+'Inputs'!$B$7+'Inputs'!$B$10))/SQRT((((869-43)*MAX('Inputs'!$B$33,'Inputs'!$B$29+'Inputs'!$B$31+'Inputs'!$B$32,'Inputs'!$B$30+'Inputs'!$B$31+'Inputs'!$B$32)/1000+'Inputs'!$B$21+'Inputs'!$B$7+'Inputs'!$B$10))^2+('Inputs'!$B$8/2)^2))))*'Results'!$B$8)-'Inputs'!$B$28*ABS((('Results'!B7*(1-'Inputs'!$B$24)*(0.5*((((869-43)*MAX('Inputs'!$B$33,'Inputs'!$B$29+'Inputs'!$B$31+'Inputs'!$B$32,'Inputs'!$B$30+'Inputs'!$B$31+'Inputs'!$B$32)/1000+'Inputs'!$B$21)+'Inputs'!$B$7)/SQRT((((869-43)*MAX('Inputs'!$B$33,'Inputs'!$B$29+'Inputs'!$B$31+'Inputs'!$B$32,'Inputs'!$B$30+'Inputs'!$B$31+'Inputs'!$B$32)/1000+'Inputs'!$B$21)+'Inputs'!$B$7)^2+('Inputs'!$B$6/2)^2)-(((869-43)*MAX('Inputs'!$B$33,'Inputs'!$B$29+'Inputs'!$B$31+'Inputs'!$B$32,'Inputs'!$B$30+'Inputs'!$B$31+'Inputs'!$B$32)/1000+'Inputs'!$B$21))/SQRT((((869-43)*MAX('Inputs'!$B$33,'Inputs'!$B$29+'Inputs'!$B$31+'Inputs'!$B$32,'Inputs'!$B$30+'Inputs'!$B$31+'Inputs'!$B$32)/1000+'Inputs'!$B$21))^2+('Inputs'!$B$6/2)^2)))-'Results'!C7*(1+'Inputs'!$B$24)*(0.5*((((869-43)*MAX('Inputs'!$B$33,'Inputs'!$B$29+'Inputs'!$B$31+'Inputs'!$B$32,'Inputs'!$B$30+'Inputs'!$B$31+'Inputs'!$B$32)/1000+'Inputs'!$B$21+'Inputs'!$B$7+'Inputs'!$B$10)+'Inputs'!$B$9)/SQRT((((869-43)*MAX('Inputs'!$B$33,'Inputs'!$B$29+'Inputs'!$B$31+'Inputs'!$B$32,'Inputs'!$B$30+'Inputs'!$B$31+'Inputs'!$B$32)/1000+'Inputs'!$B$21+'Inputs'!$B$7+'Inputs'!$B$10)+'Inputs'!$B$9)^2+('Inputs'!$B$8/2)^2)-(((869-43)*MAX('Inputs'!$B$33,'Inputs'!$B$29+'Inputs'!$B$31+'Inputs'!$B$32,'Inputs'!$B$30+'Inputs'!$B$31+'Inputs'!$B$32)/1000+'Inputs'!$B$21+'Inputs'!$B$7+'Inputs'!$B$10))/SQRT((((869-43)*MAX('Inputs'!$B$33,'Inputs'!$B$29+'Inputs'!$B$31+'Inputs'!$B$32,'Inputs'!$B$30+'Inputs'!$B$31+'Inputs'!$B$32)/1000+'Inputs'!$B$21+'Inputs'!$B$7+'Inputs'!$B$10))^2+('Inputs'!$B$8/2)^2))))*'Results'!$B$8))),"")</x:f>
        <x:v>0.6100091003654127</x:v>
      </x:c>
      <x:c r="L869" t="n">
        <x:f>IF(AND(ISNUMBER('Results'!B7),ISNUMBER('Results'!C7),ISNUMBER('Results'!$B$8),ISNUMBER('Inputs'!$B$6),ISNUMBER('Inputs'!$B$7),ISNUMBER('Inputs'!$B$8),ISNUMBER('Inputs'!$B$9),ISNUMBER('Inputs'!$B$10),ISNUMBER('Inputs'!$B$21),ISNUMBER('Inputs'!$B$24),ISNUMBER('Inputs'!$B$28)),((('Results'!B7*(1+'Inputs'!$B$24)*(0.5*((((869-43)*MAX('Inputs'!$B$33,'Inputs'!$B$29+'Inputs'!$B$31+'Inputs'!$B$32,'Inputs'!$B$30+'Inputs'!$B$31+'Inputs'!$B$32)/1000+'Inputs'!$B$21)+'Inputs'!$B$7)/SQRT((((869-43)*MAX('Inputs'!$B$33,'Inputs'!$B$29+'Inputs'!$B$31+'Inputs'!$B$32,'Inputs'!$B$30+'Inputs'!$B$31+'Inputs'!$B$32)/1000+'Inputs'!$B$21)+'Inputs'!$B$7)^2+('Inputs'!$B$6/2)^2)-(((869-43)*MAX('Inputs'!$B$33,'Inputs'!$B$29+'Inputs'!$B$31+'Inputs'!$B$32,'Inputs'!$B$30+'Inputs'!$B$31+'Inputs'!$B$32)/1000+'Inputs'!$B$21))/SQRT((((869-43)*MAX('Inputs'!$B$33,'Inputs'!$B$29+'Inputs'!$B$31+'Inputs'!$B$32,'Inputs'!$B$30+'Inputs'!$B$31+'Inputs'!$B$32)/1000+'Inputs'!$B$21))^2+('Inputs'!$B$6/2)^2)))-'Results'!C7*(1-'Inputs'!$B$24)*(0.5*((((869-43)*MAX('Inputs'!$B$33,'Inputs'!$B$29+'Inputs'!$B$31+'Inputs'!$B$32,'Inputs'!$B$30+'Inputs'!$B$31+'Inputs'!$B$32)/1000+'Inputs'!$B$21+'Inputs'!$B$7+'Inputs'!$B$10)+'Inputs'!$B$9)/SQRT((((869-43)*MAX('Inputs'!$B$33,'Inputs'!$B$29+'Inputs'!$B$31+'Inputs'!$B$32,'Inputs'!$B$30+'Inputs'!$B$31+'Inputs'!$B$32)/1000+'Inputs'!$B$21+'Inputs'!$B$7+'Inputs'!$B$10)+'Inputs'!$B$9)^2+('Inputs'!$B$8/2)^2)-(((869-43)*MAX('Inputs'!$B$33,'Inputs'!$B$29+'Inputs'!$B$31+'Inputs'!$B$32,'Inputs'!$B$30+'Inputs'!$B$31+'Inputs'!$B$32)/1000+'Inputs'!$B$21+'Inputs'!$B$7+'Inputs'!$B$10))/SQRT((((869-43)*MAX('Inputs'!$B$33,'Inputs'!$B$29+'Inputs'!$B$31+'Inputs'!$B$32,'Inputs'!$B$30+'Inputs'!$B$31+'Inputs'!$B$32)/1000+'Inputs'!$B$21+'Inputs'!$B$7+'Inputs'!$B$10))^2+('Inputs'!$B$8/2)^2))))*'Results'!$B$8)+'Inputs'!$B$28*ABS((('Results'!B7*(1+'Inputs'!$B$24)*(0.5*((((869-43)*MAX('Inputs'!$B$33,'Inputs'!$B$29+'Inputs'!$B$31+'Inputs'!$B$32,'Inputs'!$B$30+'Inputs'!$B$31+'Inputs'!$B$32)/1000+'Inputs'!$B$21)+'Inputs'!$B$7)/SQRT((((869-43)*MAX('Inputs'!$B$33,'Inputs'!$B$29+'Inputs'!$B$31+'Inputs'!$B$32,'Inputs'!$B$30+'Inputs'!$B$31+'Inputs'!$B$32)/1000+'Inputs'!$B$21)+'Inputs'!$B$7)^2+('Inputs'!$B$6/2)^2)-(((869-43)*MAX('Inputs'!$B$33,'Inputs'!$B$29+'Inputs'!$B$31+'Inputs'!$B$32,'Inputs'!$B$30+'Inputs'!$B$31+'Inputs'!$B$32)/1000+'Inputs'!$B$21))/SQRT((((869-43)*MAX('Inputs'!$B$33,'Inputs'!$B$29+'Inputs'!$B$31+'Inputs'!$B$32,'Inputs'!$B$30+'Inputs'!$B$31+'Inputs'!$B$32)/1000+'Inputs'!$B$21))^2+('Inputs'!$B$6/2)^2)))-'Results'!C7*(1-'Inputs'!$B$24)*(0.5*((((869-43)*MAX('Inputs'!$B$33,'Inputs'!$B$29+'Inputs'!$B$31+'Inputs'!$B$32,'Inputs'!$B$30+'Inputs'!$B$31+'Inputs'!$B$32)/1000+'Inputs'!$B$21+'Inputs'!$B$7+'Inputs'!$B$10)+'Inputs'!$B$9)/SQRT((((869-43)*MAX('Inputs'!$B$33,'Inputs'!$B$29+'Inputs'!$B$31+'Inputs'!$B$32,'Inputs'!$B$30+'Inputs'!$B$31+'Inputs'!$B$32)/1000+'Inputs'!$B$21+'Inputs'!$B$7+'Inputs'!$B$10)+'Inputs'!$B$9)^2+('Inputs'!$B$8/2)^2)-(((869-43)*MAX('Inputs'!$B$33,'Inputs'!$B$29+'Inputs'!$B$31+'Inputs'!$B$32,'Inputs'!$B$30+'Inputs'!$B$31+'Inputs'!$B$32)/1000+'Inputs'!$B$21+'Inputs'!$B$7+'Inputs'!$B$10))/SQRT((((869-43)*MAX('Inputs'!$B$33,'Inputs'!$B$29+'Inputs'!$B$31+'Inputs'!$B$32,'Inputs'!$B$30+'Inputs'!$B$31+'Inputs'!$B$32)/1000+'Inputs'!$B$21+'Inputs'!$B$7+'Inputs'!$B$10))^2+('Inputs'!$B$8/2)^2))))*'Results'!$B$8))),"")</x:f>
        <x:v>0.8266965290011031</x:v>
      </x:c>
      <x:c r="M869" t="n">
        <x:f>IF(AND(ISNUMBER('Results'!C7),ISNUMBER('Results'!B7),ISNUMBER('Results'!$B$8),ISNUMBER('Inputs'!$B$6),ISNUMBER('Inputs'!$B$7),ISNUMBER('Inputs'!$B$8),ISNUMBER('Inputs'!$B$9),ISNUMBER('Inputs'!$B$10),ISNUMBER('Inputs'!$B$21),ISNUMBER('Inputs'!$B$24),ISNUMBER('Inputs'!$B$28)),(('Results'!C7*(0.5*((((869-43)*MAX('Inputs'!$B$33,'Inputs'!$B$29+'Inputs'!$B$31+'Inputs'!$B$32,'Inputs'!$B$30+'Inputs'!$B$31+'Inputs'!$B$32)/1000+'Inputs'!$B$21)+'Inputs'!$B$9)/SQRT((((869-43)*MAX('Inputs'!$B$33,'Inputs'!$B$29+'Inputs'!$B$31+'Inputs'!$B$32,'Inputs'!$B$30+'Inputs'!$B$31+'Inputs'!$B$32)/1000+'Inputs'!$B$21)+'Inputs'!$B$9)^2+('Inputs'!$B$8/2)^2)-(((869-43)*MAX('Inputs'!$B$33,'Inputs'!$B$29+'Inputs'!$B$31+'Inputs'!$B$32,'Inputs'!$B$30+'Inputs'!$B$31+'Inputs'!$B$32)/1000+'Inputs'!$B$21))/SQRT((((869-43)*MAX('Inputs'!$B$33,'Inputs'!$B$29+'Inputs'!$B$31+'Inputs'!$B$32,'Inputs'!$B$30+'Inputs'!$B$31+'Inputs'!$B$32)/1000+'Inputs'!$B$21))^2+('Inputs'!$B$8/2)^2)))-'Results'!B7*(0.5*((((869-43)*MAX('Inputs'!$B$33,'Inputs'!$B$29+'Inputs'!$B$31+'Inputs'!$B$32,'Inputs'!$B$30+'Inputs'!$B$31+'Inputs'!$B$32)/1000+'Inputs'!$B$21+'Inputs'!$B$9+'Inputs'!$B$10)+'Inputs'!$B$7)/SQRT((((869-43)*MAX('Inputs'!$B$33,'Inputs'!$B$29+'Inputs'!$B$31+'Inputs'!$B$32,'Inputs'!$B$30+'Inputs'!$B$31+'Inputs'!$B$32)/1000+'Inputs'!$B$21+'Inputs'!$B$9+'Inputs'!$B$10)+'Inputs'!$B$7)^2+('Inputs'!$B$6/2)^2)-(((869-43)*MAX('Inputs'!$B$33,'Inputs'!$B$29+'Inputs'!$B$31+'Inputs'!$B$32,'Inputs'!$B$30+'Inputs'!$B$31+'Inputs'!$B$32)/1000+'Inputs'!$B$21+'Inputs'!$B$9+'Inputs'!$B$10))/SQRT((((869-43)*MAX('Inputs'!$B$33,'Inputs'!$B$29+'Inputs'!$B$31+'Inputs'!$B$32,'Inputs'!$B$30+'Inputs'!$B$31+'Inputs'!$B$32)/1000+'Inputs'!$B$21+'Inputs'!$B$9+'Inputs'!$B$10))^2+('Inputs'!$B$6/2)^2))))*'Results'!$B$8),"")</x:f>
        <x:v>0.6415198104096633</x:v>
      </x:c>
      <x:c r="N869" t="n">
        <x:f>IF(AND(ISNUMBER('Results'!C7),ISNUMBER('Results'!B7),ISNUMBER('Results'!$B$8),ISNUMBER('Inputs'!$B$6),ISNUMBER('Inputs'!$B$7),ISNUMBER('Inputs'!$B$8),ISNUMBER('Inputs'!$B$9),ISNUMBER('Inputs'!$B$10),ISNUMBER('Inputs'!$B$21),ISNUMBER('Inputs'!$B$24),ISNUMBER('Inputs'!$B$28)),((('Results'!C7*(1-'Inputs'!$B$24)*(0.5*((((869-43)*MAX('Inputs'!$B$33,'Inputs'!$B$29+'Inputs'!$B$31+'Inputs'!$B$32,'Inputs'!$B$30+'Inputs'!$B$31+'Inputs'!$B$32)/1000+'Inputs'!$B$21)+'Inputs'!$B$9)/SQRT((((869-43)*MAX('Inputs'!$B$33,'Inputs'!$B$29+'Inputs'!$B$31+'Inputs'!$B$32,'Inputs'!$B$30+'Inputs'!$B$31+'Inputs'!$B$32)/1000+'Inputs'!$B$21)+'Inputs'!$B$9)^2+('Inputs'!$B$8/2)^2)-(((869-43)*MAX('Inputs'!$B$33,'Inputs'!$B$29+'Inputs'!$B$31+'Inputs'!$B$32,'Inputs'!$B$30+'Inputs'!$B$31+'Inputs'!$B$32)/1000+'Inputs'!$B$21))/SQRT((((869-43)*MAX('Inputs'!$B$33,'Inputs'!$B$29+'Inputs'!$B$31+'Inputs'!$B$32,'Inputs'!$B$30+'Inputs'!$B$31+'Inputs'!$B$32)/1000+'Inputs'!$B$21))^2+('Inputs'!$B$8/2)^2)))-'Results'!B7*(1+'Inputs'!$B$24)*(0.5*((((869-43)*MAX('Inputs'!$B$33,'Inputs'!$B$29+'Inputs'!$B$31+'Inputs'!$B$32,'Inputs'!$B$30+'Inputs'!$B$31+'Inputs'!$B$32)/1000+'Inputs'!$B$21+'Inputs'!$B$9+'Inputs'!$B$10)+'Inputs'!$B$7)/SQRT((((869-43)*MAX('Inputs'!$B$33,'Inputs'!$B$29+'Inputs'!$B$31+'Inputs'!$B$32,'Inputs'!$B$30+'Inputs'!$B$31+'Inputs'!$B$32)/1000+'Inputs'!$B$21+'Inputs'!$B$9+'Inputs'!$B$10)+'Inputs'!$B$7)^2+('Inputs'!$B$6/2)^2)-(((869-43)*MAX('Inputs'!$B$33,'Inputs'!$B$29+'Inputs'!$B$31+'Inputs'!$B$32,'Inputs'!$B$30+'Inputs'!$B$31+'Inputs'!$B$32)/1000+'Inputs'!$B$21+'Inputs'!$B$9+'Inputs'!$B$10))/SQRT((((869-43)*MAX('Inputs'!$B$33,'Inputs'!$B$29+'Inputs'!$B$31+'Inputs'!$B$32,'Inputs'!$B$30+'Inputs'!$B$31+'Inputs'!$B$32)/1000+'Inputs'!$B$21+'Inputs'!$B$9+'Inputs'!$B$10))^2+('Inputs'!$B$6/2)^2))))*'Results'!$B$8)-'Inputs'!$B$28*ABS((('Results'!C7*(1-'Inputs'!$B$24)*(0.5*((((869-43)*MAX('Inputs'!$B$33,'Inputs'!$B$29+'Inputs'!$B$31+'Inputs'!$B$32,'Inputs'!$B$30+'Inputs'!$B$31+'Inputs'!$B$32)/1000+'Inputs'!$B$21)+'Inputs'!$B$9)/SQRT((((869-43)*MAX('Inputs'!$B$33,'Inputs'!$B$29+'Inputs'!$B$31+'Inputs'!$B$32,'Inputs'!$B$30+'Inputs'!$B$31+'Inputs'!$B$32)/1000+'Inputs'!$B$21)+'Inputs'!$B$9)^2+('Inputs'!$B$8/2)^2)-(((869-43)*MAX('Inputs'!$B$33,'Inputs'!$B$29+'Inputs'!$B$31+'Inputs'!$B$32,'Inputs'!$B$30+'Inputs'!$B$31+'Inputs'!$B$32)/1000+'Inputs'!$B$21))/SQRT((((869-43)*MAX('Inputs'!$B$33,'Inputs'!$B$29+'Inputs'!$B$31+'Inputs'!$B$32,'Inputs'!$B$30+'Inputs'!$B$31+'Inputs'!$B$32)/1000+'Inputs'!$B$21))^2+('Inputs'!$B$8/2)^2)))-'Results'!B7*(1+'Inputs'!$B$24)*(0.5*((((869-43)*MAX('Inputs'!$B$33,'Inputs'!$B$29+'Inputs'!$B$31+'Inputs'!$B$32,'Inputs'!$B$30+'Inputs'!$B$31+'Inputs'!$B$32)/1000+'Inputs'!$B$21+'Inputs'!$B$9+'Inputs'!$B$10)+'Inputs'!$B$7)/SQRT((((869-43)*MAX('Inputs'!$B$33,'Inputs'!$B$29+'Inputs'!$B$31+'Inputs'!$B$32,'Inputs'!$B$30+'Inputs'!$B$31+'Inputs'!$B$32)/1000+'Inputs'!$B$21+'Inputs'!$B$9+'Inputs'!$B$10)+'Inputs'!$B$7)^2+('Inputs'!$B$6/2)^2)-(((869-43)*MAX('Inputs'!$B$33,'Inputs'!$B$29+'Inputs'!$B$31+'Inputs'!$B$32,'Inputs'!$B$30+'Inputs'!$B$31+'Inputs'!$B$32)/1000+'Inputs'!$B$21+'Inputs'!$B$9+'Inputs'!$B$10))/SQRT((((869-43)*MAX('Inputs'!$B$33,'Inputs'!$B$29+'Inputs'!$B$31+'Inputs'!$B$32,'Inputs'!$B$30+'Inputs'!$B$31+'Inputs'!$B$32)/1000+'Inputs'!$B$21+'Inputs'!$B$9+'Inputs'!$B$10))^2+('Inputs'!$B$6/2)^2))))*'Results'!$B$8))),"")</x:f>
        <x:v>0.5407268958681363</x:v>
      </x:c>
      <x:c r="O869" t="n">
        <x:f>IF(AND(ISNUMBER('Results'!C7),ISNUMBER('Results'!B7),ISNUMBER('Results'!$B$8),ISNUMBER('Inputs'!$B$6),ISNUMBER('Inputs'!$B$7),ISNUMBER('Inputs'!$B$8),ISNUMBER('Inputs'!$B$9),ISNUMBER('Inputs'!$B$10),ISNUMBER('Inputs'!$B$21),ISNUMBER('Inputs'!$B$24),ISNUMBER('Inputs'!$B$28)),((('Results'!C7*(1+'Inputs'!$B$24)*(0.5*((((869-43)*MAX('Inputs'!$B$33,'Inputs'!$B$29+'Inputs'!$B$31+'Inputs'!$B$32,'Inputs'!$B$30+'Inputs'!$B$31+'Inputs'!$B$32)/1000+'Inputs'!$B$21)+'Inputs'!$B$9)/SQRT((((869-43)*MAX('Inputs'!$B$33,'Inputs'!$B$29+'Inputs'!$B$31+'Inputs'!$B$32,'Inputs'!$B$30+'Inputs'!$B$31+'Inputs'!$B$32)/1000+'Inputs'!$B$21)+'Inputs'!$B$9)^2+('Inputs'!$B$8/2)^2)-(((869-43)*MAX('Inputs'!$B$33,'Inputs'!$B$29+'Inputs'!$B$31+'Inputs'!$B$32,'Inputs'!$B$30+'Inputs'!$B$31+'Inputs'!$B$32)/1000+'Inputs'!$B$21))/SQRT((((869-43)*MAX('Inputs'!$B$33,'Inputs'!$B$29+'Inputs'!$B$31+'Inputs'!$B$32,'Inputs'!$B$30+'Inputs'!$B$31+'Inputs'!$B$32)/1000+'Inputs'!$B$21))^2+('Inputs'!$B$8/2)^2)))-'Results'!B7*(1-'Inputs'!$B$24)*(0.5*((((869-43)*MAX('Inputs'!$B$33,'Inputs'!$B$29+'Inputs'!$B$31+'Inputs'!$B$32,'Inputs'!$B$30+'Inputs'!$B$31+'Inputs'!$B$32)/1000+'Inputs'!$B$21+'Inputs'!$B$9+'Inputs'!$B$10)+'Inputs'!$B$7)/SQRT((((869-43)*MAX('Inputs'!$B$33,'Inputs'!$B$29+'Inputs'!$B$31+'Inputs'!$B$32,'Inputs'!$B$30+'Inputs'!$B$31+'Inputs'!$B$32)/1000+'Inputs'!$B$21+'Inputs'!$B$9+'Inputs'!$B$10)+'Inputs'!$B$7)^2+('Inputs'!$B$6/2)^2)-(((869-43)*MAX('Inputs'!$B$33,'Inputs'!$B$29+'Inputs'!$B$31+'Inputs'!$B$32,'Inputs'!$B$30+'Inputs'!$B$31+'Inputs'!$B$32)/1000+'Inputs'!$B$21+'Inputs'!$B$9+'Inputs'!$B$10))/SQRT((((869-43)*MAX('Inputs'!$B$33,'Inputs'!$B$29+'Inputs'!$B$31+'Inputs'!$B$32,'Inputs'!$B$30+'Inputs'!$B$31+'Inputs'!$B$32)/1000+'Inputs'!$B$21+'Inputs'!$B$9+'Inputs'!$B$10))^2+('Inputs'!$B$6/2)^2))))*'Results'!$B$8)+'Inputs'!$B$28*ABS((('Results'!C7*(1+'Inputs'!$B$24)*(0.5*((((869-43)*MAX('Inputs'!$B$33,'Inputs'!$B$29+'Inputs'!$B$31+'Inputs'!$B$32,'Inputs'!$B$30+'Inputs'!$B$31+'Inputs'!$B$32)/1000+'Inputs'!$B$21)+'Inputs'!$B$9)/SQRT((((869-43)*MAX('Inputs'!$B$33,'Inputs'!$B$29+'Inputs'!$B$31+'Inputs'!$B$32,'Inputs'!$B$30+'Inputs'!$B$31+'Inputs'!$B$32)/1000+'Inputs'!$B$21)+'Inputs'!$B$9)^2+('Inputs'!$B$8/2)^2)-(((869-43)*MAX('Inputs'!$B$33,'Inputs'!$B$29+'Inputs'!$B$31+'Inputs'!$B$32,'Inputs'!$B$30+'Inputs'!$B$31+'Inputs'!$B$32)/1000+'Inputs'!$B$21))/SQRT((((869-43)*MAX('Inputs'!$B$33,'Inputs'!$B$29+'Inputs'!$B$31+'Inputs'!$B$32,'Inputs'!$B$30+'Inputs'!$B$31+'Inputs'!$B$32)/1000+'Inputs'!$B$21))^2+('Inputs'!$B$8/2)^2)))-'Results'!B7*(1-'Inputs'!$B$24)*(0.5*((((869-43)*MAX('Inputs'!$B$33,'Inputs'!$B$29+'Inputs'!$B$31+'Inputs'!$B$32,'Inputs'!$B$30+'Inputs'!$B$31+'Inputs'!$B$32)/1000+'Inputs'!$B$21+'Inputs'!$B$9+'Inputs'!$B$10)+'Inputs'!$B$7)/SQRT((((869-43)*MAX('Inputs'!$B$33,'Inputs'!$B$29+'Inputs'!$B$31+'Inputs'!$B$32,'Inputs'!$B$30+'Inputs'!$B$31+'Inputs'!$B$32)/1000+'Inputs'!$B$21+'Inputs'!$B$9+'Inputs'!$B$10)+'Inputs'!$B$7)^2+('Inputs'!$B$6/2)^2)-(((869-43)*MAX('Inputs'!$B$33,'Inputs'!$B$29+'Inputs'!$B$31+'Inputs'!$B$32,'Inputs'!$B$30+'Inputs'!$B$31+'Inputs'!$B$32)/1000+'Inputs'!$B$21+'Inputs'!$B$9+'Inputs'!$B$10))/SQRT((((869-43)*MAX('Inputs'!$B$33,'Inputs'!$B$29+'Inputs'!$B$31+'Inputs'!$B$32,'Inputs'!$B$30+'Inputs'!$B$31+'Inputs'!$B$32)/1000+'Inputs'!$B$21+'Inputs'!$B$9+'Inputs'!$B$10))^2+('Inputs'!$B$6/2)^2))))*'Results'!$B$8))),"")</x:f>
        <x:v>0.7495460853744588</x:v>
      </x:c>
      <x:c r="P869" t="n">
        <x:f>IF(AND(MAX(J869,J868)&gt;0,J869&gt;J868+0.00000001),1,0)</x:f>
        <x:v>0</x:v>
      </x:c>
      <x:c r="Q869" t="n">
        <x:f>IF(AND(MAX(K869,K868)&gt;0,K869&gt;K868+0.00000001),1,0)</x:f>
        <x:v>0</x:v>
      </x:c>
      <x:c r="R869" t="n">
        <x:f>IF(AND(MAX(L869,L868)&gt;0,L869&gt;L868+0.00000001),1,0)</x:f>
        <x:v>0</x:v>
      </x:c>
      <x:c r="S869" t="n">
        <x:f>IF(AND(MAX(M869,M868)&gt;0,M869&gt;M868+0.00000001),1,0)</x:f>
        <x:v>0</x:v>
      </x:c>
      <x:c r="T869" t="n">
        <x:f>IF(AND(MAX(N869,N868)&gt;0,N869&gt;N868+0.00000001),1,0)</x:f>
        <x:v>0</x:v>
      </x:c>
      <x:c r="U869" t="n">
        <x:f>IF(AND(MAX(O869,O868)&gt;0,O869&gt;O868+0.00000001),1,0)</x:f>
        <x:v>0</x:v>
      </x:c>
    </x:row>
    <x:row r="870">
      <x:c r="J870" t="n">
        <x:f>IF(AND(ISNUMBER('Results'!B7),ISNUMBER('Results'!C7),ISNUMBER('Results'!$B$8),ISNUMBER('Inputs'!$B$6),ISNUMBER('Inputs'!$B$7),ISNUMBER('Inputs'!$B$8),ISNUMBER('Inputs'!$B$9),ISNUMBER('Inputs'!$B$10),ISNUMBER('Inputs'!$B$21),ISNUMBER('Inputs'!$B$24),ISNUMBER('Inputs'!$B$28)),(('Results'!B7*(0.5*((((870-43)*MAX('Inputs'!$B$33,'Inputs'!$B$29+'Inputs'!$B$31+'Inputs'!$B$32,'Inputs'!$B$30+'Inputs'!$B$31+'Inputs'!$B$32)/1000+'Inputs'!$B$21)+'Inputs'!$B$7)/SQRT((((870-43)*MAX('Inputs'!$B$33,'Inputs'!$B$29+'Inputs'!$B$31+'Inputs'!$B$32,'Inputs'!$B$30+'Inputs'!$B$31+'Inputs'!$B$32)/1000+'Inputs'!$B$21)+'Inputs'!$B$7)^2+('Inputs'!$B$6/2)^2)-(((870-43)*MAX('Inputs'!$B$33,'Inputs'!$B$29+'Inputs'!$B$31+'Inputs'!$B$32,'Inputs'!$B$30+'Inputs'!$B$31+'Inputs'!$B$32)/1000+'Inputs'!$B$21))/SQRT((((870-43)*MAX('Inputs'!$B$33,'Inputs'!$B$29+'Inputs'!$B$31+'Inputs'!$B$32,'Inputs'!$B$30+'Inputs'!$B$31+'Inputs'!$B$32)/1000+'Inputs'!$B$21))^2+('Inputs'!$B$6/2)^2)))-'Results'!C7*(0.5*((((870-43)*MAX('Inputs'!$B$33,'Inputs'!$B$29+'Inputs'!$B$31+'Inputs'!$B$32,'Inputs'!$B$30+'Inputs'!$B$31+'Inputs'!$B$32)/1000+'Inputs'!$B$21+'Inputs'!$B$7+'Inputs'!$B$10)+'Inputs'!$B$9)/SQRT((((870-43)*MAX('Inputs'!$B$33,'Inputs'!$B$29+'Inputs'!$B$31+'Inputs'!$B$32,'Inputs'!$B$30+'Inputs'!$B$31+'Inputs'!$B$32)/1000+'Inputs'!$B$21+'Inputs'!$B$7+'Inputs'!$B$10)+'Inputs'!$B$9)^2+('Inputs'!$B$8/2)^2)-(((870-43)*MAX('Inputs'!$B$33,'Inputs'!$B$29+'Inputs'!$B$31+'Inputs'!$B$32,'Inputs'!$B$30+'Inputs'!$B$31+'Inputs'!$B$32)/1000+'Inputs'!$B$21+'Inputs'!$B$7+'Inputs'!$B$10))/SQRT((((870-43)*MAX('Inputs'!$B$33,'Inputs'!$B$29+'Inputs'!$B$31+'Inputs'!$B$32,'Inputs'!$B$30+'Inputs'!$B$31+'Inputs'!$B$32)/1000+'Inputs'!$B$21+'Inputs'!$B$7+'Inputs'!$B$10))^2+('Inputs'!$B$8/2)^2))))*'Results'!$B$8),"")</x:f>
        <x:v>0.7116121076887745</x:v>
      </x:c>
      <x:c r="K870" t="n">
        <x:f>IF(AND(ISNUMBER('Results'!B7),ISNUMBER('Results'!C7),ISNUMBER('Results'!$B$8),ISNUMBER('Inputs'!$B$6),ISNUMBER('Inputs'!$B$7),ISNUMBER('Inputs'!$B$8),ISNUMBER('Inputs'!$B$9),ISNUMBER('Inputs'!$B$10),ISNUMBER('Inputs'!$B$21),ISNUMBER('Inputs'!$B$24),ISNUMBER('Inputs'!$B$28)),((('Results'!B7*(1-'Inputs'!$B$24)*(0.5*((((870-43)*MAX('Inputs'!$B$33,'Inputs'!$B$29+'Inputs'!$B$31+'Inputs'!$B$32,'Inputs'!$B$30+'Inputs'!$B$31+'Inputs'!$B$32)/1000+'Inputs'!$B$21)+'Inputs'!$B$7)/SQRT((((870-43)*MAX('Inputs'!$B$33,'Inputs'!$B$29+'Inputs'!$B$31+'Inputs'!$B$32,'Inputs'!$B$30+'Inputs'!$B$31+'Inputs'!$B$32)/1000+'Inputs'!$B$21)+'Inputs'!$B$7)^2+('Inputs'!$B$6/2)^2)-(((870-43)*MAX('Inputs'!$B$33,'Inputs'!$B$29+'Inputs'!$B$31+'Inputs'!$B$32,'Inputs'!$B$30+'Inputs'!$B$31+'Inputs'!$B$32)/1000+'Inputs'!$B$21))/SQRT((((870-43)*MAX('Inputs'!$B$33,'Inputs'!$B$29+'Inputs'!$B$31+'Inputs'!$B$32,'Inputs'!$B$30+'Inputs'!$B$31+'Inputs'!$B$32)/1000+'Inputs'!$B$21))^2+('Inputs'!$B$6/2)^2)))-'Results'!C7*(1+'Inputs'!$B$24)*(0.5*((((870-43)*MAX('Inputs'!$B$33,'Inputs'!$B$29+'Inputs'!$B$31+'Inputs'!$B$32,'Inputs'!$B$30+'Inputs'!$B$31+'Inputs'!$B$32)/1000+'Inputs'!$B$21+'Inputs'!$B$7+'Inputs'!$B$10)+'Inputs'!$B$9)/SQRT((((870-43)*MAX('Inputs'!$B$33,'Inputs'!$B$29+'Inputs'!$B$31+'Inputs'!$B$32,'Inputs'!$B$30+'Inputs'!$B$31+'Inputs'!$B$32)/1000+'Inputs'!$B$21+'Inputs'!$B$7+'Inputs'!$B$10)+'Inputs'!$B$9)^2+('Inputs'!$B$8/2)^2)-(((870-43)*MAX('Inputs'!$B$33,'Inputs'!$B$29+'Inputs'!$B$31+'Inputs'!$B$32,'Inputs'!$B$30+'Inputs'!$B$31+'Inputs'!$B$32)/1000+'Inputs'!$B$21+'Inputs'!$B$7+'Inputs'!$B$10))/SQRT((((870-43)*MAX('Inputs'!$B$33,'Inputs'!$B$29+'Inputs'!$B$31+'Inputs'!$B$32,'Inputs'!$B$30+'Inputs'!$B$31+'Inputs'!$B$32)/1000+'Inputs'!$B$21+'Inputs'!$B$7+'Inputs'!$B$10))^2+('Inputs'!$B$8/2)^2))))*'Results'!$B$8)-'Inputs'!$B$28*ABS((('Results'!B7*(1-'Inputs'!$B$24)*(0.5*((((870-43)*MAX('Inputs'!$B$33,'Inputs'!$B$29+'Inputs'!$B$31+'Inputs'!$B$32,'Inputs'!$B$30+'Inputs'!$B$31+'Inputs'!$B$32)/1000+'Inputs'!$B$21)+'Inputs'!$B$7)/SQRT((((870-43)*MAX('Inputs'!$B$33,'Inputs'!$B$29+'Inputs'!$B$31+'Inputs'!$B$32,'Inputs'!$B$30+'Inputs'!$B$31+'Inputs'!$B$32)/1000+'Inputs'!$B$21)+'Inputs'!$B$7)^2+('Inputs'!$B$6/2)^2)-(((870-43)*MAX('Inputs'!$B$33,'Inputs'!$B$29+'Inputs'!$B$31+'Inputs'!$B$32,'Inputs'!$B$30+'Inputs'!$B$31+'Inputs'!$B$32)/1000+'Inputs'!$B$21))/SQRT((((870-43)*MAX('Inputs'!$B$33,'Inputs'!$B$29+'Inputs'!$B$31+'Inputs'!$B$32,'Inputs'!$B$30+'Inputs'!$B$31+'Inputs'!$B$32)/1000+'Inputs'!$B$21))^2+('Inputs'!$B$6/2)^2)))-'Results'!C7*(1+'Inputs'!$B$24)*(0.5*((((870-43)*MAX('Inputs'!$B$33,'Inputs'!$B$29+'Inputs'!$B$31+'Inputs'!$B$32,'Inputs'!$B$30+'Inputs'!$B$31+'Inputs'!$B$32)/1000+'Inputs'!$B$21+'Inputs'!$B$7+'Inputs'!$B$10)+'Inputs'!$B$9)/SQRT((((870-43)*MAX('Inputs'!$B$33,'Inputs'!$B$29+'Inputs'!$B$31+'Inputs'!$B$32,'Inputs'!$B$30+'Inputs'!$B$31+'Inputs'!$B$32)/1000+'Inputs'!$B$21+'Inputs'!$B$7+'Inputs'!$B$10)+'Inputs'!$B$9)^2+('Inputs'!$B$8/2)^2)-(((870-43)*MAX('Inputs'!$B$33,'Inputs'!$B$29+'Inputs'!$B$31+'Inputs'!$B$32,'Inputs'!$B$30+'Inputs'!$B$31+'Inputs'!$B$32)/1000+'Inputs'!$B$21+'Inputs'!$B$7+'Inputs'!$B$10))/SQRT((((870-43)*MAX('Inputs'!$B$33,'Inputs'!$B$29+'Inputs'!$B$31+'Inputs'!$B$32,'Inputs'!$B$30+'Inputs'!$B$31+'Inputs'!$B$32)/1000+'Inputs'!$B$21+'Inputs'!$B$7+'Inputs'!$B$10))^2+('Inputs'!$B$8/2)^2))))*'Results'!$B$8))),"")</x:f>
        <x:v>0.6072849743746472</x:v>
      </x:c>
      <x:c r="L870" t="n">
        <x:f>IF(AND(ISNUMBER('Results'!B7),ISNUMBER('Results'!C7),ISNUMBER('Results'!$B$8),ISNUMBER('Inputs'!$B$6),ISNUMBER('Inputs'!$B$7),ISNUMBER('Inputs'!$B$8),ISNUMBER('Inputs'!$B$9),ISNUMBER('Inputs'!$B$10),ISNUMBER('Inputs'!$B$21),ISNUMBER('Inputs'!$B$24),ISNUMBER('Inputs'!$B$28)),((('Results'!B7*(1+'Inputs'!$B$24)*(0.5*((((870-43)*MAX('Inputs'!$B$33,'Inputs'!$B$29+'Inputs'!$B$31+'Inputs'!$B$32,'Inputs'!$B$30+'Inputs'!$B$31+'Inputs'!$B$32)/1000+'Inputs'!$B$21)+'Inputs'!$B$7)/SQRT((((870-43)*MAX('Inputs'!$B$33,'Inputs'!$B$29+'Inputs'!$B$31+'Inputs'!$B$32,'Inputs'!$B$30+'Inputs'!$B$31+'Inputs'!$B$32)/1000+'Inputs'!$B$21)+'Inputs'!$B$7)^2+('Inputs'!$B$6/2)^2)-(((870-43)*MAX('Inputs'!$B$33,'Inputs'!$B$29+'Inputs'!$B$31+'Inputs'!$B$32,'Inputs'!$B$30+'Inputs'!$B$31+'Inputs'!$B$32)/1000+'Inputs'!$B$21))/SQRT((((870-43)*MAX('Inputs'!$B$33,'Inputs'!$B$29+'Inputs'!$B$31+'Inputs'!$B$32,'Inputs'!$B$30+'Inputs'!$B$31+'Inputs'!$B$32)/1000+'Inputs'!$B$21))^2+('Inputs'!$B$6/2)^2)))-'Results'!C7*(1-'Inputs'!$B$24)*(0.5*((((870-43)*MAX('Inputs'!$B$33,'Inputs'!$B$29+'Inputs'!$B$31+'Inputs'!$B$32,'Inputs'!$B$30+'Inputs'!$B$31+'Inputs'!$B$32)/1000+'Inputs'!$B$21+'Inputs'!$B$7+'Inputs'!$B$10)+'Inputs'!$B$9)/SQRT((((870-43)*MAX('Inputs'!$B$33,'Inputs'!$B$29+'Inputs'!$B$31+'Inputs'!$B$32,'Inputs'!$B$30+'Inputs'!$B$31+'Inputs'!$B$32)/1000+'Inputs'!$B$21+'Inputs'!$B$7+'Inputs'!$B$10)+'Inputs'!$B$9)^2+('Inputs'!$B$8/2)^2)-(((870-43)*MAX('Inputs'!$B$33,'Inputs'!$B$29+'Inputs'!$B$31+'Inputs'!$B$32,'Inputs'!$B$30+'Inputs'!$B$31+'Inputs'!$B$32)/1000+'Inputs'!$B$21+'Inputs'!$B$7+'Inputs'!$B$10))/SQRT((((870-43)*MAX('Inputs'!$B$33,'Inputs'!$B$29+'Inputs'!$B$31+'Inputs'!$B$32,'Inputs'!$B$30+'Inputs'!$B$31+'Inputs'!$B$32)/1000+'Inputs'!$B$21+'Inputs'!$B$7+'Inputs'!$B$10))^2+('Inputs'!$B$8/2)^2))))*'Results'!$B$8)+'Inputs'!$B$28*ABS((('Results'!B7*(1+'Inputs'!$B$24)*(0.5*((((870-43)*MAX('Inputs'!$B$33,'Inputs'!$B$29+'Inputs'!$B$31+'Inputs'!$B$32,'Inputs'!$B$30+'Inputs'!$B$31+'Inputs'!$B$32)/1000+'Inputs'!$B$21)+'Inputs'!$B$7)/SQRT((((870-43)*MAX('Inputs'!$B$33,'Inputs'!$B$29+'Inputs'!$B$31+'Inputs'!$B$32,'Inputs'!$B$30+'Inputs'!$B$31+'Inputs'!$B$32)/1000+'Inputs'!$B$21)+'Inputs'!$B$7)^2+('Inputs'!$B$6/2)^2)-(((870-43)*MAX('Inputs'!$B$33,'Inputs'!$B$29+'Inputs'!$B$31+'Inputs'!$B$32,'Inputs'!$B$30+'Inputs'!$B$31+'Inputs'!$B$32)/1000+'Inputs'!$B$21))/SQRT((((870-43)*MAX('Inputs'!$B$33,'Inputs'!$B$29+'Inputs'!$B$31+'Inputs'!$B$32,'Inputs'!$B$30+'Inputs'!$B$31+'Inputs'!$B$32)/1000+'Inputs'!$B$21))^2+('Inputs'!$B$6/2)^2)))-'Results'!C7*(1-'Inputs'!$B$24)*(0.5*((((870-43)*MAX('Inputs'!$B$33,'Inputs'!$B$29+'Inputs'!$B$31+'Inputs'!$B$32,'Inputs'!$B$30+'Inputs'!$B$31+'Inputs'!$B$32)/1000+'Inputs'!$B$21+'Inputs'!$B$7+'Inputs'!$B$10)+'Inputs'!$B$9)/SQRT((((870-43)*MAX('Inputs'!$B$33,'Inputs'!$B$29+'Inputs'!$B$31+'Inputs'!$B$32,'Inputs'!$B$30+'Inputs'!$B$31+'Inputs'!$B$32)/1000+'Inputs'!$B$21+'Inputs'!$B$7+'Inputs'!$B$10)+'Inputs'!$B$9)^2+('Inputs'!$B$8/2)^2)-(((870-43)*MAX('Inputs'!$B$33,'Inputs'!$B$29+'Inputs'!$B$31+'Inputs'!$B$32,'Inputs'!$B$30+'Inputs'!$B$31+'Inputs'!$B$32)/1000+'Inputs'!$B$21+'Inputs'!$B$7+'Inputs'!$B$10))/SQRT((((870-43)*MAX('Inputs'!$B$33,'Inputs'!$B$29+'Inputs'!$B$31+'Inputs'!$B$32,'Inputs'!$B$30+'Inputs'!$B$31+'Inputs'!$B$32)/1000+'Inputs'!$B$21+'Inputs'!$B$7+'Inputs'!$B$10))^2+('Inputs'!$B$8/2)^2))))*'Results'!$B$8))),"")</x:f>
        <x:v>0.8231757176270794</x:v>
      </x:c>
      <x:c r="M870" t="n">
        <x:f>IF(AND(ISNUMBER('Results'!C7),ISNUMBER('Results'!B7),ISNUMBER('Results'!$B$8),ISNUMBER('Inputs'!$B$6),ISNUMBER('Inputs'!$B$7),ISNUMBER('Inputs'!$B$8),ISNUMBER('Inputs'!$B$9),ISNUMBER('Inputs'!$B$10),ISNUMBER('Inputs'!$B$21),ISNUMBER('Inputs'!$B$24),ISNUMBER('Inputs'!$B$28)),(('Results'!C7*(0.5*((((870-43)*MAX('Inputs'!$B$33,'Inputs'!$B$29+'Inputs'!$B$31+'Inputs'!$B$32,'Inputs'!$B$30+'Inputs'!$B$31+'Inputs'!$B$32)/1000+'Inputs'!$B$21)+'Inputs'!$B$9)/SQRT((((870-43)*MAX('Inputs'!$B$33,'Inputs'!$B$29+'Inputs'!$B$31+'Inputs'!$B$32,'Inputs'!$B$30+'Inputs'!$B$31+'Inputs'!$B$32)/1000+'Inputs'!$B$21)+'Inputs'!$B$9)^2+('Inputs'!$B$8/2)^2)-(((870-43)*MAX('Inputs'!$B$33,'Inputs'!$B$29+'Inputs'!$B$31+'Inputs'!$B$32,'Inputs'!$B$30+'Inputs'!$B$31+'Inputs'!$B$32)/1000+'Inputs'!$B$21))/SQRT((((870-43)*MAX('Inputs'!$B$33,'Inputs'!$B$29+'Inputs'!$B$31+'Inputs'!$B$32,'Inputs'!$B$30+'Inputs'!$B$31+'Inputs'!$B$32)/1000+'Inputs'!$B$21))^2+('Inputs'!$B$8/2)^2)))-'Results'!B7*(0.5*((((870-43)*MAX('Inputs'!$B$33,'Inputs'!$B$29+'Inputs'!$B$31+'Inputs'!$B$32,'Inputs'!$B$30+'Inputs'!$B$31+'Inputs'!$B$32)/1000+'Inputs'!$B$21+'Inputs'!$B$9+'Inputs'!$B$10)+'Inputs'!$B$7)/SQRT((((870-43)*MAX('Inputs'!$B$33,'Inputs'!$B$29+'Inputs'!$B$31+'Inputs'!$B$32,'Inputs'!$B$30+'Inputs'!$B$31+'Inputs'!$B$32)/1000+'Inputs'!$B$21+'Inputs'!$B$9+'Inputs'!$B$10)+'Inputs'!$B$7)^2+('Inputs'!$B$6/2)^2)-(((870-43)*MAX('Inputs'!$B$33,'Inputs'!$B$29+'Inputs'!$B$31+'Inputs'!$B$32,'Inputs'!$B$30+'Inputs'!$B$31+'Inputs'!$B$32)/1000+'Inputs'!$B$21+'Inputs'!$B$9+'Inputs'!$B$10))/SQRT((((870-43)*MAX('Inputs'!$B$33,'Inputs'!$B$29+'Inputs'!$B$31+'Inputs'!$B$32,'Inputs'!$B$30+'Inputs'!$B$31+'Inputs'!$B$32)/1000+'Inputs'!$B$21+'Inputs'!$B$9+'Inputs'!$B$10))^2+('Inputs'!$B$6/2)^2))))*'Results'!$B$8),"")</x:f>
        <x:v>0.6386541524256912</x:v>
      </x:c>
      <x:c r="N870" t="n">
        <x:f>IF(AND(ISNUMBER('Results'!C7),ISNUMBER('Results'!B7),ISNUMBER('Results'!$B$8),ISNUMBER('Inputs'!$B$6),ISNUMBER('Inputs'!$B$7),ISNUMBER('Inputs'!$B$8),ISNUMBER('Inputs'!$B$9),ISNUMBER('Inputs'!$B$10),ISNUMBER('Inputs'!$B$21),ISNUMBER('Inputs'!$B$24),ISNUMBER('Inputs'!$B$28)),((('Results'!C7*(1-'Inputs'!$B$24)*(0.5*((((870-43)*MAX('Inputs'!$B$33,'Inputs'!$B$29+'Inputs'!$B$31+'Inputs'!$B$32,'Inputs'!$B$30+'Inputs'!$B$31+'Inputs'!$B$32)/1000+'Inputs'!$B$21)+'Inputs'!$B$9)/SQRT((((870-43)*MAX('Inputs'!$B$33,'Inputs'!$B$29+'Inputs'!$B$31+'Inputs'!$B$32,'Inputs'!$B$30+'Inputs'!$B$31+'Inputs'!$B$32)/1000+'Inputs'!$B$21)+'Inputs'!$B$9)^2+('Inputs'!$B$8/2)^2)-(((870-43)*MAX('Inputs'!$B$33,'Inputs'!$B$29+'Inputs'!$B$31+'Inputs'!$B$32,'Inputs'!$B$30+'Inputs'!$B$31+'Inputs'!$B$32)/1000+'Inputs'!$B$21))/SQRT((((870-43)*MAX('Inputs'!$B$33,'Inputs'!$B$29+'Inputs'!$B$31+'Inputs'!$B$32,'Inputs'!$B$30+'Inputs'!$B$31+'Inputs'!$B$32)/1000+'Inputs'!$B$21))^2+('Inputs'!$B$8/2)^2)))-'Results'!B7*(1+'Inputs'!$B$24)*(0.5*((((870-43)*MAX('Inputs'!$B$33,'Inputs'!$B$29+'Inputs'!$B$31+'Inputs'!$B$32,'Inputs'!$B$30+'Inputs'!$B$31+'Inputs'!$B$32)/1000+'Inputs'!$B$21+'Inputs'!$B$9+'Inputs'!$B$10)+'Inputs'!$B$7)/SQRT((((870-43)*MAX('Inputs'!$B$33,'Inputs'!$B$29+'Inputs'!$B$31+'Inputs'!$B$32,'Inputs'!$B$30+'Inputs'!$B$31+'Inputs'!$B$32)/1000+'Inputs'!$B$21+'Inputs'!$B$9+'Inputs'!$B$10)+'Inputs'!$B$7)^2+('Inputs'!$B$6/2)^2)-(((870-43)*MAX('Inputs'!$B$33,'Inputs'!$B$29+'Inputs'!$B$31+'Inputs'!$B$32,'Inputs'!$B$30+'Inputs'!$B$31+'Inputs'!$B$32)/1000+'Inputs'!$B$21+'Inputs'!$B$9+'Inputs'!$B$10))/SQRT((((870-43)*MAX('Inputs'!$B$33,'Inputs'!$B$29+'Inputs'!$B$31+'Inputs'!$B$32,'Inputs'!$B$30+'Inputs'!$B$31+'Inputs'!$B$32)/1000+'Inputs'!$B$21+'Inputs'!$B$9+'Inputs'!$B$10))^2+('Inputs'!$B$6/2)^2))))*'Results'!$B$8)-'Inputs'!$B$28*ABS((('Results'!C7*(1-'Inputs'!$B$24)*(0.5*((((870-43)*MAX('Inputs'!$B$33,'Inputs'!$B$29+'Inputs'!$B$31+'Inputs'!$B$32,'Inputs'!$B$30+'Inputs'!$B$31+'Inputs'!$B$32)/1000+'Inputs'!$B$21)+'Inputs'!$B$9)/SQRT((((870-43)*MAX('Inputs'!$B$33,'Inputs'!$B$29+'Inputs'!$B$31+'Inputs'!$B$32,'Inputs'!$B$30+'Inputs'!$B$31+'Inputs'!$B$32)/1000+'Inputs'!$B$21)+'Inputs'!$B$9)^2+('Inputs'!$B$8/2)^2)-(((870-43)*MAX('Inputs'!$B$33,'Inputs'!$B$29+'Inputs'!$B$31+'Inputs'!$B$32,'Inputs'!$B$30+'Inputs'!$B$31+'Inputs'!$B$32)/1000+'Inputs'!$B$21))/SQRT((((870-43)*MAX('Inputs'!$B$33,'Inputs'!$B$29+'Inputs'!$B$31+'Inputs'!$B$32,'Inputs'!$B$30+'Inputs'!$B$31+'Inputs'!$B$32)/1000+'Inputs'!$B$21))^2+('Inputs'!$B$8/2)^2)))-'Results'!B7*(1+'Inputs'!$B$24)*(0.5*((((870-43)*MAX('Inputs'!$B$33,'Inputs'!$B$29+'Inputs'!$B$31+'Inputs'!$B$32,'Inputs'!$B$30+'Inputs'!$B$31+'Inputs'!$B$32)/1000+'Inputs'!$B$21+'Inputs'!$B$9+'Inputs'!$B$10)+'Inputs'!$B$7)/SQRT((((870-43)*MAX('Inputs'!$B$33,'Inputs'!$B$29+'Inputs'!$B$31+'Inputs'!$B$32,'Inputs'!$B$30+'Inputs'!$B$31+'Inputs'!$B$32)/1000+'Inputs'!$B$21+'Inputs'!$B$9+'Inputs'!$B$10)+'Inputs'!$B$7)^2+('Inputs'!$B$6/2)^2)-(((870-43)*MAX('Inputs'!$B$33,'Inputs'!$B$29+'Inputs'!$B$31+'Inputs'!$B$32,'Inputs'!$B$30+'Inputs'!$B$31+'Inputs'!$B$32)/1000+'Inputs'!$B$21+'Inputs'!$B$9+'Inputs'!$B$10))/SQRT((((870-43)*MAX('Inputs'!$B$33,'Inputs'!$B$29+'Inputs'!$B$31+'Inputs'!$B$32,'Inputs'!$B$30+'Inputs'!$B$31+'Inputs'!$B$32)/1000+'Inputs'!$B$21+'Inputs'!$B$9+'Inputs'!$B$10))^2+('Inputs'!$B$6/2)^2))))*'Results'!$B$8))),"")</x:f>
        <x:v>0.5382340588842353</x:v>
      </x:c>
      <x:c r="O870" t="n">
        <x:f>IF(AND(ISNUMBER('Results'!C7),ISNUMBER('Results'!B7),ISNUMBER('Results'!$B$8),ISNUMBER('Inputs'!$B$6),ISNUMBER('Inputs'!$B$7),ISNUMBER('Inputs'!$B$8),ISNUMBER('Inputs'!$B$9),ISNUMBER('Inputs'!$B$10),ISNUMBER('Inputs'!$B$21),ISNUMBER('Inputs'!$B$24),ISNUMBER('Inputs'!$B$28)),((('Results'!C7*(1+'Inputs'!$B$24)*(0.5*((((870-43)*MAX('Inputs'!$B$33,'Inputs'!$B$29+'Inputs'!$B$31+'Inputs'!$B$32,'Inputs'!$B$30+'Inputs'!$B$31+'Inputs'!$B$32)/1000+'Inputs'!$B$21)+'Inputs'!$B$9)/SQRT((((870-43)*MAX('Inputs'!$B$33,'Inputs'!$B$29+'Inputs'!$B$31+'Inputs'!$B$32,'Inputs'!$B$30+'Inputs'!$B$31+'Inputs'!$B$32)/1000+'Inputs'!$B$21)+'Inputs'!$B$9)^2+('Inputs'!$B$8/2)^2)-(((870-43)*MAX('Inputs'!$B$33,'Inputs'!$B$29+'Inputs'!$B$31+'Inputs'!$B$32,'Inputs'!$B$30+'Inputs'!$B$31+'Inputs'!$B$32)/1000+'Inputs'!$B$21))/SQRT((((870-43)*MAX('Inputs'!$B$33,'Inputs'!$B$29+'Inputs'!$B$31+'Inputs'!$B$32,'Inputs'!$B$30+'Inputs'!$B$31+'Inputs'!$B$32)/1000+'Inputs'!$B$21))^2+('Inputs'!$B$8/2)^2)))-'Results'!B7*(1-'Inputs'!$B$24)*(0.5*((((870-43)*MAX('Inputs'!$B$33,'Inputs'!$B$29+'Inputs'!$B$31+'Inputs'!$B$32,'Inputs'!$B$30+'Inputs'!$B$31+'Inputs'!$B$32)/1000+'Inputs'!$B$21+'Inputs'!$B$9+'Inputs'!$B$10)+'Inputs'!$B$7)/SQRT((((870-43)*MAX('Inputs'!$B$33,'Inputs'!$B$29+'Inputs'!$B$31+'Inputs'!$B$32,'Inputs'!$B$30+'Inputs'!$B$31+'Inputs'!$B$32)/1000+'Inputs'!$B$21+'Inputs'!$B$9+'Inputs'!$B$10)+'Inputs'!$B$7)^2+('Inputs'!$B$6/2)^2)-(((870-43)*MAX('Inputs'!$B$33,'Inputs'!$B$29+'Inputs'!$B$31+'Inputs'!$B$32,'Inputs'!$B$30+'Inputs'!$B$31+'Inputs'!$B$32)/1000+'Inputs'!$B$21+'Inputs'!$B$9+'Inputs'!$B$10))/SQRT((((870-43)*MAX('Inputs'!$B$33,'Inputs'!$B$29+'Inputs'!$B$31+'Inputs'!$B$32,'Inputs'!$B$30+'Inputs'!$B$31+'Inputs'!$B$32)/1000+'Inputs'!$B$21+'Inputs'!$B$9+'Inputs'!$B$10))^2+('Inputs'!$B$6/2)^2))))*'Results'!$B$8)+'Inputs'!$B$28*ABS((('Results'!C7*(1+'Inputs'!$B$24)*(0.5*((((870-43)*MAX('Inputs'!$B$33,'Inputs'!$B$29+'Inputs'!$B$31+'Inputs'!$B$32,'Inputs'!$B$30+'Inputs'!$B$31+'Inputs'!$B$32)/1000+'Inputs'!$B$21)+'Inputs'!$B$9)/SQRT((((870-43)*MAX('Inputs'!$B$33,'Inputs'!$B$29+'Inputs'!$B$31+'Inputs'!$B$32,'Inputs'!$B$30+'Inputs'!$B$31+'Inputs'!$B$32)/1000+'Inputs'!$B$21)+'Inputs'!$B$9)^2+('Inputs'!$B$8/2)^2)-(((870-43)*MAX('Inputs'!$B$33,'Inputs'!$B$29+'Inputs'!$B$31+'Inputs'!$B$32,'Inputs'!$B$30+'Inputs'!$B$31+'Inputs'!$B$32)/1000+'Inputs'!$B$21))/SQRT((((870-43)*MAX('Inputs'!$B$33,'Inputs'!$B$29+'Inputs'!$B$31+'Inputs'!$B$32,'Inputs'!$B$30+'Inputs'!$B$31+'Inputs'!$B$32)/1000+'Inputs'!$B$21))^2+('Inputs'!$B$8/2)^2)))-'Results'!B7*(1-'Inputs'!$B$24)*(0.5*((((870-43)*MAX('Inputs'!$B$33,'Inputs'!$B$29+'Inputs'!$B$31+'Inputs'!$B$32,'Inputs'!$B$30+'Inputs'!$B$31+'Inputs'!$B$32)/1000+'Inputs'!$B$21+'Inputs'!$B$9+'Inputs'!$B$10)+'Inputs'!$B$7)/SQRT((((870-43)*MAX('Inputs'!$B$33,'Inputs'!$B$29+'Inputs'!$B$31+'Inputs'!$B$32,'Inputs'!$B$30+'Inputs'!$B$31+'Inputs'!$B$32)/1000+'Inputs'!$B$21+'Inputs'!$B$9+'Inputs'!$B$10)+'Inputs'!$B$7)^2+('Inputs'!$B$6/2)^2)-(((870-43)*MAX('Inputs'!$B$33,'Inputs'!$B$29+'Inputs'!$B$31+'Inputs'!$B$32,'Inputs'!$B$30+'Inputs'!$B$31+'Inputs'!$B$32)/1000+'Inputs'!$B$21+'Inputs'!$B$9+'Inputs'!$B$10))/SQRT((((870-43)*MAX('Inputs'!$B$33,'Inputs'!$B$29+'Inputs'!$B$31+'Inputs'!$B$32,'Inputs'!$B$30+'Inputs'!$B$31+'Inputs'!$B$32)/1000+'Inputs'!$B$21+'Inputs'!$B$9+'Inputs'!$B$10))^2+('Inputs'!$B$6/2)^2))))*'Results'!$B$8))),"")</x:f>
        <x:v>0.7462834444850603</x:v>
      </x:c>
      <x:c r="P870" t="n">
        <x:f>IF(AND(MAX(J870,J869)&gt;0,J870&gt;J869+0.00000001),1,0)</x:f>
        <x:v>0</x:v>
      </x:c>
      <x:c r="Q870" t="n">
        <x:f>IF(AND(MAX(K870,K869)&gt;0,K870&gt;K869+0.00000001),1,0)</x:f>
        <x:v>0</x:v>
      </x:c>
      <x:c r="R870" t="n">
        <x:f>IF(AND(MAX(L870,L869)&gt;0,L870&gt;L869+0.00000001),1,0)</x:f>
        <x:v>0</x:v>
      </x:c>
      <x:c r="S870" t="n">
        <x:f>IF(AND(MAX(M870,M869)&gt;0,M870&gt;M869+0.00000001),1,0)</x:f>
        <x:v>0</x:v>
      </x:c>
      <x:c r="T870" t="n">
        <x:f>IF(AND(MAX(N870,N869)&gt;0,N870&gt;N869+0.00000001),1,0)</x:f>
        <x:v>0</x:v>
      </x:c>
      <x:c r="U870" t="n">
        <x:f>IF(AND(MAX(O870,O869)&gt;0,O870&gt;O869+0.00000001),1,0)</x:f>
        <x:v>0</x:v>
      </x:c>
    </x:row>
    <x:row r="871">
      <x:c r="J871" t="n">
        <x:f>IF(AND(ISNUMBER('Results'!B7),ISNUMBER('Results'!C7),ISNUMBER('Results'!$B$8),ISNUMBER('Inputs'!$B$6),ISNUMBER('Inputs'!$B$7),ISNUMBER('Inputs'!$B$8),ISNUMBER('Inputs'!$B$9),ISNUMBER('Inputs'!$B$10),ISNUMBER('Inputs'!$B$21),ISNUMBER('Inputs'!$B$24),ISNUMBER('Inputs'!$B$28)),(('Results'!B7*(0.5*((((871-43)*MAX('Inputs'!$B$33,'Inputs'!$B$29+'Inputs'!$B$31+'Inputs'!$B$32,'Inputs'!$B$30+'Inputs'!$B$31+'Inputs'!$B$32)/1000+'Inputs'!$B$21)+'Inputs'!$B$7)/SQRT((((871-43)*MAX('Inputs'!$B$33,'Inputs'!$B$29+'Inputs'!$B$31+'Inputs'!$B$32,'Inputs'!$B$30+'Inputs'!$B$31+'Inputs'!$B$32)/1000+'Inputs'!$B$21)+'Inputs'!$B$7)^2+('Inputs'!$B$6/2)^2)-(((871-43)*MAX('Inputs'!$B$33,'Inputs'!$B$29+'Inputs'!$B$31+'Inputs'!$B$32,'Inputs'!$B$30+'Inputs'!$B$31+'Inputs'!$B$32)/1000+'Inputs'!$B$21))/SQRT((((871-43)*MAX('Inputs'!$B$33,'Inputs'!$B$29+'Inputs'!$B$31+'Inputs'!$B$32,'Inputs'!$B$30+'Inputs'!$B$31+'Inputs'!$B$32)/1000+'Inputs'!$B$21))^2+('Inputs'!$B$6/2)^2)))-'Results'!C7*(0.5*((((871-43)*MAX('Inputs'!$B$33,'Inputs'!$B$29+'Inputs'!$B$31+'Inputs'!$B$32,'Inputs'!$B$30+'Inputs'!$B$31+'Inputs'!$B$32)/1000+'Inputs'!$B$21+'Inputs'!$B$7+'Inputs'!$B$10)+'Inputs'!$B$9)/SQRT((((871-43)*MAX('Inputs'!$B$33,'Inputs'!$B$29+'Inputs'!$B$31+'Inputs'!$B$32,'Inputs'!$B$30+'Inputs'!$B$31+'Inputs'!$B$32)/1000+'Inputs'!$B$21+'Inputs'!$B$7+'Inputs'!$B$10)+'Inputs'!$B$9)^2+('Inputs'!$B$8/2)^2)-(((871-43)*MAX('Inputs'!$B$33,'Inputs'!$B$29+'Inputs'!$B$31+'Inputs'!$B$32,'Inputs'!$B$30+'Inputs'!$B$31+'Inputs'!$B$32)/1000+'Inputs'!$B$21+'Inputs'!$B$7+'Inputs'!$B$10))/SQRT((((871-43)*MAX('Inputs'!$B$33,'Inputs'!$B$29+'Inputs'!$B$31+'Inputs'!$B$32,'Inputs'!$B$30+'Inputs'!$B$31+'Inputs'!$B$32)/1000+'Inputs'!$B$21+'Inputs'!$B$7+'Inputs'!$B$10))^2+('Inputs'!$B$8/2)^2))))*'Results'!$B$8),"")</x:f>
        <x:v>0.7085187562623265</x:v>
      </x:c>
      <x:c r="K871" t="n">
        <x:f>IF(AND(ISNUMBER('Results'!B7),ISNUMBER('Results'!C7),ISNUMBER('Results'!$B$8),ISNUMBER('Inputs'!$B$6),ISNUMBER('Inputs'!$B$7),ISNUMBER('Inputs'!$B$8),ISNUMBER('Inputs'!$B$9),ISNUMBER('Inputs'!$B$10),ISNUMBER('Inputs'!$B$21),ISNUMBER('Inputs'!$B$24),ISNUMBER('Inputs'!$B$28)),((('Results'!B7*(1-'Inputs'!$B$24)*(0.5*((((871-43)*MAX('Inputs'!$B$33,'Inputs'!$B$29+'Inputs'!$B$31+'Inputs'!$B$32,'Inputs'!$B$30+'Inputs'!$B$31+'Inputs'!$B$32)/1000+'Inputs'!$B$21)+'Inputs'!$B$7)/SQRT((((871-43)*MAX('Inputs'!$B$33,'Inputs'!$B$29+'Inputs'!$B$31+'Inputs'!$B$32,'Inputs'!$B$30+'Inputs'!$B$31+'Inputs'!$B$32)/1000+'Inputs'!$B$21)+'Inputs'!$B$7)^2+('Inputs'!$B$6/2)^2)-(((871-43)*MAX('Inputs'!$B$33,'Inputs'!$B$29+'Inputs'!$B$31+'Inputs'!$B$32,'Inputs'!$B$30+'Inputs'!$B$31+'Inputs'!$B$32)/1000+'Inputs'!$B$21))/SQRT((((871-43)*MAX('Inputs'!$B$33,'Inputs'!$B$29+'Inputs'!$B$31+'Inputs'!$B$32,'Inputs'!$B$30+'Inputs'!$B$31+'Inputs'!$B$32)/1000+'Inputs'!$B$21))^2+('Inputs'!$B$6/2)^2)))-'Results'!C7*(1+'Inputs'!$B$24)*(0.5*((((871-43)*MAX('Inputs'!$B$33,'Inputs'!$B$29+'Inputs'!$B$31+'Inputs'!$B$32,'Inputs'!$B$30+'Inputs'!$B$31+'Inputs'!$B$32)/1000+'Inputs'!$B$21+'Inputs'!$B$7+'Inputs'!$B$10)+'Inputs'!$B$9)/SQRT((((871-43)*MAX('Inputs'!$B$33,'Inputs'!$B$29+'Inputs'!$B$31+'Inputs'!$B$32,'Inputs'!$B$30+'Inputs'!$B$31+'Inputs'!$B$32)/1000+'Inputs'!$B$21+'Inputs'!$B$7+'Inputs'!$B$10)+'Inputs'!$B$9)^2+('Inputs'!$B$8/2)^2)-(((871-43)*MAX('Inputs'!$B$33,'Inputs'!$B$29+'Inputs'!$B$31+'Inputs'!$B$32,'Inputs'!$B$30+'Inputs'!$B$31+'Inputs'!$B$32)/1000+'Inputs'!$B$21+'Inputs'!$B$7+'Inputs'!$B$10))/SQRT((((871-43)*MAX('Inputs'!$B$33,'Inputs'!$B$29+'Inputs'!$B$31+'Inputs'!$B$32,'Inputs'!$B$30+'Inputs'!$B$31+'Inputs'!$B$32)/1000+'Inputs'!$B$21+'Inputs'!$B$7+'Inputs'!$B$10))^2+('Inputs'!$B$8/2)^2))))*'Results'!$B$8)-'Inputs'!$B$28*ABS((('Results'!B7*(1-'Inputs'!$B$24)*(0.5*((((871-43)*MAX('Inputs'!$B$33,'Inputs'!$B$29+'Inputs'!$B$31+'Inputs'!$B$32,'Inputs'!$B$30+'Inputs'!$B$31+'Inputs'!$B$32)/1000+'Inputs'!$B$21)+'Inputs'!$B$7)/SQRT((((871-43)*MAX('Inputs'!$B$33,'Inputs'!$B$29+'Inputs'!$B$31+'Inputs'!$B$32,'Inputs'!$B$30+'Inputs'!$B$31+'Inputs'!$B$32)/1000+'Inputs'!$B$21)+'Inputs'!$B$7)^2+('Inputs'!$B$6/2)^2)-(((871-43)*MAX('Inputs'!$B$33,'Inputs'!$B$29+'Inputs'!$B$31+'Inputs'!$B$32,'Inputs'!$B$30+'Inputs'!$B$31+'Inputs'!$B$32)/1000+'Inputs'!$B$21))/SQRT((((871-43)*MAX('Inputs'!$B$33,'Inputs'!$B$29+'Inputs'!$B$31+'Inputs'!$B$32,'Inputs'!$B$30+'Inputs'!$B$31+'Inputs'!$B$32)/1000+'Inputs'!$B$21))^2+('Inputs'!$B$6/2)^2)))-'Results'!C7*(1+'Inputs'!$B$24)*(0.5*((((871-43)*MAX('Inputs'!$B$33,'Inputs'!$B$29+'Inputs'!$B$31+'Inputs'!$B$32,'Inputs'!$B$30+'Inputs'!$B$31+'Inputs'!$B$32)/1000+'Inputs'!$B$21+'Inputs'!$B$7+'Inputs'!$B$10)+'Inputs'!$B$9)/SQRT((((871-43)*MAX('Inputs'!$B$33,'Inputs'!$B$29+'Inputs'!$B$31+'Inputs'!$B$32,'Inputs'!$B$30+'Inputs'!$B$31+'Inputs'!$B$32)/1000+'Inputs'!$B$21+'Inputs'!$B$7+'Inputs'!$B$10)+'Inputs'!$B$9)^2+('Inputs'!$B$8/2)^2)-(((871-43)*MAX('Inputs'!$B$33,'Inputs'!$B$29+'Inputs'!$B$31+'Inputs'!$B$32,'Inputs'!$B$30+'Inputs'!$B$31+'Inputs'!$B$32)/1000+'Inputs'!$B$21+'Inputs'!$B$7+'Inputs'!$B$10))/SQRT((((871-43)*MAX('Inputs'!$B$33,'Inputs'!$B$29+'Inputs'!$B$31+'Inputs'!$B$32,'Inputs'!$B$30+'Inputs'!$B$31+'Inputs'!$B$32)/1000+'Inputs'!$B$21+'Inputs'!$B$7+'Inputs'!$B$10))^2+('Inputs'!$B$8/2)^2))))*'Results'!$B$8))),"")</x:f>
        <x:v>0.6045759461795734</x:v>
      </x:c>
      <x:c r="L871" t="n">
        <x:f>IF(AND(ISNUMBER('Results'!B7),ISNUMBER('Results'!C7),ISNUMBER('Results'!$B$8),ISNUMBER('Inputs'!$B$6),ISNUMBER('Inputs'!$B$7),ISNUMBER('Inputs'!$B$8),ISNUMBER('Inputs'!$B$9),ISNUMBER('Inputs'!$B$10),ISNUMBER('Inputs'!$B$21),ISNUMBER('Inputs'!$B$24),ISNUMBER('Inputs'!$B$28)),((('Results'!B7*(1+'Inputs'!$B$24)*(0.5*((((871-43)*MAX('Inputs'!$B$33,'Inputs'!$B$29+'Inputs'!$B$31+'Inputs'!$B$32,'Inputs'!$B$30+'Inputs'!$B$31+'Inputs'!$B$32)/1000+'Inputs'!$B$21)+'Inputs'!$B$7)/SQRT((((871-43)*MAX('Inputs'!$B$33,'Inputs'!$B$29+'Inputs'!$B$31+'Inputs'!$B$32,'Inputs'!$B$30+'Inputs'!$B$31+'Inputs'!$B$32)/1000+'Inputs'!$B$21)+'Inputs'!$B$7)^2+('Inputs'!$B$6/2)^2)-(((871-43)*MAX('Inputs'!$B$33,'Inputs'!$B$29+'Inputs'!$B$31+'Inputs'!$B$32,'Inputs'!$B$30+'Inputs'!$B$31+'Inputs'!$B$32)/1000+'Inputs'!$B$21))/SQRT((((871-43)*MAX('Inputs'!$B$33,'Inputs'!$B$29+'Inputs'!$B$31+'Inputs'!$B$32,'Inputs'!$B$30+'Inputs'!$B$31+'Inputs'!$B$32)/1000+'Inputs'!$B$21))^2+('Inputs'!$B$6/2)^2)))-'Results'!C7*(1-'Inputs'!$B$24)*(0.5*((((871-43)*MAX('Inputs'!$B$33,'Inputs'!$B$29+'Inputs'!$B$31+'Inputs'!$B$32,'Inputs'!$B$30+'Inputs'!$B$31+'Inputs'!$B$32)/1000+'Inputs'!$B$21+'Inputs'!$B$7+'Inputs'!$B$10)+'Inputs'!$B$9)/SQRT((((871-43)*MAX('Inputs'!$B$33,'Inputs'!$B$29+'Inputs'!$B$31+'Inputs'!$B$32,'Inputs'!$B$30+'Inputs'!$B$31+'Inputs'!$B$32)/1000+'Inputs'!$B$21+'Inputs'!$B$7+'Inputs'!$B$10)+'Inputs'!$B$9)^2+('Inputs'!$B$8/2)^2)-(((871-43)*MAX('Inputs'!$B$33,'Inputs'!$B$29+'Inputs'!$B$31+'Inputs'!$B$32,'Inputs'!$B$30+'Inputs'!$B$31+'Inputs'!$B$32)/1000+'Inputs'!$B$21+'Inputs'!$B$7+'Inputs'!$B$10))/SQRT((((871-43)*MAX('Inputs'!$B$33,'Inputs'!$B$29+'Inputs'!$B$31+'Inputs'!$B$32,'Inputs'!$B$30+'Inputs'!$B$31+'Inputs'!$B$32)/1000+'Inputs'!$B$21+'Inputs'!$B$7+'Inputs'!$B$10))^2+('Inputs'!$B$8/2)^2))))*'Results'!$B$8)+'Inputs'!$B$28*ABS((('Results'!B7*(1+'Inputs'!$B$24)*(0.5*((((871-43)*MAX('Inputs'!$B$33,'Inputs'!$B$29+'Inputs'!$B$31+'Inputs'!$B$32,'Inputs'!$B$30+'Inputs'!$B$31+'Inputs'!$B$32)/1000+'Inputs'!$B$21)+'Inputs'!$B$7)/SQRT((((871-43)*MAX('Inputs'!$B$33,'Inputs'!$B$29+'Inputs'!$B$31+'Inputs'!$B$32,'Inputs'!$B$30+'Inputs'!$B$31+'Inputs'!$B$32)/1000+'Inputs'!$B$21)+'Inputs'!$B$7)^2+('Inputs'!$B$6/2)^2)-(((871-43)*MAX('Inputs'!$B$33,'Inputs'!$B$29+'Inputs'!$B$31+'Inputs'!$B$32,'Inputs'!$B$30+'Inputs'!$B$31+'Inputs'!$B$32)/1000+'Inputs'!$B$21))/SQRT((((871-43)*MAX('Inputs'!$B$33,'Inputs'!$B$29+'Inputs'!$B$31+'Inputs'!$B$32,'Inputs'!$B$30+'Inputs'!$B$31+'Inputs'!$B$32)/1000+'Inputs'!$B$21))^2+('Inputs'!$B$6/2)^2)))-'Results'!C7*(1-'Inputs'!$B$24)*(0.5*((((871-43)*MAX('Inputs'!$B$33,'Inputs'!$B$29+'Inputs'!$B$31+'Inputs'!$B$32,'Inputs'!$B$30+'Inputs'!$B$31+'Inputs'!$B$32)/1000+'Inputs'!$B$21+'Inputs'!$B$7+'Inputs'!$B$10)+'Inputs'!$B$9)/SQRT((((871-43)*MAX('Inputs'!$B$33,'Inputs'!$B$29+'Inputs'!$B$31+'Inputs'!$B$32,'Inputs'!$B$30+'Inputs'!$B$31+'Inputs'!$B$32)/1000+'Inputs'!$B$21+'Inputs'!$B$7+'Inputs'!$B$10)+'Inputs'!$B$9)^2+('Inputs'!$B$8/2)^2)-(((871-43)*MAX('Inputs'!$B$33,'Inputs'!$B$29+'Inputs'!$B$31+'Inputs'!$B$32,'Inputs'!$B$30+'Inputs'!$B$31+'Inputs'!$B$32)/1000+'Inputs'!$B$21+'Inputs'!$B$7+'Inputs'!$B$10))/SQRT((((871-43)*MAX('Inputs'!$B$33,'Inputs'!$B$29+'Inputs'!$B$31+'Inputs'!$B$32,'Inputs'!$B$30+'Inputs'!$B$31+'Inputs'!$B$32)/1000+'Inputs'!$B$21+'Inputs'!$B$7+'Inputs'!$B$10))^2+('Inputs'!$B$8/2)^2))))*'Results'!$B$8))),"")</x:f>
        <x:v>0.8196738686892517</x:v>
      </x:c>
      <x:c r="M871" t="n">
        <x:f>IF(AND(ISNUMBER('Results'!C7),ISNUMBER('Results'!B7),ISNUMBER('Results'!$B$8),ISNUMBER('Inputs'!$B$6),ISNUMBER('Inputs'!$B$7),ISNUMBER('Inputs'!$B$8),ISNUMBER('Inputs'!$B$9),ISNUMBER('Inputs'!$B$10),ISNUMBER('Inputs'!$B$21),ISNUMBER('Inputs'!$B$24),ISNUMBER('Inputs'!$B$28)),(('Results'!C7*(0.5*((((871-43)*MAX('Inputs'!$B$33,'Inputs'!$B$29+'Inputs'!$B$31+'Inputs'!$B$32,'Inputs'!$B$30+'Inputs'!$B$31+'Inputs'!$B$32)/1000+'Inputs'!$B$21)+'Inputs'!$B$9)/SQRT((((871-43)*MAX('Inputs'!$B$33,'Inputs'!$B$29+'Inputs'!$B$31+'Inputs'!$B$32,'Inputs'!$B$30+'Inputs'!$B$31+'Inputs'!$B$32)/1000+'Inputs'!$B$21)+'Inputs'!$B$9)^2+('Inputs'!$B$8/2)^2)-(((871-43)*MAX('Inputs'!$B$33,'Inputs'!$B$29+'Inputs'!$B$31+'Inputs'!$B$32,'Inputs'!$B$30+'Inputs'!$B$31+'Inputs'!$B$32)/1000+'Inputs'!$B$21))/SQRT((((871-43)*MAX('Inputs'!$B$33,'Inputs'!$B$29+'Inputs'!$B$31+'Inputs'!$B$32,'Inputs'!$B$30+'Inputs'!$B$31+'Inputs'!$B$32)/1000+'Inputs'!$B$21))^2+('Inputs'!$B$8/2)^2)))-'Results'!B7*(0.5*((((871-43)*MAX('Inputs'!$B$33,'Inputs'!$B$29+'Inputs'!$B$31+'Inputs'!$B$32,'Inputs'!$B$30+'Inputs'!$B$31+'Inputs'!$B$32)/1000+'Inputs'!$B$21+'Inputs'!$B$9+'Inputs'!$B$10)+'Inputs'!$B$7)/SQRT((((871-43)*MAX('Inputs'!$B$33,'Inputs'!$B$29+'Inputs'!$B$31+'Inputs'!$B$32,'Inputs'!$B$30+'Inputs'!$B$31+'Inputs'!$B$32)/1000+'Inputs'!$B$21+'Inputs'!$B$9+'Inputs'!$B$10)+'Inputs'!$B$7)^2+('Inputs'!$B$6/2)^2)-(((871-43)*MAX('Inputs'!$B$33,'Inputs'!$B$29+'Inputs'!$B$31+'Inputs'!$B$32,'Inputs'!$B$30+'Inputs'!$B$31+'Inputs'!$B$32)/1000+'Inputs'!$B$21+'Inputs'!$B$9+'Inputs'!$B$10))/SQRT((((871-43)*MAX('Inputs'!$B$33,'Inputs'!$B$29+'Inputs'!$B$31+'Inputs'!$B$32,'Inputs'!$B$30+'Inputs'!$B$31+'Inputs'!$B$32)/1000+'Inputs'!$B$21+'Inputs'!$B$9+'Inputs'!$B$10))^2+('Inputs'!$B$6/2)^2))))*'Results'!$B$8),"")</x:f>
        <x:v>0.6358043792663538</x:v>
      </x:c>
      <x:c r="N871" t="n">
        <x:f>IF(AND(ISNUMBER('Results'!C7),ISNUMBER('Results'!B7),ISNUMBER('Results'!$B$8),ISNUMBER('Inputs'!$B$6),ISNUMBER('Inputs'!$B$7),ISNUMBER('Inputs'!$B$8),ISNUMBER('Inputs'!$B$9),ISNUMBER('Inputs'!$B$10),ISNUMBER('Inputs'!$B$21),ISNUMBER('Inputs'!$B$24),ISNUMBER('Inputs'!$B$28)),((('Results'!C7*(1-'Inputs'!$B$24)*(0.5*((((871-43)*MAX('Inputs'!$B$33,'Inputs'!$B$29+'Inputs'!$B$31+'Inputs'!$B$32,'Inputs'!$B$30+'Inputs'!$B$31+'Inputs'!$B$32)/1000+'Inputs'!$B$21)+'Inputs'!$B$9)/SQRT((((871-43)*MAX('Inputs'!$B$33,'Inputs'!$B$29+'Inputs'!$B$31+'Inputs'!$B$32,'Inputs'!$B$30+'Inputs'!$B$31+'Inputs'!$B$32)/1000+'Inputs'!$B$21)+'Inputs'!$B$9)^2+('Inputs'!$B$8/2)^2)-(((871-43)*MAX('Inputs'!$B$33,'Inputs'!$B$29+'Inputs'!$B$31+'Inputs'!$B$32,'Inputs'!$B$30+'Inputs'!$B$31+'Inputs'!$B$32)/1000+'Inputs'!$B$21))/SQRT((((871-43)*MAX('Inputs'!$B$33,'Inputs'!$B$29+'Inputs'!$B$31+'Inputs'!$B$32,'Inputs'!$B$30+'Inputs'!$B$31+'Inputs'!$B$32)/1000+'Inputs'!$B$21))^2+('Inputs'!$B$8/2)^2)))-'Results'!B7*(1+'Inputs'!$B$24)*(0.5*((((871-43)*MAX('Inputs'!$B$33,'Inputs'!$B$29+'Inputs'!$B$31+'Inputs'!$B$32,'Inputs'!$B$30+'Inputs'!$B$31+'Inputs'!$B$32)/1000+'Inputs'!$B$21+'Inputs'!$B$9+'Inputs'!$B$10)+'Inputs'!$B$7)/SQRT((((871-43)*MAX('Inputs'!$B$33,'Inputs'!$B$29+'Inputs'!$B$31+'Inputs'!$B$32,'Inputs'!$B$30+'Inputs'!$B$31+'Inputs'!$B$32)/1000+'Inputs'!$B$21+'Inputs'!$B$9+'Inputs'!$B$10)+'Inputs'!$B$7)^2+('Inputs'!$B$6/2)^2)-(((871-43)*MAX('Inputs'!$B$33,'Inputs'!$B$29+'Inputs'!$B$31+'Inputs'!$B$32,'Inputs'!$B$30+'Inputs'!$B$31+'Inputs'!$B$32)/1000+'Inputs'!$B$21+'Inputs'!$B$9+'Inputs'!$B$10))/SQRT((((871-43)*MAX('Inputs'!$B$33,'Inputs'!$B$29+'Inputs'!$B$31+'Inputs'!$B$32,'Inputs'!$B$30+'Inputs'!$B$31+'Inputs'!$B$32)/1000+'Inputs'!$B$21+'Inputs'!$B$9+'Inputs'!$B$10))^2+('Inputs'!$B$6/2)^2))))*'Results'!$B$8)-'Inputs'!$B$28*ABS((('Results'!C7*(1-'Inputs'!$B$24)*(0.5*((((871-43)*MAX('Inputs'!$B$33,'Inputs'!$B$29+'Inputs'!$B$31+'Inputs'!$B$32,'Inputs'!$B$30+'Inputs'!$B$31+'Inputs'!$B$32)/1000+'Inputs'!$B$21)+'Inputs'!$B$9)/SQRT((((871-43)*MAX('Inputs'!$B$33,'Inputs'!$B$29+'Inputs'!$B$31+'Inputs'!$B$32,'Inputs'!$B$30+'Inputs'!$B$31+'Inputs'!$B$32)/1000+'Inputs'!$B$21)+'Inputs'!$B$9)^2+('Inputs'!$B$8/2)^2)-(((871-43)*MAX('Inputs'!$B$33,'Inputs'!$B$29+'Inputs'!$B$31+'Inputs'!$B$32,'Inputs'!$B$30+'Inputs'!$B$31+'Inputs'!$B$32)/1000+'Inputs'!$B$21))/SQRT((((871-43)*MAX('Inputs'!$B$33,'Inputs'!$B$29+'Inputs'!$B$31+'Inputs'!$B$32,'Inputs'!$B$30+'Inputs'!$B$31+'Inputs'!$B$32)/1000+'Inputs'!$B$21))^2+('Inputs'!$B$8/2)^2)))-'Results'!B7*(1+'Inputs'!$B$24)*(0.5*((((871-43)*MAX('Inputs'!$B$33,'Inputs'!$B$29+'Inputs'!$B$31+'Inputs'!$B$32,'Inputs'!$B$30+'Inputs'!$B$31+'Inputs'!$B$32)/1000+'Inputs'!$B$21+'Inputs'!$B$9+'Inputs'!$B$10)+'Inputs'!$B$7)/SQRT((((871-43)*MAX('Inputs'!$B$33,'Inputs'!$B$29+'Inputs'!$B$31+'Inputs'!$B$32,'Inputs'!$B$30+'Inputs'!$B$31+'Inputs'!$B$32)/1000+'Inputs'!$B$21+'Inputs'!$B$9+'Inputs'!$B$10)+'Inputs'!$B$7)^2+('Inputs'!$B$6/2)^2)-(((871-43)*MAX('Inputs'!$B$33,'Inputs'!$B$29+'Inputs'!$B$31+'Inputs'!$B$32,'Inputs'!$B$30+'Inputs'!$B$31+'Inputs'!$B$32)/1000+'Inputs'!$B$21+'Inputs'!$B$9+'Inputs'!$B$10))/SQRT((((871-43)*MAX('Inputs'!$B$33,'Inputs'!$B$29+'Inputs'!$B$31+'Inputs'!$B$32,'Inputs'!$B$30+'Inputs'!$B$31+'Inputs'!$B$32)/1000+'Inputs'!$B$21+'Inputs'!$B$9+'Inputs'!$B$10))^2+('Inputs'!$B$6/2)^2))))*'Results'!$B$8))),"")</x:f>
        <x:v>0.5357552894432479</x:v>
      </x:c>
      <x:c r="O871" t="n">
        <x:f>IF(AND(ISNUMBER('Results'!C7),ISNUMBER('Results'!B7),ISNUMBER('Results'!$B$8),ISNUMBER('Inputs'!$B$6),ISNUMBER('Inputs'!$B$7),ISNUMBER('Inputs'!$B$8),ISNUMBER('Inputs'!$B$9),ISNUMBER('Inputs'!$B$10),ISNUMBER('Inputs'!$B$21),ISNUMBER('Inputs'!$B$24),ISNUMBER('Inputs'!$B$28)),((('Results'!C7*(1+'Inputs'!$B$24)*(0.5*((((871-43)*MAX('Inputs'!$B$33,'Inputs'!$B$29+'Inputs'!$B$31+'Inputs'!$B$32,'Inputs'!$B$30+'Inputs'!$B$31+'Inputs'!$B$32)/1000+'Inputs'!$B$21)+'Inputs'!$B$9)/SQRT((((871-43)*MAX('Inputs'!$B$33,'Inputs'!$B$29+'Inputs'!$B$31+'Inputs'!$B$32,'Inputs'!$B$30+'Inputs'!$B$31+'Inputs'!$B$32)/1000+'Inputs'!$B$21)+'Inputs'!$B$9)^2+('Inputs'!$B$8/2)^2)-(((871-43)*MAX('Inputs'!$B$33,'Inputs'!$B$29+'Inputs'!$B$31+'Inputs'!$B$32,'Inputs'!$B$30+'Inputs'!$B$31+'Inputs'!$B$32)/1000+'Inputs'!$B$21))/SQRT((((871-43)*MAX('Inputs'!$B$33,'Inputs'!$B$29+'Inputs'!$B$31+'Inputs'!$B$32,'Inputs'!$B$30+'Inputs'!$B$31+'Inputs'!$B$32)/1000+'Inputs'!$B$21))^2+('Inputs'!$B$8/2)^2)))-'Results'!B7*(1-'Inputs'!$B$24)*(0.5*((((871-43)*MAX('Inputs'!$B$33,'Inputs'!$B$29+'Inputs'!$B$31+'Inputs'!$B$32,'Inputs'!$B$30+'Inputs'!$B$31+'Inputs'!$B$32)/1000+'Inputs'!$B$21+'Inputs'!$B$9+'Inputs'!$B$10)+'Inputs'!$B$7)/SQRT((((871-43)*MAX('Inputs'!$B$33,'Inputs'!$B$29+'Inputs'!$B$31+'Inputs'!$B$32,'Inputs'!$B$30+'Inputs'!$B$31+'Inputs'!$B$32)/1000+'Inputs'!$B$21+'Inputs'!$B$9+'Inputs'!$B$10)+'Inputs'!$B$7)^2+('Inputs'!$B$6/2)^2)-(((871-43)*MAX('Inputs'!$B$33,'Inputs'!$B$29+'Inputs'!$B$31+'Inputs'!$B$32,'Inputs'!$B$30+'Inputs'!$B$31+'Inputs'!$B$32)/1000+'Inputs'!$B$21+'Inputs'!$B$9+'Inputs'!$B$10))/SQRT((((871-43)*MAX('Inputs'!$B$33,'Inputs'!$B$29+'Inputs'!$B$31+'Inputs'!$B$32,'Inputs'!$B$30+'Inputs'!$B$31+'Inputs'!$B$32)/1000+'Inputs'!$B$21+'Inputs'!$B$9+'Inputs'!$B$10))^2+('Inputs'!$B$6/2)^2))))*'Results'!$B$8)+'Inputs'!$B$28*ABS((('Results'!C7*(1+'Inputs'!$B$24)*(0.5*((((871-43)*MAX('Inputs'!$B$33,'Inputs'!$B$29+'Inputs'!$B$31+'Inputs'!$B$32,'Inputs'!$B$30+'Inputs'!$B$31+'Inputs'!$B$32)/1000+'Inputs'!$B$21)+'Inputs'!$B$9)/SQRT((((871-43)*MAX('Inputs'!$B$33,'Inputs'!$B$29+'Inputs'!$B$31+'Inputs'!$B$32,'Inputs'!$B$30+'Inputs'!$B$31+'Inputs'!$B$32)/1000+'Inputs'!$B$21)+'Inputs'!$B$9)^2+('Inputs'!$B$8/2)^2)-(((871-43)*MAX('Inputs'!$B$33,'Inputs'!$B$29+'Inputs'!$B$31+'Inputs'!$B$32,'Inputs'!$B$30+'Inputs'!$B$31+'Inputs'!$B$32)/1000+'Inputs'!$B$21))/SQRT((((871-43)*MAX('Inputs'!$B$33,'Inputs'!$B$29+'Inputs'!$B$31+'Inputs'!$B$32,'Inputs'!$B$30+'Inputs'!$B$31+'Inputs'!$B$32)/1000+'Inputs'!$B$21))^2+('Inputs'!$B$8/2)^2)))-'Results'!B7*(1-'Inputs'!$B$24)*(0.5*((((871-43)*MAX('Inputs'!$B$33,'Inputs'!$B$29+'Inputs'!$B$31+'Inputs'!$B$32,'Inputs'!$B$30+'Inputs'!$B$31+'Inputs'!$B$32)/1000+'Inputs'!$B$21+'Inputs'!$B$9+'Inputs'!$B$10)+'Inputs'!$B$7)/SQRT((((871-43)*MAX('Inputs'!$B$33,'Inputs'!$B$29+'Inputs'!$B$31+'Inputs'!$B$32,'Inputs'!$B$30+'Inputs'!$B$31+'Inputs'!$B$32)/1000+'Inputs'!$B$21+'Inputs'!$B$9+'Inputs'!$B$10)+'Inputs'!$B$7)^2+('Inputs'!$B$6/2)^2)-(((871-43)*MAX('Inputs'!$B$33,'Inputs'!$B$29+'Inputs'!$B$31+'Inputs'!$B$32,'Inputs'!$B$30+'Inputs'!$B$31+'Inputs'!$B$32)/1000+'Inputs'!$B$21+'Inputs'!$B$9+'Inputs'!$B$10))/SQRT((((871-43)*MAX('Inputs'!$B$33,'Inputs'!$B$29+'Inputs'!$B$31+'Inputs'!$B$32,'Inputs'!$B$30+'Inputs'!$B$31+'Inputs'!$B$32)/1000+'Inputs'!$B$21+'Inputs'!$B$9+'Inputs'!$B$10))^2+('Inputs'!$B$6/2)^2))))*'Results'!$B$8))),"")</x:f>
        <x:v>0.7430386133904896</x:v>
      </x:c>
      <x:c r="P871" t="n">
        <x:f>IF(AND(MAX(J871,J870)&gt;0,J871&gt;J870+0.00000001),1,0)</x:f>
        <x:v>0</x:v>
      </x:c>
      <x:c r="Q871" t="n">
        <x:f>IF(AND(MAX(K871,K870)&gt;0,K871&gt;K870+0.00000001),1,0)</x:f>
        <x:v>0</x:v>
      </x:c>
      <x:c r="R871" t="n">
        <x:f>IF(AND(MAX(L871,L870)&gt;0,L871&gt;L870+0.00000001),1,0)</x:f>
        <x:v>0</x:v>
      </x:c>
      <x:c r="S871" t="n">
        <x:f>IF(AND(MAX(M871,M870)&gt;0,M871&gt;M870+0.00000001),1,0)</x:f>
        <x:v>0</x:v>
      </x:c>
      <x:c r="T871" t="n">
        <x:f>IF(AND(MAX(N871,N870)&gt;0,N871&gt;N870+0.00000001),1,0)</x:f>
        <x:v>0</x:v>
      </x:c>
      <x:c r="U871" t="n">
        <x:f>IF(AND(MAX(O871,O870)&gt;0,O871&gt;O870+0.00000001),1,0)</x:f>
        <x:v>0</x:v>
      </x:c>
    </x:row>
    <x:row r="872">
      <x:c r="J872" t="n">
        <x:f>IF(AND(ISNUMBER('Results'!B7),ISNUMBER('Results'!C7),ISNUMBER('Results'!$B$8),ISNUMBER('Inputs'!$B$6),ISNUMBER('Inputs'!$B$7),ISNUMBER('Inputs'!$B$8),ISNUMBER('Inputs'!$B$9),ISNUMBER('Inputs'!$B$10),ISNUMBER('Inputs'!$B$21),ISNUMBER('Inputs'!$B$24),ISNUMBER('Inputs'!$B$28)),(('Results'!B7*(0.5*((((872-43)*MAX('Inputs'!$B$33,'Inputs'!$B$29+'Inputs'!$B$31+'Inputs'!$B$32,'Inputs'!$B$30+'Inputs'!$B$31+'Inputs'!$B$32)/1000+'Inputs'!$B$21)+'Inputs'!$B$7)/SQRT((((872-43)*MAX('Inputs'!$B$33,'Inputs'!$B$29+'Inputs'!$B$31+'Inputs'!$B$32,'Inputs'!$B$30+'Inputs'!$B$31+'Inputs'!$B$32)/1000+'Inputs'!$B$21)+'Inputs'!$B$7)^2+('Inputs'!$B$6/2)^2)-(((872-43)*MAX('Inputs'!$B$33,'Inputs'!$B$29+'Inputs'!$B$31+'Inputs'!$B$32,'Inputs'!$B$30+'Inputs'!$B$31+'Inputs'!$B$32)/1000+'Inputs'!$B$21))/SQRT((((872-43)*MAX('Inputs'!$B$33,'Inputs'!$B$29+'Inputs'!$B$31+'Inputs'!$B$32,'Inputs'!$B$30+'Inputs'!$B$31+'Inputs'!$B$32)/1000+'Inputs'!$B$21))^2+('Inputs'!$B$6/2)^2)))-'Results'!C7*(0.5*((((872-43)*MAX('Inputs'!$B$33,'Inputs'!$B$29+'Inputs'!$B$31+'Inputs'!$B$32,'Inputs'!$B$30+'Inputs'!$B$31+'Inputs'!$B$32)/1000+'Inputs'!$B$21+'Inputs'!$B$7+'Inputs'!$B$10)+'Inputs'!$B$9)/SQRT((((872-43)*MAX('Inputs'!$B$33,'Inputs'!$B$29+'Inputs'!$B$31+'Inputs'!$B$32,'Inputs'!$B$30+'Inputs'!$B$31+'Inputs'!$B$32)/1000+'Inputs'!$B$21+'Inputs'!$B$7+'Inputs'!$B$10)+'Inputs'!$B$9)^2+('Inputs'!$B$8/2)^2)-(((872-43)*MAX('Inputs'!$B$33,'Inputs'!$B$29+'Inputs'!$B$31+'Inputs'!$B$32,'Inputs'!$B$30+'Inputs'!$B$31+'Inputs'!$B$32)/1000+'Inputs'!$B$21+'Inputs'!$B$7+'Inputs'!$B$10))/SQRT((((872-43)*MAX('Inputs'!$B$33,'Inputs'!$B$29+'Inputs'!$B$31+'Inputs'!$B$32,'Inputs'!$B$30+'Inputs'!$B$31+'Inputs'!$B$32)/1000+'Inputs'!$B$21+'Inputs'!$B$7+'Inputs'!$B$10))^2+('Inputs'!$B$8/2)^2))))*'Results'!$B$8),"")</x:f>
        <x:v>0.7054422694983904</x:v>
      </x:c>
      <x:c r="K872" t="n">
        <x:f>IF(AND(ISNUMBER('Results'!B7),ISNUMBER('Results'!C7),ISNUMBER('Results'!$B$8),ISNUMBER('Inputs'!$B$6),ISNUMBER('Inputs'!$B$7),ISNUMBER('Inputs'!$B$8),ISNUMBER('Inputs'!$B$9),ISNUMBER('Inputs'!$B$10),ISNUMBER('Inputs'!$B$21),ISNUMBER('Inputs'!$B$24),ISNUMBER('Inputs'!$B$28)),((('Results'!B7*(1-'Inputs'!$B$24)*(0.5*((((872-43)*MAX('Inputs'!$B$33,'Inputs'!$B$29+'Inputs'!$B$31+'Inputs'!$B$32,'Inputs'!$B$30+'Inputs'!$B$31+'Inputs'!$B$32)/1000+'Inputs'!$B$21)+'Inputs'!$B$7)/SQRT((((872-43)*MAX('Inputs'!$B$33,'Inputs'!$B$29+'Inputs'!$B$31+'Inputs'!$B$32,'Inputs'!$B$30+'Inputs'!$B$31+'Inputs'!$B$32)/1000+'Inputs'!$B$21)+'Inputs'!$B$7)^2+('Inputs'!$B$6/2)^2)-(((872-43)*MAX('Inputs'!$B$33,'Inputs'!$B$29+'Inputs'!$B$31+'Inputs'!$B$32,'Inputs'!$B$30+'Inputs'!$B$31+'Inputs'!$B$32)/1000+'Inputs'!$B$21))/SQRT((((872-43)*MAX('Inputs'!$B$33,'Inputs'!$B$29+'Inputs'!$B$31+'Inputs'!$B$32,'Inputs'!$B$30+'Inputs'!$B$31+'Inputs'!$B$32)/1000+'Inputs'!$B$21))^2+('Inputs'!$B$6/2)^2)))-'Results'!C7*(1+'Inputs'!$B$24)*(0.5*((((872-43)*MAX('Inputs'!$B$33,'Inputs'!$B$29+'Inputs'!$B$31+'Inputs'!$B$32,'Inputs'!$B$30+'Inputs'!$B$31+'Inputs'!$B$32)/1000+'Inputs'!$B$21+'Inputs'!$B$7+'Inputs'!$B$10)+'Inputs'!$B$9)/SQRT((((872-43)*MAX('Inputs'!$B$33,'Inputs'!$B$29+'Inputs'!$B$31+'Inputs'!$B$32,'Inputs'!$B$30+'Inputs'!$B$31+'Inputs'!$B$32)/1000+'Inputs'!$B$21+'Inputs'!$B$7+'Inputs'!$B$10)+'Inputs'!$B$9)^2+('Inputs'!$B$8/2)^2)-(((872-43)*MAX('Inputs'!$B$33,'Inputs'!$B$29+'Inputs'!$B$31+'Inputs'!$B$32,'Inputs'!$B$30+'Inputs'!$B$31+'Inputs'!$B$32)/1000+'Inputs'!$B$21+'Inputs'!$B$7+'Inputs'!$B$10))/SQRT((((872-43)*MAX('Inputs'!$B$33,'Inputs'!$B$29+'Inputs'!$B$31+'Inputs'!$B$32,'Inputs'!$B$30+'Inputs'!$B$31+'Inputs'!$B$32)/1000+'Inputs'!$B$21+'Inputs'!$B$7+'Inputs'!$B$10))^2+('Inputs'!$B$8/2)^2))))*'Results'!$B$8)-'Inputs'!$B$28*ABS((('Results'!B7*(1-'Inputs'!$B$24)*(0.5*((((872-43)*MAX('Inputs'!$B$33,'Inputs'!$B$29+'Inputs'!$B$31+'Inputs'!$B$32,'Inputs'!$B$30+'Inputs'!$B$31+'Inputs'!$B$32)/1000+'Inputs'!$B$21)+'Inputs'!$B$7)/SQRT((((872-43)*MAX('Inputs'!$B$33,'Inputs'!$B$29+'Inputs'!$B$31+'Inputs'!$B$32,'Inputs'!$B$30+'Inputs'!$B$31+'Inputs'!$B$32)/1000+'Inputs'!$B$21)+'Inputs'!$B$7)^2+('Inputs'!$B$6/2)^2)-(((872-43)*MAX('Inputs'!$B$33,'Inputs'!$B$29+'Inputs'!$B$31+'Inputs'!$B$32,'Inputs'!$B$30+'Inputs'!$B$31+'Inputs'!$B$32)/1000+'Inputs'!$B$21))/SQRT((((872-43)*MAX('Inputs'!$B$33,'Inputs'!$B$29+'Inputs'!$B$31+'Inputs'!$B$32,'Inputs'!$B$30+'Inputs'!$B$31+'Inputs'!$B$32)/1000+'Inputs'!$B$21))^2+('Inputs'!$B$6/2)^2)))-'Results'!C7*(1+'Inputs'!$B$24)*(0.5*((((872-43)*MAX('Inputs'!$B$33,'Inputs'!$B$29+'Inputs'!$B$31+'Inputs'!$B$32,'Inputs'!$B$30+'Inputs'!$B$31+'Inputs'!$B$32)/1000+'Inputs'!$B$21+'Inputs'!$B$7+'Inputs'!$B$10)+'Inputs'!$B$9)/SQRT((((872-43)*MAX('Inputs'!$B$33,'Inputs'!$B$29+'Inputs'!$B$31+'Inputs'!$B$32,'Inputs'!$B$30+'Inputs'!$B$31+'Inputs'!$B$32)/1000+'Inputs'!$B$21+'Inputs'!$B$7+'Inputs'!$B$10)+'Inputs'!$B$9)^2+('Inputs'!$B$8/2)^2)-(((872-43)*MAX('Inputs'!$B$33,'Inputs'!$B$29+'Inputs'!$B$31+'Inputs'!$B$32,'Inputs'!$B$30+'Inputs'!$B$31+'Inputs'!$B$32)/1000+'Inputs'!$B$21+'Inputs'!$B$7+'Inputs'!$B$10))/SQRT((((872-43)*MAX('Inputs'!$B$33,'Inputs'!$B$29+'Inputs'!$B$31+'Inputs'!$B$32,'Inputs'!$B$30+'Inputs'!$B$31+'Inputs'!$B$32)/1000+'Inputs'!$B$21+'Inputs'!$B$7+'Inputs'!$B$10))^2+('Inputs'!$B$8/2)^2))))*'Results'!$B$8))),"")</x:f>
        <x:v>0.6018819158108885</x:v>
      </x:c>
      <x:c r="L872" t="n">
        <x:f>IF(AND(ISNUMBER('Results'!B7),ISNUMBER('Results'!C7),ISNUMBER('Results'!$B$8),ISNUMBER('Inputs'!$B$6),ISNUMBER('Inputs'!$B$7),ISNUMBER('Inputs'!$B$8),ISNUMBER('Inputs'!$B$9),ISNUMBER('Inputs'!$B$10),ISNUMBER('Inputs'!$B$21),ISNUMBER('Inputs'!$B$24),ISNUMBER('Inputs'!$B$28)),((('Results'!B7*(1+'Inputs'!$B$24)*(0.5*((((872-43)*MAX('Inputs'!$B$33,'Inputs'!$B$29+'Inputs'!$B$31+'Inputs'!$B$32,'Inputs'!$B$30+'Inputs'!$B$31+'Inputs'!$B$32)/1000+'Inputs'!$B$21)+'Inputs'!$B$7)/SQRT((((872-43)*MAX('Inputs'!$B$33,'Inputs'!$B$29+'Inputs'!$B$31+'Inputs'!$B$32,'Inputs'!$B$30+'Inputs'!$B$31+'Inputs'!$B$32)/1000+'Inputs'!$B$21)+'Inputs'!$B$7)^2+('Inputs'!$B$6/2)^2)-(((872-43)*MAX('Inputs'!$B$33,'Inputs'!$B$29+'Inputs'!$B$31+'Inputs'!$B$32,'Inputs'!$B$30+'Inputs'!$B$31+'Inputs'!$B$32)/1000+'Inputs'!$B$21))/SQRT((((872-43)*MAX('Inputs'!$B$33,'Inputs'!$B$29+'Inputs'!$B$31+'Inputs'!$B$32,'Inputs'!$B$30+'Inputs'!$B$31+'Inputs'!$B$32)/1000+'Inputs'!$B$21))^2+('Inputs'!$B$6/2)^2)))-'Results'!C7*(1-'Inputs'!$B$24)*(0.5*((((872-43)*MAX('Inputs'!$B$33,'Inputs'!$B$29+'Inputs'!$B$31+'Inputs'!$B$32,'Inputs'!$B$30+'Inputs'!$B$31+'Inputs'!$B$32)/1000+'Inputs'!$B$21+'Inputs'!$B$7+'Inputs'!$B$10)+'Inputs'!$B$9)/SQRT((((872-43)*MAX('Inputs'!$B$33,'Inputs'!$B$29+'Inputs'!$B$31+'Inputs'!$B$32,'Inputs'!$B$30+'Inputs'!$B$31+'Inputs'!$B$32)/1000+'Inputs'!$B$21+'Inputs'!$B$7+'Inputs'!$B$10)+'Inputs'!$B$9)^2+('Inputs'!$B$8/2)^2)-(((872-43)*MAX('Inputs'!$B$33,'Inputs'!$B$29+'Inputs'!$B$31+'Inputs'!$B$32,'Inputs'!$B$30+'Inputs'!$B$31+'Inputs'!$B$32)/1000+'Inputs'!$B$21+'Inputs'!$B$7+'Inputs'!$B$10))/SQRT((((872-43)*MAX('Inputs'!$B$33,'Inputs'!$B$29+'Inputs'!$B$31+'Inputs'!$B$32,'Inputs'!$B$30+'Inputs'!$B$31+'Inputs'!$B$32)/1000+'Inputs'!$B$21+'Inputs'!$B$7+'Inputs'!$B$10))^2+('Inputs'!$B$8/2)^2))))*'Results'!$B$8)+'Inputs'!$B$28*ABS((('Results'!B7*(1+'Inputs'!$B$24)*(0.5*((((872-43)*MAX('Inputs'!$B$33,'Inputs'!$B$29+'Inputs'!$B$31+'Inputs'!$B$32,'Inputs'!$B$30+'Inputs'!$B$31+'Inputs'!$B$32)/1000+'Inputs'!$B$21)+'Inputs'!$B$7)/SQRT((((872-43)*MAX('Inputs'!$B$33,'Inputs'!$B$29+'Inputs'!$B$31+'Inputs'!$B$32,'Inputs'!$B$30+'Inputs'!$B$31+'Inputs'!$B$32)/1000+'Inputs'!$B$21)+'Inputs'!$B$7)^2+('Inputs'!$B$6/2)^2)-(((872-43)*MAX('Inputs'!$B$33,'Inputs'!$B$29+'Inputs'!$B$31+'Inputs'!$B$32,'Inputs'!$B$30+'Inputs'!$B$31+'Inputs'!$B$32)/1000+'Inputs'!$B$21))/SQRT((((872-43)*MAX('Inputs'!$B$33,'Inputs'!$B$29+'Inputs'!$B$31+'Inputs'!$B$32,'Inputs'!$B$30+'Inputs'!$B$31+'Inputs'!$B$32)/1000+'Inputs'!$B$21))^2+('Inputs'!$B$6/2)^2)))-'Results'!C7*(1-'Inputs'!$B$24)*(0.5*((((872-43)*MAX('Inputs'!$B$33,'Inputs'!$B$29+'Inputs'!$B$31+'Inputs'!$B$32,'Inputs'!$B$30+'Inputs'!$B$31+'Inputs'!$B$32)/1000+'Inputs'!$B$21+'Inputs'!$B$7+'Inputs'!$B$10)+'Inputs'!$B$9)/SQRT((((872-43)*MAX('Inputs'!$B$33,'Inputs'!$B$29+'Inputs'!$B$31+'Inputs'!$B$32,'Inputs'!$B$30+'Inputs'!$B$31+'Inputs'!$B$32)/1000+'Inputs'!$B$21+'Inputs'!$B$7+'Inputs'!$B$10)+'Inputs'!$B$9)^2+('Inputs'!$B$8/2)^2)-(((872-43)*MAX('Inputs'!$B$33,'Inputs'!$B$29+'Inputs'!$B$31+'Inputs'!$B$32,'Inputs'!$B$30+'Inputs'!$B$31+'Inputs'!$B$32)/1000+'Inputs'!$B$21+'Inputs'!$B$7+'Inputs'!$B$10))/SQRT((((872-43)*MAX('Inputs'!$B$33,'Inputs'!$B$29+'Inputs'!$B$31+'Inputs'!$B$32,'Inputs'!$B$30+'Inputs'!$B$31+'Inputs'!$B$32)/1000+'Inputs'!$B$21+'Inputs'!$B$7+'Inputs'!$B$10))^2+('Inputs'!$B$8/2)^2))))*'Results'!$B$8))),"")</x:f>
        <x:v>0.8161908589977435</x:v>
      </x:c>
      <x:c r="M872" t="n">
        <x:f>IF(AND(ISNUMBER('Results'!C7),ISNUMBER('Results'!B7),ISNUMBER('Results'!$B$8),ISNUMBER('Inputs'!$B$6),ISNUMBER('Inputs'!$B$7),ISNUMBER('Inputs'!$B$8),ISNUMBER('Inputs'!$B$9),ISNUMBER('Inputs'!$B$10),ISNUMBER('Inputs'!$B$21),ISNUMBER('Inputs'!$B$24),ISNUMBER('Inputs'!$B$28)),(('Results'!C7*(0.5*((((872-43)*MAX('Inputs'!$B$33,'Inputs'!$B$29+'Inputs'!$B$31+'Inputs'!$B$32,'Inputs'!$B$30+'Inputs'!$B$31+'Inputs'!$B$32)/1000+'Inputs'!$B$21)+'Inputs'!$B$9)/SQRT((((872-43)*MAX('Inputs'!$B$33,'Inputs'!$B$29+'Inputs'!$B$31+'Inputs'!$B$32,'Inputs'!$B$30+'Inputs'!$B$31+'Inputs'!$B$32)/1000+'Inputs'!$B$21)+'Inputs'!$B$9)^2+('Inputs'!$B$8/2)^2)-(((872-43)*MAX('Inputs'!$B$33,'Inputs'!$B$29+'Inputs'!$B$31+'Inputs'!$B$32,'Inputs'!$B$30+'Inputs'!$B$31+'Inputs'!$B$32)/1000+'Inputs'!$B$21))/SQRT((((872-43)*MAX('Inputs'!$B$33,'Inputs'!$B$29+'Inputs'!$B$31+'Inputs'!$B$32,'Inputs'!$B$30+'Inputs'!$B$31+'Inputs'!$B$32)/1000+'Inputs'!$B$21))^2+('Inputs'!$B$8/2)^2)))-'Results'!B7*(0.5*((((872-43)*MAX('Inputs'!$B$33,'Inputs'!$B$29+'Inputs'!$B$31+'Inputs'!$B$32,'Inputs'!$B$30+'Inputs'!$B$31+'Inputs'!$B$32)/1000+'Inputs'!$B$21+'Inputs'!$B$9+'Inputs'!$B$10)+'Inputs'!$B$7)/SQRT((((872-43)*MAX('Inputs'!$B$33,'Inputs'!$B$29+'Inputs'!$B$31+'Inputs'!$B$32,'Inputs'!$B$30+'Inputs'!$B$31+'Inputs'!$B$32)/1000+'Inputs'!$B$21+'Inputs'!$B$9+'Inputs'!$B$10)+'Inputs'!$B$7)^2+('Inputs'!$B$6/2)^2)-(((872-43)*MAX('Inputs'!$B$33,'Inputs'!$B$29+'Inputs'!$B$31+'Inputs'!$B$32,'Inputs'!$B$30+'Inputs'!$B$31+'Inputs'!$B$32)/1000+'Inputs'!$B$21+'Inputs'!$B$9+'Inputs'!$B$10))/SQRT((((872-43)*MAX('Inputs'!$B$33,'Inputs'!$B$29+'Inputs'!$B$31+'Inputs'!$B$32,'Inputs'!$B$30+'Inputs'!$B$31+'Inputs'!$B$32)/1000+'Inputs'!$B$21+'Inputs'!$B$9+'Inputs'!$B$10))^2+('Inputs'!$B$6/2)^2))))*'Results'!$B$8),"")</x:f>
        <x:v>0.6329703857397956</x:v>
      </x:c>
      <x:c r="N872" t="n">
        <x:f>IF(AND(ISNUMBER('Results'!C7),ISNUMBER('Results'!B7),ISNUMBER('Results'!$B$8),ISNUMBER('Inputs'!$B$6),ISNUMBER('Inputs'!$B$7),ISNUMBER('Inputs'!$B$8),ISNUMBER('Inputs'!$B$9),ISNUMBER('Inputs'!$B$10),ISNUMBER('Inputs'!$B$21),ISNUMBER('Inputs'!$B$24),ISNUMBER('Inputs'!$B$28)),((('Results'!C7*(1-'Inputs'!$B$24)*(0.5*((((872-43)*MAX('Inputs'!$B$33,'Inputs'!$B$29+'Inputs'!$B$31+'Inputs'!$B$32,'Inputs'!$B$30+'Inputs'!$B$31+'Inputs'!$B$32)/1000+'Inputs'!$B$21)+'Inputs'!$B$9)/SQRT((((872-43)*MAX('Inputs'!$B$33,'Inputs'!$B$29+'Inputs'!$B$31+'Inputs'!$B$32,'Inputs'!$B$30+'Inputs'!$B$31+'Inputs'!$B$32)/1000+'Inputs'!$B$21)+'Inputs'!$B$9)^2+('Inputs'!$B$8/2)^2)-(((872-43)*MAX('Inputs'!$B$33,'Inputs'!$B$29+'Inputs'!$B$31+'Inputs'!$B$32,'Inputs'!$B$30+'Inputs'!$B$31+'Inputs'!$B$32)/1000+'Inputs'!$B$21))/SQRT((((872-43)*MAX('Inputs'!$B$33,'Inputs'!$B$29+'Inputs'!$B$31+'Inputs'!$B$32,'Inputs'!$B$30+'Inputs'!$B$31+'Inputs'!$B$32)/1000+'Inputs'!$B$21))^2+('Inputs'!$B$8/2)^2)))-'Results'!B7*(1+'Inputs'!$B$24)*(0.5*((((872-43)*MAX('Inputs'!$B$33,'Inputs'!$B$29+'Inputs'!$B$31+'Inputs'!$B$32,'Inputs'!$B$30+'Inputs'!$B$31+'Inputs'!$B$32)/1000+'Inputs'!$B$21+'Inputs'!$B$9+'Inputs'!$B$10)+'Inputs'!$B$7)/SQRT((((872-43)*MAX('Inputs'!$B$33,'Inputs'!$B$29+'Inputs'!$B$31+'Inputs'!$B$32,'Inputs'!$B$30+'Inputs'!$B$31+'Inputs'!$B$32)/1000+'Inputs'!$B$21+'Inputs'!$B$9+'Inputs'!$B$10)+'Inputs'!$B$7)^2+('Inputs'!$B$6/2)^2)-(((872-43)*MAX('Inputs'!$B$33,'Inputs'!$B$29+'Inputs'!$B$31+'Inputs'!$B$32,'Inputs'!$B$30+'Inputs'!$B$31+'Inputs'!$B$32)/1000+'Inputs'!$B$21+'Inputs'!$B$9+'Inputs'!$B$10))/SQRT((((872-43)*MAX('Inputs'!$B$33,'Inputs'!$B$29+'Inputs'!$B$31+'Inputs'!$B$32,'Inputs'!$B$30+'Inputs'!$B$31+'Inputs'!$B$32)/1000+'Inputs'!$B$21+'Inputs'!$B$9+'Inputs'!$B$10))^2+('Inputs'!$B$6/2)^2))))*'Results'!$B$8)-'Inputs'!$B$28*ABS((('Results'!C7*(1-'Inputs'!$B$24)*(0.5*((((872-43)*MAX('Inputs'!$B$33,'Inputs'!$B$29+'Inputs'!$B$31+'Inputs'!$B$32,'Inputs'!$B$30+'Inputs'!$B$31+'Inputs'!$B$32)/1000+'Inputs'!$B$21)+'Inputs'!$B$9)/SQRT((((872-43)*MAX('Inputs'!$B$33,'Inputs'!$B$29+'Inputs'!$B$31+'Inputs'!$B$32,'Inputs'!$B$30+'Inputs'!$B$31+'Inputs'!$B$32)/1000+'Inputs'!$B$21)+'Inputs'!$B$9)^2+('Inputs'!$B$8/2)^2)-(((872-43)*MAX('Inputs'!$B$33,'Inputs'!$B$29+'Inputs'!$B$31+'Inputs'!$B$32,'Inputs'!$B$30+'Inputs'!$B$31+'Inputs'!$B$32)/1000+'Inputs'!$B$21))/SQRT((((872-43)*MAX('Inputs'!$B$33,'Inputs'!$B$29+'Inputs'!$B$31+'Inputs'!$B$32,'Inputs'!$B$30+'Inputs'!$B$31+'Inputs'!$B$32)/1000+'Inputs'!$B$21))^2+('Inputs'!$B$8/2)^2)))-'Results'!B7*(1+'Inputs'!$B$24)*(0.5*((((872-43)*MAX('Inputs'!$B$33,'Inputs'!$B$29+'Inputs'!$B$31+'Inputs'!$B$32,'Inputs'!$B$30+'Inputs'!$B$31+'Inputs'!$B$32)/1000+'Inputs'!$B$21+'Inputs'!$B$9+'Inputs'!$B$10)+'Inputs'!$B$7)/SQRT((((872-43)*MAX('Inputs'!$B$33,'Inputs'!$B$29+'Inputs'!$B$31+'Inputs'!$B$32,'Inputs'!$B$30+'Inputs'!$B$31+'Inputs'!$B$32)/1000+'Inputs'!$B$21+'Inputs'!$B$9+'Inputs'!$B$10)+'Inputs'!$B$7)^2+('Inputs'!$B$6/2)^2)-(((872-43)*MAX('Inputs'!$B$33,'Inputs'!$B$29+'Inputs'!$B$31+'Inputs'!$B$32,'Inputs'!$B$30+'Inputs'!$B$31+'Inputs'!$B$32)/1000+'Inputs'!$B$21+'Inputs'!$B$9+'Inputs'!$B$10))/SQRT((((872-43)*MAX('Inputs'!$B$33,'Inputs'!$B$29+'Inputs'!$B$31+'Inputs'!$B$32,'Inputs'!$B$30+'Inputs'!$B$31+'Inputs'!$B$32)/1000+'Inputs'!$B$21+'Inputs'!$B$9+'Inputs'!$B$10))^2+('Inputs'!$B$6/2)^2))))*'Results'!$B$8))),"")</x:f>
        <x:v>0.533290493315471</x:v>
      </x:c>
      <x:c r="O872" t="n">
        <x:f>IF(AND(ISNUMBER('Results'!C7),ISNUMBER('Results'!B7),ISNUMBER('Results'!$B$8),ISNUMBER('Inputs'!$B$6),ISNUMBER('Inputs'!$B$7),ISNUMBER('Inputs'!$B$8),ISNUMBER('Inputs'!$B$9),ISNUMBER('Inputs'!$B$10),ISNUMBER('Inputs'!$B$21),ISNUMBER('Inputs'!$B$24),ISNUMBER('Inputs'!$B$28)),((('Results'!C7*(1+'Inputs'!$B$24)*(0.5*((((872-43)*MAX('Inputs'!$B$33,'Inputs'!$B$29+'Inputs'!$B$31+'Inputs'!$B$32,'Inputs'!$B$30+'Inputs'!$B$31+'Inputs'!$B$32)/1000+'Inputs'!$B$21)+'Inputs'!$B$9)/SQRT((((872-43)*MAX('Inputs'!$B$33,'Inputs'!$B$29+'Inputs'!$B$31+'Inputs'!$B$32,'Inputs'!$B$30+'Inputs'!$B$31+'Inputs'!$B$32)/1000+'Inputs'!$B$21)+'Inputs'!$B$9)^2+('Inputs'!$B$8/2)^2)-(((872-43)*MAX('Inputs'!$B$33,'Inputs'!$B$29+'Inputs'!$B$31+'Inputs'!$B$32,'Inputs'!$B$30+'Inputs'!$B$31+'Inputs'!$B$32)/1000+'Inputs'!$B$21))/SQRT((((872-43)*MAX('Inputs'!$B$33,'Inputs'!$B$29+'Inputs'!$B$31+'Inputs'!$B$32,'Inputs'!$B$30+'Inputs'!$B$31+'Inputs'!$B$32)/1000+'Inputs'!$B$21))^2+('Inputs'!$B$8/2)^2)))-'Results'!B7*(1-'Inputs'!$B$24)*(0.5*((((872-43)*MAX('Inputs'!$B$33,'Inputs'!$B$29+'Inputs'!$B$31+'Inputs'!$B$32,'Inputs'!$B$30+'Inputs'!$B$31+'Inputs'!$B$32)/1000+'Inputs'!$B$21+'Inputs'!$B$9+'Inputs'!$B$10)+'Inputs'!$B$7)/SQRT((((872-43)*MAX('Inputs'!$B$33,'Inputs'!$B$29+'Inputs'!$B$31+'Inputs'!$B$32,'Inputs'!$B$30+'Inputs'!$B$31+'Inputs'!$B$32)/1000+'Inputs'!$B$21+'Inputs'!$B$9+'Inputs'!$B$10)+'Inputs'!$B$7)^2+('Inputs'!$B$6/2)^2)-(((872-43)*MAX('Inputs'!$B$33,'Inputs'!$B$29+'Inputs'!$B$31+'Inputs'!$B$32,'Inputs'!$B$30+'Inputs'!$B$31+'Inputs'!$B$32)/1000+'Inputs'!$B$21+'Inputs'!$B$9+'Inputs'!$B$10))/SQRT((((872-43)*MAX('Inputs'!$B$33,'Inputs'!$B$29+'Inputs'!$B$31+'Inputs'!$B$32,'Inputs'!$B$30+'Inputs'!$B$31+'Inputs'!$B$32)/1000+'Inputs'!$B$21+'Inputs'!$B$9+'Inputs'!$B$10))^2+('Inputs'!$B$6/2)^2))))*'Results'!$B$8)+'Inputs'!$B$28*ABS((('Results'!C7*(1+'Inputs'!$B$24)*(0.5*((((872-43)*MAX('Inputs'!$B$33,'Inputs'!$B$29+'Inputs'!$B$31+'Inputs'!$B$32,'Inputs'!$B$30+'Inputs'!$B$31+'Inputs'!$B$32)/1000+'Inputs'!$B$21)+'Inputs'!$B$9)/SQRT((((872-43)*MAX('Inputs'!$B$33,'Inputs'!$B$29+'Inputs'!$B$31+'Inputs'!$B$32,'Inputs'!$B$30+'Inputs'!$B$31+'Inputs'!$B$32)/1000+'Inputs'!$B$21)+'Inputs'!$B$9)^2+('Inputs'!$B$8/2)^2)-(((872-43)*MAX('Inputs'!$B$33,'Inputs'!$B$29+'Inputs'!$B$31+'Inputs'!$B$32,'Inputs'!$B$30+'Inputs'!$B$31+'Inputs'!$B$32)/1000+'Inputs'!$B$21))/SQRT((((872-43)*MAX('Inputs'!$B$33,'Inputs'!$B$29+'Inputs'!$B$31+'Inputs'!$B$32,'Inputs'!$B$30+'Inputs'!$B$31+'Inputs'!$B$32)/1000+'Inputs'!$B$21))^2+('Inputs'!$B$8/2)^2)))-'Results'!B7*(1-'Inputs'!$B$24)*(0.5*((((872-43)*MAX('Inputs'!$B$33,'Inputs'!$B$29+'Inputs'!$B$31+'Inputs'!$B$32,'Inputs'!$B$30+'Inputs'!$B$31+'Inputs'!$B$32)/1000+'Inputs'!$B$21+'Inputs'!$B$9+'Inputs'!$B$10)+'Inputs'!$B$7)/SQRT((((872-43)*MAX('Inputs'!$B$33,'Inputs'!$B$29+'Inputs'!$B$31+'Inputs'!$B$32,'Inputs'!$B$30+'Inputs'!$B$31+'Inputs'!$B$32)/1000+'Inputs'!$B$21+'Inputs'!$B$9+'Inputs'!$B$10)+'Inputs'!$B$7)^2+('Inputs'!$B$6/2)^2)-(((872-43)*MAX('Inputs'!$B$33,'Inputs'!$B$29+'Inputs'!$B$31+'Inputs'!$B$32,'Inputs'!$B$30+'Inputs'!$B$31+'Inputs'!$B$32)/1000+'Inputs'!$B$21+'Inputs'!$B$9+'Inputs'!$B$10))/SQRT((((872-43)*MAX('Inputs'!$B$33,'Inputs'!$B$29+'Inputs'!$B$31+'Inputs'!$B$32,'Inputs'!$B$30+'Inputs'!$B$31+'Inputs'!$B$32)/1000+'Inputs'!$B$21+'Inputs'!$B$9+'Inputs'!$B$10))^2+('Inputs'!$B$6/2)^2))))*'Results'!$B$8))),"")</x:f>
        <x:v>0.7398114753364715</x:v>
      </x:c>
      <x:c r="P872" t="n">
        <x:f>IF(AND(MAX(J872,J871)&gt;0,J872&gt;J871+0.00000001),1,0)</x:f>
        <x:v>0</x:v>
      </x:c>
      <x:c r="Q872" t="n">
        <x:f>IF(AND(MAX(K872,K871)&gt;0,K872&gt;K871+0.00000001),1,0)</x:f>
        <x:v>0</x:v>
      </x:c>
      <x:c r="R872" t="n">
        <x:f>IF(AND(MAX(L872,L871)&gt;0,L872&gt;L871+0.00000001),1,0)</x:f>
        <x:v>0</x:v>
      </x:c>
      <x:c r="S872" t="n">
        <x:f>IF(AND(MAX(M872,M871)&gt;0,M872&gt;M871+0.00000001),1,0)</x:f>
        <x:v>0</x:v>
      </x:c>
      <x:c r="T872" t="n">
        <x:f>IF(AND(MAX(N872,N871)&gt;0,N872&gt;N871+0.00000001),1,0)</x:f>
        <x:v>0</x:v>
      </x:c>
      <x:c r="U872" t="n">
        <x:f>IF(AND(MAX(O872,O871)&gt;0,O872&gt;O871+0.00000001),1,0)</x:f>
        <x:v>0</x:v>
      </x:c>
    </x:row>
    <x:row r="873">
      <x:c r="J873" t="n">
        <x:f>IF(AND(ISNUMBER('Results'!B7),ISNUMBER('Results'!C7),ISNUMBER('Results'!$B$8),ISNUMBER('Inputs'!$B$6),ISNUMBER('Inputs'!$B$7),ISNUMBER('Inputs'!$B$8),ISNUMBER('Inputs'!$B$9),ISNUMBER('Inputs'!$B$10),ISNUMBER('Inputs'!$B$21),ISNUMBER('Inputs'!$B$24),ISNUMBER('Inputs'!$B$28)),(('Results'!B7*(0.5*((((873-43)*MAX('Inputs'!$B$33,'Inputs'!$B$29+'Inputs'!$B$31+'Inputs'!$B$32,'Inputs'!$B$30+'Inputs'!$B$31+'Inputs'!$B$32)/1000+'Inputs'!$B$21)+'Inputs'!$B$7)/SQRT((((873-43)*MAX('Inputs'!$B$33,'Inputs'!$B$29+'Inputs'!$B$31+'Inputs'!$B$32,'Inputs'!$B$30+'Inputs'!$B$31+'Inputs'!$B$32)/1000+'Inputs'!$B$21)+'Inputs'!$B$7)^2+('Inputs'!$B$6/2)^2)-(((873-43)*MAX('Inputs'!$B$33,'Inputs'!$B$29+'Inputs'!$B$31+'Inputs'!$B$32,'Inputs'!$B$30+'Inputs'!$B$31+'Inputs'!$B$32)/1000+'Inputs'!$B$21))/SQRT((((873-43)*MAX('Inputs'!$B$33,'Inputs'!$B$29+'Inputs'!$B$31+'Inputs'!$B$32,'Inputs'!$B$30+'Inputs'!$B$31+'Inputs'!$B$32)/1000+'Inputs'!$B$21))^2+('Inputs'!$B$6/2)^2)))-'Results'!C7*(0.5*((((873-43)*MAX('Inputs'!$B$33,'Inputs'!$B$29+'Inputs'!$B$31+'Inputs'!$B$32,'Inputs'!$B$30+'Inputs'!$B$31+'Inputs'!$B$32)/1000+'Inputs'!$B$21+'Inputs'!$B$7+'Inputs'!$B$10)+'Inputs'!$B$9)/SQRT((((873-43)*MAX('Inputs'!$B$33,'Inputs'!$B$29+'Inputs'!$B$31+'Inputs'!$B$32,'Inputs'!$B$30+'Inputs'!$B$31+'Inputs'!$B$32)/1000+'Inputs'!$B$21+'Inputs'!$B$7+'Inputs'!$B$10)+'Inputs'!$B$9)^2+('Inputs'!$B$8/2)^2)-(((873-43)*MAX('Inputs'!$B$33,'Inputs'!$B$29+'Inputs'!$B$31+'Inputs'!$B$32,'Inputs'!$B$30+'Inputs'!$B$31+'Inputs'!$B$32)/1000+'Inputs'!$B$21+'Inputs'!$B$7+'Inputs'!$B$10))/SQRT((((873-43)*MAX('Inputs'!$B$33,'Inputs'!$B$29+'Inputs'!$B$31+'Inputs'!$B$32,'Inputs'!$B$30+'Inputs'!$B$31+'Inputs'!$B$32)/1000+'Inputs'!$B$21+'Inputs'!$B$7+'Inputs'!$B$10))^2+('Inputs'!$B$8/2)^2))))*'Results'!$B$8),"")</x:f>
        <x:v>0.7023825369718253</x:v>
      </x:c>
      <x:c r="K873" t="n">
        <x:f>IF(AND(ISNUMBER('Results'!B7),ISNUMBER('Results'!C7),ISNUMBER('Results'!$B$8),ISNUMBER('Inputs'!$B$6),ISNUMBER('Inputs'!$B$7),ISNUMBER('Inputs'!$B$8),ISNUMBER('Inputs'!$B$9),ISNUMBER('Inputs'!$B$10),ISNUMBER('Inputs'!$B$21),ISNUMBER('Inputs'!$B$24),ISNUMBER('Inputs'!$B$28)),((('Results'!B7*(1-'Inputs'!$B$24)*(0.5*((((873-43)*MAX('Inputs'!$B$33,'Inputs'!$B$29+'Inputs'!$B$31+'Inputs'!$B$32,'Inputs'!$B$30+'Inputs'!$B$31+'Inputs'!$B$32)/1000+'Inputs'!$B$21)+'Inputs'!$B$7)/SQRT((((873-43)*MAX('Inputs'!$B$33,'Inputs'!$B$29+'Inputs'!$B$31+'Inputs'!$B$32,'Inputs'!$B$30+'Inputs'!$B$31+'Inputs'!$B$32)/1000+'Inputs'!$B$21)+'Inputs'!$B$7)^2+('Inputs'!$B$6/2)^2)-(((873-43)*MAX('Inputs'!$B$33,'Inputs'!$B$29+'Inputs'!$B$31+'Inputs'!$B$32,'Inputs'!$B$30+'Inputs'!$B$31+'Inputs'!$B$32)/1000+'Inputs'!$B$21))/SQRT((((873-43)*MAX('Inputs'!$B$33,'Inputs'!$B$29+'Inputs'!$B$31+'Inputs'!$B$32,'Inputs'!$B$30+'Inputs'!$B$31+'Inputs'!$B$32)/1000+'Inputs'!$B$21))^2+('Inputs'!$B$6/2)^2)))-'Results'!C7*(1+'Inputs'!$B$24)*(0.5*((((873-43)*MAX('Inputs'!$B$33,'Inputs'!$B$29+'Inputs'!$B$31+'Inputs'!$B$32,'Inputs'!$B$30+'Inputs'!$B$31+'Inputs'!$B$32)/1000+'Inputs'!$B$21+'Inputs'!$B$7+'Inputs'!$B$10)+'Inputs'!$B$9)/SQRT((((873-43)*MAX('Inputs'!$B$33,'Inputs'!$B$29+'Inputs'!$B$31+'Inputs'!$B$32,'Inputs'!$B$30+'Inputs'!$B$31+'Inputs'!$B$32)/1000+'Inputs'!$B$21+'Inputs'!$B$7+'Inputs'!$B$10)+'Inputs'!$B$9)^2+('Inputs'!$B$8/2)^2)-(((873-43)*MAX('Inputs'!$B$33,'Inputs'!$B$29+'Inputs'!$B$31+'Inputs'!$B$32,'Inputs'!$B$30+'Inputs'!$B$31+'Inputs'!$B$32)/1000+'Inputs'!$B$21+'Inputs'!$B$7+'Inputs'!$B$10))/SQRT((((873-43)*MAX('Inputs'!$B$33,'Inputs'!$B$29+'Inputs'!$B$31+'Inputs'!$B$32,'Inputs'!$B$30+'Inputs'!$B$31+'Inputs'!$B$32)/1000+'Inputs'!$B$21+'Inputs'!$B$7+'Inputs'!$B$10))^2+('Inputs'!$B$8/2)^2))))*'Results'!$B$8)-'Inputs'!$B$28*ABS((('Results'!B7*(1-'Inputs'!$B$24)*(0.5*((((873-43)*MAX('Inputs'!$B$33,'Inputs'!$B$29+'Inputs'!$B$31+'Inputs'!$B$32,'Inputs'!$B$30+'Inputs'!$B$31+'Inputs'!$B$32)/1000+'Inputs'!$B$21)+'Inputs'!$B$7)/SQRT((((873-43)*MAX('Inputs'!$B$33,'Inputs'!$B$29+'Inputs'!$B$31+'Inputs'!$B$32,'Inputs'!$B$30+'Inputs'!$B$31+'Inputs'!$B$32)/1000+'Inputs'!$B$21)+'Inputs'!$B$7)^2+('Inputs'!$B$6/2)^2)-(((873-43)*MAX('Inputs'!$B$33,'Inputs'!$B$29+'Inputs'!$B$31+'Inputs'!$B$32,'Inputs'!$B$30+'Inputs'!$B$31+'Inputs'!$B$32)/1000+'Inputs'!$B$21))/SQRT((((873-43)*MAX('Inputs'!$B$33,'Inputs'!$B$29+'Inputs'!$B$31+'Inputs'!$B$32,'Inputs'!$B$30+'Inputs'!$B$31+'Inputs'!$B$32)/1000+'Inputs'!$B$21))^2+('Inputs'!$B$6/2)^2)))-'Results'!C7*(1+'Inputs'!$B$24)*(0.5*((((873-43)*MAX('Inputs'!$B$33,'Inputs'!$B$29+'Inputs'!$B$31+'Inputs'!$B$32,'Inputs'!$B$30+'Inputs'!$B$31+'Inputs'!$B$32)/1000+'Inputs'!$B$21+'Inputs'!$B$7+'Inputs'!$B$10)+'Inputs'!$B$9)/SQRT((((873-43)*MAX('Inputs'!$B$33,'Inputs'!$B$29+'Inputs'!$B$31+'Inputs'!$B$32,'Inputs'!$B$30+'Inputs'!$B$31+'Inputs'!$B$32)/1000+'Inputs'!$B$21+'Inputs'!$B$7+'Inputs'!$B$10)+'Inputs'!$B$9)^2+('Inputs'!$B$8/2)^2)-(((873-43)*MAX('Inputs'!$B$33,'Inputs'!$B$29+'Inputs'!$B$31+'Inputs'!$B$32,'Inputs'!$B$30+'Inputs'!$B$31+'Inputs'!$B$32)/1000+'Inputs'!$B$21+'Inputs'!$B$7+'Inputs'!$B$10))/SQRT((((873-43)*MAX('Inputs'!$B$33,'Inputs'!$B$29+'Inputs'!$B$31+'Inputs'!$B$32,'Inputs'!$B$30+'Inputs'!$B$31+'Inputs'!$B$32)/1000+'Inputs'!$B$21+'Inputs'!$B$7+'Inputs'!$B$10))^2+('Inputs'!$B$8/2)^2))))*'Results'!$B$8))),"")</x:f>
        <x:v>0.5992027840703754</x:v>
      </x:c>
      <x:c r="L873" t="n">
        <x:f>IF(AND(ISNUMBER('Results'!B7),ISNUMBER('Results'!C7),ISNUMBER('Results'!$B$8),ISNUMBER('Inputs'!$B$6),ISNUMBER('Inputs'!$B$7),ISNUMBER('Inputs'!$B$8),ISNUMBER('Inputs'!$B$9),ISNUMBER('Inputs'!$B$10),ISNUMBER('Inputs'!$B$21),ISNUMBER('Inputs'!$B$24),ISNUMBER('Inputs'!$B$28)),((('Results'!B7*(1+'Inputs'!$B$24)*(0.5*((((873-43)*MAX('Inputs'!$B$33,'Inputs'!$B$29+'Inputs'!$B$31+'Inputs'!$B$32,'Inputs'!$B$30+'Inputs'!$B$31+'Inputs'!$B$32)/1000+'Inputs'!$B$21)+'Inputs'!$B$7)/SQRT((((873-43)*MAX('Inputs'!$B$33,'Inputs'!$B$29+'Inputs'!$B$31+'Inputs'!$B$32,'Inputs'!$B$30+'Inputs'!$B$31+'Inputs'!$B$32)/1000+'Inputs'!$B$21)+'Inputs'!$B$7)^2+('Inputs'!$B$6/2)^2)-(((873-43)*MAX('Inputs'!$B$33,'Inputs'!$B$29+'Inputs'!$B$31+'Inputs'!$B$32,'Inputs'!$B$30+'Inputs'!$B$31+'Inputs'!$B$32)/1000+'Inputs'!$B$21))/SQRT((((873-43)*MAX('Inputs'!$B$33,'Inputs'!$B$29+'Inputs'!$B$31+'Inputs'!$B$32,'Inputs'!$B$30+'Inputs'!$B$31+'Inputs'!$B$32)/1000+'Inputs'!$B$21))^2+('Inputs'!$B$6/2)^2)))-'Results'!C7*(1-'Inputs'!$B$24)*(0.5*((((873-43)*MAX('Inputs'!$B$33,'Inputs'!$B$29+'Inputs'!$B$31+'Inputs'!$B$32,'Inputs'!$B$30+'Inputs'!$B$31+'Inputs'!$B$32)/1000+'Inputs'!$B$21+'Inputs'!$B$7+'Inputs'!$B$10)+'Inputs'!$B$9)/SQRT((((873-43)*MAX('Inputs'!$B$33,'Inputs'!$B$29+'Inputs'!$B$31+'Inputs'!$B$32,'Inputs'!$B$30+'Inputs'!$B$31+'Inputs'!$B$32)/1000+'Inputs'!$B$21+'Inputs'!$B$7+'Inputs'!$B$10)+'Inputs'!$B$9)^2+('Inputs'!$B$8/2)^2)-(((873-43)*MAX('Inputs'!$B$33,'Inputs'!$B$29+'Inputs'!$B$31+'Inputs'!$B$32,'Inputs'!$B$30+'Inputs'!$B$31+'Inputs'!$B$32)/1000+'Inputs'!$B$21+'Inputs'!$B$7+'Inputs'!$B$10))/SQRT((((873-43)*MAX('Inputs'!$B$33,'Inputs'!$B$29+'Inputs'!$B$31+'Inputs'!$B$32,'Inputs'!$B$30+'Inputs'!$B$31+'Inputs'!$B$32)/1000+'Inputs'!$B$21+'Inputs'!$B$7+'Inputs'!$B$10))^2+('Inputs'!$B$8/2)^2))))*'Results'!$B$8)+'Inputs'!$B$28*ABS((('Results'!B7*(1+'Inputs'!$B$24)*(0.5*((((873-43)*MAX('Inputs'!$B$33,'Inputs'!$B$29+'Inputs'!$B$31+'Inputs'!$B$32,'Inputs'!$B$30+'Inputs'!$B$31+'Inputs'!$B$32)/1000+'Inputs'!$B$21)+'Inputs'!$B$7)/SQRT((((873-43)*MAX('Inputs'!$B$33,'Inputs'!$B$29+'Inputs'!$B$31+'Inputs'!$B$32,'Inputs'!$B$30+'Inputs'!$B$31+'Inputs'!$B$32)/1000+'Inputs'!$B$21)+'Inputs'!$B$7)^2+('Inputs'!$B$6/2)^2)-(((873-43)*MAX('Inputs'!$B$33,'Inputs'!$B$29+'Inputs'!$B$31+'Inputs'!$B$32,'Inputs'!$B$30+'Inputs'!$B$31+'Inputs'!$B$32)/1000+'Inputs'!$B$21))/SQRT((((873-43)*MAX('Inputs'!$B$33,'Inputs'!$B$29+'Inputs'!$B$31+'Inputs'!$B$32,'Inputs'!$B$30+'Inputs'!$B$31+'Inputs'!$B$32)/1000+'Inputs'!$B$21))^2+('Inputs'!$B$6/2)^2)))-'Results'!C7*(1-'Inputs'!$B$24)*(0.5*((((873-43)*MAX('Inputs'!$B$33,'Inputs'!$B$29+'Inputs'!$B$31+'Inputs'!$B$32,'Inputs'!$B$30+'Inputs'!$B$31+'Inputs'!$B$32)/1000+'Inputs'!$B$21+'Inputs'!$B$7+'Inputs'!$B$10)+'Inputs'!$B$9)/SQRT((((873-43)*MAX('Inputs'!$B$33,'Inputs'!$B$29+'Inputs'!$B$31+'Inputs'!$B$32,'Inputs'!$B$30+'Inputs'!$B$31+'Inputs'!$B$32)/1000+'Inputs'!$B$21+'Inputs'!$B$7+'Inputs'!$B$10)+'Inputs'!$B$9)^2+('Inputs'!$B$8/2)^2)-(((873-43)*MAX('Inputs'!$B$33,'Inputs'!$B$29+'Inputs'!$B$31+'Inputs'!$B$32,'Inputs'!$B$30+'Inputs'!$B$31+'Inputs'!$B$32)/1000+'Inputs'!$B$21+'Inputs'!$B$7+'Inputs'!$B$10))/SQRT((((873-43)*MAX('Inputs'!$B$33,'Inputs'!$B$29+'Inputs'!$B$31+'Inputs'!$B$32,'Inputs'!$B$30+'Inputs'!$B$31+'Inputs'!$B$32)/1000+'Inputs'!$B$21+'Inputs'!$B$7+'Inputs'!$B$10))^2+('Inputs'!$B$8/2)^2))))*'Results'!$B$8))),"")</x:f>
        <x:v>0.8127265662998919</x:v>
      </x:c>
      <x:c r="M873" t="n">
        <x:f>IF(AND(ISNUMBER('Results'!C7),ISNUMBER('Results'!B7),ISNUMBER('Results'!$B$8),ISNUMBER('Inputs'!$B$6),ISNUMBER('Inputs'!$B$7),ISNUMBER('Inputs'!$B$8),ISNUMBER('Inputs'!$B$9),ISNUMBER('Inputs'!$B$10),ISNUMBER('Inputs'!$B$21),ISNUMBER('Inputs'!$B$24),ISNUMBER('Inputs'!$B$28)),(('Results'!C7*(0.5*((((873-43)*MAX('Inputs'!$B$33,'Inputs'!$B$29+'Inputs'!$B$31+'Inputs'!$B$32,'Inputs'!$B$30+'Inputs'!$B$31+'Inputs'!$B$32)/1000+'Inputs'!$B$21)+'Inputs'!$B$9)/SQRT((((873-43)*MAX('Inputs'!$B$33,'Inputs'!$B$29+'Inputs'!$B$31+'Inputs'!$B$32,'Inputs'!$B$30+'Inputs'!$B$31+'Inputs'!$B$32)/1000+'Inputs'!$B$21)+'Inputs'!$B$9)^2+('Inputs'!$B$8/2)^2)-(((873-43)*MAX('Inputs'!$B$33,'Inputs'!$B$29+'Inputs'!$B$31+'Inputs'!$B$32,'Inputs'!$B$30+'Inputs'!$B$31+'Inputs'!$B$32)/1000+'Inputs'!$B$21))/SQRT((((873-43)*MAX('Inputs'!$B$33,'Inputs'!$B$29+'Inputs'!$B$31+'Inputs'!$B$32,'Inputs'!$B$30+'Inputs'!$B$31+'Inputs'!$B$32)/1000+'Inputs'!$B$21))^2+('Inputs'!$B$8/2)^2)))-'Results'!B7*(0.5*((((873-43)*MAX('Inputs'!$B$33,'Inputs'!$B$29+'Inputs'!$B$31+'Inputs'!$B$32,'Inputs'!$B$30+'Inputs'!$B$31+'Inputs'!$B$32)/1000+'Inputs'!$B$21+'Inputs'!$B$9+'Inputs'!$B$10)+'Inputs'!$B$7)/SQRT((((873-43)*MAX('Inputs'!$B$33,'Inputs'!$B$29+'Inputs'!$B$31+'Inputs'!$B$32,'Inputs'!$B$30+'Inputs'!$B$31+'Inputs'!$B$32)/1000+'Inputs'!$B$21+'Inputs'!$B$9+'Inputs'!$B$10)+'Inputs'!$B$7)^2+('Inputs'!$B$6/2)^2)-(((873-43)*MAX('Inputs'!$B$33,'Inputs'!$B$29+'Inputs'!$B$31+'Inputs'!$B$32,'Inputs'!$B$30+'Inputs'!$B$31+'Inputs'!$B$32)/1000+'Inputs'!$B$21+'Inputs'!$B$9+'Inputs'!$B$10))/SQRT((((873-43)*MAX('Inputs'!$B$33,'Inputs'!$B$29+'Inputs'!$B$31+'Inputs'!$B$32,'Inputs'!$B$30+'Inputs'!$B$31+'Inputs'!$B$32)/1000+'Inputs'!$B$21+'Inputs'!$B$9+'Inputs'!$B$10))^2+('Inputs'!$B$6/2)^2))))*'Results'!$B$8),"")</x:f>
        <x:v>0.6301520674655897</x:v>
      </x:c>
      <x:c r="N873" t="n">
        <x:f>IF(AND(ISNUMBER('Results'!C7),ISNUMBER('Results'!B7),ISNUMBER('Results'!$B$8),ISNUMBER('Inputs'!$B$6),ISNUMBER('Inputs'!$B$7),ISNUMBER('Inputs'!$B$8),ISNUMBER('Inputs'!$B$9),ISNUMBER('Inputs'!$B$10),ISNUMBER('Inputs'!$B$21),ISNUMBER('Inputs'!$B$24),ISNUMBER('Inputs'!$B$28)),((('Results'!C7*(1-'Inputs'!$B$24)*(0.5*((((873-43)*MAX('Inputs'!$B$33,'Inputs'!$B$29+'Inputs'!$B$31+'Inputs'!$B$32,'Inputs'!$B$30+'Inputs'!$B$31+'Inputs'!$B$32)/1000+'Inputs'!$B$21)+'Inputs'!$B$9)/SQRT((((873-43)*MAX('Inputs'!$B$33,'Inputs'!$B$29+'Inputs'!$B$31+'Inputs'!$B$32,'Inputs'!$B$30+'Inputs'!$B$31+'Inputs'!$B$32)/1000+'Inputs'!$B$21)+'Inputs'!$B$9)^2+('Inputs'!$B$8/2)^2)-(((873-43)*MAX('Inputs'!$B$33,'Inputs'!$B$29+'Inputs'!$B$31+'Inputs'!$B$32,'Inputs'!$B$30+'Inputs'!$B$31+'Inputs'!$B$32)/1000+'Inputs'!$B$21))/SQRT((((873-43)*MAX('Inputs'!$B$33,'Inputs'!$B$29+'Inputs'!$B$31+'Inputs'!$B$32,'Inputs'!$B$30+'Inputs'!$B$31+'Inputs'!$B$32)/1000+'Inputs'!$B$21))^2+('Inputs'!$B$8/2)^2)))-'Results'!B7*(1+'Inputs'!$B$24)*(0.5*((((873-43)*MAX('Inputs'!$B$33,'Inputs'!$B$29+'Inputs'!$B$31+'Inputs'!$B$32,'Inputs'!$B$30+'Inputs'!$B$31+'Inputs'!$B$32)/1000+'Inputs'!$B$21+'Inputs'!$B$9+'Inputs'!$B$10)+'Inputs'!$B$7)/SQRT((((873-43)*MAX('Inputs'!$B$33,'Inputs'!$B$29+'Inputs'!$B$31+'Inputs'!$B$32,'Inputs'!$B$30+'Inputs'!$B$31+'Inputs'!$B$32)/1000+'Inputs'!$B$21+'Inputs'!$B$9+'Inputs'!$B$10)+'Inputs'!$B$7)^2+('Inputs'!$B$6/2)^2)-(((873-43)*MAX('Inputs'!$B$33,'Inputs'!$B$29+'Inputs'!$B$31+'Inputs'!$B$32,'Inputs'!$B$30+'Inputs'!$B$31+'Inputs'!$B$32)/1000+'Inputs'!$B$21+'Inputs'!$B$9+'Inputs'!$B$10))/SQRT((((873-43)*MAX('Inputs'!$B$33,'Inputs'!$B$29+'Inputs'!$B$31+'Inputs'!$B$32,'Inputs'!$B$30+'Inputs'!$B$31+'Inputs'!$B$32)/1000+'Inputs'!$B$21+'Inputs'!$B$9+'Inputs'!$B$10))^2+('Inputs'!$B$6/2)^2))))*'Results'!$B$8)-'Inputs'!$B$28*ABS((('Results'!C7*(1-'Inputs'!$B$24)*(0.5*((((873-43)*MAX('Inputs'!$B$33,'Inputs'!$B$29+'Inputs'!$B$31+'Inputs'!$B$32,'Inputs'!$B$30+'Inputs'!$B$31+'Inputs'!$B$32)/1000+'Inputs'!$B$21)+'Inputs'!$B$9)/SQRT((((873-43)*MAX('Inputs'!$B$33,'Inputs'!$B$29+'Inputs'!$B$31+'Inputs'!$B$32,'Inputs'!$B$30+'Inputs'!$B$31+'Inputs'!$B$32)/1000+'Inputs'!$B$21)+'Inputs'!$B$9)^2+('Inputs'!$B$8/2)^2)-(((873-43)*MAX('Inputs'!$B$33,'Inputs'!$B$29+'Inputs'!$B$31+'Inputs'!$B$32,'Inputs'!$B$30+'Inputs'!$B$31+'Inputs'!$B$32)/1000+'Inputs'!$B$21))/SQRT((((873-43)*MAX('Inputs'!$B$33,'Inputs'!$B$29+'Inputs'!$B$31+'Inputs'!$B$32,'Inputs'!$B$30+'Inputs'!$B$31+'Inputs'!$B$32)/1000+'Inputs'!$B$21))^2+('Inputs'!$B$8/2)^2)))-'Results'!B7*(1+'Inputs'!$B$24)*(0.5*((((873-43)*MAX('Inputs'!$B$33,'Inputs'!$B$29+'Inputs'!$B$31+'Inputs'!$B$32,'Inputs'!$B$30+'Inputs'!$B$31+'Inputs'!$B$32)/1000+'Inputs'!$B$21+'Inputs'!$B$9+'Inputs'!$B$10)+'Inputs'!$B$7)/SQRT((((873-43)*MAX('Inputs'!$B$33,'Inputs'!$B$29+'Inputs'!$B$31+'Inputs'!$B$32,'Inputs'!$B$30+'Inputs'!$B$31+'Inputs'!$B$32)/1000+'Inputs'!$B$21+'Inputs'!$B$9+'Inputs'!$B$10)+'Inputs'!$B$7)^2+('Inputs'!$B$6/2)^2)-(((873-43)*MAX('Inputs'!$B$33,'Inputs'!$B$29+'Inputs'!$B$31+'Inputs'!$B$32,'Inputs'!$B$30+'Inputs'!$B$31+'Inputs'!$B$32)/1000+'Inputs'!$B$21+'Inputs'!$B$9+'Inputs'!$B$10))/SQRT((((873-43)*MAX('Inputs'!$B$33,'Inputs'!$B$29+'Inputs'!$B$31+'Inputs'!$B$32,'Inputs'!$B$30+'Inputs'!$B$31+'Inputs'!$B$32)/1000+'Inputs'!$B$21+'Inputs'!$B$9+'Inputs'!$B$10))^2+('Inputs'!$B$6/2)^2))))*'Results'!$B$8))),"")</x:f>
        <x:v>0.5308395770039391</x:v>
      </x:c>
      <x:c r="O873" t="n">
        <x:f>IF(AND(ISNUMBER('Results'!C7),ISNUMBER('Results'!B7),ISNUMBER('Results'!$B$8),ISNUMBER('Inputs'!$B$6),ISNUMBER('Inputs'!$B$7),ISNUMBER('Inputs'!$B$8),ISNUMBER('Inputs'!$B$9),ISNUMBER('Inputs'!$B$10),ISNUMBER('Inputs'!$B$21),ISNUMBER('Inputs'!$B$24),ISNUMBER('Inputs'!$B$28)),((('Results'!C7*(1+'Inputs'!$B$24)*(0.5*((((873-43)*MAX('Inputs'!$B$33,'Inputs'!$B$29+'Inputs'!$B$31+'Inputs'!$B$32,'Inputs'!$B$30+'Inputs'!$B$31+'Inputs'!$B$32)/1000+'Inputs'!$B$21)+'Inputs'!$B$9)/SQRT((((873-43)*MAX('Inputs'!$B$33,'Inputs'!$B$29+'Inputs'!$B$31+'Inputs'!$B$32,'Inputs'!$B$30+'Inputs'!$B$31+'Inputs'!$B$32)/1000+'Inputs'!$B$21)+'Inputs'!$B$9)^2+('Inputs'!$B$8/2)^2)-(((873-43)*MAX('Inputs'!$B$33,'Inputs'!$B$29+'Inputs'!$B$31+'Inputs'!$B$32,'Inputs'!$B$30+'Inputs'!$B$31+'Inputs'!$B$32)/1000+'Inputs'!$B$21))/SQRT((((873-43)*MAX('Inputs'!$B$33,'Inputs'!$B$29+'Inputs'!$B$31+'Inputs'!$B$32,'Inputs'!$B$30+'Inputs'!$B$31+'Inputs'!$B$32)/1000+'Inputs'!$B$21))^2+('Inputs'!$B$8/2)^2)))-'Results'!B7*(1-'Inputs'!$B$24)*(0.5*((((873-43)*MAX('Inputs'!$B$33,'Inputs'!$B$29+'Inputs'!$B$31+'Inputs'!$B$32,'Inputs'!$B$30+'Inputs'!$B$31+'Inputs'!$B$32)/1000+'Inputs'!$B$21+'Inputs'!$B$9+'Inputs'!$B$10)+'Inputs'!$B$7)/SQRT((((873-43)*MAX('Inputs'!$B$33,'Inputs'!$B$29+'Inputs'!$B$31+'Inputs'!$B$32,'Inputs'!$B$30+'Inputs'!$B$31+'Inputs'!$B$32)/1000+'Inputs'!$B$21+'Inputs'!$B$9+'Inputs'!$B$10)+'Inputs'!$B$7)^2+('Inputs'!$B$6/2)^2)-(((873-43)*MAX('Inputs'!$B$33,'Inputs'!$B$29+'Inputs'!$B$31+'Inputs'!$B$32,'Inputs'!$B$30+'Inputs'!$B$31+'Inputs'!$B$32)/1000+'Inputs'!$B$21+'Inputs'!$B$9+'Inputs'!$B$10))/SQRT((((873-43)*MAX('Inputs'!$B$33,'Inputs'!$B$29+'Inputs'!$B$31+'Inputs'!$B$32,'Inputs'!$B$30+'Inputs'!$B$31+'Inputs'!$B$32)/1000+'Inputs'!$B$21+'Inputs'!$B$9+'Inputs'!$B$10))^2+('Inputs'!$B$6/2)^2))))*'Results'!$B$8)+'Inputs'!$B$28*ABS((('Results'!C7*(1+'Inputs'!$B$24)*(0.5*((((873-43)*MAX('Inputs'!$B$33,'Inputs'!$B$29+'Inputs'!$B$31+'Inputs'!$B$32,'Inputs'!$B$30+'Inputs'!$B$31+'Inputs'!$B$32)/1000+'Inputs'!$B$21)+'Inputs'!$B$9)/SQRT((((873-43)*MAX('Inputs'!$B$33,'Inputs'!$B$29+'Inputs'!$B$31+'Inputs'!$B$32,'Inputs'!$B$30+'Inputs'!$B$31+'Inputs'!$B$32)/1000+'Inputs'!$B$21)+'Inputs'!$B$9)^2+('Inputs'!$B$8/2)^2)-(((873-43)*MAX('Inputs'!$B$33,'Inputs'!$B$29+'Inputs'!$B$31+'Inputs'!$B$32,'Inputs'!$B$30+'Inputs'!$B$31+'Inputs'!$B$32)/1000+'Inputs'!$B$21))/SQRT((((873-43)*MAX('Inputs'!$B$33,'Inputs'!$B$29+'Inputs'!$B$31+'Inputs'!$B$32,'Inputs'!$B$30+'Inputs'!$B$31+'Inputs'!$B$32)/1000+'Inputs'!$B$21))^2+('Inputs'!$B$8/2)^2)))-'Results'!B7*(1-'Inputs'!$B$24)*(0.5*((((873-43)*MAX('Inputs'!$B$33,'Inputs'!$B$29+'Inputs'!$B$31+'Inputs'!$B$32,'Inputs'!$B$30+'Inputs'!$B$31+'Inputs'!$B$32)/1000+'Inputs'!$B$21+'Inputs'!$B$9+'Inputs'!$B$10)+'Inputs'!$B$7)/SQRT((((873-43)*MAX('Inputs'!$B$33,'Inputs'!$B$29+'Inputs'!$B$31+'Inputs'!$B$32,'Inputs'!$B$30+'Inputs'!$B$31+'Inputs'!$B$32)/1000+'Inputs'!$B$21+'Inputs'!$B$9+'Inputs'!$B$10)+'Inputs'!$B$7)^2+('Inputs'!$B$6/2)^2)-(((873-43)*MAX('Inputs'!$B$33,'Inputs'!$B$29+'Inputs'!$B$31+'Inputs'!$B$32,'Inputs'!$B$30+'Inputs'!$B$31+'Inputs'!$B$32)/1000+'Inputs'!$B$21+'Inputs'!$B$9+'Inputs'!$B$10))/SQRT((((873-43)*MAX('Inputs'!$B$33,'Inputs'!$B$29+'Inputs'!$B$31+'Inputs'!$B$32,'Inputs'!$B$30+'Inputs'!$B$31+'Inputs'!$B$32)/1000+'Inputs'!$B$21+'Inputs'!$B$9+'Inputs'!$B$10))^2+('Inputs'!$B$6/2)^2))))*'Results'!$B$8))),"")</x:f>
        <x:v>0.7366019144628578</x:v>
      </x:c>
      <x:c r="P873" t="n">
        <x:f>IF(AND(MAX(J873,J872)&gt;0,J873&gt;J872+0.00000001),1,0)</x:f>
        <x:v>0</x:v>
      </x:c>
      <x:c r="Q873" t="n">
        <x:f>IF(AND(MAX(K873,K872)&gt;0,K873&gt;K872+0.00000001),1,0)</x:f>
        <x:v>0</x:v>
      </x:c>
      <x:c r="R873" t="n">
        <x:f>IF(AND(MAX(L873,L872)&gt;0,L873&gt;L872+0.00000001),1,0)</x:f>
        <x:v>0</x:v>
      </x:c>
      <x:c r="S873" t="n">
        <x:f>IF(AND(MAX(M873,M872)&gt;0,M873&gt;M872+0.00000001),1,0)</x:f>
        <x:v>0</x:v>
      </x:c>
      <x:c r="T873" t="n">
        <x:f>IF(AND(MAX(N873,N872)&gt;0,N873&gt;N872+0.00000001),1,0)</x:f>
        <x:v>0</x:v>
      </x:c>
      <x:c r="U873" t="n">
        <x:f>IF(AND(MAX(O873,O872)&gt;0,O873&gt;O872+0.00000001),1,0)</x:f>
        <x:v>0</x:v>
      </x:c>
    </x:row>
    <x:row r="874">
      <x:c r="J874" t="n">
        <x:f>IF(AND(ISNUMBER('Results'!B7),ISNUMBER('Results'!C7),ISNUMBER('Results'!$B$8),ISNUMBER('Inputs'!$B$6),ISNUMBER('Inputs'!$B$7),ISNUMBER('Inputs'!$B$8),ISNUMBER('Inputs'!$B$9),ISNUMBER('Inputs'!$B$10),ISNUMBER('Inputs'!$B$21),ISNUMBER('Inputs'!$B$24),ISNUMBER('Inputs'!$B$28)),(('Results'!B7*(0.5*((((874-43)*MAX('Inputs'!$B$33,'Inputs'!$B$29+'Inputs'!$B$31+'Inputs'!$B$32,'Inputs'!$B$30+'Inputs'!$B$31+'Inputs'!$B$32)/1000+'Inputs'!$B$21)+'Inputs'!$B$7)/SQRT((((874-43)*MAX('Inputs'!$B$33,'Inputs'!$B$29+'Inputs'!$B$31+'Inputs'!$B$32,'Inputs'!$B$30+'Inputs'!$B$31+'Inputs'!$B$32)/1000+'Inputs'!$B$21)+'Inputs'!$B$7)^2+('Inputs'!$B$6/2)^2)-(((874-43)*MAX('Inputs'!$B$33,'Inputs'!$B$29+'Inputs'!$B$31+'Inputs'!$B$32,'Inputs'!$B$30+'Inputs'!$B$31+'Inputs'!$B$32)/1000+'Inputs'!$B$21))/SQRT((((874-43)*MAX('Inputs'!$B$33,'Inputs'!$B$29+'Inputs'!$B$31+'Inputs'!$B$32,'Inputs'!$B$30+'Inputs'!$B$31+'Inputs'!$B$32)/1000+'Inputs'!$B$21))^2+('Inputs'!$B$6/2)^2)))-'Results'!C7*(0.5*((((874-43)*MAX('Inputs'!$B$33,'Inputs'!$B$29+'Inputs'!$B$31+'Inputs'!$B$32,'Inputs'!$B$30+'Inputs'!$B$31+'Inputs'!$B$32)/1000+'Inputs'!$B$21+'Inputs'!$B$7+'Inputs'!$B$10)+'Inputs'!$B$9)/SQRT((((874-43)*MAX('Inputs'!$B$33,'Inputs'!$B$29+'Inputs'!$B$31+'Inputs'!$B$32,'Inputs'!$B$30+'Inputs'!$B$31+'Inputs'!$B$32)/1000+'Inputs'!$B$21+'Inputs'!$B$7+'Inputs'!$B$10)+'Inputs'!$B$9)^2+('Inputs'!$B$8/2)^2)-(((874-43)*MAX('Inputs'!$B$33,'Inputs'!$B$29+'Inputs'!$B$31+'Inputs'!$B$32,'Inputs'!$B$30+'Inputs'!$B$31+'Inputs'!$B$32)/1000+'Inputs'!$B$21+'Inputs'!$B$7+'Inputs'!$B$10))/SQRT((((874-43)*MAX('Inputs'!$B$33,'Inputs'!$B$29+'Inputs'!$B$31+'Inputs'!$B$32,'Inputs'!$B$30+'Inputs'!$B$31+'Inputs'!$B$32)/1000+'Inputs'!$B$21+'Inputs'!$B$7+'Inputs'!$B$10))^2+('Inputs'!$B$8/2)^2))))*'Results'!$B$8),"")</x:f>
        <x:v>0.6993394490983408</x:v>
      </x:c>
      <x:c r="K874" t="n">
        <x:f>IF(AND(ISNUMBER('Results'!B7),ISNUMBER('Results'!C7),ISNUMBER('Results'!$B$8),ISNUMBER('Inputs'!$B$6),ISNUMBER('Inputs'!$B$7),ISNUMBER('Inputs'!$B$8),ISNUMBER('Inputs'!$B$9),ISNUMBER('Inputs'!$B$10),ISNUMBER('Inputs'!$B$21),ISNUMBER('Inputs'!$B$24),ISNUMBER('Inputs'!$B$28)),((('Results'!B7*(1-'Inputs'!$B$24)*(0.5*((((874-43)*MAX('Inputs'!$B$33,'Inputs'!$B$29+'Inputs'!$B$31+'Inputs'!$B$32,'Inputs'!$B$30+'Inputs'!$B$31+'Inputs'!$B$32)/1000+'Inputs'!$B$21)+'Inputs'!$B$7)/SQRT((((874-43)*MAX('Inputs'!$B$33,'Inputs'!$B$29+'Inputs'!$B$31+'Inputs'!$B$32,'Inputs'!$B$30+'Inputs'!$B$31+'Inputs'!$B$32)/1000+'Inputs'!$B$21)+'Inputs'!$B$7)^2+('Inputs'!$B$6/2)^2)-(((874-43)*MAX('Inputs'!$B$33,'Inputs'!$B$29+'Inputs'!$B$31+'Inputs'!$B$32,'Inputs'!$B$30+'Inputs'!$B$31+'Inputs'!$B$32)/1000+'Inputs'!$B$21))/SQRT((((874-43)*MAX('Inputs'!$B$33,'Inputs'!$B$29+'Inputs'!$B$31+'Inputs'!$B$32,'Inputs'!$B$30+'Inputs'!$B$31+'Inputs'!$B$32)/1000+'Inputs'!$B$21))^2+('Inputs'!$B$6/2)^2)))-'Results'!C7*(1+'Inputs'!$B$24)*(0.5*((((874-43)*MAX('Inputs'!$B$33,'Inputs'!$B$29+'Inputs'!$B$31+'Inputs'!$B$32,'Inputs'!$B$30+'Inputs'!$B$31+'Inputs'!$B$32)/1000+'Inputs'!$B$21+'Inputs'!$B$7+'Inputs'!$B$10)+'Inputs'!$B$9)/SQRT((((874-43)*MAX('Inputs'!$B$33,'Inputs'!$B$29+'Inputs'!$B$31+'Inputs'!$B$32,'Inputs'!$B$30+'Inputs'!$B$31+'Inputs'!$B$32)/1000+'Inputs'!$B$21+'Inputs'!$B$7+'Inputs'!$B$10)+'Inputs'!$B$9)^2+('Inputs'!$B$8/2)^2)-(((874-43)*MAX('Inputs'!$B$33,'Inputs'!$B$29+'Inputs'!$B$31+'Inputs'!$B$32,'Inputs'!$B$30+'Inputs'!$B$31+'Inputs'!$B$32)/1000+'Inputs'!$B$21+'Inputs'!$B$7+'Inputs'!$B$10))/SQRT((((874-43)*MAX('Inputs'!$B$33,'Inputs'!$B$29+'Inputs'!$B$31+'Inputs'!$B$32,'Inputs'!$B$30+'Inputs'!$B$31+'Inputs'!$B$32)/1000+'Inputs'!$B$21+'Inputs'!$B$7+'Inputs'!$B$10))^2+('Inputs'!$B$8/2)^2))))*'Results'!$B$8)-'Inputs'!$B$28*ABS((('Results'!B7*(1-'Inputs'!$B$24)*(0.5*((((874-43)*MAX('Inputs'!$B$33,'Inputs'!$B$29+'Inputs'!$B$31+'Inputs'!$B$32,'Inputs'!$B$30+'Inputs'!$B$31+'Inputs'!$B$32)/1000+'Inputs'!$B$21)+'Inputs'!$B$7)/SQRT((((874-43)*MAX('Inputs'!$B$33,'Inputs'!$B$29+'Inputs'!$B$31+'Inputs'!$B$32,'Inputs'!$B$30+'Inputs'!$B$31+'Inputs'!$B$32)/1000+'Inputs'!$B$21)+'Inputs'!$B$7)^2+('Inputs'!$B$6/2)^2)-(((874-43)*MAX('Inputs'!$B$33,'Inputs'!$B$29+'Inputs'!$B$31+'Inputs'!$B$32,'Inputs'!$B$30+'Inputs'!$B$31+'Inputs'!$B$32)/1000+'Inputs'!$B$21))/SQRT((((874-43)*MAX('Inputs'!$B$33,'Inputs'!$B$29+'Inputs'!$B$31+'Inputs'!$B$32,'Inputs'!$B$30+'Inputs'!$B$31+'Inputs'!$B$32)/1000+'Inputs'!$B$21))^2+('Inputs'!$B$6/2)^2)))-'Results'!C7*(1+'Inputs'!$B$24)*(0.5*((((874-43)*MAX('Inputs'!$B$33,'Inputs'!$B$29+'Inputs'!$B$31+'Inputs'!$B$32,'Inputs'!$B$30+'Inputs'!$B$31+'Inputs'!$B$32)/1000+'Inputs'!$B$21+'Inputs'!$B$7+'Inputs'!$B$10)+'Inputs'!$B$9)/SQRT((((874-43)*MAX('Inputs'!$B$33,'Inputs'!$B$29+'Inputs'!$B$31+'Inputs'!$B$32,'Inputs'!$B$30+'Inputs'!$B$31+'Inputs'!$B$32)/1000+'Inputs'!$B$21+'Inputs'!$B$7+'Inputs'!$B$10)+'Inputs'!$B$9)^2+('Inputs'!$B$8/2)^2)-(((874-43)*MAX('Inputs'!$B$33,'Inputs'!$B$29+'Inputs'!$B$31+'Inputs'!$B$32,'Inputs'!$B$30+'Inputs'!$B$31+'Inputs'!$B$32)/1000+'Inputs'!$B$21+'Inputs'!$B$7+'Inputs'!$B$10))/SQRT((((874-43)*MAX('Inputs'!$B$33,'Inputs'!$B$29+'Inputs'!$B$31+'Inputs'!$B$32,'Inputs'!$B$30+'Inputs'!$B$31+'Inputs'!$B$32)/1000+'Inputs'!$B$21+'Inputs'!$B$7+'Inputs'!$B$10))^2+('Inputs'!$B$8/2)^2))))*'Results'!$B$8))),"")</x:f>
        <x:v>0.5965384525204925</x:v>
      </x:c>
      <x:c r="L874" t="n">
        <x:f>IF(AND(ISNUMBER('Results'!B7),ISNUMBER('Results'!C7),ISNUMBER('Results'!$B$8),ISNUMBER('Inputs'!$B$6),ISNUMBER('Inputs'!$B$7),ISNUMBER('Inputs'!$B$8),ISNUMBER('Inputs'!$B$9),ISNUMBER('Inputs'!$B$10),ISNUMBER('Inputs'!$B$21),ISNUMBER('Inputs'!$B$24),ISNUMBER('Inputs'!$B$28)),((('Results'!B7*(1+'Inputs'!$B$24)*(0.5*((((874-43)*MAX('Inputs'!$B$33,'Inputs'!$B$29+'Inputs'!$B$31+'Inputs'!$B$32,'Inputs'!$B$30+'Inputs'!$B$31+'Inputs'!$B$32)/1000+'Inputs'!$B$21)+'Inputs'!$B$7)/SQRT((((874-43)*MAX('Inputs'!$B$33,'Inputs'!$B$29+'Inputs'!$B$31+'Inputs'!$B$32,'Inputs'!$B$30+'Inputs'!$B$31+'Inputs'!$B$32)/1000+'Inputs'!$B$21)+'Inputs'!$B$7)^2+('Inputs'!$B$6/2)^2)-(((874-43)*MAX('Inputs'!$B$33,'Inputs'!$B$29+'Inputs'!$B$31+'Inputs'!$B$32,'Inputs'!$B$30+'Inputs'!$B$31+'Inputs'!$B$32)/1000+'Inputs'!$B$21))/SQRT((((874-43)*MAX('Inputs'!$B$33,'Inputs'!$B$29+'Inputs'!$B$31+'Inputs'!$B$32,'Inputs'!$B$30+'Inputs'!$B$31+'Inputs'!$B$32)/1000+'Inputs'!$B$21))^2+('Inputs'!$B$6/2)^2)))-'Results'!C7*(1-'Inputs'!$B$24)*(0.5*((((874-43)*MAX('Inputs'!$B$33,'Inputs'!$B$29+'Inputs'!$B$31+'Inputs'!$B$32,'Inputs'!$B$30+'Inputs'!$B$31+'Inputs'!$B$32)/1000+'Inputs'!$B$21+'Inputs'!$B$7+'Inputs'!$B$10)+'Inputs'!$B$9)/SQRT((((874-43)*MAX('Inputs'!$B$33,'Inputs'!$B$29+'Inputs'!$B$31+'Inputs'!$B$32,'Inputs'!$B$30+'Inputs'!$B$31+'Inputs'!$B$32)/1000+'Inputs'!$B$21+'Inputs'!$B$7+'Inputs'!$B$10)+'Inputs'!$B$9)^2+('Inputs'!$B$8/2)^2)-(((874-43)*MAX('Inputs'!$B$33,'Inputs'!$B$29+'Inputs'!$B$31+'Inputs'!$B$32,'Inputs'!$B$30+'Inputs'!$B$31+'Inputs'!$B$32)/1000+'Inputs'!$B$21+'Inputs'!$B$7+'Inputs'!$B$10))/SQRT((((874-43)*MAX('Inputs'!$B$33,'Inputs'!$B$29+'Inputs'!$B$31+'Inputs'!$B$32,'Inputs'!$B$30+'Inputs'!$B$31+'Inputs'!$B$32)/1000+'Inputs'!$B$21+'Inputs'!$B$7+'Inputs'!$B$10))^2+('Inputs'!$B$8/2)^2))))*'Results'!$B$8)+'Inputs'!$B$28*ABS((('Results'!B7*(1+'Inputs'!$B$24)*(0.5*((((874-43)*MAX('Inputs'!$B$33,'Inputs'!$B$29+'Inputs'!$B$31+'Inputs'!$B$32,'Inputs'!$B$30+'Inputs'!$B$31+'Inputs'!$B$32)/1000+'Inputs'!$B$21)+'Inputs'!$B$7)/SQRT((((874-43)*MAX('Inputs'!$B$33,'Inputs'!$B$29+'Inputs'!$B$31+'Inputs'!$B$32,'Inputs'!$B$30+'Inputs'!$B$31+'Inputs'!$B$32)/1000+'Inputs'!$B$21)+'Inputs'!$B$7)^2+('Inputs'!$B$6/2)^2)-(((874-43)*MAX('Inputs'!$B$33,'Inputs'!$B$29+'Inputs'!$B$31+'Inputs'!$B$32,'Inputs'!$B$30+'Inputs'!$B$31+'Inputs'!$B$32)/1000+'Inputs'!$B$21))/SQRT((((874-43)*MAX('Inputs'!$B$33,'Inputs'!$B$29+'Inputs'!$B$31+'Inputs'!$B$32,'Inputs'!$B$30+'Inputs'!$B$31+'Inputs'!$B$32)/1000+'Inputs'!$B$21))^2+('Inputs'!$B$6/2)^2)))-'Results'!C7*(1-'Inputs'!$B$24)*(0.5*((((874-43)*MAX('Inputs'!$B$33,'Inputs'!$B$29+'Inputs'!$B$31+'Inputs'!$B$32,'Inputs'!$B$30+'Inputs'!$B$31+'Inputs'!$B$32)/1000+'Inputs'!$B$21+'Inputs'!$B$7+'Inputs'!$B$10)+'Inputs'!$B$9)/SQRT((((874-43)*MAX('Inputs'!$B$33,'Inputs'!$B$29+'Inputs'!$B$31+'Inputs'!$B$32,'Inputs'!$B$30+'Inputs'!$B$31+'Inputs'!$B$32)/1000+'Inputs'!$B$21+'Inputs'!$B$7+'Inputs'!$B$10)+'Inputs'!$B$9)^2+('Inputs'!$B$8/2)^2)-(((874-43)*MAX('Inputs'!$B$33,'Inputs'!$B$29+'Inputs'!$B$31+'Inputs'!$B$32,'Inputs'!$B$30+'Inputs'!$B$31+'Inputs'!$B$32)/1000+'Inputs'!$B$21+'Inputs'!$B$7+'Inputs'!$B$10))/SQRT((((874-43)*MAX('Inputs'!$B$33,'Inputs'!$B$29+'Inputs'!$B$31+'Inputs'!$B$32,'Inputs'!$B$30+'Inputs'!$B$31+'Inputs'!$B$32)/1000+'Inputs'!$B$21+'Inputs'!$B$7+'Inputs'!$B$10))^2+('Inputs'!$B$8/2)^2))))*'Results'!$B$8))),"")</x:f>
        <x:v>0.8092808692680767</x:v>
      </x:c>
      <x:c r="M874" t="n">
        <x:f>IF(AND(ISNUMBER('Results'!C7),ISNUMBER('Results'!B7),ISNUMBER('Results'!$B$8),ISNUMBER('Inputs'!$B$6),ISNUMBER('Inputs'!$B$7),ISNUMBER('Inputs'!$B$8),ISNUMBER('Inputs'!$B$9),ISNUMBER('Inputs'!$B$10),ISNUMBER('Inputs'!$B$21),ISNUMBER('Inputs'!$B$24),ISNUMBER('Inputs'!$B$28)),(('Results'!C7*(0.5*((((874-43)*MAX('Inputs'!$B$33,'Inputs'!$B$29+'Inputs'!$B$31+'Inputs'!$B$32,'Inputs'!$B$30+'Inputs'!$B$31+'Inputs'!$B$32)/1000+'Inputs'!$B$21)+'Inputs'!$B$9)/SQRT((((874-43)*MAX('Inputs'!$B$33,'Inputs'!$B$29+'Inputs'!$B$31+'Inputs'!$B$32,'Inputs'!$B$30+'Inputs'!$B$31+'Inputs'!$B$32)/1000+'Inputs'!$B$21)+'Inputs'!$B$9)^2+('Inputs'!$B$8/2)^2)-(((874-43)*MAX('Inputs'!$B$33,'Inputs'!$B$29+'Inputs'!$B$31+'Inputs'!$B$32,'Inputs'!$B$30+'Inputs'!$B$31+'Inputs'!$B$32)/1000+'Inputs'!$B$21))/SQRT((((874-43)*MAX('Inputs'!$B$33,'Inputs'!$B$29+'Inputs'!$B$31+'Inputs'!$B$32,'Inputs'!$B$30+'Inputs'!$B$31+'Inputs'!$B$32)/1000+'Inputs'!$B$21))^2+('Inputs'!$B$8/2)^2)))-'Results'!B7*(0.5*((((874-43)*MAX('Inputs'!$B$33,'Inputs'!$B$29+'Inputs'!$B$31+'Inputs'!$B$32,'Inputs'!$B$30+'Inputs'!$B$31+'Inputs'!$B$32)/1000+'Inputs'!$B$21+'Inputs'!$B$9+'Inputs'!$B$10)+'Inputs'!$B$7)/SQRT((((874-43)*MAX('Inputs'!$B$33,'Inputs'!$B$29+'Inputs'!$B$31+'Inputs'!$B$32,'Inputs'!$B$30+'Inputs'!$B$31+'Inputs'!$B$32)/1000+'Inputs'!$B$21+'Inputs'!$B$9+'Inputs'!$B$10)+'Inputs'!$B$7)^2+('Inputs'!$B$6/2)^2)-(((874-43)*MAX('Inputs'!$B$33,'Inputs'!$B$29+'Inputs'!$B$31+'Inputs'!$B$32,'Inputs'!$B$30+'Inputs'!$B$31+'Inputs'!$B$32)/1000+'Inputs'!$B$21+'Inputs'!$B$9+'Inputs'!$B$10))/SQRT((((874-43)*MAX('Inputs'!$B$33,'Inputs'!$B$29+'Inputs'!$B$31+'Inputs'!$B$32,'Inputs'!$B$30+'Inputs'!$B$31+'Inputs'!$B$32)/1000+'Inputs'!$B$21+'Inputs'!$B$9+'Inputs'!$B$10))^2+('Inputs'!$B$6/2)^2))))*'Results'!$B$8),"")</x:f>
        <x:v>0.6273493208637834</x:v>
      </x:c>
      <x:c r="N874" t="n">
        <x:f>IF(AND(ISNUMBER('Results'!C7),ISNUMBER('Results'!B7),ISNUMBER('Results'!$B$8),ISNUMBER('Inputs'!$B$6),ISNUMBER('Inputs'!$B$7),ISNUMBER('Inputs'!$B$8),ISNUMBER('Inputs'!$B$9),ISNUMBER('Inputs'!$B$10),ISNUMBER('Inputs'!$B$21),ISNUMBER('Inputs'!$B$24),ISNUMBER('Inputs'!$B$28)),((('Results'!C7*(1-'Inputs'!$B$24)*(0.5*((((874-43)*MAX('Inputs'!$B$33,'Inputs'!$B$29+'Inputs'!$B$31+'Inputs'!$B$32,'Inputs'!$B$30+'Inputs'!$B$31+'Inputs'!$B$32)/1000+'Inputs'!$B$21)+'Inputs'!$B$9)/SQRT((((874-43)*MAX('Inputs'!$B$33,'Inputs'!$B$29+'Inputs'!$B$31+'Inputs'!$B$32,'Inputs'!$B$30+'Inputs'!$B$31+'Inputs'!$B$32)/1000+'Inputs'!$B$21)+'Inputs'!$B$9)^2+('Inputs'!$B$8/2)^2)-(((874-43)*MAX('Inputs'!$B$33,'Inputs'!$B$29+'Inputs'!$B$31+'Inputs'!$B$32,'Inputs'!$B$30+'Inputs'!$B$31+'Inputs'!$B$32)/1000+'Inputs'!$B$21))/SQRT((((874-43)*MAX('Inputs'!$B$33,'Inputs'!$B$29+'Inputs'!$B$31+'Inputs'!$B$32,'Inputs'!$B$30+'Inputs'!$B$31+'Inputs'!$B$32)/1000+'Inputs'!$B$21))^2+('Inputs'!$B$8/2)^2)))-'Results'!B7*(1+'Inputs'!$B$24)*(0.5*((((874-43)*MAX('Inputs'!$B$33,'Inputs'!$B$29+'Inputs'!$B$31+'Inputs'!$B$32,'Inputs'!$B$30+'Inputs'!$B$31+'Inputs'!$B$32)/1000+'Inputs'!$B$21+'Inputs'!$B$9+'Inputs'!$B$10)+'Inputs'!$B$7)/SQRT((((874-43)*MAX('Inputs'!$B$33,'Inputs'!$B$29+'Inputs'!$B$31+'Inputs'!$B$32,'Inputs'!$B$30+'Inputs'!$B$31+'Inputs'!$B$32)/1000+'Inputs'!$B$21+'Inputs'!$B$9+'Inputs'!$B$10)+'Inputs'!$B$7)^2+('Inputs'!$B$6/2)^2)-(((874-43)*MAX('Inputs'!$B$33,'Inputs'!$B$29+'Inputs'!$B$31+'Inputs'!$B$32,'Inputs'!$B$30+'Inputs'!$B$31+'Inputs'!$B$32)/1000+'Inputs'!$B$21+'Inputs'!$B$9+'Inputs'!$B$10))/SQRT((((874-43)*MAX('Inputs'!$B$33,'Inputs'!$B$29+'Inputs'!$B$31+'Inputs'!$B$32,'Inputs'!$B$30+'Inputs'!$B$31+'Inputs'!$B$32)/1000+'Inputs'!$B$21+'Inputs'!$B$9+'Inputs'!$B$10))^2+('Inputs'!$B$6/2)^2))))*'Results'!$B$8)-'Inputs'!$B$28*ABS((('Results'!C7*(1-'Inputs'!$B$24)*(0.5*((((874-43)*MAX('Inputs'!$B$33,'Inputs'!$B$29+'Inputs'!$B$31+'Inputs'!$B$32,'Inputs'!$B$30+'Inputs'!$B$31+'Inputs'!$B$32)/1000+'Inputs'!$B$21)+'Inputs'!$B$9)/SQRT((((874-43)*MAX('Inputs'!$B$33,'Inputs'!$B$29+'Inputs'!$B$31+'Inputs'!$B$32,'Inputs'!$B$30+'Inputs'!$B$31+'Inputs'!$B$32)/1000+'Inputs'!$B$21)+'Inputs'!$B$9)^2+('Inputs'!$B$8/2)^2)-(((874-43)*MAX('Inputs'!$B$33,'Inputs'!$B$29+'Inputs'!$B$31+'Inputs'!$B$32,'Inputs'!$B$30+'Inputs'!$B$31+'Inputs'!$B$32)/1000+'Inputs'!$B$21))/SQRT((((874-43)*MAX('Inputs'!$B$33,'Inputs'!$B$29+'Inputs'!$B$31+'Inputs'!$B$32,'Inputs'!$B$30+'Inputs'!$B$31+'Inputs'!$B$32)/1000+'Inputs'!$B$21))^2+('Inputs'!$B$8/2)^2)))-'Results'!B7*(1+'Inputs'!$B$24)*(0.5*((((874-43)*MAX('Inputs'!$B$33,'Inputs'!$B$29+'Inputs'!$B$31+'Inputs'!$B$32,'Inputs'!$B$30+'Inputs'!$B$31+'Inputs'!$B$32)/1000+'Inputs'!$B$21+'Inputs'!$B$9+'Inputs'!$B$10)+'Inputs'!$B$7)/SQRT((((874-43)*MAX('Inputs'!$B$33,'Inputs'!$B$29+'Inputs'!$B$31+'Inputs'!$B$32,'Inputs'!$B$30+'Inputs'!$B$31+'Inputs'!$B$32)/1000+'Inputs'!$B$21+'Inputs'!$B$9+'Inputs'!$B$10)+'Inputs'!$B$7)^2+('Inputs'!$B$6/2)^2)-(((874-43)*MAX('Inputs'!$B$33,'Inputs'!$B$29+'Inputs'!$B$31+'Inputs'!$B$32,'Inputs'!$B$30+'Inputs'!$B$31+'Inputs'!$B$32)/1000+'Inputs'!$B$21+'Inputs'!$B$9+'Inputs'!$B$10))/SQRT((((874-43)*MAX('Inputs'!$B$33,'Inputs'!$B$29+'Inputs'!$B$31+'Inputs'!$B$32,'Inputs'!$B$30+'Inputs'!$B$31+'Inputs'!$B$32)/1000+'Inputs'!$B$21+'Inputs'!$B$9+'Inputs'!$B$10))^2+('Inputs'!$B$6/2)^2))))*'Results'!$B$8))),"")</x:f>
        <x:v>0.5284024477343224</x:v>
      </x:c>
      <x:c r="O874" t="n">
        <x:f>IF(AND(ISNUMBER('Results'!C7),ISNUMBER('Results'!B7),ISNUMBER('Results'!$B$8),ISNUMBER('Inputs'!$B$6),ISNUMBER('Inputs'!$B$7),ISNUMBER('Inputs'!$B$8),ISNUMBER('Inputs'!$B$9),ISNUMBER('Inputs'!$B$10),ISNUMBER('Inputs'!$B$21),ISNUMBER('Inputs'!$B$24),ISNUMBER('Inputs'!$B$28)),((('Results'!C7*(1+'Inputs'!$B$24)*(0.5*((((874-43)*MAX('Inputs'!$B$33,'Inputs'!$B$29+'Inputs'!$B$31+'Inputs'!$B$32,'Inputs'!$B$30+'Inputs'!$B$31+'Inputs'!$B$32)/1000+'Inputs'!$B$21)+'Inputs'!$B$9)/SQRT((((874-43)*MAX('Inputs'!$B$33,'Inputs'!$B$29+'Inputs'!$B$31+'Inputs'!$B$32,'Inputs'!$B$30+'Inputs'!$B$31+'Inputs'!$B$32)/1000+'Inputs'!$B$21)+'Inputs'!$B$9)^2+('Inputs'!$B$8/2)^2)-(((874-43)*MAX('Inputs'!$B$33,'Inputs'!$B$29+'Inputs'!$B$31+'Inputs'!$B$32,'Inputs'!$B$30+'Inputs'!$B$31+'Inputs'!$B$32)/1000+'Inputs'!$B$21))/SQRT((((874-43)*MAX('Inputs'!$B$33,'Inputs'!$B$29+'Inputs'!$B$31+'Inputs'!$B$32,'Inputs'!$B$30+'Inputs'!$B$31+'Inputs'!$B$32)/1000+'Inputs'!$B$21))^2+('Inputs'!$B$8/2)^2)))-'Results'!B7*(1-'Inputs'!$B$24)*(0.5*((((874-43)*MAX('Inputs'!$B$33,'Inputs'!$B$29+'Inputs'!$B$31+'Inputs'!$B$32,'Inputs'!$B$30+'Inputs'!$B$31+'Inputs'!$B$32)/1000+'Inputs'!$B$21+'Inputs'!$B$9+'Inputs'!$B$10)+'Inputs'!$B$7)/SQRT((((874-43)*MAX('Inputs'!$B$33,'Inputs'!$B$29+'Inputs'!$B$31+'Inputs'!$B$32,'Inputs'!$B$30+'Inputs'!$B$31+'Inputs'!$B$32)/1000+'Inputs'!$B$21+'Inputs'!$B$9+'Inputs'!$B$10)+'Inputs'!$B$7)^2+('Inputs'!$B$6/2)^2)-(((874-43)*MAX('Inputs'!$B$33,'Inputs'!$B$29+'Inputs'!$B$31+'Inputs'!$B$32,'Inputs'!$B$30+'Inputs'!$B$31+'Inputs'!$B$32)/1000+'Inputs'!$B$21+'Inputs'!$B$9+'Inputs'!$B$10))/SQRT((((874-43)*MAX('Inputs'!$B$33,'Inputs'!$B$29+'Inputs'!$B$31+'Inputs'!$B$32,'Inputs'!$B$30+'Inputs'!$B$31+'Inputs'!$B$32)/1000+'Inputs'!$B$21+'Inputs'!$B$9+'Inputs'!$B$10))^2+('Inputs'!$B$6/2)^2))))*'Results'!$B$8)+'Inputs'!$B$28*ABS((('Results'!C7*(1+'Inputs'!$B$24)*(0.5*((((874-43)*MAX('Inputs'!$B$33,'Inputs'!$B$29+'Inputs'!$B$31+'Inputs'!$B$32,'Inputs'!$B$30+'Inputs'!$B$31+'Inputs'!$B$32)/1000+'Inputs'!$B$21)+'Inputs'!$B$9)/SQRT((((874-43)*MAX('Inputs'!$B$33,'Inputs'!$B$29+'Inputs'!$B$31+'Inputs'!$B$32,'Inputs'!$B$30+'Inputs'!$B$31+'Inputs'!$B$32)/1000+'Inputs'!$B$21)+'Inputs'!$B$9)^2+('Inputs'!$B$8/2)^2)-(((874-43)*MAX('Inputs'!$B$33,'Inputs'!$B$29+'Inputs'!$B$31+'Inputs'!$B$32,'Inputs'!$B$30+'Inputs'!$B$31+'Inputs'!$B$32)/1000+'Inputs'!$B$21))/SQRT((((874-43)*MAX('Inputs'!$B$33,'Inputs'!$B$29+'Inputs'!$B$31+'Inputs'!$B$32,'Inputs'!$B$30+'Inputs'!$B$31+'Inputs'!$B$32)/1000+'Inputs'!$B$21))^2+('Inputs'!$B$8/2)^2)))-'Results'!B7*(1-'Inputs'!$B$24)*(0.5*((((874-43)*MAX('Inputs'!$B$33,'Inputs'!$B$29+'Inputs'!$B$31+'Inputs'!$B$32,'Inputs'!$B$30+'Inputs'!$B$31+'Inputs'!$B$32)/1000+'Inputs'!$B$21+'Inputs'!$B$9+'Inputs'!$B$10)+'Inputs'!$B$7)/SQRT((((874-43)*MAX('Inputs'!$B$33,'Inputs'!$B$29+'Inputs'!$B$31+'Inputs'!$B$32,'Inputs'!$B$30+'Inputs'!$B$31+'Inputs'!$B$32)/1000+'Inputs'!$B$21+'Inputs'!$B$9+'Inputs'!$B$10)+'Inputs'!$B$7)^2+('Inputs'!$B$6/2)^2)-(((874-43)*MAX('Inputs'!$B$33,'Inputs'!$B$29+'Inputs'!$B$31+'Inputs'!$B$32,'Inputs'!$B$30+'Inputs'!$B$31+'Inputs'!$B$32)/1000+'Inputs'!$B$21+'Inputs'!$B$9+'Inputs'!$B$10))/SQRT((((874-43)*MAX('Inputs'!$B$33,'Inputs'!$B$29+'Inputs'!$B$31+'Inputs'!$B$32,'Inputs'!$B$30+'Inputs'!$B$31+'Inputs'!$B$32)/1000+'Inputs'!$B$21+'Inputs'!$B$9+'Inputs'!$B$10))^2+('Inputs'!$B$6/2)^2))))*'Results'!$B$8))),"")</x:f>
        <x:v>0.7334098157917996</x:v>
      </x:c>
      <x:c r="P874" t="n">
        <x:f>IF(AND(MAX(J874,J873)&gt;0,J874&gt;J873+0.00000001),1,0)</x:f>
        <x:v>0</x:v>
      </x:c>
      <x:c r="Q874" t="n">
        <x:f>IF(AND(MAX(K874,K873)&gt;0,K874&gt;K873+0.00000001),1,0)</x:f>
        <x:v>0</x:v>
      </x:c>
      <x:c r="R874" t="n">
        <x:f>IF(AND(MAX(L874,L873)&gt;0,L874&gt;L873+0.00000001),1,0)</x:f>
        <x:v>0</x:v>
      </x:c>
      <x:c r="S874" t="n">
        <x:f>IF(AND(MAX(M874,M873)&gt;0,M874&gt;M873+0.00000001),1,0)</x:f>
        <x:v>0</x:v>
      </x:c>
      <x:c r="T874" t="n">
        <x:f>IF(AND(MAX(N874,N873)&gt;0,N874&gt;N873+0.00000001),1,0)</x:f>
        <x:v>0</x:v>
      </x:c>
      <x:c r="U874" t="n">
        <x:f>IF(AND(MAX(O874,O873)&gt;0,O874&gt;O873+0.00000001),1,0)</x:f>
        <x:v>0</x:v>
      </x:c>
    </x:row>
    <x:row r="875">
      <x:c r="J875" t="n">
        <x:f>IF(AND(ISNUMBER('Results'!B7),ISNUMBER('Results'!C7),ISNUMBER('Results'!$B$8),ISNUMBER('Inputs'!$B$6),ISNUMBER('Inputs'!$B$7),ISNUMBER('Inputs'!$B$8),ISNUMBER('Inputs'!$B$9),ISNUMBER('Inputs'!$B$10),ISNUMBER('Inputs'!$B$21),ISNUMBER('Inputs'!$B$24),ISNUMBER('Inputs'!$B$28)),(('Results'!B7*(0.5*((((875-43)*MAX('Inputs'!$B$33,'Inputs'!$B$29+'Inputs'!$B$31+'Inputs'!$B$32,'Inputs'!$B$30+'Inputs'!$B$31+'Inputs'!$B$32)/1000+'Inputs'!$B$21)+'Inputs'!$B$7)/SQRT((((875-43)*MAX('Inputs'!$B$33,'Inputs'!$B$29+'Inputs'!$B$31+'Inputs'!$B$32,'Inputs'!$B$30+'Inputs'!$B$31+'Inputs'!$B$32)/1000+'Inputs'!$B$21)+'Inputs'!$B$7)^2+('Inputs'!$B$6/2)^2)-(((875-43)*MAX('Inputs'!$B$33,'Inputs'!$B$29+'Inputs'!$B$31+'Inputs'!$B$32,'Inputs'!$B$30+'Inputs'!$B$31+'Inputs'!$B$32)/1000+'Inputs'!$B$21))/SQRT((((875-43)*MAX('Inputs'!$B$33,'Inputs'!$B$29+'Inputs'!$B$31+'Inputs'!$B$32,'Inputs'!$B$30+'Inputs'!$B$31+'Inputs'!$B$32)/1000+'Inputs'!$B$21))^2+('Inputs'!$B$6/2)^2)))-'Results'!C7*(0.5*((((875-43)*MAX('Inputs'!$B$33,'Inputs'!$B$29+'Inputs'!$B$31+'Inputs'!$B$32,'Inputs'!$B$30+'Inputs'!$B$31+'Inputs'!$B$32)/1000+'Inputs'!$B$21+'Inputs'!$B$7+'Inputs'!$B$10)+'Inputs'!$B$9)/SQRT((((875-43)*MAX('Inputs'!$B$33,'Inputs'!$B$29+'Inputs'!$B$31+'Inputs'!$B$32,'Inputs'!$B$30+'Inputs'!$B$31+'Inputs'!$B$32)/1000+'Inputs'!$B$21+'Inputs'!$B$7+'Inputs'!$B$10)+'Inputs'!$B$9)^2+('Inputs'!$B$8/2)^2)-(((875-43)*MAX('Inputs'!$B$33,'Inputs'!$B$29+'Inputs'!$B$31+'Inputs'!$B$32,'Inputs'!$B$30+'Inputs'!$B$31+'Inputs'!$B$32)/1000+'Inputs'!$B$21+'Inputs'!$B$7+'Inputs'!$B$10))/SQRT((((875-43)*MAX('Inputs'!$B$33,'Inputs'!$B$29+'Inputs'!$B$31+'Inputs'!$B$32,'Inputs'!$B$30+'Inputs'!$B$31+'Inputs'!$B$32)/1000+'Inputs'!$B$21+'Inputs'!$B$7+'Inputs'!$B$10))^2+('Inputs'!$B$8/2)^2))))*'Results'!$B$8),"")</x:f>
        <x:v>0.6963128971291358</x:v>
      </x:c>
      <x:c r="K875" t="n">
        <x:f>IF(AND(ISNUMBER('Results'!B7),ISNUMBER('Results'!C7),ISNUMBER('Results'!$B$8),ISNUMBER('Inputs'!$B$6),ISNUMBER('Inputs'!$B$7),ISNUMBER('Inputs'!$B$8),ISNUMBER('Inputs'!$B$9),ISNUMBER('Inputs'!$B$10),ISNUMBER('Inputs'!$B$21),ISNUMBER('Inputs'!$B$24),ISNUMBER('Inputs'!$B$28)),((('Results'!B7*(1-'Inputs'!$B$24)*(0.5*((((875-43)*MAX('Inputs'!$B$33,'Inputs'!$B$29+'Inputs'!$B$31+'Inputs'!$B$32,'Inputs'!$B$30+'Inputs'!$B$31+'Inputs'!$B$32)/1000+'Inputs'!$B$21)+'Inputs'!$B$7)/SQRT((((875-43)*MAX('Inputs'!$B$33,'Inputs'!$B$29+'Inputs'!$B$31+'Inputs'!$B$32,'Inputs'!$B$30+'Inputs'!$B$31+'Inputs'!$B$32)/1000+'Inputs'!$B$21)+'Inputs'!$B$7)^2+('Inputs'!$B$6/2)^2)-(((875-43)*MAX('Inputs'!$B$33,'Inputs'!$B$29+'Inputs'!$B$31+'Inputs'!$B$32,'Inputs'!$B$30+'Inputs'!$B$31+'Inputs'!$B$32)/1000+'Inputs'!$B$21))/SQRT((((875-43)*MAX('Inputs'!$B$33,'Inputs'!$B$29+'Inputs'!$B$31+'Inputs'!$B$32,'Inputs'!$B$30+'Inputs'!$B$31+'Inputs'!$B$32)/1000+'Inputs'!$B$21))^2+('Inputs'!$B$6/2)^2)))-'Results'!C7*(1+'Inputs'!$B$24)*(0.5*((((875-43)*MAX('Inputs'!$B$33,'Inputs'!$B$29+'Inputs'!$B$31+'Inputs'!$B$32,'Inputs'!$B$30+'Inputs'!$B$31+'Inputs'!$B$32)/1000+'Inputs'!$B$21+'Inputs'!$B$7+'Inputs'!$B$10)+'Inputs'!$B$9)/SQRT((((875-43)*MAX('Inputs'!$B$33,'Inputs'!$B$29+'Inputs'!$B$31+'Inputs'!$B$32,'Inputs'!$B$30+'Inputs'!$B$31+'Inputs'!$B$32)/1000+'Inputs'!$B$21+'Inputs'!$B$7+'Inputs'!$B$10)+'Inputs'!$B$9)^2+('Inputs'!$B$8/2)^2)-(((875-43)*MAX('Inputs'!$B$33,'Inputs'!$B$29+'Inputs'!$B$31+'Inputs'!$B$32,'Inputs'!$B$30+'Inputs'!$B$31+'Inputs'!$B$32)/1000+'Inputs'!$B$21+'Inputs'!$B$7+'Inputs'!$B$10))/SQRT((((875-43)*MAX('Inputs'!$B$33,'Inputs'!$B$29+'Inputs'!$B$31+'Inputs'!$B$32,'Inputs'!$B$30+'Inputs'!$B$31+'Inputs'!$B$32)/1000+'Inputs'!$B$21+'Inputs'!$B$7+'Inputs'!$B$10))^2+('Inputs'!$B$8/2)^2))))*'Results'!$B$8)-'Inputs'!$B$28*ABS((('Results'!B7*(1-'Inputs'!$B$24)*(0.5*((((875-43)*MAX('Inputs'!$B$33,'Inputs'!$B$29+'Inputs'!$B$31+'Inputs'!$B$32,'Inputs'!$B$30+'Inputs'!$B$31+'Inputs'!$B$32)/1000+'Inputs'!$B$21)+'Inputs'!$B$7)/SQRT((((875-43)*MAX('Inputs'!$B$33,'Inputs'!$B$29+'Inputs'!$B$31+'Inputs'!$B$32,'Inputs'!$B$30+'Inputs'!$B$31+'Inputs'!$B$32)/1000+'Inputs'!$B$21)+'Inputs'!$B$7)^2+('Inputs'!$B$6/2)^2)-(((875-43)*MAX('Inputs'!$B$33,'Inputs'!$B$29+'Inputs'!$B$31+'Inputs'!$B$32,'Inputs'!$B$30+'Inputs'!$B$31+'Inputs'!$B$32)/1000+'Inputs'!$B$21))/SQRT((((875-43)*MAX('Inputs'!$B$33,'Inputs'!$B$29+'Inputs'!$B$31+'Inputs'!$B$32,'Inputs'!$B$30+'Inputs'!$B$31+'Inputs'!$B$32)/1000+'Inputs'!$B$21))^2+('Inputs'!$B$6/2)^2)))-'Results'!C7*(1+'Inputs'!$B$24)*(0.5*((((875-43)*MAX('Inputs'!$B$33,'Inputs'!$B$29+'Inputs'!$B$31+'Inputs'!$B$32,'Inputs'!$B$30+'Inputs'!$B$31+'Inputs'!$B$32)/1000+'Inputs'!$B$21+'Inputs'!$B$7+'Inputs'!$B$10)+'Inputs'!$B$9)/SQRT((((875-43)*MAX('Inputs'!$B$33,'Inputs'!$B$29+'Inputs'!$B$31+'Inputs'!$B$32,'Inputs'!$B$30+'Inputs'!$B$31+'Inputs'!$B$32)/1000+'Inputs'!$B$21+'Inputs'!$B$7+'Inputs'!$B$10)+'Inputs'!$B$9)^2+('Inputs'!$B$8/2)^2)-(((875-43)*MAX('Inputs'!$B$33,'Inputs'!$B$29+'Inputs'!$B$31+'Inputs'!$B$32,'Inputs'!$B$30+'Inputs'!$B$31+'Inputs'!$B$32)/1000+'Inputs'!$B$21+'Inputs'!$B$7+'Inputs'!$B$10))/SQRT((((875-43)*MAX('Inputs'!$B$33,'Inputs'!$B$29+'Inputs'!$B$31+'Inputs'!$B$32,'Inputs'!$B$30+'Inputs'!$B$31+'Inputs'!$B$32)/1000+'Inputs'!$B$21+'Inputs'!$B$7+'Inputs'!$B$10))^2+('Inputs'!$B$8/2)^2))))*'Results'!$B$8))),"")</x:f>
        <x:v>0.5938888234794698</x:v>
      </x:c>
      <x:c r="L875" t="n">
        <x:f>IF(AND(ISNUMBER('Results'!B7),ISNUMBER('Results'!C7),ISNUMBER('Results'!$B$8),ISNUMBER('Inputs'!$B$6),ISNUMBER('Inputs'!$B$7),ISNUMBER('Inputs'!$B$8),ISNUMBER('Inputs'!$B$9),ISNUMBER('Inputs'!$B$10),ISNUMBER('Inputs'!$B$21),ISNUMBER('Inputs'!$B$24),ISNUMBER('Inputs'!$B$28)),((('Results'!B7*(1+'Inputs'!$B$24)*(0.5*((((875-43)*MAX('Inputs'!$B$33,'Inputs'!$B$29+'Inputs'!$B$31+'Inputs'!$B$32,'Inputs'!$B$30+'Inputs'!$B$31+'Inputs'!$B$32)/1000+'Inputs'!$B$21)+'Inputs'!$B$7)/SQRT((((875-43)*MAX('Inputs'!$B$33,'Inputs'!$B$29+'Inputs'!$B$31+'Inputs'!$B$32,'Inputs'!$B$30+'Inputs'!$B$31+'Inputs'!$B$32)/1000+'Inputs'!$B$21)+'Inputs'!$B$7)^2+('Inputs'!$B$6/2)^2)-(((875-43)*MAX('Inputs'!$B$33,'Inputs'!$B$29+'Inputs'!$B$31+'Inputs'!$B$32,'Inputs'!$B$30+'Inputs'!$B$31+'Inputs'!$B$32)/1000+'Inputs'!$B$21))/SQRT((((875-43)*MAX('Inputs'!$B$33,'Inputs'!$B$29+'Inputs'!$B$31+'Inputs'!$B$32,'Inputs'!$B$30+'Inputs'!$B$31+'Inputs'!$B$32)/1000+'Inputs'!$B$21))^2+('Inputs'!$B$6/2)^2)))-'Results'!C7*(1-'Inputs'!$B$24)*(0.5*((((875-43)*MAX('Inputs'!$B$33,'Inputs'!$B$29+'Inputs'!$B$31+'Inputs'!$B$32,'Inputs'!$B$30+'Inputs'!$B$31+'Inputs'!$B$32)/1000+'Inputs'!$B$21+'Inputs'!$B$7+'Inputs'!$B$10)+'Inputs'!$B$9)/SQRT((((875-43)*MAX('Inputs'!$B$33,'Inputs'!$B$29+'Inputs'!$B$31+'Inputs'!$B$32,'Inputs'!$B$30+'Inputs'!$B$31+'Inputs'!$B$32)/1000+'Inputs'!$B$21+'Inputs'!$B$7+'Inputs'!$B$10)+'Inputs'!$B$9)^2+('Inputs'!$B$8/2)^2)-(((875-43)*MAX('Inputs'!$B$33,'Inputs'!$B$29+'Inputs'!$B$31+'Inputs'!$B$32,'Inputs'!$B$30+'Inputs'!$B$31+'Inputs'!$B$32)/1000+'Inputs'!$B$21+'Inputs'!$B$7+'Inputs'!$B$10))/SQRT((((875-43)*MAX('Inputs'!$B$33,'Inputs'!$B$29+'Inputs'!$B$31+'Inputs'!$B$32,'Inputs'!$B$30+'Inputs'!$B$31+'Inputs'!$B$32)/1000+'Inputs'!$B$21+'Inputs'!$B$7+'Inputs'!$B$10))^2+('Inputs'!$B$8/2)^2))))*'Results'!$B$8)+'Inputs'!$B$28*ABS((('Results'!B7*(1+'Inputs'!$B$24)*(0.5*((((875-43)*MAX('Inputs'!$B$33,'Inputs'!$B$29+'Inputs'!$B$31+'Inputs'!$B$32,'Inputs'!$B$30+'Inputs'!$B$31+'Inputs'!$B$32)/1000+'Inputs'!$B$21)+'Inputs'!$B$7)/SQRT((((875-43)*MAX('Inputs'!$B$33,'Inputs'!$B$29+'Inputs'!$B$31+'Inputs'!$B$32,'Inputs'!$B$30+'Inputs'!$B$31+'Inputs'!$B$32)/1000+'Inputs'!$B$21)+'Inputs'!$B$7)^2+('Inputs'!$B$6/2)^2)-(((875-43)*MAX('Inputs'!$B$33,'Inputs'!$B$29+'Inputs'!$B$31+'Inputs'!$B$32,'Inputs'!$B$30+'Inputs'!$B$31+'Inputs'!$B$32)/1000+'Inputs'!$B$21))/SQRT((((875-43)*MAX('Inputs'!$B$33,'Inputs'!$B$29+'Inputs'!$B$31+'Inputs'!$B$32,'Inputs'!$B$30+'Inputs'!$B$31+'Inputs'!$B$32)/1000+'Inputs'!$B$21))^2+('Inputs'!$B$6/2)^2)))-'Results'!C7*(1-'Inputs'!$B$24)*(0.5*((((875-43)*MAX('Inputs'!$B$33,'Inputs'!$B$29+'Inputs'!$B$31+'Inputs'!$B$32,'Inputs'!$B$30+'Inputs'!$B$31+'Inputs'!$B$32)/1000+'Inputs'!$B$21+'Inputs'!$B$7+'Inputs'!$B$10)+'Inputs'!$B$9)/SQRT((((875-43)*MAX('Inputs'!$B$33,'Inputs'!$B$29+'Inputs'!$B$31+'Inputs'!$B$32,'Inputs'!$B$30+'Inputs'!$B$31+'Inputs'!$B$32)/1000+'Inputs'!$B$21+'Inputs'!$B$7+'Inputs'!$B$10)+'Inputs'!$B$9)^2+('Inputs'!$B$8/2)^2)-(((875-43)*MAX('Inputs'!$B$33,'Inputs'!$B$29+'Inputs'!$B$31+'Inputs'!$B$32,'Inputs'!$B$30+'Inputs'!$B$31+'Inputs'!$B$32)/1000+'Inputs'!$B$21+'Inputs'!$B$7+'Inputs'!$B$10))/SQRT((((875-43)*MAX('Inputs'!$B$33,'Inputs'!$B$29+'Inputs'!$B$31+'Inputs'!$B$32,'Inputs'!$B$30+'Inputs'!$B$31+'Inputs'!$B$32)/1000+'Inputs'!$B$21+'Inputs'!$B$7+'Inputs'!$B$10))^2+('Inputs'!$B$8/2)^2))))*'Results'!$B$8))),"")</x:f>
        <x:v>0.8058536474938758</x:v>
      </x:c>
      <x:c r="M875" t="n">
        <x:f>IF(AND(ISNUMBER('Results'!C7),ISNUMBER('Results'!B7),ISNUMBER('Results'!$B$8),ISNUMBER('Inputs'!$B$6),ISNUMBER('Inputs'!$B$7),ISNUMBER('Inputs'!$B$8),ISNUMBER('Inputs'!$B$9),ISNUMBER('Inputs'!$B$10),ISNUMBER('Inputs'!$B$21),ISNUMBER('Inputs'!$B$24),ISNUMBER('Inputs'!$B$28)),(('Results'!C7*(0.5*((((875-43)*MAX('Inputs'!$B$33,'Inputs'!$B$29+'Inputs'!$B$31+'Inputs'!$B$32,'Inputs'!$B$30+'Inputs'!$B$31+'Inputs'!$B$32)/1000+'Inputs'!$B$21)+'Inputs'!$B$9)/SQRT((((875-43)*MAX('Inputs'!$B$33,'Inputs'!$B$29+'Inputs'!$B$31+'Inputs'!$B$32,'Inputs'!$B$30+'Inputs'!$B$31+'Inputs'!$B$32)/1000+'Inputs'!$B$21)+'Inputs'!$B$9)^2+('Inputs'!$B$8/2)^2)-(((875-43)*MAX('Inputs'!$B$33,'Inputs'!$B$29+'Inputs'!$B$31+'Inputs'!$B$32,'Inputs'!$B$30+'Inputs'!$B$31+'Inputs'!$B$32)/1000+'Inputs'!$B$21))/SQRT((((875-43)*MAX('Inputs'!$B$33,'Inputs'!$B$29+'Inputs'!$B$31+'Inputs'!$B$32,'Inputs'!$B$30+'Inputs'!$B$31+'Inputs'!$B$32)/1000+'Inputs'!$B$21))^2+('Inputs'!$B$8/2)^2)))-'Results'!B7*(0.5*((((875-43)*MAX('Inputs'!$B$33,'Inputs'!$B$29+'Inputs'!$B$31+'Inputs'!$B$32,'Inputs'!$B$30+'Inputs'!$B$31+'Inputs'!$B$32)/1000+'Inputs'!$B$21+'Inputs'!$B$9+'Inputs'!$B$10)+'Inputs'!$B$7)/SQRT((((875-43)*MAX('Inputs'!$B$33,'Inputs'!$B$29+'Inputs'!$B$31+'Inputs'!$B$32,'Inputs'!$B$30+'Inputs'!$B$31+'Inputs'!$B$32)/1000+'Inputs'!$B$21+'Inputs'!$B$9+'Inputs'!$B$10)+'Inputs'!$B$7)^2+('Inputs'!$B$6/2)^2)-(((875-43)*MAX('Inputs'!$B$33,'Inputs'!$B$29+'Inputs'!$B$31+'Inputs'!$B$32,'Inputs'!$B$30+'Inputs'!$B$31+'Inputs'!$B$32)/1000+'Inputs'!$B$21+'Inputs'!$B$9+'Inputs'!$B$10))/SQRT((((875-43)*MAX('Inputs'!$B$33,'Inputs'!$B$29+'Inputs'!$B$31+'Inputs'!$B$32,'Inputs'!$B$30+'Inputs'!$B$31+'Inputs'!$B$32)/1000+'Inputs'!$B$21+'Inputs'!$B$9+'Inputs'!$B$10))^2+('Inputs'!$B$6/2)^2))))*'Results'!$B$8),"")</x:f>
        <x:v>0.6245620431497348</x:v>
      </x:c>
      <x:c r="N875" t="n">
        <x:f>IF(AND(ISNUMBER('Results'!C7),ISNUMBER('Results'!B7),ISNUMBER('Results'!$B$8),ISNUMBER('Inputs'!$B$6),ISNUMBER('Inputs'!$B$7),ISNUMBER('Inputs'!$B$8),ISNUMBER('Inputs'!$B$9),ISNUMBER('Inputs'!$B$10),ISNUMBER('Inputs'!$B$21),ISNUMBER('Inputs'!$B$24),ISNUMBER('Inputs'!$B$28)),((('Results'!C7*(1-'Inputs'!$B$24)*(0.5*((((875-43)*MAX('Inputs'!$B$33,'Inputs'!$B$29+'Inputs'!$B$31+'Inputs'!$B$32,'Inputs'!$B$30+'Inputs'!$B$31+'Inputs'!$B$32)/1000+'Inputs'!$B$21)+'Inputs'!$B$9)/SQRT((((875-43)*MAX('Inputs'!$B$33,'Inputs'!$B$29+'Inputs'!$B$31+'Inputs'!$B$32,'Inputs'!$B$30+'Inputs'!$B$31+'Inputs'!$B$32)/1000+'Inputs'!$B$21)+'Inputs'!$B$9)^2+('Inputs'!$B$8/2)^2)-(((875-43)*MAX('Inputs'!$B$33,'Inputs'!$B$29+'Inputs'!$B$31+'Inputs'!$B$32,'Inputs'!$B$30+'Inputs'!$B$31+'Inputs'!$B$32)/1000+'Inputs'!$B$21))/SQRT((((875-43)*MAX('Inputs'!$B$33,'Inputs'!$B$29+'Inputs'!$B$31+'Inputs'!$B$32,'Inputs'!$B$30+'Inputs'!$B$31+'Inputs'!$B$32)/1000+'Inputs'!$B$21))^2+('Inputs'!$B$8/2)^2)))-'Results'!B7*(1+'Inputs'!$B$24)*(0.5*((((875-43)*MAX('Inputs'!$B$33,'Inputs'!$B$29+'Inputs'!$B$31+'Inputs'!$B$32,'Inputs'!$B$30+'Inputs'!$B$31+'Inputs'!$B$32)/1000+'Inputs'!$B$21+'Inputs'!$B$9+'Inputs'!$B$10)+'Inputs'!$B$7)/SQRT((((875-43)*MAX('Inputs'!$B$33,'Inputs'!$B$29+'Inputs'!$B$31+'Inputs'!$B$32,'Inputs'!$B$30+'Inputs'!$B$31+'Inputs'!$B$32)/1000+'Inputs'!$B$21+'Inputs'!$B$9+'Inputs'!$B$10)+'Inputs'!$B$7)^2+('Inputs'!$B$6/2)^2)-(((875-43)*MAX('Inputs'!$B$33,'Inputs'!$B$29+'Inputs'!$B$31+'Inputs'!$B$32,'Inputs'!$B$30+'Inputs'!$B$31+'Inputs'!$B$32)/1000+'Inputs'!$B$21+'Inputs'!$B$9+'Inputs'!$B$10))/SQRT((((875-43)*MAX('Inputs'!$B$33,'Inputs'!$B$29+'Inputs'!$B$31+'Inputs'!$B$32,'Inputs'!$B$30+'Inputs'!$B$31+'Inputs'!$B$32)/1000+'Inputs'!$B$21+'Inputs'!$B$9+'Inputs'!$B$10))^2+('Inputs'!$B$6/2)^2))))*'Results'!$B$8)-'Inputs'!$B$28*ABS((('Results'!C7*(1-'Inputs'!$B$24)*(0.5*((((875-43)*MAX('Inputs'!$B$33,'Inputs'!$B$29+'Inputs'!$B$31+'Inputs'!$B$32,'Inputs'!$B$30+'Inputs'!$B$31+'Inputs'!$B$32)/1000+'Inputs'!$B$21)+'Inputs'!$B$9)/SQRT((((875-43)*MAX('Inputs'!$B$33,'Inputs'!$B$29+'Inputs'!$B$31+'Inputs'!$B$32,'Inputs'!$B$30+'Inputs'!$B$31+'Inputs'!$B$32)/1000+'Inputs'!$B$21)+'Inputs'!$B$9)^2+('Inputs'!$B$8/2)^2)-(((875-43)*MAX('Inputs'!$B$33,'Inputs'!$B$29+'Inputs'!$B$31+'Inputs'!$B$32,'Inputs'!$B$30+'Inputs'!$B$31+'Inputs'!$B$32)/1000+'Inputs'!$B$21))/SQRT((((875-43)*MAX('Inputs'!$B$33,'Inputs'!$B$29+'Inputs'!$B$31+'Inputs'!$B$32,'Inputs'!$B$30+'Inputs'!$B$31+'Inputs'!$B$32)/1000+'Inputs'!$B$21))^2+('Inputs'!$B$8/2)^2)))-'Results'!B7*(1+'Inputs'!$B$24)*(0.5*((((875-43)*MAX('Inputs'!$B$33,'Inputs'!$B$29+'Inputs'!$B$31+'Inputs'!$B$32,'Inputs'!$B$30+'Inputs'!$B$31+'Inputs'!$B$32)/1000+'Inputs'!$B$21+'Inputs'!$B$9+'Inputs'!$B$10)+'Inputs'!$B$7)/SQRT((((875-43)*MAX('Inputs'!$B$33,'Inputs'!$B$29+'Inputs'!$B$31+'Inputs'!$B$32,'Inputs'!$B$30+'Inputs'!$B$31+'Inputs'!$B$32)/1000+'Inputs'!$B$21+'Inputs'!$B$9+'Inputs'!$B$10)+'Inputs'!$B$7)^2+('Inputs'!$B$6/2)^2)-(((875-43)*MAX('Inputs'!$B$33,'Inputs'!$B$29+'Inputs'!$B$31+'Inputs'!$B$32,'Inputs'!$B$30+'Inputs'!$B$31+'Inputs'!$B$32)/1000+'Inputs'!$B$21+'Inputs'!$B$9+'Inputs'!$B$10))/SQRT((((875-43)*MAX('Inputs'!$B$33,'Inputs'!$B$29+'Inputs'!$B$31+'Inputs'!$B$32,'Inputs'!$B$30+'Inputs'!$B$31+'Inputs'!$B$32)/1000+'Inputs'!$B$21+'Inputs'!$B$9+'Inputs'!$B$10))^2+('Inputs'!$B$6/2)^2))))*'Results'!$B$8))),"")</x:f>
        <x:v>0.5259790134502038</x:v>
      </x:c>
      <x:c r="O875" t="n">
        <x:f>IF(AND(ISNUMBER('Results'!C7),ISNUMBER('Results'!B7),ISNUMBER('Results'!$B$8),ISNUMBER('Inputs'!$B$6),ISNUMBER('Inputs'!$B$7),ISNUMBER('Inputs'!$B$8),ISNUMBER('Inputs'!$B$9),ISNUMBER('Inputs'!$B$10),ISNUMBER('Inputs'!$B$21),ISNUMBER('Inputs'!$B$24),ISNUMBER('Inputs'!$B$28)),((('Results'!C7*(1+'Inputs'!$B$24)*(0.5*((((875-43)*MAX('Inputs'!$B$33,'Inputs'!$B$29+'Inputs'!$B$31+'Inputs'!$B$32,'Inputs'!$B$30+'Inputs'!$B$31+'Inputs'!$B$32)/1000+'Inputs'!$B$21)+'Inputs'!$B$9)/SQRT((((875-43)*MAX('Inputs'!$B$33,'Inputs'!$B$29+'Inputs'!$B$31+'Inputs'!$B$32,'Inputs'!$B$30+'Inputs'!$B$31+'Inputs'!$B$32)/1000+'Inputs'!$B$21)+'Inputs'!$B$9)^2+('Inputs'!$B$8/2)^2)-(((875-43)*MAX('Inputs'!$B$33,'Inputs'!$B$29+'Inputs'!$B$31+'Inputs'!$B$32,'Inputs'!$B$30+'Inputs'!$B$31+'Inputs'!$B$32)/1000+'Inputs'!$B$21))/SQRT((((875-43)*MAX('Inputs'!$B$33,'Inputs'!$B$29+'Inputs'!$B$31+'Inputs'!$B$32,'Inputs'!$B$30+'Inputs'!$B$31+'Inputs'!$B$32)/1000+'Inputs'!$B$21))^2+('Inputs'!$B$8/2)^2)))-'Results'!B7*(1-'Inputs'!$B$24)*(0.5*((((875-43)*MAX('Inputs'!$B$33,'Inputs'!$B$29+'Inputs'!$B$31+'Inputs'!$B$32,'Inputs'!$B$30+'Inputs'!$B$31+'Inputs'!$B$32)/1000+'Inputs'!$B$21+'Inputs'!$B$9+'Inputs'!$B$10)+'Inputs'!$B$7)/SQRT((((875-43)*MAX('Inputs'!$B$33,'Inputs'!$B$29+'Inputs'!$B$31+'Inputs'!$B$32,'Inputs'!$B$30+'Inputs'!$B$31+'Inputs'!$B$32)/1000+'Inputs'!$B$21+'Inputs'!$B$9+'Inputs'!$B$10)+'Inputs'!$B$7)^2+('Inputs'!$B$6/2)^2)-(((875-43)*MAX('Inputs'!$B$33,'Inputs'!$B$29+'Inputs'!$B$31+'Inputs'!$B$32,'Inputs'!$B$30+'Inputs'!$B$31+'Inputs'!$B$32)/1000+'Inputs'!$B$21+'Inputs'!$B$9+'Inputs'!$B$10))/SQRT((((875-43)*MAX('Inputs'!$B$33,'Inputs'!$B$29+'Inputs'!$B$31+'Inputs'!$B$32,'Inputs'!$B$30+'Inputs'!$B$31+'Inputs'!$B$32)/1000+'Inputs'!$B$21+'Inputs'!$B$9+'Inputs'!$B$10))^2+('Inputs'!$B$6/2)^2))))*'Results'!$B$8)+'Inputs'!$B$28*ABS((('Results'!C7*(1+'Inputs'!$B$24)*(0.5*((((875-43)*MAX('Inputs'!$B$33,'Inputs'!$B$29+'Inputs'!$B$31+'Inputs'!$B$32,'Inputs'!$B$30+'Inputs'!$B$31+'Inputs'!$B$32)/1000+'Inputs'!$B$21)+'Inputs'!$B$9)/SQRT((((875-43)*MAX('Inputs'!$B$33,'Inputs'!$B$29+'Inputs'!$B$31+'Inputs'!$B$32,'Inputs'!$B$30+'Inputs'!$B$31+'Inputs'!$B$32)/1000+'Inputs'!$B$21)+'Inputs'!$B$9)^2+('Inputs'!$B$8/2)^2)-(((875-43)*MAX('Inputs'!$B$33,'Inputs'!$B$29+'Inputs'!$B$31+'Inputs'!$B$32,'Inputs'!$B$30+'Inputs'!$B$31+'Inputs'!$B$32)/1000+'Inputs'!$B$21))/SQRT((((875-43)*MAX('Inputs'!$B$33,'Inputs'!$B$29+'Inputs'!$B$31+'Inputs'!$B$32,'Inputs'!$B$30+'Inputs'!$B$31+'Inputs'!$B$32)/1000+'Inputs'!$B$21))^2+('Inputs'!$B$8/2)^2)))-'Results'!B7*(1-'Inputs'!$B$24)*(0.5*((((875-43)*MAX('Inputs'!$B$33,'Inputs'!$B$29+'Inputs'!$B$31+'Inputs'!$B$32,'Inputs'!$B$30+'Inputs'!$B$31+'Inputs'!$B$32)/1000+'Inputs'!$B$21+'Inputs'!$B$9+'Inputs'!$B$10)+'Inputs'!$B$7)/SQRT((((875-43)*MAX('Inputs'!$B$33,'Inputs'!$B$29+'Inputs'!$B$31+'Inputs'!$B$32,'Inputs'!$B$30+'Inputs'!$B$31+'Inputs'!$B$32)/1000+'Inputs'!$B$21+'Inputs'!$B$9+'Inputs'!$B$10)+'Inputs'!$B$7)^2+('Inputs'!$B$6/2)^2)-(((875-43)*MAX('Inputs'!$B$33,'Inputs'!$B$29+'Inputs'!$B$31+'Inputs'!$B$32,'Inputs'!$B$30+'Inputs'!$B$31+'Inputs'!$B$32)/1000+'Inputs'!$B$21+'Inputs'!$B$9+'Inputs'!$B$10))/SQRT((((875-43)*MAX('Inputs'!$B$33,'Inputs'!$B$29+'Inputs'!$B$31+'Inputs'!$B$32,'Inputs'!$B$30+'Inputs'!$B$31+'Inputs'!$B$32)/1000+'Inputs'!$B$21+'Inputs'!$B$9+'Inputs'!$B$10))^2+('Inputs'!$B$6/2)^2))))*'Results'!$B$8))),"")</x:f>
        <x:v>0.7302350652221126</x:v>
      </x:c>
      <x:c r="P875" t="n">
        <x:f>IF(AND(MAX(J875,J874)&gt;0,J875&gt;J874+0.00000001),1,0)</x:f>
        <x:v>0</x:v>
      </x:c>
      <x:c r="Q875" t="n">
        <x:f>IF(AND(MAX(K875,K874)&gt;0,K875&gt;K874+0.00000001),1,0)</x:f>
        <x:v>0</x:v>
      </x:c>
      <x:c r="R875" t="n">
        <x:f>IF(AND(MAX(L875,L874)&gt;0,L875&gt;L874+0.00000001),1,0)</x:f>
        <x:v>0</x:v>
      </x:c>
      <x:c r="S875" t="n">
        <x:f>IF(AND(MAX(M875,M874)&gt;0,M875&gt;M874+0.00000001),1,0)</x:f>
        <x:v>0</x:v>
      </x:c>
      <x:c r="T875" t="n">
        <x:f>IF(AND(MAX(N875,N874)&gt;0,N875&gt;N874+0.00000001),1,0)</x:f>
        <x:v>0</x:v>
      </x:c>
      <x:c r="U875" t="n">
        <x:f>IF(AND(MAX(O875,O874)&gt;0,O875&gt;O874+0.00000001),1,0)</x:f>
        <x:v>0</x:v>
      </x:c>
    </x:row>
    <x:row r="876">
      <x:c r="J876" t="n">
        <x:f>IF(AND(ISNUMBER('Results'!B7),ISNUMBER('Results'!C7),ISNUMBER('Results'!$B$8),ISNUMBER('Inputs'!$B$6),ISNUMBER('Inputs'!$B$7),ISNUMBER('Inputs'!$B$8),ISNUMBER('Inputs'!$B$9),ISNUMBER('Inputs'!$B$10),ISNUMBER('Inputs'!$B$21),ISNUMBER('Inputs'!$B$24),ISNUMBER('Inputs'!$B$28)),(('Results'!B7*(0.5*((((876-43)*MAX('Inputs'!$B$33,'Inputs'!$B$29+'Inputs'!$B$31+'Inputs'!$B$32,'Inputs'!$B$30+'Inputs'!$B$31+'Inputs'!$B$32)/1000+'Inputs'!$B$21)+'Inputs'!$B$7)/SQRT((((876-43)*MAX('Inputs'!$B$33,'Inputs'!$B$29+'Inputs'!$B$31+'Inputs'!$B$32,'Inputs'!$B$30+'Inputs'!$B$31+'Inputs'!$B$32)/1000+'Inputs'!$B$21)+'Inputs'!$B$7)^2+('Inputs'!$B$6/2)^2)-(((876-43)*MAX('Inputs'!$B$33,'Inputs'!$B$29+'Inputs'!$B$31+'Inputs'!$B$32,'Inputs'!$B$30+'Inputs'!$B$31+'Inputs'!$B$32)/1000+'Inputs'!$B$21))/SQRT((((876-43)*MAX('Inputs'!$B$33,'Inputs'!$B$29+'Inputs'!$B$31+'Inputs'!$B$32,'Inputs'!$B$30+'Inputs'!$B$31+'Inputs'!$B$32)/1000+'Inputs'!$B$21))^2+('Inputs'!$B$6/2)^2)))-'Results'!C7*(0.5*((((876-43)*MAX('Inputs'!$B$33,'Inputs'!$B$29+'Inputs'!$B$31+'Inputs'!$B$32,'Inputs'!$B$30+'Inputs'!$B$31+'Inputs'!$B$32)/1000+'Inputs'!$B$21+'Inputs'!$B$7+'Inputs'!$B$10)+'Inputs'!$B$9)/SQRT((((876-43)*MAX('Inputs'!$B$33,'Inputs'!$B$29+'Inputs'!$B$31+'Inputs'!$B$32,'Inputs'!$B$30+'Inputs'!$B$31+'Inputs'!$B$32)/1000+'Inputs'!$B$21+'Inputs'!$B$7+'Inputs'!$B$10)+'Inputs'!$B$9)^2+('Inputs'!$B$8/2)^2)-(((876-43)*MAX('Inputs'!$B$33,'Inputs'!$B$29+'Inputs'!$B$31+'Inputs'!$B$32,'Inputs'!$B$30+'Inputs'!$B$31+'Inputs'!$B$32)/1000+'Inputs'!$B$21+'Inputs'!$B$7+'Inputs'!$B$10))/SQRT((((876-43)*MAX('Inputs'!$B$33,'Inputs'!$B$29+'Inputs'!$B$31+'Inputs'!$B$32,'Inputs'!$B$30+'Inputs'!$B$31+'Inputs'!$B$32)/1000+'Inputs'!$B$21+'Inputs'!$B$7+'Inputs'!$B$10))^2+('Inputs'!$B$8/2)^2))))*'Results'!$B$8),"")</x:f>
        <x:v>0.6933027731472319</x:v>
      </x:c>
      <x:c r="K876" t="n">
        <x:f>IF(AND(ISNUMBER('Results'!B7),ISNUMBER('Results'!C7),ISNUMBER('Results'!$B$8),ISNUMBER('Inputs'!$B$6),ISNUMBER('Inputs'!$B$7),ISNUMBER('Inputs'!$B$8),ISNUMBER('Inputs'!$B$9),ISNUMBER('Inputs'!$B$10),ISNUMBER('Inputs'!$B$21),ISNUMBER('Inputs'!$B$24),ISNUMBER('Inputs'!$B$28)),((('Results'!B7*(1-'Inputs'!$B$24)*(0.5*((((876-43)*MAX('Inputs'!$B$33,'Inputs'!$B$29+'Inputs'!$B$31+'Inputs'!$B$32,'Inputs'!$B$30+'Inputs'!$B$31+'Inputs'!$B$32)/1000+'Inputs'!$B$21)+'Inputs'!$B$7)/SQRT((((876-43)*MAX('Inputs'!$B$33,'Inputs'!$B$29+'Inputs'!$B$31+'Inputs'!$B$32,'Inputs'!$B$30+'Inputs'!$B$31+'Inputs'!$B$32)/1000+'Inputs'!$B$21)+'Inputs'!$B$7)^2+('Inputs'!$B$6/2)^2)-(((876-43)*MAX('Inputs'!$B$33,'Inputs'!$B$29+'Inputs'!$B$31+'Inputs'!$B$32,'Inputs'!$B$30+'Inputs'!$B$31+'Inputs'!$B$32)/1000+'Inputs'!$B$21))/SQRT((((876-43)*MAX('Inputs'!$B$33,'Inputs'!$B$29+'Inputs'!$B$31+'Inputs'!$B$32,'Inputs'!$B$30+'Inputs'!$B$31+'Inputs'!$B$32)/1000+'Inputs'!$B$21))^2+('Inputs'!$B$6/2)^2)))-'Results'!C7*(1+'Inputs'!$B$24)*(0.5*((((876-43)*MAX('Inputs'!$B$33,'Inputs'!$B$29+'Inputs'!$B$31+'Inputs'!$B$32,'Inputs'!$B$30+'Inputs'!$B$31+'Inputs'!$B$32)/1000+'Inputs'!$B$21+'Inputs'!$B$7+'Inputs'!$B$10)+'Inputs'!$B$9)/SQRT((((876-43)*MAX('Inputs'!$B$33,'Inputs'!$B$29+'Inputs'!$B$31+'Inputs'!$B$32,'Inputs'!$B$30+'Inputs'!$B$31+'Inputs'!$B$32)/1000+'Inputs'!$B$21+'Inputs'!$B$7+'Inputs'!$B$10)+'Inputs'!$B$9)^2+('Inputs'!$B$8/2)^2)-(((876-43)*MAX('Inputs'!$B$33,'Inputs'!$B$29+'Inputs'!$B$31+'Inputs'!$B$32,'Inputs'!$B$30+'Inputs'!$B$31+'Inputs'!$B$32)/1000+'Inputs'!$B$21+'Inputs'!$B$7+'Inputs'!$B$10))/SQRT((((876-43)*MAX('Inputs'!$B$33,'Inputs'!$B$29+'Inputs'!$B$31+'Inputs'!$B$32,'Inputs'!$B$30+'Inputs'!$B$31+'Inputs'!$B$32)/1000+'Inputs'!$B$21+'Inputs'!$B$7+'Inputs'!$B$10))^2+('Inputs'!$B$8/2)^2))))*'Results'!$B$8)-'Inputs'!$B$28*ABS((('Results'!B7*(1-'Inputs'!$B$24)*(0.5*((((876-43)*MAX('Inputs'!$B$33,'Inputs'!$B$29+'Inputs'!$B$31+'Inputs'!$B$32,'Inputs'!$B$30+'Inputs'!$B$31+'Inputs'!$B$32)/1000+'Inputs'!$B$21)+'Inputs'!$B$7)/SQRT((((876-43)*MAX('Inputs'!$B$33,'Inputs'!$B$29+'Inputs'!$B$31+'Inputs'!$B$32,'Inputs'!$B$30+'Inputs'!$B$31+'Inputs'!$B$32)/1000+'Inputs'!$B$21)+'Inputs'!$B$7)^2+('Inputs'!$B$6/2)^2)-(((876-43)*MAX('Inputs'!$B$33,'Inputs'!$B$29+'Inputs'!$B$31+'Inputs'!$B$32,'Inputs'!$B$30+'Inputs'!$B$31+'Inputs'!$B$32)/1000+'Inputs'!$B$21))/SQRT((((876-43)*MAX('Inputs'!$B$33,'Inputs'!$B$29+'Inputs'!$B$31+'Inputs'!$B$32,'Inputs'!$B$30+'Inputs'!$B$31+'Inputs'!$B$32)/1000+'Inputs'!$B$21))^2+('Inputs'!$B$6/2)^2)))-'Results'!C7*(1+'Inputs'!$B$24)*(0.5*((((876-43)*MAX('Inputs'!$B$33,'Inputs'!$B$29+'Inputs'!$B$31+'Inputs'!$B$32,'Inputs'!$B$30+'Inputs'!$B$31+'Inputs'!$B$32)/1000+'Inputs'!$B$21+'Inputs'!$B$7+'Inputs'!$B$10)+'Inputs'!$B$9)/SQRT((((876-43)*MAX('Inputs'!$B$33,'Inputs'!$B$29+'Inputs'!$B$31+'Inputs'!$B$32,'Inputs'!$B$30+'Inputs'!$B$31+'Inputs'!$B$32)/1000+'Inputs'!$B$21+'Inputs'!$B$7+'Inputs'!$B$10)+'Inputs'!$B$9)^2+('Inputs'!$B$8/2)^2)-(((876-43)*MAX('Inputs'!$B$33,'Inputs'!$B$29+'Inputs'!$B$31+'Inputs'!$B$32,'Inputs'!$B$30+'Inputs'!$B$31+'Inputs'!$B$32)/1000+'Inputs'!$B$21+'Inputs'!$B$7+'Inputs'!$B$10))/SQRT((((876-43)*MAX('Inputs'!$B$33,'Inputs'!$B$29+'Inputs'!$B$31+'Inputs'!$B$32,'Inputs'!$B$30+'Inputs'!$B$31+'Inputs'!$B$32)/1000+'Inputs'!$B$21+'Inputs'!$B$7+'Inputs'!$B$10))^2+('Inputs'!$B$8/2)^2))))*'Results'!$B$8))),"")</x:f>
        <x:v>0.5912538000181151</x:v>
      </x:c>
      <x:c r="L876" t="n">
        <x:f>IF(AND(ISNUMBER('Results'!B7),ISNUMBER('Results'!C7),ISNUMBER('Results'!$B$8),ISNUMBER('Inputs'!$B$6),ISNUMBER('Inputs'!$B$7),ISNUMBER('Inputs'!$B$8),ISNUMBER('Inputs'!$B$9),ISNUMBER('Inputs'!$B$10),ISNUMBER('Inputs'!$B$21),ISNUMBER('Inputs'!$B$24),ISNUMBER('Inputs'!$B$28)),((('Results'!B7*(1+'Inputs'!$B$24)*(0.5*((((876-43)*MAX('Inputs'!$B$33,'Inputs'!$B$29+'Inputs'!$B$31+'Inputs'!$B$32,'Inputs'!$B$30+'Inputs'!$B$31+'Inputs'!$B$32)/1000+'Inputs'!$B$21)+'Inputs'!$B$7)/SQRT((((876-43)*MAX('Inputs'!$B$33,'Inputs'!$B$29+'Inputs'!$B$31+'Inputs'!$B$32,'Inputs'!$B$30+'Inputs'!$B$31+'Inputs'!$B$32)/1000+'Inputs'!$B$21)+'Inputs'!$B$7)^2+('Inputs'!$B$6/2)^2)-(((876-43)*MAX('Inputs'!$B$33,'Inputs'!$B$29+'Inputs'!$B$31+'Inputs'!$B$32,'Inputs'!$B$30+'Inputs'!$B$31+'Inputs'!$B$32)/1000+'Inputs'!$B$21))/SQRT((((876-43)*MAX('Inputs'!$B$33,'Inputs'!$B$29+'Inputs'!$B$31+'Inputs'!$B$32,'Inputs'!$B$30+'Inputs'!$B$31+'Inputs'!$B$32)/1000+'Inputs'!$B$21))^2+('Inputs'!$B$6/2)^2)))-'Results'!C7*(1-'Inputs'!$B$24)*(0.5*((((876-43)*MAX('Inputs'!$B$33,'Inputs'!$B$29+'Inputs'!$B$31+'Inputs'!$B$32,'Inputs'!$B$30+'Inputs'!$B$31+'Inputs'!$B$32)/1000+'Inputs'!$B$21+'Inputs'!$B$7+'Inputs'!$B$10)+'Inputs'!$B$9)/SQRT((((876-43)*MAX('Inputs'!$B$33,'Inputs'!$B$29+'Inputs'!$B$31+'Inputs'!$B$32,'Inputs'!$B$30+'Inputs'!$B$31+'Inputs'!$B$32)/1000+'Inputs'!$B$21+'Inputs'!$B$7+'Inputs'!$B$10)+'Inputs'!$B$9)^2+('Inputs'!$B$8/2)^2)-(((876-43)*MAX('Inputs'!$B$33,'Inputs'!$B$29+'Inputs'!$B$31+'Inputs'!$B$32,'Inputs'!$B$30+'Inputs'!$B$31+'Inputs'!$B$32)/1000+'Inputs'!$B$21+'Inputs'!$B$7+'Inputs'!$B$10))/SQRT((((876-43)*MAX('Inputs'!$B$33,'Inputs'!$B$29+'Inputs'!$B$31+'Inputs'!$B$32,'Inputs'!$B$30+'Inputs'!$B$31+'Inputs'!$B$32)/1000+'Inputs'!$B$21+'Inputs'!$B$7+'Inputs'!$B$10))^2+('Inputs'!$B$8/2)^2))))*'Results'!$B$8)+'Inputs'!$B$28*ABS((('Results'!B7*(1+'Inputs'!$B$24)*(0.5*((((876-43)*MAX('Inputs'!$B$33,'Inputs'!$B$29+'Inputs'!$B$31+'Inputs'!$B$32,'Inputs'!$B$30+'Inputs'!$B$31+'Inputs'!$B$32)/1000+'Inputs'!$B$21)+'Inputs'!$B$7)/SQRT((((876-43)*MAX('Inputs'!$B$33,'Inputs'!$B$29+'Inputs'!$B$31+'Inputs'!$B$32,'Inputs'!$B$30+'Inputs'!$B$31+'Inputs'!$B$32)/1000+'Inputs'!$B$21)+'Inputs'!$B$7)^2+('Inputs'!$B$6/2)^2)-(((876-43)*MAX('Inputs'!$B$33,'Inputs'!$B$29+'Inputs'!$B$31+'Inputs'!$B$32,'Inputs'!$B$30+'Inputs'!$B$31+'Inputs'!$B$32)/1000+'Inputs'!$B$21))/SQRT((((876-43)*MAX('Inputs'!$B$33,'Inputs'!$B$29+'Inputs'!$B$31+'Inputs'!$B$32,'Inputs'!$B$30+'Inputs'!$B$31+'Inputs'!$B$32)/1000+'Inputs'!$B$21))^2+('Inputs'!$B$6/2)^2)))-'Results'!C7*(1-'Inputs'!$B$24)*(0.5*((((876-43)*MAX('Inputs'!$B$33,'Inputs'!$B$29+'Inputs'!$B$31+'Inputs'!$B$32,'Inputs'!$B$30+'Inputs'!$B$31+'Inputs'!$B$32)/1000+'Inputs'!$B$21+'Inputs'!$B$7+'Inputs'!$B$10)+'Inputs'!$B$9)/SQRT((((876-43)*MAX('Inputs'!$B$33,'Inputs'!$B$29+'Inputs'!$B$31+'Inputs'!$B$32,'Inputs'!$B$30+'Inputs'!$B$31+'Inputs'!$B$32)/1000+'Inputs'!$B$21+'Inputs'!$B$7+'Inputs'!$B$10)+'Inputs'!$B$9)^2+('Inputs'!$B$8/2)^2)-(((876-43)*MAX('Inputs'!$B$33,'Inputs'!$B$29+'Inputs'!$B$31+'Inputs'!$B$32,'Inputs'!$B$30+'Inputs'!$B$31+'Inputs'!$B$32)/1000+'Inputs'!$B$21+'Inputs'!$B$7+'Inputs'!$B$10))/SQRT((((876-43)*MAX('Inputs'!$B$33,'Inputs'!$B$29+'Inputs'!$B$31+'Inputs'!$B$32,'Inputs'!$B$30+'Inputs'!$B$31+'Inputs'!$B$32)/1000+'Inputs'!$B$21+'Inputs'!$B$7+'Inputs'!$B$10))^2+('Inputs'!$B$8/2)^2))))*'Results'!$B$8))),"")</x:f>
        <x:v>0.8024447814839017</x:v>
      </x:c>
      <x:c r="M876" t="n">
        <x:f>IF(AND(ISNUMBER('Results'!C7),ISNUMBER('Results'!B7),ISNUMBER('Results'!$B$8),ISNUMBER('Inputs'!$B$6),ISNUMBER('Inputs'!$B$7),ISNUMBER('Inputs'!$B$8),ISNUMBER('Inputs'!$B$9),ISNUMBER('Inputs'!$B$10),ISNUMBER('Inputs'!$B$21),ISNUMBER('Inputs'!$B$24),ISNUMBER('Inputs'!$B$28)),(('Results'!C7*(0.5*((((876-43)*MAX('Inputs'!$B$33,'Inputs'!$B$29+'Inputs'!$B$31+'Inputs'!$B$32,'Inputs'!$B$30+'Inputs'!$B$31+'Inputs'!$B$32)/1000+'Inputs'!$B$21)+'Inputs'!$B$9)/SQRT((((876-43)*MAX('Inputs'!$B$33,'Inputs'!$B$29+'Inputs'!$B$31+'Inputs'!$B$32,'Inputs'!$B$30+'Inputs'!$B$31+'Inputs'!$B$32)/1000+'Inputs'!$B$21)+'Inputs'!$B$9)^2+('Inputs'!$B$8/2)^2)-(((876-43)*MAX('Inputs'!$B$33,'Inputs'!$B$29+'Inputs'!$B$31+'Inputs'!$B$32,'Inputs'!$B$30+'Inputs'!$B$31+'Inputs'!$B$32)/1000+'Inputs'!$B$21))/SQRT((((876-43)*MAX('Inputs'!$B$33,'Inputs'!$B$29+'Inputs'!$B$31+'Inputs'!$B$32,'Inputs'!$B$30+'Inputs'!$B$31+'Inputs'!$B$32)/1000+'Inputs'!$B$21))^2+('Inputs'!$B$8/2)^2)))-'Results'!B7*(0.5*((((876-43)*MAX('Inputs'!$B$33,'Inputs'!$B$29+'Inputs'!$B$31+'Inputs'!$B$32,'Inputs'!$B$30+'Inputs'!$B$31+'Inputs'!$B$32)/1000+'Inputs'!$B$21+'Inputs'!$B$9+'Inputs'!$B$10)+'Inputs'!$B$7)/SQRT((((876-43)*MAX('Inputs'!$B$33,'Inputs'!$B$29+'Inputs'!$B$31+'Inputs'!$B$32,'Inputs'!$B$30+'Inputs'!$B$31+'Inputs'!$B$32)/1000+'Inputs'!$B$21+'Inputs'!$B$9+'Inputs'!$B$10)+'Inputs'!$B$7)^2+('Inputs'!$B$6/2)^2)-(((876-43)*MAX('Inputs'!$B$33,'Inputs'!$B$29+'Inputs'!$B$31+'Inputs'!$B$32,'Inputs'!$B$30+'Inputs'!$B$31+'Inputs'!$B$32)/1000+'Inputs'!$B$21+'Inputs'!$B$9+'Inputs'!$B$10))/SQRT((((876-43)*MAX('Inputs'!$B$33,'Inputs'!$B$29+'Inputs'!$B$31+'Inputs'!$B$32,'Inputs'!$B$30+'Inputs'!$B$31+'Inputs'!$B$32)/1000+'Inputs'!$B$21+'Inputs'!$B$9+'Inputs'!$B$10))^2+('Inputs'!$B$6/2)^2))))*'Results'!$B$8),"")</x:f>
        <x:v>0.6217901323307556</x:v>
      </x:c>
      <x:c r="N876" t="n">
        <x:f>IF(AND(ISNUMBER('Results'!C7),ISNUMBER('Results'!B7),ISNUMBER('Results'!$B$8),ISNUMBER('Inputs'!$B$6),ISNUMBER('Inputs'!$B$7),ISNUMBER('Inputs'!$B$8),ISNUMBER('Inputs'!$B$9),ISNUMBER('Inputs'!$B$10),ISNUMBER('Inputs'!$B$21),ISNUMBER('Inputs'!$B$24),ISNUMBER('Inputs'!$B$28)),((('Results'!C7*(1-'Inputs'!$B$24)*(0.5*((((876-43)*MAX('Inputs'!$B$33,'Inputs'!$B$29+'Inputs'!$B$31+'Inputs'!$B$32,'Inputs'!$B$30+'Inputs'!$B$31+'Inputs'!$B$32)/1000+'Inputs'!$B$21)+'Inputs'!$B$9)/SQRT((((876-43)*MAX('Inputs'!$B$33,'Inputs'!$B$29+'Inputs'!$B$31+'Inputs'!$B$32,'Inputs'!$B$30+'Inputs'!$B$31+'Inputs'!$B$32)/1000+'Inputs'!$B$21)+'Inputs'!$B$9)^2+('Inputs'!$B$8/2)^2)-(((876-43)*MAX('Inputs'!$B$33,'Inputs'!$B$29+'Inputs'!$B$31+'Inputs'!$B$32,'Inputs'!$B$30+'Inputs'!$B$31+'Inputs'!$B$32)/1000+'Inputs'!$B$21))/SQRT((((876-43)*MAX('Inputs'!$B$33,'Inputs'!$B$29+'Inputs'!$B$31+'Inputs'!$B$32,'Inputs'!$B$30+'Inputs'!$B$31+'Inputs'!$B$32)/1000+'Inputs'!$B$21))^2+('Inputs'!$B$8/2)^2)))-'Results'!B7*(1+'Inputs'!$B$24)*(0.5*((((876-43)*MAX('Inputs'!$B$33,'Inputs'!$B$29+'Inputs'!$B$31+'Inputs'!$B$32,'Inputs'!$B$30+'Inputs'!$B$31+'Inputs'!$B$32)/1000+'Inputs'!$B$21+'Inputs'!$B$9+'Inputs'!$B$10)+'Inputs'!$B$7)/SQRT((((876-43)*MAX('Inputs'!$B$33,'Inputs'!$B$29+'Inputs'!$B$31+'Inputs'!$B$32,'Inputs'!$B$30+'Inputs'!$B$31+'Inputs'!$B$32)/1000+'Inputs'!$B$21+'Inputs'!$B$9+'Inputs'!$B$10)+'Inputs'!$B$7)^2+('Inputs'!$B$6/2)^2)-(((876-43)*MAX('Inputs'!$B$33,'Inputs'!$B$29+'Inputs'!$B$31+'Inputs'!$B$32,'Inputs'!$B$30+'Inputs'!$B$31+'Inputs'!$B$32)/1000+'Inputs'!$B$21+'Inputs'!$B$9+'Inputs'!$B$10))/SQRT((((876-43)*MAX('Inputs'!$B$33,'Inputs'!$B$29+'Inputs'!$B$31+'Inputs'!$B$32,'Inputs'!$B$30+'Inputs'!$B$31+'Inputs'!$B$32)/1000+'Inputs'!$B$21+'Inputs'!$B$9+'Inputs'!$B$10))^2+('Inputs'!$B$6/2)^2))))*'Results'!$B$8)-'Inputs'!$B$28*ABS((('Results'!C7*(1-'Inputs'!$B$24)*(0.5*((((876-43)*MAX('Inputs'!$B$33,'Inputs'!$B$29+'Inputs'!$B$31+'Inputs'!$B$32,'Inputs'!$B$30+'Inputs'!$B$31+'Inputs'!$B$32)/1000+'Inputs'!$B$21)+'Inputs'!$B$9)/SQRT((((876-43)*MAX('Inputs'!$B$33,'Inputs'!$B$29+'Inputs'!$B$31+'Inputs'!$B$32,'Inputs'!$B$30+'Inputs'!$B$31+'Inputs'!$B$32)/1000+'Inputs'!$B$21)+'Inputs'!$B$9)^2+('Inputs'!$B$8/2)^2)-(((876-43)*MAX('Inputs'!$B$33,'Inputs'!$B$29+'Inputs'!$B$31+'Inputs'!$B$32,'Inputs'!$B$30+'Inputs'!$B$31+'Inputs'!$B$32)/1000+'Inputs'!$B$21))/SQRT((((876-43)*MAX('Inputs'!$B$33,'Inputs'!$B$29+'Inputs'!$B$31+'Inputs'!$B$32,'Inputs'!$B$30+'Inputs'!$B$31+'Inputs'!$B$32)/1000+'Inputs'!$B$21))^2+('Inputs'!$B$8/2)^2)))-'Results'!B7*(1+'Inputs'!$B$24)*(0.5*((((876-43)*MAX('Inputs'!$B$33,'Inputs'!$B$29+'Inputs'!$B$31+'Inputs'!$B$32,'Inputs'!$B$30+'Inputs'!$B$31+'Inputs'!$B$32)/1000+'Inputs'!$B$21+'Inputs'!$B$9+'Inputs'!$B$10)+'Inputs'!$B$7)/SQRT((((876-43)*MAX('Inputs'!$B$33,'Inputs'!$B$29+'Inputs'!$B$31+'Inputs'!$B$32,'Inputs'!$B$30+'Inputs'!$B$31+'Inputs'!$B$32)/1000+'Inputs'!$B$21+'Inputs'!$B$9+'Inputs'!$B$10)+'Inputs'!$B$7)^2+('Inputs'!$B$6/2)^2)-(((876-43)*MAX('Inputs'!$B$33,'Inputs'!$B$29+'Inputs'!$B$31+'Inputs'!$B$32,'Inputs'!$B$30+'Inputs'!$B$31+'Inputs'!$B$32)/1000+'Inputs'!$B$21+'Inputs'!$B$9+'Inputs'!$B$10))/SQRT((((876-43)*MAX('Inputs'!$B$33,'Inputs'!$B$29+'Inputs'!$B$31+'Inputs'!$B$32,'Inputs'!$B$30+'Inputs'!$B$31+'Inputs'!$B$32)/1000+'Inputs'!$B$21+'Inputs'!$B$9+'Inputs'!$B$10))^2+('Inputs'!$B$6/2)^2))))*'Results'!$B$8))),"")</x:f>
        <x:v>0.5235691828101808</x:v>
      </x:c>
      <x:c r="O876" t="n">
        <x:f>IF(AND(ISNUMBER('Results'!C7),ISNUMBER('Results'!B7),ISNUMBER('Results'!$B$8),ISNUMBER('Inputs'!$B$6),ISNUMBER('Inputs'!$B$7),ISNUMBER('Inputs'!$B$8),ISNUMBER('Inputs'!$B$9),ISNUMBER('Inputs'!$B$10),ISNUMBER('Inputs'!$B$21),ISNUMBER('Inputs'!$B$24),ISNUMBER('Inputs'!$B$28)),((('Results'!C7*(1+'Inputs'!$B$24)*(0.5*((((876-43)*MAX('Inputs'!$B$33,'Inputs'!$B$29+'Inputs'!$B$31+'Inputs'!$B$32,'Inputs'!$B$30+'Inputs'!$B$31+'Inputs'!$B$32)/1000+'Inputs'!$B$21)+'Inputs'!$B$9)/SQRT((((876-43)*MAX('Inputs'!$B$33,'Inputs'!$B$29+'Inputs'!$B$31+'Inputs'!$B$32,'Inputs'!$B$30+'Inputs'!$B$31+'Inputs'!$B$32)/1000+'Inputs'!$B$21)+'Inputs'!$B$9)^2+('Inputs'!$B$8/2)^2)-(((876-43)*MAX('Inputs'!$B$33,'Inputs'!$B$29+'Inputs'!$B$31+'Inputs'!$B$32,'Inputs'!$B$30+'Inputs'!$B$31+'Inputs'!$B$32)/1000+'Inputs'!$B$21))/SQRT((((876-43)*MAX('Inputs'!$B$33,'Inputs'!$B$29+'Inputs'!$B$31+'Inputs'!$B$32,'Inputs'!$B$30+'Inputs'!$B$31+'Inputs'!$B$32)/1000+'Inputs'!$B$21))^2+('Inputs'!$B$8/2)^2)))-'Results'!B7*(1-'Inputs'!$B$24)*(0.5*((((876-43)*MAX('Inputs'!$B$33,'Inputs'!$B$29+'Inputs'!$B$31+'Inputs'!$B$32,'Inputs'!$B$30+'Inputs'!$B$31+'Inputs'!$B$32)/1000+'Inputs'!$B$21+'Inputs'!$B$9+'Inputs'!$B$10)+'Inputs'!$B$7)/SQRT((((876-43)*MAX('Inputs'!$B$33,'Inputs'!$B$29+'Inputs'!$B$31+'Inputs'!$B$32,'Inputs'!$B$30+'Inputs'!$B$31+'Inputs'!$B$32)/1000+'Inputs'!$B$21+'Inputs'!$B$9+'Inputs'!$B$10)+'Inputs'!$B$7)^2+('Inputs'!$B$6/2)^2)-(((876-43)*MAX('Inputs'!$B$33,'Inputs'!$B$29+'Inputs'!$B$31+'Inputs'!$B$32,'Inputs'!$B$30+'Inputs'!$B$31+'Inputs'!$B$32)/1000+'Inputs'!$B$21+'Inputs'!$B$9+'Inputs'!$B$10))/SQRT((((876-43)*MAX('Inputs'!$B$33,'Inputs'!$B$29+'Inputs'!$B$31+'Inputs'!$B$32,'Inputs'!$B$30+'Inputs'!$B$31+'Inputs'!$B$32)/1000+'Inputs'!$B$21+'Inputs'!$B$9+'Inputs'!$B$10))^2+('Inputs'!$B$6/2)^2))))*'Results'!$B$8)+'Inputs'!$B$28*ABS((('Results'!C7*(1+'Inputs'!$B$24)*(0.5*((((876-43)*MAX('Inputs'!$B$33,'Inputs'!$B$29+'Inputs'!$B$31+'Inputs'!$B$32,'Inputs'!$B$30+'Inputs'!$B$31+'Inputs'!$B$32)/1000+'Inputs'!$B$21)+'Inputs'!$B$9)/SQRT((((876-43)*MAX('Inputs'!$B$33,'Inputs'!$B$29+'Inputs'!$B$31+'Inputs'!$B$32,'Inputs'!$B$30+'Inputs'!$B$31+'Inputs'!$B$32)/1000+'Inputs'!$B$21)+'Inputs'!$B$9)^2+('Inputs'!$B$8/2)^2)-(((876-43)*MAX('Inputs'!$B$33,'Inputs'!$B$29+'Inputs'!$B$31+'Inputs'!$B$32,'Inputs'!$B$30+'Inputs'!$B$31+'Inputs'!$B$32)/1000+'Inputs'!$B$21))/SQRT((((876-43)*MAX('Inputs'!$B$33,'Inputs'!$B$29+'Inputs'!$B$31+'Inputs'!$B$32,'Inputs'!$B$30+'Inputs'!$B$31+'Inputs'!$B$32)/1000+'Inputs'!$B$21))^2+('Inputs'!$B$8/2)^2)))-'Results'!B7*(1-'Inputs'!$B$24)*(0.5*((((876-43)*MAX('Inputs'!$B$33,'Inputs'!$B$29+'Inputs'!$B$31+'Inputs'!$B$32,'Inputs'!$B$30+'Inputs'!$B$31+'Inputs'!$B$32)/1000+'Inputs'!$B$21+'Inputs'!$B$9+'Inputs'!$B$10)+'Inputs'!$B$7)/SQRT((((876-43)*MAX('Inputs'!$B$33,'Inputs'!$B$29+'Inputs'!$B$31+'Inputs'!$B$32,'Inputs'!$B$30+'Inputs'!$B$31+'Inputs'!$B$32)/1000+'Inputs'!$B$21+'Inputs'!$B$9+'Inputs'!$B$10)+'Inputs'!$B$7)^2+('Inputs'!$B$6/2)^2)-(((876-43)*MAX('Inputs'!$B$33,'Inputs'!$B$29+'Inputs'!$B$31+'Inputs'!$B$32,'Inputs'!$B$30+'Inputs'!$B$31+'Inputs'!$B$32)/1000+'Inputs'!$B$21+'Inputs'!$B$9+'Inputs'!$B$10))/SQRT((((876-43)*MAX('Inputs'!$B$33,'Inputs'!$B$29+'Inputs'!$B$31+'Inputs'!$B$32,'Inputs'!$B$30+'Inputs'!$B$31+'Inputs'!$B$32)/1000+'Inputs'!$B$21+'Inputs'!$B$9+'Inputs'!$B$10))^2+('Inputs'!$B$6/2)^2))))*'Results'!$B$8))),"")</x:f>
        <x:v>0.7270775495254397</x:v>
      </x:c>
      <x:c r="P876" t="n">
        <x:f>IF(AND(MAX(J876,J875)&gt;0,J876&gt;J875+0.00000001),1,0)</x:f>
        <x:v>0</x:v>
      </x:c>
      <x:c r="Q876" t="n">
        <x:f>IF(AND(MAX(K876,K875)&gt;0,K876&gt;K875+0.00000001),1,0)</x:f>
        <x:v>0</x:v>
      </x:c>
      <x:c r="R876" t="n">
        <x:f>IF(AND(MAX(L876,L875)&gt;0,L876&gt;L875+0.00000001),1,0)</x:f>
        <x:v>0</x:v>
      </x:c>
      <x:c r="S876" t="n">
        <x:f>IF(AND(MAX(M876,M875)&gt;0,M876&gt;M875+0.00000001),1,0)</x:f>
        <x:v>0</x:v>
      </x:c>
      <x:c r="T876" t="n">
        <x:f>IF(AND(MAX(N876,N875)&gt;0,N876&gt;N875+0.00000001),1,0)</x:f>
        <x:v>0</x:v>
      </x:c>
      <x:c r="U876" t="n">
        <x:f>IF(AND(MAX(O876,O875)&gt;0,O876&gt;O875+0.00000001),1,0)</x:f>
        <x:v>0</x:v>
      </x:c>
    </x:row>
    <x:row r="877">
      <x:c r="J877" t="n">
        <x:f>IF(AND(ISNUMBER('Results'!B7),ISNUMBER('Results'!C7),ISNUMBER('Results'!$B$8),ISNUMBER('Inputs'!$B$6),ISNUMBER('Inputs'!$B$7),ISNUMBER('Inputs'!$B$8),ISNUMBER('Inputs'!$B$9),ISNUMBER('Inputs'!$B$10),ISNUMBER('Inputs'!$B$21),ISNUMBER('Inputs'!$B$24),ISNUMBER('Inputs'!$B$28)),(('Results'!B7*(0.5*((((877-43)*MAX('Inputs'!$B$33,'Inputs'!$B$29+'Inputs'!$B$31+'Inputs'!$B$32,'Inputs'!$B$30+'Inputs'!$B$31+'Inputs'!$B$32)/1000+'Inputs'!$B$21)+'Inputs'!$B$7)/SQRT((((877-43)*MAX('Inputs'!$B$33,'Inputs'!$B$29+'Inputs'!$B$31+'Inputs'!$B$32,'Inputs'!$B$30+'Inputs'!$B$31+'Inputs'!$B$32)/1000+'Inputs'!$B$21)+'Inputs'!$B$7)^2+('Inputs'!$B$6/2)^2)-(((877-43)*MAX('Inputs'!$B$33,'Inputs'!$B$29+'Inputs'!$B$31+'Inputs'!$B$32,'Inputs'!$B$30+'Inputs'!$B$31+'Inputs'!$B$32)/1000+'Inputs'!$B$21))/SQRT((((877-43)*MAX('Inputs'!$B$33,'Inputs'!$B$29+'Inputs'!$B$31+'Inputs'!$B$32,'Inputs'!$B$30+'Inputs'!$B$31+'Inputs'!$B$32)/1000+'Inputs'!$B$21))^2+('Inputs'!$B$6/2)^2)))-'Results'!C7*(0.5*((((877-43)*MAX('Inputs'!$B$33,'Inputs'!$B$29+'Inputs'!$B$31+'Inputs'!$B$32,'Inputs'!$B$30+'Inputs'!$B$31+'Inputs'!$B$32)/1000+'Inputs'!$B$21+'Inputs'!$B$7+'Inputs'!$B$10)+'Inputs'!$B$9)/SQRT((((877-43)*MAX('Inputs'!$B$33,'Inputs'!$B$29+'Inputs'!$B$31+'Inputs'!$B$32,'Inputs'!$B$30+'Inputs'!$B$31+'Inputs'!$B$32)/1000+'Inputs'!$B$21+'Inputs'!$B$7+'Inputs'!$B$10)+'Inputs'!$B$9)^2+('Inputs'!$B$8/2)^2)-(((877-43)*MAX('Inputs'!$B$33,'Inputs'!$B$29+'Inputs'!$B$31+'Inputs'!$B$32,'Inputs'!$B$30+'Inputs'!$B$31+'Inputs'!$B$32)/1000+'Inputs'!$B$21+'Inputs'!$B$7+'Inputs'!$B$10))/SQRT((((877-43)*MAX('Inputs'!$B$33,'Inputs'!$B$29+'Inputs'!$B$31+'Inputs'!$B$32,'Inputs'!$B$30+'Inputs'!$B$31+'Inputs'!$B$32)/1000+'Inputs'!$B$21+'Inputs'!$B$7+'Inputs'!$B$10))^2+('Inputs'!$B$8/2)^2))))*'Results'!$B$8),"")</x:f>
        <x:v>0.6903089700554822</x:v>
      </x:c>
      <x:c r="K877" t="n">
        <x:f>IF(AND(ISNUMBER('Results'!B7),ISNUMBER('Results'!C7),ISNUMBER('Results'!$B$8),ISNUMBER('Inputs'!$B$6),ISNUMBER('Inputs'!$B$7),ISNUMBER('Inputs'!$B$8),ISNUMBER('Inputs'!$B$9),ISNUMBER('Inputs'!$B$10),ISNUMBER('Inputs'!$B$21),ISNUMBER('Inputs'!$B$24),ISNUMBER('Inputs'!$B$28)),((('Results'!B7*(1-'Inputs'!$B$24)*(0.5*((((877-43)*MAX('Inputs'!$B$33,'Inputs'!$B$29+'Inputs'!$B$31+'Inputs'!$B$32,'Inputs'!$B$30+'Inputs'!$B$31+'Inputs'!$B$32)/1000+'Inputs'!$B$21)+'Inputs'!$B$7)/SQRT((((877-43)*MAX('Inputs'!$B$33,'Inputs'!$B$29+'Inputs'!$B$31+'Inputs'!$B$32,'Inputs'!$B$30+'Inputs'!$B$31+'Inputs'!$B$32)/1000+'Inputs'!$B$21)+'Inputs'!$B$7)^2+('Inputs'!$B$6/2)^2)-(((877-43)*MAX('Inputs'!$B$33,'Inputs'!$B$29+'Inputs'!$B$31+'Inputs'!$B$32,'Inputs'!$B$30+'Inputs'!$B$31+'Inputs'!$B$32)/1000+'Inputs'!$B$21))/SQRT((((877-43)*MAX('Inputs'!$B$33,'Inputs'!$B$29+'Inputs'!$B$31+'Inputs'!$B$32,'Inputs'!$B$30+'Inputs'!$B$31+'Inputs'!$B$32)/1000+'Inputs'!$B$21))^2+('Inputs'!$B$6/2)^2)))-'Results'!C7*(1+'Inputs'!$B$24)*(0.5*((((877-43)*MAX('Inputs'!$B$33,'Inputs'!$B$29+'Inputs'!$B$31+'Inputs'!$B$32,'Inputs'!$B$30+'Inputs'!$B$31+'Inputs'!$B$32)/1000+'Inputs'!$B$21+'Inputs'!$B$7+'Inputs'!$B$10)+'Inputs'!$B$9)/SQRT((((877-43)*MAX('Inputs'!$B$33,'Inputs'!$B$29+'Inputs'!$B$31+'Inputs'!$B$32,'Inputs'!$B$30+'Inputs'!$B$31+'Inputs'!$B$32)/1000+'Inputs'!$B$21+'Inputs'!$B$7+'Inputs'!$B$10)+'Inputs'!$B$9)^2+('Inputs'!$B$8/2)^2)-(((877-43)*MAX('Inputs'!$B$33,'Inputs'!$B$29+'Inputs'!$B$31+'Inputs'!$B$32,'Inputs'!$B$30+'Inputs'!$B$31+'Inputs'!$B$32)/1000+'Inputs'!$B$21+'Inputs'!$B$7+'Inputs'!$B$10))/SQRT((((877-43)*MAX('Inputs'!$B$33,'Inputs'!$B$29+'Inputs'!$B$31+'Inputs'!$B$32,'Inputs'!$B$30+'Inputs'!$B$31+'Inputs'!$B$32)/1000+'Inputs'!$B$21+'Inputs'!$B$7+'Inputs'!$B$10))^2+('Inputs'!$B$8/2)^2))))*'Results'!$B$8)-'Inputs'!$B$28*ABS((('Results'!B7*(1-'Inputs'!$B$24)*(0.5*((((877-43)*MAX('Inputs'!$B$33,'Inputs'!$B$29+'Inputs'!$B$31+'Inputs'!$B$32,'Inputs'!$B$30+'Inputs'!$B$31+'Inputs'!$B$32)/1000+'Inputs'!$B$21)+'Inputs'!$B$7)/SQRT((((877-43)*MAX('Inputs'!$B$33,'Inputs'!$B$29+'Inputs'!$B$31+'Inputs'!$B$32,'Inputs'!$B$30+'Inputs'!$B$31+'Inputs'!$B$32)/1000+'Inputs'!$B$21)+'Inputs'!$B$7)^2+('Inputs'!$B$6/2)^2)-(((877-43)*MAX('Inputs'!$B$33,'Inputs'!$B$29+'Inputs'!$B$31+'Inputs'!$B$32,'Inputs'!$B$30+'Inputs'!$B$31+'Inputs'!$B$32)/1000+'Inputs'!$B$21))/SQRT((((877-43)*MAX('Inputs'!$B$33,'Inputs'!$B$29+'Inputs'!$B$31+'Inputs'!$B$32,'Inputs'!$B$30+'Inputs'!$B$31+'Inputs'!$B$32)/1000+'Inputs'!$B$21))^2+('Inputs'!$B$6/2)^2)))-'Results'!C7*(1+'Inputs'!$B$24)*(0.5*((((877-43)*MAX('Inputs'!$B$33,'Inputs'!$B$29+'Inputs'!$B$31+'Inputs'!$B$32,'Inputs'!$B$30+'Inputs'!$B$31+'Inputs'!$B$32)/1000+'Inputs'!$B$21+'Inputs'!$B$7+'Inputs'!$B$10)+'Inputs'!$B$9)/SQRT((((877-43)*MAX('Inputs'!$B$33,'Inputs'!$B$29+'Inputs'!$B$31+'Inputs'!$B$32,'Inputs'!$B$30+'Inputs'!$B$31+'Inputs'!$B$32)/1000+'Inputs'!$B$21+'Inputs'!$B$7+'Inputs'!$B$10)+'Inputs'!$B$9)^2+('Inputs'!$B$8/2)^2)-(((877-43)*MAX('Inputs'!$B$33,'Inputs'!$B$29+'Inputs'!$B$31+'Inputs'!$B$32,'Inputs'!$B$30+'Inputs'!$B$31+'Inputs'!$B$32)/1000+'Inputs'!$B$21+'Inputs'!$B$7+'Inputs'!$B$10))/SQRT((((877-43)*MAX('Inputs'!$B$33,'Inputs'!$B$29+'Inputs'!$B$31+'Inputs'!$B$32,'Inputs'!$B$30+'Inputs'!$B$31+'Inputs'!$B$32)/1000+'Inputs'!$B$21+'Inputs'!$B$7+'Inputs'!$B$10))^2+('Inputs'!$B$8/2)^2))))*'Results'!$B$8))),"")</x:f>
        <x:v>0.5886332859489805</x:v>
      </x:c>
      <x:c r="L877" t="n">
        <x:f>IF(AND(ISNUMBER('Results'!B7),ISNUMBER('Results'!C7),ISNUMBER('Results'!$B$8),ISNUMBER('Inputs'!$B$6),ISNUMBER('Inputs'!$B$7),ISNUMBER('Inputs'!$B$8),ISNUMBER('Inputs'!$B$9),ISNUMBER('Inputs'!$B$10),ISNUMBER('Inputs'!$B$21),ISNUMBER('Inputs'!$B$24),ISNUMBER('Inputs'!$B$28)),((('Results'!B7*(1+'Inputs'!$B$24)*(0.5*((((877-43)*MAX('Inputs'!$B$33,'Inputs'!$B$29+'Inputs'!$B$31+'Inputs'!$B$32,'Inputs'!$B$30+'Inputs'!$B$31+'Inputs'!$B$32)/1000+'Inputs'!$B$21)+'Inputs'!$B$7)/SQRT((((877-43)*MAX('Inputs'!$B$33,'Inputs'!$B$29+'Inputs'!$B$31+'Inputs'!$B$32,'Inputs'!$B$30+'Inputs'!$B$31+'Inputs'!$B$32)/1000+'Inputs'!$B$21)+'Inputs'!$B$7)^2+('Inputs'!$B$6/2)^2)-(((877-43)*MAX('Inputs'!$B$33,'Inputs'!$B$29+'Inputs'!$B$31+'Inputs'!$B$32,'Inputs'!$B$30+'Inputs'!$B$31+'Inputs'!$B$32)/1000+'Inputs'!$B$21))/SQRT((((877-43)*MAX('Inputs'!$B$33,'Inputs'!$B$29+'Inputs'!$B$31+'Inputs'!$B$32,'Inputs'!$B$30+'Inputs'!$B$31+'Inputs'!$B$32)/1000+'Inputs'!$B$21))^2+('Inputs'!$B$6/2)^2)))-'Results'!C7*(1-'Inputs'!$B$24)*(0.5*((((877-43)*MAX('Inputs'!$B$33,'Inputs'!$B$29+'Inputs'!$B$31+'Inputs'!$B$32,'Inputs'!$B$30+'Inputs'!$B$31+'Inputs'!$B$32)/1000+'Inputs'!$B$21+'Inputs'!$B$7+'Inputs'!$B$10)+'Inputs'!$B$9)/SQRT((((877-43)*MAX('Inputs'!$B$33,'Inputs'!$B$29+'Inputs'!$B$31+'Inputs'!$B$32,'Inputs'!$B$30+'Inputs'!$B$31+'Inputs'!$B$32)/1000+'Inputs'!$B$21+'Inputs'!$B$7+'Inputs'!$B$10)+'Inputs'!$B$9)^2+('Inputs'!$B$8/2)^2)-(((877-43)*MAX('Inputs'!$B$33,'Inputs'!$B$29+'Inputs'!$B$31+'Inputs'!$B$32,'Inputs'!$B$30+'Inputs'!$B$31+'Inputs'!$B$32)/1000+'Inputs'!$B$21+'Inputs'!$B$7+'Inputs'!$B$10))/SQRT((((877-43)*MAX('Inputs'!$B$33,'Inputs'!$B$29+'Inputs'!$B$31+'Inputs'!$B$32,'Inputs'!$B$30+'Inputs'!$B$31+'Inputs'!$B$32)/1000+'Inputs'!$B$21+'Inputs'!$B$7+'Inputs'!$B$10))^2+('Inputs'!$B$8/2)^2))))*'Results'!$B$8)+'Inputs'!$B$28*ABS((('Results'!B7*(1+'Inputs'!$B$24)*(0.5*((((877-43)*MAX('Inputs'!$B$33,'Inputs'!$B$29+'Inputs'!$B$31+'Inputs'!$B$32,'Inputs'!$B$30+'Inputs'!$B$31+'Inputs'!$B$32)/1000+'Inputs'!$B$21)+'Inputs'!$B$7)/SQRT((((877-43)*MAX('Inputs'!$B$33,'Inputs'!$B$29+'Inputs'!$B$31+'Inputs'!$B$32,'Inputs'!$B$30+'Inputs'!$B$31+'Inputs'!$B$32)/1000+'Inputs'!$B$21)+'Inputs'!$B$7)^2+('Inputs'!$B$6/2)^2)-(((877-43)*MAX('Inputs'!$B$33,'Inputs'!$B$29+'Inputs'!$B$31+'Inputs'!$B$32,'Inputs'!$B$30+'Inputs'!$B$31+'Inputs'!$B$32)/1000+'Inputs'!$B$21))/SQRT((((877-43)*MAX('Inputs'!$B$33,'Inputs'!$B$29+'Inputs'!$B$31+'Inputs'!$B$32,'Inputs'!$B$30+'Inputs'!$B$31+'Inputs'!$B$32)/1000+'Inputs'!$B$21))^2+('Inputs'!$B$6/2)^2)))-'Results'!C7*(1-'Inputs'!$B$24)*(0.5*((((877-43)*MAX('Inputs'!$B$33,'Inputs'!$B$29+'Inputs'!$B$31+'Inputs'!$B$32,'Inputs'!$B$30+'Inputs'!$B$31+'Inputs'!$B$32)/1000+'Inputs'!$B$21+'Inputs'!$B$7+'Inputs'!$B$10)+'Inputs'!$B$9)/SQRT((((877-43)*MAX('Inputs'!$B$33,'Inputs'!$B$29+'Inputs'!$B$31+'Inputs'!$B$32,'Inputs'!$B$30+'Inputs'!$B$31+'Inputs'!$B$32)/1000+'Inputs'!$B$21+'Inputs'!$B$7+'Inputs'!$B$10)+'Inputs'!$B$9)^2+('Inputs'!$B$8/2)^2)-(((877-43)*MAX('Inputs'!$B$33,'Inputs'!$B$29+'Inputs'!$B$31+'Inputs'!$B$32,'Inputs'!$B$30+'Inputs'!$B$31+'Inputs'!$B$32)/1000+'Inputs'!$B$21+'Inputs'!$B$7+'Inputs'!$B$10))/SQRT((((877-43)*MAX('Inputs'!$B$33,'Inputs'!$B$29+'Inputs'!$B$31+'Inputs'!$B$32,'Inputs'!$B$30+'Inputs'!$B$31+'Inputs'!$B$32)/1000+'Inputs'!$B$21+'Inputs'!$B$7+'Inputs'!$B$10))^2+('Inputs'!$B$8/2)^2))))*'Results'!$B$8))),"")</x:f>
        <x:v>0.7990541526465875</x:v>
      </x:c>
      <x:c r="M877" t="n">
        <x:f>IF(AND(ISNUMBER('Results'!C7),ISNUMBER('Results'!B7),ISNUMBER('Results'!$B$8),ISNUMBER('Inputs'!$B$6),ISNUMBER('Inputs'!$B$7),ISNUMBER('Inputs'!$B$8),ISNUMBER('Inputs'!$B$9),ISNUMBER('Inputs'!$B$10),ISNUMBER('Inputs'!$B$21),ISNUMBER('Inputs'!$B$24),ISNUMBER('Inputs'!$B$28)),(('Results'!C7*(0.5*((((877-43)*MAX('Inputs'!$B$33,'Inputs'!$B$29+'Inputs'!$B$31+'Inputs'!$B$32,'Inputs'!$B$30+'Inputs'!$B$31+'Inputs'!$B$32)/1000+'Inputs'!$B$21)+'Inputs'!$B$9)/SQRT((((877-43)*MAX('Inputs'!$B$33,'Inputs'!$B$29+'Inputs'!$B$31+'Inputs'!$B$32,'Inputs'!$B$30+'Inputs'!$B$31+'Inputs'!$B$32)/1000+'Inputs'!$B$21)+'Inputs'!$B$9)^2+('Inputs'!$B$8/2)^2)-(((877-43)*MAX('Inputs'!$B$33,'Inputs'!$B$29+'Inputs'!$B$31+'Inputs'!$B$32,'Inputs'!$B$30+'Inputs'!$B$31+'Inputs'!$B$32)/1000+'Inputs'!$B$21))/SQRT((((877-43)*MAX('Inputs'!$B$33,'Inputs'!$B$29+'Inputs'!$B$31+'Inputs'!$B$32,'Inputs'!$B$30+'Inputs'!$B$31+'Inputs'!$B$32)/1000+'Inputs'!$B$21))^2+('Inputs'!$B$8/2)^2)))-'Results'!B7*(0.5*((((877-43)*MAX('Inputs'!$B$33,'Inputs'!$B$29+'Inputs'!$B$31+'Inputs'!$B$32,'Inputs'!$B$30+'Inputs'!$B$31+'Inputs'!$B$32)/1000+'Inputs'!$B$21+'Inputs'!$B$9+'Inputs'!$B$10)+'Inputs'!$B$7)/SQRT((((877-43)*MAX('Inputs'!$B$33,'Inputs'!$B$29+'Inputs'!$B$31+'Inputs'!$B$32,'Inputs'!$B$30+'Inputs'!$B$31+'Inputs'!$B$32)/1000+'Inputs'!$B$21+'Inputs'!$B$9+'Inputs'!$B$10)+'Inputs'!$B$7)^2+('Inputs'!$B$6/2)^2)-(((877-43)*MAX('Inputs'!$B$33,'Inputs'!$B$29+'Inputs'!$B$31+'Inputs'!$B$32,'Inputs'!$B$30+'Inputs'!$B$31+'Inputs'!$B$32)/1000+'Inputs'!$B$21+'Inputs'!$B$9+'Inputs'!$B$10))/SQRT((((877-43)*MAX('Inputs'!$B$33,'Inputs'!$B$29+'Inputs'!$B$31+'Inputs'!$B$32,'Inputs'!$B$30+'Inputs'!$B$31+'Inputs'!$B$32)/1000+'Inputs'!$B$21+'Inputs'!$B$9+'Inputs'!$B$10))^2+('Inputs'!$B$6/2)^2))))*'Results'!$B$8),"")</x:f>
        <x:v>0.6190334871947091</x:v>
      </x:c>
      <x:c r="N877" t="n">
        <x:f>IF(AND(ISNUMBER('Results'!C7),ISNUMBER('Results'!B7),ISNUMBER('Results'!$B$8),ISNUMBER('Inputs'!$B$6),ISNUMBER('Inputs'!$B$7),ISNUMBER('Inputs'!$B$8),ISNUMBER('Inputs'!$B$9),ISNUMBER('Inputs'!$B$10),ISNUMBER('Inputs'!$B$21),ISNUMBER('Inputs'!$B$24),ISNUMBER('Inputs'!$B$28)),((('Results'!C7*(1-'Inputs'!$B$24)*(0.5*((((877-43)*MAX('Inputs'!$B$33,'Inputs'!$B$29+'Inputs'!$B$31+'Inputs'!$B$32,'Inputs'!$B$30+'Inputs'!$B$31+'Inputs'!$B$32)/1000+'Inputs'!$B$21)+'Inputs'!$B$9)/SQRT((((877-43)*MAX('Inputs'!$B$33,'Inputs'!$B$29+'Inputs'!$B$31+'Inputs'!$B$32,'Inputs'!$B$30+'Inputs'!$B$31+'Inputs'!$B$32)/1000+'Inputs'!$B$21)+'Inputs'!$B$9)^2+('Inputs'!$B$8/2)^2)-(((877-43)*MAX('Inputs'!$B$33,'Inputs'!$B$29+'Inputs'!$B$31+'Inputs'!$B$32,'Inputs'!$B$30+'Inputs'!$B$31+'Inputs'!$B$32)/1000+'Inputs'!$B$21))/SQRT((((877-43)*MAX('Inputs'!$B$33,'Inputs'!$B$29+'Inputs'!$B$31+'Inputs'!$B$32,'Inputs'!$B$30+'Inputs'!$B$31+'Inputs'!$B$32)/1000+'Inputs'!$B$21))^2+('Inputs'!$B$8/2)^2)))-'Results'!B7*(1+'Inputs'!$B$24)*(0.5*((((877-43)*MAX('Inputs'!$B$33,'Inputs'!$B$29+'Inputs'!$B$31+'Inputs'!$B$32,'Inputs'!$B$30+'Inputs'!$B$31+'Inputs'!$B$32)/1000+'Inputs'!$B$21+'Inputs'!$B$9+'Inputs'!$B$10)+'Inputs'!$B$7)/SQRT((((877-43)*MAX('Inputs'!$B$33,'Inputs'!$B$29+'Inputs'!$B$31+'Inputs'!$B$32,'Inputs'!$B$30+'Inputs'!$B$31+'Inputs'!$B$32)/1000+'Inputs'!$B$21+'Inputs'!$B$9+'Inputs'!$B$10)+'Inputs'!$B$7)^2+('Inputs'!$B$6/2)^2)-(((877-43)*MAX('Inputs'!$B$33,'Inputs'!$B$29+'Inputs'!$B$31+'Inputs'!$B$32,'Inputs'!$B$30+'Inputs'!$B$31+'Inputs'!$B$32)/1000+'Inputs'!$B$21+'Inputs'!$B$9+'Inputs'!$B$10))/SQRT((((877-43)*MAX('Inputs'!$B$33,'Inputs'!$B$29+'Inputs'!$B$31+'Inputs'!$B$32,'Inputs'!$B$30+'Inputs'!$B$31+'Inputs'!$B$32)/1000+'Inputs'!$B$21+'Inputs'!$B$9+'Inputs'!$B$10))^2+('Inputs'!$B$6/2)^2))))*'Results'!$B$8)-'Inputs'!$B$28*ABS((('Results'!C7*(1-'Inputs'!$B$24)*(0.5*((((877-43)*MAX('Inputs'!$B$33,'Inputs'!$B$29+'Inputs'!$B$31+'Inputs'!$B$32,'Inputs'!$B$30+'Inputs'!$B$31+'Inputs'!$B$32)/1000+'Inputs'!$B$21)+'Inputs'!$B$9)/SQRT((((877-43)*MAX('Inputs'!$B$33,'Inputs'!$B$29+'Inputs'!$B$31+'Inputs'!$B$32,'Inputs'!$B$30+'Inputs'!$B$31+'Inputs'!$B$32)/1000+'Inputs'!$B$21)+'Inputs'!$B$9)^2+('Inputs'!$B$8/2)^2)-(((877-43)*MAX('Inputs'!$B$33,'Inputs'!$B$29+'Inputs'!$B$31+'Inputs'!$B$32,'Inputs'!$B$30+'Inputs'!$B$31+'Inputs'!$B$32)/1000+'Inputs'!$B$21))/SQRT((((877-43)*MAX('Inputs'!$B$33,'Inputs'!$B$29+'Inputs'!$B$31+'Inputs'!$B$32,'Inputs'!$B$30+'Inputs'!$B$31+'Inputs'!$B$32)/1000+'Inputs'!$B$21))^2+('Inputs'!$B$8/2)^2)))-'Results'!B7*(1+'Inputs'!$B$24)*(0.5*((((877-43)*MAX('Inputs'!$B$33,'Inputs'!$B$29+'Inputs'!$B$31+'Inputs'!$B$32,'Inputs'!$B$30+'Inputs'!$B$31+'Inputs'!$B$32)/1000+'Inputs'!$B$21+'Inputs'!$B$9+'Inputs'!$B$10)+'Inputs'!$B$7)/SQRT((((877-43)*MAX('Inputs'!$B$33,'Inputs'!$B$29+'Inputs'!$B$31+'Inputs'!$B$32,'Inputs'!$B$30+'Inputs'!$B$31+'Inputs'!$B$32)/1000+'Inputs'!$B$21+'Inputs'!$B$9+'Inputs'!$B$10)+'Inputs'!$B$7)^2+('Inputs'!$B$6/2)^2)-(((877-43)*MAX('Inputs'!$B$33,'Inputs'!$B$29+'Inputs'!$B$31+'Inputs'!$B$32,'Inputs'!$B$30+'Inputs'!$B$31+'Inputs'!$B$32)/1000+'Inputs'!$B$21+'Inputs'!$B$9+'Inputs'!$B$10))/SQRT((((877-43)*MAX('Inputs'!$B$33,'Inputs'!$B$29+'Inputs'!$B$31+'Inputs'!$B$32,'Inputs'!$B$30+'Inputs'!$B$31+'Inputs'!$B$32)/1000+'Inputs'!$B$21+'Inputs'!$B$9+'Inputs'!$B$10))^2+('Inputs'!$B$6/2)^2))))*'Results'!$B$8))),"")</x:f>
        <x:v>0.5211728651775865</x:v>
      </x:c>
      <x:c r="O877" t="n">
        <x:f>IF(AND(ISNUMBER('Results'!C7),ISNUMBER('Results'!B7),ISNUMBER('Results'!$B$8),ISNUMBER('Inputs'!$B$6),ISNUMBER('Inputs'!$B$7),ISNUMBER('Inputs'!$B$8),ISNUMBER('Inputs'!$B$9),ISNUMBER('Inputs'!$B$10),ISNUMBER('Inputs'!$B$21),ISNUMBER('Inputs'!$B$24),ISNUMBER('Inputs'!$B$28)),((('Results'!C7*(1+'Inputs'!$B$24)*(0.5*((((877-43)*MAX('Inputs'!$B$33,'Inputs'!$B$29+'Inputs'!$B$31+'Inputs'!$B$32,'Inputs'!$B$30+'Inputs'!$B$31+'Inputs'!$B$32)/1000+'Inputs'!$B$21)+'Inputs'!$B$9)/SQRT((((877-43)*MAX('Inputs'!$B$33,'Inputs'!$B$29+'Inputs'!$B$31+'Inputs'!$B$32,'Inputs'!$B$30+'Inputs'!$B$31+'Inputs'!$B$32)/1000+'Inputs'!$B$21)+'Inputs'!$B$9)^2+('Inputs'!$B$8/2)^2)-(((877-43)*MAX('Inputs'!$B$33,'Inputs'!$B$29+'Inputs'!$B$31+'Inputs'!$B$32,'Inputs'!$B$30+'Inputs'!$B$31+'Inputs'!$B$32)/1000+'Inputs'!$B$21))/SQRT((((877-43)*MAX('Inputs'!$B$33,'Inputs'!$B$29+'Inputs'!$B$31+'Inputs'!$B$32,'Inputs'!$B$30+'Inputs'!$B$31+'Inputs'!$B$32)/1000+'Inputs'!$B$21))^2+('Inputs'!$B$8/2)^2)))-'Results'!B7*(1-'Inputs'!$B$24)*(0.5*((((877-43)*MAX('Inputs'!$B$33,'Inputs'!$B$29+'Inputs'!$B$31+'Inputs'!$B$32,'Inputs'!$B$30+'Inputs'!$B$31+'Inputs'!$B$32)/1000+'Inputs'!$B$21+'Inputs'!$B$9+'Inputs'!$B$10)+'Inputs'!$B$7)/SQRT((((877-43)*MAX('Inputs'!$B$33,'Inputs'!$B$29+'Inputs'!$B$31+'Inputs'!$B$32,'Inputs'!$B$30+'Inputs'!$B$31+'Inputs'!$B$32)/1000+'Inputs'!$B$21+'Inputs'!$B$9+'Inputs'!$B$10)+'Inputs'!$B$7)^2+('Inputs'!$B$6/2)^2)-(((877-43)*MAX('Inputs'!$B$33,'Inputs'!$B$29+'Inputs'!$B$31+'Inputs'!$B$32,'Inputs'!$B$30+'Inputs'!$B$31+'Inputs'!$B$32)/1000+'Inputs'!$B$21+'Inputs'!$B$9+'Inputs'!$B$10))/SQRT((((877-43)*MAX('Inputs'!$B$33,'Inputs'!$B$29+'Inputs'!$B$31+'Inputs'!$B$32,'Inputs'!$B$30+'Inputs'!$B$31+'Inputs'!$B$32)/1000+'Inputs'!$B$21+'Inputs'!$B$9+'Inputs'!$B$10))^2+('Inputs'!$B$6/2)^2))))*'Results'!$B$8)+'Inputs'!$B$28*ABS((('Results'!C7*(1+'Inputs'!$B$24)*(0.5*((((877-43)*MAX('Inputs'!$B$33,'Inputs'!$B$29+'Inputs'!$B$31+'Inputs'!$B$32,'Inputs'!$B$30+'Inputs'!$B$31+'Inputs'!$B$32)/1000+'Inputs'!$B$21)+'Inputs'!$B$9)/SQRT((((877-43)*MAX('Inputs'!$B$33,'Inputs'!$B$29+'Inputs'!$B$31+'Inputs'!$B$32,'Inputs'!$B$30+'Inputs'!$B$31+'Inputs'!$B$32)/1000+'Inputs'!$B$21)+'Inputs'!$B$9)^2+('Inputs'!$B$8/2)^2)-(((877-43)*MAX('Inputs'!$B$33,'Inputs'!$B$29+'Inputs'!$B$31+'Inputs'!$B$32,'Inputs'!$B$30+'Inputs'!$B$31+'Inputs'!$B$32)/1000+'Inputs'!$B$21))/SQRT((((877-43)*MAX('Inputs'!$B$33,'Inputs'!$B$29+'Inputs'!$B$31+'Inputs'!$B$32,'Inputs'!$B$30+'Inputs'!$B$31+'Inputs'!$B$32)/1000+'Inputs'!$B$21))^2+('Inputs'!$B$8/2)^2)))-'Results'!B7*(1-'Inputs'!$B$24)*(0.5*((((877-43)*MAX('Inputs'!$B$33,'Inputs'!$B$29+'Inputs'!$B$31+'Inputs'!$B$32,'Inputs'!$B$30+'Inputs'!$B$31+'Inputs'!$B$32)/1000+'Inputs'!$B$21+'Inputs'!$B$9+'Inputs'!$B$10)+'Inputs'!$B$7)/SQRT((((877-43)*MAX('Inputs'!$B$33,'Inputs'!$B$29+'Inputs'!$B$31+'Inputs'!$B$32,'Inputs'!$B$30+'Inputs'!$B$31+'Inputs'!$B$32)/1000+'Inputs'!$B$21+'Inputs'!$B$9+'Inputs'!$B$10)+'Inputs'!$B$7)^2+('Inputs'!$B$6/2)^2)-(((877-43)*MAX('Inputs'!$B$33,'Inputs'!$B$29+'Inputs'!$B$31+'Inputs'!$B$32,'Inputs'!$B$30+'Inputs'!$B$31+'Inputs'!$B$32)/1000+'Inputs'!$B$21+'Inputs'!$B$9+'Inputs'!$B$10))/SQRT((((877-43)*MAX('Inputs'!$B$33,'Inputs'!$B$29+'Inputs'!$B$31+'Inputs'!$B$32,'Inputs'!$B$30+'Inputs'!$B$31+'Inputs'!$B$32)/1000+'Inputs'!$B$21+'Inputs'!$B$9+'Inputs'!$B$10))^2+('Inputs'!$B$6/2)^2))))*'Results'!$B$8))),"")</x:f>
        <x:v>0.7239371563336615</x:v>
      </x:c>
      <x:c r="P877" t="n">
        <x:f>IF(AND(MAX(J877,J876)&gt;0,J877&gt;J876+0.00000001),1,0)</x:f>
        <x:v>0</x:v>
      </x:c>
      <x:c r="Q877" t="n">
        <x:f>IF(AND(MAX(K877,K876)&gt;0,K877&gt;K876+0.00000001),1,0)</x:f>
        <x:v>0</x:v>
      </x:c>
      <x:c r="R877" t="n">
        <x:f>IF(AND(MAX(L877,L876)&gt;0,L877&gt;L876+0.00000001),1,0)</x:f>
        <x:v>0</x:v>
      </x:c>
      <x:c r="S877" t="n">
        <x:f>IF(AND(MAX(M877,M876)&gt;0,M877&gt;M876+0.00000001),1,0)</x:f>
        <x:v>0</x:v>
      </x:c>
      <x:c r="T877" t="n">
        <x:f>IF(AND(MAX(N877,N876)&gt;0,N877&gt;N876+0.00000001),1,0)</x:f>
        <x:v>0</x:v>
      </x:c>
      <x:c r="U877" t="n">
        <x:f>IF(AND(MAX(O877,O876)&gt;0,O877&gt;O876+0.00000001),1,0)</x:f>
        <x:v>0</x:v>
      </x:c>
    </x:row>
    <x:row r="878">
      <x:c r="J878" t="n">
        <x:f>IF(AND(ISNUMBER('Results'!B7),ISNUMBER('Results'!C7),ISNUMBER('Results'!$B$8),ISNUMBER('Inputs'!$B$6),ISNUMBER('Inputs'!$B$7),ISNUMBER('Inputs'!$B$8),ISNUMBER('Inputs'!$B$9),ISNUMBER('Inputs'!$B$10),ISNUMBER('Inputs'!$B$21),ISNUMBER('Inputs'!$B$24),ISNUMBER('Inputs'!$B$28)),(('Results'!B7*(0.5*((((878-43)*MAX('Inputs'!$B$33,'Inputs'!$B$29+'Inputs'!$B$31+'Inputs'!$B$32,'Inputs'!$B$30+'Inputs'!$B$31+'Inputs'!$B$32)/1000+'Inputs'!$B$21)+'Inputs'!$B$7)/SQRT((((878-43)*MAX('Inputs'!$B$33,'Inputs'!$B$29+'Inputs'!$B$31+'Inputs'!$B$32,'Inputs'!$B$30+'Inputs'!$B$31+'Inputs'!$B$32)/1000+'Inputs'!$B$21)+'Inputs'!$B$7)^2+('Inputs'!$B$6/2)^2)-(((878-43)*MAX('Inputs'!$B$33,'Inputs'!$B$29+'Inputs'!$B$31+'Inputs'!$B$32,'Inputs'!$B$30+'Inputs'!$B$31+'Inputs'!$B$32)/1000+'Inputs'!$B$21))/SQRT((((878-43)*MAX('Inputs'!$B$33,'Inputs'!$B$29+'Inputs'!$B$31+'Inputs'!$B$32,'Inputs'!$B$30+'Inputs'!$B$31+'Inputs'!$B$32)/1000+'Inputs'!$B$21))^2+('Inputs'!$B$6/2)^2)))-'Results'!C7*(0.5*((((878-43)*MAX('Inputs'!$B$33,'Inputs'!$B$29+'Inputs'!$B$31+'Inputs'!$B$32,'Inputs'!$B$30+'Inputs'!$B$31+'Inputs'!$B$32)/1000+'Inputs'!$B$21+'Inputs'!$B$7+'Inputs'!$B$10)+'Inputs'!$B$9)/SQRT((((878-43)*MAX('Inputs'!$B$33,'Inputs'!$B$29+'Inputs'!$B$31+'Inputs'!$B$32,'Inputs'!$B$30+'Inputs'!$B$31+'Inputs'!$B$32)/1000+'Inputs'!$B$21+'Inputs'!$B$7+'Inputs'!$B$10)+'Inputs'!$B$9)^2+('Inputs'!$B$8/2)^2)-(((878-43)*MAX('Inputs'!$B$33,'Inputs'!$B$29+'Inputs'!$B$31+'Inputs'!$B$32,'Inputs'!$B$30+'Inputs'!$B$31+'Inputs'!$B$32)/1000+'Inputs'!$B$21+'Inputs'!$B$7+'Inputs'!$B$10))/SQRT((((878-43)*MAX('Inputs'!$B$33,'Inputs'!$B$29+'Inputs'!$B$31+'Inputs'!$B$32,'Inputs'!$B$30+'Inputs'!$B$31+'Inputs'!$B$32)/1000+'Inputs'!$B$21+'Inputs'!$B$7+'Inputs'!$B$10))^2+('Inputs'!$B$8/2)^2))))*'Results'!$B$8),"")</x:f>
        <x:v>0.6873313815725292</x:v>
      </x:c>
      <x:c r="K878" t="n">
        <x:f>IF(AND(ISNUMBER('Results'!B7),ISNUMBER('Results'!C7),ISNUMBER('Results'!$B$8),ISNUMBER('Inputs'!$B$6),ISNUMBER('Inputs'!$B$7),ISNUMBER('Inputs'!$B$8),ISNUMBER('Inputs'!$B$9),ISNUMBER('Inputs'!$B$10),ISNUMBER('Inputs'!$B$21),ISNUMBER('Inputs'!$B$24),ISNUMBER('Inputs'!$B$28)),((('Results'!B7*(1-'Inputs'!$B$24)*(0.5*((((878-43)*MAX('Inputs'!$B$33,'Inputs'!$B$29+'Inputs'!$B$31+'Inputs'!$B$32,'Inputs'!$B$30+'Inputs'!$B$31+'Inputs'!$B$32)/1000+'Inputs'!$B$21)+'Inputs'!$B$7)/SQRT((((878-43)*MAX('Inputs'!$B$33,'Inputs'!$B$29+'Inputs'!$B$31+'Inputs'!$B$32,'Inputs'!$B$30+'Inputs'!$B$31+'Inputs'!$B$32)/1000+'Inputs'!$B$21)+'Inputs'!$B$7)^2+('Inputs'!$B$6/2)^2)-(((878-43)*MAX('Inputs'!$B$33,'Inputs'!$B$29+'Inputs'!$B$31+'Inputs'!$B$32,'Inputs'!$B$30+'Inputs'!$B$31+'Inputs'!$B$32)/1000+'Inputs'!$B$21))/SQRT((((878-43)*MAX('Inputs'!$B$33,'Inputs'!$B$29+'Inputs'!$B$31+'Inputs'!$B$32,'Inputs'!$B$30+'Inputs'!$B$31+'Inputs'!$B$32)/1000+'Inputs'!$B$21))^2+('Inputs'!$B$6/2)^2)))-'Results'!C7*(1+'Inputs'!$B$24)*(0.5*((((878-43)*MAX('Inputs'!$B$33,'Inputs'!$B$29+'Inputs'!$B$31+'Inputs'!$B$32,'Inputs'!$B$30+'Inputs'!$B$31+'Inputs'!$B$32)/1000+'Inputs'!$B$21+'Inputs'!$B$7+'Inputs'!$B$10)+'Inputs'!$B$9)/SQRT((((878-43)*MAX('Inputs'!$B$33,'Inputs'!$B$29+'Inputs'!$B$31+'Inputs'!$B$32,'Inputs'!$B$30+'Inputs'!$B$31+'Inputs'!$B$32)/1000+'Inputs'!$B$21+'Inputs'!$B$7+'Inputs'!$B$10)+'Inputs'!$B$9)^2+('Inputs'!$B$8/2)^2)-(((878-43)*MAX('Inputs'!$B$33,'Inputs'!$B$29+'Inputs'!$B$31+'Inputs'!$B$32,'Inputs'!$B$30+'Inputs'!$B$31+'Inputs'!$B$32)/1000+'Inputs'!$B$21+'Inputs'!$B$7+'Inputs'!$B$10))/SQRT((((878-43)*MAX('Inputs'!$B$33,'Inputs'!$B$29+'Inputs'!$B$31+'Inputs'!$B$32,'Inputs'!$B$30+'Inputs'!$B$31+'Inputs'!$B$32)/1000+'Inputs'!$B$21+'Inputs'!$B$7+'Inputs'!$B$10))^2+('Inputs'!$B$8/2)^2))))*'Results'!$B$8)-'Inputs'!$B$28*ABS((('Results'!B7*(1-'Inputs'!$B$24)*(0.5*((((878-43)*MAX('Inputs'!$B$33,'Inputs'!$B$29+'Inputs'!$B$31+'Inputs'!$B$32,'Inputs'!$B$30+'Inputs'!$B$31+'Inputs'!$B$32)/1000+'Inputs'!$B$21)+'Inputs'!$B$7)/SQRT((((878-43)*MAX('Inputs'!$B$33,'Inputs'!$B$29+'Inputs'!$B$31+'Inputs'!$B$32,'Inputs'!$B$30+'Inputs'!$B$31+'Inputs'!$B$32)/1000+'Inputs'!$B$21)+'Inputs'!$B$7)^2+('Inputs'!$B$6/2)^2)-(((878-43)*MAX('Inputs'!$B$33,'Inputs'!$B$29+'Inputs'!$B$31+'Inputs'!$B$32,'Inputs'!$B$30+'Inputs'!$B$31+'Inputs'!$B$32)/1000+'Inputs'!$B$21))/SQRT((((878-43)*MAX('Inputs'!$B$33,'Inputs'!$B$29+'Inputs'!$B$31+'Inputs'!$B$32,'Inputs'!$B$30+'Inputs'!$B$31+'Inputs'!$B$32)/1000+'Inputs'!$B$21))^2+('Inputs'!$B$6/2)^2)))-'Results'!C7*(1+'Inputs'!$B$24)*(0.5*((((878-43)*MAX('Inputs'!$B$33,'Inputs'!$B$29+'Inputs'!$B$31+'Inputs'!$B$32,'Inputs'!$B$30+'Inputs'!$B$31+'Inputs'!$B$32)/1000+'Inputs'!$B$21+'Inputs'!$B$7+'Inputs'!$B$10)+'Inputs'!$B$9)/SQRT((((878-43)*MAX('Inputs'!$B$33,'Inputs'!$B$29+'Inputs'!$B$31+'Inputs'!$B$32,'Inputs'!$B$30+'Inputs'!$B$31+'Inputs'!$B$32)/1000+'Inputs'!$B$21+'Inputs'!$B$7+'Inputs'!$B$10)+'Inputs'!$B$9)^2+('Inputs'!$B$8/2)^2)-(((878-43)*MAX('Inputs'!$B$33,'Inputs'!$B$29+'Inputs'!$B$31+'Inputs'!$B$32,'Inputs'!$B$30+'Inputs'!$B$31+'Inputs'!$B$32)/1000+'Inputs'!$B$21+'Inputs'!$B$7+'Inputs'!$B$10))/SQRT((((878-43)*MAX('Inputs'!$B$33,'Inputs'!$B$29+'Inputs'!$B$31+'Inputs'!$B$32,'Inputs'!$B$30+'Inputs'!$B$31+'Inputs'!$B$32)/1000+'Inputs'!$B$21+'Inputs'!$B$7+'Inputs'!$B$10))^2+('Inputs'!$B$8/2)^2))))*'Results'!$B$8))),"")</x:f>
        <x:v>0.5860271858224216</x:v>
      </x:c>
      <x:c r="L878" t="n">
        <x:f>IF(AND(ISNUMBER('Results'!B7),ISNUMBER('Results'!C7),ISNUMBER('Results'!$B$8),ISNUMBER('Inputs'!$B$6),ISNUMBER('Inputs'!$B$7),ISNUMBER('Inputs'!$B$8),ISNUMBER('Inputs'!$B$9),ISNUMBER('Inputs'!$B$10),ISNUMBER('Inputs'!$B$21),ISNUMBER('Inputs'!$B$24),ISNUMBER('Inputs'!$B$28)),((('Results'!B7*(1+'Inputs'!$B$24)*(0.5*((((878-43)*MAX('Inputs'!$B$33,'Inputs'!$B$29+'Inputs'!$B$31+'Inputs'!$B$32,'Inputs'!$B$30+'Inputs'!$B$31+'Inputs'!$B$32)/1000+'Inputs'!$B$21)+'Inputs'!$B$7)/SQRT((((878-43)*MAX('Inputs'!$B$33,'Inputs'!$B$29+'Inputs'!$B$31+'Inputs'!$B$32,'Inputs'!$B$30+'Inputs'!$B$31+'Inputs'!$B$32)/1000+'Inputs'!$B$21)+'Inputs'!$B$7)^2+('Inputs'!$B$6/2)^2)-(((878-43)*MAX('Inputs'!$B$33,'Inputs'!$B$29+'Inputs'!$B$31+'Inputs'!$B$32,'Inputs'!$B$30+'Inputs'!$B$31+'Inputs'!$B$32)/1000+'Inputs'!$B$21))/SQRT((((878-43)*MAX('Inputs'!$B$33,'Inputs'!$B$29+'Inputs'!$B$31+'Inputs'!$B$32,'Inputs'!$B$30+'Inputs'!$B$31+'Inputs'!$B$32)/1000+'Inputs'!$B$21))^2+('Inputs'!$B$6/2)^2)))-'Results'!C7*(1-'Inputs'!$B$24)*(0.5*((((878-43)*MAX('Inputs'!$B$33,'Inputs'!$B$29+'Inputs'!$B$31+'Inputs'!$B$32,'Inputs'!$B$30+'Inputs'!$B$31+'Inputs'!$B$32)/1000+'Inputs'!$B$21+'Inputs'!$B$7+'Inputs'!$B$10)+'Inputs'!$B$9)/SQRT((((878-43)*MAX('Inputs'!$B$33,'Inputs'!$B$29+'Inputs'!$B$31+'Inputs'!$B$32,'Inputs'!$B$30+'Inputs'!$B$31+'Inputs'!$B$32)/1000+'Inputs'!$B$21+'Inputs'!$B$7+'Inputs'!$B$10)+'Inputs'!$B$9)^2+('Inputs'!$B$8/2)^2)-(((878-43)*MAX('Inputs'!$B$33,'Inputs'!$B$29+'Inputs'!$B$31+'Inputs'!$B$32,'Inputs'!$B$30+'Inputs'!$B$31+'Inputs'!$B$32)/1000+'Inputs'!$B$21+'Inputs'!$B$7+'Inputs'!$B$10))/SQRT((((878-43)*MAX('Inputs'!$B$33,'Inputs'!$B$29+'Inputs'!$B$31+'Inputs'!$B$32,'Inputs'!$B$30+'Inputs'!$B$31+'Inputs'!$B$32)/1000+'Inputs'!$B$21+'Inputs'!$B$7+'Inputs'!$B$10))^2+('Inputs'!$B$8/2)^2))))*'Results'!$B$8)+'Inputs'!$B$28*ABS((('Results'!B7*(1+'Inputs'!$B$24)*(0.5*((((878-43)*MAX('Inputs'!$B$33,'Inputs'!$B$29+'Inputs'!$B$31+'Inputs'!$B$32,'Inputs'!$B$30+'Inputs'!$B$31+'Inputs'!$B$32)/1000+'Inputs'!$B$21)+'Inputs'!$B$7)/SQRT((((878-43)*MAX('Inputs'!$B$33,'Inputs'!$B$29+'Inputs'!$B$31+'Inputs'!$B$32,'Inputs'!$B$30+'Inputs'!$B$31+'Inputs'!$B$32)/1000+'Inputs'!$B$21)+'Inputs'!$B$7)^2+('Inputs'!$B$6/2)^2)-(((878-43)*MAX('Inputs'!$B$33,'Inputs'!$B$29+'Inputs'!$B$31+'Inputs'!$B$32,'Inputs'!$B$30+'Inputs'!$B$31+'Inputs'!$B$32)/1000+'Inputs'!$B$21))/SQRT((((878-43)*MAX('Inputs'!$B$33,'Inputs'!$B$29+'Inputs'!$B$31+'Inputs'!$B$32,'Inputs'!$B$30+'Inputs'!$B$31+'Inputs'!$B$32)/1000+'Inputs'!$B$21))^2+('Inputs'!$B$6/2)^2)))-'Results'!C7*(1-'Inputs'!$B$24)*(0.5*((((878-43)*MAX('Inputs'!$B$33,'Inputs'!$B$29+'Inputs'!$B$31+'Inputs'!$B$32,'Inputs'!$B$30+'Inputs'!$B$31+'Inputs'!$B$32)/1000+'Inputs'!$B$21+'Inputs'!$B$7+'Inputs'!$B$10)+'Inputs'!$B$9)/SQRT((((878-43)*MAX('Inputs'!$B$33,'Inputs'!$B$29+'Inputs'!$B$31+'Inputs'!$B$32,'Inputs'!$B$30+'Inputs'!$B$31+'Inputs'!$B$32)/1000+'Inputs'!$B$21+'Inputs'!$B$7+'Inputs'!$B$10)+'Inputs'!$B$9)^2+('Inputs'!$B$8/2)^2)-(((878-43)*MAX('Inputs'!$B$33,'Inputs'!$B$29+'Inputs'!$B$31+'Inputs'!$B$32,'Inputs'!$B$30+'Inputs'!$B$31+'Inputs'!$B$32)/1000+'Inputs'!$B$21+'Inputs'!$B$7+'Inputs'!$B$10))/SQRT((((878-43)*MAX('Inputs'!$B$33,'Inputs'!$B$29+'Inputs'!$B$31+'Inputs'!$B$32,'Inputs'!$B$30+'Inputs'!$B$31+'Inputs'!$B$32)/1000+'Inputs'!$B$21+'Inputs'!$B$7+'Inputs'!$B$10))^2+('Inputs'!$B$8/2)^2))))*'Results'!$B$8))),"")</x:f>
        <x:v>0.795681643288056</x:v>
      </x:c>
      <x:c r="M878" t="n">
        <x:f>IF(AND(ISNUMBER('Results'!C7),ISNUMBER('Results'!B7),ISNUMBER('Results'!$B$8),ISNUMBER('Inputs'!$B$6),ISNUMBER('Inputs'!$B$7),ISNUMBER('Inputs'!$B$8),ISNUMBER('Inputs'!$B$9),ISNUMBER('Inputs'!$B$10),ISNUMBER('Inputs'!$B$21),ISNUMBER('Inputs'!$B$24),ISNUMBER('Inputs'!$B$28)),(('Results'!C7*(0.5*((((878-43)*MAX('Inputs'!$B$33,'Inputs'!$B$29+'Inputs'!$B$31+'Inputs'!$B$32,'Inputs'!$B$30+'Inputs'!$B$31+'Inputs'!$B$32)/1000+'Inputs'!$B$21)+'Inputs'!$B$9)/SQRT((((878-43)*MAX('Inputs'!$B$33,'Inputs'!$B$29+'Inputs'!$B$31+'Inputs'!$B$32,'Inputs'!$B$30+'Inputs'!$B$31+'Inputs'!$B$32)/1000+'Inputs'!$B$21)+'Inputs'!$B$9)^2+('Inputs'!$B$8/2)^2)-(((878-43)*MAX('Inputs'!$B$33,'Inputs'!$B$29+'Inputs'!$B$31+'Inputs'!$B$32,'Inputs'!$B$30+'Inputs'!$B$31+'Inputs'!$B$32)/1000+'Inputs'!$B$21))/SQRT((((878-43)*MAX('Inputs'!$B$33,'Inputs'!$B$29+'Inputs'!$B$31+'Inputs'!$B$32,'Inputs'!$B$30+'Inputs'!$B$31+'Inputs'!$B$32)/1000+'Inputs'!$B$21))^2+('Inputs'!$B$8/2)^2)))-'Results'!B7*(0.5*((((878-43)*MAX('Inputs'!$B$33,'Inputs'!$B$29+'Inputs'!$B$31+'Inputs'!$B$32,'Inputs'!$B$30+'Inputs'!$B$31+'Inputs'!$B$32)/1000+'Inputs'!$B$21+'Inputs'!$B$9+'Inputs'!$B$10)+'Inputs'!$B$7)/SQRT((((878-43)*MAX('Inputs'!$B$33,'Inputs'!$B$29+'Inputs'!$B$31+'Inputs'!$B$32,'Inputs'!$B$30+'Inputs'!$B$31+'Inputs'!$B$32)/1000+'Inputs'!$B$21+'Inputs'!$B$9+'Inputs'!$B$10)+'Inputs'!$B$7)^2+('Inputs'!$B$6/2)^2)-(((878-43)*MAX('Inputs'!$B$33,'Inputs'!$B$29+'Inputs'!$B$31+'Inputs'!$B$32,'Inputs'!$B$30+'Inputs'!$B$31+'Inputs'!$B$32)/1000+'Inputs'!$B$21+'Inputs'!$B$9+'Inputs'!$B$10))/SQRT((((878-43)*MAX('Inputs'!$B$33,'Inputs'!$B$29+'Inputs'!$B$31+'Inputs'!$B$32,'Inputs'!$B$30+'Inputs'!$B$31+'Inputs'!$B$32)/1000+'Inputs'!$B$21+'Inputs'!$B$9+'Inputs'!$B$10))^2+('Inputs'!$B$6/2)^2))))*'Results'!$B$8),"")</x:f>
        <x:v>0.6162920073058619</x:v>
      </x:c>
      <x:c r="N878" t="n">
        <x:f>IF(AND(ISNUMBER('Results'!C7),ISNUMBER('Results'!B7),ISNUMBER('Results'!$B$8),ISNUMBER('Inputs'!$B$6),ISNUMBER('Inputs'!$B$7),ISNUMBER('Inputs'!$B$8),ISNUMBER('Inputs'!$B$9),ISNUMBER('Inputs'!$B$10),ISNUMBER('Inputs'!$B$21),ISNUMBER('Inputs'!$B$24),ISNUMBER('Inputs'!$B$28)),((('Results'!C7*(1-'Inputs'!$B$24)*(0.5*((((878-43)*MAX('Inputs'!$B$33,'Inputs'!$B$29+'Inputs'!$B$31+'Inputs'!$B$32,'Inputs'!$B$30+'Inputs'!$B$31+'Inputs'!$B$32)/1000+'Inputs'!$B$21)+'Inputs'!$B$9)/SQRT((((878-43)*MAX('Inputs'!$B$33,'Inputs'!$B$29+'Inputs'!$B$31+'Inputs'!$B$32,'Inputs'!$B$30+'Inputs'!$B$31+'Inputs'!$B$32)/1000+'Inputs'!$B$21)+'Inputs'!$B$9)^2+('Inputs'!$B$8/2)^2)-(((878-43)*MAX('Inputs'!$B$33,'Inputs'!$B$29+'Inputs'!$B$31+'Inputs'!$B$32,'Inputs'!$B$30+'Inputs'!$B$31+'Inputs'!$B$32)/1000+'Inputs'!$B$21))/SQRT((((878-43)*MAX('Inputs'!$B$33,'Inputs'!$B$29+'Inputs'!$B$31+'Inputs'!$B$32,'Inputs'!$B$30+'Inputs'!$B$31+'Inputs'!$B$32)/1000+'Inputs'!$B$21))^2+('Inputs'!$B$8/2)^2)))-'Results'!B7*(1+'Inputs'!$B$24)*(0.5*((((878-43)*MAX('Inputs'!$B$33,'Inputs'!$B$29+'Inputs'!$B$31+'Inputs'!$B$32,'Inputs'!$B$30+'Inputs'!$B$31+'Inputs'!$B$32)/1000+'Inputs'!$B$21+'Inputs'!$B$9+'Inputs'!$B$10)+'Inputs'!$B$7)/SQRT((((878-43)*MAX('Inputs'!$B$33,'Inputs'!$B$29+'Inputs'!$B$31+'Inputs'!$B$32,'Inputs'!$B$30+'Inputs'!$B$31+'Inputs'!$B$32)/1000+'Inputs'!$B$21+'Inputs'!$B$9+'Inputs'!$B$10)+'Inputs'!$B$7)^2+('Inputs'!$B$6/2)^2)-(((878-43)*MAX('Inputs'!$B$33,'Inputs'!$B$29+'Inputs'!$B$31+'Inputs'!$B$32,'Inputs'!$B$30+'Inputs'!$B$31+'Inputs'!$B$32)/1000+'Inputs'!$B$21+'Inputs'!$B$9+'Inputs'!$B$10))/SQRT((((878-43)*MAX('Inputs'!$B$33,'Inputs'!$B$29+'Inputs'!$B$31+'Inputs'!$B$32,'Inputs'!$B$30+'Inputs'!$B$31+'Inputs'!$B$32)/1000+'Inputs'!$B$21+'Inputs'!$B$9+'Inputs'!$B$10))^2+('Inputs'!$B$6/2)^2))))*'Results'!$B$8)-'Inputs'!$B$28*ABS((('Results'!C7*(1-'Inputs'!$B$24)*(0.5*((((878-43)*MAX('Inputs'!$B$33,'Inputs'!$B$29+'Inputs'!$B$31+'Inputs'!$B$32,'Inputs'!$B$30+'Inputs'!$B$31+'Inputs'!$B$32)/1000+'Inputs'!$B$21)+'Inputs'!$B$9)/SQRT((((878-43)*MAX('Inputs'!$B$33,'Inputs'!$B$29+'Inputs'!$B$31+'Inputs'!$B$32,'Inputs'!$B$30+'Inputs'!$B$31+'Inputs'!$B$32)/1000+'Inputs'!$B$21)+'Inputs'!$B$9)^2+('Inputs'!$B$8/2)^2)-(((878-43)*MAX('Inputs'!$B$33,'Inputs'!$B$29+'Inputs'!$B$31+'Inputs'!$B$32,'Inputs'!$B$30+'Inputs'!$B$31+'Inputs'!$B$32)/1000+'Inputs'!$B$21))/SQRT((((878-43)*MAX('Inputs'!$B$33,'Inputs'!$B$29+'Inputs'!$B$31+'Inputs'!$B$32,'Inputs'!$B$30+'Inputs'!$B$31+'Inputs'!$B$32)/1000+'Inputs'!$B$21))^2+('Inputs'!$B$8/2)^2)))-'Results'!B7*(1+'Inputs'!$B$24)*(0.5*((((878-43)*MAX('Inputs'!$B$33,'Inputs'!$B$29+'Inputs'!$B$31+'Inputs'!$B$32,'Inputs'!$B$30+'Inputs'!$B$31+'Inputs'!$B$32)/1000+'Inputs'!$B$21+'Inputs'!$B$9+'Inputs'!$B$10)+'Inputs'!$B$7)/SQRT((((878-43)*MAX('Inputs'!$B$33,'Inputs'!$B$29+'Inputs'!$B$31+'Inputs'!$B$32,'Inputs'!$B$30+'Inputs'!$B$31+'Inputs'!$B$32)/1000+'Inputs'!$B$21+'Inputs'!$B$9+'Inputs'!$B$10)+'Inputs'!$B$7)^2+('Inputs'!$B$6/2)^2)-(((878-43)*MAX('Inputs'!$B$33,'Inputs'!$B$29+'Inputs'!$B$31+'Inputs'!$B$32,'Inputs'!$B$30+'Inputs'!$B$31+'Inputs'!$B$32)/1000+'Inputs'!$B$21+'Inputs'!$B$9+'Inputs'!$B$10))/SQRT((((878-43)*MAX('Inputs'!$B$33,'Inputs'!$B$29+'Inputs'!$B$31+'Inputs'!$B$32,'Inputs'!$B$30+'Inputs'!$B$31+'Inputs'!$B$32)/1000+'Inputs'!$B$21+'Inputs'!$B$9+'Inputs'!$B$10))^2+('Inputs'!$B$6/2)^2))))*'Results'!$B$8))),"")</x:f>
        <x:v>0.518789970616448</x:v>
      </x:c>
      <x:c r="O878" t="n">
        <x:f>IF(AND(ISNUMBER('Results'!C7),ISNUMBER('Results'!B7),ISNUMBER('Results'!$B$8),ISNUMBER('Inputs'!$B$6),ISNUMBER('Inputs'!$B$7),ISNUMBER('Inputs'!$B$8),ISNUMBER('Inputs'!$B$9),ISNUMBER('Inputs'!$B$10),ISNUMBER('Inputs'!$B$21),ISNUMBER('Inputs'!$B$24),ISNUMBER('Inputs'!$B$28)),((('Results'!C7*(1+'Inputs'!$B$24)*(0.5*((((878-43)*MAX('Inputs'!$B$33,'Inputs'!$B$29+'Inputs'!$B$31+'Inputs'!$B$32,'Inputs'!$B$30+'Inputs'!$B$31+'Inputs'!$B$32)/1000+'Inputs'!$B$21)+'Inputs'!$B$9)/SQRT((((878-43)*MAX('Inputs'!$B$33,'Inputs'!$B$29+'Inputs'!$B$31+'Inputs'!$B$32,'Inputs'!$B$30+'Inputs'!$B$31+'Inputs'!$B$32)/1000+'Inputs'!$B$21)+'Inputs'!$B$9)^2+('Inputs'!$B$8/2)^2)-(((878-43)*MAX('Inputs'!$B$33,'Inputs'!$B$29+'Inputs'!$B$31+'Inputs'!$B$32,'Inputs'!$B$30+'Inputs'!$B$31+'Inputs'!$B$32)/1000+'Inputs'!$B$21))/SQRT((((878-43)*MAX('Inputs'!$B$33,'Inputs'!$B$29+'Inputs'!$B$31+'Inputs'!$B$32,'Inputs'!$B$30+'Inputs'!$B$31+'Inputs'!$B$32)/1000+'Inputs'!$B$21))^2+('Inputs'!$B$8/2)^2)))-'Results'!B7*(1-'Inputs'!$B$24)*(0.5*((((878-43)*MAX('Inputs'!$B$33,'Inputs'!$B$29+'Inputs'!$B$31+'Inputs'!$B$32,'Inputs'!$B$30+'Inputs'!$B$31+'Inputs'!$B$32)/1000+'Inputs'!$B$21+'Inputs'!$B$9+'Inputs'!$B$10)+'Inputs'!$B$7)/SQRT((((878-43)*MAX('Inputs'!$B$33,'Inputs'!$B$29+'Inputs'!$B$31+'Inputs'!$B$32,'Inputs'!$B$30+'Inputs'!$B$31+'Inputs'!$B$32)/1000+'Inputs'!$B$21+'Inputs'!$B$9+'Inputs'!$B$10)+'Inputs'!$B$7)^2+('Inputs'!$B$6/2)^2)-(((878-43)*MAX('Inputs'!$B$33,'Inputs'!$B$29+'Inputs'!$B$31+'Inputs'!$B$32,'Inputs'!$B$30+'Inputs'!$B$31+'Inputs'!$B$32)/1000+'Inputs'!$B$21+'Inputs'!$B$9+'Inputs'!$B$10))/SQRT((((878-43)*MAX('Inputs'!$B$33,'Inputs'!$B$29+'Inputs'!$B$31+'Inputs'!$B$32,'Inputs'!$B$30+'Inputs'!$B$31+'Inputs'!$B$32)/1000+'Inputs'!$B$21+'Inputs'!$B$9+'Inputs'!$B$10))^2+('Inputs'!$B$6/2)^2))))*'Results'!$B$8)+'Inputs'!$B$28*ABS((('Results'!C7*(1+'Inputs'!$B$24)*(0.5*((((878-43)*MAX('Inputs'!$B$33,'Inputs'!$B$29+'Inputs'!$B$31+'Inputs'!$B$32,'Inputs'!$B$30+'Inputs'!$B$31+'Inputs'!$B$32)/1000+'Inputs'!$B$21)+'Inputs'!$B$9)/SQRT((((878-43)*MAX('Inputs'!$B$33,'Inputs'!$B$29+'Inputs'!$B$31+'Inputs'!$B$32,'Inputs'!$B$30+'Inputs'!$B$31+'Inputs'!$B$32)/1000+'Inputs'!$B$21)+'Inputs'!$B$9)^2+('Inputs'!$B$8/2)^2)-(((878-43)*MAX('Inputs'!$B$33,'Inputs'!$B$29+'Inputs'!$B$31+'Inputs'!$B$32,'Inputs'!$B$30+'Inputs'!$B$31+'Inputs'!$B$32)/1000+'Inputs'!$B$21))/SQRT((((878-43)*MAX('Inputs'!$B$33,'Inputs'!$B$29+'Inputs'!$B$31+'Inputs'!$B$32,'Inputs'!$B$30+'Inputs'!$B$31+'Inputs'!$B$32)/1000+'Inputs'!$B$21))^2+('Inputs'!$B$8/2)^2)))-'Results'!B7*(1-'Inputs'!$B$24)*(0.5*((((878-43)*MAX('Inputs'!$B$33,'Inputs'!$B$29+'Inputs'!$B$31+'Inputs'!$B$32,'Inputs'!$B$30+'Inputs'!$B$31+'Inputs'!$B$32)/1000+'Inputs'!$B$21+'Inputs'!$B$9+'Inputs'!$B$10)+'Inputs'!$B$7)/SQRT((((878-43)*MAX('Inputs'!$B$33,'Inputs'!$B$29+'Inputs'!$B$31+'Inputs'!$B$32,'Inputs'!$B$30+'Inputs'!$B$31+'Inputs'!$B$32)/1000+'Inputs'!$B$21+'Inputs'!$B$9+'Inputs'!$B$10)+'Inputs'!$B$7)^2+('Inputs'!$B$6/2)^2)-(((878-43)*MAX('Inputs'!$B$33,'Inputs'!$B$29+'Inputs'!$B$31+'Inputs'!$B$32,'Inputs'!$B$30+'Inputs'!$B$31+'Inputs'!$B$32)/1000+'Inputs'!$B$21+'Inputs'!$B$9+'Inputs'!$B$10))/SQRT((((878-43)*MAX('Inputs'!$B$33,'Inputs'!$B$29+'Inputs'!$B$31+'Inputs'!$B$32,'Inputs'!$B$30+'Inputs'!$B$31+'Inputs'!$B$32)/1000+'Inputs'!$B$21+'Inputs'!$B$9+'Inputs'!$B$10))^2+('Inputs'!$B$6/2)^2))))*'Results'!$B$8))),"")</x:f>
        <x:v>0.7208137741346567</x:v>
      </x:c>
      <x:c r="P878" t="n">
        <x:f>IF(AND(MAX(J878,J877)&gt;0,J878&gt;J877+0.00000001),1,0)</x:f>
        <x:v>0</x:v>
      </x:c>
      <x:c r="Q878" t="n">
        <x:f>IF(AND(MAX(K878,K877)&gt;0,K878&gt;K877+0.00000001),1,0)</x:f>
        <x:v>0</x:v>
      </x:c>
      <x:c r="R878" t="n">
        <x:f>IF(AND(MAX(L878,L877)&gt;0,L878&gt;L877+0.00000001),1,0)</x:f>
        <x:v>0</x:v>
      </x:c>
      <x:c r="S878" t="n">
        <x:f>IF(AND(MAX(M878,M877)&gt;0,M878&gt;M877+0.00000001),1,0)</x:f>
        <x:v>0</x:v>
      </x:c>
      <x:c r="T878" t="n">
        <x:f>IF(AND(MAX(N878,N877)&gt;0,N878&gt;N877+0.00000001),1,0)</x:f>
        <x:v>0</x:v>
      </x:c>
      <x:c r="U878" t="n">
        <x:f>IF(AND(MAX(O878,O877)&gt;0,O878&gt;O877+0.00000001),1,0)</x:f>
        <x:v>0</x:v>
      </x:c>
    </x:row>
    <x:row r="879">
      <x:c r="J879" t="n">
        <x:f>IF(AND(ISNUMBER('Results'!B7),ISNUMBER('Results'!C7),ISNUMBER('Results'!$B$8),ISNUMBER('Inputs'!$B$6),ISNUMBER('Inputs'!$B$7),ISNUMBER('Inputs'!$B$8),ISNUMBER('Inputs'!$B$9),ISNUMBER('Inputs'!$B$10),ISNUMBER('Inputs'!$B$21),ISNUMBER('Inputs'!$B$24),ISNUMBER('Inputs'!$B$28)),(('Results'!B7*(0.5*((((879-43)*MAX('Inputs'!$B$33,'Inputs'!$B$29+'Inputs'!$B$31+'Inputs'!$B$32,'Inputs'!$B$30+'Inputs'!$B$31+'Inputs'!$B$32)/1000+'Inputs'!$B$21)+'Inputs'!$B$7)/SQRT((((879-43)*MAX('Inputs'!$B$33,'Inputs'!$B$29+'Inputs'!$B$31+'Inputs'!$B$32,'Inputs'!$B$30+'Inputs'!$B$31+'Inputs'!$B$32)/1000+'Inputs'!$B$21)+'Inputs'!$B$7)^2+('Inputs'!$B$6/2)^2)-(((879-43)*MAX('Inputs'!$B$33,'Inputs'!$B$29+'Inputs'!$B$31+'Inputs'!$B$32,'Inputs'!$B$30+'Inputs'!$B$31+'Inputs'!$B$32)/1000+'Inputs'!$B$21))/SQRT((((879-43)*MAX('Inputs'!$B$33,'Inputs'!$B$29+'Inputs'!$B$31+'Inputs'!$B$32,'Inputs'!$B$30+'Inputs'!$B$31+'Inputs'!$B$32)/1000+'Inputs'!$B$21))^2+('Inputs'!$B$6/2)^2)))-'Results'!C7*(0.5*((((879-43)*MAX('Inputs'!$B$33,'Inputs'!$B$29+'Inputs'!$B$31+'Inputs'!$B$32,'Inputs'!$B$30+'Inputs'!$B$31+'Inputs'!$B$32)/1000+'Inputs'!$B$21+'Inputs'!$B$7+'Inputs'!$B$10)+'Inputs'!$B$9)/SQRT((((879-43)*MAX('Inputs'!$B$33,'Inputs'!$B$29+'Inputs'!$B$31+'Inputs'!$B$32,'Inputs'!$B$30+'Inputs'!$B$31+'Inputs'!$B$32)/1000+'Inputs'!$B$21+'Inputs'!$B$7+'Inputs'!$B$10)+'Inputs'!$B$9)^2+('Inputs'!$B$8/2)^2)-(((879-43)*MAX('Inputs'!$B$33,'Inputs'!$B$29+'Inputs'!$B$31+'Inputs'!$B$32,'Inputs'!$B$30+'Inputs'!$B$31+'Inputs'!$B$32)/1000+'Inputs'!$B$21+'Inputs'!$B$7+'Inputs'!$B$10))/SQRT((((879-43)*MAX('Inputs'!$B$33,'Inputs'!$B$29+'Inputs'!$B$31+'Inputs'!$B$32,'Inputs'!$B$30+'Inputs'!$B$31+'Inputs'!$B$32)/1000+'Inputs'!$B$21+'Inputs'!$B$7+'Inputs'!$B$10))^2+('Inputs'!$B$8/2)^2))))*'Results'!$B$8),"")</x:f>
        <x:v>0.6843699022178191</x:v>
      </x:c>
      <x:c r="K879" t="n">
        <x:f>IF(AND(ISNUMBER('Results'!B7),ISNUMBER('Results'!C7),ISNUMBER('Results'!$B$8),ISNUMBER('Inputs'!$B$6),ISNUMBER('Inputs'!$B$7),ISNUMBER('Inputs'!$B$8),ISNUMBER('Inputs'!$B$9),ISNUMBER('Inputs'!$B$10),ISNUMBER('Inputs'!$B$21),ISNUMBER('Inputs'!$B$24),ISNUMBER('Inputs'!$B$28)),((('Results'!B7*(1-'Inputs'!$B$24)*(0.5*((((879-43)*MAX('Inputs'!$B$33,'Inputs'!$B$29+'Inputs'!$B$31+'Inputs'!$B$32,'Inputs'!$B$30+'Inputs'!$B$31+'Inputs'!$B$32)/1000+'Inputs'!$B$21)+'Inputs'!$B$7)/SQRT((((879-43)*MAX('Inputs'!$B$33,'Inputs'!$B$29+'Inputs'!$B$31+'Inputs'!$B$32,'Inputs'!$B$30+'Inputs'!$B$31+'Inputs'!$B$32)/1000+'Inputs'!$B$21)+'Inputs'!$B$7)^2+('Inputs'!$B$6/2)^2)-(((879-43)*MAX('Inputs'!$B$33,'Inputs'!$B$29+'Inputs'!$B$31+'Inputs'!$B$32,'Inputs'!$B$30+'Inputs'!$B$31+'Inputs'!$B$32)/1000+'Inputs'!$B$21))/SQRT((((879-43)*MAX('Inputs'!$B$33,'Inputs'!$B$29+'Inputs'!$B$31+'Inputs'!$B$32,'Inputs'!$B$30+'Inputs'!$B$31+'Inputs'!$B$32)/1000+'Inputs'!$B$21))^2+('Inputs'!$B$6/2)^2)))-'Results'!C7*(1+'Inputs'!$B$24)*(0.5*((((879-43)*MAX('Inputs'!$B$33,'Inputs'!$B$29+'Inputs'!$B$31+'Inputs'!$B$32,'Inputs'!$B$30+'Inputs'!$B$31+'Inputs'!$B$32)/1000+'Inputs'!$B$21+'Inputs'!$B$7+'Inputs'!$B$10)+'Inputs'!$B$9)/SQRT((((879-43)*MAX('Inputs'!$B$33,'Inputs'!$B$29+'Inputs'!$B$31+'Inputs'!$B$32,'Inputs'!$B$30+'Inputs'!$B$31+'Inputs'!$B$32)/1000+'Inputs'!$B$21+'Inputs'!$B$7+'Inputs'!$B$10)+'Inputs'!$B$9)^2+('Inputs'!$B$8/2)^2)-(((879-43)*MAX('Inputs'!$B$33,'Inputs'!$B$29+'Inputs'!$B$31+'Inputs'!$B$32,'Inputs'!$B$30+'Inputs'!$B$31+'Inputs'!$B$32)/1000+'Inputs'!$B$21+'Inputs'!$B$7+'Inputs'!$B$10))/SQRT((((879-43)*MAX('Inputs'!$B$33,'Inputs'!$B$29+'Inputs'!$B$31+'Inputs'!$B$32,'Inputs'!$B$30+'Inputs'!$B$31+'Inputs'!$B$32)/1000+'Inputs'!$B$21+'Inputs'!$B$7+'Inputs'!$B$10))^2+('Inputs'!$B$8/2)^2))))*'Results'!$B$8)-'Inputs'!$B$28*ABS((('Results'!B7*(1-'Inputs'!$B$24)*(0.5*((((879-43)*MAX('Inputs'!$B$33,'Inputs'!$B$29+'Inputs'!$B$31+'Inputs'!$B$32,'Inputs'!$B$30+'Inputs'!$B$31+'Inputs'!$B$32)/1000+'Inputs'!$B$21)+'Inputs'!$B$7)/SQRT((((879-43)*MAX('Inputs'!$B$33,'Inputs'!$B$29+'Inputs'!$B$31+'Inputs'!$B$32,'Inputs'!$B$30+'Inputs'!$B$31+'Inputs'!$B$32)/1000+'Inputs'!$B$21)+'Inputs'!$B$7)^2+('Inputs'!$B$6/2)^2)-(((879-43)*MAX('Inputs'!$B$33,'Inputs'!$B$29+'Inputs'!$B$31+'Inputs'!$B$32,'Inputs'!$B$30+'Inputs'!$B$31+'Inputs'!$B$32)/1000+'Inputs'!$B$21))/SQRT((((879-43)*MAX('Inputs'!$B$33,'Inputs'!$B$29+'Inputs'!$B$31+'Inputs'!$B$32,'Inputs'!$B$30+'Inputs'!$B$31+'Inputs'!$B$32)/1000+'Inputs'!$B$21))^2+('Inputs'!$B$6/2)^2)))-'Results'!C7*(1+'Inputs'!$B$24)*(0.5*((((879-43)*MAX('Inputs'!$B$33,'Inputs'!$B$29+'Inputs'!$B$31+'Inputs'!$B$32,'Inputs'!$B$30+'Inputs'!$B$31+'Inputs'!$B$32)/1000+'Inputs'!$B$21+'Inputs'!$B$7+'Inputs'!$B$10)+'Inputs'!$B$9)/SQRT((((879-43)*MAX('Inputs'!$B$33,'Inputs'!$B$29+'Inputs'!$B$31+'Inputs'!$B$32,'Inputs'!$B$30+'Inputs'!$B$31+'Inputs'!$B$32)/1000+'Inputs'!$B$21+'Inputs'!$B$7+'Inputs'!$B$10)+'Inputs'!$B$9)^2+('Inputs'!$B$8/2)^2)-(((879-43)*MAX('Inputs'!$B$33,'Inputs'!$B$29+'Inputs'!$B$31+'Inputs'!$B$32,'Inputs'!$B$30+'Inputs'!$B$31+'Inputs'!$B$32)/1000+'Inputs'!$B$21+'Inputs'!$B$7+'Inputs'!$B$10))/SQRT((((879-43)*MAX('Inputs'!$B$33,'Inputs'!$B$29+'Inputs'!$B$31+'Inputs'!$B$32,'Inputs'!$B$30+'Inputs'!$B$31+'Inputs'!$B$32)/1000+'Inputs'!$B$21+'Inputs'!$B$7+'Inputs'!$B$10))^2+('Inputs'!$B$8/2)^2))))*'Results'!$B$8))),"")</x:f>
        <x:v>0.583435404913046</x:v>
      </x:c>
      <x:c r="L879" t="n">
        <x:f>IF(AND(ISNUMBER('Results'!B7),ISNUMBER('Results'!C7),ISNUMBER('Results'!$B$8),ISNUMBER('Inputs'!$B$6),ISNUMBER('Inputs'!$B$7),ISNUMBER('Inputs'!$B$8),ISNUMBER('Inputs'!$B$9),ISNUMBER('Inputs'!$B$10),ISNUMBER('Inputs'!$B$21),ISNUMBER('Inputs'!$B$24),ISNUMBER('Inputs'!$B$28)),((('Results'!B7*(1+'Inputs'!$B$24)*(0.5*((((879-43)*MAX('Inputs'!$B$33,'Inputs'!$B$29+'Inputs'!$B$31+'Inputs'!$B$32,'Inputs'!$B$30+'Inputs'!$B$31+'Inputs'!$B$32)/1000+'Inputs'!$B$21)+'Inputs'!$B$7)/SQRT((((879-43)*MAX('Inputs'!$B$33,'Inputs'!$B$29+'Inputs'!$B$31+'Inputs'!$B$32,'Inputs'!$B$30+'Inputs'!$B$31+'Inputs'!$B$32)/1000+'Inputs'!$B$21)+'Inputs'!$B$7)^2+('Inputs'!$B$6/2)^2)-(((879-43)*MAX('Inputs'!$B$33,'Inputs'!$B$29+'Inputs'!$B$31+'Inputs'!$B$32,'Inputs'!$B$30+'Inputs'!$B$31+'Inputs'!$B$32)/1000+'Inputs'!$B$21))/SQRT((((879-43)*MAX('Inputs'!$B$33,'Inputs'!$B$29+'Inputs'!$B$31+'Inputs'!$B$32,'Inputs'!$B$30+'Inputs'!$B$31+'Inputs'!$B$32)/1000+'Inputs'!$B$21))^2+('Inputs'!$B$6/2)^2)))-'Results'!C7*(1-'Inputs'!$B$24)*(0.5*((((879-43)*MAX('Inputs'!$B$33,'Inputs'!$B$29+'Inputs'!$B$31+'Inputs'!$B$32,'Inputs'!$B$30+'Inputs'!$B$31+'Inputs'!$B$32)/1000+'Inputs'!$B$21+'Inputs'!$B$7+'Inputs'!$B$10)+'Inputs'!$B$9)/SQRT((((879-43)*MAX('Inputs'!$B$33,'Inputs'!$B$29+'Inputs'!$B$31+'Inputs'!$B$32,'Inputs'!$B$30+'Inputs'!$B$31+'Inputs'!$B$32)/1000+'Inputs'!$B$21+'Inputs'!$B$7+'Inputs'!$B$10)+'Inputs'!$B$9)^2+('Inputs'!$B$8/2)^2)-(((879-43)*MAX('Inputs'!$B$33,'Inputs'!$B$29+'Inputs'!$B$31+'Inputs'!$B$32,'Inputs'!$B$30+'Inputs'!$B$31+'Inputs'!$B$32)/1000+'Inputs'!$B$21+'Inputs'!$B$7+'Inputs'!$B$10))/SQRT((((879-43)*MAX('Inputs'!$B$33,'Inputs'!$B$29+'Inputs'!$B$31+'Inputs'!$B$32,'Inputs'!$B$30+'Inputs'!$B$31+'Inputs'!$B$32)/1000+'Inputs'!$B$21+'Inputs'!$B$7+'Inputs'!$B$10))^2+('Inputs'!$B$8/2)^2))))*'Results'!$B$8)+'Inputs'!$B$28*ABS((('Results'!B7*(1+'Inputs'!$B$24)*(0.5*((((879-43)*MAX('Inputs'!$B$33,'Inputs'!$B$29+'Inputs'!$B$31+'Inputs'!$B$32,'Inputs'!$B$30+'Inputs'!$B$31+'Inputs'!$B$32)/1000+'Inputs'!$B$21)+'Inputs'!$B$7)/SQRT((((879-43)*MAX('Inputs'!$B$33,'Inputs'!$B$29+'Inputs'!$B$31+'Inputs'!$B$32,'Inputs'!$B$30+'Inputs'!$B$31+'Inputs'!$B$32)/1000+'Inputs'!$B$21)+'Inputs'!$B$7)^2+('Inputs'!$B$6/2)^2)-(((879-43)*MAX('Inputs'!$B$33,'Inputs'!$B$29+'Inputs'!$B$31+'Inputs'!$B$32,'Inputs'!$B$30+'Inputs'!$B$31+'Inputs'!$B$32)/1000+'Inputs'!$B$21))/SQRT((((879-43)*MAX('Inputs'!$B$33,'Inputs'!$B$29+'Inputs'!$B$31+'Inputs'!$B$32,'Inputs'!$B$30+'Inputs'!$B$31+'Inputs'!$B$32)/1000+'Inputs'!$B$21))^2+('Inputs'!$B$6/2)^2)))-'Results'!C7*(1-'Inputs'!$B$24)*(0.5*((((879-43)*MAX('Inputs'!$B$33,'Inputs'!$B$29+'Inputs'!$B$31+'Inputs'!$B$32,'Inputs'!$B$30+'Inputs'!$B$31+'Inputs'!$B$32)/1000+'Inputs'!$B$21+'Inputs'!$B$7+'Inputs'!$B$10)+'Inputs'!$B$9)/SQRT((((879-43)*MAX('Inputs'!$B$33,'Inputs'!$B$29+'Inputs'!$B$31+'Inputs'!$B$32,'Inputs'!$B$30+'Inputs'!$B$31+'Inputs'!$B$32)/1000+'Inputs'!$B$21+'Inputs'!$B$7+'Inputs'!$B$10)+'Inputs'!$B$9)^2+('Inputs'!$B$8/2)^2)-(((879-43)*MAX('Inputs'!$B$33,'Inputs'!$B$29+'Inputs'!$B$31+'Inputs'!$B$32,'Inputs'!$B$30+'Inputs'!$B$31+'Inputs'!$B$32)/1000+'Inputs'!$B$21+'Inputs'!$B$7+'Inputs'!$B$10))/SQRT((((879-43)*MAX('Inputs'!$B$33,'Inputs'!$B$29+'Inputs'!$B$31+'Inputs'!$B$32,'Inputs'!$B$30+'Inputs'!$B$31+'Inputs'!$B$32)/1000+'Inputs'!$B$21+'Inputs'!$B$7+'Inputs'!$B$10))^2+('Inputs'!$B$8/2)^2))))*'Results'!$B$8))),"")</x:f>
        <x:v>0.7923271365956328</x:v>
      </x:c>
      <x:c r="M879" t="n">
        <x:f>IF(AND(ISNUMBER('Results'!C7),ISNUMBER('Results'!B7),ISNUMBER('Results'!$B$8),ISNUMBER('Inputs'!$B$6),ISNUMBER('Inputs'!$B$7),ISNUMBER('Inputs'!$B$8),ISNUMBER('Inputs'!$B$9),ISNUMBER('Inputs'!$B$10),ISNUMBER('Inputs'!$B$21),ISNUMBER('Inputs'!$B$24),ISNUMBER('Inputs'!$B$28)),(('Results'!C7*(0.5*((((879-43)*MAX('Inputs'!$B$33,'Inputs'!$B$29+'Inputs'!$B$31+'Inputs'!$B$32,'Inputs'!$B$30+'Inputs'!$B$31+'Inputs'!$B$32)/1000+'Inputs'!$B$21)+'Inputs'!$B$9)/SQRT((((879-43)*MAX('Inputs'!$B$33,'Inputs'!$B$29+'Inputs'!$B$31+'Inputs'!$B$32,'Inputs'!$B$30+'Inputs'!$B$31+'Inputs'!$B$32)/1000+'Inputs'!$B$21)+'Inputs'!$B$9)^2+('Inputs'!$B$8/2)^2)-(((879-43)*MAX('Inputs'!$B$33,'Inputs'!$B$29+'Inputs'!$B$31+'Inputs'!$B$32,'Inputs'!$B$30+'Inputs'!$B$31+'Inputs'!$B$32)/1000+'Inputs'!$B$21))/SQRT((((879-43)*MAX('Inputs'!$B$33,'Inputs'!$B$29+'Inputs'!$B$31+'Inputs'!$B$32,'Inputs'!$B$30+'Inputs'!$B$31+'Inputs'!$B$32)/1000+'Inputs'!$B$21))^2+('Inputs'!$B$8/2)^2)))-'Results'!B7*(0.5*((((879-43)*MAX('Inputs'!$B$33,'Inputs'!$B$29+'Inputs'!$B$31+'Inputs'!$B$32,'Inputs'!$B$30+'Inputs'!$B$31+'Inputs'!$B$32)/1000+'Inputs'!$B$21+'Inputs'!$B$9+'Inputs'!$B$10)+'Inputs'!$B$7)/SQRT((((879-43)*MAX('Inputs'!$B$33,'Inputs'!$B$29+'Inputs'!$B$31+'Inputs'!$B$32,'Inputs'!$B$30+'Inputs'!$B$31+'Inputs'!$B$32)/1000+'Inputs'!$B$21+'Inputs'!$B$9+'Inputs'!$B$10)+'Inputs'!$B$7)^2+('Inputs'!$B$6/2)^2)-(((879-43)*MAX('Inputs'!$B$33,'Inputs'!$B$29+'Inputs'!$B$31+'Inputs'!$B$32,'Inputs'!$B$30+'Inputs'!$B$31+'Inputs'!$B$32)/1000+'Inputs'!$B$21+'Inputs'!$B$9+'Inputs'!$B$10))/SQRT((((879-43)*MAX('Inputs'!$B$33,'Inputs'!$B$29+'Inputs'!$B$31+'Inputs'!$B$32,'Inputs'!$B$30+'Inputs'!$B$31+'Inputs'!$B$32)/1000+'Inputs'!$B$21+'Inputs'!$B$9+'Inputs'!$B$10))^2+('Inputs'!$B$6/2)^2))))*'Results'!$B$8),"")</x:f>
        <x:v>0.6135655929906204</x:v>
      </x:c>
      <x:c r="N879" t="n">
        <x:f>IF(AND(ISNUMBER('Results'!C7),ISNUMBER('Results'!B7),ISNUMBER('Results'!$B$8),ISNUMBER('Inputs'!$B$6),ISNUMBER('Inputs'!$B$7),ISNUMBER('Inputs'!$B$8),ISNUMBER('Inputs'!$B$9),ISNUMBER('Inputs'!$B$10),ISNUMBER('Inputs'!$B$21),ISNUMBER('Inputs'!$B$24),ISNUMBER('Inputs'!$B$28)),((('Results'!C7*(1-'Inputs'!$B$24)*(0.5*((((879-43)*MAX('Inputs'!$B$33,'Inputs'!$B$29+'Inputs'!$B$31+'Inputs'!$B$32,'Inputs'!$B$30+'Inputs'!$B$31+'Inputs'!$B$32)/1000+'Inputs'!$B$21)+'Inputs'!$B$9)/SQRT((((879-43)*MAX('Inputs'!$B$33,'Inputs'!$B$29+'Inputs'!$B$31+'Inputs'!$B$32,'Inputs'!$B$30+'Inputs'!$B$31+'Inputs'!$B$32)/1000+'Inputs'!$B$21)+'Inputs'!$B$9)^2+('Inputs'!$B$8/2)^2)-(((879-43)*MAX('Inputs'!$B$33,'Inputs'!$B$29+'Inputs'!$B$31+'Inputs'!$B$32,'Inputs'!$B$30+'Inputs'!$B$31+'Inputs'!$B$32)/1000+'Inputs'!$B$21))/SQRT((((879-43)*MAX('Inputs'!$B$33,'Inputs'!$B$29+'Inputs'!$B$31+'Inputs'!$B$32,'Inputs'!$B$30+'Inputs'!$B$31+'Inputs'!$B$32)/1000+'Inputs'!$B$21))^2+('Inputs'!$B$8/2)^2)))-'Results'!B7*(1+'Inputs'!$B$24)*(0.5*((((879-43)*MAX('Inputs'!$B$33,'Inputs'!$B$29+'Inputs'!$B$31+'Inputs'!$B$32,'Inputs'!$B$30+'Inputs'!$B$31+'Inputs'!$B$32)/1000+'Inputs'!$B$21+'Inputs'!$B$9+'Inputs'!$B$10)+'Inputs'!$B$7)/SQRT((((879-43)*MAX('Inputs'!$B$33,'Inputs'!$B$29+'Inputs'!$B$31+'Inputs'!$B$32,'Inputs'!$B$30+'Inputs'!$B$31+'Inputs'!$B$32)/1000+'Inputs'!$B$21+'Inputs'!$B$9+'Inputs'!$B$10)+'Inputs'!$B$7)^2+('Inputs'!$B$6/2)^2)-(((879-43)*MAX('Inputs'!$B$33,'Inputs'!$B$29+'Inputs'!$B$31+'Inputs'!$B$32,'Inputs'!$B$30+'Inputs'!$B$31+'Inputs'!$B$32)/1000+'Inputs'!$B$21+'Inputs'!$B$9+'Inputs'!$B$10))/SQRT((((879-43)*MAX('Inputs'!$B$33,'Inputs'!$B$29+'Inputs'!$B$31+'Inputs'!$B$32,'Inputs'!$B$30+'Inputs'!$B$31+'Inputs'!$B$32)/1000+'Inputs'!$B$21+'Inputs'!$B$9+'Inputs'!$B$10))^2+('Inputs'!$B$6/2)^2))))*'Results'!$B$8)-'Inputs'!$B$28*ABS((('Results'!C7*(1-'Inputs'!$B$24)*(0.5*((((879-43)*MAX('Inputs'!$B$33,'Inputs'!$B$29+'Inputs'!$B$31+'Inputs'!$B$32,'Inputs'!$B$30+'Inputs'!$B$31+'Inputs'!$B$32)/1000+'Inputs'!$B$21)+'Inputs'!$B$9)/SQRT((((879-43)*MAX('Inputs'!$B$33,'Inputs'!$B$29+'Inputs'!$B$31+'Inputs'!$B$32,'Inputs'!$B$30+'Inputs'!$B$31+'Inputs'!$B$32)/1000+'Inputs'!$B$21)+'Inputs'!$B$9)^2+('Inputs'!$B$8/2)^2)-(((879-43)*MAX('Inputs'!$B$33,'Inputs'!$B$29+'Inputs'!$B$31+'Inputs'!$B$32,'Inputs'!$B$30+'Inputs'!$B$31+'Inputs'!$B$32)/1000+'Inputs'!$B$21))/SQRT((((879-43)*MAX('Inputs'!$B$33,'Inputs'!$B$29+'Inputs'!$B$31+'Inputs'!$B$32,'Inputs'!$B$30+'Inputs'!$B$31+'Inputs'!$B$32)/1000+'Inputs'!$B$21))^2+('Inputs'!$B$8/2)^2)))-'Results'!B7*(1+'Inputs'!$B$24)*(0.5*((((879-43)*MAX('Inputs'!$B$33,'Inputs'!$B$29+'Inputs'!$B$31+'Inputs'!$B$32,'Inputs'!$B$30+'Inputs'!$B$31+'Inputs'!$B$32)/1000+'Inputs'!$B$21+'Inputs'!$B$9+'Inputs'!$B$10)+'Inputs'!$B$7)/SQRT((((879-43)*MAX('Inputs'!$B$33,'Inputs'!$B$29+'Inputs'!$B$31+'Inputs'!$B$32,'Inputs'!$B$30+'Inputs'!$B$31+'Inputs'!$B$32)/1000+'Inputs'!$B$21+'Inputs'!$B$9+'Inputs'!$B$10)+'Inputs'!$B$7)^2+('Inputs'!$B$6/2)^2)-(((879-43)*MAX('Inputs'!$B$33,'Inputs'!$B$29+'Inputs'!$B$31+'Inputs'!$B$32,'Inputs'!$B$30+'Inputs'!$B$31+'Inputs'!$B$32)/1000+'Inputs'!$B$21+'Inputs'!$B$9+'Inputs'!$B$10))/SQRT((((879-43)*MAX('Inputs'!$B$33,'Inputs'!$B$29+'Inputs'!$B$31+'Inputs'!$B$32,'Inputs'!$B$30+'Inputs'!$B$31+'Inputs'!$B$32)/1000+'Inputs'!$B$21+'Inputs'!$B$9+'Inputs'!$B$10))^2+('Inputs'!$B$6/2)^2))))*'Results'!$B$8))),"")</x:f>
        <x:v>0.5164204098786104</x:v>
      </x:c>
      <x:c r="O879" t="n">
        <x:f>IF(AND(ISNUMBER('Results'!C7),ISNUMBER('Results'!B7),ISNUMBER('Results'!$B$8),ISNUMBER('Inputs'!$B$6),ISNUMBER('Inputs'!$B$7),ISNUMBER('Inputs'!$B$8),ISNUMBER('Inputs'!$B$9),ISNUMBER('Inputs'!$B$10),ISNUMBER('Inputs'!$B$21),ISNUMBER('Inputs'!$B$24),ISNUMBER('Inputs'!$B$28)),((('Results'!C7*(1+'Inputs'!$B$24)*(0.5*((((879-43)*MAX('Inputs'!$B$33,'Inputs'!$B$29+'Inputs'!$B$31+'Inputs'!$B$32,'Inputs'!$B$30+'Inputs'!$B$31+'Inputs'!$B$32)/1000+'Inputs'!$B$21)+'Inputs'!$B$9)/SQRT((((879-43)*MAX('Inputs'!$B$33,'Inputs'!$B$29+'Inputs'!$B$31+'Inputs'!$B$32,'Inputs'!$B$30+'Inputs'!$B$31+'Inputs'!$B$32)/1000+'Inputs'!$B$21)+'Inputs'!$B$9)^2+('Inputs'!$B$8/2)^2)-(((879-43)*MAX('Inputs'!$B$33,'Inputs'!$B$29+'Inputs'!$B$31+'Inputs'!$B$32,'Inputs'!$B$30+'Inputs'!$B$31+'Inputs'!$B$32)/1000+'Inputs'!$B$21))/SQRT((((879-43)*MAX('Inputs'!$B$33,'Inputs'!$B$29+'Inputs'!$B$31+'Inputs'!$B$32,'Inputs'!$B$30+'Inputs'!$B$31+'Inputs'!$B$32)/1000+'Inputs'!$B$21))^2+('Inputs'!$B$8/2)^2)))-'Results'!B7*(1-'Inputs'!$B$24)*(0.5*((((879-43)*MAX('Inputs'!$B$33,'Inputs'!$B$29+'Inputs'!$B$31+'Inputs'!$B$32,'Inputs'!$B$30+'Inputs'!$B$31+'Inputs'!$B$32)/1000+'Inputs'!$B$21+'Inputs'!$B$9+'Inputs'!$B$10)+'Inputs'!$B$7)/SQRT((((879-43)*MAX('Inputs'!$B$33,'Inputs'!$B$29+'Inputs'!$B$31+'Inputs'!$B$32,'Inputs'!$B$30+'Inputs'!$B$31+'Inputs'!$B$32)/1000+'Inputs'!$B$21+'Inputs'!$B$9+'Inputs'!$B$10)+'Inputs'!$B$7)^2+('Inputs'!$B$6/2)^2)-(((879-43)*MAX('Inputs'!$B$33,'Inputs'!$B$29+'Inputs'!$B$31+'Inputs'!$B$32,'Inputs'!$B$30+'Inputs'!$B$31+'Inputs'!$B$32)/1000+'Inputs'!$B$21+'Inputs'!$B$9+'Inputs'!$B$10))/SQRT((((879-43)*MAX('Inputs'!$B$33,'Inputs'!$B$29+'Inputs'!$B$31+'Inputs'!$B$32,'Inputs'!$B$30+'Inputs'!$B$31+'Inputs'!$B$32)/1000+'Inputs'!$B$21+'Inputs'!$B$9+'Inputs'!$B$10))^2+('Inputs'!$B$6/2)^2))))*'Results'!$B$8)+'Inputs'!$B$28*ABS((('Results'!C7*(1+'Inputs'!$B$24)*(0.5*((((879-43)*MAX('Inputs'!$B$33,'Inputs'!$B$29+'Inputs'!$B$31+'Inputs'!$B$32,'Inputs'!$B$30+'Inputs'!$B$31+'Inputs'!$B$32)/1000+'Inputs'!$B$21)+'Inputs'!$B$9)/SQRT((((879-43)*MAX('Inputs'!$B$33,'Inputs'!$B$29+'Inputs'!$B$31+'Inputs'!$B$32,'Inputs'!$B$30+'Inputs'!$B$31+'Inputs'!$B$32)/1000+'Inputs'!$B$21)+'Inputs'!$B$9)^2+('Inputs'!$B$8/2)^2)-(((879-43)*MAX('Inputs'!$B$33,'Inputs'!$B$29+'Inputs'!$B$31+'Inputs'!$B$32,'Inputs'!$B$30+'Inputs'!$B$31+'Inputs'!$B$32)/1000+'Inputs'!$B$21))/SQRT((((879-43)*MAX('Inputs'!$B$33,'Inputs'!$B$29+'Inputs'!$B$31+'Inputs'!$B$32,'Inputs'!$B$30+'Inputs'!$B$31+'Inputs'!$B$32)/1000+'Inputs'!$B$21))^2+('Inputs'!$B$8/2)^2)))-'Results'!B7*(1-'Inputs'!$B$24)*(0.5*((((879-43)*MAX('Inputs'!$B$33,'Inputs'!$B$29+'Inputs'!$B$31+'Inputs'!$B$32,'Inputs'!$B$30+'Inputs'!$B$31+'Inputs'!$B$32)/1000+'Inputs'!$B$21+'Inputs'!$B$9+'Inputs'!$B$10)+'Inputs'!$B$7)/SQRT((((879-43)*MAX('Inputs'!$B$33,'Inputs'!$B$29+'Inputs'!$B$31+'Inputs'!$B$32,'Inputs'!$B$30+'Inputs'!$B$31+'Inputs'!$B$32)/1000+'Inputs'!$B$21+'Inputs'!$B$9+'Inputs'!$B$10)+'Inputs'!$B$7)^2+('Inputs'!$B$6/2)^2)-(((879-43)*MAX('Inputs'!$B$33,'Inputs'!$B$29+'Inputs'!$B$31+'Inputs'!$B$32,'Inputs'!$B$30+'Inputs'!$B$31+'Inputs'!$B$32)/1000+'Inputs'!$B$21+'Inputs'!$B$9+'Inputs'!$B$10))/SQRT((((879-43)*MAX('Inputs'!$B$33,'Inputs'!$B$29+'Inputs'!$B$31+'Inputs'!$B$32,'Inputs'!$B$30+'Inputs'!$B$31+'Inputs'!$B$32)/1000+'Inputs'!$B$21+'Inputs'!$B$9+'Inputs'!$B$10))^2+('Inputs'!$B$6/2)^2))))*'Results'!$B$8))),"")</x:f>
        <x:v>0.7177072922565751</x:v>
      </x:c>
      <x:c r="P879" t="n">
        <x:f>IF(AND(MAX(J879,J878)&gt;0,J879&gt;J878+0.00000001),1,0)</x:f>
        <x:v>0</x:v>
      </x:c>
      <x:c r="Q879" t="n">
        <x:f>IF(AND(MAX(K879,K878)&gt;0,K879&gt;K878+0.00000001),1,0)</x:f>
        <x:v>0</x:v>
      </x:c>
      <x:c r="R879" t="n">
        <x:f>IF(AND(MAX(L879,L878)&gt;0,L879&gt;L878+0.00000001),1,0)</x:f>
        <x:v>0</x:v>
      </x:c>
      <x:c r="S879" t="n">
        <x:f>IF(AND(MAX(M879,M878)&gt;0,M879&gt;M878+0.00000001),1,0)</x:f>
        <x:v>0</x:v>
      </x:c>
      <x:c r="T879" t="n">
        <x:f>IF(AND(MAX(N879,N878)&gt;0,N879&gt;N878+0.00000001),1,0)</x:f>
        <x:v>0</x:v>
      </x:c>
      <x:c r="U879" t="n">
        <x:f>IF(AND(MAX(O879,O878)&gt;0,O879&gt;O878+0.00000001),1,0)</x:f>
        <x:v>0</x:v>
      </x:c>
    </x:row>
    <x:row r="880">
      <x:c r="J880" t="n">
        <x:f>IF(AND(ISNUMBER('Results'!B7),ISNUMBER('Results'!C7),ISNUMBER('Results'!$B$8),ISNUMBER('Inputs'!$B$6),ISNUMBER('Inputs'!$B$7),ISNUMBER('Inputs'!$B$8),ISNUMBER('Inputs'!$B$9),ISNUMBER('Inputs'!$B$10),ISNUMBER('Inputs'!$B$21),ISNUMBER('Inputs'!$B$24),ISNUMBER('Inputs'!$B$28)),(('Results'!B7*(0.5*((((880-43)*MAX('Inputs'!$B$33,'Inputs'!$B$29+'Inputs'!$B$31+'Inputs'!$B$32,'Inputs'!$B$30+'Inputs'!$B$31+'Inputs'!$B$32)/1000+'Inputs'!$B$21)+'Inputs'!$B$7)/SQRT((((880-43)*MAX('Inputs'!$B$33,'Inputs'!$B$29+'Inputs'!$B$31+'Inputs'!$B$32,'Inputs'!$B$30+'Inputs'!$B$31+'Inputs'!$B$32)/1000+'Inputs'!$B$21)+'Inputs'!$B$7)^2+('Inputs'!$B$6/2)^2)-(((880-43)*MAX('Inputs'!$B$33,'Inputs'!$B$29+'Inputs'!$B$31+'Inputs'!$B$32,'Inputs'!$B$30+'Inputs'!$B$31+'Inputs'!$B$32)/1000+'Inputs'!$B$21))/SQRT((((880-43)*MAX('Inputs'!$B$33,'Inputs'!$B$29+'Inputs'!$B$31+'Inputs'!$B$32,'Inputs'!$B$30+'Inputs'!$B$31+'Inputs'!$B$32)/1000+'Inputs'!$B$21))^2+('Inputs'!$B$6/2)^2)))-'Results'!C7*(0.5*((((880-43)*MAX('Inputs'!$B$33,'Inputs'!$B$29+'Inputs'!$B$31+'Inputs'!$B$32,'Inputs'!$B$30+'Inputs'!$B$31+'Inputs'!$B$32)/1000+'Inputs'!$B$21+'Inputs'!$B$7+'Inputs'!$B$10)+'Inputs'!$B$9)/SQRT((((880-43)*MAX('Inputs'!$B$33,'Inputs'!$B$29+'Inputs'!$B$31+'Inputs'!$B$32,'Inputs'!$B$30+'Inputs'!$B$31+'Inputs'!$B$32)/1000+'Inputs'!$B$21+'Inputs'!$B$7+'Inputs'!$B$10)+'Inputs'!$B$9)^2+('Inputs'!$B$8/2)^2)-(((880-43)*MAX('Inputs'!$B$33,'Inputs'!$B$29+'Inputs'!$B$31+'Inputs'!$B$32,'Inputs'!$B$30+'Inputs'!$B$31+'Inputs'!$B$32)/1000+'Inputs'!$B$21+'Inputs'!$B$7+'Inputs'!$B$10))/SQRT((((880-43)*MAX('Inputs'!$B$33,'Inputs'!$B$29+'Inputs'!$B$31+'Inputs'!$B$32,'Inputs'!$B$30+'Inputs'!$B$31+'Inputs'!$B$32)/1000+'Inputs'!$B$21+'Inputs'!$B$7+'Inputs'!$B$10))^2+('Inputs'!$B$8/2)^2))))*'Results'!$B$8),"")</x:f>
        <x:v>0.6814244273222037</x:v>
      </x:c>
      <x:c r="K880" t="n">
        <x:f>IF(AND(ISNUMBER('Results'!B7),ISNUMBER('Results'!C7),ISNUMBER('Results'!$B$8),ISNUMBER('Inputs'!$B$6),ISNUMBER('Inputs'!$B$7),ISNUMBER('Inputs'!$B$8),ISNUMBER('Inputs'!$B$9),ISNUMBER('Inputs'!$B$10),ISNUMBER('Inputs'!$B$21),ISNUMBER('Inputs'!$B$24),ISNUMBER('Inputs'!$B$28)),((('Results'!B7*(1-'Inputs'!$B$24)*(0.5*((((880-43)*MAX('Inputs'!$B$33,'Inputs'!$B$29+'Inputs'!$B$31+'Inputs'!$B$32,'Inputs'!$B$30+'Inputs'!$B$31+'Inputs'!$B$32)/1000+'Inputs'!$B$21)+'Inputs'!$B$7)/SQRT((((880-43)*MAX('Inputs'!$B$33,'Inputs'!$B$29+'Inputs'!$B$31+'Inputs'!$B$32,'Inputs'!$B$30+'Inputs'!$B$31+'Inputs'!$B$32)/1000+'Inputs'!$B$21)+'Inputs'!$B$7)^2+('Inputs'!$B$6/2)^2)-(((880-43)*MAX('Inputs'!$B$33,'Inputs'!$B$29+'Inputs'!$B$31+'Inputs'!$B$32,'Inputs'!$B$30+'Inputs'!$B$31+'Inputs'!$B$32)/1000+'Inputs'!$B$21))/SQRT((((880-43)*MAX('Inputs'!$B$33,'Inputs'!$B$29+'Inputs'!$B$31+'Inputs'!$B$32,'Inputs'!$B$30+'Inputs'!$B$31+'Inputs'!$B$32)/1000+'Inputs'!$B$21))^2+('Inputs'!$B$6/2)^2)))-'Results'!C7*(1+'Inputs'!$B$24)*(0.5*((((880-43)*MAX('Inputs'!$B$33,'Inputs'!$B$29+'Inputs'!$B$31+'Inputs'!$B$32,'Inputs'!$B$30+'Inputs'!$B$31+'Inputs'!$B$32)/1000+'Inputs'!$B$21+'Inputs'!$B$7+'Inputs'!$B$10)+'Inputs'!$B$9)/SQRT((((880-43)*MAX('Inputs'!$B$33,'Inputs'!$B$29+'Inputs'!$B$31+'Inputs'!$B$32,'Inputs'!$B$30+'Inputs'!$B$31+'Inputs'!$B$32)/1000+'Inputs'!$B$21+'Inputs'!$B$7+'Inputs'!$B$10)+'Inputs'!$B$9)^2+('Inputs'!$B$8/2)^2)-(((880-43)*MAX('Inputs'!$B$33,'Inputs'!$B$29+'Inputs'!$B$31+'Inputs'!$B$32,'Inputs'!$B$30+'Inputs'!$B$31+'Inputs'!$B$32)/1000+'Inputs'!$B$21+'Inputs'!$B$7+'Inputs'!$B$10))/SQRT((((880-43)*MAX('Inputs'!$B$33,'Inputs'!$B$29+'Inputs'!$B$31+'Inputs'!$B$32,'Inputs'!$B$30+'Inputs'!$B$31+'Inputs'!$B$32)/1000+'Inputs'!$B$21+'Inputs'!$B$7+'Inputs'!$B$10))^2+('Inputs'!$B$8/2)^2))))*'Results'!$B$8)-'Inputs'!$B$28*ABS((('Results'!B7*(1-'Inputs'!$B$24)*(0.5*((((880-43)*MAX('Inputs'!$B$33,'Inputs'!$B$29+'Inputs'!$B$31+'Inputs'!$B$32,'Inputs'!$B$30+'Inputs'!$B$31+'Inputs'!$B$32)/1000+'Inputs'!$B$21)+'Inputs'!$B$7)/SQRT((((880-43)*MAX('Inputs'!$B$33,'Inputs'!$B$29+'Inputs'!$B$31+'Inputs'!$B$32,'Inputs'!$B$30+'Inputs'!$B$31+'Inputs'!$B$32)/1000+'Inputs'!$B$21)+'Inputs'!$B$7)^2+('Inputs'!$B$6/2)^2)-(((880-43)*MAX('Inputs'!$B$33,'Inputs'!$B$29+'Inputs'!$B$31+'Inputs'!$B$32,'Inputs'!$B$30+'Inputs'!$B$31+'Inputs'!$B$32)/1000+'Inputs'!$B$21))/SQRT((((880-43)*MAX('Inputs'!$B$33,'Inputs'!$B$29+'Inputs'!$B$31+'Inputs'!$B$32,'Inputs'!$B$30+'Inputs'!$B$31+'Inputs'!$B$32)/1000+'Inputs'!$B$21))^2+('Inputs'!$B$6/2)^2)))-'Results'!C7*(1+'Inputs'!$B$24)*(0.5*((((880-43)*MAX('Inputs'!$B$33,'Inputs'!$B$29+'Inputs'!$B$31+'Inputs'!$B$32,'Inputs'!$B$30+'Inputs'!$B$31+'Inputs'!$B$32)/1000+'Inputs'!$B$21+'Inputs'!$B$7+'Inputs'!$B$10)+'Inputs'!$B$9)/SQRT((((880-43)*MAX('Inputs'!$B$33,'Inputs'!$B$29+'Inputs'!$B$31+'Inputs'!$B$32,'Inputs'!$B$30+'Inputs'!$B$31+'Inputs'!$B$32)/1000+'Inputs'!$B$21+'Inputs'!$B$7+'Inputs'!$B$10)+'Inputs'!$B$9)^2+('Inputs'!$B$8/2)^2)-(((880-43)*MAX('Inputs'!$B$33,'Inputs'!$B$29+'Inputs'!$B$31+'Inputs'!$B$32,'Inputs'!$B$30+'Inputs'!$B$31+'Inputs'!$B$32)/1000+'Inputs'!$B$21+'Inputs'!$B$7+'Inputs'!$B$10))/SQRT((((880-43)*MAX('Inputs'!$B$33,'Inputs'!$B$29+'Inputs'!$B$31+'Inputs'!$B$32,'Inputs'!$B$30+'Inputs'!$B$31+'Inputs'!$B$32)/1000+'Inputs'!$B$21+'Inputs'!$B$7+'Inputs'!$B$10))^2+('Inputs'!$B$8/2)^2))))*'Results'!$B$8))),"")</x:f>
        <x:v>0.5808578492296446</x:v>
      </x:c>
      <x:c r="L880" t="n">
        <x:f>IF(AND(ISNUMBER('Results'!B7),ISNUMBER('Results'!C7),ISNUMBER('Results'!$B$8),ISNUMBER('Inputs'!$B$6),ISNUMBER('Inputs'!$B$7),ISNUMBER('Inputs'!$B$8),ISNUMBER('Inputs'!$B$9),ISNUMBER('Inputs'!$B$10),ISNUMBER('Inputs'!$B$21),ISNUMBER('Inputs'!$B$24),ISNUMBER('Inputs'!$B$28)),((('Results'!B7*(1+'Inputs'!$B$24)*(0.5*((((880-43)*MAX('Inputs'!$B$33,'Inputs'!$B$29+'Inputs'!$B$31+'Inputs'!$B$32,'Inputs'!$B$30+'Inputs'!$B$31+'Inputs'!$B$32)/1000+'Inputs'!$B$21)+'Inputs'!$B$7)/SQRT((((880-43)*MAX('Inputs'!$B$33,'Inputs'!$B$29+'Inputs'!$B$31+'Inputs'!$B$32,'Inputs'!$B$30+'Inputs'!$B$31+'Inputs'!$B$32)/1000+'Inputs'!$B$21)+'Inputs'!$B$7)^2+('Inputs'!$B$6/2)^2)-(((880-43)*MAX('Inputs'!$B$33,'Inputs'!$B$29+'Inputs'!$B$31+'Inputs'!$B$32,'Inputs'!$B$30+'Inputs'!$B$31+'Inputs'!$B$32)/1000+'Inputs'!$B$21))/SQRT((((880-43)*MAX('Inputs'!$B$33,'Inputs'!$B$29+'Inputs'!$B$31+'Inputs'!$B$32,'Inputs'!$B$30+'Inputs'!$B$31+'Inputs'!$B$32)/1000+'Inputs'!$B$21))^2+('Inputs'!$B$6/2)^2)))-'Results'!C7*(1-'Inputs'!$B$24)*(0.5*((((880-43)*MAX('Inputs'!$B$33,'Inputs'!$B$29+'Inputs'!$B$31+'Inputs'!$B$32,'Inputs'!$B$30+'Inputs'!$B$31+'Inputs'!$B$32)/1000+'Inputs'!$B$21+'Inputs'!$B$7+'Inputs'!$B$10)+'Inputs'!$B$9)/SQRT((((880-43)*MAX('Inputs'!$B$33,'Inputs'!$B$29+'Inputs'!$B$31+'Inputs'!$B$32,'Inputs'!$B$30+'Inputs'!$B$31+'Inputs'!$B$32)/1000+'Inputs'!$B$21+'Inputs'!$B$7+'Inputs'!$B$10)+'Inputs'!$B$9)^2+('Inputs'!$B$8/2)^2)-(((880-43)*MAX('Inputs'!$B$33,'Inputs'!$B$29+'Inputs'!$B$31+'Inputs'!$B$32,'Inputs'!$B$30+'Inputs'!$B$31+'Inputs'!$B$32)/1000+'Inputs'!$B$21+'Inputs'!$B$7+'Inputs'!$B$10))/SQRT((((880-43)*MAX('Inputs'!$B$33,'Inputs'!$B$29+'Inputs'!$B$31+'Inputs'!$B$32,'Inputs'!$B$30+'Inputs'!$B$31+'Inputs'!$B$32)/1000+'Inputs'!$B$21+'Inputs'!$B$7+'Inputs'!$B$10))^2+('Inputs'!$B$8/2)^2))))*'Results'!$B$8)+'Inputs'!$B$28*ABS((('Results'!B7*(1+'Inputs'!$B$24)*(0.5*((((880-43)*MAX('Inputs'!$B$33,'Inputs'!$B$29+'Inputs'!$B$31+'Inputs'!$B$32,'Inputs'!$B$30+'Inputs'!$B$31+'Inputs'!$B$32)/1000+'Inputs'!$B$21)+'Inputs'!$B$7)/SQRT((((880-43)*MAX('Inputs'!$B$33,'Inputs'!$B$29+'Inputs'!$B$31+'Inputs'!$B$32,'Inputs'!$B$30+'Inputs'!$B$31+'Inputs'!$B$32)/1000+'Inputs'!$B$21)+'Inputs'!$B$7)^2+('Inputs'!$B$6/2)^2)-(((880-43)*MAX('Inputs'!$B$33,'Inputs'!$B$29+'Inputs'!$B$31+'Inputs'!$B$32,'Inputs'!$B$30+'Inputs'!$B$31+'Inputs'!$B$32)/1000+'Inputs'!$B$21))/SQRT((((880-43)*MAX('Inputs'!$B$33,'Inputs'!$B$29+'Inputs'!$B$31+'Inputs'!$B$32,'Inputs'!$B$30+'Inputs'!$B$31+'Inputs'!$B$32)/1000+'Inputs'!$B$21))^2+('Inputs'!$B$6/2)^2)))-'Results'!C7*(1-'Inputs'!$B$24)*(0.5*((((880-43)*MAX('Inputs'!$B$33,'Inputs'!$B$29+'Inputs'!$B$31+'Inputs'!$B$32,'Inputs'!$B$30+'Inputs'!$B$31+'Inputs'!$B$32)/1000+'Inputs'!$B$21+'Inputs'!$B$7+'Inputs'!$B$10)+'Inputs'!$B$9)/SQRT((((880-43)*MAX('Inputs'!$B$33,'Inputs'!$B$29+'Inputs'!$B$31+'Inputs'!$B$32,'Inputs'!$B$30+'Inputs'!$B$31+'Inputs'!$B$32)/1000+'Inputs'!$B$21+'Inputs'!$B$7+'Inputs'!$B$10)+'Inputs'!$B$9)^2+('Inputs'!$B$8/2)^2)-(((880-43)*MAX('Inputs'!$B$33,'Inputs'!$B$29+'Inputs'!$B$31+'Inputs'!$B$32,'Inputs'!$B$30+'Inputs'!$B$31+'Inputs'!$B$32)/1000+'Inputs'!$B$21+'Inputs'!$B$7+'Inputs'!$B$10))/SQRT((((880-43)*MAX('Inputs'!$B$33,'Inputs'!$B$29+'Inputs'!$B$31+'Inputs'!$B$32,'Inputs'!$B$30+'Inputs'!$B$31+'Inputs'!$B$32)/1000+'Inputs'!$B$21+'Inputs'!$B$7+'Inputs'!$B$10))^2+('Inputs'!$B$8/2)^2))))*'Results'!$B$8))),"")</x:f>
        <x:v>0.7889905166491264</x:v>
      </x:c>
      <x:c r="M880" t="n">
        <x:f>IF(AND(ISNUMBER('Results'!C7),ISNUMBER('Results'!B7),ISNUMBER('Results'!$B$8),ISNUMBER('Inputs'!$B$6),ISNUMBER('Inputs'!$B$7),ISNUMBER('Inputs'!$B$8),ISNUMBER('Inputs'!$B$9),ISNUMBER('Inputs'!$B$10),ISNUMBER('Inputs'!$B$21),ISNUMBER('Inputs'!$B$24),ISNUMBER('Inputs'!$B$28)),(('Results'!C7*(0.5*((((880-43)*MAX('Inputs'!$B$33,'Inputs'!$B$29+'Inputs'!$B$31+'Inputs'!$B$32,'Inputs'!$B$30+'Inputs'!$B$31+'Inputs'!$B$32)/1000+'Inputs'!$B$21)+'Inputs'!$B$9)/SQRT((((880-43)*MAX('Inputs'!$B$33,'Inputs'!$B$29+'Inputs'!$B$31+'Inputs'!$B$32,'Inputs'!$B$30+'Inputs'!$B$31+'Inputs'!$B$32)/1000+'Inputs'!$B$21)+'Inputs'!$B$9)^2+('Inputs'!$B$8/2)^2)-(((880-43)*MAX('Inputs'!$B$33,'Inputs'!$B$29+'Inputs'!$B$31+'Inputs'!$B$32,'Inputs'!$B$30+'Inputs'!$B$31+'Inputs'!$B$32)/1000+'Inputs'!$B$21))/SQRT((((880-43)*MAX('Inputs'!$B$33,'Inputs'!$B$29+'Inputs'!$B$31+'Inputs'!$B$32,'Inputs'!$B$30+'Inputs'!$B$31+'Inputs'!$B$32)/1000+'Inputs'!$B$21))^2+('Inputs'!$B$8/2)^2)))-'Results'!B7*(0.5*((((880-43)*MAX('Inputs'!$B$33,'Inputs'!$B$29+'Inputs'!$B$31+'Inputs'!$B$32,'Inputs'!$B$30+'Inputs'!$B$31+'Inputs'!$B$32)/1000+'Inputs'!$B$21+'Inputs'!$B$9+'Inputs'!$B$10)+'Inputs'!$B$7)/SQRT((((880-43)*MAX('Inputs'!$B$33,'Inputs'!$B$29+'Inputs'!$B$31+'Inputs'!$B$32,'Inputs'!$B$30+'Inputs'!$B$31+'Inputs'!$B$32)/1000+'Inputs'!$B$21+'Inputs'!$B$9+'Inputs'!$B$10)+'Inputs'!$B$7)^2+('Inputs'!$B$6/2)^2)-(((880-43)*MAX('Inputs'!$B$33,'Inputs'!$B$29+'Inputs'!$B$31+'Inputs'!$B$32,'Inputs'!$B$30+'Inputs'!$B$31+'Inputs'!$B$32)/1000+'Inputs'!$B$21+'Inputs'!$B$9+'Inputs'!$B$10))/SQRT((((880-43)*MAX('Inputs'!$B$33,'Inputs'!$B$29+'Inputs'!$B$31+'Inputs'!$B$32,'Inputs'!$B$30+'Inputs'!$B$31+'Inputs'!$B$32)/1000+'Inputs'!$B$21+'Inputs'!$B$9+'Inputs'!$B$10))^2+('Inputs'!$B$6/2)^2))))*'Results'!$B$8),"")</x:f>
        <x:v>0.6108541453479897</x:v>
      </x:c>
      <x:c r="N880" t="n">
        <x:f>IF(AND(ISNUMBER('Results'!C7),ISNUMBER('Results'!B7),ISNUMBER('Results'!$B$8),ISNUMBER('Inputs'!$B$6),ISNUMBER('Inputs'!$B$7),ISNUMBER('Inputs'!$B$8),ISNUMBER('Inputs'!$B$9),ISNUMBER('Inputs'!$B$10),ISNUMBER('Inputs'!$B$21),ISNUMBER('Inputs'!$B$24),ISNUMBER('Inputs'!$B$28)),((('Results'!C7*(1-'Inputs'!$B$24)*(0.5*((((880-43)*MAX('Inputs'!$B$33,'Inputs'!$B$29+'Inputs'!$B$31+'Inputs'!$B$32,'Inputs'!$B$30+'Inputs'!$B$31+'Inputs'!$B$32)/1000+'Inputs'!$B$21)+'Inputs'!$B$9)/SQRT((((880-43)*MAX('Inputs'!$B$33,'Inputs'!$B$29+'Inputs'!$B$31+'Inputs'!$B$32,'Inputs'!$B$30+'Inputs'!$B$31+'Inputs'!$B$32)/1000+'Inputs'!$B$21)+'Inputs'!$B$9)^2+('Inputs'!$B$8/2)^2)-(((880-43)*MAX('Inputs'!$B$33,'Inputs'!$B$29+'Inputs'!$B$31+'Inputs'!$B$32,'Inputs'!$B$30+'Inputs'!$B$31+'Inputs'!$B$32)/1000+'Inputs'!$B$21))/SQRT((((880-43)*MAX('Inputs'!$B$33,'Inputs'!$B$29+'Inputs'!$B$31+'Inputs'!$B$32,'Inputs'!$B$30+'Inputs'!$B$31+'Inputs'!$B$32)/1000+'Inputs'!$B$21))^2+('Inputs'!$B$8/2)^2)))-'Results'!B7*(1+'Inputs'!$B$24)*(0.5*((((880-43)*MAX('Inputs'!$B$33,'Inputs'!$B$29+'Inputs'!$B$31+'Inputs'!$B$32,'Inputs'!$B$30+'Inputs'!$B$31+'Inputs'!$B$32)/1000+'Inputs'!$B$21+'Inputs'!$B$9+'Inputs'!$B$10)+'Inputs'!$B$7)/SQRT((((880-43)*MAX('Inputs'!$B$33,'Inputs'!$B$29+'Inputs'!$B$31+'Inputs'!$B$32,'Inputs'!$B$30+'Inputs'!$B$31+'Inputs'!$B$32)/1000+'Inputs'!$B$21+'Inputs'!$B$9+'Inputs'!$B$10)+'Inputs'!$B$7)^2+('Inputs'!$B$6/2)^2)-(((880-43)*MAX('Inputs'!$B$33,'Inputs'!$B$29+'Inputs'!$B$31+'Inputs'!$B$32,'Inputs'!$B$30+'Inputs'!$B$31+'Inputs'!$B$32)/1000+'Inputs'!$B$21+'Inputs'!$B$9+'Inputs'!$B$10))/SQRT((((880-43)*MAX('Inputs'!$B$33,'Inputs'!$B$29+'Inputs'!$B$31+'Inputs'!$B$32,'Inputs'!$B$30+'Inputs'!$B$31+'Inputs'!$B$32)/1000+'Inputs'!$B$21+'Inputs'!$B$9+'Inputs'!$B$10))^2+('Inputs'!$B$6/2)^2))))*'Results'!$B$8)-'Inputs'!$B$28*ABS((('Results'!C7*(1-'Inputs'!$B$24)*(0.5*((((880-43)*MAX('Inputs'!$B$33,'Inputs'!$B$29+'Inputs'!$B$31+'Inputs'!$B$32,'Inputs'!$B$30+'Inputs'!$B$31+'Inputs'!$B$32)/1000+'Inputs'!$B$21)+'Inputs'!$B$9)/SQRT((((880-43)*MAX('Inputs'!$B$33,'Inputs'!$B$29+'Inputs'!$B$31+'Inputs'!$B$32,'Inputs'!$B$30+'Inputs'!$B$31+'Inputs'!$B$32)/1000+'Inputs'!$B$21)+'Inputs'!$B$9)^2+('Inputs'!$B$8/2)^2)-(((880-43)*MAX('Inputs'!$B$33,'Inputs'!$B$29+'Inputs'!$B$31+'Inputs'!$B$32,'Inputs'!$B$30+'Inputs'!$B$31+'Inputs'!$B$32)/1000+'Inputs'!$B$21))/SQRT((((880-43)*MAX('Inputs'!$B$33,'Inputs'!$B$29+'Inputs'!$B$31+'Inputs'!$B$32,'Inputs'!$B$30+'Inputs'!$B$31+'Inputs'!$B$32)/1000+'Inputs'!$B$21))^2+('Inputs'!$B$8/2)^2)))-'Results'!B7*(1+'Inputs'!$B$24)*(0.5*((((880-43)*MAX('Inputs'!$B$33,'Inputs'!$B$29+'Inputs'!$B$31+'Inputs'!$B$32,'Inputs'!$B$30+'Inputs'!$B$31+'Inputs'!$B$32)/1000+'Inputs'!$B$21+'Inputs'!$B$9+'Inputs'!$B$10)+'Inputs'!$B$7)/SQRT((((880-43)*MAX('Inputs'!$B$33,'Inputs'!$B$29+'Inputs'!$B$31+'Inputs'!$B$32,'Inputs'!$B$30+'Inputs'!$B$31+'Inputs'!$B$32)/1000+'Inputs'!$B$21+'Inputs'!$B$9+'Inputs'!$B$10)+'Inputs'!$B$7)^2+('Inputs'!$B$6/2)^2)-(((880-43)*MAX('Inputs'!$B$33,'Inputs'!$B$29+'Inputs'!$B$31+'Inputs'!$B$32,'Inputs'!$B$30+'Inputs'!$B$31+'Inputs'!$B$32)/1000+'Inputs'!$B$21+'Inputs'!$B$9+'Inputs'!$B$10))/SQRT((((880-43)*MAX('Inputs'!$B$33,'Inputs'!$B$29+'Inputs'!$B$31+'Inputs'!$B$32,'Inputs'!$B$30+'Inputs'!$B$31+'Inputs'!$B$32)/1000+'Inputs'!$B$21+'Inputs'!$B$9+'Inputs'!$B$10))^2+('Inputs'!$B$6/2)^2))))*'Results'!$B$8))),"")</x:f>
        <x:v>0.5140640944135425</x:v>
      </x:c>
      <x:c r="O880" t="n">
        <x:f>IF(AND(ISNUMBER('Results'!C7),ISNUMBER('Results'!B7),ISNUMBER('Results'!$B$8),ISNUMBER('Inputs'!$B$6),ISNUMBER('Inputs'!$B$7),ISNUMBER('Inputs'!$B$8),ISNUMBER('Inputs'!$B$9),ISNUMBER('Inputs'!$B$10),ISNUMBER('Inputs'!$B$21),ISNUMBER('Inputs'!$B$24),ISNUMBER('Inputs'!$B$28)),((('Results'!C7*(1+'Inputs'!$B$24)*(0.5*((((880-43)*MAX('Inputs'!$B$33,'Inputs'!$B$29+'Inputs'!$B$31+'Inputs'!$B$32,'Inputs'!$B$30+'Inputs'!$B$31+'Inputs'!$B$32)/1000+'Inputs'!$B$21)+'Inputs'!$B$9)/SQRT((((880-43)*MAX('Inputs'!$B$33,'Inputs'!$B$29+'Inputs'!$B$31+'Inputs'!$B$32,'Inputs'!$B$30+'Inputs'!$B$31+'Inputs'!$B$32)/1000+'Inputs'!$B$21)+'Inputs'!$B$9)^2+('Inputs'!$B$8/2)^2)-(((880-43)*MAX('Inputs'!$B$33,'Inputs'!$B$29+'Inputs'!$B$31+'Inputs'!$B$32,'Inputs'!$B$30+'Inputs'!$B$31+'Inputs'!$B$32)/1000+'Inputs'!$B$21))/SQRT((((880-43)*MAX('Inputs'!$B$33,'Inputs'!$B$29+'Inputs'!$B$31+'Inputs'!$B$32,'Inputs'!$B$30+'Inputs'!$B$31+'Inputs'!$B$32)/1000+'Inputs'!$B$21))^2+('Inputs'!$B$8/2)^2)))-'Results'!B7*(1-'Inputs'!$B$24)*(0.5*((((880-43)*MAX('Inputs'!$B$33,'Inputs'!$B$29+'Inputs'!$B$31+'Inputs'!$B$32,'Inputs'!$B$30+'Inputs'!$B$31+'Inputs'!$B$32)/1000+'Inputs'!$B$21+'Inputs'!$B$9+'Inputs'!$B$10)+'Inputs'!$B$7)/SQRT((((880-43)*MAX('Inputs'!$B$33,'Inputs'!$B$29+'Inputs'!$B$31+'Inputs'!$B$32,'Inputs'!$B$30+'Inputs'!$B$31+'Inputs'!$B$32)/1000+'Inputs'!$B$21+'Inputs'!$B$9+'Inputs'!$B$10)+'Inputs'!$B$7)^2+('Inputs'!$B$6/2)^2)-(((880-43)*MAX('Inputs'!$B$33,'Inputs'!$B$29+'Inputs'!$B$31+'Inputs'!$B$32,'Inputs'!$B$30+'Inputs'!$B$31+'Inputs'!$B$32)/1000+'Inputs'!$B$21+'Inputs'!$B$9+'Inputs'!$B$10))/SQRT((((880-43)*MAX('Inputs'!$B$33,'Inputs'!$B$29+'Inputs'!$B$31+'Inputs'!$B$32,'Inputs'!$B$30+'Inputs'!$B$31+'Inputs'!$B$32)/1000+'Inputs'!$B$21+'Inputs'!$B$9+'Inputs'!$B$10))^2+('Inputs'!$B$6/2)^2))))*'Results'!$B$8)+'Inputs'!$B$28*ABS((('Results'!C7*(1+'Inputs'!$B$24)*(0.5*((((880-43)*MAX('Inputs'!$B$33,'Inputs'!$B$29+'Inputs'!$B$31+'Inputs'!$B$32,'Inputs'!$B$30+'Inputs'!$B$31+'Inputs'!$B$32)/1000+'Inputs'!$B$21)+'Inputs'!$B$9)/SQRT((((880-43)*MAX('Inputs'!$B$33,'Inputs'!$B$29+'Inputs'!$B$31+'Inputs'!$B$32,'Inputs'!$B$30+'Inputs'!$B$31+'Inputs'!$B$32)/1000+'Inputs'!$B$21)+'Inputs'!$B$9)^2+('Inputs'!$B$8/2)^2)-(((880-43)*MAX('Inputs'!$B$33,'Inputs'!$B$29+'Inputs'!$B$31+'Inputs'!$B$32,'Inputs'!$B$30+'Inputs'!$B$31+'Inputs'!$B$32)/1000+'Inputs'!$B$21))/SQRT((((880-43)*MAX('Inputs'!$B$33,'Inputs'!$B$29+'Inputs'!$B$31+'Inputs'!$B$32,'Inputs'!$B$30+'Inputs'!$B$31+'Inputs'!$B$32)/1000+'Inputs'!$B$21))^2+('Inputs'!$B$8/2)^2)))-'Results'!B7*(1-'Inputs'!$B$24)*(0.5*((((880-43)*MAX('Inputs'!$B$33,'Inputs'!$B$29+'Inputs'!$B$31+'Inputs'!$B$32,'Inputs'!$B$30+'Inputs'!$B$31+'Inputs'!$B$32)/1000+'Inputs'!$B$21+'Inputs'!$B$9+'Inputs'!$B$10)+'Inputs'!$B$7)/SQRT((((880-43)*MAX('Inputs'!$B$33,'Inputs'!$B$29+'Inputs'!$B$31+'Inputs'!$B$32,'Inputs'!$B$30+'Inputs'!$B$31+'Inputs'!$B$32)/1000+'Inputs'!$B$21+'Inputs'!$B$9+'Inputs'!$B$10)+'Inputs'!$B$7)^2+('Inputs'!$B$6/2)^2)-(((880-43)*MAX('Inputs'!$B$33,'Inputs'!$B$29+'Inputs'!$B$31+'Inputs'!$B$32,'Inputs'!$B$30+'Inputs'!$B$31+'Inputs'!$B$32)/1000+'Inputs'!$B$21+'Inputs'!$B$9+'Inputs'!$B$10))/SQRT((((880-43)*MAX('Inputs'!$B$33,'Inputs'!$B$29+'Inputs'!$B$31+'Inputs'!$B$32,'Inputs'!$B$30+'Inputs'!$B$31+'Inputs'!$B$32)/1000+'Inputs'!$B$21+'Inputs'!$B$9+'Inputs'!$B$10))^2+('Inputs'!$B$6/2)^2))))*'Results'!$B$8))),"")</x:f>
        <x:v>0.7146176008789683</x:v>
      </x:c>
      <x:c r="P880" t="n">
        <x:f>IF(AND(MAX(J880,J879)&gt;0,J880&gt;J879+0.00000001),1,0)</x:f>
        <x:v>0</x:v>
      </x:c>
      <x:c r="Q880" t="n">
        <x:f>IF(AND(MAX(K880,K879)&gt;0,K880&gt;K879+0.00000001),1,0)</x:f>
        <x:v>0</x:v>
      </x:c>
      <x:c r="R880" t="n">
        <x:f>IF(AND(MAX(L880,L879)&gt;0,L880&gt;L879+0.00000001),1,0)</x:f>
        <x:v>0</x:v>
      </x:c>
      <x:c r="S880" t="n">
        <x:f>IF(AND(MAX(M880,M879)&gt;0,M880&gt;M879+0.00000001),1,0)</x:f>
        <x:v>0</x:v>
      </x:c>
      <x:c r="T880" t="n">
        <x:f>IF(AND(MAX(N880,N879)&gt;0,N880&gt;N879+0.00000001),1,0)</x:f>
        <x:v>0</x:v>
      </x:c>
      <x:c r="U880" t="n">
        <x:f>IF(AND(MAX(O880,O879)&gt;0,O880&gt;O879+0.00000001),1,0)</x:f>
        <x:v>0</x:v>
      </x:c>
    </x:row>
    <x:row r="881">
      <x:c r="J881" t="n">
        <x:f>IF(AND(ISNUMBER('Results'!B7),ISNUMBER('Results'!C7),ISNUMBER('Results'!$B$8),ISNUMBER('Inputs'!$B$6),ISNUMBER('Inputs'!$B$7),ISNUMBER('Inputs'!$B$8),ISNUMBER('Inputs'!$B$9),ISNUMBER('Inputs'!$B$10),ISNUMBER('Inputs'!$B$21),ISNUMBER('Inputs'!$B$24),ISNUMBER('Inputs'!$B$28)),(('Results'!B7*(0.5*((((881-43)*MAX('Inputs'!$B$33,'Inputs'!$B$29+'Inputs'!$B$31+'Inputs'!$B$32,'Inputs'!$B$30+'Inputs'!$B$31+'Inputs'!$B$32)/1000+'Inputs'!$B$21)+'Inputs'!$B$7)/SQRT((((881-43)*MAX('Inputs'!$B$33,'Inputs'!$B$29+'Inputs'!$B$31+'Inputs'!$B$32,'Inputs'!$B$30+'Inputs'!$B$31+'Inputs'!$B$32)/1000+'Inputs'!$B$21)+'Inputs'!$B$7)^2+('Inputs'!$B$6/2)^2)-(((881-43)*MAX('Inputs'!$B$33,'Inputs'!$B$29+'Inputs'!$B$31+'Inputs'!$B$32,'Inputs'!$B$30+'Inputs'!$B$31+'Inputs'!$B$32)/1000+'Inputs'!$B$21))/SQRT((((881-43)*MAX('Inputs'!$B$33,'Inputs'!$B$29+'Inputs'!$B$31+'Inputs'!$B$32,'Inputs'!$B$30+'Inputs'!$B$31+'Inputs'!$B$32)/1000+'Inputs'!$B$21))^2+('Inputs'!$B$6/2)^2)))-'Results'!C7*(0.5*((((881-43)*MAX('Inputs'!$B$33,'Inputs'!$B$29+'Inputs'!$B$31+'Inputs'!$B$32,'Inputs'!$B$30+'Inputs'!$B$31+'Inputs'!$B$32)/1000+'Inputs'!$B$21+'Inputs'!$B$7+'Inputs'!$B$10)+'Inputs'!$B$9)/SQRT((((881-43)*MAX('Inputs'!$B$33,'Inputs'!$B$29+'Inputs'!$B$31+'Inputs'!$B$32,'Inputs'!$B$30+'Inputs'!$B$31+'Inputs'!$B$32)/1000+'Inputs'!$B$21+'Inputs'!$B$7+'Inputs'!$B$10)+'Inputs'!$B$9)^2+('Inputs'!$B$8/2)^2)-(((881-43)*MAX('Inputs'!$B$33,'Inputs'!$B$29+'Inputs'!$B$31+'Inputs'!$B$32,'Inputs'!$B$30+'Inputs'!$B$31+'Inputs'!$B$32)/1000+'Inputs'!$B$21+'Inputs'!$B$7+'Inputs'!$B$10))/SQRT((((881-43)*MAX('Inputs'!$B$33,'Inputs'!$B$29+'Inputs'!$B$31+'Inputs'!$B$32,'Inputs'!$B$30+'Inputs'!$B$31+'Inputs'!$B$32)/1000+'Inputs'!$B$21+'Inputs'!$B$7+'Inputs'!$B$10))^2+('Inputs'!$B$8/2)^2))))*'Results'!$B$8),"")</x:f>
        <x:v>0.6784948529989179</x:v>
      </x:c>
      <x:c r="K881" t="n">
        <x:f>IF(AND(ISNUMBER('Results'!B7),ISNUMBER('Results'!C7),ISNUMBER('Results'!$B$8),ISNUMBER('Inputs'!$B$6),ISNUMBER('Inputs'!$B$7),ISNUMBER('Inputs'!$B$8),ISNUMBER('Inputs'!$B$9),ISNUMBER('Inputs'!$B$10),ISNUMBER('Inputs'!$B$21),ISNUMBER('Inputs'!$B$24),ISNUMBER('Inputs'!$B$28)),((('Results'!B7*(1-'Inputs'!$B$24)*(0.5*((((881-43)*MAX('Inputs'!$B$33,'Inputs'!$B$29+'Inputs'!$B$31+'Inputs'!$B$32,'Inputs'!$B$30+'Inputs'!$B$31+'Inputs'!$B$32)/1000+'Inputs'!$B$21)+'Inputs'!$B$7)/SQRT((((881-43)*MAX('Inputs'!$B$33,'Inputs'!$B$29+'Inputs'!$B$31+'Inputs'!$B$32,'Inputs'!$B$30+'Inputs'!$B$31+'Inputs'!$B$32)/1000+'Inputs'!$B$21)+'Inputs'!$B$7)^2+('Inputs'!$B$6/2)^2)-(((881-43)*MAX('Inputs'!$B$33,'Inputs'!$B$29+'Inputs'!$B$31+'Inputs'!$B$32,'Inputs'!$B$30+'Inputs'!$B$31+'Inputs'!$B$32)/1000+'Inputs'!$B$21))/SQRT((((881-43)*MAX('Inputs'!$B$33,'Inputs'!$B$29+'Inputs'!$B$31+'Inputs'!$B$32,'Inputs'!$B$30+'Inputs'!$B$31+'Inputs'!$B$32)/1000+'Inputs'!$B$21))^2+('Inputs'!$B$6/2)^2)))-'Results'!C7*(1+'Inputs'!$B$24)*(0.5*((((881-43)*MAX('Inputs'!$B$33,'Inputs'!$B$29+'Inputs'!$B$31+'Inputs'!$B$32,'Inputs'!$B$30+'Inputs'!$B$31+'Inputs'!$B$32)/1000+'Inputs'!$B$21+'Inputs'!$B$7+'Inputs'!$B$10)+'Inputs'!$B$9)/SQRT((((881-43)*MAX('Inputs'!$B$33,'Inputs'!$B$29+'Inputs'!$B$31+'Inputs'!$B$32,'Inputs'!$B$30+'Inputs'!$B$31+'Inputs'!$B$32)/1000+'Inputs'!$B$21+'Inputs'!$B$7+'Inputs'!$B$10)+'Inputs'!$B$9)^2+('Inputs'!$B$8/2)^2)-(((881-43)*MAX('Inputs'!$B$33,'Inputs'!$B$29+'Inputs'!$B$31+'Inputs'!$B$32,'Inputs'!$B$30+'Inputs'!$B$31+'Inputs'!$B$32)/1000+'Inputs'!$B$21+'Inputs'!$B$7+'Inputs'!$B$10))/SQRT((((881-43)*MAX('Inputs'!$B$33,'Inputs'!$B$29+'Inputs'!$B$31+'Inputs'!$B$32,'Inputs'!$B$30+'Inputs'!$B$31+'Inputs'!$B$32)/1000+'Inputs'!$B$21+'Inputs'!$B$7+'Inputs'!$B$10))^2+('Inputs'!$B$8/2)^2))))*'Results'!$B$8)-'Inputs'!$B$28*ABS((('Results'!B7*(1-'Inputs'!$B$24)*(0.5*((((881-43)*MAX('Inputs'!$B$33,'Inputs'!$B$29+'Inputs'!$B$31+'Inputs'!$B$32,'Inputs'!$B$30+'Inputs'!$B$31+'Inputs'!$B$32)/1000+'Inputs'!$B$21)+'Inputs'!$B$7)/SQRT((((881-43)*MAX('Inputs'!$B$33,'Inputs'!$B$29+'Inputs'!$B$31+'Inputs'!$B$32,'Inputs'!$B$30+'Inputs'!$B$31+'Inputs'!$B$32)/1000+'Inputs'!$B$21)+'Inputs'!$B$7)^2+('Inputs'!$B$6/2)^2)-(((881-43)*MAX('Inputs'!$B$33,'Inputs'!$B$29+'Inputs'!$B$31+'Inputs'!$B$32,'Inputs'!$B$30+'Inputs'!$B$31+'Inputs'!$B$32)/1000+'Inputs'!$B$21))/SQRT((((881-43)*MAX('Inputs'!$B$33,'Inputs'!$B$29+'Inputs'!$B$31+'Inputs'!$B$32,'Inputs'!$B$30+'Inputs'!$B$31+'Inputs'!$B$32)/1000+'Inputs'!$B$21))^2+('Inputs'!$B$6/2)^2)))-'Results'!C7*(1+'Inputs'!$B$24)*(0.5*((((881-43)*MAX('Inputs'!$B$33,'Inputs'!$B$29+'Inputs'!$B$31+'Inputs'!$B$32,'Inputs'!$B$30+'Inputs'!$B$31+'Inputs'!$B$32)/1000+'Inputs'!$B$21+'Inputs'!$B$7+'Inputs'!$B$10)+'Inputs'!$B$9)/SQRT((((881-43)*MAX('Inputs'!$B$33,'Inputs'!$B$29+'Inputs'!$B$31+'Inputs'!$B$32,'Inputs'!$B$30+'Inputs'!$B$31+'Inputs'!$B$32)/1000+'Inputs'!$B$21+'Inputs'!$B$7+'Inputs'!$B$10)+'Inputs'!$B$9)^2+('Inputs'!$B$8/2)^2)-(((881-43)*MAX('Inputs'!$B$33,'Inputs'!$B$29+'Inputs'!$B$31+'Inputs'!$B$32,'Inputs'!$B$30+'Inputs'!$B$31+'Inputs'!$B$32)/1000+'Inputs'!$B$21+'Inputs'!$B$7+'Inputs'!$B$10))/SQRT((((881-43)*MAX('Inputs'!$B$33,'Inputs'!$B$29+'Inputs'!$B$31+'Inputs'!$B$32,'Inputs'!$B$30+'Inputs'!$B$31+'Inputs'!$B$32)/1000+'Inputs'!$B$21+'Inputs'!$B$7+'Inputs'!$B$10))^2+('Inputs'!$B$8/2)^2))))*'Results'!$B$8))),"")</x:f>
        <x:v>0.5782944254883069</x:v>
      </x:c>
      <x:c r="L881" t="n">
        <x:f>IF(AND(ISNUMBER('Results'!B7),ISNUMBER('Results'!C7),ISNUMBER('Results'!$B$8),ISNUMBER('Inputs'!$B$6),ISNUMBER('Inputs'!$B$7),ISNUMBER('Inputs'!$B$8),ISNUMBER('Inputs'!$B$9),ISNUMBER('Inputs'!$B$10),ISNUMBER('Inputs'!$B$21),ISNUMBER('Inputs'!$B$24),ISNUMBER('Inputs'!$B$28)),((('Results'!B7*(1+'Inputs'!$B$24)*(0.5*((((881-43)*MAX('Inputs'!$B$33,'Inputs'!$B$29+'Inputs'!$B$31+'Inputs'!$B$32,'Inputs'!$B$30+'Inputs'!$B$31+'Inputs'!$B$32)/1000+'Inputs'!$B$21)+'Inputs'!$B$7)/SQRT((((881-43)*MAX('Inputs'!$B$33,'Inputs'!$B$29+'Inputs'!$B$31+'Inputs'!$B$32,'Inputs'!$B$30+'Inputs'!$B$31+'Inputs'!$B$32)/1000+'Inputs'!$B$21)+'Inputs'!$B$7)^2+('Inputs'!$B$6/2)^2)-(((881-43)*MAX('Inputs'!$B$33,'Inputs'!$B$29+'Inputs'!$B$31+'Inputs'!$B$32,'Inputs'!$B$30+'Inputs'!$B$31+'Inputs'!$B$32)/1000+'Inputs'!$B$21))/SQRT((((881-43)*MAX('Inputs'!$B$33,'Inputs'!$B$29+'Inputs'!$B$31+'Inputs'!$B$32,'Inputs'!$B$30+'Inputs'!$B$31+'Inputs'!$B$32)/1000+'Inputs'!$B$21))^2+('Inputs'!$B$6/2)^2)))-'Results'!C7*(1-'Inputs'!$B$24)*(0.5*((((881-43)*MAX('Inputs'!$B$33,'Inputs'!$B$29+'Inputs'!$B$31+'Inputs'!$B$32,'Inputs'!$B$30+'Inputs'!$B$31+'Inputs'!$B$32)/1000+'Inputs'!$B$21+'Inputs'!$B$7+'Inputs'!$B$10)+'Inputs'!$B$9)/SQRT((((881-43)*MAX('Inputs'!$B$33,'Inputs'!$B$29+'Inputs'!$B$31+'Inputs'!$B$32,'Inputs'!$B$30+'Inputs'!$B$31+'Inputs'!$B$32)/1000+'Inputs'!$B$21+'Inputs'!$B$7+'Inputs'!$B$10)+'Inputs'!$B$9)^2+('Inputs'!$B$8/2)^2)-(((881-43)*MAX('Inputs'!$B$33,'Inputs'!$B$29+'Inputs'!$B$31+'Inputs'!$B$32,'Inputs'!$B$30+'Inputs'!$B$31+'Inputs'!$B$32)/1000+'Inputs'!$B$21+'Inputs'!$B$7+'Inputs'!$B$10))/SQRT((((881-43)*MAX('Inputs'!$B$33,'Inputs'!$B$29+'Inputs'!$B$31+'Inputs'!$B$32,'Inputs'!$B$30+'Inputs'!$B$31+'Inputs'!$B$32)/1000+'Inputs'!$B$21+'Inputs'!$B$7+'Inputs'!$B$10))^2+('Inputs'!$B$8/2)^2))))*'Results'!$B$8)+'Inputs'!$B$28*ABS((('Results'!B7*(1+'Inputs'!$B$24)*(0.5*((((881-43)*MAX('Inputs'!$B$33,'Inputs'!$B$29+'Inputs'!$B$31+'Inputs'!$B$32,'Inputs'!$B$30+'Inputs'!$B$31+'Inputs'!$B$32)/1000+'Inputs'!$B$21)+'Inputs'!$B$7)/SQRT((((881-43)*MAX('Inputs'!$B$33,'Inputs'!$B$29+'Inputs'!$B$31+'Inputs'!$B$32,'Inputs'!$B$30+'Inputs'!$B$31+'Inputs'!$B$32)/1000+'Inputs'!$B$21)+'Inputs'!$B$7)^2+('Inputs'!$B$6/2)^2)-(((881-43)*MAX('Inputs'!$B$33,'Inputs'!$B$29+'Inputs'!$B$31+'Inputs'!$B$32,'Inputs'!$B$30+'Inputs'!$B$31+'Inputs'!$B$32)/1000+'Inputs'!$B$21))/SQRT((((881-43)*MAX('Inputs'!$B$33,'Inputs'!$B$29+'Inputs'!$B$31+'Inputs'!$B$32,'Inputs'!$B$30+'Inputs'!$B$31+'Inputs'!$B$32)/1000+'Inputs'!$B$21))^2+('Inputs'!$B$6/2)^2)))-'Results'!C7*(1-'Inputs'!$B$24)*(0.5*((((881-43)*MAX('Inputs'!$B$33,'Inputs'!$B$29+'Inputs'!$B$31+'Inputs'!$B$32,'Inputs'!$B$30+'Inputs'!$B$31+'Inputs'!$B$32)/1000+'Inputs'!$B$21+'Inputs'!$B$7+'Inputs'!$B$10)+'Inputs'!$B$9)/SQRT((((881-43)*MAX('Inputs'!$B$33,'Inputs'!$B$29+'Inputs'!$B$31+'Inputs'!$B$32,'Inputs'!$B$30+'Inputs'!$B$31+'Inputs'!$B$32)/1000+'Inputs'!$B$21+'Inputs'!$B$7+'Inputs'!$B$10)+'Inputs'!$B$9)^2+('Inputs'!$B$8/2)^2)-(((881-43)*MAX('Inputs'!$B$33,'Inputs'!$B$29+'Inputs'!$B$31+'Inputs'!$B$32,'Inputs'!$B$30+'Inputs'!$B$31+'Inputs'!$B$32)/1000+'Inputs'!$B$21+'Inputs'!$B$7+'Inputs'!$B$10))/SQRT((((881-43)*MAX('Inputs'!$B$33,'Inputs'!$B$29+'Inputs'!$B$31+'Inputs'!$B$32,'Inputs'!$B$30+'Inputs'!$B$31+'Inputs'!$B$32)/1000+'Inputs'!$B$21+'Inputs'!$B$7+'Inputs'!$B$10))^2+('Inputs'!$B$8/2)^2))))*'Results'!$B$8))),"")</x:f>
        <x:v>0.7856716683895982</x:v>
      </x:c>
      <x:c r="M881" t="n">
        <x:f>IF(AND(ISNUMBER('Results'!C7),ISNUMBER('Results'!B7),ISNUMBER('Results'!$B$8),ISNUMBER('Inputs'!$B$6),ISNUMBER('Inputs'!$B$7),ISNUMBER('Inputs'!$B$8),ISNUMBER('Inputs'!$B$9),ISNUMBER('Inputs'!$B$10),ISNUMBER('Inputs'!$B$21),ISNUMBER('Inputs'!$B$24),ISNUMBER('Inputs'!$B$28)),(('Results'!C7*(0.5*((((881-43)*MAX('Inputs'!$B$33,'Inputs'!$B$29+'Inputs'!$B$31+'Inputs'!$B$32,'Inputs'!$B$30+'Inputs'!$B$31+'Inputs'!$B$32)/1000+'Inputs'!$B$21)+'Inputs'!$B$9)/SQRT((((881-43)*MAX('Inputs'!$B$33,'Inputs'!$B$29+'Inputs'!$B$31+'Inputs'!$B$32,'Inputs'!$B$30+'Inputs'!$B$31+'Inputs'!$B$32)/1000+'Inputs'!$B$21)+'Inputs'!$B$9)^2+('Inputs'!$B$8/2)^2)-(((881-43)*MAX('Inputs'!$B$33,'Inputs'!$B$29+'Inputs'!$B$31+'Inputs'!$B$32,'Inputs'!$B$30+'Inputs'!$B$31+'Inputs'!$B$32)/1000+'Inputs'!$B$21))/SQRT((((881-43)*MAX('Inputs'!$B$33,'Inputs'!$B$29+'Inputs'!$B$31+'Inputs'!$B$32,'Inputs'!$B$30+'Inputs'!$B$31+'Inputs'!$B$32)/1000+'Inputs'!$B$21))^2+('Inputs'!$B$8/2)^2)))-'Results'!B7*(0.5*((((881-43)*MAX('Inputs'!$B$33,'Inputs'!$B$29+'Inputs'!$B$31+'Inputs'!$B$32,'Inputs'!$B$30+'Inputs'!$B$31+'Inputs'!$B$32)/1000+'Inputs'!$B$21+'Inputs'!$B$9+'Inputs'!$B$10)+'Inputs'!$B$7)/SQRT((((881-43)*MAX('Inputs'!$B$33,'Inputs'!$B$29+'Inputs'!$B$31+'Inputs'!$B$32,'Inputs'!$B$30+'Inputs'!$B$31+'Inputs'!$B$32)/1000+'Inputs'!$B$21+'Inputs'!$B$9+'Inputs'!$B$10)+'Inputs'!$B$7)^2+('Inputs'!$B$6/2)^2)-(((881-43)*MAX('Inputs'!$B$33,'Inputs'!$B$29+'Inputs'!$B$31+'Inputs'!$B$32,'Inputs'!$B$30+'Inputs'!$B$31+'Inputs'!$B$32)/1000+'Inputs'!$B$21+'Inputs'!$B$9+'Inputs'!$B$10))/SQRT((((881-43)*MAX('Inputs'!$B$33,'Inputs'!$B$29+'Inputs'!$B$31+'Inputs'!$B$32,'Inputs'!$B$30+'Inputs'!$B$31+'Inputs'!$B$32)/1000+'Inputs'!$B$21+'Inputs'!$B$9+'Inputs'!$B$10))^2+('Inputs'!$B$6/2)^2))))*'Results'!$B$8),"")</x:f>
        <x:v>0.6081575662212717</x:v>
      </x:c>
      <x:c r="N881" t="n">
        <x:f>IF(AND(ISNUMBER('Results'!C7),ISNUMBER('Results'!B7),ISNUMBER('Results'!$B$8),ISNUMBER('Inputs'!$B$6),ISNUMBER('Inputs'!$B$7),ISNUMBER('Inputs'!$B$8),ISNUMBER('Inputs'!$B$9),ISNUMBER('Inputs'!$B$10),ISNUMBER('Inputs'!$B$21),ISNUMBER('Inputs'!$B$24),ISNUMBER('Inputs'!$B$28)),((('Results'!C7*(1-'Inputs'!$B$24)*(0.5*((((881-43)*MAX('Inputs'!$B$33,'Inputs'!$B$29+'Inputs'!$B$31+'Inputs'!$B$32,'Inputs'!$B$30+'Inputs'!$B$31+'Inputs'!$B$32)/1000+'Inputs'!$B$21)+'Inputs'!$B$9)/SQRT((((881-43)*MAX('Inputs'!$B$33,'Inputs'!$B$29+'Inputs'!$B$31+'Inputs'!$B$32,'Inputs'!$B$30+'Inputs'!$B$31+'Inputs'!$B$32)/1000+'Inputs'!$B$21)+'Inputs'!$B$9)^2+('Inputs'!$B$8/2)^2)-(((881-43)*MAX('Inputs'!$B$33,'Inputs'!$B$29+'Inputs'!$B$31+'Inputs'!$B$32,'Inputs'!$B$30+'Inputs'!$B$31+'Inputs'!$B$32)/1000+'Inputs'!$B$21))/SQRT((((881-43)*MAX('Inputs'!$B$33,'Inputs'!$B$29+'Inputs'!$B$31+'Inputs'!$B$32,'Inputs'!$B$30+'Inputs'!$B$31+'Inputs'!$B$32)/1000+'Inputs'!$B$21))^2+('Inputs'!$B$8/2)^2)))-'Results'!B7*(1+'Inputs'!$B$24)*(0.5*((((881-43)*MAX('Inputs'!$B$33,'Inputs'!$B$29+'Inputs'!$B$31+'Inputs'!$B$32,'Inputs'!$B$30+'Inputs'!$B$31+'Inputs'!$B$32)/1000+'Inputs'!$B$21+'Inputs'!$B$9+'Inputs'!$B$10)+'Inputs'!$B$7)/SQRT((((881-43)*MAX('Inputs'!$B$33,'Inputs'!$B$29+'Inputs'!$B$31+'Inputs'!$B$32,'Inputs'!$B$30+'Inputs'!$B$31+'Inputs'!$B$32)/1000+'Inputs'!$B$21+'Inputs'!$B$9+'Inputs'!$B$10)+'Inputs'!$B$7)^2+('Inputs'!$B$6/2)^2)-(((881-43)*MAX('Inputs'!$B$33,'Inputs'!$B$29+'Inputs'!$B$31+'Inputs'!$B$32,'Inputs'!$B$30+'Inputs'!$B$31+'Inputs'!$B$32)/1000+'Inputs'!$B$21+'Inputs'!$B$9+'Inputs'!$B$10))/SQRT((((881-43)*MAX('Inputs'!$B$33,'Inputs'!$B$29+'Inputs'!$B$31+'Inputs'!$B$32,'Inputs'!$B$30+'Inputs'!$B$31+'Inputs'!$B$32)/1000+'Inputs'!$B$21+'Inputs'!$B$9+'Inputs'!$B$10))^2+('Inputs'!$B$6/2)^2))))*'Results'!$B$8)-'Inputs'!$B$28*ABS((('Results'!C7*(1-'Inputs'!$B$24)*(0.5*((((881-43)*MAX('Inputs'!$B$33,'Inputs'!$B$29+'Inputs'!$B$31+'Inputs'!$B$32,'Inputs'!$B$30+'Inputs'!$B$31+'Inputs'!$B$32)/1000+'Inputs'!$B$21)+'Inputs'!$B$9)/SQRT((((881-43)*MAX('Inputs'!$B$33,'Inputs'!$B$29+'Inputs'!$B$31+'Inputs'!$B$32,'Inputs'!$B$30+'Inputs'!$B$31+'Inputs'!$B$32)/1000+'Inputs'!$B$21)+'Inputs'!$B$9)^2+('Inputs'!$B$8/2)^2)-(((881-43)*MAX('Inputs'!$B$33,'Inputs'!$B$29+'Inputs'!$B$31+'Inputs'!$B$32,'Inputs'!$B$30+'Inputs'!$B$31+'Inputs'!$B$32)/1000+'Inputs'!$B$21))/SQRT((((881-43)*MAX('Inputs'!$B$33,'Inputs'!$B$29+'Inputs'!$B$31+'Inputs'!$B$32,'Inputs'!$B$30+'Inputs'!$B$31+'Inputs'!$B$32)/1000+'Inputs'!$B$21))^2+('Inputs'!$B$8/2)^2)))-'Results'!B7*(1+'Inputs'!$B$24)*(0.5*((((881-43)*MAX('Inputs'!$B$33,'Inputs'!$B$29+'Inputs'!$B$31+'Inputs'!$B$32,'Inputs'!$B$30+'Inputs'!$B$31+'Inputs'!$B$32)/1000+'Inputs'!$B$21+'Inputs'!$B$9+'Inputs'!$B$10)+'Inputs'!$B$7)/SQRT((((881-43)*MAX('Inputs'!$B$33,'Inputs'!$B$29+'Inputs'!$B$31+'Inputs'!$B$32,'Inputs'!$B$30+'Inputs'!$B$31+'Inputs'!$B$32)/1000+'Inputs'!$B$21+'Inputs'!$B$9+'Inputs'!$B$10)+'Inputs'!$B$7)^2+('Inputs'!$B$6/2)^2)-(((881-43)*MAX('Inputs'!$B$33,'Inputs'!$B$29+'Inputs'!$B$31+'Inputs'!$B$32,'Inputs'!$B$30+'Inputs'!$B$31+'Inputs'!$B$32)/1000+'Inputs'!$B$21+'Inputs'!$B$9+'Inputs'!$B$10))/SQRT((((881-43)*MAX('Inputs'!$B$33,'Inputs'!$B$29+'Inputs'!$B$31+'Inputs'!$B$32,'Inputs'!$B$30+'Inputs'!$B$31+'Inputs'!$B$32)/1000+'Inputs'!$B$21+'Inputs'!$B$9+'Inputs'!$B$10))^2+('Inputs'!$B$6/2)^2))))*'Results'!$B$8))),"")</x:f>
        <x:v>0.5117209363421211</x:v>
      </x:c>
      <x:c r="O881" t="n">
        <x:f>IF(AND(ISNUMBER('Results'!C7),ISNUMBER('Results'!B7),ISNUMBER('Results'!$B$8),ISNUMBER('Inputs'!$B$6),ISNUMBER('Inputs'!$B$7),ISNUMBER('Inputs'!$B$8),ISNUMBER('Inputs'!$B$9),ISNUMBER('Inputs'!$B$10),ISNUMBER('Inputs'!$B$21),ISNUMBER('Inputs'!$B$24),ISNUMBER('Inputs'!$B$28)),((('Results'!C7*(1+'Inputs'!$B$24)*(0.5*((((881-43)*MAX('Inputs'!$B$33,'Inputs'!$B$29+'Inputs'!$B$31+'Inputs'!$B$32,'Inputs'!$B$30+'Inputs'!$B$31+'Inputs'!$B$32)/1000+'Inputs'!$B$21)+'Inputs'!$B$9)/SQRT((((881-43)*MAX('Inputs'!$B$33,'Inputs'!$B$29+'Inputs'!$B$31+'Inputs'!$B$32,'Inputs'!$B$30+'Inputs'!$B$31+'Inputs'!$B$32)/1000+'Inputs'!$B$21)+'Inputs'!$B$9)^2+('Inputs'!$B$8/2)^2)-(((881-43)*MAX('Inputs'!$B$33,'Inputs'!$B$29+'Inputs'!$B$31+'Inputs'!$B$32,'Inputs'!$B$30+'Inputs'!$B$31+'Inputs'!$B$32)/1000+'Inputs'!$B$21))/SQRT((((881-43)*MAX('Inputs'!$B$33,'Inputs'!$B$29+'Inputs'!$B$31+'Inputs'!$B$32,'Inputs'!$B$30+'Inputs'!$B$31+'Inputs'!$B$32)/1000+'Inputs'!$B$21))^2+('Inputs'!$B$8/2)^2)))-'Results'!B7*(1-'Inputs'!$B$24)*(0.5*((((881-43)*MAX('Inputs'!$B$33,'Inputs'!$B$29+'Inputs'!$B$31+'Inputs'!$B$32,'Inputs'!$B$30+'Inputs'!$B$31+'Inputs'!$B$32)/1000+'Inputs'!$B$21+'Inputs'!$B$9+'Inputs'!$B$10)+'Inputs'!$B$7)/SQRT((((881-43)*MAX('Inputs'!$B$33,'Inputs'!$B$29+'Inputs'!$B$31+'Inputs'!$B$32,'Inputs'!$B$30+'Inputs'!$B$31+'Inputs'!$B$32)/1000+'Inputs'!$B$21+'Inputs'!$B$9+'Inputs'!$B$10)+'Inputs'!$B$7)^2+('Inputs'!$B$6/2)^2)-(((881-43)*MAX('Inputs'!$B$33,'Inputs'!$B$29+'Inputs'!$B$31+'Inputs'!$B$32,'Inputs'!$B$30+'Inputs'!$B$31+'Inputs'!$B$32)/1000+'Inputs'!$B$21+'Inputs'!$B$9+'Inputs'!$B$10))/SQRT((((881-43)*MAX('Inputs'!$B$33,'Inputs'!$B$29+'Inputs'!$B$31+'Inputs'!$B$32,'Inputs'!$B$30+'Inputs'!$B$31+'Inputs'!$B$32)/1000+'Inputs'!$B$21+'Inputs'!$B$9+'Inputs'!$B$10))^2+('Inputs'!$B$6/2)^2))))*'Results'!$B$8)+'Inputs'!$B$28*ABS((('Results'!C7*(1+'Inputs'!$B$24)*(0.5*((((881-43)*MAX('Inputs'!$B$33,'Inputs'!$B$29+'Inputs'!$B$31+'Inputs'!$B$32,'Inputs'!$B$30+'Inputs'!$B$31+'Inputs'!$B$32)/1000+'Inputs'!$B$21)+'Inputs'!$B$9)/SQRT((((881-43)*MAX('Inputs'!$B$33,'Inputs'!$B$29+'Inputs'!$B$31+'Inputs'!$B$32,'Inputs'!$B$30+'Inputs'!$B$31+'Inputs'!$B$32)/1000+'Inputs'!$B$21)+'Inputs'!$B$9)^2+('Inputs'!$B$8/2)^2)-(((881-43)*MAX('Inputs'!$B$33,'Inputs'!$B$29+'Inputs'!$B$31+'Inputs'!$B$32,'Inputs'!$B$30+'Inputs'!$B$31+'Inputs'!$B$32)/1000+'Inputs'!$B$21))/SQRT((((881-43)*MAX('Inputs'!$B$33,'Inputs'!$B$29+'Inputs'!$B$31+'Inputs'!$B$32,'Inputs'!$B$30+'Inputs'!$B$31+'Inputs'!$B$32)/1000+'Inputs'!$B$21))^2+('Inputs'!$B$8/2)^2)))-'Results'!B7*(1-'Inputs'!$B$24)*(0.5*((((881-43)*MAX('Inputs'!$B$33,'Inputs'!$B$29+'Inputs'!$B$31+'Inputs'!$B$32,'Inputs'!$B$30+'Inputs'!$B$31+'Inputs'!$B$32)/1000+'Inputs'!$B$21+'Inputs'!$B$9+'Inputs'!$B$10)+'Inputs'!$B$7)/SQRT((((881-43)*MAX('Inputs'!$B$33,'Inputs'!$B$29+'Inputs'!$B$31+'Inputs'!$B$32,'Inputs'!$B$30+'Inputs'!$B$31+'Inputs'!$B$32)/1000+'Inputs'!$B$21+'Inputs'!$B$9+'Inputs'!$B$10)+'Inputs'!$B$7)^2+('Inputs'!$B$6/2)^2)-(((881-43)*MAX('Inputs'!$B$33,'Inputs'!$B$29+'Inputs'!$B$31+'Inputs'!$B$32,'Inputs'!$B$30+'Inputs'!$B$31+'Inputs'!$B$32)/1000+'Inputs'!$B$21+'Inputs'!$B$9+'Inputs'!$B$10))/SQRT((((881-43)*MAX('Inputs'!$B$33,'Inputs'!$B$29+'Inputs'!$B$31+'Inputs'!$B$32,'Inputs'!$B$30+'Inputs'!$B$31+'Inputs'!$B$32)/1000+'Inputs'!$B$21+'Inputs'!$B$9+'Inputs'!$B$10))^2+('Inputs'!$B$6/2)^2))))*'Results'!$B$8))),"")</x:f>
        <x:v>0.7115445910023266</x:v>
      </x:c>
      <x:c r="P881" t="n">
        <x:f>IF(AND(MAX(J881,J880)&gt;0,J881&gt;J880+0.00000001),1,0)</x:f>
        <x:v>0</x:v>
      </x:c>
      <x:c r="Q881" t="n">
        <x:f>IF(AND(MAX(K881,K880)&gt;0,K881&gt;K880+0.00000001),1,0)</x:f>
        <x:v>0</x:v>
      </x:c>
      <x:c r="R881" t="n">
        <x:f>IF(AND(MAX(L881,L880)&gt;0,L881&gt;L880+0.00000001),1,0)</x:f>
        <x:v>0</x:v>
      </x:c>
      <x:c r="S881" t="n">
        <x:f>IF(AND(MAX(M881,M880)&gt;0,M881&gt;M880+0.00000001),1,0)</x:f>
        <x:v>0</x:v>
      </x:c>
      <x:c r="T881" t="n">
        <x:f>IF(AND(MAX(N881,N880)&gt;0,N881&gt;N880+0.00000001),1,0)</x:f>
        <x:v>0</x:v>
      </x:c>
      <x:c r="U881" t="n">
        <x:f>IF(AND(MAX(O881,O880)&gt;0,O881&gt;O880+0.00000001),1,0)</x:f>
        <x:v>0</x:v>
      </x:c>
    </x:row>
    <x:row r="882">
      <x:c r="J882" t="n">
        <x:f>IF(AND(ISNUMBER('Results'!B7),ISNUMBER('Results'!C7),ISNUMBER('Results'!$B$8),ISNUMBER('Inputs'!$B$6),ISNUMBER('Inputs'!$B$7),ISNUMBER('Inputs'!$B$8),ISNUMBER('Inputs'!$B$9),ISNUMBER('Inputs'!$B$10),ISNUMBER('Inputs'!$B$21),ISNUMBER('Inputs'!$B$24),ISNUMBER('Inputs'!$B$28)),(('Results'!B7*(0.5*((((882-43)*MAX('Inputs'!$B$33,'Inputs'!$B$29+'Inputs'!$B$31+'Inputs'!$B$32,'Inputs'!$B$30+'Inputs'!$B$31+'Inputs'!$B$32)/1000+'Inputs'!$B$21)+'Inputs'!$B$7)/SQRT((((882-43)*MAX('Inputs'!$B$33,'Inputs'!$B$29+'Inputs'!$B$31+'Inputs'!$B$32,'Inputs'!$B$30+'Inputs'!$B$31+'Inputs'!$B$32)/1000+'Inputs'!$B$21)+'Inputs'!$B$7)^2+('Inputs'!$B$6/2)^2)-(((882-43)*MAX('Inputs'!$B$33,'Inputs'!$B$29+'Inputs'!$B$31+'Inputs'!$B$32,'Inputs'!$B$30+'Inputs'!$B$31+'Inputs'!$B$32)/1000+'Inputs'!$B$21))/SQRT((((882-43)*MAX('Inputs'!$B$33,'Inputs'!$B$29+'Inputs'!$B$31+'Inputs'!$B$32,'Inputs'!$B$30+'Inputs'!$B$31+'Inputs'!$B$32)/1000+'Inputs'!$B$21))^2+('Inputs'!$B$6/2)^2)))-'Results'!C7*(0.5*((((882-43)*MAX('Inputs'!$B$33,'Inputs'!$B$29+'Inputs'!$B$31+'Inputs'!$B$32,'Inputs'!$B$30+'Inputs'!$B$31+'Inputs'!$B$32)/1000+'Inputs'!$B$21+'Inputs'!$B$7+'Inputs'!$B$10)+'Inputs'!$B$9)/SQRT((((882-43)*MAX('Inputs'!$B$33,'Inputs'!$B$29+'Inputs'!$B$31+'Inputs'!$B$32,'Inputs'!$B$30+'Inputs'!$B$31+'Inputs'!$B$32)/1000+'Inputs'!$B$21+'Inputs'!$B$7+'Inputs'!$B$10)+'Inputs'!$B$9)^2+('Inputs'!$B$8/2)^2)-(((882-43)*MAX('Inputs'!$B$33,'Inputs'!$B$29+'Inputs'!$B$31+'Inputs'!$B$32,'Inputs'!$B$30+'Inputs'!$B$31+'Inputs'!$B$32)/1000+'Inputs'!$B$21+'Inputs'!$B$7+'Inputs'!$B$10))/SQRT((((882-43)*MAX('Inputs'!$B$33,'Inputs'!$B$29+'Inputs'!$B$31+'Inputs'!$B$32,'Inputs'!$B$30+'Inputs'!$B$31+'Inputs'!$B$32)/1000+'Inputs'!$B$21+'Inputs'!$B$7+'Inputs'!$B$10))^2+('Inputs'!$B$8/2)^2))))*'Results'!$B$8),"")</x:f>
        <x:v>0.6755810761546859</x:v>
      </x:c>
      <x:c r="K882" t="n">
        <x:f>IF(AND(ISNUMBER('Results'!B7),ISNUMBER('Results'!C7),ISNUMBER('Results'!$B$8),ISNUMBER('Inputs'!$B$6),ISNUMBER('Inputs'!$B$7),ISNUMBER('Inputs'!$B$8),ISNUMBER('Inputs'!$B$9),ISNUMBER('Inputs'!$B$10),ISNUMBER('Inputs'!$B$21),ISNUMBER('Inputs'!$B$24),ISNUMBER('Inputs'!$B$28)),((('Results'!B7*(1-'Inputs'!$B$24)*(0.5*((((882-43)*MAX('Inputs'!$B$33,'Inputs'!$B$29+'Inputs'!$B$31+'Inputs'!$B$32,'Inputs'!$B$30+'Inputs'!$B$31+'Inputs'!$B$32)/1000+'Inputs'!$B$21)+'Inputs'!$B$7)/SQRT((((882-43)*MAX('Inputs'!$B$33,'Inputs'!$B$29+'Inputs'!$B$31+'Inputs'!$B$32,'Inputs'!$B$30+'Inputs'!$B$31+'Inputs'!$B$32)/1000+'Inputs'!$B$21)+'Inputs'!$B$7)^2+('Inputs'!$B$6/2)^2)-(((882-43)*MAX('Inputs'!$B$33,'Inputs'!$B$29+'Inputs'!$B$31+'Inputs'!$B$32,'Inputs'!$B$30+'Inputs'!$B$31+'Inputs'!$B$32)/1000+'Inputs'!$B$21))/SQRT((((882-43)*MAX('Inputs'!$B$33,'Inputs'!$B$29+'Inputs'!$B$31+'Inputs'!$B$32,'Inputs'!$B$30+'Inputs'!$B$31+'Inputs'!$B$32)/1000+'Inputs'!$B$21))^2+('Inputs'!$B$6/2)^2)))-'Results'!C7*(1+'Inputs'!$B$24)*(0.5*((((882-43)*MAX('Inputs'!$B$33,'Inputs'!$B$29+'Inputs'!$B$31+'Inputs'!$B$32,'Inputs'!$B$30+'Inputs'!$B$31+'Inputs'!$B$32)/1000+'Inputs'!$B$21+'Inputs'!$B$7+'Inputs'!$B$10)+'Inputs'!$B$9)/SQRT((((882-43)*MAX('Inputs'!$B$33,'Inputs'!$B$29+'Inputs'!$B$31+'Inputs'!$B$32,'Inputs'!$B$30+'Inputs'!$B$31+'Inputs'!$B$32)/1000+'Inputs'!$B$21+'Inputs'!$B$7+'Inputs'!$B$10)+'Inputs'!$B$9)^2+('Inputs'!$B$8/2)^2)-(((882-43)*MAX('Inputs'!$B$33,'Inputs'!$B$29+'Inputs'!$B$31+'Inputs'!$B$32,'Inputs'!$B$30+'Inputs'!$B$31+'Inputs'!$B$32)/1000+'Inputs'!$B$21+'Inputs'!$B$7+'Inputs'!$B$10))/SQRT((((882-43)*MAX('Inputs'!$B$33,'Inputs'!$B$29+'Inputs'!$B$31+'Inputs'!$B$32,'Inputs'!$B$30+'Inputs'!$B$31+'Inputs'!$B$32)/1000+'Inputs'!$B$21+'Inputs'!$B$7+'Inputs'!$B$10))^2+('Inputs'!$B$8/2)^2))))*'Results'!$B$8)-'Inputs'!$B$28*ABS((('Results'!B7*(1-'Inputs'!$B$24)*(0.5*((((882-43)*MAX('Inputs'!$B$33,'Inputs'!$B$29+'Inputs'!$B$31+'Inputs'!$B$32,'Inputs'!$B$30+'Inputs'!$B$31+'Inputs'!$B$32)/1000+'Inputs'!$B$21)+'Inputs'!$B$7)/SQRT((((882-43)*MAX('Inputs'!$B$33,'Inputs'!$B$29+'Inputs'!$B$31+'Inputs'!$B$32,'Inputs'!$B$30+'Inputs'!$B$31+'Inputs'!$B$32)/1000+'Inputs'!$B$21)+'Inputs'!$B$7)^2+('Inputs'!$B$6/2)^2)-(((882-43)*MAX('Inputs'!$B$33,'Inputs'!$B$29+'Inputs'!$B$31+'Inputs'!$B$32,'Inputs'!$B$30+'Inputs'!$B$31+'Inputs'!$B$32)/1000+'Inputs'!$B$21))/SQRT((((882-43)*MAX('Inputs'!$B$33,'Inputs'!$B$29+'Inputs'!$B$31+'Inputs'!$B$32,'Inputs'!$B$30+'Inputs'!$B$31+'Inputs'!$B$32)/1000+'Inputs'!$B$21))^2+('Inputs'!$B$6/2)^2)))-'Results'!C7*(1+'Inputs'!$B$24)*(0.5*((((882-43)*MAX('Inputs'!$B$33,'Inputs'!$B$29+'Inputs'!$B$31+'Inputs'!$B$32,'Inputs'!$B$30+'Inputs'!$B$31+'Inputs'!$B$32)/1000+'Inputs'!$B$21+'Inputs'!$B$7+'Inputs'!$B$10)+'Inputs'!$B$9)/SQRT((((882-43)*MAX('Inputs'!$B$33,'Inputs'!$B$29+'Inputs'!$B$31+'Inputs'!$B$32,'Inputs'!$B$30+'Inputs'!$B$31+'Inputs'!$B$32)/1000+'Inputs'!$B$21+'Inputs'!$B$7+'Inputs'!$B$10)+'Inputs'!$B$9)^2+('Inputs'!$B$8/2)^2)-(((882-43)*MAX('Inputs'!$B$33,'Inputs'!$B$29+'Inputs'!$B$31+'Inputs'!$B$32,'Inputs'!$B$30+'Inputs'!$B$31+'Inputs'!$B$32)/1000+'Inputs'!$B$21+'Inputs'!$B$7+'Inputs'!$B$10))/SQRT((((882-43)*MAX('Inputs'!$B$33,'Inputs'!$B$29+'Inputs'!$B$31+'Inputs'!$B$32,'Inputs'!$B$30+'Inputs'!$B$31+'Inputs'!$B$32)/1000+'Inputs'!$B$21+'Inputs'!$B$7+'Inputs'!$B$10))^2+('Inputs'!$B$8/2)^2))))*'Results'!$B$8))),"")</x:f>
        <x:v>0.5757450411229816</x:v>
      </x:c>
      <x:c r="L882" t="n">
        <x:f>IF(AND(ISNUMBER('Results'!B7),ISNUMBER('Results'!C7),ISNUMBER('Results'!$B$8),ISNUMBER('Inputs'!$B$6),ISNUMBER('Inputs'!$B$7),ISNUMBER('Inputs'!$B$8),ISNUMBER('Inputs'!$B$9),ISNUMBER('Inputs'!$B$10),ISNUMBER('Inputs'!$B$21),ISNUMBER('Inputs'!$B$24),ISNUMBER('Inputs'!$B$28)),((('Results'!B7*(1+'Inputs'!$B$24)*(0.5*((((882-43)*MAX('Inputs'!$B$33,'Inputs'!$B$29+'Inputs'!$B$31+'Inputs'!$B$32,'Inputs'!$B$30+'Inputs'!$B$31+'Inputs'!$B$32)/1000+'Inputs'!$B$21)+'Inputs'!$B$7)/SQRT((((882-43)*MAX('Inputs'!$B$33,'Inputs'!$B$29+'Inputs'!$B$31+'Inputs'!$B$32,'Inputs'!$B$30+'Inputs'!$B$31+'Inputs'!$B$32)/1000+'Inputs'!$B$21)+'Inputs'!$B$7)^2+('Inputs'!$B$6/2)^2)-(((882-43)*MAX('Inputs'!$B$33,'Inputs'!$B$29+'Inputs'!$B$31+'Inputs'!$B$32,'Inputs'!$B$30+'Inputs'!$B$31+'Inputs'!$B$32)/1000+'Inputs'!$B$21))/SQRT((((882-43)*MAX('Inputs'!$B$33,'Inputs'!$B$29+'Inputs'!$B$31+'Inputs'!$B$32,'Inputs'!$B$30+'Inputs'!$B$31+'Inputs'!$B$32)/1000+'Inputs'!$B$21))^2+('Inputs'!$B$6/2)^2)))-'Results'!C7*(1-'Inputs'!$B$24)*(0.5*((((882-43)*MAX('Inputs'!$B$33,'Inputs'!$B$29+'Inputs'!$B$31+'Inputs'!$B$32,'Inputs'!$B$30+'Inputs'!$B$31+'Inputs'!$B$32)/1000+'Inputs'!$B$21+'Inputs'!$B$7+'Inputs'!$B$10)+'Inputs'!$B$9)/SQRT((((882-43)*MAX('Inputs'!$B$33,'Inputs'!$B$29+'Inputs'!$B$31+'Inputs'!$B$32,'Inputs'!$B$30+'Inputs'!$B$31+'Inputs'!$B$32)/1000+'Inputs'!$B$21+'Inputs'!$B$7+'Inputs'!$B$10)+'Inputs'!$B$9)^2+('Inputs'!$B$8/2)^2)-(((882-43)*MAX('Inputs'!$B$33,'Inputs'!$B$29+'Inputs'!$B$31+'Inputs'!$B$32,'Inputs'!$B$30+'Inputs'!$B$31+'Inputs'!$B$32)/1000+'Inputs'!$B$21+'Inputs'!$B$7+'Inputs'!$B$10))/SQRT((((882-43)*MAX('Inputs'!$B$33,'Inputs'!$B$29+'Inputs'!$B$31+'Inputs'!$B$32,'Inputs'!$B$30+'Inputs'!$B$31+'Inputs'!$B$32)/1000+'Inputs'!$B$21+'Inputs'!$B$7+'Inputs'!$B$10))^2+('Inputs'!$B$8/2)^2))))*'Results'!$B$8)+'Inputs'!$B$28*ABS((('Results'!B7*(1+'Inputs'!$B$24)*(0.5*((((882-43)*MAX('Inputs'!$B$33,'Inputs'!$B$29+'Inputs'!$B$31+'Inputs'!$B$32,'Inputs'!$B$30+'Inputs'!$B$31+'Inputs'!$B$32)/1000+'Inputs'!$B$21)+'Inputs'!$B$7)/SQRT((((882-43)*MAX('Inputs'!$B$33,'Inputs'!$B$29+'Inputs'!$B$31+'Inputs'!$B$32,'Inputs'!$B$30+'Inputs'!$B$31+'Inputs'!$B$32)/1000+'Inputs'!$B$21)+'Inputs'!$B$7)^2+('Inputs'!$B$6/2)^2)-(((882-43)*MAX('Inputs'!$B$33,'Inputs'!$B$29+'Inputs'!$B$31+'Inputs'!$B$32,'Inputs'!$B$30+'Inputs'!$B$31+'Inputs'!$B$32)/1000+'Inputs'!$B$21))/SQRT((((882-43)*MAX('Inputs'!$B$33,'Inputs'!$B$29+'Inputs'!$B$31+'Inputs'!$B$32,'Inputs'!$B$30+'Inputs'!$B$31+'Inputs'!$B$32)/1000+'Inputs'!$B$21))^2+('Inputs'!$B$6/2)^2)))-'Results'!C7*(1-'Inputs'!$B$24)*(0.5*((((882-43)*MAX('Inputs'!$B$33,'Inputs'!$B$29+'Inputs'!$B$31+'Inputs'!$B$32,'Inputs'!$B$30+'Inputs'!$B$31+'Inputs'!$B$32)/1000+'Inputs'!$B$21+'Inputs'!$B$7+'Inputs'!$B$10)+'Inputs'!$B$9)/SQRT((((882-43)*MAX('Inputs'!$B$33,'Inputs'!$B$29+'Inputs'!$B$31+'Inputs'!$B$32,'Inputs'!$B$30+'Inputs'!$B$31+'Inputs'!$B$32)/1000+'Inputs'!$B$21+'Inputs'!$B$7+'Inputs'!$B$10)+'Inputs'!$B$9)^2+('Inputs'!$B$8/2)^2)-(((882-43)*MAX('Inputs'!$B$33,'Inputs'!$B$29+'Inputs'!$B$31+'Inputs'!$B$32,'Inputs'!$B$30+'Inputs'!$B$31+'Inputs'!$B$32)/1000+'Inputs'!$B$21+'Inputs'!$B$7+'Inputs'!$B$10))/SQRT((((882-43)*MAX('Inputs'!$B$33,'Inputs'!$B$29+'Inputs'!$B$31+'Inputs'!$B$32,'Inputs'!$B$30+'Inputs'!$B$31+'Inputs'!$B$32)/1000+'Inputs'!$B$21+'Inputs'!$B$7+'Inputs'!$B$10))^2+('Inputs'!$B$8/2)^2))))*'Results'!$B$8))),"")</x:f>
        <x:v>0.7823704776310181</x:v>
      </x:c>
      <x:c r="M882" t="n">
        <x:f>IF(AND(ISNUMBER('Results'!C7),ISNUMBER('Results'!B7),ISNUMBER('Results'!$B$8),ISNUMBER('Inputs'!$B$6),ISNUMBER('Inputs'!$B$7),ISNUMBER('Inputs'!$B$8),ISNUMBER('Inputs'!$B$9),ISNUMBER('Inputs'!$B$10),ISNUMBER('Inputs'!$B$21),ISNUMBER('Inputs'!$B$24),ISNUMBER('Inputs'!$B$28)),(('Results'!C7*(0.5*((((882-43)*MAX('Inputs'!$B$33,'Inputs'!$B$29+'Inputs'!$B$31+'Inputs'!$B$32,'Inputs'!$B$30+'Inputs'!$B$31+'Inputs'!$B$32)/1000+'Inputs'!$B$21)+'Inputs'!$B$9)/SQRT((((882-43)*MAX('Inputs'!$B$33,'Inputs'!$B$29+'Inputs'!$B$31+'Inputs'!$B$32,'Inputs'!$B$30+'Inputs'!$B$31+'Inputs'!$B$32)/1000+'Inputs'!$B$21)+'Inputs'!$B$9)^2+('Inputs'!$B$8/2)^2)-(((882-43)*MAX('Inputs'!$B$33,'Inputs'!$B$29+'Inputs'!$B$31+'Inputs'!$B$32,'Inputs'!$B$30+'Inputs'!$B$31+'Inputs'!$B$32)/1000+'Inputs'!$B$21))/SQRT((((882-43)*MAX('Inputs'!$B$33,'Inputs'!$B$29+'Inputs'!$B$31+'Inputs'!$B$32,'Inputs'!$B$30+'Inputs'!$B$31+'Inputs'!$B$32)/1000+'Inputs'!$B$21))^2+('Inputs'!$B$8/2)^2)))-'Results'!B7*(0.5*((((882-43)*MAX('Inputs'!$B$33,'Inputs'!$B$29+'Inputs'!$B$31+'Inputs'!$B$32,'Inputs'!$B$30+'Inputs'!$B$31+'Inputs'!$B$32)/1000+'Inputs'!$B$21+'Inputs'!$B$9+'Inputs'!$B$10)+'Inputs'!$B$7)/SQRT((((882-43)*MAX('Inputs'!$B$33,'Inputs'!$B$29+'Inputs'!$B$31+'Inputs'!$B$32,'Inputs'!$B$30+'Inputs'!$B$31+'Inputs'!$B$32)/1000+'Inputs'!$B$21+'Inputs'!$B$9+'Inputs'!$B$10)+'Inputs'!$B$7)^2+('Inputs'!$B$6/2)^2)-(((882-43)*MAX('Inputs'!$B$33,'Inputs'!$B$29+'Inputs'!$B$31+'Inputs'!$B$32,'Inputs'!$B$30+'Inputs'!$B$31+'Inputs'!$B$32)/1000+'Inputs'!$B$21+'Inputs'!$B$9+'Inputs'!$B$10))/SQRT((((882-43)*MAX('Inputs'!$B$33,'Inputs'!$B$29+'Inputs'!$B$31+'Inputs'!$B$32,'Inputs'!$B$30+'Inputs'!$B$31+'Inputs'!$B$32)/1000+'Inputs'!$B$21+'Inputs'!$B$9+'Inputs'!$B$10))^2+('Inputs'!$B$6/2)^2))))*'Results'!$B$8),"")</x:f>
        <x:v>0.6054757582091854</x:v>
      </x:c>
      <x:c r="N882" t="n">
        <x:f>IF(AND(ISNUMBER('Results'!C7),ISNUMBER('Results'!B7),ISNUMBER('Results'!$B$8),ISNUMBER('Inputs'!$B$6),ISNUMBER('Inputs'!$B$7),ISNUMBER('Inputs'!$B$8),ISNUMBER('Inputs'!$B$9),ISNUMBER('Inputs'!$B$10),ISNUMBER('Inputs'!$B$21),ISNUMBER('Inputs'!$B$24),ISNUMBER('Inputs'!$B$28)),((('Results'!C7*(1-'Inputs'!$B$24)*(0.5*((((882-43)*MAX('Inputs'!$B$33,'Inputs'!$B$29+'Inputs'!$B$31+'Inputs'!$B$32,'Inputs'!$B$30+'Inputs'!$B$31+'Inputs'!$B$32)/1000+'Inputs'!$B$21)+'Inputs'!$B$9)/SQRT((((882-43)*MAX('Inputs'!$B$33,'Inputs'!$B$29+'Inputs'!$B$31+'Inputs'!$B$32,'Inputs'!$B$30+'Inputs'!$B$31+'Inputs'!$B$32)/1000+'Inputs'!$B$21)+'Inputs'!$B$9)^2+('Inputs'!$B$8/2)^2)-(((882-43)*MAX('Inputs'!$B$33,'Inputs'!$B$29+'Inputs'!$B$31+'Inputs'!$B$32,'Inputs'!$B$30+'Inputs'!$B$31+'Inputs'!$B$32)/1000+'Inputs'!$B$21))/SQRT((((882-43)*MAX('Inputs'!$B$33,'Inputs'!$B$29+'Inputs'!$B$31+'Inputs'!$B$32,'Inputs'!$B$30+'Inputs'!$B$31+'Inputs'!$B$32)/1000+'Inputs'!$B$21))^2+('Inputs'!$B$8/2)^2)))-'Results'!B7*(1+'Inputs'!$B$24)*(0.5*((((882-43)*MAX('Inputs'!$B$33,'Inputs'!$B$29+'Inputs'!$B$31+'Inputs'!$B$32,'Inputs'!$B$30+'Inputs'!$B$31+'Inputs'!$B$32)/1000+'Inputs'!$B$21+'Inputs'!$B$9+'Inputs'!$B$10)+'Inputs'!$B$7)/SQRT((((882-43)*MAX('Inputs'!$B$33,'Inputs'!$B$29+'Inputs'!$B$31+'Inputs'!$B$32,'Inputs'!$B$30+'Inputs'!$B$31+'Inputs'!$B$32)/1000+'Inputs'!$B$21+'Inputs'!$B$9+'Inputs'!$B$10)+'Inputs'!$B$7)^2+('Inputs'!$B$6/2)^2)-(((882-43)*MAX('Inputs'!$B$33,'Inputs'!$B$29+'Inputs'!$B$31+'Inputs'!$B$32,'Inputs'!$B$30+'Inputs'!$B$31+'Inputs'!$B$32)/1000+'Inputs'!$B$21+'Inputs'!$B$9+'Inputs'!$B$10))/SQRT((((882-43)*MAX('Inputs'!$B$33,'Inputs'!$B$29+'Inputs'!$B$31+'Inputs'!$B$32,'Inputs'!$B$30+'Inputs'!$B$31+'Inputs'!$B$32)/1000+'Inputs'!$B$21+'Inputs'!$B$9+'Inputs'!$B$10))^2+('Inputs'!$B$6/2)^2))))*'Results'!$B$8)-'Inputs'!$B$28*ABS((('Results'!C7*(1-'Inputs'!$B$24)*(0.5*((((882-43)*MAX('Inputs'!$B$33,'Inputs'!$B$29+'Inputs'!$B$31+'Inputs'!$B$32,'Inputs'!$B$30+'Inputs'!$B$31+'Inputs'!$B$32)/1000+'Inputs'!$B$21)+'Inputs'!$B$9)/SQRT((((882-43)*MAX('Inputs'!$B$33,'Inputs'!$B$29+'Inputs'!$B$31+'Inputs'!$B$32,'Inputs'!$B$30+'Inputs'!$B$31+'Inputs'!$B$32)/1000+'Inputs'!$B$21)+'Inputs'!$B$9)^2+('Inputs'!$B$8/2)^2)-(((882-43)*MAX('Inputs'!$B$33,'Inputs'!$B$29+'Inputs'!$B$31+'Inputs'!$B$32,'Inputs'!$B$30+'Inputs'!$B$31+'Inputs'!$B$32)/1000+'Inputs'!$B$21))/SQRT((((882-43)*MAX('Inputs'!$B$33,'Inputs'!$B$29+'Inputs'!$B$31+'Inputs'!$B$32,'Inputs'!$B$30+'Inputs'!$B$31+'Inputs'!$B$32)/1000+'Inputs'!$B$21))^2+('Inputs'!$B$8/2)^2)))-'Results'!B7*(1+'Inputs'!$B$24)*(0.5*((((882-43)*MAX('Inputs'!$B$33,'Inputs'!$B$29+'Inputs'!$B$31+'Inputs'!$B$32,'Inputs'!$B$30+'Inputs'!$B$31+'Inputs'!$B$32)/1000+'Inputs'!$B$21+'Inputs'!$B$9+'Inputs'!$B$10)+'Inputs'!$B$7)/SQRT((((882-43)*MAX('Inputs'!$B$33,'Inputs'!$B$29+'Inputs'!$B$31+'Inputs'!$B$32,'Inputs'!$B$30+'Inputs'!$B$31+'Inputs'!$B$32)/1000+'Inputs'!$B$21+'Inputs'!$B$9+'Inputs'!$B$10)+'Inputs'!$B$7)^2+('Inputs'!$B$6/2)^2)-(((882-43)*MAX('Inputs'!$B$33,'Inputs'!$B$29+'Inputs'!$B$31+'Inputs'!$B$32,'Inputs'!$B$30+'Inputs'!$B$31+'Inputs'!$B$32)/1000+'Inputs'!$B$21+'Inputs'!$B$9+'Inputs'!$B$10))/SQRT((((882-43)*MAX('Inputs'!$B$33,'Inputs'!$B$29+'Inputs'!$B$31+'Inputs'!$B$32,'Inputs'!$B$30+'Inputs'!$B$31+'Inputs'!$B$32)/1000+'Inputs'!$B$21+'Inputs'!$B$9+'Inputs'!$B$10))^2+('Inputs'!$B$6/2)^2))))*'Results'!$B$8))),"")</x:f>
        <x:v>0.50939084846721</x:v>
      </x:c>
      <x:c r="O882" t="n">
        <x:f>IF(AND(ISNUMBER('Results'!C7),ISNUMBER('Results'!B7),ISNUMBER('Results'!$B$8),ISNUMBER('Inputs'!$B$6),ISNUMBER('Inputs'!$B$7),ISNUMBER('Inputs'!$B$8),ISNUMBER('Inputs'!$B$9),ISNUMBER('Inputs'!$B$10),ISNUMBER('Inputs'!$B$21),ISNUMBER('Inputs'!$B$24),ISNUMBER('Inputs'!$B$28)),((('Results'!C7*(1+'Inputs'!$B$24)*(0.5*((((882-43)*MAX('Inputs'!$B$33,'Inputs'!$B$29+'Inputs'!$B$31+'Inputs'!$B$32,'Inputs'!$B$30+'Inputs'!$B$31+'Inputs'!$B$32)/1000+'Inputs'!$B$21)+'Inputs'!$B$9)/SQRT((((882-43)*MAX('Inputs'!$B$33,'Inputs'!$B$29+'Inputs'!$B$31+'Inputs'!$B$32,'Inputs'!$B$30+'Inputs'!$B$31+'Inputs'!$B$32)/1000+'Inputs'!$B$21)+'Inputs'!$B$9)^2+('Inputs'!$B$8/2)^2)-(((882-43)*MAX('Inputs'!$B$33,'Inputs'!$B$29+'Inputs'!$B$31+'Inputs'!$B$32,'Inputs'!$B$30+'Inputs'!$B$31+'Inputs'!$B$32)/1000+'Inputs'!$B$21))/SQRT((((882-43)*MAX('Inputs'!$B$33,'Inputs'!$B$29+'Inputs'!$B$31+'Inputs'!$B$32,'Inputs'!$B$30+'Inputs'!$B$31+'Inputs'!$B$32)/1000+'Inputs'!$B$21))^2+('Inputs'!$B$8/2)^2)))-'Results'!B7*(1-'Inputs'!$B$24)*(0.5*((((882-43)*MAX('Inputs'!$B$33,'Inputs'!$B$29+'Inputs'!$B$31+'Inputs'!$B$32,'Inputs'!$B$30+'Inputs'!$B$31+'Inputs'!$B$32)/1000+'Inputs'!$B$21+'Inputs'!$B$9+'Inputs'!$B$10)+'Inputs'!$B$7)/SQRT((((882-43)*MAX('Inputs'!$B$33,'Inputs'!$B$29+'Inputs'!$B$31+'Inputs'!$B$32,'Inputs'!$B$30+'Inputs'!$B$31+'Inputs'!$B$32)/1000+'Inputs'!$B$21+'Inputs'!$B$9+'Inputs'!$B$10)+'Inputs'!$B$7)^2+('Inputs'!$B$6/2)^2)-(((882-43)*MAX('Inputs'!$B$33,'Inputs'!$B$29+'Inputs'!$B$31+'Inputs'!$B$32,'Inputs'!$B$30+'Inputs'!$B$31+'Inputs'!$B$32)/1000+'Inputs'!$B$21+'Inputs'!$B$9+'Inputs'!$B$10))/SQRT((((882-43)*MAX('Inputs'!$B$33,'Inputs'!$B$29+'Inputs'!$B$31+'Inputs'!$B$32,'Inputs'!$B$30+'Inputs'!$B$31+'Inputs'!$B$32)/1000+'Inputs'!$B$21+'Inputs'!$B$9+'Inputs'!$B$10))^2+('Inputs'!$B$6/2)^2))))*'Results'!$B$8)+'Inputs'!$B$28*ABS((('Results'!C7*(1+'Inputs'!$B$24)*(0.5*((((882-43)*MAX('Inputs'!$B$33,'Inputs'!$B$29+'Inputs'!$B$31+'Inputs'!$B$32,'Inputs'!$B$30+'Inputs'!$B$31+'Inputs'!$B$32)/1000+'Inputs'!$B$21)+'Inputs'!$B$9)/SQRT((((882-43)*MAX('Inputs'!$B$33,'Inputs'!$B$29+'Inputs'!$B$31+'Inputs'!$B$32,'Inputs'!$B$30+'Inputs'!$B$31+'Inputs'!$B$32)/1000+'Inputs'!$B$21)+'Inputs'!$B$9)^2+('Inputs'!$B$8/2)^2)-(((882-43)*MAX('Inputs'!$B$33,'Inputs'!$B$29+'Inputs'!$B$31+'Inputs'!$B$32,'Inputs'!$B$30+'Inputs'!$B$31+'Inputs'!$B$32)/1000+'Inputs'!$B$21))/SQRT((((882-43)*MAX('Inputs'!$B$33,'Inputs'!$B$29+'Inputs'!$B$31+'Inputs'!$B$32,'Inputs'!$B$30+'Inputs'!$B$31+'Inputs'!$B$32)/1000+'Inputs'!$B$21))^2+('Inputs'!$B$8/2)^2)))-'Results'!B7*(1-'Inputs'!$B$24)*(0.5*((((882-43)*MAX('Inputs'!$B$33,'Inputs'!$B$29+'Inputs'!$B$31+'Inputs'!$B$32,'Inputs'!$B$30+'Inputs'!$B$31+'Inputs'!$B$32)/1000+'Inputs'!$B$21+'Inputs'!$B$9+'Inputs'!$B$10)+'Inputs'!$B$7)/SQRT((((882-43)*MAX('Inputs'!$B$33,'Inputs'!$B$29+'Inputs'!$B$31+'Inputs'!$B$32,'Inputs'!$B$30+'Inputs'!$B$31+'Inputs'!$B$32)/1000+'Inputs'!$B$21+'Inputs'!$B$9+'Inputs'!$B$10)+'Inputs'!$B$7)^2+('Inputs'!$B$6/2)^2)-(((882-43)*MAX('Inputs'!$B$33,'Inputs'!$B$29+'Inputs'!$B$31+'Inputs'!$B$32,'Inputs'!$B$30+'Inputs'!$B$31+'Inputs'!$B$32)/1000+'Inputs'!$B$21+'Inputs'!$B$9+'Inputs'!$B$10))/SQRT((((882-43)*MAX('Inputs'!$B$33,'Inputs'!$B$29+'Inputs'!$B$31+'Inputs'!$B$32,'Inputs'!$B$30+'Inputs'!$B$31+'Inputs'!$B$32)/1000+'Inputs'!$B$21+'Inputs'!$B$9+'Inputs'!$B$10))^2+('Inputs'!$B$6/2)^2))))*'Results'!$B$8))),"")</x:f>
        <x:v>0.7084881544597419</x:v>
      </x:c>
      <x:c r="P882" t="n">
        <x:f>IF(AND(MAX(J882,J881)&gt;0,J882&gt;J881+0.00000001),1,0)</x:f>
        <x:v>0</x:v>
      </x:c>
      <x:c r="Q882" t="n">
        <x:f>IF(AND(MAX(K882,K881)&gt;0,K882&gt;K881+0.00000001),1,0)</x:f>
        <x:v>0</x:v>
      </x:c>
      <x:c r="R882" t="n">
        <x:f>IF(AND(MAX(L882,L881)&gt;0,L882&gt;L881+0.00000001),1,0)</x:f>
        <x:v>0</x:v>
      </x:c>
      <x:c r="S882" t="n">
        <x:f>IF(AND(MAX(M882,M881)&gt;0,M882&gt;M881+0.00000001),1,0)</x:f>
        <x:v>0</x:v>
      </x:c>
      <x:c r="T882" t="n">
        <x:f>IF(AND(MAX(N882,N881)&gt;0,N882&gt;N881+0.00000001),1,0)</x:f>
        <x:v>0</x:v>
      </x:c>
      <x:c r="U882" t="n">
        <x:f>IF(AND(MAX(O882,O881)&gt;0,O882&gt;O881+0.00000001),1,0)</x:f>
        <x:v>0</x:v>
      </x:c>
    </x:row>
    <x:row r="883">
      <x:c r="J883" t="n">
        <x:f>IF(AND(ISNUMBER('Results'!B7),ISNUMBER('Results'!C7),ISNUMBER('Results'!$B$8),ISNUMBER('Inputs'!$B$6),ISNUMBER('Inputs'!$B$7),ISNUMBER('Inputs'!$B$8),ISNUMBER('Inputs'!$B$9),ISNUMBER('Inputs'!$B$10),ISNUMBER('Inputs'!$B$21),ISNUMBER('Inputs'!$B$24),ISNUMBER('Inputs'!$B$28)),(('Results'!B7*(0.5*((((883-43)*MAX('Inputs'!$B$33,'Inputs'!$B$29+'Inputs'!$B$31+'Inputs'!$B$32,'Inputs'!$B$30+'Inputs'!$B$31+'Inputs'!$B$32)/1000+'Inputs'!$B$21)+'Inputs'!$B$7)/SQRT((((883-43)*MAX('Inputs'!$B$33,'Inputs'!$B$29+'Inputs'!$B$31+'Inputs'!$B$32,'Inputs'!$B$30+'Inputs'!$B$31+'Inputs'!$B$32)/1000+'Inputs'!$B$21)+'Inputs'!$B$7)^2+('Inputs'!$B$6/2)^2)-(((883-43)*MAX('Inputs'!$B$33,'Inputs'!$B$29+'Inputs'!$B$31+'Inputs'!$B$32,'Inputs'!$B$30+'Inputs'!$B$31+'Inputs'!$B$32)/1000+'Inputs'!$B$21))/SQRT((((883-43)*MAX('Inputs'!$B$33,'Inputs'!$B$29+'Inputs'!$B$31+'Inputs'!$B$32,'Inputs'!$B$30+'Inputs'!$B$31+'Inputs'!$B$32)/1000+'Inputs'!$B$21))^2+('Inputs'!$B$6/2)^2)))-'Results'!C7*(0.5*((((883-43)*MAX('Inputs'!$B$33,'Inputs'!$B$29+'Inputs'!$B$31+'Inputs'!$B$32,'Inputs'!$B$30+'Inputs'!$B$31+'Inputs'!$B$32)/1000+'Inputs'!$B$21+'Inputs'!$B$7+'Inputs'!$B$10)+'Inputs'!$B$9)/SQRT((((883-43)*MAX('Inputs'!$B$33,'Inputs'!$B$29+'Inputs'!$B$31+'Inputs'!$B$32,'Inputs'!$B$30+'Inputs'!$B$31+'Inputs'!$B$32)/1000+'Inputs'!$B$21+'Inputs'!$B$7+'Inputs'!$B$10)+'Inputs'!$B$9)^2+('Inputs'!$B$8/2)^2)-(((883-43)*MAX('Inputs'!$B$33,'Inputs'!$B$29+'Inputs'!$B$31+'Inputs'!$B$32,'Inputs'!$B$30+'Inputs'!$B$31+'Inputs'!$B$32)/1000+'Inputs'!$B$21+'Inputs'!$B$7+'Inputs'!$B$10))/SQRT((((883-43)*MAX('Inputs'!$B$33,'Inputs'!$B$29+'Inputs'!$B$31+'Inputs'!$B$32,'Inputs'!$B$30+'Inputs'!$B$31+'Inputs'!$B$32)/1000+'Inputs'!$B$21+'Inputs'!$B$7+'Inputs'!$B$10))^2+('Inputs'!$B$8/2)^2))))*'Results'!$B$8),"")</x:f>
        <x:v>0.6726829944725295</x:v>
      </x:c>
      <x:c r="K883" t="n">
        <x:f>IF(AND(ISNUMBER('Results'!B7),ISNUMBER('Results'!C7),ISNUMBER('Results'!$B$8),ISNUMBER('Inputs'!$B$6),ISNUMBER('Inputs'!$B$7),ISNUMBER('Inputs'!$B$8),ISNUMBER('Inputs'!$B$9),ISNUMBER('Inputs'!$B$10),ISNUMBER('Inputs'!$B$21),ISNUMBER('Inputs'!$B$24),ISNUMBER('Inputs'!$B$28)),((('Results'!B7*(1-'Inputs'!$B$24)*(0.5*((((883-43)*MAX('Inputs'!$B$33,'Inputs'!$B$29+'Inputs'!$B$31+'Inputs'!$B$32,'Inputs'!$B$30+'Inputs'!$B$31+'Inputs'!$B$32)/1000+'Inputs'!$B$21)+'Inputs'!$B$7)/SQRT((((883-43)*MAX('Inputs'!$B$33,'Inputs'!$B$29+'Inputs'!$B$31+'Inputs'!$B$32,'Inputs'!$B$30+'Inputs'!$B$31+'Inputs'!$B$32)/1000+'Inputs'!$B$21)+'Inputs'!$B$7)^2+('Inputs'!$B$6/2)^2)-(((883-43)*MAX('Inputs'!$B$33,'Inputs'!$B$29+'Inputs'!$B$31+'Inputs'!$B$32,'Inputs'!$B$30+'Inputs'!$B$31+'Inputs'!$B$32)/1000+'Inputs'!$B$21))/SQRT((((883-43)*MAX('Inputs'!$B$33,'Inputs'!$B$29+'Inputs'!$B$31+'Inputs'!$B$32,'Inputs'!$B$30+'Inputs'!$B$31+'Inputs'!$B$32)/1000+'Inputs'!$B$21))^2+('Inputs'!$B$6/2)^2)))-'Results'!C7*(1+'Inputs'!$B$24)*(0.5*((((883-43)*MAX('Inputs'!$B$33,'Inputs'!$B$29+'Inputs'!$B$31+'Inputs'!$B$32,'Inputs'!$B$30+'Inputs'!$B$31+'Inputs'!$B$32)/1000+'Inputs'!$B$21+'Inputs'!$B$7+'Inputs'!$B$10)+'Inputs'!$B$9)/SQRT((((883-43)*MAX('Inputs'!$B$33,'Inputs'!$B$29+'Inputs'!$B$31+'Inputs'!$B$32,'Inputs'!$B$30+'Inputs'!$B$31+'Inputs'!$B$32)/1000+'Inputs'!$B$21+'Inputs'!$B$7+'Inputs'!$B$10)+'Inputs'!$B$9)^2+('Inputs'!$B$8/2)^2)-(((883-43)*MAX('Inputs'!$B$33,'Inputs'!$B$29+'Inputs'!$B$31+'Inputs'!$B$32,'Inputs'!$B$30+'Inputs'!$B$31+'Inputs'!$B$32)/1000+'Inputs'!$B$21+'Inputs'!$B$7+'Inputs'!$B$10))/SQRT((((883-43)*MAX('Inputs'!$B$33,'Inputs'!$B$29+'Inputs'!$B$31+'Inputs'!$B$32,'Inputs'!$B$30+'Inputs'!$B$31+'Inputs'!$B$32)/1000+'Inputs'!$B$21+'Inputs'!$B$7+'Inputs'!$B$10))^2+('Inputs'!$B$8/2)^2))))*'Results'!$B$8)-'Inputs'!$B$28*ABS((('Results'!B7*(1-'Inputs'!$B$24)*(0.5*((((883-43)*MAX('Inputs'!$B$33,'Inputs'!$B$29+'Inputs'!$B$31+'Inputs'!$B$32,'Inputs'!$B$30+'Inputs'!$B$31+'Inputs'!$B$32)/1000+'Inputs'!$B$21)+'Inputs'!$B$7)/SQRT((((883-43)*MAX('Inputs'!$B$33,'Inputs'!$B$29+'Inputs'!$B$31+'Inputs'!$B$32,'Inputs'!$B$30+'Inputs'!$B$31+'Inputs'!$B$32)/1000+'Inputs'!$B$21)+'Inputs'!$B$7)^2+('Inputs'!$B$6/2)^2)-(((883-43)*MAX('Inputs'!$B$33,'Inputs'!$B$29+'Inputs'!$B$31+'Inputs'!$B$32,'Inputs'!$B$30+'Inputs'!$B$31+'Inputs'!$B$32)/1000+'Inputs'!$B$21))/SQRT((((883-43)*MAX('Inputs'!$B$33,'Inputs'!$B$29+'Inputs'!$B$31+'Inputs'!$B$32,'Inputs'!$B$30+'Inputs'!$B$31+'Inputs'!$B$32)/1000+'Inputs'!$B$21))^2+('Inputs'!$B$6/2)^2)))-'Results'!C7*(1+'Inputs'!$B$24)*(0.5*((((883-43)*MAX('Inputs'!$B$33,'Inputs'!$B$29+'Inputs'!$B$31+'Inputs'!$B$32,'Inputs'!$B$30+'Inputs'!$B$31+'Inputs'!$B$32)/1000+'Inputs'!$B$21+'Inputs'!$B$7+'Inputs'!$B$10)+'Inputs'!$B$9)/SQRT((((883-43)*MAX('Inputs'!$B$33,'Inputs'!$B$29+'Inputs'!$B$31+'Inputs'!$B$32,'Inputs'!$B$30+'Inputs'!$B$31+'Inputs'!$B$32)/1000+'Inputs'!$B$21+'Inputs'!$B$7+'Inputs'!$B$10)+'Inputs'!$B$9)^2+('Inputs'!$B$8/2)^2)-(((883-43)*MAX('Inputs'!$B$33,'Inputs'!$B$29+'Inputs'!$B$31+'Inputs'!$B$32,'Inputs'!$B$30+'Inputs'!$B$31+'Inputs'!$B$32)/1000+'Inputs'!$B$21+'Inputs'!$B$7+'Inputs'!$B$10))/SQRT((((883-43)*MAX('Inputs'!$B$33,'Inputs'!$B$29+'Inputs'!$B$31+'Inputs'!$B$32,'Inputs'!$B$30+'Inputs'!$B$31+'Inputs'!$B$32)/1000+'Inputs'!$B$21+'Inputs'!$B$7+'Inputs'!$B$10))^2+('Inputs'!$B$8/2)^2))))*'Results'!$B$8))),"")</x:f>
        <x:v>0.5732096042695778</x:v>
      </x:c>
      <x:c r="L883" t="n">
        <x:f>IF(AND(ISNUMBER('Results'!B7),ISNUMBER('Results'!C7),ISNUMBER('Results'!$B$8),ISNUMBER('Inputs'!$B$6),ISNUMBER('Inputs'!$B$7),ISNUMBER('Inputs'!$B$8),ISNUMBER('Inputs'!$B$9),ISNUMBER('Inputs'!$B$10),ISNUMBER('Inputs'!$B$21),ISNUMBER('Inputs'!$B$24),ISNUMBER('Inputs'!$B$28)),((('Results'!B7*(1+'Inputs'!$B$24)*(0.5*((((883-43)*MAX('Inputs'!$B$33,'Inputs'!$B$29+'Inputs'!$B$31+'Inputs'!$B$32,'Inputs'!$B$30+'Inputs'!$B$31+'Inputs'!$B$32)/1000+'Inputs'!$B$21)+'Inputs'!$B$7)/SQRT((((883-43)*MAX('Inputs'!$B$33,'Inputs'!$B$29+'Inputs'!$B$31+'Inputs'!$B$32,'Inputs'!$B$30+'Inputs'!$B$31+'Inputs'!$B$32)/1000+'Inputs'!$B$21)+'Inputs'!$B$7)^2+('Inputs'!$B$6/2)^2)-(((883-43)*MAX('Inputs'!$B$33,'Inputs'!$B$29+'Inputs'!$B$31+'Inputs'!$B$32,'Inputs'!$B$30+'Inputs'!$B$31+'Inputs'!$B$32)/1000+'Inputs'!$B$21))/SQRT((((883-43)*MAX('Inputs'!$B$33,'Inputs'!$B$29+'Inputs'!$B$31+'Inputs'!$B$32,'Inputs'!$B$30+'Inputs'!$B$31+'Inputs'!$B$32)/1000+'Inputs'!$B$21))^2+('Inputs'!$B$6/2)^2)))-'Results'!C7*(1-'Inputs'!$B$24)*(0.5*((((883-43)*MAX('Inputs'!$B$33,'Inputs'!$B$29+'Inputs'!$B$31+'Inputs'!$B$32,'Inputs'!$B$30+'Inputs'!$B$31+'Inputs'!$B$32)/1000+'Inputs'!$B$21+'Inputs'!$B$7+'Inputs'!$B$10)+'Inputs'!$B$9)/SQRT((((883-43)*MAX('Inputs'!$B$33,'Inputs'!$B$29+'Inputs'!$B$31+'Inputs'!$B$32,'Inputs'!$B$30+'Inputs'!$B$31+'Inputs'!$B$32)/1000+'Inputs'!$B$21+'Inputs'!$B$7+'Inputs'!$B$10)+'Inputs'!$B$9)^2+('Inputs'!$B$8/2)^2)-(((883-43)*MAX('Inputs'!$B$33,'Inputs'!$B$29+'Inputs'!$B$31+'Inputs'!$B$32,'Inputs'!$B$30+'Inputs'!$B$31+'Inputs'!$B$32)/1000+'Inputs'!$B$21+'Inputs'!$B$7+'Inputs'!$B$10))/SQRT((((883-43)*MAX('Inputs'!$B$33,'Inputs'!$B$29+'Inputs'!$B$31+'Inputs'!$B$32,'Inputs'!$B$30+'Inputs'!$B$31+'Inputs'!$B$32)/1000+'Inputs'!$B$21+'Inputs'!$B$7+'Inputs'!$B$10))^2+('Inputs'!$B$8/2)^2))))*'Results'!$B$8)+'Inputs'!$B$28*ABS((('Results'!B7*(1+'Inputs'!$B$24)*(0.5*((((883-43)*MAX('Inputs'!$B$33,'Inputs'!$B$29+'Inputs'!$B$31+'Inputs'!$B$32,'Inputs'!$B$30+'Inputs'!$B$31+'Inputs'!$B$32)/1000+'Inputs'!$B$21)+'Inputs'!$B$7)/SQRT((((883-43)*MAX('Inputs'!$B$33,'Inputs'!$B$29+'Inputs'!$B$31+'Inputs'!$B$32,'Inputs'!$B$30+'Inputs'!$B$31+'Inputs'!$B$32)/1000+'Inputs'!$B$21)+'Inputs'!$B$7)^2+('Inputs'!$B$6/2)^2)-(((883-43)*MAX('Inputs'!$B$33,'Inputs'!$B$29+'Inputs'!$B$31+'Inputs'!$B$32,'Inputs'!$B$30+'Inputs'!$B$31+'Inputs'!$B$32)/1000+'Inputs'!$B$21))/SQRT((((883-43)*MAX('Inputs'!$B$33,'Inputs'!$B$29+'Inputs'!$B$31+'Inputs'!$B$32,'Inputs'!$B$30+'Inputs'!$B$31+'Inputs'!$B$32)/1000+'Inputs'!$B$21))^2+('Inputs'!$B$6/2)^2)))-'Results'!C7*(1-'Inputs'!$B$24)*(0.5*((((883-43)*MAX('Inputs'!$B$33,'Inputs'!$B$29+'Inputs'!$B$31+'Inputs'!$B$32,'Inputs'!$B$30+'Inputs'!$B$31+'Inputs'!$B$32)/1000+'Inputs'!$B$21+'Inputs'!$B$7+'Inputs'!$B$10)+'Inputs'!$B$9)/SQRT((((883-43)*MAX('Inputs'!$B$33,'Inputs'!$B$29+'Inputs'!$B$31+'Inputs'!$B$32,'Inputs'!$B$30+'Inputs'!$B$31+'Inputs'!$B$32)/1000+'Inputs'!$B$21+'Inputs'!$B$7+'Inputs'!$B$10)+'Inputs'!$B$9)^2+('Inputs'!$B$8/2)^2)-(((883-43)*MAX('Inputs'!$B$33,'Inputs'!$B$29+'Inputs'!$B$31+'Inputs'!$B$32,'Inputs'!$B$30+'Inputs'!$B$31+'Inputs'!$B$32)/1000+'Inputs'!$B$21+'Inputs'!$B$7+'Inputs'!$B$10))/SQRT((((883-43)*MAX('Inputs'!$B$33,'Inputs'!$B$29+'Inputs'!$B$31+'Inputs'!$B$32,'Inputs'!$B$30+'Inputs'!$B$31+'Inputs'!$B$32)/1000+'Inputs'!$B$21+'Inputs'!$B$7+'Inputs'!$B$10))^2+('Inputs'!$B$8/2)^2))))*'Results'!$B$8))),"")</x:f>
        <x:v>0.7790868310417265</x:v>
      </x:c>
      <x:c r="M883" t="n">
        <x:f>IF(AND(ISNUMBER('Results'!C7),ISNUMBER('Results'!B7),ISNUMBER('Results'!$B$8),ISNUMBER('Inputs'!$B$6),ISNUMBER('Inputs'!$B$7),ISNUMBER('Inputs'!$B$8),ISNUMBER('Inputs'!$B$9),ISNUMBER('Inputs'!$B$10),ISNUMBER('Inputs'!$B$21),ISNUMBER('Inputs'!$B$24),ISNUMBER('Inputs'!$B$28)),(('Results'!C7*(0.5*((((883-43)*MAX('Inputs'!$B$33,'Inputs'!$B$29+'Inputs'!$B$31+'Inputs'!$B$32,'Inputs'!$B$30+'Inputs'!$B$31+'Inputs'!$B$32)/1000+'Inputs'!$B$21)+'Inputs'!$B$9)/SQRT((((883-43)*MAX('Inputs'!$B$33,'Inputs'!$B$29+'Inputs'!$B$31+'Inputs'!$B$32,'Inputs'!$B$30+'Inputs'!$B$31+'Inputs'!$B$32)/1000+'Inputs'!$B$21)+'Inputs'!$B$9)^2+('Inputs'!$B$8/2)^2)-(((883-43)*MAX('Inputs'!$B$33,'Inputs'!$B$29+'Inputs'!$B$31+'Inputs'!$B$32,'Inputs'!$B$30+'Inputs'!$B$31+'Inputs'!$B$32)/1000+'Inputs'!$B$21))/SQRT((((883-43)*MAX('Inputs'!$B$33,'Inputs'!$B$29+'Inputs'!$B$31+'Inputs'!$B$32,'Inputs'!$B$30+'Inputs'!$B$31+'Inputs'!$B$32)/1000+'Inputs'!$B$21))^2+('Inputs'!$B$8/2)^2)))-'Results'!B7*(0.5*((((883-43)*MAX('Inputs'!$B$33,'Inputs'!$B$29+'Inputs'!$B$31+'Inputs'!$B$32,'Inputs'!$B$30+'Inputs'!$B$31+'Inputs'!$B$32)/1000+'Inputs'!$B$21+'Inputs'!$B$9+'Inputs'!$B$10)+'Inputs'!$B$7)/SQRT((((883-43)*MAX('Inputs'!$B$33,'Inputs'!$B$29+'Inputs'!$B$31+'Inputs'!$B$32,'Inputs'!$B$30+'Inputs'!$B$31+'Inputs'!$B$32)/1000+'Inputs'!$B$21+'Inputs'!$B$9+'Inputs'!$B$10)+'Inputs'!$B$7)^2+('Inputs'!$B$6/2)^2)-(((883-43)*MAX('Inputs'!$B$33,'Inputs'!$B$29+'Inputs'!$B$31+'Inputs'!$B$32,'Inputs'!$B$30+'Inputs'!$B$31+'Inputs'!$B$32)/1000+'Inputs'!$B$21+'Inputs'!$B$9+'Inputs'!$B$10))/SQRT((((883-43)*MAX('Inputs'!$B$33,'Inputs'!$B$29+'Inputs'!$B$31+'Inputs'!$B$32,'Inputs'!$B$30+'Inputs'!$B$31+'Inputs'!$B$32)/1000+'Inputs'!$B$21+'Inputs'!$B$9+'Inputs'!$B$10))^2+('Inputs'!$B$6/2)^2))))*'Results'!$B$8),"")</x:f>
        <x:v>0.602808624649133</x:v>
      </x:c>
      <x:c r="N883" t="n">
        <x:f>IF(AND(ISNUMBER('Results'!C7),ISNUMBER('Results'!B7),ISNUMBER('Results'!$B$8),ISNUMBER('Inputs'!$B$6),ISNUMBER('Inputs'!$B$7),ISNUMBER('Inputs'!$B$8),ISNUMBER('Inputs'!$B$9),ISNUMBER('Inputs'!$B$10),ISNUMBER('Inputs'!$B$21),ISNUMBER('Inputs'!$B$24),ISNUMBER('Inputs'!$B$28)),((('Results'!C7*(1-'Inputs'!$B$24)*(0.5*((((883-43)*MAX('Inputs'!$B$33,'Inputs'!$B$29+'Inputs'!$B$31+'Inputs'!$B$32,'Inputs'!$B$30+'Inputs'!$B$31+'Inputs'!$B$32)/1000+'Inputs'!$B$21)+'Inputs'!$B$9)/SQRT((((883-43)*MAX('Inputs'!$B$33,'Inputs'!$B$29+'Inputs'!$B$31+'Inputs'!$B$32,'Inputs'!$B$30+'Inputs'!$B$31+'Inputs'!$B$32)/1000+'Inputs'!$B$21)+'Inputs'!$B$9)^2+('Inputs'!$B$8/2)^2)-(((883-43)*MAX('Inputs'!$B$33,'Inputs'!$B$29+'Inputs'!$B$31+'Inputs'!$B$32,'Inputs'!$B$30+'Inputs'!$B$31+'Inputs'!$B$32)/1000+'Inputs'!$B$21))/SQRT((((883-43)*MAX('Inputs'!$B$33,'Inputs'!$B$29+'Inputs'!$B$31+'Inputs'!$B$32,'Inputs'!$B$30+'Inputs'!$B$31+'Inputs'!$B$32)/1000+'Inputs'!$B$21))^2+('Inputs'!$B$8/2)^2)))-'Results'!B7*(1+'Inputs'!$B$24)*(0.5*((((883-43)*MAX('Inputs'!$B$33,'Inputs'!$B$29+'Inputs'!$B$31+'Inputs'!$B$32,'Inputs'!$B$30+'Inputs'!$B$31+'Inputs'!$B$32)/1000+'Inputs'!$B$21+'Inputs'!$B$9+'Inputs'!$B$10)+'Inputs'!$B$7)/SQRT((((883-43)*MAX('Inputs'!$B$33,'Inputs'!$B$29+'Inputs'!$B$31+'Inputs'!$B$32,'Inputs'!$B$30+'Inputs'!$B$31+'Inputs'!$B$32)/1000+'Inputs'!$B$21+'Inputs'!$B$9+'Inputs'!$B$10)+'Inputs'!$B$7)^2+('Inputs'!$B$6/2)^2)-(((883-43)*MAX('Inputs'!$B$33,'Inputs'!$B$29+'Inputs'!$B$31+'Inputs'!$B$32,'Inputs'!$B$30+'Inputs'!$B$31+'Inputs'!$B$32)/1000+'Inputs'!$B$21+'Inputs'!$B$9+'Inputs'!$B$10))/SQRT((((883-43)*MAX('Inputs'!$B$33,'Inputs'!$B$29+'Inputs'!$B$31+'Inputs'!$B$32,'Inputs'!$B$30+'Inputs'!$B$31+'Inputs'!$B$32)/1000+'Inputs'!$B$21+'Inputs'!$B$9+'Inputs'!$B$10))^2+('Inputs'!$B$6/2)^2))))*'Results'!$B$8)-'Inputs'!$B$28*ABS((('Results'!C7*(1-'Inputs'!$B$24)*(0.5*((((883-43)*MAX('Inputs'!$B$33,'Inputs'!$B$29+'Inputs'!$B$31+'Inputs'!$B$32,'Inputs'!$B$30+'Inputs'!$B$31+'Inputs'!$B$32)/1000+'Inputs'!$B$21)+'Inputs'!$B$9)/SQRT((((883-43)*MAX('Inputs'!$B$33,'Inputs'!$B$29+'Inputs'!$B$31+'Inputs'!$B$32,'Inputs'!$B$30+'Inputs'!$B$31+'Inputs'!$B$32)/1000+'Inputs'!$B$21)+'Inputs'!$B$9)^2+('Inputs'!$B$8/2)^2)-(((883-43)*MAX('Inputs'!$B$33,'Inputs'!$B$29+'Inputs'!$B$31+'Inputs'!$B$32,'Inputs'!$B$30+'Inputs'!$B$31+'Inputs'!$B$32)/1000+'Inputs'!$B$21))/SQRT((((883-43)*MAX('Inputs'!$B$33,'Inputs'!$B$29+'Inputs'!$B$31+'Inputs'!$B$32,'Inputs'!$B$30+'Inputs'!$B$31+'Inputs'!$B$32)/1000+'Inputs'!$B$21))^2+('Inputs'!$B$8/2)^2)))-'Results'!B7*(1+'Inputs'!$B$24)*(0.5*((((883-43)*MAX('Inputs'!$B$33,'Inputs'!$B$29+'Inputs'!$B$31+'Inputs'!$B$32,'Inputs'!$B$30+'Inputs'!$B$31+'Inputs'!$B$32)/1000+'Inputs'!$B$21+'Inputs'!$B$9+'Inputs'!$B$10)+'Inputs'!$B$7)/SQRT((((883-43)*MAX('Inputs'!$B$33,'Inputs'!$B$29+'Inputs'!$B$31+'Inputs'!$B$32,'Inputs'!$B$30+'Inputs'!$B$31+'Inputs'!$B$32)/1000+'Inputs'!$B$21+'Inputs'!$B$9+'Inputs'!$B$10)+'Inputs'!$B$7)^2+('Inputs'!$B$6/2)^2)-(((883-43)*MAX('Inputs'!$B$33,'Inputs'!$B$29+'Inputs'!$B$31+'Inputs'!$B$32,'Inputs'!$B$30+'Inputs'!$B$31+'Inputs'!$B$32)/1000+'Inputs'!$B$21+'Inputs'!$B$9+'Inputs'!$B$10))/SQRT((((883-43)*MAX('Inputs'!$B$33,'Inputs'!$B$29+'Inputs'!$B$31+'Inputs'!$B$32,'Inputs'!$B$30+'Inputs'!$B$31+'Inputs'!$B$32)/1000+'Inputs'!$B$21+'Inputs'!$B$9+'Inputs'!$B$10))^2+('Inputs'!$B$6/2)^2))))*'Results'!$B$8))),"")</x:f>
        <x:v>0.5070737442581921</x:v>
      </x:c>
      <x:c r="O883" t="n">
        <x:f>IF(AND(ISNUMBER('Results'!C7),ISNUMBER('Results'!B7),ISNUMBER('Results'!$B$8),ISNUMBER('Inputs'!$B$6),ISNUMBER('Inputs'!$B$7),ISNUMBER('Inputs'!$B$8),ISNUMBER('Inputs'!$B$9),ISNUMBER('Inputs'!$B$10),ISNUMBER('Inputs'!$B$21),ISNUMBER('Inputs'!$B$24),ISNUMBER('Inputs'!$B$28)),((('Results'!C7*(1+'Inputs'!$B$24)*(0.5*((((883-43)*MAX('Inputs'!$B$33,'Inputs'!$B$29+'Inputs'!$B$31+'Inputs'!$B$32,'Inputs'!$B$30+'Inputs'!$B$31+'Inputs'!$B$32)/1000+'Inputs'!$B$21)+'Inputs'!$B$9)/SQRT((((883-43)*MAX('Inputs'!$B$33,'Inputs'!$B$29+'Inputs'!$B$31+'Inputs'!$B$32,'Inputs'!$B$30+'Inputs'!$B$31+'Inputs'!$B$32)/1000+'Inputs'!$B$21)+'Inputs'!$B$9)^2+('Inputs'!$B$8/2)^2)-(((883-43)*MAX('Inputs'!$B$33,'Inputs'!$B$29+'Inputs'!$B$31+'Inputs'!$B$32,'Inputs'!$B$30+'Inputs'!$B$31+'Inputs'!$B$32)/1000+'Inputs'!$B$21))/SQRT((((883-43)*MAX('Inputs'!$B$33,'Inputs'!$B$29+'Inputs'!$B$31+'Inputs'!$B$32,'Inputs'!$B$30+'Inputs'!$B$31+'Inputs'!$B$32)/1000+'Inputs'!$B$21))^2+('Inputs'!$B$8/2)^2)))-'Results'!B7*(1-'Inputs'!$B$24)*(0.5*((((883-43)*MAX('Inputs'!$B$33,'Inputs'!$B$29+'Inputs'!$B$31+'Inputs'!$B$32,'Inputs'!$B$30+'Inputs'!$B$31+'Inputs'!$B$32)/1000+'Inputs'!$B$21+'Inputs'!$B$9+'Inputs'!$B$10)+'Inputs'!$B$7)/SQRT((((883-43)*MAX('Inputs'!$B$33,'Inputs'!$B$29+'Inputs'!$B$31+'Inputs'!$B$32,'Inputs'!$B$30+'Inputs'!$B$31+'Inputs'!$B$32)/1000+'Inputs'!$B$21+'Inputs'!$B$9+'Inputs'!$B$10)+'Inputs'!$B$7)^2+('Inputs'!$B$6/2)^2)-(((883-43)*MAX('Inputs'!$B$33,'Inputs'!$B$29+'Inputs'!$B$31+'Inputs'!$B$32,'Inputs'!$B$30+'Inputs'!$B$31+'Inputs'!$B$32)/1000+'Inputs'!$B$21+'Inputs'!$B$9+'Inputs'!$B$10))/SQRT((((883-43)*MAX('Inputs'!$B$33,'Inputs'!$B$29+'Inputs'!$B$31+'Inputs'!$B$32,'Inputs'!$B$30+'Inputs'!$B$31+'Inputs'!$B$32)/1000+'Inputs'!$B$21+'Inputs'!$B$9+'Inputs'!$B$10))^2+('Inputs'!$B$6/2)^2))))*'Results'!$B$8)+'Inputs'!$B$28*ABS((('Results'!C7*(1+'Inputs'!$B$24)*(0.5*((((883-43)*MAX('Inputs'!$B$33,'Inputs'!$B$29+'Inputs'!$B$31+'Inputs'!$B$32,'Inputs'!$B$30+'Inputs'!$B$31+'Inputs'!$B$32)/1000+'Inputs'!$B$21)+'Inputs'!$B$9)/SQRT((((883-43)*MAX('Inputs'!$B$33,'Inputs'!$B$29+'Inputs'!$B$31+'Inputs'!$B$32,'Inputs'!$B$30+'Inputs'!$B$31+'Inputs'!$B$32)/1000+'Inputs'!$B$21)+'Inputs'!$B$9)^2+('Inputs'!$B$8/2)^2)-(((883-43)*MAX('Inputs'!$B$33,'Inputs'!$B$29+'Inputs'!$B$31+'Inputs'!$B$32,'Inputs'!$B$30+'Inputs'!$B$31+'Inputs'!$B$32)/1000+'Inputs'!$B$21))/SQRT((((883-43)*MAX('Inputs'!$B$33,'Inputs'!$B$29+'Inputs'!$B$31+'Inputs'!$B$32,'Inputs'!$B$30+'Inputs'!$B$31+'Inputs'!$B$32)/1000+'Inputs'!$B$21))^2+('Inputs'!$B$8/2)^2)))-'Results'!B7*(1-'Inputs'!$B$24)*(0.5*((((883-43)*MAX('Inputs'!$B$33,'Inputs'!$B$29+'Inputs'!$B$31+'Inputs'!$B$32,'Inputs'!$B$30+'Inputs'!$B$31+'Inputs'!$B$32)/1000+'Inputs'!$B$21+'Inputs'!$B$9+'Inputs'!$B$10)+'Inputs'!$B$7)/SQRT((((883-43)*MAX('Inputs'!$B$33,'Inputs'!$B$29+'Inputs'!$B$31+'Inputs'!$B$32,'Inputs'!$B$30+'Inputs'!$B$31+'Inputs'!$B$32)/1000+'Inputs'!$B$21+'Inputs'!$B$9+'Inputs'!$B$10)+'Inputs'!$B$7)^2+('Inputs'!$B$6/2)^2)-(((883-43)*MAX('Inputs'!$B$33,'Inputs'!$B$29+'Inputs'!$B$31+'Inputs'!$B$32,'Inputs'!$B$30+'Inputs'!$B$31+'Inputs'!$B$32)/1000+'Inputs'!$B$21+'Inputs'!$B$9+'Inputs'!$B$10))/SQRT((((883-43)*MAX('Inputs'!$B$33,'Inputs'!$B$29+'Inputs'!$B$31+'Inputs'!$B$32,'Inputs'!$B$30+'Inputs'!$B$31+'Inputs'!$B$32)/1000+'Inputs'!$B$21+'Inputs'!$B$9+'Inputs'!$B$10))^2+('Inputs'!$B$6/2)^2))))*'Results'!$B$8))),"")</x:f>
        <x:v>0.7054481838988615</x:v>
      </x:c>
      <x:c r="P883" t="n">
        <x:f>IF(AND(MAX(J883,J882)&gt;0,J883&gt;J882+0.00000001),1,0)</x:f>
        <x:v>0</x:v>
      </x:c>
      <x:c r="Q883" t="n">
        <x:f>IF(AND(MAX(K883,K882)&gt;0,K883&gt;K882+0.00000001),1,0)</x:f>
        <x:v>0</x:v>
      </x:c>
      <x:c r="R883" t="n">
        <x:f>IF(AND(MAX(L883,L882)&gt;0,L883&gt;L882+0.00000001),1,0)</x:f>
        <x:v>0</x:v>
      </x:c>
      <x:c r="S883" t="n">
        <x:f>IF(AND(MAX(M883,M882)&gt;0,M883&gt;M882+0.00000001),1,0)</x:f>
        <x:v>0</x:v>
      </x:c>
      <x:c r="T883" t="n">
        <x:f>IF(AND(MAX(N883,N882)&gt;0,N883&gt;N882+0.00000001),1,0)</x:f>
        <x:v>0</x:v>
      </x:c>
      <x:c r="U883" t="n">
        <x:f>IF(AND(MAX(O883,O882)&gt;0,O883&gt;O882+0.00000001),1,0)</x:f>
        <x:v>0</x:v>
      </x:c>
    </x:row>
    <x:row r="884">
      <x:c r="J884" t="n">
        <x:f>IF(AND(ISNUMBER('Results'!B7),ISNUMBER('Results'!C7),ISNUMBER('Results'!$B$8),ISNUMBER('Inputs'!$B$6),ISNUMBER('Inputs'!$B$7),ISNUMBER('Inputs'!$B$8),ISNUMBER('Inputs'!$B$9),ISNUMBER('Inputs'!$B$10),ISNUMBER('Inputs'!$B$21),ISNUMBER('Inputs'!$B$24),ISNUMBER('Inputs'!$B$28)),(('Results'!B7*(0.5*((((884-43)*MAX('Inputs'!$B$33,'Inputs'!$B$29+'Inputs'!$B$31+'Inputs'!$B$32,'Inputs'!$B$30+'Inputs'!$B$31+'Inputs'!$B$32)/1000+'Inputs'!$B$21)+'Inputs'!$B$7)/SQRT((((884-43)*MAX('Inputs'!$B$33,'Inputs'!$B$29+'Inputs'!$B$31+'Inputs'!$B$32,'Inputs'!$B$30+'Inputs'!$B$31+'Inputs'!$B$32)/1000+'Inputs'!$B$21)+'Inputs'!$B$7)^2+('Inputs'!$B$6/2)^2)-(((884-43)*MAX('Inputs'!$B$33,'Inputs'!$B$29+'Inputs'!$B$31+'Inputs'!$B$32,'Inputs'!$B$30+'Inputs'!$B$31+'Inputs'!$B$32)/1000+'Inputs'!$B$21))/SQRT((((884-43)*MAX('Inputs'!$B$33,'Inputs'!$B$29+'Inputs'!$B$31+'Inputs'!$B$32,'Inputs'!$B$30+'Inputs'!$B$31+'Inputs'!$B$32)/1000+'Inputs'!$B$21))^2+('Inputs'!$B$6/2)^2)))-'Results'!C7*(0.5*((((884-43)*MAX('Inputs'!$B$33,'Inputs'!$B$29+'Inputs'!$B$31+'Inputs'!$B$32,'Inputs'!$B$30+'Inputs'!$B$31+'Inputs'!$B$32)/1000+'Inputs'!$B$21+'Inputs'!$B$7+'Inputs'!$B$10)+'Inputs'!$B$9)/SQRT((((884-43)*MAX('Inputs'!$B$33,'Inputs'!$B$29+'Inputs'!$B$31+'Inputs'!$B$32,'Inputs'!$B$30+'Inputs'!$B$31+'Inputs'!$B$32)/1000+'Inputs'!$B$21+'Inputs'!$B$7+'Inputs'!$B$10)+'Inputs'!$B$9)^2+('Inputs'!$B$8/2)^2)-(((884-43)*MAX('Inputs'!$B$33,'Inputs'!$B$29+'Inputs'!$B$31+'Inputs'!$B$32,'Inputs'!$B$30+'Inputs'!$B$31+'Inputs'!$B$32)/1000+'Inputs'!$B$21+'Inputs'!$B$7+'Inputs'!$B$10))/SQRT((((884-43)*MAX('Inputs'!$B$33,'Inputs'!$B$29+'Inputs'!$B$31+'Inputs'!$B$32,'Inputs'!$B$30+'Inputs'!$B$31+'Inputs'!$B$32)/1000+'Inputs'!$B$21+'Inputs'!$B$7+'Inputs'!$B$10))^2+('Inputs'!$B$8/2)^2))))*'Results'!$B$8),"")</x:f>
        <x:v>0.669800506412867</x:v>
      </x:c>
      <x:c r="K884" t="n">
        <x:f>IF(AND(ISNUMBER('Results'!B7),ISNUMBER('Results'!C7),ISNUMBER('Results'!$B$8),ISNUMBER('Inputs'!$B$6),ISNUMBER('Inputs'!$B$7),ISNUMBER('Inputs'!$B$8),ISNUMBER('Inputs'!$B$9),ISNUMBER('Inputs'!$B$10),ISNUMBER('Inputs'!$B$21),ISNUMBER('Inputs'!$B$24),ISNUMBER('Inputs'!$B$28)),((('Results'!B7*(1-'Inputs'!$B$24)*(0.5*((((884-43)*MAX('Inputs'!$B$33,'Inputs'!$B$29+'Inputs'!$B$31+'Inputs'!$B$32,'Inputs'!$B$30+'Inputs'!$B$31+'Inputs'!$B$32)/1000+'Inputs'!$B$21)+'Inputs'!$B$7)/SQRT((((884-43)*MAX('Inputs'!$B$33,'Inputs'!$B$29+'Inputs'!$B$31+'Inputs'!$B$32,'Inputs'!$B$30+'Inputs'!$B$31+'Inputs'!$B$32)/1000+'Inputs'!$B$21)+'Inputs'!$B$7)^2+('Inputs'!$B$6/2)^2)-(((884-43)*MAX('Inputs'!$B$33,'Inputs'!$B$29+'Inputs'!$B$31+'Inputs'!$B$32,'Inputs'!$B$30+'Inputs'!$B$31+'Inputs'!$B$32)/1000+'Inputs'!$B$21))/SQRT((((884-43)*MAX('Inputs'!$B$33,'Inputs'!$B$29+'Inputs'!$B$31+'Inputs'!$B$32,'Inputs'!$B$30+'Inputs'!$B$31+'Inputs'!$B$32)/1000+'Inputs'!$B$21))^2+('Inputs'!$B$6/2)^2)))-'Results'!C7*(1+'Inputs'!$B$24)*(0.5*((((884-43)*MAX('Inputs'!$B$33,'Inputs'!$B$29+'Inputs'!$B$31+'Inputs'!$B$32,'Inputs'!$B$30+'Inputs'!$B$31+'Inputs'!$B$32)/1000+'Inputs'!$B$21+'Inputs'!$B$7+'Inputs'!$B$10)+'Inputs'!$B$9)/SQRT((((884-43)*MAX('Inputs'!$B$33,'Inputs'!$B$29+'Inputs'!$B$31+'Inputs'!$B$32,'Inputs'!$B$30+'Inputs'!$B$31+'Inputs'!$B$32)/1000+'Inputs'!$B$21+'Inputs'!$B$7+'Inputs'!$B$10)+'Inputs'!$B$9)^2+('Inputs'!$B$8/2)^2)-(((884-43)*MAX('Inputs'!$B$33,'Inputs'!$B$29+'Inputs'!$B$31+'Inputs'!$B$32,'Inputs'!$B$30+'Inputs'!$B$31+'Inputs'!$B$32)/1000+'Inputs'!$B$21+'Inputs'!$B$7+'Inputs'!$B$10))/SQRT((((884-43)*MAX('Inputs'!$B$33,'Inputs'!$B$29+'Inputs'!$B$31+'Inputs'!$B$32,'Inputs'!$B$30+'Inputs'!$B$31+'Inputs'!$B$32)/1000+'Inputs'!$B$21+'Inputs'!$B$7+'Inputs'!$B$10))^2+('Inputs'!$B$8/2)^2))))*'Results'!$B$8)-'Inputs'!$B$28*ABS((('Results'!B7*(1-'Inputs'!$B$24)*(0.5*((((884-43)*MAX('Inputs'!$B$33,'Inputs'!$B$29+'Inputs'!$B$31+'Inputs'!$B$32,'Inputs'!$B$30+'Inputs'!$B$31+'Inputs'!$B$32)/1000+'Inputs'!$B$21)+'Inputs'!$B$7)/SQRT((((884-43)*MAX('Inputs'!$B$33,'Inputs'!$B$29+'Inputs'!$B$31+'Inputs'!$B$32,'Inputs'!$B$30+'Inputs'!$B$31+'Inputs'!$B$32)/1000+'Inputs'!$B$21)+'Inputs'!$B$7)^2+('Inputs'!$B$6/2)^2)-(((884-43)*MAX('Inputs'!$B$33,'Inputs'!$B$29+'Inputs'!$B$31+'Inputs'!$B$32,'Inputs'!$B$30+'Inputs'!$B$31+'Inputs'!$B$32)/1000+'Inputs'!$B$21))/SQRT((((884-43)*MAX('Inputs'!$B$33,'Inputs'!$B$29+'Inputs'!$B$31+'Inputs'!$B$32,'Inputs'!$B$30+'Inputs'!$B$31+'Inputs'!$B$32)/1000+'Inputs'!$B$21))^2+('Inputs'!$B$6/2)^2)))-'Results'!C7*(1+'Inputs'!$B$24)*(0.5*((((884-43)*MAX('Inputs'!$B$33,'Inputs'!$B$29+'Inputs'!$B$31+'Inputs'!$B$32,'Inputs'!$B$30+'Inputs'!$B$31+'Inputs'!$B$32)/1000+'Inputs'!$B$21+'Inputs'!$B$7+'Inputs'!$B$10)+'Inputs'!$B$9)/SQRT((((884-43)*MAX('Inputs'!$B$33,'Inputs'!$B$29+'Inputs'!$B$31+'Inputs'!$B$32,'Inputs'!$B$30+'Inputs'!$B$31+'Inputs'!$B$32)/1000+'Inputs'!$B$21+'Inputs'!$B$7+'Inputs'!$B$10)+'Inputs'!$B$9)^2+('Inputs'!$B$8/2)^2)-(((884-43)*MAX('Inputs'!$B$33,'Inputs'!$B$29+'Inputs'!$B$31+'Inputs'!$B$32,'Inputs'!$B$30+'Inputs'!$B$31+'Inputs'!$B$32)/1000+'Inputs'!$B$21+'Inputs'!$B$7+'Inputs'!$B$10))/SQRT((((884-43)*MAX('Inputs'!$B$33,'Inputs'!$B$29+'Inputs'!$B$31+'Inputs'!$B$32,'Inputs'!$B$30+'Inputs'!$B$31+'Inputs'!$B$32)/1000+'Inputs'!$B$21+'Inputs'!$B$7+'Inputs'!$B$10))^2+('Inputs'!$B$8/2)^2))))*'Results'!$B$8))),"")</x:f>
        <x:v>0.5706880237671439</x:v>
      </x:c>
      <x:c r="L884" t="n">
        <x:f>IF(AND(ISNUMBER('Results'!B7),ISNUMBER('Results'!C7),ISNUMBER('Results'!$B$8),ISNUMBER('Inputs'!$B$6),ISNUMBER('Inputs'!$B$7),ISNUMBER('Inputs'!$B$8),ISNUMBER('Inputs'!$B$9),ISNUMBER('Inputs'!$B$10),ISNUMBER('Inputs'!$B$21),ISNUMBER('Inputs'!$B$24),ISNUMBER('Inputs'!$B$28)),((('Results'!B7*(1+'Inputs'!$B$24)*(0.5*((((884-43)*MAX('Inputs'!$B$33,'Inputs'!$B$29+'Inputs'!$B$31+'Inputs'!$B$32,'Inputs'!$B$30+'Inputs'!$B$31+'Inputs'!$B$32)/1000+'Inputs'!$B$21)+'Inputs'!$B$7)/SQRT((((884-43)*MAX('Inputs'!$B$33,'Inputs'!$B$29+'Inputs'!$B$31+'Inputs'!$B$32,'Inputs'!$B$30+'Inputs'!$B$31+'Inputs'!$B$32)/1000+'Inputs'!$B$21)+'Inputs'!$B$7)^2+('Inputs'!$B$6/2)^2)-(((884-43)*MAX('Inputs'!$B$33,'Inputs'!$B$29+'Inputs'!$B$31+'Inputs'!$B$32,'Inputs'!$B$30+'Inputs'!$B$31+'Inputs'!$B$32)/1000+'Inputs'!$B$21))/SQRT((((884-43)*MAX('Inputs'!$B$33,'Inputs'!$B$29+'Inputs'!$B$31+'Inputs'!$B$32,'Inputs'!$B$30+'Inputs'!$B$31+'Inputs'!$B$32)/1000+'Inputs'!$B$21))^2+('Inputs'!$B$6/2)^2)))-'Results'!C7*(1-'Inputs'!$B$24)*(0.5*((((884-43)*MAX('Inputs'!$B$33,'Inputs'!$B$29+'Inputs'!$B$31+'Inputs'!$B$32,'Inputs'!$B$30+'Inputs'!$B$31+'Inputs'!$B$32)/1000+'Inputs'!$B$21+'Inputs'!$B$7+'Inputs'!$B$10)+'Inputs'!$B$9)/SQRT((((884-43)*MAX('Inputs'!$B$33,'Inputs'!$B$29+'Inputs'!$B$31+'Inputs'!$B$32,'Inputs'!$B$30+'Inputs'!$B$31+'Inputs'!$B$32)/1000+'Inputs'!$B$21+'Inputs'!$B$7+'Inputs'!$B$10)+'Inputs'!$B$9)^2+('Inputs'!$B$8/2)^2)-(((884-43)*MAX('Inputs'!$B$33,'Inputs'!$B$29+'Inputs'!$B$31+'Inputs'!$B$32,'Inputs'!$B$30+'Inputs'!$B$31+'Inputs'!$B$32)/1000+'Inputs'!$B$21+'Inputs'!$B$7+'Inputs'!$B$10))/SQRT((((884-43)*MAX('Inputs'!$B$33,'Inputs'!$B$29+'Inputs'!$B$31+'Inputs'!$B$32,'Inputs'!$B$30+'Inputs'!$B$31+'Inputs'!$B$32)/1000+'Inputs'!$B$21+'Inputs'!$B$7+'Inputs'!$B$10))^2+('Inputs'!$B$8/2)^2))))*'Results'!$B$8)+'Inputs'!$B$28*ABS((('Results'!B7*(1+'Inputs'!$B$24)*(0.5*((((884-43)*MAX('Inputs'!$B$33,'Inputs'!$B$29+'Inputs'!$B$31+'Inputs'!$B$32,'Inputs'!$B$30+'Inputs'!$B$31+'Inputs'!$B$32)/1000+'Inputs'!$B$21)+'Inputs'!$B$7)/SQRT((((884-43)*MAX('Inputs'!$B$33,'Inputs'!$B$29+'Inputs'!$B$31+'Inputs'!$B$32,'Inputs'!$B$30+'Inputs'!$B$31+'Inputs'!$B$32)/1000+'Inputs'!$B$21)+'Inputs'!$B$7)^2+('Inputs'!$B$6/2)^2)-(((884-43)*MAX('Inputs'!$B$33,'Inputs'!$B$29+'Inputs'!$B$31+'Inputs'!$B$32,'Inputs'!$B$30+'Inputs'!$B$31+'Inputs'!$B$32)/1000+'Inputs'!$B$21))/SQRT((((884-43)*MAX('Inputs'!$B$33,'Inputs'!$B$29+'Inputs'!$B$31+'Inputs'!$B$32,'Inputs'!$B$30+'Inputs'!$B$31+'Inputs'!$B$32)/1000+'Inputs'!$B$21))^2+('Inputs'!$B$6/2)^2)))-'Results'!C7*(1-'Inputs'!$B$24)*(0.5*((((884-43)*MAX('Inputs'!$B$33,'Inputs'!$B$29+'Inputs'!$B$31+'Inputs'!$B$32,'Inputs'!$B$30+'Inputs'!$B$31+'Inputs'!$B$32)/1000+'Inputs'!$B$21+'Inputs'!$B$7+'Inputs'!$B$10)+'Inputs'!$B$9)/SQRT((((884-43)*MAX('Inputs'!$B$33,'Inputs'!$B$29+'Inputs'!$B$31+'Inputs'!$B$32,'Inputs'!$B$30+'Inputs'!$B$31+'Inputs'!$B$32)/1000+'Inputs'!$B$21+'Inputs'!$B$7+'Inputs'!$B$10)+'Inputs'!$B$9)^2+('Inputs'!$B$8/2)^2)-(((884-43)*MAX('Inputs'!$B$33,'Inputs'!$B$29+'Inputs'!$B$31+'Inputs'!$B$32,'Inputs'!$B$30+'Inputs'!$B$31+'Inputs'!$B$32)/1000+'Inputs'!$B$21+'Inputs'!$B$7+'Inputs'!$B$10))/SQRT((((884-43)*MAX('Inputs'!$B$33,'Inputs'!$B$29+'Inputs'!$B$31+'Inputs'!$B$32,'Inputs'!$B$30+'Inputs'!$B$31+'Inputs'!$B$32)/1000+'Inputs'!$B$21+'Inputs'!$B$7+'Inputs'!$B$10))^2+('Inputs'!$B$8/2)^2))))*'Results'!$B$8))),"")</x:f>
        <x:v>0.7758206161454412</x:v>
      </x:c>
      <x:c r="M884" t="n">
        <x:f>IF(AND(ISNUMBER('Results'!C7),ISNUMBER('Results'!B7),ISNUMBER('Results'!$B$8),ISNUMBER('Inputs'!$B$6),ISNUMBER('Inputs'!$B$7),ISNUMBER('Inputs'!$B$8),ISNUMBER('Inputs'!$B$9),ISNUMBER('Inputs'!$B$10),ISNUMBER('Inputs'!$B$21),ISNUMBER('Inputs'!$B$24),ISNUMBER('Inputs'!$B$28)),(('Results'!C7*(0.5*((((884-43)*MAX('Inputs'!$B$33,'Inputs'!$B$29+'Inputs'!$B$31+'Inputs'!$B$32,'Inputs'!$B$30+'Inputs'!$B$31+'Inputs'!$B$32)/1000+'Inputs'!$B$21)+'Inputs'!$B$9)/SQRT((((884-43)*MAX('Inputs'!$B$33,'Inputs'!$B$29+'Inputs'!$B$31+'Inputs'!$B$32,'Inputs'!$B$30+'Inputs'!$B$31+'Inputs'!$B$32)/1000+'Inputs'!$B$21)+'Inputs'!$B$9)^2+('Inputs'!$B$8/2)^2)-(((884-43)*MAX('Inputs'!$B$33,'Inputs'!$B$29+'Inputs'!$B$31+'Inputs'!$B$32,'Inputs'!$B$30+'Inputs'!$B$31+'Inputs'!$B$32)/1000+'Inputs'!$B$21))/SQRT((((884-43)*MAX('Inputs'!$B$33,'Inputs'!$B$29+'Inputs'!$B$31+'Inputs'!$B$32,'Inputs'!$B$30+'Inputs'!$B$31+'Inputs'!$B$32)/1000+'Inputs'!$B$21))^2+('Inputs'!$B$8/2)^2)))-'Results'!B7*(0.5*((((884-43)*MAX('Inputs'!$B$33,'Inputs'!$B$29+'Inputs'!$B$31+'Inputs'!$B$32,'Inputs'!$B$30+'Inputs'!$B$31+'Inputs'!$B$32)/1000+'Inputs'!$B$21+'Inputs'!$B$9+'Inputs'!$B$10)+'Inputs'!$B$7)/SQRT((((884-43)*MAX('Inputs'!$B$33,'Inputs'!$B$29+'Inputs'!$B$31+'Inputs'!$B$32,'Inputs'!$B$30+'Inputs'!$B$31+'Inputs'!$B$32)/1000+'Inputs'!$B$21+'Inputs'!$B$9+'Inputs'!$B$10)+'Inputs'!$B$7)^2+('Inputs'!$B$6/2)^2)-(((884-43)*MAX('Inputs'!$B$33,'Inputs'!$B$29+'Inputs'!$B$31+'Inputs'!$B$32,'Inputs'!$B$30+'Inputs'!$B$31+'Inputs'!$B$32)/1000+'Inputs'!$B$21+'Inputs'!$B$9+'Inputs'!$B$10))/SQRT((((884-43)*MAX('Inputs'!$B$33,'Inputs'!$B$29+'Inputs'!$B$31+'Inputs'!$B$32,'Inputs'!$B$30+'Inputs'!$B$31+'Inputs'!$B$32)/1000+'Inputs'!$B$21+'Inputs'!$B$9+'Inputs'!$B$10))^2+('Inputs'!$B$6/2)^2))))*'Results'!$B$8),"")</x:f>
        <x:v>0.6001560696184413</x:v>
      </x:c>
      <x:c r="N884" t="n">
        <x:f>IF(AND(ISNUMBER('Results'!C7),ISNUMBER('Results'!B7),ISNUMBER('Results'!$B$8),ISNUMBER('Inputs'!$B$6),ISNUMBER('Inputs'!$B$7),ISNUMBER('Inputs'!$B$8),ISNUMBER('Inputs'!$B$9),ISNUMBER('Inputs'!$B$10),ISNUMBER('Inputs'!$B$21),ISNUMBER('Inputs'!$B$24),ISNUMBER('Inputs'!$B$28)),((('Results'!C7*(1-'Inputs'!$B$24)*(0.5*((((884-43)*MAX('Inputs'!$B$33,'Inputs'!$B$29+'Inputs'!$B$31+'Inputs'!$B$32,'Inputs'!$B$30+'Inputs'!$B$31+'Inputs'!$B$32)/1000+'Inputs'!$B$21)+'Inputs'!$B$9)/SQRT((((884-43)*MAX('Inputs'!$B$33,'Inputs'!$B$29+'Inputs'!$B$31+'Inputs'!$B$32,'Inputs'!$B$30+'Inputs'!$B$31+'Inputs'!$B$32)/1000+'Inputs'!$B$21)+'Inputs'!$B$9)^2+('Inputs'!$B$8/2)^2)-(((884-43)*MAX('Inputs'!$B$33,'Inputs'!$B$29+'Inputs'!$B$31+'Inputs'!$B$32,'Inputs'!$B$30+'Inputs'!$B$31+'Inputs'!$B$32)/1000+'Inputs'!$B$21))/SQRT((((884-43)*MAX('Inputs'!$B$33,'Inputs'!$B$29+'Inputs'!$B$31+'Inputs'!$B$32,'Inputs'!$B$30+'Inputs'!$B$31+'Inputs'!$B$32)/1000+'Inputs'!$B$21))^2+('Inputs'!$B$8/2)^2)))-'Results'!B7*(1+'Inputs'!$B$24)*(0.5*((((884-43)*MAX('Inputs'!$B$33,'Inputs'!$B$29+'Inputs'!$B$31+'Inputs'!$B$32,'Inputs'!$B$30+'Inputs'!$B$31+'Inputs'!$B$32)/1000+'Inputs'!$B$21+'Inputs'!$B$9+'Inputs'!$B$10)+'Inputs'!$B$7)/SQRT((((884-43)*MAX('Inputs'!$B$33,'Inputs'!$B$29+'Inputs'!$B$31+'Inputs'!$B$32,'Inputs'!$B$30+'Inputs'!$B$31+'Inputs'!$B$32)/1000+'Inputs'!$B$21+'Inputs'!$B$9+'Inputs'!$B$10)+'Inputs'!$B$7)^2+('Inputs'!$B$6/2)^2)-(((884-43)*MAX('Inputs'!$B$33,'Inputs'!$B$29+'Inputs'!$B$31+'Inputs'!$B$32,'Inputs'!$B$30+'Inputs'!$B$31+'Inputs'!$B$32)/1000+'Inputs'!$B$21+'Inputs'!$B$9+'Inputs'!$B$10))/SQRT((((884-43)*MAX('Inputs'!$B$33,'Inputs'!$B$29+'Inputs'!$B$31+'Inputs'!$B$32,'Inputs'!$B$30+'Inputs'!$B$31+'Inputs'!$B$32)/1000+'Inputs'!$B$21+'Inputs'!$B$9+'Inputs'!$B$10))^2+('Inputs'!$B$6/2)^2))))*'Results'!$B$8)-'Inputs'!$B$28*ABS((('Results'!C7*(1-'Inputs'!$B$24)*(0.5*((((884-43)*MAX('Inputs'!$B$33,'Inputs'!$B$29+'Inputs'!$B$31+'Inputs'!$B$32,'Inputs'!$B$30+'Inputs'!$B$31+'Inputs'!$B$32)/1000+'Inputs'!$B$21)+'Inputs'!$B$9)/SQRT((((884-43)*MAX('Inputs'!$B$33,'Inputs'!$B$29+'Inputs'!$B$31+'Inputs'!$B$32,'Inputs'!$B$30+'Inputs'!$B$31+'Inputs'!$B$32)/1000+'Inputs'!$B$21)+'Inputs'!$B$9)^2+('Inputs'!$B$8/2)^2)-(((884-43)*MAX('Inputs'!$B$33,'Inputs'!$B$29+'Inputs'!$B$31+'Inputs'!$B$32,'Inputs'!$B$30+'Inputs'!$B$31+'Inputs'!$B$32)/1000+'Inputs'!$B$21))/SQRT((((884-43)*MAX('Inputs'!$B$33,'Inputs'!$B$29+'Inputs'!$B$31+'Inputs'!$B$32,'Inputs'!$B$30+'Inputs'!$B$31+'Inputs'!$B$32)/1000+'Inputs'!$B$21))^2+('Inputs'!$B$8/2)^2)))-'Results'!B7*(1+'Inputs'!$B$24)*(0.5*((((884-43)*MAX('Inputs'!$B$33,'Inputs'!$B$29+'Inputs'!$B$31+'Inputs'!$B$32,'Inputs'!$B$30+'Inputs'!$B$31+'Inputs'!$B$32)/1000+'Inputs'!$B$21+'Inputs'!$B$9+'Inputs'!$B$10)+'Inputs'!$B$7)/SQRT((((884-43)*MAX('Inputs'!$B$33,'Inputs'!$B$29+'Inputs'!$B$31+'Inputs'!$B$32,'Inputs'!$B$30+'Inputs'!$B$31+'Inputs'!$B$32)/1000+'Inputs'!$B$21+'Inputs'!$B$9+'Inputs'!$B$10)+'Inputs'!$B$7)^2+('Inputs'!$B$6/2)^2)-(((884-43)*MAX('Inputs'!$B$33,'Inputs'!$B$29+'Inputs'!$B$31+'Inputs'!$B$32,'Inputs'!$B$30+'Inputs'!$B$31+'Inputs'!$B$32)/1000+'Inputs'!$B$21+'Inputs'!$B$9+'Inputs'!$B$10))/SQRT((((884-43)*MAX('Inputs'!$B$33,'Inputs'!$B$29+'Inputs'!$B$31+'Inputs'!$B$32,'Inputs'!$B$30+'Inputs'!$B$31+'Inputs'!$B$32)/1000+'Inputs'!$B$21+'Inputs'!$B$9+'Inputs'!$B$10))^2+('Inputs'!$B$6/2)^2))))*'Results'!$B$8))),"")</x:f>
        <x:v>0.5047695378522835</x:v>
      </x:c>
      <x:c r="O884" t="n">
        <x:f>IF(AND(ISNUMBER('Results'!C7),ISNUMBER('Results'!B7),ISNUMBER('Results'!$B$8),ISNUMBER('Inputs'!$B$6),ISNUMBER('Inputs'!$B$7),ISNUMBER('Inputs'!$B$8),ISNUMBER('Inputs'!$B$9),ISNUMBER('Inputs'!$B$10),ISNUMBER('Inputs'!$B$21),ISNUMBER('Inputs'!$B$24),ISNUMBER('Inputs'!$B$28)),((('Results'!C7*(1+'Inputs'!$B$24)*(0.5*((((884-43)*MAX('Inputs'!$B$33,'Inputs'!$B$29+'Inputs'!$B$31+'Inputs'!$B$32,'Inputs'!$B$30+'Inputs'!$B$31+'Inputs'!$B$32)/1000+'Inputs'!$B$21)+'Inputs'!$B$9)/SQRT((((884-43)*MAX('Inputs'!$B$33,'Inputs'!$B$29+'Inputs'!$B$31+'Inputs'!$B$32,'Inputs'!$B$30+'Inputs'!$B$31+'Inputs'!$B$32)/1000+'Inputs'!$B$21)+'Inputs'!$B$9)^2+('Inputs'!$B$8/2)^2)-(((884-43)*MAX('Inputs'!$B$33,'Inputs'!$B$29+'Inputs'!$B$31+'Inputs'!$B$32,'Inputs'!$B$30+'Inputs'!$B$31+'Inputs'!$B$32)/1000+'Inputs'!$B$21))/SQRT((((884-43)*MAX('Inputs'!$B$33,'Inputs'!$B$29+'Inputs'!$B$31+'Inputs'!$B$32,'Inputs'!$B$30+'Inputs'!$B$31+'Inputs'!$B$32)/1000+'Inputs'!$B$21))^2+('Inputs'!$B$8/2)^2)))-'Results'!B7*(1-'Inputs'!$B$24)*(0.5*((((884-43)*MAX('Inputs'!$B$33,'Inputs'!$B$29+'Inputs'!$B$31+'Inputs'!$B$32,'Inputs'!$B$30+'Inputs'!$B$31+'Inputs'!$B$32)/1000+'Inputs'!$B$21+'Inputs'!$B$9+'Inputs'!$B$10)+'Inputs'!$B$7)/SQRT((((884-43)*MAX('Inputs'!$B$33,'Inputs'!$B$29+'Inputs'!$B$31+'Inputs'!$B$32,'Inputs'!$B$30+'Inputs'!$B$31+'Inputs'!$B$32)/1000+'Inputs'!$B$21+'Inputs'!$B$9+'Inputs'!$B$10)+'Inputs'!$B$7)^2+('Inputs'!$B$6/2)^2)-(((884-43)*MAX('Inputs'!$B$33,'Inputs'!$B$29+'Inputs'!$B$31+'Inputs'!$B$32,'Inputs'!$B$30+'Inputs'!$B$31+'Inputs'!$B$32)/1000+'Inputs'!$B$21+'Inputs'!$B$9+'Inputs'!$B$10))/SQRT((((884-43)*MAX('Inputs'!$B$33,'Inputs'!$B$29+'Inputs'!$B$31+'Inputs'!$B$32,'Inputs'!$B$30+'Inputs'!$B$31+'Inputs'!$B$32)/1000+'Inputs'!$B$21+'Inputs'!$B$9+'Inputs'!$B$10))^2+('Inputs'!$B$6/2)^2))))*'Results'!$B$8)+'Inputs'!$B$28*ABS((('Results'!C7*(1+'Inputs'!$B$24)*(0.5*((((884-43)*MAX('Inputs'!$B$33,'Inputs'!$B$29+'Inputs'!$B$31+'Inputs'!$B$32,'Inputs'!$B$30+'Inputs'!$B$31+'Inputs'!$B$32)/1000+'Inputs'!$B$21)+'Inputs'!$B$9)/SQRT((((884-43)*MAX('Inputs'!$B$33,'Inputs'!$B$29+'Inputs'!$B$31+'Inputs'!$B$32,'Inputs'!$B$30+'Inputs'!$B$31+'Inputs'!$B$32)/1000+'Inputs'!$B$21)+'Inputs'!$B$9)^2+('Inputs'!$B$8/2)^2)-(((884-43)*MAX('Inputs'!$B$33,'Inputs'!$B$29+'Inputs'!$B$31+'Inputs'!$B$32,'Inputs'!$B$30+'Inputs'!$B$31+'Inputs'!$B$32)/1000+'Inputs'!$B$21))/SQRT((((884-43)*MAX('Inputs'!$B$33,'Inputs'!$B$29+'Inputs'!$B$31+'Inputs'!$B$32,'Inputs'!$B$30+'Inputs'!$B$31+'Inputs'!$B$32)/1000+'Inputs'!$B$21))^2+('Inputs'!$B$8/2)^2)))-'Results'!B7*(1-'Inputs'!$B$24)*(0.5*((((884-43)*MAX('Inputs'!$B$33,'Inputs'!$B$29+'Inputs'!$B$31+'Inputs'!$B$32,'Inputs'!$B$30+'Inputs'!$B$31+'Inputs'!$B$32)/1000+'Inputs'!$B$21+'Inputs'!$B$9+'Inputs'!$B$10)+'Inputs'!$B$7)/SQRT((((884-43)*MAX('Inputs'!$B$33,'Inputs'!$B$29+'Inputs'!$B$31+'Inputs'!$B$32,'Inputs'!$B$30+'Inputs'!$B$31+'Inputs'!$B$32)/1000+'Inputs'!$B$21+'Inputs'!$B$9+'Inputs'!$B$10)+'Inputs'!$B$7)^2+('Inputs'!$B$6/2)^2)-(((884-43)*MAX('Inputs'!$B$33,'Inputs'!$B$29+'Inputs'!$B$31+'Inputs'!$B$32,'Inputs'!$B$30+'Inputs'!$B$31+'Inputs'!$B$32)/1000+'Inputs'!$B$21+'Inputs'!$B$9+'Inputs'!$B$10))/SQRT((((884-43)*MAX('Inputs'!$B$33,'Inputs'!$B$29+'Inputs'!$B$31+'Inputs'!$B$32,'Inputs'!$B$30+'Inputs'!$B$31+'Inputs'!$B$32)/1000+'Inputs'!$B$21+'Inputs'!$B$9+'Inputs'!$B$10))^2+('Inputs'!$B$6/2)^2))))*'Results'!$B$8))),"")</x:f>
        <x:v>0.7024245727830449</x:v>
      </x:c>
      <x:c r="P884" t="n">
        <x:f>IF(AND(MAX(J884,J883)&gt;0,J884&gt;J883+0.00000001),1,0)</x:f>
        <x:v>0</x:v>
      </x:c>
      <x:c r="Q884" t="n">
        <x:f>IF(AND(MAX(K884,K883)&gt;0,K884&gt;K883+0.00000001),1,0)</x:f>
        <x:v>0</x:v>
      </x:c>
      <x:c r="R884" t="n">
        <x:f>IF(AND(MAX(L884,L883)&gt;0,L884&gt;L883+0.00000001),1,0)</x:f>
        <x:v>0</x:v>
      </x:c>
      <x:c r="S884" t="n">
        <x:f>IF(AND(MAX(M884,M883)&gt;0,M884&gt;M883+0.00000001),1,0)</x:f>
        <x:v>0</x:v>
      </x:c>
      <x:c r="T884" t="n">
        <x:f>IF(AND(MAX(N884,N883)&gt;0,N884&gt;N883+0.00000001),1,0)</x:f>
        <x:v>0</x:v>
      </x:c>
      <x:c r="U884" t="n">
        <x:f>IF(AND(MAX(O884,O883)&gt;0,O884&gt;O883+0.00000001),1,0)</x:f>
        <x:v>0</x:v>
      </x:c>
    </x:row>
    <x:row r="885">
      <x:c r="J885" t="n">
        <x:f>IF(AND(ISNUMBER('Results'!B7),ISNUMBER('Results'!C7),ISNUMBER('Results'!$B$8),ISNUMBER('Inputs'!$B$6),ISNUMBER('Inputs'!$B$7),ISNUMBER('Inputs'!$B$8),ISNUMBER('Inputs'!$B$9),ISNUMBER('Inputs'!$B$10),ISNUMBER('Inputs'!$B$21),ISNUMBER('Inputs'!$B$24),ISNUMBER('Inputs'!$B$28)),(('Results'!B7*(0.5*((((885-43)*MAX('Inputs'!$B$33,'Inputs'!$B$29+'Inputs'!$B$31+'Inputs'!$B$32,'Inputs'!$B$30+'Inputs'!$B$31+'Inputs'!$B$32)/1000+'Inputs'!$B$21)+'Inputs'!$B$7)/SQRT((((885-43)*MAX('Inputs'!$B$33,'Inputs'!$B$29+'Inputs'!$B$31+'Inputs'!$B$32,'Inputs'!$B$30+'Inputs'!$B$31+'Inputs'!$B$32)/1000+'Inputs'!$B$21)+'Inputs'!$B$7)^2+('Inputs'!$B$6/2)^2)-(((885-43)*MAX('Inputs'!$B$33,'Inputs'!$B$29+'Inputs'!$B$31+'Inputs'!$B$32,'Inputs'!$B$30+'Inputs'!$B$31+'Inputs'!$B$32)/1000+'Inputs'!$B$21))/SQRT((((885-43)*MAX('Inputs'!$B$33,'Inputs'!$B$29+'Inputs'!$B$31+'Inputs'!$B$32,'Inputs'!$B$30+'Inputs'!$B$31+'Inputs'!$B$32)/1000+'Inputs'!$B$21))^2+('Inputs'!$B$6/2)^2)))-'Results'!C7*(0.5*((((885-43)*MAX('Inputs'!$B$33,'Inputs'!$B$29+'Inputs'!$B$31+'Inputs'!$B$32,'Inputs'!$B$30+'Inputs'!$B$31+'Inputs'!$B$32)/1000+'Inputs'!$B$21+'Inputs'!$B$7+'Inputs'!$B$10)+'Inputs'!$B$9)/SQRT((((885-43)*MAX('Inputs'!$B$33,'Inputs'!$B$29+'Inputs'!$B$31+'Inputs'!$B$32,'Inputs'!$B$30+'Inputs'!$B$31+'Inputs'!$B$32)/1000+'Inputs'!$B$21+'Inputs'!$B$7+'Inputs'!$B$10)+'Inputs'!$B$9)^2+('Inputs'!$B$8/2)^2)-(((885-43)*MAX('Inputs'!$B$33,'Inputs'!$B$29+'Inputs'!$B$31+'Inputs'!$B$32,'Inputs'!$B$30+'Inputs'!$B$31+'Inputs'!$B$32)/1000+'Inputs'!$B$21+'Inputs'!$B$7+'Inputs'!$B$10))/SQRT((((885-43)*MAX('Inputs'!$B$33,'Inputs'!$B$29+'Inputs'!$B$31+'Inputs'!$B$32,'Inputs'!$B$30+'Inputs'!$B$31+'Inputs'!$B$32)/1000+'Inputs'!$B$21+'Inputs'!$B$7+'Inputs'!$B$10))^2+('Inputs'!$B$8/2)^2))))*'Results'!$B$8),"")</x:f>
        <x:v>0.666933511193991</x:v>
      </x:c>
      <x:c r="K885" t="n">
        <x:f>IF(AND(ISNUMBER('Results'!B7),ISNUMBER('Results'!C7),ISNUMBER('Results'!$B$8),ISNUMBER('Inputs'!$B$6),ISNUMBER('Inputs'!$B$7),ISNUMBER('Inputs'!$B$8),ISNUMBER('Inputs'!$B$9),ISNUMBER('Inputs'!$B$10),ISNUMBER('Inputs'!$B$21),ISNUMBER('Inputs'!$B$24),ISNUMBER('Inputs'!$B$28)),((('Results'!B7*(1-'Inputs'!$B$24)*(0.5*((((885-43)*MAX('Inputs'!$B$33,'Inputs'!$B$29+'Inputs'!$B$31+'Inputs'!$B$32,'Inputs'!$B$30+'Inputs'!$B$31+'Inputs'!$B$32)/1000+'Inputs'!$B$21)+'Inputs'!$B$7)/SQRT((((885-43)*MAX('Inputs'!$B$33,'Inputs'!$B$29+'Inputs'!$B$31+'Inputs'!$B$32,'Inputs'!$B$30+'Inputs'!$B$31+'Inputs'!$B$32)/1000+'Inputs'!$B$21)+'Inputs'!$B$7)^2+('Inputs'!$B$6/2)^2)-(((885-43)*MAX('Inputs'!$B$33,'Inputs'!$B$29+'Inputs'!$B$31+'Inputs'!$B$32,'Inputs'!$B$30+'Inputs'!$B$31+'Inputs'!$B$32)/1000+'Inputs'!$B$21))/SQRT((((885-43)*MAX('Inputs'!$B$33,'Inputs'!$B$29+'Inputs'!$B$31+'Inputs'!$B$32,'Inputs'!$B$30+'Inputs'!$B$31+'Inputs'!$B$32)/1000+'Inputs'!$B$21))^2+('Inputs'!$B$6/2)^2)))-'Results'!C7*(1+'Inputs'!$B$24)*(0.5*((((885-43)*MAX('Inputs'!$B$33,'Inputs'!$B$29+'Inputs'!$B$31+'Inputs'!$B$32,'Inputs'!$B$30+'Inputs'!$B$31+'Inputs'!$B$32)/1000+'Inputs'!$B$21+'Inputs'!$B$7+'Inputs'!$B$10)+'Inputs'!$B$9)/SQRT((((885-43)*MAX('Inputs'!$B$33,'Inputs'!$B$29+'Inputs'!$B$31+'Inputs'!$B$32,'Inputs'!$B$30+'Inputs'!$B$31+'Inputs'!$B$32)/1000+'Inputs'!$B$21+'Inputs'!$B$7+'Inputs'!$B$10)+'Inputs'!$B$9)^2+('Inputs'!$B$8/2)^2)-(((885-43)*MAX('Inputs'!$B$33,'Inputs'!$B$29+'Inputs'!$B$31+'Inputs'!$B$32,'Inputs'!$B$30+'Inputs'!$B$31+'Inputs'!$B$32)/1000+'Inputs'!$B$21+'Inputs'!$B$7+'Inputs'!$B$10))/SQRT((((885-43)*MAX('Inputs'!$B$33,'Inputs'!$B$29+'Inputs'!$B$31+'Inputs'!$B$32,'Inputs'!$B$30+'Inputs'!$B$31+'Inputs'!$B$32)/1000+'Inputs'!$B$21+'Inputs'!$B$7+'Inputs'!$B$10))^2+('Inputs'!$B$8/2)^2))))*'Results'!$B$8)-'Inputs'!$B$28*ABS((('Results'!B7*(1-'Inputs'!$B$24)*(0.5*((((885-43)*MAX('Inputs'!$B$33,'Inputs'!$B$29+'Inputs'!$B$31+'Inputs'!$B$32,'Inputs'!$B$30+'Inputs'!$B$31+'Inputs'!$B$32)/1000+'Inputs'!$B$21)+'Inputs'!$B$7)/SQRT((((885-43)*MAX('Inputs'!$B$33,'Inputs'!$B$29+'Inputs'!$B$31+'Inputs'!$B$32,'Inputs'!$B$30+'Inputs'!$B$31+'Inputs'!$B$32)/1000+'Inputs'!$B$21)+'Inputs'!$B$7)^2+('Inputs'!$B$6/2)^2)-(((885-43)*MAX('Inputs'!$B$33,'Inputs'!$B$29+'Inputs'!$B$31+'Inputs'!$B$32,'Inputs'!$B$30+'Inputs'!$B$31+'Inputs'!$B$32)/1000+'Inputs'!$B$21))/SQRT((((885-43)*MAX('Inputs'!$B$33,'Inputs'!$B$29+'Inputs'!$B$31+'Inputs'!$B$32,'Inputs'!$B$30+'Inputs'!$B$31+'Inputs'!$B$32)/1000+'Inputs'!$B$21))^2+('Inputs'!$B$6/2)^2)))-'Results'!C7*(1+'Inputs'!$B$24)*(0.5*((((885-43)*MAX('Inputs'!$B$33,'Inputs'!$B$29+'Inputs'!$B$31+'Inputs'!$B$32,'Inputs'!$B$30+'Inputs'!$B$31+'Inputs'!$B$32)/1000+'Inputs'!$B$21+'Inputs'!$B$7+'Inputs'!$B$10)+'Inputs'!$B$9)/SQRT((((885-43)*MAX('Inputs'!$B$33,'Inputs'!$B$29+'Inputs'!$B$31+'Inputs'!$B$32,'Inputs'!$B$30+'Inputs'!$B$31+'Inputs'!$B$32)/1000+'Inputs'!$B$21+'Inputs'!$B$7+'Inputs'!$B$10)+'Inputs'!$B$9)^2+('Inputs'!$B$8/2)^2)-(((885-43)*MAX('Inputs'!$B$33,'Inputs'!$B$29+'Inputs'!$B$31+'Inputs'!$B$32,'Inputs'!$B$30+'Inputs'!$B$31+'Inputs'!$B$32)/1000+'Inputs'!$B$21+'Inputs'!$B$7+'Inputs'!$B$10))/SQRT((((885-43)*MAX('Inputs'!$B$33,'Inputs'!$B$29+'Inputs'!$B$31+'Inputs'!$B$32,'Inputs'!$B$30+'Inputs'!$B$31+'Inputs'!$B$32)/1000+'Inputs'!$B$21+'Inputs'!$B$7+'Inputs'!$B$10))^2+('Inputs'!$B$8/2)^2))))*'Results'!$B$8))),"")</x:f>
        <x:v>0.568180209139737</x:v>
      </x:c>
      <x:c r="L885" t="n">
        <x:f>IF(AND(ISNUMBER('Results'!B7),ISNUMBER('Results'!C7),ISNUMBER('Results'!$B$8),ISNUMBER('Inputs'!$B$6),ISNUMBER('Inputs'!$B$7),ISNUMBER('Inputs'!$B$8),ISNUMBER('Inputs'!$B$9),ISNUMBER('Inputs'!$B$10),ISNUMBER('Inputs'!$B$21),ISNUMBER('Inputs'!$B$24),ISNUMBER('Inputs'!$B$28)),((('Results'!B7*(1+'Inputs'!$B$24)*(0.5*((((885-43)*MAX('Inputs'!$B$33,'Inputs'!$B$29+'Inputs'!$B$31+'Inputs'!$B$32,'Inputs'!$B$30+'Inputs'!$B$31+'Inputs'!$B$32)/1000+'Inputs'!$B$21)+'Inputs'!$B$7)/SQRT((((885-43)*MAX('Inputs'!$B$33,'Inputs'!$B$29+'Inputs'!$B$31+'Inputs'!$B$32,'Inputs'!$B$30+'Inputs'!$B$31+'Inputs'!$B$32)/1000+'Inputs'!$B$21)+'Inputs'!$B$7)^2+('Inputs'!$B$6/2)^2)-(((885-43)*MAX('Inputs'!$B$33,'Inputs'!$B$29+'Inputs'!$B$31+'Inputs'!$B$32,'Inputs'!$B$30+'Inputs'!$B$31+'Inputs'!$B$32)/1000+'Inputs'!$B$21))/SQRT((((885-43)*MAX('Inputs'!$B$33,'Inputs'!$B$29+'Inputs'!$B$31+'Inputs'!$B$32,'Inputs'!$B$30+'Inputs'!$B$31+'Inputs'!$B$32)/1000+'Inputs'!$B$21))^2+('Inputs'!$B$6/2)^2)))-'Results'!C7*(1-'Inputs'!$B$24)*(0.5*((((885-43)*MAX('Inputs'!$B$33,'Inputs'!$B$29+'Inputs'!$B$31+'Inputs'!$B$32,'Inputs'!$B$30+'Inputs'!$B$31+'Inputs'!$B$32)/1000+'Inputs'!$B$21+'Inputs'!$B$7+'Inputs'!$B$10)+'Inputs'!$B$9)/SQRT((((885-43)*MAX('Inputs'!$B$33,'Inputs'!$B$29+'Inputs'!$B$31+'Inputs'!$B$32,'Inputs'!$B$30+'Inputs'!$B$31+'Inputs'!$B$32)/1000+'Inputs'!$B$21+'Inputs'!$B$7+'Inputs'!$B$10)+'Inputs'!$B$9)^2+('Inputs'!$B$8/2)^2)-(((885-43)*MAX('Inputs'!$B$33,'Inputs'!$B$29+'Inputs'!$B$31+'Inputs'!$B$32,'Inputs'!$B$30+'Inputs'!$B$31+'Inputs'!$B$32)/1000+'Inputs'!$B$21+'Inputs'!$B$7+'Inputs'!$B$10))/SQRT((((885-43)*MAX('Inputs'!$B$33,'Inputs'!$B$29+'Inputs'!$B$31+'Inputs'!$B$32,'Inputs'!$B$30+'Inputs'!$B$31+'Inputs'!$B$32)/1000+'Inputs'!$B$21+'Inputs'!$B$7+'Inputs'!$B$10))^2+('Inputs'!$B$8/2)^2))))*'Results'!$B$8)+'Inputs'!$B$28*ABS((('Results'!B7*(1+'Inputs'!$B$24)*(0.5*((((885-43)*MAX('Inputs'!$B$33,'Inputs'!$B$29+'Inputs'!$B$31+'Inputs'!$B$32,'Inputs'!$B$30+'Inputs'!$B$31+'Inputs'!$B$32)/1000+'Inputs'!$B$21)+'Inputs'!$B$7)/SQRT((((885-43)*MAX('Inputs'!$B$33,'Inputs'!$B$29+'Inputs'!$B$31+'Inputs'!$B$32,'Inputs'!$B$30+'Inputs'!$B$31+'Inputs'!$B$32)/1000+'Inputs'!$B$21)+'Inputs'!$B$7)^2+('Inputs'!$B$6/2)^2)-(((885-43)*MAX('Inputs'!$B$33,'Inputs'!$B$29+'Inputs'!$B$31+'Inputs'!$B$32,'Inputs'!$B$30+'Inputs'!$B$31+'Inputs'!$B$32)/1000+'Inputs'!$B$21))/SQRT((((885-43)*MAX('Inputs'!$B$33,'Inputs'!$B$29+'Inputs'!$B$31+'Inputs'!$B$32,'Inputs'!$B$30+'Inputs'!$B$31+'Inputs'!$B$32)/1000+'Inputs'!$B$21))^2+('Inputs'!$B$6/2)^2)))-'Results'!C7*(1-'Inputs'!$B$24)*(0.5*((((885-43)*MAX('Inputs'!$B$33,'Inputs'!$B$29+'Inputs'!$B$31+'Inputs'!$B$32,'Inputs'!$B$30+'Inputs'!$B$31+'Inputs'!$B$32)/1000+'Inputs'!$B$21+'Inputs'!$B$7+'Inputs'!$B$10)+'Inputs'!$B$9)/SQRT((((885-43)*MAX('Inputs'!$B$33,'Inputs'!$B$29+'Inputs'!$B$31+'Inputs'!$B$32,'Inputs'!$B$30+'Inputs'!$B$31+'Inputs'!$B$32)/1000+'Inputs'!$B$21+'Inputs'!$B$7+'Inputs'!$B$10)+'Inputs'!$B$9)^2+('Inputs'!$B$8/2)^2)-(((885-43)*MAX('Inputs'!$B$33,'Inputs'!$B$29+'Inputs'!$B$31+'Inputs'!$B$32,'Inputs'!$B$30+'Inputs'!$B$31+'Inputs'!$B$32)/1000+'Inputs'!$B$21+'Inputs'!$B$7+'Inputs'!$B$10))/SQRT((((885-43)*MAX('Inputs'!$B$33,'Inputs'!$B$29+'Inputs'!$B$31+'Inputs'!$B$32,'Inputs'!$B$30+'Inputs'!$B$31+'Inputs'!$B$32)/1000+'Inputs'!$B$21+'Inputs'!$B$7+'Inputs'!$B$10))^2+('Inputs'!$B$8/2)^2))))*'Results'!$B$8))),"")</x:f>
        <x:v>0.7725717213003035</x:v>
      </x:c>
      <x:c r="M885" t="n">
        <x:f>IF(AND(ISNUMBER('Results'!C7),ISNUMBER('Results'!B7),ISNUMBER('Results'!$B$8),ISNUMBER('Inputs'!$B$6),ISNUMBER('Inputs'!$B$7),ISNUMBER('Inputs'!$B$8),ISNUMBER('Inputs'!$B$9),ISNUMBER('Inputs'!$B$10),ISNUMBER('Inputs'!$B$21),ISNUMBER('Inputs'!$B$24),ISNUMBER('Inputs'!$B$28)),(('Results'!C7*(0.5*((((885-43)*MAX('Inputs'!$B$33,'Inputs'!$B$29+'Inputs'!$B$31+'Inputs'!$B$32,'Inputs'!$B$30+'Inputs'!$B$31+'Inputs'!$B$32)/1000+'Inputs'!$B$21)+'Inputs'!$B$9)/SQRT((((885-43)*MAX('Inputs'!$B$33,'Inputs'!$B$29+'Inputs'!$B$31+'Inputs'!$B$32,'Inputs'!$B$30+'Inputs'!$B$31+'Inputs'!$B$32)/1000+'Inputs'!$B$21)+'Inputs'!$B$9)^2+('Inputs'!$B$8/2)^2)-(((885-43)*MAX('Inputs'!$B$33,'Inputs'!$B$29+'Inputs'!$B$31+'Inputs'!$B$32,'Inputs'!$B$30+'Inputs'!$B$31+'Inputs'!$B$32)/1000+'Inputs'!$B$21))/SQRT((((885-43)*MAX('Inputs'!$B$33,'Inputs'!$B$29+'Inputs'!$B$31+'Inputs'!$B$32,'Inputs'!$B$30+'Inputs'!$B$31+'Inputs'!$B$32)/1000+'Inputs'!$B$21))^2+('Inputs'!$B$8/2)^2)))-'Results'!B7*(0.5*((((885-43)*MAX('Inputs'!$B$33,'Inputs'!$B$29+'Inputs'!$B$31+'Inputs'!$B$32,'Inputs'!$B$30+'Inputs'!$B$31+'Inputs'!$B$32)/1000+'Inputs'!$B$21+'Inputs'!$B$9+'Inputs'!$B$10)+'Inputs'!$B$7)/SQRT((((885-43)*MAX('Inputs'!$B$33,'Inputs'!$B$29+'Inputs'!$B$31+'Inputs'!$B$32,'Inputs'!$B$30+'Inputs'!$B$31+'Inputs'!$B$32)/1000+'Inputs'!$B$21+'Inputs'!$B$9+'Inputs'!$B$10)+'Inputs'!$B$7)^2+('Inputs'!$B$6/2)^2)-(((885-43)*MAX('Inputs'!$B$33,'Inputs'!$B$29+'Inputs'!$B$31+'Inputs'!$B$32,'Inputs'!$B$30+'Inputs'!$B$31+'Inputs'!$B$32)/1000+'Inputs'!$B$21+'Inputs'!$B$9+'Inputs'!$B$10))/SQRT((((885-43)*MAX('Inputs'!$B$33,'Inputs'!$B$29+'Inputs'!$B$31+'Inputs'!$B$32,'Inputs'!$B$30+'Inputs'!$B$31+'Inputs'!$B$32)/1000+'Inputs'!$B$21+'Inputs'!$B$9+'Inputs'!$B$10))^2+('Inputs'!$B$6/2)^2))))*'Results'!$B$8),"")</x:f>
        <x:v>0.5975179979152779</x:v>
      </x:c>
      <x:c r="N885" t="n">
        <x:f>IF(AND(ISNUMBER('Results'!C7),ISNUMBER('Results'!B7),ISNUMBER('Results'!$B$8),ISNUMBER('Inputs'!$B$6),ISNUMBER('Inputs'!$B$7),ISNUMBER('Inputs'!$B$8),ISNUMBER('Inputs'!$B$9),ISNUMBER('Inputs'!$B$10),ISNUMBER('Inputs'!$B$21),ISNUMBER('Inputs'!$B$24),ISNUMBER('Inputs'!$B$28)),((('Results'!C7*(1-'Inputs'!$B$24)*(0.5*((((885-43)*MAX('Inputs'!$B$33,'Inputs'!$B$29+'Inputs'!$B$31+'Inputs'!$B$32,'Inputs'!$B$30+'Inputs'!$B$31+'Inputs'!$B$32)/1000+'Inputs'!$B$21)+'Inputs'!$B$9)/SQRT((((885-43)*MAX('Inputs'!$B$33,'Inputs'!$B$29+'Inputs'!$B$31+'Inputs'!$B$32,'Inputs'!$B$30+'Inputs'!$B$31+'Inputs'!$B$32)/1000+'Inputs'!$B$21)+'Inputs'!$B$9)^2+('Inputs'!$B$8/2)^2)-(((885-43)*MAX('Inputs'!$B$33,'Inputs'!$B$29+'Inputs'!$B$31+'Inputs'!$B$32,'Inputs'!$B$30+'Inputs'!$B$31+'Inputs'!$B$32)/1000+'Inputs'!$B$21))/SQRT((((885-43)*MAX('Inputs'!$B$33,'Inputs'!$B$29+'Inputs'!$B$31+'Inputs'!$B$32,'Inputs'!$B$30+'Inputs'!$B$31+'Inputs'!$B$32)/1000+'Inputs'!$B$21))^2+('Inputs'!$B$8/2)^2)))-'Results'!B7*(1+'Inputs'!$B$24)*(0.5*((((885-43)*MAX('Inputs'!$B$33,'Inputs'!$B$29+'Inputs'!$B$31+'Inputs'!$B$32,'Inputs'!$B$30+'Inputs'!$B$31+'Inputs'!$B$32)/1000+'Inputs'!$B$21+'Inputs'!$B$9+'Inputs'!$B$10)+'Inputs'!$B$7)/SQRT((((885-43)*MAX('Inputs'!$B$33,'Inputs'!$B$29+'Inputs'!$B$31+'Inputs'!$B$32,'Inputs'!$B$30+'Inputs'!$B$31+'Inputs'!$B$32)/1000+'Inputs'!$B$21+'Inputs'!$B$9+'Inputs'!$B$10)+'Inputs'!$B$7)^2+('Inputs'!$B$6/2)^2)-(((885-43)*MAX('Inputs'!$B$33,'Inputs'!$B$29+'Inputs'!$B$31+'Inputs'!$B$32,'Inputs'!$B$30+'Inputs'!$B$31+'Inputs'!$B$32)/1000+'Inputs'!$B$21+'Inputs'!$B$9+'Inputs'!$B$10))/SQRT((((885-43)*MAX('Inputs'!$B$33,'Inputs'!$B$29+'Inputs'!$B$31+'Inputs'!$B$32,'Inputs'!$B$30+'Inputs'!$B$31+'Inputs'!$B$32)/1000+'Inputs'!$B$21+'Inputs'!$B$9+'Inputs'!$B$10))^2+('Inputs'!$B$6/2)^2))))*'Results'!$B$8)-'Inputs'!$B$28*ABS((('Results'!C7*(1-'Inputs'!$B$24)*(0.5*((((885-43)*MAX('Inputs'!$B$33,'Inputs'!$B$29+'Inputs'!$B$31+'Inputs'!$B$32,'Inputs'!$B$30+'Inputs'!$B$31+'Inputs'!$B$32)/1000+'Inputs'!$B$21)+'Inputs'!$B$9)/SQRT((((885-43)*MAX('Inputs'!$B$33,'Inputs'!$B$29+'Inputs'!$B$31+'Inputs'!$B$32,'Inputs'!$B$30+'Inputs'!$B$31+'Inputs'!$B$32)/1000+'Inputs'!$B$21)+'Inputs'!$B$9)^2+('Inputs'!$B$8/2)^2)-(((885-43)*MAX('Inputs'!$B$33,'Inputs'!$B$29+'Inputs'!$B$31+'Inputs'!$B$32,'Inputs'!$B$30+'Inputs'!$B$31+'Inputs'!$B$32)/1000+'Inputs'!$B$21))/SQRT((((885-43)*MAX('Inputs'!$B$33,'Inputs'!$B$29+'Inputs'!$B$31+'Inputs'!$B$32,'Inputs'!$B$30+'Inputs'!$B$31+'Inputs'!$B$32)/1000+'Inputs'!$B$21))^2+('Inputs'!$B$8/2)^2)))-'Results'!B7*(1+'Inputs'!$B$24)*(0.5*((((885-43)*MAX('Inputs'!$B$33,'Inputs'!$B$29+'Inputs'!$B$31+'Inputs'!$B$32,'Inputs'!$B$30+'Inputs'!$B$31+'Inputs'!$B$32)/1000+'Inputs'!$B$21+'Inputs'!$B$9+'Inputs'!$B$10)+'Inputs'!$B$7)/SQRT((((885-43)*MAX('Inputs'!$B$33,'Inputs'!$B$29+'Inputs'!$B$31+'Inputs'!$B$32,'Inputs'!$B$30+'Inputs'!$B$31+'Inputs'!$B$32)/1000+'Inputs'!$B$21+'Inputs'!$B$9+'Inputs'!$B$10)+'Inputs'!$B$7)^2+('Inputs'!$B$6/2)^2)-(((885-43)*MAX('Inputs'!$B$33,'Inputs'!$B$29+'Inputs'!$B$31+'Inputs'!$B$32,'Inputs'!$B$30+'Inputs'!$B$31+'Inputs'!$B$32)/1000+'Inputs'!$B$21+'Inputs'!$B$9+'Inputs'!$B$10))/SQRT((((885-43)*MAX('Inputs'!$B$33,'Inputs'!$B$29+'Inputs'!$B$31+'Inputs'!$B$32,'Inputs'!$B$30+'Inputs'!$B$31+'Inputs'!$B$32)/1000+'Inputs'!$B$21+'Inputs'!$B$9+'Inputs'!$B$10))^2+('Inputs'!$B$6/2)^2))))*'Results'!$B$8))),"")</x:f>
        <x:v>0.5024781440368088</x:v>
      </x:c>
      <x:c r="O885" t="n">
        <x:f>IF(AND(ISNUMBER('Results'!C7),ISNUMBER('Results'!B7),ISNUMBER('Results'!$B$8),ISNUMBER('Inputs'!$B$6),ISNUMBER('Inputs'!$B$7),ISNUMBER('Inputs'!$B$8),ISNUMBER('Inputs'!$B$9),ISNUMBER('Inputs'!$B$10),ISNUMBER('Inputs'!$B$21),ISNUMBER('Inputs'!$B$24),ISNUMBER('Inputs'!$B$28)),((('Results'!C7*(1+'Inputs'!$B$24)*(0.5*((((885-43)*MAX('Inputs'!$B$33,'Inputs'!$B$29+'Inputs'!$B$31+'Inputs'!$B$32,'Inputs'!$B$30+'Inputs'!$B$31+'Inputs'!$B$32)/1000+'Inputs'!$B$21)+'Inputs'!$B$9)/SQRT((((885-43)*MAX('Inputs'!$B$33,'Inputs'!$B$29+'Inputs'!$B$31+'Inputs'!$B$32,'Inputs'!$B$30+'Inputs'!$B$31+'Inputs'!$B$32)/1000+'Inputs'!$B$21)+'Inputs'!$B$9)^2+('Inputs'!$B$8/2)^2)-(((885-43)*MAX('Inputs'!$B$33,'Inputs'!$B$29+'Inputs'!$B$31+'Inputs'!$B$32,'Inputs'!$B$30+'Inputs'!$B$31+'Inputs'!$B$32)/1000+'Inputs'!$B$21))/SQRT((((885-43)*MAX('Inputs'!$B$33,'Inputs'!$B$29+'Inputs'!$B$31+'Inputs'!$B$32,'Inputs'!$B$30+'Inputs'!$B$31+'Inputs'!$B$32)/1000+'Inputs'!$B$21))^2+('Inputs'!$B$8/2)^2)))-'Results'!B7*(1-'Inputs'!$B$24)*(0.5*((((885-43)*MAX('Inputs'!$B$33,'Inputs'!$B$29+'Inputs'!$B$31+'Inputs'!$B$32,'Inputs'!$B$30+'Inputs'!$B$31+'Inputs'!$B$32)/1000+'Inputs'!$B$21+'Inputs'!$B$9+'Inputs'!$B$10)+'Inputs'!$B$7)/SQRT((((885-43)*MAX('Inputs'!$B$33,'Inputs'!$B$29+'Inputs'!$B$31+'Inputs'!$B$32,'Inputs'!$B$30+'Inputs'!$B$31+'Inputs'!$B$32)/1000+'Inputs'!$B$21+'Inputs'!$B$9+'Inputs'!$B$10)+'Inputs'!$B$7)^2+('Inputs'!$B$6/2)^2)-(((885-43)*MAX('Inputs'!$B$33,'Inputs'!$B$29+'Inputs'!$B$31+'Inputs'!$B$32,'Inputs'!$B$30+'Inputs'!$B$31+'Inputs'!$B$32)/1000+'Inputs'!$B$21+'Inputs'!$B$9+'Inputs'!$B$10))/SQRT((((885-43)*MAX('Inputs'!$B$33,'Inputs'!$B$29+'Inputs'!$B$31+'Inputs'!$B$32,'Inputs'!$B$30+'Inputs'!$B$31+'Inputs'!$B$32)/1000+'Inputs'!$B$21+'Inputs'!$B$9+'Inputs'!$B$10))^2+('Inputs'!$B$6/2)^2))))*'Results'!$B$8)+'Inputs'!$B$28*ABS((('Results'!C7*(1+'Inputs'!$B$24)*(0.5*((((885-43)*MAX('Inputs'!$B$33,'Inputs'!$B$29+'Inputs'!$B$31+'Inputs'!$B$32,'Inputs'!$B$30+'Inputs'!$B$31+'Inputs'!$B$32)/1000+'Inputs'!$B$21)+'Inputs'!$B$9)/SQRT((((885-43)*MAX('Inputs'!$B$33,'Inputs'!$B$29+'Inputs'!$B$31+'Inputs'!$B$32,'Inputs'!$B$30+'Inputs'!$B$31+'Inputs'!$B$32)/1000+'Inputs'!$B$21)+'Inputs'!$B$9)^2+('Inputs'!$B$8/2)^2)-(((885-43)*MAX('Inputs'!$B$33,'Inputs'!$B$29+'Inputs'!$B$31+'Inputs'!$B$32,'Inputs'!$B$30+'Inputs'!$B$31+'Inputs'!$B$32)/1000+'Inputs'!$B$21))/SQRT((((885-43)*MAX('Inputs'!$B$33,'Inputs'!$B$29+'Inputs'!$B$31+'Inputs'!$B$32,'Inputs'!$B$30+'Inputs'!$B$31+'Inputs'!$B$32)/1000+'Inputs'!$B$21))^2+('Inputs'!$B$8/2)^2)))-'Results'!B7*(1-'Inputs'!$B$24)*(0.5*((((885-43)*MAX('Inputs'!$B$33,'Inputs'!$B$29+'Inputs'!$B$31+'Inputs'!$B$32,'Inputs'!$B$30+'Inputs'!$B$31+'Inputs'!$B$32)/1000+'Inputs'!$B$21+'Inputs'!$B$9+'Inputs'!$B$10)+'Inputs'!$B$7)/SQRT((((885-43)*MAX('Inputs'!$B$33,'Inputs'!$B$29+'Inputs'!$B$31+'Inputs'!$B$32,'Inputs'!$B$30+'Inputs'!$B$31+'Inputs'!$B$32)/1000+'Inputs'!$B$21+'Inputs'!$B$9+'Inputs'!$B$10)+'Inputs'!$B$7)^2+('Inputs'!$B$6/2)^2)-(((885-43)*MAX('Inputs'!$B$33,'Inputs'!$B$29+'Inputs'!$B$31+'Inputs'!$B$32,'Inputs'!$B$30+'Inputs'!$B$31+'Inputs'!$B$32)/1000+'Inputs'!$B$21+'Inputs'!$B$9+'Inputs'!$B$10))/SQRT((((885-43)*MAX('Inputs'!$B$33,'Inputs'!$B$29+'Inputs'!$B$31+'Inputs'!$B$32,'Inputs'!$B$30+'Inputs'!$B$31+'Inputs'!$B$32)/1000+'Inputs'!$B$21+'Inputs'!$B$9+'Inputs'!$B$10))^2+('Inputs'!$B$6/2)^2))))*'Results'!$B$8))),"")</x:f>
        <x:v>0.6994172153708741</x:v>
      </x:c>
      <x:c r="P885" t="n">
        <x:f>IF(AND(MAX(J885,J884)&gt;0,J885&gt;J884+0.00000001),1,0)</x:f>
        <x:v>0</x:v>
      </x:c>
      <x:c r="Q885" t="n">
        <x:f>IF(AND(MAX(K885,K884)&gt;0,K885&gt;K884+0.00000001),1,0)</x:f>
        <x:v>0</x:v>
      </x:c>
      <x:c r="R885" t="n">
        <x:f>IF(AND(MAX(L885,L884)&gt;0,L885&gt;L884+0.00000001),1,0)</x:f>
        <x:v>0</x:v>
      </x:c>
      <x:c r="S885" t="n">
        <x:f>IF(AND(MAX(M885,M884)&gt;0,M885&gt;M884+0.00000001),1,0)</x:f>
        <x:v>0</x:v>
      </x:c>
      <x:c r="T885" t="n">
        <x:f>IF(AND(MAX(N885,N884)&gt;0,N885&gt;N884+0.00000001),1,0)</x:f>
        <x:v>0</x:v>
      </x:c>
      <x:c r="U885" t="n">
        <x:f>IF(AND(MAX(O885,O884)&gt;0,O885&gt;O884+0.00000001),1,0)</x:f>
        <x:v>0</x:v>
      </x:c>
    </x:row>
    <x:row r="886">
      <x:c r="J886" t="n">
        <x:f>IF(AND(ISNUMBER('Results'!B7),ISNUMBER('Results'!C7),ISNUMBER('Results'!$B$8),ISNUMBER('Inputs'!$B$6),ISNUMBER('Inputs'!$B$7),ISNUMBER('Inputs'!$B$8),ISNUMBER('Inputs'!$B$9),ISNUMBER('Inputs'!$B$10),ISNUMBER('Inputs'!$B$21),ISNUMBER('Inputs'!$B$24),ISNUMBER('Inputs'!$B$28)),(('Results'!B7*(0.5*((((886-43)*MAX('Inputs'!$B$33,'Inputs'!$B$29+'Inputs'!$B$31+'Inputs'!$B$32,'Inputs'!$B$30+'Inputs'!$B$31+'Inputs'!$B$32)/1000+'Inputs'!$B$21)+'Inputs'!$B$7)/SQRT((((886-43)*MAX('Inputs'!$B$33,'Inputs'!$B$29+'Inputs'!$B$31+'Inputs'!$B$32,'Inputs'!$B$30+'Inputs'!$B$31+'Inputs'!$B$32)/1000+'Inputs'!$B$21)+'Inputs'!$B$7)^2+('Inputs'!$B$6/2)^2)-(((886-43)*MAX('Inputs'!$B$33,'Inputs'!$B$29+'Inputs'!$B$31+'Inputs'!$B$32,'Inputs'!$B$30+'Inputs'!$B$31+'Inputs'!$B$32)/1000+'Inputs'!$B$21))/SQRT((((886-43)*MAX('Inputs'!$B$33,'Inputs'!$B$29+'Inputs'!$B$31+'Inputs'!$B$32,'Inputs'!$B$30+'Inputs'!$B$31+'Inputs'!$B$32)/1000+'Inputs'!$B$21))^2+('Inputs'!$B$6/2)^2)))-'Results'!C7*(0.5*((((886-43)*MAX('Inputs'!$B$33,'Inputs'!$B$29+'Inputs'!$B$31+'Inputs'!$B$32,'Inputs'!$B$30+'Inputs'!$B$31+'Inputs'!$B$32)/1000+'Inputs'!$B$21+'Inputs'!$B$7+'Inputs'!$B$10)+'Inputs'!$B$9)/SQRT((((886-43)*MAX('Inputs'!$B$33,'Inputs'!$B$29+'Inputs'!$B$31+'Inputs'!$B$32,'Inputs'!$B$30+'Inputs'!$B$31+'Inputs'!$B$32)/1000+'Inputs'!$B$21+'Inputs'!$B$7+'Inputs'!$B$10)+'Inputs'!$B$9)^2+('Inputs'!$B$8/2)^2)-(((886-43)*MAX('Inputs'!$B$33,'Inputs'!$B$29+'Inputs'!$B$31+'Inputs'!$B$32,'Inputs'!$B$30+'Inputs'!$B$31+'Inputs'!$B$32)/1000+'Inputs'!$B$21+'Inputs'!$B$7+'Inputs'!$B$10))/SQRT((((886-43)*MAX('Inputs'!$B$33,'Inputs'!$B$29+'Inputs'!$B$31+'Inputs'!$B$32,'Inputs'!$B$30+'Inputs'!$B$31+'Inputs'!$B$32)/1000+'Inputs'!$B$21+'Inputs'!$B$7+'Inputs'!$B$10))^2+('Inputs'!$B$8/2)^2))))*'Results'!$B$8),"")</x:f>
        <x:v>0.6640819088036954</x:v>
      </x:c>
      <x:c r="K886" t="n">
        <x:f>IF(AND(ISNUMBER('Results'!B7),ISNUMBER('Results'!C7),ISNUMBER('Results'!$B$8),ISNUMBER('Inputs'!$B$6),ISNUMBER('Inputs'!$B$7),ISNUMBER('Inputs'!$B$8),ISNUMBER('Inputs'!$B$9),ISNUMBER('Inputs'!$B$10),ISNUMBER('Inputs'!$B$21),ISNUMBER('Inputs'!$B$24),ISNUMBER('Inputs'!$B$28)),((('Results'!B7*(1-'Inputs'!$B$24)*(0.5*((((886-43)*MAX('Inputs'!$B$33,'Inputs'!$B$29+'Inputs'!$B$31+'Inputs'!$B$32,'Inputs'!$B$30+'Inputs'!$B$31+'Inputs'!$B$32)/1000+'Inputs'!$B$21)+'Inputs'!$B$7)/SQRT((((886-43)*MAX('Inputs'!$B$33,'Inputs'!$B$29+'Inputs'!$B$31+'Inputs'!$B$32,'Inputs'!$B$30+'Inputs'!$B$31+'Inputs'!$B$32)/1000+'Inputs'!$B$21)+'Inputs'!$B$7)^2+('Inputs'!$B$6/2)^2)-(((886-43)*MAX('Inputs'!$B$33,'Inputs'!$B$29+'Inputs'!$B$31+'Inputs'!$B$32,'Inputs'!$B$30+'Inputs'!$B$31+'Inputs'!$B$32)/1000+'Inputs'!$B$21))/SQRT((((886-43)*MAX('Inputs'!$B$33,'Inputs'!$B$29+'Inputs'!$B$31+'Inputs'!$B$32,'Inputs'!$B$30+'Inputs'!$B$31+'Inputs'!$B$32)/1000+'Inputs'!$B$21))^2+('Inputs'!$B$6/2)^2)))-'Results'!C7*(1+'Inputs'!$B$24)*(0.5*((((886-43)*MAX('Inputs'!$B$33,'Inputs'!$B$29+'Inputs'!$B$31+'Inputs'!$B$32,'Inputs'!$B$30+'Inputs'!$B$31+'Inputs'!$B$32)/1000+'Inputs'!$B$21+'Inputs'!$B$7+'Inputs'!$B$10)+'Inputs'!$B$9)/SQRT((((886-43)*MAX('Inputs'!$B$33,'Inputs'!$B$29+'Inputs'!$B$31+'Inputs'!$B$32,'Inputs'!$B$30+'Inputs'!$B$31+'Inputs'!$B$32)/1000+'Inputs'!$B$21+'Inputs'!$B$7+'Inputs'!$B$10)+'Inputs'!$B$9)^2+('Inputs'!$B$8/2)^2)-(((886-43)*MAX('Inputs'!$B$33,'Inputs'!$B$29+'Inputs'!$B$31+'Inputs'!$B$32,'Inputs'!$B$30+'Inputs'!$B$31+'Inputs'!$B$32)/1000+'Inputs'!$B$21+'Inputs'!$B$7+'Inputs'!$B$10))/SQRT((((886-43)*MAX('Inputs'!$B$33,'Inputs'!$B$29+'Inputs'!$B$31+'Inputs'!$B$32,'Inputs'!$B$30+'Inputs'!$B$31+'Inputs'!$B$32)/1000+'Inputs'!$B$21+'Inputs'!$B$7+'Inputs'!$B$10))^2+('Inputs'!$B$8/2)^2))))*'Results'!$B$8)-'Inputs'!$B$28*ABS((('Results'!B7*(1-'Inputs'!$B$24)*(0.5*((((886-43)*MAX('Inputs'!$B$33,'Inputs'!$B$29+'Inputs'!$B$31+'Inputs'!$B$32,'Inputs'!$B$30+'Inputs'!$B$31+'Inputs'!$B$32)/1000+'Inputs'!$B$21)+'Inputs'!$B$7)/SQRT((((886-43)*MAX('Inputs'!$B$33,'Inputs'!$B$29+'Inputs'!$B$31+'Inputs'!$B$32,'Inputs'!$B$30+'Inputs'!$B$31+'Inputs'!$B$32)/1000+'Inputs'!$B$21)+'Inputs'!$B$7)^2+('Inputs'!$B$6/2)^2)-(((886-43)*MAX('Inputs'!$B$33,'Inputs'!$B$29+'Inputs'!$B$31+'Inputs'!$B$32,'Inputs'!$B$30+'Inputs'!$B$31+'Inputs'!$B$32)/1000+'Inputs'!$B$21))/SQRT((((886-43)*MAX('Inputs'!$B$33,'Inputs'!$B$29+'Inputs'!$B$31+'Inputs'!$B$32,'Inputs'!$B$30+'Inputs'!$B$31+'Inputs'!$B$32)/1000+'Inputs'!$B$21))^2+('Inputs'!$B$6/2)^2)))-'Results'!C7*(1+'Inputs'!$B$24)*(0.5*((((886-43)*MAX('Inputs'!$B$33,'Inputs'!$B$29+'Inputs'!$B$31+'Inputs'!$B$32,'Inputs'!$B$30+'Inputs'!$B$31+'Inputs'!$B$32)/1000+'Inputs'!$B$21+'Inputs'!$B$7+'Inputs'!$B$10)+'Inputs'!$B$9)/SQRT((((886-43)*MAX('Inputs'!$B$33,'Inputs'!$B$29+'Inputs'!$B$31+'Inputs'!$B$32,'Inputs'!$B$30+'Inputs'!$B$31+'Inputs'!$B$32)/1000+'Inputs'!$B$21+'Inputs'!$B$7+'Inputs'!$B$10)+'Inputs'!$B$9)^2+('Inputs'!$B$8/2)^2)-(((886-43)*MAX('Inputs'!$B$33,'Inputs'!$B$29+'Inputs'!$B$31+'Inputs'!$B$32,'Inputs'!$B$30+'Inputs'!$B$31+'Inputs'!$B$32)/1000+'Inputs'!$B$21+'Inputs'!$B$7+'Inputs'!$B$10))/SQRT((((886-43)*MAX('Inputs'!$B$33,'Inputs'!$B$29+'Inputs'!$B$31+'Inputs'!$B$32,'Inputs'!$B$30+'Inputs'!$B$31+'Inputs'!$B$32)/1000+'Inputs'!$B$21+'Inputs'!$B$7+'Inputs'!$B$10))^2+('Inputs'!$B$8/2)^2))))*'Results'!$B$8))),"")</x:f>
        <x:v>0.5656860706075999</x:v>
      </x:c>
      <x:c r="L886" t="n">
        <x:f>IF(AND(ISNUMBER('Results'!B7),ISNUMBER('Results'!C7),ISNUMBER('Results'!$B$8),ISNUMBER('Inputs'!$B$6),ISNUMBER('Inputs'!$B$7),ISNUMBER('Inputs'!$B$8),ISNUMBER('Inputs'!$B$9),ISNUMBER('Inputs'!$B$10),ISNUMBER('Inputs'!$B$21),ISNUMBER('Inputs'!$B$24),ISNUMBER('Inputs'!$B$28)),((('Results'!B7*(1+'Inputs'!$B$24)*(0.5*((((886-43)*MAX('Inputs'!$B$33,'Inputs'!$B$29+'Inputs'!$B$31+'Inputs'!$B$32,'Inputs'!$B$30+'Inputs'!$B$31+'Inputs'!$B$32)/1000+'Inputs'!$B$21)+'Inputs'!$B$7)/SQRT((((886-43)*MAX('Inputs'!$B$33,'Inputs'!$B$29+'Inputs'!$B$31+'Inputs'!$B$32,'Inputs'!$B$30+'Inputs'!$B$31+'Inputs'!$B$32)/1000+'Inputs'!$B$21)+'Inputs'!$B$7)^2+('Inputs'!$B$6/2)^2)-(((886-43)*MAX('Inputs'!$B$33,'Inputs'!$B$29+'Inputs'!$B$31+'Inputs'!$B$32,'Inputs'!$B$30+'Inputs'!$B$31+'Inputs'!$B$32)/1000+'Inputs'!$B$21))/SQRT((((886-43)*MAX('Inputs'!$B$33,'Inputs'!$B$29+'Inputs'!$B$31+'Inputs'!$B$32,'Inputs'!$B$30+'Inputs'!$B$31+'Inputs'!$B$32)/1000+'Inputs'!$B$21))^2+('Inputs'!$B$6/2)^2)))-'Results'!C7*(1-'Inputs'!$B$24)*(0.5*((((886-43)*MAX('Inputs'!$B$33,'Inputs'!$B$29+'Inputs'!$B$31+'Inputs'!$B$32,'Inputs'!$B$30+'Inputs'!$B$31+'Inputs'!$B$32)/1000+'Inputs'!$B$21+'Inputs'!$B$7+'Inputs'!$B$10)+'Inputs'!$B$9)/SQRT((((886-43)*MAX('Inputs'!$B$33,'Inputs'!$B$29+'Inputs'!$B$31+'Inputs'!$B$32,'Inputs'!$B$30+'Inputs'!$B$31+'Inputs'!$B$32)/1000+'Inputs'!$B$21+'Inputs'!$B$7+'Inputs'!$B$10)+'Inputs'!$B$9)^2+('Inputs'!$B$8/2)^2)-(((886-43)*MAX('Inputs'!$B$33,'Inputs'!$B$29+'Inputs'!$B$31+'Inputs'!$B$32,'Inputs'!$B$30+'Inputs'!$B$31+'Inputs'!$B$32)/1000+'Inputs'!$B$21+'Inputs'!$B$7+'Inputs'!$B$10))/SQRT((((886-43)*MAX('Inputs'!$B$33,'Inputs'!$B$29+'Inputs'!$B$31+'Inputs'!$B$32,'Inputs'!$B$30+'Inputs'!$B$31+'Inputs'!$B$32)/1000+'Inputs'!$B$21+'Inputs'!$B$7+'Inputs'!$B$10))^2+('Inputs'!$B$8/2)^2))))*'Results'!$B$8)+'Inputs'!$B$28*ABS((('Results'!B7*(1+'Inputs'!$B$24)*(0.5*((((886-43)*MAX('Inputs'!$B$33,'Inputs'!$B$29+'Inputs'!$B$31+'Inputs'!$B$32,'Inputs'!$B$30+'Inputs'!$B$31+'Inputs'!$B$32)/1000+'Inputs'!$B$21)+'Inputs'!$B$7)/SQRT((((886-43)*MAX('Inputs'!$B$33,'Inputs'!$B$29+'Inputs'!$B$31+'Inputs'!$B$32,'Inputs'!$B$30+'Inputs'!$B$31+'Inputs'!$B$32)/1000+'Inputs'!$B$21)+'Inputs'!$B$7)^2+('Inputs'!$B$6/2)^2)-(((886-43)*MAX('Inputs'!$B$33,'Inputs'!$B$29+'Inputs'!$B$31+'Inputs'!$B$32,'Inputs'!$B$30+'Inputs'!$B$31+'Inputs'!$B$32)/1000+'Inputs'!$B$21))/SQRT((((886-43)*MAX('Inputs'!$B$33,'Inputs'!$B$29+'Inputs'!$B$31+'Inputs'!$B$32,'Inputs'!$B$30+'Inputs'!$B$31+'Inputs'!$B$32)/1000+'Inputs'!$B$21))^2+('Inputs'!$B$6/2)^2)))-'Results'!C7*(1-'Inputs'!$B$24)*(0.5*((((886-43)*MAX('Inputs'!$B$33,'Inputs'!$B$29+'Inputs'!$B$31+'Inputs'!$B$32,'Inputs'!$B$30+'Inputs'!$B$31+'Inputs'!$B$32)/1000+'Inputs'!$B$21+'Inputs'!$B$7+'Inputs'!$B$10)+'Inputs'!$B$9)/SQRT((((886-43)*MAX('Inputs'!$B$33,'Inputs'!$B$29+'Inputs'!$B$31+'Inputs'!$B$32,'Inputs'!$B$30+'Inputs'!$B$31+'Inputs'!$B$32)/1000+'Inputs'!$B$21+'Inputs'!$B$7+'Inputs'!$B$10)+'Inputs'!$B$9)^2+('Inputs'!$B$8/2)^2)-(((886-43)*MAX('Inputs'!$B$33,'Inputs'!$B$29+'Inputs'!$B$31+'Inputs'!$B$32,'Inputs'!$B$30+'Inputs'!$B$31+'Inputs'!$B$32)/1000+'Inputs'!$B$21+'Inputs'!$B$7+'Inputs'!$B$10))/SQRT((((886-43)*MAX('Inputs'!$B$33,'Inputs'!$B$29+'Inputs'!$B$31+'Inputs'!$B$32,'Inputs'!$B$30+'Inputs'!$B$31+'Inputs'!$B$32)/1000+'Inputs'!$B$21+'Inputs'!$B$7+'Inputs'!$B$10))^2+('Inputs'!$B$8/2)^2))))*'Results'!$B$8))),"")</x:f>
        <x:v>0.76934003571094</x:v>
      </x:c>
      <x:c r="M886" t="n">
        <x:f>IF(AND(ISNUMBER('Results'!C7),ISNUMBER('Results'!B7),ISNUMBER('Results'!$B$8),ISNUMBER('Inputs'!$B$6),ISNUMBER('Inputs'!$B$7),ISNUMBER('Inputs'!$B$8),ISNUMBER('Inputs'!$B$9),ISNUMBER('Inputs'!$B$10),ISNUMBER('Inputs'!$B$21),ISNUMBER('Inputs'!$B$24),ISNUMBER('Inputs'!$B$28)),(('Results'!C7*(0.5*((((886-43)*MAX('Inputs'!$B$33,'Inputs'!$B$29+'Inputs'!$B$31+'Inputs'!$B$32,'Inputs'!$B$30+'Inputs'!$B$31+'Inputs'!$B$32)/1000+'Inputs'!$B$21)+'Inputs'!$B$9)/SQRT((((886-43)*MAX('Inputs'!$B$33,'Inputs'!$B$29+'Inputs'!$B$31+'Inputs'!$B$32,'Inputs'!$B$30+'Inputs'!$B$31+'Inputs'!$B$32)/1000+'Inputs'!$B$21)+'Inputs'!$B$9)^2+('Inputs'!$B$8/2)^2)-(((886-43)*MAX('Inputs'!$B$33,'Inputs'!$B$29+'Inputs'!$B$31+'Inputs'!$B$32,'Inputs'!$B$30+'Inputs'!$B$31+'Inputs'!$B$32)/1000+'Inputs'!$B$21))/SQRT((((886-43)*MAX('Inputs'!$B$33,'Inputs'!$B$29+'Inputs'!$B$31+'Inputs'!$B$32,'Inputs'!$B$30+'Inputs'!$B$31+'Inputs'!$B$32)/1000+'Inputs'!$B$21))^2+('Inputs'!$B$8/2)^2)))-'Results'!B7*(0.5*((((886-43)*MAX('Inputs'!$B$33,'Inputs'!$B$29+'Inputs'!$B$31+'Inputs'!$B$32,'Inputs'!$B$30+'Inputs'!$B$31+'Inputs'!$B$32)/1000+'Inputs'!$B$21+'Inputs'!$B$9+'Inputs'!$B$10)+'Inputs'!$B$7)/SQRT((((886-43)*MAX('Inputs'!$B$33,'Inputs'!$B$29+'Inputs'!$B$31+'Inputs'!$B$32,'Inputs'!$B$30+'Inputs'!$B$31+'Inputs'!$B$32)/1000+'Inputs'!$B$21+'Inputs'!$B$9+'Inputs'!$B$10)+'Inputs'!$B$7)^2+('Inputs'!$B$6/2)^2)-(((886-43)*MAX('Inputs'!$B$33,'Inputs'!$B$29+'Inputs'!$B$31+'Inputs'!$B$32,'Inputs'!$B$30+'Inputs'!$B$31+'Inputs'!$B$32)/1000+'Inputs'!$B$21+'Inputs'!$B$9+'Inputs'!$B$10))/SQRT((((886-43)*MAX('Inputs'!$B$33,'Inputs'!$B$29+'Inputs'!$B$31+'Inputs'!$B$32,'Inputs'!$B$30+'Inputs'!$B$31+'Inputs'!$B$32)/1000+'Inputs'!$B$21+'Inputs'!$B$9+'Inputs'!$B$10))^2+('Inputs'!$B$6/2)^2))))*'Results'!$B$8),"")</x:f>
        <x:v>0.5948943150704208</x:v>
      </x:c>
      <x:c r="N886" t="n">
        <x:f>IF(AND(ISNUMBER('Results'!C7),ISNUMBER('Results'!B7),ISNUMBER('Results'!$B$8),ISNUMBER('Inputs'!$B$6),ISNUMBER('Inputs'!$B$7),ISNUMBER('Inputs'!$B$8),ISNUMBER('Inputs'!$B$9),ISNUMBER('Inputs'!$B$10),ISNUMBER('Inputs'!$B$21),ISNUMBER('Inputs'!$B$24),ISNUMBER('Inputs'!$B$28)),((('Results'!C7*(1-'Inputs'!$B$24)*(0.5*((((886-43)*MAX('Inputs'!$B$33,'Inputs'!$B$29+'Inputs'!$B$31+'Inputs'!$B$32,'Inputs'!$B$30+'Inputs'!$B$31+'Inputs'!$B$32)/1000+'Inputs'!$B$21)+'Inputs'!$B$9)/SQRT((((886-43)*MAX('Inputs'!$B$33,'Inputs'!$B$29+'Inputs'!$B$31+'Inputs'!$B$32,'Inputs'!$B$30+'Inputs'!$B$31+'Inputs'!$B$32)/1000+'Inputs'!$B$21)+'Inputs'!$B$9)^2+('Inputs'!$B$8/2)^2)-(((886-43)*MAX('Inputs'!$B$33,'Inputs'!$B$29+'Inputs'!$B$31+'Inputs'!$B$32,'Inputs'!$B$30+'Inputs'!$B$31+'Inputs'!$B$32)/1000+'Inputs'!$B$21))/SQRT((((886-43)*MAX('Inputs'!$B$33,'Inputs'!$B$29+'Inputs'!$B$31+'Inputs'!$B$32,'Inputs'!$B$30+'Inputs'!$B$31+'Inputs'!$B$32)/1000+'Inputs'!$B$21))^2+('Inputs'!$B$8/2)^2)))-'Results'!B7*(1+'Inputs'!$B$24)*(0.5*((((886-43)*MAX('Inputs'!$B$33,'Inputs'!$B$29+'Inputs'!$B$31+'Inputs'!$B$32,'Inputs'!$B$30+'Inputs'!$B$31+'Inputs'!$B$32)/1000+'Inputs'!$B$21+'Inputs'!$B$9+'Inputs'!$B$10)+'Inputs'!$B$7)/SQRT((((886-43)*MAX('Inputs'!$B$33,'Inputs'!$B$29+'Inputs'!$B$31+'Inputs'!$B$32,'Inputs'!$B$30+'Inputs'!$B$31+'Inputs'!$B$32)/1000+'Inputs'!$B$21+'Inputs'!$B$9+'Inputs'!$B$10)+'Inputs'!$B$7)^2+('Inputs'!$B$6/2)^2)-(((886-43)*MAX('Inputs'!$B$33,'Inputs'!$B$29+'Inputs'!$B$31+'Inputs'!$B$32,'Inputs'!$B$30+'Inputs'!$B$31+'Inputs'!$B$32)/1000+'Inputs'!$B$21+'Inputs'!$B$9+'Inputs'!$B$10))/SQRT((((886-43)*MAX('Inputs'!$B$33,'Inputs'!$B$29+'Inputs'!$B$31+'Inputs'!$B$32,'Inputs'!$B$30+'Inputs'!$B$31+'Inputs'!$B$32)/1000+'Inputs'!$B$21+'Inputs'!$B$9+'Inputs'!$B$10))^2+('Inputs'!$B$6/2)^2))))*'Results'!$B$8)-'Inputs'!$B$28*ABS((('Results'!C7*(1-'Inputs'!$B$24)*(0.5*((((886-43)*MAX('Inputs'!$B$33,'Inputs'!$B$29+'Inputs'!$B$31+'Inputs'!$B$32,'Inputs'!$B$30+'Inputs'!$B$31+'Inputs'!$B$32)/1000+'Inputs'!$B$21)+'Inputs'!$B$9)/SQRT((((886-43)*MAX('Inputs'!$B$33,'Inputs'!$B$29+'Inputs'!$B$31+'Inputs'!$B$32,'Inputs'!$B$30+'Inputs'!$B$31+'Inputs'!$B$32)/1000+'Inputs'!$B$21)+'Inputs'!$B$9)^2+('Inputs'!$B$8/2)^2)-(((886-43)*MAX('Inputs'!$B$33,'Inputs'!$B$29+'Inputs'!$B$31+'Inputs'!$B$32,'Inputs'!$B$30+'Inputs'!$B$31+'Inputs'!$B$32)/1000+'Inputs'!$B$21))/SQRT((((886-43)*MAX('Inputs'!$B$33,'Inputs'!$B$29+'Inputs'!$B$31+'Inputs'!$B$32,'Inputs'!$B$30+'Inputs'!$B$31+'Inputs'!$B$32)/1000+'Inputs'!$B$21))^2+('Inputs'!$B$8/2)^2)))-'Results'!B7*(1+'Inputs'!$B$24)*(0.5*((((886-43)*MAX('Inputs'!$B$33,'Inputs'!$B$29+'Inputs'!$B$31+'Inputs'!$B$32,'Inputs'!$B$30+'Inputs'!$B$31+'Inputs'!$B$32)/1000+'Inputs'!$B$21+'Inputs'!$B$9+'Inputs'!$B$10)+'Inputs'!$B$7)/SQRT((((886-43)*MAX('Inputs'!$B$33,'Inputs'!$B$29+'Inputs'!$B$31+'Inputs'!$B$32,'Inputs'!$B$30+'Inputs'!$B$31+'Inputs'!$B$32)/1000+'Inputs'!$B$21+'Inputs'!$B$9+'Inputs'!$B$10)+'Inputs'!$B$7)^2+('Inputs'!$B$6/2)^2)-(((886-43)*MAX('Inputs'!$B$33,'Inputs'!$B$29+'Inputs'!$B$31+'Inputs'!$B$32,'Inputs'!$B$30+'Inputs'!$B$31+'Inputs'!$B$32)/1000+'Inputs'!$B$21+'Inputs'!$B$9+'Inputs'!$B$10))/SQRT((((886-43)*MAX('Inputs'!$B$33,'Inputs'!$B$29+'Inputs'!$B$31+'Inputs'!$B$32,'Inputs'!$B$30+'Inputs'!$B$31+'Inputs'!$B$32)/1000+'Inputs'!$B$21+'Inputs'!$B$9+'Inputs'!$B$10))^2+('Inputs'!$B$6/2)^2))))*'Results'!$B$8))),"")</x:f>
        <x:v>0.5001994782605204</x:v>
      </x:c>
      <x:c r="O886" t="n">
        <x:f>IF(AND(ISNUMBER('Results'!C7),ISNUMBER('Results'!B7),ISNUMBER('Results'!$B$8),ISNUMBER('Inputs'!$B$6),ISNUMBER('Inputs'!$B$7),ISNUMBER('Inputs'!$B$8),ISNUMBER('Inputs'!$B$9),ISNUMBER('Inputs'!$B$10),ISNUMBER('Inputs'!$B$21),ISNUMBER('Inputs'!$B$24),ISNUMBER('Inputs'!$B$28)),((('Results'!C7*(1+'Inputs'!$B$24)*(0.5*((((886-43)*MAX('Inputs'!$B$33,'Inputs'!$B$29+'Inputs'!$B$31+'Inputs'!$B$32,'Inputs'!$B$30+'Inputs'!$B$31+'Inputs'!$B$32)/1000+'Inputs'!$B$21)+'Inputs'!$B$9)/SQRT((((886-43)*MAX('Inputs'!$B$33,'Inputs'!$B$29+'Inputs'!$B$31+'Inputs'!$B$32,'Inputs'!$B$30+'Inputs'!$B$31+'Inputs'!$B$32)/1000+'Inputs'!$B$21)+'Inputs'!$B$9)^2+('Inputs'!$B$8/2)^2)-(((886-43)*MAX('Inputs'!$B$33,'Inputs'!$B$29+'Inputs'!$B$31+'Inputs'!$B$32,'Inputs'!$B$30+'Inputs'!$B$31+'Inputs'!$B$32)/1000+'Inputs'!$B$21))/SQRT((((886-43)*MAX('Inputs'!$B$33,'Inputs'!$B$29+'Inputs'!$B$31+'Inputs'!$B$32,'Inputs'!$B$30+'Inputs'!$B$31+'Inputs'!$B$32)/1000+'Inputs'!$B$21))^2+('Inputs'!$B$8/2)^2)))-'Results'!B7*(1-'Inputs'!$B$24)*(0.5*((((886-43)*MAX('Inputs'!$B$33,'Inputs'!$B$29+'Inputs'!$B$31+'Inputs'!$B$32,'Inputs'!$B$30+'Inputs'!$B$31+'Inputs'!$B$32)/1000+'Inputs'!$B$21+'Inputs'!$B$9+'Inputs'!$B$10)+'Inputs'!$B$7)/SQRT((((886-43)*MAX('Inputs'!$B$33,'Inputs'!$B$29+'Inputs'!$B$31+'Inputs'!$B$32,'Inputs'!$B$30+'Inputs'!$B$31+'Inputs'!$B$32)/1000+'Inputs'!$B$21+'Inputs'!$B$9+'Inputs'!$B$10)+'Inputs'!$B$7)^2+('Inputs'!$B$6/2)^2)-(((886-43)*MAX('Inputs'!$B$33,'Inputs'!$B$29+'Inputs'!$B$31+'Inputs'!$B$32,'Inputs'!$B$30+'Inputs'!$B$31+'Inputs'!$B$32)/1000+'Inputs'!$B$21+'Inputs'!$B$9+'Inputs'!$B$10))/SQRT((((886-43)*MAX('Inputs'!$B$33,'Inputs'!$B$29+'Inputs'!$B$31+'Inputs'!$B$32,'Inputs'!$B$30+'Inputs'!$B$31+'Inputs'!$B$32)/1000+'Inputs'!$B$21+'Inputs'!$B$9+'Inputs'!$B$10))^2+('Inputs'!$B$6/2)^2))))*'Results'!$B$8)+'Inputs'!$B$28*ABS((('Results'!C7*(1+'Inputs'!$B$24)*(0.5*((((886-43)*MAX('Inputs'!$B$33,'Inputs'!$B$29+'Inputs'!$B$31+'Inputs'!$B$32,'Inputs'!$B$30+'Inputs'!$B$31+'Inputs'!$B$32)/1000+'Inputs'!$B$21)+'Inputs'!$B$9)/SQRT((((886-43)*MAX('Inputs'!$B$33,'Inputs'!$B$29+'Inputs'!$B$31+'Inputs'!$B$32,'Inputs'!$B$30+'Inputs'!$B$31+'Inputs'!$B$32)/1000+'Inputs'!$B$21)+'Inputs'!$B$9)^2+('Inputs'!$B$8/2)^2)-(((886-43)*MAX('Inputs'!$B$33,'Inputs'!$B$29+'Inputs'!$B$31+'Inputs'!$B$32,'Inputs'!$B$30+'Inputs'!$B$31+'Inputs'!$B$32)/1000+'Inputs'!$B$21))/SQRT((((886-43)*MAX('Inputs'!$B$33,'Inputs'!$B$29+'Inputs'!$B$31+'Inputs'!$B$32,'Inputs'!$B$30+'Inputs'!$B$31+'Inputs'!$B$32)/1000+'Inputs'!$B$21))^2+('Inputs'!$B$8/2)^2)))-'Results'!B7*(1-'Inputs'!$B$24)*(0.5*((((886-43)*MAX('Inputs'!$B$33,'Inputs'!$B$29+'Inputs'!$B$31+'Inputs'!$B$32,'Inputs'!$B$30+'Inputs'!$B$31+'Inputs'!$B$32)/1000+'Inputs'!$B$21+'Inputs'!$B$9+'Inputs'!$B$10)+'Inputs'!$B$7)/SQRT((((886-43)*MAX('Inputs'!$B$33,'Inputs'!$B$29+'Inputs'!$B$31+'Inputs'!$B$32,'Inputs'!$B$30+'Inputs'!$B$31+'Inputs'!$B$32)/1000+'Inputs'!$B$21+'Inputs'!$B$9+'Inputs'!$B$10)+'Inputs'!$B$7)^2+('Inputs'!$B$6/2)^2)-(((886-43)*MAX('Inputs'!$B$33,'Inputs'!$B$29+'Inputs'!$B$31+'Inputs'!$B$32,'Inputs'!$B$30+'Inputs'!$B$31+'Inputs'!$B$32)/1000+'Inputs'!$B$21+'Inputs'!$B$9+'Inputs'!$B$10))/SQRT((((886-43)*MAX('Inputs'!$B$33,'Inputs'!$B$29+'Inputs'!$B$31+'Inputs'!$B$32,'Inputs'!$B$30+'Inputs'!$B$31+'Inputs'!$B$32)/1000+'Inputs'!$B$21+'Inputs'!$B$9+'Inputs'!$B$10))^2+('Inputs'!$B$6/2)^2))))*'Results'!$B$8))),"")</x:f>
        <x:v>0.6964260067283613</x:v>
      </x:c>
      <x:c r="P886" t="n">
        <x:f>IF(AND(MAX(J886,J885)&gt;0,J886&gt;J885+0.00000001),1,0)</x:f>
        <x:v>0</x:v>
      </x:c>
      <x:c r="Q886" t="n">
        <x:f>IF(AND(MAX(K886,K885)&gt;0,K886&gt;K885+0.00000001),1,0)</x:f>
        <x:v>0</x:v>
      </x:c>
      <x:c r="R886" t="n">
        <x:f>IF(AND(MAX(L886,L885)&gt;0,L886&gt;L885+0.00000001),1,0)</x:f>
        <x:v>0</x:v>
      </x:c>
      <x:c r="S886" t="n">
        <x:f>IF(AND(MAX(M886,M885)&gt;0,M886&gt;M885+0.00000001),1,0)</x:f>
        <x:v>0</x:v>
      </x:c>
      <x:c r="T886" t="n">
        <x:f>IF(AND(MAX(N886,N885)&gt;0,N886&gt;N885+0.00000001),1,0)</x:f>
        <x:v>0</x:v>
      </x:c>
      <x:c r="U886" t="n">
        <x:f>IF(AND(MAX(O886,O885)&gt;0,O886&gt;O885+0.00000001),1,0)</x:f>
        <x:v>0</x:v>
      </x:c>
    </x:row>
    <x:row r="887">
      <x:c r="J887" t="n">
        <x:f>IF(AND(ISNUMBER('Results'!B7),ISNUMBER('Results'!C7),ISNUMBER('Results'!$B$8),ISNUMBER('Inputs'!$B$6),ISNUMBER('Inputs'!$B$7),ISNUMBER('Inputs'!$B$8),ISNUMBER('Inputs'!$B$9),ISNUMBER('Inputs'!$B$10),ISNUMBER('Inputs'!$B$21),ISNUMBER('Inputs'!$B$24),ISNUMBER('Inputs'!$B$28)),(('Results'!B7*(0.5*((((887-43)*MAX('Inputs'!$B$33,'Inputs'!$B$29+'Inputs'!$B$31+'Inputs'!$B$32,'Inputs'!$B$30+'Inputs'!$B$31+'Inputs'!$B$32)/1000+'Inputs'!$B$21)+'Inputs'!$B$7)/SQRT((((887-43)*MAX('Inputs'!$B$33,'Inputs'!$B$29+'Inputs'!$B$31+'Inputs'!$B$32,'Inputs'!$B$30+'Inputs'!$B$31+'Inputs'!$B$32)/1000+'Inputs'!$B$21)+'Inputs'!$B$7)^2+('Inputs'!$B$6/2)^2)-(((887-43)*MAX('Inputs'!$B$33,'Inputs'!$B$29+'Inputs'!$B$31+'Inputs'!$B$32,'Inputs'!$B$30+'Inputs'!$B$31+'Inputs'!$B$32)/1000+'Inputs'!$B$21))/SQRT((((887-43)*MAX('Inputs'!$B$33,'Inputs'!$B$29+'Inputs'!$B$31+'Inputs'!$B$32,'Inputs'!$B$30+'Inputs'!$B$31+'Inputs'!$B$32)/1000+'Inputs'!$B$21))^2+('Inputs'!$B$6/2)^2)))-'Results'!C7*(0.5*((((887-43)*MAX('Inputs'!$B$33,'Inputs'!$B$29+'Inputs'!$B$31+'Inputs'!$B$32,'Inputs'!$B$30+'Inputs'!$B$31+'Inputs'!$B$32)/1000+'Inputs'!$B$21+'Inputs'!$B$7+'Inputs'!$B$10)+'Inputs'!$B$9)/SQRT((((887-43)*MAX('Inputs'!$B$33,'Inputs'!$B$29+'Inputs'!$B$31+'Inputs'!$B$32,'Inputs'!$B$30+'Inputs'!$B$31+'Inputs'!$B$32)/1000+'Inputs'!$B$21+'Inputs'!$B$7+'Inputs'!$B$10)+'Inputs'!$B$9)^2+('Inputs'!$B$8/2)^2)-(((887-43)*MAX('Inputs'!$B$33,'Inputs'!$B$29+'Inputs'!$B$31+'Inputs'!$B$32,'Inputs'!$B$30+'Inputs'!$B$31+'Inputs'!$B$32)/1000+'Inputs'!$B$21+'Inputs'!$B$7+'Inputs'!$B$10))/SQRT((((887-43)*MAX('Inputs'!$B$33,'Inputs'!$B$29+'Inputs'!$B$31+'Inputs'!$B$32,'Inputs'!$B$30+'Inputs'!$B$31+'Inputs'!$B$32)/1000+'Inputs'!$B$21+'Inputs'!$B$7+'Inputs'!$B$10))^2+('Inputs'!$B$8/2)^2))))*'Results'!$B$8),"")</x:f>
        <x:v>0.6612455999750531</x:v>
      </x:c>
      <x:c r="K887" t="n">
        <x:f>IF(AND(ISNUMBER('Results'!B7),ISNUMBER('Results'!C7),ISNUMBER('Results'!$B$8),ISNUMBER('Inputs'!$B$6),ISNUMBER('Inputs'!$B$7),ISNUMBER('Inputs'!$B$8),ISNUMBER('Inputs'!$B$9),ISNUMBER('Inputs'!$B$10),ISNUMBER('Inputs'!$B$21),ISNUMBER('Inputs'!$B$24),ISNUMBER('Inputs'!$B$28)),((('Results'!B7*(1-'Inputs'!$B$24)*(0.5*((((887-43)*MAX('Inputs'!$B$33,'Inputs'!$B$29+'Inputs'!$B$31+'Inputs'!$B$32,'Inputs'!$B$30+'Inputs'!$B$31+'Inputs'!$B$32)/1000+'Inputs'!$B$21)+'Inputs'!$B$7)/SQRT((((887-43)*MAX('Inputs'!$B$33,'Inputs'!$B$29+'Inputs'!$B$31+'Inputs'!$B$32,'Inputs'!$B$30+'Inputs'!$B$31+'Inputs'!$B$32)/1000+'Inputs'!$B$21)+'Inputs'!$B$7)^2+('Inputs'!$B$6/2)^2)-(((887-43)*MAX('Inputs'!$B$33,'Inputs'!$B$29+'Inputs'!$B$31+'Inputs'!$B$32,'Inputs'!$B$30+'Inputs'!$B$31+'Inputs'!$B$32)/1000+'Inputs'!$B$21))/SQRT((((887-43)*MAX('Inputs'!$B$33,'Inputs'!$B$29+'Inputs'!$B$31+'Inputs'!$B$32,'Inputs'!$B$30+'Inputs'!$B$31+'Inputs'!$B$32)/1000+'Inputs'!$B$21))^2+('Inputs'!$B$6/2)^2)))-'Results'!C7*(1+'Inputs'!$B$24)*(0.5*((((887-43)*MAX('Inputs'!$B$33,'Inputs'!$B$29+'Inputs'!$B$31+'Inputs'!$B$32,'Inputs'!$B$30+'Inputs'!$B$31+'Inputs'!$B$32)/1000+'Inputs'!$B$21+'Inputs'!$B$7+'Inputs'!$B$10)+'Inputs'!$B$9)/SQRT((((887-43)*MAX('Inputs'!$B$33,'Inputs'!$B$29+'Inputs'!$B$31+'Inputs'!$B$32,'Inputs'!$B$30+'Inputs'!$B$31+'Inputs'!$B$32)/1000+'Inputs'!$B$21+'Inputs'!$B$7+'Inputs'!$B$10)+'Inputs'!$B$9)^2+('Inputs'!$B$8/2)^2)-(((887-43)*MAX('Inputs'!$B$33,'Inputs'!$B$29+'Inputs'!$B$31+'Inputs'!$B$32,'Inputs'!$B$30+'Inputs'!$B$31+'Inputs'!$B$32)/1000+'Inputs'!$B$21+'Inputs'!$B$7+'Inputs'!$B$10))/SQRT((((887-43)*MAX('Inputs'!$B$33,'Inputs'!$B$29+'Inputs'!$B$31+'Inputs'!$B$32,'Inputs'!$B$30+'Inputs'!$B$31+'Inputs'!$B$32)/1000+'Inputs'!$B$21+'Inputs'!$B$7+'Inputs'!$B$10))^2+('Inputs'!$B$8/2)^2))))*'Results'!$B$8)-'Inputs'!$B$28*ABS((('Results'!B7*(1-'Inputs'!$B$24)*(0.5*((((887-43)*MAX('Inputs'!$B$33,'Inputs'!$B$29+'Inputs'!$B$31+'Inputs'!$B$32,'Inputs'!$B$30+'Inputs'!$B$31+'Inputs'!$B$32)/1000+'Inputs'!$B$21)+'Inputs'!$B$7)/SQRT((((887-43)*MAX('Inputs'!$B$33,'Inputs'!$B$29+'Inputs'!$B$31+'Inputs'!$B$32,'Inputs'!$B$30+'Inputs'!$B$31+'Inputs'!$B$32)/1000+'Inputs'!$B$21)+'Inputs'!$B$7)^2+('Inputs'!$B$6/2)^2)-(((887-43)*MAX('Inputs'!$B$33,'Inputs'!$B$29+'Inputs'!$B$31+'Inputs'!$B$32,'Inputs'!$B$30+'Inputs'!$B$31+'Inputs'!$B$32)/1000+'Inputs'!$B$21))/SQRT((((887-43)*MAX('Inputs'!$B$33,'Inputs'!$B$29+'Inputs'!$B$31+'Inputs'!$B$32,'Inputs'!$B$30+'Inputs'!$B$31+'Inputs'!$B$32)/1000+'Inputs'!$B$21))^2+('Inputs'!$B$6/2)^2)))-'Results'!C7*(1+'Inputs'!$B$24)*(0.5*((((887-43)*MAX('Inputs'!$B$33,'Inputs'!$B$29+'Inputs'!$B$31+'Inputs'!$B$32,'Inputs'!$B$30+'Inputs'!$B$31+'Inputs'!$B$32)/1000+'Inputs'!$B$21+'Inputs'!$B$7+'Inputs'!$B$10)+'Inputs'!$B$9)/SQRT((((887-43)*MAX('Inputs'!$B$33,'Inputs'!$B$29+'Inputs'!$B$31+'Inputs'!$B$32,'Inputs'!$B$30+'Inputs'!$B$31+'Inputs'!$B$32)/1000+'Inputs'!$B$21+'Inputs'!$B$7+'Inputs'!$B$10)+'Inputs'!$B$9)^2+('Inputs'!$B$8/2)^2)-(((887-43)*MAX('Inputs'!$B$33,'Inputs'!$B$29+'Inputs'!$B$31+'Inputs'!$B$32,'Inputs'!$B$30+'Inputs'!$B$31+'Inputs'!$B$32)/1000+'Inputs'!$B$21+'Inputs'!$B$7+'Inputs'!$B$10))/SQRT((((887-43)*MAX('Inputs'!$B$33,'Inputs'!$B$29+'Inputs'!$B$31+'Inputs'!$B$32,'Inputs'!$B$30+'Inputs'!$B$31+'Inputs'!$B$32)/1000+'Inputs'!$B$21+'Inputs'!$B$7+'Inputs'!$B$10))^2+('Inputs'!$B$8/2)^2))))*'Results'!$B$8))),"")</x:f>
        <x:v>0.5632055190646083</x:v>
      </x:c>
      <x:c r="L887" t="n">
        <x:f>IF(AND(ISNUMBER('Results'!B7),ISNUMBER('Results'!C7),ISNUMBER('Results'!$B$8),ISNUMBER('Inputs'!$B$6),ISNUMBER('Inputs'!$B$7),ISNUMBER('Inputs'!$B$8),ISNUMBER('Inputs'!$B$9),ISNUMBER('Inputs'!$B$10),ISNUMBER('Inputs'!$B$21),ISNUMBER('Inputs'!$B$24),ISNUMBER('Inputs'!$B$28)),((('Results'!B7*(1+'Inputs'!$B$24)*(0.5*((((887-43)*MAX('Inputs'!$B$33,'Inputs'!$B$29+'Inputs'!$B$31+'Inputs'!$B$32,'Inputs'!$B$30+'Inputs'!$B$31+'Inputs'!$B$32)/1000+'Inputs'!$B$21)+'Inputs'!$B$7)/SQRT((((887-43)*MAX('Inputs'!$B$33,'Inputs'!$B$29+'Inputs'!$B$31+'Inputs'!$B$32,'Inputs'!$B$30+'Inputs'!$B$31+'Inputs'!$B$32)/1000+'Inputs'!$B$21)+'Inputs'!$B$7)^2+('Inputs'!$B$6/2)^2)-(((887-43)*MAX('Inputs'!$B$33,'Inputs'!$B$29+'Inputs'!$B$31+'Inputs'!$B$32,'Inputs'!$B$30+'Inputs'!$B$31+'Inputs'!$B$32)/1000+'Inputs'!$B$21))/SQRT((((887-43)*MAX('Inputs'!$B$33,'Inputs'!$B$29+'Inputs'!$B$31+'Inputs'!$B$32,'Inputs'!$B$30+'Inputs'!$B$31+'Inputs'!$B$32)/1000+'Inputs'!$B$21))^2+('Inputs'!$B$6/2)^2)))-'Results'!C7*(1-'Inputs'!$B$24)*(0.5*((((887-43)*MAX('Inputs'!$B$33,'Inputs'!$B$29+'Inputs'!$B$31+'Inputs'!$B$32,'Inputs'!$B$30+'Inputs'!$B$31+'Inputs'!$B$32)/1000+'Inputs'!$B$21+'Inputs'!$B$7+'Inputs'!$B$10)+'Inputs'!$B$9)/SQRT((((887-43)*MAX('Inputs'!$B$33,'Inputs'!$B$29+'Inputs'!$B$31+'Inputs'!$B$32,'Inputs'!$B$30+'Inputs'!$B$31+'Inputs'!$B$32)/1000+'Inputs'!$B$21+'Inputs'!$B$7+'Inputs'!$B$10)+'Inputs'!$B$9)^2+('Inputs'!$B$8/2)^2)-(((887-43)*MAX('Inputs'!$B$33,'Inputs'!$B$29+'Inputs'!$B$31+'Inputs'!$B$32,'Inputs'!$B$30+'Inputs'!$B$31+'Inputs'!$B$32)/1000+'Inputs'!$B$21+'Inputs'!$B$7+'Inputs'!$B$10))/SQRT((((887-43)*MAX('Inputs'!$B$33,'Inputs'!$B$29+'Inputs'!$B$31+'Inputs'!$B$32,'Inputs'!$B$30+'Inputs'!$B$31+'Inputs'!$B$32)/1000+'Inputs'!$B$21+'Inputs'!$B$7+'Inputs'!$B$10))^2+('Inputs'!$B$8/2)^2))))*'Results'!$B$8)+'Inputs'!$B$28*ABS((('Results'!B7*(1+'Inputs'!$B$24)*(0.5*((((887-43)*MAX('Inputs'!$B$33,'Inputs'!$B$29+'Inputs'!$B$31+'Inputs'!$B$32,'Inputs'!$B$30+'Inputs'!$B$31+'Inputs'!$B$32)/1000+'Inputs'!$B$21)+'Inputs'!$B$7)/SQRT((((887-43)*MAX('Inputs'!$B$33,'Inputs'!$B$29+'Inputs'!$B$31+'Inputs'!$B$32,'Inputs'!$B$30+'Inputs'!$B$31+'Inputs'!$B$32)/1000+'Inputs'!$B$21)+'Inputs'!$B$7)^2+('Inputs'!$B$6/2)^2)-(((887-43)*MAX('Inputs'!$B$33,'Inputs'!$B$29+'Inputs'!$B$31+'Inputs'!$B$32,'Inputs'!$B$30+'Inputs'!$B$31+'Inputs'!$B$32)/1000+'Inputs'!$B$21))/SQRT((((887-43)*MAX('Inputs'!$B$33,'Inputs'!$B$29+'Inputs'!$B$31+'Inputs'!$B$32,'Inputs'!$B$30+'Inputs'!$B$31+'Inputs'!$B$32)/1000+'Inputs'!$B$21))^2+('Inputs'!$B$6/2)^2)))-'Results'!C7*(1-'Inputs'!$B$24)*(0.5*((((887-43)*MAX('Inputs'!$B$33,'Inputs'!$B$29+'Inputs'!$B$31+'Inputs'!$B$32,'Inputs'!$B$30+'Inputs'!$B$31+'Inputs'!$B$32)/1000+'Inputs'!$B$21+'Inputs'!$B$7+'Inputs'!$B$10)+'Inputs'!$B$9)/SQRT((((887-43)*MAX('Inputs'!$B$33,'Inputs'!$B$29+'Inputs'!$B$31+'Inputs'!$B$32,'Inputs'!$B$30+'Inputs'!$B$31+'Inputs'!$B$32)/1000+'Inputs'!$B$21+'Inputs'!$B$7+'Inputs'!$B$10)+'Inputs'!$B$9)^2+('Inputs'!$B$8/2)^2)-(((887-43)*MAX('Inputs'!$B$33,'Inputs'!$B$29+'Inputs'!$B$31+'Inputs'!$B$32,'Inputs'!$B$30+'Inputs'!$B$31+'Inputs'!$B$32)/1000+'Inputs'!$B$21+'Inputs'!$B$7+'Inputs'!$B$10))/SQRT((((887-43)*MAX('Inputs'!$B$33,'Inputs'!$B$29+'Inputs'!$B$31+'Inputs'!$B$32,'Inputs'!$B$30+'Inputs'!$B$31+'Inputs'!$B$32)/1000+'Inputs'!$B$21+'Inputs'!$B$7+'Inputs'!$B$10))^2+('Inputs'!$B$8/2)^2))))*'Results'!$B$8))),"")</x:f>
        <x:v>0.7661254494025184</x:v>
      </x:c>
      <x:c r="M887" t="n">
        <x:f>IF(AND(ISNUMBER('Results'!C7),ISNUMBER('Results'!B7),ISNUMBER('Results'!$B$8),ISNUMBER('Inputs'!$B$6),ISNUMBER('Inputs'!$B$7),ISNUMBER('Inputs'!$B$8),ISNUMBER('Inputs'!$B$9),ISNUMBER('Inputs'!$B$10),ISNUMBER('Inputs'!$B$21),ISNUMBER('Inputs'!$B$24),ISNUMBER('Inputs'!$B$28)),(('Results'!C7*(0.5*((((887-43)*MAX('Inputs'!$B$33,'Inputs'!$B$29+'Inputs'!$B$31+'Inputs'!$B$32,'Inputs'!$B$30+'Inputs'!$B$31+'Inputs'!$B$32)/1000+'Inputs'!$B$21)+'Inputs'!$B$9)/SQRT((((887-43)*MAX('Inputs'!$B$33,'Inputs'!$B$29+'Inputs'!$B$31+'Inputs'!$B$32,'Inputs'!$B$30+'Inputs'!$B$31+'Inputs'!$B$32)/1000+'Inputs'!$B$21)+'Inputs'!$B$9)^2+('Inputs'!$B$8/2)^2)-(((887-43)*MAX('Inputs'!$B$33,'Inputs'!$B$29+'Inputs'!$B$31+'Inputs'!$B$32,'Inputs'!$B$30+'Inputs'!$B$31+'Inputs'!$B$32)/1000+'Inputs'!$B$21))/SQRT((((887-43)*MAX('Inputs'!$B$33,'Inputs'!$B$29+'Inputs'!$B$31+'Inputs'!$B$32,'Inputs'!$B$30+'Inputs'!$B$31+'Inputs'!$B$32)/1000+'Inputs'!$B$21))^2+('Inputs'!$B$8/2)^2)))-'Results'!B7*(0.5*((((887-43)*MAX('Inputs'!$B$33,'Inputs'!$B$29+'Inputs'!$B$31+'Inputs'!$B$32,'Inputs'!$B$30+'Inputs'!$B$31+'Inputs'!$B$32)/1000+'Inputs'!$B$21+'Inputs'!$B$9+'Inputs'!$B$10)+'Inputs'!$B$7)/SQRT((((887-43)*MAX('Inputs'!$B$33,'Inputs'!$B$29+'Inputs'!$B$31+'Inputs'!$B$32,'Inputs'!$B$30+'Inputs'!$B$31+'Inputs'!$B$32)/1000+'Inputs'!$B$21+'Inputs'!$B$9+'Inputs'!$B$10)+'Inputs'!$B$7)^2+('Inputs'!$B$6/2)^2)-(((887-43)*MAX('Inputs'!$B$33,'Inputs'!$B$29+'Inputs'!$B$31+'Inputs'!$B$32,'Inputs'!$B$30+'Inputs'!$B$31+'Inputs'!$B$32)/1000+'Inputs'!$B$21+'Inputs'!$B$9+'Inputs'!$B$10))/SQRT((((887-43)*MAX('Inputs'!$B$33,'Inputs'!$B$29+'Inputs'!$B$31+'Inputs'!$B$32,'Inputs'!$B$30+'Inputs'!$B$31+'Inputs'!$B$32)/1000+'Inputs'!$B$21+'Inputs'!$B$9+'Inputs'!$B$10))^2+('Inputs'!$B$6/2)^2))))*'Results'!$B$8),"")</x:f>
        <x:v>0.5922849273235171</x:v>
      </x:c>
      <x:c r="N887" t="n">
        <x:f>IF(AND(ISNUMBER('Results'!C7),ISNUMBER('Results'!B7),ISNUMBER('Results'!$B$8),ISNUMBER('Inputs'!$B$6),ISNUMBER('Inputs'!$B$7),ISNUMBER('Inputs'!$B$8),ISNUMBER('Inputs'!$B$9),ISNUMBER('Inputs'!$B$10),ISNUMBER('Inputs'!$B$21),ISNUMBER('Inputs'!$B$24),ISNUMBER('Inputs'!$B$28)),((('Results'!C7*(1-'Inputs'!$B$24)*(0.5*((((887-43)*MAX('Inputs'!$B$33,'Inputs'!$B$29+'Inputs'!$B$31+'Inputs'!$B$32,'Inputs'!$B$30+'Inputs'!$B$31+'Inputs'!$B$32)/1000+'Inputs'!$B$21)+'Inputs'!$B$9)/SQRT((((887-43)*MAX('Inputs'!$B$33,'Inputs'!$B$29+'Inputs'!$B$31+'Inputs'!$B$32,'Inputs'!$B$30+'Inputs'!$B$31+'Inputs'!$B$32)/1000+'Inputs'!$B$21)+'Inputs'!$B$9)^2+('Inputs'!$B$8/2)^2)-(((887-43)*MAX('Inputs'!$B$33,'Inputs'!$B$29+'Inputs'!$B$31+'Inputs'!$B$32,'Inputs'!$B$30+'Inputs'!$B$31+'Inputs'!$B$32)/1000+'Inputs'!$B$21))/SQRT((((887-43)*MAX('Inputs'!$B$33,'Inputs'!$B$29+'Inputs'!$B$31+'Inputs'!$B$32,'Inputs'!$B$30+'Inputs'!$B$31+'Inputs'!$B$32)/1000+'Inputs'!$B$21))^2+('Inputs'!$B$8/2)^2)))-'Results'!B7*(1+'Inputs'!$B$24)*(0.5*((((887-43)*MAX('Inputs'!$B$33,'Inputs'!$B$29+'Inputs'!$B$31+'Inputs'!$B$32,'Inputs'!$B$30+'Inputs'!$B$31+'Inputs'!$B$32)/1000+'Inputs'!$B$21+'Inputs'!$B$9+'Inputs'!$B$10)+'Inputs'!$B$7)/SQRT((((887-43)*MAX('Inputs'!$B$33,'Inputs'!$B$29+'Inputs'!$B$31+'Inputs'!$B$32,'Inputs'!$B$30+'Inputs'!$B$31+'Inputs'!$B$32)/1000+'Inputs'!$B$21+'Inputs'!$B$9+'Inputs'!$B$10)+'Inputs'!$B$7)^2+('Inputs'!$B$6/2)^2)-(((887-43)*MAX('Inputs'!$B$33,'Inputs'!$B$29+'Inputs'!$B$31+'Inputs'!$B$32,'Inputs'!$B$30+'Inputs'!$B$31+'Inputs'!$B$32)/1000+'Inputs'!$B$21+'Inputs'!$B$9+'Inputs'!$B$10))/SQRT((((887-43)*MAX('Inputs'!$B$33,'Inputs'!$B$29+'Inputs'!$B$31+'Inputs'!$B$32,'Inputs'!$B$30+'Inputs'!$B$31+'Inputs'!$B$32)/1000+'Inputs'!$B$21+'Inputs'!$B$9+'Inputs'!$B$10))^2+('Inputs'!$B$6/2)^2))))*'Results'!$B$8)-'Inputs'!$B$28*ABS((('Results'!C7*(1-'Inputs'!$B$24)*(0.5*((((887-43)*MAX('Inputs'!$B$33,'Inputs'!$B$29+'Inputs'!$B$31+'Inputs'!$B$32,'Inputs'!$B$30+'Inputs'!$B$31+'Inputs'!$B$32)/1000+'Inputs'!$B$21)+'Inputs'!$B$9)/SQRT((((887-43)*MAX('Inputs'!$B$33,'Inputs'!$B$29+'Inputs'!$B$31+'Inputs'!$B$32,'Inputs'!$B$30+'Inputs'!$B$31+'Inputs'!$B$32)/1000+'Inputs'!$B$21)+'Inputs'!$B$9)^2+('Inputs'!$B$8/2)^2)-(((887-43)*MAX('Inputs'!$B$33,'Inputs'!$B$29+'Inputs'!$B$31+'Inputs'!$B$32,'Inputs'!$B$30+'Inputs'!$B$31+'Inputs'!$B$32)/1000+'Inputs'!$B$21))/SQRT((((887-43)*MAX('Inputs'!$B$33,'Inputs'!$B$29+'Inputs'!$B$31+'Inputs'!$B$32,'Inputs'!$B$30+'Inputs'!$B$31+'Inputs'!$B$32)/1000+'Inputs'!$B$21))^2+('Inputs'!$B$8/2)^2)))-'Results'!B7*(1+'Inputs'!$B$24)*(0.5*((((887-43)*MAX('Inputs'!$B$33,'Inputs'!$B$29+'Inputs'!$B$31+'Inputs'!$B$32,'Inputs'!$B$30+'Inputs'!$B$31+'Inputs'!$B$32)/1000+'Inputs'!$B$21+'Inputs'!$B$9+'Inputs'!$B$10)+'Inputs'!$B$7)/SQRT((((887-43)*MAX('Inputs'!$B$33,'Inputs'!$B$29+'Inputs'!$B$31+'Inputs'!$B$32,'Inputs'!$B$30+'Inputs'!$B$31+'Inputs'!$B$32)/1000+'Inputs'!$B$21+'Inputs'!$B$9+'Inputs'!$B$10)+'Inputs'!$B$7)^2+('Inputs'!$B$6/2)^2)-(((887-43)*MAX('Inputs'!$B$33,'Inputs'!$B$29+'Inputs'!$B$31+'Inputs'!$B$32,'Inputs'!$B$30+'Inputs'!$B$31+'Inputs'!$B$32)/1000+'Inputs'!$B$21+'Inputs'!$B$9+'Inputs'!$B$10))/SQRT((((887-43)*MAX('Inputs'!$B$33,'Inputs'!$B$29+'Inputs'!$B$31+'Inputs'!$B$32,'Inputs'!$B$30+'Inputs'!$B$31+'Inputs'!$B$32)/1000+'Inputs'!$B$21+'Inputs'!$B$9+'Inputs'!$B$10))^2+('Inputs'!$B$6/2)^2))))*'Results'!$B$8))),"")</x:f>
        <x:v>0.49793345661149424</x:v>
      </x:c>
      <x:c r="O887" t="n">
        <x:f>IF(AND(ISNUMBER('Results'!C7),ISNUMBER('Results'!B7),ISNUMBER('Results'!$B$8),ISNUMBER('Inputs'!$B$6),ISNUMBER('Inputs'!$B$7),ISNUMBER('Inputs'!$B$8),ISNUMBER('Inputs'!$B$9),ISNUMBER('Inputs'!$B$10),ISNUMBER('Inputs'!$B$21),ISNUMBER('Inputs'!$B$24),ISNUMBER('Inputs'!$B$28)),((('Results'!C7*(1+'Inputs'!$B$24)*(0.5*((((887-43)*MAX('Inputs'!$B$33,'Inputs'!$B$29+'Inputs'!$B$31+'Inputs'!$B$32,'Inputs'!$B$30+'Inputs'!$B$31+'Inputs'!$B$32)/1000+'Inputs'!$B$21)+'Inputs'!$B$9)/SQRT((((887-43)*MAX('Inputs'!$B$33,'Inputs'!$B$29+'Inputs'!$B$31+'Inputs'!$B$32,'Inputs'!$B$30+'Inputs'!$B$31+'Inputs'!$B$32)/1000+'Inputs'!$B$21)+'Inputs'!$B$9)^2+('Inputs'!$B$8/2)^2)-(((887-43)*MAX('Inputs'!$B$33,'Inputs'!$B$29+'Inputs'!$B$31+'Inputs'!$B$32,'Inputs'!$B$30+'Inputs'!$B$31+'Inputs'!$B$32)/1000+'Inputs'!$B$21))/SQRT((((887-43)*MAX('Inputs'!$B$33,'Inputs'!$B$29+'Inputs'!$B$31+'Inputs'!$B$32,'Inputs'!$B$30+'Inputs'!$B$31+'Inputs'!$B$32)/1000+'Inputs'!$B$21))^2+('Inputs'!$B$8/2)^2)))-'Results'!B7*(1-'Inputs'!$B$24)*(0.5*((((887-43)*MAX('Inputs'!$B$33,'Inputs'!$B$29+'Inputs'!$B$31+'Inputs'!$B$32,'Inputs'!$B$30+'Inputs'!$B$31+'Inputs'!$B$32)/1000+'Inputs'!$B$21+'Inputs'!$B$9+'Inputs'!$B$10)+'Inputs'!$B$7)/SQRT((((887-43)*MAX('Inputs'!$B$33,'Inputs'!$B$29+'Inputs'!$B$31+'Inputs'!$B$32,'Inputs'!$B$30+'Inputs'!$B$31+'Inputs'!$B$32)/1000+'Inputs'!$B$21+'Inputs'!$B$9+'Inputs'!$B$10)+'Inputs'!$B$7)^2+('Inputs'!$B$6/2)^2)-(((887-43)*MAX('Inputs'!$B$33,'Inputs'!$B$29+'Inputs'!$B$31+'Inputs'!$B$32,'Inputs'!$B$30+'Inputs'!$B$31+'Inputs'!$B$32)/1000+'Inputs'!$B$21+'Inputs'!$B$9+'Inputs'!$B$10))/SQRT((((887-43)*MAX('Inputs'!$B$33,'Inputs'!$B$29+'Inputs'!$B$31+'Inputs'!$B$32,'Inputs'!$B$30+'Inputs'!$B$31+'Inputs'!$B$32)/1000+'Inputs'!$B$21+'Inputs'!$B$9+'Inputs'!$B$10))^2+('Inputs'!$B$6/2)^2))))*'Results'!$B$8)+'Inputs'!$B$28*ABS((('Results'!C7*(1+'Inputs'!$B$24)*(0.5*((((887-43)*MAX('Inputs'!$B$33,'Inputs'!$B$29+'Inputs'!$B$31+'Inputs'!$B$32,'Inputs'!$B$30+'Inputs'!$B$31+'Inputs'!$B$32)/1000+'Inputs'!$B$21)+'Inputs'!$B$9)/SQRT((((887-43)*MAX('Inputs'!$B$33,'Inputs'!$B$29+'Inputs'!$B$31+'Inputs'!$B$32,'Inputs'!$B$30+'Inputs'!$B$31+'Inputs'!$B$32)/1000+'Inputs'!$B$21)+'Inputs'!$B$9)^2+('Inputs'!$B$8/2)^2)-(((887-43)*MAX('Inputs'!$B$33,'Inputs'!$B$29+'Inputs'!$B$31+'Inputs'!$B$32,'Inputs'!$B$30+'Inputs'!$B$31+'Inputs'!$B$32)/1000+'Inputs'!$B$21))/SQRT((((887-43)*MAX('Inputs'!$B$33,'Inputs'!$B$29+'Inputs'!$B$31+'Inputs'!$B$32,'Inputs'!$B$30+'Inputs'!$B$31+'Inputs'!$B$32)/1000+'Inputs'!$B$21))^2+('Inputs'!$B$8/2)^2)))-'Results'!B7*(1-'Inputs'!$B$24)*(0.5*((((887-43)*MAX('Inputs'!$B$33,'Inputs'!$B$29+'Inputs'!$B$31+'Inputs'!$B$32,'Inputs'!$B$30+'Inputs'!$B$31+'Inputs'!$B$32)/1000+'Inputs'!$B$21+'Inputs'!$B$9+'Inputs'!$B$10)+'Inputs'!$B$7)/SQRT((((887-43)*MAX('Inputs'!$B$33,'Inputs'!$B$29+'Inputs'!$B$31+'Inputs'!$B$32,'Inputs'!$B$30+'Inputs'!$B$31+'Inputs'!$B$32)/1000+'Inputs'!$B$21+'Inputs'!$B$9+'Inputs'!$B$10)+'Inputs'!$B$7)^2+('Inputs'!$B$6/2)^2)-(((887-43)*MAX('Inputs'!$B$33,'Inputs'!$B$29+'Inputs'!$B$31+'Inputs'!$B$32,'Inputs'!$B$30+'Inputs'!$B$31+'Inputs'!$B$32)/1000+'Inputs'!$B$21+'Inputs'!$B$9+'Inputs'!$B$10))/SQRT((((887-43)*MAX('Inputs'!$B$33,'Inputs'!$B$29+'Inputs'!$B$31+'Inputs'!$B$32,'Inputs'!$B$30+'Inputs'!$B$31+'Inputs'!$B$32)/1000+'Inputs'!$B$21+'Inputs'!$B$9+'Inputs'!$B$10))^2+('Inputs'!$B$6/2)^2))))*'Results'!$B$8))),"")</x:f>
        <x:v>0.6934508427035243</x:v>
      </x:c>
      <x:c r="P887" t="n">
        <x:f>IF(AND(MAX(J887,J886)&gt;0,J887&gt;J886+0.00000001),1,0)</x:f>
        <x:v>0</x:v>
      </x:c>
      <x:c r="Q887" t="n">
        <x:f>IF(AND(MAX(K887,K886)&gt;0,K887&gt;K886+0.00000001),1,0)</x:f>
        <x:v>0</x:v>
      </x:c>
      <x:c r="R887" t="n">
        <x:f>IF(AND(MAX(L887,L886)&gt;0,L887&gt;L886+0.00000001),1,0)</x:f>
        <x:v>0</x:v>
      </x:c>
      <x:c r="S887" t="n">
        <x:f>IF(AND(MAX(M887,M886)&gt;0,M887&gt;M886+0.00000001),1,0)</x:f>
        <x:v>0</x:v>
      </x:c>
      <x:c r="T887" t="n">
        <x:f>IF(AND(MAX(N887,N886)&gt;0,N887&gt;N886+0.00000001),1,0)</x:f>
        <x:v>0</x:v>
      </x:c>
      <x:c r="U887" t="n">
        <x:f>IF(AND(MAX(O887,O886)&gt;0,O887&gt;O886+0.00000001),1,0)</x:f>
        <x:v>0</x:v>
      </x:c>
    </x:row>
    <x:row r="888">
      <x:c r="J888" t="n">
        <x:f>IF(AND(ISNUMBER('Results'!B7),ISNUMBER('Results'!C7),ISNUMBER('Results'!$B$8),ISNUMBER('Inputs'!$B$6),ISNUMBER('Inputs'!$B$7),ISNUMBER('Inputs'!$B$8),ISNUMBER('Inputs'!$B$9),ISNUMBER('Inputs'!$B$10),ISNUMBER('Inputs'!$B$21),ISNUMBER('Inputs'!$B$24),ISNUMBER('Inputs'!$B$28)),(('Results'!B7*(0.5*((((888-43)*MAX('Inputs'!$B$33,'Inputs'!$B$29+'Inputs'!$B$31+'Inputs'!$B$32,'Inputs'!$B$30+'Inputs'!$B$31+'Inputs'!$B$32)/1000+'Inputs'!$B$21)+'Inputs'!$B$7)/SQRT((((888-43)*MAX('Inputs'!$B$33,'Inputs'!$B$29+'Inputs'!$B$31+'Inputs'!$B$32,'Inputs'!$B$30+'Inputs'!$B$31+'Inputs'!$B$32)/1000+'Inputs'!$B$21)+'Inputs'!$B$7)^2+('Inputs'!$B$6/2)^2)-(((888-43)*MAX('Inputs'!$B$33,'Inputs'!$B$29+'Inputs'!$B$31+'Inputs'!$B$32,'Inputs'!$B$30+'Inputs'!$B$31+'Inputs'!$B$32)/1000+'Inputs'!$B$21))/SQRT((((888-43)*MAX('Inputs'!$B$33,'Inputs'!$B$29+'Inputs'!$B$31+'Inputs'!$B$32,'Inputs'!$B$30+'Inputs'!$B$31+'Inputs'!$B$32)/1000+'Inputs'!$B$21))^2+('Inputs'!$B$6/2)^2)))-'Results'!C7*(0.5*((((888-43)*MAX('Inputs'!$B$33,'Inputs'!$B$29+'Inputs'!$B$31+'Inputs'!$B$32,'Inputs'!$B$30+'Inputs'!$B$31+'Inputs'!$B$32)/1000+'Inputs'!$B$21+'Inputs'!$B$7+'Inputs'!$B$10)+'Inputs'!$B$9)/SQRT((((888-43)*MAX('Inputs'!$B$33,'Inputs'!$B$29+'Inputs'!$B$31+'Inputs'!$B$32,'Inputs'!$B$30+'Inputs'!$B$31+'Inputs'!$B$32)/1000+'Inputs'!$B$21+'Inputs'!$B$7+'Inputs'!$B$10)+'Inputs'!$B$9)^2+('Inputs'!$B$8/2)^2)-(((888-43)*MAX('Inputs'!$B$33,'Inputs'!$B$29+'Inputs'!$B$31+'Inputs'!$B$32,'Inputs'!$B$30+'Inputs'!$B$31+'Inputs'!$B$32)/1000+'Inputs'!$B$21+'Inputs'!$B$7+'Inputs'!$B$10))/SQRT((((888-43)*MAX('Inputs'!$B$33,'Inputs'!$B$29+'Inputs'!$B$31+'Inputs'!$B$32,'Inputs'!$B$30+'Inputs'!$B$31+'Inputs'!$B$32)/1000+'Inputs'!$B$21+'Inputs'!$B$7+'Inputs'!$B$10))^2+('Inputs'!$B$8/2)^2))))*'Results'!$B$8),"")</x:f>
        <x:v>0.6584244861910814</x:v>
      </x:c>
      <x:c r="K888" t="n">
        <x:f>IF(AND(ISNUMBER('Results'!B7),ISNUMBER('Results'!C7),ISNUMBER('Results'!$B$8),ISNUMBER('Inputs'!$B$6),ISNUMBER('Inputs'!$B$7),ISNUMBER('Inputs'!$B$8),ISNUMBER('Inputs'!$B$9),ISNUMBER('Inputs'!$B$10),ISNUMBER('Inputs'!$B$21),ISNUMBER('Inputs'!$B$24),ISNUMBER('Inputs'!$B$28)),((('Results'!B7*(1-'Inputs'!$B$24)*(0.5*((((888-43)*MAX('Inputs'!$B$33,'Inputs'!$B$29+'Inputs'!$B$31+'Inputs'!$B$32,'Inputs'!$B$30+'Inputs'!$B$31+'Inputs'!$B$32)/1000+'Inputs'!$B$21)+'Inputs'!$B$7)/SQRT((((888-43)*MAX('Inputs'!$B$33,'Inputs'!$B$29+'Inputs'!$B$31+'Inputs'!$B$32,'Inputs'!$B$30+'Inputs'!$B$31+'Inputs'!$B$32)/1000+'Inputs'!$B$21)+'Inputs'!$B$7)^2+('Inputs'!$B$6/2)^2)-(((888-43)*MAX('Inputs'!$B$33,'Inputs'!$B$29+'Inputs'!$B$31+'Inputs'!$B$32,'Inputs'!$B$30+'Inputs'!$B$31+'Inputs'!$B$32)/1000+'Inputs'!$B$21))/SQRT((((888-43)*MAX('Inputs'!$B$33,'Inputs'!$B$29+'Inputs'!$B$31+'Inputs'!$B$32,'Inputs'!$B$30+'Inputs'!$B$31+'Inputs'!$B$32)/1000+'Inputs'!$B$21))^2+('Inputs'!$B$6/2)^2)))-'Results'!C7*(1+'Inputs'!$B$24)*(0.5*((((888-43)*MAX('Inputs'!$B$33,'Inputs'!$B$29+'Inputs'!$B$31+'Inputs'!$B$32,'Inputs'!$B$30+'Inputs'!$B$31+'Inputs'!$B$32)/1000+'Inputs'!$B$21+'Inputs'!$B$7+'Inputs'!$B$10)+'Inputs'!$B$9)/SQRT((((888-43)*MAX('Inputs'!$B$33,'Inputs'!$B$29+'Inputs'!$B$31+'Inputs'!$B$32,'Inputs'!$B$30+'Inputs'!$B$31+'Inputs'!$B$32)/1000+'Inputs'!$B$21+'Inputs'!$B$7+'Inputs'!$B$10)+'Inputs'!$B$9)^2+('Inputs'!$B$8/2)^2)-(((888-43)*MAX('Inputs'!$B$33,'Inputs'!$B$29+'Inputs'!$B$31+'Inputs'!$B$32,'Inputs'!$B$30+'Inputs'!$B$31+'Inputs'!$B$32)/1000+'Inputs'!$B$21+'Inputs'!$B$7+'Inputs'!$B$10))/SQRT((((888-43)*MAX('Inputs'!$B$33,'Inputs'!$B$29+'Inputs'!$B$31+'Inputs'!$B$32,'Inputs'!$B$30+'Inputs'!$B$31+'Inputs'!$B$32)/1000+'Inputs'!$B$21+'Inputs'!$B$7+'Inputs'!$B$10))^2+('Inputs'!$B$8/2)^2))))*'Results'!$B$8)-'Inputs'!$B$28*ABS((('Results'!B7*(1-'Inputs'!$B$24)*(0.5*((((888-43)*MAX('Inputs'!$B$33,'Inputs'!$B$29+'Inputs'!$B$31+'Inputs'!$B$32,'Inputs'!$B$30+'Inputs'!$B$31+'Inputs'!$B$32)/1000+'Inputs'!$B$21)+'Inputs'!$B$7)/SQRT((((888-43)*MAX('Inputs'!$B$33,'Inputs'!$B$29+'Inputs'!$B$31+'Inputs'!$B$32,'Inputs'!$B$30+'Inputs'!$B$31+'Inputs'!$B$32)/1000+'Inputs'!$B$21)+'Inputs'!$B$7)^2+('Inputs'!$B$6/2)^2)-(((888-43)*MAX('Inputs'!$B$33,'Inputs'!$B$29+'Inputs'!$B$31+'Inputs'!$B$32,'Inputs'!$B$30+'Inputs'!$B$31+'Inputs'!$B$32)/1000+'Inputs'!$B$21))/SQRT((((888-43)*MAX('Inputs'!$B$33,'Inputs'!$B$29+'Inputs'!$B$31+'Inputs'!$B$32,'Inputs'!$B$30+'Inputs'!$B$31+'Inputs'!$B$32)/1000+'Inputs'!$B$21))^2+('Inputs'!$B$6/2)^2)))-'Results'!C7*(1+'Inputs'!$B$24)*(0.5*((((888-43)*MAX('Inputs'!$B$33,'Inputs'!$B$29+'Inputs'!$B$31+'Inputs'!$B$32,'Inputs'!$B$30+'Inputs'!$B$31+'Inputs'!$B$32)/1000+'Inputs'!$B$21+'Inputs'!$B$7+'Inputs'!$B$10)+'Inputs'!$B$9)/SQRT((((888-43)*MAX('Inputs'!$B$33,'Inputs'!$B$29+'Inputs'!$B$31+'Inputs'!$B$32,'Inputs'!$B$30+'Inputs'!$B$31+'Inputs'!$B$32)/1000+'Inputs'!$B$21+'Inputs'!$B$7+'Inputs'!$B$10)+'Inputs'!$B$9)^2+('Inputs'!$B$8/2)^2)-(((888-43)*MAX('Inputs'!$B$33,'Inputs'!$B$29+'Inputs'!$B$31+'Inputs'!$B$32,'Inputs'!$B$30+'Inputs'!$B$31+'Inputs'!$B$32)/1000+'Inputs'!$B$21+'Inputs'!$B$7+'Inputs'!$B$10))/SQRT((((888-43)*MAX('Inputs'!$B$33,'Inputs'!$B$29+'Inputs'!$B$31+'Inputs'!$B$32,'Inputs'!$B$30+'Inputs'!$B$31+'Inputs'!$B$32)/1000+'Inputs'!$B$21+'Inputs'!$B$7+'Inputs'!$B$10))^2+('Inputs'!$B$8/2)^2))))*'Results'!$B$8))),"")</x:f>
        <x:v>0.5607384660827255</x:v>
      </x:c>
      <x:c r="L888" t="n">
        <x:f>IF(AND(ISNUMBER('Results'!B7),ISNUMBER('Results'!C7),ISNUMBER('Results'!$B$8),ISNUMBER('Inputs'!$B$6),ISNUMBER('Inputs'!$B$7),ISNUMBER('Inputs'!$B$8),ISNUMBER('Inputs'!$B$9),ISNUMBER('Inputs'!$B$10),ISNUMBER('Inputs'!$B$21),ISNUMBER('Inputs'!$B$24),ISNUMBER('Inputs'!$B$28)),((('Results'!B7*(1+'Inputs'!$B$24)*(0.5*((((888-43)*MAX('Inputs'!$B$33,'Inputs'!$B$29+'Inputs'!$B$31+'Inputs'!$B$32,'Inputs'!$B$30+'Inputs'!$B$31+'Inputs'!$B$32)/1000+'Inputs'!$B$21)+'Inputs'!$B$7)/SQRT((((888-43)*MAX('Inputs'!$B$33,'Inputs'!$B$29+'Inputs'!$B$31+'Inputs'!$B$32,'Inputs'!$B$30+'Inputs'!$B$31+'Inputs'!$B$32)/1000+'Inputs'!$B$21)+'Inputs'!$B$7)^2+('Inputs'!$B$6/2)^2)-(((888-43)*MAX('Inputs'!$B$33,'Inputs'!$B$29+'Inputs'!$B$31+'Inputs'!$B$32,'Inputs'!$B$30+'Inputs'!$B$31+'Inputs'!$B$32)/1000+'Inputs'!$B$21))/SQRT((((888-43)*MAX('Inputs'!$B$33,'Inputs'!$B$29+'Inputs'!$B$31+'Inputs'!$B$32,'Inputs'!$B$30+'Inputs'!$B$31+'Inputs'!$B$32)/1000+'Inputs'!$B$21))^2+('Inputs'!$B$6/2)^2)))-'Results'!C7*(1-'Inputs'!$B$24)*(0.5*((((888-43)*MAX('Inputs'!$B$33,'Inputs'!$B$29+'Inputs'!$B$31+'Inputs'!$B$32,'Inputs'!$B$30+'Inputs'!$B$31+'Inputs'!$B$32)/1000+'Inputs'!$B$21+'Inputs'!$B$7+'Inputs'!$B$10)+'Inputs'!$B$9)/SQRT((((888-43)*MAX('Inputs'!$B$33,'Inputs'!$B$29+'Inputs'!$B$31+'Inputs'!$B$32,'Inputs'!$B$30+'Inputs'!$B$31+'Inputs'!$B$32)/1000+'Inputs'!$B$21+'Inputs'!$B$7+'Inputs'!$B$10)+'Inputs'!$B$9)^2+('Inputs'!$B$8/2)^2)-(((888-43)*MAX('Inputs'!$B$33,'Inputs'!$B$29+'Inputs'!$B$31+'Inputs'!$B$32,'Inputs'!$B$30+'Inputs'!$B$31+'Inputs'!$B$32)/1000+'Inputs'!$B$21+'Inputs'!$B$7+'Inputs'!$B$10))/SQRT((((888-43)*MAX('Inputs'!$B$33,'Inputs'!$B$29+'Inputs'!$B$31+'Inputs'!$B$32,'Inputs'!$B$30+'Inputs'!$B$31+'Inputs'!$B$32)/1000+'Inputs'!$B$21+'Inputs'!$B$7+'Inputs'!$B$10))^2+('Inputs'!$B$8/2)^2))))*'Results'!$B$8)+'Inputs'!$B$28*ABS((('Results'!B7*(1+'Inputs'!$B$24)*(0.5*((((888-43)*MAX('Inputs'!$B$33,'Inputs'!$B$29+'Inputs'!$B$31+'Inputs'!$B$32,'Inputs'!$B$30+'Inputs'!$B$31+'Inputs'!$B$32)/1000+'Inputs'!$B$21)+'Inputs'!$B$7)/SQRT((((888-43)*MAX('Inputs'!$B$33,'Inputs'!$B$29+'Inputs'!$B$31+'Inputs'!$B$32,'Inputs'!$B$30+'Inputs'!$B$31+'Inputs'!$B$32)/1000+'Inputs'!$B$21)+'Inputs'!$B$7)^2+('Inputs'!$B$6/2)^2)-(((888-43)*MAX('Inputs'!$B$33,'Inputs'!$B$29+'Inputs'!$B$31+'Inputs'!$B$32,'Inputs'!$B$30+'Inputs'!$B$31+'Inputs'!$B$32)/1000+'Inputs'!$B$21))/SQRT((((888-43)*MAX('Inputs'!$B$33,'Inputs'!$B$29+'Inputs'!$B$31+'Inputs'!$B$32,'Inputs'!$B$30+'Inputs'!$B$31+'Inputs'!$B$32)/1000+'Inputs'!$B$21))^2+('Inputs'!$B$6/2)^2)))-'Results'!C7*(1-'Inputs'!$B$24)*(0.5*((((888-43)*MAX('Inputs'!$B$33,'Inputs'!$B$29+'Inputs'!$B$31+'Inputs'!$B$32,'Inputs'!$B$30+'Inputs'!$B$31+'Inputs'!$B$32)/1000+'Inputs'!$B$21+'Inputs'!$B$7+'Inputs'!$B$10)+'Inputs'!$B$9)/SQRT((((888-43)*MAX('Inputs'!$B$33,'Inputs'!$B$29+'Inputs'!$B$31+'Inputs'!$B$32,'Inputs'!$B$30+'Inputs'!$B$31+'Inputs'!$B$32)/1000+'Inputs'!$B$21+'Inputs'!$B$7+'Inputs'!$B$10)+'Inputs'!$B$9)^2+('Inputs'!$B$8/2)^2)-(((888-43)*MAX('Inputs'!$B$33,'Inputs'!$B$29+'Inputs'!$B$31+'Inputs'!$B$32,'Inputs'!$B$30+'Inputs'!$B$31+'Inputs'!$B$32)/1000+'Inputs'!$B$21+'Inputs'!$B$7+'Inputs'!$B$10))/SQRT((((888-43)*MAX('Inputs'!$B$33,'Inputs'!$B$29+'Inputs'!$B$31+'Inputs'!$B$32,'Inputs'!$B$30+'Inputs'!$B$31+'Inputs'!$B$32)/1000+'Inputs'!$B$21+'Inputs'!$B$7+'Inputs'!$B$10))^2+('Inputs'!$B$8/2)^2))))*'Results'!$B$8))),"")</x:f>
        <x:v>0.7629278532256267</x:v>
      </x:c>
      <x:c r="M888" t="n">
        <x:f>IF(AND(ISNUMBER('Results'!C7),ISNUMBER('Results'!B7),ISNUMBER('Results'!$B$8),ISNUMBER('Inputs'!$B$6),ISNUMBER('Inputs'!$B$7),ISNUMBER('Inputs'!$B$8),ISNUMBER('Inputs'!$B$9),ISNUMBER('Inputs'!$B$10),ISNUMBER('Inputs'!$B$21),ISNUMBER('Inputs'!$B$24),ISNUMBER('Inputs'!$B$28)),(('Results'!C7*(0.5*((((888-43)*MAX('Inputs'!$B$33,'Inputs'!$B$29+'Inputs'!$B$31+'Inputs'!$B$32,'Inputs'!$B$30+'Inputs'!$B$31+'Inputs'!$B$32)/1000+'Inputs'!$B$21)+'Inputs'!$B$9)/SQRT((((888-43)*MAX('Inputs'!$B$33,'Inputs'!$B$29+'Inputs'!$B$31+'Inputs'!$B$32,'Inputs'!$B$30+'Inputs'!$B$31+'Inputs'!$B$32)/1000+'Inputs'!$B$21)+'Inputs'!$B$9)^2+('Inputs'!$B$8/2)^2)-(((888-43)*MAX('Inputs'!$B$33,'Inputs'!$B$29+'Inputs'!$B$31+'Inputs'!$B$32,'Inputs'!$B$30+'Inputs'!$B$31+'Inputs'!$B$32)/1000+'Inputs'!$B$21))/SQRT((((888-43)*MAX('Inputs'!$B$33,'Inputs'!$B$29+'Inputs'!$B$31+'Inputs'!$B$32,'Inputs'!$B$30+'Inputs'!$B$31+'Inputs'!$B$32)/1000+'Inputs'!$B$21))^2+('Inputs'!$B$8/2)^2)))-'Results'!B7*(0.5*((((888-43)*MAX('Inputs'!$B$33,'Inputs'!$B$29+'Inputs'!$B$31+'Inputs'!$B$32,'Inputs'!$B$30+'Inputs'!$B$31+'Inputs'!$B$32)/1000+'Inputs'!$B$21+'Inputs'!$B$9+'Inputs'!$B$10)+'Inputs'!$B$7)/SQRT((((888-43)*MAX('Inputs'!$B$33,'Inputs'!$B$29+'Inputs'!$B$31+'Inputs'!$B$32,'Inputs'!$B$30+'Inputs'!$B$31+'Inputs'!$B$32)/1000+'Inputs'!$B$21+'Inputs'!$B$9+'Inputs'!$B$10)+'Inputs'!$B$7)^2+('Inputs'!$B$6/2)^2)-(((888-43)*MAX('Inputs'!$B$33,'Inputs'!$B$29+'Inputs'!$B$31+'Inputs'!$B$32,'Inputs'!$B$30+'Inputs'!$B$31+'Inputs'!$B$32)/1000+'Inputs'!$B$21+'Inputs'!$B$9+'Inputs'!$B$10))/SQRT((((888-43)*MAX('Inputs'!$B$33,'Inputs'!$B$29+'Inputs'!$B$31+'Inputs'!$B$32,'Inputs'!$B$30+'Inputs'!$B$31+'Inputs'!$B$32)/1000+'Inputs'!$B$21+'Inputs'!$B$9+'Inputs'!$B$10))^2+('Inputs'!$B$6/2)^2))))*'Results'!$B$8),"")</x:f>
        <x:v>0.589689741627776</x:v>
      </x:c>
      <x:c r="N888" t="n">
        <x:f>IF(AND(ISNUMBER('Results'!C7),ISNUMBER('Results'!B7),ISNUMBER('Results'!$B$8),ISNUMBER('Inputs'!$B$6),ISNUMBER('Inputs'!$B$7),ISNUMBER('Inputs'!$B$8),ISNUMBER('Inputs'!$B$9),ISNUMBER('Inputs'!$B$10),ISNUMBER('Inputs'!$B$21),ISNUMBER('Inputs'!$B$24),ISNUMBER('Inputs'!$B$28)),((('Results'!C7*(1-'Inputs'!$B$24)*(0.5*((((888-43)*MAX('Inputs'!$B$33,'Inputs'!$B$29+'Inputs'!$B$31+'Inputs'!$B$32,'Inputs'!$B$30+'Inputs'!$B$31+'Inputs'!$B$32)/1000+'Inputs'!$B$21)+'Inputs'!$B$9)/SQRT((((888-43)*MAX('Inputs'!$B$33,'Inputs'!$B$29+'Inputs'!$B$31+'Inputs'!$B$32,'Inputs'!$B$30+'Inputs'!$B$31+'Inputs'!$B$32)/1000+'Inputs'!$B$21)+'Inputs'!$B$9)^2+('Inputs'!$B$8/2)^2)-(((888-43)*MAX('Inputs'!$B$33,'Inputs'!$B$29+'Inputs'!$B$31+'Inputs'!$B$32,'Inputs'!$B$30+'Inputs'!$B$31+'Inputs'!$B$32)/1000+'Inputs'!$B$21))/SQRT((((888-43)*MAX('Inputs'!$B$33,'Inputs'!$B$29+'Inputs'!$B$31+'Inputs'!$B$32,'Inputs'!$B$30+'Inputs'!$B$31+'Inputs'!$B$32)/1000+'Inputs'!$B$21))^2+('Inputs'!$B$8/2)^2)))-'Results'!B7*(1+'Inputs'!$B$24)*(0.5*((((888-43)*MAX('Inputs'!$B$33,'Inputs'!$B$29+'Inputs'!$B$31+'Inputs'!$B$32,'Inputs'!$B$30+'Inputs'!$B$31+'Inputs'!$B$32)/1000+'Inputs'!$B$21+'Inputs'!$B$9+'Inputs'!$B$10)+'Inputs'!$B$7)/SQRT((((888-43)*MAX('Inputs'!$B$33,'Inputs'!$B$29+'Inputs'!$B$31+'Inputs'!$B$32,'Inputs'!$B$30+'Inputs'!$B$31+'Inputs'!$B$32)/1000+'Inputs'!$B$21+'Inputs'!$B$9+'Inputs'!$B$10)+'Inputs'!$B$7)^2+('Inputs'!$B$6/2)^2)-(((888-43)*MAX('Inputs'!$B$33,'Inputs'!$B$29+'Inputs'!$B$31+'Inputs'!$B$32,'Inputs'!$B$30+'Inputs'!$B$31+'Inputs'!$B$32)/1000+'Inputs'!$B$21+'Inputs'!$B$9+'Inputs'!$B$10))/SQRT((((888-43)*MAX('Inputs'!$B$33,'Inputs'!$B$29+'Inputs'!$B$31+'Inputs'!$B$32,'Inputs'!$B$30+'Inputs'!$B$31+'Inputs'!$B$32)/1000+'Inputs'!$B$21+'Inputs'!$B$9+'Inputs'!$B$10))^2+('Inputs'!$B$6/2)^2))))*'Results'!$B$8)-'Inputs'!$B$28*ABS((('Results'!C7*(1-'Inputs'!$B$24)*(0.5*((((888-43)*MAX('Inputs'!$B$33,'Inputs'!$B$29+'Inputs'!$B$31+'Inputs'!$B$32,'Inputs'!$B$30+'Inputs'!$B$31+'Inputs'!$B$32)/1000+'Inputs'!$B$21)+'Inputs'!$B$9)/SQRT((((888-43)*MAX('Inputs'!$B$33,'Inputs'!$B$29+'Inputs'!$B$31+'Inputs'!$B$32,'Inputs'!$B$30+'Inputs'!$B$31+'Inputs'!$B$32)/1000+'Inputs'!$B$21)+'Inputs'!$B$9)^2+('Inputs'!$B$8/2)^2)-(((888-43)*MAX('Inputs'!$B$33,'Inputs'!$B$29+'Inputs'!$B$31+'Inputs'!$B$32,'Inputs'!$B$30+'Inputs'!$B$31+'Inputs'!$B$32)/1000+'Inputs'!$B$21))/SQRT((((888-43)*MAX('Inputs'!$B$33,'Inputs'!$B$29+'Inputs'!$B$31+'Inputs'!$B$32,'Inputs'!$B$30+'Inputs'!$B$31+'Inputs'!$B$32)/1000+'Inputs'!$B$21))^2+('Inputs'!$B$8/2)^2)))-'Results'!B7*(1+'Inputs'!$B$24)*(0.5*((((888-43)*MAX('Inputs'!$B$33,'Inputs'!$B$29+'Inputs'!$B$31+'Inputs'!$B$32,'Inputs'!$B$30+'Inputs'!$B$31+'Inputs'!$B$32)/1000+'Inputs'!$B$21+'Inputs'!$B$9+'Inputs'!$B$10)+'Inputs'!$B$7)/SQRT((((888-43)*MAX('Inputs'!$B$33,'Inputs'!$B$29+'Inputs'!$B$31+'Inputs'!$B$32,'Inputs'!$B$30+'Inputs'!$B$31+'Inputs'!$B$32)/1000+'Inputs'!$B$21+'Inputs'!$B$9+'Inputs'!$B$10)+'Inputs'!$B$7)^2+('Inputs'!$B$6/2)^2)-(((888-43)*MAX('Inputs'!$B$33,'Inputs'!$B$29+'Inputs'!$B$31+'Inputs'!$B$32,'Inputs'!$B$30+'Inputs'!$B$31+'Inputs'!$B$32)/1000+'Inputs'!$B$21+'Inputs'!$B$9+'Inputs'!$B$10))/SQRT((((888-43)*MAX('Inputs'!$B$33,'Inputs'!$B$29+'Inputs'!$B$31+'Inputs'!$B$32,'Inputs'!$B$30+'Inputs'!$B$31+'Inputs'!$B$32)/1000+'Inputs'!$B$21+'Inputs'!$B$9+'Inputs'!$B$10))^2+('Inputs'!$B$6/2)^2))))*'Results'!$B$8))),"")</x:f>
        <x:v>0.4956799958216111</x:v>
      </x:c>
      <x:c r="O888" t="n">
        <x:f>IF(AND(ISNUMBER('Results'!C7),ISNUMBER('Results'!B7),ISNUMBER('Results'!$B$8),ISNUMBER('Inputs'!$B$6),ISNUMBER('Inputs'!$B$7),ISNUMBER('Inputs'!$B$8),ISNUMBER('Inputs'!$B$9),ISNUMBER('Inputs'!$B$10),ISNUMBER('Inputs'!$B$21),ISNUMBER('Inputs'!$B$24),ISNUMBER('Inputs'!$B$28)),((('Results'!C7*(1+'Inputs'!$B$24)*(0.5*((((888-43)*MAX('Inputs'!$B$33,'Inputs'!$B$29+'Inputs'!$B$31+'Inputs'!$B$32,'Inputs'!$B$30+'Inputs'!$B$31+'Inputs'!$B$32)/1000+'Inputs'!$B$21)+'Inputs'!$B$9)/SQRT((((888-43)*MAX('Inputs'!$B$33,'Inputs'!$B$29+'Inputs'!$B$31+'Inputs'!$B$32,'Inputs'!$B$30+'Inputs'!$B$31+'Inputs'!$B$32)/1000+'Inputs'!$B$21)+'Inputs'!$B$9)^2+('Inputs'!$B$8/2)^2)-(((888-43)*MAX('Inputs'!$B$33,'Inputs'!$B$29+'Inputs'!$B$31+'Inputs'!$B$32,'Inputs'!$B$30+'Inputs'!$B$31+'Inputs'!$B$32)/1000+'Inputs'!$B$21))/SQRT((((888-43)*MAX('Inputs'!$B$33,'Inputs'!$B$29+'Inputs'!$B$31+'Inputs'!$B$32,'Inputs'!$B$30+'Inputs'!$B$31+'Inputs'!$B$32)/1000+'Inputs'!$B$21))^2+('Inputs'!$B$8/2)^2)))-'Results'!B7*(1-'Inputs'!$B$24)*(0.5*((((888-43)*MAX('Inputs'!$B$33,'Inputs'!$B$29+'Inputs'!$B$31+'Inputs'!$B$32,'Inputs'!$B$30+'Inputs'!$B$31+'Inputs'!$B$32)/1000+'Inputs'!$B$21+'Inputs'!$B$9+'Inputs'!$B$10)+'Inputs'!$B$7)/SQRT((((888-43)*MAX('Inputs'!$B$33,'Inputs'!$B$29+'Inputs'!$B$31+'Inputs'!$B$32,'Inputs'!$B$30+'Inputs'!$B$31+'Inputs'!$B$32)/1000+'Inputs'!$B$21+'Inputs'!$B$9+'Inputs'!$B$10)+'Inputs'!$B$7)^2+('Inputs'!$B$6/2)^2)-(((888-43)*MAX('Inputs'!$B$33,'Inputs'!$B$29+'Inputs'!$B$31+'Inputs'!$B$32,'Inputs'!$B$30+'Inputs'!$B$31+'Inputs'!$B$32)/1000+'Inputs'!$B$21+'Inputs'!$B$9+'Inputs'!$B$10))/SQRT((((888-43)*MAX('Inputs'!$B$33,'Inputs'!$B$29+'Inputs'!$B$31+'Inputs'!$B$32,'Inputs'!$B$30+'Inputs'!$B$31+'Inputs'!$B$32)/1000+'Inputs'!$B$21+'Inputs'!$B$9+'Inputs'!$B$10))^2+('Inputs'!$B$6/2)^2))))*'Results'!$B$8)+'Inputs'!$B$28*ABS((('Results'!C7*(1+'Inputs'!$B$24)*(0.5*((((888-43)*MAX('Inputs'!$B$33,'Inputs'!$B$29+'Inputs'!$B$31+'Inputs'!$B$32,'Inputs'!$B$30+'Inputs'!$B$31+'Inputs'!$B$32)/1000+'Inputs'!$B$21)+'Inputs'!$B$9)/SQRT((((888-43)*MAX('Inputs'!$B$33,'Inputs'!$B$29+'Inputs'!$B$31+'Inputs'!$B$32,'Inputs'!$B$30+'Inputs'!$B$31+'Inputs'!$B$32)/1000+'Inputs'!$B$21)+'Inputs'!$B$9)^2+('Inputs'!$B$8/2)^2)-(((888-43)*MAX('Inputs'!$B$33,'Inputs'!$B$29+'Inputs'!$B$31+'Inputs'!$B$32,'Inputs'!$B$30+'Inputs'!$B$31+'Inputs'!$B$32)/1000+'Inputs'!$B$21))/SQRT((((888-43)*MAX('Inputs'!$B$33,'Inputs'!$B$29+'Inputs'!$B$31+'Inputs'!$B$32,'Inputs'!$B$30+'Inputs'!$B$31+'Inputs'!$B$32)/1000+'Inputs'!$B$21))^2+('Inputs'!$B$8/2)^2)))-'Results'!B7*(1-'Inputs'!$B$24)*(0.5*((((888-43)*MAX('Inputs'!$B$33,'Inputs'!$B$29+'Inputs'!$B$31+'Inputs'!$B$32,'Inputs'!$B$30+'Inputs'!$B$31+'Inputs'!$B$32)/1000+'Inputs'!$B$21+'Inputs'!$B$9+'Inputs'!$B$10)+'Inputs'!$B$7)/SQRT((((888-43)*MAX('Inputs'!$B$33,'Inputs'!$B$29+'Inputs'!$B$31+'Inputs'!$B$32,'Inputs'!$B$30+'Inputs'!$B$31+'Inputs'!$B$32)/1000+'Inputs'!$B$21+'Inputs'!$B$9+'Inputs'!$B$10)+'Inputs'!$B$7)^2+('Inputs'!$B$6/2)^2)-(((888-43)*MAX('Inputs'!$B$33,'Inputs'!$B$29+'Inputs'!$B$31+'Inputs'!$B$32,'Inputs'!$B$30+'Inputs'!$B$31+'Inputs'!$B$32)/1000+'Inputs'!$B$21+'Inputs'!$B$9+'Inputs'!$B$10))/SQRT((((888-43)*MAX('Inputs'!$B$33,'Inputs'!$B$29+'Inputs'!$B$31+'Inputs'!$B$32,'Inputs'!$B$30+'Inputs'!$B$31+'Inputs'!$B$32)/1000+'Inputs'!$B$21+'Inputs'!$B$9+'Inputs'!$B$10))^2+('Inputs'!$B$6/2)^2))))*'Results'!$B$8))),"")</x:f>
        <x:v>0.6904916199312857</x:v>
      </x:c>
      <x:c r="P888" t="n">
        <x:f>IF(AND(MAX(J888,J887)&gt;0,J888&gt;J887+0.00000001),1,0)</x:f>
        <x:v>0</x:v>
      </x:c>
      <x:c r="Q888" t="n">
        <x:f>IF(AND(MAX(K888,K887)&gt;0,K888&gt;K887+0.00000001),1,0)</x:f>
        <x:v>0</x:v>
      </x:c>
      <x:c r="R888" t="n">
        <x:f>IF(AND(MAX(L888,L887)&gt;0,L888&gt;L887+0.00000001),1,0)</x:f>
        <x:v>0</x:v>
      </x:c>
      <x:c r="S888" t="n">
        <x:f>IF(AND(MAX(M888,M887)&gt;0,M888&gt;M887+0.00000001),1,0)</x:f>
        <x:v>0</x:v>
      </x:c>
      <x:c r="T888" t="n">
        <x:f>IF(AND(MAX(N888,N887)&gt;0,N888&gt;N887+0.00000001),1,0)</x:f>
        <x:v>0</x:v>
      </x:c>
      <x:c r="U888" t="n">
        <x:f>IF(AND(MAX(O888,O887)&gt;0,O888&gt;O887+0.00000001),1,0)</x:f>
        <x:v>0</x:v>
      </x:c>
    </x:row>
    <x:row r="889">
      <x:c r="J889" t="n">
        <x:f>IF(AND(ISNUMBER('Results'!B7),ISNUMBER('Results'!C7),ISNUMBER('Results'!$B$8),ISNUMBER('Inputs'!$B$6),ISNUMBER('Inputs'!$B$7),ISNUMBER('Inputs'!$B$8),ISNUMBER('Inputs'!$B$9),ISNUMBER('Inputs'!$B$10),ISNUMBER('Inputs'!$B$21),ISNUMBER('Inputs'!$B$24),ISNUMBER('Inputs'!$B$28)),(('Results'!B7*(0.5*((((889-43)*MAX('Inputs'!$B$33,'Inputs'!$B$29+'Inputs'!$B$31+'Inputs'!$B$32,'Inputs'!$B$30+'Inputs'!$B$31+'Inputs'!$B$32)/1000+'Inputs'!$B$21)+'Inputs'!$B$7)/SQRT((((889-43)*MAX('Inputs'!$B$33,'Inputs'!$B$29+'Inputs'!$B$31+'Inputs'!$B$32,'Inputs'!$B$30+'Inputs'!$B$31+'Inputs'!$B$32)/1000+'Inputs'!$B$21)+'Inputs'!$B$7)^2+('Inputs'!$B$6/2)^2)-(((889-43)*MAX('Inputs'!$B$33,'Inputs'!$B$29+'Inputs'!$B$31+'Inputs'!$B$32,'Inputs'!$B$30+'Inputs'!$B$31+'Inputs'!$B$32)/1000+'Inputs'!$B$21))/SQRT((((889-43)*MAX('Inputs'!$B$33,'Inputs'!$B$29+'Inputs'!$B$31+'Inputs'!$B$32,'Inputs'!$B$30+'Inputs'!$B$31+'Inputs'!$B$32)/1000+'Inputs'!$B$21))^2+('Inputs'!$B$6/2)^2)))-'Results'!C7*(0.5*((((889-43)*MAX('Inputs'!$B$33,'Inputs'!$B$29+'Inputs'!$B$31+'Inputs'!$B$32,'Inputs'!$B$30+'Inputs'!$B$31+'Inputs'!$B$32)/1000+'Inputs'!$B$21+'Inputs'!$B$7+'Inputs'!$B$10)+'Inputs'!$B$9)/SQRT((((889-43)*MAX('Inputs'!$B$33,'Inputs'!$B$29+'Inputs'!$B$31+'Inputs'!$B$32,'Inputs'!$B$30+'Inputs'!$B$31+'Inputs'!$B$32)/1000+'Inputs'!$B$21+'Inputs'!$B$7+'Inputs'!$B$10)+'Inputs'!$B$9)^2+('Inputs'!$B$8/2)^2)-(((889-43)*MAX('Inputs'!$B$33,'Inputs'!$B$29+'Inputs'!$B$31+'Inputs'!$B$32,'Inputs'!$B$30+'Inputs'!$B$31+'Inputs'!$B$32)/1000+'Inputs'!$B$21+'Inputs'!$B$7+'Inputs'!$B$10))/SQRT((((889-43)*MAX('Inputs'!$B$33,'Inputs'!$B$29+'Inputs'!$B$31+'Inputs'!$B$32,'Inputs'!$B$30+'Inputs'!$B$31+'Inputs'!$B$32)/1000+'Inputs'!$B$21+'Inputs'!$B$7+'Inputs'!$B$10))^2+('Inputs'!$B$8/2)^2))))*'Results'!$B$8),"")</x:f>
        <x:v>0.6556184696786929</x:v>
      </x:c>
      <x:c r="K889" t="n">
        <x:f>IF(AND(ISNUMBER('Results'!B7),ISNUMBER('Results'!C7),ISNUMBER('Results'!$B$8),ISNUMBER('Inputs'!$B$6),ISNUMBER('Inputs'!$B$7),ISNUMBER('Inputs'!$B$8),ISNUMBER('Inputs'!$B$9),ISNUMBER('Inputs'!$B$10),ISNUMBER('Inputs'!$B$21),ISNUMBER('Inputs'!$B$24),ISNUMBER('Inputs'!$B$28)),((('Results'!B7*(1-'Inputs'!$B$24)*(0.5*((((889-43)*MAX('Inputs'!$B$33,'Inputs'!$B$29+'Inputs'!$B$31+'Inputs'!$B$32,'Inputs'!$B$30+'Inputs'!$B$31+'Inputs'!$B$32)/1000+'Inputs'!$B$21)+'Inputs'!$B$7)/SQRT((((889-43)*MAX('Inputs'!$B$33,'Inputs'!$B$29+'Inputs'!$B$31+'Inputs'!$B$32,'Inputs'!$B$30+'Inputs'!$B$31+'Inputs'!$B$32)/1000+'Inputs'!$B$21)+'Inputs'!$B$7)^2+('Inputs'!$B$6/2)^2)-(((889-43)*MAX('Inputs'!$B$33,'Inputs'!$B$29+'Inputs'!$B$31+'Inputs'!$B$32,'Inputs'!$B$30+'Inputs'!$B$31+'Inputs'!$B$32)/1000+'Inputs'!$B$21))/SQRT((((889-43)*MAX('Inputs'!$B$33,'Inputs'!$B$29+'Inputs'!$B$31+'Inputs'!$B$32,'Inputs'!$B$30+'Inputs'!$B$31+'Inputs'!$B$32)/1000+'Inputs'!$B$21))^2+('Inputs'!$B$6/2)^2)))-'Results'!C7*(1+'Inputs'!$B$24)*(0.5*((((889-43)*MAX('Inputs'!$B$33,'Inputs'!$B$29+'Inputs'!$B$31+'Inputs'!$B$32,'Inputs'!$B$30+'Inputs'!$B$31+'Inputs'!$B$32)/1000+'Inputs'!$B$21+'Inputs'!$B$7+'Inputs'!$B$10)+'Inputs'!$B$9)/SQRT((((889-43)*MAX('Inputs'!$B$33,'Inputs'!$B$29+'Inputs'!$B$31+'Inputs'!$B$32,'Inputs'!$B$30+'Inputs'!$B$31+'Inputs'!$B$32)/1000+'Inputs'!$B$21+'Inputs'!$B$7+'Inputs'!$B$10)+'Inputs'!$B$9)^2+('Inputs'!$B$8/2)^2)-(((889-43)*MAX('Inputs'!$B$33,'Inputs'!$B$29+'Inputs'!$B$31+'Inputs'!$B$32,'Inputs'!$B$30+'Inputs'!$B$31+'Inputs'!$B$32)/1000+'Inputs'!$B$21+'Inputs'!$B$7+'Inputs'!$B$10))/SQRT((((889-43)*MAX('Inputs'!$B$33,'Inputs'!$B$29+'Inputs'!$B$31+'Inputs'!$B$32,'Inputs'!$B$30+'Inputs'!$B$31+'Inputs'!$B$32)/1000+'Inputs'!$B$21+'Inputs'!$B$7+'Inputs'!$B$10))^2+('Inputs'!$B$8/2)^2))))*'Results'!$B$8)-'Inputs'!$B$28*ABS((('Results'!B7*(1-'Inputs'!$B$24)*(0.5*((((889-43)*MAX('Inputs'!$B$33,'Inputs'!$B$29+'Inputs'!$B$31+'Inputs'!$B$32,'Inputs'!$B$30+'Inputs'!$B$31+'Inputs'!$B$32)/1000+'Inputs'!$B$21)+'Inputs'!$B$7)/SQRT((((889-43)*MAX('Inputs'!$B$33,'Inputs'!$B$29+'Inputs'!$B$31+'Inputs'!$B$32,'Inputs'!$B$30+'Inputs'!$B$31+'Inputs'!$B$32)/1000+'Inputs'!$B$21)+'Inputs'!$B$7)^2+('Inputs'!$B$6/2)^2)-(((889-43)*MAX('Inputs'!$B$33,'Inputs'!$B$29+'Inputs'!$B$31+'Inputs'!$B$32,'Inputs'!$B$30+'Inputs'!$B$31+'Inputs'!$B$32)/1000+'Inputs'!$B$21))/SQRT((((889-43)*MAX('Inputs'!$B$33,'Inputs'!$B$29+'Inputs'!$B$31+'Inputs'!$B$32,'Inputs'!$B$30+'Inputs'!$B$31+'Inputs'!$B$32)/1000+'Inputs'!$B$21))^2+('Inputs'!$B$6/2)^2)))-'Results'!C7*(1+'Inputs'!$B$24)*(0.5*((((889-43)*MAX('Inputs'!$B$33,'Inputs'!$B$29+'Inputs'!$B$31+'Inputs'!$B$32,'Inputs'!$B$30+'Inputs'!$B$31+'Inputs'!$B$32)/1000+'Inputs'!$B$21+'Inputs'!$B$7+'Inputs'!$B$10)+'Inputs'!$B$9)/SQRT((((889-43)*MAX('Inputs'!$B$33,'Inputs'!$B$29+'Inputs'!$B$31+'Inputs'!$B$32,'Inputs'!$B$30+'Inputs'!$B$31+'Inputs'!$B$32)/1000+'Inputs'!$B$21+'Inputs'!$B$7+'Inputs'!$B$10)+'Inputs'!$B$9)^2+('Inputs'!$B$8/2)^2)-(((889-43)*MAX('Inputs'!$B$33,'Inputs'!$B$29+'Inputs'!$B$31+'Inputs'!$B$32,'Inputs'!$B$30+'Inputs'!$B$31+'Inputs'!$B$32)/1000+'Inputs'!$B$21+'Inputs'!$B$7+'Inputs'!$B$10))/SQRT((((889-43)*MAX('Inputs'!$B$33,'Inputs'!$B$29+'Inputs'!$B$31+'Inputs'!$B$32,'Inputs'!$B$30+'Inputs'!$B$31+'Inputs'!$B$32)/1000+'Inputs'!$B$21+'Inputs'!$B$7+'Inputs'!$B$10))^2+('Inputs'!$B$8/2)^2))))*'Results'!$B$8))),"")</x:f>
        <x:v>0.5582848239066353</x:v>
      </x:c>
      <x:c r="L889" t="n">
        <x:f>IF(AND(ISNUMBER('Results'!B7),ISNUMBER('Results'!C7),ISNUMBER('Results'!$B$8),ISNUMBER('Inputs'!$B$6),ISNUMBER('Inputs'!$B$7),ISNUMBER('Inputs'!$B$8),ISNUMBER('Inputs'!$B$9),ISNUMBER('Inputs'!$B$10),ISNUMBER('Inputs'!$B$21),ISNUMBER('Inputs'!$B$24),ISNUMBER('Inputs'!$B$28)),((('Results'!B7*(1+'Inputs'!$B$24)*(0.5*((((889-43)*MAX('Inputs'!$B$33,'Inputs'!$B$29+'Inputs'!$B$31+'Inputs'!$B$32,'Inputs'!$B$30+'Inputs'!$B$31+'Inputs'!$B$32)/1000+'Inputs'!$B$21)+'Inputs'!$B$7)/SQRT((((889-43)*MAX('Inputs'!$B$33,'Inputs'!$B$29+'Inputs'!$B$31+'Inputs'!$B$32,'Inputs'!$B$30+'Inputs'!$B$31+'Inputs'!$B$32)/1000+'Inputs'!$B$21)+'Inputs'!$B$7)^2+('Inputs'!$B$6/2)^2)-(((889-43)*MAX('Inputs'!$B$33,'Inputs'!$B$29+'Inputs'!$B$31+'Inputs'!$B$32,'Inputs'!$B$30+'Inputs'!$B$31+'Inputs'!$B$32)/1000+'Inputs'!$B$21))/SQRT((((889-43)*MAX('Inputs'!$B$33,'Inputs'!$B$29+'Inputs'!$B$31+'Inputs'!$B$32,'Inputs'!$B$30+'Inputs'!$B$31+'Inputs'!$B$32)/1000+'Inputs'!$B$21))^2+('Inputs'!$B$6/2)^2)))-'Results'!C7*(1-'Inputs'!$B$24)*(0.5*((((889-43)*MAX('Inputs'!$B$33,'Inputs'!$B$29+'Inputs'!$B$31+'Inputs'!$B$32,'Inputs'!$B$30+'Inputs'!$B$31+'Inputs'!$B$32)/1000+'Inputs'!$B$21+'Inputs'!$B$7+'Inputs'!$B$10)+'Inputs'!$B$9)/SQRT((((889-43)*MAX('Inputs'!$B$33,'Inputs'!$B$29+'Inputs'!$B$31+'Inputs'!$B$32,'Inputs'!$B$30+'Inputs'!$B$31+'Inputs'!$B$32)/1000+'Inputs'!$B$21+'Inputs'!$B$7+'Inputs'!$B$10)+'Inputs'!$B$9)^2+('Inputs'!$B$8/2)^2)-(((889-43)*MAX('Inputs'!$B$33,'Inputs'!$B$29+'Inputs'!$B$31+'Inputs'!$B$32,'Inputs'!$B$30+'Inputs'!$B$31+'Inputs'!$B$32)/1000+'Inputs'!$B$21+'Inputs'!$B$7+'Inputs'!$B$10))/SQRT((((889-43)*MAX('Inputs'!$B$33,'Inputs'!$B$29+'Inputs'!$B$31+'Inputs'!$B$32,'Inputs'!$B$30+'Inputs'!$B$31+'Inputs'!$B$32)/1000+'Inputs'!$B$21+'Inputs'!$B$7+'Inputs'!$B$10))^2+('Inputs'!$B$8/2)^2))))*'Results'!$B$8)+'Inputs'!$B$28*ABS((('Results'!B7*(1+'Inputs'!$B$24)*(0.5*((((889-43)*MAX('Inputs'!$B$33,'Inputs'!$B$29+'Inputs'!$B$31+'Inputs'!$B$32,'Inputs'!$B$30+'Inputs'!$B$31+'Inputs'!$B$32)/1000+'Inputs'!$B$21)+'Inputs'!$B$7)/SQRT((((889-43)*MAX('Inputs'!$B$33,'Inputs'!$B$29+'Inputs'!$B$31+'Inputs'!$B$32,'Inputs'!$B$30+'Inputs'!$B$31+'Inputs'!$B$32)/1000+'Inputs'!$B$21)+'Inputs'!$B$7)^2+('Inputs'!$B$6/2)^2)-(((889-43)*MAX('Inputs'!$B$33,'Inputs'!$B$29+'Inputs'!$B$31+'Inputs'!$B$32,'Inputs'!$B$30+'Inputs'!$B$31+'Inputs'!$B$32)/1000+'Inputs'!$B$21))/SQRT((((889-43)*MAX('Inputs'!$B$33,'Inputs'!$B$29+'Inputs'!$B$31+'Inputs'!$B$32,'Inputs'!$B$30+'Inputs'!$B$31+'Inputs'!$B$32)/1000+'Inputs'!$B$21))^2+('Inputs'!$B$6/2)^2)))-'Results'!C7*(1-'Inputs'!$B$24)*(0.5*((((889-43)*MAX('Inputs'!$B$33,'Inputs'!$B$29+'Inputs'!$B$31+'Inputs'!$B$32,'Inputs'!$B$30+'Inputs'!$B$31+'Inputs'!$B$32)/1000+'Inputs'!$B$21+'Inputs'!$B$7+'Inputs'!$B$10)+'Inputs'!$B$9)/SQRT((((889-43)*MAX('Inputs'!$B$33,'Inputs'!$B$29+'Inputs'!$B$31+'Inputs'!$B$32,'Inputs'!$B$30+'Inputs'!$B$31+'Inputs'!$B$32)/1000+'Inputs'!$B$21+'Inputs'!$B$7+'Inputs'!$B$10)+'Inputs'!$B$9)^2+('Inputs'!$B$8/2)^2)-(((889-43)*MAX('Inputs'!$B$33,'Inputs'!$B$29+'Inputs'!$B$31+'Inputs'!$B$32,'Inputs'!$B$30+'Inputs'!$B$31+'Inputs'!$B$32)/1000+'Inputs'!$B$21+'Inputs'!$B$7+'Inputs'!$B$10))/SQRT((((889-43)*MAX('Inputs'!$B$33,'Inputs'!$B$29+'Inputs'!$B$31+'Inputs'!$B$32,'Inputs'!$B$30+'Inputs'!$B$31+'Inputs'!$B$32)/1000+'Inputs'!$B$21+'Inputs'!$B$7+'Inputs'!$B$10))^2+('Inputs'!$B$8/2)^2))))*'Results'!$B$8))),"")</x:f>
        <x:v>0.7597471388495</x:v>
      </x:c>
      <x:c r="M889" t="n">
        <x:f>IF(AND(ISNUMBER('Results'!C7),ISNUMBER('Results'!B7),ISNUMBER('Results'!$B$8),ISNUMBER('Inputs'!$B$6),ISNUMBER('Inputs'!$B$7),ISNUMBER('Inputs'!$B$8),ISNUMBER('Inputs'!$B$9),ISNUMBER('Inputs'!$B$10),ISNUMBER('Inputs'!$B$21),ISNUMBER('Inputs'!$B$24),ISNUMBER('Inputs'!$B$28)),(('Results'!C7*(0.5*((((889-43)*MAX('Inputs'!$B$33,'Inputs'!$B$29+'Inputs'!$B$31+'Inputs'!$B$32,'Inputs'!$B$30+'Inputs'!$B$31+'Inputs'!$B$32)/1000+'Inputs'!$B$21)+'Inputs'!$B$9)/SQRT((((889-43)*MAX('Inputs'!$B$33,'Inputs'!$B$29+'Inputs'!$B$31+'Inputs'!$B$32,'Inputs'!$B$30+'Inputs'!$B$31+'Inputs'!$B$32)/1000+'Inputs'!$B$21)+'Inputs'!$B$9)^2+('Inputs'!$B$8/2)^2)-(((889-43)*MAX('Inputs'!$B$33,'Inputs'!$B$29+'Inputs'!$B$31+'Inputs'!$B$32,'Inputs'!$B$30+'Inputs'!$B$31+'Inputs'!$B$32)/1000+'Inputs'!$B$21))/SQRT((((889-43)*MAX('Inputs'!$B$33,'Inputs'!$B$29+'Inputs'!$B$31+'Inputs'!$B$32,'Inputs'!$B$30+'Inputs'!$B$31+'Inputs'!$B$32)/1000+'Inputs'!$B$21))^2+('Inputs'!$B$8/2)^2)))-'Results'!B7*(0.5*((((889-43)*MAX('Inputs'!$B$33,'Inputs'!$B$29+'Inputs'!$B$31+'Inputs'!$B$32,'Inputs'!$B$30+'Inputs'!$B$31+'Inputs'!$B$32)/1000+'Inputs'!$B$21+'Inputs'!$B$9+'Inputs'!$B$10)+'Inputs'!$B$7)/SQRT((((889-43)*MAX('Inputs'!$B$33,'Inputs'!$B$29+'Inputs'!$B$31+'Inputs'!$B$32,'Inputs'!$B$30+'Inputs'!$B$31+'Inputs'!$B$32)/1000+'Inputs'!$B$21+'Inputs'!$B$9+'Inputs'!$B$10)+'Inputs'!$B$7)^2+('Inputs'!$B$6/2)^2)-(((889-43)*MAX('Inputs'!$B$33,'Inputs'!$B$29+'Inputs'!$B$31+'Inputs'!$B$32,'Inputs'!$B$30+'Inputs'!$B$31+'Inputs'!$B$32)/1000+'Inputs'!$B$21+'Inputs'!$B$9+'Inputs'!$B$10))/SQRT((((889-43)*MAX('Inputs'!$B$33,'Inputs'!$B$29+'Inputs'!$B$31+'Inputs'!$B$32,'Inputs'!$B$30+'Inputs'!$B$31+'Inputs'!$B$32)/1000+'Inputs'!$B$21+'Inputs'!$B$9+'Inputs'!$B$10))^2+('Inputs'!$B$6/2)^2))))*'Results'!$B$8),"")</x:f>
        <x:v>0.5871086656443183</x:v>
      </x:c>
      <x:c r="N889" t="n">
        <x:f>IF(AND(ISNUMBER('Results'!C7),ISNUMBER('Results'!B7),ISNUMBER('Results'!$B$8),ISNUMBER('Inputs'!$B$6),ISNUMBER('Inputs'!$B$7),ISNUMBER('Inputs'!$B$8),ISNUMBER('Inputs'!$B$9),ISNUMBER('Inputs'!$B$10),ISNUMBER('Inputs'!$B$21),ISNUMBER('Inputs'!$B$24),ISNUMBER('Inputs'!$B$28)),((('Results'!C7*(1-'Inputs'!$B$24)*(0.5*((((889-43)*MAX('Inputs'!$B$33,'Inputs'!$B$29+'Inputs'!$B$31+'Inputs'!$B$32,'Inputs'!$B$30+'Inputs'!$B$31+'Inputs'!$B$32)/1000+'Inputs'!$B$21)+'Inputs'!$B$9)/SQRT((((889-43)*MAX('Inputs'!$B$33,'Inputs'!$B$29+'Inputs'!$B$31+'Inputs'!$B$32,'Inputs'!$B$30+'Inputs'!$B$31+'Inputs'!$B$32)/1000+'Inputs'!$B$21)+'Inputs'!$B$9)^2+('Inputs'!$B$8/2)^2)-(((889-43)*MAX('Inputs'!$B$33,'Inputs'!$B$29+'Inputs'!$B$31+'Inputs'!$B$32,'Inputs'!$B$30+'Inputs'!$B$31+'Inputs'!$B$32)/1000+'Inputs'!$B$21))/SQRT((((889-43)*MAX('Inputs'!$B$33,'Inputs'!$B$29+'Inputs'!$B$31+'Inputs'!$B$32,'Inputs'!$B$30+'Inputs'!$B$31+'Inputs'!$B$32)/1000+'Inputs'!$B$21))^2+('Inputs'!$B$8/2)^2)))-'Results'!B7*(1+'Inputs'!$B$24)*(0.5*((((889-43)*MAX('Inputs'!$B$33,'Inputs'!$B$29+'Inputs'!$B$31+'Inputs'!$B$32,'Inputs'!$B$30+'Inputs'!$B$31+'Inputs'!$B$32)/1000+'Inputs'!$B$21+'Inputs'!$B$9+'Inputs'!$B$10)+'Inputs'!$B$7)/SQRT((((889-43)*MAX('Inputs'!$B$33,'Inputs'!$B$29+'Inputs'!$B$31+'Inputs'!$B$32,'Inputs'!$B$30+'Inputs'!$B$31+'Inputs'!$B$32)/1000+'Inputs'!$B$21+'Inputs'!$B$9+'Inputs'!$B$10)+'Inputs'!$B$7)^2+('Inputs'!$B$6/2)^2)-(((889-43)*MAX('Inputs'!$B$33,'Inputs'!$B$29+'Inputs'!$B$31+'Inputs'!$B$32,'Inputs'!$B$30+'Inputs'!$B$31+'Inputs'!$B$32)/1000+'Inputs'!$B$21+'Inputs'!$B$9+'Inputs'!$B$10))/SQRT((((889-43)*MAX('Inputs'!$B$33,'Inputs'!$B$29+'Inputs'!$B$31+'Inputs'!$B$32,'Inputs'!$B$30+'Inputs'!$B$31+'Inputs'!$B$32)/1000+'Inputs'!$B$21+'Inputs'!$B$9+'Inputs'!$B$10))^2+('Inputs'!$B$6/2)^2))))*'Results'!$B$8)-'Inputs'!$B$28*ABS((('Results'!C7*(1-'Inputs'!$B$24)*(0.5*((((889-43)*MAX('Inputs'!$B$33,'Inputs'!$B$29+'Inputs'!$B$31+'Inputs'!$B$32,'Inputs'!$B$30+'Inputs'!$B$31+'Inputs'!$B$32)/1000+'Inputs'!$B$21)+'Inputs'!$B$9)/SQRT((((889-43)*MAX('Inputs'!$B$33,'Inputs'!$B$29+'Inputs'!$B$31+'Inputs'!$B$32,'Inputs'!$B$30+'Inputs'!$B$31+'Inputs'!$B$32)/1000+'Inputs'!$B$21)+'Inputs'!$B$9)^2+('Inputs'!$B$8/2)^2)-(((889-43)*MAX('Inputs'!$B$33,'Inputs'!$B$29+'Inputs'!$B$31+'Inputs'!$B$32,'Inputs'!$B$30+'Inputs'!$B$31+'Inputs'!$B$32)/1000+'Inputs'!$B$21))/SQRT((((889-43)*MAX('Inputs'!$B$33,'Inputs'!$B$29+'Inputs'!$B$31+'Inputs'!$B$32,'Inputs'!$B$30+'Inputs'!$B$31+'Inputs'!$B$32)/1000+'Inputs'!$B$21))^2+('Inputs'!$B$8/2)^2)))-'Results'!B7*(1+'Inputs'!$B$24)*(0.5*((((889-43)*MAX('Inputs'!$B$33,'Inputs'!$B$29+'Inputs'!$B$31+'Inputs'!$B$32,'Inputs'!$B$30+'Inputs'!$B$31+'Inputs'!$B$32)/1000+'Inputs'!$B$21+'Inputs'!$B$9+'Inputs'!$B$10)+'Inputs'!$B$7)/SQRT((((889-43)*MAX('Inputs'!$B$33,'Inputs'!$B$29+'Inputs'!$B$31+'Inputs'!$B$32,'Inputs'!$B$30+'Inputs'!$B$31+'Inputs'!$B$32)/1000+'Inputs'!$B$21+'Inputs'!$B$9+'Inputs'!$B$10)+'Inputs'!$B$7)^2+('Inputs'!$B$6/2)^2)-(((889-43)*MAX('Inputs'!$B$33,'Inputs'!$B$29+'Inputs'!$B$31+'Inputs'!$B$32,'Inputs'!$B$30+'Inputs'!$B$31+'Inputs'!$B$32)/1000+'Inputs'!$B$21+'Inputs'!$B$9+'Inputs'!$B$10))/SQRT((((889-43)*MAX('Inputs'!$B$33,'Inputs'!$B$29+'Inputs'!$B$31+'Inputs'!$B$32,'Inputs'!$B$30+'Inputs'!$B$31+'Inputs'!$B$32)/1000+'Inputs'!$B$21+'Inputs'!$B$9+'Inputs'!$B$10))^2+('Inputs'!$B$6/2)^2))))*'Results'!$B$8))),"")</x:f>
        <x:v>0.49343901326156675</x:v>
      </x:c>
      <x:c r="O889" t="n">
        <x:f>IF(AND(ISNUMBER('Results'!C7),ISNUMBER('Results'!B7),ISNUMBER('Results'!$B$8),ISNUMBER('Inputs'!$B$6),ISNUMBER('Inputs'!$B$7),ISNUMBER('Inputs'!$B$8),ISNUMBER('Inputs'!$B$9),ISNUMBER('Inputs'!$B$10),ISNUMBER('Inputs'!$B$21),ISNUMBER('Inputs'!$B$24),ISNUMBER('Inputs'!$B$28)),((('Results'!C7*(1+'Inputs'!$B$24)*(0.5*((((889-43)*MAX('Inputs'!$B$33,'Inputs'!$B$29+'Inputs'!$B$31+'Inputs'!$B$32,'Inputs'!$B$30+'Inputs'!$B$31+'Inputs'!$B$32)/1000+'Inputs'!$B$21)+'Inputs'!$B$9)/SQRT((((889-43)*MAX('Inputs'!$B$33,'Inputs'!$B$29+'Inputs'!$B$31+'Inputs'!$B$32,'Inputs'!$B$30+'Inputs'!$B$31+'Inputs'!$B$32)/1000+'Inputs'!$B$21)+'Inputs'!$B$9)^2+('Inputs'!$B$8/2)^2)-(((889-43)*MAX('Inputs'!$B$33,'Inputs'!$B$29+'Inputs'!$B$31+'Inputs'!$B$32,'Inputs'!$B$30+'Inputs'!$B$31+'Inputs'!$B$32)/1000+'Inputs'!$B$21))/SQRT((((889-43)*MAX('Inputs'!$B$33,'Inputs'!$B$29+'Inputs'!$B$31+'Inputs'!$B$32,'Inputs'!$B$30+'Inputs'!$B$31+'Inputs'!$B$32)/1000+'Inputs'!$B$21))^2+('Inputs'!$B$8/2)^2)))-'Results'!B7*(1-'Inputs'!$B$24)*(0.5*((((889-43)*MAX('Inputs'!$B$33,'Inputs'!$B$29+'Inputs'!$B$31+'Inputs'!$B$32,'Inputs'!$B$30+'Inputs'!$B$31+'Inputs'!$B$32)/1000+'Inputs'!$B$21+'Inputs'!$B$9+'Inputs'!$B$10)+'Inputs'!$B$7)/SQRT((((889-43)*MAX('Inputs'!$B$33,'Inputs'!$B$29+'Inputs'!$B$31+'Inputs'!$B$32,'Inputs'!$B$30+'Inputs'!$B$31+'Inputs'!$B$32)/1000+'Inputs'!$B$21+'Inputs'!$B$9+'Inputs'!$B$10)+'Inputs'!$B$7)^2+('Inputs'!$B$6/2)^2)-(((889-43)*MAX('Inputs'!$B$33,'Inputs'!$B$29+'Inputs'!$B$31+'Inputs'!$B$32,'Inputs'!$B$30+'Inputs'!$B$31+'Inputs'!$B$32)/1000+'Inputs'!$B$21+'Inputs'!$B$9+'Inputs'!$B$10))/SQRT((((889-43)*MAX('Inputs'!$B$33,'Inputs'!$B$29+'Inputs'!$B$31+'Inputs'!$B$32,'Inputs'!$B$30+'Inputs'!$B$31+'Inputs'!$B$32)/1000+'Inputs'!$B$21+'Inputs'!$B$9+'Inputs'!$B$10))^2+('Inputs'!$B$6/2)^2))))*'Results'!$B$8)+'Inputs'!$B$28*ABS((('Results'!C7*(1+'Inputs'!$B$24)*(0.5*((((889-43)*MAX('Inputs'!$B$33,'Inputs'!$B$29+'Inputs'!$B$31+'Inputs'!$B$32,'Inputs'!$B$30+'Inputs'!$B$31+'Inputs'!$B$32)/1000+'Inputs'!$B$21)+'Inputs'!$B$9)/SQRT((((889-43)*MAX('Inputs'!$B$33,'Inputs'!$B$29+'Inputs'!$B$31+'Inputs'!$B$32,'Inputs'!$B$30+'Inputs'!$B$31+'Inputs'!$B$32)/1000+'Inputs'!$B$21)+'Inputs'!$B$9)^2+('Inputs'!$B$8/2)^2)-(((889-43)*MAX('Inputs'!$B$33,'Inputs'!$B$29+'Inputs'!$B$31+'Inputs'!$B$32,'Inputs'!$B$30+'Inputs'!$B$31+'Inputs'!$B$32)/1000+'Inputs'!$B$21))/SQRT((((889-43)*MAX('Inputs'!$B$33,'Inputs'!$B$29+'Inputs'!$B$31+'Inputs'!$B$32,'Inputs'!$B$30+'Inputs'!$B$31+'Inputs'!$B$32)/1000+'Inputs'!$B$21))^2+('Inputs'!$B$8/2)^2)))-'Results'!B7*(1-'Inputs'!$B$24)*(0.5*((((889-43)*MAX('Inputs'!$B$33,'Inputs'!$B$29+'Inputs'!$B$31+'Inputs'!$B$32,'Inputs'!$B$30+'Inputs'!$B$31+'Inputs'!$B$32)/1000+'Inputs'!$B$21+'Inputs'!$B$9+'Inputs'!$B$10)+'Inputs'!$B$7)/SQRT((((889-43)*MAX('Inputs'!$B$33,'Inputs'!$B$29+'Inputs'!$B$31+'Inputs'!$B$32,'Inputs'!$B$30+'Inputs'!$B$31+'Inputs'!$B$32)/1000+'Inputs'!$B$21+'Inputs'!$B$9+'Inputs'!$B$10)+'Inputs'!$B$7)^2+('Inputs'!$B$6/2)^2)-(((889-43)*MAX('Inputs'!$B$33,'Inputs'!$B$29+'Inputs'!$B$31+'Inputs'!$B$32,'Inputs'!$B$30+'Inputs'!$B$31+'Inputs'!$B$32)/1000+'Inputs'!$B$21+'Inputs'!$B$9+'Inputs'!$B$10))/SQRT((((889-43)*MAX('Inputs'!$B$33,'Inputs'!$B$29+'Inputs'!$B$31+'Inputs'!$B$32,'Inputs'!$B$30+'Inputs'!$B$31+'Inputs'!$B$32)/1000+'Inputs'!$B$21+'Inputs'!$B$9+'Inputs'!$B$10))^2+('Inputs'!$B$6/2)^2))))*'Results'!$B$8))),"")</x:f>
        <x:v>0.6875482358271262</x:v>
      </x:c>
      <x:c r="P889" t="n">
        <x:f>IF(AND(MAX(J889,J888)&gt;0,J889&gt;J888+0.00000001),1,0)</x:f>
        <x:v>0</x:v>
      </x:c>
      <x:c r="Q889" t="n">
        <x:f>IF(AND(MAX(K889,K888)&gt;0,K889&gt;K888+0.00000001),1,0)</x:f>
        <x:v>0</x:v>
      </x:c>
      <x:c r="R889" t="n">
        <x:f>IF(AND(MAX(L889,L888)&gt;0,L889&gt;L888+0.00000001),1,0)</x:f>
        <x:v>0</x:v>
      </x:c>
      <x:c r="S889" t="n">
        <x:f>IF(AND(MAX(M889,M888)&gt;0,M889&gt;M888+0.00000001),1,0)</x:f>
        <x:v>0</x:v>
      </x:c>
      <x:c r="T889" t="n">
        <x:f>IF(AND(MAX(N889,N888)&gt;0,N889&gt;N888+0.00000001),1,0)</x:f>
        <x:v>0</x:v>
      </x:c>
      <x:c r="U889" t="n">
        <x:f>IF(AND(MAX(O889,O888)&gt;0,O889&gt;O888+0.00000001),1,0)</x:f>
        <x:v>0</x:v>
      </x:c>
    </x:row>
    <x:row r="890">
      <x:c r="J890" t="n">
        <x:f>IF(AND(ISNUMBER('Results'!B7),ISNUMBER('Results'!C7),ISNUMBER('Results'!$B$8),ISNUMBER('Inputs'!$B$6),ISNUMBER('Inputs'!$B$7),ISNUMBER('Inputs'!$B$8),ISNUMBER('Inputs'!$B$9),ISNUMBER('Inputs'!$B$10),ISNUMBER('Inputs'!$B$21),ISNUMBER('Inputs'!$B$24),ISNUMBER('Inputs'!$B$28)),(('Results'!B7*(0.5*((((890-43)*MAX('Inputs'!$B$33,'Inputs'!$B$29+'Inputs'!$B$31+'Inputs'!$B$32,'Inputs'!$B$30+'Inputs'!$B$31+'Inputs'!$B$32)/1000+'Inputs'!$B$21)+'Inputs'!$B$7)/SQRT((((890-43)*MAX('Inputs'!$B$33,'Inputs'!$B$29+'Inputs'!$B$31+'Inputs'!$B$32,'Inputs'!$B$30+'Inputs'!$B$31+'Inputs'!$B$32)/1000+'Inputs'!$B$21)+'Inputs'!$B$7)^2+('Inputs'!$B$6/2)^2)-(((890-43)*MAX('Inputs'!$B$33,'Inputs'!$B$29+'Inputs'!$B$31+'Inputs'!$B$32,'Inputs'!$B$30+'Inputs'!$B$31+'Inputs'!$B$32)/1000+'Inputs'!$B$21))/SQRT((((890-43)*MAX('Inputs'!$B$33,'Inputs'!$B$29+'Inputs'!$B$31+'Inputs'!$B$32,'Inputs'!$B$30+'Inputs'!$B$31+'Inputs'!$B$32)/1000+'Inputs'!$B$21))^2+('Inputs'!$B$6/2)^2)))-'Results'!C7*(0.5*((((890-43)*MAX('Inputs'!$B$33,'Inputs'!$B$29+'Inputs'!$B$31+'Inputs'!$B$32,'Inputs'!$B$30+'Inputs'!$B$31+'Inputs'!$B$32)/1000+'Inputs'!$B$21+'Inputs'!$B$7+'Inputs'!$B$10)+'Inputs'!$B$9)/SQRT((((890-43)*MAX('Inputs'!$B$33,'Inputs'!$B$29+'Inputs'!$B$31+'Inputs'!$B$32,'Inputs'!$B$30+'Inputs'!$B$31+'Inputs'!$B$32)/1000+'Inputs'!$B$21+'Inputs'!$B$7+'Inputs'!$B$10)+'Inputs'!$B$9)^2+('Inputs'!$B$8/2)^2)-(((890-43)*MAX('Inputs'!$B$33,'Inputs'!$B$29+'Inputs'!$B$31+'Inputs'!$B$32,'Inputs'!$B$30+'Inputs'!$B$31+'Inputs'!$B$32)/1000+'Inputs'!$B$21+'Inputs'!$B$7+'Inputs'!$B$10))/SQRT((((890-43)*MAX('Inputs'!$B$33,'Inputs'!$B$29+'Inputs'!$B$31+'Inputs'!$B$32,'Inputs'!$B$30+'Inputs'!$B$31+'Inputs'!$B$32)/1000+'Inputs'!$B$21+'Inputs'!$B$7+'Inputs'!$B$10))^2+('Inputs'!$B$8/2)^2))))*'Results'!$B$8),"")</x:f>
        <x:v>0.6528274533891507</x:v>
      </x:c>
      <x:c r="K890" t="n">
        <x:f>IF(AND(ISNUMBER('Results'!B7),ISNUMBER('Results'!C7),ISNUMBER('Results'!$B$8),ISNUMBER('Inputs'!$B$6),ISNUMBER('Inputs'!$B$7),ISNUMBER('Inputs'!$B$8),ISNUMBER('Inputs'!$B$9),ISNUMBER('Inputs'!$B$10),ISNUMBER('Inputs'!$B$21),ISNUMBER('Inputs'!$B$24),ISNUMBER('Inputs'!$B$28)),((('Results'!B7*(1-'Inputs'!$B$24)*(0.5*((((890-43)*MAX('Inputs'!$B$33,'Inputs'!$B$29+'Inputs'!$B$31+'Inputs'!$B$32,'Inputs'!$B$30+'Inputs'!$B$31+'Inputs'!$B$32)/1000+'Inputs'!$B$21)+'Inputs'!$B$7)/SQRT((((890-43)*MAX('Inputs'!$B$33,'Inputs'!$B$29+'Inputs'!$B$31+'Inputs'!$B$32,'Inputs'!$B$30+'Inputs'!$B$31+'Inputs'!$B$32)/1000+'Inputs'!$B$21)+'Inputs'!$B$7)^2+('Inputs'!$B$6/2)^2)-(((890-43)*MAX('Inputs'!$B$33,'Inputs'!$B$29+'Inputs'!$B$31+'Inputs'!$B$32,'Inputs'!$B$30+'Inputs'!$B$31+'Inputs'!$B$32)/1000+'Inputs'!$B$21))/SQRT((((890-43)*MAX('Inputs'!$B$33,'Inputs'!$B$29+'Inputs'!$B$31+'Inputs'!$B$32,'Inputs'!$B$30+'Inputs'!$B$31+'Inputs'!$B$32)/1000+'Inputs'!$B$21))^2+('Inputs'!$B$6/2)^2)))-'Results'!C7*(1+'Inputs'!$B$24)*(0.5*((((890-43)*MAX('Inputs'!$B$33,'Inputs'!$B$29+'Inputs'!$B$31+'Inputs'!$B$32,'Inputs'!$B$30+'Inputs'!$B$31+'Inputs'!$B$32)/1000+'Inputs'!$B$21+'Inputs'!$B$7+'Inputs'!$B$10)+'Inputs'!$B$9)/SQRT((((890-43)*MAX('Inputs'!$B$33,'Inputs'!$B$29+'Inputs'!$B$31+'Inputs'!$B$32,'Inputs'!$B$30+'Inputs'!$B$31+'Inputs'!$B$32)/1000+'Inputs'!$B$21+'Inputs'!$B$7+'Inputs'!$B$10)+'Inputs'!$B$9)^2+('Inputs'!$B$8/2)^2)-(((890-43)*MAX('Inputs'!$B$33,'Inputs'!$B$29+'Inputs'!$B$31+'Inputs'!$B$32,'Inputs'!$B$30+'Inputs'!$B$31+'Inputs'!$B$32)/1000+'Inputs'!$B$21+'Inputs'!$B$7+'Inputs'!$B$10))/SQRT((((890-43)*MAX('Inputs'!$B$33,'Inputs'!$B$29+'Inputs'!$B$31+'Inputs'!$B$32,'Inputs'!$B$30+'Inputs'!$B$31+'Inputs'!$B$32)/1000+'Inputs'!$B$21+'Inputs'!$B$7+'Inputs'!$B$10))^2+('Inputs'!$B$8/2)^2))))*'Results'!$B$8)-'Inputs'!$B$28*ABS((('Results'!B7*(1-'Inputs'!$B$24)*(0.5*((((890-43)*MAX('Inputs'!$B$33,'Inputs'!$B$29+'Inputs'!$B$31+'Inputs'!$B$32,'Inputs'!$B$30+'Inputs'!$B$31+'Inputs'!$B$32)/1000+'Inputs'!$B$21)+'Inputs'!$B$7)/SQRT((((890-43)*MAX('Inputs'!$B$33,'Inputs'!$B$29+'Inputs'!$B$31+'Inputs'!$B$32,'Inputs'!$B$30+'Inputs'!$B$31+'Inputs'!$B$32)/1000+'Inputs'!$B$21)+'Inputs'!$B$7)^2+('Inputs'!$B$6/2)^2)-(((890-43)*MAX('Inputs'!$B$33,'Inputs'!$B$29+'Inputs'!$B$31+'Inputs'!$B$32,'Inputs'!$B$30+'Inputs'!$B$31+'Inputs'!$B$32)/1000+'Inputs'!$B$21))/SQRT((((890-43)*MAX('Inputs'!$B$33,'Inputs'!$B$29+'Inputs'!$B$31+'Inputs'!$B$32,'Inputs'!$B$30+'Inputs'!$B$31+'Inputs'!$B$32)/1000+'Inputs'!$B$21))^2+('Inputs'!$B$6/2)^2)))-'Results'!C7*(1+'Inputs'!$B$24)*(0.5*((((890-43)*MAX('Inputs'!$B$33,'Inputs'!$B$29+'Inputs'!$B$31+'Inputs'!$B$32,'Inputs'!$B$30+'Inputs'!$B$31+'Inputs'!$B$32)/1000+'Inputs'!$B$21+'Inputs'!$B$7+'Inputs'!$B$10)+'Inputs'!$B$9)/SQRT((((890-43)*MAX('Inputs'!$B$33,'Inputs'!$B$29+'Inputs'!$B$31+'Inputs'!$B$32,'Inputs'!$B$30+'Inputs'!$B$31+'Inputs'!$B$32)/1000+'Inputs'!$B$21+'Inputs'!$B$7+'Inputs'!$B$10)+'Inputs'!$B$9)^2+('Inputs'!$B$8/2)^2)-(((890-43)*MAX('Inputs'!$B$33,'Inputs'!$B$29+'Inputs'!$B$31+'Inputs'!$B$32,'Inputs'!$B$30+'Inputs'!$B$31+'Inputs'!$B$32)/1000+'Inputs'!$B$21+'Inputs'!$B$7+'Inputs'!$B$10))/SQRT((((890-43)*MAX('Inputs'!$B$33,'Inputs'!$B$29+'Inputs'!$B$31+'Inputs'!$B$32,'Inputs'!$B$30+'Inputs'!$B$31+'Inputs'!$B$32)/1000+'Inputs'!$B$21+'Inputs'!$B$7+'Inputs'!$B$10))^2+('Inputs'!$B$8/2)^2))))*'Results'!$B$8))),"")</x:f>
        <x:v>0.5558445054356327</x:v>
      </x:c>
      <x:c r="L890" t="n">
        <x:f>IF(AND(ISNUMBER('Results'!B7),ISNUMBER('Results'!C7),ISNUMBER('Results'!$B$8),ISNUMBER('Inputs'!$B$6),ISNUMBER('Inputs'!$B$7),ISNUMBER('Inputs'!$B$8),ISNUMBER('Inputs'!$B$9),ISNUMBER('Inputs'!$B$10),ISNUMBER('Inputs'!$B$21),ISNUMBER('Inputs'!$B$24),ISNUMBER('Inputs'!$B$28)),((('Results'!B7*(1+'Inputs'!$B$24)*(0.5*((((890-43)*MAX('Inputs'!$B$33,'Inputs'!$B$29+'Inputs'!$B$31+'Inputs'!$B$32,'Inputs'!$B$30+'Inputs'!$B$31+'Inputs'!$B$32)/1000+'Inputs'!$B$21)+'Inputs'!$B$7)/SQRT((((890-43)*MAX('Inputs'!$B$33,'Inputs'!$B$29+'Inputs'!$B$31+'Inputs'!$B$32,'Inputs'!$B$30+'Inputs'!$B$31+'Inputs'!$B$32)/1000+'Inputs'!$B$21)+'Inputs'!$B$7)^2+('Inputs'!$B$6/2)^2)-(((890-43)*MAX('Inputs'!$B$33,'Inputs'!$B$29+'Inputs'!$B$31+'Inputs'!$B$32,'Inputs'!$B$30+'Inputs'!$B$31+'Inputs'!$B$32)/1000+'Inputs'!$B$21))/SQRT((((890-43)*MAX('Inputs'!$B$33,'Inputs'!$B$29+'Inputs'!$B$31+'Inputs'!$B$32,'Inputs'!$B$30+'Inputs'!$B$31+'Inputs'!$B$32)/1000+'Inputs'!$B$21))^2+('Inputs'!$B$6/2)^2)))-'Results'!C7*(1-'Inputs'!$B$24)*(0.5*((((890-43)*MAX('Inputs'!$B$33,'Inputs'!$B$29+'Inputs'!$B$31+'Inputs'!$B$32,'Inputs'!$B$30+'Inputs'!$B$31+'Inputs'!$B$32)/1000+'Inputs'!$B$21+'Inputs'!$B$7+'Inputs'!$B$10)+'Inputs'!$B$9)/SQRT((((890-43)*MAX('Inputs'!$B$33,'Inputs'!$B$29+'Inputs'!$B$31+'Inputs'!$B$32,'Inputs'!$B$30+'Inputs'!$B$31+'Inputs'!$B$32)/1000+'Inputs'!$B$21+'Inputs'!$B$7+'Inputs'!$B$10)+'Inputs'!$B$9)^2+('Inputs'!$B$8/2)^2)-(((890-43)*MAX('Inputs'!$B$33,'Inputs'!$B$29+'Inputs'!$B$31+'Inputs'!$B$32,'Inputs'!$B$30+'Inputs'!$B$31+'Inputs'!$B$32)/1000+'Inputs'!$B$21+'Inputs'!$B$7+'Inputs'!$B$10))/SQRT((((890-43)*MAX('Inputs'!$B$33,'Inputs'!$B$29+'Inputs'!$B$31+'Inputs'!$B$32,'Inputs'!$B$30+'Inputs'!$B$31+'Inputs'!$B$32)/1000+'Inputs'!$B$21+'Inputs'!$B$7+'Inputs'!$B$10))^2+('Inputs'!$B$8/2)^2))))*'Results'!$B$8)+'Inputs'!$B$28*ABS((('Results'!B7*(1+'Inputs'!$B$24)*(0.5*((((890-43)*MAX('Inputs'!$B$33,'Inputs'!$B$29+'Inputs'!$B$31+'Inputs'!$B$32,'Inputs'!$B$30+'Inputs'!$B$31+'Inputs'!$B$32)/1000+'Inputs'!$B$21)+'Inputs'!$B$7)/SQRT((((890-43)*MAX('Inputs'!$B$33,'Inputs'!$B$29+'Inputs'!$B$31+'Inputs'!$B$32,'Inputs'!$B$30+'Inputs'!$B$31+'Inputs'!$B$32)/1000+'Inputs'!$B$21)+'Inputs'!$B$7)^2+('Inputs'!$B$6/2)^2)-(((890-43)*MAX('Inputs'!$B$33,'Inputs'!$B$29+'Inputs'!$B$31+'Inputs'!$B$32,'Inputs'!$B$30+'Inputs'!$B$31+'Inputs'!$B$32)/1000+'Inputs'!$B$21))/SQRT((((890-43)*MAX('Inputs'!$B$33,'Inputs'!$B$29+'Inputs'!$B$31+'Inputs'!$B$32,'Inputs'!$B$30+'Inputs'!$B$31+'Inputs'!$B$32)/1000+'Inputs'!$B$21))^2+('Inputs'!$B$6/2)^2)))-'Results'!C7*(1-'Inputs'!$B$24)*(0.5*((((890-43)*MAX('Inputs'!$B$33,'Inputs'!$B$29+'Inputs'!$B$31+'Inputs'!$B$32,'Inputs'!$B$30+'Inputs'!$B$31+'Inputs'!$B$32)/1000+'Inputs'!$B$21+'Inputs'!$B$7+'Inputs'!$B$10)+'Inputs'!$B$9)/SQRT((((890-43)*MAX('Inputs'!$B$33,'Inputs'!$B$29+'Inputs'!$B$31+'Inputs'!$B$32,'Inputs'!$B$30+'Inputs'!$B$31+'Inputs'!$B$32)/1000+'Inputs'!$B$21+'Inputs'!$B$7+'Inputs'!$B$10)+'Inputs'!$B$9)^2+('Inputs'!$B$8/2)^2)-(((890-43)*MAX('Inputs'!$B$33,'Inputs'!$B$29+'Inputs'!$B$31+'Inputs'!$B$32,'Inputs'!$B$30+'Inputs'!$B$31+'Inputs'!$B$32)/1000+'Inputs'!$B$21+'Inputs'!$B$7+'Inputs'!$B$10))/SQRT((((890-43)*MAX('Inputs'!$B$33,'Inputs'!$B$29+'Inputs'!$B$31+'Inputs'!$B$32,'Inputs'!$B$30+'Inputs'!$B$31+'Inputs'!$B$32)/1000+'Inputs'!$B$21+'Inputs'!$B$7+'Inputs'!$B$10))^2+('Inputs'!$B$8/2)^2))))*'Results'!$B$8))),"")</x:f>
        <x:v>0.7565831987409904</x:v>
      </x:c>
      <x:c r="M890" t="n">
        <x:f>IF(AND(ISNUMBER('Results'!C7),ISNUMBER('Results'!B7),ISNUMBER('Results'!$B$8),ISNUMBER('Inputs'!$B$6),ISNUMBER('Inputs'!$B$7),ISNUMBER('Inputs'!$B$8),ISNUMBER('Inputs'!$B$9),ISNUMBER('Inputs'!$B$10),ISNUMBER('Inputs'!$B$21),ISNUMBER('Inputs'!$B$24),ISNUMBER('Inputs'!$B$28)),(('Results'!C7*(0.5*((((890-43)*MAX('Inputs'!$B$33,'Inputs'!$B$29+'Inputs'!$B$31+'Inputs'!$B$32,'Inputs'!$B$30+'Inputs'!$B$31+'Inputs'!$B$32)/1000+'Inputs'!$B$21)+'Inputs'!$B$9)/SQRT((((890-43)*MAX('Inputs'!$B$33,'Inputs'!$B$29+'Inputs'!$B$31+'Inputs'!$B$32,'Inputs'!$B$30+'Inputs'!$B$31+'Inputs'!$B$32)/1000+'Inputs'!$B$21)+'Inputs'!$B$9)^2+('Inputs'!$B$8/2)^2)-(((890-43)*MAX('Inputs'!$B$33,'Inputs'!$B$29+'Inputs'!$B$31+'Inputs'!$B$32,'Inputs'!$B$30+'Inputs'!$B$31+'Inputs'!$B$32)/1000+'Inputs'!$B$21))/SQRT((((890-43)*MAX('Inputs'!$B$33,'Inputs'!$B$29+'Inputs'!$B$31+'Inputs'!$B$32,'Inputs'!$B$30+'Inputs'!$B$31+'Inputs'!$B$32)/1000+'Inputs'!$B$21))^2+('Inputs'!$B$8/2)^2)))-'Results'!B7*(0.5*((((890-43)*MAX('Inputs'!$B$33,'Inputs'!$B$29+'Inputs'!$B$31+'Inputs'!$B$32,'Inputs'!$B$30+'Inputs'!$B$31+'Inputs'!$B$32)/1000+'Inputs'!$B$21+'Inputs'!$B$9+'Inputs'!$B$10)+'Inputs'!$B$7)/SQRT((((890-43)*MAX('Inputs'!$B$33,'Inputs'!$B$29+'Inputs'!$B$31+'Inputs'!$B$32,'Inputs'!$B$30+'Inputs'!$B$31+'Inputs'!$B$32)/1000+'Inputs'!$B$21+'Inputs'!$B$9+'Inputs'!$B$10)+'Inputs'!$B$7)^2+('Inputs'!$B$6/2)^2)-(((890-43)*MAX('Inputs'!$B$33,'Inputs'!$B$29+'Inputs'!$B$31+'Inputs'!$B$32,'Inputs'!$B$30+'Inputs'!$B$31+'Inputs'!$B$32)/1000+'Inputs'!$B$21+'Inputs'!$B$9+'Inputs'!$B$10))/SQRT((((890-43)*MAX('Inputs'!$B$33,'Inputs'!$B$29+'Inputs'!$B$31+'Inputs'!$B$32,'Inputs'!$B$30+'Inputs'!$B$31+'Inputs'!$B$32)/1000+'Inputs'!$B$21+'Inputs'!$B$9+'Inputs'!$B$10))^2+('Inputs'!$B$6/2)^2))))*'Results'!$B$8),"")</x:f>
        <x:v>0.5845416077231187</x:v>
      </x:c>
      <x:c r="N890" t="n">
        <x:f>IF(AND(ISNUMBER('Results'!C7),ISNUMBER('Results'!B7),ISNUMBER('Results'!$B$8),ISNUMBER('Inputs'!$B$6),ISNUMBER('Inputs'!$B$7),ISNUMBER('Inputs'!$B$8),ISNUMBER('Inputs'!$B$9),ISNUMBER('Inputs'!$B$10),ISNUMBER('Inputs'!$B$21),ISNUMBER('Inputs'!$B$24),ISNUMBER('Inputs'!$B$28)),((('Results'!C7*(1-'Inputs'!$B$24)*(0.5*((((890-43)*MAX('Inputs'!$B$33,'Inputs'!$B$29+'Inputs'!$B$31+'Inputs'!$B$32,'Inputs'!$B$30+'Inputs'!$B$31+'Inputs'!$B$32)/1000+'Inputs'!$B$21)+'Inputs'!$B$9)/SQRT((((890-43)*MAX('Inputs'!$B$33,'Inputs'!$B$29+'Inputs'!$B$31+'Inputs'!$B$32,'Inputs'!$B$30+'Inputs'!$B$31+'Inputs'!$B$32)/1000+'Inputs'!$B$21)+'Inputs'!$B$9)^2+('Inputs'!$B$8/2)^2)-(((890-43)*MAX('Inputs'!$B$33,'Inputs'!$B$29+'Inputs'!$B$31+'Inputs'!$B$32,'Inputs'!$B$30+'Inputs'!$B$31+'Inputs'!$B$32)/1000+'Inputs'!$B$21))/SQRT((((890-43)*MAX('Inputs'!$B$33,'Inputs'!$B$29+'Inputs'!$B$31+'Inputs'!$B$32,'Inputs'!$B$30+'Inputs'!$B$31+'Inputs'!$B$32)/1000+'Inputs'!$B$21))^2+('Inputs'!$B$8/2)^2)))-'Results'!B7*(1+'Inputs'!$B$24)*(0.5*((((890-43)*MAX('Inputs'!$B$33,'Inputs'!$B$29+'Inputs'!$B$31+'Inputs'!$B$32,'Inputs'!$B$30+'Inputs'!$B$31+'Inputs'!$B$32)/1000+'Inputs'!$B$21+'Inputs'!$B$9+'Inputs'!$B$10)+'Inputs'!$B$7)/SQRT((((890-43)*MAX('Inputs'!$B$33,'Inputs'!$B$29+'Inputs'!$B$31+'Inputs'!$B$32,'Inputs'!$B$30+'Inputs'!$B$31+'Inputs'!$B$32)/1000+'Inputs'!$B$21+'Inputs'!$B$9+'Inputs'!$B$10)+'Inputs'!$B$7)^2+('Inputs'!$B$6/2)^2)-(((890-43)*MAX('Inputs'!$B$33,'Inputs'!$B$29+'Inputs'!$B$31+'Inputs'!$B$32,'Inputs'!$B$30+'Inputs'!$B$31+'Inputs'!$B$32)/1000+'Inputs'!$B$21+'Inputs'!$B$9+'Inputs'!$B$10))/SQRT((((890-43)*MAX('Inputs'!$B$33,'Inputs'!$B$29+'Inputs'!$B$31+'Inputs'!$B$32,'Inputs'!$B$30+'Inputs'!$B$31+'Inputs'!$B$32)/1000+'Inputs'!$B$21+'Inputs'!$B$9+'Inputs'!$B$10))^2+('Inputs'!$B$6/2)^2))))*'Results'!$B$8)-'Inputs'!$B$28*ABS((('Results'!C7*(1-'Inputs'!$B$24)*(0.5*((((890-43)*MAX('Inputs'!$B$33,'Inputs'!$B$29+'Inputs'!$B$31+'Inputs'!$B$32,'Inputs'!$B$30+'Inputs'!$B$31+'Inputs'!$B$32)/1000+'Inputs'!$B$21)+'Inputs'!$B$9)/SQRT((((890-43)*MAX('Inputs'!$B$33,'Inputs'!$B$29+'Inputs'!$B$31+'Inputs'!$B$32,'Inputs'!$B$30+'Inputs'!$B$31+'Inputs'!$B$32)/1000+'Inputs'!$B$21)+'Inputs'!$B$9)^2+('Inputs'!$B$8/2)^2)-(((890-43)*MAX('Inputs'!$B$33,'Inputs'!$B$29+'Inputs'!$B$31+'Inputs'!$B$32,'Inputs'!$B$30+'Inputs'!$B$31+'Inputs'!$B$32)/1000+'Inputs'!$B$21))/SQRT((((890-43)*MAX('Inputs'!$B$33,'Inputs'!$B$29+'Inputs'!$B$31+'Inputs'!$B$32,'Inputs'!$B$30+'Inputs'!$B$31+'Inputs'!$B$32)/1000+'Inputs'!$B$21))^2+('Inputs'!$B$8/2)^2)))-'Results'!B7*(1+'Inputs'!$B$24)*(0.5*((((890-43)*MAX('Inputs'!$B$33,'Inputs'!$B$29+'Inputs'!$B$31+'Inputs'!$B$32,'Inputs'!$B$30+'Inputs'!$B$31+'Inputs'!$B$32)/1000+'Inputs'!$B$21+'Inputs'!$B$9+'Inputs'!$B$10)+'Inputs'!$B$7)/SQRT((((890-43)*MAX('Inputs'!$B$33,'Inputs'!$B$29+'Inputs'!$B$31+'Inputs'!$B$32,'Inputs'!$B$30+'Inputs'!$B$31+'Inputs'!$B$32)/1000+'Inputs'!$B$21+'Inputs'!$B$9+'Inputs'!$B$10)+'Inputs'!$B$7)^2+('Inputs'!$B$6/2)^2)-(((890-43)*MAX('Inputs'!$B$33,'Inputs'!$B$29+'Inputs'!$B$31+'Inputs'!$B$32,'Inputs'!$B$30+'Inputs'!$B$31+'Inputs'!$B$32)/1000+'Inputs'!$B$21+'Inputs'!$B$9+'Inputs'!$B$10))/SQRT((((890-43)*MAX('Inputs'!$B$33,'Inputs'!$B$29+'Inputs'!$B$31+'Inputs'!$B$32,'Inputs'!$B$30+'Inputs'!$B$31+'Inputs'!$B$32)/1000+'Inputs'!$B$21+'Inputs'!$B$9+'Inputs'!$B$10))^2+('Inputs'!$B$6/2)^2))))*'Results'!$B$8))),"")</x:f>
        <x:v>0.49121042692321665</x:v>
      </x:c>
      <x:c r="O890" t="n">
        <x:f>IF(AND(ISNUMBER('Results'!C7),ISNUMBER('Results'!B7),ISNUMBER('Results'!$B$8),ISNUMBER('Inputs'!$B$6),ISNUMBER('Inputs'!$B$7),ISNUMBER('Inputs'!$B$8),ISNUMBER('Inputs'!$B$9),ISNUMBER('Inputs'!$B$10),ISNUMBER('Inputs'!$B$21),ISNUMBER('Inputs'!$B$24),ISNUMBER('Inputs'!$B$28)),((('Results'!C7*(1+'Inputs'!$B$24)*(0.5*((((890-43)*MAX('Inputs'!$B$33,'Inputs'!$B$29+'Inputs'!$B$31+'Inputs'!$B$32,'Inputs'!$B$30+'Inputs'!$B$31+'Inputs'!$B$32)/1000+'Inputs'!$B$21)+'Inputs'!$B$9)/SQRT((((890-43)*MAX('Inputs'!$B$33,'Inputs'!$B$29+'Inputs'!$B$31+'Inputs'!$B$32,'Inputs'!$B$30+'Inputs'!$B$31+'Inputs'!$B$32)/1000+'Inputs'!$B$21)+'Inputs'!$B$9)^2+('Inputs'!$B$8/2)^2)-(((890-43)*MAX('Inputs'!$B$33,'Inputs'!$B$29+'Inputs'!$B$31+'Inputs'!$B$32,'Inputs'!$B$30+'Inputs'!$B$31+'Inputs'!$B$32)/1000+'Inputs'!$B$21))/SQRT((((890-43)*MAX('Inputs'!$B$33,'Inputs'!$B$29+'Inputs'!$B$31+'Inputs'!$B$32,'Inputs'!$B$30+'Inputs'!$B$31+'Inputs'!$B$32)/1000+'Inputs'!$B$21))^2+('Inputs'!$B$8/2)^2)))-'Results'!B7*(1-'Inputs'!$B$24)*(0.5*((((890-43)*MAX('Inputs'!$B$33,'Inputs'!$B$29+'Inputs'!$B$31+'Inputs'!$B$32,'Inputs'!$B$30+'Inputs'!$B$31+'Inputs'!$B$32)/1000+'Inputs'!$B$21+'Inputs'!$B$9+'Inputs'!$B$10)+'Inputs'!$B$7)/SQRT((((890-43)*MAX('Inputs'!$B$33,'Inputs'!$B$29+'Inputs'!$B$31+'Inputs'!$B$32,'Inputs'!$B$30+'Inputs'!$B$31+'Inputs'!$B$32)/1000+'Inputs'!$B$21+'Inputs'!$B$9+'Inputs'!$B$10)+'Inputs'!$B$7)^2+('Inputs'!$B$6/2)^2)-(((890-43)*MAX('Inputs'!$B$33,'Inputs'!$B$29+'Inputs'!$B$31+'Inputs'!$B$32,'Inputs'!$B$30+'Inputs'!$B$31+'Inputs'!$B$32)/1000+'Inputs'!$B$21+'Inputs'!$B$9+'Inputs'!$B$10))/SQRT((((890-43)*MAX('Inputs'!$B$33,'Inputs'!$B$29+'Inputs'!$B$31+'Inputs'!$B$32,'Inputs'!$B$30+'Inputs'!$B$31+'Inputs'!$B$32)/1000+'Inputs'!$B$21+'Inputs'!$B$9+'Inputs'!$B$10))^2+('Inputs'!$B$6/2)^2))))*'Results'!$B$8)+'Inputs'!$B$28*ABS((('Results'!C7*(1+'Inputs'!$B$24)*(0.5*((((890-43)*MAX('Inputs'!$B$33,'Inputs'!$B$29+'Inputs'!$B$31+'Inputs'!$B$32,'Inputs'!$B$30+'Inputs'!$B$31+'Inputs'!$B$32)/1000+'Inputs'!$B$21)+'Inputs'!$B$9)/SQRT((((890-43)*MAX('Inputs'!$B$33,'Inputs'!$B$29+'Inputs'!$B$31+'Inputs'!$B$32,'Inputs'!$B$30+'Inputs'!$B$31+'Inputs'!$B$32)/1000+'Inputs'!$B$21)+'Inputs'!$B$9)^2+('Inputs'!$B$8/2)^2)-(((890-43)*MAX('Inputs'!$B$33,'Inputs'!$B$29+'Inputs'!$B$31+'Inputs'!$B$32,'Inputs'!$B$30+'Inputs'!$B$31+'Inputs'!$B$32)/1000+'Inputs'!$B$21))/SQRT((((890-43)*MAX('Inputs'!$B$33,'Inputs'!$B$29+'Inputs'!$B$31+'Inputs'!$B$32,'Inputs'!$B$30+'Inputs'!$B$31+'Inputs'!$B$32)/1000+'Inputs'!$B$21))^2+('Inputs'!$B$8/2)^2)))-'Results'!B7*(1-'Inputs'!$B$24)*(0.5*((((890-43)*MAX('Inputs'!$B$33,'Inputs'!$B$29+'Inputs'!$B$31+'Inputs'!$B$32,'Inputs'!$B$30+'Inputs'!$B$31+'Inputs'!$B$32)/1000+'Inputs'!$B$21+'Inputs'!$B$9+'Inputs'!$B$10)+'Inputs'!$B$7)/SQRT((((890-43)*MAX('Inputs'!$B$33,'Inputs'!$B$29+'Inputs'!$B$31+'Inputs'!$B$32,'Inputs'!$B$30+'Inputs'!$B$31+'Inputs'!$B$32)/1000+'Inputs'!$B$21+'Inputs'!$B$9+'Inputs'!$B$10)+'Inputs'!$B$7)^2+('Inputs'!$B$6/2)^2)-(((890-43)*MAX('Inputs'!$B$33,'Inputs'!$B$29+'Inputs'!$B$31+'Inputs'!$B$32,'Inputs'!$B$30+'Inputs'!$B$31+'Inputs'!$B$32)/1000+'Inputs'!$B$21+'Inputs'!$B$9+'Inputs'!$B$10))/SQRT((((890-43)*MAX('Inputs'!$B$33,'Inputs'!$B$29+'Inputs'!$B$31+'Inputs'!$B$32,'Inputs'!$B$30+'Inputs'!$B$31+'Inputs'!$B$32)/1000+'Inputs'!$B$21+'Inputs'!$B$9+'Inputs'!$B$10))^2+('Inputs'!$B$6/2)^2))))*'Results'!$B$8))),"")</x:f>
        <x:v>0.6846205885665727</x:v>
      </x:c>
      <x:c r="P890" t="n">
        <x:f>IF(AND(MAX(J890,J889)&gt;0,J890&gt;J889+0.00000001),1,0)</x:f>
        <x:v>0</x:v>
      </x:c>
      <x:c r="Q890" t="n">
        <x:f>IF(AND(MAX(K890,K889)&gt;0,K890&gt;K889+0.00000001),1,0)</x:f>
        <x:v>0</x:v>
      </x:c>
      <x:c r="R890" t="n">
        <x:f>IF(AND(MAX(L890,L889)&gt;0,L890&gt;L889+0.00000001),1,0)</x:f>
        <x:v>0</x:v>
      </x:c>
      <x:c r="S890" t="n">
        <x:f>IF(AND(MAX(M890,M889)&gt;0,M890&gt;M889+0.00000001),1,0)</x:f>
        <x:v>0</x:v>
      </x:c>
      <x:c r="T890" t="n">
        <x:f>IF(AND(MAX(N890,N889)&gt;0,N890&gt;N889+0.00000001),1,0)</x:f>
        <x:v>0</x:v>
      </x:c>
      <x:c r="U890" t="n">
        <x:f>IF(AND(MAX(O890,O889)&gt;0,O890&gt;O889+0.00000001),1,0)</x:f>
        <x:v>0</x:v>
      </x:c>
    </x:row>
    <x:row r="891">
      <x:c r="J891" t="n">
        <x:f>IF(AND(ISNUMBER('Results'!B7),ISNUMBER('Results'!C7),ISNUMBER('Results'!$B$8),ISNUMBER('Inputs'!$B$6),ISNUMBER('Inputs'!$B$7),ISNUMBER('Inputs'!$B$8),ISNUMBER('Inputs'!$B$9),ISNUMBER('Inputs'!$B$10),ISNUMBER('Inputs'!$B$21),ISNUMBER('Inputs'!$B$24),ISNUMBER('Inputs'!$B$28)),(('Results'!B7*(0.5*((((891-43)*MAX('Inputs'!$B$33,'Inputs'!$B$29+'Inputs'!$B$31+'Inputs'!$B$32,'Inputs'!$B$30+'Inputs'!$B$31+'Inputs'!$B$32)/1000+'Inputs'!$B$21)+'Inputs'!$B$7)/SQRT((((891-43)*MAX('Inputs'!$B$33,'Inputs'!$B$29+'Inputs'!$B$31+'Inputs'!$B$32,'Inputs'!$B$30+'Inputs'!$B$31+'Inputs'!$B$32)/1000+'Inputs'!$B$21)+'Inputs'!$B$7)^2+('Inputs'!$B$6/2)^2)-(((891-43)*MAX('Inputs'!$B$33,'Inputs'!$B$29+'Inputs'!$B$31+'Inputs'!$B$32,'Inputs'!$B$30+'Inputs'!$B$31+'Inputs'!$B$32)/1000+'Inputs'!$B$21))/SQRT((((891-43)*MAX('Inputs'!$B$33,'Inputs'!$B$29+'Inputs'!$B$31+'Inputs'!$B$32,'Inputs'!$B$30+'Inputs'!$B$31+'Inputs'!$B$32)/1000+'Inputs'!$B$21))^2+('Inputs'!$B$6/2)^2)))-'Results'!C7*(0.5*((((891-43)*MAX('Inputs'!$B$33,'Inputs'!$B$29+'Inputs'!$B$31+'Inputs'!$B$32,'Inputs'!$B$30+'Inputs'!$B$31+'Inputs'!$B$32)/1000+'Inputs'!$B$21+'Inputs'!$B$7+'Inputs'!$B$10)+'Inputs'!$B$9)/SQRT((((891-43)*MAX('Inputs'!$B$33,'Inputs'!$B$29+'Inputs'!$B$31+'Inputs'!$B$32,'Inputs'!$B$30+'Inputs'!$B$31+'Inputs'!$B$32)/1000+'Inputs'!$B$21+'Inputs'!$B$7+'Inputs'!$B$10)+'Inputs'!$B$9)^2+('Inputs'!$B$8/2)^2)-(((891-43)*MAX('Inputs'!$B$33,'Inputs'!$B$29+'Inputs'!$B$31+'Inputs'!$B$32,'Inputs'!$B$30+'Inputs'!$B$31+'Inputs'!$B$32)/1000+'Inputs'!$B$21+'Inputs'!$B$7+'Inputs'!$B$10))/SQRT((((891-43)*MAX('Inputs'!$B$33,'Inputs'!$B$29+'Inputs'!$B$31+'Inputs'!$B$32,'Inputs'!$B$30+'Inputs'!$B$31+'Inputs'!$B$32)/1000+'Inputs'!$B$21+'Inputs'!$B$7+'Inputs'!$B$10))^2+('Inputs'!$B$8/2)^2))))*'Results'!$B$8),"")</x:f>
        <x:v>0.6500513410122001</x:v>
      </x:c>
      <x:c r="K891" t="n">
        <x:f>IF(AND(ISNUMBER('Results'!B7),ISNUMBER('Results'!C7),ISNUMBER('Results'!$B$8),ISNUMBER('Inputs'!$B$6),ISNUMBER('Inputs'!$B$7),ISNUMBER('Inputs'!$B$8),ISNUMBER('Inputs'!$B$9),ISNUMBER('Inputs'!$B$10),ISNUMBER('Inputs'!$B$21),ISNUMBER('Inputs'!$B$24),ISNUMBER('Inputs'!$B$28)),((('Results'!B7*(1-'Inputs'!$B$24)*(0.5*((((891-43)*MAX('Inputs'!$B$33,'Inputs'!$B$29+'Inputs'!$B$31+'Inputs'!$B$32,'Inputs'!$B$30+'Inputs'!$B$31+'Inputs'!$B$32)/1000+'Inputs'!$B$21)+'Inputs'!$B$7)/SQRT((((891-43)*MAX('Inputs'!$B$33,'Inputs'!$B$29+'Inputs'!$B$31+'Inputs'!$B$32,'Inputs'!$B$30+'Inputs'!$B$31+'Inputs'!$B$32)/1000+'Inputs'!$B$21)+'Inputs'!$B$7)^2+('Inputs'!$B$6/2)^2)-(((891-43)*MAX('Inputs'!$B$33,'Inputs'!$B$29+'Inputs'!$B$31+'Inputs'!$B$32,'Inputs'!$B$30+'Inputs'!$B$31+'Inputs'!$B$32)/1000+'Inputs'!$B$21))/SQRT((((891-43)*MAX('Inputs'!$B$33,'Inputs'!$B$29+'Inputs'!$B$31+'Inputs'!$B$32,'Inputs'!$B$30+'Inputs'!$B$31+'Inputs'!$B$32)/1000+'Inputs'!$B$21))^2+('Inputs'!$B$6/2)^2)))-'Results'!C7*(1+'Inputs'!$B$24)*(0.5*((((891-43)*MAX('Inputs'!$B$33,'Inputs'!$B$29+'Inputs'!$B$31+'Inputs'!$B$32,'Inputs'!$B$30+'Inputs'!$B$31+'Inputs'!$B$32)/1000+'Inputs'!$B$21+'Inputs'!$B$7+'Inputs'!$B$10)+'Inputs'!$B$9)/SQRT((((891-43)*MAX('Inputs'!$B$33,'Inputs'!$B$29+'Inputs'!$B$31+'Inputs'!$B$32,'Inputs'!$B$30+'Inputs'!$B$31+'Inputs'!$B$32)/1000+'Inputs'!$B$21+'Inputs'!$B$7+'Inputs'!$B$10)+'Inputs'!$B$9)^2+('Inputs'!$B$8/2)^2)-(((891-43)*MAX('Inputs'!$B$33,'Inputs'!$B$29+'Inputs'!$B$31+'Inputs'!$B$32,'Inputs'!$B$30+'Inputs'!$B$31+'Inputs'!$B$32)/1000+'Inputs'!$B$21+'Inputs'!$B$7+'Inputs'!$B$10))/SQRT((((891-43)*MAX('Inputs'!$B$33,'Inputs'!$B$29+'Inputs'!$B$31+'Inputs'!$B$32,'Inputs'!$B$30+'Inputs'!$B$31+'Inputs'!$B$32)/1000+'Inputs'!$B$21+'Inputs'!$B$7+'Inputs'!$B$10))^2+('Inputs'!$B$8/2)^2))))*'Results'!$B$8)-'Inputs'!$B$28*ABS((('Results'!B7*(1-'Inputs'!$B$24)*(0.5*((((891-43)*MAX('Inputs'!$B$33,'Inputs'!$B$29+'Inputs'!$B$31+'Inputs'!$B$32,'Inputs'!$B$30+'Inputs'!$B$31+'Inputs'!$B$32)/1000+'Inputs'!$B$21)+'Inputs'!$B$7)/SQRT((((891-43)*MAX('Inputs'!$B$33,'Inputs'!$B$29+'Inputs'!$B$31+'Inputs'!$B$32,'Inputs'!$B$30+'Inputs'!$B$31+'Inputs'!$B$32)/1000+'Inputs'!$B$21)+'Inputs'!$B$7)^2+('Inputs'!$B$6/2)^2)-(((891-43)*MAX('Inputs'!$B$33,'Inputs'!$B$29+'Inputs'!$B$31+'Inputs'!$B$32,'Inputs'!$B$30+'Inputs'!$B$31+'Inputs'!$B$32)/1000+'Inputs'!$B$21))/SQRT((((891-43)*MAX('Inputs'!$B$33,'Inputs'!$B$29+'Inputs'!$B$31+'Inputs'!$B$32,'Inputs'!$B$30+'Inputs'!$B$31+'Inputs'!$B$32)/1000+'Inputs'!$B$21))^2+('Inputs'!$B$6/2)^2)))-'Results'!C7*(1+'Inputs'!$B$24)*(0.5*((((891-43)*MAX('Inputs'!$B$33,'Inputs'!$B$29+'Inputs'!$B$31+'Inputs'!$B$32,'Inputs'!$B$30+'Inputs'!$B$31+'Inputs'!$B$32)/1000+'Inputs'!$B$21+'Inputs'!$B$7+'Inputs'!$B$10)+'Inputs'!$B$9)/SQRT((((891-43)*MAX('Inputs'!$B$33,'Inputs'!$B$29+'Inputs'!$B$31+'Inputs'!$B$32,'Inputs'!$B$30+'Inputs'!$B$31+'Inputs'!$B$32)/1000+'Inputs'!$B$21+'Inputs'!$B$7+'Inputs'!$B$10)+'Inputs'!$B$9)^2+('Inputs'!$B$8/2)^2)-(((891-43)*MAX('Inputs'!$B$33,'Inputs'!$B$29+'Inputs'!$B$31+'Inputs'!$B$32,'Inputs'!$B$30+'Inputs'!$B$31+'Inputs'!$B$32)/1000+'Inputs'!$B$21+'Inputs'!$B$7+'Inputs'!$B$10))/SQRT((((891-43)*MAX('Inputs'!$B$33,'Inputs'!$B$29+'Inputs'!$B$31+'Inputs'!$B$32,'Inputs'!$B$30+'Inputs'!$B$31+'Inputs'!$B$32)/1000+'Inputs'!$B$21+'Inputs'!$B$7+'Inputs'!$B$10))^2+('Inputs'!$B$8/2)^2))))*'Results'!$B$8))),"")</x:f>
        <x:v>0.553417424236869</x:v>
      </x:c>
      <x:c r="L891" t="n">
        <x:f>IF(AND(ISNUMBER('Results'!B7),ISNUMBER('Results'!C7),ISNUMBER('Results'!$B$8),ISNUMBER('Inputs'!$B$6),ISNUMBER('Inputs'!$B$7),ISNUMBER('Inputs'!$B$8),ISNUMBER('Inputs'!$B$9),ISNUMBER('Inputs'!$B$10),ISNUMBER('Inputs'!$B$21),ISNUMBER('Inputs'!$B$24),ISNUMBER('Inputs'!$B$28)),((('Results'!B7*(1+'Inputs'!$B$24)*(0.5*((((891-43)*MAX('Inputs'!$B$33,'Inputs'!$B$29+'Inputs'!$B$31+'Inputs'!$B$32,'Inputs'!$B$30+'Inputs'!$B$31+'Inputs'!$B$32)/1000+'Inputs'!$B$21)+'Inputs'!$B$7)/SQRT((((891-43)*MAX('Inputs'!$B$33,'Inputs'!$B$29+'Inputs'!$B$31+'Inputs'!$B$32,'Inputs'!$B$30+'Inputs'!$B$31+'Inputs'!$B$32)/1000+'Inputs'!$B$21)+'Inputs'!$B$7)^2+('Inputs'!$B$6/2)^2)-(((891-43)*MAX('Inputs'!$B$33,'Inputs'!$B$29+'Inputs'!$B$31+'Inputs'!$B$32,'Inputs'!$B$30+'Inputs'!$B$31+'Inputs'!$B$32)/1000+'Inputs'!$B$21))/SQRT((((891-43)*MAX('Inputs'!$B$33,'Inputs'!$B$29+'Inputs'!$B$31+'Inputs'!$B$32,'Inputs'!$B$30+'Inputs'!$B$31+'Inputs'!$B$32)/1000+'Inputs'!$B$21))^2+('Inputs'!$B$6/2)^2)))-'Results'!C7*(1-'Inputs'!$B$24)*(0.5*((((891-43)*MAX('Inputs'!$B$33,'Inputs'!$B$29+'Inputs'!$B$31+'Inputs'!$B$32,'Inputs'!$B$30+'Inputs'!$B$31+'Inputs'!$B$32)/1000+'Inputs'!$B$21+'Inputs'!$B$7+'Inputs'!$B$10)+'Inputs'!$B$9)/SQRT((((891-43)*MAX('Inputs'!$B$33,'Inputs'!$B$29+'Inputs'!$B$31+'Inputs'!$B$32,'Inputs'!$B$30+'Inputs'!$B$31+'Inputs'!$B$32)/1000+'Inputs'!$B$21+'Inputs'!$B$7+'Inputs'!$B$10)+'Inputs'!$B$9)^2+('Inputs'!$B$8/2)^2)-(((891-43)*MAX('Inputs'!$B$33,'Inputs'!$B$29+'Inputs'!$B$31+'Inputs'!$B$32,'Inputs'!$B$30+'Inputs'!$B$31+'Inputs'!$B$32)/1000+'Inputs'!$B$21+'Inputs'!$B$7+'Inputs'!$B$10))/SQRT((((891-43)*MAX('Inputs'!$B$33,'Inputs'!$B$29+'Inputs'!$B$31+'Inputs'!$B$32,'Inputs'!$B$30+'Inputs'!$B$31+'Inputs'!$B$32)/1000+'Inputs'!$B$21+'Inputs'!$B$7+'Inputs'!$B$10))^2+('Inputs'!$B$8/2)^2))))*'Results'!$B$8)+'Inputs'!$B$28*ABS((('Results'!B7*(1+'Inputs'!$B$24)*(0.5*((((891-43)*MAX('Inputs'!$B$33,'Inputs'!$B$29+'Inputs'!$B$31+'Inputs'!$B$32,'Inputs'!$B$30+'Inputs'!$B$31+'Inputs'!$B$32)/1000+'Inputs'!$B$21)+'Inputs'!$B$7)/SQRT((((891-43)*MAX('Inputs'!$B$33,'Inputs'!$B$29+'Inputs'!$B$31+'Inputs'!$B$32,'Inputs'!$B$30+'Inputs'!$B$31+'Inputs'!$B$32)/1000+'Inputs'!$B$21)+'Inputs'!$B$7)^2+('Inputs'!$B$6/2)^2)-(((891-43)*MAX('Inputs'!$B$33,'Inputs'!$B$29+'Inputs'!$B$31+'Inputs'!$B$32,'Inputs'!$B$30+'Inputs'!$B$31+'Inputs'!$B$32)/1000+'Inputs'!$B$21))/SQRT((((891-43)*MAX('Inputs'!$B$33,'Inputs'!$B$29+'Inputs'!$B$31+'Inputs'!$B$32,'Inputs'!$B$30+'Inputs'!$B$31+'Inputs'!$B$32)/1000+'Inputs'!$B$21))^2+('Inputs'!$B$6/2)^2)))-'Results'!C7*(1-'Inputs'!$B$24)*(0.5*((((891-43)*MAX('Inputs'!$B$33,'Inputs'!$B$29+'Inputs'!$B$31+'Inputs'!$B$32,'Inputs'!$B$30+'Inputs'!$B$31+'Inputs'!$B$32)/1000+'Inputs'!$B$21+'Inputs'!$B$7+'Inputs'!$B$10)+'Inputs'!$B$9)/SQRT((((891-43)*MAX('Inputs'!$B$33,'Inputs'!$B$29+'Inputs'!$B$31+'Inputs'!$B$32,'Inputs'!$B$30+'Inputs'!$B$31+'Inputs'!$B$32)/1000+'Inputs'!$B$21+'Inputs'!$B$7+'Inputs'!$B$10)+'Inputs'!$B$9)^2+('Inputs'!$B$8/2)^2)-(((891-43)*MAX('Inputs'!$B$33,'Inputs'!$B$29+'Inputs'!$B$31+'Inputs'!$B$32,'Inputs'!$B$30+'Inputs'!$B$31+'Inputs'!$B$32)/1000+'Inputs'!$B$21+'Inputs'!$B$7+'Inputs'!$B$10))/SQRT((((891-43)*MAX('Inputs'!$B$33,'Inputs'!$B$29+'Inputs'!$B$31+'Inputs'!$B$32,'Inputs'!$B$30+'Inputs'!$B$31+'Inputs'!$B$32)/1000+'Inputs'!$B$21+'Inputs'!$B$7+'Inputs'!$B$10))^2+('Inputs'!$B$8/2)^2))))*'Results'!$B$8))),"")</x:f>
        <x:v>0.753435926179607</x:v>
      </x:c>
      <x:c r="M891" t="n">
        <x:f>IF(AND(ISNUMBER('Results'!C7),ISNUMBER('Results'!B7),ISNUMBER('Results'!$B$8),ISNUMBER('Inputs'!$B$6),ISNUMBER('Inputs'!$B$7),ISNUMBER('Inputs'!$B$8),ISNUMBER('Inputs'!$B$9),ISNUMBER('Inputs'!$B$10),ISNUMBER('Inputs'!$B$21),ISNUMBER('Inputs'!$B$24),ISNUMBER('Inputs'!$B$28)),(('Results'!C7*(0.5*((((891-43)*MAX('Inputs'!$B$33,'Inputs'!$B$29+'Inputs'!$B$31+'Inputs'!$B$32,'Inputs'!$B$30+'Inputs'!$B$31+'Inputs'!$B$32)/1000+'Inputs'!$B$21)+'Inputs'!$B$9)/SQRT((((891-43)*MAX('Inputs'!$B$33,'Inputs'!$B$29+'Inputs'!$B$31+'Inputs'!$B$32,'Inputs'!$B$30+'Inputs'!$B$31+'Inputs'!$B$32)/1000+'Inputs'!$B$21)+'Inputs'!$B$9)^2+('Inputs'!$B$8/2)^2)-(((891-43)*MAX('Inputs'!$B$33,'Inputs'!$B$29+'Inputs'!$B$31+'Inputs'!$B$32,'Inputs'!$B$30+'Inputs'!$B$31+'Inputs'!$B$32)/1000+'Inputs'!$B$21))/SQRT((((891-43)*MAX('Inputs'!$B$33,'Inputs'!$B$29+'Inputs'!$B$31+'Inputs'!$B$32,'Inputs'!$B$30+'Inputs'!$B$31+'Inputs'!$B$32)/1000+'Inputs'!$B$21))^2+('Inputs'!$B$8/2)^2)))-'Results'!B7*(0.5*((((891-43)*MAX('Inputs'!$B$33,'Inputs'!$B$29+'Inputs'!$B$31+'Inputs'!$B$32,'Inputs'!$B$30+'Inputs'!$B$31+'Inputs'!$B$32)/1000+'Inputs'!$B$21+'Inputs'!$B$9+'Inputs'!$B$10)+'Inputs'!$B$7)/SQRT((((891-43)*MAX('Inputs'!$B$33,'Inputs'!$B$29+'Inputs'!$B$31+'Inputs'!$B$32,'Inputs'!$B$30+'Inputs'!$B$31+'Inputs'!$B$32)/1000+'Inputs'!$B$21+'Inputs'!$B$9+'Inputs'!$B$10)+'Inputs'!$B$7)^2+('Inputs'!$B$6/2)^2)-(((891-43)*MAX('Inputs'!$B$33,'Inputs'!$B$29+'Inputs'!$B$31+'Inputs'!$B$32,'Inputs'!$B$30+'Inputs'!$B$31+'Inputs'!$B$32)/1000+'Inputs'!$B$21+'Inputs'!$B$9+'Inputs'!$B$10))/SQRT((((891-43)*MAX('Inputs'!$B$33,'Inputs'!$B$29+'Inputs'!$B$31+'Inputs'!$B$32,'Inputs'!$B$30+'Inputs'!$B$31+'Inputs'!$B$32)/1000+'Inputs'!$B$21+'Inputs'!$B$9+'Inputs'!$B$10))^2+('Inputs'!$B$6/2)^2))))*'Results'!$B$8),"")</x:f>
        <x:v>0.5819884769169461</x:v>
      </x:c>
      <x:c r="N891" t="n">
        <x:f>IF(AND(ISNUMBER('Results'!C7),ISNUMBER('Results'!B7),ISNUMBER('Results'!$B$8),ISNUMBER('Inputs'!$B$6),ISNUMBER('Inputs'!$B$7),ISNUMBER('Inputs'!$B$8),ISNUMBER('Inputs'!$B$9),ISNUMBER('Inputs'!$B$10),ISNUMBER('Inputs'!$B$21),ISNUMBER('Inputs'!$B$24),ISNUMBER('Inputs'!$B$28)),((('Results'!C7*(1-'Inputs'!$B$24)*(0.5*((((891-43)*MAX('Inputs'!$B$33,'Inputs'!$B$29+'Inputs'!$B$31+'Inputs'!$B$32,'Inputs'!$B$30+'Inputs'!$B$31+'Inputs'!$B$32)/1000+'Inputs'!$B$21)+'Inputs'!$B$9)/SQRT((((891-43)*MAX('Inputs'!$B$33,'Inputs'!$B$29+'Inputs'!$B$31+'Inputs'!$B$32,'Inputs'!$B$30+'Inputs'!$B$31+'Inputs'!$B$32)/1000+'Inputs'!$B$21)+'Inputs'!$B$9)^2+('Inputs'!$B$8/2)^2)-(((891-43)*MAX('Inputs'!$B$33,'Inputs'!$B$29+'Inputs'!$B$31+'Inputs'!$B$32,'Inputs'!$B$30+'Inputs'!$B$31+'Inputs'!$B$32)/1000+'Inputs'!$B$21))/SQRT((((891-43)*MAX('Inputs'!$B$33,'Inputs'!$B$29+'Inputs'!$B$31+'Inputs'!$B$32,'Inputs'!$B$30+'Inputs'!$B$31+'Inputs'!$B$32)/1000+'Inputs'!$B$21))^2+('Inputs'!$B$8/2)^2)))-'Results'!B7*(1+'Inputs'!$B$24)*(0.5*((((891-43)*MAX('Inputs'!$B$33,'Inputs'!$B$29+'Inputs'!$B$31+'Inputs'!$B$32,'Inputs'!$B$30+'Inputs'!$B$31+'Inputs'!$B$32)/1000+'Inputs'!$B$21+'Inputs'!$B$9+'Inputs'!$B$10)+'Inputs'!$B$7)/SQRT((((891-43)*MAX('Inputs'!$B$33,'Inputs'!$B$29+'Inputs'!$B$31+'Inputs'!$B$32,'Inputs'!$B$30+'Inputs'!$B$31+'Inputs'!$B$32)/1000+'Inputs'!$B$21+'Inputs'!$B$9+'Inputs'!$B$10)+'Inputs'!$B$7)^2+('Inputs'!$B$6/2)^2)-(((891-43)*MAX('Inputs'!$B$33,'Inputs'!$B$29+'Inputs'!$B$31+'Inputs'!$B$32,'Inputs'!$B$30+'Inputs'!$B$31+'Inputs'!$B$32)/1000+'Inputs'!$B$21+'Inputs'!$B$9+'Inputs'!$B$10))/SQRT((((891-43)*MAX('Inputs'!$B$33,'Inputs'!$B$29+'Inputs'!$B$31+'Inputs'!$B$32,'Inputs'!$B$30+'Inputs'!$B$31+'Inputs'!$B$32)/1000+'Inputs'!$B$21+'Inputs'!$B$9+'Inputs'!$B$10))^2+('Inputs'!$B$6/2)^2))))*'Results'!$B$8)-'Inputs'!$B$28*ABS((('Results'!C7*(1-'Inputs'!$B$24)*(0.5*((((891-43)*MAX('Inputs'!$B$33,'Inputs'!$B$29+'Inputs'!$B$31+'Inputs'!$B$32,'Inputs'!$B$30+'Inputs'!$B$31+'Inputs'!$B$32)/1000+'Inputs'!$B$21)+'Inputs'!$B$9)/SQRT((((891-43)*MAX('Inputs'!$B$33,'Inputs'!$B$29+'Inputs'!$B$31+'Inputs'!$B$32,'Inputs'!$B$30+'Inputs'!$B$31+'Inputs'!$B$32)/1000+'Inputs'!$B$21)+'Inputs'!$B$9)^2+('Inputs'!$B$8/2)^2)-(((891-43)*MAX('Inputs'!$B$33,'Inputs'!$B$29+'Inputs'!$B$31+'Inputs'!$B$32,'Inputs'!$B$30+'Inputs'!$B$31+'Inputs'!$B$32)/1000+'Inputs'!$B$21))/SQRT((((891-43)*MAX('Inputs'!$B$33,'Inputs'!$B$29+'Inputs'!$B$31+'Inputs'!$B$32,'Inputs'!$B$30+'Inputs'!$B$31+'Inputs'!$B$32)/1000+'Inputs'!$B$21))^2+('Inputs'!$B$8/2)^2)))-'Results'!B7*(1+'Inputs'!$B$24)*(0.5*((((891-43)*MAX('Inputs'!$B$33,'Inputs'!$B$29+'Inputs'!$B$31+'Inputs'!$B$32,'Inputs'!$B$30+'Inputs'!$B$31+'Inputs'!$B$32)/1000+'Inputs'!$B$21+'Inputs'!$B$9+'Inputs'!$B$10)+'Inputs'!$B$7)/SQRT((((891-43)*MAX('Inputs'!$B$33,'Inputs'!$B$29+'Inputs'!$B$31+'Inputs'!$B$32,'Inputs'!$B$30+'Inputs'!$B$31+'Inputs'!$B$32)/1000+'Inputs'!$B$21+'Inputs'!$B$9+'Inputs'!$B$10)+'Inputs'!$B$7)^2+('Inputs'!$B$6/2)^2)-(((891-43)*MAX('Inputs'!$B$33,'Inputs'!$B$29+'Inputs'!$B$31+'Inputs'!$B$32,'Inputs'!$B$30+'Inputs'!$B$31+'Inputs'!$B$32)/1000+'Inputs'!$B$21+'Inputs'!$B$9+'Inputs'!$B$10))/SQRT((((891-43)*MAX('Inputs'!$B$33,'Inputs'!$B$29+'Inputs'!$B$31+'Inputs'!$B$32,'Inputs'!$B$30+'Inputs'!$B$31+'Inputs'!$B$32)/1000+'Inputs'!$B$21+'Inputs'!$B$9+'Inputs'!$B$10))^2+('Inputs'!$B$6/2)^2))))*'Results'!$B$8))),"")</x:f>
        <x:v>0.4889941554326472</x:v>
      </x:c>
      <x:c r="O891" t="n">
        <x:f>IF(AND(ISNUMBER('Results'!C7),ISNUMBER('Results'!B7),ISNUMBER('Results'!$B$8),ISNUMBER('Inputs'!$B$6),ISNUMBER('Inputs'!$B$7),ISNUMBER('Inputs'!$B$8),ISNUMBER('Inputs'!$B$9),ISNUMBER('Inputs'!$B$10),ISNUMBER('Inputs'!$B$21),ISNUMBER('Inputs'!$B$24),ISNUMBER('Inputs'!$B$28)),((('Results'!C7*(1+'Inputs'!$B$24)*(0.5*((((891-43)*MAX('Inputs'!$B$33,'Inputs'!$B$29+'Inputs'!$B$31+'Inputs'!$B$32,'Inputs'!$B$30+'Inputs'!$B$31+'Inputs'!$B$32)/1000+'Inputs'!$B$21)+'Inputs'!$B$9)/SQRT((((891-43)*MAX('Inputs'!$B$33,'Inputs'!$B$29+'Inputs'!$B$31+'Inputs'!$B$32,'Inputs'!$B$30+'Inputs'!$B$31+'Inputs'!$B$32)/1000+'Inputs'!$B$21)+'Inputs'!$B$9)^2+('Inputs'!$B$8/2)^2)-(((891-43)*MAX('Inputs'!$B$33,'Inputs'!$B$29+'Inputs'!$B$31+'Inputs'!$B$32,'Inputs'!$B$30+'Inputs'!$B$31+'Inputs'!$B$32)/1000+'Inputs'!$B$21))/SQRT((((891-43)*MAX('Inputs'!$B$33,'Inputs'!$B$29+'Inputs'!$B$31+'Inputs'!$B$32,'Inputs'!$B$30+'Inputs'!$B$31+'Inputs'!$B$32)/1000+'Inputs'!$B$21))^2+('Inputs'!$B$8/2)^2)))-'Results'!B7*(1-'Inputs'!$B$24)*(0.5*((((891-43)*MAX('Inputs'!$B$33,'Inputs'!$B$29+'Inputs'!$B$31+'Inputs'!$B$32,'Inputs'!$B$30+'Inputs'!$B$31+'Inputs'!$B$32)/1000+'Inputs'!$B$21+'Inputs'!$B$9+'Inputs'!$B$10)+'Inputs'!$B$7)/SQRT((((891-43)*MAX('Inputs'!$B$33,'Inputs'!$B$29+'Inputs'!$B$31+'Inputs'!$B$32,'Inputs'!$B$30+'Inputs'!$B$31+'Inputs'!$B$32)/1000+'Inputs'!$B$21+'Inputs'!$B$9+'Inputs'!$B$10)+'Inputs'!$B$7)^2+('Inputs'!$B$6/2)^2)-(((891-43)*MAX('Inputs'!$B$33,'Inputs'!$B$29+'Inputs'!$B$31+'Inputs'!$B$32,'Inputs'!$B$30+'Inputs'!$B$31+'Inputs'!$B$32)/1000+'Inputs'!$B$21+'Inputs'!$B$9+'Inputs'!$B$10))/SQRT((((891-43)*MAX('Inputs'!$B$33,'Inputs'!$B$29+'Inputs'!$B$31+'Inputs'!$B$32,'Inputs'!$B$30+'Inputs'!$B$31+'Inputs'!$B$32)/1000+'Inputs'!$B$21+'Inputs'!$B$9+'Inputs'!$B$10))^2+('Inputs'!$B$6/2)^2))))*'Results'!$B$8)+'Inputs'!$B$28*ABS((('Results'!C7*(1+'Inputs'!$B$24)*(0.5*((((891-43)*MAX('Inputs'!$B$33,'Inputs'!$B$29+'Inputs'!$B$31+'Inputs'!$B$32,'Inputs'!$B$30+'Inputs'!$B$31+'Inputs'!$B$32)/1000+'Inputs'!$B$21)+'Inputs'!$B$9)/SQRT((((891-43)*MAX('Inputs'!$B$33,'Inputs'!$B$29+'Inputs'!$B$31+'Inputs'!$B$32,'Inputs'!$B$30+'Inputs'!$B$31+'Inputs'!$B$32)/1000+'Inputs'!$B$21)+'Inputs'!$B$9)^2+('Inputs'!$B$8/2)^2)-(((891-43)*MAX('Inputs'!$B$33,'Inputs'!$B$29+'Inputs'!$B$31+'Inputs'!$B$32,'Inputs'!$B$30+'Inputs'!$B$31+'Inputs'!$B$32)/1000+'Inputs'!$B$21))/SQRT((((891-43)*MAX('Inputs'!$B$33,'Inputs'!$B$29+'Inputs'!$B$31+'Inputs'!$B$32,'Inputs'!$B$30+'Inputs'!$B$31+'Inputs'!$B$32)/1000+'Inputs'!$B$21))^2+('Inputs'!$B$8/2)^2)))-'Results'!B7*(1-'Inputs'!$B$24)*(0.5*((((891-43)*MAX('Inputs'!$B$33,'Inputs'!$B$29+'Inputs'!$B$31+'Inputs'!$B$32,'Inputs'!$B$30+'Inputs'!$B$31+'Inputs'!$B$32)/1000+'Inputs'!$B$21+'Inputs'!$B$9+'Inputs'!$B$10)+'Inputs'!$B$7)/SQRT((((891-43)*MAX('Inputs'!$B$33,'Inputs'!$B$29+'Inputs'!$B$31+'Inputs'!$B$32,'Inputs'!$B$30+'Inputs'!$B$31+'Inputs'!$B$32)/1000+'Inputs'!$B$21+'Inputs'!$B$9+'Inputs'!$B$10)+'Inputs'!$B$7)^2+('Inputs'!$B$6/2)^2)-(((891-43)*MAX('Inputs'!$B$33,'Inputs'!$B$29+'Inputs'!$B$31+'Inputs'!$B$32,'Inputs'!$B$30+'Inputs'!$B$31+'Inputs'!$B$32)/1000+'Inputs'!$B$21+'Inputs'!$B$9+'Inputs'!$B$10))/SQRT((((891-43)*MAX('Inputs'!$B$33,'Inputs'!$B$29+'Inputs'!$B$31+'Inputs'!$B$32,'Inputs'!$B$30+'Inputs'!$B$31+'Inputs'!$B$32)/1000+'Inputs'!$B$21+'Inputs'!$B$9+'Inputs'!$B$10))^2+('Inputs'!$B$6/2)^2))))*'Results'!$B$8))),"")</x:f>
        <x:v>0.68170857710003</x:v>
      </x:c>
      <x:c r="P891" t="n">
        <x:f>IF(AND(MAX(J891,J890)&gt;0,J891&gt;J890+0.00000001),1,0)</x:f>
        <x:v>0</x:v>
      </x:c>
      <x:c r="Q891" t="n">
        <x:f>IF(AND(MAX(K891,K890)&gt;0,K891&gt;K890+0.00000001),1,0)</x:f>
        <x:v>0</x:v>
      </x:c>
      <x:c r="R891" t="n">
        <x:f>IF(AND(MAX(L891,L890)&gt;0,L891&gt;L890+0.00000001),1,0)</x:f>
        <x:v>0</x:v>
      </x:c>
      <x:c r="S891" t="n">
        <x:f>IF(AND(MAX(M891,M890)&gt;0,M891&gt;M890+0.00000001),1,0)</x:f>
        <x:v>0</x:v>
      </x:c>
      <x:c r="T891" t="n">
        <x:f>IF(AND(MAX(N891,N890)&gt;0,N891&gt;N890+0.00000001),1,0)</x:f>
        <x:v>0</x:v>
      </x:c>
      <x:c r="U891" t="n">
        <x:f>IF(AND(MAX(O891,O890)&gt;0,O891&gt;O890+0.00000001),1,0)</x:f>
        <x:v>0</x:v>
      </x:c>
    </x:row>
    <x:row r="892">
      <x:c r="J892" t="n">
        <x:f>IF(AND(ISNUMBER('Results'!B7),ISNUMBER('Results'!C7),ISNUMBER('Results'!$B$8),ISNUMBER('Inputs'!$B$6),ISNUMBER('Inputs'!$B$7),ISNUMBER('Inputs'!$B$8),ISNUMBER('Inputs'!$B$9),ISNUMBER('Inputs'!$B$10),ISNUMBER('Inputs'!$B$21),ISNUMBER('Inputs'!$B$24),ISNUMBER('Inputs'!$B$28)),(('Results'!B7*(0.5*((((892-43)*MAX('Inputs'!$B$33,'Inputs'!$B$29+'Inputs'!$B$31+'Inputs'!$B$32,'Inputs'!$B$30+'Inputs'!$B$31+'Inputs'!$B$32)/1000+'Inputs'!$B$21)+'Inputs'!$B$7)/SQRT((((892-43)*MAX('Inputs'!$B$33,'Inputs'!$B$29+'Inputs'!$B$31+'Inputs'!$B$32,'Inputs'!$B$30+'Inputs'!$B$31+'Inputs'!$B$32)/1000+'Inputs'!$B$21)+'Inputs'!$B$7)^2+('Inputs'!$B$6/2)^2)-(((892-43)*MAX('Inputs'!$B$33,'Inputs'!$B$29+'Inputs'!$B$31+'Inputs'!$B$32,'Inputs'!$B$30+'Inputs'!$B$31+'Inputs'!$B$32)/1000+'Inputs'!$B$21))/SQRT((((892-43)*MAX('Inputs'!$B$33,'Inputs'!$B$29+'Inputs'!$B$31+'Inputs'!$B$32,'Inputs'!$B$30+'Inputs'!$B$31+'Inputs'!$B$32)/1000+'Inputs'!$B$21))^2+('Inputs'!$B$6/2)^2)))-'Results'!C7*(0.5*((((892-43)*MAX('Inputs'!$B$33,'Inputs'!$B$29+'Inputs'!$B$31+'Inputs'!$B$32,'Inputs'!$B$30+'Inputs'!$B$31+'Inputs'!$B$32)/1000+'Inputs'!$B$21+'Inputs'!$B$7+'Inputs'!$B$10)+'Inputs'!$B$9)/SQRT((((892-43)*MAX('Inputs'!$B$33,'Inputs'!$B$29+'Inputs'!$B$31+'Inputs'!$B$32,'Inputs'!$B$30+'Inputs'!$B$31+'Inputs'!$B$32)/1000+'Inputs'!$B$21+'Inputs'!$B$7+'Inputs'!$B$10)+'Inputs'!$B$9)^2+('Inputs'!$B$8/2)^2)-(((892-43)*MAX('Inputs'!$B$33,'Inputs'!$B$29+'Inputs'!$B$31+'Inputs'!$B$32,'Inputs'!$B$30+'Inputs'!$B$31+'Inputs'!$B$32)/1000+'Inputs'!$B$21+'Inputs'!$B$7+'Inputs'!$B$10))/SQRT((((892-43)*MAX('Inputs'!$B$33,'Inputs'!$B$29+'Inputs'!$B$31+'Inputs'!$B$32,'Inputs'!$B$30+'Inputs'!$B$31+'Inputs'!$B$32)/1000+'Inputs'!$B$21+'Inputs'!$B$7+'Inputs'!$B$10))^2+('Inputs'!$B$8/2)^2))))*'Results'!$B$8),"")</x:f>
        <x:v>0.6472900369499791</x:v>
      </x:c>
      <x:c r="K892" t="n">
        <x:f>IF(AND(ISNUMBER('Results'!B7),ISNUMBER('Results'!C7),ISNUMBER('Results'!$B$8),ISNUMBER('Inputs'!$B$6),ISNUMBER('Inputs'!$B$7),ISNUMBER('Inputs'!$B$8),ISNUMBER('Inputs'!$B$9),ISNUMBER('Inputs'!$B$10),ISNUMBER('Inputs'!$B$21),ISNUMBER('Inputs'!$B$24),ISNUMBER('Inputs'!$B$28)),((('Results'!B7*(1-'Inputs'!$B$24)*(0.5*((((892-43)*MAX('Inputs'!$B$33,'Inputs'!$B$29+'Inputs'!$B$31+'Inputs'!$B$32,'Inputs'!$B$30+'Inputs'!$B$31+'Inputs'!$B$32)/1000+'Inputs'!$B$21)+'Inputs'!$B$7)/SQRT((((892-43)*MAX('Inputs'!$B$33,'Inputs'!$B$29+'Inputs'!$B$31+'Inputs'!$B$32,'Inputs'!$B$30+'Inputs'!$B$31+'Inputs'!$B$32)/1000+'Inputs'!$B$21)+'Inputs'!$B$7)^2+('Inputs'!$B$6/2)^2)-(((892-43)*MAX('Inputs'!$B$33,'Inputs'!$B$29+'Inputs'!$B$31+'Inputs'!$B$32,'Inputs'!$B$30+'Inputs'!$B$31+'Inputs'!$B$32)/1000+'Inputs'!$B$21))/SQRT((((892-43)*MAX('Inputs'!$B$33,'Inputs'!$B$29+'Inputs'!$B$31+'Inputs'!$B$32,'Inputs'!$B$30+'Inputs'!$B$31+'Inputs'!$B$32)/1000+'Inputs'!$B$21))^2+('Inputs'!$B$6/2)^2)))-'Results'!C7*(1+'Inputs'!$B$24)*(0.5*((((892-43)*MAX('Inputs'!$B$33,'Inputs'!$B$29+'Inputs'!$B$31+'Inputs'!$B$32,'Inputs'!$B$30+'Inputs'!$B$31+'Inputs'!$B$32)/1000+'Inputs'!$B$21+'Inputs'!$B$7+'Inputs'!$B$10)+'Inputs'!$B$9)/SQRT((((892-43)*MAX('Inputs'!$B$33,'Inputs'!$B$29+'Inputs'!$B$31+'Inputs'!$B$32,'Inputs'!$B$30+'Inputs'!$B$31+'Inputs'!$B$32)/1000+'Inputs'!$B$21+'Inputs'!$B$7+'Inputs'!$B$10)+'Inputs'!$B$9)^2+('Inputs'!$B$8/2)^2)-(((892-43)*MAX('Inputs'!$B$33,'Inputs'!$B$29+'Inputs'!$B$31+'Inputs'!$B$32,'Inputs'!$B$30+'Inputs'!$B$31+'Inputs'!$B$32)/1000+'Inputs'!$B$21+'Inputs'!$B$7+'Inputs'!$B$10))/SQRT((((892-43)*MAX('Inputs'!$B$33,'Inputs'!$B$29+'Inputs'!$B$31+'Inputs'!$B$32,'Inputs'!$B$30+'Inputs'!$B$31+'Inputs'!$B$32)/1000+'Inputs'!$B$21+'Inputs'!$B$7+'Inputs'!$B$10))^2+('Inputs'!$B$8/2)^2))))*'Results'!$B$8)-'Inputs'!$B$28*ABS((('Results'!B7*(1-'Inputs'!$B$24)*(0.5*((((892-43)*MAX('Inputs'!$B$33,'Inputs'!$B$29+'Inputs'!$B$31+'Inputs'!$B$32,'Inputs'!$B$30+'Inputs'!$B$31+'Inputs'!$B$32)/1000+'Inputs'!$B$21)+'Inputs'!$B$7)/SQRT((((892-43)*MAX('Inputs'!$B$33,'Inputs'!$B$29+'Inputs'!$B$31+'Inputs'!$B$32,'Inputs'!$B$30+'Inputs'!$B$31+'Inputs'!$B$32)/1000+'Inputs'!$B$21)+'Inputs'!$B$7)^2+('Inputs'!$B$6/2)^2)-(((892-43)*MAX('Inputs'!$B$33,'Inputs'!$B$29+'Inputs'!$B$31+'Inputs'!$B$32,'Inputs'!$B$30+'Inputs'!$B$31+'Inputs'!$B$32)/1000+'Inputs'!$B$21))/SQRT((((892-43)*MAX('Inputs'!$B$33,'Inputs'!$B$29+'Inputs'!$B$31+'Inputs'!$B$32,'Inputs'!$B$30+'Inputs'!$B$31+'Inputs'!$B$32)/1000+'Inputs'!$B$21))^2+('Inputs'!$B$6/2)^2)))-'Results'!C7*(1+'Inputs'!$B$24)*(0.5*((((892-43)*MAX('Inputs'!$B$33,'Inputs'!$B$29+'Inputs'!$B$31+'Inputs'!$B$32,'Inputs'!$B$30+'Inputs'!$B$31+'Inputs'!$B$32)/1000+'Inputs'!$B$21+'Inputs'!$B$7+'Inputs'!$B$10)+'Inputs'!$B$9)/SQRT((((892-43)*MAX('Inputs'!$B$33,'Inputs'!$B$29+'Inputs'!$B$31+'Inputs'!$B$32,'Inputs'!$B$30+'Inputs'!$B$31+'Inputs'!$B$32)/1000+'Inputs'!$B$21+'Inputs'!$B$7+'Inputs'!$B$10)+'Inputs'!$B$9)^2+('Inputs'!$B$8/2)^2)-(((892-43)*MAX('Inputs'!$B$33,'Inputs'!$B$29+'Inputs'!$B$31+'Inputs'!$B$32,'Inputs'!$B$30+'Inputs'!$B$31+'Inputs'!$B$32)/1000+'Inputs'!$B$21+'Inputs'!$B$7+'Inputs'!$B$10))/SQRT((((892-43)*MAX('Inputs'!$B$33,'Inputs'!$B$29+'Inputs'!$B$31+'Inputs'!$B$32,'Inputs'!$B$30+'Inputs'!$B$31+'Inputs'!$B$32)/1000+'Inputs'!$B$21+'Inputs'!$B$7+'Inputs'!$B$10))^2+('Inputs'!$B$8/2)^2))))*'Results'!$B$8))),"")</x:f>
        <x:v>0.5510034945212384</x:v>
      </x:c>
      <x:c r="L892" t="n">
        <x:f>IF(AND(ISNUMBER('Results'!B7),ISNUMBER('Results'!C7),ISNUMBER('Results'!$B$8),ISNUMBER('Inputs'!$B$6),ISNUMBER('Inputs'!$B$7),ISNUMBER('Inputs'!$B$8),ISNUMBER('Inputs'!$B$9),ISNUMBER('Inputs'!$B$10),ISNUMBER('Inputs'!$B$21),ISNUMBER('Inputs'!$B$24),ISNUMBER('Inputs'!$B$28)),((('Results'!B7*(1+'Inputs'!$B$24)*(0.5*((((892-43)*MAX('Inputs'!$B$33,'Inputs'!$B$29+'Inputs'!$B$31+'Inputs'!$B$32,'Inputs'!$B$30+'Inputs'!$B$31+'Inputs'!$B$32)/1000+'Inputs'!$B$21)+'Inputs'!$B$7)/SQRT((((892-43)*MAX('Inputs'!$B$33,'Inputs'!$B$29+'Inputs'!$B$31+'Inputs'!$B$32,'Inputs'!$B$30+'Inputs'!$B$31+'Inputs'!$B$32)/1000+'Inputs'!$B$21)+'Inputs'!$B$7)^2+('Inputs'!$B$6/2)^2)-(((892-43)*MAX('Inputs'!$B$33,'Inputs'!$B$29+'Inputs'!$B$31+'Inputs'!$B$32,'Inputs'!$B$30+'Inputs'!$B$31+'Inputs'!$B$32)/1000+'Inputs'!$B$21))/SQRT((((892-43)*MAX('Inputs'!$B$33,'Inputs'!$B$29+'Inputs'!$B$31+'Inputs'!$B$32,'Inputs'!$B$30+'Inputs'!$B$31+'Inputs'!$B$32)/1000+'Inputs'!$B$21))^2+('Inputs'!$B$6/2)^2)))-'Results'!C7*(1-'Inputs'!$B$24)*(0.5*((((892-43)*MAX('Inputs'!$B$33,'Inputs'!$B$29+'Inputs'!$B$31+'Inputs'!$B$32,'Inputs'!$B$30+'Inputs'!$B$31+'Inputs'!$B$32)/1000+'Inputs'!$B$21+'Inputs'!$B$7+'Inputs'!$B$10)+'Inputs'!$B$9)/SQRT((((892-43)*MAX('Inputs'!$B$33,'Inputs'!$B$29+'Inputs'!$B$31+'Inputs'!$B$32,'Inputs'!$B$30+'Inputs'!$B$31+'Inputs'!$B$32)/1000+'Inputs'!$B$21+'Inputs'!$B$7+'Inputs'!$B$10)+'Inputs'!$B$9)^2+('Inputs'!$B$8/2)^2)-(((892-43)*MAX('Inputs'!$B$33,'Inputs'!$B$29+'Inputs'!$B$31+'Inputs'!$B$32,'Inputs'!$B$30+'Inputs'!$B$31+'Inputs'!$B$32)/1000+'Inputs'!$B$21+'Inputs'!$B$7+'Inputs'!$B$10))/SQRT((((892-43)*MAX('Inputs'!$B$33,'Inputs'!$B$29+'Inputs'!$B$31+'Inputs'!$B$32,'Inputs'!$B$30+'Inputs'!$B$31+'Inputs'!$B$32)/1000+'Inputs'!$B$21+'Inputs'!$B$7+'Inputs'!$B$10))^2+('Inputs'!$B$8/2)^2))))*'Results'!$B$8)+'Inputs'!$B$28*ABS((('Results'!B7*(1+'Inputs'!$B$24)*(0.5*((((892-43)*MAX('Inputs'!$B$33,'Inputs'!$B$29+'Inputs'!$B$31+'Inputs'!$B$32,'Inputs'!$B$30+'Inputs'!$B$31+'Inputs'!$B$32)/1000+'Inputs'!$B$21)+'Inputs'!$B$7)/SQRT((((892-43)*MAX('Inputs'!$B$33,'Inputs'!$B$29+'Inputs'!$B$31+'Inputs'!$B$32,'Inputs'!$B$30+'Inputs'!$B$31+'Inputs'!$B$32)/1000+'Inputs'!$B$21)+'Inputs'!$B$7)^2+('Inputs'!$B$6/2)^2)-(((892-43)*MAX('Inputs'!$B$33,'Inputs'!$B$29+'Inputs'!$B$31+'Inputs'!$B$32,'Inputs'!$B$30+'Inputs'!$B$31+'Inputs'!$B$32)/1000+'Inputs'!$B$21))/SQRT((((892-43)*MAX('Inputs'!$B$33,'Inputs'!$B$29+'Inputs'!$B$31+'Inputs'!$B$32,'Inputs'!$B$30+'Inputs'!$B$31+'Inputs'!$B$32)/1000+'Inputs'!$B$21))^2+('Inputs'!$B$6/2)^2)))-'Results'!C7*(1-'Inputs'!$B$24)*(0.5*((((892-43)*MAX('Inputs'!$B$33,'Inputs'!$B$29+'Inputs'!$B$31+'Inputs'!$B$32,'Inputs'!$B$30+'Inputs'!$B$31+'Inputs'!$B$32)/1000+'Inputs'!$B$21+'Inputs'!$B$7+'Inputs'!$B$10)+'Inputs'!$B$9)/SQRT((((892-43)*MAX('Inputs'!$B$33,'Inputs'!$B$29+'Inputs'!$B$31+'Inputs'!$B$32,'Inputs'!$B$30+'Inputs'!$B$31+'Inputs'!$B$32)/1000+'Inputs'!$B$21+'Inputs'!$B$7+'Inputs'!$B$10)+'Inputs'!$B$9)^2+('Inputs'!$B$8/2)^2)-(((892-43)*MAX('Inputs'!$B$33,'Inputs'!$B$29+'Inputs'!$B$31+'Inputs'!$B$32,'Inputs'!$B$30+'Inputs'!$B$31+'Inputs'!$B$32)/1000+'Inputs'!$B$21+'Inputs'!$B$7+'Inputs'!$B$10))/SQRT((((892-43)*MAX('Inputs'!$B$33,'Inputs'!$B$29+'Inputs'!$B$31+'Inputs'!$B$32,'Inputs'!$B$30+'Inputs'!$B$31+'Inputs'!$B$32)/1000+'Inputs'!$B$21+'Inputs'!$B$7+'Inputs'!$B$10))^2+('Inputs'!$B$8/2)^2))))*'Results'!$B$8))),"")</x:f>
        <x:v>0.7503052152293772</x:v>
      </x:c>
      <x:c r="M892" t="n">
        <x:f>IF(AND(ISNUMBER('Results'!C7),ISNUMBER('Results'!B7),ISNUMBER('Results'!$B$8),ISNUMBER('Inputs'!$B$6),ISNUMBER('Inputs'!$B$7),ISNUMBER('Inputs'!$B$8),ISNUMBER('Inputs'!$B$9),ISNUMBER('Inputs'!$B$10),ISNUMBER('Inputs'!$B$21),ISNUMBER('Inputs'!$B$24),ISNUMBER('Inputs'!$B$28)),(('Results'!C7*(0.5*((((892-43)*MAX('Inputs'!$B$33,'Inputs'!$B$29+'Inputs'!$B$31+'Inputs'!$B$32,'Inputs'!$B$30+'Inputs'!$B$31+'Inputs'!$B$32)/1000+'Inputs'!$B$21)+'Inputs'!$B$9)/SQRT((((892-43)*MAX('Inputs'!$B$33,'Inputs'!$B$29+'Inputs'!$B$31+'Inputs'!$B$32,'Inputs'!$B$30+'Inputs'!$B$31+'Inputs'!$B$32)/1000+'Inputs'!$B$21)+'Inputs'!$B$9)^2+('Inputs'!$B$8/2)^2)-(((892-43)*MAX('Inputs'!$B$33,'Inputs'!$B$29+'Inputs'!$B$31+'Inputs'!$B$32,'Inputs'!$B$30+'Inputs'!$B$31+'Inputs'!$B$32)/1000+'Inputs'!$B$21))/SQRT((((892-43)*MAX('Inputs'!$B$33,'Inputs'!$B$29+'Inputs'!$B$31+'Inputs'!$B$32,'Inputs'!$B$30+'Inputs'!$B$31+'Inputs'!$B$32)/1000+'Inputs'!$B$21))^2+('Inputs'!$B$8/2)^2)))-'Results'!B7*(0.5*((((892-43)*MAX('Inputs'!$B$33,'Inputs'!$B$29+'Inputs'!$B$31+'Inputs'!$B$32,'Inputs'!$B$30+'Inputs'!$B$31+'Inputs'!$B$32)/1000+'Inputs'!$B$21+'Inputs'!$B$9+'Inputs'!$B$10)+'Inputs'!$B$7)/SQRT((((892-43)*MAX('Inputs'!$B$33,'Inputs'!$B$29+'Inputs'!$B$31+'Inputs'!$B$32,'Inputs'!$B$30+'Inputs'!$B$31+'Inputs'!$B$32)/1000+'Inputs'!$B$21+'Inputs'!$B$9+'Inputs'!$B$10)+'Inputs'!$B$7)^2+('Inputs'!$B$6/2)^2)-(((892-43)*MAX('Inputs'!$B$33,'Inputs'!$B$29+'Inputs'!$B$31+'Inputs'!$B$32,'Inputs'!$B$30+'Inputs'!$B$31+'Inputs'!$B$32)/1000+'Inputs'!$B$21+'Inputs'!$B$9+'Inputs'!$B$10))/SQRT((((892-43)*MAX('Inputs'!$B$33,'Inputs'!$B$29+'Inputs'!$B$31+'Inputs'!$B$32,'Inputs'!$B$30+'Inputs'!$B$31+'Inputs'!$B$32)/1000+'Inputs'!$B$21+'Inputs'!$B$9+'Inputs'!$B$10))^2+('Inputs'!$B$6/2)^2))))*'Results'!$B$8),"")</x:f>
        <x:v>0.5794491829559848</x:v>
      </x:c>
      <x:c r="N892" t="n">
        <x:f>IF(AND(ISNUMBER('Results'!C7),ISNUMBER('Results'!B7),ISNUMBER('Results'!$B$8),ISNUMBER('Inputs'!$B$6),ISNUMBER('Inputs'!$B$7),ISNUMBER('Inputs'!$B$8),ISNUMBER('Inputs'!$B$9),ISNUMBER('Inputs'!$B$10),ISNUMBER('Inputs'!$B$21),ISNUMBER('Inputs'!$B$24),ISNUMBER('Inputs'!$B$28)),((('Results'!C7*(1-'Inputs'!$B$24)*(0.5*((((892-43)*MAX('Inputs'!$B$33,'Inputs'!$B$29+'Inputs'!$B$31+'Inputs'!$B$32,'Inputs'!$B$30+'Inputs'!$B$31+'Inputs'!$B$32)/1000+'Inputs'!$B$21)+'Inputs'!$B$9)/SQRT((((892-43)*MAX('Inputs'!$B$33,'Inputs'!$B$29+'Inputs'!$B$31+'Inputs'!$B$32,'Inputs'!$B$30+'Inputs'!$B$31+'Inputs'!$B$32)/1000+'Inputs'!$B$21)+'Inputs'!$B$9)^2+('Inputs'!$B$8/2)^2)-(((892-43)*MAX('Inputs'!$B$33,'Inputs'!$B$29+'Inputs'!$B$31+'Inputs'!$B$32,'Inputs'!$B$30+'Inputs'!$B$31+'Inputs'!$B$32)/1000+'Inputs'!$B$21))/SQRT((((892-43)*MAX('Inputs'!$B$33,'Inputs'!$B$29+'Inputs'!$B$31+'Inputs'!$B$32,'Inputs'!$B$30+'Inputs'!$B$31+'Inputs'!$B$32)/1000+'Inputs'!$B$21))^2+('Inputs'!$B$8/2)^2)))-'Results'!B7*(1+'Inputs'!$B$24)*(0.5*((((892-43)*MAX('Inputs'!$B$33,'Inputs'!$B$29+'Inputs'!$B$31+'Inputs'!$B$32,'Inputs'!$B$30+'Inputs'!$B$31+'Inputs'!$B$32)/1000+'Inputs'!$B$21+'Inputs'!$B$9+'Inputs'!$B$10)+'Inputs'!$B$7)/SQRT((((892-43)*MAX('Inputs'!$B$33,'Inputs'!$B$29+'Inputs'!$B$31+'Inputs'!$B$32,'Inputs'!$B$30+'Inputs'!$B$31+'Inputs'!$B$32)/1000+'Inputs'!$B$21+'Inputs'!$B$9+'Inputs'!$B$10)+'Inputs'!$B$7)^2+('Inputs'!$B$6/2)^2)-(((892-43)*MAX('Inputs'!$B$33,'Inputs'!$B$29+'Inputs'!$B$31+'Inputs'!$B$32,'Inputs'!$B$30+'Inputs'!$B$31+'Inputs'!$B$32)/1000+'Inputs'!$B$21+'Inputs'!$B$9+'Inputs'!$B$10))/SQRT((((892-43)*MAX('Inputs'!$B$33,'Inputs'!$B$29+'Inputs'!$B$31+'Inputs'!$B$32,'Inputs'!$B$30+'Inputs'!$B$31+'Inputs'!$B$32)/1000+'Inputs'!$B$21+'Inputs'!$B$9+'Inputs'!$B$10))^2+('Inputs'!$B$6/2)^2))))*'Results'!$B$8)-'Inputs'!$B$28*ABS((('Results'!C7*(1-'Inputs'!$B$24)*(0.5*((((892-43)*MAX('Inputs'!$B$33,'Inputs'!$B$29+'Inputs'!$B$31+'Inputs'!$B$32,'Inputs'!$B$30+'Inputs'!$B$31+'Inputs'!$B$32)/1000+'Inputs'!$B$21)+'Inputs'!$B$9)/SQRT((((892-43)*MAX('Inputs'!$B$33,'Inputs'!$B$29+'Inputs'!$B$31+'Inputs'!$B$32,'Inputs'!$B$30+'Inputs'!$B$31+'Inputs'!$B$32)/1000+'Inputs'!$B$21)+'Inputs'!$B$9)^2+('Inputs'!$B$8/2)^2)-(((892-43)*MAX('Inputs'!$B$33,'Inputs'!$B$29+'Inputs'!$B$31+'Inputs'!$B$32,'Inputs'!$B$30+'Inputs'!$B$31+'Inputs'!$B$32)/1000+'Inputs'!$B$21))/SQRT((((892-43)*MAX('Inputs'!$B$33,'Inputs'!$B$29+'Inputs'!$B$31+'Inputs'!$B$32,'Inputs'!$B$30+'Inputs'!$B$31+'Inputs'!$B$32)/1000+'Inputs'!$B$21))^2+('Inputs'!$B$8/2)^2)))-'Results'!B7*(1+'Inputs'!$B$24)*(0.5*((((892-43)*MAX('Inputs'!$B$33,'Inputs'!$B$29+'Inputs'!$B$31+'Inputs'!$B$32,'Inputs'!$B$30+'Inputs'!$B$31+'Inputs'!$B$32)/1000+'Inputs'!$B$21+'Inputs'!$B$9+'Inputs'!$B$10)+'Inputs'!$B$7)/SQRT((((892-43)*MAX('Inputs'!$B$33,'Inputs'!$B$29+'Inputs'!$B$31+'Inputs'!$B$32,'Inputs'!$B$30+'Inputs'!$B$31+'Inputs'!$B$32)/1000+'Inputs'!$B$21+'Inputs'!$B$9+'Inputs'!$B$10)+'Inputs'!$B$7)^2+('Inputs'!$B$6/2)^2)-(((892-43)*MAX('Inputs'!$B$33,'Inputs'!$B$29+'Inputs'!$B$31+'Inputs'!$B$32,'Inputs'!$B$30+'Inputs'!$B$31+'Inputs'!$B$32)/1000+'Inputs'!$B$21+'Inputs'!$B$9+'Inputs'!$B$10))/SQRT((((892-43)*MAX('Inputs'!$B$33,'Inputs'!$B$29+'Inputs'!$B$31+'Inputs'!$B$32,'Inputs'!$B$30+'Inputs'!$B$31+'Inputs'!$B$32)/1000+'Inputs'!$B$21+'Inputs'!$B$9+'Inputs'!$B$10))^2+('Inputs'!$B$6/2)^2))))*'Results'!$B$8))),"")</x:f>
        <x:v>0.4867901180267233</x:v>
      </x:c>
      <x:c r="O892" t="n">
        <x:f>IF(AND(ISNUMBER('Results'!C7),ISNUMBER('Results'!B7),ISNUMBER('Results'!$B$8),ISNUMBER('Inputs'!$B$6),ISNUMBER('Inputs'!$B$7),ISNUMBER('Inputs'!$B$8),ISNUMBER('Inputs'!$B$9),ISNUMBER('Inputs'!$B$10),ISNUMBER('Inputs'!$B$21),ISNUMBER('Inputs'!$B$24),ISNUMBER('Inputs'!$B$28)),((('Results'!C7*(1+'Inputs'!$B$24)*(0.5*((((892-43)*MAX('Inputs'!$B$33,'Inputs'!$B$29+'Inputs'!$B$31+'Inputs'!$B$32,'Inputs'!$B$30+'Inputs'!$B$31+'Inputs'!$B$32)/1000+'Inputs'!$B$21)+'Inputs'!$B$9)/SQRT((((892-43)*MAX('Inputs'!$B$33,'Inputs'!$B$29+'Inputs'!$B$31+'Inputs'!$B$32,'Inputs'!$B$30+'Inputs'!$B$31+'Inputs'!$B$32)/1000+'Inputs'!$B$21)+'Inputs'!$B$9)^2+('Inputs'!$B$8/2)^2)-(((892-43)*MAX('Inputs'!$B$33,'Inputs'!$B$29+'Inputs'!$B$31+'Inputs'!$B$32,'Inputs'!$B$30+'Inputs'!$B$31+'Inputs'!$B$32)/1000+'Inputs'!$B$21))/SQRT((((892-43)*MAX('Inputs'!$B$33,'Inputs'!$B$29+'Inputs'!$B$31+'Inputs'!$B$32,'Inputs'!$B$30+'Inputs'!$B$31+'Inputs'!$B$32)/1000+'Inputs'!$B$21))^2+('Inputs'!$B$8/2)^2)))-'Results'!B7*(1-'Inputs'!$B$24)*(0.5*((((892-43)*MAX('Inputs'!$B$33,'Inputs'!$B$29+'Inputs'!$B$31+'Inputs'!$B$32,'Inputs'!$B$30+'Inputs'!$B$31+'Inputs'!$B$32)/1000+'Inputs'!$B$21+'Inputs'!$B$9+'Inputs'!$B$10)+'Inputs'!$B$7)/SQRT((((892-43)*MAX('Inputs'!$B$33,'Inputs'!$B$29+'Inputs'!$B$31+'Inputs'!$B$32,'Inputs'!$B$30+'Inputs'!$B$31+'Inputs'!$B$32)/1000+'Inputs'!$B$21+'Inputs'!$B$9+'Inputs'!$B$10)+'Inputs'!$B$7)^2+('Inputs'!$B$6/2)^2)-(((892-43)*MAX('Inputs'!$B$33,'Inputs'!$B$29+'Inputs'!$B$31+'Inputs'!$B$32,'Inputs'!$B$30+'Inputs'!$B$31+'Inputs'!$B$32)/1000+'Inputs'!$B$21+'Inputs'!$B$9+'Inputs'!$B$10))/SQRT((((892-43)*MAX('Inputs'!$B$33,'Inputs'!$B$29+'Inputs'!$B$31+'Inputs'!$B$32,'Inputs'!$B$30+'Inputs'!$B$31+'Inputs'!$B$32)/1000+'Inputs'!$B$21+'Inputs'!$B$9+'Inputs'!$B$10))^2+('Inputs'!$B$6/2)^2))))*'Results'!$B$8)+'Inputs'!$B$28*ABS((('Results'!C7*(1+'Inputs'!$B$24)*(0.5*((((892-43)*MAX('Inputs'!$B$33,'Inputs'!$B$29+'Inputs'!$B$31+'Inputs'!$B$32,'Inputs'!$B$30+'Inputs'!$B$31+'Inputs'!$B$32)/1000+'Inputs'!$B$21)+'Inputs'!$B$9)/SQRT((((892-43)*MAX('Inputs'!$B$33,'Inputs'!$B$29+'Inputs'!$B$31+'Inputs'!$B$32,'Inputs'!$B$30+'Inputs'!$B$31+'Inputs'!$B$32)/1000+'Inputs'!$B$21)+'Inputs'!$B$9)^2+('Inputs'!$B$8/2)^2)-(((892-43)*MAX('Inputs'!$B$33,'Inputs'!$B$29+'Inputs'!$B$31+'Inputs'!$B$32,'Inputs'!$B$30+'Inputs'!$B$31+'Inputs'!$B$32)/1000+'Inputs'!$B$21))/SQRT((((892-43)*MAX('Inputs'!$B$33,'Inputs'!$B$29+'Inputs'!$B$31+'Inputs'!$B$32,'Inputs'!$B$30+'Inputs'!$B$31+'Inputs'!$B$32)/1000+'Inputs'!$B$21))^2+('Inputs'!$B$8/2)^2)))-'Results'!B7*(1-'Inputs'!$B$24)*(0.5*((((892-43)*MAX('Inputs'!$B$33,'Inputs'!$B$29+'Inputs'!$B$31+'Inputs'!$B$32,'Inputs'!$B$30+'Inputs'!$B$31+'Inputs'!$B$32)/1000+'Inputs'!$B$21+'Inputs'!$B$9+'Inputs'!$B$10)+'Inputs'!$B$7)/SQRT((((892-43)*MAX('Inputs'!$B$33,'Inputs'!$B$29+'Inputs'!$B$31+'Inputs'!$B$32,'Inputs'!$B$30+'Inputs'!$B$31+'Inputs'!$B$32)/1000+'Inputs'!$B$21+'Inputs'!$B$9+'Inputs'!$B$10)+'Inputs'!$B$7)^2+('Inputs'!$B$6/2)^2)-(((892-43)*MAX('Inputs'!$B$33,'Inputs'!$B$29+'Inputs'!$B$31+'Inputs'!$B$32,'Inputs'!$B$30+'Inputs'!$B$31+'Inputs'!$B$32)/1000+'Inputs'!$B$21+'Inputs'!$B$9+'Inputs'!$B$10))/SQRT((((892-43)*MAX('Inputs'!$B$33,'Inputs'!$B$29+'Inputs'!$B$31+'Inputs'!$B$32,'Inputs'!$B$30+'Inputs'!$B$31+'Inputs'!$B$32)/1000+'Inputs'!$B$21+'Inputs'!$B$9+'Inputs'!$B$10))^2+('Inputs'!$B$6/2)^2))))*'Results'!$B$8))),"")</x:f>
        <x:v>0.6788121011253998</x:v>
      </x:c>
      <x:c r="P892" t="n">
        <x:f>IF(AND(MAX(J892,J891)&gt;0,J892&gt;J891+0.00000001),1,0)</x:f>
        <x:v>0</x:v>
      </x:c>
      <x:c r="Q892" t="n">
        <x:f>IF(AND(MAX(K892,K891)&gt;0,K892&gt;K891+0.00000001),1,0)</x:f>
        <x:v>0</x:v>
      </x:c>
      <x:c r="R892" t="n">
        <x:f>IF(AND(MAX(L892,L891)&gt;0,L892&gt;L891+0.00000001),1,0)</x:f>
        <x:v>0</x:v>
      </x:c>
      <x:c r="S892" t="n">
        <x:f>IF(AND(MAX(M892,M891)&gt;0,M892&gt;M891+0.00000001),1,0)</x:f>
        <x:v>0</x:v>
      </x:c>
      <x:c r="T892" t="n">
        <x:f>IF(AND(MAX(N892,N891)&gt;0,N892&gt;N891+0.00000001),1,0)</x:f>
        <x:v>0</x:v>
      </x:c>
      <x:c r="U892" t="n">
        <x:f>IF(AND(MAX(O892,O891)&gt;0,O892&gt;O891+0.00000001),1,0)</x:f>
        <x:v>0</x:v>
      </x:c>
    </x:row>
    <x:row r="893">
      <x:c r="J893" t="n">
        <x:f>IF(AND(ISNUMBER('Results'!B7),ISNUMBER('Results'!C7),ISNUMBER('Results'!$B$8),ISNUMBER('Inputs'!$B$6),ISNUMBER('Inputs'!$B$7),ISNUMBER('Inputs'!$B$8),ISNUMBER('Inputs'!$B$9),ISNUMBER('Inputs'!$B$10),ISNUMBER('Inputs'!$B$21),ISNUMBER('Inputs'!$B$24),ISNUMBER('Inputs'!$B$28)),(('Results'!B7*(0.5*((((893-43)*MAX('Inputs'!$B$33,'Inputs'!$B$29+'Inputs'!$B$31+'Inputs'!$B$32,'Inputs'!$B$30+'Inputs'!$B$31+'Inputs'!$B$32)/1000+'Inputs'!$B$21)+'Inputs'!$B$7)/SQRT((((893-43)*MAX('Inputs'!$B$33,'Inputs'!$B$29+'Inputs'!$B$31+'Inputs'!$B$32,'Inputs'!$B$30+'Inputs'!$B$31+'Inputs'!$B$32)/1000+'Inputs'!$B$21)+'Inputs'!$B$7)^2+('Inputs'!$B$6/2)^2)-(((893-43)*MAX('Inputs'!$B$33,'Inputs'!$B$29+'Inputs'!$B$31+'Inputs'!$B$32,'Inputs'!$B$30+'Inputs'!$B$31+'Inputs'!$B$32)/1000+'Inputs'!$B$21))/SQRT((((893-43)*MAX('Inputs'!$B$33,'Inputs'!$B$29+'Inputs'!$B$31+'Inputs'!$B$32,'Inputs'!$B$30+'Inputs'!$B$31+'Inputs'!$B$32)/1000+'Inputs'!$B$21))^2+('Inputs'!$B$6/2)^2)))-'Results'!C7*(0.5*((((893-43)*MAX('Inputs'!$B$33,'Inputs'!$B$29+'Inputs'!$B$31+'Inputs'!$B$32,'Inputs'!$B$30+'Inputs'!$B$31+'Inputs'!$B$32)/1000+'Inputs'!$B$21+'Inputs'!$B$7+'Inputs'!$B$10)+'Inputs'!$B$9)/SQRT((((893-43)*MAX('Inputs'!$B$33,'Inputs'!$B$29+'Inputs'!$B$31+'Inputs'!$B$32,'Inputs'!$B$30+'Inputs'!$B$31+'Inputs'!$B$32)/1000+'Inputs'!$B$21+'Inputs'!$B$7+'Inputs'!$B$10)+'Inputs'!$B$9)^2+('Inputs'!$B$8/2)^2)-(((893-43)*MAX('Inputs'!$B$33,'Inputs'!$B$29+'Inputs'!$B$31+'Inputs'!$B$32,'Inputs'!$B$30+'Inputs'!$B$31+'Inputs'!$B$32)/1000+'Inputs'!$B$21+'Inputs'!$B$7+'Inputs'!$B$10))/SQRT((((893-43)*MAX('Inputs'!$B$33,'Inputs'!$B$29+'Inputs'!$B$31+'Inputs'!$B$32,'Inputs'!$B$30+'Inputs'!$B$31+'Inputs'!$B$32)/1000+'Inputs'!$B$21+'Inputs'!$B$7+'Inputs'!$B$10))^2+('Inputs'!$B$8/2)^2))))*'Results'!$B$8),"")</x:f>
        <x:v>0.6445434463263512</x:v>
      </x:c>
      <x:c r="K893" t="n">
        <x:f>IF(AND(ISNUMBER('Results'!B7),ISNUMBER('Results'!C7),ISNUMBER('Results'!$B$8),ISNUMBER('Inputs'!$B$6),ISNUMBER('Inputs'!$B$7),ISNUMBER('Inputs'!$B$8),ISNUMBER('Inputs'!$B$9),ISNUMBER('Inputs'!$B$10),ISNUMBER('Inputs'!$B$21),ISNUMBER('Inputs'!$B$24),ISNUMBER('Inputs'!$B$28)),((('Results'!B7*(1-'Inputs'!$B$24)*(0.5*((((893-43)*MAX('Inputs'!$B$33,'Inputs'!$B$29+'Inputs'!$B$31+'Inputs'!$B$32,'Inputs'!$B$30+'Inputs'!$B$31+'Inputs'!$B$32)/1000+'Inputs'!$B$21)+'Inputs'!$B$7)/SQRT((((893-43)*MAX('Inputs'!$B$33,'Inputs'!$B$29+'Inputs'!$B$31+'Inputs'!$B$32,'Inputs'!$B$30+'Inputs'!$B$31+'Inputs'!$B$32)/1000+'Inputs'!$B$21)+'Inputs'!$B$7)^2+('Inputs'!$B$6/2)^2)-(((893-43)*MAX('Inputs'!$B$33,'Inputs'!$B$29+'Inputs'!$B$31+'Inputs'!$B$32,'Inputs'!$B$30+'Inputs'!$B$31+'Inputs'!$B$32)/1000+'Inputs'!$B$21))/SQRT((((893-43)*MAX('Inputs'!$B$33,'Inputs'!$B$29+'Inputs'!$B$31+'Inputs'!$B$32,'Inputs'!$B$30+'Inputs'!$B$31+'Inputs'!$B$32)/1000+'Inputs'!$B$21))^2+('Inputs'!$B$6/2)^2)))-'Results'!C7*(1+'Inputs'!$B$24)*(0.5*((((893-43)*MAX('Inputs'!$B$33,'Inputs'!$B$29+'Inputs'!$B$31+'Inputs'!$B$32,'Inputs'!$B$30+'Inputs'!$B$31+'Inputs'!$B$32)/1000+'Inputs'!$B$21+'Inputs'!$B$7+'Inputs'!$B$10)+'Inputs'!$B$9)/SQRT((((893-43)*MAX('Inputs'!$B$33,'Inputs'!$B$29+'Inputs'!$B$31+'Inputs'!$B$32,'Inputs'!$B$30+'Inputs'!$B$31+'Inputs'!$B$32)/1000+'Inputs'!$B$21+'Inputs'!$B$7+'Inputs'!$B$10)+'Inputs'!$B$9)^2+('Inputs'!$B$8/2)^2)-(((893-43)*MAX('Inputs'!$B$33,'Inputs'!$B$29+'Inputs'!$B$31+'Inputs'!$B$32,'Inputs'!$B$30+'Inputs'!$B$31+'Inputs'!$B$32)/1000+'Inputs'!$B$21+'Inputs'!$B$7+'Inputs'!$B$10))/SQRT((((893-43)*MAX('Inputs'!$B$33,'Inputs'!$B$29+'Inputs'!$B$31+'Inputs'!$B$32,'Inputs'!$B$30+'Inputs'!$B$31+'Inputs'!$B$32)/1000+'Inputs'!$B$21+'Inputs'!$B$7+'Inputs'!$B$10))^2+('Inputs'!$B$8/2)^2))))*'Results'!$B$8)-'Inputs'!$B$28*ABS((('Results'!B7*(1-'Inputs'!$B$24)*(0.5*((((893-43)*MAX('Inputs'!$B$33,'Inputs'!$B$29+'Inputs'!$B$31+'Inputs'!$B$32,'Inputs'!$B$30+'Inputs'!$B$31+'Inputs'!$B$32)/1000+'Inputs'!$B$21)+'Inputs'!$B$7)/SQRT((((893-43)*MAX('Inputs'!$B$33,'Inputs'!$B$29+'Inputs'!$B$31+'Inputs'!$B$32,'Inputs'!$B$30+'Inputs'!$B$31+'Inputs'!$B$32)/1000+'Inputs'!$B$21)+'Inputs'!$B$7)^2+('Inputs'!$B$6/2)^2)-(((893-43)*MAX('Inputs'!$B$33,'Inputs'!$B$29+'Inputs'!$B$31+'Inputs'!$B$32,'Inputs'!$B$30+'Inputs'!$B$31+'Inputs'!$B$32)/1000+'Inputs'!$B$21))/SQRT((((893-43)*MAX('Inputs'!$B$33,'Inputs'!$B$29+'Inputs'!$B$31+'Inputs'!$B$32,'Inputs'!$B$30+'Inputs'!$B$31+'Inputs'!$B$32)/1000+'Inputs'!$B$21))^2+('Inputs'!$B$6/2)^2)))-'Results'!C7*(1+'Inputs'!$B$24)*(0.5*((((893-43)*MAX('Inputs'!$B$33,'Inputs'!$B$29+'Inputs'!$B$31+'Inputs'!$B$32,'Inputs'!$B$30+'Inputs'!$B$31+'Inputs'!$B$32)/1000+'Inputs'!$B$21+'Inputs'!$B$7+'Inputs'!$B$10)+'Inputs'!$B$9)/SQRT((((893-43)*MAX('Inputs'!$B$33,'Inputs'!$B$29+'Inputs'!$B$31+'Inputs'!$B$32,'Inputs'!$B$30+'Inputs'!$B$31+'Inputs'!$B$32)/1000+'Inputs'!$B$21+'Inputs'!$B$7+'Inputs'!$B$10)+'Inputs'!$B$9)^2+('Inputs'!$B$8/2)^2)-(((893-43)*MAX('Inputs'!$B$33,'Inputs'!$B$29+'Inputs'!$B$31+'Inputs'!$B$32,'Inputs'!$B$30+'Inputs'!$B$31+'Inputs'!$B$32)/1000+'Inputs'!$B$21+'Inputs'!$B$7+'Inputs'!$B$10))/SQRT((((893-43)*MAX('Inputs'!$B$33,'Inputs'!$B$29+'Inputs'!$B$31+'Inputs'!$B$32,'Inputs'!$B$30+'Inputs'!$B$31+'Inputs'!$B$32)/1000+'Inputs'!$B$21+'Inputs'!$B$7+'Inputs'!$B$10))^2+('Inputs'!$B$8/2)^2))))*'Results'!$B$8))),"")</x:f>
        <x:v>0.5486026311522867</x:v>
      </x:c>
      <x:c r="L893" t="n">
        <x:f>IF(AND(ISNUMBER('Results'!B7),ISNUMBER('Results'!C7),ISNUMBER('Results'!$B$8),ISNUMBER('Inputs'!$B$6),ISNUMBER('Inputs'!$B$7),ISNUMBER('Inputs'!$B$8),ISNUMBER('Inputs'!$B$9),ISNUMBER('Inputs'!$B$10),ISNUMBER('Inputs'!$B$21),ISNUMBER('Inputs'!$B$24),ISNUMBER('Inputs'!$B$28)),((('Results'!B7*(1+'Inputs'!$B$24)*(0.5*((((893-43)*MAX('Inputs'!$B$33,'Inputs'!$B$29+'Inputs'!$B$31+'Inputs'!$B$32,'Inputs'!$B$30+'Inputs'!$B$31+'Inputs'!$B$32)/1000+'Inputs'!$B$21)+'Inputs'!$B$7)/SQRT((((893-43)*MAX('Inputs'!$B$33,'Inputs'!$B$29+'Inputs'!$B$31+'Inputs'!$B$32,'Inputs'!$B$30+'Inputs'!$B$31+'Inputs'!$B$32)/1000+'Inputs'!$B$21)+'Inputs'!$B$7)^2+('Inputs'!$B$6/2)^2)-(((893-43)*MAX('Inputs'!$B$33,'Inputs'!$B$29+'Inputs'!$B$31+'Inputs'!$B$32,'Inputs'!$B$30+'Inputs'!$B$31+'Inputs'!$B$32)/1000+'Inputs'!$B$21))/SQRT((((893-43)*MAX('Inputs'!$B$33,'Inputs'!$B$29+'Inputs'!$B$31+'Inputs'!$B$32,'Inputs'!$B$30+'Inputs'!$B$31+'Inputs'!$B$32)/1000+'Inputs'!$B$21))^2+('Inputs'!$B$6/2)^2)))-'Results'!C7*(1-'Inputs'!$B$24)*(0.5*((((893-43)*MAX('Inputs'!$B$33,'Inputs'!$B$29+'Inputs'!$B$31+'Inputs'!$B$32,'Inputs'!$B$30+'Inputs'!$B$31+'Inputs'!$B$32)/1000+'Inputs'!$B$21+'Inputs'!$B$7+'Inputs'!$B$10)+'Inputs'!$B$9)/SQRT((((893-43)*MAX('Inputs'!$B$33,'Inputs'!$B$29+'Inputs'!$B$31+'Inputs'!$B$32,'Inputs'!$B$30+'Inputs'!$B$31+'Inputs'!$B$32)/1000+'Inputs'!$B$21+'Inputs'!$B$7+'Inputs'!$B$10)+'Inputs'!$B$9)^2+('Inputs'!$B$8/2)^2)-(((893-43)*MAX('Inputs'!$B$33,'Inputs'!$B$29+'Inputs'!$B$31+'Inputs'!$B$32,'Inputs'!$B$30+'Inputs'!$B$31+'Inputs'!$B$32)/1000+'Inputs'!$B$21+'Inputs'!$B$7+'Inputs'!$B$10))/SQRT((((893-43)*MAX('Inputs'!$B$33,'Inputs'!$B$29+'Inputs'!$B$31+'Inputs'!$B$32,'Inputs'!$B$30+'Inputs'!$B$31+'Inputs'!$B$32)/1000+'Inputs'!$B$21+'Inputs'!$B$7+'Inputs'!$B$10))^2+('Inputs'!$B$8/2)^2))))*'Results'!$B$8)+'Inputs'!$B$28*ABS((('Results'!B7*(1+'Inputs'!$B$24)*(0.5*((((893-43)*MAX('Inputs'!$B$33,'Inputs'!$B$29+'Inputs'!$B$31+'Inputs'!$B$32,'Inputs'!$B$30+'Inputs'!$B$31+'Inputs'!$B$32)/1000+'Inputs'!$B$21)+'Inputs'!$B$7)/SQRT((((893-43)*MAX('Inputs'!$B$33,'Inputs'!$B$29+'Inputs'!$B$31+'Inputs'!$B$32,'Inputs'!$B$30+'Inputs'!$B$31+'Inputs'!$B$32)/1000+'Inputs'!$B$21)+'Inputs'!$B$7)^2+('Inputs'!$B$6/2)^2)-(((893-43)*MAX('Inputs'!$B$33,'Inputs'!$B$29+'Inputs'!$B$31+'Inputs'!$B$32,'Inputs'!$B$30+'Inputs'!$B$31+'Inputs'!$B$32)/1000+'Inputs'!$B$21))/SQRT((((893-43)*MAX('Inputs'!$B$33,'Inputs'!$B$29+'Inputs'!$B$31+'Inputs'!$B$32,'Inputs'!$B$30+'Inputs'!$B$31+'Inputs'!$B$32)/1000+'Inputs'!$B$21))^2+('Inputs'!$B$6/2)^2)))-'Results'!C7*(1-'Inputs'!$B$24)*(0.5*((((893-43)*MAX('Inputs'!$B$33,'Inputs'!$B$29+'Inputs'!$B$31+'Inputs'!$B$32,'Inputs'!$B$30+'Inputs'!$B$31+'Inputs'!$B$32)/1000+'Inputs'!$B$21+'Inputs'!$B$7+'Inputs'!$B$10)+'Inputs'!$B$9)/SQRT((((893-43)*MAX('Inputs'!$B$33,'Inputs'!$B$29+'Inputs'!$B$31+'Inputs'!$B$32,'Inputs'!$B$30+'Inputs'!$B$31+'Inputs'!$B$32)/1000+'Inputs'!$B$21+'Inputs'!$B$7+'Inputs'!$B$10)+'Inputs'!$B$9)^2+('Inputs'!$B$8/2)^2)-(((893-43)*MAX('Inputs'!$B$33,'Inputs'!$B$29+'Inputs'!$B$31+'Inputs'!$B$32,'Inputs'!$B$30+'Inputs'!$B$31+'Inputs'!$B$32)/1000+'Inputs'!$B$21+'Inputs'!$B$7+'Inputs'!$B$10))/SQRT((((893-43)*MAX('Inputs'!$B$33,'Inputs'!$B$29+'Inputs'!$B$31+'Inputs'!$B$32,'Inputs'!$B$30+'Inputs'!$B$31+'Inputs'!$B$32)/1000+'Inputs'!$B$21+'Inputs'!$B$7+'Inputs'!$B$10))^2+('Inputs'!$B$8/2)^2))))*'Results'!$B$8))),"")</x:f>
        <x:v>0.7471909607486001</x:v>
      </x:c>
      <x:c r="M893" t="n">
        <x:f>IF(AND(ISNUMBER('Results'!C7),ISNUMBER('Results'!B7),ISNUMBER('Results'!$B$8),ISNUMBER('Inputs'!$B$6),ISNUMBER('Inputs'!$B$7),ISNUMBER('Inputs'!$B$8),ISNUMBER('Inputs'!$B$9),ISNUMBER('Inputs'!$B$10),ISNUMBER('Inputs'!$B$21),ISNUMBER('Inputs'!$B$24),ISNUMBER('Inputs'!$B$28)),(('Results'!C7*(0.5*((((893-43)*MAX('Inputs'!$B$33,'Inputs'!$B$29+'Inputs'!$B$31+'Inputs'!$B$32,'Inputs'!$B$30+'Inputs'!$B$31+'Inputs'!$B$32)/1000+'Inputs'!$B$21)+'Inputs'!$B$9)/SQRT((((893-43)*MAX('Inputs'!$B$33,'Inputs'!$B$29+'Inputs'!$B$31+'Inputs'!$B$32,'Inputs'!$B$30+'Inputs'!$B$31+'Inputs'!$B$32)/1000+'Inputs'!$B$21)+'Inputs'!$B$9)^2+('Inputs'!$B$8/2)^2)-(((893-43)*MAX('Inputs'!$B$33,'Inputs'!$B$29+'Inputs'!$B$31+'Inputs'!$B$32,'Inputs'!$B$30+'Inputs'!$B$31+'Inputs'!$B$32)/1000+'Inputs'!$B$21))/SQRT((((893-43)*MAX('Inputs'!$B$33,'Inputs'!$B$29+'Inputs'!$B$31+'Inputs'!$B$32,'Inputs'!$B$30+'Inputs'!$B$31+'Inputs'!$B$32)/1000+'Inputs'!$B$21))^2+('Inputs'!$B$8/2)^2)))-'Results'!B7*(0.5*((((893-43)*MAX('Inputs'!$B$33,'Inputs'!$B$29+'Inputs'!$B$31+'Inputs'!$B$32,'Inputs'!$B$30+'Inputs'!$B$31+'Inputs'!$B$32)/1000+'Inputs'!$B$21+'Inputs'!$B$9+'Inputs'!$B$10)+'Inputs'!$B$7)/SQRT((((893-43)*MAX('Inputs'!$B$33,'Inputs'!$B$29+'Inputs'!$B$31+'Inputs'!$B$32,'Inputs'!$B$30+'Inputs'!$B$31+'Inputs'!$B$32)/1000+'Inputs'!$B$21+'Inputs'!$B$9+'Inputs'!$B$10)+'Inputs'!$B$7)^2+('Inputs'!$B$6/2)^2)-(((893-43)*MAX('Inputs'!$B$33,'Inputs'!$B$29+'Inputs'!$B$31+'Inputs'!$B$32,'Inputs'!$B$30+'Inputs'!$B$31+'Inputs'!$B$32)/1000+'Inputs'!$B$21+'Inputs'!$B$9+'Inputs'!$B$10))/SQRT((((893-43)*MAX('Inputs'!$B$33,'Inputs'!$B$29+'Inputs'!$B$31+'Inputs'!$B$32,'Inputs'!$B$30+'Inputs'!$B$31+'Inputs'!$B$32)/1000+'Inputs'!$B$21+'Inputs'!$B$9+'Inputs'!$B$10))^2+('Inputs'!$B$6/2)^2))))*'Results'!$B$8),"")</x:f>
        <x:v>0.5769236362572133</x:v>
      </x:c>
      <x:c r="N893" t="n">
        <x:f>IF(AND(ISNUMBER('Results'!C7),ISNUMBER('Results'!B7),ISNUMBER('Results'!$B$8),ISNUMBER('Inputs'!$B$6),ISNUMBER('Inputs'!$B$7),ISNUMBER('Inputs'!$B$8),ISNUMBER('Inputs'!$B$9),ISNUMBER('Inputs'!$B$10),ISNUMBER('Inputs'!$B$21),ISNUMBER('Inputs'!$B$24),ISNUMBER('Inputs'!$B$28)),((('Results'!C7*(1-'Inputs'!$B$24)*(0.5*((((893-43)*MAX('Inputs'!$B$33,'Inputs'!$B$29+'Inputs'!$B$31+'Inputs'!$B$32,'Inputs'!$B$30+'Inputs'!$B$31+'Inputs'!$B$32)/1000+'Inputs'!$B$21)+'Inputs'!$B$9)/SQRT((((893-43)*MAX('Inputs'!$B$33,'Inputs'!$B$29+'Inputs'!$B$31+'Inputs'!$B$32,'Inputs'!$B$30+'Inputs'!$B$31+'Inputs'!$B$32)/1000+'Inputs'!$B$21)+'Inputs'!$B$9)^2+('Inputs'!$B$8/2)^2)-(((893-43)*MAX('Inputs'!$B$33,'Inputs'!$B$29+'Inputs'!$B$31+'Inputs'!$B$32,'Inputs'!$B$30+'Inputs'!$B$31+'Inputs'!$B$32)/1000+'Inputs'!$B$21))/SQRT((((893-43)*MAX('Inputs'!$B$33,'Inputs'!$B$29+'Inputs'!$B$31+'Inputs'!$B$32,'Inputs'!$B$30+'Inputs'!$B$31+'Inputs'!$B$32)/1000+'Inputs'!$B$21))^2+('Inputs'!$B$8/2)^2)))-'Results'!B7*(1+'Inputs'!$B$24)*(0.5*((((893-43)*MAX('Inputs'!$B$33,'Inputs'!$B$29+'Inputs'!$B$31+'Inputs'!$B$32,'Inputs'!$B$30+'Inputs'!$B$31+'Inputs'!$B$32)/1000+'Inputs'!$B$21+'Inputs'!$B$9+'Inputs'!$B$10)+'Inputs'!$B$7)/SQRT((((893-43)*MAX('Inputs'!$B$33,'Inputs'!$B$29+'Inputs'!$B$31+'Inputs'!$B$32,'Inputs'!$B$30+'Inputs'!$B$31+'Inputs'!$B$32)/1000+'Inputs'!$B$21+'Inputs'!$B$9+'Inputs'!$B$10)+'Inputs'!$B$7)^2+('Inputs'!$B$6/2)^2)-(((893-43)*MAX('Inputs'!$B$33,'Inputs'!$B$29+'Inputs'!$B$31+'Inputs'!$B$32,'Inputs'!$B$30+'Inputs'!$B$31+'Inputs'!$B$32)/1000+'Inputs'!$B$21+'Inputs'!$B$9+'Inputs'!$B$10))/SQRT((((893-43)*MAX('Inputs'!$B$33,'Inputs'!$B$29+'Inputs'!$B$31+'Inputs'!$B$32,'Inputs'!$B$30+'Inputs'!$B$31+'Inputs'!$B$32)/1000+'Inputs'!$B$21+'Inputs'!$B$9+'Inputs'!$B$10))^2+('Inputs'!$B$6/2)^2))))*'Results'!$B$8)-'Inputs'!$B$28*ABS((('Results'!C7*(1-'Inputs'!$B$24)*(0.5*((((893-43)*MAX('Inputs'!$B$33,'Inputs'!$B$29+'Inputs'!$B$31+'Inputs'!$B$32,'Inputs'!$B$30+'Inputs'!$B$31+'Inputs'!$B$32)/1000+'Inputs'!$B$21)+'Inputs'!$B$9)/SQRT((((893-43)*MAX('Inputs'!$B$33,'Inputs'!$B$29+'Inputs'!$B$31+'Inputs'!$B$32,'Inputs'!$B$30+'Inputs'!$B$31+'Inputs'!$B$32)/1000+'Inputs'!$B$21)+'Inputs'!$B$9)^2+('Inputs'!$B$8/2)^2)-(((893-43)*MAX('Inputs'!$B$33,'Inputs'!$B$29+'Inputs'!$B$31+'Inputs'!$B$32,'Inputs'!$B$30+'Inputs'!$B$31+'Inputs'!$B$32)/1000+'Inputs'!$B$21))/SQRT((((893-43)*MAX('Inputs'!$B$33,'Inputs'!$B$29+'Inputs'!$B$31+'Inputs'!$B$32,'Inputs'!$B$30+'Inputs'!$B$31+'Inputs'!$B$32)/1000+'Inputs'!$B$21))^2+('Inputs'!$B$8/2)^2)))-'Results'!B7*(1+'Inputs'!$B$24)*(0.5*((((893-43)*MAX('Inputs'!$B$33,'Inputs'!$B$29+'Inputs'!$B$31+'Inputs'!$B$32,'Inputs'!$B$30+'Inputs'!$B$31+'Inputs'!$B$32)/1000+'Inputs'!$B$21+'Inputs'!$B$9+'Inputs'!$B$10)+'Inputs'!$B$7)/SQRT((((893-43)*MAX('Inputs'!$B$33,'Inputs'!$B$29+'Inputs'!$B$31+'Inputs'!$B$32,'Inputs'!$B$30+'Inputs'!$B$31+'Inputs'!$B$32)/1000+'Inputs'!$B$21+'Inputs'!$B$9+'Inputs'!$B$10)+'Inputs'!$B$7)^2+('Inputs'!$B$6/2)^2)-(((893-43)*MAX('Inputs'!$B$33,'Inputs'!$B$29+'Inputs'!$B$31+'Inputs'!$B$32,'Inputs'!$B$30+'Inputs'!$B$31+'Inputs'!$B$32)/1000+'Inputs'!$B$21+'Inputs'!$B$9+'Inputs'!$B$10))/SQRT((((893-43)*MAX('Inputs'!$B$33,'Inputs'!$B$29+'Inputs'!$B$31+'Inputs'!$B$32,'Inputs'!$B$30+'Inputs'!$B$31+'Inputs'!$B$32)/1000+'Inputs'!$B$21+'Inputs'!$B$9+'Inputs'!$B$10))^2+('Inputs'!$B$6/2)^2))))*'Results'!$B$8))),"")</x:f>
        <x:v>0.48459823456205053</x:v>
      </x:c>
      <x:c r="O893" t="n">
        <x:f>IF(AND(ISNUMBER('Results'!C7),ISNUMBER('Results'!B7),ISNUMBER('Results'!$B$8),ISNUMBER('Inputs'!$B$6),ISNUMBER('Inputs'!$B$7),ISNUMBER('Inputs'!$B$8),ISNUMBER('Inputs'!$B$9),ISNUMBER('Inputs'!$B$10),ISNUMBER('Inputs'!$B$21),ISNUMBER('Inputs'!$B$24),ISNUMBER('Inputs'!$B$28)),((('Results'!C7*(1+'Inputs'!$B$24)*(0.5*((((893-43)*MAX('Inputs'!$B$33,'Inputs'!$B$29+'Inputs'!$B$31+'Inputs'!$B$32,'Inputs'!$B$30+'Inputs'!$B$31+'Inputs'!$B$32)/1000+'Inputs'!$B$21)+'Inputs'!$B$9)/SQRT((((893-43)*MAX('Inputs'!$B$33,'Inputs'!$B$29+'Inputs'!$B$31+'Inputs'!$B$32,'Inputs'!$B$30+'Inputs'!$B$31+'Inputs'!$B$32)/1000+'Inputs'!$B$21)+'Inputs'!$B$9)^2+('Inputs'!$B$8/2)^2)-(((893-43)*MAX('Inputs'!$B$33,'Inputs'!$B$29+'Inputs'!$B$31+'Inputs'!$B$32,'Inputs'!$B$30+'Inputs'!$B$31+'Inputs'!$B$32)/1000+'Inputs'!$B$21))/SQRT((((893-43)*MAX('Inputs'!$B$33,'Inputs'!$B$29+'Inputs'!$B$31+'Inputs'!$B$32,'Inputs'!$B$30+'Inputs'!$B$31+'Inputs'!$B$32)/1000+'Inputs'!$B$21))^2+('Inputs'!$B$8/2)^2)))-'Results'!B7*(1-'Inputs'!$B$24)*(0.5*((((893-43)*MAX('Inputs'!$B$33,'Inputs'!$B$29+'Inputs'!$B$31+'Inputs'!$B$32,'Inputs'!$B$30+'Inputs'!$B$31+'Inputs'!$B$32)/1000+'Inputs'!$B$21+'Inputs'!$B$9+'Inputs'!$B$10)+'Inputs'!$B$7)/SQRT((((893-43)*MAX('Inputs'!$B$33,'Inputs'!$B$29+'Inputs'!$B$31+'Inputs'!$B$32,'Inputs'!$B$30+'Inputs'!$B$31+'Inputs'!$B$32)/1000+'Inputs'!$B$21+'Inputs'!$B$9+'Inputs'!$B$10)+'Inputs'!$B$7)^2+('Inputs'!$B$6/2)^2)-(((893-43)*MAX('Inputs'!$B$33,'Inputs'!$B$29+'Inputs'!$B$31+'Inputs'!$B$32,'Inputs'!$B$30+'Inputs'!$B$31+'Inputs'!$B$32)/1000+'Inputs'!$B$21+'Inputs'!$B$9+'Inputs'!$B$10))/SQRT((((893-43)*MAX('Inputs'!$B$33,'Inputs'!$B$29+'Inputs'!$B$31+'Inputs'!$B$32,'Inputs'!$B$30+'Inputs'!$B$31+'Inputs'!$B$32)/1000+'Inputs'!$B$21+'Inputs'!$B$9+'Inputs'!$B$10))^2+('Inputs'!$B$6/2)^2))))*'Results'!$B$8)+'Inputs'!$B$28*ABS((('Results'!C7*(1+'Inputs'!$B$24)*(0.5*((((893-43)*MAX('Inputs'!$B$33,'Inputs'!$B$29+'Inputs'!$B$31+'Inputs'!$B$32,'Inputs'!$B$30+'Inputs'!$B$31+'Inputs'!$B$32)/1000+'Inputs'!$B$21)+'Inputs'!$B$9)/SQRT((((893-43)*MAX('Inputs'!$B$33,'Inputs'!$B$29+'Inputs'!$B$31+'Inputs'!$B$32,'Inputs'!$B$30+'Inputs'!$B$31+'Inputs'!$B$32)/1000+'Inputs'!$B$21)+'Inputs'!$B$9)^2+('Inputs'!$B$8/2)^2)-(((893-43)*MAX('Inputs'!$B$33,'Inputs'!$B$29+'Inputs'!$B$31+'Inputs'!$B$32,'Inputs'!$B$30+'Inputs'!$B$31+'Inputs'!$B$32)/1000+'Inputs'!$B$21))/SQRT((((893-43)*MAX('Inputs'!$B$33,'Inputs'!$B$29+'Inputs'!$B$31+'Inputs'!$B$32,'Inputs'!$B$30+'Inputs'!$B$31+'Inputs'!$B$32)/1000+'Inputs'!$B$21))^2+('Inputs'!$B$8/2)^2)))-'Results'!B7*(1-'Inputs'!$B$24)*(0.5*((((893-43)*MAX('Inputs'!$B$33,'Inputs'!$B$29+'Inputs'!$B$31+'Inputs'!$B$32,'Inputs'!$B$30+'Inputs'!$B$31+'Inputs'!$B$32)/1000+'Inputs'!$B$21+'Inputs'!$B$9+'Inputs'!$B$10)+'Inputs'!$B$7)/SQRT((((893-43)*MAX('Inputs'!$B$33,'Inputs'!$B$29+'Inputs'!$B$31+'Inputs'!$B$32,'Inputs'!$B$30+'Inputs'!$B$31+'Inputs'!$B$32)/1000+'Inputs'!$B$21+'Inputs'!$B$9+'Inputs'!$B$10)+'Inputs'!$B$7)^2+('Inputs'!$B$6/2)^2)-(((893-43)*MAX('Inputs'!$B$33,'Inputs'!$B$29+'Inputs'!$B$31+'Inputs'!$B$32,'Inputs'!$B$30+'Inputs'!$B$31+'Inputs'!$B$32)/1000+'Inputs'!$B$21+'Inputs'!$B$9+'Inputs'!$B$10))/SQRT((((893-43)*MAX('Inputs'!$B$33,'Inputs'!$B$29+'Inputs'!$B$31+'Inputs'!$B$32,'Inputs'!$B$30+'Inputs'!$B$31+'Inputs'!$B$32)/1000+'Inputs'!$B$21+'Inputs'!$B$9+'Inputs'!$B$10))^2+('Inputs'!$B$6/2)^2))))*'Results'!$B$8))),"")</x:f>
        <x:v>0.6759310610978814</x:v>
      </x:c>
      <x:c r="P893" t="n">
        <x:f>IF(AND(MAX(J893,J892)&gt;0,J893&gt;J892+0.00000001),1,0)</x:f>
        <x:v>0</x:v>
      </x:c>
      <x:c r="Q893" t="n">
        <x:f>IF(AND(MAX(K893,K892)&gt;0,K893&gt;K892+0.00000001),1,0)</x:f>
        <x:v>0</x:v>
      </x:c>
      <x:c r="R893" t="n">
        <x:f>IF(AND(MAX(L893,L892)&gt;0,L893&gt;L892+0.00000001),1,0)</x:f>
        <x:v>0</x:v>
      </x:c>
      <x:c r="S893" t="n">
        <x:f>IF(AND(MAX(M893,M892)&gt;0,M893&gt;M892+0.00000001),1,0)</x:f>
        <x:v>0</x:v>
      </x:c>
      <x:c r="T893" t="n">
        <x:f>IF(AND(MAX(N893,N892)&gt;0,N893&gt;N892+0.00000001),1,0)</x:f>
        <x:v>0</x:v>
      </x:c>
      <x:c r="U893" t="n">
        <x:f>IF(AND(MAX(O893,O892)&gt;0,O893&gt;O892+0.00000001),1,0)</x:f>
        <x:v>0</x:v>
      </x:c>
    </x:row>
    <x:row r="894">
      <x:c r="J894" t="n">
        <x:f>IF(AND(ISNUMBER('Results'!B7),ISNUMBER('Results'!C7),ISNUMBER('Results'!$B$8),ISNUMBER('Inputs'!$B$6),ISNUMBER('Inputs'!$B$7),ISNUMBER('Inputs'!$B$8),ISNUMBER('Inputs'!$B$9),ISNUMBER('Inputs'!$B$10),ISNUMBER('Inputs'!$B$21),ISNUMBER('Inputs'!$B$24),ISNUMBER('Inputs'!$B$28)),(('Results'!B7*(0.5*((((894-43)*MAX('Inputs'!$B$33,'Inputs'!$B$29+'Inputs'!$B$31+'Inputs'!$B$32,'Inputs'!$B$30+'Inputs'!$B$31+'Inputs'!$B$32)/1000+'Inputs'!$B$21)+'Inputs'!$B$7)/SQRT((((894-43)*MAX('Inputs'!$B$33,'Inputs'!$B$29+'Inputs'!$B$31+'Inputs'!$B$32,'Inputs'!$B$30+'Inputs'!$B$31+'Inputs'!$B$32)/1000+'Inputs'!$B$21)+'Inputs'!$B$7)^2+('Inputs'!$B$6/2)^2)-(((894-43)*MAX('Inputs'!$B$33,'Inputs'!$B$29+'Inputs'!$B$31+'Inputs'!$B$32,'Inputs'!$B$30+'Inputs'!$B$31+'Inputs'!$B$32)/1000+'Inputs'!$B$21))/SQRT((((894-43)*MAX('Inputs'!$B$33,'Inputs'!$B$29+'Inputs'!$B$31+'Inputs'!$B$32,'Inputs'!$B$30+'Inputs'!$B$31+'Inputs'!$B$32)/1000+'Inputs'!$B$21))^2+('Inputs'!$B$6/2)^2)))-'Results'!C7*(0.5*((((894-43)*MAX('Inputs'!$B$33,'Inputs'!$B$29+'Inputs'!$B$31+'Inputs'!$B$32,'Inputs'!$B$30+'Inputs'!$B$31+'Inputs'!$B$32)/1000+'Inputs'!$B$21+'Inputs'!$B$7+'Inputs'!$B$10)+'Inputs'!$B$9)/SQRT((((894-43)*MAX('Inputs'!$B$33,'Inputs'!$B$29+'Inputs'!$B$31+'Inputs'!$B$32,'Inputs'!$B$30+'Inputs'!$B$31+'Inputs'!$B$32)/1000+'Inputs'!$B$21+'Inputs'!$B$7+'Inputs'!$B$10)+'Inputs'!$B$9)^2+('Inputs'!$B$8/2)^2)-(((894-43)*MAX('Inputs'!$B$33,'Inputs'!$B$29+'Inputs'!$B$31+'Inputs'!$B$32,'Inputs'!$B$30+'Inputs'!$B$31+'Inputs'!$B$32)/1000+'Inputs'!$B$21+'Inputs'!$B$7+'Inputs'!$B$10))/SQRT((((894-43)*MAX('Inputs'!$B$33,'Inputs'!$B$29+'Inputs'!$B$31+'Inputs'!$B$32,'Inputs'!$B$30+'Inputs'!$B$31+'Inputs'!$B$32)/1000+'Inputs'!$B$21+'Inputs'!$B$7+'Inputs'!$B$10))^2+('Inputs'!$B$8/2)^2))))*'Results'!$B$8),"")</x:f>
        <x:v>0.6418114749698317</x:v>
      </x:c>
      <x:c r="K894" t="n">
        <x:f>IF(AND(ISNUMBER('Results'!B7),ISNUMBER('Results'!C7),ISNUMBER('Results'!$B$8),ISNUMBER('Inputs'!$B$6),ISNUMBER('Inputs'!$B$7),ISNUMBER('Inputs'!$B$8),ISNUMBER('Inputs'!$B$9),ISNUMBER('Inputs'!$B$10),ISNUMBER('Inputs'!$B$21),ISNUMBER('Inputs'!$B$24),ISNUMBER('Inputs'!$B$28)),((('Results'!B7*(1-'Inputs'!$B$24)*(0.5*((((894-43)*MAX('Inputs'!$B$33,'Inputs'!$B$29+'Inputs'!$B$31+'Inputs'!$B$32,'Inputs'!$B$30+'Inputs'!$B$31+'Inputs'!$B$32)/1000+'Inputs'!$B$21)+'Inputs'!$B$7)/SQRT((((894-43)*MAX('Inputs'!$B$33,'Inputs'!$B$29+'Inputs'!$B$31+'Inputs'!$B$32,'Inputs'!$B$30+'Inputs'!$B$31+'Inputs'!$B$32)/1000+'Inputs'!$B$21)+'Inputs'!$B$7)^2+('Inputs'!$B$6/2)^2)-(((894-43)*MAX('Inputs'!$B$33,'Inputs'!$B$29+'Inputs'!$B$31+'Inputs'!$B$32,'Inputs'!$B$30+'Inputs'!$B$31+'Inputs'!$B$32)/1000+'Inputs'!$B$21))/SQRT((((894-43)*MAX('Inputs'!$B$33,'Inputs'!$B$29+'Inputs'!$B$31+'Inputs'!$B$32,'Inputs'!$B$30+'Inputs'!$B$31+'Inputs'!$B$32)/1000+'Inputs'!$B$21))^2+('Inputs'!$B$6/2)^2)))-'Results'!C7*(1+'Inputs'!$B$24)*(0.5*((((894-43)*MAX('Inputs'!$B$33,'Inputs'!$B$29+'Inputs'!$B$31+'Inputs'!$B$32,'Inputs'!$B$30+'Inputs'!$B$31+'Inputs'!$B$32)/1000+'Inputs'!$B$21+'Inputs'!$B$7+'Inputs'!$B$10)+'Inputs'!$B$9)/SQRT((((894-43)*MAX('Inputs'!$B$33,'Inputs'!$B$29+'Inputs'!$B$31+'Inputs'!$B$32,'Inputs'!$B$30+'Inputs'!$B$31+'Inputs'!$B$32)/1000+'Inputs'!$B$21+'Inputs'!$B$7+'Inputs'!$B$10)+'Inputs'!$B$9)^2+('Inputs'!$B$8/2)^2)-(((894-43)*MAX('Inputs'!$B$33,'Inputs'!$B$29+'Inputs'!$B$31+'Inputs'!$B$32,'Inputs'!$B$30+'Inputs'!$B$31+'Inputs'!$B$32)/1000+'Inputs'!$B$21+'Inputs'!$B$7+'Inputs'!$B$10))/SQRT((((894-43)*MAX('Inputs'!$B$33,'Inputs'!$B$29+'Inputs'!$B$31+'Inputs'!$B$32,'Inputs'!$B$30+'Inputs'!$B$31+'Inputs'!$B$32)/1000+'Inputs'!$B$21+'Inputs'!$B$7+'Inputs'!$B$10))^2+('Inputs'!$B$8/2)^2))))*'Results'!$B$8)-'Inputs'!$B$28*ABS((('Results'!B7*(1-'Inputs'!$B$24)*(0.5*((((894-43)*MAX('Inputs'!$B$33,'Inputs'!$B$29+'Inputs'!$B$31+'Inputs'!$B$32,'Inputs'!$B$30+'Inputs'!$B$31+'Inputs'!$B$32)/1000+'Inputs'!$B$21)+'Inputs'!$B$7)/SQRT((((894-43)*MAX('Inputs'!$B$33,'Inputs'!$B$29+'Inputs'!$B$31+'Inputs'!$B$32,'Inputs'!$B$30+'Inputs'!$B$31+'Inputs'!$B$32)/1000+'Inputs'!$B$21)+'Inputs'!$B$7)^2+('Inputs'!$B$6/2)^2)-(((894-43)*MAX('Inputs'!$B$33,'Inputs'!$B$29+'Inputs'!$B$31+'Inputs'!$B$32,'Inputs'!$B$30+'Inputs'!$B$31+'Inputs'!$B$32)/1000+'Inputs'!$B$21))/SQRT((((894-43)*MAX('Inputs'!$B$33,'Inputs'!$B$29+'Inputs'!$B$31+'Inputs'!$B$32,'Inputs'!$B$30+'Inputs'!$B$31+'Inputs'!$B$32)/1000+'Inputs'!$B$21))^2+('Inputs'!$B$6/2)^2)))-'Results'!C7*(1+'Inputs'!$B$24)*(0.5*((((894-43)*MAX('Inputs'!$B$33,'Inputs'!$B$29+'Inputs'!$B$31+'Inputs'!$B$32,'Inputs'!$B$30+'Inputs'!$B$31+'Inputs'!$B$32)/1000+'Inputs'!$B$21+'Inputs'!$B$7+'Inputs'!$B$10)+'Inputs'!$B$9)/SQRT((((894-43)*MAX('Inputs'!$B$33,'Inputs'!$B$29+'Inputs'!$B$31+'Inputs'!$B$32,'Inputs'!$B$30+'Inputs'!$B$31+'Inputs'!$B$32)/1000+'Inputs'!$B$21+'Inputs'!$B$7+'Inputs'!$B$10)+'Inputs'!$B$9)^2+('Inputs'!$B$8/2)^2)-(((894-43)*MAX('Inputs'!$B$33,'Inputs'!$B$29+'Inputs'!$B$31+'Inputs'!$B$32,'Inputs'!$B$30+'Inputs'!$B$31+'Inputs'!$B$32)/1000+'Inputs'!$B$21+'Inputs'!$B$7+'Inputs'!$B$10))/SQRT((((894-43)*MAX('Inputs'!$B$33,'Inputs'!$B$29+'Inputs'!$B$31+'Inputs'!$B$32,'Inputs'!$B$30+'Inputs'!$B$31+'Inputs'!$B$32)/1000+'Inputs'!$B$21+'Inputs'!$B$7+'Inputs'!$B$10))^2+('Inputs'!$B$8/2)^2))))*'Results'!$B$8))),"")</x:f>
        <x:v>0.5462147496302059</x:v>
      </x:c>
      <x:c r="L894" t="n">
        <x:f>IF(AND(ISNUMBER('Results'!B7),ISNUMBER('Results'!C7),ISNUMBER('Results'!$B$8),ISNUMBER('Inputs'!$B$6),ISNUMBER('Inputs'!$B$7),ISNUMBER('Inputs'!$B$8),ISNUMBER('Inputs'!$B$9),ISNUMBER('Inputs'!$B$10),ISNUMBER('Inputs'!$B$21),ISNUMBER('Inputs'!$B$24),ISNUMBER('Inputs'!$B$28)),((('Results'!B7*(1+'Inputs'!$B$24)*(0.5*((((894-43)*MAX('Inputs'!$B$33,'Inputs'!$B$29+'Inputs'!$B$31+'Inputs'!$B$32,'Inputs'!$B$30+'Inputs'!$B$31+'Inputs'!$B$32)/1000+'Inputs'!$B$21)+'Inputs'!$B$7)/SQRT((((894-43)*MAX('Inputs'!$B$33,'Inputs'!$B$29+'Inputs'!$B$31+'Inputs'!$B$32,'Inputs'!$B$30+'Inputs'!$B$31+'Inputs'!$B$32)/1000+'Inputs'!$B$21)+'Inputs'!$B$7)^2+('Inputs'!$B$6/2)^2)-(((894-43)*MAX('Inputs'!$B$33,'Inputs'!$B$29+'Inputs'!$B$31+'Inputs'!$B$32,'Inputs'!$B$30+'Inputs'!$B$31+'Inputs'!$B$32)/1000+'Inputs'!$B$21))/SQRT((((894-43)*MAX('Inputs'!$B$33,'Inputs'!$B$29+'Inputs'!$B$31+'Inputs'!$B$32,'Inputs'!$B$30+'Inputs'!$B$31+'Inputs'!$B$32)/1000+'Inputs'!$B$21))^2+('Inputs'!$B$6/2)^2)))-'Results'!C7*(1-'Inputs'!$B$24)*(0.5*((((894-43)*MAX('Inputs'!$B$33,'Inputs'!$B$29+'Inputs'!$B$31+'Inputs'!$B$32,'Inputs'!$B$30+'Inputs'!$B$31+'Inputs'!$B$32)/1000+'Inputs'!$B$21+'Inputs'!$B$7+'Inputs'!$B$10)+'Inputs'!$B$9)/SQRT((((894-43)*MAX('Inputs'!$B$33,'Inputs'!$B$29+'Inputs'!$B$31+'Inputs'!$B$32,'Inputs'!$B$30+'Inputs'!$B$31+'Inputs'!$B$32)/1000+'Inputs'!$B$21+'Inputs'!$B$7+'Inputs'!$B$10)+'Inputs'!$B$9)^2+('Inputs'!$B$8/2)^2)-(((894-43)*MAX('Inputs'!$B$33,'Inputs'!$B$29+'Inputs'!$B$31+'Inputs'!$B$32,'Inputs'!$B$30+'Inputs'!$B$31+'Inputs'!$B$32)/1000+'Inputs'!$B$21+'Inputs'!$B$7+'Inputs'!$B$10))/SQRT((((894-43)*MAX('Inputs'!$B$33,'Inputs'!$B$29+'Inputs'!$B$31+'Inputs'!$B$32,'Inputs'!$B$30+'Inputs'!$B$31+'Inputs'!$B$32)/1000+'Inputs'!$B$21+'Inputs'!$B$7+'Inputs'!$B$10))^2+('Inputs'!$B$8/2)^2))))*'Results'!$B$8)+'Inputs'!$B$28*ABS((('Results'!B7*(1+'Inputs'!$B$24)*(0.5*((((894-43)*MAX('Inputs'!$B$33,'Inputs'!$B$29+'Inputs'!$B$31+'Inputs'!$B$32,'Inputs'!$B$30+'Inputs'!$B$31+'Inputs'!$B$32)/1000+'Inputs'!$B$21)+'Inputs'!$B$7)/SQRT((((894-43)*MAX('Inputs'!$B$33,'Inputs'!$B$29+'Inputs'!$B$31+'Inputs'!$B$32,'Inputs'!$B$30+'Inputs'!$B$31+'Inputs'!$B$32)/1000+'Inputs'!$B$21)+'Inputs'!$B$7)^2+('Inputs'!$B$6/2)^2)-(((894-43)*MAX('Inputs'!$B$33,'Inputs'!$B$29+'Inputs'!$B$31+'Inputs'!$B$32,'Inputs'!$B$30+'Inputs'!$B$31+'Inputs'!$B$32)/1000+'Inputs'!$B$21))/SQRT((((894-43)*MAX('Inputs'!$B$33,'Inputs'!$B$29+'Inputs'!$B$31+'Inputs'!$B$32,'Inputs'!$B$30+'Inputs'!$B$31+'Inputs'!$B$32)/1000+'Inputs'!$B$21))^2+('Inputs'!$B$6/2)^2)))-'Results'!C7*(1-'Inputs'!$B$24)*(0.5*((((894-43)*MAX('Inputs'!$B$33,'Inputs'!$B$29+'Inputs'!$B$31+'Inputs'!$B$32,'Inputs'!$B$30+'Inputs'!$B$31+'Inputs'!$B$32)/1000+'Inputs'!$B$21+'Inputs'!$B$7+'Inputs'!$B$10)+'Inputs'!$B$9)/SQRT((((894-43)*MAX('Inputs'!$B$33,'Inputs'!$B$29+'Inputs'!$B$31+'Inputs'!$B$32,'Inputs'!$B$30+'Inputs'!$B$31+'Inputs'!$B$32)/1000+'Inputs'!$B$21+'Inputs'!$B$7+'Inputs'!$B$10)+'Inputs'!$B$9)^2+('Inputs'!$B$8/2)^2)-(((894-43)*MAX('Inputs'!$B$33,'Inputs'!$B$29+'Inputs'!$B$31+'Inputs'!$B$32,'Inputs'!$B$30+'Inputs'!$B$31+'Inputs'!$B$32)/1000+'Inputs'!$B$21+'Inputs'!$B$7+'Inputs'!$B$10))/SQRT((((894-43)*MAX('Inputs'!$B$33,'Inputs'!$B$29+'Inputs'!$B$31+'Inputs'!$B$32,'Inputs'!$B$30+'Inputs'!$B$31+'Inputs'!$B$32)/1000+'Inputs'!$B$21+'Inputs'!$B$7+'Inputs'!$B$10))^2+('Inputs'!$B$8/2)^2))))*'Results'!$B$8))),"")</x:f>
        <x:v>0.7440930583716823</x:v>
      </x:c>
      <x:c r="M894" t="n">
        <x:f>IF(AND(ISNUMBER('Results'!C7),ISNUMBER('Results'!B7),ISNUMBER('Results'!$B$8),ISNUMBER('Inputs'!$B$6),ISNUMBER('Inputs'!$B$7),ISNUMBER('Inputs'!$B$8),ISNUMBER('Inputs'!$B$9),ISNUMBER('Inputs'!$B$10),ISNUMBER('Inputs'!$B$21),ISNUMBER('Inputs'!$B$24),ISNUMBER('Inputs'!$B$28)),(('Results'!C7*(0.5*((((894-43)*MAX('Inputs'!$B$33,'Inputs'!$B$29+'Inputs'!$B$31+'Inputs'!$B$32,'Inputs'!$B$30+'Inputs'!$B$31+'Inputs'!$B$32)/1000+'Inputs'!$B$21)+'Inputs'!$B$9)/SQRT((((894-43)*MAX('Inputs'!$B$33,'Inputs'!$B$29+'Inputs'!$B$31+'Inputs'!$B$32,'Inputs'!$B$30+'Inputs'!$B$31+'Inputs'!$B$32)/1000+'Inputs'!$B$21)+'Inputs'!$B$9)^2+('Inputs'!$B$8/2)^2)-(((894-43)*MAX('Inputs'!$B$33,'Inputs'!$B$29+'Inputs'!$B$31+'Inputs'!$B$32,'Inputs'!$B$30+'Inputs'!$B$31+'Inputs'!$B$32)/1000+'Inputs'!$B$21))/SQRT((((894-43)*MAX('Inputs'!$B$33,'Inputs'!$B$29+'Inputs'!$B$31+'Inputs'!$B$32,'Inputs'!$B$30+'Inputs'!$B$31+'Inputs'!$B$32)/1000+'Inputs'!$B$21))^2+('Inputs'!$B$8/2)^2)))-'Results'!B7*(0.5*((((894-43)*MAX('Inputs'!$B$33,'Inputs'!$B$29+'Inputs'!$B$31+'Inputs'!$B$32,'Inputs'!$B$30+'Inputs'!$B$31+'Inputs'!$B$32)/1000+'Inputs'!$B$21+'Inputs'!$B$9+'Inputs'!$B$10)+'Inputs'!$B$7)/SQRT((((894-43)*MAX('Inputs'!$B$33,'Inputs'!$B$29+'Inputs'!$B$31+'Inputs'!$B$32,'Inputs'!$B$30+'Inputs'!$B$31+'Inputs'!$B$32)/1000+'Inputs'!$B$21+'Inputs'!$B$9+'Inputs'!$B$10)+'Inputs'!$B$7)^2+('Inputs'!$B$6/2)^2)-(((894-43)*MAX('Inputs'!$B$33,'Inputs'!$B$29+'Inputs'!$B$31+'Inputs'!$B$32,'Inputs'!$B$30+'Inputs'!$B$31+'Inputs'!$B$32)/1000+'Inputs'!$B$21+'Inputs'!$B$9+'Inputs'!$B$10))/SQRT((((894-43)*MAX('Inputs'!$B$33,'Inputs'!$B$29+'Inputs'!$B$31+'Inputs'!$B$32,'Inputs'!$B$30+'Inputs'!$B$31+'Inputs'!$B$32)/1000+'Inputs'!$B$21+'Inputs'!$B$9+'Inputs'!$B$10))^2+('Inputs'!$B$6/2)^2))))*'Results'!$B$8),"")</x:f>
        <x:v>0.5744117479075561</x:v>
      </x:c>
      <x:c r="N894" t="n">
        <x:f>IF(AND(ISNUMBER('Results'!C7),ISNUMBER('Results'!B7),ISNUMBER('Results'!$B$8),ISNUMBER('Inputs'!$B$6),ISNUMBER('Inputs'!$B$7),ISNUMBER('Inputs'!$B$8),ISNUMBER('Inputs'!$B$9),ISNUMBER('Inputs'!$B$10),ISNUMBER('Inputs'!$B$21),ISNUMBER('Inputs'!$B$24),ISNUMBER('Inputs'!$B$28)),((('Results'!C7*(1-'Inputs'!$B$24)*(0.5*((((894-43)*MAX('Inputs'!$B$33,'Inputs'!$B$29+'Inputs'!$B$31+'Inputs'!$B$32,'Inputs'!$B$30+'Inputs'!$B$31+'Inputs'!$B$32)/1000+'Inputs'!$B$21)+'Inputs'!$B$9)/SQRT((((894-43)*MAX('Inputs'!$B$33,'Inputs'!$B$29+'Inputs'!$B$31+'Inputs'!$B$32,'Inputs'!$B$30+'Inputs'!$B$31+'Inputs'!$B$32)/1000+'Inputs'!$B$21)+'Inputs'!$B$9)^2+('Inputs'!$B$8/2)^2)-(((894-43)*MAX('Inputs'!$B$33,'Inputs'!$B$29+'Inputs'!$B$31+'Inputs'!$B$32,'Inputs'!$B$30+'Inputs'!$B$31+'Inputs'!$B$32)/1000+'Inputs'!$B$21))/SQRT((((894-43)*MAX('Inputs'!$B$33,'Inputs'!$B$29+'Inputs'!$B$31+'Inputs'!$B$32,'Inputs'!$B$30+'Inputs'!$B$31+'Inputs'!$B$32)/1000+'Inputs'!$B$21))^2+('Inputs'!$B$8/2)^2)))-'Results'!B7*(1+'Inputs'!$B$24)*(0.5*((((894-43)*MAX('Inputs'!$B$33,'Inputs'!$B$29+'Inputs'!$B$31+'Inputs'!$B$32,'Inputs'!$B$30+'Inputs'!$B$31+'Inputs'!$B$32)/1000+'Inputs'!$B$21+'Inputs'!$B$9+'Inputs'!$B$10)+'Inputs'!$B$7)/SQRT((((894-43)*MAX('Inputs'!$B$33,'Inputs'!$B$29+'Inputs'!$B$31+'Inputs'!$B$32,'Inputs'!$B$30+'Inputs'!$B$31+'Inputs'!$B$32)/1000+'Inputs'!$B$21+'Inputs'!$B$9+'Inputs'!$B$10)+'Inputs'!$B$7)^2+('Inputs'!$B$6/2)^2)-(((894-43)*MAX('Inputs'!$B$33,'Inputs'!$B$29+'Inputs'!$B$31+'Inputs'!$B$32,'Inputs'!$B$30+'Inputs'!$B$31+'Inputs'!$B$32)/1000+'Inputs'!$B$21+'Inputs'!$B$9+'Inputs'!$B$10))/SQRT((((894-43)*MAX('Inputs'!$B$33,'Inputs'!$B$29+'Inputs'!$B$31+'Inputs'!$B$32,'Inputs'!$B$30+'Inputs'!$B$31+'Inputs'!$B$32)/1000+'Inputs'!$B$21+'Inputs'!$B$9+'Inputs'!$B$10))^2+('Inputs'!$B$6/2)^2))))*'Results'!$B$8)-'Inputs'!$B$28*ABS((('Results'!C7*(1-'Inputs'!$B$24)*(0.5*((((894-43)*MAX('Inputs'!$B$33,'Inputs'!$B$29+'Inputs'!$B$31+'Inputs'!$B$32,'Inputs'!$B$30+'Inputs'!$B$31+'Inputs'!$B$32)/1000+'Inputs'!$B$21)+'Inputs'!$B$9)/SQRT((((894-43)*MAX('Inputs'!$B$33,'Inputs'!$B$29+'Inputs'!$B$31+'Inputs'!$B$32,'Inputs'!$B$30+'Inputs'!$B$31+'Inputs'!$B$32)/1000+'Inputs'!$B$21)+'Inputs'!$B$9)^2+('Inputs'!$B$8/2)^2)-(((894-43)*MAX('Inputs'!$B$33,'Inputs'!$B$29+'Inputs'!$B$31+'Inputs'!$B$32,'Inputs'!$B$30+'Inputs'!$B$31+'Inputs'!$B$32)/1000+'Inputs'!$B$21))/SQRT((((894-43)*MAX('Inputs'!$B$33,'Inputs'!$B$29+'Inputs'!$B$31+'Inputs'!$B$32,'Inputs'!$B$30+'Inputs'!$B$31+'Inputs'!$B$32)/1000+'Inputs'!$B$21))^2+('Inputs'!$B$8/2)^2)))-'Results'!B7*(1+'Inputs'!$B$24)*(0.5*((((894-43)*MAX('Inputs'!$B$33,'Inputs'!$B$29+'Inputs'!$B$31+'Inputs'!$B$32,'Inputs'!$B$30+'Inputs'!$B$31+'Inputs'!$B$32)/1000+'Inputs'!$B$21+'Inputs'!$B$9+'Inputs'!$B$10)+'Inputs'!$B$7)/SQRT((((894-43)*MAX('Inputs'!$B$33,'Inputs'!$B$29+'Inputs'!$B$31+'Inputs'!$B$32,'Inputs'!$B$30+'Inputs'!$B$31+'Inputs'!$B$32)/1000+'Inputs'!$B$21+'Inputs'!$B$9+'Inputs'!$B$10)+'Inputs'!$B$7)^2+('Inputs'!$B$6/2)^2)-(((894-43)*MAX('Inputs'!$B$33,'Inputs'!$B$29+'Inputs'!$B$31+'Inputs'!$B$32,'Inputs'!$B$30+'Inputs'!$B$31+'Inputs'!$B$32)/1000+'Inputs'!$B$21+'Inputs'!$B$9+'Inputs'!$B$10))/SQRT((((894-43)*MAX('Inputs'!$B$33,'Inputs'!$B$29+'Inputs'!$B$31+'Inputs'!$B$32,'Inputs'!$B$30+'Inputs'!$B$31+'Inputs'!$B$32)/1000+'Inputs'!$B$21+'Inputs'!$B$9+'Inputs'!$B$10))^2+('Inputs'!$B$6/2)^2))))*'Results'!$B$8))),"")</x:f>
        <x:v>0.48241842549917197</x:v>
      </x:c>
      <x:c r="O894" t="n">
        <x:f>IF(AND(ISNUMBER('Results'!C7),ISNUMBER('Results'!B7),ISNUMBER('Results'!$B$8),ISNUMBER('Inputs'!$B$6),ISNUMBER('Inputs'!$B$7),ISNUMBER('Inputs'!$B$8),ISNUMBER('Inputs'!$B$9),ISNUMBER('Inputs'!$B$10),ISNUMBER('Inputs'!$B$21),ISNUMBER('Inputs'!$B$24),ISNUMBER('Inputs'!$B$28)),((('Results'!C7*(1+'Inputs'!$B$24)*(0.5*((((894-43)*MAX('Inputs'!$B$33,'Inputs'!$B$29+'Inputs'!$B$31+'Inputs'!$B$32,'Inputs'!$B$30+'Inputs'!$B$31+'Inputs'!$B$32)/1000+'Inputs'!$B$21)+'Inputs'!$B$9)/SQRT((((894-43)*MAX('Inputs'!$B$33,'Inputs'!$B$29+'Inputs'!$B$31+'Inputs'!$B$32,'Inputs'!$B$30+'Inputs'!$B$31+'Inputs'!$B$32)/1000+'Inputs'!$B$21)+'Inputs'!$B$9)^2+('Inputs'!$B$8/2)^2)-(((894-43)*MAX('Inputs'!$B$33,'Inputs'!$B$29+'Inputs'!$B$31+'Inputs'!$B$32,'Inputs'!$B$30+'Inputs'!$B$31+'Inputs'!$B$32)/1000+'Inputs'!$B$21))/SQRT((((894-43)*MAX('Inputs'!$B$33,'Inputs'!$B$29+'Inputs'!$B$31+'Inputs'!$B$32,'Inputs'!$B$30+'Inputs'!$B$31+'Inputs'!$B$32)/1000+'Inputs'!$B$21))^2+('Inputs'!$B$8/2)^2)))-'Results'!B7*(1-'Inputs'!$B$24)*(0.5*((((894-43)*MAX('Inputs'!$B$33,'Inputs'!$B$29+'Inputs'!$B$31+'Inputs'!$B$32,'Inputs'!$B$30+'Inputs'!$B$31+'Inputs'!$B$32)/1000+'Inputs'!$B$21+'Inputs'!$B$9+'Inputs'!$B$10)+'Inputs'!$B$7)/SQRT((((894-43)*MAX('Inputs'!$B$33,'Inputs'!$B$29+'Inputs'!$B$31+'Inputs'!$B$32,'Inputs'!$B$30+'Inputs'!$B$31+'Inputs'!$B$32)/1000+'Inputs'!$B$21+'Inputs'!$B$9+'Inputs'!$B$10)+'Inputs'!$B$7)^2+('Inputs'!$B$6/2)^2)-(((894-43)*MAX('Inputs'!$B$33,'Inputs'!$B$29+'Inputs'!$B$31+'Inputs'!$B$32,'Inputs'!$B$30+'Inputs'!$B$31+'Inputs'!$B$32)/1000+'Inputs'!$B$21+'Inputs'!$B$9+'Inputs'!$B$10))/SQRT((((894-43)*MAX('Inputs'!$B$33,'Inputs'!$B$29+'Inputs'!$B$31+'Inputs'!$B$32,'Inputs'!$B$30+'Inputs'!$B$31+'Inputs'!$B$32)/1000+'Inputs'!$B$21+'Inputs'!$B$9+'Inputs'!$B$10))^2+('Inputs'!$B$6/2)^2))))*'Results'!$B$8)+'Inputs'!$B$28*ABS((('Results'!C7*(1+'Inputs'!$B$24)*(0.5*((((894-43)*MAX('Inputs'!$B$33,'Inputs'!$B$29+'Inputs'!$B$31+'Inputs'!$B$32,'Inputs'!$B$30+'Inputs'!$B$31+'Inputs'!$B$32)/1000+'Inputs'!$B$21)+'Inputs'!$B$9)/SQRT((((894-43)*MAX('Inputs'!$B$33,'Inputs'!$B$29+'Inputs'!$B$31+'Inputs'!$B$32,'Inputs'!$B$30+'Inputs'!$B$31+'Inputs'!$B$32)/1000+'Inputs'!$B$21)+'Inputs'!$B$9)^2+('Inputs'!$B$8/2)^2)-(((894-43)*MAX('Inputs'!$B$33,'Inputs'!$B$29+'Inputs'!$B$31+'Inputs'!$B$32,'Inputs'!$B$30+'Inputs'!$B$31+'Inputs'!$B$32)/1000+'Inputs'!$B$21))/SQRT((((894-43)*MAX('Inputs'!$B$33,'Inputs'!$B$29+'Inputs'!$B$31+'Inputs'!$B$32,'Inputs'!$B$30+'Inputs'!$B$31+'Inputs'!$B$32)/1000+'Inputs'!$B$21))^2+('Inputs'!$B$8/2)^2)))-'Results'!B7*(1-'Inputs'!$B$24)*(0.5*((((894-43)*MAX('Inputs'!$B$33,'Inputs'!$B$29+'Inputs'!$B$31+'Inputs'!$B$32,'Inputs'!$B$30+'Inputs'!$B$31+'Inputs'!$B$32)/1000+'Inputs'!$B$21+'Inputs'!$B$9+'Inputs'!$B$10)+'Inputs'!$B$7)/SQRT((((894-43)*MAX('Inputs'!$B$33,'Inputs'!$B$29+'Inputs'!$B$31+'Inputs'!$B$32,'Inputs'!$B$30+'Inputs'!$B$31+'Inputs'!$B$32)/1000+'Inputs'!$B$21+'Inputs'!$B$9+'Inputs'!$B$10)+'Inputs'!$B$7)^2+('Inputs'!$B$6/2)^2)-(((894-43)*MAX('Inputs'!$B$33,'Inputs'!$B$29+'Inputs'!$B$31+'Inputs'!$B$32,'Inputs'!$B$30+'Inputs'!$B$31+'Inputs'!$B$32)/1000+'Inputs'!$B$21+'Inputs'!$B$9+'Inputs'!$B$10))/SQRT((((894-43)*MAX('Inputs'!$B$33,'Inputs'!$B$29+'Inputs'!$B$31+'Inputs'!$B$32,'Inputs'!$B$30+'Inputs'!$B$31+'Inputs'!$B$32)/1000+'Inputs'!$B$21+'Inputs'!$B$9+'Inputs'!$B$10))^2+('Inputs'!$B$6/2)^2))))*'Results'!$B$8))),"")</x:f>
        <x:v>0.673065358212046</x:v>
      </x:c>
      <x:c r="P894" t="n">
        <x:f>IF(AND(MAX(J894,J893)&gt;0,J894&gt;J893+0.00000001),1,0)</x:f>
        <x:v>0</x:v>
      </x:c>
      <x:c r="Q894" t="n">
        <x:f>IF(AND(MAX(K894,K893)&gt;0,K894&gt;K893+0.00000001),1,0)</x:f>
        <x:v>0</x:v>
      </x:c>
      <x:c r="R894" t="n">
        <x:f>IF(AND(MAX(L894,L893)&gt;0,L894&gt;L893+0.00000001),1,0)</x:f>
        <x:v>0</x:v>
      </x:c>
      <x:c r="S894" t="n">
        <x:f>IF(AND(MAX(M894,M893)&gt;0,M894&gt;M893+0.00000001),1,0)</x:f>
        <x:v>0</x:v>
      </x:c>
      <x:c r="T894" t="n">
        <x:f>IF(AND(MAX(N894,N893)&gt;0,N894&gt;N893+0.00000001),1,0)</x:f>
        <x:v>0</x:v>
      </x:c>
      <x:c r="U894" t="n">
        <x:f>IF(AND(MAX(O894,O893)&gt;0,O894&gt;O893+0.00000001),1,0)</x:f>
        <x:v>0</x:v>
      </x:c>
    </x:row>
    <x:row r="895">
      <x:c r="J895" t="n">
        <x:f>IF(AND(ISNUMBER('Results'!B7),ISNUMBER('Results'!C7),ISNUMBER('Results'!$B$8),ISNUMBER('Inputs'!$B$6),ISNUMBER('Inputs'!$B$7),ISNUMBER('Inputs'!$B$8),ISNUMBER('Inputs'!$B$9),ISNUMBER('Inputs'!$B$10),ISNUMBER('Inputs'!$B$21),ISNUMBER('Inputs'!$B$24),ISNUMBER('Inputs'!$B$28)),(('Results'!B7*(0.5*((((895-43)*MAX('Inputs'!$B$33,'Inputs'!$B$29+'Inputs'!$B$31+'Inputs'!$B$32,'Inputs'!$B$30+'Inputs'!$B$31+'Inputs'!$B$32)/1000+'Inputs'!$B$21)+'Inputs'!$B$7)/SQRT((((895-43)*MAX('Inputs'!$B$33,'Inputs'!$B$29+'Inputs'!$B$31+'Inputs'!$B$32,'Inputs'!$B$30+'Inputs'!$B$31+'Inputs'!$B$32)/1000+'Inputs'!$B$21)+'Inputs'!$B$7)^2+('Inputs'!$B$6/2)^2)-(((895-43)*MAX('Inputs'!$B$33,'Inputs'!$B$29+'Inputs'!$B$31+'Inputs'!$B$32,'Inputs'!$B$30+'Inputs'!$B$31+'Inputs'!$B$32)/1000+'Inputs'!$B$21))/SQRT((((895-43)*MAX('Inputs'!$B$33,'Inputs'!$B$29+'Inputs'!$B$31+'Inputs'!$B$32,'Inputs'!$B$30+'Inputs'!$B$31+'Inputs'!$B$32)/1000+'Inputs'!$B$21))^2+('Inputs'!$B$6/2)^2)))-'Results'!C7*(0.5*((((895-43)*MAX('Inputs'!$B$33,'Inputs'!$B$29+'Inputs'!$B$31+'Inputs'!$B$32,'Inputs'!$B$30+'Inputs'!$B$31+'Inputs'!$B$32)/1000+'Inputs'!$B$21+'Inputs'!$B$7+'Inputs'!$B$10)+'Inputs'!$B$9)/SQRT((((895-43)*MAX('Inputs'!$B$33,'Inputs'!$B$29+'Inputs'!$B$31+'Inputs'!$B$32,'Inputs'!$B$30+'Inputs'!$B$31+'Inputs'!$B$32)/1000+'Inputs'!$B$21+'Inputs'!$B$7+'Inputs'!$B$10)+'Inputs'!$B$9)^2+('Inputs'!$B$8/2)^2)-(((895-43)*MAX('Inputs'!$B$33,'Inputs'!$B$29+'Inputs'!$B$31+'Inputs'!$B$32,'Inputs'!$B$30+'Inputs'!$B$31+'Inputs'!$B$32)/1000+'Inputs'!$B$21+'Inputs'!$B$7+'Inputs'!$B$10))/SQRT((((895-43)*MAX('Inputs'!$B$33,'Inputs'!$B$29+'Inputs'!$B$31+'Inputs'!$B$32,'Inputs'!$B$30+'Inputs'!$B$31+'Inputs'!$B$32)/1000+'Inputs'!$B$21+'Inputs'!$B$7+'Inputs'!$B$10))^2+('Inputs'!$B$8/2)^2))))*'Results'!$B$8),"")</x:f>
        <x:v>0.6390940294133152</x:v>
      </x:c>
      <x:c r="K895" t="n">
        <x:f>IF(AND(ISNUMBER('Results'!B7),ISNUMBER('Results'!C7),ISNUMBER('Results'!$B$8),ISNUMBER('Inputs'!$B$6),ISNUMBER('Inputs'!$B$7),ISNUMBER('Inputs'!$B$8),ISNUMBER('Inputs'!$B$9),ISNUMBER('Inputs'!$B$10),ISNUMBER('Inputs'!$B$21),ISNUMBER('Inputs'!$B$24),ISNUMBER('Inputs'!$B$28)),((('Results'!B7*(1-'Inputs'!$B$24)*(0.5*((((895-43)*MAX('Inputs'!$B$33,'Inputs'!$B$29+'Inputs'!$B$31+'Inputs'!$B$32,'Inputs'!$B$30+'Inputs'!$B$31+'Inputs'!$B$32)/1000+'Inputs'!$B$21)+'Inputs'!$B$7)/SQRT((((895-43)*MAX('Inputs'!$B$33,'Inputs'!$B$29+'Inputs'!$B$31+'Inputs'!$B$32,'Inputs'!$B$30+'Inputs'!$B$31+'Inputs'!$B$32)/1000+'Inputs'!$B$21)+'Inputs'!$B$7)^2+('Inputs'!$B$6/2)^2)-(((895-43)*MAX('Inputs'!$B$33,'Inputs'!$B$29+'Inputs'!$B$31+'Inputs'!$B$32,'Inputs'!$B$30+'Inputs'!$B$31+'Inputs'!$B$32)/1000+'Inputs'!$B$21))/SQRT((((895-43)*MAX('Inputs'!$B$33,'Inputs'!$B$29+'Inputs'!$B$31+'Inputs'!$B$32,'Inputs'!$B$30+'Inputs'!$B$31+'Inputs'!$B$32)/1000+'Inputs'!$B$21))^2+('Inputs'!$B$6/2)^2)))-'Results'!C7*(1+'Inputs'!$B$24)*(0.5*((((895-43)*MAX('Inputs'!$B$33,'Inputs'!$B$29+'Inputs'!$B$31+'Inputs'!$B$32,'Inputs'!$B$30+'Inputs'!$B$31+'Inputs'!$B$32)/1000+'Inputs'!$B$21+'Inputs'!$B$7+'Inputs'!$B$10)+'Inputs'!$B$9)/SQRT((((895-43)*MAX('Inputs'!$B$33,'Inputs'!$B$29+'Inputs'!$B$31+'Inputs'!$B$32,'Inputs'!$B$30+'Inputs'!$B$31+'Inputs'!$B$32)/1000+'Inputs'!$B$21+'Inputs'!$B$7+'Inputs'!$B$10)+'Inputs'!$B$9)^2+('Inputs'!$B$8/2)^2)-(((895-43)*MAX('Inputs'!$B$33,'Inputs'!$B$29+'Inputs'!$B$31+'Inputs'!$B$32,'Inputs'!$B$30+'Inputs'!$B$31+'Inputs'!$B$32)/1000+'Inputs'!$B$21+'Inputs'!$B$7+'Inputs'!$B$10))/SQRT((((895-43)*MAX('Inputs'!$B$33,'Inputs'!$B$29+'Inputs'!$B$31+'Inputs'!$B$32,'Inputs'!$B$30+'Inputs'!$B$31+'Inputs'!$B$32)/1000+'Inputs'!$B$21+'Inputs'!$B$7+'Inputs'!$B$10))^2+('Inputs'!$B$8/2)^2))))*'Results'!$B$8)-'Inputs'!$B$28*ABS((('Results'!B7*(1-'Inputs'!$B$24)*(0.5*((((895-43)*MAX('Inputs'!$B$33,'Inputs'!$B$29+'Inputs'!$B$31+'Inputs'!$B$32,'Inputs'!$B$30+'Inputs'!$B$31+'Inputs'!$B$32)/1000+'Inputs'!$B$21)+'Inputs'!$B$7)/SQRT((((895-43)*MAX('Inputs'!$B$33,'Inputs'!$B$29+'Inputs'!$B$31+'Inputs'!$B$32,'Inputs'!$B$30+'Inputs'!$B$31+'Inputs'!$B$32)/1000+'Inputs'!$B$21)+'Inputs'!$B$7)^2+('Inputs'!$B$6/2)^2)-(((895-43)*MAX('Inputs'!$B$33,'Inputs'!$B$29+'Inputs'!$B$31+'Inputs'!$B$32,'Inputs'!$B$30+'Inputs'!$B$31+'Inputs'!$B$32)/1000+'Inputs'!$B$21))/SQRT((((895-43)*MAX('Inputs'!$B$33,'Inputs'!$B$29+'Inputs'!$B$31+'Inputs'!$B$32,'Inputs'!$B$30+'Inputs'!$B$31+'Inputs'!$B$32)/1000+'Inputs'!$B$21))^2+('Inputs'!$B$6/2)^2)))-'Results'!C7*(1+'Inputs'!$B$24)*(0.5*((((895-43)*MAX('Inputs'!$B$33,'Inputs'!$B$29+'Inputs'!$B$31+'Inputs'!$B$32,'Inputs'!$B$30+'Inputs'!$B$31+'Inputs'!$B$32)/1000+'Inputs'!$B$21+'Inputs'!$B$7+'Inputs'!$B$10)+'Inputs'!$B$9)/SQRT((((895-43)*MAX('Inputs'!$B$33,'Inputs'!$B$29+'Inputs'!$B$31+'Inputs'!$B$32,'Inputs'!$B$30+'Inputs'!$B$31+'Inputs'!$B$32)/1000+'Inputs'!$B$21+'Inputs'!$B$7+'Inputs'!$B$10)+'Inputs'!$B$9)^2+('Inputs'!$B$8/2)^2)-(((895-43)*MAX('Inputs'!$B$33,'Inputs'!$B$29+'Inputs'!$B$31+'Inputs'!$B$32,'Inputs'!$B$30+'Inputs'!$B$31+'Inputs'!$B$32)/1000+'Inputs'!$B$21+'Inputs'!$B$7+'Inputs'!$B$10))/SQRT((((895-43)*MAX('Inputs'!$B$33,'Inputs'!$B$29+'Inputs'!$B$31+'Inputs'!$B$32,'Inputs'!$B$30+'Inputs'!$B$31+'Inputs'!$B$32)/1000+'Inputs'!$B$21+'Inputs'!$B$7+'Inputs'!$B$10))^2+('Inputs'!$B$8/2)^2))))*'Results'!$B$8))),"")</x:f>
        <x:v>0.543839766092087</x:v>
      </x:c>
      <x:c r="L895" t="n">
        <x:f>IF(AND(ISNUMBER('Results'!B7),ISNUMBER('Results'!C7),ISNUMBER('Results'!$B$8),ISNUMBER('Inputs'!$B$6),ISNUMBER('Inputs'!$B$7),ISNUMBER('Inputs'!$B$8),ISNUMBER('Inputs'!$B$9),ISNUMBER('Inputs'!$B$10),ISNUMBER('Inputs'!$B$21),ISNUMBER('Inputs'!$B$24),ISNUMBER('Inputs'!$B$28)),((('Results'!B7*(1+'Inputs'!$B$24)*(0.5*((((895-43)*MAX('Inputs'!$B$33,'Inputs'!$B$29+'Inputs'!$B$31+'Inputs'!$B$32,'Inputs'!$B$30+'Inputs'!$B$31+'Inputs'!$B$32)/1000+'Inputs'!$B$21)+'Inputs'!$B$7)/SQRT((((895-43)*MAX('Inputs'!$B$33,'Inputs'!$B$29+'Inputs'!$B$31+'Inputs'!$B$32,'Inputs'!$B$30+'Inputs'!$B$31+'Inputs'!$B$32)/1000+'Inputs'!$B$21)+'Inputs'!$B$7)^2+('Inputs'!$B$6/2)^2)-(((895-43)*MAX('Inputs'!$B$33,'Inputs'!$B$29+'Inputs'!$B$31+'Inputs'!$B$32,'Inputs'!$B$30+'Inputs'!$B$31+'Inputs'!$B$32)/1000+'Inputs'!$B$21))/SQRT((((895-43)*MAX('Inputs'!$B$33,'Inputs'!$B$29+'Inputs'!$B$31+'Inputs'!$B$32,'Inputs'!$B$30+'Inputs'!$B$31+'Inputs'!$B$32)/1000+'Inputs'!$B$21))^2+('Inputs'!$B$6/2)^2)))-'Results'!C7*(1-'Inputs'!$B$24)*(0.5*((((895-43)*MAX('Inputs'!$B$33,'Inputs'!$B$29+'Inputs'!$B$31+'Inputs'!$B$32,'Inputs'!$B$30+'Inputs'!$B$31+'Inputs'!$B$32)/1000+'Inputs'!$B$21+'Inputs'!$B$7+'Inputs'!$B$10)+'Inputs'!$B$9)/SQRT((((895-43)*MAX('Inputs'!$B$33,'Inputs'!$B$29+'Inputs'!$B$31+'Inputs'!$B$32,'Inputs'!$B$30+'Inputs'!$B$31+'Inputs'!$B$32)/1000+'Inputs'!$B$21+'Inputs'!$B$7+'Inputs'!$B$10)+'Inputs'!$B$9)^2+('Inputs'!$B$8/2)^2)-(((895-43)*MAX('Inputs'!$B$33,'Inputs'!$B$29+'Inputs'!$B$31+'Inputs'!$B$32,'Inputs'!$B$30+'Inputs'!$B$31+'Inputs'!$B$32)/1000+'Inputs'!$B$21+'Inputs'!$B$7+'Inputs'!$B$10))/SQRT((((895-43)*MAX('Inputs'!$B$33,'Inputs'!$B$29+'Inputs'!$B$31+'Inputs'!$B$32,'Inputs'!$B$30+'Inputs'!$B$31+'Inputs'!$B$32)/1000+'Inputs'!$B$21+'Inputs'!$B$7+'Inputs'!$B$10))^2+('Inputs'!$B$8/2)^2))))*'Results'!$B$8)+'Inputs'!$B$28*ABS((('Results'!B7*(1+'Inputs'!$B$24)*(0.5*((((895-43)*MAX('Inputs'!$B$33,'Inputs'!$B$29+'Inputs'!$B$31+'Inputs'!$B$32,'Inputs'!$B$30+'Inputs'!$B$31+'Inputs'!$B$32)/1000+'Inputs'!$B$21)+'Inputs'!$B$7)/SQRT((((895-43)*MAX('Inputs'!$B$33,'Inputs'!$B$29+'Inputs'!$B$31+'Inputs'!$B$32,'Inputs'!$B$30+'Inputs'!$B$31+'Inputs'!$B$32)/1000+'Inputs'!$B$21)+'Inputs'!$B$7)^2+('Inputs'!$B$6/2)^2)-(((895-43)*MAX('Inputs'!$B$33,'Inputs'!$B$29+'Inputs'!$B$31+'Inputs'!$B$32,'Inputs'!$B$30+'Inputs'!$B$31+'Inputs'!$B$32)/1000+'Inputs'!$B$21))/SQRT((((895-43)*MAX('Inputs'!$B$33,'Inputs'!$B$29+'Inputs'!$B$31+'Inputs'!$B$32,'Inputs'!$B$30+'Inputs'!$B$31+'Inputs'!$B$32)/1000+'Inputs'!$B$21))^2+('Inputs'!$B$6/2)^2)))-'Results'!C7*(1-'Inputs'!$B$24)*(0.5*((((895-43)*MAX('Inputs'!$B$33,'Inputs'!$B$29+'Inputs'!$B$31+'Inputs'!$B$32,'Inputs'!$B$30+'Inputs'!$B$31+'Inputs'!$B$32)/1000+'Inputs'!$B$21+'Inputs'!$B$7+'Inputs'!$B$10)+'Inputs'!$B$9)/SQRT((((895-43)*MAX('Inputs'!$B$33,'Inputs'!$B$29+'Inputs'!$B$31+'Inputs'!$B$32,'Inputs'!$B$30+'Inputs'!$B$31+'Inputs'!$B$32)/1000+'Inputs'!$B$21+'Inputs'!$B$7+'Inputs'!$B$10)+'Inputs'!$B$9)^2+('Inputs'!$B$8/2)^2)-(((895-43)*MAX('Inputs'!$B$33,'Inputs'!$B$29+'Inputs'!$B$31+'Inputs'!$B$32,'Inputs'!$B$30+'Inputs'!$B$31+'Inputs'!$B$32)/1000+'Inputs'!$B$21+'Inputs'!$B$7+'Inputs'!$B$10))/SQRT((((895-43)*MAX('Inputs'!$B$33,'Inputs'!$B$29+'Inputs'!$B$31+'Inputs'!$B$32,'Inputs'!$B$30+'Inputs'!$B$31+'Inputs'!$B$32)/1000+'Inputs'!$B$21+'Inputs'!$B$7+'Inputs'!$B$10))^2+('Inputs'!$B$8/2)^2))))*'Results'!$B$8))),"")</x:f>
        <x:v>0.7410114045082872</x:v>
      </x:c>
      <x:c r="M895" t="n">
        <x:f>IF(AND(ISNUMBER('Results'!C7),ISNUMBER('Results'!B7),ISNUMBER('Results'!$B$8),ISNUMBER('Inputs'!$B$6),ISNUMBER('Inputs'!$B$7),ISNUMBER('Inputs'!$B$8),ISNUMBER('Inputs'!$B$9),ISNUMBER('Inputs'!$B$10),ISNUMBER('Inputs'!$B$21),ISNUMBER('Inputs'!$B$24),ISNUMBER('Inputs'!$B$28)),(('Results'!C7*(0.5*((((895-43)*MAX('Inputs'!$B$33,'Inputs'!$B$29+'Inputs'!$B$31+'Inputs'!$B$32,'Inputs'!$B$30+'Inputs'!$B$31+'Inputs'!$B$32)/1000+'Inputs'!$B$21)+'Inputs'!$B$9)/SQRT((((895-43)*MAX('Inputs'!$B$33,'Inputs'!$B$29+'Inputs'!$B$31+'Inputs'!$B$32,'Inputs'!$B$30+'Inputs'!$B$31+'Inputs'!$B$32)/1000+'Inputs'!$B$21)+'Inputs'!$B$9)^2+('Inputs'!$B$8/2)^2)-(((895-43)*MAX('Inputs'!$B$33,'Inputs'!$B$29+'Inputs'!$B$31+'Inputs'!$B$32,'Inputs'!$B$30+'Inputs'!$B$31+'Inputs'!$B$32)/1000+'Inputs'!$B$21))/SQRT((((895-43)*MAX('Inputs'!$B$33,'Inputs'!$B$29+'Inputs'!$B$31+'Inputs'!$B$32,'Inputs'!$B$30+'Inputs'!$B$31+'Inputs'!$B$32)/1000+'Inputs'!$B$21))^2+('Inputs'!$B$8/2)^2)))-'Results'!B7*(0.5*((((895-43)*MAX('Inputs'!$B$33,'Inputs'!$B$29+'Inputs'!$B$31+'Inputs'!$B$32,'Inputs'!$B$30+'Inputs'!$B$31+'Inputs'!$B$32)/1000+'Inputs'!$B$21+'Inputs'!$B$9+'Inputs'!$B$10)+'Inputs'!$B$7)/SQRT((((895-43)*MAX('Inputs'!$B$33,'Inputs'!$B$29+'Inputs'!$B$31+'Inputs'!$B$32,'Inputs'!$B$30+'Inputs'!$B$31+'Inputs'!$B$32)/1000+'Inputs'!$B$21+'Inputs'!$B$9+'Inputs'!$B$10)+'Inputs'!$B$7)^2+('Inputs'!$B$6/2)^2)-(((895-43)*MAX('Inputs'!$B$33,'Inputs'!$B$29+'Inputs'!$B$31+'Inputs'!$B$32,'Inputs'!$B$30+'Inputs'!$B$31+'Inputs'!$B$32)/1000+'Inputs'!$B$21+'Inputs'!$B$9+'Inputs'!$B$10))/SQRT((((895-43)*MAX('Inputs'!$B$33,'Inputs'!$B$29+'Inputs'!$B$31+'Inputs'!$B$32,'Inputs'!$B$30+'Inputs'!$B$31+'Inputs'!$B$32)/1000+'Inputs'!$B$21+'Inputs'!$B$9+'Inputs'!$B$10))^2+('Inputs'!$B$6/2)^2))))*'Results'!$B$8),"")</x:f>
        <x:v>0.571913429664155</x:v>
      </x:c>
      <x:c r="N895" t="n">
        <x:f>IF(AND(ISNUMBER('Results'!C7),ISNUMBER('Results'!B7),ISNUMBER('Results'!$B$8),ISNUMBER('Inputs'!$B$6),ISNUMBER('Inputs'!$B$7),ISNUMBER('Inputs'!$B$8),ISNUMBER('Inputs'!$B$9),ISNUMBER('Inputs'!$B$10),ISNUMBER('Inputs'!$B$21),ISNUMBER('Inputs'!$B$24),ISNUMBER('Inputs'!$B$28)),((('Results'!C7*(1-'Inputs'!$B$24)*(0.5*((((895-43)*MAX('Inputs'!$B$33,'Inputs'!$B$29+'Inputs'!$B$31+'Inputs'!$B$32,'Inputs'!$B$30+'Inputs'!$B$31+'Inputs'!$B$32)/1000+'Inputs'!$B$21)+'Inputs'!$B$9)/SQRT((((895-43)*MAX('Inputs'!$B$33,'Inputs'!$B$29+'Inputs'!$B$31+'Inputs'!$B$32,'Inputs'!$B$30+'Inputs'!$B$31+'Inputs'!$B$32)/1000+'Inputs'!$B$21)+'Inputs'!$B$9)^2+('Inputs'!$B$8/2)^2)-(((895-43)*MAX('Inputs'!$B$33,'Inputs'!$B$29+'Inputs'!$B$31+'Inputs'!$B$32,'Inputs'!$B$30+'Inputs'!$B$31+'Inputs'!$B$32)/1000+'Inputs'!$B$21))/SQRT((((895-43)*MAX('Inputs'!$B$33,'Inputs'!$B$29+'Inputs'!$B$31+'Inputs'!$B$32,'Inputs'!$B$30+'Inputs'!$B$31+'Inputs'!$B$32)/1000+'Inputs'!$B$21))^2+('Inputs'!$B$8/2)^2)))-'Results'!B7*(1+'Inputs'!$B$24)*(0.5*((((895-43)*MAX('Inputs'!$B$33,'Inputs'!$B$29+'Inputs'!$B$31+'Inputs'!$B$32,'Inputs'!$B$30+'Inputs'!$B$31+'Inputs'!$B$32)/1000+'Inputs'!$B$21+'Inputs'!$B$9+'Inputs'!$B$10)+'Inputs'!$B$7)/SQRT((((895-43)*MAX('Inputs'!$B$33,'Inputs'!$B$29+'Inputs'!$B$31+'Inputs'!$B$32,'Inputs'!$B$30+'Inputs'!$B$31+'Inputs'!$B$32)/1000+'Inputs'!$B$21+'Inputs'!$B$9+'Inputs'!$B$10)+'Inputs'!$B$7)^2+('Inputs'!$B$6/2)^2)-(((895-43)*MAX('Inputs'!$B$33,'Inputs'!$B$29+'Inputs'!$B$31+'Inputs'!$B$32,'Inputs'!$B$30+'Inputs'!$B$31+'Inputs'!$B$32)/1000+'Inputs'!$B$21+'Inputs'!$B$9+'Inputs'!$B$10))/SQRT((((895-43)*MAX('Inputs'!$B$33,'Inputs'!$B$29+'Inputs'!$B$31+'Inputs'!$B$32,'Inputs'!$B$30+'Inputs'!$B$31+'Inputs'!$B$32)/1000+'Inputs'!$B$21+'Inputs'!$B$9+'Inputs'!$B$10))^2+('Inputs'!$B$6/2)^2))))*'Results'!$B$8)-'Inputs'!$B$28*ABS((('Results'!C7*(1-'Inputs'!$B$24)*(0.5*((((895-43)*MAX('Inputs'!$B$33,'Inputs'!$B$29+'Inputs'!$B$31+'Inputs'!$B$32,'Inputs'!$B$30+'Inputs'!$B$31+'Inputs'!$B$32)/1000+'Inputs'!$B$21)+'Inputs'!$B$9)/SQRT((((895-43)*MAX('Inputs'!$B$33,'Inputs'!$B$29+'Inputs'!$B$31+'Inputs'!$B$32,'Inputs'!$B$30+'Inputs'!$B$31+'Inputs'!$B$32)/1000+'Inputs'!$B$21)+'Inputs'!$B$9)^2+('Inputs'!$B$8/2)^2)-(((895-43)*MAX('Inputs'!$B$33,'Inputs'!$B$29+'Inputs'!$B$31+'Inputs'!$B$32,'Inputs'!$B$30+'Inputs'!$B$31+'Inputs'!$B$32)/1000+'Inputs'!$B$21))/SQRT((((895-43)*MAX('Inputs'!$B$33,'Inputs'!$B$29+'Inputs'!$B$31+'Inputs'!$B$32,'Inputs'!$B$30+'Inputs'!$B$31+'Inputs'!$B$32)/1000+'Inputs'!$B$21))^2+('Inputs'!$B$8/2)^2)))-'Results'!B7*(1+'Inputs'!$B$24)*(0.5*((((895-43)*MAX('Inputs'!$B$33,'Inputs'!$B$29+'Inputs'!$B$31+'Inputs'!$B$32,'Inputs'!$B$30+'Inputs'!$B$31+'Inputs'!$B$32)/1000+'Inputs'!$B$21+'Inputs'!$B$9+'Inputs'!$B$10)+'Inputs'!$B$7)/SQRT((((895-43)*MAX('Inputs'!$B$33,'Inputs'!$B$29+'Inputs'!$B$31+'Inputs'!$B$32,'Inputs'!$B$30+'Inputs'!$B$31+'Inputs'!$B$32)/1000+'Inputs'!$B$21+'Inputs'!$B$9+'Inputs'!$B$10)+'Inputs'!$B$7)^2+('Inputs'!$B$6/2)^2)-(((895-43)*MAX('Inputs'!$B$33,'Inputs'!$B$29+'Inputs'!$B$31+'Inputs'!$B$32,'Inputs'!$B$30+'Inputs'!$B$31+'Inputs'!$B$32)/1000+'Inputs'!$B$21+'Inputs'!$B$9+'Inputs'!$B$10))/SQRT((((895-43)*MAX('Inputs'!$B$33,'Inputs'!$B$29+'Inputs'!$B$31+'Inputs'!$B$32,'Inputs'!$B$30+'Inputs'!$B$31+'Inputs'!$B$32)/1000+'Inputs'!$B$21+'Inputs'!$B$9+'Inputs'!$B$10))^2+('Inputs'!$B$6/2)^2))))*'Results'!$B$8))),"")</x:f>
        <x:v>0.48025061190333934</x:v>
      </x:c>
      <x:c r="O895" t="n">
        <x:f>IF(AND(ISNUMBER('Results'!C7),ISNUMBER('Results'!B7),ISNUMBER('Results'!$B$8),ISNUMBER('Inputs'!$B$6),ISNUMBER('Inputs'!$B$7),ISNUMBER('Inputs'!$B$8),ISNUMBER('Inputs'!$B$9),ISNUMBER('Inputs'!$B$10),ISNUMBER('Inputs'!$B$21),ISNUMBER('Inputs'!$B$24),ISNUMBER('Inputs'!$B$28)),((('Results'!C7*(1+'Inputs'!$B$24)*(0.5*((((895-43)*MAX('Inputs'!$B$33,'Inputs'!$B$29+'Inputs'!$B$31+'Inputs'!$B$32,'Inputs'!$B$30+'Inputs'!$B$31+'Inputs'!$B$32)/1000+'Inputs'!$B$21)+'Inputs'!$B$9)/SQRT((((895-43)*MAX('Inputs'!$B$33,'Inputs'!$B$29+'Inputs'!$B$31+'Inputs'!$B$32,'Inputs'!$B$30+'Inputs'!$B$31+'Inputs'!$B$32)/1000+'Inputs'!$B$21)+'Inputs'!$B$9)^2+('Inputs'!$B$8/2)^2)-(((895-43)*MAX('Inputs'!$B$33,'Inputs'!$B$29+'Inputs'!$B$31+'Inputs'!$B$32,'Inputs'!$B$30+'Inputs'!$B$31+'Inputs'!$B$32)/1000+'Inputs'!$B$21))/SQRT((((895-43)*MAX('Inputs'!$B$33,'Inputs'!$B$29+'Inputs'!$B$31+'Inputs'!$B$32,'Inputs'!$B$30+'Inputs'!$B$31+'Inputs'!$B$32)/1000+'Inputs'!$B$21))^2+('Inputs'!$B$8/2)^2)))-'Results'!B7*(1-'Inputs'!$B$24)*(0.5*((((895-43)*MAX('Inputs'!$B$33,'Inputs'!$B$29+'Inputs'!$B$31+'Inputs'!$B$32,'Inputs'!$B$30+'Inputs'!$B$31+'Inputs'!$B$32)/1000+'Inputs'!$B$21+'Inputs'!$B$9+'Inputs'!$B$10)+'Inputs'!$B$7)/SQRT((((895-43)*MAX('Inputs'!$B$33,'Inputs'!$B$29+'Inputs'!$B$31+'Inputs'!$B$32,'Inputs'!$B$30+'Inputs'!$B$31+'Inputs'!$B$32)/1000+'Inputs'!$B$21+'Inputs'!$B$9+'Inputs'!$B$10)+'Inputs'!$B$7)^2+('Inputs'!$B$6/2)^2)-(((895-43)*MAX('Inputs'!$B$33,'Inputs'!$B$29+'Inputs'!$B$31+'Inputs'!$B$32,'Inputs'!$B$30+'Inputs'!$B$31+'Inputs'!$B$32)/1000+'Inputs'!$B$21+'Inputs'!$B$9+'Inputs'!$B$10))/SQRT((((895-43)*MAX('Inputs'!$B$33,'Inputs'!$B$29+'Inputs'!$B$31+'Inputs'!$B$32,'Inputs'!$B$30+'Inputs'!$B$31+'Inputs'!$B$32)/1000+'Inputs'!$B$21+'Inputs'!$B$9+'Inputs'!$B$10))^2+('Inputs'!$B$6/2)^2))))*'Results'!$B$8)+'Inputs'!$B$28*ABS((('Results'!C7*(1+'Inputs'!$B$24)*(0.5*((((895-43)*MAX('Inputs'!$B$33,'Inputs'!$B$29+'Inputs'!$B$31+'Inputs'!$B$32,'Inputs'!$B$30+'Inputs'!$B$31+'Inputs'!$B$32)/1000+'Inputs'!$B$21)+'Inputs'!$B$9)/SQRT((((895-43)*MAX('Inputs'!$B$33,'Inputs'!$B$29+'Inputs'!$B$31+'Inputs'!$B$32,'Inputs'!$B$30+'Inputs'!$B$31+'Inputs'!$B$32)/1000+'Inputs'!$B$21)+'Inputs'!$B$9)^2+('Inputs'!$B$8/2)^2)-(((895-43)*MAX('Inputs'!$B$33,'Inputs'!$B$29+'Inputs'!$B$31+'Inputs'!$B$32,'Inputs'!$B$30+'Inputs'!$B$31+'Inputs'!$B$32)/1000+'Inputs'!$B$21))/SQRT((((895-43)*MAX('Inputs'!$B$33,'Inputs'!$B$29+'Inputs'!$B$31+'Inputs'!$B$32,'Inputs'!$B$30+'Inputs'!$B$31+'Inputs'!$B$32)/1000+'Inputs'!$B$21))^2+('Inputs'!$B$8/2)^2)))-'Results'!B7*(1-'Inputs'!$B$24)*(0.5*((((895-43)*MAX('Inputs'!$B$33,'Inputs'!$B$29+'Inputs'!$B$31+'Inputs'!$B$32,'Inputs'!$B$30+'Inputs'!$B$31+'Inputs'!$B$32)/1000+'Inputs'!$B$21+'Inputs'!$B$9+'Inputs'!$B$10)+'Inputs'!$B$7)/SQRT((((895-43)*MAX('Inputs'!$B$33,'Inputs'!$B$29+'Inputs'!$B$31+'Inputs'!$B$32,'Inputs'!$B$30+'Inputs'!$B$31+'Inputs'!$B$32)/1000+'Inputs'!$B$21+'Inputs'!$B$9+'Inputs'!$B$10)+'Inputs'!$B$7)^2+('Inputs'!$B$6/2)^2)-(((895-43)*MAX('Inputs'!$B$33,'Inputs'!$B$29+'Inputs'!$B$31+'Inputs'!$B$32,'Inputs'!$B$30+'Inputs'!$B$31+'Inputs'!$B$32)/1000+'Inputs'!$B$21+'Inputs'!$B$9+'Inputs'!$B$10))/SQRT((((895-43)*MAX('Inputs'!$B$33,'Inputs'!$B$29+'Inputs'!$B$31+'Inputs'!$B$32,'Inputs'!$B$30+'Inputs'!$B$31+'Inputs'!$B$32)/1000+'Inputs'!$B$21+'Inputs'!$B$9+'Inputs'!$B$10))^2+('Inputs'!$B$6/2)^2))))*'Results'!$B$8))),"")</x:f>
        <x:v>0.6702148944015615</x:v>
      </x:c>
      <x:c r="P895" t="n">
        <x:f>IF(AND(MAX(J895,J894)&gt;0,J895&gt;J894+0.00000001),1,0)</x:f>
        <x:v>0</x:v>
      </x:c>
      <x:c r="Q895" t="n">
        <x:f>IF(AND(MAX(K895,K894)&gt;0,K895&gt;K894+0.00000001),1,0)</x:f>
        <x:v>0</x:v>
      </x:c>
      <x:c r="R895" t="n">
        <x:f>IF(AND(MAX(L895,L894)&gt;0,L895&gt;L894+0.00000001),1,0)</x:f>
        <x:v>0</x:v>
      </x:c>
      <x:c r="S895" t="n">
        <x:f>IF(AND(MAX(M895,M894)&gt;0,M895&gt;M894+0.00000001),1,0)</x:f>
        <x:v>0</x:v>
      </x:c>
      <x:c r="T895" t="n">
        <x:f>IF(AND(MAX(N895,N894)&gt;0,N895&gt;N894+0.00000001),1,0)</x:f>
        <x:v>0</x:v>
      </x:c>
      <x:c r="U895" t="n">
        <x:f>IF(AND(MAX(O895,O894)&gt;0,O895&gt;O894+0.00000001),1,0)</x:f>
        <x:v>0</x:v>
      </x:c>
    </x:row>
    <x:row r="896">
      <x:c r="J896" t="n">
        <x:f>IF(AND(ISNUMBER('Results'!B7),ISNUMBER('Results'!C7),ISNUMBER('Results'!$B$8),ISNUMBER('Inputs'!$B$6),ISNUMBER('Inputs'!$B$7),ISNUMBER('Inputs'!$B$8),ISNUMBER('Inputs'!$B$9),ISNUMBER('Inputs'!$B$10),ISNUMBER('Inputs'!$B$21),ISNUMBER('Inputs'!$B$24),ISNUMBER('Inputs'!$B$28)),(('Results'!B7*(0.5*((((896-43)*MAX('Inputs'!$B$33,'Inputs'!$B$29+'Inputs'!$B$31+'Inputs'!$B$32,'Inputs'!$B$30+'Inputs'!$B$31+'Inputs'!$B$32)/1000+'Inputs'!$B$21)+'Inputs'!$B$7)/SQRT((((896-43)*MAX('Inputs'!$B$33,'Inputs'!$B$29+'Inputs'!$B$31+'Inputs'!$B$32,'Inputs'!$B$30+'Inputs'!$B$31+'Inputs'!$B$32)/1000+'Inputs'!$B$21)+'Inputs'!$B$7)^2+('Inputs'!$B$6/2)^2)-(((896-43)*MAX('Inputs'!$B$33,'Inputs'!$B$29+'Inputs'!$B$31+'Inputs'!$B$32,'Inputs'!$B$30+'Inputs'!$B$31+'Inputs'!$B$32)/1000+'Inputs'!$B$21))/SQRT((((896-43)*MAX('Inputs'!$B$33,'Inputs'!$B$29+'Inputs'!$B$31+'Inputs'!$B$32,'Inputs'!$B$30+'Inputs'!$B$31+'Inputs'!$B$32)/1000+'Inputs'!$B$21))^2+('Inputs'!$B$6/2)^2)))-'Results'!C7*(0.5*((((896-43)*MAX('Inputs'!$B$33,'Inputs'!$B$29+'Inputs'!$B$31+'Inputs'!$B$32,'Inputs'!$B$30+'Inputs'!$B$31+'Inputs'!$B$32)/1000+'Inputs'!$B$21+'Inputs'!$B$7+'Inputs'!$B$10)+'Inputs'!$B$9)/SQRT((((896-43)*MAX('Inputs'!$B$33,'Inputs'!$B$29+'Inputs'!$B$31+'Inputs'!$B$32,'Inputs'!$B$30+'Inputs'!$B$31+'Inputs'!$B$32)/1000+'Inputs'!$B$21+'Inputs'!$B$7+'Inputs'!$B$10)+'Inputs'!$B$9)^2+('Inputs'!$B$8/2)^2)-(((896-43)*MAX('Inputs'!$B$33,'Inputs'!$B$29+'Inputs'!$B$31+'Inputs'!$B$32,'Inputs'!$B$30+'Inputs'!$B$31+'Inputs'!$B$32)/1000+'Inputs'!$B$21+'Inputs'!$B$7+'Inputs'!$B$10))/SQRT((((896-43)*MAX('Inputs'!$B$33,'Inputs'!$B$29+'Inputs'!$B$31+'Inputs'!$B$32,'Inputs'!$B$30+'Inputs'!$B$31+'Inputs'!$B$32)/1000+'Inputs'!$B$21+'Inputs'!$B$7+'Inputs'!$B$10))^2+('Inputs'!$B$8/2)^2))))*'Results'!$B$8),"")</x:f>
        <x:v>0.6363910168883099</x:v>
      </x:c>
      <x:c r="K896" t="n">
        <x:f>IF(AND(ISNUMBER('Results'!B7),ISNUMBER('Results'!C7),ISNUMBER('Results'!$B$8),ISNUMBER('Inputs'!$B$6),ISNUMBER('Inputs'!$B$7),ISNUMBER('Inputs'!$B$8),ISNUMBER('Inputs'!$B$9),ISNUMBER('Inputs'!$B$10),ISNUMBER('Inputs'!$B$21),ISNUMBER('Inputs'!$B$24),ISNUMBER('Inputs'!$B$28)),((('Results'!B7*(1-'Inputs'!$B$24)*(0.5*((((896-43)*MAX('Inputs'!$B$33,'Inputs'!$B$29+'Inputs'!$B$31+'Inputs'!$B$32,'Inputs'!$B$30+'Inputs'!$B$31+'Inputs'!$B$32)/1000+'Inputs'!$B$21)+'Inputs'!$B$7)/SQRT((((896-43)*MAX('Inputs'!$B$33,'Inputs'!$B$29+'Inputs'!$B$31+'Inputs'!$B$32,'Inputs'!$B$30+'Inputs'!$B$31+'Inputs'!$B$32)/1000+'Inputs'!$B$21)+'Inputs'!$B$7)^2+('Inputs'!$B$6/2)^2)-(((896-43)*MAX('Inputs'!$B$33,'Inputs'!$B$29+'Inputs'!$B$31+'Inputs'!$B$32,'Inputs'!$B$30+'Inputs'!$B$31+'Inputs'!$B$32)/1000+'Inputs'!$B$21))/SQRT((((896-43)*MAX('Inputs'!$B$33,'Inputs'!$B$29+'Inputs'!$B$31+'Inputs'!$B$32,'Inputs'!$B$30+'Inputs'!$B$31+'Inputs'!$B$32)/1000+'Inputs'!$B$21))^2+('Inputs'!$B$6/2)^2)))-'Results'!C7*(1+'Inputs'!$B$24)*(0.5*((((896-43)*MAX('Inputs'!$B$33,'Inputs'!$B$29+'Inputs'!$B$31+'Inputs'!$B$32,'Inputs'!$B$30+'Inputs'!$B$31+'Inputs'!$B$32)/1000+'Inputs'!$B$21+'Inputs'!$B$7+'Inputs'!$B$10)+'Inputs'!$B$9)/SQRT((((896-43)*MAX('Inputs'!$B$33,'Inputs'!$B$29+'Inputs'!$B$31+'Inputs'!$B$32,'Inputs'!$B$30+'Inputs'!$B$31+'Inputs'!$B$32)/1000+'Inputs'!$B$21+'Inputs'!$B$7+'Inputs'!$B$10)+'Inputs'!$B$9)^2+('Inputs'!$B$8/2)^2)-(((896-43)*MAX('Inputs'!$B$33,'Inputs'!$B$29+'Inputs'!$B$31+'Inputs'!$B$32,'Inputs'!$B$30+'Inputs'!$B$31+'Inputs'!$B$32)/1000+'Inputs'!$B$21+'Inputs'!$B$7+'Inputs'!$B$10))/SQRT((((896-43)*MAX('Inputs'!$B$33,'Inputs'!$B$29+'Inputs'!$B$31+'Inputs'!$B$32,'Inputs'!$B$30+'Inputs'!$B$31+'Inputs'!$B$32)/1000+'Inputs'!$B$21+'Inputs'!$B$7+'Inputs'!$B$10))^2+('Inputs'!$B$8/2)^2))))*'Results'!$B$8)-'Inputs'!$B$28*ABS((('Results'!B7*(1-'Inputs'!$B$24)*(0.5*((((896-43)*MAX('Inputs'!$B$33,'Inputs'!$B$29+'Inputs'!$B$31+'Inputs'!$B$32,'Inputs'!$B$30+'Inputs'!$B$31+'Inputs'!$B$32)/1000+'Inputs'!$B$21)+'Inputs'!$B$7)/SQRT((((896-43)*MAX('Inputs'!$B$33,'Inputs'!$B$29+'Inputs'!$B$31+'Inputs'!$B$32,'Inputs'!$B$30+'Inputs'!$B$31+'Inputs'!$B$32)/1000+'Inputs'!$B$21)+'Inputs'!$B$7)^2+('Inputs'!$B$6/2)^2)-(((896-43)*MAX('Inputs'!$B$33,'Inputs'!$B$29+'Inputs'!$B$31+'Inputs'!$B$32,'Inputs'!$B$30+'Inputs'!$B$31+'Inputs'!$B$32)/1000+'Inputs'!$B$21))/SQRT((((896-43)*MAX('Inputs'!$B$33,'Inputs'!$B$29+'Inputs'!$B$31+'Inputs'!$B$32,'Inputs'!$B$30+'Inputs'!$B$31+'Inputs'!$B$32)/1000+'Inputs'!$B$21))^2+('Inputs'!$B$6/2)^2)))-'Results'!C7*(1+'Inputs'!$B$24)*(0.5*((((896-43)*MAX('Inputs'!$B$33,'Inputs'!$B$29+'Inputs'!$B$31+'Inputs'!$B$32,'Inputs'!$B$30+'Inputs'!$B$31+'Inputs'!$B$32)/1000+'Inputs'!$B$21+'Inputs'!$B$7+'Inputs'!$B$10)+'Inputs'!$B$9)/SQRT((((896-43)*MAX('Inputs'!$B$33,'Inputs'!$B$29+'Inputs'!$B$31+'Inputs'!$B$32,'Inputs'!$B$30+'Inputs'!$B$31+'Inputs'!$B$32)/1000+'Inputs'!$B$21+'Inputs'!$B$7+'Inputs'!$B$10)+'Inputs'!$B$9)^2+('Inputs'!$B$8/2)^2)-(((896-43)*MAX('Inputs'!$B$33,'Inputs'!$B$29+'Inputs'!$B$31+'Inputs'!$B$32,'Inputs'!$B$30+'Inputs'!$B$31+'Inputs'!$B$32)/1000+'Inputs'!$B$21+'Inputs'!$B$7+'Inputs'!$B$10))/SQRT((((896-43)*MAX('Inputs'!$B$33,'Inputs'!$B$29+'Inputs'!$B$31+'Inputs'!$B$32,'Inputs'!$B$30+'Inputs'!$B$31+'Inputs'!$B$32)/1000+'Inputs'!$B$21+'Inputs'!$B$7+'Inputs'!$B$10))^2+('Inputs'!$B$8/2)^2))))*'Results'!$B$8))),"")</x:f>
        <x:v>0.5414775973062875</x:v>
      </x:c>
      <x:c r="L896" t="n">
        <x:f>IF(AND(ISNUMBER('Results'!B7),ISNUMBER('Results'!C7),ISNUMBER('Results'!$B$8),ISNUMBER('Inputs'!$B$6),ISNUMBER('Inputs'!$B$7),ISNUMBER('Inputs'!$B$8),ISNUMBER('Inputs'!$B$9),ISNUMBER('Inputs'!$B$10),ISNUMBER('Inputs'!$B$21),ISNUMBER('Inputs'!$B$24),ISNUMBER('Inputs'!$B$28)),((('Results'!B7*(1+'Inputs'!$B$24)*(0.5*((((896-43)*MAX('Inputs'!$B$33,'Inputs'!$B$29+'Inputs'!$B$31+'Inputs'!$B$32,'Inputs'!$B$30+'Inputs'!$B$31+'Inputs'!$B$32)/1000+'Inputs'!$B$21)+'Inputs'!$B$7)/SQRT((((896-43)*MAX('Inputs'!$B$33,'Inputs'!$B$29+'Inputs'!$B$31+'Inputs'!$B$32,'Inputs'!$B$30+'Inputs'!$B$31+'Inputs'!$B$32)/1000+'Inputs'!$B$21)+'Inputs'!$B$7)^2+('Inputs'!$B$6/2)^2)-(((896-43)*MAX('Inputs'!$B$33,'Inputs'!$B$29+'Inputs'!$B$31+'Inputs'!$B$32,'Inputs'!$B$30+'Inputs'!$B$31+'Inputs'!$B$32)/1000+'Inputs'!$B$21))/SQRT((((896-43)*MAX('Inputs'!$B$33,'Inputs'!$B$29+'Inputs'!$B$31+'Inputs'!$B$32,'Inputs'!$B$30+'Inputs'!$B$31+'Inputs'!$B$32)/1000+'Inputs'!$B$21))^2+('Inputs'!$B$6/2)^2)))-'Results'!C7*(1-'Inputs'!$B$24)*(0.5*((((896-43)*MAX('Inputs'!$B$33,'Inputs'!$B$29+'Inputs'!$B$31+'Inputs'!$B$32,'Inputs'!$B$30+'Inputs'!$B$31+'Inputs'!$B$32)/1000+'Inputs'!$B$21+'Inputs'!$B$7+'Inputs'!$B$10)+'Inputs'!$B$9)/SQRT((((896-43)*MAX('Inputs'!$B$33,'Inputs'!$B$29+'Inputs'!$B$31+'Inputs'!$B$32,'Inputs'!$B$30+'Inputs'!$B$31+'Inputs'!$B$32)/1000+'Inputs'!$B$21+'Inputs'!$B$7+'Inputs'!$B$10)+'Inputs'!$B$9)^2+('Inputs'!$B$8/2)^2)-(((896-43)*MAX('Inputs'!$B$33,'Inputs'!$B$29+'Inputs'!$B$31+'Inputs'!$B$32,'Inputs'!$B$30+'Inputs'!$B$31+'Inputs'!$B$32)/1000+'Inputs'!$B$21+'Inputs'!$B$7+'Inputs'!$B$10))/SQRT((((896-43)*MAX('Inputs'!$B$33,'Inputs'!$B$29+'Inputs'!$B$31+'Inputs'!$B$32,'Inputs'!$B$30+'Inputs'!$B$31+'Inputs'!$B$32)/1000+'Inputs'!$B$21+'Inputs'!$B$7+'Inputs'!$B$10))^2+('Inputs'!$B$8/2)^2))))*'Results'!$B$8)+'Inputs'!$B$28*ABS((('Results'!B7*(1+'Inputs'!$B$24)*(0.5*((((896-43)*MAX('Inputs'!$B$33,'Inputs'!$B$29+'Inputs'!$B$31+'Inputs'!$B$32,'Inputs'!$B$30+'Inputs'!$B$31+'Inputs'!$B$32)/1000+'Inputs'!$B$21)+'Inputs'!$B$7)/SQRT((((896-43)*MAX('Inputs'!$B$33,'Inputs'!$B$29+'Inputs'!$B$31+'Inputs'!$B$32,'Inputs'!$B$30+'Inputs'!$B$31+'Inputs'!$B$32)/1000+'Inputs'!$B$21)+'Inputs'!$B$7)^2+('Inputs'!$B$6/2)^2)-(((896-43)*MAX('Inputs'!$B$33,'Inputs'!$B$29+'Inputs'!$B$31+'Inputs'!$B$32,'Inputs'!$B$30+'Inputs'!$B$31+'Inputs'!$B$32)/1000+'Inputs'!$B$21))/SQRT((((896-43)*MAX('Inputs'!$B$33,'Inputs'!$B$29+'Inputs'!$B$31+'Inputs'!$B$32,'Inputs'!$B$30+'Inputs'!$B$31+'Inputs'!$B$32)/1000+'Inputs'!$B$21))^2+('Inputs'!$B$6/2)^2)))-'Results'!C7*(1-'Inputs'!$B$24)*(0.5*((((896-43)*MAX('Inputs'!$B$33,'Inputs'!$B$29+'Inputs'!$B$31+'Inputs'!$B$32,'Inputs'!$B$30+'Inputs'!$B$31+'Inputs'!$B$32)/1000+'Inputs'!$B$21+'Inputs'!$B$7+'Inputs'!$B$10)+'Inputs'!$B$9)/SQRT((((896-43)*MAX('Inputs'!$B$33,'Inputs'!$B$29+'Inputs'!$B$31+'Inputs'!$B$32,'Inputs'!$B$30+'Inputs'!$B$31+'Inputs'!$B$32)/1000+'Inputs'!$B$21+'Inputs'!$B$7+'Inputs'!$B$10)+'Inputs'!$B$9)^2+('Inputs'!$B$8/2)^2)-(((896-43)*MAX('Inputs'!$B$33,'Inputs'!$B$29+'Inputs'!$B$31+'Inputs'!$B$32,'Inputs'!$B$30+'Inputs'!$B$31+'Inputs'!$B$32)/1000+'Inputs'!$B$21+'Inputs'!$B$7+'Inputs'!$B$10))/SQRT((((896-43)*MAX('Inputs'!$B$33,'Inputs'!$B$29+'Inputs'!$B$31+'Inputs'!$B$32,'Inputs'!$B$30+'Inputs'!$B$31+'Inputs'!$B$32)/1000+'Inputs'!$B$21+'Inputs'!$B$7+'Inputs'!$B$10))^2+('Inputs'!$B$8/2)^2))))*'Results'!$B$8))),"")</x:f>
        <x:v>0.7379458963374486</x:v>
      </x:c>
      <x:c r="M896" t="n">
        <x:f>IF(AND(ISNUMBER('Results'!C7),ISNUMBER('Results'!B7),ISNUMBER('Results'!$B$8),ISNUMBER('Inputs'!$B$6),ISNUMBER('Inputs'!$B$7),ISNUMBER('Inputs'!$B$8),ISNUMBER('Inputs'!$B$9),ISNUMBER('Inputs'!$B$10),ISNUMBER('Inputs'!$B$21),ISNUMBER('Inputs'!$B$24),ISNUMBER('Inputs'!$B$28)),(('Results'!C7*(0.5*((((896-43)*MAX('Inputs'!$B$33,'Inputs'!$B$29+'Inputs'!$B$31+'Inputs'!$B$32,'Inputs'!$B$30+'Inputs'!$B$31+'Inputs'!$B$32)/1000+'Inputs'!$B$21)+'Inputs'!$B$9)/SQRT((((896-43)*MAX('Inputs'!$B$33,'Inputs'!$B$29+'Inputs'!$B$31+'Inputs'!$B$32,'Inputs'!$B$30+'Inputs'!$B$31+'Inputs'!$B$32)/1000+'Inputs'!$B$21)+'Inputs'!$B$9)^2+('Inputs'!$B$8/2)^2)-(((896-43)*MAX('Inputs'!$B$33,'Inputs'!$B$29+'Inputs'!$B$31+'Inputs'!$B$32,'Inputs'!$B$30+'Inputs'!$B$31+'Inputs'!$B$32)/1000+'Inputs'!$B$21))/SQRT((((896-43)*MAX('Inputs'!$B$33,'Inputs'!$B$29+'Inputs'!$B$31+'Inputs'!$B$32,'Inputs'!$B$30+'Inputs'!$B$31+'Inputs'!$B$32)/1000+'Inputs'!$B$21))^2+('Inputs'!$B$8/2)^2)))-'Results'!B7*(0.5*((((896-43)*MAX('Inputs'!$B$33,'Inputs'!$B$29+'Inputs'!$B$31+'Inputs'!$B$32,'Inputs'!$B$30+'Inputs'!$B$31+'Inputs'!$B$32)/1000+'Inputs'!$B$21+'Inputs'!$B$9+'Inputs'!$B$10)+'Inputs'!$B$7)/SQRT((((896-43)*MAX('Inputs'!$B$33,'Inputs'!$B$29+'Inputs'!$B$31+'Inputs'!$B$32,'Inputs'!$B$30+'Inputs'!$B$31+'Inputs'!$B$32)/1000+'Inputs'!$B$21+'Inputs'!$B$9+'Inputs'!$B$10)+'Inputs'!$B$7)^2+('Inputs'!$B$6/2)^2)-(((896-43)*MAX('Inputs'!$B$33,'Inputs'!$B$29+'Inputs'!$B$31+'Inputs'!$B$32,'Inputs'!$B$30+'Inputs'!$B$31+'Inputs'!$B$32)/1000+'Inputs'!$B$21+'Inputs'!$B$9+'Inputs'!$B$10))/SQRT((((896-43)*MAX('Inputs'!$B$33,'Inputs'!$B$29+'Inputs'!$B$31+'Inputs'!$B$32,'Inputs'!$B$30+'Inputs'!$B$31+'Inputs'!$B$32)/1000+'Inputs'!$B$21+'Inputs'!$B$9+'Inputs'!$B$10))^2+('Inputs'!$B$6/2)^2))))*'Results'!$B$8),"")</x:f>
        <x:v>0.5694285939484368</x:v>
      </x:c>
      <x:c r="N896" t="n">
        <x:f>IF(AND(ISNUMBER('Results'!C7),ISNUMBER('Results'!B7),ISNUMBER('Results'!$B$8),ISNUMBER('Inputs'!$B$6),ISNUMBER('Inputs'!$B$7),ISNUMBER('Inputs'!$B$8),ISNUMBER('Inputs'!$B$9),ISNUMBER('Inputs'!$B$10),ISNUMBER('Inputs'!$B$21),ISNUMBER('Inputs'!$B$24),ISNUMBER('Inputs'!$B$28)),((('Results'!C7*(1-'Inputs'!$B$24)*(0.5*((((896-43)*MAX('Inputs'!$B$33,'Inputs'!$B$29+'Inputs'!$B$31+'Inputs'!$B$32,'Inputs'!$B$30+'Inputs'!$B$31+'Inputs'!$B$32)/1000+'Inputs'!$B$21)+'Inputs'!$B$9)/SQRT((((896-43)*MAX('Inputs'!$B$33,'Inputs'!$B$29+'Inputs'!$B$31+'Inputs'!$B$32,'Inputs'!$B$30+'Inputs'!$B$31+'Inputs'!$B$32)/1000+'Inputs'!$B$21)+'Inputs'!$B$9)^2+('Inputs'!$B$8/2)^2)-(((896-43)*MAX('Inputs'!$B$33,'Inputs'!$B$29+'Inputs'!$B$31+'Inputs'!$B$32,'Inputs'!$B$30+'Inputs'!$B$31+'Inputs'!$B$32)/1000+'Inputs'!$B$21))/SQRT((((896-43)*MAX('Inputs'!$B$33,'Inputs'!$B$29+'Inputs'!$B$31+'Inputs'!$B$32,'Inputs'!$B$30+'Inputs'!$B$31+'Inputs'!$B$32)/1000+'Inputs'!$B$21))^2+('Inputs'!$B$8/2)^2)))-'Results'!B7*(1+'Inputs'!$B$24)*(0.5*((((896-43)*MAX('Inputs'!$B$33,'Inputs'!$B$29+'Inputs'!$B$31+'Inputs'!$B$32,'Inputs'!$B$30+'Inputs'!$B$31+'Inputs'!$B$32)/1000+'Inputs'!$B$21+'Inputs'!$B$9+'Inputs'!$B$10)+'Inputs'!$B$7)/SQRT((((896-43)*MAX('Inputs'!$B$33,'Inputs'!$B$29+'Inputs'!$B$31+'Inputs'!$B$32,'Inputs'!$B$30+'Inputs'!$B$31+'Inputs'!$B$32)/1000+'Inputs'!$B$21+'Inputs'!$B$9+'Inputs'!$B$10)+'Inputs'!$B$7)^2+('Inputs'!$B$6/2)^2)-(((896-43)*MAX('Inputs'!$B$33,'Inputs'!$B$29+'Inputs'!$B$31+'Inputs'!$B$32,'Inputs'!$B$30+'Inputs'!$B$31+'Inputs'!$B$32)/1000+'Inputs'!$B$21+'Inputs'!$B$9+'Inputs'!$B$10))/SQRT((((896-43)*MAX('Inputs'!$B$33,'Inputs'!$B$29+'Inputs'!$B$31+'Inputs'!$B$32,'Inputs'!$B$30+'Inputs'!$B$31+'Inputs'!$B$32)/1000+'Inputs'!$B$21+'Inputs'!$B$9+'Inputs'!$B$10))^2+('Inputs'!$B$6/2)^2))))*'Results'!$B$8)-'Inputs'!$B$28*ABS((('Results'!C7*(1-'Inputs'!$B$24)*(0.5*((((896-43)*MAX('Inputs'!$B$33,'Inputs'!$B$29+'Inputs'!$B$31+'Inputs'!$B$32,'Inputs'!$B$30+'Inputs'!$B$31+'Inputs'!$B$32)/1000+'Inputs'!$B$21)+'Inputs'!$B$9)/SQRT((((896-43)*MAX('Inputs'!$B$33,'Inputs'!$B$29+'Inputs'!$B$31+'Inputs'!$B$32,'Inputs'!$B$30+'Inputs'!$B$31+'Inputs'!$B$32)/1000+'Inputs'!$B$21)+'Inputs'!$B$9)^2+('Inputs'!$B$8/2)^2)-(((896-43)*MAX('Inputs'!$B$33,'Inputs'!$B$29+'Inputs'!$B$31+'Inputs'!$B$32,'Inputs'!$B$30+'Inputs'!$B$31+'Inputs'!$B$32)/1000+'Inputs'!$B$21))/SQRT((((896-43)*MAX('Inputs'!$B$33,'Inputs'!$B$29+'Inputs'!$B$31+'Inputs'!$B$32,'Inputs'!$B$30+'Inputs'!$B$31+'Inputs'!$B$32)/1000+'Inputs'!$B$21))^2+('Inputs'!$B$8/2)^2)))-'Results'!B7*(1+'Inputs'!$B$24)*(0.5*((((896-43)*MAX('Inputs'!$B$33,'Inputs'!$B$29+'Inputs'!$B$31+'Inputs'!$B$32,'Inputs'!$B$30+'Inputs'!$B$31+'Inputs'!$B$32)/1000+'Inputs'!$B$21+'Inputs'!$B$9+'Inputs'!$B$10)+'Inputs'!$B$7)/SQRT((((896-43)*MAX('Inputs'!$B$33,'Inputs'!$B$29+'Inputs'!$B$31+'Inputs'!$B$32,'Inputs'!$B$30+'Inputs'!$B$31+'Inputs'!$B$32)/1000+'Inputs'!$B$21+'Inputs'!$B$9+'Inputs'!$B$10)+'Inputs'!$B$7)^2+('Inputs'!$B$6/2)^2)-(((896-43)*MAX('Inputs'!$B$33,'Inputs'!$B$29+'Inputs'!$B$31+'Inputs'!$B$32,'Inputs'!$B$30+'Inputs'!$B$31+'Inputs'!$B$32)/1000+'Inputs'!$B$21+'Inputs'!$B$9+'Inputs'!$B$10))/SQRT((((896-43)*MAX('Inputs'!$B$33,'Inputs'!$B$29+'Inputs'!$B$31+'Inputs'!$B$32,'Inputs'!$B$30+'Inputs'!$B$31+'Inputs'!$B$32)/1000+'Inputs'!$B$21+'Inputs'!$B$9+'Inputs'!$B$10))^2+('Inputs'!$B$6/2)^2))))*'Results'!$B$8))),"")</x:f>
        <x:v>0.47809471543872045</x:v>
      </x:c>
      <x:c r="O896" t="n">
        <x:f>IF(AND(ISNUMBER('Results'!C7),ISNUMBER('Results'!B7),ISNUMBER('Results'!$B$8),ISNUMBER('Inputs'!$B$6),ISNUMBER('Inputs'!$B$7),ISNUMBER('Inputs'!$B$8),ISNUMBER('Inputs'!$B$9),ISNUMBER('Inputs'!$B$10),ISNUMBER('Inputs'!$B$21),ISNUMBER('Inputs'!$B$24),ISNUMBER('Inputs'!$B$28)),((('Results'!C7*(1+'Inputs'!$B$24)*(0.5*((((896-43)*MAX('Inputs'!$B$33,'Inputs'!$B$29+'Inputs'!$B$31+'Inputs'!$B$32,'Inputs'!$B$30+'Inputs'!$B$31+'Inputs'!$B$32)/1000+'Inputs'!$B$21)+'Inputs'!$B$9)/SQRT((((896-43)*MAX('Inputs'!$B$33,'Inputs'!$B$29+'Inputs'!$B$31+'Inputs'!$B$32,'Inputs'!$B$30+'Inputs'!$B$31+'Inputs'!$B$32)/1000+'Inputs'!$B$21)+'Inputs'!$B$9)^2+('Inputs'!$B$8/2)^2)-(((896-43)*MAX('Inputs'!$B$33,'Inputs'!$B$29+'Inputs'!$B$31+'Inputs'!$B$32,'Inputs'!$B$30+'Inputs'!$B$31+'Inputs'!$B$32)/1000+'Inputs'!$B$21))/SQRT((((896-43)*MAX('Inputs'!$B$33,'Inputs'!$B$29+'Inputs'!$B$31+'Inputs'!$B$32,'Inputs'!$B$30+'Inputs'!$B$31+'Inputs'!$B$32)/1000+'Inputs'!$B$21))^2+('Inputs'!$B$8/2)^2)))-'Results'!B7*(1-'Inputs'!$B$24)*(0.5*((((896-43)*MAX('Inputs'!$B$33,'Inputs'!$B$29+'Inputs'!$B$31+'Inputs'!$B$32,'Inputs'!$B$30+'Inputs'!$B$31+'Inputs'!$B$32)/1000+'Inputs'!$B$21+'Inputs'!$B$9+'Inputs'!$B$10)+'Inputs'!$B$7)/SQRT((((896-43)*MAX('Inputs'!$B$33,'Inputs'!$B$29+'Inputs'!$B$31+'Inputs'!$B$32,'Inputs'!$B$30+'Inputs'!$B$31+'Inputs'!$B$32)/1000+'Inputs'!$B$21+'Inputs'!$B$9+'Inputs'!$B$10)+'Inputs'!$B$7)^2+('Inputs'!$B$6/2)^2)-(((896-43)*MAX('Inputs'!$B$33,'Inputs'!$B$29+'Inputs'!$B$31+'Inputs'!$B$32,'Inputs'!$B$30+'Inputs'!$B$31+'Inputs'!$B$32)/1000+'Inputs'!$B$21+'Inputs'!$B$9+'Inputs'!$B$10))/SQRT((((896-43)*MAX('Inputs'!$B$33,'Inputs'!$B$29+'Inputs'!$B$31+'Inputs'!$B$32,'Inputs'!$B$30+'Inputs'!$B$31+'Inputs'!$B$32)/1000+'Inputs'!$B$21+'Inputs'!$B$9+'Inputs'!$B$10))^2+('Inputs'!$B$6/2)^2))))*'Results'!$B$8)+'Inputs'!$B$28*ABS((('Results'!C7*(1+'Inputs'!$B$24)*(0.5*((((896-43)*MAX('Inputs'!$B$33,'Inputs'!$B$29+'Inputs'!$B$31+'Inputs'!$B$32,'Inputs'!$B$30+'Inputs'!$B$31+'Inputs'!$B$32)/1000+'Inputs'!$B$21)+'Inputs'!$B$9)/SQRT((((896-43)*MAX('Inputs'!$B$33,'Inputs'!$B$29+'Inputs'!$B$31+'Inputs'!$B$32,'Inputs'!$B$30+'Inputs'!$B$31+'Inputs'!$B$32)/1000+'Inputs'!$B$21)+'Inputs'!$B$9)^2+('Inputs'!$B$8/2)^2)-(((896-43)*MAX('Inputs'!$B$33,'Inputs'!$B$29+'Inputs'!$B$31+'Inputs'!$B$32,'Inputs'!$B$30+'Inputs'!$B$31+'Inputs'!$B$32)/1000+'Inputs'!$B$21))/SQRT((((896-43)*MAX('Inputs'!$B$33,'Inputs'!$B$29+'Inputs'!$B$31+'Inputs'!$B$32,'Inputs'!$B$30+'Inputs'!$B$31+'Inputs'!$B$32)/1000+'Inputs'!$B$21))^2+('Inputs'!$B$8/2)^2)))-'Results'!B7*(1-'Inputs'!$B$24)*(0.5*((((896-43)*MAX('Inputs'!$B$33,'Inputs'!$B$29+'Inputs'!$B$31+'Inputs'!$B$32,'Inputs'!$B$30+'Inputs'!$B$31+'Inputs'!$B$32)/1000+'Inputs'!$B$21+'Inputs'!$B$9+'Inputs'!$B$10)+'Inputs'!$B$7)/SQRT((((896-43)*MAX('Inputs'!$B$33,'Inputs'!$B$29+'Inputs'!$B$31+'Inputs'!$B$32,'Inputs'!$B$30+'Inputs'!$B$31+'Inputs'!$B$32)/1000+'Inputs'!$B$21+'Inputs'!$B$9+'Inputs'!$B$10)+'Inputs'!$B$7)^2+('Inputs'!$B$6/2)^2)-(((896-43)*MAX('Inputs'!$B$33,'Inputs'!$B$29+'Inputs'!$B$31+'Inputs'!$B$32,'Inputs'!$B$30+'Inputs'!$B$31+'Inputs'!$B$32)/1000+'Inputs'!$B$21+'Inputs'!$B$9+'Inputs'!$B$10))/SQRT((((896-43)*MAX('Inputs'!$B$33,'Inputs'!$B$29+'Inputs'!$B$31+'Inputs'!$B$32,'Inputs'!$B$30+'Inputs'!$B$31+'Inputs'!$B$32)/1000+'Inputs'!$B$21+'Inputs'!$B$9+'Inputs'!$B$10))^2+('Inputs'!$B$6/2)^2))))*'Results'!$B$8))),"")</x:f>
        <x:v>0.6673795723331318</x:v>
      </x:c>
      <x:c r="P896" t="n">
        <x:f>IF(AND(MAX(J896,J895)&gt;0,J896&gt;J895+0.00000001),1,0)</x:f>
        <x:v>0</x:v>
      </x:c>
      <x:c r="Q896" t="n">
        <x:f>IF(AND(MAX(K896,K895)&gt;0,K896&gt;K895+0.00000001),1,0)</x:f>
        <x:v>0</x:v>
      </x:c>
      <x:c r="R896" t="n">
        <x:f>IF(AND(MAX(L896,L895)&gt;0,L896&gt;L895+0.00000001),1,0)</x:f>
        <x:v>0</x:v>
      </x:c>
      <x:c r="S896" t="n">
        <x:f>IF(AND(MAX(M896,M895)&gt;0,M896&gt;M895+0.00000001),1,0)</x:f>
        <x:v>0</x:v>
      </x:c>
      <x:c r="T896" t="n">
        <x:f>IF(AND(MAX(N896,N895)&gt;0,N896&gt;N895+0.00000001),1,0)</x:f>
        <x:v>0</x:v>
      </x:c>
      <x:c r="U896" t="n">
        <x:f>IF(AND(MAX(O896,O895)&gt;0,O896&gt;O895+0.00000001),1,0)</x:f>
        <x:v>0</x:v>
      </x:c>
    </x:row>
    <x:row r="897">
      <x:c r="J897" t="n">
        <x:f>IF(AND(ISNUMBER('Results'!B7),ISNUMBER('Results'!C7),ISNUMBER('Results'!$B$8),ISNUMBER('Inputs'!$B$6),ISNUMBER('Inputs'!$B$7),ISNUMBER('Inputs'!$B$8),ISNUMBER('Inputs'!$B$9),ISNUMBER('Inputs'!$B$10),ISNUMBER('Inputs'!$B$21),ISNUMBER('Inputs'!$B$24),ISNUMBER('Inputs'!$B$28)),(('Results'!B7*(0.5*((((897-43)*MAX('Inputs'!$B$33,'Inputs'!$B$29+'Inputs'!$B$31+'Inputs'!$B$32,'Inputs'!$B$30+'Inputs'!$B$31+'Inputs'!$B$32)/1000+'Inputs'!$B$21)+'Inputs'!$B$7)/SQRT((((897-43)*MAX('Inputs'!$B$33,'Inputs'!$B$29+'Inputs'!$B$31+'Inputs'!$B$32,'Inputs'!$B$30+'Inputs'!$B$31+'Inputs'!$B$32)/1000+'Inputs'!$B$21)+'Inputs'!$B$7)^2+('Inputs'!$B$6/2)^2)-(((897-43)*MAX('Inputs'!$B$33,'Inputs'!$B$29+'Inputs'!$B$31+'Inputs'!$B$32,'Inputs'!$B$30+'Inputs'!$B$31+'Inputs'!$B$32)/1000+'Inputs'!$B$21))/SQRT((((897-43)*MAX('Inputs'!$B$33,'Inputs'!$B$29+'Inputs'!$B$31+'Inputs'!$B$32,'Inputs'!$B$30+'Inputs'!$B$31+'Inputs'!$B$32)/1000+'Inputs'!$B$21))^2+('Inputs'!$B$6/2)^2)))-'Results'!C7*(0.5*((((897-43)*MAX('Inputs'!$B$33,'Inputs'!$B$29+'Inputs'!$B$31+'Inputs'!$B$32,'Inputs'!$B$30+'Inputs'!$B$31+'Inputs'!$B$32)/1000+'Inputs'!$B$21+'Inputs'!$B$7+'Inputs'!$B$10)+'Inputs'!$B$9)/SQRT((((897-43)*MAX('Inputs'!$B$33,'Inputs'!$B$29+'Inputs'!$B$31+'Inputs'!$B$32,'Inputs'!$B$30+'Inputs'!$B$31+'Inputs'!$B$32)/1000+'Inputs'!$B$21+'Inputs'!$B$7+'Inputs'!$B$10)+'Inputs'!$B$9)^2+('Inputs'!$B$8/2)^2)-(((897-43)*MAX('Inputs'!$B$33,'Inputs'!$B$29+'Inputs'!$B$31+'Inputs'!$B$32,'Inputs'!$B$30+'Inputs'!$B$31+'Inputs'!$B$32)/1000+'Inputs'!$B$21+'Inputs'!$B$7+'Inputs'!$B$10))/SQRT((((897-43)*MAX('Inputs'!$B$33,'Inputs'!$B$29+'Inputs'!$B$31+'Inputs'!$B$32,'Inputs'!$B$30+'Inputs'!$B$31+'Inputs'!$B$32)/1000+'Inputs'!$B$21+'Inputs'!$B$7+'Inputs'!$B$10))^2+('Inputs'!$B$8/2)^2))))*'Results'!$B$8),"")</x:f>
        <x:v>0.6337023453181291</x:v>
      </x:c>
      <x:c r="K897" t="n">
        <x:f>IF(AND(ISNUMBER('Results'!B7),ISNUMBER('Results'!C7),ISNUMBER('Results'!$B$8),ISNUMBER('Inputs'!$B$6),ISNUMBER('Inputs'!$B$7),ISNUMBER('Inputs'!$B$8),ISNUMBER('Inputs'!$B$9),ISNUMBER('Inputs'!$B$10),ISNUMBER('Inputs'!$B$21),ISNUMBER('Inputs'!$B$24),ISNUMBER('Inputs'!$B$28)),((('Results'!B7*(1-'Inputs'!$B$24)*(0.5*((((897-43)*MAX('Inputs'!$B$33,'Inputs'!$B$29+'Inputs'!$B$31+'Inputs'!$B$32,'Inputs'!$B$30+'Inputs'!$B$31+'Inputs'!$B$32)/1000+'Inputs'!$B$21)+'Inputs'!$B$7)/SQRT((((897-43)*MAX('Inputs'!$B$33,'Inputs'!$B$29+'Inputs'!$B$31+'Inputs'!$B$32,'Inputs'!$B$30+'Inputs'!$B$31+'Inputs'!$B$32)/1000+'Inputs'!$B$21)+'Inputs'!$B$7)^2+('Inputs'!$B$6/2)^2)-(((897-43)*MAX('Inputs'!$B$33,'Inputs'!$B$29+'Inputs'!$B$31+'Inputs'!$B$32,'Inputs'!$B$30+'Inputs'!$B$31+'Inputs'!$B$32)/1000+'Inputs'!$B$21))/SQRT((((897-43)*MAX('Inputs'!$B$33,'Inputs'!$B$29+'Inputs'!$B$31+'Inputs'!$B$32,'Inputs'!$B$30+'Inputs'!$B$31+'Inputs'!$B$32)/1000+'Inputs'!$B$21))^2+('Inputs'!$B$6/2)^2)))-'Results'!C7*(1+'Inputs'!$B$24)*(0.5*((((897-43)*MAX('Inputs'!$B$33,'Inputs'!$B$29+'Inputs'!$B$31+'Inputs'!$B$32,'Inputs'!$B$30+'Inputs'!$B$31+'Inputs'!$B$32)/1000+'Inputs'!$B$21+'Inputs'!$B$7+'Inputs'!$B$10)+'Inputs'!$B$9)/SQRT((((897-43)*MAX('Inputs'!$B$33,'Inputs'!$B$29+'Inputs'!$B$31+'Inputs'!$B$32,'Inputs'!$B$30+'Inputs'!$B$31+'Inputs'!$B$32)/1000+'Inputs'!$B$21+'Inputs'!$B$7+'Inputs'!$B$10)+'Inputs'!$B$9)^2+('Inputs'!$B$8/2)^2)-(((897-43)*MAX('Inputs'!$B$33,'Inputs'!$B$29+'Inputs'!$B$31+'Inputs'!$B$32,'Inputs'!$B$30+'Inputs'!$B$31+'Inputs'!$B$32)/1000+'Inputs'!$B$21+'Inputs'!$B$7+'Inputs'!$B$10))/SQRT((((897-43)*MAX('Inputs'!$B$33,'Inputs'!$B$29+'Inputs'!$B$31+'Inputs'!$B$32,'Inputs'!$B$30+'Inputs'!$B$31+'Inputs'!$B$32)/1000+'Inputs'!$B$21+'Inputs'!$B$7+'Inputs'!$B$10))^2+('Inputs'!$B$8/2)^2))))*'Results'!$B$8)-'Inputs'!$B$28*ABS((('Results'!B7*(1-'Inputs'!$B$24)*(0.5*((((897-43)*MAX('Inputs'!$B$33,'Inputs'!$B$29+'Inputs'!$B$31+'Inputs'!$B$32,'Inputs'!$B$30+'Inputs'!$B$31+'Inputs'!$B$32)/1000+'Inputs'!$B$21)+'Inputs'!$B$7)/SQRT((((897-43)*MAX('Inputs'!$B$33,'Inputs'!$B$29+'Inputs'!$B$31+'Inputs'!$B$32,'Inputs'!$B$30+'Inputs'!$B$31+'Inputs'!$B$32)/1000+'Inputs'!$B$21)+'Inputs'!$B$7)^2+('Inputs'!$B$6/2)^2)-(((897-43)*MAX('Inputs'!$B$33,'Inputs'!$B$29+'Inputs'!$B$31+'Inputs'!$B$32,'Inputs'!$B$30+'Inputs'!$B$31+'Inputs'!$B$32)/1000+'Inputs'!$B$21))/SQRT((((897-43)*MAX('Inputs'!$B$33,'Inputs'!$B$29+'Inputs'!$B$31+'Inputs'!$B$32,'Inputs'!$B$30+'Inputs'!$B$31+'Inputs'!$B$32)/1000+'Inputs'!$B$21))^2+('Inputs'!$B$6/2)^2)))-'Results'!C7*(1+'Inputs'!$B$24)*(0.5*((((897-43)*MAX('Inputs'!$B$33,'Inputs'!$B$29+'Inputs'!$B$31+'Inputs'!$B$32,'Inputs'!$B$30+'Inputs'!$B$31+'Inputs'!$B$32)/1000+'Inputs'!$B$21+'Inputs'!$B$7+'Inputs'!$B$10)+'Inputs'!$B$9)/SQRT((((897-43)*MAX('Inputs'!$B$33,'Inputs'!$B$29+'Inputs'!$B$31+'Inputs'!$B$32,'Inputs'!$B$30+'Inputs'!$B$31+'Inputs'!$B$32)/1000+'Inputs'!$B$21+'Inputs'!$B$7+'Inputs'!$B$10)+'Inputs'!$B$9)^2+('Inputs'!$B$8/2)^2)-(((897-43)*MAX('Inputs'!$B$33,'Inputs'!$B$29+'Inputs'!$B$31+'Inputs'!$B$32,'Inputs'!$B$30+'Inputs'!$B$31+'Inputs'!$B$32)/1000+'Inputs'!$B$21+'Inputs'!$B$7+'Inputs'!$B$10))/SQRT((((897-43)*MAX('Inputs'!$B$33,'Inputs'!$B$29+'Inputs'!$B$31+'Inputs'!$B$32,'Inputs'!$B$30+'Inputs'!$B$31+'Inputs'!$B$32)/1000+'Inputs'!$B$21+'Inputs'!$B$7+'Inputs'!$B$10))^2+('Inputs'!$B$8/2)^2))))*'Results'!$B$8))),"")</x:f>
        <x:v>0.5391281606666656</x:v>
      </x:c>
      <x:c r="L897" t="n">
        <x:f>IF(AND(ISNUMBER('Results'!B7),ISNUMBER('Results'!C7),ISNUMBER('Results'!$B$8),ISNUMBER('Inputs'!$B$6),ISNUMBER('Inputs'!$B$7),ISNUMBER('Inputs'!$B$8),ISNUMBER('Inputs'!$B$9),ISNUMBER('Inputs'!$B$10),ISNUMBER('Inputs'!$B$21),ISNUMBER('Inputs'!$B$24),ISNUMBER('Inputs'!$B$28)),((('Results'!B7*(1+'Inputs'!$B$24)*(0.5*((((897-43)*MAX('Inputs'!$B$33,'Inputs'!$B$29+'Inputs'!$B$31+'Inputs'!$B$32,'Inputs'!$B$30+'Inputs'!$B$31+'Inputs'!$B$32)/1000+'Inputs'!$B$21)+'Inputs'!$B$7)/SQRT((((897-43)*MAX('Inputs'!$B$33,'Inputs'!$B$29+'Inputs'!$B$31+'Inputs'!$B$32,'Inputs'!$B$30+'Inputs'!$B$31+'Inputs'!$B$32)/1000+'Inputs'!$B$21)+'Inputs'!$B$7)^2+('Inputs'!$B$6/2)^2)-(((897-43)*MAX('Inputs'!$B$33,'Inputs'!$B$29+'Inputs'!$B$31+'Inputs'!$B$32,'Inputs'!$B$30+'Inputs'!$B$31+'Inputs'!$B$32)/1000+'Inputs'!$B$21))/SQRT((((897-43)*MAX('Inputs'!$B$33,'Inputs'!$B$29+'Inputs'!$B$31+'Inputs'!$B$32,'Inputs'!$B$30+'Inputs'!$B$31+'Inputs'!$B$32)/1000+'Inputs'!$B$21))^2+('Inputs'!$B$6/2)^2)))-'Results'!C7*(1-'Inputs'!$B$24)*(0.5*((((897-43)*MAX('Inputs'!$B$33,'Inputs'!$B$29+'Inputs'!$B$31+'Inputs'!$B$32,'Inputs'!$B$30+'Inputs'!$B$31+'Inputs'!$B$32)/1000+'Inputs'!$B$21+'Inputs'!$B$7+'Inputs'!$B$10)+'Inputs'!$B$9)/SQRT((((897-43)*MAX('Inputs'!$B$33,'Inputs'!$B$29+'Inputs'!$B$31+'Inputs'!$B$32,'Inputs'!$B$30+'Inputs'!$B$31+'Inputs'!$B$32)/1000+'Inputs'!$B$21+'Inputs'!$B$7+'Inputs'!$B$10)+'Inputs'!$B$9)^2+('Inputs'!$B$8/2)^2)-(((897-43)*MAX('Inputs'!$B$33,'Inputs'!$B$29+'Inputs'!$B$31+'Inputs'!$B$32,'Inputs'!$B$30+'Inputs'!$B$31+'Inputs'!$B$32)/1000+'Inputs'!$B$21+'Inputs'!$B$7+'Inputs'!$B$10))/SQRT((((897-43)*MAX('Inputs'!$B$33,'Inputs'!$B$29+'Inputs'!$B$31+'Inputs'!$B$32,'Inputs'!$B$30+'Inputs'!$B$31+'Inputs'!$B$32)/1000+'Inputs'!$B$21+'Inputs'!$B$7+'Inputs'!$B$10))^2+('Inputs'!$B$8/2)^2))))*'Results'!$B$8)+'Inputs'!$B$28*ABS((('Results'!B7*(1+'Inputs'!$B$24)*(0.5*((((897-43)*MAX('Inputs'!$B$33,'Inputs'!$B$29+'Inputs'!$B$31+'Inputs'!$B$32,'Inputs'!$B$30+'Inputs'!$B$31+'Inputs'!$B$32)/1000+'Inputs'!$B$21)+'Inputs'!$B$7)/SQRT((((897-43)*MAX('Inputs'!$B$33,'Inputs'!$B$29+'Inputs'!$B$31+'Inputs'!$B$32,'Inputs'!$B$30+'Inputs'!$B$31+'Inputs'!$B$32)/1000+'Inputs'!$B$21)+'Inputs'!$B$7)^2+('Inputs'!$B$6/2)^2)-(((897-43)*MAX('Inputs'!$B$33,'Inputs'!$B$29+'Inputs'!$B$31+'Inputs'!$B$32,'Inputs'!$B$30+'Inputs'!$B$31+'Inputs'!$B$32)/1000+'Inputs'!$B$21))/SQRT((((897-43)*MAX('Inputs'!$B$33,'Inputs'!$B$29+'Inputs'!$B$31+'Inputs'!$B$32,'Inputs'!$B$30+'Inputs'!$B$31+'Inputs'!$B$32)/1000+'Inputs'!$B$21))^2+('Inputs'!$B$6/2)^2)))-'Results'!C7*(1-'Inputs'!$B$24)*(0.5*((((897-43)*MAX('Inputs'!$B$33,'Inputs'!$B$29+'Inputs'!$B$31+'Inputs'!$B$32,'Inputs'!$B$30+'Inputs'!$B$31+'Inputs'!$B$32)/1000+'Inputs'!$B$21+'Inputs'!$B$7+'Inputs'!$B$10)+'Inputs'!$B$9)/SQRT((((897-43)*MAX('Inputs'!$B$33,'Inputs'!$B$29+'Inputs'!$B$31+'Inputs'!$B$32,'Inputs'!$B$30+'Inputs'!$B$31+'Inputs'!$B$32)/1000+'Inputs'!$B$21+'Inputs'!$B$7+'Inputs'!$B$10)+'Inputs'!$B$9)^2+('Inputs'!$B$8/2)^2)-(((897-43)*MAX('Inputs'!$B$33,'Inputs'!$B$29+'Inputs'!$B$31+'Inputs'!$B$32,'Inputs'!$B$30+'Inputs'!$B$31+'Inputs'!$B$32)/1000+'Inputs'!$B$21+'Inputs'!$B$7+'Inputs'!$B$10))/SQRT((((897-43)*MAX('Inputs'!$B$33,'Inputs'!$B$29+'Inputs'!$B$31+'Inputs'!$B$32,'Inputs'!$B$30+'Inputs'!$B$31+'Inputs'!$B$32)/1000+'Inputs'!$B$21+'Inputs'!$B$7+'Inputs'!$B$10))^2+('Inputs'!$B$8/2)^2))))*'Results'!$B$8))),"")</x:f>
        <x:v>0.7348964317996519</x:v>
      </x:c>
      <x:c r="M897" t="n">
        <x:f>IF(AND(ISNUMBER('Results'!C7),ISNUMBER('Results'!B7),ISNUMBER('Results'!$B$8),ISNUMBER('Inputs'!$B$6),ISNUMBER('Inputs'!$B$7),ISNUMBER('Inputs'!$B$8),ISNUMBER('Inputs'!$B$9),ISNUMBER('Inputs'!$B$10),ISNUMBER('Inputs'!$B$21),ISNUMBER('Inputs'!$B$24),ISNUMBER('Inputs'!$B$28)),(('Results'!C7*(0.5*((((897-43)*MAX('Inputs'!$B$33,'Inputs'!$B$29+'Inputs'!$B$31+'Inputs'!$B$32,'Inputs'!$B$30+'Inputs'!$B$31+'Inputs'!$B$32)/1000+'Inputs'!$B$21)+'Inputs'!$B$9)/SQRT((((897-43)*MAX('Inputs'!$B$33,'Inputs'!$B$29+'Inputs'!$B$31+'Inputs'!$B$32,'Inputs'!$B$30+'Inputs'!$B$31+'Inputs'!$B$32)/1000+'Inputs'!$B$21)+'Inputs'!$B$9)^2+('Inputs'!$B$8/2)^2)-(((897-43)*MAX('Inputs'!$B$33,'Inputs'!$B$29+'Inputs'!$B$31+'Inputs'!$B$32,'Inputs'!$B$30+'Inputs'!$B$31+'Inputs'!$B$32)/1000+'Inputs'!$B$21))/SQRT((((897-43)*MAX('Inputs'!$B$33,'Inputs'!$B$29+'Inputs'!$B$31+'Inputs'!$B$32,'Inputs'!$B$30+'Inputs'!$B$31+'Inputs'!$B$32)/1000+'Inputs'!$B$21))^2+('Inputs'!$B$8/2)^2)))-'Results'!B7*(0.5*((((897-43)*MAX('Inputs'!$B$33,'Inputs'!$B$29+'Inputs'!$B$31+'Inputs'!$B$32,'Inputs'!$B$30+'Inputs'!$B$31+'Inputs'!$B$32)/1000+'Inputs'!$B$21+'Inputs'!$B$9+'Inputs'!$B$10)+'Inputs'!$B$7)/SQRT((((897-43)*MAX('Inputs'!$B$33,'Inputs'!$B$29+'Inputs'!$B$31+'Inputs'!$B$32,'Inputs'!$B$30+'Inputs'!$B$31+'Inputs'!$B$32)/1000+'Inputs'!$B$21+'Inputs'!$B$9+'Inputs'!$B$10)+'Inputs'!$B$7)^2+('Inputs'!$B$6/2)^2)-(((897-43)*MAX('Inputs'!$B$33,'Inputs'!$B$29+'Inputs'!$B$31+'Inputs'!$B$32,'Inputs'!$B$30+'Inputs'!$B$31+'Inputs'!$B$32)/1000+'Inputs'!$B$21+'Inputs'!$B$9+'Inputs'!$B$10))/SQRT((((897-43)*MAX('Inputs'!$B$33,'Inputs'!$B$29+'Inputs'!$B$31+'Inputs'!$B$32,'Inputs'!$B$30+'Inputs'!$B$31+'Inputs'!$B$32)/1000+'Inputs'!$B$21+'Inputs'!$B$9+'Inputs'!$B$10))^2+('Inputs'!$B$6/2)^2))))*'Results'!$B$8),"")</x:f>
        <x:v>0.5669571538400507</x:v>
      </x:c>
      <x:c r="N897" t="n">
        <x:f>IF(AND(ISNUMBER('Results'!C7),ISNUMBER('Results'!B7),ISNUMBER('Results'!$B$8),ISNUMBER('Inputs'!$B$6),ISNUMBER('Inputs'!$B$7),ISNUMBER('Inputs'!$B$8),ISNUMBER('Inputs'!$B$9),ISNUMBER('Inputs'!$B$10),ISNUMBER('Inputs'!$B$21),ISNUMBER('Inputs'!$B$24),ISNUMBER('Inputs'!$B$28)),((('Results'!C7*(1-'Inputs'!$B$24)*(0.5*((((897-43)*MAX('Inputs'!$B$33,'Inputs'!$B$29+'Inputs'!$B$31+'Inputs'!$B$32,'Inputs'!$B$30+'Inputs'!$B$31+'Inputs'!$B$32)/1000+'Inputs'!$B$21)+'Inputs'!$B$9)/SQRT((((897-43)*MAX('Inputs'!$B$33,'Inputs'!$B$29+'Inputs'!$B$31+'Inputs'!$B$32,'Inputs'!$B$30+'Inputs'!$B$31+'Inputs'!$B$32)/1000+'Inputs'!$B$21)+'Inputs'!$B$9)^2+('Inputs'!$B$8/2)^2)-(((897-43)*MAX('Inputs'!$B$33,'Inputs'!$B$29+'Inputs'!$B$31+'Inputs'!$B$32,'Inputs'!$B$30+'Inputs'!$B$31+'Inputs'!$B$32)/1000+'Inputs'!$B$21))/SQRT((((897-43)*MAX('Inputs'!$B$33,'Inputs'!$B$29+'Inputs'!$B$31+'Inputs'!$B$32,'Inputs'!$B$30+'Inputs'!$B$31+'Inputs'!$B$32)/1000+'Inputs'!$B$21))^2+('Inputs'!$B$8/2)^2)))-'Results'!B7*(1+'Inputs'!$B$24)*(0.5*((((897-43)*MAX('Inputs'!$B$33,'Inputs'!$B$29+'Inputs'!$B$31+'Inputs'!$B$32,'Inputs'!$B$30+'Inputs'!$B$31+'Inputs'!$B$32)/1000+'Inputs'!$B$21+'Inputs'!$B$9+'Inputs'!$B$10)+'Inputs'!$B$7)/SQRT((((897-43)*MAX('Inputs'!$B$33,'Inputs'!$B$29+'Inputs'!$B$31+'Inputs'!$B$32,'Inputs'!$B$30+'Inputs'!$B$31+'Inputs'!$B$32)/1000+'Inputs'!$B$21+'Inputs'!$B$9+'Inputs'!$B$10)+'Inputs'!$B$7)^2+('Inputs'!$B$6/2)^2)-(((897-43)*MAX('Inputs'!$B$33,'Inputs'!$B$29+'Inputs'!$B$31+'Inputs'!$B$32,'Inputs'!$B$30+'Inputs'!$B$31+'Inputs'!$B$32)/1000+'Inputs'!$B$21+'Inputs'!$B$9+'Inputs'!$B$10))/SQRT((((897-43)*MAX('Inputs'!$B$33,'Inputs'!$B$29+'Inputs'!$B$31+'Inputs'!$B$32,'Inputs'!$B$30+'Inputs'!$B$31+'Inputs'!$B$32)/1000+'Inputs'!$B$21+'Inputs'!$B$9+'Inputs'!$B$10))^2+('Inputs'!$B$6/2)^2))))*'Results'!$B$8)-'Inputs'!$B$28*ABS((('Results'!C7*(1-'Inputs'!$B$24)*(0.5*((((897-43)*MAX('Inputs'!$B$33,'Inputs'!$B$29+'Inputs'!$B$31+'Inputs'!$B$32,'Inputs'!$B$30+'Inputs'!$B$31+'Inputs'!$B$32)/1000+'Inputs'!$B$21)+'Inputs'!$B$9)/SQRT((((897-43)*MAX('Inputs'!$B$33,'Inputs'!$B$29+'Inputs'!$B$31+'Inputs'!$B$32,'Inputs'!$B$30+'Inputs'!$B$31+'Inputs'!$B$32)/1000+'Inputs'!$B$21)+'Inputs'!$B$9)^2+('Inputs'!$B$8/2)^2)-(((897-43)*MAX('Inputs'!$B$33,'Inputs'!$B$29+'Inputs'!$B$31+'Inputs'!$B$32,'Inputs'!$B$30+'Inputs'!$B$31+'Inputs'!$B$32)/1000+'Inputs'!$B$21))/SQRT((((897-43)*MAX('Inputs'!$B$33,'Inputs'!$B$29+'Inputs'!$B$31+'Inputs'!$B$32,'Inputs'!$B$30+'Inputs'!$B$31+'Inputs'!$B$32)/1000+'Inputs'!$B$21))^2+('Inputs'!$B$8/2)^2)))-'Results'!B7*(1+'Inputs'!$B$24)*(0.5*((((897-43)*MAX('Inputs'!$B$33,'Inputs'!$B$29+'Inputs'!$B$31+'Inputs'!$B$32,'Inputs'!$B$30+'Inputs'!$B$31+'Inputs'!$B$32)/1000+'Inputs'!$B$21+'Inputs'!$B$9+'Inputs'!$B$10)+'Inputs'!$B$7)/SQRT((((897-43)*MAX('Inputs'!$B$33,'Inputs'!$B$29+'Inputs'!$B$31+'Inputs'!$B$32,'Inputs'!$B$30+'Inputs'!$B$31+'Inputs'!$B$32)/1000+'Inputs'!$B$21+'Inputs'!$B$9+'Inputs'!$B$10)+'Inputs'!$B$7)^2+('Inputs'!$B$6/2)^2)-(((897-43)*MAX('Inputs'!$B$33,'Inputs'!$B$29+'Inputs'!$B$31+'Inputs'!$B$32,'Inputs'!$B$30+'Inputs'!$B$31+'Inputs'!$B$32)/1000+'Inputs'!$B$21+'Inputs'!$B$9+'Inputs'!$B$10))/SQRT((((897-43)*MAX('Inputs'!$B$33,'Inputs'!$B$29+'Inputs'!$B$31+'Inputs'!$B$32,'Inputs'!$B$30+'Inputs'!$B$31+'Inputs'!$B$32)/1000+'Inputs'!$B$21+'Inputs'!$B$9+'Inputs'!$B$10))^2+('Inputs'!$B$6/2)^2))))*'Results'!$B$8))),"")</x:f>
        <x:v>0.475950658363339</x:v>
      </x:c>
      <x:c r="O897" t="n">
        <x:f>IF(AND(ISNUMBER('Results'!C7),ISNUMBER('Results'!B7),ISNUMBER('Results'!$B$8),ISNUMBER('Inputs'!$B$6),ISNUMBER('Inputs'!$B$7),ISNUMBER('Inputs'!$B$8),ISNUMBER('Inputs'!$B$9),ISNUMBER('Inputs'!$B$10),ISNUMBER('Inputs'!$B$21),ISNUMBER('Inputs'!$B$24),ISNUMBER('Inputs'!$B$28)),((('Results'!C7*(1+'Inputs'!$B$24)*(0.5*((((897-43)*MAX('Inputs'!$B$33,'Inputs'!$B$29+'Inputs'!$B$31+'Inputs'!$B$32,'Inputs'!$B$30+'Inputs'!$B$31+'Inputs'!$B$32)/1000+'Inputs'!$B$21)+'Inputs'!$B$9)/SQRT((((897-43)*MAX('Inputs'!$B$33,'Inputs'!$B$29+'Inputs'!$B$31+'Inputs'!$B$32,'Inputs'!$B$30+'Inputs'!$B$31+'Inputs'!$B$32)/1000+'Inputs'!$B$21)+'Inputs'!$B$9)^2+('Inputs'!$B$8/2)^2)-(((897-43)*MAX('Inputs'!$B$33,'Inputs'!$B$29+'Inputs'!$B$31+'Inputs'!$B$32,'Inputs'!$B$30+'Inputs'!$B$31+'Inputs'!$B$32)/1000+'Inputs'!$B$21))/SQRT((((897-43)*MAX('Inputs'!$B$33,'Inputs'!$B$29+'Inputs'!$B$31+'Inputs'!$B$32,'Inputs'!$B$30+'Inputs'!$B$31+'Inputs'!$B$32)/1000+'Inputs'!$B$21))^2+('Inputs'!$B$8/2)^2)))-'Results'!B7*(1-'Inputs'!$B$24)*(0.5*((((897-43)*MAX('Inputs'!$B$33,'Inputs'!$B$29+'Inputs'!$B$31+'Inputs'!$B$32,'Inputs'!$B$30+'Inputs'!$B$31+'Inputs'!$B$32)/1000+'Inputs'!$B$21+'Inputs'!$B$9+'Inputs'!$B$10)+'Inputs'!$B$7)/SQRT((((897-43)*MAX('Inputs'!$B$33,'Inputs'!$B$29+'Inputs'!$B$31+'Inputs'!$B$32,'Inputs'!$B$30+'Inputs'!$B$31+'Inputs'!$B$32)/1000+'Inputs'!$B$21+'Inputs'!$B$9+'Inputs'!$B$10)+'Inputs'!$B$7)^2+('Inputs'!$B$6/2)^2)-(((897-43)*MAX('Inputs'!$B$33,'Inputs'!$B$29+'Inputs'!$B$31+'Inputs'!$B$32,'Inputs'!$B$30+'Inputs'!$B$31+'Inputs'!$B$32)/1000+'Inputs'!$B$21+'Inputs'!$B$9+'Inputs'!$B$10))/SQRT((((897-43)*MAX('Inputs'!$B$33,'Inputs'!$B$29+'Inputs'!$B$31+'Inputs'!$B$32,'Inputs'!$B$30+'Inputs'!$B$31+'Inputs'!$B$32)/1000+'Inputs'!$B$21+'Inputs'!$B$9+'Inputs'!$B$10))^2+('Inputs'!$B$6/2)^2))))*'Results'!$B$8)+'Inputs'!$B$28*ABS((('Results'!C7*(1+'Inputs'!$B$24)*(0.5*((((897-43)*MAX('Inputs'!$B$33,'Inputs'!$B$29+'Inputs'!$B$31+'Inputs'!$B$32,'Inputs'!$B$30+'Inputs'!$B$31+'Inputs'!$B$32)/1000+'Inputs'!$B$21)+'Inputs'!$B$9)/SQRT((((897-43)*MAX('Inputs'!$B$33,'Inputs'!$B$29+'Inputs'!$B$31+'Inputs'!$B$32,'Inputs'!$B$30+'Inputs'!$B$31+'Inputs'!$B$32)/1000+'Inputs'!$B$21)+'Inputs'!$B$9)^2+('Inputs'!$B$8/2)^2)-(((897-43)*MAX('Inputs'!$B$33,'Inputs'!$B$29+'Inputs'!$B$31+'Inputs'!$B$32,'Inputs'!$B$30+'Inputs'!$B$31+'Inputs'!$B$32)/1000+'Inputs'!$B$21))/SQRT((((897-43)*MAX('Inputs'!$B$33,'Inputs'!$B$29+'Inputs'!$B$31+'Inputs'!$B$32,'Inputs'!$B$30+'Inputs'!$B$31+'Inputs'!$B$32)/1000+'Inputs'!$B$21))^2+('Inputs'!$B$8/2)^2)))-'Results'!B7*(1-'Inputs'!$B$24)*(0.5*((((897-43)*MAX('Inputs'!$B$33,'Inputs'!$B$29+'Inputs'!$B$31+'Inputs'!$B$32,'Inputs'!$B$30+'Inputs'!$B$31+'Inputs'!$B$32)/1000+'Inputs'!$B$21+'Inputs'!$B$9+'Inputs'!$B$10)+'Inputs'!$B$7)/SQRT((((897-43)*MAX('Inputs'!$B$33,'Inputs'!$B$29+'Inputs'!$B$31+'Inputs'!$B$32,'Inputs'!$B$30+'Inputs'!$B$31+'Inputs'!$B$32)/1000+'Inputs'!$B$21+'Inputs'!$B$9+'Inputs'!$B$10)+'Inputs'!$B$7)^2+('Inputs'!$B$6/2)^2)-(((897-43)*MAX('Inputs'!$B$33,'Inputs'!$B$29+'Inputs'!$B$31+'Inputs'!$B$32,'Inputs'!$B$30+'Inputs'!$B$31+'Inputs'!$B$32)/1000+'Inputs'!$B$21+'Inputs'!$B$9+'Inputs'!$B$10))/SQRT((((897-43)*MAX('Inputs'!$B$33,'Inputs'!$B$29+'Inputs'!$B$31+'Inputs'!$B$32,'Inputs'!$B$30+'Inputs'!$B$31+'Inputs'!$B$32)/1000+'Inputs'!$B$21+'Inputs'!$B$9+'Inputs'!$B$10))^2+('Inputs'!$B$6/2)^2))))*'Results'!$B$8))),"")</x:f>
        <x:v>0.664559295399363</x:v>
      </x:c>
      <x:c r="P897" t="n">
        <x:f>IF(AND(MAX(J897,J896)&gt;0,J897&gt;J896+0.00000001),1,0)</x:f>
        <x:v>0</x:v>
      </x:c>
      <x:c r="Q897" t="n">
        <x:f>IF(AND(MAX(K897,K896)&gt;0,K897&gt;K896+0.00000001),1,0)</x:f>
        <x:v>0</x:v>
      </x:c>
      <x:c r="R897" t="n">
        <x:f>IF(AND(MAX(L897,L896)&gt;0,L897&gt;L896+0.00000001),1,0)</x:f>
        <x:v>0</x:v>
      </x:c>
      <x:c r="S897" t="n">
        <x:f>IF(AND(MAX(M897,M896)&gt;0,M897&gt;M896+0.00000001),1,0)</x:f>
        <x:v>0</x:v>
      </x:c>
      <x:c r="T897" t="n">
        <x:f>IF(AND(MAX(N897,N896)&gt;0,N897&gt;N896+0.00000001),1,0)</x:f>
        <x:v>0</x:v>
      </x:c>
      <x:c r="U897" t="n">
        <x:f>IF(AND(MAX(O897,O896)&gt;0,O897&gt;O896+0.00000001),1,0)</x:f>
        <x:v>0</x:v>
      </x:c>
    </x:row>
    <x:row r="898">
      <x:c r="J898" t="n">
        <x:f>IF(AND(ISNUMBER('Results'!B7),ISNUMBER('Results'!C7),ISNUMBER('Results'!$B$8),ISNUMBER('Inputs'!$B$6),ISNUMBER('Inputs'!$B$7),ISNUMBER('Inputs'!$B$8),ISNUMBER('Inputs'!$B$9),ISNUMBER('Inputs'!$B$10),ISNUMBER('Inputs'!$B$21),ISNUMBER('Inputs'!$B$24),ISNUMBER('Inputs'!$B$28)),(('Results'!B7*(0.5*((((898-43)*MAX('Inputs'!$B$33,'Inputs'!$B$29+'Inputs'!$B$31+'Inputs'!$B$32,'Inputs'!$B$30+'Inputs'!$B$31+'Inputs'!$B$32)/1000+'Inputs'!$B$21)+'Inputs'!$B$7)/SQRT((((898-43)*MAX('Inputs'!$B$33,'Inputs'!$B$29+'Inputs'!$B$31+'Inputs'!$B$32,'Inputs'!$B$30+'Inputs'!$B$31+'Inputs'!$B$32)/1000+'Inputs'!$B$21)+'Inputs'!$B$7)^2+('Inputs'!$B$6/2)^2)-(((898-43)*MAX('Inputs'!$B$33,'Inputs'!$B$29+'Inputs'!$B$31+'Inputs'!$B$32,'Inputs'!$B$30+'Inputs'!$B$31+'Inputs'!$B$32)/1000+'Inputs'!$B$21))/SQRT((((898-43)*MAX('Inputs'!$B$33,'Inputs'!$B$29+'Inputs'!$B$31+'Inputs'!$B$32,'Inputs'!$B$30+'Inputs'!$B$31+'Inputs'!$B$32)/1000+'Inputs'!$B$21))^2+('Inputs'!$B$6/2)^2)))-'Results'!C7*(0.5*((((898-43)*MAX('Inputs'!$B$33,'Inputs'!$B$29+'Inputs'!$B$31+'Inputs'!$B$32,'Inputs'!$B$30+'Inputs'!$B$31+'Inputs'!$B$32)/1000+'Inputs'!$B$21+'Inputs'!$B$7+'Inputs'!$B$10)+'Inputs'!$B$9)/SQRT((((898-43)*MAX('Inputs'!$B$33,'Inputs'!$B$29+'Inputs'!$B$31+'Inputs'!$B$32,'Inputs'!$B$30+'Inputs'!$B$31+'Inputs'!$B$32)/1000+'Inputs'!$B$21+'Inputs'!$B$7+'Inputs'!$B$10)+'Inputs'!$B$9)^2+('Inputs'!$B$8/2)^2)-(((898-43)*MAX('Inputs'!$B$33,'Inputs'!$B$29+'Inputs'!$B$31+'Inputs'!$B$32,'Inputs'!$B$30+'Inputs'!$B$31+'Inputs'!$B$32)/1000+'Inputs'!$B$21+'Inputs'!$B$7+'Inputs'!$B$10))/SQRT((((898-43)*MAX('Inputs'!$B$33,'Inputs'!$B$29+'Inputs'!$B$31+'Inputs'!$B$32,'Inputs'!$B$30+'Inputs'!$B$31+'Inputs'!$B$32)/1000+'Inputs'!$B$21+'Inputs'!$B$7+'Inputs'!$B$10))^2+('Inputs'!$B$8/2)^2))))*'Results'!$B$8),"")</x:f>
        <x:v>0.6310279233062899</x:v>
      </x:c>
      <x:c r="K898" t="n">
        <x:f>IF(AND(ISNUMBER('Results'!B7),ISNUMBER('Results'!C7),ISNUMBER('Results'!$B$8),ISNUMBER('Inputs'!$B$6),ISNUMBER('Inputs'!$B$7),ISNUMBER('Inputs'!$B$8),ISNUMBER('Inputs'!$B$9),ISNUMBER('Inputs'!$B$10),ISNUMBER('Inputs'!$B$21),ISNUMBER('Inputs'!$B$24),ISNUMBER('Inputs'!$B$28)),((('Results'!B7*(1-'Inputs'!$B$24)*(0.5*((((898-43)*MAX('Inputs'!$B$33,'Inputs'!$B$29+'Inputs'!$B$31+'Inputs'!$B$32,'Inputs'!$B$30+'Inputs'!$B$31+'Inputs'!$B$32)/1000+'Inputs'!$B$21)+'Inputs'!$B$7)/SQRT((((898-43)*MAX('Inputs'!$B$33,'Inputs'!$B$29+'Inputs'!$B$31+'Inputs'!$B$32,'Inputs'!$B$30+'Inputs'!$B$31+'Inputs'!$B$32)/1000+'Inputs'!$B$21)+'Inputs'!$B$7)^2+('Inputs'!$B$6/2)^2)-(((898-43)*MAX('Inputs'!$B$33,'Inputs'!$B$29+'Inputs'!$B$31+'Inputs'!$B$32,'Inputs'!$B$30+'Inputs'!$B$31+'Inputs'!$B$32)/1000+'Inputs'!$B$21))/SQRT((((898-43)*MAX('Inputs'!$B$33,'Inputs'!$B$29+'Inputs'!$B$31+'Inputs'!$B$32,'Inputs'!$B$30+'Inputs'!$B$31+'Inputs'!$B$32)/1000+'Inputs'!$B$21))^2+('Inputs'!$B$6/2)^2)))-'Results'!C7*(1+'Inputs'!$B$24)*(0.5*((((898-43)*MAX('Inputs'!$B$33,'Inputs'!$B$29+'Inputs'!$B$31+'Inputs'!$B$32,'Inputs'!$B$30+'Inputs'!$B$31+'Inputs'!$B$32)/1000+'Inputs'!$B$21+'Inputs'!$B$7+'Inputs'!$B$10)+'Inputs'!$B$9)/SQRT((((898-43)*MAX('Inputs'!$B$33,'Inputs'!$B$29+'Inputs'!$B$31+'Inputs'!$B$32,'Inputs'!$B$30+'Inputs'!$B$31+'Inputs'!$B$32)/1000+'Inputs'!$B$21+'Inputs'!$B$7+'Inputs'!$B$10)+'Inputs'!$B$9)^2+('Inputs'!$B$8/2)^2)-(((898-43)*MAX('Inputs'!$B$33,'Inputs'!$B$29+'Inputs'!$B$31+'Inputs'!$B$32,'Inputs'!$B$30+'Inputs'!$B$31+'Inputs'!$B$32)/1000+'Inputs'!$B$21+'Inputs'!$B$7+'Inputs'!$B$10))/SQRT((((898-43)*MAX('Inputs'!$B$33,'Inputs'!$B$29+'Inputs'!$B$31+'Inputs'!$B$32,'Inputs'!$B$30+'Inputs'!$B$31+'Inputs'!$B$32)/1000+'Inputs'!$B$21+'Inputs'!$B$7+'Inputs'!$B$10))^2+('Inputs'!$B$8/2)^2))))*'Results'!$B$8)-'Inputs'!$B$28*ABS((('Results'!B7*(1-'Inputs'!$B$24)*(0.5*((((898-43)*MAX('Inputs'!$B$33,'Inputs'!$B$29+'Inputs'!$B$31+'Inputs'!$B$32,'Inputs'!$B$30+'Inputs'!$B$31+'Inputs'!$B$32)/1000+'Inputs'!$B$21)+'Inputs'!$B$7)/SQRT((((898-43)*MAX('Inputs'!$B$33,'Inputs'!$B$29+'Inputs'!$B$31+'Inputs'!$B$32,'Inputs'!$B$30+'Inputs'!$B$31+'Inputs'!$B$32)/1000+'Inputs'!$B$21)+'Inputs'!$B$7)^2+('Inputs'!$B$6/2)^2)-(((898-43)*MAX('Inputs'!$B$33,'Inputs'!$B$29+'Inputs'!$B$31+'Inputs'!$B$32,'Inputs'!$B$30+'Inputs'!$B$31+'Inputs'!$B$32)/1000+'Inputs'!$B$21))/SQRT((((898-43)*MAX('Inputs'!$B$33,'Inputs'!$B$29+'Inputs'!$B$31+'Inputs'!$B$32,'Inputs'!$B$30+'Inputs'!$B$31+'Inputs'!$B$32)/1000+'Inputs'!$B$21))^2+('Inputs'!$B$6/2)^2)))-'Results'!C7*(1+'Inputs'!$B$24)*(0.5*((((898-43)*MAX('Inputs'!$B$33,'Inputs'!$B$29+'Inputs'!$B$31+'Inputs'!$B$32,'Inputs'!$B$30+'Inputs'!$B$31+'Inputs'!$B$32)/1000+'Inputs'!$B$21+'Inputs'!$B$7+'Inputs'!$B$10)+'Inputs'!$B$9)/SQRT((((898-43)*MAX('Inputs'!$B$33,'Inputs'!$B$29+'Inputs'!$B$31+'Inputs'!$B$32,'Inputs'!$B$30+'Inputs'!$B$31+'Inputs'!$B$32)/1000+'Inputs'!$B$21+'Inputs'!$B$7+'Inputs'!$B$10)+'Inputs'!$B$9)^2+('Inputs'!$B$8/2)^2)-(((898-43)*MAX('Inputs'!$B$33,'Inputs'!$B$29+'Inputs'!$B$31+'Inputs'!$B$32,'Inputs'!$B$30+'Inputs'!$B$31+'Inputs'!$B$32)/1000+'Inputs'!$B$21+'Inputs'!$B$7+'Inputs'!$B$10))/SQRT((((898-43)*MAX('Inputs'!$B$33,'Inputs'!$B$29+'Inputs'!$B$31+'Inputs'!$B$32,'Inputs'!$B$30+'Inputs'!$B$31+'Inputs'!$B$32)/1000+'Inputs'!$B$21+'Inputs'!$B$7+'Inputs'!$B$10))^2+('Inputs'!$B$8/2)^2))))*'Results'!$B$8))),"")</x:f>
        <x:v>0.5367913741813801</x:v>
      </x:c>
      <x:c r="L898" t="n">
        <x:f>IF(AND(ISNUMBER('Results'!B7),ISNUMBER('Results'!C7),ISNUMBER('Results'!$B$8),ISNUMBER('Inputs'!$B$6),ISNUMBER('Inputs'!$B$7),ISNUMBER('Inputs'!$B$8),ISNUMBER('Inputs'!$B$9),ISNUMBER('Inputs'!$B$10),ISNUMBER('Inputs'!$B$21),ISNUMBER('Inputs'!$B$24),ISNUMBER('Inputs'!$B$28)),((('Results'!B7*(1+'Inputs'!$B$24)*(0.5*((((898-43)*MAX('Inputs'!$B$33,'Inputs'!$B$29+'Inputs'!$B$31+'Inputs'!$B$32,'Inputs'!$B$30+'Inputs'!$B$31+'Inputs'!$B$32)/1000+'Inputs'!$B$21)+'Inputs'!$B$7)/SQRT((((898-43)*MAX('Inputs'!$B$33,'Inputs'!$B$29+'Inputs'!$B$31+'Inputs'!$B$32,'Inputs'!$B$30+'Inputs'!$B$31+'Inputs'!$B$32)/1000+'Inputs'!$B$21)+'Inputs'!$B$7)^2+('Inputs'!$B$6/2)^2)-(((898-43)*MAX('Inputs'!$B$33,'Inputs'!$B$29+'Inputs'!$B$31+'Inputs'!$B$32,'Inputs'!$B$30+'Inputs'!$B$31+'Inputs'!$B$32)/1000+'Inputs'!$B$21))/SQRT((((898-43)*MAX('Inputs'!$B$33,'Inputs'!$B$29+'Inputs'!$B$31+'Inputs'!$B$32,'Inputs'!$B$30+'Inputs'!$B$31+'Inputs'!$B$32)/1000+'Inputs'!$B$21))^2+('Inputs'!$B$6/2)^2)))-'Results'!C7*(1-'Inputs'!$B$24)*(0.5*((((898-43)*MAX('Inputs'!$B$33,'Inputs'!$B$29+'Inputs'!$B$31+'Inputs'!$B$32,'Inputs'!$B$30+'Inputs'!$B$31+'Inputs'!$B$32)/1000+'Inputs'!$B$21+'Inputs'!$B$7+'Inputs'!$B$10)+'Inputs'!$B$9)/SQRT((((898-43)*MAX('Inputs'!$B$33,'Inputs'!$B$29+'Inputs'!$B$31+'Inputs'!$B$32,'Inputs'!$B$30+'Inputs'!$B$31+'Inputs'!$B$32)/1000+'Inputs'!$B$21+'Inputs'!$B$7+'Inputs'!$B$10)+'Inputs'!$B$9)^2+('Inputs'!$B$8/2)^2)-(((898-43)*MAX('Inputs'!$B$33,'Inputs'!$B$29+'Inputs'!$B$31+'Inputs'!$B$32,'Inputs'!$B$30+'Inputs'!$B$31+'Inputs'!$B$32)/1000+'Inputs'!$B$21+'Inputs'!$B$7+'Inputs'!$B$10))/SQRT((((898-43)*MAX('Inputs'!$B$33,'Inputs'!$B$29+'Inputs'!$B$31+'Inputs'!$B$32,'Inputs'!$B$30+'Inputs'!$B$31+'Inputs'!$B$32)/1000+'Inputs'!$B$21+'Inputs'!$B$7+'Inputs'!$B$10))^2+('Inputs'!$B$8/2)^2))))*'Results'!$B$8)+'Inputs'!$B$28*ABS((('Results'!B7*(1+'Inputs'!$B$24)*(0.5*((((898-43)*MAX('Inputs'!$B$33,'Inputs'!$B$29+'Inputs'!$B$31+'Inputs'!$B$32,'Inputs'!$B$30+'Inputs'!$B$31+'Inputs'!$B$32)/1000+'Inputs'!$B$21)+'Inputs'!$B$7)/SQRT((((898-43)*MAX('Inputs'!$B$33,'Inputs'!$B$29+'Inputs'!$B$31+'Inputs'!$B$32,'Inputs'!$B$30+'Inputs'!$B$31+'Inputs'!$B$32)/1000+'Inputs'!$B$21)+'Inputs'!$B$7)^2+('Inputs'!$B$6/2)^2)-(((898-43)*MAX('Inputs'!$B$33,'Inputs'!$B$29+'Inputs'!$B$31+'Inputs'!$B$32,'Inputs'!$B$30+'Inputs'!$B$31+'Inputs'!$B$32)/1000+'Inputs'!$B$21))/SQRT((((898-43)*MAX('Inputs'!$B$33,'Inputs'!$B$29+'Inputs'!$B$31+'Inputs'!$B$32,'Inputs'!$B$30+'Inputs'!$B$31+'Inputs'!$B$32)/1000+'Inputs'!$B$21))^2+('Inputs'!$B$6/2)^2)))-'Results'!C7*(1-'Inputs'!$B$24)*(0.5*((((898-43)*MAX('Inputs'!$B$33,'Inputs'!$B$29+'Inputs'!$B$31+'Inputs'!$B$32,'Inputs'!$B$30+'Inputs'!$B$31+'Inputs'!$B$32)/1000+'Inputs'!$B$21+'Inputs'!$B$7+'Inputs'!$B$10)+'Inputs'!$B$9)/SQRT((((898-43)*MAX('Inputs'!$B$33,'Inputs'!$B$29+'Inputs'!$B$31+'Inputs'!$B$32,'Inputs'!$B$30+'Inputs'!$B$31+'Inputs'!$B$32)/1000+'Inputs'!$B$21+'Inputs'!$B$7+'Inputs'!$B$10)+'Inputs'!$B$9)^2+('Inputs'!$B$8/2)^2)-(((898-43)*MAX('Inputs'!$B$33,'Inputs'!$B$29+'Inputs'!$B$31+'Inputs'!$B$32,'Inputs'!$B$30+'Inputs'!$B$31+'Inputs'!$B$32)/1000+'Inputs'!$B$21+'Inputs'!$B$7+'Inputs'!$B$10))/SQRT((((898-43)*MAX('Inputs'!$B$33,'Inputs'!$B$29+'Inputs'!$B$31+'Inputs'!$B$32,'Inputs'!$B$30+'Inputs'!$B$31+'Inputs'!$B$32)/1000+'Inputs'!$B$21+'Inputs'!$B$7+'Inputs'!$B$10))^2+('Inputs'!$B$8/2)^2))))*'Results'!$B$8))),"")</x:f>
        <x:v>0.7318629095848415</x:v>
      </x:c>
      <x:c r="M898" t="n">
        <x:f>IF(AND(ISNUMBER('Results'!C7),ISNUMBER('Results'!B7),ISNUMBER('Results'!$B$8),ISNUMBER('Inputs'!$B$6),ISNUMBER('Inputs'!$B$7),ISNUMBER('Inputs'!$B$8),ISNUMBER('Inputs'!$B$9),ISNUMBER('Inputs'!$B$10),ISNUMBER('Inputs'!$B$21),ISNUMBER('Inputs'!$B$24),ISNUMBER('Inputs'!$B$28)),(('Results'!C7*(0.5*((((898-43)*MAX('Inputs'!$B$33,'Inputs'!$B$29+'Inputs'!$B$31+'Inputs'!$B$32,'Inputs'!$B$30+'Inputs'!$B$31+'Inputs'!$B$32)/1000+'Inputs'!$B$21)+'Inputs'!$B$9)/SQRT((((898-43)*MAX('Inputs'!$B$33,'Inputs'!$B$29+'Inputs'!$B$31+'Inputs'!$B$32,'Inputs'!$B$30+'Inputs'!$B$31+'Inputs'!$B$32)/1000+'Inputs'!$B$21)+'Inputs'!$B$9)^2+('Inputs'!$B$8/2)^2)-(((898-43)*MAX('Inputs'!$B$33,'Inputs'!$B$29+'Inputs'!$B$31+'Inputs'!$B$32,'Inputs'!$B$30+'Inputs'!$B$31+'Inputs'!$B$32)/1000+'Inputs'!$B$21))/SQRT((((898-43)*MAX('Inputs'!$B$33,'Inputs'!$B$29+'Inputs'!$B$31+'Inputs'!$B$32,'Inputs'!$B$30+'Inputs'!$B$31+'Inputs'!$B$32)/1000+'Inputs'!$B$21))^2+('Inputs'!$B$8/2)^2)))-'Results'!B7*(0.5*((((898-43)*MAX('Inputs'!$B$33,'Inputs'!$B$29+'Inputs'!$B$31+'Inputs'!$B$32,'Inputs'!$B$30+'Inputs'!$B$31+'Inputs'!$B$32)/1000+'Inputs'!$B$21+'Inputs'!$B$9+'Inputs'!$B$10)+'Inputs'!$B$7)/SQRT((((898-43)*MAX('Inputs'!$B$33,'Inputs'!$B$29+'Inputs'!$B$31+'Inputs'!$B$32,'Inputs'!$B$30+'Inputs'!$B$31+'Inputs'!$B$32)/1000+'Inputs'!$B$21+'Inputs'!$B$9+'Inputs'!$B$10)+'Inputs'!$B$7)^2+('Inputs'!$B$6/2)^2)-(((898-43)*MAX('Inputs'!$B$33,'Inputs'!$B$29+'Inputs'!$B$31+'Inputs'!$B$32,'Inputs'!$B$30+'Inputs'!$B$31+'Inputs'!$B$32)/1000+'Inputs'!$B$21+'Inputs'!$B$9+'Inputs'!$B$10))/SQRT((((898-43)*MAX('Inputs'!$B$33,'Inputs'!$B$29+'Inputs'!$B$31+'Inputs'!$B$32,'Inputs'!$B$30+'Inputs'!$B$31+'Inputs'!$B$32)/1000+'Inputs'!$B$21+'Inputs'!$B$9+'Inputs'!$B$10))^2+('Inputs'!$B$6/2)^2))))*'Results'!$B$8),"")</x:f>
        <x:v>0.564499023065075</x:v>
      </x:c>
      <x:c r="N898" t="n">
        <x:f>IF(AND(ISNUMBER('Results'!C7),ISNUMBER('Results'!B7),ISNUMBER('Results'!$B$8),ISNUMBER('Inputs'!$B$6),ISNUMBER('Inputs'!$B$7),ISNUMBER('Inputs'!$B$8),ISNUMBER('Inputs'!$B$9),ISNUMBER('Inputs'!$B$10),ISNUMBER('Inputs'!$B$21),ISNUMBER('Inputs'!$B$24),ISNUMBER('Inputs'!$B$28)),((('Results'!C7*(1-'Inputs'!$B$24)*(0.5*((((898-43)*MAX('Inputs'!$B$33,'Inputs'!$B$29+'Inputs'!$B$31+'Inputs'!$B$32,'Inputs'!$B$30+'Inputs'!$B$31+'Inputs'!$B$32)/1000+'Inputs'!$B$21)+'Inputs'!$B$9)/SQRT((((898-43)*MAX('Inputs'!$B$33,'Inputs'!$B$29+'Inputs'!$B$31+'Inputs'!$B$32,'Inputs'!$B$30+'Inputs'!$B$31+'Inputs'!$B$32)/1000+'Inputs'!$B$21)+'Inputs'!$B$9)^2+('Inputs'!$B$8/2)^2)-(((898-43)*MAX('Inputs'!$B$33,'Inputs'!$B$29+'Inputs'!$B$31+'Inputs'!$B$32,'Inputs'!$B$30+'Inputs'!$B$31+'Inputs'!$B$32)/1000+'Inputs'!$B$21))/SQRT((((898-43)*MAX('Inputs'!$B$33,'Inputs'!$B$29+'Inputs'!$B$31+'Inputs'!$B$32,'Inputs'!$B$30+'Inputs'!$B$31+'Inputs'!$B$32)/1000+'Inputs'!$B$21))^2+('Inputs'!$B$8/2)^2)))-'Results'!B7*(1+'Inputs'!$B$24)*(0.5*((((898-43)*MAX('Inputs'!$B$33,'Inputs'!$B$29+'Inputs'!$B$31+'Inputs'!$B$32,'Inputs'!$B$30+'Inputs'!$B$31+'Inputs'!$B$32)/1000+'Inputs'!$B$21+'Inputs'!$B$9+'Inputs'!$B$10)+'Inputs'!$B$7)/SQRT((((898-43)*MAX('Inputs'!$B$33,'Inputs'!$B$29+'Inputs'!$B$31+'Inputs'!$B$32,'Inputs'!$B$30+'Inputs'!$B$31+'Inputs'!$B$32)/1000+'Inputs'!$B$21+'Inputs'!$B$9+'Inputs'!$B$10)+'Inputs'!$B$7)^2+('Inputs'!$B$6/2)^2)-(((898-43)*MAX('Inputs'!$B$33,'Inputs'!$B$29+'Inputs'!$B$31+'Inputs'!$B$32,'Inputs'!$B$30+'Inputs'!$B$31+'Inputs'!$B$32)/1000+'Inputs'!$B$21+'Inputs'!$B$9+'Inputs'!$B$10))/SQRT((((898-43)*MAX('Inputs'!$B$33,'Inputs'!$B$29+'Inputs'!$B$31+'Inputs'!$B$32,'Inputs'!$B$30+'Inputs'!$B$31+'Inputs'!$B$32)/1000+'Inputs'!$B$21+'Inputs'!$B$9+'Inputs'!$B$10))^2+('Inputs'!$B$6/2)^2))))*'Results'!$B$8)-'Inputs'!$B$28*ABS((('Results'!C7*(1-'Inputs'!$B$24)*(0.5*((((898-43)*MAX('Inputs'!$B$33,'Inputs'!$B$29+'Inputs'!$B$31+'Inputs'!$B$32,'Inputs'!$B$30+'Inputs'!$B$31+'Inputs'!$B$32)/1000+'Inputs'!$B$21)+'Inputs'!$B$9)/SQRT((((898-43)*MAX('Inputs'!$B$33,'Inputs'!$B$29+'Inputs'!$B$31+'Inputs'!$B$32,'Inputs'!$B$30+'Inputs'!$B$31+'Inputs'!$B$32)/1000+'Inputs'!$B$21)+'Inputs'!$B$9)^2+('Inputs'!$B$8/2)^2)-(((898-43)*MAX('Inputs'!$B$33,'Inputs'!$B$29+'Inputs'!$B$31+'Inputs'!$B$32,'Inputs'!$B$30+'Inputs'!$B$31+'Inputs'!$B$32)/1000+'Inputs'!$B$21))/SQRT((((898-43)*MAX('Inputs'!$B$33,'Inputs'!$B$29+'Inputs'!$B$31+'Inputs'!$B$32,'Inputs'!$B$30+'Inputs'!$B$31+'Inputs'!$B$32)/1000+'Inputs'!$B$21))^2+('Inputs'!$B$8/2)^2)))-'Results'!B7*(1+'Inputs'!$B$24)*(0.5*((((898-43)*MAX('Inputs'!$B$33,'Inputs'!$B$29+'Inputs'!$B$31+'Inputs'!$B$32,'Inputs'!$B$30+'Inputs'!$B$31+'Inputs'!$B$32)/1000+'Inputs'!$B$21+'Inputs'!$B$9+'Inputs'!$B$10)+'Inputs'!$B$7)/SQRT((((898-43)*MAX('Inputs'!$B$33,'Inputs'!$B$29+'Inputs'!$B$31+'Inputs'!$B$32,'Inputs'!$B$30+'Inputs'!$B$31+'Inputs'!$B$32)/1000+'Inputs'!$B$21+'Inputs'!$B$9+'Inputs'!$B$10)+'Inputs'!$B$7)^2+('Inputs'!$B$6/2)^2)-(((898-43)*MAX('Inputs'!$B$33,'Inputs'!$B$29+'Inputs'!$B$31+'Inputs'!$B$32,'Inputs'!$B$30+'Inputs'!$B$31+'Inputs'!$B$32)/1000+'Inputs'!$B$21+'Inputs'!$B$9+'Inputs'!$B$10))/SQRT((((898-43)*MAX('Inputs'!$B$33,'Inputs'!$B$29+'Inputs'!$B$31+'Inputs'!$B$32,'Inputs'!$B$30+'Inputs'!$B$31+'Inputs'!$B$32)/1000+'Inputs'!$B$21+'Inputs'!$B$9+'Inputs'!$B$10))^2+('Inputs'!$B$6/2)^2))))*'Results'!$B$8))),"")</x:f>
        <x:v>0.47381836351769135</x:v>
      </x:c>
      <x:c r="O898" t="n">
        <x:f>IF(AND(ISNUMBER('Results'!C7),ISNUMBER('Results'!B7),ISNUMBER('Results'!$B$8),ISNUMBER('Inputs'!$B$6),ISNUMBER('Inputs'!$B$7),ISNUMBER('Inputs'!$B$8),ISNUMBER('Inputs'!$B$9),ISNUMBER('Inputs'!$B$10),ISNUMBER('Inputs'!$B$21),ISNUMBER('Inputs'!$B$24),ISNUMBER('Inputs'!$B$28)),((('Results'!C7*(1+'Inputs'!$B$24)*(0.5*((((898-43)*MAX('Inputs'!$B$33,'Inputs'!$B$29+'Inputs'!$B$31+'Inputs'!$B$32,'Inputs'!$B$30+'Inputs'!$B$31+'Inputs'!$B$32)/1000+'Inputs'!$B$21)+'Inputs'!$B$9)/SQRT((((898-43)*MAX('Inputs'!$B$33,'Inputs'!$B$29+'Inputs'!$B$31+'Inputs'!$B$32,'Inputs'!$B$30+'Inputs'!$B$31+'Inputs'!$B$32)/1000+'Inputs'!$B$21)+'Inputs'!$B$9)^2+('Inputs'!$B$8/2)^2)-(((898-43)*MAX('Inputs'!$B$33,'Inputs'!$B$29+'Inputs'!$B$31+'Inputs'!$B$32,'Inputs'!$B$30+'Inputs'!$B$31+'Inputs'!$B$32)/1000+'Inputs'!$B$21))/SQRT((((898-43)*MAX('Inputs'!$B$33,'Inputs'!$B$29+'Inputs'!$B$31+'Inputs'!$B$32,'Inputs'!$B$30+'Inputs'!$B$31+'Inputs'!$B$32)/1000+'Inputs'!$B$21))^2+('Inputs'!$B$8/2)^2)))-'Results'!B7*(1-'Inputs'!$B$24)*(0.5*((((898-43)*MAX('Inputs'!$B$33,'Inputs'!$B$29+'Inputs'!$B$31+'Inputs'!$B$32,'Inputs'!$B$30+'Inputs'!$B$31+'Inputs'!$B$32)/1000+'Inputs'!$B$21+'Inputs'!$B$9+'Inputs'!$B$10)+'Inputs'!$B$7)/SQRT((((898-43)*MAX('Inputs'!$B$33,'Inputs'!$B$29+'Inputs'!$B$31+'Inputs'!$B$32,'Inputs'!$B$30+'Inputs'!$B$31+'Inputs'!$B$32)/1000+'Inputs'!$B$21+'Inputs'!$B$9+'Inputs'!$B$10)+'Inputs'!$B$7)^2+('Inputs'!$B$6/2)^2)-(((898-43)*MAX('Inputs'!$B$33,'Inputs'!$B$29+'Inputs'!$B$31+'Inputs'!$B$32,'Inputs'!$B$30+'Inputs'!$B$31+'Inputs'!$B$32)/1000+'Inputs'!$B$21+'Inputs'!$B$9+'Inputs'!$B$10))/SQRT((((898-43)*MAX('Inputs'!$B$33,'Inputs'!$B$29+'Inputs'!$B$31+'Inputs'!$B$32,'Inputs'!$B$30+'Inputs'!$B$31+'Inputs'!$B$32)/1000+'Inputs'!$B$21+'Inputs'!$B$9+'Inputs'!$B$10))^2+('Inputs'!$B$6/2)^2))))*'Results'!$B$8)+'Inputs'!$B$28*ABS((('Results'!C7*(1+'Inputs'!$B$24)*(0.5*((((898-43)*MAX('Inputs'!$B$33,'Inputs'!$B$29+'Inputs'!$B$31+'Inputs'!$B$32,'Inputs'!$B$30+'Inputs'!$B$31+'Inputs'!$B$32)/1000+'Inputs'!$B$21)+'Inputs'!$B$9)/SQRT((((898-43)*MAX('Inputs'!$B$33,'Inputs'!$B$29+'Inputs'!$B$31+'Inputs'!$B$32,'Inputs'!$B$30+'Inputs'!$B$31+'Inputs'!$B$32)/1000+'Inputs'!$B$21)+'Inputs'!$B$9)^2+('Inputs'!$B$8/2)^2)-(((898-43)*MAX('Inputs'!$B$33,'Inputs'!$B$29+'Inputs'!$B$31+'Inputs'!$B$32,'Inputs'!$B$30+'Inputs'!$B$31+'Inputs'!$B$32)/1000+'Inputs'!$B$21))/SQRT((((898-43)*MAX('Inputs'!$B$33,'Inputs'!$B$29+'Inputs'!$B$31+'Inputs'!$B$32,'Inputs'!$B$30+'Inputs'!$B$31+'Inputs'!$B$32)/1000+'Inputs'!$B$21))^2+('Inputs'!$B$8/2)^2)))-'Results'!B7*(1-'Inputs'!$B$24)*(0.5*((((898-43)*MAX('Inputs'!$B$33,'Inputs'!$B$29+'Inputs'!$B$31+'Inputs'!$B$32,'Inputs'!$B$30+'Inputs'!$B$31+'Inputs'!$B$32)/1000+'Inputs'!$B$21+'Inputs'!$B$9+'Inputs'!$B$10)+'Inputs'!$B$7)/SQRT((((898-43)*MAX('Inputs'!$B$33,'Inputs'!$B$29+'Inputs'!$B$31+'Inputs'!$B$32,'Inputs'!$B$30+'Inputs'!$B$31+'Inputs'!$B$32)/1000+'Inputs'!$B$21+'Inputs'!$B$9+'Inputs'!$B$10)+'Inputs'!$B$7)^2+('Inputs'!$B$6/2)^2)-(((898-43)*MAX('Inputs'!$B$33,'Inputs'!$B$29+'Inputs'!$B$31+'Inputs'!$B$32,'Inputs'!$B$30+'Inputs'!$B$31+'Inputs'!$B$32)/1000+'Inputs'!$B$21+'Inputs'!$B$9+'Inputs'!$B$10))/SQRT((((898-43)*MAX('Inputs'!$B$33,'Inputs'!$B$29+'Inputs'!$B$31+'Inputs'!$B$32,'Inputs'!$B$30+'Inputs'!$B$31+'Inputs'!$B$32)/1000+'Inputs'!$B$21+'Inputs'!$B$9+'Inputs'!$B$10))^2+('Inputs'!$B$6/2)^2))))*'Results'!$B$8))),"")</x:f>
        <x:v>0.661753967706578</x:v>
      </x:c>
      <x:c r="P898" t="n">
        <x:f>IF(AND(MAX(J898,J897)&gt;0,J898&gt;J897+0.00000001),1,0)</x:f>
        <x:v>0</x:v>
      </x:c>
      <x:c r="Q898" t="n">
        <x:f>IF(AND(MAX(K898,K897)&gt;0,K898&gt;K897+0.00000001),1,0)</x:f>
        <x:v>0</x:v>
      </x:c>
      <x:c r="R898" t="n">
        <x:f>IF(AND(MAX(L898,L897)&gt;0,L898&gt;L897+0.00000001),1,0)</x:f>
        <x:v>0</x:v>
      </x:c>
      <x:c r="S898" t="n">
        <x:f>IF(AND(MAX(M898,M897)&gt;0,M898&gt;M897+0.00000001),1,0)</x:f>
        <x:v>0</x:v>
      </x:c>
      <x:c r="T898" t="n">
        <x:f>IF(AND(MAX(N898,N897)&gt;0,N898&gt;N897+0.00000001),1,0)</x:f>
        <x:v>0</x:v>
      </x:c>
      <x:c r="U898" t="n">
        <x:f>IF(AND(MAX(O898,O897)&gt;0,O898&gt;O897+0.00000001),1,0)</x:f>
        <x:v>0</x:v>
      </x:c>
    </x:row>
    <x:row r="899">
      <x:c r="J899" t="n">
        <x:f>IF(AND(ISNUMBER('Results'!B7),ISNUMBER('Results'!C7),ISNUMBER('Results'!$B$8),ISNUMBER('Inputs'!$B$6),ISNUMBER('Inputs'!$B$7),ISNUMBER('Inputs'!$B$8),ISNUMBER('Inputs'!$B$9),ISNUMBER('Inputs'!$B$10),ISNUMBER('Inputs'!$B$21),ISNUMBER('Inputs'!$B$24),ISNUMBER('Inputs'!$B$28)),(('Results'!B7*(0.5*((((899-43)*MAX('Inputs'!$B$33,'Inputs'!$B$29+'Inputs'!$B$31+'Inputs'!$B$32,'Inputs'!$B$30+'Inputs'!$B$31+'Inputs'!$B$32)/1000+'Inputs'!$B$21)+'Inputs'!$B$7)/SQRT((((899-43)*MAX('Inputs'!$B$33,'Inputs'!$B$29+'Inputs'!$B$31+'Inputs'!$B$32,'Inputs'!$B$30+'Inputs'!$B$31+'Inputs'!$B$32)/1000+'Inputs'!$B$21)+'Inputs'!$B$7)^2+('Inputs'!$B$6/2)^2)-(((899-43)*MAX('Inputs'!$B$33,'Inputs'!$B$29+'Inputs'!$B$31+'Inputs'!$B$32,'Inputs'!$B$30+'Inputs'!$B$31+'Inputs'!$B$32)/1000+'Inputs'!$B$21))/SQRT((((899-43)*MAX('Inputs'!$B$33,'Inputs'!$B$29+'Inputs'!$B$31+'Inputs'!$B$32,'Inputs'!$B$30+'Inputs'!$B$31+'Inputs'!$B$32)/1000+'Inputs'!$B$21))^2+('Inputs'!$B$6/2)^2)))-'Results'!C7*(0.5*((((899-43)*MAX('Inputs'!$B$33,'Inputs'!$B$29+'Inputs'!$B$31+'Inputs'!$B$32,'Inputs'!$B$30+'Inputs'!$B$31+'Inputs'!$B$32)/1000+'Inputs'!$B$21+'Inputs'!$B$7+'Inputs'!$B$10)+'Inputs'!$B$9)/SQRT((((899-43)*MAX('Inputs'!$B$33,'Inputs'!$B$29+'Inputs'!$B$31+'Inputs'!$B$32,'Inputs'!$B$30+'Inputs'!$B$31+'Inputs'!$B$32)/1000+'Inputs'!$B$21+'Inputs'!$B$7+'Inputs'!$B$10)+'Inputs'!$B$9)^2+('Inputs'!$B$8/2)^2)-(((899-43)*MAX('Inputs'!$B$33,'Inputs'!$B$29+'Inputs'!$B$31+'Inputs'!$B$32,'Inputs'!$B$30+'Inputs'!$B$31+'Inputs'!$B$32)/1000+'Inputs'!$B$21+'Inputs'!$B$7+'Inputs'!$B$10))/SQRT((((899-43)*MAX('Inputs'!$B$33,'Inputs'!$B$29+'Inputs'!$B$31+'Inputs'!$B$32,'Inputs'!$B$30+'Inputs'!$B$31+'Inputs'!$B$32)/1000+'Inputs'!$B$21+'Inputs'!$B$7+'Inputs'!$B$10))^2+('Inputs'!$B$8/2)^2))))*'Results'!$B$8),"")</x:f>
        <x:v>0.6283676601397605</x:v>
      </x:c>
      <x:c r="K899" t="n">
        <x:f>IF(AND(ISNUMBER('Results'!B7),ISNUMBER('Results'!C7),ISNUMBER('Results'!$B$8),ISNUMBER('Inputs'!$B$6),ISNUMBER('Inputs'!$B$7),ISNUMBER('Inputs'!$B$8),ISNUMBER('Inputs'!$B$9),ISNUMBER('Inputs'!$B$10),ISNUMBER('Inputs'!$B$21),ISNUMBER('Inputs'!$B$24),ISNUMBER('Inputs'!$B$28)),((('Results'!B7*(1-'Inputs'!$B$24)*(0.5*((((899-43)*MAX('Inputs'!$B$33,'Inputs'!$B$29+'Inputs'!$B$31+'Inputs'!$B$32,'Inputs'!$B$30+'Inputs'!$B$31+'Inputs'!$B$32)/1000+'Inputs'!$B$21)+'Inputs'!$B$7)/SQRT((((899-43)*MAX('Inputs'!$B$33,'Inputs'!$B$29+'Inputs'!$B$31+'Inputs'!$B$32,'Inputs'!$B$30+'Inputs'!$B$31+'Inputs'!$B$32)/1000+'Inputs'!$B$21)+'Inputs'!$B$7)^2+('Inputs'!$B$6/2)^2)-(((899-43)*MAX('Inputs'!$B$33,'Inputs'!$B$29+'Inputs'!$B$31+'Inputs'!$B$32,'Inputs'!$B$30+'Inputs'!$B$31+'Inputs'!$B$32)/1000+'Inputs'!$B$21))/SQRT((((899-43)*MAX('Inputs'!$B$33,'Inputs'!$B$29+'Inputs'!$B$31+'Inputs'!$B$32,'Inputs'!$B$30+'Inputs'!$B$31+'Inputs'!$B$32)/1000+'Inputs'!$B$21))^2+('Inputs'!$B$6/2)^2)))-'Results'!C7*(1+'Inputs'!$B$24)*(0.5*((((899-43)*MAX('Inputs'!$B$33,'Inputs'!$B$29+'Inputs'!$B$31+'Inputs'!$B$32,'Inputs'!$B$30+'Inputs'!$B$31+'Inputs'!$B$32)/1000+'Inputs'!$B$21+'Inputs'!$B$7+'Inputs'!$B$10)+'Inputs'!$B$9)/SQRT((((899-43)*MAX('Inputs'!$B$33,'Inputs'!$B$29+'Inputs'!$B$31+'Inputs'!$B$32,'Inputs'!$B$30+'Inputs'!$B$31+'Inputs'!$B$32)/1000+'Inputs'!$B$21+'Inputs'!$B$7+'Inputs'!$B$10)+'Inputs'!$B$9)^2+('Inputs'!$B$8/2)^2)-(((899-43)*MAX('Inputs'!$B$33,'Inputs'!$B$29+'Inputs'!$B$31+'Inputs'!$B$32,'Inputs'!$B$30+'Inputs'!$B$31+'Inputs'!$B$32)/1000+'Inputs'!$B$21+'Inputs'!$B$7+'Inputs'!$B$10))/SQRT((((899-43)*MAX('Inputs'!$B$33,'Inputs'!$B$29+'Inputs'!$B$31+'Inputs'!$B$32,'Inputs'!$B$30+'Inputs'!$B$31+'Inputs'!$B$32)/1000+'Inputs'!$B$21+'Inputs'!$B$7+'Inputs'!$B$10))^2+('Inputs'!$B$8/2)^2))))*'Results'!$B$8)-'Inputs'!$B$28*ABS((('Results'!B7*(1-'Inputs'!$B$24)*(0.5*((((899-43)*MAX('Inputs'!$B$33,'Inputs'!$B$29+'Inputs'!$B$31+'Inputs'!$B$32,'Inputs'!$B$30+'Inputs'!$B$31+'Inputs'!$B$32)/1000+'Inputs'!$B$21)+'Inputs'!$B$7)/SQRT((((899-43)*MAX('Inputs'!$B$33,'Inputs'!$B$29+'Inputs'!$B$31+'Inputs'!$B$32,'Inputs'!$B$30+'Inputs'!$B$31+'Inputs'!$B$32)/1000+'Inputs'!$B$21)+'Inputs'!$B$7)^2+('Inputs'!$B$6/2)^2)-(((899-43)*MAX('Inputs'!$B$33,'Inputs'!$B$29+'Inputs'!$B$31+'Inputs'!$B$32,'Inputs'!$B$30+'Inputs'!$B$31+'Inputs'!$B$32)/1000+'Inputs'!$B$21))/SQRT((((899-43)*MAX('Inputs'!$B$33,'Inputs'!$B$29+'Inputs'!$B$31+'Inputs'!$B$32,'Inputs'!$B$30+'Inputs'!$B$31+'Inputs'!$B$32)/1000+'Inputs'!$B$21))^2+('Inputs'!$B$6/2)^2)))-'Results'!C7*(1+'Inputs'!$B$24)*(0.5*((((899-43)*MAX('Inputs'!$B$33,'Inputs'!$B$29+'Inputs'!$B$31+'Inputs'!$B$32,'Inputs'!$B$30+'Inputs'!$B$31+'Inputs'!$B$32)/1000+'Inputs'!$B$21+'Inputs'!$B$7+'Inputs'!$B$10)+'Inputs'!$B$9)/SQRT((((899-43)*MAX('Inputs'!$B$33,'Inputs'!$B$29+'Inputs'!$B$31+'Inputs'!$B$32,'Inputs'!$B$30+'Inputs'!$B$31+'Inputs'!$B$32)/1000+'Inputs'!$B$21+'Inputs'!$B$7+'Inputs'!$B$10)+'Inputs'!$B$9)^2+('Inputs'!$B$8/2)^2)-(((899-43)*MAX('Inputs'!$B$33,'Inputs'!$B$29+'Inputs'!$B$31+'Inputs'!$B$32,'Inputs'!$B$30+'Inputs'!$B$31+'Inputs'!$B$32)/1000+'Inputs'!$B$21+'Inputs'!$B$7+'Inputs'!$B$10))/SQRT((((899-43)*MAX('Inputs'!$B$33,'Inputs'!$B$29+'Inputs'!$B$31+'Inputs'!$B$32,'Inputs'!$B$30+'Inputs'!$B$31+'Inputs'!$B$32)/1000+'Inputs'!$B$21+'Inputs'!$B$7+'Inputs'!$B$10))^2+('Inputs'!$B$8/2)^2))))*'Results'!$B$8))),"")</x:f>
        <x:v>0.5344671564764695</x:v>
      </x:c>
      <x:c r="L899" t="n">
        <x:f>IF(AND(ISNUMBER('Results'!B7),ISNUMBER('Results'!C7),ISNUMBER('Results'!$B$8),ISNUMBER('Inputs'!$B$6),ISNUMBER('Inputs'!$B$7),ISNUMBER('Inputs'!$B$8),ISNUMBER('Inputs'!$B$9),ISNUMBER('Inputs'!$B$10),ISNUMBER('Inputs'!$B$21),ISNUMBER('Inputs'!$B$24),ISNUMBER('Inputs'!$B$28)),((('Results'!B7*(1+'Inputs'!$B$24)*(0.5*((((899-43)*MAX('Inputs'!$B$33,'Inputs'!$B$29+'Inputs'!$B$31+'Inputs'!$B$32,'Inputs'!$B$30+'Inputs'!$B$31+'Inputs'!$B$32)/1000+'Inputs'!$B$21)+'Inputs'!$B$7)/SQRT((((899-43)*MAX('Inputs'!$B$33,'Inputs'!$B$29+'Inputs'!$B$31+'Inputs'!$B$32,'Inputs'!$B$30+'Inputs'!$B$31+'Inputs'!$B$32)/1000+'Inputs'!$B$21)+'Inputs'!$B$7)^2+('Inputs'!$B$6/2)^2)-(((899-43)*MAX('Inputs'!$B$33,'Inputs'!$B$29+'Inputs'!$B$31+'Inputs'!$B$32,'Inputs'!$B$30+'Inputs'!$B$31+'Inputs'!$B$32)/1000+'Inputs'!$B$21))/SQRT((((899-43)*MAX('Inputs'!$B$33,'Inputs'!$B$29+'Inputs'!$B$31+'Inputs'!$B$32,'Inputs'!$B$30+'Inputs'!$B$31+'Inputs'!$B$32)/1000+'Inputs'!$B$21))^2+('Inputs'!$B$6/2)^2)))-'Results'!C7*(1-'Inputs'!$B$24)*(0.5*((((899-43)*MAX('Inputs'!$B$33,'Inputs'!$B$29+'Inputs'!$B$31+'Inputs'!$B$32,'Inputs'!$B$30+'Inputs'!$B$31+'Inputs'!$B$32)/1000+'Inputs'!$B$21+'Inputs'!$B$7+'Inputs'!$B$10)+'Inputs'!$B$9)/SQRT((((899-43)*MAX('Inputs'!$B$33,'Inputs'!$B$29+'Inputs'!$B$31+'Inputs'!$B$32,'Inputs'!$B$30+'Inputs'!$B$31+'Inputs'!$B$32)/1000+'Inputs'!$B$21+'Inputs'!$B$7+'Inputs'!$B$10)+'Inputs'!$B$9)^2+('Inputs'!$B$8/2)^2)-(((899-43)*MAX('Inputs'!$B$33,'Inputs'!$B$29+'Inputs'!$B$31+'Inputs'!$B$32,'Inputs'!$B$30+'Inputs'!$B$31+'Inputs'!$B$32)/1000+'Inputs'!$B$21+'Inputs'!$B$7+'Inputs'!$B$10))/SQRT((((899-43)*MAX('Inputs'!$B$33,'Inputs'!$B$29+'Inputs'!$B$31+'Inputs'!$B$32,'Inputs'!$B$30+'Inputs'!$B$31+'Inputs'!$B$32)/1000+'Inputs'!$B$21+'Inputs'!$B$7+'Inputs'!$B$10))^2+('Inputs'!$B$8/2)^2))))*'Results'!$B$8)+'Inputs'!$B$28*ABS((('Results'!B7*(1+'Inputs'!$B$24)*(0.5*((((899-43)*MAX('Inputs'!$B$33,'Inputs'!$B$29+'Inputs'!$B$31+'Inputs'!$B$32,'Inputs'!$B$30+'Inputs'!$B$31+'Inputs'!$B$32)/1000+'Inputs'!$B$21)+'Inputs'!$B$7)/SQRT((((899-43)*MAX('Inputs'!$B$33,'Inputs'!$B$29+'Inputs'!$B$31+'Inputs'!$B$32,'Inputs'!$B$30+'Inputs'!$B$31+'Inputs'!$B$32)/1000+'Inputs'!$B$21)+'Inputs'!$B$7)^2+('Inputs'!$B$6/2)^2)-(((899-43)*MAX('Inputs'!$B$33,'Inputs'!$B$29+'Inputs'!$B$31+'Inputs'!$B$32,'Inputs'!$B$30+'Inputs'!$B$31+'Inputs'!$B$32)/1000+'Inputs'!$B$21))/SQRT((((899-43)*MAX('Inputs'!$B$33,'Inputs'!$B$29+'Inputs'!$B$31+'Inputs'!$B$32,'Inputs'!$B$30+'Inputs'!$B$31+'Inputs'!$B$32)/1000+'Inputs'!$B$21))^2+('Inputs'!$B$6/2)^2)))-'Results'!C7*(1-'Inputs'!$B$24)*(0.5*((((899-43)*MAX('Inputs'!$B$33,'Inputs'!$B$29+'Inputs'!$B$31+'Inputs'!$B$32,'Inputs'!$B$30+'Inputs'!$B$31+'Inputs'!$B$32)/1000+'Inputs'!$B$21+'Inputs'!$B$7+'Inputs'!$B$10)+'Inputs'!$B$9)/SQRT((((899-43)*MAX('Inputs'!$B$33,'Inputs'!$B$29+'Inputs'!$B$31+'Inputs'!$B$32,'Inputs'!$B$30+'Inputs'!$B$31+'Inputs'!$B$32)/1000+'Inputs'!$B$21+'Inputs'!$B$7+'Inputs'!$B$10)+'Inputs'!$B$9)^2+('Inputs'!$B$8/2)^2)-(((899-43)*MAX('Inputs'!$B$33,'Inputs'!$B$29+'Inputs'!$B$31+'Inputs'!$B$32,'Inputs'!$B$30+'Inputs'!$B$31+'Inputs'!$B$32)/1000+'Inputs'!$B$21+'Inputs'!$B$7+'Inputs'!$B$10))/SQRT((((899-43)*MAX('Inputs'!$B$33,'Inputs'!$B$29+'Inputs'!$B$31+'Inputs'!$B$32,'Inputs'!$B$30+'Inputs'!$B$31+'Inputs'!$B$32)/1000+'Inputs'!$B$21+'Inputs'!$B$7+'Inputs'!$B$10))^2+('Inputs'!$B$8/2)^2))))*'Results'!$B$8))),"")</x:f>
        <x:v>0.7288452291352939</x:v>
      </x:c>
      <x:c r="M899" t="n">
        <x:f>IF(AND(ISNUMBER('Results'!C7),ISNUMBER('Results'!B7),ISNUMBER('Results'!$B$8),ISNUMBER('Inputs'!$B$6),ISNUMBER('Inputs'!$B$7),ISNUMBER('Inputs'!$B$8),ISNUMBER('Inputs'!$B$9),ISNUMBER('Inputs'!$B$10),ISNUMBER('Inputs'!$B$21),ISNUMBER('Inputs'!$B$24),ISNUMBER('Inputs'!$B$28)),(('Results'!C7*(0.5*((((899-43)*MAX('Inputs'!$B$33,'Inputs'!$B$29+'Inputs'!$B$31+'Inputs'!$B$32,'Inputs'!$B$30+'Inputs'!$B$31+'Inputs'!$B$32)/1000+'Inputs'!$B$21)+'Inputs'!$B$9)/SQRT((((899-43)*MAX('Inputs'!$B$33,'Inputs'!$B$29+'Inputs'!$B$31+'Inputs'!$B$32,'Inputs'!$B$30+'Inputs'!$B$31+'Inputs'!$B$32)/1000+'Inputs'!$B$21)+'Inputs'!$B$9)^2+('Inputs'!$B$8/2)^2)-(((899-43)*MAX('Inputs'!$B$33,'Inputs'!$B$29+'Inputs'!$B$31+'Inputs'!$B$32,'Inputs'!$B$30+'Inputs'!$B$31+'Inputs'!$B$32)/1000+'Inputs'!$B$21))/SQRT((((899-43)*MAX('Inputs'!$B$33,'Inputs'!$B$29+'Inputs'!$B$31+'Inputs'!$B$32,'Inputs'!$B$30+'Inputs'!$B$31+'Inputs'!$B$32)/1000+'Inputs'!$B$21))^2+('Inputs'!$B$8/2)^2)))-'Results'!B7*(0.5*((((899-43)*MAX('Inputs'!$B$33,'Inputs'!$B$29+'Inputs'!$B$31+'Inputs'!$B$32,'Inputs'!$B$30+'Inputs'!$B$31+'Inputs'!$B$32)/1000+'Inputs'!$B$21+'Inputs'!$B$9+'Inputs'!$B$10)+'Inputs'!$B$7)/SQRT((((899-43)*MAX('Inputs'!$B$33,'Inputs'!$B$29+'Inputs'!$B$31+'Inputs'!$B$32,'Inputs'!$B$30+'Inputs'!$B$31+'Inputs'!$B$32)/1000+'Inputs'!$B$21+'Inputs'!$B$9+'Inputs'!$B$10)+'Inputs'!$B$7)^2+('Inputs'!$B$6/2)^2)-(((899-43)*MAX('Inputs'!$B$33,'Inputs'!$B$29+'Inputs'!$B$31+'Inputs'!$B$32,'Inputs'!$B$30+'Inputs'!$B$31+'Inputs'!$B$32)/1000+'Inputs'!$B$21+'Inputs'!$B$9+'Inputs'!$B$10))/SQRT((((899-43)*MAX('Inputs'!$B$33,'Inputs'!$B$29+'Inputs'!$B$31+'Inputs'!$B$32,'Inputs'!$B$30+'Inputs'!$B$31+'Inputs'!$B$32)/1000+'Inputs'!$B$21+'Inputs'!$B$9+'Inputs'!$B$10))^2+('Inputs'!$B$6/2)^2))))*'Results'!$B$8),"")</x:f>
        <x:v>0.5620541159997893</x:v>
      </x:c>
      <x:c r="N899" t="n">
        <x:f>IF(AND(ISNUMBER('Results'!C7),ISNUMBER('Results'!B7),ISNUMBER('Results'!$B$8),ISNUMBER('Inputs'!$B$6),ISNUMBER('Inputs'!$B$7),ISNUMBER('Inputs'!$B$8),ISNUMBER('Inputs'!$B$9),ISNUMBER('Inputs'!$B$10),ISNUMBER('Inputs'!$B$21),ISNUMBER('Inputs'!$B$24),ISNUMBER('Inputs'!$B$28)),((('Results'!C7*(1-'Inputs'!$B$24)*(0.5*((((899-43)*MAX('Inputs'!$B$33,'Inputs'!$B$29+'Inputs'!$B$31+'Inputs'!$B$32,'Inputs'!$B$30+'Inputs'!$B$31+'Inputs'!$B$32)/1000+'Inputs'!$B$21)+'Inputs'!$B$9)/SQRT((((899-43)*MAX('Inputs'!$B$33,'Inputs'!$B$29+'Inputs'!$B$31+'Inputs'!$B$32,'Inputs'!$B$30+'Inputs'!$B$31+'Inputs'!$B$32)/1000+'Inputs'!$B$21)+'Inputs'!$B$9)^2+('Inputs'!$B$8/2)^2)-(((899-43)*MAX('Inputs'!$B$33,'Inputs'!$B$29+'Inputs'!$B$31+'Inputs'!$B$32,'Inputs'!$B$30+'Inputs'!$B$31+'Inputs'!$B$32)/1000+'Inputs'!$B$21))/SQRT((((899-43)*MAX('Inputs'!$B$33,'Inputs'!$B$29+'Inputs'!$B$31+'Inputs'!$B$32,'Inputs'!$B$30+'Inputs'!$B$31+'Inputs'!$B$32)/1000+'Inputs'!$B$21))^2+('Inputs'!$B$8/2)^2)))-'Results'!B7*(1+'Inputs'!$B$24)*(0.5*((((899-43)*MAX('Inputs'!$B$33,'Inputs'!$B$29+'Inputs'!$B$31+'Inputs'!$B$32,'Inputs'!$B$30+'Inputs'!$B$31+'Inputs'!$B$32)/1000+'Inputs'!$B$21+'Inputs'!$B$9+'Inputs'!$B$10)+'Inputs'!$B$7)/SQRT((((899-43)*MAX('Inputs'!$B$33,'Inputs'!$B$29+'Inputs'!$B$31+'Inputs'!$B$32,'Inputs'!$B$30+'Inputs'!$B$31+'Inputs'!$B$32)/1000+'Inputs'!$B$21+'Inputs'!$B$9+'Inputs'!$B$10)+'Inputs'!$B$7)^2+('Inputs'!$B$6/2)^2)-(((899-43)*MAX('Inputs'!$B$33,'Inputs'!$B$29+'Inputs'!$B$31+'Inputs'!$B$32,'Inputs'!$B$30+'Inputs'!$B$31+'Inputs'!$B$32)/1000+'Inputs'!$B$21+'Inputs'!$B$9+'Inputs'!$B$10))/SQRT((((899-43)*MAX('Inputs'!$B$33,'Inputs'!$B$29+'Inputs'!$B$31+'Inputs'!$B$32,'Inputs'!$B$30+'Inputs'!$B$31+'Inputs'!$B$32)/1000+'Inputs'!$B$21+'Inputs'!$B$9+'Inputs'!$B$10))^2+('Inputs'!$B$6/2)^2))))*'Results'!$B$8)-'Inputs'!$B$28*ABS((('Results'!C7*(1-'Inputs'!$B$24)*(0.5*((((899-43)*MAX('Inputs'!$B$33,'Inputs'!$B$29+'Inputs'!$B$31+'Inputs'!$B$32,'Inputs'!$B$30+'Inputs'!$B$31+'Inputs'!$B$32)/1000+'Inputs'!$B$21)+'Inputs'!$B$9)/SQRT((((899-43)*MAX('Inputs'!$B$33,'Inputs'!$B$29+'Inputs'!$B$31+'Inputs'!$B$32,'Inputs'!$B$30+'Inputs'!$B$31+'Inputs'!$B$32)/1000+'Inputs'!$B$21)+'Inputs'!$B$9)^2+('Inputs'!$B$8/2)^2)-(((899-43)*MAX('Inputs'!$B$33,'Inputs'!$B$29+'Inputs'!$B$31+'Inputs'!$B$32,'Inputs'!$B$30+'Inputs'!$B$31+'Inputs'!$B$32)/1000+'Inputs'!$B$21))/SQRT((((899-43)*MAX('Inputs'!$B$33,'Inputs'!$B$29+'Inputs'!$B$31+'Inputs'!$B$32,'Inputs'!$B$30+'Inputs'!$B$31+'Inputs'!$B$32)/1000+'Inputs'!$B$21))^2+('Inputs'!$B$8/2)^2)))-'Results'!B7*(1+'Inputs'!$B$24)*(0.5*((((899-43)*MAX('Inputs'!$B$33,'Inputs'!$B$29+'Inputs'!$B$31+'Inputs'!$B$32,'Inputs'!$B$30+'Inputs'!$B$31+'Inputs'!$B$32)/1000+'Inputs'!$B$21+'Inputs'!$B$9+'Inputs'!$B$10)+'Inputs'!$B$7)/SQRT((((899-43)*MAX('Inputs'!$B$33,'Inputs'!$B$29+'Inputs'!$B$31+'Inputs'!$B$32,'Inputs'!$B$30+'Inputs'!$B$31+'Inputs'!$B$32)/1000+'Inputs'!$B$21+'Inputs'!$B$9+'Inputs'!$B$10)+'Inputs'!$B$7)^2+('Inputs'!$B$6/2)^2)-(((899-43)*MAX('Inputs'!$B$33,'Inputs'!$B$29+'Inputs'!$B$31+'Inputs'!$B$32,'Inputs'!$B$30+'Inputs'!$B$31+'Inputs'!$B$32)/1000+'Inputs'!$B$21+'Inputs'!$B$9+'Inputs'!$B$10))/SQRT((((899-43)*MAX('Inputs'!$B$33,'Inputs'!$B$29+'Inputs'!$B$31+'Inputs'!$B$32,'Inputs'!$B$30+'Inputs'!$B$31+'Inputs'!$B$32)/1000+'Inputs'!$B$21+'Inputs'!$B$9+'Inputs'!$B$10))^2+('Inputs'!$B$6/2)^2))))*'Results'!$B$8))),"")</x:f>
        <x:v>0.47169775432881633</x:v>
      </x:c>
      <x:c r="O899" t="n">
        <x:f>IF(AND(ISNUMBER('Results'!C7),ISNUMBER('Results'!B7),ISNUMBER('Results'!$B$8),ISNUMBER('Inputs'!$B$6),ISNUMBER('Inputs'!$B$7),ISNUMBER('Inputs'!$B$8),ISNUMBER('Inputs'!$B$9),ISNUMBER('Inputs'!$B$10),ISNUMBER('Inputs'!$B$21),ISNUMBER('Inputs'!$B$24),ISNUMBER('Inputs'!$B$28)),((('Results'!C7*(1+'Inputs'!$B$24)*(0.5*((((899-43)*MAX('Inputs'!$B$33,'Inputs'!$B$29+'Inputs'!$B$31+'Inputs'!$B$32,'Inputs'!$B$30+'Inputs'!$B$31+'Inputs'!$B$32)/1000+'Inputs'!$B$21)+'Inputs'!$B$9)/SQRT((((899-43)*MAX('Inputs'!$B$33,'Inputs'!$B$29+'Inputs'!$B$31+'Inputs'!$B$32,'Inputs'!$B$30+'Inputs'!$B$31+'Inputs'!$B$32)/1000+'Inputs'!$B$21)+'Inputs'!$B$9)^2+('Inputs'!$B$8/2)^2)-(((899-43)*MAX('Inputs'!$B$33,'Inputs'!$B$29+'Inputs'!$B$31+'Inputs'!$B$32,'Inputs'!$B$30+'Inputs'!$B$31+'Inputs'!$B$32)/1000+'Inputs'!$B$21))/SQRT((((899-43)*MAX('Inputs'!$B$33,'Inputs'!$B$29+'Inputs'!$B$31+'Inputs'!$B$32,'Inputs'!$B$30+'Inputs'!$B$31+'Inputs'!$B$32)/1000+'Inputs'!$B$21))^2+('Inputs'!$B$8/2)^2)))-'Results'!B7*(1-'Inputs'!$B$24)*(0.5*((((899-43)*MAX('Inputs'!$B$33,'Inputs'!$B$29+'Inputs'!$B$31+'Inputs'!$B$32,'Inputs'!$B$30+'Inputs'!$B$31+'Inputs'!$B$32)/1000+'Inputs'!$B$21+'Inputs'!$B$9+'Inputs'!$B$10)+'Inputs'!$B$7)/SQRT((((899-43)*MAX('Inputs'!$B$33,'Inputs'!$B$29+'Inputs'!$B$31+'Inputs'!$B$32,'Inputs'!$B$30+'Inputs'!$B$31+'Inputs'!$B$32)/1000+'Inputs'!$B$21+'Inputs'!$B$9+'Inputs'!$B$10)+'Inputs'!$B$7)^2+('Inputs'!$B$6/2)^2)-(((899-43)*MAX('Inputs'!$B$33,'Inputs'!$B$29+'Inputs'!$B$31+'Inputs'!$B$32,'Inputs'!$B$30+'Inputs'!$B$31+'Inputs'!$B$32)/1000+'Inputs'!$B$21+'Inputs'!$B$9+'Inputs'!$B$10))/SQRT((((899-43)*MAX('Inputs'!$B$33,'Inputs'!$B$29+'Inputs'!$B$31+'Inputs'!$B$32,'Inputs'!$B$30+'Inputs'!$B$31+'Inputs'!$B$32)/1000+'Inputs'!$B$21+'Inputs'!$B$9+'Inputs'!$B$10))^2+('Inputs'!$B$6/2)^2))))*'Results'!$B$8)+'Inputs'!$B$28*ABS((('Results'!C7*(1+'Inputs'!$B$24)*(0.5*((((899-43)*MAX('Inputs'!$B$33,'Inputs'!$B$29+'Inputs'!$B$31+'Inputs'!$B$32,'Inputs'!$B$30+'Inputs'!$B$31+'Inputs'!$B$32)/1000+'Inputs'!$B$21)+'Inputs'!$B$9)/SQRT((((899-43)*MAX('Inputs'!$B$33,'Inputs'!$B$29+'Inputs'!$B$31+'Inputs'!$B$32,'Inputs'!$B$30+'Inputs'!$B$31+'Inputs'!$B$32)/1000+'Inputs'!$B$21)+'Inputs'!$B$9)^2+('Inputs'!$B$8/2)^2)-(((899-43)*MAX('Inputs'!$B$33,'Inputs'!$B$29+'Inputs'!$B$31+'Inputs'!$B$32,'Inputs'!$B$30+'Inputs'!$B$31+'Inputs'!$B$32)/1000+'Inputs'!$B$21))/SQRT((((899-43)*MAX('Inputs'!$B$33,'Inputs'!$B$29+'Inputs'!$B$31+'Inputs'!$B$32,'Inputs'!$B$30+'Inputs'!$B$31+'Inputs'!$B$32)/1000+'Inputs'!$B$21))^2+('Inputs'!$B$8/2)^2)))-'Results'!B7*(1-'Inputs'!$B$24)*(0.5*((((899-43)*MAX('Inputs'!$B$33,'Inputs'!$B$29+'Inputs'!$B$31+'Inputs'!$B$32,'Inputs'!$B$30+'Inputs'!$B$31+'Inputs'!$B$32)/1000+'Inputs'!$B$21+'Inputs'!$B$9+'Inputs'!$B$10)+'Inputs'!$B$7)/SQRT((((899-43)*MAX('Inputs'!$B$33,'Inputs'!$B$29+'Inputs'!$B$31+'Inputs'!$B$32,'Inputs'!$B$30+'Inputs'!$B$31+'Inputs'!$B$32)/1000+'Inputs'!$B$21+'Inputs'!$B$9+'Inputs'!$B$10)+'Inputs'!$B$7)^2+('Inputs'!$B$6/2)^2)-(((899-43)*MAX('Inputs'!$B$33,'Inputs'!$B$29+'Inputs'!$B$31+'Inputs'!$B$32,'Inputs'!$B$30+'Inputs'!$B$31+'Inputs'!$B$32)/1000+'Inputs'!$B$21+'Inputs'!$B$9+'Inputs'!$B$10))/SQRT((((899-43)*MAX('Inputs'!$B$33,'Inputs'!$B$29+'Inputs'!$B$31+'Inputs'!$B$32,'Inputs'!$B$30+'Inputs'!$B$31+'Inputs'!$B$32)/1000+'Inputs'!$B$21+'Inputs'!$B$9+'Inputs'!$B$10))^2+('Inputs'!$B$6/2)^2))))*'Results'!$B$8))),"")</x:f>
        <x:v>0.658963494078234</x:v>
      </x:c>
      <x:c r="P899" t="n">
        <x:f>IF(AND(MAX(J899,J898)&gt;0,J899&gt;J898+0.00000001),1,0)</x:f>
        <x:v>0</x:v>
      </x:c>
      <x:c r="Q899" t="n">
        <x:f>IF(AND(MAX(K899,K898)&gt;0,K899&gt;K898+0.00000001),1,0)</x:f>
        <x:v>0</x:v>
      </x:c>
      <x:c r="R899" t="n">
        <x:f>IF(AND(MAX(L899,L898)&gt;0,L899&gt;L898+0.00000001),1,0)</x:f>
        <x:v>0</x:v>
      </x:c>
      <x:c r="S899" t="n">
        <x:f>IF(AND(MAX(M899,M898)&gt;0,M899&gt;M898+0.00000001),1,0)</x:f>
        <x:v>0</x:v>
      </x:c>
      <x:c r="T899" t="n">
        <x:f>IF(AND(MAX(N899,N898)&gt;0,N899&gt;N898+0.00000001),1,0)</x:f>
        <x:v>0</x:v>
      </x:c>
      <x:c r="U899" t="n">
        <x:f>IF(AND(MAX(O899,O898)&gt;0,O899&gt;O898+0.00000001),1,0)</x:f>
        <x:v>0</x:v>
      </x:c>
    </x:row>
    <x:row r="900">
      <x:c r="J900" t="n">
        <x:f>IF(AND(ISNUMBER('Results'!B7),ISNUMBER('Results'!C7),ISNUMBER('Results'!$B$8),ISNUMBER('Inputs'!$B$6),ISNUMBER('Inputs'!$B$7),ISNUMBER('Inputs'!$B$8),ISNUMBER('Inputs'!$B$9),ISNUMBER('Inputs'!$B$10),ISNUMBER('Inputs'!$B$21),ISNUMBER('Inputs'!$B$24),ISNUMBER('Inputs'!$B$28)),(('Results'!B7*(0.5*((((900-43)*MAX('Inputs'!$B$33,'Inputs'!$B$29+'Inputs'!$B$31+'Inputs'!$B$32,'Inputs'!$B$30+'Inputs'!$B$31+'Inputs'!$B$32)/1000+'Inputs'!$B$21)+'Inputs'!$B$7)/SQRT((((900-43)*MAX('Inputs'!$B$33,'Inputs'!$B$29+'Inputs'!$B$31+'Inputs'!$B$32,'Inputs'!$B$30+'Inputs'!$B$31+'Inputs'!$B$32)/1000+'Inputs'!$B$21)+'Inputs'!$B$7)^2+('Inputs'!$B$6/2)^2)-(((900-43)*MAX('Inputs'!$B$33,'Inputs'!$B$29+'Inputs'!$B$31+'Inputs'!$B$32,'Inputs'!$B$30+'Inputs'!$B$31+'Inputs'!$B$32)/1000+'Inputs'!$B$21))/SQRT((((900-43)*MAX('Inputs'!$B$33,'Inputs'!$B$29+'Inputs'!$B$31+'Inputs'!$B$32,'Inputs'!$B$30+'Inputs'!$B$31+'Inputs'!$B$32)/1000+'Inputs'!$B$21))^2+('Inputs'!$B$6/2)^2)))-'Results'!C7*(0.5*((((900-43)*MAX('Inputs'!$B$33,'Inputs'!$B$29+'Inputs'!$B$31+'Inputs'!$B$32,'Inputs'!$B$30+'Inputs'!$B$31+'Inputs'!$B$32)/1000+'Inputs'!$B$21+'Inputs'!$B$7+'Inputs'!$B$10)+'Inputs'!$B$9)/SQRT((((900-43)*MAX('Inputs'!$B$33,'Inputs'!$B$29+'Inputs'!$B$31+'Inputs'!$B$32,'Inputs'!$B$30+'Inputs'!$B$31+'Inputs'!$B$32)/1000+'Inputs'!$B$21+'Inputs'!$B$7+'Inputs'!$B$10)+'Inputs'!$B$9)^2+('Inputs'!$B$8/2)^2)-(((900-43)*MAX('Inputs'!$B$33,'Inputs'!$B$29+'Inputs'!$B$31+'Inputs'!$B$32,'Inputs'!$B$30+'Inputs'!$B$31+'Inputs'!$B$32)/1000+'Inputs'!$B$21+'Inputs'!$B$7+'Inputs'!$B$10))/SQRT((((900-43)*MAX('Inputs'!$B$33,'Inputs'!$B$29+'Inputs'!$B$31+'Inputs'!$B$32,'Inputs'!$B$30+'Inputs'!$B$31+'Inputs'!$B$32)/1000+'Inputs'!$B$21+'Inputs'!$B$7+'Inputs'!$B$10))^2+('Inputs'!$B$8/2)^2))))*'Results'!$B$8),"")</x:f>
        <x:v>0.6257214657806646</x:v>
      </x:c>
      <x:c r="K900" t="n">
        <x:f>IF(AND(ISNUMBER('Results'!B7),ISNUMBER('Results'!C7),ISNUMBER('Results'!$B$8),ISNUMBER('Inputs'!$B$6),ISNUMBER('Inputs'!$B$7),ISNUMBER('Inputs'!$B$8),ISNUMBER('Inputs'!$B$9),ISNUMBER('Inputs'!$B$10),ISNUMBER('Inputs'!$B$21),ISNUMBER('Inputs'!$B$24),ISNUMBER('Inputs'!$B$28)),((('Results'!B7*(1-'Inputs'!$B$24)*(0.5*((((900-43)*MAX('Inputs'!$B$33,'Inputs'!$B$29+'Inputs'!$B$31+'Inputs'!$B$32,'Inputs'!$B$30+'Inputs'!$B$31+'Inputs'!$B$32)/1000+'Inputs'!$B$21)+'Inputs'!$B$7)/SQRT((((900-43)*MAX('Inputs'!$B$33,'Inputs'!$B$29+'Inputs'!$B$31+'Inputs'!$B$32,'Inputs'!$B$30+'Inputs'!$B$31+'Inputs'!$B$32)/1000+'Inputs'!$B$21)+'Inputs'!$B$7)^2+('Inputs'!$B$6/2)^2)-(((900-43)*MAX('Inputs'!$B$33,'Inputs'!$B$29+'Inputs'!$B$31+'Inputs'!$B$32,'Inputs'!$B$30+'Inputs'!$B$31+'Inputs'!$B$32)/1000+'Inputs'!$B$21))/SQRT((((900-43)*MAX('Inputs'!$B$33,'Inputs'!$B$29+'Inputs'!$B$31+'Inputs'!$B$32,'Inputs'!$B$30+'Inputs'!$B$31+'Inputs'!$B$32)/1000+'Inputs'!$B$21))^2+('Inputs'!$B$6/2)^2)))-'Results'!C7*(1+'Inputs'!$B$24)*(0.5*((((900-43)*MAX('Inputs'!$B$33,'Inputs'!$B$29+'Inputs'!$B$31+'Inputs'!$B$32,'Inputs'!$B$30+'Inputs'!$B$31+'Inputs'!$B$32)/1000+'Inputs'!$B$21+'Inputs'!$B$7+'Inputs'!$B$10)+'Inputs'!$B$9)/SQRT((((900-43)*MAX('Inputs'!$B$33,'Inputs'!$B$29+'Inputs'!$B$31+'Inputs'!$B$32,'Inputs'!$B$30+'Inputs'!$B$31+'Inputs'!$B$32)/1000+'Inputs'!$B$21+'Inputs'!$B$7+'Inputs'!$B$10)+'Inputs'!$B$9)^2+('Inputs'!$B$8/2)^2)-(((900-43)*MAX('Inputs'!$B$33,'Inputs'!$B$29+'Inputs'!$B$31+'Inputs'!$B$32,'Inputs'!$B$30+'Inputs'!$B$31+'Inputs'!$B$32)/1000+'Inputs'!$B$21+'Inputs'!$B$7+'Inputs'!$B$10))/SQRT((((900-43)*MAX('Inputs'!$B$33,'Inputs'!$B$29+'Inputs'!$B$31+'Inputs'!$B$32,'Inputs'!$B$30+'Inputs'!$B$31+'Inputs'!$B$32)/1000+'Inputs'!$B$21+'Inputs'!$B$7+'Inputs'!$B$10))^2+('Inputs'!$B$8/2)^2))))*'Results'!$B$8)-'Inputs'!$B$28*ABS((('Results'!B7*(1-'Inputs'!$B$24)*(0.5*((((900-43)*MAX('Inputs'!$B$33,'Inputs'!$B$29+'Inputs'!$B$31+'Inputs'!$B$32,'Inputs'!$B$30+'Inputs'!$B$31+'Inputs'!$B$32)/1000+'Inputs'!$B$21)+'Inputs'!$B$7)/SQRT((((900-43)*MAX('Inputs'!$B$33,'Inputs'!$B$29+'Inputs'!$B$31+'Inputs'!$B$32,'Inputs'!$B$30+'Inputs'!$B$31+'Inputs'!$B$32)/1000+'Inputs'!$B$21)+'Inputs'!$B$7)^2+('Inputs'!$B$6/2)^2)-(((900-43)*MAX('Inputs'!$B$33,'Inputs'!$B$29+'Inputs'!$B$31+'Inputs'!$B$32,'Inputs'!$B$30+'Inputs'!$B$31+'Inputs'!$B$32)/1000+'Inputs'!$B$21))/SQRT((((900-43)*MAX('Inputs'!$B$33,'Inputs'!$B$29+'Inputs'!$B$31+'Inputs'!$B$32,'Inputs'!$B$30+'Inputs'!$B$31+'Inputs'!$B$32)/1000+'Inputs'!$B$21))^2+('Inputs'!$B$6/2)^2)))-'Results'!C7*(1+'Inputs'!$B$24)*(0.5*((((900-43)*MAX('Inputs'!$B$33,'Inputs'!$B$29+'Inputs'!$B$31+'Inputs'!$B$32,'Inputs'!$B$30+'Inputs'!$B$31+'Inputs'!$B$32)/1000+'Inputs'!$B$21+'Inputs'!$B$7+'Inputs'!$B$10)+'Inputs'!$B$9)/SQRT((((900-43)*MAX('Inputs'!$B$33,'Inputs'!$B$29+'Inputs'!$B$31+'Inputs'!$B$32,'Inputs'!$B$30+'Inputs'!$B$31+'Inputs'!$B$32)/1000+'Inputs'!$B$21+'Inputs'!$B$7+'Inputs'!$B$10)+'Inputs'!$B$9)^2+('Inputs'!$B$8/2)^2)-(((900-43)*MAX('Inputs'!$B$33,'Inputs'!$B$29+'Inputs'!$B$31+'Inputs'!$B$32,'Inputs'!$B$30+'Inputs'!$B$31+'Inputs'!$B$32)/1000+'Inputs'!$B$21+'Inputs'!$B$7+'Inputs'!$B$10))/SQRT((((900-43)*MAX('Inputs'!$B$33,'Inputs'!$B$29+'Inputs'!$B$31+'Inputs'!$B$32,'Inputs'!$B$30+'Inputs'!$B$31+'Inputs'!$B$32)/1000+'Inputs'!$B$21+'Inputs'!$B$7+'Inputs'!$B$10))^2+('Inputs'!$B$8/2)^2))))*'Results'!$B$8))),"")</x:f>
        <x:v>0.5321554267881677</x:v>
      </x:c>
      <x:c r="L900" t="n">
        <x:f>IF(AND(ISNUMBER('Results'!B7),ISNUMBER('Results'!C7),ISNUMBER('Results'!$B$8),ISNUMBER('Inputs'!$B$6),ISNUMBER('Inputs'!$B$7),ISNUMBER('Inputs'!$B$8),ISNUMBER('Inputs'!$B$9),ISNUMBER('Inputs'!$B$10),ISNUMBER('Inputs'!$B$21),ISNUMBER('Inputs'!$B$24),ISNUMBER('Inputs'!$B$28)),((('Results'!B7*(1+'Inputs'!$B$24)*(0.5*((((900-43)*MAX('Inputs'!$B$33,'Inputs'!$B$29+'Inputs'!$B$31+'Inputs'!$B$32,'Inputs'!$B$30+'Inputs'!$B$31+'Inputs'!$B$32)/1000+'Inputs'!$B$21)+'Inputs'!$B$7)/SQRT((((900-43)*MAX('Inputs'!$B$33,'Inputs'!$B$29+'Inputs'!$B$31+'Inputs'!$B$32,'Inputs'!$B$30+'Inputs'!$B$31+'Inputs'!$B$32)/1000+'Inputs'!$B$21)+'Inputs'!$B$7)^2+('Inputs'!$B$6/2)^2)-(((900-43)*MAX('Inputs'!$B$33,'Inputs'!$B$29+'Inputs'!$B$31+'Inputs'!$B$32,'Inputs'!$B$30+'Inputs'!$B$31+'Inputs'!$B$32)/1000+'Inputs'!$B$21))/SQRT((((900-43)*MAX('Inputs'!$B$33,'Inputs'!$B$29+'Inputs'!$B$31+'Inputs'!$B$32,'Inputs'!$B$30+'Inputs'!$B$31+'Inputs'!$B$32)/1000+'Inputs'!$B$21))^2+('Inputs'!$B$6/2)^2)))-'Results'!C7*(1-'Inputs'!$B$24)*(0.5*((((900-43)*MAX('Inputs'!$B$33,'Inputs'!$B$29+'Inputs'!$B$31+'Inputs'!$B$32,'Inputs'!$B$30+'Inputs'!$B$31+'Inputs'!$B$32)/1000+'Inputs'!$B$21+'Inputs'!$B$7+'Inputs'!$B$10)+'Inputs'!$B$9)/SQRT((((900-43)*MAX('Inputs'!$B$33,'Inputs'!$B$29+'Inputs'!$B$31+'Inputs'!$B$32,'Inputs'!$B$30+'Inputs'!$B$31+'Inputs'!$B$32)/1000+'Inputs'!$B$21+'Inputs'!$B$7+'Inputs'!$B$10)+'Inputs'!$B$9)^2+('Inputs'!$B$8/2)^2)-(((900-43)*MAX('Inputs'!$B$33,'Inputs'!$B$29+'Inputs'!$B$31+'Inputs'!$B$32,'Inputs'!$B$30+'Inputs'!$B$31+'Inputs'!$B$32)/1000+'Inputs'!$B$21+'Inputs'!$B$7+'Inputs'!$B$10))/SQRT((((900-43)*MAX('Inputs'!$B$33,'Inputs'!$B$29+'Inputs'!$B$31+'Inputs'!$B$32,'Inputs'!$B$30+'Inputs'!$B$31+'Inputs'!$B$32)/1000+'Inputs'!$B$21+'Inputs'!$B$7+'Inputs'!$B$10))^2+('Inputs'!$B$8/2)^2))))*'Results'!$B$8)+'Inputs'!$B$28*ABS((('Results'!B7*(1+'Inputs'!$B$24)*(0.5*((((900-43)*MAX('Inputs'!$B$33,'Inputs'!$B$29+'Inputs'!$B$31+'Inputs'!$B$32,'Inputs'!$B$30+'Inputs'!$B$31+'Inputs'!$B$32)/1000+'Inputs'!$B$21)+'Inputs'!$B$7)/SQRT((((900-43)*MAX('Inputs'!$B$33,'Inputs'!$B$29+'Inputs'!$B$31+'Inputs'!$B$32,'Inputs'!$B$30+'Inputs'!$B$31+'Inputs'!$B$32)/1000+'Inputs'!$B$21)+'Inputs'!$B$7)^2+('Inputs'!$B$6/2)^2)-(((900-43)*MAX('Inputs'!$B$33,'Inputs'!$B$29+'Inputs'!$B$31+'Inputs'!$B$32,'Inputs'!$B$30+'Inputs'!$B$31+'Inputs'!$B$32)/1000+'Inputs'!$B$21))/SQRT((((900-43)*MAX('Inputs'!$B$33,'Inputs'!$B$29+'Inputs'!$B$31+'Inputs'!$B$32,'Inputs'!$B$30+'Inputs'!$B$31+'Inputs'!$B$32)/1000+'Inputs'!$B$21))^2+('Inputs'!$B$6/2)^2)))-'Results'!C7*(1-'Inputs'!$B$24)*(0.5*((((900-43)*MAX('Inputs'!$B$33,'Inputs'!$B$29+'Inputs'!$B$31+'Inputs'!$B$32,'Inputs'!$B$30+'Inputs'!$B$31+'Inputs'!$B$32)/1000+'Inputs'!$B$21+'Inputs'!$B$7+'Inputs'!$B$10)+'Inputs'!$B$9)/SQRT((((900-43)*MAX('Inputs'!$B$33,'Inputs'!$B$29+'Inputs'!$B$31+'Inputs'!$B$32,'Inputs'!$B$30+'Inputs'!$B$31+'Inputs'!$B$32)/1000+'Inputs'!$B$21+'Inputs'!$B$7+'Inputs'!$B$10)+'Inputs'!$B$9)^2+('Inputs'!$B$8/2)^2)-(((900-43)*MAX('Inputs'!$B$33,'Inputs'!$B$29+'Inputs'!$B$31+'Inputs'!$B$32,'Inputs'!$B$30+'Inputs'!$B$31+'Inputs'!$B$32)/1000+'Inputs'!$B$21+'Inputs'!$B$7+'Inputs'!$B$10))/SQRT((((900-43)*MAX('Inputs'!$B$33,'Inputs'!$B$29+'Inputs'!$B$31+'Inputs'!$B$32,'Inputs'!$B$30+'Inputs'!$B$31+'Inputs'!$B$32)/1000+'Inputs'!$B$21+'Inputs'!$B$7+'Inputs'!$B$10))^2+('Inputs'!$B$8/2)^2))))*'Results'!$B$8))),"")</x:f>
        <x:v>0.7258432906366841</x:v>
      </x:c>
      <x:c r="M900" t="n">
        <x:f>IF(AND(ISNUMBER('Results'!C7),ISNUMBER('Results'!B7),ISNUMBER('Results'!$B$8),ISNUMBER('Inputs'!$B$6),ISNUMBER('Inputs'!$B$7),ISNUMBER('Inputs'!$B$8),ISNUMBER('Inputs'!$B$9),ISNUMBER('Inputs'!$B$10),ISNUMBER('Inputs'!$B$21),ISNUMBER('Inputs'!$B$24),ISNUMBER('Inputs'!$B$28)),(('Results'!C7*(0.5*((((900-43)*MAX('Inputs'!$B$33,'Inputs'!$B$29+'Inputs'!$B$31+'Inputs'!$B$32,'Inputs'!$B$30+'Inputs'!$B$31+'Inputs'!$B$32)/1000+'Inputs'!$B$21)+'Inputs'!$B$9)/SQRT((((900-43)*MAX('Inputs'!$B$33,'Inputs'!$B$29+'Inputs'!$B$31+'Inputs'!$B$32,'Inputs'!$B$30+'Inputs'!$B$31+'Inputs'!$B$32)/1000+'Inputs'!$B$21)+'Inputs'!$B$9)^2+('Inputs'!$B$8/2)^2)-(((900-43)*MAX('Inputs'!$B$33,'Inputs'!$B$29+'Inputs'!$B$31+'Inputs'!$B$32,'Inputs'!$B$30+'Inputs'!$B$31+'Inputs'!$B$32)/1000+'Inputs'!$B$21))/SQRT((((900-43)*MAX('Inputs'!$B$33,'Inputs'!$B$29+'Inputs'!$B$31+'Inputs'!$B$32,'Inputs'!$B$30+'Inputs'!$B$31+'Inputs'!$B$32)/1000+'Inputs'!$B$21))^2+('Inputs'!$B$8/2)^2)))-'Results'!B7*(0.5*((((900-43)*MAX('Inputs'!$B$33,'Inputs'!$B$29+'Inputs'!$B$31+'Inputs'!$B$32,'Inputs'!$B$30+'Inputs'!$B$31+'Inputs'!$B$32)/1000+'Inputs'!$B$21+'Inputs'!$B$9+'Inputs'!$B$10)+'Inputs'!$B$7)/SQRT((((900-43)*MAX('Inputs'!$B$33,'Inputs'!$B$29+'Inputs'!$B$31+'Inputs'!$B$32,'Inputs'!$B$30+'Inputs'!$B$31+'Inputs'!$B$32)/1000+'Inputs'!$B$21+'Inputs'!$B$9+'Inputs'!$B$10)+'Inputs'!$B$7)^2+('Inputs'!$B$6/2)^2)-(((900-43)*MAX('Inputs'!$B$33,'Inputs'!$B$29+'Inputs'!$B$31+'Inputs'!$B$32,'Inputs'!$B$30+'Inputs'!$B$31+'Inputs'!$B$32)/1000+'Inputs'!$B$21+'Inputs'!$B$9+'Inputs'!$B$10))/SQRT((((900-43)*MAX('Inputs'!$B$33,'Inputs'!$B$29+'Inputs'!$B$31+'Inputs'!$B$32,'Inputs'!$B$30+'Inputs'!$B$31+'Inputs'!$B$32)/1000+'Inputs'!$B$21+'Inputs'!$B$9+'Inputs'!$B$10))^2+('Inputs'!$B$6/2)^2))))*'Results'!$B$8),"")</x:f>
        <x:v>0.5596223476625867</x:v>
      </x:c>
      <x:c r="N900" t="n">
        <x:f>IF(AND(ISNUMBER('Results'!C7),ISNUMBER('Results'!B7),ISNUMBER('Results'!$B$8),ISNUMBER('Inputs'!$B$6),ISNUMBER('Inputs'!$B$7),ISNUMBER('Inputs'!$B$8),ISNUMBER('Inputs'!$B$9),ISNUMBER('Inputs'!$B$10),ISNUMBER('Inputs'!$B$21),ISNUMBER('Inputs'!$B$24),ISNUMBER('Inputs'!$B$28)),((('Results'!C7*(1-'Inputs'!$B$24)*(0.5*((((900-43)*MAX('Inputs'!$B$33,'Inputs'!$B$29+'Inputs'!$B$31+'Inputs'!$B$32,'Inputs'!$B$30+'Inputs'!$B$31+'Inputs'!$B$32)/1000+'Inputs'!$B$21)+'Inputs'!$B$9)/SQRT((((900-43)*MAX('Inputs'!$B$33,'Inputs'!$B$29+'Inputs'!$B$31+'Inputs'!$B$32,'Inputs'!$B$30+'Inputs'!$B$31+'Inputs'!$B$32)/1000+'Inputs'!$B$21)+'Inputs'!$B$9)^2+('Inputs'!$B$8/2)^2)-(((900-43)*MAX('Inputs'!$B$33,'Inputs'!$B$29+'Inputs'!$B$31+'Inputs'!$B$32,'Inputs'!$B$30+'Inputs'!$B$31+'Inputs'!$B$32)/1000+'Inputs'!$B$21))/SQRT((((900-43)*MAX('Inputs'!$B$33,'Inputs'!$B$29+'Inputs'!$B$31+'Inputs'!$B$32,'Inputs'!$B$30+'Inputs'!$B$31+'Inputs'!$B$32)/1000+'Inputs'!$B$21))^2+('Inputs'!$B$8/2)^2)))-'Results'!B7*(1+'Inputs'!$B$24)*(0.5*((((900-43)*MAX('Inputs'!$B$33,'Inputs'!$B$29+'Inputs'!$B$31+'Inputs'!$B$32,'Inputs'!$B$30+'Inputs'!$B$31+'Inputs'!$B$32)/1000+'Inputs'!$B$21+'Inputs'!$B$9+'Inputs'!$B$10)+'Inputs'!$B$7)/SQRT((((900-43)*MAX('Inputs'!$B$33,'Inputs'!$B$29+'Inputs'!$B$31+'Inputs'!$B$32,'Inputs'!$B$30+'Inputs'!$B$31+'Inputs'!$B$32)/1000+'Inputs'!$B$21+'Inputs'!$B$9+'Inputs'!$B$10)+'Inputs'!$B$7)^2+('Inputs'!$B$6/2)^2)-(((900-43)*MAX('Inputs'!$B$33,'Inputs'!$B$29+'Inputs'!$B$31+'Inputs'!$B$32,'Inputs'!$B$30+'Inputs'!$B$31+'Inputs'!$B$32)/1000+'Inputs'!$B$21+'Inputs'!$B$9+'Inputs'!$B$10))/SQRT((((900-43)*MAX('Inputs'!$B$33,'Inputs'!$B$29+'Inputs'!$B$31+'Inputs'!$B$32,'Inputs'!$B$30+'Inputs'!$B$31+'Inputs'!$B$32)/1000+'Inputs'!$B$21+'Inputs'!$B$9+'Inputs'!$B$10))^2+('Inputs'!$B$6/2)^2))))*'Results'!$B$8)-'Inputs'!$B$28*ABS((('Results'!C7*(1-'Inputs'!$B$24)*(0.5*((((900-43)*MAX('Inputs'!$B$33,'Inputs'!$B$29+'Inputs'!$B$31+'Inputs'!$B$32,'Inputs'!$B$30+'Inputs'!$B$31+'Inputs'!$B$32)/1000+'Inputs'!$B$21)+'Inputs'!$B$9)/SQRT((((900-43)*MAX('Inputs'!$B$33,'Inputs'!$B$29+'Inputs'!$B$31+'Inputs'!$B$32,'Inputs'!$B$30+'Inputs'!$B$31+'Inputs'!$B$32)/1000+'Inputs'!$B$21)+'Inputs'!$B$9)^2+('Inputs'!$B$8/2)^2)-(((900-43)*MAX('Inputs'!$B$33,'Inputs'!$B$29+'Inputs'!$B$31+'Inputs'!$B$32,'Inputs'!$B$30+'Inputs'!$B$31+'Inputs'!$B$32)/1000+'Inputs'!$B$21))/SQRT((((900-43)*MAX('Inputs'!$B$33,'Inputs'!$B$29+'Inputs'!$B$31+'Inputs'!$B$32,'Inputs'!$B$30+'Inputs'!$B$31+'Inputs'!$B$32)/1000+'Inputs'!$B$21))^2+('Inputs'!$B$8/2)^2)))-'Results'!B7*(1+'Inputs'!$B$24)*(0.5*((((900-43)*MAX('Inputs'!$B$33,'Inputs'!$B$29+'Inputs'!$B$31+'Inputs'!$B$32,'Inputs'!$B$30+'Inputs'!$B$31+'Inputs'!$B$32)/1000+'Inputs'!$B$21+'Inputs'!$B$9+'Inputs'!$B$10)+'Inputs'!$B$7)/SQRT((((900-43)*MAX('Inputs'!$B$33,'Inputs'!$B$29+'Inputs'!$B$31+'Inputs'!$B$32,'Inputs'!$B$30+'Inputs'!$B$31+'Inputs'!$B$32)/1000+'Inputs'!$B$21+'Inputs'!$B$9+'Inputs'!$B$10)+'Inputs'!$B$7)^2+('Inputs'!$B$6/2)^2)-(((900-43)*MAX('Inputs'!$B$33,'Inputs'!$B$29+'Inputs'!$B$31+'Inputs'!$B$32,'Inputs'!$B$30+'Inputs'!$B$31+'Inputs'!$B$32)/1000+'Inputs'!$B$21+'Inputs'!$B$9+'Inputs'!$B$10))/SQRT((((900-43)*MAX('Inputs'!$B$33,'Inputs'!$B$29+'Inputs'!$B$31+'Inputs'!$B$32,'Inputs'!$B$30+'Inputs'!$B$31+'Inputs'!$B$32)/1000+'Inputs'!$B$21+'Inputs'!$B$9+'Inputs'!$B$10))^2+('Inputs'!$B$6/2)^2))))*'Results'!$B$8))),"")</x:f>
        <x:v>0.46958875480281603</x:v>
      </x:c>
      <x:c r="O900" t="n">
        <x:f>IF(AND(ISNUMBER('Results'!C7),ISNUMBER('Results'!B7),ISNUMBER('Results'!$B$8),ISNUMBER('Inputs'!$B$6),ISNUMBER('Inputs'!$B$7),ISNUMBER('Inputs'!$B$8),ISNUMBER('Inputs'!$B$9),ISNUMBER('Inputs'!$B$10),ISNUMBER('Inputs'!$B$21),ISNUMBER('Inputs'!$B$24),ISNUMBER('Inputs'!$B$28)),((('Results'!C7*(1+'Inputs'!$B$24)*(0.5*((((900-43)*MAX('Inputs'!$B$33,'Inputs'!$B$29+'Inputs'!$B$31+'Inputs'!$B$32,'Inputs'!$B$30+'Inputs'!$B$31+'Inputs'!$B$32)/1000+'Inputs'!$B$21)+'Inputs'!$B$9)/SQRT((((900-43)*MAX('Inputs'!$B$33,'Inputs'!$B$29+'Inputs'!$B$31+'Inputs'!$B$32,'Inputs'!$B$30+'Inputs'!$B$31+'Inputs'!$B$32)/1000+'Inputs'!$B$21)+'Inputs'!$B$9)^2+('Inputs'!$B$8/2)^2)-(((900-43)*MAX('Inputs'!$B$33,'Inputs'!$B$29+'Inputs'!$B$31+'Inputs'!$B$32,'Inputs'!$B$30+'Inputs'!$B$31+'Inputs'!$B$32)/1000+'Inputs'!$B$21))/SQRT((((900-43)*MAX('Inputs'!$B$33,'Inputs'!$B$29+'Inputs'!$B$31+'Inputs'!$B$32,'Inputs'!$B$30+'Inputs'!$B$31+'Inputs'!$B$32)/1000+'Inputs'!$B$21))^2+('Inputs'!$B$8/2)^2)))-'Results'!B7*(1-'Inputs'!$B$24)*(0.5*((((900-43)*MAX('Inputs'!$B$33,'Inputs'!$B$29+'Inputs'!$B$31+'Inputs'!$B$32,'Inputs'!$B$30+'Inputs'!$B$31+'Inputs'!$B$32)/1000+'Inputs'!$B$21+'Inputs'!$B$9+'Inputs'!$B$10)+'Inputs'!$B$7)/SQRT((((900-43)*MAX('Inputs'!$B$33,'Inputs'!$B$29+'Inputs'!$B$31+'Inputs'!$B$32,'Inputs'!$B$30+'Inputs'!$B$31+'Inputs'!$B$32)/1000+'Inputs'!$B$21+'Inputs'!$B$9+'Inputs'!$B$10)+'Inputs'!$B$7)^2+('Inputs'!$B$6/2)^2)-(((900-43)*MAX('Inputs'!$B$33,'Inputs'!$B$29+'Inputs'!$B$31+'Inputs'!$B$32,'Inputs'!$B$30+'Inputs'!$B$31+'Inputs'!$B$32)/1000+'Inputs'!$B$21+'Inputs'!$B$9+'Inputs'!$B$10))/SQRT((((900-43)*MAX('Inputs'!$B$33,'Inputs'!$B$29+'Inputs'!$B$31+'Inputs'!$B$32,'Inputs'!$B$30+'Inputs'!$B$31+'Inputs'!$B$32)/1000+'Inputs'!$B$21+'Inputs'!$B$9+'Inputs'!$B$10))^2+('Inputs'!$B$6/2)^2))))*'Results'!$B$8)+'Inputs'!$B$28*ABS((('Results'!C7*(1+'Inputs'!$B$24)*(0.5*((((900-43)*MAX('Inputs'!$B$33,'Inputs'!$B$29+'Inputs'!$B$31+'Inputs'!$B$32,'Inputs'!$B$30+'Inputs'!$B$31+'Inputs'!$B$32)/1000+'Inputs'!$B$21)+'Inputs'!$B$9)/SQRT((((900-43)*MAX('Inputs'!$B$33,'Inputs'!$B$29+'Inputs'!$B$31+'Inputs'!$B$32,'Inputs'!$B$30+'Inputs'!$B$31+'Inputs'!$B$32)/1000+'Inputs'!$B$21)+'Inputs'!$B$9)^2+('Inputs'!$B$8/2)^2)-(((900-43)*MAX('Inputs'!$B$33,'Inputs'!$B$29+'Inputs'!$B$31+'Inputs'!$B$32,'Inputs'!$B$30+'Inputs'!$B$31+'Inputs'!$B$32)/1000+'Inputs'!$B$21))/SQRT((((900-43)*MAX('Inputs'!$B$33,'Inputs'!$B$29+'Inputs'!$B$31+'Inputs'!$B$32,'Inputs'!$B$30+'Inputs'!$B$31+'Inputs'!$B$32)/1000+'Inputs'!$B$21))^2+('Inputs'!$B$8/2)^2)))-'Results'!B7*(1-'Inputs'!$B$24)*(0.5*((((900-43)*MAX('Inputs'!$B$33,'Inputs'!$B$29+'Inputs'!$B$31+'Inputs'!$B$32,'Inputs'!$B$30+'Inputs'!$B$31+'Inputs'!$B$32)/1000+'Inputs'!$B$21+'Inputs'!$B$9+'Inputs'!$B$10)+'Inputs'!$B$7)/SQRT((((900-43)*MAX('Inputs'!$B$33,'Inputs'!$B$29+'Inputs'!$B$31+'Inputs'!$B$32,'Inputs'!$B$30+'Inputs'!$B$31+'Inputs'!$B$32)/1000+'Inputs'!$B$21+'Inputs'!$B$9+'Inputs'!$B$10)+'Inputs'!$B$7)^2+('Inputs'!$B$6/2)^2)-(((900-43)*MAX('Inputs'!$B$33,'Inputs'!$B$29+'Inputs'!$B$31+'Inputs'!$B$32,'Inputs'!$B$30+'Inputs'!$B$31+'Inputs'!$B$32)/1000+'Inputs'!$B$21+'Inputs'!$B$9+'Inputs'!$B$10))/SQRT((((900-43)*MAX('Inputs'!$B$33,'Inputs'!$B$29+'Inputs'!$B$31+'Inputs'!$B$32,'Inputs'!$B$30+'Inputs'!$B$31+'Inputs'!$B$32)/1000+'Inputs'!$B$21+'Inputs'!$B$9+'Inputs'!$B$10))^2+('Inputs'!$B$6/2)^2))))*'Results'!$B$8))),"")</x:f>
        <x:v>0.6561877800462144</x:v>
      </x:c>
      <x:c r="P900" t="n">
        <x:f>IF(AND(MAX(J900,J899)&gt;0,J900&gt;J899+0.00000001),1,0)</x:f>
        <x:v>0</x:v>
      </x:c>
      <x:c r="Q900" t="n">
        <x:f>IF(AND(MAX(K900,K899)&gt;0,K900&gt;K899+0.00000001),1,0)</x:f>
        <x:v>0</x:v>
      </x:c>
      <x:c r="R900" t="n">
        <x:f>IF(AND(MAX(L900,L899)&gt;0,L900&gt;L899+0.00000001),1,0)</x:f>
        <x:v>0</x:v>
      </x:c>
      <x:c r="S900" t="n">
        <x:f>IF(AND(MAX(M900,M899)&gt;0,M900&gt;M899+0.00000001),1,0)</x:f>
        <x:v>0</x:v>
      </x:c>
      <x:c r="T900" t="n">
        <x:f>IF(AND(MAX(N900,N899)&gt;0,N900&gt;N899+0.00000001),1,0)</x:f>
        <x:v>0</x:v>
      </x:c>
      <x:c r="U900" t="n">
        <x:f>IF(AND(MAX(O900,O899)&gt;0,O900&gt;O899+0.00000001),1,0)</x:f>
        <x:v>0</x:v>
      </x:c>
    </x:row>
    <x:row r="901">
      <x:c r="J901" t="n">
        <x:f>IF(AND(ISNUMBER('Results'!B7),ISNUMBER('Results'!C7),ISNUMBER('Results'!$B$8),ISNUMBER('Inputs'!$B$6),ISNUMBER('Inputs'!$B$7),ISNUMBER('Inputs'!$B$8),ISNUMBER('Inputs'!$B$9),ISNUMBER('Inputs'!$B$10),ISNUMBER('Inputs'!$B$21),ISNUMBER('Inputs'!$B$24),ISNUMBER('Inputs'!$B$28)),(('Results'!B7*(0.5*((((901-43)*MAX('Inputs'!$B$33,'Inputs'!$B$29+'Inputs'!$B$31+'Inputs'!$B$32,'Inputs'!$B$30+'Inputs'!$B$31+'Inputs'!$B$32)/1000+'Inputs'!$B$21)+'Inputs'!$B$7)/SQRT((((901-43)*MAX('Inputs'!$B$33,'Inputs'!$B$29+'Inputs'!$B$31+'Inputs'!$B$32,'Inputs'!$B$30+'Inputs'!$B$31+'Inputs'!$B$32)/1000+'Inputs'!$B$21)+'Inputs'!$B$7)^2+('Inputs'!$B$6/2)^2)-(((901-43)*MAX('Inputs'!$B$33,'Inputs'!$B$29+'Inputs'!$B$31+'Inputs'!$B$32,'Inputs'!$B$30+'Inputs'!$B$31+'Inputs'!$B$32)/1000+'Inputs'!$B$21))/SQRT((((901-43)*MAX('Inputs'!$B$33,'Inputs'!$B$29+'Inputs'!$B$31+'Inputs'!$B$32,'Inputs'!$B$30+'Inputs'!$B$31+'Inputs'!$B$32)/1000+'Inputs'!$B$21))^2+('Inputs'!$B$6/2)^2)))-'Results'!C7*(0.5*((((901-43)*MAX('Inputs'!$B$33,'Inputs'!$B$29+'Inputs'!$B$31+'Inputs'!$B$32,'Inputs'!$B$30+'Inputs'!$B$31+'Inputs'!$B$32)/1000+'Inputs'!$B$21+'Inputs'!$B$7+'Inputs'!$B$10)+'Inputs'!$B$9)/SQRT((((901-43)*MAX('Inputs'!$B$33,'Inputs'!$B$29+'Inputs'!$B$31+'Inputs'!$B$32,'Inputs'!$B$30+'Inputs'!$B$31+'Inputs'!$B$32)/1000+'Inputs'!$B$21+'Inputs'!$B$7+'Inputs'!$B$10)+'Inputs'!$B$9)^2+('Inputs'!$B$8/2)^2)-(((901-43)*MAX('Inputs'!$B$33,'Inputs'!$B$29+'Inputs'!$B$31+'Inputs'!$B$32,'Inputs'!$B$30+'Inputs'!$B$31+'Inputs'!$B$32)/1000+'Inputs'!$B$21+'Inputs'!$B$7+'Inputs'!$B$10))/SQRT((((901-43)*MAX('Inputs'!$B$33,'Inputs'!$B$29+'Inputs'!$B$31+'Inputs'!$B$32,'Inputs'!$B$30+'Inputs'!$B$31+'Inputs'!$B$32)/1000+'Inputs'!$B$21+'Inputs'!$B$7+'Inputs'!$B$10))^2+('Inputs'!$B$8/2)^2))))*'Results'!$B$8),"")</x:f>
        <x:v>0.6230892508521276</x:v>
      </x:c>
      <x:c r="K901" t="n">
        <x:f>IF(AND(ISNUMBER('Results'!B7),ISNUMBER('Results'!C7),ISNUMBER('Results'!$B$8),ISNUMBER('Inputs'!$B$6),ISNUMBER('Inputs'!$B$7),ISNUMBER('Inputs'!$B$8),ISNUMBER('Inputs'!$B$9),ISNUMBER('Inputs'!$B$10),ISNUMBER('Inputs'!$B$21),ISNUMBER('Inputs'!$B$24),ISNUMBER('Inputs'!$B$28)),((('Results'!B7*(1-'Inputs'!$B$24)*(0.5*((((901-43)*MAX('Inputs'!$B$33,'Inputs'!$B$29+'Inputs'!$B$31+'Inputs'!$B$32,'Inputs'!$B$30+'Inputs'!$B$31+'Inputs'!$B$32)/1000+'Inputs'!$B$21)+'Inputs'!$B$7)/SQRT((((901-43)*MAX('Inputs'!$B$33,'Inputs'!$B$29+'Inputs'!$B$31+'Inputs'!$B$32,'Inputs'!$B$30+'Inputs'!$B$31+'Inputs'!$B$32)/1000+'Inputs'!$B$21)+'Inputs'!$B$7)^2+('Inputs'!$B$6/2)^2)-(((901-43)*MAX('Inputs'!$B$33,'Inputs'!$B$29+'Inputs'!$B$31+'Inputs'!$B$32,'Inputs'!$B$30+'Inputs'!$B$31+'Inputs'!$B$32)/1000+'Inputs'!$B$21))/SQRT((((901-43)*MAX('Inputs'!$B$33,'Inputs'!$B$29+'Inputs'!$B$31+'Inputs'!$B$32,'Inputs'!$B$30+'Inputs'!$B$31+'Inputs'!$B$32)/1000+'Inputs'!$B$21))^2+('Inputs'!$B$6/2)^2)))-'Results'!C7*(1+'Inputs'!$B$24)*(0.5*((((901-43)*MAX('Inputs'!$B$33,'Inputs'!$B$29+'Inputs'!$B$31+'Inputs'!$B$32,'Inputs'!$B$30+'Inputs'!$B$31+'Inputs'!$B$32)/1000+'Inputs'!$B$21+'Inputs'!$B$7+'Inputs'!$B$10)+'Inputs'!$B$9)/SQRT((((901-43)*MAX('Inputs'!$B$33,'Inputs'!$B$29+'Inputs'!$B$31+'Inputs'!$B$32,'Inputs'!$B$30+'Inputs'!$B$31+'Inputs'!$B$32)/1000+'Inputs'!$B$21+'Inputs'!$B$7+'Inputs'!$B$10)+'Inputs'!$B$9)^2+('Inputs'!$B$8/2)^2)-(((901-43)*MAX('Inputs'!$B$33,'Inputs'!$B$29+'Inputs'!$B$31+'Inputs'!$B$32,'Inputs'!$B$30+'Inputs'!$B$31+'Inputs'!$B$32)/1000+'Inputs'!$B$21+'Inputs'!$B$7+'Inputs'!$B$10))/SQRT((((901-43)*MAX('Inputs'!$B$33,'Inputs'!$B$29+'Inputs'!$B$31+'Inputs'!$B$32,'Inputs'!$B$30+'Inputs'!$B$31+'Inputs'!$B$32)/1000+'Inputs'!$B$21+'Inputs'!$B$7+'Inputs'!$B$10))^2+('Inputs'!$B$8/2)^2))))*'Results'!$B$8)-'Inputs'!$B$28*ABS((('Results'!B7*(1-'Inputs'!$B$24)*(0.5*((((901-43)*MAX('Inputs'!$B$33,'Inputs'!$B$29+'Inputs'!$B$31+'Inputs'!$B$32,'Inputs'!$B$30+'Inputs'!$B$31+'Inputs'!$B$32)/1000+'Inputs'!$B$21)+'Inputs'!$B$7)/SQRT((((901-43)*MAX('Inputs'!$B$33,'Inputs'!$B$29+'Inputs'!$B$31+'Inputs'!$B$32,'Inputs'!$B$30+'Inputs'!$B$31+'Inputs'!$B$32)/1000+'Inputs'!$B$21)+'Inputs'!$B$7)^2+('Inputs'!$B$6/2)^2)-(((901-43)*MAX('Inputs'!$B$33,'Inputs'!$B$29+'Inputs'!$B$31+'Inputs'!$B$32,'Inputs'!$B$30+'Inputs'!$B$31+'Inputs'!$B$32)/1000+'Inputs'!$B$21))/SQRT((((901-43)*MAX('Inputs'!$B$33,'Inputs'!$B$29+'Inputs'!$B$31+'Inputs'!$B$32,'Inputs'!$B$30+'Inputs'!$B$31+'Inputs'!$B$32)/1000+'Inputs'!$B$21))^2+('Inputs'!$B$6/2)^2)))-'Results'!C7*(1+'Inputs'!$B$24)*(0.5*((((901-43)*MAX('Inputs'!$B$33,'Inputs'!$B$29+'Inputs'!$B$31+'Inputs'!$B$32,'Inputs'!$B$30+'Inputs'!$B$31+'Inputs'!$B$32)/1000+'Inputs'!$B$21+'Inputs'!$B$7+'Inputs'!$B$10)+'Inputs'!$B$9)/SQRT((((901-43)*MAX('Inputs'!$B$33,'Inputs'!$B$29+'Inputs'!$B$31+'Inputs'!$B$32,'Inputs'!$B$30+'Inputs'!$B$31+'Inputs'!$B$32)/1000+'Inputs'!$B$21+'Inputs'!$B$7+'Inputs'!$B$10)+'Inputs'!$B$9)^2+('Inputs'!$B$8/2)^2)-(((901-43)*MAX('Inputs'!$B$33,'Inputs'!$B$29+'Inputs'!$B$31+'Inputs'!$B$32,'Inputs'!$B$30+'Inputs'!$B$31+'Inputs'!$B$32)/1000+'Inputs'!$B$21+'Inputs'!$B$7+'Inputs'!$B$10))/SQRT((((901-43)*MAX('Inputs'!$B$33,'Inputs'!$B$29+'Inputs'!$B$31+'Inputs'!$B$32,'Inputs'!$B$30+'Inputs'!$B$31+'Inputs'!$B$32)/1000+'Inputs'!$B$21+'Inputs'!$B$7+'Inputs'!$B$10))^2+('Inputs'!$B$8/2)^2))))*'Results'!$B$8))),"")</x:f>
        <x:v>0.5298561049496852</x:v>
      </x:c>
      <x:c r="L901" t="n">
        <x:f>IF(AND(ISNUMBER('Results'!B7),ISNUMBER('Results'!C7),ISNUMBER('Results'!$B$8),ISNUMBER('Inputs'!$B$6),ISNUMBER('Inputs'!$B$7),ISNUMBER('Inputs'!$B$8),ISNUMBER('Inputs'!$B$9),ISNUMBER('Inputs'!$B$10),ISNUMBER('Inputs'!$B$21),ISNUMBER('Inputs'!$B$24),ISNUMBER('Inputs'!$B$28)),((('Results'!B7*(1+'Inputs'!$B$24)*(0.5*((((901-43)*MAX('Inputs'!$B$33,'Inputs'!$B$29+'Inputs'!$B$31+'Inputs'!$B$32,'Inputs'!$B$30+'Inputs'!$B$31+'Inputs'!$B$32)/1000+'Inputs'!$B$21)+'Inputs'!$B$7)/SQRT((((901-43)*MAX('Inputs'!$B$33,'Inputs'!$B$29+'Inputs'!$B$31+'Inputs'!$B$32,'Inputs'!$B$30+'Inputs'!$B$31+'Inputs'!$B$32)/1000+'Inputs'!$B$21)+'Inputs'!$B$7)^2+('Inputs'!$B$6/2)^2)-(((901-43)*MAX('Inputs'!$B$33,'Inputs'!$B$29+'Inputs'!$B$31+'Inputs'!$B$32,'Inputs'!$B$30+'Inputs'!$B$31+'Inputs'!$B$32)/1000+'Inputs'!$B$21))/SQRT((((901-43)*MAX('Inputs'!$B$33,'Inputs'!$B$29+'Inputs'!$B$31+'Inputs'!$B$32,'Inputs'!$B$30+'Inputs'!$B$31+'Inputs'!$B$32)/1000+'Inputs'!$B$21))^2+('Inputs'!$B$6/2)^2)))-'Results'!C7*(1-'Inputs'!$B$24)*(0.5*((((901-43)*MAX('Inputs'!$B$33,'Inputs'!$B$29+'Inputs'!$B$31+'Inputs'!$B$32,'Inputs'!$B$30+'Inputs'!$B$31+'Inputs'!$B$32)/1000+'Inputs'!$B$21+'Inputs'!$B$7+'Inputs'!$B$10)+'Inputs'!$B$9)/SQRT((((901-43)*MAX('Inputs'!$B$33,'Inputs'!$B$29+'Inputs'!$B$31+'Inputs'!$B$32,'Inputs'!$B$30+'Inputs'!$B$31+'Inputs'!$B$32)/1000+'Inputs'!$B$21+'Inputs'!$B$7+'Inputs'!$B$10)+'Inputs'!$B$9)^2+('Inputs'!$B$8/2)^2)-(((901-43)*MAX('Inputs'!$B$33,'Inputs'!$B$29+'Inputs'!$B$31+'Inputs'!$B$32,'Inputs'!$B$30+'Inputs'!$B$31+'Inputs'!$B$32)/1000+'Inputs'!$B$21+'Inputs'!$B$7+'Inputs'!$B$10))/SQRT((((901-43)*MAX('Inputs'!$B$33,'Inputs'!$B$29+'Inputs'!$B$31+'Inputs'!$B$32,'Inputs'!$B$30+'Inputs'!$B$31+'Inputs'!$B$32)/1000+'Inputs'!$B$21+'Inputs'!$B$7+'Inputs'!$B$10))^2+('Inputs'!$B$8/2)^2))))*'Results'!$B$8)+'Inputs'!$B$28*ABS((('Results'!B7*(1+'Inputs'!$B$24)*(0.5*((((901-43)*MAX('Inputs'!$B$33,'Inputs'!$B$29+'Inputs'!$B$31+'Inputs'!$B$32,'Inputs'!$B$30+'Inputs'!$B$31+'Inputs'!$B$32)/1000+'Inputs'!$B$21)+'Inputs'!$B$7)/SQRT((((901-43)*MAX('Inputs'!$B$33,'Inputs'!$B$29+'Inputs'!$B$31+'Inputs'!$B$32,'Inputs'!$B$30+'Inputs'!$B$31+'Inputs'!$B$32)/1000+'Inputs'!$B$21)+'Inputs'!$B$7)^2+('Inputs'!$B$6/2)^2)-(((901-43)*MAX('Inputs'!$B$33,'Inputs'!$B$29+'Inputs'!$B$31+'Inputs'!$B$32,'Inputs'!$B$30+'Inputs'!$B$31+'Inputs'!$B$32)/1000+'Inputs'!$B$21))/SQRT((((901-43)*MAX('Inputs'!$B$33,'Inputs'!$B$29+'Inputs'!$B$31+'Inputs'!$B$32,'Inputs'!$B$30+'Inputs'!$B$31+'Inputs'!$B$32)/1000+'Inputs'!$B$21))^2+('Inputs'!$B$6/2)^2)))-'Results'!C7*(1-'Inputs'!$B$24)*(0.5*((((901-43)*MAX('Inputs'!$B$33,'Inputs'!$B$29+'Inputs'!$B$31+'Inputs'!$B$32,'Inputs'!$B$30+'Inputs'!$B$31+'Inputs'!$B$32)/1000+'Inputs'!$B$21+'Inputs'!$B$7+'Inputs'!$B$10)+'Inputs'!$B$9)/SQRT((((901-43)*MAX('Inputs'!$B$33,'Inputs'!$B$29+'Inputs'!$B$31+'Inputs'!$B$32,'Inputs'!$B$30+'Inputs'!$B$31+'Inputs'!$B$32)/1000+'Inputs'!$B$21+'Inputs'!$B$7+'Inputs'!$B$10)+'Inputs'!$B$9)^2+('Inputs'!$B$8/2)^2)-(((901-43)*MAX('Inputs'!$B$33,'Inputs'!$B$29+'Inputs'!$B$31+'Inputs'!$B$32,'Inputs'!$B$30+'Inputs'!$B$31+'Inputs'!$B$32)/1000+'Inputs'!$B$21+'Inputs'!$B$7+'Inputs'!$B$10))/SQRT((((901-43)*MAX('Inputs'!$B$33,'Inputs'!$B$29+'Inputs'!$B$31+'Inputs'!$B$32,'Inputs'!$B$30+'Inputs'!$B$31+'Inputs'!$B$32)/1000+'Inputs'!$B$21+'Inputs'!$B$7+'Inputs'!$B$10))^2+('Inputs'!$B$8/2)^2))))*'Results'!$B$8))),"")</x:f>
        <x:v>0.7228569950029743</x:v>
      </x:c>
      <x:c r="M901" t="n">
        <x:f>IF(AND(ISNUMBER('Results'!C7),ISNUMBER('Results'!B7),ISNUMBER('Results'!$B$8),ISNUMBER('Inputs'!$B$6),ISNUMBER('Inputs'!$B$7),ISNUMBER('Inputs'!$B$8),ISNUMBER('Inputs'!$B$9),ISNUMBER('Inputs'!$B$10),ISNUMBER('Inputs'!$B$21),ISNUMBER('Inputs'!$B$24),ISNUMBER('Inputs'!$B$28)),(('Results'!C7*(0.5*((((901-43)*MAX('Inputs'!$B$33,'Inputs'!$B$29+'Inputs'!$B$31+'Inputs'!$B$32,'Inputs'!$B$30+'Inputs'!$B$31+'Inputs'!$B$32)/1000+'Inputs'!$B$21)+'Inputs'!$B$9)/SQRT((((901-43)*MAX('Inputs'!$B$33,'Inputs'!$B$29+'Inputs'!$B$31+'Inputs'!$B$32,'Inputs'!$B$30+'Inputs'!$B$31+'Inputs'!$B$32)/1000+'Inputs'!$B$21)+'Inputs'!$B$9)^2+('Inputs'!$B$8/2)^2)-(((901-43)*MAX('Inputs'!$B$33,'Inputs'!$B$29+'Inputs'!$B$31+'Inputs'!$B$32,'Inputs'!$B$30+'Inputs'!$B$31+'Inputs'!$B$32)/1000+'Inputs'!$B$21))/SQRT((((901-43)*MAX('Inputs'!$B$33,'Inputs'!$B$29+'Inputs'!$B$31+'Inputs'!$B$32,'Inputs'!$B$30+'Inputs'!$B$31+'Inputs'!$B$32)/1000+'Inputs'!$B$21))^2+('Inputs'!$B$8/2)^2)))-'Results'!B7*(0.5*((((901-43)*MAX('Inputs'!$B$33,'Inputs'!$B$29+'Inputs'!$B$31+'Inputs'!$B$32,'Inputs'!$B$30+'Inputs'!$B$31+'Inputs'!$B$32)/1000+'Inputs'!$B$21+'Inputs'!$B$9+'Inputs'!$B$10)+'Inputs'!$B$7)/SQRT((((901-43)*MAX('Inputs'!$B$33,'Inputs'!$B$29+'Inputs'!$B$31+'Inputs'!$B$32,'Inputs'!$B$30+'Inputs'!$B$31+'Inputs'!$B$32)/1000+'Inputs'!$B$21+'Inputs'!$B$9+'Inputs'!$B$10)+'Inputs'!$B$7)^2+('Inputs'!$B$6/2)^2)-(((901-43)*MAX('Inputs'!$B$33,'Inputs'!$B$29+'Inputs'!$B$31+'Inputs'!$B$32,'Inputs'!$B$30+'Inputs'!$B$31+'Inputs'!$B$32)/1000+'Inputs'!$B$21+'Inputs'!$B$9+'Inputs'!$B$10))/SQRT((((901-43)*MAX('Inputs'!$B$33,'Inputs'!$B$29+'Inputs'!$B$31+'Inputs'!$B$32,'Inputs'!$B$30+'Inputs'!$B$31+'Inputs'!$B$32)/1000+'Inputs'!$B$21+'Inputs'!$B$9+'Inputs'!$B$10))^2+('Inputs'!$B$6/2)^2))))*'Results'!$B$8),"")</x:f>
        <x:v>0.5572036337000592</x:v>
      </x:c>
      <x:c r="N901" t="n">
        <x:f>IF(AND(ISNUMBER('Results'!C7),ISNUMBER('Results'!B7),ISNUMBER('Results'!$B$8),ISNUMBER('Inputs'!$B$6),ISNUMBER('Inputs'!$B$7),ISNUMBER('Inputs'!$B$8),ISNUMBER('Inputs'!$B$9),ISNUMBER('Inputs'!$B$10),ISNUMBER('Inputs'!$B$21),ISNUMBER('Inputs'!$B$24),ISNUMBER('Inputs'!$B$28)),((('Results'!C7*(1-'Inputs'!$B$24)*(0.5*((((901-43)*MAX('Inputs'!$B$33,'Inputs'!$B$29+'Inputs'!$B$31+'Inputs'!$B$32,'Inputs'!$B$30+'Inputs'!$B$31+'Inputs'!$B$32)/1000+'Inputs'!$B$21)+'Inputs'!$B$9)/SQRT((((901-43)*MAX('Inputs'!$B$33,'Inputs'!$B$29+'Inputs'!$B$31+'Inputs'!$B$32,'Inputs'!$B$30+'Inputs'!$B$31+'Inputs'!$B$32)/1000+'Inputs'!$B$21)+'Inputs'!$B$9)^2+('Inputs'!$B$8/2)^2)-(((901-43)*MAX('Inputs'!$B$33,'Inputs'!$B$29+'Inputs'!$B$31+'Inputs'!$B$32,'Inputs'!$B$30+'Inputs'!$B$31+'Inputs'!$B$32)/1000+'Inputs'!$B$21))/SQRT((((901-43)*MAX('Inputs'!$B$33,'Inputs'!$B$29+'Inputs'!$B$31+'Inputs'!$B$32,'Inputs'!$B$30+'Inputs'!$B$31+'Inputs'!$B$32)/1000+'Inputs'!$B$21))^2+('Inputs'!$B$8/2)^2)))-'Results'!B7*(1+'Inputs'!$B$24)*(0.5*((((901-43)*MAX('Inputs'!$B$33,'Inputs'!$B$29+'Inputs'!$B$31+'Inputs'!$B$32,'Inputs'!$B$30+'Inputs'!$B$31+'Inputs'!$B$32)/1000+'Inputs'!$B$21+'Inputs'!$B$9+'Inputs'!$B$10)+'Inputs'!$B$7)/SQRT((((901-43)*MAX('Inputs'!$B$33,'Inputs'!$B$29+'Inputs'!$B$31+'Inputs'!$B$32,'Inputs'!$B$30+'Inputs'!$B$31+'Inputs'!$B$32)/1000+'Inputs'!$B$21+'Inputs'!$B$9+'Inputs'!$B$10)+'Inputs'!$B$7)^2+('Inputs'!$B$6/2)^2)-(((901-43)*MAX('Inputs'!$B$33,'Inputs'!$B$29+'Inputs'!$B$31+'Inputs'!$B$32,'Inputs'!$B$30+'Inputs'!$B$31+'Inputs'!$B$32)/1000+'Inputs'!$B$21+'Inputs'!$B$9+'Inputs'!$B$10))/SQRT((((901-43)*MAX('Inputs'!$B$33,'Inputs'!$B$29+'Inputs'!$B$31+'Inputs'!$B$32,'Inputs'!$B$30+'Inputs'!$B$31+'Inputs'!$B$32)/1000+'Inputs'!$B$21+'Inputs'!$B$9+'Inputs'!$B$10))^2+('Inputs'!$B$6/2)^2))))*'Results'!$B$8)-'Inputs'!$B$28*ABS((('Results'!C7*(1-'Inputs'!$B$24)*(0.5*((((901-43)*MAX('Inputs'!$B$33,'Inputs'!$B$29+'Inputs'!$B$31+'Inputs'!$B$32,'Inputs'!$B$30+'Inputs'!$B$31+'Inputs'!$B$32)/1000+'Inputs'!$B$21)+'Inputs'!$B$9)/SQRT((((901-43)*MAX('Inputs'!$B$33,'Inputs'!$B$29+'Inputs'!$B$31+'Inputs'!$B$32,'Inputs'!$B$30+'Inputs'!$B$31+'Inputs'!$B$32)/1000+'Inputs'!$B$21)+'Inputs'!$B$9)^2+('Inputs'!$B$8/2)^2)-(((901-43)*MAX('Inputs'!$B$33,'Inputs'!$B$29+'Inputs'!$B$31+'Inputs'!$B$32,'Inputs'!$B$30+'Inputs'!$B$31+'Inputs'!$B$32)/1000+'Inputs'!$B$21))/SQRT((((901-43)*MAX('Inputs'!$B$33,'Inputs'!$B$29+'Inputs'!$B$31+'Inputs'!$B$32,'Inputs'!$B$30+'Inputs'!$B$31+'Inputs'!$B$32)/1000+'Inputs'!$B$21))^2+('Inputs'!$B$8/2)^2)))-'Results'!B7*(1+'Inputs'!$B$24)*(0.5*((((901-43)*MAX('Inputs'!$B$33,'Inputs'!$B$29+'Inputs'!$B$31+'Inputs'!$B$32,'Inputs'!$B$30+'Inputs'!$B$31+'Inputs'!$B$32)/1000+'Inputs'!$B$21+'Inputs'!$B$9+'Inputs'!$B$10)+'Inputs'!$B$7)/SQRT((((901-43)*MAX('Inputs'!$B$33,'Inputs'!$B$29+'Inputs'!$B$31+'Inputs'!$B$32,'Inputs'!$B$30+'Inputs'!$B$31+'Inputs'!$B$32)/1000+'Inputs'!$B$21+'Inputs'!$B$9+'Inputs'!$B$10)+'Inputs'!$B$7)^2+('Inputs'!$B$6/2)^2)-(((901-43)*MAX('Inputs'!$B$33,'Inputs'!$B$29+'Inputs'!$B$31+'Inputs'!$B$32,'Inputs'!$B$30+'Inputs'!$B$31+'Inputs'!$B$32)/1000+'Inputs'!$B$21+'Inputs'!$B$9+'Inputs'!$B$10))/SQRT((((901-43)*MAX('Inputs'!$B$33,'Inputs'!$B$29+'Inputs'!$B$31+'Inputs'!$B$32,'Inputs'!$B$30+'Inputs'!$B$31+'Inputs'!$B$32)/1000+'Inputs'!$B$21+'Inputs'!$B$9+'Inputs'!$B$10))^2+('Inputs'!$B$6/2)^2))))*'Results'!$B$8))),"")</x:f>
        <x:v>0.46749128951185126</x:v>
      </x:c>
      <x:c r="O901" t="n">
        <x:f>IF(AND(ISNUMBER('Results'!C7),ISNUMBER('Results'!B7),ISNUMBER('Results'!$B$8),ISNUMBER('Inputs'!$B$6),ISNUMBER('Inputs'!$B$7),ISNUMBER('Inputs'!$B$8),ISNUMBER('Inputs'!$B$9),ISNUMBER('Inputs'!$B$10),ISNUMBER('Inputs'!$B$21),ISNUMBER('Inputs'!$B$24),ISNUMBER('Inputs'!$B$28)),((('Results'!C7*(1+'Inputs'!$B$24)*(0.5*((((901-43)*MAX('Inputs'!$B$33,'Inputs'!$B$29+'Inputs'!$B$31+'Inputs'!$B$32,'Inputs'!$B$30+'Inputs'!$B$31+'Inputs'!$B$32)/1000+'Inputs'!$B$21)+'Inputs'!$B$9)/SQRT((((901-43)*MAX('Inputs'!$B$33,'Inputs'!$B$29+'Inputs'!$B$31+'Inputs'!$B$32,'Inputs'!$B$30+'Inputs'!$B$31+'Inputs'!$B$32)/1000+'Inputs'!$B$21)+'Inputs'!$B$9)^2+('Inputs'!$B$8/2)^2)-(((901-43)*MAX('Inputs'!$B$33,'Inputs'!$B$29+'Inputs'!$B$31+'Inputs'!$B$32,'Inputs'!$B$30+'Inputs'!$B$31+'Inputs'!$B$32)/1000+'Inputs'!$B$21))/SQRT((((901-43)*MAX('Inputs'!$B$33,'Inputs'!$B$29+'Inputs'!$B$31+'Inputs'!$B$32,'Inputs'!$B$30+'Inputs'!$B$31+'Inputs'!$B$32)/1000+'Inputs'!$B$21))^2+('Inputs'!$B$8/2)^2)))-'Results'!B7*(1-'Inputs'!$B$24)*(0.5*((((901-43)*MAX('Inputs'!$B$33,'Inputs'!$B$29+'Inputs'!$B$31+'Inputs'!$B$32,'Inputs'!$B$30+'Inputs'!$B$31+'Inputs'!$B$32)/1000+'Inputs'!$B$21+'Inputs'!$B$9+'Inputs'!$B$10)+'Inputs'!$B$7)/SQRT((((901-43)*MAX('Inputs'!$B$33,'Inputs'!$B$29+'Inputs'!$B$31+'Inputs'!$B$32,'Inputs'!$B$30+'Inputs'!$B$31+'Inputs'!$B$32)/1000+'Inputs'!$B$21+'Inputs'!$B$9+'Inputs'!$B$10)+'Inputs'!$B$7)^2+('Inputs'!$B$6/2)^2)-(((901-43)*MAX('Inputs'!$B$33,'Inputs'!$B$29+'Inputs'!$B$31+'Inputs'!$B$32,'Inputs'!$B$30+'Inputs'!$B$31+'Inputs'!$B$32)/1000+'Inputs'!$B$21+'Inputs'!$B$9+'Inputs'!$B$10))/SQRT((((901-43)*MAX('Inputs'!$B$33,'Inputs'!$B$29+'Inputs'!$B$31+'Inputs'!$B$32,'Inputs'!$B$30+'Inputs'!$B$31+'Inputs'!$B$32)/1000+'Inputs'!$B$21+'Inputs'!$B$9+'Inputs'!$B$10))^2+('Inputs'!$B$6/2)^2))))*'Results'!$B$8)+'Inputs'!$B$28*ABS((('Results'!C7*(1+'Inputs'!$B$24)*(0.5*((((901-43)*MAX('Inputs'!$B$33,'Inputs'!$B$29+'Inputs'!$B$31+'Inputs'!$B$32,'Inputs'!$B$30+'Inputs'!$B$31+'Inputs'!$B$32)/1000+'Inputs'!$B$21)+'Inputs'!$B$9)/SQRT((((901-43)*MAX('Inputs'!$B$33,'Inputs'!$B$29+'Inputs'!$B$31+'Inputs'!$B$32,'Inputs'!$B$30+'Inputs'!$B$31+'Inputs'!$B$32)/1000+'Inputs'!$B$21)+'Inputs'!$B$9)^2+('Inputs'!$B$8/2)^2)-(((901-43)*MAX('Inputs'!$B$33,'Inputs'!$B$29+'Inputs'!$B$31+'Inputs'!$B$32,'Inputs'!$B$30+'Inputs'!$B$31+'Inputs'!$B$32)/1000+'Inputs'!$B$21))/SQRT((((901-43)*MAX('Inputs'!$B$33,'Inputs'!$B$29+'Inputs'!$B$31+'Inputs'!$B$32,'Inputs'!$B$30+'Inputs'!$B$31+'Inputs'!$B$32)/1000+'Inputs'!$B$21))^2+('Inputs'!$B$8/2)^2)))-'Results'!B7*(1-'Inputs'!$B$24)*(0.5*((((901-43)*MAX('Inputs'!$B$33,'Inputs'!$B$29+'Inputs'!$B$31+'Inputs'!$B$32,'Inputs'!$B$30+'Inputs'!$B$31+'Inputs'!$B$32)/1000+'Inputs'!$B$21+'Inputs'!$B$9+'Inputs'!$B$10)+'Inputs'!$B$7)/SQRT((((901-43)*MAX('Inputs'!$B$33,'Inputs'!$B$29+'Inputs'!$B$31+'Inputs'!$B$32,'Inputs'!$B$30+'Inputs'!$B$31+'Inputs'!$B$32)/1000+'Inputs'!$B$21+'Inputs'!$B$9+'Inputs'!$B$10)+'Inputs'!$B$7)^2+('Inputs'!$B$6/2)^2)-(((901-43)*MAX('Inputs'!$B$33,'Inputs'!$B$29+'Inputs'!$B$31+'Inputs'!$B$32,'Inputs'!$B$30+'Inputs'!$B$31+'Inputs'!$B$32)/1000+'Inputs'!$B$21+'Inputs'!$B$9+'Inputs'!$B$10))/SQRT((((901-43)*MAX('Inputs'!$B$33,'Inputs'!$B$29+'Inputs'!$B$31+'Inputs'!$B$32,'Inputs'!$B$30+'Inputs'!$B$31+'Inputs'!$B$32)/1000+'Inputs'!$B$21+'Inputs'!$B$9+'Inputs'!$B$10))^2+('Inputs'!$B$6/2)^2))))*'Results'!$B$8))),"")</x:f>
        <x:v>0.6534267318359728</x:v>
      </x:c>
      <x:c r="P901" t="n">
        <x:f>IF(AND(MAX(J901,J900)&gt;0,J901&gt;J900+0.00000001),1,0)</x:f>
        <x:v>0</x:v>
      </x:c>
      <x:c r="Q901" t="n">
        <x:f>IF(AND(MAX(K901,K900)&gt;0,K901&gt;K900+0.00000001),1,0)</x:f>
        <x:v>0</x:v>
      </x:c>
      <x:c r="R901" t="n">
        <x:f>IF(AND(MAX(L901,L900)&gt;0,L901&gt;L900+0.00000001),1,0)</x:f>
        <x:v>0</x:v>
      </x:c>
      <x:c r="S901" t="n">
        <x:f>IF(AND(MAX(M901,M900)&gt;0,M901&gt;M900+0.00000001),1,0)</x:f>
        <x:v>0</x:v>
      </x:c>
      <x:c r="T901" t="n">
        <x:f>IF(AND(MAX(N901,N900)&gt;0,N901&gt;N900+0.00000001),1,0)</x:f>
        <x:v>0</x:v>
      </x:c>
      <x:c r="U901" t="n">
        <x:f>IF(AND(MAX(O901,O900)&gt;0,O901&gt;O900+0.00000001),1,0)</x:f>
        <x:v>0</x:v>
      </x:c>
    </x:row>
    <x:row r="902">
      <x:c r="J902" t="n">
        <x:f>IF(AND(ISNUMBER('Results'!B7),ISNUMBER('Results'!C7),ISNUMBER('Results'!$B$8),ISNUMBER('Inputs'!$B$6),ISNUMBER('Inputs'!$B$7),ISNUMBER('Inputs'!$B$8),ISNUMBER('Inputs'!$B$9),ISNUMBER('Inputs'!$B$10),ISNUMBER('Inputs'!$B$21),ISNUMBER('Inputs'!$B$24),ISNUMBER('Inputs'!$B$28)),(('Results'!B7*(0.5*((((902-43)*MAX('Inputs'!$B$33,'Inputs'!$B$29+'Inputs'!$B$31+'Inputs'!$B$32,'Inputs'!$B$30+'Inputs'!$B$31+'Inputs'!$B$32)/1000+'Inputs'!$B$21)+'Inputs'!$B$7)/SQRT((((902-43)*MAX('Inputs'!$B$33,'Inputs'!$B$29+'Inputs'!$B$31+'Inputs'!$B$32,'Inputs'!$B$30+'Inputs'!$B$31+'Inputs'!$B$32)/1000+'Inputs'!$B$21)+'Inputs'!$B$7)^2+('Inputs'!$B$6/2)^2)-(((902-43)*MAX('Inputs'!$B$33,'Inputs'!$B$29+'Inputs'!$B$31+'Inputs'!$B$32,'Inputs'!$B$30+'Inputs'!$B$31+'Inputs'!$B$32)/1000+'Inputs'!$B$21))/SQRT((((902-43)*MAX('Inputs'!$B$33,'Inputs'!$B$29+'Inputs'!$B$31+'Inputs'!$B$32,'Inputs'!$B$30+'Inputs'!$B$31+'Inputs'!$B$32)/1000+'Inputs'!$B$21))^2+('Inputs'!$B$6/2)^2)))-'Results'!C7*(0.5*((((902-43)*MAX('Inputs'!$B$33,'Inputs'!$B$29+'Inputs'!$B$31+'Inputs'!$B$32,'Inputs'!$B$30+'Inputs'!$B$31+'Inputs'!$B$32)/1000+'Inputs'!$B$21+'Inputs'!$B$7+'Inputs'!$B$10)+'Inputs'!$B$9)/SQRT((((902-43)*MAX('Inputs'!$B$33,'Inputs'!$B$29+'Inputs'!$B$31+'Inputs'!$B$32,'Inputs'!$B$30+'Inputs'!$B$31+'Inputs'!$B$32)/1000+'Inputs'!$B$21+'Inputs'!$B$7+'Inputs'!$B$10)+'Inputs'!$B$9)^2+('Inputs'!$B$8/2)^2)-(((902-43)*MAX('Inputs'!$B$33,'Inputs'!$B$29+'Inputs'!$B$31+'Inputs'!$B$32,'Inputs'!$B$30+'Inputs'!$B$31+'Inputs'!$B$32)/1000+'Inputs'!$B$21+'Inputs'!$B$7+'Inputs'!$B$10))/SQRT((((902-43)*MAX('Inputs'!$B$33,'Inputs'!$B$29+'Inputs'!$B$31+'Inputs'!$B$32,'Inputs'!$B$30+'Inputs'!$B$31+'Inputs'!$B$32)/1000+'Inputs'!$B$21+'Inputs'!$B$7+'Inputs'!$B$10))^2+('Inputs'!$B$8/2)^2))))*'Results'!$B$8),"")</x:f>
        <x:v>0.6204709266487554</x:v>
      </x:c>
      <x:c r="K902" t="n">
        <x:f>IF(AND(ISNUMBER('Results'!B7),ISNUMBER('Results'!C7),ISNUMBER('Results'!$B$8),ISNUMBER('Inputs'!$B$6),ISNUMBER('Inputs'!$B$7),ISNUMBER('Inputs'!$B$8),ISNUMBER('Inputs'!$B$9),ISNUMBER('Inputs'!$B$10),ISNUMBER('Inputs'!$B$21),ISNUMBER('Inputs'!$B$24),ISNUMBER('Inputs'!$B$28)),((('Results'!B7*(1-'Inputs'!$B$24)*(0.5*((((902-43)*MAX('Inputs'!$B$33,'Inputs'!$B$29+'Inputs'!$B$31+'Inputs'!$B$32,'Inputs'!$B$30+'Inputs'!$B$31+'Inputs'!$B$32)/1000+'Inputs'!$B$21)+'Inputs'!$B$7)/SQRT((((902-43)*MAX('Inputs'!$B$33,'Inputs'!$B$29+'Inputs'!$B$31+'Inputs'!$B$32,'Inputs'!$B$30+'Inputs'!$B$31+'Inputs'!$B$32)/1000+'Inputs'!$B$21)+'Inputs'!$B$7)^2+('Inputs'!$B$6/2)^2)-(((902-43)*MAX('Inputs'!$B$33,'Inputs'!$B$29+'Inputs'!$B$31+'Inputs'!$B$32,'Inputs'!$B$30+'Inputs'!$B$31+'Inputs'!$B$32)/1000+'Inputs'!$B$21))/SQRT((((902-43)*MAX('Inputs'!$B$33,'Inputs'!$B$29+'Inputs'!$B$31+'Inputs'!$B$32,'Inputs'!$B$30+'Inputs'!$B$31+'Inputs'!$B$32)/1000+'Inputs'!$B$21))^2+('Inputs'!$B$6/2)^2)))-'Results'!C7*(1+'Inputs'!$B$24)*(0.5*((((902-43)*MAX('Inputs'!$B$33,'Inputs'!$B$29+'Inputs'!$B$31+'Inputs'!$B$32,'Inputs'!$B$30+'Inputs'!$B$31+'Inputs'!$B$32)/1000+'Inputs'!$B$21+'Inputs'!$B$7+'Inputs'!$B$10)+'Inputs'!$B$9)/SQRT((((902-43)*MAX('Inputs'!$B$33,'Inputs'!$B$29+'Inputs'!$B$31+'Inputs'!$B$32,'Inputs'!$B$30+'Inputs'!$B$31+'Inputs'!$B$32)/1000+'Inputs'!$B$21+'Inputs'!$B$7+'Inputs'!$B$10)+'Inputs'!$B$9)^2+('Inputs'!$B$8/2)^2)-(((902-43)*MAX('Inputs'!$B$33,'Inputs'!$B$29+'Inputs'!$B$31+'Inputs'!$B$32,'Inputs'!$B$30+'Inputs'!$B$31+'Inputs'!$B$32)/1000+'Inputs'!$B$21+'Inputs'!$B$7+'Inputs'!$B$10))/SQRT((((902-43)*MAX('Inputs'!$B$33,'Inputs'!$B$29+'Inputs'!$B$31+'Inputs'!$B$32,'Inputs'!$B$30+'Inputs'!$B$31+'Inputs'!$B$32)/1000+'Inputs'!$B$21+'Inputs'!$B$7+'Inputs'!$B$10))^2+('Inputs'!$B$8/2)^2))))*'Results'!$B$8)-'Inputs'!$B$28*ABS((('Results'!B7*(1-'Inputs'!$B$24)*(0.5*((((902-43)*MAX('Inputs'!$B$33,'Inputs'!$B$29+'Inputs'!$B$31+'Inputs'!$B$32,'Inputs'!$B$30+'Inputs'!$B$31+'Inputs'!$B$32)/1000+'Inputs'!$B$21)+'Inputs'!$B$7)/SQRT((((902-43)*MAX('Inputs'!$B$33,'Inputs'!$B$29+'Inputs'!$B$31+'Inputs'!$B$32,'Inputs'!$B$30+'Inputs'!$B$31+'Inputs'!$B$32)/1000+'Inputs'!$B$21)+'Inputs'!$B$7)^2+('Inputs'!$B$6/2)^2)-(((902-43)*MAX('Inputs'!$B$33,'Inputs'!$B$29+'Inputs'!$B$31+'Inputs'!$B$32,'Inputs'!$B$30+'Inputs'!$B$31+'Inputs'!$B$32)/1000+'Inputs'!$B$21))/SQRT((((902-43)*MAX('Inputs'!$B$33,'Inputs'!$B$29+'Inputs'!$B$31+'Inputs'!$B$32,'Inputs'!$B$30+'Inputs'!$B$31+'Inputs'!$B$32)/1000+'Inputs'!$B$21))^2+('Inputs'!$B$6/2)^2)))-'Results'!C7*(1+'Inputs'!$B$24)*(0.5*((((902-43)*MAX('Inputs'!$B$33,'Inputs'!$B$29+'Inputs'!$B$31+'Inputs'!$B$32,'Inputs'!$B$30+'Inputs'!$B$31+'Inputs'!$B$32)/1000+'Inputs'!$B$21+'Inputs'!$B$7+'Inputs'!$B$10)+'Inputs'!$B$9)/SQRT((((902-43)*MAX('Inputs'!$B$33,'Inputs'!$B$29+'Inputs'!$B$31+'Inputs'!$B$32,'Inputs'!$B$30+'Inputs'!$B$31+'Inputs'!$B$32)/1000+'Inputs'!$B$21+'Inputs'!$B$7+'Inputs'!$B$10)+'Inputs'!$B$9)^2+('Inputs'!$B$8/2)^2)-(((902-43)*MAX('Inputs'!$B$33,'Inputs'!$B$29+'Inputs'!$B$31+'Inputs'!$B$32,'Inputs'!$B$30+'Inputs'!$B$31+'Inputs'!$B$32)/1000+'Inputs'!$B$21+'Inputs'!$B$7+'Inputs'!$B$10))/SQRT((((902-43)*MAX('Inputs'!$B$33,'Inputs'!$B$29+'Inputs'!$B$31+'Inputs'!$B$32,'Inputs'!$B$30+'Inputs'!$B$31+'Inputs'!$B$32)/1000+'Inputs'!$B$21+'Inputs'!$B$7+'Inputs'!$B$10))^2+('Inputs'!$B$8/2)^2))))*'Results'!$B$8))),"")</x:f>
        <x:v>0.52756911140125</x:v>
      </x:c>
      <x:c r="L902" t="n">
        <x:f>IF(AND(ISNUMBER('Results'!B7),ISNUMBER('Results'!C7),ISNUMBER('Results'!$B$8),ISNUMBER('Inputs'!$B$6),ISNUMBER('Inputs'!$B$7),ISNUMBER('Inputs'!$B$8),ISNUMBER('Inputs'!$B$9),ISNUMBER('Inputs'!$B$10),ISNUMBER('Inputs'!$B$21),ISNUMBER('Inputs'!$B$24),ISNUMBER('Inputs'!$B$28)),((('Results'!B7*(1+'Inputs'!$B$24)*(0.5*((((902-43)*MAX('Inputs'!$B$33,'Inputs'!$B$29+'Inputs'!$B$31+'Inputs'!$B$32,'Inputs'!$B$30+'Inputs'!$B$31+'Inputs'!$B$32)/1000+'Inputs'!$B$21)+'Inputs'!$B$7)/SQRT((((902-43)*MAX('Inputs'!$B$33,'Inputs'!$B$29+'Inputs'!$B$31+'Inputs'!$B$32,'Inputs'!$B$30+'Inputs'!$B$31+'Inputs'!$B$32)/1000+'Inputs'!$B$21)+'Inputs'!$B$7)^2+('Inputs'!$B$6/2)^2)-(((902-43)*MAX('Inputs'!$B$33,'Inputs'!$B$29+'Inputs'!$B$31+'Inputs'!$B$32,'Inputs'!$B$30+'Inputs'!$B$31+'Inputs'!$B$32)/1000+'Inputs'!$B$21))/SQRT((((902-43)*MAX('Inputs'!$B$33,'Inputs'!$B$29+'Inputs'!$B$31+'Inputs'!$B$32,'Inputs'!$B$30+'Inputs'!$B$31+'Inputs'!$B$32)/1000+'Inputs'!$B$21))^2+('Inputs'!$B$6/2)^2)))-'Results'!C7*(1-'Inputs'!$B$24)*(0.5*((((902-43)*MAX('Inputs'!$B$33,'Inputs'!$B$29+'Inputs'!$B$31+'Inputs'!$B$32,'Inputs'!$B$30+'Inputs'!$B$31+'Inputs'!$B$32)/1000+'Inputs'!$B$21+'Inputs'!$B$7+'Inputs'!$B$10)+'Inputs'!$B$9)/SQRT((((902-43)*MAX('Inputs'!$B$33,'Inputs'!$B$29+'Inputs'!$B$31+'Inputs'!$B$32,'Inputs'!$B$30+'Inputs'!$B$31+'Inputs'!$B$32)/1000+'Inputs'!$B$21+'Inputs'!$B$7+'Inputs'!$B$10)+'Inputs'!$B$9)^2+('Inputs'!$B$8/2)^2)-(((902-43)*MAX('Inputs'!$B$33,'Inputs'!$B$29+'Inputs'!$B$31+'Inputs'!$B$32,'Inputs'!$B$30+'Inputs'!$B$31+'Inputs'!$B$32)/1000+'Inputs'!$B$21+'Inputs'!$B$7+'Inputs'!$B$10))/SQRT((((902-43)*MAX('Inputs'!$B$33,'Inputs'!$B$29+'Inputs'!$B$31+'Inputs'!$B$32,'Inputs'!$B$30+'Inputs'!$B$31+'Inputs'!$B$32)/1000+'Inputs'!$B$21+'Inputs'!$B$7+'Inputs'!$B$10))^2+('Inputs'!$B$8/2)^2))))*'Results'!$B$8)+'Inputs'!$B$28*ABS((('Results'!B7*(1+'Inputs'!$B$24)*(0.5*((((902-43)*MAX('Inputs'!$B$33,'Inputs'!$B$29+'Inputs'!$B$31+'Inputs'!$B$32,'Inputs'!$B$30+'Inputs'!$B$31+'Inputs'!$B$32)/1000+'Inputs'!$B$21)+'Inputs'!$B$7)/SQRT((((902-43)*MAX('Inputs'!$B$33,'Inputs'!$B$29+'Inputs'!$B$31+'Inputs'!$B$32,'Inputs'!$B$30+'Inputs'!$B$31+'Inputs'!$B$32)/1000+'Inputs'!$B$21)+'Inputs'!$B$7)^2+('Inputs'!$B$6/2)^2)-(((902-43)*MAX('Inputs'!$B$33,'Inputs'!$B$29+'Inputs'!$B$31+'Inputs'!$B$32,'Inputs'!$B$30+'Inputs'!$B$31+'Inputs'!$B$32)/1000+'Inputs'!$B$21))/SQRT((((902-43)*MAX('Inputs'!$B$33,'Inputs'!$B$29+'Inputs'!$B$31+'Inputs'!$B$32,'Inputs'!$B$30+'Inputs'!$B$31+'Inputs'!$B$32)/1000+'Inputs'!$B$21))^2+('Inputs'!$B$6/2)^2)))-'Results'!C7*(1-'Inputs'!$B$24)*(0.5*((((902-43)*MAX('Inputs'!$B$33,'Inputs'!$B$29+'Inputs'!$B$31+'Inputs'!$B$32,'Inputs'!$B$30+'Inputs'!$B$31+'Inputs'!$B$32)/1000+'Inputs'!$B$21+'Inputs'!$B$7+'Inputs'!$B$10)+'Inputs'!$B$9)/SQRT((((902-43)*MAX('Inputs'!$B$33,'Inputs'!$B$29+'Inputs'!$B$31+'Inputs'!$B$32,'Inputs'!$B$30+'Inputs'!$B$31+'Inputs'!$B$32)/1000+'Inputs'!$B$21+'Inputs'!$B$7+'Inputs'!$B$10)+'Inputs'!$B$9)^2+('Inputs'!$B$8/2)^2)-(((902-43)*MAX('Inputs'!$B$33,'Inputs'!$B$29+'Inputs'!$B$31+'Inputs'!$B$32,'Inputs'!$B$30+'Inputs'!$B$31+'Inputs'!$B$32)/1000+'Inputs'!$B$21+'Inputs'!$B$7+'Inputs'!$B$10))/SQRT((((902-43)*MAX('Inputs'!$B$33,'Inputs'!$B$29+'Inputs'!$B$31+'Inputs'!$B$32,'Inputs'!$B$30+'Inputs'!$B$31+'Inputs'!$B$32)/1000+'Inputs'!$B$21+'Inputs'!$B$7+'Inputs'!$B$10))^2+('Inputs'!$B$8/2)^2))))*'Results'!$B$8))),"")</x:f>
        <x:v>0.7198862438873207</x:v>
      </x:c>
      <x:c r="M902" t="n">
        <x:f>IF(AND(ISNUMBER('Results'!C7),ISNUMBER('Results'!B7),ISNUMBER('Results'!$B$8),ISNUMBER('Inputs'!$B$6),ISNUMBER('Inputs'!$B$7),ISNUMBER('Inputs'!$B$8),ISNUMBER('Inputs'!$B$9),ISNUMBER('Inputs'!$B$10),ISNUMBER('Inputs'!$B$21),ISNUMBER('Inputs'!$B$24),ISNUMBER('Inputs'!$B$28)),(('Results'!C7*(0.5*((((902-43)*MAX('Inputs'!$B$33,'Inputs'!$B$29+'Inputs'!$B$31+'Inputs'!$B$32,'Inputs'!$B$30+'Inputs'!$B$31+'Inputs'!$B$32)/1000+'Inputs'!$B$21)+'Inputs'!$B$9)/SQRT((((902-43)*MAX('Inputs'!$B$33,'Inputs'!$B$29+'Inputs'!$B$31+'Inputs'!$B$32,'Inputs'!$B$30+'Inputs'!$B$31+'Inputs'!$B$32)/1000+'Inputs'!$B$21)+'Inputs'!$B$9)^2+('Inputs'!$B$8/2)^2)-(((902-43)*MAX('Inputs'!$B$33,'Inputs'!$B$29+'Inputs'!$B$31+'Inputs'!$B$32,'Inputs'!$B$30+'Inputs'!$B$31+'Inputs'!$B$32)/1000+'Inputs'!$B$21))/SQRT((((902-43)*MAX('Inputs'!$B$33,'Inputs'!$B$29+'Inputs'!$B$31+'Inputs'!$B$32,'Inputs'!$B$30+'Inputs'!$B$31+'Inputs'!$B$32)/1000+'Inputs'!$B$21))^2+('Inputs'!$B$8/2)^2)))-'Results'!B7*(0.5*((((902-43)*MAX('Inputs'!$B$33,'Inputs'!$B$29+'Inputs'!$B$31+'Inputs'!$B$32,'Inputs'!$B$30+'Inputs'!$B$31+'Inputs'!$B$32)/1000+'Inputs'!$B$21+'Inputs'!$B$9+'Inputs'!$B$10)+'Inputs'!$B$7)/SQRT((((902-43)*MAX('Inputs'!$B$33,'Inputs'!$B$29+'Inputs'!$B$31+'Inputs'!$B$32,'Inputs'!$B$30+'Inputs'!$B$31+'Inputs'!$B$32)/1000+'Inputs'!$B$21+'Inputs'!$B$9+'Inputs'!$B$10)+'Inputs'!$B$7)^2+('Inputs'!$B$6/2)^2)-(((902-43)*MAX('Inputs'!$B$33,'Inputs'!$B$29+'Inputs'!$B$31+'Inputs'!$B$32,'Inputs'!$B$30+'Inputs'!$B$31+'Inputs'!$B$32)/1000+'Inputs'!$B$21+'Inputs'!$B$9+'Inputs'!$B$10))/SQRT((((902-43)*MAX('Inputs'!$B$33,'Inputs'!$B$29+'Inputs'!$B$31+'Inputs'!$B$32,'Inputs'!$B$30+'Inputs'!$B$31+'Inputs'!$B$32)/1000+'Inputs'!$B$21+'Inputs'!$B$9+'Inputs'!$B$10))^2+('Inputs'!$B$6/2)^2))))*'Results'!$B$8),"")</x:f>
        <x:v>0.55479789039757</x:v>
      </x:c>
      <x:c r="N902" t="n">
        <x:f>IF(AND(ISNUMBER('Results'!C7),ISNUMBER('Results'!B7),ISNUMBER('Results'!$B$8),ISNUMBER('Inputs'!$B$6),ISNUMBER('Inputs'!$B$7),ISNUMBER('Inputs'!$B$8),ISNUMBER('Inputs'!$B$9),ISNUMBER('Inputs'!$B$10),ISNUMBER('Inputs'!$B$21),ISNUMBER('Inputs'!$B$24),ISNUMBER('Inputs'!$B$28)),((('Results'!C7*(1-'Inputs'!$B$24)*(0.5*((((902-43)*MAX('Inputs'!$B$33,'Inputs'!$B$29+'Inputs'!$B$31+'Inputs'!$B$32,'Inputs'!$B$30+'Inputs'!$B$31+'Inputs'!$B$32)/1000+'Inputs'!$B$21)+'Inputs'!$B$9)/SQRT((((902-43)*MAX('Inputs'!$B$33,'Inputs'!$B$29+'Inputs'!$B$31+'Inputs'!$B$32,'Inputs'!$B$30+'Inputs'!$B$31+'Inputs'!$B$32)/1000+'Inputs'!$B$21)+'Inputs'!$B$9)^2+('Inputs'!$B$8/2)^2)-(((902-43)*MAX('Inputs'!$B$33,'Inputs'!$B$29+'Inputs'!$B$31+'Inputs'!$B$32,'Inputs'!$B$30+'Inputs'!$B$31+'Inputs'!$B$32)/1000+'Inputs'!$B$21))/SQRT((((902-43)*MAX('Inputs'!$B$33,'Inputs'!$B$29+'Inputs'!$B$31+'Inputs'!$B$32,'Inputs'!$B$30+'Inputs'!$B$31+'Inputs'!$B$32)/1000+'Inputs'!$B$21))^2+('Inputs'!$B$8/2)^2)))-'Results'!B7*(1+'Inputs'!$B$24)*(0.5*((((902-43)*MAX('Inputs'!$B$33,'Inputs'!$B$29+'Inputs'!$B$31+'Inputs'!$B$32,'Inputs'!$B$30+'Inputs'!$B$31+'Inputs'!$B$32)/1000+'Inputs'!$B$21+'Inputs'!$B$9+'Inputs'!$B$10)+'Inputs'!$B$7)/SQRT((((902-43)*MAX('Inputs'!$B$33,'Inputs'!$B$29+'Inputs'!$B$31+'Inputs'!$B$32,'Inputs'!$B$30+'Inputs'!$B$31+'Inputs'!$B$32)/1000+'Inputs'!$B$21+'Inputs'!$B$9+'Inputs'!$B$10)+'Inputs'!$B$7)^2+('Inputs'!$B$6/2)^2)-(((902-43)*MAX('Inputs'!$B$33,'Inputs'!$B$29+'Inputs'!$B$31+'Inputs'!$B$32,'Inputs'!$B$30+'Inputs'!$B$31+'Inputs'!$B$32)/1000+'Inputs'!$B$21+'Inputs'!$B$9+'Inputs'!$B$10))/SQRT((((902-43)*MAX('Inputs'!$B$33,'Inputs'!$B$29+'Inputs'!$B$31+'Inputs'!$B$32,'Inputs'!$B$30+'Inputs'!$B$31+'Inputs'!$B$32)/1000+'Inputs'!$B$21+'Inputs'!$B$9+'Inputs'!$B$10))^2+('Inputs'!$B$6/2)^2))))*'Results'!$B$8)-'Inputs'!$B$28*ABS((('Results'!C7*(1-'Inputs'!$B$24)*(0.5*((((902-43)*MAX('Inputs'!$B$33,'Inputs'!$B$29+'Inputs'!$B$31+'Inputs'!$B$32,'Inputs'!$B$30+'Inputs'!$B$31+'Inputs'!$B$32)/1000+'Inputs'!$B$21)+'Inputs'!$B$9)/SQRT((((902-43)*MAX('Inputs'!$B$33,'Inputs'!$B$29+'Inputs'!$B$31+'Inputs'!$B$32,'Inputs'!$B$30+'Inputs'!$B$31+'Inputs'!$B$32)/1000+'Inputs'!$B$21)+'Inputs'!$B$9)^2+('Inputs'!$B$8/2)^2)-(((902-43)*MAX('Inputs'!$B$33,'Inputs'!$B$29+'Inputs'!$B$31+'Inputs'!$B$32,'Inputs'!$B$30+'Inputs'!$B$31+'Inputs'!$B$32)/1000+'Inputs'!$B$21))/SQRT((((902-43)*MAX('Inputs'!$B$33,'Inputs'!$B$29+'Inputs'!$B$31+'Inputs'!$B$32,'Inputs'!$B$30+'Inputs'!$B$31+'Inputs'!$B$32)/1000+'Inputs'!$B$21))^2+('Inputs'!$B$8/2)^2)))-'Results'!B7*(1+'Inputs'!$B$24)*(0.5*((((902-43)*MAX('Inputs'!$B$33,'Inputs'!$B$29+'Inputs'!$B$31+'Inputs'!$B$32,'Inputs'!$B$30+'Inputs'!$B$31+'Inputs'!$B$32)/1000+'Inputs'!$B$21+'Inputs'!$B$9+'Inputs'!$B$10)+'Inputs'!$B$7)/SQRT((((902-43)*MAX('Inputs'!$B$33,'Inputs'!$B$29+'Inputs'!$B$31+'Inputs'!$B$32,'Inputs'!$B$30+'Inputs'!$B$31+'Inputs'!$B$32)/1000+'Inputs'!$B$21+'Inputs'!$B$9+'Inputs'!$B$10)+'Inputs'!$B$7)^2+('Inputs'!$B$6/2)^2)-(((902-43)*MAX('Inputs'!$B$33,'Inputs'!$B$29+'Inputs'!$B$31+'Inputs'!$B$32,'Inputs'!$B$30+'Inputs'!$B$31+'Inputs'!$B$32)/1000+'Inputs'!$B$21+'Inputs'!$B$9+'Inputs'!$B$10))/SQRT((((902-43)*MAX('Inputs'!$B$33,'Inputs'!$B$29+'Inputs'!$B$31+'Inputs'!$B$32,'Inputs'!$B$30+'Inputs'!$B$31+'Inputs'!$B$32)/1000+'Inputs'!$B$21+'Inputs'!$B$9+'Inputs'!$B$10))^2+('Inputs'!$B$6/2)^2))))*'Results'!$B$8))),"")</x:f>
        <x:v>0.465405283604279</x:v>
      </x:c>
      <x:c r="O902" t="n">
        <x:f>IF(AND(ISNUMBER('Results'!C7),ISNUMBER('Results'!B7),ISNUMBER('Results'!$B$8),ISNUMBER('Inputs'!$B$6),ISNUMBER('Inputs'!$B$7),ISNUMBER('Inputs'!$B$8),ISNUMBER('Inputs'!$B$9),ISNUMBER('Inputs'!$B$10),ISNUMBER('Inputs'!$B$21),ISNUMBER('Inputs'!$B$24),ISNUMBER('Inputs'!$B$28)),((('Results'!C7*(1+'Inputs'!$B$24)*(0.5*((((902-43)*MAX('Inputs'!$B$33,'Inputs'!$B$29+'Inputs'!$B$31+'Inputs'!$B$32,'Inputs'!$B$30+'Inputs'!$B$31+'Inputs'!$B$32)/1000+'Inputs'!$B$21)+'Inputs'!$B$9)/SQRT((((902-43)*MAX('Inputs'!$B$33,'Inputs'!$B$29+'Inputs'!$B$31+'Inputs'!$B$32,'Inputs'!$B$30+'Inputs'!$B$31+'Inputs'!$B$32)/1000+'Inputs'!$B$21)+'Inputs'!$B$9)^2+('Inputs'!$B$8/2)^2)-(((902-43)*MAX('Inputs'!$B$33,'Inputs'!$B$29+'Inputs'!$B$31+'Inputs'!$B$32,'Inputs'!$B$30+'Inputs'!$B$31+'Inputs'!$B$32)/1000+'Inputs'!$B$21))/SQRT((((902-43)*MAX('Inputs'!$B$33,'Inputs'!$B$29+'Inputs'!$B$31+'Inputs'!$B$32,'Inputs'!$B$30+'Inputs'!$B$31+'Inputs'!$B$32)/1000+'Inputs'!$B$21))^2+('Inputs'!$B$8/2)^2)))-'Results'!B7*(1-'Inputs'!$B$24)*(0.5*((((902-43)*MAX('Inputs'!$B$33,'Inputs'!$B$29+'Inputs'!$B$31+'Inputs'!$B$32,'Inputs'!$B$30+'Inputs'!$B$31+'Inputs'!$B$32)/1000+'Inputs'!$B$21+'Inputs'!$B$9+'Inputs'!$B$10)+'Inputs'!$B$7)/SQRT((((902-43)*MAX('Inputs'!$B$33,'Inputs'!$B$29+'Inputs'!$B$31+'Inputs'!$B$32,'Inputs'!$B$30+'Inputs'!$B$31+'Inputs'!$B$32)/1000+'Inputs'!$B$21+'Inputs'!$B$9+'Inputs'!$B$10)+'Inputs'!$B$7)^2+('Inputs'!$B$6/2)^2)-(((902-43)*MAX('Inputs'!$B$33,'Inputs'!$B$29+'Inputs'!$B$31+'Inputs'!$B$32,'Inputs'!$B$30+'Inputs'!$B$31+'Inputs'!$B$32)/1000+'Inputs'!$B$21+'Inputs'!$B$9+'Inputs'!$B$10))/SQRT((((902-43)*MAX('Inputs'!$B$33,'Inputs'!$B$29+'Inputs'!$B$31+'Inputs'!$B$32,'Inputs'!$B$30+'Inputs'!$B$31+'Inputs'!$B$32)/1000+'Inputs'!$B$21+'Inputs'!$B$9+'Inputs'!$B$10))^2+('Inputs'!$B$6/2)^2))))*'Results'!$B$8)+'Inputs'!$B$28*ABS((('Results'!C7*(1+'Inputs'!$B$24)*(0.5*((((902-43)*MAX('Inputs'!$B$33,'Inputs'!$B$29+'Inputs'!$B$31+'Inputs'!$B$32,'Inputs'!$B$30+'Inputs'!$B$31+'Inputs'!$B$32)/1000+'Inputs'!$B$21)+'Inputs'!$B$9)/SQRT((((902-43)*MAX('Inputs'!$B$33,'Inputs'!$B$29+'Inputs'!$B$31+'Inputs'!$B$32,'Inputs'!$B$30+'Inputs'!$B$31+'Inputs'!$B$32)/1000+'Inputs'!$B$21)+'Inputs'!$B$9)^2+('Inputs'!$B$8/2)^2)-(((902-43)*MAX('Inputs'!$B$33,'Inputs'!$B$29+'Inputs'!$B$31+'Inputs'!$B$32,'Inputs'!$B$30+'Inputs'!$B$31+'Inputs'!$B$32)/1000+'Inputs'!$B$21))/SQRT((((902-43)*MAX('Inputs'!$B$33,'Inputs'!$B$29+'Inputs'!$B$31+'Inputs'!$B$32,'Inputs'!$B$30+'Inputs'!$B$31+'Inputs'!$B$32)/1000+'Inputs'!$B$21))^2+('Inputs'!$B$8/2)^2)))-'Results'!B7*(1-'Inputs'!$B$24)*(0.5*((((902-43)*MAX('Inputs'!$B$33,'Inputs'!$B$29+'Inputs'!$B$31+'Inputs'!$B$32,'Inputs'!$B$30+'Inputs'!$B$31+'Inputs'!$B$32)/1000+'Inputs'!$B$21+'Inputs'!$B$9+'Inputs'!$B$10)+'Inputs'!$B$7)/SQRT((((902-43)*MAX('Inputs'!$B$33,'Inputs'!$B$29+'Inputs'!$B$31+'Inputs'!$B$32,'Inputs'!$B$30+'Inputs'!$B$31+'Inputs'!$B$32)/1000+'Inputs'!$B$21+'Inputs'!$B$9+'Inputs'!$B$10)+'Inputs'!$B$7)^2+('Inputs'!$B$6/2)^2)-(((902-43)*MAX('Inputs'!$B$33,'Inputs'!$B$29+'Inputs'!$B$31+'Inputs'!$B$32,'Inputs'!$B$30+'Inputs'!$B$31+'Inputs'!$B$32)/1000+'Inputs'!$B$21+'Inputs'!$B$9+'Inputs'!$B$10))/SQRT((((902-43)*MAX('Inputs'!$B$33,'Inputs'!$B$29+'Inputs'!$B$31+'Inputs'!$B$32,'Inputs'!$B$30+'Inputs'!$B$31+'Inputs'!$B$32)/1000+'Inputs'!$B$21+'Inputs'!$B$9+'Inputs'!$B$10))^2+('Inputs'!$B$6/2)^2))))*'Results'!$B$8))),"")</x:f>
        <x:v>0.6506802563775359</x:v>
      </x:c>
      <x:c r="P902" t="n">
        <x:f>IF(AND(MAX(J902,J901)&gt;0,J902&gt;J901+0.00000001),1,0)</x:f>
        <x:v>0</x:v>
      </x:c>
      <x:c r="Q902" t="n">
        <x:f>IF(AND(MAX(K902,K901)&gt;0,K902&gt;K901+0.00000001),1,0)</x:f>
        <x:v>0</x:v>
      </x:c>
      <x:c r="R902" t="n">
        <x:f>IF(AND(MAX(L902,L901)&gt;0,L902&gt;L901+0.00000001),1,0)</x:f>
        <x:v>0</x:v>
      </x:c>
      <x:c r="S902" t="n">
        <x:f>IF(AND(MAX(M902,M901)&gt;0,M902&gt;M901+0.00000001),1,0)</x:f>
        <x:v>0</x:v>
      </x:c>
      <x:c r="T902" t="n">
        <x:f>IF(AND(MAX(N902,N901)&gt;0,N902&gt;N901+0.00000001),1,0)</x:f>
        <x:v>0</x:v>
      </x:c>
      <x:c r="U902" t="n">
        <x:f>IF(AND(MAX(O902,O901)&gt;0,O902&gt;O901+0.00000001),1,0)</x:f>
        <x:v>0</x:v>
      </x:c>
    </x:row>
    <x:row r="903">
      <x:c r="J903" t="n">
        <x:f>IF(AND(ISNUMBER('Results'!B7),ISNUMBER('Results'!C7),ISNUMBER('Results'!$B$8),ISNUMBER('Inputs'!$B$6),ISNUMBER('Inputs'!$B$7),ISNUMBER('Inputs'!$B$8),ISNUMBER('Inputs'!$B$9),ISNUMBER('Inputs'!$B$10),ISNUMBER('Inputs'!$B$21),ISNUMBER('Inputs'!$B$24),ISNUMBER('Inputs'!$B$28)),(('Results'!B7*(0.5*((((903-43)*MAX('Inputs'!$B$33,'Inputs'!$B$29+'Inputs'!$B$31+'Inputs'!$B$32,'Inputs'!$B$30+'Inputs'!$B$31+'Inputs'!$B$32)/1000+'Inputs'!$B$21)+'Inputs'!$B$7)/SQRT((((903-43)*MAX('Inputs'!$B$33,'Inputs'!$B$29+'Inputs'!$B$31+'Inputs'!$B$32,'Inputs'!$B$30+'Inputs'!$B$31+'Inputs'!$B$32)/1000+'Inputs'!$B$21)+'Inputs'!$B$7)^2+('Inputs'!$B$6/2)^2)-(((903-43)*MAX('Inputs'!$B$33,'Inputs'!$B$29+'Inputs'!$B$31+'Inputs'!$B$32,'Inputs'!$B$30+'Inputs'!$B$31+'Inputs'!$B$32)/1000+'Inputs'!$B$21))/SQRT((((903-43)*MAX('Inputs'!$B$33,'Inputs'!$B$29+'Inputs'!$B$31+'Inputs'!$B$32,'Inputs'!$B$30+'Inputs'!$B$31+'Inputs'!$B$32)/1000+'Inputs'!$B$21))^2+('Inputs'!$B$6/2)^2)))-'Results'!C7*(0.5*((((903-43)*MAX('Inputs'!$B$33,'Inputs'!$B$29+'Inputs'!$B$31+'Inputs'!$B$32,'Inputs'!$B$30+'Inputs'!$B$31+'Inputs'!$B$32)/1000+'Inputs'!$B$21+'Inputs'!$B$7+'Inputs'!$B$10)+'Inputs'!$B$9)/SQRT((((903-43)*MAX('Inputs'!$B$33,'Inputs'!$B$29+'Inputs'!$B$31+'Inputs'!$B$32,'Inputs'!$B$30+'Inputs'!$B$31+'Inputs'!$B$32)/1000+'Inputs'!$B$21+'Inputs'!$B$7+'Inputs'!$B$10)+'Inputs'!$B$9)^2+('Inputs'!$B$8/2)^2)-(((903-43)*MAX('Inputs'!$B$33,'Inputs'!$B$29+'Inputs'!$B$31+'Inputs'!$B$32,'Inputs'!$B$30+'Inputs'!$B$31+'Inputs'!$B$32)/1000+'Inputs'!$B$21+'Inputs'!$B$7+'Inputs'!$B$10))/SQRT((((903-43)*MAX('Inputs'!$B$33,'Inputs'!$B$29+'Inputs'!$B$31+'Inputs'!$B$32,'Inputs'!$B$30+'Inputs'!$B$31+'Inputs'!$B$32)/1000+'Inputs'!$B$21+'Inputs'!$B$7+'Inputs'!$B$10))^2+('Inputs'!$B$8/2)^2))))*'Results'!$B$8),"")</x:f>
        <x:v>0.6178664051135211</x:v>
      </x:c>
      <x:c r="K903" t="n">
        <x:f>IF(AND(ISNUMBER('Results'!B7),ISNUMBER('Results'!C7),ISNUMBER('Results'!$B$8),ISNUMBER('Inputs'!$B$6),ISNUMBER('Inputs'!$B$7),ISNUMBER('Inputs'!$B$8),ISNUMBER('Inputs'!$B$9),ISNUMBER('Inputs'!$B$10),ISNUMBER('Inputs'!$B$21),ISNUMBER('Inputs'!$B$24),ISNUMBER('Inputs'!$B$28)),((('Results'!B7*(1-'Inputs'!$B$24)*(0.5*((((903-43)*MAX('Inputs'!$B$33,'Inputs'!$B$29+'Inputs'!$B$31+'Inputs'!$B$32,'Inputs'!$B$30+'Inputs'!$B$31+'Inputs'!$B$32)/1000+'Inputs'!$B$21)+'Inputs'!$B$7)/SQRT((((903-43)*MAX('Inputs'!$B$33,'Inputs'!$B$29+'Inputs'!$B$31+'Inputs'!$B$32,'Inputs'!$B$30+'Inputs'!$B$31+'Inputs'!$B$32)/1000+'Inputs'!$B$21)+'Inputs'!$B$7)^2+('Inputs'!$B$6/2)^2)-(((903-43)*MAX('Inputs'!$B$33,'Inputs'!$B$29+'Inputs'!$B$31+'Inputs'!$B$32,'Inputs'!$B$30+'Inputs'!$B$31+'Inputs'!$B$32)/1000+'Inputs'!$B$21))/SQRT((((903-43)*MAX('Inputs'!$B$33,'Inputs'!$B$29+'Inputs'!$B$31+'Inputs'!$B$32,'Inputs'!$B$30+'Inputs'!$B$31+'Inputs'!$B$32)/1000+'Inputs'!$B$21))^2+('Inputs'!$B$6/2)^2)))-'Results'!C7*(1+'Inputs'!$B$24)*(0.5*((((903-43)*MAX('Inputs'!$B$33,'Inputs'!$B$29+'Inputs'!$B$31+'Inputs'!$B$32,'Inputs'!$B$30+'Inputs'!$B$31+'Inputs'!$B$32)/1000+'Inputs'!$B$21+'Inputs'!$B$7+'Inputs'!$B$10)+'Inputs'!$B$9)/SQRT((((903-43)*MAX('Inputs'!$B$33,'Inputs'!$B$29+'Inputs'!$B$31+'Inputs'!$B$32,'Inputs'!$B$30+'Inputs'!$B$31+'Inputs'!$B$32)/1000+'Inputs'!$B$21+'Inputs'!$B$7+'Inputs'!$B$10)+'Inputs'!$B$9)^2+('Inputs'!$B$8/2)^2)-(((903-43)*MAX('Inputs'!$B$33,'Inputs'!$B$29+'Inputs'!$B$31+'Inputs'!$B$32,'Inputs'!$B$30+'Inputs'!$B$31+'Inputs'!$B$32)/1000+'Inputs'!$B$21+'Inputs'!$B$7+'Inputs'!$B$10))/SQRT((((903-43)*MAX('Inputs'!$B$33,'Inputs'!$B$29+'Inputs'!$B$31+'Inputs'!$B$32,'Inputs'!$B$30+'Inputs'!$B$31+'Inputs'!$B$32)/1000+'Inputs'!$B$21+'Inputs'!$B$7+'Inputs'!$B$10))^2+('Inputs'!$B$8/2)^2))))*'Results'!$B$8)-'Inputs'!$B$28*ABS((('Results'!B7*(1-'Inputs'!$B$24)*(0.5*((((903-43)*MAX('Inputs'!$B$33,'Inputs'!$B$29+'Inputs'!$B$31+'Inputs'!$B$32,'Inputs'!$B$30+'Inputs'!$B$31+'Inputs'!$B$32)/1000+'Inputs'!$B$21)+'Inputs'!$B$7)/SQRT((((903-43)*MAX('Inputs'!$B$33,'Inputs'!$B$29+'Inputs'!$B$31+'Inputs'!$B$32,'Inputs'!$B$30+'Inputs'!$B$31+'Inputs'!$B$32)/1000+'Inputs'!$B$21)+'Inputs'!$B$7)^2+('Inputs'!$B$6/2)^2)-(((903-43)*MAX('Inputs'!$B$33,'Inputs'!$B$29+'Inputs'!$B$31+'Inputs'!$B$32,'Inputs'!$B$30+'Inputs'!$B$31+'Inputs'!$B$32)/1000+'Inputs'!$B$21))/SQRT((((903-43)*MAX('Inputs'!$B$33,'Inputs'!$B$29+'Inputs'!$B$31+'Inputs'!$B$32,'Inputs'!$B$30+'Inputs'!$B$31+'Inputs'!$B$32)/1000+'Inputs'!$B$21))^2+('Inputs'!$B$6/2)^2)))-'Results'!C7*(1+'Inputs'!$B$24)*(0.5*((((903-43)*MAX('Inputs'!$B$33,'Inputs'!$B$29+'Inputs'!$B$31+'Inputs'!$B$32,'Inputs'!$B$30+'Inputs'!$B$31+'Inputs'!$B$32)/1000+'Inputs'!$B$21+'Inputs'!$B$7+'Inputs'!$B$10)+'Inputs'!$B$9)/SQRT((((903-43)*MAX('Inputs'!$B$33,'Inputs'!$B$29+'Inputs'!$B$31+'Inputs'!$B$32,'Inputs'!$B$30+'Inputs'!$B$31+'Inputs'!$B$32)/1000+'Inputs'!$B$21+'Inputs'!$B$7+'Inputs'!$B$10)+'Inputs'!$B$9)^2+('Inputs'!$B$8/2)^2)-(((903-43)*MAX('Inputs'!$B$33,'Inputs'!$B$29+'Inputs'!$B$31+'Inputs'!$B$32,'Inputs'!$B$30+'Inputs'!$B$31+'Inputs'!$B$32)/1000+'Inputs'!$B$21+'Inputs'!$B$7+'Inputs'!$B$10))/SQRT((((903-43)*MAX('Inputs'!$B$33,'Inputs'!$B$29+'Inputs'!$B$31+'Inputs'!$B$32,'Inputs'!$B$30+'Inputs'!$B$31+'Inputs'!$B$32)/1000+'Inputs'!$B$21+'Inputs'!$B$7+'Inputs'!$B$10))^2+('Inputs'!$B$8/2)^2))))*'Results'!$B$8))),"")</x:f>
        <x:v>0.525294367168722</x:v>
      </x:c>
      <x:c r="L903" t="n">
        <x:f>IF(AND(ISNUMBER('Results'!B7),ISNUMBER('Results'!C7),ISNUMBER('Results'!$B$8),ISNUMBER('Inputs'!$B$6),ISNUMBER('Inputs'!$B$7),ISNUMBER('Inputs'!$B$8),ISNUMBER('Inputs'!$B$9),ISNUMBER('Inputs'!$B$10),ISNUMBER('Inputs'!$B$21),ISNUMBER('Inputs'!$B$24),ISNUMBER('Inputs'!$B$28)),((('Results'!B7*(1+'Inputs'!$B$24)*(0.5*((((903-43)*MAX('Inputs'!$B$33,'Inputs'!$B$29+'Inputs'!$B$31+'Inputs'!$B$32,'Inputs'!$B$30+'Inputs'!$B$31+'Inputs'!$B$32)/1000+'Inputs'!$B$21)+'Inputs'!$B$7)/SQRT((((903-43)*MAX('Inputs'!$B$33,'Inputs'!$B$29+'Inputs'!$B$31+'Inputs'!$B$32,'Inputs'!$B$30+'Inputs'!$B$31+'Inputs'!$B$32)/1000+'Inputs'!$B$21)+'Inputs'!$B$7)^2+('Inputs'!$B$6/2)^2)-(((903-43)*MAX('Inputs'!$B$33,'Inputs'!$B$29+'Inputs'!$B$31+'Inputs'!$B$32,'Inputs'!$B$30+'Inputs'!$B$31+'Inputs'!$B$32)/1000+'Inputs'!$B$21))/SQRT((((903-43)*MAX('Inputs'!$B$33,'Inputs'!$B$29+'Inputs'!$B$31+'Inputs'!$B$32,'Inputs'!$B$30+'Inputs'!$B$31+'Inputs'!$B$32)/1000+'Inputs'!$B$21))^2+('Inputs'!$B$6/2)^2)))-'Results'!C7*(1-'Inputs'!$B$24)*(0.5*((((903-43)*MAX('Inputs'!$B$33,'Inputs'!$B$29+'Inputs'!$B$31+'Inputs'!$B$32,'Inputs'!$B$30+'Inputs'!$B$31+'Inputs'!$B$32)/1000+'Inputs'!$B$21+'Inputs'!$B$7+'Inputs'!$B$10)+'Inputs'!$B$9)/SQRT((((903-43)*MAX('Inputs'!$B$33,'Inputs'!$B$29+'Inputs'!$B$31+'Inputs'!$B$32,'Inputs'!$B$30+'Inputs'!$B$31+'Inputs'!$B$32)/1000+'Inputs'!$B$21+'Inputs'!$B$7+'Inputs'!$B$10)+'Inputs'!$B$9)^2+('Inputs'!$B$8/2)^2)-(((903-43)*MAX('Inputs'!$B$33,'Inputs'!$B$29+'Inputs'!$B$31+'Inputs'!$B$32,'Inputs'!$B$30+'Inputs'!$B$31+'Inputs'!$B$32)/1000+'Inputs'!$B$21+'Inputs'!$B$7+'Inputs'!$B$10))/SQRT((((903-43)*MAX('Inputs'!$B$33,'Inputs'!$B$29+'Inputs'!$B$31+'Inputs'!$B$32,'Inputs'!$B$30+'Inputs'!$B$31+'Inputs'!$B$32)/1000+'Inputs'!$B$21+'Inputs'!$B$7+'Inputs'!$B$10))^2+('Inputs'!$B$8/2)^2))))*'Results'!$B$8)+'Inputs'!$B$28*ABS((('Results'!B7*(1+'Inputs'!$B$24)*(0.5*((((903-43)*MAX('Inputs'!$B$33,'Inputs'!$B$29+'Inputs'!$B$31+'Inputs'!$B$32,'Inputs'!$B$30+'Inputs'!$B$31+'Inputs'!$B$32)/1000+'Inputs'!$B$21)+'Inputs'!$B$7)/SQRT((((903-43)*MAX('Inputs'!$B$33,'Inputs'!$B$29+'Inputs'!$B$31+'Inputs'!$B$32,'Inputs'!$B$30+'Inputs'!$B$31+'Inputs'!$B$32)/1000+'Inputs'!$B$21)+'Inputs'!$B$7)^2+('Inputs'!$B$6/2)^2)-(((903-43)*MAX('Inputs'!$B$33,'Inputs'!$B$29+'Inputs'!$B$31+'Inputs'!$B$32,'Inputs'!$B$30+'Inputs'!$B$31+'Inputs'!$B$32)/1000+'Inputs'!$B$21))/SQRT((((903-43)*MAX('Inputs'!$B$33,'Inputs'!$B$29+'Inputs'!$B$31+'Inputs'!$B$32,'Inputs'!$B$30+'Inputs'!$B$31+'Inputs'!$B$32)/1000+'Inputs'!$B$21))^2+('Inputs'!$B$6/2)^2)))-'Results'!C7*(1-'Inputs'!$B$24)*(0.5*((((903-43)*MAX('Inputs'!$B$33,'Inputs'!$B$29+'Inputs'!$B$31+'Inputs'!$B$32,'Inputs'!$B$30+'Inputs'!$B$31+'Inputs'!$B$32)/1000+'Inputs'!$B$21+'Inputs'!$B$7+'Inputs'!$B$10)+'Inputs'!$B$9)/SQRT((((903-43)*MAX('Inputs'!$B$33,'Inputs'!$B$29+'Inputs'!$B$31+'Inputs'!$B$32,'Inputs'!$B$30+'Inputs'!$B$31+'Inputs'!$B$32)/1000+'Inputs'!$B$21+'Inputs'!$B$7+'Inputs'!$B$10)+'Inputs'!$B$9)^2+('Inputs'!$B$8/2)^2)-(((903-43)*MAX('Inputs'!$B$33,'Inputs'!$B$29+'Inputs'!$B$31+'Inputs'!$B$32,'Inputs'!$B$30+'Inputs'!$B$31+'Inputs'!$B$32)/1000+'Inputs'!$B$21+'Inputs'!$B$7+'Inputs'!$B$10))/SQRT((((903-43)*MAX('Inputs'!$B$33,'Inputs'!$B$29+'Inputs'!$B$31+'Inputs'!$B$32,'Inputs'!$B$30+'Inputs'!$B$31+'Inputs'!$B$32)/1000+'Inputs'!$B$21+'Inputs'!$B$7+'Inputs'!$B$10))^2+('Inputs'!$B$8/2)^2))))*'Results'!$B$8))),"")</x:f>
        <x:v>0.7169309396571754</x:v>
      </x:c>
      <x:c r="M903" t="n">
        <x:f>IF(AND(ISNUMBER('Results'!C7),ISNUMBER('Results'!B7),ISNUMBER('Results'!$B$8),ISNUMBER('Inputs'!$B$6),ISNUMBER('Inputs'!$B$7),ISNUMBER('Inputs'!$B$8),ISNUMBER('Inputs'!$B$9),ISNUMBER('Inputs'!$B$10),ISNUMBER('Inputs'!$B$21),ISNUMBER('Inputs'!$B$24),ISNUMBER('Inputs'!$B$28)),(('Results'!C7*(0.5*((((903-43)*MAX('Inputs'!$B$33,'Inputs'!$B$29+'Inputs'!$B$31+'Inputs'!$B$32,'Inputs'!$B$30+'Inputs'!$B$31+'Inputs'!$B$32)/1000+'Inputs'!$B$21)+'Inputs'!$B$9)/SQRT((((903-43)*MAX('Inputs'!$B$33,'Inputs'!$B$29+'Inputs'!$B$31+'Inputs'!$B$32,'Inputs'!$B$30+'Inputs'!$B$31+'Inputs'!$B$32)/1000+'Inputs'!$B$21)+'Inputs'!$B$9)^2+('Inputs'!$B$8/2)^2)-(((903-43)*MAX('Inputs'!$B$33,'Inputs'!$B$29+'Inputs'!$B$31+'Inputs'!$B$32,'Inputs'!$B$30+'Inputs'!$B$31+'Inputs'!$B$32)/1000+'Inputs'!$B$21))/SQRT((((903-43)*MAX('Inputs'!$B$33,'Inputs'!$B$29+'Inputs'!$B$31+'Inputs'!$B$32,'Inputs'!$B$30+'Inputs'!$B$31+'Inputs'!$B$32)/1000+'Inputs'!$B$21))^2+('Inputs'!$B$8/2)^2)))-'Results'!B7*(0.5*((((903-43)*MAX('Inputs'!$B$33,'Inputs'!$B$29+'Inputs'!$B$31+'Inputs'!$B$32,'Inputs'!$B$30+'Inputs'!$B$31+'Inputs'!$B$32)/1000+'Inputs'!$B$21+'Inputs'!$B$9+'Inputs'!$B$10)+'Inputs'!$B$7)/SQRT((((903-43)*MAX('Inputs'!$B$33,'Inputs'!$B$29+'Inputs'!$B$31+'Inputs'!$B$32,'Inputs'!$B$30+'Inputs'!$B$31+'Inputs'!$B$32)/1000+'Inputs'!$B$21+'Inputs'!$B$9+'Inputs'!$B$10)+'Inputs'!$B$7)^2+('Inputs'!$B$6/2)^2)-(((903-43)*MAX('Inputs'!$B$33,'Inputs'!$B$29+'Inputs'!$B$31+'Inputs'!$B$32,'Inputs'!$B$30+'Inputs'!$B$31+'Inputs'!$B$32)/1000+'Inputs'!$B$21+'Inputs'!$B$9+'Inputs'!$B$10))/SQRT((((903-43)*MAX('Inputs'!$B$33,'Inputs'!$B$29+'Inputs'!$B$31+'Inputs'!$B$32,'Inputs'!$B$30+'Inputs'!$B$31+'Inputs'!$B$32)/1000+'Inputs'!$B$21+'Inputs'!$B$9+'Inputs'!$B$10))^2+('Inputs'!$B$6/2)^2))))*'Results'!$B$8),"")</x:f>
        <x:v>0.5524050346567434</x:v>
      </x:c>
      <x:c r="N903" t="n">
        <x:f>IF(AND(ISNUMBER('Results'!C7),ISNUMBER('Results'!B7),ISNUMBER('Results'!$B$8),ISNUMBER('Inputs'!$B$6),ISNUMBER('Inputs'!$B$7),ISNUMBER('Inputs'!$B$8),ISNUMBER('Inputs'!$B$9),ISNUMBER('Inputs'!$B$10),ISNUMBER('Inputs'!$B$21),ISNUMBER('Inputs'!$B$24),ISNUMBER('Inputs'!$B$28)),((('Results'!C7*(1-'Inputs'!$B$24)*(0.5*((((903-43)*MAX('Inputs'!$B$33,'Inputs'!$B$29+'Inputs'!$B$31+'Inputs'!$B$32,'Inputs'!$B$30+'Inputs'!$B$31+'Inputs'!$B$32)/1000+'Inputs'!$B$21)+'Inputs'!$B$9)/SQRT((((903-43)*MAX('Inputs'!$B$33,'Inputs'!$B$29+'Inputs'!$B$31+'Inputs'!$B$32,'Inputs'!$B$30+'Inputs'!$B$31+'Inputs'!$B$32)/1000+'Inputs'!$B$21)+'Inputs'!$B$9)^2+('Inputs'!$B$8/2)^2)-(((903-43)*MAX('Inputs'!$B$33,'Inputs'!$B$29+'Inputs'!$B$31+'Inputs'!$B$32,'Inputs'!$B$30+'Inputs'!$B$31+'Inputs'!$B$32)/1000+'Inputs'!$B$21))/SQRT((((903-43)*MAX('Inputs'!$B$33,'Inputs'!$B$29+'Inputs'!$B$31+'Inputs'!$B$32,'Inputs'!$B$30+'Inputs'!$B$31+'Inputs'!$B$32)/1000+'Inputs'!$B$21))^2+('Inputs'!$B$8/2)^2)))-'Results'!B7*(1+'Inputs'!$B$24)*(0.5*((((903-43)*MAX('Inputs'!$B$33,'Inputs'!$B$29+'Inputs'!$B$31+'Inputs'!$B$32,'Inputs'!$B$30+'Inputs'!$B$31+'Inputs'!$B$32)/1000+'Inputs'!$B$21+'Inputs'!$B$9+'Inputs'!$B$10)+'Inputs'!$B$7)/SQRT((((903-43)*MAX('Inputs'!$B$33,'Inputs'!$B$29+'Inputs'!$B$31+'Inputs'!$B$32,'Inputs'!$B$30+'Inputs'!$B$31+'Inputs'!$B$32)/1000+'Inputs'!$B$21+'Inputs'!$B$9+'Inputs'!$B$10)+'Inputs'!$B$7)^2+('Inputs'!$B$6/2)^2)-(((903-43)*MAX('Inputs'!$B$33,'Inputs'!$B$29+'Inputs'!$B$31+'Inputs'!$B$32,'Inputs'!$B$30+'Inputs'!$B$31+'Inputs'!$B$32)/1000+'Inputs'!$B$21+'Inputs'!$B$9+'Inputs'!$B$10))/SQRT((((903-43)*MAX('Inputs'!$B$33,'Inputs'!$B$29+'Inputs'!$B$31+'Inputs'!$B$32,'Inputs'!$B$30+'Inputs'!$B$31+'Inputs'!$B$32)/1000+'Inputs'!$B$21+'Inputs'!$B$9+'Inputs'!$B$10))^2+('Inputs'!$B$6/2)^2))))*'Results'!$B$8)-'Inputs'!$B$28*ABS((('Results'!C7*(1-'Inputs'!$B$24)*(0.5*((((903-43)*MAX('Inputs'!$B$33,'Inputs'!$B$29+'Inputs'!$B$31+'Inputs'!$B$32,'Inputs'!$B$30+'Inputs'!$B$31+'Inputs'!$B$32)/1000+'Inputs'!$B$21)+'Inputs'!$B$9)/SQRT((((903-43)*MAX('Inputs'!$B$33,'Inputs'!$B$29+'Inputs'!$B$31+'Inputs'!$B$32,'Inputs'!$B$30+'Inputs'!$B$31+'Inputs'!$B$32)/1000+'Inputs'!$B$21)+'Inputs'!$B$9)^2+('Inputs'!$B$8/2)^2)-(((903-43)*MAX('Inputs'!$B$33,'Inputs'!$B$29+'Inputs'!$B$31+'Inputs'!$B$32,'Inputs'!$B$30+'Inputs'!$B$31+'Inputs'!$B$32)/1000+'Inputs'!$B$21))/SQRT((((903-43)*MAX('Inputs'!$B$33,'Inputs'!$B$29+'Inputs'!$B$31+'Inputs'!$B$32,'Inputs'!$B$30+'Inputs'!$B$31+'Inputs'!$B$32)/1000+'Inputs'!$B$21))^2+('Inputs'!$B$8/2)^2)))-'Results'!B7*(1+'Inputs'!$B$24)*(0.5*((((903-43)*MAX('Inputs'!$B$33,'Inputs'!$B$29+'Inputs'!$B$31+'Inputs'!$B$32,'Inputs'!$B$30+'Inputs'!$B$31+'Inputs'!$B$32)/1000+'Inputs'!$B$21+'Inputs'!$B$9+'Inputs'!$B$10)+'Inputs'!$B$7)/SQRT((((903-43)*MAX('Inputs'!$B$33,'Inputs'!$B$29+'Inputs'!$B$31+'Inputs'!$B$32,'Inputs'!$B$30+'Inputs'!$B$31+'Inputs'!$B$32)/1000+'Inputs'!$B$21+'Inputs'!$B$9+'Inputs'!$B$10)+'Inputs'!$B$7)^2+('Inputs'!$B$6/2)^2)-(((903-43)*MAX('Inputs'!$B$33,'Inputs'!$B$29+'Inputs'!$B$31+'Inputs'!$B$32,'Inputs'!$B$30+'Inputs'!$B$31+'Inputs'!$B$32)/1000+'Inputs'!$B$21+'Inputs'!$B$9+'Inputs'!$B$10))/SQRT((((903-43)*MAX('Inputs'!$B$33,'Inputs'!$B$29+'Inputs'!$B$31+'Inputs'!$B$32,'Inputs'!$B$30+'Inputs'!$B$31+'Inputs'!$B$32)/1000+'Inputs'!$B$21+'Inputs'!$B$9+'Inputs'!$B$10))^2+('Inputs'!$B$6/2)^2))))*'Results'!$B$8))),"")</x:f>
        <x:v>0.46333066278382945</x:v>
      </x:c>
      <x:c r="O903" t="n">
        <x:f>IF(AND(ISNUMBER('Results'!C7),ISNUMBER('Results'!B7),ISNUMBER('Results'!$B$8),ISNUMBER('Inputs'!$B$6),ISNUMBER('Inputs'!$B$7),ISNUMBER('Inputs'!$B$8),ISNUMBER('Inputs'!$B$9),ISNUMBER('Inputs'!$B$10),ISNUMBER('Inputs'!$B$21),ISNUMBER('Inputs'!$B$24),ISNUMBER('Inputs'!$B$28)),((('Results'!C7*(1+'Inputs'!$B$24)*(0.5*((((903-43)*MAX('Inputs'!$B$33,'Inputs'!$B$29+'Inputs'!$B$31+'Inputs'!$B$32,'Inputs'!$B$30+'Inputs'!$B$31+'Inputs'!$B$32)/1000+'Inputs'!$B$21)+'Inputs'!$B$9)/SQRT((((903-43)*MAX('Inputs'!$B$33,'Inputs'!$B$29+'Inputs'!$B$31+'Inputs'!$B$32,'Inputs'!$B$30+'Inputs'!$B$31+'Inputs'!$B$32)/1000+'Inputs'!$B$21)+'Inputs'!$B$9)^2+('Inputs'!$B$8/2)^2)-(((903-43)*MAX('Inputs'!$B$33,'Inputs'!$B$29+'Inputs'!$B$31+'Inputs'!$B$32,'Inputs'!$B$30+'Inputs'!$B$31+'Inputs'!$B$32)/1000+'Inputs'!$B$21))/SQRT((((903-43)*MAX('Inputs'!$B$33,'Inputs'!$B$29+'Inputs'!$B$31+'Inputs'!$B$32,'Inputs'!$B$30+'Inputs'!$B$31+'Inputs'!$B$32)/1000+'Inputs'!$B$21))^2+('Inputs'!$B$8/2)^2)))-'Results'!B7*(1-'Inputs'!$B$24)*(0.5*((((903-43)*MAX('Inputs'!$B$33,'Inputs'!$B$29+'Inputs'!$B$31+'Inputs'!$B$32,'Inputs'!$B$30+'Inputs'!$B$31+'Inputs'!$B$32)/1000+'Inputs'!$B$21+'Inputs'!$B$9+'Inputs'!$B$10)+'Inputs'!$B$7)/SQRT((((903-43)*MAX('Inputs'!$B$33,'Inputs'!$B$29+'Inputs'!$B$31+'Inputs'!$B$32,'Inputs'!$B$30+'Inputs'!$B$31+'Inputs'!$B$32)/1000+'Inputs'!$B$21+'Inputs'!$B$9+'Inputs'!$B$10)+'Inputs'!$B$7)^2+('Inputs'!$B$6/2)^2)-(((903-43)*MAX('Inputs'!$B$33,'Inputs'!$B$29+'Inputs'!$B$31+'Inputs'!$B$32,'Inputs'!$B$30+'Inputs'!$B$31+'Inputs'!$B$32)/1000+'Inputs'!$B$21+'Inputs'!$B$9+'Inputs'!$B$10))/SQRT((((903-43)*MAX('Inputs'!$B$33,'Inputs'!$B$29+'Inputs'!$B$31+'Inputs'!$B$32,'Inputs'!$B$30+'Inputs'!$B$31+'Inputs'!$B$32)/1000+'Inputs'!$B$21+'Inputs'!$B$9+'Inputs'!$B$10))^2+('Inputs'!$B$6/2)^2))))*'Results'!$B$8)+'Inputs'!$B$28*ABS((('Results'!C7*(1+'Inputs'!$B$24)*(0.5*((((903-43)*MAX('Inputs'!$B$33,'Inputs'!$B$29+'Inputs'!$B$31+'Inputs'!$B$32,'Inputs'!$B$30+'Inputs'!$B$31+'Inputs'!$B$32)/1000+'Inputs'!$B$21)+'Inputs'!$B$9)/SQRT((((903-43)*MAX('Inputs'!$B$33,'Inputs'!$B$29+'Inputs'!$B$31+'Inputs'!$B$32,'Inputs'!$B$30+'Inputs'!$B$31+'Inputs'!$B$32)/1000+'Inputs'!$B$21)+'Inputs'!$B$9)^2+('Inputs'!$B$8/2)^2)-(((903-43)*MAX('Inputs'!$B$33,'Inputs'!$B$29+'Inputs'!$B$31+'Inputs'!$B$32,'Inputs'!$B$30+'Inputs'!$B$31+'Inputs'!$B$32)/1000+'Inputs'!$B$21))/SQRT((((903-43)*MAX('Inputs'!$B$33,'Inputs'!$B$29+'Inputs'!$B$31+'Inputs'!$B$32,'Inputs'!$B$30+'Inputs'!$B$31+'Inputs'!$B$32)/1000+'Inputs'!$B$21))^2+('Inputs'!$B$8/2)^2)))-'Results'!B7*(1-'Inputs'!$B$24)*(0.5*((((903-43)*MAX('Inputs'!$B$33,'Inputs'!$B$29+'Inputs'!$B$31+'Inputs'!$B$32,'Inputs'!$B$30+'Inputs'!$B$31+'Inputs'!$B$32)/1000+'Inputs'!$B$21+'Inputs'!$B$9+'Inputs'!$B$10)+'Inputs'!$B$7)/SQRT((((903-43)*MAX('Inputs'!$B$33,'Inputs'!$B$29+'Inputs'!$B$31+'Inputs'!$B$32,'Inputs'!$B$30+'Inputs'!$B$31+'Inputs'!$B$32)/1000+'Inputs'!$B$21+'Inputs'!$B$9+'Inputs'!$B$10)+'Inputs'!$B$7)^2+('Inputs'!$B$6/2)^2)-(((903-43)*MAX('Inputs'!$B$33,'Inputs'!$B$29+'Inputs'!$B$31+'Inputs'!$B$32,'Inputs'!$B$30+'Inputs'!$B$31+'Inputs'!$B$32)/1000+'Inputs'!$B$21+'Inputs'!$B$9+'Inputs'!$B$10))/SQRT((((903-43)*MAX('Inputs'!$B$33,'Inputs'!$B$29+'Inputs'!$B$31+'Inputs'!$B$32,'Inputs'!$B$30+'Inputs'!$B$31+'Inputs'!$B$32)/1000+'Inputs'!$B$21+'Inputs'!$B$9+'Inputs'!$B$10))^2+('Inputs'!$B$6/2)^2))))*'Results'!$B$8))),"")</x:f>
        <x:v>0.6479482612812437</x:v>
      </x:c>
      <x:c r="P903" t="n">
        <x:f>IF(AND(MAX(J903,J902)&gt;0,J903&gt;J902+0.00000001),1,0)</x:f>
        <x:v>0</x:v>
      </x:c>
      <x:c r="Q903" t="n">
        <x:f>IF(AND(MAX(K903,K902)&gt;0,K903&gt;K902+0.00000001),1,0)</x:f>
        <x:v>0</x:v>
      </x:c>
      <x:c r="R903" t="n">
        <x:f>IF(AND(MAX(L903,L902)&gt;0,L903&gt;L902+0.00000001),1,0)</x:f>
        <x:v>0</x:v>
      </x:c>
      <x:c r="S903" t="n">
        <x:f>IF(AND(MAX(M903,M902)&gt;0,M903&gt;M902+0.00000001),1,0)</x:f>
        <x:v>0</x:v>
      </x:c>
      <x:c r="T903" t="n">
        <x:f>IF(AND(MAX(N903,N902)&gt;0,N903&gt;N902+0.00000001),1,0)</x:f>
        <x:v>0</x:v>
      </x:c>
      <x:c r="U903" t="n">
        <x:f>IF(AND(MAX(O903,O902)&gt;0,O903&gt;O902+0.00000001),1,0)</x:f>
        <x:v>0</x:v>
      </x:c>
    </x:row>
    <x:row r="904">
      <x:c r="J904" t="n">
        <x:f>IF(AND(ISNUMBER('Results'!B7),ISNUMBER('Results'!C7),ISNUMBER('Results'!$B$8),ISNUMBER('Inputs'!$B$6),ISNUMBER('Inputs'!$B$7),ISNUMBER('Inputs'!$B$8),ISNUMBER('Inputs'!$B$9),ISNUMBER('Inputs'!$B$10),ISNUMBER('Inputs'!$B$21),ISNUMBER('Inputs'!$B$24),ISNUMBER('Inputs'!$B$28)),(('Results'!B7*(0.5*((((904-43)*MAX('Inputs'!$B$33,'Inputs'!$B$29+'Inputs'!$B$31+'Inputs'!$B$32,'Inputs'!$B$30+'Inputs'!$B$31+'Inputs'!$B$32)/1000+'Inputs'!$B$21)+'Inputs'!$B$7)/SQRT((((904-43)*MAX('Inputs'!$B$33,'Inputs'!$B$29+'Inputs'!$B$31+'Inputs'!$B$32,'Inputs'!$B$30+'Inputs'!$B$31+'Inputs'!$B$32)/1000+'Inputs'!$B$21)+'Inputs'!$B$7)^2+('Inputs'!$B$6/2)^2)-(((904-43)*MAX('Inputs'!$B$33,'Inputs'!$B$29+'Inputs'!$B$31+'Inputs'!$B$32,'Inputs'!$B$30+'Inputs'!$B$31+'Inputs'!$B$32)/1000+'Inputs'!$B$21))/SQRT((((904-43)*MAX('Inputs'!$B$33,'Inputs'!$B$29+'Inputs'!$B$31+'Inputs'!$B$32,'Inputs'!$B$30+'Inputs'!$B$31+'Inputs'!$B$32)/1000+'Inputs'!$B$21))^2+('Inputs'!$B$6/2)^2)))-'Results'!C7*(0.5*((((904-43)*MAX('Inputs'!$B$33,'Inputs'!$B$29+'Inputs'!$B$31+'Inputs'!$B$32,'Inputs'!$B$30+'Inputs'!$B$31+'Inputs'!$B$32)/1000+'Inputs'!$B$21+'Inputs'!$B$7+'Inputs'!$B$10)+'Inputs'!$B$9)/SQRT((((904-43)*MAX('Inputs'!$B$33,'Inputs'!$B$29+'Inputs'!$B$31+'Inputs'!$B$32,'Inputs'!$B$30+'Inputs'!$B$31+'Inputs'!$B$32)/1000+'Inputs'!$B$21+'Inputs'!$B$7+'Inputs'!$B$10)+'Inputs'!$B$9)^2+('Inputs'!$B$8/2)^2)-(((904-43)*MAX('Inputs'!$B$33,'Inputs'!$B$29+'Inputs'!$B$31+'Inputs'!$B$32,'Inputs'!$B$30+'Inputs'!$B$31+'Inputs'!$B$32)/1000+'Inputs'!$B$21+'Inputs'!$B$7+'Inputs'!$B$10))/SQRT((((904-43)*MAX('Inputs'!$B$33,'Inputs'!$B$29+'Inputs'!$B$31+'Inputs'!$B$32,'Inputs'!$B$30+'Inputs'!$B$31+'Inputs'!$B$32)/1000+'Inputs'!$B$21+'Inputs'!$B$7+'Inputs'!$B$10))^2+('Inputs'!$B$8/2)^2))))*'Results'!$B$8),"")</x:f>
        <x:v>0.6152755988442771</x:v>
      </x:c>
      <x:c r="K904" t="n">
        <x:f>IF(AND(ISNUMBER('Results'!B7),ISNUMBER('Results'!C7),ISNUMBER('Results'!$B$8),ISNUMBER('Inputs'!$B$6),ISNUMBER('Inputs'!$B$7),ISNUMBER('Inputs'!$B$8),ISNUMBER('Inputs'!$B$9),ISNUMBER('Inputs'!$B$10),ISNUMBER('Inputs'!$B$21),ISNUMBER('Inputs'!$B$24),ISNUMBER('Inputs'!$B$28)),((('Results'!B7*(1-'Inputs'!$B$24)*(0.5*((((904-43)*MAX('Inputs'!$B$33,'Inputs'!$B$29+'Inputs'!$B$31+'Inputs'!$B$32,'Inputs'!$B$30+'Inputs'!$B$31+'Inputs'!$B$32)/1000+'Inputs'!$B$21)+'Inputs'!$B$7)/SQRT((((904-43)*MAX('Inputs'!$B$33,'Inputs'!$B$29+'Inputs'!$B$31+'Inputs'!$B$32,'Inputs'!$B$30+'Inputs'!$B$31+'Inputs'!$B$32)/1000+'Inputs'!$B$21)+'Inputs'!$B$7)^2+('Inputs'!$B$6/2)^2)-(((904-43)*MAX('Inputs'!$B$33,'Inputs'!$B$29+'Inputs'!$B$31+'Inputs'!$B$32,'Inputs'!$B$30+'Inputs'!$B$31+'Inputs'!$B$32)/1000+'Inputs'!$B$21))/SQRT((((904-43)*MAX('Inputs'!$B$33,'Inputs'!$B$29+'Inputs'!$B$31+'Inputs'!$B$32,'Inputs'!$B$30+'Inputs'!$B$31+'Inputs'!$B$32)/1000+'Inputs'!$B$21))^2+('Inputs'!$B$6/2)^2)))-'Results'!C7*(1+'Inputs'!$B$24)*(0.5*((((904-43)*MAX('Inputs'!$B$33,'Inputs'!$B$29+'Inputs'!$B$31+'Inputs'!$B$32,'Inputs'!$B$30+'Inputs'!$B$31+'Inputs'!$B$32)/1000+'Inputs'!$B$21+'Inputs'!$B$7+'Inputs'!$B$10)+'Inputs'!$B$9)/SQRT((((904-43)*MAX('Inputs'!$B$33,'Inputs'!$B$29+'Inputs'!$B$31+'Inputs'!$B$32,'Inputs'!$B$30+'Inputs'!$B$31+'Inputs'!$B$32)/1000+'Inputs'!$B$21+'Inputs'!$B$7+'Inputs'!$B$10)+'Inputs'!$B$9)^2+('Inputs'!$B$8/2)^2)-(((904-43)*MAX('Inputs'!$B$33,'Inputs'!$B$29+'Inputs'!$B$31+'Inputs'!$B$32,'Inputs'!$B$30+'Inputs'!$B$31+'Inputs'!$B$32)/1000+'Inputs'!$B$21+'Inputs'!$B$7+'Inputs'!$B$10))/SQRT((((904-43)*MAX('Inputs'!$B$33,'Inputs'!$B$29+'Inputs'!$B$31+'Inputs'!$B$32,'Inputs'!$B$30+'Inputs'!$B$31+'Inputs'!$B$32)/1000+'Inputs'!$B$21+'Inputs'!$B$7+'Inputs'!$B$10))^2+('Inputs'!$B$8/2)^2))))*'Results'!$B$8)-'Inputs'!$B$28*ABS((('Results'!B7*(1-'Inputs'!$B$24)*(0.5*((((904-43)*MAX('Inputs'!$B$33,'Inputs'!$B$29+'Inputs'!$B$31+'Inputs'!$B$32,'Inputs'!$B$30+'Inputs'!$B$31+'Inputs'!$B$32)/1000+'Inputs'!$B$21)+'Inputs'!$B$7)/SQRT((((904-43)*MAX('Inputs'!$B$33,'Inputs'!$B$29+'Inputs'!$B$31+'Inputs'!$B$32,'Inputs'!$B$30+'Inputs'!$B$31+'Inputs'!$B$32)/1000+'Inputs'!$B$21)+'Inputs'!$B$7)^2+('Inputs'!$B$6/2)^2)-(((904-43)*MAX('Inputs'!$B$33,'Inputs'!$B$29+'Inputs'!$B$31+'Inputs'!$B$32,'Inputs'!$B$30+'Inputs'!$B$31+'Inputs'!$B$32)/1000+'Inputs'!$B$21))/SQRT((((904-43)*MAX('Inputs'!$B$33,'Inputs'!$B$29+'Inputs'!$B$31+'Inputs'!$B$32,'Inputs'!$B$30+'Inputs'!$B$31+'Inputs'!$B$32)/1000+'Inputs'!$B$21))^2+('Inputs'!$B$6/2)^2)))-'Results'!C7*(1+'Inputs'!$B$24)*(0.5*((((904-43)*MAX('Inputs'!$B$33,'Inputs'!$B$29+'Inputs'!$B$31+'Inputs'!$B$32,'Inputs'!$B$30+'Inputs'!$B$31+'Inputs'!$B$32)/1000+'Inputs'!$B$21+'Inputs'!$B$7+'Inputs'!$B$10)+'Inputs'!$B$9)/SQRT((((904-43)*MAX('Inputs'!$B$33,'Inputs'!$B$29+'Inputs'!$B$31+'Inputs'!$B$32,'Inputs'!$B$30+'Inputs'!$B$31+'Inputs'!$B$32)/1000+'Inputs'!$B$21+'Inputs'!$B$7+'Inputs'!$B$10)+'Inputs'!$B$9)^2+('Inputs'!$B$8/2)^2)-(((904-43)*MAX('Inputs'!$B$33,'Inputs'!$B$29+'Inputs'!$B$31+'Inputs'!$B$32,'Inputs'!$B$30+'Inputs'!$B$31+'Inputs'!$B$32)/1000+'Inputs'!$B$21+'Inputs'!$B$7+'Inputs'!$B$10))/SQRT((((904-43)*MAX('Inputs'!$B$33,'Inputs'!$B$29+'Inputs'!$B$31+'Inputs'!$B$32,'Inputs'!$B$30+'Inputs'!$B$31+'Inputs'!$B$32)/1000+'Inputs'!$B$21+'Inputs'!$B$7+'Inputs'!$B$10))^2+('Inputs'!$B$8/2)^2))))*'Results'!$B$8))),"")</x:f>
        <x:v>0.5230317938696328</x:v>
      </x:c>
      <x:c r="L904" t="n">
        <x:f>IF(AND(ISNUMBER('Results'!B7),ISNUMBER('Results'!C7),ISNUMBER('Results'!$B$8),ISNUMBER('Inputs'!$B$6),ISNUMBER('Inputs'!$B$7),ISNUMBER('Inputs'!$B$8),ISNUMBER('Inputs'!$B$9),ISNUMBER('Inputs'!$B$10),ISNUMBER('Inputs'!$B$21),ISNUMBER('Inputs'!$B$24),ISNUMBER('Inputs'!$B$28)),((('Results'!B7*(1+'Inputs'!$B$24)*(0.5*((((904-43)*MAX('Inputs'!$B$33,'Inputs'!$B$29+'Inputs'!$B$31+'Inputs'!$B$32,'Inputs'!$B$30+'Inputs'!$B$31+'Inputs'!$B$32)/1000+'Inputs'!$B$21)+'Inputs'!$B$7)/SQRT((((904-43)*MAX('Inputs'!$B$33,'Inputs'!$B$29+'Inputs'!$B$31+'Inputs'!$B$32,'Inputs'!$B$30+'Inputs'!$B$31+'Inputs'!$B$32)/1000+'Inputs'!$B$21)+'Inputs'!$B$7)^2+('Inputs'!$B$6/2)^2)-(((904-43)*MAX('Inputs'!$B$33,'Inputs'!$B$29+'Inputs'!$B$31+'Inputs'!$B$32,'Inputs'!$B$30+'Inputs'!$B$31+'Inputs'!$B$32)/1000+'Inputs'!$B$21))/SQRT((((904-43)*MAX('Inputs'!$B$33,'Inputs'!$B$29+'Inputs'!$B$31+'Inputs'!$B$32,'Inputs'!$B$30+'Inputs'!$B$31+'Inputs'!$B$32)/1000+'Inputs'!$B$21))^2+('Inputs'!$B$6/2)^2)))-'Results'!C7*(1-'Inputs'!$B$24)*(0.5*((((904-43)*MAX('Inputs'!$B$33,'Inputs'!$B$29+'Inputs'!$B$31+'Inputs'!$B$32,'Inputs'!$B$30+'Inputs'!$B$31+'Inputs'!$B$32)/1000+'Inputs'!$B$21+'Inputs'!$B$7+'Inputs'!$B$10)+'Inputs'!$B$9)/SQRT((((904-43)*MAX('Inputs'!$B$33,'Inputs'!$B$29+'Inputs'!$B$31+'Inputs'!$B$32,'Inputs'!$B$30+'Inputs'!$B$31+'Inputs'!$B$32)/1000+'Inputs'!$B$21+'Inputs'!$B$7+'Inputs'!$B$10)+'Inputs'!$B$9)^2+('Inputs'!$B$8/2)^2)-(((904-43)*MAX('Inputs'!$B$33,'Inputs'!$B$29+'Inputs'!$B$31+'Inputs'!$B$32,'Inputs'!$B$30+'Inputs'!$B$31+'Inputs'!$B$32)/1000+'Inputs'!$B$21+'Inputs'!$B$7+'Inputs'!$B$10))/SQRT((((904-43)*MAX('Inputs'!$B$33,'Inputs'!$B$29+'Inputs'!$B$31+'Inputs'!$B$32,'Inputs'!$B$30+'Inputs'!$B$31+'Inputs'!$B$32)/1000+'Inputs'!$B$21+'Inputs'!$B$7+'Inputs'!$B$10))^2+('Inputs'!$B$8/2)^2))))*'Results'!$B$8)+'Inputs'!$B$28*ABS((('Results'!B7*(1+'Inputs'!$B$24)*(0.5*((((904-43)*MAX('Inputs'!$B$33,'Inputs'!$B$29+'Inputs'!$B$31+'Inputs'!$B$32,'Inputs'!$B$30+'Inputs'!$B$31+'Inputs'!$B$32)/1000+'Inputs'!$B$21)+'Inputs'!$B$7)/SQRT((((904-43)*MAX('Inputs'!$B$33,'Inputs'!$B$29+'Inputs'!$B$31+'Inputs'!$B$32,'Inputs'!$B$30+'Inputs'!$B$31+'Inputs'!$B$32)/1000+'Inputs'!$B$21)+'Inputs'!$B$7)^2+('Inputs'!$B$6/2)^2)-(((904-43)*MAX('Inputs'!$B$33,'Inputs'!$B$29+'Inputs'!$B$31+'Inputs'!$B$32,'Inputs'!$B$30+'Inputs'!$B$31+'Inputs'!$B$32)/1000+'Inputs'!$B$21))/SQRT((((904-43)*MAX('Inputs'!$B$33,'Inputs'!$B$29+'Inputs'!$B$31+'Inputs'!$B$32,'Inputs'!$B$30+'Inputs'!$B$31+'Inputs'!$B$32)/1000+'Inputs'!$B$21))^2+('Inputs'!$B$6/2)^2)))-'Results'!C7*(1-'Inputs'!$B$24)*(0.5*((((904-43)*MAX('Inputs'!$B$33,'Inputs'!$B$29+'Inputs'!$B$31+'Inputs'!$B$32,'Inputs'!$B$30+'Inputs'!$B$31+'Inputs'!$B$32)/1000+'Inputs'!$B$21+'Inputs'!$B$7+'Inputs'!$B$10)+'Inputs'!$B$9)/SQRT((((904-43)*MAX('Inputs'!$B$33,'Inputs'!$B$29+'Inputs'!$B$31+'Inputs'!$B$32,'Inputs'!$B$30+'Inputs'!$B$31+'Inputs'!$B$32)/1000+'Inputs'!$B$21+'Inputs'!$B$7+'Inputs'!$B$10)+'Inputs'!$B$9)^2+('Inputs'!$B$8/2)^2)-(((904-43)*MAX('Inputs'!$B$33,'Inputs'!$B$29+'Inputs'!$B$31+'Inputs'!$B$32,'Inputs'!$B$30+'Inputs'!$B$31+'Inputs'!$B$32)/1000+'Inputs'!$B$21+'Inputs'!$B$7+'Inputs'!$B$10))/SQRT((((904-43)*MAX('Inputs'!$B$33,'Inputs'!$B$29+'Inputs'!$B$31+'Inputs'!$B$32,'Inputs'!$B$30+'Inputs'!$B$31+'Inputs'!$B$32)/1000+'Inputs'!$B$21+'Inputs'!$B$7+'Inputs'!$B$10))^2+('Inputs'!$B$8/2)^2))))*'Results'!$B$8))),"")</x:f>
        <x:v>0.713990985401283</x:v>
      </x:c>
      <x:c r="M904" t="n">
        <x:f>IF(AND(ISNUMBER('Results'!C7),ISNUMBER('Results'!B7),ISNUMBER('Results'!$B$8),ISNUMBER('Inputs'!$B$6),ISNUMBER('Inputs'!$B$7),ISNUMBER('Inputs'!$B$8),ISNUMBER('Inputs'!$B$9),ISNUMBER('Inputs'!$B$10),ISNUMBER('Inputs'!$B$21),ISNUMBER('Inputs'!$B$24),ISNUMBER('Inputs'!$B$28)),(('Results'!C7*(0.5*((((904-43)*MAX('Inputs'!$B$33,'Inputs'!$B$29+'Inputs'!$B$31+'Inputs'!$B$32,'Inputs'!$B$30+'Inputs'!$B$31+'Inputs'!$B$32)/1000+'Inputs'!$B$21)+'Inputs'!$B$9)/SQRT((((904-43)*MAX('Inputs'!$B$33,'Inputs'!$B$29+'Inputs'!$B$31+'Inputs'!$B$32,'Inputs'!$B$30+'Inputs'!$B$31+'Inputs'!$B$32)/1000+'Inputs'!$B$21)+'Inputs'!$B$9)^2+('Inputs'!$B$8/2)^2)-(((904-43)*MAX('Inputs'!$B$33,'Inputs'!$B$29+'Inputs'!$B$31+'Inputs'!$B$32,'Inputs'!$B$30+'Inputs'!$B$31+'Inputs'!$B$32)/1000+'Inputs'!$B$21))/SQRT((((904-43)*MAX('Inputs'!$B$33,'Inputs'!$B$29+'Inputs'!$B$31+'Inputs'!$B$32,'Inputs'!$B$30+'Inputs'!$B$31+'Inputs'!$B$32)/1000+'Inputs'!$B$21))^2+('Inputs'!$B$8/2)^2)))-'Results'!B7*(0.5*((((904-43)*MAX('Inputs'!$B$33,'Inputs'!$B$29+'Inputs'!$B$31+'Inputs'!$B$32,'Inputs'!$B$30+'Inputs'!$B$31+'Inputs'!$B$32)/1000+'Inputs'!$B$21+'Inputs'!$B$9+'Inputs'!$B$10)+'Inputs'!$B$7)/SQRT((((904-43)*MAX('Inputs'!$B$33,'Inputs'!$B$29+'Inputs'!$B$31+'Inputs'!$B$32,'Inputs'!$B$30+'Inputs'!$B$31+'Inputs'!$B$32)/1000+'Inputs'!$B$21+'Inputs'!$B$9+'Inputs'!$B$10)+'Inputs'!$B$7)^2+('Inputs'!$B$6/2)^2)-(((904-43)*MAX('Inputs'!$B$33,'Inputs'!$B$29+'Inputs'!$B$31+'Inputs'!$B$32,'Inputs'!$B$30+'Inputs'!$B$31+'Inputs'!$B$32)/1000+'Inputs'!$B$21+'Inputs'!$B$9+'Inputs'!$B$10))/SQRT((((904-43)*MAX('Inputs'!$B$33,'Inputs'!$B$29+'Inputs'!$B$31+'Inputs'!$B$32,'Inputs'!$B$30+'Inputs'!$B$31+'Inputs'!$B$32)/1000+'Inputs'!$B$21+'Inputs'!$B$9+'Inputs'!$B$10))^2+('Inputs'!$B$6/2)^2))))*'Results'!$B$8),"")</x:f>
        <x:v>0.550024984001822</x:v>
      </x:c>
      <x:c r="N904" t="n">
        <x:f>IF(AND(ISNUMBER('Results'!C7),ISNUMBER('Results'!B7),ISNUMBER('Results'!$B$8),ISNUMBER('Inputs'!$B$6),ISNUMBER('Inputs'!$B$7),ISNUMBER('Inputs'!$B$8),ISNUMBER('Inputs'!$B$9),ISNUMBER('Inputs'!$B$10),ISNUMBER('Inputs'!$B$21),ISNUMBER('Inputs'!$B$24),ISNUMBER('Inputs'!$B$28)),((('Results'!C7*(1-'Inputs'!$B$24)*(0.5*((((904-43)*MAX('Inputs'!$B$33,'Inputs'!$B$29+'Inputs'!$B$31+'Inputs'!$B$32,'Inputs'!$B$30+'Inputs'!$B$31+'Inputs'!$B$32)/1000+'Inputs'!$B$21)+'Inputs'!$B$9)/SQRT((((904-43)*MAX('Inputs'!$B$33,'Inputs'!$B$29+'Inputs'!$B$31+'Inputs'!$B$32,'Inputs'!$B$30+'Inputs'!$B$31+'Inputs'!$B$32)/1000+'Inputs'!$B$21)+'Inputs'!$B$9)^2+('Inputs'!$B$8/2)^2)-(((904-43)*MAX('Inputs'!$B$33,'Inputs'!$B$29+'Inputs'!$B$31+'Inputs'!$B$32,'Inputs'!$B$30+'Inputs'!$B$31+'Inputs'!$B$32)/1000+'Inputs'!$B$21))/SQRT((((904-43)*MAX('Inputs'!$B$33,'Inputs'!$B$29+'Inputs'!$B$31+'Inputs'!$B$32,'Inputs'!$B$30+'Inputs'!$B$31+'Inputs'!$B$32)/1000+'Inputs'!$B$21))^2+('Inputs'!$B$8/2)^2)))-'Results'!B7*(1+'Inputs'!$B$24)*(0.5*((((904-43)*MAX('Inputs'!$B$33,'Inputs'!$B$29+'Inputs'!$B$31+'Inputs'!$B$32,'Inputs'!$B$30+'Inputs'!$B$31+'Inputs'!$B$32)/1000+'Inputs'!$B$21+'Inputs'!$B$9+'Inputs'!$B$10)+'Inputs'!$B$7)/SQRT((((904-43)*MAX('Inputs'!$B$33,'Inputs'!$B$29+'Inputs'!$B$31+'Inputs'!$B$32,'Inputs'!$B$30+'Inputs'!$B$31+'Inputs'!$B$32)/1000+'Inputs'!$B$21+'Inputs'!$B$9+'Inputs'!$B$10)+'Inputs'!$B$7)^2+('Inputs'!$B$6/2)^2)-(((904-43)*MAX('Inputs'!$B$33,'Inputs'!$B$29+'Inputs'!$B$31+'Inputs'!$B$32,'Inputs'!$B$30+'Inputs'!$B$31+'Inputs'!$B$32)/1000+'Inputs'!$B$21+'Inputs'!$B$9+'Inputs'!$B$10))/SQRT((((904-43)*MAX('Inputs'!$B$33,'Inputs'!$B$29+'Inputs'!$B$31+'Inputs'!$B$32,'Inputs'!$B$30+'Inputs'!$B$31+'Inputs'!$B$32)/1000+'Inputs'!$B$21+'Inputs'!$B$9+'Inputs'!$B$10))^2+('Inputs'!$B$6/2)^2))))*'Results'!$B$8)-'Inputs'!$B$28*ABS((('Results'!C7*(1-'Inputs'!$B$24)*(0.5*((((904-43)*MAX('Inputs'!$B$33,'Inputs'!$B$29+'Inputs'!$B$31+'Inputs'!$B$32,'Inputs'!$B$30+'Inputs'!$B$31+'Inputs'!$B$32)/1000+'Inputs'!$B$21)+'Inputs'!$B$9)/SQRT((((904-43)*MAX('Inputs'!$B$33,'Inputs'!$B$29+'Inputs'!$B$31+'Inputs'!$B$32,'Inputs'!$B$30+'Inputs'!$B$31+'Inputs'!$B$32)/1000+'Inputs'!$B$21)+'Inputs'!$B$9)^2+('Inputs'!$B$8/2)^2)-(((904-43)*MAX('Inputs'!$B$33,'Inputs'!$B$29+'Inputs'!$B$31+'Inputs'!$B$32,'Inputs'!$B$30+'Inputs'!$B$31+'Inputs'!$B$32)/1000+'Inputs'!$B$21))/SQRT((((904-43)*MAX('Inputs'!$B$33,'Inputs'!$B$29+'Inputs'!$B$31+'Inputs'!$B$32,'Inputs'!$B$30+'Inputs'!$B$31+'Inputs'!$B$32)/1000+'Inputs'!$B$21))^2+('Inputs'!$B$8/2)^2)))-'Results'!B7*(1+'Inputs'!$B$24)*(0.5*((((904-43)*MAX('Inputs'!$B$33,'Inputs'!$B$29+'Inputs'!$B$31+'Inputs'!$B$32,'Inputs'!$B$30+'Inputs'!$B$31+'Inputs'!$B$32)/1000+'Inputs'!$B$21+'Inputs'!$B$9+'Inputs'!$B$10)+'Inputs'!$B$7)/SQRT((((904-43)*MAX('Inputs'!$B$33,'Inputs'!$B$29+'Inputs'!$B$31+'Inputs'!$B$32,'Inputs'!$B$30+'Inputs'!$B$31+'Inputs'!$B$32)/1000+'Inputs'!$B$21+'Inputs'!$B$9+'Inputs'!$B$10)+'Inputs'!$B$7)^2+('Inputs'!$B$6/2)^2)-(((904-43)*MAX('Inputs'!$B$33,'Inputs'!$B$29+'Inputs'!$B$31+'Inputs'!$B$32,'Inputs'!$B$30+'Inputs'!$B$31+'Inputs'!$B$32)/1000+'Inputs'!$B$21+'Inputs'!$B$9+'Inputs'!$B$10))/SQRT((((904-43)*MAX('Inputs'!$B$33,'Inputs'!$B$29+'Inputs'!$B$31+'Inputs'!$B$32,'Inputs'!$B$30+'Inputs'!$B$31+'Inputs'!$B$32)/1000+'Inputs'!$B$21+'Inputs'!$B$9+'Inputs'!$B$10))^2+('Inputs'!$B$6/2)^2))))*'Results'!$B$8))),"")</x:f>
        <x:v>0.46126735331550345</x:v>
      </x:c>
      <x:c r="O904" t="n">
        <x:f>IF(AND(ISNUMBER('Results'!C7),ISNUMBER('Results'!B7),ISNUMBER('Results'!$B$8),ISNUMBER('Inputs'!$B$6),ISNUMBER('Inputs'!$B$7),ISNUMBER('Inputs'!$B$8),ISNUMBER('Inputs'!$B$9),ISNUMBER('Inputs'!$B$10),ISNUMBER('Inputs'!$B$21),ISNUMBER('Inputs'!$B$24),ISNUMBER('Inputs'!$B$28)),((('Results'!C7*(1+'Inputs'!$B$24)*(0.5*((((904-43)*MAX('Inputs'!$B$33,'Inputs'!$B$29+'Inputs'!$B$31+'Inputs'!$B$32,'Inputs'!$B$30+'Inputs'!$B$31+'Inputs'!$B$32)/1000+'Inputs'!$B$21)+'Inputs'!$B$9)/SQRT((((904-43)*MAX('Inputs'!$B$33,'Inputs'!$B$29+'Inputs'!$B$31+'Inputs'!$B$32,'Inputs'!$B$30+'Inputs'!$B$31+'Inputs'!$B$32)/1000+'Inputs'!$B$21)+'Inputs'!$B$9)^2+('Inputs'!$B$8/2)^2)-(((904-43)*MAX('Inputs'!$B$33,'Inputs'!$B$29+'Inputs'!$B$31+'Inputs'!$B$32,'Inputs'!$B$30+'Inputs'!$B$31+'Inputs'!$B$32)/1000+'Inputs'!$B$21))/SQRT((((904-43)*MAX('Inputs'!$B$33,'Inputs'!$B$29+'Inputs'!$B$31+'Inputs'!$B$32,'Inputs'!$B$30+'Inputs'!$B$31+'Inputs'!$B$32)/1000+'Inputs'!$B$21))^2+('Inputs'!$B$8/2)^2)))-'Results'!B7*(1-'Inputs'!$B$24)*(0.5*((((904-43)*MAX('Inputs'!$B$33,'Inputs'!$B$29+'Inputs'!$B$31+'Inputs'!$B$32,'Inputs'!$B$30+'Inputs'!$B$31+'Inputs'!$B$32)/1000+'Inputs'!$B$21+'Inputs'!$B$9+'Inputs'!$B$10)+'Inputs'!$B$7)/SQRT((((904-43)*MAX('Inputs'!$B$33,'Inputs'!$B$29+'Inputs'!$B$31+'Inputs'!$B$32,'Inputs'!$B$30+'Inputs'!$B$31+'Inputs'!$B$32)/1000+'Inputs'!$B$21+'Inputs'!$B$9+'Inputs'!$B$10)+'Inputs'!$B$7)^2+('Inputs'!$B$6/2)^2)-(((904-43)*MAX('Inputs'!$B$33,'Inputs'!$B$29+'Inputs'!$B$31+'Inputs'!$B$32,'Inputs'!$B$30+'Inputs'!$B$31+'Inputs'!$B$32)/1000+'Inputs'!$B$21+'Inputs'!$B$9+'Inputs'!$B$10))/SQRT((((904-43)*MAX('Inputs'!$B$33,'Inputs'!$B$29+'Inputs'!$B$31+'Inputs'!$B$32,'Inputs'!$B$30+'Inputs'!$B$31+'Inputs'!$B$32)/1000+'Inputs'!$B$21+'Inputs'!$B$9+'Inputs'!$B$10))^2+('Inputs'!$B$6/2)^2))))*'Results'!$B$8)+'Inputs'!$B$28*ABS((('Results'!C7*(1+'Inputs'!$B$24)*(0.5*((((904-43)*MAX('Inputs'!$B$33,'Inputs'!$B$29+'Inputs'!$B$31+'Inputs'!$B$32,'Inputs'!$B$30+'Inputs'!$B$31+'Inputs'!$B$32)/1000+'Inputs'!$B$21)+'Inputs'!$B$9)/SQRT((((904-43)*MAX('Inputs'!$B$33,'Inputs'!$B$29+'Inputs'!$B$31+'Inputs'!$B$32,'Inputs'!$B$30+'Inputs'!$B$31+'Inputs'!$B$32)/1000+'Inputs'!$B$21)+'Inputs'!$B$9)^2+('Inputs'!$B$8/2)^2)-(((904-43)*MAX('Inputs'!$B$33,'Inputs'!$B$29+'Inputs'!$B$31+'Inputs'!$B$32,'Inputs'!$B$30+'Inputs'!$B$31+'Inputs'!$B$32)/1000+'Inputs'!$B$21))/SQRT((((904-43)*MAX('Inputs'!$B$33,'Inputs'!$B$29+'Inputs'!$B$31+'Inputs'!$B$32,'Inputs'!$B$30+'Inputs'!$B$31+'Inputs'!$B$32)/1000+'Inputs'!$B$21))^2+('Inputs'!$B$8/2)^2)))-'Results'!B7*(1-'Inputs'!$B$24)*(0.5*((((904-43)*MAX('Inputs'!$B$33,'Inputs'!$B$29+'Inputs'!$B$31+'Inputs'!$B$32,'Inputs'!$B$30+'Inputs'!$B$31+'Inputs'!$B$32)/1000+'Inputs'!$B$21+'Inputs'!$B$9+'Inputs'!$B$10)+'Inputs'!$B$7)/SQRT((((904-43)*MAX('Inputs'!$B$33,'Inputs'!$B$29+'Inputs'!$B$31+'Inputs'!$B$32,'Inputs'!$B$30+'Inputs'!$B$31+'Inputs'!$B$32)/1000+'Inputs'!$B$21+'Inputs'!$B$9+'Inputs'!$B$10)+'Inputs'!$B$7)^2+('Inputs'!$B$6/2)^2)-(((904-43)*MAX('Inputs'!$B$33,'Inputs'!$B$29+'Inputs'!$B$31+'Inputs'!$B$32,'Inputs'!$B$30+'Inputs'!$B$31+'Inputs'!$B$32)/1000+'Inputs'!$B$21+'Inputs'!$B$9+'Inputs'!$B$10))/SQRT((((904-43)*MAX('Inputs'!$B$33,'Inputs'!$B$29+'Inputs'!$B$31+'Inputs'!$B$32,'Inputs'!$B$30+'Inputs'!$B$31+'Inputs'!$B$32)/1000+'Inputs'!$B$21+'Inputs'!$B$9+'Inputs'!$B$10))^2+('Inputs'!$B$6/2)^2))))*'Results'!$B$8))),"")</x:f>
        <x:v>0.6452306548445861</x:v>
      </x:c>
      <x:c r="P904" t="n">
        <x:f>IF(AND(MAX(J904,J903)&gt;0,J904&gt;J903+0.00000001),1,0)</x:f>
        <x:v>0</x:v>
      </x:c>
      <x:c r="Q904" t="n">
        <x:f>IF(AND(MAX(K904,K903)&gt;0,K904&gt;K903+0.00000001),1,0)</x:f>
        <x:v>0</x:v>
      </x:c>
      <x:c r="R904" t="n">
        <x:f>IF(AND(MAX(L904,L903)&gt;0,L904&gt;L903+0.00000001),1,0)</x:f>
        <x:v>0</x:v>
      </x:c>
      <x:c r="S904" t="n">
        <x:f>IF(AND(MAX(M904,M903)&gt;0,M904&gt;M903+0.00000001),1,0)</x:f>
        <x:v>0</x:v>
      </x:c>
      <x:c r="T904" t="n">
        <x:f>IF(AND(MAX(N904,N903)&gt;0,N904&gt;N903+0.00000001),1,0)</x:f>
        <x:v>0</x:v>
      </x:c>
      <x:c r="U904" t="n">
        <x:f>IF(AND(MAX(O904,O903)&gt;0,O904&gt;O903+0.00000001),1,0)</x:f>
        <x:v>0</x:v>
      </x:c>
    </x:row>
    <x:row r="905">
      <x:c r="J905" t="n">
        <x:f>IF(AND(ISNUMBER('Results'!B7),ISNUMBER('Results'!C7),ISNUMBER('Results'!$B$8),ISNUMBER('Inputs'!$B$6),ISNUMBER('Inputs'!$B$7),ISNUMBER('Inputs'!$B$8),ISNUMBER('Inputs'!$B$9),ISNUMBER('Inputs'!$B$10),ISNUMBER('Inputs'!$B$21),ISNUMBER('Inputs'!$B$24),ISNUMBER('Inputs'!$B$28)),(('Results'!B7*(0.5*((((905-43)*MAX('Inputs'!$B$33,'Inputs'!$B$29+'Inputs'!$B$31+'Inputs'!$B$32,'Inputs'!$B$30+'Inputs'!$B$31+'Inputs'!$B$32)/1000+'Inputs'!$B$21)+'Inputs'!$B$7)/SQRT((((905-43)*MAX('Inputs'!$B$33,'Inputs'!$B$29+'Inputs'!$B$31+'Inputs'!$B$32,'Inputs'!$B$30+'Inputs'!$B$31+'Inputs'!$B$32)/1000+'Inputs'!$B$21)+'Inputs'!$B$7)^2+('Inputs'!$B$6/2)^2)-(((905-43)*MAX('Inputs'!$B$33,'Inputs'!$B$29+'Inputs'!$B$31+'Inputs'!$B$32,'Inputs'!$B$30+'Inputs'!$B$31+'Inputs'!$B$32)/1000+'Inputs'!$B$21))/SQRT((((905-43)*MAX('Inputs'!$B$33,'Inputs'!$B$29+'Inputs'!$B$31+'Inputs'!$B$32,'Inputs'!$B$30+'Inputs'!$B$31+'Inputs'!$B$32)/1000+'Inputs'!$B$21))^2+('Inputs'!$B$6/2)^2)))-'Results'!C7*(0.5*((((905-43)*MAX('Inputs'!$B$33,'Inputs'!$B$29+'Inputs'!$B$31+'Inputs'!$B$32,'Inputs'!$B$30+'Inputs'!$B$31+'Inputs'!$B$32)/1000+'Inputs'!$B$21+'Inputs'!$B$7+'Inputs'!$B$10)+'Inputs'!$B$9)/SQRT((((905-43)*MAX('Inputs'!$B$33,'Inputs'!$B$29+'Inputs'!$B$31+'Inputs'!$B$32,'Inputs'!$B$30+'Inputs'!$B$31+'Inputs'!$B$32)/1000+'Inputs'!$B$21+'Inputs'!$B$7+'Inputs'!$B$10)+'Inputs'!$B$9)^2+('Inputs'!$B$8/2)^2)-(((905-43)*MAX('Inputs'!$B$33,'Inputs'!$B$29+'Inputs'!$B$31+'Inputs'!$B$32,'Inputs'!$B$30+'Inputs'!$B$31+'Inputs'!$B$32)/1000+'Inputs'!$B$21+'Inputs'!$B$7+'Inputs'!$B$10))/SQRT((((905-43)*MAX('Inputs'!$B$33,'Inputs'!$B$29+'Inputs'!$B$31+'Inputs'!$B$32,'Inputs'!$B$30+'Inputs'!$B$31+'Inputs'!$B$32)/1000+'Inputs'!$B$21+'Inputs'!$B$7+'Inputs'!$B$10))^2+('Inputs'!$B$8/2)^2))))*'Results'!$B$8),"")</x:f>
        <x:v>0.612698421089985</x:v>
      </x:c>
      <x:c r="K905" t="n">
        <x:f>IF(AND(ISNUMBER('Results'!B7),ISNUMBER('Results'!C7),ISNUMBER('Results'!$B$8),ISNUMBER('Inputs'!$B$6),ISNUMBER('Inputs'!$B$7),ISNUMBER('Inputs'!$B$8),ISNUMBER('Inputs'!$B$9),ISNUMBER('Inputs'!$B$10),ISNUMBER('Inputs'!$B$21),ISNUMBER('Inputs'!$B$24),ISNUMBER('Inputs'!$B$28)),((('Results'!B7*(1-'Inputs'!$B$24)*(0.5*((((905-43)*MAX('Inputs'!$B$33,'Inputs'!$B$29+'Inputs'!$B$31+'Inputs'!$B$32,'Inputs'!$B$30+'Inputs'!$B$31+'Inputs'!$B$32)/1000+'Inputs'!$B$21)+'Inputs'!$B$7)/SQRT((((905-43)*MAX('Inputs'!$B$33,'Inputs'!$B$29+'Inputs'!$B$31+'Inputs'!$B$32,'Inputs'!$B$30+'Inputs'!$B$31+'Inputs'!$B$32)/1000+'Inputs'!$B$21)+'Inputs'!$B$7)^2+('Inputs'!$B$6/2)^2)-(((905-43)*MAX('Inputs'!$B$33,'Inputs'!$B$29+'Inputs'!$B$31+'Inputs'!$B$32,'Inputs'!$B$30+'Inputs'!$B$31+'Inputs'!$B$32)/1000+'Inputs'!$B$21))/SQRT((((905-43)*MAX('Inputs'!$B$33,'Inputs'!$B$29+'Inputs'!$B$31+'Inputs'!$B$32,'Inputs'!$B$30+'Inputs'!$B$31+'Inputs'!$B$32)/1000+'Inputs'!$B$21))^2+('Inputs'!$B$6/2)^2)))-'Results'!C7*(1+'Inputs'!$B$24)*(0.5*((((905-43)*MAX('Inputs'!$B$33,'Inputs'!$B$29+'Inputs'!$B$31+'Inputs'!$B$32,'Inputs'!$B$30+'Inputs'!$B$31+'Inputs'!$B$32)/1000+'Inputs'!$B$21+'Inputs'!$B$7+'Inputs'!$B$10)+'Inputs'!$B$9)/SQRT((((905-43)*MAX('Inputs'!$B$33,'Inputs'!$B$29+'Inputs'!$B$31+'Inputs'!$B$32,'Inputs'!$B$30+'Inputs'!$B$31+'Inputs'!$B$32)/1000+'Inputs'!$B$21+'Inputs'!$B$7+'Inputs'!$B$10)+'Inputs'!$B$9)^2+('Inputs'!$B$8/2)^2)-(((905-43)*MAX('Inputs'!$B$33,'Inputs'!$B$29+'Inputs'!$B$31+'Inputs'!$B$32,'Inputs'!$B$30+'Inputs'!$B$31+'Inputs'!$B$32)/1000+'Inputs'!$B$21+'Inputs'!$B$7+'Inputs'!$B$10))/SQRT((((905-43)*MAX('Inputs'!$B$33,'Inputs'!$B$29+'Inputs'!$B$31+'Inputs'!$B$32,'Inputs'!$B$30+'Inputs'!$B$31+'Inputs'!$B$32)/1000+'Inputs'!$B$21+'Inputs'!$B$7+'Inputs'!$B$10))^2+('Inputs'!$B$8/2)^2))))*'Results'!$B$8)-'Inputs'!$B$28*ABS((('Results'!B7*(1-'Inputs'!$B$24)*(0.5*((((905-43)*MAX('Inputs'!$B$33,'Inputs'!$B$29+'Inputs'!$B$31+'Inputs'!$B$32,'Inputs'!$B$30+'Inputs'!$B$31+'Inputs'!$B$32)/1000+'Inputs'!$B$21)+'Inputs'!$B$7)/SQRT((((905-43)*MAX('Inputs'!$B$33,'Inputs'!$B$29+'Inputs'!$B$31+'Inputs'!$B$32,'Inputs'!$B$30+'Inputs'!$B$31+'Inputs'!$B$32)/1000+'Inputs'!$B$21)+'Inputs'!$B$7)^2+('Inputs'!$B$6/2)^2)-(((905-43)*MAX('Inputs'!$B$33,'Inputs'!$B$29+'Inputs'!$B$31+'Inputs'!$B$32,'Inputs'!$B$30+'Inputs'!$B$31+'Inputs'!$B$32)/1000+'Inputs'!$B$21))/SQRT((((905-43)*MAX('Inputs'!$B$33,'Inputs'!$B$29+'Inputs'!$B$31+'Inputs'!$B$32,'Inputs'!$B$30+'Inputs'!$B$31+'Inputs'!$B$32)/1000+'Inputs'!$B$21))^2+('Inputs'!$B$6/2)^2)))-'Results'!C7*(1+'Inputs'!$B$24)*(0.5*((((905-43)*MAX('Inputs'!$B$33,'Inputs'!$B$29+'Inputs'!$B$31+'Inputs'!$B$32,'Inputs'!$B$30+'Inputs'!$B$31+'Inputs'!$B$32)/1000+'Inputs'!$B$21+'Inputs'!$B$7+'Inputs'!$B$10)+'Inputs'!$B$9)/SQRT((((905-43)*MAX('Inputs'!$B$33,'Inputs'!$B$29+'Inputs'!$B$31+'Inputs'!$B$32,'Inputs'!$B$30+'Inputs'!$B$31+'Inputs'!$B$32)/1000+'Inputs'!$B$21+'Inputs'!$B$7+'Inputs'!$B$10)+'Inputs'!$B$9)^2+('Inputs'!$B$8/2)^2)-(((905-43)*MAX('Inputs'!$B$33,'Inputs'!$B$29+'Inputs'!$B$31+'Inputs'!$B$32,'Inputs'!$B$30+'Inputs'!$B$31+'Inputs'!$B$32)/1000+'Inputs'!$B$21+'Inputs'!$B$7+'Inputs'!$B$10))/SQRT((((905-43)*MAX('Inputs'!$B$33,'Inputs'!$B$29+'Inputs'!$B$31+'Inputs'!$B$32,'Inputs'!$B$30+'Inputs'!$B$31+'Inputs'!$B$32)/1000+'Inputs'!$B$21+'Inputs'!$B$7+'Inputs'!$B$10))^2+('Inputs'!$B$8/2)^2))))*'Results'!$B$8))),"")</x:f>
        <x:v>0.520781313710095</x:v>
      </x:c>
      <x:c r="L905" t="n">
        <x:f>IF(AND(ISNUMBER('Results'!B7),ISNUMBER('Results'!C7),ISNUMBER('Results'!$B$8),ISNUMBER('Inputs'!$B$6),ISNUMBER('Inputs'!$B$7),ISNUMBER('Inputs'!$B$8),ISNUMBER('Inputs'!$B$9),ISNUMBER('Inputs'!$B$10),ISNUMBER('Inputs'!$B$21),ISNUMBER('Inputs'!$B$24),ISNUMBER('Inputs'!$B$28)),((('Results'!B7*(1+'Inputs'!$B$24)*(0.5*((((905-43)*MAX('Inputs'!$B$33,'Inputs'!$B$29+'Inputs'!$B$31+'Inputs'!$B$32,'Inputs'!$B$30+'Inputs'!$B$31+'Inputs'!$B$32)/1000+'Inputs'!$B$21)+'Inputs'!$B$7)/SQRT((((905-43)*MAX('Inputs'!$B$33,'Inputs'!$B$29+'Inputs'!$B$31+'Inputs'!$B$32,'Inputs'!$B$30+'Inputs'!$B$31+'Inputs'!$B$32)/1000+'Inputs'!$B$21)+'Inputs'!$B$7)^2+('Inputs'!$B$6/2)^2)-(((905-43)*MAX('Inputs'!$B$33,'Inputs'!$B$29+'Inputs'!$B$31+'Inputs'!$B$32,'Inputs'!$B$30+'Inputs'!$B$31+'Inputs'!$B$32)/1000+'Inputs'!$B$21))/SQRT((((905-43)*MAX('Inputs'!$B$33,'Inputs'!$B$29+'Inputs'!$B$31+'Inputs'!$B$32,'Inputs'!$B$30+'Inputs'!$B$31+'Inputs'!$B$32)/1000+'Inputs'!$B$21))^2+('Inputs'!$B$6/2)^2)))-'Results'!C7*(1-'Inputs'!$B$24)*(0.5*((((905-43)*MAX('Inputs'!$B$33,'Inputs'!$B$29+'Inputs'!$B$31+'Inputs'!$B$32,'Inputs'!$B$30+'Inputs'!$B$31+'Inputs'!$B$32)/1000+'Inputs'!$B$21+'Inputs'!$B$7+'Inputs'!$B$10)+'Inputs'!$B$9)/SQRT((((905-43)*MAX('Inputs'!$B$33,'Inputs'!$B$29+'Inputs'!$B$31+'Inputs'!$B$32,'Inputs'!$B$30+'Inputs'!$B$31+'Inputs'!$B$32)/1000+'Inputs'!$B$21+'Inputs'!$B$7+'Inputs'!$B$10)+'Inputs'!$B$9)^2+('Inputs'!$B$8/2)^2)-(((905-43)*MAX('Inputs'!$B$33,'Inputs'!$B$29+'Inputs'!$B$31+'Inputs'!$B$32,'Inputs'!$B$30+'Inputs'!$B$31+'Inputs'!$B$32)/1000+'Inputs'!$B$21+'Inputs'!$B$7+'Inputs'!$B$10))/SQRT((((905-43)*MAX('Inputs'!$B$33,'Inputs'!$B$29+'Inputs'!$B$31+'Inputs'!$B$32,'Inputs'!$B$30+'Inputs'!$B$31+'Inputs'!$B$32)/1000+'Inputs'!$B$21+'Inputs'!$B$7+'Inputs'!$B$10))^2+('Inputs'!$B$8/2)^2))))*'Results'!$B$8)+'Inputs'!$B$28*ABS((('Results'!B7*(1+'Inputs'!$B$24)*(0.5*((((905-43)*MAX('Inputs'!$B$33,'Inputs'!$B$29+'Inputs'!$B$31+'Inputs'!$B$32,'Inputs'!$B$30+'Inputs'!$B$31+'Inputs'!$B$32)/1000+'Inputs'!$B$21)+'Inputs'!$B$7)/SQRT((((905-43)*MAX('Inputs'!$B$33,'Inputs'!$B$29+'Inputs'!$B$31+'Inputs'!$B$32,'Inputs'!$B$30+'Inputs'!$B$31+'Inputs'!$B$32)/1000+'Inputs'!$B$21)+'Inputs'!$B$7)^2+('Inputs'!$B$6/2)^2)-(((905-43)*MAX('Inputs'!$B$33,'Inputs'!$B$29+'Inputs'!$B$31+'Inputs'!$B$32,'Inputs'!$B$30+'Inputs'!$B$31+'Inputs'!$B$32)/1000+'Inputs'!$B$21))/SQRT((((905-43)*MAX('Inputs'!$B$33,'Inputs'!$B$29+'Inputs'!$B$31+'Inputs'!$B$32,'Inputs'!$B$30+'Inputs'!$B$31+'Inputs'!$B$32)/1000+'Inputs'!$B$21))^2+('Inputs'!$B$6/2)^2)))-'Results'!C7*(1-'Inputs'!$B$24)*(0.5*((((905-43)*MAX('Inputs'!$B$33,'Inputs'!$B$29+'Inputs'!$B$31+'Inputs'!$B$32,'Inputs'!$B$30+'Inputs'!$B$31+'Inputs'!$B$32)/1000+'Inputs'!$B$21+'Inputs'!$B$7+'Inputs'!$B$10)+'Inputs'!$B$9)/SQRT((((905-43)*MAX('Inputs'!$B$33,'Inputs'!$B$29+'Inputs'!$B$31+'Inputs'!$B$32,'Inputs'!$B$30+'Inputs'!$B$31+'Inputs'!$B$32)/1000+'Inputs'!$B$21+'Inputs'!$B$7+'Inputs'!$B$10)+'Inputs'!$B$9)^2+('Inputs'!$B$8/2)^2)-(((905-43)*MAX('Inputs'!$B$33,'Inputs'!$B$29+'Inputs'!$B$31+'Inputs'!$B$32,'Inputs'!$B$30+'Inputs'!$B$31+'Inputs'!$B$32)/1000+'Inputs'!$B$21+'Inputs'!$B$7+'Inputs'!$B$10))/SQRT((((905-43)*MAX('Inputs'!$B$33,'Inputs'!$B$29+'Inputs'!$B$31+'Inputs'!$B$32,'Inputs'!$B$30+'Inputs'!$B$31+'Inputs'!$B$32)/1000+'Inputs'!$B$21+'Inputs'!$B$7+'Inputs'!$B$10))^2+('Inputs'!$B$8/2)^2))))*'Results'!$B$8))),"")</x:f>
        <x:v>0.7110662849251796</x:v>
      </x:c>
      <x:c r="M905" t="n">
        <x:f>IF(AND(ISNUMBER('Results'!C7),ISNUMBER('Results'!B7),ISNUMBER('Results'!$B$8),ISNUMBER('Inputs'!$B$6),ISNUMBER('Inputs'!$B$7),ISNUMBER('Inputs'!$B$8),ISNUMBER('Inputs'!$B$9),ISNUMBER('Inputs'!$B$10),ISNUMBER('Inputs'!$B$21),ISNUMBER('Inputs'!$B$24),ISNUMBER('Inputs'!$B$28)),(('Results'!C7*(0.5*((((905-43)*MAX('Inputs'!$B$33,'Inputs'!$B$29+'Inputs'!$B$31+'Inputs'!$B$32,'Inputs'!$B$30+'Inputs'!$B$31+'Inputs'!$B$32)/1000+'Inputs'!$B$21)+'Inputs'!$B$9)/SQRT((((905-43)*MAX('Inputs'!$B$33,'Inputs'!$B$29+'Inputs'!$B$31+'Inputs'!$B$32,'Inputs'!$B$30+'Inputs'!$B$31+'Inputs'!$B$32)/1000+'Inputs'!$B$21)+'Inputs'!$B$9)^2+('Inputs'!$B$8/2)^2)-(((905-43)*MAX('Inputs'!$B$33,'Inputs'!$B$29+'Inputs'!$B$31+'Inputs'!$B$32,'Inputs'!$B$30+'Inputs'!$B$31+'Inputs'!$B$32)/1000+'Inputs'!$B$21))/SQRT((((905-43)*MAX('Inputs'!$B$33,'Inputs'!$B$29+'Inputs'!$B$31+'Inputs'!$B$32,'Inputs'!$B$30+'Inputs'!$B$31+'Inputs'!$B$32)/1000+'Inputs'!$B$21))^2+('Inputs'!$B$8/2)^2)))-'Results'!B7*(0.5*((((905-43)*MAX('Inputs'!$B$33,'Inputs'!$B$29+'Inputs'!$B$31+'Inputs'!$B$32,'Inputs'!$B$30+'Inputs'!$B$31+'Inputs'!$B$32)/1000+'Inputs'!$B$21+'Inputs'!$B$9+'Inputs'!$B$10)+'Inputs'!$B$7)/SQRT((((905-43)*MAX('Inputs'!$B$33,'Inputs'!$B$29+'Inputs'!$B$31+'Inputs'!$B$32,'Inputs'!$B$30+'Inputs'!$B$31+'Inputs'!$B$32)/1000+'Inputs'!$B$21+'Inputs'!$B$9+'Inputs'!$B$10)+'Inputs'!$B$7)^2+('Inputs'!$B$6/2)^2)-(((905-43)*MAX('Inputs'!$B$33,'Inputs'!$B$29+'Inputs'!$B$31+'Inputs'!$B$32,'Inputs'!$B$30+'Inputs'!$B$31+'Inputs'!$B$32)/1000+'Inputs'!$B$21+'Inputs'!$B$9+'Inputs'!$B$10))/SQRT((((905-43)*MAX('Inputs'!$B$33,'Inputs'!$B$29+'Inputs'!$B$31+'Inputs'!$B$32,'Inputs'!$B$30+'Inputs'!$B$31+'Inputs'!$B$32)/1000+'Inputs'!$B$21+'Inputs'!$B$9+'Inputs'!$B$10))^2+('Inputs'!$B$6/2)^2))))*'Results'!$B$8),"")</x:f>
        <x:v>0.5476576565764192</x:v>
      </x:c>
      <x:c r="N905" t="n">
        <x:f>IF(AND(ISNUMBER('Results'!C7),ISNUMBER('Results'!B7),ISNUMBER('Results'!$B$8),ISNUMBER('Inputs'!$B$6),ISNUMBER('Inputs'!$B$7),ISNUMBER('Inputs'!$B$8),ISNUMBER('Inputs'!$B$9),ISNUMBER('Inputs'!$B$10),ISNUMBER('Inputs'!$B$21),ISNUMBER('Inputs'!$B$24),ISNUMBER('Inputs'!$B$28)),((('Results'!C7*(1-'Inputs'!$B$24)*(0.5*((((905-43)*MAX('Inputs'!$B$33,'Inputs'!$B$29+'Inputs'!$B$31+'Inputs'!$B$32,'Inputs'!$B$30+'Inputs'!$B$31+'Inputs'!$B$32)/1000+'Inputs'!$B$21)+'Inputs'!$B$9)/SQRT((((905-43)*MAX('Inputs'!$B$33,'Inputs'!$B$29+'Inputs'!$B$31+'Inputs'!$B$32,'Inputs'!$B$30+'Inputs'!$B$31+'Inputs'!$B$32)/1000+'Inputs'!$B$21)+'Inputs'!$B$9)^2+('Inputs'!$B$8/2)^2)-(((905-43)*MAX('Inputs'!$B$33,'Inputs'!$B$29+'Inputs'!$B$31+'Inputs'!$B$32,'Inputs'!$B$30+'Inputs'!$B$31+'Inputs'!$B$32)/1000+'Inputs'!$B$21))/SQRT((((905-43)*MAX('Inputs'!$B$33,'Inputs'!$B$29+'Inputs'!$B$31+'Inputs'!$B$32,'Inputs'!$B$30+'Inputs'!$B$31+'Inputs'!$B$32)/1000+'Inputs'!$B$21))^2+('Inputs'!$B$8/2)^2)))-'Results'!B7*(1+'Inputs'!$B$24)*(0.5*((((905-43)*MAX('Inputs'!$B$33,'Inputs'!$B$29+'Inputs'!$B$31+'Inputs'!$B$32,'Inputs'!$B$30+'Inputs'!$B$31+'Inputs'!$B$32)/1000+'Inputs'!$B$21+'Inputs'!$B$9+'Inputs'!$B$10)+'Inputs'!$B$7)/SQRT((((905-43)*MAX('Inputs'!$B$33,'Inputs'!$B$29+'Inputs'!$B$31+'Inputs'!$B$32,'Inputs'!$B$30+'Inputs'!$B$31+'Inputs'!$B$32)/1000+'Inputs'!$B$21+'Inputs'!$B$9+'Inputs'!$B$10)+'Inputs'!$B$7)^2+('Inputs'!$B$6/2)^2)-(((905-43)*MAX('Inputs'!$B$33,'Inputs'!$B$29+'Inputs'!$B$31+'Inputs'!$B$32,'Inputs'!$B$30+'Inputs'!$B$31+'Inputs'!$B$32)/1000+'Inputs'!$B$21+'Inputs'!$B$9+'Inputs'!$B$10))/SQRT((((905-43)*MAX('Inputs'!$B$33,'Inputs'!$B$29+'Inputs'!$B$31+'Inputs'!$B$32,'Inputs'!$B$30+'Inputs'!$B$31+'Inputs'!$B$32)/1000+'Inputs'!$B$21+'Inputs'!$B$9+'Inputs'!$B$10))^2+('Inputs'!$B$6/2)^2))))*'Results'!$B$8)-'Inputs'!$B$28*ABS((('Results'!C7*(1-'Inputs'!$B$24)*(0.5*((((905-43)*MAX('Inputs'!$B$33,'Inputs'!$B$29+'Inputs'!$B$31+'Inputs'!$B$32,'Inputs'!$B$30+'Inputs'!$B$31+'Inputs'!$B$32)/1000+'Inputs'!$B$21)+'Inputs'!$B$9)/SQRT((((905-43)*MAX('Inputs'!$B$33,'Inputs'!$B$29+'Inputs'!$B$31+'Inputs'!$B$32,'Inputs'!$B$30+'Inputs'!$B$31+'Inputs'!$B$32)/1000+'Inputs'!$B$21)+'Inputs'!$B$9)^2+('Inputs'!$B$8/2)^2)-(((905-43)*MAX('Inputs'!$B$33,'Inputs'!$B$29+'Inputs'!$B$31+'Inputs'!$B$32,'Inputs'!$B$30+'Inputs'!$B$31+'Inputs'!$B$32)/1000+'Inputs'!$B$21))/SQRT((((905-43)*MAX('Inputs'!$B$33,'Inputs'!$B$29+'Inputs'!$B$31+'Inputs'!$B$32,'Inputs'!$B$30+'Inputs'!$B$31+'Inputs'!$B$32)/1000+'Inputs'!$B$21))^2+('Inputs'!$B$8/2)^2)))-'Results'!B7*(1+'Inputs'!$B$24)*(0.5*((((905-43)*MAX('Inputs'!$B$33,'Inputs'!$B$29+'Inputs'!$B$31+'Inputs'!$B$32,'Inputs'!$B$30+'Inputs'!$B$31+'Inputs'!$B$32)/1000+'Inputs'!$B$21+'Inputs'!$B$9+'Inputs'!$B$10)+'Inputs'!$B$7)/SQRT((((905-43)*MAX('Inputs'!$B$33,'Inputs'!$B$29+'Inputs'!$B$31+'Inputs'!$B$32,'Inputs'!$B$30+'Inputs'!$B$31+'Inputs'!$B$32)/1000+'Inputs'!$B$21+'Inputs'!$B$9+'Inputs'!$B$10)+'Inputs'!$B$7)^2+('Inputs'!$B$6/2)^2)-(((905-43)*MAX('Inputs'!$B$33,'Inputs'!$B$29+'Inputs'!$B$31+'Inputs'!$B$32,'Inputs'!$B$30+'Inputs'!$B$31+'Inputs'!$B$32)/1000+'Inputs'!$B$21+'Inputs'!$B$9+'Inputs'!$B$10))/SQRT((((905-43)*MAX('Inputs'!$B$33,'Inputs'!$B$29+'Inputs'!$B$31+'Inputs'!$B$32,'Inputs'!$B$30+'Inputs'!$B$31+'Inputs'!$B$32)/1000+'Inputs'!$B$21+'Inputs'!$B$9+'Inputs'!$B$10))^2+('Inputs'!$B$6/2)^2))))*'Results'!$B$8))),"")</x:f>
        <x:v>0.4592152820229714</x:v>
      </x:c>
      <x:c r="O905" t="n">
        <x:f>IF(AND(ISNUMBER('Results'!C7),ISNUMBER('Results'!B7),ISNUMBER('Results'!$B$8),ISNUMBER('Inputs'!$B$6),ISNUMBER('Inputs'!$B$7),ISNUMBER('Inputs'!$B$8),ISNUMBER('Inputs'!$B$9),ISNUMBER('Inputs'!$B$10),ISNUMBER('Inputs'!$B$21),ISNUMBER('Inputs'!$B$24),ISNUMBER('Inputs'!$B$28)),((('Results'!C7*(1+'Inputs'!$B$24)*(0.5*((((905-43)*MAX('Inputs'!$B$33,'Inputs'!$B$29+'Inputs'!$B$31+'Inputs'!$B$32,'Inputs'!$B$30+'Inputs'!$B$31+'Inputs'!$B$32)/1000+'Inputs'!$B$21)+'Inputs'!$B$9)/SQRT((((905-43)*MAX('Inputs'!$B$33,'Inputs'!$B$29+'Inputs'!$B$31+'Inputs'!$B$32,'Inputs'!$B$30+'Inputs'!$B$31+'Inputs'!$B$32)/1000+'Inputs'!$B$21)+'Inputs'!$B$9)^2+('Inputs'!$B$8/2)^2)-(((905-43)*MAX('Inputs'!$B$33,'Inputs'!$B$29+'Inputs'!$B$31+'Inputs'!$B$32,'Inputs'!$B$30+'Inputs'!$B$31+'Inputs'!$B$32)/1000+'Inputs'!$B$21))/SQRT((((905-43)*MAX('Inputs'!$B$33,'Inputs'!$B$29+'Inputs'!$B$31+'Inputs'!$B$32,'Inputs'!$B$30+'Inputs'!$B$31+'Inputs'!$B$32)/1000+'Inputs'!$B$21))^2+('Inputs'!$B$8/2)^2)))-'Results'!B7*(1-'Inputs'!$B$24)*(0.5*((((905-43)*MAX('Inputs'!$B$33,'Inputs'!$B$29+'Inputs'!$B$31+'Inputs'!$B$32,'Inputs'!$B$30+'Inputs'!$B$31+'Inputs'!$B$32)/1000+'Inputs'!$B$21+'Inputs'!$B$9+'Inputs'!$B$10)+'Inputs'!$B$7)/SQRT((((905-43)*MAX('Inputs'!$B$33,'Inputs'!$B$29+'Inputs'!$B$31+'Inputs'!$B$32,'Inputs'!$B$30+'Inputs'!$B$31+'Inputs'!$B$32)/1000+'Inputs'!$B$21+'Inputs'!$B$9+'Inputs'!$B$10)+'Inputs'!$B$7)^2+('Inputs'!$B$6/2)^2)-(((905-43)*MAX('Inputs'!$B$33,'Inputs'!$B$29+'Inputs'!$B$31+'Inputs'!$B$32,'Inputs'!$B$30+'Inputs'!$B$31+'Inputs'!$B$32)/1000+'Inputs'!$B$21+'Inputs'!$B$9+'Inputs'!$B$10))/SQRT((((905-43)*MAX('Inputs'!$B$33,'Inputs'!$B$29+'Inputs'!$B$31+'Inputs'!$B$32,'Inputs'!$B$30+'Inputs'!$B$31+'Inputs'!$B$32)/1000+'Inputs'!$B$21+'Inputs'!$B$9+'Inputs'!$B$10))^2+('Inputs'!$B$6/2)^2))))*'Results'!$B$8)+'Inputs'!$B$28*ABS((('Results'!C7*(1+'Inputs'!$B$24)*(0.5*((((905-43)*MAX('Inputs'!$B$33,'Inputs'!$B$29+'Inputs'!$B$31+'Inputs'!$B$32,'Inputs'!$B$30+'Inputs'!$B$31+'Inputs'!$B$32)/1000+'Inputs'!$B$21)+'Inputs'!$B$9)/SQRT((((905-43)*MAX('Inputs'!$B$33,'Inputs'!$B$29+'Inputs'!$B$31+'Inputs'!$B$32,'Inputs'!$B$30+'Inputs'!$B$31+'Inputs'!$B$32)/1000+'Inputs'!$B$21)+'Inputs'!$B$9)^2+('Inputs'!$B$8/2)^2)-(((905-43)*MAX('Inputs'!$B$33,'Inputs'!$B$29+'Inputs'!$B$31+'Inputs'!$B$32,'Inputs'!$B$30+'Inputs'!$B$31+'Inputs'!$B$32)/1000+'Inputs'!$B$21))/SQRT((((905-43)*MAX('Inputs'!$B$33,'Inputs'!$B$29+'Inputs'!$B$31+'Inputs'!$B$32,'Inputs'!$B$30+'Inputs'!$B$31+'Inputs'!$B$32)/1000+'Inputs'!$B$21))^2+('Inputs'!$B$8/2)^2)))-'Results'!B7*(1-'Inputs'!$B$24)*(0.5*((((905-43)*MAX('Inputs'!$B$33,'Inputs'!$B$29+'Inputs'!$B$31+'Inputs'!$B$32,'Inputs'!$B$30+'Inputs'!$B$31+'Inputs'!$B$32)/1000+'Inputs'!$B$21+'Inputs'!$B$9+'Inputs'!$B$10)+'Inputs'!$B$7)/SQRT((((905-43)*MAX('Inputs'!$B$33,'Inputs'!$B$29+'Inputs'!$B$31+'Inputs'!$B$32,'Inputs'!$B$30+'Inputs'!$B$31+'Inputs'!$B$32)/1000+'Inputs'!$B$21+'Inputs'!$B$9+'Inputs'!$B$10)+'Inputs'!$B$7)^2+('Inputs'!$B$6/2)^2)-(((905-43)*MAX('Inputs'!$B$33,'Inputs'!$B$29+'Inputs'!$B$31+'Inputs'!$B$32,'Inputs'!$B$30+'Inputs'!$B$31+'Inputs'!$B$32)/1000+'Inputs'!$B$21+'Inputs'!$B$9+'Inputs'!$B$10))/SQRT((((905-43)*MAX('Inputs'!$B$33,'Inputs'!$B$29+'Inputs'!$B$31+'Inputs'!$B$32,'Inputs'!$B$30+'Inputs'!$B$31+'Inputs'!$B$32)/1000+'Inputs'!$B$21+'Inputs'!$B$9+'Inputs'!$B$10))^2+('Inputs'!$B$6/2)^2))))*'Results'!$B$8))),"")</x:f>
        <x:v>0.6425273460482486</x:v>
      </x:c>
      <x:c r="P905" t="n">
        <x:f>IF(AND(MAX(J905,J904)&gt;0,J905&gt;J904+0.00000001),1,0)</x:f>
        <x:v>0</x:v>
      </x:c>
      <x:c r="Q905" t="n">
        <x:f>IF(AND(MAX(K905,K904)&gt;0,K905&gt;K904+0.00000001),1,0)</x:f>
        <x:v>0</x:v>
      </x:c>
      <x:c r="R905" t="n">
        <x:f>IF(AND(MAX(L905,L904)&gt;0,L905&gt;L904+0.00000001),1,0)</x:f>
        <x:v>0</x:v>
      </x:c>
      <x:c r="S905" t="n">
        <x:f>IF(AND(MAX(M905,M904)&gt;0,M905&gt;M904+0.00000001),1,0)</x:f>
        <x:v>0</x:v>
      </x:c>
      <x:c r="T905" t="n">
        <x:f>IF(AND(MAX(N905,N904)&gt;0,N905&gt;N904+0.00000001),1,0)</x:f>
        <x:v>0</x:v>
      </x:c>
      <x:c r="U905" t="n">
        <x:f>IF(AND(MAX(O905,O904)&gt;0,O905&gt;O904+0.00000001),1,0)</x:f>
        <x:v>0</x:v>
      </x:c>
    </x:row>
    <x:row r="906">
      <x:c r="J906" t="n">
        <x:f>IF(AND(ISNUMBER('Results'!B7),ISNUMBER('Results'!C7),ISNUMBER('Results'!$B$8),ISNUMBER('Inputs'!$B$6),ISNUMBER('Inputs'!$B$7),ISNUMBER('Inputs'!$B$8),ISNUMBER('Inputs'!$B$9),ISNUMBER('Inputs'!$B$10),ISNUMBER('Inputs'!$B$21),ISNUMBER('Inputs'!$B$24),ISNUMBER('Inputs'!$B$28)),(('Results'!B7*(0.5*((((906-43)*MAX('Inputs'!$B$33,'Inputs'!$B$29+'Inputs'!$B$31+'Inputs'!$B$32,'Inputs'!$B$30+'Inputs'!$B$31+'Inputs'!$B$32)/1000+'Inputs'!$B$21)+'Inputs'!$B$7)/SQRT((((906-43)*MAX('Inputs'!$B$33,'Inputs'!$B$29+'Inputs'!$B$31+'Inputs'!$B$32,'Inputs'!$B$30+'Inputs'!$B$31+'Inputs'!$B$32)/1000+'Inputs'!$B$21)+'Inputs'!$B$7)^2+('Inputs'!$B$6/2)^2)-(((906-43)*MAX('Inputs'!$B$33,'Inputs'!$B$29+'Inputs'!$B$31+'Inputs'!$B$32,'Inputs'!$B$30+'Inputs'!$B$31+'Inputs'!$B$32)/1000+'Inputs'!$B$21))/SQRT((((906-43)*MAX('Inputs'!$B$33,'Inputs'!$B$29+'Inputs'!$B$31+'Inputs'!$B$32,'Inputs'!$B$30+'Inputs'!$B$31+'Inputs'!$B$32)/1000+'Inputs'!$B$21))^2+('Inputs'!$B$6/2)^2)))-'Results'!C7*(0.5*((((906-43)*MAX('Inputs'!$B$33,'Inputs'!$B$29+'Inputs'!$B$31+'Inputs'!$B$32,'Inputs'!$B$30+'Inputs'!$B$31+'Inputs'!$B$32)/1000+'Inputs'!$B$21+'Inputs'!$B$7+'Inputs'!$B$10)+'Inputs'!$B$9)/SQRT((((906-43)*MAX('Inputs'!$B$33,'Inputs'!$B$29+'Inputs'!$B$31+'Inputs'!$B$32,'Inputs'!$B$30+'Inputs'!$B$31+'Inputs'!$B$32)/1000+'Inputs'!$B$21+'Inputs'!$B$7+'Inputs'!$B$10)+'Inputs'!$B$9)^2+('Inputs'!$B$8/2)^2)-(((906-43)*MAX('Inputs'!$B$33,'Inputs'!$B$29+'Inputs'!$B$31+'Inputs'!$B$32,'Inputs'!$B$30+'Inputs'!$B$31+'Inputs'!$B$32)/1000+'Inputs'!$B$21+'Inputs'!$B$7+'Inputs'!$B$10))/SQRT((((906-43)*MAX('Inputs'!$B$33,'Inputs'!$B$29+'Inputs'!$B$31+'Inputs'!$B$32,'Inputs'!$B$30+'Inputs'!$B$31+'Inputs'!$B$32)/1000+'Inputs'!$B$21+'Inputs'!$B$7+'Inputs'!$B$10))^2+('Inputs'!$B$8/2)^2))))*'Results'!$B$8),"")</x:f>
        <x:v>0.6101347857249189</x:v>
      </x:c>
      <x:c r="K906" t="n">
        <x:f>IF(AND(ISNUMBER('Results'!B7),ISNUMBER('Results'!C7),ISNUMBER('Results'!$B$8),ISNUMBER('Inputs'!$B$6),ISNUMBER('Inputs'!$B$7),ISNUMBER('Inputs'!$B$8),ISNUMBER('Inputs'!$B$9),ISNUMBER('Inputs'!$B$10),ISNUMBER('Inputs'!$B$21),ISNUMBER('Inputs'!$B$24),ISNUMBER('Inputs'!$B$28)),((('Results'!B7*(1-'Inputs'!$B$24)*(0.5*((((906-43)*MAX('Inputs'!$B$33,'Inputs'!$B$29+'Inputs'!$B$31+'Inputs'!$B$32,'Inputs'!$B$30+'Inputs'!$B$31+'Inputs'!$B$32)/1000+'Inputs'!$B$21)+'Inputs'!$B$7)/SQRT((((906-43)*MAX('Inputs'!$B$33,'Inputs'!$B$29+'Inputs'!$B$31+'Inputs'!$B$32,'Inputs'!$B$30+'Inputs'!$B$31+'Inputs'!$B$32)/1000+'Inputs'!$B$21)+'Inputs'!$B$7)^2+('Inputs'!$B$6/2)^2)-(((906-43)*MAX('Inputs'!$B$33,'Inputs'!$B$29+'Inputs'!$B$31+'Inputs'!$B$32,'Inputs'!$B$30+'Inputs'!$B$31+'Inputs'!$B$32)/1000+'Inputs'!$B$21))/SQRT((((906-43)*MAX('Inputs'!$B$33,'Inputs'!$B$29+'Inputs'!$B$31+'Inputs'!$B$32,'Inputs'!$B$30+'Inputs'!$B$31+'Inputs'!$B$32)/1000+'Inputs'!$B$21))^2+('Inputs'!$B$6/2)^2)))-'Results'!C7*(1+'Inputs'!$B$24)*(0.5*((((906-43)*MAX('Inputs'!$B$33,'Inputs'!$B$29+'Inputs'!$B$31+'Inputs'!$B$32,'Inputs'!$B$30+'Inputs'!$B$31+'Inputs'!$B$32)/1000+'Inputs'!$B$21+'Inputs'!$B$7+'Inputs'!$B$10)+'Inputs'!$B$9)/SQRT((((906-43)*MAX('Inputs'!$B$33,'Inputs'!$B$29+'Inputs'!$B$31+'Inputs'!$B$32,'Inputs'!$B$30+'Inputs'!$B$31+'Inputs'!$B$32)/1000+'Inputs'!$B$21+'Inputs'!$B$7+'Inputs'!$B$10)+'Inputs'!$B$9)^2+('Inputs'!$B$8/2)^2)-(((906-43)*MAX('Inputs'!$B$33,'Inputs'!$B$29+'Inputs'!$B$31+'Inputs'!$B$32,'Inputs'!$B$30+'Inputs'!$B$31+'Inputs'!$B$32)/1000+'Inputs'!$B$21+'Inputs'!$B$7+'Inputs'!$B$10))/SQRT((((906-43)*MAX('Inputs'!$B$33,'Inputs'!$B$29+'Inputs'!$B$31+'Inputs'!$B$32,'Inputs'!$B$30+'Inputs'!$B$31+'Inputs'!$B$32)/1000+'Inputs'!$B$21+'Inputs'!$B$7+'Inputs'!$B$10))^2+('Inputs'!$B$8/2)^2))))*'Results'!$B$8)-'Inputs'!$B$28*ABS((('Results'!B7*(1-'Inputs'!$B$24)*(0.5*((((906-43)*MAX('Inputs'!$B$33,'Inputs'!$B$29+'Inputs'!$B$31+'Inputs'!$B$32,'Inputs'!$B$30+'Inputs'!$B$31+'Inputs'!$B$32)/1000+'Inputs'!$B$21)+'Inputs'!$B$7)/SQRT((((906-43)*MAX('Inputs'!$B$33,'Inputs'!$B$29+'Inputs'!$B$31+'Inputs'!$B$32,'Inputs'!$B$30+'Inputs'!$B$31+'Inputs'!$B$32)/1000+'Inputs'!$B$21)+'Inputs'!$B$7)^2+('Inputs'!$B$6/2)^2)-(((906-43)*MAX('Inputs'!$B$33,'Inputs'!$B$29+'Inputs'!$B$31+'Inputs'!$B$32,'Inputs'!$B$30+'Inputs'!$B$31+'Inputs'!$B$32)/1000+'Inputs'!$B$21))/SQRT((((906-43)*MAX('Inputs'!$B$33,'Inputs'!$B$29+'Inputs'!$B$31+'Inputs'!$B$32,'Inputs'!$B$30+'Inputs'!$B$31+'Inputs'!$B$32)/1000+'Inputs'!$B$21))^2+('Inputs'!$B$6/2)^2)))-'Results'!C7*(1+'Inputs'!$B$24)*(0.5*((((906-43)*MAX('Inputs'!$B$33,'Inputs'!$B$29+'Inputs'!$B$31+'Inputs'!$B$32,'Inputs'!$B$30+'Inputs'!$B$31+'Inputs'!$B$32)/1000+'Inputs'!$B$21+'Inputs'!$B$7+'Inputs'!$B$10)+'Inputs'!$B$9)/SQRT((((906-43)*MAX('Inputs'!$B$33,'Inputs'!$B$29+'Inputs'!$B$31+'Inputs'!$B$32,'Inputs'!$B$30+'Inputs'!$B$31+'Inputs'!$B$32)/1000+'Inputs'!$B$21+'Inputs'!$B$7+'Inputs'!$B$10)+'Inputs'!$B$9)^2+('Inputs'!$B$8/2)^2)-(((906-43)*MAX('Inputs'!$B$33,'Inputs'!$B$29+'Inputs'!$B$31+'Inputs'!$B$32,'Inputs'!$B$30+'Inputs'!$B$31+'Inputs'!$B$32)/1000+'Inputs'!$B$21+'Inputs'!$B$7+'Inputs'!$B$10))/SQRT((((906-43)*MAX('Inputs'!$B$33,'Inputs'!$B$29+'Inputs'!$B$31+'Inputs'!$B$32,'Inputs'!$B$30+'Inputs'!$B$31+'Inputs'!$B$32)/1000+'Inputs'!$B$21+'Inputs'!$B$7+'Inputs'!$B$10))^2+('Inputs'!$B$8/2)^2))))*'Results'!$B$8))),"")</x:f>
        <x:v>0.5185428494604095</x:v>
      </x:c>
      <x:c r="L906" t="n">
        <x:f>IF(AND(ISNUMBER('Results'!B7),ISNUMBER('Results'!C7),ISNUMBER('Results'!$B$8),ISNUMBER('Inputs'!$B$6),ISNUMBER('Inputs'!$B$7),ISNUMBER('Inputs'!$B$8),ISNUMBER('Inputs'!$B$9),ISNUMBER('Inputs'!$B$10),ISNUMBER('Inputs'!$B$21),ISNUMBER('Inputs'!$B$24),ISNUMBER('Inputs'!$B$28)),((('Results'!B7*(1+'Inputs'!$B$24)*(0.5*((((906-43)*MAX('Inputs'!$B$33,'Inputs'!$B$29+'Inputs'!$B$31+'Inputs'!$B$32,'Inputs'!$B$30+'Inputs'!$B$31+'Inputs'!$B$32)/1000+'Inputs'!$B$21)+'Inputs'!$B$7)/SQRT((((906-43)*MAX('Inputs'!$B$33,'Inputs'!$B$29+'Inputs'!$B$31+'Inputs'!$B$32,'Inputs'!$B$30+'Inputs'!$B$31+'Inputs'!$B$32)/1000+'Inputs'!$B$21)+'Inputs'!$B$7)^2+('Inputs'!$B$6/2)^2)-(((906-43)*MAX('Inputs'!$B$33,'Inputs'!$B$29+'Inputs'!$B$31+'Inputs'!$B$32,'Inputs'!$B$30+'Inputs'!$B$31+'Inputs'!$B$32)/1000+'Inputs'!$B$21))/SQRT((((906-43)*MAX('Inputs'!$B$33,'Inputs'!$B$29+'Inputs'!$B$31+'Inputs'!$B$32,'Inputs'!$B$30+'Inputs'!$B$31+'Inputs'!$B$32)/1000+'Inputs'!$B$21))^2+('Inputs'!$B$6/2)^2)))-'Results'!C7*(1-'Inputs'!$B$24)*(0.5*((((906-43)*MAX('Inputs'!$B$33,'Inputs'!$B$29+'Inputs'!$B$31+'Inputs'!$B$32,'Inputs'!$B$30+'Inputs'!$B$31+'Inputs'!$B$32)/1000+'Inputs'!$B$21+'Inputs'!$B$7+'Inputs'!$B$10)+'Inputs'!$B$9)/SQRT((((906-43)*MAX('Inputs'!$B$33,'Inputs'!$B$29+'Inputs'!$B$31+'Inputs'!$B$32,'Inputs'!$B$30+'Inputs'!$B$31+'Inputs'!$B$32)/1000+'Inputs'!$B$21+'Inputs'!$B$7+'Inputs'!$B$10)+'Inputs'!$B$9)^2+('Inputs'!$B$8/2)^2)-(((906-43)*MAX('Inputs'!$B$33,'Inputs'!$B$29+'Inputs'!$B$31+'Inputs'!$B$32,'Inputs'!$B$30+'Inputs'!$B$31+'Inputs'!$B$32)/1000+'Inputs'!$B$21+'Inputs'!$B$7+'Inputs'!$B$10))/SQRT((((906-43)*MAX('Inputs'!$B$33,'Inputs'!$B$29+'Inputs'!$B$31+'Inputs'!$B$32,'Inputs'!$B$30+'Inputs'!$B$31+'Inputs'!$B$32)/1000+'Inputs'!$B$21+'Inputs'!$B$7+'Inputs'!$B$10))^2+('Inputs'!$B$8/2)^2))))*'Results'!$B$8)+'Inputs'!$B$28*ABS((('Results'!B7*(1+'Inputs'!$B$24)*(0.5*((((906-43)*MAX('Inputs'!$B$33,'Inputs'!$B$29+'Inputs'!$B$31+'Inputs'!$B$32,'Inputs'!$B$30+'Inputs'!$B$31+'Inputs'!$B$32)/1000+'Inputs'!$B$21)+'Inputs'!$B$7)/SQRT((((906-43)*MAX('Inputs'!$B$33,'Inputs'!$B$29+'Inputs'!$B$31+'Inputs'!$B$32,'Inputs'!$B$30+'Inputs'!$B$31+'Inputs'!$B$32)/1000+'Inputs'!$B$21)+'Inputs'!$B$7)^2+('Inputs'!$B$6/2)^2)-(((906-43)*MAX('Inputs'!$B$33,'Inputs'!$B$29+'Inputs'!$B$31+'Inputs'!$B$32,'Inputs'!$B$30+'Inputs'!$B$31+'Inputs'!$B$32)/1000+'Inputs'!$B$21))/SQRT((((906-43)*MAX('Inputs'!$B$33,'Inputs'!$B$29+'Inputs'!$B$31+'Inputs'!$B$32,'Inputs'!$B$30+'Inputs'!$B$31+'Inputs'!$B$32)/1000+'Inputs'!$B$21))^2+('Inputs'!$B$6/2)^2)))-'Results'!C7*(1-'Inputs'!$B$24)*(0.5*((((906-43)*MAX('Inputs'!$B$33,'Inputs'!$B$29+'Inputs'!$B$31+'Inputs'!$B$32,'Inputs'!$B$30+'Inputs'!$B$31+'Inputs'!$B$32)/1000+'Inputs'!$B$21+'Inputs'!$B$7+'Inputs'!$B$10)+'Inputs'!$B$9)/SQRT((((906-43)*MAX('Inputs'!$B$33,'Inputs'!$B$29+'Inputs'!$B$31+'Inputs'!$B$32,'Inputs'!$B$30+'Inputs'!$B$31+'Inputs'!$B$32)/1000+'Inputs'!$B$21+'Inputs'!$B$7+'Inputs'!$B$10)+'Inputs'!$B$9)^2+('Inputs'!$B$8/2)^2)-(((906-43)*MAX('Inputs'!$B$33,'Inputs'!$B$29+'Inputs'!$B$31+'Inputs'!$B$32,'Inputs'!$B$30+'Inputs'!$B$31+'Inputs'!$B$32)/1000+'Inputs'!$B$21+'Inputs'!$B$7+'Inputs'!$B$10))/SQRT((((906-43)*MAX('Inputs'!$B$33,'Inputs'!$B$29+'Inputs'!$B$31+'Inputs'!$B$32,'Inputs'!$B$30+'Inputs'!$B$31+'Inputs'!$B$32)/1000+'Inputs'!$B$21+'Inputs'!$B$7+'Inputs'!$B$10))^2+('Inputs'!$B$8/2)^2))))*'Results'!$B$8))),"")</x:f>
        <x:v>0.7081567427239823</x:v>
      </x:c>
      <x:c r="M906" t="n">
        <x:f>IF(AND(ISNUMBER('Results'!C7),ISNUMBER('Results'!B7),ISNUMBER('Results'!$B$8),ISNUMBER('Inputs'!$B$6),ISNUMBER('Inputs'!$B$7),ISNUMBER('Inputs'!$B$8),ISNUMBER('Inputs'!$B$9),ISNUMBER('Inputs'!$B$10),ISNUMBER('Inputs'!$B$21),ISNUMBER('Inputs'!$B$24),ISNUMBER('Inputs'!$B$28)),(('Results'!C7*(0.5*((((906-43)*MAX('Inputs'!$B$33,'Inputs'!$B$29+'Inputs'!$B$31+'Inputs'!$B$32,'Inputs'!$B$30+'Inputs'!$B$31+'Inputs'!$B$32)/1000+'Inputs'!$B$21)+'Inputs'!$B$9)/SQRT((((906-43)*MAX('Inputs'!$B$33,'Inputs'!$B$29+'Inputs'!$B$31+'Inputs'!$B$32,'Inputs'!$B$30+'Inputs'!$B$31+'Inputs'!$B$32)/1000+'Inputs'!$B$21)+'Inputs'!$B$9)^2+('Inputs'!$B$8/2)^2)-(((906-43)*MAX('Inputs'!$B$33,'Inputs'!$B$29+'Inputs'!$B$31+'Inputs'!$B$32,'Inputs'!$B$30+'Inputs'!$B$31+'Inputs'!$B$32)/1000+'Inputs'!$B$21))/SQRT((((906-43)*MAX('Inputs'!$B$33,'Inputs'!$B$29+'Inputs'!$B$31+'Inputs'!$B$32,'Inputs'!$B$30+'Inputs'!$B$31+'Inputs'!$B$32)/1000+'Inputs'!$B$21))^2+('Inputs'!$B$8/2)^2)))-'Results'!B7*(0.5*((((906-43)*MAX('Inputs'!$B$33,'Inputs'!$B$29+'Inputs'!$B$31+'Inputs'!$B$32,'Inputs'!$B$30+'Inputs'!$B$31+'Inputs'!$B$32)/1000+'Inputs'!$B$21+'Inputs'!$B$9+'Inputs'!$B$10)+'Inputs'!$B$7)/SQRT((((906-43)*MAX('Inputs'!$B$33,'Inputs'!$B$29+'Inputs'!$B$31+'Inputs'!$B$32,'Inputs'!$B$30+'Inputs'!$B$31+'Inputs'!$B$32)/1000+'Inputs'!$B$21+'Inputs'!$B$9+'Inputs'!$B$10)+'Inputs'!$B$7)^2+('Inputs'!$B$6/2)^2)-(((906-43)*MAX('Inputs'!$B$33,'Inputs'!$B$29+'Inputs'!$B$31+'Inputs'!$B$32,'Inputs'!$B$30+'Inputs'!$B$31+'Inputs'!$B$32)/1000+'Inputs'!$B$21+'Inputs'!$B$9+'Inputs'!$B$10))/SQRT((((906-43)*MAX('Inputs'!$B$33,'Inputs'!$B$29+'Inputs'!$B$31+'Inputs'!$B$32,'Inputs'!$B$30+'Inputs'!$B$31+'Inputs'!$B$32)/1000+'Inputs'!$B$21+'Inputs'!$B$9+'Inputs'!$B$10))^2+('Inputs'!$B$6/2)^2))))*'Results'!$B$8),"")</x:f>
        <x:v>0.5453029711178371</x:v>
      </x:c>
      <x:c r="N906" t="n">
        <x:f>IF(AND(ISNUMBER('Results'!C7),ISNUMBER('Results'!B7),ISNUMBER('Results'!$B$8),ISNUMBER('Inputs'!$B$6),ISNUMBER('Inputs'!$B$7),ISNUMBER('Inputs'!$B$8),ISNUMBER('Inputs'!$B$9),ISNUMBER('Inputs'!$B$10),ISNUMBER('Inputs'!$B$21),ISNUMBER('Inputs'!$B$24),ISNUMBER('Inputs'!$B$28)),((('Results'!C7*(1-'Inputs'!$B$24)*(0.5*((((906-43)*MAX('Inputs'!$B$33,'Inputs'!$B$29+'Inputs'!$B$31+'Inputs'!$B$32,'Inputs'!$B$30+'Inputs'!$B$31+'Inputs'!$B$32)/1000+'Inputs'!$B$21)+'Inputs'!$B$9)/SQRT((((906-43)*MAX('Inputs'!$B$33,'Inputs'!$B$29+'Inputs'!$B$31+'Inputs'!$B$32,'Inputs'!$B$30+'Inputs'!$B$31+'Inputs'!$B$32)/1000+'Inputs'!$B$21)+'Inputs'!$B$9)^2+('Inputs'!$B$8/2)^2)-(((906-43)*MAX('Inputs'!$B$33,'Inputs'!$B$29+'Inputs'!$B$31+'Inputs'!$B$32,'Inputs'!$B$30+'Inputs'!$B$31+'Inputs'!$B$32)/1000+'Inputs'!$B$21))/SQRT((((906-43)*MAX('Inputs'!$B$33,'Inputs'!$B$29+'Inputs'!$B$31+'Inputs'!$B$32,'Inputs'!$B$30+'Inputs'!$B$31+'Inputs'!$B$32)/1000+'Inputs'!$B$21))^2+('Inputs'!$B$8/2)^2)))-'Results'!B7*(1+'Inputs'!$B$24)*(0.5*((((906-43)*MAX('Inputs'!$B$33,'Inputs'!$B$29+'Inputs'!$B$31+'Inputs'!$B$32,'Inputs'!$B$30+'Inputs'!$B$31+'Inputs'!$B$32)/1000+'Inputs'!$B$21+'Inputs'!$B$9+'Inputs'!$B$10)+'Inputs'!$B$7)/SQRT((((906-43)*MAX('Inputs'!$B$33,'Inputs'!$B$29+'Inputs'!$B$31+'Inputs'!$B$32,'Inputs'!$B$30+'Inputs'!$B$31+'Inputs'!$B$32)/1000+'Inputs'!$B$21+'Inputs'!$B$9+'Inputs'!$B$10)+'Inputs'!$B$7)^2+('Inputs'!$B$6/2)^2)-(((906-43)*MAX('Inputs'!$B$33,'Inputs'!$B$29+'Inputs'!$B$31+'Inputs'!$B$32,'Inputs'!$B$30+'Inputs'!$B$31+'Inputs'!$B$32)/1000+'Inputs'!$B$21+'Inputs'!$B$9+'Inputs'!$B$10))/SQRT((((906-43)*MAX('Inputs'!$B$33,'Inputs'!$B$29+'Inputs'!$B$31+'Inputs'!$B$32,'Inputs'!$B$30+'Inputs'!$B$31+'Inputs'!$B$32)/1000+'Inputs'!$B$21+'Inputs'!$B$9+'Inputs'!$B$10))^2+('Inputs'!$B$6/2)^2))))*'Results'!$B$8)-'Inputs'!$B$28*ABS((('Results'!C7*(1-'Inputs'!$B$24)*(0.5*((((906-43)*MAX('Inputs'!$B$33,'Inputs'!$B$29+'Inputs'!$B$31+'Inputs'!$B$32,'Inputs'!$B$30+'Inputs'!$B$31+'Inputs'!$B$32)/1000+'Inputs'!$B$21)+'Inputs'!$B$9)/SQRT((((906-43)*MAX('Inputs'!$B$33,'Inputs'!$B$29+'Inputs'!$B$31+'Inputs'!$B$32,'Inputs'!$B$30+'Inputs'!$B$31+'Inputs'!$B$32)/1000+'Inputs'!$B$21)+'Inputs'!$B$9)^2+('Inputs'!$B$8/2)^2)-(((906-43)*MAX('Inputs'!$B$33,'Inputs'!$B$29+'Inputs'!$B$31+'Inputs'!$B$32,'Inputs'!$B$30+'Inputs'!$B$31+'Inputs'!$B$32)/1000+'Inputs'!$B$21))/SQRT((((906-43)*MAX('Inputs'!$B$33,'Inputs'!$B$29+'Inputs'!$B$31+'Inputs'!$B$32,'Inputs'!$B$30+'Inputs'!$B$31+'Inputs'!$B$32)/1000+'Inputs'!$B$21))^2+('Inputs'!$B$8/2)^2)))-'Results'!B7*(1+'Inputs'!$B$24)*(0.5*((((906-43)*MAX('Inputs'!$B$33,'Inputs'!$B$29+'Inputs'!$B$31+'Inputs'!$B$32,'Inputs'!$B$30+'Inputs'!$B$31+'Inputs'!$B$32)/1000+'Inputs'!$B$21+'Inputs'!$B$9+'Inputs'!$B$10)+'Inputs'!$B$7)/SQRT((((906-43)*MAX('Inputs'!$B$33,'Inputs'!$B$29+'Inputs'!$B$31+'Inputs'!$B$32,'Inputs'!$B$30+'Inputs'!$B$31+'Inputs'!$B$32)/1000+'Inputs'!$B$21+'Inputs'!$B$9+'Inputs'!$B$10)+'Inputs'!$B$7)^2+('Inputs'!$B$6/2)^2)-(((906-43)*MAX('Inputs'!$B$33,'Inputs'!$B$29+'Inputs'!$B$31+'Inputs'!$B$32,'Inputs'!$B$30+'Inputs'!$B$31+'Inputs'!$B$32)/1000+'Inputs'!$B$21+'Inputs'!$B$9+'Inputs'!$B$10))/SQRT((((906-43)*MAX('Inputs'!$B$33,'Inputs'!$B$29+'Inputs'!$B$31+'Inputs'!$B$32,'Inputs'!$B$30+'Inputs'!$B$31+'Inputs'!$B$32)/1000+'Inputs'!$B$21+'Inputs'!$B$9+'Inputs'!$B$10))^2+('Inputs'!$B$6/2)^2))))*'Results'!$B$8))),"")</x:f>
        <x:v>0.45717437626428803</x:v>
      </x:c>
      <x:c r="O906" t="n">
        <x:f>IF(AND(ISNUMBER('Results'!C7),ISNUMBER('Results'!B7),ISNUMBER('Results'!$B$8),ISNUMBER('Inputs'!$B$6),ISNUMBER('Inputs'!$B$7),ISNUMBER('Inputs'!$B$8),ISNUMBER('Inputs'!$B$9),ISNUMBER('Inputs'!$B$10),ISNUMBER('Inputs'!$B$21),ISNUMBER('Inputs'!$B$24),ISNUMBER('Inputs'!$B$28)),((('Results'!C7*(1+'Inputs'!$B$24)*(0.5*((((906-43)*MAX('Inputs'!$B$33,'Inputs'!$B$29+'Inputs'!$B$31+'Inputs'!$B$32,'Inputs'!$B$30+'Inputs'!$B$31+'Inputs'!$B$32)/1000+'Inputs'!$B$21)+'Inputs'!$B$9)/SQRT((((906-43)*MAX('Inputs'!$B$33,'Inputs'!$B$29+'Inputs'!$B$31+'Inputs'!$B$32,'Inputs'!$B$30+'Inputs'!$B$31+'Inputs'!$B$32)/1000+'Inputs'!$B$21)+'Inputs'!$B$9)^2+('Inputs'!$B$8/2)^2)-(((906-43)*MAX('Inputs'!$B$33,'Inputs'!$B$29+'Inputs'!$B$31+'Inputs'!$B$32,'Inputs'!$B$30+'Inputs'!$B$31+'Inputs'!$B$32)/1000+'Inputs'!$B$21))/SQRT((((906-43)*MAX('Inputs'!$B$33,'Inputs'!$B$29+'Inputs'!$B$31+'Inputs'!$B$32,'Inputs'!$B$30+'Inputs'!$B$31+'Inputs'!$B$32)/1000+'Inputs'!$B$21))^2+('Inputs'!$B$8/2)^2)))-'Results'!B7*(1-'Inputs'!$B$24)*(0.5*((((906-43)*MAX('Inputs'!$B$33,'Inputs'!$B$29+'Inputs'!$B$31+'Inputs'!$B$32,'Inputs'!$B$30+'Inputs'!$B$31+'Inputs'!$B$32)/1000+'Inputs'!$B$21+'Inputs'!$B$9+'Inputs'!$B$10)+'Inputs'!$B$7)/SQRT((((906-43)*MAX('Inputs'!$B$33,'Inputs'!$B$29+'Inputs'!$B$31+'Inputs'!$B$32,'Inputs'!$B$30+'Inputs'!$B$31+'Inputs'!$B$32)/1000+'Inputs'!$B$21+'Inputs'!$B$9+'Inputs'!$B$10)+'Inputs'!$B$7)^2+('Inputs'!$B$6/2)^2)-(((906-43)*MAX('Inputs'!$B$33,'Inputs'!$B$29+'Inputs'!$B$31+'Inputs'!$B$32,'Inputs'!$B$30+'Inputs'!$B$31+'Inputs'!$B$32)/1000+'Inputs'!$B$21+'Inputs'!$B$9+'Inputs'!$B$10))/SQRT((((906-43)*MAX('Inputs'!$B$33,'Inputs'!$B$29+'Inputs'!$B$31+'Inputs'!$B$32,'Inputs'!$B$30+'Inputs'!$B$31+'Inputs'!$B$32)/1000+'Inputs'!$B$21+'Inputs'!$B$9+'Inputs'!$B$10))^2+('Inputs'!$B$6/2)^2))))*'Results'!$B$8)+'Inputs'!$B$28*ABS((('Results'!C7*(1+'Inputs'!$B$24)*(0.5*((((906-43)*MAX('Inputs'!$B$33,'Inputs'!$B$29+'Inputs'!$B$31+'Inputs'!$B$32,'Inputs'!$B$30+'Inputs'!$B$31+'Inputs'!$B$32)/1000+'Inputs'!$B$21)+'Inputs'!$B$9)/SQRT((((906-43)*MAX('Inputs'!$B$33,'Inputs'!$B$29+'Inputs'!$B$31+'Inputs'!$B$32,'Inputs'!$B$30+'Inputs'!$B$31+'Inputs'!$B$32)/1000+'Inputs'!$B$21)+'Inputs'!$B$9)^2+('Inputs'!$B$8/2)^2)-(((906-43)*MAX('Inputs'!$B$33,'Inputs'!$B$29+'Inputs'!$B$31+'Inputs'!$B$32,'Inputs'!$B$30+'Inputs'!$B$31+'Inputs'!$B$32)/1000+'Inputs'!$B$21))/SQRT((((906-43)*MAX('Inputs'!$B$33,'Inputs'!$B$29+'Inputs'!$B$31+'Inputs'!$B$32,'Inputs'!$B$30+'Inputs'!$B$31+'Inputs'!$B$32)/1000+'Inputs'!$B$21))^2+('Inputs'!$B$8/2)^2)))-'Results'!B7*(1-'Inputs'!$B$24)*(0.5*((((906-43)*MAX('Inputs'!$B$33,'Inputs'!$B$29+'Inputs'!$B$31+'Inputs'!$B$32,'Inputs'!$B$30+'Inputs'!$B$31+'Inputs'!$B$32)/1000+'Inputs'!$B$21+'Inputs'!$B$9+'Inputs'!$B$10)+'Inputs'!$B$7)/SQRT((((906-43)*MAX('Inputs'!$B$33,'Inputs'!$B$29+'Inputs'!$B$31+'Inputs'!$B$32,'Inputs'!$B$30+'Inputs'!$B$31+'Inputs'!$B$32)/1000+'Inputs'!$B$21+'Inputs'!$B$9+'Inputs'!$B$10)+'Inputs'!$B$7)^2+('Inputs'!$B$6/2)^2)-(((906-43)*MAX('Inputs'!$B$33,'Inputs'!$B$29+'Inputs'!$B$31+'Inputs'!$B$32,'Inputs'!$B$30+'Inputs'!$B$31+'Inputs'!$B$32)/1000+'Inputs'!$B$21+'Inputs'!$B$9+'Inputs'!$B$10))/SQRT((((906-43)*MAX('Inputs'!$B$33,'Inputs'!$B$29+'Inputs'!$B$31+'Inputs'!$B$32,'Inputs'!$B$30+'Inputs'!$B$31+'Inputs'!$B$32)/1000+'Inputs'!$B$21+'Inputs'!$B$9+'Inputs'!$B$10))^2+('Inputs'!$B$6/2)^2))))*'Results'!$B$8))),"")</x:f>
        <x:v>0.6398382445290345</x:v>
      </x:c>
      <x:c r="P906" t="n">
        <x:f>IF(AND(MAX(J906,J905)&gt;0,J906&gt;J905+0.00000001),1,0)</x:f>
        <x:v>0</x:v>
      </x:c>
      <x:c r="Q906" t="n">
        <x:f>IF(AND(MAX(K906,K905)&gt;0,K906&gt;K905+0.00000001),1,0)</x:f>
        <x:v>0</x:v>
      </x:c>
      <x:c r="R906" t="n">
        <x:f>IF(AND(MAX(L906,L905)&gt;0,L906&gt;L905+0.00000001),1,0)</x:f>
        <x:v>0</x:v>
      </x:c>
      <x:c r="S906" t="n">
        <x:f>IF(AND(MAX(M906,M905)&gt;0,M906&gt;M905+0.00000001),1,0)</x:f>
        <x:v>0</x:v>
      </x:c>
      <x:c r="T906" t="n">
        <x:f>IF(AND(MAX(N906,N905)&gt;0,N906&gt;N905+0.00000001),1,0)</x:f>
        <x:v>0</x:v>
      </x:c>
      <x:c r="U906" t="n">
        <x:f>IF(AND(MAX(O906,O905)&gt;0,O906&gt;O905+0.00000001),1,0)</x:f>
        <x:v>0</x:v>
      </x:c>
    </x:row>
    <x:row r="907">
      <x:c r="J907" t="n">
        <x:f>IF(AND(ISNUMBER('Results'!B7),ISNUMBER('Results'!C7),ISNUMBER('Results'!$B$8),ISNUMBER('Inputs'!$B$6),ISNUMBER('Inputs'!$B$7),ISNUMBER('Inputs'!$B$8),ISNUMBER('Inputs'!$B$9),ISNUMBER('Inputs'!$B$10),ISNUMBER('Inputs'!$B$21),ISNUMBER('Inputs'!$B$24),ISNUMBER('Inputs'!$B$28)),(('Results'!B7*(0.5*((((907-43)*MAX('Inputs'!$B$33,'Inputs'!$B$29+'Inputs'!$B$31+'Inputs'!$B$32,'Inputs'!$B$30+'Inputs'!$B$31+'Inputs'!$B$32)/1000+'Inputs'!$B$21)+'Inputs'!$B$7)/SQRT((((907-43)*MAX('Inputs'!$B$33,'Inputs'!$B$29+'Inputs'!$B$31+'Inputs'!$B$32,'Inputs'!$B$30+'Inputs'!$B$31+'Inputs'!$B$32)/1000+'Inputs'!$B$21)+'Inputs'!$B$7)^2+('Inputs'!$B$6/2)^2)-(((907-43)*MAX('Inputs'!$B$33,'Inputs'!$B$29+'Inputs'!$B$31+'Inputs'!$B$32,'Inputs'!$B$30+'Inputs'!$B$31+'Inputs'!$B$32)/1000+'Inputs'!$B$21))/SQRT((((907-43)*MAX('Inputs'!$B$33,'Inputs'!$B$29+'Inputs'!$B$31+'Inputs'!$B$32,'Inputs'!$B$30+'Inputs'!$B$31+'Inputs'!$B$32)/1000+'Inputs'!$B$21))^2+('Inputs'!$B$6/2)^2)))-'Results'!C7*(0.5*((((907-43)*MAX('Inputs'!$B$33,'Inputs'!$B$29+'Inputs'!$B$31+'Inputs'!$B$32,'Inputs'!$B$30+'Inputs'!$B$31+'Inputs'!$B$32)/1000+'Inputs'!$B$21+'Inputs'!$B$7+'Inputs'!$B$10)+'Inputs'!$B$9)/SQRT((((907-43)*MAX('Inputs'!$B$33,'Inputs'!$B$29+'Inputs'!$B$31+'Inputs'!$B$32,'Inputs'!$B$30+'Inputs'!$B$31+'Inputs'!$B$32)/1000+'Inputs'!$B$21+'Inputs'!$B$7+'Inputs'!$B$10)+'Inputs'!$B$9)^2+('Inputs'!$B$8/2)^2)-(((907-43)*MAX('Inputs'!$B$33,'Inputs'!$B$29+'Inputs'!$B$31+'Inputs'!$B$32,'Inputs'!$B$30+'Inputs'!$B$31+'Inputs'!$B$32)/1000+'Inputs'!$B$21+'Inputs'!$B$7+'Inputs'!$B$10))/SQRT((((907-43)*MAX('Inputs'!$B$33,'Inputs'!$B$29+'Inputs'!$B$31+'Inputs'!$B$32,'Inputs'!$B$30+'Inputs'!$B$31+'Inputs'!$B$32)/1000+'Inputs'!$B$21+'Inputs'!$B$7+'Inputs'!$B$10))^2+('Inputs'!$B$8/2)^2))))*'Results'!$B$8),"")</x:f>
        <x:v>0.607584607275419</x:v>
      </x:c>
      <x:c r="K907" t="n">
        <x:f>IF(AND(ISNUMBER('Results'!B7),ISNUMBER('Results'!C7),ISNUMBER('Results'!$B$8),ISNUMBER('Inputs'!$B$6),ISNUMBER('Inputs'!$B$7),ISNUMBER('Inputs'!$B$8),ISNUMBER('Inputs'!$B$9),ISNUMBER('Inputs'!$B$10),ISNUMBER('Inputs'!$B$21),ISNUMBER('Inputs'!$B$24),ISNUMBER('Inputs'!$B$28)),((('Results'!B7*(1-'Inputs'!$B$24)*(0.5*((((907-43)*MAX('Inputs'!$B$33,'Inputs'!$B$29+'Inputs'!$B$31+'Inputs'!$B$32,'Inputs'!$B$30+'Inputs'!$B$31+'Inputs'!$B$32)/1000+'Inputs'!$B$21)+'Inputs'!$B$7)/SQRT((((907-43)*MAX('Inputs'!$B$33,'Inputs'!$B$29+'Inputs'!$B$31+'Inputs'!$B$32,'Inputs'!$B$30+'Inputs'!$B$31+'Inputs'!$B$32)/1000+'Inputs'!$B$21)+'Inputs'!$B$7)^2+('Inputs'!$B$6/2)^2)-(((907-43)*MAX('Inputs'!$B$33,'Inputs'!$B$29+'Inputs'!$B$31+'Inputs'!$B$32,'Inputs'!$B$30+'Inputs'!$B$31+'Inputs'!$B$32)/1000+'Inputs'!$B$21))/SQRT((((907-43)*MAX('Inputs'!$B$33,'Inputs'!$B$29+'Inputs'!$B$31+'Inputs'!$B$32,'Inputs'!$B$30+'Inputs'!$B$31+'Inputs'!$B$32)/1000+'Inputs'!$B$21))^2+('Inputs'!$B$6/2)^2)))-'Results'!C7*(1+'Inputs'!$B$24)*(0.5*((((907-43)*MAX('Inputs'!$B$33,'Inputs'!$B$29+'Inputs'!$B$31+'Inputs'!$B$32,'Inputs'!$B$30+'Inputs'!$B$31+'Inputs'!$B$32)/1000+'Inputs'!$B$21+'Inputs'!$B$7+'Inputs'!$B$10)+'Inputs'!$B$9)/SQRT((((907-43)*MAX('Inputs'!$B$33,'Inputs'!$B$29+'Inputs'!$B$31+'Inputs'!$B$32,'Inputs'!$B$30+'Inputs'!$B$31+'Inputs'!$B$32)/1000+'Inputs'!$B$21+'Inputs'!$B$7+'Inputs'!$B$10)+'Inputs'!$B$9)^2+('Inputs'!$B$8/2)^2)-(((907-43)*MAX('Inputs'!$B$33,'Inputs'!$B$29+'Inputs'!$B$31+'Inputs'!$B$32,'Inputs'!$B$30+'Inputs'!$B$31+'Inputs'!$B$32)/1000+'Inputs'!$B$21+'Inputs'!$B$7+'Inputs'!$B$10))/SQRT((((907-43)*MAX('Inputs'!$B$33,'Inputs'!$B$29+'Inputs'!$B$31+'Inputs'!$B$32,'Inputs'!$B$30+'Inputs'!$B$31+'Inputs'!$B$32)/1000+'Inputs'!$B$21+'Inputs'!$B$7+'Inputs'!$B$10))^2+('Inputs'!$B$8/2)^2))))*'Results'!$B$8)-'Inputs'!$B$28*ABS((('Results'!B7*(1-'Inputs'!$B$24)*(0.5*((((907-43)*MAX('Inputs'!$B$33,'Inputs'!$B$29+'Inputs'!$B$31+'Inputs'!$B$32,'Inputs'!$B$30+'Inputs'!$B$31+'Inputs'!$B$32)/1000+'Inputs'!$B$21)+'Inputs'!$B$7)/SQRT((((907-43)*MAX('Inputs'!$B$33,'Inputs'!$B$29+'Inputs'!$B$31+'Inputs'!$B$32,'Inputs'!$B$30+'Inputs'!$B$31+'Inputs'!$B$32)/1000+'Inputs'!$B$21)+'Inputs'!$B$7)^2+('Inputs'!$B$6/2)^2)-(((907-43)*MAX('Inputs'!$B$33,'Inputs'!$B$29+'Inputs'!$B$31+'Inputs'!$B$32,'Inputs'!$B$30+'Inputs'!$B$31+'Inputs'!$B$32)/1000+'Inputs'!$B$21))/SQRT((((907-43)*MAX('Inputs'!$B$33,'Inputs'!$B$29+'Inputs'!$B$31+'Inputs'!$B$32,'Inputs'!$B$30+'Inputs'!$B$31+'Inputs'!$B$32)/1000+'Inputs'!$B$21))^2+('Inputs'!$B$6/2)^2)))-'Results'!C7*(1+'Inputs'!$B$24)*(0.5*((((907-43)*MAX('Inputs'!$B$33,'Inputs'!$B$29+'Inputs'!$B$31+'Inputs'!$B$32,'Inputs'!$B$30+'Inputs'!$B$31+'Inputs'!$B$32)/1000+'Inputs'!$B$21+'Inputs'!$B$7+'Inputs'!$B$10)+'Inputs'!$B$9)/SQRT((((907-43)*MAX('Inputs'!$B$33,'Inputs'!$B$29+'Inputs'!$B$31+'Inputs'!$B$32,'Inputs'!$B$30+'Inputs'!$B$31+'Inputs'!$B$32)/1000+'Inputs'!$B$21+'Inputs'!$B$7+'Inputs'!$B$10)+'Inputs'!$B$9)^2+('Inputs'!$B$8/2)^2)-(((907-43)*MAX('Inputs'!$B$33,'Inputs'!$B$29+'Inputs'!$B$31+'Inputs'!$B$32,'Inputs'!$B$30+'Inputs'!$B$31+'Inputs'!$B$32)/1000+'Inputs'!$B$21+'Inputs'!$B$7+'Inputs'!$B$10))/SQRT((((907-43)*MAX('Inputs'!$B$33,'Inputs'!$B$29+'Inputs'!$B$31+'Inputs'!$B$32,'Inputs'!$B$30+'Inputs'!$B$31+'Inputs'!$B$32)/1000+'Inputs'!$B$21+'Inputs'!$B$7+'Inputs'!$B$10))^2+('Inputs'!$B$8/2)^2))))*'Results'!$B$8))),"")</x:f>
        <x:v>0.5163163244807678</x:v>
      </x:c>
      <x:c r="L907" t="n">
        <x:f>IF(AND(ISNUMBER('Results'!B7),ISNUMBER('Results'!C7),ISNUMBER('Results'!$B$8),ISNUMBER('Inputs'!$B$6),ISNUMBER('Inputs'!$B$7),ISNUMBER('Inputs'!$B$8),ISNUMBER('Inputs'!$B$9),ISNUMBER('Inputs'!$B$10),ISNUMBER('Inputs'!$B$21),ISNUMBER('Inputs'!$B$24),ISNUMBER('Inputs'!$B$28)),((('Results'!B7*(1+'Inputs'!$B$24)*(0.5*((((907-43)*MAX('Inputs'!$B$33,'Inputs'!$B$29+'Inputs'!$B$31+'Inputs'!$B$32,'Inputs'!$B$30+'Inputs'!$B$31+'Inputs'!$B$32)/1000+'Inputs'!$B$21)+'Inputs'!$B$7)/SQRT((((907-43)*MAX('Inputs'!$B$33,'Inputs'!$B$29+'Inputs'!$B$31+'Inputs'!$B$32,'Inputs'!$B$30+'Inputs'!$B$31+'Inputs'!$B$32)/1000+'Inputs'!$B$21)+'Inputs'!$B$7)^2+('Inputs'!$B$6/2)^2)-(((907-43)*MAX('Inputs'!$B$33,'Inputs'!$B$29+'Inputs'!$B$31+'Inputs'!$B$32,'Inputs'!$B$30+'Inputs'!$B$31+'Inputs'!$B$32)/1000+'Inputs'!$B$21))/SQRT((((907-43)*MAX('Inputs'!$B$33,'Inputs'!$B$29+'Inputs'!$B$31+'Inputs'!$B$32,'Inputs'!$B$30+'Inputs'!$B$31+'Inputs'!$B$32)/1000+'Inputs'!$B$21))^2+('Inputs'!$B$6/2)^2)))-'Results'!C7*(1-'Inputs'!$B$24)*(0.5*((((907-43)*MAX('Inputs'!$B$33,'Inputs'!$B$29+'Inputs'!$B$31+'Inputs'!$B$32,'Inputs'!$B$30+'Inputs'!$B$31+'Inputs'!$B$32)/1000+'Inputs'!$B$21+'Inputs'!$B$7+'Inputs'!$B$10)+'Inputs'!$B$9)/SQRT((((907-43)*MAX('Inputs'!$B$33,'Inputs'!$B$29+'Inputs'!$B$31+'Inputs'!$B$32,'Inputs'!$B$30+'Inputs'!$B$31+'Inputs'!$B$32)/1000+'Inputs'!$B$21+'Inputs'!$B$7+'Inputs'!$B$10)+'Inputs'!$B$9)^2+('Inputs'!$B$8/2)^2)-(((907-43)*MAX('Inputs'!$B$33,'Inputs'!$B$29+'Inputs'!$B$31+'Inputs'!$B$32,'Inputs'!$B$30+'Inputs'!$B$31+'Inputs'!$B$32)/1000+'Inputs'!$B$21+'Inputs'!$B$7+'Inputs'!$B$10))/SQRT((((907-43)*MAX('Inputs'!$B$33,'Inputs'!$B$29+'Inputs'!$B$31+'Inputs'!$B$32,'Inputs'!$B$30+'Inputs'!$B$31+'Inputs'!$B$32)/1000+'Inputs'!$B$21+'Inputs'!$B$7+'Inputs'!$B$10))^2+('Inputs'!$B$8/2)^2))))*'Results'!$B$8)+'Inputs'!$B$28*ABS((('Results'!B7*(1+'Inputs'!$B$24)*(0.5*((((907-43)*MAX('Inputs'!$B$33,'Inputs'!$B$29+'Inputs'!$B$31+'Inputs'!$B$32,'Inputs'!$B$30+'Inputs'!$B$31+'Inputs'!$B$32)/1000+'Inputs'!$B$21)+'Inputs'!$B$7)/SQRT((((907-43)*MAX('Inputs'!$B$33,'Inputs'!$B$29+'Inputs'!$B$31+'Inputs'!$B$32,'Inputs'!$B$30+'Inputs'!$B$31+'Inputs'!$B$32)/1000+'Inputs'!$B$21)+'Inputs'!$B$7)^2+('Inputs'!$B$6/2)^2)-(((907-43)*MAX('Inputs'!$B$33,'Inputs'!$B$29+'Inputs'!$B$31+'Inputs'!$B$32,'Inputs'!$B$30+'Inputs'!$B$31+'Inputs'!$B$32)/1000+'Inputs'!$B$21))/SQRT((((907-43)*MAX('Inputs'!$B$33,'Inputs'!$B$29+'Inputs'!$B$31+'Inputs'!$B$32,'Inputs'!$B$30+'Inputs'!$B$31+'Inputs'!$B$32)/1000+'Inputs'!$B$21))^2+('Inputs'!$B$6/2)^2)))-'Results'!C7*(1-'Inputs'!$B$24)*(0.5*((((907-43)*MAX('Inputs'!$B$33,'Inputs'!$B$29+'Inputs'!$B$31+'Inputs'!$B$32,'Inputs'!$B$30+'Inputs'!$B$31+'Inputs'!$B$32)/1000+'Inputs'!$B$21+'Inputs'!$B$7+'Inputs'!$B$10)+'Inputs'!$B$9)/SQRT((((907-43)*MAX('Inputs'!$B$33,'Inputs'!$B$29+'Inputs'!$B$31+'Inputs'!$B$32,'Inputs'!$B$30+'Inputs'!$B$31+'Inputs'!$B$32)/1000+'Inputs'!$B$21+'Inputs'!$B$7+'Inputs'!$B$10)+'Inputs'!$B$9)^2+('Inputs'!$B$8/2)^2)-(((907-43)*MAX('Inputs'!$B$33,'Inputs'!$B$29+'Inputs'!$B$31+'Inputs'!$B$32,'Inputs'!$B$30+'Inputs'!$B$31+'Inputs'!$B$32)/1000+'Inputs'!$B$21+'Inputs'!$B$7+'Inputs'!$B$10))/SQRT((((907-43)*MAX('Inputs'!$B$33,'Inputs'!$B$29+'Inputs'!$B$31+'Inputs'!$B$32,'Inputs'!$B$30+'Inputs'!$B$31+'Inputs'!$B$32)/1000+'Inputs'!$B$21+'Inputs'!$B$7+'Inputs'!$B$10))^2+('Inputs'!$B$8/2)^2))))*'Results'!$B$8))),"")</x:f>
        <x:v>0.7052622640101632</x:v>
      </x:c>
      <x:c r="M907" t="n">
        <x:f>IF(AND(ISNUMBER('Results'!C7),ISNUMBER('Results'!B7),ISNUMBER('Results'!$B$8),ISNUMBER('Inputs'!$B$6),ISNUMBER('Inputs'!$B$7),ISNUMBER('Inputs'!$B$8),ISNUMBER('Inputs'!$B$9),ISNUMBER('Inputs'!$B$10),ISNUMBER('Inputs'!$B$21),ISNUMBER('Inputs'!$B$24),ISNUMBER('Inputs'!$B$28)),(('Results'!C7*(0.5*((((907-43)*MAX('Inputs'!$B$33,'Inputs'!$B$29+'Inputs'!$B$31+'Inputs'!$B$32,'Inputs'!$B$30+'Inputs'!$B$31+'Inputs'!$B$32)/1000+'Inputs'!$B$21)+'Inputs'!$B$9)/SQRT((((907-43)*MAX('Inputs'!$B$33,'Inputs'!$B$29+'Inputs'!$B$31+'Inputs'!$B$32,'Inputs'!$B$30+'Inputs'!$B$31+'Inputs'!$B$32)/1000+'Inputs'!$B$21)+'Inputs'!$B$9)^2+('Inputs'!$B$8/2)^2)-(((907-43)*MAX('Inputs'!$B$33,'Inputs'!$B$29+'Inputs'!$B$31+'Inputs'!$B$32,'Inputs'!$B$30+'Inputs'!$B$31+'Inputs'!$B$32)/1000+'Inputs'!$B$21))/SQRT((((907-43)*MAX('Inputs'!$B$33,'Inputs'!$B$29+'Inputs'!$B$31+'Inputs'!$B$32,'Inputs'!$B$30+'Inputs'!$B$31+'Inputs'!$B$32)/1000+'Inputs'!$B$21))^2+('Inputs'!$B$8/2)^2)))-'Results'!B7*(0.5*((((907-43)*MAX('Inputs'!$B$33,'Inputs'!$B$29+'Inputs'!$B$31+'Inputs'!$B$32,'Inputs'!$B$30+'Inputs'!$B$31+'Inputs'!$B$32)/1000+'Inputs'!$B$21+'Inputs'!$B$9+'Inputs'!$B$10)+'Inputs'!$B$7)/SQRT((((907-43)*MAX('Inputs'!$B$33,'Inputs'!$B$29+'Inputs'!$B$31+'Inputs'!$B$32,'Inputs'!$B$30+'Inputs'!$B$31+'Inputs'!$B$32)/1000+'Inputs'!$B$21+'Inputs'!$B$9+'Inputs'!$B$10)+'Inputs'!$B$7)^2+('Inputs'!$B$6/2)^2)-(((907-43)*MAX('Inputs'!$B$33,'Inputs'!$B$29+'Inputs'!$B$31+'Inputs'!$B$32,'Inputs'!$B$30+'Inputs'!$B$31+'Inputs'!$B$32)/1000+'Inputs'!$B$21+'Inputs'!$B$9+'Inputs'!$B$10))/SQRT((((907-43)*MAX('Inputs'!$B$33,'Inputs'!$B$29+'Inputs'!$B$31+'Inputs'!$B$32,'Inputs'!$B$30+'Inputs'!$B$31+'Inputs'!$B$32)/1000+'Inputs'!$B$21+'Inputs'!$B$9+'Inputs'!$B$10))^2+('Inputs'!$B$6/2)^2))))*'Results'!$B$8),"")</x:f>
        <x:v>0.542960846984131</x:v>
      </x:c>
      <x:c r="N907" t="n">
        <x:f>IF(AND(ISNUMBER('Results'!C7),ISNUMBER('Results'!B7),ISNUMBER('Results'!$B$8),ISNUMBER('Inputs'!$B$6),ISNUMBER('Inputs'!$B$7),ISNUMBER('Inputs'!$B$8),ISNUMBER('Inputs'!$B$9),ISNUMBER('Inputs'!$B$10),ISNUMBER('Inputs'!$B$21),ISNUMBER('Inputs'!$B$24),ISNUMBER('Inputs'!$B$28)),((('Results'!C7*(1-'Inputs'!$B$24)*(0.5*((((907-43)*MAX('Inputs'!$B$33,'Inputs'!$B$29+'Inputs'!$B$31+'Inputs'!$B$32,'Inputs'!$B$30+'Inputs'!$B$31+'Inputs'!$B$32)/1000+'Inputs'!$B$21)+'Inputs'!$B$9)/SQRT((((907-43)*MAX('Inputs'!$B$33,'Inputs'!$B$29+'Inputs'!$B$31+'Inputs'!$B$32,'Inputs'!$B$30+'Inputs'!$B$31+'Inputs'!$B$32)/1000+'Inputs'!$B$21)+'Inputs'!$B$9)^2+('Inputs'!$B$8/2)^2)-(((907-43)*MAX('Inputs'!$B$33,'Inputs'!$B$29+'Inputs'!$B$31+'Inputs'!$B$32,'Inputs'!$B$30+'Inputs'!$B$31+'Inputs'!$B$32)/1000+'Inputs'!$B$21))/SQRT((((907-43)*MAX('Inputs'!$B$33,'Inputs'!$B$29+'Inputs'!$B$31+'Inputs'!$B$32,'Inputs'!$B$30+'Inputs'!$B$31+'Inputs'!$B$32)/1000+'Inputs'!$B$21))^2+('Inputs'!$B$8/2)^2)))-'Results'!B7*(1+'Inputs'!$B$24)*(0.5*((((907-43)*MAX('Inputs'!$B$33,'Inputs'!$B$29+'Inputs'!$B$31+'Inputs'!$B$32,'Inputs'!$B$30+'Inputs'!$B$31+'Inputs'!$B$32)/1000+'Inputs'!$B$21+'Inputs'!$B$9+'Inputs'!$B$10)+'Inputs'!$B$7)/SQRT((((907-43)*MAX('Inputs'!$B$33,'Inputs'!$B$29+'Inputs'!$B$31+'Inputs'!$B$32,'Inputs'!$B$30+'Inputs'!$B$31+'Inputs'!$B$32)/1000+'Inputs'!$B$21+'Inputs'!$B$9+'Inputs'!$B$10)+'Inputs'!$B$7)^2+('Inputs'!$B$6/2)^2)-(((907-43)*MAX('Inputs'!$B$33,'Inputs'!$B$29+'Inputs'!$B$31+'Inputs'!$B$32,'Inputs'!$B$30+'Inputs'!$B$31+'Inputs'!$B$32)/1000+'Inputs'!$B$21+'Inputs'!$B$9+'Inputs'!$B$10))/SQRT((((907-43)*MAX('Inputs'!$B$33,'Inputs'!$B$29+'Inputs'!$B$31+'Inputs'!$B$32,'Inputs'!$B$30+'Inputs'!$B$31+'Inputs'!$B$32)/1000+'Inputs'!$B$21+'Inputs'!$B$9+'Inputs'!$B$10))^2+('Inputs'!$B$6/2)^2))))*'Results'!$B$8)-'Inputs'!$B$28*ABS((('Results'!C7*(1-'Inputs'!$B$24)*(0.5*((((907-43)*MAX('Inputs'!$B$33,'Inputs'!$B$29+'Inputs'!$B$31+'Inputs'!$B$32,'Inputs'!$B$30+'Inputs'!$B$31+'Inputs'!$B$32)/1000+'Inputs'!$B$21)+'Inputs'!$B$9)/SQRT((((907-43)*MAX('Inputs'!$B$33,'Inputs'!$B$29+'Inputs'!$B$31+'Inputs'!$B$32,'Inputs'!$B$30+'Inputs'!$B$31+'Inputs'!$B$32)/1000+'Inputs'!$B$21)+'Inputs'!$B$9)^2+('Inputs'!$B$8/2)^2)-(((907-43)*MAX('Inputs'!$B$33,'Inputs'!$B$29+'Inputs'!$B$31+'Inputs'!$B$32,'Inputs'!$B$30+'Inputs'!$B$31+'Inputs'!$B$32)/1000+'Inputs'!$B$21))/SQRT((((907-43)*MAX('Inputs'!$B$33,'Inputs'!$B$29+'Inputs'!$B$31+'Inputs'!$B$32,'Inputs'!$B$30+'Inputs'!$B$31+'Inputs'!$B$32)/1000+'Inputs'!$B$21))^2+('Inputs'!$B$8/2)^2)))-'Results'!B7*(1+'Inputs'!$B$24)*(0.5*((((907-43)*MAX('Inputs'!$B$33,'Inputs'!$B$29+'Inputs'!$B$31+'Inputs'!$B$32,'Inputs'!$B$30+'Inputs'!$B$31+'Inputs'!$B$32)/1000+'Inputs'!$B$21+'Inputs'!$B$9+'Inputs'!$B$10)+'Inputs'!$B$7)/SQRT((((907-43)*MAX('Inputs'!$B$33,'Inputs'!$B$29+'Inputs'!$B$31+'Inputs'!$B$32,'Inputs'!$B$30+'Inputs'!$B$31+'Inputs'!$B$32)/1000+'Inputs'!$B$21+'Inputs'!$B$9+'Inputs'!$B$10)+'Inputs'!$B$7)^2+('Inputs'!$B$6/2)^2)-(((907-43)*MAX('Inputs'!$B$33,'Inputs'!$B$29+'Inputs'!$B$31+'Inputs'!$B$32,'Inputs'!$B$30+'Inputs'!$B$31+'Inputs'!$B$32)/1000+'Inputs'!$B$21+'Inputs'!$B$9+'Inputs'!$B$10))/SQRT((((907-43)*MAX('Inputs'!$B$33,'Inputs'!$B$29+'Inputs'!$B$31+'Inputs'!$B$32,'Inputs'!$B$30+'Inputs'!$B$31+'Inputs'!$B$32)/1000+'Inputs'!$B$21+'Inputs'!$B$9+'Inputs'!$B$10))^2+('Inputs'!$B$6/2)^2))))*'Results'!$B$8))),"")</x:f>
        <x:v>0.4551445639578918</x:v>
      </x:c>
      <x:c r="O907" t="n">
        <x:f>IF(AND(ISNUMBER('Results'!C7),ISNUMBER('Results'!B7),ISNUMBER('Results'!$B$8),ISNUMBER('Inputs'!$B$6),ISNUMBER('Inputs'!$B$7),ISNUMBER('Inputs'!$B$8),ISNUMBER('Inputs'!$B$9),ISNUMBER('Inputs'!$B$10),ISNUMBER('Inputs'!$B$21),ISNUMBER('Inputs'!$B$24),ISNUMBER('Inputs'!$B$28)),((('Results'!C7*(1+'Inputs'!$B$24)*(0.5*((((907-43)*MAX('Inputs'!$B$33,'Inputs'!$B$29+'Inputs'!$B$31+'Inputs'!$B$32,'Inputs'!$B$30+'Inputs'!$B$31+'Inputs'!$B$32)/1000+'Inputs'!$B$21)+'Inputs'!$B$9)/SQRT((((907-43)*MAX('Inputs'!$B$33,'Inputs'!$B$29+'Inputs'!$B$31+'Inputs'!$B$32,'Inputs'!$B$30+'Inputs'!$B$31+'Inputs'!$B$32)/1000+'Inputs'!$B$21)+'Inputs'!$B$9)^2+('Inputs'!$B$8/2)^2)-(((907-43)*MAX('Inputs'!$B$33,'Inputs'!$B$29+'Inputs'!$B$31+'Inputs'!$B$32,'Inputs'!$B$30+'Inputs'!$B$31+'Inputs'!$B$32)/1000+'Inputs'!$B$21))/SQRT((((907-43)*MAX('Inputs'!$B$33,'Inputs'!$B$29+'Inputs'!$B$31+'Inputs'!$B$32,'Inputs'!$B$30+'Inputs'!$B$31+'Inputs'!$B$32)/1000+'Inputs'!$B$21))^2+('Inputs'!$B$8/2)^2)))-'Results'!B7*(1-'Inputs'!$B$24)*(0.5*((((907-43)*MAX('Inputs'!$B$33,'Inputs'!$B$29+'Inputs'!$B$31+'Inputs'!$B$32,'Inputs'!$B$30+'Inputs'!$B$31+'Inputs'!$B$32)/1000+'Inputs'!$B$21+'Inputs'!$B$9+'Inputs'!$B$10)+'Inputs'!$B$7)/SQRT((((907-43)*MAX('Inputs'!$B$33,'Inputs'!$B$29+'Inputs'!$B$31+'Inputs'!$B$32,'Inputs'!$B$30+'Inputs'!$B$31+'Inputs'!$B$32)/1000+'Inputs'!$B$21+'Inputs'!$B$9+'Inputs'!$B$10)+'Inputs'!$B$7)^2+('Inputs'!$B$6/2)^2)-(((907-43)*MAX('Inputs'!$B$33,'Inputs'!$B$29+'Inputs'!$B$31+'Inputs'!$B$32,'Inputs'!$B$30+'Inputs'!$B$31+'Inputs'!$B$32)/1000+'Inputs'!$B$21+'Inputs'!$B$9+'Inputs'!$B$10))/SQRT((((907-43)*MAX('Inputs'!$B$33,'Inputs'!$B$29+'Inputs'!$B$31+'Inputs'!$B$32,'Inputs'!$B$30+'Inputs'!$B$31+'Inputs'!$B$32)/1000+'Inputs'!$B$21+'Inputs'!$B$9+'Inputs'!$B$10))^2+('Inputs'!$B$6/2)^2))))*'Results'!$B$8)+'Inputs'!$B$28*ABS((('Results'!C7*(1+'Inputs'!$B$24)*(0.5*((((907-43)*MAX('Inputs'!$B$33,'Inputs'!$B$29+'Inputs'!$B$31+'Inputs'!$B$32,'Inputs'!$B$30+'Inputs'!$B$31+'Inputs'!$B$32)/1000+'Inputs'!$B$21)+'Inputs'!$B$9)/SQRT((((907-43)*MAX('Inputs'!$B$33,'Inputs'!$B$29+'Inputs'!$B$31+'Inputs'!$B$32,'Inputs'!$B$30+'Inputs'!$B$31+'Inputs'!$B$32)/1000+'Inputs'!$B$21)+'Inputs'!$B$9)^2+('Inputs'!$B$8/2)^2)-(((907-43)*MAX('Inputs'!$B$33,'Inputs'!$B$29+'Inputs'!$B$31+'Inputs'!$B$32,'Inputs'!$B$30+'Inputs'!$B$31+'Inputs'!$B$32)/1000+'Inputs'!$B$21))/SQRT((((907-43)*MAX('Inputs'!$B$33,'Inputs'!$B$29+'Inputs'!$B$31+'Inputs'!$B$32,'Inputs'!$B$30+'Inputs'!$B$31+'Inputs'!$B$32)/1000+'Inputs'!$B$21))^2+('Inputs'!$B$8/2)^2)))-'Results'!B7*(1-'Inputs'!$B$24)*(0.5*((((907-43)*MAX('Inputs'!$B$33,'Inputs'!$B$29+'Inputs'!$B$31+'Inputs'!$B$32,'Inputs'!$B$30+'Inputs'!$B$31+'Inputs'!$B$32)/1000+'Inputs'!$B$21+'Inputs'!$B$9+'Inputs'!$B$10)+'Inputs'!$B$7)/SQRT((((907-43)*MAX('Inputs'!$B$33,'Inputs'!$B$29+'Inputs'!$B$31+'Inputs'!$B$32,'Inputs'!$B$30+'Inputs'!$B$31+'Inputs'!$B$32)/1000+'Inputs'!$B$21+'Inputs'!$B$9+'Inputs'!$B$10)+'Inputs'!$B$7)^2+('Inputs'!$B$6/2)^2)-(((907-43)*MAX('Inputs'!$B$33,'Inputs'!$B$29+'Inputs'!$B$31+'Inputs'!$B$32,'Inputs'!$B$30+'Inputs'!$B$31+'Inputs'!$B$32)/1000+'Inputs'!$B$21+'Inputs'!$B$9+'Inputs'!$B$10))/SQRT((((907-43)*MAX('Inputs'!$B$33,'Inputs'!$B$29+'Inputs'!$B$31+'Inputs'!$B$32,'Inputs'!$B$30+'Inputs'!$B$31+'Inputs'!$B$32)/1000+'Inputs'!$B$21+'Inputs'!$B$9+'Inputs'!$B$10))^2+('Inputs'!$B$6/2)^2))))*'Results'!$B$8))),"")</x:f>
        <x:v>0.6371632606079524</x:v>
      </x:c>
      <x:c r="P907" t="n">
        <x:f>IF(AND(MAX(J907,J906)&gt;0,J907&gt;J906+0.00000001),1,0)</x:f>
        <x:v>0</x:v>
      </x:c>
      <x:c r="Q907" t="n">
        <x:f>IF(AND(MAX(K907,K906)&gt;0,K907&gt;K906+0.00000001),1,0)</x:f>
        <x:v>0</x:v>
      </x:c>
      <x:c r="R907" t="n">
        <x:f>IF(AND(MAX(L907,L906)&gt;0,L907&gt;L906+0.00000001),1,0)</x:f>
        <x:v>0</x:v>
      </x:c>
      <x:c r="S907" t="n">
        <x:f>IF(AND(MAX(M907,M906)&gt;0,M907&gt;M906+0.00000001),1,0)</x:f>
        <x:v>0</x:v>
      </x:c>
      <x:c r="T907" t="n">
        <x:f>IF(AND(MAX(N907,N906)&gt;0,N907&gt;N906+0.00000001),1,0)</x:f>
        <x:v>0</x:v>
      </x:c>
      <x:c r="U907" t="n">
        <x:f>IF(AND(MAX(O907,O906)&gt;0,O907&gt;O906+0.00000001),1,0)</x:f>
        <x:v>0</x:v>
      </x:c>
    </x:row>
    <x:row r="908">
      <x:c r="J908" t="n">
        <x:f>IF(AND(ISNUMBER('Results'!B7),ISNUMBER('Results'!C7),ISNUMBER('Results'!$B$8),ISNUMBER('Inputs'!$B$6),ISNUMBER('Inputs'!$B$7),ISNUMBER('Inputs'!$B$8),ISNUMBER('Inputs'!$B$9),ISNUMBER('Inputs'!$B$10),ISNUMBER('Inputs'!$B$21),ISNUMBER('Inputs'!$B$24),ISNUMBER('Inputs'!$B$28)),(('Results'!B7*(0.5*((((908-43)*MAX('Inputs'!$B$33,'Inputs'!$B$29+'Inputs'!$B$31+'Inputs'!$B$32,'Inputs'!$B$30+'Inputs'!$B$31+'Inputs'!$B$32)/1000+'Inputs'!$B$21)+'Inputs'!$B$7)/SQRT((((908-43)*MAX('Inputs'!$B$33,'Inputs'!$B$29+'Inputs'!$B$31+'Inputs'!$B$32,'Inputs'!$B$30+'Inputs'!$B$31+'Inputs'!$B$32)/1000+'Inputs'!$B$21)+'Inputs'!$B$7)^2+('Inputs'!$B$6/2)^2)-(((908-43)*MAX('Inputs'!$B$33,'Inputs'!$B$29+'Inputs'!$B$31+'Inputs'!$B$32,'Inputs'!$B$30+'Inputs'!$B$31+'Inputs'!$B$32)/1000+'Inputs'!$B$21))/SQRT((((908-43)*MAX('Inputs'!$B$33,'Inputs'!$B$29+'Inputs'!$B$31+'Inputs'!$B$32,'Inputs'!$B$30+'Inputs'!$B$31+'Inputs'!$B$32)/1000+'Inputs'!$B$21))^2+('Inputs'!$B$6/2)^2)))-'Results'!C7*(0.5*((((908-43)*MAX('Inputs'!$B$33,'Inputs'!$B$29+'Inputs'!$B$31+'Inputs'!$B$32,'Inputs'!$B$30+'Inputs'!$B$31+'Inputs'!$B$32)/1000+'Inputs'!$B$21+'Inputs'!$B$7+'Inputs'!$B$10)+'Inputs'!$B$9)/SQRT((((908-43)*MAX('Inputs'!$B$33,'Inputs'!$B$29+'Inputs'!$B$31+'Inputs'!$B$32,'Inputs'!$B$30+'Inputs'!$B$31+'Inputs'!$B$32)/1000+'Inputs'!$B$21+'Inputs'!$B$7+'Inputs'!$B$10)+'Inputs'!$B$9)^2+('Inputs'!$B$8/2)^2)-(((908-43)*MAX('Inputs'!$B$33,'Inputs'!$B$29+'Inputs'!$B$31+'Inputs'!$B$32,'Inputs'!$B$30+'Inputs'!$B$31+'Inputs'!$B$32)/1000+'Inputs'!$B$21+'Inputs'!$B$7+'Inputs'!$B$10))/SQRT((((908-43)*MAX('Inputs'!$B$33,'Inputs'!$B$29+'Inputs'!$B$31+'Inputs'!$B$32,'Inputs'!$B$30+'Inputs'!$B$31+'Inputs'!$B$32)/1000+'Inputs'!$B$21+'Inputs'!$B$7+'Inputs'!$B$10))^2+('Inputs'!$B$8/2)^2))))*'Results'!$B$8),"")</x:f>
        <x:v>0.6050478008841584</x:v>
      </x:c>
      <x:c r="K908" t="n">
        <x:f>IF(AND(ISNUMBER('Results'!B7),ISNUMBER('Results'!C7),ISNUMBER('Results'!$B$8),ISNUMBER('Inputs'!$B$6),ISNUMBER('Inputs'!$B$7),ISNUMBER('Inputs'!$B$8),ISNUMBER('Inputs'!$B$9),ISNUMBER('Inputs'!$B$10),ISNUMBER('Inputs'!$B$21),ISNUMBER('Inputs'!$B$24),ISNUMBER('Inputs'!$B$28)),((('Results'!B7*(1-'Inputs'!$B$24)*(0.5*((((908-43)*MAX('Inputs'!$B$33,'Inputs'!$B$29+'Inputs'!$B$31+'Inputs'!$B$32,'Inputs'!$B$30+'Inputs'!$B$31+'Inputs'!$B$32)/1000+'Inputs'!$B$21)+'Inputs'!$B$7)/SQRT((((908-43)*MAX('Inputs'!$B$33,'Inputs'!$B$29+'Inputs'!$B$31+'Inputs'!$B$32,'Inputs'!$B$30+'Inputs'!$B$31+'Inputs'!$B$32)/1000+'Inputs'!$B$21)+'Inputs'!$B$7)^2+('Inputs'!$B$6/2)^2)-(((908-43)*MAX('Inputs'!$B$33,'Inputs'!$B$29+'Inputs'!$B$31+'Inputs'!$B$32,'Inputs'!$B$30+'Inputs'!$B$31+'Inputs'!$B$32)/1000+'Inputs'!$B$21))/SQRT((((908-43)*MAX('Inputs'!$B$33,'Inputs'!$B$29+'Inputs'!$B$31+'Inputs'!$B$32,'Inputs'!$B$30+'Inputs'!$B$31+'Inputs'!$B$32)/1000+'Inputs'!$B$21))^2+('Inputs'!$B$6/2)^2)))-'Results'!C7*(1+'Inputs'!$B$24)*(0.5*((((908-43)*MAX('Inputs'!$B$33,'Inputs'!$B$29+'Inputs'!$B$31+'Inputs'!$B$32,'Inputs'!$B$30+'Inputs'!$B$31+'Inputs'!$B$32)/1000+'Inputs'!$B$21+'Inputs'!$B$7+'Inputs'!$B$10)+'Inputs'!$B$9)/SQRT((((908-43)*MAX('Inputs'!$B$33,'Inputs'!$B$29+'Inputs'!$B$31+'Inputs'!$B$32,'Inputs'!$B$30+'Inputs'!$B$31+'Inputs'!$B$32)/1000+'Inputs'!$B$21+'Inputs'!$B$7+'Inputs'!$B$10)+'Inputs'!$B$9)^2+('Inputs'!$B$8/2)^2)-(((908-43)*MAX('Inputs'!$B$33,'Inputs'!$B$29+'Inputs'!$B$31+'Inputs'!$B$32,'Inputs'!$B$30+'Inputs'!$B$31+'Inputs'!$B$32)/1000+'Inputs'!$B$21+'Inputs'!$B$7+'Inputs'!$B$10))/SQRT((((908-43)*MAX('Inputs'!$B$33,'Inputs'!$B$29+'Inputs'!$B$31+'Inputs'!$B$32,'Inputs'!$B$30+'Inputs'!$B$31+'Inputs'!$B$32)/1000+'Inputs'!$B$21+'Inputs'!$B$7+'Inputs'!$B$10))^2+('Inputs'!$B$8/2)^2))))*'Results'!$B$8)-'Inputs'!$B$28*ABS((('Results'!B7*(1-'Inputs'!$B$24)*(0.5*((((908-43)*MAX('Inputs'!$B$33,'Inputs'!$B$29+'Inputs'!$B$31+'Inputs'!$B$32,'Inputs'!$B$30+'Inputs'!$B$31+'Inputs'!$B$32)/1000+'Inputs'!$B$21)+'Inputs'!$B$7)/SQRT((((908-43)*MAX('Inputs'!$B$33,'Inputs'!$B$29+'Inputs'!$B$31+'Inputs'!$B$32,'Inputs'!$B$30+'Inputs'!$B$31+'Inputs'!$B$32)/1000+'Inputs'!$B$21)+'Inputs'!$B$7)^2+('Inputs'!$B$6/2)^2)-(((908-43)*MAX('Inputs'!$B$33,'Inputs'!$B$29+'Inputs'!$B$31+'Inputs'!$B$32,'Inputs'!$B$30+'Inputs'!$B$31+'Inputs'!$B$32)/1000+'Inputs'!$B$21))/SQRT((((908-43)*MAX('Inputs'!$B$33,'Inputs'!$B$29+'Inputs'!$B$31+'Inputs'!$B$32,'Inputs'!$B$30+'Inputs'!$B$31+'Inputs'!$B$32)/1000+'Inputs'!$B$21))^2+('Inputs'!$B$6/2)^2)))-'Results'!C7*(1+'Inputs'!$B$24)*(0.5*((((908-43)*MAX('Inputs'!$B$33,'Inputs'!$B$29+'Inputs'!$B$31+'Inputs'!$B$32,'Inputs'!$B$30+'Inputs'!$B$31+'Inputs'!$B$32)/1000+'Inputs'!$B$21+'Inputs'!$B$7+'Inputs'!$B$10)+'Inputs'!$B$9)/SQRT((((908-43)*MAX('Inputs'!$B$33,'Inputs'!$B$29+'Inputs'!$B$31+'Inputs'!$B$32,'Inputs'!$B$30+'Inputs'!$B$31+'Inputs'!$B$32)/1000+'Inputs'!$B$21+'Inputs'!$B$7+'Inputs'!$B$10)+'Inputs'!$B$9)^2+('Inputs'!$B$8/2)^2)-(((908-43)*MAX('Inputs'!$B$33,'Inputs'!$B$29+'Inputs'!$B$31+'Inputs'!$B$32,'Inputs'!$B$30+'Inputs'!$B$31+'Inputs'!$B$32)/1000+'Inputs'!$B$21+'Inputs'!$B$7+'Inputs'!$B$10))/SQRT((((908-43)*MAX('Inputs'!$B$33,'Inputs'!$B$29+'Inputs'!$B$31+'Inputs'!$B$32,'Inputs'!$B$30+'Inputs'!$B$31+'Inputs'!$B$32)/1000+'Inputs'!$B$21+'Inputs'!$B$7+'Inputs'!$B$10))^2+('Inputs'!$B$8/2)^2))))*'Results'!$B$8))),"")</x:f>
        <x:v>0.51410166268741</x:v>
      </x:c>
      <x:c r="L908" t="n">
        <x:f>IF(AND(ISNUMBER('Results'!B7),ISNUMBER('Results'!C7),ISNUMBER('Results'!$B$8),ISNUMBER('Inputs'!$B$6),ISNUMBER('Inputs'!$B$7),ISNUMBER('Inputs'!$B$8),ISNUMBER('Inputs'!$B$9),ISNUMBER('Inputs'!$B$10),ISNUMBER('Inputs'!$B$21),ISNUMBER('Inputs'!$B$24),ISNUMBER('Inputs'!$B$28)),((('Results'!B7*(1+'Inputs'!$B$24)*(0.5*((((908-43)*MAX('Inputs'!$B$33,'Inputs'!$B$29+'Inputs'!$B$31+'Inputs'!$B$32,'Inputs'!$B$30+'Inputs'!$B$31+'Inputs'!$B$32)/1000+'Inputs'!$B$21)+'Inputs'!$B$7)/SQRT((((908-43)*MAX('Inputs'!$B$33,'Inputs'!$B$29+'Inputs'!$B$31+'Inputs'!$B$32,'Inputs'!$B$30+'Inputs'!$B$31+'Inputs'!$B$32)/1000+'Inputs'!$B$21)+'Inputs'!$B$7)^2+('Inputs'!$B$6/2)^2)-(((908-43)*MAX('Inputs'!$B$33,'Inputs'!$B$29+'Inputs'!$B$31+'Inputs'!$B$32,'Inputs'!$B$30+'Inputs'!$B$31+'Inputs'!$B$32)/1000+'Inputs'!$B$21))/SQRT((((908-43)*MAX('Inputs'!$B$33,'Inputs'!$B$29+'Inputs'!$B$31+'Inputs'!$B$32,'Inputs'!$B$30+'Inputs'!$B$31+'Inputs'!$B$32)/1000+'Inputs'!$B$21))^2+('Inputs'!$B$6/2)^2)))-'Results'!C7*(1-'Inputs'!$B$24)*(0.5*((((908-43)*MAX('Inputs'!$B$33,'Inputs'!$B$29+'Inputs'!$B$31+'Inputs'!$B$32,'Inputs'!$B$30+'Inputs'!$B$31+'Inputs'!$B$32)/1000+'Inputs'!$B$21+'Inputs'!$B$7+'Inputs'!$B$10)+'Inputs'!$B$9)/SQRT((((908-43)*MAX('Inputs'!$B$33,'Inputs'!$B$29+'Inputs'!$B$31+'Inputs'!$B$32,'Inputs'!$B$30+'Inputs'!$B$31+'Inputs'!$B$32)/1000+'Inputs'!$B$21+'Inputs'!$B$7+'Inputs'!$B$10)+'Inputs'!$B$9)^2+('Inputs'!$B$8/2)^2)-(((908-43)*MAX('Inputs'!$B$33,'Inputs'!$B$29+'Inputs'!$B$31+'Inputs'!$B$32,'Inputs'!$B$30+'Inputs'!$B$31+'Inputs'!$B$32)/1000+'Inputs'!$B$21+'Inputs'!$B$7+'Inputs'!$B$10))/SQRT((((908-43)*MAX('Inputs'!$B$33,'Inputs'!$B$29+'Inputs'!$B$31+'Inputs'!$B$32,'Inputs'!$B$30+'Inputs'!$B$31+'Inputs'!$B$32)/1000+'Inputs'!$B$21+'Inputs'!$B$7+'Inputs'!$B$10))^2+('Inputs'!$B$8/2)^2))))*'Results'!$B$8)+'Inputs'!$B$28*ABS((('Results'!B7*(1+'Inputs'!$B$24)*(0.5*((((908-43)*MAX('Inputs'!$B$33,'Inputs'!$B$29+'Inputs'!$B$31+'Inputs'!$B$32,'Inputs'!$B$30+'Inputs'!$B$31+'Inputs'!$B$32)/1000+'Inputs'!$B$21)+'Inputs'!$B$7)/SQRT((((908-43)*MAX('Inputs'!$B$33,'Inputs'!$B$29+'Inputs'!$B$31+'Inputs'!$B$32,'Inputs'!$B$30+'Inputs'!$B$31+'Inputs'!$B$32)/1000+'Inputs'!$B$21)+'Inputs'!$B$7)^2+('Inputs'!$B$6/2)^2)-(((908-43)*MAX('Inputs'!$B$33,'Inputs'!$B$29+'Inputs'!$B$31+'Inputs'!$B$32,'Inputs'!$B$30+'Inputs'!$B$31+'Inputs'!$B$32)/1000+'Inputs'!$B$21))/SQRT((((908-43)*MAX('Inputs'!$B$33,'Inputs'!$B$29+'Inputs'!$B$31+'Inputs'!$B$32,'Inputs'!$B$30+'Inputs'!$B$31+'Inputs'!$B$32)/1000+'Inputs'!$B$21))^2+('Inputs'!$B$6/2)^2)))-'Results'!C7*(1-'Inputs'!$B$24)*(0.5*((((908-43)*MAX('Inputs'!$B$33,'Inputs'!$B$29+'Inputs'!$B$31+'Inputs'!$B$32,'Inputs'!$B$30+'Inputs'!$B$31+'Inputs'!$B$32)/1000+'Inputs'!$B$21+'Inputs'!$B$7+'Inputs'!$B$10)+'Inputs'!$B$9)/SQRT((((908-43)*MAX('Inputs'!$B$33,'Inputs'!$B$29+'Inputs'!$B$31+'Inputs'!$B$32,'Inputs'!$B$30+'Inputs'!$B$31+'Inputs'!$B$32)/1000+'Inputs'!$B$21+'Inputs'!$B$7+'Inputs'!$B$10)+'Inputs'!$B$9)^2+('Inputs'!$B$8/2)^2)-(((908-43)*MAX('Inputs'!$B$33,'Inputs'!$B$29+'Inputs'!$B$31+'Inputs'!$B$32,'Inputs'!$B$30+'Inputs'!$B$31+'Inputs'!$B$32)/1000+'Inputs'!$B$21+'Inputs'!$B$7+'Inputs'!$B$10))/SQRT((((908-43)*MAX('Inputs'!$B$33,'Inputs'!$B$29+'Inputs'!$B$31+'Inputs'!$B$32,'Inputs'!$B$30+'Inputs'!$B$31+'Inputs'!$B$32)/1000+'Inputs'!$B$21+'Inputs'!$B$7+'Inputs'!$B$10))^2+('Inputs'!$B$8/2)^2))))*'Results'!$B$8))),"")</x:f>
        <x:v>0.7023827546759116</x:v>
      </x:c>
      <x:c r="M908" t="n">
        <x:f>IF(AND(ISNUMBER('Results'!C7),ISNUMBER('Results'!B7),ISNUMBER('Results'!$B$8),ISNUMBER('Inputs'!$B$6),ISNUMBER('Inputs'!$B$7),ISNUMBER('Inputs'!$B$8),ISNUMBER('Inputs'!$B$9),ISNUMBER('Inputs'!$B$10),ISNUMBER('Inputs'!$B$21),ISNUMBER('Inputs'!$B$24),ISNUMBER('Inputs'!$B$28)),(('Results'!C7*(0.5*((((908-43)*MAX('Inputs'!$B$33,'Inputs'!$B$29+'Inputs'!$B$31+'Inputs'!$B$32,'Inputs'!$B$30+'Inputs'!$B$31+'Inputs'!$B$32)/1000+'Inputs'!$B$21)+'Inputs'!$B$9)/SQRT((((908-43)*MAX('Inputs'!$B$33,'Inputs'!$B$29+'Inputs'!$B$31+'Inputs'!$B$32,'Inputs'!$B$30+'Inputs'!$B$31+'Inputs'!$B$32)/1000+'Inputs'!$B$21)+'Inputs'!$B$9)^2+('Inputs'!$B$8/2)^2)-(((908-43)*MAX('Inputs'!$B$33,'Inputs'!$B$29+'Inputs'!$B$31+'Inputs'!$B$32,'Inputs'!$B$30+'Inputs'!$B$31+'Inputs'!$B$32)/1000+'Inputs'!$B$21))/SQRT((((908-43)*MAX('Inputs'!$B$33,'Inputs'!$B$29+'Inputs'!$B$31+'Inputs'!$B$32,'Inputs'!$B$30+'Inputs'!$B$31+'Inputs'!$B$32)/1000+'Inputs'!$B$21))^2+('Inputs'!$B$8/2)^2)))-'Results'!B7*(0.5*((((908-43)*MAX('Inputs'!$B$33,'Inputs'!$B$29+'Inputs'!$B$31+'Inputs'!$B$32,'Inputs'!$B$30+'Inputs'!$B$31+'Inputs'!$B$32)/1000+'Inputs'!$B$21+'Inputs'!$B$9+'Inputs'!$B$10)+'Inputs'!$B$7)/SQRT((((908-43)*MAX('Inputs'!$B$33,'Inputs'!$B$29+'Inputs'!$B$31+'Inputs'!$B$32,'Inputs'!$B$30+'Inputs'!$B$31+'Inputs'!$B$32)/1000+'Inputs'!$B$21+'Inputs'!$B$9+'Inputs'!$B$10)+'Inputs'!$B$7)^2+('Inputs'!$B$6/2)^2)-(((908-43)*MAX('Inputs'!$B$33,'Inputs'!$B$29+'Inputs'!$B$31+'Inputs'!$B$32,'Inputs'!$B$30+'Inputs'!$B$31+'Inputs'!$B$32)/1000+'Inputs'!$B$21+'Inputs'!$B$9+'Inputs'!$B$10))/SQRT((((908-43)*MAX('Inputs'!$B$33,'Inputs'!$B$29+'Inputs'!$B$31+'Inputs'!$B$32,'Inputs'!$B$30+'Inputs'!$B$31+'Inputs'!$B$32)/1000+'Inputs'!$B$21+'Inputs'!$B$9+'Inputs'!$B$10))^2+('Inputs'!$B$6/2)^2))))*'Results'!$B$8),"")</x:f>
        <x:v>0.5406312041184795</x:v>
      </x:c>
      <x:c r="N908" t="n">
        <x:f>IF(AND(ISNUMBER('Results'!C7),ISNUMBER('Results'!B7),ISNUMBER('Results'!$B$8),ISNUMBER('Inputs'!$B$6),ISNUMBER('Inputs'!$B$7),ISNUMBER('Inputs'!$B$8),ISNUMBER('Inputs'!$B$9),ISNUMBER('Inputs'!$B$10),ISNUMBER('Inputs'!$B$21),ISNUMBER('Inputs'!$B$24),ISNUMBER('Inputs'!$B$28)),((('Results'!C7*(1-'Inputs'!$B$24)*(0.5*((((908-43)*MAX('Inputs'!$B$33,'Inputs'!$B$29+'Inputs'!$B$31+'Inputs'!$B$32,'Inputs'!$B$30+'Inputs'!$B$31+'Inputs'!$B$32)/1000+'Inputs'!$B$21)+'Inputs'!$B$9)/SQRT((((908-43)*MAX('Inputs'!$B$33,'Inputs'!$B$29+'Inputs'!$B$31+'Inputs'!$B$32,'Inputs'!$B$30+'Inputs'!$B$31+'Inputs'!$B$32)/1000+'Inputs'!$B$21)+'Inputs'!$B$9)^2+('Inputs'!$B$8/2)^2)-(((908-43)*MAX('Inputs'!$B$33,'Inputs'!$B$29+'Inputs'!$B$31+'Inputs'!$B$32,'Inputs'!$B$30+'Inputs'!$B$31+'Inputs'!$B$32)/1000+'Inputs'!$B$21))/SQRT((((908-43)*MAX('Inputs'!$B$33,'Inputs'!$B$29+'Inputs'!$B$31+'Inputs'!$B$32,'Inputs'!$B$30+'Inputs'!$B$31+'Inputs'!$B$32)/1000+'Inputs'!$B$21))^2+('Inputs'!$B$8/2)^2)))-'Results'!B7*(1+'Inputs'!$B$24)*(0.5*((((908-43)*MAX('Inputs'!$B$33,'Inputs'!$B$29+'Inputs'!$B$31+'Inputs'!$B$32,'Inputs'!$B$30+'Inputs'!$B$31+'Inputs'!$B$32)/1000+'Inputs'!$B$21+'Inputs'!$B$9+'Inputs'!$B$10)+'Inputs'!$B$7)/SQRT((((908-43)*MAX('Inputs'!$B$33,'Inputs'!$B$29+'Inputs'!$B$31+'Inputs'!$B$32,'Inputs'!$B$30+'Inputs'!$B$31+'Inputs'!$B$32)/1000+'Inputs'!$B$21+'Inputs'!$B$9+'Inputs'!$B$10)+'Inputs'!$B$7)^2+('Inputs'!$B$6/2)^2)-(((908-43)*MAX('Inputs'!$B$33,'Inputs'!$B$29+'Inputs'!$B$31+'Inputs'!$B$32,'Inputs'!$B$30+'Inputs'!$B$31+'Inputs'!$B$32)/1000+'Inputs'!$B$21+'Inputs'!$B$9+'Inputs'!$B$10))/SQRT((((908-43)*MAX('Inputs'!$B$33,'Inputs'!$B$29+'Inputs'!$B$31+'Inputs'!$B$32,'Inputs'!$B$30+'Inputs'!$B$31+'Inputs'!$B$32)/1000+'Inputs'!$B$21+'Inputs'!$B$9+'Inputs'!$B$10))^2+('Inputs'!$B$6/2)^2))))*'Results'!$B$8)-'Inputs'!$B$28*ABS((('Results'!C7*(1-'Inputs'!$B$24)*(0.5*((((908-43)*MAX('Inputs'!$B$33,'Inputs'!$B$29+'Inputs'!$B$31+'Inputs'!$B$32,'Inputs'!$B$30+'Inputs'!$B$31+'Inputs'!$B$32)/1000+'Inputs'!$B$21)+'Inputs'!$B$9)/SQRT((((908-43)*MAX('Inputs'!$B$33,'Inputs'!$B$29+'Inputs'!$B$31+'Inputs'!$B$32,'Inputs'!$B$30+'Inputs'!$B$31+'Inputs'!$B$32)/1000+'Inputs'!$B$21)+'Inputs'!$B$9)^2+('Inputs'!$B$8/2)^2)-(((908-43)*MAX('Inputs'!$B$33,'Inputs'!$B$29+'Inputs'!$B$31+'Inputs'!$B$32,'Inputs'!$B$30+'Inputs'!$B$31+'Inputs'!$B$32)/1000+'Inputs'!$B$21))/SQRT((((908-43)*MAX('Inputs'!$B$33,'Inputs'!$B$29+'Inputs'!$B$31+'Inputs'!$B$32,'Inputs'!$B$30+'Inputs'!$B$31+'Inputs'!$B$32)/1000+'Inputs'!$B$21))^2+('Inputs'!$B$8/2)^2)))-'Results'!B7*(1+'Inputs'!$B$24)*(0.5*((((908-43)*MAX('Inputs'!$B$33,'Inputs'!$B$29+'Inputs'!$B$31+'Inputs'!$B$32,'Inputs'!$B$30+'Inputs'!$B$31+'Inputs'!$B$32)/1000+'Inputs'!$B$21+'Inputs'!$B$9+'Inputs'!$B$10)+'Inputs'!$B$7)/SQRT((((908-43)*MAX('Inputs'!$B$33,'Inputs'!$B$29+'Inputs'!$B$31+'Inputs'!$B$32,'Inputs'!$B$30+'Inputs'!$B$31+'Inputs'!$B$32)/1000+'Inputs'!$B$21+'Inputs'!$B$9+'Inputs'!$B$10)+'Inputs'!$B$7)^2+('Inputs'!$B$6/2)^2)-(((908-43)*MAX('Inputs'!$B$33,'Inputs'!$B$29+'Inputs'!$B$31+'Inputs'!$B$32,'Inputs'!$B$30+'Inputs'!$B$31+'Inputs'!$B$32)/1000+'Inputs'!$B$21+'Inputs'!$B$9+'Inputs'!$B$10))/SQRT((((908-43)*MAX('Inputs'!$B$33,'Inputs'!$B$29+'Inputs'!$B$31+'Inputs'!$B$32,'Inputs'!$B$30+'Inputs'!$B$31+'Inputs'!$B$32)/1000+'Inputs'!$B$21+'Inputs'!$B$9+'Inputs'!$B$10))^2+('Inputs'!$B$6/2)^2))))*'Results'!$B$8))),"")</x:f>
        <x:v>0.45312577354885375</x:v>
      </x:c>
      <x:c r="O908" t="n">
        <x:f>IF(AND(ISNUMBER('Results'!C7),ISNUMBER('Results'!B7),ISNUMBER('Results'!$B$8),ISNUMBER('Inputs'!$B$6),ISNUMBER('Inputs'!$B$7),ISNUMBER('Inputs'!$B$8),ISNUMBER('Inputs'!$B$9),ISNUMBER('Inputs'!$B$10),ISNUMBER('Inputs'!$B$21),ISNUMBER('Inputs'!$B$24),ISNUMBER('Inputs'!$B$28)),((('Results'!C7*(1+'Inputs'!$B$24)*(0.5*((((908-43)*MAX('Inputs'!$B$33,'Inputs'!$B$29+'Inputs'!$B$31+'Inputs'!$B$32,'Inputs'!$B$30+'Inputs'!$B$31+'Inputs'!$B$32)/1000+'Inputs'!$B$21)+'Inputs'!$B$9)/SQRT((((908-43)*MAX('Inputs'!$B$33,'Inputs'!$B$29+'Inputs'!$B$31+'Inputs'!$B$32,'Inputs'!$B$30+'Inputs'!$B$31+'Inputs'!$B$32)/1000+'Inputs'!$B$21)+'Inputs'!$B$9)^2+('Inputs'!$B$8/2)^2)-(((908-43)*MAX('Inputs'!$B$33,'Inputs'!$B$29+'Inputs'!$B$31+'Inputs'!$B$32,'Inputs'!$B$30+'Inputs'!$B$31+'Inputs'!$B$32)/1000+'Inputs'!$B$21))/SQRT((((908-43)*MAX('Inputs'!$B$33,'Inputs'!$B$29+'Inputs'!$B$31+'Inputs'!$B$32,'Inputs'!$B$30+'Inputs'!$B$31+'Inputs'!$B$32)/1000+'Inputs'!$B$21))^2+('Inputs'!$B$8/2)^2)))-'Results'!B7*(1-'Inputs'!$B$24)*(0.5*((((908-43)*MAX('Inputs'!$B$33,'Inputs'!$B$29+'Inputs'!$B$31+'Inputs'!$B$32,'Inputs'!$B$30+'Inputs'!$B$31+'Inputs'!$B$32)/1000+'Inputs'!$B$21+'Inputs'!$B$9+'Inputs'!$B$10)+'Inputs'!$B$7)/SQRT((((908-43)*MAX('Inputs'!$B$33,'Inputs'!$B$29+'Inputs'!$B$31+'Inputs'!$B$32,'Inputs'!$B$30+'Inputs'!$B$31+'Inputs'!$B$32)/1000+'Inputs'!$B$21+'Inputs'!$B$9+'Inputs'!$B$10)+'Inputs'!$B$7)^2+('Inputs'!$B$6/2)^2)-(((908-43)*MAX('Inputs'!$B$33,'Inputs'!$B$29+'Inputs'!$B$31+'Inputs'!$B$32,'Inputs'!$B$30+'Inputs'!$B$31+'Inputs'!$B$32)/1000+'Inputs'!$B$21+'Inputs'!$B$9+'Inputs'!$B$10))/SQRT((((908-43)*MAX('Inputs'!$B$33,'Inputs'!$B$29+'Inputs'!$B$31+'Inputs'!$B$32,'Inputs'!$B$30+'Inputs'!$B$31+'Inputs'!$B$32)/1000+'Inputs'!$B$21+'Inputs'!$B$9+'Inputs'!$B$10))^2+('Inputs'!$B$6/2)^2))))*'Results'!$B$8)+'Inputs'!$B$28*ABS((('Results'!C7*(1+'Inputs'!$B$24)*(0.5*((((908-43)*MAX('Inputs'!$B$33,'Inputs'!$B$29+'Inputs'!$B$31+'Inputs'!$B$32,'Inputs'!$B$30+'Inputs'!$B$31+'Inputs'!$B$32)/1000+'Inputs'!$B$21)+'Inputs'!$B$9)/SQRT((((908-43)*MAX('Inputs'!$B$33,'Inputs'!$B$29+'Inputs'!$B$31+'Inputs'!$B$32,'Inputs'!$B$30+'Inputs'!$B$31+'Inputs'!$B$32)/1000+'Inputs'!$B$21)+'Inputs'!$B$9)^2+('Inputs'!$B$8/2)^2)-(((908-43)*MAX('Inputs'!$B$33,'Inputs'!$B$29+'Inputs'!$B$31+'Inputs'!$B$32,'Inputs'!$B$30+'Inputs'!$B$31+'Inputs'!$B$32)/1000+'Inputs'!$B$21))/SQRT((((908-43)*MAX('Inputs'!$B$33,'Inputs'!$B$29+'Inputs'!$B$31+'Inputs'!$B$32,'Inputs'!$B$30+'Inputs'!$B$31+'Inputs'!$B$32)/1000+'Inputs'!$B$21))^2+('Inputs'!$B$8/2)^2)))-'Results'!B7*(1-'Inputs'!$B$24)*(0.5*((((908-43)*MAX('Inputs'!$B$33,'Inputs'!$B$29+'Inputs'!$B$31+'Inputs'!$B$32,'Inputs'!$B$30+'Inputs'!$B$31+'Inputs'!$B$32)/1000+'Inputs'!$B$21+'Inputs'!$B$9+'Inputs'!$B$10)+'Inputs'!$B$7)/SQRT((((908-43)*MAX('Inputs'!$B$33,'Inputs'!$B$29+'Inputs'!$B$31+'Inputs'!$B$32,'Inputs'!$B$30+'Inputs'!$B$31+'Inputs'!$B$32)/1000+'Inputs'!$B$21+'Inputs'!$B$9+'Inputs'!$B$10)+'Inputs'!$B$7)^2+('Inputs'!$B$6/2)^2)-(((908-43)*MAX('Inputs'!$B$33,'Inputs'!$B$29+'Inputs'!$B$31+'Inputs'!$B$32,'Inputs'!$B$30+'Inputs'!$B$31+'Inputs'!$B$32)/1000+'Inputs'!$B$21+'Inputs'!$B$9+'Inputs'!$B$10))/SQRT((((908-43)*MAX('Inputs'!$B$33,'Inputs'!$B$29+'Inputs'!$B$31+'Inputs'!$B$32,'Inputs'!$B$30+'Inputs'!$B$31+'Inputs'!$B$32)/1000+'Inputs'!$B$21+'Inputs'!$B$9+'Inputs'!$B$10))^2+('Inputs'!$B$6/2)^2))))*'Results'!$B$8))),"")</x:f>
        <x:v>0.6345023052527053</x:v>
      </x:c>
      <x:c r="P908" t="n">
        <x:f>IF(AND(MAX(J908,J907)&gt;0,J908&gt;J907+0.00000001),1,0)</x:f>
        <x:v>0</x:v>
      </x:c>
      <x:c r="Q908" t="n">
        <x:f>IF(AND(MAX(K908,K907)&gt;0,K908&gt;K907+0.00000001),1,0)</x:f>
        <x:v>0</x:v>
      </x:c>
      <x:c r="R908" t="n">
        <x:f>IF(AND(MAX(L908,L907)&gt;0,L908&gt;L907+0.00000001),1,0)</x:f>
        <x:v>0</x:v>
      </x:c>
      <x:c r="S908" t="n">
        <x:f>IF(AND(MAX(M908,M907)&gt;0,M908&gt;M907+0.00000001),1,0)</x:f>
        <x:v>0</x:v>
      </x:c>
      <x:c r="T908" t="n">
        <x:f>IF(AND(MAX(N908,N907)&gt;0,N908&gt;N907+0.00000001),1,0)</x:f>
        <x:v>0</x:v>
      </x:c>
      <x:c r="U908" t="n">
        <x:f>IF(AND(MAX(O908,O907)&gt;0,O908&gt;O907+0.00000001),1,0)</x:f>
        <x:v>0</x:v>
      </x:c>
    </x:row>
    <x:row r="909">
      <x:c r="J909" t="n">
        <x:f>IF(AND(ISNUMBER('Results'!B7),ISNUMBER('Results'!C7),ISNUMBER('Results'!$B$8),ISNUMBER('Inputs'!$B$6),ISNUMBER('Inputs'!$B$7),ISNUMBER('Inputs'!$B$8),ISNUMBER('Inputs'!$B$9),ISNUMBER('Inputs'!$B$10),ISNUMBER('Inputs'!$B$21),ISNUMBER('Inputs'!$B$24),ISNUMBER('Inputs'!$B$28)),(('Results'!B7*(0.5*((((909-43)*MAX('Inputs'!$B$33,'Inputs'!$B$29+'Inputs'!$B$31+'Inputs'!$B$32,'Inputs'!$B$30+'Inputs'!$B$31+'Inputs'!$B$32)/1000+'Inputs'!$B$21)+'Inputs'!$B$7)/SQRT((((909-43)*MAX('Inputs'!$B$33,'Inputs'!$B$29+'Inputs'!$B$31+'Inputs'!$B$32,'Inputs'!$B$30+'Inputs'!$B$31+'Inputs'!$B$32)/1000+'Inputs'!$B$21)+'Inputs'!$B$7)^2+('Inputs'!$B$6/2)^2)-(((909-43)*MAX('Inputs'!$B$33,'Inputs'!$B$29+'Inputs'!$B$31+'Inputs'!$B$32,'Inputs'!$B$30+'Inputs'!$B$31+'Inputs'!$B$32)/1000+'Inputs'!$B$21))/SQRT((((909-43)*MAX('Inputs'!$B$33,'Inputs'!$B$29+'Inputs'!$B$31+'Inputs'!$B$32,'Inputs'!$B$30+'Inputs'!$B$31+'Inputs'!$B$32)/1000+'Inputs'!$B$21))^2+('Inputs'!$B$6/2)^2)))-'Results'!C7*(0.5*((((909-43)*MAX('Inputs'!$B$33,'Inputs'!$B$29+'Inputs'!$B$31+'Inputs'!$B$32,'Inputs'!$B$30+'Inputs'!$B$31+'Inputs'!$B$32)/1000+'Inputs'!$B$21+'Inputs'!$B$7+'Inputs'!$B$10)+'Inputs'!$B$9)/SQRT((((909-43)*MAX('Inputs'!$B$33,'Inputs'!$B$29+'Inputs'!$B$31+'Inputs'!$B$32,'Inputs'!$B$30+'Inputs'!$B$31+'Inputs'!$B$32)/1000+'Inputs'!$B$21+'Inputs'!$B$7+'Inputs'!$B$10)+'Inputs'!$B$9)^2+('Inputs'!$B$8/2)^2)-(((909-43)*MAX('Inputs'!$B$33,'Inputs'!$B$29+'Inputs'!$B$31+'Inputs'!$B$32,'Inputs'!$B$30+'Inputs'!$B$31+'Inputs'!$B$32)/1000+'Inputs'!$B$21+'Inputs'!$B$7+'Inputs'!$B$10))/SQRT((((909-43)*MAX('Inputs'!$B$33,'Inputs'!$B$29+'Inputs'!$B$31+'Inputs'!$B$32,'Inputs'!$B$30+'Inputs'!$B$31+'Inputs'!$B$32)/1000+'Inputs'!$B$21+'Inputs'!$B$7+'Inputs'!$B$10))^2+('Inputs'!$B$8/2)^2))))*'Results'!$B$8),"")</x:f>
        <x:v>0.6025242823233886</x:v>
      </x:c>
      <x:c r="K909" t="n">
        <x:f>IF(AND(ISNUMBER('Results'!B7),ISNUMBER('Results'!C7),ISNUMBER('Results'!$B$8),ISNUMBER('Inputs'!$B$6),ISNUMBER('Inputs'!$B$7),ISNUMBER('Inputs'!$B$8),ISNUMBER('Inputs'!$B$9),ISNUMBER('Inputs'!$B$10),ISNUMBER('Inputs'!$B$21),ISNUMBER('Inputs'!$B$24),ISNUMBER('Inputs'!$B$28)),((('Results'!B7*(1-'Inputs'!$B$24)*(0.5*((((909-43)*MAX('Inputs'!$B$33,'Inputs'!$B$29+'Inputs'!$B$31+'Inputs'!$B$32,'Inputs'!$B$30+'Inputs'!$B$31+'Inputs'!$B$32)/1000+'Inputs'!$B$21)+'Inputs'!$B$7)/SQRT((((909-43)*MAX('Inputs'!$B$33,'Inputs'!$B$29+'Inputs'!$B$31+'Inputs'!$B$32,'Inputs'!$B$30+'Inputs'!$B$31+'Inputs'!$B$32)/1000+'Inputs'!$B$21)+'Inputs'!$B$7)^2+('Inputs'!$B$6/2)^2)-(((909-43)*MAX('Inputs'!$B$33,'Inputs'!$B$29+'Inputs'!$B$31+'Inputs'!$B$32,'Inputs'!$B$30+'Inputs'!$B$31+'Inputs'!$B$32)/1000+'Inputs'!$B$21))/SQRT((((909-43)*MAX('Inputs'!$B$33,'Inputs'!$B$29+'Inputs'!$B$31+'Inputs'!$B$32,'Inputs'!$B$30+'Inputs'!$B$31+'Inputs'!$B$32)/1000+'Inputs'!$B$21))^2+('Inputs'!$B$6/2)^2)))-'Results'!C7*(1+'Inputs'!$B$24)*(0.5*((((909-43)*MAX('Inputs'!$B$33,'Inputs'!$B$29+'Inputs'!$B$31+'Inputs'!$B$32,'Inputs'!$B$30+'Inputs'!$B$31+'Inputs'!$B$32)/1000+'Inputs'!$B$21+'Inputs'!$B$7+'Inputs'!$B$10)+'Inputs'!$B$9)/SQRT((((909-43)*MAX('Inputs'!$B$33,'Inputs'!$B$29+'Inputs'!$B$31+'Inputs'!$B$32,'Inputs'!$B$30+'Inputs'!$B$31+'Inputs'!$B$32)/1000+'Inputs'!$B$21+'Inputs'!$B$7+'Inputs'!$B$10)+'Inputs'!$B$9)^2+('Inputs'!$B$8/2)^2)-(((909-43)*MAX('Inputs'!$B$33,'Inputs'!$B$29+'Inputs'!$B$31+'Inputs'!$B$32,'Inputs'!$B$30+'Inputs'!$B$31+'Inputs'!$B$32)/1000+'Inputs'!$B$21+'Inputs'!$B$7+'Inputs'!$B$10))/SQRT((((909-43)*MAX('Inputs'!$B$33,'Inputs'!$B$29+'Inputs'!$B$31+'Inputs'!$B$32,'Inputs'!$B$30+'Inputs'!$B$31+'Inputs'!$B$32)/1000+'Inputs'!$B$21+'Inputs'!$B$7+'Inputs'!$B$10))^2+('Inputs'!$B$8/2)^2))))*'Results'!$B$8)-'Inputs'!$B$28*ABS((('Results'!B7*(1-'Inputs'!$B$24)*(0.5*((((909-43)*MAX('Inputs'!$B$33,'Inputs'!$B$29+'Inputs'!$B$31+'Inputs'!$B$32,'Inputs'!$B$30+'Inputs'!$B$31+'Inputs'!$B$32)/1000+'Inputs'!$B$21)+'Inputs'!$B$7)/SQRT((((909-43)*MAX('Inputs'!$B$33,'Inputs'!$B$29+'Inputs'!$B$31+'Inputs'!$B$32,'Inputs'!$B$30+'Inputs'!$B$31+'Inputs'!$B$32)/1000+'Inputs'!$B$21)+'Inputs'!$B$7)^2+('Inputs'!$B$6/2)^2)-(((909-43)*MAX('Inputs'!$B$33,'Inputs'!$B$29+'Inputs'!$B$31+'Inputs'!$B$32,'Inputs'!$B$30+'Inputs'!$B$31+'Inputs'!$B$32)/1000+'Inputs'!$B$21))/SQRT((((909-43)*MAX('Inputs'!$B$33,'Inputs'!$B$29+'Inputs'!$B$31+'Inputs'!$B$32,'Inputs'!$B$30+'Inputs'!$B$31+'Inputs'!$B$32)/1000+'Inputs'!$B$21))^2+('Inputs'!$B$6/2)^2)))-'Results'!C7*(1+'Inputs'!$B$24)*(0.5*((((909-43)*MAX('Inputs'!$B$33,'Inputs'!$B$29+'Inputs'!$B$31+'Inputs'!$B$32,'Inputs'!$B$30+'Inputs'!$B$31+'Inputs'!$B$32)/1000+'Inputs'!$B$21+'Inputs'!$B$7+'Inputs'!$B$10)+'Inputs'!$B$9)/SQRT((((909-43)*MAX('Inputs'!$B$33,'Inputs'!$B$29+'Inputs'!$B$31+'Inputs'!$B$32,'Inputs'!$B$30+'Inputs'!$B$31+'Inputs'!$B$32)/1000+'Inputs'!$B$21+'Inputs'!$B$7+'Inputs'!$B$10)+'Inputs'!$B$9)^2+('Inputs'!$B$8/2)^2)-(((909-43)*MAX('Inputs'!$B$33,'Inputs'!$B$29+'Inputs'!$B$31+'Inputs'!$B$32,'Inputs'!$B$30+'Inputs'!$B$31+'Inputs'!$B$32)/1000+'Inputs'!$B$21+'Inputs'!$B$7+'Inputs'!$B$10))/SQRT((((909-43)*MAX('Inputs'!$B$33,'Inputs'!$B$29+'Inputs'!$B$31+'Inputs'!$B$32,'Inputs'!$B$30+'Inputs'!$B$31+'Inputs'!$B$32)/1000+'Inputs'!$B$21+'Inputs'!$B$7+'Inputs'!$B$10))^2+('Inputs'!$B$8/2)^2))))*'Results'!$B$8))),"")</x:f>
        <x:v>0.5118987885655953</x:v>
      </x:c>
      <x:c r="L909" t="n">
        <x:f>IF(AND(ISNUMBER('Results'!B7),ISNUMBER('Results'!C7),ISNUMBER('Results'!$B$8),ISNUMBER('Inputs'!$B$6),ISNUMBER('Inputs'!$B$7),ISNUMBER('Inputs'!$B$8),ISNUMBER('Inputs'!$B$9),ISNUMBER('Inputs'!$B$10),ISNUMBER('Inputs'!$B$21),ISNUMBER('Inputs'!$B$24),ISNUMBER('Inputs'!$B$28)),((('Results'!B7*(1+'Inputs'!$B$24)*(0.5*((((909-43)*MAX('Inputs'!$B$33,'Inputs'!$B$29+'Inputs'!$B$31+'Inputs'!$B$32,'Inputs'!$B$30+'Inputs'!$B$31+'Inputs'!$B$32)/1000+'Inputs'!$B$21)+'Inputs'!$B$7)/SQRT((((909-43)*MAX('Inputs'!$B$33,'Inputs'!$B$29+'Inputs'!$B$31+'Inputs'!$B$32,'Inputs'!$B$30+'Inputs'!$B$31+'Inputs'!$B$32)/1000+'Inputs'!$B$21)+'Inputs'!$B$7)^2+('Inputs'!$B$6/2)^2)-(((909-43)*MAX('Inputs'!$B$33,'Inputs'!$B$29+'Inputs'!$B$31+'Inputs'!$B$32,'Inputs'!$B$30+'Inputs'!$B$31+'Inputs'!$B$32)/1000+'Inputs'!$B$21))/SQRT((((909-43)*MAX('Inputs'!$B$33,'Inputs'!$B$29+'Inputs'!$B$31+'Inputs'!$B$32,'Inputs'!$B$30+'Inputs'!$B$31+'Inputs'!$B$32)/1000+'Inputs'!$B$21))^2+('Inputs'!$B$6/2)^2)))-'Results'!C7*(1-'Inputs'!$B$24)*(0.5*((((909-43)*MAX('Inputs'!$B$33,'Inputs'!$B$29+'Inputs'!$B$31+'Inputs'!$B$32,'Inputs'!$B$30+'Inputs'!$B$31+'Inputs'!$B$32)/1000+'Inputs'!$B$21+'Inputs'!$B$7+'Inputs'!$B$10)+'Inputs'!$B$9)/SQRT((((909-43)*MAX('Inputs'!$B$33,'Inputs'!$B$29+'Inputs'!$B$31+'Inputs'!$B$32,'Inputs'!$B$30+'Inputs'!$B$31+'Inputs'!$B$32)/1000+'Inputs'!$B$21+'Inputs'!$B$7+'Inputs'!$B$10)+'Inputs'!$B$9)^2+('Inputs'!$B$8/2)^2)-(((909-43)*MAX('Inputs'!$B$33,'Inputs'!$B$29+'Inputs'!$B$31+'Inputs'!$B$32,'Inputs'!$B$30+'Inputs'!$B$31+'Inputs'!$B$32)/1000+'Inputs'!$B$21+'Inputs'!$B$7+'Inputs'!$B$10))/SQRT((((909-43)*MAX('Inputs'!$B$33,'Inputs'!$B$29+'Inputs'!$B$31+'Inputs'!$B$32,'Inputs'!$B$30+'Inputs'!$B$31+'Inputs'!$B$32)/1000+'Inputs'!$B$21+'Inputs'!$B$7+'Inputs'!$B$10))^2+('Inputs'!$B$8/2)^2))))*'Results'!$B$8)+'Inputs'!$B$28*ABS((('Results'!B7*(1+'Inputs'!$B$24)*(0.5*((((909-43)*MAX('Inputs'!$B$33,'Inputs'!$B$29+'Inputs'!$B$31+'Inputs'!$B$32,'Inputs'!$B$30+'Inputs'!$B$31+'Inputs'!$B$32)/1000+'Inputs'!$B$21)+'Inputs'!$B$7)/SQRT((((909-43)*MAX('Inputs'!$B$33,'Inputs'!$B$29+'Inputs'!$B$31+'Inputs'!$B$32,'Inputs'!$B$30+'Inputs'!$B$31+'Inputs'!$B$32)/1000+'Inputs'!$B$21)+'Inputs'!$B$7)^2+('Inputs'!$B$6/2)^2)-(((909-43)*MAX('Inputs'!$B$33,'Inputs'!$B$29+'Inputs'!$B$31+'Inputs'!$B$32,'Inputs'!$B$30+'Inputs'!$B$31+'Inputs'!$B$32)/1000+'Inputs'!$B$21))/SQRT((((909-43)*MAX('Inputs'!$B$33,'Inputs'!$B$29+'Inputs'!$B$31+'Inputs'!$B$32,'Inputs'!$B$30+'Inputs'!$B$31+'Inputs'!$B$32)/1000+'Inputs'!$B$21))^2+('Inputs'!$B$6/2)^2)))-'Results'!C7*(1-'Inputs'!$B$24)*(0.5*((((909-43)*MAX('Inputs'!$B$33,'Inputs'!$B$29+'Inputs'!$B$31+'Inputs'!$B$32,'Inputs'!$B$30+'Inputs'!$B$31+'Inputs'!$B$32)/1000+'Inputs'!$B$21+'Inputs'!$B$7+'Inputs'!$B$10)+'Inputs'!$B$9)/SQRT((((909-43)*MAX('Inputs'!$B$33,'Inputs'!$B$29+'Inputs'!$B$31+'Inputs'!$B$32,'Inputs'!$B$30+'Inputs'!$B$31+'Inputs'!$B$32)/1000+'Inputs'!$B$21+'Inputs'!$B$7+'Inputs'!$B$10)+'Inputs'!$B$9)^2+('Inputs'!$B$8/2)^2)-(((909-43)*MAX('Inputs'!$B$33,'Inputs'!$B$29+'Inputs'!$B$31+'Inputs'!$B$32,'Inputs'!$B$30+'Inputs'!$B$31+'Inputs'!$B$32)/1000+'Inputs'!$B$21+'Inputs'!$B$7+'Inputs'!$B$10))/SQRT((((909-43)*MAX('Inputs'!$B$33,'Inputs'!$B$29+'Inputs'!$B$31+'Inputs'!$B$32,'Inputs'!$B$30+'Inputs'!$B$31+'Inputs'!$B$32)/1000+'Inputs'!$B$21+'Inputs'!$B$7+'Inputs'!$B$10))^2+('Inputs'!$B$8/2)^2))))*'Results'!$B$8))),"")</x:f>
        <x:v>0.6995181213066164</x:v>
      </x:c>
      <x:c r="M909" t="n">
        <x:f>IF(AND(ISNUMBER('Results'!C7),ISNUMBER('Results'!B7),ISNUMBER('Results'!$B$8),ISNUMBER('Inputs'!$B$6),ISNUMBER('Inputs'!$B$7),ISNUMBER('Inputs'!$B$8),ISNUMBER('Inputs'!$B$9),ISNUMBER('Inputs'!$B$10),ISNUMBER('Inputs'!$B$21),ISNUMBER('Inputs'!$B$24),ISNUMBER('Inputs'!$B$28)),(('Results'!C7*(0.5*((((909-43)*MAX('Inputs'!$B$33,'Inputs'!$B$29+'Inputs'!$B$31+'Inputs'!$B$32,'Inputs'!$B$30+'Inputs'!$B$31+'Inputs'!$B$32)/1000+'Inputs'!$B$21)+'Inputs'!$B$9)/SQRT((((909-43)*MAX('Inputs'!$B$33,'Inputs'!$B$29+'Inputs'!$B$31+'Inputs'!$B$32,'Inputs'!$B$30+'Inputs'!$B$31+'Inputs'!$B$32)/1000+'Inputs'!$B$21)+'Inputs'!$B$9)^2+('Inputs'!$B$8/2)^2)-(((909-43)*MAX('Inputs'!$B$33,'Inputs'!$B$29+'Inputs'!$B$31+'Inputs'!$B$32,'Inputs'!$B$30+'Inputs'!$B$31+'Inputs'!$B$32)/1000+'Inputs'!$B$21))/SQRT((((909-43)*MAX('Inputs'!$B$33,'Inputs'!$B$29+'Inputs'!$B$31+'Inputs'!$B$32,'Inputs'!$B$30+'Inputs'!$B$31+'Inputs'!$B$32)/1000+'Inputs'!$B$21))^2+('Inputs'!$B$8/2)^2)))-'Results'!B7*(0.5*((((909-43)*MAX('Inputs'!$B$33,'Inputs'!$B$29+'Inputs'!$B$31+'Inputs'!$B$32,'Inputs'!$B$30+'Inputs'!$B$31+'Inputs'!$B$32)/1000+'Inputs'!$B$21+'Inputs'!$B$9+'Inputs'!$B$10)+'Inputs'!$B$7)/SQRT((((909-43)*MAX('Inputs'!$B$33,'Inputs'!$B$29+'Inputs'!$B$31+'Inputs'!$B$32,'Inputs'!$B$30+'Inputs'!$B$31+'Inputs'!$B$32)/1000+'Inputs'!$B$21+'Inputs'!$B$9+'Inputs'!$B$10)+'Inputs'!$B$7)^2+('Inputs'!$B$6/2)^2)-(((909-43)*MAX('Inputs'!$B$33,'Inputs'!$B$29+'Inputs'!$B$31+'Inputs'!$B$32,'Inputs'!$B$30+'Inputs'!$B$31+'Inputs'!$B$32)/1000+'Inputs'!$B$21+'Inputs'!$B$9+'Inputs'!$B$10))/SQRT((((909-43)*MAX('Inputs'!$B$33,'Inputs'!$B$29+'Inputs'!$B$31+'Inputs'!$B$32,'Inputs'!$B$30+'Inputs'!$B$31+'Inputs'!$B$32)/1000+'Inputs'!$B$21+'Inputs'!$B$9+'Inputs'!$B$10))^2+('Inputs'!$B$6/2)^2))))*'Results'!$B$8),"")</x:f>
        <x:v>0.5383139630628448</x:v>
      </x:c>
      <x:c r="N909" t="n">
        <x:f>IF(AND(ISNUMBER('Results'!C7),ISNUMBER('Results'!B7),ISNUMBER('Results'!$B$8),ISNUMBER('Inputs'!$B$6),ISNUMBER('Inputs'!$B$7),ISNUMBER('Inputs'!$B$8),ISNUMBER('Inputs'!$B$9),ISNUMBER('Inputs'!$B$10),ISNUMBER('Inputs'!$B$21),ISNUMBER('Inputs'!$B$24),ISNUMBER('Inputs'!$B$28)),((('Results'!C7*(1-'Inputs'!$B$24)*(0.5*((((909-43)*MAX('Inputs'!$B$33,'Inputs'!$B$29+'Inputs'!$B$31+'Inputs'!$B$32,'Inputs'!$B$30+'Inputs'!$B$31+'Inputs'!$B$32)/1000+'Inputs'!$B$21)+'Inputs'!$B$9)/SQRT((((909-43)*MAX('Inputs'!$B$33,'Inputs'!$B$29+'Inputs'!$B$31+'Inputs'!$B$32,'Inputs'!$B$30+'Inputs'!$B$31+'Inputs'!$B$32)/1000+'Inputs'!$B$21)+'Inputs'!$B$9)^2+('Inputs'!$B$8/2)^2)-(((909-43)*MAX('Inputs'!$B$33,'Inputs'!$B$29+'Inputs'!$B$31+'Inputs'!$B$32,'Inputs'!$B$30+'Inputs'!$B$31+'Inputs'!$B$32)/1000+'Inputs'!$B$21))/SQRT((((909-43)*MAX('Inputs'!$B$33,'Inputs'!$B$29+'Inputs'!$B$31+'Inputs'!$B$32,'Inputs'!$B$30+'Inputs'!$B$31+'Inputs'!$B$32)/1000+'Inputs'!$B$21))^2+('Inputs'!$B$8/2)^2)))-'Results'!B7*(1+'Inputs'!$B$24)*(0.5*((((909-43)*MAX('Inputs'!$B$33,'Inputs'!$B$29+'Inputs'!$B$31+'Inputs'!$B$32,'Inputs'!$B$30+'Inputs'!$B$31+'Inputs'!$B$32)/1000+'Inputs'!$B$21+'Inputs'!$B$9+'Inputs'!$B$10)+'Inputs'!$B$7)/SQRT((((909-43)*MAX('Inputs'!$B$33,'Inputs'!$B$29+'Inputs'!$B$31+'Inputs'!$B$32,'Inputs'!$B$30+'Inputs'!$B$31+'Inputs'!$B$32)/1000+'Inputs'!$B$21+'Inputs'!$B$9+'Inputs'!$B$10)+'Inputs'!$B$7)^2+('Inputs'!$B$6/2)^2)-(((909-43)*MAX('Inputs'!$B$33,'Inputs'!$B$29+'Inputs'!$B$31+'Inputs'!$B$32,'Inputs'!$B$30+'Inputs'!$B$31+'Inputs'!$B$32)/1000+'Inputs'!$B$21+'Inputs'!$B$9+'Inputs'!$B$10))/SQRT((((909-43)*MAX('Inputs'!$B$33,'Inputs'!$B$29+'Inputs'!$B$31+'Inputs'!$B$32,'Inputs'!$B$30+'Inputs'!$B$31+'Inputs'!$B$32)/1000+'Inputs'!$B$21+'Inputs'!$B$9+'Inputs'!$B$10))^2+('Inputs'!$B$6/2)^2))))*'Results'!$B$8)-'Inputs'!$B$28*ABS((('Results'!C7*(1-'Inputs'!$B$24)*(0.5*((((909-43)*MAX('Inputs'!$B$33,'Inputs'!$B$29+'Inputs'!$B$31+'Inputs'!$B$32,'Inputs'!$B$30+'Inputs'!$B$31+'Inputs'!$B$32)/1000+'Inputs'!$B$21)+'Inputs'!$B$9)/SQRT((((909-43)*MAX('Inputs'!$B$33,'Inputs'!$B$29+'Inputs'!$B$31+'Inputs'!$B$32,'Inputs'!$B$30+'Inputs'!$B$31+'Inputs'!$B$32)/1000+'Inputs'!$B$21)+'Inputs'!$B$9)^2+('Inputs'!$B$8/2)^2)-(((909-43)*MAX('Inputs'!$B$33,'Inputs'!$B$29+'Inputs'!$B$31+'Inputs'!$B$32,'Inputs'!$B$30+'Inputs'!$B$31+'Inputs'!$B$32)/1000+'Inputs'!$B$21))/SQRT((((909-43)*MAX('Inputs'!$B$33,'Inputs'!$B$29+'Inputs'!$B$31+'Inputs'!$B$32,'Inputs'!$B$30+'Inputs'!$B$31+'Inputs'!$B$32)/1000+'Inputs'!$B$21))^2+('Inputs'!$B$8/2)^2)))-'Results'!B7*(1+'Inputs'!$B$24)*(0.5*((((909-43)*MAX('Inputs'!$B$33,'Inputs'!$B$29+'Inputs'!$B$31+'Inputs'!$B$32,'Inputs'!$B$30+'Inputs'!$B$31+'Inputs'!$B$32)/1000+'Inputs'!$B$21+'Inputs'!$B$9+'Inputs'!$B$10)+'Inputs'!$B$7)/SQRT((((909-43)*MAX('Inputs'!$B$33,'Inputs'!$B$29+'Inputs'!$B$31+'Inputs'!$B$32,'Inputs'!$B$30+'Inputs'!$B$31+'Inputs'!$B$32)/1000+'Inputs'!$B$21+'Inputs'!$B$9+'Inputs'!$B$10)+'Inputs'!$B$7)^2+('Inputs'!$B$6/2)^2)-(((909-43)*MAX('Inputs'!$B$33,'Inputs'!$B$29+'Inputs'!$B$31+'Inputs'!$B$32,'Inputs'!$B$30+'Inputs'!$B$31+'Inputs'!$B$32)/1000+'Inputs'!$B$21+'Inputs'!$B$9+'Inputs'!$B$10))/SQRT((((909-43)*MAX('Inputs'!$B$33,'Inputs'!$B$29+'Inputs'!$B$31+'Inputs'!$B$32,'Inputs'!$B$30+'Inputs'!$B$31+'Inputs'!$B$32)/1000+'Inputs'!$B$21+'Inputs'!$B$9+'Inputs'!$B$10))^2+('Inputs'!$B$6/2)^2))))*'Results'!$B$8))),"")</x:f>
        <x:v>0.4511179340222435</x:v>
      </x:c>
      <x:c r="O909" t="n">
        <x:f>IF(AND(ISNUMBER('Results'!C7),ISNUMBER('Results'!B7),ISNUMBER('Results'!$B$8),ISNUMBER('Inputs'!$B$6),ISNUMBER('Inputs'!$B$7),ISNUMBER('Inputs'!$B$8),ISNUMBER('Inputs'!$B$9),ISNUMBER('Inputs'!$B$10),ISNUMBER('Inputs'!$B$21),ISNUMBER('Inputs'!$B$24),ISNUMBER('Inputs'!$B$28)),((('Results'!C7*(1+'Inputs'!$B$24)*(0.5*((((909-43)*MAX('Inputs'!$B$33,'Inputs'!$B$29+'Inputs'!$B$31+'Inputs'!$B$32,'Inputs'!$B$30+'Inputs'!$B$31+'Inputs'!$B$32)/1000+'Inputs'!$B$21)+'Inputs'!$B$9)/SQRT((((909-43)*MAX('Inputs'!$B$33,'Inputs'!$B$29+'Inputs'!$B$31+'Inputs'!$B$32,'Inputs'!$B$30+'Inputs'!$B$31+'Inputs'!$B$32)/1000+'Inputs'!$B$21)+'Inputs'!$B$9)^2+('Inputs'!$B$8/2)^2)-(((909-43)*MAX('Inputs'!$B$33,'Inputs'!$B$29+'Inputs'!$B$31+'Inputs'!$B$32,'Inputs'!$B$30+'Inputs'!$B$31+'Inputs'!$B$32)/1000+'Inputs'!$B$21))/SQRT((((909-43)*MAX('Inputs'!$B$33,'Inputs'!$B$29+'Inputs'!$B$31+'Inputs'!$B$32,'Inputs'!$B$30+'Inputs'!$B$31+'Inputs'!$B$32)/1000+'Inputs'!$B$21))^2+('Inputs'!$B$8/2)^2)))-'Results'!B7*(1-'Inputs'!$B$24)*(0.5*((((909-43)*MAX('Inputs'!$B$33,'Inputs'!$B$29+'Inputs'!$B$31+'Inputs'!$B$32,'Inputs'!$B$30+'Inputs'!$B$31+'Inputs'!$B$32)/1000+'Inputs'!$B$21+'Inputs'!$B$9+'Inputs'!$B$10)+'Inputs'!$B$7)/SQRT((((909-43)*MAX('Inputs'!$B$33,'Inputs'!$B$29+'Inputs'!$B$31+'Inputs'!$B$32,'Inputs'!$B$30+'Inputs'!$B$31+'Inputs'!$B$32)/1000+'Inputs'!$B$21+'Inputs'!$B$9+'Inputs'!$B$10)+'Inputs'!$B$7)^2+('Inputs'!$B$6/2)^2)-(((909-43)*MAX('Inputs'!$B$33,'Inputs'!$B$29+'Inputs'!$B$31+'Inputs'!$B$32,'Inputs'!$B$30+'Inputs'!$B$31+'Inputs'!$B$32)/1000+'Inputs'!$B$21+'Inputs'!$B$9+'Inputs'!$B$10))/SQRT((((909-43)*MAX('Inputs'!$B$33,'Inputs'!$B$29+'Inputs'!$B$31+'Inputs'!$B$32,'Inputs'!$B$30+'Inputs'!$B$31+'Inputs'!$B$32)/1000+'Inputs'!$B$21+'Inputs'!$B$9+'Inputs'!$B$10))^2+('Inputs'!$B$6/2)^2))))*'Results'!$B$8)+'Inputs'!$B$28*ABS((('Results'!C7*(1+'Inputs'!$B$24)*(0.5*((((909-43)*MAX('Inputs'!$B$33,'Inputs'!$B$29+'Inputs'!$B$31+'Inputs'!$B$32,'Inputs'!$B$30+'Inputs'!$B$31+'Inputs'!$B$32)/1000+'Inputs'!$B$21)+'Inputs'!$B$9)/SQRT((((909-43)*MAX('Inputs'!$B$33,'Inputs'!$B$29+'Inputs'!$B$31+'Inputs'!$B$32,'Inputs'!$B$30+'Inputs'!$B$31+'Inputs'!$B$32)/1000+'Inputs'!$B$21)+'Inputs'!$B$9)^2+('Inputs'!$B$8/2)^2)-(((909-43)*MAX('Inputs'!$B$33,'Inputs'!$B$29+'Inputs'!$B$31+'Inputs'!$B$32,'Inputs'!$B$30+'Inputs'!$B$31+'Inputs'!$B$32)/1000+'Inputs'!$B$21))/SQRT((((909-43)*MAX('Inputs'!$B$33,'Inputs'!$B$29+'Inputs'!$B$31+'Inputs'!$B$32,'Inputs'!$B$30+'Inputs'!$B$31+'Inputs'!$B$32)/1000+'Inputs'!$B$21))^2+('Inputs'!$B$8/2)^2)))-'Results'!B7*(1-'Inputs'!$B$24)*(0.5*((((909-43)*MAX('Inputs'!$B$33,'Inputs'!$B$29+'Inputs'!$B$31+'Inputs'!$B$32,'Inputs'!$B$30+'Inputs'!$B$31+'Inputs'!$B$32)/1000+'Inputs'!$B$21+'Inputs'!$B$9+'Inputs'!$B$10)+'Inputs'!$B$7)/SQRT((((909-43)*MAX('Inputs'!$B$33,'Inputs'!$B$29+'Inputs'!$B$31+'Inputs'!$B$32,'Inputs'!$B$30+'Inputs'!$B$31+'Inputs'!$B$32)/1000+'Inputs'!$B$21+'Inputs'!$B$9+'Inputs'!$B$10)+'Inputs'!$B$7)^2+('Inputs'!$B$6/2)^2)-(((909-43)*MAX('Inputs'!$B$33,'Inputs'!$B$29+'Inputs'!$B$31+'Inputs'!$B$32,'Inputs'!$B$30+'Inputs'!$B$31+'Inputs'!$B$32)/1000+'Inputs'!$B$21+'Inputs'!$B$9+'Inputs'!$B$10))/SQRT((((909-43)*MAX('Inputs'!$B$33,'Inputs'!$B$29+'Inputs'!$B$31+'Inputs'!$B$32,'Inputs'!$B$30+'Inputs'!$B$31+'Inputs'!$B$32)/1000+'Inputs'!$B$21+'Inputs'!$B$9+'Inputs'!$B$10))^2+('Inputs'!$B$6/2)^2))))*'Results'!$B$8))),"")</x:f>
        <x:v>0.6318552900915999</x:v>
      </x:c>
      <x:c r="P909" t="n">
        <x:f>IF(AND(MAX(J909,J908)&gt;0,J909&gt;J908+0.00000001),1,0)</x:f>
        <x:v>0</x:v>
      </x:c>
      <x:c r="Q909" t="n">
        <x:f>IF(AND(MAX(K909,K908)&gt;0,K909&gt;K908+0.00000001),1,0)</x:f>
        <x:v>0</x:v>
      </x:c>
      <x:c r="R909" t="n">
        <x:f>IF(AND(MAX(L909,L908)&gt;0,L909&gt;L908+0.00000001),1,0)</x:f>
        <x:v>0</x:v>
      </x:c>
      <x:c r="S909" t="n">
        <x:f>IF(AND(MAX(M909,M908)&gt;0,M909&gt;M908+0.00000001),1,0)</x:f>
        <x:v>0</x:v>
      </x:c>
      <x:c r="T909" t="n">
        <x:f>IF(AND(MAX(N909,N908)&gt;0,N909&gt;N908+0.00000001),1,0)</x:f>
        <x:v>0</x:v>
      </x:c>
      <x:c r="U909" t="n">
        <x:f>IF(AND(MAX(O909,O908)&gt;0,O909&gt;O908+0.00000001),1,0)</x:f>
        <x:v>0</x:v>
      </x:c>
    </x:row>
    <x:row r="910">
      <x:c r="J910" t="n">
        <x:f>IF(AND(ISNUMBER('Results'!B7),ISNUMBER('Results'!C7),ISNUMBER('Results'!$B$8),ISNUMBER('Inputs'!$B$6),ISNUMBER('Inputs'!$B$7),ISNUMBER('Inputs'!$B$8),ISNUMBER('Inputs'!$B$9),ISNUMBER('Inputs'!$B$10),ISNUMBER('Inputs'!$B$21),ISNUMBER('Inputs'!$B$24),ISNUMBER('Inputs'!$B$28)),(('Results'!B7*(0.5*((((910-43)*MAX('Inputs'!$B$33,'Inputs'!$B$29+'Inputs'!$B$31+'Inputs'!$B$32,'Inputs'!$B$30+'Inputs'!$B$31+'Inputs'!$B$32)/1000+'Inputs'!$B$21)+'Inputs'!$B$7)/SQRT((((910-43)*MAX('Inputs'!$B$33,'Inputs'!$B$29+'Inputs'!$B$31+'Inputs'!$B$32,'Inputs'!$B$30+'Inputs'!$B$31+'Inputs'!$B$32)/1000+'Inputs'!$B$21)+'Inputs'!$B$7)^2+('Inputs'!$B$6/2)^2)-(((910-43)*MAX('Inputs'!$B$33,'Inputs'!$B$29+'Inputs'!$B$31+'Inputs'!$B$32,'Inputs'!$B$30+'Inputs'!$B$31+'Inputs'!$B$32)/1000+'Inputs'!$B$21))/SQRT((((910-43)*MAX('Inputs'!$B$33,'Inputs'!$B$29+'Inputs'!$B$31+'Inputs'!$B$32,'Inputs'!$B$30+'Inputs'!$B$31+'Inputs'!$B$32)/1000+'Inputs'!$B$21))^2+('Inputs'!$B$6/2)^2)))-'Results'!C7*(0.5*((((910-43)*MAX('Inputs'!$B$33,'Inputs'!$B$29+'Inputs'!$B$31+'Inputs'!$B$32,'Inputs'!$B$30+'Inputs'!$B$31+'Inputs'!$B$32)/1000+'Inputs'!$B$21+'Inputs'!$B$7+'Inputs'!$B$10)+'Inputs'!$B$9)/SQRT((((910-43)*MAX('Inputs'!$B$33,'Inputs'!$B$29+'Inputs'!$B$31+'Inputs'!$B$32,'Inputs'!$B$30+'Inputs'!$B$31+'Inputs'!$B$32)/1000+'Inputs'!$B$21+'Inputs'!$B$7+'Inputs'!$B$10)+'Inputs'!$B$9)^2+('Inputs'!$B$8/2)^2)-(((910-43)*MAX('Inputs'!$B$33,'Inputs'!$B$29+'Inputs'!$B$31+'Inputs'!$B$32,'Inputs'!$B$30+'Inputs'!$B$31+'Inputs'!$B$32)/1000+'Inputs'!$B$21+'Inputs'!$B$7+'Inputs'!$B$10))/SQRT((((910-43)*MAX('Inputs'!$B$33,'Inputs'!$B$29+'Inputs'!$B$31+'Inputs'!$B$32,'Inputs'!$B$30+'Inputs'!$B$31+'Inputs'!$B$32)/1000+'Inputs'!$B$21+'Inputs'!$B$7+'Inputs'!$B$10))^2+('Inputs'!$B$8/2)^2))))*'Results'!$B$8),"")</x:f>
        <x:v>0.6000139679884995</x:v>
      </x:c>
      <x:c r="K910" t="n">
        <x:f>IF(AND(ISNUMBER('Results'!B7),ISNUMBER('Results'!C7),ISNUMBER('Results'!$B$8),ISNUMBER('Inputs'!$B$6),ISNUMBER('Inputs'!$B$7),ISNUMBER('Inputs'!$B$8),ISNUMBER('Inputs'!$B$9),ISNUMBER('Inputs'!$B$10),ISNUMBER('Inputs'!$B$21),ISNUMBER('Inputs'!$B$24),ISNUMBER('Inputs'!$B$28)),((('Results'!B7*(1-'Inputs'!$B$24)*(0.5*((((910-43)*MAX('Inputs'!$B$33,'Inputs'!$B$29+'Inputs'!$B$31+'Inputs'!$B$32,'Inputs'!$B$30+'Inputs'!$B$31+'Inputs'!$B$32)/1000+'Inputs'!$B$21)+'Inputs'!$B$7)/SQRT((((910-43)*MAX('Inputs'!$B$33,'Inputs'!$B$29+'Inputs'!$B$31+'Inputs'!$B$32,'Inputs'!$B$30+'Inputs'!$B$31+'Inputs'!$B$32)/1000+'Inputs'!$B$21)+'Inputs'!$B$7)^2+('Inputs'!$B$6/2)^2)-(((910-43)*MAX('Inputs'!$B$33,'Inputs'!$B$29+'Inputs'!$B$31+'Inputs'!$B$32,'Inputs'!$B$30+'Inputs'!$B$31+'Inputs'!$B$32)/1000+'Inputs'!$B$21))/SQRT((((910-43)*MAX('Inputs'!$B$33,'Inputs'!$B$29+'Inputs'!$B$31+'Inputs'!$B$32,'Inputs'!$B$30+'Inputs'!$B$31+'Inputs'!$B$32)/1000+'Inputs'!$B$21))^2+('Inputs'!$B$6/2)^2)))-'Results'!C7*(1+'Inputs'!$B$24)*(0.5*((((910-43)*MAX('Inputs'!$B$33,'Inputs'!$B$29+'Inputs'!$B$31+'Inputs'!$B$32,'Inputs'!$B$30+'Inputs'!$B$31+'Inputs'!$B$32)/1000+'Inputs'!$B$21+'Inputs'!$B$7+'Inputs'!$B$10)+'Inputs'!$B$9)/SQRT((((910-43)*MAX('Inputs'!$B$33,'Inputs'!$B$29+'Inputs'!$B$31+'Inputs'!$B$32,'Inputs'!$B$30+'Inputs'!$B$31+'Inputs'!$B$32)/1000+'Inputs'!$B$21+'Inputs'!$B$7+'Inputs'!$B$10)+'Inputs'!$B$9)^2+('Inputs'!$B$8/2)^2)-(((910-43)*MAX('Inputs'!$B$33,'Inputs'!$B$29+'Inputs'!$B$31+'Inputs'!$B$32,'Inputs'!$B$30+'Inputs'!$B$31+'Inputs'!$B$32)/1000+'Inputs'!$B$21+'Inputs'!$B$7+'Inputs'!$B$10))/SQRT((((910-43)*MAX('Inputs'!$B$33,'Inputs'!$B$29+'Inputs'!$B$31+'Inputs'!$B$32,'Inputs'!$B$30+'Inputs'!$B$31+'Inputs'!$B$32)/1000+'Inputs'!$B$21+'Inputs'!$B$7+'Inputs'!$B$10))^2+('Inputs'!$B$8/2)^2))))*'Results'!$B$8)-'Inputs'!$B$28*ABS((('Results'!B7*(1-'Inputs'!$B$24)*(0.5*((((910-43)*MAX('Inputs'!$B$33,'Inputs'!$B$29+'Inputs'!$B$31+'Inputs'!$B$32,'Inputs'!$B$30+'Inputs'!$B$31+'Inputs'!$B$32)/1000+'Inputs'!$B$21)+'Inputs'!$B$7)/SQRT((((910-43)*MAX('Inputs'!$B$33,'Inputs'!$B$29+'Inputs'!$B$31+'Inputs'!$B$32,'Inputs'!$B$30+'Inputs'!$B$31+'Inputs'!$B$32)/1000+'Inputs'!$B$21)+'Inputs'!$B$7)^2+('Inputs'!$B$6/2)^2)-(((910-43)*MAX('Inputs'!$B$33,'Inputs'!$B$29+'Inputs'!$B$31+'Inputs'!$B$32,'Inputs'!$B$30+'Inputs'!$B$31+'Inputs'!$B$32)/1000+'Inputs'!$B$21))/SQRT((((910-43)*MAX('Inputs'!$B$33,'Inputs'!$B$29+'Inputs'!$B$31+'Inputs'!$B$32,'Inputs'!$B$30+'Inputs'!$B$31+'Inputs'!$B$32)/1000+'Inputs'!$B$21))^2+('Inputs'!$B$6/2)^2)))-'Results'!C7*(1+'Inputs'!$B$24)*(0.5*((((910-43)*MAX('Inputs'!$B$33,'Inputs'!$B$29+'Inputs'!$B$31+'Inputs'!$B$32,'Inputs'!$B$30+'Inputs'!$B$31+'Inputs'!$B$32)/1000+'Inputs'!$B$21+'Inputs'!$B$7+'Inputs'!$B$10)+'Inputs'!$B$9)/SQRT((((910-43)*MAX('Inputs'!$B$33,'Inputs'!$B$29+'Inputs'!$B$31+'Inputs'!$B$32,'Inputs'!$B$30+'Inputs'!$B$31+'Inputs'!$B$32)/1000+'Inputs'!$B$21+'Inputs'!$B$7+'Inputs'!$B$10)+'Inputs'!$B$9)^2+('Inputs'!$B$8/2)^2)-(((910-43)*MAX('Inputs'!$B$33,'Inputs'!$B$29+'Inputs'!$B$31+'Inputs'!$B$32,'Inputs'!$B$30+'Inputs'!$B$31+'Inputs'!$B$32)/1000+'Inputs'!$B$21+'Inputs'!$B$7+'Inputs'!$B$10))/SQRT((((910-43)*MAX('Inputs'!$B$33,'Inputs'!$B$29+'Inputs'!$B$31+'Inputs'!$B$32,'Inputs'!$B$30+'Inputs'!$B$31+'Inputs'!$B$32)/1000+'Inputs'!$B$21+'Inputs'!$B$7+'Inputs'!$B$10))^2+('Inputs'!$B$8/2)^2))))*'Results'!$B$8))),"")</x:f>
        <x:v>0.5097076271634967</x:v>
      </x:c>
      <x:c r="L910" t="n">
        <x:f>IF(AND(ISNUMBER('Results'!B7),ISNUMBER('Results'!C7),ISNUMBER('Results'!$B$8),ISNUMBER('Inputs'!$B$6),ISNUMBER('Inputs'!$B$7),ISNUMBER('Inputs'!$B$8),ISNUMBER('Inputs'!$B$9),ISNUMBER('Inputs'!$B$10),ISNUMBER('Inputs'!$B$21),ISNUMBER('Inputs'!$B$24),ISNUMBER('Inputs'!$B$28)),((('Results'!B7*(1+'Inputs'!$B$24)*(0.5*((((910-43)*MAX('Inputs'!$B$33,'Inputs'!$B$29+'Inputs'!$B$31+'Inputs'!$B$32,'Inputs'!$B$30+'Inputs'!$B$31+'Inputs'!$B$32)/1000+'Inputs'!$B$21)+'Inputs'!$B$7)/SQRT((((910-43)*MAX('Inputs'!$B$33,'Inputs'!$B$29+'Inputs'!$B$31+'Inputs'!$B$32,'Inputs'!$B$30+'Inputs'!$B$31+'Inputs'!$B$32)/1000+'Inputs'!$B$21)+'Inputs'!$B$7)^2+('Inputs'!$B$6/2)^2)-(((910-43)*MAX('Inputs'!$B$33,'Inputs'!$B$29+'Inputs'!$B$31+'Inputs'!$B$32,'Inputs'!$B$30+'Inputs'!$B$31+'Inputs'!$B$32)/1000+'Inputs'!$B$21))/SQRT((((910-43)*MAX('Inputs'!$B$33,'Inputs'!$B$29+'Inputs'!$B$31+'Inputs'!$B$32,'Inputs'!$B$30+'Inputs'!$B$31+'Inputs'!$B$32)/1000+'Inputs'!$B$21))^2+('Inputs'!$B$6/2)^2)))-'Results'!C7*(1-'Inputs'!$B$24)*(0.5*((((910-43)*MAX('Inputs'!$B$33,'Inputs'!$B$29+'Inputs'!$B$31+'Inputs'!$B$32,'Inputs'!$B$30+'Inputs'!$B$31+'Inputs'!$B$32)/1000+'Inputs'!$B$21+'Inputs'!$B$7+'Inputs'!$B$10)+'Inputs'!$B$9)/SQRT((((910-43)*MAX('Inputs'!$B$33,'Inputs'!$B$29+'Inputs'!$B$31+'Inputs'!$B$32,'Inputs'!$B$30+'Inputs'!$B$31+'Inputs'!$B$32)/1000+'Inputs'!$B$21+'Inputs'!$B$7+'Inputs'!$B$10)+'Inputs'!$B$9)^2+('Inputs'!$B$8/2)^2)-(((910-43)*MAX('Inputs'!$B$33,'Inputs'!$B$29+'Inputs'!$B$31+'Inputs'!$B$32,'Inputs'!$B$30+'Inputs'!$B$31+'Inputs'!$B$32)/1000+'Inputs'!$B$21+'Inputs'!$B$7+'Inputs'!$B$10))/SQRT((((910-43)*MAX('Inputs'!$B$33,'Inputs'!$B$29+'Inputs'!$B$31+'Inputs'!$B$32,'Inputs'!$B$30+'Inputs'!$B$31+'Inputs'!$B$32)/1000+'Inputs'!$B$21+'Inputs'!$B$7+'Inputs'!$B$10))^2+('Inputs'!$B$8/2)^2))))*'Results'!$B$8)+'Inputs'!$B$28*ABS((('Results'!B7*(1+'Inputs'!$B$24)*(0.5*((((910-43)*MAX('Inputs'!$B$33,'Inputs'!$B$29+'Inputs'!$B$31+'Inputs'!$B$32,'Inputs'!$B$30+'Inputs'!$B$31+'Inputs'!$B$32)/1000+'Inputs'!$B$21)+'Inputs'!$B$7)/SQRT((((910-43)*MAX('Inputs'!$B$33,'Inputs'!$B$29+'Inputs'!$B$31+'Inputs'!$B$32,'Inputs'!$B$30+'Inputs'!$B$31+'Inputs'!$B$32)/1000+'Inputs'!$B$21)+'Inputs'!$B$7)^2+('Inputs'!$B$6/2)^2)-(((910-43)*MAX('Inputs'!$B$33,'Inputs'!$B$29+'Inputs'!$B$31+'Inputs'!$B$32,'Inputs'!$B$30+'Inputs'!$B$31+'Inputs'!$B$32)/1000+'Inputs'!$B$21))/SQRT((((910-43)*MAX('Inputs'!$B$33,'Inputs'!$B$29+'Inputs'!$B$31+'Inputs'!$B$32,'Inputs'!$B$30+'Inputs'!$B$31+'Inputs'!$B$32)/1000+'Inputs'!$B$21))^2+('Inputs'!$B$6/2)^2)))-'Results'!C7*(1-'Inputs'!$B$24)*(0.5*((((910-43)*MAX('Inputs'!$B$33,'Inputs'!$B$29+'Inputs'!$B$31+'Inputs'!$B$32,'Inputs'!$B$30+'Inputs'!$B$31+'Inputs'!$B$32)/1000+'Inputs'!$B$21+'Inputs'!$B$7+'Inputs'!$B$10)+'Inputs'!$B$9)/SQRT((((910-43)*MAX('Inputs'!$B$33,'Inputs'!$B$29+'Inputs'!$B$31+'Inputs'!$B$32,'Inputs'!$B$30+'Inputs'!$B$31+'Inputs'!$B$32)/1000+'Inputs'!$B$21+'Inputs'!$B$7+'Inputs'!$B$10)+'Inputs'!$B$9)^2+('Inputs'!$B$8/2)^2)-(((910-43)*MAX('Inputs'!$B$33,'Inputs'!$B$29+'Inputs'!$B$31+'Inputs'!$B$32,'Inputs'!$B$30+'Inputs'!$B$31+'Inputs'!$B$32)/1000+'Inputs'!$B$21+'Inputs'!$B$7+'Inputs'!$B$10))/SQRT((((910-43)*MAX('Inputs'!$B$33,'Inputs'!$B$29+'Inputs'!$B$31+'Inputs'!$B$32,'Inputs'!$B$30+'Inputs'!$B$31+'Inputs'!$B$32)/1000+'Inputs'!$B$21+'Inputs'!$B$7+'Inputs'!$B$10))^2+('Inputs'!$B$8/2)^2))))*'Results'!$B$8))),"")</x:f>
        <x:v>0.6966682711740896</x:v>
      </x:c>
      <x:c r="M910" t="n">
        <x:f>IF(AND(ISNUMBER('Results'!C7),ISNUMBER('Results'!B7),ISNUMBER('Results'!$B$8),ISNUMBER('Inputs'!$B$6),ISNUMBER('Inputs'!$B$7),ISNUMBER('Inputs'!$B$8),ISNUMBER('Inputs'!$B$9),ISNUMBER('Inputs'!$B$10),ISNUMBER('Inputs'!$B$21),ISNUMBER('Inputs'!$B$24),ISNUMBER('Inputs'!$B$28)),(('Results'!C7*(0.5*((((910-43)*MAX('Inputs'!$B$33,'Inputs'!$B$29+'Inputs'!$B$31+'Inputs'!$B$32,'Inputs'!$B$30+'Inputs'!$B$31+'Inputs'!$B$32)/1000+'Inputs'!$B$21)+'Inputs'!$B$9)/SQRT((((910-43)*MAX('Inputs'!$B$33,'Inputs'!$B$29+'Inputs'!$B$31+'Inputs'!$B$32,'Inputs'!$B$30+'Inputs'!$B$31+'Inputs'!$B$32)/1000+'Inputs'!$B$21)+'Inputs'!$B$9)^2+('Inputs'!$B$8/2)^2)-(((910-43)*MAX('Inputs'!$B$33,'Inputs'!$B$29+'Inputs'!$B$31+'Inputs'!$B$32,'Inputs'!$B$30+'Inputs'!$B$31+'Inputs'!$B$32)/1000+'Inputs'!$B$21))/SQRT((((910-43)*MAX('Inputs'!$B$33,'Inputs'!$B$29+'Inputs'!$B$31+'Inputs'!$B$32,'Inputs'!$B$30+'Inputs'!$B$31+'Inputs'!$B$32)/1000+'Inputs'!$B$21))^2+('Inputs'!$B$8/2)^2)))-'Results'!B7*(0.5*((((910-43)*MAX('Inputs'!$B$33,'Inputs'!$B$29+'Inputs'!$B$31+'Inputs'!$B$32,'Inputs'!$B$30+'Inputs'!$B$31+'Inputs'!$B$32)/1000+'Inputs'!$B$21+'Inputs'!$B$9+'Inputs'!$B$10)+'Inputs'!$B$7)/SQRT((((910-43)*MAX('Inputs'!$B$33,'Inputs'!$B$29+'Inputs'!$B$31+'Inputs'!$B$32,'Inputs'!$B$30+'Inputs'!$B$31+'Inputs'!$B$32)/1000+'Inputs'!$B$21+'Inputs'!$B$9+'Inputs'!$B$10)+'Inputs'!$B$7)^2+('Inputs'!$B$6/2)^2)-(((910-43)*MAX('Inputs'!$B$33,'Inputs'!$B$29+'Inputs'!$B$31+'Inputs'!$B$32,'Inputs'!$B$30+'Inputs'!$B$31+'Inputs'!$B$32)/1000+'Inputs'!$B$21+'Inputs'!$B$9+'Inputs'!$B$10))/SQRT((((910-43)*MAX('Inputs'!$B$33,'Inputs'!$B$29+'Inputs'!$B$31+'Inputs'!$B$32,'Inputs'!$B$30+'Inputs'!$B$31+'Inputs'!$B$32)/1000+'Inputs'!$B$21+'Inputs'!$B$9+'Inputs'!$B$10))^2+('Inputs'!$B$6/2)^2))))*'Results'!$B$8),"")</x:f>
        <x:v>0.5360090449515456</x:v>
      </x:c>
      <x:c r="N910" t="n">
        <x:f>IF(AND(ISNUMBER('Results'!C7),ISNUMBER('Results'!B7),ISNUMBER('Results'!$B$8),ISNUMBER('Inputs'!$B$6),ISNUMBER('Inputs'!$B$7),ISNUMBER('Inputs'!$B$8),ISNUMBER('Inputs'!$B$9),ISNUMBER('Inputs'!$B$10),ISNUMBER('Inputs'!$B$21),ISNUMBER('Inputs'!$B$24),ISNUMBER('Inputs'!$B$28)),((('Results'!C7*(1-'Inputs'!$B$24)*(0.5*((((910-43)*MAX('Inputs'!$B$33,'Inputs'!$B$29+'Inputs'!$B$31+'Inputs'!$B$32,'Inputs'!$B$30+'Inputs'!$B$31+'Inputs'!$B$32)/1000+'Inputs'!$B$21)+'Inputs'!$B$9)/SQRT((((910-43)*MAX('Inputs'!$B$33,'Inputs'!$B$29+'Inputs'!$B$31+'Inputs'!$B$32,'Inputs'!$B$30+'Inputs'!$B$31+'Inputs'!$B$32)/1000+'Inputs'!$B$21)+'Inputs'!$B$9)^2+('Inputs'!$B$8/2)^2)-(((910-43)*MAX('Inputs'!$B$33,'Inputs'!$B$29+'Inputs'!$B$31+'Inputs'!$B$32,'Inputs'!$B$30+'Inputs'!$B$31+'Inputs'!$B$32)/1000+'Inputs'!$B$21))/SQRT((((910-43)*MAX('Inputs'!$B$33,'Inputs'!$B$29+'Inputs'!$B$31+'Inputs'!$B$32,'Inputs'!$B$30+'Inputs'!$B$31+'Inputs'!$B$32)/1000+'Inputs'!$B$21))^2+('Inputs'!$B$8/2)^2)))-'Results'!B7*(1+'Inputs'!$B$24)*(0.5*((((910-43)*MAX('Inputs'!$B$33,'Inputs'!$B$29+'Inputs'!$B$31+'Inputs'!$B$32,'Inputs'!$B$30+'Inputs'!$B$31+'Inputs'!$B$32)/1000+'Inputs'!$B$21+'Inputs'!$B$9+'Inputs'!$B$10)+'Inputs'!$B$7)/SQRT((((910-43)*MAX('Inputs'!$B$33,'Inputs'!$B$29+'Inputs'!$B$31+'Inputs'!$B$32,'Inputs'!$B$30+'Inputs'!$B$31+'Inputs'!$B$32)/1000+'Inputs'!$B$21+'Inputs'!$B$9+'Inputs'!$B$10)+'Inputs'!$B$7)^2+('Inputs'!$B$6/2)^2)-(((910-43)*MAX('Inputs'!$B$33,'Inputs'!$B$29+'Inputs'!$B$31+'Inputs'!$B$32,'Inputs'!$B$30+'Inputs'!$B$31+'Inputs'!$B$32)/1000+'Inputs'!$B$21+'Inputs'!$B$9+'Inputs'!$B$10))/SQRT((((910-43)*MAX('Inputs'!$B$33,'Inputs'!$B$29+'Inputs'!$B$31+'Inputs'!$B$32,'Inputs'!$B$30+'Inputs'!$B$31+'Inputs'!$B$32)/1000+'Inputs'!$B$21+'Inputs'!$B$9+'Inputs'!$B$10))^2+('Inputs'!$B$6/2)^2))))*'Results'!$B$8)-'Inputs'!$B$28*ABS((('Results'!C7*(1-'Inputs'!$B$24)*(0.5*((((910-43)*MAX('Inputs'!$B$33,'Inputs'!$B$29+'Inputs'!$B$31+'Inputs'!$B$32,'Inputs'!$B$30+'Inputs'!$B$31+'Inputs'!$B$32)/1000+'Inputs'!$B$21)+'Inputs'!$B$9)/SQRT((((910-43)*MAX('Inputs'!$B$33,'Inputs'!$B$29+'Inputs'!$B$31+'Inputs'!$B$32,'Inputs'!$B$30+'Inputs'!$B$31+'Inputs'!$B$32)/1000+'Inputs'!$B$21)+'Inputs'!$B$9)^2+('Inputs'!$B$8/2)^2)-(((910-43)*MAX('Inputs'!$B$33,'Inputs'!$B$29+'Inputs'!$B$31+'Inputs'!$B$32,'Inputs'!$B$30+'Inputs'!$B$31+'Inputs'!$B$32)/1000+'Inputs'!$B$21))/SQRT((((910-43)*MAX('Inputs'!$B$33,'Inputs'!$B$29+'Inputs'!$B$31+'Inputs'!$B$32,'Inputs'!$B$30+'Inputs'!$B$31+'Inputs'!$B$32)/1000+'Inputs'!$B$21))^2+('Inputs'!$B$8/2)^2)))-'Results'!B7*(1+'Inputs'!$B$24)*(0.5*((((910-43)*MAX('Inputs'!$B$33,'Inputs'!$B$29+'Inputs'!$B$31+'Inputs'!$B$32,'Inputs'!$B$30+'Inputs'!$B$31+'Inputs'!$B$32)/1000+'Inputs'!$B$21+'Inputs'!$B$9+'Inputs'!$B$10)+'Inputs'!$B$7)/SQRT((((910-43)*MAX('Inputs'!$B$33,'Inputs'!$B$29+'Inputs'!$B$31+'Inputs'!$B$32,'Inputs'!$B$30+'Inputs'!$B$31+'Inputs'!$B$32)/1000+'Inputs'!$B$21+'Inputs'!$B$9+'Inputs'!$B$10)+'Inputs'!$B$7)^2+('Inputs'!$B$6/2)^2)-(((910-43)*MAX('Inputs'!$B$33,'Inputs'!$B$29+'Inputs'!$B$31+'Inputs'!$B$32,'Inputs'!$B$30+'Inputs'!$B$31+'Inputs'!$B$32)/1000+'Inputs'!$B$21+'Inputs'!$B$9+'Inputs'!$B$10))/SQRT((((910-43)*MAX('Inputs'!$B$33,'Inputs'!$B$29+'Inputs'!$B$31+'Inputs'!$B$32,'Inputs'!$B$30+'Inputs'!$B$31+'Inputs'!$B$32)/1000+'Inputs'!$B$21+'Inputs'!$B$9+'Inputs'!$B$10))^2+('Inputs'!$B$6/2)^2))))*'Results'!$B$8))),"")</x:f>
        <x:v>0.4491209748970354</x:v>
      </x:c>
      <x:c r="O910" t="n">
        <x:f>IF(AND(ISNUMBER('Results'!C7),ISNUMBER('Results'!B7),ISNUMBER('Results'!$B$8),ISNUMBER('Inputs'!$B$6),ISNUMBER('Inputs'!$B$7),ISNUMBER('Inputs'!$B$8),ISNUMBER('Inputs'!$B$9),ISNUMBER('Inputs'!$B$10),ISNUMBER('Inputs'!$B$21),ISNUMBER('Inputs'!$B$24),ISNUMBER('Inputs'!$B$28)),((('Results'!C7*(1+'Inputs'!$B$24)*(0.5*((((910-43)*MAX('Inputs'!$B$33,'Inputs'!$B$29+'Inputs'!$B$31+'Inputs'!$B$32,'Inputs'!$B$30+'Inputs'!$B$31+'Inputs'!$B$32)/1000+'Inputs'!$B$21)+'Inputs'!$B$9)/SQRT((((910-43)*MAX('Inputs'!$B$33,'Inputs'!$B$29+'Inputs'!$B$31+'Inputs'!$B$32,'Inputs'!$B$30+'Inputs'!$B$31+'Inputs'!$B$32)/1000+'Inputs'!$B$21)+'Inputs'!$B$9)^2+('Inputs'!$B$8/2)^2)-(((910-43)*MAX('Inputs'!$B$33,'Inputs'!$B$29+'Inputs'!$B$31+'Inputs'!$B$32,'Inputs'!$B$30+'Inputs'!$B$31+'Inputs'!$B$32)/1000+'Inputs'!$B$21))/SQRT((((910-43)*MAX('Inputs'!$B$33,'Inputs'!$B$29+'Inputs'!$B$31+'Inputs'!$B$32,'Inputs'!$B$30+'Inputs'!$B$31+'Inputs'!$B$32)/1000+'Inputs'!$B$21))^2+('Inputs'!$B$8/2)^2)))-'Results'!B7*(1-'Inputs'!$B$24)*(0.5*((((910-43)*MAX('Inputs'!$B$33,'Inputs'!$B$29+'Inputs'!$B$31+'Inputs'!$B$32,'Inputs'!$B$30+'Inputs'!$B$31+'Inputs'!$B$32)/1000+'Inputs'!$B$21+'Inputs'!$B$9+'Inputs'!$B$10)+'Inputs'!$B$7)/SQRT((((910-43)*MAX('Inputs'!$B$33,'Inputs'!$B$29+'Inputs'!$B$31+'Inputs'!$B$32,'Inputs'!$B$30+'Inputs'!$B$31+'Inputs'!$B$32)/1000+'Inputs'!$B$21+'Inputs'!$B$9+'Inputs'!$B$10)+'Inputs'!$B$7)^2+('Inputs'!$B$6/2)^2)-(((910-43)*MAX('Inputs'!$B$33,'Inputs'!$B$29+'Inputs'!$B$31+'Inputs'!$B$32,'Inputs'!$B$30+'Inputs'!$B$31+'Inputs'!$B$32)/1000+'Inputs'!$B$21+'Inputs'!$B$9+'Inputs'!$B$10))/SQRT((((910-43)*MAX('Inputs'!$B$33,'Inputs'!$B$29+'Inputs'!$B$31+'Inputs'!$B$32,'Inputs'!$B$30+'Inputs'!$B$31+'Inputs'!$B$32)/1000+'Inputs'!$B$21+'Inputs'!$B$9+'Inputs'!$B$10))^2+('Inputs'!$B$6/2)^2))))*'Results'!$B$8)+'Inputs'!$B$28*ABS((('Results'!C7*(1+'Inputs'!$B$24)*(0.5*((((910-43)*MAX('Inputs'!$B$33,'Inputs'!$B$29+'Inputs'!$B$31+'Inputs'!$B$32,'Inputs'!$B$30+'Inputs'!$B$31+'Inputs'!$B$32)/1000+'Inputs'!$B$21)+'Inputs'!$B$9)/SQRT((((910-43)*MAX('Inputs'!$B$33,'Inputs'!$B$29+'Inputs'!$B$31+'Inputs'!$B$32,'Inputs'!$B$30+'Inputs'!$B$31+'Inputs'!$B$32)/1000+'Inputs'!$B$21)+'Inputs'!$B$9)^2+('Inputs'!$B$8/2)^2)-(((910-43)*MAX('Inputs'!$B$33,'Inputs'!$B$29+'Inputs'!$B$31+'Inputs'!$B$32,'Inputs'!$B$30+'Inputs'!$B$31+'Inputs'!$B$32)/1000+'Inputs'!$B$21))/SQRT((((910-43)*MAX('Inputs'!$B$33,'Inputs'!$B$29+'Inputs'!$B$31+'Inputs'!$B$32,'Inputs'!$B$30+'Inputs'!$B$31+'Inputs'!$B$32)/1000+'Inputs'!$B$21))^2+('Inputs'!$B$8/2)^2)))-'Results'!B7*(1-'Inputs'!$B$24)*(0.5*((((910-43)*MAX('Inputs'!$B$33,'Inputs'!$B$29+'Inputs'!$B$31+'Inputs'!$B$32,'Inputs'!$B$30+'Inputs'!$B$31+'Inputs'!$B$32)/1000+'Inputs'!$B$21+'Inputs'!$B$9+'Inputs'!$B$10)+'Inputs'!$B$7)/SQRT((((910-43)*MAX('Inputs'!$B$33,'Inputs'!$B$29+'Inputs'!$B$31+'Inputs'!$B$32,'Inputs'!$B$30+'Inputs'!$B$31+'Inputs'!$B$32)/1000+'Inputs'!$B$21+'Inputs'!$B$9+'Inputs'!$B$10)+'Inputs'!$B$7)^2+('Inputs'!$B$6/2)^2)-(((910-43)*MAX('Inputs'!$B$33,'Inputs'!$B$29+'Inputs'!$B$31+'Inputs'!$B$32,'Inputs'!$B$30+'Inputs'!$B$31+'Inputs'!$B$32)/1000+'Inputs'!$B$21+'Inputs'!$B$9+'Inputs'!$B$10))/SQRT((((910-43)*MAX('Inputs'!$B$33,'Inputs'!$B$29+'Inputs'!$B$31+'Inputs'!$B$32,'Inputs'!$B$30+'Inputs'!$B$31+'Inputs'!$B$32)/1000+'Inputs'!$B$21+'Inputs'!$B$9+'Inputs'!$B$10))^2+('Inputs'!$B$6/2)^2))))*'Results'!$B$8))),"")</x:f>
        <x:v>0.6292221274067855</x:v>
      </x:c>
      <x:c r="P910" t="n">
        <x:f>IF(AND(MAX(J910,J909)&gt;0,J910&gt;J909+0.00000001),1,0)</x:f>
        <x:v>0</x:v>
      </x:c>
      <x:c r="Q910" t="n">
        <x:f>IF(AND(MAX(K910,K909)&gt;0,K910&gt;K909+0.00000001),1,0)</x:f>
        <x:v>0</x:v>
      </x:c>
      <x:c r="R910" t="n">
        <x:f>IF(AND(MAX(L910,L909)&gt;0,L910&gt;L909+0.00000001),1,0)</x:f>
        <x:v>0</x:v>
      </x:c>
      <x:c r="S910" t="n">
        <x:f>IF(AND(MAX(M910,M909)&gt;0,M910&gt;M909+0.00000001),1,0)</x:f>
        <x:v>0</x:v>
      </x:c>
      <x:c r="T910" t="n">
        <x:f>IF(AND(MAX(N910,N909)&gt;0,N910&gt;N909+0.00000001),1,0)</x:f>
        <x:v>0</x:v>
      </x:c>
      <x:c r="U910" t="n">
        <x:f>IF(AND(MAX(O910,O909)&gt;0,O910&gt;O909+0.00000001),1,0)</x:f>
        <x:v>0</x:v>
      </x:c>
    </x:row>
    <x:row r="911">
      <x:c r="J911" t="n">
        <x:f>IF(AND(ISNUMBER('Results'!B7),ISNUMBER('Results'!C7),ISNUMBER('Results'!$B$8),ISNUMBER('Inputs'!$B$6),ISNUMBER('Inputs'!$B$7),ISNUMBER('Inputs'!$B$8),ISNUMBER('Inputs'!$B$9),ISNUMBER('Inputs'!$B$10),ISNUMBER('Inputs'!$B$21),ISNUMBER('Inputs'!$B$24),ISNUMBER('Inputs'!$B$28)),(('Results'!B7*(0.5*((((911-43)*MAX('Inputs'!$B$33,'Inputs'!$B$29+'Inputs'!$B$31+'Inputs'!$B$32,'Inputs'!$B$30+'Inputs'!$B$31+'Inputs'!$B$32)/1000+'Inputs'!$B$21)+'Inputs'!$B$7)/SQRT((((911-43)*MAX('Inputs'!$B$33,'Inputs'!$B$29+'Inputs'!$B$31+'Inputs'!$B$32,'Inputs'!$B$30+'Inputs'!$B$31+'Inputs'!$B$32)/1000+'Inputs'!$B$21)+'Inputs'!$B$7)^2+('Inputs'!$B$6/2)^2)-(((911-43)*MAX('Inputs'!$B$33,'Inputs'!$B$29+'Inputs'!$B$31+'Inputs'!$B$32,'Inputs'!$B$30+'Inputs'!$B$31+'Inputs'!$B$32)/1000+'Inputs'!$B$21))/SQRT((((911-43)*MAX('Inputs'!$B$33,'Inputs'!$B$29+'Inputs'!$B$31+'Inputs'!$B$32,'Inputs'!$B$30+'Inputs'!$B$31+'Inputs'!$B$32)/1000+'Inputs'!$B$21))^2+('Inputs'!$B$6/2)^2)))-'Results'!C7*(0.5*((((911-43)*MAX('Inputs'!$B$33,'Inputs'!$B$29+'Inputs'!$B$31+'Inputs'!$B$32,'Inputs'!$B$30+'Inputs'!$B$31+'Inputs'!$B$32)/1000+'Inputs'!$B$21+'Inputs'!$B$7+'Inputs'!$B$10)+'Inputs'!$B$9)/SQRT((((911-43)*MAX('Inputs'!$B$33,'Inputs'!$B$29+'Inputs'!$B$31+'Inputs'!$B$32,'Inputs'!$B$30+'Inputs'!$B$31+'Inputs'!$B$32)/1000+'Inputs'!$B$21+'Inputs'!$B$7+'Inputs'!$B$10)+'Inputs'!$B$9)^2+('Inputs'!$B$8/2)^2)-(((911-43)*MAX('Inputs'!$B$33,'Inputs'!$B$29+'Inputs'!$B$31+'Inputs'!$B$32,'Inputs'!$B$30+'Inputs'!$B$31+'Inputs'!$B$32)/1000+'Inputs'!$B$21+'Inputs'!$B$7+'Inputs'!$B$10))/SQRT((((911-43)*MAX('Inputs'!$B$33,'Inputs'!$B$29+'Inputs'!$B$31+'Inputs'!$B$32,'Inputs'!$B$30+'Inputs'!$B$31+'Inputs'!$B$32)/1000+'Inputs'!$B$21+'Inputs'!$B$7+'Inputs'!$B$10))^2+('Inputs'!$B$8/2)^2))))*'Results'!$B$8),"")</x:f>
        <x:v>0.5975167748790537</x:v>
      </x:c>
      <x:c r="K911" t="n">
        <x:f>IF(AND(ISNUMBER('Results'!B7),ISNUMBER('Results'!C7),ISNUMBER('Results'!$B$8),ISNUMBER('Inputs'!$B$6),ISNUMBER('Inputs'!$B$7),ISNUMBER('Inputs'!$B$8),ISNUMBER('Inputs'!$B$9),ISNUMBER('Inputs'!$B$10),ISNUMBER('Inputs'!$B$21),ISNUMBER('Inputs'!$B$24),ISNUMBER('Inputs'!$B$28)),((('Results'!B7*(1-'Inputs'!$B$24)*(0.5*((((911-43)*MAX('Inputs'!$B$33,'Inputs'!$B$29+'Inputs'!$B$31+'Inputs'!$B$32,'Inputs'!$B$30+'Inputs'!$B$31+'Inputs'!$B$32)/1000+'Inputs'!$B$21)+'Inputs'!$B$7)/SQRT((((911-43)*MAX('Inputs'!$B$33,'Inputs'!$B$29+'Inputs'!$B$31+'Inputs'!$B$32,'Inputs'!$B$30+'Inputs'!$B$31+'Inputs'!$B$32)/1000+'Inputs'!$B$21)+'Inputs'!$B$7)^2+('Inputs'!$B$6/2)^2)-(((911-43)*MAX('Inputs'!$B$33,'Inputs'!$B$29+'Inputs'!$B$31+'Inputs'!$B$32,'Inputs'!$B$30+'Inputs'!$B$31+'Inputs'!$B$32)/1000+'Inputs'!$B$21))/SQRT((((911-43)*MAX('Inputs'!$B$33,'Inputs'!$B$29+'Inputs'!$B$31+'Inputs'!$B$32,'Inputs'!$B$30+'Inputs'!$B$31+'Inputs'!$B$32)/1000+'Inputs'!$B$21))^2+('Inputs'!$B$6/2)^2)))-'Results'!C7*(1+'Inputs'!$B$24)*(0.5*((((911-43)*MAX('Inputs'!$B$33,'Inputs'!$B$29+'Inputs'!$B$31+'Inputs'!$B$32,'Inputs'!$B$30+'Inputs'!$B$31+'Inputs'!$B$32)/1000+'Inputs'!$B$21+'Inputs'!$B$7+'Inputs'!$B$10)+'Inputs'!$B$9)/SQRT((((911-43)*MAX('Inputs'!$B$33,'Inputs'!$B$29+'Inputs'!$B$31+'Inputs'!$B$32,'Inputs'!$B$30+'Inputs'!$B$31+'Inputs'!$B$32)/1000+'Inputs'!$B$21+'Inputs'!$B$7+'Inputs'!$B$10)+'Inputs'!$B$9)^2+('Inputs'!$B$8/2)^2)-(((911-43)*MAX('Inputs'!$B$33,'Inputs'!$B$29+'Inputs'!$B$31+'Inputs'!$B$32,'Inputs'!$B$30+'Inputs'!$B$31+'Inputs'!$B$32)/1000+'Inputs'!$B$21+'Inputs'!$B$7+'Inputs'!$B$10))/SQRT((((911-43)*MAX('Inputs'!$B$33,'Inputs'!$B$29+'Inputs'!$B$31+'Inputs'!$B$32,'Inputs'!$B$30+'Inputs'!$B$31+'Inputs'!$B$32)/1000+'Inputs'!$B$21+'Inputs'!$B$7+'Inputs'!$B$10))^2+('Inputs'!$B$8/2)^2))))*'Results'!$B$8)-'Inputs'!$B$28*ABS((('Results'!B7*(1-'Inputs'!$B$24)*(0.5*((((911-43)*MAX('Inputs'!$B$33,'Inputs'!$B$29+'Inputs'!$B$31+'Inputs'!$B$32,'Inputs'!$B$30+'Inputs'!$B$31+'Inputs'!$B$32)/1000+'Inputs'!$B$21)+'Inputs'!$B$7)/SQRT((((911-43)*MAX('Inputs'!$B$33,'Inputs'!$B$29+'Inputs'!$B$31+'Inputs'!$B$32,'Inputs'!$B$30+'Inputs'!$B$31+'Inputs'!$B$32)/1000+'Inputs'!$B$21)+'Inputs'!$B$7)^2+('Inputs'!$B$6/2)^2)-(((911-43)*MAX('Inputs'!$B$33,'Inputs'!$B$29+'Inputs'!$B$31+'Inputs'!$B$32,'Inputs'!$B$30+'Inputs'!$B$31+'Inputs'!$B$32)/1000+'Inputs'!$B$21))/SQRT((((911-43)*MAX('Inputs'!$B$33,'Inputs'!$B$29+'Inputs'!$B$31+'Inputs'!$B$32,'Inputs'!$B$30+'Inputs'!$B$31+'Inputs'!$B$32)/1000+'Inputs'!$B$21))^2+('Inputs'!$B$6/2)^2)))-'Results'!C7*(1+'Inputs'!$B$24)*(0.5*((((911-43)*MAX('Inputs'!$B$33,'Inputs'!$B$29+'Inputs'!$B$31+'Inputs'!$B$32,'Inputs'!$B$30+'Inputs'!$B$31+'Inputs'!$B$32)/1000+'Inputs'!$B$21+'Inputs'!$B$7+'Inputs'!$B$10)+'Inputs'!$B$9)/SQRT((((911-43)*MAX('Inputs'!$B$33,'Inputs'!$B$29+'Inputs'!$B$31+'Inputs'!$B$32,'Inputs'!$B$30+'Inputs'!$B$31+'Inputs'!$B$32)/1000+'Inputs'!$B$21+'Inputs'!$B$7+'Inputs'!$B$10)+'Inputs'!$B$9)^2+('Inputs'!$B$8/2)^2)-(((911-43)*MAX('Inputs'!$B$33,'Inputs'!$B$29+'Inputs'!$B$31+'Inputs'!$B$32,'Inputs'!$B$30+'Inputs'!$B$31+'Inputs'!$B$32)/1000+'Inputs'!$B$21+'Inputs'!$B$7+'Inputs'!$B$10))/SQRT((((911-43)*MAX('Inputs'!$B$33,'Inputs'!$B$29+'Inputs'!$B$31+'Inputs'!$B$32,'Inputs'!$B$30+'Inputs'!$B$31+'Inputs'!$B$32)/1000+'Inputs'!$B$21+'Inputs'!$B$7+'Inputs'!$B$10))^2+('Inputs'!$B$8/2)^2))))*'Results'!$B$8))),"")</x:f>
        <x:v>0.5075281040746542</x:v>
      </x:c>
      <x:c r="L911" t="n">
        <x:f>IF(AND(ISNUMBER('Results'!B7),ISNUMBER('Results'!C7),ISNUMBER('Results'!$B$8),ISNUMBER('Inputs'!$B$6),ISNUMBER('Inputs'!$B$7),ISNUMBER('Inputs'!$B$8),ISNUMBER('Inputs'!$B$9),ISNUMBER('Inputs'!$B$10),ISNUMBER('Inputs'!$B$21),ISNUMBER('Inputs'!$B$24),ISNUMBER('Inputs'!$B$28)),((('Results'!B7*(1+'Inputs'!$B$24)*(0.5*((((911-43)*MAX('Inputs'!$B$33,'Inputs'!$B$29+'Inputs'!$B$31+'Inputs'!$B$32,'Inputs'!$B$30+'Inputs'!$B$31+'Inputs'!$B$32)/1000+'Inputs'!$B$21)+'Inputs'!$B$7)/SQRT((((911-43)*MAX('Inputs'!$B$33,'Inputs'!$B$29+'Inputs'!$B$31+'Inputs'!$B$32,'Inputs'!$B$30+'Inputs'!$B$31+'Inputs'!$B$32)/1000+'Inputs'!$B$21)+'Inputs'!$B$7)^2+('Inputs'!$B$6/2)^2)-(((911-43)*MAX('Inputs'!$B$33,'Inputs'!$B$29+'Inputs'!$B$31+'Inputs'!$B$32,'Inputs'!$B$30+'Inputs'!$B$31+'Inputs'!$B$32)/1000+'Inputs'!$B$21))/SQRT((((911-43)*MAX('Inputs'!$B$33,'Inputs'!$B$29+'Inputs'!$B$31+'Inputs'!$B$32,'Inputs'!$B$30+'Inputs'!$B$31+'Inputs'!$B$32)/1000+'Inputs'!$B$21))^2+('Inputs'!$B$6/2)^2)))-'Results'!C7*(1-'Inputs'!$B$24)*(0.5*((((911-43)*MAX('Inputs'!$B$33,'Inputs'!$B$29+'Inputs'!$B$31+'Inputs'!$B$32,'Inputs'!$B$30+'Inputs'!$B$31+'Inputs'!$B$32)/1000+'Inputs'!$B$21+'Inputs'!$B$7+'Inputs'!$B$10)+'Inputs'!$B$9)/SQRT((((911-43)*MAX('Inputs'!$B$33,'Inputs'!$B$29+'Inputs'!$B$31+'Inputs'!$B$32,'Inputs'!$B$30+'Inputs'!$B$31+'Inputs'!$B$32)/1000+'Inputs'!$B$21+'Inputs'!$B$7+'Inputs'!$B$10)+'Inputs'!$B$9)^2+('Inputs'!$B$8/2)^2)-(((911-43)*MAX('Inputs'!$B$33,'Inputs'!$B$29+'Inputs'!$B$31+'Inputs'!$B$32,'Inputs'!$B$30+'Inputs'!$B$31+'Inputs'!$B$32)/1000+'Inputs'!$B$21+'Inputs'!$B$7+'Inputs'!$B$10))/SQRT((((911-43)*MAX('Inputs'!$B$33,'Inputs'!$B$29+'Inputs'!$B$31+'Inputs'!$B$32,'Inputs'!$B$30+'Inputs'!$B$31+'Inputs'!$B$32)/1000+'Inputs'!$B$21+'Inputs'!$B$7+'Inputs'!$B$10))^2+('Inputs'!$B$8/2)^2))))*'Results'!$B$8)+'Inputs'!$B$28*ABS((('Results'!B7*(1+'Inputs'!$B$24)*(0.5*((((911-43)*MAX('Inputs'!$B$33,'Inputs'!$B$29+'Inputs'!$B$31+'Inputs'!$B$32,'Inputs'!$B$30+'Inputs'!$B$31+'Inputs'!$B$32)/1000+'Inputs'!$B$21)+'Inputs'!$B$7)/SQRT((((911-43)*MAX('Inputs'!$B$33,'Inputs'!$B$29+'Inputs'!$B$31+'Inputs'!$B$32,'Inputs'!$B$30+'Inputs'!$B$31+'Inputs'!$B$32)/1000+'Inputs'!$B$21)+'Inputs'!$B$7)^2+('Inputs'!$B$6/2)^2)-(((911-43)*MAX('Inputs'!$B$33,'Inputs'!$B$29+'Inputs'!$B$31+'Inputs'!$B$32,'Inputs'!$B$30+'Inputs'!$B$31+'Inputs'!$B$32)/1000+'Inputs'!$B$21))/SQRT((((911-43)*MAX('Inputs'!$B$33,'Inputs'!$B$29+'Inputs'!$B$31+'Inputs'!$B$32,'Inputs'!$B$30+'Inputs'!$B$31+'Inputs'!$B$32)/1000+'Inputs'!$B$21))^2+('Inputs'!$B$6/2)^2)))-'Results'!C7*(1-'Inputs'!$B$24)*(0.5*((((911-43)*MAX('Inputs'!$B$33,'Inputs'!$B$29+'Inputs'!$B$31+'Inputs'!$B$32,'Inputs'!$B$30+'Inputs'!$B$31+'Inputs'!$B$32)/1000+'Inputs'!$B$21+'Inputs'!$B$7+'Inputs'!$B$10)+'Inputs'!$B$9)/SQRT((((911-43)*MAX('Inputs'!$B$33,'Inputs'!$B$29+'Inputs'!$B$31+'Inputs'!$B$32,'Inputs'!$B$30+'Inputs'!$B$31+'Inputs'!$B$32)/1000+'Inputs'!$B$21+'Inputs'!$B$7+'Inputs'!$B$10)+'Inputs'!$B$9)^2+('Inputs'!$B$8/2)^2)-(((911-43)*MAX('Inputs'!$B$33,'Inputs'!$B$29+'Inputs'!$B$31+'Inputs'!$B$32,'Inputs'!$B$30+'Inputs'!$B$31+'Inputs'!$B$32)/1000+'Inputs'!$B$21+'Inputs'!$B$7+'Inputs'!$B$10))/SQRT((((911-43)*MAX('Inputs'!$B$33,'Inputs'!$B$29+'Inputs'!$B$31+'Inputs'!$B$32,'Inputs'!$B$30+'Inputs'!$B$31+'Inputs'!$B$32)/1000+'Inputs'!$B$21+'Inputs'!$B$7+'Inputs'!$B$10))^2+('Inputs'!$B$8/2)^2))))*'Results'!$B$8))),"")</x:f>
        <x:v>0.693833112216132</x:v>
      </x:c>
      <x:c r="M911" t="n">
        <x:f>IF(AND(ISNUMBER('Results'!C7),ISNUMBER('Results'!B7),ISNUMBER('Results'!$B$8),ISNUMBER('Inputs'!$B$6),ISNUMBER('Inputs'!$B$7),ISNUMBER('Inputs'!$B$8),ISNUMBER('Inputs'!$B$9),ISNUMBER('Inputs'!$B$10),ISNUMBER('Inputs'!$B$21),ISNUMBER('Inputs'!$B$24),ISNUMBER('Inputs'!$B$28)),(('Results'!C7*(0.5*((((911-43)*MAX('Inputs'!$B$33,'Inputs'!$B$29+'Inputs'!$B$31+'Inputs'!$B$32,'Inputs'!$B$30+'Inputs'!$B$31+'Inputs'!$B$32)/1000+'Inputs'!$B$21)+'Inputs'!$B$9)/SQRT((((911-43)*MAX('Inputs'!$B$33,'Inputs'!$B$29+'Inputs'!$B$31+'Inputs'!$B$32,'Inputs'!$B$30+'Inputs'!$B$31+'Inputs'!$B$32)/1000+'Inputs'!$B$21)+'Inputs'!$B$9)^2+('Inputs'!$B$8/2)^2)-(((911-43)*MAX('Inputs'!$B$33,'Inputs'!$B$29+'Inputs'!$B$31+'Inputs'!$B$32,'Inputs'!$B$30+'Inputs'!$B$31+'Inputs'!$B$32)/1000+'Inputs'!$B$21))/SQRT((((911-43)*MAX('Inputs'!$B$33,'Inputs'!$B$29+'Inputs'!$B$31+'Inputs'!$B$32,'Inputs'!$B$30+'Inputs'!$B$31+'Inputs'!$B$32)/1000+'Inputs'!$B$21))^2+('Inputs'!$B$8/2)^2)))-'Results'!B7*(0.5*((((911-43)*MAX('Inputs'!$B$33,'Inputs'!$B$29+'Inputs'!$B$31+'Inputs'!$B$32,'Inputs'!$B$30+'Inputs'!$B$31+'Inputs'!$B$32)/1000+'Inputs'!$B$21+'Inputs'!$B$9+'Inputs'!$B$10)+'Inputs'!$B$7)/SQRT((((911-43)*MAX('Inputs'!$B$33,'Inputs'!$B$29+'Inputs'!$B$31+'Inputs'!$B$32,'Inputs'!$B$30+'Inputs'!$B$31+'Inputs'!$B$32)/1000+'Inputs'!$B$21+'Inputs'!$B$9+'Inputs'!$B$10)+'Inputs'!$B$7)^2+('Inputs'!$B$6/2)^2)-(((911-43)*MAX('Inputs'!$B$33,'Inputs'!$B$29+'Inputs'!$B$31+'Inputs'!$B$32,'Inputs'!$B$30+'Inputs'!$B$31+'Inputs'!$B$32)/1000+'Inputs'!$B$21+'Inputs'!$B$9+'Inputs'!$B$10))/SQRT((((911-43)*MAX('Inputs'!$B$33,'Inputs'!$B$29+'Inputs'!$B$31+'Inputs'!$B$32,'Inputs'!$B$30+'Inputs'!$B$31+'Inputs'!$B$32)/1000+'Inputs'!$B$21+'Inputs'!$B$9+'Inputs'!$B$10))^2+('Inputs'!$B$6/2)^2))))*'Results'!$B$8),"")</x:f>
        <x:v>0.533716371492786</x:v>
      </x:c>
      <x:c r="N911" t="n">
        <x:f>IF(AND(ISNUMBER('Results'!C7),ISNUMBER('Results'!B7),ISNUMBER('Results'!$B$8),ISNUMBER('Inputs'!$B$6),ISNUMBER('Inputs'!$B$7),ISNUMBER('Inputs'!$B$8),ISNUMBER('Inputs'!$B$9),ISNUMBER('Inputs'!$B$10),ISNUMBER('Inputs'!$B$21),ISNUMBER('Inputs'!$B$24),ISNUMBER('Inputs'!$B$28)),((('Results'!C7*(1-'Inputs'!$B$24)*(0.5*((((911-43)*MAX('Inputs'!$B$33,'Inputs'!$B$29+'Inputs'!$B$31+'Inputs'!$B$32,'Inputs'!$B$30+'Inputs'!$B$31+'Inputs'!$B$32)/1000+'Inputs'!$B$21)+'Inputs'!$B$9)/SQRT((((911-43)*MAX('Inputs'!$B$33,'Inputs'!$B$29+'Inputs'!$B$31+'Inputs'!$B$32,'Inputs'!$B$30+'Inputs'!$B$31+'Inputs'!$B$32)/1000+'Inputs'!$B$21)+'Inputs'!$B$9)^2+('Inputs'!$B$8/2)^2)-(((911-43)*MAX('Inputs'!$B$33,'Inputs'!$B$29+'Inputs'!$B$31+'Inputs'!$B$32,'Inputs'!$B$30+'Inputs'!$B$31+'Inputs'!$B$32)/1000+'Inputs'!$B$21))/SQRT((((911-43)*MAX('Inputs'!$B$33,'Inputs'!$B$29+'Inputs'!$B$31+'Inputs'!$B$32,'Inputs'!$B$30+'Inputs'!$B$31+'Inputs'!$B$32)/1000+'Inputs'!$B$21))^2+('Inputs'!$B$8/2)^2)))-'Results'!B7*(1+'Inputs'!$B$24)*(0.5*((((911-43)*MAX('Inputs'!$B$33,'Inputs'!$B$29+'Inputs'!$B$31+'Inputs'!$B$32,'Inputs'!$B$30+'Inputs'!$B$31+'Inputs'!$B$32)/1000+'Inputs'!$B$21+'Inputs'!$B$9+'Inputs'!$B$10)+'Inputs'!$B$7)/SQRT((((911-43)*MAX('Inputs'!$B$33,'Inputs'!$B$29+'Inputs'!$B$31+'Inputs'!$B$32,'Inputs'!$B$30+'Inputs'!$B$31+'Inputs'!$B$32)/1000+'Inputs'!$B$21+'Inputs'!$B$9+'Inputs'!$B$10)+'Inputs'!$B$7)^2+('Inputs'!$B$6/2)^2)-(((911-43)*MAX('Inputs'!$B$33,'Inputs'!$B$29+'Inputs'!$B$31+'Inputs'!$B$32,'Inputs'!$B$30+'Inputs'!$B$31+'Inputs'!$B$32)/1000+'Inputs'!$B$21+'Inputs'!$B$9+'Inputs'!$B$10))/SQRT((((911-43)*MAX('Inputs'!$B$33,'Inputs'!$B$29+'Inputs'!$B$31+'Inputs'!$B$32,'Inputs'!$B$30+'Inputs'!$B$31+'Inputs'!$B$32)/1000+'Inputs'!$B$21+'Inputs'!$B$9+'Inputs'!$B$10))^2+('Inputs'!$B$6/2)^2))))*'Results'!$B$8)-'Inputs'!$B$28*ABS((('Results'!C7*(1-'Inputs'!$B$24)*(0.5*((((911-43)*MAX('Inputs'!$B$33,'Inputs'!$B$29+'Inputs'!$B$31+'Inputs'!$B$32,'Inputs'!$B$30+'Inputs'!$B$31+'Inputs'!$B$32)/1000+'Inputs'!$B$21)+'Inputs'!$B$9)/SQRT((((911-43)*MAX('Inputs'!$B$33,'Inputs'!$B$29+'Inputs'!$B$31+'Inputs'!$B$32,'Inputs'!$B$30+'Inputs'!$B$31+'Inputs'!$B$32)/1000+'Inputs'!$B$21)+'Inputs'!$B$9)^2+('Inputs'!$B$8/2)^2)-(((911-43)*MAX('Inputs'!$B$33,'Inputs'!$B$29+'Inputs'!$B$31+'Inputs'!$B$32,'Inputs'!$B$30+'Inputs'!$B$31+'Inputs'!$B$32)/1000+'Inputs'!$B$21))/SQRT((((911-43)*MAX('Inputs'!$B$33,'Inputs'!$B$29+'Inputs'!$B$31+'Inputs'!$B$32,'Inputs'!$B$30+'Inputs'!$B$31+'Inputs'!$B$32)/1000+'Inputs'!$B$21))^2+('Inputs'!$B$8/2)^2)))-'Results'!B7*(1+'Inputs'!$B$24)*(0.5*((((911-43)*MAX('Inputs'!$B$33,'Inputs'!$B$29+'Inputs'!$B$31+'Inputs'!$B$32,'Inputs'!$B$30+'Inputs'!$B$31+'Inputs'!$B$32)/1000+'Inputs'!$B$21+'Inputs'!$B$9+'Inputs'!$B$10)+'Inputs'!$B$7)/SQRT((((911-43)*MAX('Inputs'!$B$33,'Inputs'!$B$29+'Inputs'!$B$31+'Inputs'!$B$32,'Inputs'!$B$30+'Inputs'!$B$31+'Inputs'!$B$32)/1000+'Inputs'!$B$21+'Inputs'!$B$9+'Inputs'!$B$10)+'Inputs'!$B$7)^2+('Inputs'!$B$6/2)^2)-(((911-43)*MAX('Inputs'!$B$33,'Inputs'!$B$29+'Inputs'!$B$31+'Inputs'!$B$32,'Inputs'!$B$30+'Inputs'!$B$31+'Inputs'!$B$32)/1000+'Inputs'!$B$21+'Inputs'!$B$9+'Inputs'!$B$10))/SQRT((((911-43)*MAX('Inputs'!$B$33,'Inputs'!$B$29+'Inputs'!$B$31+'Inputs'!$B$32,'Inputs'!$B$30+'Inputs'!$B$31+'Inputs'!$B$32)/1000+'Inputs'!$B$21+'Inputs'!$B$9+'Inputs'!$B$10))^2+('Inputs'!$B$6/2)^2))))*'Results'!$B$8))),"")</x:f>
        <x:v>0.44713482620902334</x:v>
      </x:c>
      <x:c r="O911" t="n">
        <x:f>IF(AND(ISNUMBER('Results'!C7),ISNUMBER('Results'!B7),ISNUMBER('Results'!$B$8),ISNUMBER('Inputs'!$B$6),ISNUMBER('Inputs'!$B$7),ISNUMBER('Inputs'!$B$8),ISNUMBER('Inputs'!$B$9),ISNUMBER('Inputs'!$B$10),ISNUMBER('Inputs'!$B$21),ISNUMBER('Inputs'!$B$24),ISNUMBER('Inputs'!$B$28)),((('Results'!C7*(1+'Inputs'!$B$24)*(0.5*((((911-43)*MAX('Inputs'!$B$33,'Inputs'!$B$29+'Inputs'!$B$31+'Inputs'!$B$32,'Inputs'!$B$30+'Inputs'!$B$31+'Inputs'!$B$32)/1000+'Inputs'!$B$21)+'Inputs'!$B$9)/SQRT((((911-43)*MAX('Inputs'!$B$33,'Inputs'!$B$29+'Inputs'!$B$31+'Inputs'!$B$32,'Inputs'!$B$30+'Inputs'!$B$31+'Inputs'!$B$32)/1000+'Inputs'!$B$21)+'Inputs'!$B$9)^2+('Inputs'!$B$8/2)^2)-(((911-43)*MAX('Inputs'!$B$33,'Inputs'!$B$29+'Inputs'!$B$31+'Inputs'!$B$32,'Inputs'!$B$30+'Inputs'!$B$31+'Inputs'!$B$32)/1000+'Inputs'!$B$21))/SQRT((((911-43)*MAX('Inputs'!$B$33,'Inputs'!$B$29+'Inputs'!$B$31+'Inputs'!$B$32,'Inputs'!$B$30+'Inputs'!$B$31+'Inputs'!$B$32)/1000+'Inputs'!$B$21))^2+('Inputs'!$B$8/2)^2)))-'Results'!B7*(1-'Inputs'!$B$24)*(0.5*((((911-43)*MAX('Inputs'!$B$33,'Inputs'!$B$29+'Inputs'!$B$31+'Inputs'!$B$32,'Inputs'!$B$30+'Inputs'!$B$31+'Inputs'!$B$32)/1000+'Inputs'!$B$21+'Inputs'!$B$9+'Inputs'!$B$10)+'Inputs'!$B$7)/SQRT((((911-43)*MAX('Inputs'!$B$33,'Inputs'!$B$29+'Inputs'!$B$31+'Inputs'!$B$32,'Inputs'!$B$30+'Inputs'!$B$31+'Inputs'!$B$32)/1000+'Inputs'!$B$21+'Inputs'!$B$9+'Inputs'!$B$10)+'Inputs'!$B$7)^2+('Inputs'!$B$6/2)^2)-(((911-43)*MAX('Inputs'!$B$33,'Inputs'!$B$29+'Inputs'!$B$31+'Inputs'!$B$32,'Inputs'!$B$30+'Inputs'!$B$31+'Inputs'!$B$32)/1000+'Inputs'!$B$21+'Inputs'!$B$9+'Inputs'!$B$10))/SQRT((((911-43)*MAX('Inputs'!$B$33,'Inputs'!$B$29+'Inputs'!$B$31+'Inputs'!$B$32,'Inputs'!$B$30+'Inputs'!$B$31+'Inputs'!$B$32)/1000+'Inputs'!$B$21+'Inputs'!$B$9+'Inputs'!$B$10))^2+('Inputs'!$B$6/2)^2))))*'Results'!$B$8)+'Inputs'!$B$28*ABS((('Results'!C7*(1+'Inputs'!$B$24)*(0.5*((((911-43)*MAX('Inputs'!$B$33,'Inputs'!$B$29+'Inputs'!$B$31+'Inputs'!$B$32,'Inputs'!$B$30+'Inputs'!$B$31+'Inputs'!$B$32)/1000+'Inputs'!$B$21)+'Inputs'!$B$9)/SQRT((((911-43)*MAX('Inputs'!$B$33,'Inputs'!$B$29+'Inputs'!$B$31+'Inputs'!$B$32,'Inputs'!$B$30+'Inputs'!$B$31+'Inputs'!$B$32)/1000+'Inputs'!$B$21)+'Inputs'!$B$9)^2+('Inputs'!$B$8/2)^2)-(((911-43)*MAX('Inputs'!$B$33,'Inputs'!$B$29+'Inputs'!$B$31+'Inputs'!$B$32,'Inputs'!$B$30+'Inputs'!$B$31+'Inputs'!$B$32)/1000+'Inputs'!$B$21))/SQRT((((911-43)*MAX('Inputs'!$B$33,'Inputs'!$B$29+'Inputs'!$B$31+'Inputs'!$B$32,'Inputs'!$B$30+'Inputs'!$B$31+'Inputs'!$B$32)/1000+'Inputs'!$B$21))^2+('Inputs'!$B$8/2)^2)))-'Results'!B7*(1-'Inputs'!$B$24)*(0.5*((((911-43)*MAX('Inputs'!$B$33,'Inputs'!$B$29+'Inputs'!$B$31+'Inputs'!$B$32,'Inputs'!$B$30+'Inputs'!$B$31+'Inputs'!$B$32)/1000+'Inputs'!$B$21+'Inputs'!$B$9+'Inputs'!$B$10)+'Inputs'!$B$7)/SQRT((((911-43)*MAX('Inputs'!$B$33,'Inputs'!$B$29+'Inputs'!$B$31+'Inputs'!$B$32,'Inputs'!$B$30+'Inputs'!$B$31+'Inputs'!$B$32)/1000+'Inputs'!$B$21+'Inputs'!$B$9+'Inputs'!$B$10)+'Inputs'!$B$7)^2+('Inputs'!$B$6/2)^2)-(((911-43)*MAX('Inputs'!$B$33,'Inputs'!$B$29+'Inputs'!$B$31+'Inputs'!$B$32,'Inputs'!$B$30+'Inputs'!$B$31+'Inputs'!$B$32)/1000+'Inputs'!$B$21+'Inputs'!$B$9+'Inputs'!$B$10))/SQRT((((911-43)*MAX('Inputs'!$B$33,'Inputs'!$B$29+'Inputs'!$B$31+'Inputs'!$B$32,'Inputs'!$B$30+'Inputs'!$B$31+'Inputs'!$B$32)/1000+'Inputs'!$B$21+'Inputs'!$B$9+'Inputs'!$B$10))^2+('Inputs'!$B$6/2)^2))))*'Results'!$B$8))),"")</x:f>
        <x:v>0.6266027301143507</x:v>
      </x:c>
      <x:c r="P911" t="n">
        <x:f>IF(AND(MAX(J911,J910)&gt;0,J911&gt;J910+0.00000001),1,0)</x:f>
        <x:v>0</x:v>
      </x:c>
      <x:c r="Q911" t="n">
        <x:f>IF(AND(MAX(K911,K910)&gt;0,K911&gt;K910+0.00000001),1,0)</x:f>
        <x:v>0</x:v>
      </x:c>
      <x:c r="R911" t="n">
        <x:f>IF(AND(MAX(L911,L910)&gt;0,L911&gt;L910+0.00000001),1,0)</x:f>
        <x:v>0</x:v>
      </x:c>
      <x:c r="S911" t="n">
        <x:f>IF(AND(MAX(M911,M910)&gt;0,M911&gt;M910+0.00000001),1,0)</x:f>
        <x:v>0</x:v>
      </x:c>
      <x:c r="T911" t="n">
        <x:f>IF(AND(MAX(N911,N910)&gt;0,N911&gt;N910+0.00000001),1,0)</x:f>
        <x:v>0</x:v>
      </x:c>
      <x:c r="U911" t="n">
        <x:f>IF(AND(MAX(O911,O910)&gt;0,O911&gt;O910+0.00000001),1,0)</x:f>
        <x:v>0</x:v>
      </x:c>
    </x:row>
    <x:row r="912">
      <x:c r="J912" t="n">
        <x:f>IF(AND(ISNUMBER('Results'!B7),ISNUMBER('Results'!C7),ISNUMBER('Results'!$B$8),ISNUMBER('Inputs'!$B$6),ISNUMBER('Inputs'!$B$7),ISNUMBER('Inputs'!$B$8),ISNUMBER('Inputs'!$B$9),ISNUMBER('Inputs'!$B$10),ISNUMBER('Inputs'!$B$21),ISNUMBER('Inputs'!$B$24),ISNUMBER('Inputs'!$B$28)),(('Results'!B7*(0.5*((((912-43)*MAX('Inputs'!$B$33,'Inputs'!$B$29+'Inputs'!$B$31+'Inputs'!$B$32,'Inputs'!$B$30+'Inputs'!$B$31+'Inputs'!$B$32)/1000+'Inputs'!$B$21)+'Inputs'!$B$7)/SQRT((((912-43)*MAX('Inputs'!$B$33,'Inputs'!$B$29+'Inputs'!$B$31+'Inputs'!$B$32,'Inputs'!$B$30+'Inputs'!$B$31+'Inputs'!$B$32)/1000+'Inputs'!$B$21)+'Inputs'!$B$7)^2+('Inputs'!$B$6/2)^2)-(((912-43)*MAX('Inputs'!$B$33,'Inputs'!$B$29+'Inputs'!$B$31+'Inputs'!$B$32,'Inputs'!$B$30+'Inputs'!$B$31+'Inputs'!$B$32)/1000+'Inputs'!$B$21))/SQRT((((912-43)*MAX('Inputs'!$B$33,'Inputs'!$B$29+'Inputs'!$B$31+'Inputs'!$B$32,'Inputs'!$B$30+'Inputs'!$B$31+'Inputs'!$B$32)/1000+'Inputs'!$B$21))^2+('Inputs'!$B$6/2)^2)))-'Results'!C7*(0.5*((((912-43)*MAX('Inputs'!$B$33,'Inputs'!$B$29+'Inputs'!$B$31+'Inputs'!$B$32,'Inputs'!$B$30+'Inputs'!$B$31+'Inputs'!$B$32)/1000+'Inputs'!$B$21+'Inputs'!$B$7+'Inputs'!$B$10)+'Inputs'!$B$9)/SQRT((((912-43)*MAX('Inputs'!$B$33,'Inputs'!$B$29+'Inputs'!$B$31+'Inputs'!$B$32,'Inputs'!$B$30+'Inputs'!$B$31+'Inputs'!$B$32)/1000+'Inputs'!$B$21+'Inputs'!$B$7+'Inputs'!$B$10)+'Inputs'!$B$9)^2+('Inputs'!$B$8/2)^2)-(((912-43)*MAX('Inputs'!$B$33,'Inputs'!$B$29+'Inputs'!$B$31+'Inputs'!$B$32,'Inputs'!$B$30+'Inputs'!$B$31+'Inputs'!$B$32)/1000+'Inputs'!$B$21+'Inputs'!$B$7+'Inputs'!$B$10))/SQRT((((912-43)*MAX('Inputs'!$B$33,'Inputs'!$B$29+'Inputs'!$B$31+'Inputs'!$B$32,'Inputs'!$B$30+'Inputs'!$B$31+'Inputs'!$B$32)/1000+'Inputs'!$B$21+'Inputs'!$B$7+'Inputs'!$B$10))^2+('Inputs'!$B$8/2)^2))))*'Results'!$B$8),"")</x:f>
        <x:v>0.5950326206087243</x:v>
      </x:c>
      <x:c r="K912" t="n">
        <x:f>IF(AND(ISNUMBER('Results'!B7),ISNUMBER('Results'!C7),ISNUMBER('Results'!$B$8),ISNUMBER('Inputs'!$B$6),ISNUMBER('Inputs'!$B$7),ISNUMBER('Inputs'!$B$8),ISNUMBER('Inputs'!$B$9),ISNUMBER('Inputs'!$B$10),ISNUMBER('Inputs'!$B$21),ISNUMBER('Inputs'!$B$24),ISNUMBER('Inputs'!$B$28)),((('Results'!B7*(1-'Inputs'!$B$24)*(0.5*((((912-43)*MAX('Inputs'!$B$33,'Inputs'!$B$29+'Inputs'!$B$31+'Inputs'!$B$32,'Inputs'!$B$30+'Inputs'!$B$31+'Inputs'!$B$32)/1000+'Inputs'!$B$21)+'Inputs'!$B$7)/SQRT((((912-43)*MAX('Inputs'!$B$33,'Inputs'!$B$29+'Inputs'!$B$31+'Inputs'!$B$32,'Inputs'!$B$30+'Inputs'!$B$31+'Inputs'!$B$32)/1000+'Inputs'!$B$21)+'Inputs'!$B$7)^2+('Inputs'!$B$6/2)^2)-(((912-43)*MAX('Inputs'!$B$33,'Inputs'!$B$29+'Inputs'!$B$31+'Inputs'!$B$32,'Inputs'!$B$30+'Inputs'!$B$31+'Inputs'!$B$32)/1000+'Inputs'!$B$21))/SQRT((((912-43)*MAX('Inputs'!$B$33,'Inputs'!$B$29+'Inputs'!$B$31+'Inputs'!$B$32,'Inputs'!$B$30+'Inputs'!$B$31+'Inputs'!$B$32)/1000+'Inputs'!$B$21))^2+('Inputs'!$B$6/2)^2)))-'Results'!C7*(1+'Inputs'!$B$24)*(0.5*((((912-43)*MAX('Inputs'!$B$33,'Inputs'!$B$29+'Inputs'!$B$31+'Inputs'!$B$32,'Inputs'!$B$30+'Inputs'!$B$31+'Inputs'!$B$32)/1000+'Inputs'!$B$21+'Inputs'!$B$7+'Inputs'!$B$10)+'Inputs'!$B$9)/SQRT((((912-43)*MAX('Inputs'!$B$33,'Inputs'!$B$29+'Inputs'!$B$31+'Inputs'!$B$32,'Inputs'!$B$30+'Inputs'!$B$31+'Inputs'!$B$32)/1000+'Inputs'!$B$21+'Inputs'!$B$7+'Inputs'!$B$10)+'Inputs'!$B$9)^2+('Inputs'!$B$8/2)^2)-(((912-43)*MAX('Inputs'!$B$33,'Inputs'!$B$29+'Inputs'!$B$31+'Inputs'!$B$32,'Inputs'!$B$30+'Inputs'!$B$31+'Inputs'!$B$32)/1000+'Inputs'!$B$21+'Inputs'!$B$7+'Inputs'!$B$10))/SQRT((((912-43)*MAX('Inputs'!$B$33,'Inputs'!$B$29+'Inputs'!$B$31+'Inputs'!$B$32,'Inputs'!$B$30+'Inputs'!$B$31+'Inputs'!$B$32)/1000+'Inputs'!$B$21+'Inputs'!$B$7+'Inputs'!$B$10))^2+('Inputs'!$B$8/2)^2))))*'Results'!$B$8)-'Inputs'!$B$28*ABS((('Results'!B7*(1-'Inputs'!$B$24)*(0.5*((((912-43)*MAX('Inputs'!$B$33,'Inputs'!$B$29+'Inputs'!$B$31+'Inputs'!$B$32,'Inputs'!$B$30+'Inputs'!$B$31+'Inputs'!$B$32)/1000+'Inputs'!$B$21)+'Inputs'!$B$7)/SQRT((((912-43)*MAX('Inputs'!$B$33,'Inputs'!$B$29+'Inputs'!$B$31+'Inputs'!$B$32,'Inputs'!$B$30+'Inputs'!$B$31+'Inputs'!$B$32)/1000+'Inputs'!$B$21)+'Inputs'!$B$7)^2+('Inputs'!$B$6/2)^2)-(((912-43)*MAX('Inputs'!$B$33,'Inputs'!$B$29+'Inputs'!$B$31+'Inputs'!$B$32,'Inputs'!$B$30+'Inputs'!$B$31+'Inputs'!$B$32)/1000+'Inputs'!$B$21))/SQRT((((912-43)*MAX('Inputs'!$B$33,'Inputs'!$B$29+'Inputs'!$B$31+'Inputs'!$B$32,'Inputs'!$B$30+'Inputs'!$B$31+'Inputs'!$B$32)/1000+'Inputs'!$B$21))^2+('Inputs'!$B$6/2)^2)))-'Results'!C7*(1+'Inputs'!$B$24)*(0.5*((((912-43)*MAX('Inputs'!$B$33,'Inputs'!$B$29+'Inputs'!$B$31+'Inputs'!$B$32,'Inputs'!$B$30+'Inputs'!$B$31+'Inputs'!$B$32)/1000+'Inputs'!$B$21+'Inputs'!$B$7+'Inputs'!$B$10)+'Inputs'!$B$9)/SQRT((((912-43)*MAX('Inputs'!$B$33,'Inputs'!$B$29+'Inputs'!$B$31+'Inputs'!$B$32,'Inputs'!$B$30+'Inputs'!$B$31+'Inputs'!$B$32)/1000+'Inputs'!$B$21+'Inputs'!$B$7+'Inputs'!$B$10)+'Inputs'!$B$9)^2+('Inputs'!$B$8/2)^2)-(((912-43)*MAX('Inputs'!$B$33,'Inputs'!$B$29+'Inputs'!$B$31+'Inputs'!$B$32,'Inputs'!$B$30+'Inputs'!$B$31+'Inputs'!$B$32)/1000+'Inputs'!$B$21+'Inputs'!$B$7+'Inputs'!$B$10))/SQRT((((912-43)*MAX('Inputs'!$B$33,'Inputs'!$B$29+'Inputs'!$B$31+'Inputs'!$B$32,'Inputs'!$B$30+'Inputs'!$B$31+'Inputs'!$B$32)/1000+'Inputs'!$B$21+'Inputs'!$B$7+'Inputs'!$B$10))^2+('Inputs'!$B$8/2)^2))))*'Results'!$B$8))),"")</x:f>
        <x:v>0.5053601454474232</x:v>
      </x:c>
      <x:c r="L912" t="n">
        <x:f>IF(AND(ISNUMBER('Results'!B7),ISNUMBER('Results'!C7),ISNUMBER('Results'!$B$8),ISNUMBER('Inputs'!$B$6),ISNUMBER('Inputs'!$B$7),ISNUMBER('Inputs'!$B$8),ISNUMBER('Inputs'!$B$9),ISNUMBER('Inputs'!$B$10),ISNUMBER('Inputs'!$B$21),ISNUMBER('Inputs'!$B$24),ISNUMBER('Inputs'!$B$28)),((('Results'!B7*(1+'Inputs'!$B$24)*(0.5*((((912-43)*MAX('Inputs'!$B$33,'Inputs'!$B$29+'Inputs'!$B$31+'Inputs'!$B$32,'Inputs'!$B$30+'Inputs'!$B$31+'Inputs'!$B$32)/1000+'Inputs'!$B$21)+'Inputs'!$B$7)/SQRT((((912-43)*MAX('Inputs'!$B$33,'Inputs'!$B$29+'Inputs'!$B$31+'Inputs'!$B$32,'Inputs'!$B$30+'Inputs'!$B$31+'Inputs'!$B$32)/1000+'Inputs'!$B$21)+'Inputs'!$B$7)^2+('Inputs'!$B$6/2)^2)-(((912-43)*MAX('Inputs'!$B$33,'Inputs'!$B$29+'Inputs'!$B$31+'Inputs'!$B$32,'Inputs'!$B$30+'Inputs'!$B$31+'Inputs'!$B$32)/1000+'Inputs'!$B$21))/SQRT((((912-43)*MAX('Inputs'!$B$33,'Inputs'!$B$29+'Inputs'!$B$31+'Inputs'!$B$32,'Inputs'!$B$30+'Inputs'!$B$31+'Inputs'!$B$32)/1000+'Inputs'!$B$21))^2+('Inputs'!$B$6/2)^2)))-'Results'!C7*(1-'Inputs'!$B$24)*(0.5*((((912-43)*MAX('Inputs'!$B$33,'Inputs'!$B$29+'Inputs'!$B$31+'Inputs'!$B$32,'Inputs'!$B$30+'Inputs'!$B$31+'Inputs'!$B$32)/1000+'Inputs'!$B$21+'Inputs'!$B$7+'Inputs'!$B$10)+'Inputs'!$B$9)/SQRT((((912-43)*MAX('Inputs'!$B$33,'Inputs'!$B$29+'Inputs'!$B$31+'Inputs'!$B$32,'Inputs'!$B$30+'Inputs'!$B$31+'Inputs'!$B$32)/1000+'Inputs'!$B$21+'Inputs'!$B$7+'Inputs'!$B$10)+'Inputs'!$B$9)^2+('Inputs'!$B$8/2)^2)-(((912-43)*MAX('Inputs'!$B$33,'Inputs'!$B$29+'Inputs'!$B$31+'Inputs'!$B$32,'Inputs'!$B$30+'Inputs'!$B$31+'Inputs'!$B$32)/1000+'Inputs'!$B$21+'Inputs'!$B$7+'Inputs'!$B$10))/SQRT((((912-43)*MAX('Inputs'!$B$33,'Inputs'!$B$29+'Inputs'!$B$31+'Inputs'!$B$32,'Inputs'!$B$30+'Inputs'!$B$31+'Inputs'!$B$32)/1000+'Inputs'!$B$21+'Inputs'!$B$7+'Inputs'!$B$10))^2+('Inputs'!$B$8/2)^2))))*'Results'!$B$8)+'Inputs'!$B$28*ABS((('Results'!B7*(1+'Inputs'!$B$24)*(0.5*((((912-43)*MAX('Inputs'!$B$33,'Inputs'!$B$29+'Inputs'!$B$31+'Inputs'!$B$32,'Inputs'!$B$30+'Inputs'!$B$31+'Inputs'!$B$32)/1000+'Inputs'!$B$21)+'Inputs'!$B$7)/SQRT((((912-43)*MAX('Inputs'!$B$33,'Inputs'!$B$29+'Inputs'!$B$31+'Inputs'!$B$32,'Inputs'!$B$30+'Inputs'!$B$31+'Inputs'!$B$32)/1000+'Inputs'!$B$21)+'Inputs'!$B$7)^2+('Inputs'!$B$6/2)^2)-(((912-43)*MAX('Inputs'!$B$33,'Inputs'!$B$29+'Inputs'!$B$31+'Inputs'!$B$32,'Inputs'!$B$30+'Inputs'!$B$31+'Inputs'!$B$32)/1000+'Inputs'!$B$21))/SQRT((((912-43)*MAX('Inputs'!$B$33,'Inputs'!$B$29+'Inputs'!$B$31+'Inputs'!$B$32,'Inputs'!$B$30+'Inputs'!$B$31+'Inputs'!$B$32)/1000+'Inputs'!$B$21))^2+('Inputs'!$B$6/2)^2)))-'Results'!C7*(1-'Inputs'!$B$24)*(0.5*((((912-43)*MAX('Inputs'!$B$33,'Inputs'!$B$29+'Inputs'!$B$31+'Inputs'!$B$32,'Inputs'!$B$30+'Inputs'!$B$31+'Inputs'!$B$32)/1000+'Inputs'!$B$21+'Inputs'!$B$7+'Inputs'!$B$10)+'Inputs'!$B$9)/SQRT((((912-43)*MAX('Inputs'!$B$33,'Inputs'!$B$29+'Inputs'!$B$31+'Inputs'!$B$32,'Inputs'!$B$30+'Inputs'!$B$31+'Inputs'!$B$32)/1000+'Inputs'!$B$21+'Inputs'!$B$7+'Inputs'!$B$10)+'Inputs'!$B$9)^2+('Inputs'!$B$8/2)^2)-(((912-43)*MAX('Inputs'!$B$33,'Inputs'!$B$29+'Inputs'!$B$31+'Inputs'!$B$32,'Inputs'!$B$30+'Inputs'!$B$31+'Inputs'!$B$32)/1000+'Inputs'!$B$21+'Inputs'!$B$7+'Inputs'!$B$10))/SQRT((((912-43)*MAX('Inputs'!$B$33,'Inputs'!$B$29+'Inputs'!$B$31+'Inputs'!$B$32,'Inputs'!$B$30+'Inputs'!$B$31+'Inputs'!$B$32)/1000+'Inputs'!$B$21+'Inputs'!$B$7+'Inputs'!$B$10))^2+('Inputs'!$B$8/2)^2))))*'Results'!$B$8))),"")</x:f>
        <x:v>0.6910125530469589</x:v>
      </x:c>
      <x:c r="M912" t="n">
        <x:f>IF(AND(ISNUMBER('Results'!C7),ISNUMBER('Results'!B7),ISNUMBER('Results'!$B$8),ISNUMBER('Inputs'!$B$6),ISNUMBER('Inputs'!$B$7),ISNUMBER('Inputs'!$B$8),ISNUMBER('Inputs'!$B$9),ISNUMBER('Inputs'!$B$10),ISNUMBER('Inputs'!$B$21),ISNUMBER('Inputs'!$B$24),ISNUMBER('Inputs'!$B$28)),(('Results'!C7*(0.5*((((912-43)*MAX('Inputs'!$B$33,'Inputs'!$B$29+'Inputs'!$B$31+'Inputs'!$B$32,'Inputs'!$B$30+'Inputs'!$B$31+'Inputs'!$B$32)/1000+'Inputs'!$B$21)+'Inputs'!$B$9)/SQRT((((912-43)*MAX('Inputs'!$B$33,'Inputs'!$B$29+'Inputs'!$B$31+'Inputs'!$B$32,'Inputs'!$B$30+'Inputs'!$B$31+'Inputs'!$B$32)/1000+'Inputs'!$B$21)+'Inputs'!$B$9)^2+('Inputs'!$B$8/2)^2)-(((912-43)*MAX('Inputs'!$B$33,'Inputs'!$B$29+'Inputs'!$B$31+'Inputs'!$B$32,'Inputs'!$B$30+'Inputs'!$B$31+'Inputs'!$B$32)/1000+'Inputs'!$B$21))/SQRT((((912-43)*MAX('Inputs'!$B$33,'Inputs'!$B$29+'Inputs'!$B$31+'Inputs'!$B$32,'Inputs'!$B$30+'Inputs'!$B$31+'Inputs'!$B$32)/1000+'Inputs'!$B$21))^2+('Inputs'!$B$8/2)^2)))-'Results'!B7*(0.5*((((912-43)*MAX('Inputs'!$B$33,'Inputs'!$B$29+'Inputs'!$B$31+'Inputs'!$B$32,'Inputs'!$B$30+'Inputs'!$B$31+'Inputs'!$B$32)/1000+'Inputs'!$B$21+'Inputs'!$B$9+'Inputs'!$B$10)+'Inputs'!$B$7)/SQRT((((912-43)*MAX('Inputs'!$B$33,'Inputs'!$B$29+'Inputs'!$B$31+'Inputs'!$B$32,'Inputs'!$B$30+'Inputs'!$B$31+'Inputs'!$B$32)/1000+'Inputs'!$B$21+'Inputs'!$B$9+'Inputs'!$B$10)+'Inputs'!$B$7)^2+('Inputs'!$B$6/2)^2)-(((912-43)*MAX('Inputs'!$B$33,'Inputs'!$B$29+'Inputs'!$B$31+'Inputs'!$B$32,'Inputs'!$B$30+'Inputs'!$B$31+'Inputs'!$B$32)/1000+'Inputs'!$B$21+'Inputs'!$B$9+'Inputs'!$B$10))/SQRT((((912-43)*MAX('Inputs'!$B$33,'Inputs'!$B$29+'Inputs'!$B$31+'Inputs'!$B$32,'Inputs'!$B$30+'Inputs'!$B$31+'Inputs'!$B$32)/1000+'Inputs'!$B$21+'Inputs'!$B$9+'Inputs'!$B$10))^2+('Inputs'!$B$6/2)^2))))*'Results'!$B$8),"")</x:f>
        <x:v>0.5314358649786055</x:v>
      </x:c>
      <x:c r="N912" t="n">
        <x:f>IF(AND(ISNUMBER('Results'!C7),ISNUMBER('Results'!B7),ISNUMBER('Results'!$B$8),ISNUMBER('Inputs'!$B$6),ISNUMBER('Inputs'!$B$7),ISNUMBER('Inputs'!$B$8),ISNUMBER('Inputs'!$B$9),ISNUMBER('Inputs'!$B$10),ISNUMBER('Inputs'!$B$21),ISNUMBER('Inputs'!$B$24),ISNUMBER('Inputs'!$B$28)),((('Results'!C7*(1-'Inputs'!$B$24)*(0.5*((((912-43)*MAX('Inputs'!$B$33,'Inputs'!$B$29+'Inputs'!$B$31+'Inputs'!$B$32,'Inputs'!$B$30+'Inputs'!$B$31+'Inputs'!$B$32)/1000+'Inputs'!$B$21)+'Inputs'!$B$9)/SQRT((((912-43)*MAX('Inputs'!$B$33,'Inputs'!$B$29+'Inputs'!$B$31+'Inputs'!$B$32,'Inputs'!$B$30+'Inputs'!$B$31+'Inputs'!$B$32)/1000+'Inputs'!$B$21)+'Inputs'!$B$9)^2+('Inputs'!$B$8/2)^2)-(((912-43)*MAX('Inputs'!$B$33,'Inputs'!$B$29+'Inputs'!$B$31+'Inputs'!$B$32,'Inputs'!$B$30+'Inputs'!$B$31+'Inputs'!$B$32)/1000+'Inputs'!$B$21))/SQRT((((912-43)*MAX('Inputs'!$B$33,'Inputs'!$B$29+'Inputs'!$B$31+'Inputs'!$B$32,'Inputs'!$B$30+'Inputs'!$B$31+'Inputs'!$B$32)/1000+'Inputs'!$B$21))^2+('Inputs'!$B$8/2)^2)))-'Results'!B7*(1+'Inputs'!$B$24)*(0.5*((((912-43)*MAX('Inputs'!$B$33,'Inputs'!$B$29+'Inputs'!$B$31+'Inputs'!$B$32,'Inputs'!$B$30+'Inputs'!$B$31+'Inputs'!$B$32)/1000+'Inputs'!$B$21+'Inputs'!$B$9+'Inputs'!$B$10)+'Inputs'!$B$7)/SQRT((((912-43)*MAX('Inputs'!$B$33,'Inputs'!$B$29+'Inputs'!$B$31+'Inputs'!$B$32,'Inputs'!$B$30+'Inputs'!$B$31+'Inputs'!$B$32)/1000+'Inputs'!$B$21+'Inputs'!$B$9+'Inputs'!$B$10)+'Inputs'!$B$7)^2+('Inputs'!$B$6/2)^2)-(((912-43)*MAX('Inputs'!$B$33,'Inputs'!$B$29+'Inputs'!$B$31+'Inputs'!$B$32,'Inputs'!$B$30+'Inputs'!$B$31+'Inputs'!$B$32)/1000+'Inputs'!$B$21+'Inputs'!$B$9+'Inputs'!$B$10))/SQRT((((912-43)*MAX('Inputs'!$B$33,'Inputs'!$B$29+'Inputs'!$B$31+'Inputs'!$B$32,'Inputs'!$B$30+'Inputs'!$B$31+'Inputs'!$B$32)/1000+'Inputs'!$B$21+'Inputs'!$B$9+'Inputs'!$B$10))^2+('Inputs'!$B$6/2)^2))))*'Results'!$B$8)-'Inputs'!$B$28*ABS((('Results'!C7*(1-'Inputs'!$B$24)*(0.5*((((912-43)*MAX('Inputs'!$B$33,'Inputs'!$B$29+'Inputs'!$B$31+'Inputs'!$B$32,'Inputs'!$B$30+'Inputs'!$B$31+'Inputs'!$B$32)/1000+'Inputs'!$B$21)+'Inputs'!$B$9)/SQRT((((912-43)*MAX('Inputs'!$B$33,'Inputs'!$B$29+'Inputs'!$B$31+'Inputs'!$B$32,'Inputs'!$B$30+'Inputs'!$B$31+'Inputs'!$B$32)/1000+'Inputs'!$B$21)+'Inputs'!$B$9)^2+('Inputs'!$B$8/2)^2)-(((912-43)*MAX('Inputs'!$B$33,'Inputs'!$B$29+'Inputs'!$B$31+'Inputs'!$B$32,'Inputs'!$B$30+'Inputs'!$B$31+'Inputs'!$B$32)/1000+'Inputs'!$B$21))/SQRT((((912-43)*MAX('Inputs'!$B$33,'Inputs'!$B$29+'Inputs'!$B$31+'Inputs'!$B$32,'Inputs'!$B$30+'Inputs'!$B$31+'Inputs'!$B$32)/1000+'Inputs'!$B$21))^2+('Inputs'!$B$8/2)^2)))-'Results'!B7*(1+'Inputs'!$B$24)*(0.5*((((912-43)*MAX('Inputs'!$B$33,'Inputs'!$B$29+'Inputs'!$B$31+'Inputs'!$B$32,'Inputs'!$B$30+'Inputs'!$B$31+'Inputs'!$B$32)/1000+'Inputs'!$B$21+'Inputs'!$B$9+'Inputs'!$B$10)+'Inputs'!$B$7)/SQRT((((912-43)*MAX('Inputs'!$B$33,'Inputs'!$B$29+'Inputs'!$B$31+'Inputs'!$B$32,'Inputs'!$B$30+'Inputs'!$B$31+'Inputs'!$B$32)/1000+'Inputs'!$B$21+'Inputs'!$B$9+'Inputs'!$B$10)+'Inputs'!$B$7)^2+('Inputs'!$B$6/2)^2)-(((912-43)*MAX('Inputs'!$B$33,'Inputs'!$B$29+'Inputs'!$B$31+'Inputs'!$B$32,'Inputs'!$B$30+'Inputs'!$B$31+'Inputs'!$B$32)/1000+'Inputs'!$B$21+'Inputs'!$B$9+'Inputs'!$B$10))/SQRT((((912-43)*MAX('Inputs'!$B$33,'Inputs'!$B$29+'Inputs'!$B$31+'Inputs'!$B$32,'Inputs'!$B$30+'Inputs'!$B$31+'Inputs'!$B$32)/1000+'Inputs'!$B$21+'Inputs'!$B$9+'Inputs'!$B$10))^2+('Inputs'!$B$6/2)^2))))*'Results'!$B$8))),"")</x:f>
        <x:v>0.44515941852028684</x:v>
      </x:c>
      <x:c r="O912" t="n">
        <x:f>IF(AND(ISNUMBER('Results'!C7),ISNUMBER('Results'!B7),ISNUMBER('Results'!$B$8),ISNUMBER('Inputs'!$B$6),ISNUMBER('Inputs'!$B$7),ISNUMBER('Inputs'!$B$8),ISNUMBER('Inputs'!$B$9),ISNUMBER('Inputs'!$B$10),ISNUMBER('Inputs'!$B$21),ISNUMBER('Inputs'!$B$24),ISNUMBER('Inputs'!$B$28)),((('Results'!C7*(1+'Inputs'!$B$24)*(0.5*((((912-43)*MAX('Inputs'!$B$33,'Inputs'!$B$29+'Inputs'!$B$31+'Inputs'!$B$32,'Inputs'!$B$30+'Inputs'!$B$31+'Inputs'!$B$32)/1000+'Inputs'!$B$21)+'Inputs'!$B$9)/SQRT((((912-43)*MAX('Inputs'!$B$33,'Inputs'!$B$29+'Inputs'!$B$31+'Inputs'!$B$32,'Inputs'!$B$30+'Inputs'!$B$31+'Inputs'!$B$32)/1000+'Inputs'!$B$21)+'Inputs'!$B$9)^2+('Inputs'!$B$8/2)^2)-(((912-43)*MAX('Inputs'!$B$33,'Inputs'!$B$29+'Inputs'!$B$31+'Inputs'!$B$32,'Inputs'!$B$30+'Inputs'!$B$31+'Inputs'!$B$32)/1000+'Inputs'!$B$21))/SQRT((((912-43)*MAX('Inputs'!$B$33,'Inputs'!$B$29+'Inputs'!$B$31+'Inputs'!$B$32,'Inputs'!$B$30+'Inputs'!$B$31+'Inputs'!$B$32)/1000+'Inputs'!$B$21))^2+('Inputs'!$B$8/2)^2)))-'Results'!B7*(1-'Inputs'!$B$24)*(0.5*((((912-43)*MAX('Inputs'!$B$33,'Inputs'!$B$29+'Inputs'!$B$31+'Inputs'!$B$32,'Inputs'!$B$30+'Inputs'!$B$31+'Inputs'!$B$32)/1000+'Inputs'!$B$21+'Inputs'!$B$9+'Inputs'!$B$10)+'Inputs'!$B$7)/SQRT((((912-43)*MAX('Inputs'!$B$33,'Inputs'!$B$29+'Inputs'!$B$31+'Inputs'!$B$32,'Inputs'!$B$30+'Inputs'!$B$31+'Inputs'!$B$32)/1000+'Inputs'!$B$21+'Inputs'!$B$9+'Inputs'!$B$10)+'Inputs'!$B$7)^2+('Inputs'!$B$6/2)^2)-(((912-43)*MAX('Inputs'!$B$33,'Inputs'!$B$29+'Inputs'!$B$31+'Inputs'!$B$32,'Inputs'!$B$30+'Inputs'!$B$31+'Inputs'!$B$32)/1000+'Inputs'!$B$21+'Inputs'!$B$9+'Inputs'!$B$10))/SQRT((((912-43)*MAX('Inputs'!$B$33,'Inputs'!$B$29+'Inputs'!$B$31+'Inputs'!$B$32,'Inputs'!$B$30+'Inputs'!$B$31+'Inputs'!$B$32)/1000+'Inputs'!$B$21+'Inputs'!$B$9+'Inputs'!$B$10))^2+('Inputs'!$B$6/2)^2))))*'Results'!$B$8)+'Inputs'!$B$28*ABS((('Results'!C7*(1+'Inputs'!$B$24)*(0.5*((((912-43)*MAX('Inputs'!$B$33,'Inputs'!$B$29+'Inputs'!$B$31+'Inputs'!$B$32,'Inputs'!$B$30+'Inputs'!$B$31+'Inputs'!$B$32)/1000+'Inputs'!$B$21)+'Inputs'!$B$9)/SQRT((((912-43)*MAX('Inputs'!$B$33,'Inputs'!$B$29+'Inputs'!$B$31+'Inputs'!$B$32,'Inputs'!$B$30+'Inputs'!$B$31+'Inputs'!$B$32)/1000+'Inputs'!$B$21)+'Inputs'!$B$9)^2+('Inputs'!$B$8/2)^2)-(((912-43)*MAX('Inputs'!$B$33,'Inputs'!$B$29+'Inputs'!$B$31+'Inputs'!$B$32,'Inputs'!$B$30+'Inputs'!$B$31+'Inputs'!$B$32)/1000+'Inputs'!$B$21))/SQRT((((912-43)*MAX('Inputs'!$B$33,'Inputs'!$B$29+'Inputs'!$B$31+'Inputs'!$B$32,'Inputs'!$B$30+'Inputs'!$B$31+'Inputs'!$B$32)/1000+'Inputs'!$B$21))^2+('Inputs'!$B$8/2)^2)))-'Results'!B7*(1-'Inputs'!$B$24)*(0.5*((((912-43)*MAX('Inputs'!$B$33,'Inputs'!$B$29+'Inputs'!$B$31+'Inputs'!$B$32,'Inputs'!$B$30+'Inputs'!$B$31+'Inputs'!$B$32)/1000+'Inputs'!$B$21+'Inputs'!$B$9+'Inputs'!$B$10)+'Inputs'!$B$7)/SQRT((((912-43)*MAX('Inputs'!$B$33,'Inputs'!$B$29+'Inputs'!$B$31+'Inputs'!$B$32,'Inputs'!$B$30+'Inputs'!$B$31+'Inputs'!$B$32)/1000+'Inputs'!$B$21+'Inputs'!$B$9+'Inputs'!$B$10)+'Inputs'!$B$7)^2+('Inputs'!$B$6/2)^2)-(((912-43)*MAX('Inputs'!$B$33,'Inputs'!$B$29+'Inputs'!$B$31+'Inputs'!$B$32,'Inputs'!$B$30+'Inputs'!$B$31+'Inputs'!$B$32)/1000+'Inputs'!$B$21+'Inputs'!$B$9+'Inputs'!$B$10))/SQRT((((912-43)*MAX('Inputs'!$B$33,'Inputs'!$B$29+'Inputs'!$B$31+'Inputs'!$B$32,'Inputs'!$B$30+'Inputs'!$B$31+'Inputs'!$B$32)/1000+'Inputs'!$B$21+'Inputs'!$B$9+'Inputs'!$B$10))^2+('Inputs'!$B$6/2)^2))))*'Results'!$B$8))),"")</x:f>
        <x:v>0.6239970117747549</x:v>
      </x:c>
      <x:c r="P912" t="n">
        <x:f>IF(AND(MAX(J912,J911)&gt;0,J912&gt;J911+0.00000001),1,0)</x:f>
        <x:v>0</x:v>
      </x:c>
      <x:c r="Q912" t="n">
        <x:f>IF(AND(MAX(K912,K911)&gt;0,K912&gt;K911+0.00000001),1,0)</x:f>
        <x:v>0</x:v>
      </x:c>
      <x:c r="R912" t="n">
        <x:f>IF(AND(MAX(L912,L911)&gt;0,L912&gt;L911+0.00000001),1,0)</x:f>
        <x:v>0</x:v>
      </x:c>
      <x:c r="S912" t="n">
        <x:f>IF(AND(MAX(M912,M911)&gt;0,M912&gt;M911+0.00000001),1,0)</x:f>
        <x:v>0</x:v>
      </x:c>
      <x:c r="T912" t="n">
        <x:f>IF(AND(MAX(N912,N911)&gt;0,N912&gt;N911+0.00000001),1,0)</x:f>
        <x:v>0</x:v>
      </x:c>
      <x:c r="U912" t="n">
        <x:f>IF(AND(MAX(O912,O911)&gt;0,O912&gt;O911+0.00000001),1,0)</x:f>
        <x:v>0</x:v>
      </x:c>
    </x:row>
    <x:row r="913">
      <x:c r="J913" t="n">
        <x:f>IF(AND(ISNUMBER('Results'!B7),ISNUMBER('Results'!C7),ISNUMBER('Results'!$B$8),ISNUMBER('Inputs'!$B$6),ISNUMBER('Inputs'!$B$7),ISNUMBER('Inputs'!$B$8),ISNUMBER('Inputs'!$B$9),ISNUMBER('Inputs'!$B$10),ISNUMBER('Inputs'!$B$21),ISNUMBER('Inputs'!$B$24),ISNUMBER('Inputs'!$B$28)),(('Results'!B7*(0.5*((((913-43)*MAX('Inputs'!$B$33,'Inputs'!$B$29+'Inputs'!$B$31+'Inputs'!$B$32,'Inputs'!$B$30+'Inputs'!$B$31+'Inputs'!$B$32)/1000+'Inputs'!$B$21)+'Inputs'!$B$7)/SQRT((((913-43)*MAX('Inputs'!$B$33,'Inputs'!$B$29+'Inputs'!$B$31+'Inputs'!$B$32,'Inputs'!$B$30+'Inputs'!$B$31+'Inputs'!$B$32)/1000+'Inputs'!$B$21)+'Inputs'!$B$7)^2+('Inputs'!$B$6/2)^2)-(((913-43)*MAX('Inputs'!$B$33,'Inputs'!$B$29+'Inputs'!$B$31+'Inputs'!$B$32,'Inputs'!$B$30+'Inputs'!$B$31+'Inputs'!$B$32)/1000+'Inputs'!$B$21))/SQRT((((913-43)*MAX('Inputs'!$B$33,'Inputs'!$B$29+'Inputs'!$B$31+'Inputs'!$B$32,'Inputs'!$B$30+'Inputs'!$B$31+'Inputs'!$B$32)/1000+'Inputs'!$B$21))^2+('Inputs'!$B$6/2)^2)))-'Results'!C7*(0.5*((((913-43)*MAX('Inputs'!$B$33,'Inputs'!$B$29+'Inputs'!$B$31+'Inputs'!$B$32,'Inputs'!$B$30+'Inputs'!$B$31+'Inputs'!$B$32)/1000+'Inputs'!$B$21+'Inputs'!$B$7+'Inputs'!$B$10)+'Inputs'!$B$9)/SQRT((((913-43)*MAX('Inputs'!$B$33,'Inputs'!$B$29+'Inputs'!$B$31+'Inputs'!$B$32,'Inputs'!$B$30+'Inputs'!$B$31+'Inputs'!$B$32)/1000+'Inputs'!$B$21+'Inputs'!$B$7+'Inputs'!$B$10)+'Inputs'!$B$9)^2+('Inputs'!$B$8/2)^2)-(((913-43)*MAX('Inputs'!$B$33,'Inputs'!$B$29+'Inputs'!$B$31+'Inputs'!$B$32,'Inputs'!$B$30+'Inputs'!$B$31+'Inputs'!$B$32)/1000+'Inputs'!$B$21+'Inputs'!$B$7+'Inputs'!$B$10))/SQRT((((913-43)*MAX('Inputs'!$B$33,'Inputs'!$B$29+'Inputs'!$B$31+'Inputs'!$B$32,'Inputs'!$B$30+'Inputs'!$B$31+'Inputs'!$B$32)/1000+'Inputs'!$B$21+'Inputs'!$B$7+'Inputs'!$B$10))^2+('Inputs'!$B$8/2)^2))))*'Results'!$B$8),"")</x:f>
        <x:v>0.5925614233939749</x:v>
      </x:c>
      <x:c r="K913" t="n">
        <x:f>IF(AND(ISNUMBER('Results'!B7),ISNUMBER('Results'!C7),ISNUMBER('Results'!$B$8),ISNUMBER('Inputs'!$B$6),ISNUMBER('Inputs'!$B$7),ISNUMBER('Inputs'!$B$8),ISNUMBER('Inputs'!$B$9),ISNUMBER('Inputs'!$B$10),ISNUMBER('Inputs'!$B$21),ISNUMBER('Inputs'!$B$24),ISNUMBER('Inputs'!$B$28)),((('Results'!B7*(1-'Inputs'!$B$24)*(0.5*((((913-43)*MAX('Inputs'!$B$33,'Inputs'!$B$29+'Inputs'!$B$31+'Inputs'!$B$32,'Inputs'!$B$30+'Inputs'!$B$31+'Inputs'!$B$32)/1000+'Inputs'!$B$21)+'Inputs'!$B$7)/SQRT((((913-43)*MAX('Inputs'!$B$33,'Inputs'!$B$29+'Inputs'!$B$31+'Inputs'!$B$32,'Inputs'!$B$30+'Inputs'!$B$31+'Inputs'!$B$32)/1000+'Inputs'!$B$21)+'Inputs'!$B$7)^2+('Inputs'!$B$6/2)^2)-(((913-43)*MAX('Inputs'!$B$33,'Inputs'!$B$29+'Inputs'!$B$31+'Inputs'!$B$32,'Inputs'!$B$30+'Inputs'!$B$31+'Inputs'!$B$32)/1000+'Inputs'!$B$21))/SQRT((((913-43)*MAX('Inputs'!$B$33,'Inputs'!$B$29+'Inputs'!$B$31+'Inputs'!$B$32,'Inputs'!$B$30+'Inputs'!$B$31+'Inputs'!$B$32)/1000+'Inputs'!$B$21))^2+('Inputs'!$B$6/2)^2)))-'Results'!C7*(1+'Inputs'!$B$24)*(0.5*((((913-43)*MAX('Inputs'!$B$33,'Inputs'!$B$29+'Inputs'!$B$31+'Inputs'!$B$32,'Inputs'!$B$30+'Inputs'!$B$31+'Inputs'!$B$32)/1000+'Inputs'!$B$21+'Inputs'!$B$7+'Inputs'!$B$10)+'Inputs'!$B$9)/SQRT((((913-43)*MAX('Inputs'!$B$33,'Inputs'!$B$29+'Inputs'!$B$31+'Inputs'!$B$32,'Inputs'!$B$30+'Inputs'!$B$31+'Inputs'!$B$32)/1000+'Inputs'!$B$21+'Inputs'!$B$7+'Inputs'!$B$10)+'Inputs'!$B$9)^2+('Inputs'!$B$8/2)^2)-(((913-43)*MAX('Inputs'!$B$33,'Inputs'!$B$29+'Inputs'!$B$31+'Inputs'!$B$32,'Inputs'!$B$30+'Inputs'!$B$31+'Inputs'!$B$32)/1000+'Inputs'!$B$21+'Inputs'!$B$7+'Inputs'!$B$10))/SQRT((((913-43)*MAX('Inputs'!$B$33,'Inputs'!$B$29+'Inputs'!$B$31+'Inputs'!$B$32,'Inputs'!$B$30+'Inputs'!$B$31+'Inputs'!$B$32)/1000+'Inputs'!$B$21+'Inputs'!$B$7+'Inputs'!$B$10))^2+('Inputs'!$B$8/2)^2))))*'Results'!$B$8)-'Inputs'!$B$28*ABS((('Results'!B7*(1-'Inputs'!$B$24)*(0.5*((((913-43)*MAX('Inputs'!$B$33,'Inputs'!$B$29+'Inputs'!$B$31+'Inputs'!$B$32,'Inputs'!$B$30+'Inputs'!$B$31+'Inputs'!$B$32)/1000+'Inputs'!$B$21)+'Inputs'!$B$7)/SQRT((((913-43)*MAX('Inputs'!$B$33,'Inputs'!$B$29+'Inputs'!$B$31+'Inputs'!$B$32,'Inputs'!$B$30+'Inputs'!$B$31+'Inputs'!$B$32)/1000+'Inputs'!$B$21)+'Inputs'!$B$7)^2+('Inputs'!$B$6/2)^2)-(((913-43)*MAX('Inputs'!$B$33,'Inputs'!$B$29+'Inputs'!$B$31+'Inputs'!$B$32,'Inputs'!$B$30+'Inputs'!$B$31+'Inputs'!$B$32)/1000+'Inputs'!$B$21))/SQRT((((913-43)*MAX('Inputs'!$B$33,'Inputs'!$B$29+'Inputs'!$B$31+'Inputs'!$B$32,'Inputs'!$B$30+'Inputs'!$B$31+'Inputs'!$B$32)/1000+'Inputs'!$B$21))^2+('Inputs'!$B$6/2)^2)))-'Results'!C7*(1+'Inputs'!$B$24)*(0.5*((((913-43)*MAX('Inputs'!$B$33,'Inputs'!$B$29+'Inputs'!$B$31+'Inputs'!$B$32,'Inputs'!$B$30+'Inputs'!$B$31+'Inputs'!$B$32)/1000+'Inputs'!$B$21+'Inputs'!$B$7+'Inputs'!$B$10)+'Inputs'!$B$9)/SQRT((((913-43)*MAX('Inputs'!$B$33,'Inputs'!$B$29+'Inputs'!$B$31+'Inputs'!$B$32,'Inputs'!$B$30+'Inputs'!$B$31+'Inputs'!$B$32)/1000+'Inputs'!$B$21+'Inputs'!$B$7+'Inputs'!$B$10)+'Inputs'!$B$9)^2+('Inputs'!$B$8/2)^2)-(((913-43)*MAX('Inputs'!$B$33,'Inputs'!$B$29+'Inputs'!$B$31+'Inputs'!$B$32,'Inputs'!$B$30+'Inputs'!$B$31+'Inputs'!$B$32)/1000+'Inputs'!$B$21+'Inputs'!$B$7+'Inputs'!$B$10))/SQRT((((913-43)*MAX('Inputs'!$B$33,'Inputs'!$B$29+'Inputs'!$B$31+'Inputs'!$B$32,'Inputs'!$B$30+'Inputs'!$B$31+'Inputs'!$B$32)/1000+'Inputs'!$B$21+'Inputs'!$B$7+'Inputs'!$B$10))^2+('Inputs'!$B$8/2)^2))))*'Results'!$B$8))),"")</x:f>
        <x:v>0.5032036779746135</x:v>
      </x:c>
      <x:c r="L913" t="n">
        <x:f>IF(AND(ISNUMBER('Results'!B7),ISNUMBER('Results'!C7),ISNUMBER('Results'!$B$8),ISNUMBER('Inputs'!$B$6),ISNUMBER('Inputs'!$B$7),ISNUMBER('Inputs'!$B$8),ISNUMBER('Inputs'!$B$9),ISNUMBER('Inputs'!$B$10),ISNUMBER('Inputs'!$B$21),ISNUMBER('Inputs'!$B$24),ISNUMBER('Inputs'!$B$28)),((('Results'!B7*(1+'Inputs'!$B$24)*(0.5*((((913-43)*MAX('Inputs'!$B$33,'Inputs'!$B$29+'Inputs'!$B$31+'Inputs'!$B$32,'Inputs'!$B$30+'Inputs'!$B$31+'Inputs'!$B$32)/1000+'Inputs'!$B$21)+'Inputs'!$B$7)/SQRT((((913-43)*MAX('Inputs'!$B$33,'Inputs'!$B$29+'Inputs'!$B$31+'Inputs'!$B$32,'Inputs'!$B$30+'Inputs'!$B$31+'Inputs'!$B$32)/1000+'Inputs'!$B$21)+'Inputs'!$B$7)^2+('Inputs'!$B$6/2)^2)-(((913-43)*MAX('Inputs'!$B$33,'Inputs'!$B$29+'Inputs'!$B$31+'Inputs'!$B$32,'Inputs'!$B$30+'Inputs'!$B$31+'Inputs'!$B$32)/1000+'Inputs'!$B$21))/SQRT((((913-43)*MAX('Inputs'!$B$33,'Inputs'!$B$29+'Inputs'!$B$31+'Inputs'!$B$32,'Inputs'!$B$30+'Inputs'!$B$31+'Inputs'!$B$32)/1000+'Inputs'!$B$21))^2+('Inputs'!$B$6/2)^2)))-'Results'!C7*(1-'Inputs'!$B$24)*(0.5*((((913-43)*MAX('Inputs'!$B$33,'Inputs'!$B$29+'Inputs'!$B$31+'Inputs'!$B$32,'Inputs'!$B$30+'Inputs'!$B$31+'Inputs'!$B$32)/1000+'Inputs'!$B$21+'Inputs'!$B$7+'Inputs'!$B$10)+'Inputs'!$B$9)/SQRT((((913-43)*MAX('Inputs'!$B$33,'Inputs'!$B$29+'Inputs'!$B$31+'Inputs'!$B$32,'Inputs'!$B$30+'Inputs'!$B$31+'Inputs'!$B$32)/1000+'Inputs'!$B$21+'Inputs'!$B$7+'Inputs'!$B$10)+'Inputs'!$B$9)^2+('Inputs'!$B$8/2)^2)-(((913-43)*MAX('Inputs'!$B$33,'Inputs'!$B$29+'Inputs'!$B$31+'Inputs'!$B$32,'Inputs'!$B$30+'Inputs'!$B$31+'Inputs'!$B$32)/1000+'Inputs'!$B$21+'Inputs'!$B$7+'Inputs'!$B$10))/SQRT((((913-43)*MAX('Inputs'!$B$33,'Inputs'!$B$29+'Inputs'!$B$31+'Inputs'!$B$32,'Inputs'!$B$30+'Inputs'!$B$31+'Inputs'!$B$32)/1000+'Inputs'!$B$21+'Inputs'!$B$7+'Inputs'!$B$10))^2+('Inputs'!$B$8/2)^2))))*'Results'!$B$8)+'Inputs'!$B$28*ABS((('Results'!B7*(1+'Inputs'!$B$24)*(0.5*((((913-43)*MAX('Inputs'!$B$33,'Inputs'!$B$29+'Inputs'!$B$31+'Inputs'!$B$32,'Inputs'!$B$30+'Inputs'!$B$31+'Inputs'!$B$32)/1000+'Inputs'!$B$21)+'Inputs'!$B$7)/SQRT((((913-43)*MAX('Inputs'!$B$33,'Inputs'!$B$29+'Inputs'!$B$31+'Inputs'!$B$32,'Inputs'!$B$30+'Inputs'!$B$31+'Inputs'!$B$32)/1000+'Inputs'!$B$21)+'Inputs'!$B$7)^2+('Inputs'!$B$6/2)^2)-(((913-43)*MAX('Inputs'!$B$33,'Inputs'!$B$29+'Inputs'!$B$31+'Inputs'!$B$32,'Inputs'!$B$30+'Inputs'!$B$31+'Inputs'!$B$32)/1000+'Inputs'!$B$21))/SQRT((((913-43)*MAX('Inputs'!$B$33,'Inputs'!$B$29+'Inputs'!$B$31+'Inputs'!$B$32,'Inputs'!$B$30+'Inputs'!$B$31+'Inputs'!$B$32)/1000+'Inputs'!$B$21))^2+('Inputs'!$B$6/2)^2)))-'Results'!C7*(1-'Inputs'!$B$24)*(0.5*((((913-43)*MAX('Inputs'!$B$33,'Inputs'!$B$29+'Inputs'!$B$31+'Inputs'!$B$32,'Inputs'!$B$30+'Inputs'!$B$31+'Inputs'!$B$32)/1000+'Inputs'!$B$21+'Inputs'!$B$7+'Inputs'!$B$10)+'Inputs'!$B$9)/SQRT((((913-43)*MAX('Inputs'!$B$33,'Inputs'!$B$29+'Inputs'!$B$31+'Inputs'!$B$32,'Inputs'!$B$30+'Inputs'!$B$31+'Inputs'!$B$32)/1000+'Inputs'!$B$21+'Inputs'!$B$7+'Inputs'!$B$10)+'Inputs'!$B$9)^2+('Inputs'!$B$8/2)^2)-(((913-43)*MAX('Inputs'!$B$33,'Inputs'!$B$29+'Inputs'!$B$31+'Inputs'!$B$32,'Inputs'!$B$30+'Inputs'!$B$31+'Inputs'!$B$32)/1000+'Inputs'!$B$21+'Inputs'!$B$7+'Inputs'!$B$10))/SQRT((((913-43)*MAX('Inputs'!$B$33,'Inputs'!$B$29+'Inputs'!$B$31+'Inputs'!$B$32,'Inputs'!$B$30+'Inputs'!$B$31+'Inputs'!$B$32)/1000+'Inputs'!$B$21+'Inputs'!$B$7+'Inputs'!$B$10))^2+('Inputs'!$B$8/2)^2))))*'Results'!$B$8))),"")</x:f>
        <x:v>0.6882065029448795</x:v>
      </x:c>
      <x:c r="M913" t="n">
        <x:f>IF(AND(ISNUMBER('Results'!C7),ISNUMBER('Results'!B7),ISNUMBER('Results'!$B$8),ISNUMBER('Inputs'!$B$6),ISNUMBER('Inputs'!$B$7),ISNUMBER('Inputs'!$B$8),ISNUMBER('Inputs'!$B$9),ISNUMBER('Inputs'!$B$10),ISNUMBER('Inputs'!$B$21),ISNUMBER('Inputs'!$B$24),ISNUMBER('Inputs'!$B$28)),(('Results'!C7*(0.5*((((913-43)*MAX('Inputs'!$B$33,'Inputs'!$B$29+'Inputs'!$B$31+'Inputs'!$B$32,'Inputs'!$B$30+'Inputs'!$B$31+'Inputs'!$B$32)/1000+'Inputs'!$B$21)+'Inputs'!$B$9)/SQRT((((913-43)*MAX('Inputs'!$B$33,'Inputs'!$B$29+'Inputs'!$B$31+'Inputs'!$B$32,'Inputs'!$B$30+'Inputs'!$B$31+'Inputs'!$B$32)/1000+'Inputs'!$B$21)+'Inputs'!$B$9)^2+('Inputs'!$B$8/2)^2)-(((913-43)*MAX('Inputs'!$B$33,'Inputs'!$B$29+'Inputs'!$B$31+'Inputs'!$B$32,'Inputs'!$B$30+'Inputs'!$B$31+'Inputs'!$B$32)/1000+'Inputs'!$B$21))/SQRT((((913-43)*MAX('Inputs'!$B$33,'Inputs'!$B$29+'Inputs'!$B$31+'Inputs'!$B$32,'Inputs'!$B$30+'Inputs'!$B$31+'Inputs'!$B$32)/1000+'Inputs'!$B$21))^2+('Inputs'!$B$8/2)^2)))-'Results'!B7*(0.5*((((913-43)*MAX('Inputs'!$B$33,'Inputs'!$B$29+'Inputs'!$B$31+'Inputs'!$B$32,'Inputs'!$B$30+'Inputs'!$B$31+'Inputs'!$B$32)/1000+'Inputs'!$B$21+'Inputs'!$B$9+'Inputs'!$B$10)+'Inputs'!$B$7)/SQRT((((913-43)*MAX('Inputs'!$B$33,'Inputs'!$B$29+'Inputs'!$B$31+'Inputs'!$B$32,'Inputs'!$B$30+'Inputs'!$B$31+'Inputs'!$B$32)/1000+'Inputs'!$B$21+'Inputs'!$B$9+'Inputs'!$B$10)+'Inputs'!$B$7)^2+('Inputs'!$B$6/2)^2)-(((913-43)*MAX('Inputs'!$B$33,'Inputs'!$B$29+'Inputs'!$B$31+'Inputs'!$B$32,'Inputs'!$B$30+'Inputs'!$B$31+'Inputs'!$B$32)/1000+'Inputs'!$B$21+'Inputs'!$B$9+'Inputs'!$B$10))/SQRT((((913-43)*MAX('Inputs'!$B$33,'Inputs'!$B$29+'Inputs'!$B$31+'Inputs'!$B$32,'Inputs'!$B$30+'Inputs'!$B$31+'Inputs'!$B$32)/1000+'Inputs'!$B$21+'Inputs'!$B$9+'Inputs'!$B$10))^2+('Inputs'!$B$6/2)^2))))*'Results'!$B$8),"")</x:f>
        <x:v>0.5291674482739738</x:v>
      </x:c>
      <x:c r="N913" t="n">
        <x:f>IF(AND(ISNUMBER('Results'!C7),ISNUMBER('Results'!B7),ISNUMBER('Results'!$B$8),ISNUMBER('Inputs'!$B$6),ISNUMBER('Inputs'!$B$7),ISNUMBER('Inputs'!$B$8),ISNUMBER('Inputs'!$B$9),ISNUMBER('Inputs'!$B$10),ISNUMBER('Inputs'!$B$21),ISNUMBER('Inputs'!$B$24),ISNUMBER('Inputs'!$B$28)),((('Results'!C7*(1-'Inputs'!$B$24)*(0.5*((((913-43)*MAX('Inputs'!$B$33,'Inputs'!$B$29+'Inputs'!$B$31+'Inputs'!$B$32,'Inputs'!$B$30+'Inputs'!$B$31+'Inputs'!$B$32)/1000+'Inputs'!$B$21)+'Inputs'!$B$9)/SQRT((((913-43)*MAX('Inputs'!$B$33,'Inputs'!$B$29+'Inputs'!$B$31+'Inputs'!$B$32,'Inputs'!$B$30+'Inputs'!$B$31+'Inputs'!$B$32)/1000+'Inputs'!$B$21)+'Inputs'!$B$9)^2+('Inputs'!$B$8/2)^2)-(((913-43)*MAX('Inputs'!$B$33,'Inputs'!$B$29+'Inputs'!$B$31+'Inputs'!$B$32,'Inputs'!$B$30+'Inputs'!$B$31+'Inputs'!$B$32)/1000+'Inputs'!$B$21))/SQRT((((913-43)*MAX('Inputs'!$B$33,'Inputs'!$B$29+'Inputs'!$B$31+'Inputs'!$B$32,'Inputs'!$B$30+'Inputs'!$B$31+'Inputs'!$B$32)/1000+'Inputs'!$B$21))^2+('Inputs'!$B$8/2)^2)))-'Results'!B7*(1+'Inputs'!$B$24)*(0.5*((((913-43)*MAX('Inputs'!$B$33,'Inputs'!$B$29+'Inputs'!$B$31+'Inputs'!$B$32,'Inputs'!$B$30+'Inputs'!$B$31+'Inputs'!$B$32)/1000+'Inputs'!$B$21+'Inputs'!$B$9+'Inputs'!$B$10)+'Inputs'!$B$7)/SQRT((((913-43)*MAX('Inputs'!$B$33,'Inputs'!$B$29+'Inputs'!$B$31+'Inputs'!$B$32,'Inputs'!$B$30+'Inputs'!$B$31+'Inputs'!$B$32)/1000+'Inputs'!$B$21+'Inputs'!$B$9+'Inputs'!$B$10)+'Inputs'!$B$7)^2+('Inputs'!$B$6/2)^2)-(((913-43)*MAX('Inputs'!$B$33,'Inputs'!$B$29+'Inputs'!$B$31+'Inputs'!$B$32,'Inputs'!$B$30+'Inputs'!$B$31+'Inputs'!$B$32)/1000+'Inputs'!$B$21+'Inputs'!$B$9+'Inputs'!$B$10))/SQRT((((913-43)*MAX('Inputs'!$B$33,'Inputs'!$B$29+'Inputs'!$B$31+'Inputs'!$B$32,'Inputs'!$B$30+'Inputs'!$B$31+'Inputs'!$B$32)/1000+'Inputs'!$B$21+'Inputs'!$B$9+'Inputs'!$B$10))^2+('Inputs'!$B$6/2)^2))))*'Results'!$B$8)-'Inputs'!$B$28*ABS((('Results'!C7*(1-'Inputs'!$B$24)*(0.5*((((913-43)*MAX('Inputs'!$B$33,'Inputs'!$B$29+'Inputs'!$B$31+'Inputs'!$B$32,'Inputs'!$B$30+'Inputs'!$B$31+'Inputs'!$B$32)/1000+'Inputs'!$B$21)+'Inputs'!$B$9)/SQRT((((913-43)*MAX('Inputs'!$B$33,'Inputs'!$B$29+'Inputs'!$B$31+'Inputs'!$B$32,'Inputs'!$B$30+'Inputs'!$B$31+'Inputs'!$B$32)/1000+'Inputs'!$B$21)+'Inputs'!$B$9)^2+('Inputs'!$B$8/2)^2)-(((913-43)*MAX('Inputs'!$B$33,'Inputs'!$B$29+'Inputs'!$B$31+'Inputs'!$B$32,'Inputs'!$B$30+'Inputs'!$B$31+'Inputs'!$B$32)/1000+'Inputs'!$B$21))/SQRT((((913-43)*MAX('Inputs'!$B$33,'Inputs'!$B$29+'Inputs'!$B$31+'Inputs'!$B$32,'Inputs'!$B$30+'Inputs'!$B$31+'Inputs'!$B$32)/1000+'Inputs'!$B$21))^2+('Inputs'!$B$8/2)^2)))-'Results'!B7*(1+'Inputs'!$B$24)*(0.5*((((913-43)*MAX('Inputs'!$B$33,'Inputs'!$B$29+'Inputs'!$B$31+'Inputs'!$B$32,'Inputs'!$B$30+'Inputs'!$B$31+'Inputs'!$B$32)/1000+'Inputs'!$B$21+'Inputs'!$B$9+'Inputs'!$B$10)+'Inputs'!$B$7)/SQRT((((913-43)*MAX('Inputs'!$B$33,'Inputs'!$B$29+'Inputs'!$B$31+'Inputs'!$B$32,'Inputs'!$B$30+'Inputs'!$B$31+'Inputs'!$B$32)/1000+'Inputs'!$B$21+'Inputs'!$B$9+'Inputs'!$B$10)+'Inputs'!$B$7)^2+('Inputs'!$B$6/2)^2)-(((913-43)*MAX('Inputs'!$B$33,'Inputs'!$B$29+'Inputs'!$B$31+'Inputs'!$B$32,'Inputs'!$B$30+'Inputs'!$B$31+'Inputs'!$B$32)/1000+'Inputs'!$B$21+'Inputs'!$B$9+'Inputs'!$B$10))/SQRT((((913-43)*MAX('Inputs'!$B$33,'Inputs'!$B$29+'Inputs'!$B$31+'Inputs'!$B$32,'Inputs'!$B$30+'Inputs'!$B$31+'Inputs'!$B$32)/1000+'Inputs'!$B$21+'Inputs'!$B$9+'Inputs'!$B$10))^2+('Inputs'!$B$6/2)^2))))*'Results'!$B$8))),"")</x:f>
        <x:v>0.4431946829092154</x:v>
      </x:c>
      <x:c r="O913" t="n">
        <x:f>IF(AND(ISNUMBER('Results'!C7),ISNUMBER('Results'!B7),ISNUMBER('Results'!$B$8),ISNUMBER('Inputs'!$B$6),ISNUMBER('Inputs'!$B$7),ISNUMBER('Inputs'!$B$8),ISNUMBER('Inputs'!$B$9),ISNUMBER('Inputs'!$B$10),ISNUMBER('Inputs'!$B$21),ISNUMBER('Inputs'!$B$24),ISNUMBER('Inputs'!$B$28)),((('Results'!C7*(1+'Inputs'!$B$24)*(0.5*((((913-43)*MAX('Inputs'!$B$33,'Inputs'!$B$29+'Inputs'!$B$31+'Inputs'!$B$32,'Inputs'!$B$30+'Inputs'!$B$31+'Inputs'!$B$32)/1000+'Inputs'!$B$21)+'Inputs'!$B$9)/SQRT((((913-43)*MAX('Inputs'!$B$33,'Inputs'!$B$29+'Inputs'!$B$31+'Inputs'!$B$32,'Inputs'!$B$30+'Inputs'!$B$31+'Inputs'!$B$32)/1000+'Inputs'!$B$21)+'Inputs'!$B$9)^2+('Inputs'!$B$8/2)^2)-(((913-43)*MAX('Inputs'!$B$33,'Inputs'!$B$29+'Inputs'!$B$31+'Inputs'!$B$32,'Inputs'!$B$30+'Inputs'!$B$31+'Inputs'!$B$32)/1000+'Inputs'!$B$21))/SQRT((((913-43)*MAX('Inputs'!$B$33,'Inputs'!$B$29+'Inputs'!$B$31+'Inputs'!$B$32,'Inputs'!$B$30+'Inputs'!$B$31+'Inputs'!$B$32)/1000+'Inputs'!$B$21))^2+('Inputs'!$B$8/2)^2)))-'Results'!B7*(1-'Inputs'!$B$24)*(0.5*((((913-43)*MAX('Inputs'!$B$33,'Inputs'!$B$29+'Inputs'!$B$31+'Inputs'!$B$32,'Inputs'!$B$30+'Inputs'!$B$31+'Inputs'!$B$32)/1000+'Inputs'!$B$21+'Inputs'!$B$9+'Inputs'!$B$10)+'Inputs'!$B$7)/SQRT((((913-43)*MAX('Inputs'!$B$33,'Inputs'!$B$29+'Inputs'!$B$31+'Inputs'!$B$32,'Inputs'!$B$30+'Inputs'!$B$31+'Inputs'!$B$32)/1000+'Inputs'!$B$21+'Inputs'!$B$9+'Inputs'!$B$10)+'Inputs'!$B$7)^2+('Inputs'!$B$6/2)^2)-(((913-43)*MAX('Inputs'!$B$33,'Inputs'!$B$29+'Inputs'!$B$31+'Inputs'!$B$32,'Inputs'!$B$30+'Inputs'!$B$31+'Inputs'!$B$32)/1000+'Inputs'!$B$21+'Inputs'!$B$9+'Inputs'!$B$10))/SQRT((((913-43)*MAX('Inputs'!$B$33,'Inputs'!$B$29+'Inputs'!$B$31+'Inputs'!$B$32,'Inputs'!$B$30+'Inputs'!$B$31+'Inputs'!$B$32)/1000+'Inputs'!$B$21+'Inputs'!$B$9+'Inputs'!$B$10))^2+('Inputs'!$B$6/2)^2))))*'Results'!$B$8)+'Inputs'!$B$28*ABS((('Results'!C7*(1+'Inputs'!$B$24)*(0.5*((((913-43)*MAX('Inputs'!$B$33,'Inputs'!$B$29+'Inputs'!$B$31+'Inputs'!$B$32,'Inputs'!$B$30+'Inputs'!$B$31+'Inputs'!$B$32)/1000+'Inputs'!$B$21)+'Inputs'!$B$9)/SQRT((((913-43)*MAX('Inputs'!$B$33,'Inputs'!$B$29+'Inputs'!$B$31+'Inputs'!$B$32,'Inputs'!$B$30+'Inputs'!$B$31+'Inputs'!$B$32)/1000+'Inputs'!$B$21)+'Inputs'!$B$9)^2+('Inputs'!$B$8/2)^2)-(((913-43)*MAX('Inputs'!$B$33,'Inputs'!$B$29+'Inputs'!$B$31+'Inputs'!$B$32,'Inputs'!$B$30+'Inputs'!$B$31+'Inputs'!$B$32)/1000+'Inputs'!$B$21))/SQRT((((913-43)*MAX('Inputs'!$B$33,'Inputs'!$B$29+'Inputs'!$B$31+'Inputs'!$B$32,'Inputs'!$B$30+'Inputs'!$B$31+'Inputs'!$B$32)/1000+'Inputs'!$B$21))^2+('Inputs'!$B$8/2)^2)))-'Results'!B7*(1-'Inputs'!$B$24)*(0.5*((((913-43)*MAX('Inputs'!$B$33,'Inputs'!$B$29+'Inputs'!$B$31+'Inputs'!$B$32,'Inputs'!$B$30+'Inputs'!$B$31+'Inputs'!$B$32)/1000+'Inputs'!$B$21+'Inputs'!$B$9+'Inputs'!$B$10)+'Inputs'!$B$7)/SQRT((((913-43)*MAX('Inputs'!$B$33,'Inputs'!$B$29+'Inputs'!$B$31+'Inputs'!$B$32,'Inputs'!$B$30+'Inputs'!$B$31+'Inputs'!$B$32)/1000+'Inputs'!$B$21+'Inputs'!$B$9+'Inputs'!$B$10)+'Inputs'!$B$7)^2+('Inputs'!$B$6/2)^2)-(((913-43)*MAX('Inputs'!$B$33,'Inputs'!$B$29+'Inputs'!$B$31+'Inputs'!$B$32,'Inputs'!$B$30+'Inputs'!$B$31+'Inputs'!$B$32)/1000+'Inputs'!$B$21+'Inputs'!$B$9+'Inputs'!$B$10))/SQRT((((913-43)*MAX('Inputs'!$B$33,'Inputs'!$B$29+'Inputs'!$B$31+'Inputs'!$B$32,'Inputs'!$B$30+'Inputs'!$B$31+'Inputs'!$B$32)/1000+'Inputs'!$B$21+'Inputs'!$B$9+'Inputs'!$B$10))^2+('Inputs'!$B$6/2)^2))))*'Results'!$B$8))),"")</x:f>
        <x:v>0.621404886580949</x:v>
      </x:c>
      <x:c r="P913" t="n">
        <x:f>IF(AND(MAX(J913,J912)&gt;0,J913&gt;J912+0.00000001),1,0)</x:f>
        <x:v>0</x:v>
      </x:c>
      <x:c r="Q913" t="n">
        <x:f>IF(AND(MAX(K913,K912)&gt;0,K913&gt;K912+0.00000001),1,0)</x:f>
        <x:v>0</x:v>
      </x:c>
      <x:c r="R913" t="n">
        <x:f>IF(AND(MAX(L913,L912)&gt;0,L913&gt;L912+0.00000001),1,0)</x:f>
        <x:v>0</x:v>
      </x:c>
      <x:c r="S913" t="n">
        <x:f>IF(AND(MAX(M913,M912)&gt;0,M913&gt;M912+0.00000001),1,0)</x:f>
        <x:v>0</x:v>
      </x:c>
      <x:c r="T913" t="n">
        <x:f>IF(AND(MAX(N913,N912)&gt;0,N913&gt;N912+0.00000001),1,0)</x:f>
        <x:v>0</x:v>
      </x:c>
      <x:c r="U913" t="n">
        <x:f>IF(AND(MAX(O913,O912)&gt;0,O913&gt;O912+0.00000001),1,0)</x:f>
        <x:v>0</x:v>
      </x:c>
    </x:row>
    <x:row r="914">
      <x:c r="J914" t="n">
        <x:f>IF(AND(ISNUMBER('Results'!B7),ISNUMBER('Results'!C7),ISNUMBER('Results'!$B$8),ISNUMBER('Inputs'!$B$6),ISNUMBER('Inputs'!$B$7),ISNUMBER('Inputs'!$B$8),ISNUMBER('Inputs'!$B$9),ISNUMBER('Inputs'!$B$10),ISNUMBER('Inputs'!$B$21),ISNUMBER('Inputs'!$B$24),ISNUMBER('Inputs'!$B$28)),(('Results'!B7*(0.5*((((914-43)*MAX('Inputs'!$B$33,'Inputs'!$B$29+'Inputs'!$B$31+'Inputs'!$B$32,'Inputs'!$B$30+'Inputs'!$B$31+'Inputs'!$B$32)/1000+'Inputs'!$B$21)+'Inputs'!$B$7)/SQRT((((914-43)*MAX('Inputs'!$B$33,'Inputs'!$B$29+'Inputs'!$B$31+'Inputs'!$B$32,'Inputs'!$B$30+'Inputs'!$B$31+'Inputs'!$B$32)/1000+'Inputs'!$B$21)+'Inputs'!$B$7)^2+('Inputs'!$B$6/2)^2)-(((914-43)*MAX('Inputs'!$B$33,'Inputs'!$B$29+'Inputs'!$B$31+'Inputs'!$B$32,'Inputs'!$B$30+'Inputs'!$B$31+'Inputs'!$B$32)/1000+'Inputs'!$B$21))/SQRT((((914-43)*MAX('Inputs'!$B$33,'Inputs'!$B$29+'Inputs'!$B$31+'Inputs'!$B$32,'Inputs'!$B$30+'Inputs'!$B$31+'Inputs'!$B$32)/1000+'Inputs'!$B$21))^2+('Inputs'!$B$6/2)^2)))-'Results'!C7*(0.5*((((914-43)*MAX('Inputs'!$B$33,'Inputs'!$B$29+'Inputs'!$B$31+'Inputs'!$B$32,'Inputs'!$B$30+'Inputs'!$B$31+'Inputs'!$B$32)/1000+'Inputs'!$B$21+'Inputs'!$B$7+'Inputs'!$B$10)+'Inputs'!$B$9)/SQRT((((914-43)*MAX('Inputs'!$B$33,'Inputs'!$B$29+'Inputs'!$B$31+'Inputs'!$B$32,'Inputs'!$B$30+'Inputs'!$B$31+'Inputs'!$B$32)/1000+'Inputs'!$B$21+'Inputs'!$B$7+'Inputs'!$B$10)+'Inputs'!$B$9)^2+('Inputs'!$B$8/2)^2)-(((914-43)*MAX('Inputs'!$B$33,'Inputs'!$B$29+'Inputs'!$B$31+'Inputs'!$B$32,'Inputs'!$B$30+'Inputs'!$B$31+'Inputs'!$B$32)/1000+'Inputs'!$B$21+'Inputs'!$B$7+'Inputs'!$B$10))/SQRT((((914-43)*MAX('Inputs'!$B$33,'Inputs'!$B$29+'Inputs'!$B$31+'Inputs'!$B$32,'Inputs'!$B$30+'Inputs'!$B$31+'Inputs'!$B$32)/1000+'Inputs'!$B$21+'Inputs'!$B$7+'Inputs'!$B$10))^2+('Inputs'!$B$8/2)^2))))*'Results'!$B$8),"")</x:f>
        <x:v>0.5901031020500166</x:v>
      </x:c>
      <x:c r="K914" t="n">
        <x:f>IF(AND(ISNUMBER('Results'!B7),ISNUMBER('Results'!C7),ISNUMBER('Results'!$B$8),ISNUMBER('Inputs'!$B$6),ISNUMBER('Inputs'!$B$7),ISNUMBER('Inputs'!$B$8),ISNUMBER('Inputs'!$B$9),ISNUMBER('Inputs'!$B$10),ISNUMBER('Inputs'!$B$21),ISNUMBER('Inputs'!$B$24),ISNUMBER('Inputs'!$B$28)),((('Results'!B7*(1-'Inputs'!$B$24)*(0.5*((((914-43)*MAX('Inputs'!$B$33,'Inputs'!$B$29+'Inputs'!$B$31+'Inputs'!$B$32,'Inputs'!$B$30+'Inputs'!$B$31+'Inputs'!$B$32)/1000+'Inputs'!$B$21)+'Inputs'!$B$7)/SQRT((((914-43)*MAX('Inputs'!$B$33,'Inputs'!$B$29+'Inputs'!$B$31+'Inputs'!$B$32,'Inputs'!$B$30+'Inputs'!$B$31+'Inputs'!$B$32)/1000+'Inputs'!$B$21)+'Inputs'!$B$7)^2+('Inputs'!$B$6/2)^2)-(((914-43)*MAX('Inputs'!$B$33,'Inputs'!$B$29+'Inputs'!$B$31+'Inputs'!$B$32,'Inputs'!$B$30+'Inputs'!$B$31+'Inputs'!$B$32)/1000+'Inputs'!$B$21))/SQRT((((914-43)*MAX('Inputs'!$B$33,'Inputs'!$B$29+'Inputs'!$B$31+'Inputs'!$B$32,'Inputs'!$B$30+'Inputs'!$B$31+'Inputs'!$B$32)/1000+'Inputs'!$B$21))^2+('Inputs'!$B$6/2)^2)))-'Results'!C7*(1+'Inputs'!$B$24)*(0.5*((((914-43)*MAX('Inputs'!$B$33,'Inputs'!$B$29+'Inputs'!$B$31+'Inputs'!$B$32,'Inputs'!$B$30+'Inputs'!$B$31+'Inputs'!$B$32)/1000+'Inputs'!$B$21+'Inputs'!$B$7+'Inputs'!$B$10)+'Inputs'!$B$9)/SQRT((((914-43)*MAX('Inputs'!$B$33,'Inputs'!$B$29+'Inputs'!$B$31+'Inputs'!$B$32,'Inputs'!$B$30+'Inputs'!$B$31+'Inputs'!$B$32)/1000+'Inputs'!$B$21+'Inputs'!$B$7+'Inputs'!$B$10)+'Inputs'!$B$9)^2+('Inputs'!$B$8/2)^2)-(((914-43)*MAX('Inputs'!$B$33,'Inputs'!$B$29+'Inputs'!$B$31+'Inputs'!$B$32,'Inputs'!$B$30+'Inputs'!$B$31+'Inputs'!$B$32)/1000+'Inputs'!$B$21+'Inputs'!$B$7+'Inputs'!$B$10))/SQRT((((914-43)*MAX('Inputs'!$B$33,'Inputs'!$B$29+'Inputs'!$B$31+'Inputs'!$B$32,'Inputs'!$B$30+'Inputs'!$B$31+'Inputs'!$B$32)/1000+'Inputs'!$B$21+'Inputs'!$B$7+'Inputs'!$B$10))^2+('Inputs'!$B$8/2)^2))))*'Results'!$B$8)-'Inputs'!$B$28*ABS((('Results'!B7*(1-'Inputs'!$B$24)*(0.5*((((914-43)*MAX('Inputs'!$B$33,'Inputs'!$B$29+'Inputs'!$B$31+'Inputs'!$B$32,'Inputs'!$B$30+'Inputs'!$B$31+'Inputs'!$B$32)/1000+'Inputs'!$B$21)+'Inputs'!$B$7)/SQRT((((914-43)*MAX('Inputs'!$B$33,'Inputs'!$B$29+'Inputs'!$B$31+'Inputs'!$B$32,'Inputs'!$B$30+'Inputs'!$B$31+'Inputs'!$B$32)/1000+'Inputs'!$B$21)+'Inputs'!$B$7)^2+('Inputs'!$B$6/2)^2)-(((914-43)*MAX('Inputs'!$B$33,'Inputs'!$B$29+'Inputs'!$B$31+'Inputs'!$B$32,'Inputs'!$B$30+'Inputs'!$B$31+'Inputs'!$B$32)/1000+'Inputs'!$B$21))/SQRT((((914-43)*MAX('Inputs'!$B$33,'Inputs'!$B$29+'Inputs'!$B$31+'Inputs'!$B$32,'Inputs'!$B$30+'Inputs'!$B$31+'Inputs'!$B$32)/1000+'Inputs'!$B$21))^2+('Inputs'!$B$6/2)^2)))-'Results'!C7*(1+'Inputs'!$B$24)*(0.5*((((914-43)*MAX('Inputs'!$B$33,'Inputs'!$B$29+'Inputs'!$B$31+'Inputs'!$B$32,'Inputs'!$B$30+'Inputs'!$B$31+'Inputs'!$B$32)/1000+'Inputs'!$B$21+'Inputs'!$B$7+'Inputs'!$B$10)+'Inputs'!$B$9)/SQRT((((914-43)*MAX('Inputs'!$B$33,'Inputs'!$B$29+'Inputs'!$B$31+'Inputs'!$B$32,'Inputs'!$B$30+'Inputs'!$B$31+'Inputs'!$B$32)/1000+'Inputs'!$B$21+'Inputs'!$B$7+'Inputs'!$B$10)+'Inputs'!$B$9)^2+('Inputs'!$B$8/2)^2)-(((914-43)*MAX('Inputs'!$B$33,'Inputs'!$B$29+'Inputs'!$B$31+'Inputs'!$B$32,'Inputs'!$B$30+'Inputs'!$B$31+'Inputs'!$B$32)/1000+'Inputs'!$B$21+'Inputs'!$B$7+'Inputs'!$B$10))/SQRT((((914-43)*MAX('Inputs'!$B$33,'Inputs'!$B$29+'Inputs'!$B$31+'Inputs'!$B$32,'Inputs'!$B$30+'Inputs'!$B$31+'Inputs'!$B$32)/1000+'Inputs'!$B$21+'Inputs'!$B$7+'Inputs'!$B$10))^2+('Inputs'!$B$8/2)^2))))*'Results'!$B$8))),"")</x:f>
        <x:v>0.5010586288895487</x:v>
      </x:c>
      <x:c r="L914" t="n">
        <x:f>IF(AND(ISNUMBER('Results'!B7),ISNUMBER('Results'!C7),ISNUMBER('Results'!$B$8),ISNUMBER('Inputs'!$B$6),ISNUMBER('Inputs'!$B$7),ISNUMBER('Inputs'!$B$8),ISNUMBER('Inputs'!$B$9),ISNUMBER('Inputs'!$B$10),ISNUMBER('Inputs'!$B$21),ISNUMBER('Inputs'!$B$24),ISNUMBER('Inputs'!$B$28)),((('Results'!B7*(1+'Inputs'!$B$24)*(0.5*((((914-43)*MAX('Inputs'!$B$33,'Inputs'!$B$29+'Inputs'!$B$31+'Inputs'!$B$32,'Inputs'!$B$30+'Inputs'!$B$31+'Inputs'!$B$32)/1000+'Inputs'!$B$21)+'Inputs'!$B$7)/SQRT((((914-43)*MAX('Inputs'!$B$33,'Inputs'!$B$29+'Inputs'!$B$31+'Inputs'!$B$32,'Inputs'!$B$30+'Inputs'!$B$31+'Inputs'!$B$32)/1000+'Inputs'!$B$21)+'Inputs'!$B$7)^2+('Inputs'!$B$6/2)^2)-(((914-43)*MAX('Inputs'!$B$33,'Inputs'!$B$29+'Inputs'!$B$31+'Inputs'!$B$32,'Inputs'!$B$30+'Inputs'!$B$31+'Inputs'!$B$32)/1000+'Inputs'!$B$21))/SQRT((((914-43)*MAX('Inputs'!$B$33,'Inputs'!$B$29+'Inputs'!$B$31+'Inputs'!$B$32,'Inputs'!$B$30+'Inputs'!$B$31+'Inputs'!$B$32)/1000+'Inputs'!$B$21))^2+('Inputs'!$B$6/2)^2)))-'Results'!C7*(1-'Inputs'!$B$24)*(0.5*((((914-43)*MAX('Inputs'!$B$33,'Inputs'!$B$29+'Inputs'!$B$31+'Inputs'!$B$32,'Inputs'!$B$30+'Inputs'!$B$31+'Inputs'!$B$32)/1000+'Inputs'!$B$21+'Inputs'!$B$7+'Inputs'!$B$10)+'Inputs'!$B$9)/SQRT((((914-43)*MAX('Inputs'!$B$33,'Inputs'!$B$29+'Inputs'!$B$31+'Inputs'!$B$32,'Inputs'!$B$30+'Inputs'!$B$31+'Inputs'!$B$32)/1000+'Inputs'!$B$21+'Inputs'!$B$7+'Inputs'!$B$10)+'Inputs'!$B$9)^2+('Inputs'!$B$8/2)^2)-(((914-43)*MAX('Inputs'!$B$33,'Inputs'!$B$29+'Inputs'!$B$31+'Inputs'!$B$32,'Inputs'!$B$30+'Inputs'!$B$31+'Inputs'!$B$32)/1000+'Inputs'!$B$21+'Inputs'!$B$7+'Inputs'!$B$10))/SQRT((((914-43)*MAX('Inputs'!$B$33,'Inputs'!$B$29+'Inputs'!$B$31+'Inputs'!$B$32,'Inputs'!$B$30+'Inputs'!$B$31+'Inputs'!$B$32)/1000+'Inputs'!$B$21+'Inputs'!$B$7+'Inputs'!$B$10))^2+('Inputs'!$B$8/2)^2))))*'Results'!$B$8)+'Inputs'!$B$28*ABS((('Results'!B7*(1+'Inputs'!$B$24)*(0.5*((((914-43)*MAX('Inputs'!$B$33,'Inputs'!$B$29+'Inputs'!$B$31+'Inputs'!$B$32,'Inputs'!$B$30+'Inputs'!$B$31+'Inputs'!$B$32)/1000+'Inputs'!$B$21)+'Inputs'!$B$7)/SQRT((((914-43)*MAX('Inputs'!$B$33,'Inputs'!$B$29+'Inputs'!$B$31+'Inputs'!$B$32,'Inputs'!$B$30+'Inputs'!$B$31+'Inputs'!$B$32)/1000+'Inputs'!$B$21)+'Inputs'!$B$7)^2+('Inputs'!$B$6/2)^2)-(((914-43)*MAX('Inputs'!$B$33,'Inputs'!$B$29+'Inputs'!$B$31+'Inputs'!$B$32,'Inputs'!$B$30+'Inputs'!$B$31+'Inputs'!$B$32)/1000+'Inputs'!$B$21))/SQRT((((914-43)*MAX('Inputs'!$B$33,'Inputs'!$B$29+'Inputs'!$B$31+'Inputs'!$B$32,'Inputs'!$B$30+'Inputs'!$B$31+'Inputs'!$B$32)/1000+'Inputs'!$B$21))^2+('Inputs'!$B$6/2)^2)))-'Results'!C7*(1-'Inputs'!$B$24)*(0.5*((((914-43)*MAX('Inputs'!$B$33,'Inputs'!$B$29+'Inputs'!$B$31+'Inputs'!$B$32,'Inputs'!$B$30+'Inputs'!$B$31+'Inputs'!$B$32)/1000+'Inputs'!$B$21+'Inputs'!$B$7+'Inputs'!$B$10)+'Inputs'!$B$9)/SQRT((((914-43)*MAX('Inputs'!$B$33,'Inputs'!$B$29+'Inputs'!$B$31+'Inputs'!$B$32,'Inputs'!$B$30+'Inputs'!$B$31+'Inputs'!$B$32)/1000+'Inputs'!$B$21+'Inputs'!$B$7+'Inputs'!$B$10)+'Inputs'!$B$9)^2+('Inputs'!$B$8/2)^2)-(((914-43)*MAX('Inputs'!$B$33,'Inputs'!$B$29+'Inputs'!$B$31+'Inputs'!$B$32,'Inputs'!$B$30+'Inputs'!$B$31+'Inputs'!$B$32)/1000+'Inputs'!$B$21+'Inputs'!$B$7+'Inputs'!$B$10))/SQRT((((914-43)*MAX('Inputs'!$B$33,'Inputs'!$B$29+'Inputs'!$B$31+'Inputs'!$B$32,'Inputs'!$B$30+'Inputs'!$B$31+'Inputs'!$B$32)/1000+'Inputs'!$B$21+'Inputs'!$B$7+'Inputs'!$B$10))^2+('Inputs'!$B$8/2)^2))))*'Results'!$B$8))),"")</x:f>
        <x:v>0.6854148718481651</x:v>
      </x:c>
      <x:c r="M914" t="n">
        <x:f>IF(AND(ISNUMBER('Results'!C7),ISNUMBER('Results'!B7),ISNUMBER('Results'!$B$8),ISNUMBER('Inputs'!$B$6),ISNUMBER('Inputs'!$B$7),ISNUMBER('Inputs'!$B$8),ISNUMBER('Inputs'!$B$9),ISNUMBER('Inputs'!$B$10),ISNUMBER('Inputs'!$B$21),ISNUMBER('Inputs'!$B$24),ISNUMBER('Inputs'!$B$28)),(('Results'!C7*(0.5*((((914-43)*MAX('Inputs'!$B$33,'Inputs'!$B$29+'Inputs'!$B$31+'Inputs'!$B$32,'Inputs'!$B$30+'Inputs'!$B$31+'Inputs'!$B$32)/1000+'Inputs'!$B$21)+'Inputs'!$B$9)/SQRT((((914-43)*MAX('Inputs'!$B$33,'Inputs'!$B$29+'Inputs'!$B$31+'Inputs'!$B$32,'Inputs'!$B$30+'Inputs'!$B$31+'Inputs'!$B$32)/1000+'Inputs'!$B$21)+'Inputs'!$B$9)^2+('Inputs'!$B$8/2)^2)-(((914-43)*MAX('Inputs'!$B$33,'Inputs'!$B$29+'Inputs'!$B$31+'Inputs'!$B$32,'Inputs'!$B$30+'Inputs'!$B$31+'Inputs'!$B$32)/1000+'Inputs'!$B$21))/SQRT((((914-43)*MAX('Inputs'!$B$33,'Inputs'!$B$29+'Inputs'!$B$31+'Inputs'!$B$32,'Inputs'!$B$30+'Inputs'!$B$31+'Inputs'!$B$32)/1000+'Inputs'!$B$21))^2+('Inputs'!$B$8/2)^2)))-'Results'!B7*(0.5*((((914-43)*MAX('Inputs'!$B$33,'Inputs'!$B$29+'Inputs'!$B$31+'Inputs'!$B$32,'Inputs'!$B$30+'Inputs'!$B$31+'Inputs'!$B$32)/1000+'Inputs'!$B$21+'Inputs'!$B$9+'Inputs'!$B$10)+'Inputs'!$B$7)/SQRT((((914-43)*MAX('Inputs'!$B$33,'Inputs'!$B$29+'Inputs'!$B$31+'Inputs'!$B$32,'Inputs'!$B$30+'Inputs'!$B$31+'Inputs'!$B$32)/1000+'Inputs'!$B$21+'Inputs'!$B$9+'Inputs'!$B$10)+'Inputs'!$B$7)^2+('Inputs'!$B$6/2)^2)-(((914-43)*MAX('Inputs'!$B$33,'Inputs'!$B$29+'Inputs'!$B$31+'Inputs'!$B$32,'Inputs'!$B$30+'Inputs'!$B$31+'Inputs'!$B$32)/1000+'Inputs'!$B$21+'Inputs'!$B$9+'Inputs'!$B$10))/SQRT((((914-43)*MAX('Inputs'!$B$33,'Inputs'!$B$29+'Inputs'!$B$31+'Inputs'!$B$32,'Inputs'!$B$30+'Inputs'!$B$31+'Inputs'!$B$32)/1000+'Inputs'!$B$21+'Inputs'!$B$9+'Inputs'!$B$10))^2+('Inputs'!$B$6/2)^2))))*'Results'!$B$8),"")</x:f>
        <x:v>0.52691104481264</x:v>
      </x:c>
      <x:c r="N914" t="n">
        <x:f>IF(AND(ISNUMBER('Results'!C7),ISNUMBER('Results'!B7),ISNUMBER('Results'!$B$8),ISNUMBER('Inputs'!$B$6),ISNUMBER('Inputs'!$B$7),ISNUMBER('Inputs'!$B$8),ISNUMBER('Inputs'!$B$9),ISNUMBER('Inputs'!$B$10),ISNUMBER('Inputs'!$B$21),ISNUMBER('Inputs'!$B$24),ISNUMBER('Inputs'!$B$28)),((('Results'!C7*(1-'Inputs'!$B$24)*(0.5*((((914-43)*MAX('Inputs'!$B$33,'Inputs'!$B$29+'Inputs'!$B$31+'Inputs'!$B$32,'Inputs'!$B$30+'Inputs'!$B$31+'Inputs'!$B$32)/1000+'Inputs'!$B$21)+'Inputs'!$B$9)/SQRT((((914-43)*MAX('Inputs'!$B$33,'Inputs'!$B$29+'Inputs'!$B$31+'Inputs'!$B$32,'Inputs'!$B$30+'Inputs'!$B$31+'Inputs'!$B$32)/1000+'Inputs'!$B$21)+'Inputs'!$B$9)^2+('Inputs'!$B$8/2)^2)-(((914-43)*MAX('Inputs'!$B$33,'Inputs'!$B$29+'Inputs'!$B$31+'Inputs'!$B$32,'Inputs'!$B$30+'Inputs'!$B$31+'Inputs'!$B$32)/1000+'Inputs'!$B$21))/SQRT((((914-43)*MAX('Inputs'!$B$33,'Inputs'!$B$29+'Inputs'!$B$31+'Inputs'!$B$32,'Inputs'!$B$30+'Inputs'!$B$31+'Inputs'!$B$32)/1000+'Inputs'!$B$21))^2+('Inputs'!$B$8/2)^2)))-'Results'!B7*(1+'Inputs'!$B$24)*(0.5*((((914-43)*MAX('Inputs'!$B$33,'Inputs'!$B$29+'Inputs'!$B$31+'Inputs'!$B$32,'Inputs'!$B$30+'Inputs'!$B$31+'Inputs'!$B$32)/1000+'Inputs'!$B$21+'Inputs'!$B$9+'Inputs'!$B$10)+'Inputs'!$B$7)/SQRT((((914-43)*MAX('Inputs'!$B$33,'Inputs'!$B$29+'Inputs'!$B$31+'Inputs'!$B$32,'Inputs'!$B$30+'Inputs'!$B$31+'Inputs'!$B$32)/1000+'Inputs'!$B$21+'Inputs'!$B$9+'Inputs'!$B$10)+'Inputs'!$B$7)^2+('Inputs'!$B$6/2)^2)-(((914-43)*MAX('Inputs'!$B$33,'Inputs'!$B$29+'Inputs'!$B$31+'Inputs'!$B$32,'Inputs'!$B$30+'Inputs'!$B$31+'Inputs'!$B$32)/1000+'Inputs'!$B$21+'Inputs'!$B$9+'Inputs'!$B$10))/SQRT((((914-43)*MAX('Inputs'!$B$33,'Inputs'!$B$29+'Inputs'!$B$31+'Inputs'!$B$32,'Inputs'!$B$30+'Inputs'!$B$31+'Inputs'!$B$32)/1000+'Inputs'!$B$21+'Inputs'!$B$9+'Inputs'!$B$10))^2+('Inputs'!$B$6/2)^2))))*'Results'!$B$8)-'Inputs'!$B$28*ABS((('Results'!C7*(1-'Inputs'!$B$24)*(0.5*((((914-43)*MAX('Inputs'!$B$33,'Inputs'!$B$29+'Inputs'!$B$31+'Inputs'!$B$32,'Inputs'!$B$30+'Inputs'!$B$31+'Inputs'!$B$32)/1000+'Inputs'!$B$21)+'Inputs'!$B$9)/SQRT((((914-43)*MAX('Inputs'!$B$33,'Inputs'!$B$29+'Inputs'!$B$31+'Inputs'!$B$32,'Inputs'!$B$30+'Inputs'!$B$31+'Inputs'!$B$32)/1000+'Inputs'!$B$21)+'Inputs'!$B$9)^2+('Inputs'!$B$8/2)^2)-(((914-43)*MAX('Inputs'!$B$33,'Inputs'!$B$29+'Inputs'!$B$31+'Inputs'!$B$32,'Inputs'!$B$30+'Inputs'!$B$31+'Inputs'!$B$32)/1000+'Inputs'!$B$21))/SQRT((((914-43)*MAX('Inputs'!$B$33,'Inputs'!$B$29+'Inputs'!$B$31+'Inputs'!$B$32,'Inputs'!$B$30+'Inputs'!$B$31+'Inputs'!$B$32)/1000+'Inputs'!$B$21))^2+('Inputs'!$B$8/2)^2)))-'Results'!B7*(1+'Inputs'!$B$24)*(0.5*((((914-43)*MAX('Inputs'!$B$33,'Inputs'!$B$29+'Inputs'!$B$31+'Inputs'!$B$32,'Inputs'!$B$30+'Inputs'!$B$31+'Inputs'!$B$32)/1000+'Inputs'!$B$21+'Inputs'!$B$9+'Inputs'!$B$10)+'Inputs'!$B$7)/SQRT((((914-43)*MAX('Inputs'!$B$33,'Inputs'!$B$29+'Inputs'!$B$31+'Inputs'!$B$32,'Inputs'!$B$30+'Inputs'!$B$31+'Inputs'!$B$32)/1000+'Inputs'!$B$21+'Inputs'!$B$9+'Inputs'!$B$10)+'Inputs'!$B$7)^2+('Inputs'!$B$6/2)^2)-(((914-43)*MAX('Inputs'!$B$33,'Inputs'!$B$29+'Inputs'!$B$31+'Inputs'!$B$32,'Inputs'!$B$30+'Inputs'!$B$31+'Inputs'!$B$32)/1000+'Inputs'!$B$21+'Inputs'!$B$9+'Inputs'!$B$10))/SQRT((((914-43)*MAX('Inputs'!$B$33,'Inputs'!$B$29+'Inputs'!$B$31+'Inputs'!$B$32,'Inputs'!$B$30+'Inputs'!$B$31+'Inputs'!$B$32)/1000+'Inputs'!$B$21+'Inputs'!$B$9+'Inputs'!$B$10))^2+('Inputs'!$B$6/2)^2))))*'Results'!$B$8))),"")</x:f>
        <x:v>0.4412405509664688</x:v>
      </x:c>
      <x:c r="O914" t="n">
        <x:f>IF(AND(ISNUMBER('Results'!C7),ISNUMBER('Results'!B7),ISNUMBER('Results'!$B$8),ISNUMBER('Inputs'!$B$6),ISNUMBER('Inputs'!$B$7),ISNUMBER('Inputs'!$B$8),ISNUMBER('Inputs'!$B$9),ISNUMBER('Inputs'!$B$10),ISNUMBER('Inputs'!$B$21),ISNUMBER('Inputs'!$B$24),ISNUMBER('Inputs'!$B$28)),((('Results'!C7*(1+'Inputs'!$B$24)*(0.5*((((914-43)*MAX('Inputs'!$B$33,'Inputs'!$B$29+'Inputs'!$B$31+'Inputs'!$B$32,'Inputs'!$B$30+'Inputs'!$B$31+'Inputs'!$B$32)/1000+'Inputs'!$B$21)+'Inputs'!$B$9)/SQRT((((914-43)*MAX('Inputs'!$B$33,'Inputs'!$B$29+'Inputs'!$B$31+'Inputs'!$B$32,'Inputs'!$B$30+'Inputs'!$B$31+'Inputs'!$B$32)/1000+'Inputs'!$B$21)+'Inputs'!$B$9)^2+('Inputs'!$B$8/2)^2)-(((914-43)*MAX('Inputs'!$B$33,'Inputs'!$B$29+'Inputs'!$B$31+'Inputs'!$B$32,'Inputs'!$B$30+'Inputs'!$B$31+'Inputs'!$B$32)/1000+'Inputs'!$B$21))/SQRT((((914-43)*MAX('Inputs'!$B$33,'Inputs'!$B$29+'Inputs'!$B$31+'Inputs'!$B$32,'Inputs'!$B$30+'Inputs'!$B$31+'Inputs'!$B$32)/1000+'Inputs'!$B$21))^2+('Inputs'!$B$8/2)^2)))-'Results'!B7*(1-'Inputs'!$B$24)*(0.5*((((914-43)*MAX('Inputs'!$B$33,'Inputs'!$B$29+'Inputs'!$B$31+'Inputs'!$B$32,'Inputs'!$B$30+'Inputs'!$B$31+'Inputs'!$B$32)/1000+'Inputs'!$B$21+'Inputs'!$B$9+'Inputs'!$B$10)+'Inputs'!$B$7)/SQRT((((914-43)*MAX('Inputs'!$B$33,'Inputs'!$B$29+'Inputs'!$B$31+'Inputs'!$B$32,'Inputs'!$B$30+'Inputs'!$B$31+'Inputs'!$B$32)/1000+'Inputs'!$B$21+'Inputs'!$B$9+'Inputs'!$B$10)+'Inputs'!$B$7)^2+('Inputs'!$B$6/2)^2)-(((914-43)*MAX('Inputs'!$B$33,'Inputs'!$B$29+'Inputs'!$B$31+'Inputs'!$B$32,'Inputs'!$B$30+'Inputs'!$B$31+'Inputs'!$B$32)/1000+'Inputs'!$B$21+'Inputs'!$B$9+'Inputs'!$B$10))/SQRT((((914-43)*MAX('Inputs'!$B$33,'Inputs'!$B$29+'Inputs'!$B$31+'Inputs'!$B$32,'Inputs'!$B$30+'Inputs'!$B$31+'Inputs'!$B$32)/1000+'Inputs'!$B$21+'Inputs'!$B$9+'Inputs'!$B$10))^2+('Inputs'!$B$6/2)^2))))*'Results'!$B$8)+'Inputs'!$B$28*ABS((('Results'!C7*(1+'Inputs'!$B$24)*(0.5*((((914-43)*MAX('Inputs'!$B$33,'Inputs'!$B$29+'Inputs'!$B$31+'Inputs'!$B$32,'Inputs'!$B$30+'Inputs'!$B$31+'Inputs'!$B$32)/1000+'Inputs'!$B$21)+'Inputs'!$B$9)/SQRT((((914-43)*MAX('Inputs'!$B$33,'Inputs'!$B$29+'Inputs'!$B$31+'Inputs'!$B$32,'Inputs'!$B$30+'Inputs'!$B$31+'Inputs'!$B$32)/1000+'Inputs'!$B$21)+'Inputs'!$B$9)^2+('Inputs'!$B$8/2)^2)-(((914-43)*MAX('Inputs'!$B$33,'Inputs'!$B$29+'Inputs'!$B$31+'Inputs'!$B$32,'Inputs'!$B$30+'Inputs'!$B$31+'Inputs'!$B$32)/1000+'Inputs'!$B$21))/SQRT((((914-43)*MAX('Inputs'!$B$33,'Inputs'!$B$29+'Inputs'!$B$31+'Inputs'!$B$32,'Inputs'!$B$30+'Inputs'!$B$31+'Inputs'!$B$32)/1000+'Inputs'!$B$21))^2+('Inputs'!$B$8/2)^2)))-'Results'!B7*(1-'Inputs'!$B$24)*(0.5*((((914-43)*MAX('Inputs'!$B$33,'Inputs'!$B$29+'Inputs'!$B$31+'Inputs'!$B$32,'Inputs'!$B$30+'Inputs'!$B$31+'Inputs'!$B$32)/1000+'Inputs'!$B$21+'Inputs'!$B$9+'Inputs'!$B$10)+'Inputs'!$B$7)/SQRT((((914-43)*MAX('Inputs'!$B$33,'Inputs'!$B$29+'Inputs'!$B$31+'Inputs'!$B$32,'Inputs'!$B$30+'Inputs'!$B$31+'Inputs'!$B$32)/1000+'Inputs'!$B$21+'Inputs'!$B$9+'Inputs'!$B$10)+'Inputs'!$B$7)^2+('Inputs'!$B$6/2)^2)-(((914-43)*MAX('Inputs'!$B$33,'Inputs'!$B$29+'Inputs'!$B$31+'Inputs'!$B$32,'Inputs'!$B$30+'Inputs'!$B$31+'Inputs'!$B$32)/1000+'Inputs'!$B$21+'Inputs'!$B$9+'Inputs'!$B$10))/SQRT((((914-43)*MAX('Inputs'!$B$33,'Inputs'!$B$29+'Inputs'!$B$31+'Inputs'!$B$32,'Inputs'!$B$30+'Inputs'!$B$31+'Inputs'!$B$32)/1000+'Inputs'!$B$21+'Inputs'!$B$9+'Inputs'!$B$10))^2+('Inputs'!$B$6/2)^2))))*'Results'!$B$8))),"")</x:f>
        <x:v>0.6188262693541307</x:v>
      </x:c>
      <x:c r="P914" t="n">
        <x:f>IF(AND(MAX(J914,J913)&gt;0,J914&gt;J913+0.00000001),1,0)</x:f>
        <x:v>0</x:v>
      </x:c>
      <x:c r="Q914" t="n">
        <x:f>IF(AND(MAX(K914,K913)&gt;0,K914&gt;K913+0.00000001),1,0)</x:f>
        <x:v>0</x:v>
      </x:c>
      <x:c r="R914" t="n">
        <x:f>IF(AND(MAX(L914,L913)&gt;0,L914&gt;L913+0.00000001),1,0)</x:f>
        <x:v>0</x:v>
      </x:c>
      <x:c r="S914" t="n">
        <x:f>IF(AND(MAX(M914,M913)&gt;0,M914&gt;M913+0.00000001),1,0)</x:f>
        <x:v>0</x:v>
      </x:c>
      <x:c r="T914" t="n">
        <x:f>IF(AND(MAX(N914,N913)&gt;0,N914&gt;N913+0.00000001),1,0)</x:f>
        <x:v>0</x:v>
      </x:c>
      <x:c r="U914" t="n">
        <x:f>IF(AND(MAX(O914,O913)&gt;0,O914&gt;O913+0.00000001),1,0)</x:f>
        <x:v>0</x:v>
      </x:c>
    </x:row>
    <x:row r="915">
      <x:c r="J915" t="n">
        <x:f>IF(AND(ISNUMBER('Results'!B7),ISNUMBER('Results'!C7),ISNUMBER('Results'!$B$8),ISNUMBER('Inputs'!$B$6),ISNUMBER('Inputs'!$B$7),ISNUMBER('Inputs'!$B$8),ISNUMBER('Inputs'!$B$9),ISNUMBER('Inputs'!$B$10),ISNUMBER('Inputs'!$B$21),ISNUMBER('Inputs'!$B$24),ISNUMBER('Inputs'!$B$28)),(('Results'!B7*(0.5*((((915-43)*MAX('Inputs'!$B$33,'Inputs'!$B$29+'Inputs'!$B$31+'Inputs'!$B$32,'Inputs'!$B$30+'Inputs'!$B$31+'Inputs'!$B$32)/1000+'Inputs'!$B$21)+'Inputs'!$B$7)/SQRT((((915-43)*MAX('Inputs'!$B$33,'Inputs'!$B$29+'Inputs'!$B$31+'Inputs'!$B$32,'Inputs'!$B$30+'Inputs'!$B$31+'Inputs'!$B$32)/1000+'Inputs'!$B$21)+'Inputs'!$B$7)^2+('Inputs'!$B$6/2)^2)-(((915-43)*MAX('Inputs'!$B$33,'Inputs'!$B$29+'Inputs'!$B$31+'Inputs'!$B$32,'Inputs'!$B$30+'Inputs'!$B$31+'Inputs'!$B$32)/1000+'Inputs'!$B$21))/SQRT((((915-43)*MAX('Inputs'!$B$33,'Inputs'!$B$29+'Inputs'!$B$31+'Inputs'!$B$32,'Inputs'!$B$30+'Inputs'!$B$31+'Inputs'!$B$32)/1000+'Inputs'!$B$21))^2+('Inputs'!$B$6/2)^2)))-'Results'!C7*(0.5*((((915-43)*MAX('Inputs'!$B$33,'Inputs'!$B$29+'Inputs'!$B$31+'Inputs'!$B$32,'Inputs'!$B$30+'Inputs'!$B$31+'Inputs'!$B$32)/1000+'Inputs'!$B$21+'Inputs'!$B$7+'Inputs'!$B$10)+'Inputs'!$B$9)/SQRT((((915-43)*MAX('Inputs'!$B$33,'Inputs'!$B$29+'Inputs'!$B$31+'Inputs'!$B$32,'Inputs'!$B$30+'Inputs'!$B$31+'Inputs'!$B$32)/1000+'Inputs'!$B$21+'Inputs'!$B$7+'Inputs'!$B$10)+'Inputs'!$B$9)^2+('Inputs'!$B$8/2)^2)-(((915-43)*MAX('Inputs'!$B$33,'Inputs'!$B$29+'Inputs'!$B$31+'Inputs'!$B$32,'Inputs'!$B$30+'Inputs'!$B$31+'Inputs'!$B$32)/1000+'Inputs'!$B$21+'Inputs'!$B$7+'Inputs'!$B$10))/SQRT((((915-43)*MAX('Inputs'!$B$33,'Inputs'!$B$29+'Inputs'!$B$31+'Inputs'!$B$32,'Inputs'!$B$30+'Inputs'!$B$31+'Inputs'!$B$32)/1000+'Inputs'!$B$21+'Inputs'!$B$7+'Inputs'!$B$10))^2+('Inputs'!$B$8/2)^2))))*'Results'!$B$8),"")</x:f>
        <x:v>0.5876575759875723</x:v>
      </x:c>
      <x:c r="K915" t="n">
        <x:f>IF(AND(ISNUMBER('Results'!B7),ISNUMBER('Results'!C7),ISNUMBER('Results'!$B$8),ISNUMBER('Inputs'!$B$6),ISNUMBER('Inputs'!$B$7),ISNUMBER('Inputs'!$B$8),ISNUMBER('Inputs'!$B$9),ISNUMBER('Inputs'!$B$10),ISNUMBER('Inputs'!$B$21),ISNUMBER('Inputs'!$B$24),ISNUMBER('Inputs'!$B$28)),((('Results'!B7*(1-'Inputs'!$B$24)*(0.5*((((915-43)*MAX('Inputs'!$B$33,'Inputs'!$B$29+'Inputs'!$B$31+'Inputs'!$B$32,'Inputs'!$B$30+'Inputs'!$B$31+'Inputs'!$B$32)/1000+'Inputs'!$B$21)+'Inputs'!$B$7)/SQRT((((915-43)*MAX('Inputs'!$B$33,'Inputs'!$B$29+'Inputs'!$B$31+'Inputs'!$B$32,'Inputs'!$B$30+'Inputs'!$B$31+'Inputs'!$B$32)/1000+'Inputs'!$B$21)+'Inputs'!$B$7)^2+('Inputs'!$B$6/2)^2)-(((915-43)*MAX('Inputs'!$B$33,'Inputs'!$B$29+'Inputs'!$B$31+'Inputs'!$B$32,'Inputs'!$B$30+'Inputs'!$B$31+'Inputs'!$B$32)/1000+'Inputs'!$B$21))/SQRT((((915-43)*MAX('Inputs'!$B$33,'Inputs'!$B$29+'Inputs'!$B$31+'Inputs'!$B$32,'Inputs'!$B$30+'Inputs'!$B$31+'Inputs'!$B$32)/1000+'Inputs'!$B$21))^2+('Inputs'!$B$6/2)^2)))-'Results'!C7*(1+'Inputs'!$B$24)*(0.5*((((915-43)*MAX('Inputs'!$B$33,'Inputs'!$B$29+'Inputs'!$B$31+'Inputs'!$B$32,'Inputs'!$B$30+'Inputs'!$B$31+'Inputs'!$B$32)/1000+'Inputs'!$B$21+'Inputs'!$B$7+'Inputs'!$B$10)+'Inputs'!$B$9)/SQRT((((915-43)*MAX('Inputs'!$B$33,'Inputs'!$B$29+'Inputs'!$B$31+'Inputs'!$B$32,'Inputs'!$B$30+'Inputs'!$B$31+'Inputs'!$B$32)/1000+'Inputs'!$B$21+'Inputs'!$B$7+'Inputs'!$B$10)+'Inputs'!$B$9)^2+('Inputs'!$B$8/2)^2)-(((915-43)*MAX('Inputs'!$B$33,'Inputs'!$B$29+'Inputs'!$B$31+'Inputs'!$B$32,'Inputs'!$B$30+'Inputs'!$B$31+'Inputs'!$B$32)/1000+'Inputs'!$B$21+'Inputs'!$B$7+'Inputs'!$B$10))/SQRT((((915-43)*MAX('Inputs'!$B$33,'Inputs'!$B$29+'Inputs'!$B$31+'Inputs'!$B$32,'Inputs'!$B$30+'Inputs'!$B$31+'Inputs'!$B$32)/1000+'Inputs'!$B$21+'Inputs'!$B$7+'Inputs'!$B$10))^2+('Inputs'!$B$8/2)^2))))*'Results'!$B$8)-'Inputs'!$B$28*ABS((('Results'!B7*(1-'Inputs'!$B$24)*(0.5*((((915-43)*MAX('Inputs'!$B$33,'Inputs'!$B$29+'Inputs'!$B$31+'Inputs'!$B$32,'Inputs'!$B$30+'Inputs'!$B$31+'Inputs'!$B$32)/1000+'Inputs'!$B$21)+'Inputs'!$B$7)/SQRT((((915-43)*MAX('Inputs'!$B$33,'Inputs'!$B$29+'Inputs'!$B$31+'Inputs'!$B$32,'Inputs'!$B$30+'Inputs'!$B$31+'Inputs'!$B$32)/1000+'Inputs'!$B$21)+'Inputs'!$B$7)^2+('Inputs'!$B$6/2)^2)-(((915-43)*MAX('Inputs'!$B$33,'Inputs'!$B$29+'Inputs'!$B$31+'Inputs'!$B$32,'Inputs'!$B$30+'Inputs'!$B$31+'Inputs'!$B$32)/1000+'Inputs'!$B$21))/SQRT((((915-43)*MAX('Inputs'!$B$33,'Inputs'!$B$29+'Inputs'!$B$31+'Inputs'!$B$32,'Inputs'!$B$30+'Inputs'!$B$31+'Inputs'!$B$32)/1000+'Inputs'!$B$21))^2+('Inputs'!$B$6/2)^2)))-'Results'!C7*(1+'Inputs'!$B$24)*(0.5*((((915-43)*MAX('Inputs'!$B$33,'Inputs'!$B$29+'Inputs'!$B$31+'Inputs'!$B$32,'Inputs'!$B$30+'Inputs'!$B$31+'Inputs'!$B$32)/1000+'Inputs'!$B$21+'Inputs'!$B$7+'Inputs'!$B$10)+'Inputs'!$B$9)/SQRT((((915-43)*MAX('Inputs'!$B$33,'Inputs'!$B$29+'Inputs'!$B$31+'Inputs'!$B$32,'Inputs'!$B$30+'Inputs'!$B$31+'Inputs'!$B$32)/1000+'Inputs'!$B$21+'Inputs'!$B$7+'Inputs'!$B$10)+'Inputs'!$B$9)^2+('Inputs'!$B$8/2)^2)-(((915-43)*MAX('Inputs'!$B$33,'Inputs'!$B$29+'Inputs'!$B$31+'Inputs'!$B$32,'Inputs'!$B$30+'Inputs'!$B$31+'Inputs'!$B$32)/1000+'Inputs'!$B$21+'Inputs'!$B$7+'Inputs'!$B$10))/SQRT((((915-43)*MAX('Inputs'!$B$33,'Inputs'!$B$29+'Inputs'!$B$31+'Inputs'!$B$32,'Inputs'!$B$30+'Inputs'!$B$31+'Inputs'!$B$32)/1000+'Inputs'!$B$21+'Inputs'!$B$7+'Inputs'!$B$10))^2+('Inputs'!$B$8/2)^2))))*'Results'!$B$8))),"")</x:f>
        <x:v>0.49892492596358107</x:v>
      </x:c>
      <x:c r="L915" t="n">
        <x:f>IF(AND(ISNUMBER('Results'!B7),ISNUMBER('Results'!C7),ISNUMBER('Results'!$B$8),ISNUMBER('Inputs'!$B$6),ISNUMBER('Inputs'!$B$7),ISNUMBER('Inputs'!$B$8),ISNUMBER('Inputs'!$B$9),ISNUMBER('Inputs'!$B$10),ISNUMBER('Inputs'!$B$21),ISNUMBER('Inputs'!$B$24),ISNUMBER('Inputs'!$B$28)),((('Results'!B7*(1+'Inputs'!$B$24)*(0.5*((((915-43)*MAX('Inputs'!$B$33,'Inputs'!$B$29+'Inputs'!$B$31+'Inputs'!$B$32,'Inputs'!$B$30+'Inputs'!$B$31+'Inputs'!$B$32)/1000+'Inputs'!$B$21)+'Inputs'!$B$7)/SQRT((((915-43)*MAX('Inputs'!$B$33,'Inputs'!$B$29+'Inputs'!$B$31+'Inputs'!$B$32,'Inputs'!$B$30+'Inputs'!$B$31+'Inputs'!$B$32)/1000+'Inputs'!$B$21)+'Inputs'!$B$7)^2+('Inputs'!$B$6/2)^2)-(((915-43)*MAX('Inputs'!$B$33,'Inputs'!$B$29+'Inputs'!$B$31+'Inputs'!$B$32,'Inputs'!$B$30+'Inputs'!$B$31+'Inputs'!$B$32)/1000+'Inputs'!$B$21))/SQRT((((915-43)*MAX('Inputs'!$B$33,'Inputs'!$B$29+'Inputs'!$B$31+'Inputs'!$B$32,'Inputs'!$B$30+'Inputs'!$B$31+'Inputs'!$B$32)/1000+'Inputs'!$B$21))^2+('Inputs'!$B$6/2)^2)))-'Results'!C7*(1-'Inputs'!$B$24)*(0.5*((((915-43)*MAX('Inputs'!$B$33,'Inputs'!$B$29+'Inputs'!$B$31+'Inputs'!$B$32,'Inputs'!$B$30+'Inputs'!$B$31+'Inputs'!$B$32)/1000+'Inputs'!$B$21+'Inputs'!$B$7+'Inputs'!$B$10)+'Inputs'!$B$9)/SQRT((((915-43)*MAX('Inputs'!$B$33,'Inputs'!$B$29+'Inputs'!$B$31+'Inputs'!$B$32,'Inputs'!$B$30+'Inputs'!$B$31+'Inputs'!$B$32)/1000+'Inputs'!$B$21+'Inputs'!$B$7+'Inputs'!$B$10)+'Inputs'!$B$9)^2+('Inputs'!$B$8/2)^2)-(((915-43)*MAX('Inputs'!$B$33,'Inputs'!$B$29+'Inputs'!$B$31+'Inputs'!$B$32,'Inputs'!$B$30+'Inputs'!$B$31+'Inputs'!$B$32)/1000+'Inputs'!$B$21+'Inputs'!$B$7+'Inputs'!$B$10))/SQRT((((915-43)*MAX('Inputs'!$B$33,'Inputs'!$B$29+'Inputs'!$B$31+'Inputs'!$B$32,'Inputs'!$B$30+'Inputs'!$B$31+'Inputs'!$B$32)/1000+'Inputs'!$B$21+'Inputs'!$B$7+'Inputs'!$B$10))^2+('Inputs'!$B$8/2)^2))))*'Results'!$B$8)+'Inputs'!$B$28*ABS((('Results'!B7*(1+'Inputs'!$B$24)*(0.5*((((915-43)*MAX('Inputs'!$B$33,'Inputs'!$B$29+'Inputs'!$B$31+'Inputs'!$B$32,'Inputs'!$B$30+'Inputs'!$B$31+'Inputs'!$B$32)/1000+'Inputs'!$B$21)+'Inputs'!$B$7)/SQRT((((915-43)*MAX('Inputs'!$B$33,'Inputs'!$B$29+'Inputs'!$B$31+'Inputs'!$B$32,'Inputs'!$B$30+'Inputs'!$B$31+'Inputs'!$B$32)/1000+'Inputs'!$B$21)+'Inputs'!$B$7)^2+('Inputs'!$B$6/2)^2)-(((915-43)*MAX('Inputs'!$B$33,'Inputs'!$B$29+'Inputs'!$B$31+'Inputs'!$B$32,'Inputs'!$B$30+'Inputs'!$B$31+'Inputs'!$B$32)/1000+'Inputs'!$B$21))/SQRT((((915-43)*MAX('Inputs'!$B$33,'Inputs'!$B$29+'Inputs'!$B$31+'Inputs'!$B$32,'Inputs'!$B$30+'Inputs'!$B$31+'Inputs'!$B$32)/1000+'Inputs'!$B$21))^2+('Inputs'!$B$6/2)^2)))-'Results'!C7*(1-'Inputs'!$B$24)*(0.5*((((915-43)*MAX('Inputs'!$B$33,'Inputs'!$B$29+'Inputs'!$B$31+'Inputs'!$B$32,'Inputs'!$B$30+'Inputs'!$B$31+'Inputs'!$B$32)/1000+'Inputs'!$B$21+'Inputs'!$B$7+'Inputs'!$B$10)+'Inputs'!$B$9)/SQRT((((915-43)*MAX('Inputs'!$B$33,'Inputs'!$B$29+'Inputs'!$B$31+'Inputs'!$B$32,'Inputs'!$B$30+'Inputs'!$B$31+'Inputs'!$B$32)/1000+'Inputs'!$B$21+'Inputs'!$B$7+'Inputs'!$B$10)+'Inputs'!$B$9)^2+('Inputs'!$B$8/2)^2)-(((915-43)*MAX('Inputs'!$B$33,'Inputs'!$B$29+'Inputs'!$B$31+'Inputs'!$B$32,'Inputs'!$B$30+'Inputs'!$B$31+'Inputs'!$B$32)/1000+'Inputs'!$B$21+'Inputs'!$B$7+'Inputs'!$B$10))/SQRT((((915-43)*MAX('Inputs'!$B$33,'Inputs'!$B$29+'Inputs'!$B$31+'Inputs'!$B$32,'Inputs'!$B$30+'Inputs'!$B$31+'Inputs'!$B$32)/1000+'Inputs'!$B$21+'Inputs'!$B$7+'Inputs'!$B$10))^2+('Inputs'!$B$8/2)^2))))*'Results'!$B$8))),"")</x:f>
        <x:v>0.6826375703509966</x:v>
      </x:c>
      <x:c r="M915" t="n">
        <x:f>IF(AND(ISNUMBER('Results'!C7),ISNUMBER('Results'!B7),ISNUMBER('Results'!$B$8),ISNUMBER('Inputs'!$B$6),ISNUMBER('Inputs'!$B$7),ISNUMBER('Inputs'!$B$8),ISNUMBER('Inputs'!$B$9),ISNUMBER('Inputs'!$B$10),ISNUMBER('Inputs'!$B$21),ISNUMBER('Inputs'!$B$24),ISNUMBER('Inputs'!$B$28)),(('Results'!C7*(0.5*((((915-43)*MAX('Inputs'!$B$33,'Inputs'!$B$29+'Inputs'!$B$31+'Inputs'!$B$32,'Inputs'!$B$30+'Inputs'!$B$31+'Inputs'!$B$32)/1000+'Inputs'!$B$21)+'Inputs'!$B$9)/SQRT((((915-43)*MAX('Inputs'!$B$33,'Inputs'!$B$29+'Inputs'!$B$31+'Inputs'!$B$32,'Inputs'!$B$30+'Inputs'!$B$31+'Inputs'!$B$32)/1000+'Inputs'!$B$21)+'Inputs'!$B$9)^2+('Inputs'!$B$8/2)^2)-(((915-43)*MAX('Inputs'!$B$33,'Inputs'!$B$29+'Inputs'!$B$31+'Inputs'!$B$32,'Inputs'!$B$30+'Inputs'!$B$31+'Inputs'!$B$32)/1000+'Inputs'!$B$21))/SQRT((((915-43)*MAX('Inputs'!$B$33,'Inputs'!$B$29+'Inputs'!$B$31+'Inputs'!$B$32,'Inputs'!$B$30+'Inputs'!$B$31+'Inputs'!$B$32)/1000+'Inputs'!$B$21))^2+('Inputs'!$B$8/2)^2)))-'Results'!B7*(0.5*((((915-43)*MAX('Inputs'!$B$33,'Inputs'!$B$29+'Inputs'!$B$31+'Inputs'!$B$32,'Inputs'!$B$30+'Inputs'!$B$31+'Inputs'!$B$32)/1000+'Inputs'!$B$21+'Inputs'!$B$9+'Inputs'!$B$10)+'Inputs'!$B$7)/SQRT((((915-43)*MAX('Inputs'!$B$33,'Inputs'!$B$29+'Inputs'!$B$31+'Inputs'!$B$32,'Inputs'!$B$30+'Inputs'!$B$31+'Inputs'!$B$32)/1000+'Inputs'!$B$21+'Inputs'!$B$9+'Inputs'!$B$10)+'Inputs'!$B$7)^2+('Inputs'!$B$6/2)^2)-(((915-43)*MAX('Inputs'!$B$33,'Inputs'!$B$29+'Inputs'!$B$31+'Inputs'!$B$32,'Inputs'!$B$30+'Inputs'!$B$31+'Inputs'!$B$32)/1000+'Inputs'!$B$21+'Inputs'!$B$9+'Inputs'!$B$10))/SQRT((((915-43)*MAX('Inputs'!$B$33,'Inputs'!$B$29+'Inputs'!$B$31+'Inputs'!$B$32,'Inputs'!$B$30+'Inputs'!$B$31+'Inputs'!$B$32)/1000+'Inputs'!$B$21+'Inputs'!$B$9+'Inputs'!$B$10))^2+('Inputs'!$B$6/2)^2))))*'Results'!$B$8),"")</x:f>
        <x:v>0.524666578594523</x:v>
      </x:c>
      <x:c r="N915" t="n">
        <x:f>IF(AND(ISNUMBER('Results'!C7),ISNUMBER('Results'!B7),ISNUMBER('Results'!$B$8),ISNUMBER('Inputs'!$B$6),ISNUMBER('Inputs'!$B$7),ISNUMBER('Inputs'!$B$8),ISNUMBER('Inputs'!$B$9),ISNUMBER('Inputs'!$B$10),ISNUMBER('Inputs'!$B$21),ISNUMBER('Inputs'!$B$24),ISNUMBER('Inputs'!$B$28)),((('Results'!C7*(1-'Inputs'!$B$24)*(0.5*((((915-43)*MAX('Inputs'!$B$33,'Inputs'!$B$29+'Inputs'!$B$31+'Inputs'!$B$32,'Inputs'!$B$30+'Inputs'!$B$31+'Inputs'!$B$32)/1000+'Inputs'!$B$21)+'Inputs'!$B$9)/SQRT((((915-43)*MAX('Inputs'!$B$33,'Inputs'!$B$29+'Inputs'!$B$31+'Inputs'!$B$32,'Inputs'!$B$30+'Inputs'!$B$31+'Inputs'!$B$32)/1000+'Inputs'!$B$21)+'Inputs'!$B$9)^2+('Inputs'!$B$8/2)^2)-(((915-43)*MAX('Inputs'!$B$33,'Inputs'!$B$29+'Inputs'!$B$31+'Inputs'!$B$32,'Inputs'!$B$30+'Inputs'!$B$31+'Inputs'!$B$32)/1000+'Inputs'!$B$21))/SQRT((((915-43)*MAX('Inputs'!$B$33,'Inputs'!$B$29+'Inputs'!$B$31+'Inputs'!$B$32,'Inputs'!$B$30+'Inputs'!$B$31+'Inputs'!$B$32)/1000+'Inputs'!$B$21))^2+('Inputs'!$B$8/2)^2)))-'Results'!B7*(1+'Inputs'!$B$24)*(0.5*((((915-43)*MAX('Inputs'!$B$33,'Inputs'!$B$29+'Inputs'!$B$31+'Inputs'!$B$32,'Inputs'!$B$30+'Inputs'!$B$31+'Inputs'!$B$32)/1000+'Inputs'!$B$21+'Inputs'!$B$9+'Inputs'!$B$10)+'Inputs'!$B$7)/SQRT((((915-43)*MAX('Inputs'!$B$33,'Inputs'!$B$29+'Inputs'!$B$31+'Inputs'!$B$32,'Inputs'!$B$30+'Inputs'!$B$31+'Inputs'!$B$32)/1000+'Inputs'!$B$21+'Inputs'!$B$9+'Inputs'!$B$10)+'Inputs'!$B$7)^2+('Inputs'!$B$6/2)^2)-(((915-43)*MAX('Inputs'!$B$33,'Inputs'!$B$29+'Inputs'!$B$31+'Inputs'!$B$32,'Inputs'!$B$30+'Inputs'!$B$31+'Inputs'!$B$32)/1000+'Inputs'!$B$21+'Inputs'!$B$9+'Inputs'!$B$10))/SQRT((((915-43)*MAX('Inputs'!$B$33,'Inputs'!$B$29+'Inputs'!$B$31+'Inputs'!$B$32,'Inputs'!$B$30+'Inputs'!$B$31+'Inputs'!$B$32)/1000+'Inputs'!$B$21+'Inputs'!$B$9+'Inputs'!$B$10))^2+('Inputs'!$B$6/2)^2))))*'Results'!$B$8)-'Inputs'!$B$28*ABS((('Results'!C7*(1-'Inputs'!$B$24)*(0.5*((((915-43)*MAX('Inputs'!$B$33,'Inputs'!$B$29+'Inputs'!$B$31+'Inputs'!$B$32,'Inputs'!$B$30+'Inputs'!$B$31+'Inputs'!$B$32)/1000+'Inputs'!$B$21)+'Inputs'!$B$9)/SQRT((((915-43)*MAX('Inputs'!$B$33,'Inputs'!$B$29+'Inputs'!$B$31+'Inputs'!$B$32,'Inputs'!$B$30+'Inputs'!$B$31+'Inputs'!$B$32)/1000+'Inputs'!$B$21)+'Inputs'!$B$9)^2+('Inputs'!$B$8/2)^2)-(((915-43)*MAX('Inputs'!$B$33,'Inputs'!$B$29+'Inputs'!$B$31+'Inputs'!$B$32,'Inputs'!$B$30+'Inputs'!$B$31+'Inputs'!$B$32)/1000+'Inputs'!$B$21))/SQRT((((915-43)*MAX('Inputs'!$B$33,'Inputs'!$B$29+'Inputs'!$B$31+'Inputs'!$B$32,'Inputs'!$B$30+'Inputs'!$B$31+'Inputs'!$B$32)/1000+'Inputs'!$B$21))^2+('Inputs'!$B$8/2)^2)))-'Results'!B7*(1+'Inputs'!$B$24)*(0.5*((((915-43)*MAX('Inputs'!$B$33,'Inputs'!$B$29+'Inputs'!$B$31+'Inputs'!$B$32,'Inputs'!$B$30+'Inputs'!$B$31+'Inputs'!$B$32)/1000+'Inputs'!$B$21+'Inputs'!$B$9+'Inputs'!$B$10)+'Inputs'!$B$7)/SQRT((((915-43)*MAX('Inputs'!$B$33,'Inputs'!$B$29+'Inputs'!$B$31+'Inputs'!$B$32,'Inputs'!$B$30+'Inputs'!$B$31+'Inputs'!$B$32)/1000+'Inputs'!$B$21+'Inputs'!$B$9+'Inputs'!$B$10)+'Inputs'!$B$7)^2+('Inputs'!$B$6/2)^2)-(((915-43)*MAX('Inputs'!$B$33,'Inputs'!$B$29+'Inputs'!$B$31+'Inputs'!$B$32,'Inputs'!$B$30+'Inputs'!$B$31+'Inputs'!$B$32)/1000+'Inputs'!$B$21+'Inputs'!$B$9+'Inputs'!$B$10))/SQRT((((915-43)*MAX('Inputs'!$B$33,'Inputs'!$B$29+'Inputs'!$B$31+'Inputs'!$B$32,'Inputs'!$B$30+'Inputs'!$B$31+'Inputs'!$B$32)/1000+'Inputs'!$B$21+'Inputs'!$B$9+'Inputs'!$B$10))^2+('Inputs'!$B$6/2)^2))))*'Results'!$B$8))),"")</x:f>
        <x:v>0.43929695479308395</x:v>
      </x:c>
      <x:c r="O915" t="n">
        <x:f>IF(AND(ISNUMBER('Results'!C7),ISNUMBER('Results'!B7),ISNUMBER('Results'!$B$8),ISNUMBER('Inputs'!$B$6),ISNUMBER('Inputs'!$B$7),ISNUMBER('Inputs'!$B$8),ISNUMBER('Inputs'!$B$9),ISNUMBER('Inputs'!$B$10),ISNUMBER('Inputs'!$B$21),ISNUMBER('Inputs'!$B$24),ISNUMBER('Inputs'!$B$28)),((('Results'!C7*(1+'Inputs'!$B$24)*(0.5*((((915-43)*MAX('Inputs'!$B$33,'Inputs'!$B$29+'Inputs'!$B$31+'Inputs'!$B$32,'Inputs'!$B$30+'Inputs'!$B$31+'Inputs'!$B$32)/1000+'Inputs'!$B$21)+'Inputs'!$B$9)/SQRT((((915-43)*MAX('Inputs'!$B$33,'Inputs'!$B$29+'Inputs'!$B$31+'Inputs'!$B$32,'Inputs'!$B$30+'Inputs'!$B$31+'Inputs'!$B$32)/1000+'Inputs'!$B$21)+'Inputs'!$B$9)^2+('Inputs'!$B$8/2)^2)-(((915-43)*MAX('Inputs'!$B$33,'Inputs'!$B$29+'Inputs'!$B$31+'Inputs'!$B$32,'Inputs'!$B$30+'Inputs'!$B$31+'Inputs'!$B$32)/1000+'Inputs'!$B$21))/SQRT((((915-43)*MAX('Inputs'!$B$33,'Inputs'!$B$29+'Inputs'!$B$31+'Inputs'!$B$32,'Inputs'!$B$30+'Inputs'!$B$31+'Inputs'!$B$32)/1000+'Inputs'!$B$21))^2+('Inputs'!$B$8/2)^2)))-'Results'!B7*(1-'Inputs'!$B$24)*(0.5*((((915-43)*MAX('Inputs'!$B$33,'Inputs'!$B$29+'Inputs'!$B$31+'Inputs'!$B$32,'Inputs'!$B$30+'Inputs'!$B$31+'Inputs'!$B$32)/1000+'Inputs'!$B$21+'Inputs'!$B$9+'Inputs'!$B$10)+'Inputs'!$B$7)/SQRT((((915-43)*MAX('Inputs'!$B$33,'Inputs'!$B$29+'Inputs'!$B$31+'Inputs'!$B$32,'Inputs'!$B$30+'Inputs'!$B$31+'Inputs'!$B$32)/1000+'Inputs'!$B$21+'Inputs'!$B$9+'Inputs'!$B$10)+'Inputs'!$B$7)^2+('Inputs'!$B$6/2)^2)-(((915-43)*MAX('Inputs'!$B$33,'Inputs'!$B$29+'Inputs'!$B$31+'Inputs'!$B$32,'Inputs'!$B$30+'Inputs'!$B$31+'Inputs'!$B$32)/1000+'Inputs'!$B$21+'Inputs'!$B$9+'Inputs'!$B$10))/SQRT((((915-43)*MAX('Inputs'!$B$33,'Inputs'!$B$29+'Inputs'!$B$31+'Inputs'!$B$32,'Inputs'!$B$30+'Inputs'!$B$31+'Inputs'!$B$32)/1000+'Inputs'!$B$21+'Inputs'!$B$9+'Inputs'!$B$10))^2+('Inputs'!$B$6/2)^2))))*'Results'!$B$8)+'Inputs'!$B$28*ABS((('Results'!C7*(1+'Inputs'!$B$24)*(0.5*((((915-43)*MAX('Inputs'!$B$33,'Inputs'!$B$29+'Inputs'!$B$31+'Inputs'!$B$32,'Inputs'!$B$30+'Inputs'!$B$31+'Inputs'!$B$32)/1000+'Inputs'!$B$21)+'Inputs'!$B$9)/SQRT((((915-43)*MAX('Inputs'!$B$33,'Inputs'!$B$29+'Inputs'!$B$31+'Inputs'!$B$32,'Inputs'!$B$30+'Inputs'!$B$31+'Inputs'!$B$32)/1000+'Inputs'!$B$21)+'Inputs'!$B$9)^2+('Inputs'!$B$8/2)^2)-(((915-43)*MAX('Inputs'!$B$33,'Inputs'!$B$29+'Inputs'!$B$31+'Inputs'!$B$32,'Inputs'!$B$30+'Inputs'!$B$31+'Inputs'!$B$32)/1000+'Inputs'!$B$21))/SQRT((((915-43)*MAX('Inputs'!$B$33,'Inputs'!$B$29+'Inputs'!$B$31+'Inputs'!$B$32,'Inputs'!$B$30+'Inputs'!$B$31+'Inputs'!$B$32)/1000+'Inputs'!$B$21))^2+('Inputs'!$B$8/2)^2)))-'Results'!B7*(1-'Inputs'!$B$24)*(0.5*((((915-43)*MAX('Inputs'!$B$33,'Inputs'!$B$29+'Inputs'!$B$31+'Inputs'!$B$32,'Inputs'!$B$30+'Inputs'!$B$31+'Inputs'!$B$32)/1000+'Inputs'!$B$21+'Inputs'!$B$9+'Inputs'!$B$10)+'Inputs'!$B$7)/SQRT((((915-43)*MAX('Inputs'!$B$33,'Inputs'!$B$29+'Inputs'!$B$31+'Inputs'!$B$32,'Inputs'!$B$30+'Inputs'!$B$31+'Inputs'!$B$32)/1000+'Inputs'!$B$21+'Inputs'!$B$9+'Inputs'!$B$10)+'Inputs'!$B$7)^2+('Inputs'!$B$6/2)^2)-(((915-43)*MAX('Inputs'!$B$33,'Inputs'!$B$29+'Inputs'!$B$31+'Inputs'!$B$32,'Inputs'!$B$30+'Inputs'!$B$31+'Inputs'!$B$32)/1000+'Inputs'!$B$21+'Inputs'!$B$9+'Inputs'!$B$10))/SQRT((((915-43)*MAX('Inputs'!$B$33,'Inputs'!$B$29+'Inputs'!$B$31+'Inputs'!$B$32,'Inputs'!$B$30+'Inputs'!$B$31+'Inputs'!$B$32)/1000+'Inputs'!$B$21+'Inputs'!$B$9+'Inputs'!$B$10))^2+('Inputs'!$B$6/2)^2))))*'Results'!$B$8))),"")</x:f>
        <x:v>0.6162610755403533</x:v>
      </x:c>
      <x:c r="P915" t="n">
        <x:f>IF(AND(MAX(J915,J914)&gt;0,J915&gt;J914+0.00000001),1,0)</x:f>
        <x:v>0</x:v>
      </x:c>
      <x:c r="Q915" t="n">
        <x:f>IF(AND(MAX(K915,K914)&gt;0,K915&gt;K914+0.00000001),1,0)</x:f>
        <x:v>0</x:v>
      </x:c>
      <x:c r="R915" t="n">
        <x:f>IF(AND(MAX(L915,L914)&gt;0,L915&gt;L914+0.00000001),1,0)</x:f>
        <x:v>0</x:v>
      </x:c>
      <x:c r="S915" t="n">
        <x:f>IF(AND(MAX(M915,M914)&gt;0,M915&gt;M914+0.00000001),1,0)</x:f>
        <x:v>0</x:v>
      </x:c>
      <x:c r="T915" t="n">
        <x:f>IF(AND(MAX(N915,N914)&gt;0,N915&gt;N914+0.00000001),1,0)</x:f>
        <x:v>0</x:v>
      </x:c>
      <x:c r="U915" t="n">
        <x:f>IF(AND(MAX(O915,O914)&gt;0,O915&gt;O914+0.00000001),1,0)</x:f>
        <x:v>0</x:v>
      </x:c>
    </x:row>
    <x:row r="916">
      <x:c r="J916" t="n">
        <x:f>IF(AND(ISNUMBER('Results'!B7),ISNUMBER('Results'!C7),ISNUMBER('Results'!$B$8),ISNUMBER('Inputs'!$B$6),ISNUMBER('Inputs'!$B$7),ISNUMBER('Inputs'!$B$8),ISNUMBER('Inputs'!$B$9),ISNUMBER('Inputs'!$B$10),ISNUMBER('Inputs'!$B$21),ISNUMBER('Inputs'!$B$24),ISNUMBER('Inputs'!$B$28)),(('Results'!B7*(0.5*((((916-43)*MAX('Inputs'!$B$33,'Inputs'!$B$29+'Inputs'!$B$31+'Inputs'!$B$32,'Inputs'!$B$30+'Inputs'!$B$31+'Inputs'!$B$32)/1000+'Inputs'!$B$21)+'Inputs'!$B$7)/SQRT((((916-43)*MAX('Inputs'!$B$33,'Inputs'!$B$29+'Inputs'!$B$31+'Inputs'!$B$32,'Inputs'!$B$30+'Inputs'!$B$31+'Inputs'!$B$32)/1000+'Inputs'!$B$21)+'Inputs'!$B$7)^2+('Inputs'!$B$6/2)^2)-(((916-43)*MAX('Inputs'!$B$33,'Inputs'!$B$29+'Inputs'!$B$31+'Inputs'!$B$32,'Inputs'!$B$30+'Inputs'!$B$31+'Inputs'!$B$32)/1000+'Inputs'!$B$21))/SQRT((((916-43)*MAX('Inputs'!$B$33,'Inputs'!$B$29+'Inputs'!$B$31+'Inputs'!$B$32,'Inputs'!$B$30+'Inputs'!$B$31+'Inputs'!$B$32)/1000+'Inputs'!$B$21))^2+('Inputs'!$B$6/2)^2)))-'Results'!C7*(0.5*((((916-43)*MAX('Inputs'!$B$33,'Inputs'!$B$29+'Inputs'!$B$31+'Inputs'!$B$32,'Inputs'!$B$30+'Inputs'!$B$31+'Inputs'!$B$32)/1000+'Inputs'!$B$21+'Inputs'!$B$7+'Inputs'!$B$10)+'Inputs'!$B$9)/SQRT((((916-43)*MAX('Inputs'!$B$33,'Inputs'!$B$29+'Inputs'!$B$31+'Inputs'!$B$32,'Inputs'!$B$30+'Inputs'!$B$31+'Inputs'!$B$32)/1000+'Inputs'!$B$21+'Inputs'!$B$7+'Inputs'!$B$10)+'Inputs'!$B$9)^2+('Inputs'!$B$8/2)^2)-(((916-43)*MAX('Inputs'!$B$33,'Inputs'!$B$29+'Inputs'!$B$31+'Inputs'!$B$32,'Inputs'!$B$30+'Inputs'!$B$31+'Inputs'!$B$32)/1000+'Inputs'!$B$21+'Inputs'!$B$7+'Inputs'!$B$10))/SQRT((((916-43)*MAX('Inputs'!$B$33,'Inputs'!$B$29+'Inputs'!$B$31+'Inputs'!$B$32,'Inputs'!$B$30+'Inputs'!$B$31+'Inputs'!$B$32)/1000+'Inputs'!$B$21+'Inputs'!$B$7+'Inputs'!$B$10))^2+('Inputs'!$B$8/2)^2))))*'Results'!$B$8),"")</x:f>
        <x:v>0.5852247652005859</x:v>
      </x:c>
      <x:c r="K916" t="n">
        <x:f>IF(AND(ISNUMBER('Results'!B7),ISNUMBER('Results'!C7),ISNUMBER('Results'!$B$8),ISNUMBER('Inputs'!$B$6),ISNUMBER('Inputs'!$B$7),ISNUMBER('Inputs'!$B$8),ISNUMBER('Inputs'!$B$9),ISNUMBER('Inputs'!$B$10),ISNUMBER('Inputs'!$B$21),ISNUMBER('Inputs'!$B$24),ISNUMBER('Inputs'!$B$28)),((('Results'!B7*(1-'Inputs'!$B$24)*(0.5*((((916-43)*MAX('Inputs'!$B$33,'Inputs'!$B$29+'Inputs'!$B$31+'Inputs'!$B$32,'Inputs'!$B$30+'Inputs'!$B$31+'Inputs'!$B$32)/1000+'Inputs'!$B$21)+'Inputs'!$B$7)/SQRT((((916-43)*MAX('Inputs'!$B$33,'Inputs'!$B$29+'Inputs'!$B$31+'Inputs'!$B$32,'Inputs'!$B$30+'Inputs'!$B$31+'Inputs'!$B$32)/1000+'Inputs'!$B$21)+'Inputs'!$B$7)^2+('Inputs'!$B$6/2)^2)-(((916-43)*MAX('Inputs'!$B$33,'Inputs'!$B$29+'Inputs'!$B$31+'Inputs'!$B$32,'Inputs'!$B$30+'Inputs'!$B$31+'Inputs'!$B$32)/1000+'Inputs'!$B$21))/SQRT((((916-43)*MAX('Inputs'!$B$33,'Inputs'!$B$29+'Inputs'!$B$31+'Inputs'!$B$32,'Inputs'!$B$30+'Inputs'!$B$31+'Inputs'!$B$32)/1000+'Inputs'!$B$21))^2+('Inputs'!$B$6/2)^2)))-'Results'!C7*(1+'Inputs'!$B$24)*(0.5*((((916-43)*MAX('Inputs'!$B$33,'Inputs'!$B$29+'Inputs'!$B$31+'Inputs'!$B$32,'Inputs'!$B$30+'Inputs'!$B$31+'Inputs'!$B$32)/1000+'Inputs'!$B$21+'Inputs'!$B$7+'Inputs'!$B$10)+'Inputs'!$B$9)/SQRT((((916-43)*MAX('Inputs'!$B$33,'Inputs'!$B$29+'Inputs'!$B$31+'Inputs'!$B$32,'Inputs'!$B$30+'Inputs'!$B$31+'Inputs'!$B$32)/1000+'Inputs'!$B$21+'Inputs'!$B$7+'Inputs'!$B$10)+'Inputs'!$B$9)^2+('Inputs'!$B$8/2)^2)-(((916-43)*MAX('Inputs'!$B$33,'Inputs'!$B$29+'Inputs'!$B$31+'Inputs'!$B$32,'Inputs'!$B$30+'Inputs'!$B$31+'Inputs'!$B$32)/1000+'Inputs'!$B$21+'Inputs'!$B$7+'Inputs'!$B$10))/SQRT((((916-43)*MAX('Inputs'!$B$33,'Inputs'!$B$29+'Inputs'!$B$31+'Inputs'!$B$32,'Inputs'!$B$30+'Inputs'!$B$31+'Inputs'!$B$32)/1000+'Inputs'!$B$21+'Inputs'!$B$7+'Inputs'!$B$10))^2+('Inputs'!$B$8/2)^2))))*'Results'!$B$8)-'Inputs'!$B$28*ABS((('Results'!B7*(1-'Inputs'!$B$24)*(0.5*((((916-43)*MAX('Inputs'!$B$33,'Inputs'!$B$29+'Inputs'!$B$31+'Inputs'!$B$32,'Inputs'!$B$30+'Inputs'!$B$31+'Inputs'!$B$32)/1000+'Inputs'!$B$21)+'Inputs'!$B$7)/SQRT((((916-43)*MAX('Inputs'!$B$33,'Inputs'!$B$29+'Inputs'!$B$31+'Inputs'!$B$32,'Inputs'!$B$30+'Inputs'!$B$31+'Inputs'!$B$32)/1000+'Inputs'!$B$21)+'Inputs'!$B$7)^2+('Inputs'!$B$6/2)^2)-(((916-43)*MAX('Inputs'!$B$33,'Inputs'!$B$29+'Inputs'!$B$31+'Inputs'!$B$32,'Inputs'!$B$30+'Inputs'!$B$31+'Inputs'!$B$32)/1000+'Inputs'!$B$21))/SQRT((((916-43)*MAX('Inputs'!$B$33,'Inputs'!$B$29+'Inputs'!$B$31+'Inputs'!$B$32,'Inputs'!$B$30+'Inputs'!$B$31+'Inputs'!$B$32)/1000+'Inputs'!$B$21))^2+('Inputs'!$B$6/2)^2)))-'Results'!C7*(1+'Inputs'!$B$24)*(0.5*((((916-43)*MAX('Inputs'!$B$33,'Inputs'!$B$29+'Inputs'!$B$31+'Inputs'!$B$32,'Inputs'!$B$30+'Inputs'!$B$31+'Inputs'!$B$32)/1000+'Inputs'!$B$21+'Inputs'!$B$7+'Inputs'!$B$10)+'Inputs'!$B$9)/SQRT((((916-43)*MAX('Inputs'!$B$33,'Inputs'!$B$29+'Inputs'!$B$31+'Inputs'!$B$32,'Inputs'!$B$30+'Inputs'!$B$31+'Inputs'!$B$32)/1000+'Inputs'!$B$21+'Inputs'!$B$7+'Inputs'!$B$10)+'Inputs'!$B$9)^2+('Inputs'!$B$8/2)^2)-(((916-43)*MAX('Inputs'!$B$33,'Inputs'!$B$29+'Inputs'!$B$31+'Inputs'!$B$32,'Inputs'!$B$30+'Inputs'!$B$31+'Inputs'!$B$32)/1000+'Inputs'!$B$21+'Inputs'!$B$7+'Inputs'!$B$10))/SQRT((((916-43)*MAX('Inputs'!$B$33,'Inputs'!$B$29+'Inputs'!$B$31+'Inputs'!$B$32,'Inputs'!$B$30+'Inputs'!$B$31+'Inputs'!$B$32)/1000+'Inputs'!$B$21+'Inputs'!$B$7+'Inputs'!$B$10))^2+('Inputs'!$B$8/2)^2))))*'Results'!$B$8))),"")</x:f>
        <x:v>0.49680249749442934</x:v>
      </x:c>
      <x:c r="L916" t="n">
        <x:f>IF(AND(ISNUMBER('Results'!B7),ISNUMBER('Results'!C7),ISNUMBER('Results'!$B$8),ISNUMBER('Inputs'!$B$6),ISNUMBER('Inputs'!$B$7),ISNUMBER('Inputs'!$B$8),ISNUMBER('Inputs'!$B$9),ISNUMBER('Inputs'!$B$10),ISNUMBER('Inputs'!$B$21),ISNUMBER('Inputs'!$B$24),ISNUMBER('Inputs'!$B$28)),((('Results'!B7*(1+'Inputs'!$B$24)*(0.5*((((916-43)*MAX('Inputs'!$B$33,'Inputs'!$B$29+'Inputs'!$B$31+'Inputs'!$B$32,'Inputs'!$B$30+'Inputs'!$B$31+'Inputs'!$B$32)/1000+'Inputs'!$B$21)+'Inputs'!$B$7)/SQRT((((916-43)*MAX('Inputs'!$B$33,'Inputs'!$B$29+'Inputs'!$B$31+'Inputs'!$B$32,'Inputs'!$B$30+'Inputs'!$B$31+'Inputs'!$B$32)/1000+'Inputs'!$B$21)+'Inputs'!$B$7)^2+('Inputs'!$B$6/2)^2)-(((916-43)*MAX('Inputs'!$B$33,'Inputs'!$B$29+'Inputs'!$B$31+'Inputs'!$B$32,'Inputs'!$B$30+'Inputs'!$B$31+'Inputs'!$B$32)/1000+'Inputs'!$B$21))/SQRT((((916-43)*MAX('Inputs'!$B$33,'Inputs'!$B$29+'Inputs'!$B$31+'Inputs'!$B$32,'Inputs'!$B$30+'Inputs'!$B$31+'Inputs'!$B$32)/1000+'Inputs'!$B$21))^2+('Inputs'!$B$6/2)^2)))-'Results'!C7*(1-'Inputs'!$B$24)*(0.5*((((916-43)*MAX('Inputs'!$B$33,'Inputs'!$B$29+'Inputs'!$B$31+'Inputs'!$B$32,'Inputs'!$B$30+'Inputs'!$B$31+'Inputs'!$B$32)/1000+'Inputs'!$B$21+'Inputs'!$B$7+'Inputs'!$B$10)+'Inputs'!$B$9)/SQRT((((916-43)*MAX('Inputs'!$B$33,'Inputs'!$B$29+'Inputs'!$B$31+'Inputs'!$B$32,'Inputs'!$B$30+'Inputs'!$B$31+'Inputs'!$B$32)/1000+'Inputs'!$B$21+'Inputs'!$B$7+'Inputs'!$B$10)+'Inputs'!$B$9)^2+('Inputs'!$B$8/2)^2)-(((916-43)*MAX('Inputs'!$B$33,'Inputs'!$B$29+'Inputs'!$B$31+'Inputs'!$B$32,'Inputs'!$B$30+'Inputs'!$B$31+'Inputs'!$B$32)/1000+'Inputs'!$B$21+'Inputs'!$B$7+'Inputs'!$B$10))/SQRT((((916-43)*MAX('Inputs'!$B$33,'Inputs'!$B$29+'Inputs'!$B$31+'Inputs'!$B$32,'Inputs'!$B$30+'Inputs'!$B$31+'Inputs'!$B$32)/1000+'Inputs'!$B$21+'Inputs'!$B$7+'Inputs'!$B$10))^2+('Inputs'!$B$8/2)^2))))*'Results'!$B$8)+'Inputs'!$B$28*ABS((('Results'!B7*(1+'Inputs'!$B$24)*(0.5*((((916-43)*MAX('Inputs'!$B$33,'Inputs'!$B$29+'Inputs'!$B$31+'Inputs'!$B$32,'Inputs'!$B$30+'Inputs'!$B$31+'Inputs'!$B$32)/1000+'Inputs'!$B$21)+'Inputs'!$B$7)/SQRT((((916-43)*MAX('Inputs'!$B$33,'Inputs'!$B$29+'Inputs'!$B$31+'Inputs'!$B$32,'Inputs'!$B$30+'Inputs'!$B$31+'Inputs'!$B$32)/1000+'Inputs'!$B$21)+'Inputs'!$B$7)^2+('Inputs'!$B$6/2)^2)-(((916-43)*MAX('Inputs'!$B$33,'Inputs'!$B$29+'Inputs'!$B$31+'Inputs'!$B$32,'Inputs'!$B$30+'Inputs'!$B$31+'Inputs'!$B$32)/1000+'Inputs'!$B$21))/SQRT((((916-43)*MAX('Inputs'!$B$33,'Inputs'!$B$29+'Inputs'!$B$31+'Inputs'!$B$32,'Inputs'!$B$30+'Inputs'!$B$31+'Inputs'!$B$32)/1000+'Inputs'!$B$21))^2+('Inputs'!$B$6/2)^2)))-'Results'!C7*(1-'Inputs'!$B$24)*(0.5*((((916-43)*MAX('Inputs'!$B$33,'Inputs'!$B$29+'Inputs'!$B$31+'Inputs'!$B$32,'Inputs'!$B$30+'Inputs'!$B$31+'Inputs'!$B$32)/1000+'Inputs'!$B$21+'Inputs'!$B$7+'Inputs'!$B$10)+'Inputs'!$B$9)/SQRT((((916-43)*MAX('Inputs'!$B$33,'Inputs'!$B$29+'Inputs'!$B$31+'Inputs'!$B$32,'Inputs'!$B$30+'Inputs'!$B$31+'Inputs'!$B$32)/1000+'Inputs'!$B$21+'Inputs'!$B$7+'Inputs'!$B$10)+'Inputs'!$B$9)^2+('Inputs'!$B$8/2)^2)-(((916-43)*MAX('Inputs'!$B$33,'Inputs'!$B$29+'Inputs'!$B$31+'Inputs'!$B$32,'Inputs'!$B$30+'Inputs'!$B$31+'Inputs'!$B$32)/1000+'Inputs'!$B$21+'Inputs'!$B$7+'Inputs'!$B$10))/SQRT((((916-43)*MAX('Inputs'!$B$33,'Inputs'!$B$29+'Inputs'!$B$31+'Inputs'!$B$32,'Inputs'!$B$30+'Inputs'!$B$31+'Inputs'!$B$32)/1000+'Inputs'!$B$21+'Inputs'!$B$7+'Inputs'!$B$10))^2+('Inputs'!$B$8/2)^2))))*'Results'!$B$8))),"")</x:f>
        <x:v>0.679874509690545</x:v>
      </x:c>
      <x:c r="M916" t="n">
        <x:f>IF(AND(ISNUMBER('Results'!C7),ISNUMBER('Results'!B7),ISNUMBER('Results'!$B$8),ISNUMBER('Inputs'!$B$6),ISNUMBER('Inputs'!$B$7),ISNUMBER('Inputs'!$B$8),ISNUMBER('Inputs'!$B$9),ISNUMBER('Inputs'!$B$10),ISNUMBER('Inputs'!$B$21),ISNUMBER('Inputs'!$B$24),ISNUMBER('Inputs'!$B$28)),(('Results'!C7*(0.5*((((916-43)*MAX('Inputs'!$B$33,'Inputs'!$B$29+'Inputs'!$B$31+'Inputs'!$B$32,'Inputs'!$B$30+'Inputs'!$B$31+'Inputs'!$B$32)/1000+'Inputs'!$B$21)+'Inputs'!$B$9)/SQRT((((916-43)*MAX('Inputs'!$B$33,'Inputs'!$B$29+'Inputs'!$B$31+'Inputs'!$B$32,'Inputs'!$B$30+'Inputs'!$B$31+'Inputs'!$B$32)/1000+'Inputs'!$B$21)+'Inputs'!$B$9)^2+('Inputs'!$B$8/2)^2)-(((916-43)*MAX('Inputs'!$B$33,'Inputs'!$B$29+'Inputs'!$B$31+'Inputs'!$B$32,'Inputs'!$B$30+'Inputs'!$B$31+'Inputs'!$B$32)/1000+'Inputs'!$B$21))/SQRT((((916-43)*MAX('Inputs'!$B$33,'Inputs'!$B$29+'Inputs'!$B$31+'Inputs'!$B$32,'Inputs'!$B$30+'Inputs'!$B$31+'Inputs'!$B$32)/1000+'Inputs'!$B$21))^2+('Inputs'!$B$8/2)^2)))-'Results'!B7*(0.5*((((916-43)*MAX('Inputs'!$B$33,'Inputs'!$B$29+'Inputs'!$B$31+'Inputs'!$B$32,'Inputs'!$B$30+'Inputs'!$B$31+'Inputs'!$B$32)/1000+'Inputs'!$B$21+'Inputs'!$B$9+'Inputs'!$B$10)+'Inputs'!$B$7)/SQRT((((916-43)*MAX('Inputs'!$B$33,'Inputs'!$B$29+'Inputs'!$B$31+'Inputs'!$B$32,'Inputs'!$B$30+'Inputs'!$B$31+'Inputs'!$B$32)/1000+'Inputs'!$B$21+'Inputs'!$B$9+'Inputs'!$B$10)+'Inputs'!$B$7)^2+('Inputs'!$B$6/2)^2)-(((916-43)*MAX('Inputs'!$B$33,'Inputs'!$B$29+'Inputs'!$B$31+'Inputs'!$B$32,'Inputs'!$B$30+'Inputs'!$B$31+'Inputs'!$B$32)/1000+'Inputs'!$B$21+'Inputs'!$B$9+'Inputs'!$B$10))/SQRT((((916-43)*MAX('Inputs'!$B$33,'Inputs'!$B$29+'Inputs'!$B$31+'Inputs'!$B$32,'Inputs'!$B$30+'Inputs'!$B$31+'Inputs'!$B$32)/1000+'Inputs'!$B$21+'Inputs'!$B$9+'Inputs'!$B$10))^2+('Inputs'!$B$6/2)^2))))*'Results'!$B$8),"")</x:f>
        <x:v>0.5224339741734348</x:v>
      </x:c>
      <x:c r="N916" t="n">
        <x:f>IF(AND(ISNUMBER('Results'!C7),ISNUMBER('Results'!B7),ISNUMBER('Results'!$B$8),ISNUMBER('Inputs'!$B$6),ISNUMBER('Inputs'!$B$7),ISNUMBER('Inputs'!$B$8),ISNUMBER('Inputs'!$B$9),ISNUMBER('Inputs'!$B$10),ISNUMBER('Inputs'!$B$21),ISNUMBER('Inputs'!$B$24),ISNUMBER('Inputs'!$B$28)),((('Results'!C7*(1-'Inputs'!$B$24)*(0.5*((((916-43)*MAX('Inputs'!$B$33,'Inputs'!$B$29+'Inputs'!$B$31+'Inputs'!$B$32,'Inputs'!$B$30+'Inputs'!$B$31+'Inputs'!$B$32)/1000+'Inputs'!$B$21)+'Inputs'!$B$9)/SQRT((((916-43)*MAX('Inputs'!$B$33,'Inputs'!$B$29+'Inputs'!$B$31+'Inputs'!$B$32,'Inputs'!$B$30+'Inputs'!$B$31+'Inputs'!$B$32)/1000+'Inputs'!$B$21)+'Inputs'!$B$9)^2+('Inputs'!$B$8/2)^2)-(((916-43)*MAX('Inputs'!$B$33,'Inputs'!$B$29+'Inputs'!$B$31+'Inputs'!$B$32,'Inputs'!$B$30+'Inputs'!$B$31+'Inputs'!$B$32)/1000+'Inputs'!$B$21))/SQRT((((916-43)*MAX('Inputs'!$B$33,'Inputs'!$B$29+'Inputs'!$B$31+'Inputs'!$B$32,'Inputs'!$B$30+'Inputs'!$B$31+'Inputs'!$B$32)/1000+'Inputs'!$B$21))^2+('Inputs'!$B$8/2)^2)))-'Results'!B7*(1+'Inputs'!$B$24)*(0.5*((((916-43)*MAX('Inputs'!$B$33,'Inputs'!$B$29+'Inputs'!$B$31+'Inputs'!$B$32,'Inputs'!$B$30+'Inputs'!$B$31+'Inputs'!$B$32)/1000+'Inputs'!$B$21+'Inputs'!$B$9+'Inputs'!$B$10)+'Inputs'!$B$7)/SQRT((((916-43)*MAX('Inputs'!$B$33,'Inputs'!$B$29+'Inputs'!$B$31+'Inputs'!$B$32,'Inputs'!$B$30+'Inputs'!$B$31+'Inputs'!$B$32)/1000+'Inputs'!$B$21+'Inputs'!$B$9+'Inputs'!$B$10)+'Inputs'!$B$7)^2+('Inputs'!$B$6/2)^2)-(((916-43)*MAX('Inputs'!$B$33,'Inputs'!$B$29+'Inputs'!$B$31+'Inputs'!$B$32,'Inputs'!$B$30+'Inputs'!$B$31+'Inputs'!$B$32)/1000+'Inputs'!$B$21+'Inputs'!$B$9+'Inputs'!$B$10))/SQRT((((916-43)*MAX('Inputs'!$B$33,'Inputs'!$B$29+'Inputs'!$B$31+'Inputs'!$B$32,'Inputs'!$B$30+'Inputs'!$B$31+'Inputs'!$B$32)/1000+'Inputs'!$B$21+'Inputs'!$B$9+'Inputs'!$B$10))^2+('Inputs'!$B$6/2)^2))))*'Results'!$B$8)-'Inputs'!$B$28*ABS((('Results'!C7*(1-'Inputs'!$B$24)*(0.5*((((916-43)*MAX('Inputs'!$B$33,'Inputs'!$B$29+'Inputs'!$B$31+'Inputs'!$B$32,'Inputs'!$B$30+'Inputs'!$B$31+'Inputs'!$B$32)/1000+'Inputs'!$B$21)+'Inputs'!$B$9)/SQRT((((916-43)*MAX('Inputs'!$B$33,'Inputs'!$B$29+'Inputs'!$B$31+'Inputs'!$B$32,'Inputs'!$B$30+'Inputs'!$B$31+'Inputs'!$B$32)/1000+'Inputs'!$B$21)+'Inputs'!$B$9)^2+('Inputs'!$B$8/2)^2)-(((916-43)*MAX('Inputs'!$B$33,'Inputs'!$B$29+'Inputs'!$B$31+'Inputs'!$B$32,'Inputs'!$B$30+'Inputs'!$B$31+'Inputs'!$B$32)/1000+'Inputs'!$B$21))/SQRT((((916-43)*MAX('Inputs'!$B$33,'Inputs'!$B$29+'Inputs'!$B$31+'Inputs'!$B$32,'Inputs'!$B$30+'Inputs'!$B$31+'Inputs'!$B$32)/1000+'Inputs'!$B$21))^2+('Inputs'!$B$8/2)^2)))-'Results'!B7*(1+'Inputs'!$B$24)*(0.5*((((916-43)*MAX('Inputs'!$B$33,'Inputs'!$B$29+'Inputs'!$B$31+'Inputs'!$B$32,'Inputs'!$B$30+'Inputs'!$B$31+'Inputs'!$B$32)/1000+'Inputs'!$B$21+'Inputs'!$B$9+'Inputs'!$B$10)+'Inputs'!$B$7)/SQRT((((916-43)*MAX('Inputs'!$B$33,'Inputs'!$B$29+'Inputs'!$B$31+'Inputs'!$B$32,'Inputs'!$B$30+'Inputs'!$B$31+'Inputs'!$B$32)/1000+'Inputs'!$B$21+'Inputs'!$B$9+'Inputs'!$B$10)+'Inputs'!$B$7)^2+('Inputs'!$B$6/2)^2)-(((916-43)*MAX('Inputs'!$B$33,'Inputs'!$B$29+'Inputs'!$B$31+'Inputs'!$B$32,'Inputs'!$B$30+'Inputs'!$B$31+'Inputs'!$B$32)/1000+'Inputs'!$B$21+'Inputs'!$B$9+'Inputs'!$B$10))/SQRT((((916-43)*MAX('Inputs'!$B$33,'Inputs'!$B$29+'Inputs'!$B$31+'Inputs'!$B$32,'Inputs'!$B$30+'Inputs'!$B$31+'Inputs'!$B$32)/1000+'Inputs'!$B$21+'Inputs'!$B$9+'Inputs'!$B$10))^2+('Inputs'!$B$6/2)^2))))*'Results'!$B$8))),"")</x:f>
        <x:v>0.43736382698881876</x:v>
      </x:c>
      <x:c r="O916" t="n">
        <x:f>IF(AND(ISNUMBER('Results'!C7),ISNUMBER('Results'!B7),ISNUMBER('Results'!$B$8),ISNUMBER('Inputs'!$B$6),ISNUMBER('Inputs'!$B$7),ISNUMBER('Inputs'!$B$8),ISNUMBER('Inputs'!$B$9),ISNUMBER('Inputs'!$B$10),ISNUMBER('Inputs'!$B$21),ISNUMBER('Inputs'!$B$24),ISNUMBER('Inputs'!$B$28)),((('Results'!C7*(1+'Inputs'!$B$24)*(0.5*((((916-43)*MAX('Inputs'!$B$33,'Inputs'!$B$29+'Inputs'!$B$31+'Inputs'!$B$32,'Inputs'!$B$30+'Inputs'!$B$31+'Inputs'!$B$32)/1000+'Inputs'!$B$21)+'Inputs'!$B$9)/SQRT((((916-43)*MAX('Inputs'!$B$33,'Inputs'!$B$29+'Inputs'!$B$31+'Inputs'!$B$32,'Inputs'!$B$30+'Inputs'!$B$31+'Inputs'!$B$32)/1000+'Inputs'!$B$21)+'Inputs'!$B$9)^2+('Inputs'!$B$8/2)^2)-(((916-43)*MAX('Inputs'!$B$33,'Inputs'!$B$29+'Inputs'!$B$31+'Inputs'!$B$32,'Inputs'!$B$30+'Inputs'!$B$31+'Inputs'!$B$32)/1000+'Inputs'!$B$21))/SQRT((((916-43)*MAX('Inputs'!$B$33,'Inputs'!$B$29+'Inputs'!$B$31+'Inputs'!$B$32,'Inputs'!$B$30+'Inputs'!$B$31+'Inputs'!$B$32)/1000+'Inputs'!$B$21))^2+('Inputs'!$B$8/2)^2)))-'Results'!B7*(1-'Inputs'!$B$24)*(0.5*((((916-43)*MAX('Inputs'!$B$33,'Inputs'!$B$29+'Inputs'!$B$31+'Inputs'!$B$32,'Inputs'!$B$30+'Inputs'!$B$31+'Inputs'!$B$32)/1000+'Inputs'!$B$21+'Inputs'!$B$9+'Inputs'!$B$10)+'Inputs'!$B$7)/SQRT((((916-43)*MAX('Inputs'!$B$33,'Inputs'!$B$29+'Inputs'!$B$31+'Inputs'!$B$32,'Inputs'!$B$30+'Inputs'!$B$31+'Inputs'!$B$32)/1000+'Inputs'!$B$21+'Inputs'!$B$9+'Inputs'!$B$10)+'Inputs'!$B$7)^2+('Inputs'!$B$6/2)^2)-(((916-43)*MAX('Inputs'!$B$33,'Inputs'!$B$29+'Inputs'!$B$31+'Inputs'!$B$32,'Inputs'!$B$30+'Inputs'!$B$31+'Inputs'!$B$32)/1000+'Inputs'!$B$21+'Inputs'!$B$9+'Inputs'!$B$10))/SQRT((((916-43)*MAX('Inputs'!$B$33,'Inputs'!$B$29+'Inputs'!$B$31+'Inputs'!$B$32,'Inputs'!$B$30+'Inputs'!$B$31+'Inputs'!$B$32)/1000+'Inputs'!$B$21+'Inputs'!$B$9+'Inputs'!$B$10))^2+('Inputs'!$B$6/2)^2))))*'Results'!$B$8)+'Inputs'!$B$28*ABS((('Results'!C7*(1+'Inputs'!$B$24)*(0.5*((((916-43)*MAX('Inputs'!$B$33,'Inputs'!$B$29+'Inputs'!$B$31+'Inputs'!$B$32,'Inputs'!$B$30+'Inputs'!$B$31+'Inputs'!$B$32)/1000+'Inputs'!$B$21)+'Inputs'!$B$9)/SQRT((((916-43)*MAX('Inputs'!$B$33,'Inputs'!$B$29+'Inputs'!$B$31+'Inputs'!$B$32,'Inputs'!$B$30+'Inputs'!$B$31+'Inputs'!$B$32)/1000+'Inputs'!$B$21)+'Inputs'!$B$9)^2+('Inputs'!$B$8/2)^2)-(((916-43)*MAX('Inputs'!$B$33,'Inputs'!$B$29+'Inputs'!$B$31+'Inputs'!$B$32,'Inputs'!$B$30+'Inputs'!$B$31+'Inputs'!$B$32)/1000+'Inputs'!$B$21))/SQRT((((916-43)*MAX('Inputs'!$B$33,'Inputs'!$B$29+'Inputs'!$B$31+'Inputs'!$B$32,'Inputs'!$B$30+'Inputs'!$B$31+'Inputs'!$B$32)/1000+'Inputs'!$B$21))^2+('Inputs'!$B$8/2)^2)))-'Results'!B7*(1-'Inputs'!$B$24)*(0.5*((((916-43)*MAX('Inputs'!$B$33,'Inputs'!$B$29+'Inputs'!$B$31+'Inputs'!$B$32,'Inputs'!$B$30+'Inputs'!$B$31+'Inputs'!$B$32)/1000+'Inputs'!$B$21+'Inputs'!$B$9+'Inputs'!$B$10)+'Inputs'!$B$7)/SQRT((((916-43)*MAX('Inputs'!$B$33,'Inputs'!$B$29+'Inputs'!$B$31+'Inputs'!$B$32,'Inputs'!$B$30+'Inputs'!$B$31+'Inputs'!$B$32)/1000+'Inputs'!$B$21+'Inputs'!$B$9+'Inputs'!$B$10)+'Inputs'!$B$7)^2+('Inputs'!$B$6/2)^2)-(((916-43)*MAX('Inputs'!$B$33,'Inputs'!$B$29+'Inputs'!$B$31+'Inputs'!$B$32,'Inputs'!$B$30+'Inputs'!$B$31+'Inputs'!$B$32)/1000+'Inputs'!$B$21+'Inputs'!$B$9+'Inputs'!$B$10))/SQRT((((916-43)*MAX('Inputs'!$B$33,'Inputs'!$B$29+'Inputs'!$B$31+'Inputs'!$B$32,'Inputs'!$B$30+'Inputs'!$B$31+'Inputs'!$B$32)/1000+'Inputs'!$B$21+'Inputs'!$B$9+'Inputs'!$B$10))^2+('Inputs'!$B$6/2)^2))))*'Results'!$B$8))),"")</x:f>
        <x:v>0.6137092211976239</x:v>
      </x:c>
      <x:c r="P916" t="n">
        <x:f>IF(AND(MAX(J916,J915)&gt;0,J916&gt;J915+0.00000001),1,0)</x:f>
        <x:v>0</x:v>
      </x:c>
      <x:c r="Q916" t="n">
        <x:f>IF(AND(MAX(K916,K915)&gt;0,K916&gt;K915+0.00000001),1,0)</x:f>
        <x:v>0</x:v>
      </x:c>
      <x:c r="R916" t="n">
        <x:f>IF(AND(MAX(L916,L915)&gt;0,L916&gt;L915+0.00000001),1,0)</x:f>
        <x:v>0</x:v>
      </x:c>
      <x:c r="S916" t="n">
        <x:f>IF(AND(MAX(M916,M915)&gt;0,M916&gt;M915+0.00000001),1,0)</x:f>
        <x:v>0</x:v>
      </x:c>
      <x:c r="T916" t="n">
        <x:f>IF(AND(MAX(N916,N915)&gt;0,N916&gt;N915+0.00000001),1,0)</x:f>
        <x:v>0</x:v>
      </x:c>
      <x:c r="U916" t="n">
        <x:f>IF(AND(MAX(O916,O915)&gt;0,O916&gt;O915+0.00000001),1,0)</x:f>
        <x:v>0</x:v>
      </x:c>
    </x:row>
    <x:row r="917">
      <x:c r="J917" t="n">
        <x:f>IF(AND(ISNUMBER('Results'!B7),ISNUMBER('Results'!C7),ISNUMBER('Results'!$B$8),ISNUMBER('Inputs'!$B$6),ISNUMBER('Inputs'!$B$7),ISNUMBER('Inputs'!$B$8),ISNUMBER('Inputs'!$B$9),ISNUMBER('Inputs'!$B$10),ISNUMBER('Inputs'!$B$21),ISNUMBER('Inputs'!$B$24),ISNUMBER('Inputs'!$B$28)),(('Results'!B7*(0.5*((((917-43)*MAX('Inputs'!$B$33,'Inputs'!$B$29+'Inputs'!$B$31+'Inputs'!$B$32,'Inputs'!$B$30+'Inputs'!$B$31+'Inputs'!$B$32)/1000+'Inputs'!$B$21)+'Inputs'!$B$7)/SQRT((((917-43)*MAX('Inputs'!$B$33,'Inputs'!$B$29+'Inputs'!$B$31+'Inputs'!$B$32,'Inputs'!$B$30+'Inputs'!$B$31+'Inputs'!$B$32)/1000+'Inputs'!$B$21)+'Inputs'!$B$7)^2+('Inputs'!$B$6/2)^2)-(((917-43)*MAX('Inputs'!$B$33,'Inputs'!$B$29+'Inputs'!$B$31+'Inputs'!$B$32,'Inputs'!$B$30+'Inputs'!$B$31+'Inputs'!$B$32)/1000+'Inputs'!$B$21))/SQRT((((917-43)*MAX('Inputs'!$B$33,'Inputs'!$B$29+'Inputs'!$B$31+'Inputs'!$B$32,'Inputs'!$B$30+'Inputs'!$B$31+'Inputs'!$B$32)/1000+'Inputs'!$B$21))^2+('Inputs'!$B$6/2)^2)))-'Results'!C7*(0.5*((((917-43)*MAX('Inputs'!$B$33,'Inputs'!$B$29+'Inputs'!$B$31+'Inputs'!$B$32,'Inputs'!$B$30+'Inputs'!$B$31+'Inputs'!$B$32)/1000+'Inputs'!$B$21+'Inputs'!$B$7+'Inputs'!$B$10)+'Inputs'!$B$9)/SQRT((((917-43)*MAX('Inputs'!$B$33,'Inputs'!$B$29+'Inputs'!$B$31+'Inputs'!$B$32,'Inputs'!$B$30+'Inputs'!$B$31+'Inputs'!$B$32)/1000+'Inputs'!$B$21+'Inputs'!$B$7+'Inputs'!$B$10)+'Inputs'!$B$9)^2+('Inputs'!$B$8/2)^2)-(((917-43)*MAX('Inputs'!$B$33,'Inputs'!$B$29+'Inputs'!$B$31+'Inputs'!$B$32,'Inputs'!$B$30+'Inputs'!$B$31+'Inputs'!$B$32)/1000+'Inputs'!$B$21+'Inputs'!$B$7+'Inputs'!$B$10))/SQRT((((917-43)*MAX('Inputs'!$B$33,'Inputs'!$B$29+'Inputs'!$B$31+'Inputs'!$B$32,'Inputs'!$B$30+'Inputs'!$B$31+'Inputs'!$B$32)/1000+'Inputs'!$B$21+'Inputs'!$B$7+'Inputs'!$B$10))^2+('Inputs'!$B$8/2)^2))))*'Results'!$B$8),"")</x:f>
        <x:v>0.5828045902685027</x:v>
      </x:c>
      <x:c r="K917" t="n">
        <x:f>IF(AND(ISNUMBER('Results'!B7),ISNUMBER('Results'!C7),ISNUMBER('Results'!$B$8),ISNUMBER('Inputs'!$B$6),ISNUMBER('Inputs'!$B$7),ISNUMBER('Inputs'!$B$8),ISNUMBER('Inputs'!$B$9),ISNUMBER('Inputs'!$B$10),ISNUMBER('Inputs'!$B$21),ISNUMBER('Inputs'!$B$24),ISNUMBER('Inputs'!$B$28)),((('Results'!B7*(1-'Inputs'!$B$24)*(0.5*((((917-43)*MAX('Inputs'!$B$33,'Inputs'!$B$29+'Inputs'!$B$31+'Inputs'!$B$32,'Inputs'!$B$30+'Inputs'!$B$31+'Inputs'!$B$32)/1000+'Inputs'!$B$21)+'Inputs'!$B$7)/SQRT((((917-43)*MAX('Inputs'!$B$33,'Inputs'!$B$29+'Inputs'!$B$31+'Inputs'!$B$32,'Inputs'!$B$30+'Inputs'!$B$31+'Inputs'!$B$32)/1000+'Inputs'!$B$21)+'Inputs'!$B$7)^2+('Inputs'!$B$6/2)^2)-(((917-43)*MAX('Inputs'!$B$33,'Inputs'!$B$29+'Inputs'!$B$31+'Inputs'!$B$32,'Inputs'!$B$30+'Inputs'!$B$31+'Inputs'!$B$32)/1000+'Inputs'!$B$21))/SQRT((((917-43)*MAX('Inputs'!$B$33,'Inputs'!$B$29+'Inputs'!$B$31+'Inputs'!$B$32,'Inputs'!$B$30+'Inputs'!$B$31+'Inputs'!$B$32)/1000+'Inputs'!$B$21))^2+('Inputs'!$B$6/2)^2)))-'Results'!C7*(1+'Inputs'!$B$24)*(0.5*((((917-43)*MAX('Inputs'!$B$33,'Inputs'!$B$29+'Inputs'!$B$31+'Inputs'!$B$32,'Inputs'!$B$30+'Inputs'!$B$31+'Inputs'!$B$32)/1000+'Inputs'!$B$21+'Inputs'!$B$7+'Inputs'!$B$10)+'Inputs'!$B$9)/SQRT((((917-43)*MAX('Inputs'!$B$33,'Inputs'!$B$29+'Inputs'!$B$31+'Inputs'!$B$32,'Inputs'!$B$30+'Inputs'!$B$31+'Inputs'!$B$32)/1000+'Inputs'!$B$21+'Inputs'!$B$7+'Inputs'!$B$10)+'Inputs'!$B$9)^2+('Inputs'!$B$8/2)^2)-(((917-43)*MAX('Inputs'!$B$33,'Inputs'!$B$29+'Inputs'!$B$31+'Inputs'!$B$32,'Inputs'!$B$30+'Inputs'!$B$31+'Inputs'!$B$32)/1000+'Inputs'!$B$21+'Inputs'!$B$7+'Inputs'!$B$10))/SQRT((((917-43)*MAX('Inputs'!$B$33,'Inputs'!$B$29+'Inputs'!$B$31+'Inputs'!$B$32,'Inputs'!$B$30+'Inputs'!$B$31+'Inputs'!$B$32)/1000+'Inputs'!$B$21+'Inputs'!$B$7+'Inputs'!$B$10))^2+('Inputs'!$B$8/2)^2))))*'Results'!$B$8)-'Inputs'!$B$28*ABS((('Results'!B7*(1-'Inputs'!$B$24)*(0.5*((((917-43)*MAX('Inputs'!$B$33,'Inputs'!$B$29+'Inputs'!$B$31+'Inputs'!$B$32,'Inputs'!$B$30+'Inputs'!$B$31+'Inputs'!$B$32)/1000+'Inputs'!$B$21)+'Inputs'!$B$7)/SQRT((((917-43)*MAX('Inputs'!$B$33,'Inputs'!$B$29+'Inputs'!$B$31+'Inputs'!$B$32,'Inputs'!$B$30+'Inputs'!$B$31+'Inputs'!$B$32)/1000+'Inputs'!$B$21)+'Inputs'!$B$7)^2+('Inputs'!$B$6/2)^2)-(((917-43)*MAX('Inputs'!$B$33,'Inputs'!$B$29+'Inputs'!$B$31+'Inputs'!$B$32,'Inputs'!$B$30+'Inputs'!$B$31+'Inputs'!$B$32)/1000+'Inputs'!$B$21))/SQRT((((917-43)*MAX('Inputs'!$B$33,'Inputs'!$B$29+'Inputs'!$B$31+'Inputs'!$B$32,'Inputs'!$B$30+'Inputs'!$B$31+'Inputs'!$B$32)/1000+'Inputs'!$B$21))^2+('Inputs'!$B$6/2)^2)))-'Results'!C7*(1+'Inputs'!$B$24)*(0.5*((((917-43)*MAX('Inputs'!$B$33,'Inputs'!$B$29+'Inputs'!$B$31+'Inputs'!$B$32,'Inputs'!$B$30+'Inputs'!$B$31+'Inputs'!$B$32)/1000+'Inputs'!$B$21+'Inputs'!$B$7+'Inputs'!$B$10)+'Inputs'!$B$9)/SQRT((((917-43)*MAX('Inputs'!$B$33,'Inputs'!$B$29+'Inputs'!$B$31+'Inputs'!$B$32,'Inputs'!$B$30+'Inputs'!$B$31+'Inputs'!$B$32)/1000+'Inputs'!$B$21+'Inputs'!$B$7+'Inputs'!$B$10)+'Inputs'!$B$9)^2+('Inputs'!$B$8/2)^2)-(((917-43)*MAX('Inputs'!$B$33,'Inputs'!$B$29+'Inputs'!$B$31+'Inputs'!$B$32,'Inputs'!$B$30+'Inputs'!$B$31+'Inputs'!$B$32)/1000+'Inputs'!$B$21+'Inputs'!$B$7+'Inputs'!$B$10))/SQRT((((917-43)*MAX('Inputs'!$B$33,'Inputs'!$B$29+'Inputs'!$B$31+'Inputs'!$B$32,'Inputs'!$B$30+'Inputs'!$B$31+'Inputs'!$B$32)/1000+'Inputs'!$B$21+'Inputs'!$B$7+'Inputs'!$B$10))^2+('Inputs'!$B$8/2)^2))))*'Results'!$B$8))),"")</x:f>
        <x:v>0.49469127230845694</x:v>
      </x:c>
      <x:c r="L917" t="n">
        <x:f>IF(AND(ISNUMBER('Results'!B7),ISNUMBER('Results'!C7),ISNUMBER('Results'!$B$8),ISNUMBER('Inputs'!$B$6),ISNUMBER('Inputs'!$B$7),ISNUMBER('Inputs'!$B$8),ISNUMBER('Inputs'!$B$9),ISNUMBER('Inputs'!$B$10),ISNUMBER('Inputs'!$B$21),ISNUMBER('Inputs'!$B$24),ISNUMBER('Inputs'!$B$28)),((('Results'!B7*(1+'Inputs'!$B$24)*(0.5*((((917-43)*MAX('Inputs'!$B$33,'Inputs'!$B$29+'Inputs'!$B$31+'Inputs'!$B$32,'Inputs'!$B$30+'Inputs'!$B$31+'Inputs'!$B$32)/1000+'Inputs'!$B$21)+'Inputs'!$B$7)/SQRT((((917-43)*MAX('Inputs'!$B$33,'Inputs'!$B$29+'Inputs'!$B$31+'Inputs'!$B$32,'Inputs'!$B$30+'Inputs'!$B$31+'Inputs'!$B$32)/1000+'Inputs'!$B$21)+'Inputs'!$B$7)^2+('Inputs'!$B$6/2)^2)-(((917-43)*MAX('Inputs'!$B$33,'Inputs'!$B$29+'Inputs'!$B$31+'Inputs'!$B$32,'Inputs'!$B$30+'Inputs'!$B$31+'Inputs'!$B$32)/1000+'Inputs'!$B$21))/SQRT((((917-43)*MAX('Inputs'!$B$33,'Inputs'!$B$29+'Inputs'!$B$31+'Inputs'!$B$32,'Inputs'!$B$30+'Inputs'!$B$31+'Inputs'!$B$32)/1000+'Inputs'!$B$21))^2+('Inputs'!$B$6/2)^2)))-'Results'!C7*(1-'Inputs'!$B$24)*(0.5*((((917-43)*MAX('Inputs'!$B$33,'Inputs'!$B$29+'Inputs'!$B$31+'Inputs'!$B$32,'Inputs'!$B$30+'Inputs'!$B$31+'Inputs'!$B$32)/1000+'Inputs'!$B$21+'Inputs'!$B$7+'Inputs'!$B$10)+'Inputs'!$B$9)/SQRT((((917-43)*MAX('Inputs'!$B$33,'Inputs'!$B$29+'Inputs'!$B$31+'Inputs'!$B$32,'Inputs'!$B$30+'Inputs'!$B$31+'Inputs'!$B$32)/1000+'Inputs'!$B$21+'Inputs'!$B$7+'Inputs'!$B$10)+'Inputs'!$B$9)^2+('Inputs'!$B$8/2)^2)-(((917-43)*MAX('Inputs'!$B$33,'Inputs'!$B$29+'Inputs'!$B$31+'Inputs'!$B$32,'Inputs'!$B$30+'Inputs'!$B$31+'Inputs'!$B$32)/1000+'Inputs'!$B$21+'Inputs'!$B$7+'Inputs'!$B$10))/SQRT((((917-43)*MAX('Inputs'!$B$33,'Inputs'!$B$29+'Inputs'!$B$31+'Inputs'!$B$32,'Inputs'!$B$30+'Inputs'!$B$31+'Inputs'!$B$32)/1000+'Inputs'!$B$21+'Inputs'!$B$7+'Inputs'!$B$10))^2+('Inputs'!$B$8/2)^2))))*'Results'!$B$8)+'Inputs'!$B$28*ABS((('Results'!B7*(1+'Inputs'!$B$24)*(0.5*((((917-43)*MAX('Inputs'!$B$33,'Inputs'!$B$29+'Inputs'!$B$31+'Inputs'!$B$32,'Inputs'!$B$30+'Inputs'!$B$31+'Inputs'!$B$32)/1000+'Inputs'!$B$21)+'Inputs'!$B$7)/SQRT((((917-43)*MAX('Inputs'!$B$33,'Inputs'!$B$29+'Inputs'!$B$31+'Inputs'!$B$32,'Inputs'!$B$30+'Inputs'!$B$31+'Inputs'!$B$32)/1000+'Inputs'!$B$21)+'Inputs'!$B$7)^2+('Inputs'!$B$6/2)^2)-(((917-43)*MAX('Inputs'!$B$33,'Inputs'!$B$29+'Inputs'!$B$31+'Inputs'!$B$32,'Inputs'!$B$30+'Inputs'!$B$31+'Inputs'!$B$32)/1000+'Inputs'!$B$21))/SQRT((((917-43)*MAX('Inputs'!$B$33,'Inputs'!$B$29+'Inputs'!$B$31+'Inputs'!$B$32,'Inputs'!$B$30+'Inputs'!$B$31+'Inputs'!$B$32)/1000+'Inputs'!$B$21))^2+('Inputs'!$B$6/2)^2)))-'Results'!C7*(1-'Inputs'!$B$24)*(0.5*((((917-43)*MAX('Inputs'!$B$33,'Inputs'!$B$29+'Inputs'!$B$31+'Inputs'!$B$32,'Inputs'!$B$30+'Inputs'!$B$31+'Inputs'!$B$32)/1000+'Inputs'!$B$21+'Inputs'!$B$7+'Inputs'!$B$10)+'Inputs'!$B$9)/SQRT((((917-43)*MAX('Inputs'!$B$33,'Inputs'!$B$29+'Inputs'!$B$31+'Inputs'!$B$32,'Inputs'!$B$30+'Inputs'!$B$31+'Inputs'!$B$32)/1000+'Inputs'!$B$21+'Inputs'!$B$7+'Inputs'!$B$10)+'Inputs'!$B$9)^2+('Inputs'!$B$8/2)^2)-(((917-43)*MAX('Inputs'!$B$33,'Inputs'!$B$29+'Inputs'!$B$31+'Inputs'!$B$32,'Inputs'!$B$30+'Inputs'!$B$31+'Inputs'!$B$32)/1000+'Inputs'!$B$21+'Inputs'!$B$7+'Inputs'!$B$10))/SQRT((((917-43)*MAX('Inputs'!$B$33,'Inputs'!$B$29+'Inputs'!$B$31+'Inputs'!$B$32,'Inputs'!$B$30+'Inputs'!$B$31+'Inputs'!$B$32)/1000+'Inputs'!$B$21+'Inputs'!$B$7+'Inputs'!$B$10))^2+('Inputs'!$B$8/2)^2))))*'Results'!$B$8))),"")</x:f>
        <x:v>0.6771256017492455</x:v>
      </x:c>
      <x:c r="M917" t="n">
        <x:f>IF(AND(ISNUMBER('Results'!C7),ISNUMBER('Results'!B7),ISNUMBER('Results'!$B$8),ISNUMBER('Inputs'!$B$6),ISNUMBER('Inputs'!$B$7),ISNUMBER('Inputs'!$B$8),ISNUMBER('Inputs'!$B$9),ISNUMBER('Inputs'!$B$10),ISNUMBER('Inputs'!$B$21),ISNUMBER('Inputs'!$B$24),ISNUMBER('Inputs'!$B$28)),(('Results'!C7*(0.5*((((917-43)*MAX('Inputs'!$B$33,'Inputs'!$B$29+'Inputs'!$B$31+'Inputs'!$B$32,'Inputs'!$B$30+'Inputs'!$B$31+'Inputs'!$B$32)/1000+'Inputs'!$B$21)+'Inputs'!$B$9)/SQRT((((917-43)*MAX('Inputs'!$B$33,'Inputs'!$B$29+'Inputs'!$B$31+'Inputs'!$B$32,'Inputs'!$B$30+'Inputs'!$B$31+'Inputs'!$B$32)/1000+'Inputs'!$B$21)+'Inputs'!$B$9)^2+('Inputs'!$B$8/2)^2)-(((917-43)*MAX('Inputs'!$B$33,'Inputs'!$B$29+'Inputs'!$B$31+'Inputs'!$B$32,'Inputs'!$B$30+'Inputs'!$B$31+'Inputs'!$B$32)/1000+'Inputs'!$B$21))/SQRT((((917-43)*MAX('Inputs'!$B$33,'Inputs'!$B$29+'Inputs'!$B$31+'Inputs'!$B$32,'Inputs'!$B$30+'Inputs'!$B$31+'Inputs'!$B$32)/1000+'Inputs'!$B$21))^2+('Inputs'!$B$8/2)^2)))-'Results'!B7*(0.5*((((917-43)*MAX('Inputs'!$B$33,'Inputs'!$B$29+'Inputs'!$B$31+'Inputs'!$B$32,'Inputs'!$B$30+'Inputs'!$B$31+'Inputs'!$B$32)/1000+'Inputs'!$B$21+'Inputs'!$B$9+'Inputs'!$B$10)+'Inputs'!$B$7)/SQRT((((917-43)*MAX('Inputs'!$B$33,'Inputs'!$B$29+'Inputs'!$B$31+'Inputs'!$B$32,'Inputs'!$B$30+'Inputs'!$B$31+'Inputs'!$B$32)/1000+'Inputs'!$B$21+'Inputs'!$B$9+'Inputs'!$B$10)+'Inputs'!$B$7)^2+('Inputs'!$B$6/2)^2)-(((917-43)*MAX('Inputs'!$B$33,'Inputs'!$B$29+'Inputs'!$B$31+'Inputs'!$B$32,'Inputs'!$B$30+'Inputs'!$B$31+'Inputs'!$B$32)/1000+'Inputs'!$B$21+'Inputs'!$B$9+'Inputs'!$B$10))/SQRT((((917-43)*MAX('Inputs'!$B$33,'Inputs'!$B$29+'Inputs'!$B$31+'Inputs'!$B$32,'Inputs'!$B$30+'Inputs'!$B$31+'Inputs'!$B$32)/1000+'Inputs'!$B$21+'Inputs'!$B$9+'Inputs'!$B$10))^2+('Inputs'!$B$6/2)^2))))*'Results'!$B$8),"")</x:f>
        <x:v>0.5202131566594766</x:v>
      </x:c>
      <x:c r="N917" t="n">
        <x:f>IF(AND(ISNUMBER('Results'!C7),ISNUMBER('Results'!B7),ISNUMBER('Results'!$B$8),ISNUMBER('Inputs'!$B$6),ISNUMBER('Inputs'!$B$7),ISNUMBER('Inputs'!$B$8),ISNUMBER('Inputs'!$B$9),ISNUMBER('Inputs'!$B$10),ISNUMBER('Inputs'!$B$21),ISNUMBER('Inputs'!$B$24),ISNUMBER('Inputs'!$B$28)),((('Results'!C7*(1-'Inputs'!$B$24)*(0.5*((((917-43)*MAX('Inputs'!$B$33,'Inputs'!$B$29+'Inputs'!$B$31+'Inputs'!$B$32,'Inputs'!$B$30+'Inputs'!$B$31+'Inputs'!$B$32)/1000+'Inputs'!$B$21)+'Inputs'!$B$9)/SQRT((((917-43)*MAX('Inputs'!$B$33,'Inputs'!$B$29+'Inputs'!$B$31+'Inputs'!$B$32,'Inputs'!$B$30+'Inputs'!$B$31+'Inputs'!$B$32)/1000+'Inputs'!$B$21)+'Inputs'!$B$9)^2+('Inputs'!$B$8/2)^2)-(((917-43)*MAX('Inputs'!$B$33,'Inputs'!$B$29+'Inputs'!$B$31+'Inputs'!$B$32,'Inputs'!$B$30+'Inputs'!$B$31+'Inputs'!$B$32)/1000+'Inputs'!$B$21))/SQRT((((917-43)*MAX('Inputs'!$B$33,'Inputs'!$B$29+'Inputs'!$B$31+'Inputs'!$B$32,'Inputs'!$B$30+'Inputs'!$B$31+'Inputs'!$B$32)/1000+'Inputs'!$B$21))^2+('Inputs'!$B$8/2)^2)))-'Results'!B7*(1+'Inputs'!$B$24)*(0.5*((((917-43)*MAX('Inputs'!$B$33,'Inputs'!$B$29+'Inputs'!$B$31+'Inputs'!$B$32,'Inputs'!$B$30+'Inputs'!$B$31+'Inputs'!$B$32)/1000+'Inputs'!$B$21+'Inputs'!$B$9+'Inputs'!$B$10)+'Inputs'!$B$7)/SQRT((((917-43)*MAX('Inputs'!$B$33,'Inputs'!$B$29+'Inputs'!$B$31+'Inputs'!$B$32,'Inputs'!$B$30+'Inputs'!$B$31+'Inputs'!$B$32)/1000+'Inputs'!$B$21+'Inputs'!$B$9+'Inputs'!$B$10)+'Inputs'!$B$7)^2+('Inputs'!$B$6/2)^2)-(((917-43)*MAX('Inputs'!$B$33,'Inputs'!$B$29+'Inputs'!$B$31+'Inputs'!$B$32,'Inputs'!$B$30+'Inputs'!$B$31+'Inputs'!$B$32)/1000+'Inputs'!$B$21+'Inputs'!$B$9+'Inputs'!$B$10))/SQRT((((917-43)*MAX('Inputs'!$B$33,'Inputs'!$B$29+'Inputs'!$B$31+'Inputs'!$B$32,'Inputs'!$B$30+'Inputs'!$B$31+'Inputs'!$B$32)/1000+'Inputs'!$B$21+'Inputs'!$B$9+'Inputs'!$B$10))^2+('Inputs'!$B$6/2)^2))))*'Results'!$B$8)-'Inputs'!$B$28*ABS((('Results'!C7*(1-'Inputs'!$B$24)*(0.5*((((917-43)*MAX('Inputs'!$B$33,'Inputs'!$B$29+'Inputs'!$B$31+'Inputs'!$B$32,'Inputs'!$B$30+'Inputs'!$B$31+'Inputs'!$B$32)/1000+'Inputs'!$B$21)+'Inputs'!$B$9)/SQRT((((917-43)*MAX('Inputs'!$B$33,'Inputs'!$B$29+'Inputs'!$B$31+'Inputs'!$B$32,'Inputs'!$B$30+'Inputs'!$B$31+'Inputs'!$B$32)/1000+'Inputs'!$B$21)+'Inputs'!$B$9)^2+('Inputs'!$B$8/2)^2)-(((917-43)*MAX('Inputs'!$B$33,'Inputs'!$B$29+'Inputs'!$B$31+'Inputs'!$B$32,'Inputs'!$B$30+'Inputs'!$B$31+'Inputs'!$B$32)/1000+'Inputs'!$B$21))/SQRT((((917-43)*MAX('Inputs'!$B$33,'Inputs'!$B$29+'Inputs'!$B$31+'Inputs'!$B$32,'Inputs'!$B$30+'Inputs'!$B$31+'Inputs'!$B$32)/1000+'Inputs'!$B$21))^2+('Inputs'!$B$8/2)^2)))-'Results'!B7*(1+'Inputs'!$B$24)*(0.5*((((917-43)*MAX('Inputs'!$B$33,'Inputs'!$B$29+'Inputs'!$B$31+'Inputs'!$B$32,'Inputs'!$B$30+'Inputs'!$B$31+'Inputs'!$B$32)/1000+'Inputs'!$B$21+'Inputs'!$B$9+'Inputs'!$B$10)+'Inputs'!$B$7)/SQRT((((917-43)*MAX('Inputs'!$B$33,'Inputs'!$B$29+'Inputs'!$B$31+'Inputs'!$B$32,'Inputs'!$B$30+'Inputs'!$B$31+'Inputs'!$B$32)/1000+'Inputs'!$B$21+'Inputs'!$B$9+'Inputs'!$B$10)+'Inputs'!$B$7)^2+('Inputs'!$B$6/2)^2)-(((917-43)*MAX('Inputs'!$B$33,'Inputs'!$B$29+'Inputs'!$B$31+'Inputs'!$B$32,'Inputs'!$B$30+'Inputs'!$B$31+'Inputs'!$B$32)/1000+'Inputs'!$B$21+'Inputs'!$B$9+'Inputs'!$B$10))/SQRT((((917-43)*MAX('Inputs'!$B$33,'Inputs'!$B$29+'Inputs'!$B$31+'Inputs'!$B$32,'Inputs'!$B$30+'Inputs'!$B$31+'Inputs'!$B$32)/1000+'Inputs'!$B$21+'Inputs'!$B$9+'Inputs'!$B$10))^2+('Inputs'!$B$6/2)^2))))*'Results'!$B$8))),"")</x:f>
        <x:v>0.43544110065454494</x:v>
      </x:c>
      <x:c r="O917" t="n">
        <x:f>IF(AND(ISNUMBER('Results'!C7),ISNUMBER('Results'!B7),ISNUMBER('Results'!$B$8),ISNUMBER('Inputs'!$B$6),ISNUMBER('Inputs'!$B$7),ISNUMBER('Inputs'!$B$8),ISNUMBER('Inputs'!$B$9),ISNUMBER('Inputs'!$B$10),ISNUMBER('Inputs'!$B$21),ISNUMBER('Inputs'!$B$24),ISNUMBER('Inputs'!$B$28)),((('Results'!C7*(1+'Inputs'!$B$24)*(0.5*((((917-43)*MAX('Inputs'!$B$33,'Inputs'!$B$29+'Inputs'!$B$31+'Inputs'!$B$32,'Inputs'!$B$30+'Inputs'!$B$31+'Inputs'!$B$32)/1000+'Inputs'!$B$21)+'Inputs'!$B$9)/SQRT((((917-43)*MAX('Inputs'!$B$33,'Inputs'!$B$29+'Inputs'!$B$31+'Inputs'!$B$32,'Inputs'!$B$30+'Inputs'!$B$31+'Inputs'!$B$32)/1000+'Inputs'!$B$21)+'Inputs'!$B$9)^2+('Inputs'!$B$8/2)^2)-(((917-43)*MAX('Inputs'!$B$33,'Inputs'!$B$29+'Inputs'!$B$31+'Inputs'!$B$32,'Inputs'!$B$30+'Inputs'!$B$31+'Inputs'!$B$32)/1000+'Inputs'!$B$21))/SQRT((((917-43)*MAX('Inputs'!$B$33,'Inputs'!$B$29+'Inputs'!$B$31+'Inputs'!$B$32,'Inputs'!$B$30+'Inputs'!$B$31+'Inputs'!$B$32)/1000+'Inputs'!$B$21))^2+('Inputs'!$B$8/2)^2)))-'Results'!B7*(1-'Inputs'!$B$24)*(0.5*((((917-43)*MAX('Inputs'!$B$33,'Inputs'!$B$29+'Inputs'!$B$31+'Inputs'!$B$32,'Inputs'!$B$30+'Inputs'!$B$31+'Inputs'!$B$32)/1000+'Inputs'!$B$21+'Inputs'!$B$9+'Inputs'!$B$10)+'Inputs'!$B$7)/SQRT((((917-43)*MAX('Inputs'!$B$33,'Inputs'!$B$29+'Inputs'!$B$31+'Inputs'!$B$32,'Inputs'!$B$30+'Inputs'!$B$31+'Inputs'!$B$32)/1000+'Inputs'!$B$21+'Inputs'!$B$9+'Inputs'!$B$10)+'Inputs'!$B$7)^2+('Inputs'!$B$6/2)^2)-(((917-43)*MAX('Inputs'!$B$33,'Inputs'!$B$29+'Inputs'!$B$31+'Inputs'!$B$32,'Inputs'!$B$30+'Inputs'!$B$31+'Inputs'!$B$32)/1000+'Inputs'!$B$21+'Inputs'!$B$9+'Inputs'!$B$10))/SQRT((((917-43)*MAX('Inputs'!$B$33,'Inputs'!$B$29+'Inputs'!$B$31+'Inputs'!$B$32,'Inputs'!$B$30+'Inputs'!$B$31+'Inputs'!$B$32)/1000+'Inputs'!$B$21+'Inputs'!$B$9+'Inputs'!$B$10))^2+('Inputs'!$B$6/2)^2))))*'Results'!$B$8)+'Inputs'!$B$28*ABS((('Results'!C7*(1+'Inputs'!$B$24)*(0.5*((((917-43)*MAX('Inputs'!$B$33,'Inputs'!$B$29+'Inputs'!$B$31+'Inputs'!$B$32,'Inputs'!$B$30+'Inputs'!$B$31+'Inputs'!$B$32)/1000+'Inputs'!$B$21)+'Inputs'!$B$9)/SQRT((((917-43)*MAX('Inputs'!$B$33,'Inputs'!$B$29+'Inputs'!$B$31+'Inputs'!$B$32,'Inputs'!$B$30+'Inputs'!$B$31+'Inputs'!$B$32)/1000+'Inputs'!$B$21)+'Inputs'!$B$9)^2+('Inputs'!$B$8/2)^2)-(((917-43)*MAX('Inputs'!$B$33,'Inputs'!$B$29+'Inputs'!$B$31+'Inputs'!$B$32,'Inputs'!$B$30+'Inputs'!$B$31+'Inputs'!$B$32)/1000+'Inputs'!$B$21))/SQRT((((917-43)*MAX('Inputs'!$B$33,'Inputs'!$B$29+'Inputs'!$B$31+'Inputs'!$B$32,'Inputs'!$B$30+'Inputs'!$B$31+'Inputs'!$B$32)/1000+'Inputs'!$B$21))^2+('Inputs'!$B$8/2)^2)))-'Results'!B7*(1-'Inputs'!$B$24)*(0.5*((((917-43)*MAX('Inputs'!$B$33,'Inputs'!$B$29+'Inputs'!$B$31+'Inputs'!$B$32,'Inputs'!$B$30+'Inputs'!$B$31+'Inputs'!$B$32)/1000+'Inputs'!$B$21+'Inputs'!$B$9+'Inputs'!$B$10)+'Inputs'!$B$7)/SQRT((((917-43)*MAX('Inputs'!$B$33,'Inputs'!$B$29+'Inputs'!$B$31+'Inputs'!$B$32,'Inputs'!$B$30+'Inputs'!$B$31+'Inputs'!$B$32)/1000+'Inputs'!$B$21+'Inputs'!$B$9+'Inputs'!$B$10)+'Inputs'!$B$7)^2+('Inputs'!$B$6/2)^2)-(((917-43)*MAX('Inputs'!$B$33,'Inputs'!$B$29+'Inputs'!$B$31+'Inputs'!$B$32,'Inputs'!$B$30+'Inputs'!$B$31+'Inputs'!$B$32)/1000+'Inputs'!$B$21+'Inputs'!$B$9+'Inputs'!$B$10))/SQRT((((917-43)*MAX('Inputs'!$B$33,'Inputs'!$B$29+'Inputs'!$B$31+'Inputs'!$B$32,'Inputs'!$B$30+'Inputs'!$B$31+'Inputs'!$B$32)/1000+'Inputs'!$B$21+'Inputs'!$B$9+'Inputs'!$B$10))^2+('Inputs'!$B$6/2)^2))))*'Results'!$B$8))),"")</x:f>
        <x:v>0.6111706229982985</x:v>
      </x:c>
      <x:c r="P917" t="n">
        <x:f>IF(AND(MAX(J917,J916)&gt;0,J917&gt;J916+0.00000001),1,0)</x:f>
        <x:v>0</x:v>
      </x:c>
      <x:c r="Q917" t="n">
        <x:f>IF(AND(MAX(K917,K916)&gt;0,K917&gt;K916+0.00000001),1,0)</x:f>
        <x:v>0</x:v>
      </x:c>
      <x:c r="R917" t="n">
        <x:f>IF(AND(MAX(L917,L916)&gt;0,L917&gt;L916+0.00000001),1,0)</x:f>
        <x:v>0</x:v>
      </x:c>
      <x:c r="S917" t="n">
        <x:f>IF(AND(MAX(M917,M916)&gt;0,M917&gt;M916+0.00000001),1,0)</x:f>
        <x:v>0</x:v>
      </x:c>
      <x:c r="T917" t="n">
        <x:f>IF(AND(MAX(N917,N916)&gt;0,N917&gt;N916+0.00000001),1,0)</x:f>
        <x:v>0</x:v>
      </x:c>
      <x:c r="U917" t="n">
        <x:f>IF(AND(MAX(O917,O916)&gt;0,O917&gt;O916+0.00000001),1,0)</x:f>
        <x:v>0</x:v>
      </x:c>
    </x:row>
    <x:row r="918">
      <x:c r="J918" t="n">
        <x:f>IF(AND(ISNUMBER('Results'!B7),ISNUMBER('Results'!C7),ISNUMBER('Results'!$B$8),ISNUMBER('Inputs'!$B$6),ISNUMBER('Inputs'!$B$7),ISNUMBER('Inputs'!$B$8),ISNUMBER('Inputs'!$B$9),ISNUMBER('Inputs'!$B$10),ISNUMBER('Inputs'!$B$21),ISNUMBER('Inputs'!$B$24),ISNUMBER('Inputs'!$B$28)),(('Results'!B7*(0.5*((((918-43)*MAX('Inputs'!$B$33,'Inputs'!$B$29+'Inputs'!$B$31+'Inputs'!$B$32,'Inputs'!$B$30+'Inputs'!$B$31+'Inputs'!$B$32)/1000+'Inputs'!$B$21)+'Inputs'!$B$7)/SQRT((((918-43)*MAX('Inputs'!$B$33,'Inputs'!$B$29+'Inputs'!$B$31+'Inputs'!$B$32,'Inputs'!$B$30+'Inputs'!$B$31+'Inputs'!$B$32)/1000+'Inputs'!$B$21)+'Inputs'!$B$7)^2+('Inputs'!$B$6/2)^2)-(((918-43)*MAX('Inputs'!$B$33,'Inputs'!$B$29+'Inputs'!$B$31+'Inputs'!$B$32,'Inputs'!$B$30+'Inputs'!$B$31+'Inputs'!$B$32)/1000+'Inputs'!$B$21))/SQRT((((918-43)*MAX('Inputs'!$B$33,'Inputs'!$B$29+'Inputs'!$B$31+'Inputs'!$B$32,'Inputs'!$B$30+'Inputs'!$B$31+'Inputs'!$B$32)/1000+'Inputs'!$B$21))^2+('Inputs'!$B$6/2)^2)))-'Results'!C7*(0.5*((((918-43)*MAX('Inputs'!$B$33,'Inputs'!$B$29+'Inputs'!$B$31+'Inputs'!$B$32,'Inputs'!$B$30+'Inputs'!$B$31+'Inputs'!$B$32)/1000+'Inputs'!$B$21+'Inputs'!$B$7+'Inputs'!$B$10)+'Inputs'!$B$9)/SQRT((((918-43)*MAX('Inputs'!$B$33,'Inputs'!$B$29+'Inputs'!$B$31+'Inputs'!$B$32,'Inputs'!$B$30+'Inputs'!$B$31+'Inputs'!$B$32)/1000+'Inputs'!$B$21+'Inputs'!$B$7+'Inputs'!$B$10)+'Inputs'!$B$9)^2+('Inputs'!$B$8/2)^2)-(((918-43)*MAX('Inputs'!$B$33,'Inputs'!$B$29+'Inputs'!$B$31+'Inputs'!$B$32,'Inputs'!$B$30+'Inputs'!$B$31+'Inputs'!$B$32)/1000+'Inputs'!$B$21+'Inputs'!$B$7+'Inputs'!$B$10))/SQRT((((918-43)*MAX('Inputs'!$B$33,'Inputs'!$B$29+'Inputs'!$B$31+'Inputs'!$B$32,'Inputs'!$B$30+'Inputs'!$B$31+'Inputs'!$B$32)/1000+'Inputs'!$B$21+'Inputs'!$B$7+'Inputs'!$B$10))^2+('Inputs'!$B$8/2)^2))))*'Results'!$B$8),"")</x:f>
        <x:v>0.5803969723513076</x:v>
      </x:c>
      <x:c r="K918" t="n">
        <x:f>IF(AND(ISNUMBER('Results'!B7),ISNUMBER('Results'!C7),ISNUMBER('Results'!$B$8),ISNUMBER('Inputs'!$B$6),ISNUMBER('Inputs'!$B$7),ISNUMBER('Inputs'!$B$8),ISNUMBER('Inputs'!$B$9),ISNUMBER('Inputs'!$B$10),ISNUMBER('Inputs'!$B$21),ISNUMBER('Inputs'!$B$24),ISNUMBER('Inputs'!$B$28)),((('Results'!B7*(1-'Inputs'!$B$24)*(0.5*((((918-43)*MAX('Inputs'!$B$33,'Inputs'!$B$29+'Inputs'!$B$31+'Inputs'!$B$32,'Inputs'!$B$30+'Inputs'!$B$31+'Inputs'!$B$32)/1000+'Inputs'!$B$21)+'Inputs'!$B$7)/SQRT((((918-43)*MAX('Inputs'!$B$33,'Inputs'!$B$29+'Inputs'!$B$31+'Inputs'!$B$32,'Inputs'!$B$30+'Inputs'!$B$31+'Inputs'!$B$32)/1000+'Inputs'!$B$21)+'Inputs'!$B$7)^2+('Inputs'!$B$6/2)^2)-(((918-43)*MAX('Inputs'!$B$33,'Inputs'!$B$29+'Inputs'!$B$31+'Inputs'!$B$32,'Inputs'!$B$30+'Inputs'!$B$31+'Inputs'!$B$32)/1000+'Inputs'!$B$21))/SQRT((((918-43)*MAX('Inputs'!$B$33,'Inputs'!$B$29+'Inputs'!$B$31+'Inputs'!$B$32,'Inputs'!$B$30+'Inputs'!$B$31+'Inputs'!$B$32)/1000+'Inputs'!$B$21))^2+('Inputs'!$B$6/2)^2)))-'Results'!C7*(1+'Inputs'!$B$24)*(0.5*((((918-43)*MAX('Inputs'!$B$33,'Inputs'!$B$29+'Inputs'!$B$31+'Inputs'!$B$32,'Inputs'!$B$30+'Inputs'!$B$31+'Inputs'!$B$32)/1000+'Inputs'!$B$21+'Inputs'!$B$7+'Inputs'!$B$10)+'Inputs'!$B$9)/SQRT((((918-43)*MAX('Inputs'!$B$33,'Inputs'!$B$29+'Inputs'!$B$31+'Inputs'!$B$32,'Inputs'!$B$30+'Inputs'!$B$31+'Inputs'!$B$32)/1000+'Inputs'!$B$21+'Inputs'!$B$7+'Inputs'!$B$10)+'Inputs'!$B$9)^2+('Inputs'!$B$8/2)^2)-(((918-43)*MAX('Inputs'!$B$33,'Inputs'!$B$29+'Inputs'!$B$31+'Inputs'!$B$32,'Inputs'!$B$30+'Inputs'!$B$31+'Inputs'!$B$32)/1000+'Inputs'!$B$21+'Inputs'!$B$7+'Inputs'!$B$10))/SQRT((((918-43)*MAX('Inputs'!$B$33,'Inputs'!$B$29+'Inputs'!$B$31+'Inputs'!$B$32,'Inputs'!$B$30+'Inputs'!$B$31+'Inputs'!$B$32)/1000+'Inputs'!$B$21+'Inputs'!$B$7+'Inputs'!$B$10))^2+('Inputs'!$B$8/2)^2))))*'Results'!$B$8)-'Inputs'!$B$28*ABS((('Results'!B7*(1-'Inputs'!$B$24)*(0.5*((((918-43)*MAX('Inputs'!$B$33,'Inputs'!$B$29+'Inputs'!$B$31+'Inputs'!$B$32,'Inputs'!$B$30+'Inputs'!$B$31+'Inputs'!$B$32)/1000+'Inputs'!$B$21)+'Inputs'!$B$7)/SQRT((((918-43)*MAX('Inputs'!$B$33,'Inputs'!$B$29+'Inputs'!$B$31+'Inputs'!$B$32,'Inputs'!$B$30+'Inputs'!$B$31+'Inputs'!$B$32)/1000+'Inputs'!$B$21)+'Inputs'!$B$7)^2+('Inputs'!$B$6/2)^2)-(((918-43)*MAX('Inputs'!$B$33,'Inputs'!$B$29+'Inputs'!$B$31+'Inputs'!$B$32,'Inputs'!$B$30+'Inputs'!$B$31+'Inputs'!$B$32)/1000+'Inputs'!$B$21))/SQRT((((918-43)*MAX('Inputs'!$B$33,'Inputs'!$B$29+'Inputs'!$B$31+'Inputs'!$B$32,'Inputs'!$B$30+'Inputs'!$B$31+'Inputs'!$B$32)/1000+'Inputs'!$B$21))^2+('Inputs'!$B$6/2)^2)))-'Results'!C7*(1+'Inputs'!$B$24)*(0.5*((((918-43)*MAX('Inputs'!$B$33,'Inputs'!$B$29+'Inputs'!$B$31+'Inputs'!$B$32,'Inputs'!$B$30+'Inputs'!$B$31+'Inputs'!$B$32)/1000+'Inputs'!$B$21+'Inputs'!$B$7+'Inputs'!$B$10)+'Inputs'!$B$9)/SQRT((((918-43)*MAX('Inputs'!$B$33,'Inputs'!$B$29+'Inputs'!$B$31+'Inputs'!$B$32,'Inputs'!$B$30+'Inputs'!$B$31+'Inputs'!$B$32)/1000+'Inputs'!$B$21+'Inputs'!$B$7+'Inputs'!$B$10)+'Inputs'!$B$9)^2+('Inputs'!$B$8/2)^2)-(((918-43)*MAX('Inputs'!$B$33,'Inputs'!$B$29+'Inputs'!$B$31+'Inputs'!$B$32,'Inputs'!$B$30+'Inputs'!$B$31+'Inputs'!$B$32)/1000+'Inputs'!$B$21+'Inputs'!$B$7+'Inputs'!$B$10))/SQRT((((918-43)*MAX('Inputs'!$B$33,'Inputs'!$B$29+'Inputs'!$B$31+'Inputs'!$B$32,'Inputs'!$B$30+'Inputs'!$B$31+'Inputs'!$B$32)/1000+'Inputs'!$B$21+'Inputs'!$B$7+'Inputs'!$B$10))^2+('Inputs'!$B$8/2)^2))))*'Results'!$B$8))),"")</x:f>
        <x:v>0.4925911797564899</x:v>
      </x:c>
      <x:c r="L918" t="n">
        <x:f>IF(AND(ISNUMBER('Results'!B7),ISNUMBER('Results'!C7),ISNUMBER('Results'!$B$8),ISNUMBER('Inputs'!$B$6),ISNUMBER('Inputs'!$B$7),ISNUMBER('Inputs'!$B$8),ISNUMBER('Inputs'!$B$9),ISNUMBER('Inputs'!$B$10),ISNUMBER('Inputs'!$B$21),ISNUMBER('Inputs'!$B$24),ISNUMBER('Inputs'!$B$28)),((('Results'!B7*(1+'Inputs'!$B$24)*(0.5*((((918-43)*MAX('Inputs'!$B$33,'Inputs'!$B$29+'Inputs'!$B$31+'Inputs'!$B$32,'Inputs'!$B$30+'Inputs'!$B$31+'Inputs'!$B$32)/1000+'Inputs'!$B$21)+'Inputs'!$B$7)/SQRT((((918-43)*MAX('Inputs'!$B$33,'Inputs'!$B$29+'Inputs'!$B$31+'Inputs'!$B$32,'Inputs'!$B$30+'Inputs'!$B$31+'Inputs'!$B$32)/1000+'Inputs'!$B$21)+'Inputs'!$B$7)^2+('Inputs'!$B$6/2)^2)-(((918-43)*MAX('Inputs'!$B$33,'Inputs'!$B$29+'Inputs'!$B$31+'Inputs'!$B$32,'Inputs'!$B$30+'Inputs'!$B$31+'Inputs'!$B$32)/1000+'Inputs'!$B$21))/SQRT((((918-43)*MAX('Inputs'!$B$33,'Inputs'!$B$29+'Inputs'!$B$31+'Inputs'!$B$32,'Inputs'!$B$30+'Inputs'!$B$31+'Inputs'!$B$32)/1000+'Inputs'!$B$21))^2+('Inputs'!$B$6/2)^2)))-'Results'!C7*(1-'Inputs'!$B$24)*(0.5*((((918-43)*MAX('Inputs'!$B$33,'Inputs'!$B$29+'Inputs'!$B$31+'Inputs'!$B$32,'Inputs'!$B$30+'Inputs'!$B$31+'Inputs'!$B$32)/1000+'Inputs'!$B$21+'Inputs'!$B$7+'Inputs'!$B$10)+'Inputs'!$B$9)/SQRT((((918-43)*MAX('Inputs'!$B$33,'Inputs'!$B$29+'Inputs'!$B$31+'Inputs'!$B$32,'Inputs'!$B$30+'Inputs'!$B$31+'Inputs'!$B$32)/1000+'Inputs'!$B$21+'Inputs'!$B$7+'Inputs'!$B$10)+'Inputs'!$B$9)^2+('Inputs'!$B$8/2)^2)-(((918-43)*MAX('Inputs'!$B$33,'Inputs'!$B$29+'Inputs'!$B$31+'Inputs'!$B$32,'Inputs'!$B$30+'Inputs'!$B$31+'Inputs'!$B$32)/1000+'Inputs'!$B$21+'Inputs'!$B$7+'Inputs'!$B$10))/SQRT((((918-43)*MAX('Inputs'!$B$33,'Inputs'!$B$29+'Inputs'!$B$31+'Inputs'!$B$32,'Inputs'!$B$30+'Inputs'!$B$31+'Inputs'!$B$32)/1000+'Inputs'!$B$21+'Inputs'!$B$7+'Inputs'!$B$10))^2+('Inputs'!$B$8/2)^2))))*'Results'!$B$8)+'Inputs'!$B$28*ABS((('Results'!B7*(1+'Inputs'!$B$24)*(0.5*((((918-43)*MAX('Inputs'!$B$33,'Inputs'!$B$29+'Inputs'!$B$31+'Inputs'!$B$32,'Inputs'!$B$30+'Inputs'!$B$31+'Inputs'!$B$32)/1000+'Inputs'!$B$21)+'Inputs'!$B$7)/SQRT((((918-43)*MAX('Inputs'!$B$33,'Inputs'!$B$29+'Inputs'!$B$31+'Inputs'!$B$32,'Inputs'!$B$30+'Inputs'!$B$31+'Inputs'!$B$32)/1000+'Inputs'!$B$21)+'Inputs'!$B$7)^2+('Inputs'!$B$6/2)^2)-(((918-43)*MAX('Inputs'!$B$33,'Inputs'!$B$29+'Inputs'!$B$31+'Inputs'!$B$32,'Inputs'!$B$30+'Inputs'!$B$31+'Inputs'!$B$32)/1000+'Inputs'!$B$21))/SQRT((((918-43)*MAX('Inputs'!$B$33,'Inputs'!$B$29+'Inputs'!$B$31+'Inputs'!$B$32,'Inputs'!$B$30+'Inputs'!$B$31+'Inputs'!$B$32)/1000+'Inputs'!$B$21))^2+('Inputs'!$B$6/2)^2)))-'Results'!C7*(1-'Inputs'!$B$24)*(0.5*((((918-43)*MAX('Inputs'!$B$33,'Inputs'!$B$29+'Inputs'!$B$31+'Inputs'!$B$32,'Inputs'!$B$30+'Inputs'!$B$31+'Inputs'!$B$32)/1000+'Inputs'!$B$21+'Inputs'!$B$7+'Inputs'!$B$10)+'Inputs'!$B$9)/SQRT((((918-43)*MAX('Inputs'!$B$33,'Inputs'!$B$29+'Inputs'!$B$31+'Inputs'!$B$32,'Inputs'!$B$30+'Inputs'!$B$31+'Inputs'!$B$32)/1000+'Inputs'!$B$21+'Inputs'!$B$7+'Inputs'!$B$10)+'Inputs'!$B$9)^2+('Inputs'!$B$8/2)^2)-(((918-43)*MAX('Inputs'!$B$33,'Inputs'!$B$29+'Inputs'!$B$31+'Inputs'!$B$32,'Inputs'!$B$30+'Inputs'!$B$31+'Inputs'!$B$32)/1000+'Inputs'!$B$21+'Inputs'!$B$7+'Inputs'!$B$10))/SQRT((((918-43)*MAX('Inputs'!$B$33,'Inputs'!$B$29+'Inputs'!$B$31+'Inputs'!$B$32,'Inputs'!$B$30+'Inputs'!$B$31+'Inputs'!$B$32)/1000+'Inputs'!$B$21+'Inputs'!$B$7+'Inputs'!$B$10))^2+('Inputs'!$B$8/2)^2))))*'Results'!$B$8))),"")</x:f>
        <x:v>0.6743907590489941</x:v>
      </x:c>
      <x:c r="M918" t="n">
        <x:f>IF(AND(ISNUMBER('Results'!C7),ISNUMBER('Results'!B7),ISNUMBER('Results'!$B$8),ISNUMBER('Inputs'!$B$6),ISNUMBER('Inputs'!$B$7),ISNUMBER('Inputs'!$B$8),ISNUMBER('Inputs'!$B$9),ISNUMBER('Inputs'!$B$10),ISNUMBER('Inputs'!$B$21),ISNUMBER('Inputs'!$B$24),ISNUMBER('Inputs'!$B$28)),(('Results'!C7*(0.5*((((918-43)*MAX('Inputs'!$B$33,'Inputs'!$B$29+'Inputs'!$B$31+'Inputs'!$B$32,'Inputs'!$B$30+'Inputs'!$B$31+'Inputs'!$B$32)/1000+'Inputs'!$B$21)+'Inputs'!$B$9)/SQRT((((918-43)*MAX('Inputs'!$B$33,'Inputs'!$B$29+'Inputs'!$B$31+'Inputs'!$B$32,'Inputs'!$B$30+'Inputs'!$B$31+'Inputs'!$B$32)/1000+'Inputs'!$B$21)+'Inputs'!$B$9)^2+('Inputs'!$B$8/2)^2)-(((918-43)*MAX('Inputs'!$B$33,'Inputs'!$B$29+'Inputs'!$B$31+'Inputs'!$B$32,'Inputs'!$B$30+'Inputs'!$B$31+'Inputs'!$B$32)/1000+'Inputs'!$B$21))/SQRT((((918-43)*MAX('Inputs'!$B$33,'Inputs'!$B$29+'Inputs'!$B$31+'Inputs'!$B$32,'Inputs'!$B$30+'Inputs'!$B$31+'Inputs'!$B$32)/1000+'Inputs'!$B$21))^2+('Inputs'!$B$8/2)^2)))-'Results'!B7*(0.5*((((918-43)*MAX('Inputs'!$B$33,'Inputs'!$B$29+'Inputs'!$B$31+'Inputs'!$B$32,'Inputs'!$B$30+'Inputs'!$B$31+'Inputs'!$B$32)/1000+'Inputs'!$B$21+'Inputs'!$B$9+'Inputs'!$B$10)+'Inputs'!$B$7)/SQRT((((918-43)*MAX('Inputs'!$B$33,'Inputs'!$B$29+'Inputs'!$B$31+'Inputs'!$B$32,'Inputs'!$B$30+'Inputs'!$B$31+'Inputs'!$B$32)/1000+'Inputs'!$B$21+'Inputs'!$B$9+'Inputs'!$B$10)+'Inputs'!$B$7)^2+('Inputs'!$B$6/2)^2)-(((918-43)*MAX('Inputs'!$B$33,'Inputs'!$B$29+'Inputs'!$B$31+'Inputs'!$B$32,'Inputs'!$B$30+'Inputs'!$B$31+'Inputs'!$B$32)/1000+'Inputs'!$B$21+'Inputs'!$B$9+'Inputs'!$B$10))/SQRT((((918-43)*MAX('Inputs'!$B$33,'Inputs'!$B$29+'Inputs'!$B$31+'Inputs'!$B$32,'Inputs'!$B$30+'Inputs'!$B$31+'Inputs'!$B$32)/1000+'Inputs'!$B$21+'Inputs'!$B$9+'Inputs'!$B$10))^2+('Inputs'!$B$6/2)^2))))*'Results'!$B$8),"")</x:f>
        <x:v>0.5180040517146449</x:v>
      </x:c>
      <x:c r="N918" t="n">
        <x:f>IF(AND(ISNUMBER('Results'!C7),ISNUMBER('Results'!B7),ISNUMBER('Results'!$B$8),ISNUMBER('Inputs'!$B$6),ISNUMBER('Inputs'!$B$7),ISNUMBER('Inputs'!$B$8),ISNUMBER('Inputs'!$B$9),ISNUMBER('Inputs'!$B$10),ISNUMBER('Inputs'!$B$21),ISNUMBER('Inputs'!$B$24),ISNUMBER('Inputs'!$B$28)),((('Results'!C7*(1-'Inputs'!$B$24)*(0.5*((((918-43)*MAX('Inputs'!$B$33,'Inputs'!$B$29+'Inputs'!$B$31+'Inputs'!$B$32,'Inputs'!$B$30+'Inputs'!$B$31+'Inputs'!$B$32)/1000+'Inputs'!$B$21)+'Inputs'!$B$9)/SQRT((((918-43)*MAX('Inputs'!$B$33,'Inputs'!$B$29+'Inputs'!$B$31+'Inputs'!$B$32,'Inputs'!$B$30+'Inputs'!$B$31+'Inputs'!$B$32)/1000+'Inputs'!$B$21)+'Inputs'!$B$9)^2+('Inputs'!$B$8/2)^2)-(((918-43)*MAX('Inputs'!$B$33,'Inputs'!$B$29+'Inputs'!$B$31+'Inputs'!$B$32,'Inputs'!$B$30+'Inputs'!$B$31+'Inputs'!$B$32)/1000+'Inputs'!$B$21))/SQRT((((918-43)*MAX('Inputs'!$B$33,'Inputs'!$B$29+'Inputs'!$B$31+'Inputs'!$B$32,'Inputs'!$B$30+'Inputs'!$B$31+'Inputs'!$B$32)/1000+'Inputs'!$B$21))^2+('Inputs'!$B$8/2)^2)))-'Results'!B7*(1+'Inputs'!$B$24)*(0.5*((((918-43)*MAX('Inputs'!$B$33,'Inputs'!$B$29+'Inputs'!$B$31+'Inputs'!$B$32,'Inputs'!$B$30+'Inputs'!$B$31+'Inputs'!$B$32)/1000+'Inputs'!$B$21+'Inputs'!$B$9+'Inputs'!$B$10)+'Inputs'!$B$7)/SQRT((((918-43)*MAX('Inputs'!$B$33,'Inputs'!$B$29+'Inputs'!$B$31+'Inputs'!$B$32,'Inputs'!$B$30+'Inputs'!$B$31+'Inputs'!$B$32)/1000+'Inputs'!$B$21+'Inputs'!$B$9+'Inputs'!$B$10)+'Inputs'!$B$7)^2+('Inputs'!$B$6/2)^2)-(((918-43)*MAX('Inputs'!$B$33,'Inputs'!$B$29+'Inputs'!$B$31+'Inputs'!$B$32,'Inputs'!$B$30+'Inputs'!$B$31+'Inputs'!$B$32)/1000+'Inputs'!$B$21+'Inputs'!$B$9+'Inputs'!$B$10))/SQRT((((918-43)*MAX('Inputs'!$B$33,'Inputs'!$B$29+'Inputs'!$B$31+'Inputs'!$B$32,'Inputs'!$B$30+'Inputs'!$B$31+'Inputs'!$B$32)/1000+'Inputs'!$B$21+'Inputs'!$B$9+'Inputs'!$B$10))^2+('Inputs'!$B$6/2)^2))))*'Results'!$B$8)-'Inputs'!$B$28*ABS((('Results'!C7*(1-'Inputs'!$B$24)*(0.5*((((918-43)*MAX('Inputs'!$B$33,'Inputs'!$B$29+'Inputs'!$B$31+'Inputs'!$B$32,'Inputs'!$B$30+'Inputs'!$B$31+'Inputs'!$B$32)/1000+'Inputs'!$B$21)+'Inputs'!$B$9)/SQRT((((918-43)*MAX('Inputs'!$B$33,'Inputs'!$B$29+'Inputs'!$B$31+'Inputs'!$B$32,'Inputs'!$B$30+'Inputs'!$B$31+'Inputs'!$B$32)/1000+'Inputs'!$B$21)+'Inputs'!$B$9)^2+('Inputs'!$B$8/2)^2)-(((918-43)*MAX('Inputs'!$B$33,'Inputs'!$B$29+'Inputs'!$B$31+'Inputs'!$B$32,'Inputs'!$B$30+'Inputs'!$B$31+'Inputs'!$B$32)/1000+'Inputs'!$B$21))/SQRT((((918-43)*MAX('Inputs'!$B$33,'Inputs'!$B$29+'Inputs'!$B$31+'Inputs'!$B$32,'Inputs'!$B$30+'Inputs'!$B$31+'Inputs'!$B$32)/1000+'Inputs'!$B$21))^2+('Inputs'!$B$8/2)^2)))-'Results'!B7*(1+'Inputs'!$B$24)*(0.5*((((918-43)*MAX('Inputs'!$B$33,'Inputs'!$B$29+'Inputs'!$B$31+'Inputs'!$B$32,'Inputs'!$B$30+'Inputs'!$B$31+'Inputs'!$B$32)/1000+'Inputs'!$B$21+'Inputs'!$B$9+'Inputs'!$B$10)+'Inputs'!$B$7)/SQRT((((918-43)*MAX('Inputs'!$B$33,'Inputs'!$B$29+'Inputs'!$B$31+'Inputs'!$B$32,'Inputs'!$B$30+'Inputs'!$B$31+'Inputs'!$B$32)/1000+'Inputs'!$B$21+'Inputs'!$B$9+'Inputs'!$B$10)+'Inputs'!$B$7)^2+('Inputs'!$B$6/2)^2)-(((918-43)*MAX('Inputs'!$B$33,'Inputs'!$B$29+'Inputs'!$B$31+'Inputs'!$B$32,'Inputs'!$B$30+'Inputs'!$B$31+'Inputs'!$B$32)/1000+'Inputs'!$B$21+'Inputs'!$B$9+'Inputs'!$B$10))/SQRT((((918-43)*MAX('Inputs'!$B$33,'Inputs'!$B$29+'Inputs'!$B$31+'Inputs'!$B$32,'Inputs'!$B$30+'Inputs'!$B$31+'Inputs'!$B$32)/1000+'Inputs'!$B$21+'Inputs'!$B$9+'Inputs'!$B$10))^2+('Inputs'!$B$6/2)^2))))*'Results'!$B$8))),"")</x:f>
        <x:v>0.43352870938860233</x:v>
      </x:c>
      <x:c r="O918" t="n">
        <x:f>IF(AND(ISNUMBER('Results'!C7),ISNUMBER('Results'!B7),ISNUMBER('Results'!$B$8),ISNUMBER('Inputs'!$B$6),ISNUMBER('Inputs'!$B$7),ISNUMBER('Inputs'!$B$8),ISNUMBER('Inputs'!$B$9),ISNUMBER('Inputs'!$B$10),ISNUMBER('Inputs'!$B$21),ISNUMBER('Inputs'!$B$24),ISNUMBER('Inputs'!$B$28)),((('Results'!C7*(1+'Inputs'!$B$24)*(0.5*((((918-43)*MAX('Inputs'!$B$33,'Inputs'!$B$29+'Inputs'!$B$31+'Inputs'!$B$32,'Inputs'!$B$30+'Inputs'!$B$31+'Inputs'!$B$32)/1000+'Inputs'!$B$21)+'Inputs'!$B$9)/SQRT((((918-43)*MAX('Inputs'!$B$33,'Inputs'!$B$29+'Inputs'!$B$31+'Inputs'!$B$32,'Inputs'!$B$30+'Inputs'!$B$31+'Inputs'!$B$32)/1000+'Inputs'!$B$21)+'Inputs'!$B$9)^2+('Inputs'!$B$8/2)^2)-(((918-43)*MAX('Inputs'!$B$33,'Inputs'!$B$29+'Inputs'!$B$31+'Inputs'!$B$32,'Inputs'!$B$30+'Inputs'!$B$31+'Inputs'!$B$32)/1000+'Inputs'!$B$21))/SQRT((((918-43)*MAX('Inputs'!$B$33,'Inputs'!$B$29+'Inputs'!$B$31+'Inputs'!$B$32,'Inputs'!$B$30+'Inputs'!$B$31+'Inputs'!$B$32)/1000+'Inputs'!$B$21))^2+('Inputs'!$B$8/2)^2)))-'Results'!B7*(1-'Inputs'!$B$24)*(0.5*((((918-43)*MAX('Inputs'!$B$33,'Inputs'!$B$29+'Inputs'!$B$31+'Inputs'!$B$32,'Inputs'!$B$30+'Inputs'!$B$31+'Inputs'!$B$32)/1000+'Inputs'!$B$21+'Inputs'!$B$9+'Inputs'!$B$10)+'Inputs'!$B$7)/SQRT((((918-43)*MAX('Inputs'!$B$33,'Inputs'!$B$29+'Inputs'!$B$31+'Inputs'!$B$32,'Inputs'!$B$30+'Inputs'!$B$31+'Inputs'!$B$32)/1000+'Inputs'!$B$21+'Inputs'!$B$9+'Inputs'!$B$10)+'Inputs'!$B$7)^2+('Inputs'!$B$6/2)^2)-(((918-43)*MAX('Inputs'!$B$33,'Inputs'!$B$29+'Inputs'!$B$31+'Inputs'!$B$32,'Inputs'!$B$30+'Inputs'!$B$31+'Inputs'!$B$32)/1000+'Inputs'!$B$21+'Inputs'!$B$9+'Inputs'!$B$10))/SQRT((((918-43)*MAX('Inputs'!$B$33,'Inputs'!$B$29+'Inputs'!$B$31+'Inputs'!$B$32,'Inputs'!$B$30+'Inputs'!$B$31+'Inputs'!$B$32)/1000+'Inputs'!$B$21+'Inputs'!$B$9+'Inputs'!$B$10))^2+('Inputs'!$B$6/2)^2))))*'Results'!$B$8)+'Inputs'!$B$28*ABS((('Results'!C7*(1+'Inputs'!$B$24)*(0.5*((((918-43)*MAX('Inputs'!$B$33,'Inputs'!$B$29+'Inputs'!$B$31+'Inputs'!$B$32,'Inputs'!$B$30+'Inputs'!$B$31+'Inputs'!$B$32)/1000+'Inputs'!$B$21)+'Inputs'!$B$9)/SQRT((((918-43)*MAX('Inputs'!$B$33,'Inputs'!$B$29+'Inputs'!$B$31+'Inputs'!$B$32,'Inputs'!$B$30+'Inputs'!$B$31+'Inputs'!$B$32)/1000+'Inputs'!$B$21)+'Inputs'!$B$9)^2+('Inputs'!$B$8/2)^2)-(((918-43)*MAX('Inputs'!$B$33,'Inputs'!$B$29+'Inputs'!$B$31+'Inputs'!$B$32,'Inputs'!$B$30+'Inputs'!$B$31+'Inputs'!$B$32)/1000+'Inputs'!$B$21))/SQRT((((918-43)*MAX('Inputs'!$B$33,'Inputs'!$B$29+'Inputs'!$B$31+'Inputs'!$B$32,'Inputs'!$B$30+'Inputs'!$B$31+'Inputs'!$B$32)/1000+'Inputs'!$B$21))^2+('Inputs'!$B$8/2)^2)))-'Results'!B7*(1-'Inputs'!$B$24)*(0.5*((((918-43)*MAX('Inputs'!$B$33,'Inputs'!$B$29+'Inputs'!$B$31+'Inputs'!$B$32,'Inputs'!$B$30+'Inputs'!$B$31+'Inputs'!$B$32)/1000+'Inputs'!$B$21+'Inputs'!$B$9+'Inputs'!$B$10)+'Inputs'!$B$7)/SQRT((((918-43)*MAX('Inputs'!$B$33,'Inputs'!$B$29+'Inputs'!$B$31+'Inputs'!$B$32,'Inputs'!$B$30+'Inputs'!$B$31+'Inputs'!$B$32)/1000+'Inputs'!$B$21+'Inputs'!$B$9+'Inputs'!$B$10)+'Inputs'!$B$7)^2+('Inputs'!$B$6/2)^2)-(((918-43)*MAX('Inputs'!$B$33,'Inputs'!$B$29+'Inputs'!$B$31+'Inputs'!$B$32,'Inputs'!$B$30+'Inputs'!$B$31+'Inputs'!$B$32)/1000+'Inputs'!$B$21+'Inputs'!$B$9+'Inputs'!$B$10))/SQRT((((918-43)*MAX('Inputs'!$B$33,'Inputs'!$B$29+'Inputs'!$B$31+'Inputs'!$B$32,'Inputs'!$B$30+'Inputs'!$B$31+'Inputs'!$B$32)/1000+'Inputs'!$B$21+'Inputs'!$B$9+'Inputs'!$B$10))^2+('Inputs'!$B$6/2)^2))))*'Results'!$B$8))),"")</x:f>
        <x:v>0.6086451982238783</x:v>
      </x:c>
      <x:c r="P918" t="n">
        <x:f>IF(AND(MAX(J918,J917)&gt;0,J918&gt;J917+0.00000001),1,0)</x:f>
        <x:v>0</x:v>
      </x:c>
      <x:c r="Q918" t="n">
        <x:f>IF(AND(MAX(K918,K917)&gt;0,K918&gt;K917+0.00000001),1,0)</x:f>
        <x:v>0</x:v>
      </x:c>
      <x:c r="R918" t="n">
        <x:f>IF(AND(MAX(L918,L917)&gt;0,L918&gt;L917+0.00000001),1,0)</x:f>
        <x:v>0</x:v>
      </x:c>
      <x:c r="S918" t="n">
        <x:f>IF(AND(MAX(M918,M917)&gt;0,M918&gt;M917+0.00000001),1,0)</x:f>
        <x:v>0</x:v>
      </x:c>
      <x:c r="T918" t="n">
        <x:f>IF(AND(MAX(N918,N917)&gt;0,N918&gt;N917+0.00000001),1,0)</x:f>
        <x:v>0</x:v>
      </x:c>
      <x:c r="U918" t="n">
        <x:f>IF(AND(MAX(O918,O917)&gt;0,O918&gt;O917+0.00000001),1,0)</x:f>
        <x:v>0</x:v>
      </x:c>
    </x:row>
    <x:row r="919">
      <x:c r="J919" t="n">
        <x:f>IF(AND(ISNUMBER('Results'!B7),ISNUMBER('Results'!C7),ISNUMBER('Results'!$B$8),ISNUMBER('Inputs'!$B$6),ISNUMBER('Inputs'!$B$7),ISNUMBER('Inputs'!$B$8),ISNUMBER('Inputs'!$B$9),ISNUMBER('Inputs'!$B$10),ISNUMBER('Inputs'!$B$21),ISNUMBER('Inputs'!$B$24),ISNUMBER('Inputs'!$B$28)),(('Results'!B7*(0.5*((((919-43)*MAX('Inputs'!$B$33,'Inputs'!$B$29+'Inputs'!$B$31+'Inputs'!$B$32,'Inputs'!$B$30+'Inputs'!$B$31+'Inputs'!$B$32)/1000+'Inputs'!$B$21)+'Inputs'!$B$7)/SQRT((((919-43)*MAX('Inputs'!$B$33,'Inputs'!$B$29+'Inputs'!$B$31+'Inputs'!$B$32,'Inputs'!$B$30+'Inputs'!$B$31+'Inputs'!$B$32)/1000+'Inputs'!$B$21)+'Inputs'!$B$7)^2+('Inputs'!$B$6/2)^2)-(((919-43)*MAX('Inputs'!$B$33,'Inputs'!$B$29+'Inputs'!$B$31+'Inputs'!$B$32,'Inputs'!$B$30+'Inputs'!$B$31+'Inputs'!$B$32)/1000+'Inputs'!$B$21))/SQRT((((919-43)*MAX('Inputs'!$B$33,'Inputs'!$B$29+'Inputs'!$B$31+'Inputs'!$B$32,'Inputs'!$B$30+'Inputs'!$B$31+'Inputs'!$B$32)/1000+'Inputs'!$B$21))^2+('Inputs'!$B$6/2)^2)))-'Results'!C7*(0.5*((((919-43)*MAX('Inputs'!$B$33,'Inputs'!$B$29+'Inputs'!$B$31+'Inputs'!$B$32,'Inputs'!$B$30+'Inputs'!$B$31+'Inputs'!$B$32)/1000+'Inputs'!$B$21+'Inputs'!$B$7+'Inputs'!$B$10)+'Inputs'!$B$9)/SQRT((((919-43)*MAX('Inputs'!$B$33,'Inputs'!$B$29+'Inputs'!$B$31+'Inputs'!$B$32,'Inputs'!$B$30+'Inputs'!$B$31+'Inputs'!$B$32)/1000+'Inputs'!$B$21+'Inputs'!$B$7+'Inputs'!$B$10)+'Inputs'!$B$9)^2+('Inputs'!$B$8/2)^2)-(((919-43)*MAX('Inputs'!$B$33,'Inputs'!$B$29+'Inputs'!$B$31+'Inputs'!$B$32,'Inputs'!$B$30+'Inputs'!$B$31+'Inputs'!$B$32)/1000+'Inputs'!$B$21+'Inputs'!$B$7+'Inputs'!$B$10))/SQRT((((919-43)*MAX('Inputs'!$B$33,'Inputs'!$B$29+'Inputs'!$B$31+'Inputs'!$B$32,'Inputs'!$B$30+'Inputs'!$B$31+'Inputs'!$B$32)/1000+'Inputs'!$B$21+'Inputs'!$B$7+'Inputs'!$B$10))^2+('Inputs'!$B$8/2)^2))))*'Results'!$B$8),"")</x:f>
        <x:v>0.5780018331843835</x:v>
      </x:c>
      <x:c r="K919" t="n">
        <x:f>IF(AND(ISNUMBER('Results'!B7),ISNUMBER('Results'!C7),ISNUMBER('Results'!$B$8),ISNUMBER('Inputs'!$B$6),ISNUMBER('Inputs'!$B$7),ISNUMBER('Inputs'!$B$8),ISNUMBER('Inputs'!$B$9),ISNUMBER('Inputs'!$B$10),ISNUMBER('Inputs'!$B$21),ISNUMBER('Inputs'!$B$24),ISNUMBER('Inputs'!$B$28)),((('Results'!B7*(1-'Inputs'!$B$24)*(0.5*((((919-43)*MAX('Inputs'!$B$33,'Inputs'!$B$29+'Inputs'!$B$31+'Inputs'!$B$32,'Inputs'!$B$30+'Inputs'!$B$31+'Inputs'!$B$32)/1000+'Inputs'!$B$21)+'Inputs'!$B$7)/SQRT((((919-43)*MAX('Inputs'!$B$33,'Inputs'!$B$29+'Inputs'!$B$31+'Inputs'!$B$32,'Inputs'!$B$30+'Inputs'!$B$31+'Inputs'!$B$32)/1000+'Inputs'!$B$21)+'Inputs'!$B$7)^2+('Inputs'!$B$6/2)^2)-(((919-43)*MAX('Inputs'!$B$33,'Inputs'!$B$29+'Inputs'!$B$31+'Inputs'!$B$32,'Inputs'!$B$30+'Inputs'!$B$31+'Inputs'!$B$32)/1000+'Inputs'!$B$21))/SQRT((((919-43)*MAX('Inputs'!$B$33,'Inputs'!$B$29+'Inputs'!$B$31+'Inputs'!$B$32,'Inputs'!$B$30+'Inputs'!$B$31+'Inputs'!$B$32)/1000+'Inputs'!$B$21))^2+('Inputs'!$B$6/2)^2)))-'Results'!C7*(1+'Inputs'!$B$24)*(0.5*((((919-43)*MAX('Inputs'!$B$33,'Inputs'!$B$29+'Inputs'!$B$31+'Inputs'!$B$32,'Inputs'!$B$30+'Inputs'!$B$31+'Inputs'!$B$32)/1000+'Inputs'!$B$21+'Inputs'!$B$7+'Inputs'!$B$10)+'Inputs'!$B$9)/SQRT((((919-43)*MAX('Inputs'!$B$33,'Inputs'!$B$29+'Inputs'!$B$31+'Inputs'!$B$32,'Inputs'!$B$30+'Inputs'!$B$31+'Inputs'!$B$32)/1000+'Inputs'!$B$21+'Inputs'!$B$7+'Inputs'!$B$10)+'Inputs'!$B$9)^2+('Inputs'!$B$8/2)^2)-(((919-43)*MAX('Inputs'!$B$33,'Inputs'!$B$29+'Inputs'!$B$31+'Inputs'!$B$32,'Inputs'!$B$30+'Inputs'!$B$31+'Inputs'!$B$32)/1000+'Inputs'!$B$21+'Inputs'!$B$7+'Inputs'!$B$10))/SQRT((((919-43)*MAX('Inputs'!$B$33,'Inputs'!$B$29+'Inputs'!$B$31+'Inputs'!$B$32,'Inputs'!$B$30+'Inputs'!$B$31+'Inputs'!$B$32)/1000+'Inputs'!$B$21+'Inputs'!$B$7+'Inputs'!$B$10))^2+('Inputs'!$B$8/2)^2))))*'Results'!$B$8)-'Inputs'!$B$28*ABS((('Results'!B7*(1-'Inputs'!$B$24)*(0.5*((((919-43)*MAX('Inputs'!$B$33,'Inputs'!$B$29+'Inputs'!$B$31+'Inputs'!$B$32,'Inputs'!$B$30+'Inputs'!$B$31+'Inputs'!$B$32)/1000+'Inputs'!$B$21)+'Inputs'!$B$7)/SQRT((((919-43)*MAX('Inputs'!$B$33,'Inputs'!$B$29+'Inputs'!$B$31+'Inputs'!$B$32,'Inputs'!$B$30+'Inputs'!$B$31+'Inputs'!$B$32)/1000+'Inputs'!$B$21)+'Inputs'!$B$7)^2+('Inputs'!$B$6/2)^2)-(((919-43)*MAX('Inputs'!$B$33,'Inputs'!$B$29+'Inputs'!$B$31+'Inputs'!$B$32,'Inputs'!$B$30+'Inputs'!$B$31+'Inputs'!$B$32)/1000+'Inputs'!$B$21))/SQRT((((919-43)*MAX('Inputs'!$B$33,'Inputs'!$B$29+'Inputs'!$B$31+'Inputs'!$B$32,'Inputs'!$B$30+'Inputs'!$B$31+'Inputs'!$B$32)/1000+'Inputs'!$B$21))^2+('Inputs'!$B$6/2)^2)))-'Results'!C7*(1+'Inputs'!$B$24)*(0.5*((((919-43)*MAX('Inputs'!$B$33,'Inputs'!$B$29+'Inputs'!$B$31+'Inputs'!$B$32,'Inputs'!$B$30+'Inputs'!$B$31+'Inputs'!$B$32)/1000+'Inputs'!$B$21+'Inputs'!$B$7+'Inputs'!$B$10)+'Inputs'!$B$9)/SQRT((((919-43)*MAX('Inputs'!$B$33,'Inputs'!$B$29+'Inputs'!$B$31+'Inputs'!$B$32,'Inputs'!$B$30+'Inputs'!$B$31+'Inputs'!$B$32)/1000+'Inputs'!$B$21+'Inputs'!$B$7+'Inputs'!$B$10)+'Inputs'!$B$9)^2+('Inputs'!$B$8/2)^2)-(((919-43)*MAX('Inputs'!$B$33,'Inputs'!$B$29+'Inputs'!$B$31+'Inputs'!$B$32,'Inputs'!$B$30+'Inputs'!$B$31+'Inputs'!$B$32)/1000+'Inputs'!$B$21+'Inputs'!$B$7+'Inputs'!$B$10))/SQRT((((919-43)*MAX('Inputs'!$B$33,'Inputs'!$B$29+'Inputs'!$B$31+'Inputs'!$B$32,'Inputs'!$B$30+'Inputs'!$B$31+'Inputs'!$B$32)/1000+'Inputs'!$B$21+'Inputs'!$B$7+'Inputs'!$B$10))^2+('Inputs'!$B$8/2)^2))))*'Results'!$B$8))),"")</x:f>
        <x:v>0.4905021497087025</x:v>
      </x:c>
      <x:c r="L919" t="n">
        <x:f>IF(AND(ISNUMBER('Results'!B7),ISNUMBER('Results'!C7),ISNUMBER('Results'!$B$8),ISNUMBER('Inputs'!$B$6),ISNUMBER('Inputs'!$B$7),ISNUMBER('Inputs'!$B$8),ISNUMBER('Inputs'!$B$9),ISNUMBER('Inputs'!$B$10),ISNUMBER('Inputs'!$B$21),ISNUMBER('Inputs'!$B$24),ISNUMBER('Inputs'!$B$28)),((('Results'!B7*(1+'Inputs'!$B$24)*(0.5*((((919-43)*MAX('Inputs'!$B$33,'Inputs'!$B$29+'Inputs'!$B$31+'Inputs'!$B$32,'Inputs'!$B$30+'Inputs'!$B$31+'Inputs'!$B$32)/1000+'Inputs'!$B$21)+'Inputs'!$B$7)/SQRT((((919-43)*MAX('Inputs'!$B$33,'Inputs'!$B$29+'Inputs'!$B$31+'Inputs'!$B$32,'Inputs'!$B$30+'Inputs'!$B$31+'Inputs'!$B$32)/1000+'Inputs'!$B$21)+'Inputs'!$B$7)^2+('Inputs'!$B$6/2)^2)-(((919-43)*MAX('Inputs'!$B$33,'Inputs'!$B$29+'Inputs'!$B$31+'Inputs'!$B$32,'Inputs'!$B$30+'Inputs'!$B$31+'Inputs'!$B$32)/1000+'Inputs'!$B$21))/SQRT((((919-43)*MAX('Inputs'!$B$33,'Inputs'!$B$29+'Inputs'!$B$31+'Inputs'!$B$32,'Inputs'!$B$30+'Inputs'!$B$31+'Inputs'!$B$32)/1000+'Inputs'!$B$21))^2+('Inputs'!$B$6/2)^2)))-'Results'!C7*(1-'Inputs'!$B$24)*(0.5*((((919-43)*MAX('Inputs'!$B$33,'Inputs'!$B$29+'Inputs'!$B$31+'Inputs'!$B$32,'Inputs'!$B$30+'Inputs'!$B$31+'Inputs'!$B$32)/1000+'Inputs'!$B$21+'Inputs'!$B$7+'Inputs'!$B$10)+'Inputs'!$B$9)/SQRT((((919-43)*MAX('Inputs'!$B$33,'Inputs'!$B$29+'Inputs'!$B$31+'Inputs'!$B$32,'Inputs'!$B$30+'Inputs'!$B$31+'Inputs'!$B$32)/1000+'Inputs'!$B$21+'Inputs'!$B$7+'Inputs'!$B$10)+'Inputs'!$B$9)^2+('Inputs'!$B$8/2)^2)-(((919-43)*MAX('Inputs'!$B$33,'Inputs'!$B$29+'Inputs'!$B$31+'Inputs'!$B$32,'Inputs'!$B$30+'Inputs'!$B$31+'Inputs'!$B$32)/1000+'Inputs'!$B$21+'Inputs'!$B$7+'Inputs'!$B$10))/SQRT((((919-43)*MAX('Inputs'!$B$33,'Inputs'!$B$29+'Inputs'!$B$31+'Inputs'!$B$32,'Inputs'!$B$30+'Inputs'!$B$31+'Inputs'!$B$32)/1000+'Inputs'!$B$21+'Inputs'!$B$7+'Inputs'!$B$10))^2+('Inputs'!$B$8/2)^2))))*'Results'!$B$8)+'Inputs'!$B$28*ABS((('Results'!B7*(1+'Inputs'!$B$24)*(0.5*((((919-43)*MAX('Inputs'!$B$33,'Inputs'!$B$29+'Inputs'!$B$31+'Inputs'!$B$32,'Inputs'!$B$30+'Inputs'!$B$31+'Inputs'!$B$32)/1000+'Inputs'!$B$21)+'Inputs'!$B$7)/SQRT((((919-43)*MAX('Inputs'!$B$33,'Inputs'!$B$29+'Inputs'!$B$31+'Inputs'!$B$32,'Inputs'!$B$30+'Inputs'!$B$31+'Inputs'!$B$32)/1000+'Inputs'!$B$21)+'Inputs'!$B$7)^2+('Inputs'!$B$6/2)^2)-(((919-43)*MAX('Inputs'!$B$33,'Inputs'!$B$29+'Inputs'!$B$31+'Inputs'!$B$32,'Inputs'!$B$30+'Inputs'!$B$31+'Inputs'!$B$32)/1000+'Inputs'!$B$21))/SQRT((((919-43)*MAX('Inputs'!$B$33,'Inputs'!$B$29+'Inputs'!$B$31+'Inputs'!$B$32,'Inputs'!$B$30+'Inputs'!$B$31+'Inputs'!$B$32)/1000+'Inputs'!$B$21))^2+('Inputs'!$B$6/2)^2)))-'Results'!C7*(1-'Inputs'!$B$24)*(0.5*((((919-43)*MAX('Inputs'!$B$33,'Inputs'!$B$29+'Inputs'!$B$31+'Inputs'!$B$32,'Inputs'!$B$30+'Inputs'!$B$31+'Inputs'!$B$32)/1000+'Inputs'!$B$21+'Inputs'!$B$7+'Inputs'!$B$10)+'Inputs'!$B$9)/SQRT((((919-43)*MAX('Inputs'!$B$33,'Inputs'!$B$29+'Inputs'!$B$31+'Inputs'!$B$32,'Inputs'!$B$30+'Inputs'!$B$31+'Inputs'!$B$32)/1000+'Inputs'!$B$21+'Inputs'!$B$7+'Inputs'!$B$10)+'Inputs'!$B$9)^2+('Inputs'!$B$8/2)^2)-(((919-43)*MAX('Inputs'!$B$33,'Inputs'!$B$29+'Inputs'!$B$31+'Inputs'!$B$32,'Inputs'!$B$30+'Inputs'!$B$31+'Inputs'!$B$32)/1000+'Inputs'!$B$21+'Inputs'!$B$7+'Inputs'!$B$10))/SQRT((((919-43)*MAX('Inputs'!$B$33,'Inputs'!$B$29+'Inputs'!$B$31+'Inputs'!$B$32,'Inputs'!$B$30+'Inputs'!$B$31+'Inputs'!$B$32)/1000+'Inputs'!$B$21+'Inputs'!$B$7+'Inputs'!$B$10))^2+('Inputs'!$B$8/2)^2))))*'Results'!$B$8))),"")</x:f>
        <x:v>0.671669894746008</x:v>
      </x:c>
      <x:c r="M919" t="n">
        <x:f>IF(AND(ISNUMBER('Results'!C7),ISNUMBER('Results'!B7),ISNUMBER('Results'!$B$8),ISNUMBER('Inputs'!$B$6),ISNUMBER('Inputs'!$B$7),ISNUMBER('Inputs'!$B$8),ISNUMBER('Inputs'!$B$9),ISNUMBER('Inputs'!$B$10),ISNUMBER('Inputs'!$B$21),ISNUMBER('Inputs'!$B$24),ISNUMBER('Inputs'!$B$28)),(('Results'!C7*(0.5*((((919-43)*MAX('Inputs'!$B$33,'Inputs'!$B$29+'Inputs'!$B$31+'Inputs'!$B$32,'Inputs'!$B$30+'Inputs'!$B$31+'Inputs'!$B$32)/1000+'Inputs'!$B$21)+'Inputs'!$B$9)/SQRT((((919-43)*MAX('Inputs'!$B$33,'Inputs'!$B$29+'Inputs'!$B$31+'Inputs'!$B$32,'Inputs'!$B$30+'Inputs'!$B$31+'Inputs'!$B$32)/1000+'Inputs'!$B$21)+'Inputs'!$B$9)^2+('Inputs'!$B$8/2)^2)-(((919-43)*MAX('Inputs'!$B$33,'Inputs'!$B$29+'Inputs'!$B$31+'Inputs'!$B$32,'Inputs'!$B$30+'Inputs'!$B$31+'Inputs'!$B$32)/1000+'Inputs'!$B$21))/SQRT((((919-43)*MAX('Inputs'!$B$33,'Inputs'!$B$29+'Inputs'!$B$31+'Inputs'!$B$32,'Inputs'!$B$30+'Inputs'!$B$31+'Inputs'!$B$32)/1000+'Inputs'!$B$21))^2+('Inputs'!$B$8/2)^2)))-'Results'!B7*(0.5*((((919-43)*MAX('Inputs'!$B$33,'Inputs'!$B$29+'Inputs'!$B$31+'Inputs'!$B$32,'Inputs'!$B$30+'Inputs'!$B$31+'Inputs'!$B$32)/1000+'Inputs'!$B$21+'Inputs'!$B$9+'Inputs'!$B$10)+'Inputs'!$B$7)/SQRT((((919-43)*MAX('Inputs'!$B$33,'Inputs'!$B$29+'Inputs'!$B$31+'Inputs'!$B$32,'Inputs'!$B$30+'Inputs'!$B$31+'Inputs'!$B$32)/1000+'Inputs'!$B$21+'Inputs'!$B$9+'Inputs'!$B$10)+'Inputs'!$B$7)^2+('Inputs'!$B$6/2)^2)-(((919-43)*MAX('Inputs'!$B$33,'Inputs'!$B$29+'Inputs'!$B$31+'Inputs'!$B$32,'Inputs'!$B$30+'Inputs'!$B$31+'Inputs'!$B$32)/1000+'Inputs'!$B$21+'Inputs'!$B$9+'Inputs'!$B$10))/SQRT((((919-43)*MAX('Inputs'!$B$33,'Inputs'!$B$29+'Inputs'!$B$31+'Inputs'!$B$32,'Inputs'!$B$30+'Inputs'!$B$31+'Inputs'!$B$32)/1000+'Inputs'!$B$21+'Inputs'!$B$9+'Inputs'!$B$10))^2+('Inputs'!$B$6/2)^2))))*'Results'!$B$8),"")</x:f>
        <x:v>0.5158065855474425</x:v>
      </x:c>
      <x:c r="N919" t="n">
        <x:f>IF(AND(ISNUMBER('Results'!C7),ISNUMBER('Results'!B7),ISNUMBER('Results'!$B$8),ISNUMBER('Inputs'!$B$6),ISNUMBER('Inputs'!$B$7),ISNUMBER('Inputs'!$B$8),ISNUMBER('Inputs'!$B$9),ISNUMBER('Inputs'!$B$10),ISNUMBER('Inputs'!$B$21),ISNUMBER('Inputs'!$B$24),ISNUMBER('Inputs'!$B$28)),((('Results'!C7*(1-'Inputs'!$B$24)*(0.5*((((919-43)*MAX('Inputs'!$B$33,'Inputs'!$B$29+'Inputs'!$B$31+'Inputs'!$B$32,'Inputs'!$B$30+'Inputs'!$B$31+'Inputs'!$B$32)/1000+'Inputs'!$B$21)+'Inputs'!$B$9)/SQRT((((919-43)*MAX('Inputs'!$B$33,'Inputs'!$B$29+'Inputs'!$B$31+'Inputs'!$B$32,'Inputs'!$B$30+'Inputs'!$B$31+'Inputs'!$B$32)/1000+'Inputs'!$B$21)+'Inputs'!$B$9)^2+('Inputs'!$B$8/2)^2)-(((919-43)*MAX('Inputs'!$B$33,'Inputs'!$B$29+'Inputs'!$B$31+'Inputs'!$B$32,'Inputs'!$B$30+'Inputs'!$B$31+'Inputs'!$B$32)/1000+'Inputs'!$B$21))/SQRT((((919-43)*MAX('Inputs'!$B$33,'Inputs'!$B$29+'Inputs'!$B$31+'Inputs'!$B$32,'Inputs'!$B$30+'Inputs'!$B$31+'Inputs'!$B$32)/1000+'Inputs'!$B$21))^2+('Inputs'!$B$8/2)^2)))-'Results'!B7*(1+'Inputs'!$B$24)*(0.5*((((919-43)*MAX('Inputs'!$B$33,'Inputs'!$B$29+'Inputs'!$B$31+'Inputs'!$B$32,'Inputs'!$B$30+'Inputs'!$B$31+'Inputs'!$B$32)/1000+'Inputs'!$B$21+'Inputs'!$B$9+'Inputs'!$B$10)+'Inputs'!$B$7)/SQRT((((919-43)*MAX('Inputs'!$B$33,'Inputs'!$B$29+'Inputs'!$B$31+'Inputs'!$B$32,'Inputs'!$B$30+'Inputs'!$B$31+'Inputs'!$B$32)/1000+'Inputs'!$B$21+'Inputs'!$B$9+'Inputs'!$B$10)+'Inputs'!$B$7)^2+('Inputs'!$B$6/2)^2)-(((919-43)*MAX('Inputs'!$B$33,'Inputs'!$B$29+'Inputs'!$B$31+'Inputs'!$B$32,'Inputs'!$B$30+'Inputs'!$B$31+'Inputs'!$B$32)/1000+'Inputs'!$B$21+'Inputs'!$B$9+'Inputs'!$B$10))/SQRT((((919-43)*MAX('Inputs'!$B$33,'Inputs'!$B$29+'Inputs'!$B$31+'Inputs'!$B$32,'Inputs'!$B$30+'Inputs'!$B$31+'Inputs'!$B$32)/1000+'Inputs'!$B$21+'Inputs'!$B$9+'Inputs'!$B$10))^2+('Inputs'!$B$6/2)^2))))*'Results'!$B$8)-'Inputs'!$B$28*ABS((('Results'!C7*(1-'Inputs'!$B$24)*(0.5*((((919-43)*MAX('Inputs'!$B$33,'Inputs'!$B$29+'Inputs'!$B$31+'Inputs'!$B$32,'Inputs'!$B$30+'Inputs'!$B$31+'Inputs'!$B$32)/1000+'Inputs'!$B$21)+'Inputs'!$B$9)/SQRT((((919-43)*MAX('Inputs'!$B$33,'Inputs'!$B$29+'Inputs'!$B$31+'Inputs'!$B$32,'Inputs'!$B$30+'Inputs'!$B$31+'Inputs'!$B$32)/1000+'Inputs'!$B$21)+'Inputs'!$B$9)^2+('Inputs'!$B$8/2)^2)-(((919-43)*MAX('Inputs'!$B$33,'Inputs'!$B$29+'Inputs'!$B$31+'Inputs'!$B$32,'Inputs'!$B$30+'Inputs'!$B$31+'Inputs'!$B$32)/1000+'Inputs'!$B$21))/SQRT((((919-43)*MAX('Inputs'!$B$33,'Inputs'!$B$29+'Inputs'!$B$31+'Inputs'!$B$32,'Inputs'!$B$30+'Inputs'!$B$31+'Inputs'!$B$32)/1000+'Inputs'!$B$21))^2+('Inputs'!$B$8/2)^2)))-'Results'!B7*(1+'Inputs'!$B$24)*(0.5*((((919-43)*MAX('Inputs'!$B$33,'Inputs'!$B$29+'Inputs'!$B$31+'Inputs'!$B$32,'Inputs'!$B$30+'Inputs'!$B$31+'Inputs'!$B$32)/1000+'Inputs'!$B$21+'Inputs'!$B$9+'Inputs'!$B$10)+'Inputs'!$B$7)/SQRT((((919-43)*MAX('Inputs'!$B$33,'Inputs'!$B$29+'Inputs'!$B$31+'Inputs'!$B$32,'Inputs'!$B$30+'Inputs'!$B$31+'Inputs'!$B$32)/1000+'Inputs'!$B$21+'Inputs'!$B$9+'Inputs'!$B$10)+'Inputs'!$B$7)^2+('Inputs'!$B$6/2)^2)-(((919-43)*MAX('Inputs'!$B$33,'Inputs'!$B$29+'Inputs'!$B$31+'Inputs'!$B$32,'Inputs'!$B$30+'Inputs'!$B$31+'Inputs'!$B$32)/1000+'Inputs'!$B$21+'Inputs'!$B$9+'Inputs'!$B$10))/SQRT((((919-43)*MAX('Inputs'!$B$33,'Inputs'!$B$29+'Inputs'!$B$31+'Inputs'!$B$32,'Inputs'!$B$30+'Inputs'!$B$31+'Inputs'!$B$32)/1000+'Inputs'!$B$21+'Inputs'!$B$9+'Inputs'!$B$10))^2+('Inputs'!$B$6/2)^2))))*'Results'!$B$8))),"")</x:f>
        <x:v>0.4316265872814459</x:v>
      </x:c>
      <x:c r="O919" t="n">
        <x:f>IF(AND(ISNUMBER('Results'!C7),ISNUMBER('Results'!B7),ISNUMBER('Results'!$B$8),ISNUMBER('Inputs'!$B$6),ISNUMBER('Inputs'!$B$7),ISNUMBER('Inputs'!$B$8),ISNUMBER('Inputs'!$B$9),ISNUMBER('Inputs'!$B$10),ISNUMBER('Inputs'!$B$21),ISNUMBER('Inputs'!$B$24),ISNUMBER('Inputs'!$B$28)),((('Results'!C7*(1+'Inputs'!$B$24)*(0.5*((((919-43)*MAX('Inputs'!$B$33,'Inputs'!$B$29+'Inputs'!$B$31+'Inputs'!$B$32,'Inputs'!$B$30+'Inputs'!$B$31+'Inputs'!$B$32)/1000+'Inputs'!$B$21)+'Inputs'!$B$9)/SQRT((((919-43)*MAX('Inputs'!$B$33,'Inputs'!$B$29+'Inputs'!$B$31+'Inputs'!$B$32,'Inputs'!$B$30+'Inputs'!$B$31+'Inputs'!$B$32)/1000+'Inputs'!$B$21)+'Inputs'!$B$9)^2+('Inputs'!$B$8/2)^2)-(((919-43)*MAX('Inputs'!$B$33,'Inputs'!$B$29+'Inputs'!$B$31+'Inputs'!$B$32,'Inputs'!$B$30+'Inputs'!$B$31+'Inputs'!$B$32)/1000+'Inputs'!$B$21))/SQRT((((919-43)*MAX('Inputs'!$B$33,'Inputs'!$B$29+'Inputs'!$B$31+'Inputs'!$B$32,'Inputs'!$B$30+'Inputs'!$B$31+'Inputs'!$B$32)/1000+'Inputs'!$B$21))^2+('Inputs'!$B$8/2)^2)))-'Results'!B7*(1-'Inputs'!$B$24)*(0.5*((((919-43)*MAX('Inputs'!$B$33,'Inputs'!$B$29+'Inputs'!$B$31+'Inputs'!$B$32,'Inputs'!$B$30+'Inputs'!$B$31+'Inputs'!$B$32)/1000+'Inputs'!$B$21+'Inputs'!$B$9+'Inputs'!$B$10)+'Inputs'!$B$7)/SQRT((((919-43)*MAX('Inputs'!$B$33,'Inputs'!$B$29+'Inputs'!$B$31+'Inputs'!$B$32,'Inputs'!$B$30+'Inputs'!$B$31+'Inputs'!$B$32)/1000+'Inputs'!$B$21+'Inputs'!$B$9+'Inputs'!$B$10)+'Inputs'!$B$7)^2+('Inputs'!$B$6/2)^2)-(((919-43)*MAX('Inputs'!$B$33,'Inputs'!$B$29+'Inputs'!$B$31+'Inputs'!$B$32,'Inputs'!$B$30+'Inputs'!$B$31+'Inputs'!$B$32)/1000+'Inputs'!$B$21+'Inputs'!$B$9+'Inputs'!$B$10))/SQRT((((919-43)*MAX('Inputs'!$B$33,'Inputs'!$B$29+'Inputs'!$B$31+'Inputs'!$B$32,'Inputs'!$B$30+'Inputs'!$B$31+'Inputs'!$B$32)/1000+'Inputs'!$B$21+'Inputs'!$B$9+'Inputs'!$B$10))^2+('Inputs'!$B$6/2)^2))))*'Results'!$B$8)+'Inputs'!$B$28*ABS((('Results'!C7*(1+'Inputs'!$B$24)*(0.5*((((919-43)*MAX('Inputs'!$B$33,'Inputs'!$B$29+'Inputs'!$B$31+'Inputs'!$B$32,'Inputs'!$B$30+'Inputs'!$B$31+'Inputs'!$B$32)/1000+'Inputs'!$B$21)+'Inputs'!$B$9)/SQRT((((919-43)*MAX('Inputs'!$B$33,'Inputs'!$B$29+'Inputs'!$B$31+'Inputs'!$B$32,'Inputs'!$B$30+'Inputs'!$B$31+'Inputs'!$B$32)/1000+'Inputs'!$B$21)+'Inputs'!$B$9)^2+('Inputs'!$B$8/2)^2)-(((919-43)*MAX('Inputs'!$B$33,'Inputs'!$B$29+'Inputs'!$B$31+'Inputs'!$B$32,'Inputs'!$B$30+'Inputs'!$B$31+'Inputs'!$B$32)/1000+'Inputs'!$B$21))/SQRT((((919-43)*MAX('Inputs'!$B$33,'Inputs'!$B$29+'Inputs'!$B$31+'Inputs'!$B$32,'Inputs'!$B$30+'Inputs'!$B$31+'Inputs'!$B$32)/1000+'Inputs'!$B$21))^2+('Inputs'!$B$8/2)^2)))-'Results'!B7*(1-'Inputs'!$B$24)*(0.5*((((919-43)*MAX('Inputs'!$B$33,'Inputs'!$B$29+'Inputs'!$B$31+'Inputs'!$B$32,'Inputs'!$B$30+'Inputs'!$B$31+'Inputs'!$B$32)/1000+'Inputs'!$B$21+'Inputs'!$B$9+'Inputs'!$B$10)+'Inputs'!$B$7)/SQRT((((919-43)*MAX('Inputs'!$B$33,'Inputs'!$B$29+'Inputs'!$B$31+'Inputs'!$B$32,'Inputs'!$B$30+'Inputs'!$B$31+'Inputs'!$B$32)/1000+'Inputs'!$B$21+'Inputs'!$B$9+'Inputs'!$B$10)+'Inputs'!$B$7)^2+('Inputs'!$B$6/2)^2)-(((919-43)*MAX('Inputs'!$B$33,'Inputs'!$B$29+'Inputs'!$B$31+'Inputs'!$B$32,'Inputs'!$B$30+'Inputs'!$B$31+'Inputs'!$B$32)/1000+'Inputs'!$B$21+'Inputs'!$B$9+'Inputs'!$B$10))/SQRT((((919-43)*MAX('Inputs'!$B$33,'Inputs'!$B$29+'Inputs'!$B$31+'Inputs'!$B$32,'Inputs'!$B$30+'Inputs'!$B$31+'Inputs'!$B$32)/1000+'Inputs'!$B$21+'Inputs'!$B$9+'Inputs'!$B$10))^2+('Inputs'!$B$6/2)^2))))*'Results'!$B$8))),"")</x:f>
        <x:v>0.6061328647596099</x:v>
      </x:c>
      <x:c r="P919" t="n">
        <x:f>IF(AND(MAX(J919,J918)&gt;0,J919&gt;J918+0.00000001),1,0)</x:f>
        <x:v>0</x:v>
      </x:c>
      <x:c r="Q919" t="n">
        <x:f>IF(AND(MAX(K919,K918)&gt;0,K919&gt;K918+0.00000001),1,0)</x:f>
        <x:v>0</x:v>
      </x:c>
      <x:c r="R919" t="n">
        <x:f>IF(AND(MAX(L919,L918)&gt;0,L919&gt;L918+0.00000001),1,0)</x:f>
        <x:v>0</x:v>
      </x:c>
      <x:c r="S919" t="n">
        <x:f>IF(AND(MAX(M919,M918)&gt;0,M919&gt;M918+0.00000001),1,0)</x:f>
        <x:v>0</x:v>
      </x:c>
      <x:c r="T919" t="n">
        <x:f>IF(AND(MAX(N919,N918)&gt;0,N919&gt;N918+0.00000001),1,0)</x:f>
        <x:v>0</x:v>
      </x:c>
      <x:c r="U919" t="n">
        <x:f>IF(AND(MAX(O919,O918)&gt;0,O919&gt;O918+0.00000001),1,0)</x:f>
        <x:v>0</x:v>
      </x:c>
    </x:row>
    <x:row r="920">
      <x:c r="J920" t="n">
        <x:f>IF(AND(ISNUMBER('Results'!B7),ISNUMBER('Results'!C7),ISNUMBER('Results'!$B$8),ISNUMBER('Inputs'!$B$6),ISNUMBER('Inputs'!$B$7),ISNUMBER('Inputs'!$B$8),ISNUMBER('Inputs'!$B$9),ISNUMBER('Inputs'!$B$10),ISNUMBER('Inputs'!$B$21),ISNUMBER('Inputs'!$B$24),ISNUMBER('Inputs'!$B$28)),(('Results'!B7*(0.5*((((920-43)*MAX('Inputs'!$B$33,'Inputs'!$B$29+'Inputs'!$B$31+'Inputs'!$B$32,'Inputs'!$B$30+'Inputs'!$B$31+'Inputs'!$B$32)/1000+'Inputs'!$B$21)+'Inputs'!$B$7)/SQRT((((920-43)*MAX('Inputs'!$B$33,'Inputs'!$B$29+'Inputs'!$B$31+'Inputs'!$B$32,'Inputs'!$B$30+'Inputs'!$B$31+'Inputs'!$B$32)/1000+'Inputs'!$B$21)+'Inputs'!$B$7)^2+('Inputs'!$B$6/2)^2)-(((920-43)*MAX('Inputs'!$B$33,'Inputs'!$B$29+'Inputs'!$B$31+'Inputs'!$B$32,'Inputs'!$B$30+'Inputs'!$B$31+'Inputs'!$B$32)/1000+'Inputs'!$B$21))/SQRT((((920-43)*MAX('Inputs'!$B$33,'Inputs'!$B$29+'Inputs'!$B$31+'Inputs'!$B$32,'Inputs'!$B$30+'Inputs'!$B$31+'Inputs'!$B$32)/1000+'Inputs'!$B$21))^2+('Inputs'!$B$6/2)^2)))-'Results'!C7*(0.5*((((920-43)*MAX('Inputs'!$B$33,'Inputs'!$B$29+'Inputs'!$B$31+'Inputs'!$B$32,'Inputs'!$B$30+'Inputs'!$B$31+'Inputs'!$B$32)/1000+'Inputs'!$B$21+'Inputs'!$B$7+'Inputs'!$B$10)+'Inputs'!$B$9)/SQRT((((920-43)*MAX('Inputs'!$B$33,'Inputs'!$B$29+'Inputs'!$B$31+'Inputs'!$B$32,'Inputs'!$B$30+'Inputs'!$B$31+'Inputs'!$B$32)/1000+'Inputs'!$B$21+'Inputs'!$B$7+'Inputs'!$B$10)+'Inputs'!$B$9)^2+('Inputs'!$B$8/2)^2)-(((920-43)*MAX('Inputs'!$B$33,'Inputs'!$B$29+'Inputs'!$B$31+'Inputs'!$B$32,'Inputs'!$B$30+'Inputs'!$B$31+'Inputs'!$B$32)/1000+'Inputs'!$B$21+'Inputs'!$B$7+'Inputs'!$B$10))/SQRT((((920-43)*MAX('Inputs'!$B$33,'Inputs'!$B$29+'Inputs'!$B$31+'Inputs'!$B$32,'Inputs'!$B$30+'Inputs'!$B$31+'Inputs'!$B$32)/1000+'Inputs'!$B$21+'Inputs'!$B$7+'Inputs'!$B$10))^2+('Inputs'!$B$8/2)^2))))*'Results'!$B$8),"")</x:f>
        <x:v>0.5756190950659388</x:v>
      </x:c>
      <x:c r="K920" t="n">
        <x:f>IF(AND(ISNUMBER('Results'!B7),ISNUMBER('Results'!C7),ISNUMBER('Results'!$B$8),ISNUMBER('Inputs'!$B$6),ISNUMBER('Inputs'!$B$7),ISNUMBER('Inputs'!$B$8),ISNUMBER('Inputs'!$B$9),ISNUMBER('Inputs'!$B$10),ISNUMBER('Inputs'!$B$21),ISNUMBER('Inputs'!$B$24),ISNUMBER('Inputs'!$B$28)),((('Results'!B7*(1-'Inputs'!$B$24)*(0.5*((((920-43)*MAX('Inputs'!$B$33,'Inputs'!$B$29+'Inputs'!$B$31+'Inputs'!$B$32,'Inputs'!$B$30+'Inputs'!$B$31+'Inputs'!$B$32)/1000+'Inputs'!$B$21)+'Inputs'!$B$7)/SQRT((((920-43)*MAX('Inputs'!$B$33,'Inputs'!$B$29+'Inputs'!$B$31+'Inputs'!$B$32,'Inputs'!$B$30+'Inputs'!$B$31+'Inputs'!$B$32)/1000+'Inputs'!$B$21)+'Inputs'!$B$7)^2+('Inputs'!$B$6/2)^2)-(((920-43)*MAX('Inputs'!$B$33,'Inputs'!$B$29+'Inputs'!$B$31+'Inputs'!$B$32,'Inputs'!$B$30+'Inputs'!$B$31+'Inputs'!$B$32)/1000+'Inputs'!$B$21))/SQRT((((920-43)*MAX('Inputs'!$B$33,'Inputs'!$B$29+'Inputs'!$B$31+'Inputs'!$B$32,'Inputs'!$B$30+'Inputs'!$B$31+'Inputs'!$B$32)/1000+'Inputs'!$B$21))^2+('Inputs'!$B$6/2)^2)))-'Results'!C7*(1+'Inputs'!$B$24)*(0.5*((((920-43)*MAX('Inputs'!$B$33,'Inputs'!$B$29+'Inputs'!$B$31+'Inputs'!$B$32,'Inputs'!$B$30+'Inputs'!$B$31+'Inputs'!$B$32)/1000+'Inputs'!$B$21+'Inputs'!$B$7+'Inputs'!$B$10)+'Inputs'!$B$9)/SQRT((((920-43)*MAX('Inputs'!$B$33,'Inputs'!$B$29+'Inputs'!$B$31+'Inputs'!$B$32,'Inputs'!$B$30+'Inputs'!$B$31+'Inputs'!$B$32)/1000+'Inputs'!$B$21+'Inputs'!$B$7+'Inputs'!$B$10)+'Inputs'!$B$9)^2+('Inputs'!$B$8/2)^2)-(((920-43)*MAX('Inputs'!$B$33,'Inputs'!$B$29+'Inputs'!$B$31+'Inputs'!$B$32,'Inputs'!$B$30+'Inputs'!$B$31+'Inputs'!$B$32)/1000+'Inputs'!$B$21+'Inputs'!$B$7+'Inputs'!$B$10))/SQRT((((920-43)*MAX('Inputs'!$B$33,'Inputs'!$B$29+'Inputs'!$B$31+'Inputs'!$B$32,'Inputs'!$B$30+'Inputs'!$B$31+'Inputs'!$B$32)/1000+'Inputs'!$B$21+'Inputs'!$B$7+'Inputs'!$B$10))^2+('Inputs'!$B$8/2)^2))))*'Results'!$B$8)-'Inputs'!$B$28*ABS((('Results'!B7*(1-'Inputs'!$B$24)*(0.5*((((920-43)*MAX('Inputs'!$B$33,'Inputs'!$B$29+'Inputs'!$B$31+'Inputs'!$B$32,'Inputs'!$B$30+'Inputs'!$B$31+'Inputs'!$B$32)/1000+'Inputs'!$B$21)+'Inputs'!$B$7)/SQRT((((920-43)*MAX('Inputs'!$B$33,'Inputs'!$B$29+'Inputs'!$B$31+'Inputs'!$B$32,'Inputs'!$B$30+'Inputs'!$B$31+'Inputs'!$B$32)/1000+'Inputs'!$B$21)+'Inputs'!$B$7)^2+('Inputs'!$B$6/2)^2)-(((920-43)*MAX('Inputs'!$B$33,'Inputs'!$B$29+'Inputs'!$B$31+'Inputs'!$B$32,'Inputs'!$B$30+'Inputs'!$B$31+'Inputs'!$B$32)/1000+'Inputs'!$B$21))/SQRT((((920-43)*MAX('Inputs'!$B$33,'Inputs'!$B$29+'Inputs'!$B$31+'Inputs'!$B$32,'Inputs'!$B$30+'Inputs'!$B$31+'Inputs'!$B$32)/1000+'Inputs'!$B$21))^2+('Inputs'!$B$6/2)^2)))-'Results'!C7*(1+'Inputs'!$B$24)*(0.5*((((920-43)*MAX('Inputs'!$B$33,'Inputs'!$B$29+'Inputs'!$B$31+'Inputs'!$B$32,'Inputs'!$B$30+'Inputs'!$B$31+'Inputs'!$B$32)/1000+'Inputs'!$B$21+'Inputs'!$B$7+'Inputs'!$B$10)+'Inputs'!$B$9)/SQRT((((920-43)*MAX('Inputs'!$B$33,'Inputs'!$B$29+'Inputs'!$B$31+'Inputs'!$B$32,'Inputs'!$B$30+'Inputs'!$B$31+'Inputs'!$B$32)/1000+'Inputs'!$B$21+'Inputs'!$B$7+'Inputs'!$B$10)+'Inputs'!$B$9)^2+('Inputs'!$B$8/2)^2)-(((920-43)*MAX('Inputs'!$B$33,'Inputs'!$B$29+'Inputs'!$B$31+'Inputs'!$B$32,'Inputs'!$B$30+'Inputs'!$B$31+'Inputs'!$B$32)/1000+'Inputs'!$B$21+'Inputs'!$B$7+'Inputs'!$B$10))/SQRT((((920-43)*MAX('Inputs'!$B$33,'Inputs'!$B$29+'Inputs'!$B$31+'Inputs'!$B$32,'Inputs'!$B$30+'Inputs'!$B$31+'Inputs'!$B$32)/1000+'Inputs'!$B$21+'Inputs'!$B$7+'Inputs'!$B$10))^2+('Inputs'!$B$8/2)^2))))*'Results'!$B$8))),"")</x:f>
        <x:v>0.48842411254321916</x:v>
      </x:c>
      <x:c r="L920" t="n">
        <x:f>IF(AND(ISNUMBER('Results'!B7),ISNUMBER('Results'!C7),ISNUMBER('Results'!$B$8),ISNUMBER('Inputs'!$B$6),ISNUMBER('Inputs'!$B$7),ISNUMBER('Inputs'!$B$8),ISNUMBER('Inputs'!$B$9),ISNUMBER('Inputs'!$B$10),ISNUMBER('Inputs'!$B$21),ISNUMBER('Inputs'!$B$24),ISNUMBER('Inputs'!$B$28)),((('Results'!B7*(1+'Inputs'!$B$24)*(0.5*((((920-43)*MAX('Inputs'!$B$33,'Inputs'!$B$29+'Inputs'!$B$31+'Inputs'!$B$32,'Inputs'!$B$30+'Inputs'!$B$31+'Inputs'!$B$32)/1000+'Inputs'!$B$21)+'Inputs'!$B$7)/SQRT((((920-43)*MAX('Inputs'!$B$33,'Inputs'!$B$29+'Inputs'!$B$31+'Inputs'!$B$32,'Inputs'!$B$30+'Inputs'!$B$31+'Inputs'!$B$32)/1000+'Inputs'!$B$21)+'Inputs'!$B$7)^2+('Inputs'!$B$6/2)^2)-(((920-43)*MAX('Inputs'!$B$33,'Inputs'!$B$29+'Inputs'!$B$31+'Inputs'!$B$32,'Inputs'!$B$30+'Inputs'!$B$31+'Inputs'!$B$32)/1000+'Inputs'!$B$21))/SQRT((((920-43)*MAX('Inputs'!$B$33,'Inputs'!$B$29+'Inputs'!$B$31+'Inputs'!$B$32,'Inputs'!$B$30+'Inputs'!$B$31+'Inputs'!$B$32)/1000+'Inputs'!$B$21))^2+('Inputs'!$B$6/2)^2)))-'Results'!C7*(1-'Inputs'!$B$24)*(0.5*((((920-43)*MAX('Inputs'!$B$33,'Inputs'!$B$29+'Inputs'!$B$31+'Inputs'!$B$32,'Inputs'!$B$30+'Inputs'!$B$31+'Inputs'!$B$32)/1000+'Inputs'!$B$21+'Inputs'!$B$7+'Inputs'!$B$10)+'Inputs'!$B$9)/SQRT((((920-43)*MAX('Inputs'!$B$33,'Inputs'!$B$29+'Inputs'!$B$31+'Inputs'!$B$32,'Inputs'!$B$30+'Inputs'!$B$31+'Inputs'!$B$32)/1000+'Inputs'!$B$21+'Inputs'!$B$7+'Inputs'!$B$10)+'Inputs'!$B$9)^2+('Inputs'!$B$8/2)^2)-(((920-43)*MAX('Inputs'!$B$33,'Inputs'!$B$29+'Inputs'!$B$31+'Inputs'!$B$32,'Inputs'!$B$30+'Inputs'!$B$31+'Inputs'!$B$32)/1000+'Inputs'!$B$21+'Inputs'!$B$7+'Inputs'!$B$10))/SQRT((((920-43)*MAX('Inputs'!$B$33,'Inputs'!$B$29+'Inputs'!$B$31+'Inputs'!$B$32,'Inputs'!$B$30+'Inputs'!$B$31+'Inputs'!$B$32)/1000+'Inputs'!$B$21+'Inputs'!$B$7+'Inputs'!$B$10))^2+('Inputs'!$B$8/2)^2))))*'Results'!$B$8)+'Inputs'!$B$28*ABS((('Results'!B7*(1+'Inputs'!$B$24)*(0.5*((((920-43)*MAX('Inputs'!$B$33,'Inputs'!$B$29+'Inputs'!$B$31+'Inputs'!$B$32,'Inputs'!$B$30+'Inputs'!$B$31+'Inputs'!$B$32)/1000+'Inputs'!$B$21)+'Inputs'!$B$7)/SQRT((((920-43)*MAX('Inputs'!$B$33,'Inputs'!$B$29+'Inputs'!$B$31+'Inputs'!$B$32,'Inputs'!$B$30+'Inputs'!$B$31+'Inputs'!$B$32)/1000+'Inputs'!$B$21)+'Inputs'!$B$7)^2+('Inputs'!$B$6/2)^2)-(((920-43)*MAX('Inputs'!$B$33,'Inputs'!$B$29+'Inputs'!$B$31+'Inputs'!$B$32,'Inputs'!$B$30+'Inputs'!$B$31+'Inputs'!$B$32)/1000+'Inputs'!$B$21))/SQRT((((920-43)*MAX('Inputs'!$B$33,'Inputs'!$B$29+'Inputs'!$B$31+'Inputs'!$B$32,'Inputs'!$B$30+'Inputs'!$B$31+'Inputs'!$B$32)/1000+'Inputs'!$B$21))^2+('Inputs'!$B$6/2)^2)))-'Results'!C7*(1-'Inputs'!$B$24)*(0.5*((((920-43)*MAX('Inputs'!$B$33,'Inputs'!$B$29+'Inputs'!$B$31+'Inputs'!$B$32,'Inputs'!$B$30+'Inputs'!$B$31+'Inputs'!$B$32)/1000+'Inputs'!$B$21+'Inputs'!$B$7+'Inputs'!$B$10)+'Inputs'!$B$9)/SQRT((((920-43)*MAX('Inputs'!$B$33,'Inputs'!$B$29+'Inputs'!$B$31+'Inputs'!$B$32,'Inputs'!$B$30+'Inputs'!$B$31+'Inputs'!$B$32)/1000+'Inputs'!$B$21+'Inputs'!$B$7+'Inputs'!$B$10)+'Inputs'!$B$9)^2+('Inputs'!$B$8/2)^2)-(((920-43)*MAX('Inputs'!$B$33,'Inputs'!$B$29+'Inputs'!$B$31+'Inputs'!$B$32,'Inputs'!$B$30+'Inputs'!$B$31+'Inputs'!$B$32)/1000+'Inputs'!$B$21+'Inputs'!$B$7+'Inputs'!$B$10))/SQRT((((920-43)*MAX('Inputs'!$B$33,'Inputs'!$B$29+'Inputs'!$B$31+'Inputs'!$B$32,'Inputs'!$B$30+'Inputs'!$B$31+'Inputs'!$B$32)/1000+'Inputs'!$B$21+'Inputs'!$B$7+'Inputs'!$B$10))^2+('Inputs'!$B$8/2)^2))))*'Results'!$B$8))),"")</x:f>
        <x:v>0.6689629226170187</x:v>
      </x:c>
      <x:c r="M920" t="n">
        <x:f>IF(AND(ISNUMBER('Results'!C7),ISNUMBER('Results'!B7),ISNUMBER('Results'!$B$8),ISNUMBER('Inputs'!$B$6),ISNUMBER('Inputs'!$B$7),ISNUMBER('Inputs'!$B$8),ISNUMBER('Inputs'!$B$9),ISNUMBER('Inputs'!$B$10),ISNUMBER('Inputs'!$B$21),ISNUMBER('Inputs'!$B$24),ISNUMBER('Inputs'!$B$28)),(('Results'!C7*(0.5*((((920-43)*MAX('Inputs'!$B$33,'Inputs'!$B$29+'Inputs'!$B$31+'Inputs'!$B$32,'Inputs'!$B$30+'Inputs'!$B$31+'Inputs'!$B$32)/1000+'Inputs'!$B$21)+'Inputs'!$B$9)/SQRT((((920-43)*MAX('Inputs'!$B$33,'Inputs'!$B$29+'Inputs'!$B$31+'Inputs'!$B$32,'Inputs'!$B$30+'Inputs'!$B$31+'Inputs'!$B$32)/1000+'Inputs'!$B$21)+'Inputs'!$B$9)^2+('Inputs'!$B$8/2)^2)-(((920-43)*MAX('Inputs'!$B$33,'Inputs'!$B$29+'Inputs'!$B$31+'Inputs'!$B$32,'Inputs'!$B$30+'Inputs'!$B$31+'Inputs'!$B$32)/1000+'Inputs'!$B$21))/SQRT((((920-43)*MAX('Inputs'!$B$33,'Inputs'!$B$29+'Inputs'!$B$31+'Inputs'!$B$32,'Inputs'!$B$30+'Inputs'!$B$31+'Inputs'!$B$32)/1000+'Inputs'!$B$21))^2+('Inputs'!$B$8/2)^2)))-'Results'!B7*(0.5*((((920-43)*MAX('Inputs'!$B$33,'Inputs'!$B$29+'Inputs'!$B$31+'Inputs'!$B$32,'Inputs'!$B$30+'Inputs'!$B$31+'Inputs'!$B$32)/1000+'Inputs'!$B$21+'Inputs'!$B$9+'Inputs'!$B$10)+'Inputs'!$B$7)/SQRT((((920-43)*MAX('Inputs'!$B$33,'Inputs'!$B$29+'Inputs'!$B$31+'Inputs'!$B$32,'Inputs'!$B$30+'Inputs'!$B$31+'Inputs'!$B$32)/1000+'Inputs'!$B$21+'Inputs'!$B$9+'Inputs'!$B$10)+'Inputs'!$B$7)^2+('Inputs'!$B$6/2)^2)-(((920-43)*MAX('Inputs'!$B$33,'Inputs'!$B$29+'Inputs'!$B$31+'Inputs'!$B$32,'Inputs'!$B$30+'Inputs'!$B$31+'Inputs'!$B$32)/1000+'Inputs'!$B$21+'Inputs'!$B$9+'Inputs'!$B$10))/SQRT((((920-43)*MAX('Inputs'!$B$33,'Inputs'!$B$29+'Inputs'!$B$31+'Inputs'!$B$32,'Inputs'!$B$30+'Inputs'!$B$31+'Inputs'!$B$32)/1000+'Inputs'!$B$21+'Inputs'!$B$9+'Inputs'!$B$10))^2+('Inputs'!$B$6/2)^2))))*'Results'!$B$8),"")</x:f>
        <x:v>0.5136206849008841</x:v>
      </x:c>
      <x:c r="N920" t="n">
        <x:f>IF(AND(ISNUMBER('Results'!C7),ISNUMBER('Results'!B7),ISNUMBER('Results'!$B$8),ISNUMBER('Inputs'!$B$6),ISNUMBER('Inputs'!$B$7),ISNUMBER('Inputs'!$B$8),ISNUMBER('Inputs'!$B$9),ISNUMBER('Inputs'!$B$10),ISNUMBER('Inputs'!$B$21),ISNUMBER('Inputs'!$B$24),ISNUMBER('Inputs'!$B$28)),((('Results'!C7*(1-'Inputs'!$B$24)*(0.5*((((920-43)*MAX('Inputs'!$B$33,'Inputs'!$B$29+'Inputs'!$B$31+'Inputs'!$B$32,'Inputs'!$B$30+'Inputs'!$B$31+'Inputs'!$B$32)/1000+'Inputs'!$B$21)+'Inputs'!$B$9)/SQRT((((920-43)*MAX('Inputs'!$B$33,'Inputs'!$B$29+'Inputs'!$B$31+'Inputs'!$B$32,'Inputs'!$B$30+'Inputs'!$B$31+'Inputs'!$B$32)/1000+'Inputs'!$B$21)+'Inputs'!$B$9)^2+('Inputs'!$B$8/2)^2)-(((920-43)*MAX('Inputs'!$B$33,'Inputs'!$B$29+'Inputs'!$B$31+'Inputs'!$B$32,'Inputs'!$B$30+'Inputs'!$B$31+'Inputs'!$B$32)/1000+'Inputs'!$B$21))/SQRT((((920-43)*MAX('Inputs'!$B$33,'Inputs'!$B$29+'Inputs'!$B$31+'Inputs'!$B$32,'Inputs'!$B$30+'Inputs'!$B$31+'Inputs'!$B$32)/1000+'Inputs'!$B$21))^2+('Inputs'!$B$8/2)^2)))-'Results'!B7*(1+'Inputs'!$B$24)*(0.5*((((920-43)*MAX('Inputs'!$B$33,'Inputs'!$B$29+'Inputs'!$B$31+'Inputs'!$B$32,'Inputs'!$B$30+'Inputs'!$B$31+'Inputs'!$B$32)/1000+'Inputs'!$B$21+'Inputs'!$B$9+'Inputs'!$B$10)+'Inputs'!$B$7)/SQRT((((920-43)*MAX('Inputs'!$B$33,'Inputs'!$B$29+'Inputs'!$B$31+'Inputs'!$B$32,'Inputs'!$B$30+'Inputs'!$B$31+'Inputs'!$B$32)/1000+'Inputs'!$B$21+'Inputs'!$B$9+'Inputs'!$B$10)+'Inputs'!$B$7)^2+('Inputs'!$B$6/2)^2)-(((920-43)*MAX('Inputs'!$B$33,'Inputs'!$B$29+'Inputs'!$B$31+'Inputs'!$B$32,'Inputs'!$B$30+'Inputs'!$B$31+'Inputs'!$B$32)/1000+'Inputs'!$B$21+'Inputs'!$B$9+'Inputs'!$B$10))/SQRT((((920-43)*MAX('Inputs'!$B$33,'Inputs'!$B$29+'Inputs'!$B$31+'Inputs'!$B$32,'Inputs'!$B$30+'Inputs'!$B$31+'Inputs'!$B$32)/1000+'Inputs'!$B$21+'Inputs'!$B$9+'Inputs'!$B$10))^2+('Inputs'!$B$6/2)^2))))*'Results'!$B$8)-'Inputs'!$B$28*ABS((('Results'!C7*(1-'Inputs'!$B$24)*(0.5*((((920-43)*MAX('Inputs'!$B$33,'Inputs'!$B$29+'Inputs'!$B$31+'Inputs'!$B$32,'Inputs'!$B$30+'Inputs'!$B$31+'Inputs'!$B$32)/1000+'Inputs'!$B$21)+'Inputs'!$B$9)/SQRT((((920-43)*MAX('Inputs'!$B$33,'Inputs'!$B$29+'Inputs'!$B$31+'Inputs'!$B$32,'Inputs'!$B$30+'Inputs'!$B$31+'Inputs'!$B$32)/1000+'Inputs'!$B$21)+'Inputs'!$B$9)^2+('Inputs'!$B$8/2)^2)-(((920-43)*MAX('Inputs'!$B$33,'Inputs'!$B$29+'Inputs'!$B$31+'Inputs'!$B$32,'Inputs'!$B$30+'Inputs'!$B$31+'Inputs'!$B$32)/1000+'Inputs'!$B$21))/SQRT((((920-43)*MAX('Inputs'!$B$33,'Inputs'!$B$29+'Inputs'!$B$31+'Inputs'!$B$32,'Inputs'!$B$30+'Inputs'!$B$31+'Inputs'!$B$32)/1000+'Inputs'!$B$21))^2+('Inputs'!$B$8/2)^2)))-'Results'!B7*(1+'Inputs'!$B$24)*(0.5*((((920-43)*MAX('Inputs'!$B$33,'Inputs'!$B$29+'Inputs'!$B$31+'Inputs'!$B$32,'Inputs'!$B$30+'Inputs'!$B$31+'Inputs'!$B$32)/1000+'Inputs'!$B$21+'Inputs'!$B$9+'Inputs'!$B$10)+'Inputs'!$B$7)/SQRT((((920-43)*MAX('Inputs'!$B$33,'Inputs'!$B$29+'Inputs'!$B$31+'Inputs'!$B$32,'Inputs'!$B$30+'Inputs'!$B$31+'Inputs'!$B$32)/1000+'Inputs'!$B$21+'Inputs'!$B$9+'Inputs'!$B$10)+'Inputs'!$B$7)^2+('Inputs'!$B$6/2)^2)-(((920-43)*MAX('Inputs'!$B$33,'Inputs'!$B$29+'Inputs'!$B$31+'Inputs'!$B$32,'Inputs'!$B$30+'Inputs'!$B$31+'Inputs'!$B$32)/1000+'Inputs'!$B$21+'Inputs'!$B$9+'Inputs'!$B$10))/SQRT((((920-43)*MAX('Inputs'!$B$33,'Inputs'!$B$29+'Inputs'!$B$31+'Inputs'!$B$32,'Inputs'!$B$30+'Inputs'!$B$31+'Inputs'!$B$32)/1000+'Inputs'!$B$21+'Inputs'!$B$9+'Inputs'!$B$10))^2+('Inputs'!$B$6/2)^2))))*'Results'!$B$8))),"")</x:f>
        <x:v>0.4297346689047949</x:v>
      </x:c>
      <x:c r="O920" t="n">
        <x:f>IF(AND(ISNUMBER('Results'!C7),ISNUMBER('Results'!B7),ISNUMBER('Results'!$B$8),ISNUMBER('Inputs'!$B$6),ISNUMBER('Inputs'!$B$7),ISNUMBER('Inputs'!$B$8),ISNUMBER('Inputs'!$B$9),ISNUMBER('Inputs'!$B$10),ISNUMBER('Inputs'!$B$21),ISNUMBER('Inputs'!$B$24),ISNUMBER('Inputs'!$B$28)),((('Results'!C7*(1+'Inputs'!$B$24)*(0.5*((((920-43)*MAX('Inputs'!$B$33,'Inputs'!$B$29+'Inputs'!$B$31+'Inputs'!$B$32,'Inputs'!$B$30+'Inputs'!$B$31+'Inputs'!$B$32)/1000+'Inputs'!$B$21)+'Inputs'!$B$9)/SQRT((((920-43)*MAX('Inputs'!$B$33,'Inputs'!$B$29+'Inputs'!$B$31+'Inputs'!$B$32,'Inputs'!$B$30+'Inputs'!$B$31+'Inputs'!$B$32)/1000+'Inputs'!$B$21)+'Inputs'!$B$9)^2+('Inputs'!$B$8/2)^2)-(((920-43)*MAX('Inputs'!$B$33,'Inputs'!$B$29+'Inputs'!$B$31+'Inputs'!$B$32,'Inputs'!$B$30+'Inputs'!$B$31+'Inputs'!$B$32)/1000+'Inputs'!$B$21))/SQRT((((920-43)*MAX('Inputs'!$B$33,'Inputs'!$B$29+'Inputs'!$B$31+'Inputs'!$B$32,'Inputs'!$B$30+'Inputs'!$B$31+'Inputs'!$B$32)/1000+'Inputs'!$B$21))^2+('Inputs'!$B$8/2)^2)))-'Results'!B7*(1-'Inputs'!$B$24)*(0.5*((((920-43)*MAX('Inputs'!$B$33,'Inputs'!$B$29+'Inputs'!$B$31+'Inputs'!$B$32,'Inputs'!$B$30+'Inputs'!$B$31+'Inputs'!$B$32)/1000+'Inputs'!$B$21+'Inputs'!$B$9+'Inputs'!$B$10)+'Inputs'!$B$7)/SQRT((((920-43)*MAX('Inputs'!$B$33,'Inputs'!$B$29+'Inputs'!$B$31+'Inputs'!$B$32,'Inputs'!$B$30+'Inputs'!$B$31+'Inputs'!$B$32)/1000+'Inputs'!$B$21+'Inputs'!$B$9+'Inputs'!$B$10)+'Inputs'!$B$7)^2+('Inputs'!$B$6/2)^2)-(((920-43)*MAX('Inputs'!$B$33,'Inputs'!$B$29+'Inputs'!$B$31+'Inputs'!$B$32,'Inputs'!$B$30+'Inputs'!$B$31+'Inputs'!$B$32)/1000+'Inputs'!$B$21+'Inputs'!$B$9+'Inputs'!$B$10))/SQRT((((920-43)*MAX('Inputs'!$B$33,'Inputs'!$B$29+'Inputs'!$B$31+'Inputs'!$B$32,'Inputs'!$B$30+'Inputs'!$B$31+'Inputs'!$B$32)/1000+'Inputs'!$B$21+'Inputs'!$B$9+'Inputs'!$B$10))^2+('Inputs'!$B$6/2)^2))))*'Results'!$B$8)+'Inputs'!$B$28*ABS((('Results'!C7*(1+'Inputs'!$B$24)*(0.5*((((920-43)*MAX('Inputs'!$B$33,'Inputs'!$B$29+'Inputs'!$B$31+'Inputs'!$B$32,'Inputs'!$B$30+'Inputs'!$B$31+'Inputs'!$B$32)/1000+'Inputs'!$B$21)+'Inputs'!$B$9)/SQRT((((920-43)*MAX('Inputs'!$B$33,'Inputs'!$B$29+'Inputs'!$B$31+'Inputs'!$B$32,'Inputs'!$B$30+'Inputs'!$B$31+'Inputs'!$B$32)/1000+'Inputs'!$B$21)+'Inputs'!$B$9)^2+('Inputs'!$B$8/2)^2)-(((920-43)*MAX('Inputs'!$B$33,'Inputs'!$B$29+'Inputs'!$B$31+'Inputs'!$B$32,'Inputs'!$B$30+'Inputs'!$B$31+'Inputs'!$B$32)/1000+'Inputs'!$B$21))/SQRT((((920-43)*MAX('Inputs'!$B$33,'Inputs'!$B$29+'Inputs'!$B$31+'Inputs'!$B$32,'Inputs'!$B$30+'Inputs'!$B$31+'Inputs'!$B$32)/1000+'Inputs'!$B$21))^2+('Inputs'!$B$8/2)^2)))-'Results'!B7*(1-'Inputs'!$B$24)*(0.5*((((920-43)*MAX('Inputs'!$B$33,'Inputs'!$B$29+'Inputs'!$B$31+'Inputs'!$B$32,'Inputs'!$B$30+'Inputs'!$B$31+'Inputs'!$B$32)/1000+'Inputs'!$B$21+'Inputs'!$B$9+'Inputs'!$B$10)+'Inputs'!$B$7)/SQRT((((920-43)*MAX('Inputs'!$B$33,'Inputs'!$B$29+'Inputs'!$B$31+'Inputs'!$B$32,'Inputs'!$B$30+'Inputs'!$B$31+'Inputs'!$B$32)/1000+'Inputs'!$B$21+'Inputs'!$B$9+'Inputs'!$B$10)+'Inputs'!$B$7)^2+('Inputs'!$B$6/2)^2)-(((920-43)*MAX('Inputs'!$B$33,'Inputs'!$B$29+'Inputs'!$B$31+'Inputs'!$B$32,'Inputs'!$B$30+'Inputs'!$B$31+'Inputs'!$B$32)/1000+'Inputs'!$B$21+'Inputs'!$B$9+'Inputs'!$B$10))/SQRT((((920-43)*MAX('Inputs'!$B$33,'Inputs'!$B$29+'Inputs'!$B$31+'Inputs'!$B$32,'Inputs'!$B$30+'Inputs'!$B$31+'Inputs'!$B$32)/1000+'Inputs'!$B$21+'Inputs'!$B$9+'Inputs'!$B$10))^2+('Inputs'!$B$6/2)^2))))*'Results'!$B$8))),"")</x:f>
        <x:v>0.6036335410812942</x:v>
      </x:c>
      <x:c r="P920" t="n">
        <x:f>IF(AND(MAX(J920,J919)&gt;0,J920&gt;J919+0.00000001),1,0)</x:f>
        <x:v>0</x:v>
      </x:c>
      <x:c r="Q920" t="n">
        <x:f>IF(AND(MAX(K920,K919)&gt;0,K920&gt;K919+0.00000001),1,0)</x:f>
        <x:v>0</x:v>
      </x:c>
      <x:c r="R920" t="n">
        <x:f>IF(AND(MAX(L920,L919)&gt;0,L920&gt;L919+0.00000001),1,0)</x:f>
        <x:v>0</x:v>
      </x:c>
      <x:c r="S920" t="n">
        <x:f>IF(AND(MAX(M920,M919)&gt;0,M920&gt;M919+0.00000001),1,0)</x:f>
        <x:v>0</x:v>
      </x:c>
      <x:c r="T920" t="n">
        <x:f>IF(AND(MAX(N920,N919)&gt;0,N920&gt;N919+0.00000001),1,0)</x:f>
        <x:v>0</x:v>
      </x:c>
      <x:c r="U920" t="n">
        <x:f>IF(AND(MAX(O920,O919)&gt;0,O920&gt;O919+0.00000001),1,0)</x:f>
        <x:v>0</x:v>
      </x:c>
    </x:row>
    <x:row r="921">
      <x:c r="J921" t="n">
        <x:f>IF(AND(ISNUMBER('Results'!B7),ISNUMBER('Results'!C7),ISNUMBER('Results'!$B$8),ISNUMBER('Inputs'!$B$6),ISNUMBER('Inputs'!$B$7),ISNUMBER('Inputs'!$B$8),ISNUMBER('Inputs'!$B$9),ISNUMBER('Inputs'!$B$10),ISNUMBER('Inputs'!$B$21),ISNUMBER('Inputs'!$B$24),ISNUMBER('Inputs'!$B$28)),(('Results'!B7*(0.5*((((921-43)*MAX('Inputs'!$B$33,'Inputs'!$B$29+'Inputs'!$B$31+'Inputs'!$B$32,'Inputs'!$B$30+'Inputs'!$B$31+'Inputs'!$B$32)/1000+'Inputs'!$B$21)+'Inputs'!$B$7)/SQRT((((921-43)*MAX('Inputs'!$B$33,'Inputs'!$B$29+'Inputs'!$B$31+'Inputs'!$B$32,'Inputs'!$B$30+'Inputs'!$B$31+'Inputs'!$B$32)/1000+'Inputs'!$B$21)+'Inputs'!$B$7)^2+('Inputs'!$B$6/2)^2)-(((921-43)*MAX('Inputs'!$B$33,'Inputs'!$B$29+'Inputs'!$B$31+'Inputs'!$B$32,'Inputs'!$B$30+'Inputs'!$B$31+'Inputs'!$B$32)/1000+'Inputs'!$B$21))/SQRT((((921-43)*MAX('Inputs'!$B$33,'Inputs'!$B$29+'Inputs'!$B$31+'Inputs'!$B$32,'Inputs'!$B$30+'Inputs'!$B$31+'Inputs'!$B$32)/1000+'Inputs'!$B$21))^2+('Inputs'!$B$6/2)^2)))-'Results'!C7*(0.5*((((921-43)*MAX('Inputs'!$B$33,'Inputs'!$B$29+'Inputs'!$B$31+'Inputs'!$B$32,'Inputs'!$B$30+'Inputs'!$B$31+'Inputs'!$B$32)/1000+'Inputs'!$B$21+'Inputs'!$B$7+'Inputs'!$B$10)+'Inputs'!$B$9)/SQRT((((921-43)*MAX('Inputs'!$B$33,'Inputs'!$B$29+'Inputs'!$B$31+'Inputs'!$B$32,'Inputs'!$B$30+'Inputs'!$B$31+'Inputs'!$B$32)/1000+'Inputs'!$B$21+'Inputs'!$B$7+'Inputs'!$B$10)+'Inputs'!$B$9)^2+('Inputs'!$B$8/2)^2)-(((921-43)*MAX('Inputs'!$B$33,'Inputs'!$B$29+'Inputs'!$B$31+'Inputs'!$B$32,'Inputs'!$B$30+'Inputs'!$B$31+'Inputs'!$B$32)/1000+'Inputs'!$B$21+'Inputs'!$B$7+'Inputs'!$B$10))/SQRT((((921-43)*MAX('Inputs'!$B$33,'Inputs'!$B$29+'Inputs'!$B$31+'Inputs'!$B$32,'Inputs'!$B$30+'Inputs'!$B$31+'Inputs'!$B$32)/1000+'Inputs'!$B$21+'Inputs'!$B$7+'Inputs'!$B$10))^2+('Inputs'!$B$8/2)^2))))*'Results'!$B$8),"")</x:f>
        <x:v>0.5732486808634119</x:v>
      </x:c>
      <x:c r="K921" t="n">
        <x:f>IF(AND(ISNUMBER('Results'!B7),ISNUMBER('Results'!C7),ISNUMBER('Results'!$B$8),ISNUMBER('Inputs'!$B$6),ISNUMBER('Inputs'!$B$7),ISNUMBER('Inputs'!$B$8),ISNUMBER('Inputs'!$B$9),ISNUMBER('Inputs'!$B$10),ISNUMBER('Inputs'!$B$21),ISNUMBER('Inputs'!$B$24),ISNUMBER('Inputs'!$B$28)),((('Results'!B7*(1-'Inputs'!$B$24)*(0.5*((((921-43)*MAX('Inputs'!$B$33,'Inputs'!$B$29+'Inputs'!$B$31+'Inputs'!$B$32,'Inputs'!$B$30+'Inputs'!$B$31+'Inputs'!$B$32)/1000+'Inputs'!$B$21)+'Inputs'!$B$7)/SQRT((((921-43)*MAX('Inputs'!$B$33,'Inputs'!$B$29+'Inputs'!$B$31+'Inputs'!$B$32,'Inputs'!$B$30+'Inputs'!$B$31+'Inputs'!$B$32)/1000+'Inputs'!$B$21)+'Inputs'!$B$7)^2+('Inputs'!$B$6/2)^2)-(((921-43)*MAX('Inputs'!$B$33,'Inputs'!$B$29+'Inputs'!$B$31+'Inputs'!$B$32,'Inputs'!$B$30+'Inputs'!$B$31+'Inputs'!$B$32)/1000+'Inputs'!$B$21))/SQRT((((921-43)*MAX('Inputs'!$B$33,'Inputs'!$B$29+'Inputs'!$B$31+'Inputs'!$B$32,'Inputs'!$B$30+'Inputs'!$B$31+'Inputs'!$B$32)/1000+'Inputs'!$B$21))^2+('Inputs'!$B$6/2)^2)))-'Results'!C7*(1+'Inputs'!$B$24)*(0.5*((((921-43)*MAX('Inputs'!$B$33,'Inputs'!$B$29+'Inputs'!$B$31+'Inputs'!$B$32,'Inputs'!$B$30+'Inputs'!$B$31+'Inputs'!$B$32)/1000+'Inputs'!$B$21+'Inputs'!$B$7+'Inputs'!$B$10)+'Inputs'!$B$9)/SQRT((((921-43)*MAX('Inputs'!$B$33,'Inputs'!$B$29+'Inputs'!$B$31+'Inputs'!$B$32,'Inputs'!$B$30+'Inputs'!$B$31+'Inputs'!$B$32)/1000+'Inputs'!$B$21+'Inputs'!$B$7+'Inputs'!$B$10)+'Inputs'!$B$9)^2+('Inputs'!$B$8/2)^2)-(((921-43)*MAX('Inputs'!$B$33,'Inputs'!$B$29+'Inputs'!$B$31+'Inputs'!$B$32,'Inputs'!$B$30+'Inputs'!$B$31+'Inputs'!$B$32)/1000+'Inputs'!$B$21+'Inputs'!$B$7+'Inputs'!$B$10))/SQRT((((921-43)*MAX('Inputs'!$B$33,'Inputs'!$B$29+'Inputs'!$B$31+'Inputs'!$B$32,'Inputs'!$B$30+'Inputs'!$B$31+'Inputs'!$B$32)/1000+'Inputs'!$B$21+'Inputs'!$B$7+'Inputs'!$B$10))^2+('Inputs'!$B$8/2)^2))))*'Results'!$B$8)-'Inputs'!$B$28*ABS((('Results'!B7*(1-'Inputs'!$B$24)*(0.5*((((921-43)*MAX('Inputs'!$B$33,'Inputs'!$B$29+'Inputs'!$B$31+'Inputs'!$B$32,'Inputs'!$B$30+'Inputs'!$B$31+'Inputs'!$B$32)/1000+'Inputs'!$B$21)+'Inputs'!$B$7)/SQRT((((921-43)*MAX('Inputs'!$B$33,'Inputs'!$B$29+'Inputs'!$B$31+'Inputs'!$B$32,'Inputs'!$B$30+'Inputs'!$B$31+'Inputs'!$B$32)/1000+'Inputs'!$B$21)+'Inputs'!$B$7)^2+('Inputs'!$B$6/2)^2)-(((921-43)*MAX('Inputs'!$B$33,'Inputs'!$B$29+'Inputs'!$B$31+'Inputs'!$B$32,'Inputs'!$B$30+'Inputs'!$B$31+'Inputs'!$B$32)/1000+'Inputs'!$B$21))/SQRT((((921-43)*MAX('Inputs'!$B$33,'Inputs'!$B$29+'Inputs'!$B$31+'Inputs'!$B$32,'Inputs'!$B$30+'Inputs'!$B$31+'Inputs'!$B$32)/1000+'Inputs'!$B$21))^2+('Inputs'!$B$6/2)^2)))-'Results'!C7*(1+'Inputs'!$B$24)*(0.5*((((921-43)*MAX('Inputs'!$B$33,'Inputs'!$B$29+'Inputs'!$B$31+'Inputs'!$B$32,'Inputs'!$B$30+'Inputs'!$B$31+'Inputs'!$B$32)/1000+'Inputs'!$B$21+'Inputs'!$B$7+'Inputs'!$B$10)+'Inputs'!$B$9)/SQRT((((921-43)*MAX('Inputs'!$B$33,'Inputs'!$B$29+'Inputs'!$B$31+'Inputs'!$B$32,'Inputs'!$B$30+'Inputs'!$B$31+'Inputs'!$B$32)/1000+'Inputs'!$B$21+'Inputs'!$B$7+'Inputs'!$B$10)+'Inputs'!$B$9)^2+('Inputs'!$B$8/2)^2)-(((921-43)*MAX('Inputs'!$B$33,'Inputs'!$B$29+'Inputs'!$B$31+'Inputs'!$B$32,'Inputs'!$B$30+'Inputs'!$B$31+'Inputs'!$B$32)/1000+'Inputs'!$B$21+'Inputs'!$B$7+'Inputs'!$B$10))/SQRT((((921-43)*MAX('Inputs'!$B$33,'Inputs'!$B$29+'Inputs'!$B$31+'Inputs'!$B$32,'Inputs'!$B$30+'Inputs'!$B$31+'Inputs'!$B$32)/1000+'Inputs'!$B$21+'Inputs'!$B$7+'Inputs'!$B$10))^2+('Inputs'!$B$8/2)^2))))*'Results'!$B$8))),"")</x:f>
        <x:v>0.4863569991522533</x:v>
      </x:c>
      <x:c r="L921" t="n">
        <x:f>IF(AND(ISNUMBER('Results'!B7),ISNUMBER('Results'!C7),ISNUMBER('Results'!$B$8),ISNUMBER('Inputs'!$B$6),ISNUMBER('Inputs'!$B$7),ISNUMBER('Inputs'!$B$8),ISNUMBER('Inputs'!$B$9),ISNUMBER('Inputs'!$B$10),ISNUMBER('Inputs'!$B$21),ISNUMBER('Inputs'!$B$24),ISNUMBER('Inputs'!$B$28)),((('Results'!B7*(1+'Inputs'!$B$24)*(0.5*((((921-43)*MAX('Inputs'!$B$33,'Inputs'!$B$29+'Inputs'!$B$31+'Inputs'!$B$32,'Inputs'!$B$30+'Inputs'!$B$31+'Inputs'!$B$32)/1000+'Inputs'!$B$21)+'Inputs'!$B$7)/SQRT((((921-43)*MAX('Inputs'!$B$33,'Inputs'!$B$29+'Inputs'!$B$31+'Inputs'!$B$32,'Inputs'!$B$30+'Inputs'!$B$31+'Inputs'!$B$32)/1000+'Inputs'!$B$21)+'Inputs'!$B$7)^2+('Inputs'!$B$6/2)^2)-(((921-43)*MAX('Inputs'!$B$33,'Inputs'!$B$29+'Inputs'!$B$31+'Inputs'!$B$32,'Inputs'!$B$30+'Inputs'!$B$31+'Inputs'!$B$32)/1000+'Inputs'!$B$21))/SQRT((((921-43)*MAX('Inputs'!$B$33,'Inputs'!$B$29+'Inputs'!$B$31+'Inputs'!$B$32,'Inputs'!$B$30+'Inputs'!$B$31+'Inputs'!$B$32)/1000+'Inputs'!$B$21))^2+('Inputs'!$B$6/2)^2)))-'Results'!C7*(1-'Inputs'!$B$24)*(0.5*((((921-43)*MAX('Inputs'!$B$33,'Inputs'!$B$29+'Inputs'!$B$31+'Inputs'!$B$32,'Inputs'!$B$30+'Inputs'!$B$31+'Inputs'!$B$32)/1000+'Inputs'!$B$21+'Inputs'!$B$7+'Inputs'!$B$10)+'Inputs'!$B$9)/SQRT((((921-43)*MAX('Inputs'!$B$33,'Inputs'!$B$29+'Inputs'!$B$31+'Inputs'!$B$32,'Inputs'!$B$30+'Inputs'!$B$31+'Inputs'!$B$32)/1000+'Inputs'!$B$21+'Inputs'!$B$7+'Inputs'!$B$10)+'Inputs'!$B$9)^2+('Inputs'!$B$8/2)^2)-(((921-43)*MAX('Inputs'!$B$33,'Inputs'!$B$29+'Inputs'!$B$31+'Inputs'!$B$32,'Inputs'!$B$30+'Inputs'!$B$31+'Inputs'!$B$32)/1000+'Inputs'!$B$21+'Inputs'!$B$7+'Inputs'!$B$10))/SQRT((((921-43)*MAX('Inputs'!$B$33,'Inputs'!$B$29+'Inputs'!$B$31+'Inputs'!$B$32,'Inputs'!$B$30+'Inputs'!$B$31+'Inputs'!$B$32)/1000+'Inputs'!$B$21+'Inputs'!$B$7+'Inputs'!$B$10))^2+('Inputs'!$B$8/2)^2))))*'Results'!$B$8)+'Inputs'!$B$28*ABS((('Results'!B7*(1+'Inputs'!$B$24)*(0.5*((((921-43)*MAX('Inputs'!$B$33,'Inputs'!$B$29+'Inputs'!$B$31+'Inputs'!$B$32,'Inputs'!$B$30+'Inputs'!$B$31+'Inputs'!$B$32)/1000+'Inputs'!$B$21)+'Inputs'!$B$7)/SQRT((((921-43)*MAX('Inputs'!$B$33,'Inputs'!$B$29+'Inputs'!$B$31+'Inputs'!$B$32,'Inputs'!$B$30+'Inputs'!$B$31+'Inputs'!$B$32)/1000+'Inputs'!$B$21)+'Inputs'!$B$7)^2+('Inputs'!$B$6/2)^2)-(((921-43)*MAX('Inputs'!$B$33,'Inputs'!$B$29+'Inputs'!$B$31+'Inputs'!$B$32,'Inputs'!$B$30+'Inputs'!$B$31+'Inputs'!$B$32)/1000+'Inputs'!$B$21))/SQRT((((921-43)*MAX('Inputs'!$B$33,'Inputs'!$B$29+'Inputs'!$B$31+'Inputs'!$B$32,'Inputs'!$B$30+'Inputs'!$B$31+'Inputs'!$B$32)/1000+'Inputs'!$B$21))^2+('Inputs'!$B$6/2)^2)))-'Results'!C7*(1-'Inputs'!$B$24)*(0.5*((((921-43)*MAX('Inputs'!$B$33,'Inputs'!$B$29+'Inputs'!$B$31+'Inputs'!$B$32,'Inputs'!$B$30+'Inputs'!$B$31+'Inputs'!$B$32)/1000+'Inputs'!$B$21+'Inputs'!$B$7+'Inputs'!$B$10)+'Inputs'!$B$9)/SQRT((((921-43)*MAX('Inputs'!$B$33,'Inputs'!$B$29+'Inputs'!$B$31+'Inputs'!$B$32,'Inputs'!$B$30+'Inputs'!$B$31+'Inputs'!$B$32)/1000+'Inputs'!$B$21+'Inputs'!$B$7+'Inputs'!$B$10)+'Inputs'!$B$9)^2+('Inputs'!$B$8/2)^2)-(((921-43)*MAX('Inputs'!$B$33,'Inputs'!$B$29+'Inputs'!$B$31+'Inputs'!$B$32,'Inputs'!$B$30+'Inputs'!$B$31+'Inputs'!$B$32)/1000+'Inputs'!$B$21+'Inputs'!$B$7+'Inputs'!$B$10))/SQRT((((921-43)*MAX('Inputs'!$B$33,'Inputs'!$B$29+'Inputs'!$B$31+'Inputs'!$B$32,'Inputs'!$B$30+'Inputs'!$B$31+'Inputs'!$B$32)/1000+'Inputs'!$B$21+'Inputs'!$B$7+'Inputs'!$B$10))^2+('Inputs'!$B$8/2)^2))))*'Results'!$B$8))),"")</x:f>
        <x:v>0.6662697570659373</x:v>
      </x:c>
      <x:c r="M921" t="n">
        <x:f>IF(AND(ISNUMBER('Results'!C7),ISNUMBER('Results'!B7),ISNUMBER('Results'!$B$8),ISNUMBER('Inputs'!$B$6),ISNUMBER('Inputs'!$B$7),ISNUMBER('Inputs'!$B$8),ISNUMBER('Inputs'!$B$9),ISNUMBER('Inputs'!$B$10),ISNUMBER('Inputs'!$B$21),ISNUMBER('Inputs'!$B$24),ISNUMBER('Inputs'!$B$28)),(('Results'!C7*(0.5*((((921-43)*MAX('Inputs'!$B$33,'Inputs'!$B$29+'Inputs'!$B$31+'Inputs'!$B$32,'Inputs'!$B$30+'Inputs'!$B$31+'Inputs'!$B$32)/1000+'Inputs'!$B$21)+'Inputs'!$B$9)/SQRT((((921-43)*MAX('Inputs'!$B$33,'Inputs'!$B$29+'Inputs'!$B$31+'Inputs'!$B$32,'Inputs'!$B$30+'Inputs'!$B$31+'Inputs'!$B$32)/1000+'Inputs'!$B$21)+'Inputs'!$B$9)^2+('Inputs'!$B$8/2)^2)-(((921-43)*MAX('Inputs'!$B$33,'Inputs'!$B$29+'Inputs'!$B$31+'Inputs'!$B$32,'Inputs'!$B$30+'Inputs'!$B$31+'Inputs'!$B$32)/1000+'Inputs'!$B$21))/SQRT((((921-43)*MAX('Inputs'!$B$33,'Inputs'!$B$29+'Inputs'!$B$31+'Inputs'!$B$32,'Inputs'!$B$30+'Inputs'!$B$31+'Inputs'!$B$32)/1000+'Inputs'!$B$21))^2+('Inputs'!$B$8/2)^2)))-'Results'!B7*(0.5*((((921-43)*MAX('Inputs'!$B$33,'Inputs'!$B$29+'Inputs'!$B$31+'Inputs'!$B$32,'Inputs'!$B$30+'Inputs'!$B$31+'Inputs'!$B$32)/1000+'Inputs'!$B$21+'Inputs'!$B$9+'Inputs'!$B$10)+'Inputs'!$B$7)/SQRT((((921-43)*MAX('Inputs'!$B$33,'Inputs'!$B$29+'Inputs'!$B$31+'Inputs'!$B$32,'Inputs'!$B$30+'Inputs'!$B$31+'Inputs'!$B$32)/1000+'Inputs'!$B$21+'Inputs'!$B$9+'Inputs'!$B$10)+'Inputs'!$B$7)^2+('Inputs'!$B$6/2)^2)-(((921-43)*MAX('Inputs'!$B$33,'Inputs'!$B$29+'Inputs'!$B$31+'Inputs'!$B$32,'Inputs'!$B$30+'Inputs'!$B$31+'Inputs'!$B$32)/1000+'Inputs'!$B$21+'Inputs'!$B$9+'Inputs'!$B$10))/SQRT((((921-43)*MAX('Inputs'!$B$33,'Inputs'!$B$29+'Inputs'!$B$31+'Inputs'!$B$32,'Inputs'!$B$30+'Inputs'!$B$31+'Inputs'!$B$32)/1000+'Inputs'!$B$21+'Inputs'!$B$9+'Inputs'!$B$10))^2+('Inputs'!$B$6/2)^2))))*'Results'!$B$8),"")</x:f>
        <x:v>0.511446277058961</x:v>
      </x:c>
      <x:c r="N921" t="n">
        <x:f>IF(AND(ISNUMBER('Results'!C7),ISNUMBER('Results'!B7),ISNUMBER('Results'!$B$8),ISNUMBER('Inputs'!$B$6),ISNUMBER('Inputs'!$B$7),ISNUMBER('Inputs'!$B$8),ISNUMBER('Inputs'!$B$9),ISNUMBER('Inputs'!$B$10),ISNUMBER('Inputs'!$B$21),ISNUMBER('Inputs'!$B$24),ISNUMBER('Inputs'!$B$28)),((('Results'!C7*(1-'Inputs'!$B$24)*(0.5*((((921-43)*MAX('Inputs'!$B$33,'Inputs'!$B$29+'Inputs'!$B$31+'Inputs'!$B$32,'Inputs'!$B$30+'Inputs'!$B$31+'Inputs'!$B$32)/1000+'Inputs'!$B$21)+'Inputs'!$B$9)/SQRT((((921-43)*MAX('Inputs'!$B$33,'Inputs'!$B$29+'Inputs'!$B$31+'Inputs'!$B$32,'Inputs'!$B$30+'Inputs'!$B$31+'Inputs'!$B$32)/1000+'Inputs'!$B$21)+'Inputs'!$B$9)^2+('Inputs'!$B$8/2)^2)-(((921-43)*MAX('Inputs'!$B$33,'Inputs'!$B$29+'Inputs'!$B$31+'Inputs'!$B$32,'Inputs'!$B$30+'Inputs'!$B$31+'Inputs'!$B$32)/1000+'Inputs'!$B$21))/SQRT((((921-43)*MAX('Inputs'!$B$33,'Inputs'!$B$29+'Inputs'!$B$31+'Inputs'!$B$32,'Inputs'!$B$30+'Inputs'!$B$31+'Inputs'!$B$32)/1000+'Inputs'!$B$21))^2+('Inputs'!$B$8/2)^2)))-'Results'!B7*(1+'Inputs'!$B$24)*(0.5*((((921-43)*MAX('Inputs'!$B$33,'Inputs'!$B$29+'Inputs'!$B$31+'Inputs'!$B$32,'Inputs'!$B$30+'Inputs'!$B$31+'Inputs'!$B$32)/1000+'Inputs'!$B$21+'Inputs'!$B$9+'Inputs'!$B$10)+'Inputs'!$B$7)/SQRT((((921-43)*MAX('Inputs'!$B$33,'Inputs'!$B$29+'Inputs'!$B$31+'Inputs'!$B$32,'Inputs'!$B$30+'Inputs'!$B$31+'Inputs'!$B$32)/1000+'Inputs'!$B$21+'Inputs'!$B$9+'Inputs'!$B$10)+'Inputs'!$B$7)^2+('Inputs'!$B$6/2)^2)-(((921-43)*MAX('Inputs'!$B$33,'Inputs'!$B$29+'Inputs'!$B$31+'Inputs'!$B$32,'Inputs'!$B$30+'Inputs'!$B$31+'Inputs'!$B$32)/1000+'Inputs'!$B$21+'Inputs'!$B$9+'Inputs'!$B$10))/SQRT((((921-43)*MAX('Inputs'!$B$33,'Inputs'!$B$29+'Inputs'!$B$31+'Inputs'!$B$32,'Inputs'!$B$30+'Inputs'!$B$31+'Inputs'!$B$32)/1000+'Inputs'!$B$21+'Inputs'!$B$9+'Inputs'!$B$10))^2+('Inputs'!$B$6/2)^2))))*'Results'!$B$8)-'Inputs'!$B$28*ABS((('Results'!C7*(1-'Inputs'!$B$24)*(0.5*((((921-43)*MAX('Inputs'!$B$33,'Inputs'!$B$29+'Inputs'!$B$31+'Inputs'!$B$32,'Inputs'!$B$30+'Inputs'!$B$31+'Inputs'!$B$32)/1000+'Inputs'!$B$21)+'Inputs'!$B$9)/SQRT((((921-43)*MAX('Inputs'!$B$33,'Inputs'!$B$29+'Inputs'!$B$31+'Inputs'!$B$32,'Inputs'!$B$30+'Inputs'!$B$31+'Inputs'!$B$32)/1000+'Inputs'!$B$21)+'Inputs'!$B$9)^2+('Inputs'!$B$8/2)^2)-(((921-43)*MAX('Inputs'!$B$33,'Inputs'!$B$29+'Inputs'!$B$31+'Inputs'!$B$32,'Inputs'!$B$30+'Inputs'!$B$31+'Inputs'!$B$32)/1000+'Inputs'!$B$21))/SQRT((((921-43)*MAX('Inputs'!$B$33,'Inputs'!$B$29+'Inputs'!$B$31+'Inputs'!$B$32,'Inputs'!$B$30+'Inputs'!$B$31+'Inputs'!$B$32)/1000+'Inputs'!$B$21))^2+('Inputs'!$B$8/2)^2)))-'Results'!B7*(1+'Inputs'!$B$24)*(0.5*((((921-43)*MAX('Inputs'!$B$33,'Inputs'!$B$29+'Inputs'!$B$31+'Inputs'!$B$32,'Inputs'!$B$30+'Inputs'!$B$31+'Inputs'!$B$32)/1000+'Inputs'!$B$21+'Inputs'!$B$9+'Inputs'!$B$10)+'Inputs'!$B$7)/SQRT((((921-43)*MAX('Inputs'!$B$33,'Inputs'!$B$29+'Inputs'!$B$31+'Inputs'!$B$32,'Inputs'!$B$30+'Inputs'!$B$31+'Inputs'!$B$32)/1000+'Inputs'!$B$21+'Inputs'!$B$9+'Inputs'!$B$10)+'Inputs'!$B$7)^2+('Inputs'!$B$6/2)^2)-(((921-43)*MAX('Inputs'!$B$33,'Inputs'!$B$29+'Inputs'!$B$31+'Inputs'!$B$32,'Inputs'!$B$30+'Inputs'!$B$31+'Inputs'!$B$32)/1000+'Inputs'!$B$21+'Inputs'!$B$9+'Inputs'!$B$10))/SQRT((((921-43)*MAX('Inputs'!$B$33,'Inputs'!$B$29+'Inputs'!$B$31+'Inputs'!$B$32,'Inputs'!$B$30+'Inputs'!$B$31+'Inputs'!$B$32)/1000+'Inputs'!$B$21+'Inputs'!$B$9+'Inputs'!$B$10))^2+('Inputs'!$B$6/2)^2))))*'Results'!$B$8))),"")</x:f>
        <x:v>0.4278528893178282</x:v>
      </x:c>
      <x:c r="O921" t="n">
        <x:f>IF(AND(ISNUMBER('Results'!C7),ISNUMBER('Results'!B7),ISNUMBER('Results'!$B$8),ISNUMBER('Inputs'!$B$6),ISNUMBER('Inputs'!$B$7),ISNUMBER('Inputs'!$B$8),ISNUMBER('Inputs'!$B$9),ISNUMBER('Inputs'!$B$10),ISNUMBER('Inputs'!$B$21),ISNUMBER('Inputs'!$B$24),ISNUMBER('Inputs'!$B$28)),((('Results'!C7*(1+'Inputs'!$B$24)*(0.5*((((921-43)*MAX('Inputs'!$B$33,'Inputs'!$B$29+'Inputs'!$B$31+'Inputs'!$B$32,'Inputs'!$B$30+'Inputs'!$B$31+'Inputs'!$B$32)/1000+'Inputs'!$B$21)+'Inputs'!$B$9)/SQRT((((921-43)*MAX('Inputs'!$B$33,'Inputs'!$B$29+'Inputs'!$B$31+'Inputs'!$B$32,'Inputs'!$B$30+'Inputs'!$B$31+'Inputs'!$B$32)/1000+'Inputs'!$B$21)+'Inputs'!$B$9)^2+('Inputs'!$B$8/2)^2)-(((921-43)*MAX('Inputs'!$B$33,'Inputs'!$B$29+'Inputs'!$B$31+'Inputs'!$B$32,'Inputs'!$B$30+'Inputs'!$B$31+'Inputs'!$B$32)/1000+'Inputs'!$B$21))/SQRT((((921-43)*MAX('Inputs'!$B$33,'Inputs'!$B$29+'Inputs'!$B$31+'Inputs'!$B$32,'Inputs'!$B$30+'Inputs'!$B$31+'Inputs'!$B$32)/1000+'Inputs'!$B$21))^2+('Inputs'!$B$8/2)^2)))-'Results'!B7*(1-'Inputs'!$B$24)*(0.5*((((921-43)*MAX('Inputs'!$B$33,'Inputs'!$B$29+'Inputs'!$B$31+'Inputs'!$B$32,'Inputs'!$B$30+'Inputs'!$B$31+'Inputs'!$B$32)/1000+'Inputs'!$B$21+'Inputs'!$B$9+'Inputs'!$B$10)+'Inputs'!$B$7)/SQRT((((921-43)*MAX('Inputs'!$B$33,'Inputs'!$B$29+'Inputs'!$B$31+'Inputs'!$B$32,'Inputs'!$B$30+'Inputs'!$B$31+'Inputs'!$B$32)/1000+'Inputs'!$B$21+'Inputs'!$B$9+'Inputs'!$B$10)+'Inputs'!$B$7)^2+('Inputs'!$B$6/2)^2)-(((921-43)*MAX('Inputs'!$B$33,'Inputs'!$B$29+'Inputs'!$B$31+'Inputs'!$B$32,'Inputs'!$B$30+'Inputs'!$B$31+'Inputs'!$B$32)/1000+'Inputs'!$B$21+'Inputs'!$B$9+'Inputs'!$B$10))/SQRT((((921-43)*MAX('Inputs'!$B$33,'Inputs'!$B$29+'Inputs'!$B$31+'Inputs'!$B$32,'Inputs'!$B$30+'Inputs'!$B$31+'Inputs'!$B$32)/1000+'Inputs'!$B$21+'Inputs'!$B$9+'Inputs'!$B$10))^2+('Inputs'!$B$6/2)^2))))*'Results'!$B$8)+'Inputs'!$B$28*ABS((('Results'!C7*(1+'Inputs'!$B$24)*(0.5*((((921-43)*MAX('Inputs'!$B$33,'Inputs'!$B$29+'Inputs'!$B$31+'Inputs'!$B$32,'Inputs'!$B$30+'Inputs'!$B$31+'Inputs'!$B$32)/1000+'Inputs'!$B$21)+'Inputs'!$B$9)/SQRT((((921-43)*MAX('Inputs'!$B$33,'Inputs'!$B$29+'Inputs'!$B$31+'Inputs'!$B$32,'Inputs'!$B$30+'Inputs'!$B$31+'Inputs'!$B$32)/1000+'Inputs'!$B$21)+'Inputs'!$B$9)^2+('Inputs'!$B$8/2)^2)-(((921-43)*MAX('Inputs'!$B$33,'Inputs'!$B$29+'Inputs'!$B$31+'Inputs'!$B$32,'Inputs'!$B$30+'Inputs'!$B$31+'Inputs'!$B$32)/1000+'Inputs'!$B$21))/SQRT((((921-43)*MAX('Inputs'!$B$33,'Inputs'!$B$29+'Inputs'!$B$31+'Inputs'!$B$32,'Inputs'!$B$30+'Inputs'!$B$31+'Inputs'!$B$32)/1000+'Inputs'!$B$21))^2+('Inputs'!$B$8/2)^2)))-'Results'!B7*(1-'Inputs'!$B$24)*(0.5*((((921-43)*MAX('Inputs'!$B$33,'Inputs'!$B$29+'Inputs'!$B$31+'Inputs'!$B$32,'Inputs'!$B$30+'Inputs'!$B$31+'Inputs'!$B$32)/1000+'Inputs'!$B$21+'Inputs'!$B$9+'Inputs'!$B$10)+'Inputs'!$B$7)/SQRT((((921-43)*MAX('Inputs'!$B$33,'Inputs'!$B$29+'Inputs'!$B$31+'Inputs'!$B$32,'Inputs'!$B$30+'Inputs'!$B$31+'Inputs'!$B$32)/1000+'Inputs'!$B$21+'Inputs'!$B$9+'Inputs'!$B$10)+'Inputs'!$B$7)^2+('Inputs'!$B$6/2)^2)-(((921-43)*MAX('Inputs'!$B$33,'Inputs'!$B$29+'Inputs'!$B$31+'Inputs'!$B$32,'Inputs'!$B$30+'Inputs'!$B$31+'Inputs'!$B$32)/1000+'Inputs'!$B$21+'Inputs'!$B$9+'Inputs'!$B$10))/SQRT((((921-43)*MAX('Inputs'!$B$33,'Inputs'!$B$29+'Inputs'!$B$31+'Inputs'!$B$32,'Inputs'!$B$30+'Inputs'!$B$31+'Inputs'!$B$32)/1000+'Inputs'!$B$21+'Inputs'!$B$9+'Inputs'!$B$10))^2+('Inputs'!$B$6/2)^2))))*'Results'!$B$8))),"")</x:f>
        <x:v>0.6011471462620075</x:v>
      </x:c>
      <x:c r="P921" t="n">
        <x:f>IF(AND(MAX(J921,J920)&gt;0,J921&gt;J920+0.00000001),1,0)</x:f>
        <x:v>0</x:v>
      </x:c>
      <x:c r="Q921" t="n">
        <x:f>IF(AND(MAX(K921,K920)&gt;0,K921&gt;K920+0.00000001),1,0)</x:f>
        <x:v>0</x:v>
      </x:c>
      <x:c r="R921" t="n">
        <x:f>IF(AND(MAX(L921,L920)&gt;0,L921&gt;L920+0.00000001),1,0)</x:f>
        <x:v>0</x:v>
      </x:c>
      <x:c r="S921" t="n">
        <x:f>IF(AND(MAX(M921,M920)&gt;0,M921&gt;M920+0.00000001),1,0)</x:f>
        <x:v>0</x:v>
      </x:c>
      <x:c r="T921" t="n">
        <x:f>IF(AND(MAX(N921,N920)&gt;0,N921&gt;N920+0.00000001),1,0)</x:f>
        <x:v>0</x:v>
      </x:c>
      <x:c r="U921" t="n">
        <x:f>IF(AND(MAX(O921,O920)&gt;0,O921&gt;O920+0.00000001),1,0)</x:f>
        <x:v>0</x:v>
      </x:c>
    </x:row>
    <x:row r="922">
      <x:c r="J922" t="n">
        <x:f>IF(AND(ISNUMBER('Results'!B7),ISNUMBER('Results'!C7),ISNUMBER('Results'!$B$8),ISNUMBER('Inputs'!$B$6),ISNUMBER('Inputs'!$B$7),ISNUMBER('Inputs'!$B$8),ISNUMBER('Inputs'!$B$9),ISNUMBER('Inputs'!$B$10),ISNUMBER('Inputs'!$B$21),ISNUMBER('Inputs'!$B$24),ISNUMBER('Inputs'!$B$28)),(('Results'!B7*(0.5*((((922-43)*MAX('Inputs'!$B$33,'Inputs'!$B$29+'Inputs'!$B$31+'Inputs'!$B$32,'Inputs'!$B$30+'Inputs'!$B$31+'Inputs'!$B$32)/1000+'Inputs'!$B$21)+'Inputs'!$B$7)/SQRT((((922-43)*MAX('Inputs'!$B$33,'Inputs'!$B$29+'Inputs'!$B$31+'Inputs'!$B$32,'Inputs'!$B$30+'Inputs'!$B$31+'Inputs'!$B$32)/1000+'Inputs'!$B$21)+'Inputs'!$B$7)^2+('Inputs'!$B$6/2)^2)-(((922-43)*MAX('Inputs'!$B$33,'Inputs'!$B$29+'Inputs'!$B$31+'Inputs'!$B$32,'Inputs'!$B$30+'Inputs'!$B$31+'Inputs'!$B$32)/1000+'Inputs'!$B$21))/SQRT((((922-43)*MAX('Inputs'!$B$33,'Inputs'!$B$29+'Inputs'!$B$31+'Inputs'!$B$32,'Inputs'!$B$30+'Inputs'!$B$31+'Inputs'!$B$32)/1000+'Inputs'!$B$21))^2+('Inputs'!$B$6/2)^2)))-'Results'!C7*(0.5*((((922-43)*MAX('Inputs'!$B$33,'Inputs'!$B$29+'Inputs'!$B$31+'Inputs'!$B$32,'Inputs'!$B$30+'Inputs'!$B$31+'Inputs'!$B$32)/1000+'Inputs'!$B$21+'Inputs'!$B$7+'Inputs'!$B$10)+'Inputs'!$B$9)/SQRT((((922-43)*MAX('Inputs'!$B$33,'Inputs'!$B$29+'Inputs'!$B$31+'Inputs'!$B$32,'Inputs'!$B$30+'Inputs'!$B$31+'Inputs'!$B$32)/1000+'Inputs'!$B$21+'Inputs'!$B$7+'Inputs'!$B$10)+'Inputs'!$B$9)^2+('Inputs'!$B$8/2)^2)-(((922-43)*MAX('Inputs'!$B$33,'Inputs'!$B$29+'Inputs'!$B$31+'Inputs'!$B$32,'Inputs'!$B$30+'Inputs'!$B$31+'Inputs'!$B$32)/1000+'Inputs'!$B$21+'Inputs'!$B$7+'Inputs'!$B$10))/SQRT((((922-43)*MAX('Inputs'!$B$33,'Inputs'!$B$29+'Inputs'!$B$31+'Inputs'!$B$32,'Inputs'!$B$30+'Inputs'!$B$31+'Inputs'!$B$32)/1000+'Inputs'!$B$21+'Inputs'!$B$7+'Inputs'!$B$10))^2+('Inputs'!$B$8/2)^2))))*'Results'!$B$8),"")</x:f>
        <x:v>0.5708905140004843</x:v>
      </x:c>
      <x:c r="K922" t="n">
        <x:f>IF(AND(ISNUMBER('Results'!B7),ISNUMBER('Results'!C7),ISNUMBER('Results'!$B$8),ISNUMBER('Inputs'!$B$6),ISNUMBER('Inputs'!$B$7),ISNUMBER('Inputs'!$B$8),ISNUMBER('Inputs'!$B$9),ISNUMBER('Inputs'!$B$10),ISNUMBER('Inputs'!$B$21),ISNUMBER('Inputs'!$B$24),ISNUMBER('Inputs'!$B$28)),((('Results'!B7*(1-'Inputs'!$B$24)*(0.5*((((922-43)*MAX('Inputs'!$B$33,'Inputs'!$B$29+'Inputs'!$B$31+'Inputs'!$B$32,'Inputs'!$B$30+'Inputs'!$B$31+'Inputs'!$B$32)/1000+'Inputs'!$B$21)+'Inputs'!$B$7)/SQRT((((922-43)*MAX('Inputs'!$B$33,'Inputs'!$B$29+'Inputs'!$B$31+'Inputs'!$B$32,'Inputs'!$B$30+'Inputs'!$B$31+'Inputs'!$B$32)/1000+'Inputs'!$B$21)+'Inputs'!$B$7)^2+('Inputs'!$B$6/2)^2)-(((922-43)*MAX('Inputs'!$B$33,'Inputs'!$B$29+'Inputs'!$B$31+'Inputs'!$B$32,'Inputs'!$B$30+'Inputs'!$B$31+'Inputs'!$B$32)/1000+'Inputs'!$B$21))/SQRT((((922-43)*MAX('Inputs'!$B$33,'Inputs'!$B$29+'Inputs'!$B$31+'Inputs'!$B$32,'Inputs'!$B$30+'Inputs'!$B$31+'Inputs'!$B$32)/1000+'Inputs'!$B$21))^2+('Inputs'!$B$6/2)^2)))-'Results'!C7*(1+'Inputs'!$B$24)*(0.5*((((922-43)*MAX('Inputs'!$B$33,'Inputs'!$B$29+'Inputs'!$B$31+'Inputs'!$B$32,'Inputs'!$B$30+'Inputs'!$B$31+'Inputs'!$B$32)/1000+'Inputs'!$B$21+'Inputs'!$B$7+'Inputs'!$B$10)+'Inputs'!$B$9)/SQRT((((922-43)*MAX('Inputs'!$B$33,'Inputs'!$B$29+'Inputs'!$B$31+'Inputs'!$B$32,'Inputs'!$B$30+'Inputs'!$B$31+'Inputs'!$B$32)/1000+'Inputs'!$B$21+'Inputs'!$B$7+'Inputs'!$B$10)+'Inputs'!$B$9)^2+('Inputs'!$B$8/2)^2)-(((922-43)*MAX('Inputs'!$B$33,'Inputs'!$B$29+'Inputs'!$B$31+'Inputs'!$B$32,'Inputs'!$B$30+'Inputs'!$B$31+'Inputs'!$B$32)/1000+'Inputs'!$B$21+'Inputs'!$B$7+'Inputs'!$B$10))/SQRT((((922-43)*MAX('Inputs'!$B$33,'Inputs'!$B$29+'Inputs'!$B$31+'Inputs'!$B$32,'Inputs'!$B$30+'Inputs'!$B$31+'Inputs'!$B$32)/1000+'Inputs'!$B$21+'Inputs'!$B$7+'Inputs'!$B$10))^2+('Inputs'!$B$8/2)^2))))*'Results'!$B$8)-'Inputs'!$B$28*ABS((('Results'!B7*(1-'Inputs'!$B$24)*(0.5*((((922-43)*MAX('Inputs'!$B$33,'Inputs'!$B$29+'Inputs'!$B$31+'Inputs'!$B$32,'Inputs'!$B$30+'Inputs'!$B$31+'Inputs'!$B$32)/1000+'Inputs'!$B$21)+'Inputs'!$B$7)/SQRT((((922-43)*MAX('Inputs'!$B$33,'Inputs'!$B$29+'Inputs'!$B$31+'Inputs'!$B$32,'Inputs'!$B$30+'Inputs'!$B$31+'Inputs'!$B$32)/1000+'Inputs'!$B$21)+'Inputs'!$B$7)^2+('Inputs'!$B$6/2)^2)-(((922-43)*MAX('Inputs'!$B$33,'Inputs'!$B$29+'Inputs'!$B$31+'Inputs'!$B$32,'Inputs'!$B$30+'Inputs'!$B$31+'Inputs'!$B$32)/1000+'Inputs'!$B$21))/SQRT((((922-43)*MAX('Inputs'!$B$33,'Inputs'!$B$29+'Inputs'!$B$31+'Inputs'!$B$32,'Inputs'!$B$30+'Inputs'!$B$31+'Inputs'!$B$32)/1000+'Inputs'!$B$21))^2+('Inputs'!$B$6/2)^2)))-'Results'!C7*(1+'Inputs'!$B$24)*(0.5*((((922-43)*MAX('Inputs'!$B$33,'Inputs'!$B$29+'Inputs'!$B$31+'Inputs'!$B$32,'Inputs'!$B$30+'Inputs'!$B$31+'Inputs'!$B$32)/1000+'Inputs'!$B$21+'Inputs'!$B$7+'Inputs'!$B$10)+'Inputs'!$B$9)/SQRT((((922-43)*MAX('Inputs'!$B$33,'Inputs'!$B$29+'Inputs'!$B$31+'Inputs'!$B$32,'Inputs'!$B$30+'Inputs'!$B$31+'Inputs'!$B$32)/1000+'Inputs'!$B$21+'Inputs'!$B$7+'Inputs'!$B$10)+'Inputs'!$B$9)^2+('Inputs'!$B$8/2)^2)-(((922-43)*MAX('Inputs'!$B$33,'Inputs'!$B$29+'Inputs'!$B$31+'Inputs'!$B$32,'Inputs'!$B$30+'Inputs'!$B$31+'Inputs'!$B$32)/1000+'Inputs'!$B$21+'Inputs'!$B$7+'Inputs'!$B$10))/SQRT((((922-43)*MAX('Inputs'!$B$33,'Inputs'!$B$29+'Inputs'!$B$31+'Inputs'!$B$32,'Inputs'!$B$30+'Inputs'!$B$31+'Inputs'!$B$32)/1000+'Inputs'!$B$21+'Inputs'!$B$7+'Inputs'!$B$10))^2+('Inputs'!$B$8/2)^2))))*'Results'!$B$8))),"")</x:f>
        <x:v>0.48430074092999487</x:v>
      </x:c>
      <x:c r="L922" t="n">
        <x:f>IF(AND(ISNUMBER('Results'!B7),ISNUMBER('Results'!C7),ISNUMBER('Results'!$B$8),ISNUMBER('Inputs'!$B$6),ISNUMBER('Inputs'!$B$7),ISNUMBER('Inputs'!$B$8),ISNUMBER('Inputs'!$B$9),ISNUMBER('Inputs'!$B$10),ISNUMBER('Inputs'!$B$21),ISNUMBER('Inputs'!$B$24),ISNUMBER('Inputs'!$B$28)),((('Results'!B7*(1+'Inputs'!$B$24)*(0.5*((((922-43)*MAX('Inputs'!$B$33,'Inputs'!$B$29+'Inputs'!$B$31+'Inputs'!$B$32,'Inputs'!$B$30+'Inputs'!$B$31+'Inputs'!$B$32)/1000+'Inputs'!$B$21)+'Inputs'!$B$7)/SQRT((((922-43)*MAX('Inputs'!$B$33,'Inputs'!$B$29+'Inputs'!$B$31+'Inputs'!$B$32,'Inputs'!$B$30+'Inputs'!$B$31+'Inputs'!$B$32)/1000+'Inputs'!$B$21)+'Inputs'!$B$7)^2+('Inputs'!$B$6/2)^2)-(((922-43)*MAX('Inputs'!$B$33,'Inputs'!$B$29+'Inputs'!$B$31+'Inputs'!$B$32,'Inputs'!$B$30+'Inputs'!$B$31+'Inputs'!$B$32)/1000+'Inputs'!$B$21))/SQRT((((922-43)*MAX('Inputs'!$B$33,'Inputs'!$B$29+'Inputs'!$B$31+'Inputs'!$B$32,'Inputs'!$B$30+'Inputs'!$B$31+'Inputs'!$B$32)/1000+'Inputs'!$B$21))^2+('Inputs'!$B$6/2)^2)))-'Results'!C7*(1-'Inputs'!$B$24)*(0.5*((((922-43)*MAX('Inputs'!$B$33,'Inputs'!$B$29+'Inputs'!$B$31+'Inputs'!$B$32,'Inputs'!$B$30+'Inputs'!$B$31+'Inputs'!$B$32)/1000+'Inputs'!$B$21+'Inputs'!$B$7+'Inputs'!$B$10)+'Inputs'!$B$9)/SQRT((((922-43)*MAX('Inputs'!$B$33,'Inputs'!$B$29+'Inputs'!$B$31+'Inputs'!$B$32,'Inputs'!$B$30+'Inputs'!$B$31+'Inputs'!$B$32)/1000+'Inputs'!$B$21+'Inputs'!$B$7+'Inputs'!$B$10)+'Inputs'!$B$9)^2+('Inputs'!$B$8/2)^2)-(((922-43)*MAX('Inputs'!$B$33,'Inputs'!$B$29+'Inputs'!$B$31+'Inputs'!$B$32,'Inputs'!$B$30+'Inputs'!$B$31+'Inputs'!$B$32)/1000+'Inputs'!$B$21+'Inputs'!$B$7+'Inputs'!$B$10))/SQRT((((922-43)*MAX('Inputs'!$B$33,'Inputs'!$B$29+'Inputs'!$B$31+'Inputs'!$B$32,'Inputs'!$B$30+'Inputs'!$B$31+'Inputs'!$B$32)/1000+'Inputs'!$B$21+'Inputs'!$B$7+'Inputs'!$B$10))^2+('Inputs'!$B$8/2)^2))))*'Results'!$B$8)+'Inputs'!$B$28*ABS((('Results'!B7*(1+'Inputs'!$B$24)*(0.5*((((922-43)*MAX('Inputs'!$B$33,'Inputs'!$B$29+'Inputs'!$B$31+'Inputs'!$B$32,'Inputs'!$B$30+'Inputs'!$B$31+'Inputs'!$B$32)/1000+'Inputs'!$B$21)+'Inputs'!$B$7)/SQRT((((922-43)*MAX('Inputs'!$B$33,'Inputs'!$B$29+'Inputs'!$B$31+'Inputs'!$B$32,'Inputs'!$B$30+'Inputs'!$B$31+'Inputs'!$B$32)/1000+'Inputs'!$B$21)+'Inputs'!$B$7)^2+('Inputs'!$B$6/2)^2)-(((922-43)*MAX('Inputs'!$B$33,'Inputs'!$B$29+'Inputs'!$B$31+'Inputs'!$B$32,'Inputs'!$B$30+'Inputs'!$B$31+'Inputs'!$B$32)/1000+'Inputs'!$B$21))/SQRT((((922-43)*MAX('Inputs'!$B$33,'Inputs'!$B$29+'Inputs'!$B$31+'Inputs'!$B$32,'Inputs'!$B$30+'Inputs'!$B$31+'Inputs'!$B$32)/1000+'Inputs'!$B$21))^2+('Inputs'!$B$6/2)^2)))-'Results'!C7*(1-'Inputs'!$B$24)*(0.5*((((922-43)*MAX('Inputs'!$B$33,'Inputs'!$B$29+'Inputs'!$B$31+'Inputs'!$B$32,'Inputs'!$B$30+'Inputs'!$B$31+'Inputs'!$B$32)/1000+'Inputs'!$B$21+'Inputs'!$B$7+'Inputs'!$B$10)+'Inputs'!$B$9)/SQRT((((922-43)*MAX('Inputs'!$B$33,'Inputs'!$B$29+'Inputs'!$B$31+'Inputs'!$B$32,'Inputs'!$B$30+'Inputs'!$B$31+'Inputs'!$B$32)/1000+'Inputs'!$B$21+'Inputs'!$B$7+'Inputs'!$B$10)+'Inputs'!$B$9)^2+('Inputs'!$B$8/2)^2)-(((922-43)*MAX('Inputs'!$B$33,'Inputs'!$B$29+'Inputs'!$B$31+'Inputs'!$B$32,'Inputs'!$B$30+'Inputs'!$B$31+'Inputs'!$B$32)/1000+'Inputs'!$B$21+'Inputs'!$B$7+'Inputs'!$B$10))/SQRT((((922-43)*MAX('Inputs'!$B$33,'Inputs'!$B$29+'Inputs'!$B$31+'Inputs'!$B$32,'Inputs'!$B$30+'Inputs'!$B$31+'Inputs'!$B$32)/1000+'Inputs'!$B$21+'Inputs'!$B$7+'Inputs'!$B$10))^2+('Inputs'!$B$8/2)^2))))*'Results'!$B$8))),"")</x:f>
        <x:v>0.6635903131099699</x:v>
      </x:c>
      <x:c r="M922" t="n">
        <x:f>IF(AND(ISNUMBER('Results'!C7),ISNUMBER('Results'!B7),ISNUMBER('Results'!$B$8),ISNUMBER('Inputs'!$B$6),ISNUMBER('Inputs'!$B$7),ISNUMBER('Inputs'!$B$8),ISNUMBER('Inputs'!$B$9),ISNUMBER('Inputs'!$B$10),ISNUMBER('Inputs'!$B$21),ISNUMBER('Inputs'!$B$24),ISNUMBER('Inputs'!$B$28)),(('Results'!C7*(0.5*((((922-43)*MAX('Inputs'!$B$33,'Inputs'!$B$29+'Inputs'!$B$31+'Inputs'!$B$32,'Inputs'!$B$30+'Inputs'!$B$31+'Inputs'!$B$32)/1000+'Inputs'!$B$21)+'Inputs'!$B$9)/SQRT((((922-43)*MAX('Inputs'!$B$33,'Inputs'!$B$29+'Inputs'!$B$31+'Inputs'!$B$32,'Inputs'!$B$30+'Inputs'!$B$31+'Inputs'!$B$32)/1000+'Inputs'!$B$21)+'Inputs'!$B$9)^2+('Inputs'!$B$8/2)^2)-(((922-43)*MAX('Inputs'!$B$33,'Inputs'!$B$29+'Inputs'!$B$31+'Inputs'!$B$32,'Inputs'!$B$30+'Inputs'!$B$31+'Inputs'!$B$32)/1000+'Inputs'!$B$21))/SQRT((((922-43)*MAX('Inputs'!$B$33,'Inputs'!$B$29+'Inputs'!$B$31+'Inputs'!$B$32,'Inputs'!$B$30+'Inputs'!$B$31+'Inputs'!$B$32)/1000+'Inputs'!$B$21))^2+('Inputs'!$B$8/2)^2)))-'Results'!B7*(0.5*((((922-43)*MAX('Inputs'!$B$33,'Inputs'!$B$29+'Inputs'!$B$31+'Inputs'!$B$32,'Inputs'!$B$30+'Inputs'!$B$31+'Inputs'!$B$32)/1000+'Inputs'!$B$21+'Inputs'!$B$9+'Inputs'!$B$10)+'Inputs'!$B$7)/SQRT((((922-43)*MAX('Inputs'!$B$33,'Inputs'!$B$29+'Inputs'!$B$31+'Inputs'!$B$32,'Inputs'!$B$30+'Inputs'!$B$31+'Inputs'!$B$32)/1000+'Inputs'!$B$21+'Inputs'!$B$9+'Inputs'!$B$10)+'Inputs'!$B$7)^2+('Inputs'!$B$6/2)^2)-(((922-43)*MAX('Inputs'!$B$33,'Inputs'!$B$29+'Inputs'!$B$31+'Inputs'!$B$32,'Inputs'!$B$30+'Inputs'!$B$31+'Inputs'!$B$32)/1000+'Inputs'!$B$21+'Inputs'!$B$9+'Inputs'!$B$10))/SQRT((((922-43)*MAX('Inputs'!$B$33,'Inputs'!$B$29+'Inputs'!$B$31+'Inputs'!$B$32,'Inputs'!$B$30+'Inputs'!$B$31+'Inputs'!$B$32)/1000+'Inputs'!$B$21+'Inputs'!$B$9+'Inputs'!$B$10))^2+('Inputs'!$B$6/2)^2))))*'Results'!$B$8),"")</x:f>
        <x:v>0.5092832898338889</x:v>
      </x:c>
      <x:c r="N922" t="n">
        <x:f>IF(AND(ISNUMBER('Results'!C7),ISNUMBER('Results'!B7),ISNUMBER('Results'!$B$8),ISNUMBER('Inputs'!$B$6),ISNUMBER('Inputs'!$B$7),ISNUMBER('Inputs'!$B$8),ISNUMBER('Inputs'!$B$9),ISNUMBER('Inputs'!$B$10),ISNUMBER('Inputs'!$B$21),ISNUMBER('Inputs'!$B$24),ISNUMBER('Inputs'!$B$28)),((('Results'!C7*(1-'Inputs'!$B$24)*(0.5*((((922-43)*MAX('Inputs'!$B$33,'Inputs'!$B$29+'Inputs'!$B$31+'Inputs'!$B$32,'Inputs'!$B$30+'Inputs'!$B$31+'Inputs'!$B$32)/1000+'Inputs'!$B$21)+'Inputs'!$B$9)/SQRT((((922-43)*MAX('Inputs'!$B$33,'Inputs'!$B$29+'Inputs'!$B$31+'Inputs'!$B$32,'Inputs'!$B$30+'Inputs'!$B$31+'Inputs'!$B$32)/1000+'Inputs'!$B$21)+'Inputs'!$B$9)^2+('Inputs'!$B$8/2)^2)-(((922-43)*MAX('Inputs'!$B$33,'Inputs'!$B$29+'Inputs'!$B$31+'Inputs'!$B$32,'Inputs'!$B$30+'Inputs'!$B$31+'Inputs'!$B$32)/1000+'Inputs'!$B$21))/SQRT((((922-43)*MAX('Inputs'!$B$33,'Inputs'!$B$29+'Inputs'!$B$31+'Inputs'!$B$32,'Inputs'!$B$30+'Inputs'!$B$31+'Inputs'!$B$32)/1000+'Inputs'!$B$21))^2+('Inputs'!$B$8/2)^2)))-'Results'!B7*(1+'Inputs'!$B$24)*(0.5*((((922-43)*MAX('Inputs'!$B$33,'Inputs'!$B$29+'Inputs'!$B$31+'Inputs'!$B$32,'Inputs'!$B$30+'Inputs'!$B$31+'Inputs'!$B$32)/1000+'Inputs'!$B$21+'Inputs'!$B$9+'Inputs'!$B$10)+'Inputs'!$B$7)/SQRT((((922-43)*MAX('Inputs'!$B$33,'Inputs'!$B$29+'Inputs'!$B$31+'Inputs'!$B$32,'Inputs'!$B$30+'Inputs'!$B$31+'Inputs'!$B$32)/1000+'Inputs'!$B$21+'Inputs'!$B$9+'Inputs'!$B$10)+'Inputs'!$B$7)^2+('Inputs'!$B$6/2)^2)-(((922-43)*MAX('Inputs'!$B$33,'Inputs'!$B$29+'Inputs'!$B$31+'Inputs'!$B$32,'Inputs'!$B$30+'Inputs'!$B$31+'Inputs'!$B$32)/1000+'Inputs'!$B$21+'Inputs'!$B$9+'Inputs'!$B$10))/SQRT((((922-43)*MAX('Inputs'!$B$33,'Inputs'!$B$29+'Inputs'!$B$31+'Inputs'!$B$32,'Inputs'!$B$30+'Inputs'!$B$31+'Inputs'!$B$32)/1000+'Inputs'!$B$21+'Inputs'!$B$9+'Inputs'!$B$10))^2+('Inputs'!$B$6/2)^2))))*'Results'!$B$8)-'Inputs'!$B$28*ABS((('Results'!C7*(1-'Inputs'!$B$24)*(0.5*((((922-43)*MAX('Inputs'!$B$33,'Inputs'!$B$29+'Inputs'!$B$31+'Inputs'!$B$32,'Inputs'!$B$30+'Inputs'!$B$31+'Inputs'!$B$32)/1000+'Inputs'!$B$21)+'Inputs'!$B$9)/SQRT((((922-43)*MAX('Inputs'!$B$33,'Inputs'!$B$29+'Inputs'!$B$31+'Inputs'!$B$32,'Inputs'!$B$30+'Inputs'!$B$31+'Inputs'!$B$32)/1000+'Inputs'!$B$21)+'Inputs'!$B$9)^2+('Inputs'!$B$8/2)^2)-(((922-43)*MAX('Inputs'!$B$33,'Inputs'!$B$29+'Inputs'!$B$31+'Inputs'!$B$32,'Inputs'!$B$30+'Inputs'!$B$31+'Inputs'!$B$32)/1000+'Inputs'!$B$21))/SQRT((((922-43)*MAX('Inputs'!$B$33,'Inputs'!$B$29+'Inputs'!$B$31+'Inputs'!$B$32,'Inputs'!$B$30+'Inputs'!$B$31+'Inputs'!$B$32)/1000+'Inputs'!$B$21))^2+('Inputs'!$B$8/2)^2)))-'Results'!B7*(1+'Inputs'!$B$24)*(0.5*((((922-43)*MAX('Inputs'!$B$33,'Inputs'!$B$29+'Inputs'!$B$31+'Inputs'!$B$32,'Inputs'!$B$30+'Inputs'!$B$31+'Inputs'!$B$32)/1000+'Inputs'!$B$21+'Inputs'!$B$9+'Inputs'!$B$10)+'Inputs'!$B$7)/SQRT((((922-43)*MAX('Inputs'!$B$33,'Inputs'!$B$29+'Inputs'!$B$31+'Inputs'!$B$32,'Inputs'!$B$30+'Inputs'!$B$31+'Inputs'!$B$32)/1000+'Inputs'!$B$21+'Inputs'!$B$9+'Inputs'!$B$10)+'Inputs'!$B$7)^2+('Inputs'!$B$6/2)^2)-(((922-43)*MAX('Inputs'!$B$33,'Inputs'!$B$29+'Inputs'!$B$31+'Inputs'!$B$32,'Inputs'!$B$30+'Inputs'!$B$31+'Inputs'!$B$32)/1000+'Inputs'!$B$21+'Inputs'!$B$9+'Inputs'!$B$10))/SQRT((((922-43)*MAX('Inputs'!$B$33,'Inputs'!$B$29+'Inputs'!$B$31+'Inputs'!$B$32,'Inputs'!$B$30+'Inputs'!$B$31+'Inputs'!$B$32)/1000+'Inputs'!$B$21+'Inputs'!$B$9+'Inputs'!$B$10))^2+('Inputs'!$B$6/2)^2))))*'Results'!$B$8))),"")</x:f>
        <x:v>0.42598118405529356</x:v>
      </x:c>
      <x:c r="O922" t="n">
        <x:f>IF(AND(ISNUMBER('Results'!C7),ISNUMBER('Results'!B7),ISNUMBER('Results'!$B$8),ISNUMBER('Inputs'!$B$6),ISNUMBER('Inputs'!$B$7),ISNUMBER('Inputs'!$B$8),ISNUMBER('Inputs'!$B$9),ISNUMBER('Inputs'!$B$10),ISNUMBER('Inputs'!$B$21),ISNUMBER('Inputs'!$B$24),ISNUMBER('Inputs'!$B$28)),((('Results'!C7*(1+'Inputs'!$B$24)*(0.5*((((922-43)*MAX('Inputs'!$B$33,'Inputs'!$B$29+'Inputs'!$B$31+'Inputs'!$B$32,'Inputs'!$B$30+'Inputs'!$B$31+'Inputs'!$B$32)/1000+'Inputs'!$B$21)+'Inputs'!$B$9)/SQRT((((922-43)*MAX('Inputs'!$B$33,'Inputs'!$B$29+'Inputs'!$B$31+'Inputs'!$B$32,'Inputs'!$B$30+'Inputs'!$B$31+'Inputs'!$B$32)/1000+'Inputs'!$B$21)+'Inputs'!$B$9)^2+('Inputs'!$B$8/2)^2)-(((922-43)*MAX('Inputs'!$B$33,'Inputs'!$B$29+'Inputs'!$B$31+'Inputs'!$B$32,'Inputs'!$B$30+'Inputs'!$B$31+'Inputs'!$B$32)/1000+'Inputs'!$B$21))/SQRT((((922-43)*MAX('Inputs'!$B$33,'Inputs'!$B$29+'Inputs'!$B$31+'Inputs'!$B$32,'Inputs'!$B$30+'Inputs'!$B$31+'Inputs'!$B$32)/1000+'Inputs'!$B$21))^2+('Inputs'!$B$8/2)^2)))-'Results'!B7*(1-'Inputs'!$B$24)*(0.5*((((922-43)*MAX('Inputs'!$B$33,'Inputs'!$B$29+'Inputs'!$B$31+'Inputs'!$B$32,'Inputs'!$B$30+'Inputs'!$B$31+'Inputs'!$B$32)/1000+'Inputs'!$B$21+'Inputs'!$B$9+'Inputs'!$B$10)+'Inputs'!$B$7)/SQRT((((922-43)*MAX('Inputs'!$B$33,'Inputs'!$B$29+'Inputs'!$B$31+'Inputs'!$B$32,'Inputs'!$B$30+'Inputs'!$B$31+'Inputs'!$B$32)/1000+'Inputs'!$B$21+'Inputs'!$B$9+'Inputs'!$B$10)+'Inputs'!$B$7)^2+('Inputs'!$B$6/2)^2)-(((922-43)*MAX('Inputs'!$B$33,'Inputs'!$B$29+'Inputs'!$B$31+'Inputs'!$B$32,'Inputs'!$B$30+'Inputs'!$B$31+'Inputs'!$B$32)/1000+'Inputs'!$B$21+'Inputs'!$B$9+'Inputs'!$B$10))/SQRT((((922-43)*MAX('Inputs'!$B$33,'Inputs'!$B$29+'Inputs'!$B$31+'Inputs'!$B$32,'Inputs'!$B$30+'Inputs'!$B$31+'Inputs'!$B$32)/1000+'Inputs'!$B$21+'Inputs'!$B$9+'Inputs'!$B$10))^2+('Inputs'!$B$6/2)^2))))*'Results'!$B$8)+'Inputs'!$B$28*ABS((('Results'!C7*(1+'Inputs'!$B$24)*(0.5*((((922-43)*MAX('Inputs'!$B$33,'Inputs'!$B$29+'Inputs'!$B$31+'Inputs'!$B$32,'Inputs'!$B$30+'Inputs'!$B$31+'Inputs'!$B$32)/1000+'Inputs'!$B$21)+'Inputs'!$B$9)/SQRT((((922-43)*MAX('Inputs'!$B$33,'Inputs'!$B$29+'Inputs'!$B$31+'Inputs'!$B$32,'Inputs'!$B$30+'Inputs'!$B$31+'Inputs'!$B$32)/1000+'Inputs'!$B$21)+'Inputs'!$B$9)^2+('Inputs'!$B$8/2)^2)-(((922-43)*MAX('Inputs'!$B$33,'Inputs'!$B$29+'Inputs'!$B$31+'Inputs'!$B$32,'Inputs'!$B$30+'Inputs'!$B$31+'Inputs'!$B$32)/1000+'Inputs'!$B$21))/SQRT((((922-43)*MAX('Inputs'!$B$33,'Inputs'!$B$29+'Inputs'!$B$31+'Inputs'!$B$32,'Inputs'!$B$30+'Inputs'!$B$31+'Inputs'!$B$32)/1000+'Inputs'!$B$21))^2+('Inputs'!$B$8/2)^2)))-'Results'!B7*(1-'Inputs'!$B$24)*(0.5*((((922-43)*MAX('Inputs'!$B$33,'Inputs'!$B$29+'Inputs'!$B$31+'Inputs'!$B$32,'Inputs'!$B$30+'Inputs'!$B$31+'Inputs'!$B$32)/1000+'Inputs'!$B$21+'Inputs'!$B$9+'Inputs'!$B$10)+'Inputs'!$B$7)/SQRT((((922-43)*MAX('Inputs'!$B$33,'Inputs'!$B$29+'Inputs'!$B$31+'Inputs'!$B$32,'Inputs'!$B$30+'Inputs'!$B$31+'Inputs'!$B$32)/1000+'Inputs'!$B$21+'Inputs'!$B$9+'Inputs'!$B$10)+'Inputs'!$B$7)^2+('Inputs'!$B$6/2)^2)-(((922-43)*MAX('Inputs'!$B$33,'Inputs'!$B$29+'Inputs'!$B$31+'Inputs'!$B$32,'Inputs'!$B$30+'Inputs'!$B$31+'Inputs'!$B$32)/1000+'Inputs'!$B$21+'Inputs'!$B$9+'Inputs'!$B$10))/SQRT((((922-43)*MAX('Inputs'!$B$33,'Inputs'!$B$29+'Inputs'!$B$31+'Inputs'!$B$32,'Inputs'!$B$30+'Inputs'!$B$31+'Inputs'!$B$32)/1000+'Inputs'!$B$21+'Inputs'!$B$9+'Inputs'!$B$10))^2+('Inputs'!$B$6/2)^2))))*'Results'!$B$8))),"")</x:f>
        <x:v>0.5986735999584739</x:v>
      </x:c>
      <x:c r="P922" t="n">
        <x:f>IF(AND(MAX(J922,J921)&gt;0,J922&gt;J921+0.00000001),1,0)</x:f>
        <x:v>0</x:v>
      </x:c>
      <x:c r="Q922" t="n">
        <x:f>IF(AND(MAX(K922,K921)&gt;0,K922&gt;K921+0.00000001),1,0)</x:f>
        <x:v>0</x:v>
      </x:c>
      <x:c r="R922" t="n">
        <x:f>IF(AND(MAX(L922,L921)&gt;0,L922&gt;L921+0.00000001),1,0)</x:f>
        <x:v>0</x:v>
      </x:c>
      <x:c r="S922" t="n">
        <x:f>IF(AND(MAX(M922,M921)&gt;0,M922&gt;M921+0.00000001),1,0)</x:f>
        <x:v>0</x:v>
      </x:c>
      <x:c r="T922" t="n">
        <x:f>IF(AND(MAX(N922,N921)&gt;0,N922&gt;N921+0.00000001),1,0)</x:f>
        <x:v>0</x:v>
      </x:c>
      <x:c r="U922" t="n">
        <x:f>IF(AND(MAX(O922,O921)&gt;0,O922&gt;O921+0.00000001),1,0)</x:f>
        <x:v>0</x:v>
      </x:c>
    </x:row>
    <x:row r="923">
      <x:c r="J923" t="n">
        <x:f>IF(AND(ISNUMBER('Results'!B7),ISNUMBER('Results'!C7),ISNUMBER('Results'!$B$8),ISNUMBER('Inputs'!$B$6),ISNUMBER('Inputs'!$B$7),ISNUMBER('Inputs'!$B$8),ISNUMBER('Inputs'!$B$9),ISNUMBER('Inputs'!$B$10),ISNUMBER('Inputs'!$B$21),ISNUMBER('Inputs'!$B$24),ISNUMBER('Inputs'!$B$28)),(('Results'!B7*(0.5*((((923-43)*MAX('Inputs'!$B$33,'Inputs'!$B$29+'Inputs'!$B$31+'Inputs'!$B$32,'Inputs'!$B$30+'Inputs'!$B$31+'Inputs'!$B$32)/1000+'Inputs'!$B$21)+'Inputs'!$B$7)/SQRT((((923-43)*MAX('Inputs'!$B$33,'Inputs'!$B$29+'Inputs'!$B$31+'Inputs'!$B$32,'Inputs'!$B$30+'Inputs'!$B$31+'Inputs'!$B$32)/1000+'Inputs'!$B$21)+'Inputs'!$B$7)^2+('Inputs'!$B$6/2)^2)-(((923-43)*MAX('Inputs'!$B$33,'Inputs'!$B$29+'Inputs'!$B$31+'Inputs'!$B$32,'Inputs'!$B$30+'Inputs'!$B$31+'Inputs'!$B$32)/1000+'Inputs'!$B$21))/SQRT((((923-43)*MAX('Inputs'!$B$33,'Inputs'!$B$29+'Inputs'!$B$31+'Inputs'!$B$32,'Inputs'!$B$30+'Inputs'!$B$31+'Inputs'!$B$32)/1000+'Inputs'!$B$21))^2+('Inputs'!$B$6/2)^2)))-'Results'!C7*(0.5*((((923-43)*MAX('Inputs'!$B$33,'Inputs'!$B$29+'Inputs'!$B$31+'Inputs'!$B$32,'Inputs'!$B$30+'Inputs'!$B$31+'Inputs'!$B$32)/1000+'Inputs'!$B$21+'Inputs'!$B$7+'Inputs'!$B$10)+'Inputs'!$B$9)/SQRT((((923-43)*MAX('Inputs'!$B$33,'Inputs'!$B$29+'Inputs'!$B$31+'Inputs'!$B$32,'Inputs'!$B$30+'Inputs'!$B$31+'Inputs'!$B$32)/1000+'Inputs'!$B$21+'Inputs'!$B$7+'Inputs'!$B$10)+'Inputs'!$B$9)^2+('Inputs'!$B$8/2)^2)-(((923-43)*MAX('Inputs'!$B$33,'Inputs'!$B$29+'Inputs'!$B$31+'Inputs'!$B$32,'Inputs'!$B$30+'Inputs'!$B$31+'Inputs'!$B$32)/1000+'Inputs'!$B$21+'Inputs'!$B$7+'Inputs'!$B$10))/SQRT((((923-43)*MAX('Inputs'!$B$33,'Inputs'!$B$29+'Inputs'!$B$31+'Inputs'!$B$32,'Inputs'!$B$30+'Inputs'!$B$31+'Inputs'!$B$32)/1000+'Inputs'!$B$21+'Inputs'!$B$7+'Inputs'!$B$10))^2+('Inputs'!$B$8/2)^2))))*'Results'!$B$8),"")</x:f>
        <x:v>0.5685445184640181</x:v>
      </x:c>
      <x:c r="K923" t="n">
        <x:f>IF(AND(ISNUMBER('Results'!B7),ISNUMBER('Results'!C7),ISNUMBER('Results'!$B$8),ISNUMBER('Inputs'!$B$6),ISNUMBER('Inputs'!$B$7),ISNUMBER('Inputs'!$B$8),ISNUMBER('Inputs'!$B$9),ISNUMBER('Inputs'!$B$10),ISNUMBER('Inputs'!$B$21),ISNUMBER('Inputs'!$B$24),ISNUMBER('Inputs'!$B$28)),((('Results'!B7*(1-'Inputs'!$B$24)*(0.5*((((923-43)*MAX('Inputs'!$B$33,'Inputs'!$B$29+'Inputs'!$B$31+'Inputs'!$B$32,'Inputs'!$B$30+'Inputs'!$B$31+'Inputs'!$B$32)/1000+'Inputs'!$B$21)+'Inputs'!$B$7)/SQRT((((923-43)*MAX('Inputs'!$B$33,'Inputs'!$B$29+'Inputs'!$B$31+'Inputs'!$B$32,'Inputs'!$B$30+'Inputs'!$B$31+'Inputs'!$B$32)/1000+'Inputs'!$B$21)+'Inputs'!$B$7)^2+('Inputs'!$B$6/2)^2)-(((923-43)*MAX('Inputs'!$B$33,'Inputs'!$B$29+'Inputs'!$B$31+'Inputs'!$B$32,'Inputs'!$B$30+'Inputs'!$B$31+'Inputs'!$B$32)/1000+'Inputs'!$B$21))/SQRT((((923-43)*MAX('Inputs'!$B$33,'Inputs'!$B$29+'Inputs'!$B$31+'Inputs'!$B$32,'Inputs'!$B$30+'Inputs'!$B$31+'Inputs'!$B$32)/1000+'Inputs'!$B$21))^2+('Inputs'!$B$6/2)^2)))-'Results'!C7*(1+'Inputs'!$B$24)*(0.5*((((923-43)*MAX('Inputs'!$B$33,'Inputs'!$B$29+'Inputs'!$B$31+'Inputs'!$B$32,'Inputs'!$B$30+'Inputs'!$B$31+'Inputs'!$B$32)/1000+'Inputs'!$B$21+'Inputs'!$B$7+'Inputs'!$B$10)+'Inputs'!$B$9)/SQRT((((923-43)*MAX('Inputs'!$B$33,'Inputs'!$B$29+'Inputs'!$B$31+'Inputs'!$B$32,'Inputs'!$B$30+'Inputs'!$B$31+'Inputs'!$B$32)/1000+'Inputs'!$B$21+'Inputs'!$B$7+'Inputs'!$B$10)+'Inputs'!$B$9)^2+('Inputs'!$B$8/2)^2)-(((923-43)*MAX('Inputs'!$B$33,'Inputs'!$B$29+'Inputs'!$B$31+'Inputs'!$B$32,'Inputs'!$B$30+'Inputs'!$B$31+'Inputs'!$B$32)/1000+'Inputs'!$B$21+'Inputs'!$B$7+'Inputs'!$B$10))/SQRT((((923-43)*MAX('Inputs'!$B$33,'Inputs'!$B$29+'Inputs'!$B$31+'Inputs'!$B$32,'Inputs'!$B$30+'Inputs'!$B$31+'Inputs'!$B$32)/1000+'Inputs'!$B$21+'Inputs'!$B$7+'Inputs'!$B$10))^2+('Inputs'!$B$8/2)^2))))*'Results'!$B$8)-'Inputs'!$B$28*ABS((('Results'!B7*(1-'Inputs'!$B$24)*(0.5*((((923-43)*MAX('Inputs'!$B$33,'Inputs'!$B$29+'Inputs'!$B$31+'Inputs'!$B$32,'Inputs'!$B$30+'Inputs'!$B$31+'Inputs'!$B$32)/1000+'Inputs'!$B$21)+'Inputs'!$B$7)/SQRT((((923-43)*MAX('Inputs'!$B$33,'Inputs'!$B$29+'Inputs'!$B$31+'Inputs'!$B$32,'Inputs'!$B$30+'Inputs'!$B$31+'Inputs'!$B$32)/1000+'Inputs'!$B$21)+'Inputs'!$B$7)^2+('Inputs'!$B$6/2)^2)-(((923-43)*MAX('Inputs'!$B$33,'Inputs'!$B$29+'Inputs'!$B$31+'Inputs'!$B$32,'Inputs'!$B$30+'Inputs'!$B$31+'Inputs'!$B$32)/1000+'Inputs'!$B$21))/SQRT((((923-43)*MAX('Inputs'!$B$33,'Inputs'!$B$29+'Inputs'!$B$31+'Inputs'!$B$32,'Inputs'!$B$30+'Inputs'!$B$31+'Inputs'!$B$32)/1000+'Inputs'!$B$21))^2+('Inputs'!$B$6/2)^2)))-'Results'!C7*(1+'Inputs'!$B$24)*(0.5*((((923-43)*MAX('Inputs'!$B$33,'Inputs'!$B$29+'Inputs'!$B$31+'Inputs'!$B$32,'Inputs'!$B$30+'Inputs'!$B$31+'Inputs'!$B$32)/1000+'Inputs'!$B$21+'Inputs'!$B$7+'Inputs'!$B$10)+'Inputs'!$B$9)/SQRT((((923-43)*MAX('Inputs'!$B$33,'Inputs'!$B$29+'Inputs'!$B$31+'Inputs'!$B$32,'Inputs'!$B$30+'Inputs'!$B$31+'Inputs'!$B$32)/1000+'Inputs'!$B$21+'Inputs'!$B$7+'Inputs'!$B$10)+'Inputs'!$B$9)^2+('Inputs'!$B$8/2)^2)-(((923-43)*MAX('Inputs'!$B$33,'Inputs'!$B$29+'Inputs'!$B$31+'Inputs'!$B$32,'Inputs'!$B$30+'Inputs'!$B$31+'Inputs'!$B$32)/1000+'Inputs'!$B$21+'Inputs'!$B$7+'Inputs'!$B$10))/SQRT((((923-43)*MAX('Inputs'!$B$33,'Inputs'!$B$29+'Inputs'!$B$31+'Inputs'!$B$32,'Inputs'!$B$30+'Inputs'!$B$31+'Inputs'!$B$32)/1000+'Inputs'!$B$21+'Inputs'!$B$7+'Inputs'!$B$10))^2+('Inputs'!$B$8/2)^2))))*'Results'!$B$8))),"")</x:f>
        <x:v>0.48225526977935396</x:v>
      </x:c>
      <x:c r="L923" t="n">
        <x:f>IF(AND(ISNUMBER('Results'!B7),ISNUMBER('Results'!C7),ISNUMBER('Results'!$B$8),ISNUMBER('Inputs'!$B$6),ISNUMBER('Inputs'!$B$7),ISNUMBER('Inputs'!$B$8),ISNUMBER('Inputs'!$B$9),ISNUMBER('Inputs'!$B$10),ISNUMBER('Inputs'!$B$21),ISNUMBER('Inputs'!$B$24),ISNUMBER('Inputs'!$B$28)),((('Results'!B7*(1+'Inputs'!$B$24)*(0.5*((((923-43)*MAX('Inputs'!$B$33,'Inputs'!$B$29+'Inputs'!$B$31+'Inputs'!$B$32,'Inputs'!$B$30+'Inputs'!$B$31+'Inputs'!$B$32)/1000+'Inputs'!$B$21)+'Inputs'!$B$7)/SQRT((((923-43)*MAX('Inputs'!$B$33,'Inputs'!$B$29+'Inputs'!$B$31+'Inputs'!$B$32,'Inputs'!$B$30+'Inputs'!$B$31+'Inputs'!$B$32)/1000+'Inputs'!$B$21)+'Inputs'!$B$7)^2+('Inputs'!$B$6/2)^2)-(((923-43)*MAX('Inputs'!$B$33,'Inputs'!$B$29+'Inputs'!$B$31+'Inputs'!$B$32,'Inputs'!$B$30+'Inputs'!$B$31+'Inputs'!$B$32)/1000+'Inputs'!$B$21))/SQRT((((923-43)*MAX('Inputs'!$B$33,'Inputs'!$B$29+'Inputs'!$B$31+'Inputs'!$B$32,'Inputs'!$B$30+'Inputs'!$B$31+'Inputs'!$B$32)/1000+'Inputs'!$B$21))^2+('Inputs'!$B$6/2)^2)))-'Results'!C7*(1-'Inputs'!$B$24)*(0.5*((((923-43)*MAX('Inputs'!$B$33,'Inputs'!$B$29+'Inputs'!$B$31+'Inputs'!$B$32,'Inputs'!$B$30+'Inputs'!$B$31+'Inputs'!$B$32)/1000+'Inputs'!$B$21+'Inputs'!$B$7+'Inputs'!$B$10)+'Inputs'!$B$9)/SQRT((((923-43)*MAX('Inputs'!$B$33,'Inputs'!$B$29+'Inputs'!$B$31+'Inputs'!$B$32,'Inputs'!$B$30+'Inputs'!$B$31+'Inputs'!$B$32)/1000+'Inputs'!$B$21+'Inputs'!$B$7+'Inputs'!$B$10)+'Inputs'!$B$9)^2+('Inputs'!$B$8/2)^2)-(((923-43)*MAX('Inputs'!$B$33,'Inputs'!$B$29+'Inputs'!$B$31+'Inputs'!$B$32,'Inputs'!$B$30+'Inputs'!$B$31+'Inputs'!$B$32)/1000+'Inputs'!$B$21+'Inputs'!$B$7+'Inputs'!$B$10))/SQRT((((923-43)*MAX('Inputs'!$B$33,'Inputs'!$B$29+'Inputs'!$B$31+'Inputs'!$B$32,'Inputs'!$B$30+'Inputs'!$B$31+'Inputs'!$B$32)/1000+'Inputs'!$B$21+'Inputs'!$B$7+'Inputs'!$B$10))^2+('Inputs'!$B$8/2)^2))))*'Results'!$B$8)+'Inputs'!$B$28*ABS((('Results'!B7*(1+'Inputs'!$B$24)*(0.5*((((923-43)*MAX('Inputs'!$B$33,'Inputs'!$B$29+'Inputs'!$B$31+'Inputs'!$B$32,'Inputs'!$B$30+'Inputs'!$B$31+'Inputs'!$B$32)/1000+'Inputs'!$B$21)+'Inputs'!$B$7)/SQRT((((923-43)*MAX('Inputs'!$B$33,'Inputs'!$B$29+'Inputs'!$B$31+'Inputs'!$B$32,'Inputs'!$B$30+'Inputs'!$B$31+'Inputs'!$B$32)/1000+'Inputs'!$B$21)+'Inputs'!$B$7)^2+('Inputs'!$B$6/2)^2)-(((923-43)*MAX('Inputs'!$B$33,'Inputs'!$B$29+'Inputs'!$B$31+'Inputs'!$B$32,'Inputs'!$B$30+'Inputs'!$B$31+'Inputs'!$B$32)/1000+'Inputs'!$B$21))/SQRT((((923-43)*MAX('Inputs'!$B$33,'Inputs'!$B$29+'Inputs'!$B$31+'Inputs'!$B$32,'Inputs'!$B$30+'Inputs'!$B$31+'Inputs'!$B$32)/1000+'Inputs'!$B$21))^2+('Inputs'!$B$6/2)^2)))-'Results'!C7*(1-'Inputs'!$B$24)*(0.5*((((923-43)*MAX('Inputs'!$B$33,'Inputs'!$B$29+'Inputs'!$B$31+'Inputs'!$B$32,'Inputs'!$B$30+'Inputs'!$B$31+'Inputs'!$B$32)/1000+'Inputs'!$B$21+'Inputs'!$B$7+'Inputs'!$B$10)+'Inputs'!$B$9)/SQRT((((923-43)*MAX('Inputs'!$B$33,'Inputs'!$B$29+'Inputs'!$B$31+'Inputs'!$B$32,'Inputs'!$B$30+'Inputs'!$B$31+'Inputs'!$B$32)/1000+'Inputs'!$B$21+'Inputs'!$B$7+'Inputs'!$B$10)+'Inputs'!$B$9)^2+('Inputs'!$B$8/2)^2)-(((923-43)*MAX('Inputs'!$B$33,'Inputs'!$B$29+'Inputs'!$B$31+'Inputs'!$B$32,'Inputs'!$B$30+'Inputs'!$B$31+'Inputs'!$B$32)/1000+'Inputs'!$B$21+'Inputs'!$B$7+'Inputs'!$B$10))/SQRT((((923-43)*MAX('Inputs'!$B$33,'Inputs'!$B$29+'Inputs'!$B$31+'Inputs'!$B$32,'Inputs'!$B$30+'Inputs'!$B$31+'Inputs'!$B$32)/1000+'Inputs'!$B$21+'Inputs'!$B$7+'Inputs'!$B$10))^2+('Inputs'!$B$8/2)^2))))*'Results'!$B$8))),"")</x:f>
        <x:v>0.6609245063867308</x:v>
      </x:c>
      <x:c r="M923" t="n">
        <x:f>IF(AND(ISNUMBER('Results'!C7),ISNUMBER('Results'!B7),ISNUMBER('Results'!$B$8),ISNUMBER('Inputs'!$B$6),ISNUMBER('Inputs'!$B$7),ISNUMBER('Inputs'!$B$8),ISNUMBER('Inputs'!$B$9),ISNUMBER('Inputs'!$B$10),ISNUMBER('Inputs'!$B$21),ISNUMBER('Inputs'!$B$24),ISNUMBER('Inputs'!$B$28)),(('Results'!C7*(0.5*((((923-43)*MAX('Inputs'!$B$33,'Inputs'!$B$29+'Inputs'!$B$31+'Inputs'!$B$32,'Inputs'!$B$30+'Inputs'!$B$31+'Inputs'!$B$32)/1000+'Inputs'!$B$21)+'Inputs'!$B$9)/SQRT((((923-43)*MAX('Inputs'!$B$33,'Inputs'!$B$29+'Inputs'!$B$31+'Inputs'!$B$32,'Inputs'!$B$30+'Inputs'!$B$31+'Inputs'!$B$32)/1000+'Inputs'!$B$21)+'Inputs'!$B$9)^2+('Inputs'!$B$8/2)^2)-(((923-43)*MAX('Inputs'!$B$33,'Inputs'!$B$29+'Inputs'!$B$31+'Inputs'!$B$32,'Inputs'!$B$30+'Inputs'!$B$31+'Inputs'!$B$32)/1000+'Inputs'!$B$21))/SQRT((((923-43)*MAX('Inputs'!$B$33,'Inputs'!$B$29+'Inputs'!$B$31+'Inputs'!$B$32,'Inputs'!$B$30+'Inputs'!$B$31+'Inputs'!$B$32)/1000+'Inputs'!$B$21))^2+('Inputs'!$B$8/2)^2)))-'Results'!B7*(0.5*((((923-43)*MAX('Inputs'!$B$33,'Inputs'!$B$29+'Inputs'!$B$31+'Inputs'!$B$32,'Inputs'!$B$30+'Inputs'!$B$31+'Inputs'!$B$32)/1000+'Inputs'!$B$21+'Inputs'!$B$9+'Inputs'!$B$10)+'Inputs'!$B$7)/SQRT((((923-43)*MAX('Inputs'!$B$33,'Inputs'!$B$29+'Inputs'!$B$31+'Inputs'!$B$32,'Inputs'!$B$30+'Inputs'!$B$31+'Inputs'!$B$32)/1000+'Inputs'!$B$21+'Inputs'!$B$9+'Inputs'!$B$10)+'Inputs'!$B$7)^2+('Inputs'!$B$6/2)^2)-(((923-43)*MAX('Inputs'!$B$33,'Inputs'!$B$29+'Inputs'!$B$31+'Inputs'!$B$32,'Inputs'!$B$30+'Inputs'!$B$31+'Inputs'!$B$32)/1000+'Inputs'!$B$21+'Inputs'!$B$9+'Inputs'!$B$10))/SQRT((((923-43)*MAX('Inputs'!$B$33,'Inputs'!$B$29+'Inputs'!$B$31+'Inputs'!$B$32,'Inputs'!$B$30+'Inputs'!$B$31+'Inputs'!$B$32)/1000+'Inputs'!$B$21+'Inputs'!$B$9+'Inputs'!$B$10))^2+('Inputs'!$B$6/2)^2))))*'Results'!$B$8),"")</x:f>
        <x:v>0.5071316515732123</x:v>
      </x:c>
      <x:c r="N923" t="n">
        <x:f>IF(AND(ISNUMBER('Results'!C7),ISNUMBER('Results'!B7),ISNUMBER('Results'!$B$8),ISNUMBER('Inputs'!$B$6),ISNUMBER('Inputs'!$B$7),ISNUMBER('Inputs'!$B$8),ISNUMBER('Inputs'!$B$9),ISNUMBER('Inputs'!$B$10),ISNUMBER('Inputs'!$B$21),ISNUMBER('Inputs'!$B$24),ISNUMBER('Inputs'!$B$28)),((('Results'!C7*(1-'Inputs'!$B$24)*(0.5*((((923-43)*MAX('Inputs'!$B$33,'Inputs'!$B$29+'Inputs'!$B$31+'Inputs'!$B$32,'Inputs'!$B$30+'Inputs'!$B$31+'Inputs'!$B$32)/1000+'Inputs'!$B$21)+'Inputs'!$B$9)/SQRT((((923-43)*MAX('Inputs'!$B$33,'Inputs'!$B$29+'Inputs'!$B$31+'Inputs'!$B$32,'Inputs'!$B$30+'Inputs'!$B$31+'Inputs'!$B$32)/1000+'Inputs'!$B$21)+'Inputs'!$B$9)^2+('Inputs'!$B$8/2)^2)-(((923-43)*MAX('Inputs'!$B$33,'Inputs'!$B$29+'Inputs'!$B$31+'Inputs'!$B$32,'Inputs'!$B$30+'Inputs'!$B$31+'Inputs'!$B$32)/1000+'Inputs'!$B$21))/SQRT((((923-43)*MAX('Inputs'!$B$33,'Inputs'!$B$29+'Inputs'!$B$31+'Inputs'!$B$32,'Inputs'!$B$30+'Inputs'!$B$31+'Inputs'!$B$32)/1000+'Inputs'!$B$21))^2+('Inputs'!$B$8/2)^2)))-'Results'!B7*(1+'Inputs'!$B$24)*(0.5*((((923-43)*MAX('Inputs'!$B$33,'Inputs'!$B$29+'Inputs'!$B$31+'Inputs'!$B$32,'Inputs'!$B$30+'Inputs'!$B$31+'Inputs'!$B$32)/1000+'Inputs'!$B$21+'Inputs'!$B$9+'Inputs'!$B$10)+'Inputs'!$B$7)/SQRT((((923-43)*MAX('Inputs'!$B$33,'Inputs'!$B$29+'Inputs'!$B$31+'Inputs'!$B$32,'Inputs'!$B$30+'Inputs'!$B$31+'Inputs'!$B$32)/1000+'Inputs'!$B$21+'Inputs'!$B$9+'Inputs'!$B$10)+'Inputs'!$B$7)^2+('Inputs'!$B$6/2)^2)-(((923-43)*MAX('Inputs'!$B$33,'Inputs'!$B$29+'Inputs'!$B$31+'Inputs'!$B$32,'Inputs'!$B$30+'Inputs'!$B$31+'Inputs'!$B$32)/1000+'Inputs'!$B$21+'Inputs'!$B$9+'Inputs'!$B$10))/SQRT((((923-43)*MAX('Inputs'!$B$33,'Inputs'!$B$29+'Inputs'!$B$31+'Inputs'!$B$32,'Inputs'!$B$30+'Inputs'!$B$31+'Inputs'!$B$32)/1000+'Inputs'!$B$21+'Inputs'!$B$9+'Inputs'!$B$10))^2+('Inputs'!$B$6/2)^2))))*'Results'!$B$8)-'Inputs'!$B$28*ABS((('Results'!C7*(1-'Inputs'!$B$24)*(0.5*((((923-43)*MAX('Inputs'!$B$33,'Inputs'!$B$29+'Inputs'!$B$31+'Inputs'!$B$32,'Inputs'!$B$30+'Inputs'!$B$31+'Inputs'!$B$32)/1000+'Inputs'!$B$21)+'Inputs'!$B$9)/SQRT((((923-43)*MAX('Inputs'!$B$33,'Inputs'!$B$29+'Inputs'!$B$31+'Inputs'!$B$32,'Inputs'!$B$30+'Inputs'!$B$31+'Inputs'!$B$32)/1000+'Inputs'!$B$21)+'Inputs'!$B$9)^2+('Inputs'!$B$8/2)^2)-(((923-43)*MAX('Inputs'!$B$33,'Inputs'!$B$29+'Inputs'!$B$31+'Inputs'!$B$32,'Inputs'!$B$30+'Inputs'!$B$31+'Inputs'!$B$32)/1000+'Inputs'!$B$21))/SQRT((((923-43)*MAX('Inputs'!$B$33,'Inputs'!$B$29+'Inputs'!$B$31+'Inputs'!$B$32,'Inputs'!$B$30+'Inputs'!$B$31+'Inputs'!$B$32)/1000+'Inputs'!$B$21))^2+('Inputs'!$B$8/2)^2)))-'Results'!B7*(1+'Inputs'!$B$24)*(0.5*((((923-43)*MAX('Inputs'!$B$33,'Inputs'!$B$29+'Inputs'!$B$31+'Inputs'!$B$32,'Inputs'!$B$30+'Inputs'!$B$31+'Inputs'!$B$32)/1000+'Inputs'!$B$21+'Inputs'!$B$9+'Inputs'!$B$10)+'Inputs'!$B$7)/SQRT((((923-43)*MAX('Inputs'!$B$33,'Inputs'!$B$29+'Inputs'!$B$31+'Inputs'!$B$32,'Inputs'!$B$30+'Inputs'!$B$31+'Inputs'!$B$32)/1000+'Inputs'!$B$21+'Inputs'!$B$9+'Inputs'!$B$10)+'Inputs'!$B$7)^2+('Inputs'!$B$6/2)^2)-(((923-43)*MAX('Inputs'!$B$33,'Inputs'!$B$29+'Inputs'!$B$31+'Inputs'!$B$32,'Inputs'!$B$30+'Inputs'!$B$31+'Inputs'!$B$32)/1000+'Inputs'!$B$21+'Inputs'!$B$9+'Inputs'!$B$10))/SQRT((((923-43)*MAX('Inputs'!$B$33,'Inputs'!$B$29+'Inputs'!$B$31+'Inputs'!$B$32,'Inputs'!$B$30+'Inputs'!$B$31+'Inputs'!$B$32)/1000+'Inputs'!$B$21+'Inputs'!$B$9+'Inputs'!$B$10))^2+('Inputs'!$B$6/2)^2))))*'Results'!$B$8))),"")</x:f>
        <x:v>0.4241194891344086</x:v>
      </x:c>
      <x:c r="O923" t="n">
        <x:f>IF(AND(ISNUMBER('Results'!C7),ISNUMBER('Results'!B7),ISNUMBER('Results'!$B$8),ISNUMBER('Inputs'!$B$6),ISNUMBER('Inputs'!$B$7),ISNUMBER('Inputs'!$B$8),ISNUMBER('Inputs'!$B$9),ISNUMBER('Inputs'!$B$10),ISNUMBER('Inputs'!$B$21),ISNUMBER('Inputs'!$B$24),ISNUMBER('Inputs'!$B$28)),((('Results'!C7*(1+'Inputs'!$B$24)*(0.5*((((923-43)*MAX('Inputs'!$B$33,'Inputs'!$B$29+'Inputs'!$B$31+'Inputs'!$B$32,'Inputs'!$B$30+'Inputs'!$B$31+'Inputs'!$B$32)/1000+'Inputs'!$B$21)+'Inputs'!$B$9)/SQRT((((923-43)*MAX('Inputs'!$B$33,'Inputs'!$B$29+'Inputs'!$B$31+'Inputs'!$B$32,'Inputs'!$B$30+'Inputs'!$B$31+'Inputs'!$B$32)/1000+'Inputs'!$B$21)+'Inputs'!$B$9)^2+('Inputs'!$B$8/2)^2)-(((923-43)*MAX('Inputs'!$B$33,'Inputs'!$B$29+'Inputs'!$B$31+'Inputs'!$B$32,'Inputs'!$B$30+'Inputs'!$B$31+'Inputs'!$B$32)/1000+'Inputs'!$B$21))/SQRT((((923-43)*MAX('Inputs'!$B$33,'Inputs'!$B$29+'Inputs'!$B$31+'Inputs'!$B$32,'Inputs'!$B$30+'Inputs'!$B$31+'Inputs'!$B$32)/1000+'Inputs'!$B$21))^2+('Inputs'!$B$8/2)^2)))-'Results'!B7*(1-'Inputs'!$B$24)*(0.5*((((923-43)*MAX('Inputs'!$B$33,'Inputs'!$B$29+'Inputs'!$B$31+'Inputs'!$B$32,'Inputs'!$B$30+'Inputs'!$B$31+'Inputs'!$B$32)/1000+'Inputs'!$B$21+'Inputs'!$B$9+'Inputs'!$B$10)+'Inputs'!$B$7)/SQRT((((923-43)*MAX('Inputs'!$B$33,'Inputs'!$B$29+'Inputs'!$B$31+'Inputs'!$B$32,'Inputs'!$B$30+'Inputs'!$B$31+'Inputs'!$B$32)/1000+'Inputs'!$B$21+'Inputs'!$B$9+'Inputs'!$B$10)+'Inputs'!$B$7)^2+('Inputs'!$B$6/2)^2)-(((923-43)*MAX('Inputs'!$B$33,'Inputs'!$B$29+'Inputs'!$B$31+'Inputs'!$B$32,'Inputs'!$B$30+'Inputs'!$B$31+'Inputs'!$B$32)/1000+'Inputs'!$B$21+'Inputs'!$B$9+'Inputs'!$B$10))/SQRT((((923-43)*MAX('Inputs'!$B$33,'Inputs'!$B$29+'Inputs'!$B$31+'Inputs'!$B$32,'Inputs'!$B$30+'Inputs'!$B$31+'Inputs'!$B$32)/1000+'Inputs'!$B$21+'Inputs'!$B$9+'Inputs'!$B$10))^2+('Inputs'!$B$6/2)^2))))*'Results'!$B$8)+'Inputs'!$B$28*ABS((('Results'!C7*(1+'Inputs'!$B$24)*(0.5*((((923-43)*MAX('Inputs'!$B$33,'Inputs'!$B$29+'Inputs'!$B$31+'Inputs'!$B$32,'Inputs'!$B$30+'Inputs'!$B$31+'Inputs'!$B$32)/1000+'Inputs'!$B$21)+'Inputs'!$B$9)/SQRT((((923-43)*MAX('Inputs'!$B$33,'Inputs'!$B$29+'Inputs'!$B$31+'Inputs'!$B$32,'Inputs'!$B$30+'Inputs'!$B$31+'Inputs'!$B$32)/1000+'Inputs'!$B$21)+'Inputs'!$B$9)^2+('Inputs'!$B$8/2)^2)-(((923-43)*MAX('Inputs'!$B$33,'Inputs'!$B$29+'Inputs'!$B$31+'Inputs'!$B$32,'Inputs'!$B$30+'Inputs'!$B$31+'Inputs'!$B$32)/1000+'Inputs'!$B$21))/SQRT((((923-43)*MAX('Inputs'!$B$33,'Inputs'!$B$29+'Inputs'!$B$31+'Inputs'!$B$32,'Inputs'!$B$30+'Inputs'!$B$31+'Inputs'!$B$32)/1000+'Inputs'!$B$21))^2+('Inputs'!$B$8/2)^2)))-'Results'!B7*(1-'Inputs'!$B$24)*(0.5*((((923-43)*MAX('Inputs'!$B$33,'Inputs'!$B$29+'Inputs'!$B$31+'Inputs'!$B$32,'Inputs'!$B$30+'Inputs'!$B$31+'Inputs'!$B$32)/1000+'Inputs'!$B$21+'Inputs'!$B$9+'Inputs'!$B$10)+'Inputs'!$B$7)/SQRT((((923-43)*MAX('Inputs'!$B$33,'Inputs'!$B$29+'Inputs'!$B$31+'Inputs'!$B$32,'Inputs'!$B$30+'Inputs'!$B$31+'Inputs'!$B$32)/1000+'Inputs'!$B$21+'Inputs'!$B$9+'Inputs'!$B$10)+'Inputs'!$B$7)^2+('Inputs'!$B$6/2)^2)-(((923-43)*MAX('Inputs'!$B$33,'Inputs'!$B$29+'Inputs'!$B$31+'Inputs'!$B$32,'Inputs'!$B$30+'Inputs'!$B$31+'Inputs'!$B$32)/1000+'Inputs'!$B$21+'Inputs'!$B$9+'Inputs'!$B$10))/SQRT((((923-43)*MAX('Inputs'!$B$33,'Inputs'!$B$29+'Inputs'!$B$31+'Inputs'!$B$32,'Inputs'!$B$30+'Inputs'!$B$31+'Inputs'!$B$32)/1000+'Inputs'!$B$21+'Inputs'!$B$9+'Inputs'!$B$10))^2+('Inputs'!$B$6/2)^2))))*'Results'!$B$8))),"")</x:f>
        <x:v>0.5962128224183466</x:v>
      </x:c>
      <x:c r="P923" t="n">
        <x:f>IF(AND(MAX(J923,J922)&gt;0,J923&gt;J922+0.00000001),1,0)</x:f>
        <x:v>0</x:v>
      </x:c>
      <x:c r="Q923" t="n">
        <x:f>IF(AND(MAX(K923,K922)&gt;0,K923&gt;K922+0.00000001),1,0)</x:f>
        <x:v>0</x:v>
      </x:c>
      <x:c r="R923" t="n">
        <x:f>IF(AND(MAX(L923,L922)&gt;0,L923&gt;L922+0.00000001),1,0)</x:f>
        <x:v>0</x:v>
      </x:c>
      <x:c r="S923" t="n">
        <x:f>IF(AND(MAX(M923,M922)&gt;0,M923&gt;M922+0.00000001),1,0)</x:f>
        <x:v>0</x:v>
      </x:c>
      <x:c r="T923" t="n">
        <x:f>IF(AND(MAX(N923,N922)&gt;0,N923&gt;N922+0.00000001),1,0)</x:f>
        <x:v>0</x:v>
      </x:c>
      <x:c r="U923" t="n">
        <x:f>IF(AND(MAX(O923,O922)&gt;0,O923&gt;O922+0.00000001),1,0)</x:f>
        <x:v>0</x:v>
      </x:c>
    </x:row>
    <x:row r="924">
      <x:c r="J924" t="n">
        <x:f>IF(AND(ISNUMBER('Results'!B7),ISNUMBER('Results'!C7),ISNUMBER('Results'!$B$8),ISNUMBER('Inputs'!$B$6),ISNUMBER('Inputs'!$B$7),ISNUMBER('Inputs'!$B$8),ISNUMBER('Inputs'!$B$9),ISNUMBER('Inputs'!$B$10),ISNUMBER('Inputs'!$B$21),ISNUMBER('Inputs'!$B$24),ISNUMBER('Inputs'!$B$28)),(('Results'!B7*(0.5*((((924-43)*MAX('Inputs'!$B$33,'Inputs'!$B$29+'Inputs'!$B$31+'Inputs'!$B$32,'Inputs'!$B$30+'Inputs'!$B$31+'Inputs'!$B$32)/1000+'Inputs'!$B$21)+'Inputs'!$B$7)/SQRT((((924-43)*MAX('Inputs'!$B$33,'Inputs'!$B$29+'Inputs'!$B$31+'Inputs'!$B$32,'Inputs'!$B$30+'Inputs'!$B$31+'Inputs'!$B$32)/1000+'Inputs'!$B$21)+'Inputs'!$B$7)^2+('Inputs'!$B$6/2)^2)-(((924-43)*MAX('Inputs'!$B$33,'Inputs'!$B$29+'Inputs'!$B$31+'Inputs'!$B$32,'Inputs'!$B$30+'Inputs'!$B$31+'Inputs'!$B$32)/1000+'Inputs'!$B$21))/SQRT((((924-43)*MAX('Inputs'!$B$33,'Inputs'!$B$29+'Inputs'!$B$31+'Inputs'!$B$32,'Inputs'!$B$30+'Inputs'!$B$31+'Inputs'!$B$32)/1000+'Inputs'!$B$21))^2+('Inputs'!$B$6/2)^2)))-'Results'!C7*(0.5*((((924-43)*MAX('Inputs'!$B$33,'Inputs'!$B$29+'Inputs'!$B$31+'Inputs'!$B$32,'Inputs'!$B$30+'Inputs'!$B$31+'Inputs'!$B$32)/1000+'Inputs'!$B$21+'Inputs'!$B$7+'Inputs'!$B$10)+'Inputs'!$B$9)/SQRT((((924-43)*MAX('Inputs'!$B$33,'Inputs'!$B$29+'Inputs'!$B$31+'Inputs'!$B$32,'Inputs'!$B$30+'Inputs'!$B$31+'Inputs'!$B$32)/1000+'Inputs'!$B$21+'Inputs'!$B$7+'Inputs'!$B$10)+'Inputs'!$B$9)^2+('Inputs'!$B$8/2)^2)-(((924-43)*MAX('Inputs'!$B$33,'Inputs'!$B$29+'Inputs'!$B$31+'Inputs'!$B$32,'Inputs'!$B$30+'Inputs'!$B$31+'Inputs'!$B$32)/1000+'Inputs'!$B$21+'Inputs'!$B$7+'Inputs'!$B$10))/SQRT((((924-43)*MAX('Inputs'!$B$33,'Inputs'!$B$29+'Inputs'!$B$31+'Inputs'!$B$32,'Inputs'!$B$30+'Inputs'!$B$31+'Inputs'!$B$32)/1000+'Inputs'!$B$21+'Inputs'!$B$7+'Inputs'!$B$10))^2+('Inputs'!$B$8/2)^2))))*'Results'!$B$8),"")</x:f>
        <x:v>0.5662106187822408</x:v>
      </x:c>
      <x:c r="K924" t="n">
        <x:f>IF(AND(ISNUMBER('Results'!B7),ISNUMBER('Results'!C7),ISNUMBER('Results'!$B$8),ISNUMBER('Inputs'!$B$6),ISNUMBER('Inputs'!$B$7),ISNUMBER('Inputs'!$B$8),ISNUMBER('Inputs'!$B$9),ISNUMBER('Inputs'!$B$10),ISNUMBER('Inputs'!$B$21),ISNUMBER('Inputs'!$B$24),ISNUMBER('Inputs'!$B$28)),((('Results'!B7*(1-'Inputs'!$B$24)*(0.5*((((924-43)*MAX('Inputs'!$B$33,'Inputs'!$B$29+'Inputs'!$B$31+'Inputs'!$B$32,'Inputs'!$B$30+'Inputs'!$B$31+'Inputs'!$B$32)/1000+'Inputs'!$B$21)+'Inputs'!$B$7)/SQRT((((924-43)*MAX('Inputs'!$B$33,'Inputs'!$B$29+'Inputs'!$B$31+'Inputs'!$B$32,'Inputs'!$B$30+'Inputs'!$B$31+'Inputs'!$B$32)/1000+'Inputs'!$B$21)+'Inputs'!$B$7)^2+('Inputs'!$B$6/2)^2)-(((924-43)*MAX('Inputs'!$B$33,'Inputs'!$B$29+'Inputs'!$B$31+'Inputs'!$B$32,'Inputs'!$B$30+'Inputs'!$B$31+'Inputs'!$B$32)/1000+'Inputs'!$B$21))/SQRT((((924-43)*MAX('Inputs'!$B$33,'Inputs'!$B$29+'Inputs'!$B$31+'Inputs'!$B$32,'Inputs'!$B$30+'Inputs'!$B$31+'Inputs'!$B$32)/1000+'Inputs'!$B$21))^2+('Inputs'!$B$6/2)^2)))-'Results'!C7*(1+'Inputs'!$B$24)*(0.5*((((924-43)*MAX('Inputs'!$B$33,'Inputs'!$B$29+'Inputs'!$B$31+'Inputs'!$B$32,'Inputs'!$B$30+'Inputs'!$B$31+'Inputs'!$B$32)/1000+'Inputs'!$B$21+'Inputs'!$B$7+'Inputs'!$B$10)+'Inputs'!$B$9)/SQRT((((924-43)*MAX('Inputs'!$B$33,'Inputs'!$B$29+'Inputs'!$B$31+'Inputs'!$B$32,'Inputs'!$B$30+'Inputs'!$B$31+'Inputs'!$B$32)/1000+'Inputs'!$B$21+'Inputs'!$B$7+'Inputs'!$B$10)+'Inputs'!$B$9)^2+('Inputs'!$B$8/2)^2)-(((924-43)*MAX('Inputs'!$B$33,'Inputs'!$B$29+'Inputs'!$B$31+'Inputs'!$B$32,'Inputs'!$B$30+'Inputs'!$B$31+'Inputs'!$B$32)/1000+'Inputs'!$B$21+'Inputs'!$B$7+'Inputs'!$B$10))/SQRT((((924-43)*MAX('Inputs'!$B$33,'Inputs'!$B$29+'Inputs'!$B$31+'Inputs'!$B$32,'Inputs'!$B$30+'Inputs'!$B$31+'Inputs'!$B$32)/1000+'Inputs'!$B$21+'Inputs'!$B$7+'Inputs'!$B$10))^2+('Inputs'!$B$8/2)^2))))*'Results'!$B$8)-'Inputs'!$B$28*ABS((('Results'!B7*(1-'Inputs'!$B$24)*(0.5*((((924-43)*MAX('Inputs'!$B$33,'Inputs'!$B$29+'Inputs'!$B$31+'Inputs'!$B$32,'Inputs'!$B$30+'Inputs'!$B$31+'Inputs'!$B$32)/1000+'Inputs'!$B$21)+'Inputs'!$B$7)/SQRT((((924-43)*MAX('Inputs'!$B$33,'Inputs'!$B$29+'Inputs'!$B$31+'Inputs'!$B$32,'Inputs'!$B$30+'Inputs'!$B$31+'Inputs'!$B$32)/1000+'Inputs'!$B$21)+'Inputs'!$B$7)^2+('Inputs'!$B$6/2)^2)-(((924-43)*MAX('Inputs'!$B$33,'Inputs'!$B$29+'Inputs'!$B$31+'Inputs'!$B$32,'Inputs'!$B$30+'Inputs'!$B$31+'Inputs'!$B$32)/1000+'Inputs'!$B$21))/SQRT((((924-43)*MAX('Inputs'!$B$33,'Inputs'!$B$29+'Inputs'!$B$31+'Inputs'!$B$32,'Inputs'!$B$30+'Inputs'!$B$31+'Inputs'!$B$32)/1000+'Inputs'!$B$21))^2+('Inputs'!$B$6/2)^2)))-'Results'!C7*(1+'Inputs'!$B$24)*(0.5*((((924-43)*MAX('Inputs'!$B$33,'Inputs'!$B$29+'Inputs'!$B$31+'Inputs'!$B$32,'Inputs'!$B$30+'Inputs'!$B$31+'Inputs'!$B$32)/1000+'Inputs'!$B$21+'Inputs'!$B$7+'Inputs'!$B$10)+'Inputs'!$B$9)/SQRT((((924-43)*MAX('Inputs'!$B$33,'Inputs'!$B$29+'Inputs'!$B$31+'Inputs'!$B$32,'Inputs'!$B$30+'Inputs'!$B$31+'Inputs'!$B$32)/1000+'Inputs'!$B$21+'Inputs'!$B$7+'Inputs'!$B$10)+'Inputs'!$B$9)^2+('Inputs'!$B$8/2)^2)-(((924-43)*MAX('Inputs'!$B$33,'Inputs'!$B$29+'Inputs'!$B$31+'Inputs'!$B$32,'Inputs'!$B$30+'Inputs'!$B$31+'Inputs'!$B$32)/1000+'Inputs'!$B$21+'Inputs'!$B$7+'Inputs'!$B$10))/SQRT((((924-43)*MAX('Inputs'!$B$33,'Inputs'!$B$29+'Inputs'!$B$31+'Inputs'!$B$32,'Inputs'!$B$30+'Inputs'!$B$31+'Inputs'!$B$32)/1000+'Inputs'!$B$21+'Inputs'!$B$7+'Inputs'!$B$10))^2+('Inputs'!$B$8/2)^2))))*'Results'!$B$8))),"")</x:f>
        <x:v>0.4802205180915642</x:v>
      </x:c>
      <x:c r="L924" t="n">
        <x:f>IF(AND(ISNUMBER('Results'!B7),ISNUMBER('Results'!C7),ISNUMBER('Results'!$B$8),ISNUMBER('Inputs'!$B$6),ISNUMBER('Inputs'!$B$7),ISNUMBER('Inputs'!$B$8),ISNUMBER('Inputs'!$B$9),ISNUMBER('Inputs'!$B$10),ISNUMBER('Inputs'!$B$21),ISNUMBER('Inputs'!$B$24),ISNUMBER('Inputs'!$B$28)),((('Results'!B7*(1+'Inputs'!$B$24)*(0.5*((((924-43)*MAX('Inputs'!$B$33,'Inputs'!$B$29+'Inputs'!$B$31+'Inputs'!$B$32,'Inputs'!$B$30+'Inputs'!$B$31+'Inputs'!$B$32)/1000+'Inputs'!$B$21)+'Inputs'!$B$7)/SQRT((((924-43)*MAX('Inputs'!$B$33,'Inputs'!$B$29+'Inputs'!$B$31+'Inputs'!$B$32,'Inputs'!$B$30+'Inputs'!$B$31+'Inputs'!$B$32)/1000+'Inputs'!$B$21)+'Inputs'!$B$7)^2+('Inputs'!$B$6/2)^2)-(((924-43)*MAX('Inputs'!$B$33,'Inputs'!$B$29+'Inputs'!$B$31+'Inputs'!$B$32,'Inputs'!$B$30+'Inputs'!$B$31+'Inputs'!$B$32)/1000+'Inputs'!$B$21))/SQRT((((924-43)*MAX('Inputs'!$B$33,'Inputs'!$B$29+'Inputs'!$B$31+'Inputs'!$B$32,'Inputs'!$B$30+'Inputs'!$B$31+'Inputs'!$B$32)/1000+'Inputs'!$B$21))^2+('Inputs'!$B$6/2)^2)))-'Results'!C7*(1-'Inputs'!$B$24)*(0.5*((((924-43)*MAX('Inputs'!$B$33,'Inputs'!$B$29+'Inputs'!$B$31+'Inputs'!$B$32,'Inputs'!$B$30+'Inputs'!$B$31+'Inputs'!$B$32)/1000+'Inputs'!$B$21+'Inputs'!$B$7+'Inputs'!$B$10)+'Inputs'!$B$9)/SQRT((((924-43)*MAX('Inputs'!$B$33,'Inputs'!$B$29+'Inputs'!$B$31+'Inputs'!$B$32,'Inputs'!$B$30+'Inputs'!$B$31+'Inputs'!$B$32)/1000+'Inputs'!$B$21+'Inputs'!$B$7+'Inputs'!$B$10)+'Inputs'!$B$9)^2+('Inputs'!$B$8/2)^2)-(((924-43)*MAX('Inputs'!$B$33,'Inputs'!$B$29+'Inputs'!$B$31+'Inputs'!$B$32,'Inputs'!$B$30+'Inputs'!$B$31+'Inputs'!$B$32)/1000+'Inputs'!$B$21+'Inputs'!$B$7+'Inputs'!$B$10))/SQRT((((924-43)*MAX('Inputs'!$B$33,'Inputs'!$B$29+'Inputs'!$B$31+'Inputs'!$B$32,'Inputs'!$B$30+'Inputs'!$B$31+'Inputs'!$B$32)/1000+'Inputs'!$B$21+'Inputs'!$B$7+'Inputs'!$B$10))^2+('Inputs'!$B$8/2)^2))))*'Results'!$B$8)+'Inputs'!$B$28*ABS((('Results'!B7*(1+'Inputs'!$B$24)*(0.5*((((924-43)*MAX('Inputs'!$B$33,'Inputs'!$B$29+'Inputs'!$B$31+'Inputs'!$B$32,'Inputs'!$B$30+'Inputs'!$B$31+'Inputs'!$B$32)/1000+'Inputs'!$B$21)+'Inputs'!$B$7)/SQRT((((924-43)*MAX('Inputs'!$B$33,'Inputs'!$B$29+'Inputs'!$B$31+'Inputs'!$B$32,'Inputs'!$B$30+'Inputs'!$B$31+'Inputs'!$B$32)/1000+'Inputs'!$B$21)+'Inputs'!$B$7)^2+('Inputs'!$B$6/2)^2)-(((924-43)*MAX('Inputs'!$B$33,'Inputs'!$B$29+'Inputs'!$B$31+'Inputs'!$B$32,'Inputs'!$B$30+'Inputs'!$B$31+'Inputs'!$B$32)/1000+'Inputs'!$B$21))/SQRT((((924-43)*MAX('Inputs'!$B$33,'Inputs'!$B$29+'Inputs'!$B$31+'Inputs'!$B$32,'Inputs'!$B$30+'Inputs'!$B$31+'Inputs'!$B$32)/1000+'Inputs'!$B$21))^2+('Inputs'!$B$6/2)^2)))-'Results'!C7*(1-'Inputs'!$B$24)*(0.5*((((924-43)*MAX('Inputs'!$B$33,'Inputs'!$B$29+'Inputs'!$B$31+'Inputs'!$B$32,'Inputs'!$B$30+'Inputs'!$B$31+'Inputs'!$B$32)/1000+'Inputs'!$B$21+'Inputs'!$B$7+'Inputs'!$B$10)+'Inputs'!$B$9)/SQRT((((924-43)*MAX('Inputs'!$B$33,'Inputs'!$B$29+'Inputs'!$B$31+'Inputs'!$B$32,'Inputs'!$B$30+'Inputs'!$B$31+'Inputs'!$B$32)/1000+'Inputs'!$B$21+'Inputs'!$B$7+'Inputs'!$B$10)+'Inputs'!$B$9)^2+('Inputs'!$B$8/2)^2)-(((924-43)*MAX('Inputs'!$B$33,'Inputs'!$B$29+'Inputs'!$B$31+'Inputs'!$B$32,'Inputs'!$B$30+'Inputs'!$B$31+'Inputs'!$B$32)/1000+'Inputs'!$B$21+'Inputs'!$B$7+'Inputs'!$B$10))/SQRT((((924-43)*MAX('Inputs'!$B$33,'Inputs'!$B$29+'Inputs'!$B$31+'Inputs'!$B$32,'Inputs'!$B$30+'Inputs'!$B$31+'Inputs'!$B$32)/1000+'Inputs'!$B$21+'Inputs'!$B$7+'Inputs'!$B$10))^2+('Inputs'!$B$8/2)^2))))*'Results'!$B$8))),"")</x:f>
        <x:v>0.6582722531309764</x:v>
      </x:c>
      <x:c r="M924" t="n">
        <x:f>IF(AND(ISNUMBER('Results'!C7),ISNUMBER('Results'!B7),ISNUMBER('Results'!$B$8),ISNUMBER('Inputs'!$B$6),ISNUMBER('Inputs'!$B$7),ISNUMBER('Inputs'!$B$8),ISNUMBER('Inputs'!$B$9),ISNUMBER('Inputs'!$B$10),ISNUMBER('Inputs'!$B$21),ISNUMBER('Inputs'!$B$24),ISNUMBER('Inputs'!$B$28)),(('Results'!C7*(0.5*((((924-43)*MAX('Inputs'!$B$33,'Inputs'!$B$29+'Inputs'!$B$31+'Inputs'!$B$32,'Inputs'!$B$30+'Inputs'!$B$31+'Inputs'!$B$32)/1000+'Inputs'!$B$21)+'Inputs'!$B$9)/SQRT((((924-43)*MAX('Inputs'!$B$33,'Inputs'!$B$29+'Inputs'!$B$31+'Inputs'!$B$32,'Inputs'!$B$30+'Inputs'!$B$31+'Inputs'!$B$32)/1000+'Inputs'!$B$21)+'Inputs'!$B$9)^2+('Inputs'!$B$8/2)^2)-(((924-43)*MAX('Inputs'!$B$33,'Inputs'!$B$29+'Inputs'!$B$31+'Inputs'!$B$32,'Inputs'!$B$30+'Inputs'!$B$31+'Inputs'!$B$32)/1000+'Inputs'!$B$21))/SQRT((((924-43)*MAX('Inputs'!$B$33,'Inputs'!$B$29+'Inputs'!$B$31+'Inputs'!$B$32,'Inputs'!$B$30+'Inputs'!$B$31+'Inputs'!$B$32)/1000+'Inputs'!$B$21))^2+('Inputs'!$B$8/2)^2)))-'Results'!B7*(0.5*((((924-43)*MAX('Inputs'!$B$33,'Inputs'!$B$29+'Inputs'!$B$31+'Inputs'!$B$32,'Inputs'!$B$30+'Inputs'!$B$31+'Inputs'!$B$32)/1000+'Inputs'!$B$21+'Inputs'!$B$9+'Inputs'!$B$10)+'Inputs'!$B$7)/SQRT((((924-43)*MAX('Inputs'!$B$33,'Inputs'!$B$29+'Inputs'!$B$31+'Inputs'!$B$32,'Inputs'!$B$30+'Inputs'!$B$31+'Inputs'!$B$32)/1000+'Inputs'!$B$21+'Inputs'!$B$9+'Inputs'!$B$10)+'Inputs'!$B$7)^2+('Inputs'!$B$6/2)^2)-(((924-43)*MAX('Inputs'!$B$33,'Inputs'!$B$29+'Inputs'!$B$31+'Inputs'!$B$32,'Inputs'!$B$30+'Inputs'!$B$31+'Inputs'!$B$32)/1000+'Inputs'!$B$21+'Inputs'!$B$9+'Inputs'!$B$10))/SQRT((((924-43)*MAX('Inputs'!$B$33,'Inputs'!$B$29+'Inputs'!$B$31+'Inputs'!$B$32,'Inputs'!$B$30+'Inputs'!$B$31+'Inputs'!$B$32)/1000+'Inputs'!$B$21+'Inputs'!$B$9+'Inputs'!$B$10))^2+('Inputs'!$B$6/2)^2))))*'Results'!$B$8),"")</x:f>
        <x:v>0.504991291138331</x:v>
      </x:c>
      <x:c r="N924" t="n">
        <x:f>IF(AND(ISNUMBER('Results'!C7),ISNUMBER('Results'!B7),ISNUMBER('Results'!$B$8),ISNUMBER('Inputs'!$B$6),ISNUMBER('Inputs'!$B$7),ISNUMBER('Inputs'!$B$8),ISNUMBER('Inputs'!$B$9),ISNUMBER('Inputs'!$B$10),ISNUMBER('Inputs'!$B$21),ISNUMBER('Inputs'!$B$24),ISNUMBER('Inputs'!$B$28)),((('Results'!C7*(1-'Inputs'!$B$24)*(0.5*((((924-43)*MAX('Inputs'!$B$33,'Inputs'!$B$29+'Inputs'!$B$31+'Inputs'!$B$32,'Inputs'!$B$30+'Inputs'!$B$31+'Inputs'!$B$32)/1000+'Inputs'!$B$21)+'Inputs'!$B$9)/SQRT((((924-43)*MAX('Inputs'!$B$33,'Inputs'!$B$29+'Inputs'!$B$31+'Inputs'!$B$32,'Inputs'!$B$30+'Inputs'!$B$31+'Inputs'!$B$32)/1000+'Inputs'!$B$21)+'Inputs'!$B$9)^2+('Inputs'!$B$8/2)^2)-(((924-43)*MAX('Inputs'!$B$33,'Inputs'!$B$29+'Inputs'!$B$31+'Inputs'!$B$32,'Inputs'!$B$30+'Inputs'!$B$31+'Inputs'!$B$32)/1000+'Inputs'!$B$21))/SQRT((((924-43)*MAX('Inputs'!$B$33,'Inputs'!$B$29+'Inputs'!$B$31+'Inputs'!$B$32,'Inputs'!$B$30+'Inputs'!$B$31+'Inputs'!$B$32)/1000+'Inputs'!$B$21))^2+('Inputs'!$B$8/2)^2)))-'Results'!B7*(1+'Inputs'!$B$24)*(0.5*((((924-43)*MAX('Inputs'!$B$33,'Inputs'!$B$29+'Inputs'!$B$31+'Inputs'!$B$32,'Inputs'!$B$30+'Inputs'!$B$31+'Inputs'!$B$32)/1000+'Inputs'!$B$21+'Inputs'!$B$9+'Inputs'!$B$10)+'Inputs'!$B$7)/SQRT((((924-43)*MAX('Inputs'!$B$33,'Inputs'!$B$29+'Inputs'!$B$31+'Inputs'!$B$32,'Inputs'!$B$30+'Inputs'!$B$31+'Inputs'!$B$32)/1000+'Inputs'!$B$21+'Inputs'!$B$9+'Inputs'!$B$10)+'Inputs'!$B$7)^2+('Inputs'!$B$6/2)^2)-(((924-43)*MAX('Inputs'!$B$33,'Inputs'!$B$29+'Inputs'!$B$31+'Inputs'!$B$32,'Inputs'!$B$30+'Inputs'!$B$31+'Inputs'!$B$32)/1000+'Inputs'!$B$21+'Inputs'!$B$9+'Inputs'!$B$10))/SQRT((((924-43)*MAX('Inputs'!$B$33,'Inputs'!$B$29+'Inputs'!$B$31+'Inputs'!$B$32,'Inputs'!$B$30+'Inputs'!$B$31+'Inputs'!$B$32)/1000+'Inputs'!$B$21+'Inputs'!$B$9+'Inputs'!$B$10))^2+('Inputs'!$B$6/2)^2))))*'Results'!$B$8)-'Inputs'!$B$28*ABS((('Results'!C7*(1-'Inputs'!$B$24)*(0.5*((((924-43)*MAX('Inputs'!$B$33,'Inputs'!$B$29+'Inputs'!$B$31+'Inputs'!$B$32,'Inputs'!$B$30+'Inputs'!$B$31+'Inputs'!$B$32)/1000+'Inputs'!$B$21)+'Inputs'!$B$9)/SQRT((((924-43)*MAX('Inputs'!$B$33,'Inputs'!$B$29+'Inputs'!$B$31+'Inputs'!$B$32,'Inputs'!$B$30+'Inputs'!$B$31+'Inputs'!$B$32)/1000+'Inputs'!$B$21)+'Inputs'!$B$9)^2+('Inputs'!$B$8/2)^2)-(((924-43)*MAX('Inputs'!$B$33,'Inputs'!$B$29+'Inputs'!$B$31+'Inputs'!$B$32,'Inputs'!$B$30+'Inputs'!$B$31+'Inputs'!$B$32)/1000+'Inputs'!$B$21))/SQRT((((924-43)*MAX('Inputs'!$B$33,'Inputs'!$B$29+'Inputs'!$B$31+'Inputs'!$B$32,'Inputs'!$B$30+'Inputs'!$B$31+'Inputs'!$B$32)/1000+'Inputs'!$B$21))^2+('Inputs'!$B$8/2)^2)))-'Results'!B7*(1+'Inputs'!$B$24)*(0.5*((((924-43)*MAX('Inputs'!$B$33,'Inputs'!$B$29+'Inputs'!$B$31+'Inputs'!$B$32,'Inputs'!$B$30+'Inputs'!$B$31+'Inputs'!$B$32)/1000+'Inputs'!$B$21+'Inputs'!$B$9+'Inputs'!$B$10)+'Inputs'!$B$7)/SQRT((((924-43)*MAX('Inputs'!$B$33,'Inputs'!$B$29+'Inputs'!$B$31+'Inputs'!$B$32,'Inputs'!$B$30+'Inputs'!$B$31+'Inputs'!$B$32)/1000+'Inputs'!$B$21+'Inputs'!$B$9+'Inputs'!$B$10)+'Inputs'!$B$7)^2+('Inputs'!$B$6/2)^2)-(((924-43)*MAX('Inputs'!$B$33,'Inputs'!$B$29+'Inputs'!$B$31+'Inputs'!$B$32,'Inputs'!$B$30+'Inputs'!$B$31+'Inputs'!$B$32)/1000+'Inputs'!$B$21+'Inputs'!$B$9+'Inputs'!$B$10))/SQRT((((924-43)*MAX('Inputs'!$B$33,'Inputs'!$B$29+'Inputs'!$B$31+'Inputs'!$B$32,'Inputs'!$B$30+'Inputs'!$B$31+'Inputs'!$B$32)/1000+'Inputs'!$B$21+'Inputs'!$B$9+'Inputs'!$B$10))^2+('Inputs'!$B$6/2)^2))))*'Results'!$B$8))),"")</x:f>
        <x:v>0.42226774103478415</x:v>
      </x:c>
      <x:c r="O924" t="n">
        <x:f>IF(AND(ISNUMBER('Results'!C7),ISNUMBER('Results'!B7),ISNUMBER('Results'!$B$8),ISNUMBER('Inputs'!$B$6),ISNUMBER('Inputs'!$B$7),ISNUMBER('Inputs'!$B$8),ISNUMBER('Inputs'!$B$9),ISNUMBER('Inputs'!$B$10),ISNUMBER('Inputs'!$B$21),ISNUMBER('Inputs'!$B$24),ISNUMBER('Inputs'!$B$28)),((('Results'!C7*(1+'Inputs'!$B$24)*(0.5*((((924-43)*MAX('Inputs'!$B$33,'Inputs'!$B$29+'Inputs'!$B$31+'Inputs'!$B$32,'Inputs'!$B$30+'Inputs'!$B$31+'Inputs'!$B$32)/1000+'Inputs'!$B$21)+'Inputs'!$B$9)/SQRT((((924-43)*MAX('Inputs'!$B$33,'Inputs'!$B$29+'Inputs'!$B$31+'Inputs'!$B$32,'Inputs'!$B$30+'Inputs'!$B$31+'Inputs'!$B$32)/1000+'Inputs'!$B$21)+'Inputs'!$B$9)^2+('Inputs'!$B$8/2)^2)-(((924-43)*MAX('Inputs'!$B$33,'Inputs'!$B$29+'Inputs'!$B$31+'Inputs'!$B$32,'Inputs'!$B$30+'Inputs'!$B$31+'Inputs'!$B$32)/1000+'Inputs'!$B$21))/SQRT((((924-43)*MAX('Inputs'!$B$33,'Inputs'!$B$29+'Inputs'!$B$31+'Inputs'!$B$32,'Inputs'!$B$30+'Inputs'!$B$31+'Inputs'!$B$32)/1000+'Inputs'!$B$21))^2+('Inputs'!$B$8/2)^2)))-'Results'!B7*(1-'Inputs'!$B$24)*(0.5*((((924-43)*MAX('Inputs'!$B$33,'Inputs'!$B$29+'Inputs'!$B$31+'Inputs'!$B$32,'Inputs'!$B$30+'Inputs'!$B$31+'Inputs'!$B$32)/1000+'Inputs'!$B$21+'Inputs'!$B$9+'Inputs'!$B$10)+'Inputs'!$B$7)/SQRT((((924-43)*MAX('Inputs'!$B$33,'Inputs'!$B$29+'Inputs'!$B$31+'Inputs'!$B$32,'Inputs'!$B$30+'Inputs'!$B$31+'Inputs'!$B$32)/1000+'Inputs'!$B$21+'Inputs'!$B$9+'Inputs'!$B$10)+'Inputs'!$B$7)^2+('Inputs'!$B$6/2)^2)-(((924-43)*MAX('Inputs'!$B$33,'Inputs'!$B$29+'Inputs'!$B$31+'Inputs'!$B$32,'Inputs'!$B$30+'Inputs'!$B$31+'Inputs'!$B$32)/1000+'Inputs'!$B$21+'Inputs'!$B$9+'Inputs'!$B$10))/SQRT((((924-43)*MAX('Inputs'!$B$33,'Inputs'!$B$29+'Inputs'!$B$31+'Inputs'!$B$32,'Inputs'!$B$30+'Inputs'!$B$31+'Inputs'!$B$32)/1000+'Inputs'!$B$21+'Inputs'!$B$9+'Inputs'!$B$10))^2+('Inputs'!$B$6/2)^2))))*'Results'!$B$8)+'Inputs'!$B$28*ABS((('Results'!C7*(1+'Inputs'!$B$24)*(0.5*((((924-43)*MAX('Inputs'!$B$33,'Inputs'!$B$29+'Inputs'!$B$31+'Inputs'!$B$32,'Inputs'!$B$30+'Inputs'!$B$31+'Inputs'!$B$32)/1000+'Inputs'!$B$21)+'Inputs'!$B$9)/SQRT((((924-43)*MAX('Inputs'!$B$33,'Inputs'!$B$29+'Inputs'!$B$31+'Inputs'!$B$32,'Inputs'!$B$30+'Inputs'!$B$31+'Inputs'!$B$32)/1000+'Inputs'!$B$21)+'Inputs'!$B$9)^2+('Inputs'!$B$8/2)^2)-(((924-43)*MAX('Inputs'!$B$33,'Inputs'!$B$29+'Inputs'!$B$31+'Inputs'!$B$32,'Inputs'!$B$30+'Inputs'!$B$31+'Inputs'!$B$32)/1000+'Inputs'!$B$21))/SQRT((((924-43)*MAX('Inputs'!$B$33,'Inputs'!$B$29+'Inputs'!$B$31+'Inputs'!$B$32,'Inputs'!$B$30+'Inputs'!$B$31+'Inputs'!$B$32)/1000+'Inputs'!$B$21))^2+('Inputs'!$B$8/2)^2)))-'Results'!B7*(1-'Inputs'!$B$24)*(0.5*((((924-43)*MAX('Inputs'!$B$33,'Inputs'!$B$29+'Inputs'!$B$31+'Inputs'!$B$32,'Inputs'!$B$30+'Inputs'!$B$31+'Inputs'!$B$32)/1000+'Inputs'!$B$21+'Inputs'!$B$9+'Inputs'!$B$10)+'Inputs'!$B$7)/SQRT((((924-43)*MAX('Inputs'!$B$33,'Inputs'!$B$29+'Inputs'!$B$31+'Inputs'!$B$32,'Inputs'!$B$30+'Inputs'!$B$31+'Inputs'!$B$32)/1000+'Inputs'!$B$21+'Inputs'!$B$9+'Inputs'!$B$10)+'Inputs'!$B$7)^2+('Inputs'!$B$6/2)^2)-(((924-43)*MAX('Inputs'!$B$33,'Inputs'!$B$29+'Inputs'!$B$31+'Inputs'!$B$32,'Inputs'!$B$30+'Inputs'!$B$31+'Inputs'!$B$32)/1000+'Inputs'!$B$21+'Inputs'!$B$9+'Inputs'!$B$10))/SQRT((((924-43)*MAX('Inputs'!$B$33,'Inputs'!$B$29+'Inputs'!$B$31+'Inputs'!$B$32,'Inputs'!$B$30+'Inputs'!$B$31+'Inputs'!$B$32)/1000+'Inputs'!$B$21+'Inputs'!$B$9+'Inputs'!$B$10))^2+('Inputs'!$B$6/2)^2))))*'Results'!$B$8))),"")</x:f>
        <x:v>0.5937647344573126</x:v>
      </x:c>
      <x:c r="P924" t="n">
        <x:f>IF(AND(MAX(J924,J923)&gt;0,J924&gt;J923+0.00000001),1,0)</x:f>
        <x:v>0</x:v>
      </x:c>
      <x:c r="Q924" t="n">
        <x:f>IF(AND(MAX(K924,K923)&gt;0,K924&gt;K923+0.00000001),1,0)</x:f>
        <x:v>0</x:v>
      </x:c>
      <x:c r="R924" t="n">
        <x:f>IF(AND(MAX(L924,L923)&gt;0,L924&gt;L923+0.00000001),1,0)</x:f>
        <x:v>0</x:v>
      </x:c>
      <x:c r="S924" t="n">
        <x:f>IF(AND(MAX(M924,M923)&gt;0,M924&gt;M923+0.00000001),1,0)</x:f>
        <x:v>0</x:v>
      </x:c>
      <x:c r="T924" t="n">
        <x:f>IF(AND(MAX(N924,N923)&gt;0,N924&gt;N923+0.00000001),1,0)</x:f>
        <x:v>0</x:v>
      </x:c>
      <x:c r="U924" t="n">
        <x:f>IF(AND(MAX(O924,O923)&gt;0,O924&gt;O923+0.00000001),1,0)</x:f>
        <x:v>0</x:v>
      </x:c>
    </x:row>
    <x:row r="925">
      <x:c r="J925" t="n">
        <x:f>IF(AND(ISNUMBER('Results'!B7),ISNUMBER('Results'!C7),ISNUMBER('Results'!$B$8),ISNUMBER('Inputs'!$B$6),ISNUMBER('Inputs'!$B$7),ISNUMBER('Inputs'!$B$8),ISNUMBER('Inputs'!$B$9),ISNUMBER('Inputs'!$B$10),ISNUMBER('Inputs'!$B$21),ISNUMBER('Inputs'!$B$24),ISNUMBER('Inputs'!$B$28)),(('Results'!B7*(0.5*((((925-43)*MAX('Inputs'!$B$33,'Inputs'!$B$29+'Inputs'!$B$31+'Inputs'!$B$32,'Inputs'!$B$30+'Inputs'!$B$31+'Inputs'!$B$32)/1000+'Inputs'!$B$21)+'Inputs'!$B$7)/SQRT((((925-43)*MAX('Inputs'!$B$33,'Inputs'!$B$29+'Inputs'!$B$31+'Inputs'!$B$32,'Inputs'!$B$30+'Inputs'!$B$31+'Inputs'!$B$32)/1000+'Inputs'!$B$21)+'Inputs'!$B$7)^2+('Inputs'!$B$6/2)^2)-(((925-43)*MAX('Inputs'!$B$33,'Inputs'!$B$29+'Inputs'!$B$31+'Inputs'!$B$32,'Inputs'!$B$30+'Inputs'!$B$31+'Inputs'!$B$32)/1000+'Inputs'!$B$21))/SQRT((((925-43)*MAX('Inputs'!$B$33,'Inputs'!$B$29+'Inputs'!$B$31+'Inputs'!$B$32,'Inputs'!$B$30+'Inputs'!$B$31+'Inputs'!$B$32)/1000+'Inputs'!$B$21))^2+('Inputs'!$B$6/2)^2)))-'Results'!C7*(0.5*((((925-43)*MAX('Inputs'!$B$33,'Inputs'!$B$29+'Inputs'!$B$31+'Inputs'!$B$32,'Inputs'!$B$30+'Inputs'!$B$31+'Inputs'!$B$32)/1000+'Inputs'!$B$21+'Inputs'!$B$7+'Inputs'!$B$10)+'Inputs'!$B$9)/SQRT((((925-43)*MAX('Inputs'!$B$33,'Inputs'!$B$29+'Inputs'!$B$31+'Inputs'!$B$32,'Inputs'!$B$30+'Inputs'!$B$31+'Inputs'!$B$32)/1000+'Inputs'!$B$21+'Inputs'!$B$7+'Inputs'!$B$10)+'Inputs'!$B$9)^2+('Inputs'!$B$8/2)^2)-(((925-43)*MAX('Inputs'!$B$33,'Inputs'!$B$29+'Inputs'!$B$31+'Inputs'!$B$32,'Inputs'!$B$30+'Inputs'!$B$31+'Inputs'!$B$32)/1000+'Inputs'!$B$21+'Inputs'!$B$7+'Inputs'!$B$10))/SQRT((((925-43)*MAX('Inputs'!$B$33,'Inputs'!$B$29+'Inputs'!$B$31+'Inputs'!$B$32,'Inputs'!$B$30+'Inputs'!$B$31+'Inputs'!$B$32)/1000+'Inputs'!$B$21+'Inputs'!$B$7+'Inputs'!$B$10))^2+('Inputs'!$B$8/2)^2))))*'Results'!$B$8),"")</x:f>
        <x:v>0.5638887400294605</x:v>
      </x:c>
      <x:c r="K925" t="n">
        <x:f>IF(AND(ISNUMBER('Results'!B7),ISNUMBER('Results'!C7),ISNUMBER('Results'!$B$8),ISNUMBER('Inputs'!$B$6),ISNUMBER('Inputs'!$B$7),ISNUMBER('Inputs'!$B$8),ISNUMBER('Inputs'!$B$9),ISNUMBER('Inputs'!$B$10),ISNUMBER('Inputs'!$B$21),ISNUMBER('Inputs'!$B$24),ISNUMBER('Inputs'!$B$28)),((('Results'!B7*(1-'Inputs'!$B$24)*(0.5*((((925-43)*MAX('Inputs'!$B$33,'Inputs'!$B$29+'Inputs'!$B$31+'Inputs'!$B$32,'Inputs'!$B$30+'Inputs'!$B$31+'Inputs'!$B$32)/1000+'Inputs'!$B$21)+'Inputs'!$B$7)/SQRT((((925-43)*MAX('Inputs'!$B$33,'Inputs'!$B$29+'Inputs'!$B$31+'Inputs'!$B$32,'Inputs'!$B$30+'Inputs'!$B$31+'Inputs'!$B$32)/1000+'Inputs'!$B$21)+'Inputs'!$B$7)^2+('Inputs'!$B$6/2)^2)-(((925-43)*MAX('Inputs'!$B$33,'Inputs'!$B$29+'Inputs'!$B$31+'Inputs'!$B$32,'Inputs'!$B$30+'Inputs'!$B$31+'Inputs'!$B$32)/1000+'Inputs'!$B$21))/SQRT((((925-43)*MAX('Inputs'!$B$33,'Inputs'!$B$29+'Inputs'!$B$31+'Inputs'!$B$32,'Inputs'!$B$30+'Inputs'!$B$31+'Inputs'!$B$32)/1000+'Inputs'!$B$21))^2+('Inputs'!$B$6/2)^2)))-'Results'!C7*(1+'Inputs'!$B$24)*(0.5*((((925-43)*MAX('Inputs'!$B$33,'Inputs'!$B$29+'Inputs'!$B$31+'Inputs'!$B$32,'Inputs'!$B$30+'Inputs'!$B$31+'Inputs'!$B$32)/1000+'Inputs'!$B$21+'Inputs'!$B$7+'Inputs'!$B$10)+'Inputs'!$B$9)/SQRT((((925-43)*MAX('Inputs'!$B$33,'Inputs'!$B$29+'Inputs'!$B$31+'Inputs'!$B$32,'Inputs'!$B$30+'Inputs'!$B$31+'Inputs'!$B$32)/1000+'Inputs'!$B$21+'Inputs'!$B$7+'Inputs'!$B$10)+'Inputs'!$B$9)^2+('Inputs'!$B$8/2)^2)-(((925-43)*MAX('Inputs'!$B$33,'Inputs'!$B$29+'Inputs'!$B$31+'Inputs'!$B$32,'Inputs'!$B$30+'Inputs'!$B$31+'Inputs'!$B$32)/1000+'Inputs'!$B$21+'Inputs'!$B$7+'Inputs'!$B$10))/SQRT((((925-43)*MAX('Inputs'!$B$33,'Inputs'!$B$29+'Inputs'!$B$31+'Inputs'!$B$32,'Inputs'!$B$30+'Inputs'!$B$31+'Inputs'!$B$32)/1000+'Inputs'!$B$21+'Inputs'!$B$7+'Inputs'!$B$10))^2+('Inputs'!$B$8/2)^2))))*'Results'!$B$8)-'Inputs'!$B$28*ABS((('Results'!B7*(1-'Inputs'!$B$24)*(0.5*((((925-43)*MAX('Inputs'!$B$33,'Inputs'!$B$29+'Inputs'!$B$31+'Inputs'!$B$32,'Inputs'!$B$30+'Inputs'!$B$31+'Inputs'!$B$32)/1000+'Inputs'!$B$21)+'Inputs'!$B$7)/SQRT((((925-43)*MAX('Inputs'!$B$33,'Inputs'!$B$29+'Inputs'!$B$31+'Inputs'!$B$32,'Inputs'!$B$30+'Inputs'!$B$31+'Inputs'!$B$32)/1000+'Inputs'!$B$21)+'Inputs'!$B$7)^2+('Inputs'!$B$6/2)^2)-(((925-43)*MAX('Inputs'!$B$33,'Inputs'!$B$29+'Inputs'!$B$31+'Inputs'!$B$32,'Inputs'!$B$30+'Inputs'!$B$31+'Inputs'!$B$32)/1000+'Inputs'!$B$21))/SQRT((((925-43)*MAX('Inputs'!$B$33,'Inputs'!$B$29+'Inputs'!$B$31+'Inputs'!$B$32,'Inputs'!$B$30+'Inputs'!$B$31+'Inputs'!$B$32)/1000+'Inputs'!$B$21))^2+('Inputs'!$B$6/2)^2)))-'Results'!C7*(1+'Inputs'!$B$24)*(0.5*((((925-43)*MAX('Inputs'!$B$33,'Inputs'!$B$29+'Inputs'!$B$31+'Inputs'!$B$32,'Inputs'!$B$30+'Inputs'!$B$31+'Inputs'!$B$32)/1000+'Inputs'!$B$21+'Inputs'!$B$7+'Inputs'!$B$10)+'Inputs'!$B$9)/SQRT((((925-43)*MAX('Inputs'!$B$33,'Inputs'!$B$29+'Inputs'!$B$31+'Inputs'!$B$32,'Inputs'!$B$30+'Inputs'!$B$31+'Inputs'!$B$32)/1000+'Inputs'!$B$21+'Inputs'!$B$7+'Inputs'!$B$10)+'Inputs'!$B$9)^2+('Inputs'!$B$8/2)^2)-(((925-43)*MAX('Inputs'!$B$33,'Inputs'!$B$29+'Inputs'!$B$31+'Inputs'!$B$32,'Inputs'!$B$30+'Inputs'!$B$31+'Inputs'!$B$32)/1000+'Inputs'!$B$21+'Inputs'!$B$7+'Inputs'!$B$10))/SQRT((((925-43)*MAX('Inputs'!$B$33,'Inputs'!$B$29+'Inputs'!$B$31+'Inputs'!$B$32,'Inputs'!$B$30+'Inputs'!$B$31+'Inputs'!$B$32)/1000+'Inputs'!$B$21+'Inputs'!$B$7+'Inputs'!$B$10))^2+('Inputs'!$B$8/2)^2))))*'Results'!$B$8))),"")</x:f>
        <x:v>0.4781964187505947</x:v>
      </x:c>
      <x:c r="L925" t="n">
        <x:f>IF(AND(ISNUMBER('Results'!B7),ISNUMBER('Results'!C7),ISNUMBER('Results'!$B$8),ISNUMBER('Inputs'!$B$6),ISNUMBER('Inputs'!$B$7),ISNUMBER('Inputs'!$B$8),ISNUMBER('Inputs'!$B$9),ISNUMBER('Inputs'!$B$10),ISNUMBER('Inputs'!$B$21),ISNUMBER('Inputs'!$B$24),ISNUMBER('Inputs'!$B$28)),((('Results'!B7*(1+'Inputs'!$B$24)*(0.5*((((925-43)*MAX('Inputs'!$B$33,'Inputs'!$B$29+'Inputs'!$B$31+'Inputs'!$B$32,'Inputs'!$B$30+'Inputs'!$B$31+'Inputs'!$B$32)/1000+'Inputs'!$B$21)+'Inputs'!$B$7)/SQRT((((925-43)*MAX('Inputs'!$B$33,'Inputs'!$B$29+'Inputs'!$B$31+'Inputs'!$B$32,'Inputs'!$B$30+'Inputs'!$B$31+'Inputs'!$B$32)/1000+'Inputs'!$B$21)+'Inputs'!$B$7)^2+('Inputs'!$B$6/2)^2)-(((925-43)*MAX('Inputs'!$B$33,'Inputs'!$B$29+'Inputs'!$B$31+'Inputs'!$B$32,'Inputs'!$B$30+'Inputs'!$B$31+'Inputs'!$B$32)/1000+'Inputs'!$B$21))/SQRT((((925-43)*MAX('Inputs'!$B$33,'Inputs'!$B$29+'Inputs'!$B$31+'Inputs'!$B$32,'Inputs'!$B$30+'Inputs'!$B$31+'Inputs'!$B$32)/1000+'Inputs'!$B$21))^2+('Inputs'!$B$6/2)^2)))-'Results'!C7*(1-'Inputs'!$B$24)*(0.5*((((925-43)*MAX('Inputs'!$B$33,'Inputs'!$B$29+'Inputs'!$B$31+'Inputs'!$B$32,'Inputs'!$B$30+'Inputs'!$B$31+'Inputs'!$B$32)/1000+'Inputs'!$B$21+'Inputs'!$B$7+'Inputs'!$B$10)+'Inputs'!$B$9)/SQRT((((925-43)*MAX('Inputs'!$B$33,'Inputs'!$B$29+'Inputs'!$B$31+'Inputs'!$B$32,'Inputs'!$B$30+'Inputs'!$B$31+'Inputs'!$B$32)/1000+'Inputs'!$B$21+'Inputs'!$B$7+'Inputs'!$B$10)+'Inputs'!$B$9)^2+('Inputs'!$B$8/2)^2)-(((925-43)*MAX('Inputs'!$B$33,'Inputs'!$B$29+'Inputs'!$B$31+'Inputs'!$B$32,'Inputs'!$B$30+'Inputs'!$B$31+'Inputs'!$B$32)/1000+'Inputs'!$B$21+'Inputs'!$B$7+'Inputs'!$B$10))/SQRT((((925-43)*MAX('Inputs'!$B$33,'Inputs'!$B$29+'Inputs'!$B$31+'Inputs'!$B$32,'Inputs'!$B$30+'Inputs'!$B$31+'Inputs'!$B$32)/1000+'Inputs'!$B$21+'Inputs'!$B$7+'Inputs'!$B$10))^2+('Inputs'!$B$8/2)^2))))*'Results'!$B$8)+'Inputs'!$B$28*ABS((('Results'!B7*(1+'Inputs'!$B$24)*(0.5*((((925-43)*MAX('Inputs'!$B$33,'Inputs'!$B$29+'Inputs'!$B$31+'Inputs'!$B$32,'Inputs'!$B$30+'Inputs'!$B$31+'Inputs'!$B$32)/1000+'Inputs'!$B$21)+'Inputs'!$B$7)/SQRT((((925-43)*MAX('Inputs'!$B$33,'Inputs'!$B$29+'Inputs'!$B$31+'Inputs'!$B$32,'Inputs'!$B$30+'Inputs'!$B$31+'Inputs'!$B$32)/1000+'Inputs'!$B$21)+'Inputs'!$B$7)^2+('Inputs'!$B$6/2)^2)-(((925-43)*MAX('Inputs'!$B$33,'Inputs'!$B$29+'Inputs'!$B$31+'Inputs'!$B$32,'Inputs'!$B$30+'Inputs'!$B$31+'Inputs'!$B$32)/1000+'Inputs'!$B$21))/SQRT((((925-43)*MAX('Inputs'!$B$33,'Inputs'!$B$29+'Inputs'!$B$31+'Inputs'!$B$32,'Inputs'!$B$30+'Inputs'!$B$31+'Inputs'!$B$32)/1000+'Inputs'!$B$21))^2+('Inputs'!$B$6/2)^2)))-'Results'!C7*(1-'Inputs'!$B$24)*(0.5*((((925-43)*MAX('Inputs'!$B$33,'Inputs'!$B$29+'Inputs'!$B$31+'Inputs'!$B$32,'Inputs'!$B$30+'Inputs'!$B$31+'Inputs'!$B$32)/1000+'Inputs'!$B$21+'Inputs'!$B$7+'Inputs'!$B$10)+'Inputs'!$B$9)/SQRT((((925-43)*MAX('Inputs'!$B$33,'Inputs'!$B$29+'Inputs'!$B$31+'Inputs'!$B$32,'Inputs'!$B$30+'Inputs'!$B$31+'Inputs'!$B$32)/1000+'Inputs'!$B$21+'Inputs'!$B$7+'Inputs'!$B$10)+'Inputs'!$B$9)^2+('Inputs'!$B$8/2)^2)-(((925-43)*MAX('Inputs'!$B$33,'Inputs'!$B$29+'Inputs'!$B$31+'Inputs'!$B$32,'Inputs'!$B$30+'Inputs'!$B$31+'Inputs'!$B$32)/1000+'Inputs'!$B$21+'Inputs'!$B$7+'Inputs'!$B$10))/SQRT((((925-43)*MAX('Inputs'!$B$33,'Inputs'!$B$29+'Inputs'!$B$31+'Inputs'!$B$32,'Inputs'!$B$30+'Inputs'!$B$31+'Inputs'!$B$32)/1000+'Inputs'!$B$21+'Inputs'!$B$7+'Inputs'!$B$10))^2+('Inputs'!$B$8/2)^2))))*'Results'!$B$8))),"")</x:f>
        <x:v>0.655633470179631</x:v>
      </x:c>
      <x:c r="M925" t="n">
        <x:f>IF(AND(ISNUMBER('Results'!C7),ISNUMBER('Results'!B7),ISNUMBER('Results'!$B$8),ISNUMBER('Inputs'!$B$6),ISNUMBER('Inputs'!$B$7),ISNUMBER('Inputs'!$B$8),ISNUMBER('Inputs'!$B$9),ISNUMBER('Inputs'!$B$10),ISNUMBER('Inputs'!$B$21),ISNUMBER('Inputs'!$B$24),ISNUMBER('Inputs'!$B$28)),(('Results'!C7*(0.5*((((925-43)*MAX('Inputs'!$B$33,'Inputs'!$B$29+'Inputs'!$B$31+'Inputs'!$B$32,'Inputs'!$B$30+'Inputs'!$B$31+'Inputs'!$B$32)/1000+'Inputs'!$B$21)+'Inputs'!$B$9)/SQRT((((925-43)*MAX('Inputs'!$B$33,'Inputs'!$B$29+'Inputs'!$B$31+'Inputs'!$B$32,'Inputs'!$B$30+'Inputs'!$B$31+'Inputs'!$B$32)/1000+'Inputs'!$B$21)+'Inputs'!$B$9)^2+('Inputs'!$B$8/2)^2)-(((925-43)*MAX('Inputs'!$B$33,'Inputs'!$B$29+'Inputs'!$B$31+'Inputs'!$B$32,'Inputs'!$B$30+'Inputs'!$B$31+'Inputs'!$B$32)/1000+'Inputs'!$B$21))/SQRT((((925-43)*MAX('Inputs'!$B$33,'Inputs'!$B$29+'Inputs'!$B$31+'Inputs'!$B$32,'Inputs'!$B$30+'Inputs'!$B$31+'Inputs'!$B$32)/1000+'Inputs'!$B$21))^2+('Inputs'!$B$8/2)^2)))-'Results'!B7*(0.5*((((925-43)*MAX('Inputs'!$B$33,'Inputs'!$B$29+'Inputs'!$B$31+'Inputs'!$B$32,'Inputs'!$B$30+'Inputs'!$B$31+'Inputs'!$B$32)/1000+'Inputs'!$B$21+'Inputs'!$B$9+'Inputs'!$B$10)+'Inputs'!$B$7)/SQRT((((925-43)*MAX('Inputs'!$B$33,'Inputs'!$B$29+'Inputs'!$B$31+'Inputs'!$B$32,'Inputs'!$B$30+'Inputs'!$B$31+'Inputs'!$B$32)/1000+'Inputs'!$B$21+'Inputs'!$B$9+'Inputs'!$B$10)+'Inputs'!$B$7)^2+('Inputs'!$B$6/2)^2)-(((925-43)*MAX('Inputs'!$B$33,'Inputs'!$B$29+'Inputs'!$B$31+'Inputs'!$B$32,'Inputs'!$B$30+'Inputs'!$B$31+'Inputs'!$B$32)/1000+'Inputs'!$B$21+'Inputs'!$B$9+'Inputs'!$B$10))/SQRT((((925-43)*MAX('Inputs'!$B$33,'Inputs'!$B$29+'Inputs'!$B$31+'Inputs'!$B$32,'Inputs'!$B$30+'Inputs'!$B$31+'Inputs'!$B$32)/1000+'Inputs'!$B$21+'Inputs'!$B$9+'Inputs'!$B$10))^2+('Inputs'!$B$6/2)^2))))*'Results'!$B$8),"")</x:f>
        <x:v>0.5028621379091455</x:v>
      </x:c>
      <x:c r="N925" t="n">
        <x:f>IF(AND(ISNUMBER('Results'!C7),ISNUMBER('Results'!B7),ISNUMBER('Results'!$B$8),ISNUMBER('Inputs'!$B$6),ISNUMBER('Inputs'!$B$7),ISNUMBER('Inputs'!$B$8),ISNUMBER('Inputs'!$B$9),ISNUMBER('Inputs'!$B$10),ISNUMBER('Inputs'!$B$21),ISNUMBER('Inputs'!$B$24),ISNUMBER('Inputs'!$B$28)),((('Results'!C7*(1-'Inputs'!$B$24)*(0.5*((((925-43)*MAX('Inputs'!$B$33,'Inputs'!$B$29+'Inputs'!$B$31+'Inputs'!$B$32,'Inputs'!$B$30+'Inputs'!$B$31+'Inputs'!$B$32)/1000+'Inputs'!$B$21)+'Inputs'!$B$9)/SQRT((((925-43)*MAX('Inputs'!$B$33,'Inputs'!$B$29+'Inputs'!$B$31+'Inputs'!$B$32,'Inputs'!$B$30+'Inputs'!$B$31+'Inputs'!$B$32)/1000+'Inputs'!$B$21)+'Inputs'!$B$9)^2+('Inputs'!$B$8/2)^2)-(((925-43)*MAX('Inputs'!$B$33,'Inputs'!$B$29+'Inputs'!$B$31+'Inputs'!$B$32,'Inputs'!$B$30+'Inputs'!$B$31+'Inputs'!$B$32)/1000+'Inputs'!$B$21))/SQRT((((925-43)*MAX('Inputs'!$B$33,'Inputs'!$B$29+'Inputs'!$B$31+'Inputs'!$B$32,'Inputs'!$B$30+'Inputs'!$B$31+'Inputs'!$B$32)/1000+'Inputs'!$B$21))^2+('Inputs'!$B$8/2)^2)))-'Results'!B7*(1+'Inputs'!$B$24)*(0.5*((((925-43)*MAX('Inputs'!$B$33,'Inputs'!$B$29+'Inputs'!$B$31+'Inputs'!$B$32,'Inputs'!$B$30+'Inputs'!$B$31+'Inputs'!$B$32)/1000+'Inputs'!$B$21+'Inputs'!$B$9+'Inputs'!$B$10)+'Inputs'!$B$7)/SQRT((((925-43)*MAX('Inputs'!$B$33,'Inputs'!$B$29+'Inputs'!$B$31+'Inputs'!$B$32,'Inputs'!$B$30+'Inputs'!$B$31+'Inputs'!$B$32)/1000+'Inputs'!$B$21+'Inputs'!$B$9+'Inputs'!$B$10)+'Inputs'!$B$7)^2+('Inputs'!$B$6/2)^2)-(((925-43)*MAX('Inputs'!$B$33,'Inputs'!$B$29+'Inputs'!$B$31+'Inputs'!$B$32,'Inputs'!$B$30+'Inputs'!$B$31+'Inputs'!$B$32)/1000+'Inputs'!$B$21+'Inputs'!$B$9+'Inputs'!$B$10))/SQRT((((925-43)*MAX('Inputs'!$B$33,'Inputs'!$B$29+'Inputs'!$B$31+'Inputs'!$B$32,'Inputs'!$B$30+'Inputs'!$B$31+'Inputs'!$B$32)/1000+'Inputs'!$B$21+'Inputs'!$B$9+'Inputs'!$B$10))^2+('Inputs'!$B$6/2)^2))))*'Results'!$B$8)-'Inputs'!$B$28*ABS((('Results'!C7*(1-'Inputs'!$B$24)*(0.5*((((925-43)*MAX('Inputs'!$B$33,'Inputs'!$B$29+'Inputs'!$B$31+'Inputs'!$B$32,'Inputs'!$B$30+'Inputs'!$B$31+'Inputs'!$B$32)/1000+'Inputs'!$B$21)+'Inputs'!$B$9)/SQRT((((925-43)*MAX('Inputs'!$B$33,'Inputs'!$B$29+'Inputs'!$B$31+'Inputs'!$B$32,'Inputs'!$B$30+'Inputs'!$B$31+'Inputs'!$B$32)/1000+'Inputs'!$B$21)+'Inputs'!$B$9)^2+('Inputs'!$B$8/2)^2)-(((925-43)*MAX('Inputs'!$B$33,'Inputs'!$B$29+'Inputs'!$B$31+'Inputs'!$B$32,'Inputs'!$B$30+'Inputs'!$B$31+'Inputs'!$B$32)/1000+'Inputs'!$B$21))/SQRT((((925-43)*MAX('Inputs'!$B$33,'Inputs'!$B$29+'Inputs'!$B$31+'Inputs'!$B$32,'Inputs'!$B$30+'Inputs'!$B$31+'Inputs'!$B$32)/1000+'Inputs'!$B$21))^2+('Inputs'!$B$8/2)^2)))-'Results'!B7*(1+'Inputs'!$B$24)*(0.5*((((925-43)*MAX('Inputs'!$B$33,'Inputs'!$B$29+'Inputs'!$B$31+'Inputs'!$B$32,'Inputs'!$B$30+'Inputs'!$B$31+'Inputs'!$B$32)/1000+'Inputs'!$B$21+'Inputs'!$B$9+'Inputs'!$B$10)+'Inputs'!$B$7)/SQRT((((925-43)*MAX('Inputs'!$B$33,'Inputs'!$B$29+'Inputs'!$B$31+'Inputs'!$B$32,'Inputs'!$B$30+'Inputs'!$B$31+'Inputs'!$B$32)/1000+'Inputs'!$B$21+'Inputs'!$B$9+'Inputs'!$B$10)+'Inputs'!$B$7)^2+('Inputs'!$B$6/2)^2)-(((925-43)*MAX('Inputs'!$B$33,'Inputs'!$B$29+'Inputs'!$B$31+'Inputs'!$B$32,'Inputs'!$B$30+'Inputs'!$B$31+'Inputs'!$B$32)/1000+'Inputs'!$B$21+'Inputs'!$B$9+'Inputs'!$B$10))/SQRT((((925-43)*MAX('Inputs'!$B$33,'Inputs'!$B$29+'Inputs'!$B$31+'Inputs'!$B$32,'Inputs'!$B$30+'Inputs'!$B$31+'Inputs'!$B$32)/1000+'Inputs'!$B$21+'Inputs'!$B$9+'Inputs'!$B$10))^2+('Inputs'!$B$6/2)^2))))*'Results'!$B$8))),"")</x:f>
        <x:v>0.4204258767027684</x:v>
      </x:c>
      <x:c r="O925" t="n">
        <x:f>IF(AND(ISNUMBER('Results'!C7),ISNUMBER('Results'!B7),ISNUMBER('Results'!$B$8),ISNUMBER('Inputs'!$B$6),ISNUMBER('Inputs'!$B$7),ISNUMBER('Inputs'!$B$8),ISNUMBER('Inputs'!$B$9),ISNUMBER('Inputs'!$B$10),ISNUMBER('Inputs'!$B$21),ISNUMBER('Inputs'!$B$24),ISNUMBER('Inputs'!$B$28)),((('Results'!C7*(1+'Inputs'!$B$24)*(0.5*((((925-43)*MAX('Inputs'!$B$33,'Inputs'!$B$29+'Inputs'!$B$31+'Inputs'!$B$32,'Inputs'!$B$30+'Inputs'!$B$31+'Inputs'!$B$32)/1000+'Inputs'!$B$21)+'Inputs'!$B$9)/SQRT((((925-43)*MAX('Inputs'!$B$33,'Inputs'!$B$29+'Inputs'!$B$31+'Inputs'!$B$32,'Inputs'!$B$30+'Inputs'!$B$31+'Inputs'!$B$32)/1000+'Inputs'!$B$21)+'Inputs'!$B$9)^2+('Inputs'!$B$8/2)^2)-(((925-43)*MAX('Inputs'!$B$33,'Inputs'!$B$29+'Inputs'!$B$31+'Inputs'!$B$32,'Inputs'!$B$30+'Inputs'!$B$31+'Inputs'!$B$32)/1000+'Inputs'!$B$21))/SQRT((((925-43)*MAX('Inputs'!$B$33,'Inputs'!$B$29+'Inputs'!$B$31+'Inputs'!$B$32,'Inputs'!$B$30+'Inputs'!$B$31+'Inputs'!$B$32)/1000+'Inputs'!$B$21))^2+('Inputs'!$B$8/2)^2)))-'Results'!B7*(1-'Inputs'!$B$24)*(0.5*((((925-43)*MAX('Inputs'!$B$33,'Inputs'!$B$29+'Inputs'!$B$31+'Inputs'!$B$32,'Inputs'!$B$30+'Inputs'!$B$31+'Inputs'!$B$32)/1000+'Inputs'!$B$21+'Inputs'!$B$9+'Inputs'!$B$10)+'Inputs'!$B$7)/SQRT((((925-43)*MAX('Inputs'!$B$33,'Inputs'!$B$29+'Inputs'!$B$31+'Inputs'!$B$32,'Inputs'!$B$30+'Inputs'!$B$31+'Inputs'!$B$32)/1000+'Inputs'!$B$21+'Inputs'!$B$9+'Inputs'!$B$10)+'Inputs'!$B$7)^2+('Inputs'!$B$6/2)^2)-(((925-43)*MAX('Inputs'!$B$33,'Inputs'!$B$29+'Inputs'!$B$31+'Inputs'!$B$32,'Inputs'!$B$30+'Inputs'!$B$31+'Inputs'!$B$32)/1000+'Inputs'!$B$21+'Inputs'!$B$9+'Inputs'!$B$10))/SQRT((((925-43)*MAX('Inputs'!$B$33,'Inputs'!$B$29+'Inputs'!$B$31+'Inputs'!$B$32,'Inputs'!$B$30+'Inputs'!$B$31+'Inputs'!$B$32)/1000+'Inputs'!$B$21+'Inputs'!$B$9+'Inputs'!$B$10))^2+('Inputs'!$B$6/2)^2))))*'Results'!$B$8)+'Inputs'!$B$28*ABS((('Results'!C7*(1+'Inputs'!$B$24)*(0.5*((((925-43)*MAX('Inputs'!$B$33,'Inputs'!$B$29+'Inputs'!$B$31+'Inputs'!$B$32,'Inputs'!$B$30+'Inputs'!$B$31+'Inputs'!$B$32)/1000+'Inputs'!$B$21)+'Inputs'!$B$9)/SQRT((((925-43)*MAX('Inputs'!$B$33,'Inputs'!$B$29+'Inputs'!$B$31+'Inputs'!$B$32,'Inputs'!$B$30+'Inputs'!$B$31+'Inputs'!$B$32)/1000+'Inputs'!$B$21)+'Inputs'!$B$9)^2+('Inputs'!$B$8/2)^2)-(((925-43)*MAX('Inputs'!$B$33,'Inputs'!$B$29+'Inputs'!$B$31+'Inputs'!$B$32,'Inputs'!$B$30+'Inputs'!$B$31+'Inputs'!$B$32)/1000+'Inputs'!$B$21))/SQRT((((925-43)*MAX('Inputs'!$B$33,'Inputs'!$B$29+'Inputs'!$B$31+'Inputs'!$B$32,'Inputs'!$B$30+'Inputs'!$B$31+'Inputs'!$B$32)/1000+'Inputs'!$B$21))^2+('Inputs'!$B$8/2)^2)))-'Results'!B7*(1-'Inputs'!$B$24)*(0.5*((((925-43)*MAX('Inputs'!$B$33,'Inputs'!$B$29+'Inputs'!$B$31+'Inputs'!$B$32,'Inputs'!$B$30+'Inputs'!$B$31+'Inputs'!$B$32)/1000+'Inputs'!$B$21+'Inputs'!$B$9+'Inputs'!$B$10)+'Inputs'!$B$7)/SQRT((((925-43)*MAX('Inputs'!$B$33,'Inputs'!$B$29+'Inputs'!$B$31+'Inputs'!$B$32,'Inputs'!$B$30+'Inputs'!$B$31+'Inputs'!$B$32)/1000+'Inputs'!$B$21+'Inputs'!$B$9+'Inputs'!$B$10)+'Inputs'!$B$7)^2+('Inputs'!$B$6/2)^2)-(((925-43)*MAX('Inputs'!$B$33,'Inputs'!$B$29+'Inputs'!$B$31+'Inputs'!$B$32,'Inputs'!$B$30+'Inputs'!$B$31+'Inputs'!$B$32)/1000+'Inputs'!$B$21+'Inputs'!$B$9+'Inputs'!$B$10))/SQRT((((925-43)*MAX('Inputs'!$B$33,'Inputs'!$B$29+'Inputs'!$B$31+'Inputs'!$B$32,'Inputs'!$B$30+'Inputs'!$B$31+'Inputs'!$B$32)/1000+'Inputs'!$B$21+'Inputs'!$B$9+'Inputs'!$B$10))^2+('Inputs'!$B$6/2)^2))))*'Results'!$B$8))),"")</x:f>
        <x:v>0.5913292574640404</x:v>
      </x:c>
      <x:c r="P925" t="n">
        <x:f>IF(AND(MAX(J925,J924)&gt;0,J925&gt;J924+0.00000001),1,0)</x:f>
        <x:v>0</x:v>
      </x:c>
      <x:c r="Q925" t="n">
        <x:f>IF(AND(MAX(K925,K924)&gt;0,K925&gt;K924+0.00000001),1,0)</x:f>
        <x:v>0</x:v>
      </x:c>
      <x:c r="R925" t="n">
        <x:f>IF(AND(MAX(L925,L924)&gt;0,L925&gt;L924+0.00000001),1,0)</x:f>
        <x:v>0</x:v>
      </x:c>
      <x:c r="S925" t="n">
        <x:f>IF(AND(MAX(M925,M924)&gt;0,M925&gt;M924+0.00000001),1,0)</x:f>
        <x:v>0</x:v>
      </x:c>
      <x:c r="T925" t="n">
        <x:f>IF(AND(MAX(N925,N924)&gt;0,N925&gt;N924+0.00000001),1,0)</x:f>
        <x:v>0</x:v>
      </x:c>
      <x:c r="U925" t="n">
        <x:f>IF(AND(MAX(O925,O924)&gt;0,O925&gt;O924+0.00000001),1,0)</x:f>
        <x:v>0</x:v>
      </x:c>
    </x:row>
    <x:row r="926">
      <x:c r="J926" t="n">
        <x:f>IF(AND(ISNUMBER('Results'!B7),ISNUMBER('Results'!C7),ISNUMBER('Results'!$B$8),ISNUMBER('Inputs'!$B$6),ISNUMBER('Inputs'!$B$7),ISNUMBER('Inputs'!$B$8),ISNUMBER('Inputs'!$B$9),ISNUMBER('Inputs'!$B$10),ISNUMBER('Inputs'!$B$21),ISNUMBER('Inputs'!$B$24),ISNUMBER('Inputs'!$B$28)),(('Results'!B7*(0.5*((((926-43)*MAX('Inputs'!$B$33,'Inputs'!$B$29+'Inputs'!$B$31+'Inputs'!$B$32,'Inputs'!$B$30+'Inputs'!$B$31+'Inputs'!$B$32)/1000+'Inputs'!$B$21)+'Inputs'!$B$7)/SQRT((((926-43)*MAX('Inputs'!$B$33,'Inputs'!$B$29+'Inputs'!$B$31+'Inputs'!$B$32,'Inputs'!$B$30+'Inputs'!$B$31+'Inputs'!$B$32)/1000+'Inputs'!$B$21)+'Inputs'!$B$7)^2+('Inputs'!$B$6/2)^2)-(((926-43)*MAX('Inputs'!$B$33,'Inputs'!$B$29+'Inputs'!$B$31+'Inputs'!$B$32,'Inputs'!$B$30+'Inputs'!$B$31+'Inputs'!$B$32)/1000+'Inputs'!$B$21))/SQRT((((926-43)*MAX('Inputs'!$B$33,'Inputs'!$B$29+'Inputs'!$B$31+'Inputs'!$B$32,'Inputs'!$B$30+'Inputs'!$B$31+'Inputs'!$B$32)/1000+'Inputs'!$B$21))^2+('Inputs'!$B$6/2)^2)))-'Results'!C7*(0.5*((((926-43)*MAX('Inputs'!$B$33,'Inputs'!$B$29+'Inputs'!$B$31+'Inputs'!$B$32,'Inputs'!$B$30+'Inputs'!$B$31+'Inputs'!$B$32)/1000+'Inputs'!$B$21+'Inputs'!$B$7+'Inputs'!$B$10)+'Inputs'!$B$9)/SQRT((((926-43)*MAX('Inputs'!$B$33,'Inputs'!$B$29+'Inputs'!$B$31+'Inputs'!$B$32,'Inputs'!$B$30+'Inputs'!$B$31+'Inputs'!$B$32)/1000+'Inputs'!$B$21+'Inputs'!$B$7+'Inputs'!$B$10)+'Inputs'!$B$9)^2+('Inputs'!$B$8/2)^2)-(((926-43)*MAX('Inputs'!$B$33,'Inputs'!$B$29+'Inputs'!$B$31+'Inputs'!$B$32,'Inputs'!$B$30+'Inputs'!$B$31+'Inputs'!$B$32)/1000+'Inputs'!$B$21+'Inputs'!$B$7+'Inputs'!$B$10))/SQRT((((926-43)*MAX('Inputs'!$B$33,'Inputs'!$B$29+'Inputs'!$B$31+'Inputs'!$B$32,'Inputs'!$B$30+'Inputs'!$B$31+'Inputs'!$B$32)/1000+'Inputs'!$B$21+'Inputs'!$B$7+'Inputs'!$B$10))^2+('Inputs'!$B$8/2)^2))))*'Results'!$B$8),"")</x:f>
        <x:v>0.5615788078293286</x:v>
      </x:c>
      <x:c r="K926" t="n">
        <x:f>IF(AND(ISNUMBER('Results'!B7),ISNUMBER('Results'!C7),ISNUMBER('Results'!$B$8),ISNUMBER('Inputs'!$B$6),ISNUMBER('Inputs'!$B$7),ISNUMBER('Inputs'!$B$8),ISNUMBER('Inputs'!$B$9),ISNUMBER('Inputs'!$B$10),ISNUMBER('Inputs'!$B$21),ISNUMBER('Inputs'!$B$24),ISNUMBER('Inputs'!$B$28)),((('Results'!B7*(1-'Inputs'!$B$24)*(0.5*((((926-43)*MAX('Inputs'!$B$33,'Inputs'!$B$29+'Inputs'!$B$31+'Inputs'!$B$32,'Inputs'!$B$30+'Inputs'!$B$31+'Inputs'!$B$32)/1000+'Inputs'!$B$21)+'Inputs'!$B$7)/SQRT((((926-43)*MAX('Inputs'!$B$33,'Inputs'!$B$29+'Inputs'!$B$31+'Inputs'!$B$32,'Inputs'!$B$30+'Inputs'!$B$31+'Inputs'!$B$32)/1000+'Inputs'!$B$21)+'Inputs'!$B$7)^2+('Inputs'!$B$6/2)^2)-(((926-43)*MAX('Inputs'!$B$33,'Inputs'!$B$29+'Inputs'!$B$31+'Inputs'!$B$32,'Inputs'!$B$30+'Inputs'!$B$31+'Inputs'!$B$32)/1000+'Inputs'!$B$21))/SQRT((((926-43)*MAX('Inputs'!$B$33,'Inputs'!$B$29+'Inputs'!$B$31+'Inputs'!$B$32,'Inputs'!$B$30+'Inputs'!$B$31+'Inputs'!$B$32)/1000+'Inputs'!$B$21))^2+('Inputs'!$B$6/2)^2)))-'Results'!C7*(1+'Inputs'!$B$24)*(0.5*((((926-43)*MAX('Inputs'!$B$33,'Inputs'!$B$29+'Inputs'!$B$31+'Inputs'!$B$32,'Inputs'!$B$30+'Inputs'!$B$31+'Inputs'!$B$32)/1000+'Inputs'!$B$21+'Inputs'!$B$7+'Inputs'!$B$10)+'Inputs'!$B$9)/SQRT((((926-43)*MAX('Inputs'!$B$33,'Inputs'!$B$29+'Inputs'!$B$31+'Inputs'!$B$32,'Inputs'!$B$30+'Inputs'!$B$31+'Inputs'!$B$32)/1000+'Inputs'!$B$21+'Inputs'!$B$7+'Inputs'!$B$10)+'Inputs'!$B$9)^2+('Inputs'!$B$8/2)^2)-(((926-43)*MAX('Inputs'!$B$33,'Inputs'!$B$29+'Inputs'!$B$31+'Inputs'!$B$32,'Inputs'!$B$30+'Inputs'!$B$31+'Inputs'!$B$32)/1000+'Inputs'!$B$21+'Inputs'!$B$7+'Inputs'!$B$10))/SQRT((((926-43)*MAX('Inputs'!$B$33,'Inputs'!$B$29+'Inputs'!$B$31+'Inputs'!$B$32,'Inputs'!$B$30+'Inputs'!$B$31+'Inputs'!$B$32)/1000+'Inputs'!$B$21+'Inputs'!$B$7+'Inputs'!$B$10))^2+('Inputs'!$B$8/2)^2))))*'Results'!$B$8)-'Inputs'!$B$28*ABS((('Results'!B7*(1-'Inputs'!$B$24)*(0.5*((((926-43)*MAX('Inputs'!$B$33,'Inputs'!$B$29+'Inputs'!$B$31+'Inputs'!$B$32,'Inputs'!$B$30+'Inputs'!$B$31+'Inputs'!$B$32)/1000+'Inputs'!$B$21)+'Inputs'!$B$7)/SQRT((((926-43)*MAX('Inputs'!$B$33,'Inputs'!$B$29+'Inputs'!$B$31+'Inputs'!$B$32,'Inputs'!$B$30+'Inputs'!$B$31+'Inputs'!$B$32)/1000+'Inputs'!$B$21)+'Inputs'!$B$7)^2+('Inputs'!$B$6/2)^2)-(((926-43)*MAX('Inputs'!$B$33,'Inputs'!$B$29+'Inputs'!$B$31+'Inputs'!$B$32,'Inputs'!$B$30+'Inputs'!$B$31+'Inputs'!$B$32)/1000+'Inputs'!$B$21))/SQRT((((926-43)*MAX('Inputs'!$B$33,'Inputs'!$B$29+'Inputs'!$B$31+'Inputs'!$B$32,'Inputs'!$B$30+'Inputs'!$B$31+'Inputs'!$B$32)/1000+'Inputs'!$B$21))^2+('Inputs'!$B$6/2)^2)))-'Results'!C7*(1+'Inputs'!$B$24)*(0.5*((((926-43)*MAX('Inputs'!$B$33,'Inputs'!$B$29+'Inputs'!$B$31+'Inputs'!$B$32,'Inputs'!$B$30+'Inputs'!$B$31+'Inputs'!$B$32)/1000+'Inputs'!$B$21+'Inputs'!$B$7+'Inputs'!$B$10)+'Inputs'!$B$9)/SQRT((((926-43)*MAX('Inputs'!$B$33,'Inputs'!$B$29+'Inputs'!$B$31+'Inputs'!$B$32,'Inputs'!$B$30+'Inputs'!$B$31+'Inputs'!$B$32)/1000+'Inputs'!$B$21+'Inputs'!$B$7+'Inputs'!$B$10)+'Inputs'!$B$9)^2+('Inputs'!$B$8/2)^2)-(((926-43)*MAX('Inputs'!$B$33,'Inputs'!$B$29+'Inputs'!$B$31+'Inputs'!$B$32,'Inputs'!$B$30+'Inputs'!$B$31+'Inputs'!$B$32)/1000+'Inputs'!$B$21+'Inputs'!$B$7+'Inputs'!$B$10))/SQRT((((926-43)*MAX('Inputs'!$B$33,'Inputs'!$B$29+'Inputs'!$B$31+'Inputs'!$B$32,'Inputs'!$B$30+'Inputs'!$B$31+'Inputs'!$B$32)/1000+'Inputs'!$B$21+'Inputs'!$B$7+'Inputs'!$B$10))^2+('Inputs'!$B$8/2)^2))))*'Results'!$B$8))),"")</x:f>
        <x:v>0.4761829051367135</x:v>
      </x:c>
      <x:c r="L926" t="n">
        <x:f>IF(AND(ISNUMBER('Results'!B7),ISNUMBER('Results'!C7),ISNUMBER('Results'!$B$8),ISNUMBER('Inputs'!$B$6),ISNUMBER('Inputs'!$B$7),ISNUMBER('Inputs'!$B$8),ISNUMBER('Inputs'!$B$9),ISNUMBER('Inputs'!$B$10),ISNUMBER('Inputs'!$B$21),ISNUMBER('Inputs'!$B$24),ISNUMBER('Inputs'!$B$28)),((('Results'!B7*(1+'Inputs'!$B$24)*(0.5*((((926-43)*MAX('Inputs'!$B$33,'Inputs'!$B$29+'Inputs'!$B$31+'Inputs'!$B$32,'Inputs'!$B$30+'Inputs'!$B$31+'Inputs'!$B$32)/1000+'Inputs'!$B$21)+'Inputs'!$B$7)/SQRT((((926-43)*MAX('Inputs'!$B$33,'Inputs'!$B$29+'Inputs'!$B$31+'Inputs'!$B$32,'Inputs'!$B$30+'Inputs'!$B$31+'Inputs'!$B$32)/1000+'Inputs'!$B$21)+'Inputs'!$B$7)^2+('Inputs'!$B$6/2)^2)-(((926-43)*MAX('Inputs'!$B$33,'Inputs'!$B$29+'Inputs'!$B$31+'Inputs'!$B$32,'Inputs'!$B$30+'Inputs'!$B$31+'Inputs'!$B$32)/1000+'Inputs'!$B$21))/SQRT((((926-43)*MAX('Inputs'!$B$33,'Inputs'!$B$29+'Inputs'!$B$31+'Inputs'!$B$32,'Inputs'!$B$30+'Inputs'!$B$31+'Inputs'!$B$32)/1000+'Inputs'!$B$21))^2+('Inputs'!$B$6/2)^2)))-'Results'!C7*(1-'Inputs'!$B$24)*(0.5*((((926-43)*MAX('Inputs'!$B$33,'Inputs'!$B$29+'Inputs'!$B$31+'Inputs'!$B$32,'Inputs'!$B$30+'Inputs'!$B$31+'Inputs'!$B$32)/1000+'Inputs'!$B$21+'Inputs'!$B$7+'Inputs'!$B$10)+'Inputs'!$B$9)/SQRT((((926-43)*MAX('Inputs'!$B$33,'Inputs'!$B$29+'Inputs'!$B$31+'Inputs'!$B$32,'Inputs'!$B$30+'Inputs'!$B$31+'Inputs'!$B$32)/1000+'Inputs'!$B$21+'Inputs'!$B$7+'Inputs'!$B$10)+'Inputs'!$B$9)^2+('Inputs'!$B$8/2)^2)-(((926-43)*MAX('Inputs'!$B$33,'Inputs'!$B$29+'Inputs'!$B$31+'Inputs'!$B$32,'Inputs'!$B$30+'Inputs'!$B$31+'Inputs'!$B$32)/1000+'Inputs'!$B$21+'Inputs'!$B$7+'Inputs'!$B$10))/SQRT((((926-43)*MAX('Inputs'!$B$33,'Inputs'!$B$29+'Inputs'!$B$31+'Inputs'!$B$32,'Inputs'!$B$30+'Inputs'!$B$31+'Inputs'!$B$32)/1000+'Inputs'!$B$21+'Inputs'!$B$7+'Inputs'!$B$10))^2+('Inputs'!$B$8/2)^2))))*'Results'!$B$8)+'Inputs'!$B$28*ABS((('Results'!B7*(1+'Inputs'!$B$24)*(0.5*((((926-43)*MAX('Inputs'!$B$33,'Inputs'!$B$29+'Inputs'!$B$31+'Inputs'!$B$32,'Inputs'!$B$30+'Inputs'!$B$31+'Inputs'!$B$32)/1000+'Inputs'!$B$21)+'Inputs'!$B$7)/SQRT((((926-43)*MAX('Inputs'!$B$33,'Inputs'!$B$29+'Inputs'!$B$31+'Inputs'!$B$32,'Inputs'!$B$30+'Inputs'!$B$31+'Inputs'!$B$32)/1000+'Inputs'!$B$21)+'Inputs'!$B$7)^2+('Inputs'!$B$6/2)^2)-(((926-43)*MAX('Inputs'!$B$33,'Inputs'!$B$29+'Inputs'!$B$31+'Inputs'!$B$32,'Inputs'!$B$30+'Inputs'!$B$31+'Inputs'!$B$32)/1000+'Inputs'!$B$21))/SQRT((((926-43)*MAX('Inputs'!$B$33,'Inputs'!$B$29+'Inputs'!$B$31+'Inputs'!$B$32,'Inputs'!$B$30+'Inputs'!$B$31+'Inputs'!$B$32)/1000+'Inputs'!$B$21))^2+('Inputs'!$B$6/2)^2)))-'Results'!C7*(1-'Inputs'!$B$24)*(0.5*((((926-43)*MAX('Inputs'!$B$33,'Inputs'!$B$29+'Inputs'!$B$31+'Inputs'!$B$32,'Inputs'!$B$30+'Inputs'!$B$31+'Inputs'!$B$32)/1000+'Inputs'!$B$21+'Inputs'!$B$7+'Inputs'!$B$10)+'Inputs'!$B$9)/SQRT((((926-43)*MAX('Inputs'!$B$33,'Inputs'!$B$29+'Inputs'!$B$31+'Inputs'!$B$32,'Inputs'!$B$30+'Inputs'!$B$31+'Inputs'!$B$32)/1000+'Inputs'!$B$21+'Inputs'!$B$7+'Inputs'!$B$10)+'Inputs'!$B$9)^2+('Inputs'!$B$8/2)^2)-(((926-43)*MAX('Inputs'!$B$33,'Inputs'!$B$29+'Inputs'!$B$31+'Inputs'!$B$32,'Inputs'!$B$30+'Inputs'!$B$31+'Inputs'!$B$32)/1000+'Inputs'!$B$21+'Inputs'!$B$7+'Inputs'!$B$10))/SQRT((((926-43)*MAX('Inputs'!$B$33,'Inputs'!$B$29+'Inputs'!$B$31+'Inputs'!$B$32,'Inputs'!$B$30+'Inputs'!$B$31+'Inputs'!$B$32)/1000+'Inputs'!$B$21+'Inputs'!$B$7+'Inputs'!$B$10))^2+('Inputs'!$B$8/2)^2))))*'Results'!$B$8))),"")</x:f>
        <x:v>0.6530080749746955</x:v>
      </x:c>
      <x:c r="M926" t="n">
        <x:f>IF(AND(ISNUMBER('Results'!C7),ISNUMBER('Results'!B7),ISNUMBER('Results'!$B$8),ISNUMBER('Inputs'!$B$6),ISNUMBER('Inputs'!$B$7),ISNUMBER('Inputs'!$B$8),ISNUMBER('Inputs'!$B$9),ISNUMBER('Inputs'!$B$10),ISNUMBER('Inputs'!$B$21),ISNUMBER('Inputs'!$B$24),ISNUMBER('Inputs'!$B$28)),(('Results'!C7*(0.5*((((926-43)*MAX('Inputs'!$B$33,'Inputs'!$B$29+'Inputs'!$B$31+'Inputs'!$B$32,'Inputs'!$B$30+'Inputs'!$B$31+'Inputs'!$B$32)/1000+'Inputs'!$B$21)+'Inputs'!$B$9)/SQRT((((926-43)*MAX('Inputs'!$B$33,'Inputs'!$B$29+'Inputs'!$B$31+'Inputs'!$B$32,'Inputs'!$B$30+'Inputs'!$B$31+'Inputs'!$B$32)/1000+'Inputs'!$B$21)+'Inputs'!$B$9)^2+('Inputs'!$B$8/2)^2)-(((926-43)*MAX('Inputs'!$B$33,'Inputs'!$B$29+'Inputs'!$B$31+'Inputs'!$B$32,'Inputs'!$B$30+'Inputs'!$B$31+'Inputs'!$B$32)/1000+'Inputs'!$B$21))/SQRT((((926-43)*MAX('Inputs'!$B$33,'Inputs'!$B$29+'Inputs'!$B$31+'Inputs'!$B$32,'Inputs'!$B$30+'Inputs'!$B$31+'Inputs'!$B$32)/1000+'Inputs'!$B$21))^2+('Inputs'!$B$8/2)^2)))-'Results'!B7*(0.5*((((926-43)*MAX('Inputs'!$B$33,'Inputs'!$B$29+'Inputs'!$B$31+'Inputs'!$B$32,'Inputs'!$B$30+'Inputs'!$B$31+'Inputs'!$B$32)/1000+'Inputs'!$B$21+'Inputs'!$B$9+'Inputs'!$B$10)+'Inputs'!$B$7)/SQRT((((926-43)*MAX('Inputs'!$B$33,'Inputs'!$B$29+'Inputs'!$B$31+'Inputs'!$B$32,'Inputs'!$B$30+'Inputs'!$B$31+'Inputs'!$B$32)/1000+'Inputs'!$B$21+'Inputs'!$B$9+'Inputs'!$B$10)+'Inputs'!$B$7)^2+('Inputs'!$B$6/2)^2)-(((926-43)*MAX('Inputs'!$B$33,'Inputs'!$B$29+'Inputs'!$B$31+'Inputs'!$B$32,'Inputs'!$B$30+'Inputs'!$B$31+'Inputs'!$B$32)/1000+'Inputs'!$B$21+'Inputs'!$B$9+'Inputs'!$B$10))/SQRT((((926-43)*MAX('Inputs'!$B$33,'Inputs'!$B$29+'Inputs'!$B$31+'Inputs'!$B$32,'Inputs'!$B$30+'Inputs'!$B$31+'Inputs'!$B$32)/1000+'Inputs'!$B$21+'Inputs'!$B$9+'Inputs'!$B$10))^2+('Inputs'!$B$6/2)^2))))*'Results'!$B$8),"")</x:f>
        <x:v>0.5007441217878147</x:v>
      </x:c>
      <x:c r="N926" t="n">
        <x:f>IF(AND(ISNUMBER('Results'!C7),ISNUMBER('Results'!B7),ISNUMBER('Results'!$B$8),ISNUMBER('Inputs'!$B$6),ISNUMBER('Inputs'!$B$7),ISNUMBER('Inputs'!$B$8),ISNUMBER('Inputs'!$B$9),ISNUMBER('Inputs'!$B$10),ISNUMBER('Inputs'!$B$21),ISNUMBER('Inputs'!$B$24),ISNUMBER('Inputs'!$B$28)),((('Results'!C7*(1-'Inputs'!$B$24)*(0.5*((((926-43)*MAX('Inputs'!$B$33,'Inputs'!$B$29+'Inputs'!$B$31+'Inputs'!$B$32,'Inputs'!$B$30+'Inputs'!$B$31+'Inputs'!$B$32)/1000+'Inputs'!$B$21)+'Inputs'!$B$9)/SQRT((((926-43)*MAX('Inputs'!$B$33,'Inputs'!$B$29+'Inputs'!$B$31+'Inputs'!$B$32,'Inputs'!$B$30+'Inputs'!$B$31+'Inputs'!$B$32)/1000+'Inputs'!$B$21)+'Inputs'!$B$9)^2+('Inputs'!$B$8/2)^2)-(((926-43)*MAX('Inputs'!$B$33,'Inputs'!$B$29+'Inputs'!$B$31+'Inputs'!$B$32,'Inputs'!$B$30+'Inputs'!$B$31+'Inputs'!$B$32)/1000+'Inputs'!$B$21))/SQRT((((926-43)*MAX('Inputs'!$B$33,'Inputs'!$B$29+'Inputs'!$B$31+'Inputs'!$B$32,'Inputs'!$B$30+'Inputs'!$B$31+'Inputs'!$B$32)/1000+'Inputs'!$B$21))^2+('Inputs'!$B$8/2)^2)))-'Results'!B7*(1+'Inputs'!$B$24)*(0.5*((((926-43)*MAX('Inputs'!$B$33,'Inputs'!$B$29+'Inputs'!$B$31+'Inputs'!$B$32,'Inputs'!$B$30+'Inputs'!$B$31+'Inputs'!$B$32)/1000+'Inputs'!$B$21+'Inputs'!$B$9+'Inputs'!$B$10)+'Inputs'!$B$7)/SQRT((((926-43)*MAX('Inputs'!$B$33,'Inputs'!$B$29+'Inputs'!$B$31+'Inputs'!$B$32,'Inputs'!$B$30+'Inputs'!$B$31+'Inputs'!$B$32)/1000+'Inputs'!$B$21+'Inputs'!$B$9+'Inputs'!$B$10)+'Inputs'!$B$7)^2+('Inputs'!$B$6/2)^2)-(((926-43)*MAX('Inputs'!$B$33,'Inputs'!$B$29+'Inputs'!$B$31+'Inputs'!$B$32,'Inputs'!$B$30+'Inputs'!$B$31+'Inputs'!$B$32)/1000+'Inputs'!$B$21+'Inputs'!$B$9+'Inputs'!$B$10))/SQRT((((926-43)*MAX('Inputs'!$B$33,'Inputs'!$B$29+'Inputs'!$B$31+'Inputs'!$B$32,'Inputs'!$B$30+'Inputs'!$B$31+'Inputs'!$B$32)/1000+'Inputs'!$B$21+'Inputs'!$B$9+'Inputs'!$B$10))^2+('Inputs'!$B$6/2)^2))))*'Results'!$B$8)-'Inputs'!$B$28*ABS((('Results'!C7*(1-'Inputs'!$B$24)*(0.5*((((926-43)*MAX('Inputs'!$B$33,'Inputs'!$B$29+'Inputs'!$B$31+'Inputs'!$B$32,'Inputs'!$B$30+'Inputs'!$B$31+'Inputs'!$B$32)/1000+'Inputs'!$B$21)+'Inputs'!$B$9)/SQRT((((926-43)*MAX('Inputs'!$B$33,'Inputs'!$B$29+'Inputs'!$B$31+'Inputs'!$B$32,'Inputs'!$B$30+'Inputs'!$B$31+'Inputs'!$B$32)/1000+'Inputs'!$B$21)+'Inputs'!$B$9)^2+('Inputs'!$B$8/2)^2)-(((926-43)*MAX('Inputs'!$B$33,'Inputs'!$B$29+'Inputs'!$B$31+'Inputs'!$B$32,'Inputs'!$B$30+'Inputs'!$B$31+'Inputs'!$B$32)/1000+'Inputs'!$B$21))/SQRT((((926-43)*MAX('Inputs'!$B$33,'Inputs'!$B$29+'Inputs'!$B$31+'Inputs'!$B$32,'Inputs'!$B$30+'Inputs'!$B$31+'Inputs'!$B$32)/1000+'Inputs'!$B$21))^2+('Inputs'!$B$8/2)^2)))-'Results'!B7*(1+'Inputs'!$B$24)*(0.5*((((926-43)*MAX('Inputs'!$B$33,'Inputs'!$B$29+'Inputs'!$B$31+'Inputs'!$B$32,'Inputs'!$B$30+'Inputs'!$B$31+'Inputs'!$B$32)/1000+'Inputs'!$B$21+'Inputs'!$B$9+'Inputs'!$B$10)+'Inputs'!$B$7)/SQRT((((926-43)*MAX('Inputs'!$B$33,'Inputs'!$B$29+'Inputs'!$B$31+'Inputs'!$B$32,'Inputs'!$B$30+'Inputs'!$B$31+'Inputs'!$B$32)/1000+'Inputs'!$B$21+'Inputs'!$B$9+'Inputs'!$B$10)+'Inputs'!$B$7)^2+('Inputs'!$B$6/2)^2)-(((926-43)*MAX('Inputs'!$B$33,'Inputs'!$B$29+'Inputs'!$B$31+'Inputs'!$B$32,'Inputs'!$B$30+'Inputs'!$B$31+'Inputs'!$B$32)/1000+'Inputs'!$B$21+'Inputs'!$B$9+'Inputs'!$B$10))/SQRT((((926-43)*MAX('Inputs'!$B$33,'Inputs'!$B$29+'Inputs'!$B$31+'Inputs'!$B$32,'Inputs'!$B$30+'Inputs'!$B$31+'Inputs'!$B$32)/1000+'Inputs'!$B$21+'Inputs'!$B$9+'Inputs'!$B$10))^2+('Inputs'!$B$6/2)^2))))*'Results'!$B$8))),"")</x:f>
        <x:v>0.4185938335554847</x:v>
      </x:c>
      <x:c r="O926" t="n">
        <x:f>IF(AND(ISNUMBER('Results'!C7),ISNUMBER('Results'!B7),ISNUMBER('Results'!$B$8),ISNUMBER('Inputs'!$B$6),ISNUMBER('Inputs'!$B$7),ISNUMBER('Inputs'!$B$8),ISNUMBER('Inputs'!$B$9),ISNUMBER('Inputs'!$B$10),ISNUMBER('Inputs'!$B$21),ISNUMBER('Inputs'!$B$24),ISNUMBER('Inputs'!$B$28)),((('Results'!C7*(1+'Inputs'!$B$24)*(0.5*((((926-43)*MAX('Inputs'!$B$33,'Inputs'!$B$29+'Inputs'!$B$31+'Inputs'!$B$32,'Inputs'!$B$30+'Inputs'!$B$31+'Inputs'!$B$32)/1000+'Inputs'!$B$21)+'Inputs'!$B$9)/SQRT((((926-43)*MAX('Inputs'!$B$33,'Inputs'!$B$29+'Inputs'!$B$31+'Inputs'!$B$32,'Inputs'!$B$30+'Inputs'!$B$31+'Inputs'!$B$32)/1000+'Inputs'!$B$21)+'Inputs'!$B$9)^2+('Inputs'!$B$8/2)^2)-(((926-43)*MAX('Inputs'!$B$33,'Inputs'!$B$29+'Inputs'!$B$31+'Inputs'!$B$32,'Inputs'!$B$30+'Inputs'!$B$31+'Inputs'!$B$32)/1000+'Inputs'!$B$21))/SQRT((((926-43)*MAX('Inputs'!$B$33,'Inputs'!$B$29+'Inputs'!$B$31+'Inputs'!$B$32,'Inputs'!$B$30+'Inputs'!$B$31+'Inputs'!$B$32)/1000+'Inputs'!$B$21))^2+('Inputs'!$B$8/2)^2)))-'Results'!B7*(1-'Inputs'!$B$24)*(0.5*((((926-43)*MAX('Inputs'!$B$33,'Inputs'!$B$29+'Inputs'!$B$31+'Inputs'!$B$32,'Inputs'!$B$30+'Inputs'!$B$31+'Inputs'!$B$32)/1000+'Inputs'!$B$21+'Inputs'!$B$9+'Inputs'!$B$10)+'Inputs'!$B$7)/SQRT((((926-43)*MAX('Inputs'!$B$33,'Inputs'!$B$29+'Inputs'!$B$31+'Inputs'!$B$32,'Inputs'!$B$30+'Inputs'!$B$31+'Inputs'!$B$32)/1000+'Inputs'!$B$21+'Inputs'!$B$9+'Inputs'!$B$10)+'Inputs'!$B$7)^2+('Inputs'!$B$6/2)^2)-(((926-43)*MAX('Inputs'!$B$33,'Inputs'!$B$29+'Inputs'!$B$31+'Inputs'!$B$32,'Inputs'!$B$30+'Inputs'!$B$31+'Inputs'!$B$32)/1000+'Inputs'!$B$21+'Inputs'!$B$9+'Inputs'!$B$10))/SQRT((((926-43)*MAX('Inputs'!$B$33,'Inputs'!$B$29+'Inputs'!$B$31+'Inputs'!$B$32,'Inputs'!$B$30+'Inputs'!$B$31+'Inputs'!$B$32)/1000+'Inputs'!$B$21+'Inputs'!$B$9+'Inputs'!$B$10))^2+('Inputs'!$B$6/2)^2))))*'Results'!$B$8)+'Inputs'!$B$28*ABS((('Results'!C7*(1+'Inputs'!$B$24)*(0.5*((((926-43)*MAX('Inputs'!$B$33,'Inputs'!$B$29+'Inputs'!$B$31+'Inputs'!$B$32,'Inputs'!$B$30+'Inputs'!$B$31+'Inputs'!$B$32)/1000+'Inputs'!$B$21)+'Inputs'!$B$9)/SQRT((((926-43)*MAX('Inputs'!$B$33,'Inputs'!$B$29+'Inputs'!$B$31+'Inputs'!$B$32,'Inputs'!$B$30+'Inputs'!$B$31+'Inputs'!$B$32)/1000+'Inputs'!$B$21)+'Inputs'!$B$9)^2+('Inputs'!$B$8/2)^2)-(((926-43)*MAX('Inputs'!$B$33,'Inputs'!$B$29+'Inputs'!$B$31+'Inputs'!$B$32,'Inputs'!$B$30+'Inputs'!$B$31+'Inputs'!$B$32)/1000+'Inputs'!$B$21))/SQRT((((926-43)*MAX('Inputs'!$B$33,'Inputs'!$B$29+'Inputs'!$B$31+'Inputs'!$B$32,'Inputs'!$B$30+'Inputs'!$B$31+'Inputs'!$B$32)/1000+'Inputs'!$B$21))^2+('Inputs'!$B$8/2)^2)))-'Results'!B7*(1-'Inputs'!$B$24)*(0.5*((((926-43)*MAX('Inputs'!$B$33,'Inputs'!$B$29+'Inputs'!$B$31+'Inputs'!$B$32,'Inputs'!$B$30+'Inputs'!$B$31+'Inputs'!$B$32)/1000+'Inputs'!$B$21+'Inputs'!$B$9+'Inputs'!$B$10)+'Inputs'!$B$7)/SQRT((((926-43)*MAX('Inputs'!$B$33,'Inputs'!$B$29+'Inputs'!$B$31+'Inputs'!$B$32,'Inputs'!$B$30+'Inputs'!$B$31+'Inputs'!$B$32)/1000+'Inputs'!$B$21+'Inputs'!$B$9+'Inputs'!$B$10)+'Inputs'!$B$7)^2+('Inputs'!$B$6/2)^2)-(((926-43)*MAX('Inputs'!$B$33,'Inputs'!$B$29+'Inputs'!$B$31+'Inputs'!$B$32,'Inputs'!$B$30+'Inputs'!$B$31+'Inputs'!$B$32)/1000+'Inputs'!$B$21+'Inputs'!$B$9+'Inputs'!$B$10))/SQRT((((926-43)*MAX('Inputs'!$B$33,'Inputs'!$B$29+'Inputs'!$B$31+'Inputs'!$B$32,'Inputs'!$B$30+'Inputs'!$B$31+'Inputs'!$B$32)/1000+'Inputs'!$B$21+'Inputs'!$B$9+'Inputs'!$B$10))^2+('Inputs'!$B$6/2)^2))))*'Results'!$B$8))),"")</x:f>
        <x:v>0.5889063134036117</x:v>
      </x:c>
      <x:c r="P926" t="n">
        <x:f>IF(AND(MAX(J926,J925)&gt;0,J926&gt;J925+0.00000001),1,0)</x:f>
        <x:v>0</x:v>
      </x:c>
      <x:c r="Q926" t="n">
        <x:f>IF(AND(MAX(K926,K925)&gt;0,K926&gt;K925+0.00000001),1,0)</x:f>
        <x:v>0</x:v>
      </x:c>
      <x:c r="R926" t="n">
        <x:f>IF(AND(MAX(L926,L925)&gt;0,L926&gt;L925+0.00000001),1,0)</x:f>
        <x:v>0</x:v>
      </x:c>
      <x:c r="S926" t="n">
        <x:f>IF(AND(MAX(M926,M925)&gt;0,M926&gt;M925+0.00000001),1,0)</x:f>
        <x:v>0</x:v>
      </x:c>
      <x:c r="T926" t="n">
        <x:f>IF(AND(MAX(N926,N925)&gt;0,N926&gt;N925+0.00000001),1,0)</x:f>
        <x:v>0</x:v>
      </x:c>
      <x:c r="U926" t="n">
        <x:f>IF(AND(MAX(O926,O925)&gt;0,O926&gt;O925+0.00000001),1,0)</x:f>
        <x:v>0</x:v>
      </x:c>
    </x:row>
    <x:row r="927">
      <x:c r="J927" t="n">
        <x:f>IF(AND(ISNUMBER('Results'!B7),ISNUMBER('Results'!C7),ISNUMBER('Results'!$B$8),ISNUMBER('Inputs'!$B$6),ISNUMBER('Inputs'!$B$7),ISNUMBER('Inputs'!$B$8),ISNUMBER('Inputs'!$B$9),ISNUMBER('Inputs'!$B$10),ISNUMBER('Inputs'!$B$21),ISNUMBER('Inputs'!$B$24),ISNUMBER('Inputs'!$B$28)),(('Results'!B7*(0.5*((((927-43)*MAX('Inputs'!$B$33,'Inputs'!$B$29+'Inputs'!$B$31+'Inputs'!$B$32,'Inputs'!$B$30+'Inputs'!$B$31+'Inputs'!$B$32)/1000+'Inputs'!$B$21)+'Inputs'!$B$7)/SQRT((((927-43)*MAX('Inputs'!$B$33,'Inputs'!$B$29+'Inputs'!$B$31+'Inputs'!$B$32,'Inputs'!$B$30+'Inputs'!$B$31+'Inputs'!$B$32)/1000+'Inputs'!$B$21)+'Inputs'!$B$7)^2+('Inputs'!$B$6/2)^2)-(((927-43)*MAX('Inputs'!$B$33,'Inputs'!$B$29+'Inputs'!$B$31+'Inputs'!$B$32,'Inputs'!$B$30+'Inputs'!$B$31+'Inputs'!$B$32)/1000+'Inputs'!$B$21))/SQRT((((927-43)*MAX('Inputs'!$B$33,'Inputs'!$B$29+'Inputs'!$B$31+'Inputs'!$B$32,'Inputs'!$B$30+'Inputs'!$B$31+'Inputs'!$B$32)/1000+'Inputs'!$B$21))^2+('Inputs'!$B$6/2)^2)))-'Results'!C7*(0.5*((((927-43)*MAX('Inputs'!$B$33,'Inputs'!$B$29+'Inputs'!$B$31+'Inputs'!$B$32,'Inputs'!$B$30+'Inputs'!$B$31+'Inputs'!$B$32)/1000+'Inputs'!$B$21+'Inputs'!$B$7+'Inputs'!$B$10)+'Inputs'!$B$9)/SQRT((((927-43)*MAX('Inputs'!$B$33,'Inputs'!$B$29+'Inputs'!$B$31+'Inputs'!$B$32,'Inputs'!$B$30+'Inputs'!$B$31+'Inputs'!$B$32)/1000+'Inputs'!$B$21+'Inputs'!$B$7+'Inputs'!$B$10)+'Inputs'!$B$9)^2+('Inputs'!$B$8/2)^2)-(((927-43)*MAX('Inputs'!$B$33,'Inputs'!$B$29+'Inputs'!$B$31+'Inputs'!$B$32,'Inputs'!$B$30+'Inputs'!$B$31+'Inputs'!$B$32)/1000+'Inputs'!$B$21+'Inputs'!$B$7+'Inputs'!$B$10))/SQRT((((927-43)*MAX('Inputs'!$B$33,'Inputs'!$B$29+'Inputs'!$B$31+'Inputs'!$B$32,'Inputs'!$B$30+'Inputs'!$B$31+'Inputs'!$B$32)/1000+'Inputs'!$B$21+'Inputs'!$B$7+'Inputs'!$B$10))^2+('Inputs'!$B$8/2)^2))))*'Results'!$B$8),"")</x:f>
        <x:v>0.5592807483354695</x:v>
      </x:c>
      <x:c r="K927" t="n">
        <x:f>IF(AND(ISNUMBER('Results'!B7),ISNUMBER('Results'!C7),ISNUMBER('Results'!$B$8),ISNUMBER('Inputs'!$B$6),ISNUMBER('Inputs'!$B$7),ISNUMBER('Inputs'!$B$8),ISNUMBER('Inputs'!$B$9),ISNUMBER('Inputs'!$B$10),ISNUMBER('Inputs'!$B$21),ISNUMBER('Inputs'!$B$24),ISNUMBER('Inputs'!$B$28)),((('Results'!B7*(1-'Inputs'!$B$24)*(0.5*((((927-43)*MAX('Inputs'!$B$33,'Inputs'!$B$29+'Inputs'!$B$31+'Inputs'!$B$32,'Inputs'!$B$30+'Inputs'!$B$31+'Inputs'!$B$32)/1000+'Inputs'!$B$21)+'Inputs'!$B$7)/SQRT((((927-43)*MAX('Inputs'!$B$33,'Inputs'!$B$29+'Inputs'!$B$31+'Inputs'!$B$32,'Inputs'!$B$30+'Inputs'!$B$31+'Inputs'!$B$32)/1000+'Inputs'!$B$21)+'Inputs'!$B$7)^2+('Inputs'!$B$6/2)^2)-(((927-43)*MAX('Inputs'!$B$33,'Inputs'!$B$29+'Inputs'!$B$31+'Inputs'!$B$32,'Inputs'!$B$30+'Inputs'!$B$31+'Inputs'!$B$32)/1000+'Inputs'!$B$21))/SQRT((((927-43)*MAX('Inputs'!$B$33,'Inputs'!$B$29+'Inputs'!$B$31+'Inputs'!$B$32,'Inputs'!$B$30+'Inputs'!$B$31+'Inputs'!$B$32)/1000+'Inputs'!$B$21))^2+('Inputs'!$B$6/2)^2)))-'Results'!C7*(1+'Inputs'!$B$24)*(0.5*((((927-43)*MAX('Inputs'!$B$33,'Inputs'!$B$29+'Inputs'!$B$31+'Inputs'!$B$32,'Inputs'!$B$30+'Inputs'!$B$31+'Inputs'!$B$32)/1000+'Inputs'!$B$21+'Inputs'!$B$7+'Inputs'!$B$10)+'Inputs'!$B$9)/SQRT((((927-43)*MAX('Inputs'!$B$33,'Inputs'!$B$29+'Inputs'!$B$31+'Inputs'!$B$32,'Inputs'!$B$30+'Inputs'!$B$31+'Inputs'!$B$32)/1000+'Inputs'!$B$21+'Inputs'!$B$7+'Inputs'!$B$10)+'Inputs'!$B$9)^2+('Inputs'!$B$8/2)^2)-(((927-43)*MAX('Inputs'!$B$33,'Inputs'!$B$29+'Inputs'!$B$31+'Inputs'!$B$32,'Inputs'!$B$30+'Inputs'!$B$31+'Inputs'!$B$32)/1000+'Inputs'!$B$21+'Inputs'!$B$7+'Inputs'!$B$10))/SQRT((((927-43)*MAX('Inputs'!$B$33,'Inputs'!$B$29+'Inputs'!$B$31+'Inputs'!$B$32,'Inputs'!$B$30+'Inputs'!$B$31+'Inputs'!$B$32)/1000+'Inputs'!$B$21+'Inputs'!$B$7+'Inputs'!$B$10))^2+('Inputs'!$B$8/2)^2))))*'Results'!$B$8)-'Inputs'!$B$28*ABS((('Results'!B7*(1-'Inputs'!$B$24)*(0.5*((((927-43)*MAX('Inputs'!$B$33,'Inputs'!$B$29+'Inputs'!$B$31+'Inputs'!$B$32,'Inputs'!$B$30+'Inputs'!$B$31+'Inputs'!$B$32)/1000+'Inputs'!$B$21)+'Inputs'!$B$7)/SQRT((((927-43)*MAX('Inputs'!$B$33,'Inputs'!$B$29+'Inputs'!$B$31+'Inputs'!$B$32,'Inputs'!$B$30+'Inputs'!$B$31+'Inputs'!$B$32)/1000+'Inputs'!$B$21)+'Inputs'!$B$7)^2+('Inputs'!$B$6/2)^2)-(((927-43)*MAX('Inputs'!$B$33,'Inputs'!$B$29+'Inputs'!$B$31+'Inputs'!$B$32,'Inputs'!$B$30+'Inputs'!$B$31+'Inputs'!$B$32)/1000+'Inputs'!$B$21))/SQRT((((927-43)*MAX('Inputs'!$B$33,'Inputs'!$B$29+'Inputs'!$B$31+'Inputs'!$B$32,'Inputs'!$B$30+'Inputs'!$B$31+'Inputs'!$B$32)/1000+'Inputs'!$B$21))^2+('Inputs'!$B$6/2)^2)))-'Results'!C7*(1+'Inputs'!$B$24)*(0.5*((((927-43)*MAX('Inputs'!$B$33,'Inputs'!$B$29+'Inputs'!$B$31+'Inputs'!$B$32,'Inputs'!$B$30+'Inputs'!$B$31+'Inputs'!$B$32)/1000+'Inputs'!$B$21+'Inputs'!$B$7+'Inputs'!$B$10)+'Inputs'!$B$9)/SQRT((((927-43)*MAX('Inputs'!$B$33,'Inputs'!$B$29+'Inputs'!$B$31+'Inputs'!$B$32,'Inputs'!$B$30+'Inputs'!$B$31+'Inputs'!$B$32)/1000+'Inputs'!$B$21+'Inputs'!$B$7+'Inputs'!$B$10)+'Inputs'!$B$9)^2+('Inputs'!$B$8/2)^2)-(((927-43)*MAX('Inputs'!$B$33,'Inputs'!$B$29+'Inputs'!$B$31+'Inputs'!$B$32,'Inputs'!$B$30+'Inputs'!$B$31+'Inputs'!$B$32)/1000+'Inputs'!$B$21+'Inputs'!$B$7+'Inputs'!$B$10))/SQRT((((927-43)*MAX('Inputs'!$B$33,'Inputs'!$B$29+'Inputs'!$B$31+'Inputs'!$B$32,'Inputs'!$B$30+'Inputs'!$B$31+'Inputs'!$B$32)/1000+'Inputs'!$B$21+'Inputs'!$B$7+'Inputs'!$B$10))^2+('Inputs'!$B$8/2)^2))))*'Results'!$B$8))),"")</x:f>
        <x:v>0.47417991110821545</x:v>
      </x:c>
      <x:c r="L927" t="n">
        <x:f>IF(AND(ISNUMBER('Results'!B7),ISNUMBER('Results'!C7),ISNUMBER('Results'!$B$8),ISNUMBER('Inputs'!$B$6),ISNUMBER('Inputs'!$B$7),ISNUMBER('Inputs'!$B$8),ISNUMBER('Inputs'!$B$9),ISNUMBER('Inputs'!$B$10),ISNUMBER('Inputs'!$B$21),ISNUMBER('Inputs'!$B$24),ISNUMBER('Inputs'!$B$28)),((('Results'!B7*(1+'Inputs'!$B$24)*(0.5*((((927-43)*MAX('Inputs'!$B$33,'Inputs'!$B$29+'Inputs'!$B$31+'Inputs'!$B$32,'Inputs'!$B$30+'Inputs'!$B$31+'Inputs'!$B$32)/1000+'Inputs'!$B$21)+'Inputs'!$B$7)/SQRT((((927-43)*MAX('Inputs'!$B$33,'Inputs'!$B$29+'Inputs'!$B$31+'Inputs'!$B$32,'Inputs'!$B$30+'Inputs'!$B$31+'Inputs'!$B$32)/1000+'Inputs'!$B$21)+'Inputs'!$B$7)^2+('Inputs'!$B$6/2)^2)-(((927-43)*MAX('Inputs'!$B$33,'Inputs'!$B$29+'Inputs'!$B$31+'Inputs'!$B$32,'Inputs'!$B$30+'Inputs'!$B$31+'Inputs'!$B$32)/1000+'Inputs'!$B$21))/SQRT((((927-43)*MAX('Inputs'!$B$33,'Inputs'!$B$29+'Inputs'!$B$31+'Inputs'!$B$32,'Inputs'!$B$30+'Inputs'!$B$31+'Inputs'!$B$32)/1000+'Inputs'!$B$21))^2+('Inputs'!$B$6/2)^2)))-'Results'!C7*(1-'Inputs'!$B$24)*(0.5*((((927-43)*MAX('Inputs'!$B$33,'Inputs'!$B$29+'Inputs'!$B$31+'Inputs'!$B$32,'Inputs'!$B$30+'Inputs'!$B$31+'Inputs'!$B$32)/1000+'Inputs'!$B$21+'Inputs'!$B$7+'Inputs'!$B$10)+'Inputs'!$B$9)/SQRT((((927-43)*MAX('Inputs'!$B$33,'Inputs'!$B$29+'Inputs'!$B$31+'Inputs'!$B$32,'Inputs'!$B$30+'Inputs'!$B$31+'Inputs'!$B$32)/1000+'Inputs'!$B$21+'Inputs'!$B$7+'Inputs'!$B$10)+'Inputs'!$B$9)^2+('Inputs'!$B$8/2)^2)-(((927-43)*MAX('Inputs'!$B$33,'Inputs'!$B$29+'Inputs'!$B$31+'Inputs'!$B$32,'Inputs'!$B$30+'Inputs'!$B$31+'Inputs'!$B$32)/1000+'Inputs'!$B$21+'Inputs'!$B$7+'Inputs'!$B$10))/SQRT((((927-43)*MAX('Inputs'!$B$33,'Inputs'!$B$29+'Inputs'!$B$31+'Inputs'!$B$32,'Inputs'!$B$30+'Inputs'!$B$31+'Inputs'!$B$32)/1000+'Inputs'!$B$21+'Inputs'!$B$7+'Inputs'!$B$10))^2+('Inputs'!$B$8/2)^2))))*'Results'!$B$8)+'Inputs'!$B$28*ABS((('Results'!B7*(1+'Inputs'!$B$24)*(0.5*((((927-43)*MAX('Inputs'!$B$33,'Inputs'!$B$29+'Inputs'!$B$31+'Inputs'!$B$32,'Inputs'!$B$30+'Inputs'!$B$31+'Inputs'!$B$32)/1000+'Inputs'!$B$21)+'Inputs'!$B$7)/SQRT((((927-43)*MAX('Inputs'!$B$33,'Inputs'!$B$29+'Inputs'!$B$31+'Inputs'!$B$32,'Inputs'!$B$30+'Inputs'!$B$31+'Inputs'!$B$32)/1000+'Inputs'!$B$21)+'Inputs'!$B$7)^2+('Inputs'!$B$6/2)^2)-(((927-43)*MAX('Inputs'!$B$33,'Inputs'!$B$29+'Inputs'!$B$31+'Inputs'!$B$32,'Inputs'!$B$30+'Inputs'!$B$31+'Inputs'!$B$32)/1000+'Inputs'!$B$21))/SQRT((((927-43)*MAX('Inputs'!$B$33,'Inputs'!$B$29+'Inputs'!$B$31+'Inputs'!$B$32,'Inputs'!$B$30+'Inputs'!$B$31+'Inputs'!$B$32)/1000+'Inputs'!$B$21))^2+('Inputs'!$B$6/2)^2)))-'Results'!C7*(1-'Inputs'!$B$24)*(0.5*((((927-43)*MAX('Inputs'!$B$33,'Inputs'!$B$29+'Inputs'!$B$31+'Inputs'!$B$32,'Inputs'!$B$30+'Inputs'!$B$31+'Inputs'!$B$32)/1000+'Inputs'!$B$21+'Inputs'!$B$7+'Inputs'!$B$10)+'Inputs'!$B$9)/SQRT((((927-43)*MAX('Inputs'!$B$33,'Inputs'!$B$29+'Inputs'!$B$31+'Inputs'!$B$32,'Inputs'!$B$30+'Inputs'!$B$31+'Inputs'!$B$32)/1000+'Inputs'!$B$21+'Inputs'!$B$7+'Inputs'!$B$10)+'Inputs'!$B$9)^2+('Inputs'!$B$8/2)^2)-(((927-43)*MAX('Inputs'!$B$33,'Inputs'!$B$29+'Inputs'!$B$31+'Inputs'!$B$32,'Inputs'!$B$30+'Inputs'!$B$31+'Inputs'!$B$32)/1000+'Inputs'!$B$21+'Inputs'!$B$7+'Inputs'!$B$10))/SQRT((((927-43)*MAX('Inputs'!$B$33,'Inputs'!$B$29+'Inputs'!$B$31+'Inputs'!$B$32,'Inputs'!$B$30+'Inputs'!$B$31+'Inputs'!$B$32)/1000+'Inputs'!$B$21+'Inputs'!$B$7+'Inputs'!$B$10))^2+('Inputs'!$B$8/2)^2))))*'Results'!$B$8))),"")</x:f>
        <x:v>0.6503959855427738</x:v>
      </x:c>
      <x:c r="M927" t="n">
        <x:f>IF(AND(ISNUMBER('Results'!C7),ISNUMBER('Results'!B7),ISNUMBER('Results'!$B$8),ISNUMBER('Inputs'!$B$6),ISNUMBER('Inputs'!$B$7),ISNUMBER('Inputs'!$B$8),ISNUMBER('Inputs'!$B$9),ISNUMBER('Inputs'!$B$10),ISNUMBER('Inputs'!$B$21),ISNUMBER('Inputs'!$B$24),ISNUMBER('Inputs'!$B$28)),(('Results'!C7*(0.5*((((927-43)*MAX('Inputs'!$B$33,'Inputs'!$B$29+'Inputs'!$B$31+'Inputs'!$B$32,'Inputs'!$B$30+'Inputs'!$B$31+'Inputs'!$B$32)/1000+'Inputs'!$B$21)+'Inputs'!$B$9)/SQRT((((927-43)*MAX('Inputs'!$B$33,'Inputs'!$B$29+'Inputs'!$B$31+'Inputs'!$B$32,'Inputs'!$B$30+'Inputs'!$B$31+'Inputs'!$B$32)/1000+'Inputs'!$B$21)+'Inputs'!$B$9)^2+('Inputs'!$B$8/2)^2)-(((927-43)*MAX('Inputs'!$B$33,'Inputs'!$B$29+'Inputs'!$B$31+'Inputs'!$B$32,'Inputs'!$B$30+'Inputs'!$B$31+'Inputs'!$B$32)/1000+'Inputs'!$B$21))/SQRT((((927-43)*MAX('Inputs'!$B$33,'Inputs'!$B$29+'Inputs'!$B$31+'Inputs'!$B$32,'Inputs'!$B$30+'Inputs'!$B$31+'Inputs'!$B$32)/1000+'Inputs'!$B$21))^2+('Inputs'!$B$8/2)^2)))-'Results'!B7*(0.5*((((927-43)*MAX('Inputs'!$B$33,'Inputs'!$B$29+'Inputs'!$B$31+'Inputs'!$B$32,'Inputs'!$B$30+'Inputs'!$B$31+'Inputs'!$B$32)/1000+'Inputs'!$B$21+'Inputs'!$B$9+'Inputs'!$B$10)+'Inputs'!$B$7)/SQRT((((927-43)*MAX('Inputs'!$B$33,'Inputs'!$B$29+'Inputs'!$B$31+'Inputs'!$B$32,'Inputs'!$B$30+'Inputs'!$B$31+'Inputs'!$B$32)/1000+'Inputs'!$B$21+'Inputs'!$B$9+'Inputs'!$B$10)+'Inputs'!$B$7)^2+('Inputs'!$B$6/2)^2)-(((927-43)*MAX('Inputs'!$B$33,'Inputs'!$B$29+'Inputs'!$B$31+'Inputs'!$B$32,'Inputs'!$B$30+'Inputs'!$B$31+'Inputs'!$B$32)/1000+'Inputs'!$B$21+'Inputs'!$B$9+'Inputs'!$B$10))/SQRT((((927-43)*MAX('Inputs'!$B$33,'Inputs'!$B$29+'Inputs'!$B$31+'Inputs'!$B$32,'Inputs'!$B$30+'Inputs'!$B$31+'Inputs'!$B$32)/1000+'Inputs'!$B$21+'Inputs'!$B$9+'Inputs'!$B$10))^2+('Inputs'!$B$6/2)^2))))*'Results'!$B$8),"")</x:f>
        <x:v>0.4986371731795169</x:v>
      </x:c>
      <x:c r="N927" t="n">
        <x:f>IF(AND(ISNUMBER('Results'!C7),ISNUMBER('Results'!B7),ISNUMBER('Results'!$B$8),ISNUMBER('Inputs'!$B$6),ISNUMBER('Inputs'!$B$7),ISNUMBER('Inputs'!$B$8),ISNUMBER('Inputs'!$B$9),ISNUMBER('Inputs'!$B$10),ISNUMBER('Inputs'!$B$21),ISNUMBER('Inputs'!$B$24),ISNUMBER('Inputs'!$B$28)),((('Results'!C7*(1-'Inputs'!$B$24)*(0.5*((((927-43)*MAX('Inputs'!$B$33,'Inputs'!$B$29+'Inputs'!$B$31+'Inputs'!$B$32,'Inputs'!$B$30+'Inputs'!$B$31+'Inputs'!$B$32)/1000+'Inputs'!$B$21)+'Inputs'!$B$9)/SQRT((((927-43)*MAX('Inputs'!$B$33,'Inputs'!$B$29+'Inputs'!$B$31+'Inputs'!$B$32,'Inputs'!$B$30+'Inputs'!$B$31+'Inputs'!$B$32)/1000+'Inputs'!$B$21)+'Inputs'!$B$9)^2+('Inputs'!$B$8/2)^2)-(((927-43)*MAX('Inputs'!$B$33,'Inputs'!$B$29+'Inputs'!$B$31+'Inputs'!$B$32,'Inputs'!$B$30+'Inputs'!$B$31+'Inputs'!$B$32)/1000+'Inputs'!$B$21))/SQRT((((927-43)*MAX('Inputs'!$B$33,'Inputs'!$B$29+'Inputs'!$B$31+'Inputs'!$B$32,'Inputs'!$B$30+'Inputs'!$B$31+'Inputs'!$B$32)/1000+'Inputs'!$B$21))^2+('Inputs'!$B$8/2)^2)))-'Results'!B7*(1+'Inputs'!$B$24)*(0.5*((((927-43)*MAX('Inputs'!$B$33,'Inputs'!$B$29+'Inputs'!$B$31+'Inputs'!$B$32,'Inputs'!$B$30+'Inputs'!$B$31+'Inputs'!$B$32)/1000+'Inputs'!$B$21+'Inputs'!$B$9+'Inputs'!$B$10)+'Inputs'!$B$7)/SQRT((((927-43)*MAX('Inputs'!$B$33,'Inputs'!$B$29+'Inputs'!$B$31+'Inputs'!$B$32,'Inputs'!$B$30+'Inputs'!$B$31+'Inputs'!$B$32)/1000+'Inputs'!$B$21+'Inputs'!$B$9+'Inputs'!$B$10)+'Inputs'!$B$7)^2+('Inputs'!$B$6/2)^2)-(((927-43)*MAX('Inputs'!$B$33,'Inputs'!$B$29+'Inputs'!$B$31+'Inputs'!$B$32,'Inputs'!$B$30+'Inputs'!$B$31+'Inputs'!$B$32)/1000+'Inputs'!$B$21+'Inputs'!$B$9+'Inputs'!$B$10))/SQRT((((927-43)*MAX('Inputs'!$B$33,'Inputs'!$B$29+'Inputs'!$B$31+'Inputs'!$B$32,'Inputs'!$B$30+'Inputs'!$B$31+'Inputs'!$B$32)/1000+'Inputs'!$B$21+'Inputs'!$B$9+'Inputs'!$B$10))^2+('Inputs'!$B$6/2)^2))))*'Results'!$B$8)-'Inputs'!$B$28*ABS((('Results'!C7*(1-'Inputs'!$B$24)*(0.5*((((927-43)*MAX('Inputs'!$B$33,'Inputs'!$B$29+'Inputs'!$B$31+'Inputs'!$B$32,'Inputs'!$B$30+'Inputs'!$B$31+'Inputs'!$B$32)/1000+'Inputs'!$B$21)+'Inputs'!$B$9)/SQRT((((927-43)*MAX('Inputs'!$B$33,'Inputs'!$B$29+'Inputs'!$B$31+'Inputs'!$B$32,'Inputs'!$B$30+'Inputs'!$B$31+'Inputs'!$B$32)/1000+'Inputs'!$B$21)+'Inputs'!$B$9)^2+('Inputs'!$B$8/2)^2)-(((927-43)*MAX('Inputs'!$B$33,'Inputs'!$B$29+'Inputs'!$B$31+'Inputs'!$B$32,'Inputs'!$B$30+'Inputs'!$B$31+'Inputs'!$B$32)/1000+'Inputs'!$B$21))/SQRT((((927-43)*MAX('Inputs'!$B$33,'Inputs'!$B$29+'Inputs'!$B$31+'Inputs'!$B$32,'Inputs'!$B$30+'Inputs'!$B$31+'Inputs'!$B$32)/1000+'Inputs'!$B$21))^2+('Inputs'!$B$8/2)^2)))-'Results'!B7*(1+'Inputs'!$B$24)*(0.5*((((927-43)*MAX('Inputs'!$B$33,'Inputs'!$B$29+'Inputs'!$B$31+'Inputs'!$B$32,'Inputs'!$B$30+'Inputs'!$B$31+'Inputs'!$B$32)/1000+'Inputs'!$B$21+'Inputs'!$B$9+'Inputs'!$B$10)+'Inputs'!$B$7)/SQRT((((927-43)*MAX('Inputs'!$B$33,'Inputs'!$B$29+'Inputs'!$B$31+'Inputs'!$B$32,'Inputs'!$B$30+'Inputs'!$B$31+'Inputs'!$B$32)/1000+'Inputs'!$B$21+'Inputs'!$B$9+'Inputs'!$B$10)+'Inputs'!$B$7)^2+('Inputs'!$B$6/2)^2)-(((927-43)*MAX('Inputs'!$B$33,'Inputs'!$B$29+'Inputs'!$B$31+'Inputs'!$B$32,'Inputs'!$B$30+'Inputs'!$B$31+'Inputs'!$B$32)/1000+'Inputs'!$B$21+'Inputs'!$B$9+'Inputs'!$B$10))/SQRT((((927-43)*MAX('Inputs'!$B$33,'Inputs'!$B$29+'Inputs'!$B$31+'Inputs'!$B$32,'Inputs'!$B$30+'Inputs'!$B$31+'Inputs'!$B$32)/1000+'Inputs'!$B$21+'Inputs'!$B$9+'Inputs'!$B$10))^2+('Inputs'!$B$6/2)^2))))*'Results'!$B$8))),"")</x:f>
        <x:v>0.41677154946267453</x:v>
      </x:c>
      <x:c r="O927" t="n">
        <x:f>IF(AND(ISNUMBER('Results'!C7),ISNUMBER('Results'!B7),ISNUMBER('Results'!$B$8),ISNUMBER('Inputs'!$B$6),ISNUMBER('Inputs'!$B$7),ISNUMBER('Inputs'!$B$8),ISNUMBER('Inputs'!$B$9),ISNUMBER('Inputs'!$B$10),ISNUMBER('Inputs'!$B$21),ISNUMBER('Inputs'!$B$24),ISNUMBER('Inputs'!$B$28)),((('Results'!C7*(1+'Inputs'!$B$24)*(0.5*((((927-43)*MAX('Inputs'!$B$33,'Inputs'!$B$29+'Inputs'!$B$31+'Inputs'!$B$32,'Inputs'!$B$30+'Inputs'!$B$31+'Inputs'!$B$32)/1000+'Inputs'!$B$21)+'Inputs'!$B$9)/SQRT((((927-43)*MAX('Inputs'!$B$33,'Inputs'!$B$29+'Inputs'!$B$31+'Inputs'!$B$32,'Inputs'!$B$30+'Inputs'!$B$31+'Inputs'!$B$32)/1000+'Inputs'!$B$21)+'Inputs'!$B$9)^2+('Inputs'!$B$8/2)^2)-(((927-43)*MAX('Inputs'!$B$33,'Inputs'!$B$29+'Inputs'!$B$31+'Inputs'!$B$32,'Inputs'!$B$30+'Inputs'!$B$31+'Inputs'!$B$32)/1000+'Inputs'!$B$21))/SQRT((((927-43)*MAX('Inputs'!$B$33,'Inputs'!$B$29+'Inputs'!$B$31+'Inputs'!$B$32,'Inputs'!$B$30+'Inputs'!$B$31+'Inputs'!$B$32)/1000+'Inputs'!$B$21))^2+('Inputs'!$B$8/2)^2)))-'Results'!B7*(1-'Inputs'!$B$24)*(0.5*((((927-43)*MAX('Inputs'!$B$33,'Inputs'!$B$29+'Inputs'!$B$31+'Inputs'!$B$32,'Inputs'!$B$30+'Inputs'!$B$31+'Inputs'!$B$32)/1000+'Inputs'!$B$21+'Inputs'!$B$9+'Inputs'!$B$10)+'Inputs'!$B$7)/SQRT((((927-43)*MAX('Inputs'!$B$33,'Inputs'!$B$29+'Inputs'!$B$31+'Inputs'!$B$32,'Inputs'!$B$30+'Inputs'!$B$31+'Inputs'!$B$32)/1000+'Inputs'!$B$21+'Inputs'!$B$9+'Inputs'!$B$10)+'Inputs'!$B$7)^2+('Inputs'!$B$6/2)^2)-(((927-43)*MAX('Inputs'!$B$33,'Inputs'!$B$29+'Inputs'!$B$31+'Inputs'!$B$32,'Inputs'!$B$30+'Inputs'!$B$31+'Inputs'!$B$32)/1000+'Inputs'!$B$21+'Inputs'!$B$9+'Inputs'!$B$10))/SQRT((((927-43)*MAX('Inputs'!$B$33,'Inputs'!$B$29+'Inputs'!$B$31+'Inputs'!$B$32,'Inputs'!$B$30+'Inputs'!$B$31+'Inputs'!$B$32)/1000+'Inputs'!$B$21+'Inputs'!$B$9+'Inputs'!$B$10))^2+('Inputs'!$B$6/2)^2))))*'Results'!$B$8)+'Inputs'!$B$28*ABS((('Results'!C7*(1+'Inputs'!$B$24)*(0.5*((((927-43)*MAX('Inputs'!$B$33,'Inputs'!$B$29+'Inputs'!$B$31+'Inputs'!$B$32,'Inputs'!$B$30+'Inputs'!$B$31+'Inputs'!$B$32)/1000+'Inputs'!$B$21)+'Inputs'!$B$9)/SQRT((((927-43)*MAX('Inputs'!$B$33,'Inputs'!$B$29+'Inputs'!$B$31+'Inputs'!$B$32,'Inputs'!$B$30+'Inputs'!$B$31+'Inputs'!$B$32)/1000+'Inputs'!$B$21)+'Inputs'!$B$9)^2+('Inputs'!$B$8/2)^2)-(((927-43)*MAX('Inputs'!$B$33,'Inputs'!$B$29+'Inputs'!$B$31+'Inputs'!$B$32,'Inputs'!$B$30+'Inputs'!$B$31+'Inputs'!$B$32)/1000+'Inputs'!$B$21))/SQRT((((927-43)*MAX('Inputs'!$B$33,'Inputs'!$B$29+'Inputs'!$B$31+'Inputs'!$B$32,'Inputs'!$B$30+'Inputs'!$B$31+'Inputs'!$B$32)/1000+'Inputs'!$B$21))^2+('Inputs'!$B$8/2)^2)))-'Results'!B7*(1-'Inputs'!$B$24)*(0.5*((((927-43)*MAX('Inputs'!$B$33,'Inputs'!$B$29+'Inputs'!$B$31+'Inputs'!$B$32,'Inputs'!$B$30+'Inputs'!$B$31+'Inputs'!$B$32)/1000+'Inputs'!$B$21+'Inputs'!$B$9+'Inputs'!$B$10)+'Inputs'!$B$7)/SQRT((((927-43)*MAX('Inputs'!$B$33,'Inputs'!$B$29+'Inputs'!$B$31+'Inputs'!$B$32,'Inputs'!$B$30+'Inputs'!$B$31+'Inputs'!$B$32)/1000+'Inputs'!$B$21+'Inputs'!$B$9+'Inputs'!$B$10)+'Inputs'!$B$7)^2+('Inputs'!$B$6/2)^2)-(((927-43)*MAX('Inputs'!$B$33,'Inputs'!$B$29+'Inputs'!$B$31+'Inputs'!$B$32,'Inputs'!$B$30+'Inputs'!$B$31+'Inputs'!$B$32)/1000+'Inputs'!$B$21+'Inputs'!$B$9+'Inputs'!$B$10))/SQRT((((927-43)*MAX('Inputs'!$B$33,'Inputs'!$B$29+'Inputs'!$B$31+'Inputs'!$B$32,'Inputs'!$B$30+'Inputs'!$B$31+'Inputs'!$B$32)/1000+'Inputs'!$B$21+'Inputs'!$B$9+'Inputs'!$B$10))^2+('Inputs'!$B$6/2)^2))))*'Results'!$B$8))),"")</x:f>
        <x:v>0.5864958247971873</x:v>
      </x:c>
      <x:c r="P927" t="n">
        <x:f>IF(AND(MAX(J927,J926)&gt;0,J927&gt;J926+0.00000001),1,0)</x:f>
        <x:v>0</x:v>
      </x:c>
      <x:c r="Q927" t="n">
        <x:f>IF(AND(MAX(K927,K926)&gt;0,K927&gt;K926+0.00000001),1,0)</x:f>
        <x:v>0</x:v>
      </x:c>
      <x:c r="R927" t="n">
        <x:f>IF(AND(MAX(L927,L926)&gt;0,L927&gt;L926+0.00000001),1,0)</x:f>
        <x:v>0</x:v>
      </x:c>
      <x:c r="S927" t="n">
        <x:f>IF(AND(MAX(M927,M926)&gt;0,M927&gt;M926+0.00000001),1,0)</x:f>
        <x:v>0</x:v>
      </x:c>
      <x:c r="T927" t="n">
        <x:f>IF(AND(MAX(N927,N926)&gt;0,N927&gt;N926+0.00000001),1,0)</x:f>
        <x:v>0</x:v>
      </x:c>
      <x:c r="U927" t="n">
        <x:f>IF(AND(MAX(O927,O926)&gt;0,O927&gt;O926+0.00000001),1,0)</x:f>
        <x:v>0</x:v>
      </x:c>
    </x:row>
    <x:row r="928">
      <x:c r="J928" t="n">
        <x:f>IF(AND(ISNUMBER('Results'!B7),ISNUMBER('Results'!C7),ISNUMBER('Results'!$B$8),ISNUMBER('Inputs'!$B$6),ISNUMBER('Inputs'!$B$7),ISNUMBER('Inputs'!$B$8),ISNUMBER('Inputs'!$B$9),ISNUMBER('Inputs'!$B$10),ISNUMBER('Inputs'!$B$21),ISNUMBER('Inputs'!$B$24),ISNUMBER('Inputs'!$B$28)),(('Results'!B7*(0.5*((((928-43)*MAX('Inputs'!$B$33,'Inputs'!$B$29+'Inputs'!$B$31+'Inputs'!$B$32,'Inputs'!$B$30+'Inputs'!$B$31+'Inputs'!$B$32)/1000+'Inputs'!$B$21)+'Inputs'!$B$7)/SQRT((((928-43)*MAX('Inputs'!$B$33,'Inputs'!$B$29+'Inputs'!$B$31+'Inputs'!$B$32,'Inputs'!$B$30+'Inputs'!$B$31+'Inputs'!$B$32)/1000+'Inputs'!$B$21)+'Inputs'!$B$7)^2+('Inputs'!$B$6/2)^2)-(((928-43)*MAX('Inputs'!$B$33,'Inputs'!$B$29+'Inputs'!$B$31+'Inputs'!$B$32,'Inputs'!$B$30+'Inputs'!$B$31+'Inputs'!$B$32)/1000+'Inputs'!$B$21))/SQRT((((928-43)*MAX('Inputs'!$B$33,'Inputs'!$B$29+'Inputs'!$B$31+'Inputs'!$B$32,'Inputs'!$B$30+'Inputs'!$B$31+'Inputs'!$B$32)/1000+'Inputs'!$B$21))^2+('Inputs'!$B$6/2)^2)))-'Results'!C7*(0.5*((((928-43)*MAX('Inputs'!$B$33,'Inputs'!$B$29+'Inputs'!$B$31+'Inputs'!$B$32,'Inputs'!$B$30+'Inputs'!$B$31+'Inputs'!$B$32)/1000+'Inputs'!$B$21+'Inputs'!$B$7+'Inputs'!$B$10)+'Inputs'!$B$9)/SQRT((((928-43)*MAX('Inputs'!$B$33,'Inputs'!$B$29+'Inputs'!$B$31+'Inputs'!$B$32,'Inputs'!$B$30+'Inputs'!$B$31+'Inputs'!$B$32)/1000+'Inputs'!$B$21+'Inputs'!$B$7+'Inputs'!$B$10)+'Inputs'!$B$9)^2+('Inputs'!$B$8/2)^2)-(((928-43)*MAX('Inputs'!$B$33,'Inputs'!$B$29+'Inputs'!$B$31+'Inputs'!$B$32,'Inputs'!$B$30+'Inputs'!$B$31+'Inputs'!$B$32)/1000+'Inputs'!$B$21+'Inputs'!$B$7+'Inputs'!$B$10))/SQRT((((928-43)*MAX('Inputs'!$B$33,'Inputs'!$B$29+'Inputs'!$B$31+'Inputs'!$B$32,'Inputs'!$B$30+'Inputs'!$B$31+'Inputs'!$B$32)/1000+'Inputs'!$B$21+'Inputs'!$B$7+'Inputs'!$B$10))^2+('Inputs'!$B$8/2)^2))))*'Results'!$B$8),"")</x:f>
        <x:v>0.5569944882361272</x:v>
      </x:c>
      <x:c r="K928" t="n">
        <x:f>IF(AND(ISNUMBER('Results'!B7),ISNUMBER('Results'!C7),ISNUMBER('Results'!$B$8),ISNUMBER('Inputs'!$B$6),ISNUMBER('Inputs'!$B$7),ISNUMBER('Inputs'!$B$8),ISNUMBER('Inputs'!$B$9),ISNUMBER('Inputs'!$B$10),ISNUMBER('Inputs'!$B$21),ISNUMBER('Inputs'!$B$24),ISNUMBER('Inputs'!$B$28)),((('Results'!B7*(1-'Inputs'!$B$24)*(0.5*((((928-43)*MAX('Inputs'!$B$33,'Inputs'!$B$29+'Inputs'!$B$31+'Inputs'!$B$32,'Inputs'!$B$30+'Inputs'!$B$31+'Inputs'!$B$32)/1000+'Inputs'!$B$21)+'Inputs'!$B$7)/SQRT((((928-43)*MAX('Inputs'!$B$33,'Inputs'!$B$29+'Inputs'!$B$31+'Inputs'!$B$32,'Inputs'!$B$30+'Inputs'!$B$31+'Inputs'!$B$32)/1000+'Inputs'!$B$21)+'Inputs'!$B$7)^2+('Inputs'!$B$6/2)^2)-(((928-43)*MAX('Inputs'!$B$33,'Inputs'!$B$29+'Inputs'!$B$31+'Inputs'!$B$32,'Inputs'!$B$30+'Inputs'!$B$31+'Inputs'!$B$32)/1000+'Inputs'!$B$21))/SQRT((((928-43)*MAX('Inputs'!$B$33,'Inputs'!$B$29+'Inputs'!$B$31+'Inputs'!$B$32,'Inputs'!$B$30+'Inputs'!$B$31+'Inputs'!$B$32)/1000+'Inputs'!$B$21))^2+('Inputs'!$B$6/2)^2)))-'Results'!C7*(1+'Inputs'!$B$24)*(0.5*((((928-43)*MAX('Inputs'!$B$33,'Inputs'!$B$29+'Inputs'!$B$31+'Inputs'!$B$32,'Inputs'!$B$30+'Inputs'!$B$31+'Inputs'!$B$32)/1000+'Inputs'!$B$21+'Inputs'!$B$7+'Inputs'!$B$10)+'Inputs'!$B$9)/SQRT((((928-43)*MAX('Inputs'!$B$33,'Inputs'!$B$29+'Inputs'!$B$31+'Inputs'!$B$32,'Inputs'!$B$30+'Inputs'!$B$31+'Inputs'!$B$32)/1000+'Inputs'!$B$21+'Inputs'!$B$7+'Inputs'!$B$10)+'Inputs'!$B$9)^2+('Inputs'!$B$8/2)^2)-(((928-43)*MAX('Inputs'!$B$33,'Inputs'!$B$29+'Inputs'!$B$31+'Inputs'!$B$32,'Inputs'!$B$30+'Inputs'!$B$31+'Inputs'!$B$32)/1000+'Inputs'!$B$21+'Inputs'!$B$7+'Inputs'!$B$10))/SQRT((((928-43)*MAX('Inputs'!$B$33,'Inputs'!$B$29+'Inputs'!$B$31+'Inputs'!$B$32,'Inputs'!$B$30+'Inputs'!$B$31+'Inputs'!$B$32)/1000+'Inputs'!$B$21+'Inputs'!$B$7+'Inputs'!$B$10))^2+('Inputs'!$B$8/2)^2))))*'Results'!$B$8)-'Inputs'!$B$28*ABS((('Results'!B7*(1-'Inputs'!$B$24)*(0.5*((((928-43)*MAX('Inputs'!$B$33,'Inputs'!$B$29+'Inputs'!$B$31+'Inputs'!$B$32,'Inputs'!$B$30+'Inputs'!$B$31+'Inputs'!$B$32)/1000+'Inputs'!$B$21)+'Inputs'!$B$7)/SQRT((((928-43)*MAX('Inputs'!$B$33,'Inputs'!$B$29+'Inputs'!$B$31+'Inputs'!$B$32,'Inputs'!$B$30+'Inputs'!$B$31+'Inputs'!$B$32)/1000+'Inputs'!$B$21)+'Inputs'!$B$7)^2+('Inputs'!$B$6/2)^2)-(((928-43)*MAX('Inputs'!$B$33,'Inputs'!$B$29+'Inputs'!$B$31+'Inputs'!$B$32,'Inputs'!$B$30+'Inputs'!$B$31+'Inputs'!$B$32)/1000+'Inputs'!$B$21))/SQRT((((928-43)*MAX('Inputs'!$B$33,'Inputs'!$B$29+'Inputs'!$B$31+'Inputs'!$B$32,'Inputs'!$B$30+'Inputs'!$B$31+'Inputs'!$B$32)/1000+'Inputs'!$B$21))^2+('Inputs'!$B$6/2)^2)))-'Results'!C7*(1+'Inputs'!$B$24)*(0.5*((((928-43)*MAX('Inputs'!$B$33,'Inputs'!$B$29+'Inputs'!$B$31+'Inputs'!$B$32,'Inputs'!$B$30+'Inputs'!$B$31+'Inputs'!$B$32)/1000+'Inputs'!$B$21+'Inputs'!$B$7+'Inputs'!$B$10)+'Inputs'!$B$9)/SQRT((((928-43)*MAX('Inputs'!$B$33,'Inputs'!$B$29+'Inputs'!$B$31+'Inputs'!$B$32,'Inputs'!$B$30+'Inputs'!$B$31+'Inputs'!$B$32)/1000+'Inputs'!$B$21+'Inputs'!$B$7+'Inputs'!$B$10)+'Inputs'!$B$9)^2+('Inputs'!$B$8/2)^2)-(((928-43)*MAX('Inputs'!$B$33,'Inputs'!$B$29+'Inputs'!$B$31+'Inputs'!$B$32,'Inputs'!$B$30+'Inputs'!$B$31+'Inputs'!$B$32)/1000+'Inputs'!$B$21+'Inputs'!$B$7+'Inputs'!$B$10))/SQRT((((928-43)*MAX('Inputs'!$B$33,'Inputs'!$B$29+'Inputs'!$B$31+'Inputs'!$B$32,'Inputs'!$B$30+'Inputs'!$B$31+'Inputs'!$B$32)/1000+'Inputs'!$B$21+'Inputs'!$B$7+'Inputs'!$B$10))^2+('Inputs'!$B$8/2)^2))))*'Results'!$B$8))),"")</x:f>
        <x:v>0.47218737100589886</x:v>
      </x:c>
      <x:c r="L928" t="n">
        <x:f>IF(AND(ISNUMBER('Results'!B7),ISNUMBER('Results'!C7),ISNUMBER('Results'!$B$8),ISNUMBER('Inputs'!$B$6),ISNUMBER('Inputs'!$B$7),ISNUMBER('Inputs'!$B$8),ISNUMBER('Inputs'!$B$9),ISNUMBER('Inputs'!$B$10),ISNUMBER('Inputs'!$B$21),ISNUMBER('Inputs'!$B$24),ISNUMBER('Inputs'!$B$28)),((('Results'!B7*(1+'Inputs'!$B$24)*(0.5*((((928-43)*MAX('Inputs'!$B$33,'Inputs'!$B$29+'Inputs'!$B$31+'Inputs'!$B$32,'Inputs'!$B$30+'Inputs'!$B$31+'Inputs'!$B$32)/1000+'Inputs'!$B$21)+'Inputs'!$B$7)/SQRT((((928-43)*MAX('Inputs'!$B$33,'Inputs'!$B$29+'Inputs'!$B$31+'Inputs'!$B$32,'Inputs'!$B$30+'Inputs'!$B$31+'Inputs'!$B$32)/1000+'Inputs'!$B$21)+'Inputs'!$B$7)^2+('Inputs'!$B$6/2)^2)-(((928-43)*MAX('Inputs'!$B$33,'Inputs'!$B$29+'Inputs'!$B$31+'Inputs'!$B$32,'Inputs'!$B$30+'Inputs'!$B$31+'Inputs'!$B$32)/1000+'Inputs'!$B$21))/SQRT((((928-43)*MAX('Inputs'!$B$33,'Inputs'!$B$29+'Inputs'!$B$31+'Inputs'!$B$32,'Inputs'!$B$30+'Inputs'!$B$31+'Inputs'!$B$32)/1000+'Inputs'!$B$21))^2+('Inputs'!$B$6/2)^2)))-'Results'!C7*(1-'Inputs'!$B$24)*(0.5*((((928-43)*MAX('Inputs'!$B$33,'Inputs'!$B$29+'Inputs'!$B$31+'Inputs'!$B$32,'Inputs'!$B$30+'Inputs'!$B$31+'Inputs'!$B$32)/1000+'Inputs'!$B$21+'Inputs'!$B$7+'Inputs'!$B$10)+'Inputs'!$B$9)/SQRT((((928-43)*MAX('Inputs'!$B$33,'Inputs'!$B$29+'Inputs'!$B$31+'Inputs'!$B$32,'Inputs'!$B$30+'Inputs'!$B$31+'Inputs'!$B$32)/1000+'Inputs'!$B$21+'Inputs'!$B$7+'Inputs'!$B$10)+'Inputs'!$B$9)^2+('Inputs'!$B$8/2)^2)-(((928-43)*MAX('Inputs'!$B$33,'Inputs'!$B$29+'Inputs'!$B$31+'Inputs'!$B$32,'Inputs'!$B$30+'Inputs'!$B$31+'Inputs'!$B$32)/1000+'Inputs'!$B$21+'Inputs'!$B$7+'Inputs'!$B$10))/SQRT((((928-43)*MAX('Inputs'!$B$33,'Inputs'!$B$29+'Inputs'!$B$31+'Inputs'!$B$32,'Inputs'!$B$30+'Inputs'!$B$31+'Inputs'!$B$32)/1000+'Inputs'!$B$21+'Inputs'!$B$7+'Inputs'!$B$10))^2+('Inputs'!$B$8/2)^2))))*'Results'!$B$8)+'Inputs'!$B$28*ABS((('Results'!B7*(1+'Inputs'!$B$24)*(0.5*((((928-43)*MAX('Inputs'!$B$33,'Inputs'!$B$29+'Inputs'!$B$31+'Inputs'!$B$32,'Inputs'!$B$30+'Inputs'!$B$31+'Inputs'!$B$32)/1000+'Inputs'!$B$21)+'Inputs'!$B$7)/SQRT((((928-43)*MAX('Inputs'!$B$33,'Inputs'!$B$29+'Inputs'!$B$31+'Inputs'!$B$32,'Inputs'!$B$30+'Inputs'!$B$31+'Inputs'!$B$32)/1000+'Inputs'!$B$21)+'Inputs'!$B$7)^2+('Inputs'!$B$6/2)^2)-(((928-43)*MAX('Inputs'!$B$33,'Inputs'!$B$29+'Inputs'!$B$31+'Inputs'!$B$32,'Inputs'!$B$30+'Inputs'!$B$31+'Inputs'!$B$32)/1000+'Inputs'!$B$21))/SQRT((((928-43)*MAX('Inputs'!$B$33,'Inputs'!$B$29+'Inputs'!$B$31+'Inputs'!$B$32,'Inputs'!$B$30+'Inputs'!$B$31+'Inputs'!$B$32)/1000+'Inputs'!$B$21))^2+('Inputs'!$B$6/2)^2)))-'Results'!C7*(1-'Inputs'!$B$24)*(0.5*((((928-43)*MAX('Inputs'!$B$33,'Inputs'!$B$29+'Inputs'!$B$31+'Inputs'!$B$32,'Inputs'!$B$30+'Inputs'!$B$31+'Inputs'!$B$32)/1000+'Inputs'!$B$21+'Inputs'!$B$7+'Inputs'!$B$10)+'Inputs'!$B$9)/SQRT((((928-43)*MAX('Inputs'!$B$33,'Inputs'!$B$29+'Inputs'!$B$31+'Inputs'!$B$32,'Inputs'!$B$30+'Inputs'!$B$31+'Inputs'!$B$32)/1000+'Inputs'!$B$21+'Inputs'!$B$7+'Inputs'!$B$10)+'Inputs'!$B$9)^2+('Inputs'!$B$8/2)^2)-(((928-43)*MAX('Inputs'!$B$33,'Inputs'!$B$29+'Inputs'!$B$31+'Inputs'!$B$32,'Inputs'!$B$30+'Inputs'!$B$31+'Inputs'!$B$32)/1000+'Inputs'!$B$21+'Inputs'!$B$7+'Inputs'!$B$10))/SQRT((((928-43)*MAX('Inputs'!$B$33,'Inputs'!$B$29+'Inputs'!$B$31+'Inputs'!$B$32,'Inputs'!$B$30+'Inputs'!$B$31+'Inputs'!$B$32)/1000+'Inputs'!$B$21+'Inputs'!$B$7+'Inputs'!$B$10))^2+('Inputs'!$B$8/2)^2))))*'Results'!$B$8))),"")</x:f>
        <x:v>0.6477971204998737</x:v>
      </x:c>
      <x:c r="M928" t="n">
        <x:f>IF(AND(ISNUMBER('Results'!C7),ISNUMBER('Results'!B7),ISNUMBER('Results'!$B$8),ISNUMBER('Inputs'!$B$6),ISNUMBER('Inputs'!$B$7),ISNUMBER('Inputs'!$B$8),ISNUMBER('Inputs'!$B$9),ISNUMBER('Inputs'!$B$10),ISNUMBER('Inputs'!$B$21),ISNUMBER('Inputs'!$B$24),ISNUMBER('Inputs'!$B$28)),(('Results'!C7*(0.5*((((928-43)*MAX('Inputs'!$B$33,'Inputs'!$B$29+'Inputs'!$B$31+'Inputs'!$B$32,'Inputs'!$B$30+'Inputs'!$B$31+'Inputs'!$B$32)/1000+'Inputs'!$B$21)+'Inputs'!$B$9)/SQRT((((928-43)*MAX('Inputs'!$B$33,'Inputs'!$B$29+'Inputs'!$B$31+'Inputs'!$B$32,'Inputs'!$B$30+'Inputs'!$B$31+'Inputs'!$B$32)/1000+'Inputs'!$B$21)+'Inputs'!$B$9)^2+('Inputs'!$B$8/2)^2)-(((928-43)*MAX('Inputs'!$B$33,'Inputs'!$B$29+'Inputs'!$B$31+'Inputs'!$B$32,'Inputs'!$B$30+'Inputs'!$B$31+'Inputs'!$B$32)/1000+'Inputs'!$B$21))/SQRT((((928-43)*MAX('Inputs'!$B$33,'Inputs'!$B$29+'Inputs'!$B$31+'Inputs'!$B$32,'Inputs'!$B$30+'Inputs'!$B$31+'Inputs'!$B$32)/1000+'Inputs'!$B$21))^2+('Inputs'!$B$8/2)^2)))-'Results'!B7*(0.5*((((928-43)*MAX('Inputs'!$B$33,'Inputs'!$B$29+'Inputs'!$B$31+'Inputs'!$B$32,'Inputs'!$B$30+'Inputs'!$B$31+'Inputs'!$B$32)/1000+'Inputs'!$B$21+'Inputs'!$B$9+'Inputs'!$B$10)+'Inputs'!$B$7)/SQRT((((928-43)*MAX('Inputs'!$B$33,'Inputs'!$B$29+'Inputs'!$B$31+'Inputs'!$B$32,'Inputs'!$B$30+'Inputs'!$B$31+'Inputs'!$B$32)/1000+'Inputs'!$B$21+'Inputs'!$B$9+'Inputs'!$B$10)+'Inputs'!$B$7)^2+('Inputs'!$B$6/2)^2)-(((928-43)*MAX('Inputs'!$B$33,'Inputs'!$B$29+'Inputs'!$B$31+'Inputs'!$B$32,'Inputs'!$B$30+'Inputs'!$B$31+'Inputs'!$B$32)/1000+'Inputs'!$B$21+'Inputs'!$B$9+'Inputs'!$B$10))/SQRT((((928-43)*MAX('Inputs'!$B$33,'Inputs'!$B$29+'Inputs'!$B$31+'Inputs'!$B$32,'Inputs'!$B$30+'Inputs'!$B$31+'Inputs'!$B$32)/1000+'Inputs'!$B$21+'Inputs'!$B$9+'Inputs'!$B$10))^2+('Inputs'!$B$6/2)^2))))*'Results'!$B$8),"")</x:f>
        <x:v>0.49654122299716613</x:v>
      </x:c>
      <x:c r="N928" t="n">
        <x:f>IF(AND(ISNUMBER('Results'!C7),ISNUMBER('Results'!B7),ISNUMBER('Results'!$B$8),ISNUMBER('Inputs'!$B$6),ISNUMBER('Inputs'!$B$7),ISNUMBER('Inputs'!$B$8),ISNUMBER('Inputs'!$B$9),ISNUMBER('Inputs'!$B$10),ISNUMBER('Inputs'!$B$21),ISNUMBER('Inputs'!$B$24),ISNUMBER('Inputs'!$B$28)),((('Results'!C7*(1-'Inputs'!$B$24)*(0.5*((((928-43)*MAX('Inputs'!$B$33,'Inputs'!$B$29+'Inputs'!$B$31+'Inputs'!$B$32,'Inputs'!$B$30+'Inputs'!$B$31+'Inputs'!$B$32)/1000+'Inputs'!$B$21)+'Inputs'!$B$9)/SQRT((((928-43)*MAX('Inputs'!$B$33,'Inputs'!$B$29+'Inputs'!$B$31+'Inputs'!$B$32,'Inputs'!$B$30+'Inputs'!$B$31+'Inputs'!$B$32)/1000+'Inputs'!$B$21)+'Inputs'!$B$9)^2+('Inputs'!$B$8/2)^2)-(((928-43)*MAX('Inputs'!$B$33,'Inputs'!$B$29+'Inputs'!$B$31+'Inputs'!$B$32,'Inputs'!$B$30+'Inputs'!$B$31+'Inputs'!$B$32)/1000+'Inputs'!$B$21))/SQRT((((928-43)*MAX('Inputs'!$B$33,'Inputs'!$B$29+'Inputs'!$B$31+'Inputs'!$B$32,'Inputs'!$B$30+'Inputs'!$B$31+'Inputs'!$B$32)/1000+'Inputs'!$B$21))^2+('Inputs'!$B$8/2)^2)))-'Results'!B7*(1+'Inputs'!$B$24)*(0.5*((((928-43)*MAX('Inputs'!$B$33,'Inputs'!$B$29+'Inputs'!$B$31+'Inputs'!$B$32,'Inputs'!$B$30+'Inputs'!$B$31+'Inputs'!$B$32)/1000+'Inputs'!$B$21+'Inputs'!$B$9+'Inputs'!$B$10)+'Inputs'!$B$7)/SQRT((((928-43)*MAX('Inputs'!$B$33,'Inputs'!$B$29+'Inputs'!$B$31+'Inputs'!$B$32,'Inputs'!$B$30+'Inputs'!$B$31+'Inputs'!$B$32)/1000+'Inputs'!$B$21+'Inputs'!$B$9+'Inputs'!$B$10)+'Inputs'!$B$7)^2+('Inputs'!$B$6/2)^2)-(((928-43)*MAX('Inputs'!$B$33,'Inputs'!$B$29+'Inputs'!$B$31+'Inputs'!$B$32,'Inputs'!$B$30+'Inputs'!$B$31+'Inputs'!$B$32)/1000+'Inputs'!$B$21+'Inputs'!$B$9+'Inputs'!$B$10))/SQRT((((928-43)*MAX('Inputs'!$B$33,'Inputs'!$B$29+'Inputs'!$B$31+'Inputs'!$B$32,'Inputs'!$B$30+'Inputs'!$B$31+'Inputs'!$B$32)/1000+'Inputs'!$B$21+'Inputs'!$B$9+'Inputs'!$B$10))^2+('Inputs'!$B$6/2)^2))))*'Results'!$B$8)-'Inputs'!$B$28*ABS((('Results'!C7*(1-'Inputs'!$B$24)*(0.5*((((928-43)*MAX('Inputs'!$B$33,'Inputs'!$B$29+'Inputs'!$B$31+'Inputs'!$B$32,'Inputs'!$B$30+'Inputs'!$B$31+'Inputs'!$B$32)/1000+'Inputs'!$B$21)+'Inputs'!$B$9)/SQRT((((928-43)*MAX('Inputs'!$B$33,'Inputs'!$B$29+'Inputs'!$B$31+'Inputs'!$B$32,'Inputs'!$B$30+'Inputs'!$B$31+'Inputs'!$B$32)/1000+'Inputs'!$B$21)+'Inputs'!$B$9)^2+('Inputs'!$B$8/2)^2)-(((928-43)*MAX('Inputs'!$B$33,'Inputs'!$B$29+'Inputs'!$B$31+'Inputs'!$B$32,'Inputs'!$B$30+'Inputs'!$B$31+'Inputs'!$B$32)/1000+'Inputs'!$B$21))/SQRT((((928-43)*MAX('Inputs'!$B$33,'Inputs'!$B$29+'Inputs'!$B$31+'Inputs'!$B$32,'Inputs'!$B$30+'Inputs'!$B$31+'Inputs'!$B$32)/1000+'Inputs'!$B$21))^2+('Inputs'!$B$8/2)^2)))-'Results'!B7*(1+'Inputs'!$B$24)*(0.5*((((928-43)*MAX('Inputs'!$B$33,'Inputs'!$B$29+'Inputs'!$B$31+'Inputs'!$B$32,'Inputs'!$B$30+'Inputs'!$B$31+'Inputs'!$B$32)/1000+'Inputs'!$B$21+'Inputs'!$B$9+'Inputs'!$B$10)+'Inputs'!$B$7)/SQRT((((928-43)*MAX('Inputs'!$B$33,'Inputs'!$B$29+'Inputs'!$B$31+'Inputs'!$B$32,'Inputs'!$B$30+'Inputs'!$B$31+'Inputs'!$B$32)/1000+'Inputs'!$B$21+'Inputs'!$B$9+'Inputs'!$B$10)+'Inputs'!$B$7)^2+('Inputs'!$B$6/2)^2)-(((928-43)*MAX('Inputs'!$B$33,'Inputs'!$B$29+'Inputs'!$B$31+'Inputs'!$B$32,'Inputs'!$B$30+'Inputs'!$B$31+'Inputs'!$B$32)/1000+'Inputs'!$B$21+'Inputs'!$B$9+'Inputs'!$B$10))/SQRT((((928-43)*MAX('Inputs'!$B$33,'Inputs'!$B$29+'Inputs'!$B$31+'Inputs'!$B$32,'Inputs'!$B$30+'Inputs'!$B$31+'Inputs'!$B$32)/1000+'Inputs'!$B$21+'Inputs'!$B$9+'Inputs'!$B$10))^2+('Inputs'!$B$6/2)^2))))*'Results'!$B$8))),"")</x:f>
        <x:v>0.414958962751244</x:v>
      </x:c>
      <x:c r="O928" t="n">
        <x:f>IF(AND(ISNUMBER('Results'!C7),ISNUMBER('Results'!B7),ISNUMBER('Results'!$B$8),ISNUMBER('Inputs'!$B$6),ISNUMBER('Inputs'!$B$7),ISNUMBER('Inputs'!$B$8),ISNUMBER('Inputs'!$B$9),ISNUMBER('Inputs'!$B$10),ISNUMBER('Inputs'!$B$21),ISNUMBER('Inputs'!$B$24),ISNUMBER('Inputs'!$B$28)),((('Results'!C7*(1+'Inputs'!$B$24)*(0.5*((((928-43)*MAX('Inputs'!$B$33,'Inputs'!$B$29+'Inputs'!$B$31+'Inputs'!$B$32,'Inputs'!$B$30+'Inputs'!$B$31+'Inputs'!$B$32)/1000+'Inputs'!$B$21)+'Inputs'!$B$9)/SQRT((((928-43)*MAX('Inputs'!$B$33,'Inputs'!$B$29+'Inputs'!$B$31+'Inputs'!$B$32,'Inputs'!$B$30+'Inputs'!$B$31+'Inputs'!$B$32)/1000+'Inputs'!$B$21)+'Inputs'!$B$9)^2+('Inputs'!$B$8/2)^2)-(((928-43)*MAX('Inputs'!$B$33,'Inputs'!$B$29+'Inputs'!$B$31+'Inputs'!$B$32,'Inputs'!$B$30+'Inputs'!$B$31+'Inputs'!$B$32)/1000+'Inputs'!$B$21))/SQRT((((928-43)*MAX('Inputs'!$B$33,'Inputs'!$B$29+'Inputs'!$B$31+'Inputs'!$B$32,'Inputs'!$B$30+'Inputs'!$B$31+'Inputs'!$B$32)/1000+'Inputs'!$B$21))^2+('Inputs'!$B$8/2)^2)))-'Results'!B7*(1-'Inputs'!$B$24)*(0.5*((((928-43)*MAX('Inputs'!$B$33,'Inputs'!$B$29+'Inputs'!$B$31+'Inputs'!$B$32,'Inputs'!$B$30+'Inputs'!$B$31+'Inputs'!$B$32)/1000+'Inputs'!$B$21+'Inputs'!$B$9+'Inputs'!$B$10)+'Inputs'!$B$7)/SQRT((((928-43)*MAX('Inputs'!$B$33,'Inputs'!$B$29+'Inputs'!$B$31+'Inputs'!$B$32,'Inputs'!$B$30+'Inputs'!$B$31+'Inputs'!$B$32)/1000+'Inputs'!$B$21+'Inputs'!$B$9+'Inputs'!$B$10)+'Inputs'!$B$7)^2+('Inputs'!$B$6/2)^2)-(((928-43)*MAX('Inputs'!$B$33,'Inputs'!$B$29+'Inputs'!$B$31+'Inputs'!$B$32,'Inputs'!$B$30+'Inputs'!$B$31+'Inputs'!$B$32)/1000+'Inputs'!$B$21+'Inputs'!$B$9+'Inputs'!$B$10))/SQRT((((928-43)*MAX('Inputs'!$B$33,'Inputs'!$B$29+'Inputs'!$B$31+'Inputs'!$B$32,'Inputs'!$B$30+'Inputs'!$B$31+'Inputs'!$B$32)/1000+'Inputs'!$B$21+'Inputs'!$B$9+'Inputs'!$B$10))^2+('Inputs'!$B$6/2)^2))))*'Results'!$B$8)+'Inputs'!$B$28*ABS((('Results'!C7*(1+'Inputs'!$B$24)*(0.5*((((928-43)*MAX('Inputs'!$B$33,'Inputs'!$B$29+'Inputs'!$B$31+'Inputs'!$B$32,'Inputs'!$B$30+'Inputs'!$B$31+'Inputs'!$B$32)/1000+'Inputs'!$B$21)+'Inputs'!$B$9)/SQRT((((928-43)*MAX('Inputs'!$B$33,'Inputs'!$B$29+'Inputs'!$B$31+'Inputs'!$B$32,'Inputs'!$B$30+'Inputs'!$B$31+'Inputs'!$B$32)/1000+'Inputs'!$B$21)+'Inputs'!$B$9)^2+('Inputs'!$B$8/2)^2)-(((928-43)*MAX('Inputs'!$B$33,'Inputs'!$B$29+'Inputs'!$B$31+'Inputs'!$B$32,'Inputs'!$B$30+'Inputs'!$B$31+'Inputs'!$B$32)/1000+'Inputs'!$B$21))/SQRT((((928-43)*MAX('Inputs'!$B$33,'Inputs'!$B$29+'Inputs'!$B$31+'Inputs'!$B$32,'Inputs'!$B$30+'Inputs'!$B$31+'Inputs'!$B$32)/1000+'Inputs'!$B$21))^2+('Inputs'!$B$8/2)^2)))-'Results'!B7*(1-'Inputs'!$B$24)*(0.5*((((928-43)*MAX('Inputs'!$B$33,'Inputs'!$B$29+'Inputs'!$B$31+'Inputs'!$B$32,'Inputs'!$B$30+'Inputs'!$B$31+'Inputs'!$B$32)/1000+'Inputs'!$B$21+'Inputs'!$B$9+'Inputs'!$B$10)+'Inputs'!$B$7)/SQRT((((928-43)*MAX('Inputs'!$B$33,'Inputs'!$B$29+'Inputs'!$B$31+'Inputs'!$B$32,'Inputs'!$B$30+'Inputs'!$B$31+'Inputs'!$B$32)/1000+'Inputs'!$B$21+'Inputs'!$B$9+'Inputs'!$B$10)+'Inputs'!$B$7)^2+('Inputs'!$B$6/2)^2)-(((928-43)*MAX('Inputs'!$B$33,'Inputs'!$B$29+'Inputs'!$B$31+'Inputs'!$B$32,'Inputs'!$B$30+'Inputs'!$B$31+'Inputs'!$B$32)/1000+'Inputs'!$B$21+'Inputs'!$B$9+'Inputs'!$B$10))/SQRT((((928-43)*MAX('Inputs'!$B$33,'Inputs'!$B$29+'Inputs'!$B$31+'Inputs'!$B$32,'Inputs'!$B$30+'Inputs'!$B$31+'Inputs'!$B$32)/1000+'Inputs'!$B$21+'Inputs'!$B$9+'Inputs'!$B$10))^2+('Inputs'!$B$6/2)^2))))*'Results'!$B$8))),"")</x:f>
        <x:v>0.5840977147268845</x:v>
      </x:c>
      <x:c r="P928" t="n">
        <x:f>IF(AND(MAX(J928,J927)&gt;0,J928&gt;J927+0.00000001),1,0)</x:f>
        <x:v>0</x:v>
      </x:c>
      <x:c r="Q928" t="n">
        <x:f>IF(AND(MAX(K928,K927)&gt;0,K928&gt;K927+0.00000001),1,0)</x:f>
        <x:v>0</x:v>
      </x:c>
      <x:c r="R928" t="n">
        <x:f>IF(AND(MAX(L928,L927)&gt;0,L928&gt;L927+0.00000001),1,0)</x:f>
        <x:v>0</x:v>
      </x:c>
      <x:c r="S928" t="n">
        <x:f>IF(AND(MAX(M928,M927)&gt;0,M928&gt;M927+0.00000001),1,0)</x:f>
        <x:v>0</x:v>
      </x:c>
      <x:c r="T928" t="n">
        <x:f>IF(AND(MAX(N928,N927)&gt;0,N928&gt;N927+0.00000001),1,0)</x:f>
        <x:v>0</x:v>
      </x:c>
      <x:c r="U928" t="n">
        <x:f>IF(AND(MAX(O928,O927)&gt;0,O928&gt;O927+0.00000001),1,0)</x:f>
        <x:v>0</x:v>
      </x:c>
    </x:row>
    <x:row r="929">
      <x:c r="J929" t="n">
        <x:f>IF(AND(ISNUMBER('Results'!B7),ISNUMBER('Results'!C7),ISNUMBER('Results'!$B$8),ISNUMBER('Inputs'!$B$6),ISNUMBER('Inputs'!$B$7),ISNUMBER('Inputs'!$B$8),ISNUMBER('Inputs'!$B$9),ISNUMBER('Inputs'!$B$10),ISNUMBER('Inputs'!$B$21),ISNUMBER('Inputs'!$B$24),ISNUMBER('Inputs'!$B$28)),(('Results'!B7*(0.5*((((929-43)*MAX('Inputs'!$B$33,'Inputs'!$B$29+'Inputs'!$B$31+'Inputs'!$B$32,'Inputs'!$B$30+'Inputs'!$B$31+'Inputs'!$B$32)/1000+'Inputs'!$B$21)+'Inputs'!$B$7)/SQRT((((929-43)*MAX('Inputs'!$B$33,'Inputs'!$B$29+'Inputs'!$B$31+'Inputs'!$B$32,'Inputs'!$B$30+'Inputs'!$B$31+'Inputs'!$B$32)/1000+'Inputs'!$B$21)+'Inputs'!$B$7)^2+('Inputs'!$B$6/2)^2)-(((929-43)*MAX('Inputs'!$B$33,'Inputs'!$B$29+'Inputs'!$B$31+'Inputs'!$B$32,'Inputs'!$B$30+'Inputs'!$B$31+'Inputs'!$B$32)/1000+'Inputs'!$B$21))/SQRT((((929-43)*MAX('Inputs'!$B$33,'Inputs'!$B$29+'Inputs'!$B$31+'Inputs'!$B$32,'Inputs'!$B$30+'Inputs'!$B$31+'Inputs'!$B$32)/1000+'Inputs'!$B$21))^2+('Inputs'!$B$6/2)^2)))-'Results'!C7*(0.5*((((929-43)*MAX('Inputs'!$B$33,'Inputs'!$B$29+'Inputs'!$B$31+'Inputs'!$B$32,'Inputs'!$B$30+'Inputs'!$B$31+'Inputs'!$B$32)/1000+'Inputs'!$B$21+'Inputs'!$B$7+'Inputs'!$B$10)+'Inputs'!$B$9)/SQRT((((929-43)*MAX('Inputs'!$B$33,'Inputs'!$B$29+'Inputs'!$B$31+'Inputs'!$B$32,'Inputs'!$B$30+'Inputs'!$B$31+'Inputs'!$B$32)/1000+'Inputs'!$B$21+'Inputs'!$B$7+'Inputs'!$B$10)+'Inputs'!$B$9)^2+('Inputs'!$B$8/2)^2)-(((929-43)*MAX('Inputs'!$B$33,'Inputs'!$B$29+'Inputs'!$B$31+'Inputs'!$B$32,'Inputs'!$B$30+'Inputs'!$B$31+'Inputs'!$B$32)/1000+'Inputs'!$B$21+'Inputs'!$B$7+'Inputs'!$B$10))/SQRT((((929-43)*MAX('Inputs'!$B$33,'Inputs'!$B$29+'Inputs'!$B$31+'Inputs'!$B$32,'Inputs'!$B$30+'Inputs'!$B$31+'Inputs'!$B$32)/1000+'Inputs'!$B$21+'Inputs'!$B$7+'Inputs'!$B$10))^2+('Inputs'!$B$8/2)^2))))*'Results'!$B$8),"")</x:f>
        <x:v>0.5547199547482086</x:v>
      </x:c>
      <x:c r="K929" t="n">
        <x:f>IF(AND(ISNUMBER('Results'!B7),ISNUMBER('Results'!C7),ISNUMBER('Results'!$B$8),ISNUMBER('Inputs'!$B$6),ISNUMBER('Inputs'!$B$7),ISNUMBER('Inputs'!$B$8),ISNUMBER('Inputs'!$B$9),ISNUMBER('Inputs'!$B$10),ISNUMBER('Inputs'!$B$21),ISNUMBER('Inputs'!$B$24),ISNUMBER('Inputs'!$B$28)),((('Results'!B7*(1-'Inputs'!$B$24)*(0.5*((((929-43)*MAX('Inputs'!$B$33,'Inputs'!$B$29+'Inputs'!$B$31+'Inputs'!$B$32,'Inputs'!$B$30+'Inputs'!$B$31+'Inputs'!$B$32)/1000+'Inputs'!$B$21)+'Inputs'!$B$7)/SQRT((((929-43)*MAX('Inputs'!$B$33,'Inputs'!$B$29+'Inputs'!$B$31+'Inputs'!$B$32,'Inputs'!$B$30+'Inputs'!$B$31+'Inputs'!$B$32)/1000+'Inputs'!$B$21)+'Inputs'!$B$7)^2+('Inputs'!$B$6/2)^2)-(((929-43)*MAX('Inputs'!$B$33,'Inputs'!$B$29+'Inputs'!$B$31+'Inputs'!$B$32,'Inputs'!$B$30+'Inputs'!$B$31+'Inputs'!$B$32)/1000+'Inputs'!$B$21))/SQRT((((929-43)*MAX('Inputs'!$B$33,'Inputs'!$B$29+'Inputs'!$B$31+'Inputs'!$B$32,'Inputs'!$B$30+'Inputs'!$B$31+'Inputs'!$B$32)/1000+'Inputs'!$B$21))^2+('Inputs'!$B$6/2)^2)))-'Results'!C7*(1+'Inputs'!$B$24)*(0.5*((((929-43)*MAX('Inputs'!$B$33,'Inputs'!$B$29+'Inputs'!$B$31+'Inputs'!$B$32,'Inputs'!$B$30+'Inputs'!$B$31+'Inputs'!$B$32)/1000+'Inputs'!$B$21+'Inputs'!$B$7+'Inputs'!$B$10)+'Inputs'!$B$9)/SQRT((((929-43)*MAX('Inputs'!$B$33,'Inputs'!$B$29+'Inputs'!$B$31+'Inputs'!$B$32,'Inputs'!$B$30+'Inputs'!$B$31+'Inputs'!$B$32)/1000+'Inputs'!$B$21+'Inputs'!$B$7+'Inputs'!$B$10)+'Inputs'!$B$9)^2+('Inputs'!$B$8/2)^2)-(((929-43)*MAX('Inputs'!$B$33,'Inputs'!$B$29+'Inputs'!$B$31+'Inputs'!$B$32,'Inputs'!$B$30+'Inputs'!$B$31+'Inputs'!$B$32)/1000+'Inputs'!$B$21+'Inputs'!$B$7+'Inputs'!$B$10))/SQRT((((929-43)*MAX('Inputs'!$B$33,'Inputs'!$B$29+'Inputs'!$B$31+'Inputs'!$B$32,'Inputs'!$B$30+'Inputs'!$B$31+'Inputs'!$B$32)/1000+'Inputs'!$B$21+'Inputs'!$B$7+'Inputs'!$B$10))^2+('Inputs'!$B$8/2)^2))))*'Results'!$B$8)-'Inputs'!$B$28*ABS((('Results'!B7*(1-'Inputs'!$B$24)*(0.5*((((929-43)*MAX('Inputs'!$B$33,'Inputs'!$B$29+'Inputs'!$B$31+'Inputs'!$B$32,'Inputs'!$B$30+'Inputs'!$B$31+'Inputs'!$B$32)/1000+'Inputs'!$B$21)+'Inputs'!$B$7)/SQRT((((929-43)*MAX('Inputs'!$B$33,'Inputs'!$B$29+'Inputs'!$B$31+'Inputs'!$B$32,'Inputs'!$B$30+'Inputs'!$B$31+'Inputs'!$B$32)/1000+'Inputs'!$B$21)+'Inputs'!$B$7)^2+('Inputs'!$B$6/2)^2)-(((929-43)*MAX('Inputs'!$B$33,'Inputs'!$B$29+'Inputs'!$B$31+'Inputs'!$B$32,'Inputs'!$B$30+'Inputs'!$B$31+'Inputs'!$B$32)/1000+'Inputs'!$B$21))/SQRT((((929-43)*MAX('Inputs'!$B$33,'Inputs'!$B$29+'Inputs'!$B$31+'Inputs'!$B$32,'Inputs'!$B$30+'Inputs'!$B$31+'Inputs'!$B$32)/1000+'Inputs'!$B$21))^2+('Inputs'!$B$6/2)^2)))-'Results'!C7*(1+'Inputs'!$B$24)*(0.5*((((929-43)*MAX('Inputs'!$B$33,'Inputs'!$B$29+'Inputs'!$B$31+'Inputs'!$B$32,'Inputs'!$B$30+'Inputs'!$B$31+'Inputs'!$B$32)/1000+'Inputs'!$B$21+'Inputs'!$B$7+'Inputs'!$B$10)+'Inputs'!$B$9)/SQRT((((929-43)*MAX('Inputs'!$B$33,'Inputs'!$B$29+'Inputs'!$B$31+'Inputs'!$B$32,'Inputs'!$B$30+'Inputs'!$B$31+'Inputs'!$B$32)/1000+'Inputs'!$B$21+'Inputs'!$B$7+'Inputs'!$B$10)+'Inputs'!$B$9)^2+('Inputs'!$B$8/2)^2)-(((929-43)*MAX('Inputs'!$B$33,'Inputs'!$B$29+'Inputs'!$B$31+'Inputs'!$B$32,'Inputs'!$B$30+'Inputs'!$B$31+'Inputs'!$B$32)/1000+'Inputs'!$B$21+'Inputs'!$B$7+'Inputs'!$B$10))/SQRT((((929-43)*MAX('Inputs'!$B$33,'Inputs'!$B$29+'Inputs'!$B$31+'Inputs'!$B$32,'Inputs'!$B$30+'Inputs'!$B$31+'Inputs'!$B$32)/1000+'Inputs'!$B$21+'Inputs'!$B$7+'Inputs'!$B$10))^2+('Inputs'!$B$8/2)^2))))*'Results'!$B$8))),"")</x:f>
        <x:v>0.4702052196476094</x:v>
      </x:c>
      <x:c r="L929" t="n">
        <x:f>IF(AND(ISNUMBER('Results'!B7),ISNUMBER('Results'!C7),ISNUMBER('Results'!$B$8),ISNUMBER('Inputs'!$B$6),ISNUMBER('Inputs'!$B$7),ISNUMBER('Inputs'!$B$8),ISNUMBER('Inputs'!$B$9),ISNUMBER('Inputs'!$B$10),ISNUMBER('Inputs'!$B$21),ISNUMBER('Inputs'!$B$24),ISNUMBER('Inputs'!$B$28)),((('Results'!B7*(1+'Inputs'!$B$24)*(0.5*((((929-43)*MAX('Inputs'!$B$33,'Inputs'!$B$29+'Inputs'!$B$31+'Inputs'!$B$32,'Inputs'!$B$30+'Inputs'!$B$31+'Inputs'!$B$32)/1000+'Inputs'!$B$21)+'Inputs'!$B$7)/SQRT((((929-43)*MAX('Inputs'!$B$33,'Inputs'!$B$29+'Inputs'!$B$31+'Inputs'!$B$32,'Inputs'!$B$30+'Inputs'!$B$31+'Inputs'!$B$32)/1000+'Inputs'!$B$21)+'Inputs'!$B$7)^2+('Inputs'!$B$6/2)^2)-(((929-43)*MAX('Inputs'!$B$33,'Inputs'!$B$29+'Inputs'!$B$31+'Inputs'!$B$32,'Inputs'!$B$30+'Inputs'!$B$31+'Inputs'!$B$32)/1000+'Inputs'!$B$21))/SQRT((((929-43)*MAX('Inputs'!$B$33,'Inputs'!$B$29+'Inputs'!$B$31+'Inputs'!$B$32,'Inputs'!$B$30+'Inputs'!$B$31+'Inputs'!$B$32)/1000+'Inputs'!$B$21))^2+('Inputs'!$B$6/2)^2)))-'Results'!C7*(1-'Inputs'!$B$24)*(0.5*((((929-43)*MAX('Inputs'!$B$33,'Inputs'!$B$29+'Inputs'!$B$31+'Inputs'!$B$32,'Inputs'!$B$30+'Inputs'!$B$31+'Inputs'!$B$32)/1000+'Inputs'!$B$21+'Inputs'!$B$7+'Inputs'!$B$10)+'Inputs'!$B$9)/SQRT((((929-43)*MAX('Inputs'!$B$33,'Inputs'!$B$29+'Inputs'!$B$31+'Inputs'!$B$32,'Inputs'!$B$30+'Inputs'!$B$31+'Inputs'!$B$32)/1000+'Inputs'!$B$21+'Inputs'!$B$7+'Inputs'!$B$10)+'Inputs'!$B$9)^2+('Inputs'!$B$8/2)^2)-(((929-43)*MAX('Inputs'!$B$33,'Inputs'!$B$29+'Inputs'!$B$31+'Inputs'!$B$32,'Inputs'!$B$30+'Inputs'!$B$31+'Inputs'!$B$32)/1000+'Inputs'!$B$21+'Inputs'!$B$7+'Inputs'!$B$10))/SQRT((((929-43)*MAX('Inputs'!$B$33,'Inputs'!$B$29+'Inputs'!$B$31+'Inputs'!$B$32,'Inputs'!$B$30+'Inputs'!$B$31+'Inputs'!$B$32)/1000+'Inputs'!$B$21+'Inputs'!$B$7+'Inputs'!$B$10))^2+('Inputs'!$B$8/2)^2))))*'Results'!$B$8)+'Inputs'!$B$28*ABS((('Results'!B7*(1+'Inputs'!$B$24)*(0.5*((((929-43)*MAX('Inputs'!$B$33,'Inputs'!$B$29+'Inputs'!$B$31+'Inputs'!$B$32,'Inputs'!$B$30+'Inputs'!$B$31+'Inputs'!$B$32)/1000+'Inputs'!$B$21)+'Inputs'!$B$7)/SQRT((((929-43)*MAX('Inputs'!$B$33,'Inputs'!$B$29+'Inputs'!$B$31+'Inputs'!$B$32,'Inputs'!$B$30+'Inputs'!$B$31+'Inputs'!$B$32)/1000+'Inputs'!$B$21)+'Inputs'!$B$7)^2+('Inputs'!$B$6/2)^2)-(((929-43)*MAX('Inputs'!$B$33,'Inputs'!$B$29+'Inputs'!$B$31+'Inputs'!$B$32,'Inputs'!$B$30+'Inputs'!$B$31+'Inputs'!$B$32)/1000+'Inputs'!$B$21))/SQRT((((929-43)*MAX('Inputs'!$B$33,'Inputs'!$B$29+'Inputs'!$B$31+'Inputs'!$B$32,'Inputs'!$B$30+'Inputs'!$B$31+'Inputs'!$B$32)/1000+'Inputs'!$B$21))^2+('Inputs'!$B$6/2)^2)))-'Results'!C7*(1-'Inputs'!$B$24)*(0.5*((((929-43)*MAX('Inputs'!$B$33,'Inputs'!$B$29+'Inputs'!$B$31+'Inputs'!$B$32,'Inputs'!$B$30+'Inputs'!$B$31+'Inputs'!$B$32)/1000+'Inputs'!$B$21+'Inputs'!$B$7+'Inputs'!$B$10)+'Inputs'!$B$9)/SQRT((((929-43)*MAX('Inputs'!$B$33,'Inputs'!$B$29+'Inputs'!$B$31+'Inputs'!$B$32,'Inputs'!$B$30+'Inputs'!$B$31+'Inputs'!$B$32)/1000+'Inputs'!$B$21+'Inputs'!$B$7+'Inputs'!$B$10)+'Inputs'!$B$9)^2+('Inputs'!$B$8/2)^2)-(((929-43)*MAX('Inputs'!$B$33,'Inputs'!$B$29+'Inputs'!$B$31+'Inputs'!$B$32,'Inputs'!$B$30+'Inputs'!$B$31+'Inputs'!$B$32)/1000+'Inputs'!$B$21+'Inputs'!$B$7+'Inputs'!$B$10))/SQRT((((929-43)*MAX('Inputs'!$B$33,'Inputs'!$B$29+'Inputs'!$B$31+'Inputs'!$B$32,'Inputs'!$B$30+'Inputs'!$B$31+'Inputs'!$B$32)/1000+'Inputs'!$B$21+'Inputs'!$B$7+'Inputs'!$B$10))^2+('Inputs'!$B$8/2)^2))))*'Results'!$B$8))),"")</x:f>
        <x:v>0.6452113990449327</x:v>
      </x:c>
      <x:c r="M929" t="n">
        <x:f>IF(AND(ISNUMBER('Results'!C7),ISNUMBER('Results'!B7),ISNUMBER('Results'!$B$8),ISNUMBER('Inputs'!$B$6),ISNUMBER('Inputs'!$B$7),ISNUMBER('Inputs'!$B$8),ISNUMBER('Inputs'!$B$9),ISNUMBER('Inputs'!$B$10),ISNUMBER('Inputs'!$B$21),ISNUMBER('Inputs'!$B$24),ISNUMBER('Inputs'!$B$28)),(('Results'!C7*(0.5*((((929-43)*MAX('Inputs'!$B$33,'Inputs'!$B$29+'Inputs'!$B$31+'Inputs'!$B$32,'Inputs'!$B$30+'Inputs'!$B$31+'Inputs'!$B$32)/1000+'Inputs'!$B$21)+'Inputs'!$B$9)/SQRT((((929-43)*MAX('Inputs'!$B$33,'Inputs'!$B$29+'Inputs'!$B$31+'Inputs'!$B$32,'Inputs'!$B$30+'Inputs'!$B$31+'Inputs'!$B$32)/1000+'Inputs'!$B$21)+'Inputs'!$B$9)^2+('Inputs'!$B$8/2)^2)-(((929-43)*MAX('Inputs'!$B$33,'Inputs'!$B$29+'Inputs'!$B$31+'Inputs'!$B$32,'Inputs'!$B$30+'Inputs'!$B$31+'Inputs'!$B$32)/1000+'Inputs'!$B$21))/SQRT((((929-43)*MAX('Inputs'!$B$33,'Inputs'!$B$29+'Inputs'!$B$31+'Inputs'!$B$32,'Inputs'!$B$30+'Inputs'!$B$31+'Inputs'!$B$32)/1000+'Inputs'!$B$21))^2+('Inputs'!$B$8/2)^2)))-'Results'!B7*(0.5*((((929-43)*MAX('Inputs'!$B$33,'Inputs'!$B$29+'Inputs'!$B$31+'Inputs'!$B$32,'Inputs'!$B$30+'Inputs'!$B$31+'Inputs'!$B$32)/1000+'Inputs'!$B$21+'Inputs'!$B$9+'Inputs'!$B$10)+'Inputs'!$B$7)/SQRT((((929-43)*MAX('Inputs'!$B$33,'Inputs'!$B$29+'Inputs'!$B$31+'Inputs'!$B$32,'Inputs'!$B$30+'Inputs'!$B$31+'Inputs'!$B$32)/1000+'Inputs'!$B$21+'Inputs'!$B$9+'Inputs'!$B$10)+'Inputs'!$B$7)^2+('Inputs'!$B$6/2)^2)-(((929-43)*MAX('Inputs'!$B$33,'Inputs'!$B$29+'Inputs'!$B$31+'Inputs'!$B$32,'Inputs'!$B$30+'Inputs'!$B$31+'Inputs'!$B$32)/1000+'Inputs'!$B$21+'Inputs'!$B$9+'Inputs'!$B$10))/SQRT((((929-43)*MAX('Inputs'!$B$33,'Inputs'!$B$29+'Inputs'!$B$31+'Inputs'!$B$32,'Inputs'!$B$30+'Inputs'!$B$31+'Inputs'!$B$32)/1000+'Inputs'!$B$21+'Inputs'!$B$9+'Inputs'!$B$10))^2+('Inputs'!$B$6/2)^2))))*'Results'!$B$8),"")</x:f>
        <x:v>0.4944562026556688</x:v>
      </x:c>
      <x:c r="N929" t="n">
        <x:f>IF(AND(ISNUMBER('Results'!C7),ISNUMBER('Results'!B7),ISNUMBER('Results'!$B$8),ISNUMBER('Inputs'!$B$6),ISNUMBER('Inputs'!$B$7),ISNUMBER('Inputs'!$B$8),ISNUMBER('Inputs'!$B$9),ISNUMBER('Inputs'!$B$10),ISNUMBER('Inputs'!$B$21),ISNUMBER('Inputs'!$B$24),ISNUMBER('Inputs'!$B$28)),((('Results'!C7*(1-'Inputs'!$B$24)*(0.5*((((929-43)*MAX('Inputs'!$B$33,'Inputs'!$B$29+'Inputs'!$B$31+'Inputs'!$B$32,'Inputs'!$B$30+'Inputs'!$B$31+'Inputs'!$B$32)/1000+'Inputs'!$B$21)+'Inputs'!$B$9)/SQRT((((929-43)*MAX('Inputs'!$B$33,'Inputs'!$B$29+'Inputs'!$B$31+'Inputs'!$B$32,'Inputs'!$B$30+'Inputs'!$B$31+'Inputs'!$B$32)/1000+'Inputs'!$B$21)+'Inputs'!$B$9)^2+('Inputs'!$B$8/2)^2)-(((929-43)*MAX('Inputs'!$B$33,'Inputs'!$B$29+'Inputs'!$B$31+'Inputs'!$B$32,'Inputs'!$B$30+'Inputs'!$B$31+'Inputs'!$B$32)/1000+'Inputs'!$B$21))/SQRT((((929-43)*MAX('Inputs'!$B$33,'Inputs'!$B$29+'Inputs'!$B$31+'Inputs'!$B$32,'Inputs'!$B$30+'Inputs'!$B$31+'Inputs'!$B$32)/1000+'Inputs'!$B$21))^2+('Inputs'!$B$8/2)^2)))-'Results'!B7*(1+'Inputs'!$B$24)*(0.5*((((929-43)*MAX('Inputs'!$B$33,'Inputs'!$B$29+'Inputs'!$B$31+'Inputs'!$B$32,'Inputs'!$B$30+'Inputs'!$B$31+'Inputs'!$B$32)/1000+'Inputs'!$B$21+'Inputs'!$B$9+'Inputs'!$B$10)+'Inputs'!$B$7)/SQRT((((929-43)*MAX('Inputs'!$B$33,'Inputs'!$B$29+'Inputs'!$B$31+'Inputs'!$B$32,'Inputs'!$B$30+'Inputs'!$B$31+'Inputs'!$B$32)/1000+'Inputs'!$B$21+'Inputs'!$B$9+'Inputs'!$B$10)+'Inputs'!$B$7)^2+('Inputs'!$B$6/2)^2)-(((929-43)*MAX('Inputs'!$B$33,'Inputs'!$B$29+'Inputs'!$B$31+'Inputs'!$B$32,'Inputs'!$B$30+'Inputs'!$B$31+'Inputs'!$B$32)/1000+'Inputs'!$B$21+'Inputs'!$B$9+'Inputs'!$B$10))/SQRT((((929-43)*MAX('Inputs'!$B$33,'Inputs'!$B$29+'Inputs'!$B$31+'Inputs'!$B$32,'Inputs'!$B$30+'Inputs'!$B$31+'Inputs'!$B$32)/1000+'Inputs'!$B$21+'Inputs'!$B$9+'Inputs'!$B$10))^2+('Inputs'!$B$6/2)^2))))*'Results'!$B$8)-'Inputs'!$B$28*ABS((('Results'!C7*(1-'Inputs'!$B$24)*(0.5*((((929-43)*MAX('Inputs'!$B$33,'Inputs'!$B$29+'Inputs'!$B$31+'Inputs'!$B$32,'Inputs'!$B$30+'Inputs'!$B$31+'Inputs'!$B$32)/1000+'Inputs'!$B$21)+'Inputs'!$B$9)/SQRT((((929-43)*MAX('Inputs'!$B$33,'Inputs'!$B$29+'Inputs'!$B$31+'Inputs'!$B$32,'Inputs'!$B$30+'Inputs'!$B$31+'Inputs'!$B$32)/1000+'Inputs'!$B$21)+'Inputs'!$B$9)^2+('Inputs'!$B$8/2)^2)-(((929-43)*MAX('Inputs'!$B$33,'Inputs'!$B$29+'Inputs'!$B$31+'Inputs'!$B$32,'Inputs'!$B$30+'Inputs'!$B$31+'Inputs'!$B$32)/1000+'Inputs'!$B$21))/SQRT((((929-43)*MAX('Inputs'!$B$33,'Inputs'!$B$29+'Inputs'!$B$31+'Inputs'!$B$32,'Inputs'!$B$30+'Inputs'!$B$31+'Inputs'!$B$32)/1000+'Inputs'!$B$21))^2+('Inputs'!$B$8/2)^2)))-'Results'!B7*(1+'Inputs'!$B$24)*(0.5*((((929-43)*MAX('Inputs'!$B$33,'Inputs'!$B$29+'Inputs'!$B$31+'Inputs'!$B$32,'Inputs'!$B$30+'Inputs'!$B$31+'Inputs'!$B$32)/1000+'Inputs'!$B$21+'Inputs'!$B$9+'Inputs'!$B$10)+'Inputs'!$B$7)/SQRT((((929-43)*MAX('Inputs'!$B$33,'Inputs'!$B$29+'Inputs'!$B$31+'Inputs'!$B$32,'Inputs'!$B$30+'Inputs'!$B$31+'Inputs'!$B$32)/1000+'Inputs'!$B$21+'Inputs'!$B$9+'Inputs'!$B$10)+'Inputs'!$B$7)^2+('Inputs'!$B$6/2)^2)-(((929-43)*MAX('Inputs'!$B$33,'Inputs'!$B$29+'Inputs'!$B$31+'Inputs'!$B$32,'Inputs'!$B$30+'Inputs'!$B$31+'Inputs'!$B$32)/1000+'Inputs'!$B$21+'Inputs'!$B$9+'Inputs'!$B$10))/SQRT((((929-43)*MAX('Inputs'!$B$33,'Inputs'!$B$29+'Inputs'!$B$31+'Inputs'!$B$32,'Inputs'!$B$30+'Inputs'!$B$31+'Inputs'!$B$32)/1000+'Inputs'!$B$21+'Inputs'!$B$9+'Inputs'!$B$10))^2+('Inputs'!$B$6/2)^2))))*'Results'!$B$8))),"")</x:f>
        <x:v>0.41315601220000614</x:v>
      </x:c>
      <x:c r="O929" t="n">
        <x:f>IF(AND(ISNUMBER('Results'!C7),ISNUMBER('Results'!B7),ISNUMBER('Results'!$B$8),ISNUMBER('Inputs'!$B$6),ISNUMBER('Inputs'!$B$7),ISNUMBER('Inputs'!$B$8),ISNUMBER('Inputs'!$B$9),ISNUMBER('Inputs'!$B$10),ISNUMBER('Inputs'!$B$21),ISNUMBER('Inputs'!$B$24),ISNUMBER('Inputs'!$B$28)),((('Results'!C7*(1+'Inputs'!$B$24)*(0.5*((((929-43)*MAX('Inputs'!$B$33,'Inputs'!$B$29+'Inputs'!$B$31+'Inputs'!$B$32,'Inputs'!$B$30+'Inputs'!$B$31+'Inputs'!$B$32)/1000+'Inputs'!$B$21)+'Inputs'!$B$9)/SQRT((((929-43)*MAX('Inputs'!$B$33,'Inputs'!$B$29+'Inputs'!$B$31+'Inputs'!$B$32,'Inputs'!$B$30+'Inputs'!$B$31+'Inputs'!$B$32)/1000+'Inputs'!$B$21)+'Inputs'!$B$9)^2+('Inputs'!$B$8/2)^2)-(((929-43)*MAX('Inputs'!$B$33,'Inputs'!$B$29+'Inputs'!$B$31+'Inputs'!$B$32,'Inputs'!$B$30+'Inputs'!$B$31+'Inputs'!$B$32)/1000+'Inputs'!$B$21))/SQRT((((929-43)*MAX('Inputs'!$B$33,'Inputs'!$B$29+'Inputs'!$B$31+'Inputs'!$B$32,'Inputs'!$B$30+'Inputs'!$B$31+'Inputs'!$B$32)/1000+'Inputs'!$B$21))^2+('Inputs'!$B$8/2)^2)))-'Results'!B7*(1-'Inputs'!$B$24)*(0.5*((((929-43)*MAX('Inputs'!$B$33,'Inputs'!$B$29+'Inputs'!$B$31+'Inputs'!$B$32,'Inputs'!$B$30+'Inputs'!$B$31+'Inputs'!$B$32)/1000+'Inputs'!$B$21+'Inputs'!$B$9+'Inputs'!$B$10)+'Inputs'!$B$7)/SQRT((((929-43)*MAX('Inputs'!$B$33,'Inputs'!$B$29+'Inputs'!$B$31+'Inputs'!$B$32,'Inputs'!$B$30+'Inputs'!$B$31+'Inputs'!$B$32)/1000+'Inputs'!$B$21+'Inputs'!$B$9+'Inputs'!$B$10)+'Inputs'!$B$7)^2+('Inputs'!$B$6/2)^2)-(((929-43)*MAX('Inputs'!$B$33,'Inputs'!$B$29+'Inputs'!$B$31+'Inputs'!$B$32,'Inputs'!$B$30+'Inputs'!$B$31+'Inputs'!$B$32)/1000+'Inputs'!$B$21+'Inputs'!$B$9+'Inputs'!$B$10))/SQRT((((929-43)*MAX('Inputs'!$B$33,'Inputs'!$B$29+'Inputs'!$B$31+'Inputs'!$B$32,'Inputs'!$B$30+'Inputs'!$B$31+'Inputs'!$B$32)/1000+'Inputs'!$B$21+'Inputs'!$B$9+'Inputs'!$B$10))^2+('Inputs'!$B$6/2)^2))))*'Results'!$B$8)+'Inputs'!$B$28*ABS((('Results'!C7*(1+'Inputs'!$B$24)*(0.5*((((929-43)*MAX('Inputs'!$B$33,'Inputs'!$B$29+'Inputs'!$B$31+'Inputs'!$B$32,'Inputs'!$B$30+'Inputs'!$B$31+'Inputs'!$B$32)/1000+'Inputs'!$B$21)+'Inputs'!$B$9)/SQRT((((929-43)*MAX('Inputs'!$B$33,'Inputs'!$B$29+'Inputs'!$B$31+'Inputs'!$B$32,'Inputs'!$B$30+'Inputs'!$B$31+'Inputs'!$B$32)/1000+'Inputs'!$B$21)+'Inputs'!$B$9)^2+('Inputs'!$B$8/2)^2)-(((929-43)*MAX('Inputs'!$B$33,'Inputs'!$B$29+'Inputs'!$B$31+'Inputs'!$B$32,'Inputs'!$B$30+'Inputs'!$B$31+'Inputs'!$B$32)/1000+'Inputs'!$B$21))/SQRT((((929-43)*MAX('Inputs'!$B$33,'Inputs'!$B$29+'Inputs'!$B$31+'Inputs'!$B$32,'Inputs'!$B$30+'Inputs'!$B$31+'Inputs'!$B$32)/1000+'Inputs'!$B$21))^2+('Inputs'!$B$8/2)^2)))-'Results'!B7*(1-'Inputs'!$B$24)*(0.5*((((929-43)*MAX('Inputs'!$B$33,'Inputs'!$B$29+'Inputs'!$B$31+'Inputs'!$B$32,'Inputs'!$B$30+'Inputs'!$B$31+'Inputs'!$B$32)/1000+'Inputs'!$B$21+'Inputs'!$B$9+'Inputs'!$B$10)+'Inputs'!$B$7)/SQRT((((929-43)*MAX('Inputs'!$B$33,'Inputs'!$B$29+'Inputs'!$B$31+'Inputs'!$B$32,'Inputs'!$B$30+'Inputs'!$B$31+'Inputs'!$B$32)/1000+'Inputs'!$B$21+'Inputs'!$B$9+'Inputs'!$B$10)+'Inputs'!$B$7)^2+('Inputs'!$B$6/2)^2)-(((929-43)*MAX('Inputs'!$B$33,'Inputs'!$B$29+'Inputs'!$B$31+'Inputs'!$B$32,'Inputs'!$B$30+'Inputs'!$B$31+'Inputs'!$B$32)/1000+'Inputs'!$B$21+'Inputs'!$B$9+'Inputs'!$B$10))/SQRT((((929-43)*MAX('Inputs'!$B$33,'Inputs'!$B$29+'Inputs'!$B$31+'Inputs'!$B$32,'Inputs'!$B$30+'Inputs'!$B$31+'Inputs'!$B$32)/1000+'Inputs'!$B$21+'Inputs'!$B$9+'Inputs'!$B$10))^2+('Inputs'!$B$6/2)^2))))*'Results'!$B$8))),"")</x:f>
        <x:v>0.5817119068295288</x:v>
      </x:c>
      <x:c r="P929" t="n">
        <x:f>IF(AND(MAX(J929,J928)&gt;0,J929&gt;J928+0.00000001),1,0)</x:f>
        <x:v>0</x:v>
      </x:c>
      <x:c r="Q929" t="n">
        <x:f>IF(AND(MAX(K929,K928)&gt;0,K929&gt;K928+0.00000001),1,0)</x:f>
        <x:v>0</x:v>
      </x:c>
      <x:c r="R929" t="n">
        <x:f>IF(AND(MAX(L929,L928)&gt;0,L929&gt;L928+0.00000001),1,0)</x:f>
        <x:v>0</x:v>
      </x:c>
      <x:c r="S929" t="n">
        <x:f>IF(AND(MAX(M929,M928)&gt;0,M929&gt;M928+0.00000001),1,0)</x:f>
        <x:v>0</x:v>
      </x:c>
      <x:c r="T929" t="n">
        <x:f>IF(AND(MAX(N929,N928)&gt;0,N929&gt;N928+0.00000001),1,0)</x:f>
        <x:v>0</x:v>
      </x:c>
      <x:c r="U929" t="n">
        <x:f>IF(AND(MAX(O929,O928)&gt;0,O929&gt;O928+0.00000001),1,0)</x:f>
        <x:v>0</x:v>
      </x:c>
    </x:row>
    <x:row r="930">
      <x:c r="J930" t="n">
        <x:f>IF(AND(ISNUMBER('Results'!B7),ISNUMBER('Results'!C7),ISNUMBER('Results'!$B$8),ISNUMBER('Inputs'!$B$6),ISNUMBER('Inputs'!$B$7),ISNUMBER('Inputs'!$B$8),ISNUMBER('Inputs'!$B$9),ISNUMBER('Inputs'!$B$10),ISNUMBER('Inputs'!$B$21),ISNUMBER('Inputs'!$B$24),ISNUMBER('Inputs'!$B$28)),(('Results'!B7*(0.5*((((930-43)*MAX('Inputs'!$B$33,'Inputs'!$B$29+'Inputs'!$B$31+'Inputs'!$B$32,'Inputs'!$B$30+'Inputs'!$B$31+'Inputs'!$B$32)/1000+'Inputs'!$B$21)+'Inputs'!$B$7)/SQRT((((930-43)*MAX('Inputs'!$B$33,'Inputs'!$B$29+'Inputs'!$B$31+'Inputs'!$B$32,'Inputs'!$B$30+'Inputs'!$B$31+'Inputs'!$B$32)/1000+'Inputs'!$B$21)+'Inputs'!$B$7)^2+('Inputs'!$B$6/2)^2)-(((930-43)*MAX('Inputs'!$B$33,'Inputs'!$B$29+'Inputs'!$B$31+'Inputs'!$B$32,'Inputs'!$B$30+'Inputs'!$B$31+'Inputs'!$B$32)/1000+'Inputs'!$B$21))/SQRT((((930-43)*MAX('Inputs'!$B$33,'Inputs'!$B$29+'Inputs'!$B$31+'Inputs'!$B$32,'Inputs'!$B$30+'Inputs'!$B$31+'Inputs'!$B$32)/1000+'Inputs'!$B$21))^2+('Inputs'!$B$6/2)^2)))-'Results'!C7*(0.5*((((930-43)*MAX('Inputs'!$B$33,'Inputs'!$B$29+'Inputs'!$B$31+'Inputs'!$B$32,'Inputs'!$B$30+'Inputs'!$B$31+'Inputs'!$B$32)/1000+'Inputs'!$B$21+'Inputs'!$B$7+'Inputs'!$B$10)+'Inputs'!$B$9)/SQRT((((930-43)*MAX('Inputs'!$B$33,'Inputs'!$B$29+'Inputs'!$B$31+'Inputs'!$B$32,'Inputs'!$B$30+'Inputs'!$B$31+'Inputs'!$B$32)/1000+'Inputs'!$B$21+'Inputs'!$B$7+'Inputs'!$B$10)+'Inputs'!$B$9)^2+('Inputs'!$B$8/2)^2)-(((930-43)*MAX('Inputs'!$B$33,'Inputs'!$B$29+'Inputs'!$B$31+'Inputs'!$B$32,'Inputs'!$B$30+'Inputs'!$B$31+'Inputs'!$B$32)/1000+'Inputs'!$B$21+'Inputs'!$B$7+'Inputs'!$B$10))/SQRT((((930-43)*MAX('Inputs'!$B$33,'Inputs'!$B$29+'Inputs'!$B$31+'Inputs'!$B$32,'Inputs'!$B$30+'Inputs'!$B$31+'Inputs'!$B$32)/1000+'Inputs'!$B$21+'Inputs'!$B$7+'Inputs'!$B$10))^2+('Inputs'!$B$8/2)^2))))*'Results'!$B$8),"")</x:f>
        <x:v>0.5524570756112321</x:v>
      </x:c>
      <x:c r="K930" t="n">
        <x:f>IF(AND(ISNUMBER('Results'!B7),ISNUMBER('Results'!C7),ISNUMBER('Results'!$B$8),ISNUMBER('Inputs'!$B$6),ISNUMBER('Inputs'!$B$7),ISNUMBER('Inputs'!$B$8),ISNUMBER('Inputs'!$B$9),ISNUMBER('Inputs'!$B$10),ISNUMBER('Inputs'!$B$21),ISNUMBER('Inputs'!$B$24),ISNUMBER('Inputs'!$B$28)),((('Results'!B7*(1-'Inputs'!$B$24)*(0.5*((((930-43)*MAX('Inputs'!$B$33,'Inputs'!$B$29+'Inputs'!$B$31+'Inputs'!$B$32,'Inputs'!$B$30+'Inputs'!$B$31+'Inputs'!$B$32)/1000+'Inputs'!$B$21)+'Inputs'!$B$7)/SQRT((((930-43)*MAX('Inputs'!$B$33,'Inputs'!$B$29+'Inputs'!$B$31+'Inputs'!$B$32,'Inputs'!$B$30+'Inputs'!$B$31+'Inputs'!$B$32)/1000+'Inputs'!$B$21)+'Inputs'!$B$7)^2+('Inputs'!$B$6/2)^2)-(((930-43)*MAX('Inputs'!$B$33,'Inputs'!$B$29+'Inputs'!$B$31+'Inputs'!$B$32,'Inputs'!$B$30+'Inputs'!$B$31+'Inputs'!$B$32)/1000+'Inputs'!$B$21))/SQRT((((930-43)*MAX('Inputs'!$B$33,'Inputs'!$B$29+'Inputs'!$B$31+'Inputs'!$B$32,'Inputs'!$B$30+'Inputs'!$B$31+'Inputs'!$B$32)/1000+'Inputs'!$B$21))^2+('Inputs'!$B$6/2)^2)))-'Results'!C7*(1+'Inputs'!$B$24)*(0.5*((((930-43)*MAX('Inputs'!$B$33,'Inputs'!$B$29+'Inputs'!$B$31+'Inputs'!$B$32,'Inputs'!$B$30+'Inputs'!$B$31+'Inputs'!$B$32)/1000+'Inputs'!$B$21+'Inputs'!$B$7+'Inputs'!$B$10)+'Inputs'!$B$9)/SQRT((((930-43)*MAX('Inputs'!$B$33,'Inputs'!$B$29+'Inputs'!$B$31+'Inputs'!$B$32,'Inputs'!$B$30+'Inputs'!$B$31+'Inputs'!$B$32)/1000+'Inputs'!$B$21+'Inputs'!$B$7+'Inputs'!$B$10)+'Inputs'!$B$9)^2+('Inputs'!$B$8/2)^2)-(((930-43)*MAX('Inputs'!$B$33,'Inputs'!$B$29+'Inputs'!$B$31+'Inputs'!$B$32,'Inputs'!$B$30+'Inputs'!$B$31+'Inputs'!$B$32)/1000+'Inputs'!$B$21+'Inputs'!$B$7+'Inputs'!$B$10))/SQRT((((930-43)*MAX('Inputs'!$B$33,'Inputs'!$B$29+'Inputs'!$B$31+'Inputs'!$B$32,'Inputs'!$B$30+'Inputs'!$B$31+'Inputs'!$B$32)/1000+'Inputs'!$B$21+'Inputs'!$B$7+'Inputs'!$B$10))^2+('Inputs'!$B$8/2)^2))))*'Results'!$B$8)-'Inputs'!$B$28*ABS((('Results'!B7*(1-'Inputs'!$B$24)*(0.5*((((930-43)*MAX('Inputs'!$B$33,'Inputs'!$B$29+'Inputs'!$B$31+'Inputs'!$B$32,'Inputs'!$B$30+'Inputs'!$B$31+'Inputs'!$B$32)/1000+'Inputs'!$B$21)+'Inputs'!$B$7)/SQRT((((930-43)*MAX('Inputs'!$B$33,'Inputs'!$B$29+'Inputs'!$B$31+'Inputs'!$B$32,'Inputs'!$B$30+'Inputs'!$B$31+'Inputs'!$B$32)/1000+'Inputs'!$B$21)+'Inputs'!$B$7)^2+('Inputs'!$B$6/2)^2)-(((930-43)*MAX('Inputs'!$B$33,'Inputs'!$B$29+'Inputs'!$B$31+'Inputs'!$B$32,'Inputs'!$B$30+'Inputs'!$B$31+'Inputs'!$B$32)/1000+'Inputs'!$B$21))/SQRT((((930-43)*MAX('Inputs'!$B$33,'Inputs'!$B$29+'Inputs'!$B$31+'Inputs'!$B$32,'Inputs'!$B$30+'Inputs'!$B$31+'Inputs'!$B$32)/1000+'Inputs'!$B$21))^2+('Inputs'!$B$6/2)^2)))-'Results'!C7*(1+'Inputs'!$B$24)*(0.5*((((930-43)*MAX('Inputs'!$B$33,'Inputs'!$B$29+'Inputs'!$B$31+'Inputs'!$B$32,'Inputs'!$B$30+'Inputs'!$B$31+'Inputs'!$B$32)/1000+'Inputs'!$B$21+'Inputs'!$B$7+'Inputs'!$B$10)+'Inputs'!$B$9)/SQRT((((930-43)*MAX('Inputs'!$B$33,'Inputs'!$B$29+'Inputs'!$B$31+'Inputs'!$B$32,'Inputs'!$B$30+'Inputs'!$B$31+'Inputs'!$B$32)/1000+'Inputs'!$B$21+'Inputs'!$B$7+'Inputs'!$B$10)+'Inputs'!$B$9)^2+('Inputs'!$B$8/2)^2)-(((930-43)*MAX('Inputs'!$B$33,'Inputs'!$B$29+'Inputs'!$B$31+'Inputs'!$B$32,'Inputs'!$B$30+'Inputs'!$B$31+'Inputs'!$B$32)/1000+'Inputs'!$B$21+'Inputs'!$B$7+'Inputs'!$B$10))/SQRT((((930-43)*MAX('Inputs'!$B$33,'Inputs'!$B$29+'Inputs'!$B$31+'Inputs'!$B$32,'Inputs'!$B$30+'Inputs'!$B$31+'Inputs'!$B$32)/1000+'Inputs'!$B$21+'Inputs'!$B$7+'Inputs'!$B$10))^2+('Inputs'!$B$8/2)^2))))*'Results'!$B$8))),"")</x:f>
        <x:v>0.46823339232287015</x:v>
      </x:c>
      <x:c r="L930" t="n">
        <x:f>IF(AND(ISNUMBER('Results'!B7),ISNUMBER('Results'!C7),ISNUMBER('Results'!$B$8),ISNUMBER('Inputs'!$B$6),ISNUMBER('Inputs'!$B$7),ISNUMBER('Inputs'!$B$8),ISNUMBER('Inputs'!$B$9),ISNUMBER('Inputs'!$B$10),ISNUMBER('Inputs'!$B$21),ISNUMBER('Inputs'!$B$24),ISNUMBER('Inputs'!$B$28)),((('Results'!B7*(1+'Inputs'!$B$24)*(0.5*((((930-43)*MAX('Inputs'!$B$33,'Inputs'!$B$29+'Inputs'!$B$31+'Inputs'!$B$32,'Inputs'!$B$30+'Inputs'!$B$31+'Inputs'!$B$32)/1000+'Inputs'!$B$21)+'Inputs'!$B$7)/SQRT((((930-43)*MAX('Inputs'!$B$33,'Inputs'!$B$29+'Inputs'!$B$31+'Inputs'!$B$32,'Inputs'!$B$30+'Inputs'!$B$31+'Inputs'!$B$32)/1000+'Inputs'!$B$21)+'Inputs'!$B$7)^2+('Inputs'!$B$6/2)^2)-(((930-43)*MAX('Inputs'!$B$33,'Inputs'!$B$29+'Inputs'!$B$31+'Inputs'!$B$32,'Inputs'!$B$30+'Inputs'!$B$31+'Inputs'!$B$32)/1000+'Inputs'!$B$21))/SQRT((((930-43)*MAX('Inputs'!$B$33,'Inputs'!$B$29+'Inputs'!$B$31+'Inputs'!$B$32,'Inputs'!$B$30+'Inputs'!$B$31+'Inputs'!$B$32)/1000+'Inputs'!$B$21))^2+('Inputs'!$B$6/2)^2)))-'Results'!C7*(1-'Inputs'!$B$24)*(0.5*((((930-43)*MAX('Inputs'!$B$33,'Inputs'!$B$29+'Inputs'!$B$31+'Inputs'!$B$32,'Inputs'!$B$30+'Inputs'!$B$31+'Inputs'!$B$32)/1000+'Inputs'!$B$21+'Inputs'!$B$7+'Inputs'!$B$10)+'Inputs'!$B$9)/SQRT((((930-43)*MAX('Inputs'!$B$33,'Inputs'!$B$29+'Inputs'!$B$31+'Inputs'!$B$32,'Inputs'!$B$30+'Inputs'!$B$31+'Inputs'!$B$32)/1000+'Inputs'!$B$21+'Inputs'!$B$7+'Inputs'!$B$10)+'Inputs'!$B$9)^2+('Inputs'!$B$8/2)^2)-(((930-43)*MAX('Inputs'!$B$33,'Inputs'!$B$29+'Inputs'!$B$31+'Inputs'!$B$32,'Inputs'!$B$30+'Inputs'!$B$31+'Inputs'!$B$32)/1000+'Inputs'!$B$21+'Inputs'!$B$7+'Inputs'!$B$10))/SQRT((((930-43)*MAX('Inputs'!$B$33,'Inputs'!$B$29+'Inputs'!$B$31+'Inputs'!$B$32,'Inputs'!$B$30+'Inputs'!$B$31+'Inputs'!$B$32)/1000+'Inputs'!$B$21+'Inputs'!$B$7+'Inputs'!$B$10))^2+('Inputs'!$B$8/2)^2))))*'Results'!$B$8)+'Inputs'!$B$28*ABS((('Results'!B7*(1+'Inputs'!$B$24)*(0.5*((((930-43)*MAX('Inputs'!$B$33,'Inputs'!$B$29+'Inputs'!$B$31+'Inputs'!$B$32,'Inputs'!$B$30+'Inputs'!$B$31+'Inputs'!$B$32)/1000+'Inputs'!$B$21)+'Inputs'!$B$7)/SQRT((((930-43)*MAX('Inputs'!$B$33,'Inputs'!$B$29+'Inputs'!$B$31+'Inputs'!$B$32,'Inputs'!$B$30+'Inputs'!$B$31+'Inputs'!$B$32)/1000+'Inputs'!$B$21)+'Inputs'!$B$7)^2+('Inputs'!$B$6/2)^2)-(((930-43)*MAX('Inputs'!$B$33,'Inputs'!$B$29+'Inputs'!$B$31+'Inputs'!$B$32,'Inputs'!$B$30+'Inputs'!$B$31+'Inputs'!$B$32)/1000+'Inputs'!$B$21))/SQRT((((930-43)*MAX('Inputs'!$B$33,'Inputs'!$B$29+'Inputs'!$B$31+'Inputs'!$B$32,'Inputs'!$B$30+'Inputs'!$B$31+'Inputs'!$B$32)/1000+'Inputs'!$B$21))^2+('Inputs'!$B$6/2)^2)))-'Results'!C7*(1-'Inputs'!$B$24)*(0.5*((((930-43)*MAX('Inputs'!$B$33,'Inputs'!$B$29+'Inputs'!$B$31+'Inputs'!$B$32,'Inputs'!$B$30+'Inputs'!$B$31+'Inputs'!$B$32)/1000+'Inputs'!$B$21+'Inputs'!$B$7+'Inputs'!$B$10)+'Inputs'!$B$9)/SQRT((((930-43)*MAX('Inputs'!$B$33,'Inputs'!$B$29+'Inputs'!$B$31+'Inputs'!$B$32,'Inputs'!$B$30+'Inputs'!$B$31+'Inputs'!$B$32)/1000+'Inputs'!$B$21+'Inputs'!$B$7+'Inputs'!$B$10)+'Inputs'!$B$9)^2+('Inputs'!$B$8/2)^2)-(((930-43)*MAX('Inputs'!$B$33,'Inputs'!$B$29+'Inputs'!$B$31+'Inputs'!$B$32,'Inputs'!$B$30+'Inputs'!$B$31+'Inputs'!$B$32)/1000+'Inputs'!$B$21+'Inputs'!$B$7+'Inputs'!$B$10))/SQRT((((930-43)*MAX('Inputs'!$B$33,'Inputs'!$B$29+'Inputs'!$B$31+'Inputs'!$B$32,'Inputs'!$B$30+'Inputs'!$B$31+'Inputs'!$B$32)/1000+'Inputs'!$B$21+'Inputs'!$B$7+'Inputs'!$B$10))^2+('Inputs'!$B$8/2)^2))))*'Results'!$B$8))),"")</x:f>
        <x:v>0.642638740953047</x:v>
      </x:c>
      <x:c r="M930" t="n">
        <x:f>IF(AND(ISNUMBER('Results'!C7),ISNUMBER('Results'!B7),ISNUMBER('Results'!$B$8),ISNUMBER('Inputs'!$B$6),ISNUMBER('Inputs'!$B$7),ISNUMBER('Inputs'!$B$8),ISNUMBER('Inputs'!$B$9),ISNUMBER('Inputs'!$B$10),ISNUMBER('Inputs'!$B$21),ISNUMBER('Inputs'!$B$24),ISNUMBER('Inputs'!$B$28)),(('Results'!C7*(0.5*((((930-43)*MAX('Inputs'!$B$33,'Inputs'!$B$29+'Inputs'!$B$31+'Inputs'!$B$32,'Inputs'!$B$30+'Inputs'!$B$31+'Inputs'!$B$32)/1000+'Inputs'!$B$21)+'Inputs'!$B$9)/SQRT((((930-43)*MAX('Inputs'!$B$33,'Inputs'!$B$29+'Inputs'!$B$31+'Inputs'!$B$32,'Inputs'!$B$30+'Inputs'!$B$31+'Inputs'!$B$32)/1000+'Inputs'!$B$21)+'Inputs'!$B$9)^2+('Inputs'!$B$8/2)^2)-(((930-43)*MAX('Inputs'!$B$33,'Inputs'!$B$29+'Inputs'!$B$31+'Inputs'!$B$32,'Inputs'!$B$30+'Inputs'!$B$31+'Inputs'!$B$32)/1000+'Inputs'!$B$21))/SQRT((((930-43)*MAX('Inputs'!$B$33,'Inputs'!$B$29+'Inputs'!$B$31+'Inputs'!$B$32,'Inputs'!$B$30+'Inputs'!$B$31+'Inputs'!$B$32)/1000+'Inputs'!$B$21))^2+('Inputs'!$B$8/2)^2)))-'Results'!B7*(0.5*((((930-43)*MAX('Inputs'!$B$33,'Inputs'!$B$29+'Inputs'!$B$31+'Inputs'!$B$32,'Inputs'!$B$30+'Inputs'!$B$31+'Inputs'!$B$32)/1000+'Inputs'!$B$21+'Inputs'!$B$9+'Inputs'!$B$10)+'Inputs'!$B$7)/SQRT((((930-43)*MAX('Inputs'!$B$33,'Inputs'!$B$29+'Inputs'!$B$31+'Inputs'!$B$32,'Inputs'!$B$30+'Inputs'!$B$31+'Inputs'!$B$32)/1000+'Inputs'!$B$21+'Inputs'!$B$9+'Inputs'!$B$10)+'Inputs'!$B$7)^2+('Inputs'!$B$6/2)^2)-(((930-43)*MAX('Inputs'!$B$33,'Inputs'!$B$29+'Inputs'!$B$31+'Inputs'!$B$32,'Inputs'!$B$30+'Inputs'!$B$31+'Inputs'!$B$32)/1000+'Inputs'!$B$21+'Inputs'!$B$9+'Inputs'!$B$10))/SQRT((((930-43)*MAX('Inputs'!$B$33,'Inputs'!$B$29+'Inputs'!$B$31+'Inputs'!$B$32,'Inputs'!$B$30+'Inputs'!$B$31+'Inputs'!$B$32)/1000+'Inputs'!$B$21+'Inputs'!$B$9+'Inputs'!$B$10))^2+('Inputs'!$B$6/2)^2))))*'Results'!$B$8),"")</x:f>
        <x:v>0.49238204406627384</x:v>
      </x:c>
      <x:c r="N930" t="n">
        <x:f>IF(AND(ISNUMBER('Results'!C7),ISNUMBER('Results'!B7),ISNUMBER('Results'!$B$8),ISNUMBER('Inputs'!$B$6),ISNUMBER('Inputs'!$B$7),ISNUMBER('Inputs'!$B$8),ISNUMBER('Inputs'!$B$9),ISNUMBER('Inputs'!$B$10),ISNUMBER('Inputs'!$B$21),ISNUMBER('Inputs'!$B$24),ISNUMBER('Inputs'!$B$28)),((('Results'!C7*(1-'Inputs'!$B$24)*(0.5*((((930-43)*MAX('Inputs'!$B$33,'Inputs'!$B$29+'Inputs'!$B$31+'Inputs'!$B$32,'Inputs'!$B$30+'Inputs'!$B$31+'Inputs'!$B$32)/1000+'Inputs'!$B$21)+'Inputs'!$B$9)/SQRT((((930-43)*MAX('Inputs'!$B$33,'Inputs'!$B$29+'Inputs'!$B$31+'Inputs'!$B$32,'Inputs'!$B$30+'Inputs'!$B$31+'Inputs'!$B$32)/1000+'Inputs'!$B$21)+'Inputs'!$B$9)^2+('Inputs'!$B$8/2)^2)-(((930-43)*MAX('Inputs'!$B$33,'Inputs'!$B$29+'Inputs'!$B$31+'Inputs'!$B$32,'Inputs'!$B$30+'Inputs'!$B$31+'Inputs'!$B$32)/1000+'Inputs'!$B$21))/SQRT((((930-43)*MAX('Inputs'!$B$33,'Inputs'!$B$29+'Inputs'!$B$31+'Inputs'!$B$32,'Inputs'!$B$30+'Inputs'!$B$31+'Inputs'!$B$32)/1000+'Inputs'!$B$21))^2+('Inputs'!$B$8/2)^2)))-'Results'!B7*(1+'Inputs'!$B$24)*(0.5*((((930-43)*MAX('Inputs'!$B$33,'Inputs'!$B$29+'Inputs'!$B$31+'Inputs'!$B$32,'Inputs'!$B$30+'Inputs'!$B$31+'Inputs'!$B$32)/1000+'Inputs'!$B$21+'Inputs'!$B$9+'Inputs'!$B$10)+'Inputs'!$B$7)/SQRT((((930-43)*MAX('Inputs'!$B$33,'Inputs'!$B$29+'Inputs'!$B$31+'Inputs'!$B$32,'Inputs'!$B$30+'Inputs'!$B$31+'Inputs'!$B$32)/1000+'Inputs'!$B$21+'Inputs'!$B$9+'Inputs'!$B$10)+'Inputs'!$B$7)^2+('Inputs'!$B$6/2)^2)-(((930-43)*MAX('Inputs'!$B$33,'Inputs'!$B$29+'Inputs'!$B$31+'Inputs'!$B$32,'Inputs'!$B$30+'Inputs'!$B$31+'Inputs'!$B$32)/1000+'Inputs'!$B$21+'Inputs'!$B$9+'Inputs'!$B$10))/SQRT((((930-43)*MAX('Inputs'!$B$33,'Inputs'!$B$29+'Inputs'!$B$31+'Inputs'!$B$32,'Inputs'!$B$30+'Inputs'!$B$31+'Inputs'!$B$32)/1000+'Inputs'!$B$21+'Inputs'!$B$9+'Inputs'!$B$10))^2+('Inputs'!$B$6/2)^2))))*'Results'!$B$8)-'Inputs'!$B$28*ABS((('Results'!C7*(1-'Inputs'!$B$24)*(0.5*((((930-43)*MAX('Inputs'!$B$33,'Inputs'!$B$29+'Inputs'!$B$31+'Inputs'!$B$32,'Inputs'!$B$30+'Inputs'!$B$31+'Inputs'!$B$32)/1000+'Inputs'!$B$21)+'Inputs'!$B$9)/SQRT((((930-43)*MAX('Inputs'!$B$33,'Inputs'!$B$29+'Inputs'!$B$31+'Inputs'!$B$32,'Inputs'!$B$30+'Inputs'!$B$31+'Inputs'!$B$32)/1000+'Inputs'!$B$21)+'Inputs'!$B$9)^2+('Inputs'!$B$8/2)^2)-(((930-43)*MAX('Inputs'!$B$33,'Inputs'!$B$29+'Inputs'!$B$31+'Inputs'!$B$32,'Inputs'!$B$30+'Inputs'!$B$31+'Inputs'!$B$32)/1000+'Inputs'!$B$21))/SQRT((((930-43)*MAX('Inputs'!$B$33,'Inputs'!$B$29+'Inputs'!$B$31+'Inputs'!$B$32,'Inputs'!$B$30+'Inputs'!$B$31+'Inputs'!$B$32)/1000+'Inputs'!$B$21))^2+('Inputs'!$B$8/2)^2)))-'Results'!B7*(1+'Inputs'!$B$24)*(0.5*((((930-43)*MAX('Inputs'!$B$33,'Inputs'!$B$29+'Inputs'!$B$31+'Inputs'!$B$32,'Inputs'!$B$30+'Inputs'!$B$31+'Inputs'!$B$32)/1000+'Inputs'!$B$21+'Inputs'!$B$9+'Inputs'!$B$10)+'Inputs'!$B$7)/SQRT((((930-43)*MAX('Inputs'!$B$33,'Inputs'!$B$29+'Inputs'!$B$31+'Inputs'!$B$32,'Inputs'!$B$30+'Inputs'!$B$31+'Inputs'!$B$32)/1000+'Inputs'!$B$21+'Inputs'!$B$9+'Inputs'!$B$10)+'Inputs'!$B$7)^2+('Inputs'!$B$6/2)^2)-(((930-43)*MAX('Inputs'!$B$33,'Inputs'!$B$29+'Inputs'!$B$31+'Inputs'!$B$32,'Inputs'!$B$30+'Inputs'!$B$31+'Inputs'!$B$32)/1000+'Inputs'!$B$21+'Inputs'!$B$9+'Inputs'!$B$10))/SQRT((((930-43)*MAX('Inputs'!$B$33,'Inputs'!$B$29+'Inputs'!$B$31+'Inputs'!$B$32,'Inputs'!$B$30+'Inputs'!$B$31+'Inputs'!$B$32)/1000+'Inputs'!$B$21+'Inputs'!$B$9+'Inputs'!$B$10))^2+('Inputs'!$B$6/2)^2))))*'Results'!$B$8))),"")</x:f>
        <x:v>0.4113626370346937</x:v>
      </x:c>
      <x:c r="O930" t="n">
        <x:f>IF(AND(ISNUMBER('Results'!C7),ISNUMBER('Results'!B7),ISNUMBER('Results'!$B$8),ISNUMBER('Inputs'!$B$6),ISNUMBER('Inputs'!$B$7),ISNUMBER('Inputs'!$B$8),ISNUMBER('Inputs'!$B$9),ISNUMBER('Inputs'!$B$10),ISNUMBER('Inputs'!$B$21),ISNUMBER('Inputs'!$B$24),ISNUMBER('Inputs'!$B$28)),((('Results'!C7*(1+'Inputs'!$B$24)*(0.5*((((930-43)*MAX('Inputs'!$B$33,'Inputs'!$B$29+'Inputs'!$B$31+'Inputs'!$B$32,'Inputs'!$B$30+'Inputs'!$B$31+'Inputs'!$B$32)/1000+'Inputs'!$B$21)+'Inputs'!$B$9)/SQRT((((930-43)*MAX('Inputs'!$B$33,'Inputs'!$B$29+'Inputs'!$B$31+'Inputs'!$B$32,'Inputs'!$B$30+'Inputs'!$B$31+'Inputs'!$B$32)/1000+'Inputs'!$B$21)+'Inputs'!$B$9)^2+('Inputs'!$B$8/2)^2)-(((930-43)*MAX('Inputs'!$B$33,'Inputs'!$B$29+'Inputs'!$B$31+'Inputs'!$B$32,'Inputs'!$B$30+'Inputs'!$B$31+'Inputs'!$B$32)/1000+'Inputs'!$B$21))/SQRT((((930-43)*MAX('Inputs'!$B$33,'Inputs'!$B$29+'Inputs'!$B$31+'Inputs'!$B$32,'Inputs'!$B$30+'Inputs'!$B$31+'Inputs'!$B$32)/1000+'Inputs'!$B$21))^2+('Inputs'!$B$8/2)^2)))-'Results'!B7*(1-'Inputs'!$B$24)*(0.5*((((930-43)*MAX('Inputs'!$B$33,'Inputs'!$B$29+'Inputs'!$B$31+'Inputs'!$B$32,'Inputs'!$B$30+'Inputs'!$B$31+'Inputs'!$B$32)/1000+'Inputs'!$B$21+'Inputs'!$B$9+'Inputs'!$B$10)+'Inputs'!$B$7)/SQRT((((930-43)*MAX('Inputs'!$B$33,'Inputs'!$B$29+'Inputs'!$B$31+'Inputs'!$B$32,'Inputs'!$B$30+'Inputs'!$B$31+'Inputs'!$B$32)/1000+'Inputs'!$B$21+'Inputs'!$B$9+'Inputs'!$B$10)+'Inputs'!$B$7)^2+('Inputs'!$B$6/2)^2)-(((930-43)*MAX('Inputs'!$B$33,'Inputs'!$B$29+'Inputs'!$B$31+'Inputs'!$B$32,'Inputs'!$B$30+'Inputs'!$B$31+'Inputs'!$B$32)/1000+'Inputs'!$B$21+'Inputs'!$B$9+'Inputs'!$B$10))/SQRT((((930-43)*MAX('Inputs'!$B$33,'Inputs'!$B$29+'Inputs'!$B$31+'Inputs'!$B$32,'Inputs'!$B$30+'Inputs'!$B$31+'Inputs'!$B$32)/1000+'Inputs'!$B$21+'Inputs'!$B$9+'Inputs'!$B$10))^2+('Inputs'!$B$6/2)^2))))*'Results'!$B$8)+'Inputs'!$B$28*ABS((('Results'!C7*(1+'Inputs'!$B$24)*(0.5*((((930-43)*MAX('Inputs'!$B$33,'Inputs'!$B$29+'Inputs'!$B$31+'Inputs'!$B$32,'Inputs'!$B$30+'Inputs'!$B$31+'Inputs'!$B$32)/1000+'Inputs'!$B$21)+'Inputs'!$B$9)/SQRT((((930-43)*MAX('Inputs'!$B$33,'Inputs'!$B$29+'Inputs'!$B$31+'Inputs'!$B$32,'Inputs'!$B$30+'Inputs'!$B$31+'Inputs'!$B$32)/1000+'Inputs'!$B$21)+'Inputs'!$B$9)^2+('Inputs'!$B$8/2)^2)-(((930-43)*MAX('Inputs'!$B$33,'Inputs'!$B$29+'Inputs'!$B$31+'Inputs'!$B$32,'Inputs'!$B$30+'Inputs'!$B$31+'Inputs'!$B$32)/1000+'Inputs'!$B$21))/SQRT((((930-43)*MAX('Inputs'!$B$33,'Inputs'!$B$29+'Inputs'!$B$31+'Inputs'!$B$32,'Inputs'!$B$30+'Inputs'!$B$31+'Inputs'!$B$32)/1000+'Inputs'!$B$21))^2+('Inputs'!$B$8/2)^2)))-'Results'!B7*(1-'Inputs'!$B$24)*(0.5*((((930-43)*MAX('Inputs'!$B$33,'Inputs'!$B$29+'Inputs'!$B$31+'Inputs'!$B$32,'Inputs'!$B$30+'Inputs'!$B$31+'Inputs'!$B$32)/1000+'Inputs'!$B$21+'Inputs'!$B$9+'Inputs'!$B$10)+'Inputs'!$B$7)/SQRT((((930-43)*MAX('Inputs'!$B$33,'Inputs'!$B$29+'Inputs'!$B$31+'Inputs'!$B$32,'Inputs'!$B$30+'Inputs'!$B$31+'Inputs'!$B$32)/1000+'Inputs'!$B$21+'Inputs'!$B$9+'Inputs'!$B$10)+'Inputs'!$B$7)^2+('Inputs'!$B$6/2)^2)-(((930-43)*MAX('Inputs'!$B$33,'Inputs'!$B$29+'Inputs'!$B$31+'Inputs'!$B$32,'Inputs'!$B$30+'Inputs'!$B$31+'Inputs'!$B$32)/1000+'Inputs'!$B$21+'Inputs'!$B$9+'Inputs'!$B$10))/SQRT((((930-43)*MAX('Inputs'!$B$33,'Inputs'!$B$29+'Inputs'!$B$31+'Inputs'!$B$32,'Inputs'!$B$30+'Inputs'!$B$31+'Inputs'!$B$32)/1000+'Inputs'!$B$21+'Inputs'!$B$9+'Inputs'!$B$10))^2+('Inputs'!$B$6/2)^2))))*'Results'!$B$8))),"")</x:f>
        <x:v>0.579338325290303</x:v>
      </x:c>
      <x:c r="P930" t="n">
        <x:f>IF(AND(MAX(J930,J929)&gt;0,J930&gt;J929+0.00000001),1,0)</x:f>
        <x:v>0</x:v>
      </x:c>
      <x:c r="Q930" t="n">
        <x:f>IF(AND(MAX(K930,K929)&gt;0,K930&gt;K929+0.00000001),1,0)</x:f>
        <x:v>0</x:v>
      </x:c>
      <x:c r="R930" t="n">
        <x:f>IF(AND(MAX(L930,L929)&gt;0,L930&gt;L929+0.00000001),1,0)</x:f>
        <x:v>0</x:v>
      </x:c>
      <x:c r="S930" t="n">
        <x:f>IF(AND(MAX(M930,M929)&gt;0,M930&gt;M929+0.00000001),1,0)</x:f>
        <x:v>0</x:v>
      </x:c>
      <x:c r="T930" t="n">
        <x:f>IF(AND(MAX(N930,N929)&gt;0,N930&gt;N929+0.00000001),1,0)</x:f>
        <x:v>0</x:v>
      </x:c>
      <x:c r="U930" t="n">
        <x:f>IF(AND(MAX(O930,O929)&gt;0,O930&gt;O929+0.00000001),1,0)</x:f>
        <x:v>0</x:v>
      </x:c>
    </x:row>
    <x:row r="931">
      <x:c r="J931" t="n">
        <x:f>IF(AND(ISNUMBER('Results'!B7),ISNUMBER('Results'!C7),ISNUMBER('Results'!$B$8),ISNUMBER('Inputs'!$B$6),ISNUMBER('Inputs'!$B$7),ISNUMBER('Inputs'!$B$8),ISNUMBER('Inputs'!$B$9),ISNUMBER('Inputs'!$B$10),ISNUMBER('Inputs'!$B$21),ISNUMBER('Inputs'!$B$24),ISNUMBER('Inputs'!$B$28)),(('Results'!B7*(0.5*((((931-43)*MAX('Inputs'!$B$33,'Inputs'!$B$29+'Inputs'!$B$31+'Inputs'!$B$32,'Inputs'!$B$30+'Inputs'!$B$31+'Inputs'!$B$32)/1000+'Inputs'!$B$21)+'Inputs'!$B$7)/SQRT((((931-43)*MAX('Inputs'!$B$33,'Inputs'!$B$29+'Inputs'!$B$31+'Inputs'!$B$32,'Inputs'!$B$30+'Inputs'!$B$31+'Inputs'!$B$32)/1000+'Inputs'!$B$21)+'Inputs'!$B$7)^2+('Inputs'!$B$6/2)^2)-(((931-43)*MAX('Inputs'!$B$33,'Inputs'!$B$29+'Inputs'!$B$31+'Inputs'!$B$32,'Inputs'!$B$30+'Inputs'!$B$31+'Inputs'!$B$32)/1000+'Inputs'!$B$21))/SQRT((((931-43)*MAX('Inputs'!$B$33,'Inputs'!$B$29+'Inputs'!$B$31+'Inputs'!$B$32,'Inputs'!$B$30+'Inputs'!$B$31+'Inputs'!$B$32)/1000+'Inputs'!$B$21))^2+('Inputs'!$B$6/2)^2)))-'Results'!C7*(0.5*((((931-43)*MAX('Inputs'!$B$33,'Inputs'!$B$29+'Inputs'!$B$31+'Inputs'!$B$32,'Inputs'!$B$30+'Inputs'!$B$31+'Inputs'!$B$32)/1000+'Inputs'!$B$21+'Inputs'!$B$7+'Inputs'!$B$10)+'Inputs'!$B$9)/SQRT((((931-43)*MAX('Inputs'!$B$33,'Inputs'!$B$29+'Inputs'!$B$31+'Inputs'!$B$32,'Inputs'!$B$30+'Inputs'!$B$31+'Inputs'!$B$32)/1000+'Inputs'!$B$21+'Inputs'!$B$7+'Inputs'!$B$10)+'Inputs'!$B$9)^2+('Inputs'!$B$8/2)^2)-(((931-43)*MAX('Inputs'!$B$33,'Inputs'!$B$29+'Inputs'!$B$31+'Inputs'!$B$32,'Inputs'!$B$30+'Inputs'!$B$31+'Inputs'!$B$32)/1000+'Inputs'!$B$21+'Inputs'!$B$7+'Inputs'!$B$10))/SQRT((((931-43)*MAX('Inputs'!$B$33,'Inputs'!$B$29+'Inputs'!$B$31+'Inputs'!$B$32,'Inputs'!$B$30+'Inputs'!$B$31+'Inputs'!$B$32)/1000+'Inputs'!$B$21+'Inputs'!$B$7+'Inputs'!$B$10))^2+('Inputs'!$B$8/2)^2))))*'Results'!$B$8),"")</x:f>
        <x:v>0.5502057790850139</x:v>
      </x:c>
      <x:c r="K931" t="n">
        <x:f>IF(AND(ISNUMBER('Results'!B7),ISNUMBER('Results'!C7),ISNUMBER('Results'!$B$8),ISNUMBER('Inputs'!$B$6),ISNUMBER('Inputs'!$B$7),ISNUMBER('Inputs'!$B$8),ISNUMBER('Inputs'!$B$9),ISNUMBER('Inputs'!$B$10),ISNUMBER('Inputs'!$B$21),ISNUMBER('Inputs'!$B$24),ISNUMBER('Inputs'!$B$28)),((('Results'!B7*(1-'Inputs'!$B$24)*(0.5*((((931-43)*MAX('Inputs'!$B$33,'Inputs'!$B$29+'Inputs'!$B$31+'Inputs'!$B$32,'Inputs'!$B$30+'Inputs'!$B$31+'Inputs'!$B$32)/1000+'Inputs'!$B$21)+'Inputs'!$B$7)/SQRT((((931-43)*MAX('Inputs'!$B$33,'Inputs'!$B$29+'Inputs'!$B$31+'Inputs'!$B$32,'Inputs'!$B$30+'Inputs'!$B$31+'Inputs'!$B$32)/1000+'Inputs'!$B$21)+'Inputs'!$B$7)^2+('Inputs'!$B$6/2)^2)-(((931-43)*MAX('Inputs'!$B$33,'Inputs'!$B$29+'Inputs'!$B$31+'Inputs'!$B$32,'Inputs'!$B$30+'Inputs'!$B$31+'Inputs'!$B$32)/1000+'Inputs'!$B$21))/SQRT((((931-43)*MAX('Inputs'!$B$33,'Inputs'!$B$29+'Inputs'!$B$31+'Inputs'!$B$32,'Inputs'!$B$30+'Inputs'!$B$31+'Inputs'!$B$32)/1000+'Inputs'!$B$21))^2+('Inputs'!$B$6/2)^2)))-'Results'!C7*(1+'Inputs'!$B$24)*(0.5*((((931-43)*MAX('Inputs'!$B$33,'Inputs'!$B$29+'Inputs'!$B$31+'Inputs'!$B$32,'Inputs'!$B$30+'Inputs'!$B$31+'Inputs'!$B$32)/1000+'Inputs'!$B$21+'Inputs'!$B$7+'Inputs'!$B$10)+'Inputs'!$B$9)/SQRT((((931-43)*MAX('Inputs'!$B$33,'Inputs'!$B$29+'Inputs'!$B$31+'Inputs'!$B$32,'Inputs'!$B$30+'Inputs'!$B$31+'Inputs'!$B$32)/1000+'Inputs'!$B$21+'Inputs'!$B$7+'Inputs'!$B$10)+'Inputs'!$B$9)^2+('Inputs'!$B$8/2)^2)-(((931-43)*MAX('Inputs'!$B$33,'Inputs'!$B$29+'Inputs'!$B$31+'Inputs'!$B$32,'Inputs'!$B$30+'Inputs'!$B$31+'Inputs'!$B$32)/1000+'Inputs'!$B$21+'Inputs'!$B$7+'Inputs'!$B$10))/SQRT((((931-43)*MAX('Inputs'!$B$33,'Inputs'!$B$29+'Inputs'!$B$31+'Inputs'!$B$32,'Inputs'!$B$30+'Inputs'!$B$31+'Inputs'!$B$32)/1000+'Inputs'!$B$21+'Inputs'!$B$7+'Inputs'!$B$10))^2+('Inputs'!$B$8/2)^2))))*'Results'!$B$8)-'Inputs'!$B$28*ABS((('Results'!B7*(1-'Inputs'!$B$24)*(0.5*((((931-43)*MAX('Inputs'!$B$33,'Inputs'!$B$29+'Inputs'!$B$31+'Inputs'!$B$32,'Inputs'!$B$30+'Inputs'!$B$31+'Inputs'!$B$32)/1000+'Inputs'!$B$21)+'Inputs'!$B$7)/SQRT((((931-43)*MAX('Inputs'!$B$33,'Inputs'!$B$29+'Inputs'!$B$31+'Inputs'!$B$32,'Inputs'!$B$30+'Inputs'!$B$31+'Inputs'!$B$32)/1000+'Inputs'!$B$21)+'Inputs'!$B$7)^2+('Inputs'!$B$6/2)^2)-(((931-43)*MAX('Inputs'!$B$33,'Inputs'!$B$29+'Inputs'!$B$31+'Inputs'!$B$32,'Inputs'!$B$30+'Inputs'!$B$31+'Inputs'!$B$32)/1000+'Inputs'!$B$21))/SQRT((((931-43)*MAX('Inputs'!$B$33,'Inputs'!$B$29+'Inputs'!$B$31+'Inputs'!$B$32,'Inputs'!$B$30+'Inputs'!$B$31+'Inputs'!$B$32)/1000+'Inputs'!$B$21))^2+('Inputs'!$B$6/2)^2)))-'Results'!C7*(1+'Inputs'!$B$24)*(0.5*((((931-43)*MAX('Inputs'!$B$33,'Inputs'!$B$29+'Inputs'!$B$31+'Inputs'!$B$32,'Inputs'!$B$30+'Inputs'!$B$31+'Inputs'!$B$32)/1000+'Inputs'!$B$21+'Inputs'!$B$7+'Inputs'!$B$10)+'Inputs'!$B$9)/SQRT((((931-43)*MAX('Inputs'!$B$33,'Inputs'!$B$29+'Inputs'!$B$31+'Inputs'!$B$32,'Inputs'!$B$30+'Inputs'!$B$31+'Inputs'!$B$32)/1000+'Inputs'!$B$21+'Inputs'!$B$7+'Inputs'!$B$10)+'Inputs'!$B$9)^2+('Inputs'!$B$8/2)^2)-(((931-43)*MAX('Inputs'!$B$33,'Inputs'!$B$29+'Inputs'!$B$31+'Inputs'!$B$32,'Inputs'!$B$30+'Inputs'!$B$31+'Inputs'!$B$32)/1000+'Inputs'!$B$21+'Inputs'!$B$7+'Inputs'!$B$10))/SQRT((((931-43)*MAX('Inputs'!$B$33,'Inputs'!$B$29+'Inputs'!$B$31+'Inputs'!$B$32,'Inputs'!$B$30+'Inputs'!$B$31+'Inputs'!$B$32)/1000+'Inputs'!$B$21+'Inputs'!$B$7+'Inputs'!$B$10))^2+('Inputs'!$B$8/2)^2))))*'Results'!$B$8))),"")</x:f>
        <x:v>0.46627182479063894</x:v>
      </x:c>
      <x:c r="L931" t="n">
        <x:f>IF(AND(ISNUMBER('Results'!B7),ISNUMBER('Results'!C7),ISNUMBER('Results'!$B$8),ISNUMBER('Inputs'!$B$6),ISNUMBER('Inputs'!$B$7),ISNUMBER('Inputs'!$B$8),ISNUMBER('Inputs'!$B$9),ISNUMBER('Inputs'!$B$10),ISNUMBER('Inputs'!$B$21),ISNUMBER('Inputs'!$B$24),ISNUMBER('Inputs'!$B$28)),((('Results'!B7*(1+'Inputs'!$B$24)*(0.5*((((931-43)*MAX('Inputs'!$B$33,'Inputs'!$B$29+'Inputs'!$B$31+'Inputs'!$B$32,'Inputs'!$B$30+'Inputs'!$B$31+'Inputs'!$B$32)/1000+'Inputs'!$B$21)+'Inputs'!$B$7)/SQRT((((931-43)*MAX('Inputs'!$B$33,'Inputs'!$B$29+'Inputs'!$B$31+'Inputs'!$B$32,'Inputs'!$B$30+'Inputs'!$B$31+'Inputs'!$B$32)/1000+'Inputs'!$B$21)+'Inputs'!$B$7)^2+('Inputs'!$B$6/2)^2)-(((931-43)*MAX('Inputs'!$B$33,'Inputs'!$B$29+'Inputs'!$B$31+'Inputs'!$B$32,'Inputs'!$B$30+'Inputs'!$B$31+'Inputs'!$B$32)/1000+'Inputs'!$B$21))/SQRT((((931-43)*MAX('Inputs'!$B$33,'Inputs'!$B$29+'Inputs'!$B$31+'Inputs'!$B$32,'Inputs'!$B$30+'Inputs'!$B$31+'Inputs'!$B$32)/1000+'Inputs'!$B$21))^2+('Inputs'!$B$6/2)^2)))-'Results'!C7*(1-'Inputs'!$B$24)*(0.5*((((931-43)*MAX('Inputs'!$B$33,'Inputs'!$B$29+'Inputs'!$B$31+'Inputs'!$B$32,'Inputs'!$B$30+'Inputs'!$B$31+'Inputs'!$B$32)/1000+'Inputs'!$B$21+'Inputs'!$B$7+'Inputs'!$B$10)+'Inputs'!$B$9)/SQRT((((931-43)*MAX('Inputs'!$B$33,'Inputs'!$B$29+'Inputs'!$B$31+'Inputs'!$B$32,'Inputs'!$B$30+'Inputs'!$B$31+'Inputs'!$B$32)/1000+'Inputs'!$B$21+'Inputs'!$B$7+'Inputs'!$B$10)+'Inputs'!$B$9)^2+('Inputs'!$B$8/2)^2)-(((931-43)*MAX('Inputs'!$B$33,'Inputs'!$B$29+'Inputs'!$B$31+'Inputs'!$B$32,'Inputs'!$B$30+'Inputs'!$B$31+'Inputs'!$B$32)/1000+'Inputs'!$B$21+'Inputs'!$B$7+'Inputs'!$B$10))/SQRT((((931-43)*MAX('Inputs'!$B$33,'Inputs'!$B$29+'Inputs'!$B$31+'Inputs'!$B$32,'Inputs'!$B$30+'Inputs'!$B$31+'Inputs'!$B$32)/1000+'Inputs'!$B$21+'Inputs'!$B$7+'Inputs'!$B$10))^2+('Inputs'!$B$8/2)^2))))*'Results'!$B$8)+'Inputs'!$B$28*ABS((('Results'!B7*(1+'Inputs'!$B$24)*(0.5*((((931-43)*MAX('Inputs'!$B$33,'Inputs'!$B$29+'Inputs'!$B$31+'Inputs'!$B$32,'Inputs'!$B$30+'Inputs'!$B$31+'Inputs'!$B$32)/1000+'Inputs'!$B$21)+'Inputs'!$B$7)/SQRT((((931-43)*MAX('Inputs'!$B$33,'Inputs'!$B$29+'Inputs'!$B$31+'Inputs'!$B$32,'Inputs'!$B$30+'Inputs'!$B$31+'Inputs'!$B$32)/1000+'Inputs'!$B$21)+'Inputs'!$B$7)^2+('Inputs'!$B$6/2)^2)-(((931-43)*MAX('Inputs'!$B$33,'Inputs'!$B$29+'Inputs'!$B$31+'Inputs'!$B$32,'Inputs'!$B$30+'Inputs'!$B$31+'Inputs'!$B$32)/1000+'Inputs'!$B$21))/SQRT((((931-43)*MAX('Inputs'!$B$33,'Inputs'!$B$29+'Inputs'!$B$31+'Inputs'!$B$32,'Inputs'!$B$30+'Inputs'!$B$31+'Inputs'!$B$32)/1000+'Inputs'!$B$21))^2+('Inputs'!$B$6/2)^2)))-'Results'!C7*(1-'Inputs'!$B$24)*(0.5*((((931-43)*MAX('Inputs'!$B$33,'Inputs'!$B$29+'Inputs'!$B$31+'Inputs'!$B$32,'Inputs'!$B$30+'Inputs'!$B$31+'Inputs'!$B$32)/1000+'Inputs'!$B$21+'Inputs'!$B$7+'Inputs'!$B$10)+'Inputs'!$B$9)/SQRT((((931-43)*MAX('Inputs'!$B$33,'Inputs'!$B$29+'Inputs'!$B$31+'Inputs'!$B$32,'Inputs'!$B$30+'Inputs'!$B$31+'Inputs'!$B$32)/1000+'Inputs'!$B$21+'Inputs'!$B$7+'Inputs'!$B$10)+'Inputs'!$B$9)^2+('Inputs'!$B$8/2)^2)-(((931-43)*MAX('Inputs'!$B$33,'Inputs'!$B$29+'Inputs'!$B$31+'Inputs'!$B$32,'Inputs'!$B$30+'Inputs'!$B$31+'Inputs'!$B$32)/1000+'Inputs'!$B$21+'Inputs'!$B$7+'Inputs'!$B$10))/SQRT((((931-43)*MAX('Inputs'!$B$33,'Inputs'!$B$29+'Inputs'!$B$31+'Inputs'!$B$32,'Inputs'!$B$30+'Inputs'!$B$31+'Inputs'!$B$32)/1000+'Inputs'!$B$21+'Inputs'!$B$7+'Inputs'!$B$10))^2+('Inputs'!$B$8/2)^2))))*'Results'!$B$8))),"")</x:f>
        <x:v>0.6400790665730862</x:v>
      </x:c>
      <x:c r="M931" t="n">
        <x:f>IF(AND(ISNUMBER('Results'!C7),ISNUMBER('Results'!B7),ISNUMBER('Results'!$B$8),ISNUMBER('Inputs'!$B$6),ISNUMBER('Inputs'!$B$7),ISNUMBER('Inputs'!$B$8),ISNUMBER('Inputs'!$B$9),ISNUMBER('Inputs'!$B$10),ISNUMBER('Inputs'!$B$21),ISNUMBER('Inputs'!$B$24),ISNUMBER('Inputs'!$B$28)),(('Results'!C7*(0.5*((((931-43)*MAX('Inputs'!$B$33,'Inputs'!$B$29+'Inputs'!$B$31+'Inputs'!$B$32,'Inputs'!$B$30+'Inputs'!$B$31+'Inputs'!$B$32)/1000+'Inputs'!$B$21)+'Inputs'!$B$9)/SQRT((((931-43)*MAX('Inputs'!$B$33,'Inputs'!$B$29+'Inputs'!$B$31+'Inputs'!$B$32,'Inputs'!$B$30+'Inputs'!$B$31+'Inputs'!$B$32)/1000+'Inputs'!$B$21)+'Inputs'!$B$9)^2+('Inputs'!$B$8/2)^2)-(((931-43)*MAX('Inputs'!$B$33,'Inputs'!$B$29+'Inputs'!$B$31+'Inputs'!$B$32,'Inputs'!$B$30+'Inputs'!$B$31+'Inputs'!$B$32)/1000+'Inputs'!$B$21))/SQRT((((931-43)*MAX('Inputs'!$B$33,'Inputs'!$B$29+'Inputs'!$B$31+'Inputs'!$B$32,'Inputs'!$B$30+'Inputs'!$B$31+'Inputs'!$B$32)/1000+'Inputs'!$B$21))^2+('Inputs'!$B$8/2)^2)))-'Results'!B7*(0.5*((((931-43)*MAX('Inputs'!$B$33,'Inputs'!$B$29+'Inputs'!$B$31+'Inputs'!$B$32,'Inputs'!$B$30+'Inputs'!$B$31+'Inputs'!$B$32)/1000+'Inputs'!$B$21+'Inputs'!$B$9+'Inputs'!$B$10)+'Inputs'!$B$7)/SQRT((((931-43)*MAX('Inputs'!$B$33,'Inputs'!$B$29+'Inputs'!$B$31+'Inputs'!$B$32,'Inputs'!$B$30+'Inputs'!$B$31+'Inputs'!$B$32)/1000+'Inputs'!$B$21+'Inputs'!$B$9+'Inputs'!$B$10)+'Inputs'!$B$7)^2+('Inputs'!$B$6/2)^2)-(((931-43)*MAX('Inputs'!$B$33,'Inputs'!$B$29+'Inputs'!$B$31+'Inputs'!$B$32,'Inputs'!$B$30+'Inputs'!$B$31+'Inputs'!$B$32)/1000+'Inputs'!$B$21+'Inputs'!$B$9+'Inputs'!$B$10))/SQRT((((931-43)*MAX('Inputs'!$B$33,'Inputs'!$B$29+'Inputs'!$B$31+'Inputs'!$B$32,'Inputs'!$B$30+'Inputs'!$B$31+'Inputs'!$B$32)/1000+'Inputs'!$B$21+'Inputs'!$B$9+'Inputs'!$B$10))^2+('Inputs'!$B$6/2)^2))))*'Results'!$B$8),"")</x:f>
        <x:v>0.49031867963421183</x:v>
      </x:c>
      <x:c r="N931" t="n">
        <x:f>IF(AND(ISNUMBER('Results'!C7),ISNUMBER('Results'!B7),ISNUMBER('Results'!$B$8),ISNUMBER('Inputs'!$B$6),ISNUMBER('Inputs'!$B$7),ISNUMBER('Inputs'!$B$8),ISNUMBER('Inputs'!$B$9),ISNUMBER('Inputs'!$B$10),ISNUMBER('Inputs'!$B$21),ISNUMBER('Inputs'!$B$24),ISNUMBER('Inputs'!$B$28)),((('Results'!C7*(1-'Inputs'!$B$24)*(0.5*((((931-43)*MAX('Inputs'!$B$33,'Inputs'!$B$29+'Inputs'!$B$31+'Inputs'!$B$32,'Inputs'!$B$30+'Inputs'!$B$31+'Inputs'!$B$32)/1000+'Inputs'!$B$21)+'Inputs'!$B$9)/SQRT((((931-43)*MAX('Inputs'!$B$33,'Inputs'!$B$29+'Inputs'!$B$31+'Inputs'!$B$32,'Inputs'!$B$30+'Inputs'!$B$31+'Inputs'!$B$32)/1000+'Inputs'!$B$21)+'Inputs'!$B$9)^2+('Inputs'!$B$8/2)^2)-(((931-43)*MAX('Inputs'!$B$33,'Inputs'!$B$29+'Inputs'!$B$31+'Inputs'!$B$32,'Inputs'!$B$30+'Inputs'!$B$31+'Inputs'!$B$32)/1000+'Inputs'!$B$21))/SQRT((((931-43)*MAX('Inputs'!$B$33,'Inputs'!$B$29+'Inputs'!$B$31+'Inputs'!$B$32,'Inputs'!$B$30+'Inputs'!$B$31+'Inputs'!$B$32)/1000+'Inputs'!$B$21))^2+('Inputs'!$B$8/2)^2)))-'Results'!B7*(1+'Inputs'!$B$24)*(0.5*((((931-43)*MAX('Inputs'!$B$33,'Inputs'!$B$29+'Inputs'!$B$31+'Inputs'!$B$32,'Inputs'!$B$30+'Inputs'!$B$31+'Inputs'!$B$32)/1000+'Inputs'!$B$21+'Inputs'!$B$9+'Inputs'!$B$10)+'Inputs'!$B$7)/SQRT((((931-43)*MAX('Inputs'!$B$33,'Inputs'!$B$29+'Inputs'!$B$31+'Inputs'!$B$32,'Inputs'!$B$30+'Inputs'!$B$31+'Inputs'!$B$32)/1000+'Inputs'!$B$21+'Inputs'!$B$9+'Inputs'!$B$10)+'Inputs'!$B$7)^2+('Inputs'!$B$6/2)^2)-(((931-43)*MAX('Inputs'!$B$33,'Inputs'!$B$29+'Inputs'!$B$31+'Inputs'!$B$32,'Inputs'!$B$30+'Inputs'!$B$31+'Inputs'!$B$32)/1000+'Inputs'!$B$21+'Inputs'!$B$9+'Inputs'!$B$10))/SQRT((((931-43)*MAX('Inputs'!$B$33,'Inputs'!$B$29+'Inputs'!$B$31+'Inputs'!$B$32,'Inputs'!$B$30+'Inputs'!$B$31+'Inputs'!$B$32)/1000+'Inputs'!$B$21+'Inputs'!$B$9+'Inputs'!$B$10))^2+('Inputs'!$B$6/2)^2))))*'Results'!$B$8)-'Inputs'!$B$28*ABS((('Results'!C7*(1-'Inputs'!$B$24)*(0.5*((((931-43)*MAX('Inputs'!$B$33,'Inputs'!$B$29+'Inputs'!$B$31+'Inputs'!$B$32,'Inputs'!$B$30+'Inputs'!$B$31+'Inputs'!$B$32)/1000+'Inputs'!$B$21)+'Inputs'!$B$9)/SQRT((((931-43)*MAX('Inputs'!$B$33,'Inputs'!$B$29+'Inputs'!$B$31+'Inputs'!$B$32,'Inputs'!$B$30+'Inputs'!$B$31+'Inputs'!$B$32)/1000+'Inputs'!$B$21)+'Inputs'!$B$9)^2+('Inputs'!$B$8/2)^2)-(((931-43)*MAX('Inputs'!$B$33,'Inputs'!$B$29+'Inputs'!$B$31+'Inputs'!$B$32,'Inputs'!$B$30+'Inputs'!$B$31+'Inputs'!$B$32)/1000+'Inputs'!$B$21))/SQRT((((931-43)*MAX('Inputs'!$B$33,'Inputs'!$B$29+'Inputs'!$B$31+'Inputs'!$B$32,'Inputs'!$B$30+'Inputs'!$B$31+'Inputs'!$B$32)/1000+'Inputs'!$B$21))^2+('Inputs'!$B$8/2)^2)))-'Results'!B7*(1+'Inputs'!$B$24)*(0.5*((((931-43)*MAX('Inputs'!$B$33,'Inputs'!$B$29+'Inputs'!$B$31+'Inputs'!$B$32,'Inputs'!$B$30+'Inputs'!$B$31+'Inputs'!$B$32)/1000+'Inputs'!$B$21+'Inputs'!$B$9+'Inputs'!$B$10)+'Inputs'!$B$7)/SQRT((((931-43)*MAX('Inputs'!$B$33,'Inputs'!$B$29+'Inputs'!$B$31+'Inputs'!$B$32,'Inputs'!$B$30+'Inputs'!$B$31+'Inputs'!$B$32)/1000+'Inputs'!$B$21+'Inputs'!$B$9+'Inputs'!$B$10)+'Inputs'!$B$7)^2+('Inputs'!$B$6/2)^2)-(((931-43)*MAX('Inputs'!$B$33,'Inputs'!$B$29+'Inputs'!$B$31+'Inputs'!$B$32,'Inputs'!$B$30+'Inputs'!$B$31+'Inputs'!$B$32)/1000+'Inputs'!$B$21+'Inputs'!$B$9+'Inputs'!$B$10))/SQRT((((931-43)*MAX('Inputs'!$B$33,'Inputs'!$B$29+'Inputs'!$B$31+'Inputs'!$B$32,'Inputs'!$B$30+'Inputs'!$B$31+'Inputs'!$B$32)/1000+'Inputs'!$B$21+'Inputs'!$B$9+'Inputs'!$B$10))^2+('Inputs'!$B$6/2)^2))))*'Results'!$B$8))),"")</x:f>
        <x:v>0.4095787769256666</x:v>
      </x:c>
      <x:c r="O931" t="n">
        <x:f>IF(AND(ISNUMBER('Results'!C7),ISNUMBER('Results'!B7),ISNUMBER('Results'!$B$8),ISNUMBER('Inputs'!$B$6),ISNUMBER('Inputs'!$B$7),ISNUMBER('Inputs'!$B$8),ISNUMBER('Inputs'!$B$9),ISNUMBER('Inputs'!$B$10),ISNUMBER('Inputs'!$B$21),ISNUMBER('Inputs'!$B$24),ISNUMBER('Inputs'!$B$28)),((('Results'!C7*(1+'Inputs'!$B$24)*(0.5*((((931-43)*MAX('Inputs'!$B$33,'Inputs'!$B$29+'Inputs'!$B$31+'Inputs'!$B$32,'Inputs'!$B$30+'Inputs'!$B$31+'Inputs'!$B$32)/1000+'Inputs'!$B$21)+'Inputs'!$B$9)/SQRT((((931-43)*MAX('Inputs'!$B$33,'Inputs'!$B$29+'Inputs'!$B$31+'Inputs'!$B$32,'Inputs'!$B$30+'Inputs'!$B$31+'Inputs'!$B$32)/1000+'Inputs'!$B$21)+'Inputs'!$B$9)^2+('Inputs'!$B$8/2)^2)-(((931-43)*MAX('Inputs'!$B$33,'Inputs'!$B$29+'Inputs'!$B$31+'Inputs'!$B$32,'Inputs'!$B$30+'Inputs'!$B$31+'Inputs'!$B$32)/1000+'Inputs'!$B$21))/SQRT((((931-43)*MAX('Inputs'!$B$33,'Inputs'!$B$29+'Inputs'!$B$31+'Inputs'!$B$32,'Inputs'!$B$30+'Inputs'!$B$31+'Inputs'!$B$32)/1000+'Inputs'!$B$21))^2+('Inputs'!$B$8/2)^2)))-'Results'!B7*(1-'Inputs'!$B$24)*(0.5*((((931-43)*MAX('Inputs'!$B$33,'Inputs'!$B$29+'Inputs'!$B$31+'Inputs'!$B$32,'Inputs'!$B$30+'Inputs'!$B$31+'Inputs'!$B$32)/1000+'Inputs'!$B$21+'Inputs'!$B$9+'Inputs'!$B$10)+'Inputs'!$B$7)/SQRT((((931-43)*MAX('Inputs'!$B$33,'Inputs'!$B$29+'Inputs'!$B$31+'Inputs'!$B$32,'Inputs'!$B$30+'Inputs'!$B$31+'Inputs'!$B$32)/1000+'Inputs'!$B$21+'Inputs'!$B$9+'Inputs'!$B$10)+'Inputs'!$B$7)^2+('Inputs'!$B$6/2)^2)-(((931-43)*MAX('Inputs'!$B$33,'Inputs'!$B$29+'Inputs'!$B$31+'Inputs'!$B$32,'Inputs'!$B$30+'Inputs'!$B$31+'Inputs'!$B$32)/1000+'Inputs'!$B$21+'Inputs'!$B$9+'Inputs'!$B$10))/SQRT((((931-43)*MAX('Inputs'!$B$33,'Inputs'!$B$29+'Inputs'!$B$31+'Inputs'!$B$32,'Inputs'!$B$30+'Inputs'!$B$31+'Inputs'!$B$32)/1000+'Inputs'!$B$21+'Inputs'!$B$9+'Inputs'!$B$10))^2+('Inputs'!$B$6/2)^2))))*'Results'!$B$8)+'Inputs'!$B$28*ABS((('Results'!C7*(1+'Inputs'!$B$24)*(0.5*((((931-43)*MAX('Inputs'!$B$33,'Inputs'!$B$29+'Inputs'!$B$31+'Inputs'!$B$32,'Inputs'!$B$30+'Inputs'!$B$31+'Inputs'!$B$32)/1000+'Inputs'!$B$21)+'Inputs'!$B$9)/SQRT((((931-43)*MAX('Inputs'!$B$33,'Inputs'!$B$29+'Inputs'!$B$31+'Inputs'!$B$32,'Inputs'!$B$30+'Inputs'!$B$31+'Inputs'!$B$32)/1000+'Inputs'!$B$21)+'Inputs'!$B$9)^2+('Inputs'!$B$8/2)^2)-(((931-43)*MAX('Inputs'!$B$33,'Inputs'!$B$29+'Inputs'!$B$31+'Inputs'!$B$32,'Inputs'!$B$30+'Inputs'!$B$31+'Inputs'!$B$32)/1000+'Inputs'!$B$21))/SQRT((((931-43)*MAX('Inputs'!$B$33,'Inputs'!$B$29+'Inputs'!$B$31+'Inputs'!$B$32,'Inputs'!$B$30+'Inputs'!$B$31+'Inputs'!$B$32)/1000+'Inputs'!$B$21))^2+('Inputs'!$B$8/2)^2)))-'Results'!B7*(1-'Inputs'!$B$24)*(0.5*((((931-43)*MAX('Inputs'!$B$33,'Inputs'!$B$29+'Inputs'!$B$31+'Inputs'!$B$32,'Inputs'!$B$30+'Inputs'!$B$31+'Inputs'!$B$32)/1000+'Inputs'!$B$21+'Inputs'!$B$9+'Inputs'!$B$10)+'Inputs'!$B$7)/SQRT((((931-43)*MAX('Inputs'!$B$33,'Inputs'!$B$29+'Inputs'!$B$31+'Inputs'!$B$32,'Inputs'!$B$30+'Inputs'!$B$31+'Inputs'!$B$32)/1000+'Inputs'!$B$21+'Inputs'!$B$9+'Inputs'!$B$10)+'Inputs'!$B$7)^2+('Inputs'!$B$6/2)^2)-(((931-43)*MAX('Inputs'!$B$33,'Inputs'!$B$29+'Inputs'!$B$31+'Inputs'!$B$32,'Inputs'!$B$30+'Inputs'!$B$31+'Inputs'!$B$32)/1000+'Inputs'!$B$21+'Inputs'!$B$9+'Inputs'!$B$10))/SQRT((((931-43)*MAX('Inputs'!$B$33,'Inputs'!$B$29+'Inputs'!$B$31+'Inputs'!$B$32,'Inputs'!$B$30+'Inputs'!$B$31+'Inputs'!$B$32)/1000+'Inputs'!$B$21+'Inputs'!$B$9+'Inputs'!$B$10))^2+('Inputs'!$B$6/2)^2))))*'Results'!$B$8))),"")</x:f>
        <x:v>0.5769768948403186</x:v>
      </x:c>
      <x:c r="P931" t="n">
        <x:f>IF(AND(MAX(J931,J930)&gt;0,J931&gt;J930+0.00000001),1,0)</x:f>
        <x:v>0</x:v>
      </x:c>
      <x:c r="Q931" t="n">
        <x:f>IF(AND(MAX(K931,K930)&gt;0,K931&gt;K930+0.00000001),1,0)</x:f>
        <x:v>0</x:v>
      </x:c>
      <x:c r="R931" t="n">
        <x:f>IF(AND(MAX(L931,L930)&gt;0,L931&gt;L930+0.00000001),1,0)</x:f>
        <x:v>0</x:v>
      </x:c>
      <x:c r="S931" t="n">
        <x:f>IF(AND(MAX(M931,M930)&gt;0,M931&gt;M930+0.00000001),1,0)</x:f>
        <x:v>0</x:v>
      </x:c>
      <x:c r="T931" t="n">
        <x:f>IF(AND(MAX(N931,N930)&gt;0,N931&gt;N930+0.00000001),1,0)</x:f>
        <x:v>0</x:v>
      </x:c>
      <x:c r="U931" t="n">
        <x:f>IF(AND(MAX(O931,O930)&gt;0,O931&gt;O930+0.00000001),1,0)</x:f>
        <x:v>0</x:v>
      </x:c>
    </x:row>
    <x:row r="932">
      <x:c r="J932" t="n">
        <x:f>IF(AND(ISNUMBER('Results'!B7),ISNUMBER('Results'!C7),ISNUMBER('Results'!$B$8),ISNUMBER('Inputs'!$B$6),ISNUMBER('Inputs'!$B$7),ISNUMBER('Inputs'!$B$8),ISNUMBER('Inputs'!$B$9),ISNUMBER('Inputs'!$B$10),ISNUMBER('Inputs'!$B$21),ISNUMBER('Inputs'!$B$24),ISNUMBER('Inputs'!$B$28)),(('Results'!B7*(0.5*((((932-43)*MAX('Inputs'!$B$33,'Inputs'!$B$29+'Inputs'!$B$31+'Inputs'!$B$32,'Inputs'!$B$30+'Inputs'!$B$31+'Inputs'!$B$32)/1000+'Inputs'!$B$21)+'Inputs'!$B$7)/SQRT((((932-43)*MAX('Inputs'!$B$33,'Inputs'!$B$29+'Inputs'!$B$31+'Inputs'!$B$32,'Inputs'!$B$30+'Inputs'!$B$31+'Inputs'!$B$32)/1000+'Inputs'!$B$21)+'Inputs'!$B$7)^2+('Inputs'!$B$6/2)^2)-(((932-43)*MAX('Inputs'!$B$33,'Inputs'!$B$29+'Inputs'!$B$31+'Inputs'!$B$32,'Inputs'!$B$30+'Inputs'!$B$31+'Inputs'!$B$32)/1000+'Inputs'!$B$21))/SQRT((((932-43)*MAX('Inputs'!$B$33,'Inputs'!$B$29+'Inputs'!$B$31+'Inputs'!$B$32,'Inputs'!$B$30+'Inputs'!$B$31+'Inputs'!$B$32)/1000+'Inputs'!$B$21))^2+('Inputs'!$B$6/2)^2)))-'Results'!C7*(0.5*((((932-43)*MAX('Inputs'!$B$33,'Inputs'!$B$29+'Inputs'!$B$31+'Inputs'!$B$32,'Inputs'!$B$30+'Inputs'!$B$31+'Inputs'!$B$32)/1000+'Inputs'!$B$21+'Inputs'!$B$7+'Inputs'!$B$10)+'Inputs'!$B$9)/SQRT((((932-43)*MAX('Inputs'!$B$33,'Inputs'!$B$29+'Inputs'!$B$31+'Inputs'!$B$32,'Inputs'!$B$30+'Inputs'!$B$31+'Inputs'!$B$32)/1000+'Inputs'!$B$21+'Inputs'!$B$7+'Inputs'!$B$10)+'Inputs'!$B$9)^2+('Inputs'!$B$8/2)^2)-(((932-43)*MAX('Inputs'!$B$33,'Inputs'!$B$29+'Inputs'!$B$31+'Inputs'!$B$32,'Inputs'!$B$30+'Inputs'!$B$31+'Inputs'!$B$32)/1000+'Inputs'!$B$21+'Inputs'!$B$7+'Inputs'!$B$10))/SQRT((((932-43)*MAX('Inputs'!$B$33,'Inputs'!$B$29+'Inputs'!$B$31+'Inputs'!$B$32,'Inputs'!$B$30+'Inputs'!$B$31+'Inputs'!$B$32)/1000+'Inputs'!$B$21+'Inputs'!$B$7+'Inputs'!$B$10))^2+('Inputs'!$B$8/2)^2))))*'Results'!$B$8),"")</x:f>
        <x:v>0.5479659939448088</x:v>
      </x:c>
      <x:c r="K932" t="n">
        <x:f>IF(AND(ISNUMBER('Results'!B7),ISNUMBER('Results'!C7),ISNUMBER('Results'!$B$8),ISNUMBER('Inputs'!$B$6),ISNUMBER('Inputs'!$B$7),ISNUMBER('Inputs'!$B$8),ISNUMBER('Inputs'!$B$9),ISNUMBER('Inputs'!$B$10),ISNUMBER('Inputs'!$B$21),ISNUMBER('Inputs'!$B$24),ISNUMBER('Inputs'!$B$28)),((('Results'!B7*(1-'Inputs'!$B$24)*(0.5*((((932-43)*MAX('Inputs'!$B$33,'Inputs'!$B$29+'Inputs'!$B$31+'Inputs'!$B$32,'Inputs'!$B$30+'Inputs'!$B$31+'Inputs'!$B$32)/1000+'Inputs'!$B$21)+'Inputs'!$B$7)/SQRT((((932-43)*MAX('Inputs'!$B$33,'Inputs'!$B$29+'Inputs'!$B$31+'Inputs'!$B$32,'Inputs'!$B$30+'Inputs'!$B$31+'Inputs'!$B$32)/1000+'Inputs'!$B$21)+'Inputs'!$B$7)^2+('Inputs'!$B$6/2)^2)-(((932-43)*MAX('Inputs'!$B$33,'Inputs'!$B$29+'Inputs'!$B$31+'Inputs'!$B$32,'Inputs'!$B$30+'Inputs'!$B$31+'Inputs'!$B$32)/1000+'Inputs'!$B$21))/SQRT((((932-43)*MAX('Inputs'!$B$33,'Inputs'!$B$29+'Inputs'!$B$31+'Inputs'!$B$32,'Inputs'!$B$30+'Inputs'!$B$31+'Inputs'!$B$32)/1000+'Inputs'!$B$21))^2+('Inputs'!$B$6/2)^2)))-'Results'!C7*(1+'Inputs'!$B$24)*(0.5*((((932-43)*MAX('Inputs'!$B$33,'Inputs'!$B$29+'Inputs'!$B$31+'Inputs'!$B$32,'Inputs'!$B$30+'Inputs'!$B$31+'Inputs'!$B$32)/1000+'Inputs'!$B$21+'Inputs'!$B$7+'Inputs'!$B$10)+'Inputs'!$B$9)/SQRT((((932-43)*MAX('Inputs'!$B$33,'Inputs'!$B$29+'Inputs'!$B$31+'Inputs'!$B$32,'Inputs'!$B$30+'Inputs'!$B$31+'Inputs'!$B$32)/1000+'Inputs'!$B$21+'Inputs'!$B$7+'Inputs'!$B$10)+'Inputs'!$B$9)^2+('Inputs'!$B$8/2)^2)-(((932-43)*MAX('Inputs'!$B$33,'Inputs'!$B$29+'Inputs'!$B$31+'Inputs'!$B$32,'Inputs'!$B$30+'Inputs'!$B$31+'Inputs'!$B$32)/1000+'Inputs'!$B$21+'Inputs'!$B$7+'Inputs'!$B$10))/SQRT((((932-43)*MAX('Inputs'!$B$33,'Inputs'!$B$29+'Inputs'!$B$31+'Inputs'!$B$32,'Inputs'!$B$30+'Inputs'!$B$31+'Inputs'!$B$32)/1000+'Inputs'!$B$21+'Inputs'!$B$7+'Inputs'!$B$10))^2+('Inputs'!$B$8/2)^2))))*'Results'!$B$8)-'Inputs'!$B$28*ABS((('Results'!B7*(1-'Inputs'!$B$24)*(0.5*((((932-43)*MAX('Inputs'!$B$33,'Inputs'!$B$29+'Inputs'!$B$31+'Inputs'!$B$32,'Inputs'!$B$30+'Inputs'!$B$31+'Inputs'!$B$32)/1000+'Inputs'!$B$21)+'Inputs'!$B$7)/SQRT((((932-43)*MAX('Inputs'!$B$33,'Inputs'!$B$29+'Inputs'!$B$31+'Inputs'!$B$32,'Inputs'!$B$30+'Inputs'!$B$31+'Inputs'!$B$32)/1000+'Inputs'!$B$21)+'Inputs'!$B$7)^2+('Inputs'!$B$6/2)^2)-(((932-43)*MAX('Inputs'!$B$33,'Inputs'!$B$29+'Inputs'!$B$31+'Inputs'!$B$32,'Inputs'!$B$30+'Inputs'!$B$31+'Inputs'!$B$32)/1000+'Inputs'!$B$21))/SQRT((((932-43)*MAX('Inputs'!$B$33,'Inputs'!$B$29+'Inputs'!$B$31+'Inputs'!$B$32,'Inputs'!$B$30+'Inputs'!$B$31+'Inputs'!$B$32)/1000+'Inputs'!$B$21))^2+('Inputs'!$B$6/2)^2)))-'Results'!C7*(1+'Inputs'!$B$24)*(0.5*((((932-43)*MAX('Inputs'!$B$33,'Inputs'!$B$29+'Inputs'!$B$31+'Inputs'!$B$32,'Inputs'!$B$30+'Inputs'!$B$31+'Inputs'!$B$32)/1000+'Inputs'!$B$21+'Inputs'!$B$7+'Inputs'!$B$10)+'Inputs'!$B$9)/SQRT((((932-43)*MAX('Inputs'!$B$33,'Inputs'!$B$29+'Inputs'!$B$31+'Inputs'!$B$32,'Inputs'!$B$30+'Inputs'!$B$31+'Inputs'!$B$32)/1000+'Inputs'!$B$21+'Inputs'!$B$7+'Inputs'!$B$10)+'Inputs'!$B$9)^2+('Inputs'!$B$8/2)^2)-(((932-43)*MAX('Inputs'!$B$33,'Inputs'!$B$29+'Inputs'!$B$31+'Inputs'!$B$32,'Inputs'!$B$30+'Inputs'!$B$31+'Inputs'!$B$32)/1000+'Inputs'!$B$21+'Inputs'!$B$7+'Inputs'!$B$10))/SQRT((((932-43)*MAX('Inputs'!$B$33,'Inputs'!$B$29+'Inputs'!$B$31+'Inputs'!$B$32,'Inputs'!$B$30+'Inputs'!$B$31+'Inputs'!$B$32)/1000+'Inputs'!$B$21+'Inputs'!$B$7+'Inputs'!$B$10))^2+('Inputs'!$B$8/2)^2))))*'Results'!$B$8))),"")</x:f>
        <x:v>0.4643204532750277</x:v>
      </x:c>
      <x:c r="L932" t="n">
        <x:f>IF(AND(ISNUMBER('Results'!B7),ISNUMBER('Results'!C7),ISNUMBER('Results'!$B$8),ISNUMBER('Inputs'!$B$6),ISNUMBER('Inputs'!$B$7),ISNUMBER('Inputs'!$B$8),ISNUMBER('Inputs'!$B$9),ISNUMBER('Inputs'!$B$10),ISNUMBER('Inputs'!$B$21),ISNUMBER('Inputs'!$B$24),ISNUMBER('Inputs'!$B$28)),((('Results'!B7*(1+'Inputs'!$B$24)*(0.5*((((932-43)*MAX('Inputs'!$B$33,'Inputs'!$B$29+'Inputs'!$B$31+'Inputs'!$B$32,'Inputs'!$B$30+'Inputs'!$B$31+'Inputs'!$B$32)/1000+'Inputs'!$B$21)+'Inputs'!$B$7)/SQRT((((932-43)*MAX('Inputs'!$B$33,'Inputs'!$B$29+'Inputs'!$B$31+'Inputs'!$B$32,'Inputs'!$B$30+'Inputs'!$B$31+'Inputs'!$B$32)/1000+'Inputs'!$B$21)+'Inputs'!$B$7)^2+('Inputs'!$B$6/2)^2)-(((932-43)*MAX('Inputs'!$B$33,'Inputs'!$B$29+'Inputs'!$B$31+'Inputs'!$B$32,'Inputs'!$B$30+'Inputs'!$B$31+'Inputs'!$B$32)/1000+'Inputs'!$B$21))/SQRT((((932-43)*MAX('Inputs'!$B$33,'Inputs'!$B$29+'Inputs'!$B$31+'Inputs'!$B$32,'Inputs'!$B$30+'Inputs'!$B$31+'Inputs'!$B$32)/1000+'Inputs'!$B$21))^2+('Inputs'!$B$6/2)^2)))-'Results'!C7*(1-'Inputs'!$B$24)*(0.5*((((932-43)*MAX('Inputs'!$B$33,'Inputs'!$B$29+'Inputs'!$B$31+'Inputs'!$B$32,'Inputs'!$B$30+'Inputs'!$B$31+'Inputs'!$B$32)/1000+'Inputs'!$B$21+'Inputs'!$B$7+'Inputs'!$B$10)+'Inputs'!$B$9)/SQRT((((932-43)*MAX('Inputs'!$B$33,'Inputs'!$B$29+'Inputs'!$B$31+'Inputs'!$B$32,'Inputs'!$B$30+'Inputs'!$B$31+'Inputs'!$B$32)/1000+'Inputs'!$B$21+'Inputs'!$B$7+'Inputs'!$B$10)+'Inputs'!$B$9)^2+('Inputs'!$B$8/2)^2)-(((932-43)*MAX('Inputs'!$B$33,'Inputs'!$B$29+'Inputs'!$B$31+'Inputs'!$B$32,'Inputs'!$B$30+'Inputs'!$B$31+'Inputs'!$B$32)/1000+'Inputs'!$B$21+'Inputs'!$B$7+'Inputs'!$B$10))/SQRT((((932-43)*MAX('Inputs'!$B$33,'Inputs'!$B$29+'Inputs'!$B$31+'Inputs'!$B$32,'Inputs'!$B$30+'Inputs'!$B$31+'Inputs'!$B$32)/1000+'Inputs'!$B$21+'Inputs'!$B$7+'Inputs'!$B$10))^2+('Inputs'!$B$8/2)^2))))*'Results'!$B$8)+'Inputs'!$B$28*ABS((('Results'!B7*(1+'Inputs'!$B$24)*(0.5*((((932-43)*MAX('Inputs'!$B$33,'Inputs'!$B$29+'Inputs'!$B$31+'Inputs'!$B$32,'Inputs'!$B$30+'Inputs'!$B$31+'Inputs'!$B$32)/1000+'Inputs'!$B$21)+'Inputs'!$B$7)/SQRT((((932-43)*MAX('Inputs'!$B$33,'Inputs'!$B$29+'Inputs'!$B$31+'Inputs'!$B$32,'Inputs'!$B$30+'Inputs'!$B$31+'Inputs'!$B$32)/1000+'Inputs'!$B$21)+'Inputs'!$B$7)^2+('Inputs'!$B$6/2)^2)-(((932-43)*MAX('Inputs'!$B$33,'Inputs'!$B$29+'Inputs'!$B$31+'Inputs'!$B$32,'Inputs'!$B$30+'Inputs'!$B$31+'Inputs'!$B$32)/1000+'Inputs'!$B$21))/SQRT((((932-43)*MAX('Inputs'!$B$33,'Inputs'!$B$29+'Inputs'!$B$31+'Inputs'!$B$32,'Inputs'!$B$30+'Inputs'!$B$31+'Inputs'!$B$32)/1000+'Inputs'!$B$21))^2+('Inputs'!$B$6/2)^2)))-'Results'!C7*(1-'Inputs'!$B$24)*(0.5*((((932-43)*MAX('Inputs'!$B$33,'Inputs'!$B$29+'Inputs'!$B$31+'Inputs'!$B$32,'Inputs'!$B$30+'Inputs'!$B$31+'Inputs'!$B$32)/1000+'Inputs'!$B$21+'Inputs'!$B$7+'Inputs'!$B$10)+'Inputs'!$B$9)/SQRT((((932-43)*MAX('Inputs'!$B$33,'Inputs'!$B$29+'Inputs'!$B$31+'Inputs'!$B$32,'Inputs'!$B$30+'Inputs'!$B$31+'Inputs'!$B$32)/1000+'Inputs'!$B$21+'Inputs'!$B$7+'Inputs'!$B$10)+'Inputs'!$B$9)^2+('Inputs'!$B$8/2)^2)-(((932-43)*MAX('Inputs'!$B$33,'Inputs'!$B$29+'Inputs'!$B$31+'Inputs'!$B$32,'Inputs'!$B$30+'Inputs'!$B$31+'Inputs'!$B$32)/1000+'Inputs'!$B$21+'Inputs'!$B$7+'Inputs'!$B$10))/SQRT((((932-43)*MAX('Inputs'!$B$33,'Inputs'!$B$29+'Inputs'!$B$31+'Inputs'!$B$32,'Inputs'!$B$30+'Inputs'!$B$31+'Inputs'!$B$32)/1000+'Inputs'!$B$21+'Inputs'!$B$7+'Inputs'!$B$10))^2+('Inputs'!$B$8/2)^2))))*'Results'!$B$8))),"")</x:f>
        <x:v>0.6375322968222253</x:v>
      </x:c>
      <x:c r="M932" t="n">
        <x:f>IF(AND(ISNUMBER('Results'!C7),ISNUMBER('Results'!B7),ISNUMBER('Results'!$B$8),ISNUMBER('Inputs'!$B$6),ISNUMBER('Inputs'!$B$7),ISNUMBER('Inputs'!$B$8),ISNUMBER('Inputs'!$B$9),ISNUMBER('Inputs'!$B$10),ISNUMBER('Inputs'!$B$21),ISNUMBER('Inputs'!$B$24),ISNUMBER('Inputs'!$B$28)),(('Results'!C7*(0.5*((((932-43)*MAX('Inputs'!$B$33,'Inputs'!$B$29+'Inputs'!$B$31+'Inputs'!$B$32,'Inputs'!$B$30+'Inputs'!$B$31+'Inputs'!$B$32)/1000+'Inputs'!$B$21)+'Inputs'!$B$9)/SQRT((((932-43)*MAX('Inputs'!$B$33,'Inputs'!$B$29+'Inputs'!$B$31+'Inputs'!$B$32,'Inputs'!$B$30+'Inputs'!$B$31+'Inputs'!$B$32)/1000+'Inputs'!$B$21)+'Inputs'!$B$9)^2+('Inputs'!$B$8/2)^2)-(((932-43)*MAX('Inputs'!$B$33,'Inputs'!$B$29+'Inputs'!$B$31+'Inputs'!$B$32,'Inputs'!$B$30+'Inputs'!$B$31+'Inputs'!$B$32)/1000+'Inputs'!$B$21))/SQRT((((932-43)*MAX('Inputs'!$B$33,'Inputs'!$B$29+'Inputs'!$B$31+'Inputs'!$B$32,'Inputs'!$B$30+'Inputs'!$B$31+'Inputs'!$B$32)/1000+'Inputs'!$B$21))^2+('Inputs'!$B$8/2)^2)))-'Results'!B7*(0.5*((((932-43)*MAX('Inputs'!$B$33,'Inputs'!$B$29+'Inputs'!$B$31+'Inputs'!$B$32,'Inputs'!$B$30+'Inputs'!$B$31+'Inputs'!$B$32)/1000+'Inputs'!$B$21+'Inputs'!$B$9+'Inputs'!$B$10)+'Inputs'!$B$7)/SQRT((((932-43)*MAX('Inputs'!$B$33,'Inputs'!$B$29+'Inputs'!$B$31+'Inputs'!$B$32,'Inputs'!$B$30+'Inputs'!$B$31+'Inputs'!$B$32)/1000+'Inputs'!$B$21+'Inputs'!$B$9+'Inputs'!$B$10)+'Inputs'!$B$7)^2+('Inputs'!$B$6/2)^2)-(((932-43)*MAX('Inputs'!$B$33,'Inputs'!$B$29+'Inputs'!$B$31+'Inputs'!$B$32,'Inputs'!$B$30+'Inputs'!$B$31+'Inputs'!$B$32)/1000+'Inputs'!$B$21+'Inputs'!$B$9+'Inputs'!$B$10))/SQRT((((932-43)*MAX('Inputs'!$B$33,'Inputs'!$B$29+'Inputs'!$B$31+'Inputs'!$B$32,'Inputs'!$B$30+'Inputs'!$B$31+'Inputs'!$B$32)/1000+'Inputs'!$B$21+'Inputs'!$B$9+'Inputs'!$B$10))^2+('Inputs'!$B$6/2)^2))))*'Results'!$B$8),"")</x:f>
        <x:v>0.4882660422541904</x:v>
      </x:c>
      <x:c r="N932" t="n">
        <x:f>IF(AND(ISNUMBER('Results'!C7),ISNUMBER('Results'!B7),ISNUMBER('Results'!$B$8),ISNUMBER('Inputs'!$B$6),ISNUMBER('Inputs'!$B$7),ISNUMBER('Inputs'!$B$8),ISNUMBER('Inputs'!$B$9),ISNUMBER('Inputs'!$B$10),ISNUMBER('Inputs'!$B$21),ISNUMBER('Inputs'!$B$24),ISNUMBER('Inputs'!$B$28)),((('Results'!C7*(1-'Inputs'!$B$24)*(0.5*((((932-43)*MAX('Inputs'!$B$33,'Inputs'!$B$29+'Inputs'!$B$31+'Inputs'!$B$32,'Inputs'!$B$30+'Inputs'!$B$31+'Inputs'!$B$32)/1000+'Inputs'!$B$21)+'Inputs'!$B$9)/SQRT((((932-43)*MAX('Inputs'!$B$33,'Inputs'!$B$29+'Inputs'!$B$31+'Inputs'!$B$32,'Inputs'!$B$30+'Inputs'!$B$31+'Inputs'!$B$32)/1000+'Inputs'!$B$21)+'Inputs'!$B$9)^2+('Inputs'!$B$8/2)^2)-(((932-43)*MAX('Inputs'!$B$33,'Inputs'!$B$29+'Inputs'!$B$31+'Inputs'!$B$32,'Inputs'!$B$30+'Inputs'!$B$31+'Inputs'!$B$32)/1000+'Inputs'!$B$21))/SQRT((((932-43)*MAX('Inputs'!$B$33,'Inputs'!$B$29+'Inputs'!$B$31+'Inputs'!$B$32,'Inputs'!$B$30+'Inputs'!$B$31+'Inputs'!$B$32)/1000+'Inputs'!$B$21))^2+('Inputs'!$B$8/2)^2)))-'Results'!B7*(1+'Inputs'!$B$24)*(0.5*((((932-43)*MAX('Inputs'!$B$33,'Inputs'!$B$29+'Inputs'!$B$31+'Inputs'!$B$32,'Inputs'!$B$30+'Inputs'!$B$31+'Inputs'!$B$32)/1000+'Inputs'!$B$21+'Inputs'!$B$9+'Inputs'!$B$10)+'Inputs'!$B$7)/SQRT((((932-43)*MAX('Inputs'!$B$33,'Inputs'!$B$29+'Inputs'!$B$31+'Inputs'!$B$32,'Inputs'!$B$30+'Inputs'!$B$31+'Inputs'!$B$32)/1000+'Inputs'!$B$21+'Inputs'!$B$9+'Inputs'!$B$10)+'Inputs'!$B$7)^2+('Inputs'!$B$6/2)^2)-(((932-43)*MAX('Inputs'!$B$33,'Inputs'!$B$29+'Inputs'!$B$31+'Inputs'!$B$32,'Inputs'!$B$30+'Inputs'!$B$31+'Inputs'!$B$32)/1000+'Inputs'!$B$21+'Inputs'!$B$9+'Inputs'!$B$10))/SQRT((((932-43)*MAX('Inputs'!$B$33,'Inputs'!$B$29+'Inputs'!$B$31+'Inputs'!$B$32,'Inputs'!$B$30+'Inputs'!$B$31+'Inputs'!$B$32)/1000+'Inputs'!$B$21+'Inputs'!$B$9+'Inputs'!$B$10))^2+('Inputs'!$B$6/2)^2))))*'Results'!$B$8)-'Inputs'!$B$28*ABS((('Results'!C7*(1-'Inputs'!$B$24)*(0.5*((((932-43)*MAX('Inputs'!$B$33,'Inputs'!$B$29+'Inputs'!$B$31+'Inputs'!$B$32,'Inputs'!$B$30+'Inputs'!$B$31+'Inputs'!$B$32)/1000+'Inputs'!$B$21)+'Inputs'!$B$9)/SQRT((((932-43)*MAX('Inputs'!$B$33,'Inputs'!$B$29+'Inputs'!$B$31+'Inputs'!$B$32,'Inputs'!$B$30+'Inputs'!$B$31+'Inputs'!$B$32)/1000+'Inputs'!$B$21)+'Inputs'!$B$9)^2+('Inputs'!$B$8/2)^2)-(((932-43)*MAX('Inputs'!$B$33,'Inputs'!$B$29+'Inputs'!$B$31+'Inputs'!$B$32,'Inputs'!$B$30+'Inputs'!$B$31+'Inputs'!$B$32)/1000+'Inputs'!$B$21))/SQRT((((932-43)*MAX('Inputs'!$B$33,'Inputs'!$B$29+'Inputs'!$B$31+'Inputs'!$B$32,'Inputs'!$B$30+'Inputs'!$B$31+'Inputs'!$B$32)/1000+'Inputs'!$B$21))^2+('Inputs'!$B$8/2)^2)))-'Results'!B7*(1+'Inputs'!$B$24)*(0.5*((((932-43)*MAX('Inputs'!$B$33,'Inputs'!$B$29+'Inputs'!$B$31+'Inputs'!$B$32,'Inputs'!$B$30+'Inputs'!$B$31+'Inputs'!$B$32)/1000+'Inputs'!$B$21+'Inputs'!$B$9+'Inputs'!$B$10)+'Inputs'!$B$7)/SQRT((((932-43)*MAX('Inputs'!$B$33,'Inputs'!$B$29+'Inputs'!$B$31+'Inputs'!$B$32,'Inputs'!$B$30+'Inputs'!$B$31+'Inputs'!$B$32)/1000+'Inputs'!$B$21+'Inputs'!$B$9+'Inputs'!$B$10)+'Inputs'!$B$7)^2+('Inputs'!$B$6/2)^2)-(((932-43)*MAX('Inputs'!$B$33,'Inputs'!$B$29+'Inputs'!$B$31+'Inputs'!$B$32,'Inputs'!$B$30+'Inputs'!$B$31+'Inputs'!$B$32)/1000+'Inputs'!$B$21+'Inputs'!$B$9+'Inputs'!$B$10))/SQRT((((932-43)*MAX('Inputs'!$B$33,'Inputs'!$B$29+'Inputs'!$B$31+'Inputs'!$B$32,'Inputs'!$B$30+'Inputs'!$B$31+'Inputs'!$B$32)/1000+'Inputs'!$B$21+'Inputs'!$B$9+'Inputs'!$B$10))^2+('Inputs'!$B$6/2)^2))))*'Results'!$B$8))),"")</x:f>
        <x:v>0.4078043719839685</x:v>
      </x:c>
      <x:c r="O932" t="n">
        <x:f>IF(AND(ISNUMBER('Results'!C7),ISNUMBER('Results'!B7),ISNUMBER('Results'!$B$8),ISNUMBER('Inputs'!$B$6),ISNUMBER('Inputs'!$B$7),ISNUMBER('Inputs'!$B$8),ISNUMBER('Inputs'!$B$9),ISNUMBER('Inputs'!$B$10),ISNUMBER('Inputs'!$B$21),ISNUMBER('Inputs'!$B$24),ISNUMBER('Inputs'!$B$28)),((('Results'!C7*(1+'Inputs'!$B$24)*(0.5*((((932-43)*MAX('Inputs'!$B$33,'Inputs'!$B$29+'Inputs'!$B$31+'Inputs'!$B$32,'Inputs'!$B$30+'Inputs'!$B$31+'Inputs'!$B$32)/1000+'Inputs'!$B$21)+'Inputs'!$B$9)/SQRT((((932-43)*MAX('Inputs'!$B$33,'Inputs'!$B$29+'Inputs'!$B$31+'Inputs'!$B$32,'Inputs'!$B$30+'Inputs'!$B$31+'Inputs'!$B$32)/1000+'Inputs'!$B$21)+'Inputs'!$B$9)^2+('Inputs'!$B$8/2)^2)-(((932-43)*MAX('Inputs'!$B$33,'Inputs'!$B$29+'Inputs'!$B$31+'Inputs'!$B$32,'Inputs'!$B$30+'Inputs'!$B$31+'Inputs'!$B$32)/1000+'Inputs'!$B$21))/SQRT((((932-43)*MAX('Inputs'!$B$33,'Inputs'!$B$29+'Inputs'!$B$31+'Inputs'!$B$32,'Inputs'!$B$30+'Inputs'!$B$31+'Inputs'!$B$32)/1000+'Inputs'!$B$21))^2+('Inputs'!$B$8/2)^2)))-'Results'!B7*(1-'Inputs'!$B$24)*(0.5*((((932-43)*MAX('Inputs'!$B$33,'Inputs'!$B$29+'Inputs'!$B$31+'Inputs'!$B$32,'Inputs'!$B$30+'Inputs'!$B$31+'Inputs'!$B$32)/1000+'Inputs'!$B$21+'Inputs'!$B$9+'Inputs'!$B$10)+'Inputs'!$B$7)/SQRT((((932-43)*MAX('Inputs'!$B$33,'Inputs'!$B$29+'Inputs'!$B$31+'Inputs'!$B$32,'Inputs'!$B$30+'Inputs'!$B$31+'Inputs'!$B$32)/1000+'Inputs'!$B$21+'Inputs'!$B$9+'Inputs'!$B$10)+'Inputs'!$B$7)^2+('Inputs'!$B$6/2)^2)-(((932-43)*MAX('Inputs'!$B$33,'Inputs'!$B$29+'Inputs'!$B$31+'Inputs'!$B$32,'Inputs'!$B$30+'Inputs'!$B$31+'Inputs'!$B$32)/1000+'Inputs'!$B$21+'Inputs'!$B$9+'Inputs'!$B$10))/SQRT((((932-43)*MAX('Inputs'!$B$33,'Inputs'!$B$29+'Inputs'!$B$31+'Inputs'!$B$32,'Inputs'!$B$30+'Inputs'!$B$31+'Inputs'!$B$32)/1000+'Inputs'!$B$21+'Inputs'!$B$9+'Inputs'!$B$10))^2+('Inputs'!$B$6/2)^2))))*'Results'!$B$8)+'Inputs'!$B$28*ABS((('Results'!C7*(1+'Inputs'!$B$24)*(0.5*((((932-43)*MAX('Inputs'!$B$33,'Inputs'!$B$29+'Inputs'!$B$31+'Inputs'!$B$32,'Inputs'!$B$30+'Inputs'!$B$31+'Inputs'!$B$32)/1000+'Inputs'!$B$21)+'Inputs'!$B$9)/SQRT((((932-43)*MAX('Inputs'!$B$33,'Inputs'!$B$29+'Inputs'!$B$31+'Inputs'!$B$32,'Inputs'!$B$30+'Inputs'!$B$31+'Inputs'!$B$32)/1000+'Inputs'!$B$21)+'Inputs'!$B$9)^2+('Inputs'!$B$8/2)^2)-(((932-43)*MAX('Inputs'!$B$33,'Inputs'!$B$29+'Inputs'!$B$31+'Inputs'!$B$32,'Inputs'!$B$30+'Inputs'!$B$31+'Inputs'!$B$32)/1000+'Inputs'!$B$21))/SQRT((((932-43)*MAX('Inputs'!$B$33,'Inputs'!$B$29+'Inputs'!$B$31+'Inputs'!$B$32,'Inputs'!$B$30+'Inputs'!$B$31+'Inputs'!$B$32)/1000+'Inputs'!$B$21))^2+('Inputs'!$B$8/2)^2)))-'Results'!B7*(1-'Inputs'!$B$24)*(0.5*((((932-43)*MAX('Inputs'!$B$33,'Inputs'!$B$29+'Inputs'!$B$31+'Inputs'!$B$32,'Inputs'!$B$30+'Inputs'!$B$31+'Inputs'!$B$32)/1000+'Inputs'!$B$21+'Inputs'!$B$9+'Inputs'!$B$10)+'Inputs'!$B$7)/SQRT((((932-43)*MAX('Inputs'!$B$33,'Inputs'!$B$29+'Inputs'!$B$31+'Inputs'!$B$32,'Inputs'!$B$30+'Inputs'!$B$31+'Inputs'!$B$32)/1000+'Inputs'!$B$21+'Inputs'!$B$9+'Inputs'!$B$10)+'Inputs'!$B$7)^2+('Inputs'!$B$6/2)^2)-(((932-43)*MAX('Inputs'!$B$33,'Inputs'!$B$29+'Inputs'!$B$31+'Inputs'!$B$32,'Inputs'!$B$30+'Inputs'!$B$31+'Inputs'!$B$32)/1000+'Inputs'!$B$21+'Inputs'!$B$9+'Inputs'!$B$10))/SQRT((((932-43)*MAX('Inputs'!$B$33,'Inputs'!$B$29+'Inputs'!$B$31+'Inputs'!$B$32,'Inputs'!$B$30+'Inputs'!$B$31+'Inputs'!$B$32)/1000+'Inputs'!$B$21+'Inputs'!$B$9+'Inputs'!$B$10))^2+('Inputs'!$B$6/2)^2))))*'Results'!$B$8))),"")</x:f>
        <x:v>0.5746275407515192</x:v>
      </x:c>
      <x:c r="P932" t="n">
        <x:f>IF(AND(MAX(J932,J931)&gt;0,J932&gt;J931+0.00000001),1,0)</x:f>
        <x:v>0</x:v>
      </x:c>
      <x:c r="Q932" t="n">
        <x:f>IF(AND(MAX(K932,K931)&gt;0,K932&gt;K931+0.00000001),1,0)</x:f>
        <x:v>0</x:v>
      </x:c>
      <x:c r="R932" t="n">
        <x:f>IF(AND(MAX(L932,L931)&gt;0,L932&gt;L931+0.00000001),1,0)</x:f>
        <x:v>0</x:v>
      </x:c>
      <x:c r="S932" t="n">
        <x:f>IF(AND(MAX(M932,M931)&gt;0,M932&gt;M931+0.00000001),1,0)</x:f>
        <x:v>0</x:v>
      </x:c>
      <x:c r="T932" t="n">
        <x:f>IF(AND(MAX(N932,N931)&gt;0,N932&gt;N931+0.00000001),1,0)</x:f>
        <x:v>0</x:v>
      </x:c>
      <x:c r="U932" t="n">
        <x:f>IF(AND(MAX(O932,O931)&gt;0,O932&gt;O931+0.00000001),1,0)</x:f>
        <x:v>0</x:v>
      </x:c>
    </x:row>
    <x:row r="933">
      <x:c r="J933" t="n">
        <x:f>IF(AND(ISNUMBER('Results'!B7),ISNUMBER('Results'!C7),ISNUMBER('Results'!$B$8),ISNUMBER('Inputs'!$B$6),ISNUMBER('Inputs'!$B$7),ISNUMBER('Inputs'!$B$8),ISNUMBER('Inputs'!$B$9),ISNUMBER('Inputs'!$B$10),ISNUMBER('Inputs'!$B$21),ISNUMBER('Inputs'!$B$24),ISNUMBER('Inputs'!$B$28)),(('Results'!B7*(0.5*((((933-43)*MAX('Inputs'!$B$33,'Inputs'!$B$29+'Inputs'!$B$31+'Inputs'!$B$32,'Inputs'!$B$30+'Inputs'!$B$31+'Inputs'!$B$32)/1000+'Inputs'!$B$21)+'Inputs'!$B$7)/SQRT((((933-43)*MAX('Inputs'!$B$33,'Inputs'!$B$29+'Inputs'!$B$31+'Inputs'!$B$32,'Inputs'!$B$30+'Inputs'!$B$31+'Inputs'!$B$32)/1000+'Inputs'!$B$21)+'Inputs'!$B$7)^2+('Inputs'!$B$6/2)^2)-(((933-43)*MAX('Inputs'!$B$33,'Inputs'!$B$29+'Inputs'!$B$31+'Inputs'!$B$32,'Inputs'!$B$30+'Inputs'!$B$31+'Inputs'!$B$32)/1000+'Inputs'!$B$21))/SQRT((((933-43)*MAX('Inputs'!$B$33,'Inputs'!$B$29+'Inputs'!$B$31+'Inputs'!$B$32,'Inputs'!$B$30+'Inputs'!$B$31+'Inputs'!$B$32)/1000+'Inputs'!$B$21))^2+('Inputs'!$B$6/2)^2)))-'Results'!C7*(0.5*((((933-43)*MAX('Inputs'!$B$33,'Inputs'!$B$29+'Inputs'!$B$31+'Inputs'!$B$32,'Inputs'!$B$30+'Inputs'!$B$31+'Inputs'!$B$32)/1000+'Inputs'!$B$21+'Inputs'!$B$7+'Inputs'!$B$10)+'Inputs'!$B$9)/SQRT((((933-43)*MAX('Inputs'!$B$33,'Inputs'!$B$29+'Inputs'!$B$31+'Inputs'!$B$32,'Inputs'!$B$30+'Inputs'!$B$31+'Inputs'!$B$32)/1000+'Inputs'!$B$21+'Inputs'!$B$7+'Inputs'!$B$10)+'Inputs'!$B$9)^2+('Inputs'!$B$8/2)^2)-(((933-43)*MAX('Inputs'!$B$33,'Inputs'!$B$29+'Inputs'!$B$31+'Inputs'!$B$32,'Inputs'!$B$30+'Inputs'!$B$31+'Inputs'!$B$32)/1000+'Inputs'!$B$21+'Inputs'!$B$7+'Inputs'!$B$10))/SQRT((((933-43)*MAX('Inputs'!$B$33,'Inputs'!$B$29+'Inputs'!$B$31+'Inputs'!$B$32,'Inputs'!$B$30+'Inputs'!$B$31+'Inputs'!$B$32)/1000+'Inputs'!$B$21+'Inputs'!$B$7+'Inputs'!$B$10))^2+('Inputs'!$B$8/2)^2))))*'Results'!$B$8),"")</x:f>
        <x:v>0.5457376494754035</x:v>
      </x:c>
      <x:c r="K933" t="n">
        <x:f>IF(AND(ISNUMBER('Results'!B7),ISNUMBER('Results'!C7),ISNUMBER('Results'!$B$8),ISNUMBER('Inputs'!$B$6),ISNUMBER('Inputs'!$B$7),ISNUMBER('Inputs'!$B$8),ISNUMBER('Inputs'!$B$9),ISNUMBER('Inputs'!$B$10),ISNUMBER('Inputs'!$B$21),ISNUMBER('Inputs'!$B$24),ISNUMBER('Inputs'!$B$28)),((('Results'!B7*(1-'Inputs'!$B$24)*(0.5*((((933-43)*MAX('Inputs'!$B$33,'Inputs'!$B$29+'Inputs'!$B$31+'Inputs'!$B$32,'Inputs'!$B$30+'Inputs'!$B$31+'Inputs'!$B$32)/1000+'Inputs'!$B$21)+'Inputs'!$B$7)/SQRT((((933-43)*MAX('Inputs'!$B$33,'Inputs'!$B$29+'Inputs'!$B$31+'Inputs'!$B$32,'Inputs'!$B$30+'Inputs'!$B$31+'Inputs'!$B$32)/1000+'Inputs'!$B$21)+'Inputs'!$B$7)^2+('Inputs'!$B$6/2)^2)-(((933-43)*MAX('Inputs'!$B$33,'Inputs'!$B$29+'Inputs'!$B$31+'Inputs'!$B$32,'Inputs'!$B$30+'Inputs'!$B$31+'Inputs'!$B$32)/1000+'Inputs'!$B$21))/SQRT((((933-43)*MAX('Inputs'!$B$33,'Inputs'!$B$29+'Inputs'!$B$31+'Inputs'!$B$32,'Inputs'!$B$30+'Inputs'!$B$31+'Inputs'!$B$32)/1000+'Inputs'!$B$21))^2+('Inputs'!$B$6/2)^2)))-'Results'!C7*(1+'Inputs'!$B$24)*(0.5*((((933-43)*MAX('Inputs'!$B$33,'Inputs'!$B$29+'Inputs'!$B$31+'Inputs'!$B$32,'Inputs'!$B$30+'Inputs'!$B$31+'Inputs'!$B$32)/1000+'Inputs'!$B$21+'Inputs'!$B$7+'Inputs'!$B$10)+'Inputs'!$B$9)/SQRT((((933-43)*MAX('Inputs'!$B$33,'Inputs'!$B$29+'Inputs'!$B$31+'Inputs'!$B$32,'Inputs'!$B$30+'Inputs'!$B$31+'Inputs'!$B$32)/1000+'Inputs'!$B$21+'Inputs'!$B$7+'Inputs'!$B$10)+'Inputs'!$B$9)^2+('Inputs'!$B$8/2)^2)-(((933-43)*MAX('Inputs'!$B$33,'Inputs'!$B$29+'Inputs'!$B$31+'Inputs'!$B$32,'Inputs'!$B$30+'Inputs'!$B$31+'Inputs'!$B$32)/1000+'Inputs'!$B$21+'Inputs'!$B$7+'Inputs'!$B$10))/SQRT((((933-43)*MAX('Inputs'!$B$33,'Inputs'!$B$29+'Inputs'!$B$31+'Inputs'!$B$32,'Inputs'!$B$30+'Inputs'!$B$31+'Inputs'!$B$32)/1000+'Inputs'!$B$21+'Inputs'!$B$7+'Inputs'!$B$10))^2+('Inputs'!$B$8/2)^2))))*'Results'!$B$8)-'Inputs'!$B$28*ABS((('Results'!B7*(1-'Inputs'!$B$24)*(0.5*((((933-43)*MAX('Inputs'!$B$33,'Inputs'!$B$29+'Inputs'!$B$31+'Inputs'!$B$32,'Inputs'!$B$30+'Inputs'!$B$31+'Inputs'!$B$32)/1000+'Inputs'!$B$21)+'Inputs'!$B$7)/SQRT((((933-43)*MAX('Inputs'!$B$33,'Inputs'!$B$29+'Inputs'!$B$31+'Inputs'!$B$32,'Inputs'!$B$30+'Inputs'!$B$31+'Inputs'!$B$32)/1000+'Inputs'!$B$21)+'Inputs'!$B$7)^2+('Inputs'!$B$6/2)^2)-(((933-43)*MAX('Inputs'!$B$33,'Inputs'!$B$29+'Inputs'!$B$31+'Inputs'!$B$32,'Inputs'!$B$30+'Inputs'!$B$31+'Inputs'!$B$32)/1000+'Inputs'!$B$21))/SQRT((((933-43)*MAX('Inputs'!$B$33,'Inputs'!$B$29+'Inputs'!$B$31+'Inputs'!$B$32,'Inputs'!$B$30+'Inputs'!$B$31+'Inputs'!$B$32)/1000+'Inputs'!$B$21))^2+('Inputs'!$B$6/2)^2)))-'Results'!C7*(1+'Inputs'!$B$24)*(0.5*((((933-43)*MAX('Inputs'!$B$33,'Inputs'!$B$29+'Inputs'!$B$31+'Inputs'!$B$32,'Inputs'!$B$30+'Inputs'!$B$31+'Inputs'!$B$32)/1000+'Inputs'!$B$21+'Inputs'!$B$7+'Inputs'!$B$10)+'Inputs'!$B$9)/SQRT((((933-43)*MAX('Inputs'!$B$33,'Inputs'!$B$29+'Inputs'!$B$31+'Inputs'!$B$32,'Inputs'!$B$30+'Inputs'!$B$31+'Inputs'!$B$32)/1000+'Inputs'!$B$21+'Inputs'!$B$7+'Inputs'!$B$10)+'Inputs'!$B$9)^2+('Inputs'!$B$8/2)^2)-(((933-43)*MAX('Inputs'!$B$33,'Inputs'!$B$29+'Inputs'!$B$31+'Inputs'!$B$32,'Inputs'!$B$30+'Inputs'!$B$31+'Inputs'!$B$32)/1000+'Inputs'!$B$21+'Inputs'!$B$7+'Inputs'!$B$10))/SQRT((((933-43)*MAX('Inputs'!$B$33,'Inputs'!$B$29+'Inputs'!$B$31+'Inputs'!$B$32,'Inputs'!$B$30+'Inputs'!$B$31+'Inputs'!$B$32)/1000+'Inputs'!$B$21+'Inputs'!$B$7+'Inputs'!$B$10))^2+('Inputs'!$B$8/2)^2))))*'Results'!$B$8))),"")</x:f>
        <x:v>0.46237921445980223</x:v>
      </x:c>
      <x:c r="L933" t="n">
        <x:f>IF(AND(ISNUMBER('Results'!B7),ISNUMBER('Results'!C7),ISNUMBER('Results'!$B$8),ISNUMBER('Inputs'!$B$6),ISNUMBER('Inputs'!$B$7),ISNUMBER('Inputs'!$B$8),ISNUMBER('Inputs'!$B$9),ISNUMBER('Inputs'!$B$10),ISNUMBER('Inputs'!$B$21),ISNUMBER('Inputs'!$B$24),ISNUMBER('Inputs'!$B$28)),((('Results'!B7*(1+'Inputs'!$B$24)*(0.5*((((933-43)*MAX('Inputs'!$B$33,'Inputs'!$B$29+'Inputs'!$B$31+'Inputs'!$B$32,'Inputs'!$B$30+'Inputs'!$B$31+'Inputs'!$B$32)/1000+'Inputs'!$B$21)+'Inputs'!$B$7)/SQRT((((933-43)*MAX('Inputs'!$B$33,'Inputs'!$B$29+'Inputs'!$B$31+'Inputs'!$B$32,'Inputs'!$B$30+'Inputs'!$B$31+'Inputs'!$B$32)/1000+'Inputs'!$B$21)+'Inputs'!$B$7)^2+('Inputs'!$B$6/2)^2)-(((933-43)*MAX('Inputs'!$B$33,'Inputs'!$B$29+'Inputs'!$B$31+'Inputs'!$B$32,'Inputs'!$B$30+'Inputs'!$B$31+'Inputs'!$B$32)/1000+'Inputs'!$B$21))/SQRT((((933-43)*MAX('Inputs'!$B$33,'Inputs'!$B$29+'Inputs'!$B$31+'Inputs'!$B$32,'Inputs'!$B$30+'Inputs'!$B$31+'Inputs'!$B$32)/1000+'Inputs'!$B$21))^2+('Inputs'!$B$6/2)^2)))-'Results'!C7*(1-'Inputs'!$B$24)*(0.5*((((933-43)*MAX('Inputs'!$B$33,'Inputs'!$B$29+'Inputs'!$B$31+'Inputs'!$B$32,'Inputs'!$B$30+'Inputs'!$B$31+'Inputs'!$B$32)/1000+'Inputs'!$B$21+'Inputs'!$B$7+'Inputs'!$B$10)+'Inputs'!$B$9)/SQRT((((933-43)*MAX('Inputs'!$B$33,'Inputs'!$B$29+'Inputs'!$B$31+'Inputs'!$B$32,'Inputs'!$B$30+'Inputs'!$B$31+'Inputs'!$B$32)/1000+'Inputs'!$B$21+'Inputs'!$B$7+'Inputs'!$B$10)+'Inputs'!$B$9)^2+('Inputs'!$B$8/2)^2)-(((933-43)*MAX('Inputs'!$B$33,'Inputs'!$B$29+'Inputs'!$B$31+'Inputs'!$B$32,'Inputs'!$B$30+'Inputs'!$B$31+'Inputs'!$B$32)/1000+'Inputs'!$B$21+'Inputs'!$B$7+'Inputs'!$B$10))/SQRT((((933-43)*MAX('Inputs'!$B$33,'Inputs'!$B$29+'Inputs'!$B$31+'Inputs'!$B$32,'Inputs'!$B$30+'Inputs'!$B$31+'Inputs'!$B$32)/1000+'Inputs'!$B$21+'Inputs'!$B$7+'Inputs'!$B$10))^2+('Inputs'!$B$8/2)^2))))*'Results'!$B$8)+'Inputs'!$B$28*ABS((('Results'!B7*(1+'Inputs'!$B$24)*(0.5*((((933-43)*MAX('Inputs'!$B$33,'Inputs'!$B$29+'Inputs'!$B$31+'Inputs'!$B$32,'Inputs'!$B$30+'Inputs'!$B$31+'Inputs'!$B$32)/1000+'Inputs'!$B$21)+'Inputs'!$B$7)/SQRT((((933-43)*MAX('Inputs'!$B$33,'Inputs'!$B$29+'Inputs'!$B$31+'Inputs'!$B$32,'Inputs'!$B$30+'Inputs'!$B$31+'Inputs'!$B$32)/1000+'Inputs'!$B$21)+'Inputs'!$B$7)^2+('Inputs'!$B$6/2)^2)-(((933-43)*MAX('Inputs'!$B$33,'Inputs'!$B$29+'Inputs'!$B$31+'Inputs'!$B$32,'Inputs'!$B$30+'Inputs'!$B$31+'Inputs'!$B$32)/1000+'Inputs'!$B$21))/SQRT((((933-43)*MAX('Inputs'!$B$33,'Inputs'!$B$29+'Inputs'!$B$31+'Inputs'!$B$32,'Inputs'!$B$30+'Inputs'!$B$31+'Inputs'!$B$32)/1000+'Inputs'!$B$21))^2+('Inputs'!$B$6/2)^2)))-'Results'!C7*(1-'Inputs'!$B$24)*(0.5*((((933-43)*MAX('Inputs'!$B$33,'Inputs'!$B$29+'Inputs'!$B$31+'Inputs'!$B$32,'Inputs'!$B$30+'Inputs'!$B$31+'Inputs'!$B$32)/1000+'Inputs'!$B$21+'Inputs'!$B$7+'Inputs'!$B$10)+'Inputs'!$B$9)/SQRT((((933-43)*MAX('Inputs'!$B$33,'Inputs'!$B$29+'Inputs'!$B$31+'Inputs'!$B$32,'Inputs'!$B$30+'Inputs'!$B$31+'Inputs'!$B$32)/1000+'Inputs'!$B$21+'Inputs'!$B$7+'Inputs'!$B$10)+'Inputs'!$B$9)^2+('Inputs'!$B$8/2)^2)-(((933-43)*MAX('Inputs'!$B$33,'Inputs'!$B$29+'Inputs'!$B$31+'Inputs'!$B$32,'Inputs'!$B$30+'Inputs'!$B$31+'Inputs'!$B$32)/1000+'Inputs'!$B$21+'Inputs'!$B$7+'Inputs'!$B$10))/SQRT((((933-43)*MAX('Inputs'!$B$33,'Inputs'!$B$29+'Inputs'!$B$31+'Inputs'!$B$32,'Inputs'!$B$30+'Inputs'!$B$31+'Inputs'!$B$32)/1000+'Inputs'!$B$21+'Inputs'!$B$7+'Inputs'!$B$10))^2+('Inputs'!$B$8/2)^2))))*'Results'!$B$8))),"")</x:f>
        <x:v>0.6349983531796184</x:v>
      </x:c>
      <x:c r="M933" t="n">
        <x:f>IF(AND(ISNUMBER('Results'!C7),ISNUMBER('Results'!B7),ISNUMBER('Results'!$B$8),ISNUMBER('Inputs'!$B$6),ISNUMBER('Inputs'!$B$7),ISNUMBER('Inputs'!$B$8),ISNUMBER('Inputs'!$B$9),ISNUMBER('Inputs'!$B$10),ISNUMBER('Inputs'!$B$21),ISNUMBER('Inputs'!$B$24),ISNUMBER('Inputs'!$B$28)),(('Results'!C7*(0.5*((((933-43)*MAX('Inputs'!$B$33,'Inputs'!$B$29+'Inputs'!$B$31+'Inputs'!$B$32,'Inputs'!$B$30+'Inputs'!$B$31+'Inputs'!$B$32)/1000+'Inputs'!$B$21)+'Inputs'!$B$9)/SQRT((((933-43)*MAX('Inputs'!$B$33,'Inputs'!$B$29+'Inputs'!$B$31+'Inputs'!$B$32,'Inputs'!$B$30+'Inputs'!$B$31+'Inputs'!$B$32)/1000+'Inputs'!$B$21)+'Inputs'!$B$9)^2+('Inputs'!$B$8/2)^2)-(((933-43)*MAX('Inputs'!$B$33,'Inputs'!$B$29+'Inputs'!$B$31+'Inputs'!$B$32,'Inputs'!$B$30+'Inputs'!$B$31+'Inputs'!$B$32)/1000+'Inputs'!$B$21))/SQRT((((933-43)*MAX('Inputs'!$B$33,'Inputs'!$B$29+'Inputs'!$B$31+'Inputs'!$B$32,'Inputs'!$B$30+'Inputs'!$B$31+'Inputs'!$B$32)/1000+'Inputs'!$B$21))^2+('Inputs'!$B$8/2)^2)))-'Results'!B7*(0.5*((((933-43)*MAX('Inputs'!$B$33,'Inputs'!$B$29+'Inputs'!$B$31+'Inputs'!$B$32,'Inputs'!$B$30+'Inputs'!$B$31+'Inputs'!$B$32)/1000+'Inputs'!$B$21+'Inputs'!$B$9+'Inputs'!$B$10)+'Inputs'!$B$7)/SQRT((((933-43)*MAX('Inputs'!$B$33,'Inputs'!$B$29+'Inputs'!$B$31+'Inputs'!$B$32,'Inputs'!$B$30+'Inputs'!$B$31+'Inputs'!$B$32)/1000+'Inputs'!$B$21+'Inputs'!$B$9+'Inputs'!$B$10)+'Inputs'!$B$7)^2+('Inputs'!$B$6/2)^2)-(((933-43)*MAX('Inputs'!$B$33,'Inputs'!$B$29+'Inputs'!$B$31+'Inputs'!$B$32,'Inputs'!$B$30+'Inputs'!$B$31+'Inputs'!$B$32)/1000+'Inputs'!$B$21+'Inputs'!$B$9+'Inputs'!$B$10))/SQRT((((933-43)*MAX('Inputs'!$B$33,'Inputs'!$B$29+'Inputs'!$B$31+'Inputs'!$B$32,'Inputs'!$B$30+'Inputs'!$B$31+'Inputs'!$B$32)/1000+'Inputs'!$B$21+'Inputs'!$B$9+'Inputs'!$B$10))^2+('Inputs'!$B$6/2)^2))))*'Results'!$B$8),"")</x:f>
        <x:v>0.486224065304606</x:v>
      </x:c>
      <x:c r="N933" t="n">
        <x:f>IF(AND(ISNUMBER('Results'!C7),ISNUMBER('Results'!B7),ISNUMBER('Results'!$B$8),ISNUMBER('Inputs'!$B$6),ISNUMBER('Inputs'!$B$7),ISNUMBER('Inputs'!$B$8),ISNUMBER('Inputs'!$B$9),ISNUMBER('Inputs'!$B$10),ISNUMBER('Inputs'!$B$21),ISNUMBER('Inputs'!$B$24),ISNUMBER('Inputs'!$B$28)),((('Results'!C7*(1-'Inputs'!$B$24)*(0.5*((((933-43)*MAX('Inputs'!$B$33,'Inputs'!$B$29+'Inputs'!$B$31+'Inputs'!$B$32,'Inputs'!$B$30+'Inputs'!$B$31+'Inputs'!$B$32)/1000+'Inputs'!$B$21)+'Inputs'!$B$9)/SQRT((((933-43)*MAX('Inputs'!$B$33,'Inputs'!$B$29+'Inputs'!$B$31+'Inputs'!$B$32,'Inputs'!$B$30+'Inputs'!$B$31+'Inputs'!$B$32)/1000+'Inputs'!$B$21)+'Inputs'!$B$9)^2+('Inputs'!$B$8/2)^2)-(((933-43)*MAX('Inputs'!$B$33,'Inputs'!$B$29+'Inputs'!$B$31+'Inputs'!$B$32,'Inputs'!$B$30+'Inputs'!$B$31+'Inputs'!$B$32)/1000+'Inputs'!$B$21))/SQRT((((933-43)*MAX('Inputs'!$B$33,'Inputs'!$B$29+'Inputs'!$B$31+'Inputs'!$B$32,'Inputs'!$B$30+'Inputs'!$B$31+'Inputs'!$B$32)/1000+'Inputs'!$B$21))^2+('Inputs'!$B$8/2)^2)))-'Results'!B7*(1+'Inputs'!$B$24)*(0.5*((((933-43)*MAX('Inputs'!$B$33,'Inputs'!$B$29+'Inputs'!$B$31+'Inputs'!$B$32,'Inputs'!$B$30+'Inputs'!$B$31+'Inputs'!$B$32)/1000+'Inputs'!$B$21+'Inputs'!$B$9+'Inputs'!$B$10)+'Inputs'!$B$7)/SQRT((((933-43)*MAX('Inputs'!$B$33,'Inputs'!$B$29+'Inputs'!$B$31+'Inputs'!$B$32,'Inputs'!$B$30+'Inputs'!$B$31+'Inputs'!$B$32)/1000+'Inputs'!$B$21+'Inputs'!$B$9+'Inputs'!$B$10)+'Inputs'!$B$7)^2+('Inputs'!$B$6/2)^2)-(((933-43)*MAX('Inputs'!$B$33,'Inputs'!$B$29+'Inputs'!$B$31+'Inputs'!$B$32,'Inputs'!$B$30+'Inputs'!$B$31+'Inputs'!$B$32)/1000+'Inputs'!$B$21+'Inputs'!$B$9+'Inputs'!$B$10))/SQRT((((933-43)*MAX('Inputs'!$B$33,'Inputs'!$B$29+'Inputs'!$B$31+'Inputs'!$B$32,'Inputs'!$B$30+'Inputs'!$B$31+'Inputs'!$B$32)/1000+'Inputs'!$B$21+'Inputs'!$B$9+'Inputs'!$B$10))^2+('Inputs'!$B$6/2)^2))))*'Results'!$B$8)-'Inputs'!$B$28*ABS((('Results'!C7*(1-'Inputs'!$B$24)*(0.5*((((933-43)*MAX('Inputs'!$B$33,'Inputs'!$B$29+'Inputs'!$B$31+'Inputs'!$B$32,'Inputs'!$B$30+'Inputs'!$B$31+'Inputs'!$B$32)/1000+'Inputs'!$B$21)+'Inputs'!$B$9)/SQRT((((933-43)*MAX('Inputs'!$B$33,'Inputs'!$B$29+'Inputs'!$B$31+'Inputs'!$B$32,'Inputs'!$B$30+'Inputs'!$B$31+'Inputs'!$B$32)/1000+'Inputs'!$B$21)+'Inputs'!$B$9)^2+('Inputs'!$B$8/2)^2)-(((933-43)*MAX('Inputs'!$B$33,'Inputs'!$B$29+'Inputs'!$B$31+'Inputs'!$B$32,'Inputs'!$B$30+'Inputs'!$B$31+'Inputs'!$B$32)/1000+'Inputs'!$B$21))/SQRT((((933-43)*MAX('Inputs'!$B$33,'Inputs'!$B$29+'Inputs'!$B$31+'Inputs'!$B$32,'Inputs'!$B$30+'Inputs'!$B$31+'Inputs'!$B$32)/1000+'Inputs'!$B$21))^2+('Inputs'!$B$8/2)^2)))-'Results'!B7*(1+'Inputs'!$B$24)*(0.5*((((933-43)*MAX('Inputs'!$B$33,'Inputs'!$B$29+'Inputs'!$B$31+'Inputs'!$B$32,'Inputs'!$B$30+'Inputs'!$B$31+'Inputs'!$B$32)/1000+'Inputs'!$B$21+'Inputs'!$B$9+'Inputs'!$B$10)+'Inputs'!$B$7)/SQRT((((933-43)*MAX('Inputs'!$B$33,'Inputs'!$B$29+'Inputs'!$B$31+'Inputs'!$B$32,'Inputs'!$B$30+'Inputs'!$B$31+'Inputs'!$B$32)/1000+'Inputs'!$B$21+'Inputs'!$B$9+'Inputs'!$B$10)+'Inputs'!$B$7)^2+('Inputs'!$B$6/2)^2)-(((933-43)*MAX('Inputs'!$B$33,'Inputs'!$B$29+'Inputs'!$B$31+'Inputs'!$B$32,'Inputs'!$B$30+'Inputs'!$B$31+'Inputs'!$B$32)/1000+'Inputs'!$B$21+'Inputs'!$B$9+'Inputs'!$B$10))/SQRT((((933-43)*MAX('Inputs'!$B$33,'Inputs'!$B$29+'Inputs'!$B$31+'Inputs'!$B$32,'Inputs'!$B$30+'Inputs'!$B$31+'Inputs'!$B$32)/1000+'Inputs'!$B$21+'Inputs'!$B$9+'Inputs'!$B$10))^2+('Inputs'!$B$6/2)^2))))*'Results'!$B$8))),"")</x:f>
        <x:v>0.4060393627559369</x:v>
      </x:c>
      <x:c r="O933" t="n">
        <x:f>IF(AND(ISNUMBER('Results'!C7),ISNUMBER('Results'!B7),ISNUMBER('Results'!$B$8),ISNUMBER('Inputs'!$B$6),ISNUMBER('Inputs'!$B$7),ISNUMBER('Inputs'!$B$8),ISNUMBER('Inputs'!$B$9),ISNUMBER('Inputs'!$B$10),ISNUMBER('Inputs'!$B$21),ISNUMBER('Inputs'!$B$24),ISNUMBER('Inputs'!$B$28)),((('Results'!C7*(1+'Inputs'!$B$24)*(0.5*((((933-43)*MAX('Inputs'!$B$33,'Inputs'!$B$29+'Inputs'!$B$31+'Inputs'!$B$32,'Inputs'!$B$30+'Inputs'!$B$31+'Inputs'!$B$32)/1000+'Inputs'!$B$21)+'Inputs'!$B$9)/SQRT((((933-43)*MAX('Inputs'!$B$33,'Inputs'!$B$29+'Inputs'!$B$31+'Inputs'!$B$32,'Inputs'!$B$30+'Inputs'!$B$31+'Inputs'!$B$32)/1000+'Inputs'!$B$21)+'Inputs'!$B$9)^2+('Inputs'!$B$8/2)^2)-(((933-43)*MAX('Inputs'!$B$33,'Inputs'!$B$29+'Inputs'!$B$31+'Inputs'!$B$32,'Inputs'!$B$30+'Inputs'!$B$31+'Inputs'!$B$32)/1000+'Inputs'!$B$21))/SQRT((((933-43)*MAX('Inputs'!$B$33,'Inputs'!$B$29+'Inputs'!$B$31+'Inputs'!$B$32,'Inputs'!$B$30+'Inputs'!$B$31+'Inputs'!$B$32)/1000+'Inputs'!$B$21))^2+('Inputs'!$B$8/2)^2)))-'Results'!B7*(1-'Inputs'!$B$24)*(0.5*((((933-43)*MAX('Inputs'!$B$33,'Inputs'!$B$29+'Inputs'!$B$31+'Inputs'!$B$32,'Inputs'!$B$30+'Inputs'!$B$31+'Inputs'!$B$32)/1000+'Inputs'!$B$21+'Inputs'!$B$9+'Inputs'!$B$10)+'Inputs'!$B$7)/SQRT((((933-43)*MAX('Inputs'!$B$33,'Inputs'!$B$29+'Inputs'!$B$31+'Inputs'!$B$32,'Inputs'!$B$30+'Inputs'!$B$31+'Inputs'!$B$32)/1000+'Inputs'!$B$21+'Inputs'!$B$9+'Inputs'!$B$10)+'Inputs'!$B$7)^2+('Inputs'!$B$6/2)^2)-(((933-43)*MAX('Inputs'!$B$33,'Inputs'!$B$29+'Inputs'!$B$31+'Inputs'!$B$32,'Inputs'!$B$30+'Inputs'!$B$31+'Inputs'!$B$32)/1000+'Inputs'!$B$21+'Inputs'!$B$9+'Inputs'!$B$10))/SQRT((((933-43)*MAX('Inputs'!$B$33,'Inputs'!$B$29+'Inputs'!$B$31+'Inputs'!$B$32,'Inputs'!$B$30+'Inputs'!$B$31+'Inputs'!$B$32)/1000+'Inputs'!$B$21+'Inputs'!$B$9+'Inputs'!$B$10))^2+('Inputs'!$B$6/2)^2))))*'Results'!$B$8)+'Inputs'!$B$28*ABS((('Results'!C7*(1+'Inputs'!$B$24)*(0.5*((((933-43)*MAX('Inputs'!$B$33,'Inputs'!$B$29+'Inputs'!$B$31+'Inputs'!$B$32,'Inputs'!$B$30+'Inputs'!$B$31+'Inputs'!$B$32)/1000+'Inputs'!$B$21)+'Inputs'!$B$9)/SQRT((((933-43)*MAX('Inputs'!$B$33,'Inputs'!$B$29+'Inputs'!$B$31+'Inputs'!$B$32,'Inputs'!$B$30+'Inputs'!$B$31+'Inputs'!$B$32)/1000+'Inputs'!$B$21)+'Inputs'!$B$9)^2+('Inputs'!$B$8/2)^2)-(((933-43)*MAX('Inputs'!$B$33,'Inputs'!$B$29+'Inputs'!$B$31+'Inputs'!$B$32,'Inputs'!$B$30+'Inputs'!$B$31+'Inputs'!$B$32)/1000+'Inputs'!$B$21))/SQRT((((933-43)*MAX('Inputs'!$B$33,'Inputs'!$B$29+'Inputs'!$B$31+'Inputs'!$B$32,'Inputs'!$B$30+'Inputs'!$B$31+'Inputs'!$B$32)/1000+'Inputs'!$B$21))^2+('Inputs'!$B$8/2)^2)))-'Results'!B7*(1-'Inputs'!$B$24)*(0.5*((((933-43)*MAX('Inputs'!$B$33,'Inputs'!$B$29+'Inputs'!$B$31+'Inputs'!$B$32,'Inputs'!$B$30+'Inputs'!$B$31+'Inputs'!$B$32)/1000+'Inputs'!$B$21+'Inputs'!$B$9+'Inputs'!$B$10)+'Inputs'!$B$7)/SQRT((((933-43)*MAX('Inputs'!$B$33,'Inputs'!$B$29+'Inputs'!$B$31+'Inputs'!$B$32,'Inputs'!$B$30+'Inputs'!$B$31+'Inputs'!$B$32)/1000+'Inputs'!$B$21+'Inputs'!$B$9+'Inputs'!$B$10)+'Inputs'!$B$7)^2+('Inputs'!$B$6/2)^2)-(((933-43)*MAX('Inputs'!$B$33,'Inputs'!$B$29+'Inputs'!$B$31+'Inputs'!$B$32,'Inputs'!$B$30+'Inputs'!$B$31+'Inputs'!$B$32)/1000+'Inputs'!$B$21+'Inputs'!$B$9+'Inputs'!$B$10))/SQRT((((933-43)*MAX('Inputs'!$B$33,'Inputs'!$B$29+'Inputs'!$B$31+'Inputs'!$B$32,'Inputs'!$B$30+'Inputs'!$B$31+'Inputs'!$B$32)/1000+'Inputs'!$B$21+'Inputs'!$B$9+'Inputs'!$B$10))^2+('Inputs'!$B$6/2)^2))))*'Results'!$B$8))),"")</x:f>
        <x:v>0.5722901888304797</x:v>
      </x:c>
      <x:c r="P933" t="n">
        <x:f>IF(AND(MAX(J933,J932)&gt;0,J933&gt;J932+0.00000001),1,0)</x:f>
        <x:v>0</x:v>
      </x:c>
      <x:c r="Q933" t="n">
        <x:f>IF(AND(MAX(K933,K932)&gt;0,K933&gt;K932+0.00000001),1,0)</x:f>
        <x:v>0</x:v>
      </x:c>
      <x:c r="R933" t="n">
        <x:f>IF(AND(MAX(L933,L932)&gt;0,L933&gt;L932+0.00000001),1,0)</x:f>
        <x:v>0</x:v>
      </x:c>
      <x:c r="S933" t="n">
        <x:f>IF(AND(MAX(M933,M932)&gt;0,M933&gt;M932+0.00000001),1,0)</x:f>
        <x:v>0</x:v>
      </x:c>
      <x:c r="T933" t="n">
        <x:f>IF(AND(MAX(N933,N932)&gt;0,N933&gt;N932+0.00000001),1,0)</x:f>
        <x:v>0</x:v>
      </x:c>
      <x:c r="U933" t="n">
        <x:f>IF(AND(MAX(O933,O932)&gt;0,O933&gt;O932+0.00000001),1,0)</x:f>
        <x:v>0</x:v>
      </x:c>
    </x:row>
    <x:row r="934">
      <x:c r="J934" t="n">
        <x:f>IF(AND(ISNUMBER('Results'!B7),ISNUMBER('Results'!C7),ISNUMBER('Results'!$B$8),ISNUMBER('Inputs'!$B$6),ISNUMBER('Inputs'!$B$7),ISNUMBER('Inputs'!$B$8),ISNUMBER('Inputs'!$B$9),ISNUMBER('Inputs'!$B$10),ISNUMBER('Inputs'!$B$21),ISNUMBER('Inputs'!$B$24),ISNUMBER('Inputs'!$B$28)),(('Results'!B7*(0.5*((((934-43)*MAX('Inputs'!$B$33,'Inputs'!$B$29+'Inputs'!$B$31+'Inputs'!$B$32,'Inputs'!$B$30+'Inputs'!$B$31+'Inputs'!$B$32)/1000+'Inputs'!$B$21)+'Inputs'!$B$7)/SQRT((((934-43)*MAX('Inputs'!$B$33,'Inputs'!$B$29+'Inputs'!$B$31+'Inputs'!$B$32,'Inputs'!$B$30+'Inputs'!$B$31+'Inputs'!$B$32)/1000+'Inputs'!$B$21)+'Inputs'!$B$7)^2+('Inputs'!$B$6/2)^2)-(((934-43)*MAX('Inputs'!$B$33,'Inputs'!$B$29+'Inputs'!$B$31+'Inputs'!$B$32,'Inputs'!$B$30+'Inputs'!$B$31+'Inputs'!$B$32)/1000+'Inputs'!$B$21))/SQRT((((934-43)*MAX('Inputs'!$B$33,'Inputs'!$B$29+'Inputs'!$B$31+'Inputs'!$B$32,'Inputs'!$B$30+'Inputs'!$B$31+'Inputs'!$B$32)/1000+'Inputs'!$B$21))^2+('Inputs'!$B$6/2)^2)))-'Results'!C7*(0.5*((((934-43)*MAX('Inputs'!$B$33,'Inputs'!$B$29+'Inputs'!$B$31+'Inputs'!$B$32,'Inputs'!$B$30+'Inputs'!$B$31+'Inputs'!$B$32)/1000+'Inputs'!$B$21+'Inputs'!$B$7+'Inputs'!$B$10)+'Inputs'!$B$9)/SQRT((((934-43)*MAX('Inputs'!$B$33,'Inputs'!$B$29+'Inputs'!$B$31+'Inputs'!$B$32,'Inputs'!$B$30+'Inputs'!$B$31+'Inputs'!$B$32)/1000+'Inputs'!$B$21+'Inputs'!$B$7+'Inputs'!$B$10)+'Inputs'!$B$9)^2+('Inputs'!$B$8/2)^2)-(((934-43)*MAX('Inputs'!$B$33,'Inputs'!$B$29+'Inputs'!$B$31+'Inputs'!$B$32,'Inputs'!$B$30+'Inputs'!$B$31+'Inputs'!$B$32)/1000+'Inputs'!$B$21+'Inputs'!$B$7+'Inputs'!$B$10))/SQRT((((934-43)*MAX('Inputs'!$B$33,'Inputs'!$B$29+'Inputs'!$B$31+'Inputs'!$B$32,'Inputs'!$B$30+'Inputs'!$B$31+'Inputs'!$B$32)/1000+'Inputs'!$B$21+'Inputs'!$B$7+'Inputs'!$B$10))^2+('Inputs'!$B$8/2)^2))))*'Results'!$B$8),"")</x:f>
        <x:v>0.5435206754692958</x:v>
      </x:c>
      <x:c r="K934" t="n">
        <x:f>IF(AND(ISNUMBER('Results'!B7),ISNUMBER('Results'!C7),ISNUMBER('Results'!$B$8),ISNUMBER('Inputs'!$B$6),ISNUMBER('Inputs'!$B$7),ISNUMBER('Inputs'!$B$8),ISNUMBER('Inputs'!$B$9),ISNUMBER('Inputs'!$B$10),ISNUMBER('Inputs'!$B$21),ISNUMBER('Inputs'!$B$24),ISNUMBER('Inputs'!$B$28)),((('Results'!B7*(1-'Inputs'!$B$24)*(0.5*((((934-43)*MAX('Inputs'!$B$33,'Inputs'!$B$29+'Inputs'!$B$31+'Inputs'!$B$32,'Inputs'!$B$30+'Inputs'!$B$31+'Inputs'!$B$32)/1000+'Inputs'!$B$21)+'Inputs'!$B$7)/SQRT((((934-43)*MAX('Inputs'!$B$33,'Inputs'!$B$29+'Inputs'!$B$31+'Inputs'!$B$32,'Inputs'!$B$30+'Inputs'!$B$31+'Inputs'!$B$32)/1000+'Inputs'!$B$21)+'Inputs'!$B$7)^2+('Inputs'!$B$6/2)^2)-(((934-43)*MAX('Inputs'!$B$33,'Inputs'!$B$29+'Inputs'!$B$31+'Inputs'!$B$32,'Inputs'!$B$30+'Inputs'!$B$31+'Inputs'!$B$32)/1000+'Inputs'!$B$21))/SQRT((((934-43)*MAX('Inputs'!$B$33,'Inputs'!$B$29+'Inputs'!$B$31+'Inputs'!$B$32,'Inputs'!$B$30+'Inputs'!$B$31+'Inputs'!$B$32)/1000+'Inputs'!$B$21))^2+('Inputs'!$B$6/2)^2)))-'Results'!C7*(1+'Inputs'!$B$24)*(0.5*((((934-43)*MAX('Inputs'!$B$33,'Inputs'!$B$29+'Inputs'!$B$31+'Inputs'!$B$32,'Inputs'!$B$30+'Inputs'!$B$31+'Inputs'!$B$32)/1000+'Inputs'!$B$21+'Inputs'!$B$7+'Inputs'!$B$10)+'Inputs'!$B$9)/SQRT((((934-43)*MAX('Inputs'!$B$33,'Inputs'!$B$29+'Inputs'!$B$31+'Inputs'!$B$32,'Inputs'!$B$30+'Inputs'!$B$31+'Inputs'!$B$32)/1000+'Inputs'!$B$21+'Inputs'!$B$7+'Inputs'!$B$10)+'Inputs'!$B$9)^2+('Inputs'!$B$8/2)^2)-(((934-43)*MAX('Inputs'!$B$33,'Inputs'!$B$29+'Inputs'!$B$31+'Inputs'!$B$32,'Inputs'!$B$30+'Inputs'!$B$31+'Inputs'!$B$32)/1000+'Inputs'!$B$21+'Inputs'!$B$7+'Inputs'!$B$10))/SQRT((((934-43)*MAX('Inputs'!$B$33,'Inputs'!$B$29+'Inputs'!$B$31+'Inputs'!$B$32,'Inputs'!$B$30+'Inputs'!$B$31+'Inputs'!$B$32)/1000+'Inputs'!$B$21+'Inputs'!$B$7+'Inputs'!$B$10))^2+('Inputs'!$B$8/2)^2))))*'Results'!$B$8)-'Inputs'!$B$28*ABS((('Results'!B7*(1-'Inputs'!$B$24)*(0.5*((((934-43)*MAX('Inputs'!$B$33,'Inputs'!$B$29+'Inputs'!$B$31+'Inputs'!$B$32,'Inputs'!$B$30+'Inputs'!$B$31+'Inputs'!$B$32)/1000+'Inputs'!$B$21)+'Inputs'!$B$7)/SQRT((((934-43)*MAX('Inputs'!$B$33,'Inputs'!$B$29+'Inputs'!$B$31+'Inputs'!$B$32,'Inputs'!$B$30+'Inputs'!$B$31+'Inputs'!$B$32)/1000+'Inputs'!$B$21)+'Inputs'!$B$7)^2+('Inputs'!$B$6/2)^2)-(((934-43)*MAX('Inputs'!$B$33,'Inputs'!$B$29+'Inputs'!$B$31+'Inputs'!$B$32,'Inputs'!$B$30+'Inputs'!$B$31+'Inputs'!$B$32)/1000+'Inputs'!$B$21))/SQRT((((934-43)*MAX('Inputs'!$B$33,'Inputs'!$B$29+'Inputs'!$B$31+'Inputs'!$B$32,'Inputs'!$B$30+'Inputs'!$B$31+'Inputs'!$B$32)/1000+'Inputs'!$B$21))^2+('Inputs'!$B$6/2)^2)))-'Results'!C7*(1+'Inputs'!$B$24)*(0.5*((((934-43)*MAX('Inputs'!$B$33,'Inputs'!$B$29+'Inputs'!$B$31+'Inputs'!$B$32,'Inputs'!$B$30+'Inputs'!$B$31+'Inputs'!$B$32)/1000+'Inputs'!$B$21+'Inputs'!$B$7+'Inputs'!$B$10)+'Inputs'!$B$9)/SQRT((((934-43)*MAX('Inputs'!$B$33,'Inputs'!$B$29+'Inputs'!$B$31+'Inputs'!$B$32,'Inputs'!$B$30+'Inputs'!$B$31+'Inputs'!$B$32)/1000+'Inputs'!$B$21+'Inputs'!$B$7+'Inputs'!$B$10)+'Inputs'!$B$9)^2+('Inputs'!$B$8/2)^2)-(((934-43)*MAX('Inputs'!$B$33,'Inputs'!$B$29+'Inputs'!$B$31+'Inputs'!$B$32,'Inputs'!$B$30+'Inputs'!$B$31+'Inputs'!$B$32)/1000+'Inputs'!$B$21+'Inputs'!$B$7+'Inputs'!$B$10))/SQRT((((934-43)*MAX('Inputs'!$B$33,'Inputs'!$B$29+'Inputs'!$B$31+'Inputs'!$B$32,'Inputs'!$B$30+'Inputs'!$B$31+'Inputs'!$B$32)/1000+'Inputs'!$B$21+'Inputs'!$B$7+'Inputs'!$B$10))^2+('Inputs'!$B$8/2)^2))))*'Results'!$B$8))),"")</x:f>
        <x:v>0.4604480454867752</x:v>
      </x:c>
      <x:c r="L934" t="n">
        <x:f>IF(AND(ISNUMBER('Results'!B7),ISNUMBER('Results'!C7),ISNUMBER('Results'!$B$8),ISNUMBER('Inputs'!$B$6),ISNUMBER('Inputs'!$B$7),ISNUMBER('Inputs'!$B$8),ISNUMBER('Inputs'!$B$9),ISNUMBER('Inputs'!$B$10),ISNUMBER('Inputs'!$B$21),ISNUMBER('Inputs'!$B$24),ISNUMBER('Inputs'!$B$28)),((('Results'!B7*(1+'Inputs'!$B$24)*(0.5*((((934-43)*MAX('Inputs'!$B$33,'Inputs'!$B$29+'Inputs'!$B$31+'Inputs'!$B$32,'Inputs'!$B$30+'Inputs'!$B$31+'Inputs'!$B$32)/1000+'Inputs'!$B$21)+'Inputs'!$B$7)/SQRT((((934-43)*MAX('Inputs'!$B$33,'Inputs'!$B$29+'Inputs'!$B$31+'Inputs'!$B$32,'Inputs'!$B$30+'Inputs'!$B$31+'Inputs'!$B$32)/1000+'Inputs'!$B$21)+'Inputs'!$B$7)^2+('Inputs'!$B$6/2)^2)-(((934-43)*MAX('Inputs'!$B$33,'Inputs'!$B$29+'Inputs'!$B$31+'Inputs'!$B$32,'Inputs'!$B$30+'Inputs'!$B$31+'Inputs'!$B$32)/1000+'Inputs'!$B$21))/SQRT((((934-43)*MAX('Inputs'!$B$33,'Inputs'!$B$29+'Inputs'!$B$31+'Inputs'!$B$32,'Inputs'!$B$30+'Inputs'!$B$31+'Inputs'!$B$32)/1000+'Inputs'!$B$21))^2+('Inputs'!$B$6/2)^2)))-'Results'!C7*(1-'Inputs'!$B$24)*(0.5*((((934-43)*MAX('Inputs'!$B$33,'Inputs'!$B$29+'Inputs'!$B$31+'Inputs'!$B$32,'Inputs'!$B$30+'Inputs'!$B$31+'Inputs'!$B$32)/1000+'Inputs'!$B$21+'Inputs'!$B$7+'Inputs'!$B$10)+'Inputs'!$B$9)/SQRT((((934-43)*MAX('Inputs'!$B$33,'Inputs'!$B$29+'Inputs'!$B$31+'Inputs'!$B$32,'Inputs'!$B$30+'Inputs'!$B$31+'Inputs'!$B$32)/1000+'Inputs'!$B$21+'Inputs'!$B$7+'Inputs'!$B$10)+'Inputs'!$B$9)^2+('Inputs'!$B$8/2)^2)-(((934-43)*MAX('Inputs'!$B$33,'Inputs'!$B$29+'Inputs'!$B$31+'Inputs'!$B$32,'Inputs'!$B$30+'Inputs'!$B$31+'Inputs'!$B$32)/1000+'Inputs'!$B$21+'Inputs'!$B$7+'Inputs'!$B$10))/SQRT((((934-43)*MAX('Inputs'!$B$33,'Inputs'!$B$29+'Inputs'!$B$31+'Inputs'!$B$32,'Inputs'!$B$30+'Inputs'!$B$31+'Inputs'!$B$32)/1000+'Inputs'!$B$21+'Inputs'!$B$7+'Inputs'!$B$10))^2+('Inputs'!$B$8/2)^2))))*'Results'!$B$8)+'Inputs'!$B$28*ABS((('Results'!B7*(1+'Inputs'!$B$24)*(0.5*((((934-43)*MAX('Inputs'!$B$33,'Inputs'!$B$29+'Inputs'!$B$31+'Inputs'!$B$32,'Inputs'!$B$30+'Inputs'!$B$31+'Inputs'!$B$32)/1000+'Inputs'!$B$21)+'Inputs'!$B$7)/SQRT((((934-43)*MAX('Inputs'!$B$33,'Inputs'!$B$29+'Inputs'!$B$31+'Inputs'!$B$32,'Inputs'!$B$30+'Inputs'!$B$31+'Inputs'!$B$32)/1000+'Inputs'!$B$21)+'Inputs'!$B$7)^2+('Inputs'!$B$6/2)^2)-(((934-43)*MAX('Inputs'!$B$33,'Inputs'!$B$29+'Inputs'!$B$31+'Inputs'!$B$32,'Inputs'!$B$30+'Inputs'!$B$31+'Inputs'!$B$32)/1000+'Inputs'!$B$21))/SQRT((((934-43)*MAX('Inputs'!$B$33,'Inputs'!$B$29+'Inputs'!$B$31+'Inputs'!$B$32,'Inputs'!$B$30+'Inputs'!$B$31+'Inputs'!$B$32)/1000+'Inputs'!$B$21))^2+('Inputs'!$B$6/2)^2)))-'Results'!C7*(1-'Inputs'!$B$24)*(0.5*((((934-43)*MAX('Inputs'!$B$33,'Inputs'!$B$29+'Inputs'!$B$31+'Inputs'!$B$32,'Inputs'!$B$30+'Inputs'!$B$31+'Inputs'!$B$32)/1000+'Inputs'!$B$21+'Inputs'!$B$7+'Inputs'!$B$10)+'Inputs'!$B$9)/SQRT((((934-43)*MAX('Inputs'!$B$33,'Inputs'!$B$29+'Inputs'!$B$31+'Inputs'!$B$32,'Inputs'!$B$30+'Inputs'!$B$31+'Inputs'!$B$32)/1000+'Inputs'!$B$21+'Inputs'!$B$7+'Inputs'!$B$10)+'Inputs'!$B$9)^2+('Inputs'!$B$8/2)^2)-(((934-43)*MAX('Inputs'!$B$33,'Inputs'!$B$29+'Inputs'!$B$31+'Inputs'!$B$32,'Inputs'!$B$30+'Inputs'!$B$31+'Inputs'!$B$32)/1000+'Inputs'!$B$21+'Inputs'!$B$7+'Inputs'!$B$10))/SQRT((((934-43)*MAX('Inputs'!$B$33,'Inputs'!$B$29+'Inputs'!$B$31+'Inputs'!$B$32,'Inputs'!$B$30+'Inputs'!$B$31+'Inputs'!$B$32)/1000+'Inputs'!$B$21+'Inputs'!$B$7+'Inputs'!$B$10))^2+('Inputs'!$B$8/2)^2))))*'Results'!$B$8))),"")</x:f>
        <x:v>0.6324771576843486</x:v>
      </x:c>
      <x:c r="M934" t="n">
        <x:f>IF(AND(ISNUMBER('Results'!C7),ISNUMBER('Results'!B7),ISNUMBER('Results'!$B$8),ISNUMBER('Inputs'!$B$6),ISNUMBER('Inputs'!$B$7),ISNUMBER('Inputs'!$B$8),ISNUMBER('Inputs'!$B$9),ISNUMBER('Inputs'!$B$10),ISNUMBER('Inputs'!$B$21),ISNUMBER('Inputs'!$B$24),ISNUMBER('Inputs'!$B$28)),(('Results'!C7*(0.5*((((934-43)*MAX('Inputs'!$B$33,'Inputs'!$B$29+'Inputs'!$B$31+'Inputs'!$B$32,'Inputs'!$B$30+'Inputs'!$B$31+'Inputs'!$B$32)/1000+'Inputs'!$B$21)+'Inputs'!$B$9)/SQRT((((934-43)*MAX('Inputs'!$B$33,'Inputs'!$B$29+'Inputs'!$B$31+'Inputs'!$B$32,'Inputs'!$B$30+'Inputs'!$B$31+'Inputs'!$B$32)/1000+'Inputs'!$B$21)+'Inputs'!$B$9)^2+('Inputs'!$B$8/2)^2)-(((934-43)*MAX('Inputs'!$B$33,'Inputs'!$B$29+'Inputs'!$B$31+'Inputs'!$B$32,'Inputs'!$B$30+'Inputs'!$B$31+'Inputs'!$B$32)/1000+'Inputs'!$B$21))/SQRT((((934-43)*MAX('Inputs'!$B$33,'Inputs'!$B$29+'Inputs'!$B$31+'Inputs'!$B$32,'Inputs'!$B$30+'Inputs'!$B$31+'Inputs'!$B$32)/1000+'Inputs'!$B$21))^2+('Inputs'!$B$8/2)^2)))-'Results'!B7*(0.5*((((934-43)*MAX('Inputs'!$B$33,'Inputs'!$B$29+'Inputs'!$B$31+'Inputs'!$B$32,'Inputs'!$B$30+'Inputs'!$B$31+'Inputs'!$B$32)/1000+'Inputs'!$B$21+'Inputs'!$B$9+'Inputs'!$B$10)+'Inputs'!$B$7)/SQRT((((934-43)*MAX('Inputs'!$B$33,'Inputs'!$B$29+'Inputs'!$B$31+'Inputs'!$B$32,'Inputs'!$B$30+'Inputs'!$B$31+'Inputs'!$B$32)/1000+'Inputs'!$B$21+'Inputs'!$B$9+'Inputs'!$B$10)+'Inputs'!$B$7)^2+('Inputs'!$B$6/2)^2)-(((934-43)*MAX('Inputs'!$B$33,'Inputs'!$B$29+'Inputs'!$B$31+'Inputs'!$B$32,'Inputs'!$B$30+'Inputs'!$B$31+'Inputs'!$B$32)/1000+'Inputs'!$B$21+'Inputs'!$B$9+'Inputs'!$B$10))/SQRT((((934-43)*MAX('Inputs'!$B$33,'Inputs'!$B$29+'Inputs'!$B$31+'Inputs'!$B$32,'Inputs'!$B$30+'Inputs'!$B$31+'Inputs'!$B$32)/1000+'Inputs'!$B$21+'Inputs'!$B$9+'Inputs'!$B$10))^2+('Inputs'!$B$6/2)^2))))*'Results'!$B$8),"")</x:f>
        <x:v>0.4841926826458523</x:v>
      </x:c>
      <x:c r="N934" t="n">
        <x:f>IF(AND(ISNUMBER('Results'!C7),ISNUMBER('Results'!B7),ISNUMBER('Results'!$B$8),ISNUMBER('Inputs'!$B$6),ISNUMBER('Inputs'!$B$7),ISNUMBER('Inputs'!$B$8),ISNUMBER('Inputs'!$B$9),ISNUMBER('Inputs'!$B$10),ISNUMBER('Inputs'!$B$21),ISNUMBER('Inputs'!$B$24),ISNUMBER('Inputs'!$B$28)),((('Results'!C7*(1-'Inputs'!$B$24)*(0.5*((((934-43)*MAX('Inputs'!$B$33,'Inputs'!$B$29+'Inputs'!$B$31+'Inputs'!$B$32,'Inputs'!$B$30+'Inputs'!$B$31+'Inputs'!$B$32)/1000+'Inputs'!$B$21)+'Inputs'!$B$9)/SQRT((((934-43)*MAX('Inputs'!$B$33,'Inputs'!$B$29+'Inputs'!$B$31+'Inputs'!$B$32,'Inputs'!$B$30+'Inputs'!$B$31+'Inputs'!$B$32)/1000+'Inputs'!$B$21)+'Inputs'!$B$9)^2+('Inputs'!$B$8/2)^2)-(((934-43)*MAX('Inputs'!$B$33,'Inputs'!$B$29+'Inputs'!$B$31+'Inputs'!$B$32,'Inputs'!$B$30+'Inputs'!$B$31+'Inputs'!$B$32)/1000+'Inputs'!$B$21))/SQRT((((934-43)*MAX('Inputs'!$B$33,'Inputs'!$B$29+'Inputs'!$B$31+'Inputs'!$B$32,'Inputs'!$B$30+'Inputs'!$B$31+'Inputs'!$B$32)/1000+'Inputs'!$B$21))^2+('Inputs'!$B$8/2)^2)))-'Results'!B7*(1+'Inputs'!$B$24)*(0.5*((((934-43)*MAX('Inputs'!$B$33,'Inputs'!$B$29+'Inputs'!$B$31+'Inputs'!$B$32,'Inputs'!$B$30+'Inputs'!$B$31+'Inputs'!$B$32)/1000+'Inputs'!$B$21+'Inputs'!$B$9+'Inputs'!$B$10)+'Inputs'!$B$7)/SQRT((((934-43)*MAX('Inputs'!$B$33,'Inputs'!$B$29+'Inputs'!$B$31+'Inputs'!$B$32,'Inputs'!$B$30+'Inputs'!$B$31+'Inputs'!$B$32)/1000+'Inputs'!$B$21+'Inputs'!$B$9+'Inputs'!$B$10)+'Inputs'!$B$7)^2+('Inputs'!$B$6/2)^2)-(((934-43)*MAX('Inputs'!$B$33,'Inputs'!$B$29+'Inputs'!$B$31+'Inputs'!$B$32,'Inputs'!$B$30+'Inputs'!$B$31+'Inputs'!$B$32)/1000+'Inputs'!$B$21+'Inputs'!$B$9+'Inputs'!$B$10))/SQRT((((934-43)*MAX('Inputs'!$B$33,'Inputs'!$B$29+'Inputs'!$B$31+'Inputs'!$B$32,'Inputs'!$B$30+'Inputs'!$B$31+'Inputs'!$B$32)/1000+'Inputs'!$B$21+'Inputs'!$B$9+'Inputs'!$B$10))^2+('Inputs'!$B$6/2)^2))))*'Results'!$B$8)-'Inputs'!$B$28*ABS((('Results'!C7*(1-'Inputs'!$B$24)*(0.5*((((934-43)*MAX('Inputs'!$B$33,'Inputs'!$B$29+'Inputs'!$B$31+'Inputs'!$B$32,'Inputs'!$B$30+'Inputs'!$B$31+'Inputs'!$B$32)/1000+'Inputs'!$B$21)+'Inputs'!$B$9)/SQRT((((934-43)*MAX('Inputs'!$B$33,'Inputs'!$B$29+'Inputs'!$B$31+'Inputs'!$B$32,'Inputs'!$B$30+'Inputs'!$B$31+'Inputs'!$B$32)/1000+'Inputs'!$B$21)+'Inputs'!$B$9)^2+('Inputs'!$B$8/2)^2)-(((934-43)*MAX('Inputs'!$B$33,'Inputs'!$B$29+'Inputs'!$B$31+'Inputs'!$B$32,'Inputs'!$B$30+'Inputs'!$B$31+'Inputs'!$B$32)/1000+'Inputs'!$B$21))/SQRT((((934-43)*MAX('Inputs'!$B$33,'Inputs'!$B$29+'Inputs'!$B$31+'Inputs'!$B$32,'Inputs'!$B$30+'Inputs'!$B$31+'Inputs'!$B$32)/1000+'Inputs'!$B$21))^2+('Inputs'!$B$8/2)^2)))-'Results'!B7*(1+'Inputs'!$B$24)*(0.5*((((934-43)*MAX('Inputs'!$B$33,'Inputs'!$B$29+'Inputs'!$B$31+'Inputs'!$B$32,'Inputs'!$B$30+'Inputs'!$B$31+'Inputs'!$B$32)/1000+'Inputs'!$B$21+'Inputs'!$B$9+'Inputs'!$B$10)+'Inputs'!$B$7)/SQRT((((934-43)*MAX('Inputs'!$B$33,'Inputs'!$B$29+'Inputs'!$B$31+'Inputs'!$B$32,'Inputs'!$B$30+'Inputs'!$B$31+'Inputs'!$B$32)/1000+'Inputs'!$B$21+'Inputs'!$B$9+'Inputs'!$B$10)+'Inputs'!$B$7)^2+('Inputs'!$B$6/2)^2)-(((934-43)*MAX('Inputs'!$B$33,'Inputs'!$B$29+'Inputs'!$B$31+'Inputs'!$B$32,'Inputs'!$B$30+'Inputs'!$B$31+'Inputs'!$B$32)/1000+'Inputs'!$B$21+'Inputs'!$B$9+'Inputs'!$B$10))/SQRT((((934-43)*MAX('Inputs'!$B$33,'Inputs'!$B$29+'Inputs'!$B$31+'Inputs'!$B$32,'Inputs'!$B$30+'Inputs'!$B$31+'Inputs'!$B$32)/1000+'Inputs'!$B$21+'Inputs'!$B$9+'Inputs'!$B$10))^2+('Inputs'!$B$6/2)^2))))*'Results'!$B$8))),"")</x:f>
        <x:v>0.404283690221718</x:v>
      </x:c>
      <x:c r="O934" t="n">
        <x:f>IF(AND(ISNUMBER('Results'!C7),ISNUMBER('Results'!B7),ISNUMBER('Results'!$B$8),ISNUMBER('Inputs'!$B$6),ISNUMBER('Inputs'!$B$7),ISNUMBER('Inputs'!$B$8),ISNUMBER('Inputs'!$B$9),ISNUMBER('Inputs'!$B$10),ISNUMBER('Inputs'!$B$21),ISNUMBER('Inputs'!$B$24),ISNUMBER('Inputs'!$B$28)),((('Results'!C7*(1+'Inputs'!$B$24)*(0.5*((((934-43)*MAX('Inputs'!$B$33,'Inputs'!$B$29+'Inputs'!$B$31+'Inputs'!$B$32,'Inputs'!$B$30+'Inputs'!$B$31+'Inputs'!$B$32)/1000+'Inputs'!$B$21)+'Inputs'!$B$9)/SQRT((((934-43)*MAX('Inputs'!$B$33,'Inputs'!$B$29+'Inputs'!$B$31+'Inputs'!$B$32,'Inputs'!$B$30+'Inputs'!$B$31+'Inputs'!$B$32)/1000+'Inputs'!$B$21)+'Inputs'!$B$9)^2+('Inputs'!$B$8/2)^2)-(((934-43)*MAX('Inputs'!$B$33,'Inputs'!$B$29+'Inputs'!$B$31+'Inputs'!$B$32,'Inputs'!$B$30+'Inputs'!$B$31+'Inputs'!$B$32)/1000+'Inputs'!$B$21))/SQRT((((934-43)*MAX('Inputs'!$B$33,'Inputs'!$B$29+'Inputs'!$B$31+'Inputs'!$B$32,'Inputs'!$B$30+'Inputs'!$B$31+'Inputs'!$B$32)/1000+'Inputs'!$B$21))^2+('Inputs'!$B$8/2)^2)))-'Results'!B7*(1-'Inputs'!$B$24)*(0.5*((((934-43)*MAX('Inputs'!$B$33,'Inputs'!$B$29+'Inputs'!$B$31+'Inputs'!$B$32,'Inputs'!$B$30+'Inputs'!$B$31+'Inputs'!$B$32)/1000+'Inputs'!$B$21+'Inputs'!$B$9+'Inputs'!$B$10)+'Inputs'!$B$7)/SQRT((((934-43)*MAX('Inputs'!$B$33,'Inputs'!$B$29+'Inputs'!$B$31+'Inputs'!$B$32,'Inputs'!$B$30+'Inputs'!$B$31+'Inputs'!$B$32)/1000+'Inputs'!$B$21+'Inputs'!$B$9+'Inputs'!$B$10)+'Inputs'!$B$7)^2+('Inputs'!$B$6/2)^2)-(((934-43)*MAX('Inputs'!$B$33,'Inputs'!$B$29+'Inputs'!$B$31+'Inputs'!$B$32,'Inputs'!$B$30+'Inputs'!$B$31+'Inputs'!$B$32)/1000+'Inputs'!$B$21+'Inputs'!$B$9+'Inputs'!$B$10))/SQRT((((934-43)*MAX('Inputs'!$B$33,'Inputs'!$B$29+'Inputs'!$B$31+'Inputs'!$B$32,'Inputs'!$B$30+'Inputs'!$B$31+'Inputs'!$B$32)/1000+'Inputs'!$B$21+'Inputs'!$B$9+'Inputs'!$B$10))^2+('Inputs'!$B$6/2)^2))))*'Results'!$B$8)+'Inputs'!$B$28*ABS((('Results'!C7*(1+'Inputs'!$B$24)*(0.5*((((934-43)*MAX('Inputs'!$B$33,'Inputs'!$B$29+'Inputs'!$B$31+'Inputs'!$B$32,'Inputs'!$B$30+'Inputs'!$B$31+'Inputs'!$B$32)/1000+'Inputs'!$B$21)+'Inputs'!$B$9)/SQRT((((934-43)*MAX('Inputs'!$B$33,'Inputs'!$B$29+'Inputs'!$B$31+'Inputs'!$B$32,'Inputs'!$B$30+'Inputs'!$B$31+'Inputs'!$B$32)/1000+'Inputs'!$B$21)+'Inputs'!$B$9)^2+('Inputs'!$B$8/2)^2)-(((934-43)*MAX('Inputs'!$B$33,'Inputs'!$B$29+'Inputs'!$B$31+'Inputs'!$B$32,'Inputs'!$B$30+'Inputs'!$B$31+'Inputs'!$B$32)/1000+'Inputs'!$B$21))/SQRT((((934-43)*MAX('Inputs'!$B$33,'Inputs'!$B$29+'Inputs'!$B$31+'Inputs'!$B$32,'Inputs'!$B$30+'Inputs'!$B$31+'Inputs'!$B$32)/1000+'Inputs'!$B$21))^2+('Inputs'!$B$8/2)^2)))-'Results'!B7*(1-'Inputs'!$B$24)*(0.5*((((934-43)*MAX('Inputs'!$B$33,'Inputs'!$B$29+'Inputs'!$B$31+'Inputs'!$B$32,'Inputs'!$B$30+'Inputs'!$B$31+'Inputs'!$B$32)/1000+'Inputs'!$B$21+'Inputs'!$B$9+'Inputs'!$B$10)+'Inputs'!$B$7)/SQRT((((934-43)*MAX('Inputs'!$B$33,'Inputs'!$B$29+'Inputs'!$B$31+'Inputs'!$B$32,'Inputs'!$B$30+'Inputs'!$B$31+'Inputs'!$B$32)/1000+'Inputs'!$B$21+'Inputs'!$B$9+'Inputs'!$B$10)+'Inputs'!$B$7)^2+('Inputs'!$B$6/2)^2)-(((934-43)*MAX('Inputs'!$B$33,'Inputs'!$B$29+'Inputs'!$B$31+'Inputs'!$B$32,'Inputs'!$B$30+'Inputs'!$B$31+'Inputs'!$B$32)/1000+'Inputs'!$B$21+'Inputs'!$B$9+'Inputs'!$B$10))/SQRT((((934-43)*MAX('Inputs'!$B$33,'Inputs'!$B$29+'Inputs'!$B$31+'Inputs'!$B$32,'Inputs'!$B$30+'Inputs'!$B$31+'Inputs'!$B$32)/1000+'Inputs'!$B$21+'Inputs'!$B$9+'Inputs'!$B$10))^2+('Inputs'!$B$6/2)^2))))*'Results'!$B$8))),"")</x:f>
        <x:v>0.5699647654164964</x:v>
      </x:c>
      <x:c r="P934" t="n">
        <x:f>IF(AND(MAX(J934,J933)&gt;0,J934&gt;J933+0.00000001),1,0)</x:f>
        <x:v>0</x:v>
      </x:c>
      <x:c r="Q934" t="n">
        <x:f>IF(AND(MAX(K934,K933)&gt;0,K934&gt;K933+0.00000001),1,0)</x:f>
        <x:v>0</x:v>
      </x:c>
      <x:c r="R934" t="n">
        <x:f>IF(AND(MAX(L934,L933)&gt;0,L934&gt;L933+0.00000001),1,0)</x:f>
        <x:v>0</x:v>
      </x:c>
      <x:c r="S934" t="n">
        <x:f>IF(AND(MAX(M934,M933)&gt;0,M934&gt;M933+0.00000001),1,0)</x:f>
        <x:v>0</x:v>
      </x:c>
      <x:c r="T934" t="n">
        <x:f>IF(AND(MAX(N934,N933)&gt;0,N934&gt;N933+0.00000001),1,0)</x:f>
        <x:v>0</x:v>
      </x:c>
      <x:c r="U934" t="n">
        <x:f>IF(AND(MAX(O934,O933)&gt;0,O934&gt;O933+0.00000001),1,0)</x:f>
        <x:v>0</x:v>
      </x:c>
    </x:row>
    <x:row r="935">
      <x:c r="J935" t="n">
        <x:f>IF(AND(ISNUMBER('Results'!B7),ISNUMBER('Results'!C7),ISNUMBER('Results'!$B$8),ISNUMBER('Inputs'!$B$6),ISNUMBER('Inputs'!$B$7),ISNUMBER('Inputs'!$B$8),ISNUMBER('Inputs'!$B$9),ISNUMBER('Inputs'!$B$10),ISNUMBER('Inputs'!$B$21),ISNUMBER('Inputs'!$B$24),ISNUMBER('Inputs'!$B$28)),(('Results'!B7*(0.5*((((935-43)*MAX('Inputs'!$B$33,'Inputs'!$B$29+'Inputs'!$B$31+'Inputs'!$B$32,'Inputs'!$B$30+'Inputs'!$B$31+'Inputs'!$B$32)/1000+'Inputs'!$B$21)+'Inputs'!$B$7)/SQRT((((935-43)*MAX('Inputs'!$B$33,'Inputs'!$B$29+'Inputs'!$B$31+'Inputs'!$B$32,'Inputs'!$B$30+'Inputs'!$B$31+'Inputs'!$B$32)/1000+'Inputs'!$B$21)+'Inputs'!$B$7)^2+('Inputs'!$B$6/2)^2)-(((935-43)*MAX('Inputs'!$B$33,'Inputs'!$B$29+'Inputs'!$B$31+'Inputs'!$B$32,'Inputs'!$B$30+'Inputs'!$B$31+'Inputs'!$B$32)/1000+'Inputs'!$B$21))/SQRT((((935-43)*MAX('Inputs'!$B$33,'Inputs'!$B$29+'Inputs'!$B$31+'Inputs'!$B$32,'Inputs'!$B$30+'Inputs'!$B$31+'Inputs'!$B$32)/1000+'Inputs'!$B$21))^2+('Inputs'!$B$6/2)^2)))-'Results'!C7*(0.5*((((935-43)*MAX('Inputs'!$B$33,'Inputs'!$B$29+'Inputs'!$B$31+'Inputs'!$B$32,'Inputs'!$B$30+'Inputs'!$B$31+'Inputs'!$B$32)/1000+'Inputs'!$B$21+'Inputs'!$B$7+'Inputs'!$B$10)+'Inputs'!$B$9)/SQRT((((935-43)*MAX('Inputs'!$B$33,'Inputs'!$B$29+'Inputs'!$B$31+'Inputs'!$B$32,'Inputs'!$B$30+'Inputs'!$B$31+'Inputs'!$B$32)/1000+'Inputs'!$B$21+'Inputs'!$B$7+'Inputs'!$B$10)+'Inputs'!$B$9)^2+('Inputs'!$B$8/2)^2)-(((935-43)*MAX('Inputs'!$B$33,'Inputs'!$B$29+'Inputs'!$B$31+'Inputs'!$B$32,'Inputs'!$B$30+'Inputs'!$B$31+'Inputs'!$B$32)/1000+'Inputs'!$B$21+'Inputs'!$B$7+'Inputs'!$B$10))/SQRT((((935-43)*MAX('Inputs'!$B$33,'Inputs'!$B$29+'Inputs'!$B$31+'Inputs'!$B$32,'Inputs'!$B$30+'Inputs'!$B$31+'Inputs'!$B$32)/1000+'Inputs'!$B$21+'Inputs'!$B$7+'Inputs'!$B$10))^2+('Inputs'!$B$8/2)^2))))*'Results'!$B$8),"")</x:f>
        <x:v>0.5413150022224535</x:v>
      </x:c>
      <x:c r="K935" t="n">
        <x:f>IF(AND(ISNUMBER('Results'!B7),ISNUMBER('Results'!C7),ISNUMBER('Results'!$B$8),ISNUMBER('Inputs'!$B$6),ISNUMBER('Inputs'!$B$7),ISNUMBER('Inputs'!$B$8),ISNUMBER('Inputs'!$B$9),ISNUMBER('Inputs'!$B$10),ISNUMBER('Inputs'!$B$21),ISNUMBER('Inputs'!$B$24),ISNUMBER('Inputs'!$B$28)),((('Results'!B7*(1-'Inputs'!$B$24)*(0.5*((((935-43)*MAX('Inputs'!$B$33,'Inputs'!$B$29+'Inputs'!$B$31+'Inputs'!$B$32,'Inputs'!$B$30+'Inputs'!$B$31+'Inputs'!$B$32)/1000+'Inputs'!$B$21)+'Inputs'!$B$7)/SQRT((((935-43)*MAX('Inputs'!$B$33,'Inputs'!$B$29+'Inputs'!$B$31+'Inputs'!$B$32,'Inputs'!$B$30+'Inputs'!$B$31+'Inputs'!$B$32)/1000+'Inputs'!$B$21)+'Inputs'!$B$7)^2+('Inputs'!$B$6/2)^2)-(((935-43)*MAX('Inputs'!$B$33,'Inputs'!$B$29+'Inputs'!$B$31+'Inputs'!$B$32,'Inputs'!$B$30+'Inputs'!$B$31+'Inputs'!$B$32)/1000+'Inputs'!$B$21))/SQRT((((935-43)*MAX('Inputs'!$B$33,'Inputs'!$B$29+'Inputs'!$B$31+'Inputs'!$B$32,'Inputs'!$B$30+'Inputs'!$B$31+'Inputs'!$B$32)/1000+'Inputs'!$B$21))^2+('Inputs'!$B$6/2)^2)))-'Results'!C7*(1+'Inputs'!$B$24)*(0.5*((((935-43)*MAX('Inputs'!$B$33,'Inputs'!$B$29+'Inputs'!$B$31+'Inputs'!$B$32,'Inputs'!$B$30+'Inputs'!$B$31+'Inputs'!$B$32)/1000+'Inputs'!$B$21+'Inputs'!$B$7+'Inputs'!$B$10)+'Inputs'!$B$9)/SQRT((((935-43)*MAX('Inputs'!$B$33,'Inputs'!$B$29+'Inputs'!$B$31+'Inputs'!$B$32,'Inputs'!$B$30+'Inputs'!$B$31+'Inputs'!$B$32)/1000+'Inputs'!$B$21+'Inputs'!$B$7+'Inputs'!$B$10)+'Inputs'!$B$9)^2+('Inputs'!$B$8/2)^2)-(((935-43)*MAX('Inputs'!$B$33,'Inputs'!$B$29+'Inputs'!$B$31+'Inputs'!$B$32,'Inputs'!$B$30+'Inputs'!$B$31+'Inputs'!$B$32)/1000+'Inputs'!$B$21+'Inputs'!$B$7+'Inputs'!$B$10))/SQRT((((935-43)*MAX('Inputs'!$B$33,'Inputs'!$B$29+'Inputs'!$B$31+'Inputs'!$B$32,'Inputs'!$B$30+'Inputs'!$B$31+'Inputs'!$B$32)/1000+'Inputs'!$B$21+'Inputs'!$B$7+'Inputs'!$B$10))^2+('Inputs'!$B$8/2)^2))))*'Results'!$B$8)-'Inputs'!$B$28*ABS((('Results'!B7*(1-'Inputs'!$B$24)*(0.5*((((935-43)*MAX('Inputs'!$B$33,'Inputs'!$B$29+'Inputs'!$B$31+'Inputs'!$B$32,'Inputs'!$B$30+'Inputs'!$B$31+'Inputs'!$B$32)/1000+'Inputs'!$B$21)+'Inputs'!$B$7)/SQRT((((935-43)*MAX('Inputs'!$B$33,'Inputs'!$B$29+'Inputs'!$B$31+'Inputs'!$B$32,'Inputs'!$B$30+'Inputs'!$B$31+'Inputs'!$B$32)/1000+'Inputs'!$B$21)+'Inputs'!$B$7)^2+('Inputs'!$B$6/2)^2)-(((935-43)*MAX('Inputs'!$B$33,'Inputs'!$B$29+'Inputs'!$B$31+'Inputs'!$B$32,'Inputs'!$B$30+'Inputs'!$B$31+'Inputs'!$B$32)/1000+'Inputs'!$B$21))/SQRT((((935-43)*MAX('Inputs'!$B$33,'Inputs'!$B$29+'Inputs'!$B$31+'Inputs'!$B$32,'Inputs'!$B$30+'Inputs'!$B$31+'Inputs'!$B$32)/1000+'Inputs'!$B$21))^2+('Inputs'!$B$6/2)^2)))-'Results'!C7*(1+'Inputs'!$B$24)*(0.5*((((935-43)*MAX('Inputs'!$B$33,'Inputs'!$B$29+'Inputs'!$B$31+'Inputs'!$B$32,'Inputs'!$B$30+'Inputs'!$B$31+'Inputs'!$B$32)/1000+'Inputs'!$B$21+'Inputs'!$B$7+'Inputs'!$B$10)+'Inputs'!$B$9)/SQRT((((935-43)*MAX('Inputs'!$B$33,'Inputs'!$B$29+'Inputs'!$B$31+'Inputs'!$B$32,'Inputs'!$B$30+'Inputs'!$B$31+'Inputs'!$B$32)/1000+'Inputs'!$B$21+'Inputs'!$B$7+'Inputs'!$B$10)+'Inputs'!$B$9)^2+('Inputs'!$B$8/2)^2)-(((935-43)*MAX('Inputs'!$B$33,'Inputs'!$B$29+'Inputs'!$B$31+'Inputs'!$B$32,'Inputs'!$B$30+'Inputs'!$B$31+'Inputs'!$B$32)/1000+'Inputs'!$B$21+'Inputs'!$B$7+'Inputs'!$B$10))/SQRT((((935-43)*MAX('Inputs'!$B$33,'Inputs'!$B$29+'Inputs'!$B$31+'Inputs'!$B$32,'Inputs'!$B$30+'Inputs'!$B$31+'Inputs'!$B$32)/1000+'Inputs'!$B$21+'Inputs'!$B$7+'Inputs'!$B$10))^2+('Inputs'!$B$8/2)^2))))*'Results'!$B$8))),"")</x:f>
        <x:v>0.4585268839520559</x:v>
      </x:c>
      <x:c r="L935" t="n">
        <x:f>IF(AND(ISNUMBER('Results'!B7),ISNUMBER('Results'!C7),ISNUMBER('Results'!$B$8),ISNUMBER('Inputs'!$B$6),ISNUMBER('Inputs'!$B$7),ISNUMBER('Inputs'!$B$8),ISNUMBER('Inputs'!$B$9),ISNUMBER('Inputs'!$B$10),ISNUMBER('Inputs'!$B$21),ISNUMBER('Inputs'!$B$24),ISNUMBER('Inputs'!$B$28)),((('Results'!B7*(1+'Inputs'!$B$24)*(0.5*((((935-43)*MAX('Inputs'!$B$33,'Inputs'!$B$29+'Inputs'!$B$31+'Inputs'!$B$32,'Inputs'!$B$30+'Inputs'!$B$31+'Inputs'!$B$32)/1000+'Inputs'!$B$21)+'Inputs'!$B$7)/SQRT((((935-43)*MAX('Inputs'!$B$33,'Inputs'!$B$29+'Inputs'!$B$31+'Inputs'!$B$32,'Inputs'!$B$30+'Inputs'!$B$31+'Inputs'!$B$32)/1000+'Inputs'!$B$21)+'Inputs'!$B$7)^2+('Inputs'!$B$6/2)^2)-(((935-43)*MAX('Inputs'!$B$33,'Inputs'!$B$29+'Inputs'!$B$31+'Inputs'!$B$32,'Inputs'!$B$30+'Inputs'!$B$31+'Inputs'!$B$32)/1000+'Inputs'!$B$21))/SQRT((((935-43)*MAX('Inputs'!$B$33,'Inputs'!$B$29+'Inputs'!$B$31+'Inputs'!$B$32,'Inputs'!$B$30+'Inputs'!$B$31+'Inputs'!$B$32)/1000+'Inputs'!$B$21))^2+('Inputs'!$B$6/2)^2)))-'Results'!C7*(1-'Inputs'!$B$24)*(0.5*((((935-43)*MAX('Inputs'!$B$33,'Inputs'!$B$29+'Inputs'!$B$31+'Inputs'!$B$32,'Inputs'!$B$30+'Inputs'!$B$31+'Inputs'!$B$32)/1000+'Inputs'!$B$21+'Inputs'!$B$7+'Inputs'!$B$10)+'Inputs'!$B$9)/SQRT((((935-43)*MAX('Inputs'!$B$33,'Inputs'!$B$29+'Inputs'!$B$31+'Inputs'!$B$32,'Inputs'!$B$30+'Inputs'!$B$31+'Inputs'!$B$32)/1000+'Inputs'!$B$21+'Inputs'!$B$7+'Inputs'!$B$10)+'Inputs'!$B$9)^2+('Inputs'!$B$8/2)^2)-(((935-43)*MAX('Inputs'!$B$33,'Inputs'!$B$29+'Inputs'!$B$31+'Inputs'!$B$32,'Inputs'!$B$30+'Inputs'!$B$31+'Inputs'!$B$32)/1000+'Inputs'!$B$21+'Inputs'!$B$7+'Inputs'!$B$10))/SQRT((((935-43)*MAX('Inputs'!$B$33,'Inputs'!$B$29+'Inputs'!$B$31+'Inputs'!$B$32,'Inputs'!$B$30+'Inputs'!$B$31+'Inputs'!$B$32)/1000+'Inputs'!$B$21+'Inputs'!$B$7+'Inputs'!$B$10))^2+('Inputs'!$B$8/2)^2))))*'Results'!$B$8)+'Inputs'!$B$28*ABS((('Results'!B7*(1+'Inputs'!$B$24)*(0.5*((((935-43)*MAX('Inputs'!$B$33,'Inputs'!$B$29+'Inputs'!$B$31+'Inputs'!$B$32,'Inputs'!$B$30+'Inputs'!$B$31+'Inputs'!$B$32)/1000+'Inputs'!$B$21)+'Inputs'!$B$7)/SQRT((((935-43)*MAX('Inputs'!$B$33,'Inputs'!$B$29+'Inputs'!$B$31+'Inputs'!$B$32,'Inputs'!$B$30+'Inputs'!$B$31+'Inputs'!$B$32)/1000+'Inputs'!$B$21)+'Inputs'!$B$7)^2+('Inputs'!$B$6/2)^2)-(((935-43)*MAX('Inputs'!$B$33,'Inputs'!$B$29+'Inputs'!$B$31+'Inputs'!$B$32,'Inputs'!$B$30+'Inputs'!$B$31+'Inputs'!$B$32)/1000+'Inputs'!$B$21))/SQRT((((935-43)*MAX('Inputs'!$B$33,'Inputs'!$B$29+'Inputs'!$B$31+'Inputs'!$B$32,'Inputs'!$B$30+'Inputs'!$B$31+'Inputs'!$B$32)/1000+'Inputs'!$B$21))^2+('Inputs'!$B$6/2)^2)))-'Results'!C7*(1-'Inputs'!$B$24)*(0.5*((((935-43)*MAX('Inputs'!$B$33,'Inputs'!$B$29+'Inputs'!$B$31+'Inputs'!$B$32,'Inputs'!$B$30+'Inputs'!$B$31+'Inputs'!$B$32)/1000+'Inputs'!$B$21+'Inputs'!$B$7+'Inputs'!$B$10)+'Inputs'!$B$9)/SQRT((((935-43)*MAX('Inputs'!$B$33,'Inputs'!$B$29+'Inputs'!$B$31+'Inputs'!$B$32,'Inputs'!$B$30+'Inputs'!$B$31+'Inputs'!$B$32)/1000+'Inputs'!$B$21+'Inputs'!$B$7+'Inputs'!$B$10)+'Inputs'!$B$9)^2+('Inputs'!$B$8/2)^2)-(((935-43)*MAX('Inputs'!$B$33,'Inputs'!$B$29+'Inputs'!$B$31+'Inputs'!$B$32,'Inputs'!$B$30+'Inputs'!$B$31+'Inputs'!$B$32)/1000+'Inputs'!$B$21+'Inputs'!$B$7+'Inputs'!$B$10))/SQRT((((935-43)*MAX('Inputs'!$B$33,'Inputs'!$B$29+'Inputs'!$B$31+'Inputs'!$B$32,'Inputs'!$B$30+'Inputs'!$B$31+'Inputs'!$B$32)/1000+'Inputs'!$B$21+'Inputs'!$B$7+'Inputs'!$B$10))^2+('Inputs'!$B$8/2)^2))))*'Results'!$B$8))),"")</x:f>
        <x:v>0.6299686329306696</x:v>
      </x:c>
      <x:c r="M935" t="n">
        <x:f>IF(AND(ISNUMBER('Results'!C7),ISNUMBER('Results'!B7),ISNUMBER('Results'!$B$8),ISNUMBER('Inputs'!$B$6),ISNUMBER('Inputs'!$B$7),ISNUMBER('Inputs'!$B$8),ISNUMBER('Inputs'!$B$9),ISNUMBER('Inputs'!$B$10),ISNUMBER('Inputs'!$B$21),ISNUMBER('Inputs'!$B$24),ISNUMBER('Inputs'!$B$28)),(('Results'!C7*(0.5*((((935-43)*MAX('Inputs'!$B$33,'Inputs'!$B$29+'Inputs'!$B$31+'Inputs'!$B$32,'Inputs'!$B$30+'Inputs'!$B$31+'Inputs'!$B$32)/1000+'Inputs'!$B$21)+'Inputs'!$B$9)/SQRT((((935-43)*MAX('Inputs'!$B$33,'Inputs'!$B$29+'Inputs'!$B$31+'Inputs'!$B$32,'Inputs'!$B$30+'Inputs'!$B$31+'Inputs'!$B$32)/1000+'Inputs'!$B$21)+'Inputs'!$B$9)^2+('Inputs'!$B$8/2)^2)-(((935-43)*MAX('Inputs'!$B$33,'Inputs'!$B$29+'Inputs'!$B$31+'Inputs'!$B$32,'Inputs'!$B$30+'Inputs'!$B$31+'Inputs'!$B$32)/1000+'Inputs'!$B$21))/SQRT((((935-43)*MAX('Inputs'!$B$33,'Inputs'!$B$29+'Inputs'!$B$31+'Inputs'!$B$32,'Inputs'!$B$30+'Inputs'!$B$31+'Inputs'!$B$32)/1000+'Inputs'!$B$21))^2+('Inputs'!$B$8/2)^2)))-'Results'!B7*(0.5*((((935-43)*MAX('Inputs'!$B$33,'Inputs'!$B$29+'Inputs'!$B$31+'Inputs'!$B$32,'Inputs'!$B$30+'Inputs'!$B$31+'Inputs'!$B$32)/1000+'Inputs'!$B$21+'Inputs'!$B$9+'Inputs'!$B$10)+'Inputs'!$B$7)/SQRT((((935-43)*MAX('Inputs'!$B$33,'Inputs'!$B$29+'Inputs'!$B$31+'Inputs'!$B$32,'Inputs'!$B$30+'Inputs'!$B$31+'Inputs'!$B$32)/1000+'Inputs'!$B$21+'Inputs'!$B$9+'Inputs'!$B$10)+'Inputs'!$B$7)^2+('Inputs'!$B$6/2)^2)-(((935-43)*MAX('Inputs'!$B$33,'Inputs'!$B$29+'Inputs'!$B$31+'Inputs'!$B$32,'Inputs'!$B$30+'Inputs'!$B$31+'Inputs'!$B$32)/1000+'Inputs'!$B$21+'Inputs'!$B$9+'Inputs'!$B$10))/SQRT((((935-43)*MAX('Inputs'!$B$33,'Inputs'!$B$29+'Inputs'!$B$31+'Inputs'!$B$32,'Inputs'!$B$30+'Inputs'!$B$31+'Inputs'!$B$32)/1000+'Inputs'!$B$21+'Inputs'!$B$9+'Inputs'!$B$10))^2+('Inputs'!$B$6/2)^2))))*'Results'!$B$8),"")</x:f>
        <x:v>0.48217182861637425</x:v>
      </x:c>
      <x:c r="N935" t="n">
        <x:f>IF(AND(ISNUMBER('Results'!C7),ISNUMBER('Results'!B7),ISNUMBER('Results'!$B$8),ISNUMBER('Inputs'!$B$6),ISNUMBER('Inputs'!$B$7),ISNUMBER('Inputs'!$B$8),ISNUMBER('Inputs'!$B$9),ISNUMBER('Inputs'!$B$10),ISNUMBER('Inputs'!$B$21),ISNUMBER('Inputs'!$B$24),ISNUMBER('Inputs'!$B$28)),((('Results'!C7*(1-'Inputs'!$B$24)*(0.5*((((935-43)*MAX('Inputs'!$B$33,'Inputs'!$B$29+'Inputs'!$B$31+'Inputs'!$B$32,'Inputs'!$B$30+'Inputs'!$B$31+'Inputs'!$B$32)/1000+'Inputs'!$B$21)+'Inputs'!$B$9)/SQRT((((935-43)*MAX('Inputs'!$B$33,'Inputs'!$B$29+'Inputs'!$B$31+'Inputs'!$B$32,'Inputs'!$B$30+'Inputs'!$B$31+'Inputs'!$B$32)/1000+'Inputs'!$B$21)+'Inputs'!$B$9)^2+('Inputs'!$B$8/2)^2)-(((935-43)*MAX('Inputs'!$B$33,'Inputs'!$B$29+'Inputs'!$B$31+'Inputs'!$B$32,'Inputs'!$B$30+'Inputs'!$B$31+'Inputs'!$B$32)/1000+'Inputs'!$B$21))/SQRT((((935-43)*MAX('Inputs'!$B$33,'Inputs'!$B$29+'Inputs'!$B$31+'Inputs'!$B$32,'Inputs'!$B$30+'Inputs'!$B$31+'Inputs'!$B$32)/1000+'Inputs'!$B$21))^2+('Inputs'!$B$8/2)^2)))-'Results'!B7*(1+'Inputs'!$B$24)*(0.5*((((935-43)*MAX('Inputs'!$B$33,'Inputs'!$B$29+'Inputs'!$B$31+'Inputs'!$B$32,'Inputs'!$B$30+'Inputs'!$B$31+'Inputs'!$B$32)/1000+'Inputs'!$B$21+'Inputs'!$B$9+'Inputs'!$B$10)+'Inputs'!$B$7)/SQRT((((935-43)*MAX('Inputs'!$B$33,'Inputs'!$B$29+'Inputs'!$B$31+'Inputs'!$B$32,'Inputs'!$B$30+'Inputs'!$B$31+'Inputs'!$B$32)/1000+'Inputs'!$B$21+'Inputs'!$B$9+'Inputs'!$B$10)+'Inputs'!$B$7)^2+('Inputs'!$B$6/2)^2)-(((935-43)*MAX('Inputs'!$B$33,'Inputs'!$B$29+'Inputs'!$B$31+'Inputs'!$B$32,'Inputs'!$B$30+'Inputs'!$B$31+'Inputs'!$B$32)/1000+'Inputs'!$B$21+'Inputs'!$B$9+'Inputs'!$B$10))/SQRT((((935-43)*MAX('Inputs'!$B$33,'Inputs'!$B$29+'Inputs'!$B$31+'Inputs'!$B$32,'Inputs'!$B$30+'Inputs'!$B$31+'Inputs'!$B$32)/1000+'Inputs'!$B$21+'Inputs'!$B$9+'Inputs'!$B$10))^2+('Inputs'!$B$6/2)^2))))*'Results'!$B$8)-'Inputs'!$B$28*ABS((('Results'!C7*(1-'Inputs'!$B$24)*(0.5*((((935-43)*MAX('Inputs'!$B$33,'Inputs'!$B$29+'Inputs'!$B$31+'Inputs'!$B$32,'Inputs'!$B$30+'Inputs'!$B$31+'Inputs'!$B$32)/1000+'Inputs'!$B$21)+'Inputs'!$B$9)/SQRT((((935-43)*MAX('Inputs'!$B$33,'Inputs'!$B$29+'Inputs'!$B$31+'Inputs'!$B$32,'Inputs'!$B$30+'Inputs'!$B$31+'Inputs'!$B$32)/1000+'Inputs'!$B$21)+'Inputs'!$B$9)^2+('Inputs'!$B$8/2)^2)-(((935-43)*MAX('Inputs'!$B$33,'Inputs'!$B$29+'Inputs'!$B$31+'Inputs'!$B$32,'Inputs'!$B$30+'Inputs'!$B$31+'Inputs'!$B$32)/1000+'Inputs'!$B$21))/SQRT((((935-43)*MAX('Inputs'!$B$33,'Inputs'!$B$29+'Inputs'!$B$31+'Inputs'!$B$32,'Inputs'!$B$30+'Inputs'!$B$31+'Inputs'!$B$32)/1000+'Inputs'!$B$21))^2+('Inputs'!$B$8/2)^2)))-'Results'!B7*(1+'Inputs'!$B$24)*(0.5*((((935-43)*MAX('Inputs'!$B$33,'Inputs'!$B$29+'Inputs'!$B$31+'Inputs'!$B$32,'Inputs'!$B$30+'Inputs'!$B$31+'Inputs'!$B$32)/1000+'Inputs'!$B$21+'Inputs'!$B$9+'Inputs'!$B$10)+'Inputs'!$B$7)/SQRT((((935-43)*MAX('Inputs'!$B$33,'Inputs'!$B$29+'Inputs'!$B$31+'Inputs'!$B$32,'Inputs'!$B$30+'Inputs'!$B$31+'Inputs'!$B$32)/1000+'Inputs'!$B$21+'Inputs'!$B$9+'Inputs'!$B$10)+'Inputs'!$B$7)^2+('Inputs'!$B$6/2)^2)-(((935-43)*MAX('Inputs'!$B$33,'Inputs'!$B$29+'Inputs'!$B$31+'Inputs'!$B$32,'Inputs'!$B$30+'Inputs'!$B$31+'Inputs'!$B$32)/1000+'Inputs'!$B$21+'Inputs'!$B$9+'Inputs'!$B$10))/SQRT((((935-43)*MAX('Inputs'!$B$33,'Inputs'!$B$29+'Inputs'!$B$31+'Inputs'!$B$32,'Inputs'!$B$30+'Inputs'!$B$31+'Inputs'!$B$32)/1000+'Inputs'!$B$21+'Inputs'!$B$9+'Inputs'!$B$10))^2+('Inputs'!$B$6/2)^2))))*'Results'!$B$8))),"")</x:f>
        <x:v>0.4025372957917951</x:v>
      </x:c>
      <x:c r="O935" t="n">
        <x:f>IF(AND(ISNUMBER('Results'!C7),ISNUMBER('Results'!B7),ISNUMBER('Results'!$B$8),ISNUMBER('Inputs'!$B$6),ISNUMBER('Inputs'!$B$7),ISNUMBER('Inputs'!$B$8),ISNUMBER('Inputs'!$B$9),ISNUMBER('Inputs'!$B$10),ISNUMBER('Inputs'!$B$21),ISNUMBER('Inputs'!$B$24),ISNUMBER('Inputs'!$B$28)),((('Results'!C7*(1+'Inputs'!$B$24)*(0.5*((((935-43)*MAX('Inputs'!$B$33,'Inputs'!$B$29+'Inputs'!$B$31+'Inputs'!$B$32,'Inputs'!$B$30+'Inputs'!$B$31+'Inputs'!$B$32)/1000+'Inputs'!$B$21)+'Inputs'!$B$9)/SQRT((((935-43)*MAX('Inputs'!$B$33,'Inputs'!$B$29+'Inputs'!$B$31+'Inputs'!$B$32,'Inputs'!$B$30+'Inputs'!$B$31+'Inputs'!$B$32)/1000+'Inputs'!$B$21)+'Inputs'!$B$9)^2+('Inputs'!$B$8/2)^2)-(((935-43)*MAX('Inputs'!$B$33,'Inputs'!$B$29+'Inputs'!$B$31+'Inputs'!$B$32,'Inputs'!$B$30+'Inputs'!$B$31+'Inputs'!$B$32)/1000+'Inputs'!$B$21))/SQRT((((935-43)*MAX('Inputs'!$B$33,'Inputs'!$B$29+'Inputs'!$B$31+'Inputs'!$B$32,'Inputs'!$B$30+'Inputs'!$B$31+'Inputs'!$B$32)/1000+'Inputs'!$B$21))^2+('Inputs'!$B$8/2)^2)))-'Results'!B7*(1-'Inputs'!$B$24)*(0.5*((((935-43)*MAX('Inputs'!$B$33,'Inputs'!$B$29+'Inputs'!$B$31+'Inputs'!$B$32,'Inputs'!$B$30+'Inputs'!$B$31+'Inputs'!$B$32)/1000+'Inputs'!$B$21+'Inputs'!$B$9+'Inputs'!$B$10)+'Inputs'!$B$7)/SQRT((((935-43)*MAX('Inputs'!$B$33,'Inputs'!$B$29+'Inputs'!$B$31+'Inputs'!$B$32,'Inputs'!$B$30+'Inputs'!$B$31+'Inputs'!$B$32)/1000+'Inputs'!$B$21+'Inputs'!$B$9+'Inputs'!$B$10)+'Inputs'!$B$7)^2+('Inputs'!$B$6/2)^2)-(((935-43)*MAX('Inputs'!$B$33,'Inputs'!$B$29+'Inputs'!$B$31+'Inputs'!$B$32,'Inputs'!$B$30+'Inputs'!$B$31+'Inputs'!$B$32)/1000+'Inputs'!$B$21+'Inputs'!$B$9+'Inputs'!$B$10))/SQRT((((935-43)*MAX('Inputs'!$B$33,'Inputs'!$B$29+'Inputs'!$B$31+'Inputs'!$B$32,'Inputs'!$B$30+'Inputs'!$B$31+'Inputs'!$B$32)/1000+'Inputs'!$B$21+'Inputs'!$B$9+'Inputs'!$B$10))^2+('Inputs'!$B$6/2)^2))))*'Results'!$B$8)+'Inputs'!$B$28*ABS((('Results'!C7*(1+'Inputs'!$B$24)*(0.5*((((935-43)*MAX('Inputs'!$B$33,'Inputs'!$B$29+'Inputs'!$B$31+'Inputs'!$B$32,'Inputs'!$B$30+'Inputs'!$B$31+'Inputs'!$B$32)/1000+'Inputs'!$B$21)+'Inputs'!$B$9)/SQRT((((935-43)*MAX('Inputs'!$B$33,'Inputs'!$B$29+'Inputs'!$B$31+'Inputs'!$B$32,'Inputs'!$B$30+'Inputs'!$B$31+'Inputs'!$B$32)/1000+'Inputs'!$B$21)+'Inputs'!$B$9)^2+('Inputs'!$B$8/2)^2)-(((935-43)*MAX('Inputs'!$B$33,'Inputs'!$B$29+'Inputs'!$B$31+'Inputs'!$B$32,'Inputs'!$B$30+'Inputs'!$B$31+'Inputs'!$B$32)/1000+'Inputs'!$B$21))/SQRT((((935-43)*MAX('Inputs'!$B$33,'Inputs'!$B$29+'Inputs'!$B$31+'Inputs'!$B$32,'Inputs'!$B$30+'Inputs'!$B$31+'Inputs'!$B$32)/1000+'Inputs'!$B$21))^2+('Inputs'!$B$8/2)^2)))-'Results'!B7*(1-'Inputs'!$B$24)*(0.5*((((935-43)*MAX('Inputs'!$B$33,'Inputs'!$B$29+'Inputs'!$B$31+'Inputs'!$B$32,'Inputs'!$B$30+'Inputs'!$B$31+'Inputs'!$B$32)/1000+'Inputs'!$B$21+'Inputs'!$B$9+'Inputs'!$B$10)+'Inputs'!$B$7)/SQRT((((935-43)*MAX('Inputs'!$B$33,'Inputs'!$B$29+'Inputs'!$B$31+'Inputs'!$B$32,'Inputs'!$B$30+'Inputs'!$B$31+'Inputs'!$B$32)/1000+'Inputs'!$B$21+'Inputs'!$B$9+'Inputs'!$B$10)+'Inputs'!$B$7)^2+('Inputs'!$B$6/2)^2)-(((935-43)*MAX('Inputs'!$B$33,'Inputs'!$B$29+'Inputs'!$B$31+'Inputs'!$B$32,'Inputs'!$B$30+'Inputs'!$B$31+'Inputs'!$B$32)/1000+'Inputs'!$B$21+'Inputs'!$B$9+'Inputs'!$B$10))/SQRT((((935-43)*MAX('Inputs'!$B$33,'Inputs'!$B$29+'Inputs'!$B$31+'Inputs'!$B$32,'Inputs'!$B$30+'Inputs'!$B$31+'Inputs'!$B$32)/1000+'Inputs'!$B$21+'Inputs'!$B$9+'Inputs'!$B$10))^2+('Inputs'!$B$6/2)^2))))*'Results'!$B$8))),"")</x:f>
        <x:v>0.5676511973771388</x:v>
      </x:c>
      <x:c r="P935" t="n">
        <x:f>IF(AND(MAX(J935,J934)&gt;0,J935&gt;J934+0.00000001),1,0)</x:f>
        <x:v>0</x:v>
      </x:c>
      <x:c r="Q935" t="n">
        <x:f>IF(AND(MAX(K935,K934)&gt;0,K935&gt;K934+0.00000001),1,0)</x:f>
        <x:v>0</x:v>
      </x:c>
      <x:c r="R935" t="n">
        <x:f>IF(AND(MAX(L935,L934)&gt;0,L935&gt;L934+0.00000001),1,0)</x:f>
        <x:v>0</x:v>
      </x:c>
      <x:c r="S935" t="n">
        <x:f>IF(AND(MAX(M935,M934)&gt;0,M935&gt;M934+0.00000001),1,0)</x:f>
        <x:v>0</x:v>
      </x:c>
      <x:c r="T935" t="n">
        <x:f>IF(AND(MAX(N935,N934)&gt;0,N935&gt;N934+0.00000001),1,0)</x:f>
        <x:v>0</x:v>
      </x:c>
      <x:c r="U935" t="n">
        <x:f>IF(AND(MAX(O935,O934)&gt;0,O935&gt;O934+0.00000001),1,0)</x:f>
        <x:v>0</x:v>
      </x:c>
    </x:row>
    <x:row r="936">
      <x:c r="J936" t="n">
        <x:f>IF(AND(ISNUMBER('Results'!B7),ISNUMBER('Results'!C7),ISNUMBER('Results'!$B$8),ISNUMBER('Inputs'!$B$6),ISNUMBER('Inputs'!$B$7),ISNUMBER('Inputs'!$B$8),ISNUMBER('Inputs'!$B$9),ISNUMBER('Inputs'!$B$10),ISNUMBER('Inputs'!$B$21),ISNUMBER('Inputs'!$B$24),ISNUMBER('Inputs'!$B$28)),(('Results'!B7*(0.5*((((936-43)*MAX('Inputs'!$B$33,'Inputs'!$B$29+'Inputs'!$B$31+'Inputs'!$B$32,'Inputs'!$B$30+'Inputs'!$B$31+'Inputs'!$B$32)/1000+'Inputs'!$B$21)+'Inputs'!$B$7)/SQRT((((936-43)*MAX('Inputs'!$B$33,'Inputs'!$B$29+'Inputs'!$B$31+'Inputs'!$B$32,'Inputs'!$B$30+'Inputs'!$B$31+'Inputs'!$B$32)/1000+'Inputs'!$B$21)+'Inputs'!$B$7)^2+('Inputs'!$B$6/2)^2)-(((936-43)*MAX('Inputs'!$B$33,'Inputs'!$B$29+'Inputs'!$B$31+'Inputs'!$B$32,'Inputs'!$B$30+'Inputs'!$B$31+'Inputs'!$B$32)/1000+'Inputs'!$B$21))/SQRT((((936-43)*MAX('Inputs'!$B$33,'Inputs'!$B$29+'Inputs'!$B$31+'Inputs'!$B$32,'Inputs'!$B$30+'Inputs'!$B$31+'Inputs'!$B$32)/1000+'Inputs'!$B$21))^2+('Inputs'!$B$6/2)^2)))-'Results'!C7*(0.5*((((936-43)*MAX('Inputs'!$B$33,'Inputs'!$B$29+'Inputs'!$B$31+'Inputs'!$B$32,'Inputs'!$B$30+'Inputs'!$B$31+'Inputs'!$B$32)/1000+'Inputs'!$B$21+'Inputs'!$B$7+'Inputs'!$B$10)+'Inputs'!$B$9)/SQRT((((936-43)*MAX('Inputs'!$B$33,'Inputs'!$B$29+'Inputs'!$B$31+'Inputs'!$B$32,'Inputs'!$B$30+'Inputs'!$B$31+'Inputs'!$B$32)/1000+'Inputs'!$B$21+'Inputs'!$B$7+'Inputs'!$B$10)+'Inputs'!$B$9)^2+('Inputs'!$B$8/2)^2)-(((936-43)*MAX('Inputs'!$B$33,'Inputs'!$B$29+'Inputs'!$B$31+'Inputs'!$B$32,'Inputs'!$B$30+'Inputs'!$B$31+'Inputs'!$B$32)/1000+'Inputs'!$B$21+'Inputs'!$B$7+'Inputs'!$B$10))/SQRT((((936-43)*MAX('Inputs'!$B$33,'Inputs'!$B$29+'Inputs'!$B$31+'Inputs'!$B$32,'Inputs'!$B$30+'Inputs'!$B$31+'Inputs'!$B$32)/1000+'Inputs'!$B$21+'Inputs'!$B$7+'Inputs'!$B$10))^2+('Inputs'!$B$8/2)^2))))*'Results'!$B$8),"")</x:f>
        <x:v>0.5391205605278017</x:v>
      </x:c>
      <x:c r="K936" t="n">
        <x:f>IF(AND(ISNUMBER('Results'!B7),ISNUMBER('Results'!C7),ISNUMBER('Results'!$B$8),ISNUMBER('Inputs'!$B$6),ISNUMBER('Inputs'!$B$7),ISNUMBER('Inputs'!$B$8),ISNUMBER('Inputs'!$B$9),ISNUMBER('Inputs'!$B$10),ISNUMBER('Inputs'!$B$21),ISNUMBER('Inputs'!$B$24),ISNUMBER('Inputs'!$B$28)),((('Results'!B7*(1-'Inputs'!$B$24)*(0.5*((((936-43)*MAX('Inputs'!$B$33,'Inputs'!$B$29+'Inputs'!$B$31+'Inputs'!$B$32,'Inputs'!$B$30+'Inputs'!$B$31+'Inputs'!$B$32)/1000+'Inputs'!$B$21)+'Inputs'!$B$7)/SQRT((((936-43)*MAX('Inputs'!$B$33,'Inputs'!$B$29+'Inputs'!$B$31+'Inputs'!$B$32,'Inputs'!$B$30+'Inputs'!$B$31+'Inputs'!$B$32)/1000+'Inputs'!$B$21)+'Inputs'!$B$7)^2+('Inputs'!$B$6/2)^2)-(((936-43)*MAX('Inputs'!$B$33,'Inputs'!$B$29+'Inputs'!$B$31+'Inputs'!$B$32,'Inputs'!$B$30+'Inputs'!$B$31+'Inputs'!$B$32)/1000+'Inputs'!$B$21))/SQRT((((936-43)*MAX('Inputs'!$B$33,'Inputs'!$B$29+'Inputs'!$B$31+'Inputs'!$B$32,'Inputs'!$B$30+'Inputs'!$B$31+'Inputs'!$B$32)/1000+'Inputs'!$B$21))^2+('Inputs'!$B$6/2)^2)))-'Results'!C7*(1+'Inputs'!$B$24)*(0.5*((((936-43)*MAX('Inputs'!$B$33,'Inputs'!$B$29+'Inputs'!$B$31+'Inputs'!$B$32,'Inputs'!$B$30+'Inputs'!$B$31+'Inputs'!$B$32)/1000+'Inputs'!$B$21+'Inputs'!$B$7+'Inputs'!$B$10)+'Inputs'!$B$9)/SQRT((((936-43)*MAX('Inputs'!$B$33,'Inputs'!$B$29+'Inputs'!$B$31+'Inputs'!$B$32,'Inputs'!$B$30+'Inputs'!$B$31+'Inputs'!$B$32)/1000+'Inputs'!$B$21+'Inputs'!$B$7+'Inputs'!$B$10)+'Inputs'!$B$9)^2+('Inputs'!$B$8/2)^2)-(((936-43)*MAX('Inputs'!$B$33,'Inputs'!$B$29+'Inputs'!$B$31+'Inputs'!$B$32,'Inputs'!$B$30+'Inputs'!$B$31+'Inputs'!$B$32)/1000+'Inputs'!$B$21+'Inputs'!$B$7+'Inputs'!$B$10))/SQRT((((936-43)*MAX('Inputs'!$B$33,'Inputs'!$B$29+'Inputs'!$B$31+'Inputs'!$B$32,'Inputs'!$B$30+'Inputs'!$B$31+'Inputs'!$B$32)/1000+'Inputs'!$B$21+'Inputs'!$B$7+'Inputs'!$B$10))^2+('Inputs'!$B$8/2)^2))))*'Results'!$B$8)-'Inputs'!$B$28*ABS((('Results'!B7*(1-'Inputs'!$B$24)*(0.5*((((936-43)*MAX('Inputs'!$B$33,'Inputs'!$B$29+'Inputs'!$B$31+'Inputs'!$B$32,'Inputs'!$B$30+'Inputs'!$B$31+'Inputs'!$B$32)/1000+'Inputs'!$B$21)+'Inputs'!$B$7)/SQRT((((936-43)*MAX('Inputs'!$B$33,'Inputs'!$B$29+'Inputs'!$B$31+'Inputs'!$B$32,'Inputs'!$B$30+'Inputs'!$B$31+'Inputs'!$B$32)/1000+'Inputs'!$B$21)+'Inputs'!$B$7)^2+('Inputs'!$B$6/2)^2)-(((936-43)*MAX('Inputs'!$B$33,'Inputs'!$B$29+'Inputs'!$B$31+'Inputs'!$B$32,'Inputs'!$B$30+'Inputs'!$B$31+'Inputs'!$B$32)/1000+'Inputs'!$B$21))/SQRT((((936-43)*MAX('Inputs'!$B$33,'Inputs'!$B$29+'Inputs'!$B$31+'Inputs'!$B$32,'Inputs'!$B$30+'Inputs'!$B$31+'Inputs'!$B$32)/1000+'Inputs'!$B$21))^2+('Inputs'!$B$6/2)^2)))-'Results'!C7*(1+'Inputs'!$B$24)*(0.5*((((936-43)*MAX('Inputs'!$B$33,'Inputs'!$B$29+'Inputs'!$B$31+'Inputs'!$B$32,'Inputs'!$B$30+'Inputs'!$B$31+'Inputs'!$B$32)/1000+'Inputs'!$B$21+'Inputs'!$B$7+'Inputs'!$B$10)+'Inputs'!$B$9)/SQRT((((936-43)*MAX('Inputs'!$B$33,'Inputs'!$B$29+'Inputs'!$B$31+'Inputs'!$B$32,'Inputs'!$B$30+'Inputs'!$B$31+'Inputs'!$B$32)/1000+'Inputs'!$B$21+'Inputs'!$B$7+'Inputs'!$B$10)+'Inputs'!$B$9)^2+('Inputs'!$B$8/2)^2)-(((936-43)*MAX('Inputs'!$B$33,'Inputs'!$B$29+'Inputs'!$B$31+'Inputs'!$B$32,'Inputs'!$B$30+'Inputs'!$B$31+'Inputs'!$B$32)/1000+'Inputs'!$B$21+'Inputs'!$B$7+'Inputs'!$B$10))/SQRT((((936-43)*MAX('Inputs'!$B$33,'Inputs'!$B$29+'Inputs'!$B$31+'Inputs'!$B$32,'Inputs'!$B$30+'Inputs'!$B$31+'Inputs'!$B$32)/1000+'Inputs'!$B$21+'Inputs'!$B$7+'Inputs'!$B$10))^2+('Inputs'!$B$8/2)^2))))*'Results'!$B$8))),"")</x:f>
        <x:v>0.4566156679000091</x:v>
      </x:c>
      <x:c r="L936" t="n">
        <x:f>IF(AND(ISNUMBER('Results'!B7),ISNUMBER('Results'!C7),ISNUMBER('Results'!$B$8),ISNUMBER('Inputs'!$B$6),ISNUMBER('Inputs'!$B$7),ISNUMBER('Inputs'!$B$8),ISNUMBER('Inputs'!$B$9),ISNUMBER('Inputs'!$B$10),ISNUMBER('Inputs'!$B$21),ISNUMBER('Inputs'!$B$24),ISNUMBER('Inputs'!$B$28)),((('Results'!B7*(1+'Inputs'!$B$24)*(0.5*((((936-43)*MAX('Inputs'!$B$33,'Inputs'!$B$29+'Inputs'!$B$31+'Inputs'!$B$32,'Inputs'!$B$30+'Inputs'!$B$31+'Inputs'!$B$32)/1000+'Inputs'!$B$21)+'Inputs'!$B$7)/SQRT((((936-43)*MAX('Inputs'!$B$33,'Inputs'!$B$29+'Inputs'!$B$31+'Inputs'!$B$32,'Inputs'!$B$30+'Inputs'!$B$31+'Inputs'!$B$32)/1000+'Inputs'!$B$21)+'Inputs'!$B$7)^2+('Inputs'!$B$6/2)^2)-(((936-43)*MAX('Inputs'!$B$33,'Inputs'!$B$29+'Inputs'!$B$31+'Inputs'!$B$32,'Inputs'!$B$30+'Inputs'!$B$31+'Inputs'!$B$32)/1000+'Inputs'!$B$21))/SQRT((((936-43)*MAX('Inputs'!$B$33,'Inputs'!$B$29+'Inputs'!$B$31+'Inputs'!$B$32,'Inputs'!$B$30+'Inputs'!$B$31+'Inputs'!$B$32)/1000+'Inputs'!$B$21))^2+('Inputs'!$B$6/2)^2)))-'Results'!C7*(1-'Inputs'!$B$24)*(0.5*((((936-43)*MAX('Inputs'!$B$33,'Inputs'!$B$29+'Inputs'!$B$31+'Inputs'!$B$32,'Inputs'!$B$30+'Inputs'!$B$31+'Inputs'!$B$32)/1000+'Inputs'!$B$21+'Inputs'!$B$7+'Inputs'!$B$10)+'Inputs'!$B$9)/SQRT((((936-43)*MAX('Inputs'!$B$33,'Inputs'!$B$29+'Inputs'!$B$31+'Inputs'!$B$32,'Inputs'!$B$30+'Inputs'!$B$31+'Inputs'!$B$32)/1000+'Inputs'!$B$21+'Inputs'!$B$7+'Inputs'!$B$10)+'Inputs'!$B$9)^2+('Inputs'!$B$8/2)^2)-(((936-43)*MAX('Inputs'!$B$33,'Inputs'!$B$29+'Inputs'!$B$31+'Inputs'!$B$32,'Inputs'!$B$30+'Inputs'!$B$31+'Inputs'!$B$32)/1000+'Inputs'!$B$21+'Inputs'!$B$7+'Inputs'!$B$10))/SQRT((((936-43)*MAX('Inputs'!$B$33,'Inputs'!$B$29+'Inputs'!$B$31+'Inputs'!$B$32,'Inputs'!$B$30+'Inputs'!$B$31+'Inputs'!$B$32)/1000+'Inputs'!$B$21+'Inputs'!$B$7+'Inputs'!$B$10))^2+('Inputs'!$B$8/2)^2))))*'Results'!$B$8)+'Inputs'!$B$28*ABS((('Results'!B7*(1+'Inputs'!$B$24)*(0.5*((((936-43)*MAX('Inputs'!$B$33,'Inputs'!$B$29+'Inputs'!$B$31+'Inputs'!$B$32,'Inputs'!$B$30+'Inputs'!$B$31+'Inputs'!$B$32)/1000+'Inputs'!$B$21)+'Inputs'!$B$7)/SQRT((((936-43)*MAX('Inputs'!$B$33,'Inputs'!$B$29+'Inputs'!$B$31+'Inputs'!$B$32,'Inputs'!$B$30+'Inputs'!$B$31+'Inputs'!$B$32)/1000+'Inputs'!$B$21)+'Inputs'!$B$7)^2+('Inputs'!$B$6/2)^2)-(((936-43)*MAX('Inputs'!$B$33,'Inputs'!$B$29+'Inputs'!$B$31+'Inputs'!$B$32,'Inputs'!$B$30+'Inputs'!$B$31+'Inputs'!$B$32)/1000+'Inputs'!$B$21))/SQRT((((936-43)*MAX('Inputs'!$B$33,'Inputs'!$B$29+'Inputs'!$B$31+'Inputs'!$B$32,'Inputs'!$B$30+'Inputs'!$B$31+'Inputs'!$B$32)/1000+'Inputs'!$B$21))^2+('Inputs'!$B$6/2)^2)))-'Results'!C7*(1-'Inputs'!$B$24)*(0.5*((((936-43)*MAX('Inputs'!$B$33,'Inputs'!$B$29+'Inputs'!$B$31+'Inputs'!$B$32,'Inputs'!$B$30+'Inputs'!$B$31+'Inputs'!$B$32)/1000+'Inputs'!$B$21+'Inputs'!$B$7+'Inputs'!$B$10)+'Inputs'!$B$9)/SQRT((((936-43)*MAX('Inputs'!$B$33,'Inputs'!$B$29+'Inputs'!$B$31+'Inputs'!$B$32,'Inputs'!$B$30+'Inputs'!$B$31+'Inputs'!$B$32)/1000+'Inputs'!$B$21+'Inputs'!$B$7+'Inputs'!$B$10)+'Inputs'!$B$9)^2+('Inputs'!$B$8/2)^2)-(((936-43)*MAX('Inputs'!$B$33,'Inputs'!$B$29+'Inputs'!$B$31+'Inputs'!$B$32,'Inputs'!$B$30+'Inputs'!$B$31+'Inputs'!$B$32)/1000+'Inputs'!$B$21+'Inputs'!$B$7+'Inputs'!$B$10))/SQRT((((936-43)*MAX('Inputs'!$B$33,'Inputs'!$B$29+'Inputs'!$B$31+'Inputs'!$B$32,'Inputs'!$B$30+'Inputs'!$B$31+'Inputs'!$B$32)/1000+'Inputs'!$B$21+'Inputs'!$B$7+'Inputs'!$B$10))^2+('Inputs'!$B$8/2)^2))))*'Results'!$B$8))),"")</x:f>
        <x:v>0.6274727020610054</x:v>
      </x:c>
      <x:c r="M936" t="n">
        <x:f>IF(AND(ISNUMBER('Results'!C7),ISNUMBER('Results'!B7),ISNUMBER('Results'!$B$8),ISNUMBER('Inputs'!$B$6),ISNUMBER('Inputs'!$B$7),ISNUMBER('Inputs'!$B$8),ISNUMBER('Inputs'!$B$9),ISNUMBER('Inputs'!$B$10),ISNUMBER('Inputs'!$B$21),ISNUMBER('Inputs'!$B$24),ISNUMBER('Inputs'!$B$28)),(('Results'!C7*(0.5*((((936-43)*MAX('Inputs'!$B$33,'Inputs'!$B$29+'Inputs'!$B$31+'Inputs'!$B$32,'Inputs'!$B$30+'Inputs'!$B$31+'Inputs'!$B$32)/1000+'Inputs'!$B$21)+'Inputs'!$B$9)/SQRT((((936-43)*MAX('Inputs'!$B$33,'Inputs'!$B$29+'Inputs'!$B$31+'Inputs'!$B$32,'Inputs'!$B$30+'Inputs'!$B$31+'Inputs'!$B$32)/1000+'Inputs'!$B$21)+'Inputs'!$B$9)^2+('Inputs'!$B$8/2)^2)-(((936-43)*MAX('Inputs'!$B$33,'Inputs'!$B$29+'Inputs'!$B$31+'Inputs'!$B$32,'Inputs'!$B$30+'Inputs'!$B$31+'Inputs'!$B$32)/1000+'Inputs'!$B$21))/SQRT((((936-43)*MAX('Inputs'!$B$33,'Inputs'!$B$29+'Inputs'!$B$31+'Inputs'!$B$32,'Inputs'!$B$30+'Inputs'!$B$31+'Inputs'!$B$32)/1000+'Inputs'!$B$21))^2+('Inputs'!$B$8/2)^2)))-'Results'!B7*(0.5*((((936-43)*MAX('Inputs'!$B$33,'Inputs'!$B$29+'Inputs'!$B$31+'Inputs'!$B$32,'Inputs'!$B$30+'Inputs'!$B$31+'Inputs'!$B$32)/1000+'Inputs'!$B$21+'Inputs'!$B$9+'Inputs'!$B$10)+'Inputs'!$B$7)/SQRT((((936-43)*MAX('Inputs'!$B$33,'Inputs'!$B$29+'Inputs'!$B$31+'Inputs'!$B$32,'Inputs'!$B$30+'Inputs'!$B$31+'Inputs'!$B$32)/1000+'Inputs'!$B$21+'Inputs'!$B$9+'Inputs'!$B$10)+'Inputs'!$B$7)^2+('Inputs'!$B$6/2)^2)-(((936-43)*MAX('Inputs'!$B$33,'Inputs'!$B$29+'Inputs'!$B$31+'Inputs'!$B$32,'Inputs'!$B$30+'Inputs'!$B$31+'Inputs'!$B$32)/1000+'Inputs'!$B$21+'Inputs'!$B$9+'Inputs'!$B$10))/SQRT((((936-43)*MAX('Inputs'!$B$33,'Inputs'!$B$29+'Inputs'!$B$31+'Inputs'!$B$32,'Inputs'!$B$30+'Inputs'!$B$31+'Inputs'!$B$32)/1000+'Inputs'!$B$21+'Inputs'!$B$9+'Inputs'!$B$10))^2+('Inputs'!$B$6/2)^2))))*'Results'!$B$8),"")</x:f>
        <x:v>0.4801614380263108</x:v>
      </x:c>
      <x:c r="N936" t="n">
        <x:f>IF(AND(ISNUMBER('Results'!C7),ISNUMBER('Results'!B7),ISNUMBER('Results'!$B$8),ISNUMBER('Inputs'!$B$6),ISNUMBER('Inputs'!$B$7),ISNUMBER('Inputs'!$B$8),ISNUMBER('Inputs'!$B$9),ISNUMBER('Inputs'!$B$10),ISNUMBER('Inputs'!$B$21),ISNUMBER('Inputs'!$B$24),ISNUMBER('Inputs'!$B$28)),((('Results'!C7*(1-'Inputs'!$B$24)*(0.5*((((936-43)*MAX('Inputs'!$B$33,'Inputs'!$B$29+'Inputs'!$B$31+'Inputs'!$B$32,'Inputs'!$B$30+'Inputs'!$B$31+'Inputs'!$B$32)/1000+'Inputs'!$B$21)+'Inputs'!$B$9)/SQRT((((936-43)*MAX('Inputs'!$B$33,'Inputs'!$B$29+'Inputs'!$B$31+'Inputs'!$B$32,'Inputs'!$B$30+'Inputs'!$B$31+'Inputs'!$B$32)/1000+'Inputs'!$B$21)+'Inputs'!$B$9)^2+('Inputs'!$B$8/2)^2)-(((936-43)*MAX('Inputs'!$B$33,'Inputs'!$B$29+'Inputs'!$B$31+'Inputs'!$B$32,'Inputs'!$B$30+'Inputs'!$B$31+'Inputs'!$B$32)/1000+'Inputs'!$B$21))/SQRT((((936-43)*MAX('Inputs'!$B$33,'Inputs'!$B$29+'Inputs'!$B$31+'Inputs'!$B$32,'Inputs'!$B$30+'Inputs'!$B$31+'Inputs'!$B$32)/1000+'Inputs'!$B$21))^2+('Inputs'!$B$8/2)^2)))-'Results'!B7*(1+'Inputs'!$B$24)*(0.5*((((936-43)*MAX('Inputs'!$B$33,'Inputs'!$B$29+'Inputs'!$B$31+'Inputs'!$B$32,'Inputs'!$B$30+'Inputs'!$B$31+'Inputs'!$B$32)/1000+'Inputs'!$B$21+'Inputs'!$B$9+'Inputs'!$B$10)+'Inputs'!$B$7)/SQRT((((936-43)*MAX('Inputs'!$B$33,'Inputs'!$B$29+'Inputs'!$B$31+'Inputs'!$B$32,'Inputs'!$B$30+'Inputs'!$B$31+'Inputs'!$B$32)/1000+'Inputs'!$B$21+'Inputs'!$B$9+'Inputs'!$B$10)+'Inputs'!$B$7)^2+('Inputs'!$B$6/2)^2)-(((936-43)*MAX('Inputs'!$B$33,'Inputs'!$B$29+'Inputs'!$B$31+'Inputs'!$B$32,'Inputs'!$B$30+'Inputs'!$B$31+'Inputs'!$B$32)/1000+'Inputs'!$B$21+'Inputs'!$B$9+'Inputs'!$B$10))/SQRT((((936-43)*MAX('Inputs'!$B$33,'Inputs'!$B$29+'Inputs'!$B$31+'Inputs'!$B$32,'Inputs'!$B$30+'Inputs'!$B$31+'Inputs'!$B$32)/1000+'Inputs'!$B$21+'Inputs'!$B$9+'Inputs'!$B$10))^2+('Inputs'!$B$6/2)^2))))*'Results'!$B$8)-'Inputs'!$B$28*ABS((('Results'!C7*(1-'Inputs'!$B$24)*(0.5*((((936-43)*MAX('Inputs'!$B$33,'Inputs'!$B$29+'Inputs'!$B$31+'Inputs'!$B$32,'Inputs'!$B$30+'Inputs'!$B$31+'Inputs'!$B$32)/1000+'Inputs'!$B$21)+'Inputs'!$B$9)/SQRT((((936-43)*MAX('Inputs'!$B$33,'Inputs'!$B$29+'Inputs'!$B$31+'Inputs'!$B$32,'Inputs'!$B$30+'Inputs'!$B$31+'Inputs'!$B$32)/1000+'Inputs'!$B$21)+'Inputs'!$B$9)^2+('Inputs'!$B$8/2)^2)-(((936-43)*MAX('Inputs'!$B$33,'Inputs'!$B$29+'Inputs'!$B$31+'Inputs'!$B$32,'Inputs'!$B$30+'Inputs'!$B$31+'Inputs'!$B$32)/1000+'Inputs'!$B$21))/SQRT((((936-43)*MAX('Inputs'!$B$33,'Inputs'!$B$29+'Inputs'!$B$31+'Inputs'!$B$32,'Inputs'!$B$30+'Inputs'!$B$31+'Inputs'!$B$32)/1000+'Inputs'!$B$21))^2+('Inputs'!$B$8/2)^2)))-'Results'!B7*(1+'Inputs'!$B$24)*(0.5*((((936-43)*MAX('Inputs'!$B$33,'Inputs'!$B$29+'Inputs'!$B$31+'Inputs'!$B$32,'Inputs'!$B$30+'Inputs'!$B$31+'Inputs'!$B$32)/1000+'Inputs'!$B$21+'Inputs'!$B$9+'Inputs'!$B$10)+'Inputs'!$B$7)/SQRT((((936-43)*MAX('Inputs'!$B$33,'Inputs'!$B$29+'Inputs'!$B$31+'Inputs'!$B$32,'Inputs'!$B$30+'Inputs'!$B$31+'Inputs'!$B$32)/1000+'Inputs'!$B$21+'Inputs'!$B$9+'Inputs'!$B$10)+'Inputs'!$B$7)^2+('Inputs'!$B$6/2)^2)-(((936-43)*MAX('Inputs'!$B$33,'Inputs'!$B$29+'Inputs'!$B$31+'Inputs'!$B$32,'Inputs'!$B$30+'Inputs'!$B$31+'Inputs'!$B$32)/1000+'Inputs'!$B$21+'Inputs'!$B$9+'Inputs'!$B$10))/SQRT((((936-43)*MAX('Inputs'!$B$33,'Inputs'!$B$29+'Inputs'!$B$31+'Inputs'!$B$32,'Inputs'!$B$30+'Inputs'!$B$31+'Inputs'!$B$32)/1000+'Inputs'!$B$21+'Inputs'!$B$9+'Inputs'!$B$10))^2+('Inputs'!$B$6/2)^2))))*'Results'!$B$8))),"")</x:f>
        <x:v>0.4008001213010929</x:v>
      </x:c>
      <x:c r="O936" t="n">
        <x:f>IF(AND(ISNUMBER('Results'!C7),ISNUMBER('Results'!B7),ISNUMBER('Results'!$B$8),ISNUMBER('Inputs'!$B$6),ISNUMBER('Inputs'!$B$7),ISNUMBER('Inputs'!$B$8),ISNUMBER('Inputs'!$B$9),ISNUMBER('Inputs'!$B$10),ISNUMBER('Inputs'!$B$21),ISNUMBER('Inputs'!$B$24),ISNUMBER('Inputs'!$B$28)),((('Results'!C7*(1+'Inputs'!$B$24)*(0.5*((((936-43)*MAX('Inputs'!$B$33,'Inputs'!$B$29+'Inputs'!$B$31+'Inputs'!$B$32,'Inputs'!$B$30+'Inputs'!$B$31+'Inputs'!$B$32)/1000+'Inputs'!$B$21)+'Inputs'!$B$9)/SQRT((((936-43)*MAX('Inputs'!$B$33,'Inputs'!$B$29+'Inputs'!$B$31+'Inputs'!$B$32,'Inputs'!$B$30+'Inputs'!$B$31+'Inputs'!$B$32)/1000+'Inputs'!$B$21)+'Inputs'!$B$9)^2+('Inputs'!$B$8/2)^2)-(((936-43)*MAX('Inputs'!$B$33,'Inputs'!$B$29+'Inputs'!$B$31+'Inputs'!$B$32,'Inputs'!$B$30+'Inputs'!$B$31+'Inputs'!$B$32)/1000+'Inputs'!$B$21))/SQRT((((936-43)*MAX('Inputs'!$B$33,'Inputs'!$B$29+'Inputs'!$B$31+'Inputs'!$B$32,'Inputs'!$B$30+'Inputs'!$B$31+'Inputs'!$B$32)/1000+'Inputs'!$B$21))^2+('Inputs'!$B$8/2)^2)))-'Results'!B7*(1-'Inputs'!$B$24)*(0.5*((((936-43)*MAX('Inputs'!$B$33,'Inputs'!$B$29+'Inputs'!$B$31+'Inputs'!$B$32,'Inputs'!$B$30+'Inputs'!$B$31+'Inputs'!$B$32)/1000+'Inputs'!$B$21+'Inputs'!$B$9+'Inputs'!$B$10)+'Inputs'!$B$7)/SQRT((((936-43)*MAX('Inputs'!$B$33,'Inputs'!$B$29+'Inputs'!$B$31+'Inputs'!$B$32,'Inputs'!$B$30+'Inputs'!$B$31+'Inputs'!$B$32)/1000+'Inputs'!$B$21+'Inputs'!$B$9+'Inputs'!$B$10)+'Inputs'!$B$7)^2+('Inputs'!$B$6/2)^2)-(((936-43)*MAX('Inputs'!$B$33,'Inputs'!$B$29+'Inputs'!$B$31+'Inputs'!$B$32,'Inputs'!$B$30+'Inputs'!$B$31+'Inputs'!$B$32)/1000+'Inputs'!$B$21+'Inputs'!$B$9+'Inputs'!$B$10))/SQRT((((936-43)*MAX('Inputs'!$B$33,'Inputs'!$B$29+'Inputs'!$B$31+'Inputs'!$B$32,'Inputs'!$B$30+'Inputs'!$B$31+'Inputs'!$B$32)/1000+'Inputs'!$B$21+'Inputs'!$B$9+'Inputs'!$B$10))^2+('Inputs'!$B$6/2)^2))))*'Results'!$B$8)+'Inputs'!$B$28*ABS((('Results'!C7*(1+'Inputs'!$B$24)*(0.5*((((936-43)*MAX('Inputs'!$B$33,'Inputs'!$B$29+'Inputs'!$B$31+'Inputs'!$B$32,'Inputs'!$B$30+'Inputs'!$B$31+'Inputs'!$B$32)/1000+'Inputs'!$B$21)+'Inputs'!$B$9)/SQRT((((936-43)*MAX('Inputs'!$B$33,'Inputs'!$B$29+'Inputs'!$B$31+'Inputs'!$B$32,'Inputs'!$B$30+'Inputs'!$B$31+'Inputs'!$B$32)/1000+'Inputs'!$B$21)+'Inputs'!$B$9)^2+('Inputs'!$B$8/2)^2)-(((936-43)*MAX('Inputs'!$B$33,'Inputs'!$B$29+'Inputs'!$B$31+'Inputs'!$B$32,'Inputs'!$B$30+'Inputs'!$B$31+'Inputs'!$B$32)/1000+'Inputs'!$B$21))/SQRT((((936-43)*MAX('Inputs'!$B$33,'Inputs'!$B$29+'Inputs'!$B$31+'Inputs'!$B$32,'Inputs'!$B$30+'Inputs'!$B$31+'Inputs'!$B$32)/1000+'Inputs'!$B$21))^2+('Inputs'!$B$8/2)^2)))-'Results'!B7*(1-'Inputs'!$B$24)*(0.5*((((936-43)*MAX('Inputs'!$B$33,'Inputs'!$B$29+'Inputs'!$B$31+'Inputs'!$B$32,'Inputs'!$B$30+'Inputs'!$B$31+'Inputs'!$B$32)/1000+'Inputs'!$B$21+'Inputs'!$B$9+'Inputs'!$B$10)+'Inputs'!$B$7)/SQRT((((936-43)*MAX('Inputs'!$B$33,'Inputs'!$B$29+'Inputs'!$B$31+'Inputs'!$B$32,'Inputs'!$B$30+'Inputs'!$B$31+'Inputs'!$B$32)/1000+'Inputs'!$B$21+'Inputs'!$B$9+'Inputs'!$B$10)+'Inputs'!$B$7)^2+('Inputs'!$B$6/2)^2)-(((936-43)*MAX('Inputs'!$B$33,'Inputs'!$B$29+'Inputs'!$B$31+'Inputs'!$B$32,'Inputs'!$B$30+'Inputs'!$B$31+'Inputs'!$B$32)/1000+'Inputs'!$B$21+'Inputs'!$B$9+'Inputs'!$B$10))/SQRT((((936-43)*MAX('Inputs'!$B$33,'Inputs'!$B$29+'Inputs'!$B$31+'Inputs'!$B$32,'Inputs'!$B$30+'Inputs'!$B$31+'Inputs'!$B$32)/1000+'Inputs'!$B$21+'Inputs'!$B$9+'Inputs'!$B$10))^2+('Inputs'!$B$6/2)^2))))*'Results'!$B$8))),"")</x:f>
        <x:v>0.5653494121014131</x:v>
      </x:c>
      <x:c r="P936" t="n">
        <x:f>IF(AND(MAX(J936,J935)&gt;0,J936&gt;J935+0.00000001),1,0)</x:f>
        <x:v>0</x:v>
      </x:c>
      <x:c r="Q936" t="n">
        <x:f>IF(AND(MAX(K936,K935)&gt;0,K936&gt;K935+0.00000001),1,0)</x:f>
        <x:v>0</x:v>
      </x:c>
      <x:c r="R936" t="n">
        <x:f>IF(AND(MAX(L936,L935)&gt;0,L936&gt;L935+0.00000001),1,0)</x:f>
        <x:v>0</x:v>
      </x:c>
      <x:c r="S936" t="n">
        <x:f>IF(AND(MAX(M936,M935)&gt;0,M936&gt;M935+0.00000001),1,0)</x:f>
        <x:v>0</x:v>
      </x:c>
      <x:c r="T936" t="n">
        <x:f>IF(AND(MAX(N936,N935)&gt;0,N936&gt;N935+0.00000001),1,0)</x:f>
        <x:v>0</x:v>
      </x:c>
      <x:c r="U936" t="n">
        <x:f>IF(AND(MAX(O936,O935)&gt;0,O936&gt;O935+0.00000001),1,0)</x:f>
        <x:v>0</x:v>
      </x:c>
    </x:row>
    <x:row r="937">
      <x:c r="J937" t="n">
        <x:f>IF(AND(ISNUMBER('Results'!B7),ISNUMBER('Results'!C7),ISNUMBER('Results'!$B$8),ISNUMBER('Inputs'!$B$6),ISNUMBER('Inputs'!$B$7),ISNUMBER('Inputs'!$B$8),ISNUMBER('Inputs'!$B$9),ISNUMBER('Inputs'!$B$10),ISNUMBER('Inputs'!$B$21),ISNUMBER('Inputs'!$B$24),ISNUMBER('Inputs'!$B$28)),(('Results'!B7*(0.5*((((937-43)*MAX('Inputs'!$B$33,'Inputs'!$B$29+'Inputs'!$B$31+'Inputs'!$B$32,'Inputs'!$B$30+'Inputs'!$B$31+'Inputs'!$B$32)/1000+'Inputs'!$B$21)+'Inputs'!$B$7)/SQRT((((937-43)*MAX('Inputs'!$B$33,'Inputs'!$B$29+'Inputs'!$B$31+'Inputs'!$B$32,'Inputs'!$B$30+'Inputs'!$B$31+'Inputs'!$B$32)/1000+'Inputs'!$B$21)+'Inputs'!$B$7)^2+('Inputs'!$B$6/2)^2)-(((937-43)*MAX('Inputs'!$B$33,'Inputs'!$B$29+'Inputs'!$B$31+'Inputs'!$B$32,'Inputs'!$B$30+'Inputs'!$B$31+'Inputs'!$B$32)/1000+'Inputs'!$B$21))/SQRT((((937-43)*MAX('Inputs'!$B$33,'Inputs'!$B$29+'Inputs'!$B$31+'Inputs'!$B$32,'Inputs'!$B$30+'Inputs'!$B$31+'Inputs'!$B$32)/1000+'Inputs'!$B$21))^2+('Inputs'!$B$6/2)^2)))-'Results'!C7*(0.5*((((937-43)*MAX('Inputs'!$B$33,'Inputs'!$B$29+'Inputs'!$B$31+'Inputs'!$B$32,'Inputs'!$B$30+'Inputs'!$B$31+'Inputs'!$B$32)/1000+'Inputs'!$B$21+'Inputs'!$B$7+'Inputs'!$B$10)+'Inputs'!$B$9)/SQRT((((937-43)*MAX('Inputs'!$B$33,'Inputs'!$B$29+'Inputs'!$B$31+'Inputs'!$B$32,'Inputs'!$B$30+'Inputs'!$B$31+'Inputs'!$B$32)/1000+'Inputs'!$B$21+'Inputs'!$B$7+'Inputs'!$B$10)+'Inputs'!$B$9)^2+('Inputs'!$B$8/2)^2)-(((937-43)*MAX('Inputs'!$B$33,'Inputs'!$B$29+'Inputs'!$B$31+'Inputs'!$B$32,'Inputs'!$B$30+'Inputs'!$B$31+'Inputs'!$B$32)/1000+'Inputs'!$B$21+'Inputs'!$B$7+'Inputs'!$B$10))/SQRT((((937-43)*MAX('Inputs'!$B$33,'Inputs'!$B$29+'Inputs'!$B$31+'Inputs'!$B$32,'Inputs'!$B$30+'Inputs'!$B$31+'Inputs'!$B$32)/1000+'Inputs'!$B$21+'Inputs'!$B$7+'Inputs'!$B$10))^2+('Inputs'!$B$8/2)^2))))*'Results'!$B$8),"")</x:f>
        <x:v>0.536937281675106</x:v>
      </x:c>
      <x:c r="K937" t="n">
        <x:f>IF(AND(ISNUMBER('Results'!B7),ISNUMBER('Results'!C7),ISNUMBER('Results'!$B$8),ISNUMBER('Inputs'!$B$6),ISNUMBER('Inputs'!$B$7),ISNUMBER('Inputs'!$B$8),ISNUMBER('Inputs'!$B$9),ISNUMBER('Inputs'!$B$10),ISNUMBER('Inputs'!$B$21),ISNUMBER('Inputs'!$B$24),ISNUMBER('Inputs'!$B$28)),((('Results'!B7*(1-'Inputs'!$B$24)*(0.5*((((937-43)*MAX('Inputs'!$B$33,'Inputs'!$B$29+'Inputs'!$B$31+'Inputs'!$B$32,'Inputs'!$B$30+'Inputs'!$B$31+'Inputs'!$B$32)/1000+'Inputs'!$B$21)+'Inputs'!$B$7)/SQRT((((937-43)*MAX('Inputs'!$B$33,'Inputs'!$B$29+'Inputs'!$B$31+'Inputs'!$B$32,'Inputs'!$B$30+'Inputs'!$B$31+'Inputs'!$B$32)/1000+'Inputs'!$B$21)+'Inputs'!$B$7)^2+('Inputs'!$B$6/2)^2)-(((937-43)*MAX('Inputs'!$B$33,'Inputs'!$B$29+'Inputs'!$B$31+'Inputs'!$B$32,'Inputs'!$B$30+'Inputs'!$B$31+'Inputs'!$B$32)/1000+'Inputs'!$B$21))/SQRT((((937-43)*MAX('Inputs'!$B$33,'Inputs'!$B$29+'Inputs'!$B$31+'Inputs'!$B$32,'Inputs'!$B$30+'Inputs'!$B$31+'Inputs'!$B$32)/1000+'Inputs'!$B$21))^2+('Inputs'!$B$6/2)^2)))-'Results'!C7*(1+'Inputs'!$B$24)*(0.5*((((937-43)*MAX('Inputs'!$B$33,'Inputs'!$B$29+'Inputs'!$B$31+'Inputs'!$B$32,'Inputs'!$B$30+'Inputs'!$B$31+'Inputs'!$B$32)/1000+'Inputs'!$B$21+'Inputs'!$B$7+'Inputs'!$B$10)+'Inputs'!$B$9)/SQRT((((937-43)*MAX('Inputs'!$B$33,'Inputs'!$B$29+'Inputs'!$B$31+'Inputs'!$B$32,'Inputs'!$B$30+'Inputs'!$B$31+'Inputs'!$B$32)/1000+'Inputs'!$B$21+'Inputs'!$B$7+'Inputs'!$B$10)+'Inputs'!$B$9)^2+('Inputs'!$B$8/2)^2)-(((937-43)*MAX('Inputs'!$B$33,'Inputs'!$B$29+'Inputs'!$B$31+'Inputs'!$B$32,'Inputs'!$B$30+'Inputs'!$B$31+'Inputs'!$B$32)/1000+'Inputs'!$B$21+'Inputs'!$B$7+'Inputs'!$B$10))/SQRT((((937-43)*MAX('Inputs'!$B$33,'Inputs'!$B$29+'Inputs'!$B$31+'Inputs'!$B$32,'Inputs'!$B$30+'Inputs'!$B$31+'Inputs'!$B$32)/1000+'Inputs'!$B$21+'Inputs'!$B$7+'Inputs'!$B$10))^2+('Inputs'!$B$8/2)^2))))*'Results'!$B$8)-'Inputs'!$B$28*ABS((('Results'!B7*(1-'Inputs'!$B$24)*(0.5*((((937-43)*MAX('Inputs'!$B$33,'Inputs'!$B$29+'Inputs'!$B$31+'Inputs'!$B$32,'Inputs'!$B$30+'Inputs'!$B$31+'Inputs'!$B$32)/1000+'Inputs'!$B$21)+'Inputs'!$B$7)/SQRT((((937-43)*MAX('Inputs'!$B$33,'Inputs'!$B$29+'Inputs'!$B$31+'Inputs'!$B$32,'Inputs'!$B$30+'Inputs'!$B$31+'Inputs'!$B$32)/1000+'Inputs'!$B$21)+'Inputs'!$B$7)^2+('Inputs'!$B$6/2)^2)-(((937-43)*MAX('Inputs'!$B$33,'Inputs'!$B$29+'Inputs'!$B$31+'Inputs'!$B$32,'Inputs'!$B$30+'Inputs'!$B$31+'Inputs'!$B$32)/1000+'Inputs'!$B$21))/SQRT((((937-43)*MAX('Inputs'!$B$33,'Inputs'!$B$29+'Inputs'!$B$31+'Inputs'!$B$32,'Inputs'!$B$30+'Inputs'!$B$31+'Inputs'!$B$32)/1000+'Inputs'!$B$21))^2+('Inputs'!$B$6/2)^2)))-'Results'!C7*(1+'Inputs'!$B$24)*(0.5*((((937-43)*MAX('Inputs'!$B$33,'Inputs'!$B$29+'Inputs'!$B$31+'Inputs'!$B$32,'Inputs'!$B$30+'Inputs'!$B$31+'Inputs'!$B$32)/1000+'Inputs'!$B$21+'Inputs'!$B$7+'Inputs'!$B$10)+'Inputs'!$B$9)/SQRT((((937-43)*MAX('Inputs'!$B$33,'Inputs'!$B$29+'Inputs'!$B$31+'Inputs'!$B$32,'Inputs'!$B$30+'Inputs'!$B$31+'Inputs'!$B$32)/1000+'Inputs'!$B$21+'Inputs'!$B$7+'Inputs'!$B$10)+'Inputs'!$B$9)^2+('Inputs'!$B$8/2)^2)-(((937-43)*MAX('Inputs'!$B$33,'Inputs'!$B$29+'Inputs'!$B$31+'Inputs'!$B$32,'Inputs'!$B$30+'Inputs'!$B$31+'Inputs'!$B$32)/1000+'Inputs'!$B$21+'Inputs'!$B$7+'Inputs'!$B$10))/SQRT((((937-43)*MAX('Inputs'!$B$33,'Inputs'!$B$29+'Inputs'!$B$31+'Inputs'!$B$32,'Inputs'!$B$30+'Inputs'!$B$31+'Inputs'!$B$32)/1000+'Inputs'!$B$21+'Inputs'!$B$7+'Inputs'!$B$10))^2+('Inputs'!$B$8/2)^2))))*'Results'!$B$8))),"")</x:f>
        <x:v>0.4547143358233658</x:v>
      </x:c>
      <x:c r="L937" t="n">
        <x:f>IF(AND(ISNUMBER('Results'!B7),ISNUMBER('Results'!C7),ISNUMBER('Results'!$B$8),ISNUMBER('Inputs'!$B$6),ISNUMBER('Inputs'!$B$7),ISNUMBER('Inputs'!$B$8),ISNUMBER('Inputs'!$B$9),ISNUMBER('Inputs'!$B$10),ISNUMBER('Inputs'!$B$21),ISNUMBER('Inputs'!$B$24),ISNUMBER('Inputs'!$B$28)),((('Results'!B7*(1+'Inputs'!$B$24)*(0.5*((((937-43)*MAX('Inputs'!$B$33,'Inputs'!$B$29+'Inputs'!$B$31+'Inputs'!$B$32,'Inputs'!$B$30+'Inputs'!$B$31+'Inputs'!$B$32)/1000+'Inputs'!$B$21)+'Inputs'!$B$7)/SQRT((((937-43)*MAX('Inputs'!$B$33,'Inputs'!$B$29+'Inputs'!$B$31+'Inputs'!$B$32,'Inputs'!$B$30+'Inputs'!$B$31+'Inputs'!$B$32)/1000+'Inputs'!$B$21)+'Inputs'!$B$7)^2+('Inputs'!$B$6/2)^2)-(((937-43)*MAX('Inputs'!$B$33,'Inputs'!$B$29+'Inputs'!$B$31+'Inputs'!$B$32,'Inputs'!$B$30+'Inputs'!$B$31+'Inputs'!$B$32)/1000+'Inputs'!$B$21))/SQRT((((937-43)*MAX('Inputs'!$B$33,'Inputs'!$B$29+'Inputs'!$B$31+'Inputs'!$B$32,'Inputs'!$B$30+'Inputs'!$B$31+'Inputs'!$B$32)/1000+'Inputs'!$B$21))^2+('Inputs'!$B$6/2)^2)))-'Results'!C7*(1-'Inputs'!$B$24)*(0.5*((((937-43)*MAX('Inputs'!$B$33,'Inputs'!$B$29+'Inputs'!$B$31+'Inputs'!$B$32,'Inputs'!$B$30+'Inputs'!$B$31+'Inputs'!$B$32)/1000+'Inputs'!$B$21+'Inputs'!$B$7+'Inputs'!$B$10)+'Inputs'!$B$9)/SQRT((((937-43)*MAX('Inputs'!$B$33,'Inputs'!$B$29+'Inputs'!$B$31+'Inputs'!$B$32,'Inputs'!$B$30+'Inputs'!$B$31+'Inputs'!$B$32)/1000+'Inputs'!$B$21+'Inputs'!$B$7+'Inputs'!$B$10)+'Inputs'!$B$9)^2+('Inputs'!$B$8/2)^2)-(((937-43)*MAX('Inputs'!$B$33,'Inputs'!$B$29+'Inputs'!$B$31+'Inputs'!$B$32,'Inputs'!$B$30+'Inputs'!$B$31+'Inputs'!$B$32)/1000+'Inputs'!$B$21+'Inputs'!$B$7+'Inputs'!$B$10))/SQRT((((937-43)*MAX('Inputs'!$B$33,'Inputs'!$B$29+'Inputs'!$B$31+'Inputs'!$B$32,'Inputs'!$B$30+'Inputs'!$B$31+'Inputs'!$B$32)/1000+'Inputs'!$B$21+'Inputs'!$B$7+'Inputs'!$B$10))^2+('Inputs'!$B$8/2)^2))))*'Results'!$B$8)+'Inputs'!$B$28*ABS((('Results'!B7*(1+'Inputs'!$B$24)*(0.5*((((937-43)*MAX('Inputs'!$B$33,'Inputs'!$B$29+'Inputs'!$B$31+'Inputs'!$B$32,'Inputs'!$B$30+'Inputs'!$B$31+'Inputs'!$B$32)/1000+'Inputs'!$B$21)+'Inputs'!$B$7)/SQRT((((937-43)*MAX('Inputs'!$B$33,'Inputs'!$B$29+'Inputs'!$B$31+'Inputs'!$B$32,'Inputs'!$B$30+'Inputs'!$B$31+'Inputs'!$B$32)/1000+'Inputs'!$B$21)+'Inputs'!$B$7)^2+('Inputs'!$B$6/2)^2)-(((937-43)*MAX('Inputs'!$B$33,'Inputs'!$B$29+'Inputs'!$B$31+'Inputs'!$B$32,'Inputs'!$B$30+'Inputs'!$B$31+'Inputs'!$B$32)/1000+'Inputs'!$B$21))/SQRT((((937-43)*MAX('Inputs'!$B$33,'Inputs'!$B$29+'Inputs'!$B$31+'Inputs'!$B$32,'Inputs'!$B$30+'Inputs'!$B$31+'Inputs'!$B$32)/1000+'Inputs'!$B$21))^2+('Inputs'!$B$6/2)^2)))-'Results'!C7*(1-'Inputs'!$B$24)*(0.5*((((937-43)*MAX('Inputs'!$B$33,'Inputs'!$B$29+'Inputs'!$B$31+'Inputs'!$B$32,'Inputs'!$B$30+'Inputs'!$B$31+'Inputs'!$B$32)/1000+'Inputs'!$B$21+'Inputs'!$B$7+'Inputs'!$B$10)+'Inputs'!$B$9)/SQRT((((937-43)*MAX('Inputs'!$B$33,'Inputs'!$B$29+'Inputs'!$B$31+'Inputs'!$B$32,'Inputs'!$B$30+'Inputs'!$B$31+'Inputs'!$B$32)/1000+'Inputs'!$B$21+'Inputs'!$B$7+'Inputs'!$B$10)+'Inputs'!$B$9)^2+('Inputs'!$B$8/2)^2)-(((937-43)*MAX('Inputs'!$B$33,'Inputs'!$B$29+'Inputs'!$B$31+'Inputs'!$B$32,'Inputs'!$B$30+'Inputs'!$B$31+'Inputs'!$B$32)/1000+'Inputs'!$B$21+'Inputs'!$B$7+'Inputs'!$B$10))/SQRT((((937-43)*MAX('Inputs'!$B$33,'Inputs'!$B$29+'Inputs'!$B$31+'Inputs'!$B$32,'Inputs'!$B$30+'Inputs'!$B$31+'Inputs'!$B$32)/1000+'Inputs'!$B$21+'Inputs'!$B$7+'Inputs'!$B$10))^2+('Inputs'!$B$8/2)^2))))*'Results'!$B$8))),"")</x:f>
        <x:v>0.6249892887655812</x:v>
      </x:c>
      <x:c r="M937" t="n">
        <x:f>IF(AND(ISNUMBER('Results'!C7),ISNUMBER('Results'!B7),ISNUMBER('Results'!$B$8),ISNUMBER('Inputs'!$B$6),ISNUMBER('Inputs'!$B$7),ISNUMBER('Inputs'!$B$8),ISNUMBER('Inputs'!$B$9),ISNUMBER('Inputs'!$B$10),ISNUMBER('Inputs'!$B$21),ISNUMBER('Inputs'!$B$24),ISNUMBER('Inputs'!$B$28)),(('Results'!C7*(0.5*((((937-43)*MAX('Inputs'!$B$33,'Inputs'!$B$29+'Inputs'!$B$31+'Inputs'!$B$32,'Inputs'!$B$30+'Inputs'!$B$31+'Inputs'!$B$32)/1000+'Inputs'!$B$21)+'Inputs'!$B$9)/SQRT((((937-43)*MAX('Inputs'!$B$33,'Inputs'!$B$29+'Inputs'!$B$31+'Inputs'!$B$32,'Inputs'!$B$30+'Inputs'!$B$31+'Inputs'!$B$32)/1000+'Inputs'!$B$21)+'Inputs'!$B$9)^2+('Inputs'!$B$8/2)^2)-(((937-43)*MAX('Inputs'!$B$33,'Inputs'!$B$29+'Inputs'!$B$31+'Inputs'!$B$32,'Inputs'!$B$30+'Inputs'!$B$31+'Inputs'!$B$32)/1000+'Inputs'!$B$21))/SQRT((((937-43)*MAX('Inputs'!$B$33,'Inputs'!$B$29+'Inputs'!$B$31+'Inputs'!$B$32,'Inputs'!$B$30+'Inputs'!$B$31+'Inputs'!$B$32)/1000+'Inputs'!$B$21))^2+('Inputs'!$B$8/2)^2)))-'Results'!B7*(0.5*((((937-43)*MAX('Inputs'!$B$33,'Inputs'!$B$29+'Inputs'!$B$31+'Inputs'!$B$32,'Inputs'!$B$30+'Inputs'!$B$31+'Inputs'!$B$32)/1000+'Inputs'!$B$21+'Inputs'!$B$9+'Inputs'!$B$10)+'Inputs'!$B$7)/SQRT((((937-43)*MAX('Inputs'!$B$33,'Inputs'!$B$29+'Inputs'!$B$31+'Inputs'!$B$32,'Inputs'!$B$30+'Inputs'!$B$31+'Inputs'!$B$32)/1000+'Inputs'!$B$21+'Inputs'!$B$9+'Inputs'!$B$10)+'Inputs'!$B$7)^2+('Inputs'!$B$6/2)^2)-(((937-43)*MAX('Inputs'!$B$33,'Inputs'!$B$29+'Inputs'!$B$31+'Inputs'!$B$32,'Inputs'!$B$30+'Inputs'!$B$31+'Inputs'!$B$32)/1000+'Inputs'!$B$21+'Inputs'!$B$9+'Inputs'!$B$10))/SQRT((((937-43)*MAX('Inputs'!$B$33,'Inputs'!$B$29+'Inputs'!$B$31+'Inputs'!$B$32,'Inputs'!$B$30+'Inputs'!$B$31+'Inputs'!$B$32)/1000+'Inputs'!$B$21+'Inputs'!$B$9+'Inputs'!$B$10))^2+('Inputs'!$B$6/2)^2))))*'Results'!$B$8),"")</x:f>
        <x:v>0.4781614461576124</x:v>
      </x:c>
      <x:c r="N937" t="n">
        <x:f>IF(AND(ISNUMBER('Results'!C7),ISNUMBER('Results'!B7),ISNUMBER('Results'!$B$8),ISNUMBER('Inputs'!$B$6),ISNUMBER('Inputs'!$B$7),ISNUMBER('Inputs'!$B$8),ISNUMBER('Inputs'!$B$9),ISNUMBER('Inputs'!$B$10),ISNUMBER('Inputs'!$B$21),ISNUMBER('Inputs'!$B$24),ISNUMBER('Inputs'!$B$28)),((('Results'!C7*(1-'Inputs'!$B$24)*(0.5*((((937-43)*MAX('Inputs'!$B$33,'Inputs'!$B$29+'Inputs'!$B$31+'Inputs'!$B$32,'Inputs'!$B$30+'Inputs'!$B$31+'Inputs'!$B$32)/1000+'Inputs'!$B$21)+'Inputs'!$B$9)/SQRT((((937-43)*MAX('Inputs'!$B$33,'Inputs'!$B$29+'Inputs'!$B$31+'Inputs'!$B$32,'Inputs'!$B$30+'Inputs'!$B$31+'Inputs'!$B$32)/1000+'Inputs'!$B$21)+'Inputs'!$B$9)^2+('Inputs'!$B$8/2)^2)-(((937-43)*MAX('Inputs'!$B$33,'Inputs'!$B$29+'Inputs'!$B$31+'Inputs'!$B$32,'Inputs'!$B$30+'Inputs'!$B$31+'Inputs'!$B$32)/1000+'Inputs'!$B$21))/SQRT((((937-43)*MAX('Inputs'!$B$33,'Inputs'!$B$29+'Inputs'!$B$31+'Inputs'!$B$32,'Inputs'!$B$30+'Inputs'!$B$31+'Inputs'!$B$32)/1000+'Inputs'!$B$21))^2+('Inputs'!$B$8/2)^2)))-'Results'!B7*(1+'Inputs'!$B$24)*(0.5*((((937-43)*MAX('Inputs'!$B$33,'Inputs'!$B$29+'Inputs'!$B$31+'Inputs'!$B$32,'Inputs'!$B$30+'Inputs'!$B$31+'Inputs'!$B$32)/1000+'Inputs'!$B$21+'Inputs'!$B$9+'Inputs'!$B$10)+'Inputs'!$B$7)/SQRT((((937-43)*MAX('Inputs'!$B$33,'Inputs'!$B$29+'Inputs'!$B$31+'Inputs'!$B$32,'Inputs'!$B$30+'Inputs'!$B$31+'Inputs'!$B$32)/1000+'Inputs'!$B$21+'Inputs'!$B$9+'Inputs'!$B$10)+'Inputs'!$B$7)^2+('Inputs'!$B$6/2)^2)-(((937-43)*MAX('Inputs'!$B$33,'Inputs'!$B$29+'Inputs'!$B$31+'Inputs'!$B$32,'Inputs'!$B$30+'Inputs'!$B$31+'Inputs'!$B$32)/1000+'Inputs'!$B$21+'Inputs'!$B$9+'Inputs'!$B$10))/SQRT((((937-43)*MAX('Inputs'!$B$33,'Inputs'!$B$29+'Inputs'!$B$31+'Inputs'!$B$32,'Inputs'!$B$30+'Inputs'!$B$31+'Inputs'!$B$32)/1000+'Inputs'!$B$21+'Inputs'!$B$9+'Inputs'!$B$10))^2+('Inputs'!$B$6/2)^2))))*'Results'!$B$8)-'Inputs'!$B$28*ABS((('Results'!C7*(1-'Inputs'!$B$24)*(0.5*((((937-43)*MAX('Inputs'!$B$33,'Inputs'!$B$29+'Inputs'!$B$31+'Inputs'!$B$32,'Inputs'!$B$30+'Inputs'!$B$31+'Inputs'!$B$32)/1000+'Inputs'!$B$21)+'Inputs'!$B$9)/SQRT((((937-43)*MAX('Inputs'!$B$33,'Inputs'!$B$29+'Inputs'!$B$31+'Inputs'!$B$32,'Inputs'!$B$30+'Inputs'!$B$31+'Inputs'!$B$32)/1000+'Inputs'!$B$21)+'Inputs'!$B$9)^2+('Inputs'!$B$8/2)^2)-(((937-43)*MAX('Inputs'!$B$33,'Inputs'!$B$29+'Inputs'!$B$31+'Inputs'!$B$32,'Inputs'!$B$30+'Inputs'!$B$31+'Inputs'!$B$32)/1000+'Inputs'!$B$21))/SQRT((((937-43)*MAX('Inputs'!$B$33,'Inputs'!$B$29+'Inputs'!$B$31+'Inputs'!$B$32,'Inputs'!$B$30+'Inputs'!$B$31+'Inputs'!$B$32)/1000+'Inputs'!$B$21))^2+('Inputs'!$B$8/2)^2)))-'Results'!B7*(1+'Inputs'!$B$24)*(0.5*((((937-43)*MAX('Inputs'!$B$33,'Inputs'!$B$29+'Inputs'!$B$31+'Inputs'!$B$32,'Inputs'!$B$30+'Inputs'!$B$31+'Inputs'!$B$32)/1000+'Inputs'!$B$21+'Inputs'!$B$9+'Inputs'!$B$10)+'Inputs'!$B$7)/SQRT((((937-43)*MAX('Inputs'!$B$33,'Inputs'!$B$29+'Inputs'!$B$31+'Inputs'!$B$32,'Inputs'!$B$30+'Inputs'!$B$31+'Inputs'!$B$32)/1000+'Inputs'!$B$21+'Inputs'!$B$9+'Inputs'!$B$10)+'Inputs'!$B$7)^2+('Inputs'!$B$6/2)^2)-(((937-43)*MAX('Inputs'!$B$33,'Inputs'!$B$29+'Inputs'!$B$31+'Inputs'!$B$32,'Inputs'!$B$30+'Inputs'!$B$31+'Inputs'!$B$32)/1000+'Inputs'!$B$21+'Inputs'!$B$9+'Inputs'!$B$10))/SQRT((((937-43)*MAX('Inputs'!$B$33,'Inputs'!$B$29+'Inputs'!$B$31+'Inputs'!$B$32,'Inputs'!$B$30+'Inputs'!$B$31+'Inputs'!$B$32)/1000+'Inputs'!$B$21+'Inputs'!$B$9+'Inputs'!$B$10))^2+('Inputs'!$B$6/2)^2))))*'Results'!$B$8))),"")</x:f>
        <x:v>0.3990721090093109</x:v>
      </x:c>
      <x:c r="O937" t="n">
        <x:f>IF(AND(ISNUMBER('Results'!C7),ISNUMBER('Results'!B7),ISNUMBER('Results'!$B$8),ISNUMBER('Inputs'!$B$6),ISNUMBER('Inputs'!$B$7),ISNUMBER('Inputs'!$B$8),ISNUMBER('Inputs'!$B$9),ISNUMBER('Inputs'!$B$10),ISNUMBER('Inputs'!$B$21),ISNUMBER('Inputs'!$B$24),ISNUMBER('Inputs'!$B$28)),((('Results'!C7*(1+'Inputs'!$B$24)*(0.5*((((937-43)*MAX('Inputs'!$B$33,'Inputs'!$B$29+'Inputs'!$B$31+'Inputs'!$B$32,'Inputs'!$B$30+'Inputs'!$B$31+'Inputs'!$B$32)/1000+'Inputs'!$B$21)+'Inputs'!$B$9)/SQRT((((937-43)*MAX('Inputs'!$B$33,'Inputs'!$B$29+'Inputs'!$B$31+'Inputs'!$B$32,'Inputs'!$B$30+'Inputs'!$B$31+'Inputs'!$B$32)/1000+'Inputs'!$B$21)+'Inputs'!$B$9)^2+('Inputs'!$B$8/2)^2)-(((937-43)*MAX('Inputs'!$B$33,'Inputs'!$B$29+'Inputs'!$B$31+'Inputs'!$B$32,'Inputs'!$B$30+'Inputs'!$B$31+'Inputs'!$B$32)/1000+'Inputs'!$B$21))/SQRT((((937-43)*MAX('Inputs'!$B$33,'Inputs'!$B$29+'Inputs'!$B$31+'Inputs'!$B$32,'Inputs'!$B$30+'Inputs'!$B$31+'Inputs'!$B$32)/1000+'Inputs'!$B$21))^2+('Inputs'!$B$8/2)^2)))-'Results'!B7*(1-'Inputs'!$B$24)*(0.5*((((937-43)*MAX('Inputs'!$B$33,'Inputs'!$B$29+'Inputs'!$B$31+'Inputs'!$B$32,'Inputs'!$B$30+'Inputs'!$B$31+'Inputs'!$B$32)/1000+'Inputs'!$B$21+'Inputs'!$B$9+'Inputs'!$B$10)+'Inputs'!$B$7)/SQRT((((937-43)*MAX('Inputs'!$B$33,'Inputs'!$B$29+'Inputs'!$B$31+'Inputs'!$B$32,'Inputs'!$B$30+'Inputs'!$B$31+'Inputs'!$B$32)/1000+'Inputs'!$B$21+'Inputs'!$B$9+'Inputs'!$B$10)+'Inputs'!$B$7)^2+('Inputs'!$B$6/2)^2)-(((937-43)*MAX('Inputs'!$B$33,'Inputs'!$B$29+'Inputs'!$B$31+'Inputs'!$B$32,'Inputs'!$B$30+'Inputs'!$B$31+'Inputs'!$B$32)/1000+'Inputs'!$B$21+'Inputs'!$B$9+'Inputs'!$B$10))/SQRT((((937-43)*MAX('Inputs'!$B$33,'Inputs'!$B$29+'Inputs'!$B$31+'Inputs'!$B$32,'Inputs'!$B$30+'Inputs'!$B$31+'Inputs'!$B$32)/1000+'Inputs'!$B$21+'Inputs'!$B$9+'Inputs'!$B$10))^2+('Inputs'!$B$6/2)^2))))*'Results'!$B$8)+'Inputs'!$B$28*ABS((('Results'!C7*(1+'Inputs'!$B$24)*(0.5*((((937-43)*MAX('Inputs'!$B$33,'Inputs'!$B$29+'Inputs'!$B$31+'Inputs'!$B$32,'Inputs'!$B$30+'Inputs'!$B$31+'Inputs'!$B$32)/1000+'Inputs'!$B$21)+'Inputs'!$B$9)/SQRT((((937-43)*MAX('Inputs'!$B$33,'Inputs'!$B$29+'Inputs'!$B$31+'Inputs'!$B$32,'Inputs'!$B$30+'Inputs'!$B$31+'Inputs'!$B$32)/1000+'Inputs'!$B$21)+'Inputs'!$B$9)^2+('Inputs'!$B$8/2)^2)-(((937-43)*MAX('Inputs'!$B$33,'Inputs'!$B$29+'Inputs'!$B$31+'Inputs'!$B$32,'Inputs'!$B$30+'Inputs'!$B$31+'Inputs'!$B$32)/1000+'Inputs'!$B$21))/SQRT((((937-43)*MAX('Inputs'!$B$33,'Inputs'!$B$29+'Inputs'!$B$31+'Inputs'!$B$32,'Inputs'!$B$30+'Inputs'!$B$31+'Inputs'!$B$32)/1000+'Inputs'!$B$21))^2+('Inputs'!$B$8/2)^2)))-'Results'!B7*(1-'Inputs'!$B$24)*(0.5*((((937-43)*MAX('Inputs'!$B$33,'Inputs'!$B$29+'Inputs'!$B$31+'Inputs'!$B$32,'Inputs'!$B$30+'Inputs'!$B$31+'Inputs'!$B$32)/1000+'Inputs'!$B$21+'Inputs'!$B$9+'Inputs'!$B$10)+'Inputs'!$B$7)/SQRT((((937-43)*MAX('Inputs'!$B$33,'Inputs'!$B$29+'Inputs'!$B$31+'Inputs'!$B$32,'Inputs'!$B$30+'Inputs'!$B$31+'Inputs'!$B$32)/1000+'Inputs'!$B$21+'Inputs'!$B$9+'Inputs'!$B$10)+'Inputs'!$B$7)^2+('Inputs'!$B$6/2)^2)-(((937-43)*MAX('Inputs'!$B$33,'Inputs'!$B$29+'Inputs'!$B$31+'Inputs'!$B$32,'Inputs'!$B$30+'Inputs'!$B$31+'Inputs'!$B$32)/1000+'Inputs'!$B$21+'Inputs'!$B$9+'Inputs'!$B$10))/SQRT((((937-43)*MAX('Inputs'!$B$33,'Inputs'!$B$29+'Inputs'!$B$31+'Inputs'!$B$32,'Inputs'!$B$30+'Inputs'!$B$31+'Inputs'!$B$32)/1000+'Inputs'!$B$21+'Inputs'!$B$9+'Inputs'!$B$10))^2+('Inputs'!$B$6/2)^2))))*'Results'!$B$8))),"")</x:f>
        <x:v>0.5630593374996424</x:v>
      </x:c>
      <x:c r="P937" t="n">
        <x:f>IF(AND(MAX(J937,J936)&gt;0,J937&gt;J936+0.00000001),1,0)</x:f>
        <x:v>0</x:v>
      </x:c>
      <x:c r="Q937" t="n">
        <x:f>IF(AND(MAX(K937,K936)&gt;0,K937&gt;K936+0.00000001),1,0)</x:f>
        <x:v>0</x:v>
      </x:c>
      <x:c r="R937" t="n">
        <x:f>IF(AND(MAX(L937,L936)&gt;0,L937&gt;L936+0.00000001),1,0)</x:f>
        <x:v>0</x:v>
      </x:c>
      <x:c r="S937" t="n">
        <x:f>IF(AND(MAX(M937,M936)&gt;0,M937&gt;M936+0.00000001),1,0)</x:f>
        <x:v>0</x:v>
      </x:c>
      <x:c r="T937" t="n">
        <x:f>IF(AND(MAX(N937,N936)&gt;0,N937&gt;N936+0.00000001),1,0)</x:f>
        <x:v>0</x:v>
      </x:c>
      <x:c r="U937" t="n">
        <x:f>IF(AND(MAX(O937,O936)&gt;0,O937&gt;O936+0.00000001),1,0)</x:f>
        <x:v>0</x:v>
      </x:c>
    </x:row>
    <x:row r="938">
      <x:c r="J938" t="n">
        <x:f>IF(AND(ISNUMBER('Results'!B7),ISNUMBER('Results'!C7),ISNUMBER('Results'!$B$8),ISNUMBER('Inputs'!$B$6),ISNUMBER('Inputs'!$B$7),ISNUMBER('Inputs'!$B$8),ISNUMBER('Inputs'!$B$9),ISNUMBER('Inputs'!$B$10),ISNUMBER('Inputs'!$B$21),ISNUMBER('Inputs'!$B$24),ISNUMBER('Inputs'!$B$28)),(('Results'!B7*(0.5*((((938-43)*MAX('Inputs'!$B$33,'Inputs'!$B$29+'Inputs'!$B$31+'Inputs'!$B$32,'Inputs'!$B$30+'Inputs'!$B$31+'Inputs'!$B$32)/1000+'Inputs'!$B$21)+'Inputs'!$B$7)/SQRT((((938-43)*MAX('Inputs'!$B$33,'Inputs'!$B$29+'Inputs'!$B$31+'Inputs'!$B$32,'Inputs'!$B$30+'Inputs'!$B$31+'Inputs'!$B$32)/1000+'Inputs'!$B$21)+'Inputs'!$B$7)^2+('Inputs'!$B$6/2)^2)-(((938-43)*MAX('Inputs'!$B$33,'Inputs'!$B$29+'Inputs'!$B$31+'Inputs'!$B$32,'Inputs'!$B$30+'Inputs'!$B$31+'Inputs'!$B$32)/1000+'Inputs'!$B$21))/SQRT((((938-43)*MAX('Inputs'!$B$33,'Inputs'!$B$29+'Inputs'!$B$31+'Inputs'!$B$32,'Inputs'!$B$30+'Inputs'!$B$31+'Inputs'!$B$32)/1000+'Inputs'!$B$21))^2+('Inputs'!$B$6/2)^2)))-'Results'!C7*(0.5*((((938-43)*MAX('Inputs'!$B$33,'Inputs'!$B$29+'Inputs'!$B$31+'Inputs'!$B$32,'Inputs'!$B$30+'Inputs'!$B$31+'Inputs'!$B$32)/1000+'Inputs'!$B$21+'Inputs'!$B$7+'Inputs'!$B$10)+'Inputs'!$B$9)/SQRT((((938-43)*MAX('Inputs'!$B$33,'Inputs'!$B$29+'Inputs'!$B$31+'Inputs'!$B$32,'Inputs'!$B$30+'Inputs'!$B$31+'Inputs'!$B$32)/1000+'Inputs'!$B$21+'Inputs'!$B$7+'Inputs'!$B$10)+'Inputs'!$B$9)^2+('Inputs'!$B$8/2)^2)-(((938-43)*MAX('Inputs'!$B$33,'Inputs'!$B$29+'Inputs'!$B$31+'Inputs'!$B$32,'Inputs'!$B$30+'Inputs'!$B$31+'Inputs'!$B$32)/1000+'Inputs'!$B$21+'Inputs'!$B$7+'Inputs'!$B$10))/SQRT((((938-43)*MAX('Inputs'!$B$33,'Inputs'!$B$29+'Inputs'!$B$31+'Inputs'!$B$32,'Inputs'!$B$30+'Inputs'!$B$31+'Inputs'!$B$32)/1000+'Inputs'!$B$21+'Inputs'!$B$7+'Inputs'!$B$10))^2+('Inputs'!$B$8/2)^2))))*'Results'!$B$8),"")</x:f>
        <x:v>0.5347650974404309</x:v>
      </x:c>
      <x:c r="K938" t="n">
        <x:f>IF(AND(ISNUMBER('Results'!B7),ISNUMBER('Results'!C7),ISNUMBER('Results'!$B$8),ISNUMBER('Inputs'!$B$6),ISNUMBER('Inputs'!$B$7),ISNUMBER('Inputs'!$B$8),ISNUMBER('Inputs'!$B$9),ISNUMBER('Inputs'!$B$10),ISNUMBER('Inputs'!$B$21),ISNUMBER('Inputs'!$B$24),ISNUMBER('Inputs'!$B$28)),((('Results'!B7*(1-'Inputs'!$B$24)*(0.5*((((938-43)*MAX('Inputs'!$B$33,'Inputs'!$B$29+'Inputs'!$B$31+'Inputs'!$B$32,'Inputs'!$B$30+'Inputs'!$B$31+'Inputs'!$B$32)/1000+'Inputs'!$B$21)+'Inputs'!$B$7)/SQRT((((938-43)*MAX('Inputs'!$B$33,'Inputs'!$B$29+'Inputs'!$B$31+'Inputs'!$B$32,'Inputs'!$B$30+'Inputs'!$B$31+'Inputs'!$B$32)/1000+'Inputs'!$B$21)+'Inputs'!$B$7)^2+('Inputs'!$B$6/2)^2)-(((938-43)*MAX('Inputs'!$B$33,'Inputs'!$B$29+'Inputs'!$B$31+'Inputs'!$B$32,'Inputs'!$B$30+'Inputs'!$B$31+'Inputs'!$B$32)/1000+'Inputs'!$B$21))/SQRT((((938-43)*MAX('Inputs'!$B$33,'Inputs'!$B$29+'Inputs'!$B$31+'Inputs'!$B$32,'Inputs'!$B$30+'Inputs'!$B$31+'Inputs'!$B$32)/1000+'Inputs'!$B$21))^2+('Inputs'!$B$6/2)^2)))-'Results'!C7*(1+'Inputs'!$B$24)*(0.5*((((938-43)*MAX('Inputs'!$B$33,'Inputs'!$B$29+'Inputs'!$B$31+'Inputs'!$B$32,'Inputs'!$B$30+'Inputs'!$B$31+'Inputs'!$B$32)/1000+'Inputs'!$B$21+'Inputs'!$B$7+'Inputs'!$B$10)+'Inputs'!$B$9)/SQRT((((938-43)*MAX('Inputs'!$B$33,'Inputs'!$B$29+'Inputs'!$B$31+'Inputs'!$B$32,'Inputs'!$B$30+'Inputs'!$B$31+'Inputs'!$B$32)/1000+'Inputs'!$B$21+'Inputs'!$B$7+'Inputs'!$B$10)+'Inputs'!$B$9)^2+('Inputs'!$B$8/2)^2)-(((938-43)*MAX('Inputs'!$B$33,'Inputs'!$B$29+'Inputs'!$B$31+'Inputs'!$B$32,'Inputs'!$B$30+'Inputs'!$B$31+'Inputs'!$B$32)/1000+'Inputs'!$B$21+'Inputs'!$B$7+'Inputs'!$B$10))/SQRT((((938-43)*MAX('Inputs'!$B$33,'Inputs'!$B$29+'Inputs'!$B$31+'Inputs'!$B$32,'Inputs'!$B$30+'Inputs'!$B$31+'Inputs'!$B$32)/1000+'Inputs'!$B$21+'Inputs'!$B$7+'Inputs'!$B$10))^2+('Inputs'!$B$8/2)^2))))*'Results'!$B$8)-'Inputs'!$B$28*ABS((('Results'!B7*(1-'Inputs'!$B$24)*(0.5*((((938-43)*MAX('Inputs'!$B$33,'Inputs'!$B$29+'Inputs'!$B$31+'Inputs'!$B$32,'Inputs'!$B$30+'Inputs'!$B$31+'Inputs'!$B$32)/1000+'Inputs'!$B$21)+'Inputs'!$B$7)/SQRT((((938-43)*MAX('Inputs'!$B$33,'Inputs'!$B$29+'Inputs'!$B$31+'Inputs'!$B$32,'Inputs'!$B$30+'Inputs'!$B$31+'Inputs'!$B$32)/1000+'Inputs'!$B$21)+'Inputs'!$B$7)^2+('Inputs'!$B$6/2)^2)-(((938-43)*MAX('Inputs'!$B$33,'Inputs'!$B$29+'Inputs'!$B$31+'Inputs'!$B$32,'Inputs'!$B$30+'Inputs'!$B$31+'Inputs'!$B$32)/1000+'Inputs'!$B$21))/SQRT((((938-43)*MAX('Inputs'!$B$33,'Inputs'!$B$29+'Inputs'!$B$31+'Inputs'!$B$32,'Inputs'!$B$30+'Inputs'!$B$31+'Inputs'!$B$32)/1000+'Inputs'!$B$21))^2+('Inputs'!$B$6/2)^2)))-'Results'!C7*(1+'Inputs'!$B$24)*(0.5*((((938-43)*MAX('Inputs'!$B$33,'Inputs'!$B$29+'Inputs'!$B$31+'Inputs'!$B$32,'Inputs'!$B$30+'Inputs'!$B$31+'Inputs'!$B$32)/1000+'Inputs'!$B$21+'Inputs'!$B$7+'Inputs'!$B$10)+'Inputs'!$B$9)/SQRT((((938-43)*MAX('Inputs'!$B$33,'Inputs'!$B$29+'Inputs'!$B$31+'Inputs'!$B$32,'Inputs'!$B$30+'Inputs'!$B$31+'Inputs'!$B$32)/1000+'Inputs'!$B$21+'Inputs'!$B$7+'Inputs'!$B$10)+'Inputs'!$B$9)^2+('Inputs'!$B$8/2)^2)-(((938-43)*MAX('Inputs'!$B$33,'Inputs'!$B$29+'Inputs'!$B$31+'Inputs'!$B$32,'Inputs'!$B$30+'Inputs'!$B$31+'Inputs'!$B$32)/1000+'Inputs'!$B$21+'Inputs'!$B$7+'Inputs'!$B$10))/SQRT((((938-43)*MAX('Inputs'!$B$33,'Inputs'!$B$29+'Inputs'!$B$31+'Inputs'!$B$32,'Inputs'!$B$30+'Inputs'!$B$31+'Inputs'!$B$32)/1000+'Inputs'!$B$21+'Inputs'!$B$7+'Inputs'!$B$10))^2+('Inputs'!$B$8/2)^2))))*'Results'!$B$8))),"")</x:f>
        <x:v>0.4528228266532342</x:v>
      </x:c>
      <x:c r="L938" t="n">
        <x:f>IF(AND(ISNUMBER('Results'!B7),ISNUMBER('Results'!C7),ISNUMBER('Results'!$B$8),ISNUMBER('Inputs'!$B$6),ISNUMBER('Inputs'!$B$7),ISNUMBER('Inputs'!$B$8),ISNUMBER('Inputs'!$B$9),ISNUMBER('Inputs'!$B$10),ISNUMBER('Inputs'!$B$21),ISNUMBER('Inputs'!$B$24),ISNUMBER('Inputs'!$B$28)),((('Results'!B7*(1+'Inputs'!$B$24)*(0.5*((((938-43)*MAX('Inputs'!$B$33,'Inputs'!$B$29+'Inputs'!$B$31+'Inputs'!$B$32,'Inputs'!$B$30+'Inputs'!$B$31+'Inputs'!$B$32)/1000+'Inputs'!$B$21)+'Inputs'!$B$7)/SQRT((((938-43)*MAX('Inputs'!$B$33,'Inputs'!$B$29+'Inputs'!$B$31+'Inputs'!$B$32,'Inputs'!$B$30+'Inputs'!$B$31+'Inputs'!$B$32)/1000+'Inputs'!$B$21)+'Inputs'!$B$7)^2+('Inputs'!$B$6/2)^2)-(((938-43)*MAX('Inputs'!$B$33,'Inputs'!$B$29+'Inputs'!$B$31+'Inputs'!$B$32,'Inputs'!$B$30+'Inputs'!$B$31+'Inputs'!$B$32)/1000+'Inputs'!$B$21))/SQRT((((938-43)*MAX('Inputs'!$B$33,'Inputs'!$B$29+'Inputs'!$B$31+'Inputs'!$B$32,'Inputs'!$B$30+'Inputs'!$B$31+'Inputs'!$B$32)/1000+'Inputs'!$B$21))^2+('Inputs'!$B$6/2)^2)))-'Results'!C7*(1-'Inputs'!$B$24)*(0.5*((((938-43)*MAX('Inputs'!$B$33,'Inputs'!$B$29+'Inputs'!$B$31+'Inputs'!$B$32,'Inputs'!$B$30+'Inputs'!$B$31+'Inputs'!$B$32)/1000+'Inputs'!$B$21+'Inputs'!$B$7+'Inputs'!$B$10)+'Inputs'!$B$9)/SQRT((((938-43)*MAX('Inputs'!$B$33,'Inputs'!$B$29+'Inputs'!$B$31+'Inputs'!$B$32,'Inputs'!$B$30+'Inputs'!$B$31+'Inputs'!$B$32)/1000+'Inputs'!$B$21+'Inputs'!$B$7+'Inputs'!$B$10)+'Inputs'!$B$9)^2+('Inputs'!$B$8/2)^2)-(((938-43)*MAX('Inputs'!$B$33,'Inputs'!$B$29+'Inputs'!$B$31+'Inputs'!$B$32,'Inputs'!$B$30+'Inputs'!$B$31+'Inputs'!$B$32)/1000+'Inputs'!$B$21+'Inputs'!$B$7+'Inputs'!$B$10))/SQRT((((938-43)*MAX('Inputs'!$B$33,'Inputs'!$B$29+'Inputs'!$B$31+'Inputs'!$B$32,'Inputs'!$B$30+'Inputs'!$B$31+'Inputs'!$B$32)/1000+'Inputs'!$B$21+'Inputs'!$B$7+'Inputs'!$B$10))^2+('Inputs'!$B$8/2)^2))))*'Results'!$B$8)+'Inputs'!$B$28*ABS((('Results'!B7*(1+'Inputs'!$B$24)*(0.5*((((938-43)*MAX('Inputs'!$B$33,'Inputs'!$B$29+'Inputs'!$B$31+'Inputs'!$B$32,'Inputs'!$B$30+'Inputs'!$B$31+'Inputs'!$B$32)/1000+'Inputs'!$B$21)+'Inputs'!$B$7)/SQRT((((938-43)*MAX('Inputs'!$B$33,'Inputs'!$B$29+'Inputs'!$B$31+'Inputs'!$B$32,'Inputs'!$B$30+'Inputs'!$B$31+'Inputs'!$B$32)/1000+'Inputs'!$B$21)+'Inputs'!$B$7)^2+('Inputs'!$B$6/2)^2)-(((938-43)*MAX('Inputs'!$B$33,'Inputs'!$B$29+'Inputs'!$B$31+'Inputs'!$B$32,'Inputs'!$B$30+'Inputs'!$B$31+'Inputs'!$B$32)/1000+'Inputs'!$B$21))/SQRT((((938-43)*MAX('Inputs'!$B$33,'Inputs'!$B$29+'Inputs'!$B$31+'Inputs'!$B$32,'Inputs'!$B$30+'Inputs'!$B$31+'Inputs'!$B$32)/1000+'Inputs'!$B$21))^2+('Inputs'!$B$6/2)^2)))-'Results'!C7*(1-'Inputs'!$B$24)*(0.5*((((938-43)*MAX('Inputs'!$B$33,'Inputs'!$B$29+'Inputs'!$B$31+'Inputs'!$B$32,'Inputs'!$B$30+'Inputs'!$B$31+'Inputs'!$B$32)/1000+'Inputs'!$B$21+'Inputs'!$B$7+'Inputs'!$B$10)+'Inputs'!$B$9)/SQRT((((938-43)*MAX('Inputs'!$B$33,'Inputs'!$B$29+'Inputs'!$B$31+'Inputs'!$B$32,'Inputs'!$B$30+'Inputs'!$B$31+'Inputs'!$B$32)/1000+'Inputs'!$B$21+'Inputs'!$B$7+'Inputs'!$B$10)+'Inputs'!$B$9)^2+('Inputs'!$B$8/2)^2)-(((938-43)*MAX('Inputs'!$B$33,'Inputs'!$B$29+'Inputs'!$B$31+'Inputs'!$B$32,'Inputs'!$B$30+'Inputs'!$B$31+'Inputs'!$B$32)/1000+'Inputs'!$B$21+'Inputs'!$B$7+'Inputs'!$B$10))/SQRT((((938-43)*MAX('Inputs'!$B$33,'Inputs'!$B$29+'Inputs'!$B$31+'Inputs'!$B$32,'Inputs'!$B$30+'Inputs'!$B$31+'Inputs'!$B$32)/1000+'Inputs'!$B$21+'Inputs'!$B$7+'Inputs'!$B$10))^2+('Inputs'!$B$8/2)^2))))*'Results'!$B$8))),"")</x:f>
        <x:v>0.6225183172713303</x:v>
      </x:c>
      <x:c r="M938" t="n">
        <x:f>IF(AND(ISNUMBER('Results'!C7),ISNUMBER('Results'!B7),ISNUMBER('Results'!$B$8),ISNUMBER('Inputs'!$B$6),ISNUMBER('Inputs'!$B$7),ISNUMBER('Inputs'!$B$8),ISNUMBER('Inputs'!$B$9),ISNUMBER('Inputs'!$B$10),ISNUMBER('Inputs'!$B$21),ISNUMBER('Inputs'!$B$24),ISNUMBER('Inputs'!$B$28)),(('Results'!C7*(0.5*((((938-43)*MAX('Inputs'!$B$33,'Inputs'!$B$29+'Inputs'!$B$31+'Inputs'!$B$32,'Inputs'!$B$30+'Inputs'!$B$31+'Inputs'!$B$32)/1000+'Inputs'!$B$21)+'Inputs'!$B$9)/SQRT((((938-43)*MAX('Inputs'!$B$33,'Inputs'!$B$29+'Inputs'!$B$31+'Inputs'!$B$32,'Inputs'!$B$30+'Inputs'!$B$31+'Inputs'!$B$32)/1000+'Inputs'!$B$21)+'Inputs'!$B$9)^2+('Inputs'!$B$8/2)^2)-(((938-43)*MAX('Inputs'!$B$33,'Inputs'!$B$29+'Inputs'!$B$31+'Inputs'!$B$32,'Inputs'!$B$30+'Inputs'!$B$31+'Inputs'!$B$32)/1000+'Inputs'!$B$21))/SQRT((((938-43)*MAX('Inputs'!$B$33,'Inputs'!$B$29+'Inputs'!$B$31+'Inputs'!$B$32,'Inputs'!$B$30+'Inputs'!$B$31+'Inputs'!$B$32)/1000+'Inputs'!$B$21))^2+('Inputs'!$B$8/2)^2)))-'Results'!B7*(0.5*((((938-43)*MAX('Inputs'!$B$33,'Inputs'!$B$29+'Inputs'!$B$31+'Inputs'!$B$32,'Inputs'!$B$30+'Inputs'!$B$31+'Inputs'!$B$32)/1000+'Inputs'!$B$21+'Inputs'!$B$9+'Inputs'!$B$10)+'Inputs'!$B$7)/SQRT((((938-43)*MAX('Inputs'!$B$33,'Inputs'!$B$29+'Inputs'!$B$31+'Inputs'!$B$32,'Inputs'!$B$30+'Inputs'!$B$31+'Inputs'!$B$32)/1000+'Inputs'!$B$21+'Inputs'!$B$9+'Inputs'!$B$10)+'Inputs'!$B$7)^2+('Inputs'!$B$6/2)^2)-(((938-43)*MAX('Inputs'!$B$33,'Inputs'!$B$29+'Inputs'!$B$31+'Inputs'!$B$32,'Inputs'!$B$30+'Inputs'!$B$31+'Inputs'!$B$32)/1000+'Inputs'!$B$21+'Inputs'!$B$9+'Inputs'!$B$10))/SQRT((((938-43)*MAX('Inputs'!$B$33,'Inputs'!$B$29+'Inputs'!$B$31+'Inputs'!$B$32,'Inputs'!$B$30+'Inputs'!$B$31+'Inputs'!$B$32)/1000+'Inputs'!$B$21+'Inputs'!$B$9+'Inputs'!$B$10))^2+('Inputs'!$B$6/2)^2))))*'Results'!$B$8),"")</x:f>
        <x:v>0.47617178875352484</x:v>
      </x:c>
      <x:c r="N938" t="n">
        <x:f>IF(AND(ISNUMBER('Results'!C7),ISNUMBER('Results'!B7),ISNUMBER('Results'!$B$8),ISNUMBER('Inputs'!$B$6),ISNUMBER('Inputs'!$B$7),ISNUMBER('Inputs'!$B$8),ISNUMBER('Inputs'!$B$9),ISNUMBER('Inputs'!$B$10),ISNUMBER('Inputs'!$B$21),ISNUMBER('Inputs'!$B$24),ISNUMBER('Inputs'!$B$28)),((('Results'!C7*(1-'Inputs'!$B$24)*(0.5*((((938-43)*MAX('Inputs'!$B$33,'Inputs'!$B$29+'Inputs'!$B$31+'Inputs'!$B$32,'Inputs'!$B$30+'Inputs'!$B$31+'Inputs'!$B$32)/1000+'Inputs'!$B$21)+'Inputs'!$B$9)/SQRT((((938-43)*MAX('Inputs'!$B$33,'Inputs'!$B$29+'Inputs'!$B$31+'Inputs'!$B$32,'Inputs'!$B$30+'Inputs'!$B$31+'Inputs'!$B$32)/1000+'Inputs'!$B$21)+'Inputs'!$B$9)^2+('Inputs'!$B$8/2)^2)-(((938-43)*MAX('Inputs'!$B$33,'Inputs'!$B$29+'Inputs'!$B$31+'Inputs'!$B$32,'Inputs'!$B$30+'Inputs'!$B$31+'Inputs'!$B$32)/1000+'Inputs'!$B$21))/SQRT((((938-43)*MAX('Inputs'!$B$33,'Inputs'!$B$29+'Inputs'!$B$31+'Inputs'!$B$32,'Inputs'!$B$30+'Inputs'!$B$31+'Inputs'!$B$32)/1000+'Inputs'!$B$21))^2+('Inputs'!$B$8/2)^2)))-'Results'!B7*(1+'Inputs'!$B$24)*(0.5*((((938-43)*MAX('Inputs'!$B$33,'Inputs'!$B$29+'Inputs'!$B$31+'Inputs'!$B$32,'Inputs'!$B$30+'Inputs'!$B$31+'Inputs'!$B$32)/1000+'Inputs'!$B$21+'Inputs'!$B$9+'Inputs'!$B$10)+'Inputs'!$B$7)/SQRT((((938-43)*MAX('Inputs'!$B$33,'Inputs'!$B$29+'Inputs'!$B$31+'Inputs'!$B$32,'Inputs'!$B$30+'Inputs'!$B$31+'Inputs'!$B$32)/1000+'Inputs'!$B$21+'Inputs'!$B$9+'Inputs'!$B$10)+'Inputs'!$B$7)^2+('Inputs'!$B$6/2)^2)-(((938-43)*MAX('Inputs'!$B$33,'Inputs'!$B$29+'Inputs'!$B$31+'Inputs'!$B$32,'Inputs'!$B$30+'Inputs'!$B$31+'Inputs'!$B$32)/1000+'Inputs'!$B$21+'Inputs'!$B$9+'Inputs'!$B$10))/SQRT((((938-43)*MAX('Inputs'!$B$33,'Inputs'!$B$29+'Inputs'!$B$31+'Inputs'!$B$32,'Inputs'!$B$30+'Inputs'!$B$31+'Inputs'!$B$32)/1000+'Inputs'!$B$21+'Inputs'!$B$9+'Inputs'!$B$10))^2+('Inputs'!$B$6/2)^2))))*'Results'!$B$8)-'Inputs'!$B$28*ABS((('Results'!C7*(1-'Inputs'!$B$24)*(0.5*((((938-43)*MAX('Inputs'!$B$33,'Inputs'!$B$29+'Inputs'!$B$31+'Inputs'!$B$32,'Inputs'!$B$30+'Inputs'!$B$31+'Inputs'!$B$32)/1000+'Inputs'!$B$21)+'Inputs'!$B$9)/SQRT((((938-43)*MAX('Inputs'!$B$33,'Inputs'!$B$29+'Inputs'!$B$31+'Inputs'!$B$32,'Inputs'!$B$30+'Inputs'!$B$31+'Inputs'!$B$32)/1000+'Inputs'!$B$21)+'Inputs'!$B$9)^2+('Inputs'!$B$8/2)^2)-(((938-43)*MAX('Inputs'!$B$33,'Inputs'!$B$29+'Inputs'!$B$31+'Inputs'!$B$32,'Inputs'!$B$30+'Inputs'!$B$31+'Inputs'!$B$32)/1000+'Inputs'!$B$21))/SQRT((((938-43)*MAX('Inputs'!$B$33,'Inputs'!$B$29+'Inputs'!$B$31+'Inputs'!$B$32,'Inputs'!$B$30+'Inputs'!$B$31+'Inputs'!$B$32)/1000+'Inputs'!$B$21))^2+('Inputs'!$B$8/2)^2)))-'Results'!B7*(1+'Inputs'!$B$24)*(0.5*((((938-43)*MAX('Inputs'!$B$33,'Inputs'!$B$29+'Inputs'!$B$31+'Inputs'!$B$32,'Inputs'!$B$30+'Inputs'!$B$31+'Inputs'!$B$32)/1000+'Inputs'!$B$21+'Inputs'!$B$9+'Inputs'!$B$10)+'Inputs'!$B$7)/SQRT((((938-43)*MAX('Inputs'!$B$33,'Inputs'!$B$29+'Inputs'!$B$31+'Inputs'!$B$32,'Inputs'!$B$30+'Inputs'!$B$31+'Inputs'!$B$32)/1000+'Inputs'!$B$21+'Inputs'!$B$9+'Inputs'!$B$10)+'Inputs'!$B$7)^2+('Inputs'!$B$6/2)^2)-(((938-43)*MAX('Inputs'!$B$33,'Inputs'!$B$29+'Inputs'!$B$31+'Inputs'!$B$32,'Inputs'!$B$30+'Inputs'!$B$31+'Inputs'!$B$32)/1000+'Inputs'!$B$21+'Inputs'!$B$9+'Inputs'!$B$10))/SQRT((((938-43)*MAX('Inputs'!$B$33,'Inputs'!$B$29+'Inputs'!$B$31+'Inputs'!$B$32,'Inputs'!$B$30+'Inputs'!$B$31+'Inputs'!$B$32)/1000+'Inputs'!$B$21+'Inputs'!$B$9+'Inputs'!$B$10))^2+('Inputs'!$B$6/2)^2))))*'Results'!$B$8))),"")</x:f>
        <x:v>0.39735320159095266</x:v>
      </x:c>
      <x:c r="O938" t="n">
        <x:f>IF(AND(ISNUMBER('Results'!C7),ISNUMBER('Results'!B7),ISNUMBER('Results'!$B$8),ISNUMBER('Inputs'!$B$6),ISNUMBER('Inputs'!$B$7),ISNUMBER('Inputs'!$B$8),ISNUMBER('Inputs'!$B$9),ISNUMBER('Inputs'!$B$10),ISNUMBER('Inputs'!$B$21),ISNUMBER('Inputs'!$B$24),ISNUMBER('Inputs'!$B$28)),((('Results'!C7*(1+'Inputs'!$B$24)*(0.5*((((938-43)*MAX('Inputs'!$B$33,'Inputs'!$B$29+'Inputs'!$B$31+'Inputs'!$B$32,'Inputs'!$B$30+'Inputs'!$B$31+'Inputs'!$B$32)/1000+'Inputs'!$B$21)+'Inputs'!$B$9)/SQRT((((938-43)*MAX('Inputs'!$B$33,'Inputs'!$B$29+'Inputs'!$B$31+'Inputs'!$B$32,'Inputs'!$B$30+'Inputs'!$B$31+'Inputs'!$B$32)/1000+'Inputs'!$B$21)+'Inputs'!$B$9)^2+('Inputs'!$B$8/2)^2)-(((938-43)*MAX('Inputs'!$B$33,'Inputs'!$B$29+'Inputs'!$B$31+'Inputs'!$B$32,'Inputs'!$B$30+'Inputs'!$B$31+'Inputs'!$B$32)/1000+'Inputs'!$B$21))/SQRT((((938-43)*MAX('Inputs'!$B$33,'Inputs'!$B$29+'Inputs'!$B$31+'Inputs'!$B$32,'Inputs'!$B$30+'Inputs'!$B$31+'Inputs'!$B$32)/1000+'Inputs'!$B$21))^2+('Inputs'!$B$8/2)^2)))-'Results'!B7*(1-'Inputs'!$B$24)*(0.5*((((938-43)*MAX('Inputs'!$B$33,'Inputs'!$B$29+'Inputs'!$B$31+'Inputs'!$B$32,'Inputs'!$B$30+'Inputs'!$B$31+'Inputs'!$B$32)/1000+'Inputs'!$B$21+'Inputs'!$B$9+'Inputs'!$B$10)+'Inputs'!$B$7)/SQRT((((938-43)*MAX('Inputs'!$B$33,'Inputs'!$B$29+'Inputs'!$B$31+'Inputs'!$B$32,'Inputs'!$B$30+'Inputs'!$B$31+'Inputs'!$B$32)/1000+'Inputs'!$B$21+'Inputs'!$B$9+'Inputs'!$B$10)+'Inputs'!$B$7)^2+('Inputs'!$B$6/2)^2)-(((938-43)*MAX('Inputs'!$B$33,'Inputs'!$B$29+'Inputs'!$B$31+'Inputs'!$B$32,'Inputs'!$B$30+'Inputs'!$B$31+'Inputs'!$B$32)/1000+'Inputs'!$B$21+'Inputs'!$B$9+'Inputs'!$B$10))/SQRT((((938-43)*MAX('Inputs'!$B$33,'Inputs'!$B$29+'Inputs'!$B$31+'Inputs'!$B$32,'Inputs'!$B$30+'Inputs'!$B$31+'Inputs'!$B$32)/1000+'Inputs'!$B$21+'Inputs'!$B$9+'Inputs'!$B$10))^2+('Inputs'!$B$6/2)^2))))*'Results'!$B$8)+'Inputs'!$B$28*ABS((('Results'!C7*(1+'Inputs'!$B$24)*(0.5*((((938-43)*MAX('Inputs'!$B$33,'Inputs'!$B$29+'Inputs'!$B$31+'Inputs'!$B$32,'Inputs'!$B$30+'Inputs'!$B$31+'Inputs'!$B$32)/1000+'Inputs'!$B$21)+'Inputs'!$B$9)/SQRT((((938-43)*MAX('Inputs'!$B$33,'Inputs'!$B$29+'Inputs'!$B$31+'Inputs'!$B$32,'Inputs'!$B$30+'Inputs'!$B$31+'Inputs'!$B$32)/1000+'Inputs'!$B$21)+'Inputs'!$B$9)^2+('Inputs'!$B$8/2)^2)-(((938-43)*MAX('Inputs'!$B$33,'Inputs'!$B$29+'Inputs'!$B$31+'Inputs'!$B$32,'Inputs'!$B$30+'Inputs'!$B$31+'Inputs'!$B$32)/1000+'Inputs'!$B$21))/SQRT((((938-43)*MAX('Inputs'!$B$33,'Inputs'!$B$29+'Inputs'!$B$31+'Inputs'!$B$32,'Inputs'!$B$30+'Inputs'!$B$31+'Inputs'!$B$32)/1000+'Inputs'!$B$21))^2+('Inputs'!$B$8/2)^2)))-'Results'!B7*(1-'Inputs'!$B$24)*(0.5*((((938-43)*MAX('Inputs'!$B$33,'Inputs'!$B$29+'Inputs'!$B$31+'Inputs'!$B$32,'Inputs'!$B$30+'Inputs'!$B$31+'Inputs'!$B$32)/1000+'Inputs'!$B$21+'Inputs'!$B$9+'Inputs'!$B$10)+'Inputs'!$B$7)/SQRT((((938-43)*MAX('Inputs'!$B$33,'Inputs'!$B$29+'Inputs'!$B$31+'Inputs'!$B$32,'Inputs'!$B$30+'Inputs'!$B$31+'Inputs'!$B$32)/1000+'Inputs'!$B$21+'Inputs'!$B$9+'Inputs'!$B$10)+'Inputs'!$B$7)^2+('Inputs'!$B$6/2)^2)-(((938-43)*MAX('Inputs'!$B$33,'Inputs'!$B$29+'Inputs'!$B$31+'Inputs'!$B$32,'Inputs'!$B$30+'Inputs'!$B$31+'Inputs'!$B$32)/1000+'Inputs'!$B$21+'Inputs'!$B$9+'Inputs'!$B$10))/SQRT((((938-43)*MAX('Inputs'!$B$33,'Inputs'!$B$29+'Inputs'!$B$31+'Inputs'!$B$32,'Inputs'!$B$30+'Inputs'!$B$31+'Inputs'!$B$32)/1000+'Inputs'!$B$21+'Inputs'!$B$9+'Inputs'!$B$10))^2+('Inputs'!$B$6/2)^2))))*'Results'!$B$8))),"")</x:f>
        <x:v>0.5607809019924014</x:v>
      </x:c>
      <x:c r="P938" t="n">
        <x:f>IF(AND(MAX(J938,J937)&gt;0,J938&gt;J937+0.00000001),1,0)</x:f>
        <x:v>0</x:v>
      </x:c>
      <x:c r="Q938" t="n">
        <x:f>IF(AND(MAX(K938,K937)&gt;0,K938&gt;K937+0.00000001),1,0)</x:f>
        <x:v>0</x:v>
      </x:c>
      <x:c r="R938" t="n">
        <x:f>IF(AND(MAX(L938,L937)&gt;0,L938&gt;L937+0.00000001),1,0)</x:f>
        <x:v>0</x:v>
      </x:c>
      <x:c r="S938" t="n">
        <x:f>IF(AND(MAX(M938,M937)&gt;0,M938&gt;M937+0.00000001),1,0)</x:f>
        <x:v>0</x:v>
      </x:c>
      <x:c r="T938" t="n">
        <x:f>IF(AND(MAX(N938,N937)&gt;0,N938&gt;N937+0.00000001),1,0)</x:f>
        <x:v>0</x:v>
      </x:c>
      <x:c r="U938" t="n">
        <x:f>IF(AND(MAX(O938,O937)&gt;0,O938&gt;O937+0.00000001),1,0)</x:f>
        <x:v>0</x:v>
      </x:c>
    </x:row>
    <x:row r="939">
      <x:c r="J939" t="n">
        <x:f>IF(AND(ISNUMBER('Results'!B7),ISNUMBER('Results'!C7),ISNUMBER('Results'!$B$8),ISNUMBER('Inputs'!$B$6),ISNUMBER('Inputs'!$B$7),ISNUMBER('Inputs'!$B$8),ISNUMBER('Inputs'!$B$9),ISNUMBER('Inputs'!$B$10),ISNUMBER('Inputs'!$B$21),ISNUMBER('Inputs'!$B$24),ISNUMBER('Inputs'!$B$28)),(('Results'!B7*(0.5*((((939-43)*MAX('Inputs'!$B$33,'Inputs'!$B$29+'Inputs'!$B$31+'Inputs'!$B$32,'Inputs'!$B$30+'Inputs'!$B$31+'Inputs'!$B$32)/1000+'Inputs'!$B$21)+'Inputs'!$B$7)/SQRT((((939-43)*MAX('Inputs'!$B$33,'Inputs'!$B$29+'Inputs'!$B$31+'Inputs'!$B$32,'Inputs'!$B$30+'Inputs'!$B$31+'Inputs'!$B$32)/1000+'Inputs'!$B$21)+'Inputs'!$B$7)^2+('Inputs'!$B$6/2)^2)-(((939-43)*MAX('Inputs'!$B$33,'Inputs'!$B$29+'Inputs'!$B$31+'Inputs'!$B$32,'Inputs'!$B$30+'Inputs'!$B$31+'Inputs'!$B$32)/1000+'Inputs'!$B$21))/SQRT((((939-43)*MAX('Inputs'!$B$33,'Inputs'!$B$29+'Inputs'!$B$31+'Inputs'!$B$32,'Inputs'!$B$30+'Inputs'!$B$31+'Inputs'!$B$32)/1000+'Inputs'!$B$21))^2+('Inputs'!$B$6/2)^2)))-'Results'!C7*(0.5*((((939-43)*MAX('Inputs'!$B$33,'Inputs'!$B$29+'Inputs'!$B$31+'Inputs'!$B$32,'Inputs'!$B$30+'Inputs'!$B$31+'Inputs'!$B$32)/1000+'Inputs'!$B$21+'Inputs'!$B$7+'Inputs'!$B$10)+'Inputs'!$B$9)/SQRT((((939-43)*MAX('Inputs'!$B$33,'Inputs'!$B$29+'Inputs'!$B$31+'Inputs'!$B$32,'Inputs'!$B$30+'Inputs'!$B$31+'Inputs'!$B$32)/1000+'Inputs'!$B$21+'Inputs'!$B$7+'Inputs'!$B$10)+'Inputs'!$B$9)^2+('Inputs'!$B$8/2)^2)-(((939-43)*MAX('Inputs'!$B$33,'Inputs'!$B$29+'Inputs'!$B$31+'Inputs'!$B$32,'Inputs'!$B$30+'Inputs'!$B$31+'Inputs'!$B$32)/1000+'Inputs'!$B$21+'Inputs'!$B$7+'Inputs'!$B$10))/SQRT((((939-43)*MAX('Inputs'!$B$33,'Inputs'!$B$29+'Inputs'!$B$31+'Inputs'!$B$32,'Inputs'!$B$30+'Inputs'!$B$31+'Inputs'!$B$32)/1000+'Inputs'!$B$21+'Inputs'!$B$7+'Inputs'!$B$10))^2+('Inputs'!$B$8/2)^2))))*'Results'!$B$8),"")</x:f>
        <x:v>0.5326039400912694</x:v>
      </x:c>
      <x:c r="K939" t="n">
        <x:f>IF(AND(ISNUMBER('Results'!B7),ISNUMBER('Results'!C7),ISNUMBER('Results'!$B$8),ISNUMBER('Inputs'!$B$6),ISNUMBER('Inputs'!$B$7),ISNUMBER('Inputs'!$B$8),ISNUMBER('Inputs'!$B$9),ISNUMBER('Inputs'!$B$10),ISNUMBER('Inputs'!$B$21),ISNUMBER('Inputs'!$B$24),ISNUMBER('Inputs'!$B$28)),((('Results'!B7*(1-'Inputs'!$B$24)*(0.5*((((939-43)*MAX('Inputs'!$B$33,'Inputs'!$B$29+'Inputs'!$B$31+'Inputs'!$B$32,'Inputs'!$B$30+'Inputs'!$B$31+'Inputs'!$B$32)/1000+'Inputs'!$B$21)+'Inputs'!$B$7)/SQRT((((939-43)*MAX('Inputs'!$B$33,'Inputs'!$B$29+'Inputs'!$B$31+'Inputs'!$B$32,'Inputs'!$B$30+'Inputs'!$B$31+'Inputs'!$B$32)/1000+'Inputs'!$B$21)+'Inputs'!$B$7)^2+('Inputs'!$B$6/2)^2)-(((939-43)*MAX('Inputs'!$B$33,'Inputs'!$B$29+'Inputs'!$B$31+'Inputs'!$B$32,'Inputs'!$B$30+'Inputs'!$B$31+'Inputs'!$B$32)/1000+'Inputs'!$B$21))/SQRT((((939-43)*MAX('Inputs'!$B$33,'Inputs'!$B$29+'Inputs'!$B$31+'Inputs'!$B$32,'Inputs'!$B$30+'Inputs'!$B$31+'Inputs'!$B$32)/1000+'Inputs'!$B$21))^2+('Inputs'!$B$6/2)^2)))-'Results'!C7*(1+'Inputs'!$B$24)*(0.5*((((939-43)*MAX('Inputs'!$B$33,'Inputs'!$B$29+'Inputs'!$B$31+'Inputs'!$B$32,'Inputs'!$B$30+'Inputs'!$B$31+'Inputs'!$B$32)/1000+'Inputs'!$B$21+'Inputs'!$B$7+'Inputs'!$B$10)+'Inputs'!$B$9)/SQRT((((939-43)*MAX('Inputs'!$B$33,'Inputs'!$B$29+'Inputs'!$B$31+'Inputs'!$B$32,'Inputs'!$B$30+'Inputs'!$B$31+'Inputs'!$B$32)/1000+'Inputs'!$B$21+'Inputs'!$B$7+'Inputs'!$B$10)+'Inputs'!$B$9)^2+('Inputs'!$B$8/2)^2)-(((939-43)*MAX('Inputs'!$B$33,'Inputs'!$B$29+'Inputs'!$B$31+'Inputs'!$B$32,'Inputs'!$B$30+'Inputs'!$B$31+'Inputs'!$B$32)/1000+'Inputs'!$B$21+'Inputs'!$B$7+'Inputs'!$B$10))/SQRT((((939-43)*MAX('Inputs'!$B$33,'Inputs'!$B$29+'Inputs'!$B$31+'Inputs'!$B$32,'Inputs'!$B$30+'Inputs'!$B$31+'Inputs'!$B$32)/1000+'Inputs'!$B$21+'Inputs'!$B$7+'Inputs'!$B$10))^2+('Inputs'!$B$8/2)^2))))*'Results'!$B$8)-'Inputs'!$B$28*ABS((('Results'!B7*(1-'Inputs'!$B$24)*(0.5*((((939-43)*MAX('Inputs'!$B$33,'Inputs'!$B$29+'Inputs'!$B$31+'Inputs'!$B$32,'Inputs'!$B$30+'Inputs'!$B$31+'Inputs'!$B$32)/1000+'Inputs'!$B$21)+'Inputs'!$B$7)/SQRT((((939-43)*MAX('Inputs'!$B$33,'Inputs'!$B$29+'Inputs'!$B$31+'Inputs'!$B$32,'Inputs'!$B$30+'Inputs'!$B$31+'Inputs'!$B$32)/1000+'Inputs'!$B$21)+'Inputs'!$B$7)^2+('Inputs'!$B$6/2)^2)-(((939-43)*MAX('Inputs'!$B$33,'Inputs'!$B$29+'Inputs'!$B$31+'Inputs'!$B$32,'Inputs'!$B$30+'Inputs'!$B$31+'Inputs'!$B$32)/1000+'Inputs'!$B$21))/SQRT((((939-43)*MAX('Inputs'!$B$33,'Inputs'!$B$29+'Inputs'!$B$31+'Inputs'!$B$32,'Inputs'!$B$30+'Inputs'!$B$31+'Inputs'!$B$32)/1000+'Inputs'!$B$21))^2+('Inputs'!$B$6/2)^2)))-'Results'!C7*(1+'Inputs'!$B$24)*(0.5*((((939-43)*MAX('Inputs'!$B$33,'Inputs'!$B$29+'Inputs'!$B$31+'Inputs'!$B$32,'Inputs'!$B$30+'Inputs'!$B$31+'Inputs'!$B$32)/1000+'Inputs'!$B$21+'Inputs'!$B$7+'Inputs'!$B$10)+'Inputs'!$B$9)/SQRT((((939-43)*MAX('Inputs'!$B$33,'Inputs'!$B$29+'Inputs'!$B$31+'Inputs'!$B$32,'Inputs'!$B$30+'Inputs'!$B$31+'Inputs'!$B$32)/1000+'Inputs'!$B$21+'Inputs'!$B$7+'Inputs'!$B$10)+'Inputs'!$B$9)^2+('Inputs'!$B$8/2)^2)-(((939-43)*MAX('Inputs'!$B$33,'Inputs'!$B$29+'Inputs'!$B$31+'Inputs'!$B$32,'Inputs'!$B$30+'Inputs'!$B$31+'Inputs'!$B$32)/1000+'Inputs'!$B$21+'Inputs'!$B$7+'Inputs'!$B$10))/SQRT((((939-43)*MAX('Inputs'!$B$33,'Inputs'!$B$29+'Inputs'!$B$31+'Inputs'!$B$32,'Inputs'!$B$30+'Inputs'!$B$31+'Inputs'!$B$32)/1000+'Inputs'!$B$21+'Inputs'!$B$7+'Inputs'!$B$10))^2+('Inputs'!$B$8/2)^2))))*'Results'!$B$8))),"")</x:f>
        <x:v>0.45094107976422515</x:v>
      </x:c>
      <x:c r="L939" t="n">
        <x:f>IF(AND(ISNUMBER('Results'!B7),ISNUMBER('Results'!C7),ISNUMBER('Results'!$B$8),ISNUMBER('Inputs'!$B$6),ISNUMBER('Inputs'!$B$7),ISNUMBER('Inputs'!$B$8),ISNUMBER('Inputs'!$B$9),ISNUMBER('Inputs'!$B$10),ISNUMBER('Inputs'!$B$21),ISNUMBER('Inputs'!$B$24),ISNUMBER('Inputs'!$B$28)),((('Results'!B7*(1+'Inputs'!$B$24)*(0.5*((((939-43)*MAX('Inputs'!$B$33,'Inputs'!$B$29+'Inputs'!$B$31+'Inputs'!$B$32,'Inputs'!$B$30+'Inputs'!$B$31+'Inputs'!$B$32)/1000+'Inputs'!$B$21)+'Inputs'!$B$7)/SQRT((((939-43)*MAX('Inputs'!$B$33,'Inputs'!$B$29+'Inputs'!$B$31+'Inputs'!$B$32,'Inputs'!$B$30+'Inputs'!$B$31+'Inputs'!$B$32)/1000+'Inputs'!$B$21)+'Inputs'!$B$7)^2+('Inputs'!$B$6/2)^2)-(((939-43)*MAX('Inputs'!$B$33,'Inputs'!$B$29+'Inputs'!$B$31+'Inputs'!$B$32,'Inputs'!$B$30+'Inputs'!$B$31+'Inputs'!$B$32)/1000+'Inputs'!$B$21))/SQRT((((939-43)*MAX('Inputs'!$B$33,'Inputs'!$B$29+'Inputs'!$B$31+'Inputs'!$B$32,'Inputs'!$B$30+'Inputs'!$B$31+'Inputs'!$B$32)/1000+'Inputs'!$B$21))^2+('Inputs'!$B$6/2)^2)))-'Results'!C7*(1-'Inputs'!$B$24)*(0.5*((((939-43)*MAX('Inputs'!$B$33,'Inputs'!$B$29+'Inputs'!$B$31+'Inputs'!$B$32,'Inputs'!$B$30+'Inputs'!$B$31+'Inputs'!$B$32)/1000+'Inputs'!$B$21+'Inputs'!$B$7+'Inputs'!$B$10)+'Inputs'!$B$9)/SQRT((((939-43)*MAX('Inputs'!$B$33,'Inputs'!$B$29+'Inputs'!$B$31+'Inputs'!$B$32,'Inputs'!$B$30+'Inputs'!$B$31+'Inputs'!$B$32)/1000+'Inputs'!$B$21+'Inputs'!$B$7+'Inputs'!$B$10)+'Inputs'!$B$9)^2+('Inputs'!$B$8/2)^2)-(((939-43)*MAX('Inputs'!$B$33,'Inputs'!$B$29+'Inputs'!$B$31+'Inputs'!$B$32,'Inputs'!$B$30+'Inputs'!$B$31+'Inputs'!$B$32)/1000+'Inputs'!$B$21+'Inputs'!$B$7+'Inputs'!$B$10))/SQRT((((939-43)*MAX('Inputs'!$B$33,'Inputs'!$B$29+'Inputs'!$B$31+'Inputs'!$B$32,'Inputs'!$B$30+'Inputs'!$B$31+'Inputs'!$B$32)/1000+'Inputs'!$B$21+'Inputs'!$B$7+'Inputs'!$B$10))^2+('Inputs'!$B$8/2)^2))))*'Results'!$B$8)+'Inputs'!$B$28*ABS((('Results'!B7*(1+'Inputs'!$B$24)*(0.5*((((939-43)*MAX('Inputs'!$B$33,'Inputs'!$B$29+'Inputs'!$B$31+'Inputs'!$B$32,'Inputs'!$B$30+'Inputs'!$B$31+'Inputs'!$B$32)/1000+'Inputs'!$B$21)+'Inputs'!$B$7)/SQRT((((939-43)*MAX('Inputs'!$B$33,'Inputs'!$B$29+'Inputs'!$B$31+'Inputs'!$B$32,'Inputs'!$B$30+'Inputs'!$B$31+'Inputs'!$B$32)/1000+'Inputs'!$B$21)+'Inputs'!$B$7)^2+('Inputs'!$B$6/2)^2)-(((939-43)*MAX('Inputs'!$B$33,'Inputs'!$B$29+'Inputs'!$B$31+'Inputs'!$B$32,'Inputs'!$B$30+'Inputs'!$B$31+'Inputs'!$B$32)/1000+'Inputs'!$B$21))/SQRT((((939-43)*MAX('Inputs'!$B$33,'Inputs'!$B$29+'Inputs'!$B$31+'Inputs'!$B$32,'Inputs'!$B$30+'Inputs'!$B$31+'Inputs'!$B$32)/1000+'Inputs'!$B$21))^2+('Inputs'!$B$6/2)^2)))-'Results'!C7*(1-'Inputs'!$B$24)*(0.5*((((939-43)*MAX('Inputs'!$B$33,'Inputs'!$B$29+'Inputs'!$B$31+'Inputs'!$B$32,'Inputs'!$B$30+'Inputs'!$B$31+'Inputs'!$B$32)/1000+'Inputs'!$B$21+'Inputs'!$B$7+'Inputs'!$B$10)+'Inputs'!$B$9)/SQRT((((939-43)*MAX('Inputs'!$B$33,'Inputs'!$B$29+'Inputs'!$B$31+'Inputs'!$B$32,'Inputs'!$B$30+'Inputs'!$B$31+'Inputs'!$B$32)/1000+'Inputs'!$B$21+'Inputs'!$B$7+'Inputs'!$B$10)+'Inputs'!$B$9)^2+('Inputs'!$B$8/2)^2)-(((939-43)*MAX('Inputs'!$B$33,'Inputs'!$B$29+'Inputs'!$B$31+'Inputs'!$B$32,'Inputs'!$B$30+'Inputs'!$B$31+'Inputs'!$B$32)/1000+'Inputs'!$B$21+'Inputs'!$B$7+'Inputs'!$B$10))/SQRT((((939-43)*MAX('Inputs'!$B$33,'Inputs'!$B$29+'Inputs'!$B$31+'Inputs'!$B$32,'Inputs'!$B$30+'Inputs'!$B$31+'Inputs'!$B$32)/1000+'Inputs'!$B$21+'Inputs'!$B$7+'Inputs'!$B$10))^2+('Inputs'!$B$8/2)^2))))*'Results'!$B$8))),"")</x:f>
        <x:v>0.6200597123469961</x:v>
      </x:c>
      <x:c r="M939" t="n">
        <x:f>IF(AND(ISNUMBER('Results'!C7),ISNUMBER('Results'!B7),ISNUMBER('Results'!$B$8),ISNUMBER('Inputs'!$B$6),ISNUMBER('Inputs'!$B$7),ISNUMBER('Inputs'!$B$8),ISNUMBER('Inputs'!$B$9),ISNUMBER('Inputs'!$B$10),ISNUMBER('Inputs'!$B$21),ISNUMBER('Inputs'!$B$24),ISNUMBER('Inputs'!$B$28)),(('Results'!C7*(0.5*((((939-43)*MAX('Inputs'!$B$33,'Inputs'!$B$29+'Inputs'!$B$31+'Inputs'!$B$32,'Inputs'!$B$30+'Inputs'!$B$31+'Inputs'!$B$32)/1000+'Inputs'!$B$21)+'Inputs'!$B$9)/SQRT((((939-43)*MAX('Inputs'!$B$33,'Inputs'!$B$29+'Inputs'!$B$31+'Inputs'!$B$32,'Inputs'!$B$30+'Inputs'!$B$31+'Inputs'!$B$32)/1000+'Inputs'!$B$21)+'Inputs'!$B$9)^2+('Inputs'!$B$8/2)^2)-(((939-43)*MAX('Inputs'!$B$33,'Inputs'!$B$29+'Inputs'!$B$31+'Inputs'!$B$32,'Inputs'!$B$30+'Inputs'!$B$31+'Inputs'!$B$32)/1000+'Inputs'!$B$21))/SQRT((((939-43)*MAX('Inputs'!$B$33,'Inputs'!$B$29+'Inputs'!$B$31+'Inputs'!$B$32,'Inputs'!$B$30+'Inputs'!$B$31+'Inputs'!$B$32)/1000+'Inputs'!$B$21))^2+('Inputs'!$B$8/2)^2)))-'Results'!B7*(0.5*((((939-43)*MAX('Inputs'!$B$33,'Inputs'!$B$29+'Inputs'!$B$31+'Inputs'!$B$32,'Inputs'!$B$30+'Inputs'!$B$31+'Inputs'!$B$32)/1000+'Inputs'!$B$21+'Inputs'!$B$9+'Inputs'!$B$10)+'Inputs'!$B$7)/SQRT((((939-43)*MAX('Inputs'!$B$33,'Inputs'!$B$29+'Inputs'!$B$31+'Inputs'!$B$32,'Inputs'!$B$30+'Inputs'!$B$31+'Inputs'!$B$32)/1000+'Inputs'!$B$21+'Inputs'!$B$9+'Inputs'!$B$10)+'Inputs'!$B$7)^2+('Inputs'!$B$6/2)^2)-(((939-43)*MAX('Inputs'!$B$33,'Inputs'!$B$29+'Inputs'!$B$31+'Inputs'!$B$32,'Inputs'!$B$30+'Inputs'!$B$31+'Inputs'!$B$32)/1000+'Inputs'!$B$21+'Inputs'!$B$9+'Inputs'!$B$10))/SQRT((((939-43)*MAX('Inputs'!$B$33,'Inputs'!$B$29+'Inputs'!$B$31+'Inputs'!$B$32,'Inputs'!$B$30+'Inputs'!$B$31+'Inputs'!$B$32)/1000+'Inputs'!$B$21+'Inputs'!$B$9+'Inputs'!$B$10))^2+('Inputs'!$B$6/2)^2))))*'Results'!$B$8),"")</x:f>
        <x:v>0.4741924020239884</x:v>
      </x:c>
      <x:c r="N939" t="n">
        <x:f>IF(AND(ISNUMBER('Results'!C7),ISNUMBER('Results'!B7),ISNUMBER('Results'!$B$8),ISNUMBER('Inputs'!$B$6),ISNUMBER('Inputs'!$B$7),ISNUMBER('Inputs'!$B$8),ISNUMBER('Inputs'!$B$9),ISNUMBER('Inputs'!$B$10),ISNUMBER('Inputs'!$B$21),ISNUMBER('Inputs'!$B$24),ISNUMBER('Inputs'!$B$28)),((('Results'!C7*(1-'Inputs'!$B$24)*(0.5*((((939-43)*MAX('Inputs'!$B$33,'Inputs'!$B$29+'Inputs'!$B$31+'Inputs'!$B$32,'Inputs'!$B$30+'Inputs'!$B$31+'Inputs'!$B$32)/1000+'Inputs'!$B$21)+'Inputs'!$B$9)/SQRT((((939-43)*MAX('Inputs'!$B$33,'Inputs'!$B$29+'Inputs'!$B$31+'Inputs'!$B$32,'Inputs'!$B$30+'Inputs'!$B$31+'Inputs'!$B$32)/1000+'Inputs'!$B$21)+'Inputs'!$B$9)^2+('Inputs'!$B$8/2)^2)-(((939-43)*MAX('Inputs'!$B$33,'Inputs'!$B$29+'Inputs'!$B$31+'Inputs'!$B$32,'Inputs'!$B$30+'Inputs'!$B$31+'Inputs'!$B$32)/1000+'Inputs'!$B$21))/SQRT((((939-43)*MAX('Inputs'!$B$33,'Inputs'!$B$29+'Inputs'!$B$31+'Inputs'!$B$32,'Inputs'!$B$30+'Inputs'!$B$31+'Inputs'!$B$32)/1000+'Inputs'!$B$21))^2+('Inputs'!$B$8/2)^2)))-'Results'!B7*(1+'Inputs'!$B$24)*(0.5*((((939-43)*MAX('Inputs'!$B$33,'Inputs'!$B$29+'Inputs'!$B$31+'Inputs'!$B$32,'Inputs'!$B$30+'Inputs'!$B$31+'Inputs'!$B$32)/1000+'Inputs'!$B$21+'Inputs'!$B$9+'Inputs'!$B$10)+'Inputs'!$B$7)/SQRT((((939-43)*MAX('Inputs'!$B$33,'Inputs'!$B$29+'Inputs'!$B$31+'Inputs'!$B$32,'Inputs'!$B$30+'Inputs'!$B$31+'Inputs'!$B$32)/1000+'Inputs'!$B$21+'Inputs'!$B$9+'Inputs'!$B$10)+'Inputs'!$B$7)^2+('Inputs'!$B$6/2)^2)-(((939-43)*MAX('Inputs'!$B$33,'Inputs'!$B$29+'Inputs'!$B$31+'Inputs'!$B$32,'Inputs'!$B$30+'Inputs'!$B$31+'Inputs'!$B$32)/1000+'Inputs'!$B$21+'Inputs'!$B$9+'Inputs'!$B$10))/SQRT((((939-43)*MAX('Inputs'!$B$33,'Inputs'!$B$29+'Inputs'!$B$31+'Inputs'!$B$32,'Inputs'!$B$30+'Inputs'!$B$31+'Inputs'!$B$32)/1000+'Inputs'!$B$21+'Inputs'!$B$9+'Inputs'!$B$10))^2+('Inputs'!$B$6/2)^2))))*'Results'!$B$8)-'Inputs'!$B$28*ABS((('Results'!C7*(1-'Inputs'!$B$24)*(0.5*((((939-43)*MAX('Inputs'!$B$33,'Inputs'!$B$29+'Inputs'!$B$31+'Inputs'!$B$32,'Inputs'!$B$30+'Inputs'!$B$31+'Inputs'!$B$32)/1000+'Inputs'!$B$21)+'Inputs'!$B$9)/SQRT((((939-43)*MAX('Inputs'!$B$33,'Inputs'!$B$29+'Inputs'!$B$31+'Inputs'!$B$32,'Inputs'!$B$30+'Inputs'!$B$31+'Inputs'!$B$32)/1000+'Inputs'!$B$21)+'Inputs'!$B$9)^2+('Inputs'!$B$8/2)^2)-(((939-43)*MAX('Inputs'!$B$33,'Inputs'!$B$29+'Inputs'!$B$31+'Inputs'!$B$32,'Inputs'!$B$30+'Inputs'!$B$31+'Inputs'!$B$32)/1000+'Inputs'!$B$21))/SQRT((((939-43)*MAX('Inputs'!$B$33,'Inputs'!$B$29+'Inputs'!$B$31+'Inputs'!$B$32,'Inputs'!$B$30+'Inputs'!$B$31+'Inputs'!$B$32)/1000+'Inputs'!$B$21))^2+('Inputs'!$B$8/2)^2)))-'Results'!B7*(1+'Inputs'!$B$24)*(0.5*((((939-43)*MAX('Inputs'!$B$33,'Inputs'!$B$29+'Inputs'!$B$31+'Inputs'!$B$32,'Inputs'!$B$30+'Inputs'!$B$31+'Inputs'!$B$32)/1000+'Inputs'!$B$21+'Inputs'!$B$9+'Inputs'!$B$10)+'Inputs'!$B$7)/SQRT((((939-43)*MAX('Inputs'!$B$33,'Inputs'!$B$29+'Inputs'!$B$31+'Inputs'!$B$32,'Inputs'!$B$30+'Inputs'!$B$31+'Inputs'!$B$32)/1000+'Inputs'!$B$21+'Inputs'!$B$9+'Inputs'!$B$10)+'Inputs'!$B$7)^2+('Inputs'!$B$6/2)^2)-(((939-43)*MAX('Inputs'!$B$33,'Inputs'!$B$29+'Inputs'!$B$31+'Inputs'!$B$32,'Inputs'!$B$30+'Inputs'!$B$31+'Inputs'!$B$32)/1000+'Inputs'!$B$21+'Inputs'!$B$9+'Inputs'!$B$10))/SQRT((((939-43)*MAX('Inputs'!$B$33,'Inputs'!$B$29+'Inputs'!$B$31+'Inputs'!$B$32,'Inputs'!$B$30+'Inputs'!$B$31+'Inputs'!$B$32)/1000+'Inputs'!$B$21+'Inputs'!$B$9+'Inputs'!$B$10))^2+('Inputs'!$B$6/2)^2))))*'Results'!$B$8))),"")</x:f>
        <x:v>0.39564334214071406</x:v>
      </x:c>
      <x:c r="O939" t="n">
        <x:f>IF(AND(ISNUMBER('Results'!C7),ISNUMBER('Results'!B7),ISNUMBER('Results'!$B$8),ISNUMBER('Inputs'!$B$6),ISNUMBER('Inputs'!$B$7),ISNUMBER('Inputs'!$B$8),ISNUMBER('Inputs'!$B$9),ISNUMBER('Inputs'!$B$10),ISNUMBER('Inputs'!$B$21),ISNUMBER('Inputs'!$B$24),ISNUMBER('Inputs'!$B$28)),((('Results'!C7*(1+'Inputs'!$B$24)*(0.5*((((939-43)*MAX('Inputs'!$B$33,'Inputs'!$B$29+'Inputs'!$B$31+'Inputs'!$B$32,'Inputs'!$B$30+'Inputs'!$B$31+'Inputs'!$B$32)/1000+'Inputs'!$B$21)+'Inputs'!$B$9)/SQRT((((939-43)*MAX('Inputs'!$B$33,'Inputs'!$B$29+'Inputs'!$B$31+'Inputs'!$B$32,'Inputs'!$B$30+'Inputs'!$B$31+'Inputs'!$B$32)/1000+'Inputs'!$B$21)+'Inputs'!$B$9)^2+('Inputs'!$B$8/2)^2)-(((939-43)*MAX('Inputs'!$B$33,'Inputs'!$B$29+'Inputs'!$B$31+'Inputs'!$B$32,'Inputs'!$B$30+'Inputs'!$B$31+'Inputs'!$B$32)/1000+'Inputs'!$B$21))/SQRT((((939-43)*MAX('Inputs'!$B$33,'Inputs'!$B$29+'Inputs'!$B$31+'Inputs'!$B$32,'Inputs'!$B$30+'Inputs'!$B$31+'Inputs'!$B$32)/1000+'Inputs'!$B$21))^2+('Inputs'!$B$8/2)^2)))-'Results'!B7*(1-'Inputs'!$B$24)*(0.5*((((939-43)*MAX('Inputs'!$B$33,'Inputs'!$B$29+'Inputs'!$B$31+'Inputs'!$B$32,'Inputs'!$B$30+'Inputs'!$B$31+'Inputs'!$B$32)/1000+'Inputs'!$B$21+'Inputs'!$B$9+'Inputs'!$B$10)+'Inputs'!$B$7)/SQRT((((939-43)*MAX('Inputs'!$B$33,'Inputs'!$B$29+'Inputs'!$B$31+'Inputs'!$B$32,'Inputs'!$B$30+'Inputs'!$B$31+'Inputs'!$B$32)/1000+'Inputs'!$B$21+'Inputs'!$B$9+'Inputs'!$B$10)+'Inputs'!$B$7)^2+('Inputs'!$B$6/2)^2)-(((939-43)*MAX('Inputs'!$B$33,'Inputs'!$B$29+'Inputs'!$B$31+'Inputs'!$B$32,'Inputs'!$B$30+'Inputs'!$B$31+'Inputs'!$B$32)/1000+'Inputs'!$B$21+'Inputs'!$B$9+'Inputs'!$B$10))/SQRT((((939-43)*MAX('Inputs'!$B$33,'Inputs'!$B$29+'Inputs'!$B$31+'Inputs'!$B$32,'Inputs'!$B$30+'Inputs'!$B$31+'Inputs'!$B$32)/1000+'Inputs'!$B$21+'Inputs'!$B$9+'Inputs'!$B$10))^2+('Inputs'!$B$6/2)^2))))*'Results'!$B$8)+'Inputs'!$B$28*ABS((('Results'!C7*(1+'Inputs'!$B$24)*(0.5*((((939-43)*MAX('Inputs'!$B$33,'Inputs'!$B$29+'Inputs'!$B$31+'Inputs'!$B$32,'Inputs'!$B$30+'Inputs'!$B$31+'Inputs'!$B$32)/1000+'Inputs'!$B$21)+'Inputs'!$B$9)/SQRT((((939-43)*MAX('Inputs'!$B$33,'Inputs'!$B$29+'Inputs'!$B$31+'Inputs'!$B$32,'Inputs'!$B$30+'Inputs'!$B$31+'Inputs'!$B$32)/1000+'Inputs'!$B$21)+'Inputs'!$B$9)^2+('Inputs'!$B$8/2)^2)-(((939-43)*MAX('Inputs'!$B$33,'Inputs'!$B$29+'Inputs'!$B$31+'Inputs'!$B$32,'Inputs'!$B$30+'Inputs'!$B$31+'Inputs'!$B$32)/1000+'Inputs'!$B$21))/SQRT((((939-43)*MAX('Inputs'!$B$33,'Inputs'!$B$29+'Inputs'!$B$31+'Inputs'!$B$32,'Inputs'!$B$30+'Inputs'!$B$31+'Inputs'!$B$32)/1000+'Inputs'!$B$21))^2+('Inputs'!$B$8/2)^2)))-'Results'!B7*(1-'Inputs'!$B$24)*(0.5*((((939-43)*MAX('Inputs'!$B$33,'Inputs'!$B$29+'Inputs'!$B$31+'Inputs'!$B$32,'Inputs'!$B$30+'Inputs'!$B$31+'Inputs'!$B$32)/1000+'Inputs'!$B$21+'Inputs'!$B$9+'Inputs'!$B$10)+'Inputs'!$B$7)/SQRT((((939-43)*MAX('Inputs'!$B$33,'Inputs'!$B$29+'Inputs'!$B$31+'Inputs'!$B$32,'Inputs'!$B$30+'Inputs'!$B$31+'Inputs'!$B$32)/1000+'Inputs'!$B$21+'Inputs'!$B$9+'Inputs'!$B$10)+'Inputs'!$B$7)^2+('Inputs'!$B$6/2)^2)-(((939-43)*MAX('Inputs'!$B$33,'Inputs'!$B$29+'Inputs'!$B$31+'Inputs'!$B$32,'Inputs'!$B$30+'Inputs'!$B$31+'Inputs'!$B$32)/1000+'Inputs'!$B$21+'Inputs'!$B$9+'Inputs'!$B$10))/SQRT((((939-43)*MAX('Inputs'!$B$33,'Inputs'!$B$29+'Inputs'!$B$31+'Inputs'!$B$32,'Inputs'!$B$30+'Inputs'!$B$31+'Inputs'!$B$32)/1000+'Inputs'!$B$21+'Inputs'!$B$9+'Inputs'!$B$10))^2+('Inputs'!$B$6/2)^2))))*'Results'!$B$8))),"")</x:f>
        <x:v>0.5585140345159023</x:v>
      </x:c>
      <x:c r="P939" t="n">
        <x:f>IF(AND(MAX(J939,J938)&gt;0,J939&gt;J938+0.00000001),1,0)</x:f>
        <x:v>0</x:v>
      </x:c>
      <x:c r="Q939" t="n">
        <x:f>IF(AND(MAX(K939,K938)&gt;0,K939&gt;K938+0.00000001),1,0)</x:f>
        <x:v>0</x:v>
      </x:c>
      <x:c r="R939" t="n">
        <x:f>IF(AND(MAX(L939,L938)&gt;0,L939&gt;L938+0.00000001),1,0)</x:f>
        <x:v>0</x:v>
      </x:c>
      <x:c r="S939" t="n">
        <x:f>IF(AND(MAX(M939,M938)&gt;0,M939&gt;M938+0.00000001),1,0)</x:f>
        <x:v>0</x:v>
      </x:c>
      <x:c r="T939" t="n">
        <x:f>IF(AND(MAX(N939,N938)&gt;0,N939&gt;N938+0.00000001),1,0)</x:f>
        <x:v>0</x:v>
      </x:c>
      <x:c r="U939" t="n">
        <x:f>IF(AND(MAX(O939,O938)&gt;0,O939&gt;O938+0.00000001),1,0)</x:f>
        <x:v>0</x:v>
      </x:c>
    </x:row>
    <x:row r="940">
      <x:c r="J940" t="n">
        <x:f>IF(AND(ISNUMBER('Results'!B7),ISNUMBER('Results'!C7),ISNUMBER('Results'!$B$8),ISNUMBER('Inputs'!$B$6),ISNUMBER('Inputs'!$B$7),ISNUMBER('Inputs'!$B$8),ISNUMBER('Inputs'!$B$9),ISNUMBER('Inputs'!$B$10),ISNUMBER('Inputs'!$B$21),ISNUMBER('Inputs'!$B$24),ISNUMBER('Inputs'!$B$28)),(('Results'!B7*(0.5*((((940-43)*MAX('Inputs'!$B$33,'Inputs'!$B$29+'Inputs'!$B$31+'Inputs'!$B$32,'Inputs'!$B$30+'Inputs'!$B$31+'Inputs'!$B$32)/1000+'Inputs'!$B$21)+'Inputs'!$B$7)/SQRT((((940-43)*MAX('Inputs'!$B$33,'Inputs'!$B$29+'Inputs'!$B$31+'Inputs'!$B$32,'Inputs'!$B$30+'Inputs'!$B$31+'Inputs'!$B$32)/1000+'Inputs'!$B$21)+'Inputs'!$B$7)^2+('Inputs'!$B$6/2)^2)-(((940-43)*MAX('Inputs'!$B$33,'Inputs'!$B$29+'Inputs'!$B$31+'Inputs'!$B$32,'Inputs'!$B$30+'Inputs'!$B$31+'Inputs'!$B$32)/1000+'Inputs'!$B$21))/SQRT((((940-43)*MAX('Inputs'!$B$33,'Inputs'!$B$29+'Inputs'!$B$31+'Inputs'!$B$32,'Inputs'!$B$30+'Inputs'!$B$31+'Inputs'!$B$32)/1000+'Inputs'!$B$21))^2+('Inputs'!$B$6/2)^2)))-'Results'!C7*(0.5*((((940-43)*MAX('Inputs'!$B$33,'Inputs'!$B$29+'Inputs'!$B$31+'Inputs'!$B$32,'Inputs'!$B$30+'Inputs'!$B$31+'Inputs'!$B$32)/1000+'Inputs'!$B$21+'Inputs'!$B$7+'Inputs'!$B$10)+'Inputs'!$B$9)/SQRT((((940-43)*MAX('Inputs'!$B$33,'Inputs'!$B$29+'Inputs'!$B$31+'Inputs'!$B$32,'Inputs'!$B$30+'Inputs'!$B$31+'Inputs'!$B$32)/1000+'Inputs'!$B$21+'Inputs'!$B$7+'Inputs'!$B$10)+'Inputs'!$B$9)^2+('Inputs'!$B$8/2)^2)-(((940-43)*MAX('Inputs'!$B$33,'Inputs'!$B$29+'Inputs'!$B$31+'Inputs'!$B$32,'Inputs'!$B$30+'Inputs'!$B$31+'Inputs'!$B$32)/1000+'Inputs'!$B$21+'Inputs'!$B$7+'Inputs'!$B$10))/SQRT((((940-43)*MAX('Inputs'!$B$33,'Inputs'!$B$29+'Inputs'!$B$31+'Inputs'!$B$32,'Inputs'!$B$30+'Inputs'!$B$31+'Inputs'!$B$32)/1000+'Inputs'!$B$21+'Inputs'!$B$7+'Inputs'!$B$10))^2+('Inputs'!$B$8/2)^2))))*'Results'!$B$8),"")</x:f>
        <x:v>0.5304537423752805</x:v>
      </x:c>
      <x:c r="K940" t="n">
        <x:f>IF(AND(ISNUMBER('Results'!B7),ISNUMBER('Results'!C7),ISNUMBER('Results'!$B$8),ISNUMBER('Inputs'!$B$6),ISNUMBER('Inputs'!$B$7),ISNUMBER('Inputs'!$B$8),ISNUMBER('Inputs'!$B$9),ISNUMBER('Inputs'!$B$10),ISNUMBER('Inputs'!$B$21),ISNUMBER('Inputs'!$B$24),ISNUMBER('Inputs'!$B$28)),((('Results'!B7*(1-'Inputs'!$B$24)*(0.5*((((940-43)*MAX('Inputs'!$B$33,'Inputs'!$B$29+'Inputs'!$B$31+'Inputs'!$B$32,'Inputs'!$B$30+'Inputs'!$B$31+'Inputs'!$B$32)/1000+'Inputs'!$B$21)+'Inputs'!$B$7)/SQRT((((940-43)*MAX('Inputs'!$B$33,'Inputs'!$B$29+'Inputs'!$B$31+'Inputs'!$B$32,'Inputs'!$B$30+'Inputs'!$B$31+'Inputs'!$B$32)/1000+'Inputs'!$B$21)+'Inputs'!$B$7)^2+('Inputs'!$B$6/2)^2)-(((940-43)*MAX('Inputs'!$B$33,'Inputs'!$B$29+'Inputs'!$B$31+'Inputs'!$B$32,'Inputs'!$B$30+'Inputs'!$B$31+'Inputs'!$B$32)/1000+'Inputs'!$B$21))/SQRT((((940-43)*MAX('Inputs'!$B$33,'Inputs'!$B$29+'Inputs'!$B$31+'Inputs'!$B$32,'Inputs'!$B$30+'Inputs'!$B$31+'Inputs'!$B$32)/1000+'Inputs'!$B$21))^2+('Inputs'!$B$6/2)^2)))-'Results'!C7*(1+'Inputs'!$B$24)*(0.5*((((940-43)*MAX('Inputs'!$B$33,'Inputs'!$B$29+'Inputs'!$B$31+'Inputs'!$B$32,'Inputs'!$B$30+'Inputs'!$B$31+'Inputs'!$B$32)/1000+'Inputs'!$B$21+'Inputs'!$B$7+'Inputs'!$B$10)+'Inputs'!$B$9)/SQRT((((940-43)*MAX('Inputs'!$B$33,'Inputs'!$B$29+'Inputs'!$B$31+'Inputs'!$B$32,'Inputs'!$B$30+'Inputs'!$B$31+'Inputs'!$B$32)/1000+'Inputs'!$B$21+'Inputs'!$B$7+'Inputs'!$B$10)+'Inputs'!$B$9)^2+('Inputs'!$B$8/2)^2)-(((940-43)*MAX('Inputs'!$B$33,'Inputs'!$B$29+'Inputs'!$B$31+'Inputs'!$B$32,'Inputs'!$B$30+'Inputs'!$B$31+'Inputs'!$B$32)/1000+'Inputs'!$B$21+'Inputs'!$B$7+'Inputs'!$B$10))/SQRT((((940-43)*MAX('Inputs'!$B$33,'Inputs'!$B$29+'Inputs'!$B$31+'Inputs'!$B$32,'Inputs'!$B$30+'Inputs'!$B$31+'Inputs'!$B$32)/1000+'Inputs'!$B$21+'Inputs'!$B$7+'Inputs'!$B$10))^2+('Inputs'!$B$8/2)^2))))*'Results'!$B$8)-'Inputs'!$B$28*ABS((('Results'!B7*(1-'Inputs'!$B$24)*(0.5*((((940-43)*MAX('Inputs'!$B$33,'Inputs'!$B$29+'Inputs'!$B$31+'Inputs'!$B$32,'Inputs'!$B$30+'Inputs'!$B$31+'Inputs'!$B$32)/1000+'Inputs'!$B$21)+'Inputs'!$B$7)/SQRT((((940-43)*MAX('Inputs'!$B$33,'Inputs'!$B$29+'Inputs'!$B$31+'Inputs'!$B$32,'Inputs'!$B$30+'Inputs'!$B$31+'Inputs'!$B$32)/1000+'Inputs'!$B$21)+'Inputs'!$B$7)^2+('Inputs'!$B$6/2)^2)-(((940-43)*MAX('Inputs'!$B$33,'Inputs'!$B$29+'Inputs'!$B$31+'Inputs'!$B$32,'Inputs'!$B$30+'Inputs'!$B$31+'Inputs'!$B$32)/1000+'Inputs'!$B$21))/SQRT((((940-43)*MAX('Inputs'!$B$33,'Inputs'!$B$29+'Inputs'!$B$31+'Inputs'!$B$32,'Inputs'!$B$30+'Inputs'!$B$31+'Inputs'!$B$32)/1000+'Inputs'!$B$21))^2+('Inputs'!$B$6/2)^2)))-'Results'!C7*(1+'Inputs'!$B$24)*(0.5*((((940-43)*MAX('Inputs'!$B$33,'Inputs'!$B$29+'Inputs'!$B$31+'Inputs'!$B$32,'Inputs'!$B$30+'Inputs'!$B$31+'Inputs'!$B$32)/1000+'Inputs'!$B$21+'Inputs'!$B$7+'Inputs'!$B$10)+'Inputs'!$B$9)/SQRT((((940-43)*MAX('Inputs'!$B$33,'Inputs'!$B$29+'Inputs'!$B$31+'Inputs'!$B$32,'Inputs'!$B$30+'Inputs'!$B$31+'Inputs'!$B$32)/1000+'Inputs'!$B$21+'Inputs'!$B$7+'Inputs'!$B$10)+'Inputs'!$B$9)^2+('Inputs'!$B$8/2)^2)-(((940-43)*MAX('Inputs'!$B$33,'Inputs'!$B$29+'Inputs'!$B$31+'Inputs'!$B$32,'Inputs'!$B$30+'Inputs'!$B$31+'Inputs'!$B$32)/1000+'Inputs'!$B$21+'Inputs'!$B$7+'Inputs'!$B$10))/SQRT((((940-43)*MAX('Inputs'!$B$33,'Inputs'!$B$29+'Inputs'!$B$31+'Inputs'!$B$32,'Inputs'!$B$30+'Inputs'!$B$31+'Inputs'!$B$32)/1000+'Inputs'!$B$21+'Inputs'!$B$7+'Inputs'!$B$10))^2+('Inputs'!$B$8/2)^2))))*'Results'!$B$8))),"")</x:f>
        <x:v>0.4490690349640349</x:v>
      </x:c>
      <x:c r="L940" t="n">
        <x:f>IF(AND(ISNUMBER('Results'!B7),ISNUMBER('Results'!C7),ISNUMBER('Results'!$B$8),ISNUMBER('Inputs'!$B$6),ISNUMBER('Inputs'!$B$7),ISNUMBER('Inputs'!$B$8),ISNUMBER('Inputs'!$B$9),ISNUMBER('Inputs'!$B$10),ISNUMBER('Inputs'!$B$21),ISNUMBER('Inputs'!$B$24),ISNUMBER('Inputs'!$B$28)),((('Results'!B7*(1+'Inputs'!$B$24)*(0.5*((((940-43)*MAX('Inputs'!$B$33,'Inputs'!$B$29+'Inputs'!$B$31+'Inputs'!$B$32,'Inputs'!$B$30+'Inputs'!$B$31+'Inputs'!$B$32)/1000+'Inputs'!$B$21)+'Inputs'!$B$7)/SQRT((((940-43)*MAX('Inputs'!$B$33,'Inputs'!$B$29+'Inputs'!$B$31+'Inputs'!$B$32,'Inputs'!$B$30+'Inputs'!$B$31+'Inputs'!$B$32)/1000+'Inputs'!$B$21)+'Inputs'!$B$7)^2+('Inputs'!$B$6/2)^2)-(((940-43)*MAX('Inputs'!$B$33,'Inputs'!$B$29+'Inputs'!$B$31+'Inputs'!$B$32,'Inputs'!$B$30+'Inputs'!$B$31+'Inputs'!$B$32)/1000+'Inputs'!$B$21))/SQRT((((940-43)*MAX('Inputs'!$B$33,'Inputs'!$B$29+'Inputs'!$B$31+'Inputs'!$B$32,'Inputs'!$B$30+'Inputs'!$B$31+'Inputs'!$B$32)/1000+'Inputs'!$B$21))^2+('Inputs'!$B$6/2)^2)))-'Results'!C7*(1-'Inputs'!$B$24)*(0.5*((((940-43)*MAX('Inputs'!$B$33,'Inputs'!$B$29+'Inputs'!$B$31+'Inputs'!$B$32,'Inputs'!$B$30+'Inputs'!$B$31+'Inputs'!$B$32)/1000+'Inputs'!$B$21+'Inputs'!$B$7+'Inputs'!$B$10)+'Inputs'!$B$9)/SQRT((((940-43)*MAX('Inputs'!$B$33,'Inputs'!$B$29+'Inputs'!$B$31+'Inputs'!$B$32,'Inputs'!$B$30+'Inputs'!$B$31+'Inputs'!$B$32)/1000+'Inputs'!$B$21+'Inputs'!$B$7+'Inputs'!$B$10)+'Inputs'!$B$9)^2+('Inputs'!$B$8/2)^2)-(((940-43)*MAX('Inputs'!$B$33,'Inputs'!$B$29+'Inputs'!$B$31+'Inputs'!$B$32,'Inputs'!$B$30+'Inputs'!$B$31+'Inputs'!$B$32)/1000+'Inputs'!$B$21+'Inputs'!$B$7+'Inputs'!$B$10))/SQRT((((940-43)*MAX('Inputs'!$B$33,'Inputs'!$B$29+'Inputs'!$B$31+'Inputs'!$B$32,'Inputs'!$B$30+'Inputs'!$B$31+'Inputs'!$B$32)/1000+'Inputs'!$B$21+'Inputs'!$B$7+'Inputs'!$B$10))^2+('Inputs'!$B$8/2)^2))))*'Results'!$B$8)+'Inputs'!$B$28*ABS((('Results'!B7*(1+'Inputs'!$B$24)*(0.5*((((940-43)*MAX('Inputs'!$B$33,'Inputs'!$B$29+'Inputs'!$B$31+'Inputs'!$B$32,'Inputs'!$B$30+'Inputs'!$B$31+'Inputs'!$B$32)/1000+'Inputs'!$B$21)+'Inputs'!$B$7)/SQRT((((940-43)*MAX('Inputs'!$B$33,'Inputs'!$B$29+'Inputs'!$B$31+'Inputs'!$B$32,'Inputs'!$B$30+'Inputs'!$B$31+'Inputs'!$B$32)/1000+'Inputs'!$B$21)+'Inputs'!$B$7)^2+('Inputs'!$B$6/2)^2)-(((940-43)*MAX('Inputs'!$B$33,'Inputs'!$B$29+'Inputs'!$B$31+'Inputs'!$B$32,'Inputs'!$B$30+'Inputs'!$B$31+'Inputs'!$B$32)/1000+'Inputs'!$B$21))/SQRT((((940-43)*MAX('Inputs'!$B$33,'Inputs'!$B$29+'Inputs'!$B$31+'Inputs'!$B$32,'Inputs'!$B$30+'Inputs'!$B$31+'Inputs'!$B$32)/1000+'Inputs'!$B$21))^2+('Inputs'!$B$6/2)^2)))-'Results'!C7*(1-'Inputs'!$B$24)*(0.5*((((940-43)*MAX('Inputs'!$B$33,'Inputs'!$B$29+'Inputs'!$B$31+'Inputs'!$B$32,'Inputs'!$B$30+'Inputs'!$B$31+'Inputs'!$B$32)/1000+'Inputs'!$B$21+'Inputs'!$B$7+'Inputs'!$B$10)+'Inputs'!$B$9)/SQRT((((940-43)*MAX('Inputs'!$B$33,'Inputs'!$B$29+'Inputs'!$B$31+'Inputs'!$B$32,'Inputs'!$B$30+'Inputs'!$B$31+'Inputs'!$B$32)/1000+'Inputs'!$B$21+'Inputs'!$B$7+'Inputs'!$B$10)+'Inputs'!$B$9)^2+('Inputs'!$B$8/2)^2)-(((940-43)*MAX('Inputs'!$B$33,'Inputs'!$B$29+'Inputs'!$B$31+'Inputs'!$B$32,'Inputs'!$B$30+'Inputs'!$B$31+'Inputs'!$B$32)/1000+'Inputs'!$B$21+'Inputs'!$B$7+'Inputs'!$B$10))/SQRT((((940-43)*MAX('Inputs'!$B$33,'Inputs'!$B$29+'Inputs'!$B$31+'Inputs'!$B$32,'Inputs'!$B$30+'Inputs'!$B$31+'Inputs'!$B$32)/1000+'Inputs'!$B$21+'Inputs'!$B$7+'Inputs'!$B$10))^2+('Inputs'!$B$8/2)^2))))*'Results'!$B$8))),"")</x:f>
        <x:v>0.6176133992909977</x:v>
      </x:c>
      <x:c r="M940" t="n">
        <x:f>IF(AND(ISNUMBER('Results'!C7),ISNUMBER('Results'!B7),ISNUMBER('Results'!$B$8),ISNUMBER('Inputs'!$B$6),ISNUMBER('Inputs'!$B$7),ISNUMBER('Inputs'!$B$8),ISNUMBER('Inputs'!$B$9),ISNUMBER('Inputs'!$B$10),ISNUMBER('Inputs'!$B$21),ISNUMBER('Inputs'!$B$24),ISNUMBER('Inputs'!$B$28)),(('Results'!C7*(0.5*((((940-43)*MAX('Inputs'!$B$33,'Inputs'!$B$29+'Inputs'!$B$31+'Inputs'!$B$32,'Inputs'!$B$30+'Inputs'!$B$31+'Inputs'!$B$32)/1000+'Inputs'!$B$21)+'Inputs'!$B$9)/SQRT((((940-43)*MAX('Inputs'!$B$33,'Inputs'!$B$29+'Inputs'!$B$31+'Inputs'!$B$32,'Inputs'!$B$30+'Inputs'!$B$31+'Inputs'!$B$32)/1000+'Inputs'!$B$21)+'Inputs'!$B$9)^2+('Inputs'!$B$8/2)^2)-(((940-43)*MAX('Inputs'!$B$33,'Inputs'!$B$29+'Inputs'!$B$31+'Inputs'!$B$32,'Inputs'!$B$30+'Inputs'!$B$31+'Inputs'!$B$32)/1000+'Inputs'!$B$21))/SQRT((((940-43)*MAX('Inputs'!$B$33,'Inputs'!$B$29+'Inputs'!$B$31+'Inputs'!$B$32,'Inputs'!$B$30+'Inputs'!$B$31+'Inputs'!$B$32)/1000+'Inputs'!$B$21))^2+('Inputs'!$B$8/2)^2)))-'Results'!B7*(0.5*((((940-43)*MAX('Inputs'!$B$33,'Inputs'!$B$29+'Inputs'!$B$31+'Inputs'!$B$32,'Inputs'!$B$30+'Inputs'!$B$31+'Inputs'!$B$32)/1000+'Inputs'!$B$21+'Inputs'!$B$9+'Inputs'!$B$10)+'Inputs'!$B$7)/SQRT((((940-43)*MAX('Inputs'!$B$33,'Inputs'!$B$29+'Inputs'!$B$31+'Inputs'!$B$32,'Inputs'!$B$30+'Inputs'!$B$31+'Inputs'!$B$32)/1000+'Inputs'!$B$21+'Inputs'!$B$9+'Inputs'!$B$10)+'Inputs'!$B$7)^2+('Inputs'!$B$6/2)^2)-(((940-43)*MAX('Inputs'!$B$33,'Inputs'!$B$29+'Inputs'!$B$31+'Inputs'!$B$32,'Inputs'!$B$30+'Inputs'!$B$31+'Inputs'!$B$32)/1000+'Inputs'!$B$21+'Inputs'!$B$9+'Inputs'!$B$10))/SQRT((((940-43)*MAX('Inputs'!$B$33,'Inputs'!$B$29+'Inputs'!$B$31+'Inputs'!$B$32,'Inputs'!$B$30+'Inputs'!$B$31+'Inputs'!$B$32)/1000+'Inputs'!$B$21+'Inputs'!$B$9+'Inputs'!$B$10))^2+('Inputs'!$B$6/2)^2))))*'Results'!$B$8),"")</x:f>
        <x:v>0.47222322263467326</x:v>
      </x:c>
      <x:c r="N940" t="n">
        <x:f>IF(AND(ISNUMBER('Results'!C7),ISNUMBER('Results'!B7),ISNUMBER('Results'!$B$8),ISNUMBER('Inputs'!$B$6),ISNUMBER('Inputs'!$B$7),ISNUMBER('Inputs'!$B$8),ISNUMBER('Inputs'!$B$9),ISNUMBER('Inputs'!$B$10),ISNUMBER('Inputs'!$B$21),ISNUMBER('Inputs'!$B$24),ISNUMBER('Inputs'!$B$28)),((('Results'!C7*(1-'Inputs'!$B$24)*(0.5*((((940-43)*MAX('Inputs'!$B$33,'Inputs'!$B$29+'Inputs'!$B$31+'Inputs'!$B$32,'Inputs'!$B$30+'Inputs'!$B$31+'Inputs'!$B$32)/1000+'Inputs'!$B$21)+'Inputs'!$B$9)/SQRT((((940-43)*MAX('Inputs'!$B$33,'Inputs'!$B$29+'Inputs'!$B$31+'Inputs'!$B$32,'Inputs'!$B$30+'Inputs'!$B$31+'Inputs'!$B$32)/1000+'Inputs'!$B$21)+'Inputs'!$B$9)^2+('Inputs'!$B$8/2)^2)-(((940-43)*MAX('Inputs'!$B$33,'Inputs'!$B$29+'Inputs'!$B$31+'Inputs'!$B$32,'Inputs'!$B$30+'Inputs'!$B$31+'Inputs'!$B$32)/1000+'Inputs'!$B$21))/SQRT((((940-43)*MAX('Inputs'!$B$33,'Inputs'!$B$29+'Inputs'!$B$31+'Inputs'!$B$32,'Inputs'!$B$30+'Inputs'!$B$31+'Inputs'!$B$32)/1000+'Inputs'!$B$21))^2+('Inputs'!$B$8/2)^2)))-'Results'!B7*(1+'Inputs'!$B$24)*(0.5*((((940-43)*MAX('Inputs'!$B$33,'Inputs'!$B$29+'Inputs'!$B$31+'Inputs'!$B$32,'Inputs'!$B$30+'Inputs'!$B$31+'Inputs'!$B$32)/1000+'Inputs'!$B$21+'Inputs'!$B$9+'Inputs'!$B$10)+'Inputs'!$B$7)/SQRT((((940-43)*MAX('Inputs'!$B$33,'Inputs'!$B$29+'Inputs'!$B$31+'Inputs'!$B$32,'Inputs'!$B$30+'Inputs'!$B$31+'Inputs'!$B$32)/1000+'Inputs'!$B$21+'Inputs'!$B$9+'Inputs'!$B$10)+'Inputs'!$B$7)^2+('Inputs'!$B$6/2)^2)-(((940-43)*MAX('Inputs'!$B$33,'Inputs'!$B$29+'Inputs'!$B$31+'Inputs'!$B$32,'Inputs'!$B$30+'Inputs'!$B$31+'Inputs'!$B$32)/1000+'Inputs'!$B$21+'Inputs'!$B$9+'Inputs'!$B$10))/SQRT((((940-43)*MAX('Inputs'!$B$33,'Inputs'!$B$29+'Inputs'!$B$31+'Inputs'!$B$32,'Inputs'!$B$30+'Inputs'!$B$31+'Inputs'!$B$32)/1000+'Inputs'!$B$21+'Inputs'!$B$9+'Inputs'!$B$10))^2+('Inputs'!$B$6/2)^2))))*'Results'!$B$8)-'Inputs'!$B$28*ABS((('Results'!C7*(1-'Inputs'!$B$24)*(0.5*((((940-43)*MAX('Inputs'!$B$33,'Inputs'!$B$29+'Inputs'!$B$31+'Inputs'!$B$32,'Inputs'!$B$30+'Inputs'!$B$31+'Inputs'!$B$32)/1000+'Inputs'!$B$21)+'Inputs'!$B$9)/SQRT((((940-43)*MAX('Inputs'!$B$33,'Inputs'!$B$29+'Inputs'!$B$31+'Inputs'!$B$32,'Inputs'!$B$30+'Inputs'!$B$31+'Inputs'!$B$32)/1000+'Inputs'!$B$21)+'Inputs'!$B$9)^2+('Inputs'!$B$8/2)^2)-(((940-43)*MAX('Inputs'!$B$33,'Inputs'!$B$29+'Inputs'!$B$31+'Inputs'!$B$32,'Inputs'!$B$30+'Inputs'!$B$31+'Inputs'!$B$32)/1000+'Inputs'!$B$21))/SQRT((((940-43)*MAX('Inputs'!$B$33,'Inputs'!$B$29+'Inputs'!$B$31+'Inputs'!$B$32,'Inputs'!$B$30+'Inputs'!$B$31+'Inputs'!$B$32)/1000+'Inputs'!$B$21))^2+('Inputs'!$B$8/2)^2)))-'Results'!B7*(1+'Inputs'!$B$24)*(0.5*((((940-43)*MAX('Inputs'!$B$33,'Inputs'!$B$29+'Inputs'!$B$31+'Inputs'!$B$32,'Inputs'!$B$30+'Inputs'!$B$31+'Inputs'!$B$32)/1000+'Inputs'!$B$21+'Inputs'!$B$9+'Inputs'!$B$10)+'Inputs'!$B$7)/SQRT((((940-43)*MAX('Inputs'!$B$33,'Inputs'!$B$29+'Inputs'!$B$31+'Inputs'!$B$32,'Inputs'!$B$30+'Inputs'!$B$31+'Inputs'!$B$32)/1000+'Inputs'!$B$21+'Inputs'!$B$9+'Inputs'!$B$10)+'Inputs'!$B$7)^2+('Inputs'!$B$6/2)^2)-(((940-43)*MAX('Inputs'!$B$33,'Inputs'!$B$29+'Inputs'!$B$31+'Inputs'!$B$32,'Inputs'!$B$30+'Inputs'!$B$31+'Inputs'!$B$32)/1000+'Inputs'!$B$21+'Inputs'!$B$9+'Inputs'!$B$10))/SQRT((((940-43)*MAX('Inputs'!$B$33,'Inputs'!$B$29+'Inputs'!$B$31+'Inputs'!$B$32,'Inputs'!$B$30+'Inputs'!$B$31+'Inputs'!$B$32)/1000+'Inputs'!$B$21+'Inputs'!$B$9+'Inputs'!$B$10))^2+('Inputs'!$B$6/2)^2))))*'Results'!$B$8))),"")</x:f>
        <x:v>0.39394247416333883</x:v>
      </x:c>
      <x:c r="O940" t="n">
        <x:f>IF(AND(ISNUMBER('Results'!C7),ISNUMBER('Results'!B7),ISNUMBER('Results'!$B$8),ISNUMBER('Inputs'!$B$6),ISNUMBER('Inputs'!$B$7),ISNUMBER('Inputs'!$B$8),ISNUMBER('Inputs'!$B$9),ISNUMBER('Inputs'!$B$10),ISNUMBER('Inputs'!$B$21),ISNUMBER('Inputs'!$B$24),ISNUMBER('Inputs'!$B$28)),((('Results'!C7*(1+'Inputs'!$B$24)*(0.5*((((940-43)*MAX('Inputs'!$B$33,'Inputs'!$B$29+'Inputs'!$B$31+'Inputs'!$B$32,'Inputs'!$B$30+'Inputs'!$B$31+'Inputs'!$B$32)/1000+'Inputs'!$B$21)+'Inputs'!$B$9)/SQRT((((940-43)*MAX('Inputs'!$B$33,'Inputs'!$B$29+'Inputs'!$B$31+'Inputs'!$B$32,'Inputs'!$B$30+'Inputs'!$B$31+'Inputs'!$B$32)/1000+'Inputs'!$B$21)+'Inputs'!$B$9)^2+('Inputs'!$B$8/2)^2)-(((940-43)*MAX('Inputs'!$B$33,'Inputs'!$B$29+'Inputs'!$B$31+'Inputs'!$B$32,'Inputs'!$B$30+'Inputs'!$B$31+'Inputs'!$B$32)/1000+'Inputs'!$B$21))/SQRT((((940-43)*MAX('Inputs'!$B$33,'Inputs'!$B$29+'Inputs'!$B$31+'Inputs'!$B$32,'Inputs'!$B$30+'Inputs'!$B$31+'Inputs'!$B$32)/1000+'Inputs'!$B$21))^2+('Inputs'!$B$8/2)^2)))-'Results'!B7*(1-'Inputs'!$B$24)*(0.5*((((940-43)*MAX('Inputs'!$B$33,'Inputs'!$B$29+'Inputs'!$B$31+'Inputs'!$B$32,'Inputs'!$B$30+'Inputs'!$B$31+'Inputs'!$B$32)/1000+'Inputs'!$B$21+'Inputs'!$B$9+'Inputs'!$B$10)+'Inputs'!$B$7)/SQRT((((940-43)*MAX('Inputs'!$B$33,'Inputs'!$B$29+'Inputs'!$B$31+'Inputs'!$B$32,'Inputs'!$B$30+'Inputs'!$B$31+'Inputs'!$B$32)/1000+'Inputs'!$B$21+'Inputs'!$B$9+'Inputs'!$B$10)+'Inputs'!$B$7)^2+('Inputs'!$B$6/2)^2)-(((940-43)*MAX('Inputs'!$B$33,'Inputs'!$B$29+'Inputs'!$B$31+'Inputs'!$B$32,'Inputs'!$B$30+'Inputs'!$B$31+'Inputs'!$B$32)/1000+'Inputs'!$B$21+'Inputs'!$B$9+'Inputs'!$B$10))/SQRT((((940-43)*MAX('Inputs'!$B$33,'Inputs'!$B$29+'Inputs'!$B$31+'Inputs'!$B$32,'Inputs'!$B$30+'Inputs'!$B$31+'Inputs'!$B$32)/1000+'Inputs'!$B$21+'Inputs'!$B$9+'Inputs'!$B$10))^2+('Inputs'!$B$6/2)^2))))*'Results'!$B$8)+'Inputs'!$B$28*ABS((('Results'!C7*(1+'Inputs'!$B$24)*(0.5*((((940-43)*MAX('Inputs'!$B$33,'Inputs'!$B$29+'Inputs'!$B$31+'Inputs'!$B$32,'Inputs'!$B$30+'Inputs'!$B$31+'Inputs'!$B$32)/1000+'Inputs'!$B$21)+'Inputs'!$B$9)/SQRT((((940-43)*MAX('Inputs'!$B$33,'Inputs'!$B$29+'Inputs'!$B$31+'Inputs'!$B$32,'Inputs'!$B$30+'Inputs'!$B$31+'Inputs'!$B$32)/1000+'Inputs'!$B$21)+'Inputs'!$B$9)^2+('Inputs'!$B$8/2)^2)-(((940-43)*MAX('Inputs'!$B$33,'Inputs'!$B$29+'Inputs'!$B$31+'Inputs'!$B$32,'Inputs'!$B$30+'Inputs'!$B$31+'Inputs'!$B$32)/1000+'Inputs'!$B$21))/SQRT((((940-43)*MAX('Inputs'!$B$33,'Inputs'!$B$29+'Inputs'!$B$31+'Inputs'!$B$32,'Inputs'!$B$30+'Inputs'!$B$31+'Inputs'!$B$32)/1000+'Inputs'!$B$21))^2+('Inputs'!$B$8/2)^2)))-'Results'!B7*(1-'Inputs'!$B$24)*(0.5*((((940-43)*MAX('Inputs'!$B$33,'Inputs'!$B$29+'Inputs'!$B$31+'Inputs'!$B$32,'Inputs'!$B$30+'Inputs'!$B$31+'Inputs'!$B$32)/1000+'Inputs'!$B$21+'Inputs'!$B$9+'Inputs'!$B$10)+'Inputs'!$B$7)/SQRT((((940-43)*MAX('Inputs'!$B$33,'Inputs'!$B$29+'Inputs'!$B$31+'Inputs'!$B$32,'Inputs'!$B$30+'Inputs'!$B$31+'Inputs'!$B$32)/1000+'Inputs'!$B$21+'Inputs'!$B$9+'Inputs'!$B$10)+'Inputs'!$B$7)^2+('Inputs'!$B$6/2)^2)-(((940-43)*MAX('Inputs'!$B$33,'Inputs'!$B$29+'Inputs'!$B$31+'Inputs'!$B$32,'Inputs'!$B$30+'Inputs'!$B$31+'Inputs'!$B$32)/1000+'Inputs'!$B$21+'Inputs'!$B$9+'Inputs'!$B$10))/SQRT((((940-43)*MAX('Inputs'!$B$33,'Inputs'!$B$29+'Inputs'!$B$31+'Inputs'!$B$32,'Inputs'!$B$30+'Inputs'!$B$31+'Inputs'!$B$32)/1000+'Inputs'!$B$21+'Inputs'!$B$9+'Inputs'!$B$10))^2+('Inputs'!$B$6/2)^2))))*'Results'!$B$8))),"")</x:f>
        <x:v>0.5562586645101764</x:v>
      </x:c>
      <x:c r="P940" t="n">
        <x:f>IF(AND(MAX(J940,J939)&gt;0,J940&gt;J939+0.00000001),1,0)</x:f>
        <x:v>0</x:v>
      </x:c>
      <x:c r="Q940" t="n">
        <x:f>IF(AND(MAX(K940,K939)&gt;0,K940&gt;K939+0.00000001),1,0)</x:f>
        <x:v>0</x:v>
      </x:c>
      <x:c r="R940" t="n">
        <x:f>IF(AND(MAX(L940,L939)&gt;0,L940&gt;L939+0.00000001),1,0)</x:f>
        <x:v>0</x:v>
      </x:c>
      <x:c r="S940" t="n">
        <x:f>IF(AND(MAX(M940,M939)&gt;0,M940&gt;M939+0.00000001),1,0)</x:f>
        <x:v>0</x:v>
      </x:c>
      <x:c r="T940" t="n">
        <x:f>IF(AND(MAX(N940,N939)&gt;0,N940&gt;N939+0.00000001),1,0)</x:f>
        <x:v>0</x:v>
      </x:c>
      <x:c r="U940" t="n">
        <x:f>IF(AND(MAX(O940,O939)&gt;0,O940&gt;O939+0.00000001),1,0)</x:f>
        <x:v>0</x:v>
      </x:c>
    </x:row>
    <x:row r="941">
      <x:c r="J941" t="n">
        <x:f>IF(AND(ISNUMBER('Results'!B7),ISNUMBER('Results'!C7),ISNUMBER('Results'!$B$8),ISNUMBER('Inputs'!$B$6),ISNUMBER('Inputs'!$B$7),ISNUMBER('Inputs'!$B$8),ISNUMBER('Inputs'!$B$9),ISNUMBER('Inputs'!$B$10),ISNUMBER('Inputs'!$B$21),ISNUMBER('Inputs'!$B$24),ISNUMBER('Inputs'!$B$28)),(('Results'!B7*(0.5*((((941-43)*MAX('Inputs'!$B$33,'Inputs'!$B$29+'Inputs'!$B$31+'Inputs'!$B$32,'Inputs'!$B$30+'Inputs'!$B$31+'Inputs'!$B$32)/1000+'Inputs'!$B$21)+'Inputs'!$B$7)/SQRT((((941-43)*MAX('Inputs'!$B$33,'Inputs'!$B$29+'Inputs'!$B$31+'Inputs'!$B$32,'Inputs'!$B$30+'Inputs'!$B$31+'Inputs'!$B$32)/1000+'Inputs'!$B$21)+'Inputs'!$B$7)^2+('Inputs'!$B$6/2)^2)-(((941-43)*MAX('Inputs'!$B$33,'Inputs'!$B$29+'Inputs'!$B$31+'Inputs'!$B$32,'Inputs'!$B$30+'Inputs'!$B$31+'Inputs'!$B$32)/1000+'Inputs'!$B$21))/SQRT((((941-43)*MAX('Inputs'!$B$33,'Inputs'!$B$29+'Inputs'!$B$31+'Inputs'!$B$32,'Inputs'!$B$30+'Inputs'!$B$31+'Inputs'!$B$32)/1000+'Inputs'!$B$21))^2+('Inputs'!$B$6/2)^2)))-'Results'!C7*(0.5*((((941-43)*MAX('Inputs'!$B$33,'Inputs'!$B$29+'Inputs'!$B$31+'Inputs'!$B$32,'Inputs'!$B$30+'Inputs'!$B$31+'Inputs'!$B$32)/1000+'Inputs'!$B$21+'Inputs'!$B$7+'Inputs'!$B$10)+'Inputs'!$B$9)/SQRT((((941-43)*MAX('Inputs'!$B$33,'Inputs'!$B$29+'Inputs'!$B$31+'Inputs'!$B$32,'Inputs'!$B$30+'Inputs'!$B$31+'Inputs'!$B$32)/1000+'Inputs'!$B$21+'Inputs'!$B$7+'Inputs'!$B$10)+'Inputs'!$B$9)^2+('Inputs'!$B$8/2)^2)-(((941-43)*MAX('Inputs'!$B$33,'Inputs'!$B$29+'Inputs'!$B$31+'Inputs'!$B$32,'Inputs'!$B$30+'Inputs'!$B$31+'Inputs'!$B$32)/1000+'Inputs'!$B$21+'Inputs'!$B$7+'Inputs'!$B$10))/SQRT((((941-43)*MAX('Inputs'!$B$33,'Inputs'!$B$29+'Inputs'!$B$31+'Inputs'!$B$32,'Inputs'!$B$30+'Inputs'!$B$31+'Inputs'!$B$32)/1000+'Inputs'!$B$21+'Inputs'!$B$7+'Inputs'!$B$10))^2+('Inputs'!$B$8/2)^2))))*'Results'!$B$8),"")</x:f>
        <x:v>0.5283144375150542</x:v>
      </x:c>
      <x:c r="K941" t="n">
        <x:f>IF(AND(ISNUMBER('Results'!B7),ISNUMBER('Results'!C7),ISNUMBER('Results'!$B$8),ISNUMBER('Inputs'!$B$6),ISNUMBER('Inputs'!$B$7),ISNUMBER('Inputs'!$B$8),ISNUMBER('Inputs'!$B$9),ISNUMBER('Inputs'!$B$10),ISNUMBER('Inputs'!$B$21),ISNUMBER('Inputs'!$B$24),ISNUMBER('Inputs'!$B$28)),((('Results'!B7*(1-'Inputs'!$B$24)*(0.5*((((941-43)*MAX('Inputs'!$B$33,'Inputs'!$B$29+'Inputs'!$B$31+'Inputs'!$B$32,'Inputs'!$B$30+'Inputs'!$B$31+'Inputs'!$B$32)/1000+'Inputs'!$B$21)+'Inputs'!$B$7)/SQRT((((941-43)*MAX('Inputs'!$B$33,'Inputs'!$B$29+'Inputs'!$B$31+'Inputs'!$B$32,'Inputs'!$B$30+'Inputs'!$B$31+'Inputs'!$B$32)/1000+'Inputs'!$B$21)+'Inputs'!$B$7)^2+('Inputs'!$B$6/2)^2)-(((941-43)*MAX('Inputs'!$B$33,'Inputs'!$B$29+'Inputs'!$B$31+'Inputs'!$B$32,'Inputs'!$B$30+'Inputs'!$B$31+'Inputs'!$B$32)/1000+'Inputs'!$B$21))/SQRT((((941-43)*MAX('Inputs'!$B$33,'Inputs'!$B$29+'Inputs'!$B$31+'Inputs'!$B$32,'Inputs'!$B$30+'Inputs'!$B$31+'Inputs'!$B$32)/1000+'Inputs'!$B$21))^2+('Inputs'!$B$6/2)^2)))-'Results'!C7*(1+'Inputs'!$B$24)*(0.5*((((941-43)*MAX('Inputs'!$B$33,'Inputs'!$B$29+'Inputs'!$B$31+'Inputs'!$B$32,'Inputs'!$B$30+'Inputs'!$B$31+'Inputs'!$B$32)/1000+'Inputs'!$B$21+'Inputs'!$B$7+'Inputs'!$B$10)+'Inputs'!$B$9)/SQRT((((941-43)*MAX('Inputs'!$B$33,'Inputs'!$B$29+'Inputs'!$B$31+'Inputs'!$B$32,'Inputs'!$B$30+'Inputs'!$B$31+'Inputs'!$B$32)/1000+'Inputs'!$B$21+'Inputs'!$B$7+'Inputs'!$B$10)+'Inputs'!$B$9)^2+('Inputs'!$B$8/2)^2)-(((941-43)*MAX('Inputs'!$B$33,'Inputs'!$B$29+'Inputs'!$B$31+'Inputs'!$B$32,'Inputs'!$B$30+'Inputs'!$B$31+'Inputs'!$B$32)/1000+'Inputs'!$B$21+'Inputs'!$B$7+'Inputs'!$B$10))/SQRT((((941-43)*MAX('Inputs'!$B$33,'Inputs'!$B$29+'Inputs'!$B$31+'Inputs'!$B$32,'Inputs'!$B$30+'Inputs'!$B$31+'Inputs'!$B$32)/1000+'Inputs'!$B$21+'Inputs'!$B$7+'Inputs'!$B$10))^2+('Inputs'!$B$8/2)^2))))*'Results'!$B$8)-'Inputs'!$B$28*ABS((('Results'!B7*(1-'Inputs'!$B$24)*(0.5*((((941-43)*MAX('Inputs'!$B$33,'Inputs'!$B$29+'Inputs'!$B$31+'Inputs'!$B$32,'Inputs'!$B$30+'Inputs'!$B$31+'Inputs'!$B$32)/1000+'Inputs'!$B$21)+'Inputs'!$B$7)/SQRT((((941-43)*MAX('Inputs'!$B$33,'Inputs'!$B$29+'Inputs'!$B$31+'Inputs'!$B$32,'Inputs'!$B$30+'Inputs'!$B$31+'Inputs'!$B$32)/1000+'Inputs'!$B$21)+'Inputs'!$B$7)^2+('Inputs'!$B$6/2)^2)-(((941-43)*MAX('Inputs'!$B$33,'Inputs'!$B$29+'Inputs'!$B$31+'Inputs'!$B$32,'Inputs'!$B$30+'Inputs'!$B$31+'Inputs'!$B$32)/1000+'Inputs'!$B$21))/SQRT((((941-43)*MAX('Inputs'!$B$33,'Inputs'!$B$29+'Inputs'!$B$31+'Inputs'!$B$32,'Inputs'!$B$30+'Inputs'!$B$31+'Inputs'!$B$32)/1000+'Inputs'!$B$21))^2+('Inputs'!$B$6/2)^2)))-'Results'!C7*(1+'Inputs'!$B$24)*(0.5*((((941-43)*MAX('Inputs'!$B$33,'Inputs'!$B$29+'Inputs'!$B$31+'Inputs'!$B$32,'Inputs'!$B$30+'Inputs'!$B$31+'Inputs'!$B$32)/1000+'Inputs'!$B$21+'Inputs'!$B$7+'Inputs'!$B$10)+'Inputs'!$B$9)/SQRT((((941-43)*MAX('Inputs'!$B$33,'Inputs'!$B$29+'Inputs'!$B$31+'Inputs'!$B$32,'Inputs'!$B$30+'Inputs'!$B$31+'Inputs'!$B$32)/1000+'Inputs'!$B$21+'Inputs'!$B$7+'Inputs'!$B$10)+'Inputs'!$B$9)^2+('Inputs'!$B$8/2)^2)-(((941-43)*MAX('Inputs'!$B$33,'Inputs'!$B$29+'Inputs'!$B$31+'Inputs'!$B$32,'Inputs'!$B$30+'Inputs'!$B$31+'Inputs'!$B$32)/1000+'Inputs'!$B$21+'Inputs'!$B$7+'Inputs'!$B$10))/SQRT((((941-43)*MAX('Inputs'!$B$33,'Inputs'!$B$29+'Inputs'!$B$31+'Inputs'!$B$32,'Inputs'!$B$30+'Inputs'!$B$31+'Inputs'!$B$32)/1000+'Inputs'!$B$21+'Inputs'!$B$7+'Inputs'!$B$10))^2+('Inputs'!$B$8/2)^2))))*'Results'!$B$8))),"")</x:f>
        <x:v>0.4472066324884173</x:v>
      </x:c>
      <x:c r="L941" t="n">
        <x:f>IF(AND(ISNUMBER('Results'!B7),ISNUMBER('Results'!C7),ISNUMBER('Results'!$B$8),ISNUMBER('Inputs'!$B$6),ISNUMBER('Inputs'!$B$7),ISNUMBER('Inputs'!$B$8),ISNUMBER('Inputs'!$B$9),ISNUMBER('Inputs'!$B$10),ISNUMBER('Inputs'!$B$21),ISNUMBER('Inputs'!$B$24),ISNUMBER('Inputs'!$B$28)),((('Results'!B7*(1+'Inputs'!$B$24)*(0.5*((((941-43)*MAX('Inputs'!$B$33,'Inputs'!$B$29+'Inputs'!$B$31+'Inputs'!$B$32,'Inputs'!$B$30+'Inputs'!$B$31+'Inputs'!$B$32)/1000+'Inputs'!$B$21)+'Inputs'!$B$7)/SQRT((((941-43)*MAX('Inputs'!$B$33,'Inputs'!$B$29+'Inputs'!$B$31+'Inputs'!$B$32,'Inputs'!$B$30+'Inputs'!$B$31+'Inputs'!$B$32)/1000+'Inputs'!$B$21)+'Inputs'!$B$7)^2+('Inputs'!$B$6/2)^2)-(((941-43)*MAX('Inputs'!$B$33,'Inputs'!$B$29+'Inputs'!$B$31+'Inputs'!$B$32,'Inputs'!$B$30+'Inputs'!$B$31+'Inputs'!$B$32)/1000+'Inputs'!$B$21))/SQRT((((941-43)*MAX('Inputs'!$B$33,'Inputs'!$B$29+'Inputs'!$B$31+'Inputs'!$B$32,'Inputs'!$B$30+'Inputs'!$B$31+'Inputs'!$B$32)/1000+'Inputs'!$B$21))^2+('Inputs'!$B$6/2)^2)))-'Results'!C7*(1-'Inputs'!$B$24)*(0.5*((((941-43)*MAX('Inputs'!$B$33,'Inputs'!$B$29+'Inputs'!$B$31+'Inputs'!$B$32,'Inputs'!$B$30+'Inputs'!$B$31+'Inputs'!$B$32)/1000+'Inputs'!$B$21+'Inputs'!$B$7+'Inputs'!$B$10)+'Inputs'!$B$9)/SQRT((((941-43)*MAX('Inputs'!$B$33,'Inputs'!$B$29+'Inputs'!$B$31+'Inputs'!$B$32,'Inputs'!$B$30+'Inputs'!$B$31+'Inputs'!$B$32)/1000+'Inputs'!$B$21+'Inputs'!$B$7+'Inputs'!$B$10)+'Inputs'!$B$9)^2+('Inputs'!$B$8/2)^2)-(((941-43)*MAX('Inputs'!$B$33,'Inputs'!$B$29+'Inputs'!$B$31+'Inputs'!$B$32,'Inputs'!$B$30+'Inputs'!$B$31+'Inputs'!$B$32)/1000+'Inputs'!$B$21+'Inputs'!$B$7+'Inputs'!$B$10))/SQRT((((941-43)*MAX('Inputs'!$B$33,'Inputs'!$B$29+'Inputs'!$B$31+'Inputs'!$B$32,'Inputs'!$B$30+'Inputs'!$B$31+'Inputs'!$B$32)/1000+'Inputs'!$B$21+'Inputs'!$B$7+'Inputs'!$B$10))^2+('Inputs'!$B$8/2)^2))))*'Results'!$B$8)+'Inputs'!$B$28*ABS((('Results'!B7*(1+'Inputs'!$B$24)*(0.5*((((941-43)*MAX('Inputs'!$B$33,'Inputs'!$B$29+'Inputs'!$B$31+'Inputs'!$B$32,'Inputs'!$B$30+'Inputs'!$B$31+'Inputs'!$B$32)/1000+'Inputs'!$B$21)+'Inputs'!$B$7)/SQRT((((941-43)*MAX('Inputs'!$B$33,'Inputs'!$B$29+'Inputs'!$B$31+'Inputs'!$B$32,'Inputs'!$B$30+'Inputs'!$B$31+'Inputs'!$B$32)/1000+'Inputs'!$B$21)+'Inputs'!$B$7)^2+('Inputs'!$B$6/2)^2)-(((941-43)*MAX('Inputs'!$B$33,'Inputs'!$B$29+'Inputs'!$B$31+'Inputs'!$B$32,'Inputs'!$B$30+'Inputs'!$B$31+'Inputs'!$B$32)/1000+'Inputs'!$B$21))/SQRT((((941-43)*MAX('Inputs'!$B$33,'Inputs'!$B$29+'Inputs'!$B$31+'Inputs'!$B$32,'Inputs'!$B$30+'Inputs'!$B$31+'Inputs'!$B$32)/1000+'Inputs'!$B$21))^2+('Inputs'!$B$6/2)^2)))-'Results'!C7*(1-'Inputs'!$B$24)*(0.5*((((941-43)*MAX('Inputs'!$B$33,'Inputs'!$B$29+'Inputs'!$B$31+'Inputs'!$B$32,'Inputs'!$B$30+'Inputs'!$B$31+'Inputs'!$B$32)/1000+'Inputs'!$B$21+'Inputs'!$B$7+'Inputs'!$B$10)+'Inputs'!$B$9)/SQRT((((941-43)*MAX('Inputs'!$B$33,'Inputs'!$B$29+'Inputs'!$B$31+'Inputs'!$B$32,'Inputs'!$B$30+'Inputs'!$B$31+'Inputs'!$B$32)/1000+'Inputs'!$B$21+'Inputs'!$B$7+'Inputs'!$B$10)+'Inputs'!$B$9)^2+('Inputs'!$B$8/2)^2)-(((941-43)*MAX('Inputs'!$B$33,'Inputs'!$B$29+'Inputs'!$B$31+'Inputs'!$B$32,'Inputs'!$B$30+'Inputs'!$B$31+'Inputs'!$B$32)/1000+'Inputs'!$B$21+'Inputs'!$B$7+'Inputs'!$B$10))/SQRT((((941-43)*MAX('Inputs'!$B$33,'Inputs'!$B$29+'Inputs'!$B$31+'Inputs'!$B$32,'Inputs'!$B$30+'Inputs'!$B$31+'Inputs'!$B$32)/1000+'Inputs'!$B$21+'Inputs'!$B$7+'Inputs'!$B$10))^2+('Inputs'!$B$8/2)^2))))*'Results'!$B$8))),"")</x:f>
        <x:v>0.6151793039259951</x:v>
      </x:c>
      <x:c r="M941" t="n">
        <x:f>IF(AND(ISNUMBER('Results'!C7),ISNUMBER('Results'!B7),ISNUMBER('Results'!$B$8),ISNUMBER('Inputs'!$B$6),ISNUMBER('Inputs'!$B$7),ISNUMBER('Inputs'!$B$8),ISNUMBER('Inputs'!$B$9),ISNUMBER('Inputs'!$B$10),ISNUMBER('Inputs'!$B$21),ISNUMBER('Inputs'!$B$24),ISNUMBER('Inputs'!$B$28)),(('Results'!C7*(0.5*((((941-43)*MAX('Inputs'!$B$33,'Inputs'!$B$29+'Inputs'!$B$31+'Inputs'!$B$32,'Inputs'!$B$30+'Inputs'!$B$31+'Inputs'!$B$32)/1000+'Inputs'!$B$21)+'Inputs'!$B$9)/SQRT((((941-43)*MAX('Inputs'!$B$33,'Inputs'!$B$29+'Inputs'!$B$31+'Inputs'!$B$32,'Inputs'!$B$30+'Inputs'!$B$31+'Inputs'!$B$32)/1000+'Inputs'!$B$21)+'Inputs'!$B$9)^2+('Inputs'!$B$8/2)^2)-(((941-43)*MAX('Inputs'!$B$33,'Inputs'!$B$29+'Inputs'!$B$31+'Inputs'!$B$32,'Inputs'!$B$30+'Inputs'!$B$31+'Inputs'!$B$32)/1000+'Inputs'!$B$21))/SQRT((((941-43)*MAX('Inputs'!$B$33,'Inputs'!$B$29+'Inputs'!$B$31+'Inputs'!$B$32,'Inputs'!$B$30+'Inputs'!$B$31+'Inputs'!$B$32)/1000+'Inputs'!$B$21))^2+('Inputs'!$B$8/2)^2)))-'Results'!B7*(0.5*((((941-43)*MAX('Inputs'!$B$33,'Inputs'!$B$29+'Inputs'!$B$31+'Inputs'!$B$32,'Inputs'!$B$30+'Inputs'!$B$31+'Inputs'!$B$32)/1000+'Inputs'!$B$21+'Inputs'!$B$9+'Inputs'!$B$10)+'Inputs'!$B$7)/SQRT((((941-43)*MAX('Inputs'!$B$33,'Inputs'!$B$29+'Inputs'!$B$31+'Inputs'!$B$32,'Inputs'!$B$30+'Inputs'!$B$31+'Inputs'!$B$32)/1000+'Inputs'!$B$21+'Inputs'!$B$9+'Inputs'!$B$10)+'Inputs'!$B$7)^2+('Inputs'!$B$6/2)^2)-(((941-43)*MAX('Inputs'!$B$33,'Inputs'!$B$29+'Inputs'!$B$31+'Inputs'!$B$32,'Inputs'!$B$30+'Inputs'!$B$31+'Inputs'!$B$32)/1000+'Inputs'!$B$21+'Inputs'!$B$9+'Inputs'!$B$10))/SQRT((((941-43)*MAX('Inputs'!$B$33,'Inputs'!$B$29+'Inputs'!$B$31+'Inputs'!$B$32,'Inputs'!$B$30+'Inputs'!$B$31+'Inputs'!$B$32)/1000+'Inputs'!$B$21+'Inputs'!$B$9+'Inputs'!$B$10))^2+('Inputs'!$B$6/2)^2))))*'Results'!$B$8),"")</x:f>
        <x:v>0.4702641877016844</x:v>
      </x:c>
      <x:c r="N941" t="n">
        <x:f>IF(AND(ISNUMBER('Results'!C7),ISNUMBER('Results'!B7),ISNUMBER('Results'!$B$8),ISNUMBER('Inputs'!$B$6),ISNUMBER('Inputs'!$B$7),ISNUMBER('Inputs'!$B$8),ISNUMBER('Inputs'!$B$9),ISNUMBER('Inputs'!$B$10),ISNUMBER('Inputs'!$B$21),ISNUMBER('Inputs'!$B$24),ISNUMBER('Inputs'!$B$28)),((('Results'!C7*(1-'Inputs'!$B$24)*(0.5*((((941-43)*MAX('Inputs'!$B$33,'Inputs'!$B$29+'Inputs'!$B$31+'Inputs'!$B$32,'Inputs'!$B$30+'Inputs'!$B$31+'Inputs'!$B$32)/1000+'Inputs'!$B$21)+'Inputs'!$B$9)/SQRT((((941-43)*MAX('Inputs'!$B$33,'Inputs'!$B$29+'Inputs'!$B$31+'Inputs'!$B$32,'Inputs'!$B$30+'Inputs'!$B$31+'Inputs'!$B$32)/1000+'Inputs'!$B$21)+'Inputs'!$B$9)^2+('Inputs'!$B$8/2)^2)-(((941-43)*MAX('Inputs'!$B$33,'Inputs'!$B$29+'Inputs'!$B$31+'Inputs'!$B$32,'Inputs'!$B$30+'Inputs'!$B$31+'Inputs'!$B$32)/1000+'Inputs'!$B$21))/SQRT((((941-43)*MAX('Inputs'!$B$33,'Inputs'!$B$29+'Inputs'!$B$31+'Inputs'!$B$32,'Inputs'!$B$30+'Inputs'!$B$31+'Inputs'!$B$32)/1000+'Inputs'!$B$21))^2+('Inputs'!$B$8/2)^2)))-'Results'!B7*(1+'Inputs'!$B$24)*(0.5*((((941-43)*MAX('Inputs'!$B$33,'Inputs'!$B$29+'Inputs'!$B$31+'Inputs'!$B$32,'Inputs'!$B$30+'Inputs'!$B$31+'Inputs'!$B$32)/1000+'Inputs'!$B$21+'Inputs'!$B$9+'Inputs'!$B$10)+'Inputs'!$B$7)/SQRT((((941-43)*MAX('Inputs'!$B$33,'Inputs'!$B$29+'Inputs'!$B$31+'Inputs'!$B$32,'Inputs'!$B$30+'Inputs'!$B$31+'Inputs'!$B$32)/1000+'Inputs'!$B$21+'Inputs'!$B$9+'Inputs'!$B$10)+'Inputs'!$B$7)^2+('Inputs'!$B$6/2)^2)-(((941-43)*MAX('Inputs'!$B$33,'Inputs'!$B$29+'Inputs'!$B$31+'Inputs'!$B$32,'Inputs'!$B$30+'Inputs'!$B$31+'Inputs'!$B$32)/1000+'Inputs'!$B$21+'Inputs'!$B$9+'Inputs'!$B$10))/SQRT((((941-43)*MAX('Inputs'!$B$33,'Inputs'!$B$29+'Inputs'!$B$31+'Inputs'!$B$32,'Inputs'!$B$30+'Inputs'!$B$31+'Inputs'!$B$32)/1000+'Inputs'!$B$21+'Inputs'!$B$9+'Inputs'!$B$10))^2+('Inputs'!$B$6/2)^2))))*'Results'!$B$8)-'Inputs'!$B$28*ABS((('Results'!C7*(1-'Inputs'!$B$24)*(0.5*((((941-43)*MAX('Inputs'!$B$33,'Inputs'!$B$29+'Inputs'!$B$31+'Inputs'!$B$32,'Inputs'!$B$30+'Inputs'!$B$31+'Inputs'!$B$32)/1000+'Inputs'!$B$21)+'Inputs'!$B$9)/SQRT((((941-43)*MAX('Inputs'!$B$33,'Inputs'!$B$29+'Inputs'!$B$31+'Inputs'!$B$32,'Inputs'!$B$30+'Inputs'!$B$31+'Inputs'!$B$32)/1000+'Inputs'!$B$21)+'Inputs'!$B$9)^2+('Inputs'!$B$8/2)^2)-(((941-43)*MAX('Inputs'!$B$33,'Inputs'!$B$29+'Inputs'!$B$31+'Inputs'!$B$32,'Inputs'!$B$30+'Inputs'!$B$31+'Inputs'!$B$32)/1000+'Inputs'!$B$21))/SQRT((((941-43)*MAX('Inputs'!$B$33,'Inputs'!$B$29+'Inputs'!$B$31+'Inputs'!$B$32,'Inputs'!$B$30+'Inputs'!$B$31+'Inputs'!$B$32)/1000+'Inputs'!$B$21))^2+('Inputs'!$B$8/2)^2)))-'Results'!B7*(1+'Inputs'!$B$24)*(0.5*((((941-43)*MAX('Inputs'!$B$33,'Inputs'!$B$29+'Inputs'!$B$31+'Inputs'!$B$32,'Inputs'!$B$30+'Inputs'!$B$31+'Inputs'!$B$32)/1000+'Inputs'!$B$21+'Inputs'!$B$9+'Inputs'!$B$10)+'Inputs'!$B$7)/SQRT((((941-43)*MAX('Inputs'!$B$33,'Inputs'!$B$29+'Inputs'!$B$31+'Inputs'!$B$32,'Inputs'!$B$30+'Inputs'!$B$31+'Inputs'!$B$32)/1000+'Inputs'!$B$21+'Inputs'!$B$9+'Inputs'!$B$10)+'Inputs'!$B$7)^2+('Inputs'!$B$6/2)^2)-(((941-43)*MAX('Inputs'!$B$33,'Inputs'!$B$29+'Inputs'!$B$31+'Inputs'!$B$32,'Inputs'!$B$30+'Inputs'!$B$31+'Inputs'!$B$32)/1000+'Inputs'!$B$21+'Inputs'!$B$9+'Inputs'!$B$10))/SQRT((((941-43)*MAX('Inputs'!$B$33,'Inputs'!$B$29+'Inputs'!$B$31+'Inputs'!$B$32,'Inputs'!$B$30+'Inputs'!$B$31+'Inputs'!$B$32)/1000+'Inputs'!$B$21+'Inputs'!$B$9+'Inputs'!$B$10))^2+('Inputs'!$B$6/2)^2))))*'Results'!$B$8))),"")</x:f>
        <x:v>0.3922505415685351</x:v>
      </x:c>
      <x:c r="O941" t="n">
        <x:f>IF(AND(ISNUMBER('Results'!C7),ISNUMBER('Results'!B7),ISNUMBER('Results'!$B$8),ISNUMBER('Inputs'!$B$6),ISNUMBER('Inputs'!$B$7),ISNUMBER('Inputs'!$B$8),ISNUMBER('Inputs'!$B$9),ISNUMBER('Inputs'!$B$10),ISNUMBER('Inputs'!$B$21),ISNUMBER('Inputs'!$B$24),ISNUMBER('Inputs'!$B$28)),((('Results'!C7*(1+'Inputs'!$B$24)*(0.5*((((941-43)*MAX('Inputs'!$B$33,'Inputs'!$B$29+'Inputs'!$B$31+'Inputs'!$B$32,'Inputs'!$B$30+'Inputs'!$B$31+'Inputs'!$B$32)/1000+'Inputs'!$B$21)+'Inputs'!$B$9)/SQRT((((941-43)*MAX('Inputs'!$B$33,'Inputs'!$B$29+'Inputs'!$B$31+'Inputs'!$B$32,'Inputs'!$B$30+'Inputs'!$B$31+'Inputs'!$B$32)/1000+'Inputs'!$B$21)+'Inputs'!$B$9)^2+('Inputs'!$B$8/2)^2)-(((941-43)*MAX('Inputs'!$B$33,'Inputs'!$B$29+'Inputs'!$B$31+'Inputs'!$B$32,'Inputs'!$B$30+'Inputs'!$B$31+'Inputs'!$B$32)/1000+'Inputs'!$B$21))/SQRT((((941-43)*MAX('Inputs'!$B$33,'Inputs'!$B$29+'Inputs'!$B$31+'Inputs'!$B$32,'Inputs'!$B$30+'Inputs'!$B$31+'Inputs'!$B$32)/1000+'Inputs'!$B$21))^2+('Inputs'!$B$8/2)^2)))-'Results'!B7*(1-'Inputs'!$B$24)*(0.5*((((941-43)*MAX('Inputs'!$B$33,'Inputs'!$B$29+'Inputs'!$B$31+'Inputs'!$B$32,'Inputs'!$B$30+'Inputs'!$B$31+'Inputs'!$B$32)/1000+'Inputs'!$B$21+'Inputs'!$B$9+'Inputs'!$B$10)+'Inputs'!$B$7)/SQRT((((941-43)*MAX('Inputs'!$B$33,'Inputs'!$B$29+'Inputs'!$B$31+'Inputs'!$B$32,'Inputs'!$B$30+'Inputs'!$B$31+'Inputs'!$B$32)/1000+'Inputs'!$B$21+'Inputs'!$B$9+'Inputs'!$B$10)+'Inputs'!$B$7)^2+('Inputs'!$B$6/2)^2)-(((941-43)*MAX('Inputs'!$B$33,'Inputs'!$B$29+'Inputs'!$B$31+'Inputs'!$B$32,'Inputs'!$B$30+'Inputs'!$B$31+'Inputs'!$B$32)/1000+'Inputs'!$B$21+'Inputs'!$B$9+'Inputs'!$B$10))/SQRT((((941-43)*MAX('Inputs'!$B$33,'Inputs'!$B$29+'Inputs'!$B$31+'Inputs'!$B$32,'Inputs'!$B$30+'Inputs'!$B$31+'Inputs'!$B$32)/1000+'Inputs'!$B$21+'Inputs'!$B$9+'Inputs'!$B$10))^2+('Inputs'!$B$6/2)^2))))*'Results'!$B$8)+'Inputs'!$B$28*ABS((('Results'!C7*(1+'Inputs'!$B$24)*(0.5*((((941-43)*MAX('Inputs'!$B$33,'Inputs'!$B$29+'Inputs'!$B$31+'Inputs'!$B$32,'Inputs'!$B$30+'Inputs'!$B$31+'Inputs'!$B$32)/1000+'Inputs'!$B$21)+'Inputs'!$B$9)/SQRT((((941-43)*MAX('Inputs'!$B$33,'Inputs'!$B$29+'Inputs'!$B$31+'Inputs'!$B$32,'Inputs'!$B$30+'Inputs'!$B$31+'Inputs'!$B$32)/1000+'Inputs'!$B$21)+'Inputs'!$B$9)^2+('Inputs'!$B$8/2)^2)-(((941-43)*MAX('Inputs'!$B$33,'Inputs'!$B$29+'Inputs'!$B$31+'Inputs'!$B$32,'Inputs'!$B$30+'Inputs'!$B$31+'Inputs'!$B$32)/1000+'Inputs'!$B$21))/SQRT((((941-43)*MAX('Inputs'!$B$33,'Inputs'!$B$29+'Inputs'!$B$31+'Inputs'!$B$32,'Inputs'!$B$30+'Inputs'!$B$31+'Inputs'!$B$32)/1000+'Inputs'!$B$21))^2+('Inputs'!$B$8/2)^2)))-'Results'!B7*(1-'Inputs'!$B$24)*(0.5*((((941-43)*MAX('Inputs'!$B$33,'Inputs'!$B$29+'Inputs'!$B$31+'Inputs'!$B$32,'Inputs'!$B$30+'Inputs'!$B$31+'Inputs'!$B$32)/1000+'Inputs'!$B$21+'Inputs'!$B$9+'Inputs'!$B$10)+'Inputs'!$B$7)/SQRT((((941-43)*MAX('Inputs'!$B$33,'Inputs'!$B$29+'Inputs'!$B$31+'Inputs'!$B$32,'Inputs'!$B$30+'Inputs'!$B$31+'Inputs'!$B$32)/1000+'Inputs'!$B$21+'Inputs'!$B$9+'Inputs'!$B$10)+'Inputs'!$B$7)^2+('Inputs'!$B$6/2)^2)-(((941-43)*MAX('Inputs'!$B$33,'Inputs'!$B$29+'Inputs'!$B$31+'Inputs'!$B$32,'Inputs'!$B$30+'Inputs'!$B$31+'Inputs'!$B$32)/1000+'Inputs'!$B$21+'Inputs'!$B$9+'Inputs'!$B$10))/SQRT((((941-43)*MAX('Inputs'!$B$33,'Inputs'!$B$29+'Inputs'!$B$31+'Inputs'!$B$32,'Inputs'!$B$30+'Inputs'!$B$31+'Inputs'!$B$32)/1000+'Inputs'!$B$21+'Inputs'!$B$9+'Inputs'!$B$10))^2+('Inputs'!$B$6/2)^2))))*'Results'!$B$8))),"")</x:f>
        <x:v>0.5540147219135771</x:v>
      </x:c>
      <x:c r="P941" t="n">
        <x:f>IF(AND(MAX(J941,J940)&gt;0,J941&gt;J940+0.00000001),1,0)</x:f>
        <x:v>0</x:v>
      </x:c>
      <x:c r="Q941" t="n">
        <x:f>IF(AND(MAX(K941,K940)&gt;0,K941&gt;K940+0.00000001),1,0)</x:f>
        <x:v>0</x:v>
      </x:c>
      <x:c r="R941" t="n">
        <x:f>IF(AND(MAX(L941,L940)&gt;0,L941&gt;L940+0.00000001),1,0)</x:f>
        <x:v>0</x:v>
      </x:c>
      <x:c r="S941" t="n">
        <x:f>IF(AND(MAX(M941,M940)&gt;0,M941&gt;M940+0.00000001),1,0)</x:f>
        <x:v>0</x:v>
      </x:c>
      <x:c r="T941" t="n">
        <x:f>IF(AND(MAX(N941,N940)&gt;0,N941&gt;N940+0.00000001),1,0)</x:f>
        <x:v>0</x:v>
      </x:c>
      <x:c r="U941" t="n">
        <x:f>IF(AND(MAX(O941,O940)&gt;0,O941&gt;O940+0.00000001),1,0)</x:f>
        <x:v>0</x:v>
      </x:c>
    </x:row>
    <x:row r="942">
      <x:c r="J942" t="n">
        <x:f>IF(AND(ISNUMBER('Results'!B7),ISNUMBER('Results'!C7),ISNUMBER('Results'!$B$8),ISNUMBER('Inputs'!$B$6),ISNUMBER('Inputs'!$B$7),ISNUMBER('Inputs'!$B$8),ISNUMBER('Inputs'!$B$9),ISNUMBER('Inputs'!$B$10),ISNUMBER('Inputs'!$B$21),ISNUMBER('Inputs'!$B$24),ISNUMBER('Inputs'!$B$28)),(('Results'!B7*(0.5*((((942-43)*MAX('Inputs'!$B$33,'Inputs'!$B$29+'Inputs'!$B$31+'Inputs'!$B$32,'Inputs'!$B$30+'Inputs'!$B$31+'Inputs'!$B$32)/1000+'Inputs'!$B$21)+'Inputs'!$B$7)/SQRT((((942-43)*MAX('Inputs'!$B$33,'Inputs'!$B$29+'Inputs'!$B$31+'Inputs'!$B$32,'Inputs'!$B$30+'Inputs'!$B$31+'Inputs'!$B$32)/1000+'Inputs'!$B$21)+'Inputs'!$B$7)^2+('Inputs'!$B$6/2)^2)-(((942-43)*MAX('Inputs'!$B$33,'Inputs'!$B$29+'Inputs'!$B$31+'Inputs'!$B$32,'Inputs'!$B$30+'Inputs'!$B$31+'Inputs'!$B$32)/1000+'Inputs'!$B$21))/SQRT((((942-43)*MAX('Inputs'!$B$33,'Inputs'!$B$29+'Inputs'!$B$31+'Inputs'!$B$32,'Inputs'!$B$30+'Inputs'!$B$31+'Inputs'!$B$32)/1000+'Inputs'!$B$21))^2+('Inputs'!$B$6/2)^2)))-'Results'!C7*(0.5*((((942-43)*MAX('Inputs'!$B$33,'Inputs'!$B$29+'Inputs'!$B$31+'Inputs'!$B$32,'Inputs'!$B$30+'Inputs'!$B$31+'Inputs'!$B$32)/1000+'Inputs'!$B$21+'Inputs'!$B$7+'Inputs'!$B$10)+'Inputs'!$B$9)/SQRT((((942-43)*MAX('Inputs'!$B$33,'Inputs'!$B$29+'Inputs'!$B$31+'Inputs'!$B$32,'Inputs'!$B$30+'Inputs'!$B$31+'Inputs'!$B$32)/1000+'Inputs'!$B$21+'Inputs'!$B$7+'Inputs'!$B$10)+'Inputs'!$B$9)^2+('Inputs'!$B$8/2)^2)-(((942-43)*MAX('Inputs'!$B$33,'Inputs'!$B$29+'Inputs'!$B$31+'Inputs'!$B$32,'Inputs'!$B$30+'Inputs'!$B$31+'Inputs'!$B$32)/1000+'Inputs'!$B$21+'Inputs'!$B$7+'Inputs'!$B$10))/SQRT((((942-43)*MAX('Inputs'!$B$33,'Inputs'!$B$29+'Inputs'!$B$31+'Inputs'!$B$32,'Inputs'!$B$30+'Inputs'!$B$31+'Inputs'!$B$32)/1000+'Inputs'!$B$21+'Inputs'!$B$7+'Inputs'!$B$10))^2+('Inputs'!$B$8/2)^2))))*'Results'!$B$8),"")</x:f>
        <x:v>0.5261859592154874</x:v>
      </x:c>
      <x:c r="K942" t="n">
        <x:f>IF(AND(ISNUMBER('Results'!B7),ISNUMBER('Results'!C7),ISNUMBER('Results'!$B$8),ISNUMBER('Inputs'!$B$6),ISNUMBER('Inputs'!$B$7),ISNUMBER('Inputs'!$B$8),ISNUMBER('Inputs'!$B$9),ISNUMBER('Inputs'!$B$10),ISNUMBER('Inputs'!$B$21),ISNUMBER('Inputs'!$B$24),ISNUMBER('Inputs'!$B$28)),((('Results'!B7*(1-'Inputs'!$B$24)*(0.5*((((942-43)*MAX('Inputs'!$B$33,'Inputs'!$B$29+'Inputs'!$B$31+'Inputs'!$B$32,'Inputs'!$B$30+'Inputs'!$B$31+'Inputs'!$B$32)/1000+'Inputs'!$B$21)+'Inputs'!$B$7)/SQRT((((942-43)*MAX('Inputs'!$B$33,'Inputs'!$B$29+'Inputs'!$B$31+'Inputs'!$B$32,'Inputs'!$B$30+'Inputs'!$B$31+'Inputs'!$B$32)/1000+'Inputs'!$B$21)+'Inputs'!$B$7)^2+('Inputs'!$B$6/2)^2)-(((942-43)*MAX('Inputs'!$B$33,'Inputs'!$B$29+'Inputs'!$B$31+'Inputs'!$B$32,'Inputs'!$B$30+'Inputs'!$B$31+'Inputs'!$B$32)/1000+'Inputs'!$B$21))/SQRT((((942-43)*MAX('Inputs'!$B$33,'Inputs'!$B$29+'Inputs'!$B$31+'Inputs'!$B$32,'Inputs'!$B$30+'Inputs'!$B$31+'Inputs'!$B$32)/1000+'Inputs'!$B$21))^2+('Inputs'!$B$6/2)^2)))-'Results'!C7*(1+'Inputs'!$B$24)*(0.5*((((942-43)*MAX('Inputs'!$B$33,'Inputs'!$B$29+'Inputs'!$B$31+'Inputs'!$B$32,'Inputs'!$B$30+'Inputs'!$B$31+'Inputs'!$B$32)/1000+'Inputs'!$B$21+'Inputs'!$B$7+'Inputs'!$B$10)+'Inputs'!$B$9)/SQRT((((942-43)*MAX('Inputs'!$B$33,'Inputs'!$B$29+'Inputs'!$B$31+'Inputs'!$B$32,'Inputs'!$B$30+'Inputs'!$B$31+'Inputs'!$B$32)/1000+'Inputs'!$B$21+'Inputs'!$B$7+'Inputs'!$B$10)+'Inputs'!$B$9)^2+('Inputs'!$B$8/2)^2)-(((942-43)*MAX('Inputs'!$B$33,'Inputs'!$B$29+'Inputs'!$B$31+'Inputs'!$B$32,'Inputs'!$B$30+'Inputs'!$B$31+'Inputs'!$B$32)/1000+'Inputs'!$B$21+'Inputs'!$B$7+'Inputs'!$B$10))/SQRT((((942-43)*MAX('Inputs'!$B$33,'Inputs'!$B$29+'Inputs'!$B$31+'Inputs'!$B$32,'Inputs'!$B$30+'Inputs'!$B$31+'Inputs'!$B$32)/1000+'Inputs'!$B$21+'Inputs'!$B$7+'Inputs'!$B$10))^2+('Inputs'!$B$8/2)^2))))*'Results'!$B$8)-'Inputs'!$B$28*ABS((('Results'!B7*(1-'Inputs'!$B$24)*(0.5*((((942-43)*MAX('Inputs'!$B$33,'Inputs'!$B$29+'Inputs'!$B$31+'Inputs'!$B$32,'Inputs'!$B$30+'Inputs'!$B$31+'Inputs'!$B$32)/1000+'Inputs'!$B$21)+'Inputs'!$B$7)/SQRT((((942-43)*MAX('Inputs'!$B$33,'Inputs'!$B$29+'Inputs'!$B$31+'Inputs'!$B$32,'Inputs'!$B$30+'Inputs'!$B$31+'Inputs'!$B$32)/1000+'Inputs'!$B$21)+'Inputs'!$B$7)^2+('Inputs'!$B$6/2)^2)-(((942-43)*MAX('Inputs'!$B$33,'Inputs'!$B$29+'Inputs'!$B$31+'Inputs'!$B$32,'Inputs'!$B$30+'Inputs'!$B$31+'Inputs'!$B$32)/1000+'Inputs'!$B$21))/SQRT((((942-43)*MAX('Inputs'!$B$33,'Inputs'!$B$29+'Inputs'!$B$31+'Inputs'!$B$32,'Inputs'!$B$30+'Inputs'!$B$31+'Inputs'!$B$32)/1000+'Inputs'!$B$21))^2+('Inputs'!$B$6/2)^2)))-'Results'!C7*(1+'Inputs'!$B$24)*(0.5*((((942-43)*MAX('Inputs'!$B$33,'Inputs'!$B$29+'Inputs'!$B$31+'Inputs'!$B$32,'Inputs'!$B$30+'Inputs'!$B$31+'Inputs'!$B$32)/1000+'Inputs'!$B$21+'Inputs'!$B$7+'Inputs'!$B$10)+'Inputs'!$B$9)/SQRT((((942-43)*MAX('Inputs'!$B$33,'Inputs'!$B$29+'Inputs'!$B$31+'Inputs'!$B$32,'Inputs'!$B$30+'Inputs'!$B$31+'Inputs'!$B$32)/1000+'Inputs'!$B$21+'Inputs'!$B$7+'Inputs'!$B$10)+'Inputs'!$B$9)^2+('Inputs'!$B$8/2)^2)-(((942-43)*MAX('Inputs'!$B$33,'Inputs'!$B$29+'Inputs'!$B$31+'Inputs'!$B$32,'Inputs'!$B$30+'Inputs'!$B$31+'Inputs'!$B$32)/1000+'Inputs'!$B$21+'Inputs'!$B$7+'Inputs'!$B$10))/SQRT((((942-43)*MAX('Inputs'!$B$33,'Inputs'!$B$29+'Inputs'!$B$31+'Inputs'!$B$32,'Inputs'!$B$30+'Inputs'!$B$31+'Inputs'!$B$32)/1000+'Inputs'!$B$21+'Inputs'!$B$7+'Inputs'!$B$10))^2+('Inputs'!$B$8/2)^2))))*'Results'!$B$8))),"")</x:f>
        <x:v>0.4453538130086203</x:v>
      </x:c>
      <x:c r="L942" t="n">
        <x:f>IF(AND(ISNUMBER('Results'!B7),ISNUMBER('Results'!C7),ISNUMBER('Results'!$B$8),ISNUMBER('Inputs'!$B$6),ISNUMBER('Inputs'!$B$7),ISNUMBER('Inputs'!$B$8),ISNUMBER('Inputs'!$B$9),ISNUMBER('Inputs'!$B$10),ISNUMBER('Inputs'!$B$21),ISNUMBER('Inputs'!$B$24),ISNUMBER('Inputs'!$B$28)),((('Results'!B7*(1+'Inputs'!$B$24)*(0.5*((((942-43)*MAX('Inputs'!$B$33,'Inputs'!$B$29+'Inputs'!$B$31+'Inputs'!$B$32,'Inputs'!$B$30+'Inputs'!$B$31+'Inputs'!$B$32)/1000+'Inputs'!$B$21)+'Inputs'!$B$7)/SQRT((((942-43)*MAX('Inputs'!$B$33,'Inputs'!$B$29+'Inputs'!$B$31+'Inputs'!$B$32,'Inputs'!$B$30+'Inputs'!$B$31+'Inputs'!$B$32)/1000+'Inputs'!$B$21)+'Inputs'!$B$7)^2+('Inputs'!$B$6/2)^2)-(((942-43)*MAX('Inputs'!$B$33,'Inputs'!$B$29+'Inputs'!$B$31+'Inputs'!$B$32,'Inputs'!$B$30+'Inputs'!$B$31+'Inputs'!$B$32)/1000+'Inputs'!$B$21))/SQRT((((942-43)*MAX('Inputs'!$B$33,'Inputs'!$B$29+'Inputs'!$B$31+'Inputs'!$B$32,'Inputs'!$B$30+'Inputs'!$B$31+'Inputs'!$B$32)/1000+'Inputs'!$B$21))^2+('Inputs'!$B$6/2)^2)))-'Results'!C7*(1-'Inputs'!$B$24)*(0.5*((((942-43)*MAX('Inputs'!$B$33,'Inputs'!$B$29+'Inputs'!$B$31+'Inputs'!$B$32,'Inputs'!$B$30+'Inputs'!$B$31+'Inputs'!$B$32)/1000+'Inputs'!$B$21+'Inputs'!$B$7+'Inputs'!$B$10)+'Inputs'!$B$9)/SQRT((((942-43)*MAX('Inputs'!$B$33,'Inputs'!$B$29+'Inputs'!$B$31+'Inputs'!$B$32,'Inputs'!$B$30+'Inputs'!$B$31+'Inputs'!$B$32)/1000+'Inputs'!$B$21+'Inputs'!$B$7+'Inputs'!$B$10)+'Inputs'!$B$9)^2+('Inputs'!$B$8/2)^2)-(((942-43)*MAX('Inputs'!$B$33,'Inputs'!$B$29+'Inputs'!$B$31+'Inputs'!$B$32,'Inputs'!$B$30+'Inputs'!$B$31+'Inputs'!$B$32)/1000+'Inputs'!$B$21+'Inputs'!$B$7+'Inputs'!$B$10))/SQRT((((942-43)*MAX('Inputs'!$B$33,'Inputs'!$B$29+'Inputs'!$B$31+'Inputs'!$B$32,'Inputs'!$B$30+'Inputs'!$B$31+'Inputs'!$B$32)/1000+'Inputs'!$B$21+'Inputs'!$B$7+'Inputs'!$B$10))^2+('Inputs'!$B$8/2)^2))))*'Results'!$B$8)+'Inputs'!$B$28*ABS((('Results'!B7*(1+'Inputs'!$B$24)*(0.5*((((942-43)*MAX('Inputs'!$B$33,'Inputs'!$B$29+'Inputs'!$B$31+'Inputs'!$B$32,'Inputs'!$B$30+'Inputs'!$B$31+'Inputs'!$B$32)/1000+'Inputs'!$B$21)+'Inputs'!$B$7)/SQRT((((942-43)*MAX('Inputs'!$B$33,'Inputs'!$B$29+'Inputs'!$B$31+'Inputs'!$B$32,'Inputs'!$B$30+'Inputs'!$B$31+'Inputs'!$B$32)/1000+'Inputs'!$B$21)+'Inputs'!$B$7)^2+('Inputs'!$B$6/2)^2)-(((942-43)*MAX('Inputs'!$B$33,'Inputs'!$B$29+'Inputs'!$B$31+'Inputs'!$B$32,'Inputs'!$B$30+'Inputs'!$B$31+'Inputs'!$B$32)/1000+'Inputs'!$B$21))/SQRT((((942-43)*MAX('Inputs'!$B$33,'Inputs'!$B$29+'Inputs'!$B$31+'Inputs'!$B$32,'Inputs'!$B$30+'Inputs'!$B$31+'Inputs'!$B$32)/1000+'Inputs'!$B$21))^2+('Inputs'!$B$6/2)^2)))-'Results'!C7*(1-'Inputs'!$B$24)*(0.5*((((942-43)*MAX('Inputs'!$B$33,'Inputs'!$B$29+'Inputs'!$B$31+'Inputs'!$B$32,'Inputs'!$B$30+'Inputs'!$B$31+'Inputs'!$B$32)/1000+'Inputs'!$B$21+'Inputs'!$B$7+'Inputs'!$B$10)+'Inputs'!$B$9)/SQRT((((942-43)*MAX('Inputs'!$B$33,'Inputs'!$B$29+'Inputs'!$B$31+'Inputs'!$B$32,'Inputs'!$B$30+'Inputs'!$B$31+'Inputs'!$B$32)/1000+'Inputs'!$B$21+'Inputs'!$B$7+'Inputs'!$B$10)+'Inputs'!$B$9)^2+('Inputs'!$B$8/2)^2)-(((942-43)*MAX('Inputs'!$B$33,'Inputs'!$B$29+'Inputs'!$B$31+'Inputs'!$B$32,'Inputs'!$B$30+'Inputs'!$B$31+'Inputs'!$B$32)/1000+'Inputs'!$B$21+'Inputs'!$B$7+'Inputs'!$B$10))/SQRT((((942-43)*MAX('Inputs'!$B$33,'Inputs'!$B$29+'Inputs'!$B$31+'Inputs'!$B$32,'Inputs'!$B$30+'Inputs'!$B$31+'Inputs'!$B$32)/1000+'Inputs'!$B$21+'Inputs'!$B$7+'Inputs'!$B$10))^2+('Inputs'!$B$8/2)^2))))*'Results'!$B$8))),"")</x:f>
        <x:v>0.6127573526061534</x:v>
      </x:c>
      <x:c r="M942" t="n">
        <x:f>IF(AND(ISNUMBER('Results'!C7),ISNUMBER('Results'!B7),ISNUMBER('Results'!$B$8),ISNUMBER('Inputs'!$B$6),ISNUMBER('Inputs'!$B$7),ISNUMBER('Inputs'!$B$8),ISNUMBER('Inputs'!$B$9),ISNUMBER('Inputs'!$B$10),ISNUMBER('Inputs'!$B$21),ISNUMBER('Inputs'!$B$24),ISNUMBER('Inputs'!$B$28)),(('Results'!C7*(0.5*((((942-43)*MAX('Inputs'!$B$33,'Inputs'!$B$29+'Inputs'!$B$31+'Inputs'!$B$32,'Inputs'!$B$30+'Inputs'!$B$31+'Inputs'!$B$32)/1000+'Inputs'!$B$21)+'Inputs'!$B$9)/SQRT((((942-43)*MAX('Inputs'!$B$33,'Inputs'!$B$29+'Inputs'!$B$31+'Inputs'!$B$32,'Inputs'!$B$30+'Inputs'!$B$31+'Inputs'!$B$32)/1000+'Inputs'!$B$21)+'Inputs'!$B$9)^2+('Inputs'!$B$8/2)^2)-(((942-43)*MAX('Inputs'!$B$33,'Inputs'!$B$29+'Inputs'!$B$31+'Inputs'!$B$32,'Inputs'!$B$30+'Inputs'!$B$31+'Inputs'!$B$32)/1000+'Inputs'!$B$21))/SQRT((((942-43)*MAX('Inputs'!$B$33,'Inputs'!$B$29+'Inputs'!$B$31+'Inputs'!$B$32,'Inputs'!$B$30+'Inputs'!$B$31+'Inputs'!$B$32)/1000+'Inputs'!$B$21))^2+('Inputs'!$B$8/2)^2)))-'Results'!B7*(0.5*((((942-43)*MAX('Inputs'!$B$33,'Inputs'!$B$29+'Inputs'!$B$31+'Inputs'!$B$32,'Inputs'!$B$30+'Inputs'!$B$31+'Inputs'!$B$32)/1000+'Inputs'!$B$21+'Inputs'!$B$9+'Inputs'!$B$10)+'Inputs'!$B$7)/SQRT((((942-43)*MAX('Inputs'!$B$33,'Inputs'!$B$29+'Inputs'!$B$31+'Inputs'!$B$32,'Inputs'!$B$30+'Inputs'!$B$31+'Inputs'!$B$32)/1000+'Inputs'!$B$21+'Inputs'!$B$9+'Inputs'!$B$10)+'Inputs'!$B$7)^2+('Inputs'!$B$6/2)^2)-(((942-43)*MAX('Inputs'!$B$33,'Inputs'!$B$29+'Inputs'!$B$31+'Inputs'!$B$32,'Inputs'!$B$30+'Inputs'!$B$31+'Inputs'!$B$32)/1000+'Inputs'!$B$21+'Inputs'!$B$9+'Inputs'!$B$10))/SQRT((((942-43)*MAX('Inputs'!$B$33,'Inputs'!$B$29+'Inputs'!$B$31+'Inputs'!$B$32,'Inputs'!$B$30+'Inputs'!$B$31+'Inputs'!$B$32)/1000+'Inputs'!$B$21+'Inputs'!$B$9+'Inputs'!$B$10))^2+('Inputs'!$B$6/2)^2))))*'Results'!$B$8),"")</x:f>
        <x:v>0.46831523479939624</x:v>
      </x:c>
      <x:c r="N942" t="n">
        <x:f>IF(AND(ISNUMBER('Results'!C7),ISNUMBER('Results'!B7),ISNUMBER('Results'!$B$8),ISNUMBER('Inputs'!$B$6),ISNUMBER('Inputs'!$B$7),ISNUMBER('Inputs'!$B$8),ISNUMBER('Inputs'!$B$9),ISNUMBER('Inputs'!$B$10),ISNUMBER('Inputs'!$B$21),ISNUMBER('Inputs'!$B$24),ISNUMBER('Inputs'!$B$28)),((('Results'!C7*(1-'Inputs'!$B$24)*(0.5*((((942-43)*MAX('Inputs'!$B$33,'Inputs'!$B$29+'Inputs'!$B$31+'Inputs'!$B$32,'Inputs'!$B$30+'Inputs'!$B$31+'Inputs'!$B$32)/1000+'Inputs'!$B$21)+'Inputs'!$B$9)/SQRT((((942-43)*MAX('Inputs'!$B$33,'Inputs'!$B$29+'Inputs'!$B$31+'Inputs'!$B$32,'Inputs'!$B$30+'Inputs'!$B$31+'Inputs'!$B$32)/1000+'Inputs'!$B$21)+'Inputs'!$B$9)^2+('Inputs'!$B$8/2)^2)-(((942-43)*MAX('Inputs'!$B$33,'Inputs'!$B$29+'Inputs'!$B$31+'Inputs'!$B$32,'Inputs'!$B$30+'Inputs'!$B$31+'Inputs'!$B$32)/1000+'Inputs'!$B$21))/SQRT((((942-43)*MAX('Inputs'!$B$33,'Inputs'!$B$29+'Inputs'!$B$31+'Inputs'!$B$32,'Inputs'!$B$30+'Inputs'!$B$31+'Inputs'!$B$32)/1000+'Inputs'!$B$21))^2+('Inputs'!$B$8/2)^2)))-'Results'!B7*(1+'Inputs'!$B$24)*(0.5*((((942-43)*MAX('Inputs'!$B$33,'Inputs'!$B$29+'Inputs'!$B$31+'Inputs'!$B$32,'Inputs'!$B$30+'Inputs'!$B$31+'Inputs'!$B$32)/1000+'Inputs'!$B$21+'Inputs'!$B$9+'Inputs'!$B$10)+'Inputs'!$B$7)/SQRT((((942-43)*MAX('Inputs'!$B$33,'Inputs'!$B$29+'Inputs'!$B$31+'Inputs'!$B$32,'Inputs'!$B$30+'Inputs'!$B$31+'Inputs'!$B$32)/1000+'Inputs'!$B$21+'Inputs'!$B$9+'Inputs'!$B$10)+'Inputs'!$B$7)^2+('Inputs'!$B$6/2)^2)-(((942-43)*MAX('Inputs'!$B$33,'Inputs'!$B$29+'Inputs'!$B$31+'Inputs'!$B$32,'Inputs'!$B$30+'Inputs'!$B$31+'Inputs'!$B$32)/1000+'Inputs'!$B$21+'Inputs'!$B$9+'Inputs'!$B$10))/SQRT((((942-43)*MAX('Inputs'!$B$33,'Inputs'!$B$29+'Inputs'!$B$31+'Inputs'!$B$32,'Inputs'!$B$30+'Inputs'!$B$31+'Inputs'!$B$32)/1000+'Inputs'!$B$21+'Inputs'!$B$9+'Inputs'!$B$10))^2+('Inputs'!$B$6/2)^2))))*'Results'!$B$8)-'Inputs'!$B$28*ABS((('Results'!C7*(1-'Inputs'!$B$24)*(0.5*((((942-43)*MAX('Inputs'!$B$33,'Inputs'!$B$29+'Inputs'!$B$31+'Inputs'!$B$32,'Inputs'!$B$30+'Inputs'!$B$31+'Inputs'!$B$32)/1000+'Inputs'!$B$21)+'Inputs'!$B$9)/SQRT((((942-43)*MAX('Inputs'!$B$33,'Inputs'!$B$29+'Inputs'!$B$31+'Inputs'!$B$32,'Inputs'!$B$30+'Inputs'!$B$31+'Inputs'!$B$32)/1000+'Inputs'!$B$21)+'Inputs'!$B$9)^2+('Inputs'!$B$8/2)^2)-(((942-43)*MAX('Inputs'!$B$33,'Inputs'!$B$29+'Inputs'!$B$31+'Inputs'!$B$32,'Inputs'!$B$30+'Inputs'!$B$31+'Inputs'!$B$32)/1000+'Inputs'!$B$21))/SQRT((((942-43)*MAX('Inputs'!$B$33,'Inputs'!$B$29+'Inputs'!$B$31+'Inputs'!$B$32,'Inputs'!$B$30+'Inputs'!$B$31+'Inputs'!$B$32)/1000+'Inputs'!$B$21))^2+('Inputs'!$B$8/2)^2)))-'Results'!B7*(1+'Inputs'!$B$24)*(0.5*((((942-43)*MAX('Inputs'!$B$33,'Inputs'!$B$29+'Inputs'!$B$31+'Inputs'!$B$32,'Inputs'!$B$30+'Inputs'!$B$31+'Inputs'!$B$32)/1000+'Inputs'!$B$21+'Inputs'!$B$9+'Inputs'!$B$10)+'Inputs'!$B$7)/SQRT((((942-43)*MAX('Inputs'!$B$33,'Inputs'!$B$29+'Inputs'!$B$31+'Inputs'!$B$32,'Inputs'!$B$30+'Inputs'!$B$31+'Inputs'!$B$32)/1000+'Inputs'!$B$21+'Inputs'!$B$9+'Inputs'!$B$10)+'Inputs'!$B$7)^2+('Inputs'!$B$6/2)^2)-(((942-43)*MAX('Inputs'!$B$33,'Inputs'!$B$29+'Inputs'!$B$31+'Inputs'!$B$32,'Inputs'!$B$30+'Inputs'!$B$31+'Inputs'!$B$32)/1000+'Inputs'!$B$21+'Inputs'!$B$9+'Inputs'!$B$10))/SQRT((((942-43)*MAX('Inputs'!$B$33,'Inputs'!$B$29+'Inputs'!$B$31+'Inputs'!$B$32,'Inputs'!$B$30+'Inputs'!$B$31+'Inputs'!$B$32)/1000+'Inputs'!$B$21+'Inputs'!$B$9+'Inputs'!$B$10))^2+('Inputs'!$B$6/2)^2))))*'Results'!$B$8))),"")</x:f>
        <x:v>0.3905674886788519</x:v>
      </x:c>
      <x:c r="O942" t="n">
        <x:f>IF(AND(ISNUMBER('Results'!C7),ISNUMBER('Results'!B7),ISNUMBER('Results'!$B$8),ISNUMBER('Inputs'!$B$6),ISNUMBER('Inputs'!$B$7),ISNUMBER('Inputs'!$B$8),ISNUMBER('Inputs'!$B$9),ISNUMBER('Inputs'!$B$10),ISNUMBER('Inputs'!$B$21),ISNUMBER('Inputs'!$B$24),ISNUMBER('Inputs'!$B$28)),((('Results'!C7*(1+'Inputs'!$B$24)*(0.5*((((942-43)*MAX('Inputs'!$B$33,'Inputs'!$B$29+'Inputs'!$B$31+'Inputs'!$B$32,'Inputs'!$B$30+'Inputs'!$B$31+'Inputs'!$B$32)/1000+'Inputs'!$B$21)+'Inputs'!$B$9)/SQRT((((942-43)*MAX('Inputs'!$B$33,'Inputs'!$B$29+'Inputs'!$B$31+'Inputs'!$B$32,'Inputs'!$B$30+'Inputs'!$B$31+'Inputs'!$B$32)/1000+'Inputs'!$B$21)+'Inputs'!$B$9)^2+('Inputs'!$B$8/2)^2)-(((942-43)*MAX('Inputs'!$B$33,'Inputs'!$B$29+'Inputs'!$B$31+'Inputs'!$B$32,'Inputs'!$B$30+'Inputs'!$B$31+'Inputs'!$B$32)/1000+'Inputs'!$B$21))/SQRT((((942-43)*MAX('Inputs'!$B$33,'Inputs'!$B$29+'Inputs'!$B$31+'Inputs'!$B$32,'Inputs'!$B$30+'Inputs'!$B$31+'Inputs'!$B$32)/1000+'Inputs'!$B$21))^2+('Inputs'!$B$8/2)^2)))-'Results'!B7*(1-'Inputs'!$B$24)*(0.5*((((942-43)*MAX('Inputs'!$B$33,'Inputs'!$B$29+'Inputs'!$B$31+'Inputs'!$B$32,'Inputs'!$B$30+'Inputs'!$B$31+'Inputs'!$B$32)/1000+'Inputs'!$B$21+'Inputs'!$B$9+'Inputs'!$B$10)+'Inputs'!$B$7)/SQRT((((942-43)*MAX('Inputs'!$B$33,'Inputs'!$B$29+'Inputs'!$B$31+'Inputs'!$B$32,'Inputs'!$B$30+'Inputs'!$B$31+'Inputs'!$B$32)/1000+'Inputs'!$B$21+'Inputs'!$B$9+'Inputs'!$B$10)+'Inputs'!$B$7)^2+('Inputs'!$B$6/2)^2)-(((942-43)*MAX('Inputs'!$B$33,'Inputs'!$B$29+'Inputs'!$B$31+'Inputs'!$B$32,'Inputs'!$B$30+'Inputs'!$B$31+'Inputs'!$B$32)/1000+'Inputs'!$B$21+'Inputs'!$B$9+'Inputs'!$B$10))/SQRT((((942-43)*MAX('Inputs'!$B$33,'Inputs'!$B$29+'Inputs'!$B$31+'Inputs'!$B$32,'Inputs'!$B$30+'Inputs'!$B$31+'Inputs'!$B$32)/1000+'Inputs'!$B$21+'Inputs'!$B$9+'Inputs'!$B$10))^2+('Inputs'!$B$6/2)^2))))*'Results'!$B$8)+'Inputs'!$B$28*ABS((('Results'!C7*(1+'Inputs'!$B$24)*(0.5*((((942-43)*MAX('Inputs'!$B$33,'Inputs'!$B$29+'Inputs'!$B$31+'Inputs'!$B$32,'Inputs'!$B$30+'Inputs'!$B$31+'Inputs'!$B$32)/1000+'Inputs'!$B$21)+'Inputs'!$B$9)/SQRT((((942-43)*MAX('Inputs'!$B$33,'Inputs'!$B$29+'Inputs'!$B$31+'Inputs'!$B$32,'Inputs'!$B$30+'Inputs'!$B$31+'Inputs'!$B$32)/1000+'Inputs'!$B$21)+'Inputs'!$B$9)^2+('Inputs'!$B$8/2)^2)-(((942-43)*MAX('Inputs'!$B$33,'Inputs'!$B$29+'Inputs'!$B$31+'Inputs'!$B$32,'Inputs'!$B$30+'Inputs'!$B$31+'Inputs'!$B$32)/1000+'Inputs'!$B$21))/SQRT((((942-43)*MAX('Inputs'!$B$33,'Inputs'!$B$29+'Inputs'!$B$31+'Inputs'!$B$32,'Inputs'!$B$30+'Inputs'!$B$31+'Inputs'!$B$32)/1000+'Inputs'!$B$21))^2+('Inputs'!$B$8/2)^2)))-'Results'!B7*(1-'Inputs'!$B$24)*(0.5*((((942-43)*MAX('Inputs'!$B$33,'Inputs'!$B$29+'Inputs'!$B$31+'Inputs'!$B$32,'Inputs'!$B$30+'Inputs'!$B$31+'Inputs'!$B$32)/1000+'Inputs'!$B$21+'Inputs'!$B$9+'Inputs'!$B$10)+'Inputs'!$B$7)/SQRT((((942-43)*MAX('Inputs'!$B$33,'Inputs'!$B$29+'Inputs'!$B$31+'Inputs'!$B$32,'Inputs'!$B$30+'Inputs'!$B$31+'Inputs'!$B$32)/1000+'Inputs'!$B$21+'Inputs'!$B$9+'Inputs'!$B$10)+'Inputs'!$B$7)^2+('Inputs'!$B$6/2)^2)-(((942-43)*MAX('Inputs'!$B$33,'Inputs'!$B$29+'Inputs'!$B$31+'Inputs'!$B$32,'Inputs'!$B$30+'Inputs'!$B$31+'Inputs'!$B$32)/1000+'Inputs'!$B$21+'Inputs'!$B$9+'Inputs'!$B$10))/SQRT((((942-43)*MAX('Inputs'!$B$33,'Inputs'!$B$29+'Inputs'!$B$31+'Inputs'!$B$32,'Inputs'!$B$30+'Inputs'!$B$31+'Inputs'!$B$32)/1000+'Inputs'!$B$21+'Inputs'!$B$9+'Inputs'!$B$10))^2+('Inputs'!$B$6/2)^2))))*'Results'!$B$8))),"")</x:f>
        <x:v>0.5517821371705276</x:v>
      </x:c>
      <x:c r="P942" t="n">
        <x:f>IF(AND(MAX(J942,J941)&gt;0,J942&gt;J941+0.00000001),1,0)</x:f>
        <x:v>0</x:v>
      </x:c>
      <x:c r="Q942" t="n">
        <x:f>IF(AND(MAX(K942,K941)&gt;0,K942&gt;K941+0.00000001),1,0)</x:f>
        <x:v>0</x:v>
      </x:c>
      <x:c r="R942" t="n">
        <x:f>IF(AND(MAX(L942,L941)&gt;0,L942&gt;L941+0.00000001),1,0)</x:f>
        <x:v>0</x:v>
      </x:c>
      <x:c r="S942" t="n">
        <x:f>IF(AND(MAX(M942,M941)&gt;0,M942&gt;M941+0.00000001),1,0)</x:f>
        <x:v>0</x:v>
      </x:c>
      <x:c r="T942" t="n">
        <x:f>IF(AND(MAX(N942,N941)&gt;0,N942&gt;N941+0.00000001),1,0)</x:f>
        <x:v>0</x:v>
      </x:c>
      <x:c r="U942" t="n">
        <x:f>IF(AND(MAX(O942,O941)&gt;0,O942&gt;O941+0.00000001),1,0)</x:f>
        <x:v>0</x:v>
      </x:c>
    </x:row>
    <x:row r="943">
      <x:c r="J943" t="n">
        <x:f>IF(AND(ISNUMBER('Results'!B7),ISNUMBER('Results'!C7),ISNUMBER('Results'!$B$8),ISNUMBER('Inputs'!$B$6),ISNUMBER('Inputs'!$B$7),ISNUMBER('Inputs'!$B$8),ISNUMBER('Inputs'!$B$9),ISNUMBER('Inputs'!$B$10),ISNUMBER('Inputs'!$B$21),ISNUMBER('Inputs'!$B$24),ISNUMBER('Inputs'!$B$28)),(('Results'!B7*(0.5*((((943-43)*MAX('Inputs'!$B$33,'Inputs'!$B$29+'Inputs'!$B$31+'Inputs'!$B$32,'Inputs'!$B$30+'Inputs'!$B$31+'Inputs'!$B$32)/1000+'Inputs'!$B$21)+'Inputs'!$B$7)/SQRT((((943-43)*MAX('Inputs'!$B$33,'Inputs'!$B$29+'Inputs'!$B$31+'Inputs'!$B$32,'Inputs'!$B$30+'Inputs'!$B$31+'Inputs'!$B$32)/1000+'Inputs'!$B$21)+'Inputs'!$B$7)^2+('Inputs'!$B$6/2)^2)-(((943-43)*MAX('Inputs'!$B$33,'Inputs'!$B$29+'Inputs'!$B$31+'Inputs'!$B$32,'Inputs'!$B$30+'Inputs'!$B$31+'Inputs'!$B$32)/1000+'Inputs'!$B$21))/SQRT((((943-43)*MAX('Inputs'!$B$33,'Inputs'!$B$29+'Inputs'!$B$31+'Inputs'!$B$32,'Inputs'!$B$30+'Inputs'!$B$31+'Inputs'!$B$32)/1000+'Inputs'!$B$21))^2+('Inputs'!$B$6/2)^2)))-'Results'!C7*(0.5*((((943-43)*MAX('Inputs'!$B$33,'Inputs'!$B$29+'Inputs'!$B$31+'Inputs'!$B$32,'Inputs'!$B$30+'Inputs'!$B$31+'Inputs'!$B$32)/1000+'Inputs'!$B$21+'Inputs'!$B$7+'Inputs'!$B$10)+'Inputs'!$B$9)/SQRT((((943-43)*MAX('Inputs'!$B$33,'Inputs'!$B$29+'Inputs'!$B$31+'Inputs'!$B$32,'Inputs'!$B$30+'Inputs'!$B$31+'Inputs'!$B$32)/1000+'Inputs'!$B$21+'Inputs'!$B$7+'Inputs'!$B$10)+'Inputs'!$B$9)^2+('Inputs'!$B$8/2)^2)-(((943-43)*MAX('Inputs'!$B$33,'Inputs'!$B$29+'Inputs'!$B$31+'Inputs'!$B$32,'Inputs'!$B$30+'Inputs'!$B$31+'Inputs'!$B$32)/1000+'Inputs'!$B$21+'Inputs'!$B$7+'Inputs'!$B$10))/SQRT((((943-43)*MAX('Inputs'!$B$33,'Inputs'!$B$29+'Inputs'!$B$31+'Inputs'!$B$32,'Inputs'!$B$30+'Inputs'!$B$31+'Inputs'!$B$32)/1000+'Inputs'!$B$21+'Inputs'!$B$7+'Inputs'!$B$10))^2+('Inputs'!$B$8/2)^2))))*'Results'!$B$8),"")</x:f>
        <x:v>0.5240682416427578</x:v>
      </x:c>
      <x:c r="K943" t="n">
        <x:f>IF(AND(ISNUMBER('Results'!B7),ISNUMBER('Results'!C7),ISNUMBER('Results'!$B$8),ISNUMBER('Inputs'!$B$6),ISNUMBER('Inputs'!$B$7),ISNUMBER('Inputs'!$B$8),ISNUMBER('Inputs'!$B$9),ISNUMBER('Inputs'!$B$10),ISNUMBER('Inputs'!$B$21),ISNUMBER('Inputs'!$B$24),ISNUMBER('Inputs'!$B$28)),((('Results'!B7*(1-'Inputs'!$B$24)*(0.5*((((943-43)*MAX('Inputs'!$B$33,'Inputs'!$B$29+'Inputs'!$B$31+'Inputs'!$B$32,'Inputs'!$B$30+'Inputs'!$B$31+'Inputs'!$B$32)/1000+'Inputs'!$B$21)+'Inputs'!$B$7)/SQRT((((943-43)*MAX('Inputs'!$B$33,'Inputs'!$B$29+'Inputs'!$B$31+'Inputs'!$B$32,'Inputs'!$B$30+'Inputs'!$B$31+'Inputs'!$B$32)/1000+'Inputs'!$B$21)+'Inputs'!$B$7)^2+('Inputs'!$B$6/2)^2)-(((943-43)*MAX('Inputs'!$B$33,'Inputs'!$B$29+'Inputs'!$B$31+'Inputs'!$B$32,'Inputs'!$B$30+'Inputs'!$B$31+'Inputs'!$B$32)/1000+'Inputs'!$B$21))/SQRT((((943-43)*MAX('Inputs'!$B$33,'Inputs'!$B$29+'Inputs'!$B$31+'Inputs'!$B$32,'Inputs'!$B$30+'Inputs'!$B$31+'Inputs'!$B$32)/1000+'Inputs'!$B$21))^2+('Inputs'!$B$6/2)^2)))-'Results'!C7*(1+'Inputs'!$B$24)*(0.5*((((943-43)*MAX('Inputs'!$B$33,'Inputs'!$B$29+'Inputs'!$B$31+'Inputs'!$B$32,'Inputs'!$B$30+'Inputs'!$B$31+'Inputs'!$B$32)/1000+'Inputs'!$B$21+'Inputs'!$B$7+'Inputs'!$B$10)+'Inputs'!$B$9)/SQRT((((943-43)*MAX('Inputs'!$B$33,'Inputs'!$B$29+'Inputs'!$B$31+'Inputs'!$B$32,'Inputs'!$B$30+'Inputs'!$B$31+'Inputs'!$B$32)/1000+'Inputs'!$B$21+'Inputs'!$B$7+'Inputs'!$B$10)+'Inputs'!$B$9)^2+('Inputs'!$B$8/2)^2)-(((943-43)*MAX('Inputs'!$B$33,'Inputs'!$B$29+'Inputs'!$B$31+'Inputs'!$B$32,'Inputs'!$B$30+'Inputs'!$B$31+'Inputs'!$B$32)/1000+'Inputs'!$B$21+'Inputs'!$B$7+'Inputs'!$B$10))/SQRT((((943-43)*MAX('Inputs'!$B$33,'Inputs'!$B$29+'Inputs'!$B$31+'Inputs'!$B$32,'Inputs'!$B$30+'Inputs'!$B$31+'Inputs'!$B$32)/1000+'Inputs'!$B$21+'Inputs'!$B$7+'Inputs'!$B$10))^2+('Inputs'!$B$8/2)^2))))*'Results'!$B$8)-'Inputs'!$B$28*ABS((('Results'!B7*(1-'Inputs'!$B$24)*(0.5*((((943-43)*MAX('Inputs'!$B$33,'Inputs'!$B$29+'Inputs'!$B$31+'Inputs'!$B$32,'Inputs'!$B$30+'Inputs'!$B$31+'Inputs'!$B$32)/1000+'Inputs'!$B$21)+'Inputs'!$B$7)/SQRT((((943-43)*MAX('Inputs'!$B$33,'Inputs'!$B$29+'Inputs'!$B$31+'Inputs'!$B$32,'Inputs'!$B$30+'Inputs'!$B$31+'Inputs'!$B$32)/1000+'Inputs'!$B$21)+'Inputs'!$B$7)^2+('Inputs'!$B$6/2)^2)-(((943-43)*MAX('Inputs'!$B$33,'Inputs'!$B$29+'Inputs'!$B$31+'Inputs'!$B$32,'Inputs'!$B$30+'Inputs'!$B$31+'Inputs'!$B$32)/1000+'Inputs'!$B$21))/SQRT((((943-43)*MAX('Inputs'!$B$33,'Inputs'!$B$29+'Inputs'!$B$31+'Inputs'!$B$32,'Inputs'!$B$30+'Inputs'!$B$31+'Inputs'!$B$32)/1000+'Inputs'!$B$21))^2+('Inputs'!$B$6/2)^2)))-'Results'!C7*(1+'Inputs'!$B$24)*(0.5*((((943-43)*MAX('Inputs'!$B$33,'Inputs'!$B$29+'Inputs'!$B$31+'Inputs'!$B$32,'Inputs'!$B$30+'Inputs'!$B$31+'Inputs'!$B$32)/1000+'Inputs'!$B$21+'Inputs'!$B$7+'Inputs'!$B$10)+'Inputs'!$B$9)/SQRT((((943-43)*MAX('Inputs'!$B$33,'Inputs'!$B$29+'Inputs'!$B$31+'Inputs'!$B$32,'Inputs'!$B$30+'Inputs'!$B$31+'Inputs'!$B$32)/1000+'Inputs'!$B$21+'Inputs'!$B$7+'Inputs'!$B$10)+'Inputs'!$B$9)^2+('Inputs'!$B$8/2)^2)-(((943-43)*MAX('Inputs'!$B$33,'Inputs'!$B$29+'Inputs'!$B$31+'Inputs'!$B$32,'Inputs'!$B$30+'Inputs'!$B$31+'Inputs'!$B$32)/1000+'Inputs'!$B$21+'Inputs'!$B$7+'Inputs'!$B$10))/SQRT((((943-43)*MAX('Inputs'!$B$33,'Inputs'!$B$29+'Inputs'!$B$31+'Inputs'!$B$32,'Inputs'!$B$30+'Inputs'!$B$31+'Inputs'!$B$32)/1000+'Inputs'!$B$21+'Inputs'!$B$7+'Inputs'!$B$10))^2+('Inputs'!$B$8/2)^2))))*'Results'!$B$8))),"")</x:f>
        <x:v>0.4435105176113522</x:v>
      </x:c>
      <x:c r="L943" t="n">
        <x:f>IF(AND(ISNUMBER('Results'!B7),ISNUMBER('Results'!C7),ISNUMBER('Results'!$B$8),ISNUMBER('Inputs'!$B$6),ISNUMBER('Inputs'!$B$7),ISNUMBER('Inputs'!$B$8),ISNUMBER('Inputs'!$B$9),ISNUMBER('Inputs'!$B$10),ISNUMBER('Inputs'!$B$21),ISNUMBER('Inputs'!$B$24),ISNUMBER('Inputs'!$B$28)),((('Results'!B7*(1+'Inputs'!$B$24)*(0.5*((((943-43)*MAX('Inputs'!$B$33,'Inputs'!$B$29+'Inputs'!$B$31+'Inputs'!$B$32,'Inputs'!$B$30+'Inputs'!$B$31+'Inputs'!$B$32)/1000+'Inputs'!$B$21)+'Inputs'!$B$7)/SQRT((((943-43)*MAX('Inputs'!$B$33,'Inputs'!$B$29+'Inputs'!$B$31+'Inputs'!$B$32,'Inputs'!$B$30+'Inputs'!$B$31+'Inputs'!$B$32)/1000+'Inputs'!$B$21)+'Inputs'!$B$7)^2+('Inputs'!$B$6/2)^2)-(((943-43)*MAX('Inputs'!$B$33,'Inputs'!$B$29+'Inputs'!$B$31+'Inputs'!$B$32,'Inputs'!$B$30+'Inputs'!$B$31+'Inputs'!$B$32)/1000+'Inputs'!$B$21))/SQRT((((943-43)*MAX('Inputs'!$B$33,'Inputs'!$B$29+'Inputs'!$B$31+'Inputs'!$B$32,'Inputs'!$B$30+'Inputs'!$B$31+'Inputs'!$B$32)/1000+'Inputs'!$B$21))^2+('Inputs'!$B$6/2)^2)))-'Results'!C7*(1-'Inputs'!$B$24)*(0.5*((((943-43)*MAX('Inputs'!$B$33,'Inputs'!$B$29+'Inputs'!$B$31+'Inputs'!$B$32,'Inputs'!$B$30+'Inputs'!$B$31+'Inputs'!$B$32)/1000+'Inputs'!$B$21+'Inputs'!$B$7+'Inputs'!$B$10)+'Inputs'!$B$9)/SQRT((((943-43)*MAX('Inputs'!$B$33,'Inputs'!$B$29+'Inputs'!$B$31+'Inputs'!$B$32,'Inputs'!$B$30+'Inputs'!$B$31+'Inputs'!$B$32)/1000+'Inputs'!$B$21+'Inputs'!$B$7+'Inputs'!$B$10)+'Inputs'!$B$9)^2+('Inputs'!$B$8/2)^2)-(((943-43)*MAX('Inputs'!$B$33,'Inputs'!$B$29+'Inputs'!$B$31+'Inputs'!$B$32,'Inputs'!$B$30+'Inputs'!$B$31+'Inputs'!$B$32)/1000+'Inputs'!$B$21+'Inputs'!$B$7+'Inputs'!$B$10))/SQRT((((943-43)*MAX('Inputs'!$B$33,'Inputs'!$B$29+'Inputs'!$B$31+'Inputs'!$B$32,'Inputs'!$B$30+'Inputs'!$B$31+'Inputs'!$B$32)/1000+'Inputs'!$B$21+'Inputs'!$B$7+'Inputs'!$B$10))^2+('Inputs'!$B$8/2)^2))))*'Results'!$B$8)+'Inputs'!$B$28*ABS((('Results'!B7*(1+'Inputs'!$B$24)*(0.5*((((943-43)*MAX('Inputs'!$B$33,'Inputs'!$B$29+'Inputs'!$B$31+'Inputs'!$B$32,'Inputs'!$B$30+'Inputs'!$B$31+'Inputs'!$B$32)/1000+'Inputs'!$B$21)+'Inputs'!$B$7)/SQRT((((943-43)*MAX('Inputs'!$B$33,'Inputs'!$B$29+'Inputs'!$B$31+'Inputs'!$B$32,'Inputs'!$B$30+'Inputs'!$B$31+'Inputs'!$B$32)/1000+'Inputs'!$B$21)+'Inputs'!$B$7)^2+('Inputs'!$B$6/2)^2)-(((943-43)*MAX('Inputs'!$B$33,'Inputs'!$B$29+'Inputs'!$B$31+'Inputs'!$B$32,'Inputs'!$B$30+'Inputs'!$B$31+'Inputs'!$B$32)/1000+'Inputs'!$B$21))/SQRT((((943-43)*MAX('Inputs'!$B$33,'Inputs'!$B$29+'Inputs'!$B$31+'Inputs'!$B$32,'Inputs'!$B$30+'Inputs'!$B$31+'Inputs'!$B$32)/1000+'Inputs'!$B$21))^2+('Inputs'!$B$6/2)^2)))-'Results'!C7*(1-'Inputs'!$B$24)*(0.5*((((943-43)*MAX('Inputs'!$B$33,'Inputs'!$B$29+'Inputs'!$B$31+'Inputs'!$B$32,'Inputs'!$B$30+'Inputs'!$B$31+'Inputs'!$B$32)/1000+'Inputs'!$B$21+'Inputs'!$B$7+'Inputs'!$B$10)+'Inputs'!$B$9)/SQRT((((943-43)*MAX('Inputs'!$B$33,'Inputs'!$B$29+'Inputs'!$B$31+'Inputs'!$B$32,'Inputs'!$B$30+'Inputs'!$B$31+'Inputs'!$B$32)/1000+'Inputs'!$B$21+'Inputs'!$B$7+'Inputs'!$B$10)+'Inputs'!$B$9)^2+('Inputs'!$B$8/2)^2)-(((943-43)*MAX('Inputs'!$B$33,'Inputs'!$B$29+'Inputs'!$B$31+'Inputs'!$B$32,'Inputs'!$B$30+'Inputs'!$B$31+'Inputs'!$B$32)/1000+'Inputs'!$B$21+'Inputs'!$B$7+'Inputs'!$B$10))/SQRT((((943-43)*MAX('Inputs'!$B$33,'Inputs'!$B$29+'Inputs'!$B$31+'Inputs'!$B$32,'Inputs'!$B$30+'Inputs'!$B$31+'Inputs'!$B$32)/1000+'Inputs'!$B$21+'Inputs'!$B$7+'Inputs'!$B$10))^2+('Inputs'!$B$8/2)^2))))*'Results'!$B$8))),"")</x:f>
        <x:v>0.6103474721951391</x:v>
      </x:c>
      <x:c r="M943" t="n">
        <x:f>IF(AND(ISNUMBER('Results'!C7),ISNUMBER('Results'!B7),ISNUMBER('Results'!$B$8),ISNUMBER('Inputs'!$B$6),ISNUMBER('Inputs'!$B$7),ISNUMBER('Inputs'!$B$8),ISNUMBER('Inputs'!$B$9),ISNUMBER('Inputs'!$B$10),ISNUMBER('Inputs'!$B$21),ISNUMBER('Inputs'!$B$24),ISNUMBER('Inputs'!$B$28)),(('Results'!C7*(0.5*((((943-43)*MAX('Inputs'!$B$33,'Inputs'!$B$29+'Inputs'!$B$31+'Inputs'!$B$32,'Inputs'!$B$30+'Inputs'!$B$31+'Inputs'!$B$32)/1000+'Inputs'!$B$21)+'Inputs'!$B$9)/SQRT((((943-43)*MAX('Inputs'!$B$33,'Inputs'!$B$29+'Inputs'!$B$31+'Inputs'!$B$32,'Inputs'!$B$30+'Inputs'!$B$31+'Inputs'!$B$32)/1000+'Inputs'!$B$21)+'Inputs'!$B$9)^2+('Inputs'!$B$8/2)^2)-(((943-43)*MAX('Inputs'!$B$33,'Inputs'!$B$29+'Inputs'!$B$31+'Inputs'!$B$32,'Inputs'!$B$30+'Inputs'!$B$31+'Inputs'!$B$32)/1000+'Inputs'!$B$21))/SQRT((((943-43)*MAX('Inputs'!$B$33,'Inputs'!$B$29+'Inputs'!$B$31+'Inputs'!$B$32,'Inputs'!$B$30+'Inputs'!$B$31+'Inputs'!$B$32)/1000+'Inputs'!$B$21))^2+('Inputs'!$B$8/2)^2)))-'Results'!B7*(0.5*((((943-43)*MAX('Inputs'!$B$33,'Inputs'!$B$29+'Inputs'!$B$31+'Inputs'!$B$32,'Inputs'!$B$30+'Inputs'!$B$31+'Inputs'!$B$32)/1000+'Inputs'!$B$21+'Inputs'!$B$9+'Inputs'!$B$10)+'Inputs'!$B$7)/SQRT((((943-43)*MAX('Inputs'!$B$33,'Inputs'!$B$29+'Inputs'!$B$31+'Inputs'!$B$32,'Inputs'!$B$30+'Inputs'!$B$31+'Inputs'!$B$32)/1000+'Inputs'!$B$21+'Inputs'!$B$9+'Inputs'!$B$10)+'Inputs'!$B$7)^2+('Inputs'!$B$6/2)^2)-(((943-43)*MAX('Inputs'!$B$33,'Inputs'!$B$29+'Inputs'!$B$31+'Inputs'!$B$32,'Inputs'!$B$30+'Inputs'!$B$31+'Inputs'!$B$32)/1000+'Inputs'!$B$21+'Inputs'!$B$9+'Inputs'!$B$10))/SQRT((((943-43)*MAX('Inputs'!$B$33,'Inputs'!$B$29+'Inputs'!$B$31+'Inputs'!$B$32,'Inputs'!$B$30+'Inputs'!$B$31+'Inputs'!$B$32)/1000+'Inputs'!$B$21+'Inputs'!$B$9+'Inputs'!$B$10))^2+('Inputs'!$B$6/2)^2))))*'Results'!$B$8),"")</x:f>
        <x:v>0.4663763019393606</x:v>
      </x:c>
      <x:c r="N943" t="n">
        <x:f>IF(AND(ISNUMBER('Results'!C7),ISNUMBER('Results'!B7),ISNUMBER('Results'!$B$8),ISNUMBER('Inputs'!$B$6),ISNUMBER('Inputs'!$B$7),ISNUMBER('Inputs'!$B$8),ISNUMBER('Inputs'!$B$9),ISNUMBER('Inputs'!$B$10),ISNUMBER('Inputs'!$B$21),ISNUMBER('Inputs'!$B$24),ISNUMBER('Inputs'!$B$28)),((('Results'!C7*(1-'Inputs'!$B$24)*(0.5*((((943-43)*MAX('Inputs'!$B$33,'Inputs'!$B$29+'Inputs'!$B$31+'Inputs'!$B$32,'Inputs'!$B$30+'Inputs'!$B$31+'Inputs'!$B$32)/1000+'Inputs'!$B$21)+'Inputs'!$B$9)/SQRT((((943-43)*MAX('Inputs'!$B$33,'Inputs'!$B$29+'Inputs'!$B$31+'Inputs'!$B$32,'Inputs'!$B$30+'Inputs'!$B$31+'Inputs'!$B$32)/1000+'Inputs'!$B$21)+'Inputs'!$B$9)^2+('Inputs'!$B$8/2)^2)-(((943-43)*MAX('Inputs'!$B$33,'Inputs'!$B$29+'Inputs'!$B$31+'Inputs'!$B$32,'Inputs'!$B$30+'Inputs'!$B$31+'Inputs'!$B$32)/1000+'Inputs'!$B$21))/SQRT((((943-43)*MAX('Inputs'!$B$33,'Inputs'!$B$29+'Inputs'!$B$31+'Inputs'!$B$32,'Inputs'!$B$30+'Inputs'!$B$31+'Inputs'!$B$32)/1000+'Inputs'!$B$21))^2+('Inputs'!$B$8/2)^2)))-'Results'!B7*(1+'Inputs'!$B$24)*(0.5*((((943-43)*MAX('Inputs'!$B$33,'Inputs'!$B$29+'Inputs'!$B$31+'Inputs'!$B$32,'Inputs'!$B$30+'Inputs'!$B$31+'Inputs'!$B$32)/1000+'Inputs'!$B$21+'Inputs'!$B$9+'Inputs'!$B$10)+'Inputs'!$B$7)/SQRT((((943-43)*MAX('Inputs'!$B$33,'Inputs'!$B$29+'Inputs'!$B$31+'Inputs'!$B$32,'Inputs'!$B$30+'Inputs'!$B$31+'Inputs'!$B$32)/1000+'Inputs'!$B$21+'Inputs'!$B$9+'Inputs'!$B$10)+'Inputs'!$B$7)^2+('Inputs'!$B$6/2)^2)-(((943-43)*MAX('Inputs'!$B$33,'Inputs'!$B$29+'Inputs'!$B$31+'Inputs'!$B$32,'Inputs'!$B$30+'Inputs'!$B$31+'Inputs'!$B$32)/1000+'Inputs'!$B$21+'Inputs'!$B$9+'Inputs'!$B$10))/SQRT((((943-43)*MAX('Inputs'!$B$33,'Inputs'!$B$29+'Inputs'!$B$31+'Inputs'!$B$32,'Inputs'!$B$30+'Inputs'!$B$31+'Inputs'!$B$32)/1000+'Inputs'!$B$21+'Inputs'!$B$9+'Inputs'!$B$10))^2+('Inputs'!$B$6/2)^2))))*'Results'!$B$8)-'Inputs'!$B$28*ABS((('Results'!C7*(1-'Inputs'!$B$24)*(0.5*((((943-43)*MAX('Inputs'!$B$33,'Inputs'!$B$29+'Inputs'!$B$31+'Inputs'!$B$32,'Inputs'!$B$30+'Inputs'!$B$31+'Inputs'!$B$32)/1000+'Inputs'!$B$21)+'Inputs'!$B$9)/SQRT((((943-43)*MAX('Inputs'!$B$33,'Inputs'!$B$29+'Inputs'!$B$31+'Inputs'!$B$32,'Inputs'!$B$30+'Inputs'!$B$31+'Inputs'!$B$32)/1000+'Inputs'!$B$21)+'Inputs'!$B$9)^2+('Inputs'!$B$8/2)^2)-(((943-43)*MAX('Inputs'!$B$33,'Inputs'!$B$29+'Inputs'!$B$31+'Inputs'!$B$32,'Inputs'!$B$30+'Inputs'!$B$31+'Inputs'!$B$32)/1000+'Inputs'!$B$21))/SQRT((((943-43)*MAX('Inputs'!$B$33,'Inputs'!$B$29+'Inputs'!$B$31+'Inputs'!$B$32,'Inputs'!$B$30+'Inputs'!$B$31+'Inputs'!$B$32)/1000+'Inputs'!$B$21))^2+('Inputs'!$B$8/2)^2)))-'Results'!B7*(1+'Inputs'!$B$24)*(0.5*((((943-43)*MAX('Inputs'!$B$33,'Inputs'!$B$29+'Inputs'!$B$31+'Inputs'!$B$32,'Inputs'!$B$30+'Inputs'!$B$31+'Inputs'!$B$32)/1000+'Inputs'!$B$21+'Inputs'!$B$9+'Inputs'!$B$10)+'Inputs'!$B$7)/SQRT((((943-43)*MAX('Inputs'!$B$33,'Inputs'!$B$29+'Inputs'!$B$31+'Inputs'!$B$32,'Inputs'!$B$30+'Inputs'!$B$31+'Inputs'!$B$32)/1000+'Inputs'!$B$21+'Inputs'!$B$9+'Inputs'!$B$10)+'Inputs'!$B$7)^2+('Inputs'!$B$6/2)^2)-(((943-43)*MAX('Inputs'!$B$33,'Inputs'!$B$29+'Inputs'!$B$31+'Inputs'!$B$32,'Inputs'!$B$30+'Inputs'!$B$31+'Inputs'!$B$32)/1000+'Inputs'!$B$21+'Inputs'!$B$9+'Inputs'!$B$10))/SQRT((((943-43)*MAX('Inputs'!$B$33,'Inputs'!$B$29+'Inputs'!$B$31+'Inputs'!$B$32,'Inputs'!$B$30+'Inputs'!$B$31+'Inputs'!$B$32)/1000+'Inputs'!$B$21+'Inputs'!$B$9+'Inputs'!$B$10))^2+('Inputs'!$B$6/2)^2))))*'Results'!$B$8))),"")</x:f>
        <x:v>0.3888932602095699</x:v>
      </x:c>
      <x:c r="O943" t="n">
        <x:f>IF(AND(ISNUMBER('Results'!C7),ISNUMBER('Results'!B7),ISNUMBER('Results'!$B$8),ISNUMBER('Inputs'!$B$6),ISNUMBER('Inputs'!$B$7),ISNUMBER('Inputs'!$B$8),ISNUMBER('Inputs'!$B$9),ISNUMBER('Inputs'!$B$10),ISNUMBER('Inputs'!$B$21),ISNUMBER('Inputs'!$B$24),ISNUMBER('Inputs'!$B$28)),((('Results'!C7*(1+'Inputs'!$B$24)*(0.5*((((943-43)*MAX('Inputs'!$B$33,'Inputs'!$B$29+'Inputs'!$B$31+'Inputs'!$B$32,'Inputs'!$B$30+'Inputs'!$B$31+'Inputs'!$B$32)/1000+'Inputs'!$B$21)+'Inputs'!$B$9)/SQRT((((943-43)*MAX('Inputs'!$B$33,'Inputs'!$B$29+'Inputs'!$B$31+'Inputs'!$B$32,'Inputs'!$B$30+'Inputs'!$B$31+'Inputs'!$B$32)/1000+'Inputs'!$B$21)+'Inputs'!$B$9)^2+('Inputs'!$B$8/2)^2)-(((943-43)*MAX('Inputs'!$B$33,'Inputs'!$B$29+'Inputs'!$B$31+'Inputs'!$B$32,'Inputs'!$B$30+'Inputs'!$B$31+'Inputs'!$B$32)/1000+'Inputs'!$B$21))/SQRT((((943-43)*MAX('Inputs'!$B$33,'Inputs'!$B$29+'Inputs'!$B$31+'Inputs'!$B$32,'Inputs'!$B$30+'Inputs'!$B$31+'Inputs'!$B$32)/1000+'Inputs'!$B$21))^2+('Inputs'!$B$8/2)^2)))-'Results'!B7*(1-'Inputs'!$B$24)*(0.5*((((943-43)*MAX('Inputs'!$B$33,'Inputs'!$B$29+'Inputs'!$B$31+'Inputs'!$B$32,'Inputs'!$B$30+'Inputs'!$B$31+'Inputs'!$B$32)/1000+'Inputs'!$B$21+'Inputs'!$B$9+'Inputs'!$B$10)+'Inputs'!$B$7)/SQRT((((943-43)*MAX('Inputs'!$B$33,'Inputs'!$B$29+'Inputs'!$B$31+'Inputs'!$B$32,'Inputs'!$B$30+'Inputs'!$B$31+'Inputs'!$B$32)/1000+'Inputs'!$B$21+'Inputs'!$B$9+'Inputs'!$B$10)+'Inputs'!$B$7)^2+('Inputs'!$B$6/2)^2)-(((943-43)*MAX('Inputs'!$B$33,'Inputs'!$B$29+'Inputs'!$B$31+'Inputs'!$B$32,'Inputs'!$B$30+'Inputs'!$B$31+'Inputs'!$B$32)/1000+'Inputs'!$B$21+'Inputs'!$B$9+'Inputs'!$B$10))/SQRT((((943-43)*MAX('Inputs'!$B$33,'Inputs'!$B$29+'Inputs'!$B$31+'Inputs'!$B$32,'Inputs'!$B$30+'Inputs'!$B$31+'Inputs'!$B$32)/1000+'Inputs'!$B$21+'Inputs'!$B$9+'Inputs'!$B$10))^2+('Inputs'!$B$6/2)^2))))*'Results'!$B$8)+'Inputs'!$B$28*ABS((('Results'!C7*(1+'Inputs'!$B$24)*(0.5*((((943-43)*MAX('Inputs'!$B$33,'Inputs'!$B$29+'Inputs'!$B$31+'Inputs'!$B$32,'Inputs'!$B$30+'Inputs'!$B$31+'Inputs'!$B$32)/1000+'Inputs'!$B$21)+'Inputs'!$B$9)/SQRT((((943-43)*MAX('Inputs'!$B$33,'Inputs'!$B$29+'Inputs'!$B$31+'Inputs'!$B$32,'Inputs'!$B$30+'Inputs'!$B$31+'Inputs'!$B$32)/1000+'Inputs'!$B$21)+'Inputs'!$B$9)^2+('Inputs'!$B$8/2)^2)-(((943-43)*MAX('Inputs'!$B$33,'Inputs'!$B$29+'Inputs'!$B$31+'Inputs'!$B$32,'Inputs'!$B$30+'Inputs'!$B$31+'Inputs'!$B$32)/1000+'Inputs'!$B$21))/SQRT((((943-43)*MAX('Inputs'!$B$33,'Inputs'!$B$29+'Inputs'!$B$31+'Inputs'!$B$32,'Inputs'!$B$30+'Inputs'!$B$31+'Inputs'!$B$32)/1000+'Inputs'!$B$21))^2+('Inputs'!$B$8/2)^2)))-'Results'!B7*(1-'Inputs'!$B$24)*(0.5*((((943-43)*MAX('Inputs'!$B$33,'Inputs'!$B$29+'Inputs'!$B$31+'Inputs'!$B$32,'Inputs'!$B$30+'Inputs'!$B$31+'Inputs'!$B$32)/1000+'Inputs'!$B$21+'Inputs'!$B$9+'Inputs'!$B$10)+'Inputs'!$B$7)/SQRT((((943-43)*MAX('Inputs'!$B$33,'Inputs'!$B$29+'Inputs'!$B$31+'Inputs'!$B$32,'Inputs'!$B$30+'Inputs'!$B$31+'Inputs'!$B$32)/1000+'Inputs'!$B$21+'Inputs'!$B$9+'Inputs'!$B$10)+'Inputs'!$B$7)^2+('Inputs'!$B$6/2)^2)-(((943-43)*MAX('Inputs'!$B$33,'Inputs'!$B$29+'Inputs'!$B$31+'Inputs'!$B$32,'Inputs'!$B$30+'Inputs'!$B$31+'Inputs'!$B$32)/1000+'Inputs'!$B$21+'Inputs'!$B$9+'Inputs'!$B$10))/SQRT((((943-43)*MAX('Inputs'!$B$33,'Inputs'!$B$29+'Inputs'!$B$31+'Inputs'!$B$32,'Inputs'!$B$30+'Inputs'!$B$31+'Inputs'!$B$32)/1000+'Inputs'!$B$21+'Inputs'!$B$9+'Inputs'!$B$10))^2+('Inputs'!$B$6/2)^2))))*'Results'!$B$8))),"")</x:f>
        <x:v>0.5495608412094484</x:v>
      </x:c>
      <x:c r="P943" t="n">
        <x:f>IF(AND(MAX(J943,J942)&gt;0,J943&gt;J942+0.00000001),1,0)</x:f>
        <x:v>0</x:v>
      </x:c>
      <x:c r="Q943" t="n">
        <x:f>IF(AND(MAX(K943,K942)&gt;0,K943&gt;K942+0.00000001),1,0)</x:f>
        <x:v>0</x:v>
      </x:c>
      <x:c r="R943" t="n">
        <x:f>IF(AND(MAX(L943,L942)&gt;0,L943&gt;L942+0.00000001),1,0)</x:f>
        <x:v>0</x:v>
      </x:c>
      <x:c r="S943" t="n">
        <x:f>IF(AND(MAX(M943,M942)&gt;0,M943&gt;M942+0.00000001),1,0)</x:f>
        <x:v>0</x:v>
      </x:c>
      <x:c r="T943" t="n">
        <x:f>IF(AND(MAX(N943,N942)&gt;0,N943&gt;N942+0.00000001),1,0)</x:f>
        <x:v>0</x:v>
      </x:c>
      <x:c r="U943" t="n">
        <x:f>IF(AND(MAX(O943,O942)&gt;0,O943&gt;O942+0.00000001),1,0)</x:f>
        <x:v>0</x:v>
      </x:c>
    </x:row>
    <x:row r="944">
      <x:c r="J944" t="n">
        <x:f>IF(AND(ISNUMBER('Results'!B7),ISNUMBER('Results'!C7),ISNUMBER('Results'!$B$8),ISNUMBER('Inputs'!$B$6),ISNUMBER('Inputs'!$B$7),ISNUMBER('Inputs'!$B$8),ISNUMBER('Inputs'!$B$9),ISNUMBER('Inputs'!$B$10),ISNUMBER('Inputs'!$B$21),ISNUMBER('Inputs'!$B$24),ISNUMBER('Inputs'!$B$28)),(('Results'!B7*(0.5*((((944-43)*MAX('Inputs'!$B$33,'Inputs'!$B$29+'Inputs'!$B$31+'Inputs'!$B$32,'Inputs'!$B$30+'Inputs'!$B$31+'Inputs'!$B$32)/1000+'Inputs'!$B$21)+'Inputs'!$B$7)/SQRT((((944-43)*MAX('Inputs'!$B$33,'Inputs'!$B$29+'Inputs'!$B$31+'Inputs'!$B$32,'Inputs'!$B$30+'Inputs'!$B$31+'Inputs'!$B$32)/1000+'Inputs'!$B$21)+'Inputs'!$B$7)^2+('Inputs'!$B$6/2)^2)-(((944-43)*MAX('Inputs'!$B$33,'Inputs'!$B$29+'Inputs'!$B$31+'Inputs'!$B$32,'Inputs'!$B$30+'Inputs'!$B$31+'Inputs'!$B$32)/1000+'Inputs'!$B$21))/SQRT((((944-43)*MAX('Inputs'!$B$33,'Inputs'!$B$29+'Inputs'!$B$31+'Inputs'!$B$32,'Inputs'!$B$30+'Inputs'!$B$31+'Inputs'!$B$32)/1000+'Inputs'!$B$21))^2+('Inputs'!$B$6/2)^2)))-'Results'!C7*(0.5*((((944-43)*MAX('Inputs'!$B$33,'Inputs'!$B$29+'Inputs'!$B$31+'Inputs'!$B$32,'Inputs'!$B$30+'Inputs'!$B$31+'Inputs'!$B$32)/1000+'Inputs'!$B$21+'Inputs'!$B$7+'Inputs'!$B$10)+'Inputs'!$B$9)/SQRT((((944-43)*MAX('Inputs'!$B$33,'Inputs'!$B$29+'Inputs'!$B$31+'Inputs'!$B$32,'Inputs'!$B$30+'Inputs'!$B$31+'Inputs'!$B$32)/1000+'Inputs'!$B$21+'Inputs'!$B$7+'Inputs'!$B$10)+'Inputs'!$B$9)^2+('Inputs'!$B$8/2)^2)-(((944-43)*MAX('Inputs'!$B$33,'Inputs'!$B$29+'Inputs'!$B$31+'Inputs'!$B$32,'Inputs'!$B$30+'Inputs'!$B$31+'Inputs'!$B$32)/1000+'Inputs'!$B$21+'Inputs'!$B$7+'Inputs'!$B$10))/SQRT((((944-43)*MAX('Inputs'!$B$33,'Inputs'!$B$29+'Inputs'!$B$31+'Inputs'!$B$32,'Inputs'!$B$30+'Inputs'!$B$31+'Inputs'!$B$32)/1000+'Inputs'!$B$21+'Inputs'!$B$7+'Inputs'!$B$10))^2+('Inputs'!$B$8/2)^2))))*'Results'!$B$8),"")</x:f>
        <x:v>0.5219612194435186</x:v>
      </x:c>
      <x:c r="K944" t="n">
        <x:f>IF(AND(ISNUMBER('Results'!B7),ISNUMBER('Results'!C7),ISNUMBER('Results'!$B$8),ISNUMBER('Inputs'!$B$6),ISNUMBER('Inputs'!$B$7),ISNUMBER('Inputs'!$B$8),ISNUMBER('Inputs'!$B$9),ISNUMBER('Inputs'!$B$10),ISNUMBER('Inputs'!$B$21),ISNUMBER('Inputs'!$B$24),ISNUMBER('Inputs'!$B$28)),((('Results'!B7*(1-'Inputs'!$B$24)*(0.5*((((944-43)*MAX('Inputs'!$B$33,'Inputs'!$B$29+'Inputs'!$B$31+'Inputs'!$B$32,'Inputs'!$B$30+'Inputs'!$B$31+'Inputs'!$B$32)/1000+'Inputs'!$B$21)+'Inputs'!$B$7)/SQRT((((944-43)*MAX('Inputs'!$B$33,'Inputs'!$B$29+'Inputs'!$B$31+'Inputs'!$B$32,'Inputs'!$B$30+'Inputs'!$B$31+'Inputs'!$B$32)/1000+'Inputs'!$B$21)+'Inputs'!$B$7)^2+('Inputs'!$B$6/2)^2)-(((944-43)*MAX('Inputs'!$B$33,'Inputs'!$B$29+'Inputs'!$B$31+'Inputs'!$B$32,'Inputs'!$B$30+'Inputs'!$B$31+'Inputs'!$B$32)/1000+'Inputs'!$B$21))/SQRT((((944-43)*MAX('Inputs'!$B$33,'Inputs'!$B$29+'Inputs'!$B$31+'Inputs'!$B$32,'Inputs'!$B$30+'Inputs'!$B$31+'Inputs'!$B$32)/1000+'Inputs'!$B$21))^2+('Inputs'!$B$6/2)^2)))-'Results'!C7*(1+'Inputs'!$B$24)*(0.5*((((944-43)*MAX('Inputs'!$B$33,'Inputs'!$B$29+'Inputs'!$B$31+'Inputs'!$B$32,'Inputs'!$B$30+'Inputs'!$B$31+'Inputs'!$B$32)/1000+'Inputs'!$B$21+'Inputs'!$B$7+'Inputs'!$B$10)+'Inputs'!$B$9)/SQRT((((944-43)*MAX('Inputs'!$B$33,'Inputs'!$B$29+'Inputs'!$B$31+'Inputs'!$B$32,'Inputs'!$B$30+'Inputs'!$B$31+'Inputs'!$B$32)/1000+'Inputs'!$B$21+'Inputs'!$B$7+'Inputs'!$B$10)+'Inputs'!$B$9)^2+('Inputs'!$B$8/2)^2)-(((944-43)*MAX('Inputs'!$B$33,'Inputs'!$B$29+'Inputs'!$B$31+'Inputs'!$B$32,'Inputs'!$B$30+'Inputs'!$B$31+'Inputs'!$B$32)/1000+'Inputs'!$B$21+'Inputs'!$B$7+'Inputs'!$B$10))/SQRT((((944-43)*MAX('Inputs'!$B$33,'Inputs'!$B$29+'Inputs'!$B$31+'Inputs'!$B$32,'Inputs'!$B$30+'Inputs'!$B$31+'Inputs'!$B$32)/1000+'Inputs'!$B$21+'Inputs'!$B$7+'Inputs'!$B$10))^2+('Inputs'!$B$8/2)^2))))*'Results'!$B$8)-'Inputs'!$B$28*ABS((('Results'!B7*(1-'Inputs'!$B$24)*(0.5*((((944-43)*MAX('Inputs'!$B$33,'Inputs'!$B$29+'Inputs'!$B$31+'Inputs'!$B$32,'Inputs'!$B$30+'Inputs'!$B$31+'Inputs'!$B$32)/1000+'Inputs'!$B$21)+'Inputs'!$B$7)/SQRT((((944-43)*MAX('Inputs'!$B$33,'Inputs'!$B$29+'Inputs'!$B$31+'Inputs'!$B$32,'Inputs'!$B$30+'Inputs'!$B$31+'Inputs'!$B$32)/1000+'Inputs'!$B$21)+'Inputs'!$B$7)^2+('Inputs'!$B$6/2)^2)-(((944-43)*MAX('Inputs'!$B$33,'Inputs'!$B$29+'Inputs'!$B$31+'Inputs'!$B$32,'Inputs'!$B$30+'Inputs'!$B$31+'Inputs'!$B$32)/1000+'Inputs'!$B$21))/SQRT((((944-43)*MAX('Inputs'!$B$33,'Inputs'!$B$29+'Inputs'!$B$31+'Inputs'!$B$32,'Inputs'!$B$30+'Inputs'!$B$31+'Inputs'!$B$32)/1000+'Inputs'!$B$21))^2+('Inputs'!$B$6/2)^2)))-'Results'!C7*(1+'Inputs'!$B$24)*(0.5*((((944-43)*MAX('Inputs'!$B$33,'Inputs'!$B$29+'Inputs'!$B$31+'Inputs'!$B$32,'Inputs'!$B$30+'Inputs'!$B$31+'Inputs'!$B$32)/1000+'Inputs'!$B$21+'Inputs'!$B$7+'Inputs'!$B$10)+'Inputs'!$B$9)/SQRT((((944-43)*MAX('Inputs'!$B$33,'Inputs'!$B$29+'Inputs'!$B$31+'Inputs'!$B$32,'Inputs'!$B$30+'Inputs'!$B$31+'Inputs'!$B$32)/1000+'Inputs'!$B$21+'Inputs'!$B$7+'Inputs'!$B$10)+'Inputs'!$B$9)^2+('Inputs'!$B$8/2)^2)-(((944-43)*MAX('Inputs'!$B$33,'Inputs'!$B$29+'Inputs'!$B$31+'Inputs'!$B$32,'Inputs'!$B$30+'Inputs'!$B$31+'Inputs'!$B$32)/1000+'Inputs'!$B$21+'Inputs'!$B$7+'Inputs'!$B$10))/SQRT((((944-43)*MAX('Inputs'!$B$33,'Inputs'!$B$29+'Inputs'!$B$31+'Inputs'!$B$32,'Inputs'!$B$30+'Inputs'!$B$31+'Inputs'!$B$32)/1000+'Inputs'!$B$21+'Inputs'!$B$7+'Inputs'!$B$10))^2+('Inputs'!$B$8/2)^2))))*'Results'!$B$8))),"")</x:f>
        <x:v>0.4416766878172209</x:v>
      </x:c>
      <x:c r="L944" t="n">
        <x:f>IF(AND(ISNUMBER('Results'!B7),ISNUMBER('Results'!C7),ISNUMBER('Results'!$B$8),ISNUMBER('Inputs'!$B$6),ISNUMBER('Inputs'!$B$7),ISNUMBER('Inputs'!$B$8),ISNUMBER('Inputs'!$B$9),ISNUMBER('Inputs'!$B$10),ISNUMBER('Inputs'!$B$21),ISNUMBER('Inputs'!$B$24),ISNUMBER('Inputs'!$B$28)),((('Results'!B7*(1+'Inputs'!$B$24)*(0.5*((((944-43)*MAX('Inputs'!$B$33,'Inputs'!$B$29+'Inputs'!$B$31+'Inputs'!$B$32,'Inputs'!$B$30+'Inputs'!$B$31+'Inputs'!$B$32)/1000+'Inputs'!$B$21)+'Inputs'!$B$7)/SQRT((((944-43)*MAX('Inputs'!$B$33,'Inputs'!$B$29+'Inputs'!$B$31+'Inputs'!$B$32,'Inputs'!$B$30+'Inputs'!$B$31+'Inputs'!$B$32)/1000+'Inputs'!$B$21)+'Inputs'!$B$7)^2+('Inputs'!$B$6/2)^2)-(((944-43)*MAX('Inputs'!$B$33,'Inputs'!$B$29+'Inputs'!$B$31+'Inputs'!$B$32,'Inputs'!$B$30+'Inputs'!$B$31+'Inputs'!$B$32)/1000+'Inputs'!$B$21))/SQRT((((944-43)*MAX('Inputs'!$B$33,'Inputs'!$B$29+'Inputs'!$B$31+'Inputs'!$B$32,'Inputs'!$B$30+'Inputs'!$B$31+'Inputs'!$B$32)/1000+'Inputs'!$B$21))^2+('Inputs'!$B$6/2)^2)))-'Results'!C7*(1-'Inputs'!$B$24)*(0.5*((((944-43)*MAX('Inputs'!$B$33,'Inputs'!$B$29+'Inputs'!$B$31+'Inputs'!$B$32,'Inputs'!$B$30+'Inputs'!$B$31+'Inputs'!$B$32)/1000+'Inputs'!$B$21+'Inputs'!$B$7+'Inputs'!$B$10)+'Inputs'!$B$9)/SQRT((((944-43)*MAX('Inputs'!$B$33,'Inputs'!$B$29+'Inputs'!$B$31+'Inputs'!$B$32,'Inputs'!$B$30+'Inputs'!$B$31+'Inputs'!$B$32)/1000+'Inputs'!$B$21+'Inputs'!$B$7+'Inputs'!$B$10)+'Inputs'!$B$9)^2+('Inputs'!$B$8/2)^2)-(((944-43)*MAX('Inputs'!$B$33,'Inputs'!$B$29+'Inputs'!$B$31+'Inputs'!$B$32,'Inputs'!$B$30+'Inputs'!$B$31+'Inputs'!$B$32)/1000+'Inputs'!$B$21+'Inputs'!$B$7+'Inputs'!$B$10))/SQRT((((944-43)*MAX('Inputs'!$B$33,'Inputs'!$B$29+'Inputs'!$B$31+'Inputs'!$B$32,'Inputs'!$B$30+'Inputs'!$B$31+'Inputs'!$B$32)/1000+'Inputs'!$B$21+'Inputs'!$B$7+'Inputs'!$B$10))^2+('Inputs'!$B$8/2)^2))))*'Results'!$B$8)+'Inputs'!$B$28*ABS((('Results'!B7*(1+'Inputs'!$B$24)*(0.5*((((944-43)*MAX('Inputs'!$B$33,'Inputs'!$B$29+'Inputs'!$B$31+'Inputs'!$B$32,'Inputs'!$B$30+'Inputs'!$B$31+'Inputs'!$B$32)/1000+'Inputs'!$B$21)+'Inputs'!$B$7)/SQRT((((944-43)*MAX('Inputs'!$B$33,'Inputs'!$B$29+'Inputs'!$B$31+'Inputs'!$B$32,'Inputs'!$B$30+'Inputs'!$B$31+'Inputs'!$B$32)/1000+'Inputs'!$B$21)+'Inputs'!$B$7)^2+('Inputs'!$B$6/2)^2)-(((944-43)*MAX('Inputs'!$B$33,'Inputs'!$B$29+'Inputs'!$B$31+'Inputs'!$B$32,'Inputs'!$B$30+'Inputs'!$B$31+'Inputs'!$B$32)/1000+'Inputs'!$B$21))/SQRT((((944-43)*MAX('Inputs'!$B$33,'Inputs'!$B$29+'Inputs'!$B$31+'Inputs'!$B$32,'Inputs'!$B$30+'Inputs'!$B$31+'Inputs'!$B$32)/1000+'Inputs'!$B$21))^2+('Inputs'!$B$6/2)^2)))-'Results'!C7*(1-'Inputs'!$B$24)*(0.5*((((944-43)*MAX('Inputs'!$B$33,'Inputs'!$B$29+'Inputs'!$B$31+'Inputs'!$B$32,'Inputs'!$B$30+'Inputs'!$B$31+'Inputs'!$B$32)/1000+'Inputs'!$B$21+'Inputs'!$B$7+'Inputs'!$B$10)+'Inputs'!$B$9)/SQRT((((944-43)*MAX('Inputs'!$B$33,'Inputs'!$B$29+'Inputs'!$B$31+'Inputs'!$B$32,'Inputs'!$B$30+'Inputs'!$B$31+'Inputs'!$B$32)/1000+'Inputs'!$B$21+'Inputs'!$B$7+'Inputs'!$B$10)+'Inputs'!$B$9)^2+('Inputs'!$B$8/2)^2)-(((944-43)*MAX('Inputs'!$B$33,'Inputs'!$B$29+'Inputs'!$B$31+'Inputs'!$B$32,'Inputs'!$B$30+'Inputs'!$B$31+'Inputs'!$B$32)/1000+'Inputs'!$B$21+'Inputs'!$B$7+'Inputs'!$B$10))/SQRT((((944-43)*MAX('Inputs'!$B$33,'Inputs'!$B$29+'Inputs'!$B$31+'Inputs'!$B$32,'Inputs'!$B$30+'Inputs'!$B$31+'Inputs'!$B$32)/1000+'Inputs'!$B$21+'Inputs'!$B$7+'Inputs'!$B$10))^2+('Inputs'!$B$8/2)^2))))*'Results'!$B$8))),"")</x:f>
        <x:v>0.6079495900860399</x:v>
      </x:c>
      <x:c r="M944" t="n">
        <x:f>IF(AND(ISNUMBER('Results'!C7),ISNUMBER('Results'!B7),ISNUMBER('Results'!$B$8),ISNUMBER('Inputs'!$B$6),ISNUMBER('Inputs'!$B$7),ISNUMBER('Inputs'!$B$8),ISNUMBER('Inputs'!$B$9),ISNUMBER('Inputs'!$B$10),ISNUMBER('Inputs'!$B$21),ISNUMBER('Inputs'!$B$24),ISNUMBER('Inputs'!$B$28)),(('Results'!C7*(0.5*((((944-43)*MAX('Inputs'!$B$33,'Inputs'!$B$29+'Inputs'!$B$31+'Inputs'!$B$32,'Inputs'!$B$30+'Inputs'!$B$31+'Inputs'!$B$32)/1000+'Inputs'!$B$21)+'Inputs'!$B$9)/SQRT((((944-43)*MAX('Inputs'!$B$33,'Inputs'!$B$29+'Inputs'!$B$31+'Inputs'!$B$32,'Inputs'!$B$30+'Inputs'!$B$31+'Inputs'!$B$32)/1000+'Inputs'!$B$21)+'Inputs'!$B$9)^2+('Inputs'!$B$8/2)^2)-(((944-43)*MAX('Inputs'!$B$33,'Inputs'!$B$29+'Inputs'!$B$31+'Inputs'!$B$32,'Inputs'!$B$30+'Inputs'!$B$31+'Inputs'!$B$32)/1000+'Inputs'!$B$21))/SQRT((((944-43)*MAX('Inputs'!$B$33,'Inputs'!$B$29+'Inputs'!$B$31+'Inputs'!$B$32,'Inputs'!$B$30+'Inputs'!$B$31+'Inputs'!$B$32)/1000+'Inputs'!$B$21))^2+('Inputs'!$B$8/2)^2)))-'Results'!B7*(0.5*((((944-43)*MAX('Inputs'!$B$33,'Inputs'!$B$29+'Inputs'!$B$31+'Inputs'!$B$32,'Inputs'!$B$30+'Inputs'!$B$31+'Inputs'!$B$32)/1000+'Inputs'!$B$21+'Inputs'!$B$9+'Inputs'!$B$10)+'Inputs'!$B$7)/SQRT((((944-43)*MAX('Inputs'!$B$33,'Inputs'!$B$29+'Inputs'!$B$31+'Inputs'!$B$32,'Inputs'!$B$30+'Inputs'!$B$31+'Inputs'!$B$32)/1000+'Inputs'!$B$21+'Inputs'!$B$9+'Inputs'!$B$10)+'Inputs'!$B$7)^2+('Inputs'!$B$6/2)^2)-(((944-43)*MAX('Inputs'!$B$33,'Inputs'!$B$29+'Inputs'!$B$31+'Inputs'!$B$32,'Inputs'!$B$30+'Inputs'!$B$31+'Inputs'!$B$32)/1000+'Inputs'!$B$21+'Inputs'!$B$9+'Inputs'!$B$10))/SQRT((((944-43)*MAX('Inputs'!$B$33,'Inputs'!$B$29+'Inputs'!$B$31+'Inputs'!$B$32,'Inputs'!$B$30+'Inputs'!$B$31+'Inputs'!$B$32)/1000+'Inputs'!$B$21+'Inputs'!$B$9+'Inputs'!$B$10))^2+('Inputs'!$B$6/2)^2))))*'Results'!$B$8),"")</x:f>
        <x:v>0.4644473275897203</x:v>
      </x:c>
      <x:c r="N944" t="n">
        <x:f>IF(AND(ISNUMBER('Results'!C7),ISNUMBER('Results'!B7),ISNUMBER('Results'!$B$8),ISNUMBER('Inputs'!$B$6),ISNUMBER('Inputs'!$B$7),ISNUMBER('Inputs'!$B$8),ISNUMBER('Inputs'!$B$9),ISNUMBER('Inputs'!$B$10),ISNUMBER('Inputs'!$B$21),ISNUMBER('Inputs'!$B$24),ISNUMBER('Inputs'!$B$28)),((('Results'!C7*(1-'Inputs'!$B$24)*(0.5*((((944-43)*MAX('Inputs'!$B$33,'Inputs'!$B$29+'Inputs'!$B$31+'Inputs'!$B$32,'Inputs'!$B$30+'Inputs'!$B$31+'Inputs'!$B$32)/1000+'Inputs'!$B$21)+'Inputs'!$B$9)/SQRT((((944-43)*MAX('Inputs'!$B$33,'Inputs'!$B$29+'Inputs'!$B$31+'Inputs'!$B$32,'Inputs'!$B$30+'Inputs'!$B$31+'Inputs'!$B$32)/1000+'Inputs'!$B$21)+'Inputs'!$B$9)^2+('Inputs'!$B$8/2)^2)-(((944-43)*MAX('Inputs'!$B$33,'Inputs'!$B$29+'Inputs'!$B$31+'Inputs'!$B$32,'Inputs'!$B$30+'Inputs'!$B$31+'Inputs'!$B$32)/1000+'Inputs'!$B$21))/SQRT((((944-43)*MAX('Inputs'!$B$33,'Inputs'!$B$29+'Inputs'!$B$31+'Inputs'!$B$32,'Inputs'!$B$30+'Inputs'!$B$31+'Inputs'!$B$32)/1000+'Inputs'!$B$21))^2+('Inputs'!$B$8/2)^2)))-'Results'!B7*(1+'Inputs'!$B$24)*(0.5*((((944-43)*MAX('Inputs'!$B$33,'Inputs'!$B$29+'Inputs'!$B$31+'Inputs'!$B$32,'Inputs'!$B$30+'Inputs'!$B$31+'Inputs'!$B$32)/1000+'Inputs'!$B$21+'Inputs'!$B$9+'Inputs'!$B$10)+'Inputs'!$B$7)/SQRT((((944-43)*MAX('Inputs'!$B$33,'Inputs'!$B$29+'Inputs'!$B$31+'Inputs'!$B$32,'Inputs'!$B$30+'Inputs'!$B$31+'Inputs'!$B$32)/1000+'Inputs'!$B$21+'Inputs'!$B$9+'Inputs'!$B$10)+'Inputs'!$B$7)^2+('Inputs'!$B$6/2)^2)-(((944-43)*MAX('Inputs'!$B$33,'Inputs'!$B$29+'Inputs'!$B$31+'Inputs'!$B$32,'Inputs'!$B$30+'Inputs'!$B$31+'Inputs'!$B$32)/1000+'Inputs'!$B$21+'Inputs'!$B$9+'Inputs'!$B$10))/SQRT((((944-43)*MAX('Inputs'!$B$33,'Inputs'!$B$29+'Inputs'!$B$31+'Inputs'!$B$32,'Inputs'!$B$30+'Inputs'!$B$31+'Inputs'!$B$32)/1000+'Inputs'!$B$21+'Inputs'!$B$9+'Inputs'!$B$10))^2+('Inputs'!$B$6/2)^2))))*'Results'!$B$8)-'Inputs'!$B$28*ABS((('Results'!C7*(1-'Inputs'!$B$24)*(0.5*((((944-43)*MAX('Inputs'!$B$33,'Inputs'!$B$29+'Inputs'!$B$31+'Inputs'!$B$32,'Inputs'!$B$30+'Inputs'!$B$31+'Inputs'!$B$32)/1000+'Inputs'!$B$21)+'Inputs'!$B$9)/SQRT((((944-43)*MAX('Inputs'!$B$33,'Inputs'!$B$29+'Inputs'!$B$31+'Inputs'!$B$32,'Inputs'!$B$30+'Inputs'!$B$31+'Inputs'!$B$32)/1000+'Inputs'!$B$21)+'Inputs'!$B$9)^2+('Inputs'!$B$8/2)^2)-(((944-43)*MAX('Inputs'!$B$33,'Inputs'!$B$29+'Inputs'!$B$31+'Inputs'!$B$32,'Inputs'!$B$30+'Inputs'!$B$31+'Inputs'!$B$32)/1000+'Inputs'!$B$21))/SQRT((((944-43)*MAX('Inputs'!$B$33,'Inputs'!$B$29+'Inputs'!$B$31+'Inputs'!$B$32,'Inputs'!$B$30+'Inputs'!$B$31+'Inputs'!$B$32)/1000+'Inputs'!$B$21))^2+('Inputs'!$B$8/2)^2)))-'Results'!B7*(1+'Inputs'!$B$24)*(0.5*((((944-43)*MAX('Inputs'!$B$33,'Inputs'!$B$29+'Inputs'!$B$31+'Inputs'!$B$32,'Inputs'!$B$30+'Inputs'!$B$31+'Inputs'!$B$32)/1000+'Inputs'!$B$21+'Inputs'!$B$9+'Inputs'!$B$10)+'Inputs'!$B$7)/SQRT((((944-43)*MAX('Inputs'!$B$33,'Inputs'!$B$29+'Inputs'!$B$31+'Inputs'!$B$32,'Inputs'!$B$30+'Inputs'!$B$31+'Inputs'!$B$32)/1000+'Inputs'!$B$21+'Inputs'!$B$9+'Inputs'!$B$10)+'Inputs'!$B$7)^2+('Inputs'!$B$6/2)^2)-(((944-43)*MAX('Inputs'!$B$33,'Inputs'!$B$29+'Inputs'!$B$31+'Inputs'!$B$32,'Inputs'!$B$30+'Inputs'!$B$31+'Inputs'!$B$32)/1000+'Inputs'!$B$21+'Inputs'!$B$9+'Inputs'!$B$10))/SQRT((((944-43)*MAX('Inputs'!$B$33,'Inputs'!$B$29+'Inputs'!$B$31+'Inputs'!$B$32,'Inputs'!$B$30+'Inputs'!$B$31+'Inputs'!$B$32)/1000+'Inputs'!$B$21+'Inputs'!$B$9+'Inputs'!$B$10))^2+('Inputs'!$B$6/2)^2))))*'Results'!$B$8))),"")</x:f>
        <x:v>0.38722780128736106</x:v>
      </x:c>
      <x:c r="O944" t="n">
        <x:f>IF(AND(ISNUMBER('Results'!C7),ISNUMBER('Results'!B7),ISNUMBER('Results'!$B$8),ISNUMBER('Inputs'!$B$6),ISNUMBER('Inputs'!$B$7),ISNUMBER('Inputs'!$B$8),ISNUMBER('Inputs'!$B$9),ISNUMBER('Inputs'!$B$10),ISNUMBER('Inputs'!$B$21),ISNUMBER('Inputs'!$B$24),ISNUMBER('Inputs'!$B$28)),((('Results'!C7*(1+'Inputs'!$B$24)*(0.5*((((944-43)*MAX('Inputs'!$B$33,'Inputs'!$B$29+'Inputs'!$B$31+'Inputs'!$B$32,'Inputs'!$B$30+'Inputs'!$B$31+'Inputs'!$B$32)/1000+'Inputs'!$B$21)+'Inputs'!$B$9)/SQRT((((944-43)*MAX('Inputs'!$B$33,'Inputs'!$B$29+'Inputs'!$B$31+'Inputs'!$B$32,'Inputs'!$B$30+'Inputs'!$B$31+'Inputs'!$B$32)/1000+'Inputs'!$B$21)+'Inputs'!$B$9)^2+('Inputs'!$B$8/2)^2)-(((944-43)*MAX('Inputs'!$B$33,'Inputs'!$B$29+'Inputs'!$B$31+'Inputs'!$B$32,'Inputs'!$B$30+'Inputs'!$B$31+'Inputs'!$B$32)/1000+'Inputs'!$B$21))/SQRT((((944-43)*MAX('Inputs'!$B$33,'Inputs'!$B$29+'Inputs'!$B$31+'Inputs'!$B$32,'Inputs'!$B$30+'Inputs'!$B$31+'Inputs'!$B$32)/1000+'Inputs'!$B$21))^2+('Inputs'!$B$8/2)^2)))-'Results'!B7*(1-'Inputs'!$B$24)*(0.5*((((944-43)*MAX('Inputs'!$B$33,'Inputs'!$B$29+'Inputs'!$B$31+'Inputs'!$B$32,'Inputs'!$B$30+'Inputs'!$B$31+'Inputs'!$B$32)/1000+'Inputs'!$B$21+'Inputs'!$B$9+'Inputs'!$B$10)+'Inputs'!$B$7)/SQRT((((944-43)*MAX('Inputs'!$B$33,'Inputs'!$B$29+'Inputs'!$B$31+'Inputs'!$B$32,'Inputs'!$B$30+'Inputs'!$B$31+'Inputs'!$B$32)/1000+'Inputs'!$B$21+'Inputs'!$B$9+'Inputs'!$B$10)+'Inputs'!$B$7)^2+('Inputs'!$B$6/2)^2)-(((944-43)*MAX('Inputs'!$B$33,'Inputs'!$B$29+'Inputs'!$B$31+'Inputs'!$B$32,'Inputs'!$B$30+'Inputs'!$B$31+'Inputs'!$B$32)/1000+'Inputs'!$B$21+'Inputs'!$B$9+'Inputs'!$B$10))/SQRT((((944-43)*MAX('Inputs'!$B$33,'Inputs'!$B$29+'Inputs'!$B$31+'Inputs'!$B$32,'Inputs'!$B$30+'Inputs'!$B$31+'Inputs'!$B$32)/1000+'Inputs'!$B$21+'Inputs'!$B$9+'Inputs'!$B$10))^2+('Inputs'!$B$6/2)^2))))*'Results'!$B$8)+'Inputs'!$B$28*ABS((('Results'!C7*(1+'Inputs'!$B$24)*(0.5*((((944-43)*MAX('Inputs'!$B$33,'Inputs'!$B$29+'Inputs'!$B$31+'Inputs'!$B$32,'Inputs'!$B$30+'Inputs'!$B$31+'Inputs'!$B$32)/1000+'Inputs'!$B$21)+'Inputs'!$B$9)/SQRT((((944-43)*MAX('Inputs'!$B$33,'Inputs'!$B$29+'Inputs'!$B$31+'Inputs'!$B$32,'Inputs'!$B$30+'Inputs'!$B$31+'Inputs'!$B$32)/1000+'Inputs'!$B$21)+'Inputs'!$B$9)^2+('Inputs'!$B$8/2)^2)-(((944-43)*MAX('Inputs'!$B$33,'Inputs'!$B$29+'Inputs'!$B$31+'Inputs'!$B$32,'Inputs'!$B$30+'Inputs'!$B$31+'Inputs'!$B$32)/1000+'Inputs'!$B$21))/SQRT((((944-43)*MAX('Inputs'!$B$33,'Inputs'!$B$29+'Inputs'!$B$31+'Inputs'!$B$32,'Inputs'!$B$30+'Inputs'!$B$31+'Inputs'!$B$32)/1000+'Inputs'!$B$21))^2+('Inputs'!$B$8/2)^2)))-'Results'!B7*(1-'Inputs'!$B$24)*(0.5*((((944-43)*MAX('Inputs'!$B$33,'Inputs'!$B$29+'Inputs'!$B$31+'Inputs'!$B$32,'Inputs'!$B$30+'Inputs'!$B$31+'Inputs'!$B$32)/1000+'Inputs'!$B$21+'Inputs'!$B$9+'Inputs'!$B$10)+'Inputs'!$B$7)/SQRT((((944-43)*MAX('Inputs'!$B$33,'Inputs'!$B$29+'Inputs'!$B$31+'Inputs'!$B$32,'Inputs'!$B$30+'Inputs'!$B$31+'Inputs'!$B$32)/1000+'Inputs'!$B$21+'Inputs'!$B$9+'Inputs'!$B$10)+'Inputs'!$B$7)^2+('Inputs'!$B$6/2)^2)-(((944-43)*MAX('Inputs'!$B$33,'Inputs'!$B$29+'Inputs'!$B$31+'Inputs'!$B$32,'Inputs'!$B$30+'Inputs'!$B$31+'Inputs'!$B$32)/1000+'Inputs'!$B$21+'Inputs'!$B$9+'Inputs'!$B$10))/SQRT((((944-43)*MAX('Inputs'!$B$33,'Inputs'!$B$29+'Inputs'!$B$31+'Inputs'!$B$32,'Inputs'!$B$30+'Inputs'!$B$31+'Inputs'!$B$32)/1000+'Inputs'!$B$21+'Inputs'!$B$9+'Inputs'!$B$10))^2+('Inputs'!$B$6/2)^2))))*'Results'!$B$8))),"")</x:f>
        <x:v>0.5473507654629081</x:v>
      </x:c>
      <x:c r="P944" t="n">
        <x:f>IF(AND(MAX(J944,J943)&gt;0,J944&gt;J943+0.00000001),1,0)</x:f>
        <x:v>0</x:v>
      </x:c>
      <x:c r="Q944" t="n">
        <x:f>IF(AND(MAX(K944,K943)&gt;0,K944&gt;K943+0.00000001),1,0)</x:f>
        <x:v>0</x:v>
      </x:c>
      <x:c r="R944" t="n">
        <x:f>IF(AND(MAX(L944,L943)&gt;0,L944&gt;L943+0.00000001),1,0)</x:f>
        <x:v>0</x:v>
      </x:c>
      <x:c r="S944" t="n">
        <x:f>IF(AND(MAX(M944,M943)&gt;0,M944&gt;M943+0.00000001),1,0)</x:f>
        <x:v>0</x:v>
      </x:c>
      <x:c r="T944" t="n">
        <x:f>IF(AND(MAX(N944,N943)&gt;0,N944&gt;N943+0.00000001),1,0)</x:f>
        <x:v>0</x:v>
      </x:c>
      <x:c r="U944" t="n">
        <x:f>IF(AND(MAX(O944,O943)&gt;0,O944&gt;O943+0.00000001),1,0)</x:f>
        <x:v>0</x:v>
      </x:c>
    </x:row>
    <x:row r="945">
      <x:c r="J945" t="n">
        <x:f>IF(AND(ISNUMBER('Results'!B7),ISNUMBER('Results'!C7),ISNUMBER('Results'!$B$8),ISNUMBER('Inputs'!$B$6),ISNUMBER('Inputs'!$B$7),ISNUMBER('Inputs'!$B$8),ISNUMBER('Inputs'!$B$9),ISNUMBER('Inputs'!$B$10),ISNUMBER('Inputs'!$B$21),ISNUMBER('Inputs'!$B$24),ISNUMBER('Inputs'!$B$28)),(('Results'!B7*(0.5*((((945-43)*MAX('Inputs'!$B$33,'Inputs'!$B$29+'Inputs'!$B$31+'Inputs'!$B$32,'Inputs'!$B$30+'Inputs'!$B$31+'Inputs'!$B$32)/1000+'Inputs'!$B$21)+'Inputs'!$B$7)/SQRT((((945-43)*MAX('Inputs'!$B$33,'Inputs'!$B$29+'Inputs'!$B$31+'Inputs'!$B$32,'Inputs'!$B$30+'Inputs'!$B$31+'Inputs'!$B$32)/1000+'Inputs'!$B$21)+'Inputs'!$B$7)^2+('Inputs'!$B$6/2)^2)-(((945-43)*MAX('Inputs'!$B$33,'Inputs'!$B$29+'Inputs'!$B$31+'Inputs'!$B$32,'Inputs'!$B$30+'Inputs'!$B$31+'Inputs'!$B$32)/1000+'Inputs'!$B$21))/SQRT((((945-43)*MAX('Inputs'!$B$33,'Inputs'!$B$29+'Inputs'!$B$31+'Inputs'!$B$32,'Inputs'!$B$30+'Inputs'!$B$31+'Inputs'!$B$32)/1000+'Inputs'!$B$21))^2+('Inputs'!$B$6/2)^2)))-'Results'!C7*(0.5*((((945-43)*MAX('Inputs'!$B$33,'Inputs'!$B$29+'Inputs'!$B$31+'Inputs'!$B$32,'Inputs'!$B$30+'Inputs'!$B$31+'Inputs'!$B$32)/1000+'Inputs'!$B$21+'Inputs'!$B$7+'Inputs'!$B$10)+'Inputs'!$B$9)/SQRT((((945-43)*MAX('Inputs'!$B$33,'Inputs'!$B$29+'Inputs'!$B$31+'Inputs'!$B$32,'Inputs'!$B$30+'Inputs'!$B$31+'Inputs'!$B$32)/1000+'Inputs'!$B$21+'Inputs'!$B$7+'Inputs'!$B$10)+'Inputs'!$B$9)^2+('Inputs'!$B$8/2)^2)-(((945-43)*MAX('Inputs'!$B$33,'Inputs'!$B$29+'Inputs'!$B$31+'Inputs'!$B$32,'Inputs'!$B$30+'Inputs'!$B$31+'Inputs'!$B$32)/1000+'Inputs'!$B$21+'Inputs'!$B$7+'Inputs'!$B$10))/SQRT((((945-43)*MAX('Inputs'!$B$33,'Inputs'!$B$29+'Inputs'!$B$31+'Inputs'!$B$32,'Inputs'!$B$30+'Inputs'!$B$31+'Inputs'!$B$32)/1000+'Inputs'!$B$21+'Inputs'!$B$7+'Inputs'!$B$10))^2+('Inputs'!$B$8/2)^2))))*'Results'!$B$8),"")</x:f>
        <x:v>0.5198648277102249</x:v>
      </x:c>
      <x:c r="K945" t="n">
        <x:f>IF(AND(ISNUMBER('Results'!B7),ISNUMBER('Results'!C7),ISNUMBER('Results'!$B$8),ISNUMBER('Inputs'!$B$6),ISNUMBER('Inputs'!$B$7),ISNUMBER('Inputs'!$B$8),ISNUMBER('Inputs'!$B$9),ISNUMBER('Inputs'!$B$10),ISNUMBER('Inputs'!$B$21),ISNUMBER('Inputs'!$B$24),ISNUMBER('Inputs'!$B$28)),((('Results'!B7*(1-'Inputs'!$B$24)*(0.5*((((945-43)*MAX('Inputs'!$B$33,'Inputs'!$B$29+'Inputs'!$B$31+'Inputs'!$B$32,'Inputs'!$B$30+'Inputs'!$B$31+'Inputs'!$B$32)/1000+'Inputs'!$B$21)+'Inputs'!$B$7)/SQRT((((945-43)*MAX('Inputs'!$B$33,'Inputs'!$B$29+'Inputs'!$B$31+'Inputs'!$B$32,'Inputs'!$B$30+'Inputs'!$B$31+'Inputs'!$B$32)/1000+'Inputs'!$B$21)+'Inputs'!$B$7)^2+('Inputs'!$B$6/2)^2)-(((945-43)*MAX('Inputs'!$B$33,'Inputs'!$B$29+'Inputs'!$B$31+'Inputs'!$B$32,'Inputs'!$B$30+'Inputs'!$B$31+'Inputs'!$B$32)/1000+'Inputs'!$B$21))/SQRT((((945-43)*MAX('Inputs'!$B$33,'Inputs'!$B$29+'Inputs'!$B$31+'Inputs'!$B$32,'Inputs'!$B$30+'Inputs'!$B$31+'Inputs'!$B$32)/1000+'Inputs'!$B$21))^2+('Inputs'!$B$6/2)^2)))-'Results'!C7*(1+'Inputs'!$B$24)*(0.5*((((945-43)*MAX('Inputs'!$B$33,'Inputs'!$B$29+'Inputs'!$B$31+'Inputs'!$B$32,'Inputs'!$B$30+'Inputs'!$B$31+'Inputs'!$B$32)/1000+'Inputs'!$B$21+'Inputs'!$B$7+'Inputs'!$B$10)+'Inputs'!$B$9)/SQRT((((945-43)*MAX('Inputs'!$B$33,'Inputs'!$B$29+'Inputs'!$B$31+'Inputs'!$B$32,'Inputs'!$B$30+'Inputs'!$B$31+'Inputs'!$B$32)/1000+'Inputs'!$B$21+'Inputs'!$B$7+'Inputs'!$B$10)+'Inputs'!$B$9)^2+('Inputs'!$B$8/2)^2)-(((945-43)*MAX('Inputs'!$B$33,'Inputs'!$B$29+'Inputs'!$B$31+'Inputs'!$B$32,'Inputs'!$B$30+'Inputs'!$B$31+'Inputs'!$B$32)/1000+'Inputs'!$B$21+'Inputs'!$B$7+'Inputs'!$B$10))/SQRT((((945-43)*MAX('Inputs'!$B$33,'Inputs'!$B$29+'Inputs'!$B$31+'Inputs'!$B$32,'Inputs'!$B$30+'Inputs'!$B$31+'Inputs'!$B$32)/1000+'Inputs'!$B$21+'Inputs'!$B$7+'Inputs'!$B$10))^2+('Inputs'!$B$8/2)^2))))*'Results'!$B$8)-'Inputs'!$B$28*ABS((('Results'!B7*(1-'Inputs'!$B$24)*(0.5*((((945-43)*MAX('Inputs'!$B$33,'Inputs'!$B$29+'Inputs'!$B$31+'Inputs'!$B$32,'Inputs'!$B$30+'Inputs'!$B$31+'Inputs'!$B$32)/1000+'Inputs'!$B$21)+'Inputs'!$B$7)/SQRT((((945-43)*MAX('Inputs'!$B$33,'Inputs'!$B$29+'Inputs'!$B$31+'Inputs'!$B$32,'Inputs'!$B$30+'Inputs'!$B$31+'Inputs'!$B$32)/1000+'Inputs'!$B$21)+'Inputs'!$B$7)^2+('Inputs'!$B$6/2)^2)-(((945-43)*MAX('Inputs'!$B$33,'Inputs'!$B$29+'Inputs'!$B$31+'Inputs'!$B$32,'Inputs'!$B$30+'Inputs'!$B$31+'Inputs'!$B$32)/1000+'Inputs'!$B$21))/SQRT((((945-43)*MAX('Inputs'!$B$33,'Inputs'!$B$29+'Inputs'!$B$31+'Inputs'!$B$32,'Inputs'!$B$30+'Inputs'!$B$31+'Inputs'!$B$32)/1000+'Inputs'!$B$21))^2+('Inputs'!$B$6/2)^2)))-'Results'!C7*(1+'Inputs'!$B$24)*(0.5*((((945-43)*MAX('Inputs'!$B$33,'Inputs'!$B$29+'Inputs'!$B$31+'Inputs'!$B$32,'Inputs'!$B$30+'Inputs'!$B$31+'Inputs'!$B$32)/1000+'Inputs'!$B$21+'Inputs'!$B$7+'Inputs'!$B$10)+'Inputs'!$B$9)/SQRT((((945-43)*MAX('Inputs'!$B$33,'Inputs'!$B$29+'Inputs'!$B$31+'Inputs'!$B$32,'Inputs'!$B$30+'Inputs'!$B$31+'Inputs'!$B$32)/1000+'Inputs'!$B$21+'Inputs'!$B$7+'Inputs'!$B$10)+'Inputs'!$B$9)^2+('Inputs'!$B$8/2)^2)-(((945-43)*MAX('Inputs'!$B$33,'Inputs'!$B$29+'Inputs'!$B$31+'Inputs'!$B$32,'Inputs'!$B$30+'Inputs'!$B$31+'Inputs'!$B$32)/1000+'Inputs'!$B$21+'Inputs'!$B$7+'Inputs'!$B$10))/SQRT((((945-43)*MAX('Inputs'!$B$33,'Inputs'!$B$29+'Inputs'!$B$31+'Inputs'!$B$32,'Inputs'!$B$30+'Inputs'!$B$31+'Inputs'!$B$32)/1000+'Inputs'!$B$21+'Inputs'!$B$7+'Inputs'!$B$10))^2+('Inputs'!$B$8/2)^2))))*'Results'!$B$8))),"")</x:f>
        <x:v>0.4398522655481023</x:v>
      </x:c>
      <x:c r="L945" t="n">
        <x:f>IF(AND(ISNUMBER('Results'!B7),ISNUMBER('Results'!C7),ISNUMBER('Results'!$B$8),ISNUMBER('Inputs'!$B$6),ISNUMBER('Inputs'!$B$7),ISNUMBER('Inputs'!$B$8),ISNUMBER('Inputs'!$B$9),ISNUMBER('Inputs'!$B$10),ISNUMBER('Inputs'!$B$21),ISNUMBER('Inputs'!$B$24),ISNUMBER('Inputs'!$B$28)),((('Results'!B7*(1+'Inputs'!$B$24)*(0.5*((((945-43)*MAX('Inputs'!$B$33,'Inputs'!$B$29+'Inputs'!$B$31+'Inputs'!$B$32,'Inputs'!$B$30+'Inputs'!$B$31+'Inputs'!$B$32)/1000+'Inputs'!$B$21)+'Inputs'!$B$7)/SQRT((((945-43)*MAX('Inputs'!$B$33,'Inputs'!$B$29+'Inputs'!$B$31+'Inputs'!$B$32,'Inputs'!$B$30+'Inputs'!$B$31+'Inputs'!$B$32)/1000+'Inputs'!$B$21)+'Inputs'!$B$7)^2+('Inputs'!$B$6/2)^2)-(((945-43)*MAX('Inputs'!$B$33,'Inputs'!$B$29+'Inputs'!$B$31+'Inputs'!$B$32,'Inputs'!$B$30+'Inputs'!$B$31+'Inputs'!$B$32)/1000+'Inputs'!$B$21))/SQRT((((945-43)*MAX('Inputs'!$B$33,'Inputs'!$B$29+'Inputs'!$B$31+'Inputs'!$B$32,'Inputs'!$B$30+'Inputs'!$B$31+'Inputs'!$B$32)/1000+'Inputs'!$B$21))^2+('Inputs'!$B$6/2)^2)))-'Results'!C7*(1-'Inputs'!$B$24)*(0.5*((((945-43)*MAX('Inputs'!$B$33,'Inputs'!$B$29+'Inputs'!$B$31+'Inputs'!$B$32,'Inputs'!$B$30+'Inputs'!$B$31+'Inputs'!$B$32)/1000+'Inputs'!$B$21+'Inputs'!$B$7+'Inputs'!$B$10)+'Inputs'!$B$9)/SQRT((((945-43)*MAX('Inputs'!$B$33,'Inputs'!$B$29+'Inputs'!$B$31+'Inputs'!$B$32,'Inputs'!$B$30+'Inputs'!$B$31+'Inputs'!$B$32)/1000+'Inputs'!$B$21+'Inputs'!$B$7+'Inputs'!$B$10)+'Inputs'!$B$9)^2+('Inputs'!$B$8/2)^2)-(((945-43)*MAX('Inputs'!$B$33,'Inputs'!$B$29+'Inputs'!$B$31+'Inputs'!$B$32,'Inputs'!$B$30+'Inputs'!$B$31+'Inputs'!$B$32)/1000+'Inputs'!$B$21+'Inputs'!$B$7+'Inputs'!$B$10))/SQRT((((945-43)*MAX('Inputs'!$B$33,'Inputs'!$B$29+'Inputs'!$B$31+'Inputs'!$B$32,'Inputs'!$B$30+'Inputs'!$B$31+'Inputs'!$B$32)/1000+'Inputs'!$B$21+'Inputs'!$B$7+'Inputs'!$B$10))^2+('Inputs'!$B$8/2)^2))))*'Results'!$B$8)+'Inputs'!$B$28*ABS((('Results'!B7*(1+'Inputs'!$B$24)*(0.5*((((945-43)*MAX('Inputs'!$B$33,'Inputs'!$B$29+'Inputs'!$B$31+'Inputs'!$B$32,'Inputs'!$B$30+'Inputs'!$B$31+'Inputs'!$B$32)/1000+'Inputs'!$B$21)+'Inputs'!$B$7)/SQRT((((945-43)*MAX('Inputs'!$B$33,'Inputs'!$B$29+'Inputs'!$B$31+'Inputs'!$B$32,'Inputs'!$B$30+'Inputs'!$B$31+'Inputs'!$B$32)/1000+'Inputs'!$B$21)+'Inputs'!$B$7)^2+('Inputs'!$B$6/2)^2)-(((945-43)*MAX('Inputs'!$B$33,'Inputs'!$B$29+'Inputs'!$B$31+'Inputs'!$B$32,'Inputs'!$B$30+'Inputs'!$B$31+'Inputs'!$B$32)/1000+'Inputs'!$B$21))/SQRT((((945-43)*MAX('Inputs'!$B$33,'Inputs'!$B$29+'Inputs'!$B$31+'Inputs'!$B$32,'Inputs'!$B$30+'Inputs'!$B$31+'Inputs'!$B$32)/1000+'Inputs'!$B$21))^2+('Inputs'!$B$6/2)^2)))-'Results'!C7*(1-'Inputs'!$B$24)*(0.5*((((945-43)*MAX('Inputs'!$B$33,'Inputs'!$B$29+'Inputs'!$B$31+'Inputs'!$B$32,'Inputs'!$B$30+'Inputs'!$B$31+'Inputs'!$B$32)/1000+'Inputs'!$B$21+'Inputs'!$B$7+'Inputs'!$B$10)+'Inputs'!$B$9)/SQRT((((945-43)*MAX('Inputs'!$B$33,'Inputs'!$B$29+'Inputs'!$B$31+'Inputs'!$B$32,'Inputs'!$B$30+'Inputs'!$B$31+'Inputs'!$B$32)/1000+'Inputs'!$B$21+'Inputs'!$B$7+'Inputs'!$B$10)+'Inputs'!$B$9)^2+('Inputs'!$B$8/2)^2)-(((945-43)*MAX('Inputs'!$B$33,'Inputs'!$B$29+'Inputs'!$B$31+'Inputs'!$B$32,'Inputs'!$B$30+'Inputs'!$B$31+'Inputs'!$B$32)/1000+'Inputs'!$B$21+'Inputs'!$B$7+'Inputs'!$B$10))/SQRT((((945-43)*MAX('Inputs'!$B$33,'Inputs'!$B$29+'Inputs'!$B$31+'Inputs'!$B$32,'Inputs'!$B$30+'Inputs'!$B$31+'Inputs'!$B$32)/1000+'Inputs'!$B$21+'Inputs'!$B$7+'Inputs'!$B$10))^2+('Inputs'!$B$8/2)^2))))*'Results'!$B$8))),"")</x:f>
        <x:v>0.6055636341646226</x:v>
      </x:c>
      <x:c r="M945" t="n">
        <x:f>IF(AND(ISNUMBER('Results'!C7),ISNUMBER('Results'!B7),ISNUMBER('Results'!$B$8),ISNUMBER('Inputs'!$B$6),ISNUMBER('Inputs'!$B$7),ISNUMBER('Inputs'!$B$8),ISNUMBER('Inputs'!$B$9),ISNUMBER('Inputs'!$B$10),ISNUMBER('Inputs'!$B$21),ISNUMBER('Inputs'!$B$24),ISNUMBER('Inputs'!$B$28)),(('Results'!C7*(0.5*((((945-43)*MAX('Inputs'!$B$33,'Inputs'!$B$29+'Inputs'!$B$31+'Inputs'!$B$32,'Inputs'!$B$30+'Inputs'!$B$31+'Inputs'!$B$32)/1000+'Inputs'!$B$21)+'Inputs'!$B$9)/SQRT((((945-43)*MAX('Inputs'!$B$33,'Inputs'!$B$29+'Inputs'!$B$31+'Inputs'!$B$32,'Inputs'!$B$30+'Inputs'!$B$31+'Inputs'!$B$32)/1000+'Inputs'!$B$21)+'Inputs'!$B$9)^2+('Inputs'!$B$8/2)^2)-(((945-43)*MAX('Inputs'!$B$33,'Inputs'!$B$29+'Inputs'!$B$31+'Inputs'!$B$32,'Inputs'!$B$30+'Inputs'!$B$31+'Inputs'!$B$32)/1000+'Inputs'!$B$21))/SQRT((((945-43)*MAX('Inputs'!$B$33,'Inputs'!$B$29+'Inputs'!$B$31+'Inputs'!$B$32,'Inputs'!$B$30+'Inputs'!$B$31+'Inputs'!$B$32)/1000+'Inputs'!$B$21))^2+('Inputs'!$B$8/2)^2)))-'Results'!B7*(0.5*((((945-43)*MAX('Inputs'!$B$33,'Inputs'!$B$29+'Inputs'!$B$31+'Inputs'!$B$32,'Inputs'!$B$30+'Inputs'!$B$31+'Inputs'!$B$32)/1000+'Inputs'!$B$21+'Inputs'!$B$9+'Inputs'!$B$10)+'Inputs'!$B$7)/SQRT((((945-43)*MAX('Inputs'!$B$33,'Inputs'!$B$29+'Inputs'!$B$31+'Inputs'!$B$32,'Inputs'!$B$30+'Inputs'!$B$31+'Inputs'!$B$32)/1000+'Inputs'!$B$21+'Inputs'!$B$9+'Inputs'!$B$10)+'Inputs'!$B$7)^2+('Inputs'!$B$6/2)^2)-(((945-43)*MAX('Inputs'!$B$33,'Inputs'!$B$29+'Inputs'!$B$31+'Inputs'!$B$32,'Inputs'!$B$30+'Inputs'!$B$31+'Inputs'!$B$32)/1000+'Inputs'!$B$21+'Inputs'!$B$9+'Inputs'!$B$10))/SQRT((((945-43)*MAX('Inputs'!$B$33,'Inputs'!$B$29+'Inputs'!$B$31+'Inputs'!$B$32,'Inputs'!$B$30+'Inputs'!$B$31+'Inputs'!$B$32)/1000+'Inputs'!$B$21+'Inputs'!$B$9+'Inputs'!$B$10))^2+('Inputs'!$B$6/2)^2))))*'Results'!$B$8),"")</x:f>
        <x:v>0.46252825064085845</x:v>
      </x:c>
      <x:c r="N945" t="n">
        <x:f>IF(AND(ISNUMBER('Results'!C7),ISNUMBER('Results'!B7),ISNUMBER('Results'!$B$8),ISNUMBER('Inputs'!$B$6),ISNUMBER('Inputs'!$B$7),ISNUMBER('Inputs'!$B$8),ISNUMBER('Inputs'!$B$9),ISNUMBER('Inputs'!$B$10),ISNUMBER('Inputs'!$B$21),ISNUMBER('Inputs'!$B$24),ISNUMBER('Inputs'!$B$28)),((('Results'!C7*(1-'Inputs'!$B$24)*(0.5*((((945-43)*MAX('Inputs'!$B$33,'Inputs'!$B$29+'Inputs'!$B$31+'Inputs'!$B$32,'Inputs'!$B$30+'Inputs'!$B$31+'Inputs'!$B$32)/1000+'Inputs'!$B$21)+'Inputs'!$B$9)/SQRT((((945-43)*MAX('Inputs'!$B$33,'Inputs'!$B$29+'Inputs'!$B$31+'Inputs'!$B$32,'Inputs'!$B$30+'Inputs'!$B$31+'Inputs'!$B$32)/1000+'Inputs'!$B$21)+'Inputs'!$B$9)^2+('Inputs'!$B$8/2)^2)-(((945-43)*MAX('Inputs'!$B$33,'Inputs'!$B$29+'Inputs'!$B$31+'Inputs'!$B$32,'Inputs'!$B$30+'Inputs'!$B$31+'Inputs'!$B$32)/1000+'Inputs'!$B$21))/SQRT((((945-43)*MAX('Inputs'!$B$33,'Inputs'!$B$29+'Inputs'!$B$31+'Inputs'!$B$32,'Inputs'!$B$30+'Inputs'!$B$31+'Inputs'!$B$32)/1000+'Inputs'!$B$21))^2+('Inputs'!$B$8/2)^2)))-'Results'!B7*(1+'Inputs'!$B$24)*(0.5*((((945-43)*MAX('Inputs'!$B$33,'Inputs'!$B$29+'Inputs'!$B$31+'Inputs'!$B$32,'Inputs'!$B$30+'Inputs'!$B$31+'Inputs'!$B$32)/1000+'Inputs'!$B$21+'Inputs'!$B$9+'Inputs'!$B$10)+'Inputs'!$B$7)/SQRT((((945-43)*MAX('Inputs'!$B$33,'Inputs'!$B$29+'Inputs'!$B$31+'Inputs'!$B$32,'Inputs'!$B$30+'Inputs'!$B$31+'Inputs'!$B$32)/1000+'Inputs'!$B$21+'Inputs'!$B$9+'Inputs'!$B$10)+'Inputs'!$B$7)^2+('Inputs'!$B$6/2)^2)-(((945-43)*MAX('Inputs'!$B$33,'Inputs'!$B$29+'Inputs'!$B$31+'Inputs'!$B$32,'Inputs'!$B$30+'Inputs'!$B$31+'Inputs'!$B$32)/1000+'Inputs'!$B$21+'Inputs'!$B$9+'Inputs'!$B$10))/SQRT((((945-43)*MAX('Inputs'!$B$33,'Inputs'!$B$29+'Inputs'!$B$31+'Inputs'!$B$32,'Inputs'!$B$30+'Inputs'!$B$31+'Inputs'!$B$32)/1000+'Inputs'!$B$21+'Inputs'!$B$9+'Inputs'!$B$10))^2+('Inputs'!$B$6/2)^2))))*'Results'!$B$8)-'Inputs'!$B$28*ABS((('Results'!C7*(1-'Inputs'!$B$24)*(0.5*((((945-43)*MAX('Inputs'!$B$33,'Inputs'!$B$29+'Inputs'!$B$31+'Inputs'!$B$32,'Inputs'!$B$30+'Inputs'!$B$31+'Inputs'!$B$32)/1000+'Inputs'!$B$21)+'Inputs'!$B$9)/SQRT((((945-43)*MAX('Inputs'!$B$33,'Inputs'!$B$29+'Inputs'!$B$31+'Inputs'!$B$32,'Inputs'!$B$30+'Inputs'!$B$31+'Inputs'!$B$32)/1000+'Inputs'!$B$21)+'Inputs'!$B$9)^2+('Inputs'!$B$8/2)^2)-(((945-43)*MAX('Inputs'!$B$33,'Inputs'!$B$29+'Inputs'!$B$31+'Inputs'!$B$32,'Inputs'!$B$30+'Inputs'!$B$31+'Inputs'!$B$32)/1000+'Inputs'!$B$21))/SQRT((((945-43)*MAX('Inputs'!$B$33,'Inputs'!$B$29+'Inputs'!$B$31+'Inputs'!$B$32,'Inputs'!$B$30+'Inputs'!$B$31+'Inputs'!$B$32)/1000+'Inputs'!$B$21))^2+('Inputs'!$B$8/2)^2)))-'Results'!B7*(1+'Inputs'!$B$24)*(0.5*((((945-43)*MAX('Inputs'!$B$33,'Inputs'!$B$29+'Inputs'!$B$31+'Inputs'!$B$32,'Inputs'!$B$30+'Inputs'!$B$31+'Inputs'!$B$32)/1000+'Inputs'!$B$21+'Inputs'!$B$9+'Inputs'!$B$10)+'Inputs'!$B$7)/SQRT((((945-43)*MAX('Inputs'!$B$33,'Inputs'!$B$29+'Inputs'!$B$31+'Inputs'!$B$32,'Inputs'!$B$30+'Inputs'!$B$31+'Inputs'!$B$32)/1000+'Inputs'!$B$21+'Inputs'!$B$9+'Inputs'!$B$10)+'Inputs'!$B$7)^2+('Inputs'!$B$6/2)^2)-(((945-43)*MAX('Inputs'!$B$33,'Inputs'!$B$29+'Inputs'!$B$31+'Inputs'!$B$32,'Inputs'!$B$30+'Inputs'!$B$31+'Inputs'!$B$32)/1000+'Inputs'!$B$21+'Inputs'!$B$9+'Inputs'!$B$10))/SQRT((((945-43)*MAX('Inputs'!$B$33,'Inputs'!$B$29+'Inputs'!$B$31+'Inputs'!$B$32,'Inputs'!$B$30+'Inputs'!$B$31+'Inputs'!$B$32)/1000+'Inputs'!$B$21+'Inputs'!$B$9+'Inputs'!$B$10))^2+('Inputs'!$B$6/2)^2))))*'Results'!$B$8))),"")</x:f>
        <x:v>0.38557105741794817</x:v>
      </x:c>
      <x:c r="O945" t="n">
        <x:f>IF(AND(ISNUMBER('Results'!C7),ISNUMBER('Results'!B7),ISNUMBER('Results'!$B$8),ISNUMBER('Inputs'!$B$6),ISNUMBER('Inputs'!$B$7),ISNUMBER('Inputs'!$B$8),ISNUMBER('Inputs'!$B$9),ISNUMBER('Inputs'!$B$10),ISNUMBER('Inputs'!$B$21),ISNUMBER('Inputs'!$B$24),ISNUMBER('Inputs'!$B$28)),((('Results'!C7*(1+'Inputs'!$B$24)*(0.5*((((945-43)*MAX('Inputs'!$B$33,'Inputs'!$B$29+'Inputs'!$B$31+'Inputs'!$B$32,'Inputs'!$B$30+'Inputs'!$B$31+'Inputs'!$B$32)/1000+'Inputs'!$B$21)+'Inputs'!$B$9)/SQRT((((945-43)*MAX('Inputs'!$B$33,'Inputs'!$B$29+'Inputs'!$B$31+'Inputs'!$B$32,'Inputs'!$B$30+'Inputs'!$B$31+'Inputs'!$B$32)/1000+'Inputs'!$B$21)+'Inputs'!$B$9)^2+('Inputs'!$B$8/2)^2)-(((945-43)*MAX('Inputs'!$B$33,'Inputs'!$B$29+'Inputs'!$B$31+'Inputs'!$B$32,'Inputs'!$B$30+'Inputs'!$B$31+'Inputs'!$B$32)/1000+'Inputs'!$B$21))/SQRT((((945-43)*MAX('Inputs'!$B$33,'Inputs'!$B$29+'Inputs'!$B$31+'Inputs'!$B$32,'Inputs'!$B$30+'Inputs'!$B$31+'Inputs'!$B$32)/1000+'Inputs'!$B$21))^2+('Inputs'!$B$8/2)^2)))-'Results'!B7*(1-'Inputs'!$B$24)*(0.5*((((945-43)*MAX('Inputs'!$B$33,'Inputs'!$B$29+'Inputs'!$B$31+'Inputs'!$B$32,'Inputs'!$B$30+'Inputs'!$B$31+'Inputs'!$B$32)/1000+'Inputs'!$B$21+'Inputs'!$B$9+'Inputs'!$B$10)+'Inputs'!$B$7)/SQRT((((945-43)*MAX('Inputs'!$B$33,'Inputs'!$B$29+'Inputs'!$B$31+'Inputs'!$B$32,'Inputs'!$B$30+'Inputs'!$B$31+'Inputs'!$B$32)/1000+'Inputs'!$B$21+'Inputs'!$B$9+'Inputs'!$B$10)+'Inputs'!$B$7)^2+('Inputs'!$B$6/2)^2)-(((945-43)*MAX('Inputs'!$B$33,'Inputs'!$B$29+'Inputs'!$B$31+'Inputs'!$B$32,'Inputs'!$B$30+'Inputs'!$B$31+'Inputs'!$B$32)/1000+'Inputs'!$B$21+'Inputs'!$B$9+'Inputs'!$B$10))/SQRT((((945-43)*MAX('Inputs'!$B$33,'Inputs'!$B$29+'Inputs'!$B$31+'Inputs'!$B$32,'Inputs'!$B$30+'Inputs'!$B$31+'Inputs'!$B$32)/1000+'Inputs'!$B$21+'Inputs'!$B$9+'Inputs'!$B$10))^2+('Inputs'!$B$6/2)^2))))*'Results'!$B$8)+'Inputs'!$B$28*ABS((('Results'!C7*(1+'Inputs'!$B$24)*(0.5*((((945-43)*MAX('Inputs'!$B$33,'Inputs'!$B$29+'Inputs'!$B$31+'Inputs'!$B$32,'Inputs'!$B$30+'Inputs'!$B$31+'Inputs'!$B$32)/1000+'Inputs'!$B$21)+'Inputs'!$B$9)/SQRT((((945-43)*MAX('Inputs'!$B$33,'Inputs'!$B$29+'Inputs'!$B$31+'Inputs'!$B$32,'Inputs'!$B$30+'Inputs'!$B$31+'Inputs'!$B$32)/1000+'Inputs'!$B$21)+'Inputs'!$B$9)^2+('Inputs'!$B$8/2)^2)-(((945-43)*MAX('Inputs'!$B$33,'Inputs'!$B$29+'Inputs'!$B$31+'Inputs'!$B$32,'Inputs'!$B$30+'Inputs'!$B$31+'Inputs'!$B$32)/1000+'Inputs'!$B$21))/SQRT((((945-43)*MAX('Inputs'!$B$33,'Inputs'!$B$29+'Inputs'!$B$31+'Inputs'!$B$32,'Inputs'!$B$30+'Inputs'!$B$31+'Inputs'!$B$32)/1000+'Inputs'!$B$21))^2+('Inputs'!$B$8/2)^2)))-'Results'!B7*(1-'Inputs'!$B$24)*(0.5*((((945-43)*MAX('Inputs'!$B$33,'Inputs'!$B$29+'Inputs'!$B$31+'Inputs'!$B$32,'Inputs'!$B$30+'Inputs'!$B$31+'Inputs'!$B$32)/1000+'Inputs'!$B$21+'Inputs'!$B$9+'Inputs'!$B$10)+'Inputs'!$B$7)/SQRT((((945-43)*MAX('Inputs'!$B$33,'Inputs'!$B$29+'Inputs'!$B$31+'Inputs'!$B$32,'Inputs'!$B$30+'Inputs'!$B$31+'Inputs'!$B$32)/1000+'Inputs'!$B$21+'Inputs'!$B$9+'Inputs'!$B$10)+'Inputs'!$B$7)^2+('Inputs'!$B$6/2)^2)-(((945-43)*MAX('Inputs'!$B$33,'Inputs'!$B$29+'Inputs'!$B$31+'Inputs'!$B$32,'Inputs'!$B$30+'Inputs'!$B$31+'Inputs'!$B$32)/1000+'Inputs'!$B$21+'Inputs'!$B$9+'Inputs'!$B$10))/SQRT((((945-43)*MAX('Inputs'!$B$33,'Inputs'!$B$29+'Inputs'!$B$31+'Inputs'!$B$32,'Inputs'!$B$30+'Inputs'!$B$31+'Inputs'!$B$32)/1000+'Inputs'!$B$21+'Inputs'!$B$9+'Inputs'!$B$10))^2+('Inputs'!$B$6/2)^2))))*'Results'!$B$8))),"")</x:f>
        <x:v>0.5451518418312284</x:v>
      </x:c>
      <x:c r="P945" t="n">
        <x:f>IF(AND(MAX(J945,J944)&gt;0,J945&gt;J944+0.00000001),1,0)</x:f>
        <x:v>0</x:v>
      </x:c>
      <x:c r="Q945" t="n">
        <x:f>IF(AND(MAX(K945,K944)&gt;0,K945&gt;K944+0.00000001),1,0)</x:f>
        <x:v>0</x:v>
      </x:c>
      <x:c r="R945" t="n">
        <x:f>IF(AND(MAX(L945,L944)&gt;0,L945&gt;L944+0.00000001),1,0)</x:f>
        <x:v>0</x:v>
      </x:c>
      <x:c r="S945" t="n">
        <x:f>IF(AND(MAX(M945,M944)&gt;0,M945&gt;M944+0.00000001),1,0)</x:f>
        <x:v>0</x:v>
      </x:c>
      <x:c r="T945" t="n">
        <x:f>IF(AND(MAX(N945,N944)&gt;0,N945&gt;N944+0.00000001),1,0)</x:f>
        <x:v>0</x:v>
      </x:c>
      <x:c r="U945" t="n">
        <x:f>IF(AND(MAX(O945,O944)&gt;0,O945&gt;O944+0.00000001),1,0)</x:f>
        <x:v>0</x:v>
      </x:c>
    </x:row>
    <x:row r="946">
      <x:c r="J946" t="n">
        <x:f>IF(AND(ISNUMBER('Results'!B7),ISNUMBER('Results'!C7),ISNUMBER('Results'!$B$8),ISNUMBER('Inputs'!$B$6),ISNUMBER('Inputs'!$B$7),ISNUMBER('Inputs'!$B$8),ISNUMBER('Inputs'!$B$9),ISNUMBER('Inputs'!$B$10),ISNUMBER('Inputs'!$B$21),ISNUMBER('Inputs'!$B$24),ISNUMBER('Inputs'!$B$28)),(('Results'!B7*(0.5*((((946-43)*MAX('Inputs'!$B$33,'Inputs'!$B$29+'Inputs'!$B$31+'Inputs'!$B$32,'Inputs'!$B$30+'Inputs'!$B$31+'Inputs'!$B$32)/1000+'Inputs'!$B$21)+'Inputs'!$B$7)/SQRT((((946-43)*MAX('Inputs'!$B$33,'Inputs'!$B$29+'Inputs'!$B$31+'Inputs'!$B$32,'Inputs'!$B$30+'Inputs'!$B$31+'Inputs'!$B$32)/1000+'Inputs'!$B$21)+'Inputs'!$B$7)^2+('Inputs'!$B$6/2)^2)-(((946-43)*MAX('Inputs'!$B$33,'Inputs'!$B$29+'Inputs'!$B$31+'Inputs'!$B$32,'Inputs'!$B$30+'Inputs'!$B$31+'Inputs'!$B$32)/1000+'Inputs'!$B$21))/SQRT((((946-43)*MAX('Inputs'!$B$33,'Inputs'!$B$29+'Inputs'!$B$31+'Inputs'!$B$32,'Inputs'!$B$30+'Inputs'!$B$31+'Inputs'!$B$32)/1000+'Inputs'!$B$21))^2+('Inputs'!$B$6/2)^2)))-'Results'!C7*(0.5*((((946-43)*MAX('Inputs'!$B$33,'Inputs'!$B$29+'Inputs'!$B$31+'Inputs'!$B$32,'Inputs'!$B$30+'Inputs'!$B$31+'Inputs'!$B$32)/1000+'Inputs'!$B$21+'Inputs'!$B$7+'Inputs'!$B$10)+'Inputs'!$B$9)/SQRT((((946-43)*MAX('Inputs'!$B$33,'Inputs'!$B$29+'Inputs'!$B$31+'Inputs'!$B$32,'Inputs'!$B$30+'Inputs'!$B$31+'Inputs'!$B$32)/1000+'Inputs'!$B$21+'Inputs'!$B$7+'Inputs'!$B$10)+'Inputs'!$B$9)^2+('Inputs'!$B$8/2)^2)-(((946-43)*MAX('Inputs'!$B$33,'Inputs'!$B$29+'Inputs'!$B$31+'Inputs'!$B$32,'Inputs'!$B$30+'Inputs'!$B$31+'Inputs'!$B$32)/1000+'Inputs'!$B$21+'Inputs'!$B$7+'Inputs'!$B$10))/SQRT((((946-43)*MAX('Inputs'!$B$33,'Inputs'!$B$29+'Inputs'!$B$31+'Inputs'!$B$32,'Inputs'!$B$30+'Inputs'!$B$31+'Inputs'!$B$32)/1000+'Inputs'!$B$21+'Inputs'!$B$7+'Inputs'!$B$10))^2+('Inputs'!$B$8/2)^2))))*'Results'!$B$8),"")</x:f>
        <x:v>0.5177790020115522</x:v>
      </x:c>
      <x:c r="K946" t="n">
        <x:f>IF(AND(ISNUMBER('Results'!B7),ISNUMBER('Results'!C7),ISNUMBER('Results'!$B$8),ISNUMBER('Inputs'!$B$6),ISNUMBER('Inputs'!$B$7),ISNUMBER('Inputs'!$B$8),ISNUMBER('Inputs'!$B$9),ISNUMBER('Inputs'!$B$10),ISNUMBER('Inputs'!$B$21),ISNUMBER('Inputs'!$B$24),ISNUMBER('Inputs'!$B$28)),((('Results'!B7*(1-'Inputs'!$B$24)*(0.5*((((946-43)*MAX('Inputs'!$B$33,'Inputs'!$B$29+'Inputs'!$B$31+'Inputs'!$B$32,'Inputs'!$B$30+'Inputs'!$B$31+'Inputs'!$B$32)/1000+'Inputs'!$B$21)+'Inputs'!$B$7)/SQRT((((946-43)*MAX('Inputs'!$B$33,'Inputs'!$B$29+'Inputs'!$B$31+'Inputs'!$B$32,'Inputs'!$B$30+'Inputs'!$B$31+'Inputs'!$B$32)/1000+'Inputs'!$B$21)+'Inputs'!$B$7)^2+('Inputs'!$B$6/2)^2)-(((946-43)*MAX('Inputs'!$B$33,'Inputs'!$B$29+'Inputs'!$B$31+'Inputs'!$B$32,'Inputs'!$B$30+'Inputs'!$B$31+'Inputs'!$B$32)/1000+'Inputs'!$B$21))/SQRT((((946-43)*MAX('Inputs'!$B$33,'Inputs'!$B$29+'Inputs'!$B$31+'Inputs'!$B$32,'Inputs'!$B$30+'Inputs'!$B$31+'Inputs'!$B$32)/1000+'Inputs'!$B$21))^2+('Inputs'!$B$6/2)^2)))-'Results'!C7*(1+'Inputs'!$B$24)*(0.5*((((946-43)*MAX('Inputs'!$B$33,'Inputs'!$B$29+'Inputs'!$B$31+'Inputs'!$B$32,'Inputs'!$B$30+'Inputs'!$B$31+'Inputs'!$B$32)/1000+'Inputs'!$B$21+'Inputs'!$B$7+'Inputs'!$B$10)+'Inputs'!$B$9)/SQRT((((946-43)*MAX('Inputs'!$B$33,'Inputs'!$B$29+'Inputs'!$B$31+'Inputs'!$B$32,'Inputs'!$B$30+'Inputs'!$B$31+'Inputs'!$B$32)/1000+'Inputs'!$B$21+'Inputs'!$B$7+'Inputs'!$B$10)+'Inputs'!$B$9)^2+('Inputs'!$B$8/2)^2)-(((946-43)*MAX('Inputs'!$B$33,'Inputs'!$B$29+'Inputs'!$B$31+'Inputs'!$B$32,'Inputs'!$B$30+'Inputs'!$B$31+'Inputs'!$B$32)/1000+'Inputs'!$B$21+'Inputs'!$B$7+'Inputs'!$B$10))/SQRT((((946-43)*MAX('Inputs'!$B$33,'Inputs'!$B$29+'Inputs'!$B$31+'Inputs'!$B$32,'Inputs'!$B$30+'Inputs'!$B$31+'Inputs'!$B$32)/1000+'Inputs'!$B$21+'Inputs'!$B$7+'Inputs'!$B$10))^2+('Inputs'!$B$8/2)^2))))*'Results'!$B$8)-'Inputs'!$B$28*ABS((('Results'!B7*(1-'Inputs'!$B$24)*(0.5*((((946-43)*MAX('Inputs'!$B$33,'Inputs'!$B$29+'Inputs'!$B$31+'Inputs'!$B$32,'Inputs'!$B$30+'Inputs'!$B$31+'Inputs'!$B$32)/1000+'Inputs'!$B$21)+'Inputs'!$B$7)/SQRT((((946-43)*MAX('Inputs'!$B$33,'Inputs'!$B$29+'Inputs'!$B$31+'Inputs'!$B$32,'Inputs'!$B$30+'Inputs'!$B$31+'Inputs'!$B$32)/1000+'Inputs'!$B$21)+'Inputs'!$B$7)^2+('Inputs'!$B$6/2)^2)-(((946-43)*MAX('Inputs'!$B$33,'Inputs'!$B$29+'Inputs'!$B$31+'Inputs'!$B$32,'Inputs'!$B$30+'Inputs'!$B$31+'Inputs'!$B$32)/1000+'Inputs'!$B$21))/SQRT((((946-43)*MAX('Inputs'!$B$33,'Inputs'!$B$29+'Inputs'!$B$31+'Inputs'!$B$32,'Inputs'!$B$30+'Inputs'!$B$31+'Inputs'!$B$32)/1000+'Inputs'!$B$21))^2+('Inputs'!$B$6/2)^2)))-'Results'!C7*(1+'Inputs'!$B$24)*(0.5*((((946-43)*MAX('Inputs'!$B$33,'Inputs'!$B$29+'Inputs'!$B$31+'Inputs'!$B$32,'Inputs'!$B$30+'Inputs'!$B$31+'Inputs'!$B$32)/1000+'Inputs'!$B$21+'Inputs'!$B$7+'Inputs'!$B$10)+'Inputs'!$B$9)/SQRT((((946-43)*MAX('Inputs'!$B$33,'Inputs'!$B$29+'Inputs'!$B$31+'Inputs'!$B$32,'Inputs'!$B$30+'Inputs'!$B$31+'Inputs'!$B$32)/1000+'Inputs'!$B$21+'Inputs'!$B$7+'Inputs'!$B$10)+'Inputs'!$B$9)^2+('Inputs'!$B$8/2)^2)-(((946-43)*MAX('Inputs'!$B$33,'Inputs'!$B$29+'Inputs'!$B$31+'Inputs'!$B$32,'Inputs'!$B$30+'Inputs'!$B$31+'Inputs'!$B$32)/1000+'Inputs'!$B$21+'Inputs'!$B$7+'Inputs'!$B$10))/SQRT((((946-43)*MAX('Inputs'!$B$33,'Inputs'!$B$29+'Inputs'!$B$31+'Inputs'!$B$32,'Inputs'!$B$30+'Inputs'!$B$31+'Inputs'!$B$32)/1000+'Inputs'!$B$21+'Inputs'!$B$7+'Inputs'!$B$10))^2+('Inputs'!$B$8/2)^2))))*'Results'!$B$8))),"")</x:f>
        <x:v>0.4380371931560319</x:v>
      </x:c>
      <x:c r="L946" t="n">
        <x:f>IF(AND(ISNUMBER('Results'!B7),ISNUMBER('Results'!C7),ISNUMBER('Results'!$B$8),ISNUMBER('Inputs'!$B$6),ISNUMBER('Inputs'!$B$7),ISNUMBER('Inputs'!$B$8),ISNUMBER('Inputs'!$B$9),ISNUMBER('Inputs'!$B$10),ISNUMBER('Inputs'!$B$21),ISNUMBER('Inputs'!$B$24),ISNUMBER('Inputs'!$B$28)),((('Results'!B7*(1+'Inputs'!$B$24)*(0.5*((((946-43)*MAX('Inputs'!$B$33,'Inputs'!$B$29+'Inputs'!$B$31+'Inputs'!$B$32,'Inputs'!$B$30+'Inputs'!$B$31+'Inputs'!$B$32)/1000+'Inputs'!$B$21)+'Inputs'!$B$7)/SQRT((((946-43)*MAX('Inputs'!$B$33,'Inputs'!$B$29+'Inputs'!$B$31+'Inputs'!$B$32,'Inputs'!$B$30+'Inputs'!$B$31+'Inputs'!$B$32)/1000+'Inputs'!$B$21)+'Inputs'!$B$7)^2+('Inputs'!$B$6/2)^2)-(((946-43)*MAX('Inputs'!$B$33,'Inputs'!$B$29+'Inputs'!$B$31+'Inputs'!$B$32,'Inputs'!$B$30+'Inputs'!$B$31+'Inputs'!$B$32)/1000+'Inputs'!$B$21))/SQRT((((946-43)*MAX('Inputs'!$B$33,'Inputs'!$B$29+'Inputs'!$B$31+'Inputs'!$B$32,'Inputs'!$B$30+'Inputs'!$B$31+'Inputs'!$B$32)/1000+'Inputs'!$B$21))^2+('Inputs'!$B$6/2)^2)))-'Results'!C7*(1-'Inputs'!$B$24)*(0.5*((((946-43)*MAX('Inputs'!$B$33,'Inputs'!$B$29+'Inputs'!$B$31+'Inputs'!$B$32,'Inputs'!$B$30+'Inputs'!$B$31+'Inputs'!$B$32)/1000+'Inputs'!$B$21+'Inputs'!$B$7+'Inputs'!$B$10)+'Inputs'!$B$9)/SQRT((((946-43)*MAX('Inputs'!$B$33,'Inputs'!$B$29+'Inputs'!$B$31+'Inputs'!$B$32,'Inputs'!$B$30+'Inputs'!$B$31+'Inputs'!$B$32)/1000+'Inputs'!$B$21+'Inputs'!$B$7+'Inputs'!$B$10)+'Inputs'!$B$9)^2+('Inputs'!$B$8/2)^2)-(((946-43)*MAX('Inputs'!$B$33,'Inputs'!$B$29+'Inputs'!$B$31+'Inputs'!$B$32,'Inputs'!$B$30+'Inputs'!$B$31+'Inputs'!$B$32)/1000+'Inputs'!$B$21+'Inputs'!$B$7+'Inputs'!$B$10))/SQRT((((946-43)*MAX('Inputs'!$B$33,'Inputs'!$B$29+'Inputs'!$B$31+'Inputs'!$B$32,'Inputs'!$B$30+'Inputs'!$B$31+'Inputs'!$B$32)/1000+'Inputs'!$B$21+'Inputs'!$B$7+'Inputs'!$B$10))^2+('Inputs'!$B$8/2)^2))))*'Results'!$B$8)+'Inputs'!$B$28*ABS((('Results'!B7*(1+'Inputs'!$B$24)*(0.5*((((946-43)*MAX('Inputs'!$B$33,'Inputs'!$B$29+'Inputs'!$B$31+'Inputs'!$B$32,'Inputs'!$B$30+'Inputs'!$B$31+'Inputs'!$B$32)/1000+'Inputs'!$B$21)+'Inputs'!$B$7)/SQRT((((946-43)*MAX('Inputs'!$B$33,'Inputs'!$B$29+'Inputs'!$B$31+'Inputs'!$B$32,'Inputs'!$B$30+'Inputs'!$B$31+'Inputs'!$B$32)/1000+'Inputs'!$B$21)+'Inputs'!$B$7)^2+('Inputs'!$B$6/2)^2)-(((946-43)*MAX('Inputs'!$B$33,'Inputs'!$B$29+'Inputs'!$B$31+'Inputs'!$B$32,'Inputs'!$B$30+'Inputs'!$B$31+'Inputs'!$B$32)/1000+'Inputs'!$B$21))/SQRT((((946-43)*MAX('Inputs'!$B$33,'Inputs'!$B$29+'Inputs'!$B$31+'Inputs'!$B$32,'Inputs'!$B$30+'Inputs'!$B$31+'Inputs'!$B$32)/1000+'Inputs'!$B$21))^2+('Inputs'!$B$6/2)^2)))-'Results'!C7*(1-'Inputs'!$B$24)*(0.5*((((946-43)*MAX('Inputs'!$B$33,'Inputs'!$B$29+'Inputs'!$B$31+'Inputs'!$B$32,'Inputs'!$B$30+'Inputs'!$B$31+'Inputs'!$B$32)/1000+'Inputs'!$B$21+'Inputs'!$B$7+'Inputs'!$B$10)+'Inputs'!$B$9)/SQRT((((946-43)*MAX('Inputs'!$B$33,'Inputs'!$B$29+'Inputs'!$B$31+'Inputs'!$B$32,'Inputs'!$B$30+'Inputs'!$B$31+'Inputs'!$B$32)/1000+'Inputs'!$B$21+'Inputs'!$B$7+'Inputs'!$B$10)+'Inputs'!$B$9)^2+('Inputs'!$B$8/2)^2)-(((946-43)*MAX('Inputs'!$B$33,'Inputs'!$B$29+'Inputs'!$B$31+'Inputs'!$B$32,'Inputs'!$B$30+'Inputs'!$B$31+'Inputs'!$B$32)/1000+'Inputs'!$B$21+'Inputs'!$B$7+'Inputs'!$B$10))/SQRT((((946-43)*MAX('Inputs'!$B$33,'Inputs'!$B$29+'Inputs'!$B$31+'Inputs'!$B$32,'Inputs'!$B$30+'Inputs'!$B$31+'Inputs'!$B$32)/1000+'Inputs'!$B$21+'Inputs'!$B$7+'Inputs'!$B$10))^2+('Inputs'!$B$8/2)^2))))*'Results'!$B$8))),"")</x:f>
        <x:v>0.6031895328412769</x:v>
      </x:c>
      <x:c r="M946" t="n">
        <x:f>IF(AND(ISNUMBER('Results'!C7),ISNUMBER('Results'!B7),ISNUMBER('Results'!$B$8),ISNUMBER('Inputs'!$B$6),ISNUMBER('Inputs'!$B$7),ISNUMBER('Inputs'!$B$8),ISNUMBER('Inputs'!$B$9),ISNUMBER('Inputs'!$B$10),ISNUMBER('Inputs'!$B$21),ISNUMBER('Inputs'!$B$24),ISNUMBER('Inputs'!$B$28)),(('Results'!C7*(0.5*((((946-43)*MAX('Inputs'!$B$33,'Inputs'!$B$29+'Inputs'!$B$31+'Inputs'!$B$32,'Inputs'!$B$30+'Inputs'!$B$31+'Inputs'!$B$32)/1000+'Inputs'!$B$21)+'Inputs'!$B$9)/SQRT((((946-43)*MAX('Inputs'!$B$33,'Inputs'!$B$29+'Inputs'!$B$31+'Inputs'!$B$32,'Inputs'!$B$30+'Inputs'!$B$31+'Inputs'!$B$32)/1000+'Inputs'!$B$21)+'Inputs'!$B$9)^2+('Inputs'!$B$8/2)^2)-(((946-43)*MAX('Inputs'!$B$33,'Inputs'!$B$29+'Inputs'!$B$31+'Inputs'!$B$32,'Inputs'!$B$30+'Inputs'!$B$31+'Inputs'!$B$32)/1000+'Inputs'!$B$21))/SQRT((((946-43)*MAX('Inputs'!$B$33,'Inputs'!$B$29+'Inputs'!$B$31+'Inputs'!$B$32,'Inputs'!$B$30+'Inputs'!$B$31+'Inputs'!$B$32)/1000+'Inputs'!$B$21))^2+('Inputs'!$B$8/2)^2)))-'Results'!B7*(0.5*((((946-43)*MAX('Inputs'!$B$33,'Inputs'!$B$29+'Inputs'!$B$31+'Inputs'!$B$32,'Inputs'!$B$30+'Inputs'!$B$31+'Inputs'!$B$32)/1000+'Inputs'!$B$21+'Inputs'!$B$9+'Inputs'!$B$10)+'Inputs'!$B$7)/SQRT((((946-43)*MAX('Inputs'!$B$33,'Inputs'!$B$29+'Inputs'!$B$31+'Inputs'!$B$32,'Inputs'!$B$30+'Inputs'!$B$31+'Inputs'!$B$32)/1000+'Inputs'!$B$21+'Inputs'!$B$9+'Inputs'!$B$10)+'Inputs'!$B$7)^2+('Inputs'!$B$6/2)^2)-(((946-43)*MAX('Inputs'!$B$33,'Inputs'!$B$29+'Inputs'!$B$31+'Inputs'!$B$32,'Inputs'!$B$30+'Inputs'!$B$31+'Inputs'!$B$32)/1000+'Inputs'!$B$21+'Inputs'!$B$9+'Inputs'!$B$10))/SQRT((((946-43)*MAX('Inputs'!$B$33,'Inputs'!$B$29+'Inputs'!$B$31+'Inputs'!$B$32,'Inputs'!$B$30+'Inputs'!$B$31+'Inputs'!$B$32)/1000+'Inputs'!$B$21+'Inputs'!$B$9+'Inputs'!$B$10))^2+('Inputs'!$B$6/2)^2))))*'Results'!$B$8),"")</x:f>
        <x:v>0.4606190104358155</x:v>
      </x:c>
      <x:c r="N946" t="n">
        <x:f>IF(AND(ISNUMBER('Results'!C7),ISNUMBER('Results'!B7),ISNUMBER('Results'!$B$8),ISNUMBER('Inputs'!$B$6),ISNUMBER('Inputs'!$B$7),ISNUMBER('Inputs'!$B$8),ISNUMBER('Inputs'!$B$9),ISNUMBER('Inputs'!$B$10),ISNUMBER('Inputs'!$B$21),ISNUMBER('Inputs'!$B$24),ISNUMBER('Inputs'!$B$28)),((('Results'!C7*(1-'Inputs'!$B$24)*(0.5*((((946-43)*MAX('Inputs'!$B$33,'Inputs'!$B$29+'Inputs'!$B$31+'Inputs'!$B$32,'Inputs'!$B$30+'Inputs'!$B$31+'Inputs'!$B$32)/1000+'Inputs'!$B$21)+'Inputs'!$B$9)/SQRT((((946-43)*MAX('Inputs'!$B$33,'Inputs'!$B$29+'Inputs'!$B$31+'Inputs'!$B$32,'Inputs'!$B$30+'Inputs'!$B$31+'Inputs'!$B$32)/1000+'Inputs'!$B$21)+'Inputs'!$B$9)^2+('Inputs'!$B$8/2)^2)-(((946-43)*MAX('Inputs'!$B$33,'Inputs'!$B$29+'Inputs'!$B$31+'Inputs'!$B$32,'Inputs'!$B$30+'Inputs'!$B$31+'Inputs'!$B$32)/1000+'Inputs'!$B$21))/SQRT((((946-43)*MAX('Inputs'!$B$33,'Inputs'!$B$29+'Inputs'!$B$31+'Inputs'!$B$32,'Inputs'!$B$30+'Inputs'!$B$31+'Inputs'!$B$32)/1000+'Inputs'!$B$21))^2+('Inputs'!$B$8/2)^2)))-'Results'!B7*(1+'Inputs'!$B$24)*(0.5*((((946-43)*MAX('Inputs'!$B$33,'Inputs'!$B$29+'Inputs'!$B$31+'Inputs'!$B$32,'Inputs'!$B$30+'Inputs'!$B$31+'Inputs'!$B$32)/1000+'Inputs'!$B$21+'Inputs'!$B$9+'Inputs'!$B$10)+'Inputs'!$B$7)/SQRT((((946-43)*MAX('Inputs'!$B$33,'Inputs'!$B$29+'Inputs'!$B$31+'Inputs'!$B$32,'Inputs'!$B$30+'Inputs'!$B$31+'Inputs'!$B$32)/1000+'Inputs'!$B$21+'Inputs'!$B$9+'Inputs'!$B$10)+'Inputs'!$B$7)^2+('Inputs'!$B$6/2)^2)-(((946-43)*MAX('Inputs'!$B$33,'Inputs'!$B$29+'Inputs'!$B$31+'Inputs'!$B$32,'Inputs'!$B$30+'Inputs'!$B$31+'Inputs'!$B$32)/1000+'Inputs'!$B$21+'Inputs'!$B$9+'Inputs'!$B$10))/SQRT((((946-43)*MAX('Inputs'!$B$33,'Inputs'!$B$29+'Inputs'!$B$31+'Inputs'!$B$32,'Inputs'!$B$30+'Inputs'!$B$31+'Inputs'!$B$32)/1000+'Inputs'!$B$21+'Inputs'!$B$9+'Inputs'!$B$10))^2+('Inputs'!$B$6/2)^2))))*'Results'!$B$8)-'Inputs'!$B$28*ABS((('Results'!C7*(1-'Inputs'!$B$24)*(0.5*((((946-43)*MAX('Inputs'!$B$33,'Inputs'!$B$29+'Inputs'!$B$31+'Inputs'!$B$32,'Inputs'!$B$30+'Inputs'!$B$31+'Inputs'!$B$32)/1000+'Inputs'!$B$21)+'Inputs'!$B$9)/SQRT((((946-43)*MAX('Inputs'!$B$33,'Inputs'!$B$29+'Inputs'!$B$31+'Inputs'!$B$32,'Inputs'!$B$30+'Inputs'!$B$31+'Inputs'!$B$32)/1000+'Inputs'!$B$21)+'Inputs'!$B$9)^2+('Inputs'!$B$8/2)^2)-(((946-43)*MAX('Inputs'!$B$33,'Inputs'!$B$29+'Inputs'!$B$31+'Inputs'!$B$32,'Inputs'!$B$30+'Inputs'!$B$31+'Inputs'!$B$32)/1000+'Inputs'!$B$21))/SQRT((((946-43)*MAX('Inputs'!$B$33,'Inputs'!$B$29+'Inputs'!$B$31+'Inputs'!$B$32,'Inputs'!$B$30+'Inputs'!$B$31+'Inputs'!$B$32)/1000+'Inputs'!$B$21))^2+('Inputs'!$B$8/2)^2)))-'Results'!B7*(1+'Inputs'!$B$24)*(0.5*((((946-43)*MAX('Inputs'!$B$33,'Inputs'!$B$29+'Inputs'!$B$31+'Inputs'!$B$32,'Inputs'!$B$30+'Inputs'!$B$31+'Inputs'!$B$32)/1000+'Inputs'!$B$21+'Inputs'!$B$9+'Inputs'!$B$10)+'Inputs'!$B$7)/SQRT((((946-43)*MAX('Inputs'!$B$33,'Inputs'!$B$29+'Inputs'!$B$31+'Inputs'!$B$32,'Inputs'!$B$30+'Inputs'!$B$31+'Inputs'!$B$32)/1000+'Inputs'!$B$21+'Inputs'!$B$9+'Inputs'!$B$10)+'Inputs'!$B$7)^2+('Inputs'!$B$6/2)^2)-(((946-43)*MAX('Inputs'!$B$33,'Inputs'!$B$29+'Inputs'!$B$31+'Inputs'!$B$32,'Inputs'!$B$30+'Inputs'!$B$31+'Inputs'!$B$32)/1000+'Inputs'!$B$21+'Inputs'!$B$9+'Inputs'!$B$10))/SQRT((((946-43)*MAX('Inputs'!$B$33,'Inputs'!$B$29+'Inputs'!$B$31+'Inputs'!$B$32,'Inputs'!$B$30+'Inputs'!$B$31+'Inputs'!$B$32)/1000+'Inputs'!$B$21+'Inputs'!$B$9+'Inputs'!$B$10))^2+('Inputs'!$B$6/2)^2))))*'Results'!$B$8))),"")</x:f>
        <x:v>0.38392297451500623</x:v>
      </x:c>
      <x:c r="O946" t="n">
        <x:f>IF(AND(ISNUMBER('Results'!C7),ISNUMBER('Results'!B7),ISNUMBER('Results'!$B$8),ISNUMBER('Inputs'!$B$6),ISNUMBER('Inputs'!$B$7),ISNUMBER('Inputs'!$B$8),ISNUMBER('Inputs'!$B$9),ISNUMBER('Inputs'!$B$10),ISNUMBER('Inputs'!$B$21),ISNUMBER('Inputs'!$B$24),ISNUMBER('Inputs'!$B$28)),((('Results'!C7*(1+'Inputs'!$B$24)*(0.5*((((946-43)*MAX('Inputs'!$B$33,'Inputs'!$B$29+'Inputs'!$B$31+'Inputs'!$B$32,'Inputs'!$B$30+'Inputs'!$B$31+'Inputs'!$B$32)/1000+'Inputs'!$B$21)+'Inputs'!$B$9)/SQRT((((946-43)*MAX('Inputs'!$B$33,'Inputs'!$B$29+'Inputs'!$B$31+'Inputs'!$B$32,'Inputs'!$B$30+'Inputs'!$B$31+'Inputs'!$B$32)/1000+'Inputs'!$B$21)+'Inputs'!$B$9)^2+('Inputs'!$B$8/2)^2)-(((946-43)*MAX('Inputs'!$B$33,'Inputs'!$B$29+'Inputs'!$B$31+'Inputs'!$B$32,'Inputs'!$B$30+'Inputs'!$B$31+'Inputs'!$B$32)/1000+'Inputs'!$B$21))/SQRT((((946-43)*MAX('Inputs'!$B$33,'Inputs'!$B$29+'Inputs'!$B$31+'Inputs'!$B$32,'Inputs'!$B$30+'Inputs'!$B$31+'Inputs'!$B$32)/1000+'Inputs'!$B$21))^2+('Inputs'!$B$8/2)^2)))-'Results'!B7*(1-'Inputs'!$B$24)*(0.5*((((946-43)*MAX('Inputs'!$B$33,'Inputs'!$B$29+'Inputs'!$B$31+'Inputs'!$B$32,'Inputs'!$B$30+'Inputs'!$B$31+'Inputs'!$B$32)/1000+'Inputs'!$B$21+'Inputs'!$B$9+'Inputs'!$B$10)+'Inputs'!$B$7)/SQRT((((946-43)*MAX('Inputs'!$B$33,'Inputs'!$B$29+'Inputs'!$B$31+'Inputs'!$B$32,'Inputs'!$B$30+'Inputs'!$B$31+'Inputs'!$B$32)/1000+'Inputs'!$B$21+'Inputs'!$B$9+'Inputs'!$B$10)+'Inputs'!$B$7)^2+('Inputs'!$B$6/2)^2)-(((946-43)*MAX('Inputs'!$B$33,'Inputs'!$B$29+'Inputs'!$B$31+'Inputs'!$B$32,'Inputs'!$B$30+'Inputs'!$B$31+'Inputs'!$B$32)/1000+'Inputs'!$B$21+'Inputs'!$B$9+'Inputs'!$B$10))/SQRT((((946-43)*MAX('Inputs'!$B$33,'Inputs'!$B$29+'Inputs'!$B$31+'Inputs'!$B$32,'Inputs'!$B$30+'Inputs'!$B$31+'Inputs'!$B$32)/1000+'Inputs'!$B$21+'Inputs'!$B$9+'Inputs'!$B$10))^2+('Inputs'!$B$6/2)^2))))*'Results'!$B$8)+'Inputs'!$B$28*ABS((('Results'!C7*(1+'Inputs'!$B$24)*(0.5*((((946-43)*MAX('Inputs'!$B$33,'Inputs'!$B$29+'Inputs'!$B$31+'Inputs'!$B$32,'Inputs'!$B$30+'Inputs'!$B$31+'Inputs'!$B$32)/1000+'Inputs'!$B$21)+'Inputs'!$B$9)/SQRT((((946-43)*MAX('Inputs'!$B$33,'Inputs'!$B$29+'Inputs'!$B$31+'Inputs'!$B$32,'Inputs'!$B$30+'Inputs'!$B$31+'Inputs'!$B$32)/1000+'Inputs'!$B$21)+'Inputs'!$B$9)^2+('Inputs'!$B$8/2)^2)-(((946-43)*MAX('Inputs'!$B$33,'Inputs'!$B$29+'Inputs'!$B$31+'Inputs'!$B$32,'Inputs'!$B$30+'Inputs'!$B$31+'Inputs'!$B$32)/1000+'Inputs'!$B$21))/SQRT((((946-43)*MAX('Inputs'!$B$33,'Inputs'!$B$29+'Inputs'!$B$31+'Inputs'!$B$32,'Inputs'!$B$30+'Inputs'!$B$31+'Inputs'!$B$32)/1000+'Inputs'!$B$21))^2+('Inputs'!$B$8/2)^2)))-'Results'!B7*(1-'Inputs'!$B$24)*(0.5*((((946-43)*MAX('Inputs'!$B$33,'Inputs'!$B$29+'Inputs'!$B$31+'Inputs'!$B$32,'Inputs'!$B$30+'Inputs'!$B$31+'Inputs'!$B$32)/1000+'Inputs'!$B$21+'Inputs'!$B$9+'Inputs'!$B$10)+'Inputs'!$B$7)/SQRT((((946-43)*MAX('Inputs'!$B$33,'Inputs'!$B$29+'Inputs'!$B$31+'Inputs'!$B$32,'Inputs'!$B$30+'Inputs'!$B$31+'Inputs'!$B$32)/1000+'Inputs'!$B$21+'Inputs'!$B$9+'Inputs'!$B$10)+'Inputs'!$B$7)^2+('Inputs'!$B$6/2)^2)-(((946-43)*MAX('Inputs'!$B$33,'Inputs'!$B$29+'Inputs'!$B$31+'Inputs'!$B$32,'Inputs'!$B$30+'Inputs'!$B$31+'Inputs'!$B$32)/1000+'Inputs'!$B$21+'Inputs'!$B$9+'Inputs'!$B$10))/SQRT((((946-43)*MAX('Inputs'!$B$33,'Inputs'!$B$29+'Inputs'!$B$31+'Inputs'!$B$32,'Inputs'!$B$30+'Inputs'!$B$31+'Inputs'!$B$32)/1000+'Inputs'!$B$21+'Inputs'!$B$9+'Inputs'!$B$10))^2+('Inputs'!$B$6/2)^2))))*'Results'!$B$8))),"")</x:f>
        <x:v>0.5429640027144159</x:v>
      </x:c>
      <x:c r="P946" t="n">
        <x:f>IF(AND(MAX(J946,J945)&gt;0,J946&gt;J945+0.00000001),1,0)</x:f>
        <x:v>0</x:v>
      </x:c>
      <x:c r="Q946" t="n">
        <x:f>IF(AND(MAX(K946,K945)&gt;0,K946&gt;K945+0.00000001),1,0)</x:f>
        <x:v>0</x:v>
      </x:c>
      <x:c r="R946" t="n">
        <x:f>IF(AND(MAX(L946,L945)&gt;0,L946&gt;L945+0.00000001),1,0)</x:f>
        <x:v>0</x:v>
      </x:c>
      <x:c r="S946" t="n">
        <x:f>IF(AND(MAX(M946,M945)&gt;0,M946&gt;M945+0.00000001),1,0)</x:f>
        <x:v>0</x:v>
      </x:c>
      <x:c r="T946" t="n">
        <x:f>IF(AND(MAX(N946,N945)&gt;0,N946&gt;N945+0.00000001),1,0)</x:f>
        <x:v>0</x:v>
      </x:c>
      <x:c r="U946" t="n">
        <x:f>IF(AND(MAX(O946,O945)&gt;0,O946&gt;O945+0.00000001),1,0)</x:f>
        <x:v>0</x:v>
      </x:c>
    </x:row>
    <x:row r="947">
      <x:c r="J947" t="n">
        <x:f>IF(AND(ISNUMBER('Results'!B7),ISNUMBER('Results'!C7),ISNUMBER('Results'!$B$8),ISNUMBER('Inputs'!$B$6),ISNUMBER('Inputs'!$B$7),ISNUMBER('Inputs'!$B$8),ISNUMBER('Inputs'!$B$9),ISNUMBER('Inputs'!$B$10),ISNUMBER('Inputs'!$B$21),ISNUMBER('Inputs'!$B$24),ISNUMBER('Inputs'!$B$28)),(('Results'!B7*(0.5*((((947-43)*MAX('Inputs'!$B$33,'Inputs'!$B$29+'Inputs'!$B$31+'Inputs'!$B$32,'Inputs'!$B$30+'Inputs'!$B$31+'Inputs'!$B$32)/1000+'Inputs'!$B$21)+'Inputs'!$B$7)/SQRT((((947-43)*MAX('Inputs'!$B$33,'Inputs'!$B$29+'Inputs'!$B$31+'Inputs'!$B$32,'Inputs'!$B$30+'Inputs'!$B$31+'Inputs'!$B$32)/1000+'Inputs'!$B$21)+'Inputs'!$B$7)^2+('Inputs'!$B$6/2)^2)-(((947-43)*MAX('Inputs'!$B$33,'Inputs'!$B$29+'Inputs'!$B$31+'Inputs'!$B$32,'Inputs'!$B$30+'Inputs'!$B$31+'Inputs'!$B$32)/1000+'Inputs'!$B$21))/SQRT((((947-43)*MAX('Inputs'!$B$33,'Inputs'!$B$29+'Inputs'!$B$31+'Inputs'!$B$32,'Inputs'!$B$30+'Inputs'!$B$31+'Inputs'!$B$32)/1000+'Inputs'!$B$21))^2+('Inputs'!$B$6/2)^2)))-'Results'!C7*(0.5*((((947-43)*MAX('Inputs'!$B$33,'Inputs'!$B$29+'Inputs'!$B$31+'Inputs'!$B$32,'Inputs'!$B$30+'Inputs'!$B$31+'Inputs'!$B$32)/1000+'Inputs'!$B$21+'Inputs'!$B$7+'Inputs'!$B$10)+'Inputs'!$B$9)/SQRT((((947-43)*MAX('Inputs'!$B$33,'Inputs'!$B$29+'Inputs'!$B$31+'Inputs'!$B$32,'Inputs'!$B$30+'Inputs'!$B$31+'Inputs'!$B$32)/1000+'Inputs'!$B$21+'Inputs'!$B$7+'Inputs'!$B$10)+'Inputs'!$B$9)^2+('Inputs'!$B$8/2)^2)-(((947-43)*MAX('Inputs'!$B$33,'Inputs'!$B$29+'Inputs'!$B$31+'Inputs'!$B$32,'Inputs'!$B$30+'Inputs'!$B$31+'Inputs'!$B$32)/1000+'Inputs'!$B$21+'Inputs'!$B$7+'Inputs'!$B$10))/SQRT((((947-43)*MAX('Inputs'!$B$33,'Inputs'!$B$29+'Inputs'!$B$31+'Inputs'!$B$32,'Inputs'!$B$30+'Inputs'!$B$31+'Inputs'!$B$32)/1000+'Inputs'!$B$21+'Inputs'!$B$7+'Inputs'!$B$10))^2+('Inputs'!$B$8/2)^2))))*'Results'!$B$8),"")</x:f>
        <x:v>0.5157036783583617</x:v>
      </x:c>
      <x:c r="K947" t="n">
        <x:f>IF(AND(ISNUMBER('Results'!B7),ISNUMBER('Results'!C7),ISNUMBER('Results'!$B$8),ISNUMBER('Inputs'!$B$6),ISNUMBER('Inputs'!$B$7),ISNUMBER('Inputs'!$B$8),ISNUMBER('Inputs'!$B$9),ISNUMBER('Inputs'!$B$10),ISNUMBER('Inputs'!$B$21),ISNUMBER('Inputs'!$B$24),ISNUMBER('Inputs'!$B$28)),((('Results'!B7*(1-'Inputs'!$B$24)*(0.5*((((947-43)*MAX('Inputs'!$B$33,'Inputs'!$B$29+'Inputs'!$B$31+'Inputs'!$B$32,'Inputs'!$B$30+'Inputs'!$B$31+'Inputs'!$B$32)/1000+'Inputs'!$B$21)+'Inputs'!$B$7)/SQRT((((947-43)*MAX('Inputs'!$B$33,'Inputs'!$B$29+'Inputs'!$B$31+'Inputs'!$B$32,'Inputs'!$B$30+'Inputs'!$B$31+'Inputs'!$B$32)/1000+'Inputs'!$B$21)+'Inputs'!$B$7)^2+('Inputs'!$B$6/2)^2)-(((947-43)*MAX('Inputs'!$B$33,'Inputs'!$B$29+'Inputs'!$B$31+'Inputs'!$B$32,'Inputs'!$B$30+'Inputs'!$B$31+'Inputs'!$B$32)/1000+'Inputs'!$B$21))/SQRT((((947-43)*MAX('Inputs'!$B$33,'Inputs'!$B$29+'Inputs'!$B$31+'Inputs'!$B$32,'Inputs'!$B$30+'Inputs'!$B$31+'Inputs'!$B$32)/1000+'Inputs'!$B$21))^2+('Inputs'!$B$6/2)^2)))-'Results'!C7*(1+'Inputs'!$B$24)*(0.5*((((947-43)*MAX('Inputs'!$B$33,'Inputs'!$B$29+'Inputs'!$B$31+'Inputs'!$B$32,'Inputs'!$B$30+'Inputs'!$B$31+'Inputs'!$B$32)/1000+'Inputs'!$B$21+'Inputs'!$B$7+'Inputs'!$B$10)+'Inputs'!$B$9)/SQRT((((947-43)*MAX('Inputs'!$B$33,'Inputs'!$B$29+'Inputs'!$B$31+'Inputs'!$B$32,'Inputs'!$B$30+'Inputs'!$B$31+'Inputs'!$B$32)/1000+'Inputs'!$B$21+'Inputs'!$B$7+'Inputs'!$B$10)+'Inputs'!$B$9)^2+('Inputs'!$B$8/2)^2)-(((947-43)*MAX('Inputs'!$B$33,'Inputs'!$B$29+'Inputs'!$B$31+'Inputs'!$B$32,'Inputs'!$B$30+'Inputs'!$B$31+'Inputs'!$B$32)/1000+'Inputs'!$B$21+'Inputs'!$B$7+'Inputs'!$B$10))/SQRT((((947-43)*MAX('Inputs'!$B$33,'Inputs'!$B$29+'Inputs'!$B$31+'Inputs'!$B$32,'Inputs'!$B$30+'Inputs'!$B$31+'Inputs'!$B$32)/1000+'Inputs'!$B$21+'Inputs'!$B$7+'Inputs'!$B$10))^2+('Inputs'!$B$8/2)^2))))*'Results'!$B$8)-'Inputs'!$B$28*ABS((('Results'!B7*(1-'Inputs'!$B$24)*(0.5*((((947-43)*MAX('Inputs'!$B$33,'Inputs'!$B$29+'Inputs'!$B$31+'Inputs'!$B$32,'Inputs'!$B$30+'Inputs'!$B$31+'Inputs'!$B$32)/1000+'Inputs'!$B$21)+'Inputs'!$B$7)/SQRT((((947-43)*MAX('Inputs'!$B$33,'Inputs'!$B$29+'Inputs'!$B$31+'Inputs'!$B$32,'Inputs'!$B$30+'Inputs'!$B$31+'Inputs'!$B$32)/1000+'Inputs'!$B$21)+'Inputs'!$B$7)^2+('Inputs'!$B$6/2)^2)-(((947-43)*MAX('Inputs'!$B$33,'Inputs'!$B$29+'Inputs'!$B$31+'Inputs'!$B$32,'Inputs'!$B$30+'Inputs'!$B$31+'Inputs'!$B$32)/1000+'Inputs'!$B$21))/SQRT((((947-43)*MAX('Inputs'!$B$33,'Inputs'!$B$29+'Inputs'!$B$31+'Inputs'!$B$32,'Inputs'!$B$30+'Inputs'!$B$31+'Inputs'!$B$32)/1000+'Inputs'!$B$21))^2+('Inputs'!$B$6/2)^2)))-'Results'!C7*(1+'Inputs'!$B$24)*(0.5*((((947-43)*MAX('Inputs'!$B$33,'Inputs'!$B$29+'Inputs'!$B$31+'Inputs'!$B$32,'Inputs'!$B$30+'Inputs'!$B$31+'Inputs'!$B$32)/1000+'Inputs'!$B$21+'Inputs'!$B$7+'Inputs'!$B$10)+'Inputs'!$B$9)/SQRT((((947-43)*MAX('Inputs'!$B$33,'Inputs'!$B$29+'Inputs'!$B$31+'Inputs'!$B$32,'Inputs'!$B$30+'Inputs'!$B$31+'Inputs'!$B$32)/1000+'Inputs'!$B$21+'Inputs'!$B$7+'Inputs'!$B$10)+'Inputs'!$B$9)^2+('Inputs'!$B$8/2)^2)-(((947-43)*MAX('Inputs'!$B$33,'Inputs'!$B$29+'Inputs'!$B$31+'Inputs'!$B$32,'Inputs'!$B$30+'Inputs'!$B$31+'Inputs'!$B$32)/1000+'Inputs'!$B$21+'Inputs'!$B$7+'Inputs'!$B$10))/SQRT((((947-43)*MAX('Inputs'!$B$33,'Inputs'!$B$29+'Inputs'!$B$31+'Inputs'!$B$32,'Inputs'!$B$30+'Inputs'!$B$31+'Inputs'!$B$32)/1000+'Inputs'!$B$21+'Inputs'!$B$7+'Inputs'!$B$10))^2+('Inputs'!$B$8/2)^2))))*'Results'!$B$8))),"")</x:f>
        <x:v>0.43623141339107857</x:v>
      </x:c>
      <x:c r="L947" t="n">
        <x:f>IF(AND(ISNUMBER('Results'!B7),ISNUMBER('Results'!C7),ISNUMBER('Results'!$B$8),ISNUMBER('Inputs'!$B$6),ISNUMBER('Inputs'!$B$7),ISNUMBER('Inputs'!$B$8),ISNUMBER('Inputs'!$B$9),ISNUMBER('Inputs'!$B$10),ISNUMBER('Inputs'!$B$21),ISNUMBER('Inputs'!$B$24),ISNUMBER('Inputs'!$B$28)),((('Results'!B7*(1+'Inputs'!$B$24)*(0.5*((((947-43)*MAX('Inputs'!$B$33,'Inputs'!$B$29+'Inputs'!$B$31+'Inputs'!$B$32,'Inputs'!$B$30+'Inputs'!$B$31+'Inputs'!$B$32)/1000+'Inputs'!$B$21)+'Inputs'!$B$7)/SQRT((((947-43)*MAX('Inputs'!$B$33,'Inputs'!$B$29+'Inputs'!$B$31+'Inputs'!$B$32,'Inputs'!$B$30+'Inputs'!$B$31+'Inputs'!$B$32)/1000+'Inputs'!$B$21)+'Inputs'!$B$7)^2+('Inputs'!$B$6/2)^2)-(((947-43)*MAX('Inputs'!$B$33,'Inputs'!$B$29+'Inputs'!$B$31+'Inputs'!$B$32,'Inputs'!$B$30+'Inputs'!$B$31+'Inputs'!$B$32)/1000+'Inputs'!$B$21))/SQRT((((947-43)*MAX('Inputs'!$B$33,'Inputs'!$B$29+'Inputs'!$B$31+'Inputs'!$B$32,'Inputs'!$B$30+'Inputs'!$B$31+'Inputs'!$B$32)/1000+'Inputs'!$B$21))^2+('Inputs'!$B$6/2)^2)))-'Results'!C7*(1-'Inputs'!$B$24)*(0.5*((((947-43)*MAX('Inputs'!$B$33,'Inputs'!$B$29+'Inputs'!$B$31+'Inputs'!$B$32,'Inputs'!$B$30+'Inputs'!$B$31+'Inputs'!$B$32)/1000+'Inputs'!$B$21+'Inputs'!$B$7+'Inputs'!$B$10)+'Inputs'!$B$9)/SQRT((((947-43)*MAX('Inputs'!$B$33,'Inputs'!$B$29+'Inputs'!$B$31+'Inputs'!$B$32,'Inputs'!$B$30+'Inputs'!$B$31+'Inputs'!$B$32)/1000+'Inputs'!$B$21+'Inputs'!$B$7+'Inputs'!$B$10)+'Inputs'!$B$9)^2+('Inputs'!$B$8/2)^2)-(((947-43)*MAX('Inputs'!$B$33,'Inputs'!$B$29+'Inputs'!$B$31+'Inputs'!$B$32,'Inputs'!$B$30+'Inputs'!$B$31+'Inputs'!$B$32)/1000+'Inputs'!$B$21+'Inputs'!$B$7+'Inputs'!$B$10))/SQRT((((947-43)*MAX('Inputs'!$B$33,'Inputs'!$B$29+'Inputs'!$B$31+'Inputs'!$B$32,'Inputs'!$B$30+'Inputs'!$B$31+'Inputs'!$B$32)/1000+'Inputs'!$B$21+'Inputs'!$B$7+'Inputs'!$B$10))^2+('Inputs'!$B$8/2)^2))))*'Results'!$B$8)+'Inputs'!$B$28*ABS((('Results'!B7*(1+'Inputs'!$B$24)*(0.5*((((947-43)*MAX('Inputs'!$B$33,'Inputs'!$B$29+'Inputs'!$B$31+'Inputs'!$B$32,'Inputs'!$B$30+'Inputs'!$B$31+'Inputs'!$B$32)/1000+'Inputs'!$B$21)+'Inputs'!$B$7)/SQRT((((947-43)*MAX('Inputs'!$B$33,'Inputs'!$B$29+'Inputs'!$B$31+'Inputs'!$B$32,'Inputs'!$B$30+'Inputs'!$B$31+'Inputs'!$B$32)/1000+'Inputs'!$B$21)+'Inputs'!$B$7)^2+('Inputs'!$B$6/2)^2)-(((947-43)*MAX('Inputs'!$B$33,'Inputs'!$B$29+'Inputs'!$B$31+'Inputs'!$B$32,'Inputs'!$B$30+'Inputs'!$B$31+'Inputs'!$B$32)/1000+'Inputs'!$B$21))/SQRT((((947-43)*MAX('Inputs'!$B$33,'Inputs'!$B$29+'Inputs'!$B$31+'Inputs'!$B$32,'Inputs'!$B$30+'Inputs'!$B$31+'Inputs'!$B$32)/1000+'Inputs'!$B$21))^2+('Inputs'!$B$6/2)^2)))-'Results'!C7*(1-'Inputs'!$B$24)*(0.5*((((947-43)*MAX('Inputs'!$B$33,'Inputs'!$B$29+'Inputs'!$B$31+'Inputs'!$B$32,'Inputs'!$B$30+'Inputs'!$B$31+'Inputs'!$B$32)/1000+'Inputs'!$B$21+'Inputs'!$B$7+'Inputs'!$B$10)+'Inputs'!$B$9)/SQRT((((947-43)*MAX('Inputs'!$B$33,'Inputs'!$B$29+'Inputs'!$B$31+'Inputs'!$B$32,'Inputs'!$B$30+'Inputs'!$B$31+'Inputs'!$B$32)/1000+'Inputs'!$B$21+'Inputs'!$B$7+'Inputs'!$B$10)+'Inputs'!$B$9)^2+('Inputs'!$B$8/2)^2)-(((947-43)*MAX('Inputs'!$B$33,'Inputs'!$B$29+'Inputs'!$B$31+'Inputs'!$B$32,'Inputs'!$B$30+'Inputs'!$B$31+'Inputs'!$B$32)/1000+'Inputs'!$B$21+'Inputs'!$B$7+'Inputs'!$B$10))/SQRT((((947-43)*MAX('Inputs'!$B$33,'Inputs'!$B$29+'Inputs'!$B$31+'Inputs'!$B$32,'Inputs'!$B$30+'Inputs'!$B$31+'Inputs'!$B$32)/1000+'Inputs'!$B$21+'Inputs'!$B$7+'Inputs'!$B$10))^2+('Inputs'!$B$8/2)^2))))*'Results'!$B$8))),"")</x:f>
        <x:v>0.600827215015052</x:v>
      </x:c>
      <x:c r="M947" t="n">
        <x:f>IF(AND(ISNUMBER('Results'!C7),ISNUMBER('Results'!B7),ISNUMBER('Results'!$B$8),ISNUMBER('Inputs'!$B$6),ISNUMBER('Inputs'!$B$7),ISNUMBER('Inputs'!$B$8),ISNUMBER('Inputs'!$B$9),ISNUMBER('Inputs'!$B$10),ISNUMBER('Inputs'!$B$21),ISNUMBER('Inputs'!$B$24),ISNUMBER('Inputs'!$B$28)),(('Results'!C7*(0.5*((((947-43)*MAX('Inputs'!$B$33,'Inputs'!$B$29+'Inputs'!$B$31+'Inputs'!$B$32,'Inputs'!$B$30+'Inputs'!$B$31+'Inputs'!$B$32)/1000+'Inputs'!$B$21)+'Inputs'!$B$9)/SQRT((((947-43)*MAX('Inputs'!$B$33,'Inputs'!$B$29+'Inputs'!$B$31+'Inputs'!$B$32,'Inputs'!$B$30+'Inputs'!$B$31+'Inputs'!$B$32)/1000+'Inputs'!$B$21)+'Inputs'!$B$9)^2+('Inputs'!$B$8/2)^2)-(((947-43)*MAX('Inputs'!$B$33,'Inputs'!$B$29+'Inputs'!$B$31+'Inputs'!$B$32,'Inputs'!$B$30+'Inputs'!$B$31+'Inputs'!$B$32)/1000+'Inputs'!$B$21))/SQRT((((947-43)*MAX('Inputs'!$B$33,'Inputs'!$B$29+'Inputs'!$B$31+'Inputs'!$B$32,'Inputs'!$B$30+'Inputs'!$B$31+'Inputs'!$B$32)/1000+'Inputs'!$B$21))^2+('Inputs'!$B$8/2)^2)))-'Results'!B7*(0.5*((((947-43)*MAX('Inputs'!$B$33,'Inputs'!$B$29+'Inputs'!$B$31+'Inputs'!$B$32,'Inputs'!$B$30+'Inputs'!$B$31+'Inputs'!$B$32)/1000+'Inputs'!$B$21+'Inputs'!$B$9+'Inputs'!$B$10)+'Inputs'!$B$7)/SQRT((((947-43)*MAX('Inputs'!$B$33,'Inputs'!$B$29+'Inputs'!$B$31+'Inputs'!$B$32,'Inputs'!$B$30+'Inputs'!$B$31+'Inputs'!$B$32)/1000+'Inputs'!$B$21+'Inputs'!$B$9+'Inputs'!$B$10)+'Inputs'!$B$7)^2+('Inputs'!$B$6/2)^2)-(((947-43)*MAX('Inputs'!$B$33,'Inputs'!$B$29+'Inputs'!$B$31+'Inputs'!$B$32,'Inputs'!$B$30+'Inputs'!$B$31+'Inputs'!$B$32)/1000+'Inputs'!$B$21+'Inputs'!$B$9+'Inputs'!$B$10))/SQRT((((947-43)*MAX('Inputs'!$B$33,'Inputs'!$B$29+'Inputs'!$B$31+'Inputs'!$B$32,'Inputs'!$B$30+'Inputs'!$B$31+'Inputs'!$B$32)/1000+'Inputs'!$B$21+'Inputs'!$B$9+'Inputs'!$B$10))^2+('Inputs'!$B$6/2)^2))))*'Results'!$B$8),"")</x:f>
        <x:v>0.45871954673646786</x:v>
      </x:c>
      <x:c r="N947" t="n">
        <x:f>IF(AND(ISNUMBER('Results'!C7),ISNUMBER('Results'!B7),ISNUMBER('Results'!$B$8),ISNUMBER('Inputs'!$B$6),ISNUMBER('Inputs'!$B$7),ISNUMBER('Inputs'!$B$8),ISNUMBER('Inputs'!$B$9),ISNUMBER('Inputs'!$B$10),ISNUMBER('Inputs'!$B$21),ISNUMBER('Inputs'!$B$24),ISNUMBER('Inputs'!$B$28)),((('Results'!C7*(1-'Inputs'!$B$24)*(0.5*((((947-43)*MAX('Inputs'!$B$33,'Inputs'!$B$29+'Inputs'!$B$31+'Inputs'!$B$32,'Inputs'!$B$30+'Inputs'!$B$31+'Inputs'!$B$32)/1000+'Inputs'!$B$21)+'Inputs'!$B$9)/SQRT((((947-43)*MAX('Inputs'!$B$33,'Inputs'!$B$29+'Inputs'!$B$31+'Inputs'!$B$32,'Inputs'!$B$30+'Inputs'!$B$31+'Inputs'!$B$32)/1000+'Inputs'!$B$21)+'Inputs'!$B$9)^2+('Inputs'!$B$8/2)^2)-(((947-43)*MAX('Inputs'!$B$33,'Inputs'!$B$29+'Inputs'!$B$31+'Inputs'!$B$32,'Inputs'!$B$30+'Inputs'!$B$31+'Inputs'!$B$32)/1000+'Inputs'!$B$21))/SQRT((((947-43)*MAX('Inputs'!$B$33,'Inputs'!$B$29+'Inputs'!$B$31+'Inputs'!$B$32,'Inputs'!$B$30+'Inputs'!$B$31+'Inputs'!$B$32)/1000+'Inputs'!$B$21))^2+('Inputs'!$B$8/2)^2)))-'Results'!B7*(1+'Inputs'!$B$24)*(0.5*((((947-43)*MAX('Inputs'!$B$33,'Inputs'!$B$29+'Inputs'!$B$31+'Inputs'!$B$32,'Inputs'!$B$30+'Inputs'!$B$31+'Inputs'!$B$32)/1000+'Inputs'!$B$21+'Inputs'!$B$9+'Inputs'!$B$10)+'Inputs'!$B$7)/SQRT((((947-43)*MAX('Inputs'!$B$33,'Inputs'!$B$29+'Inputs'!$B$31+'Inputs'!$B$32,'Inputs'!$B$30+'Inputs'!$B$31+'Inputs'!$B$32)/1000+'Inputs'!$B$21+'Inputs'!$B$9+'Inputs'!$B$10)+'Inputs'!$B$7)^2+('Inputs'!$B$6/2)^2)-(((947-43)*MAX('Inputs'!$B$33,'Inputs'!$B$29+'Inputs'!$B$31+'Inputs'!$B$32,'Inputs'!$B$30+'Inputs'!$B$31+'Inputs'!$B$32)/1000+'Inputs'!$B$21+'Inputs'!$B$9+'Inputs'!$B$10))/SQRT((((947-43)*MAX('Inputs'!$B$33,'Inputs'!$B$29+'Inputs'!$B$31+'Inputs'!$B$32,'Inputs'!$B$30+'Inputs'!$B$31+'Inputs'!$B$32)/1000+'Inputs'!$B$21+'Inputs'!$B$9+'Inputs'!$B$10))^2+('Inputs'!$B$6/2)^2))))*'Results'!$B$8)-'Inputs'!$B$28*ABS((('Results'!C7*(1-'Inputs'!$B$24)*(0.5*((((947-43)*MAX('Inputs'!$B$33,'Inputs'!$B$29+'Inputs'!$B$31+'Inputs'!$B$32,'Inputs'!$B$30+'Inputs'!$B$31+'Inputs'!$B$32)/1000+'Inputs'!$B$21)+'Inputs'!$B$9)/SQRT((((947-43)*MAX('Inputs'!$B$33,'Inputs'!$B$29+'Inputs'!$B$31+'Inputs'!$B$32,'Inputs'!$B$30+'Inputs'!$B$31+'Inputs'!$B$32)/1000+'Inputs'!$B$21)+'Inputs'!$B$9)^2+('Inputs'!$B$8/2)^2)-(((947-43)*MAX('Inputs'!$B$33,'Inputs'!$B$29+'Inputs'!$B$31+'Inputs'!$B$32,'Inputs'!$B$30+'Inputs'!$B$31+'Inputs'!$B$32)/1000+'Inputs'!$B$21))/SQRT((((947-43)*MAX('Inputs'!$B$33,'Inputs'!$B$29+'Inputs'!$B$31+'Inputs'!$B$32,'Inputs'!$B$30+'Inputs'!$B$31+'Inputs'!$B$32)/1000+'Inputs'!$B$21))^2+('Inputs'!$B$8/2)^2)))-'Results'!B7*(1+'Inputs'!$B$24)*(0.5*((((947-43)*MAX('Inputs'!$B$33,'Inputs'!$B$29+'Inputs'!$B$31+'Inputs'!$B$32,'Inputs'!$B$30+'Inputs'!$B$31+'Inputs'!$B$32)/1000+'Inputs'!$B$21+'Inputs'!$B$9+'Inputs'!$B$10)+'Inputs'!$B$7)/SQRT((((947-43)*MAX('Inputs'!$B$33,'Inputs'!$B$29+'Inputs'!$B$31+'Inputs'!$B$32,'Inputs'!$B$30+'Inputs'!$B$31+'Inputs'!$B$32)/1000+'Inputs'!$B$21+'Inputs'!$B$9+'Inputs'!$B$10)+'Inputs'!$B$7)^2+('Inputs'!$B$6/2)^2)-(((947-43)*MAX('Inputs'!$B$33,'Inputs'!$B$29+'Inputs'!$B$31+'Inputs'!$B$32,'Inputs'!$B$30+'Inputs'!$B$31+'Inputs'!$B$32)/1000+'Inputs'!$B$21+'Inputs'!$B$9+'Inputs'!$B$10))/SQRT((((947-43)*MAX('Inputs'!$B$33,'Inputs'!$B$29+'Inputs'!$B$31+'Inputs'!$B$32,'Inputs'!$B$30+'Inputs'!$B$31+'Inputs'!$B$32)/1000+'Inputs'!$B$21+'Inputs'!$B$9+'Inputs'!$B$10))^2+('Inputs'!$B$6/2)^2))))*'Results'!$B$8))),"")</x:f>
        <x:v>0.38228349886822666</x:v>
      </x:c>
      <x:c r="O947" t="n">
        <x:f>IF(AND(ISNUMBER('Results'!C7),ISNUMBER('Results'!B7),ISNUMBER('Results'!$B$8),ISNUMBER('Inputs'!$B$6),ISNUMBER('Inputs'!$B$7),ISNUMBER('Inputs'!$B$8),ISNUMBER('Inputs'!$B$9),ISNUMBER('Inputs'!$B$10),ISNUMBER('Inputs'!$B$21),ISNUMBER('Inputs'!$B$24),ISNUMBER('Inputs'!$B$28)),((('Results'!C7*(1+'Inputs'!$B$24)*(0.5*((((947-43)*MAX('Inputs'!$B$33,'Inputs'!$B$29+'Inputs'!$B$31+'Inputs'!$B$32,'Inputs'!$B$30+'Inputs'!$B$31+'Inputs'!$B$32)/1000+'Inputs'!$B$21)+'Inputs'!$B$9)/SQRT((((947-43)*MAX('Inputs'!$B$33,'Inputs'!$B$29+'Inputs'!$B$31+'Inputs'!$B$32,'Inputs'!$B$30+'Inputs'!$B$31+'Inputs'!$B$32)/1000+'Inputs'!$B$21)+'Inputs'!$B$9)^2+('Inputs'!$B$8/2)^2)-(((947-43)*MAX('Inputs'!$B$33,'Inputs'!$B$29+'Inputs'!$B$31+'Inputs'!$B$32,'Inputs'!$B$30+'Inputs'!$B$31+'Inputs'!$B$32)/1000+'Inputs'!$B$21))/SQRT((((947-43)*MAX('Inputs'!$B$33,'Inputs'!$B$29+'Inputs'!$B$31+'Inputs'!$B$32,'Inputs'!$B$30+'Inputs'!$B$31+'Inputs'!$B$32)/1000+'Inputs'!$B$21))^2+('Inputs'!$B$8/2)^2)))-'Results'!B7*(1-'Inputs'!$B$24)*(0.5*((((947-43)*MAX('Inputs'!$B$33,'Inputs'!$B$29+'Inputs'!$B$31+'Inputs'!$B$32,'Inputs'!$B$30+'Inputs'!$B$31+'Inputs'!$B$32)/1000+'Inputs'!$B$21+'Inputs'!$B$9+'Inputs'!$B$10)+'Inputs'!$B$7)/SQRT((((947-43)*MAX('Inputs'!$B$33,'Inputs'!$B$29+'Inputs'!$B$31+'Inputs'!$B$32,'Inputs'!$B$30+'Inputs'!$B$31+'Inputs'!$B$32)/1000+'Inputs'!$B$21+'Inputs'!$B$9+'Inputs'!$B$10)+'Inputs'!$B$7)^2+('Inputs'!$B$6/2)^2)-(((947-43)*MAX('Inputs'!$B$33,'Inputs'!$B$29+'Inputs'!$B$31+'Inputs'!$B$32,'Inputs'!$B$30+'Inputs'!$B$31+'Inputs'!$B$32)/1000+'Inputs'!$B$21+'Inputs'!$B$9+'Inputs'!$B$10))/SQRT((((947-43)*MAX('Inputs'!$B$33,'Inputs'!$B$29+'Inputs'!$B$31+'Inputs'!$B$32,'Inputs'!$B$30+'Inputs'!$B$31+'Inputs'!$B$32)/1000+'Inputs'!$B$21+'Inputs'!$B$9+'Inputs'!$B$10))^2+('Inputs'!$B$6/2)^2))))*'Results'!$B$8)+'Inputs'!$B$28*ABS((('Results'!C7*(1+'Inputs'!$B$24)*(0.5*((((947-43)*MAX('Inputs'!$B$33,'Inputs'!$B$29+'Inputs'!$B$31+'Inputs'!$B$32,'Inputs'!$B$30+'Inputs'!$B$31+'Inputs'!$B$32)/1000+'Inputs'!$B$21)+'Inputs'!$B$9)/SQRT((((947-43)*MAX('Inputs'!$B$33,'Inputs'!$B$29+'Inputs'!$B$31+'Inputs'!$B$32,'Inputs'!$B$30+'Inputs'!$B$31+'Inputs'!$B$32)/1000+'Inputs'!$B$21)+'Inputs'!$B$9)^2+('Inputs'!$B$8/2)^2)-(((947-43)*MAX('Inputs'!$B$33,'Inputs'!$B$29+'Inputs'!$B$31+'Inputs'!$B$32,'Inputs'!$B$30+'Inputs'!$B$31+'Inputs'!$B$32)/1000+'Inputs'!$B$21))/SQRT((((947-43)*MAX('Inputs'!$B$33,'Inputs'!$B$29+'Inputs'!$B$31+'Inputs'!$B$32,'Inputs'!$B$30+'Inputs'!$B$31+'Inputs'!$B$32)/1000+'Inputs'!$B$21))^2+('Inputs'!$B$8/2)^2)))-'Results'!B7*(1-'Inputs'!$B$24)*(0.5*((((947-43)*MAX('Inputs'!$B$33,'Inputs'!$B$29+'Inputs'!$B$31+'Inputs'!$B$32,'Inputs'!$B$30+'Inputs'!$B$31+'Inputs'!$B$32)/1000+'Inputs'!$B$21+'Inputs'!$B$9+'Inputs'!$B$10)+'Inputs'!$B$7)/SQRT((((947-43)*MAX('Inputs'!$B$33,'Inputs'!$B$29+'Inputs'!$B$31+'Inputs'!$B$32,'Inputs'!$B$30+'Inputs'!$B$31+'Inputs'!$B$32)/1000+'Inputs'!$B$21+'Inputs'!$B$9+'Inputs'!$B$10)+'Inputs'!$B$7)^2+('Inputs'!$B$6/2)^2)-(((947-43)*MAX('Inputs'!$B$33,'Inputs'!$B$29+'Inputs'!$B$31+'Inputs'!$B$32,'Inputs'!$B$30+'Inputs'!$B$31+'Inputs'!$B$32)/1000+'Inputs'!$B$21+'Inputs'!$B$9+'Inputs'!$B$10))/SQRT((((947-43)*MAX('Inputs'!$B$33,'Inputs'!$B$29+'Inputs'!$B$31+'Inputs'!$B$32,'Inputs'!$B$30+'Inputs'!$B$31+'Inputs'!$B$32)/1000+'Inputs'!$B$21+'Inputs'!$B$9+'Inputs'!$B$10))^2+('Inputs'!$B$6/2)^2))))*'Results'!$B$8))),"")</x:f>
        <x:v>0.5407871809764371</x:v>
      </x:c>
      <x:c r="P947" t="n">
        <x:f>IF(AND(MAX(J947,J946)&gt;0,J947&gt;J946+0.00000001),1,0)</x:f>
        <x:v>0</x:v>
      </x:c>
      <x:c r="Q947" t="n">
        <x:f>IF(AND(MAX(K947,K946)&gt;0,K947&gt;K946+0.00000001),1,0)</x:f>
        <x:v>0</x:v>
      </x:c>
      <x:c r="R947" t="n">
        <x:f>IF(AND(MAX(L947,L946)&gt;0,L947&gt;L946+0.00000001),1,0)</x:f>
        <x:v>0</x:v>
      </x:c>
      <x:c r="S947" t="n">
        <x:f>IF(AND(MAX(M947,M946)&gt;0,M947&gt;M946+0.00000001),1,0)</x:f>
        <x:v>0</x:v>
      </x:c>
      <x:c r="T947" t="n">
        <x:f>IF(AND(MAX(N947,N946)&gt;0,N947&gt;N946+0.00000001),1,0)</x:f>
        <x:v>0</x:v>
      </x:c>
      <x:c r="U947" t="n">
        <x:f>IF(AND(MAX(O947,O946)&gt;0,O947&gt;O946+0.00000001),1,0)</x:f>
        <x:v>0</x:v>
      </x:c>
    </x:row>
    <x:row r="948">
      <x:c r="J948" t="n">
        <x:f>IF(AND(ISNUMBER('Results'!B7),ISNUMBER('Results'!C7),ISNUMBER('Results'!$B$8),ISNUMBER('Inputs'!$B$6),ISNUMBER('Inputs'!$B$7),ISNUMBER('Inputs'!$B$8),ISNUMBER('Inputs'!$B$9),ISNUMBER('Inputs'!$B$10),ISNUMBER('Inputs'!$B$21),ISNUMBER('Inputs'!$B$24),ISNUMBER('Inputs'!$B$28)),(('Results'!B7*(0.5*((((948-43)*MAX('Inputs'!$B$33,'Inputs'!$B$29+'Inputs'!$B$31+'Inputs'!$B$32,'Inputs'!$B$30+'Inputs'!$B$31+'Inputs'!$B$32)/1000+'Inputs'!$B$21)+'Inputs'!$B$7)/SQRT((((948-43)*MAX('Inputs'!$B$33,'Inputs'!$B$29+'Inputs'!$B$31+'Inputs'!$B$32,'Inputs'!$B$30+'Inputs'!$B$31+'Inputs'!$B$32)/1000+'Inputs'!$B$21)+'Inputs'!$B$7)^2+('Inputs'!$B$6/2)^2)-(((948-43)*MAX('Inputs'!$B$33,'Inputs'!$B$29+'Inputs'!$B$31+'Inputs'!$B$32,'Inputs'!$B$30+'Inputs'!$B$31+'Inputs'!$B$32)/1000+'Inputs'!$B$21))/SQRT((((948-43)*MAX('Inputs'!$B$33,'Inputs'!$B$29+'Inputs'!$B$31+'Inputs'!$B$32,'Inputs'!$B$30+'Inputs'!$B$31+'Inputs'!$B$32)/1000+'Inputs'!$B$21))^2+('Inputs'!$B$6/2)^2)))-'Results'!C7*(0.5*((((948-43)*MAX('Inputs'!$B$33,'Inputs'!$B$29+'Inputs'!$B$31+'Inputs'!$B$32,'Inputs'!$B$30+'Inputs'!$B$31+'Inputs'!$B$32)/1000+'Inputs'!$B$21+'Inputs'!$B$7+'Inputs'!$B$10)+'Inputs'!$B$9)/SQRT((((948-43)*MAX('Inputs'!$B$33,'Inputs'!$B$29+'Inputs'!$B$31+'Inputs'!$B$32,'Inputs'!$B$30+'Inputs'!$B$31+'Inputs'!$B$32)/1000+'Inputs'!$B$21+'Inputs'!$B$7+'Inputs'!$B$10)+'Inputs'!$B$9)^2+('Inputs'!$B$8/2)^2)-(((948-43)*MAX('Inputs'!$B$33,'Inputs'!$B$29+'Inputs'!$B$31+'Inputs'!$B$32,'Inputs'!$B$30+'Inputs'!$B$31+'Inputs'!$B$32)/1000+'Inputs'!$B$21+'Inputs'!$B$7+'Inputs'!$B$10))/SQRT((((948-43)*MAX('Inputs'!$B$33,'Inputs'!$B$29+'Inputs'!$B$31+'Inputs'!$B$32,'Inputs'!$B$30+'Inputs'!$B$31+'Inputs'!$B$32)/1000+'Inputs'!$B$21+'Inputs'!$B$7+'Inputs'!$B$10))^2+('Inputs'!$B$8/2)^2))))*'Results'!$B$8),"")</x:f>
        <x:v>0.5136387932251982</x:v>
      </x:c>
      <x:c r="K948" t="n">
        <x:f>IF(AND(ISNUMBER('Results'!B7),ISNUMBER('Results'!C7),ISNUMBER('Results'!$B$8),ISNUMBER('Inputs'!$B$6),ISNUMBER('Inputs'!$B$7),ISNUMBER('Inputs'!$B$8),ISNUMBER('Inputs'!$B$9),ISNUMBER('Inputs'!$B$10),ISNUMBER('Inputs'!$B$21),ISNUMBER('Inputs'!$B$24),ISNUMBER('Inputs'!$B$28)),((('Results'!B7*(1-'Inputs'!$B$24)*(0.5*((((948-43)*MAX('Inputs'!$B$33,'Inputs'!$B$29+'Inputs'!$B$31+'Inputs'!$B$32,'Inputs'!$B$30+'Inputs'!$B$31+'Inputs'!$B$32)/1000+'Inputs'!$B$21)+'Inputs'!$B$7)/SQRT((((948-43)*MAX('Inputs'!$B$33,'Inputs'!$B$29+'Inputs'!$B$31+'Inputs'!$B$32,'Inputs'!$B$30+'Inputs'!$B$31+'Inputs'!$B$32)/1000+'Inputs'!$B$21)+'Inputs'!$B$7)^2+('Inputs'!$B$6/2)^2)-(((948-43)*MAX('Inputs'!$B$33,'Inputs'!$B$29+'Inputs'!$B$31+'Inputs'!$B$32,'Inputs'!$B$30+'Inputs'!$B$31+'Inputs'!$B$32)/1000+'Inputs'!$B$21))/SQRT((((948-43)*MAX('Inputs'!$B$33,'Inputs'!$B$29+'Inputs'!$B$31+'Inputs'!$B$32,'Inputs'!$B$30+'Inputs'!$B$31+'Inputs'!$B$32)/1000+'Inputs'!$B$21))^2+('Inputs'!$B$6/2)^2)))-'Results'!C7*(1+'Inputs'!$B$24)*(0.5*((((948-43)*MAX('Inputs'!$B$33,'Inputs'!$B$29+'Inputs'!$B$31+'Inputs'!$B$32,'Inputs'!$B$30+'Inputs'!$B$31+'Inputs'!$B$32)/1000+'Inputs'!$B$21+'Inputs'!$B$7+'Inputs'!$B$10)+'Inputs'!$B$9)/SQRT((((948-43)*MAX('Inputs'!$B$33,'Inputs'!$B$29+'Inputs'!$B$31+'Inputs'!$B$32,'Inputs'!$B$30+'Inputs'!$B$31+'Inputs'!$B$32)/1000+'Inputs'!$B$21+'Inputs'!$B$7+'Inputs'!$B$10)+'Inputs'!$B$9)^2+('Inputs'!$B$8/2)^2)-(((948-43)*MAX('Inputs'!$B$33,'Inputs'!$B$29+'Inputs'!$B$31+'Inputs'!$B$32,'Inputs'!$B$30+'Inputs'!$B$31+'Inputs'!$B$32)/1000+'Inputs'!$B$21+'Inputs'!$B$7+'Inputs'!$B$10))/SQRT((((948-43)*MAX('Inputs'!$B$33,'Inputs'!$B$29+'Inputs'!$B$31+'Inputs'!$B$32,'Inputs'!$B$30+'Inputs'!$B$31+'Inputs'!$B$32)/1000+'Inputs'!$B$21+'Inputs'!$B$7+'Inputs'!$B$10))^2+('Inputs'!$B$8/2)^2))))*'Results'!$B$8)-'Inputs'!$B$28*ABS((('Results'!B7*(1-'Inputs'!$B$24)*(0.5*((((948-43)*MAX('Inputs'!$B$33,'Inputs'!$B$29+'Inputs'!$B$31+'Inputs'!$B$32,'Inputs'!$B$30+'Inputs'!$B$31+'Inputs'!$B$32)/1000+'Inputs'!$B$21)+'Inputs'!$B$7)/SQRT((((948-43)*MAX('Inputs'!$B$33,'Inputs'!$B$29+'Inputs'!$B$31+'Inputs'!$B$32,'Inputs'!$B$30+'Inputs'!$B$31+'Inputs'!$B$32)/1000+'Inputs'!$B$21)+'Inputs'!$B$7)^2+('Inputs'!$B$6/2)^2)-(((948-43)*MAX('Inputs'!$B$33,'Inputs'!$B$29+'Inputs'!$B$31+'Inputs'!$B$32,'Inputs'!$B$30+'Inputs'!$B$31+'Inputs'!$B$32)/1000+'Inputs'!$B$21))/SQRT((((948-43)*MAX('Inputs'!$B$33,'Inputs'!$B$29+'Inputs'!$B$31+'Inputs'!$B$32,'Inputs'!$B$30+'Inputs'!$B$31+'Inputs'!$B$32)/1000+'Inputs'!$B$21))^2+('Inputs'!$B$6/2)^2)))-'Results'!C7*(1+'Inputs'!$B$24)*(0.5*((((948-43)*MAX('Inputs'!$B$33,'Inputs'!$B$29+'Inputs'!$B$31+'Inputs'!$B$32,'Inputs'!$B$30+'Inputs'!$B$31+'Inputs'!$B$32)/1000+'Inputs'!$B$21+'Inputs'!$B$7+'Inputs'!$B$10)+'Inputs'!$B$9)/SQRT((((948-43)*MAX('Inputs'!$B$33,'Inputs'!$B$29+'Inputs'!$B$31+'Inputs'!$B$32,'Inputs'!$B$30+'Inputs'!$B$31+'Inputs'!$B$32)/1000+'Inputs'!$B$21+'Inputs'!$B$7+'Inputs'!$B$10)+'Inputs'!$B$9)^2+('Inputs'!$B$8/2)^2)-(((948-43)*MAX('Inputs'!$B$33,'Inputs'!$B$29+'Inputs'!$B$31+'Inputs'!$B$32,'Inputs'!$B$30+'Inputs'!$B$31+'Inputs'!$B$32)/1000+'Inputs'!$B$21+'Inputs'!$B$7+'Inputs'!$B$10))/SQRT((((948-43)*MAX('Inputs'!$B$33,'Inputs'!$B$29+'Inputs'!$B$31+'Inputs'!$B$32,'Inputs'!$B$30+'Inputs'!$B$31+'Inputs'!$B$32)/1000+'Inputs'!$B$21+'Inputs'!$B$7+'Inputs'!$B$10))^2+('Inputs'!$B$8/2)^2))))*'Results'!$B$8))),"")</x:f>
        <x:v>0.43443486942203985</x:v>
      </x:c>
      <x:c r="L948" t="n">
        <x:f>IF(AND(ISNUMBER('Results'!B7),ISNUMBER('Results'!C7),ISNUMBER('Results'!$B$8),ISNUMBER('Inputs'!$B$6),ISNUMBER('Inputs'!$B$7),ISNUMBER('Inputs'!$B$8),ISNUMBER('Inputs'!$B$9),ISNUMBER('Inputs'!$B$10),ISNUMBER('Inputs'!$B$21),ISNUMBER('Inputs'!$B$24),ISNUMBER('Inputs'!$B$28)),((('Results'!B7*(1+'Inputs'!$B$24)*(0.5*((((948-43)*MAX('Inputs'!$B$33,'Inputs'!$B$29+'Inputs'!$B$31+'Inputs'!$B$32,'Inputs'!$B$30+'Inputs'!$B$31+'Inputs'!$B$32)/1000+'Inputs'!$B$21)+'Inputs'!$B$7)/SQRT((((948-43)*MAX('Inputs'!$B$33,'Inputs'!$B$29+'Inputs'!$B$31+'Inputs'!$B$32,'Inputs'!$B$30+'Inputs'!$B$31+'Inputs'!$B$32)/1000+'Inputs'!$B$21)+'Inputs'!$B$7)^2+('Inputs'!$B$6/2)^2)-(((948-43)*MAX('Inputs'!$B$33,'Inputs'!$B$29+'Inputs'!$B$31+'Inputs'!$B$32,'Inputs'!$B$30+'Inputs'!$B$31+'Inputs'!$B$32)/1000+'Inputs'!$B$21))/SQRT((((948-43)*MAX('Inputs'!$B$33,'Inputs'!$B$29+'Inputs'!$B$31+'Inputs'!$B$32,'Inputs'!$B$30+'Inputs'!$B$31+'Inputs'!$B$32)/1000+'Inputs'!$B$21))^2+('Inputs'!$B$6/2)^2)))-'Results'!C7*(1-'Inputs'!$B$24)*(0.5*((((948-43)*MAX('Inputs'!$B$33,'Inputs'!$B$29+'Inputs'!$B$31+'Inputs'!$B$32,'Inputs'!$B$30+'Inputs'!$B$31+'Inputs'!$B$32)/1000+'Inputs'!$B$21+'Inputs'!$B$7+'Inputs'!$B$10)+'Inputs'!$B$9)/SQRT((((948-43)*MAX('Inputs'!$B$33,'Inputs'!$B$29+'Inputs'!$B$31+'Inputs'!$B$32,'Inputs'!$B$30+'Inputs'!$B$31+'Inputs'!$B$32)/1000+'Inputs'!$B$21+'Inputs'!$B$7+'Inputs'!$B$10)+'Inputs'!$B$9)^2+('Inputs'!$B$8/2)^2)-(((948-43)*MAX('Inputs'!$B$33,'Inputs'!$B$29+'Inputs'!$B$31+'Inputs'!$B$32,'Inputs'!$B$30+'Inputs'!$B$31+'Inputs'!$B$32)/1000+'Inputs'!$B$21+'Inputs'!$B$7+'Inputs'!$B$10))/SQRT((((948-43)*MAX('Inputs'!$B$33,'Inputs'!$B$29+'Inputs'!$B$31+'Inputs'!$B$32,'Inputs'!$B$30+'Inputs'!$B$31+'Inputs'!$B$32)/1000+'Inputs'!$B$21+'Inputs'!$B$7+'Inputs'!$B$10))^2+('Inputs'!$B$8/2)^2))))*'Results'!$B$8)+'Inputs'!$B$28*ABS((('Results'!B7*(1+'Inputs'!$B$24)*(0.5*((((948-43)*MAX('Inputs'!$B$33,'Inputs'!$B$29+'Inputs'!$B$31+'Inputs'!$B$32,'Inputs'!$B$30+'Inputs'!$B$31+'Inputs'!$B$32)/1000+'Inputs'!$B$21)+'Inputs'!$B$7)/SQRT((((948-43)*MAX('Inputs'!$B$33,'Inputs'!$B$29+'Inputs'!$B$31+'Inputs'!$B$32,'Inputs'!$B$30+'Inputs'!$B$31+'Inputs'!$B$32)/1000+'Inputs'!$B$21)+'Inputs'!$B$7)^2+('Inputs'!$B$6/2)^2)-(((948-43)*MAX('Inputs'!$B$33,'Inputs'!$B$29+'Inputs'!$B$31+'Inputs'!$B$32,'Inputs'!$B$30+'Inputs'!$B$31+'Inputs'!$B$32)/1000+'Inputs'!$B$21))/SQRT((((948-43)*MAX('Inputs'!$B$33,'Inputs'!$B$29+'Inputs'!$B$31+'Inputs'!$B$32,'Inputs'!$B$30+'Inputs'!$B$31+'Inputs'!$B$32)/1000+'Inputs'!$B$21))^2+('Inputs'!$B$6/2)^2)))-'Results'!C7*(1-'Inputs'!$B$24)*(0.5*((((948-43)*MAX('Inputs'!$B$33,'Inputs'!$B$29+'Inputs'!$B$31+'Inputs'!$B$32,'Inputs'!$B$30+'Inputs'!$B$31+'Inputs'!$B$32)/1000+'Inputs'!$B$21+'Inputs'!$B$7+'Inputs'!$B$10)+'Inputs'!$B$9)/SQRT((((948-43)*MAX('Inputs'!$B$33,'Inputs'!$B$29+'Inputs'!$B$31+'Inputs'!$B$32,'Inputs'!$B$30+'Inputs'!$B$31+'Inputs'!$B$32)/1000+'Inputs'!$B$21+'Inputs'!$B$7+'Inputs'!$B$10)+'Inputs'!$B$9)^2+('Inputs'!$B$8/2)^2)-(((948-43)*MAX('Inputs'!$B$33,'Inputs'!$B$29+'Inputs'!$B$31+'Inputs'!$B$32,'Inputs'!$B$30+'Inputs'!$B$31+'Inputs'!$B$32)/1000+'Inputs'!$B$21+'Inputs'!$B$7+'Inputs'!$B$10))/SQRT((((948-43)*MAX('Inputs'!$B$33,'Inputs'!$B$29+'Inputs'!$B$31+'Inputs'!$B$32,'Inputs'!$B$30+'Inputs'!$B$31+'Inputs'!$B$32)/1000+'Inputs'!$B$21+'Inputs'!$B$7+'Inputs'!$B$10))^2+('Inputs'!$B$8/2)^2))))*'Results'!$B$8))),"")</x:f>
        <x:v>0.598476610095925</x:v>
      </x:c>
      <x:c r="M948" t="n">
        <x:f>IF(AND(ISNUMBER('Results'!C7),ISNUMBER('Results'!B7),ISNUMBER('Results'!$B$8),ISNUMBER('Inputs'!$B$6),ISNUMBER('Inputs'!$B$7),ISNUMBER('Inputs'!$B$8),ISNUMBER('Inputs'!$B$9),ISNUMBER('Inputs'!$B$10),ISNUMBER('Inputs'!$B$21),ISNUMBER('Inputs'!$B$24),ISNUMBER('Inputs'!$B$28)),(('Results'!C7*(0.5*((((948-43)*MAX('Inputs'!$B$33,'Inputs'!$B$29+'Inputs'!$B$31+'Inputs'!$B$32,'Inputs'!$B$30+'Inputs'!$B$31+'Inputs'!$B$32)/1000+'Inputs'!$B$21)+'Inputs'!$B$9)/SQRT((((948-43)*MAX('Inputs'!$B$33,'Inputs'!$B$29+'Inputs'!$B$31+'Inputs'!$B$32,'Inputs'!$B$30+'Inputs'!$B$31+'Inputs'!$B$32)/1000+'Inputs'!$B$21)+'Inputs'!$B$9)^2+('Inputs'!$B$8/2)^2)-(((948-43)*MAX('Inputs'!$B$33,'Inputs'!$B$29+'Inputs'!$B$31+'Inputs'!$B$32,'Inputs'!$B$30+'Inputs'!$B$31+'Inputs'!$B$32)/1000+'Inputs'!$B$21))/SQRT((((948-43)*MAX('Inputs'!$B$33,'Inputs'!$B$29+'Inputs'!$B$31+'Inputs'!$B$32,'Inputs'!$B$30+'Inputs'!$B$31+'Inputs'!$B$32)/1000+'Inputs'!$B$21))^2+('Inputs'!$B$8/2)^2)))-'Results'!B7*(0.5*((((948-43)*MAX('Inputs'!$B$33,'Inputs'!$B$29+'Inputs'!$B$31+'Inputs'!$B$32,'Inputs'!$B$30+'Inputs'!$B$31+'Inputs'!$B$32)/1000+'Inputs'!$B$21+'Inputs'!$B$9+'Inputs'!$B$10)+'Inputs'!$B$7)/SQRT((((948-43)*MAX('Inputs'!$B$33,'Inputs'!$B$29+'Inputs'!$B$31+'Inputs'!$B$32,'Inputs'!$B$30+'Inputs'!$B$31+'Inputs'!$B$32)/1000+'Inputs'!$B$21+'Inputs'!$B$9+'Inputs'!$B$10)+'Inputs'!$B$7)^2+('Inputs'!$B$6/2)^2)-(((948-43)*MAX('Inputs'!$B$33,'Inputs'!$B$29+'Inputs'!$B$31+'Inputs'!$B$32,'Inputs'!$B$30+'Inputs'!$B$31+'Inputs'!$B$32)/1000+'Inputs'!$B$21+'Inputs'!$B$9+'Inputs'!$B$10))/SQRT((((948-43)*MAX('Inputs'!$B$33,'Inputs'!$B$29+'Inputs'!$B$31+'Inputs'!$B$32,'Inputs'!$B$30+'Inputs'!$B$31+'Inputs'!$B$32)/1000+'Inputs'!$B$21+'Inputs'!$B$9+'Inputs'!$B$10))^2+('Inputs'!$B$6/2)^2))))*'Results'!$B$8),"")</x:f>
        <x:v>0.4568297997453199</x:v>
      </x:c>
      <x:c r="N948" t="n">
        <x:f>IF(AND(ISNUMBER('Results'!C7),ISNUMBER('Results'!B7),ISNUMBER('Results'!$B$8),ISNUMBER('Inputs'!$B$6),ISNUMBER('Inputs'!$B$7),ISNUMBER('Inputs'!$B$8),ISNUMBER('Inputs'!$B$9),ISNUMBER('Inputs'!$B$10),ISNUMBER('Inputs'!$B$21),ISNUMBER('Inputs'!$B$24),ISNUMBER('Inputs'!$B$28)),((('Results'!C7*(1-'Inputs'!$B$24)*(0.5*((((948-43)*MAX('Inputs'!$B$33,'Inputs'!$B$29+'Inputs'!$B$31+'Inputs'!$B$32,'Inputs'!$B$30+'Inputs'!$B$31+'Inputs'!$B$32)/1000+'Inputs'!$B$21)+'Inputs'!$B$9)/SQRT((((948-43)*MAX('Inputs'!$B$33,'Inputs'!$B$29+'Inputs'!$B$31+'Inputs'!$B$32,'Inputs'!$B$30+'Inputs'!$B$31+'Inputs'!$B$32)/1000+'Inputs'!$B$21)+'Inputs'!$B$9)^2+('Inputs'!$B$8/2)^2)-(((948-43)*MAX('Inputs'!$B$33,'Inputs'!$B$29+'Inputs'!$B$31+'Inputs'!$B$32,'Inputs'!$B$30+'Inputs'!$B$31+'Inputs'!$B$32)/1000+'Inputs'!$B$21))/SQRT((((948-43)*MAX('Inputs'!$B$33,'Inputs'!$B$29+'Inputs'!$B$31+'Inputs'!$B$32,'Inputs'!$B$30+'Inputs'!$B$31+'Inputs'!$B$32)/1000+'Inputs'!$B$21))^2+('Inputs'!$B$8/2)^2)))-'Results'!B7*(1+'Inputs'!$B$24)*(0.5*((((948-43)*MAX('Inputs'!$B$33,'Inputs'!$B$29+'Inputs'!$B$31+'Inputs'!$B$32,'Inputs'!$B$30+'Inputs'!$B$31+'Inputs'!$B$32)/1000+'Inputs'!$B$21+'Inputs'!$B$9+'Inputs'!$B$10)+'Inputs'!$B$7)/SQRT((((948-43)*MAX('Inputs'!$B$33,'Inputs'!$B$29+'Inputs'!$B$31+'Inputs'!$B$32,'Inputs'!$B$30+'Inputs'!$B$31+'Inputs'!$B$32)/1000+'Inputs'!$B$21+'Inputs'!$B$9+'Inputs'!$B$10)+'Inputs'!$B$7)^2+('Inputs'!$B$6/2)^2)-(((948-43)*MAX('Inputs'!$B$33,'Inputs'!$B$29+'Inputs'!$B$31+'Inputs'!$B$32,'Inputs'!$B$30+'Inputs'!$B$31+'Inputs'!$B$32)/1000+'Inputs'!$B$21+'Inputs'!$B$9+'Inputs'!$B$10))/SQRT((((948-43)*MAX('Inputs'!$B$33,'Inputs'!$B$29+'Inputs'!$B$31+'Inputs'!$B$32,'Inputs'!$B$30+'Inputs'!$B$31+'Inputs'!$B$32)/1000+'Inputs'!$B$21+'Inputs'!$B$9+'Inputs'!$B$10))^2+('Inputs'!$B$6/2)^2))))*'Results'!$B$8)-'Inputs'!$B$28*ABS((('Results'!C7*(1-'Inputs'!$B$24)*(0.5*((((948-43)*MAX('Inputs'!$B$33,'Inputs'!$B$29+'Inputs'!$B$31+'Inputs'!$B$32,'Inputs'!$B$30+'Inputs'!$B$31+'Inputs'!$B$32)/1000+'Inputs'!$B$21)+'Inputs'!$B$9)/SQRT((((948-43)*MAX('Inputs'!$B$33,'Inputs'!$B$29+'Inputs'!$B$31+'Inputs'!$B$32,'Inputs'!$B$30+'Inputs'!$B$31+'Inputs'!$B$32)/1000+'Inputs'!$B$21)+'Inputs'!$B$9)^2+('Inputs'!$B$8/2)^2)-(((948-43)*MAX('Inputs'!$B$33,'Inputs'!$B$29+'Inputs'!$B$31+'Inputs'!$B$32,'Inputs'!$B$30+'Inputs'!$B$31+'Inputs'!$B$32)/1000+'Inputs'!$B$21))/SQRT((((948-43)*MAX('Inputs'!$B$33,'Inputs'!$B$29+'Inputs'!$B$31+'Inputs'!$B$32,'Inputs'!$B$30+'Inputs'!$B$31+'Inputs'!$B$32)/1000+'Inputs'!$B$21))^2+('Inputs'!$B$8/2)^2)))-'Results'!B7*(1+'Inputs'!$B$24)*(0.5*((((948-43)*MAX('Inputs'!$B$33,'Inputs'!$B$29+'Inputs'!$B$31+'Inputs'!$B$32,'Inputs'!$B$30+'Inputs'!$B$31+'Inputs'!$B$32)/1000+'Inputs'!$B$21+'Inputs'!$B$9+'Inputs'!$B$10)+'Inputs'!$B$7)/SQRT((((948-43)*MAX('Inputs'!$B$33,'Inputs'!$B$29+'Inputs'!$B$31+'Inputs'!$B$32,'Inputs'!$B$30+'Inputs'!$B$31+'Inputs'!$B$32)/1000+'Inputs'!$B$21+'Inputs'!$B$9+'Inputs'!$B$10)+'Inputs'!$B$7)^2+('Inputs'!$B$6/2)^2)-(((948-43)*MAX('Inputs'!$B$33,'Inputs'!$B$29+'Inputs'!$B$31+'Inputs'!$B$32,'Inputs'!$B$30+'Inputs'!$B$31+'Inputs'!$B$32)/1000+'Inputs'!$B$21+'Inputs'!$B$9+'Inputs'!$B$10))/SQRT((((948-43)*MAX('Inputs'!$B$33,'Inputs'!$B$29+'Inputs'!$B$31+'Inputs'!$B$32,'Inputs'!$B$30+'Inputs'!$B$31+'Inputs'!$B$32)/1000+'Inputs'!$B$21+'Inputs'!$B$9+'Inputs'!$B$10))^2+('Inputs'!$B$6/2)^2))))*'Results'!$B$8))),"")</x:f>
        <x:v>0.38065257716430134</x:v>
      </x:c>
      <x:c r="O948" t="n">
        <x:f>IF(AND(ISNUMBER('Results'!C7),ISNUMBER('Results'!B7),ISNUMBER('Results'!$B$8),ISNUMBER('Inputs'!$B$6),ISNUMBER('Inputs'!$B$7),ISNUMBER('Inputs'!$B$8),ISNUMBER('Inputs'!$B$9),ISNUMBER('Inputs'!$B$10),ISNUMBER('Inputs'!$B$21),ISNUMBER('Inputs'!$B$24),ISNUMBER('Inputs'!$B$28)),((('Results'!C7*(1+'Inputs'!$B$24)*(0.5*((((948-43)*MAX('Inputs'!$B$33,'Inputs'!$B$29+'Inputs'!$B$31+'Inputs'!$B$32,'Inputs'!$B$30+'Inputs'!$B$31+'Inputs'!$B$32)/1000+'Inputs'!$B$21)+'Inputs'!$B$9)/SQRT((((948-43)*MAX('Inputs'!$B$33,'Inputs'!$B$29+'Inputs'!$B$31+'Inputs'!$B$32,'Inputs'!$B$30+'Inputs'!$B$31+'Inputs'!$B$32)/1000+'Inputs'!$B$21)+'Inputs'!$B$9)^2+('Inputs'!$B$8/2)^2)-(((948-43)*MAX('Inputs'!$B$33,'Inputs'!$B$29+'Inputs'!$B$31+'Inputs'!$B$32,'Inputs'!$B$30+'Inputs'!$B$31+'Inputs'!$B$32)/1000+'Inputs'!$B$21))/SQRT((((948-43)*MAX('Inputs'!$B$33,'Inputs'!$B$29+'Inputs'!$B$31+'Inputs'!$B$32,'Inputs'!$B$30+'Inputs'!$B$31+'Inputs'!$B$32)/1000+'Inputs'!$B$21))^2+('Inputs'!$B$8/2)^2)))-'Results'!B7*(1-'Inputs'!$B$24)*(0.5*((((948-43)*MAX('Inputs'!$B$33,'Inputs'!$B$29+'Inputs'!$B$31+'Inputs'!$B$32,'Inputs'!$B$30+'Inputs'!$B$31+'Inputs'!$B$32)/1000+'Inputs'!$B$21+'Inputs'!$B$9+'Inputs'!$B$10)+'Inputs'!$B$7)/SQRT((((948-43)*MAX('Inputs'!$B$33,'Inputs'!$B$29+'Inputs'!$B$31+'Inputs'!$B$32,'Inputs'!$B$30+'Inputs'!$B$31+'Inputs'!$B$32)/1000+'Inputs'!$B$21+'Inputs'!$B$9+'Inputs'!$B$10)+'Inputs'!$B$7)^2+('Inputs'!$B$6/2)^2)-(((948-43)*MAX('Inputs'!$B$33,'Inputs'!$B$29+'Inputs'!$B$31+'Inputs'!$B$32,'Inputs'!$B$30+'Inputs'!$B$31+'Inputs'!$B$32)/1000+'Inputs'!$B$21+'Inputs'!$B$9+'Inputs'!$B$10))/SQRT((((948-43)*MAX('Inputs'!$B$33,'Inputs'!$B$29+'Inputs'!$B$31+'Inputs'!$B$32,'Inputs'!$B$30+'Inputs'!$B$31+'Inputs'!$B$32)/1000+'Inputs'!$B$21+'Inputs'!$B$9+'Inputs'!$B$10))^2+('Inputs'!$B$6/2)^2))))*'Results'!$B$8)+'Inputs'!$B$28*ABS((('Results'!C7*(1+'Inputs'!$B$24)*(0.5*((((948-43)*MAX('Inputs'!$B$33,'Inputs'!$B$29+'Inputs'!$B$31+'Inputs'!$B$32,'Inputs'!$B$30+'Inputs'!$B$31+'Inputs'!$B$32)/1000+'Inputs'!$B$21)+'Inputs'!$B$9)/SQRT((((948-43)*MAX('Inputs'!$B$33,'Inputs'!$B$29+'Inputs'!$B$31+'Inputs'!$B$32,'Inputs'!$B$30+'Inputs'!$B$31+'Inputs'!$B$32)/1000+'Inputs'!$B$21)+'Inputs'!$B$9)^2+('Inputs'!$B$8/2)^2)-(((948-43)*MAX('Inputs'!$B$33,'Inputs'!$B$29+'Inputs'!$B$31+'Inputs'!$B$32,'Inputs'!$B$30+'Inputs'!$B$31+'Inputs'!$B$32)/1000+'Inputs'!$B$21))/SQRT((((948-43)*MAX('Inputs'!$B$33,'Inputs'!$B$29+'Inputs'!$B$31+'Inputs'!$B$32,'Inputs'!$B$30+'Inputs'!$B$31+'Inputs'!$B$32)/1000+'Inputs'!$B$21))^2+('Inputs'!$B$8/2)^2)))-'Results'!B7*(1-'Inputs'!$B$24)*(0.5*((((948-43)*MAX('Inputs'!$B$33,'Inputs'!$B$29+'Inputs'!$B$31+'Inputs'!$B$32,'Inputs'!$B$30+'Inputs'!$B$31+'Inputs'!$B$32)/1000+'Inputs'!$B$21+'Inputs'!$B$9+'Inputs'!$B$10)+'Inputs'!$B$7)/SQRT((((948-43)*MAX('Inputs'!$B$33,'Inputs'!$B$29+'Inputs'!$B$31+'Inputs'!$B$32,'Inputs'!$B$30+'Inputs'!$B$31+'Inputs'!$B$32)/1000+'Inputs'!$B$21+'Inputs'!$B$9+'Inputs'!$B$10)+'Inputs'!$B$7)^2+('Inputs'!$B$6/2)^2)-(((948-43)*MAX('Inputs'!$B$33,'Inputs'!$B$29+'Inputs'!$B$31+'Inputs'!$B$32,'Inputs'!$B$30+'Inputs'!$B$31+'Inputs'!$B$32)/1000+'Inputs'!$B$21+'Inputs'!$B$9+'Inputs'!$B$10))/SQRT((((948-43)*MAX('Inputs'!$B$33,'Inputs'!$B$29+'Inputs'!$B$31+'Inputs'!$B$32,'Inputs'!$B$30+'Inputs'!$B$31+'Inputs'!$B$32)/1000+'Inputs'!$B$21+'Inputs'!$B$9+'Inputs'!$B$10))^2+('Inputs'!$B$6/2)^2))))*'Results'!$B$8))),"")</x:f>
        <x:v>0.5386213099677863</x:v>
      </x:c>
      <x:c r="P948" t="n">
        <x:f>IF(AND(MAX(J948,J947)&gt;0,J948&gt;J947+0.00000001),1,0)</x:f>
        <x:v>0</x:v>
      </x:c>
      <x:c r="Q948" t="n">
        <x:f>IF(AND(MAX(K948,K947)&gt;0,K948&gt;K947+0.00000001),1,0)</x:f>
        <x:v>0</x:v>
      </x:c>
      <x:c r="R948" t="n">
        <x:f>IF(AND(MAX(L948,L947)&gt;0,L948&gt;L947+0.00000001),1,0)</x:f>
        <x:v>0</x:v>
      </x:c>
      <x:c r="S948" t="n">
        <x:f>IF(AND(MAX(M948,M947)&gt;0,M948&gt;M947+0.00000001),1,0)</x:f>
        <x:v>0</x:v>
      </x:c>
      <x:c r="T948" t="n">
        <x:f>IF(AND(MAX(N948,N947)&gt;0,N948&gt;N947+0.00000001),1,0)</x:f>
        <x:v>0</x:v>
      </x:c>
      <x:c r="U948" t="n">
        <x:f>IF(AND(MAX(O948,O947)&gt;0,O948&gt;O947+0.00000001),1,0)</x:f>
        <x:v>0</x:v>
      </x:c>
    </x:row>
    <x:row r="949">
      <x:c r="J949" t="n">
        <x:f>IF(AND(ISNUMBER('Results'!B7),ISNUMBER('Results'!C7),ISNUMBER('Results'!$B$8),ISNUMBER('Inputs'!$B$6),ISNUMBER('Inputs'!$B$7),ISNUMBER('Inputs'!$B$8),ISNUMBER('Inputs'!$B$9),ISNUMBER('Inputs'!$B$10),ISNUMBER('Inputs'!$B$21),ISNUMBER('Inputs'!$B$24),ISNUMBER('Inputs'!$B$28)),(('Results'!B7*(0.5*((((949-43)*MAX('Inputs'!$B$33,'Inputs'!$B$29+'Inputs'!$B$31+'Inputs'!$B$32,'Inputs'!$B$30+'Inputs'!$B$31+'Inputs'!$B$32)/1000+'Inputs'!$B$21)+'Inputs'!$B$7)/SQRT((((949-43)*MAX('Inputs'!$B$33,'Inputs'!$B$29+'Inputs'!$B$31+'Inputs'!$B$32,'Inputs'!$B$30+'Inputs'!$B$31+'Inputs'!$B$32)/1000+'Inputs'!$B$21)+'Inputs'!$B$7)^2+('Inputs'!$B$6/2)^2)-(((949-43)*MAX('Inputs'!$B$33,'Inputs'!$B$29+'Inputs'!$B$31+'Inputs'!$B$32,'Inputs'!$B$30+'Inputs'!$B$31+'Inputs'!$B$32)/1000+'Inputs'!$B$21))/SQRT((((949-43)*MAX('Inputs'!$B$33,'Inputs'!$B$29+'Inputs'!$B$31+'Inputs'!$B$32,'Inputs'!$B$30+'Inputs'!$B$31+'Inputs'!$B$32)/1000+'Inputs'!$B$21))^2+('Inputs'!$B$6/2)^2)))-'Results'!C7*(0.5*((((949-43)*MAX('Inputs'!$B$33,'Inputs'!$B$29+'Inputs'!$B$31+'Inputs'!$B$32,'Inputs'!$B$30+'Inputs'!$B$31+'Inputs'!$B$32)/1000+'Inputs'!$B$21+'Inputs'!$B$7+'Inputs'!$B$10)+'Inputs'!$B$9)/SQRT((((949-43)*MAX('Inputs'!$B$33,'Inputs'!$B$29+'Inputs'!$B$31+'Inputs'!$B$32,'Inputs'!$B$30+'Inputs'!$B$31+'Inputs'!$B$32)/1000+'Inputs'!$B$21+'Inputs'!$B$7+'Inputs'!$B$10)+'Inputs'!$B$9)^2+('Inputs'!$B$8/2)^2)-(((949-43)*MAX('Inputs'!$B$33,'Inputs'!$B$29+'Inputs'!$B$31+'Inputs'!$B$32,'Inputs'!$B$30+'Inputs'!$B$31+'Inputs'!$B$32)/1000+'Inputs'!$B$21+'Inputs'!$B$7+'Inputs'!$B$10))/SQRT((((949-43)*MAX('Inputs'!$B$33,'Inputs'!$B$29+'Inputs'!$B$31+'Inputs'!$B$32,'Inputs'!$B$30+'Inputs'!$B$31+'Inputs'!$B$32)/1000+'Inputs'!$B$21+'Inputs'!$B$7+'Inputs'!$B$10))^2+('Inputs'!$B$8/2)^2))))*'Results'!$B$8),"")</x:f>
        <x:v>0.5115842835228126</x:v>
      </x:c>
      <x:c r="K949" t="n">
        <x:f>IF(AND(ISNUMBER('Results'!B7),ISNUMBER('Results'!C7),ISNUMBER('Results'!$B$8),ISNUMBER('Inputs'!$B$6),ISNUMBER('Inputs'!$B$7),ISNUMBER('Inputs'!$B$8),ISNUMBER('Inputs'!$B$9),ISNUMBER('Inputs'!$B$10),ISNUMBER('Inputs'!$B$21),ISNUMBER('Inputs'!$B$24),ISNUMBER('Inputs'!$B$28)),((('Results'!B7*(1-'Inputs'!$B$24)*(0.5*((((949-43)*MAX('Inputs'!$B$33,'Inputs'!$B$29+'Inputs'!$B$31+'Inputs'!$B$32,'Inputs'!$B$30+'Inputs'!$B$31+'Inputs'!$B$32)/1000+'Inputs'!$B$21)+'Inputs'!$B$7)/SQRT((((949-43)*MAX('Inputs'!$B$33,'Inputs'!$B$29+'Inputs'!$B$31+'Inputs'!$B$32,'Inputs'!$B$30+'Inputs'!$B$31+'Inputs'!$B$32)/1000+'Inputs'!$B$21)+'Inputs'!$B$7)^2+('Inputs'!$B$6/2)^2)-(((949-43)*MAX('Inputs'!$B$33,'Inputs'!$B$29+'Inputs'!$B$31+'Inputs'!$B$32,'Inputs'!$B$30+'Inputs'!$B$31+'Inputs'!$B$32)/1000+'Inputs'!$B$21))/SQRT((((949-43)*MAX('Inputs'!$B$33,'Inputs'!$B$29+'Inputs'!$B$31+'Inputs'!$B$32,'Inputs'!$B$30+'Inputs'!$B$31+'Inputs'!$B$32)/1000+'Inputs'!$B$21))^2+('Inputs'!$B$6/2)^2)))-'Results'!C7*(1+'Inputs'!$B$24)*(0.5*((((949-43)*MAX('Inputs'!$B$33,'Inputs'!$B$29+'Inputs'!$B$31+'Inputs'!$B$32,'Inputs'!$B$30+'Inputs'!$B$31+'Inputs'!$B$32)/1000+'Inputs'!$B$21+'Inputs'!$B$7+'Inputs'!$B$10)+'Inputs'!$B$9)/SQRT((((949-43)*MAX('Inputs'!$B$33,'Inputs'!$B$29+'Inputs'!$B$31+'Inputs'!$B$32,'Inputs'!$B$30+'Inputs'!$B$31+'Inputs'!$B$32)/1000+'Inputs'!$B$21+'Inputs'!$B$7+'Inputs'!$B$10)+'Inputs'!$B$9)^2+('Inputs'!$B$8/2)^2)-(((949-43)*MAX('Inputs'!$B$33,'Inputs'!$B$29+'Inputs'!$B$31+'Inputs'!$B$32,'Inputs'!$B$30+'Inputs'!$B$31+'Inputs'!$B$32)/1000+'Inputs'!$B$21+'Inputs'!$B$7+'Inputs'!$B$10))/SQRT((((949-43)*MAX('Inputs'!$B$33,'Inputs'!$B$29+'Inputs'!$B$31+'Inputs'!$B$32,'Inputs'!$B$30+'Inputs'!$B$31+'Inputs'!$B$32)/1000+'Inputs'!$B$21+'Inputs'!$B$7+'Inputs'!$B$10))^2+('Inputs'!$B$8/2)^2))))*'Results'!$B$8)-'Inputs'!$B$28*ABS((('Results'!B7*(1-'Inputs'!$B$24)*(0.5*((((949-43)*MAX('Inputs'!$B$33,'Inputs'!$B$29+'Inputs'!$B$31+'Inputs'!$B$32,'Inputs'!$B$30+'Inputs'!$B$31+'Inputs'!$B$32)/1000+'Inputs'!$B$21)+'Inputs'!$B$7)/SQRT((((949-43)*MAX('Inputs'!$B$33,'Inputs'!$B$29+'Inputs'!$B$31+'Inputs'!$B$32,'Inputs'!$B$30+'Inputs'!$B$31+'Inputs'!$B$32)/1000+'Inputs'!$B$21)+'Inputs'!$B$7)^2+('Inputs'!$B$6/2)^2)-(((949-43)*MAX('Inputs'!$B$33,'Inputs'!$B$29+'Inputs'!$B$31+'Inputs'!$B$32,'Inputs'!$B$30+'Inputs'!$B$31+'Inputs'!$B$32)/1000+'Inputs'!$B$21))/SQRT((((949-43)*MAX('Inputs'!$B$33,'Inputs'!$B$29+'Inputs'!$B$31+'Inputs'!$B$32,'Inputs'!$B$30+'Inputs'!$B$31+'Inputs'!$B$32)/1000+'Inputs'!$B$21))^2+('Inputs'!$B$6/2)^2)))-'Results'!C7*(1+'Inputs'!$B$24)*(0.5*((((949-43)*MAX('Inputs'!$B$33,'Inputs'!$B$29+'Inputs'!$B$31+'Inputs'!$B$32,'Inputs'!$B$30+'Inputs'!$B$31+'Inputs'!$B$32)/1000+'Inputs'!$B$21+'Inputs'!$B$7+'Inputs'!$B$10)+'Inputs'!$B$9)/SQRT((((949-43)*MAX('Inputs'!$B$33,'Inputs'!$B$29+'Inputs'!$B$31+'Inputs'!$B$32,'Inputs'!$B$30+'Inputs'!$B$31+'Inputs'!$B$32)/1000+'Inputs'!$B$21+'Inputs'!$B$7+'Inputs'!$B$10)+'Inputs'!$B$9)^2+('Inputs'!$B$8/2)^2)-(((949-43)*MAX('Inputs'!$B$33,'Inputs'!$B$29+'Inputs'!$B$31+'Inputs'!$B$32,'Inputs'!$B$30+'Inputs'!$B$31+'Inputs'!$B$32)/1000+'Inputs'!$B$21+'Inputs'!$B$7+'Inputs'!$B$10))/SQRT((((949-43)*MAX('Inputs'!$B$33,'Inputs'!$B$29+'Inputs'!$B$31+'Inputs'!$B$32,'Inputs'!$B$30+'Inputs'!$B$31+'Inputs'!$B$32)/1000+'Inputs'!$B$21+'Inputs'!$B$7+'Inputs'!$B$10))^2+('Inputs'!$B$8/2)^2))))*'Results'!$B$8))),"")</x:f>
        <x:v>0.432647504810312</x:v>
      </x:c>
      <x:c r="L949" t="n">
        <x:f>IF(AND(ISNUMBER('Results'!B7),ISNUMBER('Results'!C7),ISNUMBER('Results'!$B$8),ISNUMBER('Inputs'!$B$6),ISNUMBER('Inputs'!$B$7),ISNUMBER('Inputs'!$B$8),ISNUMBER('Inputs'!$B$9),ISNUMBER('Inputs'!$B$10),ISNUMBER('Inputs'!$B$21),ISNUMBER('Inputs'!$B$24),ISNUMBER('Inputs'!$B$28)),((('Results'!B7*(1+'Inputs'!$B$24)*(0.5*((((949-43)*MAX('Inputs'!$B$33,'Inputs'!$B$29+'Inputs'!$B$31+'Inputs'!$B$32,'Inputs'!$B$30+'Inputs'!$B$31+'Inputs'!$B$32)/1000+'Inputs'!$B$21)+'Inputs'!$B$7)/SQRT((((949-43)*MAX('Inputs'!$B$33,'Inputs'!$B$29+'Inputs'!$B$31+'Inputs'!$B$32,'Inputs'!$B$30+'Inputs'!$B$31+'Inputs'!$B$32)/1000+'Inputs'!$B$21)+'Inputs'!$B$7)^2+('Inputs'!$B$6/2)^2)-(((949-43)*MAX('Inputs'!$B$33,'Inputs'!$B$29+'Inputs'!$B$31+'Inputs'!$B$32,'Inputs'!$B$30+'Inputs'!$B$31+'Inputs'!$B$32)/1000+'Inputs'!$B$21))/SQRT((((949-43)*MAX('Inputs'!$B$33,'Inputs'!$B$29+'Inputs'!$B$31+'Inputs'!$B$32,'Inputs'!$B$30+'Inputs'!$B$31+'Inputs'!$B$32)/1000+'Inputs'!$B$21))^2+('Inputs'!$B$6/2)^2)))-'Results'!C7*(1-'Inputs'!$B$24)*(0.5*((((949-43)*MAX('Inputs'!$B$33,'Inputs'!$B$29+'Inputs'!$B$31+'Inputs'!$B$32,'Inputs'!$B$30+'Inputs'!$B$31+'Inputs'!$B$32)/1000+'Inputs'!$B$21+'Inputs'!$B$7+'Inputs'!$B$10)+'Inputs'!$B$9)/SQRT((((949-43)*MAX('Inputs'!$B$33,'Inputs'!$B$29+'Inputs'!$B$31+'Inputs'!$B$32,'Inputs'!$B$30+'Inputs'!$B$31+'Inputs'!$B$32)/1000+'Inputs'!$B$21+'Inputs'!$B$7+'Inputs'!$B$10)+'Inputs'!$B$9)^2+('Inputs'!$B$8/2)^2)-(((949-43)*MAX('Inputs'!$B$33,'Inputs'!$B$29+'Inputs'!$B$31+'Inputs'!$B$32,'Inputs'!$B$30+'Inputs'!$B$31+'Inputs'!$B$32)/1000+'Inputs'!$B$21+'Inputs'!$B$7+'Inputs'!$B$10))/SQRT((((949-43)*MAX('Inputs'!$B$33,'Inputs'!$B$29+'Inputs'!$B$31+'Inputs'!$B$32,'Inputs'!$B$30+'Inputs'!$B$31+'Inputs'!$B$32)/1000+'Inputs'!$B$21+'Inputs'!$B$7+'Inputs'!$B$10))^2+('Inputs'!$B$8/2)^2))))*'Results'!$B$8)+'Inputs'!$B$28*ABS((('Results'!B7*(1+'Inputs'!$B$24)*(0.5*((((949-43)*MAX('Inputs'!$B$33,'Inputs'!$B$29+'Inputs'!$B$31+'Inputs'!$B$32,'Inputs'!$B$30+'Inputs'!$B$31+'Inputs'!$B$32)/1000+'Inputs'!$B$21)+'Inputs'!$B$7)/SQRT((((949-43)*MAX('Inputs'!$B$33,'Inputs'!$B$29+'Inputs'!$B$31+'Inputs'!$B$32,'Inputs'!$B$30+'Inputs'!$B$31+'Inputs'!$B$32)/1000+'Inputs'!$B$21)+'Inputs'!$B$7)^2+('Inputs'!$B$6/2)^2)-(((949-43)*MAX('Inputs'!$B$33,'Inputs'!$B$29+'Inputs'!$B$31+'Inputs'!$B$32,'Inputs'!$B$30+'Inputs'!$B$31+'Inputs'!$B$32)/1000+'Inputs'!$B$21))/SQRT((((949-43)*MAX('Inputs'!$B$33,'Inputs'!$B$29+'Inputs'!$B$31+'Inputs'!$B$32,'Inputs'!$B$30+'Inputs'!$B$31+'Inputs'!$B$32)/1000+'Inputs'!$B$21))^2+('Inputs'!$B$6/2)^2)))-'Results'!C7*(1-'Inputs'!$B$24)*(0.5*((((949-43)*MAX('Inputs'!$B$33,'Inputs'!$B$29+'Inputs'!$B$31+'Inputs'!$B$32,'Inputs'!$B$30+'Inputs'!$B$31+'Inputs'!$B$32)/1000+'Inputs'!$B$21+'Inputs'!$B$7+'Inputs'!$B$10)+'Inputs'!$B$9)/SQRT((((949-43)*MAX('Inputs'!$B$33,'Inputs'!$B$29+'Inputs'!$B$31+'Inputs'!$B$32,'Inputs'!$B$30+'Inputs'!$B$31+'Inputs'!$B$32)/1000+'Inputs'!$B$21+'Inputs'!$B$7+'Inputs'!$B$10)+'Inputs'!$B$9)^2+('Inputs'!$B$8/2)^2)-(((949-43)*MAX('Inputs'!$B$33,'Inputs'!$B$29+'Inputs'!$B$31+'Inputs'!$B$32,'Inputs'!$B$30+'Inputs'!$B$31+'Inputs'!$B$32)/1000+'Inputs'!$B$21+'Inputs'!$B$7+'Inputs'!$B$10))/SQRT((((949-43)*MAX('Inputs'!$B$33,'Inputs'!$B$29+'Inputs'!$B$31+'Inputs'!$B$32,'Inputs'!$B$30+'Inputs'!$B$31+'Inputs'!$B$32)/1000+'Inputs'!$B$21+'Inputs'!$B$7+'Inputs'!$B$10))^2+('Inputs'!$B$8/2)^2))))*'Results'!$B$8))),"")</x:f>
        <x:v>0.5961376479759827</x:v>
      </x:c>
      <x:c r="M949" t="n">
        <x:f>IF(AND(ISNUMBER('Results'!C7),ISNUMBER('Results'!B7),ISNUMBER('Results'!$B$8),ISNUMBER('Inputs'!$B$6),ISNUMBER('Inputs'!$B$7),ISNUMBER('Inputs'!$B$8),ISNUMBER('Inputs'!$B$9),ISNUMBER('Inputs'!$B$10),ISNUMBER('Inputs'!$B$21),ISNUMBER('Inputs'!$B$24),ISNUMBER('Inputs'!$B$28)),(('Results'!C7*(0.5*((((949-43)*MAX('Inputs'!$B$33,'Inputs'!$B$29+'Inputs'!$B$31+'Inputs'!$B$32,'Inputs'!$B$30+'Inputs'!$B$31+'Inputs'!$B$32)/1000+'Inputs'!$B$21)+'Inputs'!$B$9)/SQRT((((949-43)*MAX('Inputs'!$B$33,'Inputs'!$B$29+'Inputs'!$B$31+'Inputs'!$B$32,'Inputs'!$B$30+'Inputs'!$B$31+'Inputs'!$B$32)/1000+'Inputs'!$B$21)+'Inputs'!$B$9)^2+('Inputs'!$B$8/2)^2)-(((949-43)*MAX('Inputs'!$B$33,'Inputs'!$B$29+'Inputs'!$B$31+'Inputs'!$B$32,'Inputs'!$B$30+'Inputs'!$B$31+'Inputs'!$B$32)/1000+'Inputs'!$B$21))/SQRT((((949-43)*MAX('Inputs'!$B$33,'Inputs'!$B$29+'Inputs'!$B$31+'Inputs'!$B$32,'Inputs'!$B$30+'Inputs'!$B$31+'Inputs'!$B$32)/1000+'Inputs'!$B$21))^2+('Inputs'!$B$8/2)^2)))-'Results'!B7*(0.5*((((949-43)*MAX('Inputs'!$B$33,'Inputs'!$B$29+'Inputs'!$B$31+'Inputs'!$B$32,'Inputs'!$B$30+'Inputs'!$B$31+'Inputs'!$B$32)/1000+'Inputs'!$B$21+'Inputs'!$B$9+'Inputs'!$B$10)+'Inputs'!$B$7)/SQRT((((949-43)*MAX('Inputs'!$B$33,'Inputs'!$B$29+'Inputs'!$B$31+'Inputs'!$B$32,'Inputs'!$B$30+'Inputs'!$B$31+'Inputs'!$B$32)/1000+'Inputs'!$B$21+'Inputs'!$B$9+'Inputs'!$B$10)+'Inputs'!$B$7)^2+('Inputs'!$B$6/2)^2)-(((949-43)*MAX('Inputs'!$B$33,'Inputs'!$B$29+'Inputs'!$B$31+'Inputs'!$B$32,'Inputs'!$B$30+'Inputs'!$B$31+'Inputs'!$B$32)/1000+'Inputs'!$B$21+'Inputs'!$B$9+'Inputs'!$B$10))/SQRT((((949-43)*MAX('Inputs'!$B$33,'Inputs'!$B$29+'Inputs'!$B$31+'Inputs'!$B$32,'Inputs'!$B$30+'Inputs'!$B$31+'Inputs'!$B$32)/1000+'Inputs'!$B$21+'Inputs'!$B$9+'Inputs'!$B$10))^2+('Inputs'!$B$6/2)^2))))*'Results'!$B$8),"")</x:f>
        <x:v>0.454949710077993</x:v>
      </x:c>
      <x:c r="N949" t="n">
        <x:f>IF(AND(ISNUMBER('Results'!C7),ISNUMBER('Results'!B7),ISNUMBER('Results'!$B$8),ISNUMBER('Inputs'!$B$6),ISNUMBER('Inputs'!$B$7),ISNUMBER('Inputs'!$B$8),ISNUMBER('Inputs'!$B$9),ISNUMBER('Inputs'!$B$10),ISNUMBER('Inputs'!$B$21),ISNUMBER('Inputs'!$B$24),ISNUMBER('Inputs'!$B$28)),((('Results'!C7*(1-'Inputs'!$B$24)*(0.5*((((949-43)*MAX('Inputs'!$B$33,'Inputs'!$B$29+'Inputs'!$B$31+'Inputs'!$B$32,'Inputs'!$B$30+'Inputs'!$B$31+'Inputs'!$B$32)/1000+'Inputs'!$B$21)+'Inputs'!$B$9)/SQRT((((949-43)*MAX('Inputs'!$B$33,'Inputs'!$B$29+'Inputs'!$B$31+'Inputs'!$B$32,'Inputs'!$B$30+'Inputs'!$B$31+'Inputs'!$B$32)/1000+'Inputs'!$B$21)+'Inputs'!$B$9)^2+('Inputs'!$B$8/2)^2)-(((949-43)*MAX('Inputs'!$B$33,'Inputs'!$B$29+'Inputs'!$B$31+'Inputs'!$B$32,'Inputs'!$B$30+'Inputs'!$B$31+'Inputs'!$B$32)/1000+'Inputs'!$B$21))/SQRT((((949-43)*MAX('Inputs'!$B$33,'Inputs'!$B$29+'Inputs'!$B$31+'Inputs'!$B$32,'Inputs'!$B$30+'Inputs'!$B$31+'Inputs'!$B$32)/1000+'Inputs'!$B$21))^2+('Inputs'!$B$8/2)^2)))-'Results'!B7*(1+'Inputs'!$B$24)*(0.5*((((949-43)*MAX('Inputs'!$B$33,'Inputs'!$B$29+'Inputs'!$B$31+'Inputs'!$B$32,'Inputs'!$B$30+'Inputs'!$B$31+'Inputs'!$B$32)/1000+'Inputs'!$B$21+'Inputs'!$B$9+'Inputs'!$B$10)+'Inputs'!$B$7)/SQRT((((949-43)*MAX('Inputs'!$B$33,'Inputs'!$B$29+'Inputs'!$B$31+'Inputs'!$B$32,'Inputs'!$B$30+'Inputs'!$B$31+'Inputs'!$B$32)/1000+'Inputs'!$B$21+'Inputs'!$B$9+'Inputs'!$B$10)+'Inputs'!$B$7)^2+('Inputs'!$B$6/2)^2)-(((949-43)*MAX('Inputs'!$B$33,'Inputs'!$B$29+'Inputs'!$B$31+'Inputs'!$B$32,'Inputs'!$B$30+'Inputs'!$B$31+'Inputs'!$B$32)/1000+'Inputs'!$B$21+'Inputs'!$B$9+'Inputs'!$B$10))/SQRT((((949-43)*MAX('Inputs'!$B$33,'Inputs'!$B$29+'Inputs'!$B$31+'Inputs'!$B$32,'Inputs'!$B$30+'Inputs'!$B$31+'Inputs'!$B$32)/1000+'Inputs'!$B$21+'Inputs'!$B$9+'Inputs'!$B$10))^2+('Inputs'!$B$6/2)^2))))*'Results'!$B$8)-'Inputs'!$B$28*ABS((('Results'!C7*(1-'Inputs'!$B$24)*(0.5*((((949-43)*MAX('Inputs'!$B$33,'Inputs'!$B$29+'Inputs'!$B$31+'Inputs'!$B$32,'Inputs'!$B$30+'Inputs'!$B$31+'Inputs'!$B$32)/1000+'Inputs'!$B$21)+'Inputs'!$B$9)/SQRT((((949-43)*MAX('Inputs'!$B$33,'Inputs'!$B$29+'Inputs'!$B$31+'Inputs'!$B$32,'Inputs'!$B$30+'Inputs'!$B$31+'Inputs'!$B$32)/1000+'Inputs'!$B$21)+'Inputs'!$B$9)^2+('Inputs'!$B$8/2)^2)-(((949-43)*MAX('Inputs'!$B$33,'Inputs'!$B$29+'Inputs'!$B$31+'Inputs'!$B$32,'Inputs'!$B$30+'Inputs'!$B$31+'Inputs'!$B$32)/1000+'Inputs'!$B$21))/SQRT((((949-43)*MAX('Inputs'!$B$33,'Inputs'!$B$29+'Inputs'!$B$31+'Inputs'!$B$32,'Inputs'!$B$30+'Inputs'!$B$31+'Inputs'!$B$32)/1000+'Inputs'!$B$21))^2+('Inputs'!$B$8/2)^2)))-'Results'!B7*(1+'Inputs'!$B$24)*(0.5*((((949-43)*MAX('Inputs'!$B$33,'Inputs'!$B$29+'Inputs'!$B$31+'Inputs'!$B$32,'Inputs'!$B$30+'Inputs'!$B$31+'Inputs'!$B$32)/1000+'Inputs'!$B$21+'Inputs'!$B$9+'Inputs'!$B$10)+'Inputs'!$B$7)/SQRT((((949-43)*MAX('Inputs'!$B$33,'Inputs'!$B$29+'Inputs'!$B$31+'Inputs'!$B$32,'Inputs'!$B$30+'Inputs'!$B$31+'Inputs'!$B$32)/1000+'Inputs'!$B$21+'Inputs'!$B$9+'Inputs'!$B$10)+'Inputs'!$B$7)^2+('Inputs'!$B$6/2)^2)-(((949-43)*MAX('Inputs'!$B$33,'Inputs'!$B$29+'Inputs'!$B$31+'Inputs'!$B$32,'Inputs'!$B$30+'Inputs'!$B$31+'Inputs'!$B$32)/1000+'Inputs'!$B$21+'Inputs'!$B$9+'Inputs'!$B$10))/SQRT((((949-43)*MAX('Inputs'!$B$33,'Inputs'!$B$29+'Inputs'!$B$31+'Inputs'!$B$32,'Inputs'!$B$30+'Inputs'!$B$31+'Inputs'!$B$32)/1000+'Inputs'!$B$21+'Inputs'!$B$9+'Inputs'!$B$10))^2+('Inputs'!$B$6/2)^2))))*'Results'!$B$8))),"")</x:f>
        <x:v>0.3790301564607476</x:v>
      </x:c>
      <x:c r="O949" t="n">
        <x:f>IF(AND(ISNUMBER('Results'!C7),ISNUMBER('Results'!B7),ISNUMBER('Results'!$B$8),ISNUMBER('Inputs'!$B$6),ISNUMBER('Inputs'!$B$7),ISNUMBER('Inputs'!$B$8),ISNUMBER('Inputs'!$B$9),ISNUMBER('Inputs'!$B$10),ISNUMBER('Inputs'!$B$21),ISNUMBER('Inputs'!$B$24),ISNUMBER('Inputs'!$B$28)),((('Results'!C7*(1+'Inputs'!$B$24)*(0.5*((((949-43)*MAX('Inputs'!$B$33,'Inputs'!$B$29+'Inputs'!$B$31+'Inputs'!$B$32,'Inputs'!$B$30+'Inputs'!$B$31+'Inputs'!$B$32)/1000+'Inputs'!$B$21)+'Inputs'!$B$9)/SQRT((((949-43)*MAX('Inputs'!$B$33,'Inputs'!$B$29+'Inputs'!$B$31+'Inputs'!$B$32,'Inputs'!$B$30+'Inputs'!$B$31+'Inputs'!$B$32)/1000+'Inputs'!$B$21)+'Inputs'!$B$9)^2+('Inputs'!$B$8/2)^2)-(((949-43)*MAX('Inputs'!$B$33,'Inputs'!$B$29+'Inputs'!$B$31+'Inputs'!$B$32,'Inputs'!$B$30+'Inputs'!$B$31+'Inputs'!$B$32)/1000+'Inputs'!$B$21))/SQRT((((949-43)*MAX('Inputs'!$B$33,'Inputs'!$B$29+'Inputs'!$B$31+'Inputs'!$B$32,'Inputs'!$B$30+'Inputs'!$B$31+'Inputs'!$B$32)/1000+'Inputs'!$B$21))^2+('Inputs'!$B$8/2)^2)))-'Results'!B7*(1-'Inputs'!$B$24)*(0.5*((((949-43)*MAX('Inputs'!$B$33,'Inputs'!$B$29+'Inputs'!$B$31+'Inputs'!$B$32,'Inputs'!$B$30+'Inputs'!$B$31+'Inputs'!$B$32)/1000+'Inputs'!$B$21+'Inputs'!$B$9+'Inputs'!$B$10)+'Inputs'!$B$7)/SQRT((((949-43)*MAX('Inputs'!$B$33,'Inputs'!$B$29+'Inputs'!$B$31+'Inputs'!$B$32,'Inputs'!$B$30+'Inputs'!$B$31+'Inputs'!$B$32)/1000+'Inputs'!$B$21+'Inputs'!$B$9+'Inputs'!$B$10)+'Inputs'!$B$7)^2+('Inputs'!$B$6/2)^2)-(((949-43)*MAX('Inputs'!$B$33,'Inputs'!$B$29+'Inputs'!$B$31+'Inputs'!$B$32,'Inputs'!$B$30+'Inputs'!$B$31+'Inputs'!$B$32)/1000+'Inputs'!$B$21+'Inputs'!$B$9+'Inputs'!$B$10))/SQRT((((949-43)*MAX('Inputs'!$B$33,'Inputs'!$B$29+'Inputs'!$B$31+'Inputs'!$B$32,'Inputs'!$B$30+'Inputs'!$B$31+'Inputs'!$B$32)/1000+'Inputs'!$B$21+'Inputs'!$B$9+'Inputs'!$B$10))^2+('Inputs'!$B$6/2)^2))))*'Results'!$B$8)+'Inputs'!$B$28*ABS((('Results'!C7*(1+'Inputs'!$B$24)*(0.5*((((949-43)*MAX('Inputs'!$B$33,'Inputs'!$B$29+'Inputs'!$B$31+'Inputs'!$B$32,'Inputs'!$B$30+'Inputs'!$B$31+'Inputs'!$B$32)/1000+'Inputs'!$B$21)+'Inputs'!$B$9)/SQRT((((949-43)*MAX('Inputs'!$B$33,'Inputs'!$B$29+'Inputs'!$B$31+'Inputs'!$B$32,'Inputs'!$B$30+'Inputs'!$B$31+'Inputs'!$B$32)/1000+'Inputs'!$B$21)+'Inputs'!$B$9)^2+('Inputs'!$B$8/2)^2)-(((949-43)*MAX('Inputs'!$B$33,'Inputs'!$B$29+'Inputs'!$B$31+'Inputs'!$B$32,'Inputs'!$B$30+'Inputs'!$B$31+'Inputs'!$B$32)/1000+'Inputs'!$B$21))/SQRT((((949-43)*MAX('Inputs'!$B$33,'Inputs'!$B$29+'Inputs'!$B$31+'Inputs'!$B$32,'Inputs'!$B$30+'Inputs'!$B$31+'Inputs'!$B$32)/1000+'Inputs'!$B$21))^2+('Inputs'!$B$8/2)^2)))-'Results'!B7*(1-'Inputs'!$B$24)*(0.5*((((949-43)*MAX('Inputs'!$B$33,'Inputs'!$B$29+'Inputs'!$B$31+'Inputs'!$B$32,'Inputs'!$B$30+'Inputs'!$B$31+'Inputs'!$B$32)/1000+'Inputs'!$B$21+'Inputs'!$B$9+'Inputs'!$B$10)+'Inputs'!$B$7)/SQRT((((949-43)*MAX('Inputs'!$B$33,'Inputs'!$B$29+'Inputs'!$B$31+'Inputs'!$B$32,'Inputs'!$B$30+'Inputs'!$B$31+'Inputs'!$B$32)/1000+'Inputs'!$B$21+'Inputs'!$B$9+'Inputs'!$B$10)+'Inputs'!$B$7)^2+('Inputs'!$B$6/2)^2)-(((949-43)*MAX('Inputs'!$B$33,'Inputs'!$B$29+'Inputs'!$B$31+'Inputs'!$B$32,'Inputs'!$B$30+'Inputs'!$B$31+'Inputs'!$B$32)/1000+'Inputs'!$B$21+'Inputs'!$B$9+'Inputs'!$B$10))/SQRT((((949-43)*MAX('Inputs'!$B$33,'Inputs'!$B$29+'Inputs'!$B$31+'Inputs'!$B$32,'Inputs'!$B$30+'Inputs'!$B$31+'Inputs'!$B$32)/1000+'Inputs'!$B$21+'Inputs'!$B$9+'Inputs'!$B$10))^2+('Inputs'!$B$6/2)^2))))*'Results'!$B$8))),"")</x:f>
        <x:v>0.5364663234966435</x:v>
      </x:c>
      <x:c r="P949" t="n">
        <x:f>IF(AND(MAX(J949,J948)&gt;0,J949&gt;J948+0.00000001),1,0)</x:f>
        <x:v>0</x:v>
      </x:c>
      <x:c r="Q949" t="n">
        <x:f>IF(AND(MAX(K949,K948)&gt;0,K949&gt;K948+0.00000001),1,0)</x:f>
        <x:v>0</x:v>
      </x:c>
      <x:c r="R949" t="n">
        <x:f>IF(AND(MAX(L949,L948)&gt;0,L949&gt;L948+0.00000001),1,0)</x:f>
        <x:v>0</x:v>
      </x:c>
      <x:c r="S949" t="n">
        <x:f>IF(AND(MAX(M949,M948)&gt;0,M949&gt;M948+0.00000001),1,0)</x:f>
        <x:v>0</x:v>
      </x:c>
      <x:c r="T949" t="n">
        <x:f>IF(AND(MAX(N949,N948)&gt;0,N949&gt;N948+0.00000001),1,0)</x:f>
        <x:v>0</x:v>
      </x:c>
      <x:c r="U949" t="n">
        <x:f>IF(AND(MAX(O949,O948)&gt;0,O949&gt;O948+0.00000001),1,0)</x:f>
        <x:v>0</x:v>
      </x:c>
    </x:row>
    <x:row r="950">
      <x:c r="J950" t="n">
        <x:f>IF(AND(ISNUMBER('Results'!B7),ISNUMBER('Results'!C7),ISNUMBER('Results'!$B$8),ISNUMBER('Inputs'!$B$6),ISNUMBER('Inputs'!$B$7),ISNUMBER('Inputs'!$B$8),ISNUMBER('Inputs'!$B$9),ISNUMBER('Inputs'!$B$10),ISNUMBER('Inputs'!$B$21),ISNUMBER('Inputs'!$B$24),ISNUMBER('Inputs'!$B$28)),(('Results'!B7*(0.5*((((950-43)*MAX('Inputs'!$B$33,'Inputs'!$B$29+'Inputs'!$B$31+'Inputs'!$B$32,'Inputs'!$B$30+'Inputs'!$B$31+'Inputs'!$B$32)/1000+'Inputs'!$B$21)+'Inputs'!$B$7)/SQRT((((950-43)*MAX('Inputs'!$B$33,'Inputs'!$B$29+'Inputs'!$B$31+'Inputs'!$B$32,'Inputs'!$B$30+'Inputs'!$B$31+'Inputs'!$B$32)/1000+'Inputs'!$B$21)+'Inputs'!$B$7)^2+('Inputs'!$B$6/2)^2)-(((950-43)*MAX('Inputs'!$B$33,'Inputs'!$B$29+'Inputs'!$B$31+'Inputs'!$B$32,'Inputs'!$B$30+'Inputs'!$B$31+'Inputs'!$B$32)/1000+'Inputs'!$B$21))/SQRT((((950-43)*MAX('Inputs'!$B$33,'Inputs'!$B$29+'Inputs'!$B$31+'Inputs'!$B$32,'Inputs'!$B$30+'Inputs'!$B$31+'Inputs'!$B$32)/1000+'Inputs'!$B$21))^2+('Inputs'!$B$6/2)^2)))-'Results'!C7*(0.5*((((950-43)*MAX('Inputs'!$B$33,'Inputs'!$B$29+'Inputs'!$B$31+'Inputs'!$B$32,'Inputs'!$B$30+'Inputs'!$B$31+'Inputs'!$B$32)/1000+'Inputs'!$B$21+'Inputs'!$B$7+'Inputs'!$B$10)+'Inputs'!$B$9)/SQRT((((950-43)*MAX('Inputs'!$B$33,'Inputs'!$B$29+'Inputs'!$B$31+'Inputs'!$B$32,'Inputs'!$B$30+'Inputs'!$B$31+'Inputs'!$B$32)/1000+'Inputs'!$B$21+'Inputs'!$B$7+'Inputs'!$B$10)+'Inputs'!$B$9)^2+('Inputs'!$B$8/2)^2)-(((950-43)*MAX('Inputs'!$B$33,'Inputs'!$B$29+'Inputs'!$B$31+'Inputs'!$B$32,'Inputs'!$B$30+'Inputs'!$B$31+'Inputs'!$B$32)/1000+'Inputs'!$B$21+'Inputs'!$B$7+'Inputs'!$B$10))/SQRT((((950-43)*MAX('Inputs'!$B$33,'Inputs'!$B$29+'Inputs'!$B$31+'Inputs'!$B$32,'Inputs'!$B$30+'Inputs'!$B$31+'Inputs'!$B$32)/1000+'Inputs'!$B$21+'Inputs'!$B$7+'Inputs'!$B$10))^2+('Inputs'!$B$8/2)^2))))*'Results'!$B$8),"")</x:f>
        <x:v>0.5095400866202737</x:v>
      </x:c>
      <x:c r="K950" t="n">
        <x:f>IF(AND(ISNUMBER('Results'!B7),ISNUMBER('Results'!C7),ISNUMBER('Results'!$B$8),ISNUMBER('Inputs'!$B$6),ISNUMBER('Inputs'!$B$7),ISNUMBER('Inputs'!$B$8),ISNUMBER('Inputs'!$B$9),ISNUMBER('Inputs'!$B$10),ISNUMBER('Inputs'!$B$21),ISNUMBER('Inputs'!$B$24),ISNUMBER('Inputs'!$B$28)),((('Results'!B7*(1-'Inputs'!$B$24)*(0.5*((((950-43)*MAX('Inputs'!$B$33,'Inputs'!$B$29+'Inputs'!$B$31+'Inputs'!$B$32,'Inputs'!$B$30+'Inputs'!$B$31+'Inputs'!$B$32)/1000+'Inputs'!$B$21)+'Inputs'!$B$7)/SQRT((((950-43)*MAX('Inputs'!$B$33,'Inputs'!$B$29+'Inputs'!$B$31+'Inputs'!$B$32,'Inputs'!$B$30+'Inputs'!$B$31+'Inputs'!$B$32)/1000+'Inputs'!$B$21)+'Inputs'!$B$7)^2+('Inputs'!$B$6/2)^2)-(((950-43)*MAX('Inputs'!$B$33,'Inputs'!$B$29+'Inputs'!$B$31+'Inputs'!$B$32,'Inputs'!$B$30+'Inputs'!$B$31+'Inputs'!$B$32)/1000+'Inputs'!$B$21))/SQRT((((950-43)*MAX('Inputs'!$B$33,'Inputs'!$B$29+'Inputs'!$B$31+'Inputs'!$B$32,'Inputs'!$B$30+'Inputs'!$B$31+'Inputs'!$B$32)/1000+'Inputs'!$B$21))^2+('Inputs'!$B$6/2)^2)))-'Results'!C7*(1+'Inputs'!$B$24)*(0.5*((((950-43)*MAX('Inputs'!$B$33,'Inputs'!$B$29+'Inputs'!$B$31+'Inputs'!$B$32,'Inputs'!$B$30+'Inputs'!$B$31+'Inputs'!$B$32)/1000+'Inputs'!$B$21+'Inputs'!$B$7+'Inputs'!$B$10)+'Inputs'!$B$9)/SQRT((((950-43)*MAX('Inputs'!$B$33,'Inputs'!$B$29+'Inputs'!$B$31+'Inputs'!$B$32,'Inputs'!$B$30+'Inputs'!$B$31+'Inputs'!$B$32)/1000+'Inputs'!$B$21+'Inputs'!$B$7+'Inputs'!$B$10)+'Inputs'!$B$9)^2+('Inputs'!$B$8/2)^2)-(((950-43)*MAX('Inputs'!$B$33,'Inputs'!$B$29+'Inputs'!$B$31+'Inputs'!$B$32,'Inputs'!$B$30+'Inputs'!$B$31+'Inputs'!$B$32)/1000+'Inputs'!$B$21+'Inputs'!$B$7+'Inputs'!$B$10))/SQRT((((950-43)*MAX('Inputs'!$B$33,'Inputs'!$B$29+'Inputs'!$B$31+'Inputs'!$B$32,'Inputs'!$B$30+'Inputs'!$B$31+'Inputs'!$B$32)/1000+'Inputs'!$B$21+'Inputs'!$B$7+'Inputs'!$B$10))^2+('Inputs'!$B$8/2)^2))))*'Results'!$B$8)-'Inputs'!$B$28*ABS((('Results'!B7*(1-'Inputs'!$B$24)*(0.5*((((950-43)*MAX('Inputs'!$B$33,'Inputs'!$B$29+'Inputs'!$B$31+'Inputs'!$B$32,'Inputs'!$B$30+'Inputs'!$B$31+'Inputs'!$B$32)/1000+'Inputs'!$B$21)+'Inputs'!$B$7)/SQRT((((950-43)*MAX('Inputs'!$B$33,'Inputs'!$B$29+'Inputs'!$B$31+'Inputs'!$B$32,'Inputs'!$B$30+'Inputs'!$B$31+'Inputs'!$B$32)/1000+'Inputs'!$B$21)+'Inputs'!$B$7)^2+('Inputs'!$B$6/2)^2)-(((950-43)*MAX('Inputs'!$B$33,'Inputs'!$B$29+'Inputs'!$B$31+'Inputs'!$B$32,'Inputs'!$B$30+'Inputs'!$B$31+'Inputs'!$B$32)/1000+'Inputs'!$B$21))/SQRT((((950-43)*MAX('Inputs'!$B$33,'Inputs'!$B$29+'Inputs'!$B$31+'Inputs'!$B$32,'Inputs'!$B$30+'Inputs'!$B$31+'Inputs'!$B$32)/1000+'Inputs'!$B$21))^2+('Inputs'!$B$6/2)^2)))-'Results'!C7*(1+'Inputs'!$B$24)*(0.5*((((950-43)*MAX('Inputs'!$B$33,'Inputs'!$B$29+'Inputs'!$B$31+'Inputs'!$B$32,'Inputs'!$B$30+'Inputs'!$B$31+'Inputs'!$B$32)/1000+'Inputs'!$B$21+'Inputs'!$B$7+'Inputs'!$B$10)+'Inputs'!$B$9)/SQRT((((950-43)*MAX('Inputs'!$B$33,'Inputs'!$B$29+'Inputs'!$B$31+'Inputs'!$B$32,'Inputs'!$B$30+'Inputs'!$B$31+'Inputs'!$B$32)/1000+'Inputs'!$B$21+'Inputs'!$B$7+'Inputs'!$B$10)+'Inputs'!$B$9)^2+('Inputs'!$B$8/2)^2)-(((950-43)*MAX('Inputs'!$B$33,'Inputs'!$B$29+'Inputs'!$B$31+'Inputs'!$B$32,'Inputs'!$B$30+'Inputs'!$B$31+'Inputs'!$B$32)/1000+'Inputs'!$B$21+'Inputs'!$B$7+'Inputs'!$B$10))/SQRT((((950-43)*MAX('Inputs'!$B$33,'Inputs'!$B$29+'Inputs'!$B$31+'Inputs'!$B$32,'Inputs'!$B$30+'Inputs'!$B$31+'Inputs'!$B$32)/1000+'Inputs'!$B$21+'Inputs'!$B$7+'Inputs'!$B$10))^2+('Inputs'!$B$8/2)^2))))*'Results'!$B$8))),"")</x:f>
        <x:v>0.43086926353111343</x:v>
      </x:c>
      <x:c r="L950" t="n">
        <x:f>IF(AND(ISNUMBER('Results'!B7),ISNUMBER('Results'!C7),ISNUMBER('Results'!$B$8),ISNUMBER('Inputs'!$B$6),ISNUMBER('Inputs'!$B$7),ISNUMBER('Inputs'!$B$8),ISNUMBER('Inputs'!$B$9),ISNUMBER('Inputs'!$B$10),ISNUMBER('Inputs'!$B$21),ISNUMBER('Inputs'!$B$24),ISNUMBER('Inputs'!$B$28)),((('Results'!B7*(1+'Inputs'!$B$24)*(0.5*((((950-43)*MAX('Inputs'!$B$33,'Inputs'!$B$29+'Inputs'!$B$31+'Inputs'!$B$32,'Inputs'!$B$30+'Inputs'!$B$31+'Inputs'!$B$32)/1000+'Inputs'!$B$21)+'Inputs'!$B$7)/SQRT((((950-43)*MAX('Inputs'!$B$33,'Inputs'!$B$29+'Inputs'!$B$31+'Inputs'!$B$32,'Inputs'!$B$30+'Inputs'!$B$31+'Inputs'!$B$32)/1000+'Inputs'!$B$21)+'Inputs'!$B$7)^2+('Inputs'!$B$6/2)^2)-(((950-43)*MAX('Inputs'!$B$33,'Inputs'!$B$29+'Inputs'!$B$31+'Inputs'!$B$32,'Inputs'!$B$30+'Inputs'!$B$31+'Inputs'!$B$32)/1000+'Inputs'!$B$21))/SQRT((((950-43)*MAX('Inputs'!$B$33,'Inputs'!$B$29+'Inputs'!$B$31+'Inputs'!$B$32,'Inputs'!$B$30+'Inputs'!$B$31+'Inputs'!$B$32)/1000+'Inputs'!$B$21))^2+('Inputs'!$B$6/2)^2)))-'Results'!C7*(1-'Inputs'!$B$24)*(0.5*((((950-43)*MAX('Inputs'!$B$33,'Inputs'!$B$29+'Inputs'!$B$31+'Inputs'!$B$32,'Inputs'!$B$30+'Inputs'!$B$31+'Inputs'!$B$32)/1000+'Inputs'!$B$21+'Inputs'!$B$7+'Inputs'!$B$10)+'Inputs'!$B$9)/SQRT((((950-43)*MAX('Inputs'!$B$33,'Inputs'!$B$29+'Inputs'!$B$31+'Inputs'!$B$32,'Inputs'!$B$30+'Inputs'!$B$31+'Inputs'!$B$32)/1000+'Inputs'!$B$21+'Inputs'!$B$7+'Inputs'!$B$10)+'Inputs'!$B$9)^2+('Inputs'!$B$8/2)^2)-(((950-43)*MAX('Inputs'!$B$33,'Inputs'!$B$29+'Inputs'!$B$31+'Inputs'!$B$32,'Inputs'!$B$30+'Inputs'!$B$31+'Inputs'!$B$32)/1000+'Inputs'!$B$21+'Inputs'!$B$7+'Inputs'!$B$10))/SQRT((((950-43)*MAX('Inputs'!$B$33,'Inputs'!$B$29+'Inputs'!$B$31+'Inputs'!$B$32,'Inputs'!$B$30+'Inputs'!$B$31+'Inputs'!$B$32)/1000+'Inputs'!$B$21+'Inputs'!$B$7+'Inputs'!$B$10))^2+('Inputs'!$B$8/2)^2))))*'Results'!$B$8)+'Inputs'!$B$28*ABS((('Results'!B7*(1+'Inputs'!$B$24)*(0.5*((((950-43)*MAX('Inputs'!$B$33,'Inputs'!$B$29+'Inputs'!$B$31+'Inputs'!$B$32,'Inputs'!$B$30+'Inputs'!$B$31+'Inputs'!$B$32)/1000+'Inputs'!$B$21)+'Inputs'!$B$7)/SQRT((((950-43)*MAX('Inputs'!$B$33,'Inputs'!$B$29+'Inputs'!$B$31+'Inputs'!$B$32,'Inputs'!$B$30+'Inputs'!$B$31+'Inputs'!$B$32)/1000+'Inputs'!$B$21)+'Inputs'!$B$7)^2+('Inputs'!$B$6/2)^2)-(((950-43)*MAX('Inputs'!$B$33,'Inputs'!$B$29+'Inputs'!$B$31+'Inputs'!$B$32,'Inputs'!$B$30+'Inputs'!$B$31+'Inputs'!$B$32)/1000+'Inputs'!$B$21))/SQRT((((950-43)*MAX('Inputs'!$B$33,'Inputs'!$B$29+'Inputs'!$B$31+'Inputs'!$B$32,'Inputs'!$B$30+'Inputs'!$B$31+'Inputs'!$B$32)/1000+'Inputs'!$B$21))^2+('Inputs'!$B$6/2)^2)))-'Results'!C7*(1-'Inputs'!$B$24)*(0.5*((((950-43)*MAX('Inputs'!$B$33,'Inputs'!$B$29+'Inputs'!$B$31+'Inputs'!$B$32,'Inputs'!$B$30+'Inputs'!$B$31+'Inputs'!$B$32)/1000+'Inputs'!$B$21+'Inputs'!$B$7+'Inputs'!$B$10)+'Inputs'!$B$9)/SQRT((((950-43)*MAX('Inputs'!$B$33,'Inputs'!$B$29+'Inputs'!$B$31+'Inputs'!$B$32,'Inputs'!$B$30+'Inputs'!$B$31+'Inputs'!$B$32)/1000+'Inputs'!$B$21+'Inputs'!$B$7+'Inputs'!$B$10)+'Inputs'!$B$9)^2+('Inputs'!$B$8/2)^2)-(((950-43)*MAX('Inputs'!$B$33,'Inputs'!$B$29+'Inputs'!$B$31+'Inputs'!$B$32,'Inputs'!$B$30+'Inputs'!$B$31+'Inputs'!$B$32)/1000+'Inputs'!$B$21+'Inputs'!$B$7+'Inputs'!$B$10))/SQRT((((950-43)*MAX('Inputs'!$B$33,'Inputs'!$B$29+'Inputs'!$B$31+'Inputs'!$B$32,'Inputs'!$B$30+'Inputs'!$B$31+'Inputs'!$B$32)/1000+'Inputs'!$B$21+'Inputs'!$B$7+'Inputs'!$B$10))^2+('Inputs'!$B$8/2)^2))))*'Results'!$B$8))),"")</x:f>
        <x:v>0.5938102590523965</x:v>
      </x:c>
      <x:c r="M950" t="n">
        <x:f>IF(AND(ISNUMBER('Results'!C7),ISNUMBER('Results'!B7),ISNUMBER('Results'!$B$8),ISNUMBER('Inputs'!$B$6),ISNUMBER('Inputs'!$B$7),ISNUMBER('Inputs'!$B$8),ISNUMBER('Inputs'!$B$9),ISNUMBER('Inputs'!$B$10),ISNUMBER('Inputs'!$B$21),ISNUMBER('Inputs'!$B$24),ISNUMBER('Inputs'!$B$28)),(('Results'!C7*(0.5*((((950-43)*MAX('Inputs'!$B$33,'Inputs'!$B$29+'Inputs'!$B$31+'Inputs'!$B$32,'Inputs'!$B$30+'Inputs'!$B$31+'Inputs'!$B$32)/1000+'Inputs'!$B$21)+'Inputs'!$B$9)/SQRT((((950-43)*MAX('Inputs'!$B$33,'Inputs'!$B$29+'Inputs'!$B$31+'Inputs'!$B$32,'Inputs'!$B$30+'Inputs'!$B$31+'Inputs'!$B$32)/1000+'Inputs'!$B$21)+'Inputs'!$B$9)^2+('Inputs'!$B$8/2)^2)-(((950-43)*MAX('Inputs'!$B$33,'Inputs'!$B$29+'Inputs'!$B$31+'Inputs'!$B$32,'Inputs'!$B$30+'Inputs'!$B$31+'Inputs'!$B$32)/1000+'Inputs'!$B$21))/SQRT((((950-43)*MAX('Inputs'!$B$33,'Inputs'!$B$29+'Inputs'!$B$31+'Inputs'!$B$32,'Inputs'!$B$30+'Inputs'!$B$31+'Inputs'!$B$32)/1000+'Inputs'!$B$21))^2+('Inputs'!$B$8/2)^2)))-'Results'!B7*(0.5*((((950-43)*MAX('Inputs'!$B$33,'Inputs'!$B$29+'Inputs'!$B$31+'Inputs'!$B$32,'Inputs'!$B$30+'Inputs'!$B$31+'Inputs'!$B$32)/1000+'Inputs'!$B$21+'Inputs'!$B$9+'Inputs'!$B$10)+'Inputs'!$B$7)/SQRT((((950-43)*MAX('Inputs'!$B$33,'Inputs'!$B$29+'Inputs'!$B$31+'Inputs'!$B$32,'Inputs'!$B$30+'Inputs'!$B$31+'Inputs'!$B$32)/1000+'Inputs'!$B$21+'Inputs'!$B$9+'Inputs'!$B$10)+'Inputs'!$B$7)^2+('Inputs'!$B$6/2)^2)-(((950-43)*MAX('Inputs'!$B$33,'Inputs'!$B$29+'Inputs'!$B$31+'Inputs'!$B$32,'Inputs'!$B$30+'Inputs'!$B$31+'Inputs'!$B$32)/1000+'Inputs'!$B$21+'Inputs'!$B$9+'Inputs'!$B$10))/SQRT((((950-43)*MAX('Inputs'!$B$33,'Inputs'!$B$29+'Inputs'!$B$31+'Inputs'!$B$32,'Inputs'!$B$30+'Inputs'!$B$31+'Inputs'!$B$32)/1000+'Inputs'!$B$21+'Inputs'!$B$9+'Inputs'!$B$10))^2+('Inputs'!$B$6/2)^2))))*'Results'!$B$8),"")</x:f>
        <x:v>0.45307921878557217</x:v>
      </x:c>
      <x:c r="N950" t="n">
        <x:f>IF(AND(ISNUMBER('Results'!C7),ISNUMBER('Results'!B7),ISNUMBER('Results'!$B$8),ISNUMBER('Inputs'!$B$6),ISNUMBER('Inputs'!$B$7),ISNUMBER('Inputs'!$B$8),ISNUMBER('Inputs'!$B$9),ISNUMBER('Inputs'!$B$10),ISNUMBER('Inputs'!$B$21),ISNUMBER('Inputs'!$B$24),ISNUMBER('Inputs'!$B$28)),((('Results'!C7*(1-'Inputs'!$B$24)*(0.5*((((950-43)*MAX('Inputs'!$B$33,'Inputs'!$B$29+'Inputs'!$B$31+'Inputs'!$B$32,'Inputs'!$B$30+'Inputs'!$B$31+'Inputs'!$B$32)/1000+'Inputs'!$B$21)+'Inputs'!$B$9)/SQRT((((950-43)*MAX('Inputs'!$B$33,'Inputs'!$B$29+'Inputs'!$B$31+'Inputs'!$B$32,'Inputs'!$B$30+'Inputs'!$B$31+'Inputs'!$B$32)/1000+'Inputs'!$B$21)+'Inputs'!$B$9)^2+('Inputs'!$B$8/2)^2)-(((950-43)*MAX('Inputs'!$B$33,'Inputs'!$B$29+'Inputs'!$B$31+'Inputs'!$B$32,'Inputs'!$B$30+'Inputs'!$B$31+'Inputs'!$B$32)/1000+'Inputs'!$B$21))/SQRT((((950-43)*MAX('Inputs'!$B$33,'Inputs'!$B$29+'Inputs'!$B$31+'Inputs'!$B$32,'Inputs'!$B$30+'Inputs'!$B$31+'Inputs'!$B$32)/1000+'Inputs'!$B$21))^2+('Inputs'!$B$8/2)^2)))-'Results'!B7*(1+'Inputs'!$B$24)*(0.5*((((950-43)*MAX('Inputs'!$B$33,'Inputs'!$B$29+'Inputs'!$B$31+'Inputs'!$B$32,'Inputs'!$B$30+'Inputs'!$B$31+'Inputs'!$B$32)/1000+'Inputs'!$B$21+'Inputs'!$B$9+'Inputs'!$B$10)+'Inputs'!$B$7)/SQRT((((950-43)*MAX('Inputs'!$B$33,'Inputs'!$B$29+'Inputs'!$B$31+'Inputs'!$B$32,'Inputs'!$B$30+'Inputs'!$B$31+'Inputs'!$B$32)/1000+'Inputs'!$B$21+'Inputs'!$B$9+'Inputs'!$B$10)+'Inputs'!$B$7)^2+('Inputs'!$B$6/2)^2)-(((950-43)*MAX('Inputs'!$B$33,'Inputs'!$B$29+'Inputs'!$B$31+'Inputs'!$B$32,'Inputs'!$B$30+'Inputs'!$B$31+'Inputs'!$B$32)/1000+'Inputs'!$B$21+'Inputs'!$B$9+'Inputs'!$B$10))/SQRT((((950-43)*MAX('Inputs'!$B$33,'Inputs'!$B$29+'Inputs'!$B$31+'Inputs'!$B$32,'Inputs'!$B$30+'Inputs'!$B$31+'Inputs'!$B$32)/1000+'Inputs'!$B$21+'Inputs'!$B$9+'Inputs'!$B$10))^2+('Inputs'!$B$6/2)^2))))*'Results'!$B$8)-'Inputs'!$B$28*ABS((('Results'!C7*(1-'Inputs'!$B$24)*(0.5*((((950-43)*MAX('Inputs'!$B$33,'Inputs'!$B$29+'Inputs'!$B$31+'Inputs'!$B$32,'Inputs'!$B$30+'Inputs'!$B$31+'Inputs'!$B$32)/1000+'Inputs'!$B$21)+'Inputs'!$B$9)/SQRT((((950-43)*MAX('Inputs'!$B$33,'Inputs'!$B$29+'Inputs'!$B$31+'Inputs'!$B$32,'Inputs'!$B$30+'Inputs'!$B$31+'Inputs'!$B$32)/1000+'Inputs'!$B$21)+'Inputs'!$B$9)^2+('Inputs'!$B$8/2)^2)-(((950-43)*MAX('Inputs'!$B$33,'Inputs'!$B$29+'Inputs'!$B$31+'Inputs'!$B$32,'Inputs'!$B$30+'Inputs'!$B$31+'Inputs'!$B$32)/1000+'Inputs'!$B$21))/SQRT((((950-43)*MAX('Inputs'!$B$33,'Inputs'!$B$29+'Inputs'!$B$31+'Inputs'!$B$32,'Inputs'!$B$30+'Inputs'!$B$31+'Inputs'!$B$32)/1000+'Inputs'!$B$21))^2+('Inputs'!$B$8/2)^2)))-'Results'!B7*(1+'Inputs'!$B$24)*(0.5*((((950-43)*MAX('Inputs'!$B$33,'Inputs'!$B$29+'Inputs'!$B$31+'Inputs'!$B$32,'Inputs'!$B$30+'Inputs'!$B$31+'Inputs'!$B$32)/1000+'Inputs'!$B$21+'Inputs'!$B$9+'Inputs'!$B$10)+'Inputs'!$B$7)/SQRT((((950-43)*MAX('Inputs'!$B$33,'Inputs'!$B$29+'Inputs'!$B$31+'Inputs'!$B$32,'Inputs'!$B$30+'Inputs'!$B$31+'Inputs'!$B$32)/1000+'Inputs'!$B$21+'Inputs'!$B$9+'Inputs'!$B$10)+'Inputs'!$B$7)^2+('Inputs'!$B$6/2)^2)-(((950-43)*MAX('Inputs'!$B$33,'Inputs'!$B$29+'Inputs'!$B$31+'Inputs'!$B$32,'Inputs'!$B$30+'Inputs'!$B$31+'Inputs'!$B$32)/1000+'Inputs'!$B$21+'Inputs'!$B$9+'Inputs'!$B$10))/SQRT((((950-43)*MAX('Inputs'!$B$33,'Inputs'!$B$29+'Inputs'!$B$31+'Inputs'!$B$32,'Inputs'!$B$30+'Inputs'!$B$31+'Inputs'!$B$32)/1000+'Inputs'!$B$21+'Inputs'!$B$9+'Inputs'!$B$10))^2+('Inputs'!$B$6/2)^2))))*'Results'!$B$8))),"")</x:f>
        <x:v>0.37741618420736645</x:v>
      </x:c>
      <x:c r="O950" t="n">
        <x:f>IF(AND(ISNUMBER('Results'!C7),ISNUMBER('Results'!B7),ISNUMBER('Results'!$B$8),ISNUMBER('Inputs'!$B$6),ISNUMBER('Inputs'!$B$7),ISNUMBER('Inputs'!$B$8),ISNUMBER('Inputs'!$B$9),ISNUMBER('Inputs'!$B$10),ISNUMBER('Inputs'!$B$21),ISNUMBER('Inputs'!$B$24),ISNUMBER('Inputs'!$B$28)),((('Results'!C7*(1+'Inputs'!$B$24)*(0.5*((((950-43)*MAX('Inputs'!$B$33,'Inputs'!$B$29+'Inputs'!$B$31+'Inputs'!$B$32,'Inputs'!$B$30+'Inputs'!$B$31+'Inputs'!$B$32)/1000+'Inputs'!$B$21)+'Inputs'!$B$9)/SQRT((((950-43)*MAX('Inputs'!$B$33,'Inputs'!$B$29+'Inputs'!$B$31+'Inputs'!$B$32,'Inputs'!$B$30+'Inputs'!$B$31+'Inputs'!$B$32)/1000+'Inputs'!$B$21)+'Inputs'!$B$9)^2+('Inputs'!$B$8/2)^2)-(((950-43)*MAX('Inputs'!$B$33,'Inputs'!$B$29+'Inputs'!$B$31+'Inputs'!$B$32,'Inputs'!$B$30+'Inputs'!$B$31+'Inputs'!$B$32)/1000+'Inputs'!$B$21))/SQRT((((950-43)*MAX('Inputs'!$B$33,'Inputs'!$B$29+'Inputs'!$B$31+'Inputs'!$B$32,'Inputs'!$B$30+'Inputs'!$B$31+'Inputs'!$B$32)/1000+'Inputs'!$B$21))^2+('Inputs'!$B$8/2)^2)))-'Results'!B7*(1-'Inputs'!$B$24)*(0.5*((((950-43)*MAX('Inputs'!$B$33,'Inputs'!$B$29+'Inputs'!$B$31+'Inputs'!$B$32,'Inputs'!$B$30+'Inputs'!$B$31+'Inputs'!$B$32)/1000+'Inputs'!$B$21+'Inputs'!$B$9+'Inputs'!$B$10)+'Inputs'!$B$7)/SQRT((((950-43)*MAX('Inputs'!$B$33,'Inputs'!$B$29+'Inputs'!$B$31+'Inputs'!$B$32,'Inputs'!$B$30+'Inputs'!$B$31+'Inputs'!$B$32)/1000+'Inputs'!$B$21+'Inputs'!$B$9+'Inputs'!$B$10)+'Inputs'!$B$7)^2+('Inputs'!$B$6/2)^2)-(((950-43)*MAX('Inputs'!$B$33,'Inputs'!$B$29+'Inputs'!$B$31+'Inputs'!$B$32,'Inputs'!$B$30+'Inputs'!$B$31+'Inputs'!$B$32)/1000+'Inputs'!$B$21+'Inputs'!$B$9+'Inputs'!$B$10))/SQRT((((950-43)*MAX('Inputs'!$B$33,'Inputs'!$B$29+'Inputs'!$B$31+'Inputs'!$B$32,'Inputs'!$B$30+'Inputs'!$B$31+'Inputs'!$B$32)/1000+'Inputs'!$B$21+'Inputs'!$B$9+'Inputs'!$B$10))^2+('Inputs'!$B$6/2)^2))))*'Results'!$B$8)+'Inputs'!$B$28*ABS((('Results'!C7*(1+'Inputs'!$B$24)*(0.5*((((950-43)*MAX('Inputs'!$B$33,'Inputs'!$B$29+'Inputs'!$B$31+'Inputs'!$B$32,'Inputs'!$B$30+'Inputs'!$B$31+'Inputs'!$B$32)/1000+'Inputs'!$B$21)+'Inputs'!$B$9)/SQRT((((950-43)*MAX('Inputs'!$B$33,'Inputs'!$B$29+'Inputs'!$B$31+'Inputs'!$B$32,'Inputs'!$B$30+'Inputs'!$B$31+'Inputs'!$B$32)/1000+'Inputs'!$B$21)+'Inputs'!$B$9)^2+('Inputs'!$B$8/2)^2)-(((950-43)*MAX('Inputs'!$B$33,'Inputs'!$B$29+'Inputs'!$B$31+'Inputs'!$B$32,'Inputs'!$B$30+'Inputs'!$B$31+'Inputs'!$B$32)/1000+'Inputs'!$B$21))/SQRT((((950-43)*MAX('Inputs'!$B$33,'Inputs'!$B$29+'Inputs'!$B$31+'Inputs'!$B$32,'Inputs'!$B$30+'Inputs'!$B$31+'Inputs'!$B$32)/1000+'Inputs'!$B$21))^2+('Inputs'!$B$8/2)^2)))-'Results'!B7*(1-'Inputs'!$B$24)*(0.5*((((950-43)*MAX('Inputs'!$B$33,'Inputs'!$B$29+'Inputs'!$B$31+'Inputs'!$B$32,'Inputs'!$B$30+'Inputs'!$B$31+'Inputs'!$B$32)/1000+'Inputs'!$B$21+'Inputs'!$B$9+'Inputs'!$B$10)+'Inputs'!$B$7)/SQRT((((950-43)*MAX('Inputs'!$B$33,'Inputs'!$B$29+'Inputs'!$B$31+'Inputs'!$B$32,'Inputs'!$B$30+'Inputs'!$B$31+'Inputs'!$B$32)/1000+'Inputs'!$B$21+'Inputs'!$B$9+'Inputs'!$B$10)+'Inputs'!$B$7)^2+('Inputs'!$B$6/2)^2)-(((950-43)*MAX('Inputs'!$B$33,'Inputs'!$B$29+'Inputs'!$B$31+'Inputs'!$B$32,'Inputs'!$B$30+'Inputs'!$B$31+'Inputs'!$B$32)/1000+'Inputs'!$B$21+'Inputs'!$B$9+'Inputs'!$B$10))/SQRT((((950-43)*MAX('Inputs'!$B$33,'Inputs'!$B$29+'Inputs'!$B$31+'Inputs'!$B$32,'Inputs'!$B$30+'Inputs'!$B$31+'Inputs'!$B$32)/1000+'Inputs'!$B$21+'Inputs'!$B$9+'Inputs'!$B$10))^2+('Inputs'!$B$6/2)^2))))*'Results'!$B$8))),"")</x:f>
        <x:v>0.5343221558520861</x:v>
      </x:c>
      <x:c r="P950" t="n">
        <x:f>IF(AND(MAX(J950,J949)&gt;0,J950&gt;J949+0.00000001),1,0)</x:f>
        <x:v>0</x:v>
      </x:c>
      <x:c r="Q950" t="n">
        <x:f>IF(AND(MAX(K950,K949)&gt;0,K950&gt;K949+0.00000001),1,0)</x:f>
        <x:v>0</x:v>
      </x:c>
      <x:c r="R950" t="n">
        <x:f>IF(AND(MAX(L950,L949)&gt;0,L950&gt;L949+0.00000001),1,0)</x:f>
        <x:v>0</x:v>
      </x:c>
      <x:c r="S950" t="n">
        <x:f>IF(AND(MAX(M950,M949)&gt;0,M950&gt;M949+0.00000001),1,0)</x:f>
        <x:v>0</x:v>
      </x:c>
      <x:c r="T950" t="n">
        <x:f>IF(AND(MAX(N950,N949)&gt;0,N950&gt;N949+0.00000001),1,0)</x:f>
        <x:v>0</x:v>
      </x:c>
      <x:c r="U950" t="n">
        <x:f>IF(AND(MAX(O950,O949)&gt;0,O950&gt;O949+0.00000001),1,0)</x:f>
        <x:v>0</x:v>
      </x:c>
    </x:row>
    <x:row r="951">
      <x:c r="J951" t="n">
        <x:f>IF(AND(ISNUMBER('Results'!B7),ISNUMBER('Results'!C7),ISNUMBER('Results'!$B$8),ISNUMBER('Inputs'!$B$6),ISNUMBER('Inputs'!$B$7),ISNUMBER('Inputs'!$B$8),ISNUMBER('Inputs'!$B$9),ISNUMBER('Inputs'!$B$10),ISNUMBER('Inputs'!$B$21),ISNUMBER('Inputs'!$B$24),ISNUMBER('Inputs'!$B$28)),(('Results'!B7*(0.5*((((951-43)*MAX('Inputs'!$B$33,'Inputs'!$B$29+'Inputs'!$B$31+'Inputs'!$B$32,'Inputs'!$B$30+'Inputs'!$B$31+'Inputs'!$B$32)/1000+'Inputs'!$B$21)+'Inputs'!$B$7)/SQRT((((951-43)*MAX('Inputs'!$B$33,'Inputs'!$B$29+'Inputs'!$B$31+'Inputs'!$B$32,'Inputs'!$B$30+'Inputs'!$B$31+'Inputs'!$B$32)/1000+'Inputs'!$B$21)+'Inputs'!$B$7)^2+('Inputs'!$B$6/2)^2)-(((951-43)*MAX('Inputs'!$B$33,'Inputs'!$B$29+'Inputs'!$B$31+'Inputs'!$B$32,'Inputs'!$B$30+'Inputs'!$B$31+'Inputs'!$B$32)/1000+'Inputs'!$B$21))/SQRT((((951-43)*MAX('Inputs'!$B$33,'Inputs'!$B$29+'Inputs'!$B$31+'Inputs'!$B$32,'Inputs'!$B$30+'Inputs'!$B$31+'Inputs'!$B$32)/1000+'Inputs'!$B$21))^2+('Inputs'!$B$6/2)^2)))-'Results'!C7*(0.5*((((951-43)*MAX('Inputs'!$B$33,'Inputs'!$B$29+'Inputs'!$B$31+'Inputs'!$B$32,'Inputs'!$B$30+'Inputs'!$B$31+'Inputs'!$B$32)/1000+'Inputs'!$B$21+'Inputs'!$B$7+'Inputs'!$B$10)+'Inputs'!$B$9)/SQRT((((951-43)*MAX('Inputs'!$B$33,'Inputs'!$B$29+'Inputs'!$B$31+'Inputs'!$B$32,'Inputs'!$B$30+'Inputs'!$B$31+'Inputs'!$B$32)/1000+'Inputs'!$B$21+'Inputs'!$B$7+'Inputs'!$B$10)+'Inputs'!$B$9)^2+('Inputs'!$B$8/2)^2)-(((951-43)*MAX('Inputs'!$B$33,'Inputs'!$B$29+'Inputs'!$B$31+'Inputs'!$B$32,'Inputs'!$B$30+'Inputs'!$B$31+'Inputs'!$B$32)/1000+'Inputs'!$B$21+'Inputs'!$B$7+'Inputs'!$B$10))/SQRT((((951-43)*MAX('Inputs'!$B$33,'Inputs'!$B$29+'Inputs'!$B$31+'Inputs'!$B$32,'Inputs'!$B$30+'Inputs'!$B$31+'Inputs'!$B$32)/1000+'Inputs'!$B$21+'Inputs'!$B$7+'Inputs'!$B$10))^2+('Inputs'!$B$8/2)^2))))*'Results'!$B$8),"")</x:f>
        <x:v>0.5075061403161221</x:v>
      </x:c>
      <x:c r="K951" t="n">
        <x:f>IF(AND(ISNUMBER('Results'!B7),ISNUMBER('Results'!C7),ISNUMBER('Results'!$B$8),ISNUMBER('Inputs'!$B$6),ISNUMBER('Inputs'!$B$7),ISNUMBER('Inputs'!$B$8),ISNUMBER('Inputs'!$B$9),ISNUMBER('Inputs'!$B$10),ISNUMBER('Inputs'!$B$21),ISNUMBER('Inputs'!$B$24),ISNUMBER('Inputs'!$B$28)),((('Results'!B7*(1-'Inputs'!$B$24)*(0.5*((((951-43)*MAX('Inputs'!$B$33,'Inputs'!$B$29+'Inputs'!$B$31+'Inputs'!$B$32,'Inputs'!$B$30+'Inputs'!$B$31+'Inputs'!$B$32)/1000+'Inputs'!$B$21)+'Inputs'!$B$7)/SQRT((((951-43)*MAX('Inputs'!$B$33,'Inputs'!$B$29+'Inputs'!$B$31+'Inputs'!$B$32,'Inputs'!$B$30+'Inputs'!$B$31+'Inputs'!$B$32)/1000+'Inputs'!$B$21)+'Inputs'!$B$7)^2+('Inputs'!$B$6/2)^2)-(((951-43)*MAX('Inputs'!$B$33,'Inputs'!$B$29+'Inputs'!$B$31+'Inputs'!$B$32,'Inputs'!$B$30+'Inputs'!$B$31+'Inputs'!$B$32)/1000+'Inputs'!$B$21))/SQRT((((951-43)*MAX('Inputs'!$B$33,'Inputs'!$B$29+'Inputs'!$B$31+'Inputs'!$B$32,'Inputs'!$B$30+'Inputs'!$B$31+'Inputs'!$B$32)/1000+'Inputs'!$B$21))^2+('Inputs'!$B$6/2)^2)))-'Results'!C7*(1+'Inputs'!$B$24)*(0.5*((((951-43)*MAX('Inputs'!$B$33,'Inputs'!$B$29+'Inputs'!$B$31+'Inputs'!$B$32,'Inputs'!$B$30+'Inputs'!$B$31+'Inputs'!$B$32)/1000+'Inputs'!$B$21+'Inputs'!$B$7+'Inputs'!$B$10)+'Inputs'!$B$9)/SQRT((((951-43)*MAX('Inputs'!$B$33,'Inputs'!$B$29+'Inputs'!$B$31+'Inputs'!$B$32,'Inputs'!$B$30+'Inputs'!$B$31+'Inputs'!$B$32)/1000+'Inputs'!$B$21+'Inputs'!$B$7+'Inputs'!$B$10)+'Inputs'!$B$9)^2+('Inputs'!$B$8/2)^2)-(((951-43)*MAX('Inputs'!$B$33,'Inputs'!$B$29+'Inputs'!$B$31+'Inputs'!$B$32,'Inputs'!$B$30+'Inputs'!$B$31+'Inputs'!$B$32)/1000+'Inputs'!$B$21+'Inputs'!$B$7+'Inputs'!$B$10))/SQRT((((951-43)*MAX('Inputs'!$B$33,'Inputs'!$B$29+'Inputs'!$B$31+'Inputs'!$B$32,'Inputs'!$B$30+'Inputs'!$B$31+'Inputs'!$B$32)/1000+'Inputs'!$B$21+'Inputs'!$B$7+'Inputs'!$B$10))^2+('Inputs'!$B$8/2)^2))))*'Results'!$B$8)-'Inputs'!$B$28*ABS((('Results'!B7*(1-'Inputs'!$B$24)*(0.5*((((951-43)*MAX('Inputs'!$B$33,'Inputs'!$B$29+'Inputs'!$B$31+'Inputs'!$B$32,'Inputs'!$B$30+'Inputs'!$B$31+'Inputs'!$B$32)/1000+'Inputs'!$B$21)+'Inputs'!$B$7)/SQRT((((951-43)*MAX('Inputs'!$B$33,'Inputs'!$B$29+'Inputs'!$B$31+'Inputs'!$B$32,'Inputs'!$B$30+'Inputs'!$B$31+'Inputs'!$B$32)/1000+'Inputs'!$B$21)+'Inputs'!$B$7)^2+('Inputs'!$B$6/2)^2)-(((951-43)*MAX('Inputs'!$B$33,'Inputs'!$B$29+'Inputs'!$B$31+'Inputs'!$B$32,'Inputs'!$B$30+'Inputs'!$B$31+'Inputs'!$B$32)/1000+'Inputs'!$B$21))/SQRT((((951-43)*MAX('Inputs'!$B$33,'Inputs'!$B$29+'Inputs'!$B$31+'Inputs'!$B$32,'Inputs'!$B$30+'Inputs'!$B$31+'Inputs'!$B$32)/1000+'Inputs'!$B$21))^2+('Inputs'!$B$6/2)^2)))-'Results'!C7*(1+'Inputs'!$B$24)*(0.5*((((951-43)*MAX('Inputs'!$B$33,'Inputs'!$B$29+'Inputs'!$B$31+'Inputs'!$B$32,'Inputs'!$B$30+'Inputs'!$B$31+'Inputs'!$B$32)/1000+'Inputs'!$B$21+'Inputs'!$B$7+'Inputs'!$B$10)+'Inputs'!$B$9)/SQRT((((951-43)*MAX('Inputs'!$B$33,'Inputs'!$B$29+'Inputs'!$B$31+'Inputs'!$B$32,'Inputs'!$B$30+'Inputs'!$B$31+'Inputs'!$B$32)/1000+'Inputs'!$B$21+'Inputs'!$B$7+'Inputs'!$B$10)+'Inputs'!$B$9)^2+('Inputs'!$B$8/2)^2)-(((951-43)*MAX('Inputs'!$B$33,'Inputs'!$B$29+'Inputs'!$B$31+'Inputs'!$B$32,'Inputs'!$B$30+'Inputs'!$B$31+'Inputs'!$B$32)/1000+'Inputs'!$B$21+'Inputs'!$B$7+'Inputs'!$B$10))/SQRT((((951-43)*MAX('Inputs'!$B$33,'Inputs'!$B$29+'Inputs'!$B$31+'Inputs'!$B$32,'Inputs'!$B$30+'Inputs'!$B$31+'Inputs'!$B$32)/1000+'Inputs'!$B$21+'Inputs'!$B$7+'Inputs'!$B$10))^2+('Inputs'!$B$8/2)^2))))*'Results'!$B$8))),"")</x:f>
        <x:v>0.4291000899464312</x:v>
      </x:c>
      <x:c r="L951" t="n">
        <x:f>IF(AND(ISNUMBER('Results'!B7),ISNUMBER('Results'!C7),ISNUMBER('Results'!$B$8),ISNUMBER('Inputs'!$B$6),ISNUMBER('Inputs'!$B$7),ISNUMBER('Inputs'!$B$8),ISNUMBER('Inputs'!$B$9),ISNUMBER('Inputs'!$B$10),ISNUMBER('Inputs'!$B$21),ISNUMBER('Inputs'!$B$24),ISNUMBER('Inputs'!$B$28)),((('Results'!B7*(1+'Inputs'!$B$24)*(0.5*((((951-43)*MAX('Inputs'!$B$33,'Inputs'!$B$29+'Inputs'!$B$31+'Inputs'!$B$32,'Inputs'!$B$30+'Inputs'!$B$31+'Inputs'!$B$32)/1000+'Inputs'!$B$21)+'Inputs'!$B$7)/SQRT((((951-43)*MAX('Inputs'!$B$33,'Inputs'!$B$29+'Inputs'!$B$31+'Inputs'!$B$32,'Inputs'!$B$30+'Inputs'!$B$31+'Inputs'!$B$32)/1000+'Inputs'!$B$21)+'Inputs'!$B$7)^2+('Inputs'!$B$6/2)^2)-(((951-43)*MAX('Inputs'!$B$33,'Inputs'!$B$29+'Inputs'!$B$31+'Inputs'!$B$32,'Inputs'!$B$30+'Inputs'!$B$31+'Inputs'!$B$32)/1000+'Inputs'!$B$21))/SQRT((((951-43)*MAX('Inputs'!$B$33,'Inputs'!$B$29+'Inputs'!$B$31+'Inputs'!$B$32,'Inputs'!$B$30+'Inputs'!$B$31+'Inputs'!$B$32)/1000+'Inputs'!$B$21))^2+('Inputs'!$B$6/2)^2)))-'Results'!C7*(1-'Inputs'!$B$24)*(0.5*((((951-43)*MAX('Inputs'!$B$33,'Inputs'!$B$29+'Inputs'!$B$31+'Inputs'!$B$32,'Inputs'!$B$30+'Inputs'!$B$31+'Inputs'!$B$32)/1000+'Inputs'!$B$21+'Inputs'!$B$7+'Inputs'!$B$10)+'Inputs'!$B$9)/SQRT((((951-43)*MAX('Inputs'!$B$33,'Inputs'!$B$29+'Inputs'!$B$31+'Inputs'!$B$32,'Inputs'!$B$30+'Inputs'!$B$31+'Inputs'!$B$32)/1000+'Inputs'!$B$21+'Inputs'!$B$7+'Inputs'!$B$10)+'Inputs'!$B$9)^2+('Inputs'!$B$8/2)^2)-(((951-43)*MAX('Inputs'!$B$33,'Inputs'!$B$29+'Inputs'!$B$31+'Inputs'!$B$32,'Inputs'!$B$30+'Inputs'!$B$31+'Inputs'!$B$32)/1000+'Inputs'!$B$21+'Inputs'!$B$7+'Inputs'!$B$10))/SQRT((((951-43)*MAX('Inputs'!$B$33,'Inputs'!$B$29+'Inputs'!$B$31+'Inputs'!$B$32,'Inputs'!$B$30+'Inputs'!$B$31+'Inputs'!$B$32)/1000+'Inputs'!$B$21+'Inputs'!$B$7+'Inputs'!$B$10))^2+('Inputs'!$B$8/2)^2))))*'Results'!$B$8)+'Inputs'!$B$28*ABS((('Results'!B7*(1+'Inputs'!$B$24)*(0.5*((((951-43)*MAX('Inputs'!$B$33,'Inputs'!$B$29+'Inputs'!$B$31+'Inputs'!$B$32,'Inputs'!$B$30+'Inputs'!$B$31+'Inputs'!$B$32)/1000+'Inputs'!$B$21)+'Inputs'!$B$7)/SQRT((((951-43)*MAX('Inputs'!$B$33,'Inputs'!$B$29+'Inputs'!$B$31+'Inputs'!$B$32,'Inputs'!$B$30+'Inputs'!$B$31+'Inputs'!$B$32)/1000+'Inputs'!$B$21)+'Inputs'!$B$7)^2+('Inputs'!$B$6/2)^2)-(((951-43)*MAX('Inputs'!$B$33,'Inputs'!$B$29+'Inputs'!$B$31+'Inputs'!$B$32,'Inputs'!$B$30+'Inputs'!$B$31+'Inputs'!$B$32)/1000+'Inputs'!$B$21))/SQRT((((951-43)*MAX('Inputs'!$B$33,'Inputs'!$B$29+'Inputs'!$B$31+'Inputs'!$B$32,'Inputs'!$B$30+'Inputs'!$B$31+'Inputs'!$B$32)/1000+'Inputs'!$B$21))^2+('Inputs'!$B$6/2)^2)))-'Results'!C7*(1-'Inputs'!$B$24)*(0.5*((((951-43)*MAX('Inputs'!$B$33,'Inputs'!$B$29+'Inputs'!$B$31+'Inputs'!$B$32,'Inputs'!$B$30+'Inputs'!$B$31+'Inputs'!$B$32)/1000+'Inputs'!$B$21+'Inputs'!$B$7+'Inputs'!$B$10)+'Inputs'!$B$9)/SQRT((((951-43)*MAX('Inputs'!$B$33,'Inputs'!$B$29+'Inputs'!$B$31+'Inputs'!$B$32,'Inputs'!$B$30+'Inputs'!$B$31+'Inputs'!$B$32)/1000+'Inputs'!$B$21+'Inputs'!$B$7+'Inputs'!$B$10)+'Inputs'!$B$9)^2+('Inputs'!$B$8/2)^2)-(((951-43)*MAX('Inputs'!$B$33,'Inputs'!$B$29+'Inputs'!$B$31+'Inputs'!$B$32,'Inputs'!$B$30+'Inputs'!$B$31+'Inputs'!$B$32)/1000+'Inputs'!$B$21+'Inputs'!$B$7+'Inputs'!$B$10))/SQRT((((951-43)*MAX('Inputs'!$B$33,'Inputs'!$B$29+'Inputs'!$B$31+'Inputs'!$B$32,'Inputs'!$B$30+'Inputs'!$B$31+'Inputs'!$B$32)/1000+'Inputs'!$B$21+'Inputs'!$B$7+'Inputs'!$B$10))^2+('Inputs'!$B$8/2)^2))))*'Results'!$B$8))),"")</x:f>
        <x:v>0.5914943741967481</x:v>
      </x:c>
      <x:c r="M951" t="n">
        <x:f>IF(AND(ISNUMBER('Results'!C7),ISNUMBER('Results'!B7),ISNUMBER('Results'!$B$8),ISNUMBER('Inputs'!$B$6),ISNUMBER('Inputs'!$B$7),ISNUMBER('Inputs'!$B$8),ISNUMBER('Inputs'!$B$9),ISNUMBER('Inputs'!$B$10),ISNUMBER('Inputs'!$B$21),ISNUMBER('Inputs'!$B$24),ISNUMBER('Inputs'!$B$28)),(('Results'!C7*(0.5*((((951-43)*MAX('Inputs'!$B$33,'Inputs'!$B$29+'Inputs'!$B$31+'Inputs'!$B$32,'Inputs'!$B$30+'Inputs'!$B$31+'Inputs'!$B$32)/1000+'Inputs'!$B$21)+'Inputs'!$B$9)/SQRT((((951-43)*MAX('Inputs'!$B$33,'Inputs'!$B$29+'Inputs'!$B$31+'Inputs'!$B$32,'Inputs'!$B$30+'Inputs'!$B$31+'Inputs'!$B$32)/1000+'Inputs'!$B$21)+'Inputs'!$B$9)^2+('Inputs'!$B$8/2)^2)-(((951-43)*MAX('Inputs'!$B$33,'Inputs'!$B$29+'Inputs'!$B$31+'Inputs'!$B$32,'Inputs'!$B$30+'Inputs'!$B$31+'Inputs'!$B$32)/1000+'Inputs'!$B$21))/SQRT((((951-43)*MAX('Inputs'!$B$33,'Inputs'!$B$29+'Inputs'!$B$31+'Inputs'!$B$32,'Inputs'!$B$30+'Inputs'!$B$31+'Inputs'!$B$32)/1000+'Inputs'!$B$21))^2+('Inputs'!$B$8/2)^2)))-'Results'!B7*(0.5*((((951-43)*MAX('Inputs'!$B$33,'Inputs'!$B$29+'Inputs'!$B$31+'Inputs'!$B$32,'Inputs'!$B$30+'Inputs'!$B$31+'Inputs'!$B$32)/1000+'Inputs'!$B$21+'Inputs'!$B$9+'Inputs'!$B$10)+'Inputs'!$B$7)/SQRT((((951-43)*MAX('Inputs'!$B$33,'Inputs'!$B$29+'Inputs'!$B$31+'Inputs'!$B$32,'Inputs'!$B$30+'Inputs'!$B$31+'Inputs'!$B$32)/1000+'Inputs'!$B$21+'Inputs'!$B$9+'Inputs'!$B$10)+'Inputs'!$B$7)^2+('Inputs'!$B$6/2)^2)-(((951-43)*MAX('Inputs'!$B$33,'Inputs'!$B$29+'Inputs'!$B$31+'Inputs'!$B$32,'Inputs'!$B$30+'Inputs'!$B$31+'Inputs'!$B$32)/1000+'Inputs'!$B$21+'Inputs'!$B$9+'Inputs'!$B$10))/SQRT((((951-43)*MAX('Inputs'!$B$33,'Inputs'!$B$29+'Inputs'!$B$31+'Inputs'!$B$32,'Inputs'!$B$30+'Inputs'!$B$31+'Inputs'!$B$32)/1000+'Inputs'!$B$21+'Inputs'!$B$9+'Inputs'!$B$10))^2+('Inputs'!$B$6/2)^2))))*'Results'!$B$8),"")</x:f>
        <x:v>0.45121826732612663</x:v>
      </x:c>
      <x:c r="N951" t="n">
        <x:f>IF(AND(ISNUMBER('Results'!C7),ISNUMBER('Results'!B7),ISNUMBER('Results'!$B$8),ISNUMBER('Inputs'!$B$6),ISNUMBER('Inputs'!$B$7),ISNUMBER('Inputs'!$B$8),ISNUMBER('Inputs'!$B$9),ISNUMBER('Inputs'!$B$10),ISNUMBER('Inputs'!$B$21),ISNUMBER('Inputs'!$B$24),ISNUMBER('Inputs'!$B$28)),((('Results'!C7*(1-'Inputs'!$B$24)*(0.5*((((951-43)*MAX('Inputs'!$B$33,'Inputs'!$B$29+'Inputs'!$B$31+'Inputs'!$B$32,'Inputs'!$B$30+'Inputs'!$B$31+'Inputs'!$B$32)/1000+'Inputs'!$B$21)+'Inputs'!$B$9)/SQRT((((951-43)*MAX('Inputs'!$B$33,'Inputs'!$B$29+'Inputs'!$B$31+'Inputs'!$B$32,'Inputs'!$B$30+'Inputs'!$B$31+'Inputs'!$B$32)/1000+'Inputs'!$B$21)+'Inputs'!$B$9)^2+('Inputs'!$B$8/2)^2)-(((951-43)*MAX('Inputs'!$B$33,'Inputs'!$B$29+'Inputs'!$B$31+'Inputs'!$B$32,'Inputs'!$B$30+'Inputs'!$B$31+'Inputs'!$B$32)/1000+'Inputs'!$B$21))/SQRT((((951-43)*MAX('Inputs'!$B$33,'Inputs'!$B$29+'Inputs'!$B$31+'Inputs'!$B$32,'Inputs'!$B$30+'Inputs'!$B$31+'Inputs'!$B$32)/1000+'Inputs'!$B$21))^2+('Inputs'!$B$8/2)^2)))-'Results'!B7*(1+'Inputs'!$B$24)*(0.5*((((951-43)*MAX('Inputs'!$B$33,'Inputs'!$B$29+'Inputs'!$B$31+'Inputs'!$B$32,'Inputs'!$B$30+'Inputs'!$B$31+'Inputs'!$B$32)/1000+'Inputs'!$B$21+'Inputs'!$B$9+'Inputs'!$B$10)+'Inputs'!$B$7)/SQRT((((951-43)*MAX('Inputs'!$B$33,'Inputs'!$B$29+'Inputs'!$B$31+'Inputs'!$B$32,'Inputs'!$B$30+'Inputs'!$B$31+'Inputs'!$B$32)/1000+'Inputs'!$B$21+'Inputs'!$B$9+'Inputs'!$B$10)+'Inputs'!$B$7)^2+('Inputs'!$B$6/2)^2)-(((951-43)*MAX('Inputs'!$B$33,'Inputs'!$B$29+'Inputs'!$B$31+'Inputs'!$B$32,'Inputs'!$B$30+'Inputs'!$B$31+'Inputs'!$B$32)/1000+'Inputs'!$B$21+'Inputs'!$B$9+'Inputs'!$B$10))/SQRT((((951-43)*MAX('Inputs'!$B$33,'Inputs'!$B$29+'Inputs'!$B$31+'Inputs'!$B$32,'Inputs'!$B$30+'Inputs'!$B$31+'Inputs'!$B$32)/1000+'Inputs'!$B$21+'Inputs'!$B$9+'Inputs'!$B$10))^2+('Inputs'!$B$6/2)^2))))*'Results'!$B$8)-'Inputs'!$B$28*ABS((('Results'!C7*(1-'Inputs'!$B$24)*(0.5*((((951-43)*MAX('Inputs'!$B$33,'Inputs'!$B$29+'Inputs'!$B$31+'Inputs'!$B$32,'Inputs'!$B$30+'Inputs'!$B$31+'Inputs'!$B$32)/1000+'Inputs'!$B$21)+'Inputs'!$B$9)/SQRT((((951-43)*MAX('Inputs'!$B$33,'Inputs'!$B$29+'Inputs'!$B$31+'Inputs'!$B$32,'Inputs'!$B$30+'Inputs'!$B$31+'Inputs'!$B$32)/1000+'Inputs'!$B$21)+'Inputs'!$B$9)^2+('Inputs'!$B$8/2)^2)-(((951-43)*MAX('Inputs'!$B$33,'Inputs'!$B$29+'Inputs'!$B$31+'Inputs'!$B$32,'Inputs'!$B$30+'Inputs'!$B$31+'Inputs'!$B$32)/1000+'Inputs'!$B$21))/SQRT((((951-43)*MAX('Inputs'!$B$33,'Inputs'!$B$29+'Inputs'!$B$31+'Inputs'!$B$32,'Inputs'!$B$30+'Inputs'!$B$31+'Inputs'!$B$32)/1000+'Inputs'!$B$21))^2+('Inputs'!$B$8/2)^2)))-'Results'!B7*(1+'Inputs'!$B$24)*(0.5*((((951-43)*MAX('Inputs'!$B$33,'Inputs'!$B$29+'Inputs'!$B$31+'Inputs'!$B$32,'Inputs'!$B$30+'Inputs'!$B$31+'Inputs'!$B$32)/1000+'Inputs'!$B$21+'Inputs'!$B$9+'Inputs'!$B$10)+'Inputs'!$B$7)/SQRT((((951-43)*MAX('Inputs'!$B$33,'Inputs'!$B$29+'Inputs'!$B$31+'Inputs'!$B$32,'Inputs'!$B$30+'Inputs'!$B$31+'Inputs'!$B$32)/1000+'Inputs'!$B$21+'Inputs'!$B$9+'Inputs'!$B$10)+'Inputs'!$B$7)^2+('Inputs'!$B$6/2)^2)-(((951-43)*MAX('Inputs'!$B$33,'Inputs'!$B$29+'Inputs'!$B$31+'Inputs'!$B$32,'Inputs'!$B$30+'Inputs'!$B$31+'Inputs'!$B$32)/1000+'Inputs'!$B$21+'Inputs'!$B$9+'Inputs'!$B$10))/SQRT((((951-43)*MAX('Inputs'!$B$33,'Inputs'!$B$29+'Inputs'!$B$31+'Inputs'!$B$32,'Inputs'!$B$30+'Inputs'!$B$31+'Inputs'!$B$32)/1000+'Inputs'!$B$21+'Inputs'!$B$9+'Inputs'!$B$10))^2+('Inputs'!$B$6/2)^2))))*'Results'!$B$8))),"")</x:f>
        <x:v>0.37581060821952317</x:v>
      </x:c>
      <x:c r="O951" t="n">
        <x:f>IF(AND(ISNUMBER('Results'!C7),ISNUMBER('Results'!B7),ISNUMBER('Results'!$B$8),ISNUMBER('Inputs'!$B$6),ISNUMBER('Inputs'!$B$7),ISNUMBER('Inputs'!$B$8),ISNUMBER('Inputs'!$B$9),ISNUMBER('Inputs'!$B$10),ISNUMBER('Inputs'!$B$21),ISNUMBER('Inputs'!$B$24),ISNUMBER('Inputs'!$B$28)),((('Results'!C7*(1+'Inputs'!$B$24)*(0.5*((((951-43)*MAX('Inputs'!$B$33,'Inputs'!$B$29+'Inputs'!$B$31+'Inputs'!$B$32,'Inputs'!$B$30+'Inputs'!$B$31+'Inputs'!$B$32)/1000+'Inputs'!$B$21)+'Inputs'!$B$9)/SQRT((((951-43)*MAX('Inputs'!$B$33,'Inputs'!$B$29+'Inputs'!$B$31+'Inputs'!$B$32,'Inputs'!$B$30+'Inputs'!$B$31+'Inputs'!$B$32)/1000+'Inputs'!$B$21)+'Inputs'!$B$9)^2+('Inputs'!$B$8/2)^2)-(((951-43)*MAX('Inputs'!$B$33,'Inputs'!$B$29+'Inputs'!$B$31+'Inputs'!$B$32,'Inputs'!$B$30+'Inputs'!$B$31+'Inputs'!$B$32)/1000+'Inputs'!$B$21))/SQRT((((951-43)*MAX('Inputs'!$B$33,'Inputs'!$B$29+'Inputs'!$B$31+'Inputs'!$B$32,'Inputs'!$B$30+'Inputs'!$B$31+'Inputs'!$B$32)/1000+'Inputs'!$B$21))^2+('Inputs'!$B$8/2)^2)))-'Results'!B7*(1-'Inputs'!$B$24)*(0.5*((((951-43)*MAX('Inputs'!$B$33,'Inputs'!$B$29+'Inputs'!$B$31+'Inputs'!$B$32,'Inputs'!$B$30+'Inputs'!$B$31+'Inputs'!$B$32)/1000+'Inputs'!$B$21+'Inputs'!$B$9+'Inputs'!$B$10)+'Inputs'!$B$7)/SQRT((((951-43)*MAX('Inputs'!$B$33,'Inputs'!$B$29+'Inputs'!$B$31+'Inputs'!$B$32,'Inputs'!$B$30+'Inputs'!$B$31+'Inputs'!$B$32)/1000+'Inputs'!$B$21+'Inputs'!$B$9+'Inputs'!$B$10)+'Inputs'!$B$7)^2+('Inputs'!$B$6/2)^2)-(((951-43)*MAX('Inputs'!$B$33,'Inputs'!$B$29+'Inputs'!$B$31+'Inputs'!$B$32,'Inputs'!$B$30+'Inputs'!$B$31+'Inputs'!$B$32)/1000+'Inputs'!$B$21+'Inputs'!$B$9+'Inputs'!$B$10))/SQRT((((951-43)*MAX('Inputs'!$B$33,'Inputs'!$B$29+'Inputs'!$B$31+'Inputs'!$B$32,'Inputs'!$B$30+'Inputs'!$B$31+'Inputs'!$B$32)/1000+'Inputs'!$B$21+'Inputs'!$B$9+'Inputs'!$B$10))^2+('Inputs'!$B$6/2)^2))))*'Results'!$B$8)+'Inputs'!$B$28*ABS((('Results'!C7*(1+'Inputs'!$B$24)*(0.5*((((951-43)*MAX('Inputs'!$B$33,'Inputs'!$B$29+'Inputs'!$B$31+'Inputs'!$B$32,'Inputs'!$B$30+'Inputs'!$B$31+'Inputs'!$B$32)/1000+'Inputs'!$B$21)+'Inputs'!$B$9)/SQRT((((951-43)*MAX('Inputs'!$B$33,'Inputs'!$B$29+'Inputs'!$B$31+'Inputs'!$B$32,'Inputs'!$B$30+'Inputs'!$B$31+'Inputs'!$B$32)/1000+'Inputs'!$B$21)+'Inputs'!$B$9)^2+('Inputs'!$B$8/2)^2)-(((951-43)*MAX('Inputs'!$B$33,'Inputs'!$B$29+'Inputs'!$B$31+'Inputs'!$B$32,'Inputs'!$B$30+'Inputs'!$B$31+'Inputs'!$B$32)/1000+'Inputs'!$B$21))/SQRT((((951-43)*MAX('Inputs'!$B$33,'Inputs'!$B$29+'Inputs'!$B$31+'Inputs'!$B$32,'Inputs'!$B$30+'Inputs'!$B$31+'Inputs'!$B$32)/1000+'Inputs'!$B$21))^2+('Inputs'!$B$8/2)^2)))-'Results'!B7*(1-'Inputs'!$B$24)*(0.5*((((951-43)*MAX('Inputs'!$B$33,'Inputs'!$B$29+'Inputs'!$B$31+'Inputs'!$B$32,'Inputs'!$B$30+'Inputs'!$B$31+'Inputs'!$B$32)/1000+'Inputs'!$B$21+'Inputs'!$B$9+'Inputs'!$B$10)+'Inputs'!$B$7)/SQRT((((951-43)*MAX('Inputs'!$B$33,'Inputs'!$B$29+'Inputs'!$B$31+'Inputs'!$B$32,'Inputs'!$B$30+'Inputs'!$B$31+'Inputs'!$B$32)/1000+'Inputs'!$B$21+'Inputs'!$B$9+'Inputs'!$B$10)+'Inputs'!$B$7)^2+('Inputs'!$B$6/2)^2)-(((951-43)*MAX('Inputs'!$B$33,'Inputs'!$B$29+'Inputs'!$B$31+'Inputs'!$B$32,'Inputs'!$B$30+'Inputs'!$B$31+'Inputs'!$B$32)/1000+'Inputs'!$B$21+'Inputs'!$B$9+'Inputs'!$B$10))/SQRT((((951-43)*MAX('Inputs'!$B$33,'Inputs'!$B$29+'Inputs'!$B$31+'Inputs'!$B$32,'Inputs'!$B$30+'Inputs'!$B$31+'Inputs'!$B$32)/1000+'Inputs'!$B$21+'Inputs'!$B$9+'Inputs'!$B$10))^2+('Inputs'!$B$6/2)^2))))*'Results'!$B$8))),"")</x:f>
        <x:v>0.5321887417738139</x:v>
      </x:c>
      <x:c r="P951" t="n">
        <x:f>IF(AND(MAX(J951,J950)&gt;0,J951&gt;J950+0.00000001),1,0)</x:f>
        <x:v>0</x:v>
      </x:c>
      <x:c r="Q951" t="n">
        <x:f>IF(AND(MAX(K951,K950)&gt;0,K951&gt;K950+0.00000001),1,0)</x:f>
        <x:v>0</x:v>
      </x:c>
      <x:c r="R951" t="n">
        <x:f>IF(AND(MAX(L951,L950)&gt;0,L951&gt;L950+0.00000001),1,0)</x:f>
        <x:v>0</x:v>
      </x:c>
      <x:c r="S951" t="n">
        <x:f>IF(AND(MAX(M951,M950)&gt;0,M951&gt;M950+0.00000001),1,0)</x:f>
        <x:v>0</x:v>
      </x:c>
      <x:c r="T951" t="n">
        <x:f>IF(AND(MAX(N951,N950)&gt;0,N951&gt;N950+0.00000001),1,0)</x:f>
        <x:v>0</x:v>
      </x:c>
      <x:c r="U951" t="n">
        <x:f>IF(AND(MAX(O951,O950)&gt;0,O951&gt;O950+0.00000001),1,0)</x:f>
        <x:v>0</x:v>
      </x:c>
    </x:row>
    <x:row r="952">
      <x:c r="J952" t="n">
        <x:f>IF(AND(ISNUMBER('Results'!B7),ISNUMBER('Results'!C7),ISNUMBER('Results'!$B$8),ISNUMBER('Inputs'!$B$6),ISNUMBER('Inputs'!$B$7),ISNUMBER('Inputs'!$B$8),ISNUMBER('Inputs'!$B$9),ISNUMBER('Inputs'!$B$10),ISNUMBER('Inputs'!$B$21),ISNUMBER('Inputs'!$B$24),ISNUMBER('Inputs'!$B$28)),(('Results'!B7*(0.5*((((952-43)*MAX('Inputs'!$B$33,'Inputs'!$B$29+'Inputs'!$B$31+'Inputs'!$B$32,'Inputs'!$B$30+'Inputs'!$B$31+'Inputs'!$B$32)/1000+'Inputs'!$B$21)+'Inputs'!$B$7)/SQRT((((952-43)*MAX('Inputs'!$B$33,'Inputs'!$B$29+'Inputs'!$B$31+'Inputs'!$B$32,'Inputs'!$B$30+'Inputs'!$B$31+'Inputs'!$B$32)/1000+'Inputs'!$B$21)+'Inputs'!$B$7)^2+('Inputs'!$B$6/2)^2)-(((952-43)*MAX('Inputs'!$B$33,'Inputs'!$B$29+'Inputs'!$B$31+'Inputs'!$B$32,'Inputs'!$B$30+'Inputs'!$B$31+'Inputs'!$B$32)/1000+'Inputs'!$B$21))/SQRT((((952-43)*MAX('Inputs'!$B$33,'Inputs'!$B$29+'Inputs'!$B$31+'Inputs'!$B$32,'Inputs'!$B$30+'Inputs'!$B$31+'Inputs'!$B$32)/1000+'Inputs'!$B$21))^2+('Inputs'!$B$6/2)^2)))-'Results'!C7*(0.5*((((952-43)*MAX('Inputs'!$B$33,'Inputs'!$B$29+'Inputs'!$B$31+'Inputs'!$B$32,'Inputs'!$B$30+'Inputs'!$B$31+'Inputs'!$B$32)/1000+'Inputs'!$B$21+'Inputs'!$B$7+'Inputs'!$B$10)+'Inputs'!$B$9)/SQRT((((952-43)*MAX('Inputs'!$B$33,'Inputs'!$B$29+'Inputs'!$B$31+'Inputs'!$B$32,'Inputs'!$B$30+'Inputs'!$B$31+'Inputs'!$B$32)/1000+'Inputs'!$B$21+'Inputs'!$B$7+'Inputs'!$B$10)+'Inputs'!$B$9)^2+('Inputs'!$B$8/2)^2)-(((952-43)*MAX('Inputs'!$B$33,'Inputs'!$B$29+'Inputs'!$B$31+'Inputs'!$B$32,'Inputs'!$B$30+'Inputs'!$B$31+'Inputs'!$B$32)/1000+'Inputs'!$B$21+'Inputs'!$B$7+'Inputs'!$B$10))/SQRT((((952-43)*MAX('Inputs'!$B$33,'Inputs'!$B$29+'Inputs'!$B$31+'Inputs'!$B$32,'Inputs'!$B$30+'Inputs'!$B$31+'Inputs'!$B$32)/1000+'Inputs'!$B$21+'Inputs'!$B$7+'Inputs'!$B$10))^2+('Inputs'!$B$8/2)^2))))*'Results'!$B$8),"")</x:f>
        <x:v>0.5054823828519358</x:v>
      </x:c>
      <x:c r="K952" t="n">
        <x:f>IF(AND(ISNUMBER('Results'!B7),ISNUMBER('Results'!C7),ISNUMBER('Results'!$B$8),ISNUMBER('Inputs'!$B$6),ISNUMBER('Inputs'!$B$7),ISNUMBER('Inputs'!$B$8),ISNUMBER('Inputs'!$B$9),ISNUMBER('Inputs'!$B$10),ISNUMBER('Inputs'!$B$21),ISNUMBER('Inputs'!$B$24),ISNUMBER('Inputs'!$B$28)),((('Results'!B7*(1-'Inputs'!$B$24)*(0.5*((((952-43)*MAX('Inputs'!$B$33,'Inputs'!$B$29+'Inputs'!$B$31+'Inputs'!$B$32,'Inputs'!$B$30+'Inputs'!$B$31+'Inputs'!$B$32)/1000+'Inputs'!$B$21)+'Inputs'!$B$7)/SQRT((((952-43)*MAX('Inputs'!$B$33,'Inputs'!$B$29+'Inputs'!$B$31+'Inputs'!$B$32,'Inputs'!$B$30+'Inputs'!$B$31+'Inputs'!$B$32)/1000+'Inputs'!$B$21)+'Inputs'!$B$7)^2+('Inputs'!$B$6/2)^2)-(((952-43)*MAX('Inputs'!$B$33,'Inputs'!$B$29+'Inputs'!$B$31+'Inputs'!$B$32,'Inputs'!$B$30+'Inputs'!$B$31+'Inputs'!$B$32)/1000+'Inputs'!$B$21))/SQRT((((952-43)*MAX('Inputs'!$B$33,'Inputs'!$B$29+'Inputs'!$B$31+'Inputs'!$B$32,'Inputs'!$B$30+'Inputs'!$B$31+'Inputs'!$B$32)/1000+'Inputs'!$B$21))^2+('Inputs'!$B$6/2)^2)))-'Results'!C7*(1+'Inputs'!$B$24)*(0.5*((((952-43)*MAX('Inputs'!$B$33,'Inputs'!$B$29+'Inputs'!$B$31+'Inputs'!$B$32,'Inputs'!$B$30+'Inputs'!$B$31+'Inputs'!$B$32)/1000+'Inputs'!$B$21+'Inputs'!$B$7+'Inputs'!$B$10)+'Inputs'!$B$9)/SQRT((((952-43)*MAX('Inputs'!$B$33,'Inputs'!$B$29+'Inputs'!$B$31+'Inputs'!$B$32,'Inputs'!$B$30+'Inputs'!$B$31+'Inputs'!$B$32)/1000+'Inputs'!$B$21+'Inputs'!$B$7+'Inputs'!$B$10)+'Inputs'!$B$9)^2+('Inputs'!$B$8/2)^2)-(((952-43)*MAX('Inputs'!$B$33,'Inputs'!$B$29+'Inputs'!$B$31+'Inputs'!$B$32,'Inputs'!$B$30+'Inputs'!$B$31+'Inputs'!$B$32)/1000+'Inputs'!$B$21+'Inputs'!$B$7+'Inputs'!$B$10))/SQRT((((952-43)*MAX('Inputs'!$B$33,'Inputs'!$B$29+'Inputs'!$B$31+'Inputs'!$B$32,'Inputs'!$B$30+'Inputs'!$B$31+'Inputs'!$B$32)/1000+'Inputs'!$B$21+'Inputs'!$B$7+'Inputs'!$B$10))^2+('Inputs'!$B$8/2)^2))))*'Results'!$B$8)-'Inputs'!$B$28*ABS((('Results'!B7*(1-'Inputs'!$B$24)*(0.5*((((952-43)*MAX('Inputs'!$B$33,'Inputs'!$B$29+'Inputs'!$B$31+'Inputs'!$B$32,'Inputs'!$B$30+'Inputs'!$B$31+'Inputs'!$B$32)/1000+'Inputs'!$B$21)+'Inputs'!$B$7)/SQRT((((952-43)*MAX('Inputs'!$B$33,'Inputs'!$B$29+'Inputs'!$B$31+'Inputs'!$B$32,'Inputs'!$B$30+'Inputs'!$B$31+'Inputs'!$B$32)/1000+'Inputs'!$B$21)+'Inputs'!$B$7)^2+('Inputs'!$B$6/2)^2)-(((952-43)*MAX('Inputs'!$B$33,'Inputs'!$B$29+'Inputs'!$B$31+'Inputs'!$B$32,'Inputs'!$B$30+'Inputs'!$B$31+'Inputs'!$B$32)/1000+'Inputs'!$B$21))/SQRT((((952-43)*MAX('Inputs'!$B$33,'Inputs'!$B$29+'Inputs'!$B$31+'Inputs'!$B$32,'Inputs'!$B$30+'Inputs'!$B$31+'Inputs'!$B$32)/1000+'Inputs'!$B$21))^2+('Inputs'!$B$6/2)^2)))-'Results'!C7*(1+'Inputs'!$B$24)*(0.5*((((952-43)*MAX('Inputs'!$B$33,'Inputs'!$B$29+'Inputs'!$B$31+'Inputs'!$B$32,'Inputs'!$B$30+'Inputs'!$B$31+'Inputs'!$B$32)/1000+'Inputs'!$B$21+'Inputs'!$B$7+'Inputs'!$B$10)+'Inputs'!$B$9)/SQRT((((952-43)*MAX('Inputs'!$B$33,'Inputs'!$B$29+'Inputs'!$B$31+'Inputs'!$B$32,'Inputs'!$B$30+'Inputs'!$B$31+'Inputs'!$B$32)/1000+'Inputs'!$B$21+'Inputs'!$B$7+'Inputs'!$B$10)+'Inputs'!$B$9)^2+('Inputs'!$B$8/2)^2)-(((952-43)*MAX('Inputs'!$B$33,'Inputs'!$B$29+'Inputs'!$B$31+'Inputs'!$B$32,'Inputs'!$B$30+'Inputs'!$B$31+'Inputs'!$B$32)/1000+'Inputs'!$B$21+'Inputs'!$B$7+'Inputs'!$B$10))/SQRT((((952-43)*MAX('Inputs'!$B$33,'Inputs'!$B$29+'Inputs'!$B$31+'Inputs'!$B$32,'Inputs'!$B$30+'Inputs'!$B$31+'Inputs'!$B$32)/1000+'Inputs'!$B$21+'Inputs'!$B$7+'Inputs'!$B$10))^2+('Inputs'!$B$8/2)^2))))*'Results'!$B$8))),"")</x:f>
        <x:v>0.427339928817694</x:v>
      </x:c>
      <x:c r="L952" t="n">
        <x:f>IF(AND(ISNUMBER('Results'!B7),ISNUMBER('Results'!C7),ISNUMBER('Results'!$B$8),ISNUMBER('Inputs'!$B$6),ISNUMBER('Inputs'!$B$7),ISNUMBER('Inputs'!$B$8),ISNUMBER('Inputs'!$B$9),ISNUMBER('Inputs'!$B$10),ISNUMBER('Inputs'!$B$21),ISNUMBER('Inputs'!$B$24),ISNUMBER('Inputs'!$B$28)),((('Results'!B7*(1+'Inputs'!$B$24)*(0.5*((((952-43)*MAX('Inputs'!$B$33,'Inputs'!$B$29+'Inputs'!$B$31+'Inputs'!$B$32,'Inputs'!$B$30+'Inputs'!$B$31+'Inputs'!$B$32)/1000+'Inputs'!$B$21)+'Inputs'!$B$7)/SQRT((((952-43)*MAX('Inputs'!$B$33,'Inputs'!$B$29+'Inputs'!$B$31+'Inputs'!$B$32,'Inputs'!$B$30+'Inputs'!$B$31+'Inputs'!$B$32)/1000+'Inputs'!$B$21)+'Inputs'!$B$7)^2+('Inputs'!$B$6/2)^2)-(((952-43)*MAX('Inputs'!$B$33,'Inputs'!$B$29+'Inputs'!$B$31+'Inputs'!$B$32,'Inputs'!$B$30+'Inputs'!$B$31+'Inputs'!$B$32)/1000+'Inputs'!$B$21))/SQRT((((952-43)*MAX('Inputs'!$B$33,'Inputs'!$B$29+'Inputs'!$B$31+'Inputs'!$B$32,'Inputs'!$B$30+'Inputs'!$B$31+'Inputs'!$B$32)/1000+'Inputs'!$B$21))^2+('Inputs'!$B$6/2)^2)))-'Results'!C7*(1-'Inputs'!$B$24)*(0.5*((((952-43)*MAX('Inputs'!$B$33,'Inputs'!$B$29+'Inputs'!$B$31+'Inputs'!$B$32,'Inputs'!$B$30+'Inputs'!$B$31+'Inputs'!$B$32)/1000+'Inputs'!$B$21+'Inputs'!$B$7+'Inputs'!$B$10)+'Inputs'!$B$9)/SQRT((((952-43)*MAX('Inputs'!$B$33,'Inputs'!$B$29+'Inputs'!$B$31+'Inputs'!$B$32,'Inputs'!$B$30+'Inputs'!$B$31+'Inputs'!$B$32)/1000+'Inputs'!$B$21+'Inputs'!$B$7+'Inputs'!$B$10)+'Inputs'!$B$9)^2+('Inputs'!$B$8/2)^2)-(((952-43)*MAX('Inputs'!$B$33,'Inputs'!$B$29+'Inputs'!$B$31+'Inputs'!$B$32,'Inputs'!$B$30+'Inputs'!$B$31+'Inputs'!$B$32)/1000+'Inputs'!$B$21+'Inputs'!$B$7+'Inputs'!$B$10))/SQRT((((952-43)*MAX('Inputs'!$B$33,'Inputs'!$B$29+'Inputs'!$B$31+'Inputs'!$B$32,'Inputs'!$B$30+'Inputs'!$B$31+'Inputs'!$B$32)/1000+'Inputs'!$B$21+'Inputs'!$B$7+'Inputs'!$B$10))^2+('Inputs'!$B$8/2)^2))))*'Results'!$B$8)+'Inputs'!$B$28*ABS((('Results'!B7*(1+'Inputs'!$B$24)*(0.5*((((952-43)*MAX('Inputs'!$B$33,'Inputs'!$B$29+'Inputs'!$B$31+'Inputs'!$B$32,'Inputs'!$B$30+'Inputs'!$B$31+'Inputs'!$B$32)/1000+'Inputs'!$B$21)+'Inputs'!$B$7)/SQRT((((952-43)*MAX('Inputs'!$B$33,'Inputs'!$B$29+'Inputs'!$B$31+'Inputs'!$B$32,'Inputs'!$B$30+'Inputs'!$B$31+'Inputs'!$B$32)/1000+'Inputs'!$B$21)+'Inputs'!$B$7)^2+('Inputs'!$B$6/2)^2)-(((952-43)*MAX('Inputs'!$B$33,'Inputs'!$B$29+'Inputs'!$B$31+'Inputs'!$B$32,'Inputs'!$B$30+'Inputs'!$B$31+'Inputs'!$B$32)/1000+'Inputs'!$B$21))/SQRT((((952-43)*MAX('Inputs'!$B$33,'Inputs'!$B$29+'Inputs'!$B$31+'Inputs'!$B$32,'Inputs'!$B$30+'Inputs'!$B$31+'Inputs'!$B$32)/1000+'Inputs'!$B$21))^2+('Inputs'!$B$6/2)^2)))-'Results'!C7*(1-'Inputs'!$B$24)*(0.5*((((952-43)*MAX('Inputs'!$B$33,'Inputs'!$B$29+'Inputs'!$B$31+'Inputs'!$B$32,'Inputs'!$B$30+'Inputs'!$B$31+'Inputs'!$B$32)/1000+'Inputs'!$B$21+'Inputs'!$B$7+'Inputs'!$B$10)+'Inputs'!$B$9)/SQRT((((952-43)*MAX('Inputs'!$B$33,'Inputs'!$B$29+'Inputs'!$B$31+'Inputs'!$B$32,'Inputs'!$B$30+'Inputs'!$B$31+'Inputs'!$B$32)/1000+'Inputs'!$B$21+'Inputs'!$B$7+'Inputs'!$B$10)+'Inputs'!$B$9)^2+('Inputs'!$B$8/2)^2)-(((952-43)*MAX('Inputs'!$B$33,'Inputs'!$B$29+'Inputs'!$B$31+'Inputs'!$B$32,'Inputs'!$B$30+'Inputs'!$B$31+'Inputs'!$B$32)/1000+'Inputs'!$B$21+'Inputs'!$B$7+'Inputs'!$B$10))/SQRT((((952-43)*MAX('Inputs'!$B$33,'Inputs'!$B$29+'Inputs'!$B$31+'Inputs'!$B$32,'Inputs'!$B$30+'Inputs'!$B$31+'Inputs'!$B$32)/1000+'Inputs'!$B$21+'Inputs'!$B$7+'Inputs'!$B$10))^2+('Inputs'!$B$8/2)^2))))*'Results'!$B$8))),"")</x:f>
        <x:v>0.5891899247695088</x:v>
      </x:c>
      <x:c r="M952" t="n">
        <x:f>IF(AND(ISNUMBER('Results'!C7),ISNUMBER('Results'!B7),ISNUMBER('Results'!$B$8),ISNUMBER('Inputs'!$B$6),ISNUMBER('Inputs'!$B$7),ISNUMBER('Inputs'!$B$8),ISNUMBER('Inputs'!$B$9),ISNUMBER('Inputs'!$B$10),ISNUMBER('Inputs'!$B$21),ISNUMBER('Inputs'!$B$24),ISNUMBER('Inputs'!$B$28)),(('Results'!C7*(0.5*((((952-43)*MAX('Inputs'!$B$33,'Inputs'!$B$29+'Inputs'!$B$31+'Inputs'!$B$32,'Inputs'!$B$30+'Inputs'!$B$31+'Inputs'!$B$32)/1000+'Inputs'!$B$21)+'Inputs'!$B$9)/SQRT((((952-43)*MAX('Inputs'!$B$33,'Inputs'!$B$29+'Inputs'!$B$31+'Inputs'!$B$32,'Inputs'!$B$30+'Inputs'!$B$31+'Inputs'!$B$32)/1000+'Inputs'!$B$21)+'Inputs'!$B$9)^2+('Inputs'!$B$8/2)^2)-(((952-43)*MAX('Inputs'!$B$33,'Inputs'!$B$29+'Inputs'!$B$31+'Inputs'!$B$32,'Inputs'!$B$30+'Inputs'!$B$31+'Inputs'!$B$32)/1000+'Inputs'!$B$21))/SQRT((((952-43)*MAX('Inputs'!$B$33,'Inputs'!$B$29+'Inputs'!$B$31+'Inputs'!$B$32,'Inputs'!$B$30+'Inputs'!$B$31+'Inputs'!$B$32)/1000+'Inputs'!$B$21))^2+('Inputs'!$B$8/2)^2)))-'Results'!B7*(0.5*((((952-43)*MAX('Inputs'!$B$33,'Inputs'!$B$29+'Inputs'!$B$31+'Inputs'!$B$32,'Inputs'!$B$30+'Inputs'!$B$31+'Inputs'!$B$32)/1000+'Inputs'!$B$21+'Inputs'!$B$9+'Inputs'!$B$10)+'Inputs'!$B$7)/SQRT((((952-43)*MAX('Inputs'!$B$33,'Inputs'!$B$29+'Inputs'!$B$31+'Inputs'!$B$32,'Inputs'!$B$30+'Inputs'!$B$31+'Inputs'!$B$32)/1000+'Inputs'!$B$21+'Inputs'!$B$9+'Inputs'!$B$10)+'Inputs'!$B$7)^2+('Inputs'!$B$6/2)^2)-(((952-43)*MAX('Inputs'!$B$33,'Inputs'!$B$29+'Inputs'!$B$31+'Inputs'!$B$32,'Inputs'!$B$30+'Inputs'!$B$31+'Inputs'!$B$32)/1000+'Inputs'!$B$21+'Inputs'!$B$9+'Inputs'!$B$10))/SQRT((((952-43)*MAX('Inputs'!$B$33,'Inputs'!$B$29+'Inputs'!$B$31+'Inputs'!$B$32,'Inputs'!$B$30+'Inputs'!$B$31+'Inputs'!$B$32)/1000+'Inputs'!$B$21+'Inputs'!$B$9+'Inputs'!$B$10))^2+('Inputs'!$B$6/2)^2))))*'Results'!$B$8),"")</x:f>
        <x:v>0.4493667975780512</x:v>
      </x:c>
      <x:c r="N952" t="n">
        <x:f>IF(AND(ISNUMBER('Results'!C7),ISNUMBER('Results'!B7),ISNUMBER('Results'!$B$8),ISNUMBER('Inputs'!$B$6),ISNUMBER('Inputs'!$B$7),ISNUMBER('Inputs'!$B$8),ISNUMBER('Inputs'!$B$9),ISNUMBER('Inputs'!$B$10),ISNUMBER('Inputs'!$B$21),ISNUMBER('Inputs'!$B$24),ISNUMBER('Inputs'!$B$28)),((('Results'!C7*(1-'Inputs'!$B$24)*(0.5*((((952-43)*MAX('Inputs'!$B$33,'Inputs'!$B$29+'Inputs'!$B$31+'Inputs'!$B$32,'Inputs'!$B$30+'Inputs'!$B$31+'Inputs'!$B$32)/1000+'Inputs'!$B$21)+'Inputs'!$B$9)/SQRT((((952-43)*MAX('Inputs'!$B$33,'Inputs'!$B$29+'Inputs'!$B$31+'Inputs'!$B$32,'Inputs'!$B$30+'Inputs'!$B$31+'Inputs'!$B$32)/1000+'Inputs'!$B$21)+'Inputs'!$B$9)^2+('Inputs'!$B$8/2)^2)-(((952-43)*MAX('Inputs'!$B$33,'Inputs'!$B$29+'Inputs'!$B$31+'Inputs'!$B$32,'Inputs'!$B$30+'Inputs'!$B$31+'Inputs'!$B$32)/1000+'Inputs'!$B$21))/SQRT((((952-43)*MAX('Inputs'!$B$33,'Inputs'!$B$29+'Inputs'!$B$31+'Inputs'!$B$32,'Inputs'!$B$30+'Inputs'!$B$31+'Inputs'!$B$32)/1000+'Inputs'!$B$21))^2+('Inputs'!$B$8/2)^2)))-'Results'!B7*(1+'Inputs'!$B$24)*(0.5*((((952-43)*MAX('Inputs'!$B$33,'Inputs'!$B$29+'Inputs'!$B$31+'Inputs'!$B$32,'Inputs'!$B$30+'Inputs'!$B$31+'Inputs'!$B$32)/1000+'Inputs'!$B$21+'Inputs'!$B$9+'Inputs'!$B$10)+'Inputs'!$B$7)/SQRT((((952-43)*MAX('Inputs'!$B$33,'Inputs'!$B$29+'Inputs'!$B$31+'Inputs'!$B$32,'Inputs'!$B$30+'Inputs'!$B$31+'Inputs'!$B$32)/1000+'Inputs'!$B$21+'Inputs'!$B$9+'Inputs'!$B$10)+'Inputs'!$B$7)^2+('Inputs'!$B$6/2)^2)-(((952-43)*MAX('Inputs'!$B$33,'Inputs'!$B$29+'Inputs'!$B$31+'Inputs'!$B$32,'Inputs'!$B$30+'Inputs'!$B$31+'Inputs'!$B$32)/1000+'Inputs'!$B$21+'Inputs'!$B$9+'Inputs'!$B$10))/SQRT((((952-43)*MAX('Inputs'!$B$33,'Inputs'!$B$29+'Inputs'!$B$31+'Inputs'!$B$32,'Inputs'!$B$30+'Inputs'!$B$31+'Inputs'!$B$32)/1000+'Inputs'!$B$21+'Inputs'!$B$9+'Inputs'!$B$10))^2+('Inputs'!$B$6/2)^2))))*'Results'!$B$8)-'Inputs'!$B$28*ABS((('Results'!C7*(1-'Inputs'!$B$24)*(0.5*((((952-43)*MAX('Inputs'!$B$33,'Inputs'!$B$29+'Inputs'!$B$31+'Inputs'!$B$32,'Inputs'!$B$30+'Inputs'!$B$31+'Inputs'!$B$32)/1000+'Inputs'!$B$21)+'Inputs'!$B$9)/SQRT((((952-43)*MAX('Inputs'!$B$33,'Inputs'!$B$29+'Inputs'!$B$31+'Inputs'!$B$32,'Inputs'!$B$30+'Inputs'!$B$31+'Inputs'!$B$32)/1000+'Inputs'!$B$21)+'Inputs'!$B$9)^2+('Inputs'!$B$8/2)^2)-(((952-43)*MAX('Inputs'!$B$33,'Inputs'!$B$29+'Inputs'!$B$31+'Inputs'!$B$32,'Inputs'!$B$30+'Inputs'!$B$31+'Inputs'!$B$32)/1000+'Inputs'!$B$21))/SQRT((((952-43)*MAX('Inputs'!$B$33,'Inputs'!$B$29+'Inputs'!$B$31+'Inputs'!$B$32,'Inputs'!$B$30+'Inputs'!$B$31+'Inputs'!$B$32)/1000+'Inputs'!$B$21))^2+('Inputs'!$B$8/2)^2)))-'Results'!B7*(1+'Inputs'!$B$24)*(0.5*((((952-43)*MAX('Inputs'!$B$33,'Inputs'!$B$29+'Inputs'!$B$31+'Inputs'!$B$32,'Inputs'!$B$30+'Inputs'!$B$31+'Inputs'!$B$32)/1000+'Inputs'!$B$21+'Inputs'!$B$9+'Inputs'!$B$10)+'Inputs'!$B$7)/SQRT((((952-43)*MAX('Inputs'!$B$33,'Inputs'!$B$29+'Inputs'!$B$31+'Inputs'!$B$32,'Inputs'!$B$30+'Inputs'!$B$31+'Inputs'!$B$32)/1000+'Inputs'!$B$21+'Inputs'!$B$9+'Inputs'!$B$10)+'Inputs'!$B$7)^2+('Inputs'!$B$6/2)^2)-(((952-43)*MAX('Inputs'!$B$33,'Inputs'!$B$29+'Inputs'!$B$31+'Inputs'!$B$32,'Inputs'!$B$30+'Inputs'!$B$31+'Inputs'!$B$32)/1000+'Inputs'!$B$21+'Inputs'!$B$9+'Inputs'!$B$10))/SQRT((((952-43)*MAX('Inputs'!$B$33,'Inputs'!$B$29+'Inputs'!$B$31+'Inputs'!$B$32,'Inputs'!$B$30+'Inputs'!$B$31+'Inputs'!$B$32)/1000+'Inputs'!$B$21+'Inputs'!$B$9+'Inputs'!$B$10))^2+('Inputs'!$B$6/2)^2))))*'Results'!$B$8))),"")</x:f>
        <x:v>0.37421337669061633</x:v>
      </x:c>
      <x:c r="O952" t="n">
        <x:f>IF(AND(ISNUMBER('Results'!C7),ISNUMBER('Results'!B7),ISNUMBER('Results'!$B$8),ISNUMBER('Inputs'!$B$6),ISNUMBER('Inputs'!$B$7),ISNUMBER('Inputs'!$B$8),ISNUMBER('Inputs'!$B$9),ISNUMBER('Inputs'!$B$10),ISNUMBER('Inputs'!$B$21),ISNUMBER('Inputs'!$B$24),ISNUMBER('Inputs'!$B$28)),((('Results'!C7*(1+'Inputs'!$B$24)*(0.5*((((952-43)*MAX('Inputs'!$B$33,'Inputs'!$B$29+'Inputs'!$B$31+'Inputs'!$B$32,'Inputs'!$B$30+'Inputs'!$B$31+'Inputs'!$B$32)/1000+'Inputs'!$B$21)+'Inputs'!$B$9)/SQRT((((952-43)*MAX('Inputs'!$B$33,'Inputs'!$B$29+'Inputs'!$B$31+'Inputs'!$B$32,'Inputs'!$B$30+'Inputs'!$B$31+'Inputs'!$B$32)/1000+'Inputs'!$B$21)+'Inputs'!$B$9)^2+('Inputs'!$B$8/2)^2)-(((952-43)*MAX('Inputs'!$B$33,'Inputs'!$B$29+'Inputs'!$B$31+'Inputs'!$B$32,'Inputs'!$B$30+'Inputs'!$B$31+'Inputs'!$B$32)/1000+'Inputs'!$B$21))/SQRT((((952-43)*MAX('Inputs'!$B$33,'Inputs'!$B$29+'Inputs'!$B$31+'Inputs'!$B$32,'Inputs'!$B$30+'Inputs'!$B$31+'Inputs'!$B$32)/1000+'Inputs'!$B$21))^2+('Inputs'!$B$8/2)^2)))-'Results'!B7*(1-'Inputs'!$B$24)*(0.5*((((952-43)*MAX('Inputs'!$B$33,'Inputs'!$B$29+'Inputs'!$B$31+'Inputs'!$B$32,'Inputs'!$B$30+'Inputs'!$B$31+'Inputs'!$B$32)/1000+'Inputs'!$B$21+'Inputs'!$B$9+'Inputs'!$B$10)+'Inputs'!$B$7)/SQRT((((952-43)*MAX('Inputs'!$B$33,'Inputs'!$B$29+'Inputs'!$B$31+'Inputs'!$B$32,'Inputs'!$B$30+'Inputs'!$B$31+'Inputs'!$B$32)/1000+'Inputs'!$B$21+'Inputs'!$B$9+'Inputs'!$B$10)+'Inputs'!$B$7)^2+('Inputs'!$B$6/2)^2)-(((952-43)*MAX('Inputs'!$B$33,'Inputs'!$B$29+'Inputs'!$B$31+'Inputs'!$B$32,'Inputs'!$B$30+'Inputs'!$B$31+'Inputs'!$B$32)/1000+'Inputs'!$B$21+'Inputs'!$B$9+'Inputs'!$B$10))/SQRT((((952-43)*MAX('Inputs'!$B$33,'Inputs'!$B$29+'Inputs'!$B$31+'Inputs'!$B$32,'Inputs'!$B$30+'Inputs'!$B$31+'Inputs'!$B$32)/1000+'Inputs'!$B$21+'Inputs'!$B$9+'Inputs'!$B$10))^2+('Inputs'!$B$6/2)^2))))*'Results'!$B$8)+'Inputs'!$B$28*ABS((('Results'!C7*(1+'Inputs'!$B$24)*(0.5*((((952-43)*MAX('Inputs'!$B$33,'Inputs'!$B$29+'Inputs'!$B$31+'Inputs'!$B$32,'Inputs'!$B$30+'Inputs'!$B$31+'Inputs'!$B$32)/1000+'Inputs'!$B$21)+'Inputs'!$B$9)/SQRT((((952-43)*MAX('Inputs'!$B$33,'Inputs'!$B$29+'Inputs'!$B$31+'Inputs'!$B$32,'Inputs'!$B$30+'Inputs'!$B$31+'Inputs'!$B$32)/1000+'Inputs'!$B$21)+'Inputs'!$B$9)^2+('Inputs'!$B$8/2)^2)-(((952-43)*MAX('Inputs'!$B$33,'Inputs'!$B$29+'Inputs'!$B$31+'Inputs'!$B$32,'Inputs'!$B$30+'Inputs'!$B$31+'Inputs'!$B$32)/1000+'Inputs'!$B$21))/SQRT((((952-43)*MAX('Inputs'!$B$33,'Inputs'!$B$29+'Inputs'!$B$31+'Inputs'!$B$32,'Inputs'!$B$30+'Inputs'!$B$31+'Inputs'!$B$32)/1000+'Inputs'!$B$21))^2+('Inputs'!$B$8/2)^2)))-'Results'!B7*(1-'Inputs'!$B$24)*(0.5*((((952-43)*MAX('Inputs'!$B$33,'Inputs'!$B$29+'Inputs'!$B$31+'Inputs'!$B$32,'Inputs'!$B$30+'Inputs'!$B$31+'Inputs'!$B$32)/1000+'Inputs'!$B$21+'Inputs'!$B$9+'Inputs'!$B$10)+'Inputs'!$B$7)/SQRT((((952-43)*MAX('Inputs'!$B$33,'Inputs'!$B$29+'Inputs'!$B$31+'Inputs'!$B$32,'Inputs'!$B$30+'Inputs'!$B$31+'Inputs'!$B$32)/1000+'Inputs'!$B$21+'Inputs'!$B$9+'Inputs'!$B$10)+'Inputs'!$B$7)^2+('Inputs'!$B$6/2)^2)-(((952-43)*MAX('Inputs'!$B$33,'Inputs'!$B$29+'Inputs'!$B$31+'Inputs'!$B$32,'Inputs'!$B$30+'Inputs'!$B$31+'Inputs'!$B$32)/1000+'Inputs'!$B$21+'Inputs'!$B$9+'Inputs'!$B$10))/SQRT((((952-43)*MAX('Inputs'!$B$33,'Inputs'!$B$29+'Inputs'!$B$31+'Inputs'!$B$32,'Inputs'!$B$30+'Inputs'!$B$31+'Inputs'!$B$32)/1000+'Inputs'!$B$21+'Inputs'!$B$9+'Inputs'!$B$10))^2+('Inputs'!$B$6/2)^2))))*'Results'!$B$8))),"")</x:f>
        <x:v>0.5300660164663841</x:v>
      </x:c>
      <x:c r="P952" t="n">
        <x:f>IF(AND(MAX(J952,J951)&gt;0,J952&gt;J951+0.00000001),1,0)</x:f>
        <x:v>0</x:v>
      </x:c>
      <x:c r="Q952" t="n">
        <x:f>IF(AND(MAX(K952,K951)&gt;0,K952&gt;K951+0.00000001),1,0)</x:f>
        <x:v>0</x:v>
      </x:c>
      <x:c r="R952" t="n">
        <x:f>IF(AND(MAX(L952,L951)&gt;0,L952&gt;L951+0.00000001),1,0)</x:f>
        <x:v>0</x:v>
      </x:c>
      <x:c r="S952" t="n">
        <x:f>IF(AND(MAX(M952,M951)&gt;0,M952&gt;M951+0.00000001),1,0)</x:f>
        <x:v>0</x:v>
      </x:c>
      <x:c r="T952" t="n">
        <x:f>IF(AND(MAX(N952,N951)&gt;0,N952&gt;N951+0.00000001),1,0)</x:f>
        <x:v>0</x:v>
      </x:c>
      <x:c r="U952" t="n">
        <x:f>IF(AND(MAX(O952,O951)&gt;0,O952&gt;O951+0.00000001),1,0)</x:f>
        <x:v>0</x:v>
      </x:c>
    </x:row>
    <x:row r="953">
      <x:c r="J953" t="n">
        <x:f>IF(AND(ISNUMBER('Results'!B7),ISNUMBER('Results'!C7),ISNUMBER('Results'!$B$8),ISNUMBER('Inputs'!$B$6),ISNUMBER('Inputs'!$B$7),ISNUMBER('Inputs'!$B$8),ISNUMBER('Inputs'!$B$9),ISNUMBER('Inputs'!$B$10),ISNUMBER('Inputs'!$B$21),ISNUMBER('Inputs'!$B$24),ISNUMBER('Inputs'!$B$28)),(('Results'!B7*(0.5*((((953-43)*MAX('Inputs'!$B$33,'Inputs'!$B$29+'Inputs'!$B$31+'Inputs'!$B$32,'Inputs'!$B$30+'Inputs'!$B$31+'Inputs'!$B$32)/1000+'Inputs'!$B$21)+'Inputs'!$B$7)/SQRT((((953-43)*MAX('Inputs'!$B$33,'Inputs'!$B$29+'Inputs'!$B$31+'Inputs'!$B$32,'Inputs'!$B$30+'Inputs'!$B$31+'Inputs'!$B$32)/1000+'Inputs'!$B$21)+'Inputs'!$B$7)^2+('Inputs'!$B$6/2)^2)-(((953-43)*MAX('Inputs'!$B$33,'Inputs'!$B$29+'Inputs'!$B$31+'Inputs'!$B$32,'Inputs'!$B$30+'Inputs'!$B$31+'Inputs'!$B$32)/1000+'Inputs'!$B$21))/SQRT((((953-43)*MAX('Inputs'!$B$33,'Inputs'!$B$29+'Inputs'!$B$31+'Inputs'!$B$32,'Inputs'!$B$30+'Inputs'!$B$31+'Inputs'!$B$32)/1000+'Inputs'!$B$21))^2+('Inputs'!$B$6/2)^2)))-'Results'!C7*(0.5*((((953-43)*MAX('Inputs'!$B$33,'Inputs'!$B$29+'Inputs'!$B$31+'Inputs'!$B$32,'Inputs'!$B$30+'Inputs'!$B$31+'Inputs'!$B$32)/1000+'Inputs'!$B$21+'Inputs'!$B$7+'Inputs'!$B$10)+'Inputs'!$B$9)/SQRT((((953-43)*MAX('Inputs'!$B$33,'Inputs'!$B$29+'Inputs'!$B$31+'Inputs'!$B$32,'Inputs'!$B$30+'Inputs'!$B$31+'Inputs'!$B$32)/1000+'Inputs'!$B$21+'Inputs'!$B$7+'Inputs'!$B$10)+'Inputs'!$B$9)^2+('Inputs'!$B$8/2)^2)-(((953-43)*MAX('Inputs'!$B$33,'Inputs'!$B$29+'Inputs'!$B$31+'Inputs'!$B$32,'Inputs'!$B$30+'Inputs'!$B$31+'Inputs'!$B$32)/1000+'Inputs'!$B$21+'Inputs'!$B$7+'Inputs'!$B$10))/SQRT((((953-43)*MAX('Inputs'!$B$33,'Inputs'!$B$29+'Inputs'!$B$31+'Inputs'!$B$32,'Inputs'!$B$30+'Inputs'!$B$31+'Inputs'!$B$32)/1000+'Inputs'!$B$21+'Inputs'!$B$7+'Inputs'!$B$10))^2+('Inputs'!$B$8/2)^2))))*'Results'!$B$8),"")</x:f>
        <x:v>0.5034687529026891</x:v>
      </x:c>
      <x:c r="K953" t="n">
        <x:f>IF(AND(ISNUMBER('Results'!B7),ISNUMBER('Results'!C7),ISNUMBER('Results'!$B$8),ISNUMBER('Inputs'!$B$6),ISNUMBER('Inputs'!$B$7),ISNUMBER('Inputs'!$B$8),ISNUMBER('Inputs'!$B$9),ISNUMBER('Inputs'!$B$10),ISNUMBER('Inputs'!$B$21),ISNUMBER('Inputs'!$B$24),ISNUMBER('Inputs'!$B$28)),((('Results'!B7*(1-'Inputs'!$B$24)*(0.5*((((953-43)*MAX('Inputs'!$B$33,'Inputs'!$B$29+'Inputs'!$B$31+'Inputs'!$B$32,'Inputs'!$B$30+'Inputs'!$B$31+'Inputs'!$B$32)/1000+'Inputs'!$B$21)+'Inputs'!$B$7)/SQRT((((953-43)*MAX('Inputs'!$B$33,'Inputs'!$B$29+'Inputs'!$B$31+'Inputs'!$B$32,'Inputs'!$B$30+'Inputs'!$B$31+'Inputs'!$B$32)/1000+'Inputs'!$B$21)+'Inputs'!$B$7)^2+('Inputs'!$B$6/2)^2)-(((953-43)*MAX('Inputs'!$B$33,'Inputs'!$B$29+'Inputs'!$B$31+'Inputs'!$B$32,'Inputs'!$B$30+'Inputs'!$B$31+'Inputs'!$B$32)/1000+'Inputs'!$B$21))/SQRT((((953-43)*MAX('Inputs'!$B$33,'Inputs'!$B$29+'Inputs'!$B$31+'Inputs'!$B$32,'Inputs'!$B$30+'Inputs'!$B$31+'Inputs'!$B$32)/1000+'Inputs'!$B$21))^2+('Inputs'!$B$6/2)^2)))-'Results'!C7*(1+'Inputs'!$B$24)*(0.5*((((953-43)*MAX('Inputs'!$B$33,'Inputs'!$B$29+'Inputs'!$B$31+'Inputs'!$B$32,'Inputs'!$B$30+'Inputs'!$B$31+'Inputs'!$B$32)/1000+'Inputs'!$B$21+'Inputs'!$B$7+'Inputs'!$B$10)+'Inputs'!$B$9)/SQRT((((953-43)*MAX('Inputs'!$B$33,'Inputs'!$B$29+'Inputs'!$B$31+'Inputs'!$B$32,'Inputs'!$B$30+'Inputs'!$B$31+'Inputs'!$B$32)/1000+'Inputs'!$B$21+'Inputs'!$B$7+'Inputs'!$B$10)+'Inputs'!$B$9)^2+('Inputs'!$B$8/2)^2)-(((953-43)*MAX('Inputs'!$B$33,'Inputs'!$B$29+'Inputs'!$B$31+'Inputs'!$B$32,'Inputs'!$B$30+'Inputs'!$B$31+'Inputs'!$B$32)/1000+'Inputs'!$B$21+'Inputs'!$B$7+'Inputs'!$B$10))/SQRT((((953-43)*MAX('Inputs'!$B$33,'Inputs'!$B$29+'Inputs'!$B$31+'Inputs'!$B$32,'Inputs'!$B$30+'Inputs'!$B$31+'Inputs'!$B$32)/1000+'Inputs'!$B$21+'Inputs'!$B$7+'Inputs'!$B$10))^2+('Inputs'!$B$8/2)^2))))*'Results'!$B$8)-'Inputs'!$B$28*ABS((('Results'!B7*(1-'Inputs'!$B$24)*(0.5*((((953-43)*MAX('Inputs'!$B$33,'Inputs'!$B$29+'Inputs'!$B$31+'Inputs'!$B$32,'Inputs'!$B$30+'Inputs'!$B$31+'Inputs'!$B$32)/1000+'Inputs'!$B$21)+'Inputs'!$B$7)/SQRT((((953-43)*MAX('Inputs'!$B$33,'Inputs'!$B$29+'Inputs'!$B$31+'Inputs'!$B$32,'Inputs'!$B$30+'Inputs'!$B$31+'Inputs'!$B$32)/1000+'Inputs'!$B$21)+'Inputs'!$B$7)^2+('Inputs'!$B$6/2)^2)-(((953-43)*MAX('Inputs'!$B$33,'Inputs'!$B$29+'Inputs'!$B$31+'Inputs'!$B$32,'Inputs'!$B$30+'Inputs'!$B$31+'Inputs'!$B$32)/1000+'Inputs'!$B$21))/SQRT((((953-43)*MAX('Inputs'!$B$33,'Inputs'!$B$29+'Inputs'!$B$31+'Inputs'!$B$32,'Inputs'!$B$30+'Inputs'!$B$31+'Inputs'!$B$32)/1000+'Inputs'!$B$21))^2+('Inputs'!$B$6/2)^2)))-'Results'!C7*(1+'Inputs'!$B$24)*(0.5*((((953-43)*MAX('Inputs'!$B$33,'Inputs'!$B$29+'Inputs'!$B$31+'Inputs'!$B$32,'Inputs'!$B$30+'Inputs'!$B$31+'Inputs'!$B$32)/1000+'Inputs'!$B$21+'Inputs'!$B$7+'Inputs'!$B$10)+'Inputs'!$B$9)/SQRT((((953-43)*MAX('Inputs'!$B$33,'Inputs'!$B$29+'Inputs'!$B$31+'Inputs'!$B$32,'Inputs'!$B$30+'Inputs'!$B$31+'Inputs'!$B$32)/1000+'Inputs'!$B$21+'Inputs'!$B$7+'Inputs'!$B$10)+'Inputs'!$B$9)^2+('Inputs'!$B$8/2)^2)-(((953-43)*MAX('Inputs'!$B$33,'Inputs'!$B$29+'Inputs'!$B$31+'Inputs'!$B$32,'Inputs'!$B$30+'Inputs'!$B$31+'Inputs'!$B$32)/1000+'Inputs'!$B$21+'Inputs'!$B$7+'Inputs'!$B$10))/SQRT((((953-43)*MAX('Inputs'!$B$33,'Inputs'!$B$29+'Inputs'!$B$31+'Inputs'!$B$32,'Inputs'!$B$30+'Inputs'!$B$31+'Inputs'!$B$32)/1000+'Inputs'!$B$21+'Inputs'!$B$7+'Inputs'!$B$10))^2+('Inputs'!$B$8/2)^2))))*'Results'!$B$8))),"")</x:f>
        <x:v>0.42558872529714875</x:v>
      </x:c>
      <x:c r="L953" t="n">
        <x:f>IF(AND(ISNUMBER('Results'!B7),ISNUMBER('Results'!C7),ISNUMBER('Results'!$B$8),ISNUMBER('Inputs'!$B$6),ISNUMBER('Inputs'!$B$7),ISNUMBER('Inputs'!$B$8),ISNUMBER('Inputs'!$B$9),ISNUMBER('Inputs'!$B$10),ISNUMBER('Inputs'!$B$21),ISNUMBER('Inputs'!$B$24),ISNUMBER('Inputs'!$B$28)),((('Results'!B7*(1+'Inputs'!$B$24)*(0.5*((((953-43)*MAX('Inputs'!$B$33,'Inputs'!$B$29+'Inputs'!$B$31+'Inputs'!$B$32,'Inputs'!$B$30+'Inputs'!$B$31+'Inputs'!$B$32)/1000+'Inputs'!$B$21)+'Inputs'!$B$7)/SQRT((((953-43)*MAX('Inputs'!$B$33,'Inputs'!$B$29+'Inputs'!$B$31+'Inputs'!$B$32,'Inputs'!$B$30+'Inputs'!$B$31+'Inputs'!$B$32)/1000+'Inputs'!$B$21)+'Inputs'!$B$7)^2+('Inputs'!$B$6/2)^2)-(((953-43)*MAX('Inputs'!$B$33,'Inputs'!$B$29+'Inputs'!$B$31+'Inputs'!$B$32,'Inputs'!$B$30+'Inputs'!$B$31+'Inputs'!$B$32)/1000+'Inputs'!$B$21))/SQRT((((953-43)*MAX('Inputs'!$B$33,'Inputs'!$B$29+'Inputs'!$B$31+'Inputs'!$B$32,'Inputs'!$B$30+'Inputs'!$B$31+'Inputs'!$B$32)/1000+'Inputs'!$B$21))^2+('Inputs'!$B$6/2)^2)))-'Results'!C7*(1-'Inputs'!$B$24)*(0.5*((((953-43)*MAX('Inputs'!$B$33,'Inputs'!$B$29+'Inputs'!$B$31+'Inputs'!$B$32,'Inputs'!$B$30+'Inputs'!$B$31+'Inputs'!$B$32)/1000+'Inputs'!$B$21+'Inputs'!$B$7+'Inputs'!$B$10)+'Inputs'!$B$9)/SQRT((((953-43)*MAX('Inputs'!$B$33,'Inputs'!$B$29+'Inputs'!$B$31+'Inputs'!$B$32,'Inputs'!$B$30+'Inputs'!$B$31+'Inputs'!$B$32)/1000+'Inputs'!$B$21+'Inputs'!$B$7+'Inputs'!$B$10)+'Inputs'!$B$9)^2+('Inputs'!$B$8/2)^2)-(((953-43)*MAX('Inputs'!$B$33,'Inputs'!$B$29+'Inputs'!$B$31+'Inputs'!$B$32,'Inputs'!$B$30+'Inputs'!$B$31+'Inputs'!$B$32)/1000+'Inputs'!$B$21+'Inputs'!$B$7+'Inputs'!$B$10))/SQRT((((953-43)*MAX('Inputs'!$B$33,'Inputs'!$B$29+'Inputs'!$B$31+'Inputs'!$B$32,'Inputs'!$B$30+'Inputs'!$B$31+'Inputs'!$B$32)/1000+'Inputs'!$B$21+'Inputs'!$B$7+'Inputs'!$B$10))^2+('Inputs'!$B$8/2)^2))))*'Results'!$B$8)+'Inputs'!$B$28*ABS((('Results'!B7*(1+'Inputs'!$B$24)*(0.5*((((953-43)*MAX('Inputs'!$B$33,'Inputs'!$B$29+'Inputs'!$B$31+'Inputs'!$B$32,'Inputs'!$B$30+'Inputs'!$B$31+'Inputs'!$B$32)/1000+'Inputs'!$B$21)+'Inputs'!$B$7)/SQRT((((953-43)*MAX('Inputs'!$B$33,'Inputs'!$B$29+'Inputs'!$B$31+'Inputs'!$B$32,'Inputs'!$B$30+'Inputs'!$B$31+'Inputs'!$B$32)/1000+'Inputs'!$B$21)+'Inputs'!$B$7)^2+('Inputs'!$B$6/2)^2)-(((953-43)*MAX('Inputs'!$B$33,'Inputs'!$B$29+'Inputs'!$B$31+'Inputs'!$B$32,'Inputs'!$B$30+'Inputs'!$B$31+'Inputs'!$B$32)/1000+'Inputs'!$B$21))/SQRT((((953-43)*MAX('Inputs'!$B$33,'Inputs'!$B$29+'Inputs'!$B$31+'Inputs'!$B$32,'Inputs'!$B$30+'Inputs'!$B$31+'Inputs'!$B$32)/1000+'Inputs'!$B$21))^2+('Inputs'!$B$6/2)^2)))-'Results'!C7*(1-'Inputs'!$B$24)*(0.5*((((953-43)*MAX('Inputs'!$B$33,'Inputs'!$B$29+'Inputs'!$B$31+'Inputs'!$B$32,'Inputs'!$B$30+'Inputs'!$B$31+'Inputs'!$B$32)/1000+'Inputs'!$B$21+'Inputs'!$B$7+'Inputs'!$B$10)+'Inputs'!$B$9)/SQRT((((953-43)*MAX('Inputs'!$B$33,'Inputs'!$B$29+'Inputs'!$B$31+'Inputs'!$B$32,'Inputs'!$B$30+'Inputs'!$B$31+'Inputs'!$B$32)/1000+'Inputs'!$B$21+'Inputs'!$B$7+'Inputs'!$B$10)+'Inputs'!$B$9)^2+('Inputs'!$B$8/2)^2)-(((953-43)*MAX('Inputs'!$B$33,'Inputs'!$B$29+'Inputs'!$B$31+'Inputs'!$B$32,'Inputs'!$B$30+'Inputs'!$B$31+'Inputs'!$B$32)/1000+'Inputs'!$B$21+'Inputs'!$B$7+'Inputs'!$B$10))/SQRT((((953-43)*MAX('Inputs'!$B$33,'Inputs'!$B$29+'Inputs'!$B$31+'Inputs'!$B$32,'Inputs'!$B$30+'Inputs'!$B$31+'Inputs'!$B$32)/1000+'Inputs'!$B$21+'Inputs'!$B$7+'Inputs'!$B$10))^2+('Inputs'!$B$8/2)^2))))*'Results'!$B$8))),"")</x:f>
        <x:v>0.5868968426093248</x:v>
      </x:c>
      <x:c r="M953" t="n">
        <x:f>IF(AND(ISNUMBER('Results'!C7),ISNUMBER('Results'!B7),ISNUMBER('Results'!$B$8),ISNUMBER('Inputs'!$B$6),ISNUMBER('Inputs'!$B$7),ISNUMBER('Inputs'!$B$8),ISNUMBER('Inputs'!$B$9),ISNUMBER('Inputs'!$B$10),ISNUMBER('Inputs'!$B$21),ISNUMBER('Inputs'!$B$24),ISNUMBER('Inputs'!$B$28)),(('Results'!C7*(0.5*((((953-43)*MAX('Inputs'!$B$33,'Inputs'!$B$29+'Inputs'!$B$31+'Inputs'!$B$32,'Inputs'!$B$30+'Inputs'!$B$31+'Inputs'!$B$32)/1000+'Inputs'!$B$21)+'Inputs'!$B$9)/SQRT((((953-43)*MAX('Inputs'!$B$33,'Inputs'!$B$29+'Inputs'!$B$31+'Inputs'!$B$32,'Inputs'!$B$30+'Inputs'!$B$31+'Inputs'!$B$32)/1000+'Inputs'!$B$21)+'Inputs'!$B$9)^2+('Inputs'!$B$8/2)^2)-(((953-43)*MAX('Inputs'!$B$33,'Inputs'!$B$29+'Inputs'!$B$31+'Inputs'!$B$32,'Inputs'!$B$30+'Inputs'!$B$31+'Inputs'!$B$32)/1000+'Inputs'!$B$21))/SQRT((((953-43)*MAX('Inputs'!$B$33,'Inputs'!$B$29+'Inputs'!$B$31+'Inputs'!$B$32,'Inputs'!$B$30+'Inputs'!$B$31+'Inputs'!$B$32)/1000+'Inputs'!$B$21))^2+('Inputs'!$B$8/2)^2)))-'Results'!B7*(0.5*((((953-43)*MAX('Inputs'!$B$33,'Inputs'!$B$29+'Inputs'!$B$31+'Inputs'!$B$32,'Inputs'!$B$30+'Inputs'!$B$31+'Inputs'!$B$32)/1000+'Inputs'!$B$21+'Inputs'!$B$9+'Inputs'!$B$10)+'Inputs'!$B$7)/SQRT((((953-43)*MAX('Inputs'!$B$33,'Inputs'!$B$29+'Inputs'!$B$31+'Inputs'!$B$32,'Inputs'!$B$30+'Inputs'!$B$31+'Inputs'!$B$32)/1000+'Inputs'!$B$21+'Inputs'!$B$9+'Inputs'!$B$10)+'Inputs'!$B$7)^2+('Inputs'!$B$6/2)^2)-(((953-43)*MAX('Inputs'!$B$33,'Inputs'!$B$29+'Inputs'!$B$31+'Inputs'!$B$32,'Inputs'!$B$30+'Inputs'!$B$31+'Inputs'!$B$32)/1000+'Inputs'!$B$21+'Inputs'!$B$9+'Inputs'!$B$10))/SQRT((((953-43)*MAX('Inputs'!$B$33,'Inputs'!$B$29+'Inputs'!$B$31+'Inputs'!$B$32,'Inputs'!$B$30+'Inputs'!$B$31+'Inputs'!$B$32)/1000+'Inputs'!$B$21+'Inputs'!$B$9+'Inputs'!$B$10))^2+('Inputs'!$B$6/2)^2))))*'Results'!$B$8),"")</x:f>
        <x:v>0.44752475183099183</x:v>
      </x:c>
      <x:c r="N953" t="n">
        <x:f>IF(AND(ISNUMBER('Results'!C7),ISNUMBER('Results'!B7),ISNUMBER('Results'!$B$8),ISNUMBER('Inputs'!$B$6),ISNUMBER('Inputs'!$B$7),ISNUMBER('Inputs'!$B$8),ISNUMBER('Inputs'!$B$9),ISNUMBER('Inputs'!$B$10),ISNUMBER('Inputs'!$B$21),ISNUMBER('Inputs'!$B$24),ISNUMBER('Inputs'!$B$28)),((('Results'!C7*(1-'Inputs'!$B$24)*(0.5*((((953-43)*MAX('Inputs'!$B$33,'Inputs'!$B$29+'Inputs'!$B$31+'Inputs'!$B$32,'Inputs'!$B$30+'Inputs'!$B$31+'Inputs'!$B$32)/1000+'Inputs'!$B$21)+'Inputs'!$B$9)/SQRT((((953-43)*MAX('Inputs'!$B$33,'Inputs'!$B$29+'Inputs'!$B$31+'Inputs'!$B$32,'Inputs'!$B$30+'Inputs'!$B$31+'Inputs'!$B$32)/1000+'Inputs'!$B$21)+'Inputs'!$B$9)^2+('Inputs'!$B$8/2)^2)-(((953-43)*MAX('Inputs'!$B$33,'Inputs'!$B$29+'Inputs'!$B$31+'Inputs'!$B$32,'Inputs'!$B$30+'Inputs'!$B$31+'Inputs'!$B$32)/1000+'Inputs'!$B$21))/SQRT((((953-43)*MAX('Inputs'!$B$33,'Inputs'!$B$29+'Inputs'!$B$31+'Inputs'!$B$32,'Inputs'!$B$30+'Inputs'!$B$31+'Inputs'!$B$32)/1000+'Inputs'!$B$21))^2+('Inputs'!$B$8/2)^2)))-'Results'!B7*(1+'Inputs'!$B$24)*(0.5*((((953-43)*MAX('Inputs'!$B$33,'Inputs'!$B$29+'Inputs'!$B$31+'Inputs'!$B$32,'Inputs'!$B$30+'Inputs'!$B$31+'Inputs'!$B$32)/1000+'Inputs'!$B$21+'Inputs'!$B$9+'Inputs'!$B$10)+'Inputs'!$B$7)/SQRT((((953-43)*MAX('Inputs'!$B$33,'Inputs'!$B$29+'Inputs'!$B$31+'Inputs'!$B$32,'Inputs'!$B$30+'Inputs'!$B$31+'Inputs'!$B$32)/1000+'Inputs'!$B$21+'Inputs'!$B$9+'Inputs'!$B$10)+'Inputs'!$B$7)^2+('Inputs'!$B$6/2)^2)-(((953-43)*MAX('Inputs'!$B$33,'Inputs'!$B$29+'Inputs'!$B$31+'Inputs'!$B$32,'Inputs'!$B$30+'Inputs'!$B$31+'Inputs'!$B$32)/1000+'Inputs'!$B$21+'Inputs'!$B$9+'Inputs'!$B$10))/SQRT((((953-43)*MAX('Inputs'!$B$33,'Inputs'!$B$29+'Inputs'!$B$31+'Inputs'!$B$32,'Inputs'!$B$30+'Inputs'!$B$31+'Inputs'!$B$32)/1000+'Inputs'!$B$21+'Inputs'!$B$9+'Inputs'!$B$10))^2+('Inputs'!$B$6/2)^2))))*'Results'!$B$8)-'Inputs'!$B$28*ABS((('Results'!C7*(1-'Inputs'!$B$24)*(0.5*((((953-43)*MAX('Inputs'!$B$33,'Inputs'!$B$29+'Inputs'!$B$31+'Inputs'!$B$32,'Inputs'!$B$30+'Inputs'!$B$31+'Inputs'!$B$32)/1000+'Inputs'!$B$21)+'Inputs'!$B$9)/SQRT((((953-43)*MAX('Inputs'!$B$33,'Inputs'!$B$29+'Inputs'!$B$31+'Inputs'!$B$32,'Inputs'!$B$30+'Inputs'!$B$31+'Inputs'!$B$32)/1000+'Inputs'!$B$21)+'Inputs'!$B$9)^2+('Inputs'!$B$8/2)^2)-(((953-43)*MAX('Inputs'!$B$33,'Inputs'!$B$29+'Inputs'!$B$31+'Inputs'!$B$32,'Inputs'!$B$30+'Inputs'!$B$31+'Inputs'!$B$32)/1000+'Inputs'!$B$21))/SQRT((((953-43)*MAX('Inputs'!$B$33,'Inputs'!$B$29+'Inputs'!$B$31+'Inputs'!$B$32,'Inputs'!$B$30+'Inputs'!$B$31+'Inputs'!$B$32)/1000+'Inputs'!$B$21))^2+('Inputs'!$B$8/2)^2)))-'Results'!B7*(1+'Inputs'!$B$24)*(0.5*((((953-43)*MAX('Inputs'!$B$33,'Inputs'!$B$29+'Inputs'!$B$31+'Inputs'!$B$32,'Inputs'!$B$30+'Inputs'!$B$31+'Inputs'!$B$32)/1000+'Inputs'!$B$21+'Inputs'!$B$9+'Inputs'!$B$10)+'Inputs'!$B$7)/SQRT((((953-43)*MAX('Inputs'!$B$33,'Inputs'!$B$29+'Inputs'!$B$31+'Inputs'!$B$32,'Inputs'!$B$30+'Inputs'!$B$31+'Inputs'!$B$32)/1000+'Inputs'!$B$21+'Inputs'!$B$9+'Inputs'!$B$10)+'Inputs'!$B$7)^2+('Inputs'!$B$6/2)^2)-(((953-43)*MAX('Inputs'!$B$33,'Inputs'!$B$29+'Inputs'!$B$31+'Inputs'!$B$32,'Inputs'!$B$30+'Inputs'!$B$31+'Inputs'!$B$32)/1000+'Inputs'!$B$21+'Inputs'!$B$9+'Inputs'!$B$10))/SQRT((((953-43)*MAX('Inputs'!$B$33,'Inputs'!$B$29+'Inputs'!$B$31+'Inputs'!$B$32,'Inputs'!$B$30+'Inputs'!$B$31+'Inputs'!$B$32)/1000+'Inputs'!$B$21+'Inputs'!$B$9+'Inputs'!$B$10))^2+('Inputs'!$B$6/2)^2))))*'Results'!$B$8))),"")</x:f>
        <x:v>0.37262443818398505</x:v>
      </x:c>
      <x:c r="O953" t="n">
        <x:f>IF(AND(ISNUMBER('Results'!C7),ISNUMBER('Results'!B7),ISNUMBER('Results'!$B$8),ISNUMBER('Inputs'!$B$6),ISNUMBER('Inputs'!$B$7),ISNUMBER('Inputs'!$B$8),ISNUMBER('Inputs'!$B$9),ISNUMBER('Inputs'!$B$10),ISNUMBER('Inputs'!$B$21),ISNUMBER('Inputs'!$B$24),ISNUMBER('Inputs'!$B$28)),((('Results'!C7*(1+'Inputs'!$B$24)*(0.5*((((953-43)*MAX('Inputs'!$B$33,'Inputs'!$B$29+'Inputs'!$B$31+'Inputs'!$B$32,'Inputs'!$B$30+'Inputs'!$B$31+'Inputs'!$B$32)/1000+'Inputs'!$B$21)+'Inputs'!$B$9)/SQRT((((953-43)*MAX('Inputs'!$B$33,'Inputs'!$B$29+'Inputs'!$B$31+'Inputs'!$B$32,'Inputs'!$B$30+'Inputs'!$B$31+'Inputs'!$B$32)/1000+'Inputs'!$B$21)+'Inputs'!$B$9)^2+('Inputs'!$B$8/2)^2)-(((953-43)*MAX('Inputs'!$B$33,'Inputs'!$B$29+'Inputs'!$B$31+'Inputs'!$B$32,'Inputs'!$B$30+'Inputs'!$B$31+'Inputs'!$B$32)/1000+'Inputs'!$B$21))/SQRT((((953-43)*MAX('Inputs'!$B$33,'Inputs'!$B$29+'Inputs'!$B$31+'Inputs'!$B$32,'Inputs'!$B$30+'Inputs'!$B$31+'Inputs'!$B$32)/1000+'Inputs'!$B$21))^2+('Inputs'!$B$8/2)^2)))-'Results'!B7*(1-'Inputs'!$B$24)*(0.5*((((953-43)*MAX('Inputs'!$B$33,'Inputs'!$B$29+'Inputs'!$B$31+'Inputs'!$B$32,'Inputs'!$B$30+'Inputs'!$B$31+'Inputs'!$B$32)/1000+'Inputs'!$B$21+'Inputs'!$B$9+'Inputs'!$B$10)+'Inputs'!$B$7)/SQRT((((953-43)*MAX('Inputs'!$B$33,'Inputs'!$B$29+'Inputs'!$B$31+'Inputs'!$B$32,'Inputs'!$B$30+'Inputs'!$B$31+'Inputs'!$B$32)/1000+'Inputs'!$B$21+'Inputs'!$B$9+'Inputs'!$B$10)+'Inputs'!$B$7)^2+('Inputs'!$B$6/2)^2)-(((953-43)*MAX('Inputs'!$B$33,'Inputs'!$B$29+'Inputs'!$B$31+'Inputs'!$B$32,'Inputs'!$B$30+'Inputs'!$B$31+'Inputs'!$B$32)/1000+'Inputs'!$B$21+'Inputs'!$B$9+'Inputs'!$B$10))/SQRT((((953-43)*MAX('Inputs'!$B$33,'Inputs'!$B$29+'Inputs'!$B$31+'Inputs'!$B$32,'Inputs'!$B$30+'Inputs'!$B$31+'Inputs'!$B$32)/1000+'Inputs'!$B$21+'Inputs'!$B$9+'Inputs'!$B$10))^2+('Inputs'!$B$6/2)^2))))*'Results'!$B$8)+'Inputs'!$B$28*ABS((('Results'!C7*(1+'Inputs'!$B$24)*(0.5*((((953-43)*MAX('Inputs'!$B$33,'Inputs'!$B$29+'Inputs'!$B$31+'Inputs'!$B$32,'Inputs'!$B$30+'Inputs'!$B$31+'Inputs'!$B$32)/1000+'Inputs'!$B$21)+'Inputs'!$B$9)/SQRT((((953-43)*MAX('Inputs'!$B$33,'Inputs'!$B$29+'Inputs'!$B$31+'Inputs'!$B$32,'Inputs'!$B$30+'Inputs'!$B$31+'Inputs'!$B$32)/1000+'Inputs'!$B$21)+'Inputs'!$B$9)^2+('Inputs'!$B$8/2)^2)-(((953-43)*MAX('Inputs'!$B$33,'Inputs'!$B$29+'Inputs'!$B$31+'Inputs'!$B$32,'Inputs'!$B$30+'Inputs'!$B$31+'Inputs'!$B$32)/1000+'Inputs'!$B$21))/SQRT((((953-43)*MAX('Inputs'!$B$33,'Inputs'!$B$29+'Inputs'!$B$31+'Inputs'!$B$32,'Inputs'!$B$30+'Inputs'!$B$31+'Inputs'!$B$32)/1000+'Inputs'!$B$21))^2+('Inputs'!$B$8/2)^2)))-'Results'!B7*(1-'Inputs'!$B$24)*(0.5*((((953-43)*MAX('Inputs'!$B$33,'Inputs'!$B$29+'Inputs'!$B$31+'Inputs'!$B$32,'Inputs'!$B$30+'Inputs'!$B$31+'Inputs'!$B$32)/1000+'Inputs'!$B$21+'Inputs'!$B$9+'Inputs'!$B$10)+'Inputs'!$B$7)/SQRT((((953-43)*MAX('Inputs'!$B$33,'Inputs'!$B$29+'Inputs'!$B$31+'Inputs'!$B$32,'Inputs'!$B$30+'Inputs'!$B$31+'Inputs'!$B$32)/1000+'Inputs'!$B$21+'Inputs'!$B$9+'Inputs'!$B$10)+'Inputs'!$B$7)^2+('Inputs'!$B$6/2)^2)-(((953-43)*MAX('Inputs'!$B$33,'Inputs'!$B$29+'Inputs'!$B$31+'Inputs'!$B$32,'Inputs'!$B$30+'Inputs'!$B$31+'Inputs'!$B$32)/1000+'Inputs'!$B$21+'Inputs'!$B$9+'Inputs'!$B$10))/SQRT((((953-43)*MAX('Inputs'!$B$33,'Inputs'!$B$29+'Inputs'!$B$31+'Inputs'!$B$32,'Inputs'!$B$30+'Inputs'!$B$31+'Inputs'!$B$32)/1000+'Inputs'!$B$21+'Inputs'!$B$9+'Inputs'!$B$10))^2+('Inputs'!$B$6/2)^2))))*'Results'!$B$8))),"")</x:f>
        <x:v>0.5279539155890994</x:v>
      </x:c>
      <x:c r="P953" t="n">
        <x:f>IF(AND(MAX(J953,J952)&gt;0,J953&gt;J952+0.00000001),1,0)</x:f>
        <x:v>0</x:v>
      </x:c>
      <x:c r="Q953" t="n">
        <x:f>IF(AND(MAX(K953,K952)&gt;0,K953&gt;K952+0.00000001),1,0)</x:f>
        <x:v>0</x:v>
      </x:c>
      <x:c r="R953" t="n">
        <x:f>IF(AND(MAX(L953,L952)&gt;0,L953&gt;L952+0.00000001),1,0)</x:f>
        <x:v>0</x:v>
      </x:c>
      <x:c r="S953" t="n">
        <x:f>IF(AND(MAX(M953,M952)&gt;0,M953&gt;M952+0.00000001),1,0)</x:f>
        <x:v>0</x:v>
      </x:c>
      <x:c r="T953" t="n">
        <x:f>IF(AND(MAX(N953,N952)&gt;0,N953&gt;N952+0.00000001),1,0)</x:f>
        <x:v>0</x:v>
      </x:c>
      <x:c r="U953" t="n">
        <x:f>IF(AND(MAX(O953,O952)&gt;0,O953&gt;O952+0.00000001),1,0)</x:f>
        <x:v>0</x:v>
      </x:c>
    </x:row>
    <x:row r="954">
      <x:c r="J954" t="n">
        <x:f>IF(AND(ISNUMBER('Results'!B7),ISNUMBER('Results'!C7),ISNUMBER('Results'!$B$8),ISNUMBER('Inputs'!$B$6),ISNUMBER('Inputs'!$B$7),ISNUMBER('Inputs'!$B$8),ISNUMBER('Inputs'!$B$9),ISNUMBER('Inputs'!$B$10),ISNUMBER('Inputs'!$B$21),ISNUMBER('Inputs'!$B$24),ISNUMBER('Inputs'!$B$28)),(('Results'!B7*(0.5*((((954-43)*MAX('Inputs'!$B$33,'Inputs'!$B$29+'Inputs'!$B$31+'Inputs'!$B$32,'Inputs'!$B$30+'Inputs'!$B$31+'Inputs'!$B$32)/1000+'Inputs'!$B$21)+'Inputs'!$B$7)/SQRT((((954-43)*MAX('Inputs'!$B$33,'Inputs'!$B$29+'Inputs'!$B$31+'Inputs'!$B$32,'Inputs'!$B$30+'Inputs'!$B$31+'Inputs'!$B$32)/1000+'Inputs'!$B$21)+'Inputs'!$B$7)^2+('Inputs'!$B$6/2)^2)-(((954-43)*MAX('Inputs'!$B$33,'Inputs'!$B$29+'Inputs'!$B$31+'Inputs'!$B$32,'Inputs'!$B$30+'Inputs'!$B$31+'Inputs'!$B$32)/1000+'Inputs'!$B$21))/SQRT((((954-43)*MAX('Inputs'!$B$33,'Inputs'!$B$29+'Inputs'!$B$31+'Inputs'!$B$32,'Inputs'!$B$30+'Inputs'!$B$31+'Inputs'!$B$32)/1000+'Inputs'!$B$21))^2+('Inputs'!$B$6/2)^2)))-'Results'!C7*(0.5*((((954-43)*MAX('Inputs'!$B$33,'Inputs'!$B$29+'Inputs'!$B$31+'Inputs'!$B$32,'Inputs'!$B$30+'Inputs'!$B$31+'Inputs'!$B$32)/1000+'Inputs'!$B$21+'Inputs'!$B$7+'Inputs'!$B$10)+'Inputs'!$B$9)/SQRT((((954-43)*MAX('Inputs'!$B$33,'Inputs'!$B$29+'Inputs'!$B$31+'Inputs'!$B$32,'Inputs'!$B$30+'Inputs'!$B$31+'Inputs'!$B$32)/1000+'Inputs'!$B$21+'Inputs'!$B$7+'Inputs'!$B$10)+'Inputs'!$B$9)^2+('Inputs'!$B$8/2)^2)-(((954-43)*MAX('Inputs'!$B$33,'Inputs'!$B$29+'Inputs'!$B$31+'Inputs'!$B$32,'Inputs'!$B$30+'Inputs'!$B$31+'Inputs'!$B$32)/1000+'Inputs'!$B$21+'Inputs'!$B$7+'Inputs'!$B$10))/SQRT((((954-43)*MAX('Inputs'!$B$33,'Inputs'!$B$29+'Inputs'!$B$31+'Inputs'!$B$32,'Inputs'!$B$30+'Inputs'!$B$31+'Inputs'!$B$32)/1000+'Inputs'!$B$21+'Inputs'!$B$7+'Inputs'!$B$10))^2+('Inputs'!$B$8/2)^2))))*'Results'!$B$8),"")</x:f>
        <x:v>0.5014651895768572</x:v>
      </x:c>
      <x:c r="K954" t="n">
        <x:f>IF(AND(ISNUMBER('Results'!B7),ISNUMBER('Results'!C7),ISNUMBER('Results'!$B$8),ISNUMBER('Inputs'!$B$6),ISNUMBER('Inputs'!$B$7),ISNUMBER('Inputs'!$B$8),ISNUMBER('Inputs'!$B$9),ISNUMBER('Inputs'!$B$10),ISNUMBER('Inputs'!$B$21),ISNUMBER('Inputs'!$B$24),ISNUMBER('Inputs'!$B$28)),((('Results'!B7*(1-'Inputs'!$B$24)*(0.5*((((954-43)*MAX('Inputs'!$B$33,'Inputs'!$B$29+'Inputs'!$B$31+'Inputs'!$B$32,'Inputs'!$B$30+'Inputs'!$B$31+'Inputs'!$B$32)/1000+'Inputs'!$B$21)+'Inputs'!$B$7)/SQRT((((954-43)*MAX('Inputs'!$B$33,'Inputs'!$B$29+'Inputs'!$B$31+'Inputs'!$B$32,'Inputs'!$B$30+'Inputs'!$B$31+'Inputs'!$B$32)/1000+'Inputs'!$B$21)+'Inputs'!$B$7)^2+('Inputs'!$B$6/2)^2)-(((954-43)*MAX('Inputs'!$B$33,'Inputs'!$B$29+'Inputs'!$B$31+'Inputs'!$B$32,'Inputs'!$B$30+'Inputs'!$B$31+'Inputs'!$B$32)/1000+'Inputs'!$B$21))/SQRT((((954-43)*MAX('Inputs'!$B$33,'Inputs'!$B$29+'Inputs'!$B$31+'Inputs'!$B$32,'Inputs'!$B$30+'Inputs'!$B$31+'Inputs'!$B$32)/1000+'Inputs'!$B$21))^2+('Inputs'!$B$6/2)^2)))-'Results'!C7*(1+'Inputs'!$B$24)*(0.5*((((954-43)*MAX('Inputs'!$B$33,'Inputs'!$B$29+'Inputs'!$B$31+'Inputs'!$B$32,'Inputs'!$B$30+'Inputs'!$B$31+'Inputs'!$B$32)/1000+'Inputs'!$B$21+'Inputs'!$B$7+'Inputs'!$B$10)+'Inputs'!$B$9)/SQRT((((954-43)*MAX('Inputs'!$B$33,'Inputs'!$B$29+'Inputs'!$B$31+'Inputs'!$B$32,'Inputs'!$B$30+'Inputs'!$B$31+'Inputs'!$B$32)/1000+'Inputs'!$B$21+'Inputs'!$B$7+'Inputs'!$B$10)+'Inputs'!$B$9)^2+('Inputs'!$B$8/2)^2)-(((954-43)*MAX('Inputs'!$B$33,'Inputs'!$B$29+'Inputs'!$B$31+'Inputs'!$B$32,'Inputs'!$B$30+'Inputs'!$B$31+'Inputs'!$B$32)/1000+'Inputs'!$B$21+'Inputs'!$B$7+'Inputs'!$B$10))/SQRT((((954-43)*MAX('Inputs'!$B$33,'Inputs'!$B$29+'Inputs'!$B$31+'Inputs'!$B$32,'Inputs'!$B$30+'Inputs'!$B$31+'Inputs'!$B$32)/1000+'Inputs'!$B$21+'Inputs'!$B$7+'Inputs'!$B$10))^2+('Inputs'!$B$8/2)^2))))*'Results'!$B$8)-'Inputs'!$B$28*ABS((('Results'!B7*(1-'Inputs'!$B$24)*(0.5*((((954-43)*MAX('Inputs'!$B$33,'Inputs'!$B$29+'Inputs'!$B$31+'Inputs'!$B$32,'Inputs'!$B$30+'Inputs'!$B$31+'Inputs'!$B$32)/1000+'Inputs'!$B$21)+'Inputs'!$B$7)/SQRT((((954-43)*MAX('Inputs'!$B$33,'Inputs'!$B$29+'Inputs'!$B$31+'Inputs'!$B$32,'Inputs'!$B$30+'Inputs'!$B$31+'Inputs'!$B$32)/1000+'Inputs'!$B$21)+'Inputs'!$B$7)^2+('Inputs'!$B$6/2)^2)-(((954-43)*MAX('Inputs'!$B$33,'Inputs'!$B$29+'Inputs'!$B$31+'Inputs'!$B$32,'Inputs'!$B$30+'Inputs'!$B$31+'Inputs'!$B$32)/1000+'Inputs'!$B$21))/SQRT((((954-43)*MAX('Inputs'!$B$33,'Inputs'!$B$29+'Inputs'!$B$31+'Inputs'!$B$32,'Inputs'!$B$30+'Inputs'!$B$31+'Inputs'!$B$32)/1000+'Inputs'!$B$21))^2+('Inputs'!$B$6/2)^2)))-'Results'!C7*(1+'Inputs'!$B$24)*(0.5*((((954-43)*MAX('Inputs'!$B$33,'Inputs'!$B$29+'Inputs'!$B$31+'Inputs'!$B$32,'Inputs'!$B$30+'Inputs'!$B$31+'Inputs'!$B$32)/1000+'Inputs'!$B$21+'Inputs'!$B$7+'Inputs'!$B$10)+'Inputs'!$B$9)/SQRT((((954-43)*MAX('Inputs'!$B$33,'Inputs'!$B$29+'Inputs'!$B$31+'Inputs'!$B$32,'Inputs'!$B$30+'Inputs'!$B$31+'Inputs'!$B$32)/1000+'Inputs'!$B$21+'Inputs'!$B$7+'Inputs'!$B$10)+'Inputs'!$B$9)^2+('Inputs'!$B$8/2)^2)-(((954-43)*MAX('Inputs'!$B$33,'Inputs'!$B$29+'Inputs'!$B$31+'Inputs'!$B$32,'Inputs'!$B$30+'Inputs'!$B$31+'Inputs'!$B$32)/1000+'Inputs'!$B$21+'Inputs'!$B$7+'Inputs'!$B$10))/SQRT((((954-43)*MAX('Inputs'!$B$33,'Inputs'!$B$29+'Inputs'!$B$31+'Inputs'!$B$32,'Inputs'!$B$30+'Inputs'!$B$31+'Inputs'!$B$32)/1000+'Inputs'!$B$21+'Inputs'!$B$7+'Inputs'!$B$10))^2+('Inputs'!$B$8/2)^2))))*'Results'!$B$8))),"")</x:f>
        <x:v>0.42384642492776026</x:v>
      </x:c>
      <x:c r="L954" t="n">
        <x:f>IF(AND(ISNUMBER('Results'!B7),ISNUMBER('Results'!C7),ISNUMBER('Results'!$B$8),ISNUMBER('Inputs'!$B$6),ISNUMBER('Inputs'!$B$7),ISNUMBER('Inputs'!$B$8),ISNUMBER('Inputs'!$B$9),ISNUMBER('Inputs'!$B$10),ISNUMBER('Inputs'!$B$21),ISNUMBER('Inputs'!$B$24),ISNUMBER('Inputs'!$B$28)),((('Results'!B7*(1+'Inputs'!$B$24)*(0.5*((((954-43)*MAX('Inputs'!$B$33,'Inputs'!$B$29+'Inputs'!$B$31+'Inputs'!$B$32,'Inputs'!$B$30+'Inputs'!$B$31+'Inputs'!$B$32)/1000+'Inputs'!$B$21)+'Inputs'!$B$7)/SQRT((((954-43)*MAX('Inputs'!$B$33,'Inputs'!$B$29+'Inputs'!$B$31+'Inputs'!$B$32,'Inputs'!$B$30+'Inputs'!$B$31+'Inputs'!$B$32)/1000+'Inputs'!$B$21)+'Inputs'!$B$7)^2+('Inputs'!$B$6/2)^2)-(((954-43)*MAX('Inputs'!$B$33,'Inputs'!$B$29+'Inputs'!$B$31+'Inputs'!$B$32,'Inputs'!$B$30+'Inputs'!$B$31+'Inputs'!$B$32)/1000+'Inputs'!$B$21))/SQRT((((954-43)*MAX('Inputs'!$B$33,'Inputs'!$B$29+'Inputs'!$B$31+'Inputs'!$B$32,'Inputs'!$B$30+'Inputs'!$B$31+'Inputs'!$B$32)/1000+'Inputs'!$B$21))^2+('Inputs'!$B$6/2)^2)))-'Results'!C7*(1-'Inputs'!$B$24)*(0.5*((((954-43)*MAX('Inputs'!$B$33,'Inputs'!$B$29+'Inputs'!$B$31+'Inputs'!$B$32,'Inputs'!$B$30+'Inputs'!$B$31+'Inputs'!$B$32)/1000+'Inputs'!$B$21+'Inputs'!$B$7+'Inputs'!$B$10)+'Inputs'!$B$9)/SQRT((((954-43)*MAX('Inputs'!$B$33,'Inputs'!$B$29+'Inputs'!$B$31+'Inputs'!$B$32,'Inputs'!$B$30+'Inputs'!$B$31+'Inputs'!$B$32)/1000+'Inputs'!$B$21+'Inputs'!$B$7+'Inputs'!$B$10)+'Inputs'!$B$9)^2+('Inputs'!$B$8/2)^2)-(((954-43)*MAX('Inputs'!$B$33,'Inputs'!$B$29+'Inputs'!$B$31+'Inputs'!$B$32,'Inputs'!$B$30+'Inputs'!$B$31+'Inputs'!$B$32)/1000+'Inputs'!$B$21+'Inputs'!$B$7+'Inputs'!$B$10))/SQRT((((954-43)*MAX('Inputs'!$B$33,'Inputs'!$B$29+'Inputs'!$B$31+'Inputs'!$B$32,'Inputs'!$B$30+'Inputs'!$B$31+'Inputs'!$B$32)/1000+'Inputs'!$B$21+'Inputs'!$B$7+'Inputs'!$B$10))^2+('Inputs'!$B$8/2)^2))))*'Results'!$B$8)+'Inputs'!$B$28*ABS((('Results'!B7*(1+'Inputs'!$B$24)*(0.5*((((954-43)*MAX('Inputs'!$B$33,'Inputs'!$B$29+'Inputs'!$B$31+'Inputs'!$B$32,'Inputs'!$B$30+'Inputs'!$B$31+'Inputs'!$B$32)/1000+'Inputs'!$B$21)+'Inputs'!$B$7)/SQRT((((954-43)*MAX('Inputs'!$B$33,'Inputs'!$B$29+'Inputs'!$B$31+'Inputs'!$B$32,'Inputs'!$B$30+'Inputs'!$B$31+'Inputs'!$B$32)/1000+'Inputs'!$B$21)+'Inputs'!$B$7)^2+('Inputs'!$B$6/2)^2)-(((954-43)*MAX('Inputs'!$B$33,'Inputs'!$B$29+'Inputs'!$B$31+'Inputs'!$B$32,'Inputs'!$B$30+'Inputs'!$B$31+'Inputs'!$B$32)/1000+'Inputs'!$B$21))/SQRT((((954-43)*MAX('Inputs'!$B$33,'Inputs'!$B$29+'Inputs'!$B$31+'Inputs'!$B$32,'Inputs'!$B$30+'Inputs'!$B$31+'Inputs'!$B$32)/1000+'Inputs'!$B$21))^2+('Inputs'!$B$6/2)^2)))-'Results'!C7*(1-'Inputs'!$B$24)*(0.5*((((954-43)*MAX('Inputs'!$B$33,'Inputs'!$B$29+'Inputs'!$B$31+'Inputs'!$B$32,'Inputs'!$B$30+'Inputs'!$B$31+'Inputs'!$B$32)/1000+'Inputs'!$B$21+'Inputs'!$B$7+'Inputs'!$B$10)+'Inputs'!$B$9)/SQRT((((954-43)*MAX('Inputs'!$B$33,'Inputs'!$B$29+'Inputs'!$B$31+'Inputs'!$B$32,'Inputs'!$B$30+'Inputs'!$B$31+'Inputs'!$B$32)/1000+'Inputs'!$B$21+'Inputs'!$B$7+'Inputs'!$B$10)+'Inputs'!$B$9)^2+('Inputs'!$B$8/2)^2)-(((954-43)*MAX('Inputs'!$B$33,'Inputs'!$B$29+'Inputs'!$B$31+'Inputs'!$B$32,'Inputs'!$B$30+'Inputs'!$B$31+'Inputs'!$B$32)/1000+'Inputs'!$B$21+'Inputs'!$B$7+'Inputs'!$B$10))/SQRT((((954-43)*MAX('Inputs'!$B$33,'Inputs'!$B$29+'Inputs'!$B$31+'Inputs'!$B$32,'Inputs'!$B$30+'Inputs'!$B$31+'Inputs'!$B$32)/1000+'Inputs'!$B$21+'Inputs'!$B$7+'Inputs'!$B$10))^2+('Inputs'!$B$8/2)^2))))*'Results'!$B$8))),"")</x:f>
        <x:v>0.5846150600333496</x:v>
      </x:c>
      <x:c r="M954" t="n">
        <x:f>IF(AND(ISNUMBER('Results'!C7),ISNUMBER('Results'!B7),ISNUMBER('Results'!$B$8),ISNUMBER('Inputs'!$B$6),ISNUMBER('Inputs'!$B$7),ISNUMBER('Inputs'!$B$8),ISNUMBER('Inputs'!$B$9),ISNUMBER('Inputs'!$B$10),ISNUMBER('Inputs'!$B$21),ISNUMBER('Inputs'!$B$24),ISNUMBER('Inputs'!$B$28)),(('Results'!C7*(0.5*((((954-43)*MAX('Inputs'!$B$33,'Inputs'!$B$29+'Inputs'!$B$31+'Inputs'!$B$32,'Inputs'!$B$30+'Inputs'!$B$31+'Inputs'!$B$32)/1000+'Inputs'!$B$21)+'Inputs'!$B$9)/SQRT((((954-43)*MAX('Inputs'!$B$33,'Inputs'!$B$29+'Inputs'!$B$31+'Inputs'!$B$32,'Inputs'!$B$30+'Inputs'!$B$31+'Inputs'!$B$32)/1000+'Inputs'!$B$21)+'Inputs'!$B$9)^2+('Inputs'!$B$8/2)^2)-(((954-43)*MAX('Inputs'!$B$33,'Inputs'!$B$29+'Inputs'!$B$31+'Inputs'!$B$32,'Inputs'!$B$30+'Inputs'!$B$31+'Inputs'!$B$32)/1000+'Inputs'!$B$21))/SQRT((((954-43)*MAX('Inputs'!$B$33,'Inputs'!$B$29+'Inputs'!$B$31+'Inputs'!$B$32,'Inputs'!$B$30+'Inputs'!$B$31+'Inputs'!$B$32)/1000+'Inputs'!$B$21))^2+('Inputs'!$B$8/2)^2)))-'Results'!B7*(0.5*((((954-43)*MAX('Inputs'!$B$33,'Inputs'!$B$29+'Inputs'!$B$31+'Inputs'!$B$32,'Inputs'!$B$30+'Inputs'!$B$31+'Inputs'!$B$32)/1000+'Inputs'!$B$21+'Inputs'!$B$9+'Inputs'!$B$10)+'Inputs'!$B$7)/SQRT((((954-43)*MAX('Inputs'!$B$33,'Inputs'!$B$29+'Inputs'!$B$31+'Inputs'!$B$32,'Inputs'!$B$30+'Inputs'!$B$31+'Inputs'!$B$32)/1000+'Inputs'!$B$21+'Inputs'!$B$9+'Inputs'!$B$10)+'Inputs'!$B$7)^2+('Inputs'!$B$6/2)^2)-(((954-43)*MAX('Inputs'!$B$33,'Inputs'!$B$29+'Inputs'!$B$31+'Inputs'!$B$32,'Inputs'!$B$30+'Inputs'!$B$31+'Inputs'!$B$32)/1000+'Inputs'!$B$21+'Inputs'!$B$9+'Inputs'!$B$10))/SQRT((((954-43)*MAX('Inputs'!$B$33,'Inputs'!$B$29+'Inputs'!$B$31+'Inputs'!$B$32,'Inputs'!$B$30+'Inputs'!$B$31+'Inputs'!$B$32)/1000+'Inputs'!$B$21+'Inputs'!$B$9+'Inputs'!$B$10))^2+('Inputs'!$B$6/2)^2))))*'Results'!$B$8),"")</x:f>
        <x:v>0.4456920727857381</x:v>
      </x:c>
      <x:c r="N954" t="n">
        <x:f>IF(AND(ISNUMBER('Results'!C7),ISNUMBER('Results'!B7),ISNUMBER('Results'!$B$8),ISNUMBER('Inputs'!$B$6),ISNUMBER('Inputs'!$B$7),ISNUMBER('Inputs'!$B$8),ISNUMBER('Inputs'!$B$9),ISNUMBER('Inputs'!$B$10),ISNUMBER('Inputs'!$B$21),ISNUMBER('Inputs'!$B$24),ISNUMBER('Inputs'!$B$28)),((('Results'!C7*(1-'Inputs'!$B$24)*(0.5*((((954-43)*MAX('Inputs'!$B$33,'Inputs'!$B$29+'Inputs'!$B$31+'Inputs'!$B$32,'Inputs'!$B$30+'Inputs'!$B$31+'Inputs'!$B$32)/1000+'Inputs'!$B$21)+'Inputs'!$B$9)/SQRT((((954-43)*MAX('Inputs'!$B$33,'Inputs'!$B$29+'Inputs'!$B$31+'Inputs'!$B$32,'Inputs'!$B$30+'Inputs'!$B$31+'Inputs'!$B$32)/1000+'Inputs'!$B$21)+'Inputs'!$B$9)^2+('Inputs'!$B$8/2)^2)-(((954-43)*MAX('Inputs'!$B$33,'Inputs'!$B$29+'Inputs'!$B$31+'Inputs'!$B$32,'Inputs'!$B$30+'Inputs'!$B$31+'Inputs'!$B$32)/1000+'Inputs'!$B$21))/SQRT((((954-43)*MAX('Inputs'!$B$33,'Inputs'!$B$29+'Inputs'!$B$31+'Inputs'!$B$32,'Inputs'!$B$30+'Inputs'!$B$31+'Inputs'!$B$32)/1000+'Inputs'!$B$21))^2+('Inputs'!$B$8/2)^2)))-'Results'!B7*(1+'Inputs'!$B$24)*(0.5*((((954-43)*MAX('Inputs'!$B$33,'Inputs'!$B$29+'Inputs'!$B$31+'Inputs'!$B$32,'Inputs'!$B$30+'Inputs'!$B$31+'Inputs'!$B$32)/1000+'Inputs'!$B$21+'Inputs'!$B$9+'Inputs'!$B$10)+'Inputs'!$B$7)/SQRT((((954-43)*MAX('Inputs'!$B$33,'Inputs'!$B$29+'Inputs'!$B$31+'Inputs'!$B$32,'Inputs'!$B$30+'Inputs'!$B$31+'Inputs'!$B$32)/1000+'Inputs'!$B$21+'Inputs'!$B$9+'Inputs'!$B$10)+'Inputs'!$B$7)^2+('Inputs'!$B$6/2)^2)-(((954-43)*MAX('Inputs'!$B$33,'Inputs'!$B$29+'Inputs'!$B$31+'Inputs'!$B$32,'Inputs'!$B$30+'Inputs'!$B$31+'Inputs'!$B$32)/1000+'Inputs'!$B$21+'Inputs'!$B$9+'Inputs'!$B$10))/SQRT((((954-43)*MAX('Inputs'!$B$33,'Inputs'!$B$29+'Inputs'!$B$31+'Inputs'!$B$32,'Inputs'!$B$30+'Inputs'!$B$31+'Inputs'!$B$32)/1000+'Inputs'!$B$21+'Inputs'!$B$9+'Inputs'!$B$10))^2+('Inputs'!$B$6/2)^2))))*'Results'!$B$8)-'Inputs'!$B$28*ABS((('Results'!C7*(1-'Inputs'!$B$24)*(0.5*((((954-43)*MAX('Inputs'!$B$33,'Inputs'!$B$29+'Inputs'!$B$31+'Inputs'!$B$32,'Inputs'!$B$30+'Inputs'!$B$31+'Inputs'!$B$32)/1000+'Inputs'!$B$21)+'Inputs'!$B$9)/SQRT((((954-43)*MAX('Inputs'!$B$33,'Inputs'!$B$29+'Inputs'!$B$31+'Inputs'!$B$32,'Inputs'!$B$30+'Inputs'!$B$31+'Inputs'!$B$32)/1000+'Inputs'!$B$21)+'Inputs'!$B$9)^2+('Inputs'!$B$8/2)^2)-(((954-43)*MAX('Inputs'!$B$33,'Inputs'!$B$29+'Inputs'!$B$31+'Inputs'!$B$32,'Inputs'!$B$30+'Inputs'!$B$31+'Inputs'!$B$32)/1000+'Inputs'!$B$21))/SQRT((((954-43)*MAX('Inputs'!$B$33,'Inputs'!$B$29+'Inputs'!$B$31+'Inputs'!$B$32,'Inputs'!$B$30+'Inputs'!$B$31+'Inputs'!$B$32)/1000+'Inputs'!$B$21))^2+('Inputs'!$B$8/2)^2)))-'Results'!B7*(1+'Inputs'!$B$24)*(0.5*((((954-43)*MAX('Inputs'!$B$33,'Inputs'!$B$29+'Inputs'!$B$31+'Inputs'!$B$32,'Inputs'!$B$30+'Inputs'!$B$31+'Inputs'!$B$32)/1000+'Inputs'!$B$21+'Inputs'!$B$9+'Inputs'!$B$10)+'Inputs'!$B$7)/SQRT((((954-43)*MAX('Inputs'!$B$33,'Inputs'!$B$29+'Inputs'!$B$31+'Inputs'!$B$32,'Inputs'!$B$30+'Inputs'!$B$31+'Inputs'!$B$32)/1000+'Inputs'!$B$21+'Inputs'!$B$9+'Inputs'!$B$10)+'Inputs'!$B$7)^2+('Inputs'!$B$6/2)^2)-(((954-43)*MAX('Inputs'!$B$33,'Inputs'!$B$29+'Inputs'!$B$31+'Inputs'!$B$32,'Inputs'!$B$30+'Inputs'!$B$31+'Inputs'!$B$32)/1000+'Inputs'!$B$21+'Inputs'!$B$9+'Inputs'!$B$10))/SQRT((((954-43)*MAX('Inputs'!$B$33,'Inputs'!$B$29+'Inputs'!$B$31+'Inputs'!$B$32,'Inputs'!$B$30+'Inputs'!$B$31+'Inputs'!$B$32)/1000+'Inputs'!$B$21+'Inputs'!$B$9+'Inputs'!$B$10))^2+('Inputs'!$B$6/2)^2))))*'Results'!$B$8))),"")</x:f>
        <x:v>0.3710437416326099</x:v>
      </x:c>
      <x:c r="O954" t="n">
        <x:f>IF(AND(ISNUMBER('Results'!C7),ISNUMBER('Results'!B7),ISNUMBER('Results'!$B$8),ISNUMBER('Inputs'!$B$6),ISNUMBER('Inputs'!$B$7),ISNUMBER('Inputs'!$B$8),ISNUMBER('Inputs'!$B$9),ISNUMBER('Inputs'!$B$10),ISNUMBER('Inputs'!$B$21),ISNUMBER('Inputs'!$B$24),ISNUMBER('Inputs'!$B$28)),((('Results'!C7*(1+'Inputs'!$B$24)*(0.5*((((954-43)*MAX('Inputs'!$B$33,'Inputs'!$B$29+'Inputs'!$B$31+'Inputs'!$B$32,'Inputs'!$B$30+'Inputs'!$B$31+'Inputs'!$B$32)/1000+'Inputs'!$B$21)+'Inputs'!$B$9)/SQRT((((954-43)*MAX('Inputs'!$B$33,'Inputs'!$B$29+'Inputs'!$B$31+'Inputs'!$B$32,'Inputs'!$B$30+'Inputs'!$B$31+'Inputs'!$B$32)/1000+'Inputs'!$B$21)+'Inputs'!$B$9)^2+('Inputs'!$B$8/2)^2)-(((954-43)*MAX('Inputs'!$B$33,'Inputs'!$B$29+'Inputs'!$B$31+'Inputs'!$B$32,'Inputs'!$B$30+'Inputs'!$B$31+'Inputs'!$B$32)/1000+'Inputs'!$B$21))/SQRT((((954-43)*MAX('Inputs'!$B$33,'Inputs'!$B$29+'Inputs'!$B$31+'Inputs'!$B$32,'Inputs'!$B$30+'Inputs'!$B$31+'Inputs'!$B$32)/1000+'Inputs'!$B$21))^2+('Inputs'!$B$8/2)^2)))-'Results'!B7*(1-'Inputs'!$B$24)*(0.5*((((954-43)*MAX('Inputs'!$B$33,'Inputs'!$B$29+'Inputs'!$B$31+'Inputs'!$B$32,'Inputs'!$B$30+'Inputs'!$B$31+'Inputs'!$B$32)/1000+'Inputs'!$B$21+'Inputs'!$B$9+'Inputs'!$B$10)+'Inputs'!$B$7)/SQRT((((954-43)*MAX('Inputs'!$B$33,'Inputs'!$B$29+'Inputs'!$B$31+'Inputs'!$B$32,'Inputs'!$B$30+'Inputs'!$B$31+'Inputs'!$B$32)/1000+'Inputs'!$B$21+'Inputs'!$B$9+'Inputs'!$B$10)+'Inputs'!$B$7)^2+('Inputs'!$B$6/2)^2)-(((954-43)*MAX('Inputs'!$B$33,'Inputs'!$B$29+'Inputs'!$B$31+'Inputs'!$B$32,'Inputs'!$B$30+'Inputs'!$B$31+'Inputs'!$B$32)/1000+'Inputs'!$B$21+'Inputs'!$B$9+'Inputs'!$B$10))/SQRT((((954-43)*MAX('Inputs'!$B$33,'Inputs'!$B$29+'Inputs'!$B$31+'Inputs'!$B$32,'Inputs'!$B$30+'Inputs'!$B$31+'Inputs'!$B$32)/1000+'Inputs'!$B$21+'Inputs'!$B$9+'Inputs'!$B$10))^2+('Inputs'!$B$6/2)^2))))*'Results'!$B$8)+'Inputs'!$B$28*ABS((('Results'!C7*(1+'Inputs'!$B$24)*(0.5*((((954-43)*MAX('Inputs'!$B$33,'Inputs'!$B$29+'Inputs'!$B$31+'Inputs'!$B$32,'Inputs'!$B$30+'Inputs'!$B$31+'Inputs'!$B$32)/1000+'Inputs'!$B$21)+'Inputs'!$B$9)/SQRT((((954-43)*MAX('Inputs'!$B$33,'Inputs'!$B$29+'Inputs'!$B$31+'Inputs'!$B$32,'Inputs'!$B$30+'Inputs'!$B$31+'Inputs'!$B$32)/1000+'Inputs'!$B$21)+'Inputs'!$B$9)^2+('Inputs'!$B$8/2)^2)-(((954-43)*MAX('Inputs'!$B$33,'Inputs'!$B$29+'Inputs'!$B$31+'Inputs'!$B$32,'Inputs'!$B$30+'Inputs'!$B$31+'Inputs'!$B$32)/1000+'Inputs'!$B$21))/SQRT((((954-43)*MAX('Inputs'!$B$33,'Inputs'!$B$29+'Inputs'!$B$31+'Inputs'!$B$32,'Inputs'!$B$30+'Inputs'!$B$31+'Inputs'!$B$32)/1000+'Inputs'!$B$21))^2+('Inputs'!$B$8/2)^2)))-'Results'!B7*(1-'Inputs'!$B$24)*(0.5*((((954-43)*MAX('Inputs'!$B$33,'Inputs'!$B$29+'Inputs'!$B$31+'Inputs'!$B$32,'Inputs'!$B$30+'Inputs'!$B$31+'Inputs'!$B$32)/1000+'Inputs'!$B$21+'Inputs'!$B$9+'Inputs'!$B$10)+'Inputs'!$B$7)/SQRT((((954-43)*MAX('Inputs'!$B$33,'Inputs'!$B$29+'Inputs'!$B$31+'Inputs'!$B$32,'Inputs'!$B$30+'Inputs'!$B$31+'Inputs'!$B$32)/1000+'Inputs'!$B$21+'Inputs'!$B$9+'Inputs'!$B$10)+'Inputs'!$B$7)^2+('Inputs'!$B$6/2)^2)-(((954-43)*MAX('Inputs'!$B$33,'Inputs'!$B$29+'Inputs'!$B$31+'Inputs'!$B$32,'Inputs'!$B$30+'Inputs'!$B$31+'Inputs'!$B$32)/1000+'Inputs'!$B$21+'Inputs'!$B$9+'Inputs'!$B$10))/SQRT((((954-43)*MAX('Inputs'!$B$33,'Inputs'!$B$29+'Inputs'!$B$31+'Inputs'!$B$32,'Inputs'!$B$30+'Inputs'!$B$31+'Inputs'!$B$32)/1000+'Inputs'!$B$21+'Inputs'!$B$9+'Inputs'!$B$10))^2+('Inputs'!$B$6/2)^2))))*'Results'!$B$8))),"")</x:f>
        <x:v>0.5258523752561125</x:v>
      </x:c>
      <x:c r="P954" t="n">
        <x:f>IF(AND(MAX(J954,J953)&gt;0,J954&gt;J953+0.00000001),1,0)</x:f>
        <x:v>0</x:v>
      </x:c>
      <x:c r="Q954" t="n">
        <x:f>IF(AND(MAX(K954,K953)&gt;0,K954&gt;K953+0.00000001),1,0)</x:f>
        <x:v>0</x:v>
      </x:c>
      <x:c r="R954" t="n">
        <x:f>IF(AND(MAX(L954,L953)&gt;0,L954&gt;L953+0.00000001),1,0)</x:f>
        <x:v>0</x:v>
      </x:c>
      <x:c r="S954" t="n">
        <x:f>IF(AND(MAX(M954,M953)&gt;0,M954&gt;M953+0.00000001),1,0)</x:f>
        <x:v>0</x:v>
      </x:c>
      <x:c r="T954" t="n">
        <x:f>IF(AND(MAX(N954,N953)&gt;0,N954&gt;N953+0.00000001),1,0)</x:f>
        <x:v>0</x:v>
      </x:c>
      <x:c r="U954" t="n">
        <x:f>IF(AND(MAX(O954,O953)&gt;0,O954&gt;O953+0.00000001),1,0)</x:f>
        <x:v>0</x:v>
      </x:c>
    </x:row>
    <x:row r="955">
      <x:c r="J955" t="n">
        <x:f>IF(AND(ISNUMBER('Results'!B7),ISNUMBER('Results'!C7),ISNUMBER('Results'!$B$8),ISNUMBER('Inputs'!$B$6),ISNUMBER('Inputs'!$B$7),ISNUMBER('Inputs'!$B$8),ISNUMBER('Inputs'!$B$9),ISNUMBER('Inputs'!$B$10),ISNUMBER('Inputs'!$B$21),ISNUMBER('Inputs'!$B$24),ISNUMBER('Inputs'!$B$28)),(('Results'!B7*(0.5*((((955-43)*MAX('Inputs'!$B$33,'Inputs'!$B$29+'Inputs'!$B$31+'Inputs'!$B$32,'Inputs'!$B$30+'Inputs'!$B$31+'Inputs'!$B$32)/1000+'Inputs'!$B$21)+'Inputs'!$B$7)/SQRT((((955-43)*MAX('Inputs'!$B$33,'Inputs'!$B$29+'Inputs'!$B$31+'Inputs'!$B$32,'Inputs'!$B$30+'Inputs'!$B$31+'Inputs'!$B$32)/1000+'Inputs'!$B$21)+'Inputs'!$B$7)^2+('Inputs'!$B$6/2)^2)-(((955-43)*MAX('Inputs'!$B$33,'Inputs'!$B$29+'Inputs'!$B$31+'Inputs'!$B$32,'Inputs'!$B$30+'Inputs'!$B$31+'Inputs'!$B$32)/1000+'Inputs'!$B$21))/SQRT((((955-43)*MAX('Inputs'!$B$33,'Inputs'!$B$29+'Inputs'!$B$31+'Inputs'!$B$32,'Inputs'!$B$30+'Inputs'!$B$31+'Inputs'!$B$32)/1000+'Inputs'!$B$21))^2+('Inputs'!$B$6/2)^2)))-'Results'!C7*(0.5*((((955-43)*MAX('Inputs'!$B$33,'Inputs'!$B$29+'Inputs'!$B$31+'Inputs'!$B$32,'Inputs'!$B$30+'Inputs'!$B$31+'Inputs'!$B$32)/1000+'Inputs'!$B$21+'Inputs'!$B$7+'Inputs'!$B$10)+'Inputs'!$B$9)/SQRT((((955-43)*MAX('Inputs'!$B$33,'Inputs'!$B$29+'Inputs'!$B$31+'Inputs'!$B$32,'Inputs'!$B$30+'Inputs'!$B$31+'Inputs'!$B$32)/1000+'Inputs'!$B$21+'Inputs'!$B$7+'Inputs'!$B$10)+'Inputs'!$B$9)^2+('Inputs'!$B$8/2)^2)-(((955-43)*MAX('Inputs'!$B$33,'Inputs'!$B$29+'Inputs'!$B$31+'Inputs'!$B$32,'Inputs'!$B$30+'Inputs'!$B$31+'Inputs'!$B$32)/1000+'Inputs'!$B$21+'Inputs'!$B$7+'Inputs'!$B$10))/SQRT((((955-43)*MAX('Inputs'!$B$33,'Inputs'!$B$29+'Inputs'!$B$31+'Inputs'!$B$32,'Inputs'!$B$30+'Inputs'!$B$31+'Inputs'!$B$32)/1000+'Inputs'!$B$21+'Inputs'!$B$7+'Inputs'!$B$10))^2+('Inputs'!$B$8/2)^2))))*'Results'!$B$8),"")</x:f>
        <x:v>0.49947163240506065</x:v>
      </x:c>
      <x:c r="K955" t="n">
        <x:f>IF(AND(ISNUMBER('Results'!B7),ISNUMBER('Results'!C7),ISNUMBER('Results'!$B$8),ISNUMBER('Inputs'!$B$6),ISNUMBER('Inputs'!$B$7),ISNUMBER('Inputs'!$B$8),ISNUMBER('Inputs'!$B$9),ISNUMBER('Inputs'!$B$10),ISNUMBER('Inputs'!$B$21),ISNUMBER('Inputs'!$B$24),ISNUMBER('Inputs'!$B$28)),((('Results'!B7*(1-'Inputs'!$B$24)*(0.5*((((955-43)*MAX('Inputs'!$B$33,'Inputs'!$B$29+'Inputs'!$B$31+'Inputs'!$B$32,'Inputs'!$B$30+'Inputs'!$B$31+'Inputs'!$B$32)/1000+'Inputs'!$B$21)+'Inputs'!$B$7)/SQRT((((955-43)*MAX('Inputs'!$B$33,'Inputs'!$B$29+'Inputs'!$B$31+'Inputs'!$B$32,'Inputs'!$B$30+'Inputs'!$B$31+'Inputs'!$B$32)/1000+'Inputs'!$B$21)+'Inputs'!$B$7)^2+('Inputs'!$B$6/2)^2)-(((955-43)*MAX('Inputs'!$B$33,'Inputs'!$B$29+'Inputs'!$B$31+'Inputs'!$B$32,'Inputs'!$B$30+'Inputs'!$B$31+'Inputs'!$B$32)/1000+'Inputs'!$B$21))/SQRT((((955-43)*MAX('Inputs'!$B$33,'Inputs'!$B$29+'Inputs'!$B$31+'Inputs'!$B$32,'Inputs'!$B$30+'Inputs'!$B$31+'Inputs'!$B$32)/1000+'Inputs'!$B$21))^2+('Inputs'!$B$6/2)^2)))-'Results'!C7*(1+'Inputs'!$B$24)*(0.5*((((955-43)*MAX('Inputs'!$B$33,'Inputs'!$B$29+'Inputs'!$B$31+'Inputs'!$B$32,'Inputs'!$B$30+'Inputs'!$B$31+'Inputs'!$B$32)/1000+'Inputs'!$B$21+'Inputs'!$B$7+'Inputs'!$B$10)+'Inputs'!$B$9)/SQRT((((955-43)*MAX('Inputs'!$B$33,'Inputs'!$B$29+'Inputs'!$B$31+'Inputs'!$B$32,'Inputs'!$B$30+'Inputs'!$B$31+'Inputs'!$B$32)/1000+'Inputs'!$B$21+'Inputs'!$B$7+'Inputs'!$B$10)+'Inputs'!$B$9)^2+('Inputs'!$B$8/2)^2)-(((955-43)*MAX('Inputs'!$B$33,'Inputs'!$B$29+'Inputs'!$B$31+'Inputs'!$B$32,'Inputs'!$B$30+'Inputs'!$B$31+'Inputs'!$B$32)/1000+'Inputs'!$B$21+'Inputs'!$B$7+'Inputs'!$B$10))/SQRT((((955-43)*MAX('Inputs'!$B$33,'Inputs'!$B$29+'Inputs'!$B$31+'Inputs'!$B$32,'Inputs'!$B$30+'Inputs'!$B$31+'Inputs'!$B$32)/1000+'Inputs'!$B$21+'Inputs'!$B$7+'Inputs'!$B$10))^2+('Inputs'!$B$8/2)^2))))*'Results'!$B$8)-'Inputs'!$B$28*ABS((('Results'!B7*(1-'Inputs'!$B$24)*(0.5*((((955-43)*MAX('Inputs'!$B$33,'Inputs'!$B$29+'Inputs'!$B$31+'Inputs'!$B$32,'Inputs'!$B$30+'Inputs'!$B$31+'Inputs'!$B$32)/1000+'Inputs'!$B$21)+'Inputs'!$B$7)/SQRT((((955-43)*MAX('Inputs'!$B$33,'Inputs'!$B$29+'Inputs'!$B$31+'Inputs'!$B$32,'Inputs'!$B$30+'Inputs'!$B$31+'Inputs'!$B$32)/1000+'Inputs'!$B$21)+'Inputs'!$B$7)^2+('Inputs'!$B$6/2)^2)-(((955-43)*MAX('Inputs'!$B$33,'Inputs'!$B$29+'Inputs'!$B$31+'Inputs'!$B$32,'Inputs'!$B$30+'Inputs'!$B$31+'Inputs'!$B$32)/1000+'Inputs'!$B$21))/SQRT((((955-43)*MAX('Inputs'!$B$33,'Inputs'!$B$29+'Inputs'!$B$31+'Inputs'!$B$32,'Inputs'!$B$30+'Inputs'!$B$31+'Inputs'!$B$32)/1000+'Inputs'!$B$21))^2+('Inputs'!$B$6/2)^2)))-'Results'!C7*(1+'Inputs'!$B$24)*(0.5*((((955-43)*MAX('Inputs'!$B$33,'Inputs'!$B$29+'Inputs'!$B$31+'Inputs'!$B$32,'Inputs'!$B$30+'Inputs'!$B$31+'Inputs'!$B$32)/1000+'Inputs'!$B$21+'Inputs'!$B$7+'Inputs'!$B$10)+'Inputs'!$B$9)/SQRT((((955-43)*MAX('Inputs'!$B$33,'Inputs'!$B$29+'Inputs'!$B$31+'Inputs'!$B$32,'Inputs'!$B$30+'Inputs'!$B$31+'Inputs'!$B$32)/1000+'Inputs'!$B$21+'Inputs'!$B$7+'Inputs'!$B$10)+'Inputs'!$B$9)^2+('Inputs'!$B$8/2)^2)-(((955-43)*MAX('Inputs'!$B$33,'Inputs'!$B$29+'Inputs'!$B$31+'Inputs'!$B$32,'Inputs'!$B$30+'Inputs'!$B$31+'Inputs'!$B$32)/1000+'Inputs'!$B$21+'Inputs'!$B$7+'Inputs'!$B$10))/SQRT((((955-43)*MAX('Inputs'!$B$33,'Inputs'!$B$29+'Inputs'!$B$31+'Inputs'!$B$32,'Inputs'!$B$30+'Inputs'!$B$31+'Inputs'!$B$32)/1000+'Inputs'!$B$21+'Inputs'!$B$7+'Inputs'!$B$10))^2+('Inputs'!$B$8/2)^2))))*'Results'!$B$8))),"")</x:f>
        <x:v>0.4221129736328807</x:v>
      </x:c>
      <x:c r="L955" t="n">
        <x:f>IF(AND(ISNUMBER('Results'!B7),ISNUMBER('Results'!C7),ISNUMBER('Results'!$B$8),ISNUMBER('Inputs'!$B$6),ISNUMBER('Inputs'!$B$7),ISNUMBER('Inputs'!$B$8),ISNUMBER('Inputs'!$B$9),ISNUMBER('Inputs'!$B$10),ISNUMBER('Inputs'!$B$21),ISNUMBER('Inputs'!$B$24),ISNUMBER('Inputs'!$B$28)),((('Results'!B7*(1+'Inputs'!$B$24)*(0.5*((((955-43)*MAX('Inputs'!$B$33,'Inputs'!$B$29+'Inputs'!$B$31+'Inputs'!$B$32,'Inputs'!$B$30+'Inputs'!$B$31+'Inputs'!$B$32)/1000+'Inputs'!$B$21)+'Inputs'!$B$7)/SQRT((((955-43)*MAX('Inputs'!$B$33,'Inputs'!$B$29+'Inputs'!$B$31+'Inputs'!$B$32,'Inputs'!$B$30+'Inputs'!$B$31+'Inputs'!$B$32)/1000+'Inputs'!$B$21)+'Inputs'!$B$7)^2+('Inputs'!$B$6/2)^2)-(((955-43)*MAX('Inputs'!$B$33,'Inputs'!$B$29+'Inputs'!$B$31+'Inputs'!$B$32,'Inputs'!$B$30+'Inputs'!$B$31+'Inputs'!$B$32)/1000+'Inputs'!$B$21))/SQRT((((955-43)*MAX('Inputs'!$B$33,'Inputs'!$B$29+'Inputs'!$B$31+'Inputs'!$B$32,'Inputs'!$B$30+'Inputs'!$B$31+'Inputs'!$B$32)/1000+'Inputs'!$B$21))^2+('Inputs'!$B$6/2)^2)))-'Results'!C7*(1-'Inputs'!$B$24)*(0.5*((((955-43)*MAX('Inputs'!$B$33,'Inputs'!$B$29+'Inputs'!$B$31+'Inputs'!$B$32,'Inputs'!$B$30+'Inputs'!$B$31+'Inputs'!$B$32)/1000+'Inputs'!$B$21+'Inputs'!$B$7+'Inputs'!$B$10)+'Inputs'!$B$9)/SQRT((((955-43)*MAX('Inputs'!$B$33,'Inputs'!$B$29+'Inputs'!$B$31+'Inputs'!$B$32,'Inputs'!$B$30+'Inputs'!$B$31+'Inputs'!$B$32)/1000+'Inputs'!$B$21+'Inputs'!$B$7+'Inputs'!$B$10)+'Inputs'!$B$9)^2+('Inputs'!$B$8/2)^2)-(((955-43)*MAX('Inputs'!$B$33,'Inputs'!$B$29+'Inputs'!$B$31+'Inputs'!$B$32,'Inputs'!$B$30+'Inputs'!$B$31+'Inputs'!$B$32)/1000+'Inputs'!$B$21+'Inputs'!$B$7+'Inputs'!$B$10))/SQRT((((955-43)*MAX('Inputs'!$B$33,'Inputs'!$B$29+'Inputs'!$B$31+'Inputs'!$B$32,'Inputs'!$B$30+'Inputs'!$B$31+'Inputs'!$B$32)/1000+'Inputs'!$B$21+'Inputs'!$B$7+'Inputs'!$B$10))^2+('Inputs'!$B$8/2)^2))))*'Results'!$B$8)+'Inputs'!$B$28*ABS((('Results'!B7*(1+'Inputs'!$B$24)*(0.5*((((955-43)*MAX('Inputs'!$B$33,'Inputs'!$B$29+'Inputs'!$B$31+'Inputs'!$B$32,'Inputs'!$B$30+'Inputs'!$B$31+'Inputs'!$B$32)/1000+'Inputs'!$B$21)+'Inputs'!$B$7)/SQRT((((955-43)*MAX('Inputs'!$B$33,'Inputs'!$B$29+'Inputs'!$B$31+'Inputs'!$B$32,'Inputs'!$B$30+'Inputs'!$B$31+'Inputs'!$B$32)/1000+'Inputs'!$B$21)+'Inputs'!$B$7)^2+('Inputs'!$B$6/2)^2)-(((955-43)*MAX('Inputs'!$B$33,'Inputs'!$B$29+'Inputs'!$B$31+'Inputs'!$B$32,'Inputs'!$B$30+'Inputs'!$B$31+'Inputs'!$B$32)/1000+'Inputs'!$B$21))/SQRT((((955-43)*MAX('Inputs'!$B$33,'Inputs'!$B$29+'Inputs'!$B$31+'Inputs'!$B$32,'Inputs'!$B$30+'Inputs'!$B$31+'Inputs'!$B$32)/1000+'Inputs'!$B$21))^2+('Inputs'!$B$6/2)^2)))-'Results'!C7*(1-'Inputs'!$B$24)*(0.5*((((955-43)*MAX('Inputs'!$B$33,'Inputs'!$B$29+'Inputs'!$B$31+'Inputs'!$B$32,'Inputs'!$B$30+'Inputs'!$B$31+'Inputs'!$B$32)/1000+'Inputs'!$B$21+'Inputs'!$B$7+'Inputs'!$B$10)+'Inputs'!$B$9)/SQRT((((955-43)*MAX('Inputs'!$B$33,'Inputs'!$B$29+'Inputs'!$B$31+'Inputs'!$B$32,'Inputs'!$B$30+'Inputs'!$B$31+'Inputs'!$B$32)/1000+'Inputs'!$B$21+'Inputs'!$B$7+'Inputs'!$B$10)+'Inputs'!$B$9)^2+('Inputs'!$B$8/2)^2)-(((955-43)*MAX('Inputs'!$B$33,'Inputs'!$B$29+'Inputs'!$B$31+'Inputs'!$B$32,'Inputs'!$B$30+'Inputs'!$B$31+'Inputs'!$B$32)/1000+'Inputs'!$B$21+'Inputs'!$B$7+'Inputs'!$B$10))/SQRT((((955-43)*MAX('Inputs'!$B$33,'Inputs'!$B$29+'Inputs'!$B$31+'Inputs'!$B$32,'Inputs'!$B$30+'Inputs'!$B$31+'Inputs'!$B$32)/1000+'Inputs'!$B$21+'Inputs'!$B$7+'Inputs'!$B$10))^2+('Inputs'!$B$8/2)^2))))*'Results'!$B$8))),"")</x:f>
        <x:v>0.582344509824812</x:v>
      </x:c>
      <x:c r="M955" t="n">
        <x:f>IF(AND(ISNUMBER('Results'!C7),ISNUMBER('Results'!B7),ISNUMBER('Results'!$B$8),ISNUMBER('Inputs'!$B$6),ISNUMBER('Inputs'!$B$7),ISNUMBER('Inputs'!$B$8),ISNUMBER('Inputs'!$B$9),ISNUMBER('Inputs'!$B$10),ISNUMBER('Inputs'!$B$21),ISNUMBER('Inputs'!$B$24),ISNUMBER('Inputs'!$B$28)),(('Results'!C7*(0.5*((((955-43)*MAX('Inputs'!$B$33,'Inputs'!$B$29+'Inputs'!$B$31+'Inputs'!$B$32,'Inputs'!$B$30+'Inputs'!$B$31+'Inputs'!$B$32)/1000+'Inputs'!$B$21)+'Inputs'!$B$9)/SQRT((((955-43)*MAX('Inputs'!$B$33,'Inputs'!$B$29+'Inputs'!$B$31+'Inputs'!$B$32,'Inputs'!$B$30+'Inputs'!$B$31+'Inputs'!$B$32)/1000+'Inputs'!$B$21)+'Inputs'!$B$9)^2+('Inputs'!$B$8/2)^2)-(((955-43)*MAX('Inputs'!$B$33,'Inputs'!$B$29+'Inputs'!$B$31+'Inputs'!$B$32,'Inputs'!$B$30+'Inputs'!$B$31+'Inputs'!$B$32)/1000+'Inputs'!$B$21))/SQRT((((955-43)*MAX('Inputs'!$B$33,'Inputs'!$B$29+'Inputs'!$B$31+'Inputs'!$B$32,'Inputs'!$B$30+'Inputs'!$B$31+'Inputs'!$B$32)/1000+'Inputs'!$B$21))^2+('Inputs'!$B$8/2)^2)))-'Results'!B7*(0.5*((((955-43)*MAX('Inputs'!$B$33,'Inputs'!$B$29+'Inputs'!$B$31+'Inputs'!$B$32,'Inputs'!$B$30+'Inputs'!$B$31+'Inputs'!$B$32)/1000+'Inputs'!$B$21+'Inputs'!$B$9+'Inputs'!$B$10)+'Inputs'!$B$7)/SQRT((((955-43)*MAX('Inputs'!$B$33,'Inputs'!$B$29+'Inputs'!$B$31+'Inputs'!$B$32,'Inputs'!$B$30+'Inputs'!$B$31+'Inputs'!$B$32)/1000+'Inputs'!$B$21+'Inputs'!$B$9+'Inputs'!$B$10)+'Inputs'!$B$7)^2+('Inputs'!$B$6/2)^2)-(((955-43)*MAX('Inputs'!$B$33,'Inputs'!$B$29+'Inputs'!$B$31+'Inputs'!$B$32,'Inputs'!$B$30+'Inputs'!$B$31+'Inputs'!$B$32)/1000+'Inputs'!$B$21+'Inputs'!$B$9+'Inputs'!$B$10))/SQRT((((955-43)*MAX('Inputs'!$B$33,'Inputs'!$B$29+'Inputs'!$B$31+'Inputs'!$B$32,'Inputs'!$B$30+'Inputs'!$B$31+'Inputs'!$B$32)/1000+'Inputs'!$B$21+'Inputs'!$B$9+'Inputs'!$B$10))^2+('Inputs'!$B$6/2)^2))))*'Results'!$B$8),"")</x:f>
        <x:v>0.4438687035433523</x:v>
      </x:c>
      <x:c r="N955" t="n">
        <x:f>IF(AND(ISNUMBER('Results'!C7),ISNUMBER('Results'!B7),ISNUMBER('Results'!$B$8),ISNUMBER('Inputs'!$B$6),ISNUMBER('Inputs'!$B$7),ISNUMBER('Inputs'!$B$8),ISNUMBER('Inputs'!$B$9),ISNUMBER('Inputs'!$B$10),ISNUMBER('Inputs'!$B$21),ISNUMBER('Inputs'!$B$24),ISNUMBER('Inputs'!$B$28)),((('Results'!C7*(1-'Inputs'!$B$24)*(0.5*((((955-43)*MAX('Inputs'!$B$33,'Inputs'!$B$29+'Inputs'!$B$31+'Inputs'!$B$32,'Inputs'!$B$30+'Inputs'!$B$31+'Inputs'!$B$32)/1000+'Inputs'!$B$21)+'Inputs'!$B$9)/SQRT((((955-43)*MAX('Inputs'!$B$33,'Inputs'!$B$29+'Inputs'!$B$31+'Inputs'!$B$32,'Inputs'!$B$30+'Inputs'!$B$31+'Inputs'!$B$32)/1000+'Inputs'!$B$21)+'Inputs'!$B$9)^2+('Inputs'!$B$8/2)^2)-(((955-43)*MAX('Inputs'!$B$33,'Inputs'!$B$29+'Inputs'!$B$31+'Inputs'!$B$32,'Inputs'!$B$30+'Inputs'!$B$31+'Inputs'!$B$32)/1000+'Inputs'!$B$21))/SQRT((((955-43)*MAX('Inputs'!$B$33,'Inputs'!$B$29+'Inputs'!$B$31+'Inputs'!$B$32,'Inputs'!$B$30+'Inputs'!$B$31+'Inputs'!$B$32)/1000+'Inputs'!$B$21))^2+('Inputs'!$B$8/2)^2)))-'Results'!B7*(1+'Inputs'!$B$24)*(0.5*((((955-43)*MAX('Inputs'!$B$33,'Inputs'!$B$29+'Inputs'!$B$31+'Inputs'!$B$32,'Inputs'!$B$30+'Inputs'!$B$31+'Inputs'!$B$32)/1000+'Inputs'!$B$21+'Inputs'!$B$9+'Inputs'!$B$10)+'Inputs'!$B$7)/SQRT((((955-43)*MAX('Inputs'!$B$33,'Inputs'!$B$29+'Inputs'!$B$31+'Inputs'!$B$32,'Inputs'!$B$30+'Inputs'!$B$31+'Inputs'!$B$32)/1000+'Inputs'!$B$21+'Inputs'!$B$9+'Inputs'!$B$10)+'Inputs'!$B$7)^2+('Inputs'!$B$6/2)^2)-(((955-43)*MAX('Inputs'!$B$33,'Inputs'!$B$29+'Inputs'!$B$31+'Inputs'!$B$32,'Inputs'!$B$30+'Inputs'!$B$31+'Inputs'!$B$32)/1000+'Inputs'!$B$21+'Inputs'!$B$9+'Inputs'!$B$10))/SQRT((((955-43)*MAX('Inputs'!$B$33,'Inputs'!$B$29+'Inputs'!$B$31+'Inputs'!$B$32,'Inputs'!$B$30+'Inputs'!$B$31+'Inputs'!$B$32)/1000+'Inputs'!$B$21+'Inputs'!$B$9+'Inputs'!$B$10))^2+('Inputs'!$B$6/2)^2))))*'Results'!$B$8)-'Inputs'!$B$28*ABS((('Results'!C7*(1-'Inputs'!$B$24)*(0.5*((((955-43)*MAX('Inputs'!$B$33,'Inputs'!$B$29+'Inputs'!$B$31+'Inputs'!$B$32,'Inputs'!$B$30+'Inputs'!$B$31+'Inputs'!$B$32)/1000+'Inputs'!$B$21)+'Inputs'!$B$9)/SQRT((((955-43)*MAX('Inputs'!$B$33,'Inputs'!$B$29+'Inputs'!$B$31+'Inputs'!$B$32,'Inputs'!$B$30+'Inputs'!$B$31+'Inputs'!$B$32)/1000+'Inputs'!$B$21)+'Inputs'!$B$9)^2+('Inputs'!$B$8/2)^2)-(((955-43)*MAX('Inputs'!$B$33,'Inputs'!$B$29+'Inputs'!$B$31+'Inputs'!$B$32,'Inputs'!$B$30+'Inputs'!$B$31+'Inputs'!$B$32)/1000+'Inputs'!$B$21))/SQRT((((955-43)*MAX('Inputs'!$B$33,'Inputs'!$B$29+'Inputs'!$B$31+'Inputs'!$B$32,'Inputs'!$B$30+'Inputs'!$B$31+'Inputs'!$B$32)/1000+'Inputs'!$B$21))^2+('Inputs'!$B$8/2)^2)))-'Results'!B7*(1+'Inputs'!$B$24)*(0.5*((((955-43)*MAX('Inputs'!$B$33,'Inputs'!$B$29+'Inputs'!$B$31+'Inputs'!$B$32,'Inputs'!$B$30+'Inputs'!$B$31+'Inputs'!$B$32)/1000+'Inputs'!$B$21+'Inputs'!$B$9+'Inputs'!$B$10)+'Inputs'!$B$7)/SQRT((((955-43)*MAX('Inputs'!$B$33,'Inputs'!$B$29+'Inputs'!$B$31+'Inputs'!$B$32,'Inputs'!$B$30+'Inputs'!$B$31+'Inputs'!$B$32)/1000+'Inputs'!$B$21+'Inputs'!$B$9+'Inputs'!$B$10)+'Inputs'!$B$7)^2+('Inputs'!$B$6/2)^2)-(((955-43)*MAX('Inputs'!$B$33,'Inputs'!$B$29+'Inputs'!$B$31+'Inputs'!$B$32,'Inputs'!$B$30+'Inputs'!$B$31+'Inputs'!$B$32)/1000+'Inputs'!$B$21+'Inputs'!$B$9+'Inputs'!$B$10))/SQRT((((955-43)*MAX('Inputs'!$B$33,'Inputs'!$B$29+'Inputs'!$B$31+'Inputs'!$B$32,'Inputs'!$B$30+'Inputs'!$B$31+'Inputs'!$B$32)/1000+'Inputs'!$B$21+'Inputs'!$B$9+'Inputs'!$B$10))^2+('Inputs'!$B$6/2)^2))))*'Results'!$B$8))),"")</x:f>
        <x:v>0.3694712363292376</x:v>
      </x:c>
      <x:c r="O955" t="n">
        <x:f>IF(AND(ISNUMBER('Results'!C7),ISNUMBER('Results'!B7),ISNUMBER('Results'!$B$8),ISNUMBER('Inputs'!$B$6),ISNUMBER('Inputs'!$B$7),ISNUMBER('Inputs'!$B$8),ISNUMBER('Inputs'!$B$9),ISNUMBER('Inputs'!$B$10),ISNUMBER('Inputs'!$B$21),ISNUMBER('Inputs'!$B$24),ISNUMBER('Inputs'!$B$28)),((('Results'!C7*(1+'Inputs'!$B$24)*(0.5*((((955-43)*MAX('Inputs'!$B$33,'Inputs'!$B$29+'Inputs'!$B$31+'Inputs'!$B$32,'Inputs'!$B$30+'Inputs'!$B$31+'Inputs'!$B$32)/1000+'Inputs'!$B$21)+'Inputs'!$B$9)/SQRT((((955-43)*MAX('Inputs'!$B$33,'Inputs'!$B$29+'Inputs'!$B$31+'Inputs'!$B$32,'Inputs'!$B$30+'Inputs'!$B$31+'Inputs'!$B$32)/1000+'Inputs'!$B$21)+'Inputs'!$B$9)^2+('Inputs'!$B$8/2)^2)-(((955-43)*MAX('Inputs'!$B$33,'Inputs'!$B$29+'Inputs'!$B$31+'Inputs'!$B$32,'Inputs'!$B$30+'Inputs'!$B$31+'Inputs'!$B$32)/1000+'Inputs'!$B$21))/SQRT((((955-43)*MAX('Inputs'!$B$33,'Inputs'!$B$29+'Inputs'!$B$31+'Inputs'!$B$32,'Inputs'!$B$30+'Inputs'!$B$31+'Inputs'!$B$32)/1000+'Inputs'!$B$21))^2+('Inputs'!$B$8/2)^2)))-'Results'!B7*(1-'Inputs'!$B$24)*(0.5*((((955-43)*MAX('Inputs'!$B$33,'Inputs'!$B$29+'Inputs'!$B$31+'Inputs'!$B$32,'Inputs'!$B$30+'Inputs'!$B$31+'Inputs'!$B$32)/1000+'Inputs'!$B$21+'Inputs'!$B$9+'Inputs'!$B$10)+'Inputs'!$B$7)/SQRT((((955-43)*MAX('Inputs'!$B$33,'Inputs'!$B$29+'Inputs'!$B$31+'Inputs'!$B$32,'Inputs'!$B$30+'Inputs'!$B$31+'Inputs'!$B$32)/1000+'Inputs'!$B$21+'Inputs'!$B$9+'Inputs'!$B$10)+'Inputs'!$B$7)^2+('Inputs'!$B$6/2)^2)-(((955-43)*MAX('Inputs'!$B$33,'Inputs'!$B$29+'Inputs'!$B$31+'Inputs'!$B$32,'Inputs'!$B$30+'Inputs'!$B$31+'Inputs'!$B$32)/1000+'Inputs'!$B$21+'Inputs'!$B$9+'Inputs'!$B$10))/SQRT((((955-43)*MAX('Inputs'!$B$33,'Inputs'!$B$29+'Inputs'!$B$31+'Inputs'!$B$32,'Inputs'!$B$30+'Inputs'!$B$31+'Inputs'!$B$32)/1000+'Inputs'!$B$21+'Inputs'!$B$9+'Inputs'!$B$10))^2+('Inputs'!$B$6/2)^2))))*'Results'!$B$8)+'Inputs'!$B$28*ABS((('Results'!C7*(1+'Inputs'!$B$24)*(0.5*((((955-43)*MAX('Inputs'!$B$33,'Inputs'!$B$29+'Inputs'!$B$31+'Inputs'!$B$32,'Inputs'!$B$30+'Inputs'!$B$31+'Inputs'!$B$32)/1000+'Inputs'!$B$21)+'Inputs'!$B$9)/SQRT((((955-43)*MAX('Inputs'!$B$33,'Inputs'!$B$29+'Inputs'!$B$31+'Inputs'!$B$32,'Inputs'!$B$30+'Inputs'!$B$31+'Inputs'!$B$32)/1000+'Inputs'!$B$21)+'Inputs'!$B$9)^2+('Inputs'!$B$8/2)^2)-(((955-43)*MAX('Inputs'!$B$33,'Inputs'!$B$29+'Inputs'!$B$31+'Inputs'!$B$32,'Inputs'!$B$30+'Inputs'!$B$31+'Inputs'!$B$32)/1000+'Inputs'!$B$21))/SQRT((((955-43)*MAX('Inputs'!$B$33,'Inputs'!$B$29+'Inputs'!$B$31+'Inputs'!$B$32,'Inputs'!$B$30+'Inputs'!$B$31+'Inputs'!$B$32)/1000+'Inputs'!$B$21))^2+('Inputs'!$B$8/2)^2)))-'Results'!B7*(1-'Inputs'!$B$24)*(0.5*((((955-43)*MAX('Inputs'!$B$33,'Inputs'!$B$29+'Inputs'!$B$31+'Inputs'!$B$32,'Inputs'!$B$30+'Inputs'!$B$31+'Inputs'!$B$32)/1000+'Inputs'!$B$21+'Inputs'!$B$9+'Inputs'!$B$10)+'Inputs'!$B$7)/SQRT((((955-43)*MAX('Inputs'!$B$33,'Inputs'!$B$29+'Inputs'!$B$31+'Inputs'!$B$32,'Inputs'!$B$30+'Inputs'!$B$31+'Inputs'!$B$32)/1000+'Inputs'!$B$21+'Inputs'!$B$9+'Inputs'!$B$10)+'Inputs'!$B$7)^2+('Inputs'!$B$6/2)^2)-(((955-43)*MAX('Inputs'!$B$33,'Inputs'!$B$29+'Inputs'!$B$31+'Inputs'!$B$32,'Inputs'!$B$30+'Inputs'!$B$31+'Inputs'!$B$32)/1000+'Inputs'!$B$21+'Inputs'!$B$9+'Inputs'!$B$10))/SQRT((((955-43)*MAX('Inputs'!$B$33,'Inputs'!$B$29+'Inputs'!$B$31+'Inputs'!$B$32,'Inputs'!$B$30+'Inputs'!$B$31+'Inputs'!$B$32)/1000+'Inputs'!$B$21+'Inputs'!$B$9+'Inputs'!$B$10))^2+('Inputs'!$B$6/2)^2))))*'Results'!$B$8))),"")</x:f>
        <x:v>0.5237613320245137</x:v>
      </x:c>
      <x:c r="P955" t="n">
        <x:f>IF(AND(MAX(J955,J954)&gt;0,J955&gt;J954+0.00000001),1,0)</x:f>
        <x:v>0</x:v>
      </x:c>
      <x:c r="Q955" t="n">
        <x:f>IF(AND(MAX(K955,K954)&gt;0,K955&gt;K954+0.00000001),1,0)</x:f>
        <x:v>0</x:v>
      </x:c>
      <x:c r="R955" t="n">
        <x:f>IF(AND(MAX(L955,L954)&gt;0,L955&gt;L954+0.00000001),1,0)</x:f>
        <x:v>0</x:v>
      </x:c>
      <x:c r="S955" t="n">
        <x:f>IF(AND(MAX(M955,M954)&gt;0,M955&gt;M954+0.00000001),1,0)</x:f>
        <x:v>0</x:v>
      </x:c>
      <x:c r="T955" t="n">
        <x:f>IF(AND(MAX(N955,N954)&gt;0,N955&gt;N954+0.00000001),1,0)</x:f>
        <x:v>0</x:v>
      </x:c>
      <x:c r="U955" t="n">
        <x:f>IF(AND(MAX(O955,O954)&gt;0,O955&gt;O954+0.00000001),1,0)</x:f>
        <x:v>0</x:v>
      </x:c>
    </x:row>
    <x:row r="956">
      <x:c r="J956" t="n">
        <x:f>IF(AND(ISNUMBER('Results'!B7),ISNUMBER('Results'!C7),ISNUMBER('Results'!$B$8),ISNUMBER('Inputs'!$B$6),ISNUMBER('Inputs'!$B$7),ISNUMBER('Inputs'!$B$8),ISNUMBER('Inputs'!$B$9),ISNUMBER('Inputs'!$B$10),ISNUMBER('Inputs'!$B$21),ISNUMBER('Inputs'!$B$24),ISNUMBER('Inputs'!$B$28)),(('Results'!B7*(0.5*((((956-43)*MAX('Inputs'!$B$33,'Inputs'!$B$29+'Inputs'!$B$31+'Inputs'!$B$32,'Inputs'!$B$30+'Inputs'!$B$31+'Inputs'!$B$32)/1000+'Inputs'!$B$21)+'Inputs'!$B$7)/SQRT((((956-43)*MAX('Inputs'!$B$33,'Inputs'!$B$29+'Inputs'!$B$31+'Inputs'!$B$32,'Inputs'!$B$30+'Inputs'!$B$31+'Inputs'!$B$32)/1000+'Inputs'!$B$21)+'Inputs'!$B$7)^2+('Inputs'!$B$6/2)^2)-(((956-43)*MAX('Inputs'!$B$33,'Inputs'!$B$29+'Inputs'!$B$31+'Inputs'!$B$32,'Inputs'!$B$30+'Inputs'!$B$31+'Inputs'!$B$32)/1000+'Inputs'!$B$21))/SQRT((((956-43)*MAX('Inputs'!$B$33,'Inputs'!$B$29+'Inputs'!$B$31+'Inputs'!$B$32,'Inputs'!$B$30+'Inputs'!$B$31+'Inputs'!$B$32)/1000+'Inputs'!$B$21))^2+('Inputs'!$B$6/2)^2)))-'Results'!C7*(0.5*((((956-43)*MAX('Inputs'!$B$33,'Inputs'!$B$29+'Inputs'!$B$31+'Inputs'!$B$32,'Inputs'!$B$30+'Inputs'!$B$31+'Inputs'!$B$32)/1000+'Inputs'!$B$21+'Inputs'!$B$7+'Inputs'!$B$10)+'Inputs'!$B$9)/SQRT((((956-43)*MAX('Inputs'!$B$33,'Inputs'!$B$29+'Inputs'!$B$31+'Inputs'!$B$32,'Inputs'!$B$30+'Inputs'!$B$31+'Inputs'!$B$32)/1000+'Inputs'!$B$21+'Inputs'!$B$7+'Inputs'!$B$10)+'Inputs'!$B$9)^2+('Inputs'!$B$8/2)^2)-(((956-43)*MAX('Inputs'!$B$33,'Inputs'!$B$29+'Inputs'!$B$31+'Inputs'!$B$32,'Inputs'!$B$30+'Inputs'!$B$31+'Inputs'!$B$32)/1000+'Inputs'!$B$21+'Inputs'!$B$7+'Inputs'!$B$10))/SQRT((((956-43)*MAX('Inputs'!$B$33,'Inputs'!$B$29+'Inputs'!$B$31+'Inputs'!$B$32,'Inputs'!$B$30+'Inputs'!$B$31+'Inputs'!$B$32)/1000+'Inputs'!$B$21+'Inputs'!$B$7+'Inputs'!$B$10))^2+('Inputs'!$B$8/2)^2))))*'Results'!$B$8),"")</x:f>
        <x:v>0.4974880213430439</x:v>
      </x:c>
      <x:c r="K956" t="n">
        <x:f>IF(AND(ISNUMBER('Results'!B7),ISNUMBER('Results'!C7),ISNUMBER('Results'!$B$8),ISNUMBER('Inputs'!$B$6),ISNUMBER('Inputs'!$B$7),ISNUMBER('Inputs'!$B$8),ISNUMBER('Inputs'!$B$9),ISNUMBER('Inputs'!$B$10),ISNUMBER('Inputs'!$B$21),ISNUMBER('Inputs'!$B$24),ISNUMBER('Inputs'!$B$28)),((('Results'!B7*(1-'Inputs'!$B$24)*(0.5*((((956-43)*MAX('Inputs'!$B$33,'Inputs'!$B$29+'Inputs'!$B$31+'Inputs'!$B$32,'Inputs'!$B$30+'Inputs'!$B$31+'Inputs'!$B$32)/1000+'Inputs'!$B$21)+'Inputs'!$B$7)/SQRT((((956-43)*MAX('Inputs'!$B$33,'Inputs'!$B$29+'Inputs'!$B$31+'Inputs'!$B$32,'Inputs'!$B$30+'Inputs'!$B$31+'Inputs'!$B$32)/1000+'Inputs'!$B$21)+'Inputs'!$B$7)^2+('Inputs'!$B$6/2)^2)-(((956-43)*MAX('Inputs'!$B$33,'Inputs'!$B$29+'Inputs'!$B$31+'Inputs'!$B$32,'Inputs'!$B$30+'Inputs'!$B$31+'Inputs'!$B$32)/1000+'Inputs'!$B$21))/SQRT((((956-43)*MAX('Inputs'!$B$33,'Inputs'!$B$29+'Inputs'!$B$31+'Inputs'!$B$32,'Inputs'!$B$30+'Inputs'!$B$31+'Inputs'!$B$32)/1000+'Inputs'!$B$21))^2+('Inputs'!$B$6/2)^2)))-'Results'!C7*(1+'Inputs'!$B$24)*(0.5*((((956-43)*MAX('Inputs'!$B$33,'Inputs'!$B$29+'Inputs'!$B$31+'Inputs'!$B$32,'Inputs'!$B$30+'Inputs'!$B$31+'Inputs'!$B$32)/1000+'Inputs'!$B$21+'Inputs'!$B$7+'Inputs'!$B$10)+'Inputs'!$B$9)/SQRT((((956-43)*MAX('Inputs'!$B$33,'Inputs'!$B$29+'Inputs'!$B$31+'Inputs'!$B$32,'Inputs'!$B$30+'Inputs'!$B$31+'Inputs'!$B$32)/1000+'Inputs'!$B$21+'Inputs'!$B$7+'Inputs'!$B$10)+'Inputs'!$B$9)^2+('Inputs'!$B$8/2)^2)-(((956-43)*MAX('Inputs'!$B$33,'Inputs'!$B$29+'Inputs'!$B$31+'Inputs'!$B$32,'Inputs'!$B$30+'Inputs'!$B$31+'Inputs'!$B$32)/1000+'Inputs'!$B$21+'Inputs'!$B$7+'Inputs'!$B$10))/SQRT((((956-43)*MAX('Inputs'!$B$33,'Inputs'!$B$29+'Inputs'!$B$31+'Inputs'!$B$32,'Inputs'!$B$30+'Inputs'!$B$31+'Inputs'!$B$32)/1000+'Inputs'!$B$21+'Inputs'!$B$7+'Inputs'!$B$10))^2+('Inputs'!$B$8/2)^2))))*'Results'!$B$8)-'Inputs'!$B$28*ABS((('Results'!B7*(1-'Inputs'!$B$24)*(0.5*((((956-43)*MAX('Inputs'!$B$33,'Inputs'!$B$29+'Inputs'!$B$31+'Inputs'!$B$32,'Inputs'!$B$30+'Inputs'!$B$31+'Inputs'!$B$32)/1000+'Inputs'!$B$21)+'Inputs'!$B$7)/SQRT((((956-43)*MAX('Inputs'!$B$33,'Inputs'!$B$29+'Inputs'!$B$31+'Inputs'!$B$32,'Inputs'!$B$30+'Inputs'!$B$31+'Inputs'!$B$32)/1000+'Inputs'!$B$21)+'Inputs'!$B$7)^2+('Inputs'!$B$6/2)^2)-(((956-43)*MAX('Inputs'!$B$33,'Inputs'!$B$29+'Inputs'!$B$31+'Inputs'!$B$32,'Inputs'!$B$30+'Inputs'!$B$31+'Inputs'!$B$32)/1000+'Inputs'!$B$21))/SQRT((((956-43)*MAX('Inputs'!$B$33,'Inputs'!$B$29+'Inputs'!$B$31+'Inputs'!$B$32,'Inputs'!$B$30+'Inputs'!$B$31+'Inputs'!$B$32)/1000+'Inputs'!$B$21))^2+('Inputs'!$B$6/2)^2)))-'Results'!C7*(1+'Inputs'!$B$24)*(0.5*((((956-43)*MAX('Inputs'!$B$33,'Inputs'!$B$29+'Inputs'!$B$31+'Inputs'!$B$32,'Inputs'!$B$30+'Inputs'!$B$31+'Inputs'!$B$32)/1000+'Inputs'!$B$21+'Inputs'!$B$7+'Inputs'!$B$10)+'Inputs'!$B$9)/SQRT((((956-43)*MAX('Inputs'!$B$33,'Inputs'!$B$29+'Inputs'!$B$31+'Inputs'!$B$32,'Inputs'!$B$30+'Inputs'!$B$31+'Inputs'!$B$32)/1000+'Inputs'!$B$21+'Inputs'!$B$7+'Inputs'!$B$10)+'Inputs'!$B$9)^2+('Inputs'!$B$8/2)^2)-(((956-43)*MAX('Inputs'!$B$33,'Inputs'!$B$29+'Inputs'!$B$31+'Inputs'!$B$32,'Inputs'!$B$30+'Inputs'!$B$31+'Inputs'!$B$32)/1000+'Inputs'!$B$21+'Inputs'!$B$7+'Inputs'!$B$10))/SQRT((((956-43)*MAX('Inputs'!$B$33,'Inputs'!$B$29+'Inputs'!$B$31+'Inputs'!$B$32,'Inputs'!$B$30+'Inputs'!$B$31+'Inputs'!$B$32)/1000+'Inputs'!$B$21+'Inputs'!$B$7+'Inputs'!$B$10))^2+('Inputs'!$B$8/2)^2))))*'Results'!$B$8))),"")</x:f>
        <x:v>0.4203883177189792</x:v>
      </x:c>
      <x:c r="L956" t="n">
        <x:f>IF(AND(ISNUMBER('Results'!B7),ISNUMBER('Results'!C7),ISNUMBER('Results'!$B$8),ISNUMBER('Inputs'!$B$6),ISNUMBER('Inputs'!$B$7),ISNUMBER('Inputs'!$B$8),ISNUMBER('Inputs'!$B$9),ISNUMBER('Inputs'!$B$10),ISNUMBER('Inputs'!$B$21),ISNUMBER('Inputs'!$B$24),ISNUMBER('Inputs'!$B$28)),((('Results'!B7*(1+'Inputs'!$B$24)*(0.5*((((956-43)*MAX('Inputs'!$B$33,'Inputs'!$B$29+'Inputs'!$B$31+'Inputs'!$B$32,'Inputs'!$B$30+'Inputs'!$B$31+'Inputs'!$B$32)/1000+'Inputs'!$B$21)+'Inputs'!$B$7)/SQRT((((956-43)*MAX('Inputs'!$B$33,'Inputs'!$B$29+'Inputs'!$B$31+'Inputs'!$B$32,'Inputs'!$B$30+'Inputs'!$B$31+'Inputs'!$B$32)/1000+'Inputs'!$B$21)+'Inputs'!$B$7)^2+('Inputs'!$B$6/2)^2)-(((956-43)*MAX('Inputs'!$B$33,'Inputs'!$B$29+'Inputs'!$B$31+'Inputs'!$B$32,'Inputs'!$B$30+'Inputs'!$B$31+'Inputs'!$B$32)/1000+'Inputs'!$B$21))/SQRT((((956-43)*MAX('Inputs'!$B$33,'Inputs'!$B$29+'Inputs'!$B$31+'Inputs'!$B$32,'Inputs'!$B$30+'Inputs'!$B$31+'Inputs'!$B$32)/1000+'Inputs'!$B$21))^2+('Inputs'!$B$6/2)^2)))-'Results'!C7*(1-'Inputs'!$B$24)*(0.5*((((956-43)*MAX('Inputs'!$B$33,'Inputs'!$B$29+'Inputs'!$B$31+'Inputs'!$B$32,'Inputs'!$B$30+'Inputs'!$B$31+'Inputs'!$B$32)/1000+'Inputs'!$B$21+'Inputs'!$B$7+'Inputs'!$B$10)+'Inputs'!$B$9)/SQRT((((956-43)*MAX('Inputs'!$B$33,'Inputs'!$B$29+'Inputs'!$B$31+'Inputs'!$B$32,'Inputs'!$B$30+'Inputs'!$B$31+'Inputs'!$B$32)/1000+'Inputs'!$B$21+'Inputs'!$B$7+'Inputs'!$B$10)+'Inputs'!$B$9)^2+('Inputs'!$B$8/2)^2)-(((956-43)*MAX('Inputs'!$B$33,'Inputs'!$B$29+'Inputs'!$B$31+'Inputs'!$B$32,'Inputs'!$B$30+'Inputs'!$B$31+'Inputs'!$B$32)/1000+'Inputs'!$B$21+'Inputs'!$B$7+'Inputs'!$B$10))/SQRT((((956-43)*MAX('Inputs'!$B$33,'Inputs'!$B$29+'Inputs'!$B$31+'Inputs'!$B$32,'Inputs'!$B$30+'Inputs'!$B$31+'Inputs'!$B$32)/1000+'Inputs'!$B$21+'Inputs'!$B$7+'Inputs'!$B$10))^2+('Inputs'!$B$8/2)^2))))*'Results'!$B$8)+'Inputs'!$B$28*ABS((('Results'!B7*(1+'Inputs'!$B$24)*(0.5*((((956-43)*MAX('Inputs'!$B$33,'Inputs'!$B$29+'Inputs'!$B$31+'Inputs'!$B$32,'Inputs'!$B$30+'Inputs'!$B$31+'Inputs'!$B$32)/1000+'Inputs'!$B$21)+'Inputs'!$B$7)/SQRT((((956-43)*MAX('Inputs'!$B$33,'Inputs'!$B$29+'Inputs'!$B$31+'Inputs'!$B$32,'Inputs'!$B$30+'Inputs'!$B$31+'Inputs'!$B$32)/1000+'Inputs'!$B$21)+'Inputs'!$B$7)^2+('Inputs'!$B$6/2)^2)-(((956-43)*MAX('Inputs'!$B$33,'Inputs'!$B$29+'Inputs'!$B$31+'Inputs'!$B$32,'Inputs'!$B$30+'Inputs'!$B$31+'Inputs'!$B$32)/1000+'Inputs'!$B$21))/SQRT((((956-43)*MAX('Inputs'!$B$33,'Inputs'!$B$29+'Inputs'!$B$31+'Inputs'!$B$32,'Inputs'!$B$30+'Inputs'!$B$31+'Inputs'!$B$32)/1000+'Inputs'!$B$21))^2+('Inputs'!$B$6/2)^2)))-'Results'!C7*(1-'Inputs'!$B$24)*(0.5*((((956-43)*MAX('Inputs'!$B$33,'Inputs'!$B$29+'Inputs'!$B$31+'Inputs'!$B$32,'Inputs'!$B$30+'Inputs'!$B$31+'Inputs'!$B$32)/1000+'Inputs'!$B$21+'Inputs'!$B$7+'Inputs'!$B$10)+'Inputs'!$B$9)/SQRT((((956-43)*MAX('Inputs'!$B$33,'Inputs'!$B$29+'Inputs'!$B$31+'Inputs'!$B$32,'Inputs'!$B$30+'Inputs'!$B$31+'Inputs'!$B$32)/1000+'Inputs'!$B$21+'Inputs'!$B$7+'Inputs'!$B$10)+'Inputs'!$B$9)^2+('Inputs'!$B$8/2)^2)-(((956-43)*MAX('Inputs'!$B$33,'Inputs'!$B$29+'Inputs'!$B$31+'Inputs'!$B$32,'Inputs'!$B$30+'Inputs'!$B$31+'Inputs'!$B$32)/1000+'Inputs'!$B$21+'Inputs'!$B$7+'Inputs'!$B$10))/SQRT((((956-43)*MAX('Inputs'!$B$33,'Inputs'!$B$29+'Inputs'!$B$31+'Inputs'!$B$32,'Inputs'!$B$30+'Inputs'!$B$31+'Inputs'!$B$32)/1000+'Inputs'!$B$21+'Inputs'!$B$7+'Inputs'!$B$10))^2+('Inputs'!$B$8/2)^2))))*'Results'!$B$8))),"")</x:f>
        <x:v>0.5800851252362571</x:v>
      </x:c>
      <x:c r="M956" t="n">
        <x:f>IF(AND(ISNUMBER('Results'!C7),ISNUMBER('Results'!B7),ISNUMBER('Results'!$B$8),ISNUMBER('Inputs'!$B$6),ISNUMBER('Inputs'!$B$7),ISNUMBER('Inputs'!$B$8),ISNUMBER('Inputs'!$B$9),ISNUMBER('Inputs'!$B$10),ISNUMBER('Inputs'!$B$21),ISNUMBER('Inputs'!$B$24),ISNUMBER('Inputs'!$B$28)),(('Results'!C7*(0.5*((((956-43)*MAX('Inputs'!$B$33,'Inputs'!$B$29+'Inputs'!$B$31+'Inputs'!$B$32,'Inputs'!$B$30+'Inputs'!$B$31+'Inputs'!$B$32)/1000+'Inputs'!$B$21)+'Inputs'!$B$9)/SQRT((((956-43)*MAX('Inputs'!$B$33,'Inputs'!$B$29+'Inputs'!$B$31+'Inputs'!$B$32,'Inputs'!$B$30+'Inputs'!$B$31+'Inputs'!$B$32)/1000+'Inputs'!$B$21)+'Inputs'!$B$9)^2+('Inputs'!$B$8/2)^2)-(((956-43)*MAX('Inputs'!$B$33,'Inputs'!$B$29+'Inputs'!$B$31+'Inputs'!$B$32,'Inputs'!$B$30+'Inputs'!$B$31+'Inputs'!$B$32)/1000+'Inputs'!$B$21))/SQRT((((956-43)*MAX('Inputs'!$B$33,'Inputs'!$B$29+'Inputs'!$B$31+'Inputs'!$B$32,'Inputs'!$B$30+'Inputs'!$B$31+'Inputs'!$B$32)/1000+'Inputs'!$B$21))^2+('Inputs'!$B$8/2)^2)))-'Results'!B7*(0.5*((((956-43)*MAX('Inputs'!$B$33,'Inputs'!$B$29+'Inputs'!$B$31+'Inputs'!$B$32,'Inputs'!$B$30+'Inputs'!$B$31+'Inputs'!$B$32)/1000+'Inputs'!$B$21+'Inputs'!$B$9+'Inputs'!$B$10)+'Inputs'!$B$7)/SQRT((((956-43)*MAX('Inputs'!$B$33,'Inputs'!$B$29+'Inputs'!$B$31+'Inputs'!$B$32,'Inputs'!$B$30+'Inputs'!$B$31+'Inputs'!$B$32)/1000+'Inputs'!$B$21+'Inputs'!$B$9+'Inputs'!$B$10)+'Inputs'!$B$7)^2+('Inputs'!$B$6/2)^2)-(((956-43)*MAX('Inputs'!$B$33,'Inputs'!$B$29+'Inputs'!$B$31+'Inputs'!$B$32,'Inputs'!$B$30+'Inputs'!$B$31+'Inputs'!$B$32)/1000+'Inputs'!$B$21+'Inputs'!$B$9+'Inputs'!$B$10))/SQRT((((956-43)*MAX('Inputs'!$B$33,'Inputs'!$B$29+'Inputs'!$B$31+'Inputs'!$B$32,'Inputs'!$B$30+'Inputs'!$B$31+'Inputs'!$B$32)/1000+'Inputs'!$B$21+'Inputs'!$B$9+'Inputs'!$B$10))^2+('Inputs'!$B$6/2)^2))))*'Results'!$B$8),"")</x:f>
        <x:v>0.44205458760804067</x:v>
      </x:c>
      <x:c r="N956" t="n">
        <x:f>IF(AND(ISNUMBER('Results'!C7),ISNUMBER('Results'!B7),ISNUMBER('Results'!$B$8),ISNUMBER('Inputs'!$B$6),ISNUMBER('Inputs'!$B$7),ISNUMBER('Inputs'!$B$8),ISNUMBER('Inputs'!$B$9),ISNUMBER('Inputs'!$B$10),ISNUMBER('Inputs'!$B$21),ISNUMBER('Inputs'!$B$24),ISNUMBER('Inputs'!$B$28)),((('Results'!C7*(1-'Inputs'!$B$24)*(0.5*((((956-43)*MAX('Inputs'!$B$33,'Inputs'!$B$29+'Inputs'!$B$31+'Inputs'!$B$32,'Inputs'!$B$30+'Inputs'!$B$31+'Inputs'!$B$32)/1000+'Inputs'!$B$21)+'Inputs'!$B$9)/SQRT((((956-43)*MAX('Inputs'!$B$33,'Inputs'!$B$29+'Inputs'!$B$31+'Inputs'!$B$32,'Inputs'!$B$30+'Inputs'!$B$31+'Inputs'!$B$32)/1000+'Inputs'!$B$21)+'Inputs'!$B$9)^2+('Inputs'!$B$8/2)^2)-(((956-43)*MAX('Inputs'!$B$33,'Inputs'!$B$29+'Inputs'!$B$31+'Inputs'!$B$32,'Inputs'!$B$30+'Inputs'!$B$31+'Inputs'!$B$32)/1000+'Inputs'!$B$21))/SQRT((((956-43)*MAX('Inputs'!$B$33,'Inputs'!$B$29+'Inputs'!$B$31+'Inputs'!$B$32,'Inputs'!$B$30+'Inputs'!$B$31+'Inputs'!$B$32)/1000+'Inputs'!$B$21))^2+('Inputs'!$B$8/2)^2)))-'Results'!B7*(1+'Inputs'!$B$24)*(0.5*((((956-43)*MAX('Inputs'!$B$33,'Inputs'!$B$29+'Inputs'!$B$31+'Inputs'!$B$32,'Inputs'!$B$30+'Inputs'!$B$31+'Inputs'!$B$32)/1000+'Inputs'!$B$21+'Inputs'!$B$9+'Inputs'!$B$10)+'Inputs'!$B$7)/SQRT((((956-43)*MAX('Inputs'!$B$33,'Inputs'!$B$29+'Inputs'!$B$31+'Inputs'!$B$32,'Inputs'!$B$30+'Inputs'!$B$31+'Inputs'!$B$32)/1000+'Inputs'!$B$21+'Inputs'!$B$9+'Inputs'!$B$10)+'Inputs'!$B$7)^2+('Inputs'!$B$6/2)^2)-(((956-43)*MAX('Inputs'!$B$33,'Inputs'!$B$29+'Inputs'!$B$31+'Inputs'!$B$32,'Inputs'!$B$30+'Inputs'!$B$31+'Inputs'!$B$32)/1000+'Inputs'!$B$21+'Inputs'!$B$9+'Inputs'!$B$10))/SQRT((((956-43)*MAX('Inputs'!$B$33,'Inputs'!$B$29+'Inputs'!$B$31+'Inputs'!$B$32,'Inputs'!$B$30+'Inputs'!$B$31+'Inputs'!$B$32)/1000+'Inputs'!$B$21+'Inputs'!$B$9+'Inputs'!$B$10))^2+('Inputs'!$B$6/2)^2))))*'Results'!$B$8)-'Inputs'!$B$28*ABS((('Results'!C7*(1-'Inputs'!$B$24)*(0.5*((((956-43)*MAX('Inputs'!$B$33,'Inputs'!$B$29+'Inputs'!$B$31+'Inputs'!$B$32,'Inputs'!$B$30+'Inputs'!$B$31+'Inputs'!$B$32)/1000+'Inputs'!$B$21)+'Inputs'!$B$9)/SQRT((((956-43)*MAX('Inputs'!$B$33,'Inputs'!$B$29+'Inputs'!$B$31+'Inputs'!$B$32,'Inputs'!$B$30+'Inputs'!$B$31+'Inputs'!$B$32)/1000+'Inputs'!$B$21)+'Inputs'!$B$9)^2+('Inputs'!$B$8/2)^2)-(((956-43)*MAX('Inputs'!$B$33,'Inputs'!$B$29+'Inputs'!$B$31+'Inputs'!$B$32,'Inputs'!$B$30+'Inputs'!$B$31+'Inputs'!$B$32)/1000+'Inputs'!$B$21))/SQRT((((956-43)*MAX('Inputs'!$B$33,'Inputs'!$B$29+'Inputs'!$B$31+'Inputs'!$B$32,'Inputs'!$B$30+'Inputs'!$B$31+'Inputs'!$B$32)/1000+'Inputs'!$B$21))^2+('Inputs'!$B$8/2)^2)))-'Results'!B7*(1+'Inputs'!$B$24)*(0.5*((((956-43)*MAX('Inputs'!$B$33,'Inputs'!$B$29+'Inputs'!$B$31+'Inputs'!$B$32,'Inputs'!$B$30+'Inputs'!$B$31+'Inputs'!$B$32)/1000+'Inputs'!$B$21+'Inputs'!$B$9+'Inputs'!$B$10)+'Inputs'!$B$7)/SQRT((((956-43)*MAX('Inputs'!$B$33,'Inputs'!$B$29+'Inputs'!$B$31+'Inputs'!$B$32,'Inputs'!$B$30+'Inputs'!$B$31+'Inputs'!$B$32)/1000+'Inputs'!$B$21+'Inputs'!$B$9+'Inputs'!$B$10)+'Inputs'!$B$7)^2+('Inputs'!$B$6/2)^2)-(((956-43)*MAX('Inputs'!$B$33,'Inputs'!$B$29+'Inputs'!$B$31+'Inputs'!$B$32,'Inputs'!$B$30+'Inputs'!$B$31+'Inputs'!$B$32)/1000+'Inputs'!$B$21+'Inputs'!$B$9+'Inputs'!$B$10))/SQRT((((956-43)*MAX('Inputs'!$B$33,'Inputs'!$B$29+'Inputs'!$B$31+'Inputs'!$B$32,'Inputs'!$B$30+'Inputs'!$B$31+'Inputs'!$B$32)/1000+'Inputs'!$B$21+'Inputs'!$B$9+'Inputs'!$B$10))^2+('Inputs'!$B$6/2)^2))))*'Results'!$B$8))),"")</x:f>
        <x:v>0.3679068719290093</x:v>
      </x:c>
      <x:c r="O956" t="n">
        <x:f>IF(AND(ISNUMBER('Results'!C7),ISNUMBER('Results'!B7),ISNUMBER('Results'!$B$8),ISNUMBER('Inputs'!$B$6),ISNUMBER('Inputs'!$B$7),ISNUMBER('Inputs'!$B$8),ISNUMBER('Inputs'!$B$9),ISNUMBER('Inputs'!$B$10),ISNUMBER('Inputs'!$B$21),ISNUMBER('Inputs'!$B$24),ISNUMBER('Inputs'!$B$28)),((('Results'!C7*(1+'Inputs'!$B$24)*(0.5*((((956-43)*MAX('Inputs'!$B$33,'Inputs'!$B$29+'Inputs'!$B$31+'Inputs'!$B$32,'Inputs'!$B$30+'Inputs'!$B$31+'Inputs'!$B$32)/1000+'Inputs'!$B$21)+'Inputs'!$B$9)/SQRT((((956-43)*MAX('Inputs'!$B$33,'Inputs'!$B$29+'Inputs'!$B$31+'Inputs'!$B$32,'Inputs'!$B$30+'Inputs'!$B$31+'Inputs'!$B$32)/1000+'Inputs'!$B$21)+'Inputs'!$B$9)^2+('Inputs'!$B$8/2)^2)-(((956-43)*MAX('Inputs'!$B$33,'Inputs'!$B$29+'Inputs'!$B$31+'Inputs'!$B$32,'Inputs'!$B$30+'Inputs'!$B$31+'Inputs'!$B$32)/1000+'Inputs'!$B$21))/SQRT((((956-43)*MAX('Inputs'!$B$33,'Inputs'!$B$29+'Inputs'!$B$31+'Inputs'!$B$32,'Inputs'!$B$30+'Inputs'!$B$31+'Inputs'!$B$32)/1000+'Inputs'!$B$21))^2+('Inputs'!$B$8/2)^2)))-'Results'!B7*(1-'Inputs'!$B$24)*(0.5*((((956-43)*MAX('Inputs'!$B$33,'Inputs'!$B$29+'Inputs'!$B$31+'Inputs'!$B$32,'Inputs'!$B$30+'Inputs'!$B$31+'Inputs'!$B$32)/1000+'Inputs'!$B$21+'Inputs'!$B$9+'Inputs'!$B$10)+'Inputs'!$B$7)/SQRT((((956-43)*MAX('Inputs'!$B$33,'Inputs'!$B$29+'Inputs'!$B$31+'Inputs'!$B$32,'Inputs'!$B$30+'Inputs'!$B$31+'Inputs'!$B$32)/1000+'Inputs'!$B$21+'Inputs'!$B$9+'Inputs'!$B$10)+'Inputs'!$B$7)^2+('Inputs'!$B$6/2)^2)-(((956-43)*MAX('Inputs'!$B$33,'Inputs'!$B$29+'Inputs'!$B$31+'Inputs'!$B$32,'Inputs'!$B$30+'Inputs'!$B$31+'Inputs'!$B$32)/1000+'Inputs'!$B$21+'Inputs'!$B$9+'Inputs'!$B$10))/SQRT((((956-43)*MAX('Inputs'!$B$33,'Inputs'!$B$29+'Inputs'!$B$31+'Inputs'!$B$32,'Inputs'!$B$30+'Inputs'!$B$31+'Inputs'!$B$32)/1000+'Inputs'!$B$21+'Inputs'!$B$9+'Inputs'!$B$10))^2+('Inputs'!$B$6/2)^2))))*'Results'!$B$8)+'Inputs'!$B$28*ABS((('Results'!C7*(1+'Inputs'!$B$24)*(0.5*((((956-43)*MAX('Inputs'!$B$33,'Inputs'!$B$29+'Inputs'!$B$31+'Inputs'!$B$32,'Inputs'!$B$30+'Inputs'!$B$31+'Inputs'!$B$32)/1000+'Inputs'!$B$21)+'Inputs'!$B$9)/SQRT((((956-43)*MAX('Inputs'!$B$33,'Inputs'!$B$29+'Inputs'!$B$31+'Inputs'!$B$32,'Inputs'!$B$30+'Inputs'!$B$31+'Inputs'!$B$32)/1000+'Inputs'!$B$21)+'Inputs'!$B$9)^2+('Inputs'!$B$8/2)^2)-(((956-43)*MAX('Inputs'!$B$33,'Inputs'!$B$29+'Inputs'!$B$31+'Inputs'!$B$32,'Inputs'!$B$30+'Inputs'!$B$31+'Inputs'!$B$32)/1000+'Inputs'!$B$21))/SQRT((((956-43)*MAX('Inputs'!$B$33,'Inputs'!$B$29+'Inputs'!$B$31+'Inputs'!$B$32,'Inputs'!$B$30+'Inputs'!$B$31+'Inputs'!$B$32)/1000+'Inputs'!$B$21))^2+('Inputs'!$B$8/2)^2)))-'Results'!B7*(1-'Inputs'!$B$24)*(0.5*((((956-43)*MAX('Inputs'!$B$33,'Inputs'!$B$29+'Inputs'!$B$31+'Inputs'!$B$32,'Inputs'!$B$30+'Inputs'!$B$31+'Inputs'!$B$32)/1000+'Inputs'!$B$21+'Inputs'!$B$9+'Inputs'!$B$10)+'Inputs'!$B$7)/SQRT((((956-43)*MAX('Inputs'!$B$33,'Inputs'!$B$29+'Inputs'!$B$31+'Inputs'!$B$32,'Inputs'!$B$30+'Inputs'!$B$31+'Inputs'!$B$32)/1000+'Inputs'!$B$21+'Inputs'!$B$9+'Inputs'!$B$10)+'Inputs'!$B$7)^2+('Inputs'!$B$6/2)^2)-(((956-43)*MAX('Inputs'!$B$33,'Inputs'!$B$29+'Inputs'!$B$31+'Inputs'!$B$32,'Inputs'!$B$30+'Inputs'!$B$31+'Inputs'!$B$32)/1000+'Inputs'!$B$21+'Inputs'!$B$9+'Inputs'!$B$10))/SQRT((((956-43)*MAX('Inputs'!$B$33,'Inputs'!$B$29+'Inputs'!$B$31+'Inputs'!$B$32,'Inputs'!$B$30+'Inputs'!$B$31+'Inputs'!$B$32)/1000+'Inputs'!$B$21+'Inputs'!$B$9+'Inputs'!$B$10))^2+('Inputs'!$B$6/2)^2))))*'Results'!$B$8))),"")</x:f>
        <x:v>0.5216807228974536</x:v>
      </x:c>
      <x:c r="P956" t="n">
        <x:f>IF(AND(MAX(J956,J955)&gt;0,J956&gt;J955+0.00000001),1,0)</x:f>
        <x:v>0</x:v>
      </x:c>
      <x:c r="Q956" t="n">
        <x:f>IF(AND(MAX(K956,K955)&gt;0,K956&gt;K955+0.00000001),1,0)</x:f>
        <x:v>0</x:v>
      </x:c>
      <x:c r="R956" t="n">
        <x:f>IF(AND(MAX(L956,L955)&gt;0,L956&gt;L955+0.00000001),1,0)</x:f>
        <x:v>0</x:v>
      </x:c>
      <x:c r="S956" t="n">
        <x:f>IF(AND(MAX(M956,M955)&gt;0,M956&gt;M955+0.00000001),1,0)</x:f>
        <x:v>0</x:v>
      </x:c>
      <x:c r="T956" t="n">
        <x:f>IF(AND(MAX(N956,N955)&gt;0,N956&gt;N955+0.00000001),1,0)</x:f>
        <x:v>0</x:v>
      </x:c>
      <x:c r="U956" t="n">
        <x:f>IF(AND(MAX(O956,O955)&gt;0,O956&gt;O955+0.00000001),1,0)</x:f>
        <x:v>0</x:v>
      </x:c>
    </x:row>
    <x:row r="957">
      <x:c r="J957" t="n">
        <x:f>IF(AND(ISNUMBER('Results'!B7),ISNUMBER('Results'!C7),ISNUMBER('Results'!$B$8),ISNUMBER('Inputs'!$B$6),ISNUMBER('Inputs'!$B$7),ISNUMBER('Inputs'!$B$8),ISNUMBER('Inputs'!$B$9),ISNUMBER('Inputs'!$B$10),ISNUMBER('Inputs'!$B$21),ISNUMBER('Inputs'!$B$24),ISNUMBER('Inputs'!$B$28)),(('Results'!B7*(0.5*((((957-43)*MAX('Inputs'!$B$33,'Inputs'!$B$29+'Inputs'!$B$31+'Inputs'!$B$32,'Inputs'!$B$30+'Inputs'!$B$31+'Inputs'!$B$32)/1000+'Inputs'!$B$21)+'Inputs'!$B$7)/SQRT((((957-43)*MAX('Inputs'!$B$33,'Inputs'!$B$29+'Inputs'!$B$31+'Inputs'!$B$32,'Inputs'!$B$30+'Inputs'!$B$31+'Inputs'!$B$32)/1000+'Inputs'!$B$21)+'Inputs'!$B$7)^2+('Inputs'!$B$6/2)^2)-(((957-43)*MAX('Inputs'!$B$33,'Inputs'!$B$29+'Inputs'!$B$31+'Inputs'!$B$32,'Inputs'!$B$30+'Inputs'!$B$31+'Inputs'!$B$32)/1000+'Inputs'!$B$21))/SQRT((((957-43)*MAX('Inputs'!$B$33,'Inputs'!$B$29+'Inputs'!$B$31+'Inputs'!$B$32,'Inputs'!$B$30+'Inputs'!$B$31+'Inputs'!$B$32)/1000+'Inputs'!$B$21))^2+('Inputs'!$B$6/2)^2)))-'Results'!C7*(0.5*((((957-43)*MAX('Inputs'!$B$33,'Inputs'!$B$29+'Inputs'!$B$31+'Inputs'!$B$32,'Inputs'!$B$30+'Inputs'!$B$31+'Inputs'!$B$32)/1000+'Inputs'!$B$21+'Inputs'!$B$7+'Inputs'!$B$10)+'Inputs'!$B$9)/SQRT((((957-43)*MAX('Inputs'!$B$33,'Inputs'!$B$29+'Inputs'!$B$31+'Inputs'!$B$32,'Inputs'!$B$30+'Inputs'!$B$31+'Inputs'!$B$32)/1000+'Inputs'!$B$21+'Inputs'!$B$7+'Inputs'!$B$10)+'Inputs'!$B$9)^2+('Inputs'!$B$8/2)^2)-(((957-43)*MAX('Inputs'!$B$33,'Inputs'!$B$29+'Inputs'!$B$31+'Inputs'!$B$32,'Inputs'!$B$30+'Inputs'!$B$31+'Inputs'!$B$32)/1000+'Inputs'!$B$21+'Inputs'!$B$7+'Inputs'!$B$10))/SQRT((((957-43)*MAX('Inputs'!$B$33,'Inputs'!$B$29+'Inputs'!$B$31+'Inputs'!$B$32,'Inputs'!$B$30+'Inputs'!$B$31+'Inputs'!$B$32)/1000+'Inputs'!$B$21+'Inputs'!$B$7+'Inputs'!$B$10))^2+('Inputs'!$B$8/2)^2))))*'Results'!$B$8),"")</x:f>
        <x:v>0.4955142967697131</x:v>
      </x:c>
      <x:c r="K957" t="n">
        <x:f>IF(AND(ISNUMBER('Results'!B7),ISNUMBER('Results'!C7),ISNUMBER('Results'!$B$8),ISNUMBER('Inputs'!$B$6),ISNUMBER('Inputs'!$B$7),ISNUMBER('Inputs'!$B$8),ISNUMBER('Inputs'!$B$9),ISNUMBER('Inputs'!$B$10),ISNUMBER('Inputs'!$B$21),ISNUMBER('Inputs'!$B$24),ISNUMBER('Inputs'!$B$28)),((('Results'!B7*(1-'Inputs'!$B$24)*(0.5*((((957-43)*MAX('Inputs'!$B$33,'Inputs'!$B$29+'Inputs'!$B$31+'Inputs'!$B$32,'Inputs'!$B$30+'Inputs'!$B$31+'Inputs'!$B$32)/1000+'Inputs'!$B$21)+'Inputs'!$B$7)/SQRT((((957-43)*MAX('Inputs'!$B$33,'Inputs'!$B$29+'Inputs'!$B$31+'Inputs'!$B$32,'Inputs'!$B$30+'Inputs'!$B$31+'Inputs'!$B$32)/1000+'Inputs'!$B$21)+'Inputs'!$B$7)^2+('Inputs'!$B$6/2)^2)-(((957-43)*MAX('Inputs'!$B$33,'Inputs'!$B$29+'Inputs'!$B$31+'Inputs'!$B$32,'Inputs'!$B$30+'Inputs'!$B$31+'Inputs'!$B$32)/1000+'Inputs'!$B$21))/SQRT((((957-43)*MAX('Inputs'!$B$33,'Inputs'!$B$29+'Inputs'!$B$31+'Inputs'!$B$32,'Inputs'!$B$30+'Inputs'!$B$31+'Inputs'!$B$32)/1000+'Inputs'!$B$21))^2+('Inputs'!$B$6/2)^2)))-'Results'!C7*(1+'Inputs'!$B$24)*(0.5*((((957-43)*MAX('Inputs'!$B$33,'Inputs'!$B$29+'Inputs'!$B$31+'Inputs'!$B$32,'Inputs'!$B$30+'Inputs'!$B$31+'Inputs'!$B$32)/1000+'Inputs'!$B$21+'Inputs'!$B$7+'Inputs'!$B$10)+'Inputs'!$B$9)/SQRT((((957-43)*MAX('Inputs'!$B$33,'Inputs'!$B$29+'Inputs'!$B$31+'Inputs'!$B$32,'Inputs'!$B$30+'Inputs'!$B$31+'Inputs'!$B$32)/1000+'Inputs'!$B$21+'Inputs'!$B$7+'Inputs'!$B$10)+'Inputs'!$B$9)^2+('Inputs'!$B$8/2)^2)-(((957-43)*MAX('Inputs'!$B$33,'Inputs'!$B$29+'Inputs'!$B$31+'Inputs'!$B$32,'Inputs'!$B$30+'Inputs'!$B$31+'Inputs'!$B$32)/1000+'Inputs'!$B$21+'Inputs'!$B$7+'Inputs'!$B$10))/SQRT((((957-43)*MAX('Inputs'!$B$33,'Inputs'!$B$29+'Inputs'!$B$31+'Inputs'!$B$32,'Inputs'!$B$30+'Inputs'!$B$31+'Inputs'!$B$32)/1000+'Inputs'!$B$21+'Inputs'!$B$7+'Inputs'!$B$10))^2+('Inputs'!$B$8/2)^2))))*'Results'!$B$8)-'Inputs'!$B$28*ABS((('Results'!B7*(1-'Inputs'!$B$24)*(0.5*((((957-43)*MAX('Inputs'!$B$33,'Inputs'!$B$29+'Inputs'!$B$31+'Inputs'!$B$32,'Inputs'!$B$30+'Inputs'!$B$31+'Inputs'!$B$32)/1000+'Inputs'!$B$21)+'Inputs'!$B$7)/SQRT((((957-43)*MAX('Inputs'!$B$33,'Inputs'!$B$29+'Inputs'!$B$31+'Inputs'!$B$32,'Inputs'!$B$30+'Inputs'!$B$31+'Inputs'!$B$32)/1000+'Inputs'!$B$21)+'Inputs'!$B$7)^2+('Inputs'!$B$6/2)^2)-(((957-43)*MAX('Inputs'!$B$33,'Inputs'!$B$29+'Inputs'!$B$31+'Inputs'!$B$32,'Inputs'!$B$30+'Inputs'!$B$31+'Inputs'!$B$32)/1000+'Inputs'!$B$21))/SQRT((((957-43)*MAX('Inputs'!$B$33,'Inputs'!$B$29+'Inputs'!$B$31+'Inputs'!$B$32,'Inputs'!$B$30+'Inputs'!$B$31+'Inputs'!$B$32)/1000+'Inputs'!$B$21))^2+('Inputs'!$B$6/2)^2)))-'Results'!C7*(1+'Inputs'!$B$24)*(0.5*((((957-43)*MAX('Inputs'!$B$33,'Inputs'!$B$29+'Inputs'!$B$31+'Inputs'!$B$32,'Inputs'!$B$30+'Inputs'!$B$31+'Inputs'!$B$32)/1000+'Inputs'!$B$21+'Inputs'!$B$7+'Inputs'!$B$10)+'Inputs'!$B$9)/SQRT((((957-43)*MAX('Inputs'!$B$33,'Inputs'!$B$29+'Inputs'!$B$31+'Inputs'!$B$32,'Inputs'!$B$30+'Inputs'!$B$31+'Inputs'!$B$32)/1000+'Inputs'!$B$21+'Inputs'!$B$7+'Inputs'!$B$10)+'Inputs'!$B$9)^2+('Inputs'!$B$8/2)^2)-(((957-43)*MAX('Inputs'!$B$33,'Inputs'!$B$29+'Inputs'!$B$31+'Inputs'!$B$32,'Inputs'!$B$30+'Inputs'!$B$31+'Inputs'!$B$32)/1000+'Inputs'!$B$21+'Inputs'!$B$7+'Inputs'!$B$10))/SQRT((((957-43)*MAX('Inputs'!$B$33,'Inputs'!$B$29+'Inputs'!$B$31+'Inputs'!$B$32,'Inputs'!$B$30+'Inputs'!$B$31+'Inputs'!$B$32)/1000+'Inputs'!$B$21+'Inputs'!$B$7+'Inputs'!$B$10))^2+('Inputs'!$B$8/2)^2))))*'Results'!$B$8))),"")</x:f>
        <x:v>0.4186724038741663</x:v>
      </x:c>
      <x:c r="L957" t="n">
        <x:f>IF(AND(ISNUMBER('Results'!B7),ISNUMBER('Results'!C7),ISNUMBER('Results'!$B$8),ISNUMBER('Inputs'!$B$6),ISNUMBER('Inputs'!$B$7),ISNUMBER('Inputs'!$B$8),ISNUMBER('Inputs'!$B$9),ISNUMBER('Inputs'!$B$10),ISNUMBER('Inputs'!$B$21),ISNUMBER('Inputs'!$B$24),ISNUMBER('Inputs'!$B$28)),((('Results'!B7*(1+'Inputs'!$B$24)*(0.5*((((957-43)*MAX('Inputs'!$B$33,'Inputs'!$B$29+'Inputs'!$B$31+'Inputs'!$B$32,'Inputs'!$B$30+'Inputs'!$B$31+'Inputs'!$B$32)/1000+'Inputs'!$B$21)+'Inputs'!$B$7)/SQRT((((957-43)*MAX('Inputs'!$B$33,'Inputs'!$B$29+'Inputs'!$B$31+'Inputs'!$B$32,'Inputs'!$B$30+'Inputs'!$B$31+'Inputs'!$B$32)/1000+'Inputs'!$B$21)+'Inputs'!$B$7)^2+('Inputs'!$B$6/2)^2)-(((957-43)*MAX('Inputs'!$B$33,'Inputs'!$B$29+'Inputs'!$B$31+'Inputs'!$B$32,'Inputs'!$B$30+'Inputs'!$B$31+'Inputs'!$B$32)/1000+'Inputs'!$B$21))/SQRT((((957-43)*MAX('Inputs'!$B$33,'Inputs'!$B$29+'Inputs'!$B$31+'Inputs'!$B$32,'Inputs'!$B$30+'Inputs'!$B$31+'Inputs'!$B$32)/1000+'Inputs'!$B$21))^2+('Inputs'!$B$6/2)^2)))-'Results'!C7*(1-'Inputs'!$B$24)*(0.5*((((957-43)*MAX('Inputs'!$B$33,'Inputs'!$B$29+'Inputs'!$B$31+'Inputs'!$B$32,'Inputs'!$B$30+'Inputs'!$B$31+'Inputs'!$B$32)/1000+'Inputs'!$B$21+'Inputs'!$B$7+'Inputs'!$B$10)+'Inputs'!$B$9)/SQRT((((957-43)*MAX('Inputs'!$B$33,'Inputs'!$B$29+'Inputs'!$B$31+'Inputs'!$B$32,'Inputs'!$B$30+'Inputs'!$B$31+'Inputs'!$B$32)/1000+'Inputs'!$B$21+'Inputs'!$B$7+'Inputs'!$B$10)+'Inputs'!$B$9)^2+('Inputs'!$B$8/2)^2)-(((957-43)*MAX('Inputs'!$B$33,'Inputs'!$B$29+'Inputs'!$B$31+'Inputs'!$B$32,'Inputs'!$B$30+'Inputs'!$B$31+'Inputs'!$B$32)/1000+'Inputs'!$B$21+'Inputs'!$B$7+'Inputs'!$B$10))/SQRT((((957-43)*MAX('Inputs'!$B$33,'Inputs'!$B$29+'Inputs'!$B$31+'Inputs'!$B$32,'Inputs'!$B$30+'Inputs'!$B$31+'Inputs'!$B$32)/1000+'Inputs'!$B$21+'Inputs'!$B$7+'Inputs'!$B$10))^2+('Inputs'!$B$8/2)^2))))*'Results'!$B$8)+'Inputs'!$B$28*ABS((('Results'!B7*(1+'Inputs'!$B$24)*(0.5*((((957-43)*MAX('Inputs'!$B$33,'Inputs'!$B$29+'Inputs'!$B$31+'Inputs'!$B$32,'Inputs'!$B$30+'Inputs'!$B$31+'Inputs'!$B$32)/1000+'Inputs'!$B$21)+'Inputs'!$B$7)/SQRT((((957-43)*MAX('Inputs'!$B$33,'Inputs'!$B$29+'Inputs'!$B$31+'Inputs'!$B$32,'Inputs'!$B$30+'Inputs'!$B$31+'Inputs'!$B$32)/1000+'Inputs'!$B$21)+'Inputs'!$B$7)^2+('Inputs'!$B$6/2)^2)-(((957-43)*MAX('Inputs'!$B$33,'Inputs'!$B$29+'Inputs'!$B$31+'Inputs'!$B$32,'Inputs'!$B$30+'Inputs'!$B$31+'Inputs'!$B$32)/1000+'Inputs'!$B$21))/SQRT((((957-43)*MAX('Inputs'!$B$33,'Inputs'!$B$29+'Inputs'!$B$31+'Inputs'!$B$32,'Inputs'!$B$30+'Inputs'!$B$31+'Inputs'!$B$32)/1000+'Inputs'!$B$21))^2+('Inputs'!$B$6/2)^2)))-'Results'!C7*(1-'Inputs'!$B$24)*(0.5*((((957-43)*MAX('Inputs'!$B$33,'Inputs'!$B$29+'Inputs'!$B$31+'Inputs'!$B$32,'Inputs'!$B$30+'Inputs'!$B$31+'Inputs'!$B$32)/1000+'Inputs'!$B$21+'Inputs'!$B$7+'Inputs'!$B$10)+'Inputs'!$B$9)/SQRT((((957-43)*MAX('Inputs'!$B$33,'Inputs'!$B$29+'Inputs'!$B$31+'Inputs'!$B$32,'Inputs'!$B$30+'Inputs'!$B$31+'Inputs'!$B$32)/1000+'Inputs'!$B$21+'Inputs'!$B$7+'Inputs'!$B$10)+'Inputs'!$B$9)^2+('Inputs'!$B$8/2)^2)-(((957-43)*MAX('Inputs'!$B$33,'Inputs'!$B$29+'Inputs'!$B$31+'Inputs'!$B$32,'Inputs'!$B$30+'Inputs'!$B$31+'Inputs'!$B$32)/1000+'Inputs'!$B$21+'Inputs'!$B$7+'Inputs'!$B$10))/SQRT((((957-43)*MAX('Inputs'!$B$33,'Inputs'!$B$29+'Inputs'!$B$31+'Inputs'!$B$32,'Inputs'!$B$30+'Inputs'!$B$31+'Inputs'!$B$32)/1000+'Inputs'!$B$21+'Inputs'!$B$7+'Inputs'!$B$10))^2+('Inputs'!$B$8/2)^2))))*'Results'!$B$8))),"")</x:f>
        <x:v>0.5778368399870559</x:v>
      </x:c>
      <x:c r="M957" t="n">
        <x:f>IF(AND(ISNUMBER('Results'!C7),ISNUMBER('Results'!B7),ISNUMBER('Results'!$B$8),ISNUMBER('Inputs'!$B$6),ISNUMBER('Inputs'!$B$7),ISNUMBER('Inputs'!$B$8),ISNUMBER('Inputs'!$B$9),ISNUMBER('Inputs'!$B$10),ISNUMBER('Inputs'!$B$21),ISNUMBER('Inputs'!$B$24),ISNUMBER('Inputs'!$B$28)),(('Results'!C7*(0.5*((((957-43)*MAX('Inputs'!$B$33,'Inputs'!$B$29+'Inputs'!$B$31+'Inputs'!$B$32,'Inputs'!$B$30+'Inputs'!$B$31+'Inputs'!$B$32)/1000+'Inputs'!$B$21)+'Inputs'!$B$9)/SQRT((((957-43)*MAX('Inputs'!$B$33,'Inputs'!$B$29+'Inputs'!$B$31+'Inputs'!$B$32,'Inputs'!$B$30+'Inputs'!$B$31+'Inputs'!$B$32)/1000+'Inputs'!$B$21)+'Inputs'!$B$9)^2+('Inputs'!$B$8/2)^2)-(((957-43)*MAX('Inputs'!$B$33,'Inputs'!$B$29+'Inputs'!$B$31+'Inputs'!$B$32,'Inputs'!$B$30+'Inputs'!$B$31+'Inputs'!$B$32)/1000+'Inputs'!$B$21))/SQRT((((957-43)*MAX('Inputs'!$B$33,'Inputs'!$B$29+'Inputs'!$B$31+'Inputs'!$B$32,'Inputs'!$B$30+'Inputs'!$B$31+'Inputs'!$B$32)/1000+'Inputs'!$B$21))^2+('Inputs'!$B$8/2)^2)))-'Results'!B7*(0.5*((((957-43)*MAX('Inputs'!$B$33,'Inputs'!$B$29+'Inputs'!$B$31+'Inputs'!$B$32,'Inputs'!$B$30+'Inputs'!$B$31+'Inputs'!$B$32)/1000+'Inputs'!$B$21+'Inputs'!$B$9+'Inputs'!$B$10)+'Inputs'!$B$7)/SQRT((((957-43)*MAX('Inputs'!$B$33,'Inputs'!$B$29+'Inputs'!$B$31+'Inputs'!$B$32,'Inputs'!$B$30+'Inputs'!$B$31+'Inputs'!$B$32)/1000+'Inputs'!$B$21+'Inputs'!$B$9+'Inputs'!$B$10)+'Inputs'!$B$7)^2+('Inputs'!$B$6/2)^2)-(((957-43)*MAX('Inputs'!$B$33,'Inputs'!$B$29+'Inputs'!$B$31+'Inputs'!$B$32,'Inputs'!$B$30+'Inputs'!$B$31+'Inputs'!$B$32)/1000+'Inputs'!$B$21+'Inputs'!$B$9+'Inputs'!$B$10))/SQRT((((957-43)*MAX('Inputs'!$B$33,'Inputs'!$B$29+'Inputs'!$B$31+'Inputs'!$B$32,'Inputs'!$B$30+'Inputs'!$B$31+'Inputs'!$B$32)/1000+'Inputs'!$B$21+'Inputs'!$B$9+'Inputs'!$B$10))^2+('Inputs'!$B$6/2)^2))))*'Results'!$B$8),"")</x:f>
        <x:v>0.44024966888560535</x:v>
      </x:c>
      <x:c r="N957" t="n">
        <x:f>IF(AND(ISNUMBER('Results'!C7),ISNUMBER('Results'!B7),ISNUMBER('Results'!$B$8),ISNUMBER('Inputs'!$B$6),ISNUMBER('Inputs'!$B$7),ISNUMBER('Inputs'!$B$8),ISNUMBER('Inputs'!$B$9),ISNUMBER('Inputs'!$B$10),ISNUMBER('Inputs'!$B$21),ISNUMBER('Inputs'!$B$24),ISNUMBER('Inputs'!$B$28)),((('Results'!C7*(1-'Inputs'!$B$24)*(0.5*((((957-43)*MAX('Inputs'!$B$33,'Inputs'!$B$29+'Inputs'!$B$31+'Inputs'!$B$32,'Inputs'!$B$30+'Inputs'!$B$31+'Inputs'!$B$32)/1000+'Inputs'!$B$21)+'Inputs'!$B$9)/SQRT((((957-43)*MAX('Inputs'!$B$33,'Inputs'!$B$29+'Inputs'!$B$31+'Inputs'!$B$32,'Inputs'!$B$30+'Inputs'!$B$31+'Inputs'!$B$32)/1000+'Inputs'!$B$21)+'Inputs'!$B$9)^2+('Inputs'!$B$8/2)^2)-(((957-43)*MAX('Inputs'!$B$33,'Inputs'!$B$29+'Inputs'!$B$31+'Inputs'!$B$32,'Inputs'!$B$30+'Inputs'!$B$31+'Inputs'!$B$32)/1000+'Inputs'!$B$21))/SQRT((((957-43)*MAX('Inputs'!$B$33,'Inputs'!$B$29+'Inputs'!$B$31+'Inputs'!$B$32,'Inputs'!$B$30+'Inputs'!$B$31+'Inputs'!$B$32)/1000+'Inputs'!$B$21))^2+('Inputs'!$B$8/2)^2)))-'Results'!B7*(1+'Inputs'!$B$24)*(0.5*((((957-43)*MAX('Inputs'!$B$33,'Inputs'!$B$29+'Inputs'!$B$31+'Inputs'!$B$32,'Inputs'!$B$30+'Inputs'!$B$31+'Inputs'!$B$32)/1000+'Inputs'!$B$21+'Inputs'!$B$9+'Inputs'!$B$10)+'Inputs'!$B$7)/SQRT((((957-43)*MAX('Inputs'!$B$33,'Inputs'!$B$29+'Inputs'!$B$31+'Inputs'!$B$32,'Inputs'!$B$30+'Inputs'!$B$31+'Inputs'!$B$32)/1000+'Inputs'!$B$21+'Inputs'!$B$9+'Inputs'!$B$10)+'Inputs'!$B$7)^2+('Inputs'!$B$6/2)^2)-(((957-43)*MAX('Inputs'!$B$33,'Inputs'!$B$29+'Inputs'!$B$31+'Inputs'!$B$32,'Inputs'!$B$30+'Inputs'!$B$31+'Inputs'!$B$32)/1000+'Inputs'!$B$21+'Inputs'!$B$9+'Inputs'!$B$10))/SQRT((((957-43)*MAX('Inputs'!$B$33,'Inputs'!$B$29+'Inputs'!$B$31+'Inputs'!$B$32,'Inputs'!$B$30+'Inputs'!$B$31+'Inputs'!$B$32)/1000+'Inputs'!$B$21+'Inputs'!$B$9+'Inputs'!$B$10))^2+('Inputs'!$B$6/2)^2))))*'Results'!$B$8)-'Inputs'!$B$28*ABS((('Results'!C7*(1-'Inputs'!$B$24)*(0.5*((((957-43)*MAX('Inputs'!$B$33,'Inputs'!$B$29+'Inputs'!$B$31+'Inputs'!$B$32,'Inputs'!$B$30+'Inputs'!$B$31+'Inputs'!$B$32)/1000+'Inputs'!$B$21)+'Inputs'!$B$9)/SQRT((((957-43)*MAX('Inputs'!$B$33,'Inputs'!$B$29+'Inputs'!$B$31+'Inputs'!$B$32,'Inputs'!$B$30+'Inputs'!$B$31+'Inputs'!$B$32)/1000+'Inputs'!$B$21)+'Inputs'!$B$9)^2+('Inputs'!$B$8/2)^2)-(((957-43)*MAX('Inputs'!$B$33,'Inputs'!$B$29+'Inputs'!$B$31+'Inputs'!$B$32,'Inputs'!$B$30+'Inputs'!$B$31+'Inputs'!$B$32)/1000+'Inputs'!$B$21))/SQRT((((957-43)*MAX('Inputs'!$B$33,'Inputs'!$B$29+'Inputs'!$B$31+'Inputs'!$B$32,'Inputs'!$B$30+'Inputs'!$B$31+'Inputs'!$B$32)/1000+'Inputs'!$B$21))^2+('Inputs'!$B$8/2)^2)))-'Results'!B7*(1+'Inputs'!$B$24)*(0.5*((((957-43)*MAX('Inputs'!$B$33,'Inputs'!$B$29+'Inputs'!$B$31+'Inputs'!$B$32,'Inputs'!$B$30+'Inputs'!$B$31+'Inputs'!$B$32)/1000+'Inputs'!$B$21+'Inputs'!$B$9+'Inputs'!$B$10)+'Inputs'!$B$7)/SQRT((((957-43)*MAX('Inputs'!$B$33,'Inputs'!$B$29+'Inputs'!$B$31+'Inputs'!$B$32,'Inputs'!$B$30+'Inputs'!$B$31+'Inputs'!$B$32)/1000+'Inputs'!$B$21+'Inputs'!$B$9+'Inputs'!$B$10)+'Inputs'!$B$7)^2+('Inputs'!$B$6/2)^2)-(((957-43)*MAX('Inputs'!$B$33,'Inputs'!$B$29+'Inputs'!$B$31+'Inputs'!$B$32,'Inputs'!$B$30+'Inputs'!$B$31+'Inputs'!$B$32)/1000+'Inputs'!$B$21+'Inputs'!$B$9+'Inputs'!$B$10))/SQRT((((957-43)*MAX('Inputs'!$B$33,'Inputs'!$B$29+'Inputs'!$B$31+'Inputs'!$B$32,'Inputs'!$B$30+'Inputs'!$B$31+'Inputs'!$B$32)/1000+'Inputs'!$B$21+'Inputs'!$B$9+'Inputs'!$B$10))^2+('Inputs'!$B$6/2)^2))))*'Results'!$B$8))),"")</x:f>
        <x:v>0.3663505984483798</x:v>
      </x:c>
      <x:c r="O957" t="n">
        <x:f>IF(AND(ISNUMBER('Results'!C7),ISNUMBER('Results'!B7),ISNUMBER('Results'!$B$8),ISNUMBER('Inputs'!$B$6),ISNUMBER('Inputs'!$B$7),ISNUMBER('Inputs'!$B$8),ISNUMBER('Inputs'!$B$9),ISNUMBER('Inputs'!$B$10),ISNUMBER('Inputs'!$B$21),ISNUMBER('Inputs'!$B$24),ISNUMBER('Inputs'!$B$28)),((('Results'!C7*(1+'Inputs'!$B$24)*(0.5*((((957-43)*MAX('Inputs'!$B$33,'Inputs'!$B$29+'Inputs'!$B$31+'Inputs'!$B$32,'Inputs'!$B$30+'Inputs'!$B$31+'Inputs'!$B$32)/1000+'Inputs'!$B$21)+'Inputs'!$B$9)/SQRT((((957-43)*MAX('Inputs'!$B$33,'Inputs'!$B$29+'Inputs'!$B$31+'Inputs'!$B$32,'Inputs'!$B$30+'Inputs'!$B$31+'Inputs'!$B$32)/1000+'Inputs'!$B$21)+'Inputs'!$B$9)^2+('Inputs'!$B$8/2)^2)-(((957-43)*MAX('Inputs'!$B$33,'Inputs'!$B$29+'Inputs'!$B$31+'Inputs'!$B$32,'Inputs'!$B$30+'Inputs'!$B$31+'Inputs'!$B$32)/1000+'Inputs'!$B$21))/SQRT((((957-43)*MAX('Inputs'!$B$33,'Inputs'!$B$29+'Inputs'!$B$31+'Inputs'!$B$32,'Inputs'!$B$30+'Inputs'!$B$31+'Inputs'!$B$32)/1000+'Inputs'!$B$21))^2+('Inputs'!$B$8/2)^2)))-'Results'!B7*(1-'Inputs'!$B$24)*(0.5*((((957-43)*MAX('Inputs'!$B$33,'Inputs'!$B$29+'Inputs'!$B$31+'Inputs'!$B$32,'Inputs'!$B$30+'Inputs'!$B$31+'Inputs'!$B$32)/1000+'Inputs'!$B$21+'Inputs'!$B$9+'Inputs'!$B$10)+'Inputs'!$B$7)/SQRT((((957-43)*MAX('Inputs'!$B$33,'Inputs'!$B$29+'Inputs'!$B$31+'Inputs'!$B$32,'Inputs'!$B$30+'Inputs'!$B$31+'Inputs'!$B$32)/1000+'Inputs'!$B$21+'Inputs'!$B$9+'Inputs'!$B$10)+'Inputs'!$B$7)^2+('Inputs'!$B$6/2)^2)-(((957-43)*MAX('Inputs'!$B$33,'Inputs'!$B$29+'Inputs'!$B$31+'Inputs'!$B$32,'Inputs'!$B$30+'Inputs'!$B$31+'Inputs'!$B$32)/1000+'Inputs'!$B$21+'Inputs'!$B$9+'Inputs'!$B$10))/SQRT((((957-43)*MAX('Inputs'!$B$33,'Inputs'!$B$29+'Inputs'!$B$31+'Inputs'!$B$32,'Inputs'!$B$30+'Inputs'!$B$31+'Inputs'!$B$32)/1000+'Inputs'!$B$21+'Inputs'!$B$9+'Inputs'!$B$10))^2+('Inputs'!$B$6/2)^2))))*'Results'!$B$8)+'Inputs'!$B$28*ABS((('Results'!C7*(1+'Inputs'!$B$24)*(0.5*((((957-43)*MAX('Inputs'!$B$33,'Inputs'!$B$29+'Inputs'!$B$31+'Inputs'!$B$32,'Inputs'!$B$30+'Inputs'!$B$31+'Inputs'!$B$32)/1000+'Inputs'!$B$21)+'Inputs'!$B$9)/SQRT((((957-43)*MAX('Inputs'!$B$33,'Inputs'!$B$29+'Inputs'!$B$31+'Inputs'!$B$32,'Inputs'!$B$30+'Inputs'!$B$31+'Inputs'!$B$32)/1000+'Inputs'!$B$21)+'Inputs'!$B$9)^2+('Inputs'!$B$8/2)^2)-(((957-43)*MAX('Inputs'!$B$33,'Inputs'!$B$29+'Inputs'!$B$31+'Inputs'!$B$32,'Inputs'!$B$30+'Inputs'!$B$31+'Inputs'!$B$32)/1000+'Inputs'!$B$21))/SQRT((((957-43)*MAX('Inputs'!$B$33,'Inputs'!$B$29+'Inputs'!$B$31+'Inputs'!$B$32,'Inputs'!$B$30+'Inputs'!$B$31+'Inputs'!$B$32)/1000+'Inputs'!$B$21))^2+('Inputs'!$B$8/2)^2)))-'Results'!B7*(1-'Inputs'!$B$24)*(0.5*((((957-43)*MAX('Inputs'!$B$33,'Inputs'!$B$29+'Inputs'!$B$31+'Inputs'!$B$32,'Inputs'!$B$30+'Inputs'!$B$31+'Inputs'!$B$32)/1000+'Inputs'!$B$21+'Inputs'!$B$9+'Inputs'!$B$10)+'Inputs'!$B$7)/SQRT((((957-43)*MAX('Inputs'!$B$33,'Inputs'!$B$29+'Inputs'!$B$31+'Inputs'!$B$32,'Inputs'!$B$30+'Inputs'!$B$31+'Inputs'!$B$32)/1000+'Inputs'!$B$21+'Inputs'!$B$9+'Inputs'!$B$10)+'Inputs'!$B$7)^2+('Inputs'!$B$6/2)^2)-(((957-43)*MAX('Inputs'!$B$33,'Inputs'!$B$29+'Inputs'!$B$31+'Inputs'!$B$32,'Inputs'!$B$30+'Inputs'!$B$31+'Inputs'!$B$32)/1000+'Inputs'!$B$21+'Inputs'!$B$9+'Inputs'!$B$10))/SQRT((((957-43)*MAX('Inputs'!$B$33,'Inputs'!$B$29+'Inputs'!$B$31+'Inputs'!$B$32,'Inputs'!$B$30+'Inputs'!$B$31+'Inputs'!$B$32)/1000+'Inputs'!$B$21+'Inputs'!$B$9+'Inputs'!$B$10))^2+('Inputs'!$B$6/2)^2))))*'Results'!$B$8))),"")</x:f>
        <x:v>0.5196104853220888</x:v>
      </x:c>
      <x:c r="P957" t="n">
        <x:f>IF(AND(MAX(J957,J956)&gt;0,J957&gt;J956+0.00000001),1,0)</x:f>
        <x:v>0</x:v>
      </x:c>
      <x:c r="Q957" t="n">
        <x:f>IF(AND(MAX(K957,K956)&gt;0,K957&gt;K956+0.00000001),1,0)</x:f>
        <x:v>0</x:v>
      </x:c>
      <x:c r="R957" t="n">
        <x:f>IF(AND(MAX(L957,L956)&gt;0,L957&gt;L956+0.00000001),1,0)</x:f>
        <x:v>0</x:v>
      </x:c>
      <x:c r="S957" t="n">
        <x:f>IF(AND(MAX(M957,M956)&gt;0,M957&gt;M956+0.00000001),1,0)</x:f>
        <x:v>0</x:v>
      </x:c>
      <x:c r="T957" t="n">
        <x:f>IF(AND(MAX(N957,N956)&gt;0,N957&gt;N956+0.00000001),1,0)</x:f>
        <x:v>0</x:v>
      </x:c>
      <x:c r="U957" t="n">
        <x:f>IF(AND(MAX(O957,O956)&gt;0,O957&gt;O956+0.00000001),1,0)</x:f>
        <x:v>0</x:v>
      </x:c>
    </x:row>
    <x:row r="958">
      <x:c r="J958" t="n">
        <x:f>IF(AND(ISNUMBER('Results'!B7),ISNUMBER('Results'!C7),ISNUMBER('Results'!$B$8),ISNUMBER('Inputs'!$B$6),ISNUMBER('Inputs'!$B$7),ISNUMBER('Inputs'!$B$8),ISNUMBER('Inputs'!$B$9),ISNUMBER('Inputs'!$B$10),ISNUMBER('Inputs'!$B$21),ISNUMBER('Inputs'!$B$24),ISNUMBER('Inputs'!$B$28)),(('Results'!B7*(0.5*((((958-43)*MAX('Inputs'!$B$33,'Inputs'!$B$29+'Inputs'!$B$31+'Inputs'!$B$32,'Inputs'!$B$30+'Inputs'!$B$31+'Inputs'!$B$32)/1000+'Inputs'!$B$21)+'Inputs'!$B$7)/SQRT((((958-43)*MAX('Inputs'!$B$33,'Inputs'!$B$29+'Inputs'!$B$31+'Inputs'!$B$32,'Inputs'!$B$30+'Inputs'!$B$31+'Inputs'!$B$32)/1000+'Inputs'!$B$21)+'Inputs'!$B$7)^2+('Inputs'!$B$6/2)^2)-(((958-43)*MAX('Inputs'!$B$33,'Inputs'!$B$29+'Inputs'!$B$31+'Inputs'!$B$32,'Inputs'!$B$30+'Inputs'!$B$31+'Inputs'!$B$32)/1000+'Inputs'!$B$21))/SQRT((((958-43)*MAX('Inputs'!$B$33,'Inputs'!$B$29+'Inputs'!$B$31+'Inputs'!$B$32,'Inputs'!$B$30+'Inputs'!$B$31+'Inputs'!$B$32)/1000+'Inputs'!$B$21))^2+('Inputs'!$B$6/2)^2)))-'Results'!C7*(0.5*((((958-43)*MAX('Inputs'!$B$33,'Inputs'!$B$29+'Inputs'!$B$31+'Inputs'!$B$32,'Inputs'!$B$30+'Inputs'!$B$31+'Inputs'!$B$32)/1000+'Inputs'!$B$21+'Inputs'!$B$7+'Inputs'!$B$10)+'Inputs'!$B$9)/SQRT((((958-43)*MAX('Inputs'!$B$33,'Inputs'!$B$29+'Inputs'!$B$31+'Inputs'!$B$32,'Inputs'!$B$30+'Inputs'!$B$31+'Inputs'!$B$32)/1000+'Inputs'!$B$21+'Inputs'!$B$7+'Inputs'!$B$10)+'Inputs'!$B$9)^2+('Inputs'!$B$8/2)^2)-(((958-43)*MAX('Inputs'!$B$33,'Inputs'!$B$29+'Inputs'!$B$31+'Inputs'!$B$32,'Inputs'!$B$30+'Inputs'!$B$31+'Inputs'!$B$32)/1000+'Inputs'!$B$21+'Inputs'!$B$7+'Inputs'!$B$10))/SQRT((((958-43)*MAX('Inputs'!$B$33,'Inputs'!$B$29+'Inputs'!$B$31+'Inputs'!$B$32,'Inputs'!$B$30+'Inputs'!$B$31+'Inputs'!$B$32)/1000+'Inputs'!$B$21+'Inputs'!$B$7+'Inputs'!$B$10))^2+('Inputs'!$B$8/2)^2))))*'Results'!$B$8),"")</x:f>
        <x:v>0.49355039947903007</x:v>
      </x:c>
      <x:c r="K958" t="n">
        <x:f>IF(AND(ISNUMBER('Results'!B7),ISNUMBER('Results'!C7),ISNUMBER('Results'!$B$8),ISNUMBER('Inputs'!$B$6),ISNUMBER('Inputs'!$B$7),ISNUMBER('Inputs'!$B$8),ISNUMBER('Inputs'!$B$9),ISNUMBER('Inputs'!$B$10),ISNUMBER('Inputs'!$B$21),ISNUMBER('Inputs'!$B$24),ISNUMBER('Inputs'!$B$28)),((('Results'!B7*(1-'Inputs'!$B$24)*(0.5*((((958-43)*MAX('Inputs'!$B$33,'Inputs'!$B$29+'Inputs'!$B$31+'Inputs'!$B$32,'Inputs'!$B$30+'Inputs'!$B$31+'Inputs'!$B$32)/1000+'Inputs'!$B$21)+'Inputs'!$B$7)/SQRT((((958-43)*MAX('Inputs'!$B$33,'Inputs'!$B$29+'Inputs'!$B$31+'Inputs'!$B$32,'Inputs'!$B$30+'Inputs'!$B$31+'Inputs'!$B$32)/1000+'Inputs'!$B$21)+'Inputs'!$B$7)^2+('Inputs'!$B$6/2)^2)-(((958-43)*MAX('Inputs'!$B$33,'Inputs'!$B$29+'Inputs'!$B$31+'Inputs'!$B$32,'Inputs'!$B$30+'Inputs'!$B$31+'Inputs'!$B$32)/1000+'Inputs'!$B$21))/SQRT((((958-43)*MAX('Inputs'!$B$33,'Inputs'!$B$29+'Inputs'!$B$31+'Inputs'!$B$32,'Inputs'!$B$30+'Inputs'!$B$31+'Inputs'!$B$32)/1000+'Inputs'!$B$21))^2+('Inputs'!$B$6/2)^2)))-'Results'!C7*(1+'Inputs'!$B$24)*(0.5*((((958-43)*MAX('Inputs'!$B$33,'Inputs'!$B$29+'Inputs'!$B$31+'Inputs'!$B$32,'Inputs'!$B$30+'Inputs'!$B$31+'Inputs'!$B$32)/1000+'Inputs'!$B$21+'Inputs'!$B$7+'Inputs'!$B$10)+'Inputs'!$B$9)/SQRT((((958-43)*MAX('Inputs'!$B$33,'Inputs'!$B$29+'Inputs'!$B$31+'Inputs'!$B$32,'Inputs'!$B$30+'Inputs'!$B$31+'Inputs'!$B$32)/1000+'Inputs'!$B$21+'Inputs'!$B$7+'Inputs'!$B$10)+'Inputs'!$B$9)^2+('Inputs'!$B$8/2)^2)-(((958-43)*MAX('Inputs'!$B$33,'Inputs'!$B$29+'Inputs'!$B$31+'Inputs'!$B$32,'Inputs'!$B$30+'Inputs'!$B$31+'Inputs'!$B$32)/1000+'Inputs'!$B$21+'Inputs'!$B$7+'Inputs'!$B$10))/SQRT((((958-43)*MAX('Inputs'!$B$33,'Inputs'!$B$29+'Inputs'!$B$31+'Inputs'!$B$32,'Inputs'!$B$30+'Inputs'!$B$31+'Inputs'!$B$32)/1000+'Inputs'!$B$21+'Inputs'!$B$7+'Inputs'!$B$10))^2+('Inputs'!$B$8/2)^2))))*'Results'!$B$8)-'Inputs'!$B$28*ABS((('Results'!B7*(1-'Inputs'!$B$24)*(0.5*((((958-43)*MAX('Inputs'!$B$33,'Inputs'!$B$29+'Inputs'!$B$31+'Inputs'!$B$32,'Inputs'!$B$30+'Inputs'!$B$31+'Inputs'!$B$32)/1000+'Inputs'!$B$21)+'Inputs'!$B$7)/SQRT((((958-43)*MAX('Inputs'!$B$33,'Inputs'!$B$29+'Inputs'!$B$31+'Inputs'!$B$32,'Inputs'!$B$30+'Inputs'!$B$31+'Inputs'!$B$32)/1000+'Inputs'!$B$21)+'Inputs'!$B$7)^2+('Inputs'!$B$6/2)^2)-(((958-43)*MAX('Inputs'!$B$33,'Inputs'!$B$29+'Inputs'!$B$31+'Inputs'!$B$32,'Inputs'!$B$30+'Inputs'!$B$31+'Inputs'!$B$32)/1000+'Inputs'!$B$21))/SQRT((((958-43)*MAX('Inputs'!$B$33,'Inputs'!$B$29+'Inputs'!$B$31+'Inputs'!$B$32,'Inputs'!$B$30+'Inputs'!$B$31+'Inputs'!$B$32)/1000+'Inputs'!$B$21))^2+('Inputs'!$B$6/2)^2)))-'Results'!C7*(1+'Inputs'!$B$24)*(0.5*((((958-43)*MAX('Inputs'!$B$33,'Inputs'!$B$29+'Inputs'!$B$31+'Inputs'!$B$32,'Inputs'!$B$30+'Inputs'!$B$31+'Inputs'!$B$32)/1000+'Inputs'!$B$21+'Inputs'!$B$7+'Inputs'!$B$10)+'Inputs'!$B$9)/SQRT((((958-43)*MAX('Inputs'!$B$33,'Inputs'!$B$29+'Inputs'!$B$31+'Inputs'!$B$32,'Inputs'!$B$30+'Inputs'!$B$31+'Inputs'!$B$32)/1000+'Inputs'!$B$21+'Inputs'!$B$7+'Inputs'!$B$10)+'Inputs'!$B$9)^2+('Inputs'!$B$8/2)^2)-(((958-43)*MAX('Inputs'!$B$33,'Inputs'!$B$29+'Inputs'!$B$31+'Inputs'!$B$32,'Inputs'!$B$30+'Inputs'!$B$31+'Inputs'!$B$32)/1000+'Inputs'!$B$21+'Inputs'!$B$7+'Inputs'!$B$10))/SQRT((((958-43)*MAX('Inputs'!$B$33,'Inputs'!$B$29+'Inputs'!$B$31+'Inputs'!$B$32,'Inputs'!$B$30+'Inputs'!$B$31+'Inputs'!$B$32)/1000+'Inputs'!$B$21+'Inputs'!$B$7+'Inputs'!$B$10))^2+('Inputs'!$B$8/2)^2))))*'Results'!$B$8))),"")</x:f>
        <x:v>0.41696517916034</x:v>
      </x:c>
      <x:c r="L958" t="n">
        <x:f>IF(AND(ISNUMBER('Results'!B7),ISNUMBER('Results'!C7),ISNUMBER('Results'!$B$8),ISNUMBER('Inputs'!$B$6),ISNUMBER('Inputs'!$B$7),ISNUMBER('Inputs'!$B$8),ISNUMBER('Inputs'!$B$9),ISNUMBER('Inputs'!$B$10),ISNUMBER('Inputs'!$B$21),ISNUMBER('Inputs'!$B$24),ISNUMBER('Inputs'!$B$28)),((('Results'!B7*(1+'Inputs'!$B$24)*(0.5*((((958-43)*MAX('Inputs'!$B$33,'Inputs'!$B$29+'Inputs'!$B$31+'Inputs'!$B$32,'Inputs'!$B$30+'Inputs'!$B$31+'Inputs'!$B$32)/1000+'Inputs'!$B$21)+'Inputs'!$B$7)/SQRT((((958-43)*MAX('Inputs'!$B$33,'Inputs'!$B$29+'Inputs'!$B$31+'Inputs'!$B$32,'Inputs'!$B$30+'Inputs'!$B$31+'Inputs'!$B$32)/1000+'Inputs'!$B$21)+'Inputs'!$B$7)^2+('Inputs'!$B$6/2)^2)-(((958-43)*MAX('Inputs'!$B$33,'Inputs'!$B$29+'Inputs'!$B$31+'Inputs'!$B$32,'Inputs'!$B$30+'Inputs'!$B$31+'Inputs'!$B$32)/1000+'Inputs'!$B$21))/SQRT((((958-43)*MAX('Inputs'!$B$33,'Inputs'!$B$29+'Inputs'!$B$31+'Inputs'!$B$32,'Inputs'!$B$30+'Inputs'!$B$31+'Inputs'!$B$32)/1000+'Inputs'!$B$21))^2+('Inputs'!$B$6/2)^2)))-'Results'!C7*(1-'Inputs'!$B$24)*(0.5*((((958-43)*MAX('Inputs'!$B$33,'Inputs'!$B$29+'Inputs'!$B$31+'Inputs'!$B$32,'Inputs'!$B$30+'Inputs'!$B$31+'Inputs'!$B$32)/1000+'Inputs'!$B$21+'Inputs'!$B$7+'Inputs'!$B$10)+'Inputs'!$B$9)/SQRT((((958-43)*MAX('Inputs'!$B$33,'Inputs'!$B$29+'Inputs'!$B$31+'Inputs'!$B$32,'Inputs'!$B$30+'Inputs'!$B$31+'Inputs'!$B$32)/1000+'Inputs'!$B$21+'Inputs'!$B$7+'Inputs'!$B$10)+'Inputs'!$B$9)^2+('Inputs'!$B$8/2)^2)-(((958-43)*MAX('Inputs'!$B$33,'Inputs'!$B$29+'Inputs'!$B$31+'Inputs'!$B$32,'Inputs'!$B$30+'Inputs'!$B$31+'Inputs'!$B$32)/1000+'Inputs'!$B$21+'Inputs'!$B$7+'Inputs'!$B$10))/SQRT((((958-43)*MAX('Inputs'!$B$33,'Inputs'!$B$29+'Inputs'!$B$31+'Inputs'!$B$32,'Inputs'!$B$30+'Inputs'!$B$31+'Inputs'!$B$32)/1000+'Inputs'!$B$21+'Inputs'!$B$7+'Inputs'!$B$10))^2+('Inputs'!$B$8/2)^2))))*'Results'!$B$8)+'Inputs'!$B$28*ABS((('Results'!B7*(1+'Inputs'!$B$24)*(0.5*((((958-43)*MAX('Inputs'!$B$33,'Inputs'!$B$29+'Inputs'!$B$31+'Inputs'!$B$32,'Inputs'!$B$30+'Inputs'!$B$31+'Inputs'!$B$32)/1000+'Inputs'!$B$21)+'Inputs'!$B$7)/SQRT((((958-43)*MAX('Inputs'!$B$33,'Inputs'!$B$29+'Inputs'!$B$31+'Inputs'!$B$32,'Inputs'!$B$30+'Inputs'!$B$31+'Inputs'!$B$32)/1000+'Inputs'!$B$21)+'Inputs'!$B$7)^2+('Inputs'!$B$6/2)^2)-(((958-43)*MAX('Inputs'!$B$33,'Inputs'!$B$29+'Inputs'!$B$31+'Inputs'!$B$32,'Inputs'!$B$30+'Inputs'!$B$31+'Inputs'!$B$32)/1000+'Inputs'!$B$21))/SQRT((((958-43)*MAX('Inputs'!$B$33,'Inputs'!$B$29+'Inputs'!$B$31+'Inputs'!$B$32,'Inputs'!$B$30+'Inputs'!$B$31+'Inputs'!$B$32)/1000+'Inputs'!$B$21))^2+('Inputs'!$B$6/2)^2)))-'Results'!C7*(1-'Inputs'!$B$24)*(0.5*((((958-43)*MAX('Inputs'!$B$33,'Inputs'!$B$29+'Inputs'!$B$31+'Inputs'!$B$32,'Inputs'!$B$30+'Inputs'!$B$31+'Inputs'!$B$32)/1000+'Inputs'!$B$21+'Inputs'!$B$7+'Inputs'!$B$10)+'Inputs'!$B$9)/SQRT((((958-43)*MAX('Inputs'!$B$33,'Inputs'!$B$29+'Inputs'!$B$31+'Inputs'!$B$32,'Inputs'!$B$30+'Inputs'!$B$31+'Inputs'!$B$32)/1000+'Inputs'!$B$21+'Inputs'!$B$7+'Inputs'!$B$10)+'Inputs'!$B$9)^2+('Inputs'!$B$8/2)^2)-(((958-43)*MAX('Inputs'!$B$33,'Inputs'!$B$29+'Inputs'!$B$31+'Inputs'!$B$32,'Inputs'!$B$30+'Inputs'!$B$31+'Inputs'!$B$32)/1000+'Inputs'!$B$21+'Inputs'!$B$7+'Inputs'!$B$10))/SQRT((((958-43)*MAX('Inputs'!$B$33,'Inputs'!$B$29+'Inputs'!$B$31+'Inputs'!$B$32,'Inputs'!$B$30+'Inputs'!$B$31+'Inputs'!$B$32)/1000+'Inputs'!$B$21+'Inputs'!$B$7+'Inputs'!$B$10))^2+('Inputs'!$B$8/2)^2))))*'Results'!$B$8))),"")</x:f>
        <x:v>0.5755995882550611</x:v>
      </x:c>
      <x:c r="M958" t="n">
        <x:f>IF(AND(ISNUMBER('Results'!C7),ISNUMBER('Results'!B7),ISNUMBER('Results'!$B$8),ISNUMBER('Inputs'!$B$6),ISNUMBER('Inputs'!$B$7),ISNUMBER('Inputs'!$B$8),ISNUMBER('Inputs'!$B$9),ISNUMBER('Inputs'!$B$10),ISNUMBER('Inputs'!$B$21),ISNUMBER('Inputs'!$B$24),ISNUMBER('Inputs'!$B$28)),(('Results'!C7*(0.5*((((958-43)*MAX('Inputs'!$B$33,'Inputs'!$B$29+'Inputs'!$B$31+'Inputs'!$B$32,'Inputs'!$B$30+'Inputs'!$B$31+'Inputs'!$B$32)/1000+'Inputs'!$B$21)+'Inputs'!$B$9)/SQRT((((958-43)*MAX('Inputs'!$B$33,'Inputs'!$B$29+'Inputs'!$B$31+'Inputs'!$B$32,'Inputs'!$B$30+'Inputs'!$B$31+'Inputs'!$B$32)/1000+'Inputs'!$B$21)+'Inputs'!$B$9)^2+('Inputs'!$B$8/2)^2)-(((958-43)*MAX('Inputs'!$B$33,'Inputs'!$B$29+'Inputs'!$B$31+'Inputs'!$B$32,'Inputs'!$B$30+'Inputs'!$B$31+'Inputs'!$B$32)/1000+'Inputs'!$B$21))/SQRT((((958-43)*MAX('Inputs'!$B$33,'Inputs'!$B$29+'Inputs'!$B$31+'Inputs'!$B$32,'Inputs'!$B$30+'Inputs'!$B$31+'Inputs'!$B$32)/1000+'Inputs'!$B$21))^2+('Inputs'!$B$8/2)^2)))-'Results'!B7*(0.5*((((958-43)*MAX('Inputs'!$B$33,'Inputs'!$B$29+'Inputs'!$B$31+'Inputs'!$B$32,'Inputs'!$B$30+'Inputs'!$B$31+'Inputs'!$B$32)/1000+'Inputs'!$B$21+'Inputs'!$B$9+'Inputs'!$B$10)+'Inputs'!$B$7)/SQRT((((958-43)*MAX('Inputs'!$B$33,'Inputs'!$B$29+'Inputs'!$B$31+'Inputs'!$B$32,'Inputs'!$B$30+'Inputs'!$B$31+'Inputs'!$B$32)/1000+'Inputs'!$B$21+'Inputs'!$B$9+'Inputs'!$B$10)+'Inputs'!$B$7)^2+('Inputs'!$B$6/2)^2)-(((958-43)*MAX('Inputs'!$B$33,'Inputs'!$B$29+'Inputs'!$B$31+'Inputs'!$B$32,'Inputs'!$B$30+'Inputs'!$B$31+'Inputs'!$B$32)/1000+'Inputs'!$B$21+'Inputs'!$B$9+'Inputs'!$B$10))/SQRT((((958-43)*MAX('Inputs'!$B$33,'Inputs'!$B$29+'Inputs'!$B$31+'Inputs'!$B$32,'Inputs'!$B$30+'Inputs'!$B$31+'Inputs'!$B$32)/1000+'Inputs'!$B$21+'Inputs'!$B$9+'Inputs'!$B$10))^2+('Inputs'!$B$6/2)^2))))*'Results'!$B$8),"")</x:f>
        <x:v>0.438453891675174</x:v>
      </x:c>
      <x:c r="N958" t="n">
        <x:f>IF(AND(ISNUMBER('Results'!C7),ISNUMBER('Results'!B7),ISNUMBER('Results'!$B$8),ISNUMBER('Inputs'!$B$6),ISNUMBER('Inputs'!$B$7),ISNUMBER('Inputs'!$B$8),ISNUMBER('Inputs'!$B$9),ISNUMBER('Inputs'!$B$10),ISNUMBER('Inputs'!$B$21),ISNUMBER('Inputs'!$B$24),ISNUMBER('Inputs'!$B$28)),((('Results'!C7*(1-'Inputs'!$B$24)*(0.5*((((958-43)*MAX('Inputs'!$B$33,'Inputs'!$B$29+'Inputs'!$B$31+'Inputs'!$B$32,'Inputs'!$B$30+'Inputs'!$B$31+'Inputs'!$B$32)/1000+'Inputs'!$B$21)+'Inputs'!$B$9)/SQRT((((958-43)*MAX('Inputs'!$B$33,'Inputs'!$B$29+'Inputs'!$B$31+'Inputs'!$B$32,'Inputs'!$B$30+'Inputs'!$B$31+'Inputs'!$B$32)/1000+'Inputs'!$B$21)+'Inputs'!$B$9)^2+('Inputs'!$B$8/2)^2)-(((958-43)*MAX('Inputs'!$B$33,'Inputs'!$B$29+'Inputs'!$B$31+'Inputs'!$B$32,'Inputs'!$B$30+'Inputs'!$B$31+'Inputs'!$B$32)/1000+'Inputs'!$B$21))/SQRT((((958-43)*MAX('Inputs'!$B$33,'Inputs'!$B$29+'Inputs'!$B$31+'Inputs'!$B$32,'Inputs'!$B$30+'Inputs'!$B$31+'Inputs'!$B$32)/1000+'Inputs'!$B$21))^2+('Inputs'!$B$8/2)^2)))-'Results'!B7*(1+'Inputs'!$B$24)*(0.5*((((958-43)*MAX('Inputs'!$B$33,'Inputs'!$B$29+'Inputs'!$B$31+'Inputs'!$B$32,'Inputs'!$B$30+'Inputs'!$B$31+'Inputs'!$B$32)/1000+'Inputs'!$B$21+'Inputs'!$B$9+'Inputs'!$B$10)+'Inputs'!$B$7)/SQRT((((958-43)*MAX('Inputs'!$B$33,'Inputs'!$B$29+'Inputs'!$B$31+'Inputs'!$B$32,'Inputs'!$B$30+'Inputs'!$B$31+'Inputs'!$B$32)/1000+'Inputs'!$B$21+'Inputs'!$B$9+'Inputs'!$B$10)+'Inputs'!$B$7)^2+('Inputs'!$B$6/2)^2)-(((958-43)*MAX('Inputs'!$B$33,'Inputs'!$B$29+'Inputs'!$B$31+'Inputs'!$B$32,'Inputs'!$B$30+'Inputs'!$B$31+'Inputs'!$B$32)/1000+'Inputs'!$B$21+'Inputs'!$B$9+'Inputs'!$B$10))/SQRT((((958-43)*MAX('Inputs'!$B$33,'Inputs'!$B$29+'Inputs'!$B$31+'Inputs'!$B$32,'Inputs'!$B$30+'Inputs'!$B$31+'Inputs'!$B$32)/1000+'Inputs'!$B$21+'Inputs'!$B$9+'Inputs'!$B$10))^2+('Inputs'!$B$6/2)^2))))*'Results'!$B$8)-'Inputs'!$B$28*ABS((('Results'!C7*(1-'Inputs'!$B$24)*(0.5*((((958-43)*MAX('Inputs'!$B$33,'Inputs'!$B$29+'Inputs'!$B$31+'Inputs'!$B$32,'Inputs'!$B$30+'Inputs'!$B$31+'Inputs'!$B$32)/1000+'Inputs'!$B$21)+'Inputs'!$B$9)/SQRT((((958-43)*MAX('Inputs'!$B$33,'Inputs'!$B$29+'Inputs'!$B$31+'Inputs'!$B$32,'Inputs'!$B$30+'Inputs'!$B$31+'Inputs'!$B$32)/1000+'Inputs'!$B$21)+'Inputs'!$B$9)^2+('Inputs'!$B$8/2)^2)-(((958-43)*MAX('Inputs'!$B$33,'Inputs'!$B$29+'Inputs'!$B$31+'Inputs'!$B$32,'Inputs'!$B$30+'Inputs'!$B$31+'Inputs'!$B$32)/1000+'Inputs'!$B$21))/SQRT((((958-43)*MAX('Inputs'!$B$33,'Inputs'!$B$29+'Inputs'!$B$31+'Inputs'!$B$32,'Inputs'!$B$30+'Inputs'!$B$31+'Inputs'!$B$32)/1000+'Inputs'!$B$21))^2+('Inputs'!$B$8/2)^2)))-'Results'!B7*(1+'Inputs'!$B$24)*(0.5*((((958-43)*MAX('Inputs'!$B$33,'Inputs'!$B$29+'Inputs'!$B$31+'Inputs'!$B$32,'Inputs'!$B$30+'Inputs'!$B$31+'Inputs'!$B$32)/1000+'Inputs'!$B$21+'Inputs'!$B$9+'Inputs'!$B$10)+'Inputs'!$B$7)/SQRT((((958-43)*MAX('Inputs'!$B$33,'Inputs'!$B$29+'Inputs'!$B$31+'Inputs'!$B$32,'Inputs'!$B$30+'Inputs'!$B$31+'Inputs'!$B$32)/1000+'Inputs'!$B$21+'Inputs'!$B$9+'Inputs'!$B$10)+'Inputs'!$B$7)^2+('Inputs'!$B$6/2)^2)-(((958-43)*MAX('Inputs'!$B$33,'Inputs'!$B$29+'Inputs'!$B$31+'Inputs'!$B$32,'Inputs'!$B$30+'Inputs'!$B$31+'Inputs'!$B$32)/1000+'Inputs'!$B$21+'Inputs'!$B$9+'Inputs'!$B$10))/SQRT((((958-43)*MAX('Inputs'!$B$33,'Inputs'!$B$29+'Inputs'!$B$31+'Inputs'!$B$32,'Inputs'!$B$30+'Inputs'!$B$31+'Inputs'!$B$32)/1000+'Inputs'!$B$21+'Inputs'!$B$9+'Inputs'!$B$10))^2+('Inputs'!$B$6/2)^2))))*'Results'!$B$8))),"")</x:f>
        <x:v>0.3648023662571002</x:v>
      </x:c>
      <x:c r="O958" t="n">
        <x:f>IF(AND(ISNUMBER('Results'!C7),ISNUMBER('Results'!B7),ISNUMBER('Results'!$B$8),ISNUMBER('Inputs'!$B$6),ISNUMBER('Inputs'!$B$7),ISNUMBER('Inputs'!$B$8),ISNUMBER('Inputs'!$B$9),ISNUMBER('Inputs'!$B$10),ISNUMBER('Inputs'!$B$21),ISNUMBER('Inputs'!$B$24),ISNUMBER('Inputs'!$B$28)),((('Results'!C7*(1+'Inputs'!$B$24)*(0.5*((((958-43)*MAX('Inputs'!$B$33,'Inputs'!$B$29+'Inputs'!$B$31+'Inputs'!$B$32,'Inputs'!$B$30+'Inputs'!$B$31+'Inputs'!$B$32)/1000+'Inputs'!$B$21)+'Inputs'!$B$9)/SQRT((((958-43)*MAX('Inputs'!$B$33,'Inputs'!$B$29+'Inputs'!$B$31+'Inputs'!$B$32,'Inputs'!$B$30+'Inputs'!$B$31+'Inputs'!$B$32)/1000+'Inputs'!$B$21)+'Inputs'!$B$9)^2+('Inputs'!$B$8/2)^2)-(((958-43)*MAX('Inputs'!$B$33,'Inputs'!$B$29+'Inputs'!$B$31+'Inputs'!$B$32,'Inputs'!$B$30+'Inputs'!$B$31+'Inputs'!$B$32)/1000+'Inputs'!$B$21))/SQRT((((958-43)*MAX('Inputs'!$B$33,'Inputs'!$B$29+'Inputs'!$B$31+'Inputs'!$B$32,'Inputs'!$B$30+'Inputs'!$B$31+'Inputs'!$B$32)/1000+'Inputs'!$B$21))^2+('Inputs'!$B$8/2)^2)))-'Results'!B7*(1-'Inputs'!$B$24)*(0.5*((((958-43)*MAX('Inputs'!$B$33,'Inputs'!$B$29+'Inputs'!$B$31+'Inputs'!$B$32,'Inputs'!$B$30+'Inputs'!$B$31+'Inputs'!$B$32)/1000+'Inputs'!$B$21+'Inputs'!$B$9+'Inputs'!$B$10)+'Inputs'!$B$7)/SQRT((((958-43)*MAX('Inputs'!$B$33,'Inputs'!$B$29+'Inputs'!$B$31+'Inputs'!$B$32,'Inputs'!$B$30+'Inputs'!$B$31+'Inputs'!$B$32)/1000+'Inputs'!$B$21+'Inputs'!$B$9+'Inputs'!$B$10)+'Inputs'!$B$7)^2+('Inputs'!$B$6/2)^2)-(((958-43)*MAX('Inputs'!$B$33,'Inputs'!$B$29+'Inputs'!$B$31+'Inputs'!$B$32,'Inputs'!$B$30+'Inputs'!$B$31+'Inputs'!$B$32)/1000+'Inputs'!$B$21+'Inputs'!$B$9+'Inputs'!$B$10))/SQRT((((958-43)*MAX('Inputs'!$B$33,'Inputs'!$B$29+'Inputs'!$B$31+'Inputs'!$B$32,'Inputs'!$B$30+'Inputs'!$B$31+'Inputs'!$B$32)/1000+'Inputs'!$B$21+'Inputs'!$B$9+'Inputs'!$B$10))^2+('Inputs'!$B$6/2)^2))))*'Results'!$B$8)+'Inputs'!$B$28*ABS((('Results'!C7*(1+'Inputs'!$B$24)*(0.5*((((958-43)*MAX('Inputs'!$B$33,'Inputs'!$B$29+'Inputs'!$B$31+'Inputs'!$B$32,'Inputs'!$B$30+'Inputs'!$B$31+'Inputs'!$B$32)/1000+'Inputs'!$B$21)+'Inputs'!$B$9)/SQRT((((958-43)*MAX('Inputs'!$B$33,'Inputs'!$B$29+'Inputs'!$B$31+'Inputs'!$B$32,'Inputs'!$B$30+'Inputs'!$B$31+'Inputs'!$B$32)/1000+'Inputs'!$B$21)+'Inputs'!$B$9)^2+('Inputs'!$B$8/2)^2)-(((958-43)*MAX('Inputs'!$B$33,'Inputs'!$B$29+'Inputs'!$B$31+'Inputs'!$B$32,'Inputs'!$B$30+'Inputs'!$B$31+'Inputs'!$B$32)/1000+'Inputs'!$B$21))/SQRT((((958-43)*MAX('Inputs'!$B$33,'Inputs'!$B$29+'Inputs'!$B$31+'Inputs'!$B$32,'Inputs'!$B$30+'Inputs'!$B$31+'Inputs'!$B$32)/1000+'Inputs'!$B$21))^2+('Inputs'!$B$8/2)^2)))-'Results'!B7*(1-'Inputs'!$B$24)*(0.5*((((958-43)*MAX('Inputs'!$B$33,'Inputs'!$B$29+'Inputs'!$B$31+'Inputs'!$B$32,'Inputs'!$B$30+'Inputs'!$B$31+'Inputs'!$B$32)/1000+'Inputs'!$B$21+'Inputs'!$B$9+'Inputs'!$B$10)+'Inputs'!$B$7)/SQRT((((958-43)*MAX('Inputs'!$B$33,'Inputs'!$B$29+'Inputs'!$B$31+'Inputs'!$B$32,'Inputs'!$B$30+'Inputs'!$B$31+'Inputs'!$B$32)/1000+'Inputs'!$B$21+'Inputs'!$B$9+'Inputs'!$B$10)+'Inputs'!$B$7)^2+('Inputs'!$B$6/2)^2)-(((958-43)*MAX('Inputs'!$B$33,'Inputs'!$B$29+'Inputs'!$B$31+'Inputs'!$B$32,'Inputs'!$B$30+'Inputs'!$B$31+'Inputs'!$B$32)/1000+'Inputs'!$B$21+'Inputs'!$B$9+'Inputs'!$B$10))/SQRT((((958-43)*MAX('Inputs'!$B$33,'Inputs'!$B$29+'Inputs'!$B$31+'Inputs'!$B$32,'Inputs'!$B$30+'Inputs'!$B$31+'Inputs'!$B$32)/1000+'Inputs'!$B$21+'Inputs'!$B$9+'Inputs'!$B$10))^2+('Inputs'!$B$6/2)^2))))*'Results'!$B$8))),"")</x:f>
        <x:v>0.5175505571810705</x:v>
      </x:c>
      <x:c r="P958" t="n">
        <x:f>IF(AND(MAX(J958,J957)&gt;0,J958&gt;J957+0.00000001),1,0)</x:f>
        <x:v>0</x:v>
      </x:c>
      <x:c r="Q958" t="n">
        <x:f>IF(AND(MAX(K958,K957)&gt;0,K958&gt;K957+0.00000001),1,0)</x:f>
        <x:v>0</x:v>
      </x:c>
      <x:c r="R958" t="n">
        <x:f>IF(AND(MAX(L958,L957)&gt;0,L958&gt;L957+0.00000001),1,0)</x:f>
        <x:v>0</x:v>
      </x:c>
      <x:c r="S958" t="n">
        <x:f>IF(AND(MAX(M958,M957)&gt;0,M958&gt;M957+0.00000001),1,0)</x:f>
        <x:v>0</x:v>
      </x:c>
      <x:c r="T958" t="n">
        <x:f>IF(AND(MAX(N958,N957)&gt;0,N958&gt;N957+0.00000001),1,0)</x:f>
        <x:v>0</x:v>
      </x:c>
      <x:c r="U958" t="n">
        <x:f>IF(AND(MAX(O958,O957)&gt;0,O958&gt;O957+0.00000001),1,0)</x:f>
        <x:v>0</x:v>
      </x:c>
    </x:row>
    <x:row r="959">
      <x:c r="J959" t="n">
        <x:f>IF(AND(ISNUMBER('Results'!B7),ISNUMBER('Results'!C7),ISNUMBER('Results'!$B$8),ISNUMBER('Inputs'!$B$6),ISNUMBER('Inputs'!$B$7),ISNUMBER('Inputs'!$B$8),ISNUMBER('Inputs'!$B$9),ISNUMBER('Inputs'!$B$10),ISNUMBER('Inputs'!$B$21),ISNUMBER('Inputs'!$B$24),ISNUMBER('Inputs'!$B$28)),(('Results'!B7*(0.5*((((959-43)*MAX('Inputs'!$B$33,'Inputs'!$B$29+'Inputs'!$B$31+'Inputs'!$B$32,'Inputs'!$B$30+'Inputs'!$B$31+'Inputs'!$B$32)/1000+'Inputs'!$B$21)+'Inputs'!$B$7)/SQRT((((959-43)*MAX('Inputs'!$B$33,'Inputs'!$B$29+'Inputs'!$B$31+'Inputs'!$B$32,'Inputs'!$B$30+'Inputs'!$B$31+'Inputs'!$B$32)/1000+'Inputs'!$B$21)+'Inputs'!$B$7)^2+('Inputs'!$B$6/2)^2)-(((959-43)*MAX('Inputs'!$B$33,'Inputs'!$B$29+'Inputs'!$B$31+'Inputs'!$B$32,'Inputs'!$B$30+'Inputs'!$B$31+'Inputs'!$B$32)/1000+'Inputs'!$B$21))/SQRT((((959-43)*MAX('Inputs'!$B$33,'Inputs'!$B$29+'Inputs'!$B$31+'Inputs'!$B$32,'Inputs'!$B$30+'Inputs'!$B$31+'Inputs'!$B$32)/1000+'Inputs'!$B$21))^2+('Inputs'!$B$6/2)^2)))-'Results'!C7*(0.5*((((959-43)*MAX('Inputs'!$B$33,'Inputs'!$B$29+'Inputs'!$B$31+'Inputs'!$B$32,'Inputs'!$B$30+'Inputs'!$B$31+'Inputs'!$B$32)/1000+'Inputs'!$B$21+'Inputs'!$B$7+'Inputs'!$B$10)+'Inputs'!$B$9)/SQRT((((959-43)*MAX('Inputs'!$B$33,'Inputs'!$B$29+'Inputs'!$B$31+'Inputs'!$B$32,'Inputs'!$B$30+'Inputs'!$B$31+'Inputs'!$B$32)/1000+'Inputs'!$B$21+'Inputs'!$B$7+'Inputs'!$B$10)+'Inputs'!$B$9)^2+('Inputs'!$B$8/2)^2)-(((959-43)*MAX('Inputs'!$B$33,'Inputs'!$B$29+'Inputs'!$B$31+'Inputs'!$B$32,'Inputs'!$B$30+'Inputs'!$B$31+'Inputs'!$B$32)/1000+'Inputs'!$B$21+'Inputs'!$B$7+'Inputs'!$B$10))/SQRT((((959-43)*MAX('Inputs'!$B$33,'Inputs'!$B$29+'Inputs'!$B$31+'Inputs'!$B$32,'Inputs'!$B$30+'Inputs'!$B$31+'Inputs'!$B$32)/1000+'Inputs'!$B$21+'Inputs'!$B$7+'Inputs'!$B$10))^2+('Inputs'!$B$8/2)^2))))*'Results'!$B$8),"")</x:f>
        <x:v>0.4915962706774238</x:v>
      </x:c>
      <x:c r="K959" t="n">
        <x:f>IF(AND(ISNUMBER('Results'!B7),ISNUMBER('Results'!C7),ISNUMBER('Results'!$B$8),ISNUMBER('Inputs'!$B$6),ISNUMBER('Inputs'!$B$7),ISNUMBER('Inputs'!$B$8),ISNUMBER('Inputs'!$B$9),ISNUMBER('Inputs'!$B$10),ISNUMBER('Inputs'!$B$21),ISNUMBER('Inputs'!$B$24),ISNUMBER('Inputs'!$B$28)),((('Results'!B7*(1-'Inputs'!$B$24)*(0.5*((((959-43)*MAX('Inputs'!$B$33,'Inputs'!$B$29+'Inputs'!$B$31+'Inputs'!$B$32,'Inputs'!$B$30+'Inputs'!$B$31+'Inputs'!$B$32)/1000+'Inputs'!$B$21)+'Inputs'!$B$7)/SQRT((((959-43)*MAX('Inputs'!$B$33,'Inputs'!$B$29+'Inputs'!$B$31+'Inputs'!$B$32,'Inputs'!$B$30+'Inputs'!$B$31+'Inputs'!$B$32)/1000+'Inputs'!$B$21)+'Inputs'!$B$7)^2+('Inputs'!$B$6/2)^2)-(((959-43)*MAX('Inputs'!$B$33,'Inputs'!$B$29+'Inputs'!$B$31+'Inputs'!$B$32,'Inputs'!$B$30+'Inputs'!$B$31+'Inputs'!$B$32)/1000+'Inputs'!$B$21))/SQRT((((959-43)*MAX('Inputs'!$B$33,'Inputs'!$B$29+'Inputs'!$B$31+'Inputs'!$B$32,'Inputs'!$B$30+'Inputs'!$B$31+'Inputs'!$B$32)/1000+'Inputs'!$B$21))^2+('Inputs'!$B$6/2)^2)))-'Results'!C7*(1+'Inputs'!$B$24)*(0.5*((((959-43)*MAX('Inputs'!$B$33,'Inputs'!$B$29+'Inputs'!$B$31+'Inputs'!$B$32,'Inputs'!$B$30+'Inputs'!$B$31+'Inputs'!$B$32)/1000+'Inputs'!$B$21+'Inputs'!$B$7+'Inputs'!$B$10)+'Inputs'!$B$9)/SQRT((((959-43)*MAX('Inputs'!$B$33,'Inputs'!$B$29+'Inputs'!$B$31+'Inputs'!$B$32,'Inputs'!$B$30+'Inputs'!$B$31+'Inputs'!$B$32)/1000+'Inputs'!$B$21+'Inputs'!$B$7+'Inputs'!$B$10)+'Inputs'!$B$9)^2+('Inputs'!$B$8/2)^2)-(((959-43)*MAX('Inputs'!$B$33,'Inputs'!$B$29+'Inputs'!$B$31+'Inputs'!$B$32,'Inputs'!$B$30+'Inputs'!$B$31+'Inputs'!$B$32)/1000+'Inputs'!$B$21+'Inputs'!$B$7+'Inputs'!$B$10))/SQRT((((959-43)*MAX('Inputs'!$B$33,'Inputs'!$B$29+'Inputs'!$B$31+'Inputs'!$B$32,'Inputs'!$B$30+'Inputs'!$B$31+'Inputs'!$B$32)/1000+'Inputs'!$B$21+'Inputs'!$B$7+'Inputs'!$B$10))^2+('Inputs'!$B$8/2)^2))))*'Results'!$B$8)-'Inputs'!$B$28*ABS((('Results'!B7*(1-'Inputs'!$B$24)*(0.5*((((959-43)*MAX('Inputs'!$B$33,'Inputs'!$B$29+'Inputs'!$B$31+'Inputs'!$B$32,'Inputs'!$B$30+'Inputs'!$B$31+'Inputs'!$B$32)/1000+'Inputs'!$B$21)+'Inputs'!$B$7)/SQRT((((959-43)*MAX('Inputs'!$B$33,'Inputs'!$B$29+'Inputs'!$B$31+'Inputs'!$B$32,'Inputs'!$B$30+'Inputs'!$B$31+'Inputs'!$B$32)/1000+'Inputs'!$B$21)+'Inputs'!$B$7)^2+('Inputs'!$B$6/2)^2)-(((959-43)*MAX('Inputs'!$B$33,'Inputs'!$B$29+'Inputs'!$B$31+'Inputs'!$B$32,'Inputs'!$B$30+'Inputs'!$B$31+'Inputs'!$B$32)/1000+'Inputs'!$B$21))/SQRT((((959-43)*MAX('Inputs'!$B$33,'Inputs'!$B$29+'Inputs'!$B$31+'Inputs'!$B$32,'Inputs'!$B$30+'Inputs'!$B$31+'Inputs'!$B$32)/1000+'Inputs'!$B$21))^2+('Inputs'!$B$6/2)^2)))-'Results'!C7*(1+'Inputs'!$B$24)*(0.5*((((959-43)*MAX('Inputs'!$B$33,'Inputs'!$B$29+'Inputs'!$B$31+'Inputs'!$B$32,'Inputs'!$B$30+'Inputs'!$B$31+'Inputs'!$B$32)/1000+'Inputs'!$B$21+'Inputs'!$B$7+'Inputs'!$B$10)+'Inputs'!$B$9)/SQRT((((959-43)*MAX('Inputs'!$B$33,'Inputs'!$B$29+'Inputs'!$B$31+'Inputs'!$B$32,'Inputs'!$B$30+'Inputs'!$B$31+'Inputs'!$B$32)/1000+'Inputs'!$B$21+'Inputs'!$B$7+'Inputs'!$B$10)+'Inputs'!$B$9)^2+('Inputs'!$B$8/2)^2)-(((959-43)*MAX('Inputs'!$B$33,'Inputs'!$B$29+'Inputs'!$B$31+'Inputs'!$B$32,'Inputs'!$B$30+'Inputs'!$B$31+'Inputs'!$B$32)/1000+'Inputs'!$B$21+'Inputs'!$B$7+'Inputs'!$B$10))/SQRT((((959-43)*MAX('Inputs'!$B$33,'Inputs'!$B$29+'Inputs'!$B$31+'Inputs'!$B$32,'Inputs'!$B$30+'Inputs'!$B$31+'Inputs'!$B$32)/1000+'Inputs'!$B$21+'Inputs'!$B$7+'Inputs'!$B$10))^2+('Inputs'!$B$8/2)^2))))*'Results'!$B$8))),"")</x:f>
        <x:v>0.4152665910111933</x:v>
      </x:c>
      <x:c r="L959" t="n">
        <x:f>IF(AND(ISNUMBER('Results'!B7),ISNUMBER('Results'!C7),ISNUMBER('Results'!$B$8),ISNUMBER('Inputs'!$B$6),ISNUMBER('Inputs'!$B$7),ISNUMBER('Inputs'!$B$8),ISNUMBER('Inputs'!$B$9),ISNUMBER('Inputs'!$B$10),ISNUMBER('Inputs'!$B$21),ISNUMBER('Inputs'!$B$24),ISNUMBER('Inputs'!$B$28)),((('Results'!B7*(1+'Inputs'!$B$24)*(0.5*((((959-43)*MAX('Inputs'!$B$33,'Inputs'!$B$29+'Inputs'!$B$31+'Inputs'!$B$32,'Inputs'!$B$30+'Inputs'!$B$31+'Inputs'!$B$32)/1000+'Inputs'!$B$21)+'Inputs'!$B$7)/SQRT((((959-43)*MAX('Inputs'!$B$33,'Inputs'!$B$29+'Inputs'!$B$31+'Inputs'!$B$32,'Inputs'!$B$30+'Inputs'!$B$31+'Inputs'!$B$32)/1000+'Inputs'!$B$21)+'Inputs'!$B$7)^2+('Inputs'!$B$6/2)^2)-(((959-43)*MAX('Inputs'!$B$33,'Inputs'!$B$29+'Inputs'!$B$31+'Inputs'!$B$32,'Inputs'!$B$30+'Inputs'!$B$31+'Inputs'!$B$32)/1000+'Inputs'!$B$21))/SQRT((((959-43)*MAX('Inputs'!$B$33,'Inputs'!$B$29+'Inputs'!$B$31+'Inputs'!$B$32,'Inputs'!$B$30+'Inputs'!$B$31+'Inputs'!$B$32)/1000+'Inputs'!$B$21))^2+('Inputs'!$B$6/2)^2)))-'Results'!C7*(1-'Inputs'!$B$24)*(0.5*((((959-43)*MAX('Inputs'!$B$33,'Inputs'!$B$29+'Inputs'!$B$31+'Inputs'!$B$32,'Inputs'!$B$30+'Inputs'!$B$31+'Inputs'!$B$32)/1000+'Inputs'!$B$21+'Inputs'!$B$7+'Inputs'!$B$10)+'Inputs'!$B$9)/SQRT((((959-43)*MAX('Inputs'!$B$33,'Inputs'!$B$29+'Inputs'!$B$31+'Inputs'!$B$32,'Inputs'!$B$30+'Inputs'!$B$31+'Inputs'!$B$32)/1000+'Inputs'!$B$21+'Inputs'!$B$7+'Inputs'!$B$10)+'Inputs'!$B$9)^2+('Inputs'!$B$8/2)^2)-(((959-43)*MAX('Inputs'!$B$33,'Inputs'!$B$29+'Inputs'!$B$31+'Inputs'!$B$32,'Inputs'!$B$30+'Inputs'!$B$31+'Inputs'!$B$32)/1000+'Inputs'!$B$21+'Inputs'!$B$7+'Inputs'!$B$10))/SQRT((((959-43)*MAX('Inputs'!$B$33,'Inputs'!$B$29+'Inputs'!$B$31+'Inputs'!$B$32,'Inputs'!$B$30+'Inputs'!$B$31+'Inputs'!$B$32)/1000+'Inputs'!$B$21+'Inputs'!$B$7+'Inputs'!$B$10))^2+('Inputs'!$B$8/2)^2))))*'Results'!$B$8)+'Inputs'!$B$28*ABS((('Results'!B7*(1+'Inputs'!$B$24)*(0.5*((((959-43)*MAX('Inputs'!$B$33,'Inputs'!$B$29+'Inputs'!$B$31+'Inputs'!$B$32,'Inputs'!$B$30+'Inputs'!$B$31+'Inputs'!$B$32)/1000+'Inputs'!$B$21)+'Inputs'!$B$7)/SQRT((((959-43)*MAX('Inputs'!$B$33,'Inputs'!$B$29+'Inputs'!$B$31+'Inputs'!$B$32,'Inputs'!$B$30+'Inputs'!$B$31+'Inputs'!$B$32)/1000+'Inputs'!$B$21)+'Inputs'!$B$7)^2+('Inputs'!$B$6/2)^2)-(((959-43)*MAX('Inputs'!$B$33,'Inputs'!$B$29+'Inputs'!$B$31+'Inputs'!$B$32,'Inputs'!$B$30+'Inputs'!$B$31+'Inputs'!$B$32)/1000+'Inputs'!$B$21))/SQRT((((959-43)*MAX('Inputs'!$B$33,'Inputs'!$B$29+'Inputs'!$B$31+'Inputs'!$B$32,'Inputs'!$B$30+'Inputs'!$B$31+'Inputs'!$B$32)/1000+'Inputs'!$B$21))^2+('Inputs'!$B$6/2)^2)))-'Results'!C7*(1-'Inputs'!$B$24)*(0.5*((((959-43)*MAX('Inputs'!$B$33,'Inputs'!$B$29+'Inputs'!$B$31+'Inputs'!$B$32,'Inputs'!$B$30+'Inputs'!$B$31+'Inputs'!$B$32)/1000+'Inputs'!$B$21+'Inputs'!$B$7+'Inputs'!$B$10)+'Inputs'!$B$9)/SQRT((((959-43)*MAX('Inputs'!$B$33,'Inputs'!$B$29+'Inputs'!$B$31+'Inputs'!$B$32,'Inputs'!$B$30+'Inputs'!$B$31+'Inputs'!$B$32)/1000+'Inputs'!$B$21+'Inputs'!$B$7+'Inputs'!$B$10)+'Inputs'!$B$9)^2+('Inputs'!$B$8/2)^2)-(((959-43)*MAX('Inputs'!$B$33,'Inputs'!$B$29+'Inputs'!$B$31+'Inputs'!$B$32,'Inputs'!$B$30+'Inputs'!$B$31+'Inputs'!$B$32)/1000+'Inputs'!$B$21+'Inputs'!$B$7+'Inputs'!$B$10))/SQRT((((959-43)*MAX('Inputs'!$B$33,'Inputs'!$B$29+'Inputs'!$B$31+'Inputs'!$B$32,'Inputs'!$B$30+'Inputs'!$B$31+'Inputs'!$B$32)/1000+'Inputs'!$B$21+'Inputs'!$B$7+'Inputs'!$B$10))^2+('Inputs'!$B$8/2)^2))))*'Results'!$B$8))),"")</x:f>
        <x:v>0.5733733046733761</x:v>
      </x:c>
      <x:c r="M959" t="n">
        <x:f>IF(AND(ISNUMBER('Results'!C7),ISNUMBER('Results'!B7),ISNUMBER('Results'!$B$8),ISNUMBER('Inputs'!$B$6),ISNUMBER('Inputs'!$B$7),ISNUMBER('Inputs'!$B$8),ISNUMBER('Inputs'!$B$9),ISNUMBER('Inputs'!$B$10),ISNUMBER('Inputs'!$B$21),ISNUMBER('Inputs'!$B$24),ISNUMBER('Inputs'!$B$28)),(('Results'!C7*(0.5*((((959-43)*MAX('Inputs'!$B$33,'Inputs'!$B$29+'Inputs'!$B$31+'Inputs'!$B$32,'Inputs'!$B$30+'Inputs'!$B$31+'Inputs'!$B$32)/1000+'Inputs'!$B$21)+'Inputs'!$B$9)/SQRT((((959-43)*MAX('Inputs'!$B$33,'Inputs'!$B$29+'Inputs'!$B$31+'Inputs'!$B$32,'Inputs'!$B$30+'Inputs'!$B$31+'Inputs'!$B$32)/1000+'Inputs'!$B$21)+'Inputs'!$B$9)^2+('Inputs'!$B$8/2)^2)-(((959-43)*MAX('Inputs'!$B$33,'Inputs'!$B$29+'Inputs'!$B$31+'Inputs'!$B$32,'Inputs'!$B$30+'Inputs'!$B$31+'Inputs'!$B$32)/1000+'Inputs'!$B$21))/SQRT((((959-43)*MAX('Inputs'!$B$33,'Inputs'!$B$29+'Inputs'!$B$31+'Inputs'!$B$32,'Inputs'!$B$30+'Inputs'!$B$31+'Inputs'!$B$32)/1000+'Inputs'!$B$21))^2+('Inputs'!$B$8/2)^2)))-'Results'!B7*(0.5*((((959-43)*MAX('Inputs'!$B$33,'Inputs'!$B$29+'Inputs'!$B$31+'Inputs'!$B$32,'Inputs'!$B$30+'Inputs'!$B$31+'Inputs'!$B$32)/1000+'Inputs'!$B$21+'Inputs'!$B$9+'Inputs'!$B$10)+'Inputs'!$B$7)/SQRT((((959-43)*MAX('Inputs'!$B$33,'Inputs'!$B$29+'Inputs'!$B$31+'Inputs'!$B$32,'Inputs'!$B$30+'Inputs'!$B$31+'Inputs'!$B$32)/1000+'Inputs'!$B$21+'Inputs'!$B$9+'Inputs'!$B$10)+'Inputs'!$B$7)^2+('Inputs'!$B$6/2)^2)-(((959-43)*MAX('Inputs'!$B$33,'Inputs'!$B$29+'Inputs'!$B$31+'Inputs'!$B$32,'Inputs'!$B$30+'Inputs'!$B$31+'Inputs'!$B$32)/1000+'Inputs'!$B$21+'Inputs'!$B$9+'Inputs'!$B$10))/SQRT((((959-43)*MAX('Inputs'!$B$33,'Inputs'!$B$29+'Inputs'!$B$31+'Inputs'!$B$32,'Inputs'!$B$30+'Inputs'!$B$31+'Inputs'!$B$32)/1000+'Inputs'!$B$21+'Inputs'!$B$9+'Inputs'!$B$10))^2+('Inputs'!$B$6/2)^2))))*'Results'!$B$8),"")</x:f>
        <x:v>0.43666720066710485</x:v>
      </x:c>
      <x:c r="N959" t="n">
        <x:f>IF(AND(ISNUMBER('Results'!C7),ISNUMBER('Results'!B7),ISNUMBER('Results'!$B$8),ISNUMBER('Inputs'!$B$6),ISNUMBER('Inputs'!$B$7),ISNUMBER('Inputs'!$B$8),ISNUMBER('Inputs'!$B$9),ISNUMBER('Inputs'!$B$10),ISNUMBER('Inputs'!$B$21),ISNUMBER('Inputs'!$B$24),ISNUMBER('Inputs'!$B$28)),((('Results'!C7*(1-'Inputs'!$B$24)*(0.5*((((959-43)*MAX('Inputs'!$B$33,'Inputs'!$B$29+'Inputs'!$B$31+'Inputs'!$B$32,'Inputs'!$B$30+'Inputs'!$B$31+'Inputs'!$B$32)/1000+'Inputs'!$B$21)+'Inputs'!$B$9)/SQRT((((959-43)*MAX('Inputs'!$B$33,'Inputs'!$B$29+'Inputs'!$B$31+'Inputs'!$B$32,'Inputs'!$B$30+'Inputs'!$B$31+'Inputs'!$B$32)/1000+'Inputs'!$B$21)+'Inputs'!$B$9)^2+('Inputs'!$B$8/2)^2)-(((959-43)*MAX('Inputs'!$B$33,'Inputs'!$B$29+'Inputs'!$B$31+'Inputs'!$B$32,'Inputs'!$B$30+'Inputs'!$B$31+'Inputs'!$B$32)/1000+'Inputs'!$B$21))/SQRT((((959-43)*MAX('Inputs'!$B$33,'Inputs'!$B$29+'Inputs'!$B$31+'Inputs'!$B$32,'Inputs'!$B$30+'Inputs'!$B$31+'Inputs'!$B$32)/1000+'Inputs'!$B$21))^2+('Inputs'!$B$8/2)^2)))-'Results'!B7*(1+'Inputs'!$B$24)*(0.5*((((959-43)*MAX('Inputs'!$B$33,'Inputs'!$B$29+'Inputs'!$B$31+'Inputs'!$B$32,'Inputs'!$B$30+'Inputs'!$B$31+'Inputs'!$B$32)/1000+'Inputs'!$B$21+'Inputs'!$B$9+'Inputs'!$B$10)+'Inputs'!$B$7)/SQRT((((959-43)*MAX('Inputs'!$B$33,'Inputs'!$B$29+'Inputs'!$B$31+'Inputs'!$B$32,'Inputs'!$B$30+'Inputs'!$B$31+'Inputs'!$B$32)/1000+'Inputs'!$B$21+'Inputs'!$B$9+'Inputs'!$B$10)+'Inputs'!$B$7)^2+('Inputs'!$B$6/2)^2)-(((959-43)*MAX('Inputs'!$B$33,'Inputs'!$B$29+'Inputs'!$B$31+'Inputs'!$B$32,'Inputs'!$B$30+'Inputs'!$B$31+'Inputs'!$B$32)/1000+'Inputs'!$B$21+'Inputs'!$B$9+'Inputs'!$B$10))/SQRT((((959-43)*MAX('Inputs'!$B$33,'Inputs'!$B$29+'Inputs'!$B$31+'Inputs'!$B$32,'Inputs'!$B$30+'Inputs'!$B$31+'Inputs'!$B$32)/1000+'Inputs'!$B$21+'Inputs'!$B$9+'Inputs'!$B$10))^2+('Inputs'!$B$6/2)^2))))*'Results'!$B$8)-'Inputs'!$B$28*ABS((('Results'!C7*(1-'Inputs'!$B$24)*(0.5*((((959-43)*MAX('Inputs'!$B$33,'Inputs'!$B$29+'Inputs'!$B$31+'Inputs'!$B$32,'Inputs'!$B$30+'Inputs'!$B$31+'Inputs'!$B$32)/1000+'Inputs'!$B$21)+'Inputs'!$B$9)/SQRT((((959-43)*MAX('Inputs'!$B$33,'Inputs'!$B$29+'Inputs'!$B$31+'Inputs'!$B$32,'Inputs'!$B$30+'Inputs'!$B$31+'Inputs'!$B$32)/1000+'Inputs'!$B$21)+'Inputs'!$B$9)^2+('Inputs'!$B$8/2)^2)-(((959-43)*MAX('Inputs'!$B$33,'Inputs'!$B$29+'Inputs'!$B$31+'Inputs'!$B$32,'Inputs'!$B$30+'Inputs'!$B$31+'Inputs'!$B$32)/1000+'Inputs'!$B$21))/SQRT((((959-43)*MAX('Inputs'!$B$33,'Inputs'!$B$29+'Inputs'!$B$31+'Inputs'!$B$32,'Inputs'!$B$30+'Inputs'!$B$31+'Inputs'!$B$32)/1000+'Inputs'!$B$21))^2+('Inputs'!$B$8/2)^2)))-'Results'!B7*(1+'Inputs'!$B$24)*(0.5*((((959-43)*MAX('Inputs'!$B$33,'Inputs'!$B$29+'Inputs'!$B$31+'Inputs'!$B$32,'Inputs'!$B$30+'Inputs'!$B$31+'Inputs'!$B$32)/1000+'Inputs'!$B$21+'Inputs'!$B$9+'Inputs'!$B$10)+'Inputs'!$B$7)/SQRT((((959-43)*MAX('Inputs'!$B$33,'Inputs'!$B$29+'Inputs'!$B$31+'Inputs'!$B$32,'Inputs'!$B$30+'Inputs'!$B$31+'Inputs'!$B$32)/1000+'Inputs'!$B$21+'Inputs'!$B$9+'Inputs'!$B$10)+'Inputs'!$B$7)^2+('Inputs'!$B$6/2)^2)-(((959-43)*MAX('Inputs'!$B$33,'Inputs'!$B$29+'Inputs'!$B$31+'Inputs'!$B$32,'Inputs'!$B$30+'Inputs'!$B$31+'Inputs'!$B$32)/1000+'Inputs'!$B$21+'Inputs'!$B$9+'Inputs'!$B$10))/SQRT((((959-43)*MAX('Inputs'!$B$33,'Inputs'!$B$29+'Inputs'!$B$31+'Inputs'!$B$32,'Inputs'!$B$30+'Inputs'!$B$31+'Inputs'!$B$32)/1000+'Inputs'!$B$21+'Inputs'!$B$9+'Inputs'!$B$10))^2+('Inputs'!$B$6/2)^2))))*'Results'!$B$8))),"")</x:f>
        <x:v>0.36326212607669905</x:v>
      </x:c>
      <x:c r="O959" t="n">
        <x:f>IF(AND(ISNUMBER('Results'!C7),ISNUMBER('Results'!B7),ISNUMBER('Results'!$B$8),ISNUMBER('Inputs'!$B$6),ISNUMBER('Inputs'!$B$7),ISNUMBER('Inputs'!$B$8),ISNUMBER('Inputs'!$B$9),ISNUMBER('Inputs'!$B$10),ISNUMBER('Inputs'!$B$21),ISNUMBER('Inputs'!$B$24),ISNUMBER('Inputs'!$B$28)),((('Results'!C7*(1+'Inputs'!$B$24)*(0.5*((((959-43)*MAX('Inputs'!$B$33,'Inputs'!$B$29+'Inputs'!$B$31+'Inputs'!$B$32,'Inputs'!$B$30+'Inputs'!$B$31+'Inputs'!$B$32)/1000+'Inputs'!$B$21)+'Inputs'!$B$9)/SQRT((((959-43)*MAX('Inputs'!$B$33,'Inputs'!$B$29+'Inputs'!$B$31+'Inputs'!$B$32,'Inputs'!$B$30+'Inputs'!$B$31+'Inputs'!$B$32)/1000+'Inputs'!$B$21)+'Inputs'!$B$9)^2+('Inputs'!$B$8/2)^2)-(((959-43)*MAX('Inputs'!$B$33,'Inputs'!$B$29+'Inputs'!$B$31+'Inputs'!$B$32,'Inputs'!$B$30+'Inputs'!$B$31+'Inputs'!$B$32)/1000+'Inputs'!$B$21))/SQRT((((959-43)*MAX('Inputs'!$B$33,'Inputs'!$B$29+'Inputs'!$B$31+'Inputs'!$B$32,'Inputs'!$B$30+'Inputs'!$B$31+'Inputs'!$B$32)/1000+'Inputs'!$B$21))^2+('Inputs'!$B$8/2)^2)))-'Results'!B7*(1-'Inputs'!$B$24)*(0.5*((((959-43)*MAX('Inputs'!$B$33,'Inputs'!$B$29+'Inputs'!$B$31+'Inputs'!$B$32,'Inputs'!$B$30+'Inputs'!$B$31+'Inputs'!$B$32)/1000+'Inputs'!$B$21+'Inputs'!$B$9+'Inputs'!$B$10)+'Inputs'!$B$7)/SQRT((((959-43)*MAX('Inputs'!$B$33,'Inputs'!$B$29+'Inputs'!$B$31+'Inputs'!$B$32,'Inputs'!$B$30+'Inputs'!$B$31+'Inputs'!$B$32)/1000+'Inputs'!$B$21+'Inputs'!$B$9+'Inputs'!$B$10)+'Inputs'!$B$7)^2+('Inputs'!$B$6/2)^2)-(((959-43)*MAX('Inputs'!$B$33,'Inputs'!$B$29+'Inputs'!$B$31+'Inputs'!$B$32,'Inputs'!$B$30+'Inputs'!$B$31+'Inputs'!$B$32)/1000+'Inputs'!$B$21+'Inputs'!$B$9+'Inputs'!$B$10))/SQRT((((959-43)*MAX('Inputs'!$B$33,'Inputs'!$B$29+'Inputs'!$B$31+'Inputs'!$B$32,'Inputs'!$B$30+'Inputs'!$B$31+'Inputs'!$B$32)/1000+'Inputs'!$B$21+'Inputs'!$B$9+'Inputs'!$B$10))^2+('Inputs'!$B$6/2)^2))))*'Results'!$B$8)+'Inputs'!$B$28*ABS((('Results'!C7*(1+'Inputs'!$B$24)*(0.5*((((959-43)*MAX('Inputs'!$B$33,'Inputs'!$B$29+'Inputs'!$B$31+'Inputs'!$B$32,'Inputs'!$B$30+'Inputs'!$B$31+'Inputs'!$B$32)/1000+'Inputs'!$B$21)+'Inputs'!$B$9)/SQRT((((959-43)*MAX('Inputs'!$B$33,'Inputs'!$B$29+'Inputs'!$B$31+'Inputs'!$B$32,'Inputs'!$B$30+'Inputs'!$B$31+'Inputs'!$B$32)/1000+'Inputs'!$B$21)+'Inputs'!$B$9)^2+('Inputs'!$B$8/2)^2)-(((959-43)*MAX('Inputs'!$B$33,'Inputs'!$B$29+'Inputs'!$B$31+'Inputs'!$B$32,'Inputs'!$B$30+'Inputs'!$B$31+'Inputs'!$B$32)/1000+'Inputs'!$B$21))/SQRT((((959-43)*MAX('Inputs'!$B$33,'Inputs'!$B$29+'Inputs'!$B$31+'Inputs'!$B$32,'Inputs'!$B$30+'Inputs'!$B$31+'Inputs'!$B$32)/1000+'Inputs'!$B$21))^2+('Inputs'!$B$8/2)^2)))-'Results'!B7*(1-'Inputs'!$B$24)*(0.5*((((959-43)*MAX('Inputs'!$B$33,'Inputs'!$B$29+'Inputs'!$B$31+'Inputs'!$B$32,'Inputs'!$B$30+'Inputs'!$B$31+'Inputs'!$B$32)/1000+'Inputs'!$B$21+'Inputs'!$B$9+'Inputs'!$B$10)+'Inputs'!$B$7)/SQRT((((959-43)*MAX('Inputs'!$B$33,'Inputs'!$B$29+'Inputs'!$B$31+'Inputs'!$B$32,'Inputs'!$B$30+'Inputs'!$B$31+'Inputs'!$B$32)/1000+'Inputs'!$B$21+'Inputs'!$B$9+'Inputs'!$B$10)+'Inputs'!$B$7)^2+('Inputs'!$B$6/2)^2)-(((959-43)*MAX('Inputs'!$B$33,'Inputs'!$B$29+'Inputs'!$B$31+'Inputs'!$B$32,'Inputs'!$B$30+'Inputs'!$B$31+'Inputs'!$B$32)/1000+'Inputs'!$B$21+'Inputs'!$B$9+'Inputs'!$B$10))/SQRT((((959-43)*MAX('Inputs'!$B$33,'Inputs'!$B$29+'Inputs'!$B$31+'Inputs'!$B$32,'Inputs'!$B$30+'Inputs'!$B$31+'Inputs'!$B$32)/1000+'Inputs'!$B$21+'Inputs'!$B$9+'Inputs'!$B$10))^2+('Inputs'!$B$6/2)^2))))*'Results'!$B$8))),"")</x:f>
        <x:v>0.515500876789832</x:v>
      </x:c>
      <x:c r="P959" t="n">
        <x:f>IF(AND(MAX(J959,J958)&gt;0,J959&gt;J958+0.00000001),1,0)</x:f>
        <x:v>0</x:v>
      </x:c>
      <x:c r="Q959" t="n">
        <x:f>IF(AND(MAX(K959,K958)&gt;0,K959&gt;K958+0.00000001),1,0)</x:f>
        <x:v>0</x:v>
      </x:c>
      <x:c r="R959" t="n">
        <x:f>IF(AND(MAX(L959,L958)&gt;0,L959&gt;L958+0.00000001),1,0)</x:f>
        <x:v>0</x:v>
      </x:c>
      <x:c r="S959" t="n">
        <x:f>IF(AND(MAX(M959,M958)&gt;0,M959&gt;M958+0.00000001),1,0)</x:f>
        <x:v>0</x:v>
      </x:c>
      <x:c r="T959" t="n">
        <x:f>IF(AND(MAX(N959,N958)&gt;0,N959&gt;N958+0.00000001),1,0)</x:f>
        <x:v>0</x:v>
      </x:c>
      <x:c r="U959" t="n">
        <x:f>IF(AND(MAX(O959,O958)&gt;0,O959&gt;O958+0.00000001),1,0)</x:f>
        <x:v>0</x:v>
      </x:c>
    </x:row>
    <x:row r="960">
      <x:c r="J960" t="n">
        <x:f>IF(AND(ISNUMBER('Results'!B7),ISNUMBER('Results'!C7),ISNUMBER('Results'!$B$8),ISNUMBER('Inputs'!$B$6),ISNUMBER('Inputs'!$B$7),ISNUMBER('Inputs'!$B$8),ISNUMBER('Inputs'!$B$9),ISNUMBER('Inputs'!$B$10),ISNUMBER('Inputs'!$B$21),ISNUMBER('Inputs'!$B$24),ISNUMBER('Inputs'!$B$28)),(('Results'!B7*(0.5*((((960-43)*MAX('Inputs'!$B$33,'Inputs'!$B$29+'Inputs'!$B$31+'Inputs'!$B$32,'Inputs'!$B$30+'Inputs'!$B$31+'Inputs'!$B$32)/1000+'Inputs'!$B$21)+'Inputs'!$B$7)/SQRT((((960-43)*MAX('Inputs'!$B$33,'Inputs'!$B$29+'Inputs'!$B$31+'Inputs'!$B$32,'Inputs'!$B$30+'Inputs'!$B$31+'Inputs'!$B$32)/1000+'Inputs'!$B$21)+'Inputs'!$B$7)^2+('Inputs'!$B$6/2)^2)-(((960-43)*MAX('Inputs'!$B$33,'Inputs'!$B$29+'Inputs'!$B$31+'Inputs'!$B$32,'Inputs'!$B$30+'Inputs'!$B$31+'Inputs'!$B$32)/1000+'Inputs'!$B$21))/SQRT((((960-43)*MAX('Inputs'!$B$33,'Inputs'!$B$29+'Inputs'!$B$31+'Inputs'!$B$32,'Inputs'!$B$30+'Inputs'!$B$31+'Inputs'!$B$32)/1000+'Inputs'!$B$21))^2+('Inputs'!$B$6/2)^2)))-'Results'!C7*(0.5*((((960-43)*MAX('Inputs'!$B$33,'Inputs'!$B$29+'Inputs'!$B$31+'Inputs'!$B$32,'Inputs'!$B$30+'Inputs'!$B$31+'Inputs'!$B$32)/1000+'Inputs'!$B$21+'Inputs'!$B$7+'Inputs'!$B$10)+'Inputs'!$B$9)/SQRT((((960-43)*MAX('Inputs'!$B$33,'Inputs'!$B$29+'Inputs'!$B$31+'Inputs'!$B$32,'Inputs'!$B$30+'Inputs'!$B$31+'Inputs'!$B$32)/1000+'Inputs'!$B$21+'Inputs'!$B$7+'Inputs'!$B$10)+'Inputs'!$B$9)^2+('Inputs'!$B$8/2)^2)-(((960-43)*MAX('Inputs'!$B$33,'Inputs'!$B$29+'Inputs'!$B$31+'Inputs'!$B$32,'Inputs'!$B$30+'Inputs'!$B$31+'Inputs'!$B$32)/1000+'Inputs'!$B$21+'Inputs'!$B$7+'Inputs'!$B$10))/SQRT((((960-43)*MAX('Inputs'!$B$33,'Inputs'!$B$29+'Inputs'!$B$31+'Inputs'!$B$32,'Inputs'!$B$30+'Inputs'!$B$31+'Inputs'!$B$32)/1000+'Inputs'!$B$21+'Inputs'!$B$7+'Inputs'!$B$10))^2+('Inputs'!$B$8/2)^2))))*'Results'!$B$8),"")</x:f>
        <x:v>0.48965185198266864</x:v>
      </x:c>
      <x:c r="K960" t="n">
        <x:f>IF(AND(ISNUMBER('Results'!B7),ISNUMBER('Results'!C7),ISNUMBER('Results'!$B$8),ISNUMBER('Inputs'!$B$6),ISNUMBER('Inputs'!$B$7),ISNUMBER('Inputs'!$B$8),ISNUMBER('Inputs'!$B$9),ISNUMBER('Inputs'!$B$10),ISNUMBER('Inputs'!$B$21),ISNUMBER('Inputs'!$B$24),ISNUMBER('Inputs'!$B$28)),((('Results'!B7*(1-'Inputs'!$B$24)*(0.5*((((960-43)*MAX('Inputs'!$B$33,'Inputs'!$B$29+'Inputs'!$B$31+'Inputs'!$B$32,'Inputs'!$B$30+'Inputs'!$B$31+'Inputs'!$B$32)/1000+'Inputs'!$B$21)+'Inputs'!$B$7)/SQRT((((960-43)*MAX('Inputs'!$B$33,'Inputs'!$B$29+'Inputs'!$B$31+'Inputs'!$B$32,'Inputs'!$B$30+'Inputs'!$B$31+'Inputs'!$B$32)/1000+'Inputs'!$B$21)+'Inputs'!$B$7)^2+('Inputs'!$B$6/2)^2)-(((960-43)*MAX('Inputs'!$B$33,'Inputs'!$B$29+'Inputs'!$B$31+'Inputs'!$B$32,'Inputs'!$B$30+'Inputs'!$B$31+'Inputs'!$B$32)/1000+'Inputs'!$B$21))/SQRT((((960-43)*MAX('Inputs'!$B$33,'Inputs'!$B$29+'Inputs'!$B$31+'Inputs'!$B$32,'Inputs'!$B$30+'Inputs'!$B$31+'Inputs'!$B$32)/1000+'Inputs'!$B$21))^2+('Inputs'!$B$6/2)^2)))-'Results'!C7*(1+'Inputs'!$B$24)*(0.5*((((960-43)*MAX('Inputs'!$B$33,'Inputs'!$B$29+'Inputs'!$B$31+'Inputs'!$B$32,'Inputs'!$B$30+'Inputs'!$B$31+'Inputs'!$B$32)/1000+'Inputs'!$B$21+'Inputs'!$B$7+'Inputs'!$B$10)+'Inputs'!$B$9)/SQRT((((960-43)*MAX('Inputs'!$B$33,'Inputs'!$B$29+'Inputs'!$B$31+'Inputs'!$B$32,'Inputs'!$B$30+'Inputs'!$B$31+'Inputs'!$B$32)/1000+'Inputs'!$B$21+'Inputs'!$B$7+'Inputs'!$B$10)+'Inputs'!$B$9)^2+('Inputs'!$B$8/2)^2)-(((960-43)*MAX('Inputs'!$B$33,'Inputs'!$B$29+'Inputs'!$B$31+'Inputs'!$B$32,'Inputs'!$B$30+'Inputs'!$B$31+'Inputs'!$B$32)/1000+'Inputs'!$B$21+'Inputs'!$B$7+'Inputs'!$B$10))/SQRT((((960-43)*MAX('Inputs'!$B$33,'Inputs'!$B$29+'Inputs'!$B$31+'Inputs'!$B$32,'Inputs'!$B$30+'Inputs'!$B$31+'Inputs'!$B$32)/1000+'Inputs'!$B$21+'Inputs'!$B$7+'Inputs'!$B$10))^2+('Inputs'!$B$8/2)^2))))*'Results'!$B$8)-'Inputs'!$B$28*ABS((('Results'!B7*(1-'Inputs'!$B$24)*(0.5*((((960-43)*MAX('Inputs'!$B$33,'Inputs'!$B$29+'Inputs'!$B$31+'Inputs'!$B$32,'Inputs'!$B$30+'Inputs'!$B$31+'Inputs'!$B$32)/1000+'Inputs'!$B$21)+'Inputs'!$B$7)/SQRT((((960-43)*MAX('Inputs'!$B$33,'Inputs'!$B$29+'Inputs'!$B$31+'Inputs'!$B$32,'Inputs'!$B$30+'Inputs'!$B$31+'Inputs'!$B$32)/1000+'Inputs'!$B$21)+'Inputs'!$B$7)^2+('Inputs'!$B$6/2)^2)-(((960-43)*MAX('Inputs'!$B$33,'Inputs'!$B$29+'Inputs'!$B$31+'Inputs'!$B$32,'Inputs'!$B$30+'Inputs'!$B$31+'Inputs'!$B$32)/1000+'Inputs'!$B$21))/SQRT((((960-43)*MAX('Inputs'!$B$33,'Inputs'!$B$29+'Inputs'!$B$31+'Inputs'!$B$32,'Inputs'!$B$30+'Inputs'!$B$31+'Inputs'!$B$32)/1000+'Inputs'!$B$21))^2+('Inputs'!$B$6/2)^2)))-'Results'!C7*(1+'Inputs'!$B$24)*(0.5*((((960-43)*MAX('Inputs'!$B$33,'Inputs'!$B$29+'Inputs'!$B$31+'Inputs'!$B$32,'Inputs'!$B$30+'Inputs'!$B$31+'Inputs'!$B$32)/1000+'Inputs'!$B$21+'Inputs'!$B$7+'Inputs'!$B$10)+'Inputs'!$B$9)/SQRT((((960-43)*MAX('Inputs'!$B$33,'Inputs'!$B$29+'Inputs'!$B$31+'Inputs'!$B$32,'Inputs'!$B$30+'Inputs'!$B$31+'Inputs'!$B$32)/1000+'Inputs'!$B$21+'Inputs'!$B$7+'Inputs'!$B$10)+'Inputs'!$B$9)^2+('Inputs'!$B$8/2)^2)-(((960-43)*MAX('Inputs'!$B$33,'Inputs'!$B$29+'Inputs'!$B$31+'Inputs'!$B$32,'Inputs'!$B$30+'Inputs'!$B$31+'Inputs'!$B$32)/1000+'Inputs'!$B$21+'Inputs'!$B$7+'Inputs'!$B$10))/SQRT((((960-43)*MAX('Inputs'!$B$33,'Inputs'!$B$29+'Inputs'!$B$31+'Inputs'!$B$32,'Inputs'!$B$30+'Inputs'!$B$31+'Inputs'!$B$32)/1000+'Inputs'!$B$21+'Inputs'!$B$7+'Inputs'!$B$10))^2+('Inputs'!$B$8/2)^2))))*'Results'!$B$8))),"")</x:f>
        <x:v>0.4135765872310605</x:v>
      </x:c>
      <x:c r="L960" t="n">
        <x:f>IF(AND(ISNUMBER('Results'!B7),ISNUMBER('Results'!C7),ISNUMBER('Results'!$B$8),ISNUMBER('Inputs'!$B$6),ISNUMBER('Inputs'!$B$7),ISNUMBER('Inputs'!$B$8),ISNUMBER('Inputs'!$B$9),ISNUMBER('Inputs'!$B$10),ISNUMBER('Inputs'!$B$21),ISNUMBER('Inputs'!$B$24),ISNUMBER('Inputs'!$B$28)),((('Results'!B7*(1+'Inputs'!$B$24)*(0.5*((((960-43)*MAX('Inputs'!$B$33,'Inputs'!$B$29+'Inputs'!$B$31+'Inputs'!$B$32,'Inputs'!$B$30+'Inputs'!$B$31+'Inputs'!$B$32)/1000+'Inputs'!$B$21)+'Inputs'!$B$7)/SQRT((((960-43)*MAX('Inputs'!$B$33,'Inputs'!$B$29+'Inputs'!$B$31+'Inputs'!$B$32,'Inputs'!$B$30+'Inputs'!$B$31+'Inputs'!$B$32)/1000+'Inputs'!$B$21)+'Inputs'!$B$7)^2+('Inputs'!$B$6/2)^2)-(((960-43)*MAX('Inputs'!$B$33,'Inputs'!$B$29+'Inputs'!$B$31+'Inputs'!$B$32,'Inputs'!$B$30+'Inputs'!$B$31+'Inputs'!$B$32)/1000+'Inputs'!$B$21))/SQRT((((960-43)*MAX('Inputs'!$B$33,'Inputs'!$B$29+'Inputs'!$B$31+'Inputs'!$B$32,'Inputs'!$B$30+'Inputs'!$B$31+'Inputs'!$B$32)/1000+'Inputs'!$B$21))^2+('Inputs'!$B$6/2)^2)))-'Results'!C7*(1-'Inputs'!$B$24)*(0.5*((((960-43)*MAX('Inputs'!$B$33,'Inputs'!$B$29+'Inputs'!$B$31+'Inputs'!$B$32,'Inputs'!$B$30+'Inputs'!$B$31+'Inputs'!$B$32)/1000+'Inputs'!$B$21+'Inputs'!$B$7+'Inputs'!$B$10)+'Inputs'!$B$9)/SQRT((((960-43)*MAX('Inputs'!$B$33,'Inputs'!$B$29+'Inputs'!$B$31+'Inputs'!$B$32,'Inputs'!$B$30+'Inputs'!$B$31+'Inputs'!$B$32)/1000+'Inputs'!$B$21+'Inputs'!$B$7+'Inputs'!$B$10)+'Inputs'!$B$9)^2+('Inputs'!$B$8/2)^2)-(((960-43)*MAX('Inputs'!$B$33,'Inputs'!$B$29+'Inputs'!$B$31+'Inputs'!$B$32,'Inputs'!$B$30+'Inputs'!$B$31+'Inputs'!$B$32)/1000+'Inputs'!$B$21+'Inputs'!$B$7+'Inputs'!$B$10))/SQRT((((960-43)*MAX('Inputs'!$B$33,'Inputs'!$B$29+'Inputs'!$B$31+'Inputs'!$B$32,'Inputs'!$B$30+'Inputs'!$B$31+'Inputs'!$B$32)/1000+'Inputs'!$B$21+'Inputs'!$B$7+'Inputs'!$B$10))^2+('Inputs'!$B$8/2)^2))))*'Results'!$B$8)+'Inputs'!$B$28*ABS((('Results'!B7*(1+'Inputs'!$B$24)*(0.5*((((960-43)*MAX('Inputs'!$B$33,'Inputs'!$B$29+'Inputs'!$B$31+'Inputs'!$B$32,'Inputs'!$B$30+'Inputs'!$B$31+'Inputs'!$B$32)/1000+'Inputs'!$B$21)+'Inputs'!$B$7)/SQRT((((960-43)*MAX('Inputs'!$B$33,'Inputs'!$B$29+'Inputs'!$B$31+'Inputs'!$B$32,'Inputs'!$B$30+'Inputs'!$B$31+'Inputs'!$B$32)/1000+'Inputs'!$B$21)+'Inputs'!$B$7)^2+('Inputs'!$B$6/2)^2)-(((960-43)*MAX('Inputs'!$B$33,'Inputs'!$B$29+'Inputs'!$B$31+'Inputs'!$B$32,'Inputs'!$B$30+'Inputs'!$B$31+'Inputs'!$B$32)/1000+'Inputs'!$B$21))/SQRT((((960-43)*MAX('Inputs'!$B$33,'Inputs'!$B$29+'Inputs'!$B$31+'Inputs'!$B$32,'Inputs'!$B$30+'Inputs'!$B$31+'Inputs'!$B$32)/1000+'Inputs'!$B$21))^2+('Inputs'!$B$6/2)^2)))-'Results'!C7*(1-'Inputs'!$B$24)*(0.5*((((960-43)*MAX('Inputs'!$B$33,'Inputs'!$B$29+'Inputs'!$B$31+'Inputs'!$B$32,'Inputs'!$B$30+'Inputs'!$B$31+'Inputs'!$B$32)/1000+'Inputs'!$B$21+'Inputs'!$B$7+'Inputs'!$B$10)+'Inputs'!$B$9)/SQRT((((960-43)*MAX('Inputs'!$B$33,'Inputs'!$B$29+'Inputs'!$B$31+'Inputs'!$B$32,'Inputs'!$B$30+'Inputs'!$B$31+'Inputs'!$B$32)/1000+'Inputs'!$B$21+'Inputs'!$B$7+'Inputs'!$B$10)+'Inputs'!$B$9)^2+('Inputs'!$B$8/2)^2)-(((960-43)*MAX('Inputs'!$B$33,'Inputs'!$B$29+'Inputs'!$B$31+'Inputs'!$B$32,'Inputs'!$B$30+'Inputs'!$B$31+'Inputs'!$B$32)/1000+'Inputs'!$B$21+'Inputs'!$B$7+'Inputs'!$B$10))/SQRT((((960-43)*MAX('Inputs'!$B$33,'Inputs'!$B$29+'Inputs'!$B$31+'Inputs'!$B$32,'Inputs'!$B$30+'Inputs'!$B$31+'Inputs'!$B$32)/1000+'Inputs'!$B$21+'Inputs'!$B$7+'Inputs'!$B$10))^2+('Inputs'!$B$8/2)^2))))*'Results'!$B$8))),"")</x:f>
        <x:v>0.5711579243292741</x:v>
      </x:c>
      <x:c r="M960" t="n">
        <x:f>IF(AND(ISNUMBER('Results'!C7),ISNUMBER('Results'!B7),ISNUMBER('Results'!$B$8),ISNUMBER('Inputs'!$B$6),ISNUMBER('Inputs'!$B$7),ISNUMBER('Inputs'!$B$8),ISNUMBER('Inputs'!$B$9),ISNUMBER('Inputs'!$B$10),ISNUMBER('Inputs'!$B$21),ISNUMBER('Inputs'!$B$24),ISNUMBER('Inputs'!$B$28)),(('Results'!C7*(0.5*((((960-43)*MAX('Inputs'!$B$33,'Inputs'!$B$29+'Inputs'!$B$31+'Inputs'!$B$32,'Inputs'!$B$30+'Inputs'!$B$31+'Inputs'!$B$32)/1000+'Inputs'!$B$21)+'Inputs'!$B$9)/SQRT((((960-43)*MAX('Inputs'!$B$33,'Inputs'!$B$29+'Inputs'!$B$31+'Inputs'!$B$32,'Inputs'!$B$30+'Inputs'!$B$31+'Inputs'!$B$32)/1000+'Inputs'!$B$21)+'Inputs'!$B$9)^2+('Inputs'!$B$8/2)^2)-(((960-43)*MAX('Inputs'!$B$33,'Inputs'!$B$29+'Inputs'!$B$31+'Inputs'!$B$32,'Inputs'!$B$30+'Inputs'!$B$31+'Inputs'!$B$32)/1000+'Inputs'!$B$21))/SQRT((((960-43)*MAX('Inputs'!$B$33,'Inputs'!$B$29+'Inputs'!$B$31+'Inputs'!$B$32,'Inputs'!$B$30+'Inputs'!$B$31+'Inputs'!$B$32)/1000+'Inputs'!$B$21))^2+('Inputs'!$B$8/2)^2)))-'Results'!B7*(0.5*((((960-43)*MAX('Inputs'!$B$33,'Inputs'!$B$29+'Inputs'!$B$31+'Inputs'!$B$32,'Inputs'!$B$30+'Inputs'!$B$31+'Inputs'!$B$32)/1000+'Inputs'!$B$21+'Inputs'!$B$9+'Inputs'!$B$10)+'Inputs'!$B$7)/SQRT((((960-43)*MAX('Inputs'!$B$33,'Inputs'!$B$29+'Inputs'!$B$31+'Inputs'!$B$32,'Inputs'!$B$30+'Inputs'!$B$31+'Inputs'!$B$32)/1000+'Inputs'!$B$21+'Inputs'!$B$9+'Inputs'!$B$10)+'Inputs'!$B$7)^2+('Inputs'!$B$6/2)^2)-(((960-43)*MAX('Inputs'!$B$33,'Inputs'!$B$29+'Inputs'!$B$31+'Inputs'!$B$32,'Inputs'!$B$30+'Inputs'!$B$31+'Inputs'!$B$32)/1000+'Inputs'!$B$21+'Inputs'!$B$9+'Inputs'!$B$10))/SQRT((((960-43)*MAX('Inputs'!$B$33,'Inputs'!$B$29+'Inputs'!$B$31+'Inputs'!$B$32,'Inputs'!$B$30+'Inputs'!$B$31+'Inputs'!$B$32)/1000+'Inputs'!$B$21+'Inputs'!$B$9+'Inputs'!$B$10))^2+('Inputs'!$B$6/2)^2))))*'Results'!$B$8),"")</x:f>
        <x:v>0.43488954094177384</x:v>
      </x:c>
      <x:c r="N960" t="n">
        <x:f>IF(AND(ISNUMBER('Results'!C7),ISNUMBER('Results'!B7),ISNUMBER('Results'!$B$8),ISNUMBER('Inputs'!$B$6),ISNUMBER('Inputs'!$B$7),ISNUMBER('Inputs'!$B$8),ISNUMBER('Inputs'!$B$9),ISNUMBER('Inputs'!$B$10),ISNUMBER('Inputs'!$B$21),ISNUMBER('Inputs'!$B$24),ISNUMBER('Inputs'!$B$28)),((('Results'!C7*(1-'Inputs'!$B$24)*(0.5*((((960-43)*MAX('Inputs'!$B$33,'Inputs'!$B$29+'Inputs'!$B$31+'Inputs'!$B$32,'Inputs'!$B$30+'Inputs'!$B$31+'Inputs'!$B$32)/1000+'Inputs'!$B$21)+'Inputs'!$B$9)/SQRT((((960-43)*MAX('Inputs'!$B$33,'Inputs'!$B$29+'Inputs'!$B$31+'Inputs'!$B$32,'Inputs'!$B$30+'Inputs'!$B$31+'Inputs'!$B$32)/1000+'Inputs'!$B$21)+'Inputs'!$B$9)^2+('Inputs'!$B$8/2)^2)-(((960-43)*MAX('Inputs'!$B$33,'Inputs'!$B$29+'Inputs'!$B$31+'Inputs'!$B$32,'Inputs'!$B$30+'Inputs'!$B$31+'Inputs'!$B$32)/1000+'Inputs'!$B$21))/SQRT((((960-43)*MAX('Inputs'!$B$33,'Inputs'!$B$29+'Inputs'!$B$31+'Inputs'!$B$32,'Inputs'!$B$30+'Inputs'!$B$31+'Inputs'!$B$32)/1000+'Inputs'!$B$21))^2+('Inputs'!$B$8/2)^2)))-'Results'!B7*(1+'Inputs'!$B$24)*(0.5*((((960-43)*MAX('Inputs'!$B$33,'Inputs'!$B$29+'Inputs'!$B$31+'Inputs'!$B$32,'Inputs'!$B$30+'Inputs'!$B$31+'Inputs'!$B$32)/1000+'Inputs'!$B$21+'Inputs'!$B$9+'Inputs'!$B$10)+'Inputs'!$B$7)/SQRT((((960-43)*MAX('Inputs'!$B$33,'Inputs'!$B$29+'Inputs'!$B$31+'Inputs'!$B$32,'Inputs'!$B$30+'Inputs'!$B$31+'Inputs'!$B$32)/1000+'Inputs'!$B$21+'Inputs'!$B$9+'Inputs'!$B$10)+'Inputs'!$B$7)^2+('Inputs'!$B$6/2)^2)-(((960-43)*MAX('Inputs'!$B$33,'Inputs'!$B$29+'Inputs'!$B$31+'Inputs'!$B$32,'Inputs'!$B$30+'Inputs'!$B$31+'Inputs'!$B$32)/1000+'Inputs'!$B$21+'Inputs'!$B$9+'Inputs'!$B$10))/SQRT((((960-43)*MAX('Inputs'!$B$33,'Inputs'!$B$29+'Inputs'!$B$31+'Inputs'!$B$32,'Inputs'!$B$30+'Inputs'!$B$31+'Inputs'!$B$32)/1000+'Inputs'!$B$21+'Inputs'!$B$9+'Inputs'!$B$10))^2+('Inputs'!$B$6/2)^2))))*'Results'!$B$8)-'Inputs'!$B$28*ABS((('Results'!C7*(1-'Inputs'!$B$24)*(0.5*((((960-43)*MAX('Inputs'!$B$33,'Inputs'!$B$29+'Inputs'!$B$31+'Inputs'!$B$32,'Inputs'!$B$30+'Inputs'!$B$31+'Inputs'!$B$32)/1000+'Inputs'!$B$21)+'Inputs'!$B$9)/SQRT((((960-43)*MAX('Inputs'!$B$33,'Inputs'!$B$29+'Inputs'!$B$31+'Inputs'!$B$32,'Inputs'!$B$30+'Inputs'!$B$31+'Inputs'!$B$32)/1000+'Inputs'!$B$21)+'Inputs'!$B$9)^2+('Inputs'!$B$8/2)^2)-(((960-43)*MAX('Inputs'!$B$33,'Inputs'!$B$29+'Inputs'!$B$31+'Inputs'!$B$32,'Inputs'!$B$30+'Inputs'!$B$31+'Inputs'!$B$32)/1000+'Inputs'!$B$21))/SQRT((((960-43)*MAX('Inputs'!$B$33,'Inputs'!$B$29+'Inputs'!$B$31+'Inputs'!$B$32,'Inputs'!$B$30+'Inputs'!$B$31+'Inputs'!$B$32)/1000+'Inputs'!$B$21))^2+('Inputs'!$B$8/2)^2)))-'Results'!B7*(1+'Inputs'!$B$24)*(0.5*((((960-43)*MAX('Inputs'!$B$33,'Inputs'!$B$29+'Inputs'!$B$31+'Inputs'!$B$32,'Inputs'!$B$30+'Inputs'!$B$31+'Inputs'!$B$32)/1000+'Inputs'!$B$21+'Inputs'!$B$9+'Inputs'!$B$10)+'Inputs'!$B$7)/SQRT((((960-43)*MAX('Inputs'!$B$33,'Inputs'!$B$29+'Inputs'!$B$31+'Inputs'!$B$32,'Inputs'!$B$30+'Inputs'!$B$31+'Inputs'!$B$32)/1000+'Inputs'!$B$21+'Inputs'!$B$9+'Inputs'!$B$10)+'Inputs'!$B$7)^2+('Inputs'!$B$6/2)^2)-(((960-43)*MAX('Inputs'!$B$33,'Inputs'!$B$29+'Inputs'!$B$31+'Inputs'!$B$32,'Inputs'!$B$30+'Inputs'!$B$31+'Inputs'!$B$32)/1000+'Inputs'!$B$21+'Inputs'!$B$9+'Inputs'!$B$10))/SQRT((((960-43)*MAX('Inputs'!$B$33,'Inputs'!$B$29+'Inputs'!$B$31+'Inputs'!$B$32,'Inputs'!$B$30+'Inputs'!$B$31+'Inputs'!$B$32)/1000+'Inputs'!$B$21+'Inputs'!$B$9+'Inputs'!$B$10))^2+('Inputs'!$B$6/2)^2))))*'Results'!$B$8))),"")</x:f>
        <x:v>0.3617298289792363</x:v>
      </x:c>
      <x:c r="O960" t="n">
        <x:f>IF(AND(ISNUMBER('Results'!C7),ISNUMBER('Results'!B7),ISNUMBER('Results'!$B$8),ISNUMBER('Inputs'!$B$6),ISNUMBER('Inputs'!$B$7),ISNUMBER('Inputs'!$B$8),ISNUMBER('Inputs'!$B$9),ISNUMBER('Inputs'!$B$10),ISNUMBER('Inputs'!$B$21),ISNUMBER('Inputs'!$B$24),ISNUMBER('Inputs'!$B$28)),((('Results'!C7*(1+'Inputs'!$B$24)*(0.5*((((960-43)*MAX('Inputs'!$B$33,'Inputs'!$B$29+'Inputs'!$B$31+'Inputs'!$B$32,'Inputs'!$B$30+'Inputs'!$B$31+'Inputs'!$B$32)/1000+'Inputs'!$B$21)+'Inputs'!$B$9)/SQRT((((960-43)*MAX('Inputs'!$B$33,'Inputs'!$B$29+'Inputs'!$B$31+'Inputs'!$B$32,'Inputs'!$B$30+'Inputs'!$B$31+'Inputs'!$B$32)/1000+'Inputs'!$B$21)+'Inputs'!$B$9)^2+('Inputs'!$B$8/2)^2)-(((960-43)*MAX('Inputs'!$B$33,'Inputs'!$B$29+'Inputs'!$B$31+'Inputs'!$B$32,'Inputs'!$B$30+'Inputs'!$B$31+'Inputs'!$B$32)/1000+'Inputs'!$B$21))/SQRT((((960-43)*MAX('Inputs'!$B$33,'Inputs'!$B$29+'Inputs'!$B$31+'Inputs'!$B$32,'Inputs'!$B$30+'Inputs'!$B$31+'Inputs'!$B$32)/1000+'Inputs'!$B$21))^2+('Inputs'!$B$8/2)^2)))-'Results'!B7*(1-'Inputs'!$B$24)*(0.5*((((960-43)*MAX('Inputs'!$B$33,'Inputs'!$B$29+'Inputs'!$B$31+'Inputs'!$B$32,'Inputs'!$B$30+'Inputs'!$B$31+'Inputs'!$B$32)/1000+'Inputs'!$B$21+'Inputs'!$B$9+'Inputs'!$B$10)+'Inputs'!$B$7)/SQRT((((960-43)*MAX('Inputs'!$B$33,'Inputs'!$B$29+'Inputs'!$B$31+'Inputs'!$B$32,'Inputs'!$B$30+'Inputs'!$B$31+'Inputs'!$B$32)/1000+'Inputs'!$B$21+'Inputs'!$B$9+'Inputs'!$B$10)+'Inputs'!$B$7)^2+('Inputs'!$B$6/2)^2)-(((960-43)*MAX('Inputs'!$B$33,'Inputs'!$B$29+'Inputs'!$B$31+'Inputs'!$B$32,'Inputs'!$B$30+'Inputs'!$B$31+'Inputs'!$B$32)/1000+'Inputs'!$B$21+'Inputs'!$B$9+'Inputs'!$B$10))/SQRT((((960-43)*MAX('Inputs'!$B$33,'Inputs'!$B$29+'Inputs'!$B$31+'Inputs'!$B$32,'Inputs'!$B$30+'Inputs'!$B$31+'Inputs'!$B$32)/1000+'Inputs'!$B$21+'Inputs'!$B$9+'Inputs'!$B$10))^2+('Inputs'!$B$6/2)^2))))*'Results'!$B$8)+'Inputs'!$B$28*ABS((('Results'!C7*(1+'Inputs'!$B$24)*(0.5*((((960-43)*MAX('Inputs'!$B$33,'Inputs'!$B$29+'Inputs'!$B$31+'Inputs'!$B$32,'Inputs'!$B$30+'Inputs'!$B$31+'Inputs'!$B$32)/1000+'Inputs'!$B$21)+'Inputs'!$B$9)/SQRT((((960-43)*MAX('Inputs'!$B$33,'Inputs'!$B$29+'Inputs'!$B$31+'Inputs'!$B$32,'Inputs'!$B$30+'Inputs'!$B$31+'Inputs'!$B$32)/1000+'Inputs'!$B$21)+'Inputs'!$B$9)^2+('Inputs'!$B$8/2)^2)-(((960-43)*MAX('Inputs'!$B$33,'Inputs'!$B$29+'Inputs'!$B$31+'Inputs'!$B$32,'Inputs'!$B$30+'Inputs'!$B$31+'Inputs'!$B$32)/1000+'Inputs'!$B$21))/SQRT((((960-43)*MAX('Inputs'!$B$33,'Inputs'!$B$29+'Inputs'!$B$31+'Inputs'!$B$32,'Inputs'!$B$30+'Inputs'!$B$31+'Inputs'!$B$32)/1000+'Inputs'!$B$21))^2+('Inputs'!$B$8/2)^2)))-'Results'!B7*(1-'Inputs'!$B$24)*(0.5*((((960-43)*MAX('Inputs'!$B$33,'Inputs'!$B$29+'Inputs'!$B$31+'Inputs'!$B$32,'Inputs'!$B$30+'Inputs'!$B$31+'Inputs'!$B$32)/1000+'Inputs'!$B$21+'Inputs'!$B$9+'Inputs'!$B$10)+'Inputs'!$B$7)/SQRT((((960-43)*MAX('Inputs'!$B$33,'Inputs'!$B$29+'Inputs'!$B$31+'Inputs'!$B$32,'Inputs'!$B$30+'Inputs'!$B$31+'Inputs'!$B$32)/1000+'Inputs'!$B$21+'Inputs'!$B$9+'Inputs'!$B$10)+'Inputs'!$B$7)^2+('Inputs'!$B$6/2)^2)-(((960-43)*MAX('Inputs'!$B$33,'Inputs'!$B$29+'Inputs'!$B$31+'Inputs'!$B$32,'Inputs'!$B$30+'Inputs'!$B$31+'Inputs'!$B$32)/1000+'Inputs'!$B$21+'Inputs'!$B$9+'Inputs'!$B$10))/SQRT((((960-43)*MAX('Inputs'!$B$33,'Inputs'!$B$29+'Inputs'!$B$31+'Inputs'!$B$32,'Inputs'!$B$30+'Inputs'!$B$31+'Inputs'!$B$32)/1000+'Inputs'!$B$21+'Inputs'!$B$9+'Inputs'!$B$10))^2+('Inputs'!$B$6/2)^2))))*'Results'!$B$8))),"")</x:f>
        <x:v>0.5134613828954111</x:v>
      </x:c>
      <x:c r="P960" t="n">
        <x:f>IF(AND(MAX(J960,J959)&gt;0,J960&gt;J959+0.00000001),1,0)</x:f>
        <x:v>0</x:v>
      </x:c>
      <x:c r="Q960" t="n">
        <x:f>IF(AND(MAX(K960,K959)&gt;0,K960&gt;K959+0.00000001),1,0)</x:f>
        <x:v>0</x:v>
      </x:c>
      <x:c r="R960" t="n">
        <x:f>IF(AND(MAX(L960,L959)&gt;0,L960&gt;L959+0.00000001),1,0)</x:f>
        <x:v>0</x:v>
      </x:c>
      <x:c r="S960" t="n">
        <x:f>IF(AND(MAX(M960,M959)&gt;0,M960&gt;M959+0.00000001),1,0)</x:f>
        <x:v>0</x:v>
      </x:c>
      <x:c r="T960" t="n">
        <x:f>IF(AND(MAX(N960,N959)&gt;0,N960&gt;N959+0.00000001),1,0)</x:f>
        <x:v>0</x:v>
      </x:c>
      <x:c r="U960" t="n">
        <x:f>IF(AND(MAX(O960,O959)&gt;0,O960&gt;O959+0.00000001),1,0)</x:f>
        <x:v>0</x:v>
      </x:c>
    </x:row>
    <x:row r="961">
      <x:c r="J961" t="n">
        <x:f>IF(AND(ISNUMBER('Results'!B7),ISNUMBER('Results'!C7),ISNUMBER('Results'!$B$8),ISNUMBER('Inputs'!$B$6),ISNUMBER('Inputs'!$B$7),ISNUMBER('Inputs'!$B$8),ISNUMBER('Inputs'!$B$9),ISNUMBER('Inputs'!$B$10),ISNUMBER('Inputs'!$B$21),ISNUMBER('Inputs'!$B$24),ISNUMBER('Inputs'!$B$28)),(('Results'!B7*(0.5*((((961-43)*MAX('Inputs'!$B$33,'Inputs'!$B$29+'Inputs'!$B$31+'Inputs'!$B$32,'Inputs'!$B$30+'Inputs'!$B$31+'Inputs'!$B$32)/1000+'Inputs'!$B$21)+'Inputs'!$B$7)/SQRT((((961-43)*MAX('Inputs'!$B$33,'Inputs'!$B$29+'Inputs'!$B$31+'Inputs'!$B$32,'Inputs'!$B$30+'Inputs'!$B$31+'Inputs'!$B$32)/1000+'Inputs'!$B$21)+'Inputs'!$B$7)^2+('Inputs'!$B$6/2)^2)-(((961-43)*MAX('Inputs'!$B$33,'Inputs'!$B$29+'Inputs'!$B$31+'Inputs'!$B$32,'Inputs'!$B$30+'Inputs'!$B$31+'Inputs'!$B$32)/1000+'Inputs'!$B$21))/SQRT((((961-43)*MAX('Inputs'!$B$33,'Inputs'!$B$29+'Inputs'!$B$31+'Inputs'!$B$32,'Inputs'!$B$30+'Inputs'!$B$31+'Inputs'!$B$32)/1000+'Inputs'!$B$21))^2+('Inputs'!$B$6/2)^2)))-'Results'!C7*(0.5*((((961-43)*MAX('Inputs'!$B$33,'Inputs'!$B$29+'Inputs'!$B$31+'Inputs'!$B$32,'Inputs'!$B$30+'Inputs'!$B$31+'Inputs'!$B$32)/1000+'Inputs'!$B$21+'Inputs'!$B$7+'Inputs'!$B$10)+'Inputs'!$B$9)/SQRT((((961-43)*MAX('Inputs'!$B$33,'Inputs'!$B$29+'Inputs'!$B$31+'Inputs'!$B$32,'Inputs'!$B$30+'Inputs'!$B$31+'Inputs'!$B$32)/1000+'Inputs'!$B$21+'Inputs'!$B$7+'Inputs'!$B$10)+'Inputs'!$B$9)^2+('Inputs'!$B$8/2)^2)-(((961-43)*MAX('Inputs'!$B$33,'Inputs'!$B$29+'Inputs'!$B$31+'Inputs'!$B$32,'Inputs'!$B$30+'Inputs'!$B$31+'Inputs'!$B$32)/1000+'Inputs'!$B$21+'Inputs'!$B$7+'Inputs'!$B$10))/SQRT((((961-43)*MAX('Inputs'!$B$33,'Inputs'!$B$29+'Inputs'!$B$31+'Inputs'!$B$32,'Inputs'!$B$30+'Inputs'!$B$31+'Inputs'!$B$32)/1000+'Inputs'!$B$21+'Inputs'!$B$7+'Inputs'!$B$10))^2+('Inputs'!$B$8/2)^2))))*'Results'!$B$8),"")</x:f>
        <x:v>0.4877170854237421</x:v>
      </x:c>
      <x:c r="K961" t="n">
        <x:f>IF(AND(ISNUMBER('Results'!B7),ISNUMBER('Results'!C7),ISNUMBER('Results'!$B$8),ISNUMBER('Inputs'!$B$6),ISNUMBER('Inputs'!$B$7),ISNUMBER('Inputs'!$B$8),ISNUMBER('Inputs'!$B$9),ISNUMBER('Inputs'!$B$10),ISNUMBER('Inputs'!$B$21),ISNUMBER('Inputs'!$B$24),ISNUMBER('Inputs'!$B$28)),((('Results'!B7*(1-'Inputs'!$B$24)*(0.5*((((961-43)*MAX('Inputs'!$B$33,'Inputs'!$B$29+'Inputs'!$B$31+'Inputs'!$B$32,'Inputs'!$B$30+'Inputs'!$B$31+'Inputs'!$B$32)/1000+'Inputs'!$B$21)+'Inputs'!$B$7)/SQRT((((961-43)*MAX('Inputs'!$B$33,'Inputs'!$B$29+'Inputs'!$B$31+'Inputs'!$B$32,'Inputs'!$B$30+'Inputs'!$B$31+'Inputs'!$B$32)/1000+'Inputs'!$B$21)+'Inputs'!$B$7)^2+('Inputs'!$B$6/2)^2)-(((961-43)*MAX('Inputs'!$B$33,'Inputs'!$B$29+'Inputs'!$B$31+'Inputs'!$B$32,'Inputs'!$B$30+'Inputs'!$B$31+'Inputs'!$B$32)/1000+'Inputs'!$B$21))/SQRT((((961-43)*MAX('Inputs'!$B$33,'Inputs'!$B$29+'Inputs'!$B$31+'Inputs'!$B$32,'Inputs'!$B$30+'Inputs'!$B$31+'Inputs'!$B$32)/1000+'Inputs'!$B$21))^2+('Inputs'!$B$6/2)^2)))-'Results'!C7*(1+'Inputs'!$B$24)*(0.5*((((961-43)*MAX('Inputs'!$B$33,'Inputs'!$B$29+'Inputs'!$B$31+'Inputs'!$B$32,'Inputs'!$B$30+'Inputs'!$B$31+'Inputs'!$B$32)/1000+'Inputs'!$B$21+'Inputs'!$B$7+'Inputs'!$B$10)+'Inputs'!$B$9)/SQRT((((961-43)*MAX('Inputs'!$B$33,'Inputs'!$B$29+'Inputs'!$B$31+'Inputs'!$B$32,'Inputs'!$B$30+'Inputs'!$B$31+'Inputs'!$B$32)/1000+'Inputs'!$B$21+'Inputs'!$B$7+'Inputs'!$B$10)+'Inputs'!$B$9)^2+('Inputs'!$B$8/2)^2)-(((961-43)*MAX('Inputs'!$B$33,'Inputs'!$B$29+'Inputs'!$B$31+'Inputs'!$B$32,'Inputs'!$B$30+'Inputs'!$B$31+'Inputs'!$B$32)/1000+'Inputs'!$B$21+'Inputs'!$B$7+'Inputs'!$B$10))/SQRT((((961-43)*MAX('Inputs'!$B$33,'Inputs'!$B$29+'Inputs'!$B$31+'Inputs'!$B$32,'Inputs'!$B$30+'Inputs'!$B$31+'Inputs'!$B$32)/1000+'Inputs'!$B$21+'Inputs'!$B$7+'Inputs'!$B$10))^2+('Inputs'!$B$8/2)^2))))*'Results'!$B$8)-'Inputs'!$B$28*ABS((('Results'!B7*(1-'Inputs'!$B$24)*(0.5*((((961-43)*MAX('Inputs'!$B$33,'Inputs'!$B$29+'Inputs'!$B$31+'Inputs'!$B$32,'Inputs'!$B$30+'Inputs'!$B$31+'Inputs'!$B$32)/1000+'Inputs'!$B$21)+'Inputs'!$B$7)/SQRT((((961-43)*MAX('Inputs'!$B$33,'Inputs'!$B$29+'Inputs'!$B$31+'Inputs'!$B$32,'Inputs'!$B$30+'Inputs'!$B$31+'Inputs'!$B$32)/1000+'Inputs'!$B$21)+'Inputs'!$B$7)^2+('Inputs'!$B$6/2)^2)-(((961-43)*MAX('Inputs'!$B$33,'Inputs'!$B$29+'Inputs'!$B$31+'Inputs'!$B$32,'Inputs'!$B$30+'Inputs'!$B$31+'Inputs'!$B$32)/1000+'Inputs'!$B$21))/SQRT((((961-43)*MAX('Inputs'!$B$33,'Inputs'!$B$29+'Inputs'!$B$31+'Inputs'!$B$32,'Inputs'!$B$30+'Inputs'!$B$31+'Inputs'!$B$32)/1000+'Inputs'!$B$21))^2+('Inputs'!$B$6/2)^2)))-'Results'!C7*(1+'Inputs'!$B$24)*(0.5*((((961-43)*MAX('Inputs'!$B$33,'Inputs'!$B$29+'Inputs'!$B$31+'Inputs'!$B$32,'Inputs'!$B$30+'Inputs'!$B$31+'Inputs'!$B$32)/1000+'Inputs'!$B$21+'Inputs'!$B$7+'Inputs'!$B$10)+'Inputs'!$B$9)/SQRT((((961-43)*MAX('Inputs'!$B$33,'Inputs'!$B$29+'Inputs'!$B$31+'Inputs'!$B$32,'Inputs'!$B$30+'Inputs'!$B$31+'Inputs'!$B$32)/1000+'Inputs'!$B$21+'Inputs'!$B$7+'Inputs'!$B$10)+'Inputs'!$B$9)^2+('Inputs'!$B$8/2)^2)-(((961-43)*MAX('Inputs'!$B$33,'Inputs'!$B$29+'Inputs'!$B$31+'Inputs'!$B$32,'Inputs'!$B$30+'Inputs'!$B$31+'Inputs'!$B$32)/1000+'Inputs'!$B$21+'Inputs'!$B$7+'Inputs'!$B$10))/SQRT((((961-43)*MAX('Inputs'!$B$33,'Inputs'!$B$29+'Inputs'!$B$31+'Inputs'!$B$32,'Inputs'!$B$30+'Inputs'!$B$31+'Inputs'!$B$32)/1000+'Inputs'!$B$21+'Inputs'!$B$7+'Inputs'!$B$10))^2+('Inputs'!$B$8/2)^2))))*'Results'!$B$8))),"")</x:f>
        <x:v>0.4118951159950477</x:v>
      </x:c>
      <x:c r="L961" t="n">
        <x:f>IF(AND(ISNUMBER('Results'!B7),ISNUMBER('Results'!C7),ISNUMBER('Results'!$B$8),ISNUMBER('Inputs'!$B$6),ISNUMBER('Inputs'!$B$7),ISNUMBER('Inputs'!$B$8),ISNUMBER('Inputs'!$B$9),ISNUMBER('Inputs'!$B$10),ISNUMBER('Inputs'!$B$21),ISNUMBER('Inputs'!$B$24),ISNUMBER('Inputs'!$B$28)),((('Results'!B7*(1+'Inputs'!$B$24)*(0.5*((((961-43)*MAX('Inputs'!$B$33,'Inputs'!$B$29+'Inputs'!$B$31+'Inputs'!$B$32,'Inputs'!$B$30+'Inputs'!$B$31+'Inputs'!$B$32)/1000+'Inputs'!$B$21)+'Inputs'!$B$7)/SQRT((((961-43)*MAX('Inputs'!$B$33,'Inputs'!$B$29+'Inputs'!$B$31+'Inputs'!$B$32,'Inputs'!$B$30+'Inputs'!$B$31+'Inputs'!$B$32)/1000+'Inputs'!$B$21)+'Inputs'!$B$7)^2+('Inputs'!$B$6/2)^2)-(((961-43)*MAX('Inputs'!$B$33,'Inputs'!$B$29+'Inputs'!$B$31+'Inputs'!$B$32,'Inputs'!$B$30+'Inputs'!$B$31+'Inputs'!$B$32)/1000+'Inputs'!$B$21))/SQRT((((961-43)*MAX('Inputs'!$B$33,'Inputs'!$B$29+'Inputs'!$B$31+'Inputs'!$B$32,'Inputs'!$B$30+'Inputs'!$B$31+'Inputs'!$B$32)/1000+'Inputs'!$B$21))^2+('Inputs'!$B$6/2)^2)))-'Results'!C7*(1-'Inputs'!$B$24)*(0.5*((((961-43)*MAX('Inputs'!$B$33,'Inputs'!$B$29+'Inputs'!$B$31+'Inputs'!$B$32,'Inputs'!$B$30+'Inputs'!$B$31+'Inputs'!$B$32)/1000+'Inputs'!$B$21+'Inputs'!$B$7+'Inputs'!$B$10)+'Inputs'!$B$9)/SQRT((((961-43)*MAX('Inputs'!$B$33,'Inputs'!$B$29+'Inputs'!$B$31+'Inputs'!$B$32,'Inputs'!$B$30+'Inputs'!$B$31+'Inputs'!$B$32)/1000+'Inputs'!$B$21+'Inputs'!$B$7+'Inputs'!$B$10)+'Inputs'!$B$9)^2+('Inputs'!$B$8/2)^2)-(((961-43)*MAX('Inputs'!$B$33,'Inputs'!$B$29+'Inputs'!$B$31+'Inputs'!$B$32,'Inputs'!$B$30+'Inputs'!$B$31+'Inputs'!$B$32)/1000+'Inputs'!$B$21+'Inputs'!$B$7+'Inputs'!$B$10))/SQRT((((961-43)*MAX('Inputs'!$B$33,'Inputs'!$B$29+'Inputs'!$B$31+'Inputs'!$B$32,'Inputs'!$B$30+'Inputs'!$B$31+'Inputs'!$B$32)/1000+'Inputs'!$B$21+'Inputs'!$B$7+'Inputs'!$B$10))^2+('Inputs'!$B$8/2)^2))))*'Results'!$B$8)+'Inputs'!$B$28*ABS((('Results'!B7*(1+'Inputs'!$B$24)*(0.5*((((961-43)*MAX('Inputs'!$B$33,'Inputs'!$B$29+'Inputs'!$B$31+'Inputs'!$B$32,'Inputs'!$B$30+'Inputs'!$B$31+'Inputs'!$B$32)/1000+'Inputs'!$B$21)+'Inputs'!$B$7)/SQRT((((961-43)*MAX('Inputs'!$B$33,'Inputs'!$B$29+'Inputs'!$B$31+'Inputs'!$B$32,'Inputs'!$B$30+'Inputs'!$B$31+'Inputs'!$B$32)/1000+'Inputs'!$B$21)+'Inputs'!$B$7)^2+('Inputs'!$B$6/2)^2)-(((961-43)*MAX('Inputs'!$B$33,'Inputs'!$B$29+'Inputs'!$B$31+'Inputs'!$B$32,'Inputs'!$B$30+'Inputs'!$B$31+'Inputs'!$B$32)/1000+'Inputs'!$B$21))/SQRT((((961-43)*MAX('Inputs'!$B$33,'Inputs'!$B$29+'Inputs'!$B$31+'Inputs'!$B$32,'Inputs'!$B$30+'Inputs'!$B$31+'Inputs'!$B$32)/1000+'Inputs'!$B$21))^2+('Inputs'!$B$6/2)^2)))-'Results'!C7*(1-'Inputs'!$B$24)*(0.5*((((961-43)*MAX('Inputs'!$B$33,'Inputs'!$B$29+'Inputs'!$B$31+'Inputs'!$B$32,'Inputs'!$B$30+'Inputs'!$B$31+'Inputs'!$B$32)/1000+'Inputs'!$B$21+'Inputs'!$B$7+'Inputs'!$B$10)+'Inputs'!$B$9)/SQRT((((961-43)*MAX('Inputs'!$B$33,'Inputs'!$B$29+'Inputs'!$B$31+'Inputs'!$B$32,'Inputs'!$B$30+'Inputs'!$B$31+'Inputs'!$B$32)/1000+'Inputs'!$B$21+'Inputs'!$B$7+'Inputs'!$B$10)+'Inputs'!$B$9)^2+('Inputs'!$B$8/2)^2)-(((961-43)*MAX('Inputs'!$B$33,'Inputs'!$B$29+'Inputs'!$B$31+'Inputs'!$B$32,'Inputs'!$B$30+'Inputs'!$B$31+'Inputs'!$B$32)/1000+'Inputs'!$B$21+'Inputs'!$B$7+'Inputs'!$B$10))/SQRT((((961-43)*MAX('Inputs'!$B$33,'Inputs'!$B$29+'Inputs'!$B$31+'Inputs'!$B$32,'Inputs'!$B$30+'Inputs'!$B$31+'Inputs'!$B$32)/1000+'Inputs'!$B$21+'Inputs'!$B$7+'Inputs'!$B$10))^2+('Inputs'!$B$8/2)^2))))*'Results'!$B$8))),"")</x:f>
        <x:v>0.5689533827637528</x:v>
      </x:c>
      <x:c r="M961" t="n">
        <x:f>IF(AND(ISNUMBER('Results'!C7),ISNUMBER('Results'!B7),ISNUMBER('Results'!$B$8),ISNUMBER('Inputs'!$B$6),ISNUMBER('Inputs'!$B$7),ISNUMBER('Inputs'!$B$8),ISNUMBER('Inputs'!$B$9),ISNUMBER('Inputs'!$B$10),ISNUMBER('Inputs'!$B$21),ISNUMBER('Inputs'!$B$24),ISNUMBER('Inputs'!$B$28)),(('Results'!C7*(0.5*((((961-43)*MAX('Inputs'!$B$33,'Inputs'!$B$29+'Inputs'!$B$31+'Inputs'!$B$32,'Inputs'!$B$30+'Inputs'!$B$31+'Inputs'!$B$32)/1000+'Inputs'!$B$21)+'Inputs'!$B$9)/SQRT((((961-43)*MAX('Inputs'!$B$33,'Inputs'!$B$29+'Inputs'!$B$31+'Inputs'!$B$32,'Inputs'!$B$30+'Inputs'!$B$31+'Inputs'!$B$32)/1000+'Inputs'!$B$21)+'Inputs'!$B$9)^2+('Inputs'!$B$8/2)^2)-(((961-43)*MAX('Inputs'!$B$33,'Inputs'!$B$29+'Inputs'!$B$31+'Inputs'!$B$32,'Inputs'!$B$30+'Inputs'!$B$31+'Inputs'!$B$32)/1000+'Inputs'!$B$21))/SQRT((((961-43)*MAX('Inputs'!$B$33,'Inputs'!$B$29+'Inputs'!$B$31+'Inputs'!$B$32,'Inputs'!$B$30+'Inputs'!$B$31+'Inputs'!$B$32)/1000+'Inputs'!$B$21))^2+('Inputs'!$B$8/2)^2)))-'Results'!B7*(0.5*((((961-43)*MAX('Inputs'!$B$33,'Inputs'!$B$29+'Inputs'!$B$31+'Inputs'!$B$32,'Inputs'!$B$30+'Inputs'!$B$31+'Inputs'!$B$32)/1000+'Inputs'!$B$21+'Inputs'!$B$9+'Inputs'!$B$10)+'Inputs'!$B$7)/SQRT((((961-43)*MAX('Inputs'!$B$33,'Inputs'!$B$29+'Inputs'!$B$31+'Inputs'!$B$32,'Inputs'!$B$30+'Inputs'!$B$31+'Inputs'!$B$32)/1000+'Inputs'!$B$21+'Inputs'!$B$9+'Inputs'!$B$10)+'Inputs'!$B$7)^2+('Inputs'!$B$6/2)^2)-(((961-43)*MAX('Inputs'!$B$33,'Inputs'!$B$29+'Inputs'!$B$31+'Inputs'!$B$32,'Inputs'!$B$30+'Inputs'!$B$31+'Inputs'!$B$32)/1000+'Inputs'!$B$21+'Inputs'!$B$9+'Inputs'!$B$10))/SQRT((((961-43)*MAX('Inputs'!$B$33,'Inputs'!$B$29+'Inputs'!$B$31+'Inputs'!$B$32,'Inputs'!$B$30+'Inputs'!$B$31+'Inputs'!$B$32)/1000+'Inputs'!$B$21+'Inputs'!$B$9+'Inputs'!$B$10))^2+('Inputs'!$B$6/2)^2))))*'Results'!$B$8),"")</x:f>
        <x:v>0.43312085796971256</x:v>
      </x:c>
      <x:c r="N961" t="n">
        <x:f>IF(AND(ISNUMBER('Results'!C7),ISNUMBER('Results'!B7),ISNUMBER('Results'!$B$8),ISNUMBER('Inputs'!$B$6),ISNUMBER('Inputs'!$B$7),ISNUMBER('Inputs'!$B$8),ISNUMBER('Inputs'!$B$9),ISNUMBER('Inputs'!$B$10),ISNUMBER('Inputs'!$B$21),ISNUMBER('Inputs'!$B$24),ISNUMBER('Inputs'!$B$28)),((('Results'!C7*(1-'Inputs'!$B$24)*(0.5*((((961-43)*MAX('Inputs'!$B$33,'Inputs'!$B$29+'Inputs'!$B$31+'Inputs'!$B$32,'Inputs'!$B$30+'Inputs'!$B$31+'Inputs'!$B$32)/1000+'Inputs'!$B$21)+'Inputs'!$B$9)/SQRT((((961-43)*MAX('Inputs'!$B$33,'Inputs'!$B$29+'Inputs'!$B$31+'Inputs'!$B$32,'Inputs'!$B$30+'Inputs'!$B$31+'Inputs'!$B$32)/1000+'Inputs'!$B$21)+'Inputs'!$B$9)^2+('Inputs'!$B$8/2)^2)-(((961-43)*MAX('Inputs'!$B$33,'Inputs'!$B$29+'Inputs'!$B$31+'Inputs'!$B$32,'Inputs'!$B$30+'Inputs'!$B$31+'Inputs'!$B$32)/1000+'Inputs'!$B$21))/SQRT((((961-43)*MAX('Inputs'!$B$33,'Inputs'!$B$29+'Inputs'!$B$31+'Inputs'!$B$32,'Inputs'!$B$30+'Inputs'!$B$31+'Inputs'!$B$32)/1000+'Inputs'!$B$21))^2+('Inputs'!$B$8/2)^2)))-'Results'!B7*(1+'Inputs'!$B$24)*(0.5*((((961-43)*MAX('Inputs'!$B$33,'Inputs'!$B$29+'Inputs'!$B$31+'Inputs'!$B$32,'Inputs'!$B$30+'Inputs'!$B$31+'Inputs'!$B$32)/1000+'Inputs'!$B$21+'Inputs'!$B$9+'Inputs'!$B$10)+'Inputs'!$B$7)/SQRT((((961-43)*MAX('Inputs'!$B$33,'Inputs'!$B$29+'Inputs'!$B$31+'Inputs'!$B$32,'Inputs'!$B$30+'Inputs'!$B$31+'Inputs'!$B$32)/1000+'Inputs'!$B$21+'Inputs'!$B$9+'Inputs'!$B$10)+'Inputs'!$B$7)^2+('Inputs'!$B$6/2)^2)-(((961-43)*MAX('Inputs'!$B$33,'Inputs'!$B$29+'Inputs'!$B$31+'Inputs'!$B$32,'Inputs'!$B$30+'Inputs'!$B$31+'Inputs'!$B$32)/1000+'Inputs'!$B$21+'Inputs'!$B$9+'Inputs'!$B$10))/SQRT((((961-43)*MAX('Inputs'!$B$33,'Inputs'!$B$29+'Inputs'!$B$31+'Inputs'!$B$32,'Inputs'!$B$30+'Inputs'!$B$31+'Inputs'!$B$32)/1000+'Inputs'!$B$21+'Inputs'!$B$9+'Inputs'!$B$10))^2+('Inputs'!$B$6/2)^2))))*'Results'!$B$8)-'Inputs'!$B$28*ABS((('Results'!C7*(1-'Inputs'!$B$24)*(0.5*((((961-43)*MAX('Inputs'!$B$33,'Inputs'!$B$29+'Inputs'!$B$31+'Inputs'!$B$32,'Inputs'!$B$30+'Inputs'!$B$31+'Inputs'!$B$32)/1000+'Inputs'!$B$21)+'Inputs'!$B$9)/SQRT((((961-43)*MAX('Inputs'!$B$33,'Inputs'!$B$29+'Inputs'!$B$31+'Inputs'!$B$32,'Inputs'!$B$30+'Inputs'!$B$31+'Inputs'!$B$32)/1000+'Inputs'!$B$21)+'Inputs'!$B$9)^2+('Inputs'!$B$8/2)^2)-(((961-43)*MAX('Inputs'!$B$33,'Inputs'!$B$29+'Inputs'!$B$31+'Inputs'!$B$32,'Inputs'!$B$30+'Inputs'!$B$31+'Inputs'!$B$32)/1000+'Inputs'!$B$21))/SQRT((((961-43)*MAX('Inputs'!$B$33,'Inputs'!$B$29+'Inputs'!$B$31+'Inputs'!$B$32,'Inputs'!$B$30+'Inputs'!$B$31+'Inputs'!$B$32)/1000+'Inputs'!$B$21))^2+('Inputs'!$B$8/2)^2)))-'Results'!B7*(1+'Inputs'!$B$24)*(0.5*((((961-43)*MAX('Inputs'!$B$33,'Inputs'!$B$29+'Inputs'!$B$31+'Inputs'!$B$32,'Inputs'!$B$30+'Inputs'!$B$31+'Inputs'!$B$32)/1000+'Inputs'!$B$21+'Inputs'!$B$9+'Inputs'!$B$10)+'Inputs'!$B$7)/SQRT((((961-43)*MAX('Inputs'!$B$33,'Inputs'!$B$29+'Inputs'!$B$31+'Inputs'!$B$32,'Inputs'!$B$30+'Inputs'!$B$31+'Inputs'!$B$32)/1000+'Inputs'!$B$21+'Inputs'!$B$9+'Inputs'!$B$10)+'Inputs'!$B$7)^2+('Inputs'!$B$6/2)^2)-(((961-43)*MAX('Inputs'!$B$33,'Inputs'!$B$29+'Inputs'!$B$31+'Inputs'!$B$32,'Inputs'!$B$30+'Inputs'!$B$31+'Inputs'!$B$32)/1000+'Inputs'!$B$21+'Inputs'!$B$9+'Inputs'!$B$10))/SQRT((((961-43)*MAX('Inputs'!$B$33,'Inputs'!$B$29+'Inputs'!$B$31+'Inputs'!$B$32,'Inputs'!$B$30+'Inputs'!$B$31+'Inputs'!$B$32)/1000+'Inputs'!$B$21+'Inputs'!$B$9+'Inputs'!$B$10))^2+('Inputs'!$B$6/2)^2))))*'Results'!$B$8))),"")</x:f>
        <x:v>0.3602054263877041</x:v>
      </x:c>
      <x:c r="O961" t="n">
        <x:f>IF(AND(ISNUMBER('Results'!C7),ISNUMBER('Results'!B7),ISNUMBER('Results'!$B$8),ISNUMBER('Inputs'!$B$6),ISNUMBER('Inputs'!$B$7),ISNUMBER('Inputs'!$B$8),ISNUMBER('Inputs'!$B$9),ISNUMBER('Inputs'!$B$10),ISNUMBER('Inputs'!$B$21),ISNUMBER('Inputs'!$B$24),ISNUMBER('Inputs'!$B$28)),((('Results'!C7*(1+'Inputs'!$B$24)*(0.5*((((961-43)*MAX('Inputs'!$B$33,'Inputs'!$B$29+'Inputs'!$B$31+'Inputs'!$B$32,'Inputs'!$B$30+'Inputs'!$B$31+'Inputs'!$B$32)/1000+'Inputs'!$B$21)+'Inputs'!$B$9)/SQRT((((961-43)*MAX('Inputs'!$B$33,'Inputs'!$B$29+'Inputs'!$B$31+'Inputs'!$B$32,'Inputs'!$B$30+'Inputs'!$B$31+'Inputs'!$B$32)/1000+'Inputs'!$B$21)+'Inputs'!$B$9)^2+('Inputs'!$B$8/2)^2)-(((961-43)*MAX('Inputs'!$B$33,'Inputs'!$B$29+'Inputs'!$B$31+'Inputs'!$B$32,'Inputs'!$B$30+'Inputs'!$B$31+'Inputs'!$B$32)/1000+'Inputs'!$B$21))/SQRT((((961-43)*MAX('Inputs'!$B$33,'Inputs'!$B$29+'Inputs'!$B$31+'Inputs'!$B$32,'Inputs'!$B$30+'Inputs'!$B$31+'Inputs'!$B$32)/1000+'Inputs'!$B$21))^2+('Inputs'!$B$8/2)^2)))-'Results'!B7*(1-'Inputs'!$B$24)*(0.5*((((961-43)*MAX('Inputs'!$B$33,'Inputs'!$B$29+'Inputs'!$B$31+'Inputs'!$B$32,'Inputs'!$B$30+'Inputs'!$B$31+'Inputs'!$B$32)/1000+'Inputs'!$B$21+'Inputs'!$B$9+'Inputs'!$B$10)+'Inputs'!$B$7)/SQRT((((961-43)*MAX('Inputs'!$B$33,'Inputs'!$B$29+'Inputs'!$B$31+'Inputs'!$B$32,'Inputs'!$B$30+'Inputs'!$B$31+'Inputs'!$B$32)/1000+'Inputs'!$B$21+'Inputs'!$B$9+'Inputs'!$B$10)+'Inputs'!$B$7)^2+('Inputs'!$B$6/2)^2)-(((961-43)*MAX('Inputs'!$B$33,'Inputs'!$B$29+'Inputs'!$B$31+'Inputs'!$B$32,'Inputs'!$B$30+'Inputs'!$B$31+'Inputs'!$B$32)/1000+'Inputs'!$B$21+'Inputs'!$B$9+'Inputs'!$B$10))/SQRT((((961-43)*MAX('Inputs'!$B$33,'Inputs'!$B$29+'Inputs'!$B$31+'Inputs'!$B$32,'Inputs'!$B$30+'Inputs'!$B$31+'Inputs'!$B$32)/1000+'Inputs'!$B$21+'Inputs'!$B$9+'Inputs'!$B$10))^2+('Inputs'!$B$6/2)^2))))*'Results'!$B$8)+'Inputs'!$B$28*ABS((('Results'!C7*(1+'Inputs'!$B$24)*(0.5*((((961-43)*MAX('Inputs'!$B$33,'Inputs'!$B$29+'Inputs'!$B$31+'Inputs'!$B$32,'Inputs'!$B$30+'Inputs'!$B$31+'Inputs'!$B$32)/1000+'Inputs'!$B$21)+'Inputs'!$B$9)/SQRT((((961-43)*MAX('Inputs'!$B$33,'Inputs'!$B$29+'Inputs'!$B$31+'Inputs'!$B$32,'Inputs'!$B$30+'Inputs'!$B$31+'Inputs'!$B$32)/1000+'Inputs'!$B$21)+'Inputs'!$B$9)^2+('Inputs'!$B$8/2)^2)-(((961-43)*MAX('Inputs'!$B$33,'Inputs'!$B$29+'Inputs'!$B$31+'Inputs'!$B$32,'Inputs'!$B$30+'Inputs'!$B$31+'Inputs'!$B$32)/1000+'Inputs'!$B$21))/SQRT((((961-43)*MAX('Inputs'!$B$33,'Inputs'!$B$29+'Inputs'!$B$31+'Inputs'!$B$32,'Inputs'!$B$30+'Inputs'!$B$31+'Inputs'!$B$32)/1000+'Inputs'!$B$21))^2+('Inputs'!$B$8/2)^2)))-'Results'!B7*(1-'Inputs'!$B$24)*(0.5*((((961-43)*MAX('Inputs'!$B$33,'Inputs'!$B$29+'Inputs'!$B$31+'Inputs'!$B$32,'Inputs'!$B$30+'Inputs'!$B$31+'Inputs'!$B$32)/1000+'Inputs'!$B$21+'Inputs'!$B$9+'Inputs'!$B$10)+'Inputs'!$B$7)/SQRT((((961-43)*MAX('Inputs'!$B$33,'Inputs'!$B$29+'Inputs'!$B$31+'Inputs'!$B$32,'Inputs'!$B$30+'Inputs'!$B$31+'Inputs'!$B$32)/1000+'Inputs'!$B$21+'Inputs'!$B$9+'Inputs'!$B$10)+'Inputs'!$B$7)^2+('Inputs'!$B$6/2)^2)-(((961-43)*MAX('Inputs'!$B$33,'Inputs'!$B$29+'Inputs'!$B$31+'Inputs'!$B$32,'Inputs'!$B$30+'Inputs'!$B$31+'Inputs'!$B$32)/1000+'Inputs'!$B$21+'Inputs'!$B$9+'Inputs'!$B$10))/SQRT((((961-43)*MAX('Inputs'!$B$33,'Inputs'!$B$29+'Inputs'!$B$31+'Inputs'!$B$32,'Inputs'!$B$30+'Inputs'!$B$31+'Inputs'!$B$32)/1000+'Inputs'!$B$21+'Inputs'!$B$9+'Inputs'!$B$10))^2+('Inputs'!$B$6/2)^2))))*'Results'!$B$8))),"")</x:f>
        <x:v>0.5114320146763021</x:v>
      </x:c>
      <x:c r="P961" t="n">
        <x:f>IF(AND(MAX(J961,J960)&gt;0,J961&gt;J960+0.00000001),1,0)</x:f>
        <x:v>0</x:v>
      </x:c>
      <x:c r="Q961" t="n">
        <x:f>IF(AND(MAX(K961,K960)&gt;0,K961&gt;K960+0.00000001),1,0)</x:f>
        <x:v>0</x:v>
      </x:c>
      <x:c r="R961" t="n">
        <x:f>IF(AND(MAX(L961,L960)&gt;0,L961&gt;L960+0.00000001),1,0)</x:f>
        <x:v>0</x:v>
      </x:c>
      <x:c r="S961" t="n">
        <x:f>IF(AND(MAX(M961,M960)&gt;0,M961&gt;M960+0.00000001),1,0)</x:f>
        <x:v>0</x:v>
      </x:c>
      <x:c r="T961" t="n">
        <x:f>IF(AND(MAX(N961,N960)&gt;0,N961&gt;N960+0.00000001),1,0)</x:f>
        <x:v>0</x:v>
      </x:c>
      <x:c r="U961" t="n">
        <x:f>IF(AND(MAX(O961,O960)&gt;0,O961&gt;O960+0.00000001),1,0)</x:f>
        <x:v>0</x:v>
      </x:c>
    </x:row>
    <x:row r="962">
      <x:c r="J962" t="n">
        <x:f>IF(AND(ISNUMBER('Results'!B7),ISNUMBER('Results'!C7),ISNUMBER('Results'!$B$8),ISNUMBER('Inputs'!$B$6),ISNUMBER('Inputs'!$B$7),ISNUMBER('Inputs'!$B$8),ISNUMBER('Inputs'!$B$9),ISNUMBER('Inputs'!$B$10),ISNUMBER('Inputs'!$B$21),ISNUMBER('Inputs'!$B$24),ISNUMBER('Inputs'!$B$28)),(('Results'!B7*(0.5*((((962-43)*MAX('Inputs'!$B$33,'Inputs'!$B$29+'Inputs'!$B$31+'Inputs'!$B$32,'Inputs'!$B$30+'Inputs'!$B$31+'Inputs'!$B$32)/1000+'Inputs'!$B$21)+'Inputs'!$B$7)/SQRT((((962-43)*MAX('Inputs'!$B$33,'Inputs'!$B$29+'Inputs'!$B$31+'Inputs'!$B$32,'Inputs'!$B$30+'Inputs'!$B$31+'Inputs'!$B$32)/1000+'Inputs'!$B$21)+'Inputs'!$B$7)^2+('Inputs'!$B$6/2)^2)-(((962-43)*MAX('Inputs'!$B$33,'Inputs'!$B$29+'Inputs'!$B$31+'Inputs'!$B$32,'Inputs'!$B$30+'Inputs'!$B$31+'Inputs'!$B$32)/1000+'Inputs'!$B$21))/SQRT((((962-43)*MAX('Inputs'!$B$33,'Inputs'!$B$29+'Inputs'!$B$31+'Inputs'!$B$32,'Inputs'!$B$30+'Inputs'!$B$31+'Inputs'!$B$32)/1000+'Inputs'!$B$21))^2+('Inputs'!$B$6/2)^2)))-'Results'!C7*(0.5*((((962-43)*MAX('Inputs'!$B$33,'Inputs'!$B$29+'Inputs'!$B$31+'Inputs'!$B$32,'Inputs'!$B$30+'Inputs'!$B$31+'Inputs'!$B$32)/1000+'Inputs'!$B$21+'Inputs'!$B$7+'Inputs'!$B$10)+'Inputs'!$B$9)/SQRT((((962-43)*MAX('Inputs'!$B$33,'Inputs'!$B$29+'Inputs'!$B$31+'Inputs'!$B$32,'Inputs'!$B$30+'Inputs'!$B$31+'Inputs'!$B$32)/1000+'Inputs'!$B$21+'Inputs'!$B$7+'Inputs'!$B$10)+'Inputs'!$B$9)^2+('Inputs'!$B$8/2)^2)-(((962-43)*MAX('Inputs'!$B$33,'Inputs'!$B$29+'Inputs'!$B$31+'Inputs'!$B$32,'Inputs'!$B$30+'Inputs'!$B$31+'Inputs'!$B$32)/1000+'Inputs'!$B$21+'Inputs'!$B$7+'Inputs'!$B$10))/SQRT((((962-43)*MAX('Inputs'!$B$33,'Inputs'!$B$29+'Inputs'!$B$31+'Inputs'!$B$32,'Inputs'!$B$30+'Inputs'!$B$31+'Inputs'!$B$32)/1000+'Inputs'!$B$21+'Inputs'!$B$7+'Inputs'!$B$10))^2+('Inputs'!$B$8/2)^2))))*'Results'!$B$8),"")</x:f>
        <x:v>0.48579191342559264</x:v>
      </x:c>
      <x:c r="K962" t="n">
        <x:f>IF(AND(ISNUMBER('Results'!B7),ISNUMBER('Results'!C7),ISNUMBER('Results'!$B$8),ISNUMBER('Inputs'!$B$6),ISNUMBER('Inputs'!$B$7),ISNUMBER('Inputs'!$B$8),ISNUMBER('Inputs'!$B$9),ISNUMBER('Inputs'!$B$10),ISNUMBER('Inputs'!$B$21),ISNUMBER('Inputs'!$B$24),ISNUMBER('Inputs'!$B$28)),((('Results'!B7*(1-'Inputs'!$B$24)*(0.5*((((962-43)*MAX('Inputs'!$B$33,'Inputs'!$B$29+'Inputs'!$B$31+'Inputs'!$B$32,'Inputs'!$B$30+'Inputs'!$B$31+'Inputs'!$B$32)/1000+'Inputs'!$B$21)+'Inputs'!$B$7)/SQRT((((962-43)*MAX('Inputs'!$B$33,'Inputs'!$B$29+'Inputs'!$B$31+'Inputs'!$B$32,'Inputs'!$B$30+'Inputs'!$B$31+'Inputs'!$B$32)/1000+'Inputs'!$B$21)+'Inputs'!$B$7)^2+('Inputs'!$B$6/2)^2)-(((962-43)*MAX('Inputs'!$B$33,'Inputs'!$B$29+'Inputs'!$B$31+'Inputs'!$B$32,'Inputs'!$B$30+'Inputs'!$B$31+'Inputs'!$B$32)/1000+'Inputs'!$B$21))/SQRT((((962-43)*MAX('Inputs'!$B$33,'Inputs'!$B$29+'Inputs'!$B$31+'Inputs'!$B$32,'Inputs'!$B$30+'Inputs'!$B$31+'Inputs'!$B$32)/1000+'Inputs'!$B$21))^2+('Inputs'!$B$6/2)^2)))-'Results'!C7*(1+'Inputs'!$B$24)*(0.5*((((962-43)*MAX('Inputs'!$B$33,'Inputs'!$B$29+'Inputs'!$B$31+'Inputs'!$B$32,'Inputs'!$B$30+'Inputs'!$B$31+'Inputs'!$B$32)/1000+'Inputs'!$B$21+'Inputs'!$B$7+'Inputs'!$B$10)+'Inputs'!$B$9)/SQRT((((962-43)*MAX('Inputs'!$B$33,'Inputs'!$B$29+'Inputs'!$B$31+'Inputs'!$B$32,'Inputs'!$B$30+'Inputs'!$B$31+'Inputs'!$B$32)/1000+'Inputs'!$B$21+'Inputs'!$B$7+'Inputs'!$B$10)+'Inputs'!$B$9)^2+('Inputs'!$B$8/2)^2)-(((962-43)*MAX('Inputs'!$B$33,'Inputs'!$B$29+'Inputs'!$B$31+'Inputs'!$B$32,'Inputs'!$B$30+'Inputs'!$B$31+'Inputs'!$B$32)/1000+'Inputs'!$B$21+'Inputs'!$B$7+'Inputs'!$B$10))/SQRT((((962-43)*MAX('Inputs'!$B$33,'Inputs'!$B$29+'Inputs'!$B$31+'Inputs'!$B$32,'Inputs'!$B$30+'Inputs'!$B$31+'Inputs'!$B$32)/1000+'Inputs'!$B$21+'Inputs'!$B$7+'Inputs'!$B$10))^2+('Inputs'!$B$8/2)^2))))*'Results'!$B$8)-'Inputs'!$B$28*ABS((('Results'!B7*(1-'Inputs'!$B$24)*(0.5*((((962-43)*MAX('Inputs'!$B$33,'Inputs'!$B$29+'Inputs'!$B$31+'Inputs'!$B$32,'Inputs'!$B$30+'Inputs'!$B$31+'Inputs'!$B$32)/1000+'Inputs'!$B$21)+'Inputs'!$B$7)/SQRT((((962-43)*MAX('Inputs'!$B$33,'Inputs'!$B$29+'Inputs'!$B$31+'Inputs'!$B$32,'Inputs'!$B$30+'Inputs'!$B$31+'Inputs'!$B$32)/1000+'Inputs'!$B$21)+'Inputs'!$B$7)^2+('Inputs'!$B$6/2)^2)-(((962-43)*MAX('Inputs'!$B$33,'Inputs'!$B$29+'Inputs'!$B$31+'Inputs'!$B$32,'Inputs'!$B$30+'Inputs'!$B$31+'Inputs'!$B$32)/1000+'Inputs'!$B$21))/SQRT((((962-43)*MAX('Inputs'!$B$33,'Inputs'!$B$29+'Inputs'!$B$31+'Inputs'!$B$32,'Inputs'!$B$30+'Inputs'!$B$31+'Inputs'!$B$32)/1000+'Inputs'!$B$21))^2+('Inputs'!$B$6/2)^2)))-'Results'!C7*(1+'Inputs'!$B$24)*(0.5*((((962-43)*MAX('Inputs'!$B$33,'Inputs'!$B$29+'Inputs'!$B$31+'Inputs'!$B$32,'Inputs'!$B$30+'Inputs'!$B$31+'Inputs'!$B$32)/1000+'Inputs'!$B$21+'Inputs'!$B$7+'Inputs'!$B$10)+'Inputs'!$B$9)/SQRT((((962-43)*MAX('Inputs'!$B$33,'Inputs'!$B$29+'Inputs'!$B$31+'Inputs'!$B$32,'Inputs'!$B$30+'Inputs'!$B$31+'Inputs'!$B$32)/1000+'Inputs'!$B$21+'Inputs'!$B$7+'Inputs'!$B$10)+'Inputs'!$B$9)^2+('Inputs'!$B$8/2)^2)-(((962-43)*MAX('Inputs'!$B$33,'Inputs'!$B$29+'Inputs'!$B$31+'Inputs'!$B$32,'Inputs'!$B$30+'Inputs'!$B$31+'Inputs'!$B$32)/1000+'Inputs'!$B$21+'Inputs'!$B$7+'Inputs'!$B$10))/SQRT((((962-43)*MAX('Inputs'!$B$33,'Inputs'!$B$29+'Inputs'!$B$31+'Inputs'!$B$32,'Inputs'!$B$30+'Inputs'!$B$31+'Inputs'!$B$32)/1000+'Inputs'!$B$21+'Inputs'!$B$7+'Inputs'!$B$10))^2+('Inputs'!$B$8/2)^2))))*'Results'!$B$8))),"")</x:f>
        <x:v>0.41022212583461093</x:v>
      </x:c>
      <x:c r="L962" t="n">
        <x:f>IF(AND(ISNUMBER('Results'!B7),ISNUMBER('Results'!C7),ISNUMBER('Results'!$B$8),ISNUMBER('Inputs'!$B$6),ISNUMBER('Inputs'!$B$7),ISNUMBER('Inputs'!$B$8),ISNUMBER('Inputs'!$B$9),ISNUMBER('Inputs'!$B$10),ISNUMBER('Inputs'!$B$21),ISNUMBER('Inputs'!$B$24),ISNUMBER('Inputs'!$B$28)),((('Results'!B7*(1+'Inputs'!$B$24)*(0.5*((((962-43)*MAX('Inputs'!$B$33,'Inputs'!$B$29+'Inputs'!$B$31+'Inputs'!$B$32,'Inputs'!$B$30+'Inputs'!$B$31+'Inputs'!$B$32)/1000+'Inputs'!$B$21)+'Inputs'!$B$7)/SQRT((((962-43)*MAX('Inputs'!$B$33,'Inputs'!$B$29+'Inputs'!$B$31+'Inputs'!$B$32,'Inputs'!$B$30+'Inputs'!$B$31+'Inputs'!$B$32)/1000+'Inputs'!$B$21)+'Inputs'!$B$7)^2+('Inputs'!$B$6/2)^2)-(((962-43)*MAX('Inputs'!$B$33,'Inputs'!$B$29+'Inputs'!$B$31+'Inputs'!$B$32,'Inputs'!$B$30+'Inputs'!$B$31+'Inputs'!$B$32)/1000+'Inputs'!$B$21))/SQRT((((962-43)*MAX('Inputs'!$B$33,'Inputs'!$B$29+'Inputs'!$B$31+'Inputs'!$B$32,'Inputs'!$B$30+'Inputs'!$B$31+'Inputs'!$B$32)/1000+'Inputs'!$B$21))^2+('Inputs'!$B$6/2)^2)))-'Results'!C7*(1-'Inputs'!$B$24)*(0.5*((((962-43)*MAX('Inputs'!$B$33,'Inputs'!$B$29+'Inputs'!$B$31+'Inputs'!$B$32,'Inputs'!$B$30+'Inputs'!$B$31+'Inputs'!$B$32)/1000+'Inputs'!$B$21+'Inputs'!$B$7+'Inputs'!$B$10)+'Inputs'!$B$9)/SQRT((((962-43)*MAX('Inputs'!$B$33,'Inputs'!$B$29+'Inputs'!$B$31+'Inputs'!$B$32,'Inputs'!$B$30+'Inputs'!$B$31+'Inputs'!$B$32)/1000+'Inputs'!$B$21+'Inputs'!$B$7+'Inputs'!$B$10)+'Inputs'!$B$9)^2+('Inputs'!$B$8/2)^2)-(((962-43)*MAX('Inputs'!$B$33,'Inputs'!$B$29+'Inputs'!$B$31+'Inputs'!$B$32,'Inputs'!$B$30+'Inputs'!$B$31+'Inputs'!$B$32)/1000+'Inputs'!$B$21+'Inputs'!$B$7+'Inputs'!$B$10))/SQRT((((962-43)*MAX('Inputs'!$B$33,'Inputs'!$B$29+'Inputs'!$B$31+'Inputs'!$B$32,'Inputs'!$B$30+'Inputs'!$B$31+'Inputs'!$B$32)/1000+'Inputs'!$B$21+'Inputs'!$B$7+'Inputs'!$B$10))^2+('Inputs'!$B$8/2)^2))))*'Results'!$B$8)+'Inputs'!$B$28*ABS((('Results'!B7*(1+'Inputs'!$B$24)*(0.5*((((962-43)*MAX('Inputs'!$B$33,'Inputs'!$B$29+'Inputs'!$B$31+'Inputs'!$B$32,'Inputs'!$B$30+'Inputs'!$B$31+'Inputs'!$B$32)/1000+'Inputs'!$B$21)+'Inputs'!$B$7)/SQRT((((962-43)*MAX('Inputs'!$B$33,'Inputs'!$B$29+'Inputs'!$B$31+'Inputs'!$B$32,'Inputs'!$B$30+'Inputs'!$B$31+'Inputs'!$B$32)/1000+'Inputs'!$B$21)+'Inputs'!$B$7)^2+('Inputs'!$B$6/2)^2)-(((962-43)*MAX('Inputs'!$B$33,'Inputs'!$B$29+'Inputs'!$B$31+'Inputs'!$B$32,'Inputs'!$B$30+'Inputs'!$B$31+'Inputs'!$B$32)/1000+'Inputs'!$B$21))/SQRT((((962-43)*MAX('Inputs'!$B$33,'Inputs'!$B$29+'Inputs'!$B$31+'Inputs'!$B$32,'Inputs'!$B$30+'Inputs'!$B$31+'Inputs'!$B$32)/1000+'Inputs'!$B$21))^2+('Inputs'!$B$6/2)^2)))-'Results'!C7*(1-'Inputs'!$B$24)*(0.5*((((962-43)*MAX('Inputs'!$B$33,'Inputs'!$B$29+'Inputs'!$B$31+'Inputs'!$B$32,'Inputs'!$B$30+'Inputs'!$B$31+'Inputs'!$B$32)/1000+'Inputs'!$B$21+'Inputs'!$B$7+'Inputs'!$B$10)+'Inputs'!$B$9)/SQRT((((962-43)*MAX('Inputs'!$B$33,'Inputs'!$B$29+'Inputs'!$B$31+'Inputs'!$B$32,'Inputs'!$B$30+'Inputs'!$B$31+'Inputs'!$B$32)/1000+'Inputs'!$B$21+'Inputs'!$B$7+'Inputs'!$B$10)+'Inputs'!$B$9)^2+('Inputs'!$B$8/2)^2)-(((962-43)*MAX('Inputs'!$B$33,'Inputs'!$B$29+'Inputs'!$B$31+'Inputs'!$B$32,'Inputs'!$B$30+'Inputs'!$B$31+'Inputs'!$B$32)/1000+'Inputs'!$B$21+'Inputs'!$B$7+'Inputs'!$B$10))/SQRT((((962-43)*MAX('Inputs'!$B$33,'Inputs'!$B$29+'Inputs'!$B$31+'Inputs'!$B$32,'Inputs'!$B$30+'Inputs'!$B$31+'Inputs'!$B$32)/1000+'Inputs'!$B$21+'Inputs'!$B$7+'Inputs'!$B$10))^2+('Inputs'!$B$8/2)^2))))*'Results'!$B$8))),"")</x:f>
        <x:v>0.5667596159554902</x:v>
      </x:c>
      <x:c r="M962" t="n">
        <x:f>IF(AND(ISNUMBER('Results'!C7),ISNUMBER('Results'!B7),ISNUMBER('Results'!$B$8),ISNUMBER('Inputs'!$B$6),ISNUMBER('Inputs'!$B$7),ISNUMBER('Inputs'!$B$8),ISNUMBER('Inputs'!$B$9),ISNUMBER('Inputs'!$B$10),ISNUMBER('Inputs'!$B$21),ISNUMBER('Inputs'!$B$24),ISNUMBER('Inputs'!$B$28)),(('Results'!C7*(0.5*((((962-43)*MAX('Inputs'!$B$33,'Inputs'!$B$29+'Inputs'!$B$31+'Inputs'!$B$32,'Inputs'!$B$30+'Inputs'!$B$31+'Inputs'!$B$32)/1000+'Inputs'!$B$21)+'Inputs'!$B$9)/SQRT((((962-43)*MAX('Inputs'!$B$33,'Inputs'!$B$29+'Inputs'!$B$31+'Inputs'!$B$32,'Inputs'!$B$30+'Inputs'!$B$31+'Inputs'!$B$32)/1000+'Inputs'!$B$21)+'Inputs'!$B$9)^2+('Inputs'!$B$8/2)^2)-(((962-43)*MAX('Inputs'!$B$33,'Inputs'!$B$29+'Inputs'!$B$31+'Inputs'!$B$32,'Inputs'!$B$30+'Inputs'!$B$31+'Inputs'!$B$32)/1000+'Inputs'!$B$21))/SQRT((((962-43)*MAX('Inputs'!$B$33,'Inputs'!$B$29+'Inputs'!$B$31+'Inputs'!$B$32,'Inputs'!$B$30+'Inputs'!$B$31+'Inputs'!$B$32)/1000+'Inputs'!$B$21))^2+('Inputs'!$B$8/2)^2)))-'Results'!B7*(0.5*((((962-43)*MAX('Inputs'!$B$33,'Inputs'!$B$29+'Inputs'!$B$31+'Inputs'!$B$32,'Inputs'!$B$30+'Inputs'!$B$31+'Inputs'!$B$32)/1000+'Inputs'!$B$21+'Inputs'!$B$9+'Inputs'!$B$10)+'Inputs'!$B$7)/SQRT((((962-43)*MAX('Inputs'!$B$33,'Inputs'!$B$29+'Inputs'!$B$31+'Inputs'!$B$32,'Inputs'!$B$30+'Inputs'!$B$31+'Inputs'!$B$32)/1000+'Inputs'!$B$21+'Inputs'!$B$9+'Inputs'!$B$10)+'Inputs'!$B$7)^2+('Inputs'!$B$6/2)^2)-(((962-43)*MAX('Inputs'!$B$33,'Inputs'!$B$29+'Inputs'!$B$31+'Inputs'!$B$32,'Inputs'!$B$30+'Inputs'!$B$31+'Inputs'!$B$32)/1000+'Inputs'!$B$21+'Inputs'!$B$9+'Inputs'!$B$10))/SQRT((((962-43)*MAX('Inputs'!$B$33,'Inputs'!$B$29+'Inputs'!$B$31+'Inputs'!$B$32,'Inputs'!$B$30+'Inputs'!$B$31+'Inputs'!$B$32)/1000+'Inputs'!$B$21+'Inputs'!$B$9+'Inputs'!$B$10))^2+('Inputs'!$B$6/2)^2))))*'Results'!$B$8),"")</x:f>
        <x:v>0.431361097596426</x:v>
      </x:c>
      <x:c r="N962" t="n">
        <x:f>IF(AND(ISNUMBER('Results'!C7),ISNUMBER('Results'!B7),ISNUMBER('Results'!$B$8),ISNUMBER('Inputs'!$B$6),ISNUMBER('Inputs'!$B$7),ISNUMBER('Inputs'!$B$8),ISNUMBER('Inputs'!$B$9),ISNUMBER('Inputs'!$B$10),ISNUMBER('Inputs'!$B$21),ISNUMBER('Inputs'!$B$24),ISNUMBER('Inputs'!$B$28)),((('Results'!C7*(1-'Inputs'!$B$24)*(0.5*((((962-43)*MAX('Inputs'!$B$33,'Inputs'!$B$29+'Inputs'!$B$31+'Inputs'!$B$32,'Inputs'!$B$30+'Inputs'!$B$31+'Inputs'!$B$32)/1000+'Inputs'!$B$21)+'Inputs'!$B$9)/SQRT((((962-43)*MAX('Inputs'!$B$33,'Inputs'!$B$29+'Inputs'!$B$31+'Inputs'!$B$32,'Inputs'!$B$30+'Inputs'!$B$31+'Inputs'!$B$32)/1000+'Inputs'!$B$21)+'Inputs'!$B$9)^2+('Inputs'!$B$8/2)^2)-(((962-43)*MAX('Inputs'!$B$33,'Inputs'!$B$29+'Inputs'!$B$31+'Inputs'!$B$32,'Inputs'!$B$30+'Inputs'!$B$31+'Inputs'!$B$32)/1000+'Inputs'!$B$21))/SQRT((((962-43)*MAX('Inputs'!$B$33,'Inputs'!$B$29+'Inputs'!$B$31+'Inputs'!$B$32,'Inputs'!$B$30+'Inputs'!$B$31+'Inputs'!$B$32)/1000+'Inputs'!$B$21))^2+('Inputs'!$B$8/2)^2)))-'Results'!B7*(1+'Inputs'!$B$24)*(0.5*((((962-43)*MAX('Inputs'!$B$33,'Inputs'!$B$29+'Inputs'!$B$31+'Inputs'!$B$32,'Inputs'!$B$30+'Inputs'!$B$31+'Inputs'!$B$32)/1000+'Inputs'!$B$21+'Inputs'!$B$9+'Inputs'!$B$10)+'Inputs'!$B$7)/SQRT((((962-43)*MAX('Inputs'!$B$33,'Inputs'!$B$29+'Inputs'!$B$31+'Inputs'!$B$32,'Inputs'!$B$30+'Inputs'!$B$31+'Inputs'!$B$32)/1000+'Inputs'!$B$21+'Inputs'!$B$9+'Inputs'!$B$10)+'Inputs'!$B$7)^2+('Inputs'!$B$6/2)^2)-(((962-43)*MAX('Inputs'!$B$33,'Inputs'!$B$29+'Inputs'!$B$31+'Inputs'!$B$32,'Inputs'!$B$30+'Inputs'!$B$31+'Inputs'!$B$32)/1000+'Inputs'!$B$21+'Inputs'!$B$9+'Inputs'!$B$10))/SQRT((((962-43)*MAX('Inputs'!$B$33,'Inputs'!$B$29+'Inputs'!$B$31+'Inputs'!$B$32,'Inputs'!$B$30+'Inputs'!$B$31+'Inputs'!$B$32)/1000+'Inputs'!$B$21+'Inputs'!$B$9+'Inputs'!$B$10))^2+('Inputs'!$B$6/2)^2))))*'Results'!$B$8)-'Inputs'!$B$28*ABS((('Results'!C7*(1-'Inputs'!$B$24)*(0.5*((((962-43)*MAX('Inputs'!$B$33,'Inputs'!$B$29+'Inputs'!$B$31+'Inputs'!$B$32,'Inputs'!$B$30+'Inputs'!$B$31+'Inputs'!$B$32)/1000+'Inputs'!$B$21)+'Inputs'!$B$9)/SQRT((((962-43)*MAX('Inputs'!$B$33,'Inputs'!$B$29+'Inputs'!$B$31+'Inputs'!$B$32,'Inputs'!$B$30+'Inputs'!$B$31+'Inputs'!$B$32)/1000+'Inputs'!$B$21)+'Inputs'!$B$9)^2+('Inputs'!$B$8/2)^2)-(((962-43)*MAX('Inputs'!$B$33,'Inputs'!$B$29+'Inputs'!$B$31+'Inputs'!$B$32,'Inputs'!$B$30+'Inputs'!$B$31+'Inputs'!$B$32)/1000+'Inputs'!$B$21))/SQRT((((962-43)*MAX('Inputs'!$B$33,'Inputs'!$B$29+'Inputs'!$B$31+'Inputs'!$B$32,'Inputs'!$B$30+'Inputs'!$B$31+'Inputs'!$B$32)/1000+'Inputs'!$B$21))^2+('Inputs'!$B$8/2)^2)))-'Results'!B7*(1+'Inputs'!$B$24)*(0.5*((((962-43)*MAX('Inputs'!$B$33,'Inputs'!$B$29+'Inputs'!$B$31+'Inputs'!$B$32,'Inputs'!$B$30+'Inputs'!$B$31+'Inputs'!$B$32)/1000+'Inputs'!$B$21+'Inputs'!$B$9+'Inputs'!$B$10)+'Inputs'!$B$7)/SQRT((((962-43)*MAX('Inputs'!$B$33,'Inputs'!$B$29+'Inputs'!$B$31+'Inputs'!$B$32,'Inputs'!$B$30+'Inputs'!$B$31+'Inputs'!$B$32)/1000+'Inputs'!$B$21+'Inputs'!$B$9+'Inputs'!$B$10)+'Inputs'!$B$7)^2+('Inputs'!$B$6/2)^2)-(((962-43)*MAX('Inputs'!$B$33,'Inputs'!$B$29+'Inputs'!$B$31+'Inputs'!$B$32,'Inputs'!$B$30+'Inputs'!$B$31+'Inputs'!$B$32)/1000+'Inputs'!$B$21+'Inputs'!$B$9+'Inputs'!$B$10))/SQRT((((962-43)*MAX('Inputs'!$B$33,'Inputs'!$B$29+'Inputs'!$B$31+'Inputs'!$B$32,'Inputs'!$B$30+'Inputs'!$B$31+'Inputs'!$B$32)/1000+'Inputs'!$B$21+'Inputs'!$B$9+'Inputs'!$B$10))^2+('Inputs'!$B$6/2)^2))))*'Results'!$B$8))),"")</x:f>
        <x:v>0.35868887006164424</x:v>
      </x:c>
      <x:c r="O962" t="n">
        <x:f>IF(AND(ISNUMBER('Results'!C7),ISNUMBER('Results'!B7),ISNUMBER('Results'!$B$8),ISNUMBER('Inputs'!$B$6),ISNUMBER('Inputs'!$B$7),ISNUMBER('Inputs'!$B$8),ISNUMBER('Inputs'!$B$9),ISNUMBER('Inputs'!$B$10),ISNUMBER('Inputs'!$B$21),ISNUMBER('Inputs'!$B$24),ISNUMBER('Inputs'!$B$28)),((('Results'!C7*(1+'Inputs'!$B$24)*(0.5*((((962-43)*MAX('Inputs'!$B$33,'Inputs'!$B$29+'Inputs'!$B$31+'Inputs'!$B$32,'Inputs'!$B$30+'Inputs'!$B$31+'Inputs'!$B$32)/1000+'Inputs'!$B$21)+'Inputs'!$B$9)/SQRT((((962-43)*MAX('Inputs'!$B$33,'Inputs'!$B$29+'Inputs'!$B$31+'Inputs'!$B$32,'Inputs'!$B$30+'Inputs'!$B$31+'Inputs'!$B$32)/1000+'Inputs'!$B$21)+'Inputs'!$B$9)^2+('Inputs'!$B$8/2)^2)-(((962-43)*MAX('Inputs'!$B$33,'Inputs'!$B$29+'Inputs'!$B$31+'Inputs'!$B$32,'Inputs'!$B$30+'Inputs'!$B$31+'Inputs'!$B$32)/1000+'Inputs'!$B$21))/SQRT((((962-43)*MAX('Inputs'!$B$33,'Inputs'!$B$29+'Inputs'!$B$31+'Inputs'!$B$32,'Inputs'!$B$30+'Inputs'!$B$31+'Inputs'!$B$32)/1000+'Inputs'!$B$21))^2+('Inputs'!$B$8/2)^2)))-'Results'!B7*(1-'Inputs'!$B$24)*(0.5*((((962-43)*MAX('Inputs'!$B$33,'Inputs'!$B$29+'Inputs'!$B$31+'Inputs'!$B$32,'Inputs'!$B$30+'Inputs'!$B$31+'Inputs'!$B$32)/1000+'Inputs'!$B$21+'Inputs'!$B$9+'Inputs'!$B$10)+'Inputs'!$B$7)/SQRT((((962-43)*MAX('Inputs'!$B$33,'Inputs'!$B$29+'Inputs'!$B$31+'Inputs'!$B$32,'Inputs'!$B$30+'Inputs'!$B$31+'Inputs'!$B$32)/1000+'Inputs'!$B$21+'Inputs'!$B$9+'Inputs'!$B$10)+'Inputs'!$B$7)^2+('Inputs'!$B$6/2)^2)-(((962-43)*MAX('Inputs'!$B$33,'Inputs'!$B$29+'Inputs'!$B$31+'Inputs'!$B$32,'Inputs'!$B$30+'Inputs'!$B$31+'Inputs'!$B$32)/1000+'Inputs'!$B$21+'Inputs'!$B$9+'Inputs'!$B$10))/SQRT((((962-43)*MAX('Inputs'!$B$33,'Inputs'!$B$29+'Inputs'!$B$31+'Inputs'!$B$32,'Inputs'!$B$30+'Inputs'!$B$31+'Inputs'!$B$32)/1000+'Inputs'!$B$21+'Inputs'!$B$9+'Inputs'!$B$10))^2+('Inputs'!$B$6/2)^2))))*'Results'!$B$8)+'Inputs'!$B$28*ABS((('Results'!C7*(1+'Inputs'!$B$24)*(0.5*((((962-43)*MAX('Inputs'!$B$33,'Inputs'!$B$29+'Inputs'!$B$31+'Inputs'!$B$32,'Inputs'!$B$30+'Inputs'!$B$31+'Inputs'!$B$32)/1000+'Inputs'!$B$21)+'Inputs'!$B$9)/SQRT((((962-43)*MAX('Inputs'!$B$33,'Inputs'!$B$29+'Inputs'!$B$31+'Inputs'!$B$32,'Inputs'!$B$30+'Inputs'!$B$31+'Inputs'!$B$32)/1000+'Inputs'!$B$21)+'Inputs'!$B$9)^2+('Inputs'!$B$8/2)^2)-(((962-43)*MAX('Inputs'!$B$33,'Inputs'!$B$29+'Inputs'!$B$31+'Inputs'!$B$32,'Inputs'!$B$30+'Inputs'!$B$31+'Inputs'!$B$32)/1000+'Inputs'!$B$21))/SQRT((((962-43)*MAX('Inputs'!$B$33,'Inputs'!$B$29+'Inputs'!$B$31+'Inputs'!$B$32,'Inputs'!$B$30+'Inputs'!$B$31+'Inputs'!$B$32)/1000+'Inputs'!$B$21))^2+('Inputs'!$B$8/2)^2)))-'Results'!B7*(1-'Inputs'!$B$24)*(0.5*((((962-43)*MAX('Inputs'!$B$33,'Inputs'!$B$29+'Inputs'!$B$31+'Inputs'!$B$32,'Inputs'!$B$30+'Inputs'!$B$31+'Inputs'!$B$32)/1000+'Inputs'!$B$21+'Inputs'!$B$9+'Inputs'!$B$10)+'Inputs'!$B$7)/SQRT((((962-43)*MAX('Inputs'!$B$33,'Inputs'!$B$29+'Inputs'!$B$31+'Inputs'!$B$32,'Inputs'!$B$30+'Inputs'!$B$31+'Inputs'!$B$32)/1000+'Inputs'!$B$21+'Inputs'!$B$9+'Inputs'!$B$10)+'Inputs'!$B$7)^2+('Inputs'!$B$6/2)^2)-(((962-43)*MAX('Inputs'!$B$33,'Inputs'!$B$29+'Inputs'!$B$31+'Inputs'!$B$32,'Inputs'!$B$30+'Inputs'!$B$31+'Inputs'!$B$32)/1000+'Inputs'!$B$21+'Inputs'!$B$9+'Inputs'!$B$10))/SQRT((((962-43)*MAX('Inputs'!$B$33,'Inputs'!$B$29+'Inputs'!$B$31+'Inputs'!$B$32,'Inputs'!$B$30+'Inputs'!$B$31+'Inputs'!$B$32)/1000+'Inputs'!$B$21+'Inputs'!$B$9+'Inputs'!$B$10))^2+('Inputs'!$B$6/2)^2))))*'Results'!$B$8))),"")</x:f>
        <x:v>0.509412711726467</x:v>
      </x:c>
      <x:c r="P962" t="n">
        <x:f>IF(AND(MAX(J962,J961)&gt;0,J962&gt;J961+0.00000001),1,0)</x:f>
        <x:v>0</x:v>
      </x:c>
      <x:c r="Q962" t="n">
        <x:f>IF(AND(MAX(K962,K961)&gt;0,K962&gt;K961+0.00000001),1,0)</x:f>
        <x:v>0</x:v>
      </x:c>
      <x:c r="R962" t="n">
        <x:f>IF(AND(MAX(L962,L961)&gt;0,L962&gt;L961+0.00000001),1,0)</x:f>
        <x:v>0</x:v>
      </x:c>
      <x:c r="S962" t="n">
        <x:f>IF(AND(MAX(M962,M961)&gt;0,M962&gt;M961+0.00000001),1,0)</x:f>
        <x:v>0</x:v>
      </x:c>
      <x:c r="T962" t="n">
        <x:f>IF(AND(MAX(N962,N961)&gt;0,N962&gt;N961+0.00000001),1,0)</x:f>
        <x:v>0</x:v>
      </x:c>
      <x:c r="U962" t="n">
        <x:f>IF(AND(MAX(O962,O961)&gt;0,O962&gt;O961+0.00000001),1,0)</x:f>
        <x:v>0</x:v>
      </x:c>
    </x:row>
    <x:row r="963">
      <x:c r="J963" t="n">
        <x:f>IF(AND(ISNUMBER('Results'!B7),ISNUMBER('Results'!C7),ISNUMBER('Results'!$B$8),ISNUMBER('Inputs'!$B$6),ISNUMBER('Inputs'!$B$7),ISNUMBER('Inputs'!$B$8),ISNUMBER('Inputs'!$B$9),ISNUMBER('Inputs'!$B$10),ISNUMBER('Inputs'!$B$21),ISNUMBER('Inputs'!$B$24),ISNUMBER('Inputs'!$B$28)),(('Results'!B7*(0.5*((((963-43)*MAX('Inputs'!$B$33,'Inputs'!$B$29+'Inputs'!$B$31+'Inputs'!$B$32,'Inputs'!$B$30+'Inputs'!$B$31+'Inputs'!$B$32)/1000+'Inputs'!$B$21)+'Inputs'!$B$7)/SQRT((((963-43)*MAX('Inputs'!$B$33,'Inputs'!$B$29+'Inputs'!$B$31+'Inputs'!$B$32,'Inputs'!$B$30+'Inputs'!$B$31+'Inputs'!$B$32)/1000+'Inputs'!$B$21)+'Inputs'!$B$7)^2+('Inputs'!$B$6/2)^2)-(((963-43)*MAX('Inputs'!$B$33,'Inputs'!$B$29+'Inputs'!$B$31+'Inputs'!$B$32,'Inputs'!$B$30+'Inputs'!$B$31+'Inputs'!$B$32)/1000+'Inputs'!$B$21))/SQRT((((963-43)*MAX('Inputs'!$B$33,'Inputs'!$B$29+'Inputs'!$B$31+'Inputs'!$B$32,'Inputs'!$B$30+'Inputs'!$B$31+'Inputs'!$B$32)/1000+'Inputs'!$B$21))^2+('Inputs'!$B$6/2)^2)))-'Results'!C7*(0.5*((((963-43)*MAX('Inputs'!$B$33,'Inputs'!$B$29+'Inputs'!$B$31+'Inputs'!$B$32,'Inputs'!$B$30+'Inputs'!$B$31+'Inputs'!$B$32)/1000+'Inputs'!$B$21+'Inputs'!$B$7+'Inputs'!$B$10)+'Inputs'!$B$9)/SQRT((((963-43)*MAX('Inputs'!$B$33,'Inputs'!$B$29+'Inputs'!$B$31+'Inputs'!$B$32,'Inputs'!$B$30+'Inputs'!$B$31+'Inputs'!$B$32)/1000+'Inputs'!$B$21+'Inputs'!$B$7+'Inputs'!$B$10)+'Inputs'!$B$9)^2+('Inputs'!$B$8/2)^2)-(((963-43)*MAX('Inputs'!$B$33,'Inputs'!$B$29+'Inputs'!$B$31+'Inputs'!$B$32,'Inputs'!$B$30+'Inputs'!$B$31+'Inputs'!$B$32)/1000+'Inputs'!$B$21+'Inputs'!$B$7+'Inputs'!$B$10))/SQRT((((963-43)*MAX('Inputs'!$B$33,'Inputs'!$B$29+'Inputs'!$B$31+'Inputs'!$B$32,'Inputs'!$B$30+'Inputs'!$B$31+'Inputs'!$B$32)/1000+'Inputs'!$B$21+'Inputs'!$B$7+'Inputs'!$B$10))^2+('Inputs'!$B$8/2)^2))))*'Results'!$B$8),"")</x:f>
        <x:v>0.4838762788218787</x:v>
      </x:c>
      <x:c r="K963" t="n">
        <x:f>IF(AND(ISNUMBER('Results'!B7),ISNUMBER('Results'!C7),ISNUMBER('Results'!$B$8),ISNUMBER('Inputs'!$B$6),ISNUMBER('Inputs'!$B$7),ISNUMBER('Inputs'!$B$8),ISNUMBER('Inputs'!$B$9),ISNUMBER('Inputs'!$B$10),ISNUMBER('Inputs'!$B$21),ISNUMBER('Inputs'!$B$24),ISNUMBER('Inputs'!$B$28)),((('Results'!B7*(1-'Inputs'!$B$24)*(0.5*((((963-43)*MAX('Inputs'!$B$33,'Inputs'!$B$29+'Inputs'!$B$31+'Inputs'!$B$32,'Inputs'!$B$30+'Inputs'!$B$31+'Inputs'!$B$32)/1000+'Inputs'!$B$21)+'Inputs'!$B$7)/SQRT((((963-43)*MAX('Inputs'!$B$33,'Inputs'!$B$29+'Inputs'!$B$31+'Inputs'!$B$32,'Inputs'!$B$30+'Inputs'!$B$31+'Inputs'!$B$32)/1000+'Inputs'!$B$21)+'Inputs'!$B$7)^2+('Inputs'!$B$6/2)^2)-(((963-43)*MAX('Inputs'!$B$33,'Inputs'!$B$29+'Inputs'!$B$31+'Inputs'!$B$32,'Inputs'!$B$30+'Inputs'!$B$31+'Inputs'!$B$32)/1000+'Inputs'!$B$21))/SQRT((((963-43)*MAX('Inputs'!$B$33,'Inputs'!$B$29+'Inputs'!$B$31+'Inputs'!$B$32,'Inputs'!$B$30+'Inputs'!$B$31+'Inputs'!$B$32)/1000+'Inputs'!$B$21))^2+('Inputs'!$B$6/2)^2)))-'Results'!C7*(1+'Inputs'!$B$24)*(0.5*((((963-43)*MAX('Inputs'!$B$33,'Inputs'!$B$29+'Inputs'!$B$31+'Inputs'!$B$32,'Inputs'!$B$30+'Inputs'!$B$31+'Inputs'!$B$32)/1000+'Inputs'!$B$21+'Inputs'!$B$7+'Inputs'!$B$10)+'Inputs'!$B$9)/SQRT((((963-43)*MAX('Inputs'!$B$33,'Inputs'!$B$29+'Inputs'!$B$31+'Inputs'!$B$32,'Inputs'!$B$30+'Inputs'!$B$31+'Inputs'!$B$32)/1000+'Inputs'!$B$21+'Inputs'!$B$7+'Inputs'!$B$10)+'Inputs'!$B$9)^2+('Inputs'!$B$8/2)^2)-(((963-43)*MAX('Inputs'!$B$33,'Inputs'!$B$29+'Inputs'!$B$31+'Inputs'!$B$32,'Inputs'!$B$30+'Inputs'!$B$31+'Inputs'!$B$32)/1000+'Inputs'!$B$21+'Inputs'!$B$7+'Inputs'!$B$10))/SQRT((((963-43)*MAX('Inputs'!$B$33,'Inputs'!$B$29+'Inputs'!$B$31+'Inputs'!$B$32,'Inputs'!$B$30+'Inputs'!$B$31+'Inputs'!$B$32)/1000+'Inputs'!$B$21+'Inputs'!$B$7+'Inputs'!$B$10))^2+('Inputs'!$B$8/2)^2))))*'Results'!$B$8)-'Inputs'!$B$28*ABS((('Results'!B7*(1-'Inputs'!$B$24)*(0.5*((((963-43)*MAX('Inputs'!$B$33,'Inputs'!$B$29+'Inputs'!$B$31+'Inputs'!$B$32,'Inputs'!$B$30+'Inputs'!$B$31+'Inputs'!$B$32)/1000+'Inputs'!$B$21)+'Inputs'!$B$7)/SQRT((((963-43)*MAX('Inputs'!$B$33,'Inputs'!$B$29+'Inputs'!$B$31+'Inputs'!$B$32,'Inputs'!$B$30+'Inputs'!$B$31+'Inputs'!$B$32)/1000+'Inputs'!$B$21)+'Inputs'!$B$7)^2+('Inputs'!$B$6/2)^2)-(((963-43)*MAX('Inputs'!$B$33,'Inputs'!$B$29+'Inputs'!$B$31+'Inputs'!$B$32,'Inputs'!$B$30+'Inputs'!$B$31+'Inputs'!$B$32)/1000+'Inputs'!$B$21))/SQRT((((963-43)*MAX('Inputs'!$B$33,'Inputs'!$B$29+'Inputs'!$B$31+'Inputs'!$B$32,'Inputs'!$B$30+'Inputs'!$B$31+'Inputs'!$B$32)/1000+'Inputs'!$B$21))^2+('Inputs'!$B$6/2)^2)))-'Results'!C7*(1+'Inputs'!$B$24)*(0.5*((((963-43)*MAX('Inputs'!$B$33,'Inputs'!$B$29+'Inputs'!$B$31+'Inputs'!$B$32,'Inputs'!$B$30+'Inputs'!$B$31+'Inputs'!$B$32)/1000+'Inputs'!$B$21+'Inputs'!$B$7+'Inputs'!$B$10)+'Inputs'!$B$9)/SQRT((((963-43)*MAX('Inputs'!$B$33,'Inputs'!$B$29+'Inputs'!$B$31+'Inputs'!$B$32,'Inputs'!$B$30+'Inputs'!$B$31+'Inputs'!$B$32)/1000+'Inputs'!$B$21+'Inputs'!$B$7+'Inputs'!$B$10)+'Inputs'!$B$9)^2+('Inputs'!$B$8/2)^2)-(((963-43)*MAX('Inputs'!$B$33,'Inputs'!$B$29+'Inputs'!$B$31+'Inputs'!$B$32,'Inputs'!$B$30+'Inputs'!$B$31+'Inputs'!$B$32)/1000+'Inputs'!$B$21+'Inputs'!$B$7+'Inputs'!$B$10))/SQRT((((963-43)*MAX('Inputs'!$B$33,'Inputs'!$B$29+'Inputs'!$B$31+'Inputs'!$B$32,'Inputs'!$B$30+'Inputs'!$B$31+'Inputs'!$B$32)/1000+'Inputs'!$B$21+'Inputs'!$B$7+'Inputs'!$B$10))^2+('Inputs'!$B$8/2)^2))))*'Results'!$B$8))),"")</x:f>
        <x:v>0.4085575656498995</x:v>
      </x:c>
      <x:c r="L963" t="n">
        <x:f>IF(AND(ISNUMBER('Results'!B7),ISNUMBER('Results'!C7),ISNUMBER('Results'!$B$8),ISNUMBER('Inputs'!$B$6),ISNUMBER('Inputs'!$B$7),ISNUMBER('Inputs'!$B$8),ISNUMBER('Inputs'!$B$9),ISNUMBER('Inputs'!$B$10),ISNUMBER('Inputs'!$B$21),ISNUMBER('Inputs'!$B$24),ISNUMBER('Inputs'!$B$28)),((('Results'!B7*(1+'Inputs'!$B$24)*(0.5*((((963-43)*MAX('Inputs'!$B$33,'Inputs'!$B$29+'Inputs'!$B$31+'Inputs'!$B$32,'Inputs'!$B$30+'Inputs'!$B$31+'Inputs'!$B$32)/1000+'Inputs'!$B$21)+'Inputs'!$B$7)/SQRT((((963-43)*MAX('Inputs'!$B$33,'Inputs'!$B$29+'Inputs'!$B$31+'Inputs'!$B$32,'Inputs'!$B$30+'Inputs'!$B$31+'Inputs'!$B$32)/1000+'Inputs'!$B$21)+'Inputs'!$B$7)^2+('Inputs'!$B$6/2)^2)-(((963-43)*MAX('Inputs'!$B$33,'Inputs'!$B$29+'Inputs'!$B$31+'Inputs'!$B$32,'Inputs'!$B$30+'Inputs'!$B$31+'Inputs'!$B$32)/1000+'Inputs'!$B$21))/SQRT((((963-43)*MAX('Inputs'!$B$33,'Inputs'!$B$29+'Inputs'!$B$31+'Inputs'!$B$32,'Inputs'!$B$30+'Inputs'!$B$31+'Inputs'!$B$32)/1000+'Inputs'!$B$21))^2+('Inputs'!$B$6/2)^2)))-'Results'!C7*(1-'Inputs'!$B$24)*(0.5*((((963-43)*MAX('Inputs'!$B$33,'Inputs'!$B$29+'Inputs'!$B$31+'Inputs'!$B$32,'Inputs'!$B$30+'Inputs'!$B$31+'Inputs'!$B$32)/1000+'Inputs'!$B$21+'Inputs'!$B$7+'Inputs'!$B$10)+'Inputs'!$B$9)/SQRT((((963-43)*MAX('Inputs'!$B$33,'Inputs'!$B$29+'Inputs'!$B$31+'Inputs'!$B$32,'Inputs'!$B$30+'Inputs'!$B$31+'Inputs'!$B$32)/1000+'Inputs'!$B$21+'Inputs'!$B$7+'Inputs'!$B$10)+'Inputs'!$B$9)^2+('Inputs'!$B$8/2)^2)-(((963-43)*MAX('Inputs'!$B$33,'Inputs'!$B$29+'Inputs'!$B$31+'Inputs'!$B$32,'Inputs'!$B$30+'Inputs'!$B$31+'Inputs'!$B$32)/1000+'Inputs'!$B$21+'Inputs'!$B$7+'Inputs'!$B$10))/SQRT((((963-43)*MAX('Inputs'!$B$33,'Inputs'!$B$29+'Inputs'!$B$31+'Inputs'!$B$32,'Inputs'!$B$30+'Inputs'!$B$31+'Inputs'!$B$32)/1000+'Inputs'!$B$21+'Inputs'!$B$7+'Inputs'!$B$10))^2+('Inputs'!$B$8/2)^2))))*'Results'!$B$8)+'Inputs'!$B$28*ABS((('Results'!B7*(1+'Inputs'!$B$24)*(0.5*((((963-43)*MAX('Inputs'!$B$33,'Inputs'!$B$29+'Inputs'!$B$31+'Inputs'!$B$32,'Inputs'!$B$30+'Inputs'!$B$31+'Inputs'!$B$32)/1000+'Inputs'!$B$21)+'Inputs'!$B$7)/SQRT((((963-43)*MAX('Inputs'!$B$33,'Inputs'!$B$29+'Inputs'!$B$31+'Inputs'!$B$32,'Inputs'!$B$30+'Inputs'!$B$31+'Inputs'!$B$32)/1000+'Inputs'!$B$21)+'Inputs'!$B$7)^2+('Inputs'!$B$6/2)^2)-(((963-43)*MAX('Inputs'!$B$33,'Inputs'!$B$29+'Inputs'!$B$31+'Inputs'!$B$32,'Inputs'!$B$30+'Inputs'!$B$31+'Inputs'!$B$32)/1000+'Inputs'!$B$21))/SQRT((((963-43)*MAX('Inputs'!$B$33,'Inputs'!$B$29+'Inputs'!$B$31+'Inputs'!$B$32,'Inputs'!$B$30+'Inputs'!$B$31+'Inputs'!$B$32)/1000+'Inputs'!$B$21))^2+('Inputs'!$B$6/2)^2)))-'Results'!C7*(1-'Inputs'!$B$24)*(0.5*((((963-43)*MAX('Inputs'!$B$33,'Inputs'!$B$29+'Inputs'!$B$31+'Inputs'!$B$32,'Inputs'!$B$30+'Inputs'!$B$31+'Inputs'!$B$32)/1000+'Inputs'!$B$21+'Inputs'!$B$7+'Inputs'!$B$10)+'Inputs'!$B$9)/SQRT((((963-43)*MAX('Inputs'!$B$33,'Inputs'!$B$29+'Inputs'!$B$31+'Inputs'!$B$32,'Inputs'!$B$30+'Inputs'!$B$31+'Inputs'!$B$32)/1000+'Inputs'!$B$21+'Inputs'!$B$7+'Inputs'!$B$10)+'Inputs'!$B$9)^2+('Inputs'!$B$8/2)^2)-(((963-43)*MAX('Inputs'!$B$33,'Inputs'!$B$29+'Inputs'!$B$31+'Inputs'!$B$32,'Inputs'!$B$30+'Inputs'!$B$31+'Inputs'!$B$32)/1000+'Inputs'!$B$21+'Inputs'!$B$7+'Inputs'!$B$10))/SQRT((((963-43)*MAX('Inputs'!$B$33,'Inputs'!$B$29+'Inputs'!$B$31+'Inputs'!$B$32,'Inputs'!$B$30+'Inputs'!$B$31+'Inputs'!$B$32)/1000+'Inputs'!$B$21+'Inputs'!$B$7+'Inputs'!$B$10))^2+('Inputs'!$B$8/2)^2))))*'Results'!$B$8))),"")</x:f>
        <x:v>0.5645765603339514</x:v>
      </x:c>
      <x:c r="M963" t="n">
        <x:f>IF(AND(ISNUMBER('Results'!C7),ISNUMBER('Results'!B7),ISNUMBER('Results'!$B$8),ISNUMBER('Inputs'!$B$6),ISNUMBER('Inputs'!$B$7),ISNUMBER('Inputs'!$B$8),ISNUMBER('Inputs'!$B$9),ISNUMBER('Inputs'!$B$10),ISNUMBER('Inputs'!$B$21),ISNUMBER('Inputs'!$B$24),ISNUMBER('Inputs'!$B$28)),(('Results'!C7*(0.5*((((963-43)*MAX('Inputs'!$B$33,'Inputs'!$B$29+'Inputs'!$B$31+'Inputs'!$B$32,'Inputs'!$B$30+'Inputs'!$B$31+'Inputs'!$B$32)/1000+'Inputs'!$B$21)+'Inputs'!$B$9)/SQRT((((963-43)*MAX('Inputs'!$B$33,'Inputs'!$B$29+'Inputs'!$B$31+'Inputs'!$B$32,'Inputs'!$B$30+'Inputs'!$B$31+'Inputs'!$B$32)/1000+'Inputs'!$B$21)+'Inputs'!$B$9)^2+('Inputs'!$B$8/2)^2)-(((963-43)*MAX('Inputs'!$B$33,'Inputs'!$B$29+'Inputs'!$B$31+'Inputs'!$B$32,'Inputs'!$B$30+'Inputs'!$B$31+'Inputs'!$B$32)/1000+'Inputs'!$B$21))/SQRT((((963-43)*MAX('Inputs'!$B$33,'Inputs'!$B$29+'Inputs'!$B$31+'Inputs'!$B$32,'Inputs'!$B$30+'Inputs'!$B$31+'Inputs'!$B$32)/1000+'Inputs'!$B$21))^2+('Inputs'!$B$8/2)^2)))-'Results'!B7*(0.5*((((963-43)*MAX('Inputs'!$B$33,'Inputs'!$B$29+'Inputs'!$B$31+'Inputs'!$B$32,'Inputs'!$B$30+'Inputs'!$B$31+'Inputs'!$B$32)/1000+'Inputs'!$B$21+'Inputs'!$B$9+'Inputs'!$B$10)+'Inputs'!$B$7)/SQRT((((963-43)*MAX('Inputs'!$B$33,'Inputs'!$B$29+'Inputs'!$B$31+'Inputs'!$B$32,'Inputs'!$B$30+'Inputs'!$B$31+'Inputs'!$B$32)/1000+'Inputs'!$B$21+'Inputs'!$B$9+'Inputs'!$B$10)+'Inputs'!$B$7)^2+('Inputs'!$B$6/2)^2)-(((963-43)*MAX('Inputs'!$B$33,'Inputs'!$B$29+'Inputs'!$B$31+'Inputs'!$B$32,'Inputs'!$B$30+'Inputs'!$B$31+'Inputs'!$B$32)/1000+'Inputs'!$B$21+'Inputs'!$B$9+'Inputs'!$B$10))/SQRT((((963-43)*MAX('Inputs'!$B$33,'Inputs'!$B$29+'Inputs'!$B$31+'Inputs'!$B$32,'Inputs'!$B$30+'Inputs'!$B$31+'Inputs'!$B$32)/1000+'Inputs'!$B$21+'Inputs'!$B$9+'Inputs'!$B$10))^2+('Inputs'!$B$6/2)^2))))*'Results'!$B$8),"")</x:f>
        <x:v>0.42961020605539063</x:v>
      </x:c>
      <x:c r="N963" t="n">
        <x:f>IF(AND(ISNUMBER('Results'!C7),ISNUMBER('Results'!B7),ISNUMBER('Results'!$B$8),ISNUMBER('Inputs'!$B$6),ISNUMBER('Inputs'!$B$7),ISNUMBER('Inputs'!$B$8),ISNUMBER('Inputs'!$B$9),ISNUMBER('Inputs'!$B$10),ISNUMBER('Inputs'!$B$21),ISNUMBER('Inputs'!$B$24),ISNUMBER('Inputs'!$B$28)),((('Results'!C7*(1-'Inputs'!$B$24)*(0.5*((((963-43)*MAX('Inputs'!$B$33,'Inputs'!$B$29+'Inputs'!$B$31+'Inputs'!$B$32,'Inputs'!$B$30+'Inputs'!$B$31+'Inputs'!$B$32)/1000+'Inputs'!$B$21)+'Inputs'!$B$9)/SQRT((((963-43)*MAX('Inputs'!$B$33,'Inputs'!$B$29+'Inputs'!$B$31+'Inputs'!$B$32,'Inputs'!$B$30+'Inputs'!$B$31+'Inputs'!$B$32)/1000+'Inputs'!$B$21)+'Inputs'!$B$9)^2+('Inputs'!$B$8/2)^2)-(((963-43)*MAX('Inputs'!$B$33,'Inputs'!$B$29+'Inputs'!$B$31+'Inputs'!$B$32,'Inputs'!$B$30+'Inputs'!$B$31+'Inputs'!$B$32)/1000+'Inputs'!$B$21))/SQRT((((963-43)*MAX('Inputs'!$B$33,'Inputs'!$B$29+'Inputs'!$B$31+'Inputs'!$B$32,'Inputs'!$B$30+'Inputs'!$B$31+'Inputs'!$B$32)/1000+'Inputs'!$B$21))^2+('Inputs'!$B$8/2)^2)))-'Results'!B7*(1+'Inputs'!$B$24)*(0.5*((((963-43)*MAX('Inputs'!$B$33,'Inputs'!$B$29+'Inputs'!$B$31+'Inputs'!$B$32,'Inputs'!$B$30+'Inputs'!$B$31+'Inputs'!$B$32)/1000+'Inputs'!$B$21+'Inputs'!$B$9+'Inputs'!$B$10)+'Inputs'!$B$7)/SQRT((((963-43)*MAX('Inputs'!$B$33,'Inputs'!$B$29+'Inputs'!$B$31+'Inputs'!$B$32,'Inputs'!$B$30+'Inputs'!$B$31+'Inputs'!$B$32)/1000+'Inputs'!$B$21+'Inputs'!$B$9+'Inputs'!$B$10)+'Inputs'!$B$7)^2+('Inputs'!$B$6/2)^2)-(((963-43)*MAX('Inputs'!$B$33,'Inputs'!$B$29+'Inputs'!$B$31+'Inputs'!$B$32,'Inputs'!$B$30+'Inputs'!$B$31+'Inputs'!$B$32)/1000+'Inputs'!$B$21+'Inputs'!$B$9+'Inputs'!$B$10))/SQRT((((963-43)*MAX('Inputs'!$B$33,'Inputs'!$B$29+'Inputs'!$B$31+'Inputs'!$B$32,'Inputs'!$B$30+'Inputs'!$B$31+'Inputs'!$B$32)/1000+'Inputs'!$B$21+'Inputs'!$B$9+'Inputs'!$B$10))^2+('Inputs'!$B$6/2)^2))))*'Results'!$B$8)-'Inputs'!$B$28*ABS((('Results'!C7*(1-'Inputs'!$B$24)*(0.5*((((963-43)*MAX('Inputs'!$B$33,'Inputs'!$B$29+'Inputs'!$B$31+'Inputs'!$B$32,'Inputs'!$B$30+'Inputs'!$B$31+'Inputs'!$B$32)/1000+'Inputs'!$B$21)+'Inputs'!$B$9)/SQRT((((963-43)*MAX('Inputs'!$B$33,'Inputs'!$B$29+'Inputs'!$B$31+'Inputs'!$B$32,'Inputs'!$B$30+'Inputs'!$B$31+'Inputs'!$B$32)/1000+'Inputs'!$B$21)+'Inputs'!$B$9)^2+('Inputs'!$B$8/2)^2)-(((963-43)*MAX('Inputs'!$B$33,'Inputs'!$B$29+'Inputs'!$B$31+'Inputs'!$B$32,'Inputs'!$B$30+'Inputs'!$B$31+'Inputs'!$B$32)/1000+'Inputs'!$B$21))/SQRT((((963-43)*MAX('Inputs'!$B$33,'Inputs'!$B$29+'Inputs'!$B$31+'Inputs'!$B$32,'Inputs'!$B$30+'Inputs'!$B$31+'Inputs'!$B$32)/1000+'Inputs'!$B$21))^2+('Inputs'!$B$8/2)^2)))-'Results'!B7*(1+'Inputs'!$B$24)*(0.5*((((963-43)*MAX('Inputs'!$B$33,'Inputs'!$B$29+'Inputs'!$B$31+'Inputs'!$B$32,'Inputs'!$B$30+'Inputs'!$B$31+'Inputs'!$B$32)/1000+'Inputs'!$B$21+'Inputs'!$B$9+'Inputs'!$B$10)+'Inputs'!$B$7)/SQRT((((963-43)*MAX('Inputs'!$B$33,'Inputs'!$B$29+'Inputs'!$B$31+'Inputs'!$B$32,'Inputs'!$B$30+'Inputs'!$B$31+'Inputs'!$B$32)/1000+'Inputs'!$B$21+'Inputs'!$B$9+'Inputs'!$B$10)+'Inputs'!$B$7)^2+('Inputs'!$B$6/2)^2)-(((963-43)*MAX('Inputs'!$B$33,'Inputs'!$B$29+'Inputs'!$B$31+'Inputs'!$B$32,'Inputs'!$B$30+'Inputs'!$B$31+'Inputs'!$B$32)/1000+'Inputs'!$B$21+'Inputs'!$B$9+'Inputs'!$B$10))/SQRT((((963-43)*MAX('Inputs'!$B$33,'Inputs'!$B$29+'Inputs'!$B$31+'Inputs'!$B$32,'Inputs'!$B$30+'Inputs'!$B$31+'Inputs'!$B$32)/1000+'Inputs'!$B$21+'Inputs'!$B$9+'Inputs'!$B$10))^2+('Inputs'!$B$6/2)^2))))*'Results'!$B$8))),"")</x:f>
        <x:v>0.3571801121097424</x:v>
      </x:c>
      <x:c r="O963" t="n">
        <x:f>IF(AND(ISNUMBER('Results'!C7),ISNUMBER('Results'!B7),ISNUMBER('Results'!$B$8),ISNUMBER('Inputs'!$B$6),ISNUMBER('Inputs'!$B$7),ISNUMBER('Inputs'!$B$8),ISNUMBER('Inputs'!$B$9),ISNUMBER('Inputs'!$B$10),ISNUMBER('Inputs'!$B$21),ISNUMBER('Inputs'!$B$24),ISNUMBER('Inputs'!$B$28)),((('Results'!C7*(1+'Inputs'!$B$24)*(0.5*((((963-43)*MAX('Inputs'!$B$33,'Inputs'!$B$29+'Inputs'!$B$31+'Inputs'!$B$32,'Inputs'!$B$30+'Inputs'!$B$31+'Inputs'!$B$32)/1000+'Inputs'!$B$21)+'Inputs'!$B$9)/SQRT((((963-43)*MAX('Inputs'!$B$33,'Inputs'!$B$29+'Inputs'!$B$31+'Inputs'!$B$32,'Inputs'!$B$30+'Inputs'!$B$31+'Inputs'!$B$32)/1000+'Inputs'!$B$21)+'Inputs'!$B$9)^2+('Inputs'!$B$8/2)^2)-(((963-43)*MAX('Inputs'!$B$33,'Inputs'!$B$29+'Inputs'!$B$31+'Inputs'!$B$32,'Inputs'!$B$30+'Inputs'!$B$31+'Inputs'!$B$32)/1000+'Inputs'!$B$21))/SQRT((((963-43)*MAX('Inputs'!$B$33,'Inputs'!$B$29+'Inputs'!$B$31+'Inputs'!$B$32,'Inputs'!$B$30+'Inputs'!$B$31+'Inputs'!$B$32)/1000+'Inputs'!$B$21))^2+('Inputs'!$B$8/2)^2)))-'Results'!B7*(1-'Inputs'!$B$24)*(0.5*((((963-43)*MAX('Inputs'!$B$33,'Inputs'!$B$29+'Inputs'!$B$31+'Inputs'!$B$32,'Inputs'!$B$30+'Inputs'!$B$31+'Inputs'!$B$32)/1000+'Inputs'!$B$21+'Inputs'!$B$9+'Inputs'!$B$10)+'Inputs'!$B$7)/SQRT((((963-43)*MAX('Inputs'!$B$33,'Inputs'!$B$29+'Inputs'!$B$31+'Inputs'!$B$32,'Inputs'!$B$30+'Inputs'!$B$31+'Inputs'!$B$32)/1000+'Inputs'!$B$21+'Inputs'!$B$9+'Inputs'!$B$10)+'Inputs'!$B$7)^2+('Inputs'!$B$6/2)^2)-(((963-43)*MAX('Inputs'!$B$33,'Inputs'!$B$29+'Inputs'!$B$31+'Inputs'!$B$32,'Inputs'!$B$30+'Inputs'!$B$31+'Inputs'!$B$32)/1000+'Inputs'!$B$21+'Inputs'!$B$9+'Inputs'!$B$10))/SQRT((((963-43)*MAX('Inputs'!$B$33,'Inputs'!$B$29+'Inputs'!$B$31+'Inputs'!$B$32,'Inputs'!$B$30+'Inputs'!$B$31+'Inputs'!$B$32)/1000+'Inputs'!$B$21+'Inputs'!$B$9+'Inputs'!$B$10))^2+('Inputs'!$B$6/2)^2))))*'Results'!$B$8)+'Inputs'!$B$28*ABS((('Results'!C7*(1+'Inputs'!$B$24)*(0.5*((((963-43)*MAX('Inputs'!$B$33,'Inputs'!$B$29+'Inputs'!$B$31+'Inputs'!$B$32,'Inputs'!$B$30+'Inputs'!$B$31+'Inputs'!$B$32)/1000+'Inputs'!$B$21)+'Inputs'!$B$9)/SQRT((((963-43)*MAX('Inputs'!$B$33,'Inputs'!$B$29+'Inputs'!$B$31+'Inputs'!$B$32,'Inputs'!$B$30+'Inputs'!$B$31+'Inputs'!$B$32)/1000+'Inputs'!$B$21)+'Inputs'!$B$9)^2+('Inputs'!$B$8/2)^2)-(((963-43)*MAX('Inputs'!$B$33,'Inputs'!$B$29+'Inputs'!$B$31+'Inputs'!$B$32,'Inputs'!$B$30+'Inputs'!$B$31+'Inputs'!$B$32)/1000+'Inputs'!$B$21))/SQRT((((963-43)*MAX('Inputs'!$B$33,'Inputs'!$B$29+'Inputs'!$B$31+'Inputs'!$B$32,'Inputs'!$B$30+'Inputs'!$B$31+'Inputs'!$B$32)/1000+'Inputs'!$B$21))^2+('Inputs'!$B$8/2)^2)))-'Results'!B7*(1-'Inputs'!$B$24)*(0.5*((((963-43)*MAX('Inputs'!$B$33,'Inputs'!$B$29+'Inputs'!$B$31+'Inputs'!$B$32,'Inputs'!$B$30+'Inputs'!$B$31+'Inputs'!$B$32)/1000+'Inputs'!$B$21+'Inputs'!$B$9+'Inputs'!$B$10)+'Inputs'!$B$7)/SQRT((((963-43)*MAX('Inputs'!$B$33,'Inputs'!$B$29+'Inputs'!$B$31+'Inputs'!$B$32,'Inputs'!$B$30+'Inputs'!$B$31+'Inputs'!$B$32)/1000+'Inputs'!$B$21+'Inputs'!$B$9+'Inputs'!$B$10)+'Inputs'!$B$7)^2+('Inputs'!$B$6/2)^2)-(((963-43)*MAX('Inputs'!$B$33,'Inputs'!$B$29+'Inputs'!$B$31+'Inputs'!$B$32,'Inputs'!$B$30+'Inputs'!$B$31+'Inputs'!$B$32)/1000+'Inputs'!$B$21+'Inputs'!$B$9+'Inputs'!$B$10))/SQRT((((963-43)*MAX('Inputs'!$B$33,'Inputs'!$B$29+'Inputs'!$B$31+'Inputs'!$B$32,'Inputs'!$B$30+'Inputs'!$B$31+'Inputs'!$B$32)/1000+'Inputs'!$B$21+'Inputs'!$B$9+'Inputs'!$B$10))^2+('Inputs'!$B$6/2)^2))))*'Results'!$B$8))),"")</x:f>
        <x:v>0.5074034140687106</x:v>
      </x:c>
      <x:c r="P963" t="n">
        <x:f>IF(AND(MAX(J963,J962)&gt;0,J963&gt;J962+0.00000001),1,0)</x:f>
        <x:v>0</x:v>
      </x:c>
      <x:c r="Q963" t="n">
        <x:f>IF(AND(MAX(K963,K962)&gt;0,K963&gt;K962+0.00000001),1,0)</x:f>
        <x:v>0</x:v>
      </x:c>
      <x:c r="R963" t="n">
        <x:f>IF(AND(MAX(L963,L962)&gt;0,L963&gt;L962+0.00000001),1,0)</x:f>
        <x:v>0</x:v>
      </x:c>
      <x:c r="S963" t="n">
        <x:f>IF(AND(MAX(M963,M962)&gt;0,M963&gt;M962+0.00000001),1,0)</x:f>
        <x:v>0</x:v>
      </x:c>
      <x:c r="T963" t="n">
        <x:f>IF(AND(MAX(N963,N962)&gt;0,N963&gt;N962+0.00000001),1,0)</x:f>
        <x:v>0</x:v>
      </x:c>
      <x:c r="U963" t="n">
        <x:f>IF(AND(MAX(O963,O962)&gt;0,O963&gt;O962+0.00000001),1,0)</x:f>
        <x:v>0</x:v>
      </x:c>
    </x:row>
    <x:row r="964">
      <x:c r="J964" t="n">
        <x:f>IF(AND(ISNUMBER('Results'!B7),ISNUMBER('Results'!C7),ISNUMBER('Results'!$B$8),ISNUMBER('Inputs'!$B$6),ISNUMBER('Inputs'!$B$7),ISNUMBER('Inputs'!$B$8),ISNUMBER('Inputs'!$B$9),ISNUMBER('Inputs'!$B$10),ISNUMBER('Inputs'!$B$21),ISNUMBER('Inputs'!$B$24),ISNUMBER('Inputs'!$B$28)),(('Results'!B7*(0.5*((((964-43)*MAX('Inputs'!$B$33,'Inputs'!$B$29+'Inputs'!$B$31+'Inputs'!$B$32,'Inputs'!$B$30+'Inputs'!$B$31+'Inputs'!$B$32)/1000+'Inputs'!$B$21)+'Inputs'!$B$7)/SQRT((((964-43)*MAX('Inputs'!$B$33,'Inputs'!$B$29+'Inputs'!$B$31+'Inputs'!$B$32,'Inputs'!$B$30+'Inputs'!$B$31+'Inputs'!$B$32)/1000+'Inputs'!$B$21)+'Inputs'!$B$7)^2+('Inputs'!$B$6/2)^2)-(((964-43)*MAX('Inputs'!$B$33,'Inputs'!$B$29+'Inputs'!$B$31+'Inputs'!$B$32,'Inputs'!$B$30+'Inputs'!$B$31+'Inputs'!$B$32)/1000+'Inputs'!$B$21))/SQRT((((964-43)*MAX('Inputs'!$B$33,'Inputs'!$B$29+'Inputs'!$B$31+'Inputs'!$B$32,'Inputs'!$B$30+'Inputs'!$B$31+'Inputs'!$B$32)/1000+'Inputs'!$B$21))^2+('Inputs'!$B$6/2)^2)))-'Results'!C7*(0.5*((((964-43)*MAX('Inputs'!$B$33,'Inputs'!$B$29+'Inputs'!$B$31+'Inputs'!$B$32,'Inputs'!$B$30+'Inputs'!$B$31+'Inputs'!$B$32)/1000+'Inputs'!$B$21+'Inputs'!$B$7+'Inputs'!$B$10)+'Inputs'!$B$9)/SQRT((((964-43)*MAX('Inputs'!$B$33,'Inputs'!$B$29+'Inputs'!$B$31+'Inputs'!$B$32,'Inputs'!$B$30+'Inputs'!$B$31+'Inputs'!$B$32)/1000+'Inputs'!$B$21+'Inputs'!$B$7+'Inputs'!$B$10)+'Inputs'!$B$9)^2+('Inputs'!$B$8/2)^2)-(((964-43)*MAX('Inputs'!$B$33,'Inputs'!$B$29+'Inputs'!$B$31+'Inputs'!$B$32,'Inputs'!$B$30+'Inputs'!$B$31+'Inputs'!$B$32)/1000+'Inputs'!$B$21+'Inputs'!$B$7+'Inputs'!$B$10))/SQRT((((964-43)*MAX('Inputs'!$B$33,'Inputs'!$B$29+'Inputs'!$B$31+'Inputs'!$B$32,'Inputs'!$B$30+'Inputs'!$B$31+'Inputs'!$B$32)/1000+'Inputs'!$B$21+'Inputs'!$B$7+'Inputs'!$B$10))^2+('Inputs'!$B$8/2)^2))))*'Results'!$B$8),"")</x:f>
        <x:v>0.48197012483389945</x:v>
      </x:c>
      <x:c r="K964" t="n">
        <x:f>IF(AND(ISNUMBER('Results'!B7),ISNUMBER('Results'!C7),ISNUMBER('Results'!$B$8),ISNUMBER('Inputs'!$B$6),ISNUMBER('Inputs'!$B$7),ISNUMBER('Inputs'!$B$8),ISNUMBER('Inputs'!$B$9),ISNUMBER('Inputs'!$B$10),ISNUMBER('Inputs'!$B$21),ISNUMBER('Inputs'!$B$24),ISNUMBER('Inputs'!$B$28)),((('Results'!B7*(1-'Inputs'!$B$24)*(0.5*((((964-43)*MAX('Inputs'!$B$33,'Inputs'!$B$29+'Inputs'!$B$31+'Inputs'!$B$32,'Inputs'!$B$30+'Inputs'!$B$31+'Inputs'!$B$32)/1000+'Inputs'!$B$21)+'Inputs'!$B$7)/SQRT((((964-43)*MAX('Inputs'!$B$33,'Inputs'!$B$29+'Inputs'!$B$31+'Inputs'!$B$32,'Inputs'!$B$30+'Inputs'!$B$31+'Inputs'!$B$32)/1000+'Inputs'!$B$21)+'Inputs'!$B$7)^2+('Inputs'!$B$6/2)^2)-(((964-43)*MAX('Inputs'!$B$33,'Inputs'!$B$29+'Inputs'!$B$31+'Inputs'!$B$32,'Inputs'!$B$30+'Inputs'!$B$31+'Inputs'!$B$32)/1000+'Inputs'!$B$21))/SQRT((((964-43)*MAX('Inputs'!$B$33,'Inputs'!$B$29+'Inputs'!$B$31+'Inputs'!$B$32,'Inputs'!$B$30+'Inputs'!$B$31+'Inputs'!$B$32)/1000+'Inputs'!$B$21))^2+('Inputs'!$B$6/2)^2)))-'Results'!C7*(1+'Inputs'!$B$24)*(0.5*((((964-43)*MAX('Inputs'!$B$33,'Inputs'!$B$29+'Inputs'!$B$31+'Inputs'!$B$32,'Inputs'!$B$30+'Inputs'!$B$31+'Inputs'!$B$32)/1000+'Inputs'!$B$21+'Inputs'!$B$7+'Inputs'!$B$10)+'Inputs'!$B$9)/SQRT((((964-43)*MAX('Inputs'!$B$33,'Inputs'!$B$29+'Inputs'!$B$31+'Inputs'!$B$32,'Inputs'!$B$30+'Inputs'!$B$31+'Inputs'!$B$32)/1000+'Inputs'!$B$21+'Inputs'!$B$7+'Inputs'!$B$10)+'Inputs'!$B$9)^2+('Inputs'!$B$8/2)^2)-(((964-43)*MAX('Inputs'!$B$33,'Inputs'!$B$29+'Inputs'!$B$31+'Inputs'!$B$32,'Inputs'!$B$30+'Inputs'!$B$31+'Inputs'!$B$32)/1000+'Inputs'!$B$21+'Inputs'!$B$7+'Inputs'!$B$10))/SQRT((((964-43)*MAX('Inputs'!$B$33,'Inputs'!$B$29+'Inputs'!$B$31+'Inputs'!$B$32,'Inputs'!$B$30+'Inputs'!$B$31+'Inputs'!$B$32)/1000+'Inputs'!$B$21+'Inputs'!$B$7+'Inputs'!$B$10))^2+('Inputs'!$B$8/2)^2))))*'Results'!$B$8)-'Inputs'!$B$28*ABS((('Results'!B7*(1-'Inputs'!$B$24)*(0.5*((((964-43)*MAX('Inputs'!$B$33,'Inputs'!$B$29+'Inputs'!$B$31+'Inputs'!$B$32,'Inputs'!$B$30+'Inputs'!$B$31+'Inputs'!$B$32)/1000+'Inputs'!$B$21)+'Inputs'!$B$7)/SQRT((((964-43)*MAX('Inputs'!$B$33,'Inputs'!$B$29+'Inputs'!$B$31+'Inputs'!$B$32,'Inputs'!$B$30+'Inputs'!$B$31+'Inputs'!$B$32)/1000+'Inputs'!$B$21)+'Inputs'!$B$7)^2+('Inputs'!$B$6/2)^2)-(((964-43)*MAX('Inputs'!$B$33,'Inputs'!$B$29+'Inputs'!$B$31+'Inputs'!$B$32,'Inputs'!$B$30+'Inputs'!$B$31+'Inputs'!$B$32)/1000+'Inputs'!$B$21))/SQRT((((964-43)*MAX('Inputs'!$B$33,'Inputs'!$B$29+'Inputs'!$B$31+'Inputs'!$B$32,'Inputs'!$B$30+'Inputs'!$B$31+'Inputs'!$B$32)/1000+'Inputs'!$B$21))^2+('Inputs'!$B$6/2)^2)))-'Results'!C7*(1+'Inputs'!$B$24)*(0.5*((((964-43)*MAX('Inputs'!$B$33,'Inputs'!$B$29+'Inputs'!$B$31+'Inputs'!$B$32,'Inputs'!$B$30+'Inputs'!$B$31+'Inputs'!$B$32)/1000+'Inputs'!$B$21+'Inputs'!$B$7+'Inputs'!$B$10)+'Inputs'!$B$9)/SQRT((((964-43)*MAX('Inputs'!$B$33,'Inputs'!$B$29+'Inputs'!$B$31+'Inputs'!$B$32,'Inputs'!$B$30+'Inputs'!$B$31+'Inputs'!$B$32)/1000+'Inputs'!$B$21+'Inputs'!$B$7+'Inputs'!$B$10)+'Inputs'!$B$9)^2+('Inputs'!$B$8/2)^2)-(((964-43)*MAX('Inputs'!$B$33,'Inputs'!$B$29+'Inputs'!$B$31+'Inputs'!$B$32,'Inputs'!$B$30+'Inputs'!$B$31+'Inputs'!$B$32)/1000+'Inputs'!$B$21+'Inputs'!$B$7+'Inputs'!$B$10))/SQRT((((964-43)*MAX('Inputs'!$B$33,'Inputs'!$B$29+'Inputs'!$B$31+'Inputs'!$B$32,'Inputs'!$B$30+'Inputs'!$B$31+'Inputs'!$B$32)/1000+'Inputs'!$B$21+'Inputs'!$B$7+'Inputs'!$B$10))^2+('Inputs'!$B$8/2)^2))))*'Results'!$B$8))),"")</x:f>
        <x:v>0.4069013846897658</x:v>
      </x:c>
      <x:c r="L964" t="n">
        <x:f>IF(AND(ISNUMBER('Results'!B7),ISNUMBER('Results'!C7),ISNUMBER('Results'!$B$8),ISNUMBER('Inputs'!$B$6),ISNUMBER('Inputs'!$B$7),ISNUMBER('Inputs'!$B$8),ISNUMBER('Inputs'!$B$9),ISNUMBER('Inputs'!$B$10),ISNUMBER('Inputs'!$B$21),ISNUMBER('Inputs'!$B$24),ISNUMBER('Inputs'!$B$28)),((('Results'!B7*(1+'Inputs'!$B$24)*(0.5*((((964-43)*MAX('Inputs'!$B$33,'Inputs'!$B$29+'Inputs'!$B$31+'Inputs'!$B$32,'Inputs'!$B$30+'Inputs'!$B$31+'Inputs'!$B$32)/1000+'Inputs'!$B$21)+'Inputs'!$B$7)/SQRT((((964-43)*MAX('Inputs'!$B$33,'Inputs'!$B$29+'Inputs'!$B$31+'Inputs'!$B$32,'Inputs'!$B$30+'Inputs'!$B$31+'Inputs'!$B$32)/1000+'Inputs'!$B$21)+'Inputs'!$B$7)^2+('Inputs'!$B$6/2)^2)-(((964-43)*MAX('Inputs'!$B$33,'Inputs'!$B$29+'Inputs'!$B$31+'Inputs'!$B$32,'Inputs'!$B$30+'Inputs'!$B$31+'Inputs'!$B$32)/1000+'Inputs'!$B$21))/SQRT((((964-43)*MAX('Inputs'!$B$33,'Inputs'!$B$29+'Inputs'!$B$31+'Inputs'!$B$32,'Inputs'!$B$30+'Inputs'!$B$31+'Inputs'!$B$32)/1000+'Inputs'!$B$21))^2+('Inputs'!$B$6/2)^2)))-'Results'!C7*(1-'Inputs'!$B$24)*(0.5*((((964-43)*MAX('Inputs'!$B$33,'Inputs'!$B$29+'Inputs'!$B$31+'Inputs'!$B$32,'Inputs'!$B$30+'Inputs'!$B$31+'Inputs'!$B$32)/1000+'Inputs'!$B$21+'Inputs'!$B$7+'Inputs'!$B$10)+'Inputs'!$B$9)/SQRT((((964-43)*MAX('Inputs'!$B$33,'Inputs'!$B$29+'Inputs'!$B$31+'Inputs'!$B$32,'Inputs'!$B$30+'Inputs'!$B$31+'Inputs'!$B$32)/1000+'Inputs'!$B$21+'Inputs'!$B$7+'Inputs'!$B$10)+'Inputs'!$B$9)^2+('Inputs'!$B$8/2)^2)-(((964-43)*MAX('Inputs'!$B$33,'Inputs'!$B$29+'Inputs'!$B$31+'Inputs'!$B$32,'Inputs'!$B$30+'Inputs'!$B$31+'Inputs'!$B$32)/1000+'Inputs'!$B$21+'Inputs'!$B$7+'Inputs'!$B$10))/SQRT((((964-43)*MAX('Inputs'!$B$33,'Inputs'!$B$29+'Inputs'!$B$31+'Inputs'!$B$32,'Inputs'!$B$30+'Inputs'!$B$31+'Inputs'!$B$32)/1000+'Inputs'!$B$21+'Inputs'!$B$7+'Inputs'!$B$10))^2+('Inputs'!$B$8/2)^2))))*'Results'!$B$8)+'Inputs'!$B$28*ABS((('Results'!B7*(1+'Inputs'!$B$24)*(0.5*((((964-43)*MAX('Inputs'!$B$33,'Inputs'!$B$29+'Inputs'!$B$31+'Inputs'!$B$32,'Inputs'!$B$30+'Inputs'!$B$31+'Inputs'!$B$32)/1000+'Inputs'!$B$21)+'Inputs'!$B$7)/SQRT((((964-43)*MAX('Inputs'!$B$33,'Inputs'!$B$29+'Inputs'!$B$31+'Inputs'!$B$32,'Inputs'!$B$30+'Inputs'!$B$31+'Inputs'!$B$32)/1000+'Inputs'!$B$21)+'Inputs'!$B$7)^2+('Inputs'!$B$6/2)^2)-(((964-43)*MAX('Inputs'!$B$33,'Inputs'!$B$29+'Inputs'!$B$31+'Inputs'!$B$32,'Inputs'!$B$30+'Inputs'!$B$31+'Inputs'!$B$32)/1000+'Inputs'!$B$21))/SQRT((((964-43)*MAX('Inputs'!$B$33,'Inputs'!$B$29+'Inputs'!$B$31+'Inputs'!$B$32,'Inputs'!$B$30+'Inputs'!$B$31+'Inputs'!$B$32)/1000+'Inputs'!$B$21))^2+('Inputs'!$B$6/2)^2)))-'Results'!C7*(1-'Inputs'!$B$24)*(0.5*((((964-43)*MAX('Inputs'!$B$33,'Inputs'!$B$29+'Inputs'!$B$31+'Inputs'!$B$32,'Inputs'!$B$30+'Inputs'!$B$31+'Inputs'!$B$32)/1000+'Inputs'!$B$21+'Inputs'!$B$7+'Inputs'!$B$10)+'Inputs'!$B$9)/SQRT((((964-43)*MAX('Inputs'!$B$33,'Inputs'!$B$29+'Inputs'!$B$31+'Inputs'!$B$32,'Inputs'!$B$30+'Inputs'!$B$31+'Inputs'!$B$32)/1000+'Inputs'!$B$21+'Inputs'!$B$7+'Inputs'!$B$10)+'Inputs'!$B$9)^2+('Inputs'!$B$8/2)^2)-(((964-43)*MAX('Inputs'!$B$33,'Inputs'!$B$29+'Inputs'!$B$31+'Inputs'!$B$32,'Inputs'!$B$30+'Inputs'!$B$31+'Inputs'!$B$32)/1000+'Inputs'!$B$21+'Inputs'!$B$7+'Inputs'!$B$10))/SQRT((((964-43)*MAX('Inputs'!$B$33,'Inputs'!$B$29+'Inputs'!$B$31+'Inputs'!$B$32,'Inputs'!$B$30+'Inputs'!$B$31+'Inputs'!$B$32)/1000+'Inputs'!$B$21+'Inputs'!$B$7+'Inputs'!$B$10))^2+('Inputs'!$B$8/2)^2))))*'Results'!$B$8))),"")</x:f>
        <x:v>0.562404152757237</x:v>
      </x:c>
      <x:c r="M964" t="n">
        <x:f>IF(AND(ISNUMBER('Results'!C7),ISNUMBER('Results'!B7),ISNUMBER('Results'!$B$8),ISNUMBER('Inputs'!$B$6),ISNUMBER('Inputs'!$B$7),ISNUMBER('Inputs'!$B$8),ISNUMBER('Inputs'!$B$9),ISNUMBER('Inputs'!$B$10),ISNUMBER('Inputs'!$B$21),ISNUMBER('Inputs'!$B$24),ISNUMBER('Inputs'!$B$28)),(('Results'!C7*(0.5*((((964-43)*MAX('Inputs'!$B$33,'Inputs'!$B$29+'Inputs'!$B$31+'Inputs'!$B$32,'Inputs'!$B$30+'Inputs'!$B$31+'Inputs'!$B$32)/1000+'Inputs'!$B$21)+'Inputs'!$B$9)/SQRT((((964-43)*MAX('Inputs'!$B$33,'Inputs'!$B$29+'Inputs'!$B$31+'Inputs'!$B$32,'Inputs'!$B$30+'Inputs'!$B$31+'Inputs'!$B$32)/1000+'Inputs'!$B$21)+'Inputs'!$B$9)^2+('Inputs'!$B$8/2)^2)-(((964-43)*MAX('Inputs'!$B$33,'Inputs'!$B$29+'Inputs'!$B$31+'Inputs'!$B$32,'Inputs'!$B$30+'Inputs'!$B$31+'Inputs'!$B$32)/1000+'Inputs'!$B$21))/SQRT((((964-43)*MAX('Inputs'!$B$33,'Inputs'!$B$29+'Inputs'!$B$31+'Inputs'!$B$32,'Inputs'!$B$30+'Inputs'!$B$31+'Inputs'!$B$32)/1000+'Inputs'!$B$21))^2+('Inputs'!$B$8/2)^2)))-'Results'!B7*(0.5*((((964-43)*MAX('Inputs'!$B$33,'Inputs'!$B$29+'Inputs'!$B$31+'Inputs'!$B$32,'Inputs'!$B$30+'Inputs'!$B$31+'Inputs'!$B$32)/1000+'Inputs'!$B$21+'Inputs'!$B$9+'Inputs'!$B$10)+'Inputs'!$B$7)/SQRT((((964-43)*MAX('Inputs'!$B$33,'Inputs'!$B$29+'Inputs'!$B$31+'Inputs'!$B$32,'Inputs'!$B$30+'Inputs'!$B$31+'Inputs'!$B$32)/1000+'Inputs'!$B$21+'Inputs'!$B$9+'Inputs'!$B$10)+'Inputs'!$B$7)^2+('Inputs'!$B$6/2)^2)-(((964-43)*MAX('Inputs'!$B$33,'Inputs'!$B$29+'Inputs'!$B$31+'Inputs'!$B$32,'Inputs'!$B$30+'Inputs'!$B$31+'Inputs'!$B$32)/1000+'Inputs'!$B$21+'Inputs'!$B$9+'Inputs'!$B$10))/SQRT((((964-43)*MAX('Inputs'!$B$33,'Inputs'!$B$29+'Inputs'!$B$31+'Inputs'!$B$32,'Inputs'!$B$30+'Inputs'!$B$31+'Inputs'!$B$32)/1000+'Inputs'!$B$21+'Inputs'!$B$9+'Inputs'!$B$10))^2+('Inputs'!$B$6/2)^2))))*'Results'!$B$8),"")</x:f>
        <x:v>0.427868129947008</x:v>
      </x:c>
      <x:c r="N964" t="n">
        <x:f>IF(AND(ISNUMBER('Results'!C7),ISNUMBER('Results'!B7),ISNUMBER('Results'!$B$8),ISNUMBER('Inputs'!$B$6),ISNUMBER('Inputs'!$B$7),ISNUMBER('Inputs'!$B$8),ISNUMBER('Inputs'!$B$9),ISNUMBER('Inputs'!$B$10),ISNUMBER('Inputs'!$B$21),ISNUMBER('Inputs'!$B$24),ISNUMBER('Inputs'!$B$28)),((('Results'!C7*(1-'Inputs'!$B$24)*(0.5*((((964-43)*MAX('Inputs'!$B$33,'Inputs'!$B$29+'Inputs'!$B$31+'Inputs'!$B$32,'Inputs'!$B$30+'Inputs'!$B$31+'Inputs'!$B$32)/1000+'Inputs'!$B$21)+'Inputs'!$B$9)/SQRT((((964-43)*MAX('Inputs'!$B$33,'Inputs'!$B$29+'Inputs'!$B$31+'Inputs'!$B$32,'Inputs'!$B$30+'Inputs'!$B$31+'Inputs'!$B$32)/1000+'Inputs'!$B$21)+'Inputs'!$B$9)^2+('Inputs'!$B$8/2)^2)-(((964-43)*MAX('Inputs'!$B$33,'Inputs'!$B$29+'Inputs'!$B$31+'Inputs'!$B$32,'Inputs'!$B$30+'Inputs'!$B$31+'Inputs'!$B$32)/1000+'Inputs'!$B$21))/SQRT((((964-43)*MAX('Inputs'!$B$33,'Inputs'!$B$29+'Inputs'!$B$31+'Inputs'!$B$32,'Inputs'!$B$30+'Inputs'!$B$31+'Inputs'!$B$32)/1000+'Inputs'!$B$21))^2+('Inputs'!$B$8/2)^2)))-'Results'!B7*(1+'Inputs'!$B$24)*(0.5*((((964-43)*MAX('Inputs'!$B$33,'Inputs'!$B$29+'Inputs'!$B$31+'Inputs'!$B$32,'Inputs'!$B$30+'Inputs'!$B$31+'Inputs'!$B$32)/1000+'Inputs'!$B$21+'Inputs'!$B$9+'Inputs'!$B$10)+'Inputs'!$B$7)/SQRT((((964-43)*MAX('Inputs'!$B$33,'Inputs'!$B$29+'Inputs'!$B$31+'Inputs'!$B$32,'Inputs'!$B$30+'Inputs'!$B$31+'Inputs'!$B$32)/1000+'Inputs'!$B$21+'Inputs'!$B$9+'Inputs'!$B$10)+'Inputs'!$B$7)^2+('Inputs'!$B$6/2)^2)-(((964-43)*MAX('Inputs'!$B$33,'Inputs'!$B$29+'Inputs'!$B$31+'Inputs'!$B$32,'Inputs'!$B$30+'Inputs'!$B$31+'Inputs'!$B$32)/1000+'Inputs'!$B$21+'Inputs'!$B$9+'Inputs'!$B$10))/SQRT((((964-43)*MAX('Inputs'!$B$33,'Inputs'!$B$29+'Inputs'!$B$31+'Inputs'!$B$32,'Inputs'!$B$30+'Inputs'!$B$31+'Inputs'!$B$32)/1000+'Inputs'!$B$21+'Inputs'!$B$9+'Inputs'!$B$10))^2+('Inputs'!$B$6/2)^2))))*'Results'!$B$8)-'Inputs'!$B$28*ABS((('Results'!C7*(1-'Inputs'!$B$24)*(0.5*((((964-43)*MAX('Inputs'!$B$33,'Inputs'!$B$29+'Inputs'!$B$31+'Inputs'!$B$32,'Inputs'!$B$30+'Inputs'!$B$31+'Inputs'!$B$32)/1000+'Inputs'!$B$21)+'Inputs'!$B$9)/SQRT((((964-43)*MAX('Inputs'!$B$33,'Inputs'!$B$29+'Inputs'!$B$31+'Inputs'!$B$32,'Inputs'!$B$30+'Inputs'!$B$31+'Inputs'!$B$32)/1000+'Inputs'!$B$21)+'Inputs'!$B$9)^2+('Inputs'!$B$8/2)^2)-(((964-43)*MAX('Inputs'!$B$33,'Inputs'!$B$29+'Inputs'!$B$31+'Inputs'!$B$32,'Inputs'!$B$30+'Inputs'!$B$31+'Inputs'!$B$32)/1000+'Inputs'!$B$21))/SQRT((((964-43)*MAX('Inputs'!$B$33,'Inputs'!$B$29+'Inputs'!$B$31+'Inputs'!$B$32,'Inputs'!$B$30+'Inputs'!$B$31+'Inputs'!$B$32)/1000+'Inputs'!$B$21))^2+('Inputs'!$B$8/2)^2)))-'Results'!B7*(1+'Inputs'!$B$24)*(0.5*((((964-43)*MAX('Inputs'!$B$33,'Inputs'!$B$29+'Inputs'!$B$31+'Inputs'!$B$32,'Inputs'!$B$30+'Inputs'!$B$31+'Inputs'!$B$32)/1000+'Inputs'!$B$21+'Inputs'!$B$9+'Inputs'!$B$10)+'Inputs'!$B$7)/SQRT((((964-43)*MAX('Inputs'!$B$33,'Inputs'!$B$29+'Inputs'!$B$31+'Inputs'!$B$32,'Inputs'!$B$30+'Inputs'!$B$31+'Inputs'!$B$32)/1000+'Inputs'!$B$21+'Inputs'!$B$9+'Inputs'!$B$10)+'Inputs'!$B$7)^2+('Inputs'!$B$6/2)^2)-(((964-43)*MAX('Inputs'!$B$33,'Inputs'!$B$29+'Inputs'!$B$31+'Inputs'!$B$32,'Inputs'!$B$30+'Inputs'!$B$31+'Inputs'!$B$32)/1000+'Inputs'!$B$21+'Inputs'!$B$9+'Inputs'!$B$10))/SQRT((((964-43)*MAX('Inputs'!$B$33,'Inputs'!$B$29+'Inputs'!$B$31+'Inputs'!$B$32,'Inputs'!$B$30+'Inputs'!$B$31+'Inputs'!$B$32)/1000+'Inputs'!$B$21+'Inputs'!$B$9+'Inputs'!$B$10))^2+('Inputs'!$B$6/2)^2))))*'Results'!$B$8))),"")</x:f>
        <x:v>0.35567910496985367</x:v>
      </x:c>
      <x:c r="O964" t="n">
        <x:f>IF(AND(ISNUMBER('Results'!C7),ISNUMBER('Results'!B7),ISNUMBER('Results'!$B$8),ISNUMBER('Inputs'!$B$6),ISNUMBER('Inputs'!$B$7),ISNUMBER('Inputs'!$B$8),ISNUMBER('Inputs'!$B$9),ISNUMBER('Inputs'!$B$10),ISNUMBER('Inputs'!$B$21),ISNUMBER('Inputs'!$B$24),ISNUMBER('Inputs'!$B$28)),((('Results'!C7*(1+'Inputs'!$B$24)*(0.5*((((964-43)*MAX('Inputs'!$B$33,'Inputs'!$B$29+'Inputs'!$B$31+'Inputs'!$B$32,'Inputs'!$B$30+'Inputs'!$B$31+'Inputs'!$B$32)/1000+'Inputs'!$B$21)+'Inputs'!$B$9)/SQRT((((964-43)*MAX('Inputs'!$B$33,'Inputs'!$B$29+'Inputs'!$B$31+'Inputs'!$B$32,'Inputs'!$B$30+'Inputs'!$B$31+'Inputs'!$B$32)/1000+'Inputs'!$B$21)+'Inputs'!$B$9)^2+('Inputs'!$B$8/2)^2)-(((964-43)*MAX('Inputs'!$B$33,'Inputs'!$B$29+'Inputs'!$B$31+'Inputs'!$B$32,'Inputs'!$B$30+'Inputs'!$B$31+'Inputs'!$B$32)/1000+'Inputs'!$B$21))/SQRT((((964-43)*MAX('Inputs'!$B$33,'Inputs'!$B$29+'Inputs'!$B$31+'Inputs'!$B$32,'Inputs'!$B$30+'Inputs'!$B$31+'Inputs'!$B$32)/1000+'Inputs'!$B$21))^2+('Inputs'!$B$8/2)^2)))-'Results'!B7*(1-'Inputs'!$B$24)*(0.5*((((964-43)*MAX('Inputs'!$B$33,'Inputs'!$B$29+'Inputs'!$B$31+'Inputs'!$B$32,'Inputs'!$B$30+'Inputs'!$B$31+'Inputs'!$B$32)/1000+'Inputs'!$B$21+'Inputs'!$B$9+'Inputs'!$B$10)+'Inputs'!$B$7)/SQRT((((964-43)*MAX('Inputs'!$B$33,'Inputs'!$B$29+'Inputs'!$B$31+'Inputs'!$B$32,'Inputs'!$B$30+'Inputs'!$B$31+'Inputs'!$B$32)/1000+'Inputs'!$B$21+'Inputs'!$B$9+'Inputs'!$B$10)+'Inputs'!$B$7)^2+('Inputs'!$B$6/2)^2)-(((964-43)*MAX('Inputs'!$B$33,'Inputs'!$B$29+'Inputs'!$B$31+'Inputs'!$B$32,'Inputs'!$B$30+'Inputs'!$B$31+'Inputs'!$B$32)/1000+'Inputs'!$B$21+'Inputs'!$B$9+'Inputs'!$B$10))/SQRT((((964-43)*MAX('Inputs'!$B$33,'Inputs'!$B$29+'Inputs'!$B$31+'Inputs'!$B$32,'Inputs'!$B$30+'Inputs'!$B$31+'Inputs'!$B$32)/1000+'Inputs'!$B$21+'Inputs'!$B$9+'Inputs'!$B$10))^2+('Inputs'!$B$6/2)^2))))*'Results'!$B$8)+'Inputs'!$B$28*ABS((('Results'!C7*(1+'Inputs'!$B$24)*(0.5*((((964-43)*MAX('Inputs'!$B$33,'Inputs'!$B$29+'Inputs'!$B$31+'Inputs'!$B$32,'Inputs'!$B$30+'Inputs'!$B$31+'Inputs'!$B$32)/1000+'Inputs'!$B$21)+'Inputs'!$B$9)/SQRT((((964-43)*MAX('Inputs'!$B$33,'Inputs'!$B$29+'Inputs'!$B$31+'Inputs'!$B$32,'Inputs'!$B$30+'Inputs'!$B$31+'Inputs'!$B$32)/1000+'Inputs'!$B$21)+'Inputs'!$B$9)^2+('Inputs'!$B$8/2)^2)-(((964-43)*MAX('Inputs'!$B$33,'Inputs'!$B$29+'Inputs'!$B$31+'Inputs'!$B$32,'Inputs'!$B$30+'Inputs'!$B$31+'Inputs'!$B$32)/1000+'Inputs'!$B$21))/SQRT((((964-43)*MAX('Inputs'!$B$33,'Inputs'!$B$29+'Inputs'!$B$31+'Inputs'!$B$32,'Inputs'!$B$30+'Inputs'!$B$31+'Inputs'!$B$32)/1000+'Inputs'!$B$21))^2+('Inputs'!$B$8/2)^2)))-'Results'!B7*(1-'Inputs'!$B$24)*(0.5*((((964-43)*MAX('Inputs'!$B$33,'Inputs'!$B$29+'Inputs'!$B$31+'Inputs'!$B$32,'Inputs'!$B$30+'Inputs'!$B$31+'Inputs'!$B$32)/1000+'Inputs'!$B$21+'Inputs'!$B$9+'Inputs'!$B$10)+'Inputs'!$B$7)/SQRT((((964-43)*MAX('Inputs'!$B$33,'Inputs'!$B$29+'Inputs'!$B$31+'Inputs'!$B$32,'Inputs'!$B$30+'Inputs'!$B$31+'Inputs'!$B$32)/1000+'Inputs'!$B$21+'Inputs'!$B$9+'Inputs'!$B$10)+'Inputs'!$B$7)^2+('Inputs'!$B$6/2)^2)-(((964-43)*MAX('Inputs'!$B$33,'Inputs'!$B$29+'Inputs'!$B$31+'Inputs'!$B$32,'Inputs'!$B$30+'Inputs'!$B$31+'Inputs'!$B$32)/1000+'Inputs'!$B$21+'Inputs'!$B$9+'Inputs'!$B$10))/SQRT((((964-43)*MAX('Inputs'!$B$33,'Inputs'!$B$29+'Inputs'!$B$31+'Inputs'!$B$32,'Inputs'!$B$30+'Inputs'!$B$31+'Inputs'!$B$32)/1000+'Inputs'!$B$21+'Inputs'!$B$9+'Inputs'!$B$10))^2+('Inputs'!$B$6/2)^2))))*'Results'!$B$8))),"")</x:f>
        <x:v>0.505404062132563</x:v>
      </x:c>
      <x:c r="P964" t="n">
        <x:f>IF(AND(MAX(J964,J963)&gt;0,J964&gt;J963+0.00000001),1,0)</x:f>
        <x:v>0</x:v>
      </x:c>
      <x:c r="Q964" t="n">
        <x:f>IF(AND(MAX(K964,K963)&gt;0,K964&gt;K963+0.00000001),1,0)</x:f>
        <x:v>0</x:v>
      </x:c>
      <x:c r="R964" t="n">
        <x:f>IF(AND(MAX(L964,L963)&gt;0,L964&gt;L963+0.00000001),1,0)</x:f>
        <x:v>0</x:v>
      </x:c>
      <x:c r="S964" t="n">
        <x:f>IF(AND(MAX(M964,M963)&gt;0,M964&gt;M963+0.00000001),1,0)</x:f>
        <x:v>0</x:v>
      </x:c>
      <x:c r="T964" t="n">
        <x:f>IF(AND(MAX(N964,N963)&gt;0,N964&gt;N963+0.00000001),1,0)</x:f>
        <x:v>0</x:v>
      </x:c>
      <x:c r="U964" t="n">
        <x:f>IF(AND(MAX(O964,O963)&gt;0,O964&gt;O963+0.00000001),1,0)</x:f>
        <x:v>0</x:v>
      </x:c>
    </x:row>
    <x:row r="965">
      <x:c r="J965" t="n">
        <x:f>IF(AND(ISNUMBER('Results'!B7),ISNUMBER('Results'!C7),ISNUMBER('Results'!$B$8),ISNUMBER('Inputs'!$B$6),ISNUMBER('Inputs'!$B$7),ISNUMBER('Inputs'!$B$8),ISNUMBER('Inputs'!$B$9),ISNUMBER('Inputs'!$B$10),ISNUMBER('Inputs'!$B$21),ISNUMBER('Inputs'!$B$24),ISNUMBER('Inputs'!$B$28)),(('Results'!B7*(0.5*((((965-43)*MAX('Inputs'!$B$33,'Inputs'!$B$29+'Inputs'!$B$31+'Inputs'!$B$32,'Inputs'!$B$30+'Inputs'!$B$31+'Inputs'!$B$32)/1000+'Inputs'!$B$21)+'Inputs'!$B$7)/SQRT((((965-43)*MAX('Inputs'!$B$33,'Inputs'!$B$29+'Inputs'!$B$31+'Inputs'!$B$32,'Inputs'!$B$30+'Inputs'!$B$31+'Inputs'!$B$32)/1000+'Inputs'!$B$21)+'Inputs'!$B$7)^2+('Inputs'!$B$6/2)^2)-(((965-43)*MAX('Inputs'!$B$33,'Inputs'!$B$29+'Inputs'!$B$31+'Inputs'!$B$32,'Inputs'!$B$30+'Inputs'!$B$31+'Inputs'!$B$32)/1000+'Inputs'!$B$21))/SQRT((((965-43)*MAX('Inputs'!$B$33,'Inputs'!$B$29+'Inputs'!$B$31+'Inputs'!$B$32,'Inputs'!$B$30+'Inputs'!$B$31+'Inputs'!$B$32)/1000+'Inputs'!$B$21))^2+('Inputs'!$B$6/2)^2)))-'Results'!C7*(0.5*((((965-43)*MAX('Inputs'!$B$33,'Inputs'!$B$29+'Inputs'!$B$31+'Inputs'!$B$32,'Inputs'!$B$30+'Inputs'!$B$31+'Inputs'!$B$32)/1000+'Inputs'!$B$21+'Inputs'!$B$7+'Inputs'!$B$10)+'Inputs'!$B$9)/SQRT((((965-43)*MAX('Inputs'!$B$33,'Inputs'!$B$29+'Inputs'!$B$31+'Inputs'!$B$32,'Inputs'!$B$30+'Inputs'!$B$31+'Inputs'!$B$32)/1000+'Inputs'!$B$21+'Inputs'!$B$7+'Inputs'!$B$10)+'Inputs'!$B$9)^2+('Inputs'!$B$8/2)^2)-(((965-43)*MAX('Inputs'!$B$33,'Inputs'!$B$29+'Inputs'!$B$31+'Inputs'!$B$32,'Inputs'!$B$30+'Inputs'!$B$31+'Inputs'!$B$32)/1000+'Inputs'!$B$21+'Inputs'!$B$7+'Inputs'!$B$10))/SQRT((((965-43)*MAX('Inputs'!$B$33,'Inputs'!$B$29+'Inputs'!$B$31+'Inputs'!$B$32,'Inputs'!$B$30+'Inputs'!$B$31+'Inputs'!$B$32)/1000+'Inputs'!$B$21+'Inputs'!$B$7+'Inputs'!$B$10))^2+('Inputs'!$B$8/2)^2))))*'Results'!$B$8),"")</x:f>
        <x:v>0.4800733950891699</x:v>
      </x:c>
      <x:c r="K965" t="n">
        <x:f>IF(AND(ISNUMBER('Results'!B7),ISNUMBER('Results'!C7),ISNUMBER('Results'!$B$8),ISNUMBER('Inputs'!$B$6),ISNUMBER('Inputs'!$B$7),ISNUMBER('Inputs'!$B$8),ISNUMBER('Inputs'!$B$9),ISNUMBER('Inputs'!$B$10),ISNUMBER('Inputs'!$B$21),ISNUMBER('Inputs'!$B$24),ISNUMBER('Inputs'!$B$28)),((('Results'!B7*(1-'Inputs'!$B$24)*(0.5*((((965-43)*MAX('Inputs'!$B$33,'Inputs'!$B$29+'Inputs'!$B$31+'Inputs'!$B$32,'Inputs'!$B$30+'Inputs'!$B$31+'Inputs'!$B$32)/1000+'Inputs'!$B$21)+'Inputs'!$B$7)/SQRT((((965-43)*MAX('Inputs'!$B$33,'Inputs'!$B$29+'Inputs'!$B$31+'Inputs'!$B$32,'Inputs'!$B$30+'Inputs'!$B$31+'Inputs'!$B$32)/1000+'Inputs'!$B$21)+'Inputs'!$B$7)^2+('Inputs'!$B$6/2)^2)-(((965-43)*MAX('Inputs'!$B$33,'Inputs'!$B$29+'Inputs'!$B$31+'Inputs'!$B$32,'Inputs'!$B$30+'Inputs'!$B$31+'Inputs'!$B$32)/1000+'Inputs'!$B$21))/SQRT((((965-43)*MAX('Inputs'!$B$33,'Inputs'!$B$29+'Inputs'!$B$31+'Inputs'!$B$32,'Inputs'!$B$30+'Inputs'!$B$31+'Inputs'!$B$32)/1000+'Inputs'!$B$21))^2+('Inputs'!$B$6/2)^2)))-'Results'!C7*(1+'Inputs'!$B$24)*(0.5*((((965-43)*MAX('Inputs'!$B$33,'Inputs'!$B$29+'Inputs'!$B$31+'Inputs'!$B$32,'Inputs'!$B$30+'Inputs'!$B$31+'Inputs'!$B$32)/1000+'Inputs'!$B$21+'Inputs'!$B$7+'Inputs'!$B$10)+'Inputs'!$B$9)/SQRT((((965-43)*MAX('Inputs'!$B$33,'Inputs'!$B$29+'Inputs'!$B$31+'Inputs'!$B$32,'Inputs'!$B$30+'Inputs'!$B$31+'Inputs'!$B$32)/1000+'Inputs'!$B$21+'Inputs'!$B$7+'Inputs'!$B$10)+'Inputs'!$B$9)^2+('Inputs'!$B$8/2)^2)-(((965-43)*MAX('Inputs'!$B$33,'Inputs'!$B$29+'Inputs'!$B$31+'Inputs'!$B$32,'Inputs'!$B$30+'Inputs'!$B$31+'Inputs'!$B$32)/1000+'Inputs'!$B$21+'Inputs'!$B$7+'Inputs'!$B$10))/SQRT((((965-43)*MAX('Inputs'!$B$33,'Inputs'!$B$29+'Inputs'!$B$31+'Inputs'!$B$32,'Inputs'!$B$30+'Inputs'!$B$31+'Inputs'!$B$32)/1000+'Inputs'!$B$21+'Inputs'!$B$7+'Inputs'!$B$10))^2+('Inputs'!$B$8/2)^2))))*'Results'!$B$8)-'Inputs'!$B$28*ABS((('Results'!B7*(1-'Inputs'!$B$24)*(0.5*((((965-43)*MAX('Inputs'!$B$33,'Inputs'!$B$29+'Inputs'!$B$31+'Inputs'!$B$32,'Inputs'!$B$30+'Inputs'!$B$31+'Inputs'!$B$32)/1000+'Inputs'!$B$21)+'Inputs'!$B$7)/SQRT((((965-43)*MAX('Inputs'!$B$33,'Inputs'!$B$29+'Inputs'!$B$31+'Inputs'!$B$32,'Inputs'!$B$30+'Inputs'!$B$31+'Inputs'!$B$32)/1000+'Inputs'!$B$21)+'Inputs'!$B$7)^2+('Inputs'!$B$6/2)^2)-(((965-43)*MAX('Inputs'!$B$33,'Inputs'!$B$29+'Inputs'!$B$31+'Inputs'!$B$32,'Inputs'!$B$30+'Inputs'!$B$31+'Inputs'!$B$32)/1000+'Inputs'!$B$21))/SQRT((((965-43)*MAX('Inputs'!$B$33,'Inputs'!$B$29+'Inputs'!$B$31+'Inputs'!$B$32,'Inputs'!$B$30+'Inputs'!$B$31+'Inputs'!$B$32)/1000+'Inputs'!$B$21))^2+('Inputs'!$B$6/2)^2)))-'Results'!C7*(1+'Inputs'!$B$24)*(0.5*((((965-43)*MAX('Inputs'!$B$33,'Inputs'!$B$29+'Inputs'!$B$31+'Inputs'!$B$32,'Inputs'!$B$30+'Inputs'!$B$31+'Inputs'!$B$32)/1000+'Inputs'!$B$21+'Inputs'!$B$7+'Inputs'!$B$10)+'Inputs'!$B$9)/SQRT((((965-43)*MAX('Inputs'!$B$33,'Inputs'!$B$29+'Inputs'!$B$31+'Inputs'!$B$32,'Inputs'!$B$30+'Inputs'!$B$31+'Inputs'!$B$32)/1000+'Inputs'!$B$21+'Inputs'!$B$7+'Inputs'!$B$10)+'Inputs'!$B$9)^2+('Inputs'!$B$8/2)^2)-(((965-43)*MAX('Inputs'!$B$33,'Inputs'!$B$29+'Inputs'!$B$31+'Inputs'!$B$32,'Inputs'!$B$30+'Inputs'!$B$31+'Inputs'!$B$32)/1000+'Inputs'!$B$21+'Inputs'!$B$7+'Inputs'!$B$10))/SQRT((((965-43)*MAX('Inputs'!$B$33,'Inputs'!$B$29+'Inputs'!$B$31+'Inputs'!$B$32,'Inputs'!$B$30+'Inputs'!$B$31+'Inputs'!$B$32)/1000+'Inputs'!$B$21+'Inputs'!$B$7+'Inputs'!$B$10))^2+('Inputs'!$B$8/2)^2))))*'Results'!$B$8))),"")</x:f>
        <x:v>0.4052535325696767</x:v>
      </x:c>
      <x:c r="L965" t="n">
        <x:f>IF(AND(ISNUMBER('Results'!B7),ISNUMBER('Results'!C7),ISNUMBER('Results'!$B$8),ISNUMBER('Inputs'!$B$6),ISNUMBER('Inputs'!$B$7),ISNUMBER('Inputs'!$B$8),ISNUMBER('Inputs'!$B$9),ISNUMBER('Inputs'!$B$10),ISNUMBER('Inputs'!$B$21),ISNUMBER('Inputs'!$B$24),ISNUMBER('Inputs'!$B$28)),((('Results'!B7*(1+'Inputs'!$B$24)*(0.5*((((965-43)*MAX('Inputs'!$B$33,'Inputs'!$B$29+'Inputs'!$B$31+'Inputs'!$B$32,'Inputs'!$B$30+'Inputs'!$B$31+'Inputs'!$B$32)/1000+'Inputs'!$B$21)+'Inputs'!$B$7)/SQRT((((965-43)*MAX('Inputs'!$B$33,'Inputs'!$B$29+'Inputs'!$B$31+'Inputs'!$B$32,'Inputs'!$B$30+'Inputs'!$B$31+'Inputs'!$B$32)/1000+'Inputs'!$B$21)+'Inputs'!$B$7)^2+('Inputs'!$B$6/2)^2)-(((965-43)*MAX('Inputs'!$B$33,'Inputs'!$B$29+'Inputs'!$B$31+'Inputs'!$B$32,'Inputs'!$B$30+'Inputs'!$B$31+'Inputs'!$B$32)/1000+'Inputs'!$B$21))/SQRT((((965-43)*MAX('Inputs'!$B$33,'Inputs'!$B$29+'Inputs'!$B$31+'Inputs'!$B$32,'Inputs'!$B$30+'Inputs'!$B$31+'Inputs'!$B$32)/1000+'Inputs'!$B$21))^2+('Inputs'!$B$6/2)^2)))-'Results'!C7*(1-'Inputs'!$B$24)*(0.5*((((965-43)*MAX('Inputs'!$B$33,'Inputs'!$B$29+'Inputs'!$B$31+'Inputs'!$B$32,'Inputs'!$B$30+'Inputs'!$B$31+'Inputs'!$B$32)/1000+'Inputs'!$B$21+'Inputs'!$B$7+'Inputs'!$B$10)+'Inputs'!$B$9)/SQRT((((965-43)*MAX('Inputs'!$B$33,'Inputs'!$B$29+'Inputs'!$B$31+'Inputs'!$B$32,'Inputs'!$B$30+'Inputs'!$B$31+'Inputs'!$B$32)/1000+'Inputs'!$B$21+'Inputs'!$B$7+'Inputs'!$B$10)+'Inputs'!$B$9)^2+('Inputs'!$B$8/2)^2)-(((965-43)*MAX('Inputs'!$B$33,'Inputs'!$B$29+'Inputs'!$B$31+'Inputs'!$B$32,'Inputs'!$B$30+'Inputs'!$B$31+'Inputs'!$B$32)/1000+'Inputs'!$B$21+'Inputs'!$B$7+'Inputs'!$B$10))/SQRT((((965-43)*MAX('Inputs'!$B$33,'Inputs'!$B$29+'Inputs'!$B$31+'Inputs'!$B$32,'Inputs'!$B$30+'Inputs'!$B$31+'Inputs'!$B$32)/1000+'Inputs'!$B$21+'Inputs'!$B$7+'Inputs'!$B$10))^2+('Inputs'!$B$8/2)^2))))*'Results'!$B$8)+'Inputs'!$B$28*ABS((('Results'!B7*(1+'Inputs'!$B$24)*(0.5*((((965-43)*MAX('Inputs'!$B$33,'Inputs'!$B$29+'Inputs'!$B$31+'Inputs'!$B$32,'Inputs'!$B$30+'Inputs'!$B$31+'Inputs'!$B$32)/1000+'Inputs'!$B$21)+'Inputs'!$B$7)/SQRT((((965-43)*MAX('Inputs'!$B$33,'Inputs'!$B$29+'Inputs'!$B$31+'Inputs'!$B$32,'Inputs'!$B$30+'Inputs'!$B$31+'Inputs'!$B$32)/1000+'Inputs'!$B$21)+'Inputs'!$B$7)^2+('Inputs'!$B$6/2)^2)-(((965-43)*MAX('Inputs'!$B$33,'Inputs'!$B$29+'Inputs'!$B$31+'Inputs'!$B$32,'Inputs'!$B$30+'Inputs'!$B$31+'Inputs'!$B$32)/1000+'Inputs'!$B$21))/SQRT((((965-43)*MAX('Inputs'!$B$33,'Inputs'!$B$29+'Inputs'!$B$31+'Inputs'!$B$32,'Inputs'!$B$30+'Inputs'!$B$31+'Inputs'!$B$32)/1000+'Inputs'!$B$21))^2+('Inputs'!$B$6/2)^2)))-'Results'!C7*(1-'Inputs'!$B$24)*(0.5*((((965-43)*MAX('Inputs'!$B$33,'Inputs'!$B$29+'Inputs'!$B$31+'Inputs'!$B$32,'Inputs'!$B$30+'Inputs'!$B$31+'Inputs'!$B$32)/1000+'Inputs'!$B$21+'Inputs'!$B$7+'Inputs'!$B$10)+'Inputs'!$B$9)/SQRT((((965-43)*MAX('Inputs'!$B$33,'Inputs'!$B$29+'Inputs'!$B$31+'Inputs'!$B$32,'Inputs'!$B$30+'Inputs'!$B$31+'Inputs'!$B$32)/1000+'Inputs'!$B$21+'Inputs'!$B$7+'Inputs'!$B$10)+'Inputs'!$B$9)^2+('Inputs'!$B$8/2)^2)-(((965-43)*MAX('Inputs'!$B$33,'Inputs'!$B$29+'Inputs'!$B$31+'Inputs'!$B$32,'Inputs'!$B$30+'Inputs'!$B$31+'Inputs'!$B$32)/1000+'Inputs'!$B$21+'Inputs'!$B$7+'Inputs'!$B$10))/SQRT((((965-43)*MAX('Inputs'!$B$33,'Inputs'!$B$29+'Inputs'!$B$31+'Inputs'!$B$32,'Inputs'!$B$30+'Inputs'!$B$31+'Inputs'!$B$32)/1000+'Inputs'!$B$21+'Inputs'!$B$7+'Inputs'!$B$10))^2+('Inputs'!$B$8/2)^2))))*'Results'!$B$8))),"")</x:f>
        <x:v>0.5602423305312985</x:v>
      </x:c>
      <x:c r="M965" t="n">
        <x:f>IF(AND(ISNUMBER('Results'!C7),ISNUMBER('Results'!B7),ISNUMBER('Results'!$B$8),ISNUMBER('Inputs'!$B$6),ISNUMBER('Inputs'!$B$7),ISNUMBER('Inputs'!$B$8),ISNUMBER('Inputs'!$B$9),ISNUMBER('Inputs'!$B$10),ISNUMBER('Inputs'!$B$21),ISNUMBER('Inputs'!$B$24),ISNUMBER('Inputs'!$B$28)),(('Results'!C7*(0.5*((((965-43)*MAX('Inputs'!$B$33,'Inputs'!$B$29+'Inputs'!$B$31+'Inputs'!$B$32,'Inputs'!$B$30+'Inputs'!$B$31+'Inputs'!$B$32)/1000+'Inputs'!$B$21)+'Inputs'!$B$9)/SQRT((((965-43)*MAX('Inputs'!$B$33,'Inputs'!$B$29+'Inputs'!$B$31+'Inputs'!$B$32,'Inputs'!$B$30+'Inputs'!$B$31+'Inputs'!$B$32)/1000+'Inputs'!$B$21)+'Inputs'!$B$9)^2+('Inputs'!$B$8/2)^2)-(((965-43)*MAX('Inputs'!$B$33,'Inputs'!$B$29+'Inputs'!$B$31+'Inputs'!$B$32,'Inputs'!$B$30+'Inputs'!$B$31+'Inputs'!$B$32)/1000+'Inputs'!$B$21))/SQRT((((965-43)*MAX('Inputs'!$B$33,'Inputs'!$B$29+'Inputs'!$B$31+'Inputs'!$B$32,'Inputs'!$B$30+'Inputs'!$B$31+'Inputs'!$B$32)/1000+'Inputs'!$B$21))^2+('Inputs'!$B$8/2)^2)))-'Results'!B7*(0.5*((((965-43)*MAX('Inputs'!$B$33,'Inputs'!$B$29+'Inputs'!$B$31+'Inputs'!$B$32,'Inputs'!$B$30+'Inputs'!$B$31+'Inputs'!$B$32)/1000+'Inputs'!$B$21+'Inputs'!$B$9+'Inputs'!$B$10)+'Inputs'!$B$7)/SQRT((((965-43)*MAX('Inputs'!$B$33,'Inputs'!$B$29+'Inputs'!$B$31+'Inputs'!$B$32,'Inputs'!$B$30+'Inputs'!$B$31+'Inputs'!$B$32)/1000+'Inputs'!$B$21+'Inputs'!$B$9+'Inputs'!$B$10)+'Inputs'!$B$7)^2+('Inputs'!$B$6/2)^2)-(((965-43)*MAX('Inputs'!$B$33,'Inputs'!$B$29+'Inputs'!$B$31+'Inputs'!$B$32,'Inputs'!$B$30+'Inputs'!$B$31+'Inputs'!$B$32)/1000+'Inputs'!$B$21+'Inputs'!$B$9+'Inputs'!$B$10))/SQRT((((965-43)*MAX('Inputs'!$B$33,'Inputs'!$B$29+'Inputs'!$B$31+'Inputs'!$B$32,'Inputs'!$B$30+'Inputs'!$B$31+'Inputs'!$B$32)/1000+'Inputs'!$B$21+'Inputs'!$B$9+'Inputs'!$B$10))^2+('Inputs'!$B$6/2)^2))))*'Results'!$B$8),"")</x:f>
        <x:v>0.4261348162574649</x:v>
      </x:c>
      <x:c r="N965" t="n">
        <x:f>IF(AND(ISNUMBER('Results'!C7),ISNUMBER('Results'!B7),ISNUMBER('Results'!$B$8),ISNUMBER('Inputs'!$B$6),ISNUMBER('Inputs'!$B$7),ISNUMBER('Inputs'!$B$8),ISNUMBER('Inputs'!$B$9),ISNUMBER('Inputs'!$B$10),ISNUMBER('Inputs'!$B$21),ISNUMBER('Inputs'!$B$24),ISNUMBER('Inputs'!$B$28)),((('Results'!C7*(1-'Inputs'!$B$24)*(0.5*((((965-43)*MAX('Inputs'!$B$33,'Inputs'!$B$29+'Inputs'!$B$31+'Inputs'!$B$32,'Inputs'!$B$30+'Inputs'!$B$31+'Inputs'!$B$32)/1000+'Inputs'!$B$21)+'Inputs'!$B$9)/SQRT((((965-43)*MAX('Inputs'!$B$33,'Inputs'!$B$29+'Inputs'!$B$31+'Inputs'!$B$32,'Inputs'!$B$30+'Inputs'!$B$31+'Inputs'!$B$32)/1000+'Inputs'!$B$21)+'Inputs'!$B$9)^2+('Inputs'!$B$8/2)^2)-(((965-43)*MAX('Inputs'!$B$33,'Inputs'!$B$29+'Inputs'!$B$31+'Inputs'!$B$32,'Inputs'!$B$30+'Inputs'!$B$31+'Inputs'!$B$32)/1000+'Inputs'!$B$21))/SQRT((((965-43)*MAX('Inputs'!$B$33,'Inputs'!$B$29+'Inputs'!$B$31+'Inputs'!$B$32,'Inputs'!$B$30+'Inputs'!$B$31+'Inputs'!$B$32)/1000+'Inputs'!$B$21))^2+('Inputs'!$B$8/2)^2)))-'Results'!B7*(1+'Inputs'!$B$24)*(0.5*((((965-43)*MAX('Inputs'!$B$33,'Inputs'!$B$29+'Inputs'!$B$31+'Inputs'!$B$32,'Inputs'!$B$30+'Inputs'!$B$31+'Inputs'!$B$32)/1000+'Inputs'!$B$21+'Inputs'!$B$9+'Inputs'!$B$10)+'Inputs'!$B$7)/SQRT((((965-43)*MAX('Inputs'!$B$33,'Inputs'!$B$29+'Inputs'!$B$31+'Inputs'!$B$32,'Inputs'!$B$30+'Inputs'!$B$31+'Inputs'!$B$32)/1000+'Inputs'!$B$21+'Inputs'!$B$9+'Inputs'!$B$10)+'Inputs'!$B$7)^2+('Inputs'!$B$6/2)^2)-(((965-43)*MAX('Inputs'!$B$33,'Inputs'!$B$29+'Inputs'!$B$31+'Inputs'!$B$32,'Inputs'!$B$30+'Inputs'!$B$31+'Inputs'!$B$32)/1000+'Inputs'!$B$21+'Inputs'!$B$9+'Inputs'!$B$10))/SQRT((((965-43)*MAX('Inputs'!$B$33,'Inputs'!$B$29+'Inputs'!$B$31+'Inputs'!$B$32,'Inputs'!$B$30+'Inputs'!$B$31+'Inputs'!$B$32)/1000+'Inputs'!$B$21+'Inputs'!$B$9+'Inputs'!$B$10))^2+('Inputs'!$B$6/2)^2))))*'Results'!$B$8)-'Inputs'!$B$28*ABS((('Results'!C7*(1-'Inputs'!$B$24)*(0.5*((((965-43)*MAX('Inputs'!$B$33,'Inputs'!$B$29+'Inputs'!$B$31+'Inputs'!$B$32,'Inputs'!$B$30+'Inputs'!$B$31+'Inputs'!$B$32)/1000+'Inputs'!$B$21)+'Inputs'!$B$9)/SQRT((((965-43)*MAX('Inputs'!$B$33,'Inputs'!$B$29+'Inputs'!$B$31+'Inputs'!$B$32,'Inputs'!$B$30+'Inputs'!$B$31+'Inputs'!$B$32)/1000+'Inputs'!$B$21)+'Inputs'!$B$9)^2+('Inputs'!$B$8/2)^2)-(((965-43)*MAX('Inputs'!$B$33,'Inputs'!$B$29+'Inputs'!$B$31+'Inputs'!$B$32,'Inputs'!$B$30+'Inputs'!$B$31+'Inputs'!$B$32)/1000+'Inputs'!$B$21))/SQRT((((965-43)*MAX('Inputs'!$B$33,'Inputs'!$B$29+'Inputs'!$B$31+'Inputs'!$B$32,'Inputs'!$B$30+'Inputs'!$B$31+'Inputs'!$B$32)/1000+'Inputs'!$B$21))^2+('Inputs'!$B$8/2)^2)))-'Results'!B7*(1+'Inputs'!$B$24)*(0.5*((((965-43)*MAX('Inputs'!$B$33,'Inputs'!$B$29+'Inputs'!$B$31+'Inputs'!$B$32,'Inputs'!$B$30+'Inputs'!$B$31+'Inputs'!$B$32)/1000+'Inputs'!$B$21+'Inputs'!$B$9+'Inputs'!$B$10)+'Inputs'!$B$7)/SQRT((((965-43)*MAX('Inputs'!$B$33,'Inputs'!$B$29+'Inputs'!$B$31+'Inputs'!$B$32,'Inputs'!$B$30+'Inputs'!$B$31+'Inputs'!$B$32)/1000+'Inputs'!$B$21+'Inputs'!$B$9+'Inputs'!$B$10)+'Inputs'!$B$7)^2+('Inputs'!$B$6/2)^2)-(((965-43)*MAX('Inputs'!$B$33,'Inputs'!$B$29+'Inputs'!$B$31+'Inputs'!$B$32,'Inputs'!$B$30+'Inputs'!$B$31+'Inputs'!$B$32)/1000+'Inputs'!$B$21+'Inputs'!$B$9+'Inputs'!$B$10))/SQRT((((965-43)*MAX('Inputs'!$B$33,'Inputs'!$B$29+'Inputs'!$B$31+'Inputs'!$B$32,'Inputs'!$B$30+'Inputs'!$B$31+'Inputs'!$B$32)/1000+'Inputs'!$B$21+'Inputs'!$B$9+'Inputs'!$B$10))^2+('Inputs'!$B$6/2)^2))))*'Results'!$B$8))),"")</x:f>
        <x:v>0.3541858014271892</x:v>
      </x:c>
      <x:c r="O965" t="n">
        <x:f>IF(AND(ISNUMBER('Results'!C7),ISNUMBER('Results'!B7),ISNUMBER('Results'!$B$8),ISNUMBER('Inputs'!$B$6),ISNUMBER('Inputs'!$B$7),ISNUMBER('Inputs'!$B$8),ISNUMBER('Inputs'!$B$9),ISNUMBER('Inputs'!$B$10),ISNUMBER('Inputs'!$B$21),ISNUMBER('Inputs'!$B$24),ISNUMBER('Inputs'!$B$28)),((('Results'!C7*(1+'Inputs'!$B$24)*(0.5*((((965-43)*MAX('Inputs'!$B$33,'Inputs'!$B$29+'Inputs'!$B$31+'Inputs'!$B$32,'Inputs'!$B$30+'Inputs'!$B$31+'Inputs'!$B$32)/1000+'Inputs'!$B$21)+'Inputs'!$B$9)/SQRT((((965-43)*MAX('Inputs'!$B$33,'Inputs'!$B$29+'Inputs'!$B$31+'Inputs'!$B$32,'Inputs'!$B$30+'Inputs'!$B$31+'Inputs'!$B$32)/1000+'Inputs'!$B$21)+'Inputs'!$B$9)^2+('Inputs'!$B$8/2)^2)-(((965-43)*MAX('Inputs'!$B$33,'Inputs'!$B$29+'Inputs'!$B$31+'Inputs'!$B$32,'Inputs'!$B$30+'Inputs'!$B$31+'Inputs'!$B$32)/1000+'Inputs'!$B$21))/SQRT((((965-43)*MAX('Inputs'!$B$33,'Inputs'!$B$29+'Inputs'!$B$31+'Inputs'!$B$32,'Inputs'!$B$30+'Inputs'!$B$31+'Inputs'!$B$32)/1000+'Inputs'!$B$21))^2+('Inputs'!$B$8/2)^2)))-'Results'!B7*(1-'Inputs'!$B$24)*(0.5*((((965-43)*MAX('Inputs'!$B$33,'Inputs'!$B$29+'Inputs'!$B$31+'Inputs'!$B$32,'Inputs'!$B$30+'Inputs'!$B$31+'Inputs'!$B$32)/1000+'Inputs'!$B$21+'Inputs'!$B$9+'Inputs'!$B$10)+'Inputs'!$B$7)/SQRT((((965-43)*MAX('Inputs'!$B$33,'Inputs'!$B$29+'Inputs'!$B$31+'Inputs'!$B$32,'Inputs'!$B$30+'Inputs'!$B$31+'Inputs'!$B$32)/1000+'Inputs'!$B$21+'Inputs'!$B$9+'Inputs'!$B$10)+'Inputs'!$B$7)^2+('Inputs'!$B$6/2)^2)-(((965-43)*MAX('Inputs'!$B$33,'Inputs'!$B$29+'Inputs'!$B$31+'Inputs'!$B$32,'Inputs'!$B$30+'Inputs'!$B$31+'Inputs'!$B$32)/1000+'Inputs'!$B$21+'Inputs'!$B$9+'Inputs'!$B$10))/SQRT((((965-43)*MAX('Inputs'!$B$33,'Inputs'!$B$29+'Inputs'!$B$31+'Inputs'!$B$32,'Inputs'!$B$30+'Inputs'!$B$31+'Inputs'!$B$32)/1000+'Inputs'!$B$21+'Inputs'!$B$9+'Inputs'!$B$10))^2+('Inputs'!$B$6/2)^2))))*'Results'!$B$8)+'Inputs'!$B$28*ABS((('Results'!C7*(1+'Inputs'!$B$24)*(0.5*((((965-43)*MAX('Inputs'!$B$33,'Inputs'!$B$29+'Inputs'!$B$31+'Inputs'!$B$32,'Inputs'!$B$30+'Inputs'!$B$31+'Inputs'!$B$32)/1000+'Inputs'!$B$21)+'Inputs'!$B$9)/SQRT((((965-43)*MAX('Inputs'!$B$33,'Inputs'!$B$29+'Inputs'!$B$31+'Inputs'!$B$32,'Inputs'!$B$30+'Inputs'!$B$31+'Inputs'!$B$32)/1000+'Inputs'!$B$21)+'Inputs'!$B$9)^2+('Inputs'!$B$8/2)^2)-(((965-43)*MAX('Inputs'!$B$33,'Inputs'!$B$29+'Inputs'!$B$31+'Inputs'!$B$32,'Inputs'!$B$30+'Inputs'!$B$31+'Inputs'!$B$32)/1000+'Inputs'!$B$21))/SQRT((((965-43)*MAX('Inputs'!$B$33,'Inputs'!$B$29+'Inputs'!$B$31+'Inputs'!$B$32,'Inputs'!$B$30+'Inputs'!$B$31+'Inputs'!$B$32)/1000+'Inputs'!$B$21))^2+('Inputs'!$B$8/2)^2)))-'Results'!B7*(1-'Inputs'!$B$24)*(0.5*((((965-43)*MAX('Inputs'!$B$33,'Inputs'!$B$29+'Inputs'!$B$31+'Inputs'!$B$32,'Inputs'!$B$30+'Inputs'!$B$31+'Inputs'!$B$32)/1000+'Inputs'!$B$21+'Inputs'!$B$9+'Inputs'!$B$10)+'Inputs'!$B$7)/SQRT((((965-43)*MAX('Inputs'!$B$33,'Inputs'!$B$29+'Inputs'!$B$31+'Inputs'!$B$32,'Inputs'!$B$30+'Inputs'!$B$31+'Inputs'!$B$32)/1000+'Inputs'!$B$21+'Inputs'!$B$9+'Inputs'!$B$10)+'Inputs'!$B$7)^2+('Inputs'!$B$6/2)^2)-(((965-43)*MAX('Inputs'!$B$33,'Inputs'!$B$29+'Inputs'!$B$31+'Inputs'!$B$32,'Inputs'!$B$30+'Inputs'!$B$31+'Inputs'!$B$32)/1000+'Inputs'!$B$21+'Inputs'!$B$9+'Inputs'!$B$10))/SQRT((((965-43)*MAX('Inputs'!$B$33,'Inputs'!$B$29+'Inputs'!$B$31+'Inputs'!$B$32,'Inputs'!$B$30+'Inputs'!$B$31+'Inputs'!$B$32)/1000+'Inputs'!$B$21+'Inputs'!$B$9+'Inputs'!$B$10))^2+('Inputs'!$B$6/2)^2))))*'Results'!$B$8))),"")</x:f>
        <x:v>0.503414596773783</x:v>
      </x:c>
      <x:c r="P965" t="n">
        <x:f>IF(AND(MAX(J965,J964)&gt;0,J965&gt;J964+0.00000001),1,0)</x:f>
        <x:v>0</x:v>
      </x:c>
      <x:c r="Q965" t="n">
        <x:f>IF(AND(MAX(K965,K964)&gt;0,K965&gt;K964+0.00000001),1,0)</x:f>
        <x:v>0</x:v>
      </x:c>
      <x:c r="R965" t="n">
        <x:f>IF(AND(MAX(L965,L964)&gt;0,L965&gt;L964+0.00000001),1,0)</x:f>
        <x:v>0</x:v>
      </x:c>
      <x:c r="S965" t="n">
        <x:f>IF(AND(MAX(M965,M964)&gt;0,M965&gt;M964+0.00000001),1,0)</x:f>
        <x:v>0</x:v>
      </x:c>
      <x:c r="T965" t="n">
        <x:f>IF(AND(MAX(N965,N964)&gt;0,N965&gt;N964+0.00000001),1,0)</x:f>
        <x:v>0</x:v>
      </x:c>
      <x:c r="U965" t="n">
        <x:f>IF(AND(MAX(O965,O964)&gt;0,O965&gt;O964+0.00000001),1,0)</x:f>
        <x:v>0</x:v>
      </x:c>
    </x:row>
    <x:row r="966">
      <x:c r="J966" t="n">
        <x:f>IF(AND(ISNUMBER('Results'!B7),ISNUMBER('Results'!C7),ISNUMBER('Results'!$B$8),ISNUMBER('Inputs'!$B$6),ISNUMBER('Inputs'!$B$7),ISNUMBER('Inputs'!$B$8),ISNUMBER('Inputs'!$B$9),ISNUMBER('Inputs'!$B$10),ISNUMBER('Inputs'!$B$21),ISNUMBER('Inputs'!$B$24),ISNUMBER('Inputs'!$B$28)),(('Results'!B7*(0.5*((((966-43)*MAX('Inputs'!$B$33,'Inputs'!$B$29+'Inputs'!$B$31+'Inputs'!$B$32,'Inputs'!$B$30+'Inputs'!$B$31+'Inputs'!$B$32)/1000+'Inputs'!$B$21)+'Inputs'!$B$7)/SQRT((((966-43)*MAX('Inputs'!$B$33,'Inputs'!$B$29+'Inputs'!$B$31+'Inputs'!$B$32,'Inputs'!$B$30+'Inputs'!$B$31+'Inputs'!$B$32)/1000+'Inputs'!$B$21)+'Inputs'!$B$7)^2+('Inputs'!$B$6/2)^2)-(((966-43)*MAX('Inputs'!$B$33,'Inputs'!$B$29+'Inputs'!$B$31+'Inputs'!$B$32,'Inputs'!$B$30+'Inputs'!$B$31+'Inputs'!$B$32)/1000+'Inputs'!$B$21))/SQRT((((966-43)*MAX('Inputs'!$B$33,'Inputs'!$B$29+'Inputs'!$B$31+'Inputs'!$B$32,'Inputs'!$B$30+'Inputs'!$B$31+'Inputs'!$B$32)/1000+'Inputs'!$B$21))^2+('Inputs'!$B$6/2)^2)))-'Results'!C7*(0.5*((((966-43)*MAX('Inputs'!$B$33,'Inputs'!$B$29+'Inputs'!$B$31+'Inputs'!$B$32,'Inputs'!$B$30+'Inputs'!$B$31+'Inputs'!$B$32)/1000+'Inputs'!$B$21+'Inputs'!$B$7+'Inputs'!$B$10)+'Inputs'!$B$9)/SQRT((((966-43)*MAX('Inputs'!$B$33,'Inputs'!$B$29+'Inputs'!$B$31+'Inputs'!$B$32,'Inputs'!$B$30+'Inputs'!$B$31+'Inputs'!$B$32)/1000+'Inputs'!$B$21+'Inputs'!$B$7+'Inputs'!$B$10)+'Inputs'!$B$9)^2+('Inputs'!$B$8/2)^2)-(((966-43)*MAX('Inputs'!$B$33,'Inputs'!$B$29+'Inputs'!$B$31+'Inputs'!$B$32,'Inputs'!$B$30+'Inputs'!$B$31+'Inputs'!$B$32)/1000+'Inputs'!$B$21+'Inputs'!$B$7+'Inputs'!$B$10))/SQRT((((966-43)*MAX('Inputs'!$B$33,'Inputs'!$B$29+'Inputs'!$B$31+'Inputs'!$B$32,'Inputs'!$B$30+'Inputs'!$B$31+'Inputs'!$B$32)/1000+'Inputs'!$B$21+'Inputs'!$B$7+'Inputs'!$B$10))^2+('Inputs'!$B$8/2)^2))))*'Results'!$B$8),"")</x:f>
        <x:v>0.47818603359859185</x:v>
      </x:c>
      <x:c r="K966" t="n">
        <x:f>IF(AND(ISNUMBER('Results'!B7),ISNUMBER('Results'!C7),ISNUMBER('Results'!$B$8),ISNUMBER('Inputs'!$B$6),ISNUMBER('Inputs'!$B$7),ISNUMBER('Inputs'!$B$8),ISNUMBER('Inputs'!$B$9),ISNUMBER('Inputs'!$B$10),ISNUMBER('Inputs'!$B$21),ISNUMBER('Inputs'!$B$24),ISNUMBER('Inputs'!$B$28)),((('Results'!B7*(1-'Inputs'!$B$24)*(0.5*((((966-43)*MAX('Inputs'!$B$33,'Inputs'!$B$29+'Inputs'!$B$31+'Inputs'!$B$32,'Inputs'!$B$30+'Inputs'!$B$31+'Inputs'!$B$32)/1000+'Inputs'!$B$21)+'Inputs'!$B$7)/SQRT((((966-43)*MAX('Inputs'!$B$33,'Inputs'!$B$29+'Inputs'!$B$31+'Inputs'!$B$32,'Inputs'!$B$30+'Inputs'!$B$31+'Inputs'!$B$32)/1000+'Inputs'!$B$21)+'Inputs'!$B$7)^2+('Inputs'!$B$6/2)^2)-(((966-43)*MAX('Inputs'!$B$33,'Inputs'!$B$29+'Inputs'!$B$31+'Inputs'!$B$32,'Inputs'!$B$30+'Inputs'!$B$31+'Inputs'!$B$32)/1000+'Inputs'!$B$21))/SQRT((((966-43)*MAX('Inputs'!$B$33,'Inputs'!$B$29+'Inputs'!$B$31+'Inputs'!$B$32,'Inputs'!$B$30+'Inputs'!$B$31+'Inputs'!$B$32)/1000+'Inputs'!$B$21))^2+('Inputs'!$B$6/2)^2)))-'Results'!C7*(1+'Inputs'!$B$24)*(0.5*((((966-43)*MAX('Inputs'!$B$33,'Inputs'!$B$29+'Inputs'!$B$31+'Inputs'!$B$32,'Inputs'!$B$30+'Inputs'!$B$31+'Inputs'!$B$32)/1000+'Inputs'!$B$21+'Inputs'!$B$7+'Inputs'!$B$10)+'Inputs'!$B$9)/SQRT((((966-43)*MAX('Inputs'!$B$33,'Inputs'!$B$29+'Inputs'!$B$31+'Inputs'!$B$32,'Inputs'!$B$30+'Inputs'!$B$31+'Inputs'!$B$32)/1000+'Inputs'!$B$21+'Inputs'!$B$7+'Inputs'!$B$10)+'Inputs'!$B$9)^2+('Inputs'!$B$8/2)^2)-(((966-43)*MAX('Inputs'!$B$33,'Inputs'!$B$29+'Inputs'!$B$31+'Inputs'!$B$32,'Inputs'!$B$30+'Inputs'!$B$31+'Inputs'!$B$32)/1000+'Inputs'!$B$21+'Inputs'!$B$7+'Inputs'!$B$10))/SQRT((((966-43)*MAX('Inputs'!$B$33,'Inputs'!$B$29+'Inputs'!$B$31+'Inputs'!$B$32,'Inputs'!$B$30+'Inputs'!$B$31+'Inputs'!$B$32)/1000+'Inputs'!$B$21+'Inputs'!$B$7+'Inputs'!$B$10))^2+('Inputs'!$B$8/2)^2))))*'Results'!$B$8)-'Inputs'!$B$28*ABS((('Results'!B7*(1-'Inputs'!$B$24)*(0.5*((((966-43)*MAX('Inputs'!$B$33,'Inputs'!$B$29+'Inputs'!$B$31+'Inputs'!$B$32,'Inputs'!$B$30+'Inputs'!$B$31+'Inputs'!$B$32)/1000+'Inputs'!$B$21)+'Inputs'!$B$7)/SQRT((((966-43)*MAX('Inputs'!$B$33,'Inputs'!$B$29+'Inputs'!$B$31+'Inputs'!$B$32,'Inputs'!$B$30+'Inputs'!$B$31+'Inputs'!$B$32)/1000+'Inputs'!$B$21)+'Inputs'!$B$7)^2+('Inputs'!$B$6/2)^2)-(((966-43)*MAX('Inputs'!$B$33,'Inputs'!$B$29+'Inputs'!$B$31+'Inputs'!$B$32,'Inputs'!$B$30+'Inputs'!$B$31+'Inputs'!$B$32)/1000+'Inputs'!$B$21))/SQRT((((966-43)*MAX('Inputs'!$B$33,'Inputs'!$B$29+'Inputs'!$B$31+'Inputs'!$B$32,'Inputs'!$B$30+'Inputs'!$B$31+'Inputs'!$B$32)/1000+'Inputs'!$B$21))^2+('Inputs'!$B$6/2)^2)))-'Results'!C7*(1+'Inputs'!$B$24)*(0.5*((((966-43)*MAX('Inputs'!$B$33,'Inputs'!$B$29+'Inputs'!$B$31+'Inputs'!$B$32,'Inputs'!$B$30+'Inputs'!$B$31+'Inputs'!$B$32)/1000+'Inputs'!$B$21+'Inputs'!$B$7+'Inputs'!$B$10)+'Inputs'!$B$9)/SQRT((((966-43)*MAX('Inputs'!$B$33,'Inputs'!$B$29+'Inputs'!$B$31+'Inputs'!$B$32,'Inputs'!$B$30+'Inputs'!$B$31+'Inputs'!$B$32)/1000+'Inputs'!$B$21+'Inputs'!$B$7+'Inputs'!$B$10)+'Inputs'!$B$9)^2+('Inputs'!$B$8/2)^2)-(((966-43)*MAX('Inputs'!$B$33,'Inputs'!$B$29+'Inputs'!$B$31+'Inputs'!$B$32,'Inputs'!$B$30+'Inputs'!$B$31+'Inputs'!$B$32)/1000+'Inputs'!$B$21+'Inputs'!$B$7+'Inputs'!$B$10))/SQRT((((966-43)*MAX('Inputs'!$B$33,'Inputs'!$B$29+'Inputs'!$B$31+'Inputs'!$B$32,'Inputs'!$B$30+'Inputs'!$B$31+'Inputs'!$B$32)/1000+'Inputs'!$B$21+'Inputs'!$B$7+'Inputs'!$B$10))^2+('Inputs'!$B$8/2)^2))))*'Results'!$B$8))),"")</x:f>
        <x:v>0.40361395925006194</x:v>
      </x:c>
      <x:c r="L966" t="n">
        <x:f>IF(AND(ISNUMBER('Results'!B7),ISNUMBER('Results'!C7),ISNUMBER('Results'!$B$8),ISNUMBER('Inputs'!$B$6),ISNUMBER('Inputs'!$B$7),ISNUMBER('Inputs'!$B$8),ISNUMBER('Inputs'!$B$9),ISNUMBER('Inputs'!$B$10),ISNUMBER('Inputs'!$B$21),ISNUMBER('Inputs'!$B$24),ISNUMBER('Inputs'!$B$28)),((('Results'!B7*(1+'Inputs'!$B$24)*(0.5*((((966-43)*MAX('Inputs'!$B$33,'Inputs'!$B$29+'Inputs'!$B$31+'Inputs'!$B$32,'Inputs'!$B$30+'Inputs'!$B$31+'Inputs'!$B$32)/1000+'Inputs'!$B$21)+'Inputs'!$B$7)/SQRT((((966-43)*MAX('Inputs'!$B$33,'Inputs'!$B$29+'Inputs'!$B$31+'Inputs'!$B$32,'Inputs'!$B$30+'Inputs'!$B$31+'Inputs'!$B$32)/1000+'Inputs'!$B$21)+'Inputs'!$B$7)^2+('Inputs'!$B$6/2)^2)-(((966-43)*MAX('Inputs'!$B$33,'Inputs'!$B$29+'Inputs'!$B$31+'Inputs'!$B$32,'Inputs'!$B$30+'Inputs'!$B$31+'Inputs'!$B$32)/1000+'Inputs'!$B$21))/SQRT((((966-43)*MAX('Inputs'!$B$33,'Inputs'!$B$29+'Inputs'!$B$31+'Inputs'!$B$32,'Inputs'!$B$30+'Inputs'!$B$31+'Inputs'!$B$32)/1000+'Inputs'!$B$21))^2+('Inputs'!$B$6/2)^2)))-'Results'!C7*(1-'Inputs'!$B$24)*(0.5*((((966-43)*MAX('Inputs'!$B$33,'Inputs'!$B$29+'Inputs'!$B$31+'Inputs'!$B$32,'Inputs'!$B$30+'Inputs'!$B$31+'Inputs'!$B$32)/1000+'Inputs'!$B$21+'Inputs'!$B$7+'Inputs'!$B$10)+'Inputs'!$B$9)/SQRT((((966-43)*MAX('Inputs'!$B$33,'Inputs'!$B$29+'Inputs'!$B$31+'Inputs'!$B$32,'Inputs'!$B$30+'Inputs'!$B$31+'Inputs'!$B$32)/1000+'Inputs'!$B$21+'Inputs'!$B$7+'Inputs'!$B$10)+'Inputs'!$B$9)^2+('Inputs'!$B$8/2)^2)-(((966-43)*MAX('Inputs'!$B$33,'Inputs'!$B$29+'Inputs'!$B$31+'Inputs'!$B$32,'Inputs'!$B$30+'Inputs'!$B$31+'Inputs'!$B$32)/1000+'Inputs'!$B$21+'Inputs'!$B$7+'Inputs'!$B$10))/SQRT((((966-43)*MAX('Inputs'!$B$33,'Inputs'!$B$29+'Inputs'!$B$31+'Inputs'!$B$32,'Inputs'!$B$30+'Inputs'!$B$31+'Inputs'!$B$32)/1000+'Inputs'!$B$21+'Inputs'!$B$7+'Inputs'!$B$10))^2+('Inputs'!$B$8/2)^2))))*'Results'!$B$8)+'Inputs'!$B$28*ABS((('Results'!B7*(1+'Inputs'!$B$24)*(0.5*((((966-43)*MAX('Inputs'!$B$33,'Inputs'!$B$29+'Inputs'!$B$31+'Inputs'!$B$32,'Inputs'!$B$30+'Inputs'!$B$31+'Inputs'!$B$32)/1000+'Inputs'!$B$21)+'Inputs'!$B$7)/SQRT((((966-43)*MAX('Inputs'!$B$33,'Inputs'!$B$29+'Inputs'!$B$31+'Inputs'!$B$32,'Inputs'!$B$30+'Inputs'!$B$31+'Inputs'!$B$32)/1000+'Inputs'!$B$21)+'Inputs'!$B$7)^2+('Inputs'!$B$6/2)^2)-(((966-43)*MAX('Inputs'!$B$33,'Inputs'!$B$29+'Inputs'!$B$31+'Inputs'!$B$32,'Inputs'!$B$30+'Inputs'!$B$31+'Inputs'!$B$32)/1000+'Inputs'!$B$21))/SQRT((((966-43)*MAX('Inputs'!$B$33,'Inputs'!$B$29+'Inputs'!$B$31+'Inputs'!$B$32,'Inputs'!$B$30+'Inputs'!$B$31+'Inputs'!$B$32)/1000+'Inputs'!$B$21))^2+('Inputs'!$B$6/2)^2)))-'Results'!C7*(1-'Inputs'!$B$24)*(0.5*((((966-43)*MAX('Inputs'!$B$33,'Inputs'!$B$29+'Inputs'!$B$31+'Inputs'!$B$32,'Inputs'!$B$30+'Inputs'!$B$31+'Inputs'!$B$32)/1000+'Inputs'!$B$21+'Inputs'!$B$7+'Inputs'!$B$10)+'Inputs'!$B$9)/SQRT((((966-43)*MAX('Inputs'!$B$33,'Inputs'!$B$29+'Inputs'!$B$31+'Inputs'!$B$32,'Inputs'!$B$30+'Inputs'!$B$31+'Inputs'!$B$32)/1000+'Inputs'!$B$21+'Inputs'!$B$7+'Inputs'!$B$10)+'Inputs'!$B$9)^2+('Inputs'!$B$8/2)^2)-(((966-43)*MAX('Inputs'!$B$33,'Inputs'!$B$29+'Inputs'!$B$31+'Inputs'!$B$32,'Inputs'!$B$30+'Inputs'!$B$31+'Inputs'!$B$32)/1000+'Inputs'!$B$21+'Inputs'!$B$7+'Inputs'!$B$10))/SQRT((((966-43)*MAX('Inputs'!$B$33,'Inputs'!$B$29+'Inputs'!$B$31+'Inputs'!$B$32,'Inputs'!$B$30+'Inputs'!$B$31+'Inputs'!$B$32)/1000+'Inputs'!$B$21+'Inputs'!$B$7+'Inputs'!$B$10))^2+('Inputs'!$B$8/2)^2))))*'Results'!$B$8))),"")</x:f>
        <x:v>0.558091031385922</x:v>
      </x:c>
      <x:c r="M966" t="n">
        <x:f>IF(AND(ISNUMBER('Results'!C7),ISNUMBER('Results'!B7),ISNUMBER('Results'!$B$8),ISNUMBER('Inputs'!$B$6),ISNUMBER('Inputs'!$B$7),ISNUMBER('Inputs'!$B$8),ISNUMBER('Inputs'!$B$9),ISNUMBER('Inputs'!$B$10),ISNUMBER('Inputs'!$B$21),ISNUMBER('Inputs'!$B$24),ISNUMBER('Inputs'!$B$28)),(('Results'!C7*(0.5*((((966-43)*MAX('Inputs'!$B$33,'Inputs'!$B$29+'Inputs'!$B$31+'Inputs'!$B$32,'Inputs'!$B$30+'Inputs'!$B$31+'Inputs'!$B$32)/1000+'Inputs'!$B$21)+'Inputs'!$B$9)/SQRT((((966-43)*MAX('Inputs'!$B$33,'Inputs'!$B$29+'Inputs'!$B$31+'Inputs'!$B$32,'Inputs'!$B$30+'Inputs'!$B$31+'Inputs'!$B$32)/1000+'Inputs'!$B$21)+'Inputs'!$B$9)^2+('Inputs'!$B$8/2)^2)-(((966-43)*MAX('Inputs'!$B$33,'Inputs'!$B$29+'Inputs'!$B$31+'Inputs'!$B$32,'Inputs'!$B$30+'Inputs'!$B$31+'Inputs'!$B$32)/1000+'Inputs'!$B$21))/SQRT((((966-43)*MAX('Inputs'!$B$33,'Inputs'!$B$29+'Inputs'!$B$31+'Inputs'!$B$32,'Inputs'!$B$30+'Inputs'!$B$31+'Inputs'!$B$32)/1000+'Inputs'!$B$21))^2+('Inputs'!$B$8/2)^2)))-'Results'!B7*(0.5*((((966-43)*MAX('Inputs'!$B$33,'Inputs'!$B$29+'Inputs'!$B$31+'Inputs'!$B$32,'Inputs'!$B$30+'Inputs'!$B$31+'Inputs'!$B$32)/1000+'Inputs'!$B$21+'Inputs'!$B$9+'Inputs'!$B$10)+'Inputs'!$B$7)/SQRT((((966-43)*MAX('Inputs'!$B$33,'Inputs'!$B$29+'Inputs'!$B$31+'Inputs'!$B$32,'Inputs'!$B$30+'Inputs'!$B$31+'Inputs'!$B$32)/1000+'Inputs'!$B$21+'Inputs'!$B$9+'Inputs'!$B$10)+'Inputs'!$B$7)^2+('Inputs'!$B$6/2)^2)-(((966-43)*MAX('Inputs'!$B$33,'Inputs'!$B$29+'Inputs'!$B$31+'Inputs'!$B$32,'Inputs'!$B$30+'Inputs'!$B$31+'Inputs'!$B$32)/1000+'Inputs'!$B$21+'Inputs'!$B$9+'Inputs'!$B$10))/SQRT((((966-43)*MAX('Inputs'!$B$33,'Inputs'!$B$29+'Inputs'!$B$31+'Inputs'!$B$32,'Inputs'!$B$30+'Inputs'!$B$31+'Inputs'!$B$32)/1000+'Inputs'!$B$21+'Inputs'!$B$9+'Inputs'!$B$10))^2+('Inputs'!$B$6/2)^2))))*'Results'!$B$8),"")</x:f>
        <x:v>0.42441021233593806</x:v>
      </x:c>
      <x:c r="N966" t="n">
        <x:f>IF(AND(ISNUMBER('Results'!C7),ISNUMBER('Results'!B7),ISNUMBER('Results'!$B$8),ISNUMBER('Inputs'!$B$6),ISNUMBER('Inputs'!$B$7),ISNUMBER('Inputs'!$B$8),ISNUMBER('Inputs'!$B$9),ISNUMBER('Inputs'!$B$10),ISNUMBER('Inputs'!$B$21),ISNUMBER('Inputs'!$B$24),ISNUMBER('Inputs'!$B$28)),((('Results'!C7*(1-'Inputs'!$B$24)*(0.5*((((966-43)*MAX('Inputs'!$B$33,'Inputs'!$B$29+'Inputs'!$B$31+'Inputs'!$B$32,'Inputs'!$B$30+'Inputs'!$B$31+'Inputs'!$B$32)/1000+'Inputs'!$B$21)+'Inputs'!$B$9)/SQRT((((966-43)*MAX('Inputs'!$B$33,'Inputs'!$B$29+'Inputs'!$B$31+'Inputs'!$B$32,'Inputs'!$B$30+'Inputs'!$B$31+'Inputs'!$B$32)/1000+'Inputs'!$B$21)+'Inputs'!$B$9)^2+('Inputs'!$B$8/2)^2)-(((966-43)*MAX('Inputs'!$B$33,'Inputs'!$B$29+'Inputs'!$B$31+'Inputs'!$B$32,'Inputs'!$B$30+'Inputs'!$B$31+'Inputs'!$B$32)/1000+'Inputs'!$B$21))/SQRT((((966-43)*MAX('Inputs'!$B$33,'Inputs'!$B$29+'Inputs'!$B$31+'Inputs'!$B$32,'Inputs'!$B$30+'Inputs'!$B$31+'Inputs'!$B$32)/1000+'Inputs'!$B$21))^2+('Inputs'!$B$8/2)^2)))-'Results'!B7*(1+'Inputs'!$B$24)*(0.5*((((966-43)*MAX('Inputs'!$B$33,'Inputs'!$B$29+'Inputs'!$B$31+'Inputs'!$B$32,'Inputs'!$B$30+'Inputs'!$B$31+'Inputs'!$B$32)/1000+'Inputs'!$B$21+'Inputs'!$B$9+'Inputs'!$B$10)+'Inputs'!$B$7)/SQRT((((966-43)*MAX('Inputs'!$B$33,'Inputs'!$B$29+'Inputs'!$B$31+'Inputs'!$B$32,'Inputs'!$B$30+'Inputs'!$B$31+'Inputs'!$B$32)/1000+'Inputs'!$B$21+'Inputs'!$B$9+'Inputs'!$B$10)+'Inputs'!$B$7)^2+('Inputs'!$B$6/2)^2)-(((966-43)*MAX('Inputs'!$B$33,'Inputs'!$B$29+'Inputs'!$B$31+'Inputs'!$B$32,'Inputs'!$B$30+'Inputs'!$B$31+'Inputs'!$B$32)/1000+'Inputs'!$B$21+'Inputs'!$B$9+'Inputs'!$B$10))/SQRT((((966-43)*MAX('Inputs'!$B$33,'Inputs'!$B$29+'Inputs'!$B$31+'Inputs'!$B$32,'Inputs'!$B$30+'Inputs'!$B$31+'Inputs'!$B$32)/1000+'Inputs'!$B$21+'Inputs'!$B$9+'Inputs'!$B$10))^2+('Inputs'!$B$6/2)^2))))*'Results'!$B$8)-'Inputs'!$B$28*ABS((('Results'!C7*(1-'Inputs'!$B$24)*(0.5*((((966-43)*MAX('Inputs'!$B$33,'Inputs'!$B$29+'Inputs'!$B$31+'Inputs'!$B$32,'Inputs'!$B$30+'Inputs'!$B$31+'Inputs'!$B$32)/1000+'Inputs'!$B$21)+'Inputs'!$B$9)/SQRT((((966-43)*MAX('Inputs'!$B$33,'Inputs'!$B$29+'Inputs'!$B$31+'Inputs'!$B$32,'Inputs'!$B$30+'Inputs'!$B$31+'Inputs'!$B$32)/1000+'Inputs'!$B$21)+'Inputs'!$B$9)^2+('Inputs'!$B$8/2)^2)-(((966-43)*MAX('Inputs'!$B$33,'Inputs'!$B$29+'Inputs'!$B$31+'Inputs'!$B$32,'Inputs'!$B$30+'Inputs'!$B$31+'Inputs'!$B$32)/1000+'Inputs'!$B$21))/SQRT((((966-43)*MAX('Inputs'!$B$33,'Inputs'!$B$29+'Inputs'!$B$31+'Inputs'!$B$32,'Inputs'!$B$30+'Inputs'!$B$31+'Inputs'!$B$32)/1000+'Inputs'!$B$21))^2+('Inputs'!$B$8/2)^2)))-'Results'!B7*(1+'Inputs'!$B$24)*(0.5*((((966-43)*MAX('Inputs'!$B$33,'Inputs'!$B$29+'Inputs'!$B$31+'Inputs'!$B$32,'Inputs'!$B$30+'Inputs'!$B$31+'Inputs'!$B$32)/1000+'Inputs'!$B$21+'Inputs'!$B$9+'Inputs'!$B$10)+'Inputs'!$B$7)/SQRT((((966-43)*MAX('Inputs'!$B$33,'Inputs'!$B$29+'Inputs'!$B$31+'Inputs'!$B$32,'Inputs'!$B$30+'Inputs'!$B$31+'Inputs'!$B$32)/1000+'Inputs'!$B$21+'Inputs'!$B$9+'Inputs'!$B$10)+'Inputs'!$B$7)^2+('Inputs'!$B$6/2)^2)-(((966-43)*MAX('Inputs'!$B$33,'Inputs'!$B$29+'Inputs'!$B$31+'Inputs'!$B$32,'Inputs'!$B$30+'Inputs'!$B$31+'Inputs'!$B$32)/1000+'Inputs'!$B$21+'Inputs'!$B$9+'Inputs'!$B$10))/SQRT((((966-43)*MAX('Inputs'!$B$33,'Inputs'!$B$29+'Inputs'!$B$31+'Inputs'!$B$32,'Inputs'!$B$30+'Inputs'!$B$31+'Inputs'!$B$32)/1000+'Inputs'!$B$21+'Inputs'!$B$9+'Inputs'!$B$10))^2+('Inputs'!$B$6/2)^2))))*'Results'!$B$8))),"")</x:f>
        <x:v>0.3527001545926901</x:v>
      </x:c>
      <x:c r="O966" t="n">
        <x:f>IF(AND(ISNUMBER('Results'!C7),ISNUMBER('Results'!B7),ISNUMBER('Results'!$B$8),ISNUMBER('Inputs'!$B$6),ISNUMBER('Inputs'!$B$7),ISNUMBER('Inputs'!$B$8),ISNUMBER('Inputs'!$B$9),ISNUMBER('Inputs'!$B$10),ISNUMBER('Inputs'!$B$21),ISNUMBER('Inputs'!$B$24),ISNUMBER('Inputs'!$B$28)),((('Results'!C7*(1+'Inputs'!$B$24)*(0.5*((((966-43)*MAX('Inputs'!$B$33,'Inputs'!$B$29+'Inputs'!$B$31+'Inputs'!$B$32,'Inputs'!$B$30+'Inputs'!$B$31+'Inputs'!$B$32)/1000+'Inputs'!$B$21)+'Inputs'!$B$9)/SQRT((((966-43)*MAX('Inputs'!$B$33,'Inputs'!$B$29+'Inputs'!$B$31+'Inputs'!$B$32,'Inputs'!$B$30+'Inputs'!$B$31+'Inputs'!$B$32)/1000+'Inputs'!$B$21)+'Inputs'!$B$9)^2+('Inputs'!$B$8/2)^2)-(((966-43)*MAX('Inputs'!$B$33,'Inputs'!$B$29+'Inputs'!$B$31+'Inputs'!$B$32,'Inputs'!$B$30+'Inputs'!$B$31+'Inputs'!$B$32)/1000+'Inputs'!$B$21))/SQRT((((966-43)*MAX('Inputs'!$B$33,'Inputs'!$B$29+'Inputs'!$B$31+'Inputs'!$B$32,'Inputs'!$B$30+'Inputs'!$B$31+'Inputs'!$B$32)/1000+'Inputs'!$B$21))^2+('Inputs'!$B$8/2)^2)))-'Results'!B7*(1-'Inputs'!$B$24)*(0.5*((((966-43)*MAX('Inputs'!$B$33,'Inputs'!$B$29+'Inputs'!$B$31+'Inputs'!$B$32,'Inputs'!$B$30+'Inputs'!$B$31+'Inputs'!$B$32)/1000+'Inputs'!$B$21+'Inputs'!$B$9+'Inputs'!$B$10)+'Inputs'!$B$7)/SQRT((((966-43)*MAX('Inputs'!$B$33,'Inputs'!$B$29+'Inputs'!$B$31+'Inputs'!$B$32,'Inputs'!$B$30+'Inputs'!$B$31+'Inputs'!$B$32)/1000+'Inputs'!$B$21+'Inputs'!$B$9+'Inputs'!$B$10)+'Inputs'!$B$7)^2+('Inputs'!$B$6/2)^2)-(((966-43)*MAX('Inputs'!$B$33,'Inputs'!$B$29+'Inputs'!$B$31+'Inputs'!$B$32,'Inputs'!$B$30+'Inputs'!$B$31+'Inputs'!$B$32)/1000+'Inputs'!$B$21+'Inputs'!$B$9+'Inputs'!$B$10))/SQRT((((966-43)*MAX('Inputs'!$B$33,'Inputs'!$B$29+'Inputs'!$B$31+'Inputs'!$B$32,'Inputs'!$B$30+'Inputs'!$B$31+'Inputs'!$B$32)/1000+'Inputs'!$B$21+'Inputs'!$B$9+'Inputs'!$B$10))^2+('Inputs'!$B$6/2)^2))))*'Results'!$B$8)+'Inputs'!$B$28*ABS((('Results'!C7*(1+'Inputs'!$B$24)*(0.5*((((966-43)*MAX('Inputs'!$B$33,'Inputs'!$B$29+'Inputs'!$B$31+'Inputs'!$B$32,'Inputs'!$B$30+'Inputs'!$B$31+'Inputs'!$B$32)/1000+'Inputs'!$B$21)+'Inputs'!$B$9)/SQRT((((966-43)*MAX('Inputs'!$B$33,'Inputs'!$B$29+'Inputs'!$B$31+'Inputs'!$B$32,'Inputs'!$B$30+'Inputs'!$B$31+'Inputs'!$B$32)/1000+'Inputs'!$B$21)+'Inputs'!$B$9)^2+('Inputs'!$B$8/2)^2)-(((966-43)*MAX('Inputs'!$B$33,'Inputs'!$B$29+'Inputs'!$B$31+'Inputs'!$B$32,'Inputs'!$B$30+'Inputs'!$B$31+'Inputs'!$B$32)/1000+'Inputs'!$B$21))/SQRT((((966-43)*MAX('Inputs'!$B$33,'Inputs'!$B$29+'Inputs'!$B$31+'Inputs'!$B$32,'Inputs'!$B$30+'Inputs'!$B$31+'Inputs'!$B$32)/1000+'Inputs'!$B$21))^2+('Inputs'!$B$8/2)^2)))-'Results'!B7*(1-'Inputs'!$B$24)*(0.5*((((966-43)*MAX('Inputs'!$B$33,'Inputs'!$B$29+'Inputs'!$B$31+'Inputs'!$B$32,'Inputs'!$B$30+'Inputs'!$B$31+'Inputs'!$B$32)/1000+'Inputs'!$B$21+'Inputs'!$B$9+'Inputs'!$B$10)+'Inputs'!$B$7)/SQRT((((966-43)*MAX('Inputs'!$B$33,'Inputs'!$B$29+'Inputs'!$B$31+'Inputs'!$B$32,'Inputs'!$B$30+'Inputs'!$B$31+'Inputs'!$B$32)/1000+'Inputs'!$B$21+'Inputs'!$B$9+'Inputs'!$B$10)+'Inputs'!$B$7)^2+('Inputs'!$B$6/2)^2)-(((966-43)*MAX('Inputs'!$B$33,'Inputs'!$B$29+'Inputs'!$B$31+'Inputs'!$B$32,'Inputs'!$B$30+'Inputs'!$B$31+'Inputs'!$B$32)/1000+'Inputs'!$B$21+'Inputs'!$B$9+'Inputs'!$B$10))/SQRT((((966-43)*MAX('Inputs'!$B$33,'Inputs'!$B$29+'Inputs'!$B$31+'Inputs'!$B$32,'Inputs'!$B$30+'Inputs'!$B$31+'Inputs'!$B$32)/1000+'Inputs'!$B$21+'Inputs'!$B$9+'Inputs'!$B$10))^2+('Inputs'!$B$6/2)^2))))*'Results'!$B$8))),"")</x:f>
        <x:v>0.5014349592503919</x:v>
      </x:c>
      <x:c r="P966" t="n">
        <x:f>IF(AND(MAX(J966,J965)&gt;0,J966&gt;J965+0.00000001),1,0)</x:f>
        <x:v>0</x:v>
      </x:c>
      <x:c r="Q966" t="n">
        <x:f>IF(AND(MAX(K966,K965)&gt;0,K966&gt;K965+0.00000001),1,0)</x:f>
        <x:v>0</x:v>
      </x:c>
      <x:c r="R966" t="n">
        <x:f>IF(AND(MAX(L966,L965)&gt;0,L966&gt;L965+0.00000001),1,0)</x:f>
        <x:v>0</x:v>
      </x:c>
      <x:c r="S966" t="n">
        <x:f>IF(AND(MAX(M966,M965)&gt;0,M966&gt;M965+0.00000001),1,0)</x:f>
        <x:v>0</x:v>
      </x:c>
      <x:c r="T966" t="n">
        <x:f>IF(AND(MAX(N966,N965)&gt;0,N966&gt;N965+0.00000001),1,0)</x:f>
        <x:v>0</x:v>
      </x:c>
      <x:c r="U966" t="n">
        <x:f>IF(AND(MAX(O966,O965)&gt;0,O966&gt;O965+0.00000001),1,0)</x:f>
        <x:v>0</x:v>
      </x:c>
    </x:row>
    <x:row r="967">
      <x:c r="J967" t="n">
        <x:f>IF(AND(ISNUMBER('Results'!B7),ISNUMBER('Results'!C7),ISNUMBER('Results'!$B$8),ISNUMBER('Inputs'!$B$6),ISNUMBER('Inputs'!$B$7),ISNUMBER('Inputs'!$B$8),ISNUMBER('Inputs'!$B$9),ISNUMBER('Inputs'!$B$10),ISNUMBER('Inputs'!$B$21),ISNUMBER('Inputs'!$B$24),ISNUMBER('Inputs'!$B$28)),(('Results'!B7*(0.5*((((967-43)*MAX('Inputs'!$B$33,'Inputs'!$B$29+'Inputs'!$B$31+'Inputs'!$B$32,'Inputs'!$B$30+'Inputs'!$B$31+'Inputs'!$B$32)/1000+'Inputs'!$B$21)+'Inputs'!$B$7)/SQRT((((967-43)*MAX('Inputs'!$B$33,'Inputs'!$B$29+'Inputs'!$B$31+'Inputs'!$B$32,'Inputs'!$B$30+'Inputs'!$B$31+'Inputs'!$B$32)/1000+'Inputs'!$B$21)+'Inputs'!$B$7)^2+('Inputs'!$B$6/2)^2)-(((967-43)*MAX('Inputs'!$B$33,'Inputs'!$B$29+'Inputs'!$B$31+'Inputs'!$B$32,'Inputs'!$B$30+'Inputs'!$B$31+'Inputs'!$B$32)/1000+'Inputs'!$B$21))/SQRT((((967-43)*MAX('Inputs'!$B$33,'Inputs'!$B$29+'Inputs'!$B$31+'Inputs'!$B$32,'Inputs'!$B$30+'Inputs'!$B$31+'Inputs'!$B$32)/1000+'Inputs'!$B$21))^2+('Inputs'!$B$6/2)^2)))-'Results'!C7*(0.5*((((967-43)*MAX('Inputs'!$B$33,'Inputs'!$B$29+'Inputs'!$B$31+'Inputs'!$B$32,'Inputs'!$B$30+'Inputs'!$B$31+'Inputs'!$B$32)/1000+'Inputs'!$B$21+'Inputs'!$B$7+'Inputs'!$B$10)+'Inputs'!$B$9)/SQRT((((967-43)*MAX('Inputs'!$B$33,'Inputs'!$B$29+'Inputs'!$B$31+'Inputs'!$B$32,'Inputs'!$B$30+'Inputs'!$B$31+'Inputs'!$B$32)/1000+'Inputs'!$B$21+'Inputs'!$B$7+'Inputs'!$B$10)+'Inputs'!$B$9)^2+('Inputs'!$B$8/2)^2)-(((967-43)*MAX('Inputs'!$B$33,'Inputs'!$B$29+'Inputs'!$B$31+'Inputs'!$B$32,'Inputs'!$B$30+'Inputs'!$B$31+'Inputs'!$B$32)/1000+'Inputs'!$B$21+'Inputs'!$B$7+'Inputs'!$B$10))/SQRT((((967-43)*MAX('Inputs'!$B$33,'Inputs'!$B$29+'Inputs'!$B$31+'Inputs'!$B$32,'Inputs'!$B$30+'Inputs'!$B$31+'Inputs'!$B$32)/1000+'Inputs'!$B$21+'Inputs'!$B$7+'Inputs'!$B$10))^2+('Inputs'!$B$8/2)^2))))*'Results'!$B$8),"")</x:f>
        <x:v>0.47630798476160513</x:v>
      </x:c>
      <x:c r="K967" t="n">
        <x:f>IF(AND(ISNUMBER('Results'!B7),ISNUMBER('Results'!C7),ISNUMBER('Results'!$B$8),ISNUMBER('Inputs'!$B$6),ISNUMBER('Inputs'!$B$7),ISNUMBER('Inputs'!$B$8),ISNUMBER('Inputs'!$B$9),ISNUMBER('Inputs'!$B$10),ISNUMBER('Inputs'!$B$21),ISNUMBER('Inputs'!$B$24),ISNUMBER('Inputs'!$B$28)),((('Results'!B7*(1-'Inputs'!$B$24)*(0.5*((((967-43)*MAX('Inputs'!$B$33,'Inputs'!$B$29+'Inputs'!$B$31+'Inputs'!$B$32,'Inputs'!$B$30+'Inputs'!$B$31+'Inputs'!$B$32)/1000+'Inputs'!$B$21)+'Inputs'!$B$7)/SQRT((((967-43)*MAX('Inputs'!$B$33,'Inputs'!$B$29+'Inputs'!$B$31+'Inputs'!$B$32,'Inputs'!$B$30+'Inputs'!$B$31+'Inputs'!$B$32)/1000+'Inputs'!$B$21)+'Inputs'!$B$7)^2+('Inputs'!$B$6/2)^2)-(((967-43)*MAX('Inputs'!$B$33,'Inputs'!$B$29+'Inputs'!$B$31+'Inputs'!$B$32,'Inputs'!$B$30+'Inputs'!$B$31+'Inputs'!$B$32)/1000+'Inputs'!$B$21))/SQRT((((967-43)*MAX('Inputs'!$B$33,'Inputs'!$B$29+'Inputs'!$B$31+'Inputs'!$B$32,'Inputs'!$B$30+'Inputs'!$B$31+'Inputs'!$B$32)/1000+'Inputs'!$B$21))^2+('Inputs'!$B$6/2)^2)))-'Results'!C7*(1+'Inputs'!$B$24)*(0.5*((((967-43)*MAX('Inputs'!$B$33,'Inputs'!$B$29+'Inputs'!$B$31+'Inputs'!$B$32,'Inputs'!$B$30+'Inputs'!$B$31+'Inputs'!$B$32)/1000+'Inputs'!$B$21+'Inputs'!$B$7+'Inputs'!$B$10)+'Inputs'!$B$9)/SQRT((((967-43)*MAX('Inputs'!$B$33,'Inputs'!$B$29+'Inputs'!$B$31+'Inputs'!$B$32,'Inputs'!$B$30+'Inputs'!$B$31+'Inputs'!$B$32)/1000+'Inputs'!$B$21+'Inputs'!$B$7+'Inputs'!$B$10)+'Inputs'!$B$9)^2+('Inputs'!$B$8/2)^2)-(((967-43)*MAX('Inputs'!$B$33,'Inputs'!$B$29+'Inputs'!$B$31+'Inputs'!$B$32,'Inputs'!$B$30+'Inputs'!$B$31+'Inputs'!$B$32)/1000+'Inputs'!$B$21+'Inputs'!$B$7+'Inputs'!$B$10))/SQRT((((967-43)*MAX('Inputs'!$B$33,'Inputs'!$B$29+'Inputs'!$B$31+'Inputs'!$B$32,'Inputs'!$B$30+'Inputs'!$B$31+'Inputs'!$B$32)/1000+'Inputs'!$B$21+'Inputs'!$B$7+'Inputs'!$B$10))^2+('Inputs'!$B$8/2)^2))))*'Results'!$B$8)-'Inputs'!$B$28*ABS((('Results'!B7*(1-'Inputs'!$B$24)*(0.5*((((967-43)*MAX('Inputs'!$B$33,'Inputs'!$B$29+'Inputs'!$B$31+'Inputs'!$B$32,'Inputs'!$B$30+'Inputs'!$B$31+'Inputs'!$B$32)/1000+'Inputs'!$B$21)+'Inputs'!$B$7)/SQRT((((967-43)*MAX('Inputs'!$B$33,'Inputs'!$B$29+'Inputs'!$B$31+'Inputs'!$B$32,'Inputs'!$B$30+'Inputs'!$B$31+'Inputs'!$B$32)/1000+'Inputs'!$B$21)+'Inputs'!$B$7)^2+('Inputs'!$B$6/2)^2)-(((967-43)*MAX('Inputs'!$B$33,'Inputs'!$B$29+'Inputs'!$B$31+'Inputs'!$B$32,'Inputs'!$B$30+'Inputs'!$B$31+'Inputs'!$B$32)/1000+'Inputs'!$B$21))/SQRT((((967-43)*MAX('Inputs'!$B$33,'Inputs'!$B$29+'Inputs'!$B$31+'Inputs'!$B$32,'Inputs'!$B$30+'Inputs'!$B$31+'Inputs'!$B$32)/1000+'Inputs'!$B$21))^2+('Inputs'!$B$6/2)^2)))-'Results'!C7*(1+'Inputs'!$B$24)*(0.5*((((967-43)*MAX('Inputs'!$B$33,'Inputs'!$B$29+'Inputs'!$B$31+'Inputs'!$B$32,'Inputs'!$B$30+'Inputs'!$B$31+'Inputs'!$B$32)/1000+'Inputs'!$B$21+'Inputs'!$B$7+'Inputs'!$B$10)+'Inputs'!$B$9)/SQRT((((967-43)*MAX('Inputs'!$B$33,'Inputs'!$B$29+'Inputs'!$B$31+'Inputs'!$B$32,'Inputs'!$B$30+'Inputs'!$B$31+'Inputs'!$B$32)/1000+'Inputs'!$B$21+'Inputs'!$B$7+'Inputs'!$B$10)+'Inputs'!$B$9)^2+('Inputs'!$B$8/2)^2)-(((967-43)*MAX('Inputs'!$B$33,'Inputs'!$B$29+'Inputs'!$B$31+'Inputs'!$B$32,'Inputs'!$B$30+'Inputs'!$B$31+'Inputs'!$B$32)/1000+'Inputs'!$B$21+'Inputs'!$B$7+'Inputs'!$B$10))/SQRT((((967-43)*MAX('Inputs'!$B$33,'Inputs'!$B$29+'Inputs'!$B$31+'Inputs'!$B$32,'Inputs'!$B$30+'Inputs'!$B$31+'Inputs'!$B$32)/1000+'Inputs'!$B$21+'Inputs'!$B$7+'Inputs'!$B$10))^2+('Inputs'!$B$8/2)^2))))*'Results'!$B$8))),"")</x:f>
        <x:v>0.4019826150414188</x:v>
      </x:c>
      <x:c r="L967" t="n">
        <x:f>IF(AND(ISNUMBER('Results'!B7),ISNUMBER('Results'!C7),ISNUMBER('Results'!$B$8),ISNUMBER('Inputs'!$B$6),ISNUMBER('Inputs'!$B$7),ISNUMBER('Inputs'!$B$8),ISNUMBER('Inputs'!$B$9),ISNUMBER('Inputs'!$B$10),ISNUMBER('Inputs'!$B$21),ISNUMBER('Inputs'!$B$24),ISNUMBER('Inputs'!$B$28)),((('Results'!B7*(1+'Inputs'!$B$24)*(0.5*((((967-43)*MAX('Inputs'!$B$33,'Inputs'!$B$29+'Inputs'!$B$31+'Inputs'!$B$32,'Inputs'!$B$30+'Inputs'!$B$31+'Inputs'!$B$32)/1000+'Inputs'!$B$21)+'Inputs'!$B$7)/SQRT((((967-43)*MAX('Inputs'!$B$33,'Inputs'!$B$29+'Inputs'!$B$31+'Inputs'!$B$32,'Inputs'!$B$30+'Inputs'!$B$31+'Inputs'!$B$32)/1000+'Inputs'!$B$21)+'Inputs'!$B$7)^2+('Inputs'!$B$6/2)^2)-(((967-43)*MAX('Inputs'!$B$33,'Inputs'!$B$29+'Inputs'!$B$31+'Inputs'!$B$32,'Inputs'!$B$30+'Inputs'!$B$31+'Inputs'!$B$32)/1000+'Inputs'!$B$21))/SQRT((((967-43)*MAX('Inputs'!$B$33,'Inputs'!$B$29+'Inputs'!$B$31+'Inputs'!$B$32,'Inputs'!$B$30+'Inputs'!$B$31+'Inputs'!$B$32)/1000+'Inputs'!$B$21))^2+('Inputs'!$B$6/2)^2)))-'Results'!C7*(1-'Inputs'!$B$24)*(0.5*((((967-43)*MAX('Inputs'!$B$33,'Inputs'!$B$29+'Inputs'!$B$31+'Inputs'!$B$32,'Inputs'!$B$30+'Inputs'!$B$31+'Inputs'!$B$32)/1000+'Inputs'!$B$21+'Inputs'!$B$7+'Inputs'!$B$10)+'Inputs'!$B$9)/SQRT((((967-43)*MAX('Inputs'!$B$33,'Inputs'!$B$29+'Inputs'!$B$31+'Inputs'!$B$32,'Inputs'!$B$30+'Inputs'!$B$31+'Inputs'!$B$32)/1000+'Inputs'!$B$21+'Inputs'!$B$7+'Inputs'!$B$10)+'Inputs'!$B$9)^2+('Inputs'!$B$8/2)^2)-(((967-43)*MAX('Inputs'!$B$33,'Inputs'!$B$29+'Inputs'!$B$31+'Inputs'!$B$32,'Inputs'!$B$30+'Inputs'!$B$31+'Inputs'!$B$32)/1000+'Inputs'!$B$21+'Inputs'!$B$7+'Inputs'!$B$10))/SQRT((((967-43)*MAX('Inputs'!$B$33,'Inputs'!$B$29+'Inputs'!$B$31+'Inputs'!$B$32,'Inputs'!$B$30+'Inputs'!$B$31+'Inputs'!$B$32)/1000+'Inputs'!$B$21+'Inputs'!$B$7+'Inputs'!$B$10))^2+('Inputs'!$B$8/2)^2))))*'Results'!$B$8)+'Inputs'!$B$28*ABS((('Results'!B7*(1+'Inputs'!$B$24)*(0.5*((((967-43)*MAX('Inputs'!$B$33,'Inputs'!$B$29+'Inputs'!$B$31+'Inputs'!$B$32,'Inputs'!$B$30+'Inputs'!$B$31+'Inputs'!$B$32)/1000+'Inputs'!$B$21)+'Inputs'!$B$7)/SQRT((((967-43)*MAX('Inputs'!$B$33,'Inputs'!$B$29+'Inputs'!$B$31+'Inputs'!$B$32,'Inputs'!$B$30+'Inputs'!$B$31+'Inputs'!$B$32)/1000+'Inputs'!$B$21)+'Inputs'!$B$7)^2+('Inputs'!$B$6/2)^2)-(((967-43)*MAX('Inputs'!$B$33,'Inputs'!$B$29+'Inputs'!$B$31+'Inputs'!$B$32,'Inputs'!$B$30+'Inputs'!$B$31+'Inputs'!$B$32)/1000+'Inputs'!$B$21))/SQRT((((967-43)*MAX('Inputs'!$B$33,'Inputs'!$B$29+'Inputs'!$B$31+'Inputs'!$B$32,'Inputs'!$B$30+'Inputs'!$B$31+'Inputs'!$B$32)/1000+'Inputs'!$B$21))^2+('Inputs'!$B$6/2)^2)))-'Results'!C7*(1-'Inputs'!$B$24)*(0.5*((((967-43)*MAX('Inputs'!$B$33,'Inputs'!$B$29+'Inputs'!$B$31+'Inputs'!$B$32,'Inputs'!$B$30+'Inputs'!$B$31+'Inputs'!$B$32)/1000+'Inputs'!$B$21+'Inputs'!$B$7+'Inputs'!$B$10)+'Inputs'!$B$9)/SQRT((((967-43)*MAX('Inputs'!$B$33,'Inputs'!$B$29+'Inputs'!$B$31+'Inputs'!$B$32,'Inputs'!$B$30+'Inputs'!$B$31+'Inputs'!$B$32)/1000+'Inputs'!$B$21+'Inputs'!$B$7+'Inputs'!$B$10)+'Inputs'!$B$9)^2+('Inputs'!$B$8/2)^2)-(((967-43)*MAX('Inputs'!$B$33,'Inputs'!$B$29+'Inputs'!$B$31+'Inputs'!$B$32,'Inputs'!$B$30+'Inputs'!$B$31+'Inputs'!$B$32)/1000+'Inputs'!$B$21+'Inputs'!$B$7+'Inputs'!$B$10))/SQRT((((967-43)*MAX('Inputs'!$B$33,'Inputs'!$B$29+'Inputs'!$B$31+'Inputs'!$B$32,'Inputs'!$B$30+'Inputs'!$B$31+'Inputs'!$B$32)/1000+'Inputs'!$B$21+'Inputs'!$B$7+'Inputs'!$B$10))^2+('Inputs'!$B$8/2)^2))))*'Results'!$B$8))),"")</x:f>
        <x:v>0.5559501934799082</x:v>
      </x:c>
      <x:c r="M967" t="n">
        <x:f>IF(AND(ISNUMBER('Results'!C7),ISNUMBER('Results'!B7),ISNUMBER('Results'!$B$8),ISNUMBER('Inputs'!$B$6),ISNUMBER('Inputs'!$B$7),ISNUMBER('Inputs'!$B$8),ISNUMBER('Inputs'!$B$9),ISNUMBER('Inputs'!$B$10),ISNUMBER('Inputs'!$B$21),ISNUMBER('Inputs'!$B$24),ISNUMBER('Inputs'!$B$28)),(('Results'!C7*(0.5*((((967-43)*MAX('Inputs'!$B$33,'Inputs'!$B$29+'Inputs'!$B$31+'Inputs'!$B$32,'Inputs'!$B$30+'Inputs'!$B$31+'Inputs'!$B$32)/1000+'Inputs'!$B$21)+'Inputs'!$B$9)/SQRT((((967-43)*MAX('Inputs'!$B$33,'Inputs'!$B$29+'Inputs'!$B$31+'Inputs'!$B$32,'Inputs'!$B$30+'Inputs'!$B$31+'Inputs'!$B$32)/1000+'Inputs'!$B$21)+'Inputs'!$B$9)^2+('Inputs'!$B$8/2)^2)-(((967-43)*MAX('Inputs'!$B$33,'Inputs'!$B$29+'Inputs'!$B$31+'Inputs'!$B$32,'Inputs'!$B$30+'Inputs'!$B$31+'Inputs'!$B$32)/1000+'Inputs'!$B$21))/SQRT((((967-43)*MAX('Inputs'!$B$33,'Inputs'!$B$29+'Inputs'!$B$31+'Inputs'!$B$32,'Inputs'!$B$30+'Inputs'!$B$31+'Inputs'!$B$32)/1000+'Inputs'!$B$21))^2+('Inputs'!$B$8/2)^2)))-'Results'!B7*(0.5*((((967-43)*MAX('Inputs'!$B$33,'Inputs'!$B$29+'Inputs'!$B$31+'Inputs'!$B$32,'Inputs'!$B$30+'Inputs'!$B$31+'Inputs'!$B$32)/1000+'Inputs'!$B$21+'Inputs'!$B$9+'Inputs'!$B$10)+'Inputs'!$B$7)/SQRT((((967-43)*MAX('Inputs'!$B$33,'Inputs'!$B$29+'Inputs'!$B$31+'Inputs'!$B$32,'Inputs'!$B$30+'Inputs'!$B$31+'Inputs'!$B$32)/1000+'Inputs'!$B$21+'Inputs'!$B$9+'Inputs'!$B$10)+'Inputs'!$B$7)^2+('Inputs'!$B$6/2)^2)-(((967-43)*MAX('Inputs'!$B$33,'Inputs'!$B$29+'Inputs'!$B$31+'Inputs'!$B$32,'Inputs'!$B$30+'Inputs'!$B$31+'Inputs'!$B$32)/1000+'Inputs'!$B$21+'Inputs'!$B$9+'Inputs'!$B$10))/SQRT((((967-43)*MAX('Inputs'!$B$33,'Inputs'!$B$29+'Inputs'!$B$31+'Inputs'!$B$32,'Inputs'!$B$30+'Inputs'!$B$31+'Inputs'!$B$32)/1000+'Inputs'!$B$21+'Inputs'!$B$9+'Inputs'!$B$10))^2+('Inputs'!$B$6/2)^2))))*'Results'!$B$8),"")</x:f>
        <x:v>0.4226942658999722</x:v>
      </x:c>
      <x:c r="N967" t="n">
        <x:f>IF(AND(ISNUMBER('Results'!C7),ISNUMBER('Results'!B7),ISNUMBER('Results'!$B$8),ISNUMBER('Inputs'!$B$6),ISNUMBER('Inputs'!$B$7),ISNUMBER('Inputs'!$B$8),ISNUMBER('Inputs'!$B$9),ISNUMBER('Inputs'!$B$10),ISNUMBER('Inputs'!$B$21),ISNUMBER('Inputs'!$B$24),ISNUMBER('Inputs'!$B$28)),((('Results'!C7*(1-'Inputs'!$B$24)*(0.5*((((967-43)*MAX('Inputs'!$B$33,'Inputs'!$B$29+'Inputs'!$B$31+'Inputs'!$B$32,'Inputs'!$B$30+'Inputs'!$B$31+'Inputs'!$B$32)/1000+'Inputs'!$B$21)+'Inputs'!$B$9)/SQRT((((967-43)*MAX('Inputs'!$B$33,'Inputs'!$B$29+'Inputs'!$B$31+'Inputs'!$B$32,'Inputs'!$B$30+'Inputs'!$B$31+'Inputs'!$B$32)/1000+'Inputs'!$B$21)+'Inputs'!$B$9)^2+('Inputs'!$B$8/2)^2)-(((967-43)*MAX('Inputs'!$B$33,'Inputs'!$B$29+'Inputs'!$B$31+'Inputs'!$B$32,'Inputs'!$B$30+'Inputs'!$B$31+'Inputs'!$B$32)/1000+'Inputs'!$B$21))/SQRT((((967-43)*MAX('Inputs'!$B$33,'Inputs'!$B$29+'Inputs'!$B$31+'Inputs'!$B$32,'Inputs'!$B$30+'Inputs'!$B$31+'Inputs'!$B$32)/1000+'Inputs'!$B$21))^2+('Inputs'!$B$8/2)^2)))-'Results'!B7*(1+'Inputs'!$B$24)*(0.5*((((967-43)*MAX('Inputs'!$B$33,'Inputs'!$B$29+'Inputs'!$B$31+'Inputs'!$B$32,'Inputs'!$B$30+'Inputs'!$B$31+'Inputs'!$B$32)/1000+'Inputs'!$B$21+'Inputs'!$B$9+'Inputs'!$B$10)+'Inputs'!$B$7)/SQRT((((967-43)*MAX('Inputs'!$B$33,'Inputs'!$B$29+'Inputs'!$B$31+'Inputs'!$B$32,'Inputs'!$B$30+'Inputs'!$B$31+'Inputs'!$B$32)/1000+'Inputs'!$B$21+'Inputs'!$B$9+'Inputs'!$B$10)+'Inputs'!$B$7)^2+('Inputs'!$B$6/2)^2)-(((967-43)*MAX('Inputs'!$B$33,'Inputs'!$B$29+'Inputs'!$B$31+'Inputs'!$B$32,'Inputs'!$B$30+'Inputs'!$B$31+'Inputs'!$B$32)/1000+'Inputs'!$B$21+'Inputs'!$B$9+'Inputs'!$B$10))/SQRT((((967-43)*MAX('Inputs'!$B$33,'Inputs'!$B$29+'Inputs'!$B$31+'Inputs'!$B$32,'Inputs'!$B$30+'Inputs'!$B$31+'Inputs'!$B$32)/1000+'Inputs'!$B$21+'Inputs'!$B$9+'Inputs'!$B$10))^2+('Inputs'!$B$6/2)^2))))*'Results'!$B$8)-'Inputs'!$B$28*ABS((('Results'!C7*(1-'Inputs'!$B$24)*(0.5*((((967-43)*MAX('Inputs'!$B$33,'Inputs'!$B$29+'Inputs'!$B$31+'Inputs'!$B$32,'Inputs'!$B$30+'Inputs'!$B$31+'Inputs'!$B$32)/1000+'Inputs'!$B$21)+'Inputs'!$B$9)/SQRT((((967-43)*MAX('Inputs'!$B$33,'Inputs'!$B$29+'Inputs'!$B$31+'Inputs'!$B$32,'Inputs'!$B$30+'Inputs'!$B$31+'Inputs'!$B$32)/1000+'Inputs'!$B$21)+'Inputs'!$B$9)^2+('Inputs'!$B$8/2)^2)-(((967-43)*MAX('Inputs'!$B$33,'Inputs'!$B$29+'Inputs'!$B$31+'Inputs'!$B$32,'Inputs'!$B$30+'Inputs'!$B$31+'Inputs'!$B$32)/1000+'Inputs'!$B$21))/SQRT((((967-43)*MAX('Inputs'!$B$33,'Inputs'!$B$29+'Inputs'!$B$31+'Inputs'!$B$32,'Inputs'!$B$30+'Inputs'!$B$31+'Inputs'!$B$32)/1000+'Inputs'!$B$21))^2+('Inputs'!$B$8/2)^2)))-'Results'!B7*(1+'Inputs'!$B$24)*(0.5*((((967-43)*MAX('Inputs'!$B$33,'Inputs'!$B$29+'Inputs'!$B$31+'Inputs'!$B$32,'Inputs'!$B$30+'Inputs'!$B$31+'Inputs'!$B$32)/1000+'Inputs'!$B$21+'Inputs'!$B$9+'Inputs'!$B$10)+'Inputs'!$B$7)/SQRT((((967-43)*MAX('Inputs'!$B$33,'Inputs'!$B$29+'Inputs'!$B$31+'Inputs'!$B$32,'Inputs'!$B$30+'Inputs'!$B$31+'Inputs'!$B$32)/1000+'Inputs'!$B$21+'Inputs'!$B$9+'Inputs'!$B$10)+'Inputs'!$B$7)^2+('Inputs'!$B$6/2)^2)-(((967-43)*MAX('Inputs'!$B$33,'Inputs'!$B$29+'Inputs'!$B$31+'Inputs'!$B$32,'Inputs'!$B$30+'Inputs'!$B$31+'Inputs'!$B$32)/1000+'Inputs'!$B$21+'Inputs'!$B$9+'Inputs'!$B$10))/SQRT((((967-43)*MAX('Inputs'!$B$33,'Inputs'!$B$29+'Inputs'!$B$31+'Inputs'!$B$32,'Inputs'!$B$30+'Inputs'!$B$31+'Inputs'!$B$32)/1000+'Inputs'!$B$21+'Inputs'!$B$9+'Inputs'!$B$10))^2+('Inputs'!$B$6/2)^2))))*'Results'!$B$8))),"")</x:f>
        <x:v>0.351222117908348</x:v>
      </x:c>
      <x:c r="O967" t="n">
        <x:f>IF(AND(ISNUMBER('Results'!C7),ISNUMBER('Results'!B7),ISNUMBER('Results'!$B$8),ISNUMBER('Inputs'!$B$6),ISNUMBER('Inputs'!$B$7),ISNUMBER('Inputs'!$B$8),ISNUMBER('Inputs'!$B$9),ISNUMBER('Inputs'!$B$10),ISNUMBER('Inputs'!$B$21),ISNUMBER('Inputs'!$B$24),ISNUMBER('Inputs'!$B$28)),((('Results'!C7*(1+'Inputs'!$B$24)*(0.5*((((967-43)*MAX('Inputs'!$B$33,'Inputs'!$B$29+'Inputs'!$B$31+'Inputs'!$B$32,'Inputs'!$B$30+'Inputs'!$B$31+'Inputs'!$B$32)/1000+'Inputs'!$B$21)+'Inputs'!$B$9)/SQRT((((967-43)*MAX('Inputs'!$B$33,'Inputs'!$B$29+'Inputs'!$B$31+'Inputs'!$B$32,'Inputs'!$B$30+'Inputs'!$B$31+'Inputs'!$B$32)/1000+'Inputs'!$B$21)+'Inputs'!$B$9)^2+('Inputs'!$B$8/2)^2)-(((967-43)*MAX('Inputs'!$B$33,'Inputs'!$B$29+'Inputs'!$B$31+'Inputs'!$B$32,'Inputs'!$B$30+'Inputs'!$B$31+'Inputs'!$B$32)/1000+'Inputs'!$B$21))/SQRT((((967-43)*MAX('Inputs'!$B$33,'Inputs'!$B$29+'Inputs'!$B$31+'Inputs'!$B$32,'Inputs'!$B$30+'Inputs'!$B$31+'Inputs'!$B$32)/1000+'Inputs'!$B$21))^2+('Inputs'!$B$8/2)^2)))-'Results'!B7*(1-'Inputs'!$B$24)*(0.5*((((967-43)*MAX('Inputs'!$B$33,'Inputs'!$B$29+'Inputs'!$B$31+'Inputs'!$B$32,'Inputs'!$B$30+'Inputs'!$B$31+'Inputs'!$B$32)/1000+'Inputs'!$B$21+'Inputs'!$B$9+'Inputs'!$B$10)+'Inputs'!$B$7)/SQRT((((967-43)*MAX('Inputs'!$B$33,'Inputs'!$B$29+'Inputs'!$B$31+'Inputs'!$B$32,'Inputs'!$B$30+'Inputs'!$B$31+'Inputs'!$B$32)/1000+'Inputs'!$B$21+'Inputs'!$B$9+'Inputs'!$B$10)+'Inputs'!$B$7)^2+('Inputs'!$B$6/2)^2)-(((967-43)*MAX('Inputs'!$B$33,'Inputs'!$B$29+'Inputs'!$B$31+'Inputs'!$B$32,'Inputs'!$B$30+'Inputs'!$B$31+'Inputs'!$B$32)/1000+'Inputs'!$B$21+'Inputs'!$B$9+'Inputs'!$B$10))/SQRT((((967-43)*MAX('Inputs'!$B$33,'Inputs'!$B$29+'Inputs'!$B$31+'Inputs'!$B$32,'Inputs'!$B$30+'Inputs'!$B$31+'Inputs'!$B$32)/1000+'Inputs'!$B$21+'Inputs'!$B$9+'Inputs'!$B$10))^2+('Inputs'!$B$6/2)^2))))*'Results'!$B$8)+'Inputs'!$B$28*ABS((('Results'!C7*(1+'Inputs'!$B$24)*(0.5*((((967-43)*MAX('Inputs'!$B$33,'Inputs'!$B$29+'Inputs'!$B$31+'Inputs'!$B$32,'Inputs'!$B$30+'Inputs'!$B$31+'Inputs'!$B$32)/1000+'Inputs'!$B$21)+'Inputs'!$B$9)/SQRT((((967-43)*MAX('Inputs'!$B$33,'Inputs'!$B$29+'Inputs'!$B$31+'Inputs'!$B$32,'Inputs'!$B$30+'Inputs'!$B$31+'Inputs'!$B$32)/1000+'Inputs'!$B$21)+'Inputs'!$B$9)^2+('Inputs'!$B$8/2)^2)-(((967-43)*MAX('Inputs'!$B$33,'Inputs'!$B$29+'Inputs'!$B$31+'Inputs'!$B$32,'Inputs'!$B$30+'Inputs'!$B$31+'Inputs'!$B$32)/1000+'Inputs'!$B$21))/SQRT((((967-43)*MAX('Inputs'!$B$33,'Inputs'!$B$29+'Inputs'!$B$31+'Inputs'!$B$32,'Inputs'!$B$30+'Inputs'!$B$31+'Inputs'!$B$32)/1000+'Inputs'!$B$21))^2+('Inputs'!$B$8/2)^2)))-'Results'!B7*(1-'Inputs'!$B$24)*(0.5*((((967-43)*MAX('Inputs'!$B$33,'Inputs'!$B$29+'Inputs'!$B$31+'Inputs'!$B$32,'Inputs'!$B$30+'Inputs'!$B$31+'Inputs'!$B$32)/1000+'Inputs'!$B$21+'Inputs'!$B$9+'Inputs'!$B$10)+'Inputs'!$B$7)/SQRT((((967-43)*MAX('Inputs'!$B$33,'Inputs'!$B$29+'Inputs'!$B$31+'Inputs'!$B$32,'Inputs'!$B$30+'Inputs'!$B$31+'Inputs'!$B$32)/1000+'Inputs'!$B$21+'Inputs'!$B$9+'Inputs'!$B$10)+'Inputs'!$B$7)^2+('Inputs'!$B$6/2)^2)-(((967-43)*MAX('Inputs'!$B$33,'Inputs'!$B$29+'Inputs'!$B$31+'Inputs'!$B$32,'Inputs'!$B$30+'Inputs'!$B$31+'Inputs'!$B$32)/1000+'Inputs'!$B$21+'Inputs'!$B$9+'Inputs'!$B$10))/SQRT((((967-43)*MAX('Inputs'!$B$33,'Inputs'!$B$29+'Inputs'!$B$31+'Inputs'!$B$32,'Inputs'!$B$30+'Inputs'!$B$31+'Inputs'!$B$32)/1000+'Inputs'!$B$21+'Inputs'!$B$9+'Inputs'!$B$10))^2+('Inputs'!$B$6/2)^2))))*'Results'!$B$8))),"")</x:f>
        <x:v>0.4994650912280835</x:v>
      </x:c>
      <x:c r="P967" t="n">
        <x:f>IF(AND(MAX(J967,J966)&gt;0,J967&gt;J966+0.00000001),1,0)</x:f>
        <x:v>0</x:v>
      </x:c>
      <x:c r="Q967" t="n">
        <x:f>IF(AND(MAX(K967,K966)&gt;0,K967&gt;K966+0.00000001),1,0)</x:f>
        <x:v>0</x:v>
      </x:c>
      <x:c r="R967" t="n">
        <x:f>IF(AND(MAX(L967,L966)&gt;0,L967&gt;L966+0.00000001),1,0)</x:f>
        <x:v>0</x:v>
      </x:c>
      <x:c r="S967" t="n">
        <x:f>IF(AND(MAX(M967,M966)&gt;0,M967&gt;M966+0.00000001),1,0)</x:f>
        <x:v>0</x:v>
      </x:c>
      <x:c r="T967" t="n">
        <x:f>IF(AND(MAX(N967,N966)&gt;0,N967&gt;N966+0.00000001),1,0)</x:f>
        <x:v>0</x:v>
      </x:c>
      <x:c r="U967" t="n">
        <x:f>IF(AND(MAX(O967,O966)&gt;0,O967&gt;O966+0.00000001),1,0)</x:f>
        <x:v>0</x:v>
      </x:c>
    </x:row>
    <x:row r="968">
      <x:c r="J968" t="n">
        <x:f>IF(AND(ISNUMBER('Results'!B7),ISNUMBER('Results'!C7),ISNUMBER('Results'!$B$8),ISNUMBER('Inputs'!$B$6),ISNUMBER('Inputs'!$B$7),ISNUMBER('Inputs'!$B$8),ISNUMBER('Inputs'!$B$9),ISNUMBER('Inputs'!$B$10),ISNUMBER('Inputs'!$B$21),ISNUMBER('Inputs'!$B$24),ISNUMBER('Inputs'!$B$28)),(('Results'!B7*(0.5*((((968-43)*MAX('Inputs'!$B$33,'Inputs'!$B$29+'Inputs'!$B$31+'Inputs'!$B$32,'Inputs'!$B$30+'Inputs'!$B$31+'Inputs'!$B$32)/1000+'Inputs'!$B$21)+'Inputs'!$B$7)/SQRT((((968-43)*MAX('Inputs'!$B$33,'Inputs'!$B$29+'Inputs'!$B$31+'Inputs'!$B$32,'Inputs'!$B$30+'Inputs'!$B$31+'Inputs'!$B$32)/1000+'Inputs'!$B$21)+'Inputs'!$B$7)^2+('Inputs'!$B$6/2)^2)-(((968-43)*MAX('Inputs'!$B$33,'Inputs'!$B$29+'Inputs'!$B$31+'Inputs'!$B$32,'Inputs'!$B$30+'Inputs'!$B$31+'Inputs'!$B$32)/1000+'Inputs'!$B$21))/SQRT((((968-43)*MAX('Inputs'!$B$33,'Inputs'!$B$29+'Inputs'!$B$31+'Inputs'!$B$32,'Inputs'!$B$30+'Inputs'!$B$31+'Inputs'!$B$32)/1000+'Inputs'!$B$21))^2+('Inputs'!$B$6/2)^2)))-'Results'!C7*(0.5*((((968-43)*MAX('Inputs'!$B$33,'Inputs'!$B$29+'Inputs'!$B$31+'Inputs'!$B$32,'Inputs'!$B$30+'Inputs'!$B$31+'Inputs'!$B$32)/1000+'Inputs'!$B$21+'Inputs'!$B$7+'Inputs'!$B$10)+'Inputs'!$B$9)/SQRT((((968-43)*MAX('Inputs'!$B$33,'Inputs'!$B$29+'Inputs'!$B$31+'Inputs'!$B$32,'Inputs'!$B$30+'Inputs'!$B$31+'Inputs'!$B$32)/1000+'Inputs'!$B$21+'Inputs'!$B$7+'Inputs'!$B$10)+'Inputs'!$B$9)^2+('Inputs'!$B$8/2)^2)-(((968-43)*MAX('Inputs'!$B$33,'Inputs'!$B$29+'Inputs'!$B$31+'Inputs'!$B$32,'Inputs'!$B$30+'Inputs'!$B$31+'Inputs'!$B$32)/1000+'Inputs'!$B$21+'Inputs'!$B$7+'Inputs'!$B$10))/SQRT((((968-43)*MAX('Inputs'!$B$33,'Inputs'!$B$29+'Inputs'!$B$31+'Inputs'!$B$32,'Inputs'!$B$30+'Inputs'!$B$31+'Inputs'!$B$32)/1000+'Inputs'!$B$21+'Inputs'!$B$7+'Inputs'!$B$10))^2+('Inputs'!$B$8/2)^2))))*'Results'!$B$8),"")</x:f>
        <x:v>0.4744391933667556</x:v>
      </x:c>
      <x:c r="K968" t="n">
        <x:f>IF(AND(ISNUMBER('Results'!B7),ISNUMBER('Results'!C7),ISNUMBER('Results'!$B$8),ISNUMBER('Inputs'!$B$6),ISNUMBER('Inputs'!$B$7),ISNUMBER('Inputs'!$B$8),ISNUMBER('Inputs'!$B$9),ISNUMBER('Inputs'!$B$10),ISNUMBER('Inputs'!$B$21),ISNUMBER('Inputs'!$B$24),ISNUMBER('Inputs'!$B$28)),((('Results'!B7*(1-'Inputs'!$B$24)*(0.5*((((968-43)*MAX('Inputs'!$B$33,'Inputs'!$B$29+'Inputs'!$B$31+'Inputs'!$B$32,'Inputs'!$B$30+'Inputs'!$B$31+'Inputs'!$B$32)/1000+'Inputs'!$B$21)+'Inputs'!$B$7)/SQRT((((968-43)*MAX('Inputs'!$B$33,'Inputs'!$B$29+'Inputs'!$B$31+'Inputs'!$B$32,'Inputs'!$B$30+'Inputs'!$B$31+'Inputs'!$B$32)/1000+'Inputs'!$B$21)+'Inputs'!$B$7)^2+('Inputs'!$B$6/2)^2)-(((968-43)*MAX('Inputs'!$B$33,'Inputs'!$B$29+'Inputs'!$B$31+'Inputs'!$B$32,'Inputs'!$B$30+'Inputs'!$B$31+'Inputs'!$B$32)/1000+'Inputs'!$B$21))/SQRT((((968-43)*MAX('Inputs'!$B$33,'Inputs'!$B$29+'Inputs'!$B$31+'Inputs'!$B$32,'Inputs'!$B$30+'Inputs'!$B$31+'Inputs'!$B$32)/1000+'Inputs'!$B$21))^2+('Inputs'!$B$6/2)^2)))-'Results'!C7*(1+'Inputs'!$B$24)*(0.5*((((968-43)*MAX('Inputs'!$B$33,'Inputs'!$B$29+'Inputs'!$B$31+'Inputs'!$B$32,'Inputs'!$B$30+'Inputs'!$B$31+'Inputs'!$B$32)/1000+'Inputs'!$B$21+'Inputs'!$B$7+'Inputs'!$B$10)+'Inputs'!$B$9)/SQRT((((968-43)*MAX('Inputs'!$B$33,'Inputs'!$B$29+'Inputs'!$B$31+'Inputs'!$B$32,'Inputs'!$B$30+'Inputs'!$B$31+'Inputs'!$B$32)/1000+'Inputs'!$B$21+'Inputs'!$B$7+'Inputs'!$B$10)+'Inputs'!$B$9)^2+('Inputs'!$B$8/2)^2)-(((968-43)*MAX('Inputs'!$B$33,'Inputs'!$B$29+'Inputs'!$B$31+'Inputs'!$B$32,'Inputs'!$B$30+'Inputs'!$B$31+'Inputs'!$B$32)/1000+'Inputs'!$B$21+'Inputs'!$B$7+'Inputs'!$B$10))/SQRT((((968-43)*MAX('Inputs'!$B$33,'Inputs'!$B$29+'Inputs'!$B$31+'Inputs'!$B$32,'Inputs'!$B$30+'Inputs'!$B$31+'Inputs'!$B$32)/1000+'Inputs'!$B$21+'Inputs'!$B$7+'Inputs'!$B$10))^2+('Inputs'!$B$8/2)^2))))*'Results'!$B$8)-'Inputs'!$B$28*ABS((('Results'!B7*(1-'Inputs'!$B$24)*(0.5*((((968-43)*MAX('Inputs'!$B$33,'Inputs'!$B$29+'Inputs'!$B$31+'Inputs'!$B$32,'Inputs'!$B$30+'Inputs'!$B$31+'Inputs'!$B$32)/1000+'Inputs'!$B$21)+'Inputs'!$B$7)/SQRT((((968-43)*MAX('Inputs'!$B$33,'Inputs'!$B$29+'Inputs'!$B$31+'Inputs'!$B$32,'Inputs'!$B$30+'Inputs'!$B$31+'Inputs'!$B$32)/1000+'Inputs'!$B$21)+'Inputs'!$B$7)^2+('Inputs'!$B$6/2)^2)-(((968-43)*MAX('Inputs'!$B$33,'Inputs'!$B$29+'Inputs'!$B$31+'Inputs'!$B$32,'Inputs'!$B$30+'Inputs'!$B$31+'Inputs'!$B$32)/1000+'Inputs'!$B$21))/SQRT((((968-43)*MAX('Inputs'!$B$33,'Inputs'!$B$29+'Inputs'!$B$31+'Inputs'!$B$32,'Inputs'!$B$30+'Inputs'!$B$31+'Inputs'!$B$32)/1000+'Inputs'!$B$21))^2+('Inputs'!$B$6/2)^2)))-'Results'!C7*(1+'Inputs'!$B$24)*(0.5*((((968-43)*MAX('Inputs'!$B$33,'Inputs'!$B$29+'Inputs'!$B$31+'Inputs'!$B$32,'Inputs'!$B$30+'Inputs'!$B$31+'Inputs'!$B$32)/1000+'Inputs'!$B$21+'Inputs'!$B$7+'Inputs'!$B$10)+'Inputs'!$B$9)/SQRT((((968-43)*MAX('Inputs'!$B$33,'Inputs'!$B$29+'Inputs'!$B$31+'Inputs'!$B$32,'Inputs'!$B$30+'Inputs'!$B$31+'Inputs'!$B$32)/1000+'Inputs'!$B$21+'Inputs'!$B$7+'Inputs'!$B$10)+'Inputs'!$B$9)^2+('Inputs'!$B$8/2)^2)-(((968-43)*MAX('Inputs'!$B$33,'Inputs'!$B$29+'Inputs'!$B$31+'Inputs'!$B$32,'Inputs'!$B$30+'Inputs'!$B$31+'Inputs'!$B$32)/1000+'Inputs'!$B$21+'Inputs'!$B$7+'Inputs'!$B$10))/SQRT((((968-43)*MAX('Inputs'!$B$33,'Inputs'!$B$29+'Inputs'!$B$31+'Inputs'!$B$32,'Inputs'!$B$30+'Inputs'!$B$31+'Inputs'!$B$32)/1000+'Inputs'!$B$21+'Inputs'!$B$7+'Inputs'!$B$10))^2+('Inputs'!$B$8/2)^2))))*'Results'!$B$8))),"")</x:f>
        <x:v>0.40035945060488426</x:v>
      </x:c>
      <x:c r="L968" t="n">
        <x:f>IF(AND(ISNUMBER('Results'!B7),ISNUMBER('Results'!C7),ISNUMBER('Results'!$B$8),ISNUMBER('Inputs'!$B$6),ISNUMBER('Inputs'!$B$7),ISNUMBER('Inputs'!$B$8),ISNUMBER('Inputs'!$B$9),ISNUMBER('Inputs'!$B$10),ISNUMBER('Inputs'!$B$21),ISNUMBER('Inputs'!$B$24),ISNUMBER('Inputs'!$B$28)),((('Results'!B7*(1+'Inputs'!$B$24)*(0.5*((((968-43)*MAX('Inputs'!$B$33,'Inputs'!$B$29+'Inputs'!$B$31+'Inputs'!$B$32,'Inputs'!$B$30+'Inputs'!$B$31+'Inputs'!$B$32)/1000+'Inputs'!$B$21)+'Inputs'!$B$7)/SQRT((((968-43)*MAX('Inputs'!$B$33,'Inputs'!$B$29+'Inputs'!$B$31+'Inputs'!$B$32,'Inputs'!$B$30+'Inputs'!$B$31+'Inputs'!$B$32)/1000+'Inputs'!$B$21)+'Inputs'!$B$7)^2+('Inputs'!$B$6/2)^2)-(((968-43)*MAX('Inputs'!$B$33,'Inputs'!$B$29+'Inputs'!$B$31+'Inputs'!$B$32,'Inputs'!$B$30+'Inputs'!$B$31+'Inputs'!$B$32)/1000+'Inputs'!$B$21))/SQRT((((968-43)*MAX('Inputs'!$B$33,'Inputs'!$B$29+'Inputs'!$B$31+'Inputs'!$B$32,'Inputs'!$B$30+'Inputs'!$B$31+'Inputs'!$B$32)/1000+'Inputs'!$B$21))^2+('Inputs'!$B$6/2)^2)))-'Results'!C7*(1-'Inputs'!$B$24)*(0.5*((((968-43)*MAX('Inputs'!$B$33,'Inputs'!$B$29+'Inputs'!$B$31+'Inputs'!$B$32,'Inputs'!$B$30+'Inputs'!$B$31+'Inputs'!$B$32)/1000+'Inputs'!$B$21+'Inputs'!$B$7+'Inputs'!$B$10)+'Inputs'!$B$9)/SQRT((((968-43)*MAX('Inputs'!$B$33,'Inputs'!$B$29+'Inputs'!$B$31+'Inputs'!$B$32,'Inputs'!$B$30+'Inputs'!$B$31+'Inputs'!$B$32)/1000+'Inputs'!$B$21+'Inputs'!$B$7+'Inputs'!$B$10)+'Inputs'!$B$9)^2+('Inputs'!$B$8/2)^2)-(((968-43)*MAX('Inputs'!$B$33,'Inputs'!$B$29+'Inputs'!$B$31+'Inputs'!$B$32,'Inputs'!$B$30+'Inputs'!$B$31+'Inputs'!$B$32)/1000+'Inputs'!$B$21+'Inputs'!$B$7+'Inputs'!$B$10))/SQRT((((968-43)*MAX('Inputs'!$B$33,'Inputs'!$B$29+'Inputs'!$B$31+'Inputs'!$B$32,'Inputs'!$B$30+'Inputs'!$B$31+'Inputs'!$B$32)/1000+'Inputs'!$B$21+'Inputs'!$B$7+'Inputs'!$B$10))^2+('Inputs'!$B$8/2)^2))))*'Results'!$B$8)+'Inputs'!$B$28*ABS((('Results'!B7*(1+'Inputs'!$B$24)*(0.5*((((968-43)*MAX('Inputs'!$B$33,'Inputs'!$B$29+'Inputs'!$B$31+'Inputs'!$B$32,'Inputs'!$B$30+'Inputs'!$B$31+'Inputs'!$B$32)/1000+'Inputs'!$B$21)+'Inputs'!$B$7)/SQRT((((968-43)*MAX('Inputs'!$B$33,'Inputs'!$B$29+'Inputs'!$B$31+'Inputs'!$B$32,'Inputs'!$B$30+'Inputs'!$B$31+'Inputs'!$B$32)/1000+'Inputs'!$B$21)+'Inputs'!$B$7)^2+('Inputs'!$B$6/2)^2)-(((968-43)*MAX('Inputs'!$B$33,'Inputs'!$B$29+'Inputs'!$B$31+'Inputs'!$B$32,'Inputs'!$B$30+'Inputs'!$B$31+'Inputs'!$B$32)/1000+'Inputs'!$B$21))/SQRT((((968-43)*MAX('Inputs'!$B$33,'Inputs'!$B$29+'Inputs'!$B$31+'Inputs'!$B$32,'Inputs'!$B$30+'Inputs'!$B$31+'Inputs'!$B$32)/1000+'Inputs'!$B$21))^2+('Inputs'!$B$6/2)^2)))-'Results'!C7*(1-'Inputs'!$B$24)*(0.5*((((968-43)*MAX('Inputs'!$B$33,'Inputs'!$B$29+'Inputs'!$B$31+'Inputs'!$B$32,'Inputs'!$B$30+'Inputs'!$B$31+'Inputs'!$B$32)/1000+'Inputs'!$B$21+'Inputs'!$B$7+'Inputs'!$B$10)+'Inputs'!$B$9)/SQRT((((968-43)*MAX('Inputs'!$B$33,'Inputs'!$B$29+'Inputs'!$B$31+'Inputs'!$B$32,'Inputs'!$B$30+'Inputs'!$B$31+'Inputs'!$B$32)/1000+'Inputs'!$B$21+'Inputs'!$B$7+'Inputs'!$B$10)+'Inputs'!$B$9)^2+('Inputs'!$B$8/2)^2)-(((968-43)*MAX('Inputs'!$B$33,'Inputs'!$B$29+'Inputs'!$B$31+'Inputs'!$B$32,'Inputs'!$B$30+'Inputs'!$B$31+'Inputs'!$B$32)/1000+'Inputs'!$B$21+'Inputs'!$B$7+'Inputs'!$B$10))/SQRT((((968-43)*MAX('Inputs'!$B$33,'Inputs'!$B$29+'Inputs'!$B$31+'Inputs'!$B$32,'Inputs'!$B$30+'Inputs'!$B$31+'Inputs'!$B$32)/1000+'Inputs'!$B$21+'Inputs'!$B$7+'Inputs'!$B$10))^2+('Inputs'!$B$8/2)^2))))*'Results'!$B$8))),"")</x:f>
        <x:v>0.5538197554016305</x:v>
      </x:c>
      <x:c r="M968" t="n">
        <x:f>IF(AND(ISNUMBER('Results'!C7),ISNUMBER('Results'!B7),ISNUMBER('Results'!$B$8),ISNUMBER('Inputs'!$B$6),ISNUMBER('Inputs'!$B$7),ISNUMBER('Inputs'!$B$8),ISNUMBER('Inputs'!$B$9),ISNUMBER('Inputs'!$B$10),ISNUMBER('Inputs'!$B$21),ISNUMBER('Inputs'!$B$24),ISNUMBER('Inputs'!$B$28)),(('Results'!C7*(0.5*((((968-43)*MAX('Inputs'!$B$33,'Inputs'!$B$29+'Inputs'!$B$31+'Inputs'!$B$32,'Inputs'!$B$30+'Inputs'!$B$31+'Inputs'!$B$32)/1000+'Inputs'!$B$21)+'Inputs'!$B$9)/SQRT((((968-43)*MAX('Inputs'!$B$33,'Inputs'!$B$29+'Inputs'!$B$31+'Inputs'!$B$32,'Inputs'!$B$30+'Inputs'!$B$31+'Inputs'!$B$32)/1000+'Inputs'!$B$21)+'Inputs'!$B$9)^2+('Inputs'!$B$8/2)^2)-(((968-43)*MAX('Inputs'!$B$33,'Inputs'!$B$29+'Inputs'!$B$31+'Inputs'!$B$32,'Inputs'!$B$30+'Inputs'!$B$31+'Inputs'!$B$32)/1000+'Inputs'!$B$21))/SQRT((((968-43)*MAX('Inputs'!$B$33,'Inputs'!$B$29+'Inputs'!$B$31+'Inputs'!$B$32,'Inputs'!$B$30+'Inputs'!$B$31+'Inputs'!$B$32)/1000+'Inputs'!$B$21))^2+('Inputs'!$B$8/2)^2)))-'Results'!B7*(0.5*((((968-43)*MAX('Inputs'!$B$33,'Inputs'!$B$29+'Inputs'!$B$31+'Inputs'!$B$32,'Inputs'!$B$30+'Inputs'!$B$31+'Inputs'!$B$32)/1000+'Inputs'!$B$21+'Inputs'!$B$9+'Inputs'!$B$10)+'Inputs'!$B$7)/SQRT((((968-43)*MAX('Inputs'!$B$33,'Inputs'!$B$29+'Inputs'!$B$31+'Inputs'!$B$32,'Inputs'!$B$30+'Inputs'!$B$31+'Inputs'!$B$32)/1000+'Inputs'!$B$21+'Inputs'!$B$9+'Inputs'!$B$10)+'Inputs'!$B$7)^2+('Inputs'!$B$6/2)^2)-(((968-43)*MAX('Inputs'!$B$33,'Inputs'!$B$29+'Inputs'!$B$31+'Inputs'!$B$32,'Inputs'!$B$30+'Inputs'!$B$31+'Inputs'!$B$32)/1000+'Inputs'!$B$21+'Inputs'!$B$9+'Inputs'!$B$10))/SQRT((((968-43)*MAX('Inputs'!$B$33,'Inputs'!$B$29+'Inputs'!$B$31+'Inputs'!$B$32,'Inputs'!$B$30+'Inputs'!$B$31+'Inputs'!$B$32)/1000+'Inputs'!$B$21+'Inputs'!$B$9+'Inputs'!$B$10))^2+('Inputs'!$B$6/2)^2))))*'Results'!$B$8),"")</x:f>
        <x:v>0.4209869250360805</x:v>
      </x:c>
      <x:c r="N968" t="n">
        <x:f>IF(AND(ISNUMBER('Results'!C7),ISNUMBER('Results'!B7),ISNUMBER('Results'!$B$8),ISNUMBER('Inputs'!$B$6),ISNUMBER('Inputs'!$B$7),ISNUMBER('Inputs'!$B$8),ISNUMBER('Inputs'!$B$9),ISNUMBER('Inputs'!$B$10),ISNUMBER('Inputs'!$B$21),ISNUMBER('Inputs'!$B$24),ISNUMBER('Inputs'!$B$28)),((('Results'!C7*(1-'Inputs'!$B$24)*(0.5*((((968-43)*MAX('Inputs'!$B$33,'Inputs'!$B$29+'Inputs'!$B$31+'Inputs'!$B$32,'Inputs'!$B$30+'Inputs'!$B$31+'Inputs'!$B$32)/1000+'Inputs'!$B$21)+'Inputs'!$B$9)/SQRT((((968-43)*MAX('Inputs'!$B$33,'Inputs'!$B$29+'Inputs'!$B$31+'Inputs'!$B$32,'Inputs'!$B$30+'Inputs'!$B$31+'Inputs'!$B$32)/1000+'Inputs'!$B$21)+'Inputs'!$B$9)^2+('Inputs'!$B$8/2)^2)-(((968-43)*MAX('Inputs'!$B$33,'Inputs'!$B$29+'Inputs'!$B$31+'Inputs'!$B$32,'Inputs'!$B$30+'Inputs'!$B$31+'Inputs'!$B$32)/1000+'Inputs'!$B$21))/SQRT((((968-43)*MAX('Inputs'!$B$33,'Inputs'!$B$29+'Inputs'!$B$31+'Inputs'!$B$32,'Inputs'!$B$30+'Inputs'!$B$31+'Inputs'!$B$32)/1000+'Inputs'!$B$21))^2+('Inputs'!$B$8/2)^2)))-'Results'!B7*(1+'Inputs'!$B$24)*(0.5*((((968-43)*MAX('Inputs'!$B$33,'Inputs'!$B$29+'Inputs'!$B$31+'Inputs'!$B$32,'Inputs'!$B$30+'Inputs'!$B$31+'Inputs'!$B$32)/1000+'Inputs'!$B$21+'Inputs'!$B$9+'Inputs'!$B$10)+'Inputs'!$B$7)/SQRT((((968-43)*MAX('Inputs'!$B$33,'Inputs'!$B$29+'Inputs'!$B$31+'Inputs'!$B$32,'Inputs'!$B$30+'Inputs'!$B$31+'Inputs'!$B$32)/1000+'Inputs'!$B$21+'Inputs'!$B$9+'Inputs'!$B$10)+'Inputs'!$B$7)^2+('Inputs'!$B$6/2)^2)-(((968-43)*MAX('Inputs'!$B$33,'Inputs'!$B$29+'Inputs'!$B$31+'Inputs'!$B$32,'Inputs'!$B$30+'Inputs'!$B$31+'Inputs'!$B$32)/1000+'Inputs'!$B$21+'Inputs'!$B$9+'Inputs'!$B$10))/SQRT((((968-43)*MAX('Inputs'!$B$33,'Inputs'!$B$29+'Inputs'!$B$31+'Inputs'!$B$32,'Inputs'!$B$30+'Inputs'!$B$31+'Inputs'!$B$32)/1000+'Inputs'!$B$21+'Inputs'!$B$9+'Inputs'!$B$10))^2+('Inputs'!$B$6/2)^2))))*'Results'!$B$8)-'Inputs'!$B$28*ABS((('Results'!C7*(1-'Inputs'!$B$24)*(0.5*((((968-43)*MAX('Inputs'!$B$33,'Inputs'!$B$29+'Inputs'!$B$31+'Inputs'!$B$32,'Inputs'!$B$30+'Inputs'!$B$31+'Inputs'!$B$32)/1000+'Inputs'!$B$21)+'Inputs'!$B$9)/SQRT((((968-43)*MAX('Inputs'!$B$33,'Inputs'!$B$29+'Inputs'!$B$31+'Inputs'!$B$32,'Inputs'!$B$30+'Inputs'!$B$31+'Inputs'!$B$32)/1000+'Inputs'!$B$21)+'Inputs'!$B$9)^2+('Inputs'!$B$8/2)^2)-(((968-43)*MAX('Inputs'!$B$33,'Inputs'!$B$29+'Inputs'!$B$31+'Inputs'!$B$32,'Inputs'!$B$30+'Inputs'!$B$31+'Inputs'!$B$32)/1000+'Inputs'!$B$21))/SQRT((((968-43)*MAX('Inputs'!$B$33,'Inputs'!$B$29+'Inputs'!$B$31+'Inputs'!$B$32,'Inputs'!$B$30+'Inputs'!$B$31+'Inputs'!$B$32)/1000+'Inputs'!$B$21))^2+('Inputs'!$B$8/2)^2)))-'Results'!B7*(1+'Inputs'!$B$24)*(0.5*((((968-43)*MAX('Inputs'!$B$33,'Inputs'!$B$29+'Inputs'!$B$31+'Inputs'!$B$32,'Inputs'!$B$30+'Inputs'!$B$31+'Inputs'!$B$32)/1000+'Inputs'!$B$21+'Inputs'!$B$9+'Inputs'!$B$10)+'Inputs'!$B$7)/SQRT((((968-43)*MAX('Inputs'!$B$33,'Inputs'!$B$29+'Inputs'!$B$31+'Inputs'!$B$32,'Inputs'!$B$30+'Inputs'!$B$31+'Inputs'!$B$32)/1000+'Inputs'!$B$21+'Inputs'!$B$9+'Inputs'!$B$10)+'Inputs'!$B$7)^2+('Inputs'!$B$6/2)^2)-(((968-43)*MAX('Inputs'!$B$33,'Inputs'!$B$29+'Inputs'!$B$31+'Inputs'!$B$32,'Inputs'!$B$30+'Inputs'!$B$31+'Inputs'!$B$32)/1000+'Inputs'!$B$21+'Inputs'!$B$9+'Inputs'!$B$10))/SQRT((((968-43)*MAX('Inputs'!$B$33,'Inputs'!$B$29+'Inputs'!$B$31+'Inputs'!$B$32,'Inputs'!$B$30+'Inputs'!$B$31+'Inputs'!$B$32)/1000+'Inputs'!$B$21+'Inputs'!$B$9+'Inputs'!$B$10))^2+('Inputs'!$B$6/2)^2))))*'Results'!$B$8))),"")</x:f>
        <x:v>0.34975164514781004</x:v>
      </x:c>
      <x:c r="O968" t="n">
        <x:f>IF(AND(ISNUMBER('Results'!C7),ISNUMBER('Results'!B7),ISNUMBER('Results'!$B$8),ISNUMBER('Inputs'!$B$6),ISNUMBER('Inputs'!$B$7),ISNUMBER('Inputs'!$B$8),ISNUMBER('Inputs'!$B$9),ISNUMBER('Inputs'!$B$10),ISNUMBER('Inputs'!$B$21),ISNUMBER('Inputs'!$B$24),ISNUMBER('Inputs'!$B$28)),((('Results'!C7*(1+'Inputs'!$B$24)*(0.5*((((968-43)*MAX('Inputs'!$B$33,'Inputs'!$B$29+'Inputs'!$B$31+'Inputs'!$B$32,'Inputs'!$B$30+'Inputs'!$B$31+'Inputs'!$B$32)/1000+'Inputs'!$B$21)+'Inputs'!$B$9)/SQRT((((968-43)*MAX('Inputs'!$B$33,'Inputs'!$B$29+'Inputs'!$B$31+'Inputs'!$B$32,'Inputs'!$B$30+'Inputs'!$B$31+'Inputs'!$B$32)/1000+'Inputs'!$B$21)+'Inputs'!$B$9)^2+('Inputs'!$B$8/2)^2)-(((968-43)*MAX('Inputs'!$B$33,'Inputs'!$B$29+'Inputs'!$B$31+'Inputs'!$B$32,'Inputs'!$B$30+'Inputs'!$B$31+'Inputs'!$B$32)/1000+'Inputs'!$B$21))/SQRT((((968-43)*MAX('Inputs'!$B$33,'Inputs'!$B$29+'Inputs'!$B$31+'Inputs'!$B$32,'Inputs'!$B$30+'Inputs'!$B$31+'Inputs'!$B$32)/1000+'Inputs'!$B$21))^2+('Inputs'!$B$8/2)^2)))-'Results'!B7*(1-'Inputs'!$B$24)*(0.5*((((968-43)*MAX('Inputs'!$B$33,'Inputs'!$B$29+'Inputs'!$B$31+'Inputs'!$B$32,'Inputs'!$B$30+'Inputs'!$B$31+'Inputs'!$B$32)/1000+'Inputs'!$B$21+'Inputs'!$B$9+'Inputs'!$B$10)+'Inputs'!$B$7)/SQRT((((968-43)*MAX('Inputs'!$B$33,'Inputs'!$B$29+'Inputs'!$B$31+'Inputs'!$B$32,'Inputs'!$B$30+'Inputs'!$B$31+'Inputs'!$B$32)/1000+'Inputs'!$B$21+'Inputs'!$B$9+'Inputs'!$B$10)+'Inputs'!$B$7)^2+('Inputs'!$B$6/2)^2)-(((968-43)*MAX('Inputs'!$B$33,'Inputs'!$B$29+'Inputs'!$B$31+'Inputs'!$B$32,'Inputs'!$B$30+'Inputs'!$B$31+'Inputs'!$B$32)/1000+'Inputs'!$B$21+'Inputs'!$B$9+'Inputs'!$B$10))/SQRT((((968-43)*MAX('Inputs'!$B$33,'Inputs'!$B$29+'Inputs'!$B$31+'Inputs'!$B$32,'Inputs'!$B$30+'Inputs'!$B$31+'Inputs'!$B$32)/1000+'Inputs'!$B$21+'Inputs'!$B$9+'Inputs'!$B$10))^2+('Inputs'!$B$6/2)^2))))*'Results'!$B$8)+'Inputs'!$B$28*ABS((('Results'!C7*(1+'Inputs'!$B$24)*(0.5*((((968-43)*MAX('Inputs'!$B$33,'Inputs'!$B$29+'Inputs'!$B$31+'Inputs'!$B$32,'Inputs'!$B$30+'Inputs'!$B$31+'Inputs'!$B$32)/1000+'Inputs'!$B$21)+'Inputs'!$B$9)/SQRT((((968-43)*MAX('Inputs'!$B$33,'Inputs'!$B$29+'Inputs'!$B$31+'Inputs'!$B$32,'Inputs'!$B$30+'Inputs'!$B$31+'Inputs'!$B$32)/1000+'Inputs'!$B$21)+'Inputs'!$B$9)^2+('Inputs'!$B$8/2)^2)-(((968-43)*MAX('Inputs'!$B$33,'Inputs'!$B$29+'Inputs'!$B$31+'Inputs'!$B$32,'Inputs'!$B$30+'Inputs'!$B$31+'Inputs'!$B$32)/1000+'Inputs'!$B$21))/SQRT((((968-43)*MAX('Inputs'!$B$33,'Inputs'!$B$29+'Inputs'!$B$31+'Inputs'!$B$32,'Inputs'!$B$30+'Inputs'!$B$31+'Inputs'!$B$32)/1000+'Inputs'!$B$21))^2+('Inputs'!$B$8/2)^2)))-'Results'!B7*(1-'Inputs'!$B$24)*(0.5*((((968-43)*MAX('Inputs'!$B$33,'Inputs'!$B$29+'Inputs'!$B$31+'Inputs'!$B$32,'Inputs'!$B$30+'Inputs'!$B$31+'Inputs'!$B$32)/1000+'Inputs'!$B$21+'Inputs'!$B$9+'Inputs'!$B$10)+'Inputs'!$B$7)/SQRT((((968-43)*MAX('Inputs'!$B$33,'Inputs'!$B$29+'Inputs'!$B$31+'Inputs'!$B$32,'Inputs'!$B$30+'Inputs'!$B$31+'Inputs'!$B$32)/1000+'Inputs'!$B$21+'Inputs'!$B$9+'Inputs'!$B$10)+'Inputs'!$B$7)^2+('Inputs'!$B$6/2)^2)-(((968-43)*MAX('Inputs'!$B$33,'Inputs'!$B$29+'Inputs'!$B$31+'Inputs'!$B$32,'Inputs'!$B$30+'Inputs'!$B$31+'Inputs'!$B$32)/1000+'Inputs'!$B$21+'Inputs'!$B$9+'Inputs'!$B$10))/SQRT((((968-43)*MAX('Inputs'!$B$33,'Inputs'!$B$29+'Inputs'!$B$31+'Inputs'!$B$32,'Inputs'!$B$30+'Inputs'!$B$31+'Inputs'!$B$32)/1000+'Inputs'!$B$21+'Inputs'!$B$9+'Inputs'!$B$10))^2+('Inputs'!$B$6/2)^2))))*'Results'!$B$8))),"")</x:f>
        <x:v>0.4975049347808213</x:v>
      </x:c>
      <x:c r="P968" t="n">
        <x:f>IF(AND(MAX(J968,J967)&gt;0,J968&gt;J967+0.00000001),1,0)</x:f>
        <x:v>0</x:v>
      </x:c>
      <x:c r="Q968" t="n">
        <x:f>IF(AND(MAX(K968,K967)&gt;0,K968&gt;K967+0.00000001),1,0)</x:f>
        <x:v>0</x:v>
      </x:c>
      <x:c r="R968" t="n">
        <x:f>IF(AND(MAX(L968,L967)&gt;0,L968&gt;L967+0.00000001),1,0)</x:f>
        <x:v>0</x:v>
      </x:c>
      <x:c r="S968" t="n">
        <x:f>IF(AND(MAX(M968,M967)&gt;0,M968&gt;M967+0.00000001),1,0)</x:f>
        <x:v>0</x:v>
      </x:c>
      <x:c r="T968" t="n">
        <x:f>IF(AND(MAX(N968,N967)&gt;0,N968&gt;N967+0.00000001),1,0)</x:f>
        <x:v>0</x:v>
      </x:c>
      <x:c r="U968" t="n">
        <x:f>IF(AND(MAX(O968,O967)&gt;0,O968&gt;O967+0.00000001),1,0)</x:f>
        <x:v>0</x:v>
      </x:c>
    </x:row>
    <x:row r="969">
      <x:c r="J969" t="n">
        <x:f>IF(AND(ISNUMBER('Results'!B7),ISNUMBER('Results'!C7),ISNUMBER('Results'!$B$8),ISNUMBER('Inputs'!$B$6),ISNUMBER('Inputs'!$B$7),ISNUMBER('Inputs'!$B$8),ISNUMBER('Inputs'!$B$9),ISNUMBER('Inputs'!$B$10),ISNUMBER('Inputs'!$B$21),ISNUMBER('Inputs'!$B$24),ISNUMBER('Inputs'!$B$28)),(('Results'!B7*(0.5*((((969-43)*MAX('Inputs'!$B$33,'Inputs'!$B$29+'Inputs'!$B$31+'Inputs'!$B$32,'Inputs'!$B$30+'Inputs'!$B$31+'Inputs'!$B$32)/1000+'Inputs'!$B$21)+'Inputs'!$B$7)/SQRT((((969-43)*MAX('Inputs'!$B$33,'Inputs'!$B$29+'Inputs'!$B$31+'Inputs'!$B$32,'Inputs'!$B$30+'Inputs'!$B$31+'Inputs'!$B$32)/1000+'Inputs'!$B$21)+'Inputs'!$B$7)^2+('Inputs'!$B$6/2)^2)-(((969-43)*MAX('Inputs'!$B$33,'Inputs'!$B$29+'Inputs'!$B$31+'Inputs'!$B$32,'Inputs'!$B$30+'Inputs'!$B$31+'Inputs'!$B$32)/1000+'Inputs'!$B$21))/SQRT((((969-43)*MAX('Inputs'!$B$33,'Inputs'!$B$29+'Inputs'!$B$31+'Inputs'!$B$32,'Inputs'!$B$30+'Inputs'!$B$31+'Inputs'!$B$32)/1000+'Inputs'!$B$21))^2+('Inputs'!$B$6/2)^2)))-'Results'!C7*(0.5*((((969-43)*MAX('Inputs'!$B$33,'Inputs'!$B$29+'Inputs'!$B$31+'Inputs'!$B$32,'Inputs'!$B$30+'Inputs'!$B$31+'Inputs'!$B$32)/1000+'Inputs'!$B$21+'Inputs'!$B$7+'Inputs'!$B$10)+'Inputs'!$B$9)/SQRT((((969-43)*MAX('Inputs'!$B$33,'Inputs'!$B$29+'Inputs'!$B$31+'Inputs'!$B$32,'Inputs'!$B$30+'Inputs'!$B$31+'Inputs'!$B$32)/1000+'Inputs'!$B$21+'Inputs'!$B$7+'Inputs'!$B$10)+'Inputs'!$B$9)^2+('Inputs'!$B$8/2)^2)-(((969-43)*MAX('Inputs'!$B$33,'Inputs'!$B$29+'Inputs'!$B$31+'Inputs'!$B$32,'Inputs'!$B$30+'Inputs'!$B$31+'Inputs'!$B$32)/1000+'Inputs'!$B$21+'Inputs'!$B$7+'Inputs'!$B$10))/SQRT((((969-43)*MAX('Inputs'!$B$33,'Inputs'!$B$29+'Inputs'!$B$31+'Inputs'!$B$32,'Inputs'!$B$30+'Inputs'!$B$31+'Inputs'!$B$32)/1000+'Inputs'!$B$21+'Inputs'!$B$7+'Inputs'!$B$10))^2+('Inputs'!$B$8/2)^2))))*'Results'!$B$8),"")</x:f>
        <x:v>0.4725796045775144</x:v>
      </x:c>
      <x:c r="K969" t="n">
        <x:f>IF(AND(ISNUMBER('Results'!B7),ISNUMBER('Results'!C7),ISNUMBER('Results'!$B$8),ISNUMBER('Inputs'!$B$6),ISNUMBER('Inputs'!$B$7),ISNUMBER('Inputs'!$B$8),ISNUMBER('Inputs'!$B$9),ISNUMBER('Inputs'!$B$10),ISNUMBER('Inputs'!$B$21),ISNUMBER('Inputs'!$B$24),ISNUMBER('Inputs'!$B$28)),((('Results'!B7*(1-'Inputs'!$B$24)*(0.5*((((969-43)*MAX('Inputs'!$B$33,'Inputs'!$B$29+'Inputs'!$B$31+'Inputs'!$B$32,'Inputs'!$B$30+'Inputs'!$B$31+'Inputs'!$B$32)/1000+'Inputs'!$B$21)+'Inputs'!$B$7)/SQRT((((969-43)*MAX('Inputs'!$B$33,'Inputs'!$B$29+'Inputs'!$B$31+'Inputs'!$B$32,'Inputs'!$B$30+'Inputs'!$B$31+'Inputs'!$B$32)/1000+'Inputs'!$B$21)+'Inputs'!$B$7)^2+('Inputs'!$B$6/2)^2)-(((969-43)*MAX('Inputs'!$B$33,'Inputs'!$B$29+'Inputs'!$B$31+'Inputs'!$B$32,'Inputs'!$B$30+'Inputs'!$B$31+'Inputs'!$B$32)/1000+'Inputs'!$B$21))/SQRT((((969-43)*MAX('Inputs'!$B$33,'Inputs'!$B$29+'Inputs'!$B$31+'Inputs'!$B$32,'Inputs'!$B$30+'Inputs'!$B$31+'Inputs'!$B$32)/1000+'Inputs'!$B$21))^2+('Inputs'!$B$6/2)^2)))-'Results'!C7*(1+'Inputs'!$B$24)*(0.5*((((969-43)*MAX('Inputs'!$B$33,'Inputs'!$B$29+'Inputs'!$B$31+'Inputs'!$B$32,'Inputs'!$B$30+'Inputs'!$B$31+'Inputs'!$B$32)/1000+'Inputs'!$B$21+'Inputs'!$B$7+'Inputs'!$B$10)+'Inputs'!$B$9)/SQRT((((969-43)*MAX('Inputs'!$B$33,'Inputs'!$B$29+'Inputs'!$B$31+'Inputs'!$B$32,'Inputs'!$B$30+'Inputs'!$B$31+'Inputs'!$B$32)/1000+'Inputs'!$B$21+'Inputs'!$B$7+'Inputs'!$B$10)+'Inputs'!$B$9)^2+('Inputs'!$B$8/2)^2)-(((969-43)*MAX('Inputs'!$B$33,'Inputs'!$B$29+'Inputs'!$B$31+'Inputs'!$B$32,'Inputs'!$B$30+'Inputs'!$B$31+'Inputs'!$B$32)/1000+'Inputs'!$B$21+'Inputs'!$B$7+'Inputs'!$B$10))/SQRT((((969-43)*MAX('Inputs'!$B$33,'Inputs'!$B$29+'Inputs'!$B$31+'Inputs'!$B$32,'Inputs'!$B$30+'Inputs'!$B$31+'Inputs'!$B$32)/1000+'Inputs'!$B$21+'Inputs'!$B$7+'Inputs'!$B$10))^2+('Inputs'!$B$8/2)^2))))*'Results'!$B$8)-'Inputs'!$B$28*ABS((('Results'!B7*(1-'Inputs'!$B$24)*(0.5*((((969-43)*MAX('Inputs'!$B$33,'Inputs'!$B$29+'Inputs'!$B$31+'Inputs'!$B$32,'Inputs'!$B$30+'Inputs'!$B$31+'Inputs'!$B$32)/1000+'Inputs'!$B$21)+'Inputs'!$B$7)/SQRT((((969-43)*MAX('Inputs'!$B$33,'Inputs'!$B$29+'Inputs'!$B$31+'Inputs'!$B$32,'Inputs'!$B$30+'Inputs'!$B$31+'Inputs'!$B$32)/1000+'Inputs'!$B$21)+'Inputs'!$B$7)^2+('Inputs'!$B$6/2)^2)-(((969-43)*MAX('Inputs'!$B$33,'Inputs'!$B$29+'Inputs'!$B$31+'Inputs'!$B$32,'Inputs'!$B$30+'Inputs'!$B$31+'Inputs'!$B$32)/1000+'Inputs'!$B$21))/SQRT((((969-43)*MAX('Inputs'!$B$33,'Inputs'!$B$29+'Inputs'!$B$31+'Inputs'!$B$32,'Inputs'!$B$30+'Inputs'!$B$31+'Inputs'!$B$32)/1000+'Inputs'!$B$21))^2+('Inputs'!$B$6/2)^2)))-'Results'!C7*(1+'Inputs'!$B$24)*(0.5*((((969-43)*MAX('Inputs'!$B$33,'Inputs'!$B$29+'Inputs'!$B$31+'Inputs'!$B$32,'Inputs'!$B$30+'Inputs'!$B$31+'Inputs'!$B$32)/1000+'Inputs'!$B$21+'Inputs'!$B$7+'Inputs'!$B$10)+'Inputs'!$B$9)/SQRT((((969-43)*MAX('Inputs'!$B$33,'Inputs'!$B$29+'Inputs'!$B$31+'Inputs'!$B$32,'Inputs'!$B$30+'Inputs'!$B$31+'Inputs'!$B$32)/1000+'Inputs'!$B$21+'Inputs'!$B$7+'Inputs'!$B$10)+'Inputs'!$B$9)^2+('Inputs'!$B$8/2)^2)-(((969-43)*MAX('Inputs'!$B$33,'Inputs'!$B$29+'Inputs'!$B$31+'Inputs'!$B$32,'Inputs'!$B$30+'Inputs'!$B$31+'Inputs'!$B$32)/1000+'Inputs'!$B$21+'Inputs'!$B$7+'Inputs'!$B$10))/SQRT((((969-43)*MAX('Inputs'!$B$33,'Inputs'!$B$29+'Inputs'!$B$31+'Inputs'!$B$32,'Inputs'!$B$30+'Inputs'!$B$31+'Inputs'!$B$32)/1000+'Inputs'!$B$21+'Inputs'!$B$7+'Inputs'!$B$10))^2+('Inputs'!$B$8/2)^2))))*'Results'!$B$8))),"")</x:f>
        <x:v>0.3987444169390336</x:v>
      </x:c>
      <x:c r="L969" t="n">
        <x:f>IF(AND(ISNUMBER('Results'!B7),ISNUMBER('Results'!C7),ISNUMBER('Results'!$B$8),ISNUMBER('Inputs'!$B$6),ISNUMBER('Inputs'!$B$7),ISNUMBER('Inputs'!$B$8),ISNUMBER('Inputs'!$B$9),ISNUMBER('Inputs'!$B$10),ISNUMBER('Inputs'!$B$21),ISNUMBER('Inputs'!$B$24),ISNUMBER('Inputs'!$B$28)),((('Results'!B7*(1+'Inputs'!$B$24)*(0.5*((((969-43)*MAX('Inputs'!$B$33,'Inputs'!$B$29+'Inputs'!$B$31+'Inputs'!$B$32,'Inputs'!$B$30+'Inputs'!$B$31+'Inputs'!$B$32)/1000+'Inputs'!$B$21)+'Inputs'!$B$7)/SQRT((((969-43)*MAX('Inputs'!$B$33,'Inputs'!$B$29+'Inputs'!$B$31+'Inputs'!$B$32,'Inputs'!$B$30+'Inputs'!$B$31+'Inputs'!$B$32)/1000+'Inputs'!$B$21)+'Inputs'!$B$7)^2+('Inputs'!$B$6/2)^2)-(((969-43)*MAX('Inputs'!$B$33,'Inputs'!$B$29+'Inputs'!$B$31+'Inputs'!$B$32,'Inputs'!$B$30+'Inputs'!$B$31+'Inputs'!$B$32)/1000+'Inputs'!$B$21))/SQRT((((969-43)*MAX('Inputs'!$B$33,'Inputs'!$B$29+'Inputs'!$B$31+'Inputs'!$B$32,'Inputs'!$B$30+'Inputs'!$B$31+'Inputs'!$B$32)/1000+'Inputs'!$B$21))^2+('Inputs'!$B$6/2)^2)))-'Results'!C7*(1-'Inputs'!$B$24)*(0.5*((((969-43)*MAX('Inputs'!$B$33,'Inputs'!$B$29+'Inputs'!$B$31+'Inputs'!$B$32,'Inputs'!$B$30+'Inputs'!$B$31+'Inputs'!$B$32)/1000+'Inputs'!$B$21+'Inputs'!$B$7+'Inputs'!$B$10)+'Inputs'!$B$9)/SQRT((((969-43)*MAX('Inputs'!$B$33,'Inputs'!$B$29+'Inputs'!$B$31+'Inputs'!$B$32,'Inputs'!$B$30+'Inputs'!$B$31+'Inputs'!$B$32)/1000+'Inputs'!$B$21+'Inputs'!$B$7+'Inputs'!$B$10)+'Inputs'!$B$9)^2+('Inputs'!$B$8/2)^2)-(((969-43)*MAX('Inputs'!$B$33,'Inputs'!$B$29+'Inputs'!$B$31+'Inputs'!$B$32,'Inputs'!$B$30+'Inputs'!$B$31+'Inputs'!$B$32)/1000+'Inputs'!$B$21+'Inputs'!$B$7+'Inputs'!$B$10))/SQRT((((969-43)*MAX('Inputs'!$B$33,'Inputs'!$B$29+'Inputs'!$B$31+'Inputs'!$B$32,'Inputs'!$B$30+'Inputs'!$B$31+'Inputs'!$B$32)/1000+'Inputs'!$B$21+'Inputs'!$B$7+'Inputs'!$B$10))^2+('Inputs'!$B$8/2)^2))))*'Results'!$B$8)+'Inputs'!$B$28*ABS((('Results'!B7*(1+'Inputs'!$B$24)*(0.5*((((969-43)*MAX('Inputs'!$B$33,'Inputs'!$B$29+'Inputs'!$B$31+'Inputs'!$B$32,'Inputs'!$B$30+'Inputs'!$B$31+'Inputs'!$B$32)/1000+'Inputs'!$B$21)+'Inputs'!$B$7)/SQRT((((969-43)*MAX('Inputs'!$B$33,'Inputs'!$B$29+'Inputs'!$B$31+'Inputs'!$B$32,'Inputs'!$B$30+'Inputs'!$B$31+'Inputs'!$B$32)/1000+'Inputs'!$B$21)+'Inputs'!$B$7)^2+('Inputs'!$B$6/2)^2)-(((969-43)*MAX('Inputs'!$B$33,'Inputs'!$B$29+'Inputs'!$B$31+'Inputs'!$B$32,'Inputs'!$B$30+'Inputs'!$B$31+'Inputs'!$B$32)/1000+'Inputs'!$B$21))/SQRT((((969-43)*MAX('Inputs'!$B$33,'Inputs'!$B$29+'Inputs'!$B$31+'Inputs'!$B$32,'Inputs'!$B$30+'Inputs'!$B$31+'Inputs'!$B$32)/1000+'Inputs'!$B$21))^2+('Inputs'!$B$6/2)^2)))-'Results'!C7*(1-'Inputs'!$B$24)*(0.5*((((969-43)*MAX('Inputs'!$B$33,'Inputs'!$B$29+'Inputs'!$B$31+'Inputs'!$B$32,'Inputs'!$B$30+'Inputs'!$B$31+'Inputs'!$B$32)/1000+'Inputs'!$B$21+'Inputs'!$B$7+'Inputs'!$B$10)+'Inputs'!$B$9)/SQRT((((969-43)*MAX('Inputs'!$B$33,'Inputs'!$B$29+'Inputs'!$B$31+'Inputs'!$B$32,'Inputs'!$B$30+'Inputs'!$B$31+'Inputs'!$B$32)/1000+'Inputs'!$B$21+'Inputs'!$B$7+'Inputs'!$B$10)+'Inputs'!$B$9)^2+('Inputs'!$B$8/2)^2)-(((969-43)*MAX('Inputs'!$B$33,'Inputs'!$B$29+'Inputs'!$B$31+'Inputs'!$B$32,'Inputs'!$B$30+'Inputs'!$B$31+'Inputs'!$B$32)/1000+'Inputs'!$B$21+'Inputs'!$B$7+'Inputs'!$B$10))/SQRT((((969-43)*MAX('Inputs'!$B$33,'Inputs'!$B$29+'Inputs'!$B$31+'Inputs'!$B$32,'Inputs'!$B$30+'Inputs'!$B$31+'Inputs'!$B$32)/1000+'Inputs'!$B$21+'Inputs'!$B$7+'Inputs'!$B$10))^2+('Inputs'!$B$8/2)^2))))*'Results'!$B$8))),"")</x:f>
        <x:v>0.5516996561538481</x:v>
      </x:c>
      <x:c r="M969" t="n">
        <x:f>IF(AND(ISNUMBER('Results'!C7),ISNUMBER('Results'!B7),ISNUMBER('Results'!$B$8),ISNUMBER('Inputs'!$B$6),ISNUMBER('Inputs'!$B$7),ISNUMBER('Inputs'!$B$8),ISNUMBER('Inputs'!$B$9),ISNUMBER('Inputs'!$B$10),ISNUMBER('Inputs'!$B$21),ISNUMBER('Inputs'!$B$24),ISNUMBER('Inputs'!$B$28)),(('Results'!C7*(0.5*((((969-43)*MAX('Inputs'!$B$33,'Inputs'!$B$29+'Inputs'!$B$31+'Inputs'!$B$32,'Inputs'!$B$30+'Inputs'!$B$31+'Inputs'!$B$32)/1000+'Inputs'!$B$21)+'Inputs'!$B$9)/SQRT((((969-43)*MAX('Inputs'!$B$33,'Inputs'!$B$29+'Inputs'!$B$31+'Inputs'!$B$32,'Inputs'!$B$30+'Inputs'!$B$31+'Inputs'!$B$32)/1000+'Inputs'!$B$21)+'Inputs'!$B$9)^2+('Inputs'!$B$8/2)^2)-(((969-43)*MAX('Inputs'!$B$33,'Inputs'!$B$29+'Inputs'!$B$31+'Inputs'!$B$32,'Inputs'!$B$30+'Inputs'!$B$31+'Inputs'!$B$32)/1000+'Inputs'!$B$21))/SQRT((((969-43)*MAX('Inputs'!$B$33,'Inputs'!$B$29+'Inputs'!$B$31+'Inputs'!$B$32,'Inputs'!$B$30+'Inputs'!$B$31+'Inputs'!$B$32)/1000+'Inputs'!$B$21))^2+('Inputs'!$B$8/2)^2)))-'Results'!B7*(0.5*((((969-43)*MAX('Inputs'!$B$33,'Inputs'!$B$29+'Inputs'!$B$31+'Inputs'!$B$32,'Inputs'!$B$30+'Inputs'!$B$31+'Inputs'!$B$32)/1000+'Inputs'!$B$21+'Inputs'!$B$9+'Inputs'!$B$10)+'Inputs'!$B$7)/SQRT((((969-43)*MAX('Inputs'!$B$33,'Inputs'!$B$29+'Inputs'!$B$31+'Inputs'!$B$32,'Inputs'!$B$30+'Inputs'!$B$31+'Inputs'!$B$32)/1000+'Inputs'!$B$21+'Inputs'!$B$9+'Inputs'!$B$10)+'Inputs'!$B$7)^2+('Inputs'!$B$6/2)^2)-(((969-43)*MAX('Inputs'!$B$33,'Inputs'!$B$29+'Inputs'!$B$31+'Inputs'!$B$32,'Inputs'!$B$30+'Inputs'!$B$31+'Inputs'!$B$32)/1000+'Inputs'!$B$21+'Inputs'!$B$9+'Inputs'!$B$10))/SQRT((((969-43)*MAX('Inputs'!$B$33,'Inputs'!$B$29+'Inputs'!$B$31+'Inputs'!$B$32,'Inputs'!$B$30+'Inputs'!$B$31+'Inputs'!$B$32)/1000+'Inputs'!$B$21+'Inputs'!$B$9+'Inputs'!$B$10))^2+('Inputs'!$B$6/2)^2))))*'Results'!$B$8),"")</x:f>
        <x:v>0.4192881381858505</x:v>
      </x:c>
      <x:c r="N969" t="n">
        <x:f>IF(AND(ISNUMBER('Results'!C7),ISNUMBER('Results'!B7),ISNUMBER('Results'!$B$8),ISNUMBER('Inputs'!$B$6),ISNUMBER('Inputs'!$B$7),ISNUMBER('Inputs'!$B$8),ISNUMBER('Inputs'!$B$9),ISNUMBER('Inputs'!$B$10),ISNUMBER('Inputs'!$B$21),ISNUMBER('Inputs'!$B$24),ISNUMBER('Inputs'!$B$28)),((('Results'!C7*(1-'Inputs'!$B$24)*(0.5*((((969-43)*MAX('Inputs'!$B$33,'Inputs'!$B$29+'Inputs'!$B$31+'Inputs'!$B$32,'Inputs'!$B$30+'Inputs'!$B$31+'Inputs'!$B$32)/1000+'Inputs'!$B$21)+'Inputs'!$B$9)/SQRT((((969-43)*MAX('Inputs'!$B$33,'Inputs'!$B$29+'Inputs'!$B$31+'Inputs'!$B$32,'Inputs'!$B$30+'Inputs'!$B$31+'Inputs'!$B$32)/1000+'Inputs'!$B$21)+'Inputs'!$B$9)^2+('Inputs'!$B$8/2)^2)-(((969-43)*MAX('Inputs'!$B$33,'Inputs'!$B$29+'Inputs'!$B$31+'Inputs'!$B$32,'Inputs'!$B$30+'Inputs'!$B$31+'Inputs'!$B$32)/1000+'Inputs'!$B$21))/SQRT((((969-43)*MAX('Inputs'!$B$33,'Inputs'!$B$29+'Inputs'!$B$31+'Inputs'!$B$32,'Inputs'!$B$30+'Inputs'!$B$31+'Inputs'!$B$32)/1000+'Inputs'!$B$21))^2+('Inputs'!$B$8/2)^2)))-'Results'!B7*(1+'Inputs'!$B$24)*(0.5*((((969-43)*MAX('Inputs'!$B$33,'Inputs'!$B$29+'Inputs'!$B$31+'Inputs'!$B$32,'Inputs'!$B$30+'Inputs'!$B$31+'Inputs'!$B$32)/1000+'Inputs'!$B$21+'Inputs'!$B$9+'Inputs'!$B$10)+'Inputs'!$B$7)/SQRT((((969-43)*MAX('Inputs'!$B$33,'Inputs'!$B$29+'Inputs'!$B$31+'Inputs'!$B$32,'Inputs'!$B$30+'Inputs'!$B$31+'Inputs'!$B$32)/1000+'Inputs'!$B$21+'Inputs'!$B$9+'Inputs'!$B$10)+'Inputs'!$B$7)^2+('Inputs'!$B$6/2)^2)-(((969-43)*MAX('Inputs'!$B$33,'Inputs'!$B$29+'Inputs'!$B$31+'Inputs'!$B$32,'Inputs'!$B$30+'Inputs'!$B$31+'Inputs'!$B$32)/1000+'Inputs'!$B$21+'Inputs'!$B$9+'Inputs'!$B$10))/SQRT((((969-43)*MAX('Inputs'!$B$33,'Inputs'!$B$29+'Inputs'!$B$31+'Inputs'!$B$32,'Inputs'!$B$30+'Inputs'!$B$31+'Inputs'!$B$32)/1000+'Inputs'!$B$21+'Inputs'!$B$9+'Inputs'!$B$10))^2+('Inputs'!$B$6/2)^2))))*'Results'!$B$8)-'Inputs'!$B$28*ABS((('Results'!C7*(1-'Inputs'!$B$24)*(0.5*((((969-43)*MAX('Inputs'!$B$33,'Inputs'!$B$29+'Inputs'!$B$31+'Inputs'!$B$32,'Inputs'!$B$30+'Inputs'!$B$31+'Inputs'!$B$32)/1000+'Inputs'!$B$21)+'Inputs'!$B$9)/SQRT((((969-43)*MAX('Inputs'!$B$33,'Inputs'!$B$29+'Inputs'!$B$31+'Inputs'!$B$32,'Inputs'!$B$30+'Inputs'!$B$31+'Inputs'!$B$32)/1000+'Inputs'!$B$21)+'Inputs'!$B$9)^2+('Inputs'!$B$8/2)^2)-(((969-43)*MAX('Inputs'!$B$33,'Inputs'!$B$29+'Inputs'!$B$31+'Inputs'!$B$32,'Inputs'!$B$30+'Inputs'!$B$31+'Inputs'!$B$32)/1000+'Inputs'!$B$21))/SQRT((((969-43)*MAX('Inputs'!$B$33,'Inputs'!$B$29+'Inputs'!$B$31+'Inputs'!$B$32,'Inputs'!$B$30+'Inputs'!$B$31+'Inputs'!$B$32)/1000+'Inputs'!$B$21))^2+('Inputs'!$B$8/2)^2)))-'Results'!B7*(1+'Inputs'!$B$24)*(0.5*((((969-43)*MAX('Inputs'!$B$33,'Inputs'!$B$29+'Inputs'!$B$31+'Inputs'!$B$32,'Inputs'!$B$30+'Inputs'!$B$31+'Inputs'!$B$32)/1000+'Inputs'!$B$21+'Inputs'!$B$9+'Inputs'!$B$10)+'Inputs'!$B$7)/SQRT((((969-43)*MAX('Inputs'!$B$33,'Inputs'!$B$29+'Inputs'!$B$31+'Inputs'!$B$32,'Inputs'!$B$30+'Inputs'!$B$31+'Inputs'!$B$32)/1000+'Inputs'!$B$21+'Inputs'!$B$9+'Inputs'!$B$10)+'Inputs'!$B$7)^2+('Inputs'!$B$6/2)^2)-(((969-43)*MAX('Inputs'!$B$33,'Inputs'!$B$29+'Inputs'!$B$31+'Inputs'!$B$32,'Inputs'!$B$30+'Inputs'!$B$31+'Inputs'!$B$32)/1000+'Inputs'!$B$21+'Inputs'!$B$9+'Inputs'!$B$10))/SQRT((((969-43)*MAX('Inputs'!$B$33,'Inputs'!$B$29+'Inputs'!$B$31+'Inputs'!$B$32,'Inputs'!$B$30+'Inputs'!$B$31+'Inputs'!$B$32)/1000+'Inputs'!$B$21+'Inputs'!$B$9+'Inputs'!$B$10))^2+('Inputs'!$B$6/2)^2))))*'Results'!$B$8))),"")</x:f>
        <x:v>0.3482886904034431</x:v>
      </x:c>
      <x:c r="O969" t="n">
        <x:f>IF(AND(ISNUMBER('Results'!C7),ISNUMBER('Results'!B7),ISNUMBER('Results'!$B$8),ISNUMBER('Inputs'!$B$6),ISNUMBER('Inputs'!$B$7),ISNUMBER('Inputs'!$B$8),ISNUMBER('Inputs'!$B$9),ISNUMBER('Inputs'!$B$10),ISNUMBER('Inputs'!$B$21),ISNUMBER('Inputs'!$B$24),ISNUMBER('Inputs'!$B$28)),((('Results'!C7*(1+'Inputs'!$B$24)*(0.5*((((969-43)*MAX('Inputs'!$B$33,'Inputs'!$B$29+'Inputs'!$B$31+'Inputs'!$B$32,'Inputs'!$B$30+'Inputs'!$B$31+'Inputs'!$B$32)/1000+'Inputs'!$B$21)+'Inputs'!$B$9)/SQRT((((969-43)*MAX('Inputs'!$B$33,'Inputs'!$B$29+'Inputs'!$B$31+'Inputs'!$B$32,'Inputs'!$B$30+'Inputs'!$B$31+'Inputs'!$B$32)/1000+'Inputs'!$B$21)+'Inputs'!$B$9)^2+('Inputs'!$B$8/2)^2)-(((969-43)*MAX('Inputs'!$B$33,'Inputs'!$B$29+'Inputs'!$B$31+'Inputs'!$B$32,'Inputs'!$B$30+'Inputs'!$B$31+'Inputs'!$B$32)/1000+'Inputs'!$B$21))/SQRT((((969-43)*MAX('Inputs'!$B$33,'Inputs'!$B$29+'Inputs'!$B$31+'Inputs'!$B$32,'Inputs'!$B$30+'Inputs'!$B$31+'Inputs'!$B$32)/1000+'Inputs'!$B$21))^2+('Inputs'!$B$8/2)^2)))-'Results'!B7*(1-'Inputs'!$B$24)*(0.5*((((969-43)*MAX('Inputs'!$B$33,'Inputs'!$B$29+'Inputs'!$B$31+'Inputs'!$B$32,'Inputs'!$B$30+'Inputs'!$B$31+'Inputs'!$B$32)/1000+'Inputs'!$B$21+'Inputs'!$B$9+'Inputs'!$B$10)+'Inputs'!$B$7)/SQRT((((969-43)*MAX('Inputs'!$B$33,'Inputs'!$B$29+'Inputs'!$B$31+'Inputs'!$B$32,'Inputs'!$B$30+'Inputs'!$B$31+'Inputs'!$B$32)/1000+'Inputs'!$B$21+'Inputs'!$B$9+'Inputs'!$B$10)+'Inputs'!$B$7)^2+('Inputs'!$B$6/2)^2)-(((969-43)*MAX('Inputs'!$B$33,'Inputs'!$B$29+'Inputs'!$B$31+'Inputs'!$B$32,'Inputs'!$B$30+'Inputs'!$B$31+'Inputs'!$B$32)/1000+'Inputs'!$B$21+'Inputs'!$B$9+'Inputs'!$B$10))/SQRT((((969-43)*MAX('Inputs'!$B$33,'Inputs'!$B$29+'Inputs'!$B$31+'Inputs'!$B$32,'Inputs'!$B$30+'Inputs'!$B$31+'Inputs'!$B$32)/1000+'Inputs'!$B$21+'Inputs'!$B$9+'Inputs'!$B$10))^2+('Inputs'!$B$6/2)^2))))*'Results'!$B$8)+'Inputs'!$B$28*ABS((('Results'!C7*(1+'Inputs'!$B$24)*(0.5*((((969-43)*MAX('Inputs'!$B$33,'Inputs'!$B$29+'Inputs'!$B$31+'Inputs'!$B$32,'Inputs'!$B$30+'Inputs'!$B$31+'Inputs'!$B$32)/1000+'Inputs'!$B$21)+'Inputs'!$B$9)/SQRT((((969-43)*MAX('Inputs'!$B$33,'Inputs'!$B$29+'Inputs'!$B$31+'Inputs'!$B$32,'Inputs'!$B$30+'Inputs'!$B$31+'Inputs'!$B$32)/1000+'Inputs'!$B$21)+'Inputs'!$B$9)^2+('Inputs'!$B$8/2)^2)-(((969-43)*MAX('Inputs'!$B$33,'Inputs'!$B$29+'Inputs'!$B$31+'Inputs'!$B$32,'Inputs'!$B$30+'Inputs'!$B$31+'Inputs'!$B$32)/1000+'Inputs'!$B$21))/SQRT((((969-43)*MAX('Inputs'!$B$33,'Inputs'!$B$29+'Inputs'!$B$31+'Inputs'!$B$32,'Inputs'!$B$30+'Inputs'!$B$31+'Inputs'!$B$32)/1000+'Inputs'!$B$21))^2+('Inputs'!$B$8/2)^2)))-'Results'!B7*(1-'Inputs'!$B$24)*(0.5*((((969-43)*MAX('Inputs'!$B$33,'Inputs'!$B$29+'Inputs'!$B$31+'Inputs'!$B$32,'Inputs'!$B$30+'Inputs'!$B$31+'Inputs'!$B$32)/1000+'Inputs'!$B$21+'Inputs'!$B$9+'Inputs'!$B$10)+'Inputs'!$B$7)/SQRT((((969-43)*MAX('Inputs'!$B$33,'Inputs'!$B$29+'Inputs'!$B$31+'Inputs'!$B$32,'Inputs'!$B$30+'Inputs'!$B$31+'Inputs'!$B$32)/1000+'Inputs'!$B$21+'Inputs'!$B$9+'Inputs'!$B$10)+'Inputs'!$B$7)^2+('Inputs'!$B$6/2)^2)-(((969-43)*MAX('Inputs'!$B$33,'Inputs'!$B$29+'Inputs'!$B$31+'Inputs'!$B$32,'Inputs'!$B$30+'Inputs'!$B$31+'Inputs'!$B$32)/1000+'Inputs'!$B$21+'Inputs'!$B$9+'Inputs'!$B$10))/SQRT((((969-43)*MAX('Inputs'!$B$33,'Inputs'!$B$29+'Inputs'!$B$31+'Inputs'!$B$32,'Inputs'!$B$30+'Inputs'!$B$31+'Inputs'!$B$32)/1000+'Inputs'!$B$21+'Inputs'!$B$9+'Inputs'!$B$10))^2+('Inputs'!$B$6/2)^2))))*'Results'!$B$8))),"")</x:f>
        <x:v>0.49555443237595437</x:v>
      </x:c>
      <x:c r="P969" t="n">
        <x:f>IF(AND(MAX(J969,J968)&gt;0,J969&gt;J968+0.00000001),1,0)</x:f>
        <x:v>0</x:v>
      </x:c>
      <x:c r="Q969" t="n">
        <x:f>IF(AND(MAX(K969,K968)&gt;0,K969&gt;K968+0.00000001),1,0)</x:f>
        <x:v>0</x:v>
      </x:c>
      <x:c r="R969" t="n">
        <x:f>IF(AND(MAX(L969,L968)&gt;0,L969&gt;L968+0.00000001),1,0)</x:f>
        <x:v>0</x:v>
      </x:c>
      <x:c r="S969" t="n">
        <x:f>IF(AND(MAX(M969,M968)&gt;0,M969&gt;M968+0.00000001),1,0)</x:f>
        <x:v>0</x:v>
      </x:c>
      <x:c r="T969" t="n">
        <x:f>IF(AND(MAX(N969,N968)&gt;0,N969&gt;N968+0.00000001),1,0)</x:f>
        <x:v>0</x:v>
      </x:c>
      <x:c r="U969" t="n">
        <x:f>IF(AND(MAX(O969,O968)&gt;0,O969&gt;O968+0.00000001),1,0)</x:f>
        <x:v>0</x:v>
      </x:c>
    </x:row>
    <x:row r="970">
      <x:c r="J970" t="n">
        <x:f>IF(AND(ISNUMBER('Results'!B7),ISNUMBER('Results'!C7),ISNUMBER('Results'!$B$8),ISNUMBER('Inputs'!$B$6),ISNUMBER('Inputs'!$B$7),ISNUMBER('Inputs'!$B$8),ISNUMBER('Inputs'!$B$9),ISNUMBER('Inputs'!$B$10),ISNUMBER('Inputs'!$B$21),ISNUMBER('Inputs'!$B$24),ISNUMBER('Inputs'!$B$28)),(('Results'!B7*(0.5*((((970-43)*MAX('Inputs'!$B$33,'Inputs'!$B$29+'Inputs'!$B$31+'Inputs'!$B$32,'Inputs'!$B$30+'Inputs'!$B$31+'Inputs'!$B$32)/1000+'Inputs'!$B$21)+'Inputs'!$B$7)/SQRT((((970-43)*MAX('Inputs'!$B$33,'Inputs'!$B$29+'Inputs'!$B$31+'Inputs'!$B$32,'Inputs'!$B$30+'Inputs'!$B$31+'Inputs'!$B$32)/1000+'Inputs'!$B$21)+'Inputs'!$B$7)^2+('Inputs'!$B$6/2)^2)-(((970-43)*MAX('Inputs'!$B$33,'Inputs'!$B$29+'Inputs'!$B$31+'Inputs'!$B$32,'Inputs'!$B$30+'Inputs'!$B$31+'Inputs'!$B$32)/1000+'Inputs'!$B$21))/SQRT((((970-43)*MAX('Inputs'!$B$33,'Inputs'!$B$29+'Inputs'!$B$31+'Inputs'!$B$32,'Inputs'!$B$30+'Inputs'!$B$31+'Inputs'!$B$32)/1000+'Inputs'!$B$21))^2+('Inputs'!$B$6/2)^2)))-'Results'!C7*(0.5*((((970-43)*MAX('Inputs'!$B$33,'Inputs'!$B$29+'Inputs'!$B$31+'Inputs'!$B$32,'Inputs'!$B$30+'Inputs'!$B$31+'Inputs'!$B$32)/1000+'Inputs'!$B$21+'Inputs'!$B$7+'Inputs'!$B$10)+'Inputs'!$B$9)/SQRT((((970-43)*MAX('Inputs'!$B$33,'Inputs'!$B$29+'Inputs'!$B$31+'Inputs'!$B$32,'Inputs'!$B$30+'Inputs'!$B$31+'Inputs'!$B$32)/1000+'Inputs'!$B$21+'Inputs'!$B$7+'Inputs'!$B$10)+'Inputs'!$B$9)^2+('Inputs'!$B$8/2)^2)-(((970-43)*MAX('Inputs'!$B$33,'Inputs'!$B$29+'Inputs'!$B$31+'Inputs'!$B$32,'Inputs'!$B$30+'Inputs'!$B$31+'Inputs'!$B$32)/1000+'Inputs'!$B$21+'Inputs'!$B$7+'Inputs'!$B$10))/SQRT((((970-43)*MAX('Inputs'!$B$33,'Inputs'!$B$29+'Inputs'!$B$31+'Inputs'!$B$32,'Inputs'!$B$30+'Inputs'!$B$31+'Inputs'!$B$32)/1000+'Inputs'!$B$21+'Inputs'!$B$7+'Inputs'!$B$10))^2+('Inputs'!$B$8/2)^2))))*'Results'!$B$8),"")</x:f>
        <x:v>0.470729163945123</x:v>
      </x:c>
      <x:c r="K970" t="n">
        <x:f>IF(AND(ISNUMBER('Results'!B7),ISNUMBER('Results'!C7),ISNUMBER('Results'!$B$8),ISNUMBER('Inputs'!$B$6),ISNUMBER('Inputs'!$B$7),ISNUMBER('Inputs'!$B$8),ISNUMBER('Inputs'!$B$9),ISNUMBER('Inputs'!$B$10),ISNUMBER('Inputs'!$B$21),ISNUMBER('Inputs'!$B$24),ISNUMBER('Inputs'!$B$28)),((('Results'!B7*(1-'Inputs'!$B$24)*(0.5*((((970-43)*MAX('Inputs'!$B$33,'Inputs'!$B$29+'Inputs'!$B$31+'Inputs'!$B$32,'Inputs'!$B$30+'Inputs'!$B$31+'Inputs'!$B$32)/1000+'Inputs'!$B$21)+'Inputs'!$B$7)/SQRT((((970-43)*MAX('Inputs'!$B$33,'Inputs'!$B$29+'Inputs'!$B$31+'Inputs'!$B$32,'Inputs'!$B$30+'Inputs'!$B$31+'Inputs'!$B$32)/1000+'Inputs'!$B$21)+'Inputs'!$B$7)^2+('Inputs'!$B$6/2)^2)-(((970-43)*MAX('Inputs'!$B$33,'Inputs'!$B$29+'Inputs'!$B$31+'Inputs'!$B$32,'Inputs'!$B$30+'Inputs'!$B$31+'Inputs'!$B$32)/1000+'Inputs'!$B$21))/SQRT((((970-43)*MAX('Inputs'!$B$33,'Inputs'!$B$29+'Inputs'!$B$31+'Inputs'!$B$32,'Inputs'!$B$30+'Inputs'!$B$31+'Inputs'!$B$32)/1000+'Inputs'!$B$21))^2+('Inputs'!$B$6/2)^2)))-'Results'!C7*(1+'Inputs'!$B$24)*(0.5*((((970-43)*MAX('Inputs'!$B$33,'Inputs'!$B$29+'Inputs'!$B$31+'Inputs'!$B$32,'Inputs'!$B$30+'Inputs'!$B$31+'Inputs'!$B$32)/1000+'Inputs'!$B$21+'Inputs'!$B$7+'Inputs'!$B$10)+'Inputs'!$B$9)/SQRT((((970-43)*MAX('Inputs'!$B$33,'Inputs'!$B$29+'Inputs'!$B$31+'Inputs'!$B$32,'Inputs'!$B$30+'Inputs'!$B$31+'Inputs'!$B$32)/1000+'Inputs'!$B$21+'Inputs'!$B$7+'Inputs'!$B$10)+'Inputs'!$B$9)^2+('Inputs'!$B$8/2)^2)-(((970-43)*MAX('Inputs'!$B$33,'Inputs'!$B$29+'Inputs'!$B$31+'Inputs'!$B$32,'Inputs'!$B$30+'Inputs'!$B$31+'Inputs'!$B$32)/1000+'Inputs'!$B$21+'Inputs'!$B$7+'Inputs'!$B$10))/SQRT((((970-43)*MAX('Inputs'!$B$33,'Inputs'!$B$29+'Inputs'!$B$31+'Inputs'!$B$32,'Inputs'!$B$30+'Inputs'!$B$31+'Inputs'!$B$32)/1000+'Inputs'!$B$21+'Inputs'!$B$7+'Inputs'!$B$10))^2+('Inputs'!$B$8/2)^2))))*'Results'!$B$8)-'Inputs'!$B$28*ABS((('Results'!B7*(1-'Inputs'!$B$24)*(0.5*((((970-43)*MAX('Inputs'!$B$33,'Inputs'!$B$29+'Inputs'!$B$31+'Inputs'!$B$32,'Inputs'!$B$30+'Inputs'!$B$31+'Inputs'!$B$32)/1000+'Inputs'!$B$21)+'Inputs'!$B$7)/SQRT((((970-43)*MAX('Inputs'!$B$33,'Inputs'!$B$29+'Inputs'!$B$31+'Inputs'!$B$32,'Inputs'!$B$30+'Inputs'!$B$31+'Inputs'!$B$32)/1000+'Inputs'!$B$21)+'Inputs'!$B$7)^2+('Inputs'!$B$6/2)^2)-(((970-43)*MAX('Inputs'!$B$33,'Inputs'!$B$29+'Inputs'!$B$31+'Inputs'!$B$32,'Inputs'!$B$30+'Inputs'!$B$31+'Inputs'!$B$32)/1000+'Inputs'!$B$21))/SQRT((((970-43)*MAX('Inputs'!$B$33,'Inputs'!$B$29+'Inputs'!$B$31+'Inputs'!$B$32,'Inputs'!$B$30+'Inputs'!$B$31+'Inputs'!$B$32)/1000+'Inputs'!$B$21))^2+('Inputs'!$B$6/2)^2)))-'Results'!C7*(1+'Inputs'!$B$24)*(0.5*((((970-43)*MAX('Inputs'!$B$33,'Inputs'!$B$29+'Inputs'!$B$31+'Inputs'!$B$32,'Inputs'!$B$30+'Inputs'!$B$31+'Inputs'!$B$32)/1000+'Inputs'!$B$21+'Inputs'!$B$7+'Inputs'!$B$10)+'Inputs'!$B$9)/SQRT((((970-43)*MAX('Inputs'!$B$33,'Inputs'!$B$29+'Inputs'!$B$31+'Inputs'!$B$32,'Inputs'!$B$30+'Inputs'!$B$31+'Inputs'!$B$32)/1000+'Inputs'!$B$21+'Inputs'!$B$7+'Inputs'!$B$10)+'Inputs'!$B$9)^2+('Inputs'!$B$8/2)^2)-(((970-43)*MAX('Inputs'!$B$33,'Inputs'!$B$29+'Inputs'!$B$31+'Inputs'!$B$32,'Inputs'!$B$30+'Inputs'!$B$31+'Inputs'!$B$32)/1000+'Inputs'!$B$21+'Inputs'!$B$7+'Inputs'!$B$10))/SQRT((((970-43)*MAX('Inputs'!$B$33,'Inputs'!$B$29+'Inputs'!$B$31+'Inputs'!$B$32,'Inputs'!$B$30+'Inputs'!$B$31+'Inputs'!$B$32)/1000+'Inputs'!$B$21+'Inputs'!$B$7+'Inputs'!$B$10))^2+('Inputs'!$B$8/2)^2))))*'Results'!$B$8))),"")</x:f>
        <x:v>0.3971374653921249</x:v>
      </x:c>
      <x:c r="L970" t="n">
        <x:f>IF(AND(ISNUMBER('Results'!B7),ISNUMBER('Results'!C7),ISNUMBER('Results'!$B$8),ISNUMBER('Inputs'!$B$6),ISNUMBER('Inputs'!$B$7),ISNUMBER('Inputs'!$B$8),ISNUMBER('Inputs'!$B$9),ISNUMBER('Inputs'!$B$10),ISNUMBER('Inputs'!$B$21),ISNUMBER('Inputs'!$B$24),ISNUMBER('Inputs'!$B$28)),((('Results'!B7*(1+'Inputs'!$B$24)*(0.5*((((970-43)*MAX('Inputs'!$B$33,'Inputs'!$B$29+'Inputs'!$B$31+'Inputs'!$B$32,'Inputs'!$B$30+'Inputs'!$B$31+'Inputs'!$B$32)/1000+'Inputs'!$B$21)+'Inputs'!$B$7)/SQRT((((970-43)*MAX('Inputs'!$B$33,'Inputs'!$B$29+'Inputs'!$B$31+'Inputs'!$B$32,'Inputs'!$B$30+'Inputs'!$B$31+'Inputs'!$B$32)/1000+'Inputs'!$B$21)+'Inputs'!$B$7)^2+('Inputs'!$B$6/2)^2)-(((970-43)*MAX('Inputs'!$B$33,'Inputs'!$B$29+'Inputs'!$B$31+'Inputs'!$B$32,'Inputs'!$B$30+'Inputs'!$B$31+'Inputs'!$B$32)/1000+'Inputs'!$B$21))/SQRT((((970-43)*MAX('Inputs'!$B$33,'Inputs'!$B$29+'Inputs'!$B$31+'Inputs'!$B$32,'Inputs'!$B$30+'Inputs'!$B$31+'Inputs'!$B$32)/1000+'Inputs'!$B$21))^2+('Inputs'!$B$6/2)^2)))-'Results'!C7*(1-'Inputs'!$B$24)*(0.5*((((970-43)*MAX('Inputs'!$B$33,'Inputs'!$B$29+'Inputs'!$B$31+'Inputs'!$B$32,'Inputs'!$B$30+'Inputs'!$B$31+'Inputs'!$B$32)/1000+'Inputs'!$B$21+'Inputs'!$B$7+'Inputs'!$B$10)+'Inputs'!$B$9)/SQRT((((970-43)*MAX('Inputs'!$B$33,'Inputs'!$B$29+'Inputs'!$B$31+'Inputs'!$B$32,'Inputs'!$B$30+'Inputs'!$B$31+'Inputs'!$B$32)/1000+'Inputs'!$B$21+'Inputs'!$B$7+'Inputs'!$B$10)+'Inputs'!$B$9)^2+('Inputs'!$B$8/2)^2)-(((970-43)*MAX('Inputs'!$B$33,'Inputs'!$B$29+'Inputs'!$B$31+'Inputs'!$B$32,'Inputs'!$B$30+'Inputs'!$B$31+'Inputs'!$B$32)/1000+'Inputs'!$B$21+'Inputs'!$B$7+'Inputs'!$B$10))/SQRT((((970-43)*MAX('Inputs'!$B$33,'Inputs'!$B$29+'Inputs'!$B$31+'Inputs'!$B$32,'Inputs'!$B$30+'Inputs'!$B$31+'Inputs'!$B$32)/1000+'Inputs'!$B$21+'Inputs'!$B$7+'Inputs'!$B$10))^2+('Inputs'!$B$8/2)^2))))*'Results'!$B$8)+'Inputs'!$B$28*ABS((('Results'!B7*(1+'Inputs'!$B$24)*(0.5*((((970-43)*MAX('Inputs'!$B$33,'Inputs'!$B$29+'Inputs'!$B$31+'Inputs'!$B$32,'Inputs'!$B$30+'Inputs'!$B$31+'Inputs'!$B$32)/1000+'Inputs'!$B$21)+'Inputs'!$B$7)/SQRT((((970-43)*MAX('Inputs'!$B$33,'Inputs'!$B$29+'Inputs'!$B$31+'Inputs'!$B$32,'Inputs'!$B$30+'Inputs'!$B$31+'Inputs'!$B$32)/1000+'Inputs'!$B$21)+'Inputs'!$B$7)^2+('Inputs'!$B$6/2)^2)-(((970-43)*MAX('Inputs'!$B$33,'Inputs'!$B$29+'Inputs'!$B$31+'Inputs'!$B$32,'Inputs'!$B$30+'Inputs'!$B$31+'Inputs'!$B$32)/1000+'Inputs'!$B$21))/SQRT((((970-43)*MAX('Inputs'!$B$33,'Inputs'!$B$29+'Inputs'!$B$31+'Inputs'!$B$32,'Inputs'!$B$30+'Inputs'!$B$31+'Inputs'!$B$32)/1000+'Inputs'!$B$21))^2+('Inputs'!$B$6/2)^2)))-'Results'!C7*(1-'Inputs'!$B$24)*(0.5*((((970-43)*MAX('Inputs'!$B$33,'Inputs'!$B$29+'Inputs'!$B$31+'Inputs'!$B$32,'Inputs'!$B$30+'Inputs'!$B$31+'Inputs'!$B$32)/1000+'Inputs'!$B$21+'Inputs'!$B$7+'Inputs'!$B$10)+'Inputs'!$B$9)/SQRT((((970-43)*MAX('Inputs'!$B$33,'Inputs'!$B$29+'Inputs'!$B$31+'Inputs'!$B$32,'Inputs'!$B$30+'Inputs'!$B$31+'Inputs'!$B$32)/1000+'Inputs'!$B$21+'Inputs'!$B$7+'Inputs'!$B$10)+'Inputs'!$B$9)^2+('Inputs'!$B$8/2)^2)-(((970-43)*MAX('Inputs'!$B$33,'Inputs'!$B$29+'Inputs'!$B$31+'Inputs'!$B$32,'Inputs'!$B$30+'Inputs'!$B$31+'Inputs'!$B$32)/1000+'Inputs'!$B$21+'Inputs'!$B$7+'Inputs'!$B$10))/SQRT((((970-43)*MAX('Inputs'!$B$33,'Inputs'!$B$29+'Inputs'!$B$31+'Inputs'!$B$32,'Inputs'!$B$30+'Inputs'!$B$31+'Inputs'!$B$32)/1000+'Inputs'!$B$21+'Inputs'!$B$7+'Inputs'!$B$10))^2+('Inputs'!$B$8/2)^2))))*'Results'!$B$8))),"")</x:f>
        <x:v>0.5495898351671461</x:v>
      </x:c>
      <x:c r="M970" t="n">
        <x:f>IF(AND(ISNUMBER('Results'!C7),ISNUMBER('Results'!B7),ISNUMBER('Results'!$B$8),ISNUMBER('Inputs'!$B$6),ISNUMBER('Inputs'!$B$7),ISNUMBER('Inputs'!$B$8),ISNUMBER('Inputs'!$B$9),ISNUMBER('Inputs'!$B$10),ISNUMBER('Inputs'!$B$21),ISNUMBER('Inputs'!$B$24),ISNUMBER('Inputs'!$B$28)),(('Results'!C7*(0.5*((((970-43)*MAX('Inputs'!$B$33,'Inputs'!$B$29+'Inputs'!$B$31+'Inputs'!$B$32,'Inputs'!$B$30+'Inputs'!$B$31+'Inputs'!$B$32)/1000+'Inputs'!$B$21)+'Inputs'!$B$9)/SQRT((((970-43)*MAX('Inputs'!$B$33,'Inputs'!$B$29+'Inputs'!$B$31+'Inputs'!$B$32,'Inputs'!$B$30+'Inputs'!$B$31+'Inputs'!$B$32)/1000+'Inputs'!$B$21)+'Inputs'!$B$9)^2+('Inputs'!$B$8/2)^2)-(((970-43)*MAX('Inputs'!$B$33,'Inputs'!$B$29+'Inputs'!$B$31+'Inputs'!$B$32,'Inputs'!$B$30+'Inputs'!$B$31+'Inputs'!$B$32)/1000+'Inputs'!$B$21))/SQRT((((970-43)*MAX('Inputs'!$B$33,'Inputs'!$B$29+'Inputs'!$B$31+'Inputs'!$B$32,'Inputs'!$B$30+'Inputs'!$B$31+'Inputs'!$B$32)/1000+'Inputs'!$B$21))^2+('Inputs'!$B$8/2)^2)))-'Results'!B7*(0.5*((((970-43)*MAX('Inputs'!$B$33,'Inputs'!$B$29+'Inputs'!$B$31+'Inputs'!$B$32,'Inputs'!$B$30+'Inputs'!$B$31+'Inputs'!$B$32)/1000+'Inputs'!$B$21+'Inputs'!$B$9+'Inputs'!$B$10)+'Inputs'!$B$7)/SQRT((((970-43)*MAX('Inputs'!$B$33,'Inputs'!$B$29+'Inputs'!$B$31+'Inputs'!$B$32,'Inputs'!$B$30+'Inputs'!$B$31+'Inputs'!$B$32)/1000+'Inputs'!$B$21+'Inputs'!$B$9+'Inputs'!$B$10)+'Inputs'!$B$7)^2+('Inputs'!$B$6/2)^2)-(((970-43)*MAX('Inputs'!$B$33,'Inputs'!$B$29+'Inputs'!$B$31+'Inputs'!$B$32,'Inputs'!$B$30+'Inputs'!$B$31+'Inputs'!$B$32)/1000+'Inputs'!$B$21+'Inputs'!$B$9+'Inputs'!$B$10))/SQRT((((970-43)*MAX('Inputs'!$B$33,'Inputs'!$B$29+'Inputs'!$B$31+'Inputs'!$B$32,'Inputs'!$B$30+'Inputs'!$B$31+'Inputs'!$B$32)/1000+'Inputs'!$B$21+'Inputs'!$B$9+'Inputs'!$B$10))^2+('Inputs'!$B$6/2)^2))))*'Results'!$B$8),"")</x:f>
        <x:v>0.4175978541588343</x:v>
      </x:c>
      <x:c r="N970" t="n">
        <x:f>IF(AND(ISNUMBER('Results'!C7),ISNUMBER('Results'!B7),ISNUMBER('Results'!$B$8),ISNUMBER('Inputs'!$B$6),ISNUMBER('Inputs'!$B$7),ISNUMBER('Inputs'!$B$8),ISNUMBER('Inputs'!$B$9),ISNUMBER('Inputs'!$B$10),ISNUMBER('Inputs'!$B$21),ISNUMBER('Inputs'!$B$24),ISNUMBER('Inputs'!$B$28)),((('Results'!C7*(1-'Inputs'!$B$24)*(0.5*((((970-43)*MAX('Inputs'!$B$33,'Inputs'!$B$29+'Inputs'!$B$31+'Inputs'!$B$32,'Inputs'!$B$30+'Inputs'!$B$31+'Inputs'!$B$32)/1000+'Inputs'!$B$21)+'Inputs'!$B$9)/SQRT((((970-43)*MAX('Inputs'!$B$33,'Inputs'!$B$29+'Inputs'!$B$31+'Inputs'!$B$32,'Inputs'!$B$30+'Inputs'!$B$31+'Inputs'!$B$32)/1000+'Inputs'!$B$21)+'Inputs'!$B$9)^2+('Inputs'!$B$8/2)^2)-(((970-43)*MAX('Inputs'!$B$33,'Inputs'!$B$29+'Inputs'!$B$31+'Inputs'!$B$32,'Inputs'!$B$30+'Inputs'!$B$31+'Inputs'!$B$32)/1000+'Inputs'!$B$21))/SQRT((((970-43)*MAX('Inputs'!$B$33,'Inputs'!$B$29+'Inputs'!$B$31+'Inputs'!$B$32,'Inputs'!$B$30+'Inputs'!$B$31+'Inputs'!$B$32)/1000+'Inputs'!$B$21))^2+('Inputs'!$B$8/2)^2)))-'Results'!B7*(1+'Inputs'!$B$24)*(0.5*((((970-43)*MAX('Inputs'!$B$33,'Inputs'!$B$29+'Inputs'!$B$31+'Inputs'!$B$32,'Inputs'!$B$30+'Inputs'!$B$31+'Inputs'!$B$32)/1000+'Inputs'!$B$21+'Inputs'!$B$9+'Inputs'!$B$10)+'Inputs'!$B$7)/SQRT((((970-43)*MAX('Inputs'!$B$33,'Inputs'!$B$29+'Inputs'!$B$31+'Inputs'!$B$32,'Inputs'!$B$30+'Inputs'!$B$31+'Inputs'!$B$32)/1000+'Inputs'!$B$21+'Inputs'!$B$9+'Inputs'!$B$10)+'Inputs'!$B$7)^2+('Inputs'!$B$6/2)^2)-(((970-43)*MAX('Inputs'!$B$33,'Inputs'!$B$29+'Inputs'!$B$31+'Inputs'!$B$32,'Inputs'!$B$30+'Inputs'!$B$31+'Inputs'!$B$32)/1000+'Inputs'!$B$21+'Inputs'!$B$9+'Inputs'!$B$10))/SQRT((((970-43)*MAX('Inputs'!$B$33,'Inputs'!$B$29+'Inputs'!$B$31+'Inputs'!$B$32,'Inputs'!$B$30+'Inputs'!$B$31+'Inputs'!$B$32)/1000+'Inputs'!$B$21+'Inputs'!$B$9+'Inputs'!$B$10))^2+('Inputs'!$B$6/2)^2))))*'Results'!$B$8)-'Inputs'!$B$28*ABS((('Results'!C7*(1-'Inputs'!$B$24)*(0.5*((((970-43)*MAX('Inputs'!$B$33,'Inputs'!$B$29+'Inputs'!$B$31+'Inputs'!$B$32,'Inputs'!$B$30+'Inputs'!$B$31+'Inputs'!$B$32)/1000+'Inputs'!$B$21)+'Inputs'!$B$9)/SQRT((((970-43)*MAX('Inputs'!$B$33,'Inputs'!$B$29+'Inputs'!$B$31+'Inputs'!$B$32,'Inputs'!$B$30+'Inputs'!$B$31+'Inputs'!$B$32)/1000+'Inputs'!$B$21)+'Inputs'!$B$9)^2+('Inputs'!$B$8/2)^2)-(((970-43)*MAX('Inputs'!$B$33,'Inputs'!$B$29+'Inputs'!$B$31+'Inputs'!$B$32,'Inputs'!$B$30+'Inputs'!$B$31+'Inputs'!$B$32)/1000+'Inputs'!$B$21))/SQRT((((970-43)*MAX('Inputs'!$B$33,'Inputs'!$B$29+'Inputs'!$B$31+'Inputs'!$B$32,'Inputs'!$B$30+'Inputs'!$B$31+'Inputs'!$B$32)/1000+'Inputs'!$B$21))^2+('Inputs'!$B$8/2)^2)))-'Results'!B7*(1+'Inputs'!$B$24)*(0.5*((((970-43)*MAX('Inputs'!$B$33,'Inputs'!$B$29+'Inputs'!$B$31+'Inputs'!$B$32,'Inputs'!$B$30+'Inputs'!$B$31+'Inputs'!$B$32)/1000+'Inputs'!$B$21+'Inputs'!$B$9+'Inputs'!$B$10)+'Inputs'!$B$7)/SQRT((((970-43)*MAX('Inputs'!$B$33,'Inputs'!$B$29+'Inputs'!$B$31+'Inputs'!$B$32,'Inputs'!$B$30+'Inputs'!$B$31+'Inputs'!$B$32)/1000+'Inputs'!$B$21+'Inputs'!$B$9+'Inputs'!$B$10)+'Inputs'!$B$7)^2+('Inputs'!$B$6/2)^2)-(((970-43)*MAX('Inputs'!$B$33,'Inputs'!$B$29+'Inputs'!$B$31+'Inputs'!$B$32,'Inputs'!$B$30+'Inputs'!$B$31+'Inputs'!$B$32)/1000+'Inputs'!$B$21+'Inputs'!$B$9+'Inputs'!$B$10))/SQRT((((970-43)*MAX('Inputs'!$B$33,'Inputs'!$B$29+'Inputs'!$B$31+'Inputs'!$B$32,'Inputs'!$B$30+'Inputs'!$B$31+'Inputs'!$B$32)/1000+'Inputs'!$B$21+'Inputs'!$B$9+'Inputs'!$B$10))^2+('Inputs'!$B$6/2)^2))))*'Results'!$B$8))),"")</x:f>
        <x:v>0.3468332080986251</x:v>
      </x:c>
      <x:c r="O970" t="n">
        <x:f>IF(AND(ISNUMBER('Results'!C7),ISNUMBER('Results'!B7),ISNUMBER('Results'!$B$8),ISNUMBER('Inputs'!$B$6),ISNUMBER('Inputs'!$B$7),ISNUMBER('Inputs'!$B$8),ISNUMBER('Inputs'!$B$9),ISNUMBER('Inputs'!$B$10),ISNUMBER('Inputs'!$B$21),ISNUMBER('Inputs'!$B$24),ISNUMBER('Inputs'!$B$28)),((('Results'!C7*(1+'Inputs'!$B$24)*(0.5*((((970-43)*MAX('Inputs'!$B$33,'Inputs'!$B$29+'Inputs'!$B$31+'Inputs'!$B$32,'Inputs'!$B$30+'Inputs'!$B$31+'Inputs'!$B$32)/1000+'Inputs'!$B$21)+'Inputs'!$B$9)/SQRT((((970-43)*MAX('Inputs'!$B$33,'Inputs'!$B$29+'Inputs'!$B$31+'Inputs'!$B$32,'Inputs'!$B$30+'Inputs'!$B$31+'Inputs'!$B$32)/1000+'Inputs'!$B$21)+'Inputs'!$B$9)^2+('Inputs'!$B$8/2)^2)-(((970-43)*MAX('Inputs'!$B$33,'Inputs'!$B$29+'Inputs'!$B$31+'Inputs'!$B$32,'Inputs'!$B$30+'Inputs'!$B$31+'Inputs'!$B$32)/1000+'Inputs'!$B$21))/SQRT((((970-43)*MAX('Inputs'!$B$33,'Inputs'!$B$29+'Inputs'!$B$31+'Inputs'!$B$32,'Inputs'!$B$30+'Inputs'!$B$31+'Inputs'!$B$32)/1000+'Inputs'!$B$21))^2+('Inputs'!$B$8/2)^2)))-'Results'!B7*(1-'Inputs'!$B$24)*(0.5*((((970-43)*MAX('Inputs'!$B$33,'Inputs'!$B$29+'Inputs'!$B$31+'Inputs'!$B$32,'Inputs'!$B$30+'Inputs'!$B$31+'Inputs'!$B$32)/1000+'Inputs'!$B$21+'Inputs'!$B$9+'Inputs'!$B$10)+'Inputs'!$B$7)/SQRT((((970-43)*MAX('Inputs'!$B$33,'Inputs'!$B$29+'Inputs'!$B$31+'Inputs'!$B$32,'Inputs'!$B$30+'Inputs'!$B$31+'Inputs'!$B$32)/1000+'Inputs'!$B$21+'Inputs'!$B$9+'Inputs'!$B$10)+'Inputs'!$B$7)^2+('Inputs'!$B$6/2)^2)-(((970-43)*MAX('Inputs'!$B$33,'Inputs'!$B$29+'Inputs'!$B$31+'Inputs'!$B$32,'Inputs'!$B$30+'Inputs'!$B$31+'Inputs'!$B$32)/1000+'Inputs'!$B$21+'Inputs'!$B$9+'Inputs'!$B$10))/SQRT((((970-43)*MAX('Inputs'!$B$33,'Inputs'!$B$29+'Inputs'!$B$31+'Inputs'!$B$32,'Inputs'!$B$30+'Inputs'!$B$31+'Inputs'!$B$32)/1000+'Inputs'!$B$21+'Inputs'!$B$9+'Inputs'!$B$10))^2+('Inputs'!$B$6/2)^2))))*'Results'!$B$8)+'Inputs'!$B$28*ABS((('Results'!C7*(1+'Inputs'!$B$24)*(0.5*((((970-43)*MAX('Inputs'!$B$33,'Inputs'!$B$29+'Inputs'!$B$31+'Inputs'!$B$32,'Inputs'!$B$30+'Inputs'!$B$31+'Inputs'!$B$32)/1000+'Inputs'!$B$21)+'Inputs'!$B$9)/SQRT((((970-43)*MAX('Inputs'!$B$33,'Inputs'!$B$29+'Inputs'!$B$31+'Inputs'!$B$32,'Inputs'!$B$30+'Inputs'!$B$31+'Inputs'!$B$32)/1000+'Inputs'!$B$21)+'Inputs'!$B$9)^2+('Inputs'!$B$8/2)^2)-(((970-43)*MAX('Inputs'!$B$33,'Inputs'!$B$29+'Inputs'!$B$31+'Inputs'!$B$32,'Inputs'!$B$30+'Inputs'!$B$31+'Inputs'!$B$32)/1000+'Inputs'!$B$21))/SQRT((((970-43)*MAX('Inputs'!$B$33,'Inputs'!$B$29+'Inputs'!$B$31+'Inputs'!$B$32,'Inputs'!$B$30+'Inputs'!$B$31+'Inputs'!$B$32)/1000+'Inputs'!$B$21))^2+('Inputs'!$B$8/2)^2)))-'Results'!B7*(1-'Inputs'!$B$24)*(0.5*((((970-43)*MAX('Inputs'!$B$33,'Inputs'!$B$29+'Inputs'!$B$31+'Inputs'!$B$32,'Inputs'!$B$30+'Inputs'!$B$31+'Inputs'!$B$32)/1000+'Inputs'!$B$21+'Inputs'!$B$9+'Inputs'!$B$10)+'Inputs'!$B$7)/SQRT((((970-43)*MAX('Inputs'!$B$33,'Inputs'!$B$29+'Inputs'!$B$31+'Inputs'!$B$32,'Inputs'!$B$30+'Inputs'!$B$31+'Inputs'!$B$32)/1000+'Inputs'!$B$21+'Inputs'!$B$9+'Inputs'!$B$10)+'Inputs'!$B$7)^2+('Inputs'!$B$6/2)^2)-(((970-43)*MAX('Inputs'!$B$33,'Inputs'!$B$29+'Inputs'!$B$31+'Inputs'!$B$32,'Inputs'!$B$30+'Inputs'!$B$31+'Inputs'!$B$32)/1000+'Inputs'!$B$21+'Inputs'!$B$9+'Inputs'!$B$10))/SQRT((((970-43)*MAX('Inputs'!$B$33,'Inputs'!$B$29+'Inputs'!$B$31+'Inputs'!$B$32,'Inputs'!$B$30+'Inputs'!$B$31+'Inputs'!$B$32)/1000+'Inputs'!$B$21+'Inputs'!$B$9+'Inputs'!$B$10))^2+('Inputs'!$B$6/2)^2))))*'Results'!$B$8))),"")</x:f>
        <x:v>0.49361352688770305</x:v>
      </x:c>
      <x:c r="P970" t="n">
        <x:f>IF(AND(MAX(J970,J969)&gt;0,J970&gt;J969+0.00000001),1,0)</x:f>
        <x:v>0</x:v>
      </x:c>
      <x:c r="Q970" t="n">
        <x:f>IF(AND(MAX(K970,K969)&gt;0,K970&gt;K969+0.00000001),1,0)</x:f>
        <x:v>0</x:v>
      </x:c>
      <x:c r="R970" t="n">
        <x:f>IF(AND(MAX(L970,L969)&gt;0,L970&gt;L969+0.00000001),1,0)</x:f>
        <x:v>0</x:v>
      </x:c>
      <x:c r="S970" t="n">
        <x:f>IF(AND(MAX(M970,M969)&gt;0,M970&gt;M969+0.00000001),1,0)</x:f>
        <x:v>0</x:v>
      </x:c>
      <x:c r="T970" t="n">
        <x:f>IF(AND(MAX(N970,N969)&gt;0,N970&gt;N969+0.00000001),1,0)</x:f>
        <x:v>0</x:v>
      </x:c>
      <x:c r="U970" t="n">
        <x:f>IF(AND(MAX(O970,O969)&gt;0,O970&gt;O969+0.00000001),1,0)</x:f>
        <x:v>0</x:v>
      </x:c>
    </x:row>
    <x:row r="971">
      <x:c r="J971" t="n">
        <x:f>IF(AND(ISNUMBER('Results'!B7),ISNUMBER('Results'!C7),ISNUMBER('Results'!$B$8),ISNUMBER('Inputs'!$B$6),ISNUMBER('Inputs'!$B$7),ISNUMBER('Inputs'!$B$8),ISNUMBER('Inputs'!$B$9),ISNUMBER('Inputs'!$B$10),ISNUMBER('Inputs'!$B$21),ISNUMBER('Inputs'!$B$24),ISNUMBER('Inputs'!$B$28)),(('Results'!B7*(0.5*((((971-43)*MAX('Inputs'!$B$33,'Inputs'!$B$29+'Inputs'!$B$31+'Inputs'!$B$32,'Inputs'!$B$30+'Inputs'!$B$31+'Inputs'!$B$32)/1000+'Inputs'!$B$21)+'Inputs'!$B$7)/SQRT((((971-43)*MAX('Inputs'!$B$33,'Inputs'!$B$29+'Inputs'!$B$31+'Inputs'!$B$32,'Inputs'!$B$30+'Inputs'!$B$31+'Inputs'!$B$32)/1000+'Inputs'!$B$21)+'Inputs'!$B$7)^2+('Inputs'!$B$6/2)^2)-(((971-43)*MAX('Inputs'!$B$33,'Inputs'!$B$29+'Inputs'!$B$31+'Inputs'!$B$32,'Inputs'!$B$30+'Inputs'!$B$31+'Inputs'!$B$32)/1000+'Inputs'!$B$21))/SQRT((((971-43)*MAX('Inputs'!$B$33,'Inputs'!$B$29+'Inputs'!$B$31+'Inputs'!$B$32,'Inputs'!$B$30+'Inputs'!$B$31+'Inputs'!$B$32)/1000+'Inputs'!$B$21))^2+('Inputs'!$B$6/2)^2)))-'Results'!C7*(0.5*((((971-43)*MAX('Inputs'!$B$33,'Inputs'!$B$29+'Inputs'!$B$31+'Inputs'!$B$32,'Inputs'!$B$30+'Inputs'!$B$31+'Inputs'!$B$32)/1000+'Inputs'!$B$21+'Inputs'!$B$7+'Inputs'!$B$10)+'Inputs'!$B$9)/SQRT((((971-43)*MAX('Inputs'!$B$33,'Inputs'!$B$29+'Inputs'!$B$31+'Inputs'!$B$32,'Inputs'!$B$30+'Inputs'!$B$31+'Inputs'!$B$32)/1000+'Inputs'!$B$21+'Inputs'!$B$7+'Inputs'!$B$10)+'Inputs'!$B$9)^2+('Inputs'!$B$8/2)^2)-(((971-43)*MAX('Inputs'!$B$33,'Inputs'!$B$29+'Inputs'!$B$31+'Inputs'!$B$32,'Inputs'!$B$30+'Inputs'!$B$31+'Inputs'!$B$32)/1000+'Inputs'!$B$21+'Inputs'!$B$7+'Inputs'!$B$10))/SQRT((((971-43)*MAX('Inputs'!$B$33,'Inputs'!$B$29+'Inputs'!$B$31+'Inputs'!$B$32,'Inputs'!$B$30+'Inputs'!$B$31+'Inputs'!$B$32)/1000+'Inputs'!$B$21+'Inputs'!$B$7+'Inputs'!$B$10))^2+('Inputs'!$B$8/2)^2))))*'Results'!$B$8),"")</x:f>
        <x:v>0.4688878173886694</x:v>
      </x:c>
      <x:c r="K971" t="n">
        <x:f>IF(AND(ISNUMBER('Results'!B7),ISNUMBER('Results'!C7),ISNUMBER('Results'!$B$8),ISNUMBER('Inputs'!$B$6),ISNUMBER('Inputs'!$B$7),ISNUMBER('Inputs'!$B$8),ISNUMBER('Inputs'!$B$9),ISNUMBER('Inputs'!$B$10),ISNUMBER('Inputs'!$B$21),ISNUMBER('Inputs'!$B$24),ISNUMBER('Inputs'!$B$28)),((('Results'!B7*(1-'Inputs'!$B$24)*(0.5*((((971-43)*MAX('Inputs'!$B$33,'Inputs'!$B$29+'Inputs'!$B$31+'Inputs'!$B$32,'Inputs'!$B$30+'Inputs'!$B$31+'Inputs'!$B$32)/1000+'Inputs'!$B$21)+'Inputs'!$B$7)/SQRT((((971-43)*MAX('Inputs'!$B$33,'Inputs'!$B$29+'Inputs'!$B$31+'Inputs'!$B$32,'Inputs'!$B$30+'Inputs'!$B$31+'Inputs'!$B$32)/1000+'Inputs'!$B$21)+'Inputs'!$B$7)^2+('Inputs'!$B$6/2)^2)-(((971-43)*MAX('Inputs'!$B$33,'Inputs'!$B$29+'Inputs'!$B$31+'Inputs'!$B$32,'Inputs'!$B$30+'Inputs'!$B$31+'Inputs'!$B$32)/1000+'Inputs'!$B$21))/SQRT((((971-43)*MAX('Inputs'!$B$33,'Inputs'!$B$29+'Inputs'!$B$31+'Inputs'!$B$32,'Inputs'!$B$30+'Inputs'!$B$31+'Inputs'!$B$32)/1000+'Inputs'!$B$21))^2+('Inputs'!$B$6/2)^2)))-'Results'!C7*(1+'Inputs'!$B$24)*(0.5*((((971-43)*MAX('Inputs'!$B$33,'Inputs'!$B$29+'Inputs'!$B$31+'Inputs'!$B$32,'Inputs'!$B$30+'Inputs'!$B$31+'Inputs'!$B$32)/1000+'Inputs'!$B$21+'Inputs'!$B$7+'Inputs'!$B$10)+'Inputs'!$B$9)/SQRT((((971-43)*MAX('Inputs'!$B$33,'Inputs'!$B$29+'Inputs'!$B$31+'Inputs'!$B$32,'Inputs'!$B$30+'Inputs'!$B$31+'Inputs'!$B$32)/1000+'Inputs'!$B$21+'Inputs'!$B$7+'Inputs'!$B$10)+'Inputs'!$B$9)^2+('Inputs'!$B$8/2)^2)-(((971-43)*MAX('Inputs'!$B$33,'Inputs'!$B$29+'Inputs'!$B$31+'Inputs'!$B$32,'Inputs'!$B$30+'Inputs'!$B$31+'Inputs'!$B$32)/1000+'Inputs'!$B$21+'Inputs'!$B$7+'Inputs'!$B$10))/SQRT((((971-43)*MAX('Inputs'!$B$33,'Inputs'!$B$29+'Inputs'!$B$31+'Inputs'!$B$32,'Inputs'!$B$30+'Inputs'!$B$31+'Inputs'!$B$32)/1000+'Inputs'!$B$21+'Inputs'!$B$7+'Inputs'!$B$10))^2+('Inputs'!$B$8/2)^2))))*'Results'!$B$8)-'Inputs'!$B$28*ABS((('Results'!B7*(1-'Inputs'!$B$24)*(0.5*((((971-43)*MAX('Inputs'!$B$33,'Inputs'!$B$29+'Inputs'!$B$31+'Inputs'!$B$32,'Inputs'!$B$30+'Inputs'!$B$31+'Inputs'!$B$32)/1000+'Inputs'!$B$21)+'Inputs'!$B$7)/SQRT((((971-43)*MAX('Inputs'!$B$33,'Inputs'!$B$29+'Inputs'!$B$31+'Inputs'!$B$32,'Inputs'!$B$30+'Inputs'!$B$31+'Inputs'!$B$32)/1000+'Inputs'!$B$21)+'Inputs'!$B$7)^2+('Inputs'!$B$6/2)^2)-(((971-43)*MAX('Inputs'!$B$33,'Inputs'!$B$29+'Inputs'!$B$31+'Inputs'!$B$32,'Inputs'!$B$30+'Inputs'!$B$31+'Inputs'!$B$32)/1000+'Inputs'!$B$21))/SQRT((((971-43)*MAX('Inputs'!$B$33,'Inputs'!$B$29+'Inputs'!$B$31+'Inputs'!$B$32,'Inputs'!$B$30+'Inputs'!$B$31+'Inputs'!$B$32)/1000+'Inputs'!$B$21))^2+('Inputs'!$B$6/2)^2)))-'Results'!C7*(1+'Inputs'!$B$24)*(0.5*((((971-43)*MAX('Inputs'!$B$33,'Inputs'!$B$29+'Inputs'!$B$31+'Inputs'!$B$32,'Inputs'!$B$30+'Inputs'!$B$31+'Inputs'!$B$32)/1000+'Inputs'!$B$21+'Inputs'!$B$7+'Inputs'!$B$10)+'Inputs'!$B$9)/SQRT((((971-43)*MAX('Inputs'!$B$33,'Inputs'!$B$29+'Inputs'!$B$31+'Inputs'!$B$32,'Inputs'!$B$30+'Inputs'!$B$31+'Inputs'!$B$32)/1000+'Inputs'!$B$21+'Inputs'!$B$7+'Inputs'!$B$10)+'Inputs'!$B$9)^2+('Inputs'!$B$8/2)^2)-(((971-43)*MAX('Inputs'!$B$33,'Inputs'!$B$29+'Inputs'!$B$31+'Inputs'!$B$32,'Inputs'!$B$30+'Inputs'!$B$31+'Inputs'!$B$32)/1000+'Inputs'!$B$21+'Inputs'!$B$7+'Inputs'!$B$10))/SQRT((((971-43)*MAX('Inputs'!$B$33,'Inputs'!$B$29+'Inputs'!$B$31+'Inputs'!$B$32,'Inputs'!$B$30+'Inputs'!$B$31+'Inputs'!$B$32)/1000+'Inputs'!$B$21+'Inputs'!$B$7+'Inputs'!$B$10))^2+('Inputs'!$B$8/2)^2))))*'Results'!$B$8))),"")</x:f>
        <x:v>0.3955385476432415</x:v>
      </x:c>
      <x:c r="L971" t="n">
        <x:f>IF(AND(ISNUMBER('Results'!B7),ISNUMBER('Results'!C7),ISNUMBER('Results'!$B$8),ISNUMBER('Inputs'!$B$6),ISNUMBER('Inputs'!$B$7),ISNUMBER('Inputs'!$B$8),ISNUMBER('Inputs'!$B$9),ISNUMBER('Inputs'!$B$10),ISNUMBER('Inputs'!$B$21),ISNUMBER('Inputs'!$B$24),ISNUMBER('Inputs'!$B$28)),((('Results'!B7*(1+'Inputs'!$B$24)*(0.5*((((971-43)*MAX('Inputs'!$B$33,'Inputs'!$B$29+'Inputs'!$B$31+'Inputs'!$B$32,'Inputs'!$B$30+'Inputs'!$B$31+'Inputs'!$B$32)/1000+'Inputs'!$B$21)+'Inputs'!$B$7)/SQRT((((971-43)*MAX('Inputs'!$B$33,'Inputs'!$B$29+'Inputs'!$B$31+'Inputs'!$B$32,'Inputs'!$B$30+'Inputs'!$B$31+'Inputs'!$B$32)/1000+'Inputs'!$B$21)+'Inputs'!$B$7)^2+('Inputs'!$B$6/2)^2)-(((971-43)*MAX('Inputs'!$B$33,'Inputs'!$B$29+'Inputs'!$B$31+'Inputs'!$B$32,'Inputs'!$B$30+'Inputs'!$B$31+'Inputs'!$B$32)/1000+'Inputs'!$B$21))/SQRT((((971-43)*MAX('Inputs'!$B$33,'Inputs'!$B$29+'Inputs'!$B$31+'Inputs'!$B$32,'Inputs'!$B$30+'Inputs'!$B$31+'Inputs'!$B$32)/1000+'Inputs'!$B$21))^2+('Inputs'!$B$6/2)^2)))-'Results'!C7*(1-'Inputs'!$B$24)*(0.5*((((971-43)*MAX('Inputs'!$B$33,'Inputs'!$B$29+'Inputs'!$B$31+'Inputs'!$B$32,'Inputs'!$B$30+'Inputs'!$B$31+'Inputs'!$B$32)/1000+'Inputs'!$B$21+'Inputs'!$B$7+'Inputs'!$B$10)+'Inputs'!$B$9)/SQRT((((971-43)*MAX('Inputs'!$B$33,'Inputs'!$B$29+'Inputs'!$B$31+'Inputs'!$B$32,'Inputs'!$B$30+'Inputs'!$B$31+'Inputs'!$B$32)/1000+'Inputs'!$B$21+'Inputs'!$B$7+'Inputs'!$B$10)+'Inputs'!$B$9)^2+('Inputs'!$B$8/2)^2)-(((971-43)*MAX('Inputs'!$B$33,'Inputs'!$B$29+'Inputs'!$B$31+'Inputs'!$B$32,'Inputs'!$B$30+'Inputs'!$B$31+'Inputs'!$B$32)/1000+'Inputs'!$B$21+'Inputs'!$B$7+'Inputs'!$B$10))/SQRT((((971-43)*MAX('Inputs'!$B$33,'Inputs'!$B$29+'Inputs'!$B$31+'Inputs'!$B$32,'Inputs'!$B$30+'Inputs'!$B$31+'Inputs'!$B$32)/1000+'Inputs'!$B$21+'Inputs'!$B$7+'Inputs'!$B$10))^2+('Inputs'!$B$8/2)^2))))*'Results'!$B$8)+'Inputs'!$B$28*ABS((('Results'!B7*(1+'Inputs'!$B$24)*(0.5*((((971-43)*MAX('Inputs'!$B$33,'Inputs'!$B$29+'Inputs'!$B$31+'Inputs'!$B$32,'Inputs'!$B$30+'Inputs'!$B$31+'Inputs'!$B$32)/1000+'Inputs'!$B$21)+'Inputs'!$B$7)/SQRT((((971-43)*MAX('Inputs'!$B$33,'Inputs'!$B$29+'Inputs'!$B$31+'Inputs'!$B$32,'Inputs'!$B$30+'Inputs'!$B$31+'Inputs'!$B$32)/1000+'Inputs'!$B$21)+'Inputs'!$B$7)^2+('Inputs'!$B$6/2)^2)-(((971-43)*MAX('Inputs'!$B$33,'Inputs'!$B$29+'Inputs'!$B$31+'Inputs'!$B$32,'Inputs'!$B$30+'Inputs'!$B$31+'Inputs'!$B$32)/1000+'Inputs'!$B$21))/SQRT((((971-43)*MAX('Inputs'!$B$33,'Inputs'!$B$29+'Inputs'!$B$31+'Inputs'!$B$32,'Inputs'!$B$30+'Inputs'!$B$31+'Inputs'!$B$32)/1000+'Inputs'!$B$21))^2+('Inputs'!$B$6/2)^2)))-'Results'!C7*(1-'Inputs'!$B$24)*(0.5*((((971-43)*MAX('Inputs'!$B$33,'Inputs'!$B$29+'Inputs'!$B$31+'Inputs'!$B$32,'Inputs'!$B$30+'Inputs'!$B$31+'Inputs'!$B$32)/1000+'Inputs'!$B$21+'Inputs'!$B$7+'Inputs'!$B$10)+'Inputs'!$B$9)/SQRT((((971-43)*MAX('Inputs'!$B$33,'Inputs'!$B$29+'Inputs'!$B$31+'Inputs'!$B$32,'Inputs'!$B$30+'Inputs'!$B$31+'Inputs'!$B$32)/1000+'Inputs'!$B$21+'Inputs'!$B$7+'Inputs'!$B$10)+'Inputs'!$B$9)^2+('Inputs'!$B$8/2)^2)-(((971-43)*MAX('Inputs'!$B$33,'Inputs'!$B$29+'Inputs'!$B$31+'Inputs'!$B$32,'Inputs'!$B$30+'Inputs'!$B$31+'Inputs'!$B$32)/1000+'Inputs'!$B$21+'Inputs'!$B$7+'Inputs'!$B$10))/SQRT((((971-43)*MAX('Inputs'!$B$33,'Inputs'!$B$29+'Inputs'!$B$31+'Inputs'!$B$32,'Inputs'!$B$30+'Inputs'!$B$31+'Inputs'!$B$32)/1000+'Inputs'!$B$21+'Inputs'!$B$7+'Inputs'!$B$10))^2+('Inputs'!$B$8/2)^2))))*'Results'!$B$8))),"")</x:f>
        <x:v>0.547490232278939</x:v>
      </x:c>
      <x:c r="M971" t="n">
        <x:f>IF(AND(ISNUMBER('Results'!C7),ISNUMBER('Results'!B7),ISNUMBER('Results'!$B$8),ISNUMBER('Inputs'!$B$6),ISNUMBER('Inputs'!$B$7),ISNUMBER('Inputs'!$B$8),ISNUMBER('Inputs'!$B$9),ISNUMBER('Inputs'!$B$10),ISNUMBER('Inputs'!$B$21),ISNUMBER('Inputs'!$B$24),ISNUMBER('Inputs'!$B$28)),(('Results'!C7*(0.5*((((971-43)*MAX('Inputs'!$B$33,'Inputs'!$B$29+'Inputs'!$B$31+'Inputs'!$B$32,'Inputs'!$B$30+'Inputs'!$B$31+'Inputs'!$B$32)/1000+'Inputs'!$B$21)+'Inputs'!$B$9)/SQRT((((971-43)*MAX('Inputs'!$B$33,'Inputs'!$B$29+'Inputs'!$B$31+'Inputs'!$B$32,'Inputs'!$B$30+'Inputs'!$B$31+'Inputs'!$B$32)/1000+'Inputs'!$B$21)+'Inputs'!$B$9)^2+('Inputs'!$B$8/2)^2)-(((971-43)*MAX('Inputs'!$B$33,'Inputs'!$B$29+'Inputs'!$B$31+'Inputs'!$B$32,'Inputs'!$B$30+'Inputs'!$B$31+'Inputs'!$B$32)/1000+'Inputs'!$B$21))/SQRT((((971-43)*MAX('Inputs'!$B$33,'Inputs'!$B$29+'Inputs'!$B$31+'Inputs'!$B$32,'Inputs'!$B$30+'Inputs'!$B$31+'Inputs'!$B$32)/1000+'Inputs'!$B$21))^2+('Inputs'!$B$8/2)^2)))-'Results'!B7*(0.5*((((971-43)*MAX('Inputs'!$B$33,'Inputs'!$B$29+'Inputs'!$B$31+'Inputs'!$B$32,'Inputs'!$B$30+'Inputs'!$B$31+'Inputs'!$B$32)/1000+'Inputs'!$B$21+'Inputs'!$B$9+'Inputs'!$B$10)+'Inputs'!$B$7)/SQRT((((971-43)*MAX('Inputs'!$B$33,'Inputs'!$B$29+'Inputs'!$B$31+'Inputs'!$B$32,'Inputs'!$B$30+'Inputs'!$B$31+'Inputs'!$B$32)/1000+'Inputs'!$B$21+'Inputs'!$B$9+'Inputs'!$B$10)+'Inputs'!$B$7)^2+('Inputs'!$B$6/2)^2)-(((971-43)*MAX('Inputs'!$B$33,'Inputs'!$B$29+'Inputs'!$B$31+'Inputs'!$B$32,'Inputs'!$B$30+'Inputs'!$B$31+'Inputs'!$B$32)/1000+'Inputs'!$B$21+'Inputs'!$B$9+'Inputs'!$B$10))/SQRT((((971-43)*MAX('Inputs'!$B$33,'Inputs'!$B$29+'Inputs'!$B$31+'Inputs'!$B$32,'Inputs'!$B$30+'Inputs'!$B$31+'Inputs'!$B$32)/1000+'Inputs'!$B$21+'Inputs'!$B$9+'Inputs'!$B$10))^2+('Inputs'!$B$6/2)^2))))*'Results'!$B$8),"")</x:f>
        <x:v>0.41591602211269685</x:v>
      </x:c>
      <x:c r="N971" t="n">
        <x:f>IF(AND(ISNUMBER('Results'!C7),ISNUMBER('Results'!B7),ISNUMBER('Results'!$B$8),ISNUMBER('Inputs'!$B$6),ISNUMBER('Inputs'!$B$7),ISNUMBER('Inputs'!$B$8),ISNUMBER('Inputs'!$B$9),ISNUMBER('Inputs'!$B$10),ISNUMBER('Inputs'!$B$21),ISNUMBER('Inputs'!$B$24),ISNUMBER('Inputs'!$B$28)),((('Results'!C7*(1-'Inputs'!$B$24)*(0.5*((((971-43)*MAX('Inputs'!$B$33,'Inputs'!$B$29+'Inputs'!$B$31+'Inputs'!$B$32,'Inputs'!$B$30+'Inputs'!$B$31+'Inputs'!$B$32)/1000+'Inputs'!$B$21)+'Inputs'!$B$9)/SQRT((((971-43)*MAX('Inputs'!$B$33,'Inputs'!$B$29+'Inputs'!$B$31+'Inputs'!$B$32,'Inputs'!$B$30+'Inputs'!$B$31+'Inputs'!$B$32)/1000+'Inputs'!$B$21)+'Inputs'!$B$9)^2+('Inputs'!$B$8/2)^2)-(((971-43)*MAX('Inputs'!$B$33,'Inputs'!$B$29+'Inputs'!$B$31+'Inputs'!$B$32,'Inputs'!$B$30+'Inputs'!$B$31+'Inputs'!$B$32)/1000+'Inputs'!$B$21))/SQRT((((971-43)*MAX('Inputs'!$B$33,'Inputs'!$B$29+'Inputs'!$B$31+'Inputs'!$B$32,'Inputs'!$B$30+'Inputs'!$B$31+'Inputs'!$B$32)/1000+'Inputs'!$B$21))^2+('Inputs'!$B$8/2)^2)))-'Results'!B7*(1+'Inputs'!$B$24)*(0.5*((((971-43)*MAX('Inputs'!$B$33,'Inputs'!$B$29+'Inputs'!$B$31+'Inputs'!$B$32,'Inputs'!$B$30+'Inputs'!$B$31+'Inputs'!$B$32)/1000+'Inputs'!$B$21+'Inputs'!$B$9+'Inputs'!$B$10)+'Inputs'!$B$7)/SQRT((((971-43)*MAX('Inputs'!$B$33,'Inputs'!$B$29+'Inputs'!$B$31+'Inputs'!$B$32,'Inputs'!$B$30+'Inputs'!$B$31+'Inputs'!$B$32)/1000+'Inputs'!$B$21+'Inputs'!$B$9+'Inputs'!$B$10)+'Inputs'!$B$7)^2+('Inputs'!$B$6/2)^2)-(((971-43)*MAX('Inputs'!$B$33,'Inputs'!$B$29+'Inputs'!$B$31+'Inputs'!$B$32,'Inputs'!$B$30+'Inputs'!$B$31+'Inputs'!$B$32)/1000+'Inputs'!$B$21+'Inputs'!$B$9+'Inputs'!$B$10))/SQRT((((971-43)*MAX('Inputs'!$B$33,'Inputs'!$B$29+'Inputs'!$B$31+'Inputs'!$B$32,'Inputs'!$B$30+'Inputs'!$B$31+'Inputs'!$B$32)/1000+'Inputs'!$B$21+'Inputs'!$B$9+'Inputs'!$B$10))^2+('Inputs'!$B$6/2)^2))))*'Results'!$B$8)-'Inputs'!$B$28*ABS((('Results'!C7*(1-'Inputs'!$B$24)*(0.5*((((971-43)*MAX('Inputs'!$B$33,'Inputs'!$B$29+'Inputs'!$B$31+'Inputs'!$B$32,'Inputs'!$B$30+'Inputs'!$B$31+'Inputs'!$B$32)/1000+'Inputs'!$B$21)+'Inputs'!$B$9)/SQRT((((971-43)*MAX('Inputs'!$B$33,'Inputs'!$B$29+'Inputs'!$B$31+'Inputs'!$B$32,'Inputs'!$B$30+'Inputs'!$B$31+'Inputs'!$B$32)/1000+'Inputs'!$B$21)+'Inputs'!$B$9)^2+('Inputs'!$B$8/2)^2)-(((971-43)*MAX('Inputs'!$B$33,'Inputs'!$B$29+'Inputs'!$B$31+'Inputs'!$B$32,'Inputs'!$B$30+'Inputs'!$B$31+'Inputs'!$B$32)/1000+'Inputs'!$B$21))/SQRT((((971-43)*MAX('Inputs'!$B$33,'Inputs'!$B$29+'Inputs'!$B$31+'Inputs'!$B$32,'Inputs'!$B$30+'Inputs'!$B$31+'Inputs'!$B$32)/1000+'Inputs'!$B$21))^2+('Inputs'!$B$8/2)^2)))-'Results'!B7*(1+'Inputs'!$B$24)*(0.5*((((971-43)*MAX('Inputs'!$B$33,'Inputs'!$B$29+'Inputs'!$B$31+'Inputs'!$B$32,'Inputs'!$B$30+'Inputs'!$B$31+'Inputs'!$B$32)/1000+'Inputs'!$B$21+'Inputs'!$B$9+'Inputs'!$B$10)+'Inputs'!$B$7)/SQRT((((971-43)*MAX('Inputs'!$B$33,'Inputs'!$B$29+'Inputs'!$B$31+'Inputs'!$B$32,'Inputs'!$B$30+'Inputs'!$B$31+'Inputs'!$B$32)/1000+'Inputs'!$B$21+'Inputs'!$B$9+'Inputs'!$B$10)+'Inputs'!$B$7)^2+('Inputs'!$B$6/2)^2)-(((971-43)*MAX('Inputs'!$B$33,'Inputs'!$B$29+'Inputs'!$B$31+'Inputs'!$B$32,'Inputs'!$B$30+'Inputs'!$B$31+'Inputs'!$B$32)/1000+'Inputs'!$B$21+'Inputs'!$B$9+'Inputs'!$B$10))/SQRT((((971-43)*MAX('Inputs'!$B$33,'Inputs'!$B$29+'Inputs'!$B$31+'Inputs'!$B$32,'Inputs'!$B$30+'Inputs'!$B$31+'Inputs'!$B$32)/1000+'Inputs'!$B$21+'Inputs'!$B$9+'Inputs'!$B$10))^2+('Inputs'!$B$6/2)^2))))*'Results'!$B$8))),"")</x:f>
        <x:v>0.3453851529689514</x:v>
      </x:c>
      <x:c r="O971" t="n">
        <x:f>IF(AND(ISNUMBER('Results'!C7),ISNUMBER('Results'!B7),ISNUMBER('Results'!$B$8),ISNUMBER('Inputs'!$B$6),ISNUMBER('Inputs'!$B$7),ISNUMBER('Inputs'!$B$8),ISNUMBER('Inputs'!$B$9),ISNUMBER('Inputs'!$B$10),ISNUMBER('Inputs'!$B$21),ISNUMBER('Inputs'!$B$24),ISNUMBER('Inputs'!$B$28)),((('Results'!C7*(1+'Inputs'!$B$24)*(0.5*((((971-43)*MAX('Inputs'!$B$33,'Inputs'!$B$29+'Inputs'!$B$31+'Inputs'!$B$32,'Inputs'!$B$30+'Inputs'!$B$31+'Inputs'!$B$32)/1000+'Inputs'!$B$21)+'Inputs'!$B$9)/SQRT((((971-43)*MAX('Inputs'!$B$33,'Inputs'!$B$29+'Inputs'!$B$31+'Inputs'!$B$32,'Inputs'!$B$30+'Inputs'!$B$31+'Inputs'!$B$32)/1000+'Inputs'!$B$21)+'Inputs'!$B$9)^2+('Inputs'!$B$8/2)^2)-(((971-43)*MAX('Inputs'!$B$33,'Inputs'!$B$29+'Inputs'!$B$31+'Inputs'!$B$32,'Inputs'!$B$30+'Inputs'!$B$31+'Inputs'!$B$32)/1000+'Inputs'!$B$21))/SQRT((((971-43)*MAX('Inputs'!$B$33,'Inputs'!$B$29+'Inputs'!$B$31+'Inputs'!$B$32,'Inputs'!$B$30+'Inputs'!$B$31+'Inputs'!$B$32)/1000+'Inputs'!$B$21))^2+('Inputs'!$B$8/2)^2)))-'Results'!B7*(1-'Inputs'!$B$24)*(0.5*((((971-43)*MAX('Inputs'!$B$33,'Inputs'!$B$29+'Inputs'!$B$31+'Inputs'!$B$32,'Inputs'!$B$30+'Inputs'!$B$31+'Inputs'!$B$32)/1000+'Inputs'!$B$21+'Inputs'!$B$9+'Inputs'!$B$10)+'Inputs'!$B$7)/SQRT((((971-43)*MAX('Inputs'!$B$33,'Inputs'!$B$29+'Inputs'!$B$31+'Inputs'!$B$32,'Inputs'!$B$30+'Inputs'!$B$31+'Inputs'!$B$32)/1000+'Inputs'!$B$21+'Inputs'!$B$9+'Inputs'!$B$10)+'Inputs'!$B$7)^2+('Inputs'!$B$6/2)^2)-(((971-43)*MAX('Inputs'!$B$33,'Inputs'!$B$29+'Inputs'!$B$31+'Inputs'!$B$32,'Inputs'!$B$30+'Inputs'!$B$31+'Inputs'!$B$32)/1000+'Inputs'!$B$21+'Inputs'!$B$9+'Inputs'!$B$10))/SQRT((((971-43)*MAX('Inputs'!$B$33,'Inputs'!$B$29+'Inputs'!$B$31+'Inputs'!$B$32,'Inputs'!$B$30+'Inputs'!$B$31+'Inputs'!$B$32)/1000+'Inputs'!$B$21+'Inputs'!$B$9+'Inputs'!$B$10))^2+('Inputs'!$B$6/2)^2))))*'Results'!$B$8)+'Inputs'!$B$28*ABS((('Results'!C7*(1+'Inputs'!$B$24)*(0.5*((((971-43)*MAX('Inputs'!$B$33,'Inputs'!$B$29+'Inputs'!$B$31+'Inputs'!$B$32,'Inputs'!$B$30+'Inputs'!$B$31+'Inputs'!$B$32)/1000+'Inputs'!$B$21)+'Inputs'!$B$9)/SQRT((((971-43)*MAX('Inputs'!$B$33,'Inputs'!$B$29+'Inputs'!$B$31+'Inputs'!$B$32,'Inputs'!$B$30+'Inputs'!$B$31+'Inputs'!$B$32)/1000+'Inputs'!$B$21)+'Inputs'!$B$9)^2+('Inputs'!$B$8/2)^2)-(((971-43)*MAX('Inputs'!$B$33,'Inputs'!$B$29+'Inputs'!$B$31+'Inputs'!$B$32,'Inputs'!$B$30+'Inputs'!$B$31+'Inputs'!$B$32)/1000+'Inputs'!$B$21))/SQRT((((971-43)*MAX('Inputs'!$B$33,'Inputs'!$B$29+'Inputs'!$B$31+'Inputs'!$B$32,'Inputs'!$B$30+'Inputs'!$B$31+'Inputs'!$B$32)/1000+'Inputs'!$B$21))^2+('Inputs'!$B$8/2)^2)))-'Results'!B7*(1-'Inputs'!$B$24)*(0.5*((((971-43)*MAX('Inputs'!$B$33,'Inputs'!$B$29+'Inputs'!$B$31+'Inputs'!$B$32,'Inputs'!$B$30+'Inputs'!$B$31+'Inputs'!$B$32)/1000+'Inputs'!$B$21+'Inputs'!$B$9+'Inputs'!$B$10)+'Inputs'!$B$7)/SQRT((((971-43)*MAX('Inputs'!$B$33,'Inputs'!$B$29+'Inputs'!$B$31+'Inputs'!$B$32,'Inputs'!$B$30+'Inputs'!$B$31+'Inputs'!$B$32)/1000+'Inputs'!$B$21+'Inputs'!$B$9+'Inputs'!$B$10)+'Inputs'!$B$7)^2+('Inputs'!$B$6/2)^2)-(((971-43)*MAX('Inputs'!$B$33,'Inputs'!$B$29+'Inputs'!$B$31+'Inputs'!$B$32,'Inputs'!$B$30+'Inputs'!$B$31+'Inputs'!$B$32)/1000+'Inputs'!$B$21+'Inputs'!$B$9+'Inputs'!$B$10))/SQRT((((971-43)*MAX('Inputs'!$B$33,'Inputs'!$B$29+'Inputs'!$B$31+'Inputs'!$B$32,'Inputs'!$B$30+'Inputs'!$B$31+'Inputs'!$B$32)/1000+'Inputs'!$B$21+'Inputs'!$B$9+'Inputs'!$B$10))^2+('Inputs'!$B$6/2)^2))))*'Results'!$B$8))),"")</x:f>
        <x:v>0.49168216157624317</x:v>
      </x:c>
      <x:c r="P971" t="n">
        <x:f>IF(AND(MAX(J971,J970)&gt;0,J971&gt;J970+0.00000001),1,0)</x:f>
        <x:v>0</x:v>
      </x:c>
      <x:c r="Q971" t="n">
        <x:f>IF(AND(MAX(K971,K970)&gt;0,K971&gt;K970+0.00000001),1,0)</x:f>
        <x:v>0</x:v>
      </x:c>
      <x:c r="R971" t="n">
        <x:f>IF(AND(MAX(L971,L970)&gt;0,L971&gt;L970+0.00000001),1,0)</x:f>
        <x:v>0</x:v>
      </x:c>
      <x:c r="S971" t="n">
        <x:f>IF(AND(MAX(M971,M970)&gt;0,M971&gt;M970+0.00000001),1,0)</x:f>
        <x:v>0</x:v>
      </x:c>
      <x:c r="T971" t="n">
        <x:f>IF(AND(MAX(N971,N970)&gt;0,N971&gt;N970+0.00000001),1,0)</x:f>
        <x:v>0</x:v>
      </x:c>
      <x:c r="U971" t="n">
        <x:f>IF(AND(MAX(O971,O970)&gt;0,O971&gt;O970+0.00000001),1,0)</x:f>
        <x:v>0</x:v>
      </x:c>
    </x:row>
    <x:row r="972">
      <x:c r="J972" t="n">
        <x:f>IF(AND(ISNUMBER('Results'!B7),ISNUMBER('Results'!C7),ISNUMBER('Results'!$B$8),ISNUMBER('Inputs'!$B$6),ISNUMBER('Inputs'!$B$7),ISNUMBER('Inputs'!$B$8),ISNUMBER('Inputs'!$B$9),ISNUMBER('Inputs'!$B$10),ISNUMBER('Inputs'!$B$21),ISNUMBER('Inputs'!$B$24),ISNUMBER('Inputs'!$B$28)),(('Results'!B7*(0.5*((((972-43)*MAX('Inputs'!$B$33,'Inputs'!$B$29+'Inputs'!$B$31+'Inputs'!$B$32,'Inputs'!$B$30+'Inputs'!$B$31+'Inputs'!$B$32)/1000+'Inputs'!$B$21)+'Inputs'!$B$7)/SQRT((((972-43)*MAX('Inputs'!$B$33,'Inputs'!$B$29+'Inputs'!$B$31+'Inputs'!$B$32,'Inputs'!$B$30+'Inputs'!$B$31+'Inputs'!$B$32)/1000+'Inputs'!$B$21)+'Inputs'!$B$7)^2+('Inputs'!$B$6/2)^2)-(((972-43)*MAX('Inputs'!$B$33,'Inputs'!$B$29+'Inputs'!$B$31+'Inputs'!$B$32,'Inputs'!$B$30+'Inputs'!$B$31+'Inputs'!$B$32)/1000+'Inputs'!$B$21))/SQRT((((972-43)*MAX('Inputs'!$B$33,'Inputs'!$B$29+'Inputs'!$B$31+'Inputs'!$B$32,'Inputs'!$B$30+'Inputs'!$B$31+'Inputs'!$B$32)/1000+'Inputs'!$B$21))^2+('Inputs'!$B$6/2)^2)))-'Results'!C7*(0.5*((((972-43)*MAX('Inputs'!$B$33,'Inputs'!$B$29+'Inputs'!$B$31+'Inputs'!$B$32,'Inputs'!$B$30+'Inputs'!$B$31+'Inputs'!$B$32)/1000+'Inputs'!$B$21+'Inputs'!$B$7+'Inputs'!$B$10)+'Inputs'!$B$9)/SQRT((((972-43)*MAX('Inputs'!$B$33,'Inputs'!$B$29+'Inputs'!$B$31+'Inputs'!$B$32,'Inputs'!$B$30+'Inputs'!$B$31+'Inputs'!$B$32)/1000+'Inputs'!$B$21+'Inputs'!$B$7+'Inputs'!$B$10)+'Inputs'!$B$9)^2+('Inputs'!$B$8/2)^2)-(((972-43)*MAX('Inputs'!$B$33,'Inputs'!$B$29+'Inputs'!$B$31+'Inputs'!$B$32,'Inputs'!$B$30+'Inputs'!$B$31+'Inputs'!$B$32)/1000+'Inputs'!$B$21+'Inputs'!$B$7+'Inputs'!$B$10))/SQRT((((972-43)*MAX('Inputs'!$B$33,'Inputs'!$B$29+'Inputs'!$B$31+'Inputs'!$B$32,'Inputs'!$B$30+'Inputs'!$B$31+'Inputs'!$B$32)/1000+'Inputs'!$B$21+'Inputs'!$B$7+'Inputs'!$B$10))^2+('Inputs'!$B$8/2)^2))))*'Results'!$B$8),"")</x:f>
        <x:v>0.4670555112083959</x:v>
      </x:c>
      <x:c r="K972" t="n">
        <x:f>IF(AND(ISNUMBER('Results'!B7),ISNUMBER('Results'!C7),ISNUMBER('Results'!$B$8),ISNUMBER('Inputs'!$B$6),ISNUMBER('Inputs'!$B$7),ISNUMBER('Inputs'!$B$8),ISNUMBER('Inputs'!$B$9),ISNUMBER('Inputs'!$B$10),ISNUMBER('Inputs'!$B$21),ISNUMBER('Inputs'!$B$24),ISNUMBER('Inputs'!$B$28)),((('Results'!B7*(1-'Inputs'!$B$24)*(0.5*((((972-43)*MAX('Inputs'!$B$33,'Inputs'!$B$29+'Inputs'!$B$31+'Inputs'!$B$32,'Inputs'!$B$30+'Inputs'!$B$31+'Inputs'!$B$32)/1000+'Inputs'!$B$21)+'Inputs'!$B$7)/SQRT((((972-43)*MAX('Inputs'!$B$33,'Inputs'!$B$29+'Inputs'!$B$31+'Inputs'!$B$32,'Inputs'!$B$30+'Inputs'!$B$31+'Inputs'!$B$32)/1000+'Inputs'!$B$21)+'Inputs'!$B$7)^2+('Inputs'!$B$6/2)^2)-(((972-43)*MAX('Inputs'!$B$33,'Inputs'!$B$29+'Inputs'!$B$31+'Inputs'!$B$32,'Inputs'!$B$30+'Inputs'!$B$31+'Inputs'!$B$32)/1000+'Inputs'!$B$21))/SQRT((((972-43)*MAX('Inputs'!$B$33,'Inputs'!$B$29+'Inputs'!$B$31+'Inputs'!$B$32,'Inputs'!$B$30+'Inputs'!$B$31+'Inputs'!$B$32)/1000+'Inputs'!$B$21))^2+('Inputs'!$B$6/2)^2)))-'Results'!C7*(1+'Inputs'!$B$24)*(0.5*((((972-43)*MAX('Inputs'!$B$33,'Inputs'!$B$29+'Inputs'!$B$31+'Inputs'!$B$32,'Inputs'!$B$30+'Inputs'!$B$31+'Inputs'!$B$32)/1000+'Inputs'!$B$21+'Inputs'!$B$7+'Inputs'!$B$10)+'Inputs'!$B$9)/SQRT((((972-43)*MAX('Inputs'!$B$33,'Inputs'!$B$29+'Inputs'!$B$31+'Inputs'!$B$32,'Inputs'!$B$30+'Inputs'!$B$31+'Inputs'!$B$32)/1000+'Inputs'!$B$21+'Inputs'!$B$7+'Inputs'!$B$10)+'Inputs'!$B$9)^2+('Inputs'!$B$8/2)^2)-(((972-43)*MAX('Inputs'!$B$33,'Inputs'!$B$29+'Inputs'!$B$31+'Inputs'!$B$32,'Inputs'!$B$30+'Inputs'!$B$31+'Inputs'!$B$32)/1000+'Inputs'!$B$21+'Inputs'!$B$7+'Inputs'!$B$10))/SQRT((((972-43)*MAX('Inputs'!$B$33,'Inputs'!$B$29+'Inputs'!$B$31+'Inputs'!$B$32,'Inputs'!$B$30+'Inputs'!$B$31+'Inputs'!$B$32)/1000+'Inputs'!$B$21+'Inputs'!$B$7+'Inputs'!$B$10))^2+('Inputs'!$B$8/2)^2))))*'Results'!$B$8)-'Inputs'!$B$28*ABS((('Results'!B7*(1-'Inputs'!$B$24)*(0.5*((((972-43)*MAX('Inputs'!$B$33,'Inputs'!$B$29+'Inputs'!$B$31+'Inputs'!$B$32,'Inputs'!$B$30+'Inputs'!$B$31+'Inputs'!$B$32)/1000+'Inputs'!$B$21)+'Inputs'!$B$7)/SQRT((((972-43)*MAX('Inputs'!$B$33,'Inputs'!$B$29+'Inputs'!$B$31+'Inputs'!$B$32,'Inputs'!$B$30+'Inputs'!$B$31+'Inputs'!$B$32)/1000+'Inputs'!$B$21)+'Inputs'!$B$7)^2+('Inputs'!$B$6/2)^2)-(((972-43)*MAX('Inputs'!$B$33,'Inputs'!$B$29+'Inputs'!$B$31+'Inputs'!$B$32,'Inputs'!$B$30+'Inputs'!$B$31+'Inputs'!$B$32)/1000+'Inputs'!$B$21))/SQRT((((972-43)*MAX('Inputs'!$B$33,'Inputs'!$B$29+'Inputs'!$B$31+'Inputs'!$B$32,'Inputs'!$B$30+'Inputs'!$B$31+'Inputs'!$B$32)/1000+'Inputs'!$B$21))^2+('Inputs'!$B$6/2)^2)))-'Results'!C7*(1+'Inputs'!$B$24)*(0.5*((((972-43)*MAX('Inputs'!$B$33,'Inputs'!$B$29+'Inputs'!$B$31+'Inputs'!$B$32,'Inputs'!$B$30+'Inputs'!$B$31+'Inputs'!$B$32)/1000+'Inputs'!$B$21+'Inputs'!$B$7+'Inputs'!$B$10)+'Inputs'!$B$9)/SQRT((((972-43)*MAX('Inputs'!$B$33,'Inputs'!$B$29+'Inputs'!$B$31+'Inputs'!$B$32,'Inputs'!$B$30+'Inputs'!$B$31+'Inputs'!$B$32)/1000+'Inputs'!$B$21+'Inputs'!$B$7+'Inputs'!$B$10)+'Inputs'!$B$9)^2+('Inputs'!$B$8/2)^2)-(((972-43)*MAX('Inputs'!$B$33,'Inputs'!$B$29+'Inputs'!$B$31+'Inputs'!$B$32,'Inputs'!$B$30+'Inputs'!$B$31+'Inputs'!$B$32)/1000+'Inputs'!$B$21+'Inputs'!$B$7+'Inputs'!$B$10))/SQRT((((972-43)*MAX('Inputs'!$B$33,'Inputs'!$B$29+'Inputs'!$B$31+'Inputs'!$B$32,'Inputs'!$B$30+'Inputs'!$B$31+'Inputs'!$B$32)/1000+'Inputs'!$B$21+'Inputs'!$B$7+'Inputs'!$B$10))^2+('Inputs'!$B$8/2)^2))))*'Results'!$B$8))),"")</x:f>
        <x:v>0.39394761571520925</x:v>
      </x:c>
      <x:c r="L972" t="n">
        <x:f>IF(AND(ISNUMBER('Results'!B7),ISNUMBER('Results'!C7),ISNUMBER('Results'!$B$8),ISNUMBER('Inputs'!$B$6),ISNUMBER('Inputs'!$B$7),ISNUMBER('Inputs'!$B$8),ISNUMBER('Inputs'!$B$9),ISNUMBER('Inputs'!$B$10),ISNUMBER('Inputs'!$B$21),ISNUMBER('Inputs'!$B$24),ISNUMBER('Inputs'!$B$28)),((('Results'!B7*(1+'Inputs'!$B$24)*(0.5*((((972-43)*MAX('Inputs'!$B$33,'Inputs'!$B$29+'Inputs'!$B$31+'Inputs'!$B$32,'Inputs'!$B$30+'Inputs'!$B$31+'Inputs'!$B$32)/1000+'Inputs'!$B$21)+'Inputs'!$B$7)/SQRT((((972-43)*MAX('Inputs'!$B$33,'Inputs'!$B$29+'Inputs'!$B$31+'Inputs'!$B$32,'Inputs'!$B$30+'Inputs'!$B$31+'Inputs'!$B$32)/1000+'Inputs'!$B$21)+'Inputs'!$B$7)^2+('Inputs'!$B$6/2)^2)-(((972-43)*MAX('Inputs'!$B$33,'Inputs'!$B$29+'Inputs'!$B$31+'Inputs'!$B$32,'Inputs'!$B$30+'Inputs'!$B$31+'Inputs'!$B$32)/1000+'Inputs'!$B$21))/SQRT((((972-43)*MAX('Inputs'!$B$33,'Inputs'!$B$29+'Inputs'!$B$31+'Inputs'!$B$32,'Inputs'!$B$30+'Inputs'!$B$31+'Inputs'!$B$32)/1000+'Inputs'!$B$21))^2+('Inputs'!$B$6/2)^2)))-'Results'!C7*(1-'Inputs'!$B$24)*(0.5*((((972-43)*MAX('Inputs'!$B$33,'Inputs'!$B$29+'Inputs'!$B$31+'Inputs'!$B$32,'Inputs'!$B$30+'Inputs'!$B$31+'Inputs'!$B$32)/1000+'Inputs'!$B$21+'Inputs'!$B$7+'Inputs'!$B$10)+'Inputs'!$B$9)/SQRT((((972-43)*MAX('Inputs'!$B$33,'Inputs'!$B$29+'Inputs'!$B$31+'Inputs'!$B$32,'Inputs'!$B$30+'Inputs'!$B$31+'Inputs'!$B$32)/1000+'Inputs'!$B$21+'Inputs'!$B$7+'Inputs'!$B$10)+'Inputs'!$B$9)^2+('Inputs'!$B$8/2)^2)-(((972-43)*MAX('Inputs'!$B$33,'Inputs'!$B$29+'Inputs'!$B$31+'Inputs'!$B$32,'Inputs'!$B$30+'Inputs'!$B$31+'Inputs'!$B$32)/1000+'Inputs'!$B$21+'Inputs'!$B$7+'Inputs'!$B$10))/SQRT((((972-43)*MAX('Inputs'!$B$33,'Inputs'!$B$29+'Inputs'!$B$31+'Inputs'!$B$32,'Inputs'!$B$30+'Inputs'!$B$31+'Inputs'!$B$32)/1000+'Inputs'!$B$21+'Inputs'!$B$7+'Inputs'!$B$10))^2+('Inputs'!$B$8/2)^2))))*'Results'!$B$8)+'Inputs'!$B$28*ABS((('Results'!B7*(1+'Inputs'!$B$24)*(0.5*((((972-43)*MAX('Inputs'!$B$33,'Inputs'!$B$29+'Inputs'!$B$31+'Inputs'!$B$32,'Inputs'!$B$30+'Inputs'!$B$31+'Inputs'!$B$32)/1000+'Inputs'!$B$21)+'Inputs'!$B$7)/SQRT((((972-43)*MAX('Inputs'!$B$33,'Inputs'!$B$29+'Inputs'!$B$31+'Inputs'!$B$32,'Inputs'!$B$30+'Inputs'!$B$31+'Inputs'!$B$32)/1000+'Inputs'!$B$21)+'Inputs'!$B$7)^2+('Inputs'!$B$6/2)^2)-(((972-43)*MAX('Inputs'!$B$33,'Inputs'!$B$29+'Inputs'!$B$31+'Inputs'!$B$32,'Inputs'!$B$30+'Inputs'!$B$31+'Inputs'!$B$32)/1000+'Inputs'!$B$21))/SQRT((((972-43)*MAX('Inputs'!$B$33,'Inputs'!$B$29+'Inputs'!$B$31+'Inputs'!$B$32,'Inputs'!$B$30+'Inputs'!$B$31+'Inputs'!$B$32)/1000+'Inputs'!$B$21))^2+('Inputs'!$B$6/2)^2)))-'Results'!C7*(1-'Inputs'!$B$24)*(0.5*((((972-43)*MAX('Inputs'!$B$33,'Inputs'!$B$29+'Inputs'!$B$31+'Inputs'!$B$32,'Inputs'!$B$30+'Inputs'!$B$31+'Inputs'!$B$32)/1000+'Inputs'!$B$21+'Inputs'!$B$7+'Inputs'!$B$10)+'Inputs'!$B$9)/SQRT((((972-43)*MAX('Inputs'!$B$33,'Inputs'!$B$29+'Inputs'!$B$31+'Inputs'!$B$32,'Inputs'!$B$30+'Inputs'!$B$31+'Inputs'!$B$32)/1000+'Inputs'!$B$21+'Inputs'!$B$7+'Inputs'!$B$10)+'Inputs'!$B$9)^2+('Inputs'!$B$8/2)^2)-(((972-43)*MAX('Inputs'!$B$33,'Inputs'!$B$29+'Inputs'!$B$31+'Inputs'!$B$32,'Inputs'!$B$30+'Inputs'!$B$31+'Inputs'!$B$32)/1000+'Inputs'!$B$21+'Inputs'!$B$7+'Inputs'!$B$10))/SQRT((((972-43)*MAX('Inputs'!$B$33,'Inputs'!$B$29+'Inputs'!$B$31+'Inputs'!$B$32,'Inputs'!$B$30+'Inputs'!$B$31+'Inputs'!$B$32)/1000+'Inputs'!$B$21+'Inputs'!$B$7+'Inputs'!$B$10))^2+('Inputs'!$B$8/2)^2))))*'Results'!$B$8))),"")</x:f>
        <x:v>0.545400787747137</x:v>
      </x:c>
      <x:c r="M972" t="n">
        <x:f>IF(AND(ISNUMBER('Results'!C7),ISNUMBER('Results'!B7),ISNUMBER('Results'!$B$8),ISNUMBER('Inputs'!$B$6),ISNUMBER('Inputs'!$B$7),ISNUMBER('Inputs'!$B$8),ISNUMBER('Inputs'!$B$9),ISNUMBER('Inputs'!$B$10),ISNUMBER('Inputs'!$B$21),ISNUMBER('Inputs'!$B$24),ISNUMBER('Inputs'!$B$28)),(('Results'!C7*(0.5*((((972-43)*MAX('Inputs'!$B$33,'Inputs'!$B$29+'Inputs'!$B$31+'Inputs'!$B$32,'Inputs'!$B$30+'Inputs'!$B$31+'Inputs'!$B$32)/1000+'Inputs'!$B$21)+'Inputs'!$B$9)/SQRT((((972-43)*MAX('Inputs'!$B$33,'Inputs'!$B$29+'Inputs'!$B$31+'Inputs'!$B$32,'Inputs'!$B$30+'Inputs'!$B$31+'Inputs'!$B$32)/1000+'Inputs'!$B$21)+'Inputs'!$B$9)^2+('Inputs'!$B$8/2)^2)-(((972-43)*MAX('Inputs'!$B$33,'Inputs'!$B$29+'Inputs'!$B$31+'Inputs'!$B$32,'Inputs'!$B$30+'Inputs'!$B$31+'Inputs'!$B$32)/1000+'Inputs'!$B$21))/SQRT((((972-43)*MAX('Inputs'!$B$33,'Inputs'!$B$29+'Inputs'!$B$31+'Inputs'!$B$32,'Inputs'!$B$30+'Inputs'!$B$31+'Inputs'!$B$32)/1000+'Inputs'!$B$21))^2+('Inputs'!$B$8/2)^2)))-'Results'!B7*(0.5*((((972-43)*MAX('Inputs'!$B$33,'Inputs'!$B$29+'Inputs'!$B$31+'Inputs'!$B$32,'Inputs'!$B$30+'Inputs'!$B$31+'Inputs'!$B$32)/1000+'Inputs'!$B$21+'Inputs'!$B$9+'Inputs'!$B$10)+'Inputs'!$B$7)/SQRT((((972-43)*MAX('Inputs'!$B$33,'Inputs'!$B$29+'Inputs'!$B$31+'Inputs'!$B$32,'Inputs'!$B$30+'Inputs'!$B$31+'Inputs'!$B$32)/1000+'Inputs'!$B$21+'Inputs'!$B$9+'Inputs'!$B$10)+'Inputs'!$B$7)^2+('Inputs'!$B$6/2)^2)-(((972-43)*MAX('Inputs'!$B$33,'Inputs'!$B$29+'Inputs'!$B$31+'Inputs'!$B$32,'Inputs'!$B$30+'Inputs'!$B$31+'Inputs'!$B$32)/1000+'Inputs'!$B$21+'Inputs'!$B$9+'Inputs'!$B$10))/SQRT((((972-43)*MAX('Inputs'!$B$33,'Inputs'!$B$29+'Inputs'!$B$31+'Inputs'!$B$32,'Inputs'!$B$30+'Inputs'!$B$31+'Inputs'!$B$32)/1000+'Inputs'!$B$21+'Inputs'!$B$9+'Inputs'!$B$10))^2+('Inputs'!$B$6/2)^2))))*'Results'!$B$8),"")</x:f>
        <x:v>0.41424259156681753</x:v>
      </x:c>
      <x:c r="N972" t="n">
        <x:f>IF(AND(ISNUMBER('Results'!C7),ISNUMBER('Results'!B7),ISNUMBER('Results'!$B$8),ISNUMBER('Inputs'!$B$6),ISNUMBER('Inputs'!$B$7),ISNUMBER('Inputs'!$B$8),ISNUMBER('Inputs'!$B$9),ISNUMBER('Inputs'!$B$10),ISNUMBER('Inputs'!$B$21),ISNUMBER('Inputs'!$B$24),ISNUMBER('Inputs'!$B$28)),((('Results'!C7*(1-'Inputs'!$B$24)*(0.5*((((972-43)*MAX('Inputs'!$B$33,'Inputs'!$B$29+'Inputs'!$B$31+'Inputs'!$B$32,'Inputs'!$B$30+'Inputs'!$B$31+'Inputs'!$B$32)/1000+'Inputs'!$B$21)+'Inputs'!$B$9)/SQRT((((972-43)*MAX('Inputs'!$B$33,'Inputs'!$B$29+'Inputs'!$B$31+'Inputs'!$B$32,'Inputs'!$B$30+'Inputs'!$B$31+'Inputs'!$B$32)/1000+'Inputs'!$B$21)+'Inputs'!$B$9)^2+('Inputs'!$B$8/2)^2)-(((972-43)*MAX('Inputs'!$B$33,'Inputs'!$B$29+'Inputs'!$B$31+'Inputs'!$B$32,'Inputs'!$B$30+'Inputs'!$B$31+'Inputs'!$B$32)/1000+'Inputs'!$B$21))/SQRT((((972-43)*MAX('Inputs'!$B$33,'Inputs'!$B$29+'Inputs'!$B$31+'Inputs'!$B$32,'Inputs'!$B$30+'Inputs'!$B$31+'Inputs'!$B$32)/1000+'Inputs'!$B$21))^2+('Inputs'!$B$8/2)^2)))-'Results'!B7*(1+'Inputs'!$B$24)*(0.5*((((972-43)*MAX('Inputs'!$B$33,'Inputs'!$B$29+'Inputs'!$B$31+'Inputs'!$B$32,'Inputs'!$B$30+'Inputs'!$B$31+'Inputs'!$B$32)/1000+'Inputs'!$B$21+'Inputs'!$B$9+'Inputs'!$B$10)+'Inputs'!$B$7)/SQRT((((972-43)*MAX('Inputs'!$B$33,'Inputs'!$B$29+'Inputs'!$B$31+'Inputs'!$B$32,'Inputs'!$B$30+'Inputs'!$B$31+'Inputs'!$B$32)/1000+'Inputs'!$B$21+'Inputs'!$B$9+'Inputs'!$B$10)+'Inputs'!$B$7)^2+('Inputs'!$B$6/2)^2)-(((972-43)*MAX('Inputs'!$B$33,'Inputs'!$B$29+'Inputs'!$B$31+'Inputs'!$B$32,'Inputs'!$B$30+'Inputs'!$B$31+'Inputs'!$B$32)/1000+'Inputs'!$B$21+'Inputs'!$B$9+'Inputs'!$B$10))/SQRT((((972-43)*MAX('Inputs'!$B$33,'Inputs'!$B$29+'Inputs'!$B$31+'Inputs'!$B$32,'Inputs'!$B$30+'Inputs'!$B$31+'Inputs'!$B$32)/1000+'Inputs'!$B$21+'Inputs'!$B$9+'Inputs'!$B$10))^2+('Inputs'!$B$6/2)^2))))*'Results'!$B$8)-'Inputs'!$B$28*ABS((('Results'!C7*(1-'Inputs'!$B$24)*(0.5*((((972-43)*MAX('Inputs'!$B$33,'Inputs'!$B$29+'Inputs'!$B$31+'Inputs'!$B$32,'Inputs'!$B$30+'Inputs'!$B$31+'Inputs'!$B$32)/1000+'Inputs'!$B$21)+'Inputs'!$B$9)/SQRT((((972-43)*MAX('Inputs'!$B$33,'Inputs'!$B$29+'Inputs'!$B$31+'Inputs'!$B$32,'Inputs'!$B$30+'Inputs'!$B$31+'Inputs'!$B$32)/1000+'Inputs'!$B$21)+'Inputs'!$B$9)^2+('Inputs'!$B$8/2)^2)-(((972-43)*MAX('Inputs'!$B$33,'Inputs'!$B$29+'Inputs'!$B$31+'Inputs'!$B$32,'Inputs'!$B$30+'Inputs'!$B$31+'Inputs'!$B$32)/1000+'Inputs'!$B$21))/SQRT((((972-43)*MAX('Inputs'!$B$33,'Inputs'!$B$29+'Inputs'!$B$31+'Inputs'!$B$32,'Inputs'!$B$30+'Inputs'!$B$31+'Inputs'!$B$32)/1000+'Inputs'!$B$21))^2+('Inputs'!$B$8/2)^2)))-'Results'!B7*(1+'Inputs'!$B$24)*(0.5*((((972-43)*MAX('Inputs'!$B$33,'Inputs'!$B$29+'Inputs'!$B$31+'Inputs'!$B$32,'Inputs'!$B$30+'Inputs'!$B$31+'Inputs'!$B$32)/1000+'Inputs'!$B$21+'Inputs'!$B$9+'Inputs'!$B$10)+'Inputs'!$B$7)/SQRT((((972-43)*MAX('Inputs'!$B$33,'Inputs'!$B$29+'Inputs'!$B$31+'Inputs'!$B$32,'Inputs'!$B$30+'Inputs'!$B$31+'Inputs'!$B$32)/1000+'Inputs'!$B$21+'Inputs'!$B$9+'Inputs'!$B$10)+'Inputs'!$B$7)^2+('Inputs'!$B$6/2)^2)-(((972-43)*MAX('Inputs'!$B$33,'Inputs'!$B$29+'Inputs'!$B$31+'Inputs'!$B$32,'Inputs'!$B$30+'Inputs'!$B$31+'Inputs'!$B$32)/1000+'Inputs'!$B$21+'Inputs'!$B$9+'Inputs'!$B$10))/SQRT((((972-43)*MAX('Inputs'!$B$33,'Inputs'!$B$29+'Inputs'!$B$31+'Inputs'!$B$32,'Inputs'!$B$30+'Inputs'!$B$31+'Inputs'!$B$32)/1000+'Inputs'!$B$21+'Inputs'!$B$9+'Inputs'!$B$10))^2+('Inputs'!$B$6/2)^2))))*'Results'!$B$8))),"")</x:f>
        <x:v>0.34394448007543416</x:v>
      </x:c>
      <x:c r="O972" t="n">
        <x:f>IF(AND(ISNUMBER('Results'!C7),ISNUMBER('Results'!B7),ISNUMBER('Results'!$B$8),ISNUMBER('Inputs'!$B$6),ISNUMBER('Inputs'!$B$7),ISNUMBER('Inputs'!$B$8),ISNUMBER('Inputs'!$B$9),ISNUMBER('Inputs'!$B$10),ISNUMBER('Inputs'!$B$21),ISNUMBER('Inputs'!$B$24),ISNUMBER('Inputs'!$B$28)),((('Results'!C7*(1+'Inputs'!$B$24)*(0.5*((((972-43)*MAX('Inputs'!$B$33,'Inputs'!$B$29+'Inputs'!$B$31+'Inputs'!$B$32,'Inputs'!$B$30+'Inputs'!$B$31+'Inputs'!$B$32)/1000+'Inputs'!$B$21)+'Inputs'!$B$9)/SQRT((((972-43)*MAX('Inputs'!$B$33,'Inputs'!$B$29+'Inputs'!$B$31+'Inputs'!$B$32,'Inputs'!$B$30+'Inputs'!$B$31+'Inputs'!$B$32)/1000+'Inputs'!$B$21)+'Inputs'!$B$9)^2+('Inputs'!$B$8/2)^2)-(((972-43)*MAX('Inputs'!$B$33,'Inputs'!$B$29+'Inputs'!$B$31+'Inputs'!$B$32,'Inputs'!$B$30+'Inputs'!$B$31+'Inputs'!$B$32)/1000+'Inputs'!$B$21))/SQRT((((972-43)*MAX('Inputs'!$B$33,'Inputs'!$B$29+'Inputs'!$B$31+'Inputs'!$B$32,'Inputs'!$B$30+'Inputs'!$B$31+'Inputs'!$B$32)/1000+'Inputs'!$B$21))^2+('Inputs'!$B$8/2)^2)))-'Results'!B7*(1-'Inputs'!$B$24)*(0.5*((((972-43)*MAX('Inputs'!$B$33,'Inputs'!$B$29+'Inputs'!$B$31+'Inputs'!$B$32,'Inputs'!$B$30+'Inputs'!$B$31+'Inputs'!$B$32)/1000+'Inputs'!$B$21+'Inputs'!$B$9+'Inputs'!$B$10)+'Inputs'!$B$7)/SQRT((((972-43)*MAX('Inputs'!$B$33,'Inputs'!$B$29+'Inputs'!$B$31+'Inputs'!$B$32,'Inputs'!$B$30+'Inputs'!$B$31+'Inputs'!$B$32)/1000+'Inputs'!$B$21+'Inputs'!$B$9+'Inputs'!$B$10)+'Inputs'!$B$7)^2+('Inputs'!$B$6/2)^2)-(((972-43)*MAX('Inputs'!$B$33,'Inputs'!$B$29+'Inputs'!$B$31+'Inputs'!$B$32,'Inputs'!$B$30+'Inputs'!$B$31+'Inputs'!$B$32)/1000+'Inputs'!$B$21+'Inputs'!$B$9+'Inputs'!$B$10))/SQRT((((972-43)*MAX('Inputs'!$B$33,'Inputs'!$B$29+'Inputs'!$B$31+'Inputs'!$B$32,'Inputs'!$B$30+'Inputs'!$B$31+'Inputs'!$B$32)/1000+'Inputs'!$B$21+'Inputs'!$B$9+'Inputs'!$B$10))^2+('Inputs'!$B$6/2)^2))))*'Results'!$B$8)+'Inputs'!$B$28*ABS((('Results'!C7*(1+'Inputs'!$B$24)*(0.5*((((972-43)*MAX('Inputs'!$B$33,'Inputs'!$B$29+'Inputs'!$B$31+'Inputs'!$B$32,'Inputs'!$B$30+'Inputs'!$B$31+'Inputs'!$B$32)/1000+'Inputs'!$B$21)+'Inputs'!$B$9)/SQRT((((972-43)*MAX('Inputs'!$B$33,'Inputs'!$B$29+'Inputs'!$B$31+'Inputs'!$B$32,'Inputs'!$B$30+'Inputs'!$B$31+'Inputs'!$B$32)/1000+'Inputs'!$B$21)+'Inputs'!$B$9)^2+('Inputs'!$B$8/2)^2)-(((972-43)*MAX('Inputs'!$B$33,'Inputs'!$B$29+'Inputs'!$B$31+'Inputs'!$B$32,'Inputs'!$B$30+'Inputs'!$B$31+'Inputs'!$B$32)/1000+'Inputs'!$B$21))/SQRT((((972-43)*MAX('Inputs'!$B$33,'Inputs'!$B$29+'Inputs'!$B$31+'Inputs'!$B$32,'Inputs'!$B$30+'Inputs'!$B$31+'Inputs'!$B$32)/1000+'Inputs'!$B$21))^2+('Inputs'!$B$8/2)^2)))-'Results'!B7*(1-'Inputs'!$B$24)*(0.5*((((972-43)*MAX('Inputs'!$B$33,'Inputs'!$B$29+'Inputs'!$B$31+'Inputs'!$B$32,'Inputs'!$B$30+'Inputs'!$B$31+'Inputs'!$B$32)/1000+'Inputs'!$B$21+'Inputs'!$B$9+'Inputs'!$B$10)+'Inputs'!$B$7)/SQRT((((972-43)*MAX('Inputs'!$B$33,'Inputs'!$B$29+'Inputs'!$B$31+'Inputs'!$B$32,'Inputs'!$B$30+'Inputs'!$B$31+'Inputs'!$B$32)/1000+'Inputs'!$B$21+'Inputs'!$B$9+'Inputs'!$B$10)+'Inputs'!$B$7)^2+('Inputs'!$B$6/2)^2)-(((972-43)*MAX('Inputs'!$B$33,'Inputs'!$B$29+'Inputs'!$B$31+'Inputs'!$B$32,'Inputs'!$B$30+'Inputs'!$B$31+'Inputs'!$B$32)/1000+'Inputs'!$B$21+'Inputs'!$B$9+'Inputs'!$B$10))/SQRT((((972-43)*MAX('Inputs'!$B$33,'Inputs'!$B$29+'Inputs'!$B$31+'Inputs'!$B$32,'Inputs'!$B$30+'Inputs'!$B$31+'Inputs'!$B$32)/1000+'Inputs'!$B$21+'Inputs'!$B$9+'Inputs'!$B$10))^2+('Inputs'!$B$6/2)^2))))*'Results'!$B$8))),"")</x:f>
        <x:v>0.4897602801016788</x:v>
      </x:c>
      <x:c r="P972" t="n">
        <x:f>IF(AND(MAX(J972,J971)&gt;0,J972&gt;J971+0.00000001),1,0)</x:f>
        <x:v>0</x:v>
      </x:c>
      <x:c r="Q972" t="n">
        <x:f>IF(AND(MAX(K972,K971)&gt;0,K972&gt;K971+0.00000001),1,0)</x:f>
        <x:v>0</x:v>
      </x:c>
      <x:c r="R972" t="n">
        <x:f>IF(AND(MAX(L972,L971)&gt;0,L972&gt;L971+0.00000001),1,0)</x:f>
        <x:v>0</x:v>
      </x:c>
      <x:c r="S972" t="n">
        <x:f>IF(AND(MAX(M972,M971)&gt;0,M972&gt;M971+0.00000001),1,0)</x:f>
        <x:v>0</x:v>
      </x:c>
      <x:c r="T972" t="n">
        <x:f>IF(AND(MAX(N972,N971)&gt;0,N972&gt;N971+0.00000001),1,0)</x:f>
        <x:v>0</x:v>
      </x:c>
      <x:c r="U972" t="n">
        <x:f>IF(AND(MAX(O972,O971)&gt;0,O972&gt;O971+0.00000001),1,0)</x:f>
        <x:v>0</x:v>
      </x:c>
    </x:row>
    <x:row r="973">
      <x:c r="J973" t="n">
        <x:f>IF(AND(ISNUMBER('Results'!B7),ISNUMBER('Results'!C7),ISNUMBER('Results'!$B$8),ISNUMBER('Inputs'!$B$6),ISNUMBER('Inputs'!$B$7),ISNUMBER('Inputs'!$B$8),ISNUMBER('Inputs'!$B$9),ISNUMBER('Inputs'!$B$10),ISNUMBER('Inputs'!$B$21),ISNUMBER('Inputs'!$B$24),ISNUMBER('Inputs'!$B$28)),(('Results'!B7*(0.5*((((973-43)*MAX('Inputs'!$B$33,'Inputs'!$B$29+'Inputs'!$B$31+'Inputs'!$B$32,'Inputs'!$B$30+'Inputs'!$B$31+'Inputs'!$B$32)/1000+'Inputs'!$B$21)+'Inputs'!$B$7)/SQRT((((973-43)*MAX('Inputs'!$B$33,'Inputs'!$B$29+'Inputs'!$B$31+'Inputs'!$B$32,'Inputs'!$B$30+'Inputs'!$B$31+'Inputs'!$B$32)/1000+'Inputs'!$B$21)+'Inputs'!$B$7)^2+('Inputs'!$B$6/2)^2)-(((973-43)*MAX('Inputs'!$B$33,'Inputs'!$B$29+'Inputs'!$B$31+'Inputs'!$B$32,'Inputs'!$B$30+'Inputs'!$B$31+'Inputs'!$B$32)/1000+'Inputs'!$B$21))/SQRT((((973-43)*MAX('Inputs'!$B$33,'Inputs'!$B$29+'Inputs'!$B$31+'Inputs'!$B$32,'Inputs'!$B$30+'Inputs'!$B$31+'Inputs'!$B$32)/1000+'Inputs'!$B$21))^2+('Inputs'!$B$6/2)^2)))-'Results'!C7*(0.5*((((973-43)*MAX('Inputs'!$B$33,'Inputs'!$B$29+'Inputs'!$B$31+'Inputs'!$B$32,'Inputs'!$B$30+'Inputs'!$B$31+'Inputs'!$B$32)/1000+'Inputs'!$B$21+'Inputs'!$B$7+'Inputs'!$B$10)+'Inputs'!$B$9)/SQRT((((973-43)*MAX('Inputs'!$B$33,'Inputs'!$B$29+'Inputs'!$B$31+'Inputs'!$B$32,'Inputs'!$B$30+'Inputs'!$B$31+'Inputs'!$B$32)/1000+'Inputs'!$B$21+'Inputs'!$B$7+'Inputs'!$B$10)+'Inputs'!$B$9)^2+('Inputs'!$B$8/2)^2)-(((973-43)*MAX('Inputs'!$B$33,'Inputs'!$B$29+'Inputs'!$B$31+'Inputs'!$B$32,'Inputs'!$B$30+'Inputs'!$B$31+'Inputs'!$B$32)/1000+'Inputs'!$B$21+'Inputs'!$B$7+'Inputs'!$B$10))/SQRT((((973-43)*MAX('Inputs'!$B$33,'Inputs'!$B$29+'Inputs'!$B$31+'Inputs'!$B$32,'Inputs'!$B$30+'Inputs'!$B$31+'Inputs'!$B$32)/1000+'Inputs'!$B$21+'Inputs'!$B$7+'Inputs'!$B$10))^2+('Inputs'!$B$8/2)^2))))*'Results'!$B$8),"")</x:f>
        <x:v>0.46523219206689576</x:v>
      </x:c>
      <x:c r="K973" t="n">
        <x:f>IF(AND(ISNUMBER('Results'!B7),ISNUMBER('Results'!C7),ISNUMBER('Results'!$B$8),ISNUMBER('Inputs'!$B$6),ISNUMBER('Inputs'!$B$7),ISNUMBER('Inputs'!$B$8),ISNUMBER('Inputs'!$B$9),ISNUMBER('Inputs'!$B$10),ISNUMBER('Inputs'!$B$21),ISNUMBER('Inputs'!$B$24),ISNUMBER('Inputs'!$B$28)),((('Results'!B7*(1-'Inputs'!$B$24)*(0.5*((((973-43)*MAX('Inputs'!$B$33,'Inputs'!$B$29+'Inputs'!$B$31+'Inputs'!$B$32,'Inputs'!$B$30+'Inputs'!$B$31+'Inputs'!$B$32)/1000+'Inputs'!$B$21)+'Inputs'!$B$7)/SQRT((((973-43)*MAX('Inputs'!$B$33,'Inputs'!$B$29+'Inputs'!$B$31+'Inputs'!$B$32,'Inputs'!$B$30+'Inputs'!$B$31+'Inputs'!$B$32)/1000+'Inputs'!$B$21)+'Inputs'!$B$7)^2+('Inputs'!$B$6/2)^2)-(((973-43)*MAX('Inputs'!$B$33,'Inputs'!$B$29+'Inputs'!$B$31+'Inputs'!$B$32,'Inputs'!$B$30+'Inputs'!$B$31+'Inputs'!$B$32)/1000+'Inputs'!$B$21))/SQRT((((973-43)*MAX('Inputs'!$B$33,'Inputs'!$B$29+'Inputs'!$B$31+'Inputs'!$B$32,'Inputs'!$B$30+'Inputs'!$B$31+'Inputs'!$B$32)/1000+'Inputs'!$B$21))^2+('Inputs'!$B$6/2)^2)))-'Results'!C7*(1+'Inputs'!$B$24)*(0.5*((((973-43)*MAX('Inputs'!$B$33,'Inputs'!$B$29+'Inputs'!$B$31+'Inputs'!$B$32,'Inputs'!$B$30+'Inputs'!$B$31+'Inputs'!$B$32)/1000+'Inputs'!$B$21+'Inputs'!$B$7+'Inputs'!$B$10)+'Inputs'!$B$9)/SQRT((((973-43)*MAX('Inputs'!$B$33,'Inputs'!$B$29+'Inputs'!$B$31+'Inputs'!$B$32,'Inputs'!$B$30+'Inputs'!$B$31+'Inputs'!$B$32)/1000+'Inputs'!$B$21+'Inputs'!$B$7+'Inputs'!$B$10)+'Inputs'!$B$9)^2+('Inputs'!$B$8/2)^2)-(((973-43)*MAX('Inputs'!$B$33,'Inputs'!$B$29+'Inputs'!$B$31+'Inputs'!$B$32,'Inputs'!$B$30+'Inputs'!$B$31+'Inputs'!$B$32)/1000+'Inputs'!$B$21+'Inputs'!$B$7+'Inputs'!$B$10))/SQRT((((973-43)*MAX('Inputs'!$B$33,'Inputs'!$B$29+'Inputs'!$B$31+'Inputs'!$B$32,'Inputs'!$B$30+'Inputs'!$B$31+'Inputs'!$B$32)/1000+'Inputs'!$B$21+'Inputs'!$B$7+'Inputs'!$B$10))^2+('Inputs'!$B$8/2)^2))))*'Results'!$B$8)-'Inputs'!$B$28*ABS((('Results'!B7*(1-'Inputs'!$B$24)*(0.5*((((973-43)*MAX('Inputs'!$B$33,'Inputs'!$B$29+'Inputs'!$B$31+'Inputs'!$B$32,'Inputs'!$B$30+'Inputs'!$B$31+'Inputs'!$B$32)/1000+'Inputs'!$B$21)+'Inputs'!$B$7)/SQRT((((973-43)*MAX('Inputs'!$B$33,'Inputs'!$B$29+'Inputs'!$B$31+'Inputs'!$B$32,'Inputs'!$B$30+'Inputs'!$B$31+'Inputs'!$B$32)/1000+'Inputs'!$B$21)+'Inputs'!$B$7)^2+('Inputs'!$B$6/2)^2)-(((973-43)*MAX('Inputs'!$B$33,'Inputs'!$B$29+'Inputs'!$B$31+'Inputs'!$B$32,'Inputs'!$B$30+'Inputs'!$B$31+'Inputs'!$B$32)/1000+'Inputs'!$B$21))/SQRT((((973-43)*MAX('Inputs'!$B$33,'Inputs'!$B$29+'Inputs'!$B$31+'Inputs'!$B$32,'Inputs'!$B$30+'Inputs'!$B$31+'Inputs'!$B$32)/1000+'Inputs'!$B$21))^2+('Inputs'!$B$6/2)^2)))-'Results'!C7*(1+'Inputs'!$B$24)*(0.5*((((973-43)*MAX('Inputs'!$B$33,'Inputs'!$B$29+'Inputs'!$B$31+'Inputs'!$B$32,'Inputs'!$B$30+'Inputs'!$B$31+'Inputs'!$B$32)/1000+'Inputs'!$B$21+'Inputs'!$B$7+'Inputs'!$B$10)+'Inputs'!$B$9)/SQRT((((973-43)*MAX('Inputs'!$B$33,'Inputs'!$B$29+'Inputs'!$B$31+'Inputs'!$B$32,'Inputs'!$B$30+'Inputs'!$B$31+'Inputs'!$B$32)/1000+'Inputs'!$B$21+'Inputs'!$B$7+'Inputs'!$B$10)+'Inputs'!$B$9)^2+('Inputs'!$B$8/2)^2)-(((973-43)*MAX('Inputs'!$B$33,'Inputs'!$B$29+'Inputs'!$B$31+'Inputs'!$B$32,'Inputs'!$B$30+'Inputs'!$B$31+'Inputs'!$B$32)/1000+'Inputs'!$B$21+'Inputs'!$B$7+'Inputs'!$B$10))/SQRT((((973-43)*MAX('Inputs'!$B$33,'Inputs'!$B$29+'Inputs'!$B$31+'Inputs'!$B$32,'Inputs'!$B$30+'Inputs'!$B$31+'Inputs'!$B$32)/1000+'Inputs'!$B$21+'Inputs'!$B$7+'Inputs'!$B$10))^2+('Inputs'!$B$8/2)^2))))*'Results'!$B$8))),"")</x:f>
        <x:v>0.39236462195689426</x:v>
      </x:c>
      <x:c r="L973" t="n">
        <x:f>IF(AND(ISNUMBER('Results'!B7),ISNUMBER('Results'!C7),ISNUMBER('Results'!$B$8),ISNUMBER('Inputs'!$B$6),ISNUMBER('Inputs'!$B$7),ISNUMBER('Inputs'!$B$8),ISNUMBER('Inputs'!$B$9),ISNUMBER('Inputs'!$B$10),ISNUMBER('Inputs'!$B$21),ISNUMBER('Inputs'!$B$24),ISNUMBER('Inputs'!$B$28)),((('Results'!B7*(1+'Inputs'!$B$24)*(0.5*((((973-43)*MAX('Inputs'!$B$33,'Inputs'!$B$29+'Inputs'!$B$31+'Inputs'!$B$32,'Inputs'!$B$30+'Inputs'!$B$31+'Inputs'!$B$32)/1000+'Inputs'!$B$21)+'Inputs'!$B$7)/SQRT((((973-43)*MAX('Inputs'!$B$33,'Inputs'!$B$29+'Inputs'!$B$31+'Inputs'!$B$32,'Inputs'!$B$30+'Inputs'!$B$31+'Inputs'!$B$32)/1000+'Inputs'!$B$21)+'Inputs'!$B$7)^2+('Inputs'!$B$6/2)^2)-(((973-43)*MAX('Inputs'!$B$33,'Inputs'!$B$29+'Inputs'!$B$31+'Inputs'!$B$32,'Inputs'!$B$30+'Inputs'!$B$31+'Inputs'!$B$32)/1000+'Inputs'!$B$21))/SQRT((((973-43)*MAX('Inputs'!$B$33,'Inputs'!$B$29+'Inputs'!$B$31+'Inputs'!$B$32,'Inputs'!$B$30+'Inputs'!$B$31+'Inputs'!$B$32)/1000+'Inputs'!$B$21))^2+('Inputs'!$B$6/2)^2)))-'Results'!C7*(1-'Inputs'!$B$24)*(0.5*((((973-43)*MAX('Inputs'!$B$33,'Inputs'!$B$29+'Inputs'!$B$31+'Inputs'!$B$32,'Inputs'!$B$30+'Inputs'!$B$31+'Inputs'!$B$32)/1000+'Inputs'!$B$21+'Inputs'!$B$7+'Inputs'!$B$10)+'Inputs'!$B$9)/SQRT((((973-43)*MAX('Inputs'!$B$33,'Inputs'!$B$29+'Inputs'!$B$31+'Inputs'!$B$32,'Inputs'!$B$30+'Inputs'!$B$31+'Inputs'!$B$32)/1000+'Inputs'!$B$21+'Inputs'!$B$7+'Inputs'!$B$10)+'Inputs'!$B$9)^2+('Inputs'!$B$8/2)^2)-(((973-43)*MAX('Inputs'!$B$33,'Inputs'!$B$29+'Inputs'!$B$31+'Inputs'!$B$32,'Inputs'!$B$30+'Inputs'!$B$31+'Inputs'!$B$32)/1000+'Inputs'!$B$21+'Inputs'!$B$7+'Inputs'!$B$10))/SQRT((((973-43)*MAX('Inputs'!$B$33,'Inputs'!$B$29+'Inputs'!$B$31+'Inputs'!$B$32,'Inputs'!$B$30+'Inputs'!$B$31+'Inputs'!$B$32)/1000+'Inputs'!$B$21+'Inputs'!$B$7+'Inputs'!$B$10))^2+('Inputs'!$B$8/2)^2))))*'Results'!$B$8)+'Inputs'!$B$28*ABS((('Results'!B7*(1+'Inputs'!$B$24)*(0.5*((((973-43)*MAX('Inputs'!$B$33,'Inputs'!$B$29+'Inputs'!$B$31+'Inputs'!$B$32,'Inputs'!$B$30+'Inputs'!$B$31+'Inputs'!$B$32)/1000+'Inputs'!$B$21)+'Inputs'!$B$7)/SQRT((((973-43)*MAX('Inputs'!$B$33,'Inputs'!$B$29+'Inputs'!$B$31+'Inputs'!$B$32,'Inputs'!$B$30+'Inputs'!$B$31+'Inputs'!$B$32)/1000+'Inputs'!$B$21)+'Inputs'!$B$7)^2+('Inputs'!$B$6/2)^2)-(((973-43)*MAX('Inputs'!$B$33,'Inputs'!$B$29+'Inputs'!$B$31+'Inputs'!$B$32,'Inputs'!$B$30+'Inputs'!$B$31+'Inputs'!$B$32)/1000+'Inputs'!$B$21))/SQRT((((973-43)*MAX('Inputs'!$B$33,'Inputs'!$B$29+'Inputs'!$B$31+'Inputs'!$B$32,'Inputs'!$B$30+'Inputs'!$B$31+'Inputs'!$B$32)/1000+'Inputs'!$B$21))^2+('Inputs'!$B$6/2)^2)))-'Results'!C7*(1-'Inputs'!$B$24)*(0.5*((((973-43)*MAX('Inputs'!$B$33,'Inputs'!$B$29+'Inputs'!$B$31+'Inputs'!$B$32,'Inputs'!$B$30+'Inputs'!$B$31+'Inputs'!$B$32)/1000+'Inputs'!$B$21+'Inputs'!$B$7+'Inputs'!$B$10)+'Inputs'!$B$9)/SQRT((((973-43)*MAX('Inputs'!$B$33,'Inputs'!$B$29+'Inputs'!$B$31+'Inputs'!$B$32,'Inputs'!$B$30+'Inputs'!$B$31+'Inputs'!$B$32)/1000+'Inputs'!$B$21+'Inputs'!$B$7+'Inputs'!$B$10)+'Inputs'!$B$9)^2+('Inputs'!$B$8/2)^2)-(((973-43)*MAX('Inputs'!$B$33,'Inputs'!$B$29+'Inputs'!$B$31+'Inputs'!$B$32,'Inputs'!$B$30+'Inputs'!$B$31+'Inputs'!$B$32)/1000+'Inputs'!$B$21+'Inputs'!$B$7+'Inputs'!$B$10))/SQRT((((973-43)*MAX('Inputs'!$B$33,'Inputs'!$B$29+'Inputs'!$B$31+'Inputs'!$B$32,'Inputs'!$B$30+'Inputs'!$B$31+'Inputs'!$B$32)/1000+'Inputs'!$B$21+'Inputs'!$B$7+'Inputs'!$B$10))^2+('Inputs'!$B$8/2)^2))))*'Results'!$B$8))),"")</x:f>
        <x:v>0.5433214422302297</x:v>
      </x:c>
      <x:c r="M973" t="n">
        <x:f>IF(AND(ISNUMBER('Results'!C7),ISNUMBER('Results'!B7),ISNUMBER('Results'!$B$8),ISNUMBER('Inputs'!$B$6),ISNUMBER('Inputs'!$B$7),ISNUMBER('Inputs'!$B$8),ISNUMBER('Inputs'!$B$9),ISNUMBER('Inputs'!$B$10),ISNUMBER('Inputs'!$B$21),ISNUMBER('Inputs'!$B$24),ISNUMBER('Inputs'!$B$28)),(('Results'!C7*(0.5*((((973-43)*MAX('Inputs'!$B$33,'Inputs'!$B$29+'Inputs'!$B$31+'Inputs'!$B$32,'Inputs'!$B$30+'Inputs'!$B$31+'Inputs'!$B$32)/1000+'Inputs'!$B$21)+'Inputs'!$B$9)/SQRT((((973-43)*MAX('Inputs'!$B$33,'Inputs'!$B$29+'Inputs'!$B$31+'Inputs'!$B$32,'Inputs'!$B$30+'Inputs'!$B$31+'Inputs'!$B$32)/1000+'Inputs'!$B$21)+'Inputs'!$B$9)^2+('Inputs'!$B$8/2)^2)-(((973-43)*MAX('Inputs'!$B$33,'Inputs'!$B$29+'Inputs'!$B$31+'Inputs'!$B$32,'Inputs'!$B$30+'Inputs'!$B$31+'Inputs'!$B$32)/1000+'Inputs'!$B$21))/SQRT((((973-43)*MAX('Inputs'!$B$33,'Inputs'!$B$29+'Inputs'!$B$31+'Inputs'!$B$32,'Inputs'!$B$30+'Inputs'!$B$31+'Inputs'!$B$32)/1000+'Inputs'!$B$21))^2+('Inputs'!$B$8/2)^2)))-'Results'!B7*(0.5*((((973-43)*MAX('Inputs'!$B$33,'Inputs'!$B$29+'Inputs'!$B$31+'Inputs'!$B$32,'Inputs'!$B$30+'Inputs'!$B$31+'Inputs'!$B$32)/1000+'Inputs'!$B$21+'Inputs'!$B$9+'Inputs'!$B$10)+'Inputs'!$B$7)/SQRT((((973-43)*MAX('Inputs'!$B$33,'Inputs'!$B$29+'Inputs'!$B$31+'Inputs'!$B$32,'Inputs'!$B$30+'Inputs'!$B$31+'Inputs'!$B$32)/1000+'Inputs'!$B$21+'Inputs'!$B$9+'Inputs'!$B$10)+'Inputs'!$B$7)^2+('Inputs'!$B$6/2)^2)-(((973-43)*MAX('Inputs'!$B$33,'Inputs'!$B$29+'Inputs'!$B$31+'Inputs'!$B$32,'Inputs'!$B$30+'Inputs'!$B$31+'Inputs'!$B$32)/1000+'Inputs'!$B$21+'Inputs'!$B$9+'Inputs'!$B$10))/SQRT((((973-43)*MAX('Inputs'!$B$33,'Inputs'!$B$29+'Inputs'!$B$31+'Inputs'!$B$32,'Inputs'!$B$30+'Inputs'!$B$31+'Inputs'!$B$32)/1000+'Inputs'!$B$21+'Inputs'!$B$9+'Inputs'!$B$10))^2+('Inputs'!$B$6/2)^2))))*'Results'!$B$8),"")</x:f>
        <x:v>0.4125775123836548</x:v>
      </x:c>
      <x:c r="N973" t="n">
        <x:f>IF(AND(ISNUMBER('Results'!C7),ISNUMBER('Results'!B7),ISNUMBER('Results'!$B$8),ISNUMBER('Inputs'!$B$6),ISNUMBER('Inputs'!$B$7),ISNUMBER('Inputs'!$B$8),ISNUMBER('Inputs'!$B$9),ISNUMBER('Inputs'!$B$10),ISNUMBER('Inputs'!$B$21),ISNUMBER('Inputs'!$B$24),ISNUMBER('Inputs'!$B$28)),((('Results'!C7*(1-'Inputs'!$B$24)*(0.5*((((973-43)*MAX('Inputs'!$B$33,'Inputs'!$B$29+'Inputs'!$B$31+'Inputs'!$B$32,'Inputs'!$B$30+'Inputs'!$B$31+'Inputs'!$B$32)/1000+'Inputs'!$B$21)+'Inputs'!$B$9)/SQRT((((973-43)*MAX('Inputs'!$B$33,'Inputs'!$B$29+'Inputs'!$B$31+'Inputs'!$B$32,'Inputs'!$B$30+'Inputs'!$B$31+'Inputs'!$B$32)/1000+'Inputs'!$B$21)+'Inputs'!$B$9)^2+('Inputs'!$B$8/2)^2)-(((973-43)*MAX('Inputs'!$B$33,'Inputs'!$B$29+'Inputs'!$B$31+'Inputs'!$B$32,'Inputs'!$B$30+'Inputs'!$B$31+'Inputs'!$B$32)/1000+'Inputs'!$B$21))/SQRT((((973-43)*MAX('Inputs'!$B$33,'Inputs'!$B$29+'Inputs'!$B$31+'Inputs'!$B$32,'Inputs'!$B$30+'Inputs'!$B$31+'Inputs'!$B$32)/1000+'Inputs'!$B$21))^2+('Inputs'!$B$8/2)^2)))-'Results'!B7*(1+'Inputs'!$B$24)*(0.5*((((973-43)*MAX('Inputs'!$B$33,'Inputs'!$B$29+'Inputs'!$B$31+'Inputs'!$B$32,'Inputs'!$B$30+'Inputs'!$B$31+'Inputs'!$B$32)/1000+'Inputs'!$B$21+'Inputs'!$B$9+'Inputs'!$B$10)+'Inputs'!$B$7)/SQRT((((973-43)*MAX('Inputs'!$B$33,'Inputs'!$B$29+'Inputs'!$B$31+'Inputs'!$B$32,'Inputs'!$B$30+'Inputs'!$B$31+'Inputs'!$B$32)/1000+'Inputs'!$B$21+'Inputs'!$B$9+'Inputs'!$B$10)+'Inputs'!$B$7)^2+('Inputs'!$B$6/2)^2)-(((973-43)*MAX('Inputs'!$B$33,'Inputs'!$B$29+'Inputs'!$B$31+'Inputs'!$B$32,'Inputs'!$B$30+'Inputs'!$B$31+'Inputs'!$B$32)/1000+'Inputs'!$B$21+'Inputs'!$B$9+'Inputs'!$B$10))/SQRT((((973-43)*MAX('Inputs'!$B$33,'Inputs'!$B$29+'Inputs'!$B$31+'Inputs'!$B$32,'Inputs'!$B$30+'Inputs'!$B$31+'Inputs'!$B$32)/1000+'Inputs'!$B$21+'Inputs'!$B$9+'Inputs'!$B$10))^2+('Inputs'!$B$6/2)^2))))*'Results'!$B$8)-'Inputs'!$B$28*ABS((('Results'!C7*(1-'Inputs'!$B$24)*(0.5*((((973-43)*MAX('Inputs'!$B$33,'Inputs'!$B$29+'Inputs'!$B$31+'Inputs'!$B$32,'Inputs'!$B$30+'Inputs'!$B$31+'Inputs'!$B$32)/1000+'Inputs'!$B$21)+'Inputs'!$B$9)/SQRT((((973-43)*MAX('Inputs'!$B$33,'Inputs'!$B$29+'Inputs'!$B$31+'Inputs'!$B$32,'Inputs'!$B$30+'Inputs'!$B$31+'Inputs'!$B$32)/1000+'Inputs'!$B$21)+'Inputs'!$B$9)^2+('Inputs'!$B$8/2)^2)-(((973-43)*MAX('Inputs'!$B$33,'Inputs'!$B$29+'Inputs'!$B$31+'Inputs'!$B$32,'Inputs'!$B$30+'Inputs'!$B$31+'Inputs'!$B$32)/1000+'Inputs'!$B$21))/SQRT((((973-43)*MAX('Inputs'!$B$33,'Inputs'!$B$29+'Inputs'!$B$31+'Inputs'!$B$32,'Inputs'!$B$30+'Inputs'!$B$31+'Inputs'!$B$32)/1000+'Inputs'!$B$21))^2+('Inputs'!$B$8/2)^2)))-'Results'!B7*(1+'Inputs'!$B$24)*(0.5*((((973-43)*MAX('Inputs'!$B$33,'Inputs'!$B$29+'Inputs'!$B$31+'Inputs'!$B$32,'Inputs'!$B$30+'Inputs'!$B$31+'Inputs'!$B$32)/1000+'Inputs'!$B$21+'Inputs'!$B$9+'Inputs'!$B$10)+'Inputs'!$B$7)/SQRT((((973-43)*MAX('Inputs'!$B$33,'Inputs'!$B$29+'Inputs'!$B$31+'Inputs'!$B$32,'Inputs'!$B$30+'Inputs'!$B$31+'Inputs'!$B$32)/1000+'Inputs'!$B$21+'Inputs'!$B$9+'Inputs'!$B$10)+'Inputs'!$B$7)^2+('Inputs'!$B$6/2)^2)-(((973-43)*MAX('Inputs'!$B$33,'Inputs'!$B$29+'Inputs'!$B$31+'Inputs'!$B$32,'Inputs'!$B$30+'Inputs'!$B$31+'Inputs'!$B$32)/1000+'Inputs'!$B$21+'Inputs'!$B$9+'Inputs'!$B$10))/SQRT((((973-43)*MAX('Inputs'!$B$33,'Inputs'!$B$29+'Inputs'!$B$31+'Inputs'!$B$32,'Inputs'!$B$30+'Inputs'!$B$31+'Inputs'!$B$32)/1000+'Inputs'!$B$21+'Inputs'!$B$9+'Inputs'!$B$10))^2+('Inputs'!$B$6/2)^2))))*'Results'!$B$8))),"")</x:f>
        <x:v>0.34251114478695227</x:v>
      </x:c>
      <x:c r="O973" t="n">
        <x:f>IF(AND(ISNUMBER('Results'!C7),ISNUMBER('Results'!B7),ISNUMBER('Results'!$B$8),ISNUMBER('Inputs'!$B$6),ISNUMBER('Inputs'!$B$7),ISNUMBER('Inputs'!$B$8),ISNUMBER('Inputs'!$B$9),ISNUMBER('Inputs'!$B$10),ISNUMBER('Inputs'!$B$21),ISNUMBER('Inputs'!$B$24),ISNUMBER('Inputs'!$B$28)),((('Results'!C7*(1+'Inputs'!$B$24)*(0.5*((((973-43)*MAX('Inputs'!$B$33,'Inputs'!$B$29+'Inputs'!$B$31+'Inputs'!$B$32,'Inputs'!$B$30+'Inputs'!$B$31+'Inputs'!$B$32)/1000+'Inputs'!$B$21)+'Inputs'!$B$9)/SQRT((((973-43)*MAX('Inputs'!$B$33,'Inputs'!$B$29+'Inputs'!$B$31+'Inputs'!$B$32,'Inputs'!$B$30+'Inputs'!$B$31+'Inputs'!$B$32)/1000+'Inputs'!$B$21)+'Inputs'!$B$9)^2+('Inputs'!$B$8/2)^2)-(((973-43)*MAX('Inputs'!$B$33,'Inputs'!$B$29+'Inputs'!$B$31+'Inputs'!$B$32,'Inputs'!$B$30+'Inputs'!$B$31+'Inputs'!$B$32)/1000+'Inputs'!$B$21))/SQRT((((973-43)*MAX('Inputs'!$B$33,'Inputs'!$B$29+'Inputs'!$B$31+'Inputs'!$B$32,'Inputs'!$B$30+'Inputs'!$B$31+'Inputs'!$B$32)/1000+'Inputs'!$B$21))^2+('Inputs'!$B$8/2)^2)))-'Results'!B7*(1-'Inputs'!$B$24)*(0.5*((((973-43)*MAX('Inputs'!$B$33,'Inputs'!$B$29+'Inputs'!$B$31+'Inputs'!$B$32,'Inputs'!$B$30+'Inputs'!$B$31+'Inputs'!$B$32)/1000+'Inputs'!$B$21+'Inputs'!$B$9+'Inputs'!$B$10)+'Inputs'!$B$7)/SQRT((((973-43)*MAX('Inputs'!$B$33,'Inputs'!$B$29+'Inputs'!$B$31+'Inputs'!$B$32,'Inputs'!$B$30+'Inputs'!$B$31+'Inputs'!$B$32)/1000+'Inputs'!$B$21+'Inputs'!$B$9+'Inputs'!$B$10)+'Inputs'!$B$7)^2+('Inputs'!$B$6/2)^2)-(((973-43)*MAX('Inputs'!$B$33,'Inputs'!$B$29+'Inputs'!$B$31+'Inputs'!$B$32,'Inputs'!$B$30+'Inputs'!$B$31+'Inputs'!$B$32)/1000+'Inputs'!$B$21+'Inputs'!$B$9+'Inputs'!$B$10))/SQRT((((973-43)*MAX('Inputs'!$B$33,'Inputs'!$B$29+'Inputs'!$B$31+'Inputs'!$B$32,'Inputs'!$B$30+'Inputs'!$B$31+'Inputs'!$B$32)/1000+'Inputs'!$B$21+'Inputs'!$B$9+'Inputs'!$B$10))^2+('Inputs'!$B$6/2)^2))))*'Results'!$B$8)+'Inputs'!$B$28*ABS((('Results'!C7*(1+'Inputs'!$B$24)*(0.5*((((973-43)*MAX('Inputs'!$B$33,'Inputs'!$B$29+'Inputs'!$B$31+'Inputs'!$B$32,'Inputs'!$B$30+'Inputs'!$B$31+'Inputs'!$B$32)/1000+'Inputs'!$B$21)+'Inputs'!$B$9)/SQRT((((973-43)*MAX('Inputs'!$B$33,'Inputs'!$B$29+'Inputs'!$B$31+'Inputs'!$B$32,'Inputs'!$B$30+'Inputs'!$B$31+'Inputs'!$B$32)/1000+'Inputs'!$B$21)+'Inputs'!$B$9)^2+('Inputs'!$B$8/2)^2)-(((973-43)*MAX('Inputs'!$B$33,'Inputs'!$B$29+'Inputs'!$B$31+'Inputs'!$B$32,'Inputs'!$B$30+'Inputs'!$B$31+'Inputs'!$B$32)/1000+'Inputs'!$B$21))/SQRT((((973-43)*MAX('Inputs'!$B$33,'Inputs'!$B$29+'Inputs'!$B$31+'Inputs'!$B$32,'Inputs'!$B$30+'Inputs'!$B$31+'Inputs'!$B$32)/1000+'Inputs'!$B$21))^2+('Inputs'!$B$8/2)^2)))-'Results'!B7*(1-'Inputs'!$B$24)*(0.5*((((973-43)*MAX('Inputs'!$B$33,'Inputs'!$B$29+'Inputs'!$B$31+'Inputs'!$B$32,'Inputs'!$B$30+'Inputs'!$B$31+'Inputs'!$B$32)/1000+'Inputs'!$B$21+'Inputs'!$B$9+'Inputs'!$B$10)+'Inputs'!$B$7)/SQRT((((973-43)*MAX('Inputs'!$B$33,'Inputs'!$B$29+'Inputs'!$B$31+'Inputs'!$B$32,'Inputs'!$B$30+'Inputs'!$B$31+'Inputs'!$B$32)/1000+'Inputs'!$B$21+'Inputs'!$B$9+'Inputs'!$B$10)+'Inputs'!$B$7)^2+('Inputs'!$B$6/2)^2)-(((973-43)*MAX('Inputs'!$B$33,'Inputs'!$B$29+'Inputs'!$B$31+'Inputs'!$B$32,'Inputs'!$B$30+'Inputs'!$B$31+'Inputs'!$B$32)/1000+'Inputs'!$B$21+'Inputs'!$B$9+'Inputs'!$B$10))/SQRT((((973-43)*MAX('Inputs'!$B$33,'Inputs'!$B$29+'Inputs'!$B$31+'Inputs'!$B$32,'Inputs'!$B$30+'Inputs'!$B$31+'Inputs'!$B$32)/1000+'Inputs'!$B$21+'Inputs'!$B$9+'Inputs'!$B$10))^2+('Inputs'!$B$6/2)^2))))*'Results'!$B$8))),"")</x:f>
        <x:v>0.48784782650430675</x:v>
      </x:c>
      <x:c r="P973" t="n">
        <x:f>IF(AND(MAX(J973,J972)&gt;0,J973&gt;J972+0.00000001),1,0)</x:f>
        <x:v>0</x:v>
      </x:c>
      <x:c r="Q973" t="n">
        <x:f>IF(AND(MAX(K973,K972)&gt;0,K973&gt;K972+0.00000001),1,0)</x:f>
        <x:v>0</x:v>
      </x:c>
      <x:c r="R973" t="n">
        <x:f>IF(AND(MAX(L973,L972)&gt;0,L973&gt;L972+0.00000001),1,0)</x:f>
        <x:v>0</x:v>
      </x:c>
      <x:c r="S973" t="n">
        <x:f>IF(AND(MAX(M973,M972)&gt;0,M973&gt;M972+0.00000001),1,0)</x:f>
        <x:v>0</x:v>
      </x:c>
      <x:c r="T973" t="n">
        <x:f>IF(AND(MAX(N973,N972)&gt;0,N973&gt;N972+0.00000001),1,0)</x:f>
        <x:v>0</x:v>
      </x:c>
      <x:c r="U973" t="n">
        <x:f>IF(AND(MAX(O973,O972)&gt;0,O973&gt;O972+0.00000001),1,0)</x:f>
        <x:v>0</x:v>
      </x:c>
    </x:row>
    <x:row r="974">
      <x:c r="J974" t="n">
        <x:f>IF(AND(ISNUMBER('Results'!B7),ISNUMBER('Results'!C7),ISNUMBER('Results'!$B$8),ISNUMBER('Inputs'!$B$6),ISNUMBER('Inputs'!$B$7),ISNUMBER('Inputs'!$B$8),ISNUMBER('Inputs'!$B$9),ISNUMBER('Inputs'!$B$10),ISNUMBER('Inputs'!$B$21),ISNUMBER('Inputs'!$B$24),ISNUMBER('Inputs'!$B$28)),(('Results'!B7*(0.5*((((974-43)*MAX('Inputs'!$B$33,'Inputs'!$B$29+'Inputs'!$B$31+'Inputs'!$B$32,'Inputs'!$B$30+'Inputs'!$B$31+'Inputs'!$B$32)/1000+'Inputs'!$B$21)+'Inputs'!$B$7)/SQRT((((974-43)*MAX('Inputs'!$B$33,'Inputs'!$B$29+'Inputs'!$B$31+'Inputs'!$B$32,'Inputs'!$B$30+'Inputs'!$B$31+'Inputs'!$B$32)/1000+'Inputs'!$B$21)+'Inputs'!$B$7)^2+('Inputs'!$B$6/2)^2)-(((974-43)*MAX('Inputs'!$B$33,'Inputs'!$B$29+'Inputs'!$B$31+'Inputs'!$B$32,'Inputs'!$B$30+'Inputs'!$B$31+'Inputs'!$B$32)/1000+'Inputs'!$B$21))/SQRT((((974-43)*MAX('Inputs'!$B$33,'Inputs'!$B$29+'Inputs'!$B$31+'Inputs'!$B$32,'Inputs'!$B$30+'Inputs'!$B$31+'Inputs'!$B$32)/1000+'Inputs'!$B$21))^2+('Inputs'!$B$6/2)^2)))-'Results'!C7*(0.5*((((974-43)*MAX('Inputs'!$B$33,'Inputs'!$B$29+'Inputs'!$B$31+'Inputs'!$B$32,'Inputs'!$B$30+'Inputs'!$B$31+'Inputs'!$B$32)/1000+'Inputs'!$B$21+'Inputs'!$B$7+'Inputs'!$B$10)+'Inputs'!$B$9)/SQRT((((974-43)*MAX('Inputs'!$B$33,'Inputs'!$B$29+'Inputs'!$B$31+'Inputs'!$B$32,'Inputs'!$B$30+'Inputs'!$B$31+'Inputs'!$B$32)/1000+'Inputs'!$B$21+'Inputs'!$B$7+'Inputs'!$B$10)+'Inputs'!$B$9)^2+('Inputs'!$B$8/2)^2)-(((974-43)*MAX('Inputs'!$B$33,'Inputs'!$B$29+'Inputs'!$B$31+'Inputs'!$B$32,'Inputs'!$B$30+'Inputs'!$B$31+'Inputs'!$B$32)/1000+'Inputs'!$B$21+'Inputs'!$B$7+'Inputs'!$B$10))/SQRT((((974-43)*MAX('Inputs'!$B$33,'Inputs'!$B$29+'Inputs'!$B$31+'Inputs'!$B$32,'Inputs'!$B$30+'Inputs'!$B$31+'Inputs'!$B$32)/1000+'Inputs'!$B$21+'Inputs'!$B$7+'Inputs'!$B$10))^2+('Inputs'!$B$8/2)^2))))*'Results'!$B$8),"")</x:f>
        <x:v>0.4634178069985688</x:v>
      </x:c>
      <x:c r="K974" t="n">
        <x:f>IF(AND(ISNUMBER('Results'!B7),ISNUMBER('Results'!C7),ISNUMBER('Results'!$B$8),ISNUMBER('Inputs'!$B$6),ISNUMBER('Inputs'!$B$7),ISNUMBER('Inputs'!$B$8),ISNUMBER('Inputs'!$B$9),ISNUMBER('Inputs'!$B$10),ISNUMBER('Inputs'!$B$21),ISNUMBER('Inputs'!$B$24),ISNUMBER('Inputs'!$B$28)),((('Results'!B7*(1-'Inputs'!$B$24)*(0.5*((((974-43)*MAX('Inputs'!$B$33,'Inputs'!$B$29+'Inputs'!$B$31+'Inputs'!$B$32,'Inputs'!$B$30+'Inputs'!$B$31+'Inputs'!$B$32)/1000+'Inputs'!$B$21)+'Inputs'!$B$7)/SQRT((((974-43)*MAX('Inputs'!$B$33,'Inputs'!$B$29+'Inputs'!$B$31+'Inputs'!$B$32,'Inputs'!$B$30+'Inputs'!$B$31+'Inputs'!$B$32)/1000+'Inputs'!$B$21)+'Inputs'!$B$7)^2+('Inputs'!$B$6/2)^2)-(((974-43)*MAX('Inputs'!$B$33,'Inputs'!$B$29+'Inputs'!$B$31+'Inputs'!$B$32,'Inputs'!$B$30+'Inputs'!$B$31+'Inputs'!$B$32)/1000+'Inputs'!$B$21))/SQRT((((974-43)*MAX('Inputs'!$B$33,'Inputs'!$B$29+'Inputs'!$B$31+'Inputs'!$B$32,'Inputs'!$B$30+'Inputs'!$B$31+'Inputs'!$B$32)/1000+'Inputs'!$B$21))^2+('Inputs'!$B$6/2)^2)))-'Results'!C7*(1+'Inputs'!$B$24)*(0.5*((((974-43)*MAX('Inputs'!$B$33,'Inputs'!$B$29+'Inputs'!$B$31+'Inputs'!$B$32,'Inputs'!$B$30+'Inputs'!$B$31+'Inputs'!$B$32)/1000+'Inputs'!$B$21+'Inputs'!$B$7+'Inputs'!$B$10)+'Inputs'!$B$9)/SQRT((((974-43)*MAX('Inputs'!$B$33,'Inputs'!$B$29+'Inputs'!$B$31+'Inputs'!$B$32,'Inputs'!$B$30+'Inputs'!$B$31+'Inputs'!$B$32)/1000+'Inputs'!$B$21+'Inputs'!$B$7+'Inputs'!$B$10)+'Inputs'!$B$9)^2+('Inputs'!$B$8/2)^2)-(((974-43)*MAX('Inputs'!$B$33,'Inputs'!$B$29+'Inputs'!$B$31+'Inputs'!$B$32,'Inputs'!$B$30+'Inputs'!$B$31+'Inputs'!$B$32)/1000+'Inputs'!$B$21+'Inputs'!$B$7+'Inputs'!$B$10))/SQRT((((974-43)*MAX('Inputs'!$B$33,'Inputs'!$B$29+'Inputs'!$B$31+'Inputs'!$B$32,'Inputs'!$B$30+'Inputs'!$B$31+'Inputs'!$B$32)/1000+'Inputs'!$B$21+'Inputs'!$B$7+'Inputs'!$B$10))^2+('Inputs'!$B$8/2)^2))))*'Results'!$B$8)-'Inputs'!$B$28*ABS((('Results'!B7*(1-'Inputs'!$B$24)*(0.5*((((974-43)*MAX('Inputs'!$B$33,'Inputs'!$B$29+'Inputs'!$B$31+'Inputs'!$B$32,'Inputs'!$B$30+'Inputs'!$B$31+'Inputs'!$B$32)/1000+'Inputs'!$B$21)+'Inputs'!$B$7)/SQRT((((974-43)*MAX('Inputs'!$B$33,'Inputs'!$B$29+'Inputs'!$B$31+'Inputs'!$B$32,'Inputs'!$B$30+'Inputs'!$B$31+'Inputs'!$B$32)/1000+'Inputs'!$B$21)+'Inputs'!$B$7)^2+('Inputs'!$B$6/2)^2)-(((974-43)*MAX('Inputs'!$B$33,'Inputs'!$B$29+'Inputs'!$B$31+'Inputs'!$B$32,'Inputs'!$B$30+'Inputs'!$B$31+'Inputs'!$B$32)/1000+'Inputs'!$B$21))/SQRT((((974-43)*MAX('Inputs'!$B$33,'Inputs'!$B$29+'Inputs'!$B$31+'Inputs'!$B$32,'Inputs'!$B$30+'Inputs'!$B$31+'Inputs'!$B$32)/1000+'Inputs'!$B$21))^2+('Inputs'!$B$6/2)^2)))-'Results'!C7*(1+'Inputs'!$B$24)*(0.5*((((974-43)*MAX('Inputs'!$B$33,'Inputs'!$B$29+'Inputs'!$B$31+'Inputs'!$B$32,'Inputs'!$B$30+'Inputs'!$B$31+'Inputs'!$B$32)/1000+'Inputs'!$B$21+'Inputs'!$B$7+'Inputs'!$B$10)+'Inputs'!$B$9)/SQRT((((974-43)*MAX('Inputs'!$B$33,'Inputs'!$B$29+'Inputs'!$B$31+'Inputs'!$B$32,'Inputs'!$B$30+'Inputs'!$B$31+'Inputs'!$B$32)/1000+'Inputs'!$B$21+'Inputs'!$B$7+'Inputs'!$B$10)+'Inputs'!$B$9)^2+('Inputs'!$B$8/2)^2)-(((974-43)*MAX('Inputs'!$B$33,'Inputs'!$B$29+'Inputs'!$B$31+'Inputs'!$B$32,'Inputs'!$B$30+'Inputs'!$B$31+'Inputs'!$B$32)/1000+'Inputs'!$B$21+'Inputs'!$B$7+'Inputs'!$B$10))/SQRT((((974-43)*MAX('Inputs'!$B$33,'Inputs'!$B$29+'Inputs'!$B$31+'Inputs'!$B$32,'Inputs'!$B$30+'Inputs'!$B$31+'Inputs'!$B$32)/1000+'Inputs'!$B$21+'Inputs'!$B$7+'Inputs'!$B$10))^2+('Inputs'!$B$8/2)^2))))*'Results'!$B$8))),"")</x:f>
        <x:v>0.39078951905200415</x:v>
      </x:c>
      <x:c r="L974" t="n">
        <x:f>IF(AND(ISNUMBER('Results'!B7),ISNUMBER('Results'!C7),ISNUMBER('Results'!$B$8),ISNUMBER('Inputs'!$B$6),ISNUMBER('Inputs'!$B$7),ISNUMBER('Inputs'!$B$8),ISNUMBER('Inputs'!$B$9),ISNUMBER('Inputs'!$B$10),ISNUMBER('Inputs'!$B$21),ISNUMBER('Inputs'!$B$24),ISNUMBER('Inputs'!$B$28)),((('Results'!B7*(1+'Inputs'!$B$24)*(0.5*((((974-43)*MAX('Inputs'!$B$33,'Inputs'!$B$29+'Inputs'!$B$31+'Inputs'!$B$32,'Inputs'!$B$30+'Inputs'!$B$31+'Inputs'!$B$32)/1000+'Inputs'!$B$21)+'Inputs'!$B$7)/SQRT((((974-43)*MAX('Inputs'!$B$33,'Inputs'!$B$29+'Inputs'!$B$31+'Inputs'!$B$32,'Inputs'!$B$30+'Inputs'!$B$31+'Inputs'!$B$32)/1000+'Inputs'!$B$21)+'Inputs'!$B$7)^2+('Inputs'!$B$6/2)^2)-(((974-43)*MAX('Inputs'!$B$33,'Inputs'!$B$29+'Inputs'!$B$31+'Inputs'!$B$32,'Inputs'!$B$30+'Inputs'!$B$31+'Inputs'!$B$32)/1000+'Inputs'!$B$21))/SQRT((((974-43)*MAX('Inputs'!$B$33,'Inputs'!$B$29+'Inputs'!$B$31+'Inputs'!$B$32,'Inputs'!$B$30+'Inputs'!$B$31+'Inputs'!$B$32)/1000+'Inputs'!$B$21))^2+('Inputs'!$B$6/2)^2)))-'Results'!C7*(1-'Inputs'!$B$24)*(0.5*((((974-43)*MAX('Inputs'!$B$33,'Inputs'!$B$29+'Inputs'!$B$31+'Inputs'!$B$32,'Inputs'!$B$30+'Inputs'!$B$31+'Inputs'!$B$32)/1000+'Inputs'!$B$21+'Inputs'!$B$7+'Inputs'!$B$10)+'Inputs'!$B$9)/SQRT((((974-43)*MAX('Inputs'!$B$33,'Inputs'!$B$29+'Inputs'!$B$31+'Inputs'!$B$32,'Inputs'!$B$30+'Inputs'!$B$31+'Inputs'!$B$32)/1000+'Inputs'!$B$21+'Inputs'!$B$7+'Inputs'!$B$10)+'Inputs'!$B$9)^2+('Inputs'!$B$8/2)^2)-(((974-43)*MAX('Inputs'!$B$33,'Inputs'!$B$29+'Inputs'!$B$31+'Inputs'!$B$32,'Inputs'!$B$30+'Inputs'!$B$31+'Inputs'!$B$32)/1000+'Inputs'!$B$21+'Inputs'!$B$7+'Inputs'!$B$10))/SQRT((((974-43)*MAX('Inputs'!$B$33,'Inputs'!$B$29+'Inputs'!$B$31+'Inputs'!$B$32,'Inputs'!$B$30+'Inputs'!$B$31+'Inputs'!$B$32)/1000+'Inputs'!$B$21+'Inputs'!$B$7+'Inputs'!$B$10))^2+('Inputs'!$B$8/2)^2))))*'Results'!$B$8)+'Inputs'!$B$28*ABS((('Results'!B7*(1+'Inputs'!$B$24)*(0.5*((((974-43)*MAX('Inputs'!$B$33,'Inputs'!$B$29+'Inputs'!$B$31+'Inputs'!$B$32,'Inputs'!$B$30+'Inputs'!$B$31+'Inputs'!$B$32)/1000+'Inputs'!$B$21)+'Inputs'!$B$7)/SQRT((((974-43)*MAX('Inputs'!$B$33,'Inputs'!$B$29+'Inputs'!$B$31+'Inputs'!$B$32,'Inputs'!$B$30+'Inputs'!$B$31+'Inputs'!$B$32)/1000+'Inputs'!$B$21)+'Inputs'!$B$7)^2+('Inputs'!$B$6/2)^2)-(((974-43)*MAX('Inputs'!$B$33,'Inputs'!$B$29+'Inputs'!$B$31+'Inputs'!$B$32,'Inputs'!$B$30+'Inputs'!$B$31+'Inputs'!$B$32)/1000+'Inputs'!$B$21))/SQRT((((974-43)*MAX('Inputs'!$B$33,'Inputs'!$B$29+'Inputs'!$B$31+'Inputs'!$B$32,'Inputs'!$B$30+'Inputs'!$B$31+'Inputs'!$B$32)/1000+'Inputs'!$B$21))^2+('Inputs'!$B$6/2)^2)))-'Results'!C7*(1-'Inputs'!$B$24)*(0.5*((((974-43)*MAX('Inputs'!$B$33,'Inputs'!$B$29+'Inputs'!$B$31+'Inputs'!$B$32,'Inputs'!$B$30+'Inputs'!$B$31+'Inputs'!$B$32)/1000+'Inputs'!$B$21+'Inputs'!$B$7+'Inputs'!$B$10)+'Inputs'!$B$9)/SQRT((((974-43)*MAX('Inputs'!$B$33,'Inputs'!$B$29+'Inputs'!$B$31+'Inputs'!$B$32,'Inputs'!$B$30+'Inputs'!$B$31+'Inputs'!$B$32)/1000+'Inputs'!$B$21+'Inputs'!$B$7+'Inputs'!$B$10)+'Inputs'!$B$9)^2+('Inputs'!$B$8/2)^2)-(((974-43)*MAX('Inputs'!$B$33,'Inputs'!$B$29+'Inputs'!$B$31+'Inputs'!$B$32,'Inputs'!$B$30+'Inputs'!$B$31+'Inputs'!$B$32)/1000+'Inputs'!$B$21+'Inputs'!$B$7+'Inputs'!$B$10))/SQRT((((974-43)*MAX('Inputs'!$B$33,'Inputs'!$B$29+'Inputs'!$B$31+'Inputs'!$B$32,'Inputs'!$B$30+'Inputs'!$B$31+'Inputs'!$B$32)/1000+'Inputs'!$B$21+'Inputs'!$B$7+'Inputs'!$B$10))^2+('Inputs'!$B$8/2)^2))))*'Results'!$B$8))),"")</x:f>
        <x:v>0.5412521367974106</x:v>
      </x:c>
      <x:c r="M974" t="n">
        <x:f>IF(AND(ISNUMBER('Results'!C7),ISNUMBER('Results'!B7),ISNUMBER('Results'!$B$8),ISNUMBER('Inputs'!$B$6),ISNUMBER('Inputs'!$B$7),ISNUMBER('Inputs'!$B$8),ISNUMBER('Inputs'!$B$9),ISNUMBER('Inputs'!$B$10),ISNUMBER('Inputs'!$B$21),ISNUMBER('Inputs'!$B$24),ISNUMBER('Inputs'!$B$28)),(('Results'!C7*(0.5*((((974-43)*MAX('Inputs'!$B$33,'Inputs'!$B$29+'Inputs'!$B$31+'Inputs'!$B$32,'Inputs'!$B$30+'Inputs'!$B$31+'Inputs'!$B$32)/1000+'Inputs'!$B$21)+'Inputs'!$B$9)/SQRT((((974-43)*MAX('Inputs'!$B$33,'Inputs'!$B$29+'Inputs'!$B$31+'Inputs'!$B$32,'Inputs'!$B$30+'Inputs'!$B$31+'Inputs'!$B$32)/1000+'Inputs'!$B$21)+'Inputs'!$B$9)^2+('Inputs'!$B$8/2)^2)-(((974-43)*MAX('Inputs'!$B$33,'Inputs'!$B$29+'Inputs'!$B$31+'Inputs'!$B$32,'Inputs'!$B$30+'Inputs'!$B$31+'Inputs'!$B$32)/1000+'Inputs'!$B$21))/SQRT((((974-43)*MAX('Inputs'!$B$33,'Inputs'!$B$29+'Inputs'!$B$31+'Inputs'!$B$32,'Inputs'!$B$30+'Inputs'!$B$31+'Inputs'!$B$32)/1000+'Inputs'!$B$21))^2+('Inputs'!$B$8/2)^2)))-'Results'!B7*(0.5*((((974-43)*MAX('Inputs'!$B$33,'Inputs'!$B$29+'Inputs'!$B$31+'Inputs'!$B$32,'Inputs'!$B$30+'Inputs'!$B$31+'Inputs'!$B$32)/1000+'Inputs'!$B$21+'Inputs'!$B$9+'Inputs'!$B$10)+'Inputs'!$B$7)/SQRT((((974-43)*MAX('Inputs'!$B$33,'Inputs'!$B$29+'Inputs'!$B$31+'Inputs'!$B$32,'Inputs'!$B$30+'Inputs'!$B$31+'Inputs'!$B$32)/1000+'Inputs'!$B$21+'Inputs'!$B$9+'Inputs'!$B$10)+'Inputs'!$B$7)^2+('Inputs'!$B$6/2)^2)-(((974-43)*MAX('Inputs'!$B$33,'Inputs'!$B$29+'Inputs'!$B$31+'Inputs'!$B$32,'Inputs'!$B$30+'Inputs'!$B$31+'Inputs'!$B$32)/1000+'Inputs'!$B$21+'Inputs'!$B$9+'Inputs'!$B$10))/SQRT((((974-43)*MAX('Inputs'!$B$33,'Inputs'!$B$29+'Inputs'!$B$31+'Inputs'!$B$32,'Inputs'!$B$30+'Inputs'!$B$31+'Inputs'!$B$32)/1000+'Inputs'!$B$21+'Inputs'!$B$9+'Inputs'!$B$10))^2+('Inputs'!$B$6/2)^2))))*'Results'!$B$8),"")</x:f>
        <x:v>0.4109207347780102</x:v>
      </x:c>
      <x:c r="N974" t="n">
        <x:f>IF(AND(ISNUMBER('Results'!C7),ISNUMBER('Results'!B7),ISNUMBER('Results'!$B$8),ISNUMBER('Inputs'!$B$6),ISNUMBER('Inputs'!$B$7),ISNUMBER('Inputs'!$B$8),ISNUMBER('Inputs'!$B$9),ISNUMBER('Inputs'!$B$10),ISNUMBER('Inputs'!$B$21),ISNUMBER('Inputs'!$B$24),ISNUMBER('Inputs'!$B$28)),((('Results'!C7*(1-'Inputs'!$B$24)*(0.5*((((974-43)*MAX('Inputs'!$B$33,'Inputs'!$B$29+'Inputs'!$B$31+'Inputs'!$B$32,'Inputs'!$B$30+'Inputs'!$B$31+'Inputs'!$B$32)/1000+'Inputs'!$B$21)+'Inputs'!$B$9)/SQRT((((974-43)*MAX('Inputs'!$B$33,'Inputs'!$B$29+'Inputs'!$B$31+'Inputs'!$B$32,'Inputs'!$B$30+'Inputs'!$B$31+'Inputs'!$B$32)/1000+'Inputs'!$B$21)+'Inputs'!$B$9)^2+('Inputs'!$B$8/2)^2)-(((974-43)*MAX('Inputs'!$B$33,'Inputs'!$B$29+'Inputs'!$B$31+'Inputs'!$B$32,'Inputs'!$B$30+'Inputs'!$B$31+'Inputs'!$B$32)/1000+'Inputs'!$B$21))/SQRT((((974-43)*MAX('Inputs'!$B$33,'Inputs'!$B$29+'Inputs'!$B$31+'Inputs'!$B$32,'Inputs'!$B$30+'Inputs'!$B$31+'Inputs'!$B$32)/1000+'Inputs'!$B$21))^2+('Inputs'!$B$8/2)^2)))-'Results'!B7*(1+'Inputs'!$B$24)*(0.5*((((974-43)*MAX('Inputs'!$B$33,'Inputs'!$B$29+'Inputs'!$B$31+'Inputs'!$B$32,'Inputs'!$B$30+'Inputs'!$B$31+'Inputs'!$B$32)/1000+'Inputs'!$B$21+'Inputs'!$B$9+'Inputs'!$B$10)+'Inputs'!$B$7)/SQRT((((974-43)*MAX('Inputs'!$B$33,'Inputs'!$B$29+'Inputs'!$B$31+'Inputs'!$B$32,'Inputs'!$B$30+'Inputs'!$B$31+'Inputs'!$B$32)/1000+'Inputs'!$B$21+'Inputs'!$B$9+'Inputs'!$B$10)+'Inputs'!$B$7)^2+('Inputs'!$B$6/2)^2)-(((974-43)*MAX('Inputs'!$B$33,'Inputs'!$B$29+'Inputs'!$B$31+'Inputs'!$B$32,'Inputs'!$B$30+'Inputs'!$B$31+'Inputs'!$B$32)/1000+'Inputs'!$B$21+'Inputs'!$B$9+'Inputs'!$B$10))/SQRT((((974-43)*MAX('Inputs'!$B$33,'Inputs'!$B$29+'Inputs'!$B$31+'Inputs'!$B$32,'Inputs'!$B$30+'Inputs'!$B$31+'Inputs'!$B$32)/1000+'Inputs'!$B$21+'Inputs'!$B$9+'Inputs'!$B$10))^2+('Inputs'!$B$6/2)^2))))*'Results'!$B$8)-'Inputs'!$B$28*ABS((('Results'!C7*(1-'Inputs'!$B$24)*(0.5*((((974-43)*MAX('Inputs'!$B$33,'Inputs'!$B$29+'Inputs'!$B$31+'Inputs'!$B$32,'Inputs'!$B$30+'Inputs'!$B$31+'Inputs'!$B$32)/1000+'Inputs'!$B$21)+'Inputs'!$B$9)/SQRT((((974-43)*MAX('Inputs'!$B$33,'Inputs'!$B$29+'Inputs'!$B$31+'Inputs'!$B$32,'Inputs'!$B$30+'Inputs'!$B$31+'Inputs'!$B$32)/1000+'Inputs'!$B$21)+'Inputs'!$B$9)^2+('Inputs'!$B$8/2)^2)-(((974-43)*MAX('Inputs'!$B$33,'Inputs'!$B$29+'Inputs'!$B$31+'Inputs'!$B$32,'Inputs'!$B$30+'Inputs'!$B$31+'Inputs'!$B$32)/1000+'Inputs'!$B$21))/SQRT((((974-43)*MAX('Inputs'!$B$33,'Inputs'!$B$29+'Inputs'!$B$31+'Inputs'!$B$32,'Inputs'!$B$30+'Inputs'!$B$31+'Inputs'!$B$32)/1000+'Inputs'!$B$21))^2+('Inputs'!$B$8/2)^2)))-'Results'!B7*(1+'Inputs'!$B$24)*(0.5*((((974-43)*MAX('Inputs'!$B$33,'Inputs'!$B$29+'Inputs'!$B$31+'Inputs'!$B$32,'Inputs'!$B$30+'Inputs'!$B$31+'Inputs'!$B$32)/1000+'Inputs'!$B$21+'Inputs'!$B$9+'Inputs'!$B$10)+'Inputs'!$B$7)/SQRT((((974-43)*MAX('Inputs'!$B$33,'Inputs'!$B$29+'Inputs'!$B$31+'Inputs'!$B$32,'Inputs'!$B$30+'Inputs'!$B$31+'Inputs'!$B$32)/1000+'Inputs'!$B$21+'Inputs'!$B$9+'Inputs'!$B$10)+'Inputs'!$B$7)^2+('Inputs'!$B$6/2)^2)-(((974-43)*MAX('Inputs'!$B$33,'Inputs'!$B$29+'Inputs'!$B$31+'Inputs'!$B$32,'Inputs'!$B$30+'Inputs'!$B$31+'Inputs'!$B$32)/1000+'Inputs'!$B$21+'Inputs'!$B$9+'Inputs'!$B$10))/SQRT((((974-43)*MAX('Inputs'!$B$33,'Inputs'!$B$29+'Inputs'!$B$31+'Inputs'!$B$32,'Inputs'!$B$30+'Inputs'!$B$31+'Inputs'!$B$32)/1000+'Inputs'!$B$21+'Inputs'!$B$9+'Inputs'!$B$10))^2+('Inputs'!$B$6/2)^2))))*'Results'!$B$8))),"")</x:f>
        <x:v>0.3410851027888754</x:v>
      </x:c>
      <x:c r="O974" t="n">
        <x:f>IF(AND(ISNUMBER('Results'!C7),ISNUMBER('Results'!B7),ISNUMBER('Results'!$B$8),ISNUMBER('Inputs'!$B$6),ISNUMBER('Inputs'!$B$7),ISNUMBER('Inputs'!$B$8),ISNUMBER('Inputs'!$B$9),ISNUMBER('Inputs'!$B$10),ISNUMBER('Inputs'!$B$21),ISNUMBER('Inputs'!$B$24),ISNUMBER('Inputs'!$B$28)),((('Results'!C7*(1+'Inputs'!$B$24)*(0.5*((((974-43)*MAX('Inputs'!$B$33,'Inputs'!$B$29+'Inputs'!$B$31+'Inputs'!$B$32,'Inputs'!$B$30+'Inputs'!$B$31+'Inputs'!$B$32)/1000+'Inputs'!$B$21)+'Inputs'!$B$9)/SQRT((((974-43)*MAX('Inputs'!$B$33,'Inputs'!$B$29+'Inputs'!$B$31+'Inputs'!$B$32,'Inputs'!$B$30+'Inputs'!$B$31+'Inputs'!$B$32)/1000+'Inputs'!$B$21)+'Inputs'!$B$9)^2+('Inputs'!$B$8/2)^2)-(((974-43)*MAX('Inputs'!$B$33,'Inputs'!$B$29+'Inputs'!$B$31+'Inputs'!$B$32,'Inputs'!$B$30+'Inputs'!$B$31+'Inputs'!$B$32)/1000+'Inputs'!$B$21))/SQRT((((974-43)*MAX('Inputs'!$B$33,'Inputs'!$B$29+'Inputs'!$B$31+'Inputs'!$B$32,'Inputs'!$B$30+'Inputs'!$B$31+'Inputs'!$B$32)/1000+'Inputs'!$B$21))^2+('Inputs'!$B$8/2)^2)))-'Results'!B7*(1-'Inputs'!$B$24)*(0.5*((((974-43)*MAX('Inputs'!$B$33,'Inputs'!$B$29+'Inputs'!$B$31+'Inputs'!$B$32,'Inputs'!$B$30+'Inputs'!$B$31+'Inputs'!$B$32)/1000+'Inputs'!$B$21+'Inputs'!$B$9+'Inputs'!$B$10)+'Inputs'!$B$7)/SQRT((((974-43)*MAX('Inputs'!$B$33,'Inputs'!$B$29+'Inputs'!$B$31+'Inputs'!$B$32,'Inputs'!$B$30+'Inputs'!$B$31+'Inputs'!$B$32)/1000+'Inputs'!$B$21+'Inputs'!$B$9+'Inputs'!$B$10)+'Inputs'!$B$7)^2+('Inputs'!$B$6/2)^2)-(((974-43)*MAX('Inputs'!$B$33,'Inputs'!$B$29+'Inputs'!$B$31+'Inputs'!$B$32,'Inputs'!$B$30+'Inputs'!$B$31+'Inputs'!$B$32)/1000+'Inputs'!$B$21+'Inputs'!$B$9+'Inputs'!$B$10))/SQRT((((974-43)*MAX('Inputs'!$B$33,'Inputs'!$B$29+'Inputs'!$B$31+'Inputs'!$B$32,'Inputs'!$B$30+'Inputs'!$B$31+'Inputs'!$B$32)/1000+'Inputs'!$B$21+'Inputs'!$B$9+'Inputs'!$B$10))^2+('Inputs'!$B$6/2)^2))))*'Results'!$B$8)+'Inputs'!$B$28*ABS((('Results'!C7*(1+'Inputs'!$B$24)*(0.5*((((974-43)*MAX('Inputs'!$B$33,'Inputs'!$B$29+'Inputs'!$B$31+'Inputs'!$B$32,'Inputs'!$B$30+'Inputs'!$B$31+'Inputs'!$B$32)/1000+'Inputs'!$B$21)+'Inputs'!$B$9)/SQRT((((974-43)*MAX('Inputs'!$B$33,'Inputs'!$B$29+'Inputs'!$B$31+'Inputs'!$B$32,'Inputs'!$B$30+'Inputs'!$B$31+'Inputs'!$B$32)/1000+'Inputs'!$B$21)+'Inputs'!$B$9)^2+('Inputs'!$B$8/2)^2)-(((974-43)*MAX('Inputs'!$B$33,'Inputs'!$B$29+'Inputs'!$B$31+'Inputs'!$B$32,'Inputs'!$B$30+'Inputs'!$B$31+'Inputs'!$B$32)/1000+'Inputs'!$B$21))/SQRT((((974-43)*MAX('Inputs'!$B$33,'Inputs'!$B$29+'Inputs'!$B$31+'Inputs'!$B$32,'Inputs'!$B$30+'Inputs'!$B$31+'Inputs'!$B$32)/1000+'Inputs'!$B$21))^2+('Inputs'!$B$8/2)^2)))-'Results'!B7*(1-'Inputs'!$B$24)*(0.5*((((974-43)*MAX('Inputs'!$B$33,'Inputs'!$B$29+'Inputs'!$B$31+'Inputs'!$B$32,'Inputs'!$B$30+'Inputs'!$B$31+'Inputs'!$B$32)/1000+'Inputs'!$B$21+'Inputs'!$B$9+'Inputs'!$B$10)+'Inputs'!$B$7)/SQRT((((974-43)*MAX('Inputs'!$B$33,'Inputs'!$B$29+'Inputs'!$B$31+'Inputs'!$B$32,'Inputs'!$B$30+'Inputs'!$B$31+'Inputs'!$B$32)/1000+'Inputs'!$B$21+'Inputs'!$B$9+'Inputs'!$B$10)+'Inputs'!$B$7)^2+('Inputs'!$B$6/2)^2)-(((974-43)*MAX('Inputs'!$B$33,'Inputs'!$B$29+'Inputs'!$B$31+'Inputs'!$B$32,'Inputs'!$B$30+'Inputs'!$B$31+'Inputs'!$B$32)/1000+'Inputs'!$B$21+'Inputs'!$B$9+'Inputs'!$B$10))/SQRT((((974-43)*MAX('Inputs'!$B$33,'Inputs'!$B$29+'Inputs'!$B$31+'Inputs'!$B$32,'Inputs'!$B$30+'Inputs'!$B$31+'Inputs'!$B$32)/1000+'Inputs'!$B$21+'Inputs'!$B$9+'Inputs'!$B$10))^2+('Inputs'!$B$6/2)^2))))*'Results'!$B$8))),"")</x:f>
        <x:v>0.4859447452145384</x:v>
      </x:c>
      <x:c r="P974" t="n">
        <x:f>IF(AND(MAX(J974,J973)&gt;0,J974&gt;J973+0.00000001),1,0)</x:f>
        <x:v>0</x:v>
      </x:c>
      <x:c r="Q974" t="n">
        <x:f>IF(AND(MAX(K974,K973)&gt;0,K974&gt;K973+0.00000001),1,0)</x:f>
        <x:v>0</x:v>
      </x:c>
      <x:c r="R974" t="n">
        <x:f>IF(AND(MAX(L974,L973)&gt;0,L974&gt;L973+0.00000001),1,0)</x:f>
        <x:v>0</x:v>
      </x:c>
      <x:c r="S974" t="n">
        <x:f>IF(AND(MAX(M974,M973)&gt;0,M974&gt;M973+0.00000001),1,0)</x:f>
        <x:v>0</x:v>
      </x:c>
      <x:c r="T974" t="n">
        <x:f>IF(AND(MAX(N974,N973)&gt;0,N974&gt;N973+0.00000001),1,0)</x:f>
        <x:v>0</x:v>
      </x:c>
      <x:c r="U974" t="n">
        <x:f>IF(AND(MAX(O974,O973)&gt;0,O974&gt;O973+0.00000001),1,0)</x:f>
        <x:v>0</x:v>
      </x:c>
    </x:row>
    <x:row r="975">
      <x:c r="J975" t="n">
        <x:f>IF(AND(ISNUMBER('Results'!B7),ISNUMBER('Results'!C7),ISNUMBER('Results'!$B$8),ISNUMBER('Inputs'!$B$6),ISNUMBER('Inputs'!$B$7),ISNUMBER('Inputs'!$B$8),ISNUMBER('Inputs'!$B$9),ISNUMBER('Inputs'!$B$10),ISNUMBER('Inputs'!$B$21),ISNUMBER('Inputs'!$B$24),ISNUMBER('Inputs'!$B$28)),(('Results'!B7*(0.5*((((975-43)*MAX('Inputs'!$B$33,'Inputs'!$B$29+'Inputs'!$B$31+'Inputs'!$B$32,'Inputs'!$B$30+'Inputs'!$B$31+'Inputs'!$B$32)/1000+'Inputs'!$B$21)+'Inputs'!$B$7)/SQRT((((975-43)*MAX('Inputs'!$B$33,'Inputs'!$B$29+'Inputs'!$B$31+'Inputs'!$B$32,'Inputs'!$B$30+'Inputs'!$B$31+'Inputs'!$B$32)/1000+'Inputs'!$B$21)+'Inputs'!$B$7)^2+('Inputs'!$B$6/2)^2)-(((975-43)*MAX('Inputs'!$B$33,'Inputs'!$B$29+'Inputs'!$B$31+'Inputs'!$B$32,'Inputs'!$B$30+'Inputs'!$B$31+'Inputs'!$B$32)/1000+'Inputs'!$B$21))/SQRT((((975-43)*MAX('Inputs'!$B$33,'Inputs'!$B$29+'Inputs'!$B$31+'Inputs'!$B$32,'Inputs'!$B$30+'Inputs'!$B$31+'Inputs'!$B$32)/1000+'Inputs'!$B$21))^2+('Inputs'!$B$6/2)^2)))-'Results'!C7*(0.5*((((975-43)*MAX('Inputs'!$B$33,'Inputs'!$B$29+'Inputs'!$B$31+'Inputs'!$B$32,'Inputs'!$B$30+'Inputs'!$B$31+'Inputs'!$B$32)/1000+'Inputs'!$B$21+'Inputs'!$B$7+'Inputs'!$B$10)+'Inputs'!$B$9)/SQRT((((975-43)*MAX('Inputs'!$B$33,'Inputs'!$B$29+'Inputs'!$B$31+'Inputs'!$B$32,'Inputs'!$B$30+'Inputs'!$B$31+'Inputs'!$B$32)/1000+'Inputs'!$B$21+'Inputs'!$B$7+'Inputs'!$B$10)+'Inputs'!$B$9)^2+('Inputs'!$B$8/2)^2)-(((975-43)*MAX('Inputs'!$B$33,'Inputs'!$B$29+'Inputs'!$B$31+'Inputs'!$B$32,'Inputs'!$B$30+'Inputs'!$B$31+'Inputs'!$B$32)/1000+'Inputs'!$B$21+'Inputs'!$B$7+'Inputs'!$B$10))/SQRT((((975-43)*MAX('Inputs'!$B$33,'Inputs'!$B$29+'Inputs'!$B$31+'Inputs'!$B$32,'Inputs'!$B$30+'Inputs'!$B$31+'Inputs'!$B$32)/1000+'Inputs'!$B$21+'Inputs'!$B$7+'Inputs'!$B$10))^2+('Inputs'!$B$8/2)^2))))*'Results'!$B$8),"")</x:f>
        <x:v>0.4616123033976491</x:v>
      </x:c>
      <x:c r="K975" t="n">
        <x:f>IF(AND(ISNUMBER('Results'!B7),ISNUMBER('Results'!C7),ISNUMBER('Results'!$B$8),ISNUMBER('Inputs'!$B$6),ISNUMBER('Inputs'!$B$7),ISNUMBER('Inputs'!$B$8),ISNUMBER('Inputs'!$B$9),ISNUMBER('Inputs'!$B$10),ISNUMBER('Inputs'!$B$21),ISNUMBER('Inputs'!$B$24),ISNUMBER('Inputs'!$B$28)),((('Results'!B7*(1-'Inputs'!$B$24)*(0.5*((((975-43)*MAX('Inputs'!$B$33,'Inputs'!$B$29+'Inputs'!$B$31+'Inputs'!$B$32,'Inputs'!$B$30+'Inputs'!$B$31+'Inputs'!$B$32)/1000+'Inputs'!$B$21)+'Inputs'!$B$7)/SQRT((((975-43)*MAX('Inputs'!$B$33,'Inputs'!$B$29+'Inputs'!$B$31+'Inputs'!$B$32,'Inputs'!$B$30+'Inputs'!$B$31+'Inputs'!$B$32)/1000+'Inputs'!$B$21)+'Inputs'!$B$7)^2+('Inputs'!$B$6/2)^2)-(((975-43)*MAX('Inputs'!$B$33,'Inputs'!$B$29+'Inputs'!$B$31+'Inputs'!$B$32,'Inputs'!$B$30+'Inputs'!$B$31+'Inputs'!$B$32)/1000+'Inputs'!$B$21))/SQRT((((975-43)*MAX('Inputs'!$B$33,'Inputs'!$B$29+'Inputs'!$B$31+'Inputs'!$B$32,'Inputs'!$B$30+'Inputs'!$B$31+'Inputs'!$B$32)/1000+'Inputs'!$B$21))^2+('Inputs'!$B$6/2)^2)))-'Results'!C7*(1+'Inputs'!$B$24)*(0.5*((((975-43)*MAX('Inputs'!$B$33,'Inputs'!$B$29+'Inputs'!$B$31+'Inputs'!$B$32,'Inputs'!$B$30+'Inputs'!$B$31+'Inputs'!$B$32)/1000+'Inputs'!$B$21+'Inputs'!$B$7+'Inputs'!$B$10)+'Inputs'!$B$9)/SQRT((((975-43)*MAX('Inputs'!$B$33,'Inputs'!$B$29+'Inputs'!$B$31+'Inputs'!$B$32,'Inputs'!$B$30+'Inputs'!$B$31+'Inputs'!$B$32)/1000+'Inputs'!$B$21+'Inputs'!$B$7+'Inputs'!$B$10)+'Inputs'!$B$9)^2+('Inputs'!$B$8/2)^2)-(((975-43)*MAX('Inputs'!$B$33,'Inputs'!$B$29+'Inputs'!$B$31+'Inputs'!$B$32,'Inputs'!$B$30+'Inputs'!$B$31+'Inputs'!$B$32)/1000+'Inputs'!$B$21+'Inputs'!$B$7+'Inputs'!$B$10))/SQRT((((975-43)*MAX('Inputs'!$B$33,'Inputs'!$B$29+'Inputs'!$B$31+'Inputs'!$B$32,'Inputs'!$B$30+'Inputs'!$B$31+'Inputs'!$B$32)/1000+'Inputs'!$B$21+'Inputs'!$B$7+'Inputs'!$B$10))^2+('Inputs'!$B$8/2)^2))))*'Results'!$B$8)-'Inputs'!$B$28*ABS((('Results'!B7*(1-'Inputs'!$B$24)*(0.5*((((975-43)*MAX('Inputs'!$B$33,'Inputs'!$B$29+'Inputs'!$B$31+'Inputs'!$B$32,'Inputs'!$B$30+'Inputs'!$B$31+'Inputs'!$B$32)/1000+'Inputs'!$B$21)+'Inputs'!$B$7)/SQRT((((975-43)*MAX('Inputs'!$B$33,'Inputs'!$B$29+'Inputs'!$B$31+'Inputs'!$B$32,'Inputs'!$B$30+'Inputs'!$B$31+'Inputs'!$B$32)/1000+'Inputs'!$B$21)+'Inputs'!$B$7)^2+('Inputs'!$B$6/2)^2)-(((975-43)*MAX('Inputs'!$B$33,'Inputs'!$B$29+'Inputs'!$B$31+'Inputs'!$B$32,'Inputs'!$B$30+'Inputs'!$B$31+'Inputs'!$B$32)/1000+'Inputs'!$B$21))/SQRT((((975-43)*MAX('Inputs'!$B$33,'Inputs'!$B$29+'Inputs'!$B$31+'Inputs'!$B$32,'Inputs'!$B$30+'Inputs'!$B$31+'Inputs'!$B$32)/1000+'Inputs'!$B$21))^2+('Inputs'!$B$6/2)^2)))-'Results'!C7*(1+'Inputs'!$B$24)*(0.5*((((975-43)*MAX('Inputs'!$B$33,'Inputs'!$B$29+'Inputs'!$B$31+'Inputs'!$B$32,'Inputs'!$B$30+'Inputs'!$B$31+'Inputs'!$B$32)/1000+'Inputs'!$B$21+'Inputs'!$B$7+'Inputs'!$B$10)+'Inputs'!$B$9)/SQRT((((975-43)*MAX('Inputs'!$B$33,'Inputs'!$B$29+'Inputs'!$B$31+'Inputs'!$B$32,'Inputs'!$B$30+'Inputs'!$B$31+'Inputs'!$B$32)/1000+'Inputs'!$B$21+'Inputs'!$B$7+'Inputs'!$B$10)+'Inputs'!$B$9)^2+('Inputs'!$B$8/2)^2)-(((975-43)*MAX('Inputs'!$B$33,'Inputs'!$B$29+'Inputs'!$B$31+'Inputs'!$B$32,'Inputs'!$B$30+'Inputs'!$B$31+'Inputs'!$B$32)/1000+'Inputs'!$B$21+'Inputs'!$B$7+'Inputs'!$B$10))/SQRT((((975-43)*MAX('Inputs'!$B$33,'Inputs'!$B$29+'Inputs'!$B$31+'Inputs'!$B$32,'Inputs'!$B$30+'Inputs'!$B$31+'Inputs'!$B$32)/1000+'Inputs'!$B$21+'Inputs'!$B$7+'Inputs'!$B$10))^2+('Inputs'!$B$8/2)^2))))*'Results'!$B$8))),"")</x:f>
        <x:v>0.38922226000823024</x:v>
      </x:c>
      <x:c r="L975" t="n">
        <x:f>IF(AND(ISNUMBER('Results'!B7),ISNUMBER('Results'!C7),ISNUMBER('Results'!$B$8),ISNUMBER('Inputs'!$B$6),ISNUMBER('Inputs'!$B$7),ISNUMBER('Inputs'!$B$8),ISNUMBER('Inputs'!$B$9),ISNUMBER('Inputs'!$B$10),ISNUMBER('Inputs'!$B$21),ISNUMBER('Inputs'!$B$24),ISNUMBER('Inputs'!$B$28)),((('Results'!B7*(1+'Inputs'!$B$24)*(0.5*((((975-43)*MAX('Inputs'!$B$33,'Inputs'!$B$29+'Inputs'!$B$31+'Inputs'!$B$32,'Inputs'!$B$30+'Inputs'!$B$31+'Inputs'!$B$32)/1000+'Inputs'!$B$21)+'Inputs'!$B$7)/SQRT((((975-43)*MAX('Inputs'!$B$33,'Inputs'!$B$29+'Inputs'!$B$31+'Inputs'!$B$32,'Inputs'!$B$30+'Inputs'!$B$31+'Inputs'!$B$32)/1000+'Inputs'!$B$21)+'Inputs'!$B$7)^2+('Inputs'!$B$6/2)^2)-(((975-43)*MAX('Inputs'!$B$33,'Inputs'!$B$29+'Inputs'!$B$31+'Inputs'!$B$32,'Inputs'!$B$30+'Inputs'!$B$31+'Inputs'!$B$32)/1000+'Inputs'!$B$21))/SQRT((((975-43)*MAX('Inputs'!$B$33,'Inputs'!$B$29+'Inputs'!$B$31+'Inputs'!$B$32,'Inputs'!$B$30+'Inputs'!$B$31+'Inputs'!$B$32)/1000+'Inputs'!$B$21))^2+('Inputs'!$B$6/2)^2)))-'Results'!C7*(1-'Inputs'!$B$24)*(0.5*((((975-43)*MAX('Inputs'!$B$33,'Inputs'!$B$29+'Inputs'!$B$31+'Inputs'!$B$32,'Inputs'!$B$30+'Inputs'!$B$31+'Inputs'!$B$32)/1000+'Inputs'!$B$21+'Inputs'!$B$7+'Inputs'!$B$10)+'Inputs'!$B$9)/SQRT((((975-43)*MAX('Inputs'!$B$33,'Inputs'!$B$29+'Inputs'!$B$31+'Inputs'!$B$32,'Inputs'!$B$30+'Inputs'!$B$31+'Inputs'!$B$32)/1000+'Inputs'!$B$21+'Inputs'!$B$7+'Inputs'!$B$10)+'Inputs'!$B$9)^2+('Inputs'!$B$8/2)^2)-(((975-43)*MAX('Inputs'!$B$33,'Inputs'!$B$29+'Inputs'!$B$31+'Inputs'!$B$32,'Inputs'!$B$30+'Inputs'!$B$31+'Inputs'!$B$32)/1000+'Inputs'!$B$21+'Inputs'!$B$7+'Inputs'!$B$10))/SQRT((((975-43)*MAX('Inputs'!$B$33,'Inputs'!$B$29+'Inputs'!$B$31+'Inputs'!$B$32,'Inputs'!$B$30+'Inputs'!$B$31+'Inputs'!$B$32)/1000+'Inputs'!$B$21+'Inputs'!$B$7+'Inputs'!$B$10))^2+('Inputs'!$B$8/2)^2))))*'Results'!$B$8)+'Inputs'!$B$28*ABS((('Results'!B7*(1+'Inputs'!$B$24)*(0.5*((((975-43)*MAX('Inputs'!$B$33,'Inputs'!$B$29+'Inputs'!$B$31+'Inputs'!$B$32,'Inputs'!$B$30+'Inputs'!$B$31+'Inputs'!$B$32)/1000+'Inputs'!$B$21)+'Inputs'!$B$7)/SQRT((((975-43)*MAX('Inputs'!$B$33,'Inputs'!$B$29+'Inputs'!$B$31+'Inputs'!$B$32,'Inputs'!$B$30+'Inputs'!$B$31+'Inputs'!$B$32)/1000+'Inputs'!$B$21)+'Inputs'!$B$7)^2+('Inputs'!$B$6/2)^2)-(((975-43)*MAX('Inputs'!$B$33,'Inputs'!$B$29+'Inputs'!$B$31+'Inputs'!$B$32,'Inputs'!$B$30+'Inputs'!$B$31+'Inputs'!$B$32)/1000+'Inputs'!$B$21))/SQRT((((975-43)*MAX('Inputs'!$B$33,'Inputs'!$B$29+'Inputs'!$B$31+'Inputs'!$B$32,'Inputs'!$B$30+'Inputs'!$B$31+'Inputs'!$B$32)/1000+'Inputs'!$B$21))^2+('Inputs'!$B$6/2)^2)))-'Results'!C7*(1-'Inputs'!$B$24)*(0.5*((((975-43)*MAX('Inputs'!$B$33,'Inputs'!$B$29+'Inputs'!$B$31+'Inputs'!$B$32,'Inputs'!$B$30+'Inputs'!$B$31+'Inputs'!$B$32)/1000+'Inputs'!$B$21+'Inputs'!$B$7+'Inputs'!$B$10)+'Inputs'!$B$9)/SQRT((((975-43)*MAX('Inputs'!$B$33,'Inputs'!$B$29+'Inputs'!$B$31+'Inputs'!$B$32,'Inputs'!$B$30+'Inputs'!$B$31+'Inputs'!$B$32)/1000+'Inputs'!$B$21+'Inputs'!$B$7+'Inputs'!$B$10)+'Inputs'!$B$9)^2+('Inputs'!$B$8/2)^2)-(((975-43)*MAX('Inputs'!$B$33,'Inputs'!$B$29+'Inputs'!$B$31+'Inputs'!$B$32,'Inputs'!$B$30+'Inputs'!$B$31+'Inputs'!$B$32)/1000+'Inputs'!$B$21+'Inputs'!$B$7+'Inputs'!$B$10))/SQRT((((975-43)*MAX('Inputs'!$B$33,'Inputs'!$B$29+'Inputs'!$B$31+'Inputs'!$B$32,'Inputs'!$B$30+'Inputs'!$B$31+'Inputs'!$B$32)/1000+'Inputs'!$B$21+'Inputs'!$B$7+'Inputs'!$B$10))^2+('Inputs'!$B$8/2)^2))))*'Results'!$B$8))),"")</x:f>
        <x:v>0.5391928129154406</x:v>
      </x:c>
      <x:c r="M975" t="n">
        <x:f>IF(AND(ISNUMBER('Results'!C7),ISNUMBER('Results'!B7),ISNUMBER('Results'!$B$8),ISNUMBER('Inputs'!$B$6),ISNUMBER('Inputs'!$B$7),ISNUMBER('Inputs'!$B$8),ISNUMBER('Inputs'!$B$9),ISNUMBER('Inputs'!$B$10),ISNUMBER('Inputs'!$B$21),ISNUMBER('Inputs'!$B$24),ISNUMBER('Inputs'!$B$28)),(('Results'!C7*(0.5*((((975-43)*MAX('Inputs'!$B$33,'Inputs'!$B$29+'Inputs'!$B$31+'Inputs'!$B$32,'Inputs'!$B$30+'Inputs'!$B$31+'Inputs'!$B$32)/1000+'Inputs'!$B$21)+'Inputs'!$B$9)/SQRT((((975-43)*MAX('Inputs'!$B$33,'Inputs'!$B$29+'Inputs'!$B$31+'Inputs'!$B$32,'Inputs'!$B$30+'Inputs'!$B$31+'Inputs'!$B$32)/1000+'Inputs'!$B$21)+'Inputs'!$B$9)^2+('Inputs'!$B$8/2)^2)-(((975-43)*MAX('Inputs'!$B$33,'Inputs'!$B$29+'Inputs'!$B$31+'Inputs'!$B$32,'Inputs'!$B$30+'Inputs'!$B$31+'Inputs'!$B$32)/1000+'Inputs'!$B$21))/SQRT((((975-43)*MAX('Inputs'!$B$33,'Inputs'!$B$29+'Inputs'!$B$31+'Inputs'!$B$32,'Inputs'!$B$30+'Inputs'!$B$31+'Inputs'!$B$32)/1000+'Inputs'!$B$21))^2+('Inputs'!$B$8/2)^2)))-'Results'!B7*(0.5*((((975-43)*MAX('Inputs'!$B$33,'Inputs'!$B$29+'Inputs'!$B$31+'Inputs'!$B$32,'Inputs'!$B$30+'Inputs'!$B$31+'Inputs'!$B$32)/1000+'Inputs'!$B$21+'Inputs'!$B$9+'Inputs'!$B$10)+'Inputs'!$B$7)/SQRT((((975-43)*MAX('Inputs'!$B$33,'Inputs'!$B$29+'Inputs'!$B$31+'Inputs'!$B$32,'Inputs'!$B$30+'Inputs'!$B$31+'Inputs'!$B$32)/1000+'Inputs'!$B$21+'Inputs'!$B$9+'Inputs'!$B$10)+'Inputs'!$B$7)^2+('Inputs'!$B$6/2)^2)-(((975-43)*MAX('Inputs'!$B$33,'Inputs'!$B$29+'Inputs'!$B$31+'Inputs'!$B$32,'Inputs'!$B$30+'Inputs'!$B$31+'Inputs'!$B$32)/1000+'Inputs'!$B$21+'Inputs'!$B$9+'Inputs'!$B$10))/SQRT((((975-43)*MAX('Inputs'!$B$33,'Inputs'!$B$29+'Inputs'!$B$31+'Inputs'!$B$32,'Inputs'!$B$30+'Inputs'!$B$31+'Inputs'!$B$32)/1000+'Inputs'!$B$21+'Inputs'!$B$9+'Inputs'!$B$10))^2+('Inputs'!$B$6/2)^2))))*'Results'!$B$8),"")</x:f>
        <x:v>0.4092722093056023</x:v>
      </x:c>
      <x:c r="N975" t="n">
        <x:f>IF(AND(ISNUMBER('Results'!C7),ISNUMBER('Results'!B7),ISNUMBER('Results'!$B$8),ISNUMBER('Inputs'!$B$6),ISNUMBER('Inputs'!$B$7),ISNUMBER('Inputs'!$B$8),ISNUMBER('Inputs'!$B$9),ISNUMBER('Inputs'!$B$10),ISNUMBER('Inputs'!$B$21),ISNUMBER('Inputs'!$B$24),ISNUMBER('Inputs'!$B$28)),((('Results'!C7*(1-'Inputs'!$B$24)*(0.5*((((975-43)*MAX('Inputs'!$B$33,'Inputs'!$B$29+'Inputs'!$B$31+'Inputs'!$B$32,'Inputs'!$B$30+'Inputs'!$B$31+'Inputs'!$B$32)/1000+'Inputs'!$B$21)+'Inputs'!$B$9)/SQRT((((975-43)*MAX('Inputs'!$B$33,'Inputs'!$B$29+'Inputs'!$B$31+'Inputs'!$B$32,'Inputs'!$B$30+'Inputs'!$B$31+'Inputs'!$B$32)/1000+'Inputs'!$B$21)+'Inputs'!$B$9)^2+('Inputs'!$B$8/2)^2)-(((975-43)*MAX('Inputs'!$B$33,'Inputs'!$B$29+'Inputs'!$B$31+'Inputs'!$B$32,'Inputs'!$B$30+'Inputs'!$B$31+'Inputs'!$B$32)/1000+'Inputs'!$B$21))/SQRT((((975-43)*MAX('Inputs'!$B$33,'Inputs'!$B$29+'Inputs'!$B$31+'Inputs'!$B$32,'Inputs'!$B$30+'Inputs'!$B$31+'Inputs'!$B$32)/1000+'Inputs'!$B$21))^2+('Inputs'!$B$8/2)^2)))-'Results'!B7*(1+'Inputs'!$B$24)*(0.5*((((975-43)*MAX('Inputs'!$B$33,'Inputs'!$B$29+'Inputs'!$B$31+'Inputs'!$B$32,'Inputs'!$B$30+'Inputs'!$B$31+'Inputs'!$B$32)/1000+'Inputs'!$B$21+'Inputs'!$B$9+'Inputs'!$B$10)+'Inputs'!$B$7)/SQRT((((975-43)*MAX('Inputs'!$B$33,'Inputs'!$B$29+'Inputs'!$B$31+'Inputs'!$B$32,'Inputs'!$B$30+'Inputs'!$B$31+'Inputs'!$B$32)/1000+'Inputs'!$B$21+'Inputs'!$B$9+'Inputs'!$B$10)+'Inputs'!$B$7)^2+('Inputs'!$B$6/2)^2)-(((975-43)*MAX('Inputs'!$B$33,'Inputs'!$B$29+'Inputs'!$B$31+'Inputs'!$B$32,'Inputs'!$B$30+'Inputs'!$B$31+'Inputs'!$B$32)/1000+'Inputs'!$B$21+'Inputs'!$B$9+'Inputs'!$B$10))/SQRT((((975-43)*MAX('Inputs'!$B$33,'Inputs'!$B$29+'Inputs'!$B$31+'Inputs'!$B$32,'Inputs'!$B$30+'Inputs'!$B$31+'Inputs'!$B$32)/1000+'Inputs'!$B$21+'Inputs'!$B$9+'Inputs'!$B$10))^2+('Inputs'!$B$6/2)^2))))*'Results'!$B$8)-'Inputs'!$B$28*ABS((('Results'!C7*(1-'Inputs'!$B$24)*(0.5*((((975-43)*MAX('Inputs'!$B$33,'Inputs'!$B$29+'Inputs'!$B$31+'Inputs'!$B$32,'Inputs'!$B$30+'Inputs'!$B$31+'Inputs'!$B$32)/1000+'Inputs'!$B$21)+'Inputs'!$B$9)/SQRT((((975-43)*MAX('Inputs'!$B$33,'Inputs'!$B$29+'Inputs'!$B$31+'Inputs'!$B$32,'Inputs'!$B$30+'Inputs'!$B$31+'Inputs'!$B$32)/1000+'Inputs'!$B$21)+'Inputs'!$B$9)^2+('Inputs'!$B$8/2)^2)-(((975-43)*MAX('Inputs'!$B$33,'Inputs'!$B$29+'Inputs'!$B$31+'Inputs'!$B$32,'Inputs'!$B$30+'Inputs'!$B$31+'Inputs'!$B$32)/1000+'Inputs'!$B$21))/SQRT((((975-43)*MAX('Inputs'!$B$33,'Inputs'!$B$29+'Inputs'!$B$31+'Inputs'!$B$32,'Inputs'!$B$30+'Inputs'!$B$31+'Inputs'!$B$32)/1000+'Inputs'!$B$21))^2+('Inputs'!$B$8/2)^2)))-'Results'!B7*(1+'Inputs'!$B$24)*(0.5*((((975-43)*MAX('Inputs'!$B$33,'Inputs'!$B$29+'Inputs'!$B$31+'Inputs'!$B$32,'Inputs'!$B$30+'Inputs'!$B$31+'Inputs'!$B$32)/1000+'Inputs'!$B$21+'Inputs'!$B$9+'Inputs'!$B$10)+'Inputs'!$B$7)/SQRT((((975-43)*MAX('Inputs'!$B$33,'Inputs'!$B$29+'Inputs'!$B$31+'Inputs'!$B$32,'Inputs'!$B$30+'Inputs'!$B$31+'Inputs'!$B$32)/1000+'Inputs'!$B$21+'Inputs'!$B$9+'Inputs'!$B$10)+'Inputs'!$B$7)^2+('Inputs'!$B$6/2)^2)-(((975-43)*MAX('Inputs'!$B$33,'Inputs'!$B$29+'Inputs'!$B$31+'Inputs'!$B$32,'Inputs'!$B$30+'Inputs'!$B$31+'Inputs'!$B$32)/1000+'Inputs'!$B$21+'Inputs'!$B$9+'Inputs'!$B$10))/SQRT((((975-43)*MAX('Inputs'!$B$33,'Inputs'!$B$29+'Inputs'!$B$31+'Inputs'!$B$32,'Inputs'!$B$30+'Inputs'!$B$31+'Inputs'!$B$32)/1000+'Inputs'!$B$21+'Inputs'!$B$9+'Inputs'!$B$10))^2+('Inputs'!$B$6/2)^2))))*'Results'!$B$8))),"")</x:f>
        <x:v>0.3396663100727186</x:v>
      </x:c>
      <x:c r="O975" t="n">
        <x:f>IF(AND(ISNUMBER('Results'!C7),ISNUMBER('Results'!B7),ISNUMBER('Results'!$B$8),ISNUMBER('Inputs'!$B$6),ISNUMBER('Inputs'!$B$7),ISNUMBER('Inputs'!$B$8),ISNUMBER('Inputs'!$B$9),ISNUMBER('Inputs'!$B$10),ISNUMBER('Inputs'!$B$21),ISNUMBER('Inputs'!$B$24),ISNUMBER('Inputs'!$B$28)),((('Results'!C7*(1+'Inputs'!$B$24)*(0.5*((((975-43)*MAX('Inputs'!$B$33,'Inputs'!$B$29+'Inputs'!$B$31+'Inputs'!$B$32,'Inputs'!$B$30+'Inputs'!$B$31+'Inputs'!$B$32)/1000+'Inputs'!$B$21)+'Inputs'!$B$9)/SQRT((((975-43)*MAX('Inputs'!$B$33,'Inputs'!$B$29+'Inputs'!$B$31+'Inputs'!$B$32,'Inputs'!$B$30+'Inputs'!$B$31+'Inputs'!$B$32)/1000+'Inputs'!$B$21)+'Inputs'!$B$9)^2+('Inputs'!$B$8/2)^2)-(((975-43)*MAX('Inputs'!$B$33,'Inputs'!$B$29+'Inputs'!$B$31+'Inputs'!$B$32,'Inputs'!$B$30+'Inputs'!$B$31+'Inputs'!$B$32)/1000+'Inputs'!$B$21))/SQRT((((975-43)*MAX('Inputs'!$B$33,'Inputs'!$B$29+'Inputs'!$B$31+'Inputs'!$B$32,'Inputs'!$B$30+'Inputs'!$B$31+'Inputs'!$B$32)/1000+'Inputs'!$B$21))^2+('Inputs'!$B$8/2)^2)))-'Results'!B7*(1-'Inputs'!$B$24)*(0.5*((((975-43)*MAX('Inputs'!$B$33,'Inputs'!$B$29+'Inputs'!$B$31+'Inputs'!$B$32,'Inputs'!$B$30+'Inputs'!$B$31+'Inputs'!$B$32)/1000+'Inputs'!$B$21+'Inputs'!$B$9+'Inputs'!$B$10)+'Inputs'!$B$7)/SQRT((((975-43)*MAX('Inputs'!$B$33,'Inputs'!$B$29+'Inputs'!$B$31+'Inputs'!$B$32,'Inputs'!$B$30+'Inputs'!$B$31+'Inputs'!$B$32)/1000+'Inputs'!$B$21+'Inputs'!$B$9+'Inputs'!$B$10)+'Inputs'!$B$7)^2+('Inputs'!$B$6/2)^2)-(((975-43)*MAX('Inputs'!$B$33,'Inputs'!$B$29+'Inputs'!$B$31+'Inputs'!$B$32,'Inputs'!$B$30+'Inputs'!$B$31+'Inputs'!$B$32)/1000+'Inputs'!$B$21+'Inputs'!$B$9+'Inputs'!$B$10))/SQRT((((975-43)*MAX('Inputs'!$B$33,'Inputs'!$B$29+'Inputs'!$B$31+'Inputs'!$B$32,'Inputs'!$B$30+'Inputs'!$B$31+'Inputs'!$B$32)/1000+'Inputs'!$B$21+'Inputs'!$B$9+'Inputs'!$B$10))^2+('Inputs'!$B$6/2)^2))))*'Results'!$B$8)+'Inputs'!$B$28*ABS((('Results'!C7*(1+'Inputs'!$B$24)*(0.5*((((975-43)*MAX('Inputs'!$B$33,'Inputs'!$B$29+'Inputs'!$B$31+'Inputs'!$B$32,'Inputs'!$B$30+'Inputs'!$B$31+'Inputs'!$B$32)/1000+'Inputs'!$B$21)+'Inputs'!$B$9)/SQRT((((975-43)*MAX('Inputs'!$B$33,'Inputs'!$B$29+'Inputs'!$B$31+'Inputs'!$B$32,'Inputs'!$B$30+'Inputs'!$B$31+'Inputs'!$B$32)/1000+'Inputs'!$B$21)+'Inputs'!$B$9)^2+('Inputs'!$B$8/2)^2)-(((975-43)*MAX('Inputs'!$B$33,'Inputs'!$B$29+'Inputs'!$B$31+'Inputs'!$B$32,'Inputs'!$B$30+'Inputs'!$B$31+'Inputs'!$B$32)/1000+'Inputs'!$B$21))/SQRT((((975-43)*MAX('Inputs'!$B$33,'Inputs'!$B$29+'Inputs'!$B$31+'Inputs'!$B$32,'Inputs'!$B$30+'Inputs'!$B$31+'Inputs'!$B$32)/1000+'Inputs'!$B$21))^2+('Inputs'!$B$8/2)^2)))-'Results'!B7*(1-'Inputs'!$B$24)*(0.5*((((975-43)*MAX('Inputs'!$B$33,'Inputs'!$B$29+'Inputs'!$B$31+'Inputs'!$B$32,'Inputs'!$B$30+'Inputs'!$B$31+'Inputs'!$B$32)/1000+'Inputs'!$B$21+'Inputs'!$B$9+'Inputs'!$B$10)+'Inputs'!$B$7)/SQRT((((975-43)*MAX('Inputs'!$B$33,'Inputs'!$B$29+'Inputs'!$B$31+'Inputs'!$B$32,'Inputs'!$B$30+'Inputs'!$B$31+'Inputs'!$B$32)/1000+'Inputs'!$B$21+'Inputs'!$B$9+'Inputs'!$B$10)+'Inputs'!$B$7)^2+('Inputs'!$B$6/2)^2)-(((975-43)*MAX('Inputs'!$B$33,'Inputs'!$B$29+'Inputs'!$B$31+'Inputs'!$B$32,'Inputs'!$B$30+'Inputs'!$B$31+'Inputs'!$B$32)/1000+'Inputs'!$B$21+'Inputs'!$B$9+'Inputs'!$B$10))/SQRT((((975-43)*MAX('Inputs'!$B$33,'Inputs'!$B$29+'Inputs'!$B$31+'Inputs'!$B$32,'Inputs'!$B$30+'Inputs'!$B$31+'Inputs'!$B$32)/1000+'Inputs'!$B$21+'Inputs'!$B$9+'Inputs'!$B$10))^2+('Inputs'!$B$6/2)^2))))*'Results'!$B$8))),"")</x:f>
        <x:v>0.48405098104033917</x:v>
      </x:c>
      <x:c r="P975" t="n">
        <x:f>IF(AND(MAX(J975,J974)&gt;0,J975&gt;J974+0.00000001),1,0)</x:f>
        <x:v>0</x:v>
      </x:c>
      <x:c r="Q975" t="n">
        <x:f>IF(AND(MAX(K975,K974)&gt;0,K975&gt;K974+0.00000001),1,0)</x:f>
        <x:v>0</x:v>
      </x:c>
      <x:c r="R975" t="n">
        <x:f>IF(AND(MAX(L975,L974)&gt;0,L975&gt;L974+0.00000001),1,0)</x:f>
        <x:v>0</x:v>
      </x:c>
      <x:c r="S975" t="n">
        <x:f>IF(AND(MAX(M975,M974)&gt;0,M975&gt;M974+0.00000001),1,0)</x:f>
        <x:v>0</x:v>
      </x:c>
      <x:c r="T975" t="n">
        <x:f>IF(AND(MAX(N975,N974)&gt;0,N975&gt;N974+0.00000001),1,0)</x:f>
        <x:v>0</x:v>
      </x:c>
      <x:c r="U975" t="n">
        <x:f>IF(AND(MAX(O975,O974)&gt;0,O975&gt;O974+0.00000001),1,0)</x:f>
        <x:v>0</x:v>
      </x:c>
    </x:row>
    <x:row r="976">
      <x:c r="J976" t="n">
        <x:f>IF(AND(ISNUMBER('Results'!B7),ISNUMBER('Results'!C7),ISNUMBER('Results'!$B$8),ISNUMBER('Inputs'!$B$6),ISNUMBER('Inputs'!$B$7),ISNUMBER('Inputs'!$B$8),ISNUMBER('Inputs'!$B$9),ISNUMBER('Inputs'!$B$10),ISNUMBER('Inputs'!$B$21),ISNUMBER('Inputs'!$B$24),ISNUMBER('Inputs'!$B$28)),(('Results'!B7*(0.5*((((976-43)*MAX('Inputs'!$B$33,'Inputs'!$B$29+'Inputs'!$B$31+'Inputs'!$B$32,'Inputs'!$B$30+'Inputs'!$B$31+'Inputs'!$B$32)/1000+'Inputs'!$B$21)+'Inputs'!$B$7)/SQRT((((976-43)*MAX('Inputs'!$B$33,'Inputs'!$B$29+'Inputs'!$B$31+'Inputs'!$B$32,'Inputs'!$B$30+'Inputs'!$B$31+'Inputs'!$B$32)/1000+'Inputs'!$B$21)+'Inputs'!$B$7)^2+('Inputs'!$B$6/2)^2)-(((976-43)*MAX('Inputs'!$B$33,'Inputs'!$B$29+'Inputs'!$B$31+'Inputs'!$B$32,'Inputs'!$B$30+'Inputs'!$B$31+'Inputs'!$B$32)/1000+'Inputs'!$B$21))/SQRT((((976-43)*MAX('Inputs'!$B$33,'Inputs'!$B$29+'Inputs'!$B$31+'Inputs'!$B$32,'Inputs'!$B$30+'Inputs'!$B$31+'Inputs'!$B$32)/1000+'Inputs'!$B$21))^2+('Inputs'!$B$6/2)^2)))-'Results'!C7*(0.5*((((976-43)*MAX('Inputs'!$B$33,'Inputs'!$B$29+'Inputs'!$B$31+'Inputs'!$B$32,'Inputs'!$B$30+'Inputs'!$B$31+'Inputs'!$B$32)/1000+'Inputs'!$B$21+'Inputs'!$B$7+'Inputs'!$B$10)+'Inputs'!$B$9)/SQRT((((976-43)*MAX('Inputs'!$B$33,'Inputs'!$B$29+'Inputs'!$B$31+'Inputs'!$B$32,'Inputs'!$B$30+'Inputs'!$B$31+'Inputs'!$B$32)/1000+'Inputs'!$B$21+'Inputs'!$B$7+'Inputs'!$B$10)+'Inputs'!$B$9)^2+('Inputs'!$B$8/2)^2)-(((976-43)*MAX('Inputs'!$B$33,'Inputs'!$B$29+'Inputs'!$B$31+'Inputs'!$B$32,'Inputs'!$B$30+'Inputs'!$B$31+'Inputs'!$B$32)/1000+'Inputs'!$B$21+'Inputs'!$B$7+'Inputs'!$B$10))/SQRT((((976-43)*MAX('Inputs'!$B$33,'Inputs'!$B$29+'Inputs'!$B$31+'Inputs'!$B$32,'Inputs'!$B$30+'Inputs'!$B$31+'Inputs'!$B$32)/1000+'Inputs'!$B$21+'Inputs'!$B$7+'Inputs'!$B$10))^2+('Inputs'!$B$8/2)^2))))*'Results'!$B$8),"")</x:f>
        <x:v>0.4598156290275785</x:v>
      </x:c>
      <x:c r="K976" t="n">
        <x:f>IF(AND(ISNUMBER('Results'!B7),ISNUMBER('Results'!C7),ISNUMBER('Results'!$B$8),ISNUMBER('Inputs'!$B$6),ISNUMBER('Inputs'!$B$7),ISNUMBER('Inputs'!$B$8),ISNUMBER('Inputs'!$B$9),ISNUMBER('Inputs'!$B$10),ISNUMBER('Inputs'!$B$21),ISNUMBER('Inputs'!$B$24),ISNUMBER('Inputs'!$B$28)),((('Results'!B7*(1-'Inputs'!$B$24)*(0.5*((((976-43)*MAX('Inputs'!$B$33,'Inputs'!$B$29+'Inputs'!$B$31+'Inputs'!$B$32,'Inputs'!$B$30+'Inputs'!$B$31+'Inputs'!$B$32)/1000+'Inputs'!$B$21)+'Inputs'!$B$7)/SQRT((((976-43)*MAX('Inputs'!$B$33,'Inputs'!$B$29+'Inputs'!$B$31+'Inputs'!$B$32,'Inputs'!$B$30+'Inputs'!$B$31+'Inputs'!$B$32)/1000+'Inputs'!$B$21)+'Inputs'!$B$7)^2+('Inputs'!$B$6/2)^2)-(((976-43)*MAX('Inputs'!$B$33,'Inputs'!$B$29+'Inputs'!$B$31+'Inputs'!$B$32,'Inputs'!$B$30+'Inputs'!$B$31+'Inputs'!$B$32)/1000+'Inputs'!$B$21))/SQRT((((976-43)*MAX('Inputs'!$B$33,'Inputs'!$B$29+'Inputs'!$B$31+'Inputs'!$B$32,'Inputs'!$B$30+'Inputs'!$B$31+'Inputs'!$B$32)/1000+'Inputs'!$B$21))^2+('Inputs'!$B$6/2)^2)))-'Results'!C7*(1+'Inputs'!$B$24)*(0.5*((((976-43)*MAX('Inputs'!$B$33,'Inputs'!$B$29+'Inputs'!$B$31+'Inputs'!$B$32,'Inputs'!$B$30+'Inputs'!$B$31+'Inputs'!$B$32)/1000+'Inputs'!$B$21+'Inputs'!$B$7+'Inputs'!$B$10)+'Inputs'!$B$9)/SQRT((((976-43)*MAX('Inputs'!$B$33,'Inputs'!$B$29+'Inputs'!$B$31+'Inputs'!$B$32,'Inputs'!$B$30+'Inputs'!$B$31+'Inputs'!$B$32)/1000+'Inputs'!$B$21+'Inputs'!$B$7+'Inputs'!$B$10)+'Inputs'!$B$9)^2+('Inputs'!$B$8/2)^2)-(((976-43)*MAX('Inputs'!$B$33,'Inputs'!$B$29+'Inputs'!$B$31+'Inputs'!$B$32,'Inputs'!$B$30+'Inputs'!$B$31+'Inputs'!$B$32)/1000+'Inputs'!$B$21+'Inputs'!$B$7+'Inputs'!$B$10))/SQRT((((976-43)*MAX('Inputs'!$B$33,'Inputs'!$B$29+'Inputs'!$B$31+'Inputs'!$B$32,'Inputs'!$B$30+'Inputs'!$B$31+'Inputs'!$B$32)/1000+'Inputs'!$B$21+'Inputs'!$B$7+'Inputs'!$B$10))^2+('Inputs'!$B$8/2)^2))))*'Results'!$B$8)-'Inputs'!$B$28*ABS((('Results'!B7*(1-'Inputs'!$B$24)*(0.5*((((976-43)*MAX('Inputs'!$B$33,'Inputs'!$B$29+'Inputs'!$B$31+'Inputs'!$B$32,'Inputs'!$B$30+'Inputs'!$B$31+'Inputs'!$B$32)/1000+'Inputs'!$B$21)+'Inputs'!$B$7)/SQRT((((976-43)*MAX('Inputs'!$B$33,'Inputs'!$B$29+'Inputs'!$B$31+'Inputs'!$B$32,'Inputs'!$B$30+'Inputs'!$B$31+'Inputs'!$B$32)/1000+'Inputs'!$B$21)+'Inputs'!$B$7)^2+('Inputs'!$B$6/2)^2)-(((976-43)*MAX('Inputs'!$B$33,'Inputs'!$B$29+'Inputs'!$B$31+'Inputs'!$B$32,'Inputs'!$B$30+'Inputs'!$B$31+'Inputs'!$B$32)/1000+'Inputs'!$B$21))/SQRT((((976-43)*MAX('Inputs'!$B$33,'Inputs'!$B$29+'Inputs'!$B$31+'Inputs'!$B$32,'Inputs'!$B$30+'Inputs'!$B$31+'Inputs'!$B$32)/1000+'Inputs'!$B$21))^2+('Inputs'!$B$6/2)^2)))-'Results'!C7*(1+'Inputs'!$B$24)*(0.5*((((976-43)*MAX('Inputs'!$B$33,'Inputs'!$B$29+'Inputs'!$B$31+'Inputs'!$B$32,'Inputs'!$B$30+'Inputs'!$B$31+'Inputs'!$B$32)/1000+'Inputs'!$B$21+'Inputs'!$B$7+'Inputs'!$B$10)+'Inputs'!$B$9)/SQRT((((976-43)*MAX('Inputs'!$B$33,'Inputs'!$B$29+'Inputs'!$B$31+'Inputs'!$B$32,'Inputs'!$B$30+'Inputs'!$B$31+'Inputs'!$B$32)/1000+'Inputs'!$B$21+'Inputs'!$B$7+'Inputs'!$B$10)+'Inputs'!$B$9)^2+('Inputs'!$B$8/2)^2)-(((976-43)*MAX('Inputs'!$B$33,'Inputs'!$B$29+'Inputs'!$B$31+'Inputs'!$B$32,'Inputs'!$B$30+'Inputs'!$B$31+'Inputs'!$B$32)/1000+'Inputs'!$B$21+'Inputs'!$B$7+'Inputs'!$B$10))/SQRT((((976-43)*MAX('Inputs'!$B$33,'Inputs'!$B$29+'Inputs'!$B$31+'Inputs'!$B$32,'Inputs'!$B$30+'Inputs'!$B$31+'Inputs'!$B$32)/1000+'Inputs'!$B$21+'Inputs'!$B$7+'Inputs'!$B$10))^2+('Inputs'!$B$8/2)^2))))*'Results'!$B$8))),"")</x:f>
        <x:v>0.3876627981661242</x:v>
      </x:c>
      <x:c r="L976" t="n">
        <x:f>IF(AND(ISNUMBER('Results'!B7),ISNUMBER('Results'!C7),ISNUMBER('Results'!$B$8),ISNUMBER('Inputs'!$B$6),ISNUMBER('Inputs'!$B$7),ISNUMBER('Inputs'!$B$8),ISNUMBER('Inputs'!$B$9),ISNUMBER('Inputs'!$B$10),ISNUMBER('Inputs'!$B$21),ISNUMBER('Inputs'!$B$24),ISNUMBER('Inputs'!$B$28)),((('Results'!B7*(1+'Inputs'!$B$24)*(0.5*((((976-43)*MAX('Inputs'!$B$33,'Inputs'!$B$29+'Inputs'!$B$31+'Inputs'!$B$32,'Inputs'!$B$30+'Inputs'!$B$31+'Inputs'!$B$32)/1000+'Inputs'!$B$21)+'Inputs'!$B$7)/SQRT((((976-43)*MAX('Inputs'!$B$33,'Inputs'!$B$29+'Inputs'!$B$31+'Inputs'!$B$32,'Inputs'!$B$30+'Inputs'!$B$31+'Inputs'!$B$32)/1000+'Inputs'!$B$21)+'Inputs'!$B$7)^2+('Inputs'!$B$6/2)^2)-(((976-43)*MAX('Inputs'!$B$33,'Inputs'!$B$29+'Inputs'!$B$31+'Inputs'!$B$32,'Inputs'!$B$30+'Inputs'!$B$31+'Inputs'!$B$32)/1000+'Inputs'!$B$21))/SQRT((((976-43)*MAX('Inputs'!$B$33,'Inputs'!$B$29+'Inputs'!$B$31+'Inputs'!$B$32,'Inputs'!$B$30+'Inputs'!$B$31+'Inputs'!$B$32)/1000+'Inputs'!$B$21))^2+('Inputs'!$B$6/2)^2)))-'Results'!C7*(1-'Inputs'!$B$24)*(0.5*((((976-43)*MAX('Inputs'!$B$33,'Inputs'!$B$29+'Inputs'!$B$31+'Inputs'!$B$32,'Inputs'!$B$30+'Inputs'!$B$31+'Inputs'!$B$32)/1000+'Inputs'!$B$21+'Inputs'!$B$7+'Inputs'!$B$10)+'Inputs'!$B$9)/SQRT((((976-43)*MAX('Inputs'!$B$33,'Inputs'!$B$29+'Inputs'!$B$31+'Inputs'!$B$32,'Inputs'!$B$30+'Inputs'!$B$31+'Inputs'!$B$32)/1000+'Inputs'!$B$21+'Inputs'!$B$7+'Inputs'!$B$10)+'Inputs'!$B$9)^2+('Inputs'!$B$8/2)^2)-(((976-43)*MAX('Inputs'!$B$33,'Inputs'!$B$29+'Inputs'!$B$31+'Inputs'!$B$32,'Inputs'!$B$30+'Inputs'!$B$31+'Inputs'!$B$32)/1000+'Inputs'!$B$21+'Inputs'!$B$7+'Inputs'!$B$10))/SQRT((((976-43)*MAX('Inputs'!$B$33,'Inputs'!$B$29+'Inputs'!$B$31+'Inputs'!$B$32,'Inputs'!$B$30+'Inputs'!$B$31+'Inputs'!$B$32)/1000+'Inputs'!$B$21+'Inputs'!$B$7+'Inputs'!$B$10))^2+('Inputs'!$B$8/2)^2))))*'Results'!$B$8)+'Inputs'!$B$28*ABS((('Results'!B7*(1+'Inputs'!$B$24)*(0.5*((((976-43)*MAX('Inputs'!$B$33,'Inputs'!$B$29+'Inputs'!$B$31+'Inputs'!$B$32,'Inputs'!$B$30+'Inputs'!$B$31+'Inputs'!$B$32)/1000+'Inputs'!$B$21)+'Inputs'!$B$7)/SQRT((((976-43)*MAX('Inputs'!$B$33,'Inputs'!$B$29+'Inputs'!$B$31+'Inputs'!$B$32,'Inputs'!$B$30+'Inputs'!$B$31+'Inputs'!$B$32)/1000+'Inputs'!$B$21)+'Inputs'!$B$7)^2+('Inputs'!$B$6/2)^2)-(((976-43)*MAX('Inputs'!$B$33,'Inputs'!$B$29+'Inputs'!$B$31+'Inputs'!$B$32,'Inputs'!$B$30+'Inputs'!$B$31+'Inputs'!$B$32)/1000+'Inputs'!$B$21))/SQRT((((976-43)*MAX('Inputs'!$B$33,'Inputs'!$B$29+'Inputs'!$B$31+'Inputs'!$B$32,'Inputs'!$B$30+'Inputs'!$B$31+'Inputs'!$B$32)/1000+'Inputs'!$B$21))^2+('Inputs'!$B$6/2)^2)))-'Results'!C7*(1-'Inputs'!$B$24)*(0.5*((((976-43)*MAX('Inputs'!$B$33,'Inputs'!$B$29+'Inputs'!$B$31+'Inputs'!$B$32,'Inputs'!$B$30+'Inputs'!$B$31+'Inputs'!$B$32)/1000+'Inputs'!$B$21+'Inputs'!$B$7+'Inputs'!$B$10)+'Inputs'!$B$9)/SQRT((((976-43)*MAX('Inputs'!$B$33,'Inputs'!$B$29+'Inputs'!$B$31+'Inputs'!$B$32,'Inputs'!$B$30+'Inputs'!$B$31+'Inputs'!$B$32)/1000+'Inputs'!$B$21+'Inputs'!$B$7+'Inputs'!$B$10)+'Inputs'!$B$9)^2+('Inputs'!$B$8/2)^2)-(((976-43)*MAX('Inputs'!$B$33,'Inputs'!$B$29+'Inputs'!$B$31+'Inputs'!$B$32,'Inputs'!$B$30+'Inputs'!$B$31+'Inputs'!$B$32)/1000+'Inputs'!$B$21+'Inputs'!$B$7+'Inputs'!$B$10))/SQRT((((976-43)*MAX('Inputs'!$B$33,'Inputs'!$B$29+'Inputs'!$B$31+'Inputs'!$B$32,'Inputs'!$B$30+'Inputs'!$B$31+'Inputs'!$B$32)/1000+'Inputs'!$B$21+'Inputs'!$B$7+'Inputs'!$B$10))^2+('Inputs'!$B$8/2)^2))))*'Results'!$B$8))),"")</x:f>
        <x:v>0.5371434124585145</x:v>
      </x:c>
      <x:c r="M976" t="n">
        <x:f>IF(AND(ISNUMBER('Results'!C7),ISNUMBER('Results'!B7),ISNUMBER('Results'!$B$8),ISNUMBER('Inputs'!$B$6),ISNUMBER('Inputs'!$B$7),ISNUMBER('Inputs'!$B$8),ISNUMBER('Inputs'!$B$9),ISNUMBER('Inputs'!$B$10),ISNUMBER('Inputs'!$B$21),ISNUMBER('Inputs'!$B$24),ISNUMBER('Inputs'!$B$28)),(('Results'!C7*(0.5*((((976-43)*MAX('Inputs'!$B$33,'Inputs'!$B$29+'Inputs'!$B$31+'Inputs'!$B$32,'Inputs'!$B$30+'Inputs'!$B$31+'Inputs'!$B$32)/1000+'Inputs'!$B$21)+'Inputs'!$B$9)/SQRT((((976-43)*MAX('Inputs'!$B$33,'Inputs'!$B$29+'Inputs'!$B$31+'Inputs'!$B$32,'Inputs'!$B$30+'Inputs'!$B$31+'Inputs'!$B$32)/1000+'Inputs'!$B$21)+'Inputs'!$B$9)^2+('Inputs'!$B$8/2)^2)-(((976-43)*MAX('Inputs'!$B$33,'Inputs'!$B$29+'Inputs'!$B$31+'Inputs'!$B$32,'Inputs'!$B$30+'Inputs'!$B$31+'Inputs'!$B$32)/1000+'Inputs'!$B$21))/SQRT((((976-43)*MAX('Inputs'!$B$33,'Inputs'!$B$29+'Inputs'!$B$31+'Inputs'!$B$32,'Inputs'!$B$30+'Inputs'!$B$31+'Inputs'!$B$32)/1000+'Inputs'!$B$21))^2+('Inputs'!$B$8/2)^2)))-'Results'!B7*(0.5*((((976-43)*MAX('Inputs'!$B$33,'Inputs'!$B$29+'Inputs'!$B$31+'Inputs'!$B$32,'Inputs'!$B$30+'Inputs'!$B$31+'Inputs'!$B$32)/1000+'Inputs'!$B$21+'Inputs'!$B$9+'Inputs'!$B$10)+'Inputs'!$B$7)/SQRT((((976-43)*MAX('Inputs'!$B$33,'Inputs'!$B$29+'Inputs'!$B$31+'Inputs'!$B$32,'Inputs'!$B$30+'Inputs'!$B$31+'Inputs'!$B$32)/1000+'Inputs'!$B$21+'Inputs'!$B$9+'Inputs'!$B$10)+'Inputs'!$B$7)^2+('Inputs'!$B$6/2)^2)-(((976-43)*MAX('Inputs'!$B$33,'Inputs'!$B$29+'Inputs'!$B$31+'Inputs'!$B$32,'Inputs'!$B$30+'Inputs'!$B$31+'Inputs'!$B$32)/1000+'Inputs'!$B$21+'Inputs'!$B$9+'Inputs'!$B$10))/SQRT((((976-43)*MAX('Inputs'!$B$33,'Inputs'!$B$29+'Inputs'!$B$31+'Inputs'!$B$32,'Inputs'!$B$30+'Inputs'!$B$31+'Inputs'!$B$32)/1000+'Inputs'!$B$21+'Inputs'!$B$9+'Inputs'!$B$10))^2+('Inputs'!$B$6/2)^2))))*'Results'!$B$8),"")</x:f>
        <x:v>0.407631886872413</x:v>
      </x:c>
      <x:c r="N976" t="n">
        <x:f>IF(AND(ISNUMBER('Results'!C7),ISNUMBER('Results'!B7),ISNUMBER('Results'!$B$8),ISNUMBER('Inputs'!$B$6),ISNUMBER('Inputs'!$B$7),ISNUMBER('Inputs'!$B$8),ISNUMBER('Inputs'!$B$9),ISNUMBER('Inputs'!$B$10),ISNUMBER('Inputs'!$B$21),ISNUMBER('Inputs'!$B$24),ISNUMBER('Inputs'!$B$28)),((('Results'!C7*(1-'Inputs'!$B$24)*(0.5*((((976-43)*MAX('Inputs'!$B$33,'Inputs'!$B$29+'Inputs'!$B$31+'Inputs'!$B$32,'Inputs'!$B$30+'Inputs'!$B$31+'Inputs'!$B$32)/1000+'Inputs'!$B$21)+'Inputs'!$B$9)/SQRT((((976-43)*MAX('Inputs'!$B$33,'Inputs'!$B$29+'Inputs'!$B$31+'Inputs'!$B$32,'Inputs'!$B$30+'Inputs'!$B$31+'Inputs'!$B$32)/1000+'Inputs'!$B$21)+'Inputs'!$B$9)^2+('Inputs'!$B$8/2)^2)-(((976-43)*MAX('Inputs'!$B$33,'Inputs'!$B$29+'Inputs'!$B$31+'Inputs'!$B$32,'Inputs'!$B$30+'Inputs'!$B$31+'Inputs'!$B$32)/1000+'Inputs'!$B$21))/SQRT((((976-43)*MAX('Inputs'!$B$33,'Inputs'!$B$29+'Inputs'!$B$31+'Inputs'!$B$32,'Inputs'!$B$30+'Inputs'!$B$31+'Inputs'!$B$32)/1000+'Inputs'!$B$21))^2+('Inputs'!$B$8/2)^2)))-'Results'!B7*(1+'Inputs'!$B$24)*(0.5*((((976-43)*MAX('Inputs'!$B$33,'Inputs'!$B$29+'Inputs'!$B$31+'Inputs'!$B$32,'Inputs'!$B$30+'Inputs'!$B$31+'Inputs'!$B$32)/1000+'Inputs'!$B$21+'Inputs'!$B$9+'Inputs'!$B$10)+'Inputs'!$B$7)/SQRT((((976-43)*MAX('Inputs'!$B$33,'Inputs'!$B$29+'Inputs'!$B$31+'Inputs'!$B$32,'Inputs'!$B$30+'Inputs'!$B$31+'Inputs'!$B$32)/1000+'Inputs'!$B$21+'Inputs'!$B$9+'Inputs'!$B$10)+'Inputs'!$B$7)^2+('Inputs'!$B$6/2)^2)-(((976-43)*MAX('Inputs'!$B$33,'Inputs'!$B$29+'Inputs'!$B$31+'Inputs'!$B$32,'Inputs'!$B$30+'Inputs'!$B$31+'Inputs'!$B$32)/1000+'Inputs'!$B$21+'Inputs'!$B$9+'Inputs'!$B$10))/SQRT((((976-43)*MAX('Inputs'!$B$33,'Inputs'!$B$29+'Inputs'!$B$31+'Inputs'!$B$32,'Inputs'!$B$30+'Inputs'!$B$31+'Inputs'!$B$32)/1000+'Inputs'!$B$21+'Inputs'!$B$9+'Inputs'!$B$10))^2+('Inputs'!$B$6/2)^2))))*'Results'!$B$8)-'Inputs'!$B$28*ABS((('Results'!C7*(1-'Inputs'!$B$24)*(0.5*((((976-43)*MAX('Inputs'!$B$33,'Inputs'!$B$29+'Inputs'!$B$31+'Inputs'!$B$32,'Inputs'!$B$30+'Inputs'!$B$31+'Inputs'!$B$32)/1000+'Inputs'!$B$21)+'Inputs'!$B$9)/SQRT((((976-43)*MAX('Inputs'!$B$33,'Inputs'!$B$29+'Inputs'!$B$31+'Inputs'!$B$32,'Inputs'!$B$30+'Inputs'!$B$31+'Inputs'!$B$32)/1000+'Inputs'!$B$21)+'Inputs'!$B$9)^2+('Inputs'!$B$8/2)^2)-(((976-43)*MAX('Inputs'!$B$33,'Inputs'!$B$29+'Inputs'!$B$31+'Inputs'!$B$32,'Inputs'!$B$30+'Inputs'!$B$31+'Inputs'!$B$32)/1000+'Inputs'!$B$21))/SQRT((((976-43)*MAX('Inputs'!$B$33,'Inputs'!$B$29+'Inputs'!$B$31+'Inputs'!$B$32,'Inputs'!$B$30+'Inputs'!$B$31+'Inputs'!$B$32)/1000+'Inputs'!$B$21))^2+('Inputs'!$B$8/2)^2)))-'Results'!B7*(1+'Inputs'!$B$24)*(0.5*((((976-43)*MAX('Inputs'!$B$33,'Inputs'!$B$29+'Inputs'!$B$31+'Inputs'!$B$32,'Inputs'!$B$30+'Inputs'!$B$31+'Inputs'!$B$32)/1000+'Inputs'!$B$21+'Inputs'!$B$9+'Inputs'!$B$10)+'Inputs'!$B$7)/SQRT((((976-43)*MAX('Inputs'!$B$33,'Inputs'!$B$29+'Inputs'!$B$31+'Inputs'!$B$32,'Inputs'!$B$30+'Inputs'!$B$31+'Inputs'!$B$32)/1000+'Inputs'!$B$21+'Inputs'!$B$9+'Inputs'!$B$10)+'Inputs'!$B$7)^2+('Inputs'!$B$6/2)^2)-(((976-43)*MAX('Inputs'!$B$33,'Inputs'!$B$29+'Inputs'!$B$31+'Inputs'!$B$32,'Inputs'!$B$30+'Inputs'!$B$31+'Inputs'!$B$32)/1000+'Inputs'!$B$21+'Inputs'!$B$9+'Inputs'!$B$10))/SQRT((((976-43)*MAX('Inputs'!$B$33,'Inputs'!$B$29+'Inputs'!$B$31+'Inputs'!$B$32,'Inputs'!$B$30+'Inputs'!$B$31+'Inputs'!$B$32)/1000+'Inputs'!$B$21+'Inputs'!$B$9+'Inputs'!$B$10))^2+('Inputs'!$B$6/2)^2))))*'Results'!$B$8))),"")</x:f>
        <x:v>0.33825472294500053</x:v>
      </x:c>
      <x:c r="O976" t="n">
        <x:f>IF(AND(ISNUMBER('Results'!C7),ISNUMBER('Results'!B7),ISNUMBER('Results'!$B$8),ISNUMBER('Inputs'!$B$6),ISNUMBER('Inputs'!$B$7),ISNUMBER('Inputs'!$B$8),ISNUMBER('Inputs'!$B$9),ISNUMBER('Inputs'!$B$10),ISNUMBER('Inputs'!$B$21),ISNUMBER('Inputs'!$B$24),ISNUMBER('Inputs'!$B$28)),((('Results'!C7*(1+'Inputs'!$B$24)*(0.5*((((976-43)*MAX('Inputs'!$B$33,'Inputs'!$B$29+'Inputs'!$B$31+'Inputs'!$B$32,'Inputs'!$B$30+'Inputs'!$B$31+'Inputs'!$B$32)/1000+'Inputs'!$B$21)+'Inputs'!$B$9)/SQRT((((976-43)*MAX('Inputs'!$B$33,'Inputs'!$B$29+'Inputs'!$B$31+'Inputs'!$B$32,'Inputs'!$B$30+'Inputs'!$B$31+'Inputs'!$B$32)/1000+'Inputs'!$B$21)+'Inputs'!$B$9)^2+('Inputs'!$B$8/2)^2)-(((976-43)*MAX('Inputs'!$B$33,'Inputs'!$B$29+'Inputs'!$B$31+'Inputs'!$B$32,'Inputs'!$B$30+'Inputs'!$B$31+'Inputs'!$B$32)/1000+'Inputs'!$B$21))/SQRT((((976-43)*MAX('Inputs'!$B$33,'Inputs'!$B$29+'Inputs'!$B$31+'Inputs'!$B$32,'Inputs'!$B$30+'Inputs'!$B$31+'Inputs'!$B$32)/1000+'Inputs'!$B$21))^2+('Inputs'!$B$8/2)^2)))-'Results'!B7*(1-'Inputs'!$B$24)*(0.5*((((976-43)*MAX('Inputs'!$B$33,'Inputs'!$B$29+'Inputs'!$B$31+'Inputs'!$B$32,'Inputs'!$B$30+'Inputs'!$B$31+'Inputs'!$B$32)/1000+'Inputs'!$B$21+'Inputs'!$B$9+'Inputs'!$B$10)+'Inputs'!$B$7)/SQRT((((976-43)*MAX('Inputs'!$B$33,'Inputs'!$B$29+'Inputs'!$B$31+'Inputs'!$B$32,'Inputs'!$B$30+'Inputs'!$B$31+'Inputs'!$B$32)/1000+'Inputs'!$B$21+'Inputs'!$B$9+'Inputs'!$B$10)+'Inputs'!$B$7)^2+('Inputs'!$B$6/2)^2)-(((976-43)*MAX('Inputs'!$B$33,'Inputs'!$B$29+'Inputs'!$B$31+'Inputs'!$B$32,'Inputs'!$B$30+'Inputs'!$B$31+'Inputs'!$B$32)/1000+'Inputs'!$B$21+'Inputs'!$B$9+'Inputs'!$B$10))/SQRT((((976-43)*MAX('Inputs'!$B$33,'Inputs'!$B$29+'Inputs'!$B$31+'Inputs'!$B$32,'Inputs'!$B$30+'Inputs'!$B$31+'Inputs'!$B$32)/1000+'Inputs'!$B$21+'Inputs'!$B$9+'Inputs'!$B$10))^2+('Inputs'!$B$6/2)^2))))*'Results'!$B$8)+'Inputs'!$B$28*ABS((('Results'!C7*(1+'Inputs'!$B$24)*(0.5*((((976-43)*MAX('Inputs'!$B$33,'Inputs'!$B$29+'Inputs'!$B$31+'Inputs'!$B$32,'Inputs'!$B$30+'Inputs'!$B$31+'Inputs'!$B$32)/1000+'Inputs'!$B$21)+'Inputs'!$B$9)/SQRT((((976-43)*MAX('Inputs'!$B$33,'Inputs'!$B$29+'Inputs'!$B$31+'Inputs'!$B$32,'Inputs'!$B$30+'Inputs'!$B$31+'Inputs'!$B$32)/1000+'Inputs'!$B$21)+'Inputs'!$B$9)^2+('Inputs'!$B$8/2)^2)-(((976-43)*MAX('Inputs'!$B$33,'Inputs'!$B$29+'Inputs'!$B$31+'Inputs'!$B$32,'Inputs'!$B$30+'Inputs'!$B$31+'Inputs'!$B$32)/1000+'Inputs'!$B$21))/SQRT((((976-43)*MAX('Inputs'!$B$33,'Inputs'!$B$29+'Inputs'!$B$31+'Inputs'!$B$32,'Inputs'!$B$30+'Inputs'!$B$31+'Inputs'!$B$32)/1000+'Inputs'!$B$21))^2+('Inputs'!$B$8/2)^2)))-'Results'!B7*(1-'Inputs'!$B$24)*(0.5*((((976-43)*MAX('Inputs'!$B$33,'Inputs'!$B$29+'Inputs'!$B$31+'Inputs'!$B$32,'Inputs'!$B$30+'Inputs'!$B$31+'Inputs'!$B$32)/1000+'Inputs'!$B$21+'Inputs'!$B$9+'Inputs'!$B$10)+'Inputs'!$B$7)/SQRT((((976-43)*MAX('Inputs'!$B$33,'Inputs'!$B$29+'Inputs'!$B$31+'Inputs'!$B$32,'Inputs'!$B$30+'Inputs'!$B$31+'Inputs'!$B$32)/1000+'Inputs'!$B$21+'Inputs'!$B$9+'Inputs'!$B$10)+'Inputs'!$B$7)^2+('Inputs'!$B$6/2)^2)-(((976-43)*MAX('Inputs'!$B$33,'Inputs'!$B$29+'Inputs'!$B$31+'Inputs'!$B$32,'Inputs'!$B$30+'Inputs'!$B$31+'Inputs'!$B$32)/1000+'Inputs'!$B$21+'Inputs'!$B$9+'Inputs'!$B$10))/SQRT((((976-43)*MAX('Inputs'!$B$33,'Inputs'!$B$29+'Inputs'!$B$31+'Inputs'!$B$32,'Inputs'!$B$30+'Inputs'!$B$31+'Inputs'!$B$32)/1000+'Inputs'!$B$21+'Inputs'!$B$9+'Inputs'!$B$10))^2+('Inputs'!$B$6/2)^2))))*'Results'!$B$8))),"")</x:f>
        <x:v>0.4821664791770661</x:v>
      </x:c>
      <x:c r="P976" t="n">
        <x:f>IF(AND(MAX(J976,J975)&gt;0,J976&gt;J975+0.00000001),1,0)</x:f>
        <x:v>0</x:v>
      </x:c>
      <x:c r="Q976" t="n">
        <x:f>IF(AND(MAX(K976,K975)&gt;0,K976&gt;K975+0.00000001),1,0)</x:f>
        <x:v>0</x:v>
      </x:c>
      <x:c r="R976" t="n">
        <x:f>IF(AND(MAX(L976,L975)&gt;0,L976&gt;L975+0.00000001),1,0)</x:f>
        <x:v>0</x:v>
      </x:c>
      <x:c r="S976" t="n">
        <x:f>IF(AND(MAX(M976,M975)&gt;0,M976&gt;M975+0.00000001),1,0)</x:f>
        <x:v>0</x:v>
      </x:c>
      <x:c r="T976" t="n">
        <x:f>IF(AND(MAX(N976,N975)&gt;0,N976&gt;N975+0.00000001),1,0)</x:f>
        <x:v>0</x:v>
      </x:c>
      <x:c r="U976" t="n">
        <x:f>IF(AND(MAX(O976,O975)&gt;0,O976&gt;O975+0.00000001),1,0)</x:f>
        <x:v>0</x:v>
      </x:c>
    </x:row>
    <x:row r="977">
      <x:c r="J977" t="n">
        <x:f>IF(AND(ISNUMBER('Results'!B7),ISNUMBER('Results'!C7),ISNUMBER('Results'!$B$8),ISNUMBER('Inputs'!$B$6),ISNUMBER('Inputs'!$B$7),ISNUMBER('Inputs'!$B$8),ISNUMBER('Inputs'!$B$9),ISNUMBER('Inputs'!$B$10),ISNUMBER('Inputs'!$B$21),ISNUMBER('Inputs'!$B$24),ISNUMBER('Inputs'!$B$28)),(('Results'!B7*(0.5*((((977-43)*MAX('Inputs'!$B$33,'Inputs'!$B$29+'Inputs'!$B$31+'Inputs'!$B$32,'Inputs'!$B$30+'Inputs'!$B$31+'Inputs'!$B$32)/1000+'Inputs'!$B$21)+'Inputs'!$B$7)/SQRT((((977-43)*MAX('Inputs'!$B$33,'Inputs'!$B$29+'Inputs'!$B$31+'Inputs'!$B$32,'Inputs'!$B$30+'Inputs'!$B$31+'Inputs'!$B$32)/1000+'Inputs'!$B$21)+'Inputs'!$B$7)^2+('Inputs'!$B$6/2)^2)-(((977-43)*MAX('Inputs'!$B$33,'Inputs'!$B$29+'Inputs'!$B$31+'Inputs'!$B$32,'Inputs'!$B$30+'Inputs'!$B$31+'Inputs'!$B$32)/1000+'Inputs'!$B$21))/SQRT((((977-43)*MAX('Inputs'!$B$33,'Inputs'!$B$29+'Inputs'!$B$31+'Inputs'!$B$32,'Inputs'!$B$30+'Inputs'!$B$31+'Inputs'!$B$32)/1000+'Inputs'!$B$21))^2+('Inputs'!$B$6/2)^2)))-'Results'!C7*(0.5*((((977-43)*MAX('Inputs'!$B$33,'Inputs'!$B$29+'Inputs'!$B$31+'Inputs'!$B$32,'Inputs'!$B$30+'Inputs'!$B$31+'Inputs'!$B$32)/1000+'Inputs'!$B$21+'Inputs'!$B$7+'Inputs'!$B$10)+'Inputs'!$B$9)/SQRT((((977-43)*MAX('Inputs'!$B$33,'Inputs'!$B$29+'Inputs'!$B$31+'Inputs'!$B$32,'Inputs'!$B$30+'Inputs'!$B$31+'Inputs'!$B$32)/1000+'Inputs'!$B$21+'Inputs'!$B$7+'Inputs'!$B$10)+'Inputs'!$B$9)^2+('Inputs'!$B$8/2)^2)-(((977-43)*MAX('Inputs'!$B$33,'Inputs'!$B$29+'Inputs'!$B$31+'Inputs'!$B$32,'Inputs'!$B$30+'Inputs'!$B$31+'Inputs'!$B$32)/1000+'Inputs'!$B$21+'Inputs'!$B$7+'Inputs'!$B$10))/SQRT((((977-43)*MAX('Inputs'!$B$33,'Inputs'!$B$29+'Inputs'!$B$31+'Inputs'!$B$32,'Inputs'!$B$30+'Inputs'!$B$31+'Inputs'!$B$32)/1000+'Inputs'!$B$21+'Inputs'!$B$7+'Inputs'!$B$10))^2+('Inputs'!$B$8/2)^2))))*'Results'!$B$8),"")</x:f>
        <x:v>0.4580277320000166</x:v>
      </x:c>
      <x:c r="K977" t="n">
        <x:f>IF(AND(ISNUMBER('Results'!B7),ISNUMBER('Results'!C7),ISNUMBER('Results'!$B$8),ISNUMBER('Inputs'!$B$6),ISNUMBER('Inputs'!$B$7),ISNUMBER('Inputs'!$B$8),ISNUMBER('Inputs'!$B$9),ISNUMBER('Inputs'!$B$10),ISNUMBER('Inputs'!$B$21),ISNUMBER('Inputs'!$B$24),ISNUMBER('Inputs'!$B$28)),((('Results'!B7*(1-'Inputs'!$B$24)*(0.5*((((977-43)*MAX('Inputs'!$B$33,'Inputs'!$B$29+'Inputs'!$B$31+'Inputs'!$B$32,'Inputs'!$B$30+'Inputs'!$B$31+'Inputs'!$B$32)/1000+'Inputs'!$B$21)+'Inputs'!$B$7)/SQRT((((977-43)*MAX('Inputs'!$B$33,'Inputs'!$B$29+'Inputs'!$B$31+'Inputs'!$B$32,'Inputs'!$B$30+'Inputs'!$B$31+'Inputs'!$B$32)/1000+'Inputs'!$B$21)+'Inputs'!$B$7)^2+('Inputs'!$B$6/2)^2)-(((977-43)*MAX('Inputs'!$B$33,'Inputs'!$B$29+'Inputs'!$B$31+'Inputs'!$B$32,'Inputs'!$B$30+'Inputs'!$B$31+'Inputs'!$B$32)/1000+'Inputs'!$B$21))/SQRT((((977-43)*MAX('Inputs'!$B$33,'Inputs'!$B$29+'Inputs'!$B$31+'Inputs'!$B$32,'Inputs'!$B$30+'Inputs'!$B$31+'Inputs'!$B$32)/1000+'Inputs'!$B$21))^2+('Inputs'!$B$6/2)^2)))-'Results'!C7*(1+'Inputs'!$B$24)*(0.5*((((977-43)*MAX('Inputs'!$B$33,'Inputs'!$B$29+'Inputs'!$B$31+'Inputs'!$B$32,'Inputs'!$B$30+'Inputs'!$B$31+'Inputs'!$B$32)/1000+'Inputs'!$B$21+'Inputs'!$B$7+'Inputs'!$B$10)+'Inputs'!$B$9)/SQRT((((977-43)*MAX('Inputs'!$B$33,'Inputs'!$B$29+'Inputs'!$B$31+'Inputs'!$B$32,'Inputs'!$B$30+'Inputs'!$B$31+'Inputs'!$B$32)/1000+'Inputs'!$B$21+'Inputs'!$B$7+'Inputs'!$B$10)+'Inputs'!$B$9)^2+('Inputs'!$B$8/2)^2)-(((977-43)*MAX('Inputs'!$B$33,'Inputs'!$B$29+'Inputs'!$B$31+'Inputs'!$B$32,'Inputs'!$B$30+'Inputs'!$B$31+'Inputs'!$B$32)/1000+'Inputs'!$B$21+'Inputs'!$B$7+'Inputs'!$B$10))/SQRT((((977-43)*MAX('Inputs'!$B$33,'Inputs'!$B$29+'Inputs'!$B$31+'Inputs'!$B$32,'Inputs'!$B$30+'Inputs'!$B$31+'Inputs'!$B$32)/1000+'Inputs'!$B$21+'Inputs'!$B$7+'Inputs'!$B$10))^2+('Inputs'!$B$8/2)^2))))*'Results'!$B$8)-'Inputs'!$B$28*ABS((('Results'!B7*(1-'Inputs'!$B$24)*(0.5*((((977-43)*MAX('Inputs'!$B$33,'Inputs'!$B$29+'Inputs'!$B$31+'Inputs'!$B$32,'Inputs'!$B$30+'Inputs'!$B$31+'Inputs'!$B$32)/1000+'Inputs'!$B$21)+'Inputs'!$B$7)/SQRT((((977-43)*MAX('Inputs'!$B$33,'Inputs'!$B$29+'Inputs'!$B$31+'Inputs'!$B$32,'Inputs'!$B$30+'Inputs'!$B$31+'Inputs'!$B$32)/1000+'Inputs'!$B$21)+'Inputs'!$B$7)^2+('Inputs'!$B$6/2)^2)-(((977-43)*MAX('Inputs'!$B$33,'Inputs'!$B$29+'Inputs'!$B$31+'Inputs'!$B$32,'Inputs'!$B$30+'Inputs'!$B$31+'Inputs'!$B$32)/1000+'Inputs'!$B$21))/SQRT((((977-43)*MAX('Inputs'!$B$33,'Inputs'!$B$29+'Inputs'!$B$31+'Inputs'!$B$32,'Inputs'!$B$30+'Inputs'!$B$31+'Inputs'!$B$32)/1000+'Inputs'!$B$21))^2+('Inputs'!$B$6/2)^2)))-'Results'!C7*(1+'Inputs'!$B$24)*(0.5*((((977-43)*MAX('Inputs'!$B$33,'Inputs'!$B$29+'Inputs'!$B$31+'Inputs'!$B$32,'Inputs'!$B$30+'Inputs'!$B$31+'Inputs'!$B$32)/1000+'Inputs'!$B$21+'Inputs'!$B$7+'Inputs'!$B$10)+'Inputs'!$B$9)/SQRT((((977-43)*MAX('Inputs'!$B$33,'Inputs'!$B$29+'Inputs'!$B$31+'Inputs'!$B$32,'Inputs'!$B$30+'Inputs'!$B$31+'Inputs'!$B$32)/1000+'Inputs'!$B$21+'Inputs'!$B$7+'Inputs'!$B$10)+'Inputs'!$B$9)^2+('Inputs'!$B$8/2)^2)-(((977-43)*MAX('Inputs'!$B$33,'Inputs'!$B$29+'Inputs'!$B$31+'Inputs'!$B$32,'Inputs'!$B$30+'Inputs'!$B$31+'Inputs'!$B$32)/1000+'Inputs'!$B$21+'Inputs'!$B$7+'Inputs'!$B$10))/SQRT((((977-43)*MAX('Inputs'!$B$33,'Inputs'!$B$29+'Inputs'!$B$31+'Inputs'!$B$32,'Inputs'!$B$30+'Inputs'!$B$31+'Inputs'!$B$32)/1000+'Inputs'!$B$21+'Inputs'!$B$7+'Inputs'!$B$10))^2+('Inputs'!$B$8/2)^2))))*'Results'!$B$8))),"")</x:f>
        <x:v>0.38611108717903325</x:v>
      </x:c>
      <x:c r="L977" t="n">
        <x:f>IF(AND(ISNUMBER('Results'!B7),ISNUMBER('Results'!C7),ISNUMBER('Results'!$B$8),ISNUMBER('Inputs'!$B$6),ISNUMBER('Inputs'!$B$7),ISNUMBER('Inputs'!$B$8),ISNUMBER('Inputs'!$B$9),ISNUMBER('Inputs'!$B$10),ISNUMBER('Inputs'!$B$21),ISNUMBER('Inputs'!$B$24),ISNUMBER('Inputs'!$B$28)),((('Results'!B7*(1+'Inputs'!$B$24)*(0.5*((((977-43)*MAX('Inputs'!$B$33,'Inputs'!$B$29+'Inputs'!$B$31+'Inputs'!$B$32,'Inputs'!$B$30+'Inputs'!$B$31+'Inputs'!$B$32)/1000+'Inputs'!$B$21)+'Inputs'!$B$7)/SQRT((((977-43)*MAX('Inputs'!$B$33,'Inputs'!$B$29+'Inputs'!$B$31+'Inputs'!$B$32,'Inputs'!$B$30+'Inputs'!$B$31+'Inputs'!$B$32)/1000+'Inputs'!$B$21)+'Inputs'!$B$7)^2+('Inputs'!$B$6/2)^2)-(((977-43)*MAX('Inputs'!$B$33,'Inputs'!$B$29+'Inputs'!$B$31+'Inputs'!$B$32,'Inputs'!$B$30+'Inputs'!$B$31+'Inputs'!$B$32)/1000+'Inputs'!$B$21))/SQRT((((977-43)*MAX('Inputs'!$B$33,'Inputs'!$B$29+'Inputs'!$B$31+'Inputs'!$B$32,'Inputs'!$B$30+'Inputs'!$B$31+'Inputs'!$B$32)/1000+'Inputs'!$B$21))^2+('Inputs'!$B$6/2)^2)))-'Results'!C7*(1-'Inputs'!$B$24)*(0.5*((((977-43)*MAX('Inputs'!$B$33,'Inputs'!$B$29+'Inputs'!$B$31+'Inputs'!$B$32,'Inputs'!$B$30+'Inputs'!$B$31+'Inputs'!$B$32)/1000+'Inputs'!$B$21+'Inputs'!$B$7+'Inputs'!$B$10)+'Inputs'!$B$9)/SQRT((((977-43)*MAX('Inputs'!$B$33,'Inputs'!$B$29+'Inputs'!$B$31+'Inputs'!$B$32,'Inputs'!$B$30+'Inputs'!$B$31+'Inputs'!$B$32)/1000+'Inputs'!$B$21+'Inputs'!$B$7+'Inputs'!$B$10)+'Inputs'!$B$9)^2+('Inputs'!$B$8/2)^2)-(((977-43)*MAX('Inputs'!$B$33,'Inputs'!$B$29+'Inputs'!$B$31+'Inputs'!$B$32,'Inputs'!$B$30+'Inputs'!$B$31+'Inputs'!$B$32)/1000+'Inputs'!$B$21+'Inputs'!$B$7+'Inputs'!$B$10))/SQRT((((977-43)*MAX('Inputs'!$B$33,'Inputs'!$B$29+'Inputs'!$B$31+'Inputs'!$B$32,'Inputs'!$B$30+'Inputs'!$B$31+'Inputs'!$B$32)/1000+'Inputs'!$B$21+'Inputs'!$B$7+'Inputs'!$B$10))^2+('Inputs'!$B$8/2)^2))))*'Results'!$B$8)+'Inputs'!$B$28*ABS((('Results'!B7*(1+'Inputs'!$B$24)*(0.5*((((977-43)*MAX('Inputs'!$B$33,'Inputs'!$B$29+'Inputs'!$B$31+'Inputs'!$B$32,'Inputs'!$B$30+'Inputs'!$B$31+'Inputs'!$B$32)/1000+'Inputs'!$B$21)+'Inputs'!$B$7)/SQRT((((977-43)*MAX('Inputs'!$B$33,'Inputs'!$B$29+'Inputs'!$B$31+'Inputs'!$B$32,'Inputs'!$B$30+'Inputs'!$B$31+'Inputs'!$B$32)/1000+'Inputs'!$B$21)+'Inputs'!$B$7)^2+('Inputs'!$B$6/2)^2)-(((977-43)*MAX('Inputs'!$B$33,'Inputs'!$B$29+'Inputs'!$B$31+'Inputs'!$B$32,'Inputs'!$B$30+'Inputs'!$B$31+'Inputs'!$B$32)/1000+'Inputs'!$B$21))/SQRT((((977-43)*MAX('Inputs'!$B$33,'Inputs'!$B$29+'Inputs'!$B$31+'Inputs'!$B$32,'Inputs'!$B$30+'Inputs'!$B$31+'Inputs'!$B$32)/1000+'Inputs'!$B$21))^2+('Inputs'!$B$6/2)^2)))-'Results'!C7*(1-'Inputs'!$B$24)*(0.5*((((977-43)*MAX('Inputs'!$B$33,'Inputs'!$B$29+'Inputs'!$B$31+'Inputs'!$B$32,'Inputs'!$B$30+'Inputs'!$B$31+'Inputs'!$B$32)/1000+'Inputs'!$B$21+'Inputs'!$B$7+'Inputs'!$B$10)+'Inputs'!$B$9)/SQRT((((977-43)*MAX('Inputs'!$B$33,'Inputs'!$B$29+'Inputs'!$B$31+'Inputs'!$B$32,'Inputs'!$B$30+'Inputs'!$B$31+'Inputs'!$B$32)/1000+'Inputs'!$B$21+'Inputs'!$B$7+'Inputs'!$B$10)+'Inputs'!$B$9)^2+('Inputs'!$B$8/2)^2)-(((977-43)*MAX('Inputs'!$B$33,'Inputs'!$B$29+'Inputs'!$B$31+'Inputs'!$B$32,'Inputs'!$B$30+'Inputs'!$B$31+'Inputs'!$B$32)/1000+'Inputs'!$B$21+'Inputs'!$B$7+'Inputs'!$B$10))/SQRT((((977-43)*MAX('Inputs'!$B$33,'Inputs'!$B$29+'Inputs'!$B$31+'Inputs'!$B$32,'Inputs'!$B$30+'Inputs'!$B$31+'Inputs'!$B$32)/1000+'Inputs'!$B$21+'Inputs'!$B$7+'Inputs'!$B$10))^2+('Inputs'!$B$8/2)^2))))*'Results'!$B$8))),"")</x:f>
        <x:v>0.5351038776863664</x:v>
      </x:c>
      <x:c r="M977" t="n">
        <x:f>IF(AND(ISNUMBER('Results'!C7),ISNUMBER('Results'!B7),ISNUMBER('Results'!$B$8),ISNUMBER('Inputs'!$B$6),ISNUMBER('Inputs'!$B$7),ISNUMBER('Inputs'!$B$8),ISNUMBER('Inputs'!$B$9),ISNUMBER('Inputs'!$B$10),ISNUMBER('Inputs'!$B$21),ISNUMBER('Inputs'!$B$24),ISNUMBER('Inputs'!$B$28)),(('Results'!C7*(0.5*((((977-43)*MAX('Inputs'!$B$33,'Inputs'!$B$29+'Inputs'!$B$31+'Inputs'!$B$32,'Inputs'!$B$30+'Inputs'!$B$31+'Inputs'!$B$32)/1000+'Inputs'!$B$21)+'Inputs'!$B$9)/SQRT((((977-43)*MAX('Inputs'!$B$33,'Inputs'!$B$29+'Inputs'!$B$31+'Inputs'!$B$32,'Inputs'!$B$30+'Inputs'!$B$31+'Inputs'!$B$32)/1000+'Inputs'!$B$21)+'Inputs'!$B$9)^2+('Inputs'!$B$8/2)^2)-(((977-43)*MAX('Inputs'!$B$33,'Inputs'!$B$29+'Inputs'!$B$31+'Inputs'!$B$32,'Inputs'!$B$30+'Inputs'!$B$31+'Inputs'!$B$32)/1000+'Inputs'!$B$21))/SQRT((((977-43)*MAX('Inputs'!$B$33,'Inputs'!$B$29+'Inputs'!$B$31+'Inputs'!$B$32,'Inputs'!$B$30+'Inputs'!$B$31+'Inputs'!$B$32)/1000+'Inputs'!$B$21))^2+('Inputs'!$B$8/2)^2)))-'Results'!B7*(0.5*((((977-43)*MAX('Inputs'!$B$33,'Inputs'!$B$29+'Inputs'!$B$31+'Inputs'!$B$32,'Inputs'!$B$30+'Inputs'!$B$31+'Inputs'!$B$32)/1000+'Inputs'!$B$21+'Inputs'!$B$9+'Inputs'!$B$10)+'Inputs'!$B$7)/SQRT((((977-43)*MAX('Inputs'!$B$33,'Inputs'!$B$29+'Inputs'!$B$31+'Inputs'!$B$32,'Inputs'!$B$30+'Inputs'!$B$31+'Inputs'!$B$32)/1000+'Inputs'!$B$21+'Inputs'!$B$9+'Inputs'!$B$10)+'Inputs'!$B$7)^2+('Inputs'!$B$6/2)^2)-(((977-43)*MAX('Inputs'!$B$33,'Inputs'!$B$29+'Inputs'!$B$31+'Inputs'!$B$32,'Inputs'!$B$30+'Inputs'!$B$31+'Inputs'!$B$32)/1000+'Inputs'!$B$21+'Inputs'!$B$9+'Inputs'!$B$10))/SQRT((((977-43)*MAX('Inputs'!$B$33,'Inputs'!$B$29+'Inputs'!$B$31+'Inputs'!$B$32,'Inputs'!$B$30+'Inputs'!$B$31+'Inputs'!$B$32)/1000+'Inputs'!$B$21+'Inputs'!$B$9+'Inputs'!$B$10))^2+('Inputs'!$B$6/2)^2))))*'Results'!$B$8),"")</x:f>
        <x:v>0.4059997187135584</x:v>
      </x:c>
      <x:c r="N977" t="n">
        <x:f>IF(AND(ISNUMBER('Results'!C7),ISNUMBER('Results'!B7),ISNUMBER('Results'!$B$8),ISNUMBER('Inputs'!$B$6),ISNUMBER('Inputs'!$B$7),ISNUMBER('Inputs'!$B$8),ISNUMBER('Inputs'!$B$9),ISNUMBER('Inputs'!$B$10),ISNUMBER('Inputs'!$B$21),ISNUMBER('Inputs'!$B$24),ISNUMBER('Inputs'!$B$28)),((('Results'!C7*(1-'Inputs'!$B$24)*(0.5*((((977-43)*MAX('Inputs'!$B$33,'Inputs'!$B$29+'Inputs'!$B$31+'Inputs'!$B$32,'Inputs'!$B$30+'Inputs'!$B$31+'Inputs'!$B$32)/1000+'Inputs'!$B$21)+'Inputs'!$B$9)/SQRT((((977-43)*MAX('Inputs'!$B$33,'Inputs'!$B$29+'Inputs'!$B$31+'Inputs'!$B$32,'Inputs'!$B$30+'Inputs'!$B$31+'Inputs'!$B$32)/1000+'Inputs'!$B$21)+'Inputs'!$B$9)^2+('Inputs'!$B$8/2)^2)-(((977-43)*MAX('Inputs'!$B$33,'Inputs'!$B$29+'Inputs'!$B$31+'Inputs'!$B$32,'Inputs'!$B$30+'Inputs'!$B$31+'Inputs'!$B$32)/1000+'Inputs'!$B$21))/SQRT((((977-43)*MAX('Inputs'!$B$33,'Inputs'!$B$29+'Inputs'!$B$31+'Inputs'!$B$32,'Inputs'!$B$30+'Inputs'!$B$31+'Inputs'!$B$32)/1000+'Inputs'!$B$21))^2+('Inputs'!$B$8/2)^2)))-'Results'!B7*(1+'Inputs'!$B$24)*(0.5*((((977-43)*MAX('Inputs'!$B$33,'Inputs'!$B$29+'Inputs'!$B$31+'Inputs'!$B$32,'Inputs'!$B$30+'Inputs'!$B$31+'Inputs'!$B$32)/1000+'Inputs'!$B$21+'Inputs'!$B$9+'Inputs'!$B$10)+'Inputs'!$B$7)/SQRT((((977-43)*MAX('Inputs'!$B$33,'Inputs'!$B$29+'Inputs'!$B$31+'Inputs'!$B$32,'Inputs'!$B$30+'Inputs'!$B$31+'Inputs'!$B$32)/1000+'Inputs'!$B$21+'Inputs'!$B$9+'Inputs'!$B$10)+'Inputs'!$B$7)^2+('Inputs'!$B$6/2)^2)-(((977-43)*MAX('Inputs'!$B$33,'Inputs'!$B$29+'Inputs'!$B$31+'Inputs'!$B$32,'Inputs'!$B$30+'Inputs'!$B$31+'Inputs'!$B$32)/1000+'Inputs'!$B$21+'Inputs'!$B$9+'Inputs'!$B$10))/SQRT((((977-43)*MAX('Inputs'!$B$33,'Inputs'!$B$29+'Inputs'!$B$31+'Inputs'!$B$32,'Inputs'!$B$30+'Inputs'!$B$31+'Inputs'!$B$32)/1000+'Inputs'!$B$21+'Inputs'!$B$9+'Inputs'!$B$10))^2+('Inputs'!$B$6/2)^2))))*'Results'!$B$8)-'Inputs'!$B$28*ABS((('Results'!C7*(1-'Inputs'!$B$24)*(0.5*((((977-43)*MAX('Inputs'!$B$33,'Inputs'!$B$29+'Inputs'!$B$31+'Inputs'!$B$32,'Inputs'!$B$30+'Inputs'!$B$31+'Inputs'!$B$32)/1000+'Inputs'!$B$21)+'Inputs'!$B$9)/SQRT((((977-43)*MAX('Inputs'!$B$33,'Inputs'!$B$29+'Inputs'!$B$31+'Inputs'!$B$32,'Inputs'!$B$30+'Inputs'!$B$31+'Inputs'!$B$32)/1000+'Inputs'!$B$21)+'Inputs'!$B$9)^2+('Inputs'!$B$8/2)^2)-(((977-43)*MAX('Inputs'!$B$33,'Inputs'!$B$29+'Inputs'!$B$31+'Inputs'!$B$32,'Inputs'!$B$30+'Inputs'!$B$31+'Inputs'!$B$32)/1000+'Inputs'!$B$21))/SQRT((((977-43)*MAX('Inputs'!$B$33,'Inputs'!$B$29+'Inputs'!$B$31+'Inputs'!$B$32,'Inputs'!$B$30+'Inputs'!$B$31+'Inputs'!$B$32)/1000+'Inputs'!$B$21))^2+('Inputs'!$B$8/2)^2)))-'Results'!B7*(1+'Inputs'!$B$24)*(0.5*((((977-43)*MAX('Inputs'!$B$33,'Inputs'!$B$29+'Inputs'!$B$31+'Inputs'!$B$32,'Inputs'!$B$30+'Inputs'!$B$31+'Inputs'!$B$32)/1000+'Inputs'!$B$21+'Inputs'!$B$9+'Inputs'!$B$10)+'Inputs'!$B$7)/SQRT((((977-43)*MAX('Inputs'!$B$33,'Inputs'!$B$29+'Inputs'!$B$31+'Inputs'!$B$32,'Inputs'!$B$30+'Inputs'!$B$31+'Inputs'!$B$32)/1000+'Inputs'!$B$21+'Inputs'!$B$9+'Inputs'!$B$10)+'Inputs'!$B$7)^2+('Inputs'!$B$6/2)^2)-(((977-43)*MAX('Inputs'!$B$33,'Inputs'!$B$29+'Inputs'!$B$31+'Inputs'!$B$32,'Inputs'!$B$30+'Inputs'!$B$31+'Inputs'!$B$32)/1000+'Inputs'!$B$21+'Inputs'!$B$9+'Inputs'!$B$10))/SQRT((((977-43)*MAX('Inputs'!$B$33,'Inputs'!$B$29+'Inputs'!$B$31+'Inputs'!$B$32,'Inputs'!$B$30+'Inputs'!$B$31+'Inputs'!$B$32)/1000+'Inputs'!$B$21+'Inputs'!$B$9+'Inputs'!$B$10))^2+('Inputs'!$B$6/2)^2))))*'Results'!$B$8))),"")</x:f>
        <x:v>0.3368502980070349</x:v>
      </x:c>
      <x:c r="O977" t="n">
        <x:f>IF(AND(ISNUMBER('Results'!C7),ISNUMBER('Results'!B7),ISNUMBER('Results'!$B$8),ISNUMBER('Inputs'!$B$6),ISNUMBER('Inputs'!$B$7),ISNUMBER('Inputs'!$B$8),ISNUMBER('Inputs'!$B$9),ISNUMBER('Inputs'!$B$10),ISNUMBER('Inputs'!$B$21),ISNUMBER('Inputs'!$B$24),ISNUMBER('Inputs'!$B$28)),((('Results'!C7*(1+'Inputs'!$B$24)*(0.5*((((977-43)*MAX('Inputs'!$B$33,'Inputs'!$B$29+'Inputs'!$B$31+'Inputs'!$B$32,'Inputs'!$B$30+'Inputs'!$B$31+'Inputs'!$B$32)/1000+'Inputs'!$B$21)+'Inputs'!$B$9)/SQRT((((977-43)*MAX('Inputs'!$B$33,'Inputs'!$B$29+'Inputs'!$B$31+'Inputs'!$B$32,'Inputs'!$B$30+'Inputs'!$B$31+'Inputs'!$B$32)/1000+'Inputs'!$B$21)+'Inputs'!$B$9)^2+('Inputs'!$B$8/2)^2)-(((977-43)*MAX('Inputs'!$B$33,'Inputs'!$B$29+'Inputs'!$B$31+'Inputs'!$B$32,'Inputs'!$B$30+'Inputs'!$B$31+'Inputs'!$B$32)/1000+'Inputs'!$B$21))/SQRT((((977-43)*MAX('Inputs'!$B$33,'Inputs'!$B$29+'Inputs'!$B$31+'Inputs'!$B$32,'Inputs'!$B$30+'Inputs'!$B$31+'Inputs'!$B$32)/1000+'Inputs'!$B$21))^2+('Inputs'!$B$8/2)^2)))-'Results'!B7*(1-'Inputs'!$B$24)*(0.5*((((977-43)*MAX('Inputs'!$B$33,'Inputs'!$B$29+'Inputs'!$B$31+'Inputs'!$B$32,'Inputs'!$B$30+'Inputs'!$B$31+'Inputs'!$B$32)/1000+'Inputs'!$B$21+'Inputs'!$B$9+'Inputs'!$B$10)+'Inputs'!$B$7)/SQRT((((977-43)*MAX('Inputs'!$B$33,'Inputs'!$B$29+'Inputs'!$B$31+'Inputs'!$B$32,'Inputs'!$B$30+'Inputs'!$B$31+'Inputs'!$B$32)/1000+'Inputs'!$B$21+'Inputs'!$B$9+'Inputs'!$B$10)+'Inputs'!$B$7)^2+('Inputs'!$B$6/2)^2)-(((977-43)*MAX('Inputs'!$B$33,'Inputs'!$B$29+'Inputs'!$B$31+'Inputs'!$B$32,'Inputs'!$B$30+'Inputs'!$B$31+'Inputs'!$B$32)/1000+'Inputs'!$B$21+'Inputs'!$B$9+'Inputs'!$B$10))/SQRT((((977-43)*MAX('Inputs'!$B$33,'Inputs'!$B$29+'Inputs'!$B$31+'Inputs'!$B$32,'Inputs'!$B$30+'Inputs'!$B$31+'Inputs'!$B$32)/1000+'Inputs'!$B$21+'Inputs'!$B$9+'Inputs'!$B$10))^2+('Inputs'!$B$6/2)^2))))*'Results'!$B$8)+'Inputs'!$B$28*ABS((('Results'!C7*(1+'Inputs'!$B$24)*(0.5*((((977-43)*MAX('Inputs'!$B$33,'Inputs'!$B$29+'Inputs'!$B$31+'Inputs'!$B$32,'Inputs'!$B$30+'Inputs'!$B$31+'Inputs'!$B$32)/1000+'Inputs'!$B$21)+'Inputs'!$B$9)/SQRT((((977-43)*MAX('Inputs'!$B$33,'Inputs'!$B$29+'Inputs'!$B$31+'Inputs'!$B$32,'Inputs'!$B$30+'Inputs'!$B$31+'Inputs'!$B$32)/1000+'Inputs'!$B$21)+'Inputs'!$B$9)^2+('Inputs'!$B$8/2)^2)-(((977-43)*MAX('Inputs'!$B$33,'Inputs'!$B$29+'Inputs'!$B$31+'Inputs'!$B$32,'Inputs'!$B$30+'Inputs'!$B$31+'Inputs'!$B$32)/1000+'Inputs'!$B$21))/SQRT((((977-43)*MAX('Inputs'!$B$33,'Inputs'!$B$29+'Inputs'!$B$31+'Inputs'!$B$32,'Inputs'!$B$30+'Inputs'!$B$31+'Inputs'!$B$32)/1000+'Inputs'!$B$21))^2+('Inputs'!$B$8/2)^2)))-'Results'!B7*(1-'Inputs'!$B$24)*(0.5*((((977-43)*MAX('Inputs'!$B$33,'Inputs'!$B$29+'Inputs'!$B$31+'Inputs'!$B$32,'Inputs'!$B$30+'Inputs'!$B$31+'Inputs'!$B$32)/1000+'Inputs'!$B$21+'Inputs'!$B$9+'Inputs'!$B$10)+'Inputs'!$B$7)/SQRT((((977-43)*MAX('Inputs'!$B$33,'Inputs'!$B$29+'Inputs'!$B$31+'Inputs'!$B$32,'Inputs'!$B$30+'Inputs'!$B$31+'Inputs'!$B$32)/1000+'Inputs'!$B$21+'Inputs'!$B$9+'Inputs'!$B$10)+'Inputs'!$B$7)^2+('Inputs'!$B$6/2)^2)-(((977-43)*MAX('Inputs'!$B$33,'Inputs'!$B$29+'Inputs'!$B$31+'Inputs'!$B$32,'Inputs'!$B$30+'Inputs'!$B$31+'Inputs'!$B$32)/1000+'Inputs'!$B$21+'Inputs'!$B$9+'Inputs'!$B$10))/SQRT((((977-43)*MAX('Inputs'!$B$33,'Inputs'!$B$29+'Inputs'!$B$31+'Inputs'!$B$32,'Inputs'!$B$30+'Inputs'!$B$31+'Inputs'!$B$32)/1000+'Inputs'!$B$21+'Inputs'!$B$9+'Inputs'!$B$10))^2+('Inputs'!$B$6/2)^2))))*'Results'!$B$8))),"")</x:f>
        <x:v>0.480291185185434</x:v>
      </x:c>
      <x:c r="P977" t="n">
        <x:f>IF(AND(MAX(J977,J976)&gt;0,J977&gt;J976+0.00000001),1,0)</x:f>
        <x:v>0</x:v>
      </x:c>
      <x:c r="Q977" t="n">
        <x:f>IF(AND(MAX(K977,K976)&gt;0,K977&gt;K976+0.00000001),1,0)</x:f>
        <x:v>0</x:v>
      </x:c>
      <x:c r="R977" t="n">
        <x:f>IF(AND(MAX(L977,L976)&gt;0,L977&gt;L976+0.00000001),1,0)</x:f>
        <x:v>0</x:v>
      </x:c>
      <x:c r="S977" t="n">
        <x:f>IF(AND(MAX(M977,M976)&gt;0,M977&gt;M976+0.00000001),1,0)</x:f>
        <x:v>0</x:v>
      </x:c>
      <x:c r="T977" t="n">
        <x:f>IF(AND(MAX(N977,N976)&gt;0,N977&gt;N976+0.00000001),1,0)</x:f>
        <x:v>0</x:v>
      </x:c>
      <x:c r="U977" t="n">
        <x:f>IF(AND(MAX(O977,O976)&gt;0,O977&gt;O976+0.00000001),1,0)</x:f>
        <x:v>0</x:v>
      </x:c>
    </x:row>
    <x:row r="978">
      <x:c r="J978" t="n">
        <x:f>IF(AND(ISNUMBER('Results'!B7),ISNUMBER('Results'!C7),ISNUMBER('Results'!$B$8),ISNUMBER('Inputs'!$B$6),ISNUMBER('Inputs'!$B$7),ISNUMBER('Inputs'!$B$8),ISNUMBER('Inputs'!$B$9),ISNUMBER('Inputs'!$B$10),ISNUMBER('Inputs'!$B$21),ISNUMBER('Inputs'!$B$24),ISNUMBER('Inputs'!$B$28)),(('Results'!B7*(0.5*((((978-43)*MAX('Inputs'!$B$33,'Inputs'!$B$29+'Inputs'!$B$31+'Inputs'!$B$32,'Inputs'!$B$30+'Inputs'!$B$31+'Inputs'!$B$32)/1000+'Inputs'!$B$21)+'Inputs'!$B$7)/SQRT((((978-43)*MAX('Inputs'!$B$33,'Inputs'!$B$29+'Inputs'!$B$31+'Inputs'!$B$32,'Inputs'!$B$30+'Inputs'!$B$31+'Inputs'!$B$32)/1000+'Inputs'!$B$21)+'Inputs'!$B$7)^2+('Inputs'!$B$6/2)^2)-(((978-43)*MAX('Inputs'!$B$33,'Inputs'!$B$29+'Inputs'!$B$31+'Inputs'!$B$32,'Inputs'!$B$30+'Inputs'!$B$31+'Inputs'!$B$32)/1000+'Inputs'!$B$21))/SQRT((((978-43)*MAX('Inputs'!$B$33,'Inputs'!$B$29+'Inputs'!$B$31+'Inputs'!$B$32,'Inputs'!$B$30+'Inputs'!$B$31+'Inputs'!$B$32)/1000+'Inputs'!$B$21))^2+('Inputs'!$B$6/2)^2)))-'Results'!C7*(0.5*((((978-43)*MAX('Inputs'!$B$33,'Inputs'!$B$29+'Inputs'!$B$31+'Inputs'!$B$32,'Inputs'!$B$30+'Inputs'!$B$31+'Inputs'!$B$32)/1000+'Inputs'!$B$21+'Inputs'!$B$7+'Inputs'!$B$10)+'Inputs'!$B$9)/SQRT((((978-43)*MAX('Inputs'!$B$33,'Inputs'!$B$29+'Inputs'!$B$31+'Inputs'!$B$32,'Inputs'!$B$30+'Inputs'!$B$31+'Inputs'!$B$32)/1000+'Inputs'!$B$21+'Inputs'!$B$7+'Inputs'!$B$10)+'Inputs'!$B$9)^2+('Inputs'!$B$8/2)^2)-(((978-43)*MAX('Inputs'!$B$33,'Inputs'!$B$29+'Inputs'!$B$31+'Inputs'!$B$32,'Inputs'!$B$30+'Inputs'!$B$31+'Inputs'!$B$32)/1000+'Inputs'!$B$21+'Inputs'!$B$7+'Inputs'!$B$10))/SQRT((((978-43)*MAX('Inputs'!$B$33,'Inputs'!$B$29+'Inputs'!$B$31+'Inputs'!$B$32,'Inputs'!$B$30+'Inputs'!$B$31+'Inputs'!$B$32)/1000+'Inputs'!$B$21+'Inputs'!$B$7+'Inputs'!$B$10))^2+('Inputs'!$B$8/2)^2))))*'Results'!$B$8),"")</x:f>
        <x:v>0.4562485607926507</x:v>
      </x:c>
      <x:c r="K978" t="n">
        <x:f>IF(AND(ISNUMBER('Results'!B7),ISNUMBER('Results'!C7),ISNUMBER('Results'!$B$8),ISNUMBER('Inputs'!$B$6),ISNUMBER('Inputs'!$B$7),ISNUMBER('Inputs'!$B$8),ISNUMBER('Inputs'!$B$9),ISNUMBER('Inputs'!$B$10),ISNUMBER('Inputs'!$B$21),ISNUMBER('Inputs'!$B$24),ISNUMBER('Inputs'!$B$28)),((('Results'!B7*(1-'Inputs'!$B$24)*(0.5*((((978-43)*MAX('Inputs'!$B$33,'Inputs'!$B$29+'Inputs'!$B$31+'Inputs'!$B$32,'Inputs'!$B$30+'Inputs'!$B$31+'Inputs'!$B$32)/1000+'Inputs'!$B$21)+'Inputs'!$B$7)/SQRT((((978-43)*MAX('Inputs'!$B$33,'Inputs'!$B$29+'Inputs'!$B$31+'Inputs'!$B$32,'Inputs'!$B$30+'Inputs'!$B$31+'Inputs'!$B$32)/1000+'Inputs'!$B$21)+'Inputs'!$B$7)^2+('Inputs'!$B$6/2)^2)-(((978-43)*MAX('Inputs'!$B$33,'Inputs'!$B$29+'Inputs'!$B$31+'Inputs'!$B$32,'Inputs'!$B$30+'Inputs'!$B$31+'Inputs'!$B$32)/1000+'Inputs'!$B$21))/SQRT((((978-43)*MAX('Inputs'!$B$33,'Inputs'!$B$29+'Inputs'!$B$31+'Inputs'!$B$32,'Inputs'!$B$30+'Inputs'!$B$31+'Inputs'!$B$32)/1000+'Inputs'!$B$21))^2+('Inputs'!$B$6/2)^2)))-'Results'!C7*(1+'Inputs'!$B$24)*(0.5*((((978-43)*MAX('Inputs'!$B$33,'Inputs'!$B$29+'Inputs'!$B$31+'Inputs'!$B$32,'Inputs'!$B$30+'Inputs'!$B$31+'Inputs'!$B$32)/1000+'Inputs'!$B$21+'Inputs'!$B$7+'Inputs'!$B$10)+'Inputs'!$B$9)/SQRT((((978-43)*MAX('Inputs'!$B$33,'Inputs'!$B$29+'Inputs'!$B$31+'Inputs'!$B$32,'Inputs'!$B$30+'Inputs'!$B$31+'Inputs'!$B$32)/1000+'Inputs'!$B$21+'Inputs'!$B$7+'Inputs'!$B$10)+'Inputs'!$B$9)^2+('Inputs'!$B$8/2)^2)-(((978-43)*MAX('Inputs'!$B$33,'Inputs'!$B$29+'Inputs'!$B$31+'Inputs'!$B$32,'Inputs'!$B$30+'Inputs'!$B$31+'Inputs'!$B$32)/1000+'Inputs'!$B$21+'Inputs'!$B$7+'Inputs'!$B$10))/SQRT((((978-43)*MAX('Inputs'!$B$33,'Inputs'!$B$29+'Inputs'!$B$31+'Inputs'!$B$32,'Inputs'!$B$30+'Inputs'!$B$31+'Inputs'!$B$32)/1000+'Inputs'!$B$21+'Inputs'!$B$7+'Inputs'!$B$10))^2+('Inputs'!$B$8/2)^2))))*'Results'!$B$8)-'Inputs'!$B$28*ABS((('Results'!B7*(1-'Inputs'!$B$24)*(0.5*((((978-43)*MAX('Inputs'!$B$33,'Inputs'!$B$29+'Inputs'!$B$31+'Inputs'!$B$32,'Inputs'!$B$30+'Inputs'!$B$31+'Inputs'!$B$32)/1000+'Inputs'!$B$21)+'Inputs'!$B$7)/SQRT((((978-43)*MAX('Inputs'!$B$33,'Inputs'!$B$29+'Inputs'!$B$31+'Inputs'!$B$32,'Inputs'!$B$30+'Inputs'!$B$31+'Inputs'!$B$32)/1000+'Inputs'!$B$21)+'Inputs'!$B$7)^2+('Inputs'!$B$6/2)^2)-(((978-43)*MAX('Inputs'!$B$33,'Inputs'!$B$29+'Inputs'!$B$31+'Inputs'!$B$32,'Inputs'!$B$30+'Inputs'!$B$31+'Inputs'!$B$32)/1000+'Inputs'!$B$21))/SQRT((((978-43)*MAX('Inputs'!$B$33,'Inputs'!$B$29+'Inputs'!$B$31+'Inputs'!$B$32,'Inputs'!$B$30+'Inputs'!$B$31+'Inputs'!$B$32)/1000+'Inputs'!$B$21))^2+('Inputs'!$B$6/2)^2)))-'Results'!C7*(1+'Inputs'!$B$24)*(0.5*((((978-43)*MAX('Inputs'!$B$33,'Inputs'!$B$29+'Inputs'!$B$31+'Inputs'!$B$32,'Inputs'!$B$30+'Inputs'!$B$31+'Inputs'!$B$32)/1000+'Inputs'!$B$21+'Inputs'!$B$7+'Inputs'!$B$10)+'Inputs'!$B$9)/SQRT((((978-43)*MAX('Inputs'!$B$33,'Inputs'!$B$29+'Inputs'!$B$31+'Inputs'!$B$32,'Inputs'!$B$30+'Inputs'!$B$31+'Inputs'!$B$32)/1000+'Inputs'!$B$21+'Inputs'!$B$7+'Inputs'!$B$10)+'Inputs'!$B$9)^2+('Inputs'!$B$8/2)^2)-(((978-43)*MAX('Inputs'!$B$33,'Inputs'!$B$29+'Inputs'!$B$31+'Inputs'!$B$32,'Inputs'!$B$30+'Inputs'!$B$31+'Inputs'!$B$32)/1000+'Inputs'!$B$21+'Inputs'!$B$7+'Inputs'!$B$10))/SQRT((((978-43)*MAX('Inputs'!$B$33,'Inputs'!$B$29+'Inputs'!$B$31+'Inputs'!$B$32,'Inputs'!$B$30+'Inputs'!$B$31+'Inputs'!$B$32)/1000+'Inputs'!$B$21+'Inputs'!$B$7+'Inputs'!$B$10))^2+('Inputs'!$B$8/2)^2))))*'Results'!$B$8))),"")</x:f>
        <x:v>0.38456708103062415</x:v>
      </x:c>
      <x:c r="L978" t="n">
        <x:f>IF(AND(ISNUMBER('Results'!B7),ISNUMBER('Results'!C7),ISNUMBER('Results'!$B$8),ISNUMBER('Inputs'!$B$6),ISNUMBER('Inputs'!$B$7),ISNUMBER('Inputs'!$B$8),ISNUMBER('Inputs'!$B$9),ISNUMBER('Inputs'!$B$10),ISNUMBER('Inputs'!$B$21),ISNUMBER('Inputs'!$B$24),ISNUMBER('Inputs'!$B$28)),((('Results'!B7*(1+'Inputs'!$B$24)*(0.5*((((978-43)*MAX('Inputs'!$B$33,'Inputs'!$B$29+'Inputs'!$B$31+'Inputs'!$B$32,'Inputs'!$B$30+'Inputs'!$B$31+'Inputs'!$B$32)/1000+'Inputs'!$B$21)+'Inputs'!$B$7)/SQRT((((978-43)*MAX('Inputs'!$B$33,'Inputs'!$B$29+'Inputs'!$B$31+'Inputs'!$B$32,'Inputs'!$B$30+'Inputs'!$B$31+'Inputs'!$B$32)/1000+'Inputs'!$B$21)+'Inputs'!$B$7)^2+('Inputs'!$B$6/2)^2)-(((978-43)*MAX('Inputs'!$B$33,'Inputs'!$B$29+'Inputs'!$B$31+'Inputs'!$B$32,'Inputs'!$B$30+'Inputs'!$B$31+'Inputs'!$B$32)/1000+'Inputs'!$B$21))/SQRT((((978-43)*MAX('Inputs'!$B$33,'Inputs'!$B$29+'Inputs'!$B$31+'Inputs'!$B$32,'Inputs'!$B$30+'Inputs'!$B$31+'Inputs'!$B$32)/1000+'Inputs'!$B$21))^2+('Inputs'!$B$6/2)^2)))-'Results'!C7*(1-'Inputs'!$B$24)*(0.5*((((978-43)*MAX('Inputs'!$B$33,'Inputs'!$B$29+'Inputs'!$B$31+'Inputs'!$B$32,'Inputs'!$B$30+'Inputs'!$B$31+'Inputs'!$B$32)/1000+'Inputs'!$B$21+'Inputs'!$B$7+'Inputs'!$B$10)+'Inputs'!$B$9)/SQRT((((978-43)*MAX('Inputs'!$B$33,'Inputs'!$B$29+'Inputs'!$B$31+'Inputs'!$B$32,'Inputs'!$B$30+'Inputs'!$B$31+'Inputs'!$B$32)/1000+'Inputs'!$B$21+'Inputs'!$B$7+'Inputs'!$B$10)+'Inputs'!$B$9)^2+('Inputs'!$B$8/2)^2)-(((978-43)*MAX('Inputs'!$B$33,'Inputs'!$B$29+'Inputs'!$B$31+'Inputs'!$B$32,'Inputs'!$B$30+'Inputs'!$B$31+'Inputs'!$B$32)/1000+'Inputs'!$B$21+'Inputs'!$B$7+'Inputs'!$B$10))/SQRT((((978-43)*MAX('Inputs'!$B$33,'Inputs'!$B$29+'Inputs'!$B$31+'Inputs'!$B$32,'Inputs'!$B$30+'Inputs'!$B$31+'Inputs'!$B$32)/1000+'Inputs'!$B$21+'Inputs'!$B$7+'Inputs'!$B$10))^2+('Inputs'!$B$8/2)^2))))*'Results'!$B$8)+'Inputs'!$B$28*ABS((('Results'!B7*(1+'Inputs'!$B$24)*(0.5*((((978-43)*MAX('Inputs'!$B$33,'Inputs'!$B$29+'Inputs'!$B$31+'Inputs'!$B$32,'Inputs'!$B$30+'Inputs'!$B$31+'Inputs'!$B$32)/1000+'Inputs'!$B$21)+'Inputs'!$B$7)/SQRT((((978-43)*MAX('Inputs'!$B$33,'Inputs'!$B$29+'Inputs'!$B$31+'Inputs'!$B$32,'Inputs'!$B$30+'Inputs'!$B$31+'Inputs'!$B$32)/1000+'Inputs'!$B$21)+'Inputs'!$B$7)^2+('Inputs'!$B$6/2)^2)-(((978-43)*MAX('Inputs'!$B$33,'Inputs'!$B$29+'Inputs'!$B$31+'Inputs'!$B$32,'Inputs'!$B$30+'Inputs'!$B$31+'Inputs'!$B$32)/1000+'Inputs'!$B$21))/SQRT((((978-43)*MAX('Inputs'!$B$33,'Inputs'!$B$29+'Inputs'!$B$31+'Inputs'!$B$32,'Inputs'!$B$30+'Inputs'!$B$31+'Inputs'!$B$32)/1000+'Inputs'!$B$21))^2+('Inputs'!$B$6/2)^2)))-'Results'!C7*(1-'Inputs'!$B$24)*(0.5*((((978-43)*MAX('Inputs'!$B$33,'Inputs'!$B$29+'Inputs'!$B$31+'Inputs'!$B$32,'Inputs'!$B$30+'Inputs'!$B$31+'Inputs'!$B$32)/1000+'Inputs'!$B$21+'Inputs'!$B$7+'Inputs'!$B$10)+'Inputs'!$B$9)/SQRT((((978-43)*MAX('Inputs'!$B$33,'Inputs'!$B$29+'Inputs'!$B$31+'Inputs'!$B$32,'Inputs'!$B$30+'Inputs'!$B$31+'Inputs'!$B$32)/1000+'Inputs'!$B$21+'Inputs'!$B$7+'Inputs'!$B$10)+'Inputs'!$B$9)^2+('Inputs'!$B$8/2)^2)-(((978-43)*MAX('Inputs'!$B$33,'Inputs'!$B$29+'Inputs'!$B$31+'Inputs'!$B$32,'Inputs'!$B$30+'Inputs'!$B$31+'Inputs'!$B$32)/1000+'Inputs'!$B$21+'Inputs'!$B$7+'Inputs'!$B$10))/SQRT((((978-43)*MAX('Inputs'!$B$33,'Inputs'!$B$29+'Inputs'!$B$31+'Inputs'!$B$32,'Inputs'!$B$30+'Inputs'!$B$31+'Inputs'!$B$32)/1000+'Inputs'!$B$21+'Inputs'!$B$7+'Inputs'!$B$10))^2+('Inputs'!$B$8/2)^2))))*'Results'!$B$8))),"")</x:f>
        <x:v>0.533074151262298</x:v>
      </x:c>
      <x:c r="M978" t="n">
        <x:f>IF(AND(ISNUMBER('Results'!C7),ISNUMBER('Results'!B7),ISNUMBER('Results'!$B$8),ISNUMBER('Inputs'!$B$6),ISNUMBER('Inputs'!$B$7),ISNUMBER('Inputs'!$B$8),ISNUMBER('Inputs'!$B$9),ISNUMBER('Inputs'!$B$10),ISNUMBER('Inputs'!$B$21),ISNUMBER('Inputs'!$B$24),ISNUMBER('Inputs'!$B$28)),(('Results'!C7*(0.5*((((978-43)*MAX('Inputs'!$B$33,'Inputs'!$B$29+'Inputs'!$B$31+'Inputs'!$B$32,'Inputs'!$B$30+'Inputs'!$B$31+'Inputs'!$B$32)/1000+'Inputs'!$B$21)+'Inputs'!$B$9)/SQRT((((978-43)*MAX('Inputs'!$B$33,'Inputs'!$B$29+'Inputs'!$B$31+'Inputs'!$B$32,'Inputs'!$B$30+'Inputs'!$B$31+'Inputs'!$B$32)/1000+'Inputs'!$B$21)+'Inputs'!$B$9)^2+('Inputs'!$B$8/2)^2)-(((978-43)*MAX('Inputs'!$B$33,'Inputs'!$B$29+'Inputs'!$B$31+'Inputs'!$B$32,'Inputs'!$B$30+'Inputs'!$B$31+'Inputs'!$B$32)/1000+'Inputs'!$B$21))/SQRT((((978-43)*MAX('Inputs'!$B$33,'Inputs'!$B$29+'Inputs'!$B$31+'Inputs'!$B$32,'Inputs'!$B$30+'Inputs'!$B$31+'Inputs'!$B$32)/1000+'Inputs'!$B$21))^2+('Inputs'!$B$8/2)^2)))-'Results'!B7*(0.5*((((978-43)*MAX('Inputs'!$B$33,'Inputs'!$B$29+'Inputs'!$B$31+'Inputs'!$B$32,'Inputs'!$B$30+'Inputs'!$B$31+'Inputs'!$B$32)/1000+'Inputs'!$B$21+'Inputs'!$B$9+'Inputs'!$B$10)+'Inputs'!$B$7)/SQRT((((978-43)*MAX('Inputs'!$B$33,'Inputs'!$B$29+'Inputs'!$B$31+'Inputs'!$B$32,'Inputs'!$B$30+'Inputs'!$B$31+'Inputs'!$B$32)/1000+'Inputs'!$B$21+'Inputs'!$B$9+'Inputs'!$B$10)+'Inputs'!$B$7)^2+('Inputs'!$B$6/2)^2)-(((978-43)*MAX('Inputs'!$B$33,'Inputs'!$B$29+'Inputs'!$B$31+'Inputs'!$B$32,'Inputs'!$B$30+'Inputs'!$B$31+'Inputs'!$B$32)/1000+'Inputs'!$B$21+'Inputs'!$B$9+'Inputs'!$B$10))/SQRT((((978-43)*MAX('Inputs'!$B$33,'Inputs'!$B$29+'Inputs'!$B$31+'Inputs'!$B$32,'Inputs'!$B$30+'Inputs'!$B$31+'Inputs'!$B$32)/1000+'Inputs'!$B$21+'Inputs'!$B$9+'Inputs'!$B$10))^2+('Inputs'!$B$6/2)^2))))*'Results'!$B$8),"")</x:f>
        <x:v>0.40437565641174905</x:v>
      </x:c>
      <x:c r="N978" t="n">
        <x:f>IF(AND(ISNUMBER('Results'!C7),ISNUMBER('Results'!B7),ISNUMBER('Results'!$B$8),ISNUMBER('Inputs'!$B$6),ISNUMBER('Inputs'!$B$7),ISNUMBER('Inputs'!$B$8),ISNUMBER('Inputs'!$B$9),ISNUMBER('Inputs'!$B$10),ISNUMBER('Inputs'!$B$21),ISNUMBER('Inputs'!$B$24),ISNUMBER('Inputs'!$B$28)),((('Results'!C7*(1-'Inputs'!$B$24)*(0.5*((((978-43)*MAX('Inputs'!$B$33,'Inputs'!$B$29+'Inputs'!$B$31+'Inputs'!$B$32,'Inputs'!$B$30+'Inputs'!$B$31+'Inputs'!$B$32)/1000+'Inputs'!$B$21)+'Inputs'!$B$9)/SQRT((((978-43)*MAX('Inputs'!$B$33,'Inputs'!$B$29+'Inputs'!$B$31+'Inputs'!$B$32,'Inputs'!$B$30+'Inputs'!$B$31+'Inputs'!$B$32)/1000+'Inputs'!$B$21)+'Inputs'!$B$9)^2+('Inputs'!$B$8/2)^2)-(((978-43)*MAX('Inputs'!$B$33,'Inputs'!$B$29+'Inputs'!$B$31+'Inputs'!$B$32,'Inputs'!$B$30+'Inputs'!$B$31+'Inputs'!$B$32)/1000+'Inputs'!$B$21))/SQRT((((978-43)*MAX('Inputs'!$B$33,'Inputs'!$B$29+'Inputs'!$B$31+'Inputs'!$B$32,'Inputs'!$B$30+'Inputs'!$B$31+'Inputs'!$B$32)/1000+'Inputs'!$B$21))^2+('Inputs'!$B$8/2)^2)))-'Results'!B7*(1+'Inputs'!$B$24)*(0.5*((((978-43)*MAX('Inputs'!$B$33,'Inputs'!$B$29+'Inputs'!$B$31+'Inputs'!$B$32,'Inputs'!$B$30+'Inputs'!$B$31+'Inputs'!$B$32)/1000+'Inputs'!$B$21+'Inputs'!$B$9+'Inputs'!$B$10)+'Inputs'!$B$7)/SQRT((((978-43)*MAX('Inputs'!$B$33,'Inputs'!$B$29+'Inputs'!$B$31+'Inputs'!$B$32,'Inputs'!$B$30+'Inputs'!$B$31+'Inputs'!$B$32)/1000+'Inputs'!$B$21+'Inputs'!$B$9+'Inputs'!$B$10)+'Inputs'!$B$7)^2+('Inputs'!$B$6/2)^2)-(((978-43)*MAX('Inputs'!$B$33,'Inputs'!$B$29+'Inputs'!$B$31+'Inputs'!$B$32,'Inputs'!$B$30+'Inputs'!$B$31+'Inputs'!$B$32)/1000+'Inputs'!$B$21+'Inputs'!$B$9+'Inputs'!$B$10))/SQRT((((978-43)*MAX('Inputs'!$B$33,'Inputs'!$B$29+'Inputs'!$B$31+'Inputs'!$B$32,'Inputs'!$B$30+'Inputs'!$B$31+'Inputs'!$B$32)/1000+'Inputs'!$B$21+'Inputs'!$B$9+'Inputs'!$B$10))^2+('Inputs'!$B$6/2)^2))))*'Results'!$B$8)-'Inputs'!$B$28*ABS((('Results'!C7*(1-'Inputs'!$B$24)*(0.5*((((978-43)*MAX('Inputs'!$B$33,'Inputs'!$B$29+'Inputs'!$B$31+'Inputs'!$B$32,'Inputs'!$B$30+'Inputs'!$B$31+'Inputs'!$B$32)/1000+'Inputs'!$B$21)+'Inputs'!$B$9)/SQRT((((978-43)*MAX('Inputs'!$B$33,'Inputs'!$B$29+'Inputs'!$B$31+'Inputs'!$B$32,'Inputs'!$B$30+'Inputs'!$B$31+'Inputs'!$B$32)/1000+'Inputs'!$B$21)+'Inputs'!$B$9)^2+('Inputs'!$B$8/2)^2)-(((978-43)*MAX('Inputs'!$B$33,'Inputs'!$B$29+'Inputs'!$B$31+'Inputs'!$B$32,'Inputs'!$B$30+'Inputs'!$B$31+'Inputs'!$B$32)/1000+'Inputs'!$B$21))/SQRT((((978-43)*MAX('Inputs'!$B$33,'Inputs'!$B$29+'Inputs'!$B$31+'Inputs'!$B$32,'Inputs'!$B$30+'Inputs'!$B$31+'Inputs'!$B$32)/1000+'Inputs'!$B$21))^2+('Inputs'!$B$8/2)^2)))-'Results'!B7*(1+'Inputs'!$B$24)*(0.5*((((978-43)*MAX('Inputs'!$B$33,'Inputs'!$B$29+'Inputs'!$B$31+'Inputs'!$B$32,'Inputs'!$B$30+'Inputs'!$B$31+'Inputs'!$B$32)/1000+'Inputs'!$B$21+'Inputs'!$B$9+'Inputs'!$B$10)+'Inputs'!$B$7)/SQRT((((978-43)*MAX('Inputs'!$B$33,'Inputs'!$B$29+'Inputs'!$B$31+'Inputs'!$B$32,'Inputs'!$B$30+'Inputs'!$B$31+'Inputs'!$B$32)/1000+'Inputs'!$B$21+'Inputs'!$B$9+'Inputs'!$B$10)+'Inputs'!$B$7)^2+('Inputs'!$B$6/2)^2)-(((978-43)*MAX('Inputs'!$B$33,'Inputs'!$B$29+'Inputs'!$B$31+'Inputs'!$B$32,'Inputs'!$B$30+'Inputs'!$B$31+'Inputs'!$B$32)/1000+'Inputs'!$B$21+'Inputs'!$B$9+'Inputs'!$B$10))/SQRT((((978-43)*MAX('Inputs'!$B$33,'Inputs'!$B$29+'Inputs'!$B$31+'Inputs'!$B$32,'Inputs'!$B$30+'Inputs'!$B$31+'Inputs'!$B$32)/1000+'Inputs'!$B$21+'Inputs'!$B$9+'Inputs'!$B$10))^2+('Inputs'!$B$6/2)^2))))*'Results'!$B$8))),"")</x:f>
        <x:v>0.33545299217307945</x:v>
      </x:c>
      <x:c r="O978" t="n">
        <x:f>IF(AND(ISNUMBER('Results'!C7),ISNUMBER('Results'!B7),ISNUMBER('Results'!$B$8),ISNUMBER('Inputs'!$B$6),ISNUMBER('Inputs'!$B$7),ISNUMBER('Inputs'!$B$8),ISNUMBER('Inputs'!$B$9),ISNUMBER('Inputs'!$B$10),ISNUMBER('Inputs'!$B$21),ISNUMBER('Inputs'!$B$24),ISNUMBER('Inputs'!$B$28)),((('Results'!C7*(1+'Inputs'!$B$24)*(0.5*((((978-43)*MAX('Inputs'!$B$33,'Inputs'!$B$29+'Inputs'!$B$31+'Inputs'!$B$32,'Inputs'!$B$30+'Inputs'!$B$31+'Inputs'!$B$32)/1000+'Inputs'!$B$21)+'Inputs'!$B$9)/SQRT((((978-43)*MAX('Inputs'!$B$33,'Inputs'!$B$29+'Inputs'!$B$31+'Inputs'!$B$32,'Inputs'!$B$30+'Inputs'!$B$31+'Inputs'!$B$32)/1000+'Inputs'!$B$21)+'Inputs'!$B$9)^2+('Inputs'!$B$8/2)^2)-(((978-43)*MAX('Inputs'!$B$33,'Inputs'!$B$29+'Inputs'!$B$31+'Inputs'!$B$32,'Inputs'!$B$30+'Inputs'!$B$31+'Inputs'!$B$32)/1000+'Inputs'!$B$21))/SQRT((((978-43)*MAX('Inputs'!$B$33,'Inputs'!$B$29+'Inputs'!$B$31+'Inputs'!$B$32,'Inputs'!$B$30+'Inputs'!$B$31+'Inputs'!$B$32)/1000+'Inputs'!$B$21))^2+('Inputs'!$B$8/2)^2)))-'Results'!B7*(1-'Inputs'!$B$24)*(0.5*((((978-43)*MAX('Inputs'!$B$33,'Inputs'!$B$29+'Inputs'!$B$31+'Inputs'!$B$32,'Inputs'!$B$30+'Inputs'!$B$31+'Inputs'!$B$32)/1000+'Inputs'!$B$21+'Inputs'!$B$9+'Inputs'!$B$10)+'Inputs'!$B$7)/SQRT((((978-43)*MAX('Inputs'!$B$33,'Inputs'!$B$29+'Inputs'!$B$31+'Inputs'!$B$32,'Inputs'!$B$30+'Inputs'!$B$31+'Inputs'!$B$32)/1000+'Inputs'!$B$21+'Inputs'!$B$9+'Inputs'!$B$10)+'Inputs'!$B$7)^2+('Inputs'!$B$6/2)^2)-(((978-43)*MAX('Inputs'!$B$33,'Inputs'!$B$29+'Inputs'!$B$31+'Inputs'!$B$32,'Inputs'!$B$30+'Inputs'!$B$31+'Inputs'!$B$32)/1000+'Inputs'!$B$21+'Inputs'!$B$9+'Inputs'!$B$10))/SQRT((((978-43)*MAX('Inputs'!$B$33,'Inputs'!$B$29+'Inputs'!$B$31+'Inputs'!$B$32,'Inputs'!$B$30+'Inputs'!$B$31+'Inputs'!$B$32)/1000+'Inputs'!$B$21+'Inputs'!$B$9+'Inputs'!$B$10))^2+('Inputs'!$B$6/2)^2))))*'Results'!$B$8)+'Inputs'!$B$28*ABS((('Results'!C7*(1+'Inputs'!$B$24)*(0.5*((((978-43)*MAX('Inputs'!$B$33,'Inputs'!$B$29+'Inputs'!$B$31+'Inputs'!$B$32,'Inputs'!$B$30+'Inputs'!$B$31+'Inputs'!$B$32)/1000+'Inputs'!$B$21)+'Inputs'!$B$9)/SQRT((((978-43)*MAX('Inputs'!$B$33,'Inputs'!$B$29+'Inputs'!$B$31+'Inputs'!$B$32,'Inputs'!$B$30+'Inputs'!$B$31+'Inputs'!$B$32)/1000+'Inputs'!$B$21)+'Inputs'!$B$9)^2+('Inputs'!$B$8/2)^2)-(((978-43)*MAX('Inputs'!$B$33,'Inputs'!$B$29+'Inputs'!$B$31+'Inputs'!$B$32,'Inputs'!$B$30+'Inputs'!$B$31+'Inputs'!$B$32)/1000+'Inputs'!$B$21))/SQRT((((978-43)*MAX('Inputs'!$B$33,'Inputs'!$B$29+'Inputs'!$B$31+'Inputs'!$B$32,'Inputs'!$B$30+'Inputs'!$B$31+'Inputs'!$B$32)/1000+'Inputs'!$B$21))^2+('Inputs'!$B$8/2)^2)))-'Results'!B7*(1-'Inputs'!$B$24)*(0.5*((((978-43)*MAX('Inputs'!$B$33,'Inputs'!$B$29+'Inputs'!$B$31+'Inputs'!$B$32,'Inputs'!$B$30+'Inputs'!$B$31+'Inputs'!$B$32)/1000+'Inputs'!$B$21+'Inputs'!$B$9+'Inputs'!$B$10)+'Inputs'!$B$7)/SQRT((((978-43)*MAX('Inputs'!$B$33,'Inputs'!$B$29+'Inputs'!$B$31+'Inputs'!$B$32,'Inputs'!$B$30+'Inputs'!$B$31+'Inputs'!$B$32)/1000+'Inputs'!$B$21+'Inputs'!$B$9+'Inputs'!$B$10)+'Inputs'!$B$7)^2+('Inputs'!$B$6/2)^2)-(((978-43)*MAX('Inputs'!$B$33,'Inputs'!$B$29+'Inputs'!$B$31+'Inputs'!$B$32,'Inputs'!$B$30+'Inputs'!$B$31+'Inputs'!$B$32)/1000+'Inputs'!$B$21+'Inputs'!$B$9+'Inputs'!$B$10))/SQRT((((978-43)*MAX('Inputs'!$B$33,'Inputs'!$B$29+'Inputs'!$B$31+'Inputs'!$B$32,'Inputs'!$B$30+'Inputs'!$B$31+'Inputs'!$B$32)/1000+'Inputs'!$B$21+'Inputs'!$B$9+'Inputs'!$B$10))^2+('Inputs'!$B$6/2)^2))))*'Results'!$B$8))),"")</x:f>
        <x:v>0.4784250450102168</x:v>
      </x:c>
      <x:c r="P978" t="n">
        <x:f>IF(AND(MAX(J978,J977)&gt;0,J978&gt;J977+0.00000001),1,0)</x:f>
        <x:v>0</x:v>
      </x:c>
      <x:c r="Q978" t="n">
        <x:f>IF(AND(MAX(K978,K977)&gt;0,K978&gt;K977+0.00000001),1,0)</x:f>
        <x:v>0</x:v>
      </x:c>
      <x:c r="R978" t="n">
        <x:f>IF(AND(MAX(L978,L977)&gt;0,L978&gt;L977+0.00000001),1,0)</x:f>
        <x:v>0</x:v>
      </x:c>
      <x:c r="S978" t="n">
        <x:f>IF(AND(MAX(M978,M977)&gt;0,M978&gt;M977+0.00000001),1,0)</x:f>
        <x:v>0</x:v>
      </x:c>
      <x:c r="T978" t="n">
        <x:f>IF(AND(MAX(N978,N977)&gt;0,N978&gt;N977+0.00000001),1,0)</x:f>
        <x:v>0</x:v>
      </x:c>
      <x:c r="U978" t="n">
        <x:f>IF(AND(MAX(O978,O977)&gt;0,O978&gt;O977+0.00000001),1,0)</x:f>
        <x:v>0</x:v>
      </x:c>
    </x:row>
    <x:row r="979">
      <x:c r="J979" t="n">
        <x:f>IF(AND(ISNUMBER('Results'!B7),ISNUMBER('Results'!C7),ISNUMBER('Results'!$B$8),ISNUMBER('Inputs'!$B$6),ISNUMBER('Inputs'!$B$7),ISNUMBER('Inputs'!$B$8),ISNUMBER('Inputs'!$B$9),ISNUMBER('Inputs'!$B$10),ISNUMBER('Inputs'!$B$21),ISNUMBER('Inputs'!$B$24),ISNUMBER('Inputs'!$B$28)),(('Results'!B7*(0.5*((((979-43)*MAX('Inputs'!$B$33,'Inputs'!$B$29+'Inputs'!$B$31+'Inputs'!$B$32,'Inputs'!$B$30+'Inputs'!$B$31+'Inputs'!$B$32)/1000+'Inputs'!$B$21)+'Inputs'!$B$7)/SQRT((((979-43)*MAX('Inputs'!$B$33,'Inputs'!$B$29+'Inputs'!$B$31+'Inputs'!$B$32,'Inputs'!$B$30+'Inputs'!$B$31+'Inputs'!$B$32)/1000+'Inputs'!$B$21)+'Inputs'!$B$7)^2+('Inputs'!$B$6/2)^2)-(((979-43)*MAX('Inputs'!$B$33,'Inputs'!$B$29+'Inputs'!$B$31+'Inputs'!$B$32,'Inputs'!$B$30+'Inputs'!$B$31+'Inputs'!$B$32)/1000+'Inputs'!$B$21))/SQRT((((979-43)*MAX('Inputs'!$B$33,'Inputs'!$B$29+'Inputs'!$B$31+'Inputs'!$B$32,'Inputs'!$B$30+'Inputs'!$B$31+'Inputs'!$B$32)/1000+'Inputs'!$B$21))^2+('Inputs'!$B$6/2)^2)))-'Results'!C7*(0.5*((((979-43)*MAX('Inputs'!$B$33,'Inputs'!$B$29+'Inputs'!$B$31+'Inputs'!$B$32,'Inputs'!$B$30+'Inputs'!$B$31+'Inputs'!$B$32)/1000+'Inputs'!$B$21+'Inputs'!$B$7+'Inputs'!$B$10)+'Inputs'!$B$9)/SQRT((((979-43)*MAX('Inputs'!$B$33,'Inputs'!$B$29+'Inputs'!$B$31+'Inputs'!$B$32,'Inputs'!$B$30+'Inputs'!$B$31+'Inputs'!$B$32)/1000+'Inputs'!$B$21+'Inputs'!$B$7+'Inputs'!$B$10)+'Inputs'!$B$9)^2+('Inputs'!$B$8/2)^2)-(((979-43)*MAX('Inputs'!$B$33,'Inputs'!$B$29+'Inputs'!$B$31+'Inputs'!$B$32,'Inputs'!$B$30+'Inputs'!$B$31+'Inputs'!$B$32)/1000+'Inputs'!$B$21+'Inputs'!$B$7+'Inputs'!$B$10))/SQRT((((979-43)*MAX('Inputs'!$B$33,'Inputs'!$B$29+'Inputs'!$B$31+'Inputs'!$B$32,'Inputs'!$B$30+'Inputs'!$B$31+'Inputs'!$B$32)/1000+'Inputs'!$B$21+'Inputs'!$B$7+'Inputs'!$B$10))^2+('Inputs'!$B$8/2)^2))))*'Results'!$B$8),"")</x:f>
        <x:v>0.4544780642282329</x:v>
      </x:c>
      <x:c r="K979" t="n">
        <x:f>IF(AND(ISNUMBER('Results'!B7),ISNUMBER('Results'!C7),ISNUMBER('Results'!$B$8),ISNUMBER('Inputs'!$B$6),ISNUMBER('Inputs'!$B$7),ISNUMBER('Inputs'!$B$8),ISNUMBER('Inputs'!$B$9),ISNUMBER('Inputs'!$B$10),ISNUMBER('Inputs'!$B$21),ISNUMBER('Inputs'!$B$24),ISNUMBER('Inputs'!$B$28)),((('Results'!B7*(1-'Inputs'!$B$24)*(0.5*((((979-43)*MAX('Inputs'!$B$33,'Inputs'!$B$29+'Inputs'!$B$31+'Inputs'!$B$32,'Inputs'!$B$30+'Inputs'!$B$31+'Inputs'!$B$32)/1000+'Inputs'!$B$21)+'Inputs'!$B$7)/SQRT((((979-43)*MAX('Inputs'!$B$33,'Inputs'!$B$29+'Inputs'!$B$31+'Inputs'!$B$32,'Inputs'!$B$30+'Inputs'!$B$31+'Inputs'!$B$32)/1000+'Inputs'!$B$21)+'Inputs'!$B$7)^2+('Inputs'!$B$6/2)^2)-(((979-43)*MAX('Inputs'!$B$33,'Inputs'!$B$29+'Inputs'!$B$31+'Inputs'!$B$32,'Inputs'!$B$30+'Inputs'!$B$31+'Inputs'!$B$32)/1000+'Inputs'!$B$21))/SQRT((((979-43)*MAX('Inputs'!$B$33,'Inputs'!$B$29+'Inputs'!$B$31+'Inputs'!$B$32,'Inputs'!$B$30+'Inputs'!$B$31+'Inputs'!$B$32)/1000+'Inputs'!$B$21))^2+('Inputs'!$B$6/2)^2)))-'Results'!C7*(1+'Inputs'!$B$24)*(0.5*((((979-43)*MAX('Inputs'!$B$33,'Inputs'!$B$29+'Inputs'!$B$31+'Inputs'!$B$32,'Inputs'!$B$30+'Inputs'!$B$31+'Inputs'!$B$32)/1000+'Inputs'!$B$21+'Inputs'!$B$7+'Inputs'!$B$10)+'Inputs'!$B$9)/SQRT((((979-43)*MAX('Inputs'!$B$33,'Inputs'!$B$29+'Inputs'!$B$31+'Inputs'!$B$32,'Inputs'!$B$30+'Inputs'!$B$31+'Inputs'!$B$32)/1000+'Inputs'!$B$21+'Inputs'!$B$7+'Inputs'!$B$10)+'Inputs'!$B$9)^2+('Inputs'!$B$8/2)^2)-(((979-43)*MAX('Inputs'!$B$33,'Inputs'!$B$29+'Inputs'!$B$31+'Inputs'!$B$32,'Inputs'!$B$30+'Inputs'!$B$31+'Inputs'!$B$32)/1000+'Inputs'!$B$21+'Inputs'!$B$7+'Inputs'!$B$10))/SQRT((((979-43)*MAX('Inputs'!$B$33,'Inputs'!$B$29+'Inputs'!$B$31+'Inputs'!$B$32,'Inputs'!$B$30+'Inputs'!$B$31+'Inputs'!$B$32)/1000+'Inputs'!$B$21+'Inputs'!$B$7+'Inputs'!$B$10))^2+('Inputs'!$B$8/2)^2))))*'Results'!$B$8)-'Inputs'!$B$28*ABS((('Results'!B7*(1-'Inputs'!$B$24)*(0.5*((((979-43)*MAX('Inputs'!$B$33,'Inputs'!$B$29+'Inputs'!$B$31+'Inputs'!$B$32,'Inputs'!$B$30+'Inputs'!$B$31+'Inputs'!$B$32)/1000+'Inputs'!$B$21)+'Inputs'!$B$7)/SQRT((((979-43)*MAX('Inputs'!$B$33,'Inputs'!$B$29+'Inputs'!$B$31+'Inputs'!$B$32,'Inputs'!$B$30+'Inputs'!$B$31+'Inputs'!$B$32)/1000+'Inputs'!$B$21)+'Inputs'!$B$7)^2+('Inputs'!$B$6/2)^2)-(((979-43)*MAX('Inputs'!$B$33,'Inputs'!$B$29+'Inputs'!$B$31+'Inputs'!$B$32,'Inputs'!$B$30+'Inputs'!$B$31+'Inputs'!$B$32)/1000+'Inputs'!$B$21))/SQRT((((979-43)*MAX('Inputs'!$B$33,'Inputs'!$B$29+'Inputs'!$B$31+'Inputs'!$B$32,'Inputs'!$B$30+'Inputs'!$B$31+'Inputs'!$B$32)/1000+'Inputs'!$B$21))^2+('Inputs'!$B$6/2)^2)))-'Results'!C7*(1+'Inputs'!$B$24)*(0.5*((((979-43)*MAX('Inputs'!$B$33,'Inputs'!$B$29+'Inputs'!$B$31+'Inputs'!$B$32,'Inputs'!$B$30+'Inputs'!$B$31+'Inputs'!$B$32)/1000+'Inputs'!$B$21+'Inputs'!$B$7+'Inputs'!$B$10)+'Inputs'!$B$9)/SQRT((((979-43)*MAX('Inputs'!$B$33,'Inputs'!$B$29+'Inputs'!$B$31+'Inputs'!$B$32,'Inputs'!$B$30+'Inputs'!$B$31+'Inputs'!$B$32)/1000+'Inputs'!$B$21+'Inputs'!$B$7+'Inputs'!$B$10)+'Inputs'!$B$9)^2+('Inputs'!$B$8/2)^2)-(((979-43)*MAX('Inputs'!$B$33,'Inputs'!$B$29+'Inputs'!$B$31+'Inputs'!$B$32,'Inputs'!$B$30+'Inputs'!$B$31+'Inputs'!$B$32)/1000+'Inputs'!$B$21+'Inputs'!$B$7+'Inputs'!$B$10))/SQRT((((979-43)*MAX('Inputs'!$B$33,'Inputs'!$B$29+'Inputs'!$B$31+'Inputs'!$B$32,'Inputs'!$B$30+'Inputs'!$B$31+'Inputs'!$B$32)/1000+'Inputs'!$B$21+'Inputs'!$B$7+'Inputs'!$B$10))^2+('Inputs'!$B$8/2)^2))))*'Results'!$B$8))),"")</x:f>
        <x:v>0.383030734014795</x:v>
      </x:c>
      <x:c r="L979" t="n">
        <x:f>IF(AND(ISNUMBER('Results'!B7),ISNUMBER('Results'!C7),ISNUMBER('Results'!$B$8),ISNUMBER('Inputs'!$B$6),ISNUMBER('Inputs'!$B$7),ISNUMBER('Inputs'!$B$8),ISNUMBER('Inputs'!$B$9),ISNUMBER('Inputs'!$B$10),ISNUMBER('Inputs'!$B$21),ISNUMBER('Inputs'!$B$24),ISNUMBER('Inputs'!$B$28)),((('Results'!B7*(1+'Inputs'!$B$24)*(0.5*((((979-43)*MAX('Inputs'!$B$33,'Inputs'!$B$29+'Inputs'!$B$31+'Inputs'!$B$32,'Inputs'!$B$30+'Inputs'!$B$31+'Inputs'!$B$32)/1000+'Inputs'!$B$21)+'Inputs'!$B$7)/SQRT((((979-43)*MAX('Inputs'!$B$33,'Inputs'!$B$29+'Inputs'!$B$31+'Inputs'!$B$32,'Inputs'!$B$30+'Inputs'!$B$31+'Inputs'!$B$32)/1000+'Inputs'!$B$21)+'Inputs'!$B$7)^2+('Inputs'!$B$6/2)^2)-(((979-43)*MAX('Inputs'!$B$33,'Inputs'!$B$29+'Inputs'!$B$31+'Inputs'!$B$32,'Inputs'!$B$30+'Inputs'!$B$31+'Inputs'!$B$32)/1000+'Inputs'!$B$21))/SQRT((((979-43)*MAX('Inputs'!$B$33,'Inputs'!$B$29+'Inputs'!$B$31+'Inputs'!$B$32,'Inputs'!$B$30+'Inputs'!$B$31+'Inputs'!$B$32)/1000+'Inputs'!$B$21))^2+('Inputs'!$B$6/2)^2)))-'Results'!C7*(1-'Inputs'!$B$24)*(0.5*((((979-43)*MAX('Inputs'!$B$33,'Inputs'!$B$29+'Inputs'!$B$31+'Inputs'!$B$32,'Inputs'!$B$30+'Inputs'!$B$31+'Inputs'!$B$32)/1000+'Inputs'!$B$21+'Inputs'!$B$7+'Inputs'!$B$10)+'Inputs'!$B$9)/SQRT((((979-43)*MAX('Inputs'!$B$33,'Inputs'!$B$29+'Inputs'!$B$31+'Inputs'!$B$32,'Inputs'!$B$30+'Inputs'!$B$31+'Inputs'!$B$32)/1000+'Inputs'!$B$21+'Inputs'!$B$7+'Inputs'!$B$10)+'Inputs'!$B$9)^2+('Inputs'!$B$8/2)^2)-(((979-43)*MAX('Inputs'!$B$33,'Inputs'!$B$29+'Inputs'!$B$31+'Inputs'!$B$32,'Inputs'!$B$30+'Inputs'!$B$31+'Inputs'!$B$32)/1000+'Inputs'!$B$21+'Inputs'!$B$7+'Inputs'!$B$10))/SQRT((((979-43)*MAX('Inputs'!$B$33,'Inputs'!$B$29+'Inputs'!$B$31+'Inputs'!$B$32,'Inputs'!$B$30+'Inputs'!$B$31+'Inputs'!$B$32)/1000+'Inputs'!$B$21+'Inputs'!$B$7+'Inputs'!$B$10))^2+('Inputs'!$B$8/2)^2))))*'Results'!$B$8)+'Inputs'!$B$28*ABS((('Results'!B7*(1+'Inputs'!$B$24)*(0.5*((((979-43)*MAX('Inputs'!$B$33,'Inputs'!$B$29+'Inputs'!$B$31+'Inputs'!$B$32,'Inputs'!$B$30+'Inputs'!$B$31+'Inputs'!$B$32)/1000+'Inputs'!$B$21)+'Inputs'!$B$7)/SQRT((((979-43)*MAX('Inputs'!$B$33,'Inputs'!$B$29+'Inputs'!$B$31+'Inputs'!$B$32,'Inputs'!$B$30+'Inputs'!$B$31+'Inputs'!$B$32)/1000+'Inputs'!$B$21)+'Inputs'!$B$7)^2+('Inputs'!$B$6/2)^2)-(((979-43)*MAX('Inputs'!$B$33,'Inputs'!$B$29+'Inputs'!$B$31+'Inputs'!$B$32,'Inputs'!$B$30+'Inputs'!$B$31+'Inputs'!$B$32)/1000+'Inputs'!$B$21))/SQRT((((979-43)*MAX('Inputs'!$B$33,'Inputs'!$B$29+'Inputs'!$B$31+'Inputs'!$B$32,'Inputs'!$B$30+'Inputs'!$B$31+'Inputs'!$B$32)/1000+'Inputs'!$B$21))^2+('Inputs'!$B$6/2)^2)))-'Results'!C7*(1-'Inputs'!$B$24)*(0.5*((((979-43)*MAX('Inputs'!$B$33,'Inputs'!$B$29+'Inputs'!$B$31+'Inputs'!$B$32,'Inputs'!$B$30+'Inputs'!$B$31+'Inputs'!$B$32)/1000+'Inputs'!$B$21+'Inputs'!$B$7+'Inputs'!$B$10)+'Inputs'!$B$9)/SQRT((((979-43)*MAX('Inputs'!$B$33,'Inputs'!$B$29+'Inputs'!$B$31+'Inputs'!$B$32,'Inputs'!$B$30+'Inputs'!$B$31+'Inputs'!$B$32)/1000+'Inputs'!$B$21+'Inputs'!$B$7+'Inputs'!$B$10)+'Inputs'!$B$9)^2+('Inputs'!$B$8/2)^2)-(((979-43)*MAX('Inputs'!$B$33,'Inputs'!$B$29+'Inputs'!$B$31+'Inputs'!$B$32,'Inputs'!$B$30+'Inputs'!$B$31+'Inputs'!$B$32)/1000+'Inputs'!$B$21+'Inputs'!$B$7+'Inputs'!$B$10))/SQRT((((979-43)*MAX('Inputs'!$B$33,'Inputs'!$B$29+'Inputs'!$B$31+'Inputs'!$B$32,'Inputs'!$B$30+'Inputs'!$B$31+'Inputs'!$B$32)/1000+'Inputs'!$B$21+'Inputs'!$B$7+'Inputs'!$B$10))^2+('Inputs'!$B$8/2)^2))))*'Results'!$B$8))),"")</x:f>
        <x:v>0.5310541762313578</x:v>
      </x:c>
      <x:c r="M979" t="n">
        <x:f>IF(AND(ISNUMBER('Results'!C7),ISNUMBER('Results'!B7),ISNUMBER('Results'!$B$8),ISNUMBER('Inputs'!$B$6),ISNUMBER('Inputs'!$B$7),ISNUMBER('Inputs'!$B$8),ISNUMBER('Inputs'!$B$9),ISNUMBER('Inputs'!$B$10),ISNUMBER('Inputs'!$B$21),ISNUMBER('Inputs'!$B$24),ISNUMBER('Inputs'!$B$28)),(('Results'!C7*(0.5*((((979-43)*MAX('Inputs'!$B$33,'Inputs'!$B$29+'Inputs'!$B$31+'Inputs'!$B$32,'Inputs'!$B$30+'Inputs'!$B$31+'Inputs'!$B$32)/1000+'Inputs'!$B$21)+'Inputs'!$B$9)/SQRT((((979-43)*MAX('Inputs'!$B$33,'Inputs'!$B$29+'Inputs'!$B$31+'Inputs'!$B$32,'Inputs'!$B$30+'Inputs'!$B$31+'Inputs'!$B$32)/1000+'Inputs'!$B$21)+'Inputs'!$B$9)^2+('Inputs'!$B$8/2)^2)-(((979-43)*MAX('Inputs'!$B$33,'Inputs'!$B$29+'Inputs'!$B$31+'Inputs'!$B$32,'Inputs'!$B$30+'Inputs'!$B$31+'Inputs'!$B$32)/1000+'Inputs'!$B$21))/SQRT((((979-43)*MAX('Inputs'!$B$33,'Inputs'!$B$29+'Inputs'!$B$31+'Inputs'!$B$32,'Inputs'!$B$30+'Inputs'!$B$31+'Inputs'!$B$32)/1000+'Inputs'!$B$21))^2+('Inputs'!$B$8/2)^2)))-'Results'!B7*(0.5*((((979-43)*MAX('Inputs'!$B$33,'Inputs'!$B$29+'Inputs'!$B$31+'Inputs'!$B$32,'Inputs'!$B$30+'Inputs'!$B$31+'Inputs'!$B$32)/1000+'Inputs'!$B$21+'Inputs'!$B$9+'Inputs'!$B$10)+'Inputs'!$B$7)/SQRT((((979-43)*MAX('Inputs'!$B$33,'Inputs'!$B$29+'Inputs'!$B$31+'Inputs'!$B$32,'Inputs'!$B$30+'Inputs'!$B$31+'Inputs'!$B$32)/1000+'Inputs'!$B$21+'Inputs'!$B$9+'Inputs'!$B$10)+'Inputs'!$B$7)^2+('Inputs'!$B$6/2)^2)-(((979-43)*MAX('Inputs'!$B$33,'Inputs'!$B$29+'Inputs'!$B$31+'Inputs'!$B$32,'Inputs'!$B$30+'Inputs'!$B$31+'Inputs'!$B$32)/1000+'Inputs'!$B$21+'Inputs'!$B$9+'Inputs'!$B$10))/SQRT((((979-43)*MAX('Inputs'!$B$33,'Inputs'!$B$29+'Inputs'!$B$31+'Inputs'!$B$32,'Inputs'!$B$30+'Inputs'!$B$31+'Inputs'!$B$32)/1000+'Inputs'!$B$21+'Inputs'!$B$9+'Inputs'!$B$10))^2+('Inputs'!$B$6/2)^2))))*'Results'!$B$8),"")</x:f>
        <x:v>0.4027596518761358</x:v>
      </x:c>
      <x:c r="N979" t="n">
        <x:f>IF(AND(ISNUMBER('Results'!C7),ISNUMBER('Results'!B7),ISNUMBER('Results'!$B$8),ISNUMBER('Inputs'!$B$6),ISNUMBER('Inputs'!$B$7),ISNUMBER('Inputs'!$B$8),ISNUMBER('Inputs'!$B$9),ISNUMBER('Inputs'!$B$10),ISNUMBER('Inputs'!$B$21),ISNUMBER('Inputs'!$B$24),ISNUMBER('Inputs'!$B$28)),((('Results'!C7*(1-'Inputs'!$B$24)*(0.5*((((979-43)*MAX('Inputs'!$B$33,'Inputs'!$B$29+'Inputs'!$B$31+'Inputs'!$B$32,'Inputs'!$B$30+'Inputs'!$B$31+'Inputs'!$B$32)/1000+'Inputs'!$B$21)+'Inputs'!$B$9)/SQRT((((979-43)*MAX('Inputs'!$B$33,'Inputs'!$B$29+'Inputs'!$B$31+'Inputs'!$B$32,'Inputs'!$B$30+'Inputs'!$B$31+'Inputs'!$B$32)/1000+'Inputs'!$B$21)+'Inputs'!$B$9)^2+('Inputs'!$B$8/2)^2)-(((979-43)*MAX('Inputs'!$B$33,'Inputs'!$B$29+'Inputs'!$B$31+'Inputs'!$B$32,'Inputs'!$B$30+'Inputs'!$B$31+'Inputs'!$B$32)/1000+'Inputs'!$B$21))/SQRT((((979-43)*MAX('Inputs'!$B$33,'Inputs'!$B$29+'Inputs'!$B$31+'Inputs'!$B$32,'Inputs'!$B$30+'Inputs'!$B$31+'Inputs'!$B$32)/1000+'Inputs'!$B$21))^2+('Inputs'!$B$8/2)^2)))-'Results'!B7*(1+'Inputs'!$B$24)*(0.5*((((979-43)*MAX('Inputs'!$B$33,'Inputs'!$B$29+'Inputs'!$B$31+'Inputs'!$B$32,'Inputs'!$B$30+'Inputs'!$B$31+'Inputs'!$B$32)/1000+'Inputs'!$B$21+'Inputs'!$B$9+'Inputs'!$B$10)+'Inputs'!$B$7)/SQRT((((979-43)*MAX('Inputs'!$B$33,'Inputs'!$B$29+'Inputs'!$B$31+'Inputs'!$B$32,'Inputs'!$B$30+'Inputs'!$B$31+'Inputs'!$B$32)/1000+'Inputs'!$B$21+'Inputs'!$B$9+'Inputs'!$B$10)+'Inputs'!$B$7)^2+('Inputs'!$B$6/2)^2)-(((979-43)*MAX('Inputs'!$B$33,'Inputs'!$B$29+'Inputs'!$B$31+'Inputs'!$B$32,'Inputs'!$B$30+'Inputs'!$B$31+'Inputs'!$B$32)/1000+'Inputs'!$B$21+'Inputs'!$B$9+'Inputs'!$B$10))/SQRT((((979-43)*MAX('Inputs'!$B$33,'Inputs'!$B$29+'Inputs'!$B$31+'Inputs'!$B$32,'Inputs'!$B$30+'Inputs'!$B$31+'Inputs'!$B$32)/1000+'Inputs'!$B$21+'Inputs'!$B$9+'Inputs'!$B$10))^2+('Inputs'!$B$6/2)^2))))*'Results'!$B$8)-'Inputs'!$B$28*ABS((('Results'!C7*(1-'Inputs'!$B$24)*(0.5*((((979-43)*MAX('Inputs'!$B$33,'Inputs'!$B$29+'Inputs'!$B$31+'Inputs'!$B$32,'Inputs'!$B$30+'Inputs'!$B$31+'Inputs'!$B$32)/1000+'Inputs'!$B$21)+'Inputs'!$B$9)/SQRT((((979-43)*MAX('Inputs'!$B$33,'Inputs'!$B$29+'Inputs'!$B$31+'Inputs'!$B$32,'Inputs'!$B$30+'Inputs'!$B$31+'Inputs'!$B$32)/1000+'Inputs'!$B$21)+'Inputs'!$B$9)^2+('Inputs'!$B$8/2)^2)-(((979-43)*MAX('Inputs'!$B$33,'Inputs'!$B$29+'Inputs'!$B$31+'Inputs'!$B$32,'Inputs'!$B$30+'Inputs'!$B$31+'Inputs'!$B$32)/1000+'Inputs'!$B$21))/SQRT((((979-43)*MAX('Inputs'!$B$33,'Inputs'!$B$29+'Inputs'!$B$31+'Inputs'!$B$32,'Inputs'!$B$30+'Inputs'!$B$31+'Inputs'!$B$32)/1000+'Inputs'!$B$21))^2+('Inputs'!$B$8/2)^2)))-'Results'!B7*(1+'Inputs'!$B$24)*(0.5*((((979-43)*MAX('Inputs'!$B$33,'Inputs'!$B$29+'Inputs'!$B$31+'Inputs'!$B$32,'Inputs'!$B$30+'Inputs'!$B$31+'Inputs'!$B$32)/1000+'Inputs'!$B$21+'Inputs'!$B$9+'Inputs'!$B$10)+'Inputs'!$B$7)/SQRT((((979-43)*MAX('Inputs'!$B$33,'Inputs'!$B$29+'Inputs'!$B$31+'Inputs'!$B$32,'Inputs'!$B$30+'Inputs'!$B$31+'Inputs'!$B$32)/1000+'Inputs'!$B$21+'Inputs'!$B$9+'Inputs'!$B$10)+'Inputs'!$B$7)^2+('Inputs'!$B$6/2)^2)-(((979-43)*MAX('Inputs'!$B$33,'Inputs'!$B$29+'Inputs'!$B$31+'Inputs'!$B$32,'Inputs'!$B$30+'Inputs'!$B$31+'Inputs'!$B$32)/1000+'Inputs'!$B$21+'Inputs'!$B$9+'Inputs'!$B$10))/SQRT((((979-43)*MAX('Inputs'!$B$33,'Inputs'!$B$29+'Inputs'!$B$31+'Inputs'!$B$32,'Inputs'!$B$30+'Inputs'!$B$31+'Inputs'!$B$32)/1000+'Inputs'!$B$21+'Inputs'!$B$9+'Inputs'!$B$10))^2+('Inputs'!$B$6/2)^2))))*'Results'!$B$8))),"")</x:f>
        <x:v>0.3340627626500601</x:v>
      </x:c>
      <x:c r="O979" t="n">
        <x:f>IF(AND(ISNUMBER('Results'!C7),ISNUMBER('Results'!B7),ISNUMBER('Results'!$B$8),ISNUMBER('Inputs'!$B$6),ISNUMBER('Inputs'!$B$7),ISNUMBER('Inputs'!$B$8),ISNUMBER('Inputs'!$B$9),ISNUMBER('Inputs'!$B$10),ISNUMBER('Inputs'!$B$21),ISNUMBER('Inputs'!$B$24),ISNUMBER('Inputs'!$B$28)),((('Results'!C7*(1+'Inputs'!$B$24)*(0.5*((((979-43)*MAX('Inputs'!$B$33,'Inputs'!$B$29+'Inputs'!$B$31+'Inputs'!$B$32,'Inputs'!$B$30+'Inputs'!$B$31+'Inputs'!$B$32)/1000+'Inputs'!$B$21)+'Inputs'!$B$9)/SQRT((((979-43)*MAX('Inputs'!$B$33,'Inputs'!$B$29+'Inputs'!$B$31+'Inputs'!$B$32,'Inputs'!$B$30+'Inputs'!$B$31+'Inputs'!$B$32)/1000+'Inputs'!$B$21)+'Inputs'!$B$9)^2+('Inputs'!$B$8/2)^2)-(((979-43)*MAX('Inputs'!$B$33,'Inputs'!$B$29+'Inputs'!$B$31+'Inputs'!$B$32,'Inputs'!$B$30+'Inputs'!$B$31+'Inputs'!$B$32)/1000+'Inputs'!$B$21))/SQRT((((979-43)*MAX('Inputs'!$B$33,'Inputs'!$B$29+'Inputs'!$B$31+'Inputs'!$B$32,'Inputs'!$B$30+'Inputs'!$B$31+'Inputs'!$B$32)/1000+'Inputs'!$B$21))^2+('Inputs'!$B$8/2)^2)))-'Results'!B7*(1-'Inputs'!$B$24)*(0.5*((((979-43)*MAX('Inputs'!$B$33,'Inputs'!$B$29+'Inputs'!$B$31+'Inputs'!$B$32,'Inputs'!$B$30+'Inputs'!$B$31+'Inputs'!$B$32)/1000+'Inputs'!$B$21+'Inputs'!$B$9+'Inputs'!$B$10)+'Inputs'!$B$7)/SQRT((((979-43)*MAX('Inputs'!$B$33,'Inputs'!$B$29+'Inputs'!$B$31+'Inputs'!$B$32,'Inputs'!$B$30+'Inputs'!$B$31+'Inputs'!$B$32)/1000+'Inputs'!$B$21+'Inputs'!$B$9+'Inputs'!$B$10)+'Inputs'!$B$7)^2+('Inputs'!$B$6/2)^2)-(((979-43)*MAX('Inputs'!$B$33,'Inputs'!$B$29+'Inputs'!$B$31+'Inputs'!$B$32,'Inputs'!$B$30+'Inputs'!$B$31+'Inputs'!$B$32)/1000+'Inputs'!$B$21+'Inputs'!$B$9+'Inputs'!$B$10))/SQRT((((979-43)*MAX('Inputs'!$B$33,'Inputs'!$B$29+'Inputs'!$B$31+'Inputs'!$B$32,'Inputs'!$B$30+'Inputs'!$B$31+'Inputs'!$B$32)/1000+'Inputs'!$B$21+'Inputs'!$B$9+'Inputs'!$B$10))^2+('Inputs'!$B$6/2)^2))))*'Results'!$B$8)+'Inputs'!$B$28*ABS((('Results'!C7*(1+'Inputs'!$B$24)*(0.5*((((979-43)*MAX('Inputs'!$B$33,'Inputs'!$B$29+'Inputs'!$B$31+'Inputs'!$B$32,'Inputs'!$B$30+'Inputs'!$B$31+'Inputs'!$B$32)/1000+'Inputs'!$B$21)+'Inputs'!$B$9)/SQRT((((979-43)*MAX('Inputs'!$B$33,'Inputs'!$B$29+'Inputs'!$B$31+'Inputs'!$B$32,'Inputs'!$B$30+'Inputs'!$B$31+'Inputs'!$B$32)/1000+'Inputs'!$B$21)+'Inputs'!$B$9)^2+('Inputs'!$B$8/2)^2)-(((979-43)*MAX('Inputs'!$B$33,'Inputs'!$B$29+'Inputs'!$B$31+'Inputs'!$B$32,'Inputs'!$B$30+'Inputs'!$B$31+'Inputs'!$B$32)/1000+'Inputs'!$B$21))/SQRT((((979-43)*MAX('Inputs'!$B$33,'Inputs'!$B$29+'Inputs'!$B$31+'Inputs'!$B$32,'Inputs'!$B$30+'Inputs'!$B$31+'Inputs'!$B$32)/1000+'Inputs'!$B$21))^2+('Inputs'!$B$8/2)^2)))-'Results'!B7*(1-'Inputs'!$B$24)*(0.5*((((979-43)*MAX('Inputs'!$B$33,'Inputs'!$B$29+'Inputs'!$B$31+'Inputs'!$B$32,'Inputs'!$B$30+'Inputs'!$B$31+'Inputs'!$B$32)/1000+'Inputs'!$B$21+'Inputs'!$B$9+'Inputs'!$B$10)+'Inputs'!$B$7)/SQRT((((979-43)*MAX('Inputs'!$B$33,'Inputs'!$B$29+'Inputs'!$B$31+'Inputs'!$B$32,'Inputs'!$B$30+'Inputs'!$B$31+'Inputs'!$B$32)/1000+'Inputs'!$B$21+'Inputs'!$B$9+'Inputs'!$B$10)+'Inputs'!$B$7)^2+('Inputs'!$B$6/2)^2)-(((979-43)*MAX('Inputs'!$B$33,'Inputs'!$B$29+'Inputs'!$B$31+'Inputs'!$B$32,'Inputs'!$B$30+'Inputs'!$B$31+'Inputs'!$B$32)/1000+'Inputs'!$B$21+'Inputs'!$B$9+'Inputs'!$B$10))/SQRT((((979-43)*MAX('Inputs'!$B$33,'Inputs'!$B$29+'Inputs'!$B$31+'Inputs'!$B$32,'Inputs'!$B$30+'Inputs'!$B$31+'Inputs'!$B$32)/1000+'Inputs'!$B$21+'Inputs'!$B$9+'Inputs'!$B$10))^2+('Inputs'!$B$6/2)^2))))*'Results'!$B$8))),"")</x:f>
        <x:v>0.47656800495823964</x:v>
      </x:c>
      <x:c r="P979" t="n">
        <x:f>IF(AND(MAX(J979,J978)&gt;0,J979&gt;J978+0.00000001),1,0)</x:f>
        <x:v>0</x:v>
      </x:c>
      <x:c r="Q979" t="n">
        <x:f>IF(AND(MAX(K979,K978)&gt;0,K979&gt;K978+0.00000001),1,0)</x:f>
        <x:v>0</x:v>
      </x:c>
      <x:c r="R979" t="n">
        <x:f>IF(AND(MAX(L979,L978)&gt;0,L979&gt;L978+0.00000001),1,0)</x:f>
        <x:v>0</x:v>
      </x:c>
      <x:c r="S979" t="n">
        <x:f>IF(AND(MAX(M979,M978)&gt;0,M979&gt;M978+0.00000001),1,0)</x:f>
        <x:v>0</x:v>
      </x:c>
      <x:c r="T979" t="n">
        <x:f>IF(AND(MAX(N979,N978)&gt;0,N979&gt;N978+0.00000001),1,0)</x:f>
        <x:v>0</x:v>
      </x:c>
      <x:c r="U979" t="n">
        <x:f>IF(AND(MAX(O979,O978)&gt;0,O979&gt;O978+0.00000001),1,0)</x:f>
        <x:v>0</x:v>
      </x:c>
    </x:row>
    <x:row r="980">
      <x:c r="J980" t="n">
        <x:f>IF(AND(ISNUMBER('Results'!B7),ISNUMBER('Results'!C7),ISNUMBER('Results'!$B$8),ISNUMBER('Inputs'!$B$6),ISNUMBER('Inputs'!$B$7),ISNUMBER('Inputs'!$B$8),ISNUMBER('Inputs'!$B$9),ISNUMBER('Inputs'!$B$10),ISNUMBER('Inputs'!$B$21),ISNUMBER('Inputs'!$B$24),ISNUMBER('Inputs'!$B$28)),(('Results'!B7*(0.5*((((980-43)*MAX('Inputs'!$B$33,'Inputs'!$B$29+'Inputs'!$B$31+'Inputs'!$B$32,'Inputs'!$B$30+'Inputs'!$B$31+'Inputs'!$B$32)/1000+'Inputs'!$B$21)+'Inputs'!$B$7)/SQRT((((980-43)*MAX('Inputs'!$B$33,'Inputs'!$B$29+'Inputs'!$B$31+'Inputs'!$B$32,'Inputs'!$B$30+'Inputs'!$B$31+'Inputs'!$B$32)/1000+'Inputs'!$B$21)+'Inputs'!$B$7)^2+('Inputs'!$B$6/2)^2)-(((980-43)*MAX('Inputs'!$B$33,'Inputs'!$B$29+'Inputs'!$B$31+'Inputs'!$B$32,'Inputs'!$B$30+'Inputs'!$B$31+'Inputs'!$B$32)/1000+'Inputs'!$B$21))/SQRT((((980-43)*MAX('Inputs'!$B$33,'Inputs'!$B$29+'Inputs'!$B$31+'Inputs'!$B$32,'Inputs'!$B$30+'Inputs'!$B$31+'Inputs'!$B$32)/1000+'Inputs'!$B$21))^2+('Inputs'!$B$6/2)^2)))-'Results'!C7*(0.5*((((980-43)*MAX('Inputs'!$B$33,'Inputs'!$B$29+'Inputs'!$B$31+'Inputs'!$B$32,'Inputs'!$B$30+'Inputs'!$B$31+'Inputs'!$B$32)/1000+'Inputs'!$B$21+'Inputs'!$B$7+'Inputs'!$B$10)+'Inputs'!$B$9)/SQRT((((980-43)*MAX('Inputs'!$B$33,'Inputs'!$B$29+'Inputs'!$B$31+'Inputs'!$B$32,'Inputs'!$B$30+'Inputs'!$B$31+'Inputs'!$B$32)/1000+'Inputs'!$B$21+'Inputs'!$B$7+'Inputs'!$B$10)+'Inputs'!$B$9)^2+('Inputs'!$B$8/2)^2)-(((980-43)*MAX('Inputs'!$B$33,'Inputs'!$B$29+'Inputs'!$B$31+'Inputs'!$B$32,'Inputs'!$B$30+'Inputs'!$B$31+'Inputs'!$B$32)/1000+'Inputs'!$B$21+'Inputs'!$B$7+'Inputs'!$B$10))/SQRT((((980-43)*MAX('Inputs'!$B$33,'Inputs'!$B$29+'Inputs'!$B$31+'Inputs'!$B$32,'Inputs'!$B$30+'Inputs'!$B$31+'Inputs'!$B$32)/1000+'Inputs'!$B$21+'Inputs'!$B$7+'Inputs'!$B$10))^2+('Inputs'!$B$8/2)^2))))*'Results'!$B$8),"")</x:f>
        <x:v>0.45271619148275616</x:v>
      </x:c>
      <x:c r="K980" t="n">
        <x:f>IF(AND(ISNUMBER('Results'!B7),ISNUMBER('Results'!C7),ISNUMBER('Results'!$B$8),ISNUMBER('Inputs'!$B$6),ISNUMBER('Inputs'!$B$7),ISNUMBER('Inputs'!$B$8),ISNUMBER('Inputs'!$B$9),ISNUMBER('Inputs'!$B$10),ISNUMBER('Inputs'!$B$21),ISNUMBER('Inputs'!$B$24),ISNUMBER('Inputs'!$B$28)),((('Results'!B7*(1-'Inputs'!$B$24)*(0.5*((((980-43)*MAX('Inputs'!$B$33,'Inputs'!$B$29+'Inputs'!$B$31+'Inputs'!$B$32,'Inputs'!$B$30+'Inputs'!$B$31+'Inputs'!$B$32)/1000+'Inputs'!$B$21)+'Inputs'!$B$7)/SQRT((((980-43)*MAX('Inputs'!$B$33,'Inputs'!$B$29+'Inputs'!$B$31+'Inputs'!$B$32,'Inputs'!$B$30+'Inputs'!$B$31+'Inputs'!$B$32)/1000+'Inputs'!$B$21)+'Inputs'!$B$7)^2+('Inputs'!$B$6/2)^2)-(((980-43)*MAX('Inputs'!$B$33,'Inputs'!$B$29+'Inputs'!$B$31+'Inputs'!$B$32,'Inputs'!$B$30+'Inputs'!$B$31+'Inputs'!$B$32)/1000+'Inputs'!$B$21))/SQRT((((980-43)*MAX('Inputs'!$B$33,'Inputs'!$B$29+'Inputs'!$B$31+'Inputs'!$B$32,'Inputs'!$B$30+'Inputs'!$B$31+'Inputs'!$B$32)/1000+'Inputs'!$B$21))^2+('Inputs'!$B$6/2)^2)))-'Results'!C7*(1+'Inputs'!$B$24)*(0.5*((((980-43)*MAX('Inputs'!$B$33,'Inputs'!$B$29+'Inputs'!$B$31+'Inputs'!$B$32,'Inputs'!$B$30+'Inputs'!$B$31+'Inputs'!$B$32)/1000+'Inputs'!$B$21+'Inputs'!$B$7+'Inputs'!$B$10)+'Inputs'!$B$9)/SQRT((((980-43)*MAX('Inputs'!$B$33,'Inputs'!$B$29+'Inputs'!$B$31+'Inputs'!$B$32,'Inputs'!$B$30+'Inputs'!$B$31+'Inputs'!$B$32)/1000+'Inputs'!$B$21+'Inputs'!$B$7+'Inputs'!$B$10)+'Inputs'!$B$9)^2+('Inputs'!$B$8/2)^2)-(((980-43)*MAX('Inputs'!$B$33,'Inputs'!$B$29+'Inputs'!$B$31+'Inputs'!$B$32,'Inputs'!$B$30+'Inputs'!$B$31+'Inputs'!$B$32)/1000+'Inputs'!$B$21+'Inputs'!$B$7+'Inputs'!$B$10))/SQRT((((980-43)*MAX('Inputs'!$B$33,'Inputs'!$B$29+'Inputs'!$B$31+'Inputs'!$B$32,'Inputs'!$B$30+'Inputs'!$B$31+'Inputs'!$B$32)/1000+'Inputs'!$B$21+'Inputs'!$B$7+'Inputs'!$B$10))^2+('Inputs'!$B$8/2)^2))))*'Results'!$B$8)-'Inputs'!$B$28*ABS((('Results'!B7*(1-'Inputs'!$B$24)*(0.5*((((980-43)*MAX('Inputs'!$B$33,'Inputs'!$B$29+'Inputs'!$B$31+'Inputs'!$B$32,'Inputs'!$B$30+'Inputs'!$B$31+'Inputs'!$B$32)/1000+'Inputs'!$B$21)+'Inputs'!$B$7)/SQRT((((980-43)*MAX('Inputs'!$B$33,'Inputs'!$B$29+'Inputs'!$B$31+'Inputs'!$B$32,'Inputs'!$B$30+'Inputs'!$B$31+'Inputs'!$B$32)/1000+'Inputs'!$B$21)+'Inputs'!$B$7)^2+('Inputs'!$B$6/2)^2)-(((980-43)*MAX('Inputs'!$B$33,'Inputs'!$B$29+'Inputs'!$B$31+'Inputs'!$B$32,'Inputs'!$B$30+'Inputs'!$B$31+'Inputs'!$B$32)/1000+'Inputs'!$B$21))/SQRT((((980-43)*MAX('Inputs'!$B$33,'Inputs'!$B$29+'Inputs'!$B$31+'Inputs'!$B$32,'Inputs'!$B$30+'Inputs'!$B$31+'Inputs'!$B$32)/1000+'Inputs'!$B$21))^2+('Inputs'!$B$6/2)^2)))-'Results'!C7*(1+'Inputs'!$B$24)*(0.5*((((980-43)*MAX('Inputs'!$B$33,'Inputs'!$B$29+'Inputs'!$B$31+'Inputs'!$B$32,'Inputs'!$B$30+'Inputs'!$B$31+'Inputs'!$B$32)/1000+'Inputs'!$B$21+'Inputs'!$B$7+'Inputs'!$B$10)+'Inputs'!$B$9)/SQRT((((980-43)*MAX('Inputs'!$B$33,'Inputs'!$B$29+'Inputs'!$B$31+'Inputs'!$B$32,'Inputs'!$B$30+'Inputs'!$B$31+'Inputs'!$B$32)/1000+'Inputs'!$B$21+'Inputs'!$B$7+'Inputs'!$B$10)+'Inputs'!$B$9)^2+('Inputs'!$B$8/2)^2)-(((980-43)*MAX('Inputs'!$B$33,'Inputs'!$B$29+'Inputs'!$B$31+'Inputs'!$B$32,'Inputs'!$B$30+'Inputs'!$B$31+'Inputs'!$B$32)/1000+'Inputs'!$B$21+'Inputs'!$B$7+'Inputs'!$B$10))/SQRT((((980-43)*MAX('Inputs'!$B$33,'Inputs'!$B$29+'Inputs'!$B$31+'Inputs'!$B$32,'Inputs'!$B$30+'Inputs'!$B$31+'Inputs'!$B$32)/1000+'Inputs'!$B$21+'Inputs'!$B$7+'Inputs'!$B$10))^2+('Inputs'!$B$8/2)^2))))*'Results'!$B$8))),"")</x:f>
        <x:v>0.38150200074346424</x:v>
      </x:c>
      <x:c r="L980" t="n">
        <x:f>IF(AND(ISNUMBER('Results'!B7),ISNUMBER('Results'!C7),ISNUMBER('Results'!$B$8),ISNUMBER('Inputs'!$B$6),ISNUMBER('Inputs'!$B$7),ISNUMBER('Inputs'!$B$8),ISNUMBER('Inputs'!$B$9),ISNUMBER('Inputs'!$B$10),ISNUMBER('Inputs'!$B$21),ISNUMBER('Inputs'!$B$24),ISNUMBER('Inputs'!$B$28)),((('Results'!B7*(1+'Inputs'!$B$24)*(0.5*((((980-43)*MAX('Inputs'!$B$33,'Inputs'!$B$29+'Inputs'!$B$31+'Inputs'!$B$32,'Inputs'!$B$30+'Inputs'!$B$31+'Inputs'!$B$32)/1000+'Inputs'!$B$21)+'Inputs'!$B$7)/SQRT((((980-43)*MAX('Inputs'!$B$33,'Inputs'!$B$29+'Inputs'!$B$31+'Inputs'!$B$32,'Inputs'!$B$30+'Inputs'!$B$31+'Inputs'!$B$32)/1000+'Inputs'!$B$21)+'Inputs'!$B$7)^2+('Inputs'!$B$6/2)^2)-(((980-43)*MAX('Inputs'!$B$33,'Inputs'!$B$29+'Inputs'!$B$31+'Inputs'!$B$32,'Inputs'!$B$30+'Inputs'!$B$31+'Inputs'!$B$32)/1000+'Inputs'!$B$21))/SQRT((((980-43)*MAX('Inputs'!$B$33,'Inputs'!$B$29+'Inputs'!$B$31+'Inputs'!$B$32,'Inputs'!$B$30+'Inputs'!$B$31+'Inputs'!$B$32)/1000+'Inputs'!$B$21))^2+('Inputs'!$B$6/2)^2)))-'Results'!C7*(1-'Inputs'!$B$24)*(0.5*((((980-43)*MAX('Inputs'!$B$33,'Inputs'!$B$29+'Inputs'!$B$31+'Inputs'!$B$32,'Inputs'!$B$30+'Inputs'!$B$31+'Inputs'!$B$32)/1000+'Inputs'!$B$21+'Inputs'!$B$7+'Inputs'!$B$10)+'Inputs'!$B$9)/SQRT((((980-43)*MAX('Inputs'!$B$33,'Inputs'!$B$29+'Inputs'!$B$31+'Inputs'!$B$32,'Inputs'!$B$30+'Inputs'!$B$31+'Inputs'!$B$32)/1000+'Inputs'!$B$21+'Inputs'!$B$7+'Inputs'!$B$10)+'Inputs'!$B$9)^2+('Inputs'!$B$8/2)^2)-(((980-43)*MAX('Inputs'!$B$33,'Inputs'!$B$29+'Inputs'!$B$31+'Inputs'!$B$32,'Inputs'!$B$30+'Inputs'!$B$31+'Inputs'!$B$32)/1000+'Inputs'!$B$21+'Inputs'!$B$7+'Inputs'!$B$10))/SQRT((((980-43)*MAX('Inputs'!$B$33,'Inputs'!$B$29+'Inputs'!$B$31+'Inputs'!$B$32,'Inputs'!$B$30+'Inputs'!$B$31+'Inputs'!$B$32)/1000+'Inputs'!$B$21+'Inputs'!$B$7+'Inputs'!$B$10))^2+('Inputs'!$B$8/2)^2))))*'Results'!$B$8)+'Inputs'!$B$28*ABS((('Results'!B7*(1+'Inputs'!$B$24)*(0.5*((((980-43)*MAX('Inputs'!$B$33,'Inputs'!$B$29+'Inputs'!$B$31+'Inputs'!$B$32,'Inputs'!$B$30+'Inputs'!$B$31+'Inputs'!$B$32)/1000+'Inputs'!$B$21)+'Inputs'!$B$7)/SQRT((((980-43)*MAX('Inputs'!$B$33,'Inputs'!$B$29+'Inputs'!$B$31+'Inputs'!$B$32,'Inputs'!$B$30+'Inputs'!$B$31+'Inputs'!$B$32)/1000+'Inputs'!$B$21)+'Inputs'!$B$7)^2+('Inputs'!$B$6/2)^2)-(((980-43)*MAX('Inputs'!$B$33,'Inputs'!$B$29+'Inputs'!$B$31+'Inputs'!$B$32,'Inputs'!$B$30+'Inputs'!$B$31+'Inputs'!$B$32)/1000+'Inputs'!$B$21))/SQRT((((980-43)*MAX('Inputs'!$B$33,'Inputs'!$B$29+'Inputs'!$B$31+'Inputs'!$B$32,'Inputs'!$B$30+'Inputs'!$B$31+'Inputs'!$B$32)/1000+'Inputs'!$B$21))^2+('Inputs'!$B$6/2)^2)))-'Results'!C7*(1-'Inputs'!$B$24)*(0.5*((((980-43)*MAX('Inputs'!$B$33,'Inputs'!$B$29+'Inputs'!$B$31+'Inputs'!$B$32,'Inputs'!$B$30+'Inputs'!$B$31+'Inputs'!$B$32)/1000+'Inputs'!$B$21+'Inputs'!$B$7+'Inputs'!$B$10)+'Inputs'!$B$9)/SQRT((((980-43)*MAX('Inputs'!$B$33,'Inputs'!$B$29+'Inputs'!$B$31+'Inputs'!$B$32,'Inputs'!$B$30+'Inputs'!$B$31+'Inputs'!$B$32)/1000+'Inputs'!$B$21+'Inputs'!$B$7+'Inputs'!$B$10)+'Inputs'!$B$9)^2+('Inputs'!$B$8/2)^2)-(((980-43)*MAX('Inputs'!$B$33,'Inputs'!$B$29+'Inputs'!$B$31+'Inputs'!$B$32,'Inputs'!$B$30+'Inputs'!$B$31+'Inputs'!$B$32)/1000+'Inputs'!$B$21+'Inputs'!$B$7+'Inputs'!$B$10))/SQRT((((980-43)*MAX('Inputs'!$B$33,'Inputs'!$B$29+'Inputs'!$B$31+'Inputs'!$B$32,'Inputs'!$B$30+'Inputs'!$B$31+'Inputs'!$B$32)/1000+'Inputs'!$B$21+'Inputs'!$B$7+'Inputs'!$B$10))^2+('Inputs'!$B$8/2)^2))))*'Results'!$B$8))),"")</x:f>
        <x:v>0.5290438960289061</x:v>
      </x:c>
      <x:c r="M980" t="n">
        <x:f>IF(AND(ISNUMBER('Results'!C7),ISNUMBER('Results'!B7),ISNUMBER('Results'!$B$8),ISNUMBER('Inputs'!$B$6),ISNUMBER('Inputs'!$B$7),ISNUMBER('Inputs'!$B$8),ISNUMBER('Inputs'!$B$9),ISNUMBER('Inputs'!$B$10),ISNUMBER('Inputs'!$B$21),ISNUMBER('Inputs'!$B$24),ISNUMBER('Inputs'!$B$28)),(('Results'!C7*(0.5*((((980-43)*MAX('Inputs'!$B$33,'Inputs'!$B$29+'Inputs'!$B$31+'Inputs'!$B$32,'Inputs'!$B$30+'Inputs'!$B$31+'Inputs'!$B$32)/1000+'Inputs'!$B$21)+'Inputs'!$B$9)/SQRT((((980-43)*MAX('Inputs'!$B$33,'Inputs'!$B$29+'Inputs'!$B$31+'Inputs'!$B$32,'Inputs'!$B$30+'Inputs'!$B$31+'Inputs'!$B$32)/1000+'Inputs'!$B$21)+'Inputs'!$B$9)^2+('Inputs'!$B$8/2)^2)-(((980-43)*MAX('Inputs'!$B$33,'Inputs'!$B$29+'Inputs'!$B$31+'Inputs'!$B$32,'Inputs'!$B$30+'Inputs'!$B$31+'Inputs'!$B$32)/1000+'Inputs'!$B$21))/SQRT((((980-43)*MAX('Inputs'!$B$33,'Inputs'!$B$29+'Inputs'!$B$31+'Inputs'!$B$32,'Inputs'!$B$30+'Inputs'!$B$31+'Inputs'!$B$32)/1000+'Inputs'!$B$21))^2+('Inputs'!$B$8/2)^2)))-'Results'!B7*(0.5*((((980-43)*MAX('Inputs'!$B$33,'Inputs'!$B$29+'Inputs'!$B$31+'Inputs'!$B$32,'Inputs'!$B$30+'Inputs'!$B$31+'Inputs'!$B$32)/1000+'Inputs'!$B$21+'Inputs'!$B$9+'Inputs'!$B$10)+'Inputs'!$B$7)/SQRT((((980-43)*MAX('Inputs'!$B$33,'Inputs'!$B$29+'Inputs'!$B$31+'Inputs'!$B$32,'Inputs'!$B$30+'Inputs'!$B$31+'Inputs'!$B$32)/1000+'Inputs'!$B$21+'Inputs'!$B$9+'Inputs'!$B$10)+'Inputs'!$B$7)^2+('Inputs'!$B$6/2)^2)-(((980-43)*MAX('Inputs'!$B$33,'Inputs'!$B$29+'Inputs'!$B$31+'Inputs'!$B$32,'Inputs'!$B$30+'Inputs'!$B$31+'Inputs'!$B$32)/1000+'Inputs'!$B$21+'Inputs'!$B$9+'Inputs'!$B$10))/SQRT((((980-43)*MAX('Inputs'!$B$33,'Inputs'!$B$29+'Inputs'!$B$31+'Inputs'!$B$32,'Inputs'!$B$30+'Inputs'!$B$31+'Inputs'!$B$32)/1000+'Inputs'!$B$21+'Inputs'!$B$9+'Inputs'!$B$10))^2+('Inputs'!$B$6/2)^2))))*'Results'!$B$8),"")</x:f>
        <x:v>0.4011516573505106</x:v>
      </x:c>
      <x:c r="N980" t="n">
        <x:f>IF(AND(ISNUMBER('Results'!C7),ISNUMBER('Results'!B7),ISNUMBER('Results'!$B$8),ISNUMBER('Inputs'!$B$6),ISNUMBER('Inputs'!$B$7),ISNUMBER('Inputs'!$B$8),ISNUMBER('Inputs'!$B$9),ISNUMBER('Inputs'!$B$10),ISNUMBER('Inputs'!$B$21),ISNUMBER('Inputs'!$B$24),ISNUMBER('Inputs'!$B$28)),((('Results'!C7*(1-'Inputs'!$B$24)*(0.5*((((980-43)*MAX('Inputs'!$B$33,'Inputs'!$B$29+'Inputs'!$B$31+'Inputs'!$B$32,'Inputs'!$B$30+'Inputs'!$B$31+'Inputs'!$B$32)/1000+'Inputs'!$B$21)+'Inputs'!$B$9)/SQRT((((980-43)*MAX('Inputs'!$B$33,'Inputs'!$B$29+'Inputs'!$B$31+'Inputs'!$B$32,'Inputs'!$B$30+'Inputs'!$B$31+'Inputs'!$B$32)/1000+'Inputs'!$B$21)+'Inputs'!$B$9)^2+('Inputs'!$B$8/2)^2)-(((980-43)*MAX('Inputs'!$B$33,'Inputs'!$B$29+'Inputs'!$B$31+'Inputs'!$B$32,'Inputs'!$B$30+'Inputs'!$B$31+'Inputs'!$B$32)/1000+'Inputs'!$B$21))/SQRT((((980-43)*MAX('Inputs'!$B$33,'Inputs'!$B$29+'Inputs'!$B$31+'Inputs'!$B$32,'Inputs'!$B$30+'Inputs'!$B$31+'Inputs'!$B$32)/1000+'Inputs'!$B$21))^2+('Inputs'!$B$8/2)^2)))-'Results'!B7*(1+'Inputs'!$B$24)*(0.5*((((980-43)*MAX('Inputs'!$B$33,'Inputs'!$B$29+'Inputs'!$B$31+'Inputs'!$B$32,'Inputs'!$B$30+'Inputs'!$B$31+'Inputs'!$B$32)/1000+'Inputs'!$B$21+'Inputs'!$B$9+'Inputs'!$B$10)+'Inputs'!$B$7)/SQRT((((980-43)*MAX('Inputs'!$B$33,'Inputs'!$B$29+'Inputs'!$B$31+'Inputs'!$B$32,'Inputs'!$B$30+'Inputs'!$B$31+'Inputs'!$B$32)/1000+'Inputs'!$B$21+'Inputs'!$B$9+'Inputs'!$B$10)+'Inputs'!$B$7)^2+('Inputs'!$B$6/2)^2)-(((980-43)*MAX('Inputs'!$B$33,'Inputs'!$B$29+'Inputs'!$B$31+'Inputs'!$B$32,'Inputs'!$B$30+'Inputs'!$B$31+'Inputs'!$B$32)/1000+'Inputs'!$B$21+'Inputs'!$B$9+'Inputs'!$B$10))/SQRT((((980-43)*MAX('Inputs'!$B$33,'Inputs'!$B$29+'Inputs'!$B$31+'Inputs'!$B$32,'Inputs'!$B$30+'Inputs'!$B$31+'Inputs'!$B$32)/1000+'Inputs'!$B$21+'Inputs'!$B$9+'Inputs'!$B$10))^2+('Inputs'!$B$6/2)^2))))*'Results'!$B$8)-'Inputs'!$B$28*ABS((('Results'!C7*(1-'Inputs'!$B$24)*(0.5*((((980-43)*MAX('Inputs'!$B$33,'Inputs'!$B$29+'Inputs'!$B$31+'Inputs'!$B$32,'Inputs'!$B$30+'Inputs'!$B$31+'Inputs'!$B$32)/1000+'Inputs'!$B$21)+'Inputs'!$B$9)/SQRT((((980-43)*MAX('Inputs'!$B$33,'Inputs'!$B$29+'Inputs'!$B$31+'Inputs'!$B$32,'Inputs'!$B$30+'Inputs'!$B$31+'Inputs'!$B$32)/1000+'Inputs'!$B$21)+'Inputs'!$B$9)^2+('Inputs'!$B$8/2)^2)-(((980-43)*MAX('Inputs'!$B$33,'Inputs'!$B$29+'Inputs'!$B$31+'Inputs'!$B$32,'Inputs'!$B$30+'Inputs'!$B$31+'Inputs'!$B$32)/1000+'Inputs'!$B$21))/SQRT((((980-43)*MAX('Inputs'!$B$33,'Inputs'!$B$29+'Inputs'!$B$31+'Inputs'!$B$32,'Inputs'!$B$30+'Inputs'!$B$31+'Inputs'!$B$32)/1000+'Inputs'!$B$21))^2+('Inputs'!$B$8/2)^2)))-'Results'!B7*(1+'Inputs'!$B$24)*(0.5*((((980-43)*MAX('Inputs'!$B$33,'Inputs'!$B$29+'Inputs'!$B$31+'Inputs'!$B$32,'Inputs'!$B$30+'Inputs'!$B$31+'Inputs'!$B$32)/1000+'Inputs'!$B$21+'Inputs'!$B$9+'Inputs'!$B$10)+'Inputs'!$B$7)/SQRT((((980-43)*MAX('Inputs'!$B$33,'Inputs'!$B$29+'Inputs'!$B$31+'Inputs'!$B$32,'Inputs'!$B$30+'Inputs'!$B$31+'Inputs'!$B$32)/1000+'Inputs'!$B$21+'Inputs'!$B$9+'Inputs'!$B$10)+'Inputs'!$B$7)^2+('Inputs'!$B$6/2)^2)-(((980-43)*MAX('Inputs'!$B$33,'Inputs'!$B$29+'Inputs'!$B$31+'Inputs'!$B$32,'Inputs'!$B$30+'Inputs'!$B$31+'Inputs'!$B$32)/1000+'Inputs'!$B$21+'Inputs'!$B$9+'Inputs'!$B$10))/SQRT((((980-43)*MAX('Inputs'!$B$33,'Inputs'!$B$29+'Inputs'!$B$31+'Inputs'!$B$32,'Inputs'!$B$30+'Inputs'!$B$31+'Inputs'!$B$32)/1000+'Inputs'!$B$21+'Inputs'!$B$9+'Inputs'!$B$10))^2+('Inputs'!$B$6/2)^2))))*'Results'!$B$8))),"")</x:f>
        <x:v>0.33267956694538503</x:v>
      </x:c>
      <x:c r="O980" t="n">
        <x:f>IF(AND(ISNUMBER('Results'!C7),ISNUMBER('Results'!B7),ISNUMBER('Results'!$B$8),ISNUMBER('Inputs'!$B$6),ISNUMBER('Inputs'!$B$7),ISNUMBER('Inputs'!$B$8),ISNUMBER('Inputs'!$B$9),ISNUMBER('Inputs'!$B$10),ISNUMBER('Inputs'!$B$21),ISNUMBER('Inputs'!$B$24),ISNUMBER('Inputs'!$B$28)),((('Results'!C7*(1+'Inputs'!$B$24)*(0.5*((((980-43)*MAX('Inputs'!$B$33,'Inputs'!$B$29+'Inputs'!$B$31+'Inputs'!$B$32,'Inputs'!$B$30+'Inputs'!$B$31+'Inputs'!$B$32)/1000+'Inputs'!$B$21)+'Inputs'!$B$9)/SQRT((((980-43)*MAX('Inputs'!$B$33,'Inputs'!$B$29+'Inputs'!$B$31+'Inputs'!$B$32,'Inputs'!$B$30+'Inputs'!$B$31+'Inputs'!$B$32)/1000+'Inputs'!$B$21)+'Inputs'!$B$9)^2+('Inputs'!$B$8/2)^2)-(((980-43)*MAX('Inputs'!$B$33,'Inputs'!$B$29+'Inputs'!$B$31+'Inputs'!$B$32,'Inputs'!$B$30+'Inputs'!$B$31+'Inputs'!$B$32)/1000+'Inputs'!$B$21))/SQRT((((980-43)*MAX('Inputs'!$B$33,'Inputs'!$B$29+'Inputs'!$B$31+'Inputs'!$B$32,'Inputs'!$B$30+'Inputs'!$B$31+'Inputs'!$B$32)/1000+'Inputs'!$B$21))^2+('Inputs'!$B$8/2)^2)))-'Results'!B7*(1-'Inputs'!$B$24)*(0.5*((((980-43)*MAX('Inputs'!$B$33,'Inputs'!$B$29+'Inputs'!$B$31+'Inputs'!$B$32,'Inputs'!$B$30+'Inputs'!$B$31+'Inputs'!$B$32)/1000+'Inputs'!$B$21+'Inputs'!$B$9+'Inputs'!$B$10)+'Inputs'!$B$7)/SQRT((((980-43)*MAX('Inputs'!$B$33,'Inputs'!$B$29+'Inputs'!$B$31+'Inputs'!$B$32,'Inputs'!$B$30+'Inputs'!$B$31+'Inputs'!$B$32)/1000+'Inputs'!$B$21+'Inputs'!$B$9+'Inputs'!$B$10)+'Inputs'!$B$7)^2+('Inputs'!$B$6/2)^2)-(((980-43)*MAX('Inputs'!$B$33,'Inputs'!$B$29+'Inputs'!$B$31+'Inputs'!$B$32,'Inputs'!$B$30+'Inputs'!$B$31+'Inputs'!$B$32)/1000+'Inputs'!$B$21+'Inputs'!$B$9+'Inputs'!$B$10))/SQRT((((980-43)*MAX('Inputs'!$B$33,'Inputs'!$B$29+'Inputs'!$B$31+'Inputs'!$B$32,'Inputs'!$B$30+'Inputs'!$B$31+'Inputs'!$B$32)/1000+'Inputs'!$B$21+'Inputs'!$B$9+'Inputs'!$B$10))^2+('Inputs'!$B$6/2)^2))))*'Results'!$B$8)+'Inputs'!$B$28*ABS((('Results'!C7*(1+'Inputs'!$B$24)*(0.5*((((980-43)*MAX('Inputs'!$B$33,'Inputs'!$B$29+'Inputs'!$B$31+'Inputs'!$B$32,'Inputs'!$B$30+'Inputs'!$B$31+'Inputs'!$B$32)/1000+'Inputs'!$B$21)+'Inputs'!$B$9)/SQRT((((980-43)*MAX('Inputs'!$B$33,'Inputs'!$B$29+'Inputs'!$B$31+'Inputs'!$B$32,'Inputs'!$B$30+'Inputs'!$B$31+'Inputs'!$B$32)/1000+'Inputs'!$B$21)+'Inputs'!$B$9)^2+('Inputs'!$B$8/2)^2)-(((980-43)*MAX('Inputs'!$B$33,'Inputs'!$B$29+'Inputs'!$B$31+'Inputs'!$B$32,'Inputs'!$B$30+'Inputs'!$B$31+'Inputs'!$B$32)/1000+'Inputs'!$B$21))/SQRT((((980-43)*MAX('Inputs'!$B$33,'Inputs'!$B$29+'Inputs'!$B$31+'Inputs'!$B$32,'Inputs'!$B$30+'Inputs'!$B$31+'Inputs'!$B$32)/1000+'Inputs'!$B$21))^2+('Inputs'!$B$8/2)^2)))-'Results'!B7*(1-'Inputs'!$B$24)*(0.5*((((980-43)*MAX('Inputs'!$B$33,'Inputs'!$B$29+'Inputs'!$B$31+'Inputs'!$B$32,'Inputs'!$B$30+'Inputs'!$B$31+'Inputs'!$B$32)/1000+'Inputs'!$B$21+'Inputs'!$B$9+'Inputs'!$B$10)+'Inputs'!$B$7)/SQRT((((980-43)*MAX('Inputs'!$B$33,'Inputs'!$B$29+'Inputs'!$B$31+'Inputs'!$B$32,'Inputs'!$B$30+'Inputs'!$B$31+'Inputs'!$B$32)/1000+'Inputs'!$B$21+'Inputs'!$B$9+'Inputs'!$B$10)+'Inputs'!$B$7)^2+('Inputs'!$B$6/2)^2)-(((980-43)*MAX('Inputs'!$B$33,'Inputs'!$B$29+'Inputs'!$B$31+'Inputs'!$B$32,'Inputs'!$B$30+'Inputs'!$B$31+'Inputs'!$B$32)/1000+'Inputs'!$B$21+'Inputs'!$B$9+'Inputs'!$B$10))/SQRT((((980-43)*MAX('Inputs'!$B$33,'Inputs'!$B$29+'Inputs'!$B$31+'Inputs'!$B$32,'Inputs'!$B$30+'Inputs'!$B$31+'Inputs'!$B$32)/1000+'Inputs'!$B$21+'Inputs'!$B$9+'Inputs'!$B$10))^2+('Inputs'!$B$6/2)^2))))*'Results'!$B$8))),"")</x:f>
        <x:v>0.47472001170696254</x:v>
      </x:c>
      <x:c r="P980" t="n">
        <x:f>IF(AND(MAX(J980,J979)&gt;0,J980&gt;J979+0.00000001),1,0)</x:f>
        <x:v>0</x:v>
      </x:c>
      <x:c r="Q980" t="n">
        <x:f>IF(AND(MAX(K980,K979)&gt;0,K980&gt;K979+0.00000001),1,0)</x:f>
        <x:v>0</x:v>
      </x:c>
      <x:c r="R980" t="n">
        <x:f>IF(AND(MAX(L980,L979)&gt;0,L980&gt;L979+0.00000001),1,0)</x:f>
        <x:v>0</x:v>
      </x:c>
      <x:c r="S980" t="n">
        <x:f>IF(AND(MAX(M980,M979)&gt;0,M980&gt;M979+0.00000001),1,0)</x:f>
        <x:v>0</x:v>
      </x:c>
      <x:c r="T980" t="n">
        <x:f>IF(AND(MAX(N980,N979)&gt;0,N980&gt;N979+0.00000001),1,0)</x:f>
        <x:v>0</x:v>
      </x:c>
      <x:c r="U980" t="n">
        <x:f>IF(AND(MAX(O980,O979)&gt;0,O980&gt;O979+0.00000001),1,0)</x:f>
        <x:v>0</x:v>
      </x:c>
    </x:row>
    <x:row r="981">
      <x:c r="J981" t="n">
        <x:f>IF(AND(ISNUMBER('Results'!B7),ISNUMBER('Results'!C7),ISNUMBER('Results'!$B$8),ISNUMBER('Inputs'!$B$6),ISNUMBER('Inputs'!$B$7),ISNUMBER('Inputs'!$B$8),ISNUMBER('Inputs'!$B$9),ISNUMBER('Inputs'!$B$10),ISNUMBER('Inputs'!$B$21),ISNUMBER('Inputs'!$B$24),ISNUMBER('Inputs'!$B$28)),(('Results'!B7*(0.5*((((981-43)*MAX('Inputs'!$B$33,'Inputs'!$B$29+'Inputs'!$B$31+'Inputs'!$B$32,'Inputs'!$B$30+'Inputs'!$B$31+'Inputs'!$B$32)/1000+'Inputs'!$B$21)+'Inputs'!$B$7)/SQRT((((981-43)*MAX('Inputs'!$B$33,'Inputs'!$B$29+'Inputs'!$B$31+'Inputs'!$B$32,'Inputs'!$B$30+'Inputs'!$B$31+'Inputs'!$B$32)/1000+'Inputs'!$B$21)+'Inputs'!$B$7)^2+('Inputs'!$B$6/2)^2)-(((981-43)*MAX('Inputs'!$B$33,'Inputs'!$B$29+'Inputs'!$B$31+'Inputs'!$B$32,'Inputs'!$B$30+'Inputs'!$B$31+'Inputs'!$B$32)/1000+'Inputs'!$B$21))/SQRT((((981-43)*MAX('Inputs'!$B$33,'Inputs'!$B$29+'Inputs'!$B$31+'Inputs'!$B$32,'Inputs'!$B$30+'Inputs'!$B$31+'Inputs'!$B$32)/1000+'Inputs'!$B$21))^2+('Inputs'!$B$6/2)^2)))-'Results'!C7*(0.5*((((981-43)*MAX('Inputs'!$B$33,'Inputs'!$B$29+'Inputs'!$B$31+'Inputs'!$B$32,'Inputs'!$B$30+'Inputs'!$B$31+'Inputs'!$B$32)/1000+'Inputs'!$B$21+'Inputs'!$B$7+'Inputs'!$B$10)+'Inputs'!$B$9)/SQRT((((981-43)*MAX('Inputs'!$B$33,'Inputs'!$B$29+'Inputs'!$B$31+'Inputs'!$B$32,'Inputs'!$B$30+'Inputs'!$B$31+'Inputs'!$B$32)/1000+'Inputs'!$B$21+'Inputs'!$B$7+'Inputs'!$B$10)+'Inputs'!$B$9)^2+('Inputs'!$B$8/2)^2)-(((981-43)*MAX('Inputs'!$B$33,'Inputs'!$B$29+'Inputs'!$B$31+'Inputs'!$B$32,'Inputs'!$B$30+'Inputs'!$B$31+'Inputs'!$B$32)/1000+'Inputs'!$B$21+'Inputs'!$B$7+'Inputs'!$B$10))/SQRT((((981-43)*MAX('Inputs'!$B$33,'Inputs'!$B$29+'Inputs'!$B$31+'Inputs'!$B$32,'Inputs'!$B$30+'Inputs'!$B$31+'Inputs'!$B$32)/1000+'Inputs'!$B$21+'Inputs'!$B$7+'Inputs'!$B$10))^2+('Inputs'!$B$8/2)^2))))*'Results'!$B$8),"")</x:f>
        <x:v>0.4509628920828906</x:v>
      </x:c>
      <x:c r="K981" t="n">
        <x:f>IF(AND(ISNUMBER('Results'!B7),ISNUMBER('Results'!C7),ISNUMBER('Results'!$B$8),ISNUMBER('Inputs'!$B$6),ISNUMBER('Inputs'!$B$7),ISNUMBER('Inputs'!$B$8),ISNUMBER('Inputs'!$B$9),ISNUMBER('Inputs'!$B$10),ISNUMBER('Inputs'!$B$21),ISNUMBER('Inputs'!$B$24),ISNUMBER('Inputs'!$B$28)),((('Results'!B7*(1-'Inputs'!$B$24)*(0.5*((((981-43)*MAX('Inputs'!$B$33,'Inputs'!$B$29+'Inputs'!$B$31+'Inputs'!$B$32,'Inputs'!$B$30+'Inputs'!$B$31+'Inputs'!$B$32)/1000+'Inputs'!$B$21)+'Inputs'!$B$7)/SQRT((((981-43)*MAX('Inputs'!$B$33,'Inputs'!$B$29+'Inputs'!$B$31+'Inputs'!$B$32,'Inputs'!$B$30+'Inputs'!$B$31+'Inputs'!$B$32)/1000+'Inputs'!$B$21)+'Inputs'!$B$7)^2+('Inputs'!$B$6/2)^2)-(((981-43)*MAX('Inputs'!$B$33,'Inputs'!$B$29+'Inputs'!$B$31+'Inputs'!$B$32,'Inputs'!$B$30+'Inputs'!$B$31+'Inputs'!$B$32)/1000+'Inputs'!$B$21))/SQRT((((981-43)*MAX('Inputs'!$B$33,'Inputs'!$B$29+'Inputs'!$B$31+'Inputs'!$B$32,'Inputs'!$B$30+'Inputs'!$B$31+'Inputs'!$B$32)/1000+'Inputs'!$B$21))^2+('Inputs'!$B$6/2)^2)))-'Results'!C7*(1+'Inputs'!$B$24)*(0.5*((((981-43)*MAX('Inputs'!$B$33,'Inputs'!$B$29+'Inputs'!$B$31+'Inputs'!$B$32,'Inputs'!$B$30+'Inputs'!$B$31+'Inputs'!$B$32)/1000+'Inputs'!$B$21+'Inputs'!$B$7+'Inputs'!$B$10)+'Inputs'!$B$9)/SQRT((((981-43)*MAX('Inputs'!$B$33,'Inputs'!$B$29+'Inputs'!$B$31+'Inputs'!$B$32,'Inputs'!$B$30+'Inputs'!$B$31+'Inputs'!$B$32)/1000+'Inputs'!$B$21+'Inputs'!$B$7+'Inputs'!$B$10)+'Inputs'!$B$9)^2+('Inputs'!$B$8/2)^2)-(((981-43)*MAX('Inputs'!$B$33,'Inputs'!$B$29+'Inputs'!$B$31+'Inputs'!$B$32,'Inputs'!$B$30+'Inputs'!$B$31+'Inputs'!$B$32)/1000+'Inputs'!$B$21+'Inputs'!$B$7+'Inputs'!$B$10))/SQRT((((981-43)*MAX('Inputs'!$B$33,'Inputs'!$B$29+'Inputs'!$B$31+'Inputs'!$B$32,'Inputs'!$B$30+'Inputs'!$B$31+'Inputs'!$B$32)/1000+'Inputs'!$B$21+'Inputs'!$B$7+'Inputs'!$B$10))^2+('Inputs'!$B$8/2)^2))))*'Results'!$B$8)-'Inputs'!$B$28*ABS((('Results'!B7*(1-'Inputs'!$B$24)*(0.5*((((981-43)*MAX('Inputs'!$B$33,'Inputs'!$B$29+'Inputs'!$B$31+'Inputs'!$B$32,'Inputs'!$B$30+'Inputs'!$B$31+'Inputs'!$B$32)/1000+'Inputs'!$B$21)+'Inputs'!$B$7)/SQRT((((981-43)*MAX('Inputs'!$B$33,'Inputs'!$B$29+'Inputs'!$B$31+'Inputs'!$B$32,'Inputs'!$B$30+'Inputs'!$B$31+'Inputs'!$B$32)/1000+'Inputs'!$B$21)+'Inputs'!$B$7)^2+('Inputs'!$B$6/2)^2)-(((981-43)*MAX('Inputs'!$B$33,'Inputs'!$B$29+'Inputs'!$B$31+'Inputs'!$B$32,'Inputs'!$B$30+'Inputs'!$B$31+'Inputs'!$B$32)/1000+'Inputs'!$B$21))/SQRT((((981-43)*MAX('Inputs'!$B$33,'Inputs'!$B$29+'Inputs'!$B$31+'Inputs'!$B$32,'Inputs'!$B$30+'Inputs'!$B$31+'Inputs'!$B$32)/1000+'Inputs'!$B$21))^2+('Inputs'!$B$6/2)^2)))-'Results'!C7*(1+'Inputs'!$B$24)*(0.5*((((981-43)*MAX('Inputs'!$B$33,'Inputs'!$B$29+'Inputs'!$B$31+'Inputs'!$B$32,'Inputs'!$B$30+'Inputs'!$B$31+'Inputs'!$B$32)/1000+'Inputs'!$B$21+'Inputs'!$B$7+'Inputs'!$B$10)+'Inputs'!$B$9)/SQRT((((981-43)*MAX('Inputs'!$B$33,'Inputs'!$B$29+'Inputs'!$B$31+'Inputs'!$B$32,'Inputs'!$B$30+'Inputs'!$B$31+'Inputs'!$B$32)/1000+'Inputs'!$B$21+'Inputs'!$B$7+'Inputs'!$B$10)+'Inputs'!$B$9)^2+('Inputs'!$B$8/2)^2)-(((981-43)*MAX('Inputs'!$B$33,'Inputs'!$B$29+'Inputs'!$B$31+'Inputs'!$B$32,'Inputs'!$B$30+'Inputs'!$B$31+'Inputs'!$B$32)/1000+'Inputs'!$B$21+'Inputs'!$B$7+'Inputs'!$B$10))/SQRT((((981-43)*MAX('Inputs'!$B$33,'Inputs'!$B$29+'Inputs'!$B$31+'Inputs'!$B$32,'Inputs'!$B$30+'Inputs'!$B$31+'Inputs'!$B$32)/1000+'Inputs'!$B$21+'Inputs'!$B$7+'Inputs'!$B$10))^2+('Inputs'!$B$8/2)^2))))*'Results'!$B$8))),"")</x:f>
        <x:v>0.37998083614455774</x:v>
      </x:c>
      <x:c r="L981" t="n">
        <x:f>IF(AND(ISNUMBER('Results'!B7),ISNUMBER('Results'!C7),ISNUMBER('Results'!$B$8),ISNUMBER('Inputs'!$B$6),ISNUMBER('Inputs'!$B$7),ISNUMBER('Inputs'!$B$8),ISNUMBER('Inputs'!$B$9),ISNUMBER('Inputs'!$B$10),ISNUMBER('Inputs'!$B$21),ISNUMBER('Inputs'!$B$24),ISNUMBER('Inputs'!$B$28)),((('Results'!B7*(1+'Inputs'!$B$24)*(0.5*((((981-43)*MAX('Inputs'!$B$33,'Inputs'!$B$29+'Inputs'!$B$31+'Inputs'!$B$32,'Inputs'!$B$30+'Inputs'!$B$31+'Inputs'!$B$32)/1000+'Inputs'!$B$21)+'Inputs'!$B$7)/SQRT((((981-43)*MAX('Inputs'!$B$33,'Inputs'!$B$29+'Inputs'!$B$31+'Inputs'!$B$32,'Inputs'!$B$30+'Inputs'!$B$31+'Inputs'!$B$32)/1000+'Inputs'!$B$21)+'Inputs'!$B$7)^2+('Inputs'!$B$6/2)^2)-(((981-43)*MAX('Inputs'!$B$33,'Inputs'!$B$29+'Inputs'!$B$31+'Inputs'!$B$32,'Inputs'!$B$30+'Inputs'!$B$31+'Inputs'!$B$32)/1000+'Inputs'!$B$21))/SQRT((((981-43)*MAX('Inputs'!$B$33,'Inputs'!$B$29+'Inputs'!$B$31+'Inputs'!$B$32,'Inputs'!$B$30+'Inputs'!$B$31+'Inputs'!$B$32)/1000+'Inputs'!$B$21))^2+('Inputs'!$B$6/2)^2)))-'Results'!C7*(1-'Inputs'!$B$24)*(0.5*((((981-43)*MAX('Inputs'!$B$33,'Inputs'!$B$29+'Inputs'!$B$31+'Inputs'!$B$32,'Inputs'!$B$30+'Inputs'!$B$31+'Inputs'!$B$32)/1000+'Inputs'!$B$21+'Inputs'!$B$7+'Inputs'!$B$10)+'Inputs'!$B$9)/SQRT((((981-43)*MAX('Inputs'!$B$33,'Inputs'!$B$29+'Inputs'!$B$31+'Inputs'!$B$32,'Inputs'!$B$30+'Inputs'!$B$31+'Inputs'!$B$32)/1000+'Inputs'!$B$21+'Inputs'!$B$7+'Inputs'!$B$10)+'Inputs'!$B$9)^2+('Inputs'!$B$8/2)^2)-(((981-43)*MAX('Inputs'!$B$33,'Inputs'!$B$29+'Inputs'!$B$31+'Inputs'!$B$32,'Inputs'!$B$30+'Inputs'!$B$31+'Inputs'!$B$32)/1000+'Inputs'!$B$21+'Inputs'!$B$7+'Inputs'!$B$10))/SQRT((((981-43)*MAX('Inputs'!$B$33,'Inputs'!$B$29+'Inputs'!$B$31+'Inputs'!$B$32,'Inputs'!$B$30+'Inputs'!$B$31+'Inputs'!$B$32)/1000+'Inputs'!$B$21+'Inputs'!$B$7+'Inputs'!$B$10))^2+('Inputs'!$B$8/2)^2))))*'Results'!$B$8)+'Inputs'!$B$28*ABS((('Results'!B7*(1+'Inputs'!$B$24)*(0.5*((((981-43)*MAX('Inputs'!$B$33,'Inputs'!$B$29+'Inputs'!$B$31+'Inputs'!$B$32,'Inputs'!$B$30+'Inputs'!$B$31+'Inputs'!$B$32)/1000+'Inputs'!$B$21)+'Inputs'!$B$7)/SQRT((((981-43)*MAX('Inputs'!$B$33,'Inputs'!$B$29+'Inputs'!$B$31+'Inputs'!$B$32,'Inputs'!$B$30+'Inputs'!$B$31+'Inputs'!$B$32)/1000+'Inputs'!$B$21)+'Inputs'!$B$7)^2+('Inputs'!$B$6/2)^2)-(((981-43)*MAX('Inputs'!$B$33,'Inputs'!$B$29+'Inputs'!$B$31+'Inputs'!$B$32,'Inputs'!$B$30+'Inputs'!$B$31+'Inputs'!$B$32)/1000+'Inputs'!$B$21))/SQRT((((981-43)*MAX('Inputs'!$B$33,'Inputs'!$B$29+'Inputs'!$B$31+'Inputs'!$B$32,'Inputs'!$B$30+'Inputs'!$B$31+'Inputs'!$B$32)/1000+'Inputs'!$B$21))^2+('Inputs'!$B$6/2)^2)))-'Results'!C7*(1-'Inputs'!$B$24)*(0.5*((((981-43)*MAX('Inputs'!$B$33,'Inputs'!$B$29+'Inputs'!$B$31+'Inputs'!$B$32,'Inputs'!$B$30+'Inputs'!$B$31+'Inputs'!$B$32)/1000+'Inputs'!$B$21+'Inputs'!$B$7+'Inputs'!$B$10)+'Inputs'!$B$9)/SQRT((((981-43)*MAX('Inputs'!$B$33,'Inputs'!$B$29+'Inputs'!$B$31+'Inputs'!$B$32,'Inputs'!$B$30+'Inputs'!$B$31+'Inputs'!$B$32)/1000+'Inputs'!$B$21+'Inputs'!$B$7+'Inputs'!$B$10)+'Inputs'!$B$9)^2+('Inputs'!$B$8/2)^2)-(((981-43)*MAX('Inputs'!$B$33,'Inputs'!$B$29+'Inputs'!$B$31+'Inputs'!$B$32,'Inputs'!$B$30+'Inputs'!$B$31+'Inputs'!$B$32)/1000+'Inputs'!$B$21+'Inputs'!$B$7+'Inputs'!$B$10))/SQRT((((981-43)*MAX('Inputs'!$B$33,'Inputs'!$B$29+'Inputs'!$B$31+'Inputs'!$B$32,'Inputs'!$B$30+'Inputs'!$B$31+'Inputs'!$B$32)/1000+'Inputs'!$B$21+'Inputs'!$B$7+'Inputs'!$B$10))^2+('Inputs'!$B$8/2)^2))))*'Results'!$B$8))),"")</x:f>
        <x:v>0.5270432544774539</x:v>
      </x:c>
      <x:c r="M981" t="n">
        <x:f>IF(AND(ISNUMBER('Results'!C7),ISNUMBER('Results'!B7),ISNUMBER('Results'!$B$8),ISNUMBER('Inputs'!$B$6),ISNUMBER('Inputs'!$B$7),ISNUMBER('Inputs'!$B$8),ISNUMBER('Inputs'!$B$9),ISNUMBER('Inputs'!$B$10),ISNUMBER('Inputs'!$B$21),ISNUMBER('Inputs'!$B$24),ISNUMBER('Inputs'!$B$28)),(('Results'!C7*(0.5*((((981-43)*MAX('Inputs'!$B$33,'Inputs'!$B$29+'Inputs'!$B$31+'Inputs'!$B$32,'Inputs'!$B$30+'Inputs'!$B$31+'Inputs'!$B$32)/1000+'Inputs'!$B$21)+'Inputs'!$B$9)/SQRT((((981-43)*MAX('Inputs'!$B$33,'Inputs'!$B$29+'Inputs'!$B$31+'Inputs'!$B$32,'Inputs'!$B$30+'Inputs'!$B$31+'Inputs'!$B$32)/1000+'Inputs'!$B$21)+'Inputs'!$B$9)^2+('Inputs'!$B$8/2)^2)-(((981-43)*MAX('Inputs'!$B$33,'Inputs'!$B$29+'Inputs'!$B$31+'Inputs'!$B$32,'Inputs'!$B$30+'Inputs'!$B$31+'Inputs'!$B$32)/1000+'Inputs'!$B$21))/SQRT((((981-43)*MAX('Inputs'!$B$33,'Inputs'!$B$29+'Inputs'!$B$31+'Inputs'!$B$32,'Inputs'!$B$30+'Inputs'!$B$31+'Inputs'!$B$32)/1000+'Inputs'!$B$21))^2+('Inputs'!$B$8/2)^2)))-'Results'!B7*(0.5*((((981-43)*MAX('Inputs'!$B$33,'Inputs'!$B$29+'Inputs'!$B$31+'Inputs'!$B$32,'Inputs'!$B$30+'Inputs'!$B$31+'Inputs'!$B$32)/1000+'Inputs'!$B$21+'Inputs'!$B$9+'Inputs'!$B$10)+'Inputs'!$B$7)/SQRT((((981-43)*MAX('Inputs'!$B$33,'Inputs'!$B$29+'Inputs'!$B$31+'Inputs'!$B$32,'Inputs'!$B$30+'Inputs'!$B$31+'Inputs'!$B$32)/1000+'Inputs'!$B$21+'Inputs'!$B$9+'Inputs'!$B$10)+'Inputs'!$B$7)^2+('Inputs'!$B$6/2)^2)-(((981-43)*MAX('Inputs'!$B$33,'Inputs'!$B$29+'Inputs'!$B$31+'Inputs'!$B$32,'Inputs'!$B$30+'Inputs'!$B$31+'Inputs'!$B$32)/1000+'Inputs'!$B$21+'Inputs'!$B$9+'Inputs'!$B$10))/SQRT((((981-43)*MAX('Inputs'!$B$33,'Inputs'!$B$29+'Inputs'!$B$31+'Inputs'!$B$32,'Inputs'!$B$30+'Inputs'!$B$31+'Inputs'!$B$32)/1000+'Inputs'!$B$21+'Inputs'!$B$9+'Inputs'!$B$10))^2+('Inputs'!$B$6/2)^2))))*'Results'!$B$8),"")</x:f>
        <x:v>0.39955162541119293</x:v>
      </x:c>
      <x:c r="N981" t="n">
        <x:f>IF(AND(ISNUMBER('Results'!C7),ISNUMBER('Results'!B7),ISNUMBER('Results'!$B$8),ISNUMBER('Inputs'!$B$6),ISNUMBER('Inputs'!$B$7),ISNUMBER('Inputs'!$B$8),ISNUMBER('Inputs'!$B$9),ISNUMBER('Inputs'!$B$10),ISNUMBER('Inputs'!$B$21),ISNUMBER('Inputs'!$B$24),ISNUMBER('Inputs'!$B$28)),((('Results'!C7*(1-'Inputs'!$B$24)*(0.5*((((981-43)*MAX('Inputs'!$B$33,'Inputs'!$B$29+'Inputs'!$B$31+'Inputs'!$B$32,'Inputs'!$B$30+'Inputs'!$B$31+'Inputs'!$B$32)/1000+'Inputs'!$B$21)+'Inputs'!$B$9)/SQRT((((981-43)*MAX('Inputs'!$B$33,'Inputs'!$B$29+'Inputs'!$B$31+'Inputs'!$B$32,'Inputs'!$B$30+'Inputs'!$B$31+'Inputs'!$B$32)/1000+'Inputs'!$B$21)+'Inputs'!$B$9)^2+('Inputs'!$B$8/2)^2)-(((981-43)*MAX('Inputs'!$B$33,'Inputs'!$B$29+'Inputs'!$B$31+'Inputs'!$B$32,'Inputs'!$B$30+'Inputs'!$B$31+'Inputs'!$B$32)/1000+'Inputs'!$B$21))/SQRT((((981-43)*MAX('Inputs'!$B$33,'Inputs'!$B$29+'Inputs'!$B$31+'Inputs'!$B$32,'Inputs'!$B$30+'Inputs'!$B$31+'Inputs'!$B$32)/1000+'Inputs'!$B$21))^2+('Inputs'!$B$8/2)^2)))-'Results'!B7*(1+'Inputs'!$B$24)*(0.5*((((981-43)*MAX('Inputs'!$B$33,'Inputs'!$B$29+'Inputs'!$B$31+'Inputs'!$B$32,'Inputs'!$B$30+'Inputs'!$B$31+'Inputs'!$B$32)/1000+'Inputs'!$B$21+'Inputs'!$B$9+'Inputs'!$B$10)+'Inputs'!$B$7)/SQRT((((981-43)*MAX('Inputs'!$B$33,'Inputs'!$B$29+'Inputs'!$B$31+'Inputs'!$B$32,'Inputs'!$B$30+'Inputs'!$B$31+'Inputs'!$B$32)/1000+'Inputs'!$B$21+'Inputs'!$B$9+'Inputs'!$B$10)+'Inputs'!$B$7)^2+('Inputs'!$B$6/2)^2)-(((981-43)*MAX('Inputs'!$B$33,'Inputs'!$B$29+'Inputs'!$B$31+'Inputs'!$B$32,'Inputs'!$B$30+'Inputs'!$B$31+'Inputs'!$B$32)/1000+'Inputs'!$B$21+'Inputs'!$B$9+'Inputs'!$B$10))/SQRT((((981-43)*MAX('Inputs'!$B$33,'Inputs'!$B$29+'Inputs'!$B$31+'Inputs'!$B$32,'Inputs'!$B$30+'Inputs'!$B$31+'Inputs'!$B$32)/1000+'Inputs'!$B$21+'Inputs'!$B$9+'Inputs'!$B$10))^2+('Inputs'!$B$6/2)^2))))*'Results'!$B$8)-'Inputs'!$B$28*ABS((('Results'!C7*(1-'Inputs'!$B$24)*(0.5*((((981-43)*MAX('Inputs'!$B$33,'Inputs'!$B$29+'Inputs'!$B$31+'Inputs'!$B$32,'Inputs'!$B$30+'Inputs'!$B$31+'Inputs'!$B$32)/1000+'Inputs'!$B$21)+'Inputs'!$B$9)/SQRT((((981-43)*MAX('Inputs'!$B$33,'Inputs'!$B$29+'Inputs'!$B$31+'Inputs'!$B$32,'Inputs'!$B$30+'Inputs'!$B$31+'Inputs'!$B$32)/1000+'Inputs'!$B$21)+'Inputs'!$B$9)^2+('Inputs'!$B$8/2)^2)-(((981-43)*MAX('Inputs'!$B$33,'Inputs'!$B$29+'Inputs'!$B$31+'Inputs'!$B$32,'Inputs'!$B$30+'Inputs'!$B$31+'Inputs'!$B$32)/1000+'Inputs'!$B$21))/SQRT((((981-43)*MAX('Inputs'!$B$33,'Inputs'!$B$29+'Inputs'!$B$31+'Inputs'!$B$32,'Inputs'!$B$30+'Inputs'!$B$31+'Inputs'!$B$32)/1000+'Inputs'!$B$21))^2+('Inputs'!$B$8/2)^2)))-'Results'!B7*(1+'Inputs'!$B$24)*(0.5*((((981-43)*MAX('Inputs'!$B$33,'Inputs'!$B$29+'Inputs'!$B$31+'Inputs'!$B$32,'Inputs'!$B$30+'Inputs'!$B$31+'Inputs'!$B$32)/1000+'Inputs'!$B$21+'Inputs'!$B$9+'Inputs'!$B$10)+'Inputs'!$B$7)/SQRT((((981-43)*MAX('Inputs'!$B$33,'Inputs'!$B$29+'Inputs'!$B$31+'Inputs'!$B$32,'Inputs'!$B$30+'Inputs'!$B$31+'Inputs'!$B$32)/1000+'Inputs'!$B$21+'Inputs'!$B$9+'Inputs'!$B$10)+'Inputs'!$B$7)^2+('Inputs'!$B$6/2)^2)-(((981-43)*MAX('Inputs'!$B$33,'Inputs'!$B$29+'Inputs'!$B$31+'Inputs'!$B$32,'Inputs'!$B$30+'Inputs'!$B$31+'Inputs'!$B$32)/1000+'Inputs'!$B$21+'Inputs'!$B$9+'Inputs'!$B$10))/SQRT((((981-43)*MAX('Inputs'!$B$33,'Inputs'!$B$29+'Inputs'!$B$31+'Inputs'!$B$32,'Inputs'!$B$30+'Inputs'!$B$31+'Inputs'!$B$32)/1000+'Inputs'!$B$21+'Inputs'!$B$9+'Inputs'!$B$10))^2+('Inputs'!$B$6/2)^2))))*'Results'!$B$8))),"")</x:f>
        <x:v>0.3313033628653575</x:v>
      </x:c>
      <x:c r="O981" t="n">
        <x:f>IF(AND(ISNUMBER('Results'!C7),ISNUMBER('Results'!B7),ISNUMBER('Results'!$B$8),ISNUMBER('Inputs'!$B$6),ISNUMBER('Inputs'!$B$7),ISNUMBER('Inputs'!$B$8),ISNUMBER('Inputs'!$B$9),ISNUMBER('Inputs'!$B$10),ISNUMBER('Inputs'!$B$21),ISNUMBER('Inputs'!$B$24),ISNUMBER('Inputs'!$B$28)),((('Results'!C7*(1+'Inputs'!$B$24)*(0.5*((((981-43)*MAX('Inputs'!$B$33,'Inputs'!$B$29+'Inputs'!$B$31+'Inputs'!$B$32,'Inputs'!$B$30+'Inputs'!$B$31+'Inputs'!$B$32)/1000+'Inputs'!$B$21)+'Inputs'!$B$9)/SQRT((((981-43)*MAX('Inputs'!$B$33,'Inputs'!$B$29+'Inputs'!$B$31+'Inputs'!$B$32,'Inputs'!$B$30+'Inputs'!$B$31+'Inputs'!$B$32)/1000+'Inputs'!$B$21)+'Inputs'!$B$9)^2+('Inputs'!$B$8/2)^2)-(((981-43)*MAX('Inputs'!$B$33,'Inputs'!$B$29+'Inputs'!$B$31+'Inputs'!$B$32,'Inputs'!$B$30+'Inputs'!$B$31+'Inputs'!$B$32)/1000+'Inputs'!$B$21))/SQRT((((981-43)*MAX('Inputs'!$B$33,'Inputs'!$B$29+'Inputs'!$B$31+'Inputs'!$B$32,'Inputs'!$B$30+'Inputs'!$B$31+'Inputs'!$B$32)/1000+'Inputs'!$B$21))^2+('Inputs'!$B$8/2)^2)))-'Results'!B7*(1-'Inputs'!$B$24)*(0.5*((((981-43)*MAX('Inputs'!$B$33,'Inputs'!$B$29+'Inputs'!$B$31+'Inputs'!$B$32,'Inputs'!$B$30+'Inputs'!$B$31+'Inputs'!$B$32)/1000+'Inputs'!$B$21+'Inputs'!$B$9+'Inputs'!$B$10)+'Inputs'!$B$7)/SQRT((((981-43)*MAX('Inputs'!$B$33,'Inputs'!$B$29+'Inputs'!$B$31+'Inputs'!$B$32,'Inputs'!$B$30+'Inputs'!$B$31+'Inputs'!$B$32)/1000+'Inputs'!$B$21+'Inputs'!$B$9+'Inputs'!$B$10)+'Inputs'!$B$7)^2+('Inputs'!$B$6/2)^2)-(((981-43)*MAX('Inputs'!$B$33,'Inputs'!$B$29+'Inputs'!$B$31+'Inputs'!$B$32,'Inputs'!$B$30+'Inputs'!$B$31+'Inputs'!$B$32)/1000+'Inputs'!$B$21+'Inputs'!$B$9+'Inputs'!$B$10))/SQRT((((981-43)*MAX('Inputs'!$B$33,'Inputs'!$B$29+'Inputs'!$B$31+'Inputs'!$B$32,'Inputs'!$B$30+'Inputs'!$B$31+'Inputs'!$B$32)/1000+'Inputs'!$B$21+'Inputs'!$B$9+'Inputs'!$B$10))^2+('Inputs'!$B$6/2)^2))))*'Results'!$B$8)+'Inputs'!$B$28*ABS((('Results'!C7*(1+'Inputs'!$B$24)*(0.5*((((981-43)*MAX('Inputs'!$B$33,'Inputs'!$B$29+'Inputs'!$B$31+'Inputs'!$B$32,'Inputs'!$B$30+'Inputs'!$B$31+'Inputs'!$B$32)/1000+'Inputs'!$B$21)+'Inputs'!$B$9)/SQRT((((981-43)*MAX('Inputs'!$B$33,'Inputs'!$B$29+'Inputs'!$B$31+'Inputs'!$B$32,'Inputs'!$B$30+'Inputs'!$B$31+'Inputs'!$B$32)/1000+'Inputs'!$B$21)+'Inputs'!$B$9)^2+('Inputs'!$B$8/2)^2)-(((981-43)*MAX('Inputs'!$B$33,'Inputs'!$B$29+'Inputs'!$B$31+'Inputs'!$B$32,'Inputs'!$B$30+'Inputs'!$B$31+'Inputs'!$B$32)/1000+'Inputs'!$B$21))/SQRT((((981-43)*MAX('Inputs'!$B$33,'Inputs'!$B$29+'Inputs'!$B$31+'Inputs'!$B$32,'Inputs'!$B$30+'Inputs'!$B$31+'Inputs'!$B$32)/1000+'Inputs'!$B$21))^2+('Inputs'!$B$8/2)^2)))-'Results'!B7*(1-'Inputs'!$B$24)*(0.5*((((981-43)*MAX('Inputs'!$B$33,'Inputs'!$B$29+'Inputs'!$B$31+'Inputs'!$B$32,'Inputs'!$B$30+'Inputs'!$B$31+'Inputs'!$B$32)/1000+'Inputs'!$B$21+'Inputs'!$B$9+'Inputs'!$B$10)+'Inputs'!$B$7)/SQRT((((981-43)*MAX('Inputs'!$B$33,'Inputs'!$B$29+'Inputs'!$B$31+'Inputs'!$B$32,'Inputs'!$B$30+'Inputs'!$B$31+'Inputs'!$B$32)/1000+'Inputs'!$B$21+'Inputs'!$B$9+'Inputs'!$B$10)+'Inputs'!$B$7)^2+('Inputs'!$B$6/2)^2)-(((981-43)*MAX('Inputs'!$B$33,'Inputs'!$B$29+'Inputs'!$B$31+'Inputs'!$B$32,'Inputs'!$B$30+'Inputs'!$B$31+'Inputs'!$B$32)/1000+'Inputs'!$B$21+'Inputs'!$B$9+'Inputs'!$B$10))/SQRT((((981-43)*MAX('Inputs'!$B$33,'Inputs'!$B$29+'Inputs'!$B$31+'Inputs'!$B$32,'Inputs'!$B$30+'Inputs'!$B$31+'Inputs'!$B$32)/1000+'Inputs'!$B$21+'Inputs'!$B$9+'Inputs'!$B$10))^2+('Inputs'!$B$6/2)^2))))*'Results'!$B$8))),"")</x:f>
        <x:v>0.4728810123017938</x:v>
      </x:c>
      <x:c r="P981" t="n">
        <x:f>IF(AND(MAX(J981,J980)&gt;0,J981&gt;J980+0.00000001),1,0)</x:f>
        <x:v>0</x:v>
      </x:c>
      <x:c r="Q981" t="n">
        <x:f>IF(AND(MAX(K981,K980)&gt;0,K981&gt;K980+0.00000001),1,0)</x:f>
        <x:v>0</x:v>
      </x:c>
      <x:c r="R981" t="n">
        <x:f>IF(AND(MAX(L981,L980)&gt;0,L981&gt;L980+0.00000001),1,0)</x:f>
        <x:v>0</x:v>
      </x:c>
      <x:c r="S981" t="n">
        <x:f>IF(AND(MAX(M981,M980)&gt;0,M981&gt;M980+0.00000001),1,0)</x:f>
        <x:v>0</x:v>
      </x:c>
      <x:c r="T981" t="n">
        <x:f>IF(AND(MAX(N981,N980)&gt;0,N981&gt;N980+0.00000001),1,0)</x:f>
        <x:v>0</x:v>
      </x:c>
      <x:c r="U981" t="n">
        <x:f>IF(AND(MAX(O981,O980)&gt;0,O981&gt;O980+0.00000001),1,0)</x:f>
        <x:v>0</x:v>
      </x:c>
    </x:row>
    <x:row r="982">
      <x:c r="J982" t="n">
        <x:f>IF(AND(ISNUMBER('Results'!B7),ISNUMBER('Results'!C7),ISNUMBER('Results'!$B$8),ISNUMBER('Inputs'!$B$6),ISNUMBER('Inputs'!$B$7),ISNUMBER('Inputs'!$B$8),ISNUMBER('Inputs'!$B$9),ISNUMBER('Inputs'!$B$10),ISNUMBER('Inputs'!$B$21),ISNUMBER('Inputs'!$B$24),ISNUMBER('Inputs'!$B$28)),(('Results'!B7*(0.5*((((982-43)*MAX('Inputs'!$B$33,'Inputs'!$B$29+'Inputs'!$B$31+'Inputs'!$B$32,'Inputs'!$B$30+'Inputs'!$B$31+'Inputs'!$B$32)/1000+'Inputs'!$B$21)+'Inputs'!$B$7)/SQRT((((982-43)*MAX('Inputs'!$B$33,'Inputs'!$B$29+'Inputs'!$B$31+'Inputs'!$B$32,'Inputs'!$B$30+'Inputs'!$B$31+'Inputs'!$B$32)/1000+'Inputs'!$B$21)+'Inputs'!$B$7)^2+('Inputs'!$B$6/2)^2)-(((982-43)*MAX('Inputs'!$B$33,'Inputs'!$B$29+'Inputs'!$B$31+'Inputs'!$B$32,'Inputs'!$B$30+'Inputs'!$B$31+'Inputs'!$B$32)/1000+'Inputs'!$B$21))/SQRT((((982-43)*MAX('Inputs'!$B$33,'Inputs'!$B$29+'Inputs'!$B$31+'Inputs'!$B$32,'Inputs'!$B$30+'Inputs'!$B$31+'Inputs'!$B$32)/1000+'Inputs'!$B$21))^2+('Inputs'!$B$6/2)^2)))-'Results'!C7*(0.5*((((982-43)*MAX('Inputs'!$B$33,'Inputs'!$B$29+'Inputs'!$B$31+'Inputs'!$B$32,'Inputs'!$B$30+'Inputs'!$B$31+'Inputs'!$B$32)/1000+'Inputs'!$B$21+'Inputs'!$B$7+'Inputs'!$B$10)+'Inputs'!$B$9)/SQRT((((982-43)*MAX('Inputs'!$B$33,'Inputs'!$B$29+'Inputs'!$B$31+'Inputs'!$B$32,'Inputs'!$B$30+'Inputs'!$B$31+'Inputs'!$B$32)/1000+'Inputs'!$B$21+'Inputs'!$B$7+'Inputs'!$B$10)+'Inputs'!$B$9)^2+('Inputs'!$B$8/2)^2)-(((982-43)*MAX('Inputs'!$B$33,'Inputs'!$B$29+'Inputs'!$B$31+'Inputs'!$B$32,'Inputs'!$B$30+'Inputs'!$B$31+'Inputs'!$B$32)/1000+'Inputs'!$B$21+'Inputs'!$B$7+'Inputs'!$B$10))/SQRT((((982-43)*MAX('Inputs'!$B$33,'Inputs'!$B$29+'Inputs'!$B$31+'Inputs'!$B$32,'Inputs'!$B$30+'Inputs'!$B$31+'Inputs'!$B$32)/1000+'Inputs'!$B$21+'Inputs'!$B$7+'Inputs'!$B$10))^2+('Inputs'!$B$8/2)^2))))*'Results'!$B$8),"")</x:f>
        <x:v>0.44921811589434474</x:v>
      </x:c>
      <x:c r="K982" t="n">
        <x:f>IF(AND(ISNUMBER('Results'!B7),ISNUMBER('Results'!C7),ISNUMBER('Results'!$B$8),ISNUMBER('Inputs'!$B$6),ISNUMBER('Inputs'!$B$7),ISNUMBER('Inputs'!$B$8),ISNUMBER('Inputs'!$B$9),ISNUMBER('Inputs'!$B$10),ISNUMBER('Inputs'!$B$21),ISNUMBER('Inputs'!$B$24),ISNUMBER('Inputs'!$B$28)),((('Results'!B7*(1-'Inputs'!$B$24)*(0.5*((((982-43)*MAX('Inputs'!$B$33,'Inputs'!$B$29+'Inputs'!$B$31+'Inputs'!$B$32,'Inputs'!$B$30+'Inputs'!$B$31+'Inputs'!$B$32)/1000+'Inputs'!$B$21)+'Inputs'!$B$7)/SQRT((((982-43)*MAX('Inputs'!$B$33,'Inputs'!$B$29+'Inputs'!$B$31+'Inputs'!$B$32,'Inputs'!$B$30+'Inputs'!$B$31+'Inputs'!$B$32)/1000+'Inputs'!$B$21)+'Inputs'!$B$7)^2+('Inputs'!$B$6/2)^2)-(((982-43)*MAX('Inputs'!$B$33,'Inputs'!$B$29+'Inputs'!$B$31+'Inputs'!$B$32,'Inputs'!$B$30+'Inputs'!$B$31+'Inputs'!$B$32)/1000+'Inputs'!$B$21))/SQRT((((982-43)*MAX('Inputs'!$B$33,'Inputs'!$B$29+'Inputs'!$B$31+'Inputs'!$B$32,'Inputs'!$B$30+'Inputs'!$B$31+'Inputs'!$B$32)/1000+'Inputs'!$B$21))^2+('Inputs'!$B$6/2)^2)))-'Results'!C7*(1+'Inputs'!$B$24)*(0.5*((((982-43)*MAX('Inputs'!$B$33,'Inputs'!$B$29+'Inputs'!$B$31+'Inputs'!$B$32,'Inputs'!$B$30+'Inputs'!$B$31+'Inputs'!$B$32)/1000+'Inputs'!$B$21+'Inputs'!$B$7+'Inputs'!$B$10)+'Inputs'!$B$9)/SQRT((((982-43)*MAX('Inputs'!$B$33,'Inputs'!$B$29+'Inputs'!$B$31+'Inputs'!$B$32,'Inputs'!$B$30+'Inputs'!$B$31+'Inputs'!$B$32)/1000+'Inputs'!$B$21+'Inputs'!$B$7+'Inputs'!$B$10)+'Inputs'!$B$9)^2+('Inputs'!$B$8/2)^2)-(((982-43)*MAX('Inputs'!$B$33,'Inputs'!$B$29+'Inputs'!$B$31+'Inputs'!$B$32,'Inputs'!$B$30+'Inputs'!$B$31+'Inputs'!$B$32)/1000+'Inputs'!$B$21+'Inputs'!$B$7+'Inputs'!$B$10))/SQRT((((982-43)*MAX('Inputs'!$B$33,'Inputs'!$B$29+'Inputs'!$B$31+'Inputs'!$B$32,'Inputs'!$B$30+'Inputs'!$B$31+'Inputs'!$B$32)/1000+'Inputs'!$B$21+'Inputs'!$B$7+'Inputs'!$B$10))^2+('Inputs'!$B$8/2)^2))))*'Results'!$B$8)-'Inputs'!$B$28*ABS((('Results'!B7*(1-'Inputs'!$B$24)*(0.5*((((982-43)*MAX('Inputs'!$B$33,'Inputs'!$B$29+'Inputs'!$B$31+'Inputs'!$B$32,'Inputs'!$B$30+'Inputs'!$B$31+'Inputs'!$B$32)/1000+'Inputs'!$B$21)+'Inputs'!$B$7)/SQRT((((982-43)*MAX('Inputs'!$B$33,'Inputs'!$B$29+'Inputs'!$B$31+'Inputs'!$B$32,'Inputs'!$B$30+'Inputs'!$B$31+'Inputs'!$B$32)/1000+'Inputs'!$B$21)+'Inputs'!$B$7)^2+('Inputs'!$B$6/2)^2)-(((982-43)*MAX('Inputs'!$B$33,'Inputs'!$B$29+'Inputs'!$B$31+'Inputs'!$B$32,'Inputs'!$B$30+'Inputs'!$B$31+'Inputs'!$B$32)/1000+'Inputs'!$B$21))/SQRT((((982-43)*MAX('Inputs'!$B$33,'Inputs'!$B$29+'Inputs'!$B$31+'Inputs'!$B$32,'Inputs'!$B$30+'Inputs'!$B$31+'Inputs'!$B$32)/1000+'Inputs'!$B$21))^2+('Inputs'!$B$6/2)^2)))-'Results'!C7*(1+'Inputs'!$B$24)*(0.5*((((982-43)*MAX('Inputs'!$B$33,'Inputs'!$B$29+'Inputs'!$B$31+'Inputs'!$B$32,'Inputs'!$B$30+'Inputs'!$B$31+'Inputs'!$B$32)/1000+'Inputs'!$B$21+'Inputs'!$B$7+'Inputs'!$B$10)+'Inputs'!$B$9)/SQRT((((982-43)*MAX('Inputs'!$B$33,'Inputs'!$B$29+'Inputs'!$B$31+'Inputs'!$B$32,'Inputs'!$B$30+'Inputs'!$B$31+'Inputs'!$B$32)/1000+'Inputs'!$B$21+'Inputs'!$B$7+'Inputs'!$B$10)+'Inputs'!$B$9)^2+('Inputs'!$B$8/2)^2)-(((982-43)*MAX('Inputs'!$B$33,'Inputs'!$B$29+'Inputs'!$B$31+'Inputs'!$B$32,'Inputs'!$B$30+'Inputs'!$B$31+'Inputs'!$B$32)/1000+'Inputs'!$B$21+'Inputs'!$B$7+'Inputs'!$B$10))/SQRT((((982-43)*MAX('Inputs'!$B$33,'Inputs'!$B$29+'Inputs'!$B$31+'Inputs'!$B$32,'Inputs'!$B$30+'Inputs'!$B$31+'Inputs'!$B$32)/1000+'Inputs'!$B$21+'Inputs'!$B$7+'Inputs'!$B$10))^2+('Inputs'!$B$8/2)^2))))*'Results'!$B$8))),"")</x:f>
        <x:v>0.37846719545084095</x:v>
      </x:c>
      <x:c r="L982" t="n">
        <x:f>IF(AND(ISNUMBER('Results'!B7),ISNUMBER('Results'!C7),ISNUMBER('Results'!$B$8),ISNUMBER('Inputs'!$B$6),ISNUMBER('Inputs'!$B$7),ISNUMBER('Inputs'!$B$8),ISNUMBER('Inputs'!$B$9),ISNUMBER('Inputs'!$B$10),ISNUMBER('Inputs'!$B$21),ISNUMBER('Inputs'!$B$24),ISNUMBER('Inputs'!$B$28)),((('Results'!B7*(1+'Inputs'!$B$24)*(0.5*((((982-43)*MAX('Inputs'!$B$33,'Inputs'!$B$29+'Inputs'!$B$31+'Inputs'!$B$32,'Inputs'!$B$30+'Inputs'!$B$31+'Inputs'!$B$32)/1000+'Inputs'!$B$21)+'Inputs'!$B$7)/SQRT((((982-43)*MAX('Inputs'!$B$33,'Inputs'!$B$29+'Inputs'!$B$31+'Inputs'!$B$32,'Inputs'!$B$30+'Inputs'!$B$31+'Inputs'!$B$32)/1000+'Inputs'!$B$21)+'Inputs'!$B$7)^2+('Inputs'!$B$6/2)^2)-(((982-43)*MAX('Inputs'!$B$33,'Inputs'!$B$29+'Inputs'!$B$31+'Inputs'!$B$32,'Inputs'!$B$30+'Inputs'!$B$31+'Inputs'!$B$32)/1000+'Inputs'!$B$21))/SQRT((((982-43)*MAX('Inputs'!$B$33,'Inputs'!$B$29+'Inputs'!$B$31+'Inputs'!$B$32,'Inputs'!$B$30+'Inputs'!$B$31+'Inputs'!$B$32)/1000+'Inputs'!$B$21))^2+('Inputs'!$B$6/2)^2)))-'Results'!C7*(1-'Inputs'!$B$24)*(0.5*((((982-43)*MAX('Inputs'!$B$33,'Inputs'!$B$29+'Inputs'!$B$31+'Inputs'!$B$32,'Inputs'!$B$30+'Inputs'!$B$31+'Inputs'!$B$32)/1000+'Inputs'!$B$21+'Inputs'!$B$7+'Inputs'!$B$10)+'Inputs'!$B$9)/SQRT((((982-43)*MAX('Inputs'!$B$33,'Inputs'!$B$29+'Inputs'!$B$31+'Inputs'!$B$32,'Inputs'!$B$30+'Inputs'!$B$31+'Inputs'!$B$32)/1000+'Inputs'!$B$21+'Inputs'!$B$7+'Inputs'!$B$10)+'Inputs'!$B$9)^2+('Inputs'!$B$8/2)^2)-(((982-43)*MAX('Inputs'!$B$33,'Inputs'!$B$29+'Inputs'!$B$31+'Inputs'!$B$32,'Inputs'!$B$30+'Inputs'!$B$31+'Inputs'!$B$32)/1000+'Inputs'!$B$21+'Inputs'!$B$7+'Inputs'!$B$10))/SQRT((((982-43)*MAX('Inputs'!$B$33,'Inputs'!$B$29+'Inputs'!$B$31+'Inputs'!$B$32,'Inputs'!$B$30+'Inputs'!$B$31+'Inputs'!$B$32)/1000+'Inputs'!$B$21+'Inputs'!$B$7+'Inputs'!$B$10))^2+('Inputs'!$B$8/2)^2))))*'Results'!$B$8)+'Inputs'!$B$28*ABS((('Results'!B7*(1+'Inputs'!$B$24)*(0.5*((((982-43)*MAX('Inputs'!$B$33,'Inputs'!$B$29+'Inputs'!$B$31+'Inputs'!$B$32,'Inputs'!$B$30+'Inputs'!$B$31+'Inputs'!$B$32)/1000+'Inputs'!$B$21)+'Inputs'!$B$7)/SQRT((((982-43)*MAX('Inputs'!$B$33,'Inputs'!$B$29+'Inputs'!$B$31+'Inputs'!$B$32,'Inputs'!$B$30+'Inputs'!$B$31+'Inputs'!$B$32)/1000+'Inputs'!$B$21)+'Inputs'!$B$7)^2+('Inputs'!$B$6/2)^2)-(((982-43)*MAX('Inputs'!$B$33,'Inputs'!$B$29+'Inputs'!$B$31+'Inputs'!$B$32,'Inputs'!$B$30+'Inputs'!$B$31+'Inputs'!$B$32)/1000+'Inputs'!$B$21))/SQRT((((982-43)*MAX('Inputs'!$B$33,'Inputs'!$B$29+'Inputs'!$B$31+'Inputs'!$B$32,'Inputs'!$B$30+'Inputs'!$B$31+'Inputs'!$B$32)/1000+'Inputs'!$B$21))^2+('Inputs'!$B$6/2)^2)))-'Results'!C7*(1-'Inputs'!$B$24)*(0.5*((((982-43)*MAX('Inputs'!$B$33,'Inputs'!$B$29+'Inputs'!$B$31+'Inputs'!$B$32,'Inputs'!$B$30+'Inputs'!$B$31+'Inputs'!$B$32)/1000+'Inputs'!$B$21+'Inputs'!$B$7+'Inputs'!$B$10)+'Inputs'!$B$9)/SQRT((((982-43)*MAX('Inputs'!$B$33,'Inputs'!$B$29+'Inputs'!$B$31+'Inputs'!$B$32,'Inputs'!$B$30+'Inputs'!$B$31+'Inputs'!$B$32)/1000+'Inputs'!$B$21+'Inputs'!$B$7+'Inputs'!$B$10)+'Inputs'!$B$9)^2+('Inputs'!$B$8/2)^2)-(((982-43)*MAX('Inputs'!$B$33,'Inputs'!$B$29+'Inputs'!$B$31+'Inputs'!$B$32,'Inputs'!$B$30+'Inputs'!$B$31+'Inputs'!$B$32)/1000+'Inputs'!$B$21+'Inputs'!$B$7+'Inputs'!$B$10))/SQRT((((982-43)*MAX('Inputs'!$B$33,'Inputs'!$B$29+'Inputs'!$B$31+'Inputs'!$B$32,'Inputs'!$B$30+'Inputs'!$B$31+'Inputs'!$B$32)/1000+'Inputs'!$B$21+'Inputs'!$B$7+'Inputs'!$B$10))^2+('Inputs'!$B$8/2)^2))))*'Results'!$B$8))),"")</x:f>
        <x:v>0.5250521957745627</x:v>
      </x:c>
      <x:c r="M982" t="n">
        <x:f>IF(AND(ISNUMBER('Results'!C7),ISNUMBER('Results'!B7),ISNUMBER('Results'!$B$8),ISNUMBER('Inputs'!$B$6),ISNUMBER('Inputs'!$B$7),ISNUMBER('Inputs'!$B$8),ISNUMBER('Inputs'!$B$9),ISNUMBER('Inputs'!$B$10),ISNUMBER('Inputs'!$B$21),ISNUMBER('Inputs'!$B$24),ISNUMBER('Inputs'!$B$28)),(('Results'!C7*(0.5*((((982-43)*MAX('Inputs'!$B$33,'Inputs'!$B$29+'Inputs'!$B$31+'Inputs'!$B$32,'Inputs'!$B$30+'Inputs'!$B$31+'Inputs'!$B$32)/1000+'Inputs'!$B$21)+'Inputs'!$B$9)/SQRT((((982-43)*MAX('Inputs'!$B$33,'Inputs'!$B$29+'Inputs'!$B$31+'Inputs'!$B$32,'Inputs'!$B$30+'Inputs'!$B$31+'Inputs'!$B$32)/1000+'Inputs'!$B$21)+'Inputs'!$B$9)^2+('Inputs'!$B$8/2)^2)-(((982-43)*MAX('Inputs'!$B$33,'Inputs'!$B$29+'Inputs'!$B$31+'Inputs'!$B$32,'Inputs'!$B$30+'Inputs'!$B$31+'Inputs'!$B$32)/1000+'Inputs'!$B$21))/SQRT((((982-43)*MAX('Inputs'!$B$33,'Inputs'!$B$29+'Inputs'!$B$31+'Inputs'!$B$32,'Inputs'!$B$30+'Inputs'!$B$31+'Inputs'!$B$32)/1000+'Inputs'!$B$21))^2+('Inputs'!$B$8/2)^2)))-'Results'!B7*(0.5*((((982-43)*MAX('Inputs'!$B$33,'Inputs'!$B$29+'Inputs'!$B$31+'Inputs'!$B$32,'Inputs'!$B$30+'Inputs'!$B$31+'Inputs'!$B$32)/1000+'Inputs'!$B$21+'Inputs'!$B$9+'Inputs'!$B$10)+'Inputs'!$B$7)/SQRT((((982-43)*MAX('Inputs'!$B$33,'Inputs'!$B$29+'Inputs'!$B$31+'Inputs'!$B$32,'Inputs'!$B$30+'Inputs'!$B$31+'Inputs'!$B$32)/1000+'Inputs'!$B$21+'Inputs'!$B$9+'Inputs'!$B$10)+'Inputs'!$B$7)^2+('Inputs'!$B$6/2)^2)-(((982-43)*MAX('Inputs'!$B$33,'Inputs'!$B$29+'Inputs'!$B$31+'Inputs'!$B$32,'Inputs'!$B$30+'Inputs'!$B$31+'Inputs'!$B$32)/1000+'Inputs'!$B$21+'Inputs'!$B$9+'Inputs'!$B$10))/SQRT((((982-43)*MAX('Inputs'!$B$33,'Inputs'!$B$29+'Inputs'!$B$31+'Inputs'!$B$32,'Inputs'!$B$30+'Inputs'!$B$31+'Inputs'!$B$32)/1000+'Inputs'!$B$21+'Inputs'!$B$9+'Inputs'!$B$10))^2+('Inputs'!$B$6/2)^2))))*'Results'!$B$8),"")</x:f>
        <x:v>0.39795950895526994</x:v>
      </x:c>
      <x:c r="N982" t="n">
        <x:f>IF(AND(ISNUMBER('Results'!C7),ISNUMBER('Results'!B7),ISNUMBER('Results'!$B$8),ISNUMBER('Inputs'!$B$6),ISNUMBER('Inputs'!$B$7),ISNUMBER('Inputs'!$B$8),ISNUMBER('Inputs'!$B$9),ISNUMBER('Inputs'!$B$10),ISNUMBER('Inputs'!$B$21),ISNUMBER('Inputs'!$B$24),ISNUMBER('Inputs'!$B$28)),((('Results'!C7*(1-'Inputs'!$B$24)*(0.5*((((982-43)*MAX('Inputs'!$B$33,'Inputs'!$B$29+'Inputs'!$B$31+'Inputs'!$B$32,'Inputs'!$B$30+'Inputs'!$B$31+'Inputs'!$B$32)/1000+'Inputs'!$B$21)+'Inputs'!$B$9)/SQRT((((982-43)*MAX('Inputs'!$B$33,'Inputs'!$B$29+'Inputs'!$B$31+'Inputs'!$B$32,'Inputs'!$B$30+'Inputs'!$B$31+'Inputs'!$B$32)/1000+'Inputs'!$B$21)+'Inputs'!$B$9)^2+('Inputs'!$B$8/2)^2)-(((982-43)*MAX('Inputs'!$B$33,'Inputs'!$B$29+'Inputs'!$B$31+'Inputs'!$B$32,'Inputs'!$B$30+'Inputs'!$B$31+'Inputs'!$B$32)/1000+'Inputs'!$B$21))/SQRT((((982-43)*MAX('Inputs'!$B$33,'Inputs'!$B$29+'Inputs'!$B$31+'Inputs'!$B$32,'Inputs'!$B$30+'Inputs'!$B$31+'Inputs'!$B$32)/1000+'Inputs'!$B$21))^2+('Inputs'!$B$8/2)^2)))-'Results'!B7*(1+'Inputs'!$B$24)*(0.5*((((982-43)*MAX('Inputs'!$B$33,'Inputs'!$B$29+'Inputs'!$B$31+'Inputs'!$B$32,'Inputs'!$B$30+'Inputs'!$B$31+'Inputs'!$B$32)/1000+'Inputs'!$B$21+'Inputs'!$B$9+'Inputs'!$B$10)+'Inputs'!$B$7)/SQRT((((982-43)*MAX('Inputs'!$B$33,'Inputs'!$B$29+'Inputs'!$B$31+'Inputs'!$B$32,'Inputs'!$B$30+'Inputs'!$B$31+'Inputs'!$B$32)/1000+'Inputs'!$B$21+'Inputs'!$B$9+'Inputs'!$B$10)+'Inputs'!$B$7)^2+('Inputs'!$B$6/2)^2)-(((982-43)*MAX('Inputs'!$B$33,'Inputs'!$B$29+'Inputs'!$B$31+'Inputs'!$B$32,'Inputs'!$B$30+'Inputs'!$B$31+'Inputs'!$B$32)/1000+'Inputs'!$B$21+'Inputs'!$B$9+'Inputs'!$B$10))/SQRT((((982-43)*MAX('Inputs'!$B$33,'Inputs'!$B$29+'Inputs'!$B$31+'Inputs'!$B$32,'Inputs'!$B$30+'Inputs'!$B$31+'Inputs'!$B$32)/1000+'Inputs'!$B$21+'Inputs'!$B$9+'Inputs'!$B$10))^2+('Inputs'!$B$6/2)^2))))*'Results'!$B$8)-'Inputs'!$B$28*ABS((('Results'!C7*(1-'Inputs'!$B$24)*(0.5*((((982-43)*MAX('Inputs'!$B$33,'Inputs'!$B$29+'Inputs'!$B$31+'Inputs'!$B$32,'Inputs'!$B$30+'Inputs'!$B$31+'Inputs'!$B$32)/1000+'Inputs'!$B$21)+'Inputs'!$B$9)/SQRT((((982-43)*MAX('Inputs'!$B$33,'Inputs'!$B$29+'Inputs'!$B$31+'Inputs'!$B$32,'Inputs'!$B$30+'Inputs'!$B$31+'Inputs'!$B$32)/1000+'Inputs'!$B$21)+'Inputs'!$B$9)^2+('Inputs'!$B$8/2)^2)-(((982-43)*MAX('Inputs'!$B$33,'Inputs'!$B$29+'Inputs'!$B$31+'Inputs'!$B$32,'Inputs'!$B$30+'Inputs'!$B$31+'Inputs'!$B$32)/1000+'Inputs'!$B$21))/SQRT((((982-43)*MAX('Inputs'!$B$33,'Inputs'!$B$29+'Inputs'!$B$31+'Inputs'!$B$32,'Inputs'!$B$30+'Inputs'!$B$31+'Inputs'!$B$32)/1000+'Inputs'!$B$21))^2+('Inputs'!$B$8/2)^2)))-'Results'!B7*(1+'Inputs'!$B$24)*(0.5*((((982-43)*MAX('Inputs'!$B$33,'Inputs'!$B$29+'Inputs'!$B$31+'Inputs'!$B$32,'Inputs'!$B$30+'Inputs'!$B$31+'Inputs'!$B$32)/1000+'Inputs'!$B$21+'Inputs'!$B$9+'Inputs'!$B$10)+'Inputs'!$B$7)/SQRT((((982-43)*MAX('Inputs'!$B$33,'Inputs'!$B$29+'Inputs'!$B$31+'Inputs'!$B$32,'Inputs'!$B$30+'Inputs'!$B$31+'Inputs'!$B$32)/1000+'Inputs'!$B$21+'Inputs'!$B$9+'Inputs'!$B$10)+'Inputs'!$B$7)^2+('Inputs'!$B$6/2)^2)-(((982-43)*MAX('Inputs'!$B$33,'Inputs'!$B$29+'Inputs'!$B$31+'Inputs'!$B$32,'Inputs'!$B$30+'Inputs'!$B$31+'Inputs'!$B$32)/1000+'Inputs'!$B$21+'Inputs'!$B$9+'Inputs'!$B$10))/SQRT((((982-43)*MAX('Inputs'!$B$33,'Inputs'!$B$29+'Inputs'!$B$31+'Inputs'!$B$32,'Inputs'!$B$30+'Inputs'!$B$31+'Inputs'!$B$32)/1000+'Inputs'!$B$21+'Inputs'!$B$9+'Inputs'!$B$10))^2+('Inputs'!$B$6/2)^2))))*'Results'!$B$8))),"")</x:f>
        <x:v>0.32993410850389304</x:v>
      </x:c>
      <x:c r="O982" t="n">
        <x:f>IF(AND(ISNUMBER('Results'!C7),ISNUMBER('Results'!B7),ISNUMBER('Results'!$B$8),ISNUMBER('Inputs'!$B$6),ISNUMBER('Inputs'!$B$7),ISNUMBER('Inputs'!$B$8),ISNUMBER('Inputs'!$B$9),ISNUMBER('Inputs'!$B$10),ISNUMBER('Inputs'!$B$21),ISNUMBER('Inputs'!$B$24),ISNUMBER('Inputs'!$B$28)),((('Results'!C7*(1+'Inputs'!$B$24)*(0.5*((((982-43)*MAX('Inputs'!$B$33,'Inputs'!$B$29+'Inputs'!$B$31+'Inputs'!$B$32,'Inputs'!$B$30+'Inputs'!$B$31+'Inputs'!$B$32)/1000+'Inputs'!$B$21)+'Inputs'!$B$9)/SQRT((((982-43)*MAX('Inputs'!$B$33,'Inputs'!$B$29+'Inputs'!$B$31+'Inputs'!$B$32,'Inputs'!$B$30+'Inputs'!$B$31+'Inputs'!$B$32)/1000+'Inputs'!$B$21)+'Inputs'!$B$9)^2+('Inputs'!$B$8/2)^2)-(((982-43)*MAX('Inputs'!$B$33,'Inputs'!$B$29+'Inputs'!$B$31+'Inputs'!$B$32,'Inputs'!$B$30+'Inputs'!$B$31+'Inputs'!$B$32)/1000+'Inputs'!$B$21))/SQRT((((982-43)*MAX('Inputs'!$B$33,'Inputs'!$B$29+'Inputs'!$B$31+'Inputs'!$B$32,'Inputs'!$B$30+'Inputs'!$B$31+'Inputs'!$B$32)/1000+'Inputs'!$B$21))^2+('Inputs'!$B$8/2)^2)))-'Results'!B7*(1-'Inputs'!$B$24)*(0.5*((((982-43)*MAX('Inputs'!$B$33,'Inputs'!$B$29+'Inputs'!$B$31+'Inputs'!$B$32,'Inputs'!$B$30+'Inputs'!$B$31+'Inputs'!$B$32)/1000+'Inputs'!$B$21+'Inputs'!$B$9+'Inputs'!$B$10)+'Inputs'!$B$7)/SQRT((((982-43)*MAX('Inputs'!$B$33,'Inputs'!$B$29+'Inputs'!$B$31+'Inputs'!$B$32,'Inputs'!$B$30+'Inputs'!$B$31+'Inputs'!$B$32)/1000+'Inputs'!$B$21+'Inputs'!$B$9+'Inputs'!$B$10)+'Inputs'!$B$7)^2+('Inputs'!$B$6/2)^2)-(((982-43)*MAX('Inputs'!$B$33,'Inputs'!$B$29+'Inputs'!$B$31+'Inputs'!$B$32,'Inputs'!$B$30+'Inputs'!$B$31+'Inputs'!$B$32)/1000+'Inputs'!$B$21+'Inputs'!$B$9+'Inputs'!$B$10))/SQRT((((982-43)*MAX('Inputs'!$B$33,'Inputs'!$B$29+'Inputs'!$B$31+'Inputs'!$B$32,'Inputs'!$B$30+'Inputs'!$B$31+'Inputs'!$B$32)/1000+'Inputs'!$B$21+'Inputs'!$B$9+'Inputs'!$B$10))^2+('Inputs'!$B$6/2)^2))))*'Results'!$B$8)+'Inputs'!$B$28*ABS((('Results'!C7*(1+'Inputs'!$B$24)*(0.5*((((982-43)*MAX('Inputs'!$B$33,'Inputs'!$B$29+'Inputs'!$B$31+'Inputs'!$B$32,'Inputs'!$B$30+'Inputs'!$B$31+'Inputs'!$B$32)/1000+'Inputs'!$B$21)+'Inputs'!$B$9)/SQRT((((982-43)*MAX('Inputs'!$B$33,'Inputs'!$B$29+'Inputs'!$B$31+'Inputs'!$B$32,'Inputs'!$B$30+'Inputs'!$B$31+'Inputs'!$B$32)/1000+'Inputs'!$B$21)+'Inputs'!$B$9)^2+('Inputs'!$B$8/2)^2)-(((982-43)*MAX('Inputs'!$B$33,'Inputs'!$B$29+'Inputs'!$B$31+'Inputs'!$B$32,'Inputs'!$B$30+'Inputs'!$B$31+'Inputs'!$B$32)/1000+'Inputs'!$B$21))/SQRT((((982-43)*MAX('Inputs'!$B$33,'Inputs'!$B$29+'Inputs'!$B$31+'Inputs'!$B$32,'Inputs'!$B$30+'Inputs'!$B$31+'Inputs'!$B$32)/1000+'Inputs'!$B$21))^2+('Inputs'!$B$8/2)^2)))-'Results'!B7*(1-'Inputs'!$B$24)*(0.5*((((982-43)*MAX('Inputs'!$B$33,'Inputs'!$B$29+'Inputs'!$B$31+'Inputs'!$B$32,'Inputs'!$B$30+'Inputs'!$B$31+'Inputs'!$B$32)/1000+'Inputs'!$B$21+'Inputs'!$B$9+'Inputs'!$B$10)+'Inputs'!$B$7)/SQRT((((982-43)*MAX('Inputs'!$B$33,'Inputs'!$B$29+'Inputs'!$B$31+'Inputs'!$B$32,'Inputs'!$B$30+'Inputs'!$B$31+'Inputs'!$B$32)/1000+'Inputs'!$B$21+'Inputs'!$B$9+'Inputs'!$B$10)+'Inputs'!$B$7)^2+('Inputs'!$B$6/2)^2)-(((982-43)*MAX('Inputs'!$B$33,'Inputs'!$B$29+'Inputs'!$B$31+'Inputs'!$B$32,'Inputs'!$B$30+'Inputs'!$B$31+'Inputs'!$B$32)/1000+'Inputs'!$B$21+'Inputs'!$B$9+'Inputs'!$B$10))/SQRT((((982-43)*MAX('Inputs'!$B$33,'Inputs'!$B$29+'Inputs'!$B$31+'Inputs'!$B$32,'Inputs'!$B$30+'Inputs'!$B$31+'Inputs'!$B$32)/1000+'Inputs'!$B$21+'Inputs'!$B$9+'Inputs'!$B$10))^2+('Inputs'!$B$6/2)^2))))*'Results'!$B$8))),"")</x:f>
        <x:v>0.4710509541438692</x:v>
      </x:c>
      <x:c r="P982" t="n">
        <x:f>IF(AND(MAX(J982,J981)&gt;0,J982&gt;J981+0.00000001),1,0)</x:f>
        <x:v>0</x:v>
      </x:c>
      <x:c r="Q982" t="n">
        <x:f>IF(AND(MAX(K982,K981)&gt;0,K982&gt;K981+0.00000001),1,0)</x:f>
        <x:v>0</x:v>
      </x:c>
      <x:c r="R982" t="n">
        <x:f>IF(AND(MAX(L982,L981)&gt;0,L982&gt;L981+0.00000001),1,0)</x:f>
        <x:v>0</x:v>
      </x:c>
      <x:c r="S982" t="n">
        <x:f>IF(AND(MAX(M982,M981)&gt;0,M982&gt;M981+0.00000001),1,0)</x:f>
        <x:v>0</x:v>
      </x:c>
      <x:c r="T982" t="n">
        <x:f>IF(AND(MAX(N982,N981)&gt;0,N982&gt;N981+0.00000001),1,0)</x:f>
        <x:v>0</x:v>
      </x:c>
      <x:c r="U982" t="n">
        <x:f>IF(AND(MAX(O982,O981)&gt;0,O982&gt;O981+0.00000001),1,0)</x:f>
        <x:v>0</x:v>
      </x:c>
    </x:row>
    <x:row r="983">
      <x:c r="J983" t="n">
        <x:f>IF(AND(ISNUMBER('Results'!B7),ISNUMBER('Results'!C7),ISNUMBER('Results'!$B$8),ISNUMBER('Inputs'!$B$6),ISNUMBER('Inputs'!$B$7),ISNUMBER('Inputs'!$B$8),ISNUMBER('Inputs'!$B$9),ISNUMBER('Inputs'!$B$10),ISNUMBER('Inputs'!$B$21),ISNUMBER('Inputs'!$B$24),ISNUMBER('Inputs'!$B$28)),(('Results'!B7*(0.5*((((983-43)*MAX('Inputs'!$B$33,'Inputs'!$B$29+'Inputs'!$B$31+'Inputs'!$B$32,'Inputs'!$B$30+'Inputs'!$B$31+'Inputs'!$B$32)/1000+'Inputs'!$B$21)+'Inputs'!$B$7)/SQRT((((983-43)*MAX('Inputs'!$B$33,'Inputs'!$B$29+'Inputs'!$B$31+'Inputs'!$B$32,'Inputs'!$B$30+'Inputs'!$B$31+'Inputs'!$B$32)/1000+'Inputs'!$B$21)+'Inputs'!$B$7)^2+('Inputs'!$B$6/2)^2)-(((983-43)*MAX('Inputs'!$B$33,'Inputs'!$B$29+'Inputs'!$B$31+'Inputs'!$B$32,'Inputs'!$B$30+'Inputs'!$B$31+'Inputs'!$B$32)/1000+'Inputs'!$B$21))/SQRT((((983-43)*MAX('Inputs'!$B$33,'Inputs'!$B$29+'Inputs'!$B$31+'Inputs'!$B$32,'Inputs'!$B$30+'Inputs'!$B$31+'Inputs'!$B$32)/1000+'Inputs'!$B$21))^2+('Inputs'!$B$6/2)^2)))-'Results'!C7*(0.5*((((983-43)*MAX('Inputs'!$B$33,'Inputs'!$B$29+'Inputs'!$B$31+'Inputs'!$B$32,'Inputs'!$B$30+'Inputs'!$B$31+'Inputs'!$B$32)/1000+'Inputs'!$B$21+'Inputs'!$B$7+'Inputs'!$B$10)+'Inputs'!$B$9)/SQRT((((983-43)*MAX('Inputs'!$B$33,'Inputs'!$B$29+'Inputs'!$B$31+'Inputs'!$B$32,'Inputs'!$B$30+'Inputs'!$B$31+'Inputs'!$B$32)/1000+'Inputs'!$B$21+'Inputs'!$B$7+'Inputs'!$B$10)+'Inputs'!$B$9)^2+('Inputs'!$B$8/2)^2)-(((983-43)*MAX('Inputs'!$B$33,'Inputs'!$B$29+'Inputs'!$B$31+'Inputs'!$B$32,'Inputs'!$B$30+'Inputs'!$B$31+'Inputs'!$B$32)/1000+'Inputs'!$B$21+'Inputs'!$B$7+'Inputs'!$B$10))/SQRT((((983-43)*MAX('Inputs'!$B$33,'Inputs'!$B$29+'Inputs'!$B$31+'Inputs'!$B$32,'Inputs'!$B$30+'Inputs'!$B$31+'Inputs'!$B$32)/1000+'Inputs'!$B$21+'Inputs'!$B$7+'Inputs'!$B$10))^2+('Inputs'!$B$8/2)^2))))*'Results'!$B$8),"")</x:f>
        <x:v>0.447481813128162</x:v>
      </x:c>
      <x:c r="K983" t="n">
        <x:f>IF(AND(ISNUMBER('Results'!B7),ISNUMBER('Results'!C7),ISNUMBER('Results'!$B$8),ISNUMBER('Inputs'!$B$6),ISNUMBER('Inputs'!$B$7),ISNUMBER('Inputs'!$B$8),ISNUMBER('Inputs'!$B$9),ISNUMBER('Inputs'!$B$10),ISNUMBER('Inputs'!$B$21),ISNUMBER('Inputs'!$B$24),ISNUMBER('Inputs'!$B$28)),((('Results'!B7*(1-'Inputs'!$B$24)*(0.5*((((983-43)*MAX('Inputs'!$B$33,'Inputs'!$B$29+'Inputs'!$B$31+'Inputs'!$B$32,'Inputs'!$B$30+'Inputs'!$B$31+'Inputs'!$B$32)/1000+'Inputs'!$B$21)+'Inputs'!$B$7)/SQRT((((983-43)*MAX('Inputs'!$B$33,'Inputs'!$B$29+'Inputs'!$B$31+'Inputs'!$B$32,'Inputs'!$B$30+'Inputs'!$B$31+'Inputs'!$B$32)/1000+'Inputs'!$B$21)+'Inputs'!$B$7)^2+('Inputs'!$B$6/2)^2)-(((983-43)*MAX('Inputs'!$B$33,'Inputs'!$B$29+'Inputs'!$B$31+'Inputs'!$B$32,'Inputs'!$B$30+'Inputs'!$B$31+'Inputs'!$B$32)/1000+'Inputs'!$B$21))/SQRT((((983-43)*MAX('Inputs'!$B$33,'Inputs'!$B$29+'Inputs'!$B$31+'Inputs'!$B$32,'Inputs'!$B$30+'Inputs'!$B$31+'Inputs'!$B$32)/1000+'Inputs'!$B$21))^2+('Inputs'!$B$6/2)^2)))-'Results'!C7*(1+'Inputs'!$B$24)*(0.5*((((983-43)*MAX('Inputs'!$B$33,'Inputs'!$B$29+'Inputs'!$B$31+'Inputs'!$B$32,'Inputs'!$B$30+'Inputs'!$B$31+'Inputs'!$B$32)/1000+'Inputs'!$B$21+'Inputs'!$B$7+'Inputs'!$B$10)+'Inputs'!$B$9)/SQRT((((983-43)*MAX('Inputs'!$B$33,'Inputs'!$B$29+'Inputs'!$B$31+'Inputs'!$B$32,'Inputs'!$B$30+'Inputs'!$B$31+'Inputs'!$B$32)/1000+'Inputs'!$B$21+'Inputs'!$B$7+'Inputs'!$B$10)+'Inputs'!$B$9)^2+('Inputs'!$B$8/2)^2)-(((983-43)*MAX('Inputs'!$B$33,'Inputs'!$B$29+'Inputs'!$B$31+'Inputs'!$B$32,'Inputs'!$B$30+'Inputs'!$B$31+'Inputs'!$B$32)/1000+'Inputs'!$B$21+'Inputs'!$B$7+'Inputs'!$B$10))/SQRT((((983-43)*MAX('Inputs'!$B$33,'Inputs'!$B$29+'Inputs'!$B$31+'Inputs'!$B$32,'Inputs'!$B$30+'Inputs'!$B$31+'Inputs'!$B$32)/1000+'Inputs'!$B$21+'Inputs'!$B$7+'Inputs'!$B$10))^2+('Inputs'!$B$8/2)^2))))*'Results'!$B$8)-'Inputs'!$B$28*ABS((('Results'!B7*(1-'Inputs'!$B$24)*(0.5*((((983-43)*MAX('Inputs'!$B$33,'Inputs'!$B$29+'Inputs'!$B$31+'Inputs'!$B$32,'Inputs'!$B$30+'Inputs'!$B$31+'Inputs'!$B$32)/1000+'Inputs'!$B$21)+'Inputs'!$B$7)/SQRT((((983-43)*MAX('Inputs'!$B$33,'Inputs'!$B$29+'Inputs'!$B$31+'Inputs'!$B$32,'Inputs'!$B$30+'Inputs'!$B$31+'Inputs'!$B$32)/1000+'Inputs'!$B$21)+'Inputs'!$B$7)^2+('Inputs'!$B$6/2)^2)-(((983-43)*MAX('Inputs'!$B$33,'Inputs'!$B$29+'Inputs'!$B$31+'Inputs'!$B$32,'Inputs'!$B$30+'Inputs'!$B$31+'Inputs'!$B$32)/1000+'Inputs'!$B$21))/SQRT((((983-43)*MAX('Inputs'!$B$33,'Inputs'!$B$29+'Inputs'!$B$31+'Inputs'!$B$32,'Inputs'!$B$30+'Inputs'!$B$31+'Inputs'!$B$32)/1000+'Inputs'!$B$21))^2+('Inputs'!$B$6/2)^2)))-'Results'!C7*(1+'Inputs'!$B$24)*(0.5*((((983-43)*MAX('Inputs'!$B$33,'Inputs'!$B$29+'Inputs'!$B$31+'Inputs'!$B$32,'Inputs'!$B$30+'Inputs'!$B$31+'Inputs'!$B$32)/1000+'Inputs'!$B$21+'Inputs'!$B$7+'Inputs'!$B$10)+'Inputs'!$B$9)/SQRT((((983-43)*MAX('Inputs'!$B$33,'Inputs'!$B$29+'Inputs'!$B$31+'Inputs'!$B$32,'Inputs'!$B$30+'Inputs'!$B$31+'Inputs'!$B$32)/1000+'Inputs'!$B$21+'Inputs'!$B$7+'Inputs'!$B$10)+'Inputs'!$B$9)^2+('Inputs'!$B$8/2)^2)-(((983-43)*MAX('Inputs'!$B$33,'Inputs'!$B$29+'Inputs'!$B$31+'Inputs'!$B$32,'Inputs'!$B$30+'Inputs'!$B$31+'Inputs'!$B$32)/1000+'Inputs'!$B$21+'Inputs'!$B$7+'Inputs'!$B$10))/SQRT((((983-43)*MAX('Inputs'!$B$33,'Inputs'!$B$29+'Inputs'!$B$31+'Inputs'!$B$32,'Inputs'!$B$30+'Inputs'!$B$31+'Inputs'!$B$32)/1000+'Inputs'!$B$21+'Inputs'!$B$7+'Inputs'!$B$10))^2+('Inputs'!$B$8/2)^2))))*'Results'!$B$8))),"")</x:f>
        <x:v>0.3769610342061588</x:v>
      </x:c>
      <x:c r="L983" t="n">
        <x:f>IF(AND(ISNUMBER('Results'!B7),ISNUMBER('Results'!C7),ISNUMBER('Results'!$B$8),ISNUMBER('Inputs'!$B$6),ISNUMBER('Inputs'!$B$7),ISNUMBER('Inputs'!$B$8),ISNUMBER('Inputs'!$B$9),ISNUMBER('Inputs'!$B$10),ISNUMBER('Inputs'!$B$21),ISNUMBER('Inputs'!$B$24),ISNUMBER('Inputs'!$B$28)),((('Results'!B7*(1+'Inputs'!$B$24)*(0.5*((((983-43)*MAX('Inputs'!$B$33,'Inputs'!$B$29+'Inputs'!$B$31+'Inputs'!$B$32,'Inputs'!$B$30+'Inputs'!$B$31+'Inputs'!$B$32)/1000+'Inputs'!$B$21)+'Inputs'!$B$7)/SQRT((((983-43)*MAX('Inputs'!$B$33,'Inputs'!$B$29+'Inputs'!$B$31+'Inputs'!$B$32,'Inputs'!$B$30+'Inputs'!$B$31+'Inputs'!$B$32)/1000+'Inputs'!$B$21)+'Inputs'!$B$7)^2+('Inputs'!$B$6/2)^2)-(((983-43)*MAX('Inputs'!$B$33,'Inputs'!$B$29+'Inputs'!$B$31+'Inputs'!$B$32,'Inputs'!$B$30+'Inputs'!$B$31+'Inputs'!$B$32)/1000+'Inputs'!$B$21))/SQRT((((983-43)*MAX('Inputs'!$B$33,'Inputs'!$B$29+'Inputs'!$B$31+'Inputs'!$B$32,'Inputs'!$B$30+'Inputs'!$B$31+'Inputs'!$B$32)/1000+'Inputs'!$B$21))^2+('Inputs'!$B$6/2)^2)))-'Results'!C7*(1-'Inputs'!$B$24)*(0.5*((((983-43)*MAX('Inputs'!$B$33,'Inputs'!$B$29+'Inputs'!$B$31+'Inputs'!$B$32,'Inputs'!$B$30+'Inputs'!$B$31+'Inputs'!$B$32)/1000+'Inputs'!$B$21+'Inputs'!$B$7+'Inputs'!$B$10)+'Inputs'!$B$9)/SQRT((((983-43)*MAX('Inputs'!$B$33,'Inputs'!$B$29+'Inputs'!$B$31+'Inputs'!$B$32,'Inputs'!$B$30+'Inputs'!$B$31+'Inputs'!$B$32)/1000+'Inputs'!$B$21+'Inputs'!$B$7+'Inputs'!$B$10)+'Inputs'!$B$9)^2+('Inputs'!$B$8/2)^2)-(((983-43)*MAX('Inputs'!$B$33,'Inputs'!$B$29+'Inputs'!$B$31+'Inputs'!$B$32,'Inputs'!$B$30+'Inputs'!$B$31+'Inputs'!$B$32)/1000+'Inputs'!$B$21+'Inputs'!$B$7+'Inputs'!$B$10))/SQRT((((983-43)*MAX('Inputs'!$B$33,'Inputs'!$B$29+'Inputs'!$B$31+'Inputs'!$B$32,'Inputs'!$B$30+'Inputs'!$B$31+'Inputs'!$B$32)/1000+'Inputs'!$B$21+'Inputs'!$B$7+'Inputs'!$B$10))^2+('Inputs'!$B$8/2)^2))))*'Results'!$B$8)+'Inputs'!$B$28*ABS((('Results'!B7*(1+'Inputs'!$B$24)*(0.5*((((983-43)*MAX('Inputs'!$B$33,'Inputs'!$B$29+'Inputs'!$B$31+'Inputs'!$B$32,'Inputs'!$B$30+'Inputs'!$B$31+'Inputs'!$B$32)/1000+'Inputs'!$B$21)+'Inputs'!$B$7)/SQRT((((983-43)*MAX('Inputs'!$B$33,'Inputs'!$B$29+'Inputs'!$B$31+'Inputs'!$B$32,'Inputs'!$B$30+'Inputs'!$B$31+'Inputs'!$B$32)/1000+'Inputs'!$B$21)+'Inputs'!$B$7)^2+('Inputs'!$B$6/2)^2)-(((983-43)*MAX('Inputs'!$B$33,'Inputs'!$B$29+'Inputs'!$B$31+'Inputs'!$B$32,'Inputs'!$B$30+'Inputs'!$B$31+'Inputs'!$B$32)/1000+'Inputs'!$B$21))/SQRT((((983-43)*MAX('Inputs'!$B$33,'Inputs'!$B$29+'Inputs'!$B$31+'Inputs'!$B$32,'Inputs'!$B$30+'Inputs'!$B$31+'Inputs'!$B$32)/1000+'Inputs'!$B$21))^2+('Inputs'!$B$6/2)^2)))-'Results'!C7*(1-'Inputs'!$B$24)*(0.5*((((983-43)*MAX('Inputs'!$B$33,'Inputs'!$B$29+'Inputs'!$B$31+'Inputs'!$B$32,'Inputs'!$B$30+'Inputs'!$B$31+'Inputs'!$B$32)/1000+'Inputs'!$B$21+'Inputs'!$B$7+'Inputs'!$B$10)+'Inputs'!$B$9)/SQRT((((983-43)*MAX('Inputs'!$B$33,'Inputs'!$B$29+'Inputs'!$B$31+'Inputs'!$B$32,'Inputs'!$B$30+'Inputs'!$B$31+'Inputs'!$B$32)/1000+'Inputs'!$B$21+'Inputs'!$B$7+'Inputs'!$B$10)+'Inputs'!$B$9)^2+('Inputs'!$B$8/2)^2)-(((983-43)*MAX('Inputs'!$B$33,'Inputs'!$B$29+'Inputs'!$B$31+'Inputs'!$B$32,'Inputs'!$B$30+'Inputs'!$B$31+'Inputs'!$B$32)/1000+'Inputs'!$B$21+'Inputs'!$B$7+'Inputs'!$B$10))/SQRT((((983-43)*MAX('Inputs'!$B$33,'Inputs'!$B$29+'Inputs'!$B$31+'Inputs'!$B$32,'Inputs'!$B$30+'Inputs'!$B$31+'Inputs'!$B$32)/1000+'Inputs'!$B$21+'Inputs'!$B$7+'Inputs'!$B$10))^2+('Inputs'!$B$8/2)^2))))*'Results'!$B$8))),"")</x:f>
        <x:v>0.5230706644991752</x:v>
      </x:c>
      <x:c r="M983" t="n">
        <x:f>IF(AND(ISNUMBER('Results'!C7),ISNUMBER('Results'!B7),ISNUMBER('Results'!$B$8),ISNUMBER('Inputs'!$B$6),ISNUMBER('Inputs'!$B$7),ISNUMBER('Inputs'!$B$8),ISNUMBER('Inputs'!$B$9),ISNUMBER('Inputs'!$B$10),ISNUMBER('Inputs'!$B$21),ISNUMBER('Inputs'!$B$24),ISNUMBER('Inputs'!$B$28)),(('Results'!C7*(0.5*((((983-43)*MAX('Inputs'!$B$33,'Inputs'!$B$29+'Inputs'!$B$31+'Inputs'!$B$32,'Inputs'!$B$30+'Inputs'!$B$31+'Inputs'!$B$32)/1000+'Inputs'!$B$21)+'Inputs'!$B$9)/SQRT((((983-43)*MAX('Inputs'!$B$33,'Inputs'!$B$29+'Inputs'!$B$31+'Inputs'!$B$32,'Inputs'!$B$30+'Inputs'!$B$31+'Inputs'!$B$32)/1000+'Inputs'!$B$21)+'Inputs'!$B$9)^2+('Inputs'!$B$8/2)^2)-(((983-43)*MAX('Inputs'!$B$33,'Inputs'!$B$29+'Inputs'!$B$31+'Inputs'!$B$32,'Inputs'!$B$30+'Inputs'!$B$31+'Inputs'!$B$32)/1000+'Inputs'!$B$21))/SQRT((((983-43)*MAX('Inputs'!$B$33,'Inputs'!$B$29+'Inputs'!$B$31+'Inputs'!$B$32,'Inputs'!$B$30+'Inputs'!$B$31+'Inputs'!$B$32)/1000+'Inputs'!$B$21))^2+('Inputs'!$B$8/2)^2)))-'Results'!B7*(0.5*((((983-43)*MAX('Inputs'!$B$33,'Inputs'!$B$29+'Inputs'!$B$31+'Inputs'!$B$32,'Inputs'!$B$30+'Inputs'!$B$31+'Inputs'!$B$32)/1000+'Inputs'!$B$21+'Inputs'!$B$9+'Inputs'!$B$10)+'Inputs'!$B$7)/SQRT((((983-43)*MAX('Inputs'!$B$33,'Inputs'!$B$29+'Inputs'!$B$31+'Inputs'!$B$32,'Inputs'!$B$30+'Inputs'!$B$31+'Inputs'!$B$32)/1000+'Inputs'!$B$21+'Inputs'!$B$9+'Inputs'!$B$10)+'Inputs'!$B$7)^2+('Inputs'!$B$6/2)^2)-(((983-43)*MAX('Inputs'!$B$33,'Inputs'!$B$29+'Inputs'!$B$31+'Inputs'!$B$32,'Inputs'!$B$30+'Inputs'!$B$31+'Inputs'!$B$32)/1000+'Inputs'!$B$21+'Inputs'!$B$9+'Inputs'!$B$10))/SQRT((((983-43)*MAX('Inputs'!$B$33,'Inputs'!$B$29+'Inputs'!$B$31+'Inputs'!$B$32,'Inputs'!$B$30+'Inputs'!$B$31+'Inputs'!$B$32)/1000+'Inputs'!$B$21+'Inputs'!$B$9+'Inputs'!$B$10))^2+('Inputs'!$B$6/2)^2))))*'Results'!$B$8),"")</x:f>
        <x:v>0.39637526120716876</x:v>
      </x:c>
      <x:c r="N983" t="n">
        <x:f>IF(AND(ISNUMBER('Results'!C7),ISNUMBER('Results'!B7),ISNUMBER('Results'!$B$8),ISNUMBER('Inputs'!$B$6),ISNUMBER('Inputs'!$B$7),ISNUMBER('Inputs'!$B$8),ISNUMBER('Inputs'!$B$9),ISNUMBER('Inputs'!$B$10),ISNUMBER('Inputs'!$B$21),ISNUMBER('Inputs'!$B$24),ISNUMBER('Inputs'!$B$28)),((('Results'!C7*(1-'Inputs'!$B$24)*(0.5*((((983-43)*MAX('Inputs'!$B$33,'Inputs'!$B$29+'Inputs'!$B$31+'Inputs'!$B$32,'Inputs'!$B$30+'Inputs'!$B$31+'Inputs'!$B$32)/1000+'Inputs'!$B$21)+'Inputs'!$B$9)/SQRT((((983-43)*MAX('Inputs'!$B$33,'Inputs'!$B$29+'Inputs'!$B$31+'Inputs'!$B$32,'Inputs'!$B$30+'Inputs'!$B$31+'Inputs'!$B$32)/1000+'Inputs'!$B$21)+'Inputs'!$B$9)^2+('Inputs'!$B$8/2)^2)-(((983-43)*MAX('Inputs'!$B$33,'Inputs'!$B$29+'Inputs'!$B$31+'Inputs'!$B$32,'Inputs'!$B$30+'Inputs'!$B$31+'Inputs'!$B$32)/1000+'Inputs'!$B$21))/SQRT((((983-43)*MAX('Inputs'!$B$33,'Inputs'!$B$29+'Inputs'!$B$31+'Inputs'!$B$32,'Inputs'!$B$30+'Inputs'!$B$31+'Inputs'!$B$32)/1000+'Inputs'!$B$21))^2+('Inputs'!$B$8/2)^2)))-'Results'!B7*(1+'Inputs'!$B$24)*(0.5*((((983-43)*MAX('Inputs'!$B$33,'Inputs'!$B$29+'Inputs'!$B$31+'Inputs'!$B$32,'Inputs'!$B$30+'Inputs'!$B$31+'Inputs'!$B$32)/1000+'Inputs'!$B$21+'Inputs'!$B$9+'Inputs'!$B$10)+'Inputs'!$B$7)/SQRT((((983-43)*MAX('Inputs'!$B$33,'Inputs'!$B$29+'Inputs'!$B$31+'Inputs'!$B$32,'Inputs'!$B$30+'Inputs'!$B$31+'Inputs'!$B$32)/1000+'Inputs'!$B$21+'Inputs'!$B$9+'Inputs'!$B$10)+'Inputs'!$B$7)^2+('Inputs'!$B$6/2)^2)-(((983-43)*MAX('Inputs'!$B$33,'Inputs'!$B$29+'Inputs'!$B$31+'Inputs'!$B$32,'Inputs'!$B$30+'Inputs'!$B$31+'Inputs'!$B$32)/1000+'Inputs'!$B$21+'Inputs'!$B$9+'Inputs'!$B$10))/SQRT((((983-43)*MAX('Inputs'!$B$33,'Inputs'!$B$29+'Inputs'!$B$31+'Inputs'!$B$32,'Inputs'!$B$30+'Inputs'!$B$31+'Inputs'!$B$32)/1000+'Inputs'!$B$21+'Inputs'!$B$9+'Inputs'!$B$10))^2+('Inputs'!$B$6/2)^2))))*'Results'!$B$8)-'Inputs'!$B$28*ABS((('Results'!C7*(1-'Inputs'!$B$24)*(0.5*((((983-43)*MAX('Inputs'!$B$33,'Inputs'!$B$29+'Inputs'!$B$31+'Inputs'!$B$32,'Inputs'!$B$30+'Inputs'!$B$31+'Inputs'!$B$32)/1000+'Inputs'!$B$21)+'Inputs'!$B$9)/SQRT((((983-43)*MAX('Inputs'!$B$33,'Inputs'!$B$29+'Inputs'!$B$31+'Inputs'!$B$32,'Inputs'!$B$30+'Inputs'!$B$31+'Inputs'!$B$32)/1000+'Inputs'!$B$21)+'Inputs'!$B$9)^2+('Inputs'!$B$8/2)^2)-(((983-43)*MAX('Inputs'!$B$33,'Inputs'!$B$29+'Inputs'!$B$31+'Inputs'!$B$32,'Inputs'!$B$30+'Inputs'!$B$31+'Inputs'!$B$32)/1000+'Inputs'!$B$21))/SQRT((((983-43)*MAX('Inputs'!$B$33,'Inputs'!$B$29+'Inputs'!$B$31+'Inputs'!$B$32,'Inputs'!$B$30+'Inputs'!$B$31+'Inputs'!$B$32)/1000+'Inputs'!$B$21))^2+('Inputs'!$B$8/2)^2)))-'Results'!B7*(1+'Inputs'!$B$24)*(0.5*((((983-43)*MAX('Inputs'!$B$33,'Inputs'!$B$29+'Inputs'!$B$31+'Inputs'!$B$32,'Inputs'!$B$30+'Inputs'!$B$31+'Inputs'!$B$32)/1000+'Inputs'!$B$21+'Inputs'!$B$9+'Inputs'!$B$10)+'Inputs'!$B$7)/SQRT((((983-43)*MAX('Inputs'!$B$33,'Inputs'!$B$29+'Inputs'!$B$31+'Inputs'!$B$32,'Inputs'!$B$30+'Inputs'!$B$31+'Inputs'!$B$32)/1000+'Inputs'!$B$21+'Inputs'!$B$9+'Inputs'!$B$10)+'Inputs'!$B$7)^2+('Inputs'!$B$6/2)^2)-(((983-43)*MAX('Inputs'!$B$33,'Inputs'!$B$29+'Inputs'!$B$31+'Inputs'!$B$32,'Inputs'!$B$30+'Inputs'!$B$31+'Inputs'!$B$32)/1000+'Inputs'!$B$21+'Inputs'!$B$9+'Inputs'!$B$10))/SQRT((((983-43)*MAX('Inputs'!$B$33,'Inputs'!$B$29+'Inputs'!$B$31+'Inputs'!$B$32,'Inputs'!$B$30+'Inputs'!$B$31+'Inputs'!$B$32)/1000+'Inputs'!$B$21+'Inputs'!$B$9+'Inputs'!$B$10))^2+('Inputs'!$B$6/2)^2))))*'Results'!$B$8))),"")</x:f>
        <x:v>0.3285717622490171</x:v>
      </x:c>
      <x:c r="O983" t="n">
        <x:f>IF(AND(ISNUMBER('Results'!C7),ISNUMBER('Results'!B7),ISNUMBER('Results'!$B$8),ISNUMBER('Inputs'!$B$6),ISNUMBER('Inputs'!$B$7),ISNUMBER('Inputs'!$B$8),ISNUMBER('Inputs'!$B$9),ISNUMBER('Inputs'!$B$10),ISNUMBER('Inputs'!$B$21),ISNUMBER('Inputs'!$B$24),ISNUMBER('Inputs'!$B$28)),((('Results'!C7*(1+'Inputs'!$B$24)*(0.5*((((983-43)*MAX('Inputs'!$B$33,'Inputs'!$B$29+'Inputs'!$B$31+'Inputs'!$B$32,'Inputs'!$B$30+'Inputs'!$B$31+'Inputs'!$B$32)/1000+'Inputs'!$B$21)+'Inputs'!$B$9)/SQRT((((983-43)*MAX('Inputs'!$B$33,'Inputs'!$B$29+'Inputs'!$B$31+'Inputs'!$B$32,'Inputs'!$B$30+'Inputs'!$B$31+'Inputs'!$B$32)/1000+'Inputs'!$B$21)+'Inputs'!$B$9)^2+('Inputs'!$B$8/2)^2)-(((983-43)*MAX('Inputs'!$B$33,'Inputs'!$B$29+'Inputs'!$B$31+'Inputs'!$B$32,'Inputs'!$B$30+'Inputs'!$B$31+'Inputs'!$B$32)/1000+'Inputs'!$B$21))/SQRT((((983-43)*MAX('Inputs'!$B$33,'Inputs'!$B$29+'Inputs'!$B$31+'Inputs'!$B$32,'Inputs'!$B$30+'Inputs'!$B$31+'Inputs'!$B$32)/1000+'Inputs'!$B$21))^2+('Inputs'!$B$8/2)^2)))-'Results'!B7*(1-'Inputs'!$B$24)*(0.5*((((983-43)*MAX('Inputs'!$B$33,'Inputs'!$B$29+'Inputs'!$B$31+'Inputs'!$B$32,'Inputs'!$B$30+'Inputs'!$B$31+'Inputs'!$B$32)/1000+'Inputs'!$B$21+'Inputs'!$B$9+'Inputs'!$B$10)+'Inputs'!$B$7)/SQRT((((983-43)*MAX('Inputs'!$B$33,'Inputs'!$B$29+'Inputs'!$B$31+'Inputs'!$B$32,'Inputs'!$B$30+'Inputs'!$B$31+'Inputs'!$B$32)/1000+'Inputs'!$B$21+'Inputs'!$B$9+'Inputs'!$B$10)+'Inputs'!$B$7)^2+('Inputs'!$B$6/2)^2)-(((983-43)*MAX('Inputs'!$B$33,'Inputs'!$B$29+'Inputs'!$B$31+'Inputs'!$B$32,'Inputs'!$B$30+'Inputs'!$B$31+'Inputs'!$B$32)/1000+'Inputs'!$B$21+'Inputs'!$B$9+'Inputs'!$B$10))/SQRT((((983-43)*MAX('Inputs'!$B$33,'Inputs'!$B$29+'Inputs'!$B$31+'Inputs'!$B$32,'Inputs'!$B$30+'Inputs'!$B$31+'Inputs'!$B$32)/1000+'Inputs'!$B$21+'Inputs'!$B$9+'Inputs'!$B$10))^2+('Inputs'!$B$6/2)^2))))*'Results'!$B$8)+'Inputs'!$B$28*ABS((('Results'!C7*(1+'Inputs'!$B$24)*(0.5*((((983-43)*MAX('Inputs'!$B$33,'Inputs'!$B$29+'Inputs'!$B$31+'Inputs'!$B$32,'Inputs'!$B$30+'Inputs'!$B$31+'Inputs'!$B$32)/1000+'Inputs'!$B$21)+'Inputs'!$B$9)/SQRT((((983-43)*MAX('Inputs'!$B$33,'Inputs'!$B$29+'Inputs'!$B$31+'Inputs'!$B$32,'Inputs'!$B$30+'Inputs'!$B$31+'Inputs'!$B$32)/1000+'Inputs'!$B$21)+'Inputs'!$B$9)^2+('Inputs'!$B$8/2)^2)-(((983-43)*MAX('Inputs'!$B$33,'Inputs'!$B$29+'Inputs'!$B$31+'Inputs'!$B$32,'Inputs'!$B$30+'Inputs'!$B$31+'Inputs'!$B$32)/1000+'Inputs'!$B$21))/SQRT((((983-43)*MAX('Inputs'!$B$33,'Inputs'!$B$29+'Inputs'!$B$31+'Inputs'!$B$32,'Inputs'!$B$30+'Inputs'!$B$31+'Inputs'!$B$32)/1000+'Inputs'!$B$21))^2+('Inputs'!$B$8/2)^2)))-'Results'!B7*(1-'Inputs'!$B$24)*(0.5*((((983-43)*MAX('Inputs'!$B$33,'Inputs'!$B$29+'Inputs'!$B$31+'Inputs'!$B$32,'Inputs'!$B$30+'Inputs'!$B$31+'Inputs'!$B$32)/1000+'Inputs'!$B$21+'Inputs'!$B$9+'Inputs'!$B$10)+'Inputs'!$B$7)/SQRT((((983-43)*MAX('Inputs'!$B$33,'Inputs'!$B$29+'Inputs'!$B$31+'Inputs'!$B$32,'Inputs'!$B$30+'Inputs'!$B$31+'Inputs'!$B$32)/1000+'Inputs'!$B$21+'Inputs'!$B$9+'Inputs'!$B$10)+'Inputs'!$B$7)^2+('Inputs'!$B$6/2)^2)-(((983-43)*MAX('Inputs'!$B$33,'Inputs'!$B$29+'Inputs'!$B$31+'Inputs'!$B$32,'Inputs'!$B$30+'Inputs'!$B$31+'Inputs'!$B$32)/1000+'Inputs'!$B$21+'Inputs'!$B$9+'Inputs'!$B$10))/SQRT((((983-43)*MAX('Inputs'!$B$33,'Inputs'!$B$29+'Inputs'!$B$31+'Inputs'!$B$32,'Inputs'!$B$30+'Inputs'!$B$31+'Inputs'!$B$32)/1000+'Inputs'!$B$21+'Inputs'!$B$9+'Inputs'!$B$10))^2+('Inputs'!$B$6/2)^2))))*'Results'!$B$8))),"")</x:f>
        <x:v>0.4692297849966672</x:v>
      </x:c>
      <x:c r="P983" t="n">
        <x:f>IF(AND(MAX(J983,J982)&gt;0,J983&gt;J982+0.00000001),1,0)</x:f>
        <x:v>0</x:v>
      </x:c>
      <x:c r="Q983" t="n">
        <x:f>IF(AND(MAX(K983,K982)&gt;0,K983&gt;K982+0.00000001),1,0)</x:f>
        <x:v>0</x:v>
      </x:c>
      <x:c r="R983" t="n">
        <x:f>IF(AND(MAX(L983,L982)&gt;0,L983&gt;L982+0.00000001),1,0)</x:f>
        <x:v>0</x:v>
      </x:c>
      <x:c r="S983" t="n">
        <x:f>IF(AND(MAX(M983,M982)&gt;0,M983&gt;M982+0.00000001),1,0)</x:f>
        <x:v>0</x:v>
      </x:c>
      <x:c r="T983" t="n">
        <x:f>IF(AND(MAX(N983,N982)&gt;0,N983&gt;N982+0.00000001),1,0)</x:f>
        <x:v>0</x:v>
      </x:c>
      <x:c r="U983" t="n">
        <x:f>IF(AND(MAX(O983,O982)&gt;0,O983&gt;O982+0.00000001),1,0)</x:f>
        <x:v>0</x:v>
      </x:c>
    </x:row>
    <x:row r="984">
      <x:c r="J984" t="n">
        <x:f>IF(AND(ISNUMBER('Results'!B7),ISNUMBER('Results'!C7),ISNUMBER('Results'!$B$8),ISNUMBER('Inputs'!$B$6),ISNUMBER('Inputs'!$B$7),ISNUMBER('Inputs'!$B$8),ISNUMBER('Inputs'!$B$9),ISNUMBER('Inputs'!$B$10),ISNUMBER('Inputs'!$B$21),ISNUMBER('Inputs'!$B$24),ISNUMBER('Inputs'!$B$28)),(('Results'!B7*(0.5*((((984-43)*MAX('Inputs'!$B$33,'Inputs'!$B$29+'Inputs'!$B$31+'Inputs'!$B$32,'Inputs'!$B$30+'Inputs'!$B$31+'Inputs'!$B$32)/1000+'Inputs'!$B$21)+'Inputs'!$B$7)/SQRT((((984-43)*MAX('Inputs'!$B$33,'Inputs'!$B$29+'Inputs'!$B$31+'Inputs'!$B$32,'Inputs'!$B$30+'Inputs'!$B$31+'Inputs'!$B$32)/1000+'Inputs'!$B$21)+'Inputs'!$B$7)^2+('Inputs'!$B$6/2)^2)-(((984-43)*MAX('Inputs'!$B$33,'Inputs'!$B$29+'Inputs'!$B$31+'Inputs'!$B$32,'Inputs'!$B$30+'Inputs'!$B$31+'Inputs'!$B$32)/1000+'Inputs'!$B$21))/SQRT((((984-43)*MAX('Inputs'!$B$33,'Inputs'!$B$29+'Inputs'!$B$31+'Inputs'!$B$32,'Inputs'!$B$30+'Inputs'!$B$31+'Inputs'!$B$32)/1000+'Inputs'!$B$21))^2+('Inputs'!$B$6/2)^2)))-'Results'!C7*(0.5*((((984-43)*MAX('Inputs'!$B$33,'Inputs'!$B$29+'Inputs'!$B$31+'Inputs'!$B$32,'Inputs'!$B$30+'Inputs'!$B$31+'Inputs'!$B$32)/1000+'Inputs'!$B$21+'Inputs'!$B$7+'Inputs'!$B$10)+'Inputs'!$B$9)/SQRT((((984-43)*MAX('Inputs'!$B$33,'Inputs'!$B$29+'Inputs'!$B$31+'Inputs'!$B$32,'Inputs'!$B$30+'Inputs'!$B$31+'Inputs'!$B$32)/1000+'Inputs'!$B$21+'Inputs'!$B$7+'Inputs'!$B$10)+'Inputs'!$B$9)^2+('Inputs'!$B$8/2)^2)-(((984-43)*MAX('Inputs'!$B$33,'Inputs'!$B$29+'Inputs'!$B$31+'Inputs'!$B$32,'Inputs'!$B$30+'Inputs'!$B$31+'Inputs'!$B$32)/1000+'Inputs'!$B$21+'Inputs'!$B$7+'Inputs'!$B$10))/SQRT((((984-43)*MAX('Inputs'!$B$33,'Inputs'!$B$29+'Inputs'!$B$31+'Inputs'!$B$32,'Inputs'!$B$30+'Inputs'!$B$31+'Inputs'!$B$32)/1000+'Inputs'!$B$21+'Inputs'!$B$7+'Inputs'!$B$10))^2+('Inputs'!$B$8/2)^2))))*'Results'!$B$8),"")</x:f>
        <x:v>0.4457539343325215</x:v>
      </x:c>
      <x:c r="K984" t="n">
        <x:f>IF(AND(ISNUMBER('Results'!B7),ISNUMBER('Results'!C7),ISNUMBER('Results'!$B$8),ISNUMBER('Inputs'!$B$6),ISNUMBER('Inputs'!$B$7),ISNUMBER('Inputs'!$B$8),ISNUMBER('Inputs'!$B$9),ISNUMBER('Inputs'!$B$10),ISNUMBER('Inputs'!$B$21),ISNUMBER('Inputs'!$B$24),ISNUMBER('Inputs'!$B$28)),((('Results'!B7*(1-'Inputs'!$B$24)*(0.5*((((984-43)*MAX('Inputs'!$B$33,'Inputs'!$B$29+'Inputs'!$B$31+'Inputs'!$B$32,'Inputs'!$B$30+'Inputs'!$B$31+'Inputs'!$B$32)/1000+'Inputs'!$B$21)+'Inputs'!$B$7)/SQRT((((984-43)*MAX('Inputs'!$B$33,'Inputs'!$B$29+'Inputs'!$B$31+'Inputs'!$B$32,'Inputs'!$B$30+'Inputs'!$B$31+'Inputs'!$B$32)/1000+'Inputs'!$B$21)+'Inputs'!$B$7)^2+('Inputs'!$B$6/2)^2)-(((984-43)*MAX('Inputs'!$B$33,'Inputs'!$B$29+'Inputs'!$B$31+'Inputs'!$B$32,'Inputs'!$B$30+'Inputs'!$B$31+'Inputs'!$B$32)/1000+'Inputs'!$B$21))/SQRT((((984-43)*MAX('Inputs'!$B$33,'Inputs'!$B$29+'Inputs'!$B$31+'Inputs'!$B$32,'Inputs'!$B$30+'Inputs'!$B$31+'Inputs'!$B$32)/1000+'Inputs'!$B$21))^2+('Inputs'!$B$6/2)^2)))-'Results'!C7*(1+'Inputs'!$B$24)*(0.5*((((984-43)*MAX('Inputs'!$B$33,'Inputs'!$B$29+'Inputs'!$B$31+'Inputs'!$B$32,'Inputs'!$B$30+'Inputs'!$B$31+'Inputs'!$B$32)/1000+'Inputs'!$B$21+'Inputs'!$B$7+'Inputs'!$B$10)+'Inputs'!$B$9)/SQRT((((984-43)*MAX('Inputs'!$B$33,'Inputs'!$B$29+'Inputs'!$B$31+'Inputs'!$B$32,'Inputs'!$B$30+'Inputs'!$B$31+'Inputs'!$B$32)/1000+'Inputs'!$B$21+'Inputs'!$B$7+'Inputs'!$B$10)+'Inputs'!$B$9)^2+('Inputs'!$B$8/2)^2)-(((984-43)*MAX('Inputs'!$B$33,'Inputs'!$B$29+'Inputs'!$B$31+'Inputs'!$B$32,'Inputs'!$B$30+'Inputs'!$B$31+'Inputs'!$B$32)/1000+'Inputs'!$B$21+'Inputs'!$B$7+'Inputs'!$B$10))/SQRT((((984-43)*MAX('Inputs'!$B$33,'Inputs'!$B$29+'Inputs'!$B$31+'Inputs'!$B$32,'Inputs'!$B$30+'Inputs'!$B$31+'Inputs'!$B$32)/1000+'Inputs'!$B$21+'Inputs'!$B$7+'Inputs'!$B$10))^2+('Inputs'!$B$8/2)^2))))*'Results'!$B$8)-'Inputs'!$B$28*ABS((('Results'!B7*(1-'Inputs'!$B$24)*(0.5*((((984-43)*MAX('Inputs'!$B$33,'Inputs'!$B$29+'Inputs'!$B$31+'Inputs'!$B$32,'Inputs'!$B$30+'Inputs'!$B$31+'Inputs'!$B$32)/1000+'Inputs'!$B$21)+'Inputs'!$B$7)/SQRT((((984-43)*MAX('Inputs'!$B$33,'Inputs'!$B$29+'Inputs'!$B$31+'Inputs'!$B$32,'Inputs'!$B$30+'Inputs'!$B$31+'Inputs'!$B$32)/1000+'Inputs'!$B$21)+'Inputs'!$B$7)^2+('Inputs'!$B$6/2)^2)-(((984-43)*MAX('Inputs'!$B$33,'Inputs'!$B$29+'Inputs'!$B$31+'Inputs'!$B$32,'Inputs'!$B$30+'Inputs'!$B$31+'Inputs'!$B$32)/1000+'Inputs'!$B$21))/SQRT((((984-43)*MAX('Inputs'!$B$33,'Inputs'!$B$29+'Inputs'!$B$31+'Inputs'!$B$32,'Inputs'!$B$30+'Inputs'!$B$31+'Inputs'!$B$32)/1000+'Inputs'!$B$21))^2+('Inputs'!$B$6/2)^2)))-'Results'!C7*(1+'Inputs'!$B$24)*(0.5*((((984-43)*MAX('Inputs'!$B$33,'Inputs'!$B$29+'Inputs'!$B$31+'Inputs'!$B$32,'Inputs'!$B$30+'Inputs'!$B$31+'Inputs'!$B$32)/1000+'Inputs'!$B$21+'Inputs'!$B$7+'Inputs'!$B$10)+'Inputs'!$B$9)/SQRT((((984-43)*MAX('Inputs'!$B$33,'Inputs'!$B$29+'Inputs'!$B$31+'Inputs'!$B$32,'Inputs'!$B$30+'Inputs'!$B$31+'Inputs'!$B$32)/1000+'Inputs'!$B$21+'Inputs'!$B$7+'Inputs'!$B$10)+'Inputs'!$B$9)^2+('Inputs'!$B$8/2)^2)-(((984-43)*MAX('Inputs'!$B$33,'Inputs'!$B$29+'Inputs'!$B$31+'Inputs'!$B$32,'Inputs'!$B$30+'Inputs'!$B$31+'Inputs'!$B$32)/1000+'Inputs'!$B$21+'Inputs'!$B$7+'Inputs'!$B$10))/SQRT((((984-43)*MAX('Inputs'!$B$33,'Inputs'!$B$29+'Inputs'!$B$31+'Inputs'!$B$32,'Inputs'!$B$30+'Inputs'!$B$31+'Inputs'!$B$32)/1000+'Inputs'!$B$21+'Inputs'!$B$7+'Inputs'!$B$10))^2+('Inputs'!$B$8/2)^2))))*'Results'!$B$8))),"")</x:f>
        <x:v>0.375462308257667</x:v>
      </x:c>
      <x:c r="L984" t="n">
        <x:f>IF(AND(ISNUMBER('Results'!B7),ISNUMBER('Results'!C7),ISNUMBER('Results'!$B$8),ISNUMBER('Inputs'!$B$6),ISNUMBER('Inputs'!$B$7),ISNUMBER('Inputs'!$B$8),ISNUMBER('Inputs'!$B$9),ISNUMBER('Inputs'!$B$10),ISNUMBER('Inputs'!$B$21),ISNUMBER('Inputs'!$B$24),ISNUMBER('Inputs'!$B$28)),((('Results'!B7*(1+'Inputs'!$B$24)*(0.5*((((984-43)*MAX('Inputs'!$B$33,'Inputs'!$B$29+'Inputs'!$B$31+'Inputs'!$B$32,'Inputs'!$B$30+'Inputs'!$B$31+'Inputs'!$B$32)/1000+'Inputs'!$B$21)+'Inputs'!$B$7)/SQRT((((984-43)*MAX('Inputs'!$B$33,'Inputs'!$B$29+'Inputs'!$B$31+'Inputs'!$B$32,'Inputs'!$B$30+'Inputs'!$B$31+'Inputs'!$B$32)/1000+'Inputs'!$B$21)+'Inputs'!$B$7)^2+('Inputs'!$B$6/2)^2)-(((984-43)*MAX('Inputs'!$B$33,'Inputs'!$B$29+'Inputs'!$B$31+'Inputs'!$B$32,'Inputs'!$B$30+'Inputs'!$B$31+'Inputs'!$B$32)/1000+'Inputs'!$B$21))/SQRT((((984-43)*MAX('Inputs'!$B$33,'Inputs'!$B$29+'Inputs'!$B$31+'Inputs'!$B$32,'Inputs'!$B$30+'Inputs'!$B$31+'Inputs'!$B$32)/1000+'Inputs'!$B$21))^2+('Inputs'!$B$6/2)^2)))-'Results'!C7*(1-'Inputs'!$B$24)*(0.5*((((984-43)*MAX('Inputs'!$B$33,'Inputs'!$B$29+'Inputs'!$B$31+'Inputs'!$B$32,'Inputs'!$B$30+'Inputs'!$B$31+'Inputs'!$B$32)/1000+'Inputs'!$B$21+'Inputs'!$B$7+'Inputs'!$B$10)+'Inputs'!$B$9)/SQRT((((984-43)*MAX('Inputs'!$B$33,'Inputs'!$B$29+'Inputs'!$B$31+'Inputs'!$B$32,'Inputs'!$B$30+'Inputs'!$B$31+'Inputs'!$B$32)/1000+'Inputs'!$B$21+'Inputs'!$B$7+'Inputs'!$B$10)+'Inputs'!$B$9)^2+('Inputs'!$B$8/2)^2)-(((984-43)*MAX('Inputs'!$B$33,'Inputs'!$B$29+'Inputs'!$B$31+'Inputs'!$B$32,'Inputs'!$B$30+'Inputs'!$B$31+'Inputs'!$B$32)/1000+'Inputs'!$B$21+'Inputs'!$B$7+'Inputs'!$B$10))/SQRT((((984-43)*MAX('Inputs'!$B$33,'Inputs'!$B$29+'Inputs'!$B$31+'Inputs'!$B$32,'Inputs'!$B$30+'Inputs'!$B$31+'Inputs'!$B$32)/1000+'Inputs'!$B$21+'Inputs'!$B$7+'Inputs'!$B$10))^2+('Inputs'!$B$8/2)^2))))*'Results'!$B$8)+'Inputs'!$B$28*ABS((('Results'!B7*(1+'Inputs'!$B$24)*(0.5*((((984-43)*MAX('Inputs'!$B$33,'Inputs'!$B$29+'Inputs'!$B$31+'Inputs'!$B$32,'Inputs'!$B$30+'Inputs'!$B$31+'Inputs'!$B$32)/1000+'Inputs'!$B$21)+'Inputs'!$B$7)/SQRT((((984-43)*MAX('Inputs'!$B$33,'Inputs'!$B$29+'Inputs'!$B$31+'Inputs'!$B$32,'Inputs'!$B$30+'Inputs'!$B$31+'Inputs'!$B$32)/1000+'Inputs'!$B$21)+'Inputs'!$B$7)^2+('Inputs'!$B$6/2)^2)-(((984-43)*MAX('Inputs'!$B$33,'Inputs'!$B$29+'Inputs'!$B$31+'Inputs'!$B$32,'Inputs'!$B$30+'Inputs'!$B$31+'Inputs'!$B$32)/1000+'Inputs'!$B$21))/SQRT((((984-43)*MAX('Inputs'!$B$33,'Inputs'!$B$29+'Inputs'!$B$31+'Inputs'!$B$32,'Inputs'!$B$30+'Inputs'!$B$31+'Inputs'!$B$32)/1000+'Inputs'!$B$21))^2+('Inputs'!$B$6/2)^2)))-'Results'!C7*(1-'Inputs'!$B$24)*(0.5*((((984-43)*MAX('Inputs'!$B$33,'Inputs'!$B$29+'Inputs'!$B$31+'Inputs'!$B$32,'Inputs'!$B$30+'Inputs'!$B$31+'Inputs'!$B$32)/1000+'Inputs'!$B$21+'Inputs'!$B$7+'Inputs'!$B$10)+'Inputs'!$B$9)/SQRT((((984-43)*MAX('Inputs'!$B$33,'Inputs'!$B$29+'Inputs'!$B$31+'Inputs'!$B$32,'Inputs'!$B$30+'Inputs'!$B$31+'Inputs'!$B$32)/1000+'Inputs'!$B$21+'Inputs'!$B$7+'Inputs'!$B$10)+'Inputs'!$B$9)^2+('Inputs'!$B$8/2)^2)-(((984-43)*MAX('Inputs'!$B$33,'Inputs'!$B$29+'Inputs'!$B$31+'Inputs'!$B$32,'Inputs'!$B$30+'Inputs'!$B$31+'Inputs'!$B$32)/1000+'Inputs'!$B$21+'Inputs'!$B$7+'Inputs'!$B$10))/SQRT((((984-43)*MAX('Inputs'!$B$33,'Inputs'!$B$29+'Inputs'!$B$31+'Inputs'!$B$32,'Inputs'!$B$30+'Inputs'!$B$31+'Inputs'!$B$32)/1000+'Inputs'!$B$21+'Inputs'!$B$7+'Inputs'!$B$10))^2+('Inputs'!$B$8/2)^2))))*'Results'!$B$8))),"")</x:f>
        <x:v>0.5210986056029792</x:v>
      </x:c>
      <x:c r="M984" t="n">
        <x:f>IF(AND(ISNUMBER('Results'!C7),ISNUMBER('Results'!B7),ISNUMBER('Results'!$B$8),ISNUMBER('Inputs'!$B$6),ISNUMBER('Inputs'!$B$7),ISNUMBER('Inputs'!$B$8),ISNUMBER('Inputs'!$B$9),ISNUMBER('Inputs'!$B$10),ISNUMBER('Inputs'!$B$21),ISNUMBER('Inputs'!$B$24),ISNUMBER('Inputs'!$B$28)),(('Results'!C7*(0.5*((((984-43)*MAX('Inputs'!$B$33,'Inputs'!$B$29+'Inputs'!$B$31+'Inputs'!$B$32,'Inputs'!$B$30+'Inputs'!$B$31+'Inputs'!$B$32)/1000+'Inputs'!$B$21)+'Inputs'!$B$9)/SQRT((((984-43)*MAX('Inputs'!$B$33,'Inputs'!$B$29+'Inputs'!$B$31+'Inputs'!$B$32,'Inputs'!$B$30+'Inputs'!$B$31+'Inputs'!$B$32)/1000+'Inputs'!$B$21)+'Inputs'!$B$9)^2+('Inputs'!$B$8/2)^2)-(((984-43)*MAX('Inputs'!$B$33,'Inputs'!$B$29+'Inputs'!$B$31+'Inputs'!$B$32,'Inputs'!$B$30+'Inputs'!$B$31+'Inputs'!$B$32)/1000+'Inputs'!$B$21))/SQRT((((984-43)*MAX('Inputs'!$B$33,'Inputs'!$B$29+'Inputs'!$B$31+'Inputs'!$B$32,'Inputs'!$B$30+'Inputs'!$B$31+'Inputs'!$B$32)/1000+'Inputs'!$B$21))^2+('Inputs'!$B$8/2)^2)))-'Results'!B7*(0.5*((((984-43)*MAX('Inputs'!$B$33,'Inputs'!$B$29+'Inputs'!$B$31+'Inputs'!$B$32,'Inputs'!$B$30+'Inputs'!$B$31+'Inputs'!$B$32)/1000+'Inputs'!$B$21+'Inputs'!$B$9+'Inputs'!$B$10)+'Inputs'!$B$7)/SQRT((((984-43)*MAX('Inputs'!$B$33,'Inputs'!$B$29+'Inputs'!$B$31+'Inputs'!$B$32,'Inputs'!$B$30+'Inputs'!$B$31+'Inputs'!$B$32)/1000+'Inputs'!$B$21+'Inputs'!$B$9+'Inputs'!$B$10)+'Inputs'!$B$7)^2+('Inputs'!$B$6/2)^2)-(((984-43)*MAX('Inputs'!$B$33,'Inputs'!$B$29+'Inputs'!$B$31+'Inputs'!$B$32,'Inputs'!$B$30+'Inputs'!$B$31+'Inputs'!$B$32)/1000+'Inputs'!$B$21+'Inputs'!$B$9+'Inputs'!$B$10))/SQRT((((984-43)*MAX('Inputs'!$B$33,'Inputs'!$B$29+'Inputs'!$B$31+'Inputs'!$B$32,'Inputs'!$B$30+'Inputs'!$B$31+'Inputs'!$B$32)/1000+'Inputs'!$B$21+'Inputs'!$B$9+'Inputs'!$B$10))^2+('Inputs'!$B$6/2)^2))))*'Results'!$B$8),"")</x:f>
        <x:v>0.39479883571047764</x:v>
      </x:c>
      <x:c r="N984" t="n">
        <x:f>IF(AND(ISNUMBER('Results'!C7),ISNUMBER('Results'!B7),ISNUMBER('Results'!$B$8),ISNUMBER('Inputs'!$B$6),ISNUMBER('Inputs'!$B$7),ISNUMBER('Inputs'!$B$8),ISNUMBER('Inputs'!$B$9),ISNUMBER('Inputs'!$B$10),ISNUMBER('Inputs'!$B$21),ISNUMBER('Inputs'!$B$24),ISNUMBER('Inputs'!$B$28)),((('Results'!C7*(1-'Inputs'!$B$24)*(0.5*((((984-43)*MAX('Inputs'!$B$33,'Inputs'!$B$29+'Inputs'!$B$31+'Inputs'!$B$32,'Inputs'!$B$30+'Inputs'!$B$31+'Inputs'!$B$32)/1000+'Inputs'!$B$21)+'Inputs'!$B$9)/SQRT((((984-43)*MAX('Inputs'!$B$33,'Inputs'!$B$29+'Inputs'!$B$31+'Inputs'!$B$32,'Inputs'!$B$30+'Inputs'!$B$31+'Inputs'!$B$32)/1000+'Inputs'!$B$21)+'Inputs'!$B$9)^2+('Inputs'!$B$8/2)^2)-(((984-43)*MAX('Inputs'!$B$33,'Inputs'!$B$29+'Inputs'!$B$31+'Inputs'!$B$32,'Inputs'!$B$30+'Inputs'!$B$31+'Inputs'!$B$32)/1000+'Inputs'!$B$21))/SQRT((((984-43)*MAX('Inputs'!$B$33,'Inputs'!$B$29+'Inputs'!$B$31+'Inputs'!$B$32,'Inputs'!$B$30+'Inputs'!$B$31+'Inputs'!$B$32)/1000+'Inputs'!$B$21))^2+('Inputs'!$B$8/2)^2)))-'Results'!B7*(1+'Inputs'!$B$24)*(0.5*((((984-43)*MAX('Inputs'!$B$33,'Inputs'!$B$29+'Inputs'!$B$31+'Inputs'!$B$32,'Inputs'!$B$30+'Inputs'!$B$31+'Inputs'!$B$32)/1000+'Inputs'!$B$21+'Inputs'!$B$9+'Inputs'!$B$10)+'Inputs'!$B$7)/SQRT((((984-43)*MAX('Inputs'!$B$33,'Inputs'!$B$29+'Inputs'!$B$31+'Inputs'!$B$32,'Inputs'!$B$30+'Inputs'!$B$31+'Inputs'!$B$32)/1000+'Inputs'!$B$21+'Inputs'!$B$9+'Inputs'!$B$10)+'Inputs'!$B$7)^2+('Inputs'!$B$6/2)^2)-(((984-43)*MAX('Inputs'!$B$33,'Inputs'!$B$29+'Inputs'!$B$31+'Inputs'!$B$32,'Inputs'!$B$30+'Inputs'!$B$31+'Inputs'!$B$32)/1000+'Inputs'!$B$21+'Inputs'!$B$9+'Inputs'!$B$10))/SQRT((((984-43)*MAX('Inputs'!$B$33,'Inputs'!$B$29+'Inputs'!$B$31+'Inputs'!$B$32,'Inputs'!$B$30+'Inputs'!$B$31+'Inputs'!$B$32)/1000+'Inputs'!$B$21+'Inputs'!$B$9+'Inputs'!$B$10))^2+('Inputs'!$B$6/2)^2))))*'Results'!$B$8)-'Inputs'!$B$28*ABS((('Results'!C7*(1-'Inputs'!$B$24)*(0.5*((((984-43)*MAX('Inputs'!$B$33,'Inputs'!$B$29+'Inputs'!$B$31+'Inputs'!$B$32,'Inputs'!$B$30+'Inputs'!$B$31+'Inputs'!$B$32)/1000+'Inputs'!$B$21)+'Inputs'!$B$9)/SQRT((((984-43)*MAX('Inputs'!$B$33,'Inputs'!$B$29+'Inputs'!$B$31+'Inputs'!$B$32,'Inputs'!$B$30+'Inputs'!$B$31+'Inputs'!$B$32)/1000+'Inputs'!$B$21)+'Inputs'!$B$9)^2+('Inputs'!$B$8/2)^2)-(((984-43)*MAX('Inputs'!$B$33,'Inputs'!$B$29+'Inputs'!$B$31+'Inputs'!$B$32,'Inputs'!$B$30+'Inputs'!$B$31+'Inputs'!$B$32)/1000+'Inputs'!$B$21))/SQRT((((984-43)*MAX('Inputs'!$B$33,'Inputs'!$B$29+'Inputs'!$B$31+'Inputs'!$B$32,'Inputs'!$B$30+'Inputs'!$B$31+'Inputs'!$B$32)/1000+'Inputs'!$B$21))^2+('Inputs'!$B$8/2)^2)))-'Results'!B7*(1+'Inputs'!$B$24)*(0.5*((((984-43)*MAX('Inputs'!$B$33,'Inputs'!$B$29+'Inputs'!$B$31+'Inputs'!$B$32,'Inputs'!$B$30+'Inputs'!$B$31+'Inputs'!$B$32)/1000+'Inputs'!$B$21+'Inputs'!$B$9+'Inputs'!$B$10)+'Inputs'!$B$7)/SQRT((((984-43)*MAX('Inputs'!$B$33,'Inputs'!$B$29+'Inputs'!$B$31+'Inputs'!$B$32,'Inputs'!$B$30+'Inputs'!$B$31+'Inputs'!$B$32)/1000+'Inputs'!$B$21+'Inputs'!$B$9+'Inputs'!$B$10)+'Inputs'!$B$7)^2+('Inputs'!$B$6/2)^2)-(((984-43)*MAX('Inputs'!$B$33,'Inputs'!$B$29+'Inputs'!$B$31+'Inputs'!$B$32,'Inputs'!$B$30+'Inputs'!$B$31+'Inputs'!$B$32)/1000+'Inputs'!$B$21+'Inputs'!$B$9+'Inputs'!$B$10))/SQRT((((984-43)*MAX('Inputs'!$B$33,'Inputs'!$B$29+'Inputs'!$B$31+'Inputs'!$B$32,'Inputs'!$B$30+'Inputs'!$B$31+'Inputs'!$B$32)/1000+'Inputs'!$B$21+'Inputs'!$B$9+'Inputs'!$B$10))^2+('Inputs'!$B$6/2)^2))))*'Results'!$B$8))),"")</x:f>
        <x:v>0.3272162827751174</x:v>
      </x:c>
      <x:c r="O984" t="n">
        <x:f>IF(AND(ISNUMBER('Results'!C7),ISNUMBER('Results'!B7),ISNUMBER('Results'!$B$8),ISNUMBER('Inputs'!$B$6),ISNUMBER('Inputs'!$B$7),ISNUMBER('Inputs'!$B$8),ISNUMBER('Inputs'!$B$9),ISNUMBER('Inputs'!$B$10),ISNUMBER('Inputs'!$B$21),ISNUMBER('Inputs'!$B$24),ISNUMBER('Inputs'!$B$28)),((('Results'!C7*(1+'Inputs'!$B$24)*(0.5*((((984-43)*MAX('Inputs'!$B$33,'Inputs'!$B$29+'Inputs'!$B$31+'Inputs'!$B$32,'Inputs'!$B$30+'Inputs'!$B$31+'Inputs'!$B$32)/1000+'Inputs'!$B$21)+'Inputs'!$B$9)/SQRT((((984-43)*MAX('Inputs'!$B$33,'Inputs'!$B$29+'Inputs'!$B$31+'Inputs'!$B$32,'Inputs'!$B$30+'Inputs'!$B$31+'Inputs'!$B$32)/1000+'Inputs'!$B$21)+'Inputs'!$B$9)^2+('Inputs'!$B$8/2)^2)-(((984-43)*MAX('Inputs'!$B$33,'Inputs'!$B$29+'Inputs'!$B$31+'Inputs'!$B$32,'Inputs'!$B$30+'Inputs'!$B$31+'Inputs'!$B$32)/1000+'Inputs'!$B$21))/SQRT((((984-43)*MAX('Inputs'!$B$33,'Inputs'!$B$29+'Inputs'!$B$31+'Inputs'!$B$32,'Inputs'!$B$30+'Inputs'!$B$31+'Inputs'!$B$32)/1000+'Inputs'!$B$21))^2+('Inputs'!$B$8/2)^2)))-'Results'!B7*(1-'Inputs'!$B$24)*(0.5*((((984-43)*MAX('Inputs'!$B$33,'Inputs'!$B$29+'Inputs'!$B$31+'Inputs'!$B$32,'Inputs'!$B$30+'Inputs'!$B$31+'Inputs'!$B$32)/1000+'Inputs'!$B$21+'Inputs'!$B$9+'Inputs'!$B$10)+'Inputs'!$B$7)/SQRT((((984-43)*MAX('Inputs'!$B$33,'Inputs'!$B$29+'Inputs'!$B$31+'Inputs'!$B$32,'Inputs'!$B$30+'Inputs'!$B$31+'Inputs'!$B$32)/1000+'Inputs'!$B$21+'Inputs'!$B$9+'Inputs'!$B$10)+'Inputs'!$B$7)^2+('Inputs'!$B$6/2)^2)-(((984-43)*MAX('Inputs'!$B$33,'Inputs'!$B$29+'Inputs'!$B$31+'Inputs'!$B$32,'Inputs'!$B$30+'Inputs'!$B$31+'Inputs'!$B$32)/1000+'Inputs'!$B$21+'Inputs'!$B$9+'Inputs'!$B$10))/SQRT((((984-43)*MAX('Inputs'!$B$33,'Inputs'!$B$29+'Inputs'!$B$31+'Inputs'!$B$32,'Inputs'!$B$30+'Inputs'!$B$31+'Inputs'!$B$32)/1000+'Inputs'!$B$21+'Inputs'!$B$9+'Inputs'!$B$10))^2+('Inputs'!$B$6/2)^2))))*'Results'!$B$8)+'Inputs'!$B$28*ABS((('Results'!C7*(1+'Inputs'!$B$24)*(0.5*((((984-43)*MAX('Inputs'!$B$33,'Inputs'!$B$29+'Inputs'!$B$31+'Inputs'!$B$32,'Inputs'!$B$30+'Inputs'!$B$31+'Inputs'!$B$32)/1000+'Inputs'!$B$21)+'Inputs'!$B$9)/SQRT((((984-43)*MAX('Inputs'!$B$33,'Inputs'!$B$29+'Inputs'!$B$31+'Inputs'!$B$32,'Inputs'!$B$30+'Inputs'!$B$31+'Inputs'!$B$32)/1000+'Inputs'!$B$21)+'Inputs'!$B$9)^2+('Inputs'!$B$8/2)^2)-(((984-43)*MAX('Inputs'!$B$33,'Inputs'!$B$29+'Inputs'!$B$31+'Inputs'!$B$32,'Inputs'!$B$30+'Inputs'!$B$31+'Inputs'!$B$32)/1000+'Inputs'!$B$21))/SQRT((((984-43)*MAX('Inputs'!$B$33,'Inputs'!$B$29+'Inputs'!$B$31+'Inputs'!$B$32,'Inputs'!$B$30+'Inputs'!$B$31+'Inputs'!$B$32)/1000+'Inputs'!$B$21))^2+('Inputs'!$B$8/2)^2)))-'Results'!B7*(1-'Inputs'!$B$24)*(0.5*((((984-43)*MAX('Inputs'!$B$33,'Inputs'!$B$29+'Inputs'!$B$31+'Inputs'!$B$32,'Inputs'!$B$30+'Inputs'!$B$31+'Inputs'!$B$32)/1000+'Inputs'!$B$21+'Inputs'!$B$9+'Inputs'!$B$10)+'Inputs'!$B$7)/SQRT((((984-43)*MAX('Inputs'!$B$33,'Inputs'!$B$29+'Inputs'!$B$31+'Inputs'!$B$32,'Inputs'!$B$30+'Inputs'!$B$31+'Inputs'!$B$32)/1000+'Inputs'!$B$21+'Inputs'!$B$9+'Inputs'!$B$10)+'Inputs'!$B$7)^2+('Inputs'!$B$6/2)^2)-(((984-43)*MAX('Inputs'!$B$33,'Inputs'!$B$29+'Inputs'!$B$31+'Inputs'!$B$32,'Inputs'!$B$30+'Inputs'!$B$31+'Inputs'!$B$32)/1000+'Inputs'!$B$21+'Inputs'!$B$9+'Inputs'!$B$10))/SQRT((((984-43)*MAX('Inputs'!$B$33,'Inputs'!$B$29+'Inputs'!$B$31+'Inputs'!$B$32,'Inputs'!$B$30+'Inputs'!$B$31+'Inputs'!$B$32)/1000+'Inputs'!$B$21+'Inputs'!$B$9+'Inputs'!$B$10))^2+('Inputs'!$B$6/2)^2))))*'Results'!$B$8))),"")</x:f>
        <x:v>0.4674174529773996</x:v>
      </x:c>
      <x:c r="P984" t="n">
        <x:f>IF(AND(MAX(J984,J983)&gt;0,J984&gt;J983+0.00000001),1,0)</x:f>
        <x:v>0</x:v>
      </x:c>
      <x:c r="Q984" t="n">
        <x:f>IF(AND(MAX(K984,K983)&gt;0,K984&gt;K983+0.00000001),1,0)</x:f>
        <x:v>0</x:v>
      </x:c>
      <x:c r="R984" t="n">
        <x:f>IF(AND(MAX(L984,L983)&gt;0,L984&gt;L983+0.00000001),1,0)</x:f>
        <x:v>0</x:v>
      </x:c>
      <x:c r="S984" t="n">
        <x:f>IF(AND(MAX(M984,M983)&gt;0,M984&gt;M983+0.00000001),1,0)</x:f>
        <x:v>0</x:v>
      </x:c>
      <x:c r="T984" t="n">
        <x:f>IF(AND(MAX(N984,N983)&gt;0,N984&gt;N983+0.00000001),1,0)</x:f>
        <x:v>0</x:v>
      </x:c>
      <x:c r="U984" t="n">
        <x:f>IF(AND(MAX(O984,O983)&gt;0,O984&gt;O983+0.00000001),1,0)</x:f>
        <x:v>0</x:v>
      </x:c>
    </x:row>
    <x:row r="985">
      <x:c r="J985" t="n">
        <x:f>IF(AND(ISNUMBER('Results'!B7),ISNUMBER('Results'!C7),ISNUMBER('Results'!$B$8),ISNUMBER('Inputs'!$B$6),ISNUMBER('Inputs'!$B$7),ISNUMBER('Inputs'!$B$8),ISNUMBER('Inputs'!$B$9),ISNUMBER('Inputs'!$B$10),ISNUMBER('Inputs'!$B$21),ISNUMBER('Inputs'!$B$24),ISNUMBER('Inputs'!$B$28)),(('Results'!B7*(0.5*((((985-43)*MAX('Inputs'!$B$33,'Inputs'!$B$29+'Inputs'!$B$31+'Inputs'!$B$32,'Inputs'!$B$30+'Inputs'!$B$31+'Inputs'!$B$32)/1000+'Inputs'!$B$21)+'Inputs'!$B$7)/SQRT((((985-43)*MAX('Inputs'!$B$33,'Inputs'!$B$29+'Inputs'!$B$31+'Inputs'!$B$32,'Inputs'!$B$30+'Inputs'!$B$31+'Inputs'!$B$32)/1000+'Inputs'!$B$21)+'Inputs'!$B$7)^2+('Inputs'!$B$6/2)^2)-(((985-43)*MAX('Inputs'!$B$33,'Inputs'!$B$29+'Inputs'!$B$31+'Inputs'!$B$32,'Inputs'!$B$30+'Inputs'!$B$31+'Inputs'!$B$32)/1000+'Inputs'!$B$21))/SQRT((((985-43)*MAX('Inputs'!$B$33,'Inputs'!$B$29+'Inputs'!$B$31+'Inputs'!$B$32,'Inputs'!$B$30+'Inputs'!$B$31+'Inputs'!$B$32)/1000+'Inputs'!$B$21))^2+('Inputs'!$B$6/2)^2)))-'Results'!C7*(0.5*((((985-43)*MAX('Inputs'!$B$33,'Inputs'!$B$29+'Inputs'!$B$31+'Inputs'!$B$32,'Inputs'!$B$30+'Inputs'!$B$31+'Inputs'!$B$32)/1000+'Inputs'!$B$21+'Inputs'!$B$7+'Inputs'!$B$10)+'Inputs'!$B$9)/SQRT((((985-43)*MAX('Inputs'!$B$33,'Inputs'!$B$29+'Inputs'!$B$31+'Inputs'!$B$32,'Inputs'!$B$30+'Inputs'!$B$31+'Inputs'!$B$32)/1000+'Inputs'!$B$21+'Inputs'!$B$7+'Inputs'!$B$10)+'Inputs'!$B$9)^2+('Inputs'!$B$8/2)^2)-(((985-43)*MAX('Inputs'!$B$33,'Inputs'!$B$29+'Inputs'!$B$31+'Inputs'!$B$32,'Inputs'!$B$30+'Inputs'!$B$31+'Inputs'!$B$32)/1000+'Inputs'!$B$21+'Inputs'!$B$7+'Inputs'!$B$10))/SQRT((((985-43)*MAX('Inputs'!$B$33,'Inputs'!$B$29+'Inputs'!$B$31+'Inputs'!$B$32,'Inputs'!$B$30+'Inputs'!$B$31+'Inputs'!$B$32)/1000+'Inputs'!$B$21+'Inputs'!$B$7+'Inputs'!$B$10))^2+('Inputs'!$B$8/2)^2))))*'Results'!$B$8),"")</x:f>
        <x:v>0.4440344303967672</x:v>
      </x:c>
      <x:c r="K985" t="n">
        <x:f>IF(AND(ISNUMBER('Results'!B7),ISNUMBER('Results'!C7),ISNUMBER('Results'!$B$8),ISNUMBER('Inputs'!$B$6),ISNUMBER('Inputs'!$B$7),ISNUMBER('Inputs'!$B$8),ISNUMBER('Inputs'!$B$9),ISNUMBER('Inputs'!$B$10),ISNUMBER('Inputs'!$B$21),ISNUMBER('Inputs'!$B$24),ISNUMBER('Inputs'!$B$28)),((('Results'!B7*(1-'Inputs'!$B$24)*(0.5*((((985-43)*MAX('Inputs'!$B$33,'Inputs'!$B$29+'Inputs'!$B$31+'Inputs'!$B$32,'Inputs'!$B$30+'Inputs'!$B$31+'Inputs'!$B$32)/1000+'Inputs'!$B$21)+'Inputs'!$B$7)/SQRT((((985-43)*MAX('Inputs'!$B$33,'Inputs'!$B$29+'Inputs'!$B$31+'Inputs'!$B$32,'Inputs'!$B$30+'Inputs'!$B$31+'Inputs'!$B$32)/1000+'Inputs'!$B$21)+'Inputs'!$B$7)^2+('Inputs'!$B$6/2)^2)-(((985-43)*MAX('Inputs'!$B$33,'Inputs'!$B$29+'Inputs'!$B$31+'Inputs'!$B$32,'Inputs'!$B$30+'Inputs'!$B$31+'Inputs'!$B$32)/1000+'Inputs'!$B$21))/SQRT((((985-43)*MAX('Inputs'!$B$33,'Inputs'!$B$29+'Inputs'!$B$31+'Inputs'!$B$32,'Inputs'!$B$30+'Inputs'!$B$31+'Inputs'!$B$32)/1000+'Inputs'!$B$21))^2+('Inputs'!$B$6/2)^2)))-'Results'!C7*(1+'Inputs'!$B$24)*(0.5*((((985-43)*MAX('Inputs'!$B$33,'Inputs'!$B$29+'Inputs'!$B$31+'Inputs'!$B$32,'Inputs'!$B$30+'Inputs'!$B$31+'Inputs'!$B$32)/1000+'Inputs'!$B$21+'Inputs'!$B$7+'Inputs'!$B$10)+'Inputs'!$B$9)/SQRT((((985-43)*MAX('Inputs'!$B$33,'Inputs'!$B$29+'Inputs'!$B$31+'Inputs'!$B$32,'Inputs'!$B$30+'Inputs'!$B$31+'Inputs'!$B$32)/1000+'Inputs'!$B$21+'Inputs'!$B$7+'Inputs'!$B$10)+'Inputs'!$B$9)^2+('Inputs'!$B$8/2)^2)-(((985-43)*MAX('Inputs'!$B$33,'Inputs'!$B$29+'Inputs'!$B$31+'Inputs'!$B$32,'Inputs'!$B$30+'Inputs'!$B$31+'Inputs'!$B$32)/1000+'Inputs'!$B$21+'Inputs'!$B$7+'Inputs'!$B$10))/SQRT((((985-43)*MAX('Inputs'!$B$33,'Inputs'!$B$29+'Inputs'!$B$31+'Inputs'!$B$32,'Inputs'!$B$30+'Inputs'!$B$31+'Inputs'!$B$32)/1000+'Inputs'!$B$21+'Inputs'!$B$7+'Inputs'!$B$10))^2+('Inputs'!$B$8/2)^2))))*'Results'!$B$8)-'Inputs'!$B$28*ABS((('Results'!B7*(1-'Inputs'!$B$24)*(0.5*((((985-43)*MAX('Inputs'!$B$33,'Inputs'!$B$29+'Inputs'!$B$31+'Inputs'!$B$32,'Inputs'!$B$30+'Inputs'!$B$31+'Inputs'!$B$32)/1000+'Inputs'!$B$21)+'Inputs'!$B$7)/SQRT((((985-43)*MAX('Inputs'!$B$33,'Inputs'!$B$29+'Inputs'!$B$31+'Inputs'!$B$32,'Inputs'!$B$30+'Inputs'!$B$31+'Inputs'!$B$32)/1000+'Inputs'!$B$21)+'Inputs'!$B$7)^2+('Inputs'!$B$6/2)^2)-(((985-43)*MAX('Inputs'!$B$33,'Inputs'!$B$29+'Inputs'!$B$31+'Inputs'!$B$32,'Inputs'!$B$30+'Inputs'!$B$31+'Inputs'!$B$32)/1000+'Inputs'!$B$21))/SQRT((((985-43)*MAX('Inputs'!$B$33,'Inputs'!$B$29+'Inputs'!$B$31+'Inputs'!$B$32,'Inputs'!$B$30+'Inputs'!$B$31+'Inputs'!$B$32)/1000+'Inputs'!$B$21))^2+('Inputs'!$B$6/2)^2)))-'Results'!C7*(1+'Inputs'!$B$24)*(0.5*((((985-43)*MAX('Inputs'!$B$33,'Inputs'!$B$29+'Inputs'!$B$31+'Inputs'!$B$32,'Inputs'!$B$30+'Inputs'!$B$31+'Inputs'!$B$32)/1000+'Inputs'!$B$21+'Inputs'!$B$7+'Inputs'!$B$10)+'Inputs'!$B$9)/SQRT((((985-43)*MAX('Inputs'!$B$33,'Inputs'!$B$29+'Inputs'!$B$31+'Inputs'!$B$32,'Inputs'!$B$30+'Inputs'!$B$31+'Inputs'!$B$32)/1000+'Inputs'!$B$21+'Inputs'!$B$7+'Inputs'!$B$10)+'Inputs'!$B$9)^2+('Inputs'!$B$8/2)^2)-(((985-43)*MAX('Inputs'!$B$33,'Inputs'!$B$29+'Inputs'!$B$31+'Inputs'!$B$32,'Inputs'!$B$30+'Inputs'!$B$31+'Inputs'!$B$32)/1000+'Inputs'!$B$21+'Inputs'!$B$7+'Inputs'!$B$10))/SQRT((((985-43)*MAX('Inputs'!$B$33,'Inputs'!$B$29+'Inputs'!$B$31+'Inputs'!$B$32,'Inputs'!$B$30+'Inputs'!$B$31+'Inputs'!$B$32)/1000+'Inputs'!$B$21+'Inputs'!$B$7+'Inputs'!$B$10))^2+('Inputs'!$B$8/2)^2))))*'Results'!$B$8))),"")</x:f>
        <x:v>0.3739709737597819</x:v>
      </x:c>
      <x:c r="L985" t="n">
        <x:f>IF(AND(ISNUMBER('Results'!B7),ISNUMBER('Results'!C7),ISNUMBER('Results'!$B$8),ISNUMBER('Inputs'!$B$6),ISNUMBER('Inputs'!$B$7),ISNUMBER('Inputs'!$B$8),ISNUMBER('Inputs'!$B$9),ISNUMBER('Inputs'!$B$10),ISNUMBER('Inputs'!$B$21),ISNUMBER('Inputs'!$B$24),ISNUMBER('Inputs'!$B$28)),((('Results'!B7*(1+'Inputs'!$B$24)*(0.5*((((985-43)*MAX('Inputs'!$B$33,'Inputs'!$B$29+'Inputs'!$B$31+'Inputs'!$B$32,'Inputs'!$B$30+'Inputs'!$B$31+'Inputs'!$B$32)/1000+'Inputs'!$B$21)+'Inputs'!$B$7)/SQRT((((985-43)*MAX('Inputs'!$B$33,'Inputs'!$B$29+'Inputs'!$B$31+'Inputs'!$B$32,'Inputs'!$B$30+'Inputs'!$B$31+'Inputs'!$B$32)/1000+'Inputs'!$B$21)+'Inputs'!$B$7)^2+('Inputs'!$B$6/2)^2)-(((985-43)*MAX('Inputs'!$B$33,'Inputs'!$B$29+'Inputs'!$B$31+'Inputs'!$B$32,'Inputs'!$B$30+'Inputs'!$B$31+'Inputs'!$B$32)/1000+'Inputs'!$B$21))/SQRT((((985-43)*MAX('Inputs'!$B$33,'Inputs'!$B$29+'Inputs'!$B$31+'Inputs'!$B$32,'Inputs'!$B$30+'Inputs'!$B$31+'Inputs'!$B$32)/1000+'Inputs'!$B$21))^2+('Inputs'!$B$6/2)^2)))-'Results'!C7*(1-'Inputs'!$B$24)*(0.5*((((985-43)*MAX('Inputs'!$B$33,'Inputs'!$B$29+'Inputs'!$B$31+'Inputs'!$B$32,'Inputs'!$B$30+'Inputs'!$B$31+'Inputs'!$B$32)/1000+'Inputs'!$B$21+'Inputs'!$B$7+'Inputs'!$B$10)+'Inputs'!$B$9)/SQRT((((985-43)*MAX('Inputs'!$B$33,'Inputs'!$B$29+'Inputs'!$B$31+'Inputs'!$B$32,'Inputs'!$B$30+'Inputs'!$B$31+'Inputs'!$B$32)/1000+'Inputs'!$B$21+'Inputs'!$B$7+'Inputs'!$B$10)+'Inputs'!$B$9)^2+('Inputs'!$B$8/2)^2)-(((985-43)*MAX('Inputs'!$B$33,'Inputs'!$B$29+'Inputs'!$B$31+'Inputs'!$B$32,'Inputs'!$B$30+'Inputs'!$B$31+'Inputs'!$B$32)/1000+'Inputs'!$B$21+'Inputs'!$B$7+'Inputs'!$B$10))/SQRT((((985-43)*MAX('Inputs'!$B$33,'Inputs'!$B$29+'Inputs'!$B$31+'Inputs'!$B$32,'Inputs'!$B$30+'Inputs'!$B$31+'Inputs'!$B$32)/1000+'Inputs'!$B$21+'Inputs'!$B$7+'Inputs'!$B$10))^2+('Inputs'!$B$8/2)^2))))*'Results'!$B$8)+'Inputs'!$B$28*ABS((('Results'!B7*(1+'Inputs'!$B$24)*(0.5*((((985-43)*MAX('Inputs'!$B$33,'Inputs'!$B$29+'Inputs'!$B$31+'Inputs'!$B$32,'Inputs'!$B$30+'Inputs'!$B$31+'Inputs'!$B$32)/1000+'Inputs'!$B$21)+'Inputs'!$B$7)/SQRT((((985-43)*MAX('Inputs'!$B$33,'Inputs'!$B$29+'Inputs'!$B$31+'Inputs'!$B$32,'Inputs'!$B$30+'Inputs'!$B$31+'Inputs'!$B$32)/1000+'Inputs'!$B$21)+'Inputs'!$B$7)^2+('Inputs'!$B$6/2)^2)-(((985-43)*MAX('Inputs'!$B$33,'Inputs'!$B$29+'Inputs'!$B$31+'Inputs'!$B$32,'Inputs'!$B$30+'Inputs'!$B$31+'Inputs'!$B$32)/1000+'Inputs'!$B$21))/SQRT((((985-43)*MAX('Inputs'!$B$33,'Inputs'!$B$29+'Inputs'!$B$31+'Inputs'!$B$32,'Inputs'!$B$30+'Inputs'!$B$31+'Inputs'!$B$32)/1000+'Inputs'!$B$21))^2+('Inputs'!$B$6/2)^2)))-'Results'!C7*(1-'Inputs'!$B$24)*(0.5*((((985-43)*MAX('Inputs'!$B$33,'Inputs'!$B$29+'Inputs'!$B$31+'Inputs'!$B$32,'Inputs'!$B$30+'Inputs'!$B$31+'Inputs'!$B$32)/1000+'Inputs'!$B$21+'Inputs'!$B$7+'Inputs'!$B$10)+'Inputs'!$B$9)/SQRT((((985-43)*MAX('Inputs'!$B$33,'Inputs'!$B$29+'Inputs'!$B$31+'Inputs'!$B$32,'Inputs'!$B$30+'Inputs'!$B$31+'Inputs'!$B$32)/1000+'Inputs'!$B$21+'Inputs'!$B$7+'Inputs'!$B$10)+'Inputs'!$B$9)^2+('Inputs'!$B$8/2)^2)-(((985-43)*MAX('Inputs'!$B$33,'Inputs'!$B$29+'Inputs'!$B$31+'Inputs'!$B$32,'Inputs'!$B$30+'Inputs'!$B$31+'Inputs'!$B$32)/1000+'Inputs'!$B$21+'Inputs'!$B$7+'Inputs'!$B$10))/SQRT((((985-43)*MAX('Inputs'!$B$33,'Inputs'!$B$29+'Inputs'!$B$31+'Inputs'!$B$32,'Inputs'!$B$30+'Inputs'!$B$31+'Inputs'!$B$32)/1000+'Inputs'!$B$21+'Inputs'!$B$7+'Inputs'!$B$10))^2+('Inputs'!$B$8/2)^2))))*'Results'!$B$8))),"")</x:f>
        <x:v>0.5191359644145046</x:v>
      </x:c>
      <x:c r="M985" t="n">
        <x:f>IF(AND(ISNUMBER('Results'!C7),ISNUMBER('Results'!B7),ISNUMBER('Results'!$B$8),ISNUMBER('Inputs'!$B$6),ISNUMBER('Inputs'!$B$7),ISNUMBER('Inputs'!$B$8),ISNUMBER('Inputs'!$B$9),ISNUMBER('Inputs'!$B$10),ISNUMBER('Inputs'!$B$21),ISNUMBER('Inputs'!$B$24),ISNUMBER('Inputs'!$B$28)),(('Results'!C7*(0.5*((((985-43)*MAX('Inputs'!$B$33,'Inputs'!$B$29+'Inputs'!$B$31+'Inputs'!$B$32,'Inputs'!$B$30+'Inputs'!$B$31+'Inputs'!$B$32)/1000+'Inputs'!$B$21)+'Inputs'!$B$9)/SQRT((((985-43)*MAX('Inputs'!$B$33,'Inputs'!$B$29+'Inputs'!$B$31+'Inputs'!$B$32,'Inputs'!$B$30+'Inputs'!$B$31+'Inputs'!$B$32)/1000+'Inputs'!$B$21)+'Inputs'!$B$9)^2+('Inputs'!$B$8/2)^2)-(((985-43)*MAX('Inputs'!$B$33,'Inputs'!$B$29+'Inputs'!$B$31+'Inputs'!$B$32,'Inputs'!$B$30+'Inputs'!$B$31+'Inputs'!$B$32)/1000+'Inputs'!$B$21))/SQRT((((985-43)*MAX('Inputs'!$B$33,'Inputs'!$B$29+'Inputs'!$B$31+'Inputs'!$B$32,'Inputs'!$B$30+'Inputs'!$B$31+'Inputs'!$B$32)/1000+'Inputs'!$B$21))^2+('Inputs'!$B$8/2)^2)))-'Results'!B7*(0.5*((((985-43)*MAX('Inputs'!$B$33,'Inputs'!$B$29+'Inputs'!$B$31+'Inputs'!$B$32,'Inputs'!$B$30+'Inputs'!$B$31+'Inputs'!$B$32)/1000+'Inputs'!$B$21+'Inputs'!$B$9+'Inputs'!$B$10)+'Inputs'!$B$7)/SQRT((((985-43)*MAX('Inputs'!$B$33,'Inputs'!$B$29+'Inputs'!$B$31+'Inputs'!$B$32,'Inputs'!$B$30+'Inputs'!$B$31+'Inputs'!$B$32)/1000+'Inputs'!$B$21+'Inputs'!$B$9+'Inputs'!$B$10)+'Inputs'!$B$7)^2+('Inputs'!$B$6/2)^2)-(((985-43)*MAX('Inputs'!$B$33,'Inputs'!$B$29+'Inputs'!$B$31+'Inputs'!$B$32,'Inputs'!$B$30+'Inputs'!$B$31+'Inputs'!$B$32)/1000+'Inputs'!$B$21+'Inputs'!$B$9+'Inputs'!$B$10))/SQRT((((985-43)*MAX('Inputs'!$B$33,'Inputs'!$B$29+'Inputs'!$B$31+'Inputs'!$B$32,'Inputs'!$B$30+'Inputs'!$B$31+'Inputs'!$B$32)/1000+'Inputs'!$B$21+'Inputs'!$B$9+'Inputs'!$B$10))^2+('Inputs'!$B$6/2)^2))))*'Results'!$B$8),"")</x:f>
        <x:v>0.39323018633210555</x:v>
      </x:c>
      <x:c r="N985" t="n">
        <x:f>IF(AND(ISNUMBER('Results'!C7),ISNUMBER('Results'!B7),ISNUMBER('Results'!$B$8),ISNUMBER('Inputs'!$B$6),ISNUMBER('Inputs'!$B$7),ISNUMBER('Inputs'!$B$8),ISNUMBER('Inputs'!$B$9),ISNUMBER('Inputs'!$B$10),ISNUMBER('Inputs'!$B$21),ISNUMBER('Inputs'!$B$24),ISNUMBER('Inputs'!$B$28)),((('Results'!C7*(1-'Inputs'!$B$24)*(0.5*((((985-43)*MAX('Inputs'!$B$33,'Inputs'!$B$29+'Inputs'!$B$31+'Inputs'!$B$32,'Inputs'!$B$30+'Inputs'!$B$31+'Inputs'!$B$32)/1000+'Inputs'!$B$21)+'Inputs'!$B$9)/SQRT((((985-43)*MAX('Inputs'!$B$33,'Inputs'!$B$29+'Inputs'!$B$31+'Inputs'!$B$32,'Inputs'!$B$30+'Inputs'!$B$31+'Inputs'!$B$32)/1000+'Inputs'!$B$21)+'Inputs'!$B$9)^2+('Inputs'!$B$8/2)^2)-(((985-43)*MAX('Inputs'!$B$33,'Inputs'!$B$29+'Inputs'!$B$31+'Inputs'!$B$32,'Inputs'!$B$30+'Inputs'!$B$31+'Inputs'!$B$32)/1000+'Inputs'!$B$21))/SQRT((((985-43)*MAX('Inputs'!$B$33,'Inputs'!$B$29+'Inputs'!$B$31+'Inputs'!$B$32,'Inputs'!$B$30+'Inputs'!$B$31+'Inputs'!$B$32)/1000+'Inputs'!$B$21))^2+('Inputs'!$B$8/2)^2)))-'Results'!B7*(1+'Inputs'!$B$24)*(0.5*((((985-43)*MAX('Inputs'!$B$33,'Inputs'!$B$29+'Inputs'!$B$31+'Inputs'!$B$32,'Inputs'!$B$30+'Inputs'!$B$31+'Inputs'!$B$32)/1000+'Inputs'!$B$21+'Inputs'!$B$9+'Inputs'!$B$10)+'Inputs'!$B$7)/SQRT((((985-43)*MAX('Inputs'!$B$33,'Inputs'!$B$29+'Inputs'!$B$31+'Inputs'!$B$32,'Inputs'!$B$30+'Inputs'!$B$31+'Inputs'!$B$32)/1000+'Inputs'!$B$21+'Inputs'!$B$9+'Inputs'!$B$10)+'Inputs'!$B$7)^2+('Inputs'!$B$6/2)^2)-(((985-43)*MAX('Inputs'!$B$33,'Inputs'!$B$29+'Inputs'!$B$31+'Inputs'!$B$32,'Inputs'!$B$30+'Inputs'!$B$31+'Inputs'!$B$32)/1000+'Inputs'!$B$21+'Inputs'!$B$9+'Inputs'!$B$10))/SQRT((((985-43)*MAX('Inputs'!$B$33,'Inputs'!$B$29+'Inputs'!$B$31+'Inputs'!$B$32,'Inputs'!$B$30+'Inputs'!$B$31+'Inputs'!$B$32)/1000+'Inputs'!$B$21+'Inputs'!$B$9+'Inputs'!$B$10))^2+('Inputs'!$B$6/2)^2))))*'Results'!$B$8)-'Inputs'!$B$28*ABS((('Results'!C7*(1-'Inputs'!$B$24)*(0.5*((((985-43)*MAX('Inputs'!$B$33,'Inputs'!$B$29+'Inputs'!$B$31+'Inputs'!$B$32,'Inputs'!$B$30+'Inputs'!$B$31+'Inputs'!$B$32)/1000+'Inputs'!$B$21)+'Inputs'!$B$9)/SQRT((((985-43)*MAX('Inputs'!$B$33,'Inputs'!$B$29+'Inputs'!$B$31+'Inputs'!$B$32,'Inputs'!$B$30+'Inputs'!$B$31+'Inputs'!$B$32)/1000+'Inputs'!$B$21)+'Inputs'!$B$9)^2+('Inputs'!$B$8/2)^2)-(((985-43)*MAX('Inputs'!$B$33,'Inputs'!$B$29+'Inputs'!$B$31+'Inputs'!$B$32,'Inputs'!$B$30+'Inputs'!$B$31+'Inputs'!$B$32)/1000+'Inputs'!$B$21))/SQRT((((985-43)*MAX('Inputs'!$B$33,'Inputs'!$B$29+'Inputs'!$B$31+'Inputs'!$B$32,'Inputs'!$B$30+'Inputs'!$B$31+'Inputs'!$B$32)/1000+'Inputs'!$B$21))^2+('Inputs'!$B$8/2)^2)))-'Results'!B7*(1+'Inputs'!$B$24)*(0.5*((((985-43)*MAX('Inputs'!$B$33,'Inputs'!$B$29+'Inputs'!$B$31+'Inputs'!$B$32,'Inputs'!$B$30+'Inputs'!$B$31+'Inputs'!$B$32)/1000+'Inputs'!$B$21+'Inputs'!$B$9+'Inputs'!$B$10)+'Inputs'!$B$7)/SQRT((((985-43)*MAX('Inputs'!$B$33,'Inputs'!$B$29+'Inputs'!$B$31+'Inputs'!$B$32,'Inputs'!$B$30+'Inputs'!$B$31+'Inputs'!$B$32)/1000+'Inputs'!$B$21+'Inputs'!$B$9+'Inputs'!$B$10)+'Inputs'!$B$7)^2+('Inputs'!$B$6/2)^2)-(((985-43)*MAX('Inputs'!$B$33,'Inputs'!$B$29+'Inputs'!$B$31+'Inputs'!$B$32,'Inputs'!$B$30+'Inputs'!$B$31+'Inputs'!$B$32)/1000+'Inputs'!$B$21+'Inputs'!$B$9+'Inputs'!$B$10))/SQRT((((985-43)*MAX('Inputs'!$B$33,'Inputs'!$B$29+'Inputs'!$B$31+'Inputs'!$B$32,'Inputs'!$B$30+'Inputs'!$B$31+'Inputs'!$B$32)/1000+'Inputs'!$B$21+'Inputs'!$B$9+'Inputs'!$B$10))^2+('Inputs'!$B$6/2)^2))))*'Results'!$B$8))),"")</x:f>
        <x:v>0.32586762904701866</x:v>
      </x:c>
      <x:c r="O985" t="n">
        <x:f>IF(AND(ISNUMBER('Results'!C7),ISNUMBER('Results'!B7),ISNUMBER('Results'!$B$8),ISNUMBER('Inputs'!$B$6),ISNUMBER('Inputs'!$B$7),ISNUMBER('Inputs'!$B$8),ISNUMBER('Inputs'!$B$9),ISNUMBER('Inputs'!$B$10),ISNUMBER('Inputs'!$B$21),ISNUMBER('Inputs'!$B$24),ISNUMBER('Inputs'!$B$28)),((('Results'!C7*(1+'Inputs'!$B$24)*(0.5*((((985-43)*MAX('Inputs'!$B$33,'Inputs'!$B$29+'Inputs'!$B$31+'Inputs'!$B$32,'Inputs'!$B$30+'Inputs'!$B$31+'Inputs'!$B$32)/1000+'Inputs'!$B$21)+'Inputs'!$B$9)/SQRT((((985-43)*MAX('Inputs'!$B$33,'Inputs'!$B$29+'Inputs'!$B$31+'Inputs'!$B$32,'Inputs'!$B$30+'Inputs'!$B$31+'Inputs'!$B$32)/1000+'Inputs'!$B$21)+'Inputs'!$B$9)^2+('Inputs'!$B$8/2)^2)-(((985-43)*MAX('Inputs'!$B$33,'Inputs'!$B$29+'Inputs'!$B$31+'Inputs'!$B$32,'Inputs'!$B$30+'Inputs'!$B$31+'Inputs'!$B$32)/1000+'Inputs'!$B$21))/SQRT((((985-43)*MAX('Inputs'!$B$33,'Inputs'!$B$29+'Inputs'!$B$31+'Inputs'!$B$32,'Inputs'!$B$30+'Inputs'!$B$31+'Inputs'!$B$32)/1000+'Inputs'!$B$21))^2+('Inputs'!$B$8/2)^2)))-'Results'!B7*(1-'Inputs'!$B$24)*(0.5*((((985-43)*MAX('Inputs'!$B$33,'Inputs'!$B$29+'Inputs'!$B$31+'Inputs'!$B$32,'Inputs'!$B$30+'Inputs'!$B$31+'Inputs'!$B$32)/1000+'Inputs'!$B$21+'Inputs'!$B$9+'Inputs'!$B$10)+'Inputs'!$B$7)/SQRT((((985-43)*MAX('Inputs'!$B$33,'Inputs'!$B$29+'Inputs'!$B$31+'Inputs'!$B$32,'Inputs'!$B$30+'Inputs'!$B$31+'Inputs'!$B$32)/1000+'Inputs'!$B$21+'Inputs'!$B$9+'Inputs'!$B$10)+'Inputs'!$B$7)^2+('Inputs'!$B$6/2)^2)-(((985-43)*MAX('Inputs'!$B$33,'Inputs'!$B$29+'Inputs'!$B$31+'Inputs'!$B$32,'Inputs'!$B$30+'Inputs'!$B$31+'Inputs'!$B$32)/1000+'Inputs'!$B$21+'Inputs'!$B$9+'Inputs'!$B$10))/SQRT((((985-43)*MAX('Inputs'!$B$33,'Inputs'!$B$29+'Inputs'!$B$31+'Inputs'!$B$32,'Inputs'!$B$30+'Inputs'!$B$31+'Inputs'!$B$32)/1000+'Inputs'!$B$21+'Inputs'!$B$9+'Inputs'!$B$10))^2+('Inputs'!$B$6/2)^2))))*'Results'!$B$8)+'Inputs'!$B$28*ABS((('Results'!C7*(1+'Inputs'!$B$24)*(0.5*((((985-43)*MAX('Inputs'!$B$33,'Inputs'!$B$29+'Inputs'!$B$31+'Inputs'!$B$32,'Inputs'!$B$30+'Inputs'!$B$31+'Inputs'!$B$32)/1000+'Inputs'!$B$21)+'Inputs'!$B$9)/SQRT((((985-43)*MAX('Inputs'!$B$33,'Inputs'!$B$29+'Inputs'!$B$31+'Inputs'!$B$32,'Inputs'!$B$30+'Inputs'!$B$31+'Inputs'!$B$32)/1000+'Inputs'!$B$21)+'Inputs'!$B$9)^2+('Inputs'!$B$8/2)^2)-(((985-43)*MAX('Inputs'!$B$33,'Inputs'!$B$29+'Inputs'!$B$31+'Inputs'!$B$32,'Inputs'!$B$30+'Inputs'!$B$31+'Inputs'!$B$32)/1000+'Inputs'!$B$21))/SQRT((((985-43)*MAX('Inputs'!$B$33,'Inputs'!$B$29+'Inputs'!$B$31+'Inputs'!$B$32,'Inputs'!$B$30+'Inputs'!$B$31+'Inputs'!$B$32)/1000+'Inputs'!$B$21))^2+('Inputs'!$B$8/2)^2)))-'Results'!B7*(1-'Inputs'!$B$24)*(0.5*((((985-43)*MAX('Inputs'!$B$33,'Inputs'!$B$29+'Inputs'!$B$31+'Inputs'!$B$32,'Inputs'!$B$30+'Inputs'!$B$31+'Inputs'!$B$32)/1000+'Inputs'!$B$21+'Inputs'!$B$9+'Inputs'!$B$10)+'Inputs'!$B$7)/SQRT((((985-43)*MAX('Inputs'!$B$33,'Inputs'!$B$29+'Inputs'!$B$31+'Inputs'!$B$32,'Inputs'!$B$30+'Inputs'!$B$31+'Inputs'!$B$32)/1000+'Inputs'!$B$21+'Inputs'!$B$9+'Inputs'!$B$10)+'Inputs'!$B$7)^2+('Inputs'!$B$6/2)^2)-(((985-43)*MAX('Inputs'!$B$33,'Inputs'!$B$29+'Inputs'!$B$31+'Inputs'!$B$32,'Inputs'!$B$30+'Inputs'!$B$31+'Inputs'!$B$32)/1000+'Inputs'!$B$21+'Inputs'!$B$9+'Inputs'!$B$10))/SQRT((((985-43)*MAX('Inputs'!$B$33,'Inputs'!$B$29+'Inputs'!$B$31+'Inputs'!$B$32,'Inputs'!$B$30+'Inputs'!$B$31+'Inputs'!$B$32)/1000+'Inputs'!$B$21+'Inputs'!$B$9+'Inputs'!$B$10))^2+('Inputs'!$B$6/2)^2))))*'Results'!$B$8))),"")</x:f>
        <x:v>0.4656139065612436</x:v>
      </x:c>
      <x:c r="P985" t="n">
        <x:f>IF(AND(MAX(J985,J984)&gt;0,J985&gt;J984+0.00000001),1,0)</x:f>
        <x:v>0</x:v>
      </x:c>
      <x:c r="Q985" t="n">
        <x:f>IF(AND(MAX(K985,K984)&gt;0,K985&gt;K984+0.00000001),1,0)</x:f>
        <x:v>0</x:v>
      </x:c>
      <x:c r="R985" t="n">
        <x:f>IF(AND(MAX(L985,L984)&gt;0,L985&gt;L984+0.00000001),1,0)</x:f>
        <x:v>0</x:v>
      </x:c>
      <x:c r="S985" t="n">
        <x:f>IF(AND(MAX(M985,M984)&gt;0,M985&gt;M984+0.00000001),1,0)</x:f>
        <x:v>0</x:v>
      </x:c>
      <x:c r="T985" t="n">
        <x:f>IF(AND(MAX(N985,N984)&gt;0,N985&gt;N984+0.00000001),1,0)</x:f>
        <x:v>0</x:v>
      </x:c>
      <x:c r="U985" t="n">
        <x:f>IF(AND(MAX(O985,O984)&gt;0,O985&gt;O984+0.00000001),1,0)</x:f>
        <x:v>0</x:v>
      </x:c>
    </x:row>
    <x:row r="986">
      <x:c r="J986" t="n">
        <x:f>IF(AND(ISNUMBER('Results'!B7),ISNUMBER('Results'!C7),ISNUMBER('Results'!$B$8),ISNUMBER('Inputs'!$B$6),ISNUMBER('Inputs'!$B$7),ISNUMBER('Inputs'!$B$8),ISNUMBER('Inputs'!$B$9),ISNUMBER('Inputs'!$B$10),ISNUMBER('Inputs'!$B$21),ISNUMBER('Inputs'!$B$24),ISNUMBER('Inputs'!$B$28)),(('Results'!B7*(0.5*((((986-43)*MAX('Inputs'!$B$33,'Inputs'!$B$29+'Inputs'!$B$31+'Inputs'!$B$32,'Inputs'!$B$30+'Inputs'!$B$31+'Inputs'!$B$32)/1000+'Inputs'!$B$21)+'Inputs'!$B$7)/SQRT((((986-43)*MAX('Inputs'!$B$33,'Inputs'!$B$29+'Inputs'!$B$31+'Inputs'!$B$32,'Inputs'!$B$30+'Inputs'!$B$31+'Inputs'!$B$32)/1000+'Inputs'!$B$21)+'Inputs'!$B$7)^2+('Inputs'!$B$6/2)^2)-(((986-43)*MAX('Inputs'!$B$33,'Inputs'!$B$29+'Inputs'!$B$31+'Inputs'!$B$32,'Inputs'!$B$30+'Inputs'!$B$31+'Inputs'!$B$32)/1000+'Inputs'!$B$21))/SQRT((((986-43)*MAX('Inputs'!$B$33,'Inputs'!$B$29+'Inputs'!$B$31+'Inputs'!$B$32,'Inputs'!$B$30+'Inputs'!$B$31+'Inputs'!$B$32)/1000+'Inputs'!$B$21))^2+('Inputs'!$B$6/2)^2)))-'Results'!C7*(0.5*((((986-43)*MAX('Inputs'!$B$33,'Inputs'!$B$29+'Inputs'!$B$31+'Inputs'!$B$32,'Inputs'!$B$30+'Inputs'!$B$31+'Inputs'!$B$32)/1000+'Inputs'!$B$21+'Inputs'!$B$7+'Inputs'!$B$10)+'Inputs'!$B$9)/SQRT((((986-43)*MAX('Inputs'!$B$33,'Inputs'!$B$29+'Inputs'!$B$31+'Inputs'!$B$32,'Inputs'!$B$30+'Inputs'!$B$31+'Inputs'!$B$32)/1000+'Inputs'!$B$21+'Inputs'!$B$7+'Inputs'!$B$10)+'Inputs'!$B$9)^2+('Inputs'!$B$8/2)^2)-(((986-43)*MAX('Inputs'!$B$33,'Inputs'!$B$29+'Inputs'!$B$31+'Inputs'!$B$32,'Inputs'!$B$30+'Inputs'!$B$31+'Inputs'!$B$32)/1000+'Inputs'!$B$21+'Inputs'!$B$7+'Inputs'!$B$10))/SQRT((((986-43)*MAX('Inputs'!$B$33,'Inputs'!$B$29+'Inputs'!$B$31+'Inputs'!$B$32,'Inputs'!$B$30+'Inputs'!$B$31+'Inputs'!$B$32)/1000+'Inputs'!$B$21+'Inputs'!$B$7+'Inputs'!$B$10))^2+('Inputs'!$B$8/2)^2))))*'Results'!$B$8),"")</x:f>
        <x:v>0.44232325253899957</x:v>
      </x:c>
      <x:c r="K986" t="n">
        <x:f>IF(AND(ISNUMBER('Results'!B7),ISNUMBER('Results'!C7),ISNUMBER('Results'!$B$8),ISNUMBER('Inputs'!$B$6),ISNUMBER('Inputs'!$B$7),ISNUMBER('Inputs'!$B$8),ISNUMBER('Inputs'!$B$9),ISNUMBER('Inputs'!$B$10),ISNUMBER('Inputs'!$B$21),ISNUMBER('Inputs'!$B$24),ISNUMBER('Inputs'!$B$28)),((('Results'!B7*(1-'Inputs'!$B$24)*(0.5*((((986-43)*MAX('Inputs'!$B$33,'Inputs'!$B$29+'Inputs'!$B$31+'Inputs'!$B$32,'Inputs'!$B$30+'Inputs'!$B$31+'Inputs'!$B$32)/1000+'Inputs'!$B$21)+'Inputs'!$B$7)/SQRT((((986-43)*MAX('Inputs'!$B$33,'Inputs'!$B$29+'Inputs'!$B$31+'Inputs'!$B$32,'Inputs'!$B$30+'Inputs'!$B$31+'Inputs'!$B$32)/1000+'Inputs'!$B$21)+'Inputs'!$B$7)^2+('Inputs'!$B$6/2)^2)-(((986-43)*MAX('Inputs'!$B$33,'Inputs'!$B$29+'Inputs'!$B$31+'Inputs'!$B$32,'Inputs'!$B$30+'Inputs'!$B$31+'Inputs'!$B$32)/1000+'Inputs'!$B$21))/SQRT((((986-43)*MAX('Inputs'!$B$33,'Inputs'!$B$29+'Inputs'!$B$31+'Inputs'!$B$32,'Inputs'!$B$30+'Inputs'!$B$31+'Inputs'!$B$32)/1000+'Inputs'!$B$21))^2+('Inputs'!$B$6/2)^2)))-'Results'!C7*(1+'Inputs'!$B$24)*(0.5*((((986-43)*MAX('Inputs'!$B$33,'Inputs'!$B$29+'Inputs'!$B$31+'Inputs'!$B$32,'Inputs'!$B$30+'Inputs'!$B$31+'Inputs'!$B$32)/1000+'Inputs'!$B$21+'Inputs'!$B$7+'Inputs'!$B$10)+'Inputs'!$B$9)/SQRT((((986-43)*MAX('Inputs'!$B$33,'Inputs'!$B$29+'Inputs'!$B$31+'Inputs'!$B$32,'Inputs'!$B$30+'Inputs'!$B$31+'Inputs'!$B$32)/1000+'Inputs'!$B$21+'Inputs'!$B$7+'Inputs'!$B$10)+'Inputs'!$B$9)^2+('Inputs'!$B$8/2)^2)-(((986-43)*MAX('Inputs'!$B$33,'Inputs'!$B$29+'Inputs'!$B$31+'Inputs'!$B$32,'Inputs'!$B$30+'Inputs'!$B$31+'Inputs'!$B$32)/1000+'Inputs'!$B$21+'Inputs'!$B$7+'Inputs'!$B$10))/SQRT((((986-43)*MAX('Inputs'!$B$33,'Inputs'!$B$29+'Inputs'!$B$31+'Inputs'!$B$32,'Inputs'!$B$30+'Inputs'!$B$31+'Inputs'!$B$32)/1000+'Inputs'!$B$21+'Inputs'!$B$7+'Inputs'!$B$10))^2+('Inputs'!$B$8/2)^2))))*'Results'!$B$8)-'Inputs'!$B$28*ABS((('Results'!B7*(1-'Inputs'!$B$24)*(0.5*((((986-43)*MAX('Inputs'!$B$33,'Inputs'!$B$29+'Inputs'!$B$31+'Inputs'!$B$32,'Inputs'!$B$30+'Inputs'!$B$31+'Inputs'!$B$32)/1000+'Inputs'!$B$21)+'Inputs'!$B$7)/SQRT((((986-43)*MAX('Inputs'!$B$33,'Inputs'!$B$29+'Inputs'!$B$31+'Inputs'!$B$32,'Inputs'!$B$30+'Inputs'!$B$31+'Inputs'!$B$32)/1000+'Inputs'!$B$21)+'Inputs'!$B$7)^2+('Inputs'!$B$6/2)^2)-(((986-43)*MAX('Inputs'!$B$33,'Inputs'!$B$29+'Inputs'!$B$31+'Inputs'!$B$32,'Inputs'!$B$30+'Inputs'!$B$31+'Inputs'!$B$32)/1000+'Inputs'!$B$21))/SQRT((((986-43)*MAX('Inputs'!$B$33,'Inputs'!$B$29+'Inputs'!$B$31+'Inputs'!$B$32,'Inputs'!$B$30+'Inputs'!$B$31+'Inputs'!$B$32)/1000+'Inputs'!$B$21))^2+('Inputs'!$B$6/2)^2)))-'Results'!C7*(1+'Inputs'!$B$24)*(0.5*((((986-43)*MAX('Inputs'!$B$33,'Inputs'!$B$29+'Inputs'!$B$31+'Inputs'!$B$32,'Inputs'!$B$30+'Inputs'!$B$31+'Inputs'!$B$32)/1000+'Inputs'!$B$21+'Inputs'!$B$7+'Inputs'!$B$10)+'Inputs'!$B$9)/SQRT((((986-43)*MAX('Inputs'!$B$33,'Inputs'!$B$29+'Inputs'!$B$31+'Inputs'!$B$32,'Inputs'!$B$30+'Inputs'!$B$31+'Inputs'!$B$32)/1000+'Inputs'!$B$21+'Inputs'!$B$7+'Inputs'!$B$10)+'Inputs'!$B$9)^2+('Inputs'!$B$8/2)^2)-(((986-43)*MAX('Inputs'!$B$33,'Inputs'!$B$29+'Inputs'!$B$31+'Inputs'!$B$32,'Inputs'!$B$30+'Inputs'!$B$31+'Inputs'!$B$32)/1000+'Inputs'!$B$21+'Inputs'!$B$7+'Inputs'!$B$10))/SQRT((((986-43)*MAX('Inputs'!$B$33,'Inputs'!$B$29+'Inputs'!$B$31+'Inputs'!$B$32,'Inputs'!$B$30+'Inputs'!$B$31+'Inputs'!$B$32)/1000+'Inputs'!$B$21+'Inputs'!$B$7+'Inputs'!$B$10))^2+('Inputs'!$B$8/2)^2))))*'Results'!$B$8))),"")</x:f>
        <x:v>0.37248698716263</x:v>
      </x:c>
      <x:c r="L986" t="n">
        <x:f>IF(AND(ISNUMBER('Results'!B7),ISNUMBER('Results'!C7),ISNUMBER('Results'!$B$8),ISNUMBER('Inputs'!$B$6),ISNUMBER('Inputs'!$B$7),ISNUMBER('Inputs'!$B$8),ISNUMBER('Inputs'!$B$9),ISNUMBER('Inputs'!$B$10),ISNUMBER('Inputs'!$B$21),ISNUMBER('Inputs'!$B$24),ISNUMBER('Inputs'!$B$28)),((('Results'!B7*(1+'Inputs'!$B$24)*(0.5*((((986-43)*MAX('Inputs'!$B$33,'Inputs'!$B$29+'Inputs'!$B$31+'Inputs'!$B$32,'Inputs'!$B$30+'Inputs'!$B$31+'Inputs'!$B$32)/1000+'Inputs'!$B$21)+'Inputs'!$B$7)/SQRT((((986-43)*MAX('Inputs'!$B$33,'Inputs'!$B$29+'Inputs'!$B$31+'Inputs'!$B$32,'Inputs'!$B$30+'Inputs'!$B$31+'Inputs'!$B$32)/1000+'Inputs'!$B$21)+'Inputs'!$B$7)^2+('Inputs'!$B$6/2)^2)-(((986-43)*MAX('Inputs'!$B$33,'Inputs'!$B$29+'Inputs'!$B$31+'Inputs'!$B$32,'Inputs'!$B$30+'Inputs'!$B$31+'Inputs'!$B$32)/1000+'Inputs'!$B$21))/SQRT((((986-43)*MAX('Inputs'!$B$33,'Inputs'!$B$29+'Inputs'!$B$31+'Inputs'!$B$32,'Inputs'!$B$30+'Inputs'!$B$31+'Inputs'!$B$32)/1000+'Inputs'!$B$21))^2+('Inputs'!$B$6/2)^2)))-'Results'!C7*(1-'Inputs'!$B$24)*(0.5*((((986-43)*MAX('Inputs'!$B$33,'Inputs'!$B$29+'Inputs'!$B$31+'Inputs'!$B$32,'Inputs'!$B$30+'Inputs'!$B$31+'Inputs'!$B$32)/1000+'Inputs'!$B$21+'Inputs'!$B$7+'Inputs'!$B$10)+'Inputs'!$B$9)/SQRT((((986-43)*MAX('Inputs'!$B$33,'Inputs'!$B$29+'Inputs'!$B$31+'Inputs'!$B$32,'Inputs'!$B$30+'Inputs'!$B$31+'Inputs'!$B$32)/1000+'Inputs'!$B$21+'Inputs'!$B$7+'Inputs'!$B$10)+'Inputs'!$B$9)^2+('Inputs'!$B$8/2)^2)-(((986-43)*MAX('Inputs'!$B$33,'Inputs'!$B$29+'Inputs'!$B$31+'Inputs'!$B$32,'Inputs'!$B$30+'Inputs'!$B$31+'Inputs'!$B$32)/1000+'Inputs'!$B$21+'Inputs'!$B$7+'Inputs'!$B$10))/SQRT((((986-43)*MAX('Inputs'!$B$33,'Inputs'!$B$29+'Inputs'!$B$31+'Inputs'!$B$32,'Inputs'!$B$30+'Inputs'!$B$31+'Inputs'!$B$32)/1000+'Inputs'!$B$21+'Inputs'!$B$7+'Inputs'!$B$10))^2+('Inputs'!$B$8/2)^2))))*'Results'!$B$8)+'Inputs'!$B$28*ABS((('Results'!B7*(1+'Inputs'!$B$24)*(0.5*((((986-43)*MAX('Inputs'!$B$33,'Inputs'!$B$29+'Inputs'!$B$31+'Inputs'!$B$32,'Inputs'!$B$30+'Inputs'!$B$31+'Inputs'!$B$32)/1000+'Inputs'!$B$21)+'Inputs'!$B$7)/SQRT((((986-43)*MAX('Inputs'!$B$33,'Inputs'!$B$29+'Inputs'!$B$31+'Inputs'!$B$32,'Inputs'!$B$30+'Inputs'!$B$31+'Inputs'!$B$32)/1000+'Inputs'!$B$21)+'Inputs'!$B$7)^2+('Inputs'!$B$6/2)^2)-(((986-43)*MAX('Inputs'!$B$33,'Inputs'!$B$29+'Inputs'!$B$31+'Inputs'!$B$32,'Inputs'!$B$30+'Inputs'!$B$31+'Inputs'!$B$32)/1000+'Inputs'!$B$21))/SQRT((((986-43)*MAX('Inputs'!$B$33,'Inputs'!$B$29+'Inputs'!$B$31+'Inputs'!$B$32,'Inputs'!$B$30+'Inputs'!$B$31+'Inputs'!$B$32)/1000+'Inputs'!$B$21))^2+('Inputs'!$B$6/2)^2)))-'Results'!C7*(1-'Inputs'!$B$24)*(0.5*((((986-43)*MAX('Inputs'!$B$33,'Inputs'!$B$29+'Inputs'!$B$31+'Inputs'!$B$32,'Inputs'!$B$30+'Inputs'!$B$31+'Inputs'!$B$32)/1000+'Inputs'!$B$21+'Inputs'!$B$7+'Inputs'!$B$10)+'Inputs'!$B$9)/SQRT((((986-43)*MAX('Inputs'!$B$33,'Inputs'!$B$29+'Inputs'!$B$31+'Inputs'!$B$32,'Inputs'!$B$30+'Inputs'!$B$31+'Inputs'!$B$32)/1000+'Inputs'!$B$21+'Inputs'!$B$7+'Inputs'!$B$10)+'Inputs'!$B$9)^2+('Inputs'!$B$8/2)^2)-(((986-43)*MAX('Inputs'!$B$33,'Inputs'!$B$29+'Inputs'!$B$31+'Inputs'!$B$32,'Inputs'!$B$30+'Inputs'!$B$31+'Inputs'!$B$32)/1000+'Inputs'!$B$21+'Inputs'!$B$7+'Inputs'!$B$10))/SQRT((((986-43)*MAX('Inputs'!$B$33,'Inputs'!$B$29+'Inputs'!$B$31+'Inputs'!$B$32,'Inputs'!$B$30+'Inputs'!$B$31+'Inputs'!$B$32)/1000+'Inputs'!$B$21+'Inputs'!$B$7+'Inputs'!$B$10))^2+('Inputs'!$B$8/2)^2))))*'Results'!$B$8))),"")</x:f>
        <x:v>0.5171826866258343</x:v>
      </x:c>
      <x:c r="M986" t="n">
        <x:f>IF(AND(ISNUMBER('Results'!C7),ISNUMBER('Results'!B7),ISNUMBER('Results'!$B$8),ISNUMBER('Inputs'!$B$6),ISNUMBER('Inputs'!$B$7),ISNUMBER('Inputs'!$B$8),ISNUMBER('Inputs'!$B$9),ISNUMBER('Inputs'!$B$10),ISNUMBER('Inputs'!$B$21),ISNUMBER('Inputs'!$B$24),ISNUMBER('Inputs'!$B$28)),(('Results'!C7*(0.5*((((986-43)*MAX('Inputs'!$B$33,'Inputs'!$B$29+'Inputs'!$B$31+'Inputs'!$B$32,'Inputs'!$B$30+'Inputs'!$B$31+'Inputs'!$B$32)/1000+'Inputs'!$B$21)+'Inputs'!$B$9)/SQRT((((986-43)*MAX('Inputs'!$B$33,'Inputs'!$B$29+'Inputs'!$B$31+'Inputs'!$B$32,'Inputs'!$B$30+'Inputs'!$B$31+'Inputs'!$B$32)/1000+'Inputs'!$B$21)+'Inputs'!$B$9)^2+('Inputs'!$B$8/2)^2)-(((986-43)*MAX('Inputs'!$B$33,'Inputs'!$B$29+'Inputs'!$B$31+'Inputs'!$B$32,'Inputs'!$B$30+'Inputs'!$B$31+'Inputs'!$B$32)/1000+'Inputs'!$B$21))/SQRT((((986-43)*MAX('Inputs'!$B$33,'Inputs'!$B$29+'Inputs'!$B$31+'Inputs'!$B$32,'Inputs'!$B$30+'Inputs'!$B$31+'Inputs'!$B$32)/1000+'Inputs'!$B$21))^2+('Inputs'!$B$8/2)^2)))-'Results'!B7*(0.5*((((986-43)*MAX('Inputs'!$B$33,'Inputs'!$B$29+'Inputs'!$B$31+'Inputs'!$B$32,'Inputs'!$B$30+'Inputs'!$B$31+'Inputs'!$B$32)/1000+'Inputs'!$B$21+'Inputs'!$B$9+'Inputs'!$B$10)+'Inputs'!$B$7)/SQRT((((986-43)*MAX('Inputs'!$B$33,'Inputs'!$B$29+'Inputs'!$B$31+'Inputs'!$B$32,'Inputs'!$B$30+'Inputs'!$B$31+'Inputs'!$B$32)/1000+'Inputs'!$B$21+'Inputs'!$B$9+'Inputs'!$B$10)+'Inputs'!$B$7)^2+('Inputs'!$B$6/2)^2)-(((986-43)*MAX('Inputs'!$B$33,'Inputs'!$B$29+'Inputs'!$B$31+'Inputs'!$B$32,'Inputs'!$B$30+'Inputs'!$B$31+'Inputs'!$B$32)/1000+'Inputs'!$B$21+'Inputs'!$B$9+'Inputs'!$B$10))/SQRT((((986-43)*MAX('Inputs'!$B$33,'Inputs'!$B$29+'Inputs'!$B$31+'Inputs'!$B$32,'Inputs'!$B$30+'Inputs'!$B$31+'Inputs'!$B$32)/1000+'Inputs'!$B$21+'Inputs'!$B$9+'Inputs'!$B$10))^2+('Inputs'!$B$6/2)^2))))*'Results'!$B$8),"")</x:f>
        <x:v>0.39166926725012435</x:v>
      </x:c>
      <x:c r="N986" t="n">
        <x:f>IF(AND(ISNUMBER('Results'!C7),ISNUMBER('Results'!B7),ISNUMBER('Results'!$B$8),ISNUMBER('Inputs'!$B$6),ISNUMBER('Inputs'!$B$7),ISNUMBER('Inputs'!$B$8),ISNUMBER('Inputs'!$B$9),ISNUMBER('Inputs'!$B$10),ISNUMBER('Inputs'!$B$21),ISNUMBER('Inputs'!$B$24),ISNUMBER('Inputs'!$B$28)),((('Results'!C7*(1-'Inputs'!$B$24)*(0.5*((((986-43)*MAX('Inputs'!$B$33,'Inputs'!$B$29+'Inputs'!$B$31+'Inputs'!$B$32,'Inputs'!$B$30+'Inputs'!$B$31+'Inputs'!$B$32)/1000+'Inputs'!$B$21)+'Inputs'!$B$9)/SQRT((((986-43)*MAX('Inputs'!$B$33,'Inputs'!$B$29+'Inputs'!$B$31+'Inputs'!$B$32,'Inputs'!$B$30+'Inputs'!$B$31+'Inputs'!$B$32)/1000+'Inputs'!$B$21)+'Inputs'!$B$9)^2+('Inputs'!$B$8/2)^2)-(((986-43)*MAX('Inputs'!$B$33,'Inputs'!$B$29+'Inputs'!$B$31+'Inputs'!$B$32,'Inputs'!$B$30+'Inputs'!$B$31+'Inputs'!$B$32)/1000+'Inputs'!$B$21))/SQRT((((986-43)*MAX('Inputs'!$B$33,'Inputs'!$B$29+'Inputs'!$B$31+'Inputs'!$B$32,'Inputs'!$B$30+'Inputs'!$B$31+'Inputs'!$B$32)/1000+'Inputs'!$B$21))^2+('Inputs'!$B$8/2)^2)))-'Results'!B7*(1+'Inputs'!$B$24)*(0.5*((((986-43)*MAX('Inputs'!$B$33,'Inputs'!$B$29+'Inputs'!$B$31+'Inputs'!$B$32,'Inputs'!$B$30+'Inputs'!$B$31+'Inputs'!$B$32)/1000+'Inputs'!$B$21+'Inputs'!$B$9+'Inputs'!$B$10)+'Inputs'!$B$7)/SQRT((((986-43)*MAX('Inputs'!$B$33,'Inputs'!$B$29+'Inputs'!$B$31+'Inputs'!$B$32,'Inputs'!$B$30+'Inputs'!$B$31+'Inputs'!$B$32)/1000+'Inputs'!$B$21+'Inputs'!$B$9+'Inputs'!$B$10)+'Inputs'!$B$7)^2+('Inputs'!$B$6/2)^2)-(((986-43)*MAX('Inputs'!$B$33,'Inputs'!$B$29+'Inputs'!$B$31+'Inputs'!$B$32,'Inputs'!$B$30+'Inputs'!$B$31+'Inputs'!$B$32)/1000+'Inputs'!$B$21+'Inputs'!$B$9+'Inputs'!$B$10))/SQRT((((986-43)*MAX('Inputs'!$B$33,'Inputs'!$B$29+'Inputs'!$B$31+'Inputs'!$B$32,'Inputs'!$B$30+'Inputs'!$B$31+'Inputs'!$B$32)/1000+'Inputs'!$B$21+'Inputs'!$B$9+'Inputs'!$B$10))^2+('Inputs'!$B$6/2)^2))))*'Results'!$B$8)-'Inputs'!$B$28*ABS((('Results'!C7*(1-'Inputs'!$B$24)*(0.5*((((986-43)*MAX('Inputs'!$B$33,'Inputs'!$B$29+'Inputs'!$B$31+'Inputs'!$B$32,'Inputs'!$B$30+'Inputs'!$B$31+'Inputs'!$B$32)/1000+'Inputs'!$B$21)+'Inputs'!$B$9)/SQRT((((986-43)*MAX('Inputs'!$B$33,'Inputs'!$B$29+'Inputs'!$B$31+'Inputs'!$B$32,'Inputs'!$B$30+'Inputs'!$B$31+'Inputs'!$B$32)/1000+'Inputs'!$B$21)+'Inputs'!$B$9)^2+('Inputs'!$B$8/2)^2)-(((986-43)*MAX('Inputs'!$B$33,'Inputs'!$B$29+'Inputs'!$B$31+'Inputs'!$B$32,'Inputs'!$B$30+'Inputs'!$B$31+'Inputs'!$B$32)/1000+'Inputs'!$B$21))/SQRT((((986-43)*MAX('Inputs'!$B$33,'Inputs'!$B$29+'Inputs'!$B$31+'Inputs'!$B$32,'Inputs'!$B$30+'Inputs'!$B$31+'Inputs'!$B$32)/1000+'Inputs'!$B$21))^2+('Inputs'!$B$8/2)^2)))-'Results'!B7*(1+'Inputs'!$B$24)*(0.5*((((986-43)*MAX('Inputs'!$B$33,'Inputs'!$B$29+'Inputs'!$B$31+'Inputs'!$B$32,'Inputs'!$B$30+'Inputs'!$B$31+'Inputs'!$B$32)/1000+'Inputs'!$B$21+'Inputs'!$B$9+'Inputs'!$B$10)+'Inputs'!$B$7)/SQRT((((986-43)*MAX('Inputs'!$B$33,'Inputs'!$B$29+'Inputs'!$B$31+'Inputs'!$B$32,'Inputs'!$B$30+'Inputs'!$B$31+'Inputs'!$B$32)/1000+'Inputs'!$B$21+'Inputs'!$B$9+'Inputs'!$B$10)+'Inputs'!$B$7)^2+('Inputs'!$B$6/2)^2)-(((986-43)*MAX('Inputs'!$B$33,'Inputs'!$B$29+'Inputs'!$B$31+'Inputs'!$B$32,'Inputs'!$B$30+'Inputs'!$B$31+'Inputs'!$B$32)/1000+'Inputs'!$B$21+'Inputs'!$B$9+'Inputs'!$B$10))/SQRT((((986-43)*MAX('Inputs'!$B$33,'Inputs'!$B$29+'Inputs'!$B$31+'Inputs'!$B$32,'Inputs'!$B$30+'Inputs'!$B$31+'Inputs'!$B$32)/1000+'Inputs'!$B$21+'Inputs'!$B$9+'Inputs'!$B$10))^2+('Inputs'!$B$6/2)^2))))*'Results'!$B$8))),"")</x:f>
        <x:v>0.32452576030866315</x:v>
      </x:c>
      <x:c r="O986" t="n">
        <x:f>IF(AND(ISNUMBER('Results'!C7),ISNUMBER('Results'!B7),ISNUMBER('Results'!$B$8),ISNUMBER('Inputs'!$B$6),ISNUMBER('Inputs'!$B$7),ISNUMBER('Inputs'!$B$8),ISNUMBER('Inputs'!$B$9),ISNUMBER('Inputs'!$B$10),ISNUMBER('Inputs'!$B$21),ISNUMBER('Inputs'!$B$24),ISNUMBER('Inputs'!$B$28)),((('Results'!C7*(1+'Inputs'!$B$24)*(0.5*((((986-43)*MAX('Inputs'!$B$33,'Inputs'!$B$29+'Inputs'!$B$31+'Inputs'!$B$32,'Inputs'!$B$30+'Inputs'!$B$31+'Inputs'!$B$32)/1000+'Inputs'!$B$21)+'Inputs'!$B$9)/SQRT((((986-43)*MAX('Inputs'!$B$33,'Inputs'!$B$29+'Inputs'!$B$31+'Inputs'!$B$32,'Inputs'!$B$30+'Inputs'!$B$31+'Inputs'!$B$32)/1000+'Inputs'!$B$21)+'Inputs'!$B$9)^2+('Inputs'!$B$8/2)^2)-(((986-43)*MAX('Inputs'!$B$33,'Inputs'!$B$29+'Inputs'!$B$31+'Inputs'!$B$32,'Inputs'!$B$30+'Inputs'!$B$31+'Inputs'!$B$32)/1000+'Inputs'!$B$21))/SQRT((((986-43)*MAX('Inputs'!$B$33,'Inputs'!$B$29+'Inputs'!$B$31+'Inputs'!$B$32,'Inputs'!$B$30+'Inputs'!$B$31+'Inputs'!$B$32)/1000+'Inputs'!$B$21))^2+('Inputs'!$B$8/2)^2)))-'Results'!B7*(1-'Inputs'!$B$24)*(0.5*((((986-43)*MAX('Inputs'!$B$33,'Inputs'!$B$29+'Inputs'!$B$31+'Inputs'!$B$32,'Inputs'!$B$30+'Inputs'!$B$31+'Inputs'!$B$32)/1000+'Inputs'!$B$21+'Inputs'!$B$9+'Inputs'!$B$10)+'Inputs'!$B$7)/SQRT((((986-43)*MAX('Inputs'!$B$33,'Inputs'!$B$29+'Inputs'!$B$31+'Inputs'!$B$32,'Inputs'!$B$30+'Inputs'!$B$31+'Inputs'!$B$32)/1000+'Inputs'!$B$21+'Inputs'!$B$9+'Inputs'!$B$10)+'Inputs'!$B$7)^2+('Inputs'!$B$6/2)^2)-(((986-43)*MAX('Inputs'!$B$33,'Inputs'!$B$29+'Inputs'!$B$31+'Inputs'!$B$32,'Inputs'!$B$30+'Inputs'!$B$31+'Inputs'!$B$32)/1000+'Inputs'!$B$21+'Inputs'!$B$9+'Inputs'!$B$10))/SQRT((((986-43)*MAX('Inputs'!$B$33,'Inputs'!$B$29+'Inputs'!$B$31+'Inputs'!$B$32,'Inputs'!$B$30+'Inputs'!$B$31+'Inputs'!$B$32)/1000+'Inputs'!$B$21+'Inputs'!$B$9+'Inputs'!$B$10))^2+('Inputs'!$B$6/2)^2))))*'Results'!$B$8)+'Inputs'!$B$28*ABS((('Results'!C7*(1+'Inputs'!$B$24)*(0.5*((((986-43)*MAX('Inputs'!$B$33,'Inputs'!$B$29+'Inputs'!$B$31+'Inputs'!$B$32,'Inputs'!$B$30+'Inputs'!$B$31+'Inputs'!$B$32)/1000+'Inputs'!$B$21)+'Inputs'!$B$9)/SQRT((((986-43)*MAX('Inputs'!$B$33,'Inputs'!$B$29+'Inputs'!$B$31+'Inputs'!$B$32,'Inputs'!$B$30+'Inputs'!$B$31+'Inputs'!$B$32)/1000+'Inputs'!$B$21)+'Inputs'!$B$9)^2+('Inputs'!$B$8/2)^2)-(((986-43)*MAX('Inputs'!$B$33,'Inputs'!$B$29+'Inputs'!$B$31+'Inputs'!$B$32,'Inputs'!$B$30+'Inputs'!$B$31+'Inputs'!$B$32)/1000+'Inputs'!$B$21))/SQRT((((986-43)*MAX('Inputs'!$B$33,'Inputs'!$B$29+'Inputs'!$B$31+'Inputs'!$B$32,'Inputs'!$B$30+'Inputs'!$B$31+'Inputs'!$B$32)/1000+'Inputs'!$B$21))^2+('Inputs'!$B$8/2)^2)))-'Results'!B7*(1-'Inputs'!$B$24)*(0.5*((((986-43)*MAX('Inputs'!$B$33,'Inputs'!$B$29+'Inputs'!$B$31+'Inputs'!$B$32,'Inputs'!$B$30+'Inputs'!$B$31+'Inputs'!$B$32)/1000+'Inputs'!$B$21+'Inputs'!$B$9+'Inputs'!$B$10)+'Inputs'!$B$7)/SQRT((((986-43)*MAX('Inputs'!$B$33,'Inputs'!$B$29+'Inputs'!$B$31+'Inputs'!$B$32,'Inputs'!$B$30+'Inputs'!$B$31+'Inputs'!$B$32)/1000+'Inputs'!$B$21+'Inputs'!$B$9+'Inputs'!$B$10)+'Inputs'!$B$7)^2+('Inputs'!$B$6/2)^2)-(((986-43)*MAX('Inputs'!$B$33,'Inputs'!$B$29+'Inputs'!$B$31+'Inputs'!$B$32,'Inputs'!$B$30+'Inputs'!$B$31+'Inputs'!$B$32)/1000+'Inputs'!$B$21+'Inputs'!$B$9+'Inputs'!$B$10))/SQRT((((986-43)*MAX('Inputs'!$B$33,'Inputs'!$B$29+'Inputs'!$B$31+'Inputs'!$B$32,'Inputs'!$B$30+'Inputs'!$B$31+'Inputs'!$B$32)/1000+'Inputs'!$B$21+'Inputs'!$B$9+'Inputs'!$B$10))^2+('Inputs'!$B$6/2)^2))))*'Results'!$B$8))),"")</x:f>
        <x:v>0.46381909456831766</x:v>
      </x:c>
      <x:c r="P986" t="n">
        <x:f>IF(AND(MAX(J986,J985)&gt;0,J986&gt;J985+0.00000001),1,0)</x:f>
        <x:v>0</x:v>
      </x:c>
      <x:c r="Q986" t="n">
        <x:f>IF(AND(MAX(K986,K985)&gt;0,K986&gt;K985+0.00000001),1,0)</x:f>
        <x:v>0</x:v>
      </x:c>
      <x:c r="R986" t="n">
        <x:f>IF(AND(MAX(L986,L985)&gt;0,L986&gt;L985+0.00000001),1,0)</x:f>
        <x:v>0</x:v>
      </x:c>
      <x:c r="S986" t="n">
        <x:f>IF(AND(MAX(M986,M985)&gt;0,M986&gt;M985+0.00000001),1,0)</x:f>
        <x:v>0</x:v>
      </x:c>
      <x:c r="T986" t="n">
        <x:f>IF(AND(MAX(N986,N985)&gt;0,N986&gt;N985+0.00000001),1,0)</x:f>
        <x:v>0</x:v>
      </x:c>
      <x:c r="U986" t="n">
        <x:f>IF(AND(MAX(O986,O985)&gt;0,O986&gt;O985+0.00000001),1,0)</x:f>
        <x:v>0</x:v>
      </x:c>
    </x:row>
    <x:row r="987">
      <x:c r="J987" t="n">
        <x:f>IF(AND(ISNUMBER('Results'!B7),ISNUMBER('Results'!C7),ISNUMBER('Results'!$B$8),ISNUMBER('Inputs'!$B$6),ISNUMBER('Inputs'!$B$7),ISNUMBER('Inputs'!$B$8),ISNUMBER('Inputs'!$B$9),ISNUMBER('Inputs'!$B$10),ISNUMBER('Inputs'!$B$21),ISNUMBER('Inputs'!$B$24),ISNUMBER('Inputs'!$B$28)),(('Results'!B7*(0.5*((((987-43)*MAX('Inputs'!$B$33,'Inputs'!$B$29+'Inputs'!$B$31+'Inputs'!$B$32,'Inputs'!$B$30+'Inputs'!$B$31+'Inputs'!$B$32)/1000+'Inputs'!$B$21)+'Inputs'!$B$7)/SQRT((((987-43)*MAX('Inputs'!$B$33,'Inputs'!$B$29+'Inputs'!$B$31+'Inputs'!$B$32,'Inputs'!$B$30+'Inputs'!$B$31+'Inputs'!$B$32)/1000+'Inputs'!$B$21)+'Inputs'!$B$7)^2+('Inputs'!$B$6/2)^2)-(((987-43)*MAX('Inputs'!$B$33,'Inputs'!$B$29+'Inputs'!$B$31+'Inputs'!$B$32,'Inputs'!$B$30+'Inputs'!$B$31+'Inputs'!$B$32)/1000+'Inputs'!$B$21))/SQRT((((987-43)*MAX('Inputs'!$B$33,'Inputs'!$B$29+'Inputs'!$B$31+'Inputs'!$B$32,'Inputs'!$B$30+'Inputs'!$B$31+'Inputs'!$B$32)/1000+'Inputs'!$B$21))^2+('Inputs'!$B$6/2)^2)))-'Results'!C7*(0.5*((((987-43)*MAX('Inputs'!$B$33,'Inputs'!$B$29+'Inputs'!$B$31+'Inputs'!$B$32,'Inputs'!$B$30+'Inputs'!$B$31+'Inputs'!$B$32)/1000+'Inputs'!$B$21+'Inputs'!$B$7+'Inputs'!$B$10)+'Inputs'!$B$9)/SQRT((((987-43)*MAX('Inputs'!$B$33,'Inputs'!$B$29+'Inputs'!$B$31+'Inputs'!$B$32,'Inputs'!$B$30+'Inputs'!$B$31+'Inputs'!$B$32)/1000+'Inputs'!$B$21+'Inputs'!$B$7+'Inputs'!$B$10)+'Inputs'!$B$9)^2+('Inputs'!$B$8/2)^2)-(((987-43)*MAX('Inputs'!$B$33,'Inputs'!$B$29+'Inputs'!$B$31+'Inputs'!$B$32,'Inputs'!$B$30+'Inputs'!$B$31+'Inputs'!$B$32)/1000+'Inputs'!$B$21+'Inputs'!$B$7+'Inputs'!$B$10))/SQRT((((987-43)*MAX('Inputs'!$B$33,'Inputs'!$B$29+'Inputs'!$B$31+'Inputs'!$B$32,'Inputs'!$B$30+'Inputs'!$B$31+'Inputs'!$B$32)/1000+'Inputs'!$B$21+'Inputs'!$B$7+'Inputs'!$B$10))^2+('Inputs'!$B$8/2)^2))))*'Results'!$B$8),"")</x:f>
        <x:v>0.4406203523107793</x:v>
      </x:c>
      <x:c r="K987" t="n">
        <x:f>IF(AND(ISNUMBER('Results'!B7),ISNUMBER('Results'!C7),ISNUMBER('Results'!$B$8),ISNUMBER('Inputs'!$B$6),ISNUMBER('Inputs'!$B$7),ISNUMBER('Inputs'!$B$8),ISNUMBER('Inputs'!$B$9),ISNUMBER('Inputs'!$B$10),ISNUMBER('Inputs'!$B$21),ISNUMBER('Inputs'!$B$24),ISNUMBER('Inputs'!$B$28)),((('Results'!B7*(1-'Inputs'!$B$24)*(0.5*((((987-43)*MAX('Inputs'!$B$33,'Inputs'!$B$29+'Inputs'!$B$31+'Inputs'!$B$32,'Inputs'!$B$30+'Inputs'!$B$31+'Inputs'!$B$32)/1000+'Inputs'!$B$21)+'Inputs'!$B$7)/SQRT((((987-43)*MAX('Inputs'!$B$33,'Inputs'!$B$29+'Inputs'!$B$31+'Inputs'!$B$32,'Inputs'!$B$30+'Inputs'!$B$31+'Inputs'!$B$32)/1000+'Inputs'!$B$21)+'Inputs'!$B$7)^2+('Inputs'!$B$6/2)^2)-(((987-43)*MAX('Inputs'!$B$33,'Inputs'!$B$29+'Inputs'!$B$31+'Inputs'!$B$32,'Inputs'!$B$30+'Inputs'!$B$31+'Inputs'!$B$32)/1000+'Inputs'!$B$21))/SQRT((((987-43)*MAX('Inputs'!$B$33,'Inputs'!$B$29+'Inputs'!$B$31+'Inputs'!$B$32,'Inputs'!$B$30+'Inputs'!$B$31+'Inputs'!$B$32)/1000+'Inputs'!$B$21))^2+('Inputs'!$B$6/2)^2)))-'Results'!C7*(1+'Inputs'!$B$24)*(0.5*((((987-43)*MAX('Inputs'!$B$33,'Inputs'!$B$29+'Inputs'!$B$31+'Inputs'!$B$32,'Inputs'!$B$30+'Inputs'!$B$31+'Inputs'!$B$32)/1000+'Inputs'!$B$21+'Inputs'!$B$7+'Inputs'!$B$10)+'Inputs'!$B$9)/SQRT((((987-43)*MAX('Inputs'!$B$33,'Inputs'!$B$29+'Inputs'!$B$31+'Inputs'!$B$32,'Inputs'!$B$30+'Inputs'!$B$31+'Inputs'!$B$32)/1000+'Inputs'!$B$21+'Inputs'!$B$7+'Inputs'!$B$10)+'Inputs'!$B$9)^2+('Inputs'!$B$8/2)^2)-(((987-43)*MAX('Inputs'!$B$33,'Inputs'!$B$29+'Inputs'!$B$31+'Inputs'!$B$32,'Inputs'!$B$30+'Inputs'!$B$31+'Inputs'!$B$32)/1000+'Inputs'!$B$21+'Inputs'!$B$7+'Inputs'!$B$10))/SQRT((((987-43)*MAX('Inputs'!$B$33,'Inputs'!$B$29+'Inputs'!$B$31+'Inputs'!$B$32,'Inputs'!$B$30+'Inputs'!$B$31+'Inputs'!$B$32)/1000+'Inputs'!$B$21+'Inputs'!$B$7+'Inputs'!$B$10))^2+('Inputs'!$B$8/2)^2))))*'Results'!$B$8)-'Inputs'!$B$28*ABS((('Results'!B7*(1-'Inputs'!$B$24)*(0.5*((((987-43)*MAX('Inputs'!$B$33,'Inputs'!$B$29+'Inputs'!$B$31+'Inputs'!$B$32,'Inputs'!$B$30+'Inputs'!$B$31+'Inputs'!$B$32)/1000+'Inputs'!$B$21)+'Inputs'!$B$7)/SQRT((((987-43)*MAX('Inputs'!$B$33,'Inputs'!$B$29+'Inputs'!$B$31+'Inputs'!$B$32,'Inputs'!$B$30+'Inputs'!$B$31+'Inputs'!$B$32)/1000+'Inputs'!$B$21)+'Inputs'!$B$7)^2+('Inputs'!$B$6/2)^2)-(((987-43)*MAX('Inputs'!$B$33,'Inputs'!$B$29+'Inputs'!$B$31+'Inputs'!$B$32,'Inputs'!$B$30+'Inputs'!$B$31+'Inputs'!$B$32)/1000+'Inputs'!$B$21))/SQRT((((987-43)*MAX('Inputs'!$B$33,'Inputs'!$B$29+'Inputs'!$B$31+'Inputs'!$B$32,'Inputs'!$B$30+'Inputs'!$B$31+'Inputs'!$B$32)/1000+'Inputs'!$B$21))^2+('Inputs'!$B$6/2)^2)))-'Results'!C7*(1+'Inputs'!$B$24)*(0.5*((((987-43)*MAX('Inputs'!$B$33,'Inputs'!$B$29+'Inputs'!$B$31+'Inputs'!$B$32,'Inputs'!$B$30+'Inputs'!$B$31+'Inputs'!$B$32)/1000+'Inputs'!$B$21+'Inputs'!$B$7+'Inputs'!$B$10)+'Inputs'!$B$9)/SQRT((((987-43)*MAX('Inputs'!$B$33,'Inputs'!$B$29+'Inputs'!$B$31+'Inputs'!$B$32,'Inputs'!$B$30+'Inputs'!$B$31+'Inputs'!$B$32)/1000+'Inputs'!$B$21+'Inputs'!$B$7+'Inputs'!$B$10)+'Inputs'!$B$9)^2+('Inputs'!$B$8/2)^2)-(((987-43)*MAX('Inputs'!$B$33,'Inputs'!$B$29+'Inputs'!$B$31+'Inputs'!$B$32,'Inputs'!$B$30+'Inputs'!$B$31+'Inputs'!$B$32)/1000+'Inputs'!$B$21+'Inputs'!$B$7+'Inputs'!$B$10))/SQRT((((987-43)*MAX('Inputs'!$B$33,'Inputs'!$B$29+'Inputs'!$B$31+'Inputs'!$B$32,'Inputs'!$B$30+'Inputs'!$B$31+'Inputs'!$B$32)/1000+'Inputs'!$B$21+'Inputs'!$B$7+'Inputs'!$B$10))^2+('Inputs'!$B$8/2)^2))))*'Results'!$B$8))),"")</x:f>
        <x:v>0.3710103052164686</x:v>
      </x:c>
      <x:c r="L987" t="n">
        <x:f>IF(AND(ISNUMBER('Results'!B7),ISNUMBER('Results'!C7),ISNUMBER('Results'!$B$8),ISNUMBER('Inputs'!$B$6),ISNUMBER('Inputs'!$B$7),ISNUMBER('Inputs'!$B$8),ISNUMBER('Inputs'!$B$9),ISNUMBER('Inputs'!$B$10),ISNUMBER('Inputs'!$B$21),ISNUMBER('Inputs'!$B$24),ISNUMBER('Inputs'!$B$28)),((('Results'!B7*(1+'Inputs'!$B$24)*(0.5*((((987-43)*MAX('Inputs'!$B$33,'Inputs'!$B$29+'Inputs'!$B$31+'Inputs'!$B$32,'Inputs'!$B$30+'Inputs'!$B$31+'Inputs'!$B$32)/1000+'Inputs'!$B$21)+'Inputs'!$B$7)/SQRT((((987-43)*MAX('Inputs'!$B$33,'Inputs'!$B$29+'Inputs'!$B$31+'Inputs'!$B$32,'Inputs'!$B$30+'Inputs'!$B$31+'Inputs'!$B$32)/1000+'Inputs'!$B$21)+'Inputs'!$B$7)^2+('Inputs'!$B$6/2)^2)-(((987-43)*MAX('Inputs'!$B$33,'Inputs'!$B$29+'Inputs'!$B$31+'Inputs'!$B$32,'Inputs'!$B$30+'Inputs'!$B$31+'Inputs'!$B$32)/1000+'Inputs'!$B$21))/SQRT((((987-43)*MAX('Inputs'!$B$33,'Inputs'!$B$29+'Inputs'!$B$31+'Inputs'!$B$32,'Inputs'!$B$30+'Inputs'!$B$31+'Inputs'!$B$32)/1000+'Inputs'!$B$21))^2+('Inputs'!$B$6/2)^2)))-'Results'!C7*(1-'Inputs'!$B$24)*(0.5*((((987-43)*MAX('Inputs'!$B$33,'Inputs'!$B$29+'Inputs'!$B$31+'Inputs'!$B$32,'Inputs'!$B$30+'Inputs'!$B$31+'Inputs'!$B$32)/1000+'Inputs'!$B$21+'Inputs'!$B$7+'Inputs'!$B$10)+'Inputs'!$B$9)/SQRT((((987-43)*MAX('Inputs'!$B$33,'Inputs'!$B$29+'Inputs'!$B$31+'Inputs'!$B$32,'Inputs'!$B$30+'Inputs'!$B$31+'Inputs'!$B$32)/1000+'Inputs'!$B$21+'Inputs'!$B$7+'Inputs'!$B$10)+'Inputs'!$B$9)^2+('Inputs'!$B$8/2)^2)-(((987-43)*MAX('Inputs'!$B$33,'Inputs'!$B$29+'Inputs'!$B$31+'Inputs'!$B$32,'Inputs'!$B$30+'Inputs'!$B$31+'Inputs'!$B$32)/1000+'Inputs'!$B$21+'Inputs'!$B$7+'Inputs'!$B$10))/SQRT((((987-43)*MAX('Inputs'!$B$33,'Inputs'!$B$29+'Inputs'!$B$31+'Inputs'!$B$32,'Inputs'!$B$30+'Inputs'!$B$31+'Inputs'!$B$32)/1000+'Inputs'!$B$21+'Inputs'!$B$7+'Inputs'!$B$10))^2+('Inputs'!$B$8/2)^2))))*'Results'!$B$8)+'Inputs'!$B$28*ABS((('Results'!B7*(1+'Inputs'!$B$24)*(0.5*((((987-43)*MAX('Inputs'!$B$33,'Inputs'!$B$29+'Inputs'!$B$31+'Inputs'!$B$32,'Inputs'!$B$30+'Inputs'!$B$31+'Inputs'!$B$32)/1000+'Inputs'!$B$21)+'Inputs'!$B$7)/SQRT((((987-43)*MAX('Inputs'!$B$33,'Inputs'!$B$29+'Inputs'!$B$31+'Inputs'!$B$32,'Inputs'!$B$30+'Inputs'!$B$31+'Inputs'!$B$32)/1000+'Inputs'!$B$21)+'Inputs'!$B$7)^2+('Inputs'!$B$6/2)^2)-(((987-43)*MAX('Inputs'!$B$33,'Inputs'!$B$29+'Inputs'!$B$31+'Inputs'!$B$32,'Inputs'!$B$30+'Inputs'!$B$31+'Inputs'!$B$32)/1000+'Inputs'!$B$21))/SQRT((((987-43)*MAX('Inputs'!$B$33,'Inputs'!$B$29+'Inputs'!$B$31+'Inputs'!$B$32,'Inputs'!$B$30+'Inputs'!$B$31+'Inputs'!$B$32)/1000+'Inputs'!$B$21))^2+('Inputs'!$B$6/2)^2)))-'Results'!C7*(1-'Inputs'!$B$24)*(0.5*((((987-43)*MAX('Inputs'!$B$33,'Inputs'!$B$29+'Inputs'!$B$31+'Inputs'!$B$32,'Inputs'!$B$30+'Inputs'!$B$31+'Inputs'!$B$32)/1000+'Inputs'!$B$21+'Inputs'!$B$7+'Inputs'!$B$10)+'Inputs'!$B$9)/SQRT((((987-43)*MAX('Inputs'!$B$33,'Inputs'!$B$29+'Inputs'!$B$31+'Inputs'!$B$32,'Inputs'!$B$30+'Inputs'!$B$31+'Inputs'!$B$32)/1000+'Inputs'!$B$21+'Inputs'!$B$7+'Inputs'!$B$10)+'Inputs'!$B$9)^2+('Inputs'!$B$8/2)^2)-(((987-43)*MAX('Inputs'!$B$33,'Inputs'!$B$29+'Inputs'!$B$31+'Inputs'!$B$32,'Inputs'!$B$30+'Inputs'!$B$31+'Inputs'!$B$32)/1000+'Inputs'!$B$21+'Inputs'!$B$7+'Inputs'!$B$10))/SQRT((((987-43)*MAX('Inputs'!$B$33,'Inputs'!$B$29+'Inputs'!$B$31+'Inputs'!$B$32,'Inputs'!$B$30+'Inputs'!$B$31+'Inputs'!$B$32)/1000+'Inputs'!$B$21+'Inputs'!$B$7+'Inputs'!$B$10))^2+('Inputs'!$B$8/2)^2))))*'Results'!$B$8))),"")</x:f>
        <x:v>0.515238718297592</x:v>
      </x:c>
      <x:c r="M987" t="n">
        <x:f>IF(AND(ISNUMBER('Results'!C7),ISNUMBER('Results'!B7),ISNUMBER('Results'!$B$8),ISNUMBER('Inputs'!$B$6),ISNUMBER('Inputs'!$B$7),ISNUMBER('Inputs'!$B$8),ISNUMBER('Inputs'!$B$9),ISNUMBER('Inputs'!$B$10),ISNUMBER('Inputs'!$B$21),ISNUMBER('Inputs'!$B$24),ISNUMBER('Inputs'!$B$28)),(('Results'!C7*(0.5*((((987-43)*MAX('Inputs'!$B$33,'Inputs'!$B$29+'Inputs'!$B$31+'Inputs'!$B$32,'Inputs'!$B$30+'Inputs'!$B$31+'Inputs'!$B$32)/1000+'Inputs'!$B$21)+'Inputs'!$B$9)/SQRT((((987-43)*MAX('Inputs'!$B$33,'Inputs'!$B$29+'Inputs'!$B$31+'Inputs'!$B$32,'Inputs'!$B$30+'Inputs'!$B$31+'Inputs'!$B$32)/1000+'Inputs'!$B$21)+'Inputs'!$B$9)^2+('Inputs'!$B$8/2)^2)-(((987-43)*MAX('Inputs'!$B$33,'Inputs'!$B$29+'Inputs'!$B$31+'Inputs'!$B$32,'Inputs'!$B$30+'Inputs'!$B$31+'Inputs'!$B$32)/1000+'Inputs'!$B$21))/SQRT((((987-43)*MAX('Inputs'!$B$33,'Inputs'!$B$29+'Inputs'!$B$31+'Inputs'!$B$32,'Inputs'!$B$30+'Inputs'!$B$31+'Inputs'!$B$32)/1000+'Inputs'!$B$21))^2+('Inputs'!$B$8/2)^2)))-'Results'!B7*(0.5*((((987-43)*MAX('Inputs'!$B$33,'Inputs'!$B$29+'Inputs'!$B$31+'Inputs'!$B$32,'Inputs'!$B$30+'Inputs'!$B$31+'Inputs'!$B$32)/1000+'Inputs'!$B$21+'Inputs'!$B$9+'Inputs'!$B$10)+'Inputs'!$B$7)/SQRT((((987-43)*MAX('Inputs'!$B$33,'Inputs'!$B$29+'Inputs'!$B$31+'Inputs'!$B$32,'Inputs'!$B$30+'Inputs'!$B$31+'Inputs'!$B$32)/1000+'Inputs'!$B$21+'Inputs'!$B$9+'Inputs'!$B$10)+'Inputs'!$B$7)^2+('Inputs'!$B$6/2)^2)-(((987-43)*MAX('Inputs'!$B$33,'Inputs'!$B$29+'Inputs'!$B$31+'Inputs'!$B$32,'Inputs'!$B$30+'Inputs'!$B$31+'Inputs'!$B$32)/1000+'Inputs'!$B$21+'Inputs'!$B$9+'Inputs'!$B$10))/SQRT((((987-43)*MAX('Inputs'!$B$33,'Inputs'!$B$29+'Inputs'!$B$31+'Inputs'!$B$32,'Inputs'!$B$30+'Inputs'!$B$31+'Inputs'!$B$32)/1000+'Inputs'!$B$21+'Inputs'!$B$9+'Inputs'!$B$10))^2+('Inputs'!$B$6/2)^2))))*'Results'!$B$8),"")</x:f>
        <x:v>0.3901160329584217</x:v>
      </x:c>
      <x:c r="N987" t="n">
        <x:f>IF(AND(ISNUMBER('Results'!C7),ISNUMBER('Results'!B7),ISNUMBER('Results'!$B$8),ISNUMBER('Inputs'!$B$6),ISNUMBER('Inputs'!$B$7),ISNUMBER('Inputs'!$B$8),ISNUMBER('Inputs'!$B$9),ISNUMBER('Inputs'!$B$10),ISNUMBER('Inputs'!$B$21),ISNUMBER('Inputs'!$B$24),ISNUMBER('Inputs'!$B$28)),((('Results'!C7*(1-'Inputs'!$B$24)*(0.5*((((987-43)*MAX('Inputs'!$B$33,'Inputs'!$B$29+'Inputs'!$B$31+'Inputs'!$B$32,'Inputs'!$B$30+'Inputs'!$B$31+'Inputs'!$B$32)/1000+'Inputs'!$B$21)+'Inputs'!$B$9)/SQRT((((987-43)*MAX('Inputs'!$B$33,'Inputs'!$B$29+'Inputs'!$B$31+'Inputs'!$B$32,'Inputs'!$B$30+'Inputs'!$B$31+'Inputs'!$B$32)/1000+'Inputs'!$B$21)+'Inputs'!$B$9)^2+('Inputs'!$B$8/2)^2)-(((987-43)*MAX('Inputs'!$B$33,'Inputs'!$B$29+'Inputs'!$B$31+'Inputs'!$B$32,'Inputs'!$B$30+'Inputs'!$B$31+'Inputs'!$B$32)/1000+'Inputs'!$B$21))/SQRT((((987-43)*MAX('Inputs'!$B$33,'Inputs'!$B$29+'Inputs'!$B$31+'Inputs'!$B$32,'Inputs'!$B$30+'Inputs'!$B$31+'Inputs'!$B$32)/1000+'Inputs'!$B$21))^2+('Inputs'!$B$8/2)^2)))-'Results'!B7*(1+'Inputs'!$B$24)*(0.5*((((987-43)*MAX('Inputs'!$B$33,'Inputs'!$B$29+'Inputs'!$B$31+'Inputs'!$B$32,'Inputs'!$B$30+'Inputs'!$B$31+'Inputs'!$B$32)/1000+'Inputs'!$B$21+'Inputs'!$B$9+'Inputs'!$B$10)+'Inputs'!$B$7)/SQRT((((987-43)*MAX('Inputs'!$B$33,'Inputs'!$B$29+'Inputs'!$B$31+'Inputs'!$B$32,'Inputs'!$B$30+'Inputs'!$B$31+'Inputs'!$B$32)/1000+'Inputs'!$B$21+'Inputs'!$B$9+'Inputs'!$B$10)+'Inputs'!$B$7)^2+('Inputs'!$B$6/2)^2)-(((987-43)*MAX('Inputs'!$B$33,'Inputs'!$B$29+'Inputs'!$B$31+'Inputs'!$B$32,'Inputs'!$B$30+'Inputs'!$B$31+'Inputs'!$B$32)/1000+'Inputs'!$B$21+'Inputs'!$B$9+'Inputs'!$B$10))/SQRT((((987-43)*MAX('Inputs'!$B$33,'Inputs'!$B$29+'Inputs'!$B$31+'Inputs'!$B$32,'Inputs'!$B$30+'Inputs'!$B$31+'Inputs'!$B$32)/1000+'Inputs'!$B$21+'Inputs'!$B$9+'Inputs'!$B$10))^2+('Inputs'!$B$6/2)^2))))*'Results'!$B$8)-'Inputs'!$B$28*ABS((('Results'!C7*(1-'Inputs'!$B$24)*(0.5*((((987-43)*MAX('Inputs'!$B$33,'Inputs'!$B$29+'Inputs'!$B$31+'Inputs'!$B$32,'Inputs'!$B$30+'Inputs'!$B$31+'Inputs'!$B$32)/1000+'Inputs'!$B$21)+'Inputs'!$B$9)/SQRT((((987-43)*MAX('Inputs'!$B$33,'Inputs'!$B$29+'Inputs'!$B$31+'Inputs'!$B$32,'Inputs'!$B$30+'Inputs'!$B$31+'Inputs'!$B$32)/1000+'Inputs'!$B$21)+'Inputs'!$B$9)^2+('Inputs'!$B$8/2)^2)-(((987-43)*MAX('Inputs'!$B$33,'Inputs'!$B$29+'Inputs'!$B$31+'Inputs'!$B$32,'Inputs'!$B$30+'Inputs'!$B$31+'Inputs'!$B$32)/1000+'Inputs'!$B$21))/SQRT((((987-43)*MAX('Inputs'!$B$33,'Inputs'!$B$29+'Inputs'!$B$31+'Inputs'!$B$32,'Inputs'!$B$30+'Inputs'!$B$31+'Inputs'!$B$32)/1000+'Inputs'!$B$21))^2+('Inputs'!$B$8/2)^2)))-'Results'!B7*(1+'Inputs'!$B$24)*(0.5*((((987-43)*MAX('Inputs'!$B$33,'Inputs'!$B$29+'Inputs'!$B$31+'Inputs'!$B$32,'Inputs'!$B$30+'Inputs'!$B$31+'Inputs'!$B$32)/1000+'Inputs'!$B$21+'Inputs'!$B$9+'Inputs'!$B$10)+'Inputs'!$B$7)/SQRT((((987-43)*MAX('Inputs'!$B$33,'Inputs'!$B$29+'Inputs'!$B$31+'Inputs'!$B$32,'Inputs'!$B$30+'Inputs'!$B$31+'Inputs'!$B$32)/1000+'Inputs'!$B$21+'Inputs'!$B$9+'Inputs'!$B$10)+'Inputs'!$B$7)^2+('Inputs'!$B$6/2)^2)-(((987-43)*MAX('Inputs'!$B$33,'Inputs'!$B$29+'Inputs'!$B$31+'Inputs'!$B$32,'Inputs'!$B$30+'Inputs'!$B$31+'Inputs'!$B$32)/1000+'Inputs'!$B$21+'Inputs'!$B$9+'Inputs'!$B$10))/SQRT((((987-43)*MAX('Inputs'!$B$33,'Inputs'!$B$29+'Inputs'!$B$31+'Inputs'!$B$32,'Inputs'!$B$30+'Inputs'!$B$31+'Inputs'!$B$32)/1000+'Inputs'!$B$21+'Inputs'!$B$9+'Inputs'!$B$10))^2+('Inputs'!$B$6/2)^2))))*'Results'!$B$8))),"")</x:f>
        <x:v>0.32319063608748794</x:v>
      </x:c>
      <x:c r="O987" t="n">
        <x:f>IF(AND(ISNUMBER('Results'!C7),ISNUMBER('Results'!B7),ISNUMBER('Results'!$B$8),ISNUMBER('Inputs'!$B$6),ISNUMBER('Inputs'!$B$7),ISNUMBER('Inputs'!$B$8),ISNUMBER('Inputs'!$B$9),ISNUMBER('Inputs'!$B$10),ISNUMBER('Inputs'!$B$21),ISNUMBER('Inputs'!$B$24),ISNUMBER('Inputs'!$B$28)),((('Results'!C7*(1+'Inputs'!$B$24)*(0.5*((((987-43)*MAX('Inputs'!$B$33,'Inputs'!$B$29+'Inputs'!$B$31+'Inputs'!$B$32,'Inputs'!$B$30+'Inputs'!$B$31+'Inputs'!$B$32)/1000+'Inputs'!$B$21)+'Inputs'!$B$9)/SQRT((((987-43)*MAX('Inputs'!$B$33,'Inputs'!$B$29+'Inputs'!$B$31+'Inputs'!$B$32,'Inputs'!$B$30+'Inputs'!$B$31+'Inputs'!$B$32)/1000+'Inputs'!$B$21)+'Inputs'!$B$9)^2+('Inputs'!$B$8/2)^2)-(((987-43)*MAX('Inputs'!$B$33,'Inputs'!$B$29+'Inputs'!$B$31+'Inputs'!$B$32,'Inputs'!$B$30+'Inputs'!$B$31+'Inputs'!$B$32)/1000+'Inputs'!$B$21))/SQRT((((987-43)*MAX('Inputs'!$B$33,'Inputs'!$B$29+'Inputs'!$B$31+'Inputs'!$B$32,'Inputs'!$B$30+'Inputs'!$B$31+'Inputs'!$B$32)/1000+'Inputs'!$B$21))^2+('Inputs'!$B$8/2)^2)))-'Results'!B7*(1-'Inputs'!$B$24)*(0.5*((((987-43)*MAX('Inputs'!$B$33,'Inputs'!$B$29+'Inputs'!$B$31+'Inputs'!$B$32,'Inputs'!$B$30+'Inputs'!$B$31+'Inputs'!$B$32)/1000+'Inputs'!$B$21+'Inputs'!$B$9+'Inputs'!$B$10)+'Inputs'!$B$7)/SQRT((((987-43)*MAX('Inputs'!$B$33,'Inputs'!$B$29+'Inputs'!$B$31+'Inputs'!$B$32,'Inputs'!$B$30+'Inputs'!$B$31+'Inputs'!$B$32)/1000+'Inputs'!$B$21+'Inputs'!$B$9+'Inputs'!$B$10)+'Inputs'!$B$7)^2+('Inputs'!$B$6/2)^2)-(((987-43)*MAX('Inputs'!$B$33,'Inputs'!$B$29+'Inputs'!$B$31+'Inputs'!$B$32,'Inputs'!$B$30+'Inputs'!$B$31+'Inputs'!$B$32)/1000+'Inputs'!$B$21+'Inputs'!$B$9+'Inputs'!$B$10))/SQRT((((987-43)*MAX('Inputs'!$B$33,'Inputs'!$B$29+'Inputs'!$B$31+'Inputs'!$B$32,'Inputs'!$B$30+'Inputs'!$B$31+'Inputs'!$B$32)/1000+'Inputs'!$B$21+'Inputs'!$B$9+'Inputs'!$B$10))^2+('Inputs'!$B$6/2)^2))))*'Results'!$B$8)+'Inputs'!$B$28*ABS((('Results'!C7*(1+'Inputs'!$B$24)*(0.5*((((987-43)*MAX('Inputs'!$B$33,'Inputs'!$B$29+'Inputs'!$B$31+'Inputs'!$B$32,'Inputs'!$B$30+'Inputs'!$B$31+'Inputs'!$B$32)/1000+'Inputs'!$B$21)+'Inputs'!$B$9)/SQRT((((987-43)*MAX('Inputs'!$B$33,'Inputs'!$B$29+'Inputs'!$B$31+'Inputs'!$B$32,'Inputs'!$B$30+'Inputs'!$B$31+'Inputs'!$B$32)/1000+'Inputs'!$B$21)+'Inputs'!$B$9)^2+('Inputs'!$B$8/2)^2)-(((987-43)*MAX('Inputs'!$B$33,'Inputs'!$B$29+'Inputs'!$B$31+'Inputs'!$B$32,'Inputs'!$B$30+'Inputs'!$B$31+'Inputs'!$B$32)/1000+'Inputs'!$B$21))/SQRT((((987-43)*MAX('Inputs'!$B$33,'Inputs'!$B$29+'Inputs'!$B$31+'Inputs'!$B$32,'Inputs'!$B$30+'Inputs'!$B$31+'Inputs'!$B$32)/1000+'Inputs'!$B$21))^2+('Inputs'!$B$8/2)^2)))-'Results'!B7*(1-'Inputs'!$B$24)*(0.5*((((987-43)*MAX('Inputs'!$B$33,'Inputs'!$B$29+'Inputs'!$B$31+'Inputs'!$B$32,'Inputs'!$B$30+'Inputs'!$B$31+'Inputs'!$B$32)/1000+'Inputs'!$B$21+'Inputs'!$B$9+'Inputs'!$B$10)+'Inputs'!$B$7)/SQRT((((987-43)*MAX('Inputs'!$B$33,'Inputs'!$B$29+'Inputs'!$B$31+'Inputs'!$B$32,'Inputs'!$B$30+'Inputs'!$B$31+'Inputs'!$B$32)/1000+'Inputs'!$B$21+'Inputs'!$B$9+'Inputs'!$B$10)+'Inputs'!$B$7)^2+('Inputs'!$B$6/2)^2)-(((987-43)*MAX('Inputs'!$B$33,'Inputs'!$B$29+'Inputs'!$B$31+'Inputs'!$B$32,'Inputs'!$B$30+'Inputs'!$B$31+'Inputs'!$B$32)/1000+'Inputs'!$B$21+'Inputs'!$B$9+'Inputs'!$B$10))/SQRT((((987-43)*MAX('Inputs'!$B$33,'Inputs'!$B$29+'Inputs'!$B$31+'Inputs'!$B$32,'Inputs'!$B$30+'Inputs'!$B$31+'Inputs'!$B$32)/1000+'Inputs'!$B$21+'Inputs'!$B$9+'Inputs'!$B$10))^2+('Inputs'!$B$6/2)^2))))*'Results'!$B$8))),"")</x:f>
        <x:v>0.4620329661686204</x:v>
      </x:c>
      <x:c r="P987" t="n">
        <x:f>IF(AND(MAX(J987,J986)&gt;0,J987&gt;J986+0.00000001),1,0)</x:f>
        <x:v>0</x:v>
      </x:c>
      <x:c r="Q987" t="n">
        <x:f>IF(AND(MAX(K987,K986)&gt;0,K987&gt;K986+0.00000001),1,0)</x:f>
        <x:v>0</x:v>
      </x:c>
      <x:c r="R987" t="n">
        <x:f>IF(AND(MAX(L987,L986)&gt;0,L987&gt;L986+0.00000001),1,0)</x:f>
        <x:v>0</x:v>
      </x:c>
      <x:c r="S987" t="n">
        <x:f>IF(AND(MAX(M987,M986)&gt;0,M987&gt;M986+0.00000001),1,0)</x:f>
        <x:v>0</x:v>
      </x:c>
      <x:c r="T987" t="n">
        <x:f>IF(AND(MAX(N987,N986)&gt;0,N987&gt;N986+0.00000001),1,0)</x:f>
        <x:v>0</x:v>
      </x:c>
      <x:c r="U987" t="n">
        <x:f>IF(AND(MAX(O987,O986)&gt;0,O987&gt;O986+0.00000001),1,0)</x:f>
        <x:v>0</x:v>
      </x:c>
    </x:row>
    <x:row r="988">
      <x:c r="J988" t="n">
        <x:f>IF(AND(ISNUMBER('Results'!B7),ISNUMBER('Results'!C7),ISNUMBER('Results'!$B$8),ISNUMBER('Inputs'!$B$6),ISNUMBER('Inputs'!$B$7),ISNUMBER('Inputs'!$B$8),ISNUMBER('Inputs'!$B$9),ISNUMBER('Inputs'!$B$10),ISNUMBER('Inputs'!$B$21),ISNUMBER('Inputs'!$B$24),ISNUMBER('Inputs'!$B$28)),(('Results'!B7*(0.5*((((988-43)*MAX('Inputs'!$B$33,'Inputs'!$B$29+'Inputs'!$B$31+'Inputs'!$B$32,'Inputs'!$B$30+'Inputs'!$B$31+'Inputs'!$B$32)/1000+'Inputs'!$B$21)+'Inputs'!$B$7)/SQRT((((988-43)*MAX('Inputs'!$B$33,'Inputs'!$B$29+'Inputs'!$B$31+'Inputs'!$B$32,'Inputs'!$B$30+'Inputs'!$B$31+'Inputs'!$B$32)/1000+'Inputs'!$B$21)+'Inputs'!$B$7)^2+('Inputs'!$B$6/2)^2)-(((988-43)*MAX('Inputs'!$B$33,'Inputs'!$B$29+'Inputs'!$B$31+'Inputs'!$B$32,'Inputs'!$B$30+'Inputs'!$B$31+'Inputs'!$B$32)/1000+'Inputs'!$B$21))/SQRT((((988-43)*MAX('Inputs'!$B$33,'Inputs'!$B$29+'Inputs'!$B$31+'Inputs'!$B$32,'Inputs'!$B$30+'Inputs'!$B$31+'Inputs'!$B$32)/1000+'Inputs'!$B$21))^2+('Inputs'!$B$6/2)^2)))-'Results'!C7*(0.5*((((988-43)*MAX('Inputs'!$B$33,'Inputs'!$B$29+'Inputs'!$B$31+'Inputs'!$B$32,'Inputs'!$B$30+'Inputs'!$B$31+'Inputs'!$B$32)/1000+'Inputs'!$B$21+'Inputs'!$B$7+'Inputs'!$B$10)+'Inputs'!$B$9)/SQRT((((988-43)*MAX('Inputs'!$B$33,'Inputs'!$B$29+'Inputs'!$B$31+'Inputs'!$B$32,'Inputs'!$B$30+'Inputs'!$B$31+'Inputs'!$B$32)/1000+'Inputs'!$B$21+'Inputs'!$B$7+'Inputs'!$B$10)+'Inputs'!$B$9)^2+('Inputs'!$B$8/2)^2)-(((988-43)*MAX('Inputs'!$B$33,'Inputs'!$B$29+'Inputs'!$B$31+'Inputs'!$B$32,'Inputs'!$B$30+'Inputs'!$B$31+'Inputs'!$B$32)/1000+'Inputs'!$B$21+'Inputs'!$B$7+'Inputs'!$B$10))/SQRT((((988-43)*MAX('Inputs'!$B$33,'Inputs'!$B$29+'Inputs'!$B$31+'Inputs'!$B$32,'Inputs'!$B$30+'Inputs'!$B$31+'Inputs'!$B$32)/1000+'Inputs'!$B$21+'Inputs'!$B$7+'Inputs'!$B$10))^2+('Inputs'!$B$8/2)^2))))*'Results'!$B$8),"")</x:f>
        <x:v>0.4389256815958506</x:v>
      </x:c>
      <x:c r="K988" t="n">
        <x:f>IF(AND(ISNUMBER('Results'!B7),ISNUMBER('Results'!C7),ISNUMBER('Results'!$B$8),ISNUMBER('Inputs'!$B$6),ISNUMBER('Inputs'!$B$7),ISNUMBER('Inputs'!$B$8),ISNUMBER('Inputs'!$B$9),ISNUMBER('Inputs'!$B$10),ISNUMBER('Inputs'!$B$21),ISNUMBER('Inputs'!$B$24),ISNUMBER('Inputs'!$B$28)),((('Results'!B7*(1-'Inputs'!$B$24)*(0.5*((((988-43)*MAX('Inputs'!$B$33,'Inputs'!$B$29+'Inputs'!$B$31+'Inputs'!$B$32,'Inputs'!$B$30+'Inputs'!$B$31+'Inputs'!$B$32)/1000+'Inputs'!$B$21)+'Inputs'!$B$7)/SQRT((((988-43)*MAX('Inputs'!$B$33,'Inputs'!$B$29+'Inputs'!$B$31+'Inputs'!$B$32,'Inputs'!$B$30+'Inputs'!$B$31+'Inputs'!$B$32)/1000+'Inputs'!$B$21)+'Inputs'!$B$7)^2+('Inputs'!$B$6/2)^2)-(((988-43)*MAX('Inputs'!$B$33,'Inputs'!$B$29+'Inputs'!$B$31+'Inputs'!$B$32,'Inputs'!$B$30+'Inputs'!$B$31+'Inputs'!$B$32)/1000+'Inputs'!$B$21))/SQRT((((988-43)*MAX('Inputs'!$B$33,'Inputs'!$B$29+'Inputs'!$B$31+'Inputs'!$B$32,'Inputs'!$B$30+'Inputs'!$B$31+'Inputs'!$B$32)/1000+'Inputs'!$B$21))^2+('Inputs'!$B$6/2)^2)))-'Results'!C7*(1+'Inputs'!$B$24)*(0.5*((((988-43)*MAX('Inputs'!$B$33,'Inputs'!$B$29+'Inputs'!$B$31+'Inputs'!$B$32,'Inputs'!$B$30+'Inputs'!$B$31+'Inputs'!$B$32)/1000+'Inputs'!$B$21+'Inputs'!$B$7+'Inputs'!$B$10)+'Inputs'!$B$9)/SQRT((((988-43)*MAX('Inputs'!$B$33,'Inputs'!$B$29+'Inputs'!$B$31+'Inputs'!$B$32,'Inputs'!$B$30+'Inputs'!$B$31+'Inputs'!$B$32)/1000+'Inputs'!$B$21+'Inputs'!$B$7+'Inputs'!$B$10)+'Inputs'!$B$9)^2+('Inputs'!$B$8/2)^2)-(((988-43)*MAX('Inputs'!$B$33,'Inputs'!$B$29+'Inputs'!$B$31+'Inputs'!$B$32,'Inputs'!$B$30+'Inputs'!$B$31+'Inputs'!$B$32)/1000+'Inputs'!$B$21+'Inputs'!$B$7+'Inputs'!$B$10))/SQRT((((988-43)*MAX('Inputs'!$B$33,'Inputs'!$B$29+'Inputs'!$B$31+'Inputs'!$B$32,'Inputs'!$B$30+'Inputs'!$B$31+'Inputs'!$B$32)/1000+'Inputs'!$B$21+'Inputs'!$B$7+'Inputs'!$B$10))^2+('Inputs'!$B$8/2)^2))))*'Results'!$B$8)-'Inputs'!$B$28*ABS((('Results'!B7*(1-'Inputs'!$B$24)*(0.5*((((988-43)*MAX('Inputs'!$B$33,'Inputs'!$B$29+'Inputs'!$B$31+'Inputs'!$B$32,'Inputs'!$B$30+'Inputs'!$B$31+'Inputs'!$B$32)/1000+'Inputs'!$B$21)+'Inputs'!$B$7)/SQRT((((988-43)*MAX('Inputs'!$B$33,'Inputs'!$B$29+'Inputs'!$B$31+'Inputs'!$B$32,'Inputs'!$B$30+'Inputs'!$B$31+'Inputs'!$B$32)/1000+'Inputs'!$B$21)+'Inputs'!$B$7)^2+('Inputs'!$B$6/2)^2)-(((988-43)*MAX('Inputs'!$B$33,'Inputs'!$B$29+'Inputs'!$B$31+'Inputs'!$B$32,'Inputs'!$B$30+'Inputs'!$B$31+'Inputs'!$B$32)/1000+'Inputs'!$B$21))/SQRT((((988-43)*MAX('Inputs'!$B$33,'Inputs'!$B$29+'Inputs'!$B$31+'Inputs'!$B$32,'Inputs'!$B$30+'Inputs'!$B$31+'Inputs'!$B$32)/1000+'Inputs'!$B$21))^2+('Inputs'!$B$6/2)^2)))-'Results'!C7*(1+'Inputs'!$B$24)*(0.5*((((988-43)*MAX('Inputs'!$B$33,'Inputs'!$B$29+'Inputs'!$B$31+'Inputs'!$B$32,'Inputs'!$B$30+'Inputs'!$B$31+'Inputs'!$B$32)/1000+'Inputs'!$B$21+'Inputs'!$B$7+'Inputs'!$B$10)+'Inputs'!$B$9)/SQRT((((988-43)*MAX('Inputs'!$B$33,'Inputs'!$B$29+'Inputs'!$B$31+'Inputs'!$B$32,'Inputs'!$B$30+'Inputs'!$B$31+'Inputs'!$B$32)/1000+'Inputs'!$B$21+'Inputs'!$B$7+'Inputs'!$B$10)+'Inputs'!$B$9)^2+('Inputs'!$B$8/2)^2)-(((988-43)*MAX('Inputs'!$B$33,'Inputs'!$B$29+'Inputs'!$B$31+'Inputs'!$B$32,'Inputs'!$B$30+'Inputs'!$B$31+'Inputs'!$B$32)/1000+'Inputs'!$B$21+'Inputs'!$B$7+'Inputs'!$B$10))/SQRT((((988-43)*MAX('Inputs'!$B$33,'Inputs'!$B$29+'Inputs'!$B$31+'Inputs'!$B$32,'Inputs'!$B$30+'Inputs'!$B$31+'Inputs'!$B$32)/1000+'Inputs'!$B$21+'Inputs'!$B$7+'Inputs'!$B$10))^2+('Inputs'!$B$8/2)^2))))*'Results'!$B$8))),"")</x:f>
        <x:v>0.3695408849706755</x:v>
      </x:c>
      <x:c r="L988" t="n">
        <x:f>IF(AND(ISNUMBER('Results'!B7),ISNUMBER('Results'!C7),ISNUMBER('Results'!$B$8),ISNUMBER('Inputs'!$B$6),ISNUMBER('Inputs'!$B$7),ISNUMBER('Inputs'!$B$8),ISNUMBER('Inputs'!$B$9),ISNUMBER('Inputs'!$B$10),ISNUMBER('Inputs'!$B$21),ISNUMBER('Inputs'!$B$24),ISNUMBER('Inputs'!$B$28)),((('Results'!B7*(1+'Inputs'!$B$24)*(0.5*((((988-43)*MAX('Inputs'!$B$33,'Inputs'!$B$29+'Inputs'!$B$31+'Inputs'!$B$32,'Inputs'!$B$30+'Inputs'!$B$31+'Inputs'!$B$32)/1000+'Inputs'!$B$21)+'Inputs'!$B$7)/SQRT((((988-43)*MAX('Inputs'!$B$33,'Inputs'!$B$29+'Inputs'!$B$31+'Inputs'!$B$32,'Inputs'!$B$30+'Inputs'!$B$31+'Inputs'!$B$32)/1000+'Inputs'!$B$21)+'Inputs'!$B$7)^2+('Inputs'!$B$6/2)^2)-(((988-43)*MAX('Inputs'!$B$33,'Inputs'!$B$29+'Inputs'!$B$31+'Inputs'!$B$32,'Inputs'!$B$30+'Inputs'!$B$31+'Inputs'!$B$32)/1000+'Inputs'!$B$21))/SQRT((((988-43)*MAX('Inputs'!$B$33,'Inputs'!$B$29+'Inputs'!$B$31+'Inputs'!$B$32,'Inputs'!$B$30+'Inputs'!$B$31+'Inputs'!$B$32)/1000+'Inputs'!$B$21))^2+('Inputs'!$B$6/2)^2)))-'Results'!C7*(1-'Inputs'!$B$24)*(0.5*((((988-43)*MAX('Inputs'!$B$33,'Inputs'!$B$29+'Inputs'!$B$31+'Inputs'!$B$32,'Inputs'!$B$30+'Inputs'!$B$31+'Inputs'!$B$32)/1000+'Inputs'!$B$21+'Inputs'!$B$7+'Inputs'!$B$10)+'Inputs'!$B$9)/SQRT((((988-43)*MAX('Inputs'!$B$33,'Inputs'!$B$29+'Inputs'!$B$31+'Inputs'!$B$32,'Inputs'!$B$30+'Inputs'!$B$31+'Inputs'!$B$32)/1000+'Inputs'!$B$21+'Inputs'!$B$7+'Inputs'!$B$10)+'Inputs'!$B$9)^2+('Inputs'!$B$8/2)^2)-(((988-43)*MAX('Inputs'!$B$33,'Inputs'!$B$29+'Inputs'!$B$31+'Inputs'!$B$32,'Inputs'!$B$30+'Inputs'!$B$31+'Inputs'!$B$32)/1000+'Inputs'!$B$21+'Inputs'!$B$7+'Inputs'!$B$10))/SQRT((((988-43)*MAX('Inputs'!$B$33,'Inputs'!$B$29+'Inputs'!$B$31+'Inputs'!$B$32,'Inputs'!$B$30+'Inputs'!$B$31+'Inputs'!$B$32)/1000+'Inputs'!$B$21+'Inputs'!$B$7+'Inputs'!$B$10))^2+('Inputs'!$B$8/2)^2))))*'Results'!$B$8)+'Inputs'!$B$28*ABS((('Results'!B7*(1+'Inputs'!$B$24)*(0.5*((((988-43)*MAX('Inputs'!$B$33,'Inputs'!$B$29+'Inputs'!$B$31+'Inputs'!$B$32,'Inputs'!$B$30+'Inputs'!$B$31+'Inputs'!$B$32)/1000+'Inputs'!$B$21)+'Inputs'!$B$7)/SQRT((((988-43)*MAX('Inputs'!$B$33,'Inputs'!$B$29+'Inputs'!$B$31+'Inputs'!$B$32,'Inputs'!$B$30+'Inputs'!$B$31+'Inputs'!$B$32)/1000+'Inputs'!$B$21)+'Inputs'!$B$7)^2+('Inputs'!$B$6/2)^2)-(((988-43)*MAX('Inputs'!$B$33,'Inputs'!$B$29+'Inputs'!$B$31+'Inputs'!$B$32,'Inputs'!$B$30+'Inputs'!$B$31+'Inputs'!$B$32)/1000+'Inputs'!$B$21))/SQRT((((988-43)*MAX('Inputs'!$B$33,'Inputs'!$B$29+'Inputs'!$B$31+'Inputs'!$B$32,'Inputs'!$B$30+'Inputs'!$B$31+'Inputs'!$B$32)/1000+'Inputs'!$B$21))^2+('Inputs'!$B$6/2)^2)))-'Results'!C7*(1-'Inputs'!$B$24)*(0.5*((((988-43)*MAX('Inputs'!$B$33,'Inputs'!$B$29+'Inputs'!$B$31+'Inputs'!$B$32,'Inputs'!$B$30+'Inputs'!$B$31+'Inputs'!$B$32)/1000+'Inputs'!$B$21+'Inputs'!$B$7+'Inputs'!$B$10)+'Inputs'!$B$9)/SQRT((((988-43)*MAX('Inputs'!$B$33,'Inputs'!$B$29+'Inputs'!$B$31+'Inputs'!$B$32,'Inputs'!$B$30+'Inputs'!$B$31+'Inputs'!$B$32)/1000+'Inputs'!$B$21+'Inputs'!$B$7+'Inputs'!$B$10)+'Inputs'!$B$9)^2+('Inputs'!$B$8/2)^2)-(((988-43)*MAX('Inputs'!$B$33,'Inputs'!$B$29+'Inputs'!$B$31+'Inputs'!$B$32,'Inputs'!$B$30+'Inputs'!$B$31+'Inputs'!$B$32)/1000+'Inputs'!$B$21+'Inputs'!$B$7+'Inputs'!$B$10))/SQRT((((988-43)*MAX('Inputs'!$B$33,'Inputs'!$B$29+'Inputs'!$B$31+'Inputs'!$B$32,'Inputs'!$B$30+'Inputs'!$B$31+'Inputs'!$B$32)/1000+'Inputs'!$B$21+'Inputs'!$B$7+'Inputs'!$B$10))^2+('Inputs'!$B$8/2)^2))))*'Results'!$B$8))),"")</x:f>
        <x:v>0.5133040058573818</x:v>
      </x:c>
      <x:c r="M988" t="n">
        <x:f>IF(AND(ISNUMBER('Results'!C7),ISNUMBER('Results'!B7),ISNUMBER('Results'!$B$8),ISNUMBER('Inputs'!$B$6),ISNUMBER('Inputs'!$B$7),ISNUMBER('Inputs'!$B$8),ISNUMBER('Inputs'!$B$9),ISNUMBER('Inputs'!$B$10),ISNUMBER('Inputs'!$B$21),ISNUMBER('Inputs'!$B$24),ISNUMBER('Inputs'!$B$28)),(('Results'!C7*(0.5*((((988-43)*MAX('Inputs'!$B$33,'Inputs'!$B$29+'Inputs'!$B$31+'Inputs'!$B$32,'Inputs'!$B$30+'Inputs'!$B$31+'Inputs'!$B$32)/1000+'Inputs'!$B$21)+'Inputs'!$B$9)/SQRT((((988-43)*MAX('Inputs'!$B$33,'Inputs'!$B$29+'Inputs'!$B$31+'Inputs'!$B$32,'Inputs'!$B$30+'Inputs'!$B$31+'Inputs'!$B$32)/1000+'Inputs'!$B$21)+'Inputs'!$B$9)^2+('Inputs'!$B$8/2)^2)-(((988-43)*MAX('Inputs'!$B$33,'Inputs'!$B$29+'Inputs'!$B$31+'Inputs'!$B$32,'Inputs'!$B$30+'Inputs'!$B$31+'Inputs'!$B$32)/1000+'Inputs'!$B$21))/SQRT((((988-43)*MAX('Inputs'!$B$33,'Inputs'!$B$29+'Inputs'!$B$31+'Inputs'!$B$32,'Inputs'!$B$30+'Inputs'!$B$31+'Inputs'!$B$32)/1000+'Inputs'!$B$21))^2+('Inputs'!$B$8/2)^2)))-'Results'!B7*(0.5*((((988-43)*MAX('Inputs'!$B$33,'Inputs'!$B$29+'Inputs'!$B$31+'Inputs'!$B$32,'Inputs'!$B$30+'Inputs'!$B$31+'Inputs'!$B$32)/1000+'Inputs'!$B$21+'Inputs'!$B$9+'Inputs'!$B$10)+'Inputs'!$B$7)/SQRT((((988-43)*MAX('Inputs'!$B$33,'Inputs'!$B$29+'Inputs'!$B$31+'Inputs'!$B$32,'Inputs'!$B$30+'Inputs'!$B$31+'Inputs'!$B$32)/1000+'Inputs'!$B$21+'Inputs'!$B$9+'Inputs'!$B$10)+'Inputs'!$B$7)^2+('Inputs'!$B$6/2)^2)-(((988-43)*MAX('Inputs'!$B$33,'Inputs'!$B$29+'Inputs'!$B$31+'Inputs'!$B$32,'Inputs'!$B$30+'Inputs'!$B$31+'Inputs'!$B$32)/1000+'Inputs'!$B$21+'Inputs'!$B$9+'Inputs'!$B$10))/SQRT((((988-43)*MAX('Inputs'!$B$33,'Inputs'!$B$29+'Inputs'!$B$31+'Inputs'!$B$32,'Inputs'!$B$30+'Inputs'!$B$31+'Inputs'!$B$32)/1000+'Inputs'!$B$21+'Inputs'!$B$9+'Inputs'!$B$10))^2+('Inputs'!$B$6/2)^2))))*'Results'!$B$8),"")</x:f>
        <x:v>0.38857043826564064</x:v>
      </x:c>
      <x:c r="N988" t="n">
        <x:f>IF(AND(ISNUMBER('Results'!C7),ISNUMBER('Results'!B7),ISNUMBER('Results'!$B$8),ISNUMBER('Inputs'!$B$6),ISNUMBER('Inputs'!$B$7),ISNUMBER('Inputs'!$B$8),ISNUMBER('Inputs'!$B$9),ISNUMBER('Inputs'!$B$10),ISNUMBER('Inputs'!$B$21),ISNUMBER('Inputs'!$B$24),ISNUMBER('Inputs'!$B$28)),((('Results'!C7*(1-'Inputs'!$B$24)*(0.5*((((988-43)*MAX('Inputs'!$B$33,'Inputs'!$B$29+'Inputs'!$B$31+'Inputs'!$B$32,'Inputs'!$B$30+'Inputs'!$B$31+'Inputs'!$B$32)/1000+'Inputs'!$B$21)+'Inputs'!$B$9)/SQRT((((988-43)*MAX('Inputs'!$B$33,'Inputs'!$B$29+'Inputs'!$B$31+'Inputs'!$B$32,'Inputs'!$B$30+'Inputs'!$B$31+'Inputs'!$B$32)/1000+'Inputs'!$B$21)+'Inputs'!$B$9)^2+('Inputs'!$B$8/2)^2)-(((988-43)*MAX('Inputs'!$B$33,'Inputs'!$B$29+'Inputs'!$B$31+'Inputs'!$B$32,'Inputs'!$B$30+'Inputs'!$B$31+'Inputs'!$B$32)/1000+'Inputs'!$B$21))/SQRT((((988-43)*MAX('Inputs'!$B$33,'Inputs'!$B$29+'Inputs'!$B$31+'Inputs'!$B$32,'Inputs'!$B$30+'Inputs'!$B$31+'Inputs'!$B$32)/1000+'Inputs'!$B$21))^2+('Inputs'!$B$8/2)^2)))-'Results'!B7*(1+'Inputs'!$B$24)*(0.5*((((988-43)*MAX('Inputs'!$B$33,'Inputs'!$B$29+'Inputs'!$B$31+'Inputs'!$B$32,'Inputs'!$B$30+'Inputs'!$B$31+'Inputs'!$B$32)/1000+'Inputs'!$B$21+'Inputs'!$B$9+'Inputs'!$B$10)+'Inputs'!$B$7)/SQRT((((988-43)*MAX('Inputs'!$B$33,'Inputs'!$B$29+'Inputs'!$B$31+'Inputs'!$B$32,'Inputs'!$B$30+'Inputs'!$B$31+'Inputs'!$B$32)/1000+'Inputs'!$B$21+'Inputs'!$B$9+'Inputs'!$B$10)+'Inputs'!$B$7)^2+('Inputs'!$B$6/2)^2)-(((988-43)*MAX('Inputs'!$B$33,'Inputs'!$B$29+'Inputs'!$B$31+'Inputs'!$B$32,'Inputs'!$B$30+'Inputs'!$B$31+'Inputs'!$B$32)/1000+'Inputs'!$B$21+'Inputs'!$B$9+'Inputs'!$B$10))/SQRT((((988-43)*MAX('Inputs'!$B$33,'Inputs'!$B$29+'Inputs'!$B$31+'Inputs'!$B$32,'Inputs'!$B$30+'Inputs'!$B$31+'Inputs'!$B$32)/1000+'Inputs'!$B$21+'Inputs'!$B$9+'Inputs'!$B$10))^2+('Inputs'!$B$6/2)^2))))*'Results'!$B$8)-'Inputs'!$B$28*ABS((('Results'!C7*(1-'Inputs'!$B$24)*(0.5*((((988-43)*MAX('Inputs'!$B$33,'Inputs'!$B$29+'Inputs'!$B$31+'Inputs'!$B$32,'Inputs'!$B$30+'Inputs'!$B$31+'Inputs'!$B$32)/1000+'Inputs'!$B$21)+'Inputs'!$B$9)/SQRT((((988-43)*MAX('Inputs'!$B$33,'Inputs'!$B$29+'Inputs'!$B$31+'Inputs'!$B$32,'Inputs'!$B$30+'Inputs'!$B$31+'Inputs'!$B$32)/1000+'Inputs'!$B$21)+'Inputs'!$B$9)^2+('Inputs'!$B$8/2)^2)-(((988-43)*MAX('Inputs'!$B$33,'Inputs'!$B$29+'Inputs'!$B$31+'Inputs'!$B$32,'Inputs'!$B$30+'Inputs'!$B$31+'Inputs'!$B$32)/1000+'Inputs'!$B$21))/SQRT((((988-43)*MAX('Inputs'!$B$33,'Inputs'!$B$29+'Inputs'!$B$31+'Inputs'!$B$32,'Inputs'!$B$30+'Inputs'!$B$31+'Inputs'!$B$32)/1000+'Inputs'!$B$21))^2+('Inputs'!$B$8/2)^2)))-'Results'!B7*(1+'Inputs'!$B$24)*(0.5*((((988-43)*MAX('Inputs'!$B$33,'Inputs'!$B$29+'Inputs'!$B$31+'Inputs'!$B$32,'Inputs'!$B$30+'Inputs'!$B$31+'Inputs'!$B$32)/1000+'Inputs'!$B$21+'Inputs'!$B$9+'Inputs'!$B$10)+'Inputs'!$B$7)/SQRT((((988-43)*MAX('Inputs'!$B$33,'Inputs'!$B$29+'Inputs'!$B$31+'Inputs'!$B$32,'Inputs'!$B$30+'Inputs'!$B$31+'Inputs'!$B$32)/1000+'Inputs'!$B$21+'Inputs'!$B$9+'Inputs'!$B$10)+'Inputs'!$B$7)^2+('Inputs'!$B$6/2)^2)-(((988-43)*MAX('Inputs'!$B$33,'Inputs'!$B$29+'Inputs'!$B$31+'Inputs'!$B$32,'Inputs'!$B$30+'Inputs'!$B$31+'Inputs'!$B$32)/1000+'Inputs'!$B$21+'Inputs'!$B$9+'Inputs'!$B$10))/SQRT((((988-43)*MAX('Inputs'!$B$33,'Inputs'!$B$29+'Inputs'!$B$31+'Inputs'!$B$32,'Inputs'!$B$30+'Inputs'!$B$31+'Inputs'!$B$32)/1000+'Inputs'!$B$21+'Inputs'!$B$9+'Inputs'!$B$10))^2+('Inputs'!$B$6/2)^2))))*'Results'!$B$8))),"")</x:f>
        <x:v>0.32186221619361627</x:v>
      </x:c>
      <x:c r="O988" t="n">
        <x:f>IF(AND(ISNUMBER('Results'!C7),ISNUMBER('Results'!B7),ISNUMBER('Results'!$B$8),ISNUMBER('Inputs'!$B$6),ISNUMBER('Inputs'!$B$7),ISNUMBER('Inputs'!$B$8),ISNUMBER('Inputs'!$B$9),ISNUMBER('Inputs'!$B$10),ISNUMBER('Inputs'!$B$21),ISNUMBER('Inputs'!$B$24),ISNUMBER('Inputs'!$B$28)),((('Results'!C7*(1+'Inputs'!$B$24)*(0.5*((((988-43)*MAX('Inputs'!$B$33,'Inputs'!$B$29+'Inputs'!$B$31+'Inputs'!$B$32,'Inputs'!$B$30+'Inputs'!$B$31+'Inputs'!$B$32)/1000+'Inputs'!$B$21)+'Inputs'!$B$9)/SQRT((((988-43)*MAX('Inputs'!$B$33,'Inputs'!$B$29+'Inputs'!$B$31+'Inputs'!$B$32,'Inputs'!$B$30+'Inputs'!$B$31+'Inputs'!$B$32)/1000+'Inputs'!$B$21)+'Inputs'!$B$9)^2+('Inputs'!$B$8/2)^2)-(((988-43)*MAX('Inputs'!$B$33,'Inputs'!$B$29+'Inputs'!$B$31+'Inputs'!$B$32,'Inputs'!$B$30+'Inputs'!$B$31+'Inputs'!$B$32)/1000+'Inputs'!$B$21))/SQRT((((988-43)*MAX('Inputs'!$B$33,'Inputs'!$B$29+'Inputs'!$B$31+'Inputs'!$B$32,'Inputs'!$B$30+'Inputs'!$B$31+'Inputs'!$B$32)/1000+'Inputs'!$B$21))^2+('Inputs'!$B$8/2)^2)))-'Results'!B7*(1-'Inputs'!$B$24)*(0.5*((((988-43)*MAX('Inputs'!$B$33,'Inputs'!$B$29+'Inputs'!$B$31+'Inputs'!$B$32,'Inputs'!$B$30+'Inputs'!$B$31+'Inputs'!$B$32)/1000+'Inputs'!$B$21+'Inputs'!$B$9+'Inputs'!$B$10)+'Inputs'!$B$7)/SQRT((((988-43)*MAX('Inputs'!$B$33,'Inputs'!$B$29+'Inputs'!$B$31+'Inputs'!$B$32,'Inputs'!$B$30+'Inputs'!$B$31+'Inputs'!$B$32)/1000+'Inputs'!$B$21+'Inputs'!$B$9+'Inputs'!$B$10)+'Inputs'!$B$7)^2+('Inputs'!$B$6/2)^2)-(((988-43)*MAX('Inputs'!$B$33,'Inputs'!$B$29+'Inputs'!$B$31+'Inputs'!$B$32,'Inputs'!$B$30+'Inputs'!$B$31+'Inputs'!$B$32)/1000+'Inputs'!$B$21+'Inputs'!$B$9+'Inputs'!$B$10))/SQRT((((988-43)*MAX('Inputs'!$B$33,'Inputs'!$B$29+'Inputs'!$B$31+'Inputs'!$B$32,'Inputs'!$B$30+'Inputs'!$B$31+'Inputs'!$B$32)/1000+'Inputs'!$B$21+'Inputs'!$B$9+'Inputs'!$B$10))^2+('Inputs'!$B$6/2)^2))))*'Results'!$B$8)+'Inputs'!$B$28*ABS((('Results'!C7*(1+'Inputs'!$B$24)*(0.5*((((988-43)*MAX('Inputs'!$B$33,'Inputs'!$B$29+'Inputs'!$B$31+'Inputs'!$B$32,'Inputs'!$B$30+'Inputs'!$B$31+'Inputs'!$B$32)/1000+'Inputs'!$B$21)+'Inputs'!$B$9)/SQRT((((988-43)*MAX('Inputs'!$B$33,'Inputs'!$B$29+'Inputs'!$B$31+'Inputs'!$B$32,'Inputs'!$B$30+'Inputs'!$B$31+'Inputs'!$B$32)/1000+'Inputs'!$B$21)+'Inputs'!$B$9)^2+('Inputs'!$B$8/2)^2)-(((988-43)*MAX('Inputs'!$B$33,'Inputs'!$B$29+'Inputs'!$B$31+'Inputs'!$B$32,'Inputs'!$B$30+'Inputs'!$B$31+'Inputs'!$B$32)/1000+'Inputs'!$B$21))/SQRT((((988-43)*MAX('Inputs'!$B$33,'Inputs'!$B$29+'Inputs'!$B$31+'Inputs'!$B$32,'Inputs'!$B$30+'Inputs'!$B$31+'Inputs'!$B$32)/1000+'Inputs'!$B$21))^2+('Inputs'!$B$8/2)^2)))-'Results'!B7*(1-'Inputs'!$B$24)*(0.5*((((988-43)*MAX('Inputs'!$B$33,'Inputs'!$B$29+'Inputs'!$B$31+'Inputs'!$B$32,'Inputs'!$B$30+'Inputs'!$B$31+'Inputs'!$B$32)/1000+'Inputs'!$B$21+'Inputs'!$B$9+'Inputs'!$B$10)+'Inputs'!$B$7)/SQRT((((988-43)*MAX('Inputs'!$B$33,'Inputs'!$B$29+'Inputs'!$B$31+'Inputs'!$B$32,'Inputs'!$B$30+'Inputs'!$B$31+'Inputs'!$B$32)/1000+'Inputs'!$B$21+'Inputs'!$B$9+'Inputs'!$B$10)+'Inputs'!$B$7)^2+('Inputs'!$B$6/2)^2)-(((988-43)*MAX('Inputs'!$B$33,'Inputs'!$B$29+'Inputs'!$B$31+'Inputs'!$B$32,'Inputs'!$B$30+'Inputs'!$B$31+'Inputs'!$B$32)/1000+'Inputs'!$B$21+'Inputs'!$B$9+'Inputs'!$B$10))/SQRT((((988-43)*MAX('Inputs'!$B$33,'Inputs'!$B$29+'Inputs'!$B$31+'Inputs'!$B$32,'Inputs'!$B$30+'Inputs'!$B$31+'Inputs'!$B$32)/1000+'Inputs'!$B$21+'Inputs'!$B$9+'Inputs'!$B$10))^2+('Inputs'!$B$6/2)^2))))*'Results'!$B$8))),"")</x:f>
        <x:v>0.4602554708806908</x:v>
      </x:c>
      <x:c r="P988" t="n">
        <x:f>IF(AND(MAX(J988,J987)&gt;0,J988&gt;J987+0.00000001),1,0)</x:f>
        <x:v>0</x:v>
      </x:c>
      <x:c r="Q988" t="n">
        <x:f>IF(AND(MAX(K988,K987)&gt;0,K988&gt;K987+0.00000001),1,0)</x:f>
        <x:v>0</x:v>
      </x:c>
      <x:c r="R988" t="n">
        <x:f>IF(AND(MAX(L988,L987)&gt;0,L988&gt;L987+0.00000001),1,0)</x:f>
        <x:v>0</x:v>
      </x:c>
      <x:c r="S988" t="n">
        <x:f>IF(AND(MAX(M988,M987)&gt;0,M988&gt;M987+0.00000001),1,0)</x:f>
        <x:v>0</x:v>
      </x:c>
      <x:c r="T988" t="n">
        <x:f>IF(AND(MAX(N988,N987)&gt;0,N988&gt;N987+0.00000001),1,0)</x:f>
        <x:v>0</x:v>
      </x:c>
      <x:c r="U988" t="n">
        <x:f>IF(AND(MAX(O988,O987)&gt;0,O988&gt;O987+0.00000001),1,0)</x:f>
        <x:v>0</x:v>
      </x:c>
    </x:row>
    <x:row r="989">
      <x:c r="J989" t="n">
        <x:f>IF(AND(ISNUMBER('Results'!B7),ISNUMBER('Results'!C7),ISNUMBER('Results'!$B$8),ISNUMBER('Inputs'!$B$6),ISNUMBER('Inputs'!$B$7),ISNUMBER('Inputs'!$B$8),ISNUMBER('Inputs'!$B$9),ISNUMBER('Inputs'!$B$10),ISNUMBER('Inputs'!$B$21),ISNUMBER('Inputs'!$B$24),ISNUMBER('Inputs'!$B$28)),(('Results'!B7*(0.5*((((989-43)*MAX('Inputs'!$B$33,'Inputs'!$B$29+'Inputs'!$B$31+'Inputs'!$B$32,'Inputs'!$B$30+'Inputs'!$B$31+'Inputs'!$B$32)/1000+'Inputs'!$B$21)+'Inputs'!$B$7)/SQRT((((989-43)*MAX('Inputs'!$B$33,'Inputs'!$B$29+'Inputs'!$B$31+'Inputs'!$B$32,'Inputs'!$B$30+'Inputs'!$B$31+'Inputs'!$B$32)/1000+'Inputs'!$B$21)+'Inputs'!$B$7)^2+('Inputs'!$B$6/2)^2)-(((989-43)*MAX('Inputs'!$B$33,'Inputs'!$B$29+'Inputs'!$B$31+'Inputs'!$B$32,'Inputs'!$B$30+'Inputs'!$B$31+'Inputs'!$B$32)/1000+'Inputs'!$B$21))/SQRT((((989-43)*MAX('Inputs'!$B$33,'Inputs'!$B$29+'Inputs'!$B$31+'Inputs'!$B$32,'Inputs'!$B$30+'Inputs'!$B$31+'Inputs'!$B$32)/1000+'Inputs'!$B$21))^2+('Inputs'!$B$6/2)^2)))-'Results'!C7*(0.5*((((989-43)*MAX('Inputs'!$B$33,'Inputs'!$B$29+'Inputs'!$B$31+'Inputs'!$B$32,'Inputs'!$B$30+'Inputs'!$B$31+'Inputs'!$B$32)/1000+'Inputs'!$B$21+'Inputs'!$B$7+'Inputs'!$B$10)+'Inputs'!$B$9)/SQRT((((989-43)*MAX('Inputs'!$B$33,'Inputs'!$B$29+'Inputs'!$B$31+'Inputs'!$B$32,'Inputs'!$B$30+'Inputs'!$B$31+'Inputs'!$B$32)/1000+'Inputs'!$B$21+'Inputs'!$B$7+'Inputs'!$B$10)+'Inputs'!$B$9)^2+('Inputs'!$B$8/2)^2)-(((989-43)*MAX('Inputs'!$B$33,'Inputs'!$B$29+'Inputs'!$B$31+'Inputs'!$B$32,'Inputs'!$B$30+'Inputs'!$B$31+'Inputs'!$B$32)/1000+'Inputs'!$B$21+'Inputs'!$B$7+'Inputs'!$B$10))/SQRT((((989-43)*MAX('Inputs'!$B$33,'Inputs'!$B$29+'Inputs'!$B$31+'Inputs'!$B$32,'Inputs'!$B$30+'Inputs'!$B$31+'Inputs'!$B$32)/1000+'Inputs'!$B$21+'Inputs'!$B$7+'Inputs'!$B$10))^2+('Inputs'!$B$8/2)^2))))*'Results'!$B$8),"")</x:f>
        <x:v>0.4372391926007242</x:v>
      </x:c>
      <x:c r="K989" t="n">
        <x:f>IF(AND(ISNUMBER('Results'!B7),ISNUMBER('Results'!C7),ISNUMBER('Results'!$B$8),ISNUMBER('Inputs'!$B$6),ISNUMBER('Inputs'!$B$7),ISNUMBER('Inputs'!$B$8),ISNUMBER('Inputs'!$B$9),ISNUMBER('Inputs'!$B$10),ISNUMBER('Inputs'!$B$21),ISNUMBER('Inputs'!$B$24),ISNUMBER('Inputs'!$B$28)),((('Results'!B7*(1-'Inputs'!$B$24)*(0.5*((((989-43)*MAX('Inputs'!$B$33,'Inputs'!$B$29+'Inputs'!$B$31+'Inputs'!$B$32,'Inputs'!$B$30+'Inputs'!$B$31+'Inputs'!$B$32)/1000+'Inputs'!$B$21)+'Inputs'!$B$7)/SQRT((((989-43)*MAX('Inputs'!$B$33,'Inputs'!$B$29+'Inputs'!$B$31+'Inputs'!$B$32,'Inputs'!$B$30+'Inputs'!$B$31+'Inputs'!$B$32)/1000+'Inputs'!$B$21)+'Inputs'!$B$7)^2+('Inputs'!$B$6/2)^2)-(((989-43)*MAX('Inputs'!$B$33,'Inputs'!$B$29+'Inputs'!$B$31+'Inputs'!$B$32,'Inputs'!$B$30+'Inputs'!$B$31+'Inputs'!$B$32)/1000+'Inputs'!$B$21))/SQRT((((989-43)*MAX('Inputs'!$B$33,'Inputs'!$B$29+'Inputs'!$B$31+'Inputs'!$B$32,'Inputs'!$B$30+'Inputs'!$B$31+'Inputs'!$B$32)/1000+'Inputs'!$B$21))^2+('Inputs'!$B$6/2)^2)))-'Results'!C7*(1+'Inputs'!$B$24)*(0.5*((((989-43)*MAX('Inputs'!$B$33,'Inputs'!$B$29+'Inputs'!$B$31+'Inputs'!$B$32,'Inputs'!$B$30+'Inputs'!$B$31+'Inputs'!$B$32)/1000+'Inputs'!$B$21+'Inputs'!$B$7+'Inputs'!$B$10)+'Inputs'!$B$9)/SQRT((((989-43)*MAX('Inputs'!$B$33,'Inputs'!$B$29+'Inputs'!$B$31+'Inputs'!$B$32,'Inputs'!$B$30+'Inputs'!$B$31+'Inputs'!$B$32)/1000+'Inputs'!$B$21+'Inputs'!$B$7+'Inputs'!$B$10)+'Inputs'!$B$9)^2+('Inputs'!$B$8/2)^2)-(((989-43)*MAX('Inputs'!$B$33,'Inputs'!$B$29+'Inputs'!$B$31+'Inputs'!$B$32,'Inputs'!$B$30+'Inputs'!$B$31+'Inputs'!$B$32)/1000+'Inputs'!$B$21+'Inputs'!$B$7+'Inputs'!$B$10))/SQRT((((989-43)*MAX('Inputs'!$B$33,'Inputs'!$B$29+'Inputs'!$B$31+'Inputs'!$B$32,'Inputs'!$B$30+'Inputs'!$B$31+'Inputs'!$B$32)/1000+'Inputs'!$B$21+'Inputs'!$B$7+'Inputs'!$B$10))^2+('Inputs'!$B$8/2)^2))))*'Results'!$B$8)-'Inputs'!$B$28*ABS((('Results'!B7*(1-'Inputs'!$B$24)*(0.5*((((989-43)*MAX('Inputs'!$B$33,'Inputs'!$B$29+'Inputs'!$B$31+'Inputs'!$B$32,'Inputs'!$B$30+'Inputs'!$B$31+'Inputs'!$B$32)/1000+'Inputs'!$B$21)+'Inputs'!$B$7)/SQRT((((989-43)*MAX('Inputs'!$B$33,'Inputs'!$B$29+'Inputs'!$B$31+'Inputs'!$B$32,'Inputs'!$B$30+'Inputs'!$B$31+'Inputs'!$B$32)/1000+'Inputs'!$B$21)+'Inputs'!$B$7)^2+('Inputs'!$B$6/2)^2)-(((989-43)*MAX('Inputs'!$B$33,'Inputs'!$B$29+'Inputs'!$B$31+'Inputs'!$B$32,'Inputs'!$B$30+'Inputs'!$B$31+'Inputs'!$B$32)/1000+'Inputs'!$B$21))/SQRT((((989-43)*MAX('Inputs'!$B$33,'Inputs'!$B$29+'Inputs'!$B$31+'Inputs'!$B$32,'Inputs'!$B$30+'Inputs'!$B$31+'Inputs'!$B$32)/1000+'Inputs'!$B$21))^2+('Inputs'!$B$6/2)^2)))-'Results'!C7*(1+'Inputs'!$B$24)*(0.5*((((989-43)*MAX('Inputs'!$B$33,'Inputs'!$B$29+'Inputs'!$B$31+'Inputs'!$B$32,'Inputs'!$B$30+'Inputs'!$B$31+'Inputs'!$B$32)/1000+'Inputs'!$B$21+'Inputs'!$B$7+'Inputs'!$B$10)+'Inputs'!$B$9)/SQRT((((989-43)*MAX('Inputs'!$B$33,'Inputs'!$B$29+'Inputs'!$B$31+'Inputs'!$B$32,'Inputs'!$B$30+'Inputs'!$B$31+'Inputs'!$B$32)/1000+'Inputs'!$B$21+'Inputs'!$B$7+'Inputs'!$B$10)+'Inputs'!$B$9)^2+('Inputs'!$B$8/2)^2)-(((989-43)*MAX('Inputs'!$B$33,'Inputs'!$B$29+'Inputs'!$B$31+'Inputs'!$B$32,'Inputs'!$B$30+'Inputs'!$B$31+'Inputs'!$B$32)/1000+'Inputs'!$B$21+'Inputs'!$B$7+'Inputs'!$B$10))/SQRT((((989-43)*MAX('Inputs'!$B$33,'Inputs'!$B$29+'Inputs'!$B$31+'Inputs'!$B$32,'Inputs'!$B$30+'Inputs'!$B$31+'Inputs'!$B$32)/1000+'Inputs'!$B$21+'Inputs'!$B$7+'Inputs'!$B$10))^2+('Inputs'!$B$8/2)^2))))*'Results'!$B$8))),"")</x:f>
        <x:v>0.36807868376491404</x:v>
      </x:c>
      <x:c r="L989" t="n">
        <x:f>IF(AND(ISNUMBER('Results'!B7),ISNUMBER('Results'!C7),ISNUMBER('Results'!$B$8),ISNUMBER('Inputs'!$B$6),ISNUMBER('Inputs'!$B$7),ISNUMBER('Inputs'!$B$8),ISNUMBER('Inputs'!$B$9),ISNUMBER('Inputs'!$B$10),ISNUMBER('Inputs'!$B$21),ISNUMBER('Inputs'!$B$24),ISNUMBER('Inputs'!$B$28)),((('Results'!B7*(1+'Inputs'!$B$24)*(0.5*((((989-43)*MAX('Inputs'!$B$33,'Inputs'!$B$29+'Inputs'!$B$31+'Inputs'!$B$32,'Inputs'!$B$30+'Inputs'!$B$31+'Inputs'!$B$32)/1000+'Inputs'!$B$21)+'Inputs'!$B$7)/SQRT((((989-43)*MAX('Inputs'!$B$33,'Inputs'!$B$29+'Inputs'!$B$31+'Inputs'!$B$32,'Inputs'!$B$30+'Inputs'!$B$31+'Inputs'!$B$32)/1000+'Inputs'!$B$21)+'Inputs'!$B$7)^2+('Inputs'!$B$6/2)^2)-(((989-43)*MAX('Inputs'!$B$33,'Inputs'!$B$29+'Inputs'!$B$31+'Inputs'!$B$32,'Inputs'!$B$30+'Inputs'!$B$31+'Inputs'!$B$32)/1000+'Inputs'!$B$21))/SQRT((((989-43)*MAX('Inputs'!$B$33,'Inputs'!$B$29+'Inputs'!$B$31+'Inputs'!$B$32,'Inputs'!$B$30+'Inputs'!$B$31+'Inputs'!$B$32)/1000+'Inputs'!$B$21))^2+('Inputs'!$B$6/2)^2)))-'Results'!C7*(1-'Inputs'!$B$24)*(0.5*((((989-43)*MAX('Inputs'!$B$33,'Inputs'!$B$29+'Inputs'!$B$31+'Inputs'!$B$32,'Inputs'!$B$30+'Inputs'!$B$31+'Inputs'!$B$32)/1000+'Inputs'!$B$21+'Inputs'!$B$7+'Inputs'!$B$10)+'Inputs'!$B$9)/SQRT((((989-43)*MAX('Inputs'!$B$33,'Inputs'!$B$29+'Inputs'!$B$31+'Inputs'!$B$32,'Inputs'!$B$30+'Inputs'!$B$31+'Inputs'!$B$32)/1000+'Inputs'!$B$21+'Inputs'!$B$7+'Inputs'!$B$10)+'Inputs'!$B$9)^2+('Inputs'!$B$8/2)^2)-(((989-43)*MAX('Inputs'!$B$33,'Inputs'!$B$29+'Inputs'!$B$31+'Inputs'!$B$32,'Inputs'!$B$30+'Inputs'!$B$31+'Inputs'!$B$32)/1000+'Inputs'!$B$21+'Inputs'!$B$7+'Inputs'!$B$10))/SQRT((((989-43)*MAX('Inputs'!$B$33,'Inputs'!$B$29+'Inputs'!$B$31+'Inputs'!$B$32,'Inputs'!$B$30+'Inputs'!$B$31+'Inputs'!$B$32)/1000+'Inputs'!$B$21+'Inputs'!$B$7+'Inputs'!$B$10))^2+('Inputs'!$B$8/2)^2))))*'Results'!$B$8)+'Inputs'!$B$28*ABS((('Results'!B7*(1+'Inputs'!$B$24)*(0.5*((((989-43)*MAX('Inputs'!$B$33,'Inputs'!$B$29+'Inputs'!$B$31+'Inputs'!$B$32,'Inputs'!$B$30+'Inputs'!$B$31+'Inputs'!$B$32)/1000+'Inputs'!$B$21)+'Inputs'!$B$7)/SQRT((((989-43)*MAX('Inputs'!$B$33,'Inputs'!$B$29+'Inputs'!$B$31+'Inputs'!$B$32,'Inputs'!$B$30+'Inputs'!$B$31+'Inputs'!$B$32)/1000+'Inputs'!$B$21)+'Inputs'!$B$7)^2+('Inputs'!$B$6/2)^2)-(((989-43)*MAX('Inputs'!$B$33,'Inputs'!$B$29+'Inputs'!$B$31+'Inputs'!$B$32,'Inputs'!$B$30+'Inputs'!$B$31+'Inputs'!$B$32)/1000+'Inputs'!$B$21))/SQRT((((989-43)*MAX('Inputs'!$B$33,'Inputs'!$B$29+'Inputs'!$B$31+'Inputs'!$B$32,'Inputs'!$B$30+'Inputs'!$B$31+'Inputs'!$B$32)/1000+'Inputs'!$B$21))^2+('Inputs'!$B$6/2)^2)))-'Results'!C7*(1-'Inputs'!$B$24)*(0.5*((((989-43)*MAX('Inputs'!$B$33,'Inputs'!$B$29+'Inputs'!$B$31+'Inputs'!$B$32,'Inputs'!$B$30+'Inputs'!$B$31+'Inputs'!$B$32)/1000+'Inputs'!$B$21+'Inputs'!$B$7+'Inputs'!$B$10)+'Inputs'!$B$9)/SQRT((((989-43)*MAX('Inputs'!$B$33,'Inputs'!$B$29+'Inputs'!$B$31+'Inputs'!$B$32,'Inputs'!$B$30+'Inputs'!$B$31+'Inputs'!$B$32)/1000+'Inputs'!$B$21+'Inputs'!$B$7+'Inputs'!$B$10)+'Inputs'!$B$9)^2+('Inputs'!$B$8/2)^2)-(((989-43)*MAX('Inputs'!$B$33,'Inputs'!$B$29+'Inputs'!$B$31+'Inputs'!$B$32,'Inputs'!$B$30+'Inputs'!$B$31+'Inputs'!$B$32)/1000+'Inputs'!$B$21+'Inputs'!$B$7+'Inputs'!$B$10))/SQRT((((989-43)*MAX('Inputs'!$B$33,'Inputs'!$B$29+'Inputs'!$B$31+'Inputs'!$B$32,'Inputs'!$B$30+'Inputs'!$B$31+'Inputs'!$B$32)/1000+'Inputs'!$B$21+'Inputs'!$B$7+'Inputs'!$B$10))^2+('Inputs'!$B$8/2)^2))))*'Results'!$B$8))),"")</x:f>
        <x:v>0.5113784960897737</x:v>
      </x:c>
      <x:c r="M989" t="n">
        <x:f>IF(AND(ISNUMBER('Results'!C7),ISNUMBER('Results'!B7),ISNUMBER('Results'!$B$8),ISNUMBER('Inputs'!$B$6),ISNUMBER('Inputs'!$B$7),ISNUMBER('Inputs'!$B$8),ISNUMBER('Inputs'!$B$9),ISNUMBER('Inputs'!$B$10),ISNUMBER('Inputs'!$B$21),ISNUMBER('Inputs'!$B$24),ISNUMBER('Inputs'!$B$28)),(('Results'!C7*(0.5*((((989-43)*MAX('Inputs'!$B$33,'Inputs'!$B$29+'Inputs'!$B$31+'Inputs'!$B$32,'Inputs'!$B$30+'Inputs'!$B$31+'Inputs'!$B$32)/1000+'Inputs'!$B$21)+'Inputs'!$B$9)/SQRT((((989-43)*MAX('Inputs'!$B$33,'Inputs'!$B$29+'Inputs'!$B$31+'Inputs'!$B$32,'Inputs'!$B$30+'Inputs'!$B$31+'Inputs'!$B$32)/1000+'Inputs'!$B$21)+'Inputs'!$B$9)^2+('Inputs'!$B$8/2)^2)-(((989-43)*MAX('Inputs'!$B$33,'Inputs'!$B$29+'Inputs'!$B$31+'Inputs'!$B$32,'Inputs'!$B$30+'Inputs'!$B$31+'Inputs'!$B$32)/1000+'Inputs'!$B$21))/SQRT((((989-43)*MAX('Inputs'!$B$33,'Inputs'!$B$29+'Inputs'!$B$31+'Inputs'!$B$32,'Inputs'!$B$30+'Inputs'!$B$31+'Inputs'!$B$32)/1000+'Inputs'!$B$21))^2+('Inputs'!$B$8/2)^2)))-'Results'!B7*(0.5*((((989-43)*MAX('Inputs'!$B$33,'Inputs'!$B$29+'Inputs'!$B$31+'Inputs'!$B$32,'Inputs'!$B$30+'Inputs'!$B$31+'Inputs'!$B$32)/1000+'Inputs'!$B$21+'Inputs'!$B$9+'Inputs'!$B$10)+'Inputs'!$B$7)/SQRT((((989-43)*MAX('Inputs'!$B$33,'Inputs'!$B$29+'Inputs'!$B$31+'Inputs'!$B$32,'Inputs'!$B$30+'Inputs'!$B$31+'Inputs'!$B$32)/1000+'Inputs'!$B$21+'Inputs'!$B$9+'Inputs'!$B$10)+'Inputs'!$B$7)^2+('Inputs'!$B$6/2)^2)-(((989-43)*MAX('Inputs'!$B$33,'Inputs'!$B$29+'Inputs'!$B$31+'Inputs'!$B$32,'Inputs'!$B$30+'Inputs'!$B$31+'Inputs'!$B$32)/1000+'Inputs'!$B$21+'Inputs'!$B$9+'Inputs'!$B$10))/SQRT((((989-43)*MAX('Inputs'!$B$33,'Inputs'!$B$29+'Inputs'!$B$31+'Inputs'!$B$32,'Inputs'!$B$30+'Inputs'!$B$31+'Inputs'!$B$32)/1000+'Inputs'!$B$21+'Inputs'!$B$9+'Inputs'!$B$10))^2+('Inputs'!$B$6/2)^2))))*'Results'!$B$8),"")</x:f>
        <x:v>0.38703243828587763</x:v>
      </x:c>
      <x:c r="N989" t="n">
        <x:f>IF(AND(ISNUMBER('Results'!C7),ISNUMBER('Results'!B7),ISNUMBER('Results'!$B$8),ISNUMBER('Inputs'!$B$6),ISNUMBER('Inputs'!$B$7),ISNUMBER('Inputs'!$B$8),ISNUMBER('Inputs'!$B$9),ISNUMBER('Inputs'!$B$10),ISNUMBER('Inputs'!$B$21),ISNUMBER('Inputs'!$B$24),ISNUMBER('Inputs'!$B$28)),((('Results'!C7*(1-'Inputs'!$B$24)*(0.5*((((989-43)*MAX('Inputs'!$B$33,'Inputs'!$B$29+'Inputs'!$B$31+'Inputs'!$B$32,'Inputs'!$B$30+'Inputs'!$B$31+'Inputs'!$B$32)/1000+'Inputs'!$B$21)+'Inputs'!$B$9)/SQRT((((989-43)*MAX('Inputs'!$B$33,'Inputs'!$B$29+'Inputs'!$B$31+'Inputs'!$B$32,'Inputs'!$B$30+'Inputs'!$B$31+'Inputs'!$B$32)/1000+'Inputs'!$B$21)+'Inputs'!$B$9)^2+('Inputs'!$B$8/2)^2)-(((989-43)*MAX('Inputs'!$B$33,'Inputs'!$B$29+'Inputs'!$B$31+'Inputs'!$B$32,'Inputs'!$B$30+'Inputs'!$B$31+'Inputs'!$B$32)/1000+'Inputs'!$B$21))/SQRT((((989-43)*MAX('Inputs'!$B$33,'Inputs'!$B$29+'Inputs'!$B$31+'Inputs'!$B$32,'Inputs'!$B$30+'Inputs'!$B$31+'Inputs'!$B$32)/1000+'Inputs'!$B$21))^2+('Inputs'!$B$8/2)^2)))-'Results'!B7*(1+'Inputs'!$B$24)*(0.5*((((989-43)*MAX('Inputs'!$B$33,'Inputs'!$B$29+'Inputs'!$B$31+'Inputs'!$B$32,'Inputs'!$B$30+'Inputs'!$B$31+'Inputs'!$B$32)/1000+'Inputs'!$B$21+'Inputs'!$B$9+'Inputs'!$B$10)+'Inputs'!$B$7)/SQRT((((989-43)*MAX('Inputs'!$B$33,'Inputs'!$B$29+'Inputs'!$B$31+'Inputs'!$B$32,'Inputs'!$B$30+'Inputs'!$B$31+'Inputs'!$B$32)/1000+'Inputs'!$B$21+'Inputs'!$B$9+'Inputs'!$B$10)+'Inputs'!$B$7)^2+('Inputs'!$B$6/2)^2)-(((989-43)*MAX('Inputs'!$B$33,'Inputs'!$B$29+'Inputs'!$B$31+'Inputs'!$B$32,'Inputs'!$B$30+'Inputs'!$B$31+'Inputs'!$B$32)/1000+'Inputs'!$B$21+'Inputs'!$B$9+'Inputs'!$B$10))/SQRT((((989-43)*MAX('Inputs'!$B$33,'Inputs'!$B$29+'Inputs'!$B$31+'Inputs'!$B$32,'Inputs'!$B$30+'Inputs'!$B$31+'Inputs'!$B$32)/1000+'Inputs'!$B$21+'Inputs'!$B$9+'Inputs'!$B$10))^2+('Inputs'!$B$6/2)^2))))*'Results'!$B$8)-'Inputs'!$B$28*ABS((('Results'!C7*(1-'Inputs'!$B$24)*(0.5*((((989-43)*MAX('Inputs'!$B$33,'Inputs'!$B$29+'Inputs'!$B$31+'Inputs'!$B$32,'Inputs'!$B$30+'Inputs'!$B$31+'Inputs'!$B$32)/1000+'Inputs'!$B$21)+'Inputs'!$B$9)/SQRT((((989-43)*MAX('Inputs'!$B$33,'Inputs'!$B$29+'Inputs'!$B$31+'Inputs'!$B$32,'Inputs'!$B$30+'Inputs'!$B$31+'Inputs'!$B$32)/1000+'Inputs'!$B$21)+'Inputs'!$B$9)^2+('Inputs'!$B$8/2)^2)-(((989-43)*MAX('Inputs'!$B$33,'Inputs'!$B$29+'Inputs'!$B$31+'Inputs'!$B$32,'Inputs'!$B$30+'Inputs'!$B$31+'Inputs'!$B$32)/1000+'Inputs'!$B$21))/SQRT((((989-43)*MAX('Inputs'!$B$33,'Inputs'!$B$29+'Inputs'!$B$31+'Inputs'!$B$32,'Inputs'!$B$30+'Inputs'!$B$31+'Inputs'!$B$32)/1000+'Inputs'!$B$21))^2+('Inputs'!$B$8/2)^2)))-'Results'!B7*(1+'Inputs'!$B$24)*(0.5*((((989-43)*MAX('Inputs'!$B$33,'Inputs'!$B$29+'Inputs'!$B$31+'Inputs'!$B$32,'Inputs'!$B$30+'Inputs'!$B$31+'Inputs'!$B$32)/1000+'Inputs'!$B$21+'Inputs'!$B$9+'Inputs'!$B$10)+'Inputs'!$B$7)/SQRT((((989-43)*MAX('Inputs'!$B$33,'Inputs'!$B$29+'Inputs'!$B$31+'Inputs'!$B$32,'Inputs'!$B$30+'Inputs'!$B$31+'Inputs'!$B$32)/1000+'Inputs'!$B$21+'Inputs'!$B$9+'Inputs'!$B$10)+'Inputs'!$B$7)^2+('Inputs'!$B$6/2)^2)-(((989-43)*MAX('Inputs'!$B$33,'Inputs'!$B$29+'Inputs'!$B$31+'Inputs'!$B$32,'Inputs'!$B$30+'Inputs'!$B$31+'Inputs'!$B$32)/1000+'Inputs'!$B$21+'Inputs'!$B$9+'Inputs'!$B$10))/SQRT((((989-43)*MAX('Inputs'!$B$33,'Inputs'!$B$29+'Inputs'!$B$31+'Inputs'!$B$32,'Inputs'!$B$30+'Inputs'!$B$31+'Inputs'!$B$32)/1000+'Inputs'!$B$21+'Inputs'!$B$9+'Inputs'!$B$10))^2+('Inputs'!$B$6/2)^2))))*'Results'!$B$8))),"")</x:f>
        <x:v>0.3205404607111316</x:v>
      </x:c>
      <x:c r="O989" t="n">
        <x:f>IF(AND(ISNUMBER('Results'!C7),ISNUMBER('Results'!B7),ISNUMBER('Results'!$B$8),ISNUMBER('Inputs'!$B$6),ISNUMBER('Inputs'!$B$7),ISNUMBER('Inputs'!$B$8),ISNUMBER('Inputs'!$B$9),ISNUMBER('Inputs'!$B$10),ISNUMBER('Inputs'!$B$21),ISNUMBER('Inputs'!$B$24),ISNUMBER('Inputs'!$B$28)),((('Results'!C7*(1+'Inputs'!$B$24)*(0.5*((((989-43)*MAX('Inputs'!$B$33,'Inputs'!$B$29+'Inputs'!$B$31+'Inputs'!$B$32,'Inputs'!$B$30+'Inputs'!$B$31+'Inputs'!$B$32)/1000+'Inputs'!$B$21)+'Inputs'!$B$9)/SQRT((((989-43)*MAX('Inputs'!$B$33,'Inputs'!$B$29+'Inputs'!$B$31+'Inputs'!$B$32,'Inputs'!$B$30+'Inputs'!$B$31+'Inputs'!$B$32)/1000+'Inputs'!$B$21)+'Inputs'!$B$9)^2+('Inputs'!$B$8/2)^2)-(((989-43)*MAX('Inputs'!$B$33,'Inputs'!$B$29+'Inputs'!$B$31+'Inputs'!$B$32,'Inputs'!$B$30+'Inputs'!$B$31+'Inputs'!$B$32)/1000+'Inputs'!$B$21))/SQRT((((989-43)*MAX('Inputs'!$B$33,'Inputs'!$B$29+'Inputs'!$B$31+'Inputs'!$B$32,'Inputs'!$B$30+'Inputs'!$B$31+'Inputs'!$B$32)/1000+'Inputs'!$B$21))^2+('Inputs'!$B$8/2)^2)))-'Results'!B7*(1-'Inputs'!$B$24)*(0.5*((((989-43)*MAX('Inputs'!$B$33,'Inputs'!$B$29+'Inputs'!$B$31+'Inputs'!$B$32,'Inputs'!$B$30+'Inputs'!$B$31+'Inputs'!$B$32)/1000+'Inputs'!$B$21+'Inputs'!$B$9+'Inputs'!$B$10)+'Inputs'!$B$7)/SQRT((((989-43)*MAX('Inputs'!$B$33,'Inputs'!$B$29+'Inputs'!$B$31+'Inputs'!$B$32,'Inputs'!$B$30+'Inputs'!$B$31+'Inputs'!$B$32)/1000+'Inputs'!$B$21+'Inputs'!$B$9+'Inputs'!$B$10)+'Inputs'!$B$7)^2+('Inputs'!$B$6/2)^2)-(((989-43)*MAX('Inputs'!$B$33,'Inputs'!$B$29+'Inputs'!$B$31+'Inputs'!$B$32,'Inputs'!$B$30+'Inputs'!$B$31+'Inputs'!$B$32)/1000+'Inputs'!$B$21+'Inputs'!$B$9+'Inputs'!$B$10))/SQRT((((989-43)*MAX('Inputs'!$B$33,'Inputs'!$B$29+'Inputs'!$B$31+'Inputs'!$B$32,'Inputs'!$B$30+'Inputs'!$B$31+'Inputs'!$B$32)/1000+'Inputs'!$B$21+'Inputs'!$B$9+'Inputs'!$B$10))^2+('Inputs'!$B$6/2)^2))))*'Results'!$B$8)+'Inputs'!$B$28*ABS((('Results'!C7*(1+'Inputs'!$B$24)*(0.5*((((989-43)*MAX('Inputs'!$B$33,'Inputs'!$B$29+'Inputs'!$B$31+'Inputs'!$B$32,'Inputs'!$B$30+'Inputs'!$B$31+'Inputs'!$B$32)/1000+'Inputs'!$B$21)+'Inputs'!$B$9)/SQRT((((989-43)*MAX('Inputs'!$B$33,'Inputs'!$B$29+'Inputs'!$B$31+'Inputs'!$B$32,'Inputs'!$B$30+'Inputs'!$B$31+'Inputs'!$B$32)/1000+'Inputs'!$B$21)+'Inputs'!$B$9)^2+('Inputs'!$B$8/2)^2)-(((989-43)*MAX('Inputs'!$B$33,'Inputs'!$B$29+'Inputs'!$B$31+'Inputs'!$B$32,'Inputs'!$B$30+'Inputs'!$B$31+'Inputs'!$B$32)/1000+'Inputs'!$B$21))/SQRT((((989-43)*MAX('Inputs'!$B$33,'Inputs'!$B$29+'Inputs'!$B$31+'Inputs'!$B$32,'Inputs'!$B$30+'Inputs'!$B$31+'Inputs'!$B$32)/1000+'Inputs'!$B$21))^2+('Inputs'!$B$8/2)^2)))-'Results'!B7*(1-'Inputs'!$B$24)*(0.5*((((989-43)*MAX('Inputs'!$B$33,'Inputs'!$B$29+'Inputs'!$B$31+'Inputs'!$B$32,'Inputs'!$B$30+'Inputs'!$B$31+'Inputs'!$B$32)/1000+'Inputs'!$B$21+'Inputs'!$B$9+'Inputs'!$B$10)+'Inputs'!$B$7)/SQRT((((989-43)*MAX('Inputs'!$B$33,'Inputs'!$B$29+'Inputs'!$B$31+'Inputs'!$B$32,'Inputs'!$B$30+'Inputs'!$B$31+'Inputs'!$B$32)/1000+'Inputs'!$B$21+'Inputs'!$B$9+'Inputs'!$B$10)+'Inputs'!$B$7)^2+('Inputs'!$B$6/2)^2)-(((989-43)*MAX('Inputs'!$B$33,'Inputs'!$B$29+'Inputs'!$B$31+'Inputs'!$B$32,'Inputs'!$B$30+'Inputs'!$B$31+'Inputs'!$B$32)/1000+'Inputs'!$B$21+'Inputs'!$B$9+'Inputs'!$B$10))/SQRT((((989-43)*MAX('Inputs'!$B$33,'Inputs'!$B$29+'Inputs'!$B$31+'Inputs'!$B$32,'Inputs'!$B$30+'Inputs'!$B$31+'Inputs'!$B$32)/1000+'Inputs'!$B$21+'Inputs'!$B$9+'Inputs'!$B$10))^2+('Inputs'!$B$6/2)^2))))*'Results'!$B$8))),"")</x:f>
        <x:v>0.4584865585617244</x:v>
      </x:c>
      <x:c r="P989" t="n">
        <x:f>IF(AND(MAX(J989,J988)&gt;0,J989&gt;J988+0.00000001),1,0)</x:f>
        <x:v>0</x:v>
      </x:c>
      <x:c r="Q989" t="n">
        <x:f>IF(AND(MAX(K989,K988)&gt;0,K989&gt;K988+0.00000001),1,0)</x:f>
        <x:v>0</x:v>
      </x:c>
      <x:c r="R989" t="n">
        <x:f>IF(AND(MAX(L989,L988)&gt;0,L989&gt;L988+0.00000001),1,0)</x:f>
        <x:v>0</x:v>
      </x:c>
      <x:c r="S989" t="n">
        <x:f>IF(AND(MAX(M989,M988)&gt;0,M989&gt;M988+0.00000001),1,0)</x:f>
        <x:v>0</x:v>
      </x:c>
      <x:c r="T989" t="n">
        <x:f>IF(AND(MAX(N989,N988)&gt;0,N989&gt;N988+0.00000001),1,0)</x:f>
        <x:v>0</x:v>
      </x:c>
      <x:c r="U989" t="n">
        <x:f>IF(AND(MAX(O989,O988)&gt;0,O989&gt;O988+0.00000001),1,0)</x:f>
        <x:v>0</x:v>
      </x:c>
    </x:row>
    <x:row r="990">
      <x:c r="J990" t="n">
        <x:f>IF(AND(ISNUMBER('Results'!B7),ISNUMBER('Results'!C7),ISNUMBER('Results'!$B$8),ISNUMBER('Inputs'!$B$6),ISNUMBER('Inputs'!$B$7),ISNUMBER('Inputs'!$B$8),ISNUMBER('Inputs'!$B$9),ISNUMBER('Inputs'!$B$10),ISNUMBER('Inputs'!$B$21),ISNUMBER('Inputs'!$B$24),ISNUMBER('Inputs'!$B$28)),(('Results'!B7*(0.5*((((990-43)*MAX('Inputs'!$B$33,'Inputs'!$B$29+'Inputs'!$B$31+'Inputs'!$B$32,'Inputs'!$B$30+'Inputs'!$B$31+'Inputs'!$B$32)/1000+'Inputs'!$B$21)+'Inputs'!$B$7)/SQRT((((990-43)*MAX('Inputs'!$B$33,'Inputs'!$B$29+'Inputs'!$B$31+'Inputs'!$B$32,'Inputs'!$B$30+'Inputs'!$B$31+'Inputs'!$B$32)/1000+'Inputs'!$B$21)+'Inputs'!$B$7)^2+('Inputs'!$B$6/2)^2)-(((990-43)*MAX('Inputs'!$B$33,'Inputs'!$B$29+'Inputs'!$B$31+'Inputs'!$B$32,'Inputs'!$B$30+'Inputs'!$B$31+'Inputs'!$B$32)/1000+'Inputs'!$B$21))/SQRT((((990-43)*MAX('Inputs'!$B$33,'Inputs'!$B$29+'Inputs'!$B$31+'Inputs'!$B$32,'Inputs'!$B$30+'Inputs'!$B$31+'Inputs'!$B$32)/1000+'Inputs'!$B$21))^2+('Inputs'!$B$6/2)^2)))-'Results'!C7*(0.5*((((990-43)*MAX('Inputs'!$B$33,'Inputs'!$B$29+'Inputs'!$B$31+'Inputs'!$B$32,'Inputs'!$B$30+'Inputs'!$B$31+'Inputs'!$B$32)/1000+'Inputs'!$B$21+'Inputs'!$B$7+'Inputs'!$B$10)+'Inputs'!$B$9)/SQRT((((990-43)*MAX('Inputs'!$B$33,'Inputs'!$B$29+'Inputs'!$B$31+'Inputs'!$B$32,'Inputs'!$B$30+'Inputs'!$B$31+'Inputs'!$B$32)/1000+'Inputs'!$B$21+'Inputs'!$B$7+'Inputs'!$B$10)+'Inputs'!$B$9)^2+('Inputs'!$B$8/2)^2)-(((990-43)*MAX('Inputs'!$B$33,'Inputs'!$B$29+'Inputs'!$B$31+'Inputs'!$B$32,'Inputs'!$B$30+'Inputs'!$B$31+'Inputs'!$B$32)/1000+'Inputs'!$B$21+'Inputs'!$B$7+'Inputs'!$B$10))/SQRT((((990-43)*MAX('Inputs'!$B$33,'Inputs'!$B$29+'Inputs'!$B$31+'Inputs'!$B$32,'Inputs'!$B$30+'Inputs'!$B$31+'Inputs'!$B$32)/1000+'Inputs'!$B$21+'Inputs'!$B$7+'Inputs'!$B$10))^2+('Inputs'!$B$8/2)^2))))*'Results'!$B$8),"")</x:f>
        <x:v>0.43556083785518396</x:v>
      </x:c>
      <x:c r="K990" t="n">
        <x:f>IF(AND(ISNUMBER('Results'!B7),ISNUMBER('Results'!C7),ISNUMBER('Results'!$B$8),ISNUMBER('Inputs'!$B$6),ISNUMBER('Inputs'!$B$7),ISNUMBER('Inputs'!$B$8),ISNUMBER('Inputs'!$B$9),ISNUMBER('Inputs'!$B$10),ISNUMBER('Inputs'!$B$21),ISNUMBER('Inputs'!$B$24),ISNUMBER('Inputs'!$B$28)),((('Results'!B7*(1-'Inputs'!$B$24)*(0.5*((((990-43)*MAX('Inputs'!$B$33,'Inputs'!$B$29+'Inputs'!$B$31+'Inputs'!$B$32,'Inputs'!$B$30+'Inputs'!$B$31+'Inputs'!$B$32)/1000+'Inputs'!$B$21)+'Inputs'!$B$7)/SQRT((((990-43)*MAX('Inputs'!$B$33,'Inputs'!$B$29+'Inputs'!$B$31+'Inputs'!$B$32,'Inputs'!$B$30+'Inputs'!$B$31+'Inputs'!$B$32)/1000+'Inputs'!$B$21)+'Inputs'!$B$7)^2+('Inputs'!$B$6/2)^2)-(((990-43)*MAX('Inputs'!$B$33,'Inputs'!$B$29+'Inputs'!$B$31+'Inputs'!$B$32,'Inputs'!$B$30+'Inputs'!$B$31+'Inputs'!$B$32)/1000+'Inputs'!$B$21))/SQRT((((990-43)*MAX('Inputs'!$B$33,'Inputs'!$B$29+'Inputs'!$B$31+'Inputs'!$B$32,'Inputs'!$B$30+'Inputs'!$B$31+'Inputs'!$B$32)/1000+'Inputs'!$B$21))^2+('Inputs'!$B$6/2)^2)))-'Results'!C7*(1+'Inputs'!$B$24)*(0.5*((((990-43)*MAX('Inputs'!$B$33,'Inputs'!$B$29+'Inputs'!$B$31+'Inputs'!$B$32,'Inputs'!$B$30+'Inputs'!$B$31+'Inputs'!$B$32)/1000+'Inputs'!$B$21+'Inputs'!$B$7+'Inputs'!$B$10)+'Inputs'!$B$9)/SQRT((((990-43)*MAX('Inputs'!$B$33,'Inputs'!$B$29+'Inputs'!$B$31+'Inputs'!$B$32,'Inputs'!$B$30+'Inputs'!$B$31+'Inputs'!$B$32)/1000+'Inputs'!$B$21+'Inputs'!$B$7+'Inputs'!$B$10)+'Inputs'!$B$9)^2+('Inputs'!$B$8/2)^2)-(((990-43)*MAX('Inputs'!$B$33,'Inputs'!$B$29+'Inputs'!$B$31+'Inputs'!$B$32,'Inputs'!$B$30+'Inputs'!$B$31+'Inputs'!$B$32)/1000+'Inputs'!$B$21+'Inputs'!$B$7+'Inputs'!$B$10))/SQRT((((990-43)*MAX('Inputs'!$B$33,'Inputs'!$B$29+'Inputs'!$B$31+'Inputs'!$B$32,'Inputs'!$B$30+'Inputs'!$B$31+'Inputs'!$B$32)/1000+'Inputs'!$B$21+'Inputs'!$B$7+'Inputs'!$B$10))^2+('Inputs'!$B$8/2)^2))))*'Results'!$B$8)-'Inputs'!$B$28*ABS((('Results'!B7*(1-'Inputs'!$B$24)*(0.5*((((990-43)*MAX('Inputs'!$B$33,'Inputs'!$B$29+'Inputs'!$B$31+'Inputs'!$B$32,'Inputs'!$B$30+'Inputs'!$B$31+'Inputs'!$B$32)/1000+'Inputs'!$B$21)+'Inputs'!$B$7)/SQRT((((990-43)*MAX('Inputs'!$B$33,'Inputs'!$B$29+'Inputs'!$B$31+'Inputs'!$B$32,'Inputs'!$B$30+'Inputs'!$B$31+'Inputs'!$B$32)/1000+'Inputs'!$B$21)+'Inputs'!$B$7)^2+('Inputs'!$B$6/2)^2)-(((990-43)*MAX('Inputs'!$B$33,'Inputs'!$B$29+'Inputs'!$B$31+'Inputs'!$B$32,'Inputs'!$B$30+'Inputs'!$B$31+'Inputs'!$B$32)/1000+'Inputs'!$B$21))/SQRT((((990-43)*MAX('Inputs'!$B$33,'Inputs'!$B$29+'Inputs'!$B$31+'Inputs'!$B$32,'Inputs'!$B$30+'Inputs'!$B$31+'Inputs'!$B$32)/1000+'Inputs'!$B$21))^2+('Inputs'!$B$6/2)^2)))-'Results'!C7*(1+'Inputs'!$B$24)*(0.5*((((990-43)*MAX('Inputs'!$B$33,'Inputs'!$B$29+'Inputs'!$B$31+'Inputs'!$B$32,'Inputs'!$B$30+'Inputs'!$B$31+'Inputs'!$B$32)/1000+'Inputs'!$B$21+'Inputs'!$B$7+'Inputs'!$B$10)+'Inputs'!$B$9)/SQRT((((990-43)*MAX('Inputs'!$B$33,'Inputs'!$B$29+'Inputs'!$B$31+'Inputs'!$B$32,'Inputs'!$B$30+'Inputs'!$B$31+'Inputs'!$B$32)/1000+'Inputs'!$B$21+'Inputs'!$B$7+'Inputs'!$B$10)+'Inputs'!$B$9)^2+('Inputs'!$B$8/2)^2)-(((990-43)*MAX('Inputs'!$B$33,'Inputs'!$B$29+'Inputs'!$B$31+'Inputs'!$B$32,'Inputs'!$B$30+'Inputs'!$B$31+'Inputs'!$B$32)/1000+'Inputs'!$B$21+'Inputs'!$B$7+'Inputs'!$B$10))/SQRT((((990-43)*MAX('Inputs'!$B$33,'Inputs'!$B$29+'Inputs'!$B$31+'Inputs'!$B$32,'Inputs'!$B$30+'Inputs'!$B$31+'Inputs'!$B$32)/1000+'Inputs'!$B$21+'Inputs'!$B$7+'Inputs'!$B$10))^2+('Inputs'!$B$8/2)^2))))*'Results'!$B$8))),"")</x:f>
        <x:v>0.36662365922975987</x:v>
      </x:c>
      <x:c r="L990" t="n">
        <x:f>IF(AND(ISNUMBER('Results'!B7),ISNUMBER('Results'!C7),ISNUMBER('Results'!$B$8),ISNUMBER('Inputs'!$B$6),ISNUMBER('Inputs'!$B$7),ISNUMBER('Inputs'!$B$8),ISNUMBER('Inputs'!$B$9),ISNUMBER('Inputs'!$B$10),ISNUMBER('Inputs'!$B$21),ISNUMBER('Inputs'!$B$24),ISNUMBER('Inputs'!$B$28)),((('Results'!B7*(1+'Inputs'!$B$24)*(0.5*((((990-43)*MAX('Inputs'!$B$33,'Inputs'!$B$29+'Inputs'!$B$31+'Inputs'!$B$32,'Inputs'!$B$30+'Inputs'!$B$31+'Inputs'!$B$32)/1000+'Inputs'!$B$21)+'Inputs'!$B$7)/SQRT((((990-43)*MAX('Inputs'!$B$33,'Inputs'!$B$29+'Inputs'!$B$31+'Inputs'!$B$32,'Inputs'!$B$30+'Inputs'!$B$31+'Inputs'!$B$32)/1000+'Inputs'!$B$21)+'Inputs'!$B$7)^2+('Inputs'!$B$6/2)^2)-(((990-43)*MAX('Inputs'!$B$33,'Inputs'!$B$29+'Inputs'!$B$31+'Inputs'!$B$32,'Inputs'!$B$30+'Inputs'!$B$31+'Inputs'!$B$32)/1000+'Inputs'!$B$21))/SQRT((((990-43)*MAX('Inputs'!$B$33,'Inputs'!$B$29+'Inputs'!$B$31+'Inputs'!$B$32,'Inputs'!$B$30+'Inputs'!$B$31+'Inputs'!$B$32)/1000+'Inputs'!$B$21))^2+('Inputs'!$B$6/2)^2)))-'Results'!C7*(1-'Inputs'!$B$24)*(0.5*((((990-43)*MAX('Inputs'!$B$33,'Inputs'!$B$29+'Inputs'!$B$31+'Inputs'!$B$32,'Inputs'!$B$30+'Inputs'!$B$31+'Inputs'!$B$32)/1000+'Inputs'!$B$21+'Inputs'!$B$7+'Inputs'!$B$10)+'Inputs'!$B$9)/SQRT((((990-43)*MAX('Inputs'!$B$33,'Inputs'!$B$29+'Inputs'!$B$31+'Inputs'!$B$32,'Inputs'!$B$30+'Inputs'!$B$31+'Inputs'!$B$32)/1000+'Inputs'!$B$21+'Inputs'!$B$7+'Inputs'!$B$10)+'Inputs'!$B$9)^2+('Inputs'!$B$8/2)^2)-(((990-43)*MAX('Inputs'!$B$33,'Inputs'!$B$29+'Inputs'!$B$31+'Inputs'!$B$32,'Inputs'!$B$30+'Inputs'!$B$31+'Inputs'!$B$32)/1000+'Inputs'!$B$21+'Inputs'!$B$7+'Inputs'!$B$10))/SQRT((((990-43)*MAX('Inputs'!$B$33,'Inputs'!$B$29+'Inputs'!$B$31+'Inputs'!$B$32,'Inputs'!$B$30+'Inputs'!$B$31+'Inputs'!$B$32)/1000+'Inputs'!$B$21+'Inputs'!$B$7+'Inputs'!$B$10))^2+('Inputs'!$B$8/2)^2))))*'Results'!$B$8)+'Inputs'!$B$28*ABS((('Results'!B7*(1+'Inputs'!$B$24)*(0.5*((((990-43)*MAX('Inputs'!$B$33,'Inputs'!$B$29+'Inputs'!$B$31+'Inputs'!$B$32,'Inputs'!$B$30+'Inputs'!$B$31+'Inputs'!$B$32)/1000+'Inputs'!$B$21)+'Inputs'!$B$7)/SQRT((((990-43)*MAX('Inputs'!$B$33,'Inputs'!$B$29+'Inputs'!$B$31+'Inputs'!$B$32,'Inputs'!$B$30+'Inputs'!$B$31+'Inputs'!$B$32)/1000+'Inputs'!$B$21)+'Inputs'!$B$7)^2+('Inputs'!$B$6/2)^2)-(((990-43)*MAX('Inputs'!$B$33,'Inputs'!$B$29+'Inputs'!$B$31+'Inputs'!$B$32,'Inputs'!$B$30+'Inputs'!$B$31+'Inputs'!$B$32)/1000+'Inputs'!$B$21))/SQRT((((990-43)*MAX('Inputs'!$B$33,'Inputs'!$B$29+'Inputs'!$B$31+'Inputs'!$B$32,'Inputs'!$B$30+'Inputs'!$B$31+'Inputs'!$B$32)/1000+'Inputs'!$B$21))^2+('Inputs'!$B$6/2)^2)))-'Results'!C7*(1-'Inputs'!$B$24)*(0.5*((((990-43)*MAX('Inputs'!$B$33,'Inputs'!$B$29+'Inputs'!$B$31+'Inputs'!$B$32,'Inputs'!$B$30+'Inputs'!$B$31+'Inputs'!$B$32)/1000+'Inputs'!$B$21+'Inputs'!$B$7+'Inputs'!$B$10)+'Inputs'!$B$9)/SQRT((((990-43)*MAX('Inputs'!$B$33,'Inputs'!$B$29+'Inputs'!$B$31+'Inputs'!$B$32,'Inputs'!$B$30+'Inputs'!$B$31+'Inputs'!$B$32)/1000+'Inputs'!$B$21+'Inputs'!$B$7+'Inputs'!$B$10)+'Inputs'!$B$9)^2+('Inputs'!$B$8/2)^2)-(((990-43)*MAX('Inputs'!$B$33,'Inputs'!$B$29+'Inputs'!$B$31+'Inputs'!$B$32,'Inputs'!$B$30+'Inputs'!$B$31+'Inputs'!$B$32)/1000+'Inputs'!$B$21+'Inputs'!$B$7+'Inputs'!$B$10))/SQRT((((990-43)*MAX('Inputs'!$B$33,'Inputs'!$B$29+'Inputs'!$B$31+'Inputs'!$B$32,'Inputs'!$B$30+'Inputs'!$B$31+'Inputs'!$B$32)/1000+'Inputs'!$B$21+'Inputs'!$B$7+'Inputs'!$B$10))^2+('Inputs'!$B$8/2)^2))))*'Results'!$B$8))),"")</x:f>
        <x:v>0.5094621361366782</x:v>
      </x:c>
      <x:c r="M990" t="n">
        <x:f>IF(AND(ISNUMBER('Results'!C7),ISNUMBER('Results'!B7),ISNUMBER('Results'!$B$8),ISNUMBER('Inputs'!$B$6),ISNUMBER('Inputs'!$B$7),ISNUMBER('Inputs'!$B$8),ISNUMBER('Inputs'!$B$9),ISNUMBER('Inputs'!$B$10),ISNUMBER('Inputs'!$B$21),ISNUMBER('Inputs'!$B$24),ISNUMBER('Inputs'!$B$28)),(('Results'!C7*(0.5*((((990-43)*MAX('Inputs'!$B$33,'Inputs'!$B$29+'Inputs'!$B$31+'Inputs'!$B$32,'Inputs'!$B$30+'Inputs'!$B$31+'Inputs'!$B$32)/1000+'Inputs'!$B$21)+'Inputs'!$B$9)/SQRT((((990-43)*MAX('Inputs'!$B$33,'Inputs'!$B$29+'Inputs'!$B$31+'Inputs'!$B$32,'Inputs'!$B$30+'Inputs'!$B$31+'Inputs'!$B$32)/1000+'Inputs'!$B$21)+'Inputs'!$B$9)^2+('Inputs'!$B$8/2)^2)-(((990-43)*MAX('Inputs'!$B$33,'Inputs'!$B$29+'Inputs'!$B$31+'Inputs'!$B$32,'Inputs'!$B$30+'Inputs'!$B$31+'Inputs'!$B$32)/1000+'Inputs'!$B$21))/SQRT((((990-43)*MAX('Inputs'!$B$33,'Inputs'!$B$29+'Inputs'!$B$31+'Inputs'!$B$32,'Inputs'!$B$30+'Inputs'!$B$31+'Inputs'!$B$32)/1000+'Inputs'!$B$21))^2+('Inputs'!$B$8/2)^2)))-'Results'!B7*(0.5*((((990-43)*MAX('Inputs'!$B$33,'Inputs'!$B$29+'Inputs'!$B$31+'Inputs'!$B$32,'Inputs'!$B$30+'Inputs'!$B$31+'Inputs'!$B$32)/1000+'Inputs'!$B$21+'Inputs'!$B$9+'Inputs'!$B$10)+'Inputs'!$B$7)/SQRT((((990-43)*MAX('Inputs'!$B$33,'Inputs'!$B$29+'Inputs'!$B$31+'Inputs'!$B$32,'Inputs'!$B$30+'Inputs'!$B$31+'Inputs'!$B$32)/1000+'Inputs'!$B$21+'Inputs'!$B$9+'Inputs'!$B$10)+'Inputs'!$B$7)^2+('Inputs'!$B$6/2)^2)-(((990-43)*MAX('Inputs'!$B$33,'Inputs'!$B$29+'Inputs'!$B$31+'Inputs'!$B$32,'Inputs'!$B$30+'Inputs'!$B$31+'Inputs'!$B$32)/1000+'Inputs'!$B$21+'Inputs'!$B$9+'Inputs'!$B$10))/SQRT((((990-43)*MAX('Inputs'!$B$33,'Inputs'!$B$29+'Inputs'!$B$31+'Inputs'!$B$32,'Inputs'!$B$30+'Inputs'!$B$31+'Inputs'!$B$32)/1000+'Inputs'!$B$21+'Inputs'!$B$9+'Inputs'!$B$10))^2+('Inputs'!$B$6/2)^2))))*'Results'!$B$8),"")</x:f>
        <x:v>0.3855019884393454</x:v>
      </x:c>
      <x:c r="N990" t="n">
        <x:f>IF(AND(ISNUMBER('Results'!C7),ISNUMBER('Results'!B7),ISNUMBER('Results'!$B$8),ISNUMBER('Inputs'!$B$6),ISNUMBER('Inputs'!$B$7),ISNUMBER('Inputs'!$B$8),ISNUMBER('Inputs'!$B$9),ISNUMBER('Inputs'!$B$10),ISNUMBER('Inputs'!$B$21),ISNUMBER('Inputs'!$B$24),ISNUMBER('Inputs'!$B$28)),((('Results'!C7*(1-'Inputs'!$B$24)*(0.5*((((990-43)*MAX('Inputs'!$B$33,'Inputs'!$B$29+'Inputs'!$B$31+'Inputs'!$B$32,'Inputs'!$B$30+'Inputs'!$B$31+'Inputs'!$B$32)/1000+'Inputs'!$B$21)+'Inputs'!$B$9)/SQRT((((990-43)*MAX('Inputs'!$B$33,'Inputs'!$B$29+'Inputs'!$B$31+'Inputs'!$B$32,'Inputs'!$B$30+'Inputs'!$B$31+'Inputs'!$B$32)/1000+'Inputs'!$B$21)+'Inputs'!$B$9)^2+('Inputs'!$B$8/2)^2)-(((990-43)*MAX('Inputs'!$B$33,'Inputs'!$B$29+'Inputs'!$B$31+'Inputs'!$B$32,'Inputs'!$B$30+'Inputs'!$B$31+'Inputs'!$B$32)/1000+'Inputs'!$B$21))/SQRT((((990-43)*MAX('Inputs'!$B$33,'Inputs'!$B$29+'Inputs'!$B$31+'Inputs'!$B$32,'Inputs'!$B$30+'Inputs'!$B$31+'Inputs'!$B$32)/1000+'Inputs'!$B$21))^2+('Inputs'!$B$8/2)^2)))-'Results'!B7*(1+'Inputs'!$B$24)*(0.5*((((990-43)*MAX('Inputs'!$B$33,'Inputs'!$B$29+'Inputs'!$B$31+'Inputs'!$B$32,'Inputs'!$B$30+'Inputs'!$B$31+'Inputs'!$B$32)/1000+'Inputs'!$B$21+'Inputs'!$B$9+'Inputs'!$B$10)+'Inputs'!$B$7)/SQRT((((990-43)*MAX('Inputs'!$B$33,'Inputs'!$B$29+'Inputs'!$B$31+'Inputs'!$B$32,'Inputs'!$B$30+'Inputs'!$B$31+'Inputs'!$B$32)/1000+'Inputs'!$B$21+'Inputs'!$B$9+'Inputs'!$B$10)+'Inputs'!$B$7)^2+('Inputs'!$B$6/2)^2)-(((990-43)*MAX('Inputs'!$B$33,'Inputs'!$B$29+'Inputs'!$B$31+'Inputs'!$B$32,'Inputs'!$B$30+'Inputs'!$B$31+'Inputs'!$B$32)/1000+'Inputs'!$B$21+'Inputs'!$B$9+'Inputs'!$B$10))/SQRT((((990-43)*MAX('Inputs'!$B$33,'Inputs'!$B$29+'Inputs'!$B$31+'Inputs'!$B$32,'Inputs'!$B$30+'Inputs'!$B$31+'Inputs'!$B$32)/1000+'Inputs'!$B$21+'Inputs'!$B$9+'Inputs'!$B$10))^2+('Inputs'!$B$6/2)^2))))*'Results'!$B$8)-'Inputs'!$B$28*ABS((('Results'!C7*(1-'Inputs'!$B$24)*(0.5*((((990-43)*MAX('Inputs'!$B$33,'Inputs'!$B$29+'Inputs'!$B$31+'Inputs'!$B$32,'Inputs'!$B$30+'Inputs'!$B$31+'Inputs'!$B$32)/1000+'Inputs'!$B$21)+'Inputs'!$B$9)/SQRT((((990-43)*MAX('Inputs'!$B$33,'Inputs'!$B$29+'Inputs'!$B$31+'Inputs'!$B$32,'Inputs'!$B$30+'Inputs'!$B$31+'Inputs'!$B$32)/1000+'Inputs'!$B$21)+'Inputs'!$B$9)^2+('Inputs'!$B$8/2)^2)-(((990-43)*MAX('Inputs'!$B$33,'Inputs'!$B$29+'Inputs'!$B$31+'Inputs'!$B$32,'Inputs'!$B$30+'Inputs'!$B$31+'Inputs'!$B$32)/1000+'Inputs'!$B$21))/SQRT((((990-43)*MAX('Inputs'!$B$33,'Inputs'!$B$29+'Inputs'!$B$31+'Inputs'!$B$32,'Inputs'!$B$30+'Inputs'!$B$31+'Inputs'!$B$32)/1000+'Inputs'!$B$21))^2+('Inputs'!$B$8/2)^2)))-'Results'!B7*(1+'Inputs'!$B$24)*(0.5*((((990-43)*MAX('Inputs'!$B$33,'Inputs'!$B$29+'Inputs'!$B$31+'Inputs'!$B$32,'Inputs'!$B$30+'Inputs'!$B$31+'Inputs'!$B$32)/1000+'Inputs'!$B$21+'Inputs'!$B$9+'Inputs'!$B$10)+'Inputs'!$B$7)/SQRT((((990-43)*MAX('Inputs'!$B$33,'Inputs'!$B$29+'Inputs'!$B$31+'Inputs'!$B$32,'Inputs'!$B$30+'Inputs'!$B$31+'Inputs'!$B$32)/1000+'Inputs'!$B$21+'Inputs'!$B$9+'Inputs'!$B$10)+'Inputs'!$B$7)^2+('Inputs'!$B$6/2)^2)-(((990-43)*MAX('Inputs'!$B$33,'Inputs'!$B$29+'Inputs'!$B$31+'Inputs'!$B$32,'Inputs'!$B$30+'Inputs'!$B$31+'Inputs'!$B$32)/1000+'Inputs'!$B$21+'Inputs'!$B$9+'Inputs'!$B$10))/SQRT((((990-43)*MAX('Inputs'!$B$33,'Inputs'!$B$29+'Inputs'!$B$31+'Inputs'!$B$32,'Inputs'!$B$30+'Inputs'!$B$31+'Inputs'!$B$32)/1000+'Inputs'!$B$21+'Inputs'!$B$9+'Inputs'!$B$10))^2+('Inputs'!$B$6/2)^2))))*'Results'!$B$8))),"")</x:f>
        <x:v>0.3192253299988502</x:v>
      </x:c>
      <x:c r="O990" t="n">
        <x:f>IF(AND(ISNUMBER('Results'!C7),ISNUMBER('Results'!B7),ISNUMBER('Results'!$B$8),ISNUMBER('Inputs'!$B$6),ISNUMBER('Inputs'!$B$7),ISNUMBER('Inputs'!$B$8),ISNUMBER('Inputs'!$B$9),ISNUMBER('Inputs'!$B$10),ISNUMBER('Inputs'!$B$21),ISNUMBER('Inputs'!$B$24),ISNUMBER('Inputs'!$B$28)),((('Results'!C7*(1+'Inputs'!$B$24)*(0.5*((((990-43)*MAX('Inputs'!$B$33,'Inputs'!$B$29+'Inputs'!$B$31+'Inputs'!$B$32,'Inputs'!$B$30+'Inputs'!$B$31+'Inputs'!$B$32)/1000+'Inputs'!$B$21)+'Inputs'!$B$9)/SQRT((((990-43)*MAX('Inputs'!$B$33,'Inputs'!$B$29+'Inputs'!$B$31+'Inputs'!$B$32,'Inputs'!$B$30+'Inputs'!$B$31+'Inputs'!$B$32)/1000+'Inputs'!$B$21)+'Inputs'!$B$9)^2+('Inputs'!$B$8/2)^2)-(((990-43)*MAX('Inputs'!$B$33,'Inputs'!$B$29+'Inputs'!$B$31+'Inputs'!$B$32,'Inputs'!$B$30+'Inputs'!$B$31+'Inputs'!$B$32)/1000+'Inputs'!$B$21))/SQRT((((990-43)*MAX('Inputs'!$B$33,'Inputs'!$B$29+'Inputs'!$B$31+'Inputs'!$B$32,'Inputs'!$B$30+'Inputs'!$B$31+'Inputs'!$B$32)/1000+'Inputs'!$B$21))^2+('Inputs'!$B$8/2)^2)))-'Results'!B7*(1-'Inputs'!$B$24)*(0.5*((((990-43)*MAX('Inputs'!$B$33,'Inputs'!$B$29+'Inputs'!$B$31+'Inputs'!$B$32,'Inputs'!$B$30+'Inputs'!$B$31+'Inputs'!$B$32)/1000+'Inputs'!$B$21+'Inputs'!$B$9+'Inputs'!$B$10)+'Inputs'!$B$7)/SQRT((((990-43)*MAX('Inputs'!$B$33,'Inputs'!$B$29+'Inputs'!$B$31+'Inputs'!$B$32,'Inputs'!$B$30+'Inputs'!$B$31+'Inputs'!$B$32)/1000+'Inputs'!$B$21+'Inputs'!$B$9+'Inputs'!$B$10)+'Inputs'!$B$7)^2+('Inputs'!$B$6/2)^2)-(((990-43)*MAX('Inputs'!$B$33,'Inputs'!$B$29+'Inputs'!$B$31+'Inputs'!$B$32,'Inputs'!$B$30+'Inputs'!$B$31+'Inputs'!$B$32)/1000+'Inputs'!$B$21+'Inputs'!$B$9+'Inputs'!$B$10))/SQRT((((990-43)*MAX('Inputs'!$B$33,'Inputs'!$B$29+'Inputs'!$B$31+'Inputs'!$B$32,'Inputs'!$B$30+'Inputs'!$B$31+'Inputs'!$B$32)/1000+'Inputs'!$B$21+'Inputs'!$B$9+'Inputs'!$B$10))^2+('Inputs'!$B$6/2)^2))))*'Results'!$B$8)+'Inputs'!$B$28*ABS((('Results'!C7*(1+'Inputs'!$B$24)*(0.5*((((990-43)*MAX('Inputs'!$B$33,'Inputs'!$B$29+'Inputs'!$B$31+'Inputs'!$B$32,'Inputs'!$B$30+'Inputs'!$B$31+'Inputs'!$B$32)/1000+'Inputs'!$B$21)+'Inputs'!$B$9)/SQRT((((990-43)*MAX('Inputs'!$B$33,'Inputs'!$B$29+'Inputs'!$B$31+'Inputs'!$B$32,'Inputs'!$B$30+'Inputs'!$B$31+'Inputs'!$B$32)/1000+'Inputs'!$B$21)+'Inputs'!$B$9)^2+('Inputs'!$B$8/2)^2)-(((990-43)*MAX('Inputs'!$B$33,'Inputs'!$B$29+'Inputs'!$B$31+'Inputs'!$B$32,'Inputs'!$B$30+'Inputs'!$B$31+'Inputs'!$B$32)/1000+'Inputs'!$B$21))/SQRT((((990-43)*MAX('Inputs'!$B$33,'Inputs'!$B$29+'Inputs'!$B$31+'Inputs'!$B$32,'Inputs'!$B$30+'Inputs'!$B$31+'Inputs'!$B$32)/1000+'Inputs'!$B$21))^2+('Inputs'!$B$8/2)^2)))-'Results'!B7*(1-'Inputs'!$B$24)*(0.5*((((990-43)*MAX('Inputs'!$B$33,'Inputs'!$B$29+'Inputs'!$B$31+'Inputs'!$B$32,'Inputs'!$B$30+'Inputs'!$B$31+'Inputs'!$B$32)/1000+'Inputs'!$B$21+'Inputs'!$B$9+'Inputs'!$B$10)+'Inputs'!$B$7)/SQRT((((990-43)*MAX('Inputs'!$B$33,'Inputs'!$B$29+'Inputs'!$B$31+'Inputs'!$B$32,'Inputs'!$B$30+'Inputs'!$B$31+'Inputs'!$B$32)/1000+'Inputs'!$B$21+'Inputs'!$B$9+'Inputs'!$B$10)+'Inputs'!$B$7)^2+('Inputs'!$B$6/2)^2)-(((990-43)*MAX('Inputs'!$B$33,'Inputs'!$B$29+'Inputs'!$B$31+'Inputs'!$B$32,'Inputs'!$B$30+'Inputs'!$B$31+'Inputs'!$B$32)/1000+'Inputs'!$B$21+'Inputs'!$B$9+'Inputs'!$B$10))/SQRT((((990-43)*MAX('Inputs'!$B$33,'Inputs'!$B$29+'Inputs'!$B$31+'Inputs'!$B$32,'Inputs'!$B$30+'Inputs'!$B$31+'Inputs'!$B$32)/1000+'Inputs'!$B$21+'Inputs'!$B$9+'Inputs'!$B$10))^2+('Inputs'!$B$6/2)^2))))*'Results'!$B$8))),"")</x:f>
        <x:v>0.45672617940810645</x:v>
      </x:c>
      <x:c r="P990" t="n">
        <x:f>IF(AND(MAX(J990,J989)&gt;0,J990&gt;J989+0.00000001),1,0)</x:f>
        <x:v>0</x:v>
      </x:c>
      <x:c r="Q990" t="n">
        <x:f>IF(AND(MAX(K990,K989)&gt;0,K990&gt;K989+0.00000001),1,0)</x:f>
        <x:v>0</x:v>
      </x:c>
      <x:c r="R990" t="n">
        <x:f>IF(AND(MAX(L990,L989)&gt;0,L990&gt;L989+0.00000001),1,0)</x:f>
        <x:v>0</x:v>
      </x:c>
      <x:c r="S990" t="n">
        <x:f>IF(AND(MAX(M990,M989)&gt;0,M990&gt;M989+0.00000001),1,0)</x:f>
        <x:v>0</x:v>
      </x:c>
      <x:c r="T990" t="n">
        <x:f>IF(AND(MAX(N990,N989)&gt;0,N990&gt;N989+0.00000001),1,0)</x:f>
        <x:v>0</x:v>
      </x:c>
      <x:c r="U990" t="n">
        <x:f>IF(AND(MAX(O990,O989)&gt;0,O990&gt;O989+0.00000001),1,0)</x:f>
        <x:v>0</x:v>
      </x:c>
    </x:row>
    <x:row r="991">
      <x:c r="J991" t="n">
        <x:f>IF(AND(ISNUMBER('Results'!B7),ISNUMBER('Results'!C7),ISNUMBER('Results'!$B$8),ISNUMBER('Inputs'!$B$6),ISNUMBER('Inputs'!$B$7),ISNUMBER('Inputs'!$B$8),ISNUMBER('Inputs'!$B$9),ISNUMBER('Inputs'!$B$10),ISNUMBER('Inputs'!$B$21),ISNUMBER('Inputs'!$B$24),ISNUMBER('Inputs'!$B$28)),(('Results'!B7*(0.5*((((991-43)*MAX('Inputs'!$B$33,'Inputs'!$B$29+'Inputs'!$B$31+'Inputs'!$B$32,'Inputs'!$B$30+'Inputs'!$B$31+'Inputs'!$B$32)/1000+'Inputs'!$B$21)+'Inputs'!$B$7)/SQRT((((991-43)*MAX('Inputs'!$B$33,'Inputs'!$B$29+'Inputs'!$B$31+'Inputs'!$B$32,'Inputs'!$B$30+'Inputs'!$B$31+'Inputs'!$B$32)/1000+'Inputs'!$B$21)+'Inputs'!$B$7)^2+('Inputs'!$B$6/2)^2)-(((991-43)*MAX('Inputs'!$B$33,'Inputs'!$B$29+'Inputs'!$B$31+'Inputs'!$B$32,'Inputs'!$B$30+'Inputs'!$B$31+'Inputs'!$B$32)/1000+'Inputs'!$B$21))/SQRT((((991-43)*MAX('Inputs'!$B$33,'Inputs'!$B$29+'Inputs'!$B$31+'Inputs'!$B$32,'Inputs'!$B$30+'Inputs'!$B$31+'Inputs'!$B$32)/1000+'Inputs'!$B$21))^2+('Inputs'!$B$6/2)^2)))-'Results'!C7*(0.5*((((991-43)*MAX('Inputs'!$B$33,'Inputs'!$B$29+'Inputs'!$B$31+'Inputs'!$B$32,'Inputs'!$B$30+'Inputs'!$B$31+'Inputs'!$B$32)/1000+'Inputs'!$B$21+'Inputs'!$B$7+'Inputs'!$B$10)+'Inputs'!$B$9)/SQRT((((991-43)*MAX('Inputs'!$B$33,'Inputs'!$B$29+'Inputs'!$B$31+'Inputs'!$B$32,'Inputs'!$B$30+'Inputs'!$B$31+'Inputs'!$B$32)/1000+'Inputs'!$B$21+'Inputs'!$B$7+'Inputs'!$B$10)+'Inputs'!$B$9)^2+('Inputs'!$B$8/2)^2)-(((991-43)*MAX('Inputs'!$B$33,'Inputs'!$B$29+'Inputs'!$B$31+'Inputs'!$B$32,'Inputs'!$B$30+'Inputs'!$B$31+'Inputs'!$B$32)/1000+'Inputs'!$B$21+'Inputs'!$B$7+'Inputs'!$B$10))/SQRT((((991-43)*MAX('Inputs'!$B$33,'Inputs'!$B$29+'Inputs'!$B$31+'Inputs'!$B$32,'Inputs'!$B$30+'Inputs'!$B$31+'Inputs'!$B$32)/1000+'Inputs'!$B$21+'Inputs'!$B$7+'Inputs'!$B$10))^2+('Inputs'!$B$8/2)^2))))*'Results'!$B$8),"")</x:f>
        <x:v>0.4338905702163884</x:v>
      </x:c>
      <x:c r="K991" t="n">
        <x:f>IF(AND(ISNUMBER('Results'!B7),ISNUMBER('Results'!C7),ISNUMBER('Results'!$B$8),ISNUMBER('Inputs'!$B$6),ISNUMBER('Inputs'!$B$7),ISNUMBER('Inputs'!$B$8),ISNUMBER('Inputs'!$B$9),ISNUMBER('Inputs'!$B$10),ISNUMBER('Inputs'!$B$21),ISNUMBER('Inputs'!$B$24),ISNUMBER('Inputs'!$B$28)),((('Results'!B7*(1-'Inputs'!$B$24)*(0.5*((((991-43)*MAX('Inputs'!$B$33,'Inputs'!$B$29+'Inputs'!$B$31+'Inputs'!$B$32,'Inputs'!$B$30+'Inputs'!$B$31+'Inputs'!$B$32)/1000+'Inputs'!$B$21)+'Inputs'!$B$7)/SQRT((((991-43)*MAX('Inputs'!$B$33,'Inputs'!$B$29+'Inputs'!$B$31+'Inputs'!$B$32,'Inputs'!$B$30+'Inputs'!$B$31+'Inputs'!$B$32)/1000+'Inputs'!$B$21)+'Inputs'!$B$7)^2+('Inputs'!$B$6/2)^2)-(((991-43)*MAX('Inputs'!$B$33,'Inputs'!$B$29+'Inputs'!$B$31+'Inputs'!$B$32,'Inputs'!$B$30+'Inputs'!$B$31+'Inputs'!$B$32)/1000+'Inputs'!$B$21))/SQRT((((991-43)*MAX('Inputs'!$B$33,'Inputs'!$B$29+'Inputs'!$B$31+'Inputs'!$B$32,'Inputs'!$B$30+'Inputs'!$B$31+'Inputs'!$B$32)/1000+'Inputs'!$B$21))^2+('Inputs'!$B$6/2)^2)))-'Results'!C7*(1+'Inputs'!$B$24)*(0.5*((((991-43)*MAX('Inputs'!$B$33,'Inputs'!$B$29+'Inputs'!$B$31+'Inputs'!$B$32,'Inputs'!$B$30+'Inputs'!$B$31+'Inputs'!$B$32)/1000+'Inputs'!$B$21+'Inputs'!$B$7+'Inputs'!$B$10)+'Inputs'!$B$9)/SQRT((((991-43)*MAX('Inputs'!$B$33,'Inputs'!$B$29+'Inputs'!$B$31+'Inputs'!$B$32,'Inputs'!$B$30+'Inputs'!$B$31+'Inputs'!$B$32)/1000+'Inputs'!$B$21+'Inputs'!$B$7+'Inputs'!$B$10)+'Inputs'!$B$9)^2+('Inputs'!$B$8/2)^2)-(((991-43)*MAX('Inputs'!$B$33,'Inputs'!$B$29+'Inputs'!$B$31+'Inputs'!$B$32,'Inputs'!$B$30+'Inputs'!$B$31+'Inputs'!$B$32)/1000+'Inputs'!$B$21+'Inputs'!$B$7+'Inputs'!$B$10))/SQRT((((991-43)*MAX('Inputs'!$B$33,'Inputs'!$B$29+'Inputs'!$B$31+'Inputs'!$B$32,'Inputs'!$B$30+'Inputs'!$B$31+'Inputs'!$B$32)/1000+'Inputs'!$B$21+'Inputs'!$B$7+'Inputs'!$B$10))^2+('Inputs'!$B$8/2)^2))))*'Results'!$B$8)-'Inputs'!$B$28*ABS((('Results'!B7*(1-'Inputs'!$B$24)*(0.5*((((991-43)*MAX('Inputs'!$B$33,'Inputs'!$B$29+'Inputs'!$B$31+'Inputs'!$B$32,'Inputs'!$B$30+'Inputs'!$B$31+'Inputs'!$B$32)/1000+'Inputs'!$B$21)+'Inputs'!$B$7)/SQRT((((991-43)*MAX('Inputs'!$B$33,'Inputs'!$B$29+'Inputs'!$B$31+'Inputs'!$B$32,'Inputs'!$B$30+'Inputs'!$B$31+'Inputs'!$B$32)/1000+'Inputs'!$B$21)+'Inputs'!$B$7)^2+('Inputs'!$B$6/2)^2)-(((991-43)*MAX('Inputs'!$B$33,'Inputs'!$B$29+'Inputs'!$B$31+'Inputs'!$B$32,'Inputs'!$B$30+'Inputs'!$B$31+'Inputs'!$B$32)/1000+'Inputs'!$B$21))/SQRT((((991-43)*MAX('Inputs'!$B$33,'Inputs'!$B$29+'Inputs'!$B$31+'Inputs'!$B$32,'Inputs'!$B$30+'Inputs'!$B$31+'Inputs'!$B$32)/1000+'Inputs'!$B$21))^2+('Inputs'!$B$6/2)^2)))-'Results'!C7*(1+'Inputs'!$B$24)*(0.5*((((991-43)*MAX('Inputs'!$B$33,'Inputs'!$B$29+'Inputs'!$B$31+'Inputs'!$B$32,'Inputs'!$B$30+'Inputs'!$B$31+'Inputs'!$B$32)/1000+'Inputs'!$B$21+'Inputs'!$B$7+'Inputs'!$B$10)+'Inputs'!$B$9)/SQRT((((991-43)*MAX('Inputs'!$B$33,'Inputs'!$B$29+'Inputs'!$B$31+'Inputs'!$B$32,'Inputs'!$B$30+'Inputs'!$B$31+'Inputs'!$B$32)/1000+'Inputs'!$B$21+'Inputs'!$B$7+'Inputs'!$B$10)+'Inputs'!$B$9)^2+('Inputs'!$B$8/2)^2)-(((991-43)*MAX('Inputs'!$B$33,'Inputs'!$B$29+'Inputs'!$B$31+'Inputs'!$B$32,'Inputs'!$B$30+'Inputs'!$B$31+'Inputs'!$B$32)/1000+'Inputs'!$B$21+'Inputs'!$B$7+'Inputs'!$B$10))/SQRT((((991-43)*MAX('Inputs'!$B$33,'Inputs'!$B$29+'Inputs'!$B$31+'Inputs'!$B$32,'Inputs'!$B$30+'Inputs'!$B$31+'Inputs'!$B$32)/1000+'Inputs'!$B$21+'Inputs'!$B$7+'Inputs'!$B$10))^2+('Inputs'!$B$8/2)^2))))*'Results'!$B$8))),"")</x:f>
        <x:v>0.36517576929058454</x:v>
      </x:c>
      <x:c r="L991" t="n">
        <x:f>IF(AND(ISNUMBER('Results'!B7),ISNUMBER('Results'!C7),ISNUMBER('Results'!$B$8),ISNUMBER('Inputs'!$B$6),ISNUMBER('Inputs'!$B$7),ISNUMBER('Inputs'!$B$8),ISNUMBER('Inputs'!$B$9),ISNUMBER('Inputs'!$B$10),ISNUMBER('Inputs'!$B$21),ISNUMBER('Inputs'!$B$24),ISNUMBER('Inputs'!$B$28)),((('Results'!B7*(1+'Inputs'!$B$24)*(0.5*((((991-43)*MAX('Inputs'!$B$33,'Inputs'!$B$29+'Inputs'!$B$31+'Inputs'!$B$32,'Inputs'!$B$30+'Inputs'!$B$31+'Inputs'!$B$32)/1000+'Inputs'!$B$21)+'Inputs'!$B$7)/SQRT((((991-43)*MAX('Inputs'!$B$33,'Inputs'!$B$29+'Inputs'!$B$31+'Inputs'!$B$32,'Inputs'!$B$30+'Inputs'!$B$31+'Inputs'!$B$32)/1000+'Inputs'!$B$21)+'Inputs'!$B$7)^2+('Inputs'!$B$6/2)^2)-(((991-43)*MAX('Inputs'!$B$33,'Inputs'!$B$29+'Inputs'!$B$31+'Inputs'!$B$32,'Inputs'!$B$30+'Inputs'!$B$31+'Inputs'!$B$32)/1000+'Inputs'!$B$21))/SQRT((((991-43)*MAX('Inputs'!$B$33,'Inputs'!$B$29+'Inputs'!$B$31+'Inputs'!$B$32,'Inputs'!$B$30+'Inputs'!$B$31+'Inputs'!$B$32)/1000+'Inputs'!$B$21))^2+('Inputs'!$B$6/2)^2)))-'Results'!C7*(1-'Inputs'!$B$24)*(0.5*((((991-43)*MAX('Inputs'!$B$33,'Inputs'!$B$29+'Inputs'!$B$31+'Inputs'!$B$32,'Inputs'!$B$30+'Inputs'!$B$31+'Inputs'!$B$32)/1000+'Inputs'!$B$21+'Inputs'!$B$7+'Inputs'!$B$10)+'Inputs'!$B$9)/SQRT((((991-43)*MAX('Inputs'!$B$33,'Inputs'!$B$29+'Inputs'!$B$31+'Inputs'!$B$32,'Inputs'!$B$30+'Inputs'!$B$31+'Inputs'!$B$32)/1000+'Inputs'!$B$21+'Inputs'!$B$7+'Inputs'!$B$10)+'Inputs'!$B$9)^2+('Inputs'!$B$8/2)^2)-(((991-43)*MAX('Inputs'!$B$33,'Inputs'!$B$29+'Inputs'!$B$31+'Inputs'!$B$32,'Inputs'!$B$30+'Inputs'!$B$31+'Inputs'!$B$32)/1000+'Inputs'!$B$21+'Inputs'!$B$7+'Inputs'!$B$10))/SQRT((((991-43)*MAX('Inputs'!$B$33,'Inputs'!$B$29+'Inputs'!$B$31+'Inputs'!$B$32,'Inputs'!$B$30+'Inputs'!$B$31+'Inputs'!$B$32)/1000+'Inputs'!$B$21+'Inputs'!$B$7+'Inputs'!$B$10))^2+('Inputs'!$B$8/2)^2))))*'Results'!$B$8)+'Inputs'!$B$28*ABS((('Results'!B7*(1+'Inputs'!$B$24)*(0.5*((((991-43)*MAX('Inputs'!$B$33,'Inputs'!$B$29+'Inputs'!$B$31+'Inputs'!$B$32,'Inputs'!$B$30+'Inputs'!$B$31+'Inputs'!$B$32)/1000+'Inputs'!$B$21)+'Inputs'!$B$7)/SQRT((((991-43)*MAX('Inputs'!$B$33,'Inputs'!$B$29+'Inputs'!$B$31+'Inputs'!$B$32,'Inputs'!$B$30+'Inputs'!$B$31+'Inputs'!$B$32)/1000+'Inputs'!$B$21)+'Inputs'!$B$7)^2+('Inputs'!$B$6/2)^2)-(((991-43)*MAX('Inputs'!$B$33,'Inputs'!$B$29+'Inputs'!$B$31+'Inputs'!$B$32,'Inputs'!$B$30+'Inputs'!$B$31+'Inputs'!$B$32)/1000+'Inputs'!$B$21))/SQRT((((991-43)*MAX('Inputs'!$B$33,'Inputs'!$B$29+'Inputs'!$B$31+'Inputs'!$B$32,'Inputs'!$B$30+'Inputs'!$B$31+'Inputs'!$B$32)/1000+'Inputs'!$B$21))^2+('Inputs'!$B$6/2)^2)))-'Results'!C7*(1-'Inputs'!$B$24)*(0.5*((((991-43)*MAX('Inputs'!$B$33,'Inputs'!$B$29+'Inputs'!$B$31+'Inputs'!$B$32,'Inputs'!$B$30+'Inputs'!$B$31+'Inputs'!$B$32)/1000+'Inputs'!$B$21+'Inputs'!$B$7+'Inputs'!$B$10)+'Inputs'!$B$9)/SQRT((((991-43)*MAX('Inputs'!$B$33,'Inputs'!$B$29+'Inputs'!$B$31+'Inputs'!$B$32,'Inputs'!$B$30+'Inputs'!$B$31+'Inputs'!$B$32)/1000+'Inputs'!$B$21+'Inputs'!$B$7+'Inputs'!$B$10)+'Inputs'!$B$9)^2+('Inputs'!$B$8/2)^2)-(((991-43)*MAX('Inputs'!$B$33,'Inputs'!$B$29+'Inputs'!$B$31+'Inputs'!$B$32,'Inputs'!$B$30+'Inputs'!$B$31+'Inputs'!$B$32)/1000+'Inputs'!$B$21+'Inputs'!$B$7+'Inputs'!$B$10))/SQRT((((991-43)*MAX('Inputs'!$B$33,'Inputs'!$B$29+'Inputs'!$B$31+'Inputs'!$B$32,'Inputs'!$B$30+'Inputs'!$B$31+'Inputs'!$B$32)/1000+'Inputs'!$B$21+'Inputs'!$B$7+'Inputs'!$B$10))^2+('Inputs'!$B$8/2)^2))))*'Results'!$B$8))),"")</x:f>
        <x:v>0.5075548735016645</x:v>
      </x:c>
      <x:c r="M991" t="n">
        <x:f>IF(AND(ISNUMBER('Results'!C7),ISNUMBER('Results'!B7),ISNUMBER('Results'!$B$8),ISNUMBER('Inputs'!$B$6),ISNUMBER('Inputs'!$B$7),ISNUMBER('Inputs'!$B$8),ISNUMBER('Inputs'!$B$9),ISNUMBER('Inputs'!$B$10),ISNUMBER('Inputs'!$B$21),ISNUMBER('Inputs'!$B$24),ISNUMBER('Inputs'!$B$28)),(('Results'!C7*(0.5*((((991-43)*MAX('Inputs'!$B$33,'Inputs'!$B$29+'Inputs'!$B$31+'Inputs'!$B$32,'Inputs'!$B$30+'Inputs'!$B$31+'Inputs'!$B$32)/1000+'Inputs'!$B$21)+'Inputs'!$B$9)/SQRT((((991-43)*MAX('Inputs'!$B$33,'Inputs'!$B$29+'Inputs'!$B$31+'Inputs'!$B$32,'Inputs'!$B$30+'Inputs'!$B$31+'Inputs'!$B$32)/1000+'Inputs'!$B$21)+'Inputs'!$B$9)^2+('Inputs'!$B$8/2)^2)-(((991-43)*MAX('Inputs'!$B$33,'Inputs'!$B$29+'Inputs'!$B$31+'Inputs'!$B$32,'Inputs'!$B$30+'Inputs'!$B$31+'Inputs'!$B$32)/1000+'Inputs'!$B$21))/SQRT((((991-43)*MAX('Inputs'!$B$33,'Inputs'!$B$29+'Inputs'!$B$31+'Inputs'!$B$32,'Inputs'!$B$30+'Inputs'!$B$31+'Inputs'!$B$32)/1000+'Inputs'!$B$21))^2+('Inputs'!$B$8/2)^2)))-'Results'!B7*(0.5*((((991-43)*MAX('Inputs'!$B$33,'Inputs'!$B$29+'Inputs'!$B$31+'Inputs'!$B$32,'Inputs'!$B$30+'Inputs'!$B$31+'Inputs'!$B$32)/1000+'Inputs'!$B$21+'Inputs'!$B$9+'Inputs'!$B$10)+'Inputs'!$B$7)/SQRT((((991-43)*MAX('Inputs'!$B$33,'Inputs'!$B$29+'Inputs'!$B$31+'Inputs'!$B$32,'Inputs'!$B$30+'Inputs'!$B$31+'Inputs'!$B$32)/1000+'Inputs'!$B$21+'Inputs'!$B$9+'Inputs'!$B$10)+'Inputs'!$B$7)^2+('Inputs'!$B$6/2)^2)-(((991-43)*MAX('Inputs'!$B$33,'Inputs'!$B$29+'Inputs'!$B$31+'Inputs'!$B$32,'Inputs'!$B$30+'Inputs'!$B$31+'Inputs'!$B$32)/1000+'Inputs'!$B$21+'Inputs'!$B$9+'Inputs'!$B$10))/SQRT((((991-43)*MAX('Inputs'!$B$33,'Inputs'!$B$29+'Inputs'!$B$31+'Inputs'!$B$32,'Inputs'!$B$30+'Inputs'!$B$31+'Inputs'!$B$32)/1000+'Inputs'!$B$21+'Inputs'!$B$9+'Inputs'!$B$10))^2+('Inputs'!$B$6/2)^2))))*'Results'!$B$8),"")</x:f>
        <x:v>0.3839790444564599</x:v>
      </x:c>
      <x:c r="N991" t="n">
        <x:f>IF(AND(ISNUMBER('Results'!C7),ISNUMBER('Results'!B7),ISNUMBER('Results'!$B$8),ISNUMBER('Inputs'!$B$6),ISNUMBER('Inputs'!$B$7),ISNUMBER('Inputs'!$B$8),ISNUMBER('Inputs'!$B$9),ISNUMBER('Inputs'!$B$10),ISNUMBER('Inputs'!$B$21),ISNUMBER('Inputs'!$B$24),ISNUMBER('Inputs'!$B$28)),((('Results'!C7*(1-'Inputs'!$B$24)*(0.5*((((991-43)*MAX('Inputs'!$B$33,'Inputs'!$B$29+'Inputs'!$B$31+'Inputs'!$B$32,'Inputs'!$B$30+'Inputs'!$B$31+'Inputs'!$B$32)/1000+'Inputs'!$B$21)+'Inputs'!$B$9)/SQRT((((991-43)*MAX('Inputs'!$B$33,'Inputs'!$B$29+'Inputs'!$B$31+'Inputs'!$B$32,'Inputs'!$B$30+'Inputs'!$B$31+'Inputs'!$B$32)/1000+'Inputs'!$B$21)+'Inputs'!$B$9)^2+('Inputs'!$B$8/2)^2)-(((991-43)*MAX('Inputs'!$B$33,'Inputs'!$B$29+'Inputs'!$B$31+'Inputs'!$B$32,'Inputs'!$B$30+'Inputs'!$B$31+'Inputs'!$B$32)/1000+'Inputs'!$B$21))/SQRT((((991-43)*MAX('Inputs'!$B$33,'Inputs'!$B$29+'Inputs'!$B$31+'Inputs'!$B$32,'Inputs'!$B$30+'Inputs'!$B$31+'Inputs'!$B$32)/1000+'Inputs'!$B$21))^2+('Inputs'!$B$8/2)^2)))-'Results'!B7*(1+'Inputs'!$B$24)*(0.5*((((991-43)*MAX('Inputs'!$B$33,'Inputs'!$B$29+'Inputs'!$B$31+'Inputs'!$B$32,'Inputs'!$B$30+'Inputs'!$B$31+'Inputs'!$B$32)/1000+'Inputs'!$B$21+'Inputs'!$B$9+'Inputs'!$B$10)+'Inputs'!$B$7)/SQRT((((991-43)*MAX('Inputs'!$B$33,'Inputs'!$B$29+'Inputs'!$B$31+'Inputs'!$B$32,'Inputs'!$B$30+'Inputs'!$B$31+'Inputs'!$B$32)/1000+'Inputs'!$B$21+'Inputs'!$B$9+'Inputs'!$B$10)+'Inputs'!$B$7)^2+('Inputs'!$B$6/2)^2)-(((991-43)*MAX('Inputs'!$B$33,'Inputs'!$B$29+'Inputs'!$B$31+'Inputs'!$B$32,'Inputs'!$B$30+'Inputs'!$B$31+'Inputs'!$B$32)/1000+'Inputs'!$B$21+'Inputs'!$B$9+'Inputs'!$B$10))/SQRT((((991-43)*MAX('Inputs'!$B$33,'Inputs'!$B$29+'Inputs'!$B$31+'Inputs'!$B$32,'Inputs'!$B$30+'Inputs'!$B$31+'Inputs'!$B$32)/1000+'Inputs'!$B$21+'Inputs'!$B$9+'Inputs'!$B$10))^2+('Inputs'!$B$6/2)^2))))*'Results'!$B$8)-'Inputs'!$B$28*ABS((('Results'!C7*(1-'Inputs'!$B$24)*(0.5*((((991-43)*MAX('Inputs'!$B$33,'Inputs'!$B$29+'Inputs'!$B$31+'Inputs'!$B$32,'Inputs'!$B$30+'Inputs'!$B$31+'Inputs'!$B$32)/1000+'Inputs'!$B$21)+'Inputs'!$B$9)/SQRT((((991-43)*MAX('Inputs'!$B$33,'Inputs'!$B$29+'Inputs'!$B$31+'Inputs'!$B$32,'Inputs'!$B$30+'Inputs'!$B$31+'Inputs'!$B$32)/1000+'Inputs'!$B$21)+'Inputs'!$B$9)^2+('Inputs'!$B$8/2)^2)-(((991-43)*MAX('Inputs'!$B$33,'Inputs'!$B$29+'Inputs'!$B$31+'Inputs'!$B$32,'Inputs'!$B$30+'Inputs'!$B$31+'Inputs'!$B$32)/1000+'Inputs'!$B$21))/SQRT((((991-43)*MAX('Inputs'!$B$33,'Inputs'!$B$29+'Inputs'!$B$31+'Inputs'!$B$32,'Inputs'!$B$30+'Inputs'!$B$31+'Inputs'!$B$32)/1000+'Inputs'!$B$21))^2+('Inputs'!$B$8/2)^2)))-'Results'!B7*(1+'Inputs'!$B$24)*(0.5*((((991-43)*MAX('Inputs'!$B$33,'Inputs'!$B$29+'Inputs'!$B$31+'Inputs'!$B$32,'Inputs'!$B$30+'Inputs'!$B$31+'Inputs'!$B$32)/1000+'Inputs'!$B$21+'Inputs'!$B$9+'Inputs'!$B$10)+'Inputs'!$B$7)/SQRT((((991-43)*MAX('Inputs'!$B$33,'Inputs'!$B$29+'Inputs'!$B$31+'Inputs'!$B$32,'Inputs'!$B$30+'Inputs'!$B$31+'Inputs'!$B$32)/1000+'Inputs'!$B$21+'Inputs'!$B$9+'Inputs'!$B$10)+'Inputs'!$B$7)^2+('Inputs'!$B$6/2)^2)-(((991-43)*MAX('Inputs'!$B$33,'Inputs'!$B$29+'Inputs'!$B$31+'Inputs'!$B$32,'Inputs'!$B$30+'Inputs'!$B$31+'Inputs'!$B$32)/1000+'Inputs'!$B$21+'Inputs'!$B$9+'Inputs'!$B$10))/SQRT((((991-43)*MAX('Inputs'!$B$33,'Inputs'!$B$29+'Inputs'!$B$31+'Inputs'!$B$32,'Inputs'!$B$30+'Inputs'!$B$31+'Inputs'!$B$32)/1000+'Inputs'!$B$21+'Inputs'!$B$9+'Inputs'!$B$10))^2+('Inputs'!$B$6/2)^2))))*'Results'!$B$8))),"")</x:f>
        <x:v>0.3179167846941957</x:v>
      </x:c>
      <x:c r="O991" t="n">
        <x:f>IF(AND(ISNUMBER('Results'!C7),ISNUMBER('Results'!B7),ISNUMBER('Results'!$B$8),ISNUMBER('Inputs'!$B$6),ISNUMBER('Inputs'!$B$7),ISNUMBER('Inputs'!$B$8),ISNUMBER('Inputs'!$B$9),ISNUMBER('Inputs'!$B$10),ISNUMBER('Inputs'!$B$21),ISNUMBER('Inputs'!$B$24),ISNUMBER('Inputs'!$B$28)),((('Results'!C7*(1+'Inputs'!$B$24)*(0.5*((((991-43)*MAX('Inputs'!$B$33,'Inputs'!$B$29+'Inputs'!$B$31+'Inputs'!$B$32,'Inputs'!$B$30+'Inputs'!$B$31+'Inputs'!$B$32)/1000+'Inputs'!$B$21)+'Inputs'!$B$9)/SQRT((((991-43)*MAX('Inputs'!$B$33,'Inputs'!$B$29+'Inputs'!$B$31+'Inputs'!$B$32,'Inputs'!$B$30+'Inputs'!$B$31+'Inputs'!$B$32)/1000+'Inputs'!$B$21)+'Inputs'!$B$9)^2+('Inputs'!$B$8/2)^2)-(((991-43)*MAX('Inputs'!$B$33,'Inputs'!$B$29+'Inputs'!$B$31+'Inputs'!$B$32,'Inputs'!$B$30+'Inputs'!$B$31+'Inputs'!$B$32)/1000+'Inputs'!$B$21))/SQRT((((991-43)*MAX('Inputs'!$B$33,'Inputs'!$B$29+'Inputs'!$B$31+'Inputs'!$B$32,'Inputs'!$B$30+'Inputs'!$B$31+'Inputs'!$B$32)/1000+'Inputs'!$B$21))^2+('Inputs'!$B$8/2)^2)))-'Results'!B7*(1-'Inputs'!$B$24)*(0.5*((((991-43)*MAX('Inputs'!$B$33,'Inputs'!$B$29+'Inputs'!$B$31+'Inputs'!$B$32,'Inputs'!$B$30+'Inputs'!$B$31+'Inputs'!$B$32)/1000+'Inputs'!$B$21+'Inputs'!$B$9+'Inputs'!$B$10)+'Inputs'!$B$7)/SQRT((((991-43)*MAX('Inputs'!$B$33,'Inputs'!$B$29+'Inputs'!$B$31+'Inputs'!$B$32,'Inputs'!$B$30+'Inputs'!$B$31+'Inputs'!$B$32)/1000+'Inputs'!$B$21+'Inputs'!$B$9+'Inputs'!$B$10)+'Inputs'!$B$7)^2+('Inputs'!$B$6/2)^2)-(((991-43)*MAX('Inputs'!$B$33,'Inputs'!$B$29+'Inputs'!$B$31+'Inputs'!$B$32,'Inputs'!$B$30+'Inputs'!$B$31+'Inputs'!$B$32)/1000+'Inputs'!$B$21+'Inputs'!$B$9+'Inputs'!$B$10))/SQRT((((991-43)*MAX('Inputs'!$B$33,'Inputs'!$B$29+'Inputs'!$B$31+'Inputs'!$B$32,'Inputs'!$B$30+'Inputs'!$B$31+'Inputs'!$B$32)/1000+'Inputs'!$B$21+'Inputs'!$B$9+'Inputs'!$B$10))^2+('Inputs'!$B$6/2)^2))))*'Results'!$B$8)+'Inputs'!$B$28*ABS((('Results'!C7*(1+'Inputs'!$B$24)*(0.5*((((991-43)*MAX('Inputs'!$B$33,'Inputs'!$B$29+'Inputs'!$B$31+'Inputs'!$B$32,'Inputs'!$B$30+'Inputs'!$B$31+'Inputs'!$B$32)/1000+'Inputs'!$B$21)+'Inputs'!$B$9)/SQRT((((991-43)*MAX('Inputs'!$B$33,'Inputs'!$B$29+'Inputs'!$B$31+'Inputs'!$B$32,'Inputs'!$B$30+'Inputs'!$B$31+'Inputs'!$B$32)/1000+'Inputs'!$B$21)+'Inputs'!$B$9)^2+('Inputs'!$B$8/2)^2)-(((991-43)*MAX('Inputs'!$B$33,'Inputs'!$B$29+'Inputs'!$B$31+'Inputs'!$B$32,'Inputs'!$B$30+'Inputs'!$B$31+'Inputs'!$B$32)/1000+'Inputs'!$B$21))/SQRT((((991-43)*MAX('Inputs'!$B$33,'Inputs'!$B$29+'Inputs'!$B$31+'Inputs'!$B$32,'Inputs'!$B$30+'Inputs'!$B$31+'Inputs'!$B$32)/1000+'Inputs'!$B$21))^2+('Inputs'!$B$8/2)^2)))-'Results'!B7*(1-'Inputs'!$B$24)*(0.5*((((991-43)*MAX('Inputs'!$B$33,'Inputs'!$B$29+'Inputs'!$B$31+'Inputs'!$B$32,'Inputs'!$B$30+'Inputs'!$B$31+'Inputs'!$B$32)/1000+'Inputs'!$B$21+'Inputs'!$B$9+'Inputs'!$B$10)+'Inputs'!$B$7)/SQRT((((991-43)*MAX('Inputs'!$B$33,'Inputs'!$B$29+'Inputs'!$B$31+'Inputs'!$B$32,'Inputs'!$B$30+'Inputs'!$B$31+'Inputs'!$B$32)/1000+'Inputs'!$B$21+'Inputs'!$B$9+'Inputs'!$B$10)+'Inputs'!$B$7)^2+('Inputs'!$B$6/2)^2)-(((991-43)*MAX('Inputs'!$B$33,'Inputs'!$B$29+'Inputs'!$B$31+'Inputs'!$B$32,'Inputs'!$B$30+'Inputs'!$B$31+'Inputs'!$B$32)/1000+'Inputs'!$B$21+'Inputs'!$B$9+'Inputs'!$B$10))/SQRT((((991-43)*MAX('Inputs'!$B$33,'Inputs'!$B$29+'Inputs'!$B$31+'Inputs'!$B$32,'Inputs'!$B$30+'Inputs'!$B$31+'Inputs'!$B$32)/1000+'Inputs'!$B$21+'Inputs'!$B$9+'Inputs'!$B$10))^2+('Inputs'!$B$6/2)^2))))*'Results'!$B$8))),"")</x:f>
        <x:v>0.4549742839597179</x:v>
      </x:c>
      <x:c r="P991" t="n">
        <x:f>IF(AND(MAX(J991,J990)&gt;0,J991&gt;J990+0.00000001),1,0)</x:f>
        <x:v>0</x:v>
      </x:c>
      <x:c r="Q991" t="n">
        <x:f>IF(AND(MAX(K991,K990)&gt;0,K991&gt;K990+0.00000001),1,0)</x:f>
        <x:v>0</x:v>
      </x:c>
      <x:c r="R991" t="n">
        <x:f>IF(AND(MAX(L991,L990)&gt;0,L991&gt;L990+0.00000001),1,0)</x:f>
        <x:v>0</x:v>
      </x:c>
      <x:c r="S991" t="n">
        <x:f>IF(AND(MAX(M991,M990)&gt;0,M991&gt;M990+0.00000001),1,0)</x:f>
        <x:v>0</x:v>
      </x:c>
      <x:c r="T991" t="n">
        <x:f>IF(AND(MAX(N991,N990)&gt;0,N991&gt;N990+0.00000001),1,0)</x:f>
        <x:v>0</x:v>
      </x:c>
      <x:c r="U991" t="n">
        <x:f>IF(AND(MAX(O991,O990)&gt;0,O991&gt;O990+0.00000001),1,0)</x:f>
        <x:v>0</x:v>
      </x:c>
    </x:row>
    <x:row r="992">
      <x:c r="J992" t="n">
        <x:f>IF(AND(ISNUMBER('Results'!B7),ISNUMBER('Results'!C7),ISNUMBER('Results'!$B$8),ISNUMBER('Inputs'!$B$6),ISNUMBER('Inputs'!$B$7),ISNUMBER('Inputs'!$B$8),ISNUMBER('Inputs'!$B$9),ISNUMBER('Inputs'!$B$10),ISNUMBER('Inputs'!$B$21),ISNUMBER('Inputs'!$B$24),ISNUMBER('Inputs'!$B$28)),(('Results'!B7*(0.5*((((992-43)*MAX('Inputs'!$B$33,'Inputs'!$B$29+'Inputs'!$B$31+'Inputs'!$B$32,'Inputs'!$B$30+'Inputs'!$B$31+'Inputs'!$B$32)/1000+'Inputs'!$B$21)+'Inputs'!$B$7)/SQRT((((992-43)*MAX('Inputs'!$B$33,'Inputs'!$B$29+'Inputs'!$B$31+'Inputs'!$B$32,'Inputs'!$B$30+'Inputs'!$B$31+'Inputs'!$B$32)/1000+'Inputs'!$B$21)+'Inputs'!$B$7)^2+('Inputs'!$B$6/2)^2)-(((992-43)*MAX('Inputs'!$B$33,'Inputs'!$B$29+'Inputs'!$B$31+'Inputs'!$B$32,'Inputs'!$B$30+'Inputs'!$B$31+'Inputs'!$B$32)/1000+'Inputs'!$B$21))/SQRT((((992-43)*MAX('Inputs'!$B$33,'Inputs'!$B$29+'Inputs'!$B$31+'Inputs'!$B$32,'Inputs'!$B$30+'Inputs'!$B$31+'Inputs'!$B$32)/1000+'Inputs'!$B$21))^2+('Inputs'!$B$6/2)^2)))-'Results'!C7*(0.5*((((992-43)*MAX('Inputs'!$B$33,'Inputs'!$B$29+'Inputs'!$B$31+'Inputs'!$B$32,'Inputs'!$B$30+'Inputs'!$B$31+'Inputs'!$B$32)/1000+'Inputs'!$B$21+'Inputs'!$B$7+'Inputs'!$B$10)+'Inputs'!$B$9)/SQRT((((992-43)*MAX('Inputs'!$B$33,'Inputs'!$B$29+'Inputs'!$B$31+'Inputs'!$B$32,'Inputs'!$B$30+'Inputs'!$B$31+'Inputs'!$B$32)/1000+'Inputs'!$B$21+'Inputs'!$B$7+'Inputs'!$B$10)+'Inputs'!$B$9)^2+('Inputs'!$B$8/2)^2)-(((992-43)*MAX('Inputs'!$B$33,'Inputs'!$B$29+'Inputs'!$B$31+'Inputs'!$B$32,'Inputs'!$B$30+'Inputs'!$B$31+'Inputs'!$B$32)/1000+'Inputs'!$B$21+'Inputs'!$B$7+'Inputs'!$B$10))/SQRT((((992-43)*MAX('Inputs'!$B$33,'Inputs'!$B$29+'Inputs'!$B$31+'Inputs'!$B$32,'Inputs'!$B$30+'Inputs'!$B$31+'Inputs'!$B$32)/1000+'Inputs'!$B$21+'Inputs'!$B$7+'Inputs'!$B$10))^2+('Inputs'!$B$8/2)^2))))*'Results'!$B$8),"")</x:f>
        <x:v>0.4322283428488293</x:v>
      </x:c>
      <x:c r="K992" t="n">
        <x:f>IF(AND(ISNUMBER('Results'!B7),ISNUMBER('Results'!C7),ISNUMBER('Results'!$B$8),ISNUMBER('Inputs'!$B$6),ISNUMBER('Inputs'!$B$7),ISNUMBER('Inputs'!$B$8),ISNUMBER('Inputs'!$B$9),ISNUMBER('Inputs'!$B$10),ISNUMBER('Inputs'!$B$21),ISNUMBER('Inputs'!$B$24),ISNUMBER('Inputs'!$B$28)),((('Results'!B7*(1-'Inputs'!$B$24)*(0.5*((((992-43)*MAX('Inputs'!$B$33,'Inputs'!$B$29+'Inputs'!$B$31+'Inputs'!$B$32,'Inputs'!$B$30+'Inputs'!$B$31+'Inputs'!$B$32)/1000+'Inputs'!$B$21)+'Inputs'!$B$7)/SQRT((((992-43)*MAX('Inputs'!$B$33,'Inputs'!$B$29+'Inputs'!$B$31+'Inputs'!$B$32,'Inputs'!$B$30+'Inputs'!$B$31+'Inputs'!$B$32)/1000+'Inputs'!$B$21)+'Inputs'!$B$7)^2+('Inputs'!$B$6/2)^2)-(((992-43)*MAX('Inputs'!$B$33,'Inputs'!$B$29+'Inputs'!$B$31+'Inputs'!$B$32,'Inputs'!$B$30+'Inputs'!$B$31+'Inputs'!$B$32)/1000+'Inputs'!$B$21))/SQRT((((992-43)*MAX('Inputs'!$B$33,'Inputs'!$B$29+'Inputs'!$B$31+'Inputs'!$B$32,'Inputs'!$B$30+'Inputs'!$B$31+'Inputs'!$B$32)/1000+'Inputs'!$B$21))^2+('Inputs'!$B$6/2)^2)))-'Results'!C7*(1+'Inputs'!$B$24)*(0.5*((((992-43)*MAX('Inputs'!$B$33,'Inputs'!$B$29+'Inputs'!$B$31+'Inputs'!$B$32,'Inputs'!$B$30+'Inputs'!$B$31+'Inputs'!$B$32)/1000+'Inputs'!$B$21+'Inputs'!$B$7+'Inputs'!$B$10)+'Inputs'!$B$9)/SQRT((((992-43)*MAX('Inputs'!$B$33,'Inputs'!$B$29+'Inputs'!$B$31+'Inputs'!$B$32,'Inputs'!$B$30+'Inputs'!$B$31+'Inputs'!$B$32)/1000+'Inputs'!$B$21+'Inputs'!$B$7+'Inputs'!$B$10)+'Inputs'!$B$9)^2+('Inputs'!$B$8/2)^2)-(((992-43)*MAX('Inputs'!$B$33,'Inputs'!$B$29+'Inputs'!$B$31+'Inputs'!$B$32,'Inputs'!$B$30+'Inputs'!$B$31+'Inputs'!$B$32)/1000+'Inputs'!$B$21+'Inputs'!$B$7+'Inputs'!$B$10))/SQRT((((992-43)*MAX('Inputs'!$B$33,'Inputs'!$B$29+'Inputs'!$B$31+'Inputs'!$B$32,'Inputs'!$B$30+'Inputs'!$B$31+'Inputs'!$B$32)/1000+'Inputs'!$B$21+'Inputs'!$B$7+'Inputs'!$B$10))^2+('Inputs'!$B$8/2)^2))))*'Results'!$B$8)-'Inputs'!$B$28*ABS((('Results'!B7*(1-'Inputs'!$B$24)*(0.5*((((992-43)*MAX('Inputs'!$B$33,'Inputs'!$B$29+'Inputs'!$B$31+'Inputs'!$B$32,'Inputs'!$B$30+'Inputs'!$B$31+'Inputs'!$B$32)/1000+'Inputs'!$B$21)+'Inputs'!$B$7)/SQRT((((992-43)*MAX('Inputs'!$B$33,'Inputs'!$B$29+'Inputs'!$B$31+'Inputs'!$B$32,'Inputs'!$B$30+'Inputs'!$B$31+'Inputs'!$B$32)/1000+'Inputs'!$B$21)+'Inputs'!$B$7)^2+('Inputs'!$B$6/2)^2)-(((992-43)*MAX('Inputs'!$B$33,'Inputs'!$B$29+'Inputs'!$B$31+'Inputs'!$B$32,'Inputs'!$B$30+'Inputs'!$B$31+'Inputs'!$B$32)/1000+'Inputs'!$B$21))/SQRT((((992-43)*MAX('Inputs'!$B$33,'Inputs'!$B$29+'Inputs'!$B$31+'Inputs'!$B$32,'Inputs'!$B$30+'Inputs'!$B$31+'Inputs'!$B$32)/1000+'Inputs'!$B$21))^2+('Inputs'!$B$6/2)^2)))-'Results'!C7*(1+'Inputs'!$B$24)*(0.5*((((992-43)*MAX('Inputs'!$B$33,'Inputs'!$B$29+'Inputs'!$B$31+'Inputs'!$B$32,'Inputs'!$B$30+'Inputs'!$B$31+'Inputs'!$B$32)/1000+'Inputs'!$B$21+'Inputs'!$B$7+'Inputs'!$B$10)+'Inputs'!$B$9)/SQRT((((992-43)*MAX('Inputs'!$B$33,'Inputs'!$B$29+'Inputs'!$B$31+'Inputs'!$B$32,'Inputs'!$B$30+'Inputs'!$B$31+'Inputs'!$B$32)/1000+'Inputs'!$B$21+'Inputs'!$B$7+'Inputs'!$B$10)+'Inputs'!$B$9)^2+('Inputs'!$B$8/2)^2)-(((992-43)*MAX('Inputs'!$B$33,'Inputs'!$B$29+'Inputs'!$B$31+'Inputs'!$B$32,'Inputs'!$B$30+'Inputs'!$B$31+'Inputs'!$B$32)/1000+'Inputs'!$B$21+'Inputs'!$B$7+'Inputs'!$B$10))/SQRT((((992-43)*MAX('Inputs'!$B$33,'Inputs'!$B$29+'Inputs'!$B$31+'Inputs'!$B$32,'Inputs'!$B$30+'Inputs'!$B$31+'Inputs'!$B$32)/1000+'Inputs'!$B$21+'Inputs'!$B$7+'Inputs'!$B$10))^2+('Inputs'!$B$8/2)^2))))*'Results'!$B$8))),"")</x:f>
        <x:v>0.36373497214881034</x:v>
      </x:c>
      <x:c r="L992" t="n">
        <x:f>IF(AND(ISNUMBER('Results'!B7),ISNUMBER('Results'!C7),ISNUMBER('Results'!$B$8),ISNUMBER('Inputs'!$B$6),ISNUMBER('Inputs'!$B$7),ISNUMBER('Inputs'!$B$8),ISNUMBER('Inputs'!$B$9),ISNUMBER('Inputs'!$B$10),ISNUMBER('Inputs'!$B$21),ISNUMBER('Inputs'!$B$24),ISNUMBER('Inputs'!$B$28)),((('Results'!B7*(1+'Inputs'!$B$24)*(0.5*((((992-43)*MAX('Inputs'!$B$33,'Inputs'!$B$29+'Inputs'!$B$31+'Inputs'!$B$32,'Inputs'!$B$30+'Inputs'!$B$31+'Inputs'!$B$32)/1000+'Inputs'!$B$21)+'Inputs'!$B$7)/SQRT((((992-43)*MAX('Inputs'!$B$33,'Inputs'!$B$29+'Inputs'!$B$31+'Inputs'!$B$32,'Inputs'!$B$30+'Inputs'!$B$31+'Inputs'!$B$32)/1000+'Inputs'!$B$21)+'Inputs'!$B$7)^2+('Inputs'!$B$6/2)^2)-(((992-43)*MAX('Inputs'!$B$33,'Inputs'!$B$29+'Inputs'!$B$31+'Inputs'!$B$32,'Inputs'!$B$30+'Inputs'!$B$31+'Inputs'!$B$32)/1000+'Inputs'!$B$21))/SQRT((((992-43)*MAX('Inputs'!$B$33,'Inputs'!$B$29+'Inputs'!$B$31+'Inputs'!$B$32,'Inputs'!$B$30+'Inputs'!$B$31+'Inputs'!$B$32)/1000+'Inputs'!$B$21))^2+('Inputs'!$B$6/2)^2)))-'Results'!C7*(1-'Inputs'!$B$24)*(0.5*((((992-43)*MAX('Inputs'!$B$33,'Inputs'!$B$29+'Inputs'!$B$31+'Inputs'!$B$32,'Inputs'!$B$30+'Inputs'!$B$31+'Inputs'!$B$32)/1000+'Inputs'!$B$21+'Inputs'!$B$7+'Inputs'!$B$10)+'Inputs'!$B$9)/SQRT((((992-43)*MAX('Inputs'!$B$33,'Inputs'!$B$29+'Inputs'!$B$31+'Inputs'!$B$32,'Inputs'!$B$30+'Inputs'!$B$31+'Inputs'!$B$32)/1000+'Inputs'!$B$21+'Inputs'!$B$7+'Inputs'!$B$10)+'Inputs'!$B$9)^2+('Inputs'!$B$8/2)^2)-(((992-43)*MAX('Inputs'!$B$33,'Inputs'!$B$29+'Inputs'!$B$31+'Inputs'!$B$32,'Inputs'!$B$30+'Inputs'!$B$31+'Inputs'!$B$32)/1000+'Inputs'!$B$21+'Inputs'!$B$7+'Inputs'!$B$10))/SQRT((((992-43)*MAX('Inputs'!$B$33,'Inputs'!$B$29+'Inputs'!$B$31+'Inputs'!$B$32,'Inputs'!$B$30+'Inputs'!$B$31+'Inputs'!$B$32)/1000+'Inputs'!$B$21+'Inputs'!$B$7+'Inputs'!$B$10))^2+('Inputs'!$B$8/2)^2))))*'Results'!$B$8)+'Inputs'!$B$28*ABS((('Results'!B7*(1+'Inputs'!$B$24)*(0.5*((((992-43)*MAX('Inputs'!$B$33,'Inputs'!$B$29+'Inputs'!$B$31+'Inputs'!$B$32,'Inputs'!$B$30+'Inputs'!$B$31+'Inputs'!$B$32)/1000+'Inputs'!$B$21)+'Inputs'!$B$7)/SQRT((((992-43)*MAX('Inputs'!$B$33,'Inputs'!$B$29+'Inputs'!$B$31+'Inputs'!$B$32,'Inputs'!$B$30+'Inputs'!$B$31+'Inputs'!$B$32)/1000+'Inputs'!$B$21)+'Inputs'!$B$7)^2+('Inputs'!$B$6/2)^2)-(((992-43)*MAX('Inputs'!$B$33,'Inputs'!$B$29+'Inputs'!$B$31+'Inputs'!$B$32,'Inputs'!$B$30+'Inputs'!$B$31+'Inputs'!$B$32)/1000+'Inputs'!$B$21))/SQRT((((992-43)*MAX('Inputs'!$B$33,'Inputs'!$B$29+'Inputs'!$B$31+'Inputs'!$B$32,'Inputs'!$B$30+'Inputs'!$B$31+'Inputs'!$B$32)/1000+'Inputs'!$B$21))^2+('Inputs'!$B$6/2)^2)))-'Results'!C7*(1-'Inputs'!$B$24)*(0.5*((((992-43)*MAX('Inputs'!$B$33,'Inputs'!$B$29+'Inputs'!$B$31+'Inputs'!$B$32,'Inputs'!$B$30+'Inputs'!$B$31+'Inputs'!$B$32)/1000+'Inputs'!$B$21+'Inputs'!$B$7+'Inputs'!$B$10)+'Inputs'!$B$9)/SQRT((((992-43)*MAX('Inputs'!$B$33,'Inputs'!$B$29+'Inputs'!$B$31+'Inputs'!$B$32,'Inputs'!$B$30+'Inputs'!$B$31+'Inputs'!$B$32)/1000+'Inputs'!$B$21+'Inputs'!$B$7+'Inputs'!$B$10)+'Inputs'!$B$9)^2+('Inputs'!$B$8/2)^2)-(((992-43)*MAX('Inputs'!$B$33,'Inputs'!$B$29+'Inputs'!$B$31+'Inputs'!$B$32,'Inputs'!$B$30+'Inputs'!$B$31+'Inputs'!$B$32)/1000+'Inputs'!$B$21+'Inputs'!$B$7+'Inputs'!$B$10))/SQRT((((992-43)*MAX('Inputs'!$B$33,'Inputs'!$B$29+'Inputs'!$B$31+'Inputs'!$B$32,'Inputs'!$B$30+'Inputs'!$B$31+'Inputs'!$B$32)/1000+'Inputs'!$B$21+'Inputs'!$B$7+'Inputs'!$B$10))^2+('Inputs'!$B$8/2)^2))))*'Results'!$B$8))),"")</x:f>
        <x:v>0.5056566560285937</x:v>
      </x:c>
      <x:c r="M992" t="n">
        <x:f>IF(AND(ISNUMBER('Results'!C7),ISNUMBER('Results'!B7),ISNUMBER('Results'!$B$8),ISNUMBER('Inputs'!$B$6),ISNUMBER('Inputs'!$B$7),ISNUMBER('Inputs'!$B$8),ISNUMBER('Inputs'!$B$9),ISNUMBER('Inputs'!$B$10),ISNUMBER('Inputs'!$B$21),ISNUMBER('Inputs'!$B$24),ISNUMBER('Inputs'!$B$28)),(('Results'!C7*(0.5*((((992-43)*MAX('Inputs'!$B$33,'Inputs'!$B$29+'Inputs'!$B$31+'Inputs'!$B$32,'Inputs'!$B$30+'Inputs'!$B$31+'Inputs'!$B$32)/1000+'Inputs'!$B$21)+'Inputs'!$B$9)/SQRT((((992-43)*MAX('Inputs'!$B$33,'Inputs'!$B$29+'Inputs'!$B$31+'Inputs'!$B$32,'Inputs'!$B$30+'Inputs'!$B$31+'Inputs'!$B$32)/1000+'Inputs'!$B$21)+'Inputs'!$B$9)^2+('Inputs'!$B$8/2)^2)-(((992-43)*MAX('Inputs'!$B$33,'Inputs'!$B$29+'Inputs'!$B$31+'Inputs'!$B$32,'Inputs'!$B$30+'Inputs'!$B$31+'Inputs'!$B$32)/1000+'Inputs'!$B$21))/SQRT((((992-43)*MAX('Inputs'!$B$33,'Inputs'!$B$29+'Inputs'!$B$31+'Inputs'!$B$32,'Inputs'!$B$30+'Inputs'!$B$31+'Inputs'!$B$32)/1000+'Inputs'!$B$21))^2+('Inputs'!$B$8/2)^2)))-'Results'!B7*(0.5*((((992-43)*MAX('Inputs'!$B$33,'Inputs'!$B$29+'Inputs'!$B$31+'Inputs'!$B$32,'Inputs'!$B$30+'Inputs'!$B$31+'Inputs'!$B$32)/1000+'Inputs'!$B$21+'Inputs'!$B$9+'Inputs'!$B$10)+'Inputs'!$B$7)/SQRT((((992-43)*MAX('Inputs'!$B$33,'Inputs'!$B$29+'Inputs'!$B$31+'Inputs'!$B$32,'Inputs'!$B$30+'Inputs'!$B$31+'Inputs'!$B$32)/1000+'Inputs'!$B$21+'Inputs'!$B$9+'Inputs'!$B$10)+'Inputs'!$B$7)^2+('Inputs'!$B$6/2)^2)-(((992-43)*MAX('Inputs'!$B$33,'Inputs'!$B$29+'Inputs'!$B$31+'Inputs'!$B$32,'Inputs'!$B$30+'Inputs'!$B$31+'Inputs'!$B$32)/1000+'Inputs'!$B$21+'Inputs'!$B$9+'Inputs'!$B$10))/SQRT((((992-43)*MAX('Inputs'!$B$33,'Inputs'!$B$29+'Inputs'!$B$31+'Inputs'!$B$32,'Inputs'!$B$30+'Inputs'!$B$31+'Inputs'!$B$32)/1000+'Inputs'!$B$21+'Inputs'!$B$9+'Inputs'!$B$10))^2+('Inputs'!$B$6/2)^2))))*'Results'!$B$8),"")</x:f>
        <x:v>0.3824635623581093</x:v>
      </x:c>
      <x:c r="N992" t="n">
        <x:f>IF(AND(ISNUMBER('Results'!C7),ISNUMBER('Results'!B7),ISNUMBER('Results'!$B$8),ISNUMBER('Inputs'!$B$6),ISNUMBER('Inputs'!$B$7),ISNUMBER('Inputs'!$B$8),ISNUMBER('Inputs'!$B$9),ISNUMBER('Inputs'!$B$10),ISNUMBER('Inputs'!$B$21),ISNUMBER('Inputs'!$B$24),ISNUMBER('Inputs'!$B$28)),((('Results'!C7*(1-'Inputs'!$B$24)*(0.5*((((992-43)*MAX('Inputs'!$B$33,'Inputs'!$B$29+'Inputs'!$B$31+'Inputs'!$B$32,'Inputs'!$B$30+'Inputs'!$B$31+'Inputs'!$B$32)/1000+'Inputs'!$B$21)+'Inputs'!$B$9)/SQRT((((992-43)*MAX('Inputs'!$B$33,'Inputs'!$B$29+'Inputs'!$B$31+'Inputs'!$B$32,'Inputs'!$B$30+'Inputs'!$B$31+'Inputs'!$B$32)/1000+'Inputs'!$B$21)+'Inputs'!$B$9)^2+('Inputs'!$B$8/2)^2)-(((992-43)*MAX('Inputs'!$B$33,'Inputs'!$B$29+'Inputs'!$B$31+'Inputs'!$B$32,'Inputs'!$B$30+'Inputs'!$B$31+'Inputs'!$B$32)/1000+'Inputs'!$B$21))/SQRT((((992-43)*MAX('Inputs'!$B$33,'Inputs'!$B$29+'Inputs'!$B$31+'Inputs'!$B$32,'Inputs'!$B$30+'Inputs'!$B$31+'Inputs'!$B$32)/1000+'Inputs'!$B$21))^2+('Inputs'!$B$8/2)^2)))-'Results'!B7*(1+'Inputs'!$B$24)*(0.5*((((992-43)*MAX('Inputs'!$B$33,'Inputs'!$B$29+'Inputs'!$B$31+'Inputs'!$B$32,'Inputs'!$B$30+'Inputs'!$B$31+'Inputs'!$B$32)/1000+'Inputs'!$B$21+'Inputs'!$B$9+'Inputs'!$B$10)+'Inputs'!$B$7)/SQRT((((992-43)*MAX('Inputs'!$B$33,'Inputs'!$B$29+'Inputs'!$B$31+'Inputs'!$B$32,'Inputs'!$B$30+'Inputs'!$B$31+'Inputs'!$B$32)/1000+'Inputs'!$B$21+'Inputs'!$B$9+'Inputs'!$B$10)+'Inputs'!$B$7)^2+('Inputs'!$B$6/2)^2)-(((992-43)*MAX('Inputs'!$B$33,'Inputs'!$B$29+'Inputs'!$B$31+'Inputs'!$B$32,'Inputs'!$B$30+'Inputs'!$B$31+'Inputs'!$B$32)/1000+'Inputs'!$B$21+'Inputs'!$B$9+'Inputs'!$B$10))/SQRT((((992-43)*MAX('Inputs'!$B$33,'Inputs'!$B$29+'Inputs'!$B$31+'Inputs'!$B$32,'Inputs'!$B$30+'Inputs'!$B$31+'Inputs'!$B$32)/1000+'Inputs'!$B$21+'Inputs'!$B$9+'Inputs'!$B$10))^2+('Inputs'!$B$6/2)^2))))*'Results'!$B$8)-'Inputs'!$B$28*ABS((('Results'!C7*(1-'Inputs'!$B$24)*(0.5*((((992-43)*MAX('Inputs'!$B$33,'Inputs'!$B$29+'Inputs'!$B$31+'Inputs'!$B$32,'Inputs'!$B$30+'Inputs'!$B$31+'Inputs'!$B$32)/1000+'Inputs'!$B$21)+'Inputs'!$B$9)/SQRT((((992-43)*MAX('Inputs'!$B$33,'Inputs'!$B$29+'Inputs'!$B$31+'Inputs'!$B$32,'Inputs'!$B$30+'Inputs'!$B$31+'Inputs'!$B$32)/1000+'Inputs'!$B$21)+'Inputs'!$B$9)^2+('Inputs'!$B$8/2)^2)-(((992-43)*MAX('Inputs'!$B$33,'Inputs'!$B$29+'Inputs'!$B$31+'Inputs'!$B$32,'Inputs'!$B$30+'Inputs'!$B$31+'Inputs'!$B$32)/1000+'Inputs'!$B$21))/SQRT((((992-43)*MAX('Inputs'!$B$33,'Inputs'!$B$29+'Inputs'!$B$31+'Inputs'!$B$32,'Inputs'!$B$30+'Inputs'!$B$31+'Inputs'!$B$32)/1000+'Inputs'!$B$21))^2+('Inputs'!$B$8/2)^2)))-'Results'!B7*(1+'Inputs'!$B$24)*(0.5*((((992-43)*MAX('Inputs'!$B$33,'Inputs'!$B$29+'Inputs'!$B$31+'Inputs'!$B$32,'Inputs'!$B$30+'Inputs'!$B$31+'Inputs'!$B$32)/1000+'Inputs'!$B$21+'Inputs'!$B$9+'Inputs'!$B$10)+'Inputs'!$B$7)/SQRT((((992-43)*MAX('Inputs'!$B$33,'Inputs'!$B$29+'Inputs'!$B$31+'Inputs'!$B$32,'Inputs'!$B$30+'Inputs'!$B$31+'Inputs'!$B$32)/1000+'Inputs'!$B$21+'Inputs'!$B$9+'Inputs'!$B$10)+'Inputs'!$B$7)^2+('Inputs'!$B$6/2)^2)-(((992-43)*MAX('Inputs'!$B$33,'Inputs'!$B$29+'Inputs'!$B$31+'Inputs'!$B$32,'Inputs'!$B$30+'Inputs'!$B$31+'Inputs'!$B$32)/1000+'Inputs'!$B$21+'Inputs'!$B$9+'Inputs'!$B$10))/SQRT((((992-43)*MAX('Inputs'!$B$33,'Inputs'!$B$29+'Inputs'!$B$31+'Inputs'!$B$32,'Inputs'!$B$30+'Inputs'!$B$31+'Inputs'!$B$32)/1000+'Inputs'!$B$21+'Inputs'!$B$9+'Inputs'!$B$10))^2+('Inputs'!$B$6/2)^2))))*'Results'!$B$8))),"")</x:f>
        <x:v>0.3166147856947365</x:v>
      </x:c>
      <x:c r="O992" t="n">
        <x:f>IF(AND(ISNUMBER('Results'!C7),ISNUMBER('Results'!B7),ISNUMBER('Results'!$B$8),ISNUMBER('Inputs'!$B$6),ISNUMBER('Inputs'!$B$7),ISNUMBER('Inputs'!$B$8),ISNUMBER('Inputs'!$B$9),ISNUMBER('Inputs'!$B$10),ISNUMBER('Inputs'!$B$21),ISNUMBER('Inputs'!$B$24),ISNUMBER('Inputs'!$B$28)),((('Results'!C7*(1+'Inputs'!$B$24)*(0.5*((((992-43)*MAX('Inputs'!$B$33,'Inputs'!$B$29+'Inputs'!$B$31+'Inputs'!$B$32,'Inputs'!$B$30+'Inputs'!$B$31+'Inputs'!$B$32)/1000+'Inputs'!$B$21)+'Inputs'!$B$9)/SQRT((((992-43)*MAX('Inputs'!$B$33,'Inputs'!$B$29+'Inputs'!$B$31+'Inputs'!$B$32,'Inputs'!$B$30+'Inputs'!$B$31+'Inputs'!$B$32)/1000+'Inputs'!$B$21)+'Inputs'!$B$9)^2+('Inputs'!$B$8/2)^2)-(((992-43)*MAX('Inputs'!$B$33,'Inputs'!$B$29+'Inputs'!$B$31+'Inputs'!$B$32,'Inputs'!$B$30+'Inputs'!$B$31+'Inputs'!$B$32)/1000+'Inputs'!$B$21))/SQRT((((992-43)*MAX('Inputs'!$B$33,'Inputs'!$B$29+'Inputs'!$B$31+'Inputs'!$B$32,'Inputs'!$B$30+'Inputs'!$B$31+'Inputs'!$B$32)/1000+'Inputs'!$B$21))^2+('Inputs'!$B$8/2)^2)))-'Results'!B7*(1-'Inputs'!$B$24)*(0.5*((((992-43)*MAX('Inputs'!$B$33,'Inputs'!$B$29+'Inputs'!$B$31+'Inputs'!$B$32,'Inputs'!$B$30+'Inputs'!$B$31+'Inputs'!$B$32)/1000+'Inputs'!$B$21+'Inputs'!$B$9+'Inputs'!$B$10)+'Inputs'!$B$7)/SQRT((((992-43)*MAX('Inputs'!$B$33,'Inputs'!$B$29+'Inputs'!$B$31+'Inputs'!$B$32,'Inputs'!$B$30+'Inputs'!$B$31+'Inputs'!$B$32)/1000+'Inputs'!$B$21+'Inputs'!$B$9+'Inputs'!$B$10)+'Inputs'!$B$7)^2+('Inputs'!$B$6/2)^2)-(((992-43)*MAX('Inputs'!$B$33,'Inputs'!$B$29+'Inputs'!$B$31+'Inputs'!$B$32,'Inputs'!$B$30+'Inputs'!$B$31+'Inputs'!$B$32)/1000+'Inputs'!$B$21+'Inputs'!$B$9+'Inputs'!$B$10))/SQRT((((992-43)*MAX('Inputs'!$B$33,'Inputs'!$B$29+'Inputs'!$B$31+'Inputs'!$B$32,'Inputs'!$B$30+'Inputs'!$B$31+'Inputs'!$B$32)/1000+'Inputs'!$B$21+'Inputs'!$B$9+'Inputs'!$B$10))^2+('Inputs'!$B$6/2)^2))))*'Results'!$B$8)+'Inputs'!$B$28*ABS((('Results'!C7*(1+'Inputs'!$B$24)*(0.5*((((992-43)*MAX('Inputs'!$B$33,'Inputs'!$B$29+'Inputs'!$B$31+'Inputs'!$B$32,'Inputs'!$B$30+'Inputs'!$B$31+'Inputs'!$B$32)/1000+'Inputs'!$B$21)+'Inputs'!$B$9)/SQRT((((992-43)*MAX('Inputs'!$B$33,'Inputs'!$B$29+'Inputs'!$B$31+'Inputs'!$B$32,'Inputs'!$B$30+'Inputs'!$B$31+'Inputs'!$B$32)/1000+'Inputs'!$B$21)+'Inputs'!$B$9)^2+('Inputs'!$B$8/2)^2)-(((992-43)*MAX('Inputs'!$B$33,'Inputs'!$B$29+'Inputs'!$B$31+'Inputs'!$B$32,'Inputs'!$B$30+'Inputs'!$B$31+'Inputs'!$B$32)/1000+'Inputs'!$B$21))/SQRT((((992-43)*MAX('Inputs'!$B$33,'Inputs'!$B$29+'Inputs'!$B$31+'Inputs'!$B$32,'Inputs'!$B$30+'Inputs'!$B$31+'Inputs'!$B$32)/1000+'Inputs'!$B$21))^2+('Inputs'!$B$8/2)^2)))-'Results'!B7*(1-'Inputs'!$B$24)*(0.5*((((992-43)*MAX('Inputs'!$B$33,'Inputs'!$B$29+'Inputs'!$B$31+'Inputs'!$B$32,'Inputs'!$B$30+'Inputs'!$B$31+'Inputs'!$B$32)/1000+'Inputs'!$B$21+'Inputs'!$B$9+'Inputs'!$B$10)+'Inputs'!$B$7)/SQRT((((992-43)*MAX('Inputs'!$B$33,'Inputs'!$B$29+'Inputs'!$B$31+'Inputs'!$B$32,'Inputs'!$B$30+'Inputs'!$B$31+'Inputs'!$B$32)/1000+'Inputs'!$B$21+'Inputs'!$B$9+'Inputs'!$B$10)+'Inputs'!$B$7)^2+('Inputs'!$B$6/2)^2)-(((992-43)*MAX('Inputs'!$B$33,'Inputs'!$B$29+'Inputs'!$B$31+'Inputs'!$B$32,'Inputs'!$B$30+'Inputs'!$B$31+'Inputs'!$B$32)/1000+'Inputs'!$B$21+'Inputs'!$B$9+'Inputs'!$B$10))/SQRT((((992-43)*MAX('Inputs'!$B$33,'Inputs'!$B$29+'Inputs'!$B$31+'Inputs'!$B$32,'Inputs'!$B$30+'Inputs'!$B$31+'Inputs'!$B$32)/1000+'Inputs'!$B$21+'Inputs'!$B$9+'Inputs'!$B$10))^2+('Inputs'!$B$6/2)^2))))*'Results'!$B$8))),"")</x:f>
        <x:v>0.45323082307889945</x:v>
      </x:c>
      <x:c r="P992" t="n">
        <x:f>IF(AND(MAX(J992,J991)&gt;0,J992&gt;J991+0.00000001),1,0)</x:f>
        <x:v>0</x:v>
      </x:c>
      <x:c r="Q992" t="n">
        <x:f>IF(AND(MAX(K992,K991)&gt;0,K992&gt;K991+0.00000001),1,0)</x:f>
        <x:v>0</x:v>
      </x:c>
      <x:c r="R992" t="n">
        <x:f>IF(AND(MAX(L992,L991)&gt;0,L992&gt;L991+0.00000001),1,0)</x:f>
        <x:v>0</x:v>
      </x:c>
      <x:c r="S992" t="n">
        <x:f>IF(AND(MAX(M992,M991)&gt;0,M992&gt;M991+0.00000001),1,0)</x:f>
        <x:v>0</x:v>
      </x:c>
      <x:c r="T992" t="n">
        <x:f>IF(AND(MAX(N992,N991)&gt;0,N992&gt;N991+0.00000001),1,0)</x:f>
        <x:v>0</x:v>
      </x:c>
      <x:c r="U992" t="n">
        <x:f>IF(AND(MAX(O992,O991)&gt;0,O992&gt;O991+0.00000001),1,0)</x:f>
        <x:v>0</x:v>
      </x:c>
    </x:row>
    <x:row r="993">
      <x:c r="J993" t="n">
        <x:f>IF(AND(ISNUMBER('Results'!B7),ISNUMBER('Results'!C7),ISNUMBER('Results'!$B$8),ISNUMBER('Inputs'!$B$6),ISNUMBER('Inputs'!$B$7),ISNUMBER('Inputs'!$B$8),ISNUMBER('Inputs'!$B$9),ISNUMBER('Inputs'!$B$10),ISNUMBER('Inputs'!$B$21),ISNUMBER('Inputs'!$B$24),ISNUMBER('Inputs'!$B$28)),(('Results'!B7*(0.5*((((993-43)*MAX('Inputs'!$B$33,'Inputs'!$B$29+'Inputs'!$B$31+'Inputs'!$B$32,'Inputs'!$B$30+'Inputs'!$B$31+'Inputs'!$B$32)/1000+'Inputs'!$B$21)+'Inputs'!$B$7)/SQRT((((993-43)*MAX('Inputs'!$B$33,'Inputs'!$B$29+'Inputs'!$B$31+'Inputs'!$B$32,'Inputs'!$B$30+'Inputs'!$B$31+'Inputs'!$B$32)/1000+'Inputs'!$B$21)+'Inputs'!$B$7)^2+('Inputs'!$B$6/2)^2)-(((993-43)*MAX('Inputs'!$B$33,'Inputs'!$B$29+'Inputs'!$B$31+'Inputs'!$B$32,'Inputs'!$B$30+'Inputs'!$B$31+'Inputs'!$B$32)/1000+'Inputs'!$B$21))/SQRT((((993-43)*MAX('Inputs'!$B$33,'Inputs'!$B$29+'Inputs'!$B$31+'Inputs'!$B$32,'Inputs'!$B$30+'Inputs'!$B$31+'Inputs'!$B$32)/1000+'Inputs'!$B$21))^2+('Inputs'!$B$6/2)^2)))-'Results'!C7*(0.5*((((993-43)*MAX('Inputs'!$B$33,'Inputs'!$B$29+'Inputs'!$B$31+'Inputs'!$B$32,'Inputs'!$B$30+'Inputs'!$B$31+'Inputs'!$B$32)/1000+'Inputs'!$B$21+'Inputs'!$B$7+'Inputs'!$B$10)+'Inputs'!$B$9)/SQRT((((993-43)*MAX('Inputs'!$B$33,'Inputs'!$B$29+'Inputs'!$B$31+'Inputs'!$B$32,'Inputs'!$B$30+'Inputs'!$B$31+'Inputs'!$B$32)/1000+'Inputs'!$B$21+'Inputs'!$B$7+'Inputs'!$B$10)+'Inputs'!$B$9)^2+('Inputs'!$B$8/2)^2)-(((993-43)*MAX('Inputs'!$B$33,'Inputs'!$B$29+'Inputs'!$B$31+'Inputs'!$B$32,'Inputs'!$B$30+'Inputs'!$B$31+'Inputs'!$B$32)/1000+'Inputs'!$B$21+'Inputs'!$B$7+'Inputs'!$B$10))/SQRT((((993-43)*MAX('Inputs'!$B$33,'Inputs'!$B$29+'Inputs'!$B$31+'Inputs'!$B$32,'Inputs'!$B$30+'Inputs'!$B$31+'Inputs'!$B$32)/1000+'Inputs'!$B$21+'Inputs'!$B$7+'Inputs'!$B$10))^2+('Inputs'!$B$8/2)^2))))*'Results'!$B$8),"")</x:f>
        <x:v>0.43057410924543593</x:v>
      </x:c>
      <x:c r="K993" t="n">
        <x:f>IF(AND(ISNUMBER('Results'!B7),ISNUMBER('Results'!C7),ISNUMBER('Results'!$B$8),ISNUMBER('Inputs'!$B$6),ISNUMBER('Inputs'!$B$7),ISNUMBER('Inputs'!$B$8),ISNUMBER('Inputs'!$B$9),ISNUMBER('Inputs'!$B$10),ISNUMBER('Inputs'!$B$21),ISNUMBER('Inputs'!$B$24),ISNUMBER('Inputs'!$B$28)),((('Results'!B7*(1-'Inputs'!$B$24)*(0.5*((((993-43)*MAX('Inputs'!$B$33,'Inputs'!$B$29+'Inputs'!$B$31+'Inputs'!$B$32,'Inputs'!$B$30+'Inputs'!$B$31+'Inputs'!$B$32)/1000+'Inputs'!$B$21)+'Inputs'!$B$7)/SQRT((((993-43)*MAX('Inputs'!$B$33,'Inputs'!$B$29+'Inputs'!$B$31+'Inputs'!$B$32,'Inputs'!$B$30+'Inputs'!$B$31+'Inputs'!$B$32)/1000+'Inputs'!$B$21)+'Inputs'!$B$7)^2+('Inputs'!$B$6/2)^2)-(((993-43)*MAX('Inputs'!$B$33,'Inputs'!$B$29+'Inputs'!$B$31+'Inputs'!$B$32,'Inputs'!$B$30+'Inputs'!$B$31+'Inputs'!$B$32)/1000+'Inputs'!$B$21))/SQRT((((993-43)*MAX('Inputs'!$B$33,'Inputs'!$B$29+'Inputs'!$B$31+'Inputs'!$B$32,'Inputs'!$B$30+'Inputs'!$B$31+'Inputs'!$B$32)/1000+'Inputs'!$B$21))^2+('Inputs'!$B$6/2)^2)))-'Results'!C7*(1+'Inputs'!$B$24)*(0.5*((((993-43)*MAX('Inputs'!$B$33,'Inputs'!$B$29+'Inputs'!$B$31+'Inputs'!$B$32,'Inputs'!$B$30+'Inputs'!$B$31+'Inputs'!$B$32)/1000+'Inputs'!$B$21+'Inputs'!$B$7+'Inputs'!$B$10)+'Inputs'!$B$9)/SQRT((((993-43)*MAX('Inputs'!$B$33,'Inputs'!$B$29+'Inputs'!$B$31+'Inputs'!$B$32,'Inputs'!$B$30+'Inputs'!$B$31+'Inputs'!$B$32)/1000+'Inputs'!$B$21+'Inputs'!$B$7+'Inputs'!$B$10)+'Inputs'!$B$9)^2+('Inputs'!$B$8/2)^2)-(((993-43)*MAX('Inputs'!$B$33,'Inputs'!$B$29+'Inputs'!$B$31+'Inputs'!$B$32,'Inputs'!$B$30+'Inputs'!$B$31+'Inputs'!$B$32)/1000+'Inputs'!$B$21+'Inputs'!$B$7+'Inputs'!$B$10))/SQRT((((993-43)*MAX('Inputs'!$B$33,'Inputs'!$B$29+'Inputs'!$B$31+'Inputs'!$B$32,'Inputs'!$B$30+'Inputs'!$B$31+'Inputs'!$B$32)/1000+'Inputs'!$B$21+'Inputs'!$B$7+'Inputs'!$B$10))^2+('Inputs'!$B$8/2)^2))))*'Results'!$B$8)-'Inputs'!$B$28*ABS((('Results'!B7*(1-'Inputs'!$B$24)*(0.5*((((993-43)*MAX('Inputs'!$B$33,'Inputs'!$B$29+'Inputs'!$B$31+'Inputs'!$B$32,'Inputs'!$B$30+'Inputs'!$B$31+'Inputs'!$B$32)/1000+'Inputs'!$B$21)+'Inputs'!$B$7)/SQRT((((993-43)*MAX('Inputs'!$B$33,'Inputs'!$B$29+'Inputs'!$B$31+'Inputs'!$B$32,'Inputs'!$B$30+'Inputs'!$B$31+'Inputs'!$B$32)/1000+'Inputs'!$B$21)+'Inputs'!$B$7)^2+('Inputs'!$B$6/2)^2)-(((993-43)*MAX('Inputs'!$B$33,'Inputs'!$B$29+'Inputs'!$B$31+'Inputs'!$B$32,'Inputs'!$B$30+'Inputs'!$B$31+'Inputs'!$B$32)/1000+'Inputs'!$B$21))/SQRT((((993-43)*MAX('Inputs'!$B$33,'Inputs'!$B$29+'Inputs'!$B$31+'Inputs'!$B$32,'Inputs'!$B$30+'Inputs'!$B$31+'Inputs'!$B$32)/1000+'Inputs'!$B$21))^2+('Inputs'!$B$6/2)^2)))-'Results'!C7*(1+'Inputs'!$B$24)*(0.5*((((993-43)*MAX('Inputs'!$B$33,'Inputs'!$B$29+'Inputs'!$B$31+'Inputs'!$B$32,'Inputs'!$B$30+'Inputs'!$B$31+'Inputs'!$B$32)/1000+'Inputs'!$B$21+'Inputs'!$B$7+'Inputs'!$B$10)+'Inputs'!$B$9)/SQRT((((993-43)*MAX('Inputs'!$B$33,'Inputs'!$B$29+'Inputs'!$B$31+'Inputs'!$B$32,'Inputs'!$B$30+'Inputs'!$B$31+'Inputs'!$B$32)/1000+'Inputs'!$B$21+'Inputs'!$B$7+'Inputs'!$B$10)+'Inputs'!$B$9)^2+('Inputs'!$B$8/2)^2)-(((993-43)*MAX('Inputs'!$B$33,'Inputs'!$B$29+'Inputs'!$B$31+'Inputs'!$B$32,'Inputs'!$B$30+'Inputs'!$B$31+'Inputs'!$B$32)/1000+'Inputs'!$B$21+'Inputs'!$B$7+'Inputs'!$B$10))/SQRT((((993-43)*MAX('Inputs'!$B$33,'Inputs'!$B$29+'Inputs'!$B$31+'Inputs'!$B$32,'Inputs'!$B$30+'Inputs'!$B$31+'Inputs'!$B$32)/1000+'Inputs'!$B$21+'Inputs'!$B$7+'Inputs'!$B$10))^2+('Inputs'!$B$8/2)^2))))*'Results'!$B$8))),"")</x:f>
        <x:v>0.36230122630186445</x:v>
      </x:c>
      <x:c r="L993" t="n">
        <x:f>IF(AND(ISNUMBER('Results'!B7),ISNUMBER('Results'!C7),ISNUMBER('Results'!$B$8),ISNUMBER('Inputs'!$B$6),ISNUMBER('Inputs'!$B$7),ISNUMBER('Inputs'!$B$8),ISNUMBER('Inputs'!$B$9),ISNUMBER('Inputs'!$B$10),ISNUMBER('Inputs'!$B$21),ISNUMBER('Inputs'!$B$24),ISNUMBER('Inputs'!$B$28)),((('Results'!B7*(1+'Inputs'!$B$24)*(0.5*((((993-43)*MAX('Inputs'!$B$33,'Inputs'!$B$29+'Inputs'!$B$31+'Inputs'!$B$32,'Inputs'!$B$30+'Inputs'!$B$31+'Inputs'!$B$32)/1000+'Inputs'!$B$21)+'Inputs'!$B$7)/SQRT((((993-43)*MAX('Inputs'!$B$33,'Inputs'!$B$29+'Inputs'!$B$31+'Inputs'!$B$32,'Inputs'!$B$30+'Inputs'!$B$31+'Inputs'!$B$32)/1000+'Inputs'!$B$21)+'Inputs'!$B$7)^2+('Inputs'!$B$6/2)^2)-(((993-43)*MAX('Inputs'!$B$33,'Inputs'!$B$29+'Inputs'!$B$31+'Inputs'!$B$32,'Inputs'!$B$30+'Inputs'!$B$31+'Inputs'!$B$32)/1000+'Inputs'!$B$21))/SQRT((((993-43)*MAX('Inputs'!$B$33,'Inputs'!$B$29+'Inputs'!$B$31+'Inputs'!$B$32,'Inputs'!$B$30+'Inputs'!$B$31+'Inputs'!$B$32)/1000+'Inputs'!$B$21))^2+('Inputs'!$B$6/2)^2)))-'Results'!C7*(1-'Inputs'!$B$24)*(0.5*((((993-43)*MAX('Inputs'!$B$33,'Inputs'!$B$29+'Inputs'!$B$31+'Inputs'!$B$32,'Inputs'!$B$30+'Inputs'!$B$31+'Inputs'!$B$32)/1000+'Inputs'!$B$21+'Inputs'!$B$7+'Inputs'!$B$10)+'Inputs'!$B$9)/SQRT((((993-43)*MAX('Inputs'!$B$33,'Inputs'!$B$29+'Inputs'!$B$31+'Inputs'!$B$32,'Inputs'!$B$30+'Inputs'!$B$31+'Inputs'!$B$32)/1000+'Inputs'!$B$21+'Inputs'!$B$7+'Inputs'!$B$10)+'Inputs'!$B$9)^2+('Inputs'!$B$8/2)^2)-(((993-43)*MAX('Inputs'!$B$33,'Inputs'!$B$29+'Inputs'!$B$31+'Inputs'!$B$32,'Inputs'!$B$30+'Inputs'!$B$31+'Inputs'!$B$32)/1000+'Inputs'!$B$21+'Inputs'!$B$7+'Inputs'!$B$10))/SQRT((((993-43)*MAX('Inputs'!$B$33,'Inputs'!$B$29+'Inputs'!$B$31+'Inputs'!$B$32,'Inputs'!$B$30+'Inputs'!$B$31+'Inputs'!$B$32)/1000+'Inputs'!$B$21+'Inputs'!$B$7+'Inputs'!$B$10))^2+('Inputs'!$B$8/2)^2))))*'Results'!$B$8)+'Inputs'!$B$28*ABS((('Results'!B7*(1+'Inputs'!$B$24)*(0.5*((((993-43)*MAX('Inputs'!$B$33,'Inputs'!$B$29+'Inputs'!$B$31+'Inputs'!$B$32,'Inputs'!$B$30+'Inputs'!$B$31+'Inputs'!$B$32)/1000+'Inputs'!$B$21)+'Inputs'!$B$7)/SQRT((((993-43)*MAX('Inputs'!$B$33,'Inputs'!$B$29+'Inputs'!$B$31+'Inputs'!$B$32,'Inputs'!$B$30+'Inputs'!$B$31+'Inputs'!$B$32)/1000+'Inputs'!$B$21)+'Inputs'!$B$7)^2+('Inputs'!$B$6/2)^2)-(((993-43)*MAX('Inputs'!$B$33,'Inputs'!$B$29+'Inputs'!$B$31+'Inputs'!$B$32,'Inputs'!$B$30+'Inputs'!$B$31+'Inputs'!$B$32)/1000+'Inputs'!$B$21))/SQRT((((993-43)*MAX('Inputs'!$B$33,'Inputs'!$B$29+'Inputs'!$B$31+'Inputs'!$B$32,'Inputs'!$B$30+'Inputs'!$B$31+'Inputs'!$B$32)/1000+'Inputs'!$B$21))^2+('Inputs'!$B$6/2)^2)))-'Results'!C7*(1-'Inputs'!$B$24)*(0.5*((((993-43)*MAX('Inputs'!$B$33,'Inputs'!$B$29+'Inputs'!$B$31+'Inputs'!$B$32,'Inputs'!$B$30+'Inputs'!$B$31+'Inputs'!$B$32)/1000+'Inputs'!$B$21+'Inputs'!$B$7+'Inputs'!$B$10)+'Inputs'!$B$9)/SQRT((((993-43)*MAX('Inputs'!$B$33,'Inputs'!$B$29+'Inputs'!$B$31+'Inputs'!$B$32,'Inputs'!$B$30+'Inputs'!$B$31+'Inputs'!$B$32)/1000+'Inputs'!$B$21+'Inputs'!$B$7+'Inputs'!$B$10)+'Inputs'!$B$9)^2+('Inputs'!$B$8/2)^2)-(((993-43)*MAX('Inputs'!$B$33,'Inputs'!$B$29+'Inputs'!$B$31+'Inputs'!$B$32,'Inputs'!$B$30+'Inputs'!$B$31+'Inputs'!$B$32)/1000+'Inputs'!$B$21+'Inputs'!$B$7+'Inputs'!$B$10))/SQRT((((993-43)*MAX('Inputs'!$B$33,'Inputs'!$B$29+'Inputs'!$B$31+'Inputs'!$B$32,'Inputs'!$B$30+'Inputs'!$B$31+'Inputs'!$B$32)/1000+'Inputs'!$B$21+'Inputs'!$B$7+'Inputs'!$B$10))^2+('Inputs'!$B$8/2)^2))))*'Results'!$B$8))),"")</x:f>
        <x:v>0.5037674319238807</x:v>
      </x:c>
      <x:c r="M993" t="n">
        <x:f>IF(AND(ISNUMBER('Results'!C7),ISNUMBER('Results'!B7),ISNUMBER('Results'!$B$8),ISNUMBER('Inputs'!$B$6),ISNUMBER('Inputs'!$B$7),ISNUMBER('Inputs'!$B$8),ISNUMBER('Inputs'!$B$9),ISNUMBER('Inputs'!$B$10),ISNUMBER('Inputs'!$B$21),ISNUMBER('Inputs'!$B$24),ISNUMBER('Inputs'!$B$28)),(('Results'!C7*(0.5*((((993-43)*MAX('Inputs'!$B$33,'Inputs'!$B$29+'Inputs'!$B$31+'Inputs'!$B$32,'Inputs'!$B$30+'Inputs'!$B$31+'Inputs'!$B$32)/1000+'Inputs'!$B$21)+'Inputs'!$B$9)/SQRT((((993-43)*MAX('Inputs'!$B$33,'Inputs'!$B$29+'Inputs'!$B$31+'Inputs'!$B$32,'Inputs'!$B$30+'Inputs'!$B$31+'Inputs'!$B$32)/1000+'Inputs'!$B$21)+'Inputs'!$B$9)^2+('Inputs'!$B$8/2)^2)-(((993-43)*MAX('Inputs'!$B$33,'Inputs'!$B$29+'Inputs'!$B$31+'Inputs'!$B$32,'Inputs'!$B$30+'Inputs'!$B$31+'Inputs'!$B$32)/1000+'Inputs'!$B$21))/SQRT((((993-43)*MAX('Inputs'!$B$33,'Inputs'!$B$29+'Inputs'!$B$31+'Inputs'!$B$32,'Inputs'!$B$30+'Inputs'!$B$31+'Inputs'!$B$32)/1000+'Inputs'!$B$21))^2+('Inputs'!$B$8/2)^2)))-'Results'!B7*(0.5*((((993-43)*MAX('Inputs'!$B$33,'Inputs'!$B$29+'Inputs'!$B$31+'Inputs'!$B$32,'Inputs'!$B$30+'Inputs'!$B$31+'Inputs'!$B$32)/1000+'Inputs'!$B$21+'Inputs'!$B$9+'Inputs'!$B$10)+'Inputs'!$B$7)/SQRT((((993-43)*MAX('Inputs'!$B$33,'Inputs'!$B$29+'Inputs'!$B$31+'Inputs'!$B$32,'Inputs'!$B$30+'Inputs'!$B$31+'Inputs'!$B$32)/1000+'Inputs'!$B$21+'Inputs'!$B$9+'Inputs'!$B$10)+'Inputs'!$B$7)^2+('Inputs'!$B$6/2)^2)-(((993-43)*MAX('Inputs'!$B$33,'Inputs'!$B$29+'Inputs'!$B$31+'Inputs'!$B$32,'Inputs'!$B$30+'Inputs'!$B$31+'Inputs'!$B$32)/1000+'Inputs'!$B$21+'Inputs'!$B$9+'Inputs'!$B$10))/SQRT((((993-43)*MAX('Inputs'!$B$33,'Inputs'!$B$29+'Inputs'!$B$31+'Inputs'!$B$32,'Inputs'!$B$30+'Inputs'!$B$31+'Inputs'!$B$32)/1000+'Inputs'!$B$21+'Inputs'!$B$9+'Inputs'!$B$10))^2+('Inputs'!$B$6/2)^2))))*'Results'!$B$8),"")</x:f>
        <x:v>0.38095549847666055</x:v>
      </x:c>
      <x:c r="N993" t="n">
        <x:f>IF(AND(ISNUMBER('Results'!C7),ISNUMBER('Results'!B7),ISNUMBER('Results'!$B$8),ISNUMBER('Inputs'!$B$6),ISNUMBER('Inputs'!$B$7),ISNUMBER('Inputs'!$B$8),ISNUMBER('Inputs'!$B$9),ISNUMBER('Inputs'!$B$10),ISNUMBER('Inputs'!$B$21),ISNUMBER('Inputs'!$B$24),ISNUMBER('Inputs'!$B$28)),((('Results'!C7*(1-'Inputs'!$B$24)*(0.5*((((993-43)*MAX('Inputs'!$B$33,'Inputs'!$B$29+'Inputs'!$B$31+'Inputs'!$B$32,'Inputs'!$B$30+'Inputs'!$B$31+'Inputs'!$B$32)/1000+'Inputs'!$B$21)+'Inputs'!$B$9)/SQRT((((993-43)*MAX('Inputs'!$B$33,'Inputs'!$B$29+'Inputs'!$B$31+'Inputs'!$B$32,'Inputs'!$B$30+'Inputs'!$B$31+'Inputs'!$B$32)/1000+'Inputs'!$B$21)+'Inputs'!$B$9)^2+('Inputs'!$B$8/2)^2)-(((993-43)*MAX('Inputs'!$B$33,'Inputs'!$B$29+'Inputs'!$B$31+'Inputs'!$B$32,'Inputs'!$B$30+'Inputs'!$B$31+'Inputs'!$B$32)/1000+'Inputs'!$B$21))/SQRT((((993-43)*MAX('Inputs'!$B$33,'Inputs'!$B$29+'Inputs'!$B$31+'Inputs'!$B$32,'Inputs'!$B$30+'Inputs'!$B$31+'Inputs'!$B$32)/1000+'Inputs'!$B$21))^2+('Inputs'!$B$8/2)^2)))-'Results'!B7*(1+'Inputs'!$B$24)*(0.5*((((993-43)*MAX('Inputs'!$B$33,'Inputs'!$B$29+'Inputs'!$B$31+'Inputs'!$B$32,'Inputs'!$B$30+'Inputs'!$B$31+'Inputs'!$B$32)/1000+'Inputs'!$B$21+'Inputs'!$B$9+'Inputs'!$B$10)+'Inputs'!$B$7)/SQRT((((993-43)*MAX('Inputs'!$B$33,'Inputs'!$B$29+'Inputs'!$B$31+'Inputs'!$B$32,'Inputs'!$B$30+'Inputs'!$B$31+'Inputs'!$B$32)/1000+'Inputs'!$B$21+'Inputs'!$B$9+'Inputs'!$B$10)+'Inputs'!$B$7)^2+('Inputs'!$B$6/2)^2)-(((993-43)*MAX('Inputs'!$B$33,'Inputs'!$B$29+'Inputs'!$B$31+'Inputs'!$B$32,'Inputs'!$B$30+'Inputs'!$B$31+'Inputs'!$B$32)/1000+'Inputs'!$B$21+'Inputs'!$B$9+'Inputs'!$B$10))/SQRT((((993-43)*MAX('Inputs'!$B$33,'Inputs'!$B$29+'Inputs'!$B$31+'Inputs'!$B$32,'Inputs'!$B$30+'Inputs'!$B$31+'Inputs'!$B$32)/1000+'Inputs'!$B$21+'Inputs'!$B$9+'Inputs'!$B$10))^2+('Inputs'!$B$6/2)^2))))*'Results'!$B$8)-'Inputs'!$B$28*ABS((('Results'!C7*(1-'Inputs'!$B$24)*(0.5*((((993-43)*MAX('Inputs'!$B$33,'Inputs'!$B$29+'Inputs'!$B$31+'Inputs'!$B$32,'Inputs'!$B$30+'Inputs'!$B$31+'Inputs'!$B$32)/1000+'Inputs'!$B$21)+'Inputs'!$B$9)/SQRT((((993-43)*MAX('Inputs'!$B$33,'Inputs'!$B$29+'Inputs'!$B$31+'Inputs'!$B$32,'Inputs'!$B$30+'Inputs'!$B$31+'Inputs'!$B$32)/1000+'Inputs'!$B$21)+'Inputs'!$B$9)^2+('Inputs'!$B$8/2)^2)-(((993-43)*MAX('Inputs'!$B$33,'Inputs'!$B$29+'Inputs'!$B$31+'Inputs'!$B$32,'Inputs'!$B$30+'Inputs'!$B$31+'Inputs'!$B$32)/1000+'Inputs'!$B$21))/SQRT((((993-43)*MAX('Inputs'!$B$33,'Inputs'!$B$29+'Inputs'!$B$31+'Inputs'!$B$32,'Inputs'!$B$30+'Inputs'!$B$31+'Inputs'!$B$32)/1000+'Inputs'!$B$21))^2+('Inputs'!$B$8/2)^2)))-'Results'!B7*(1+'Inputs'!$B$24)*(0.5*((((993-43)*MAX('Inputs'!$B$33,'Inputs'!$B$29+'Inputs'!$B$31+'Inputs'!$B$32,'Inputs'!$B$30+'Inputs'!$B$31+'Inputs'!$B$32)/1000+'Inputs'!$B$21+'Inputs'!$B$9+'Inputs'!$B$10)+'Inputs'!$B$7)/SQRT((((993-43)*MAX('Inputs'!$B$33,'Inputs'!$B$29+'Inputs'!$B$31+'Inputs'!$B$32,'Inputs'!$B$30+'Inputs'!$B$31+'Inputs'!$B$32)/1000+'Inputs'!$B$21+'Inputs'!$B$9+'Inputs'!$B$10)+'Inputs'!$B$7)^2+('Inputs'!$B$6/2)^2)-(((993-43)*MAX('Inputs'!$B$33,'Inputs'!$B$29+'Inputs'!$B$31+'Inputs'!$B$32,'Inputs'!$B$30+'Inputs'!$B$31+'Inputs'!$B$32)/1000+'Inputs'!$B$21+'Inputs'!$B$9+'Inputs'!$B$10))/SQRT((((993-43)*MAX('Inputs'!$B$33,'Inputs'!$B$29+'Inputs'!$B$31+'Inputs'!$B$32,'Inputs'!$B$30+'Inputs'!$B$31+'Inputs'!$B$32)/1000+'Inputs'!$B$21+'Inputs'!$B$9+'Inputs'!$B$10))^2+('Inputs'!$B$6/2)^2))))*'Results'!$B$8))),"")</x:f>
        <x:v>0.3153192941780606</x:v>
      </x:c>
      <x:c r="O993" t="n">
        <x:f>IF(AND(ISNUMBER('Results'!C7),ISNUMBER('Results'!B7),ISNUMBER('Results'!$B$8),ISNUMBER('Inputs'!$B$6),ISNUMBER('Inputs'!$B$7),ISNUMBER('Inputs'!$B$8),ISNUMBER('Inputs'!$B$9),ISNUMBER('Inputs'!$B$10),ISNUMBER('Inputs'!$B$21),ISNUMBER('Inputs'!$B$24),ISNUMBER('Inputs'!$B$28)),((('Results'!C7*(1+'Inputs'!$B$24)*(0.5*((((993-43)*MAX('Inputs'!$B$33,'Inputs'!$B$29+'Inputs'!$B$31+'Inputs'!$B$32,'Inputs'!$B$30+'Inputs'!$B$31+'Inputs'!$B$32)/1000+'Inputs'!$B$21)+'Inputs'!$B$9)/SQRT((((993-43)*MAX('Inputs'!$B$33,'Inputs'!$B$29+'Inputs'!$B$31+'Inputs'!$B$32,'Inputs'!$B$30+'Inputs'!$B$31+'Inputs'!$B$32)/1000+'Inputs'!$B$21)+'Inputs'!$B$9)^2+('Inputs'!$B$8/2)^2)-(((993-43)*MAX('Inputs'!$B$33,'Inputs'!$B$29+'Inputs'!$B$31+'Inputs'!$B$32,'Inputs'!$B$30+'Inputs'!$B$31+'Inputs'!$B$32)/1000+'Inputs'!$B$21))/SQRT((((993-43)*MAX('Inputs'!$B$33,'Inputs'!$B$29+'Inputs'!$B$31+'Inputs'!$B$32,'Inputs'!$B$30+'Inputs'!$B$31+'Inputs'!$B$32)/1000+'Inputs'!$B$21))^2+('Inputs'!$B$8/2)^2)))-'Results'!B7*(1-'Inputs'!$B$24)*(0.5*((((993-43)*MAX('Inputs'!$B$33,'Inputs'!$B$29+'Inputs'!$B$31+'Inputs'!$B$32,'Inputs'!$B$30+'Inputs'!$B$31+'Inputs'!$B$32)/1000+'Inputs'!$B$21+'Inputs'!$B$9+'Inputs'!$B$10)+'Inputs'!$B$7)/SQRT((((993-43)*MAX('Inputs'!$B$33,'Inputs'!$B$29+'Inputs'!$B$31+'Inputs'!$B$32,'Inputs'!$B$30+'Inputs'!$B$31+'Inputs'!$B$32)/1000+'Inputs'!$B$21+'Inputs'!$B$9+'Inputs'!$B$10)+'Inputs'!$B$7)^2+('Inputs'!$B$6/2)^2)-(((993-43)*MAX('Inputs'!$B$33,'Inputs'!$B$29+'Inputs'!$B$31+'Inputs'!$B$32,'Inputs'!$B$30+'Inputs'!$B$31+'Inputs'!$B$32)/1000+'Inputs'!$B$21+'Inputs'!$B$9+'Inputs'!$B$10))/SQRT((((993-43)*MAX('Inputs'!$B$33,'Inputs'!$B$29+'Inputs'!$B$31+'Inputs'!$B$32,'Inputs'!$B$30+'Inputs'!$B$31+'Inputs'!$B$32)/1000+'Inputs'!$B$21+'Inputs'!$B$9+'Inputs'!$B$10))^2+('Inputs'!$B$6/2)^2))))*'Results'!$B$8)+'Inputs'!$B$28*ABS((('Results'!C7*(1+'Inputs'!$B$24)*(0.5*((((993-43)*MAX('Inputs'!$B$33,'Inputs'!$B$29+'Inputs'!$B$31+'Inputs'!$B$32,'Inputs'!$B$30+'Inputs'!$B$31+'Inputs'!$B$32)/1000+'Inputs'!$B$21)+'Inputs'!$B$9)/SQRT((((993-43)*MAX('Inputs'!$B$33,'Inputs'!$B$29+'Inputs'!$B$31+'Inputs'!$B$32,'Inputs'!$B$30+'Inputs'!$B$31+'Inputs'!$B$32)/1000+'Inputs'!$B$21)+'Inputs'!$B$9)^2+('Inputs'!$B$8/2)^2)-(((993-43)*MAX('Inputs'!$B$33,'Inputs'!$B$29+'Inputs'!$B$31+'Inputs'!$B$32,'Inputs'!$B$30+'Inputs'!$B$31+'Inputs'!$B$32)/1000+'Inputs'!$B$21))/SQRT((((993-43)*MAX('Inputs'!$B$33,'Inputs'!$B$29+'Inputs'!$B$31+'Inputs'!$B$32,'Inputs'!$B$30+'Inputs'!$B$31+'Inputs'!$B$32)/1000+'Inputs'!$B$21))^2+('Inputs'!$B$8/2)^2)))-'Results'!B7*(1-'Inputs'!$B$24)*(0.5*((((993-43)*MAX('Inputs'!$B$33,'Inputs'!$B$29+'Inputs'!$B$31+'Inputs'!$B$32,'Inputs'!$B$30+'Inputs'!$B$31+'Inputs'!$B$32)/1000+'Inputs'!$B$21+'Inputs'!$B$9+'Inputs'!$B$10)+'Inputs'!$B$7)/SQRT((((993-43)*MAX('Inputs'!$B$33,'Inputs'!$B$29+'Inputs'!$B$31+'Inputs'!$B$32,'Inputs'!$B$30+'Inputs'!$B$31+'Inputs'!$B$32)/1000+'Inputs'!$B$21+'Inputs'!$B$9+'Inputs'!$B$10)+'Inputs'!$B$7)^2+('Inputs'!$B$6/2)^2)-(((993-43)*MAX('Inputs'!$B$33,'Inputs'!$B$29+'Inputs'!$B$31+'Inputs'!$B$32,'Inputs'!$B$30+'Inputs'!$B$31+'Inputs'!$B$32)/1000+'Inputs'!$B$21+'Inputs'!$B$9+'Inputs'!$B$10))/SQRT((((993-43)*MAX('Inputs'!$B$33,'Inputs'!$B$29+'Inputs'!$B$31+'Inputs'!$B$32,'Inputs'!$B$30+'Inputs'!$B$31+'Inputs'!$B$32)/1000+'Inputs'!$B$21+'Inputs'!$B$9+'Inputs'!$B$10))^2+('Inputs'!$B$6/2)^2))))*'Results'!$B$8))),"")</x:f>
        <x:v>0.45149574797260456</x:v>
      </x:c>
      <x:c r="P993" t="n">
        <x:f>IF(AND(MAX(J993,J992)&gt;0,J993&gt;J992+0.00000001),1,0)</x:f>
        <x:v>0</x:v>
      </x:c>
      <x:c r="Q993" t="n">
        <x:f>IF(AND(MAX(K993,K992)&gt;0,K993&gt;K992+0.00000001),1,0)</x:f>
        <x:v>0</x:v>
      </x:c>
      <x:c r="R993" t="n">
        <x:f>IF(AND(MAX(L993,L992)&gt;0,L993&gt;L992+0.00000001),1,0)</x:f>
        <x:v>0</x:v>
      </x:c>
      <x:c r="S993" t="n">
        <x:f>IF(AND(MAX(M993,M992)&gt;0,M993&gt;M992+0.00000001),1,0)</x:f>
        <x:v>0</x:v>
      </x:c>
      <x:c r="T993" t="n">
        <x:f>IF(AND(MAX(N993,N992)&gt;0,N993&gt;N992+0.00000001),1,0)</x:f>
        <x:v>0</x:v>
      </x:c>
      <x:c r="U993" t="n">
        <x:f>IF(AND(MAX(O993,O992)&gt;0,O993&gt;O992+0.00000001),1,0)</x:f>
        <x:v>0</x:v>
      </x:c>
    </x:row>
    <x:row r="994">
      <x:c r="J994" t="n">
        <x:f>IF(AND(ISNUMBER('Results'!B7),ISNUMBER('Results'!C7),ISNUMBER('Results'!$B$8),ISNUMBER('Inputs'!$B$6),ISNUMBER('Inputs'!$B$7),ISNUMBER('Inputs'!$B$8),ISNUMBER('Inputs'!$B$9),ISNUMBER('Inputs'!$B$10),ISNUMBER('Inputs'!$B$21),ISNUMBER('Inputs'!$B$24),ISNUMBER('Inputs'!$B$28)),(('Results'!B7*(0.5*((((994-43)*MAX('Inputs'!$B$33,'Inputs'!$B$29+'Inputs'!$B$31+'Inputs'!$B$32,'Inputs'!$B$30+'Inputs'!$B$31+'Inputs'!$B$32)/1000+'Inputs'!$B$21)+'Inputs'!$B$7)/SQRT((((994-43)*MAX('Inputs'!$B$33,'Inputs'!$B$29+'Inputs'!$B$31+'Inputs'!$B$32,'Inputs'!$B$30+'Inputs'!$B$31+'Inputs'!$B$32)/1000+'Inputs'!$B$21)+'Inputs'!$B$7)^2+('Inputs'!$B$6/2)^2)-(((994-43)*MAX('Inputs'!$B$33,'Inputs'!$B$29+'Inputs'!$B$31+'Inputs'!$B$32,'Inputs'!$B$30+'Inputs'!$B$31+'Inputs'!$B$32)/1000+'Inputs'!$B$21))/SQRT((((994-43)*MAX('Inputs'!$B$33,'Inputs'!$B$29+'Inputs'!$B$31+'Inputs'!$B$32,'Inputs'!$B$30+'Inputs'!$B$31+'Inputs'!$B$32)/1000+'Inputs'!$B$21))^2+('Inputs'!$B$6/2)^2)))-'Results'!C7*(0.5*((((994-43)*MAX('Inputs'!$B$33,'Inputs'!$B$29+'Inputs'!$B$31+'Inputs'!$B$32,'Inputs'!$B$30+'Inputs'!$B$31+'Inputs'!$B$32)/1000+'Inputs'!$B$21+'Inputs'!$B$7+'Inputs'!$B$10)+'Inputs'!$B$9)/SQRT((((994-43)*MAX('Inputs'!$B$33,'Inputs'!$B$29+'Inputs'!$B$31+'Inputs'!$B$32,'Inputs'!$B$30+'Inputs'!$B$31+'Inputs'!$B$32)/1000+'Inputs'!$B$21+'Inputs'!$B$7+'Inputs'!$B$10)+'Inputs'!$B$9)^2+('Inputs'!$B$8/2)^2)-(((994-43)*MAX('Inputs'!$B$33,'Inputs'!$B$29+'Inputs'!$B$31+'Inputs'!$B$32,'Inputs'!$B$30+'Inputs'!$B$31+'Inputs'!$B$32)/1000+'Inputs'!$B$21+'Inputs'!$B$7+'Inputs'!$B$10))/SQRT((((994-43)*MAX('Inputs'!$B$33,'Inputs'!$B$29+'Inputs'!$B$31+'Inputs'!$B$32,'Inputs'!$B$30+'Inputs'!$B$31+'Inputs'!$B$32)/1000+'Inputs'!$B$21+'Inputs'!$B$7+'Inputs'!$B$10))^2+('Inputs'!$B$8/2)^2))))*'Results'!$B$8),"")</x:f>
        <x:v>0.42892782320987366</x:v>
      </x:c>
      <x:c r="K994" t="n">
        <x:f>IF(AND(ISNUMBER('Results'!B7),ISNUMBER('Results'!C7),ISNUMBER('Results'!$B$8),ISNUMBER('Inputs'!$B$6),ISNUMBER('Inputs'!$B$7),ISNUMBER('Inputs'!$B$8),ISNUMBER('Inputs'!$B$9),ISNUMBER('Inputs'!$B$10),ISNUMBER('Inputs'!$B$21),ISNUMBER('Inputs'!$B$24),ISNUMBER('Inputs'!$B$28)),((('Results'!B7*(1-'Inputs'!$B$24)*(0.5*((((994-43)*MAX('Inputs'!$B$33,'Inputs'!$B$29+'Inputs'!$B$31+'Inputs'!$B$32,'Inputs'!$B$30+'Inputs'!$B$31+'Inputs'!$B$32)/1000+'Inputs'!$B$21)+'Inputs'!$B$7)/SQRT((((994-43)*MAX('Inputs'!$B$33,'Inputs'!$B$29+'Inputs'!$B$31+'Inputs'!$B$32,'Inputs'!$B$30+'Inputs'!$B$31+'Inputs'!$B$32)/1000+'Inputs'!$B$21)+'Inputs'!$B$7)^2+('Inputs'!$B$6/2)^2)-(((994-43)*MAX('Inputs'!$B$33,'Inputs'!$B$29+'Inputs'!$B$31+'Inputs'!$B$32,'Inputs'!$B$30+'Inputs'!$B$31+'Inputs'!$B$32)/1000+'Inputs'!$B$21))/SQRT((((994-43)*MAX('Inputs'!$B$33,'Inputs'!$B$29+'Inputs'!$B$31+'Inputs'!$B$32,'Inputs'!$B$30+'Inputs'!$B$31+'Inputs'!$B$32)/1000+'Inputs'!$B$21))^2+('Inputs'!$B$6/2)^2)))-'Results'!C7*(1+'Inputs'!$B$24)*(0.5*((((994-43)*MAX('Inputs'!$B$33,'Inputs'!$B$29+'Inputs'!$B$31+'Inputs'!$B$32,'Inputs'!$B$30+'Inputs'!$B$31+'Inputs'!$B$32)/1000+'Inputs'!$B$21+'Inputs'!$B$7+'Inputs'!$B$10)+'Inputs'!$B$9)/SQRT((((994-43)*MAX('Inputs'!$B$33,'Inputs'!$B$29+'Inputs'!$B$31+'Inputs'!$B$32,'Inputs'!$B$30+'Inputs'!$B$31+'Inputs'!$B$32)/1000+'Inputs'!$B$21+'Inputs'!$B$7+'Inputs'!$B$10)+'Inputs'!$B$9)^2+('Inputs'!$B$8/2)^2)-(((994-43)*MAX('Inputs'!$B$33,'Inputs'!$B$29+'Inputs'!$B$31+'Inputs'!$B$32,'Inputs'!$B$30+'Inputs'!$B$31+'Inputs'!$B$32)/1000+'Inputs'!$B$21+'Inputs'!$B$7+'Inputs'!$B$10))/SQRT((((994-43)*MAX('Inputs'!$B$33,'Inputs'!$B$29+'Inputs'!$B$31+'Inputs'!$B$32,'Inputs'!$B$30+'Inputs'!$B$31+'Inputs'!$B$32)/1000+'Inputs'!$B$21+'Inputs'!$B$7+'Inputs'!$B$10))^2+('Inputs'!$B$8/2)^2))))*'Results'!$B$8)-'Inputs'!$B$28*ABS((('Results'!B7*(1-'Inputs'!$B$24)*(0.5*((((994-43)*MAX('Inputs'!$B$33,'Inputs'!$B$29+'Inputs'!$B$31+'Inputs'!$B$32,'Inputs'!$B$30+'Inputs'!$B$31+'Inputs'!$B$32)/1000+'Inputs'!$B$21)+'Inputs'!$B$7)/SQRT((((994-43)*MAX('Inputs'!$B$33,'Inputs'!$B$29+'Inputs'!$B$31+'Inputs'!$B$32,'Inputs'!$B$30+'Inputs'!$B$31+'Inputs'!$B$32)/1000+'Inputs'!$B$21)+'Inputs'!$B$7)^2+('Inputs'!$B$6/2)^2)-(((994-43)*MAX('Inputs'!$B$33,'Inputs'!$B$29+'Inputs'!$B$31+'Inputs'!$B$32,'Inputs'!$B$30+'Inputs'!$B$31+'Inputs'!$B$32)/1000+'Inputs'!$B$21))/SQRT((((994-43)*MAX('Inputs'!$B$33,'Inputs'!$B$29+'Inputs'!$B$31+'Inputs'!$B$32,'Inputs'!$B$30+'Inputs'!$B$31+'Inputs'!$B$32)/1000+'Inputs'!$B$21))^2+('Inputs'!$B$6/2)^2)))-'Results'!C7*(1+'Inputs'!$B$24)*(0.5*((((994-43)*MAX('Inputs'!$B$33,'Inputs'!$B$29+'Inputs'!$B$31+'Inputs'!$B$32,'Inputs'!$B$30+'Inputs'!$B$31+'Inputs'!$B$32)/1000+'Inputs'!$B$21+'Inputs'!$B$7+'Inputs'!$B$10)+'Inputs'!$B$9)/SQRT((((994-43)*MAX('Inputs'!$B$33,'Inputs'!$B$29+'Inputs'!$B$31+'Inputs'!$B$32,'Inputs'!$B$30+'Inputs'!$B$31+'Inputs'!$B$32)/1000+'Inputs'!$B$21+'Inputs'!$B$7+'Inputs'!$B$10)+'Inputs'!$B$9)^2+('Inputs'!$B$8/2)^2)-(((994-43)*MAX('Inputs'!$B$33,'Inputs'!$B$29+'Inputs'!$B$31+'Inputs'!$B$32,'Inputs'!$B$30+'Inputs'!$B$31+'Inputs'!$B$32)/1000+'Inputs'!$B$21+'Inputs'!$B$7+'Inputs'!$B$10))/SQRT((((994-43)*MAX('Inputs'!$B$33,'Inputs'!$B$29+'Inputs'!$B$31+'Inputs'!$B$32,'Inputs'!$B$30+'Inputs'!$B$31+'Inputs'!$B$32)/1000+'Inputs'!$B$21+'Inputs'!$B$7+'Inputs'!$B$10))^2+('Inputs'!$B$8/2)^2))))*'Results'!$B$8))),"")</x:f>
        <x:v>0.36087449052665743</x:v>
      </x:c>
      <x:c r="L994" t="n">
        <x:f>IF(AND(ISNUMBER('Results'!B7),ISNUMBER('Results'!C7),ISNUMBER('Results'!$B$8),ISNUMBER('Inputs'!$B$6),ISNUMBER('Inputs'!$B$7),ISNUMBER('Inputs'!$B$8),ISNUMBER('Inputs'!$B$9),ISNUMBER('Inputs'!$B$10),ISNUMBER('Inputs'!$B$21),ISNUMBER('Inputs'!$B$24),ISNUMBER('Inputs'!$B$28)),((('Results'!B7*(1+'Inputs'!$B$24)*(0.5*((((994-43)*MAX('Inputs'!$B$33,'Inputs'!$B$29+'Inputs'!$B$31+'Inputs'!$B$32,'Inputs'!$B$30+'Inputs'!$B$31+'Inputs'!$B$32)/1000+'Inputs'!$B$21)+'Inputs'!$B$7)/SQRT((((994-43)*MAX('Inputs'!$B$33,'Inputs'!$B$29+'Inputs'!$B$31+'Inputs'!$B$32,'Inputs'!$B$30+'Inputs'!$B$31+'Inputs'!$B$32)/1000+'Inputs'!$B$21)+'Inputs'!$B$7)^2+('Inputs'!$B$6/2)^2)-(((994-43)*MAX('Inputs'!$B$33,'Inputs'!$B$29+'Inputs'!$B$31+'Inputs'!$B$32,'Inputs'!$B$30+'Inputs'!$B$31+'Inputs'!$B$32)/1000+'Inputs'!$B$21))/SQRT((((994-43)*MAX('Inputs'!$B$33,'Inputs'!$B$29+'Inputs'!$B$31+'Inputs'!$B$32,'Inputs'!$B$30+'Inputs'!$B$31+'Inputs'!$B$32)/1000+'Inputs'!$B$21))^2+('Inputs'!$B$6/2)^2)))-'Results'!C7*(1-'Inputs'!$B$24)*(0.5*((((994-43)*MAX('Inputs'!$B$33,'Inputs'!$B$29+'Inputs'!$B$31+'Inputs'!$B$32,'Inputs'!$B$30+'Inputs'!$B$31+'Inputs'!$B$32)/1000+'Inputs'!$B$21+'Inputs'!$B$7+'Inputs'!$B$10)+'Inputs'!$B$9)/SQRT((((994-43)*MAX('Inputs'!$B$33,'Inputs'!$B$29+'Inputs'!$B$31+'Inputs'!$B$32,'Inputs'!$B$30+'Inputs'!$B$31+'Inputs'!$B$32)/1000+'Inputs'!$B$21+'Inputs'!$B$7+'Inputs'!$B$10)+'Inputs'!$B$9)^2+('Inputs'!$B$8/2)^2)-(((994-43)*MAX('Inputs'!$B$33,'Inputs'!$B$29+'Inputs'!$B$31+'Inputs'!$B$32,'Inputs'!$B$30+'Inputs'!$B$31+'Inputs'!$B$32)/1000+'Inputs'!$B$21+'Inputs'!$B$7+'Inputs'!$B$10))/SQRT((((994-43)*MAX('Inputs'!$B$33,'Inputs'!$B$29+'Inputs'!$B$31+'Inputs'!$B$32,'Inputs'!$B$30+'Inputs'!$B$31+'Inputs'!$B$32)/1000+'Inputs'!$B$21+'Inputs'!$B$7+'Inputs'!$B$10))^2+('Inputs'!$B$8/2)^2))))*'Results'!$B$8)+'Inputs'!$B$28*ABS((('Results'!B7*(1+'Inputs'!$B$24)*(0.5*((((994-43)*MAX('Inputs'!$B$33,'Inputs'!$B$29+'Inputs'!$B$31+'Inputs'!$B$32,'Inputs'!$B$30+'Inputs'!$B$31+'Inputs'!$B$32)/1000+'Inputs'!$B$21)+'Inputs'!$B$7)/SQRT((((994-43)*MAX('Inputs'!$B$33,'Inputs'!$B$29+'Inputs'!$B$31+'Inputs'!$B$32,'Inputs'!$B$30+'Inputs'!$B$31+'Inputs'!$B$32)/1000+'Inputs'!$B$21)+'Inputs'!$B$7)^2+('Inputs'!$B$6/2)^2)-(((994-43)*MAX('Inputs'!$B$33,'Inputs'!$B$29+'Inputs'!$B$31+'Inputs'!$B$32,'Inputs'!$B$30+'Inputs'!$B$31+'Inputs'!$B$32)/1000+'Inputs'!$B$21))/SQRT((((994-43)*MAX('Inputs'!$B$33,'Inputs'!$B$29+'Inputs'!$B$31+'Inputs'!$B$32,'Inputs'!$B$30+'Inputs'!$B$31+'Inputs'!$B$32)/1000+'Inputs'!$B$21))^2+('Inputs'!$B$6/2)^2)))-'Results'!C7*(1-'Inputs'!$B$24)*(0.5*((((994-43)*MAX('Inputs'!$B$33,'Inputs'!$B$29+'Inputs'!$B$31+'Inputs'!$B$32,'Inputs'!$B$30+'Inputs'!$B$31+'Inputs'!$B$32)/1000+'Inputs'!$B$21+'Inputs'!$B$7+'Inputs'!$B$10)+'Inputs'!$B$9)/SQRT((((994-43)*MAX('Inputs'!$B$33,'Inputs'!$B$29+'Inputs'!$B$31+'Inputs'!$B$32,'Inputs'!$B$30+'Inputs'!$B$31+'Inputs'!$B$32)/1000+'Inputs'!$B$21+'Inputs'!$B$7+'Inputs'!$B$10)+'Inputs'!$B$9)^2+('Inputs'!$B$8/2)^2)-(((994-43)*MAX('Inputs'!$B$33,'Inputs'!$B$29+'Inputs'!$B$31+'Inputs'!$B$32,'Inputs'!$B$30+'Inputs'!$B$31+'Inputs'!$B$32)/1000+'Inputs'!$B$21+'Inputs'!$B$7+'Inputs'!$B$10))/SQRT((((994-43)*MAX('Inputs'!$B$33,'Inputs'!$B$29+'Inputs'!$B$31+'Inputs'!$B$32,'Inputs'!$B$30+'Inputs'!$B$31+'Inputs'!$B$32)/1000+'Inputs'!$B$21+'Inputs'!$B$7+'Inputs'!$B$10))^2+('Inputs'!$B$8/2)^2))))*'Results'!$B$8))),"")</x:f>
        <x:v>0.5018871497375867</x:v>
      </x:c>
      <x:c r="M994" t="n">
        <x:f>IF(AND(ISNUMBER('Results'!C7),ISNUMBER('Results'!B7),ISNUMBER('Results'!$B$8),ISNUMBER('Inputs'!$B$6),ISNUMBER('Inputs'!$B$7),ISNUMBER('Inputs'!$B$8),ISNUMBER('Inputs'!$B$9),ISNUMBER('Inputs'!$B$10),ISNUMBER('Inputs'!$B$21),ISNUMBER('Inputs'!$B$24),ISNUMBER('Inputs'!$B$28)),(('Results'!C7*(0.5*((((994-43)*MAX('Inputs'!$B$33,'Inputs'!$B$29+'Inputs'!$B$31+'Inputs'!$B$32,'Inputs'!$B$30+'Inputs'!$B$31+'Inputs'!$B$32)/1000+'Inputs'!$B$21)+'Inputs'!$B$9)/SQRT((((994-43)*MAX('Inputs'!$B$33,'Inputs'!$B$29+'Inputs'!$B$31+'Inputs'!$B$32,'Inputs'!$B$30+'Inputs'!$B$31+'Inputs'!$B$32)/1000+'Inputs'!$B$21)+'Inputs'!$B$9)^2+('Inputs'!$B$8/2)^2)-(((994-43)*MAX('Inputs'!$B$33,'Inputs'!$B$29+'Inputs'!$B$31+'Inputs'!$B$32,'Inputs'!$B$30+'Inputs'!$B$31+'Inputs'!$B$32)/1000+'Inputs'!$B$21))/SQRT((((994-43)*MAX('Inputs'!$B$33,'Inputs'!$B$29+'Inputs'!$B$31+'Inputs'!$B$32,'Inputs'!$B$30+'Inputs'!$B$31+'Inputs'!$B$32)/1000+'Inputs'!$B$21))^2+('Inputs'!$B$8/2)^2)))-'Results'!B7*(0.5*((((994-43)*MAX('Inputs'!$B$33,'Inputs'!$B$29+'Inputs'!$B$31+'Inputs'!$B$32,'Inputs'!$B$30+'Inputs'!$B$31+'Inputs'!$B$32)/1000+'Inputs'!$B$21+'Inputs'!$B$9+'Inputs'!$B$10)+'Inputs'!$B$7)/SQRT((((994-43)*MAX('Inputs'!$B$33,'Inputs'!$B$29+'Inputs'!$B$31+'Inputs'!$B$32,'Inputs'!$B$30+'Inputs'!$B$31+'Inputs'!$B$32)/1000+'Inputs'!$B$21+'Inputs'!$B$9+'Inputs'!$B$10)+'Inputs'!$B$7)^2+('Inputs'!$B$6/2)^2)-(((994-43)*MAX('Inputs'!$B$33,'Inputs'!$B$29+'Inputs'!$B$31+'Inputs'!$B$32,'Inputs'!$B$30+'Inputs'!$B$31+'Inputs'!$B$32)/1000+'Inputs'!$B$21+'Inputs'!$B$9+'Inputs'!$B$10))/SQRT((((994-43)*MAX('Inputs'!$B$33,'Inputs'!$B$29+'Inputs'!$B$31+'Inputs'!$B$32,'Inputs'!$B$30+'Inputs'!$B$31+'Inputs'!$B$32)/1000+'Inputs'!$B$21+'Inputs'!$B$9+'Inputs'!$B$10))^2+('Inputs'!$B$6/2)^2))))*'Results'!$B$8),"")</x:f>
        <x:v>0.3794548094385684</x:v>
      </x:c>
      <x:c r="N994" t="n">
        <x:f>IF(AND(ISNUMBER('Results'!C7),ISNUMBER('Results'!B7),ISNUMBER('Results'!$B$8),ISNUMBER('Inputs'!$B$6),ISNUMBER('Inputs'!$B$7),ISNUMBER('Inputs'!$B$8),ISNUMBER('Inputs'!$B$9),ISNUMBER('Inputs'!$B$10),ISNUMBER('Inputs'!$B$21),ISNUMBER('Inputs'!$B$24),ISNUMBER('Inputs'!$B$28)),((('Results'!C7*(1-'Inputs'!$B$24)*(0.5*((((994-43)*MAX('Inputs'!$B$33,'Inputs'!$B$29+'Inputs'!$B$31+'Inputs'!$B$32,'Inputs'!$B$30+'Inputs'!$B$31+'Inputs'!$B$32)/1000+'Inputs'!$B$21)+'Inputs'!$B$9)/SQRT((((994-43)*MAX('Inputs'!$B$33,'Inputs'!$B$29+'Inputs'!$B$31+'Inputs'!$B$32,'Inputs'!$B$30+'Inputs'!$B$31+'Inputs'!$B$32)/1000+'Inputs'!$B$21)+'Inputs'!$B$9)^2+('Inputs'!$B$8/2)^2)-(((994-43)*MAX('Inputs'!$B$33,'Inputs'!$B$29+'Inputs'!$B$31+'Inputs'!$B$32,'Inputs'!$B$30+'Inputs'!$B$31+'Inputs'!$B$32)/1000+'Inputs'!$B$21))/SQRT((((994-43)*MAX('Inputs'!$B$33,'Inputs'!$B$29+'Inputs'!$B$31+'Inputs'!$B$32,'Inputs'!$B$30+'Inputs'!$B$31+'Inputs'!$B$32)/1000+'Inputs'!$B$21))^2+('Inputs'!$B$8/2)^2)))-'Results'!B7*(1+'Inputs'!$B$24)*(0.5*((((994-43)*MAX('Inputs'!$B$33,'Inputs'!$B$29+'Inputs'!$B$31+'Inputs'!$B$32,'Inputs'!$B$30+'Inputs'!$B$31+'Inputs'!$B$32)/1000+'Inputs'!$B$21+'Inputs'!$B$9+'Inputs'!$B$10)+'Inputs'!$B$7)/SQRT((((994-43)*MAX('Inputs'!$B$33,'Inputs'!$B$29+'Inputs'!$B$31+'Inputs'!$B$32,'Inputs'!$B$30+'Inputs'!$B$31+'Inputs'!$B$32)/1000+'Inputs'!$B$21+'Inputs'!$B$9+'Inputs'!$B$10)+'Inputs'!$B$7)^2+('Inputs'!$B$6/2)^2)-(((994-43)*MAX('Inputs'!$B$33,'Inputs'!$B$29+'Inputs'!$B$31+'Inputs'!$B$32,'Inputs'!$B$30+'Inputs'!$B$31+'Inputs'!$B$32)/1000+'Inputs'!$B$21+'Inputs'!$B$9+'Inputs'!$B$10))/SQRT((((994-43)*MAX('Inputs'!$B$33,'Inputs'!$B$29+'Inputs'!$B$31+'Inputs'!$B$32,'Inputs'!$B$30+'Inputs'!$B$31+'Inputs'!$B$32)/1000+'Inputs'!$B$21+'Inputs'!$B$9+'Inputs'!$B$10))^2+('Inputs'!$B$6/2)^2))))*'Results'!$B$8)-'Inputs'!$B$28*ABS((('Results'!C7*(1-'Inputs'!$B$24)*(0.5*((((994-43)*MAX('Inputs'!$B$33,'Inputs'!$B$29+'Inputs'!$B$31+'Inputs'!$B$32,'Inputs'!$B$30+'Inputs'!$B$31+'Inputs'!$B$32)/1000+'Inputs'!$B$21)+'Inputs'!$B$9)/SQRT((((994-43)*MAX('Inputs'!$B$33,'Inputs'!$B$29+'Inputs'!$B$31+'Inputs'!$B$32,'Inputs'!$B$30+'Inputs'!$B$31+'Inputs'!$B$32)/1000+'Inputs'!$B$21)+'Inputs'!$B$9)^2+('Inputs'!$B$8/2)^2)-(((994-43)*MAX('Inputs'!$B$33,'Inputs'!$B$29+'Inputs'!$B$31+'Inputs'!$B$32,'Inputs'!$B$30+'Inputs'!$B$31+'Inputs'!$B$32)/1000+'Inputs'!$B$21))/SQRT((((994-43)*MAX('Inputs'!$B$33,'Inputs'!$B$29+'Inputs'!$B$31+'Inputs'!$B$32,'Inputs'!$B$30+'Inputs'!$B$31+'Inputs'!$B$32)/1000+'Inputs'!$B$21))^2+('Inputs'!$B$8/2)^2)))-'Results'!B7*(1+'Inputs'!$B$24)*(0.5*((((994-43)*MAX('Inputs'!$B$33,'Inputs'!$B$29+'Inputs'!$B$31+'Inputs'!$B$32,'Inputs'!$B$30+'Inputs'!$B$31+'Inputs'!$B$32)/1000+'Inputs'!$B$21+'Inputs'!$B$9+'Inputs'!$B$10)+'Inputs'!$B$7)/SQRT((((994-43)*MAX('Inputs'!$B$33,'Inputs'!$B$29+'Inputs'!$B$31+'Inputs'!$B$32,'Inputs'!$B$30+'Inputs'!$B$31+'Inputs'!$B$32)/1000+'Inputs'!$B$21+'Inputs'!$B$9+'Inputs'!$B$10)+'Inputs'!$B$7)^2+('Inputs'!$B$6/2)^2)-(((994-43)*MAX('Inputs'!$B$33,'Inputs'!$B$29+'Inputs'!$B$31+'Inputs'!$B$32,'Inputs'!$B$30+'Inputs'!$B$31+'Inputs'!$B$32)/1000+'Inputs'!$B$21+'Inputs'!$B$9+'Inputs'!$B$10))/SQRT((((994-43)*MAX('Inputs'!$B$33,'Inputs'!$B$29+'Inputs'!$B$31+'Inputs'!$B$32,'Inputs'!$B$30+'Inputs'!$B$31+'Inputs'!$B$32)/1000+'Inputs'!$B$21+'Inputs'!$B$9+'Inputs'!$B$10))^2+('Inputs'!$B$6/2)^2))))*'Results'!$B$8))),"")</x:f>
        <x:v>0.314030271585537</x:v>
      </x:c>
      <x:c r="O994" t="n">
        <x:f>IF(AND(ISNUMBER('Results'!C7),ISNUMBER('Results'!B7),ISNUMBER('Results'!$B$8),ISNUMBER('Inputs'!$B$6),ISNUMBER('Inputs'!$B$7),ISNUMBER('Inputs'!$B$8),ISNUMBER('Inputs'!$B$9),ISNUMBER('Inputs'!$B$10),ISNUMBER('Inputs'!$B$21),ISNUMBER('Inputs'!$B$24),ISNUMBER('Inputs'!$B$28)),((('Results'!C7*(1+'Inputs'!$B$24)*(0.5*((((994-43)*MAX('Inputs'!$B$33,'Inputs'!$B$29+'Inputs'!$B$31+'Inputs'!$B$32,'Inputs'!$B$30+'Inputs'!$B$31+'Inputs'!$B$32)/1000+'Inputs'!$B$21)+'Inputs'!$B$9)/SQRT((((994-43)*MAX('Inputs'!$B$33,'Inputs'!$B$29+'Inputs'!$B$31+'Inputs'!$B$32,'Inputs'!$B$30+'Inputs'!$B$31+'Inputs'!$B$32)/1000+'Inputs'!$B$21)+'Inputs'!$B$9)^2+('Inputs'!$B$8/2)^2)-(((994-43)*MAX('Inputs'!$B$33,'Inputs'!$B$29+'Inputs'!$B$31+'Inputs'!$B$32,'Inputs'!$B$30+'Inputs'!$B$31+'Inputs'!$B$32)/1000+'Inputs'!$B$21))/SQRT((((994-43)*MAX('Inputs'!$B$33,'Inputs'!$B$29+'Inputs'!$B$31+'Inputs'!$B$32,'Inputs'!$B$30+'Inputs'!$B$31+'Inputs'!$B$32)/1000+'Inputs'!$B$21))^2+('Inputs'!$B$8/2)^2)))-'Results'!B7*(1-'Inputs'!$B$24)*(0.5*((((994-43)*MAX('Inputs'!$B$33,'Inputs'!$B$29+'Inputs'!$B$31+'Inputs'!$B$32,'Inputs'!$B$30+'Inputs'!$B$31+'Inputs'!$B$32)/1000+'Inputs'!$B$21+'Inputs'!$B$9+'Inputs'!$B$10)+'Inputs'!$B$7)/SQRT((((994-43)*MAX('Inputs'!$B$33,'Inputs'!$B$29+'Inputs'!$B$31+'Inputs'!$B$32,'Inputs'!$B$30+'Inputs'!$B$31+'Inputs'!$B$32)/1000+'Inputs'!$B$21+'Inputs'!$B$9+'Inputs'!$B$10)+'Inputs'!$B$7)^2+('Inputs'!$B$6/2)^2)-(((994-43)*MAX('Inputs'!$B$33,'Inputs'!$B$29+'Inputs'!$B$31+'Inputs'!$B$32,'Inputs'!$B$30+'Inputs'!$B$31+'Inputs'!$B$32)/1000+'Inputs'!$B$21+'Inputs'!$B$9+'Inputs'!$B$10))/SQRT((((994-43)*MAX('Inputs'!$B$33,'Inputs'!$B$29+'Inputs'!$B$31+'Inputs'!$B$32,'Inputs'!$B$30+'Inputs'!$B$31+'Inputs'!$B$32)/1000+'Inputs'!$B$21+'Inputs'!$B$9+'Inputs'!$B$10))^2+('Inputs'!$B$6/2)^2))))*'Results'!$B$8)+'Inputs'!$B$28*ABS((('Results'!C7*(1+'Inputs'!$B$24)*(0.5*((((994-43)*MAX('Inputs'!$B$33,'Inputs'!$B$29+'Inputs'!$B$31+'Inputs'!$B$32,'Inputs'!$B$30+'Inputs'!$B$31+'Inputs'!$B$32)/1000+'Inputs'!$B$21)+'Inputs'!$B$9)/SQRT((((994-43)*MAX('Inputs'!$B$33,'Inputs'!$B$29+'Inputs'!$B$31+'Inputs'!$B$32,'Inputs'!$B$30+'Inputs'!$B$31+'Inputs'!$B$32)/1000+'Inputs'!$B$21)+'Inputs'!$B$9)^2+('Inputs'!$B$8/2)^2)-(((994-43)*MAX('Inputs'!$B$33,'Inputs'!$B$29+'Inputs'!$B$31+'Inputs'!$B$32,'Inputs'!$B$30+'Inputs'!$B$31+'Inputs'!$B$32)/1000+'Inputs'!$B$21))/SQRT((((994-43)*MAX('Inputs'!$B$33,'Inputs'!$B$29+'Inputs'!$B$31+'Inputs'!$B$32,'Inputs'!$B$30+'Inputs'!$B$31+'Inputs'!$B$32)/1000+'Inputs'!$B$21))^2+('Inputs'!$B$8/2)^2)))-'Results'!B7*(1-'Inputs'!$B$24)*(0.5*((((994-43)*MAX('Inputs'!$B$33,'Inputs'!$B$29+'Inputs'!$B$31+'Inputs'!$B$32,'Inputs'!$B$30+'Inputs'!$B$31+'Inputs'!$B$32)/1000+'Inputs'!$B$21+'Inputs'!$B$9+'Inputs'!$B$10)+'Inputs'!$B$7)/SQRT((((994-43)*MAX('Inputs'!$B$33,'Inputs'!$B$29+'Inputs'!$B$31+'Inputs'!$B$32,'Inputs'!$B$30+'Inputs'!$B$31+'Inputs'!$B$32)/1000+'Inputs'!$B$21+'Inputs'!$B$9+'Inputs'!$B$10)+'Inputs'!$B$7)^2+('Inputs'!$B$6/2)^2)-(((994-43)*MAX('Inputs'!$B$33,'Inputs'!$B$29+'Inputs'!$B$31+'Inputs'!$B$32,'Inputs'!$B$30+'Inputs'!$B$31+'Inputs'!$B$32)/1000+'Inputs'!$B$21+'Inputs'!$B$9+'Inputs'!$B$10))/SQRT((((994-43)*MAX('Inputs'!$B$33,'Inputs'!$B$29+'Inputs'!$B$31+'Inputs'!$B$32,'Inputs'!$B$30+'Inputs'!$B$31+'Inputs'!$B$32)/1000+'Inputs'!$B$21+'Inputs'!$B$9+'Inputs'!$B$10))^2+('Inputs'!$B$6/2)^2))))*'Results'!$B$8))),"")</x:f>
        <x:v>0.4497690101738212</x:v>
      </x:c>
      <x:c r="P994" t="n">
        <x:f>IF(AND(MAX(J994,J993)&gt;0,J994&gt;J993+0.00000001),1,0)</x:f>
        <x:v>0</x:v>
      </x:c>
      <x:c r="Q994" t="n">
        <x:f>IF(AND(MAX(K994,K993)&gt;0,K994&gt;K993+0.00000001),1,0)</x:f>
        <x:v>0</x:v>
      </x:c>
      <x:c r="R994" t="n">
        <x:f>IF(AND(MAX(L994,L993)&gt;0,L994&gt;L993+0.00000001),1,0)</x:f>
        <x:v>0</x:v>
      </x:c>
      <x:c r="S994" t="n">
        <x:f>IF(AND(MAX(M994,M993)&gt;0,M994&gt;M993+0.00000001),1,0)</x:f>
        <x:v>0</x:v>
      </x:c>
      <x:c r="T994" t="n">
        <x:f>IF(AND(MAX(N994,N993)&gt;0,N994&gt;N993+0.00000001),1,0)</x:f>
        <x:v>0</x:v>
      </x:c>
      <x:c r="U994" t="n">
        <x:f>IF(AND(MAX(O994,O993)&gt;0,O994&gt;O993+0.00000001),1,0)</x:f>
        <x:v>0</x:v>
      </x:c>
    </x:row>
    <x:row r="995">
      <x:c r="J995" t="n">
        <x:f>IF(AND(ISNUMBER('Results'!B7),ISNUMBER('Results'!C7),ISNUMBER('Results'!$B$8),ISNUMBER('Inputs'!$B$6),ISNUMBER('Inputs'!$B$7),ISNUMBER('Inputs'!$B$8),ISNUMBER('Inputs'!$B$9),ISNUMBER('Inputs'!$B$10),ISNUMBER('Inputs'!$B$21),ISNUMBER('Inputs'!$B$24),ISNUMBER('Inputs'!$B$28)),(('Results'!B7*(0.5*((((995-43)*MAX('Inputs'!$B$33,'Inputs'!$B$29+'Inputs'!$B$31+'Inputs'!$B$32,'Inputs'!$B$30+'Inputs'!$B$31+'Inputs'!$B$32)/1000+'Inputs'!$B$21)+'Inputs'!$B$7)/SQRT((((995-43)*MAX('Inputs'!$B$33,'Inputs'!$B$29+'Inputs'!$B$31+'Inputs'!$B$32,'Inputs'!$B$30+'Inputs'!$B$31+'Inputs'!$B$32)/1000+'Inputs'!$B$21)+'Inputs'!$B$7)^2+('Inputs'!$B$6/2)^2)-(((995-43)*MAX('Inputs'!$B$33,'Inputs'!$B$29+'Inputs'!$B$31+'Inputs'!$B$32,'Inputs'!$B$30+'Inputs'!$B$31+'Inputs'!$B$32)/1000+'Inputs'!$B$21))/SQRT((((995-43)*MAX('Inputs'!$B$33,'Inputs'!$B$29+'Inputs'!$B$31+'Inputs'!$B$32,'Inputs'!$B$30+'Inputs'!$B$31+'Inputs'!$B$32)/1000+'Inputs'!$B$21))^2+('Inputs'!$B$6/2)^2)))-'Results'!C7*(0.5*((((995-43)*MAX('Inputs'!$B$33,'Inputs'!$B$29+'Inputs'!$B$31+'Inputs'!$B$32,'Inputs'!$B$30+'Inputs'!$B$31+'Inputs'!$B$32)/1000+'Inputs'!$B$21+'Inputs'!$B$7+'Inputs'!$B$10)+'Inputs'!$B$9)/SQRT((((995-43)*MAX('Inputs'!$B$33,'Inputs'!$B$29+'Inputs'!$B$31+'Inputs'!$B$32,'Inputs'!$B$30+'Inputs'!$B$31+'Inputs'!$B$32)/1000+'Inputs'!$B$21+'Inputs'!$B$7+'Inputs'!$B$10)+'Inputs'!$B$9)^2+('Inputs'!$B$8/2)^2)-(((995-43)*MAX('Inputs'!$B$33,'Inputs'!$B$29+'Inputs'!$B$31+'Inputs'!$B$32,'Inputs'!$B$30+'Inputs'!$B$31+'Inputs'!$B$32)/1000+'Inputs'!$B$21+'Inputs'!$B$7+'Inputs'!$B$10))/SQRT((((995-43)*MAX('Inputs'!$B$33,'Inputs'!$B$29+'Inputs'!$B$31+'Inputs'!$B$32,'Inputs'!$B$30+'Inputs'!$B$31+'Inputs'!$B$32)/1000+'Inputs'!$B$21+'Inputs'!$B$7+'Inputs'!$B$10))^2+('Inputs'!$B$8/2)^2))))*'Results'!$B$8),"")</x:f>
        <x:v>0.427289438850116</x:v>
      </x:c>
      <x:c r="K995" t="n">
        <x:f>IF(AND(ISNUMBER('Results'!B7),ISNUMBER('Results'!C7),ISNUMBER('Results'!$B$8),ISNUMBER('Inputs'!$B$6),ISNUMBER('Inputs'!$B$7),ISNUMBER('Inputs'!$B$8),ISNUMBER('Inputs'!$B$9),ISNUMBER('Inputs'!$B$10),ISNUMBER('Inputs'!$B$21),ISNUMBER('Inputs'!$B$24),ISNUMBER('Inputs'!$B$28)),((('Results'!B7*(1-'Inputs'!$B$24)*(0.5*((((995-43)*MAX('Inputs'!$B$33,'Inputs'!$B$29+'Inputs'!$B$31+'Inputs'!$B$32,'Inputs'!$B$30+'Inputs'!$B$31+'Inputs'!$B$32)/1000+'Inputs'!$B$21)+'Inputs'!$B$7)/SQRT((((995-43)*MAX('Inputs'!$B$33,'Inputs'!$B$29+'Inputs'!$B$31+'Inputs'!$B$32,'Inputs'!$B$30+'Inputs'!$B$31+'Inputs'!$B$32)/1000+'Inputs'!$B$21)+'Inputs'!$B$7)^2+('Inputs'!$B$6/2)^2)-(((995-43)*MAX('Inputs'!$B$33,'Inputs'!$B$29+'Inputs'!$B$31+'Inputs'!$B$32,'Inputs'!$B$30+'Inputs'!$B$31+'Inputs'!$B$32)/1000+'Inputs'!$B$21))/SQRT((((995-43)*MAX('Inputs'!$B$33,'Inputs'!$B$29+'Inputs'!$B$31+'Inputs'!$B$32,'Inputs'!$B$30+'Inputs'!$B$31+'Inputs'!$B$32)/1000+'Inputs'!$B$21))^2+('Inputs'!$B$6/2)^2)))-'Results'!C7*(1+'Inputs'!$B$24)*(0.5*((((995-43)*MAX('Inputs'!$B$33,'Inputs'!$B$29+'Inputs'!$B$31+'Inputs'!$B$32,'Inputs'!$B$30+'Inputs'!$B$31+'Inputs'!$B$32)/1000+'Inputs'!$B$21+'Inputs'!$B$7+'Inputs'!$B$10)+'Inputs'!$B$9)/SQRT((((995-43)*MAX('Inputs'!$B$33,'Inputs'!$B$29+'Inputs'!$B$31+'Inputs'!$B$32,'Inputs'!$B$30+'Inputs'!$B$31+'Inputs'!$B$32)/1000+'Inputs'!$B$21+'Inputs'!$B$7+'Inputs'!$B$10)+'Inputs'!$B$9)^2+('Inputs'!$B$8/2)^2)-(((995-43)*MAX('Inputs'!$B$33,'Inputs'!$B$29+'Inputs'!$B$31+'Inputs'!$B$32,'Inputs'!$B$30+'Inputs'!$B$31+'Inputs'!$B$32)/1000+'Inputs'!$B$21+'Inputs'!$B$7+'Inputs'!$B$10))/SQRT((((995-43)*MAX('Inputs'!$B$33,'Inputs'!$B$29+'Inputs'!$B$31+'Inputs'!$B$32,'Inputs'!$B$30+'Inputs'!$B$31+'Inputs'!$B$32)/1000+'Inputs'!$B$21+'Inputs'!$B$7+'Inputs'!$B$10))^2+('Inputs'!$B$8/2)^2))))*'Results'!$B$8)-'Inputs'!$B$28*ABS((('Results'!B7*(1-'Inputs'!$B$24)*(0.5*((((995-43)*MAX('Inputs'!$B$33,'Inputs'!$B$29+'Inputs'!$B$31+'Inputs'!$B$32,'Inputs'!$B$30+'Inputs'!$B$31+'Inputs'!$B$32)/1000+'Inputs'!$B$21)+'Inputs'!$B$7)/SQRT((((995-43)*MAX('Inputs'!$B$33,'Inputs'!$B$29+'Inputs'!$B$31+'Inputs'!$B$32,'Inputs'!$B$30+'Inputs'!$B$31+'Inputs'!$B$32)/1000+'Inputs'!$B$21)+'Inputs'!$B$7)^2+('Inputs'!$B$6/2)^2)-(((995-43)*MAX('Inputs'!$B$33,'Inputs'!$B$29+'Inputs'!$B$31+'Inputs'!$B$32,'Inputs'!$B$30+'Inputs'!$B$31+'Inputs'!$B$32)/1000+'Inputs'!$B$21))/SQRT((((995-43)*MAX('Inputs'!$B$33,'Inputs'!$B$29+'Inputs'!$B$31+'Inputs'!$B$32,'Inputs'!$B$30+'Inputs'!$B$31+'Inputs'!$B$32)/1000+'Inputs'!$B$21))^2+('Inputs'!$B$6/2)^2)))-'Results'!C7*(1+'Inputs'!$B$24)*(0.5*((((995-43)*MAX('Inputs'!$B$33,'Inputs'!$B$29+'Inputs'!$B$31+'Inputs'!$B$32,'Inputs'!$B$30+'Inputs'!$B$31+'Inputs'!$B$32)/1000+'Inputs'!$B$21+'Inputs'!$B$7+'Inputs'!$B$10)+'Inputs'!$B$9)/SQRT((((995-43)*MAX('Inputs'!$B$33,'Inputs'!$B$29+'Inputs'!$B$31+'Inputs'!$B$32,'Inputs'!$B$30+'Inputs'!$B$31+'Inputs'!$B$32)/1000+'Inputs'!$B$21+'Inputs'!$B$7+'Inputs'!$B$10)+'Inputs'!$B$9)^2+('Inputs'!$B$8/2)^2)-(((995-43)*MAX('Inputs'!$B$33,'Inputs'!$B$29+'Inputs'!$B$31+'Inputs'!$B$32,'Inputs'!$B$30+'Inputs'!$B$31+'Inputs'!$B$32)/1000+'Inputs'!$B$21+'Inputs'!$B$7+'Inputs'!$B$10))/SQRT((((995-43)*MAX('Inputs'!$B$33,'Inputs'!$B$29+'Inputs'!$B$31+'Inputs'!$B$32,'Inputs'!$B$30+'Inputs'!$B$31+'Inputs'!$B$32)/1000+'Inputs'!$B$21+'Inputs'!$B$7+'Inputs'!$B$10))^2+('Inputs'!$B$8/2)^2))))*'Results'!$B$8))),"")</x:f>
        <x:v>0.35945472387346444</x:v>
      </x:c>
      <x:c r="L995" t="n">
        <x:f>IF(AND(ISNUMBER('Results'!B7),ISNUMBER('Results'!C7),ISNUMBER('Results'!$B$8),ISNUMBER('Inputs'!$B$6),ISNUMBER('Inputs'!$B$7),ISNUMBER('Inputs'!$B$8),ISNUMBER('Inputs'!$B$9),ISNUMBER('Inputs'!$B$10),ISNUMBER('Inputs'!$B$21),ISNUMBER('Inputs'!$B$24),ISNUMBER('Inputs'!$B$28)),((('Results'!B7*(1+'Inputs'!$B$24)*(0.5*((((995-43)*MAX('Inputs'!$B$33,'Inputs'!$B$29+'Inputs'!$B$31+'Inputs'!$B$32,'Inputs'!$B$30+'Inputs'!$B$31+'Inputs'!$B$32)/1000+'Inputs'!$B$21)+'Inputs'!$B$7)/SQRT((((995-43)*MAX('Inputs'!$B$33,'Inputs'!$B$29+'Inputs'!$B$31+'Inputs'!$B$32,'Inputs'!$B$30+'Inputs'!$B$31+'Inputs'!$B$32)/1000+'Inputs'!$B$21)+'Inputs'!$B$7)^2+('Inputs'!$B$6/2)^2)-(((995-43)*MAX('Inputs'!$B$33,'Inputs'!$B$29+'Inputs'!$B$31+'Inputs'!$B$32,'Inputs'!$B$30+'Inputs'!$B$31+'Inputs'!$B$32)/1000+'Inputs'!$B$21))/SQRT((((995-43)*MAX('Inputs'!$B$33,'Inputs'!$B$29+'Inputs'!$B$31+'Inputs'!$B$32,'Inputs'!$B$30+'Inputs'!$B$31+'Inputs'!$B$32)/1000+'Inputs'!$B$21))^2+('Inputs'!$B$6/2)^2)))-'Results'!C7*(1-'Inputs'!$B$24)*(0.5*((((995-43)*MAX('Inputs'!$B$33,'Inputs'!$B$29+'Inputs'!$B$31+'Inputs'!$B$32,'Inputs'!$B$30+'Inputs'!$B$31+'Inputs'!$B$32)/1000+'Inputs'!$B$21+'Inputs'!$B$7+'Inputs'!$B$10)+'Inputs'!$B$9)/SQRT((((995-43)*MAX('Inputs'!$B$33,'Inputs'!$B$29+'Inputs'!$B$31+'Inputs'!$B$32,'Inputs'!$B$30+'Inputs'!$B$31+'Inputs'!$B$32)/1000+'Inputs'!$B$21+'Inputs'!$B$7+'Inputs'!$B$10)+'Inputs'!$B$9)^2+('Inputs'!$B$8/2)^2)-(((995-43)*MAX('Inputs'!$B$33,'Inputs'!$B$29+'Inputs'!$B$31+'Inputs'!$B$32,'Inputs'!$B$30+'Inputs'!$B$31+'Inputs'!$B$32)/1000+'Inputs'!$B$21+'Inputs'!$B$7+'Inputs'!$B$10))/SQRT((((995-43)*MAX('Inputs'!$B$33,'Inputs'!$B$29+'Inputs'!$B$31+'Inputs'!$B$32,'Inputs'!$B$30+'Inputs'!$B$31+'Inputs'!$B$32)/1000+'Inputs'!$B$21+'Inputs'!$B$7+'Inputs'!$B$10))^2+('Inputs'!$B$8/2)^2))))*'Results'!$B$8)+'Inputs'!$B$28*ABS((('Results'!B7*(1+'Inputs'!$B$24)*(0.5*((((995-43)*MAX('Inputs'!$B$33,'Inputs'!$B$29+'Inputs'!$B$31+'Inputs'!$B$32,'Inputs'!$B$30+'Inputs'!$B$31+'Inputs'!$B$32)/1000+'Inputs'!$B$21)+'Inputs'!$B$7)/SQRT((((995-43)*MAX('Inputs'!$B$33,'Inputs'!$B$29+'Inputs'!$B$31+'Inputs'!$B$32,'Inputs'!$B$30+'Inputs'!$B$31+'Inputs'!$B$32)/1000+'Inputs'!$B$21)+'Inputs'!$B$7)^2+('Inputs'!$B$6/2)^2)-(((995-43)*MAX('Inputs'!$B$33,'Inputs'!$B$29+'Inputs'!$B$31+'Inputs'!$B$32,'Inputs'!$B$30+'Inputs'!$B$31+'Inputs'!$B$32)/1000+'Inputs'!$B$21))/SQRT((((995-43)*MAX('Inputs'!$B$33,'Inputs'!$B$29+'Inputs'!$B$31+'Inputs'!$B$32,'Inputs'!$B$30+'Inputs'!$B$31+'Inputs'!$B$32)/1000+'Inputs'!$B$21))^2+('Inputs'!$B$6/2)^2)))-'Results'!C7*(1-'Inputs'!$B$24)*(0.5*((((995-43)*MAX('Inputs'!$B$33,'Inputs'!$B$29+'Inputs'!$B$31+'Inputs'!$B$32,'Inputs'!$B$30+'Inputs'!$B$31+'Inputs'!$B$32)/1000+'Inputs'!$B$21+'Inputs'!$B$7+'Inputs'!$B$10)+'Inputs'!$B$9)/SQRT((((995-43)*MAX('Inputs'!$B$33,'Inputs'!$B$29+'Inputs'!$B$31+'Inputs'!$B$32,'Inputs'!$B$30+'Inputs'!$B$31+'Inputs'!$B$32)/1000+'Inputs'!$B$21+'Inputs'!$B$7+'Inputs'!$B$10)+'Inputs'!$B$9)^2+('Inputs'!$B$8/2)^2)-(((995-43)*MAX('Inputs'!$B$33,'Inputs'!$B$29+'Inputs'!$B$31+'Inputs'!$B$32,'Inputs'!$B$30+'Inputs'!$B$31+'Inputs'!$B$32)/1000+'Inputs'!$B$21+'Inputs'!$B$7+'Inputs'!$B$10))/SQRT((((995-43)*MAX('Inputs'!$B$33,'Inputs'!$B$29+'Inputs'!$B$31+'Inputs'!$B$32,'Inputs'!$B$30+'Inputs'!$B$31+'Inputs'!$B$32)/1000+'Inputs'!$B$21+'Inputs'!$B$7+'Inputs'!$B$10))^2+('Inputs'!$B$8/2)^2))))*'Results'!$B$8))),"")</x:f>
        <x:v>0.5000157583566777</x:v>
      </x:c>
      <x:c r="M995" t="n">
        <x:f>IF(AND(ISNUMBER('Results'!C7),ISNUMBER('Results'!B7),ISNUMBER('Results'!$B$8),ISNUMBER('Inputs'!$B$6),ISNUMBER('Inputs'!$B$7),ISNUMBER('Inputs'!$B$8),ISNUMBER('Inputs'!$B$9),ISNUMBER('Inputs'!$B$10),ISNUMBER('Inputs'!$B$21),ISNUMBER('Inputs'!$B$24),ISNUMBER('Inputs'!$B$28)),(('Results'!C7*(0.5*((((995-43)*MAX('Inputs'!$B$33,'Inputs'!$B$29+'Inputs'!$B$31+'Inputs'!$B$32,'Inputs'!$B$30+'Inputs'!$B$31+'Inputs'!$B$32)/1000+'Inputs'!$B$21)+'Inputs'!$B$9)/SQRT((((995-43)*MAX('Inputs'!$B$33,'Inputs'!$B$29+'Inputs'!$B$31+'Inputs'!$B$32,'Inputs'!$B$30+'Inputs'!$B$31+'Inputs'!$B$32)/1000+'Inputs'!$B$21)+'Inputs'!$B$9)^2+('Inputs'!$B$8/2)^2)-(((995-43)*MAX('Inputs'!$B$33,'Inputs'!$B$29+'Inputs'!$B$31+'Inputs'!$B$32,'Inputs'!$B$30+'Inputs'!$B$31+'Inputs'!$B$32)/1000+'Inputs'!$B$21))/SQRT((((995-43)*MAX('Inputs'!$B$33,'Inputs'!$B$29+'Inputs'!$B$31+'Inputs'!$B$32,'Inputs'!$B$30+'Inputs'!$B$31+'Inputs'!$B$32)/1000+'Inputs'!$B$21))^2+('Inputs'!$B$8/2)^2)))-'Results'!B7*(0.5*((((995-43)*MAX('Inputs'!$B$33,'Inputs'!$B$29+'Inputs'!$B$31+'Inputs'!$B$32,'Inputs'!$B$30+'Inputs'!$B$31+'Inputs'!$B$32)/1000+'Inputs'!$B$21+'Inputs'!$B$9+'Inputs'!$B$10)+'Inputs'!$B$7)/SQRT((((995-43)*MAX('Inputs'!$B$33,'Inputs'!$B$29+'Inputs'!$B$31+'Inputs'!$B$32,'Inputs'!$B$30+'Inputs'!$B$31+'Inputs'!$B$32)/1000+'Inputs'!$B$21+'Inputs'!$B$9+'Inputs'!$B$10)+'Inputs'!$B$7)^2+('Inputs'!$B$6/2)^2)-(((995-43)*MAX('Inputs'!$B$33,'Inputs'!$B$29+'Inputs'!$B$31+'Inputs'!$B$32,'Inputs'!$B$30+'Inputs'!$B$31+'Inputs'!$B$32)/1000+'Inputs'!$B$21+'Inputs'!$B$9+'Inputs'!$B$10))/SQRT((((995-43)*MAX('Inputs'!$B$33,'Inputs'!$B$29+'Inputs'!$B$31+'Inputs'!$B$32,'Inputs'!$B$30+'Inputs'!$B$31+'Inputs'!$B$32)/1000+'Inputs'!$B$21+'Inputs'!$B$9+'Inputs'!$B$10))^2+('Inputs'!$B$6/2)^2))))*'Results'!$B$8),"")</x:f>
        <x:v>0.37796145215793275</x:v>
      </x:c>
      <x:c r="N995" t="n">
        <x:f>IF(AND(ISNUMBER('Results'!C7),ISNUMBER('Results'!B7),ISNUMBER('Results'!$B$8),ISNUMBER('Inputs'!$B$6),ISNUMBER('Inputs'!$B$7),ISNUMBER('Inputs'!$B$8),ISNUMBER('Inputs'!$B$9),ISNUMBER('Inputs'!$B$10),ISNUMBER('Inputs'!$B$21),ISNUMBER('Inputs'!$B$24),ISNUMBER('Inputs'!$B$28)),((('Results'!C7*(1-'Inputs'!$B$24)*(0.5*((((995-43)*MAX('Inputs'!$B$33,'Inputs'!$B$29+'Inputs'!$B$31+'Inputs'!$B$32,'Inputs'!$B$30+'Inputs'!$B$31+'Inputs'!$B$32)/1000+'Inputs'!$B$21)+'Inputs'!$B$9)/SQRT((((995-43)*MAX('Inputs'!$B$33,'Inputs'!$B$29+'Inputs'!$B$31+'Inputs'!$B$32,'Inputs'!$B$30+'Inputs'!$B$31+'Inputs'!$B$32)/1000+'Inputs'!$B$21)+'Inputs'!$B$9)^2+('Inputs'!$B$8/2)^2)-(((995-43)*MAX('Inputs'!$B$33,'Inputs'!$B$29+'Inputs'!$B$31+'Inputs'!$B$32,'Inputs'!$B$30+'Inputs'!$B$31+'Inputs'!$B$32)/1000+'Inputs'!$B$21))/SQRT((((995-43)*MAX('Inputs'!$B$33,'Inputs'!$B$29+'Inputs'!$B$31+'Inputs'!$B$32,'Inputs'!$B$30+'Inputs'!$B$31+'Inputs'!$B$32)/1000+'Inputs'!$B$21))^2+('Inputs'!$B$8/2)^2)))-'Results'!B7*(1+'Inputs'!$B$24)*(0.5*((((995-43)*MAX('Inputs'!$B$33,'Inputs'!$B$29+'Inputs'!$B$31+'Inputs'!$B$32,'Inputs'!$B$30+'Inputs'!$B$31+'Inputs'!$B$32)/1000+'Inputs'!$B$21+'Inputs'!$B$9+'Inputs'!$B$10)+'Inputs'!$B$7)/SQRT((((995-43)*MAX('Inputs'!$B$33,'Inputs'!$B$29+'Inputs'!$B$31+'Inputs'!$B$32,'Inputs'!$B$30+'Inputs'!$B$31+'Inputs'!$B$32)/1000+'Inputs'!$B$21+'Inputs'!$B$9+'Inputs'!$B$10)+'Inputs'!$B$7)^2+('Inputs'!$B$6/2)^2)-(((995-43)*MAX('Inputs'!$B$33,'Inputs'!$B$29+'Inputs'!$B$31+'Inputs'!$B$32,'Inputs'!$B$30+'Inputs'!$B$31+'Inputs'!$B$32)/1000+'Inputs'!$B$21+'Inputs'!$B$9+'Inputs'!$B$10))/SQRT((((995-43)*MAX('Inputs'!$B$33,'Inputs'!$B$29+'Inputs'!$B$31+'Inputs'!$B$32,'Inputs'!$B$30+'Inputs'!$B$31+'Inputs'!$B$32)/1000+'Inputs'!$B$21+'Inputs'!$B$9+'Inputs'!$B$10))^2+('Inputs'!$B$6/2)^2))))*'Results'!$B$8)-'Inputs'!$B$28*ABS((('Results'!C7*(1-'Inputs'!$B$24)*(0.5*((((995-43)*MAX('Inputs'!$B$33,'Inputs'!$B$29+'Inputs'!$B$31+'Inputs'!$B$32,'Inputs'!$B$30+'Inputs'!$B$31+'Inputs'!$B$32)/1000+'Inputs'!$B$21)+'Inputs'!$B$9)/SQRT((((995-43)*MAX('Inputs'!$B$33,'Inputs'!$B$29+'Inputs'!$B$31+'Inputs'!$B$32,'Inputs'!$B$30+'Inputs'!$B$31+'Inputs'!$B$32)/1000+'Inputs'!$B$21)+'Inputs'!$B$9)^2+('Inputs'!$B$8/2)^2)-(((995-43)*MAX('Inputs'!$B$33,'Inputs'!$B$29+'Inputs'!$B$31+'Inputs'!$B$32,'Inputs'!$B$30+'Inputs'!$B$31+'Inputs'!$B$32)/1000+'Inputs'!$B$21))/SQRT((((995-43)*MAX('Inputs'!$B$33,'Inputs'!$B$29+'Inputs'!$B$31+'Inputs'!$B$32,'Inputs'!$B$30+'Inputs'!$B$31+'Inputs'!$B$32)/1000+'Inputs'!$B$21))^2+('Inputs'!$B$8/2)^2)))-'Results'!B7*(1+'Inputs'!$B$24)*(0.5*((((995-43)*MAX('Inputs'!$B$33,'Inputs'!$B$29+'Inputs'!$B$31+'Inputs'!$B$32,'Inputs'!$B$30+'Inputs'!$B$31+'Inputs'!$B$32)/1000+'Inputs'!$B$21+'Inputs'!$B$9+'Inputs'!$B$10)+'Inputs'!$B$7)/SQRT((((995-43)*MAX('Inputs'!$B$33,'Inputs'!$B$29+'Inputs'!$B$31+'Inputs'!$B$32,'Inputs'!$B$30+'Inputs'!$B$31+'Inputs'!$B$32)/1000+'Inputs'!$B$21+'Inputs'!$B$9+'Inputs'!$B$10)+'Inputs'!$B$7)^2+('Inputs'!$B$6/2)^2)-(((995-43)*MAX('Inputs'!$B$33,'Inputs'!$B$29+'Inputs'!$B$31+'Inputs'!$B$32,'Inputs'!$B$30+'Inputs'!$B$31+'Inputs'!$B$32)/1000+'Inputs'!$B$21+'Inputs'!$B$9+'Inputs'!$B$10))/SQRT((((995-43)*MAX('Inputs'!$B$33,'Inputs'!$B$29+'Inputs'!$B$31+'Inputs'!$B$32,'Inputs'!$B$30+'Inputs'!$B$31+'Inputs'!$B$32)/1000+'Inputs'!$B$21+'Inputs'!$B$9+'Inputs'!$B$10))^2+('Inputs'!$B$6/2)^2))))*'Results'!$B$8))),"")</x:f>
        <x:v>0.3127476796161846</x:v>
      </x:c>
      <x:c r="O995" t="n">
        <x:f>IF(AND(ISNUMBER('Results'!C7),ISNUMBER('Results'!B7),ISNUMBER('Results'!$B$8),ISNUMBER('Inputs'!$B$6),ISNUMBER('Inputs'!$B$7),ISNUMBER('Inputs'!$B$8),ISNUMBER('Inputs'!$B$9),ISNUMBER('Inputs'!$B$10),ISNUMBER('Inputs'!$B$21),ISNUMBER('Inputs'!$B$24),ISNUMBER('Inputs'!$B$28)),((('Results'!C7*(1+'Inputs'!$B$24)*(0.5*((((995-43)*MAX('Inputs'!$B$33,'Inputs'!$B$29+'Inputs'!$B$31+'Inputs'!$B$32,'Inputs'!$B$30+'Inputs'!$B$31+'Inputs'!$B$32)/1000+'Inputs'!$B$21)+'Inputs'!$B$9)/SQRT((((995-43)*MAX('Inputs'!$B$33,'Inputs'!$B$29+'Inputs'!$B$31+'Inputs'!$B$32,'Inputs'!$B$30+'Inputs'!$B$31+'Inputs'!$B$32)/1000+'Inputs'!$B$21)+'Inputs'!$B$9)^2+('Inputs'!$B$8/2)^2)-(((995-43)*MAX('Inputs'!$B$33,'Inputs'!$B$29+'Inputs'!$B$31+'Inputs'!$B$32,'Inputs'!$B$30+'Inputs'!$B$31+'Inputs'!$B$32)/1000+'Inputs'!$B$21))/SQRT((((995-43)*MAX('Inputs'!$B$33,'Inputs'!$B$29+'Inputs'!$B$31+'Inputs'!$B$32,'Inputs'!$B$30+'Inputs'!$B$31+'Inputs'!$B$32)/1000+'Inputs'!$B$21))^2+('Inputs'!$B$8/2)^2)))-'Results'!B7*(1-'Inputs'!$B$24)*(0.5*((((995-43)*MAX('Inputs'!$B$33,'Inputs'!$B$29+'Inputs'!$B$31+'Inputs'!$B$32,'Inputs'!$B$30+'Inputs'!$B$31+'Inputs'!$B$32)/1000+'Inputs'!$B$21+'Inputs'!$B$9+'Inputs'!$B$10)+'Inputs'!$B$7)/SQRT((((995-43)*MAX('Inputs'!$B$33,'Inputs'!$B$29+'Inputs'!$B$31+'Inputs'!$B$32,'Inputs'!$B$30+'Inputs'!$B$31+'Inputs'!$B$32)/1000+'Inputs'!$B$21+'Inputs'!$B$9+'Inputs'!$B$10)+'Inputs'!$B$7)^2+('Inputs'!$B$6/2)^2)-(((995-43)*MAX('Inputs'!$B$33,'Inputs'!$B$29+'Inputs'!$B$31+'Inputs'!$B$32,'Inputs'!$B$30+'Inputs'!$B$31+'Inputs'!$B$32)/1000+'Inputs'!$B$21+'Inputs'!$B$9+'Inputs'!$B$10))/SQRT((((995-43)*MAX('Inputs'!$B$33,'Inputs'!$B$29+'Inputs'!$B$31+'Inputs'!$B$32,'Inputs'!$B$30+'Inputs'!$B$31+'Inputs'!$B$32)/1000+'Inputs'!$B$21+'Inputs'!$B$9+'Inputs'!$B$10))^2+('Inputs'!$B$6/2)^2))))*'Results'!$B$8)+'Inputs'!$B$28*ABS((('Results'!C7*(1+'Inputs'!$B$24)*(0.5*((((995-43)*MAX('Inputs'!$B$33,'Inputs'!$B$29+'Inputs'!$B$31+'Inputs'!$B$32,'Inputs'!$B$30+'Inputs'!$B$31+'Inputs'!$B$32)/1000+'Inputs'!$B$21)+'Inputs'!$B$9)/SQRT((((995-43)*MAX('Inputs'!$B$33,'Inputs'!$B$29+'Inputs'!$B$31+'Inputs'!$B$32,'Inputs'!$B$30+'Inputs'!$B$31+'Inputs'!$B$32)/1000+'Inputs'!$B$21)+'Inputs'!$B$9)^2+('Inputs'!$B$8/2)^2)-(((995-43)*MAX('Inputs'!$B$33,'Inputs'!$B$29+'Inputs'!$B$31+'Inputs'!$B$32,'Inputs'!$B$30+'Inputs'!$B$31+'Inputs'!$B$32)/1000+'Inputs'!$B$21))/SQRT((((995-43)*MAX('Inputs'!$B$33,'Inputs'!$B$29+'Inputs'!$B$31+'Inputs'!$B$32,'Inputs'!$B$30+'Inputs'!$B$31+'Inputs'!$B$32)/1000+'Inputs'!$B$21))^2+('Inputs'!$B$8/2)^2)))-'Results'!B7*(1-'Inputs'!$B$24)*(0.5*((((995-43)*MAX('Inputs'!$B$33,'Inputs'!$B$29+'Inputs'!$B$31+'Inputs'!$B$32,'Inputs'!$B$30+'Inputs'!$B$31+'Inputs'!$B$32)/1000+'Inputs'!$B$21+'Inputs'!$B$9+'Inputs'!$B$10)+'Inputs'!$B$7)/SQRT((((995-43)*MAX('Inputs'!$B$33,'Inputs'!$B$29+'Inputs'!$B$31+'Inputs'!$B$32,'Inputs'!$B$30+'Inputs'!$B$31+'Inputs'!$B$32)/1000+'Inputs'!$B$21+'Inputs'!$B$9+'Inputs'!$B$10)+'Inputs'!$B$7)^2+('Inputs'!$B$6/2)^2)-(((995-43)*MAX('Inputs'!$B$33,'Inputs'!$B$29+'Inputs'!$B$31+'Inputs'!$B$32,'Inputs'!$B$30+'Inputs'!$B$31+'Inputs'!$B$32)/1000+'Inputs'!$B$21+'Inputs'!$B$9+'Inputs'!$B$10))/SQRT((((995-43)*MAX('Inputs'!$B$33,'Inputs'!$B$29+'Inputs'!$B$31+'Inputs'!$B$32,'Inputs'!$B$30+'Inputs'!$B$31+'Inputs'!$B$32)/1000+'Inputs'!$B$21+'Inputs'!$B$9+'Inputs'!$B$10))^2+('Inputs'!$B$6/2)^2))))*'Results'!$B$8))),"")</x:f>
        <x:v>0.44805056153482276</x:v>
      </x:c>
      <x:c r="P995" t="n">
        <x:f>IF(AND(MAX(J995,J994)&gt;0,J995&gt;J994+0.00000001),1,0)</x:f>
        <x:v>0</x:v>
      </x:c>
      <x:c r="Q995" t="n">
        <x:f>IF(AND(MAX(K995,K994)&gt;0,K995&gt;K994+0.00000001),1,0)</x:f>
        <x:v>0</x:v>
      </x:c>
      <x:c r="R995" t="n">
        <x:f>IF(AND(MAX(L995,L994)&gt;0,L995&gt;L994+0.00000001),1,0)</x:f>
        <x:v>0</x:v>
      </x:c>
      <x:c r="S995" t="n">
        <x:f>IF(AND(MAX(M995,M994)&gt;0,M995&gt;M994+0.00000001),1,0)</x:f>
        <x:v>0</x:v>
      </x:c>
      <x:c r="T995" t="n">
        <x:f>IF(AND(MAX(N995,N994)&gt;0,N995&gt;N994+0.00000001),1,0)</x:f>
        <x:v>0</x:v>
      </x:c>
      <x:c r="U995" t="n">
        <x:f>IF(AND(MAX(O995,O994)&gt;0,O995&gt;O994+0.00000001),1,0)</x:f>
        <x:v>0</x:v>
      </x:c>
    </x:row>
    <x:row r="996">
      <x:c r="J996" t="n">
        <x:f>IF(AND(ISNUMBER('Results'!B7),ISNUMBER('Results'!C7),ISNUMBER('Results'!$B$8),ISNUMBER('Inputs'!$B$6),ISNUMBER('Inputs'!$B$7),ISNUMBER('Inputs'!$B$8),ISNUMBER('Inputs'!$B$9),ISNUMBER('Inputs'!$B$10),ISNUMBER('Inputs'!$B$21),ISNUMBER('Inputs'!$B$24),ISNUMBER('Inputs'!$B$28)),(('Results'!B7*(0.5*((((996-43)*MAX('Inputs'!$B$33,'Inputs'!$B$29+'Inputs'!$B$31+'Inputs'!$B$32,'Inputs'!$B$30+'Inputs'!$B$31+'Inputs'!$B$32)/1000+'Inputs'!$B$21)+'Inputs'!$B$7)/SQRT((((996-43)*MAX('Inputs'!$B$33,'Inputs'!$B$29+'Inputs'!$B$31+'Inputs'!$B$32,'Inputs'!$B$30+'Inputs'!$B$31+'Inputs'!$B$32)/1000+'Inputs'!$B$21)+'Inputs'!$B$7)^2+('Inputs'!$B$6/2)^2)-(((996-43)*MAX('Inputs'!$B$33,'Inputs'!$B$29+'Inputs'!$B$31+'Inputs'!$B$32,'Inputs'!$B$30+'Inputs'!$B$31+'Inputs'!$B$32)/1000+'Inputs'!$B$21))/SQRT((((996-43)*MAX('Inputs'!$B$33,'Inputs'!$B$29+'Inputs'!$B$31+'Inputs'!$B$32,'Inputs'!$B$30+'Inputs'!$B$31+'Inputs'!$B$32)/1000+'Inputs'!$B$21))^2+('Inputs'!$B$6/2)^2)))-'Results'!C7*(0.5*((((996-43)*MAX('Inputs'!$B$33,'Inputs'!$B$29+'Inputs'!$B$31+'Inputs'!$B$32,'Inputs'!$B$30+'Inputs'!$B$31+'Inputs'!$B$32)/1000+'Inputs'!$B$21+'Inputs'!$B$7+'Inputs'!$B$10)+'Inputs'!$B$9)/SQRT((((996-43)*MAX('Inputs'!$B$33,'Inputs'!$B$29+'Inputs'!$B$31+'Inputs'!$B$32,'Inputs'!$B$30+'Inputs'!$B$31+'Inputs'!$B$32)/1000+'Inputs'!$B$21+'Inputs'!$B$7+'Inputs'!$B$10)+'Inputs'!$B$9)^2+('Inputs'!$B$8/2)^2)-(((996-43)*MAX('Inputs'!$B$33,'Inputs'!$B$29+'Inputs'!$B$31+'Inputs'!$B$32,'Inputs'!$B$30+'Inputs'!$B$31+'Inputs'!$B$32)/1000+'Inputs'!$B$21+'Inputs'!$B$7+'Inputs'!$B$10))/SQRT((((996-43)*MAX('Inputs'!$B$33,'Inputs'!$B$29+'Inputs'!$B$31+'Inputs'!$B$32,'Inputs'!$B$30+'Inputs'!$B$31+'Inputs'!$B$32)/1000+'Inputs'!$B$21+'Inputs'!$B$7+'Inputs'!$B$10))^2+('Inputs'!$B$8/2)^2))))*'Results'!$B$8),"")</x:f>
        <x:v>0.42565891059297917</x:v>
      </x:c>
      <x:c r="K996" t="n">
        <x:f>IF(AND(ISNUMBER('Results'!B7),ISNUMBER('Results'!C7),ISNUMBER('Results'!$B$8),ISNUMBER('Inputs'!$B$6),ISNUMBER('Inputs'!$B$7),ISNUMBER('Inputs'!$B$8),ISNUMBER('Inputs'!$B$9),ISNUMBER('Inputs'!$B$10),ISNUMBER('Inputs'!$B$21),ISNUMBER('Inputs'!$B$24),ISNUMBER('Inputs'!$B$28)),((('Results'!B7*(1-'Inputs'!$B$24)*(0.5*((((996-43)*MAX('Inputs'!$B$33,'Inputs'!$B$29+'Inputs'!$B$31+'Inputs'!$B$32,'Inputs'!$B$30+'Inputs'!$B$31+'Inputs'!$B$32)/1000+'Inputs'!$B$21)+'Inputs'!$B$7)/SQRT((((996-43)*MAX('Inputs'!$B$33,'Inputs'!$B$29+'Inputs'!$B$31+'Inputs'!$B$32,'Inputs'!$B$30+'Inputs'!$B$31+'Inputs'!$B$32)/1000+'Inputs'!$B$21)+'Inputs'!$B$7)^2+('Inputs'!$B$6/2)^2)-(((996-43)*MAX('Inputs'!$B$33,'Inputs'!$B$29+'Inputs'!$B$31+'Inputs'!$B$32,'Inputs'!$B$30+'Inputs'!$B$31+'Inputs'!$B$32)/1000+'Inputs'!$B$21))/SQRT((((996-43)*MAX('Inputs'!$B$33,'Inputs'!$B$29+'Inputs'!$B$31+'Inputs'!$B$32,'Inputs'!$B$30+'Inputs'!$B$31+'Inputs'!$B$32)/1000+'Inputs'!$B$21))^2+('Inputs'!$B$6/2)^2)))-'Results'!C7*(1+'Inputs'!$B$24)*(0.5*((((996-43)*MAX('Inputs'!$B$33,'Inputs'!$B$29+'Inputs'!$B$31+'Inputs'!$B$32,'Inputs'!$B$30+'Inputs'!$B$31+'Inputs'!$B$32)/1000+'Inputs'!$B$21+'Inputs'!$B$7+'Inputs'!$B$10)+'Inputs'!$B$9)/SQRT((((996-43)*MAX('Inputs'!$B$33,'Inputs'!$B$29+'Inputs'!$B$31+'Inputs'!$B$32,'Inputs'!$B$30+'Inputs'!$B$31+'Inputs'!$B$32)/1000+'Inputs'!$B$21+'Inputs'!$B$7+'Inputs'!$B$10)+'Inputs'!$B$9)^2+('Inputs'!$B$8/2)^2)-(((996-43)*MAX('Inputs'!$B$33,'Inputs'!$B$29+'Inputs'!$B$31+'Inputs'!$B$32,'Inputs'!$B$30+'Inputs'!$B$31+'Inputs'!$B$32)/1000+'Inputs'!$B$21+'Inputs'!$B$7+'Inputs'!$B$10))/SQRT((((996-43)*MAX('Inputs'!$B$33,'Inputs'!$B$29+'Inputs'!$B$31+'Inputs'!$B$32,'Inputs'!$B$30+'Inputs'!$B$31+'Inputs'!$B$32)/1000+'Inputs'!$B$21+'Inputs'!$B$7+'Inputs'!$B$10))^2+('Inputs'!$B$8/2)^2))))*'Results'!$B$8)-'Inputs'!$B$28*ABS((('Results'!B7*(1-'Inputs'!$B$24)*(0.5*((((996-43)*MAX('Inputs'!$B$33,'Inputs'!$B$29+'Inputs'!$B$31+'Inputs'!$B$32,'Inputs'!$B$30+'Inputs'!$B$31+'Inputs'!$B$32)/1000+'Inputs'!$B$21)+'Inputs'!$B$7)/SQRT((((996-43)*MAX('Inputs'!$B$33,'Inputs'!$B$29+'Inputs'!$B$31+'Inputs'!$B$32,'Inputs'!$B$30+'Inputs'!$B$31+'Inputs'!$B$32)/1000+'Inputs'!$B$21)+'Inputs'!$B$7)^2+('Inputs'!$B$6/2)^2)-(((996-43)*MAX('Inputs'!$B$33,'Inputs'!$B$29+'Inputs'!$B$31+'Inputs'!$B$32,'Inputs'!$B$30+'Inputs'!$B$31+'Inputs'!$B$32)/1000+'Inputs'!$B$21))/SQRT((((996-43)*MAX('Inputs'!$B$33,'Inputs'!$B$29+'Inputs'!$B$31+'Inputs'!$B$32,'Inputs'!$B$30+'Inputs'!$B$31+'Inputs'!$B$32)/1000+'Inputs'!$B$21))^2+('Inputs'!$B$6/2)^2)))-'Results'!C7*(1+'Inputs'!$B$24)*(0.5*((((996-43)*MAX('Inputs'!$B$33,'Inputs'!$B$29+'Inputs'!$B$31+'Inputs'!$B$32,'Inputs'!$B$30+'Inputs'!$B$31+'Inputs'!$B$32)/1000+'Inputs'!$B$21+'Inputs'!$B$7+'Inputs'!$B$10)+'Inputs'!$B$9)/SQRT((((996-43)*MAX('Inputs'!$B$33,'Inputs'!$B$29+'Inputs'!$B$31+'Inputs'!$B$32,'Inputs'!$B$30+'Inputs'!$B$31+'Inputs'!$B$32)/1000+'Inputs'!$B$21+'Inputs'!$B$7+'Inputs'!$B$10)+'Inputs'!$B$9)^2+('Inputs'!$B$8/2)^2)-(((996-43)*MAX('Inputs'!$B$33,'Inputs'!$B$29+'Inputs'!$B$31+'Inputs'!$B$32,'Inputs'!$B$30+'Inputs'!$B$31+'Inputs'!$B$32)/1000+'Inputs'!$B$21+'Inputs'!$B$7+'Inputs'!$B$10))/SQRT((((996-43)*MAX('Inputs'!$B$33,'Inputs'!$B$29+'Inputs'!$B$31+'Inputs'!$B$32,'Inputs'!$B$30+'Inputs'!$B$31+'Inputs'!$B$32)/1000+'Inputs'!$B$21+'Inputs'!$B$7+'Inputs'!$B$10))^2+('Inputs'!$B$8/2)^2))))*'Results'!$B$8))),"")</x:f>
        <x:v>0.35804188567989775</x:v>
      </x:c>
      <x:c r="L996" t="n">
        <x:f>IF(AND(ISNUMBER('Results'!B7),ISNUMBER('Results'!C7),ISNUMBER('Results'!$B$8),ISNUMBER('Inputs'!$B$6),ISNUMBER('Inputs'!$B$7),ISNUMBER('Inputs'!$B$8),ISNUMBER('Inputs'!$B$9),ISNUMBER('Inputs'!$B$10),ISNUMBER('Inputs'!$B$21),ISNUMBER('Inputs'!$B$24),ISNUMBER('Inputs'!$B$28)),((('Results'!B7*(1+'Inputs'!$B$24)*(0.5*((((996-43)*MAX('Inputs'!$B$33,'Inputs'!$B$29+'Inputs'!$B$31+'Inputs'!$B$32,'Inputs'!$B$30+'Inputs'!$B$31+'Inputs'!$B$32)/1000+'Inputs'!$B$21)+'Inputs'!$B$7)/SQRT((((996-43)*MAX('Inputs'!$B$33,'Inputs'!$B$29+'Inputs'!$B$31+'Inputs'!$B$32,'Inputs'!$B$30+'Inputs'!$B$31+'Inputs'!$B$32)/1000+'Inputs'!$B$21)+'Inputs'!$B$7)^2+('Inputs'!$B$6/2)^2)-(((996-43)*MAX('Inputs'!$B$33,'Inputs'!$B$29+'Inputs'!$B$31+'Inputs'!$B$32,'Inputs'!$B$30+'Inputs'!$B$31+'Inputs'!$B$32)/1000+'Inputs'!$B$21))/SQRT((((996-43)*MAX('Inputs'!$B$33,'Inputs'!$B$29+'Inputs'!$B$31+'Inputs'!$B$32,'Inputs'!$B$30+'Inputs'!$B$31+'Inputs'!$B$32)/1000+'Inputs'!$B$21))^2+('Inputs'!$B$6/2)^2)))-'Results'!C7*(1-'Inputs'!$B$24)*(0.5*((((996-43)*MAX('Inputs'!$B$33,'Inputs'!$B$29+'Inputs'!$B$31+'Inputs'!$B$32,'Inputs'!$B$30+'Inputs'!$B$31+'Inputs'!$B$32)/1000+'Inputs'!$B$21+'Inputs'!$B$7+'Inputs'!$B$10)+'Inputs'!$B$9)/SQRT((((996-43)*MAX('Inputs'!$B$33,'Inputs'!$B$29+'Inputs'!$B$31+'Inputs'!$B$32,'Inputs'!$B$30+'Inputs'!$B$31+'Inputs'!$B$32)/1000+'Inputs'!$B$21+'Inputs'!$B$7+'Inputs'!$B$10)+'Inputs'!$B$9)^2+('Inputs'!$B$8/2)^2)-(((996-43)*MAX('Inputs'!$B$33,'Inputs'!$B$29+'Inputs'!$B$31+'Inputs'!$B$32,'Inputs'!$B$30+'Inputs'!$B$31+'Inputs'!$B$32)/1000+'Inputs'!$B$21+'Inputs'!$B$7+'Inputs'!$B$10))/SQRT((((996-43)*MAX('Inputs'!$B$33,'Inputs'!$B$29+'Inputs'!$B$31+'Inputs'!$B$32,'Inputs'!$B$30+'Inputs'!$B$31+'Inputs'!$B$32)/1000+'Inputs'!$B$21+'Inputs'!$B$7+'Inputs'!$B$10))^2+('Inputs'!$B$8/2)^2))))*'Results'!$B$8)+'Inputs'!$B$28*ABS((('Results'!B7*(1+'Inputs'!$B$24)*(0.5*((((996-43)*MAX('Inputs'!$B$33,'Inputs'!$B$29+'Inputs'!$B$31+'Inputs'!$B$32,'Inputs'!$B$30+'Inputs'!$B$31+'Inputs'!$B$32)/1000+'Inputs'!$B$21)+'Inputs'!$B$7)/SQRT((((996-43)*MAX('Inputs'!$B$33,'Inputs'!$B$29+'Inputs'!$B$31+'Inputs'!$B$32,'Inputs'!$B$30+'Inputs'!$B$31+'Inputs'!$B$32)/1000+'Inputs'!$B$21)+'Inputs'!$B$7)^2+('Inputs'!$B$6/2)^2)-(((996-43)*MAX('Inputs'!$B$33,'Inputs'!$B$29+'Inputs'!$B$31+'Inputs'!$B$32,'Inputs'!$B$30+'Inputs'!$B$31+'Inputs'!$B$32)/1000+'Inputs'!$B$21))/SQRT((((996-43)*MAX('Inputs'!$B$33,'Inputs'!$B$29+'Inputs'!$B$31+'Inputs'!$B$32,'Inputs'!$B$30+'Inputs'!$B$31+'Inputs'!$B$32)/1000+'Inputs'!$B$21))^2+('Inputs'!$B$6/2)^2)))-'Results'!C7*(1-'Inputs'!$B$24)*(0.5*((((996-43)*MAX('Inputs'!$B$33,'Inputs'!$B$29+'Inputs'!$B$31+'Inputs'!$B$32,'Inputs'!$B$30+'Inputs'!$B$31+'Inputs'!$B$32)/1000+'Inputs'!$B$21+'Inputs'!$B$7+'Inputs'!$B$10)+'Inputs'!$B$9)/SQRT((((996-43)*MAX('Inputs'!$B$33,'Inputs'!$B$29+'Inputs'!$B$31+'Inputs'!$B$32,'Inputs'!$B$30+'Inputs'!$B$31+'Inputs'!$B$32)/1000+'Inputs'!$B$21+'Inputs'!$B$7+'Inputs'!$B$10)+'Inputs'!$B$9)^2+('Inputs'!$B$8/2)^2)-(((996-43)*MAX('Inputs'!$B$33,'Inputs'!$B$29+'Inputs'!$B$31+'Inputs'!$B$32,'Inputs'!$B$30+'Inputs'!$B$31+'Inputs'!$B$32)/1000+'Inputs'!$B$21+'Inputs'!$B$7+'Inputs'!$B$10))/SQRT((((996-43)*MAX('Inputs'!$B$33,'Inputs'!$B$29+'Inputs'!$B$31+'Inputs'!$B$32,'Inputs'!$B$30+'Inputs'!$B$31+'Inputs'!$B$32)/1000+'Inputs'!$B$21+'Inputs'!$B$7+'Inputs'!$B$10))^2+('Inputs'!$B$8/2)^2))))*'Results'!$B$8))),"")</x:f>
        <x:v>0.4981532070201063</x:v>
      </x:c>
      <x:c r="M996" t="n">
        <x:f>IF(AND(ISNUMBER('Results'!C7),ISNUMBER('Results'!B7),ISNUMBER('Results'!$B$8),ISNUMBER('Inputs'!$B$6),ISNUMBER('Inputs'!$B$7),ISNUMBER('Inputs'!$B$8),ISNUMBER('Inputs'!$B$9),ISNUMBER('Inputs'!$B$10),ISNUMBER('Inputs'!$B$21),ISNUMBER('Inputs'!$B$24),ISNUMBER('Inputs'!$B$28)),(('Results'!C7*(0.5*((((996-43)*MAX('Inputs'!$B$33,'Inputs'!$B$29+'Inputs'!$B$31+'Inputs'!$B$32,'Inputs'!$B$30+'Inputs'!$B$31+'Inputs'!$B$32)/1000+'Inputs'!$B$21)+'Inputs'!$B$9)/SQRT((((996-43)*MAX('Inputs'!$B$33,'Inputs'!$B$29+'Inputs'!$B$31+'Inputs'!$B$32,'Inputs'!$B$30+'Inputs'!$B$31+'Inputs'!$B$32)/1000+'Inputs'!$B$21)+'Inputs'!$B$9)^2+('Inputs'!$B$8/2)^2)-(((996-43)*MAX('Inputs'!$B$33,'Inputs'!$B$29+'Inputs'!$B$31+'Inputs'!$B$32,'Inputs'!$B$30+'Inputs'!$B$31+'Inputs'!$B$32)/1000+'Inputs'!$B$21))/SQRT((((996-43)*MAX('Inputs'!$B$33,'Inputs'!$B$29+'Inputs'!$B$31+'Inputs'!$B$32,'Inputs'!$B$30+'Inputs'!$B$31+'Inputs'!$B$32)/1000+'Inputs'!$B$21))^2+('Inputs'!$B$8/2)^2)))-'Results'!B7*(0.5*((((996-43)*MAX('Inputs'!$B$33,'Inputs'!$B$29+'Inputs'!$B$31+'Inputs'!$B$32,'Inputs'!$B$30+'Inputs'!$B$31+'Inputs'!$B$32)/1000+'Inputs'!$B$21+'Inputs'!$B$9+'Inputs'!$B$10)+'Inputs'!$B$7)/SQRT((((996-43)*MAX('Inputs'!$B$33,'Inputs'!$B$29+'Inputs'!$B$31+'Inputs'!$B$32,'Inputs'!$B$30+'Inputs'!$B$31+'Inputs'!$B$32)/1000+'Inputs'!$B$21+'Inputs'!$B$9+'Inputs'!$B$10)+'Inputs'!$B$7)^2+('Inputs'!$B$6/2)^2)-(((996-43)*MAX('Inputs'!$B$33,'Inputs'!$B$29+'Inputs'!$B$31+'Inputs'!$B$32,'Inputs'!$B$30+'Inputs'!$B$31+'Inputs'!$B$32)/1000+'Inputs'!$B$21+'Inputs'!$B$9+'Inputs'!$B$10))/SQRT((((996-43)*MAX('Inputs'!$B$33,'Inputs'!$B$29+'Inputs'!$B$31+'Inputs'!$B$32,'Inputs'!$B$30+'Inputs'!$B$31+'Inputs'!$B$32)/1000+'Inputs'!$B$21+'Inputs'!$B$9+'Inputs'!$B$10))^2+('Inputs'!$B$6/2)^2))))*'Results'!$B$8),"")</x:f>
        <x:v>0.3764753838512118</x:v>
      </x:c>
      <x:c r="N996" t="n">
        <x:f>IF(AND(ISNUMBER('Results'!C7),ISNUMBER('Results'!B7),ISNUMBER('Results'!$B$8),ISNUMBER('Inputs'!$B$6),ISNUMBER('Inputs'!$B$7),ISNUMBER('Inputs'!$B$8),ISNUMBER('Inputs'!$B$9),ISNUMBER('Inputs'!$B$10),ISNUMBER('Inputs'!$B$21),ISNUMBER('Inputs'!$B$24),ISNUMBER('Inputs'!$B$28)),((('Results'!C7*(1-'Inputs'!$B$24)*(0.5*((((996-43)*MAX('Inputs'!$B$33,'Inputs'!$B$29+'Inputs'!$B$31+'Inputs'!$B$32,'Inputs'!$B$30+'Inputs'!$B$31+'Inputs'!$B$32)/1000+'Inputs'!$B$21)+'Inputs'!$B$9)/SQRT((((996-43)*MAX('Inputs'!$B$33,'Inputs'!$B$29+'Inputs'!$B$31+'Inputs'!$B$32,'Inputs'!$B$30+'Inputs'!$B$31+'Inputs'!$B$32)/1000+'Inputs'!$B$21)+'Inputs'!$B$9)^2+('Inputs'!$B$8/2)^2)-(((996-43)*MAX('Inputs'!$B$33,'Inputs'!$B$29+'Inputs'!$B$31+'Inputs'!$B$32,'Inputs'!$B$30+'Inputs'!$B$31+'Inputs'!$B$32)/1000+'Inputs'!$B$21))/SQRT((((996-43)*MAX('Inputs'!$B$33,'Inputs'!$B$29+'Inputs'!$B$31+'Inputs'!$B$32,'Inputs'!$B$30+'Inputs'!$B$31+'Inputs'!$B$32)/1000+'Inputs'!$B$21))^2+('Inputs'!$B$8/2)^2)))-'Results'!B7*(1+'Inputs'!$B$24)*(0.5*((((996-43)*MAX('Inputs'!$B$33,'Inputs'!$B$29+'Inputs'!$B$31+'Inputs'!$B$32,'Inputs'!$B$30+'Inputs'!$B$31+'Inputs'!$B$32)/1000+'Inputs'!$B$21+'Inputs'!$B$9+'Inputs'!$B$10)+'Inputs'!$B$7)/SQRT((((996-43)*MAX('Inputs'!$B$33,'Inputs'!$B$29+'Inputs'!$B$31+'Inputs'!$B$32,'Inputs'!$B$30+'Inputs'!$B$31+'Inputs'!$B$32)/1000+'Inputs'!$B$21+'Inputs'!$B$9+'Inputs'!$B$10)+'Inputs'!$B$7)^2+('Inputs'!$B$6/2)^2)-(((996-43)*MAX('Inputs'!$B$33,'Inputs'!$B$29+'Inputs'!$B$31+'Inputs'!$B$32,'Inputs'!$B$30+'Inputs'!$B$31+'Inputs'!$B$32)/1000+'Inputs'!$B$21+'Inputs'!$B$9+'Inputs'!$B$10))/SQRT((((996-43)*MAX('Inputs'!$B$33,'Inputs'!$B$29+'Inputs'!$B$31+'Inputs'!$B$32,'Inputs'!$B$30+'Inputs'!$B$31+'Inputs'!$B$32)/1000+'Inputs'!$B$21+'Inputs'!$B$9+'Inputs'!$B$10))^2+('Inputs'!$B$6/2)^2))))*'Results'!$B$8)-'Inputs'!$B$28*ABS((('Results'!C7*(1-'Inputs'!$B$24)*(0.5*((((996-43)*MAX('Inputs'!$B$33,'Inputs'!$B$29+'Inputs'!$B$31+'Inputs'!$B$32,'Inputs'!$B$30+'Inputs'!$B$31+'Inputs'!$B$32)/1000+'Inputs'!$B$21)+'Inputs'!$B$9)/SQRT((((996-43)*MAX('Inputs'!$B$33,'Inputs'!$B$29+'Inputs'!$B$31+'Inputs'!$B$32,'Inputs'!$B$30+'Inputs'!$B$31+'Inputs'!$B$32)/1000+'Inputs'!$B$21)+'Inputs'!$B$9)^2+('Inputs'!$B$8/2)^2)-(((996-43)*MAX('Inputs'!$B$33,'Inputs'!$B$29+'Inputs'!$B$31+'Inputs'!$B$32,'Inputs'!$B$30+'Inputs'!$B$31+'Inputs'!$B$32)/1000+'Inputs'!$B$21))/SQRT((((996-43)*MAX('Inputs'!$B$33,'Inputs'!$B$29+'Inputs'!$B$31+'Inputs'!$B$32,'Inputs'!$B$30+'Inputs'!$B$31+'Inputs'!$B$32)/1000+'Inputs'!$B$21))^2+('Inputs'!$B$8/2)^2)))-'Results'!B7*(1+'Inputs'!$B$24)*(0.5*((((996-43)*MAX('Inputs'!$B$33,'Inputs'!$B$29+'Inputs'!$B$31+'Inputs'!$B$32,'Inputs'!$B$30+'Inputs'!$B$31+'Inputs'!$B$32)/1000+'Inputs'!$B$21+'Inputs'!$B$9+'Inputs'!$B$10)+'Inputs'!$B$7)/SQRT((((996-43)*MAX('Inputs'!$B$33,'Inputs'!$B$29+'Inputs'!$B$31+'Inputs'!$B$32,'Inputs'!$B$30+'Inputs'!$B$31+'Inputs'!$B$32)/1000+'Inputs'!$B$21+'Inputs'!$B$9+'Inputs'!$B$10)+'Inputs'!$B$7)^2+('Inputs'!$B$6/2)^2)-(((996-43)*MAX('Inputs'!$B$33,'Inputs'!$B$29+'Inputs'!$B$31+'Inputs'!$B$32,'Inputs'!$B$30+'Inputs'!$B$31+'Inputs'!$B$32)/1000+'Inputs'!$B$21+'Inputs'!$B$9+'Inputs'!$B$10))/SQRT((((996-43)*MAX('Inputs'!$B$33,'Inputs'!$B$29+'Inputs'!$B$31+'Inputs'!$B$32,'Inputs'!$B$30+'Inputs'!$B$31+'Inputs'!$B$32)/1000+'Inputs'!$B$21+'Inputs'!$B$9+'Inputs'!$B$10))^2+('Inputs'!$B$6/2)^2))))*'Results'!$B$8))),"")</x:f>
        <x:v>0.31147148024081883</x:v>
      </x:c>
      <x:c r="O996" t="n">
        <x:f>IF(AND(ISNUMBER('Results'!C7),ISNUMBER('Results'!B7),ISNUMBER('Results'!$B$8),ISNUMBER('Inputs'!$B$6),ISNUMBER('Inputs'!$B$7),ISNUMBER('Inputs'!$B$8),ISNUMBER('Inputs'!$B$9),ISNUMBER('Inputs'!$B$10),ISNUMBER('Inputs'!$B$21),ISNUMBER('Inputs'!$B$24),ISNUMBER('Inputs'!$B$28)),((('Results'!C7*(1+'Inputs'!$B$24)*(0.5*((((996-43)*MAX('Inputs'!$B$33,'Inputs'!$B$29+'Inputs'!$B$31+'Inputs'!$B$32,'Inputs'!$B$30+'Inputs'!$B$31+'Inputs'!$B$32)/1000+'Inputs'!$B$21)+'Inputs'!$B$9)/SQRT((((996-43)*MAX('Inputs'!$B$33,'Inputs'!$B$29+'Inputs'!$B$31+'Inputs'!$B$32,'Inputs'!$B$30+'Inputs'!$B$31+'Inputs'!$B$32)/1000+'Inputs'!$B$21)+'Inputs'!$B$9)^2+('Inputs'!$B$8/2)^2)-(((996-43)*MAX('Inputs'!$B$33,'Inputs'!$B$29+'Inputs'!$B$31+'Inputs'!$B$32,'Inputs'!$B$30+'Inputs'!$B$31+'Inputs'!$B$32)/1000+'Inputs'!$B$21))/SQRT((((996-43)*MAX('Inputs'!$B$33,'Inputs'!$B$29+'Inputs'!$B$31+'Inputs'!$B$32,'Inputs'!$B$30+'Inputs'!$B$31+'Inputs'!$B$32)/1000+'Inputs'!$B$21))^2+('Inputs'!$B$8/2)^2)))-'Results'!B7*(1-'Inputs'!$B$24)*(0.5*((((996-43)*MAX('Inputs'!$B$33,'Inputs'!$B$29+'Inputs'!$B$31+'Inputs'!$B$32,'Inputs'!$B$30+'Inputs'!$B$31+'Inputs'!$B$32)/1000+'Inputs'!$B$21+'Inputs'!$B$9+'Inputs'!$B$10)+'Inputs'!$B$7)/SQRT((((996-43)*MAX('Inputs'!$B$33,'Inputs'!$B$29+'Inputs'!$B$31+'Inputs'!$B$32,'Inputs'!$B$30+'Inputs'!$B$31+'Inputs'!$B$32)/1000+'Inputs'!$B$21+'Inputs'!$B$9+'Inputs'!$B$10)+'Inputs'!$B$7)^2+('Inputs'!$B$6/2)^2)-(((996-43)*MAX('Inputs'!$B$33,'Inputs'!$B$29+'Inputs'!$B$31+'Inputs'!$B$32,'Inputs'!$B$30+'Inputs'!$B$31+'Inputs'!$B$32)/1000+'Inputs'!$B$21+'Inputs'!$B$9+'Inputs'!$B$10))/SQRT((((996-43)*MAX('Inputs'!$B$33,'Inputs'!$B$29+'Inputs'!$B$31+'Inputs'!$B$32,'Inputs'!$B$30+'Inputs'!$B$31+'Inputs'!$B$32)/1000+'Inputs'!$B$21+'Inputs'!$B$9+'Inputs'!$B$10))^2+('Inputs'!$B$6/2)^2))))*'Results'!$B$8)+'Inputs'!$B$28*ABS((('Results'!C7*(1+'Inputs'!$B$24)*(0.5*((((996-43)*MAX('Inputs'!$B$33,'Inputs'!$B$29+'Inputs'!$B$31+'Inputs'!$B$32,'Inputs'!$B$30+'Inputs'!$B$31+'Inputs'!$B$32)/1000+'Inputs'!$B$21)+'Inputs'!$B$9)/SQRT((((996-43)*MAX('Inputs'!$B$33,'Inputs'!$B$29+'Inputs'!$B$31+'Inputs'!$B$32,'Inputs'!$B$30+'Inputs'!$B$31+'Inputs'!$B$32)/1000+'Inputs'!$B$21)+'Inputs'!$B$9)^2+('Inputs'!$B$8/2)^2)-(((996-43)*MAX('Inputs'!$B$33,'Inputs'!$B$29+'Inputs'!$B$31+'Inputs'!$B$32,'Inputs'!$B$30+'Inputs'!$B$31+'Inputs'!$B$32)/1000+'Inputs'!$B$21))/SQRT((((996-43)*MAX('Inputs'!$B$33,'Inputs'!$B$29+'Inputs'!$B$31+'Inputs'!$B$32,'Inputs'!$B$30+'Inputs'!$B$31+'Inputs'!$B$32)/1000+'Inputs'!$B$21))^2+('Inputs'!$B$8/2)^2)))-'Results'!B7*(1-'Inputs'!$B$24)*(0.5*((((996-43)*MAX('Inputs'!$B$33,'Inputs'!$B$29+'Inputs'!$B$31+'Inputs'!$B$32,'Inputs'!$B$30+'Inputs'!$B$31+'Inputs'!$B$32)/1000+'Inputs'!$B$21+'Inputs'!$B$9+'Inputs'!$B$10)+'Inputs'!$B$7)/SQRT((((996-43)*MAX('Inputs'!$B$33,'Inputs'!$B$29+'Inputs'!$B$31+'Inputs'!$B$32,'Inputs'!$B$30+'Inputs'!$B$31+'Inputs'!$B$32)/1000+'Inputs'!$B$21+'Inputs'!$B$9+'Inputs'!$B$10)+'Inputs'!$B$7)^2+('Inputs'!$B$6/2)^2)-(((996-43)*MAX('Inputs'!$B$33,'Inputs'!$B$29+'Inputs'!$B$31+'Inputs'!$B$32,'Inputs'!$B$30+'Inputs'!$B$31+'Inputs'!$B$32)/1000+'Inputs'!$B$21+'Inputs'!$B$9+'Inputs'!$B$10))/SQRT((((996-43)*MAX('Inputs'!$B$33,'Inputs'!$B$29+'Inputs'!$B$31+'Inputs'!$B$32,'Inputs'!$B$30+'Inputs'!$B$31+'Inputs'!$B$32)/1000+'Inputs'!$B$21+'Inputs'!$B$9+'Inputs'!$B$10))^2+('Inputs'!$B$6/2)^2))))*'Results'!$B$8))),"")</x:f>
        <x:v>0.446340354242429</x:v>
      </x:c>
      <x:c r="P996" t="n">
        <x:f>IF(AND(MAX(J996,J995)&gt;0,J996&gt;J995+0.00000001),1,0)</x:f>
        <x:v>0</x:v>
      </x:c>
      <x:c r="Q996" t="n">
        <x:f>IF(AND(MAX(K996,K995)&gt;0,K996&gt;K995+0.00000001),1,0)</x:f>
        <x:v>0</x:v>
      </x:c>
      <x:c r="R996" t="n">
        <x:f>IF(AND(MAX(L996,L995)&gt;0,L996&gt;L995+0.00000001),1,0)</x:f>
        <x:v>0</x:v>
      </x:c>
      <x:c r="S996" t="n">
        <x:f>IF(AND(MAX(M996,M995)&gt;0,M996&gt;M995+0.00000001),1,0)</x:f>
        <x:v>0</x:v>
      </x:c>
      <x:c r="T996" t="n">
        <x:f>IF(AND(MAX(N996,N995)&gt;0,N996&gt;N995+0.00000001),1,0)</x:f>
        <x:v>0</x:v>
      </x:c>
      <x:c r="U996" t="n">
        <x:f>IF(AND(MAX(O996,O995)&gt;0,O996&gt;O995+0.00000001),1,0)</x:f>
        <x:v>0</x:v>
      </x:c>
    </x:row>
    <x:row r="997">
      <x:c r="J997" t="n">
        <x:f>IF(AND(ISNUMBER('Results'!B7),ISNUMBER('Results'!C7),ISNUMBER('Results'!$B$8),ISNUMBER('Inputs'!$B$6),ISNUMBER('Inputs'!$B$7),ISNUMBER('Inputs'!$B$8),ISNUMBER('Inputs'!$B$9),ISNUMBER('Inputs'!$B$10),ISNUMBER('Inputs'!$B$21),ISNUMBER('Inputs'!$B$24),ISNUMBER('Inputs'!$B$28)),(('Results'!B7*(0.5*((((997-43)*MAX('Inputs'!$B$33,'Inputs'!$B$29+'Inputs'!$B$31+'Inputs'!$B$32,'Inputs'!$B$30+'Inputs'!$B$31+'Inputs'!$B$32)/1000+'Inputs'!$B$21)+'Inputs'!$B$7)/SQRT((((997-43)*MAX('Inputs'!$B$33,'Inputs'!$B$29+'Inputs'!$B$31+'Inputs'!$B$32,'Inputs'!$B$30+'Inputs'!$B$31+'Inputs'!$B$32)/1000+'Inputs'!$B$21)+'Inputs'!$B$7)^2+('Inputs'!$B$6/2)^2)-(((997-43)*MAX('Inputs'!$B$33,'Inputs'!$B$29+'Inputs'!$B$31+'Inputs'!$B$32,'Inputs'!$B$30+'Inputs'!$B$31+'Inputs'!$B$32)/1000+'Inputs'!$B$21))/SQRT((((997-43)*MAX('Inputs'!$B$33,'Inputs'!$B$29+'Inputs'!$B$31+'Inputs'!$B$32,'Inputs'!$B$30+'Inputs'!$B$31+'Inputs'!$B$32)/1000+'Inputs'!$B$21))^2+('Inputs'!$B$6/2)^2)))-'Results'!C7*(0.5*((((997-43)*MAX('Inputs'!$B$33,'Inputs'!$B$29+'Inputs'!$B$31+'Inputs'!$B$32,'Inputs'!$B$30+'Inputs'!$B$31+'Inputs'!$B$32)/1000+'Inputs'!$B$21+'Inputs'!$B$7+'Inputs'!$B$10)+'Inputs'!$B$9)/SQRT((((997-43)*MAX('Inputs'!$B$33,'Inputs'!$B$29+'Inputs'!$B$31+'Inputs'!$B$32,'Inputs'!$B$30+'Inputs'!$B$31+'Inputs'!$B$32)/1000+'Inputs'!$B$21+'Inputs'!$B$7+'Inputs'!$B$10)+'Inputs'!$B$9)^2+('Inputs'!$B$8/2)^2)-(((997-43)*MAX('Inputs'!$B$33,'Inputs'!$B$29+'Inputs'!$B$31+'Inputs'!$B$32,'Inputs'!$B$30+'Inputs'!$B$31+'Inputs'!$B$32)/1000+'Inputs'!$B$21+'Inputs'!$B$7+'Inputs'!$B$10))/SQRT((((997-43)*MAX('Inputs'!$B$33,'Inputs'!$B$29+'Inputs'!$B$31+'Inputs'!$B$32,'Inputs'!$B$30+'Inputs'!$B$31+'Inputs'!$B$32)/1000+'Inputs'!$B$21+'Inputs'!$B$7+'Inputs'!$B$10))^2+('Inputs'!$B$8/2)^2))))*'Results'!$B$8),"")</x:f>
        <x:v>0.42403619316768437</x:v>
      </x:c>
      <x:c r="K997" t="n">
        <x:f>IF(AND(ISNUMBER('Results'!B7),ISNUMBER('Results'!C7),ISNUMBER('Results'!$B$8),ISNUMBER('Inputs'!$B$6),ISNUMBER('Inputs'!$B$7),ISNUMBER('Inputs'!$B$8),ISNUMBER('Inputs'!$B$9),ISNUMBER('Inputs'!$B$10),ISNUMBER('Inputs'!$B$21),ISNUMBER('Inputs'!$B$24),ISNUMBER('Inputs'!$B$28)),((('Results'!B7*(1-'Inputs'!$B$24)*(0.5*((((997-43)*MAX('Inputs'!$B$33,'Inputs'!$B$29+'Inputs'!$B$31+'Inputs'!$B$32,'Inputs'!$B$30+'Inputs'!$B$31+'Inputs'!$B$32)/1000+'Inputs'!$B$21)+'Inputs'!$B$7)/SQRT((((997-43)*MAX('Inputs'!$B$33,'Inputs'!$B$29+'Inputs'!$B$31+'Inputs'!$B$32,'Inputs'!$B$30+'Inputs'!$B$31+'Inputs'!$B$32)/1000+'Inputs'!$B$21)+'Inputs'!$B$7)^2+('Inputs'!$B$6/2)^2)-(((997-43)*MAX('Inputs'!$B$33,'Inputs'!$B$29+'Inputs'!$B$31+'Inputs'!$B$32,'Inputs'!$B$30+'Inputs'!$B$31+'Inputs'!$B$32)/1000+'Inputs'!$B$21))/SQRT((((997-43)*MAX('Inputs'!$B$33,'Inputs'!$B$29+'Inputs'!$B$31+'Inputs'!$B$32,'Inputs'!$B$30+'Inputs'!$B$31+'Inputs'!$B$32)/1000+'Inputs'!$B$21))^2+('Inputs'!$B$6/2)^2)))-'Results'!C7*(1+'Inputs'!$B$24)*(0.5*((((997-43)*MAX('Inputs'!$B$33,'Inputs'!$B$29+'Inputs'!$B$31+'Inputs'!$B$32,'Inputs'!$B$30+'Inputs'!$B$31+'Inputs'!$B$32)/1000+'Inputs'!$B$21+'Inputs'!$B$7+'Inputs'!$B$10)+'Inputs'!$B$9)/SQRT((((997-43)*MAX('Inputs'!$B$33,'Inputs'!$B$29+'Inputs'!$B$31+'Inputs'!$B$32,'Inputs'!$B$30+'Inputs'!$B$31+'Inputs'!$B$32)/1000+'Inputs'!$B$21+'Inputs'!$B$7+'Inputs'!$B$10)+'Inputs'!$B$9)^2+('Inputs'!$B$8/2)^2)-(((997-43)*MAX('Inputs'!$B$33,'Inputs'!$B$29+'Inputs'!$B$31+'Inputs'!$B$32,'Inputs'!$B$30+'Inputs'!$B$31+'Inputs'!$B$32)/1000+'Inputs'!$B$21+'Inputs'!$B$7+'Inputs'!$B$10))/SQRT((((997-43)*MAX('Inputs'!$B$33,'Inputs'!$B$29+'Inputs'!$B$31+'Inputs'!$B$32,'Inputs'!$B$30+'Inputs'!$B$31+'Inputs'!$B$32)/1000+'Inputs'!$B$21+'Inputs'!$B$7+'Inputs'!$B$10))^2+('Inputs'!$B$8/2)^2))))*'Results'!$B$8)-'Inputs'!$B$28*ABS((('Results'!B7*(1-'Inputs'!$B$24)*(0.5*((((997-43)*MAX('Inputs'!$B$33,'Inputs'!$B$29+'Inputs'!$B$31+'Inputs'!$B$32,'Inputs'!$B$30+'Inputs'!$B$31+'Inputs'!$B$32)/1000+'Inputs'!$B$21)+'Inputs'!$B$7)/SQRT((((997-43)*MAX('Inputs'!$B$33,'Inputs'!$B$29+'Inputs'!$B$31+'Inputs'!$B$32,'Inputs'!$B$30+'Inputs'!$B$31+'Inputs'!$B$32)/1000+'Inputs'!$B$21)+'Inputs'!$B$7)^2+('Inputs'!$B$6/2)^2)-(((997-43)*MAX('Inputs'!$B$33,'Inputs'!$B$29+'Inputs'!$B$31+'Inputs'!$B$32,'Inputs'!$B$30+'Inputs'!$B$31+'Inputs'!$B$32)/1000+'Inputs'!$B$21))/SQRT((((997-43)*MAX('Inputs'!$B$33,'Inputs'!$B$29+'Inputs'!$B$31+'Inputs'!$B$32,'Inputs'!$B$30+'Inputs'!$B$31+'Inputs'!$B$32)/1000+'Inputs'!$B$21))^2+('Inputs'!$B$6/2)^2)))-'Results'!C7*(1+'Inputs'!$B$24)*(0.5*((((997-43)*MAX('Inputs'!$B$33,'Inputs'!$B$29+'Inputs'!$B$31+'Inputs'!$B$32,'Inputs'!$B$30+'Inputs'!$B$31+'Inputs'!$B$32)/1000+'Inputs'!$B$21+'Inputs'!$B$7+'Inputs'!$B$10)+'Inputs'!$B$9)/SQRT((((997-43)*MAX('Inputs'!$B$33,'Inputs'!$B$29+'Inputs'!$B$31+'Inputs'!$B$32,'Inputs'!$B$30+'Inputs'!$B$31+'Inputs'!$B$32)/1000+'Inputs'!$B$21+'Inputs'!$B$7+'Inputs'!$B$10)+'Inputs'!$B$9)^2+('Inputs'!$B$8/2)^2)-(((997-43)*MAX('Inputs'!$B$33,'Inputs'!$B$29+'Inputs'!$B$31+'Inputs'!$B$32,'Inputs'!$B$30+'Inputs'!$B$31+'Inputs'!$B$32)/1000+'Inputs'!$B$21+'Inputs'!$B$7+'Inputs'!$B$10))/SQRT((((997-43)*MAX('Inputs'!$B$33,'Inputs'!$B$29+'Inputs'!$B$31+'Inputs'!$B$32,'Inputs'!$B$30+'Inputs'!$B$31+'Inputs'!$B$32)/1000+'Inputs'!$B$21+'Inputs'!$B$7+'Inputs'!$B$10))^2+('Inputs'!$B$8/2)^2))))*'Results'!$B$8))),"")</x:f>
        <x:v>0.35663593555540557</x:v>
      </x:c>
      <x:c r="L997" t="n">
        <x:f>IF(AND(ISNUMBER('Results'!B7),ISNUMBER('Results'!C7),ISNUMBER('Results'!$B$8),ISNUMBER('Inputs'!$B$6),ISNUMBER('Inputs'!$B$7),ISNUMBER('Inputs'!$B$8),ISNUMBER('Inputs'!$B$9),ISNUMBER('Inputs'!$B$10),ISNUMBER('Inputs'!$B$21),ISNUMBER('Inputs'!$B$24),ISNUMBER('Inputs'!$B$28)),((('Results'!B7*(1+'Inputs'!$B$24)*(0.5*((((997-43)*MAX('Inputs'!$B$33,'Inputs'!$B$29+'Inputs'!$B$31+'Inputs'!$B$32,'Inputs'!$B$30+'Inputs'!$B$31+'Inputs'!$B$32)/1000+'Inputs'!$B$21)+'Inputs'!$B$7)/SQRT((((997-43)*MAX('Inputs'!$B$33,'Inputs'!$B$29+'Inputs'!$B$31+'Inputs'!$B$32,'Inputs'!$B$30+'Inputs'!$B$31+'Inputs'!$B$32)/1000+'Inputs'!$B$21)+'Inputs'!$B$7)^2+('Inputs'!$B$6/2)^2)-(((997-43)*MAX('Inputs'!$B$33,'Inputs'!$B$29+'Inputs'!$B$31+'Inputs'!$B$32,'Inputs'!$B$30+'Inputs'!$B$31+'Inputs'!$B$32)/1000+'Inputs'!$B$21))/SQRT((((997-43)*MAX('Inputs'!$B$33,'Inputs'!$B$29+'Inputs'!$B$31+'Inputs'!$B$32,'Inputs'!$B$30+'Inputs'!$B$31+'Inputs'!$B$32)/1000+'Inputs'!$B$21))^2+('Inputs'!$B$6/2)^2)))-'Results'!C7*(1-'Inputs'!$B$24)*(0.5*((((997-43)*MAX('Inputs'!$B$33,'Inputs'!$B$29+'Inputs'!$B$31+'Inputs'!$B$32,'Inputs'!$B$30+'Inputs'!$B$31+'Inputs'!$B$32)/1000+'Inputs'!$B$21+'Inputs'!$B$7+'Inputs'!$B$10)+'Inputs'!$B$9)/SQRT((((997-43)*MAX('Inputs'!$B$33,'Inputs'!$B$29+'Inputs'!$B$31+'Inputs'!$B$32,'Inputs'!$B$30+'Inputs'!$B$31+'Inputs'!$B$32)/1000+'Inputs'!$B$21+'Inputs'!$B$7+'Inputs'!$B$10)+'Inputs'!$B$9)^2+('Inputs'!$B$8/2)^2)-(((997-43)*MAX('Inputs'!$B$33,'Inputs'!$B$29+'Inputs'!$B$31+'Inputs'!$B$32,'Inputs'!$B$30+'Inputs'!$B$31+'Inputs'!$B$32)/1000+'Inputs'!$B$21+'Inputs'!$B$7+'Inputs'!$B$10))/SQRT((((997-43)*MAX('Inputs'!$B$33,'Inputs'!$B$29+'Inputs'!$B$31+'Inputs'!$B$32,'Inputs'!$B$30+'Inputs'!$B$31+'Inputs'!$B$32)/1000+'Inputs'!$B$21+'Inputs'!$B$7+'Inputs'!$B$10))^2+('Inputs'!$B$8/2)^2))))*'Results'!$B$8)+'Inputs'!$B$28*ABS((('Results'!B7*(1+'Inputs'!$B$24)*(0.5*((((997-43)*MAX('Inputs'!$B$33,'Inputs'!$B$29+'Inputs'!$B$31+'Inputs'!$B$32,'Inputs'!$B$30+'Inputs'!$B$31+'Inputs'!$B$32)/1000+'Inputs'!$B$21)+'Inputs'!$B$7)/SQRT((((997-43)*MAX('Inputs'!$B$33,'Inputs'!$B$29+'Inputs'!$B$31+'Inputs'!$B$32,'Inputs'!$B$30+'Inputs'!$B$31+'Inputs'!$B$32)/1000+'Inputs'!$B$21)+'Inputs'!$B$7)^2+('Inputs'!$B$6/2)^2)-(((997-43)*MAX('Inputs'!$B$33,'Inputs'!$B$29+'Inputs'!$B$31+'Inputs'!$B$32,'Inputs'!$B$30+'Inputs'!$B$31+'Inputs'!$B$32)/1000+'Inputs'!$B$21))/SQRT((((997-43)*MAX('Inputs'!$B$33,'Inputs'!$B$29+'Inputs'!$B$31+'Inputs'!$B$32,'Inputs'!$B$30+'Inputs'!$B$31+'Inputs'!$B$32)/1000+'Inputs'!$B$21))^2+('Inputs'!$B$6/2)^2)))-'Results'!C7*(1-'Inputs'!$B$24)*(0.5*((((997-43)*MAX('Inputs'!$B$33,'Inputs'!$B$29+'Inputs'!$B$31+'Inputs'!$B$32,'Inputs'!$B$30+'Inputs'!$B$31+'Inputs'!$B$32)/1000+'Inputs'!$B$21+'Inputs'!$B$7+'Inputs'!$B$10)+'Inputs'!$B$9)/SQRT((((997-43)*MAX('Inputs'!$B$33,'Inputs'!$B$29+'Inputs'!$B$31+'Inputs'!$B$32,'Inputs'!$B$30+'Inputs'!$B$31+'Inputs'!$B$32)/1000+'Inputs'!$B$21+'Inputs'!$B$7+'Inputs'!$B$10)+'Inputs'!$B$9)^2+('Inputs'!$B$8/2)^2)-(((997-43)*MAX('Inputs'!$B$33,'Inputs'!$B$29+'Inputs'!$B$31+'Inputs'!$B$32,'Inputs'!$B$30+'Inputs'!$B$31+'Inputs'!$B$32)/1000+'Inputs'!$B$21+'Inputs'!$B$7+'Inputs'!$B$10))/SQRT((((997-43)*MAX('Inputs'!$B$33,'Inputs'!$B$29+'Inputs'!$B$31+'Inputs'!$B$32,'Inputs'!$B$30+'Inputs'!$B$31+'Inputs'!$B$32)/1000+'Inputs'!$B$21+'Inputs'!$B$7+'Inputs'!$B$10))^2+('Inputs'!$B$8/2)^2))))*'Results'!$B$8))),"")</x:f>
        <x:v>0.496299445301426</x:v>
      </x:c>
      <x:c r="M997" t="n">
        <x:f>IF(AND(ISNUMBER('Results'!C7),ISNUMBER('Results'!B7),ISNUMBER('Results'!$B$8),ISNUMBER('Inputs'!$B$6),ISNUMBER('Inputs'!$B$7),ISNUMBER('Inputs'!$B$8),ISNUMBER('Inputs'!$B$9),ISNUMBER('Inputs'!$B$10),ISNUMBER('Inputs'!$B$21),ISNUMBER('Inputs'!$B$24),ISNUMBER('Inputs'!$B$28)),(('Results'!C7*(0.5*((((997-43)*MAX('Inputs'!$B$33,'Inputs'!$B$29+'Inputs'!$B$31+'Inputs'!$B$32,'Inputs'!$B$30+'Inputs'!$B$31+'Inputs'!$B$32)/1000+'Inputs'!$B$21)+'Inputs'!$B$9)/SQRT((((997-43)*MAX('Inputs'!$B$33,'Inputs'!$B$29+'Inputs'!$B$31+'Inputs'!$B$32,'Inputs'!$B$30+'Inputs'!$B$31+'Inputs'!$B$32)/1000+'Inputs'!$B$21)+'Inputs'!$B$9)^2+('Inputs'!$B$8/2)^2)-(((997-43)*MAX('Inputs'!$B$33,'Inputs'!$B$29+'Inputs'!$B$31+'Inputs'!$B$32,'Inputs'!$B$30+'Inputs'!$B$31+'Inputs'!$B$32)/1000+'Inputs'!$B$21))/SQRT((((997-43)*MAX('Inputs'!$B$33,'Inputs'!$B$29+'Inputs'!$B$31+'Inputs'!$B$32,'Inputs'!$B$30+'Inputs'!$B$31+'Inputs'!$B$32)/1000+'Inputs'!$B$21))^2+('Inputs'!$B$8/2)^2)))-'Results'!B7*(0.5*((((997-43)*MAX('Inputs'!$B$33,'Inputs'!$B$29+'Inputs'!$B$31+'Inputs'!$B$32,'Inputs'!$B$30+'Inputs'!$B$31+'Inputs'!$B$32)/1000+'Inputs'!$B$21+'Inputs'!$B$9+'Inputs'!$B$10)+'Inputs'!$B$7)/SQRT((((997-43)*MAX('Inputs'!$B$33,'Inputs'!$B$29+'Inputs'!$B$31+'Inputs'!$B$32,'Inputs'!$B$30+'Inputs'!$B$31+'Inputs'!$B$32)/1000+'Inputs'!$B$21+'Inputs'!$B$9+'Inputs'!$B$10)+'Inputs'!$B$7)^2+('Inputs'!$B$6/2)^2)-(((997-43)*MAX('Inputs'!$B$33,'Inputs'!$B$29+'Inputs'!$B$31+'Inputs'!$B$32,'Inputs'!$B$30+'Inputs'!$B$31+'Inputs'!$B$32)/1000+'Inputs'!$B$21+'Inputs'!$B$9+'Inputs'!$B$10))/SQRT((((997-43)*MAX('Inputs'!$B$33,'Inputs'!$B$29+'Inputs'!$B$31+'Inputs'!$B$32,'Inputs'!$B$30+'Inputs'!$B$31+'Inputs'!$B$32)/1000+'Inputs'!$B$21+'Inputs'!$B$9+'Inputs'!$B$10))^2+('Inputs'!$B$6/2)^2))))*'Results'!$B$8),"")</x:f>
        <x:v>0.3749965620209028</x:v>
      </x:c>
      <x:c r="N997" t="n">
        <x:f>IF(AND(ISNUMBER('Results'!C7),ISNUMBER('Results'!B7),ISNUMBER('Results'!$B$8),ISNUMBER('Inputs'!$B$6),ISNUMBER('Inputs'!$B$7),ISNUMBER('Inputs'!$B$8),ISNUMBER('Inputs'!$B$9),ISNUMBER('Inputs'!$B$10),ISNUMBER('Inputs'!$B$21),ISNUMBER('Inputs'!$B$24),ISNUMBER('Inputs'!$B$28)),((('Results'!C7*(1-'Inputs'!$B$24)*(0.5*((((997-43)*MAX('Inputs'!$B$33,'Inputs'!$B$29+'Inputs'!$B$31+'Inputs'!$B$32,'Inputs'!$B$30+'Inputs'!$B$31+'Inputs'!$B$32)/1000+'Inputs'!$B$21)+'Inputs'!$B$9)/SQRT((((997-43)*MAX('Inputs'!$B$33,'Inputs'!$B$29+'Inputs'!$B$31+'Inputs'!$B$32,'Inputs'!$B$30+'Inputs'!$B$31+'Inputs'!$B$32)/1000+'Inputs'!$B$21)+'Inputs'!$B$9)^2+('Inputs'!$B$8/2)^2)-(((997-43)*MAX('Inputs'!$B$33,'Inputs'!$B$29+'Inputs'!$B$31+'Inputs'!$B$32,'Inputs'!$B$30+'Inputs'!$B$31+'Inputs'!$B$32)/1000+'Inputs'!$B$21))/SQRT((((997-43)*MAX('Inputs'!$B$33,'Inputs'!$B$29+'Inputs'!$B$31+'Inputs'!$B$32,'Inputs'!$B$30+'Inputs'!$B$31+'Inputs'!$B$32)/1000+'Inputs'!$B$21))^2+('Inputs'!$B$8/2)^2)))-'Results'!B7*(1+'Inputs'!$B$24)*(0.5*((((997-43)*MAX('Inputs'!$B$33,'Inputs'!$B$29+'Inputs'!$B$31+'Inputs'!$B$32,'Inputs'!$B$30+'Inputs'!$B$31+'Inputs'!$B$32)/1000+'Inputs'!$B$21+'Inputs'!$B$9+'Inputs'!$B$10)+'Inputs'!$B$7)/SQRT((((997-43)*MAX('Inputs'!$B$33,'Inputs'!$B$29+'Inputs'!$B$31+'Inputs'!$B$32,'Inputs'!$B$30+'Inputs'!$B$31+'Inputs'!$B$32)/1000+'Inputs'!$B$21+'Inputs'!$B$9+'Inputs'!$B$10)+'Inputs'!$B$7)^2+('Inputs'!$B$6/2)^2)-(((997-43)*MAX('Inputs'!$B$33,'Inputs'!$B$29+'Inputs'!$B$31+'Inputs'!$B$32,'Inputs'!$B$30+'Inputs'!$B$31+'Inputs'!$B$32)/1000+'Inputs'!$B$21+'Inputs'!$B$9+'Inputs'!$B$10))/SQRT((((997-43)*MAX('Inputs'!$B$33,'Inputs'!$B$29+'Inputs'!$B$31+'Inputs'!$B$32,'Inputs'!$B$30+'Inputs'!$B$31+'Inputs'!$B$32)/1000+'Inputs'!$B$21+'Inputs'!$B$9+'Inputs'!$B$10))^2+('Inputs'!$B$6/2)^2))))*'Results'!$B$8)-'Inputs'!$B$28*ABS((('Results'!C7*(1-'Inputs'!$B$24)*(0.5*((((997-43)*MAX('Inputs'!$B$33,'Inputs'!$B$29+'Inputs'!$B$31+'Inputs'!$B$32,'Inputs'!$B$30+'Inputs'!$B$31+'Inputs'!$B$32)/1000+'Inputs'!$B$21)+'Inputs'!$B$9)/SQRT((((997-43)*MAX('Inputs'!$B$33,'Inputs'!$B$29+'Inputs'!$B$31+'Inputs'!$B$32,'Inputs'!$B$30+'Inputs'!$B$31+'Inputs'!$B$32)/1000+'Inputs'!$B$21)+'Inputs'!$B$9)^2+('Inputs'!$B$8/2)^2)-(((997-43)*MAX('Inputs'!$B$33,'Inputs'!$B$29+'Inputs'!$B$31+'Inputs'!$B$32,'Inputs'!$B$30+'Inputs'!$B$31+'Inputs'!$B$32)/1000+'Inputs'!$B$21))/SQRT((((997-43)*MAX('Inputs'!$B$33,'Inputs'!$B$29+'Inputs'!$B$31+'Inputs'!$B$32,'Inputs'!$B$30+'Inputs'!$B$31+'Inputs'!$B$32)/1000+'Inputs'!$B$21))^2+('Inputs'!$B$8/2)^2)))-'Results'!B7*(1+'Inputs'!$B$24)*(0.5*((((997-43)*MAX('Inputs'!$B$33,'Inputs'!$B$29+'Inputs'!$B$31+'Inputs'!$B$32,'Inputs'!$B$30+'Inputs'!$B$31+'Inputs'!$B$32)/1000+'Inputs'!$B$21+'Inputs'!$B$9+'Inputs'!$B$10)+'Inputs'!$B$7)/SQRT((((997-43)*MAX('Inputs'!$B$33,'Inputs'!$B$29+'Inputs'!$B$31+'Inputs'!$B$32,'Inputs'!$B$30+'Inputs'!$B$31+'Inputs'!$B$32)/1000+'Inputs'!$B$21+'Inputs'!$B$9+'Inputs'!$B$10)+'Inputs'!$B$7)^2+('Inputs'!$B$6/2)^2)-(((997-43)*MAX('Inputs'!$B$33,'Inputs'!$B$29+'Inputs'!$B$31+'Inputs'!$B$32,'Inputs'!$B$30+'Inputs'!$B$31+'Inputs'!$B$32)/1000+'Inputs'!$B$21+'Inputs'!$B$9+'Inputs'!$B$10))/SQRT((((997-43)*MAX('Inputs'!$B$33,'Inputs'!$B$29+'Inputs'!$B$31+'Inputs'!$B$32,'Inputs'!$B$30+'Inputs'!$B$31+'Inputs'!$B$32)/1000+'Inputs'!$B$21+'Inputs'!$B$9+'Inputs'!$B$10))^2+('Inputs'!$B$6/2)^2))))*'Results'!$B$8))),"")</x:f>
        <x:v>0.31020163568665554</x:v>
      </x:c>
      <x:c r="O997" t="n">
        <x:f>IF(AND(ISNUMBER('Results'!C7),ISNUMBER('Results'!B7),ISNUMBER('Results'!$B$8),ISNUMBER('Inputs'!$B$6),ISNUMBER('Inputs'!$B$7),ISNUMBER('Inputs'!$B$8),ISNUMBER('Inputs'!$B$9),ISNUMBER('Inputs'!$B$10),ISNUMBER('Inputs'!$B$21),ISNUMBER('Inputs'!$B$24),ISNUMBER('Inputs'!$B$28)),((('Results'!C7*(1+'Inputs'!$B$24)*(0.5*((((997-43)*MAX('Inputs'!$B$33,'Inputs'!$B$29+'Inputs'!$B$31+'Inputs'!$B$32,'Inputs'!$B$30+'Inputs'!$B$31+'Inputs'!$B$32)/1000+'Inputs'!$B$21)+'Inputs'!$B$9)/SQRT((((997-43)*MAX('Inputs'!$B$33,'Inputs'!$B$29+'Inputs'!$B$31+'Inputs'!$B$32,'Inputs'!$B$30+'Inputs'!$B$31+'Inputs'!$B$32)/1000+'Inputs'!$B$21)+'Inputs'!$B$9)^2+('Inputs'!$B$8/2)^2)-(((997-43)*MAX('Inputs'!$B$33,'Inputs'!$B$29+'Inputs'!$B$31+'Inputs'!$B$32,'Inputs'!$B$30+'Inputs'!$B$31+'Inputs'!$B$32)/1000+'Inputs'!$B$21))/SQRT((((997-43)*MAX('Inputs'!$B$33,'Inputs'!$B$29+'Inputs'!$B$31+'Inputs'!$B$32,'Inputs'!$B$30+'Inputs'!$B$31+'Inputs'!$B$32)/1000+'Inputs'!$B$21))^2+('Inputs'!$B$8/2)^2)))-'Results'!B7*(1-'Inputs'!$B$24)*(0.5*((((997-43)*MAX('Inputs'!$B$33,'Inputs'!$B$29+'Inputs'!$B$31+'Inputs'!$B$32,'Inputs'!$B$30+'Inputs'!$B$31+'Inputs'!$B$32)/1000+'Inputs'!$B$21+'Inputs'!$B$9+'Inputs'!$B$10)+'Inputs'!$B$7)/SQRT((((997-43)*MAX('Inputs'!$B$33,'Inputs'!$B$29+'Inputs'!$B$31+'Inputs'!$B$32,'Inputs'!$B$30+'Inputs'!$B$31+'Inputs'!$B$32)/1000+'Inputs'!$B$21+'Inputs'!$B$9+'Inputs'!$B$10)+'Inputs'!$B$7)^2+('Inputs'!$B$6/2)^2)-(((997-43)*MAX('Inputs'!$B$33,'Inputs'!$B$29+'Inputs'!$B$31+'Inputs'!$B$32,'Inputs'!$B$30+'Inputs'!$B$31+'Inputs'!$B$32)/1000+'Inputs'!$B$21+'Inputs'!$B$9+'Inputs'!$B$10))/SQRT((((997-43)*MAX('Inputs'!$B$33,'Inputs'!$B$29+'Inputs'!$B$31+'Inputs'!$B$32,'Inputs'!$B$30+'Inputs'!$B$31+'Inputs'!$B$32)/1000+'Inputs'!$B$21+'Inputs'!$B$9+'Inputs'!$B$10))^2+('Inputs'!$B$6/2)^2))))*'Results'!$B$8)+'Inputs'!$B$28*ABS((('Results'!C7*(1+'Inputs'!$B$24)*(0.5*((((997-43)*MAX('Inputs'!$B$33,'Inputs'!$B$29+'Inputs'!$B$31+'Inputs'!$B$32,'Inputs'!$B$30+'Inputs'!$B$31+'Inputs'!$B$32)/1000+'Inputs'!$B$21)+'Inputs'!$B$9)/SQRT((((997-43)*MAX('Inputs'!$B$33,'Inputs'!$B$29+'Inputs'!$B$31+'Inputs'!$B$32,'Inputs'!$B$30+'Inputs'!$B$31+'Inputs'!$B$32)/1000+'Inputs'!$B$21)+'Inputs'!$B$9)^2+('Inputs'!$B$8/2)^2)-(((997-43)*MAX('Inputs'!$B$33,'Inputs'!$B$29+'Inputs'!$B$31+'Inputs'!$B$32,'Inputs'!$B$30+'Inputs'!$B$31+'Inputs'!$B$32)/1000+'Inputs'!$B$21))/SQRT((((997-43)*MAX('Inputs'!$B$33,'Inputs'!$B$29+'Inputs'!$B$31+'Inputs'!$B$32,'Inputs'!$B$30+'Inputs'!$B$31+'Inputs'!$B$32)/1000+'Inputs'!$B$21))^2+('Inputs'!$B$8/2)^2)))-'Results'!B7*(1-'Inputs'!$B$24)*(0.5*((((997-43)*MAX('Inputs'!$B$33,'Inputs'!$B$29+'Inputs'!$B$31+'Inputs'!$B$32,'Inputs'!$B$30+'Inputs'!$B$31+'Inputs'!$B$32)/1000+'Inputs'!$B$21+'Inputs'!$B$9+'Inputs'!$B$10)+'Inputs'!$B$7)/SQRT((((997-43)*MAX('Inputs'!$B$33,'Inputs'!$B$29+'Inputs'!$B$31+'Inputs'!$B$32,'Inputs'!$B$30+'Inputs'!$B$31+'Inputs'!$B$32)/1000+'Inputs'!$B$21+'Inputs'!$B$9+'Inputs'!$B$10)+'Inputs'!$B$7)^2+('Inputs'!$B$6/2)^2)-(((997-43)*MAX('Inputs'!$B$33,'Inputs'!$B$29+'Inputs'!$B$31+'Inputs'!$B$32,'Inputs'!$B$30+'Inputs'!$B$31+'Inputs'!$B$32)/1000+'Inputs'!$B$21+'Inputs'!$B$9+'Inputs'!$B$10))/SQRT((((997-43)*MAX('Inputs'!$B$33,'Inputs'!$B$29+'Inputs'!$B$31+'Inputs'!$B$32,'Inputs'!$B$30+'Inputs'!$B$31+'Inputs'!$B$32)/1000+'Inputs'!$B$21+'Inputs'!$B$9+'Inputs'!$B$10))^2+('Inputs'!$B$6/2)^2))))*'Results'!$B$8))),"")</x:f>
        <x:v>0.44463834080074993</x:v>
      </x:c>
      <x:c r="P997" t="n">
        <x:f>IF(AND(MAX(J997,J996)&gt;0,J997&gt;J996+0.00000001),1,0)</x:f>
        <x:v>0</x:v>
      </x:c>
      <x:c r="Q997" t="n">
        <x:f>IF(AND(MAX(K997,K996)&gt;0,K997&gt;K996+0.00000001),1,0)</x:f>
        <x:v>0</x:v>
      </x:c>
      <x:c r="R997" t="n">
        <x:f>IF(AND(MAX(L997,L996)&gt;0,L997&gt;L996+0.00000001),1,0)</x:f>
        <x:v>0</x:v>
      </x:c>
      <x:c r="S997" t="n">
        <x:f>IF(AND(MAX(M997,M996)&gt;0,M997&gt;M996+0.00000001),1,0)</x:f>
        <x:v>0</x:v>
      </x:c>
      <x:c r="T997" t="n">
        <x:f>IF(AND(MAX(N997,N996)&gt;0,N997&gt;N996+0.00000001),1,0)</x:f>
        <x:v>0</x:v>
      </x:c>
      <x:c r="U997" t="n">
        <x:f>IF(AND(MAX(O997,O996)&gt;0,O997&gt;O996+0.00000001),1,0)</x:f>
        <x:v>0</x:v>
      </x:c>
    </x:row>
    <x:row r="998">
      <x:c r="J998" t="n">
        <x:f>IF(AND(ISNUMBER('Results'!B7),ISNUMBER('Results'!C7),ISNUMBER('Results'!$B$8),ISNUMBER('Inputs'!$B$6),ISNUMBER('Inputs'!$B$7),ISNUMBER('Inputs'!$B$8),ISNUMBER('Inputs'!$B$9),ISNUMBER('Inputs'!$B$10),ISNUMBER('Inputs'!$B$21),ISNUMBER('Inputs'!$B$24),ISNUMBER('Inputs'!$B$28)),(('Results'!B7*(0.5*((((998-43)*MAX('Inputs'!$B$33,'Inputs'!$B$29+'Inputs'!$B$31+'Inputs'!$B$32,'Inputs'!$B$30+'Inputs'!$B$31+'Inputs'!$B$32)/1000+'Inputs'!$B$21)+'Inputs'!$B$7)/SQRT((((998-43)*MAX('Inputs'!$B$33,'Inputs'!$B$29+'Inputs'!$B$31+'Inputs'!$B$32,'Inputs'!$B$30+'Inputs'!$B$31+'Inputs'!$B$32)/1000+'Inputs'!$B$21)+'Inputs'!$B$7)^2+('Inputs'!$B$6/2)^2)-(((998-43)*MAX('Inputs'!$B$33,'Inputs'!$B$29+'Inputs'!$B$31+'Inputs'!$B$32,'Inputs'!$B$30+'Inputs'!$B$31+'Inputs'!$B$32)/1000+'Inputs'!$B$21))/SQRT((((998-43)*MAX('Inputs'!$B$33,'Inputs'!$B$29+'Inputs'!$B$31+'Inputs'!$B$32,'Inputs'!$B$30+'Inputs'!$B$31+'Inputs'!$B$32)/1000+'Inputs'!$B$21))^2+('Inputs'!$B$6/2)^2)))-'Results'!C7*(0.5*((((998-43)*MAX('Inputs'!$B$33,'Inputs'!$B$29+'Inputs'!$B$31+'Inputs'!$B$32,'Inputs'!$B$30+'Inputs'!$B$31+'Inputs'!$B$32)/1000+'Inputs'!$B$21+'Inputs'!$B$7+'Inputs'!$B$10)+'Inputs'!$B$9)/SQRT((((998-43)*MAX('Inputs'!$B$33,'Inputs'!$B$29+'Inputs'!$B$31+'Inputs'!$B$32,'Inputs'!$B$30+'Inputs'!$B$31+'Inputs'!$B$32)/1000+'Inputs'!$B$21+'Inputs'!$B$7+'Inputs'!$B$10)+'Inputs'!$B$9)^2+('Inputs'!$B$8/2)^2)-(((998-43)*MAX('Inputs'!$B$33,'Inputs'!$B$29+'Inputs'!$B$31+'Inputs'!$B$32,'Inputs'!$B$30+'Inputs'!$B$31+'Inputs'!$B$32)/1000+'Inputs'!$B$21+'Inputs'!$B$7+'Inputs'!$B$10))/SQRT((((998-43)*MAX('Inputs'!$B$33,'Inputs'!$B$29+'Inputs'!$B$31+'Inputs'!$B$32,'Inputs'!$B$30+'Inputs'!$B$31+'Inputs'!$B$32)/1000+'Inputs'!$B$21+'Inputs'!$B$7+'Inputs'!$B$10))^2+('Inputs'!$B$8/2)^2))))*'Results'!$B$8),"")</x:f>
        <x:v>0.4224212416052559</x:v>
      </x:c>
      <x:c r="K998" t="n">
        <x:f>IF(AND(ISNUMBER('Results'!B7),ISNUMBER('Results'!C7),ISNUMBER('Results'!$B$8),ISNUMBER('Inputs'!$B$6),ISNUMBER('Inputs'!$B$7),ISNUMBER('Inputs'!$B$8),ISNUMBER('Inputs'!$B$9),ISNUMBER('Inputs'!$B$10),ISNUMBER('Inputs'!$B$21),ISNUMBER('Inputs'!$B$24),ISNUMBER('Inputs'!$B$28)),((('Results'!B7*(1-'Inputs'!$B$24)*(0.5*((((998-43)*MAX('Inputs'!$B$33,'Inputs'!$B$29+'Inputs'!$B$31+'Inputs'!$B$32,'Inputs'!$B$30+'Inputs'!$B$31+'Inputs'!$B$32)/1000+'Inputs'!$B$21)+'Inputs'!$B$7)/SQRT((((998-43)*MAX('Inputs'!$B$33,'Inputs'!$B$29+'Inputs'!$B$31+'Inputs'!$B$32,'Inputs'!$B$30+'Inputs'!$B$31+'Inputs'!$B$32)/1000+'Inputs'!$B$21)+'Inputs'!$B$7)^2+('Inputs'!$B$6/2)^2)-(((998-43)*MAX('Inputs'!$B$33,'Inputs'!$B$29+'Inputs'!$B$31+'Inputs'!$B$32,'Inputs'!$B$30+'Inputs'!$B$31+'Inputs'!$B$32)/1000+'Inputs'!$B$21))/SQRT((((998-43)*MAX('Inputs'!$B$33,'Inputs'!$B$29+'Inputs'!$B$31+'Inputs'!$B$32,'Inputs'!$B$30+'Inputs'!$B$31+'Inputs'!$B$32)/1000+'Inputs'!$B$21))^2+('Inputs'!$B$6/2)^2)))-'Results'!C7*(1+'Inputs'!$B$24)*(0.5*((((998-43)*MAX('Inputs'!$B$33,'Inputs'!$B$29+'Inputs'!$B$31+'Inputs'!$B$32,'Inputs'!$B$30+'Inputs'!$B$31+'Inputs'!$B$32)/1000+'Inputs'!$B$21+'Inputs'!$B$7+'Inputs'!$B$10)+'Inputs'!$B$9)/SQRT((((998-43)*MAX('Inputs'!$B$33,'Inputs'!$B$29+'Inputs'!$B$31+'Inputs'!$B$32,'Inputs'!$B$30+'Inputs'!$B$31+'Inputs'!$B$32)/1000+'Inputs'!$B$21+'Inputs'!$B$7+'Inputs'!$B$10)+'Inputs'!$B$9)^2+('Inputs'!$B$8/2)^2)-(((998-43)*MAX('Inputs'!$B$33,'Inputs'!$B$29+'Inputs'!$B$31+'Inputs'!$B$32,'Inputs'!$B$30+'Inputs'!$B$31+'Inputs'!$B$32)/1000+'Inputs'!$B$21+'Inputs'!$B$7+'Inputs'!$B$10))/SQRT((((998-43)*MAX('Inputs'!$B$33,'Inputs'!$B$29+'Inputs'!$B$31+'Inputs'!$B$32,'Inputs'!$B$30+'Inputs'!$B$31+'Inputs'!$B$32)/1000+'Inputs'!$B$21+'Inputs'!$B$7+'Inputs'!$B$10))^2+('Inputs'!$B$8/2)^2))))*'Results'!$B$8)-'Inputs'!$B$28*ABS((('Results'!B7*(1-'Inputs'!$B$24)*(0.5*((((998-43)*MAX('Inputs'!$B$33,'Inputs'!$B$29+'Inputs'!$B$31+'Inputs'!$B$32,'Inputs'!$B$30+'Inputs'!$B$31+'Inputs'!$B$32)/1000+'Inputs'!$B$21)+'Inputs'!$B$7)/SQRT((((998-43)*MAX('Inputs'!$B$33,'Inputs'!$B$29+'Inputs'!$B$31+'Inputs'!$B$32,'Inputs'!$B$30+'Inputs'!$B$31+'Inputs'!$B$32)/1000+'Inputs'!$B$21)+'Inputs'!$B$7)^2+('Inputs'!$B$6/2)^2)-(((998-43)*MAX('Inputs'!$B$33,'Inputs'!$B$29+'Inputs'!$B$31+'Inputs'!$B$32,'Inputs'!$B$30+'Inputs'!$B$31+'Inputs'!$B$32)/1000+'Inputs'!$B$21))/SQRT((((998-43)*MAX('Inputs'!$B$33,'Inputs'!$B$29+'Inputs'!$B$31+'Inputs'!$B$32,'Inputs'!$B$30+'Inputs'!$B$31+'Inputs'!$B$32)/1000+'Inputs'!$B$21))^2+('Inputs'!$B$6/2)^2)))-'Results'!C7*(1+'Inputs'!$B$24)*(0.5*((((998-43)*MAX('Inputs'!$B$33,'Inputs'!$B$29+'Inputs'!$B$31+'Inputs'!$B$32,'Inputs'!$B$30+'Inputs'!$B$31+'Inputs'!$B$32)/1000+'Inputs'!$B$21+'Inputs'!$B$7+'Inputs'!$B$10)+'Inputs'!$B$9)/SQRT((((998-43)*MAX('Inputs'!$B$33,'Inputs'!$B$29+'Inputs'!$B$31+'Inputs'!$B$32,'Inputs'!$B$30+'Inputs'!$B$31+'Inputs'!$B$32)/1000+'Inputs'!$B$21+'Inputs'!$B$7+'Inputs'!$B$10)+'Inputs'!$B$9)^2+('Inputs'!$B$8/2)^2)-(((998-43)*MAX('Inputs'!$B$33,'Inputs'!$B$29+'Inputs'!$B$31+'Inputs'!$B$32,'Inputs'!$B$30+'Inputs'!$B$31+'Inputs'!$B$32)/1000+'Inputs'!$B$21+'Inputs'!$B$7+'Inputs'!$B$10))/SQRT((((998-43)*MAX('Inputs'!$B$33,'Inputs'!$B$29+'Inputs'!$B$31+'Inputs'!$B$32,'Inputs'!$B$30+'Inputs'!$B$31+'Inputs'!$B$32)/1000+'Inputs'!$B$21+'Inputs'!$B$7+'Inputs'!$B$10))^2+('Inputs'!$B$8/2)^2))))*'Results'!$B$8))),"")</x:f>
        <x:v>0.35523683338073364</x:v>
      </x:c>
      <x:c r="L998" t="n">
        <x:f>IF(AND(ISNUMBER('Results'!B7),ISNUMBER('Results'!C7),ISNUMBER('Results'!$B$8),ISNUMBER('Inputs'!$B$6),ISNUMBER('Inputs'!$B$7),ISNUMBER('Inputs'!$B$8),ISNUMBER('Inputs'!$B$9),ISNUMBER('Inputs'!$B$10),ISNUMBER('Inputs'!$B$21),ISNUMBER('Inputs'!$B$24),ISNUMBER('Inputs'!$B$28)),((('Results'!B7*(1+'Inputs'!$B$24)*(0.5*((((998-43)*MAX('Inputs'!$B$33,'Inputs'!$B$29+'Inputs'!$B$31+'Inputs'!$B$32,'Inputs'!$B$30+'Inputs'!$B$31+'Inputs'!$B$32)/1000+'Inputs'!$B$21)+'Inputs'!$B$7)/SQRT((((998-43)*MAX('Inputs'!$B$33,'Inputs'!$B$29+'Inputs'!$B$31+'Inputs'!$B$32,'Inputs'!$B$30+'Inputs'!$B$31+'Inputs'!$B$32)/1000+'Inputs'!$B$21)+'Inputs'!$B$7)^2+('Inputs'!$B$6/2)^2)-(((998-43)*MAX('Inputs'!$B$33,'Inputs'!$B$29+'Inputs'!$B$31+'Inputs'!$B$32,'Inputs'!$B$30+'Inputs'!$B$31+'Inputs'!$B$32)/1000+'Inputs'!$B$21))/SQRT((((998-43)*MAX('Inputs'!$B$33,'Inputs'!$B$29+'Inputs'!$B$31+'Inputs'!$B$32,'Inputs'!$B$30+'Inputs'!$B$31+'Inputs'!$B$32)/1000+'Inputs'!$B$21))^2+('Inputs'!$B$6/2)^2)))-'Results'!C7*(1-'Inputs'!$B$24)*(0.5*((((998-43)*MAX('Inputs'!$B$33,'Inputs'!$B$29+'Inputs'!$B$31+'Inputs'!$B$32,'Inputs'!$B$30+'Inputs'!$B$31+'Inputs'!$B$32)/1000+'Inputs'!$B$21+'Inputs'!$B$7+'Inputs'!$B$10)+'Inputs'!$B$9)/SQRT((((998-43)*MAX('Inputs'!$B$33,'Inputs'!$B$29+'Inputs'!$B$31+'Inputs'!$B$32,'Inputs'!$B$30+'Inputs'!$B$31+'Inputs'!$B$32)/1000+'Inputs'!$B$21+'Inputs'!$B$7+'Inputs'!$B$10)+'Inputs'!$B$9)^2+('Inputs'!$B$8/2)^2)-(((998-43)*MAX('Inputs'!$B$33,'Inputs'!$B$29+'Inputs'!$B$31+'Inputs'!$B$32,'Inputs'!$B$30+'Inputs'!$B$31+'Inputs'!$B$32)/1000+'Inputs'!$B$21+'Inputs'!$B$7+'Inputs'!$B$10))/SQRT((((998-43)*MAX('Inputs'!$B$33,'Inputs'!$B$29+'Inputs'!$B$31+'Inputs'!$B$32,'Inputs'!$B$30+'Inputs'!$B$31+'Inputs'!$B$32)/1000+'Inputs'!$B$21+'Inputs'!$B$7+'Inputs'!$B$10))^2+('Inputs'!$B$8/2)^2))))*'Results'!$B$8)+'Inputs'!$B$28*ABS((('Results'!B7*(1+'Inputs'!$B$24)*(0.5*((((998-43)*MAX('Inputs'!$B$33,'Inputs'!$B$29+'Inputs'!$B$31+'Inputs'!$B$32,'Inputs'!$B$30+'Inputs'!$B$31+'Inputs'!$B$32)/1000+'Inputs'!$B$21)+'Inputs'!$B$7)/SQRT((((998-43)*MAX('Inputs'!$B$33,'Inputs'!$B$29+'Inputs'!$B$31+'Inputs'!$B$32,'Inputs'!$B$30+'Inputs'!$B$31+'Inputs'!$B$32)/1000+'Inputs'!$B$21)+'Inputs'!$B$7)^2+('Inputs'!$B$6/2)^2)-(((998-43)*MAX('Inputs'!$B$33,'Inputs'!$B$29+'Inputs'!$B$31+'Inputs'!$B$32,'Inputs'!$B$30+'Inputs'!$B$31+'Inputs'!$B$32)/1000+'Inputs'!$B$21))/SQRT((((998-43)*MAX('Inputs'!$B$33,'Inputs'!$B$29+'Inputs'!$B$31+'Inputs'!$B$32,'Inputs'!$B$30+'Inputs'!$B$31+'Inputs'!$B$32)/1000+'Inputs'!$B$21))^2+('Inputs'!$B$6/2)^2)))-'Results'!C7*(1-'Inputs'!$B$24)*(0.5*((((998-43)*MAX('Inputs'!$B$33,'Inputs'!$B$29+'Inputs'!$B$31+'Inputs'!$B$32,'Inputs'!$B$30+'Inputs'!$B$31+'Inputs'!$B$32)/1000+'Inputs'!$B$21+'Inputs'!$B$7+'Inputs'!$B$10)+'Inputs'!$B$9)/SQRT((((998-43)*MAX('Inputs'!$B$33,'Inputs'!$B$29+'Inputs'!$B$31+'Inputs'!$B$32,'Inputs'!$B$30+'Inputs'!$B$31+'Inputs'!$B$32)/1000+'Inputs'!$B$21+'Inputs'!$B$7+'Inputs'!$B$10)+'Inputs'!$B$9)^2+('Inputs'!$B$8/2)^2)-(((998-43)*MAX('Inputs'!$B$33,'Inputs'!$B$29+'Inputs'!$B$31+'Inputs'!$B$32,'Inputs'!$B$30+'Inputs'!$B$31+'Inputs'!$B$32)/1000+'Inputs'!$B$21+'Inputs'!$B$7+'Inputs'!$B$10))/SQRT((((998-43)*MAX('Inputs'!$B$33,'Inputs'!$B$29+'Inputs'!$B$31+'Inputs'!$B$32,'Inputs'!$B$30+'Inputs'!$B$31+'Inputs'!$B$32)/1000+'Inputs'!$B$21+'Inputs'!$B$7+'Inputs'!$B$10))^2+('Inputs'!$B$8/2)^2))))*'Results'!$B$8))),"")</x:f>
        <x:v>0.49445442310812104</x:v>
      </x:c>
      <x:c r="M998" t="n">
        <x:f>IF(AND(ISNUMBER('Results'!C7),ISNUMBER('Results'!B7),ISNUMBER('Results'!$B$8),ISNUMBER('Inputs'!$B$6),ISNUMBER('Inputs'!$B$7),ISNUMBER('Inputs'!$B$8),ISNUMBER('Inputs'!$B$9),ISNUMBER('Inputs'!$B$10),ISNUMBER('Inputs'!$B$21),ISNUMBER('Inputs'!$B$24),ISNUMBER('Inputs'!$B$28)),(('Results'!C7*(0.5*((((998-43)*MAX('Inputs'!$B$33,'Inputs'!$B$29+'Inputs'!$B$31+'Inputs'!$B$32,'Inputs'!$B$30+'Inputs'!$B$31+'Inputs'!$B$32)/1000+'Inputs'!$B$21)+'Inputs'!$B$9)/SQRT((((998-43)*MAX('Inputs'!$B$33,'Inputs'!$B$29+'Inputs'!$B$31+'Inputs'!$B$32,'Inputs'!$B$30+'Inputs'!$B$31+'Inputs'!$B$32)/1000+'Inputs'!$B$21)+'Inputs'!$B$9)^2+('Inputs'!$B$8/2)^2)-(((998-43)*MAX('Inputs'!$B$33,'Inputs'!$B$29+'Inputs'!$B$31+'Inputs'!$B$32,'Inputs'!$B$30+'Inputs'!$B$31+'Inputs'!$B$32)/1000+'Inputs'!$B$21))/SQRT((((998-43)*MAX('Inputs'!$B$33,'Inputs'!$B$29+'Inputs'!$B$31+'Inputs'!$B$32,'Inputs'!$B$30+'Inputs'!$B$31+'Inputs'!$B$32)/1000+'Inputs'!$B$21))^2+('Inputs'!$B$8/2)^2)))-'Results'!B7*(0.5*((((998-43)*MAX('Inputs'!$B$33,'Inputs'!$B$29+'Inputs'!$B$31+'Inputs'!$B$32,'Inputs'!$B$30+'Inputs'!$B$31+'Inputs'!$B$32)/1000+'Inputs'!$B$21+'Inputs'!$B$9+'Inputs'!$B$10)+'Inputs'!$B$7)/SQRT((((998-43)*MAX('Inputs'!$B$33,'Inputs'!$B$29+'Inputs'!$B$31+'Inputs'!$B$32,'Inputs'!$B$30+'Inputs'!$B$31+'Inputs'!$B$32)/1000+'Inputs'!$B$21+'Inputs'!$B$9+'Inputs'!$B$10)+'Inputs'!$B$7)^2+('Inputs'!$B$6/2)^2)-(((998-43)*MAX('Inputs'!$B$33,'Inputs'!$B$29+'Inputs'!$B$31+'Inputs'!$B$32,'Inputs'!$B$30+'Inputs'!$B$31+'Inputs'!$B$32)/1000+'Inputs'!$B$21+'Inputs'!$B$9+'Inputs'!$B$10))/SQRT((((998-43)*MAX('Inputs'!$B$33,'Inputs'!$B$29+'Inputs'!$B$31+'Inputs'!$B$32,'Inputs'!$B$30+'Inputs'!$B$31+'Inputs'!$B$32)/1000+'Inputs'!$B$21+'Inputs'!$B$9+'Inputs'!$B$10))^2+('Inputs'!$B$6/2)^2))))*'Results'!$B$8),"")</x:f>
        <x:v>0.3735249444549746</x:v>
      </x:c>
      <x:c r="N998" t="n">
        <x:f>IF(AND(ISNUMBER('Results'!C7),ISNUMBER('Results'!B7),ISNUMBER('Results'!$B$8),ISNUMBER('Inputs'!$B$6),ISNUMBER('Inputs'!$B$7),ISNUMBER('Inputs'!$B$8),ISNUMBER('Inputs'!$B$9),ISNUMBER('Inputs'!$B$10),ISNUMBER('Inputs'!$B$21),ISNUMBER('Inputs'!$B$24),ISNUMBER('Inputs'!$B$28)),((('Results'!C7*(1-'Inputs'!$B$24)*(0.5*((((998-43)*MAX('Inputs'!$B$33,'Inputs'!$B$29+'Inputs'!$B$31+'Inputs'!$B$32,'Inputs'!$B$30+'Inputs'!$B$31+'Inputs'!$B$32)/1000+'Inputs'!$B$21)+'Inputs'!$B$9)/SQRT((((998-43)*MAX('Inputs'!$B$33,'Inputs'!$B$29+'Inputs'!$B$31+'Inputs'!$B$32,'Inputs'!$B$30+'Inputs'!$B$31+'Inputs'!$B$32)/1000+'Inputs'!$B$21)+'Inputs'!$B$9)^2+('Inputs'!$B$8/2)^2)-(((998-43)*MAX('Inputs'!$B$33,'Inputs'!$B$29+'Inputs'!$B$31+'Inputs'!$B$32,'Inputs'!$B$30+'Inputs'!$B$31+'Inputs'!$B$32)/1000+'Inputs'!$B$21))/SQRT((((998-43)*MAX('Inputs'!$B$33,'Inputs'!$B$29+'Inputs'!$B$31+'Inputs'!$B$32,'Inputs'!$B$30+'Inputs'!$B$31+'Inputs'!$B$32)/1000+'Inputs'!$B$21))^2+('Inputs'!$B$8/2)^2)))-'Results'!B7*(1+'Inputs'!$B$24)*(0.5*((((998-43)*MAX('Inputs'!$B$33,'Inputs'!$B$29+'Inputs'!$B$31+'Inputs'!$B$32,'Inputs'!$B$30+'Inputs'!$B$31+'Inputs'!$B$32)/1000+'Inputs'!$B$21+'Inputs'!$B$9+'Inputs'!$B$10)+'Inputs'!$B$7)/SQRT((((998-43)*MAX('Inputs'!$B$33,'Inputs'!$B$29+'Inputs'!$B$31+'Inputs'!$B$32,'Inputs'!$B$30+'Inputs'!$B$31+'Inputs'!$B$32)/1000+'Inputs'!$B$21+'Inputs'!$B$9+'Inputs'!$B$10)+'Inputs'!$B$7)^2+('Inputs'!$B$6/2)^2)-(((998-43)*MAX('Inputs'!$B$33,'Inputs'!$B$29+'Inputs'!$B$31+'Inputs'!$B$32,'Inputs'!$B$30+'Inputs'!$B$31+'Inputs'!$B$32)/1000+'Inputs'!$B$21+'Inputs'!$B$9+'Inputs'!$B$10))/SQRT((((998-43)*MAX('Inputs'!$B$33,'Inputs'!$B$29+'Inputs'!$B$31+'Inputs'!$B$32,'Inputs'!$B$30+'Inputs'!$B$31+'Inputs'!$B$32)/1000+'Inputs'!$B$21+'Inputs'!$B$9+'Inputs'!$B$10))^2+('Inputs'!$B$6/2)^2))))*'Results'!$B$8)-'Inputs'!$B$28*ABS((('Results'!C7*(1-'Inputs'!$B$24)*(0.5*((((998-43)*MAX('Inputs'!$B$33,'Inputs'!$B$29+'Inputs'!$B$31+'Inputs'!$B$32,'Inputs'!$B$30+'Inputs'!$B$31+'Inputs'!$B$32)/1000+'Inputs'!$B$21)+'Inputs'!$B$9)/SQRT((((998-43)*MAX('Inputs'!$B$33,'Inputs'!$B$29+'Inputs'!$B$31+'Inputs'!$B$32,'Inputs'!$B$30+'Inputs'!$B$31+'Inputs'!$B$32)/1000+'Inputs'!$B$21)+'Inputs'!$B$9)^2+('Inputs'!$B$8/2)^2)-(((998-43)*MAX('Inputs'!$B$33,'Inputs'!$B$29+'Inputs'!$B$31+'Inputs'!$B$32,'Inputs'!$B$30+'Inputs'!$B$31+'Inputs'!$B$32)/1000+'Inputs'!$B$21))/SQRT((((998-43)*MAX('Inputs'!$B$33,'Inputs'!$B$29+'Inputs'!$B$31+'Inputs'!$B$32,'Inputs'!$B$30+'Inputs'!$B$31+'Inputs'!$B$32)/1000+'Inputs'!$B$21))^2+('Inputs'!$B$8/2)^2)))-'Results'!B7*(1+'Inputs'!$B$24)*(0.5*((((998-43)*MAX('Inputs'!$B$33,'Inputs'!$B$29+'Inputs'!$B$31+'Inputs'!$B$32,'Inputs'!$B$30+'Inputs'!$B$31+'Inputs'!$B$32)/1000+'Inputs'!$B$21+'Inputs'!$B$9+'Inputs'!$B$10)+'Inputs'!$B$7)/SQRT((((998-43)*MAX('Inputs'!$B$33,'Inputs'!$B$29+'Inputs'!$B$31+'Inputs'!$B$32,'Inputs'!$B$30+'Inputs'!$B$31+'Inputs'!$B$32)/1000+'Inputs'!$B$21+'Inputs'!$B$9+'Inputs'!$B$10)+'Inputs'!$B$7)^2+('Inputs'!$B$6/2)^2)-(((998-43)*MAX('Inputs'!$B$33,'Inputs'!$B$29+'Inputs'!$B$31+'Inputs'!$B$32,'Inputs'!$B$30+'Inputs'!$B$31+'Inputs'!$B$32)/1000+'Inputs'!$B$21+'Inputs'!$B$9+'Inputs'!$B$10))/SQRT((((998-43)*MAX('Inputs'!$B$33,'Inputs'!$B$29+'Inputs'!$B$31+'Inputs'!$B$32,'Inputs'!$B$30+'Inputs'!$B$31+'Inputs'!$B$32)/1000+'Inputs'!$B$21+'Inputs'!$B$9+'Inputs'!$B$10))^2+('Inputs'!$B$6/2)^2))))*'Results'!$B$8))),"")</x:f>
        <x:v>0.30893810843680614</x:v>
      </x:c>
      <x:c r="O998" t="n">
        <x:f>IF(AND(ISNUMBER('Results'!C7),ISNUMBER('Results'!B7),ISNUMBER('Results'!$B$8),ISNUMBER('Inputs'!$B$6),ISNUMBER('Inputs'!$B$7),ISNUMBER('Inputs'!$B$8),ISNUMBER('Inputs'!$B$9),ISNUMBER('Inputs'!$B$10),ISNUMBER('Inputs'!$B$21),ISNUMBER('Inputs'!$B$24),ISNUMBER('Inputs'!$B$28)),((('Results'!C7*(1+'Inputs'!$B$24)*(0.5*((((998-43)*MAX('Inputs'!$B$33,'Inputs'!$B$29+'Inputs'!$B$31+'Inputs'!$B$32,'Inputs'!$B$30+'Inputs'!$B$31+'Inputs'!$B$32)/1000+'Inputs'!$B$21)+'Inputs'!$B$9)/SQRT((((998-43)*MAX('Inputs'!$B$33,'Inputs'!$B$29+'Inputs'!$B$31+'Inputs'!$B$32,'Inputs'!$B$30+'Inputs'!$B$31+'Inputs'!$B$32)/1000+'Inputs'!$B$21)+'Inputs'!$B$9)^2+('Inputs'!$B$8/2)^2)-(((998-43)*MAX('Inputs'!$B$33,'Inputs'!$B$29+'Inputs'!$B$31+'Inputs'!$B$32,'Inputs'!$B$30+'Inputs'!$B$31+'Inputs'!$B$32)/1000+'Inputs'!$B$21))/SQRT((((998-43)*MAX('Inputs'!$B$33,'Inputs'!$B$29+'Inputs'!$B$31+'Inputs'!$B$32,'Inputs'!$B$30+'Inputs'!$B$31+'Inputs'!$B$32)/1000+'Inputs'!$B$21))^2+('Inputs'!$B$8/2)^2)))-'Results'!B7*(1-'Inputs'!$B$24)*(0.5*((((998-43)*MAX('Inputs'!$B$33,'Inputs'!$B$29+'Inputs'!$B$31+'Inputs'!$B$32,'Inputs'!$B$30+'Inputs'!$B$31+'Inputs'!$B$32)/1000+'Inputs'!$B$21+'Inputs'!$B$9+'Inputs'!$B$10)+'Inputs'!$B$7)/SQRT((((998-43)*MAX('Inputs'!$B$33,'Inputs'!$B$29+'Inputs'!$B$31+'Inputs'!$B$32,'Inputs'!$B$30+'Inputs'!$B$31+'Inputs'!$B$32)/1000+'Inputs'!$B$21+'Inputs'!$B$9+'Inputs'!$B$10)+'Inputs'!$B$7)^2+('Inputs'!$B$6/2)^2)-(((998-43)*MAX('Inputs'!$B$33,'Inputs'!$B$29+'Inputs'!$B$31+'Inputs'!$B$32,'Inputs'!$B$30+'Inputs'!$B$31+'Inputs'!$B$32)/1000+'Inputs'!$B$21+'Inputs'!$B$9+'Inputs'!$B$10))/SQRT((((998-43)*MAX('Inputs'!$B$33,'Inputs'!$B$29+'Inputs'!$B$31+'Inputs'!$B$32,'Inputs'!$B$30+'Inputs'!$B$31+'Inputs'!$B$32)/1000+'Inputs'!$B$21+'Inputs'!$B$9+'Inputs'!$B$10))^2+('Inputs'!$B$6/2)^2))))*'Results'!$B$8)+'Inputs'!$B$28*ABS((('Results'!C7*(1+'Inputs'!$B$24)*(0.5*((((998-43)*MAX('Inputs'!$B$33,'Inputs'!$B$29+'Inputs'!$B$31+'Inputs'!$B$32,'Inputs'!$B$30+'Inputs'!$B$31+'Inputs'!$B$32)/1000+'Inputs'!$B$21)+'Inputs'!$B$9)/SQRT((((998-43)*MAX('Inputs'!$B$33,'Inputs'!$B$29+'Inputs'!$B$31+'Inputs'!$B$32,'Inputs'!$B$30+'Inputs'!$B$31+'Inputs'!$B$32)/1000+'Inputs'!$B$21)+'Inputs'!$B$9)^2+('Inputs'!$B$8/2)^2)-(((998-43)*MAX('Inputs'!$B$33,'Inputs'!$B$29+'Inputs'!$B$31+'Inputs'!$B$32,'Inputs'!$B$30+'Inputs'!$B$31+'Inputs'!$B$32)/1000+'Inputs'!$B$21))/SQRT((((998-43)*MAX('Inputs'!$B$33,'Inputs'!$B$29+'Inputs'!$B$31+'Inputs'!$B$32,'Inputs'!$B$30+'Inputs'!$B$31+'Inputs'!$B$32)/1000+'Inputs'!$B$21))^2+('Inputs'!$B$8/2)^2)))-'Results'!B7*(1-'Inputs'!$B$24)*(0.5*((((998-43)*MAX('Inputs'!$B$33,'Inputs'!$B$29+'Inputs'!$B$31+'Inputs'!$B$32,'Inputs'!$B$30+'Inputs'!$B$31+'Inputs'!$B$32)/1000+'Inputs'!$B$21+'Inputs'!$B$9+'Inputs'!$B$10)+'Inputs'!$B$7)/SQRT((((998-43)*MAX('Inputs'!$B$33,'Inputs'!$B$29+'Inputs'!$B$31+'Inputs'!$B$32,'Inputs'!$B$30+'Inputs'!$B$31+'Inputs'!$B$32)/1000+'Inputs'!$B$21+'Inputs'!$B$9+'Inputs'!$B$10)+'Inputs'!$B$7)^2+('Inputs'!$B$6/2)^2)-(((998-43)*MAX('Inputs'!$B$33,'Inputs'!$B$29+'Inputs'!$B$31+'Inputs'!$B$32,'Inputs'!$B$30+'Inputs'!$B$31+'Inputs'!$B$32)/1000+'Inputs'!$B$21+'Inputs'!$B$9+'Inputs'!$B$10))/SQRT((((998-43)*MAX('Inputs'!$B$33,'Inputs'!$B$29+'Inputs'!$B$31+'Inputs'!$B$32,'Inputs'!$B$30+'Inputs'!$B$31+'Inputs'!$B$32)/1000+'Inputs'!$B$21+'Inputs'!$B$9+'Inputs'!$B$10))^2+('Inputs'!$B$6/2)^2))))*'Results'!$B$8))),"")</x:f>
        <x:v>0.4429444740305557</x:v>
      </x:c>
      <x:c r="P998" t="n">
        <x:f>IF(AND(MAX(J998,J997)&gt;0,J998&gt;J997+0.00000001),1,0)</x:f>
        <x:v>0</x:v>
      </x:c>
      <x:c r="Q998" t="n">
        <x:f>IF(AND(MAX(K998,K997)&gt;0,K998&gt;K997+0.00000001),1,0)</x:f>
        <x:v>0</x:v>
      </x:c>
      <x:c r="R998" t="n">
        <x:f>IF(AND(MAX(L998,L997)&gt;0,L998&gt;L997+0.00000001),1,0)</x:f>
        <x:v>0</x:v>
      </x:c>
      <x:c r="S998" t="n">
        <x:f>IF(AND(MAX(M998,M997)&gt;0,M998&gt;M997+0.00000001),1,0)</x:f>
        <x:v>0</x:v>
      </x:c>
      <x:c r="T998" t="n">
        <x:f>IF(AND(MAX(N998,N997)&gt;0,N998&gt;N997+0.00000001),1,0)</x:f>
        <x:v>0</x:v>
      </x:c>
      <x:c r="U998" t="n">
        <x:f>IF(AND(MAX(O998,O997)&gt;0,O998&gt;O997+0.00000001),1,0)</x:f>
        <x:v>0</x:v>
      </x:c>
    </x:row>
    <x:row r="999">
      <x:c r="J999" t="n">
        <x:f>IF(AND(ISNUMBER('Results'!B7),ISNUMBER('Results'!C7),ISNUMBER('Results'!$B$8),ISNUMBER('Inputs'!$B$6),ISNUMBER('Inputs'!$B$7),ISNUMBER('Inputs'!$B$8),ISNUMBER('Inputs'!$B$9),ISNUMBER('Inputs'!$B$10),ISNUMBER('Inputs'!$B$21),ISNUMBER('Inputs'!$B$24),ISNUMBER('Inputs'!$B$28)),(('Results'!B7*(0.5*((((999-43)*MAX('Inputs'!$B$33,'Inputs'!$B$29+'Inputs'!$B$31+'Inputs'!$B$32,'Inputs'!$B$30+'Inputs'!$B$31+'Inputs'!$B$32)/1000+'Inputs'!$B$21)+'Inputs'!$B$7)/SQRT((((999-43)*MAX('Inputs'!$B$33,'Inputs'!$B$29+'Inputs'!$B$31+'Inputs'!$B$32,'Inputs'!$B$30+'Inputs'!$B$31+'Inputs'!$B$32)/1000+'Inputs'!$B$21)+'Inputs'!$B$7)^2+('Inputs'!$B$6/2)^2)-(((999-43)*MAX('Inputs'!$B$33,'Inputs'!$B$29+'Inputs'!$B$31+'Inputs'!$B$32,'Inputs'!$B$30+'Inputs'!$B$31+'Inputs'!$B$32)/1000+'Inputs'!$B$21))/SQRT((((999-43)*MAX('Inputs'!$B$33,'Inputs'!$B$29+'Inputs'!$B$31+'Inputs'!$B$32,'Inputs'!$B$30+'Inputs'!$B$31+'Inputs'!$B$32)/1000+'Inputs'!$B$21))^2+('Inputs'!$B$6/2)^2)))-'Results'!C7*(0.5*((((999-43)*MAX('Inputs'!$B$33,'Inputs'!$B$29+'Inputs'!$B$31+'Inputs'!$B$32,'Inputs'!$B$30+'Inputs'!$B$31+'Inputs'!$B$32)/1000+'Inputs'!$B$21+'Inputs'!$B$7+'Inputs'!$B$10)+'Inputs'!$B$9)/SQRT((((999-43)*MAX('Inputs'!$B$33,'Inputs'!$B$29+'Inputs'!$B$31+'Inputs'!$B$32,'Inputs'!$B$30+'Inputs'!$B$31+'Inputs'!$B$32)/1000+'Inputs'!$B$21+'Inputs'!$B$7+'Inputs'!$B$10)+'Inputs'!$B$9)^2+('Inputs'!$B$8/2)^2)-(((999-43)*MAX('Inputs'!$B$33,'Inputs'!$B$29+'Inputs'!$B$31+'Inputs'!$B$32,'Inputs'!$B$30+'Inputs'!$B$31+'Inputs'!$B$32)/1000+'Inputs'!$B$21+'Inputs'!$B$7+'Inputs'!$B$10))/SQRT((((999-43)*MAX('Inputs'!$B$33,'Inputs'!$B$29+'Inputs'!$B$31+'Inputs'!$B$32,'Inputs'!$B$30+'Inputs'!$B$31+'Inputs'!$B$32)/1000+'Inputs'!$B$21+'Inputs'!$B$7+'Inputs'!$B$10))^2+('Inputs'!$B$8/2)^2))))*'Results'!$B$8),"")</x:f>
        <x:v>0.4208140112460355</x:v>
      </x:c>
      <x:c r="K999" t="n">
        <x:f>IF(AND(ISNUMBER('Results'!B7),ISNUMBER('Results'!C7),ISNUMBER('Results'!$B$8),ISNUMBER('Inputs'!$B$6),ISNUMBER('Inputs'!$B$7),ISNUMBER('Inputs'!$B$8),ISNUMBER('Inputs'!$B$9),ISNUMBER('Inputs'!$B$10),ISNUMBER('Inputs'!$B$21),ISNUMBER('Inputs'!$B$24),ISNUMBER('Inputs'!$B$28)),((('Results'!B7*(1-'Inputs'!$B$24)*(0.5*((((999-43)*MAX('Inputs'!$B$33,'Inputs'!$B$29+'Inputs'!$B$31+'Inputs'!$B$32,'Inputs'!$B$30+'Inputs'!$B$31+'Inputs'!$B$32)/1000+'Inputs'!$B$21)+'Inputs'!$B$7)/SQRT((((999-43)*MAX('Inputs'!$B$33,'Inputs'!$B$29+'Inputs'!$B$31+'Inputs'!$B$32,'Inputs'!$B$30+'Inputs'!$B$31+'Inputs'!$B$32)/1000+'Inputs'!$B$21)+'Inputs'!$B$7)^2+('Inputs'!$B$6/2)^2)-(((999-43)*MAX('Inputs'!$B$33,'Inputs'!$B$29+'Inputs'!$B$31+'Inputs'!$B$32,'Inputs'!$B$30+'Inputs'!$B$31+'Inputs'!$B$32)/1000+'Inputs'!$B$21))/SQRT((((999-43)*MAX('Inputs'!$B$33,'Inputs'!$B$29+'Inputs'!$B$31+'Inputs'!$B$32,'Inputs'!$B$30+'Inputs'!$B$31+'Inputs'!$B$32)/1000+'Inputs'!$B$21))^2+('Inputs'!$B$6/2)^2)))-'Results'!C7*(1+'Inputs'!$B$24)*(0.5*((((999-43)*MAX('Inputs'!$B$33,'Inputs'!$B$29+'Inputs'!$B$31+'Inputs'!$B$32,'Inputs'!$B$30+'Inputs'!$B$31+'Inputs'!$B$32)/1000+'Inputs'!$B$21+'Inputs'!$B$7+'Inputs'!$B$10)+'Inputs'!$B$9)/SQRT((((999-43)*MAX('Inputs'!$B$33,'Inputs'!$B$29+'Inputs'!$B$31+'Inputs'!$B$32,'Inputs'!$B$30+'Inputs'!$B$31+'Inputs'!$B$32)/1000+'Inputs'!$B$21+'Inputs'!$B$7+'Inputs'!$B$10)+'Inputs'!$B$9)^2+('Inputs'!$B$8/2)^2)-(((999-43)*MAX('Inputs'!$B$33,'Inputs'!$B$29+'Inputs'!$B$31+'Inputs'!$B$32,'Inputs'!$B$30+'Inputs'!$B$31+'Inputs'!$B$32)/1000+'Inputs'!$B$21+'Inputs'!$B$7+'Inputs'!$B$10))/SQRT((((999-43)*MAX('Inputs'!$B$33,'Inputs'!$B$29+'Inputs'!$B$31+'Inputs'!$B$32,'Inputs'!$B$30+'Inputs'!$B$31+'Inputs'!$B$32)/1000+'Inputs'!$B$21+'Inputs'!$B$7+'Inputs'!$B$10))^2+('Inputs'!$B$8/2)^2))))*'Results'!$B$8)-'Inputs'!$B$28*ABS((('Results'!B7*(1-'Inputs'!$B$24)*(0.5*((((999-43)*MAX('Inputs'!$B$33,'Inputs'!$B$29+'Inputs'!$B$31+'Inputs'!$B$32,'Inputs'!$B$30+'Inputs'!$B$31+'Inputs'!$B$32)/1000+'Inputs'!$B$21)+'Inputs'!$B$7)/SQRT((((999-43)*MAX('Inputs'!$B$33,'Inputs'!$B$29+'Inputs'!$B$31+'Inputs'!$B$32,'Inputs'!$B$30+'Inputs'!$B$31+'Inputs'!$B$32)/1000+'Inputs'!$B$21)+'Inputs'!$B$7)^2+('Inputs'!$B$6/2)^2)-(((999-43)*MAX('Inputs'!$B$33,'Inputs'!$B$29+'Inputs'!$B$31+'Inputs'!$B$32,'Inputs'!$B$30+'Inputs'!$B$31+'Inputs'!$B$32)/1000+'Inputs'!$B$21))/SQRT((((999-43)*MAX('Inputs'!$B$33,'Inputs'!$B$29+'Inputs'!$B$31+'Inputs'!$B$32,'Inputs'!$B$30+'Inputs'!$B$31+'Inputs'!$B$32)/1000+'Inputs'!$B$21))^2+('Inputs'!$B$6/2)^2)))-'Results'!C7*(1+'Inputs'!$B$24)*(0.5*((((999-43)*MAX('Inputs'!$B$33,'Inputs'!$B$29+'Inputs'!$B$31+'Inputs'!$B$32,'Inputs'!$B$30+'Inputs'!$B$31+'Inputs'!$B$32)/1000+'Inputs'!$B$21+'Inputs'!$B$7+'Inputs'!$B$10)+'Inputs'!$B$9)/SQRT((((999-43)*MAX('Inputs'!$B$33,'Inputs'!$B$29+'Inputs'!$B$31+'Inputs'!$B$32,'Inputs'!$B$30+'Inputs'!$B$31+'Inputs'!$B$32)/1000+'Inputs'!$B$21+'Inputs'!$B$7+'Inputs'!$B$10)+'Inputs'!$B$9)^2+('Inputs'!$B$8/2)^2)-(((999-43)*MAX('Inputs'!$B$33,'Inputs'!$B$29+'Inputs'!$B$31+'Inputs'!$B$32,'Inputs'!$B$30+'Inputs'!$B$31+'Inputs'!$B$32)/1000+'Inputs'!$B$21+'Inputs'!$B$7+'Inputs'!$B$10))/SQRT((((999-43)*MAX('Inputs'!$B$33,'Inputs'!$B$29+'Inputs'!$B$31+'Inputs'!$B$32,'Inputs'!$B$30+'Inputs'!$B$31+'Inputs'!$B$32)/1000+'Inputs'!$B$21+'Inputs'!$B$7+'Inputs'!$B$10))^2+('Inputs'!$B$8/2)^2))))*'Results'!$B$8))),"")</x:f>
        <x:v>0.35384453931522897</x:v>
      </x:c>
      <x:c r="L999" t="n">
        <x:f>IF(AND(ISNUMBER('Results'!B7),ISNUMBER('Results'!C7),ISNUMBER('Results'!$B$8),ISNUMBER('Inputs'!$B$6),ISNUMBER('Inputs'!$B$7),ISNUMBER('Inputs'!$B$8),ISNUMBER('Inputs'!$B$9),ISNUMBER('Inputs'!$B$10),ISNUMBER('Inputs'!$B$21),ISNUMBER('Inputs'!$B$24),ISNUMBER('Inputs'!$B$28)),((('Results'!B7*(1+'Inputs'!$B$24)*(0.5*((((999-43)*MAX('Inputs'!$B$33,'Inputs'!$B$29+'Inputs'!$B$31+'Inputs'!$B$32,'Inputs'!$B$30+'Inputs'!$B$31+'Inputs'!$B$32)/1000+'Inputs'!$B$21)+'Inputs'!$B$7)/SQRT((((999-43)*MAX('Inputs'!$B$33,'Inputs'!$B$29+'Inputs'!$B$31+'Inputs'!$B$32,'Inputs'!$B$30+'Inputs'!$B$31+'Inputs'!$B$32)/1000+'Inputs'!$B$21)+'Inputs'!$B$7)^2+('Inputs'!$B$6/2)^2)-(((999-43)*MAX('Inputs'!$B$33,'Inputs'!$B$29+'Inputs'!$B$31+'Inputs'!$B$32,'Inputs'!$B$30+'Inputs'!$B$31+'Inputs'!$B$32)/1000+'Inputs'!$B$21))/SQRT((((999-43)*MAX('Inputs'!$B$33,'Inputs'!$B$29+'Inputs'!$B$31+'Inputs'!$B$32,'Inputs'!$B$30+'Inputs'!$B$31+'Inputs'!$B$32)/1000+'Inputs'!$B$21))^2+('Inputs'!$B$6/2)^2)))-'Results'!C7*(1-'Inputs'!$B$24)*(0.5*((((999-43)*MAX('Inputs'!$B$33,'Inputs'!$B$29+'Inputs'!$B$31+'Inputs'!$B$32,'Inputs'!$B$30+'Inputs'!$B$31+'Inputs'!$B$32)/1000+'Inputs'!$B$21+'Inputs'!$B$7+'Inputs'!$B$10)+'Inputs'!$B$9)/SQRT((((999-43)*MAX('Inputs'!$B$33,'Inputs'!$B$29+'Inputs'!$B$31+'Inputs'!$B$32,'Inputs'!$B$30+'Inputs'!$B$31+'Inputs'!$B$32)/1000+'Inputs'!$B$21+'Inputs'!$B$7+'Inputs'!$B$10)+'Inputs'!$B$9)^2+('Inputs'!$B$8/2)^2)-(((999-43)*MAX('Inputs'!$B$33,'Inputs'!$B$29+'Inputs'!$B$31+'Inputs'!$B$32,'Inputs'!$B$30+'Inputs'!$B$31+'Inputs'!$B$32)/1000+'Inputs'!$B$21+'Inputs'!$B$7+'Inputs'!$B$10))/SQRT((((999-43)*MAX('Inputs'!$B$33,'Inputs'!$B$29+'Inputs'!$B$31+'Inputs'!$B$32,'Inputs'!$B$30+'Inputs'!$B$31+'Inputs'!$B$32)/1000+'Inputs'!$B$21+'Inputs'!$B$7+'Inputs'!$B$10))^2+('Inputs'!$B$8/2)^2))))*'Results'!$B$8)+'Inputs'!$B$28*ABS((('Results'!B7*(1+'Inputs'!$B$24)*(0.5*((((999-43)*MAX('Inputs'!$B$33,'Inputs'!$B$29+'Inputs'!$B$31+'Inputs'!$B$32,'Inputs'!$B$30+'Inputs'!$B$31+'Inputs'!$B$32)/1000+'Inputs'!$B$21)+'Inputs'!$B$7)/SQRT((((999-43)*MAX('Inputs'!$B$33,'Inputs'!$B$29+'Inputs'!$B$31+'Inputs'!$B$32,'Inputs'!$B$30+'Inputs'!$B$31+'Inputs'!$B$32)/1000+'Inputs'!$B$21)+'Inputs'!$B$7)^2+('Inputs'!$B$6/2)^2)-(((999-43)*MAX('Inputs'!$B$33,'Inputs'!$B$29+'Inputs'!$B$31+'Inputs'!$B$32,'Inputs'!$B$30+'Inputs'!$B$31+'Inputs'!$B$32)/1000+'Inputs'!$B$21))/SQRT((((999-43)*MAX('Inputs'!$B$33,'Inputs'!$B$29+'Inputs'!$B$31+'Inputs'!$B$32,'Inputs'!$B$30+'Inputs'!$B$31+'Inputs'!$B$32)/1000+'Inputs'!$B$21))^2+('Inputs'!$B$6/2)^2)))-'Results'!C7*(1-'Inputs'!$B$24)*(0.5*((((999-43)*MAX('Inputs'!$B$33,'Inputs'!$B$29+'Inputs'!$B$31+'Inputs'!$B$32,'Inputs'!$B$30+'Inputs'!$B$31+'Inputs'!$B$32)/1000+'Inputs'!$B$21+'Inputs'!$B$7+'Inputs'!$B$10)+'Inputs'!$B$9)/SQRT((((999-43)*MAX('Inputs'!$B$33,'Inputs'!$B$29+'Inputs'!$B$31+'Inputs'!$B$32,'Inputs'!$B$30+'Inputs'!$B$31+'Inputs'!$B$32)/1000+'Inputs'!$B$21+'Inputs'!$B$7+'Inputs'!$B$10)+'Inputs'!$B$9)^2+('Inputs'!$B$8/2)^2)-(((999-43)*MAX('Inputs'!$B$33,'Inputs'!$B$29+'Inputs'!$B$31+'Inputs'!$B$32,'Inputs'!$B$30+'Inputs'!$B$31+'Inputs'!$B$32)/1000+'Inputs'!$B$21+'Inputs'!$B$7+'Inputs'!$B$10))/SQRT((((999-43)*MAX('Inputs'!$B$33,'Inputs'!$B$29+'Inputs'!$B$31+'Inputs'!$B$32,'Inputs'!$B$30+'Inputs'!$B$31+'Inputs'!$B$32)/1000+'Inputs'!$B$21+'Inputs'!$B$7+'Inputs'!$B$10))^2+('Inputs'!$B$8/2)^2))))*'Results'!$B$8))),"")</x:f>
        <x:v>0.4926180906893163</x:v>
      </x:c>
      <x:c r="M999" t="n">
        <x:f>IF(AND(ISNUMBER('Results'!C7),ISNUMBER('Results'!B7),ISNUMBER('Results'!$B$8),ISNUMBER('Inputs'!$B$6),ISNUMBER('Inputs'!$B$7),ISNUMBER('Inputs'!$B$8),ISNUMBER('Inputs'!$B$9),ISNUMBER('Inputs'!$B$10),ISNUMBER('Inputs'!$B$21),ISNUMBER('Inputs'!$B$24),ISNUMBER('Inputs'!$B$28)),(('Results'!C7*(0.5*((((999-43)*MAX('Inputs'!$B$33,'Inputs'!$B$29+'Inputs'!$B$31+'Inputs'!$B$32,'Inputs'!$B$30+'Inputs'!$B$31+'Inputs'!$B$32)/1000+'Inputs'!$B$21)+'Inputs'!$B$9)/SQRT((((999-43)*MAX('Inputs'!$B$33,'Inputs'!$B$29+'Inputs'!$B$31+'Inputs'!$B$32,'Inputs'!$B$30+'Inputs'!$B$31+'Inputs'!$B$32)/1000+'Inputs'!$B$21)+'Inputs'!$B$9)^2+('Inputs'!$B$8/2)^2)-(((999-43)*MAX('Inputs'!$B$33,'Inputs'!$B$29+'Inputs'!$B$31+'Inputs'!$B$32,'Inputs'!$B$30+'Inputs'!$B$31+'Inputs'!$B$32)/1000+'Inputs'!$B$21))/SQRT((((999-43)*MAX('Inputs'!$B$33,'Inputs'!$B$29+'Inputs'!$B$31+'Inputs'!$B$32,'Inputs'!$B$30+'Inputs'!$B$31+'Inputs'!$B$32)/1000+'Inputs'!$B$21))^2+('Inputs'!$B$8/2)^2)))-'Results'!B7*(0.5*((((999-43)*MAX('Inputs'!$B$33,'Inputs'!$B$29+'Inputs'!$B$31+'Inputs'!$B$32,'Inputs'!$B$30+'Inputs'!$B$31+'Inputs'!$B$32)/1000+'Inputs'!$B$21+'Inputs'!$B$9+'Inputs'!$B$10)+'Inputs'!$B$7)/SQRT((((999-43)*MAX('Inputs'!$B$33,'Inputs'!$B$29+'Inputs'!$B$31+'Inputs'!$B$32,'Inputs'!$B$30+'Inputs'!$B$31+'Inputs'!$B$32)/1000+'Inputs'!$B$21+'Inputs'!$B$9+'Inputs'!$B$10)+'Inputs'!$B$7)^2+('Inputs'!$B$6/2)^2)-(((999-43)*MAX('Inputs'!$B$33,'Inputs'!$B$29+'Inputs'!$B$31+'Inputs'!$B$32,'Inputs'!$B$30+'Inputs'!$B$31+'Inputs'!$B$32)/1000+'Inputs'!$B$21+'Inputs'!$B$9+'Inputs'!$B$10))/SQRT((((999-43)*MAX('Inputs'!$B$33,'Inputs'!$B$29+'Inputs'!$B$31+'Inputs'!$B$32,'Inputs'!$B$30+'Inputs'!$B$31+'Inputs'!$B$32)/1000+'Inputs'!$B$21+'Inputs'!$B$9+'Inputs'!$B$10))^2+('Inputs'!$B$6/2)^2))))*'Results'!$B$8),"")</x:f>
        <x:v>0.3720604892345608</x:v>
      </x:c>
      <x:c r="N999" t="n">
        <x:f>IF(AND(ISNUMBER('Results'!C7),ISNUMBER('Results'!B7),ISNUMBER('Results'!$B$8),ISNUMBER('Inputs'!$B$6),ISNUMBER('Inputs'!$B$7),ISNUMBER('Inputs'!$B$8),ISNUMBER('Inputs'!$B$9),ISNUMBER('Inputs'!$B$10),ISNUMBER('Inputs'!$B$21),ISNUMBER('Inputs'!$B$24),ISNUMBER('Inputs'!$B$28)),((('Results'!C7*(1-'Inputs'!$B$24)*(0.5*((((999-43)*MAX('Inputs'!$B$33,'Inputs'!$B$29+'Inputs'!$B$31+'Inputs'!$B$32,'Inputs'!$B$30+'Inputs'!$B$31+'Inputs'!$B$32)/1000+'Inputs'!$B$21)+'Inputs'!$B$9)/SQRT((((999-43)*MAX('Inputs'!$B$33,'Inputs'!$B$29+'Inputs'!$B$31+'Inputs'!$B$32,'Inputs'!$B$30+'Inputs'!$B$31+'Inputs'!$B$32)/1000+'Inputs'!$B$21)+'Inputs'!$B$9)^2+('Inputs'!$B$8/2)^2)-(((999-43)*MAX('Inputs'!$B$33,'Inputs'!$B$29+'Inputs'!$B$31+'Inputs'!$B$32,'Inputs'!$B$30+'Inputs'!$B$31+'Inputs'!$B$32)/1000+'Inputs'!$B$21))/SQRT((((999-43)*MAX('Inputs'!$B$33,'Inputs'!$B$29+'Inputs'!$B$31+'Inputs'!$B$32,'Inputs'!$B$30+'Inputs'!$B$31+'Inputs'!$B$32)/1000+'Inputs'!$B$21))^2+('Inputs'!$B$8/2)^2)))-'Results'!B7*(1+'Inputs'!$B$24)*(0.5*((((999-43)*MAX('Inputs'!$B$33,'Inputs'!$B$29+'Inputs'!$B$31+'Inputs'!$B$32,'Inputs'!$B$30+'Inputs'!$B$31+'Inputs'!$B$32)/1000+'Inputs'!$B$21+'Inputs'!$B$9+'Inputs'!$B$10)+'Inputs'!$B$7)/SQRT((((999-43)*MAX('Inputs'!$B$33,'Inputs'!$B$29+'Inputs'!$B$31+'Inputs'!$B$32,'Inputs'!$B$30+'Inputs'!$B$31+'Inputs'!$B$32)/1000+'Inputs'!$B$21+'Inputs'!$B$9+'Inputs'!$B$10)+'Inputs'!$B$7)^2+('Inputs'!$B$6/2)^2)-(((999-43)*MAX('Inputs'!$B$33,'Inputs'!$B$29+'Inputs'!$B$31+'Inputs'!$B$32,'Inputs'!$B$30+'Inputs'!$B$31+'Inputs'!$B$32)/1000+'Inputs'!$B$21+'Inputs'!$B$9+'Inputs'!$B$10))/SQRT((((999-43)*MAX('Inputs'!$B$33,'Inputs'!$B$29+'Inputs'!$B$31+'Inputs'!$B$32,'Inputs'!$B$30+'Inputs'!$B$31+'Inputs'!$B$32)/1000+'Inputs'!$B$21+'Inputs'!$B$9+'Inputs'!$B$10))^2+('Inputs'!$B$6/2)^2))))*'Results'!$B$8)-'Inputs'!$B$28*ABS((('Results'!C7*(1-'Inputs'!$B$24)*(0.5*((((999-43)*MAX('Inputs'!$B$33,'Inputs'!$B$29+'Inputs'!$B$31+'Inputs'!$B$32,'Inputs'!$B$30+'Inputs'!$B$31+'Inputs'!$B$32)/1000+'Inputs'!$B$21)+'Inputs'!$B$9)/SQRT((((999-43)*MAX('Inputs'!$B$33,'Inputs'!$B$29+'Inputs'!$B$31+'Inputs'!$B$32,'Inputs'!$B$30+'Inputs'!$B$31+'Inputs'!$B$32)/1000+'Inputs'!$B$21)+'Inputs'!$B$9)^2+('Inputs'!$B$8/2)^2)-(((999-43)*MAX('Inputs'!$B$33,'Inputs'!$B$29+'Inputs'!$B$31+'Inputs'!$B$32,'Inputs'!$B$30+'Inputs'!$B$31+'Inputs'!$B$32)/1000+'Inputs'!$B$21))/SQRT((((999-43)*MAX('Inputs'!$B$33,'Inputs'!$B$29+'Inputs'!$B$31+'Inputs'!$B$32,'Inputs'!$B$30+'Inputs'!$B$31+'Inputs'!$B$32)/1000+'Inputs'!$B$21))^2+('Inputs'!$B$8/2)^2)))-'Results'!B7*(1+'Inputs'!$B$24)*(0.5*((((999-43)*MAX('Inputs'!$B$33,'Inputs'!$B$29+'Inputs'!$B$31+'Inputs'!$B$32,'Inputs'!$B$30+'Inputs'!$B$31+'Inputs'!$B$32)/1000+'Inputs'!$B$21+'Inputs'!$B$9+'Inputs'!$B$10)+'Inputs'!$B$7)/SQRT((((999-43)*MAX('Inputs'!$B$33,'Inputs'!$B$29+'Inputs'!$B$31+'Inputs'!$B$32,'Inputs'!$B$30+'Inputs'!$B$31+'Inputs'!$B$32)/1000+'Inputs'!$B$21+'Inputs'!$B$9+'Inputs'!$B$10)+'Inputs'!$B$7)^2+('Inputs'!$B$6/2)^2)-(((999-43)*MAX('Inputs'!$B$33,'Inputs'!$B$29+'Inputs'!$B$31+'Inputs'!$B$32,'Inputs'!$B$30+'Inputs'!$B$31+'Inputs'!$B$32)/1000+'Inputs'!$B$21+'Inputs'!$B$9+'Inputs'!$B$10))/SQRT((((999-43)*MAX('Inputs'!$B$33,'Inputs'!$B$29+'Inputs'!$B$31+'Inputs'!$B$32,'Inputs'!$B$30+'Inputs'!$B$31+'Inputs'!$B$32)/1000+'Inputs'!$B$21+'Inputs'!$B$9+'Inputs'!$B$10))^2+('Inputs'!$B$6/2)^2))))*'Results'!$B$8))),"")</x:f>
        <x:v>0.3076808612377539</x:v>
      </x:c>
      <x:c r="O999" t="n">
        <x:f>IF(AND(ISNUMBER('Results'!C7),ISNUMBER('Results'!B7),ISNUMBER('Results'!$B$8),ISNUMBER('Inputs'!$B$6),ISNUMBER('Inputs'!$B$7),ISNUMBER('Inputs'!$B$8),ISNUMBER('Inputs'!$B$9),ISNUMBER('Inputs'!$B$10),ISNUMBER('Inputs'!$B$21),ISNUMBER('Inputs'!$B$24),ISNUMBER('Inputs'!$B$28)),((('Results'!C7*(1+'Inputs'!$B$24)*(0.5*((((999-43)*MAX('Inputs'!$B$33,'Inputs'!$B$29+'Inputs'!$B$31+'Inputs'!$B$32,'Inputs'!$B$30+'Inputs'!$B$31+'Inputs'!$B$32)/1000+'Inputs'!$B$21)+'Inputs'!$B$9)/SQRT((((999-43)*MAX('Inputs'!$B$33,'Inputs'!$B$29+'Inputs'!$B$31+'Inputs'!$B$32,'Inputs'!$B$30+'Inputs'!$B$31+'Inputs'!$B$32)/1000+'Inputs'!$B$21)+'Inputs'!$B$9)^2+('Inputs'!$B$8/2)^2)-(((999-43)*MAX('Inputs'!$B$33,'Inputs'!$B$29+'Inputs'!$B$31+'Inputs'!$B$32,'Inputs'!$B$30+'Inputs'!$B$31+'Inputs'!$B$32)/1000+'Inputs'!$B$21))/SQRT((((999-43)*MAX('Inputs'!$B$33,'Inputs'!$B$29+'Inputs'!$B$31+'Inputs'!$B$32,'Inputs'!$B$30+'Inputs'!$B$31+'Inputs'!$B$32)/1000+'Inputs'!$B$21))^2+('Inputs'!$B$8/2)^2)))-'Results'!B7*(1-'Inputs'!$B$24)*(0.5*((((999-43)*MAX('Inputs'!$B$33,'Inputs'!$B$29+'Inputs'!$B$31+'Inputs'!$B$32,'Inputs'!$B$30+'Inputs'!$B$31+'Inputs'!$B$32)/1000+'Inputs'!$B$21+'Inputs'!$B$9+'Inputs'!$B$10)+'Inputs'!$B$7)/SQRT((((999-43)*MAX('Inputs'!$B$33,'Inputs'!$B$29+'Inputs'!$B$31+'Inputs'!$B$32,'Inputs'!$B$30+'Inputs'!$B$31+'Inputs'!$B$32)/1000+'Inputs'!$B$21+'Inputs'!$B$9+'Inputs'!$B$10)+'Inputs'!$B$7)^2+('Inputs'!$B$6/2)^2)-(((999-43)*MAX('Inputs'!$B$33,'Inputs'!$B$29+'Inputs'!$B$31+'Inputs'!$B$32,'Inputs'!$B$30+'Inputs'!$B$31+'Inputs'!$B$32)/1000+'Inputs'!$B$21+'Inputs'!$B$9+'Inputs'!$B$10))/SQRT((((999-43)*MAX('Inputs'!$B$33,'Inputs'!$B$29+'Inputs'!$B$31+'Inputs'!$B$32,'Inputs'!$B$30+'Inputs'!$B$31+'Inputs'!$B$32)/1000+'Inputs'!$B$21+'Inputs'!$B$9+'Inputs'!$B$10))^2+('Inputs'!$B$6/2)^2))))*'Results'!$B$8)+'Inputs'!$B$28*ABS((('Results'!C7*(1+'Inputs'!$B$24)*(0.5*((((999-43)*MAX('Inputs'!$B$33,'Inputs'!$B$29+'Inputs'!$B$31+'Inputs'!$B$32,'Inputs'!$B$30+'Inputs'!$B$31+'Inputs'!$B$32)/1000+'Inputs'!$B$21)+'Inputs'!$B$9)/SQRT((((999-43)*MAX('Inputs'!$B$33,'Inputs'!$B$29+'Inputs'!$B$31+'Inputs'!$B$32,'Inputs'!$B$30+'Inputs'!$B$31+'Inputs'!$B$32)/1000+'Inputs'!$B$21)+'Inputs'!$B$9)^2+('Inputs'!$B$8/2)^2)-(((999-43)*MAX('Inputs'!$B$33,'Inputs'!$B$29+'Inputs'!$B$31+'Inputs'!$B$32,'Inputs'!$B$30+'Inputs'!$B$31+'Inputs'!$B$32)/1000+'Inputs'!$B$21))/SQRT((((999-43)*MAX('Inputs'!$B$33,'Inputs'!$B$29+'Inputs'!$B$31+'Inputs'!$B$32,'Inputs'!$B$30+'Inputs'!$B$31+'Inputs'!$B$32)/1000+'Inputs'!$B$21))^2+('Inputs'!$B$8/2)^2)))-'Results'!B7*(1-'Inputs'!$B$24)*(0.5*((((999-43)*MAX('Inputs'!$B$33,'Inputs'!$B$29+'Inputs'!$B$31+'Inputs'!$B$32,'Inputs'!$B$30+'Inputs'!$B$31+'Inputs'!$B$32)/1000+'Inputs'!$B$21+'Inputs'!$B$9+'Inputs'!$B$10)+'Inputs'!$B$7)/SQRT((((999-43)*MAX('Inputs'!$B$33,'Inputs'!$B$29+'Inputs'!$B$31+'Inputs'!$B$32,'Inputs'!$B$30+'Inputs'!$B$31+'Inputs'!$B$32)/1000+'Inputs'!$B$21+'Inputs'!$B$9+'Inputs'!$B$10)+'Inputs'!$B$7)^2+('Inputs'!$B$6/2)^2)-(((999-43)*MAX('Inputs'!$B$33,'Inputs'!$B$29+'Inputs'!$B$31+'Inputs'!$B$32,'Inputs'!$B$30+'Inputs'!$B$31+'Inputs'!$B$32)/1000+'Inputs'!$B$21+'Inputs'!$B$9+'Inputs'!$B$10))/SQRT((((999-43)*MAX('Inputs'!$B$33,'Inputs'!$B$29+'Inputs'!$B$31+'Inputs'!$B$32,'Inputs'!$B$30+'Inputs'!$B$31+'Inputs'!$B$32)/1000+'Inputs'!$B$21+'Inputs'!$B$9+'Inputs'!$B$10))^2+('Inputs'!$B$6/2)^2))))*'Results'!$B$8))),"")</x:f>
        <x:v>0.4412587070771659</x:v>
      </x:c>
      <x:c r="P999" t="n">
        <x:f>IF(AND(MAX(J999,J998)&gt;0,J999&gt;J998+0.00000001),1,0)</x:f>
        <x:v>0</x:v>
      </x:c>
      <x:c r="Q999" t="n">
        <x:f>IF(AND(MAX(K999,K998)&gt;0,K999&gt;K998+0.00000001),1,0)</x:f>
        <x:v>0</x:v>
      </x:c>
      <x:c r="R999" t="n">
        <x:f>IF(AND(MAX(L999,L998)&gt;0,L999&gt;L998+0.00000001),1,0)</x:f>
        <x:v>0</x:v>
      </x:c>
      <x:c r="S999" t="n">
        <x:f>IF(AND(MAX(M999,M998)&gt;0,M999&gt;M998+0.00000001),1,0)</x:f>
        <x:v>0</x:v>
      </x:c>
      <x:c r="T999" t="n">
        <x:f>IF(AND(MAX(N999,N998)&gt;0,N999&gt;N998+0.00000001),1,0)</x:f>
        <x:v>0</x:v>
      </x:c>
      <x:c r="U999" t="n">
        <x:f>IF(AND(MAX(O999,O998)&gt;0,O999&gt;O998+0.00000001),1,0)</x:f>
        <x:v>0</x:v>
      </x:c>
    </x:row>
    <x:row r="1000">
      <x:c r="J1000" t="n">
        <x:f>IF(AND(ISNUMBER('Results'!B7),ISNUMBER('Results'!C7),ISNUMBER('Results'!$B$8),ISNUMBER('Inputs'!$B$6),ISNUMBER('Inputs'!$B$7),ISNUMBER('Inputs'!$B$8),ISNUMBER('Inputs'!$B$9),ISNUMBER('Inputs'!$B$10),ISNUMBER('Inputs'!$B$21),ISNUMBER('Inputs'!$B$24),ISNUMBER('Inputs'!$B$28)),(('Results'!B7*(0.5*((((1000-43)*MAX('Inputs'!$B$33,'Inputs'!$B$29+'Inputs'!$B$31+'Inputs'!$B$32,'Inputs'!$B$30+'Inputs'!$B$31+'Inputs'!$B$32)/1000+'Inputs'!$B$21)+'Inputs'!$B$7)/SQRT((((1000-43)*MAX('Inputs'!$B$33,'Inputs'!$B$29+'Inputs'!$B$31+'Inputs'!$B$32,'Inputs'!$B$30+'Inputs'!$B$31+'Inputs'!$B$32)/1000+'Inputs'!$B$21)+'Inputs'!$B$7)^2+('Inputs'!$B$6/2)^2)-(((1000-43)*MAX('Inputs'!$B$33,'Inputs'!$B$29+'Inputs'!$B$31+'Inputs'!$B$32,'Inputs'!$B$30+'Inputs'!$B$31+'Inputs'!$B$32)/1000+'Inputs'!$B$21))/SQRT((((1000-43)*MAX('Inputs'!$B$33,'Inputs'!$B$29+'Inputs'!$B$31+'Inputs'!$B$32,'Inputs'!$B$30+'Inputs'!$B$31+'Inputs'!$B$32)/1000+'Inputs'!$B$21))^2+('Inputs'!$B$6/2)^2)))-'Results'!C7*(0.5*((((1000-43)*MAX('Inputs'!$B$33,'Inputs'!$B$29+'Inputs'!$B$31+'Inputs'!$B$32,'Inputs'!$B$30+'Inputs'!$B$31+'Inputs'!$B$32)/1000+'Inputs'!$B$21+'Inputs'!$B$7+'Inputs'!$B$10)+'Inputs'!$B$9)/SQRT((((1000-43)*MAX('Inputs'!$B$33,'Inputs'!$B$29+'Inputs'!$B$31+'Inputs'!$B$32,'Inputs'!$B$30+'Inputs'!$B$31+'Inputs'!$B$32)/1000+'Inputs'!$B$21+'Inputs'!$B$7+'Inputs'!$B$10)+'Inputs'!$B$9)^2+('Inputs'!$B$8/2)^2)-(((1000-43)*MAX('Inputs'!$B$33,'Inputs'!$B$29+'Inputs'!$B$31+'Inputs'!$B$32,'Inputs'!$B$30+'Inputs'!$B$31+'Inputs'!$B$32)/1000+'Inputs'!$B$21+'Inputs'!$B$7+'Inputs'!$B$10))/SQRT((((1000-43)*MAX('Inputs'!$B$33,'Inputs'!$B$29+'Inputs'!$B$31+'Inputs'!$B$32,'Inputs'!$B$30+'Inputs'!$B$31+'Inputs'!$B$32)/1000+'Inputs'!$B$21+'Inputs'!$B$7+'Inputs'!$B$10))^2+('Inputs'!$B$8/2)^2))))*'Results'!$B$8),"")</x:f>
        <x:v>0.41921445772030425</x:v>
      </x:c>
      <x:c r="K1000" t="n">
        <x:f>IF(AND(ISNUMBER('Results'!B7),ISNUMBER('Results'!C7),ISNUMBER('Results'!$B$8),ISNUMBER('Inputs'!$B$6),ISNUMBER('Inputs'!$B$7),ISNUMBER('Inputs'!$B$8),ISNUMBER('Inputs'!$B$9),ISNUMBER('Inputs'!$B$10),ISNUMBER('Inputs'!$B$21),ISNUMBER('Inputs'!$B$24),ISNUMBER('Inputs'!$B$28)),((('Results'!B7*(1-'Inputs'!$B$24)*(0.5*((((1000-43)*MAX('Inputs'!$B$33,'Inputs'!$B$29+'Inputs'!$B$31+'Inputs'!$B$32,'Inputs'!$B$30+'Inputs'!$B$31+'Inputs'!$B$32)/1000+'Inputs'!$B$21)+'Inputs'!$B$7)/SQRT((((1000-43)*MAX('Inputs'!$B$33,'Inputs'!$B$29+'Inputs'!$B$31+'Inputs'!$B$32,'Inputs'!$B$30+'Inputs'!$B$31+'Inputs'!$B$32)/1000+'Inputs'!$B$21)+'Inputs'!$B$7)^2+('Inputs'!$B$6/2)^2)-(((1000-43)*MAX('Inputs'!$B$33,'Inputs'!$B$29+'Inputs'!$B$31+'Inputs'!$B$32,'Inputs'!$B$30+'Inputs'!$B$31+'Inputs'!$B$32)/1000+'Inputs'!$B$21))/SQRT((((1000-43)*MAX('Inputs'!$B$33,'Inputs'!$B$29+'Inputs'!$B$31+'Inputs'!$B$32,'Inputs'!$B$30+'Inputs'!$B$31+'Inputs'!$B$32)/1000+'Inputs'!$B$21))^2+('Inputs'!$B$6/2)^2)))-'Results'!C7*(1+'Inputs'!$B$24)*(0.5*((((1000-43)*MAX('Inputs'!$B$33,'Inputs'!$B$29+'Inputs'!$B$31+'Inputs'!$B$32,'Inputs'!$B$30+'Inputs'!$B$31+'Inputs'!$B$32)/1000+'Inputs'!$B$21+'Inputs'!$B$7+'Inputs'!$B$10)+'Inputs'!$B$9)/SQRT((((1000-43)*MAX('Inputs'!$B$33,'Inputs'!$B$29+'Inputs'!$B$31+'Inputs'!$B$32,'Inputs'!$B$30+'Inputs'!$B$31+'Inputs'!$B$32)/1000+'Inputs'!$B$21+'Inputs'!$B$7+'Inputs'!$B$10)+'Inputs'!$B$9)^2+('Inputs'!$B$8/2)^2)-(((1000-43)*MAX('Inputs'!$B$33,'Inputs'!$B$29+'Inputs'!$B$31+'Inputs'!$B$32,'Inputs'!$B$30+'Inputs'!$B$31+'Inputs'!$B$32)/1000+'Inputs'!$B$21+'Inputs'!$B$7+'Inputs'!$B$10))/SQRT((((1000-43)*MAX('Inputs'!$B$33,'Inputs'!$B$29+'Inputs'!$B$31+'Inputs'!$B$32,'Inputs'!$B$30+'Inputs'!$B$31+'Inputs'!$B$32)/1000+'Inputs'!$B$21+'Inputs'!$B$7+'Inputs'!$B$10))^2+('Inputs'!$B$8/2)^2))))*'Results'!$B$8)-'Inputs'!$B$28*ABS((('Results'!B7*(1-'Inputs'!$B$24)*(0.5*((((1000-43)*MAX('Inputs'!$B$33,'Inputs'!$B$29+'Inputs'!$B$31+'Inputs'!$B$32,'Inputs'!$B$30+'Inputs'!$B$31+'Inputs'!$B$32)/1000+'Inputs'!$B$21)+'Inputs'!$B$7)/SQRT((((1000-43)*MAX('Inputs'!$B$33,'Inputs'!$B$29+'Inputs'!$B$31+'Inputs'!$B$32,'Inputs'!$B$30+'Inputs'!$B$31+'Inputs'!$B$32)/1000+'Inputs'!$B$21)+'Inputs'!$B$7)^2+('Inputs'!$B$6/2)^2)-(((1000-43)*MAX('Inputs'!$B$33,'Inputs'!$B$29+'Inputs'!$B$31+'Inputs'!$B$32,'Inputs'!$B$30+'Inputs'!$B$31+'Inputs'!$B$32)/1000+'Inputs'!$B$21))/SQRT((((1000-43)*MAX('Inputs'!$B$33,'Inputs'!$B$29+'Inputs'!$B$31+'Inputs'!$B$32,'Inputs'!$B$30+'Inputs'!$B$31+'Inputs'!$B$32)/1000+'Inputs'!$B$21))^2+('Inputs'!$B$6/2)^2)))-'Results'!C7*(1+'Inputs'!$B$24)*(0.5*((((1000-43)*MAX('Inputs'!$B$33,'Inputs'!$B$29+'Inputs'!$B$31+'Inputs'!$B$32,'Inputs'!$B$30+'Inputs'!$B$31+'Inputs'!$B$32)/1000+'Inputs'!$B$21+'Inputs'!$B$7+'Inputs'!$B$10)+'Inputs'!$B$9)/SQRT((((1000-43)*MAX('Inputs'!$B$33,'Inputs'!$B$29+'Inputs'!$B$31+'Inputs'!$B$32,'Inputs'!$B$30+'Inputs'!$B$31+'Inputs'!$B$32)/1000+'Inputs'!$B$21+'Inputs'!$B$7+'Inputs'!$B$10)+'Inputs'!$B$9)^2+('Inputs'!$B$8/2)^2)-(((1000-43)*MAX('Inputs'!$B$33,'Inputs'!$B$29+'Inputs'!$B$31+'Inputs'!$B$32,'Inputs'!$B$30+'Inputs'!$B$31+'Inputs'!$B$32)/1000+'Inputs'!$B$21+'Inputs'!$B$7+'Inputs'!$B$10))/SQRT((((1000-43)*MAX('Inputs'!$B$33,'Inputs'!$B$29+'Inputs'!$B$31+'Inputs'!$B$32,'Inputs'!$B$30+'Inputs'!$B$31+'Inputs'!$B$32)/1000+'Inputs'!$B$21+'Inputs'!$B$7+'Inputs'!$B$10))^2+('Inputs'!$B$8/2)^2))))*'Results'!$B$8))),"")</x:f>
        <x:v>0.35245901377857863</x:v>
      </x:c>
      <x:c r="L1000" t="n">
        <x:f>IF(AND(ISNUMBER('Results'!B7),ISNUMBER('Results'!C7),ISNUMBER('Results'!$B$8),ISNUMBER('Inputs'!$B$6),ISNUMBER('Inputs'!$B$7),ISNUMBER('Inputs'!$B$8),ISNUMBER('Inputs'!$B$9),ISNUMBER('Inputs'!$B$10),ISNUMBER('Inputs'!$B$21),ISNUMBER('Inputs'!$B$24),ISNUMBER('Inputs'!$B$28)),((('Results'!B7*(1+'Inputs'!$B$24)*(0.5*((((1000-43)*MAX('Inputs'!$B$33,'Inputs'!$B$29+'Inputs'!$B$31+'Inputs'!$B$32,'Inputs'!$B$30+'Inputs'!$B$31+'Inputs'!$B$32)/1000+'Inputs'!$B$21)+'Inputs'!$B$7)/SQRT((((1000-43)*MAX('Inputs'!$B$33,'Inputs'!$B$29+'Inputs'!$B$31+'Inputs'!$B$32,'Inputs'!$B$30+'Inputs'!$B$31+'Inputs'!$B$32)/1000+'Inputs'!$B$21)+'Inputs'!$B$7)^2+('Inputs'!$B$6/2)^2)-(((1000-43)*MAX('Inputs'!$B$33,'Inputs'!$B$29+'Inputs'!$B$31+'Inputs'!$B$32,'Inputs'!$B$30+'Inputs'!$B$31+'Inputs'!$B$32)/1000+'Inputs'!$B$21))/SQRT((((1000-43)*MAX('Inputs'!$B$33,'Inputs'!$B$29+'Inputs'!$B$31+'Inputs'!$B$32,'Inputs'!$B$30+'Inputs'!$B$31+'Inputs'!$B$32)/1000+'Inputs'!$B$21))^2+('Inputs'!$B$6/2)^2)))-'Results'!C7*(1-'Inputs'!$B$24)*(0.5*((((1000-43)*MAX('Inputs'!$B$33,'Inputs'!$B$29+'Inputs'!$B$31+'Inputs'!$B$32,'Inputs'!$B$30+'Inputs'!$B$31+'Inputs'!$B$32)/1000+'Inputs'!$B$21+'Inputs'!$B$7+'Inputs'!$B$10)+'Inputs'!$B$9)/SQRT((((1000-43)*MAX('Inputs'!$B$33,'Inputs'!$B$29+'Inputs'!$B$31+'Inputs'!$B$32,'Inputs'!$B$30+'Inputs'!$B$31+'Inputs'!$B$32)/1000+'Inputs'!$B$21+'Inputs'!$B$7+'Inputs'!$B$10)+'Inputs'!$B$9)^2+('Inputs'!$B$8/2)^2)-(((1000-43)*MAX('Inputs'!$B$33,'Inputs'!$B$29+'Inputs'!$B$31+'Inputs'!$B$32,'Inputs'!$B$30+'Inputs'!$B$31+'Inputs'!$B$32)/1000+'Inputs'!$B$21+'Inputs'!$B$7+'Inputs'!$B$10))/SQRT((((1000-43)*MAX('Inputs'!$B$33,'Inputs'!$B$29+'Inputs'!$B$31+'Inputs'!$B$32,'Inputs'!$B$30+'Inputs'!$B$31+'Inputs'!$B$32)/1000+'Inputs'!$B$21+'Inputs'!$B$7+'Inputs'!$B$10))^2+('Inputs'!$B$8/2)^2))))*'Results'!$B$8)+'Inputs'!$B$28*ABS((('Results'!B7*(1+'Inputs'!$B$24)*(0.5*((((1000-43)*MAX('Inputs'!$B$33,'Inputs'!$B$29+'Inputs'!$B$31+'Inputs'!$B$32,'Inputs'!$B$30+'Inputs'!$B$31+'Inputs'!$B$32)/1000+'Inputs'!$B$21)+'Inputs'!$B$7)/SQRT((((1000-43)*MAX('Inputs'!$B$33,'Inputs'!$B$29+'Inputs'!$B$31+'Inputs'!$B$32,'Inputs'!$B$30+'Inputs'!$B$31+'Inputs'!$B$32)/1000+'Inputs'!$B$21)+'Inputs'!$B$7)^2+('Inputs'!$B$6/2)^2)-(((1000-43)*MAX('Inputs'!$B$33,'Inputs'!$B$29+'Inputs'!$B$31+'Inputs'!$B$32,'Inputs'!$B$30+'Inputs'!$B$31+'Inputs'!$B$32)/1000+'Inputs'!$B$21))/SQRT((((1000-43)*MAX('Inputs'!$B$33,'Inputs'!$B$29+'Inputs'!$B$31+'Inputs'!$B$32,'Inputs'!$B$30+'Inputs'!$B$31+'Inputs'!$B$32)/1000+'Inputs'!$B$21))^2+('Inputs'!$B$6/2)^2)))-'Results'!C7*(1-'Inputs'!$B$24)*(0.5*((((1000-43)*MAX('Inputs'!$B$33,'Inputs'!$B$29+'Inputs'!$B$31+'Inputs'!$B$32,'Inputs'!$B$30+'Inputs'!$B$31+'Inputs'!$B$32)/1000+'Inputs'!$B$21+'Inputs'!$B$7+'Inputs'!$B$10)+'Inputs'!$B$9)/SQRT((((1000-43)*MAX('Inputs'!$B$33,'Inputs'!$B$29+'Inputs'!$B$31+'Inputs'!$B$32,'Inputs'!$B$30+'Inputs'!$B$31+'Inputs'!$B$32)/1000+'Inputs'!$B$21+'Inputs'!$B$7+'Inputs'!$B$10)+'Inputs'!$B$9)^2+('Inputs'!$B$8/2)^2)-(((1000-43)*MAX('Inputs'!$B$33,'Inputs'!$B$29+'Inputs'!$B$31+'Inputs'!$B$32,'Inputs'!$B$30+'Inputs'!$B$31+'Inputs'!$B$32)/1000+'Inputs'!$B$21+'Inputs'!$B$7+'Inputs'!$B$10))/SQRT((((1000-43)*MAX('Inputs'!$B$33,'Inputs'!$B$29+'Inputs'!$B$31+'Inputs'!$B$32,'Inputs'!$B$30+'Inputs'!$B$31+'Inputs'!$B$32)/1000+'Inputs'!$B$21+'Inputs'!$B$7+'Inputs'!$B$10))^2+('Inputs'!$B$8/2)^2))))*'Results'!$B$8))),"")</x:f>
        <x:v>0.49079039861526247</x:v>
      </x:c>
      <x:c r="M1000" t="n">
        <x:f>IF(AND(ISNUMBER('Results'!C7),ISNUMBER('Results'!B7),ISNUMBER('Results'!$B$8),ISNUMBER('Inputs'!$B$6),ISNUMBER('Inputs'!$B$7),ISNUMBER('Inputs'!$B$8),ISNUMBER('Inputs'!$B$9),ISNUMBER('Inputs'!$B$10),ISNUMBER('Inputs'!$B$21),ISNUMBER('Inputs'!$B$24),ISNUMBER('Inputs'!$B$28)),(('Results'!C7*(0.5*((((1000-43)*MAX('Inputs'!$B$33,'Inputs'!$B$29+'Inputs'!$B$31+'Inputs'!$B$32,'Inputs'!$B$30+'Inputs'!$B$31+'Inputs'!$B$32)/1000+'Inputs'!$B$21)+'Inputs'!$B$9)/SQRT((((1000-43)*MAX('Inputs'!$B$33,'Inputs'!$B$29+'Inputs'!$B$31+'Inputs'!$B$32,'Inputs'!$B$30+'Inputs'!$B$31+'Inputs'!$B$32)/1000+'Inputs'!$B$21)+'Inputs'!$B$9)^2+('Inputs'!$B$8/2)^2)-(((1000-43)*MAX('Inputs'!$B$33,'Inputs'!$B$29+'Inputs'!$B$31+'Inputs'!$B$32,'Inputs'!$B$30+'Inputs'!$B$31+'Inputs'!$B$32)/1000+'Inputs'!$B$21))/SQRT((((1000-43)*MAX('Inputs'!$B$33,'Inputs'!$B$29+'Inputs'!$B$31+'Inputs'!$B$32,'Inputs'!$B$30+'Inputs'!$B$31+'Inputs'!$B$32)/1000+'Inputs'!$B$21))^2+('Inputs'!$B$8/2)^2)))-'Results'!B7*(0.5*((((1000-43)*MAX('Inputs'!$B$33,'Inputs'!$B$29+'Inputs'!$B$31+'Inputs'!$B$32,'Inputs'!$B$30+'Inputs'!$B$31+'Inputs'!$B$32)/1000+'Inputs'!$B$21+'Inputs'!$B$9+'Inputs'!$B$10)+'Inputs'!$B$7)/SQRT((((1000-43)*MAX('Inputs'!$B$33,'Inputs'!$B$29+'Inputs'!$B$31+'Inputs'!$B$32,'Inputs'!$B$30+'Inputs'!$B$31+'Inputs'!$B$32)/1000+'Inputs'!$B$21+'Inputs'!$B$9+'Inputs'!$B$10)+'Inputs'!$B$7)^2+('Inputs'!$B$6/2)^2)-(((1000-43)*MAX('Inputs'!$B$33,'Inputs'!$B$29+'Inputs'!$B$31+'Inputs'!$B$32,'Inputs'!$B$30+'Inputs'!$B$31+'Inputs'!$B$32)/1000+'Inputs'!$B$21+'Inputs'!$B$9+'Inputs'!$B$10))/SQRT((((1000-43)*MAX('Inputs'!$B$33,'Inputs'!$B$29+'Inputs'!$B$31+'Inputs'!$B$32,'Inputs'!$B$30+'Inputs'!$B$31+'Inputs'!$B$32)/1000+'Inputs'!$B$21+'Inputs'!$B$9+'Inputs'!$B$10))^2+('Inputs'!$B$6/2)^2))))*'Results'!$B$8),"")</x:f>
        <x:v>0.3706031547147336</x:v>
      </x:c>
      <x:c r="N1000" t="n">
        <x:f>IF(AND(ISNUMBER('Results'!C7),ISNUMBER('Results'!B7),ISNUMBER('Results'!$B$8),ISNUMBER('Inputs'!$B$6),ISNUMBER('Inputs'!$B$7),ISNUMBER('Inputs'!$B$8),ISNUMBER('Inputs'!$B$9),ISNUMBER('Inputs'!$B$10),ISNUMBER('Inputs'!$B$21),ISNUMBER('Inputs'!$B$24),ISNUMBER('Inputs'!$B$28)),((('Results'!C7*(1-'Inputs'!$B$24)*(0.5*((((1000-43)*MAX('Inputs'!$B$33,'Inputs'!$B$29+'Inputs'!$B$31+'Inputs'!$B$32,'Inputs'!$B$30+'Inputs'!$B$31+'Inputs'!$B$32)/1000+'Inputs'!$B$21)+'Inputs'!$B$9)/SQRT((((1000-43)*MAX('Inputs'!$B$33,'Inputs'!$B$29+'Inputs'!$B$31+'Inputs'!$B$32,'Inputs'!$B$30+'Inputs'!$B$31+'Inputs'!$B$32)/1000+'Inputs'!$B$21)+'Inputs'!$B$9)^2+('Inputs'!$B$8/2)^2)-(((1000-43)*MAX('Inputs'!$B$33,'Inputs'!$B$29+'Inputs'!$B$31+'Inputs'!$B$32,'Inputs'!$B$30+'Inputs'!$B$31+'Inputs'!$B$32)/1000+'Inputs'!$B$21))/SQRT((((1000-43)*MAX('Inputs'!$B$33,'Inputs'!$B$29+'Inputs'!$B$31+'Inputs'!$B$32,'Inputs'!$B$30+'Inputs'!$B$31+'Inputs'!$B$32)/1000+'Inputs'!$B$21))^2+('Inputs'!$B$8/2)^2)))-'Results'!B7*(1+'Inputs'!$B$24)*(0.5*((((1000-43)*MAX('Inputs'!$B$33,'Inputs'!$B$29+'Inputs'!$B$31+'Inputs'!$B$32,'Inputs'!$B$30+'Inputs'!$B$31+'Inputs'!$B$32)/1000+'Inputs'!$B$21+'Inputs'!$B$9+'Inputs'!$B$10)+'Inputs'!$B$7)/SQRT((((1000-43)*MAX('Inputs'!$B$33,'Inputs'!$B$29+'Inputs'!$B$31+'Inputs'!$B$32,'Inputs'!$B$30+'Inputs'!$B$31+'Inputs'!$B$32)/1000+'Inputs'!$B$21+'Inputs'!$B$9+'Inputs'!$B$10)+'Inputs'!$B$7)^2+('Inputs'!$B$6/2)^2)-(((1000-43)*MAX('Inputs'!$B$33,'Inputs'!$B$29+'Inputs'!$B$31+'Inputs'!$B$32,'Inputs'!$B$30+'Inputs'!$B$31+'Inputs'!$B$32)/1000+'Inputs'!$B$21+'Inputs'!$B$9+'Inputs'!$B$10))/SQRT((((1000-43)*MAX('Inputs'!$B$33,'Inputs'!$B$29+'Inputs'!$B$31+'Inputs'!$B$32,'Inputs'!$B$30+'Inputs'!$B$31+'Inputs'!$B$32)/1000+'Inputs'!$B$21+'Inputs'!$B$9+'Inputs'!$B$10))^2+('Inputs'!$B$6/2)^2))))*'Results'!$B$8)-'Inputs'!$B$28*ABS((('Results'!C7*(1-'Inputs'!$B$24)*(0.5*((((1000-43)*MAX('Inputs'!$B$33,'Inputs'!$B$29+'Inputs'!$B$31+'Inputs'!$B$32,'Inputs'!$B$30+'Inputs'!$B$31+'Inputs'!$B$32)/1000+'Inputs'!$B$21)+'Inputs'!$B$9)/SQRT((((1000-43)*MAX('Inputs'!$B$33,'Inputs'!$B$29+'Inputs'!$B$31+'Inputs'!$B$32,'Inputs'!$B$30+'Inputs'!$B$31+'Inputs'!$B$32)/1000+'Inputs'!$B$21)+'Inputs'!$B$9)^2+('Inputs'!$B$8/2)^2)-(((1000-43)*MAX('Inputs'!$B$33,'Inputs'!$B$29+'Inputs'!$B$31+'Inputs'!$B$32,'Inputs'!$B$30+'Inputs'!$B$31+'Inputs'!$B$32)/1000+'Inputs'!$B$21))/SQRT((((1000-43)*MAX('Inputs'!$B$33,'Inputs'!$B$29+'Inputs'!$B$31+'Inputs'!$B$32,'Inputs'!$B$30+'Inputs'!$B$31+'Inputs'!$B$32)/1000+'Inputs'!$B$21))^2+('Inputs'!$B$8/2)^2)))-'Results'!B7*(1+'Inputs'!$B$24)*(0.5*((((1000-43)*MAX('Inputs'!$B$33,'Inputs'!$B$29+'Inputs'!$B$31+'Inputs'!$B$32,'Inputs'!$B$30+'Inputs'!$B$31+'Inputs'!$B$32)/1000+'Inputs'!$B$21+'Inputs'!$B$9+'Inputs'!$B$10)+'Inputs'!$B$7)/SQRT((((1000-43)*MAX('Inputs'!$B$33,'Inputs'!$B$29+'Inputs'!$B$31+'Inputs'!$B$32,'Inputs'!$B$30+'Inputs'!$B$31+'Inputs'!$B$32)/1000+'Inputs'!$B$21+'Inputs'!$B$9+'Inputs'!$B$10)+'Inputs'!$B$7)^2+('Inputs'!$B$6/2)^2)-(((1000-43)*MAX('Inputs'!$B$33,'Inputs'!$B$29+'Inputs'!$B$31+'Inputs'!$B$32,'Inputs'!$B$30+'Inputs'!$B$31+'Inputs'!$B$32)/1000+'Inputs'!$B$21+'Inputs'!$B$9+'Inputs'!$B$10))/SQRT((((1000-43)*MAX('Inputs'!$B$33,'Inputs'!$B$29+'Inputs'!$B$31+'Inputs'!$B$32,'Inputs'!$B$30+'Inputs'!$B$31+'Inputs'!$B$32)/1000+'Inputs'!$B$21+'Inputs'!$B$9+'Inputs'!$B$10))^2+('Inputs'!$B$6/2)^2))))*'Results'!$B$8))),"")</x:f>
        <x:v>0.30642985708122866</x:v>
      </x:c>
      <x:c r="O1000" t="n">
        <x:f>IF(AND(ISNUMBER('Results'!C7),ISNUMBER('Results'!B7),ISNUMBER('Results'!$B$8),ISNUMBER('Inputs'!$B$6),ISNUMBER('Inputs'!$B$7),ISNUMBER('Inputs'!$B$8),ISNUMBER('Inputs'!$B$9),ISNUMBER('Inputs'!$B$10),ISNUMBER('Inputs'!$B$21),ISNUMBER('Inputs'!$B$24),ISNUMBER('Inputs'!$B$28)),((('Results'!C7*(1+'Inputs'!$B$24)*(0.5*((((1000-43)*MAX('Inputs'!$B$33,'Inputs'!$B$29+'Inputs'!$B$31+'Inputs'!$B$32,'Inputs'!$B$30+'Inputs'!$B$31+'Inputs'!$B$32)/1000+'Inputs'!$B$21)+'Inputs'!$B$9)/SQRT((((1000-43)*MAX('Inputs'!$B$33,'Inputs'!$B$29+'Inputs'!$B$31+'Inputs'!$B$32,'Inputs'!$B$30+'Inputs'!$B$31+'Inputs'!$B$32)/1000+'Inputs'!$B$21)+'Inputs'!$B$9)^2+('Inputs'!$B$8/2)^2)-(((1000-43)*MAX('Inputs'!$B$33,'Inputs'!$B$29+'Inputs'!$B$31+'Inputs'!$B$32,'Inputs'!$B$30+'Inputs'!$B$31+'Inputs'!$B$32)/1000+'Inputs'!$B$21))/SQRT((((1000-43)*MAX('Inputs'!$B$33,'Inputs'!$B$29+'Inputs'!$B$31+'Inputs'!$B$32,'Inputs'!$B$30+'Inputs'!$B$31+'Inputs'!$B$32)/1000+'Inputs'!$B$21))^2+('Inputs'!$B$8/2)^2)))-'Results'!B7*(1-'Inputs'!$B$24)*(0.5*((((1000-43)*MAX('Inputs'!$B$33,'Inputs'!$B$29+'Inputs'!$B$31+'Inputs'!$B$32,'Inputs'!$B$30+'Inputs'!$B$31+'Inputs'!$B$32)/1000+'Inputs'!$B$21+'Inputs'!$B$9+'Inputs'!$B$10)+'Inputs'!$B$7)/SQRT((((1000-43)*MAX('Inputs'!$B$33,'Inputs'!$B$29+'Inputs'!$B$31+'Inputs'!$B$32,'Inputs'!$B$30+'Inputs'!$B$31+'Inputs'!$B$32)/1000+'Inputs'!$B$21+'Inputs'!$B$9+'Inputs'!$B$10)+'Inputs'!$B$7)^2+('Inputs'!$B$6/2)^2)-(((1000-43)*MAX('Inputs'!$B$33,'Inputs'!$B$29+'Inputs'!$B$31+'Inputs'!$B$32,'Inputs'!$B$30+'Inputs'!$B$31+'Inputs'!$B$32)/1000+'Inputs'!$B$21+'Inputs'!$B$9+'Inputs'!$B$10))/SQRT((((1000-43)*MAX('Inputs'!$B$33,'Inputs'!$B$29+'Inputs'!$B$31+'Inputs'!$B$32,'Inputs'!$B$30+'Inputs'!$B$31+'Inputs'!$B$32)/1000+'Inputs'!$B$21+'Inputs'!$B$9+'Inputs'!$B$10))^2+('Inputs'!$B$6/2)^2))))*'Results'!$B$8)+'Inputs'!$B$28*ABS((('Results'!C7*(1+'Inputs'!$B$24)*(0.5*((((1000-43)*MAX('Inputs'!$B$33,'Inputs'!$B$29+'Inputs'!$B$31+'Inputs'!$B$32,'Inputs'!$B$30+'Inputs'!$B$31+'Inputs'!$B$32)/1000+'Inputs'!$B$21)+'Inputs'!$B$9)/SQRT((((1000-43)*MAX('Inputs'!$B$33,'Inputs'!$B$29+'Inputs'!$B$31+'Inputs'!$B$32,'Inputs'!$B$30+'Inputs'!$B$31+'Inputs'!$B$32)/1000+'Inputs'!$B$21)+'Inputs'!$B$9)^2+('Inputs'!$B$8/2)^2)-(((1000-43)*MAX('Inputs'!$B$33,'Inputs'!$B$29+'Inputs'!$B$31+'Inputs'!$B$32,'Inputs'!$B$30+'Inputs'!$B$31+'Inputs'!$B$32)/1000+'Inputs'!$B$21))/SQRT((((1000-43)*MAX('Inputs'!$B$33,'Inputs'!$B$29+'Inputs'!$B$31+'Inputs'!$B$32,'Inputs'!$B$30+'Inputs'!$B$31+'Inputs'!$B$32)/1000+'Inputs'!$B$21))^2+('Inputs'!$B$8/2)^2)))-'Results'!B7*(1-'Inputs'!$B$24)*(0.5*((((1000-43)*MAX('Inputs'!$B$33,'Inputs'!$B$29+'Inputs'!$B$31+'Inputs'!$B$32,'Inputs'!$B$30+'Inputs'!$B$31+'Inputs'!$B$32)/1000+'Inputs'!$B$21+'Inputs'!$B$9+'Inputs'!$B$10)+'Inputs'!$B$7)/SQRT((((1000-43)*MAX('Inputs'!$B$33,'Inputs'!$B$29+'Inputs'!$B$31+'Inputs'!$B$32,'Inputs'!$B$30+'Inputs'!$B$31+'Inputs'!$B$32)/1000+'Inputs'!$B$21+'Inputs'!$B$9+'Inputs'!$B$10)+'Inputs'!$B$7)^2+('Inputs'!$B$6/2)^2)-(((1000-43)*MAX('Inputs'!$B$33,'Inputs'!$B$29+'Inputs'!$B$31+'Inputs'!$B$32,'Inputs'!$B$30+'Inputs'!$B$31+'Inputs'!$B$32)/1000+'Inputs'!$B$21+'Inputs'!$B$9+'Inputs'!$B$10))/SQRT((((1000-43)*MAX('Inputs'!$B$33,'Inputs'!$B$29+'Inputs'!$B$31+'Inputs'!$B$32,'Inputs'!$B$30+'Inputs'!$B$31+'Inputs'!$B$32)/1000+'Inputs'!$B$21+'Inputs'!$B$9+'Inputs'!$B$10))^2+('Inputs'!$B$6/2)^2))))*'Results'!$B$8))),"")</x:f>
        <x:v>0.43958099339010903</x:v>
      </x:c>
      <x:c r="P1000" t="n">
        <x:f>IF(AND(MAX(J1000,J999)&gt;0,J1000&gt;J999+0.00000001),1,0)</x:f>
        <x:v>0</x:v>
      </x:c>
      <x:c r="Q1000" t="n">
        <x:f>IF(AND(MAX(K1000,K999)&gt;0,K1000&gt;K999+0.00000001),1,0)</x:f>
        <x:v>0</x:v>
      </x:c>
      <x:c r="R1000" t="n">
        <x:f>IF(AND(MAX(L1000,L999)&gt;0,L1000&gt;L999+0.00000001),1,0)</x:f>
        <x:v>0</x:v>
      </x:c>
      <x:c r="S1000" t="n">
        <x:f>IF(AND(MAX(M1000,M999)&gt;0,M1000&gt;M999+0.00000001),1,0)</x:f>
        <x:v>0</x:v>
      </x:c>
      <x:c r="T1000" t="n">
        <x:f>IF(AND(MAX(N1000,N999)&gt;0,N1000&gt;N999+0.00000001),1,0)</x:f>
        <x:v>0</x:v>
      </x:c>
      <x:c r="U1000" t="n">
        <x:f>IF(AND(MAX(O1000,O999)&gt;0,O1000&gt;O999+0.00000001),1,0)</x:f>
        <x:v>0</x:v>
      </x:c>
    </x:row>
    <x:row r="1001">
      <x:c r="J1001" t="n">
        <x:f>IF(AND(ISNUMBER('Results'!B7),ISNUMBER('Results'!C7),ISNUMBER('Results'!$B$8),ISNUMBER('Inputs'!$B$6),ISNUMBER('Inputs'!$B$7),ISNUMBER('Inputs'!$B$8),ISNUMBER('Inputs'!$B$9),ISNUMBER('Inputs'!$B$10),ISNUMBER('Inputs'!$B$21),ISNUMBER('Inputs'!$B$24),ISNUMBER('Inputs'!$B$28)),(('Results'!B7*(0.5*((((1001-43)*MAX('Inputs'!$B$33,'Inputs'!$B$29+'Inputs'!$B$31+'Inputs'!$B$32,'Inputs'!$B$30+'Inputs'!$B$31+'Inputs'!$B$32)/1000+'Inputs'!$B$21)+'Inputs'!$B$7)/SQRT((((1001-43)*MAX('Inputs'!$B$33,'Inputs'!$B$29+'Inputs'!$B$31+'Inputs'!$B$32,'Inputs'!$B$30+'Inputs'!$B$31+'Inputs'!$B$32)/1000+'Inputs'!$B$21)+'Inputs'!$B$7)^2+('Inputs'!$B$6/2)^2)-(((1001-43)*MAX('Inputs'!$B$33,'Inputs'!$B$29+'Inputs'!$B$31+'Inputs'!$B$32,'Inputs'!$B$30+'Inputs'!$B$31+'Inputs'!$B$32)/1000+'Inputs'!$B$21))/SQRT((((1001-43)*MAX('Inputs'!$B$33,'Inputs'!$B$29+'Inputs'!$B$31+'Inputs'!$B$32,'Inputs'!$B$30+'Inputs'!$B$31+'Inputs'!$B$32)/1000+'Inputs'!$B$21))^2+('Inputs'!$B$6/2)^2)))-'Results'!C7*(0.5*((((1001-43)*MAX('Inputs'!$B$33,'Inputs'!$B$29+'Inputs'!$B$31+'Inputs'!$B$32,'Inputs'!$B$30+'Inputs'!$B$31+'Inputs'!$B$32)/1000+'Inputs'!$B$21+'Inputs'!$B$7+'Inputs'!$B$10)+'Inputs'!$B$9)/SQRT((((1001-43)*MAX('Inputs'!$B$33,'Inputs'!$B$29+'Inputs'!$B$31+'Inputs'!$B$32,'Inputs'!$B$30+'Inputs'!$B$31+'Inputs'!$B$32)/1000+'Inputs'!$B$21+'Inputs'!$B$7+'Inputs'!$B$10)+'Inputs'!$B$9)^2+('Inputs'!$B$8/2)^2)-(((1001-43)*MAX('Inputs'!$B$33,'Inputs'!$B$29+'Inputs'!$B$31+'Inputs'!$B$32,'Inputs'!$B$30+'Inputs'!$B$31+'Inputs'!$B$32)/1000+'Inputs'!$B$21+'Inputs'!$B$7+'Inputs'!$B$10))/SQRT((((1001-43)*MAX('Inputs'!$B$33,'Inputs'!$B$29+'Inputs'!$B$31+'Inputs'!$B$32,'Inputs'!$B$30+'Inputs'!$B$31+'Inputs'!$B$32)/1000+'Inputs'!$B$21+'Inputs'!$B$7+'Inputs'!$B$10))^2+('Inputs'!$B$8/2)^2))))*'Results'!$B$8),"")</x:f>
        <x:v>0.41762253696523877</x:v>
      </x:c>
      <x:c r="K1001" t="n">
        <x:f>IF(AND(ISNUMBER('Results'!B7),ISNUMBER('Results'!C7),ISNUMBER('Results'!$B$8),ISNUMBER('Inputs'!$B$6),ISNUMBER('Inputs'!$B$7),ISNUMBER('Inputs'!$B$8),ISNUMBER('Inputs'!$B$9),ISNUMBER('Inputs'!$B$10),ISNUMBER('Inputs'!$B$21),ISNUMBER('Inputs'!$B$24),ISNUMBER('Inputs'!$B$28)),((('Results'!B7*(1-'Inputs'!$B$24)*(0.5*((((1001-43)*MAX('Inputs'!$B$33,'Inputs'!$B$29+'Inputs'!$B$31+'Inputs'!$B$32,'Inputs'!$B$30+'Inputs'!$B$31+'Inputs'!$B$32)/1000+'Inputs'!$B$21)+'Inputs'!$B$7)/SQRT((((1001-43)*MAX('Inputs'!$B$33,'Inputs'!$B$29+'Inputs'!$B$31+'Inputs'!$B$32,'Inputs'!$B$30+'Inputs'!$B$31+'Inputs'!$B$32)/1000+'Inputs'!$B$21)+'Inputs'!$B$7)^2+('Inputs'!$B$6/2)^2)-(((1001-43)*MAX('Inputs'!$B$33,'Inputs'!$B$29+'Inputs'!$B$31+'Inputs'!$B$32,'Inputs'!$B$30+'Inputs'!$B$31+'Inputs'!$B$32)/1000+'Inputs'!$B$21))/SQRT((((1001-43)*MAX('Inputs'!$B$33,'Inputs'!$B$29+'Inputs'!$B$31+'Inputs'!$B$32,'Inputs'!$B$30+'Inputs'!$B$31+'Inputs'!$B$32)/1000+'Inputs'!$B$21))^2+('Inputs'!$B$6/2)^2)))-'Results'!C7*(1+'Inputs'!$B$24)*(0.5*((((1001-43)*MAX('Inputs'!$B$33,'Inputs'!$B$29+'Inputs'!$B$31+'Inputs'!$B$32,'Inputs'!$B$30+'Inputs'!$B$31+'Inputs'!$B$32)/1000+'Inputs'!$B$21+'Inputs'!$B$7+'Inputs'!$B$10)+'Inputs'!$B$9)/SQRT((((1001-43)*MAX('Inputs'!$B$33,'Inputs'!$B$29+'Inputs'!$B$31+'Inputs'!$B$32,'Inputs'!$B$30+'Inputs'!$B$31+'Inputs'!$B$32)/1000+'Inputs'!$B$21+'Inputs'!$B$7+'Inputs'!$B$10)+'Inputs'!$B$9)^2+('Inputs'!$B$8/2)^2)-(((1001-43)*MAX('Inputs'!$B$33,'Inputs'!$B$29+'Inputs'!$B$31+'Inputs'!$B$32,'Inputs'!$B$30+'Inputs'!$B$31+'Inputs'!$B$32)/1000+'Inputs'!$B$21+'Inputs'!$B$7+'Inputs'!$B$10))/SQRT((((1001-43)*MAX('Inputs'!$B$33,'Inputs'!$B$29+'Inputs'!$B$31+'Inputs'!$B$32,'Inputs'!$B$30+'Inputs'!$B$31+'Inputs'!$B$32)/1000+'Inputs'!$B$21+'Inputs'!$B$7+'Inputs'!$B$10))^2+('Inputs'!$B$8/2)^2))))*'Results'!$B$8)-'Inputs'!$B$28*ABS((('Results'!B7*(1-'Inputs'!$B$24)*(0.5*((((1001-43)*MAX('Inputs'!$B$33,'Inputs'!$B$29+'Inputs'!$B$31+'Inputs'!$B$32,'Inputs'!$B$30+'Inputs'!$B$31+'Inputs'!$B$32)/1000+'Inputs'!$B$21)+'Inputs'!$B$7)/SQRT((((1001-43)*MAX('Inputs'!$B$33,'Inputs'!$B$29+'Inputs'!$B$31+'Inputs'!$B$32,'Inputs'!$B$30+'Inputs'!$B$31+'Inputs'!$B$32)/1000+'Inputs'!$B$21)+'Inputs'!$B$7)^2+('Inputs'!$B$6/2)^2)-(((1001-43)*MAX('Inputs'!$B$33,'Inputs'!$B$29+'Inputs'!$B$31+'Inputs'!$B$32,'Inputs'!$B$30+'Inputs'!$B$31+'Inputs'!$B$32)/1000+'Inputs'!$B$21))/SQRT((((1001-43)*MAX('Inputs'!$B$33,'Inputs'!$B$29+'Inputs'!$B$31+'Inputs'!$B$32,'Inputs'!$B$30+'Inputs'!$B$31+'Inputs'!$B$32)/1000+'Inputs'!$B$21))^2+('Inputs'!$B$6/2)^2)))-'Results'!C7*(1+'Inputs'!$B$24)*(0.5*((((1001-43)*MAX('Inputs'!$B$33,'Inputs'!$B$29+'Inputs'!$B$31+'Inputs'!$B$32,'Inputs'!$B$30+'Inputs'!$B$31+'Inputs'!$B$32)/1000+'Inputs'!$B$21+'Inputs'!$B$7+'Inputs'!$B$10)+'Inputs'!$B$9)/SQRT((((1001-43)*MAX('Inputs'!$B$33,'Inputs'!$B$29+'Inputs'!$B$31+'Inputs'!$B$32,'Inputs'!$B$30+'Inputs'!$B$31+'Inputs'!$B$32)/1000+'Inputs'!$B$21+'Inputs'!$B$7+'Inputs'!$B$10)+'Inputs'!$B$9)^2+('Inputs'!$B$8/2)^2)-(((1001-43)*MAX('Inputs'!$B$33,'Inputs'!$B$29+'Inputs'!$B$31+'Inputs'!$B$32,'Inputs'!$B$30+'Inputs'!$B$31+'Inputs'!$B$32)/1000+'Inputs'!$B$21+'Inputs'!$B$7+'Inputs'!$B$10))/SQRT((((1001-43)*MAX('Inputs'!$B$33,'Inputs'!$B$29+'Inputs'!$B$31+'Inputs'!$B$32,'Inputs'!$B$30+'Inputs'!$B$31+'Inputs'!$B$32)/1000+'Inputs'!$B$21+'Inputs'!$B$7+'Inputs'!$B$10))^2+('Inputs'!$B$8/2)^2))))*'Results'!$B$8))),"")</x:f>
        <x:v>0.3510802174669264</x:v>
      </x:c>
      <x:c r="L1001" t="n">
        <x:f>IF(AND(ISNUMBER('Results'!B7),ISNUMBER('Results'!C7),ISNUMBER('Results'!$B$8),ISNUMBER('Inputs'!$B$6),ISNUMBER('Inputs'!$B$7),ISNUMBER('Inputs'!$B$8),ISNUMBER('Inputs'!$B$9),ISNUMBER('Inputs'!$B$10),ISNUMBER('Inputs'!$B$21),ISNUMBER('Inputs'!$B$24),ISNUMBER('Inputs'!$B$28)),((('Results'!B7*(1+'Inputs'!$B$24)*(0.5*((((1001-43)*MAX('Inputs'!$B$33,'Inputs'!$B$29+'Inputs'!$B$31+'Inputs'!$B$32,'Inputs'!$B$30+'Inputs'!$B$31+'Inputs'!$B$32)/1000+'Inputs'!$B$21)+'Inputs'!$B$7)/SQRT((((1001-43)*MAX('Inputs'!$B$33,'Inputs'!$B$29+'Inputs'!$B$31+'Inputs'!$B$32,'Inputs'!$B$30+'Inputs'!$B$31+'Inputs'!$B$32)/1000+'Inputs'!$B$21)+'Inputs'!$B$7)^2+('Inputs'!$B$6/2)^2)-(((1001-43)*MAX('Inputs'!$B$33,'Inputs'!$B$29+'Inputs'!$B$31+'Inputs'!$B$32,'Inputs'!$B$30+'Inputs'!$B$31+'Inputs'!$B$32)/1000+'Inputs'!$B$21))/SQRT((((1001-43)*MAX('Inputs'!$B$33,'Inputs'!$B$29+'Inputs'!$B$31+'Inputs'!$B$32,'Inputs'!$B$30+'Inputs'!$B$31+'Inputs'!$B$32)/1000+'Inputs'!$B$21))^2+('Inputs'!$B$6/2)^2)))-'Results'!C7*(1-'Inputs'!$B$24)*(0.5*((((1001-43)*MAX('Inputs'!$B$33,'Inputs'!$B$29+'Inputs'!$B$31+'Inputs'!$B$32,'Inputs'!$B$30+'Inputs'!$B$31+'Inputs'!$B$32)/1000+'Inputs'!$B$21+'Inputs'!$B$7+'Inputs'!$B$10)+'Inputs'!$B$9)/SQRT((((1001-43)*MAX('Inputs'!$B$33,'Inputs'!$B$29+'Inputs'!$B$31+'Inputs'!$B$32,'Inputs'!$B$30+'Inputs'!$B$31+'Inputs'!$B$32)/1000+'Inputs'!$B$21+'Inputs'!$B$7+'Inputs'!$B$10)+'Inputs'!$B$9)^2+('Inputs'!$B$8/2)^2)-(((1001-43)*MAX('Inputs'!$B$33,'Inputs'!$B$29+'Inputs'!$B$31+'Inputs'!$B$32,'Inputs'!$B$30+'Inputs'!$B$31+'Inputs'!$B$32)/1000+'Inputs'!$B$21+'Inputs'!$B$7+'Inputs'!$B$10))/SQRT((((1001-43)*MAX('Inputs'!$B$33,'Inputs'!$B$29+'Inputs'!$B$31+'Inputs'!$B$32,'Inputs'!$B$30+'Inputs'!$B$31+'Inputs'!$B$32)/1000+'Inputs'!$B$21+'Inputs'!$B$7+'Inputs'!$B$10))^2+('Inputs'!$B$8/2)^2))))*'Results'!$B$8)+'Inputs'!$B$28*ABS((('Results'!B7*(1+'Inputs'!$B$24)*(0.5*((((1001-43)*MAX('Inputs'!$B$33,'Inputs'!$B$29+'Inputs'!$B$31+'Inputs'!$B$32,'Inputs'!$B$30+'Inputs'!$B$31+'Inputs'!$B$32)/1000+'Inputs'!$B$21)+'Inputs'!$B$7)/SQRT((((1001-43)*MAX('Inputs'!$B$33,'Inputs'!$B$29+'Inputs'!$B$31+'Inputs'!$B$32,'Inputs'!$B$30+'Inputs'!$B$31+'Inputs'!$B$32)/1000+'Inputs'!$B$21)+'Inputs'!$B$7)^2+('Inputs'!$B$6/2)^2)-(((1001-43)*MAX('Inputs'!$B$33,'Inputs'!$B$29+'Inputs'!$B$31+'Inputs'!$B$32,'Inputs'!$B$30+'Inputs'!$B$31+'Inputs'!$B$32)/1000+'Inputs'!$B$21))/SQRT((((1001-43)*MAX('Inputs'!$B$33,'Inputs'!$B$29+'Inputs'!$B$31+'Inputs'!$B$32,'Inputs'!$B$30+'Inputs'!$B$31+'Inputs'!$B$32)/1000+'Inputs'!$B$21))^2+('Inputs'!$B$6/2)^2)))-'Results'!C7*(1-'Inputs'!$B$24)*(0.5*((((1001-43)*MAX('Inputs'!$B$33,'Inputs'!$B$29+'Inputs'!$B$31+'Inputs'!$B$32,'Inputs'!$B$30+'Inputs'!$B$31+'Inputs'!$B$32)/1000+'Inputs'!$B$21+'Inputs'!$B$7+'Inputs'!$B$10)+'Inputs'!$B$9)/SQRT((((1001-43)*MAX('Inputs'!$B$33,'Inputs'!$B$29+'Inputs'!$B$31+'Inputs'!$B$32,'Inputs'!$B$30+'Inputs'!$B$31+'Inputs'!$B$32)/1000+'Inputs'!$B$21+'Inputs'!$B$7+'Inputs'!$B$10)+'Inputs'!$B$9)^2+('Inputs'!$B$8/2)^2)-(((1001-43)*MAX('Inputs'!$B$33,'Inputs'!$B$29+'Inputs'!$B$31+'Inputs'!$B$32,'Inputs'!$B$30+'Inputs'!$B$31+'Inputs'!$B$32)/1000+'Inputs'!$B$21+'Inputs'!$B$7+'Inputs'!$B$10))/SQRT((((1001-43)*MAX('Inputs'!$B$33,'Inputs'!$B$29+'Inputs'!$B$31+'Inputs'!$B$32,'Inputs'!$B$30+'Inputs'!$B$31+'Inputs'!$B$32)/1000+'Inputs'!$B$21+'Inputs'!$B$7+'Inputs'!$B$10))^2+('Inputs'!$B$8/2)^2))))*'Results'!$B$8))),"")</x:f>
        <x:v>0.4889712977951353</x:v>
      </x:c>
      <x:c r="M1001" t="n">
        <x:f>IF(AND(ISNUMBER('Results'!C7),ISNUMBER('Results'!B7),ISNUMBER('Results'!$B$8),ISNUMBER('Inputs'!$B$6),ISNUMBER('Inputs'!$B$7),ISNUMBER('Inputs'!$B$8),ISNUMBER('Inputs'!$B$9),ISNUMBER('Inputs'!$B$10),ISNUMBER('Inputs'!$B$21),ISNUMBER('Inputs'!$B$24),ISNUMBER('Inputs'!$B$28)),(('Results'!C7*(0.5*((((1001-43)*MAX('Inputs'!$B$33,'Inputs'!$B$29+'Inputs'!$B$31+'Inputs'!$B$32,'Inputs'!$B$30+'Inputs'!$B$31+'Inputs'!$B$32)/1000+'Inputs'!$B$21)+'Inputs'!$B$9)/SQRT((((1001-43)*MAX('Inputs'!$B$33,'Inputs'!$B$29+'Inputs'!$B$31+'Inputs'!$B$32,'Inputs'!$B$30+'Inputs'!$B$31+'Inputs'!$B$32)/1000+'Inputs'!$B$21)+'Inputs'!$B$9)^2+('Inputs'!$B$8/2)^2)-(((1001-43)*MAX('Inputs'!$B$33,'Inputs'!$B$29+'Inputs'!$B$31+'Inputs'!$B$32,'Inputs'!$B$30+'Inputs'!$B$31+'Inputs'!$B$32)/1000+'Inputs'!$B$21))/SQRT((((1001-43)*MAX('Inputs'!$B$33,'Inputs'!$B$29+'Inputs'!$B$31+'Inputs'!$B$32,'Inputs'!$B$30+'Inputs'!$B$31+'Inputs'!$B$32)/1000+'Inputs'!$B$21))^2+('Inputs'!$B$8/2)^2)))-'Results'!B7*(0.5*((((1001-43)*MAX('Inputs'!$B$33,'Inputs'!$B$29+'Inputs'!$B$31+'Inputs'!$B$32,'Inputs'!$B$30+'Inputs'!$B$31+'Inputs'!$B$32)/1000+'Inputs'!$B$21+'Inputs'!$B$9+'Inputs'!$B$10)+'Inputs'!$B$7)/SQRT((((1001-43)*MAX('Inputs'!$B$33,'Inputs'!$B$29+'Inputs'!$B$31+'Inputs'!$B$32,'Inputs'!$B$30+'Inputs'!$B$31+'Inputs'!$B$32)/1000+'Inputs'!$B$21+'Inputs'!$B$9+'Inputs'!$B$10)+'Inputs'!$B$7)^2+('Inputs'!$B$6/2)^2)-(((1001-43)*MAX('Inputs'!$B$33,'Inputs'!$B$29+'Inputs'!$B$31+'Inputs'!$B$32,'Inputs'!$B$30+'Inputs'!$B$31+'Inputs'!$B$32)/1000+'Inputs'!$B$21+'Inputs'!$B$9+'Inputs'!$B$10))/SQRT((((1001-43)*MAX('Inputs'!$B$33,'Inputs'!$B$29+'Inputs'!$B$31+'Inputs'!$B$32,'Inputs'!$B$30+'Inputs'!$B$31+'Inputs'!$B$32)/1000+'Inputs'!$B$21+'Inputs'!$B$9+'Inputs'!$B$10))^2+('Inputs'!$B$6/2)^2))))*'Results'!$B$8),"")</x:f>
        <x:v>0.3691528995414724</x:v>
      </x:c>
      <x:c r="N1001" t="n">
        <x:f>IF(AND(ISNUMBER('Results'!C7),ISNUMBER('Results'!B7),ISNUMBER('Results'!$B$8),ISNUMBER('Inputs'!$B$6),ISNUMBER('Inputs'!$B$7),ISNUMBER('Inputs'!$B$8),ISNUMBER('Inputs'!$B$9),ISNUMBER('Inputs'!$B$10),ISNUMBER('Inputs'!$B$21),ISNUMBER('Inputs'!$B$24),ISNUMBER('Inputs'!$B$28)),((('Results'!C7*(1-'Inputs'!$B$24)*(0.5*((((1001-43)*MAX('Inputs'!$B$33,'Inputs'!$B$29+'Inputs'!$B$31+'Inputs'!$B$32,'Inputs'!$B$30+'Inputs'!$B$31+'Inputs'!$B$32)/1000+'Inputs'!$B$21)+'Inputs'!$B$9)/SQRT((((1001-43)*MAX('Inputs'!$B$33,'Inputs'!$B$29+'Inputs'!$B$31+'Inputs'!$B$32,'Inputs'!$B$30+'Inputs'!$B$31+'Inputs'!$B$32)/1000+'Inputs'!$B$21)+'Inputs'!$B$9)^2+('Inputs'!$B$8/2)^2)-(((1001-43)*MAX('Inputs'!$B$33,'Inputs'!$B$29+'Inputs'!$B$31+'Inputs'!$B$32,'Inputs'!$B$30+'Inputs'!$B$31+'Inputs'!$B$32)/1000+'Inputs'!$B$21))/SQRT((((1001-43)*MAX('Inputs'!$B$33,'Inputs'!$B$29+'Inputs'!$B$31+'Inputs'!$B$32,'Inputs'!$B$30+'Inputs'!$B$31+'Inputs'!$B$32)/1000+'Inputs'!$B$21))^2+('Inputs'!$B$8/2)^2)))-'Results'!B7*(1+'Inputs'!$B$24)*(0.5*((((1001-43)*MAX('Inputs'!$B$33,'Inputs'!$B$29+'Inputs'!$B$31+'Inputs'!$B$32,'Inputs'!$B$30+'Inputs'!$B$31+'Inputs'!$B$32)/1000+'Inputs'!$B$21+'Inputs'!$B$9+'Inputs'!$B$10)+'Inputs'!$B$7)/SQRT((((1001-43)*MAX('Inputs'!$B$33,'Inputs'!$B$29+'Inputs'!$B$31+'Inputs'!$B$32,'Inputs'!$B$30+'Inputs'!$B$31+'Inputs'!$B$32)/1000+'Inputs'!$B$21+'Inputs'!$B$9+'Inputs'!$B$10)+'Inputs'!$B$7)^2+('Inputs'!$B$6/2)^2)-(((1001-43)*MAX('Inputs'!$B$33,'Inputs'!$B$29+'Inputs'!$B$31+'Inputs'!$B$32,'Inputs'!$B$30+'Inputs'!$B$31+'Inputs'!$B$32)/1000+'Inputs'!$B$21+'Inputs'!$B$9+'Inputs'!$B$10))/SQRT((((1001-43)*MAX('Inputs'!$B$33,'Inputs'!$B$29+'Inputs'!$B$31+'Inputs'!$B$32,'Inputs'!$B$30+'Inputs'!$B$31+'Inputs'!$B$32)/1000+'Inputs'!$B$21+'Inputs'!$B$9+'Inputs'!$B$10))^2+('Inputs'!$B$6/2)^2))))*'Results'!$B$8)-'Inputs'!$B$28*ABS((('Results'!C7*(1-'Inputs'!$B$24)*(0.5*((((1001-43)*MAX('Inputs'!$B$33,'Inputs'!$B$29+'Inputs'!$B$31+'Inputs'!$B$32,'Inputs'!$B$30+'Inputs'!$B$31+'Inputs'!$B$32)/1000+'Inputs'!$B$21)+'Inputs'!$B$9)/SQRT((((1001-43)*MAX('Inputs'!$B$33,'Inputs'!$B$29+'Inputs'!$B$31+'Inputs'!$B$32,'Inputs'!$B$30+'Inputs'!$B$31+'Inputs'!$B$32)/1000+'Inputs'!$B$21)+'Inputs'!$B$9)^2+('Inputs'!$B$8/2)^2)-(((1001-43)*MAX('Inputs'!$B$33,'Inputs'!$B$29+'Inputs'!$B$31+'Inputs'!$B$32,'Inputs'!$B$30+'Inputs'!$B$31+'Inputs'!$B$32)/1000+'Inputs'!$B$21))/SQRT((((1001-43)*MAX('Inputs'!$B$33,'Inputs'!$B$29+'Inputs'!$B$31+'Inputs'!$B$32,'Inputs'!$B$30+'Inputs'!$B$31+'Inputs'!$B$32)/1000+'Inputs'!$B$21))^2+('Inputs'!$B$8/2)^2)))-'Results'!B7*(1+'Inputs'!$B$24)*(0.5*((((1001-43)*MAX('Inputs'!$B$33,'Inputs'!$B$29+'Inputs'!$B$31+'Inputs'!$B$32,'Inputs'!$B$30+'Inputs'!$B$31+'Inputs'!$B$32)/1000+'Inputs'!$B$21+'Inputs'!$B$9+'Inputs'!$B$10)+'Inputs'!$B$7)/SQRT((((1001-43)*MAX('Inputs'!$B$33,'Inputs'!$B$29+'Inputs'!$B$31+'Inputs'!$B$32,'Inputs'!$B$30+'Inputs'!$B$31+'Inputs'!$B$32)/1000+'Inputs'!$B$21+'Inputs'!$B$9+'Inputs'!$B$10)+'Inputs'!$B$7)^2+('Inputs'!$B$6/2)^2)-(((1001-43)*MAX('Inputs'!$B$33,'Inputs'!$B$29+'Inputs'!$B$31+'Inputs'!$B$32,'Inputs'!$B$30+'Inputs'!$B$31+'Inputs'!$B$32)/1000+'Inputs'!$B$21+'Inputs'!$B$9+'Inputs'!$B$10))/SQRT((((1001-43)*MAX('Inputs'!$B$33,'Inputs'!$B$29+'Inputs'!$B$31+'Inputs'!$B$32,'Inputs'!$B$30+'Inputs'!$B$31+'Inputs'!$B$32)/1000+'Inputs'!$B$21+'Inputs'!$B$9+'Inputs'!$B$10))^2+('Inputs'!$B$6/2)^2))))*'Results'!$B$8))),"")</x:f>
        <x:v>0.3051850592203448</x:v>
      </x:c>
      <x:c r="O1001" t="n">
        <x:f>IF(AND(ISNUMBER('Results'!C7),ISNUMBER('Results'!B7),ISNUMBER('Results'!$B$8),ISNUMBER('Inputs'!$B$6),ISNUMBER('Inputs'!$B$7),ISNUMBER('Inputs'!$B$8),ISNUMBER('Inputs'!$B$9),ISNUMBER('Inputs'!$B$10),ISNUMBER('Inputs'!$B$21),ISNUMBER('Inputs'!$B$24),ISNUMBER('Inputs'!$B$28)),((('Results'!C7*(1+'Inputs'!$B$24)*(0.5*((((1001-43)*MAX('Inputs'!$B$33,'Inputs'!$B$29+'Inputs'!$B$31+'Inputs'!$B$32,'Inputs'!$B$30+'Inputs'!$B$31+'Inputs'!$B$32)/1000+'Inputs'!$B$21)+'Inputs'!$B$9)/SQRT((((1001-43)*MAX('Inputs'!$B$33,'Inputs'!$B$29+'Inputs'!$B$31+'Inputs'!$B$32,'Inputs'!$B$30+'Inputs'!$B$31+'Inputs'!$B$32)/1000+'Inputs'!$B$21)+'Inputs'!$B$9)^2+('Inputs'!$B$8/2)^2)-(((1001-43)*MAX('Inputs'!$B$33,'Inputs'!$B$29+'Inputs'!$B$31+'Inputs'!$B$32,'Inputs'!$B$30+'Inputs'!$B$31+'Inputs'!$B$32)/1000+'Inputs'!$B$21))/SQRT((((1001-43)*MAX('Inputs'!$B$33,'Inputs'!$B$29+'Inputs'!$B$31+'Inputs'!$B$32,'Inputs'!$B$30+'Inputs'!$B$31+'Inputs'!$B$32)/1000+'Inputs'!$B$21))^2+('Inputs'!$B$8/2)^2)))-'Results'!B7*(1-'Inputs'!$B$24)*(0.5*((((1001-43)*MAX('Inputs'!$B$33,'Inputs'!$B$29+'Inputs'!$B$31+'Inputs'!$B$32,'Inputs'!$B$30+'Inputs'!$B$31+'Inputs'!$B$32)/1000+'Inputs'!$B$21+'Inputs'!$B$9+'Inputs'!$B$10)+'Inputs'!$B$7)/SQRT((((1001-43)*MAX('Inputs'!$B$33,'Inputs'!$B$29+'Inputs'!$B$31+'Inputs'!$B$32,'Inputs'!$B$30+'Inputs'!$B$31+'Inputs'!$B$32)/1000+'Inputs'!$B$21+'Inputs'!$B$9+'Inputs'!$B$10)+'Inputs'!$B$7)^2+('Inputs'!$B$6/2)^2)-(((1001-43)*MAX('Inputs'!$B$33,'Inputs'!$B$29+'Inputs'!$B$31+'Inputs'!$B$32,'Inputs'!$B$30+'Inputs'!$B$31+'Inputs'!$B$32)/1000+'Inputs'!$B$21+'Inputs'!$B$9+'Inputs'!$B$10))/SQRT((((1001-43)*MAX('Inputs'!$B$33,'Inputs'!$B$29+'Inputs'!$B$31+'Inputs'!$B$32,'Inputs'!$B$30+'Inputs'!$B$31+'Inputs'!$B$32)/1000+'Inputs'!$B$21+'Inputs'!$B$9+'Inputs'!$B$10))^2+('Inputs'!$B$6/2)^2))))*'Results'!$B$8)+'Inputs'!$B$28*ABS((('Results'!C7*(1+'Inputs'!$B$24)*(0.5*((((1001-43)*MAX('Inputs'!$B$33,'Inputs'!$B$29+'Inputs'!$B$31+'Inputs'!$B$32,'Inputs'!$B$30+'Inputs'!$B$31+'Inputs'!$B$32)/1000+'Inputs'!$B$21)+'Inputs'!$B$9)/SQRT((((1001-43)*MAX('Inputs'!$B$33,'Inputs'!$B$29+'Inputs'!$B$31+'Inputs'!$B$32,'Inputs'!$B$30+'Inputs'!$B$31+'Inputs'!$B$32)/1000+'Inputs'!$B$21)+'Inputs'!$B$9)^2+('Inputs'!$B$8/2)^2)-(((1001-43)*MAX('Inputs'!$B$33,'Inputs'!$B$29+'Inputs'!$B$31+'Inputs'!$B$32,'Inputs'!$B$30+'Inputs'!$B$31+'Inputs'!$B$32)/1000+'Inputs'!$B$21))/SQRT((((1001-43)*MAX('Inputs'!$B$33,'Inputs'!$B$29+'Inputs'!$B$31+'Inputs'!$B$32,'Inputs'!$B$30+'Inputs'!$B$31+'Inputs'!$B$32)/1000+'Inputs'!$B$21))^2+('Inputs'!$B$8/2)^2)))-'Results'!B7*(1-'Inputs'!$B$24)*(0.5*((((1001-43)*MAX('Inputs'!$B$33,'Inputs'!$B$29+'Inputs'!$B$31+'Inputs'!$B$32,'Inputs'!$B$30+'Inputs'!$B$31+'Inputs'!$B$32)/1000+'Inputs'!$B$21+'Inputs'!$B$9+'Inputs'!$B$10)+'Inputs'!$B$7)/SQRT((((1001-43)*MAX('Inputs'!$B$33,'Inputs'!$B$29+'Inputs'!$B$31+'Inputs'!$B$32,'Inputs'!$B$30+'Inputs'!$B$31+'Inputs'!$B$32)/1000+'Inputs'!$B$21+'Inputs'!$B$9+'Inputs'!$B$10)+'Inputs'!$B$7)^2+('Inputs'!$B$6/2)^2)-(((1001-43)*MAX('Inputs'!$B$33,'Inputs'!$B$29+'Inputs'!$B$31+'Inputs'!$B$32,'Inputs'!$B$30+'Inputs'!$B$31+'Inputs'!$B$32)/1000+'Inputs'!$B$21+'Inputs'!$B$9+'Inputs'!$B$10))/SQRT((((1001-43)*MAX('Inputs'!$B$33,'Inputs'!$B$29+'Inputs'!$B$31+'Inputs'!$B$32,'Inputs'!$B$30+'Inputs'!$B$31+'Inputs'!$B$32)/1000+'Inputs'!$B$21+'Inputs'!$B$9+'Inputs'!$B$10))^2+('Inputs'!$B$6/2)^2))))*'Results'!$B$8))),"")</x:f>
        <x:v>0.4379112867409218</x:v>
      </x:c>
      <x:c r="P1001" t="n">
        <x:f>IF(AND(MAX(J1001,J1000)&gt;0,J1001&gt;J1000+0.00000001),1,0)</x:f>
        <x:v>0</x:v>
      </x:c>
      <x:c r="Q1001" t="n">
        <x:f>IF(AND(MAX(K1001,K1000)&gt;0,K1001&gt;K1000+0.00000001),1,0)</x:f>
        <x:v>0</x:v>
      </x:c>
      <x:c r="R1001" t="n">
        <x:f>IF(AND(MAX(L1001,L1000)&gt;0,L1001&gt;L1000+0.00000001),1,0)</x:f>
        <x:v>0</x:v>
      </x:c>
      <x:c r="S1001" t="n">
        <x:f>IF(AND(MAX(M1001,M1000)&gt;0,M1001&gt;M1000+0.00000001),1,0)</x:f>
        <x:v>0</x:v>
      </x:c>
      <x:c r="T1001" t="n">
        <x:f>IF(AND(MAX(N1001,N1000)&gt;0,N1001&gt;N1000+0.00000001),1,0)</x:f>
        <x:v>0</x:v>
      </x:c>
      <x:c r="U1001" t="n">
        <x:f>IF(AND(MAX(O1001,O1000)&gt;0,O1001&gt;O1000+0.00000001),1,0)</x:f>
        <x:v>0</x:v>
      </x:c>
    </x:row>
    <x:row r="1002">
      <x:c r="J1002" t="n">
        <x:f>IF(AND(ISNUMBER('Results'!B7),ISNUMBER('Results'!C7),ISNUMBER('Results'!$B$8),ISNUMBER('Inputs'!$B$6),ISNUMBER('Inputs'!$B$7),ISNUMBER('Inputs'!$B$8),ISNUMBER('Inputs'!$B$9),ISNUMBER('Inputs'!$B$10),ISNUMBER('Inputs'!$B$21),ISNUMBER('Inputs'!$B$24),ISNUMBER('Inputs'!$B$28)),(('Results'!B7*(0.5*((((1002-43)*MAX('Inputs'!$B$33,'Inputs'!$B$29+'Inputs'!$B$31+'Inputs'!$B$32,'Inputs'!$B$30+'Inputs'!$B$31+'Inputs'!$B$32)/1000+'Inputs'!$B$21)+'Inputs'!$B$7)/SQRT((((1002-43)*MAX('Inputs'!$B$33,'Inputs'!$B$29+'Inputs'!$B$31+'Inputs'!$B$32,'Inputs'!$B$30+'Inputs'!$B$31+'Inputs'!$B$32)/1000+'Inputs'!$B$21)+'Inputs'!$B$7)^2+('Inputs'!$B$6/2)^2)-(((1002-43)*MAX('Inputs'!$B$33,'Inputs'!$B$29+'Inputs'!$B$31+'Inputs'!$B$32,'Inputs'!$B$30+'Inputs'!$B$31+'Inputs'!$B$32)/1000+'Inputs'!$B$21))/SQRT((((1002-43)*MAX('Inputs'!$B$33,'Inputs'!$B$29+'Inputs'!$B$31+'Inputs'!$B$32,'Inputs'!$B$30+'Inputs'!$B$31+'Inputs'!$B$32)/1000+'Inputs'!$B$21))^2+('Inputs'!$B$6/2)^2)))-'Results'!C7*(0.5*((((1002-43)*MAX('Inputs'!$B$33,'Inputs'!$B$29+'Inputs'!$B$31+'Inputs'!$B$32,'Inputs'!$B$30+'Inputs'!$B$31+'Inputs'!$B$32)/1000+'Inputs'!$B$21+'Inputs'!$B$7+'Inputs'!$B$10)+'Inputs'!$B$9)/SQRT((((1002-43)*MAX('Inputs'!$B$33,'Inputs'!$B$29+'Inputs'!$B$31+'Inputs'!$B$32,'Inputs'!$B$30+'Inputs'!$B$31+'Inputs'!$B$32)/1000+'Inputs'!$B$21+'Inputs'!$B$7+'Inputs'!$B$10)+'Inputs'!$B$9)^2+('Inputs'!$B$8/2)^2)-(((1002-43)*MAX('Inputs'!$B$33,'Inputs'!$B$29+'Inputs'!$B$31+'Inputs'!$B$32,'Inputs'!$B$30+'Inputs'!$B$31+'Inputs'!$B$32)/1000+'Inputs'!$B$21+'Inputs'!$B$7+'Inputs'!$B$10))/SQRT((((1002-43)*MAX('Inputs'!$B$33,'Inputs'!$B$29+'Inputs'!$B$31+'Inputs'!$B$32,'Inputs'!$B$30+'Inputs'!$B$31+'Inputs'!$B$32)/1000+'Inputs'!$B$21+'Inputs'!$B$7+'Inputs'!$B$10))^2+('Inputs'!$B$8/2)^2))))*'Results'!$B$8),"")</x:f>
        <x:v>0.41603820521082513</x:v>
      </x:c>
      <x:c r="K1002" t="n">
        <x:f>IF(AND(ISNUMBER('Results'!B7),ISNUMBER('Results'!C7),ISNUMBER('Results'!$B$8),ISNUMBER('Inputs'!$B$6),ISNUMBER('Inputs'!$B$7),ISNUMBER('Inputs'!$B$8),ISNUMBER('Inputs'!$B$9),ISNUMBER('Inputs'!$B$10),ISNUMBER('Inputs'!$B$21),ISNUMBER('Inputs'!$B$24),ISNUMBER('Inputs'!$B$28)),((('Results'!B7*(1-'Inputs'!$B$24)*(0.5*((((1002-43)*MAX('Inputs'!$B$33,'Inputs'!$B$29+'Inputs'!$B$31+'Inputs'!$B$32,'Inputs'!$B$30+'Inputs'!$B$31+'Inputs'!$B$32)/1000+'Inputs'!$B$21)+'Inputs'!$B$7)/SQRT((((1002-43)*MAX('Inputs'!$B$33,'Inputs'!$B$29+'Inputs'!$B$31+'Inputs'!$B$32,'Inputs'!$B$30+'Inputs'!$B$31+'Inputs'!$B$32)/1000+'Inputs'!$B$21)+'Inputs'!$B$7)^2+('Inputs'!$B$6/2)^2)-(((1002-43)*MAX('Inputs'!$B$33,'Inputs'!$B$29+'Inputs'!$B$31+'Inputs'!$B$32,'Inputs'!$B$30+'Inputs'!$B$31+'Inputs'!$B$32)/1000+'Inputs'!$B$21))/SQRT((((1002-43)*MAX('Inputs'!$B$33,'Inputs'!$B$29+'Inputs'!$B$31+'Inputs'!$B$32,'Inputs'!$B$30+'Inputs'!$B$31+'Inputs'!$B$32)/1000+'Inputs'!$B$21))^2+('Inputs'!$B$6/2)^2)))-'Results'!C7*(1+'Inputs'!$B$24)*(0.5*((((1002-43)*MAX('Inputs'!$B$33,'Inputs'!$B$29+'Inputs'!$B$31+'Inputs'!$B$32,'Inputs'!$B$30+'Inputs'!$B$31+'Inputs'!$B$32)/1000+'Inputs'!$B$21+'Inputs'!$B$7+'Inputs'!$B$10)+'Inputs'!$B$9)/SQRT((((1002-43)*MAX('Inputs'!$B$33,'Inputs'!$B$29+'Inputs'!$B$31+'Inputs'!$B$32,'Inputs'!$B$30+'Inputs'!$B$31+'Inputs'!$B$32)/1000+'Inputs'!$B$21+'Inputs'!$B$7+'Inputs'!$B$10)+'Inputs'!$B$9)^2+('Inputs'!$B$8/2)^2)-(((1002-43)*MAX('Inputs'!$B$33,'Inputs'!$B$29+'Inputs'!$B$31+'Inputs'!$B$32,'Inputs'!$B$30+'Inputs'!$B$31+'Inputs'!$B$32)/1000+'Inputs'!$B$21+'Inputs'!$B$7+'Inputs'!$B$10))/SQRT((((1002-43)*MAX('Inputs'!$B$33,'Inputs'!$B$29+'Inputs'!$B$31+'Inputs'!$B$32,'Inputs'!$B$30+'Inputs'!$B$31+'Inputs'!$B$32)/1000+'Inputs'!$B$21+'Inputs'!$B$7+'Inputs'!$B$10))^2+('Inputs'!$B$8/2)^2))))*'Results'!$B$8)-'Inputs'!$B$28*ABS((('Results'!B7*(1-'Inputs'!$B$24)*(0.5*((((1002-43)*MAX('Inputs'!$B$33,'Inputs'!$B$29+'Inputs'!$B$31+'Inputs'!$B$32,'Inputs'!$B$30+'Inputs'!$B$31+'Inputs'!$B$32)/1000+'Inputs'!$B$21)+'Inputs'!$B$7)/SQRT((((1002-43)*MAX('Inputs'!$B$33,'Inputs'!$B$29+'Inputs'!$B$31+'Inputs'!$B$32,'Inputs'!$B$30+'Inputs'!$B$31+'Inputs'!$B$32)/1000+'Inputs'!$B$21)+'Inputs'!$B$7)^2+('Inputs'!$B$6/2)^2)-(((1002-43)*MAX('Inputs'!$B$33,'Inputs'!$B$29+'Inputs'!$B$31+'Inputs'!$B$32,'Inputs'!$B$30+'Inputs'!$B$31+'Inputs'!$B$32)/1000+'Inputs'!$B$21))/SQRT((((1002-43)*MAX('Inputs'!$B$33,'Inputs'!$B$29+'Inputs'!$B$31+'Inputs'!$B$32,'Inputs'!$B$30+'Inputs'!$B$31+'Inputs'!$B$32)/1000+'Inputs'!$B$21))^2+('Inputs'!$B$6/2)^2)))-'Results'!C7*(1+'Inputs'!$B$24)*(0.5*((((1002-43)*MAX('Inputs'!$B$33,'Inputs'!$B$29+'Inputs'!$B$31+'Inputs'!$B$32,'Inputs'!$B$30+'Inputs'!$B$31+'Inputs'!$B$32)/1000+'Inputs'!$B$21+'Inputs'!$B$7+'Inputs'!$B$10)+'Inputs'!$B$9)/SQRT((((1002-43)*MAX('Inputs'!$B$33,'Inputs'!$B$29+'Inputs'!$B$31+'Inputs'!$B$32,'Inputs'!$B$30+'Inputs'!$B$31+'Inputs'!$B$32)/1000+'Inputs'!$B$21+'Inputs'!$B$7+'Inputs'!$B$10)+'Inputs'!$B$9)^2+('Inputs'!$B$8/2)^2)-(((1002-43)*MAX('Inputs'!$B$33,'Inputs'!$B$29+'Inputs'!$B$31+'Inputs'!$B$32,'Inputs'!$B$30+'Inputs'!$B$31+'Inputs'!$B$32)/1000+'Inputs'!$B$21+'Inputs'!$B$7+'Inputs'!$B$10))/SQRT((((1002-43)*MAX('Inputs'!$B$33,'Inputs'!$B$29+'Inputs'!$B$31+'Inputs'!$B$32,'Inputs'!$B$30+'Inputs'!$B$31+'Inputs'!$B$32)/1000+'Inputs'!$B$21+'Inputs'!$B$7+'Inputs'!$B$10))^2+('Inputs'!$B$8/2)^2))))*'Results'!$B$8))),"")</x:f>
        <x:v>0.3497081113395823</x:v>
      </x:c>
      <x:c r="L1002" t="n">
        <x:f>IF(AND(ISNUMBER('Results'!B7),ISNUMBER('Results'!C7),ISNUMBER('Results'!$B$8),ISNUMBER('Inputs'!$B$6),ISNUMBER('Inputs'!$B$7),ISNUMBER('Inputs'!$B$8),ISNUMBER('Inputs'!$B$9),ISNUMBER('Inputs'!$B$10),ISNUMBER('Inputs'!$B$21),ISNUMBER('Inputs'!$B$24),ISNUMBER('Inputs'!$B$28)),((('Results'!B7*(1+'Inputs'!$B$24)*(0.5*((((1002-43)*MAX('Inputs'!$B$33,'Inputs'!$B$29+'Inputs'!$B$31+'Inputs'!$B$32,'Inputs'!$B$30+'Inputs'!$B$31+'Inputs'!$B$32)/1000+'Inputs'!$B$21)+'Inputs'!$B$7)/SQRT((((1002-43)*MAX('Inputs'!$B$33,'Inputs'!$B$29+'Inputs'!$B$31+'Inputs'!$B$32,'Inputs'!$B$30+'Inputs'!$B$31+'Inputs'!$B$32)/1000+'Inputs'!$B$21)+'Inputs'!$B$7)^2+('Inputs'!$B$6/2)^2)-(((1002-43)*MAX('Inputs'!$B$33,'Inputs'!$B$29+'Inputs'!$B$31+'Inputs'!$B$32,'Inputs'!$B$30+'Inputs'!$B$31+'Inputs'!$B$32)/1000+'Inputs'!$B$21))/SQRT((((1002-43)*MAX('Inputs'!$B$33,'Inputs'!$B$29+'Inputs'!$B$31+'Inputs'!$B$32,'Inputs'!$B$30+'Inputs'!$B$31+'Inputs'!$B$32)/1000+'Inputs'!$B$21))^2+('Inputs'!$B$6/2)^2)))-'Results'!C7*(1-'Inputs'!$B$24)*(0.5*((((1002-43)*MAX('Inputs'!$B$33,'Inputs'!$B$29+'Inputs'!$B$31+'Inputs'!$B$32,'Inputs'!$B$30+'Inputs'!$B$31+'Inputs'!$B$32)/1000+'Inputs'!$B$21+'Inputs'!$B$7+'Inputs'!$B$10)+'Inputs'!$B$9)/SQRT((((1002-43)*MAX('Inputs'!$B$33,'Inputs'!$B$29+'Inputs'!$B$31+'Inputs'!$B$32,'Inputs'!$B$30+'Inputs'!$B$31+'Inputs'!$B$32)/1000+'Inputs'!$B$21+'Inputs'!$B$7+'Inputs'!$B$10)+'Inputs'!$B$9)^2+('Inputs'!$B$8/2)^2)-(((1002-43)*MAX('Inputs'!$B$33,'Inputs'!$B$29+'Inputs'!$B$31+'Inputs'!$B$32,'Inputs'!$B$30+'Inputs'!$B$31+'Inputs'!$B$32)/1000+'Inputs'!$B$21+'Inputs'!$B$7+'Inputs'!$B$10))/SQRT((((1002-43)*MAX('Inputs'!$B$33,'Inputs'!$B$29+'Inputs'!$B$31+'Inputs'!$B$32,'Inputs'!$B$30+'Inputs'!$B$31+'Inputs'!$B$32)/1000+'Inputs'!$B$21+'Inputs'!$B$7+'Inputs'!$B$10))^2+('Inputs'!$B$8/2)^2))))*'Results'!$B$8)+'Inputs'!$B$28*ABS((('Results'!B7*(1+'Inputs'!$B$24)*(0.5*((((1002-43)*MAX('Inputs'!$B$33,'Inputs'!$B$29+'Inputs'!$B$31+'Inputs'!$B$32,'Inputs'!$B$30+'Inputs'!$B$31+'Inputs'!$B$32)/1000+'Inputs'!$B$21)+'Inputs'!$B$7)/SQRT((((1002-43)*MAX('Inputs'!$B$33,'Inputs'!$B$29+'Inputs'!$B$31+'Inputs'!$B$32,'Inputs'!$B$30+'Inputs'!$B$31+'Inputs'!$B$32)/1000+'Inputs'!$B$21)+'Inputs'!$B$7)^2+('Inputs'!$B$6/2)^2)-(((1002-43)*MAX('Inputs'!$B$33,'Inputs'!$B$29+'Inputs'!$B$31+'Inputs'!$B$32,'Inputs'!$B$30+'Inputs'!$B$31+'Inputs'!$B$32)/1000+'Inputs'!$B$21))/SQRT((((1002-43)*MAX('Inputs'!$B$33,'Inputs'!$B$29+'Inputs'!$B$31+'Inputs'!$B$32,'Inputs'!$B$30+'Inputs'!$B$31+'Inputs'!$B$32)/1000+'Inputs'!$B$21))^2+('Inputs'!$B$6/2)^2)))-'Results'!C7*(1-'Inputs'!$B$24)*(0.5*((((1002-43)*MAX('Inputs'!$B$33,'Inputs'!$B$29+'Inputs'!$B$31+'Inputs'!$B$32,'Inputs'!$B$30+'Inputs'!$B$31+'Inputs'!$B$32)/1000+'Inputs'!$B$21+'Inputs'!$B$7+'Inputs'!$B$10)+'Inputs'!$B$9)/SQRT((((1002-43)*MAX('Inputs'!$B$33,'Inputs'!$B$29+'Inputs'!$B$31+'Inputs'!$B$32,'Inputs'!$B$30+'Inputs'!$B$31+'Inputs'!$B$32)/1000+'Inputs'!$B$21+'Inputs'!$B$7+'Inputs'!$B$10)+'Inputs'!$B$9)^2+('Inputs'!$B$8/2)^2)-(((1002-43)*MAX('Inputs'!$B$33,'Inputs'!$B$29+'Inputs'!$B$31+'Inputs'!$B$32,'Inputs'!$B$30+'Inputs'!$B$31+'Inputs'!$B$32)/1000+'Inputs'!$B$21+'Inputs'!$B$7+'Inputs'!$B$10))/SQRT((((1002-43)*MAX('Inputs'!$B$33,'Inputs'!$B$29+'Inputs'!$B$31+'Inputs'!$B$32,'Inputs'!$B$30+'Inputs'!$B$31+'Inputs'!$B$32)/1000+'Inputs'!$B$21+'Inputs'!$B$7+'Inputs'!$B$10))^2+('Inputs'!$B$8/2)^2))))*'Results'!$B$8))),"")</x:f>
        <x:v>0.4871607394621421</x:v>
      </x:c>
      <x:c r="M1002" t="n">
        <x:f>IF(AND(ISNUMBER('Results'!C7),ISNUMBER('Results'!B7),ISNUMBER('Results'!$B$8),ISNUMBER('Inputs'!$B$6),ISNUMBER('Inputs'!$B$7),ISNUMBER('Inputs'!$B$8),ISNUMBER('Inputs'!$B$9),ISNUMBER('Inputs'!$B$10),ISNUMBER('Inputs'!$B$21),ISNUMBER('Inputs'!$B$24),ISNUMBER('Inputs'!$B$28)),(('Results'!C7*(0.5*((((1002-43)*MAX('Inputs'!$B$33,'Inputs'!$B$29+'Inputs'!$B$31+'Inputs'!$B$32,'Inputs'!$B$30+'Inputs'!$B$31+'Inputs'!$B$32)/1000+'Inputs'!$B$21)+'Inputs'!$B$9)/SQRT((((1002-43)*MAX('Inputs'!$B$33,'Inputs'!$B$29+'Inputs'!$B$31+'Inputs'!$B$32,'Inputs'!$B$30+'Inputs'!$B$31+'Inputs'!$B$32)/1000+'Inputs'!$B$21)+'Inputs'!$B$9)^2+('Inputs'!$B$8/2)^2)-(((1002-43)*MAX('Inputs'!$B$33,'Inputs'!$B$29+'Inputs'!$B$31+'Inputs'!$B$32,'Inputs'!$B$30+'Inputs'!$B$31+'Inputs'!$B$32)/1000+'Inputs'!$B$21))/SQRT((((1002-43)*MAX('Inputs'!$B$33,'Inputs'!$B$29+'Inputs'!$B$31+'Inputs'!$B$32,'Inputs'!$B$30+'Inputs'!$B$31+'Inputs'!$B$32)/1000+'Inputs'!$B$21))^2+('Inputs'!$B$8/2)^2)))-'Results'!B7*(0.5*((((1002-43)*MAX('Inputs'!$B$33,'Inputs'!$B$29+'Inputs'!$B$31+'Inputs'!$B$32,'Inputs'!$B$30+'Inputs'!$B$31+'Inputs'!$B$32)/1000+'Inputs'!$B$21+'Inputs'!$B$9+'Inputs'!$B$10)+'Inputs'!$B$7)/SQRT((((1002-43)*MAX('Inputs'!$B$33,'Inputs'!$B$29+'Inputs'!$B$31+'Inputs'!$B$32,'Inputs'!$B$30+'Inputs'!$B$31+'Inputs'!$B$32)/1000+'Inputs'!$B$21+'Inputs'!$B$9+'Inputs'!$B$10)+'Inputs'!$B$7)^2+('Inputs'!$B$6/2)^2)-(((1002-43)*MAX('Inputs'!$B$33,'Inputs'!$B$29+'Inputs'!$B$31+'Inputs'!$B$32,'Inputs'!$B$30+'Inputs'!$B$31+'Inputs'!$B$32)/1000+'Inputs'!$B$21+'Inputs'!$B$9+'Inputs'!$B$10))/SQRT((((1002-43)*MAX('Inputs'!$B$33,'Inputs'!$B$29+'Inputs'!$B$31+'Inputs'!$B$32,'Inputs'!$B$30+'Inputs'!$B$31+'Inputs'!$B$32)/1000+'Inputs'!$B$21+'Inputs'!$B$9+'Inputs'!$B$10))^2+('Inputs'!$B$6/2)^2))))*'Results'!$B$8),"")</x:f>
        <x:v>0.36770968263767323</x:v>
      </x:c>
      <x:c r="N1002" t="n">
        <x:f>IF(AND(ISNUMBER('Results'!C7),ISNUMBER('Results'!B7),ISNUMBER('Results'!$B$8),ISNUMBER('Inputs'!$B$6),ISNUMBER('Inputs'!$B$7),ISNUMBER('Inputs'!$B$8),ISNUMBER('Inputs'!$B$9),ISNUMBER('Inputs'!$B$10),ISNUMBER('Inputs'!$B$21),ISNUMBER('Inputs'!$B$24),ISNUMBER('Inputs'!$B$28)),((('Results'!C7*(1-'Inputs'!$B$24)*(0.5*((((1002-43)*MAX('Inputs'!$B$33,'Inputs'!$B$29+'Inputs'!$B$31+'Inputs'!$B$32,'Inputs'!$B$30+'Inputs'!$B$31+'Inputs'!$B$32)/1000+'Inputs'!$B$21)+'Inputs'!$B$9)/SQRT((((1002-43)*MAX('Inputs'!$B$33,'Inputs'!$B$29+'Inputs'!$B$31+'Inputs'!$B$32,'Inputs'!$B$30+'Inputs'!$B$31+'Inputs'!$B$32)/1000+'Inputs'!$B$21)+'Inputs'!$B$9)^2+('Inputs'!$B$8/2)^2)-(((1002-43)*MAX('Inputs'!$B$33,'Inputs'!$B$29+'Inputs'!$B$31+'Inputs'!$B$32,'Inputs'!$B$30+'Inputs'!$B$31+'Inputs'!$B$32)/1000+'Inputs'!$B$21))/SQRT((((1002-43)*MAX('Inputs'!$B$33,'Inputs'!$B$29+'Inputs'!$B$31+'Inputs'!$B$32,'Inputs'!$B$30+'Inputs'!$B$31+'Inputs'!$B$32)/1000+'Inputs'!$B$21))^2+('Inputs'!$B$8/2)^2)))-'Results'!B7*(1+'Inputs'!$B$24)*(0.5*((((1002-43)*MAX('Inputs'!$B$33,'Inputs'!$B$29+'Inputs'!$B$31+'Inputs'!$B$32,'Inputs'!$B$30+'Inputs'!$B$31+'Inputs'!$B$32)/1000+'Inputs'!$B$21+'Inputs'!$B$9+'Inputs'!$B$10)+'Inputs'!$B$7)/SQRT((((1002-43)*MAX('Inputs'!$B$33,'Inputs'!$B$29+'Inputs'!$B$31+'Inputs'!$B$32,'Inputs'!$B$30+'Inputs'!$B$31+'Inputs'!$B$32)/1000+'Inputs'!$B$21+'Inputs'!$B$9+'Inputs'!$B$10)+'Inputs'!$B$7)^2+('Inputs'!$B$6/2)^2)-(((1002-43)*MAX('Inputs'!$B$33,'Inputs'!$B$29+'Inputs'!$B$31+'Inputs'!$B$32,'Inputs'!$B$30+'Inputs'!$B$31+'Inputs'!$B$32)/1000+'Inputs'!$B$21+'Inputs'!$B$9+'Inputs'!$B$10))/SQRT((((1002-43)*MAX('Inputs'!$B$33,'Inputs'!$B$29+'Inputs'!$B$31+'Inputs'!$B$32,'Inputs'!$B$30+'Inputs'!$B$31+'Inputs'!$B$32)/1000+'Inputs'!$B$21+'Inputs'!$B$9+'Inputs'!$B$10))^2+('Inputs'!$B$6/2)^2))))*'Results'!$B$8)-'Inputs'!$B$28*ABS((('Results'!C7*(1-'Inputs'!$B$24)*(0.5*((((1002-43)*MAX('Inputs'!$B$33,'Inputs'!$B$29+'Inputs'!$B$31+'Inputs'!$B$32,'Inputs'!$B$30+'Inputs'!$B$31+'Inputs'!$B$32)/1000+'Inputs'!$B$21)+'Inputs'!$B$9)/SQRT((((1002-43)*MAX('Inputs'!$B$33,'Inputs'!$B$29+'Inputs'!$B$31+'Inputs'!$B$32,'Inputs'!$B$30+'Inputs'!$B$31+'Inputs'!$B$32)/1000+'Inputs'!$B$21)+'Inputs'!$B$9)^2+('Inputs'!$B$8/2)^2)-(((1002-43)*MAX('Inputs'!$B$33,'Inputs'!$B$29+'Inputs'!$B$31+'Inputs'!$B$32,'Inputs'!$B$30+'Inputs'!$B$31+'Inputs'!$B$32)/1000+'Inputs'!$B$21))/SQRT((((1002-43)*MAX('Inputs'!$B$33,'Inputs'!$B$29+'Inputs'!$B$31+'Inputs'!$B$32,'Inputs'!$B$30+'Inputs'!$B$31+'Inputs'!$B$32)/1000+'Inputs'!$B$21))^2+('Inputs'!$B$8/2)^2)))-'Results'!B7*(1+'Inputs'!$B$24)*(0.5*((((1002-43)*MAX('Inputs'!$B$33,'Inputs'!$B$29+'Inputs'!$B$31+'Inputs'!$B$32,'Inputs'!$B$30+'Inputs'!$B$31+'Inputs'!$B$32)/1000+'Inputs'!$B$21+'Inputs'!$B$9+'Inputs'!$B$10)+'Inputs'!$B$7)/SQRT((((1002-43)*MAX('Inputs'!$B$33,'Inputs'!$B$29+'Inputs'!$B$31+'Inputs'!$B$32,'Inputs'!$B$30+'Inputs'!$B$31+'Inputs'!$B$32)/1000+'Inputs'!$B$21+'Inputs'!$B$9+'Inputs'!$B$10)+'Inputs'!$B$7)^2+('Inputs'!$B$6/2)^2)-(((1002-43)*MAX('Inputs'!$B$33,'Inputs'!$B$29+'Inputs'!$B$31+'Inputs'!$B$32,'Inputs'!$B$30+'Inputs'!$B$31+'Inputs'!$B$32)/1000+'Inputs'!$B$21+'Inputs'!$B$9+'Inputs'!$B$10))/SQRT((((1002-43)*MAX('Inputs'!$B$33,'Inputs'!$B$29+'Inputs'!$B$31+'Inputs'!$B$32,'Inputs'!$B$30+'Inputs'!$B$31+'Inputs'!$B$32)/1000+'Inputs'!$B$21+'Inputs'!$B$9+'Inputs'!$B$10))^2+('Inputs'!$B$6/2)^2))))*'Results'!$B$8))),"")</x:f>
        <x:v>0.3039464311563918</x:v>
      </x:c>
      <x:c r="O1002" t="n">
        <x:f>IF(AND(ISNUMBER('Results'!C7),ISNUMBER('Results'!B7),ISNUMBER('Results'!$B$8),ISNUMBER('Inputs'!$B$6),ISNUMBER('Inputs'!$B$7),ISNUMBER('Inputs'!$B$8),ISNUMBER('Inputs'!$B$9),ISNUMBER('Inputs'!$B$10),ISNUMBER('Inputs'!$B$21),ISNUMBER('Inputs'!$B$24),ISNUMBER('Inputs'!$B$28)),((('Results'!C7*(1+'Inputs'!$B$24)*(0.5*((((1002-43)*MAX('Inputs'!$B$33,'Inputs'!$B$29+'Inputs'!$B$31+'Inputs'!$B$32,'Inputs'!$B$30+'Inputs'!$B$31+'Inputs'!$B$32)/1000+'Inputs'!$B$21)+'Inputs'!$B$9)/SQRT((((1002-43)*MAX('Inputs'!$B$33,'Inputs'!$B$29+'Inputs'!$B$31+'Inputs'!$B$32,'Inputs'!$B$30+'Inputs'!$B$31+'Inputs'!$B$32)/1000+'Inputs'!$B$21)+'Inputs'!$B$9)^2+('Inputs'!$B$8/2)^2)-(((1002-43)*MAX('Inputs'!$B$33,'Inputs'!$B$29+'Inputs'!$B$31+'Inputs'!$B$32,'Inputs'!$B$30+'Inputs'!$B$31+'Inputs'!$B$32)/1000+'Inputs'!$B$21))/SQRT((((1002-43)*MAX('Inputs'!$B$33,'Inputs'!$B$29+'Inputs'!$B$31+'Inputs'!$B$32,'Inputs'!$B$30+'Inputs'!$B$31+'Inputs'!$B$32)/1000+'Inputs'!$B$21))^2+('Inputs'!$B$8/2)^2)))-'Results'!B7*(1-'Inputs'!$B$24)*(0.5*((((1002-43)*MAX('Inputs'!$B$33,'Inputs'!$B$29+'Inputs'!$B$31+'Inputs'!$B$32,'Inputs'!$B$30+'Inputs'!$B$31+'Inputs'!$B$32)/1000+'Inputs'!$B$21+'Inputs'!$B$9+'Inputs'!$B$10)+'Inputs'!$B$7)/SQRT((((1002-43)*MAX('Inputs'!$B$33,'Inputs'!$B$29+'Inputs'!$B$31+'Inputs'!$B$32,'Inputs'!$B$30+'Inputs'!$B$31+'Inputs'!$B$32)/1000+'Inputs'!$B$21+'Inputs'!$B$9+'Inputs'!$B$10)+'Inputs'!$B$7)^2+('Inputs'!$B$6/2)^2)-(((1002-43)*MAX('Inputs'!$B$33,'Inputs'!$B$29+'Inputs'!$B$31+'Inputs'!$B$32,'Inputs'!$B$30+'Inputs'!$B$31+'Inputs'!$B$32)/1000+'Inputs'!$B$21+'Inputs'!$B$9+'Inputs'!$B$10))/SQRT((((1002-43)*MAX('Inputs'!$B$33,'Inputs'!$B$29+'Inputs'!$B$31+'Inputs'!$B$32,'Inputs'!$B$30+'Inputs'!$B$31+'Inputs'!$B$32)/1000+'Inputs'!$B$21+'Inputs'!$B$9+'Inputs'!$B$10))^2+('Inputs'!$B$6/2)^2))))*'Results'!$B$8)+'Inputs'!$B$28*ABS((('Results'!C7*(1+'Inputs'!$B$24)*(0.5*((((1002-43)*MAX('Inputs'!$B$33,'Inputs'!$B$29+'Inputs'!$B$31+'Inputs'!$B$32,'Inputs'!$B$30+'Inputs'!$B$31+'Inputs'!$B$32)/1000+'Inputs'!$B$21)+'Inputs'!$B$9)/SQRT((((1002-43)*MAX('Inputs'!$B$33,'Inputs'!$B$29+'Inputs'!$B$31+'Inputs'!$B$32,'Inputs'!$B$30+'Inputs'!$B$31+'Inputs'!$B$32)/1000+'Inputs'!$B$21)+'Inputs'!$B$9)^2+('Inputs'!$B$8/2)^2)-(((1002-43)*MAX('Inputs'!$B$33,'Inputs'!$B$29+'Inputs'!$B$31+'Inputs'!$B$32,'Inputs'!$B$30+'Inputs'!$B$31+'Inputs'!$B$32)/1000+'Inputs'!$B$21))/SQRT((((1002-43)*MAX('Inputs'!$B$33,'Inputs'!$B$29+'Inputs'!$B$31+'Inputs'!$B$32,'Inputs'!$B$30+'Inputs'!$B$31+'Inputs'!$B$32)/1000+'Inputs'!$B$21))^2+('Inputs'!$B$8/2)^2)))-'Results'!B7*(1-'Inputs'!$B$24)*(0.5*((((1002-43)*MAX('Inputs'!$B$33,'Inputs'!$B$29+'Inputs'!$B$31+'Inputs'!$B$32,'Inputs'!$B$30+'Inputs'!$B$31+'Inputs'!$B$32)/1000+'Inputs'!$B$21+'Inputs'!$B$9+'Inputs'!$B$10)+'Inputs'!$B$7)/SQRT((((1002-43)*MAX('Inputs'!$B$33,'Inputs'!$B$29+'Inputs'!$B$31+'Inputs'!$B$32,'Inputs'!$B$30+'Inputs'!$B$31+'Inputs'!$B$32)/1000+'Inputs'!$B$21+'Inputs'!$B$9+'Inputs'!$B$10)+'Inputs'!$B$7)^2+('Inputs'!$B$6/2)^2)-(((1002-43)*MAX('Inputs'!$B$33,'Inputs'!$B$29+'Inputs'!$B$31+'Inputs'!$B$32,'Inputs'!$B$30+'Inputs'!$B$31+'Inputs'!$B$32)/1000+'Inputs'!$B$21+'Inputs'!$B$9+'Inputs'!$B$10))/SQRT((((1002-43)*MAX('Inputs'!$B$33,'Inputs'!$B$29+'Inputs'!$B$31+'Inputs'!$B$32,'Inputs'!$B$30+'Inputs'!$B$31+'Inputs'!$B$32)/1000+'Inputs'!$B$21+'Inputs'!$B$9+'Inputs'!$B$10))^2+('Inputs'!$B$6/2)^2))))*'Results'!$B$8))),"")</x:f>
        <x:v>0.4362495412083645</x:v>
      </x:c>
      <x:c r="P1002" t="n">
        <x:f>IF(AND(MAX(J1002,J1001)&gt;0,J1002&gt;J1001+0.00000001),1,0)</x:f>
        <x:v>0</x:v>
      </x:c>
      <x:c r="Q1002" t="n">
        <x:f>IF(AND(MAX(K1002,K1001)&gt;0,K1002&gt;K1001+0.00000001),1,0)</x:f>
        <x:v>0</x:v>
      </x:c>
      <x:c r="R1002" t="n">
        <x:f>IF(AND(MAX(L1002,L1001)&gt;0,L1002&gt;L1001+0.00000001),1,0)</x:f>
        <x:v>0</x:v>
      </x:c>
      <x:c r="S1002" t="n">
        <x:f>IF(AND(MAX(M1002,M1001)&gt;0,M1002&gt;M1001+0.00000001),1,0)</x:f>
        <x:v>0</x:v>
      </x:c>
      <x:c r="T1002" t="n">
        <x:f>IF(AND(MAX(N1002,N1001)&gt;0,N1002&gt;N1001+0.00000001),1,0)</x:f>
        <x:v>0</x:v>
      </x:c>
      <x:c r="U1002" t="n">
        <x:f>IF(AND(MAX(O1002,O1001)&gt;0,O1002&gt;O1001+0.00000001),1,0)</x:f>
        <x:v>0</x:v>
      </x:c>
    </x:row>
    <x:row r="1003">
      <x:c r="J1003" t="n">
        <x:f>IF(AND(ISNUMBER('Results'!B7),ISNUMBER('Results'!C7),ISNUMBER('Results'!$B$8),ISNUMBER('Inputs'!$B$6),ISNUMBER('Inputs'!$B$7),ISNUMBER('Inputs'!$B$8),ISNUMBER('Inputs'!$B$9),ISNUMBER('Inputs'!$B$10),ISNUMBER('Inputs'!$B$21),ISNUMBER('Inputs'!$B$24),ISNUMBER('Inputs'!$B$28)),(('Results'!B7*(0.5*((((1003-43)*MAX('Inputs'!$B$33,'Inputs'!$B$29+'Inputs'!$B$31+'Inputs'!$B$32,'Inputs'!$B$30+'Inputs'!$B$31+'Inputs'!$B$32)/1000+'Inputs'!$B$21)+'Inputs'!$B$7)/SQRT((((1003-43)*MAX('Inputs'!$B$33,'Inputs'!$B$29+'Inputs'!$B$31+'Inputs'!$B$32,'Inputs'!$B$30+'Inputs'!$B$31+'Inputs'!$B$32)/1000+'Inputs'!$B$21)+'Inputs'!$B$7)^2+('Inputs'!$B$6/2)^2)-(((1003-43)*MAX('Inputs'!$B$33,'Inputs'!$B$29+'Inputs'!$B$31+'Inputs'!$B$32,'Inputs'!$B$30+'Inputs'!$B$31+'Inputs'!$B$32)/1000+'Inputs'!$B$21))/SQRT((((1003-43)*MAX('Inputs'!$B$33,'Inputs'!$B$29+'Inputs'!$B$31+'Inputs'!$B$32,'Inputs'!$B$30+'Inputs'!$B$31+'Inputs'!$B$32)/1000+'Inputs'!$B$21))^2+('Inputs'!$B$6/2)^2)))-'Results'!C7*(0.5*((((1003-43)*MAX('Inputs'!$B$33,'Inputs'!$B$29+'Inputs'!$B$31+'Inputs'!$B$32,'Inputs'!$B$30+'Inputs'!$B$31+'Inputs'!$B$32)/1000+'Inputs'!$B$21+'Inputs'!$B$7+'Inputs'!$B$10)+'Inputs'!$B$9)/SQRT((((1003-43)*MAX('Inputs'!$B$33,'Inputs'!$B$29+'Inputs'!$B$31+'Inputs'!$B$32,'Inputs'!$B$30+'Inputs'!$B$31+'Inputs'!$B$32)/1000+'Inputs'!$B$21+'Inputs'!$B$7+'Inputs'!$B$10)+'Inputs'!$B$9)^2+('Inputs'!$B$8/2)^2)-(((1003-43)*MAX('Inputs'!$B$33,'Inputs'!$B$29+'Inputs'!$B$31+'Inputs'!$B$32,'Inputs'!$B$30+'Inputs'!$B$31+'Inputs'!$B$32)/1000+'Inputs'!$B$21+'Inputs'!$B$7+'Inputs'!$B$10))/SQRT((((1003-43)*MAX('Inputs'!$B$33,'Inputs'!$B$29+'Inputs'!$B$31+'Inputs'!$B$32,'Inputs'!$B$30+'Inputs'!$B$31+'Inputs'!$B$32)/1000+'Inputs'!$B$21+'Inputs'!$B$7+'Inputs'!$B$10))^2+('Inputs'!$B$8/2)^2))))*'Results'!$B$8),"")</x:f>
        <x:v>0.4144614189756181</x:v>
      </x:c>
      <x:c r="K1003" t="n">
        <x:f>IF(AND(ISNUMBER('Results'!B7),ISNUMBER('Results'!C7),ISNUMBER('Results'!$B$8),ISNUMBER('Inputs'!$B$6),ISNUMBER('Inputs'!$B$7),ISNUMBER('Inputs'!$B$8),ISNUMBER('Inputs'!$B$9),ISNUMBER('Inputs'!$B$10),ISNUMBER('Inputs'!$B$21),ISNUMBER('Inputs'!$B$24),ISNUMBER('Inputs'!$B$28)),((('Results'!B7*(1-'Inputs'!$B$24)*(0.5*((((1003-43)*MAX('Inputs'!$B$33,'Inputs'!$B$29+'Inputs'!$B$31+'Inputs'!$B$32,'Inputs'!$B$30+'Inputs'!$B$31+'Inputs'!$B$32)/1000+'Inputs'!$B$21)+'Inputs'!$B$7)/SQRT((((1003-43)*MAX('Inputs'!$B$33,'Inputs'!$B$29+'Inputs'!$B$31+'Inputs'!$B$32,'Inputs'!$B$30+'Inputs'!$B$31+'Inputs'!$B$32)/1000+'Inputs'!$B$21)+'Inputs'!$B$7)^2+('Inputs'!$B$6/2)^2)-(((1003-43)*MAX('Inputs'!$B$33,'Inputs'!$B$29+'Inputs'!$B$31+'Inputs'!$B$32,'Inputs'!$B$30+'Inputs'!$B$31+'Inputs'!$B$32)/1000+'Inputs'!$B$21))/SQRT((((1003-43)*MAX('Inputs'!$B$33,'Inputs'!$B$29+'Inputs'!$B$31+'Inputs'!$B$32,'Inputs'!$B$30+'Inputs'!$B$31+'Inputs'!$B$32)/1000+'Inputs'!$B$21))^2+('Inputs'!$B$6/2)^2)))-'Results'!C7*(1+'Inputs'!$B$24)*(0.5*((((1003-43)*MAX('Inputs'!$B$33,'Inputs'!$B$29+'Inputs'!$B$31+'Inputs'!$B$32,'Inputs'!$B$30+'Inputs'!$B$31+'Inputs'!$B$32)/1000+'Inputs'!$B$21+'Inputs'!$B$7+'Inputs'!$B$10)+'Inputs'!$B$9)/SQRT((((1003-43)*MAX('Inputs'!$B$33,'Inputs'!$B$29+'Inputs'!$B$31+'Inputs'!$B$32,'Inputs'!$B$30+'Inputs'!$B$31+'Inputs'!$B$32)/1000+'Inputs'!$B$21+'Inputs'!$B$7+'Inputs'!$B$10)+'Inputs'!$B$9)^2+('Inputs'!$B$8/2)^2)-(((1003-43)*MAX('Inputs'!$B$33,'Inputs'!$B$29+'Inputs'!$B$31+'Inputs'!$B$32,'Inputs'!$B$30+'Inputs'!$B$31+'Inputs'!$B$32)/1000+'Inputs'!$B$21+'Inputs'!$B$7+'Inputs'!$B$10))/SQRT((((1003-43)*MAX('Inputs'!$B$33,'Inputs'!$B$29+'Inputs'!$B$31+'Inputs'!$B$32,'Inputs'!$B$30+'Inputs'!$B$31+'Inputs'!$B$32)/1000+'Inputs'!$B$21+'Inputs'!$B$7+'Inputs'!$B$10))^2+('Inputs'!$B$8/2)^2))))*'Results'!$B$8)-'Inputs'!$B$28*ABS((('Results'!B7*(1-'Inputs'!$B$24)*(0.5*((((1003-43)*MAX('Inputs'!$B$33,'Inputs'!$B$29+'Inputs'!$B$31+'Inputs'!$B$32,'Inputs'!$B$30+'Inputs'!$B$31+'Inputs'!$B$32)/1000+'Inputs'!$B$21)+'Inputs'!$B$7)/SQRT((((1003-43)*MAX('Inputs'!$B$33,'Inputs'!$B$29+'Inputs'!$B$31+'Inputs'!$B$32,'Inputs'!$B$30+'Inputs'!$B$31+'Inputs'!$B$32)/1000+'Inputs'!$B$21)+'Inputs'!$B$7)^2+('Inputs'!$B$6/2)^2)-(((1003-43)*MAX('Inputs'!$B$33,'Inputs'!$B$29+'Inputs'!$B$31+'Inputs'!$B$32,'Inputs'!$B$30+'Inputs'!$B$31+'Inputs'!$B$32)/1000+'Inputs'!$B$21))/SQRT((((1003-43)*MAX('Inputs'!$B$33,'Inputs'!$B$29+'Inputs'!$B$31+'Inputs'!$B$32,'Inputs'!$B$30+'Inputs'!$B$31+'Inputs'!$B$32)/1000+'Inputs'!$B$21))^2+('Inputs'!$B$6/2)^2)))-'Results'!C7*(1+'Inputs'!$B$24)*(0.5*((((1003-43)*MAX('Inputs'!$B$33,'Inputs'!$B$29+'Inputs'!$B$31+'Inputs'!$B$32,'Inputs'!$B$30+'Inputs'!$B$31+'Inputs'!$B$32)/1000+'Inputs'!$B$21+'Inputs'!$B$7+'Inputs'!$B$10)+'Inputs'!$B$9)/SQRT((((1003-43)*MAX('Inputs'!$B$33,'Inputs'!$B$29+'Inputs'!$B$31+'Inputs'!$B$32,'Inputs'!$B$30+'Inputs'!$B$31+'Inputs'!$B$32)/1000+'Inputs'!$B$21+'Inputs'!$B$7+'Inputs'!$B$10)+'Inputs'!$B$9)^2+('Inputs'!$B$8/2)^2)-(((1003-43)*MAX('Inputs'!$B$33,'Inputs'!$B$29+'Inputs'!$B$31+'Inputs'!$B$32,'Inputs'!$B$30+'Inputs'!$B$31+'Inputs'!$B$32)/1000+'Inputs'!$B$21+'Inputs'!$B$7+'Inputs'!$B$10))/SQRT((((1003-43)*MAX('Inputs'!$B$33,'Inputs'!$B$29+'Inputs'!$B$31+'Inputs'!$B$32,'Inputs'!$B$30+'Inputs'!$B$31+'Inputs'!$B$32)/1000+'Inputs'!$B$21+'Inputs'!$B$7+'Inputs'!$B$10))^2+('Inputs'!$B$8/2)^2))))*'Results'!$B$8))),"")</x:f>
        <x:v>0.34834265661527186</x:v>
      </x:c>
      <x:c r="L1003" t="n">
        <x:f>IF(AND(ISNUMBER('Results'!B7),ISNUMBER('Results'!C7),ISNUMBER('Results'!$B$8),ISNUMBER('Inputs'!$B$6),ISNUMBER('Inputs'!$B$7),ISNUMBER('Inputs'!$B$8),ISNUMBER('Inputs'!$B$9),ISNUMBER('Inputs'!$B$10),ISNUMBER('Inputs'!$B$21),ISNUMBER('Inputs'!$B$24),ISNUMBER('Inputs'!$B$28)),((('Results'!B7*(1+'Inputs'!$B$24)*(0.5*((((1003-43)*MAX('Inputs'!$B$33,'Inputs'!$B$29+'Inputs'!$B$31+'Inputs'!$B$32,'Inputs'!$B$30+'Inputs'!$B$31+'Inputs'!$B$32)/1000+'Inputs'!$B$21)+'Inputs'!$B$7)/SQRT((((1003-43)*MAX('Inputs'!$B$33,'Inputs'!$B$29+'Inputs'!$B$31+'Inputs'!$B$32,'Inputs'!$B$30+'Inputs'!$B$31+'Inputs'!$B$32)/1000+'Inputs'!$B$21)+'Inputs'!$B$7)^2+('Inputs'!$B$6/2)^2)-(((1003-43)*MAX('Inputs'!$B$33,'Inputs'!$B$29+'Inputs'!$B$31+'Inputs'!$B$32,'Inputs'!$B$30+'Inputs'!$B$31+'Inputs'!$B$32)/1000+'Inputs'!$B$21))/SQRT((((1003-43)*MAX('Inputs'!$B$33,'Inputs'!$B$29+'Inputs'!$B$31+'Inputs'!$B$32,'Inputs'!$B$30+'Inputs'!$B$31+'Inputs'!$B$32)/1000+'Inputs'!$B$21))^2+('Inputs'!$B$6/2)^2)))-'Results'!C7*(1-'Inputs'!$B$24)*(0.5*((((1003-43)*MAX('Inputs'!$B$33,'Inputs'!$B$29+'Inputs'!$B$31+'Inputs'!$B$32,'Inputs'!$B$30+'Inputs'!$B$31+'Inputs'!$B$32)/1000+'Inputs'!$B$21+'Inputs'!$B$7+'Inputs'!$B$10)+'Inputs'!$B$9)/SQRT((((1003-43)*MAX('Inputs'!$B$33,'Inputs'!$B$29+'Inputs'!$B$31+'Inputs'!$B$32,'Inputs'!$B$30+'Inputs'!$B$31+'Inputs'!$B$32)/1000+'Inputs'!$B$21+'Inputs'!$B$7+'Inputs'!$B$10)+'Inputs'!$B$9)^2+('Inputs'!$B$8/2)^2)-(((1003-43)*MAX('Inputs'!$B$33,'Inputs'!$B$29+'Inputs'!$B$31+'Inputs'!$B$32,'Inputs'!$B$30+'Inputs'!$B$31+'Inputs'!$B$32)/1000+'Inputs'!$B$21+'Inputs'!$B$7+'Inputs'!$B$10))/SQRT((((1003-43)*MAX('Inputs'!$B$33,'Inputs'!$B$29+'Inputs'!$B$31+'Inputs'!$B$32,'Inputs'!$B$30+'Inputs'!$B$31+'Inputs'!$B$32)/1000+'Inputs'!$B$21+'Inputs'!$B$7+'Inputs'!$B$10))^2+('Inputs'!$B$8/2)^2))))*'Results'!$B$8)+'Inputs'!$B$28*ABS((('Results'!B7*(1+'Inputs'!$B$24)*(0.5*((((1003-43)*MAX('Inputs'!$B$33,'Inputs'!$B$29+'Inputs'!$B$31+'Inputs'!$B$32,'Inputs'!$B$30+'Inputs'!$B$31+'Inputs'!$B$32)/1000+'Inputs'!$B$21)+'Inputs'!$B$7)/SQRT((((1003-43)*MAX('Inputs'!$B$33,'Inputs'!$B$29+'Inputs'!$B$31+'Inputs'!$B$32,'Inputs'!$B$30+'Inputs'!$B$31+'Inputs'!$B$32)/1000+'Inputs'!$B$21)+'Inputs'!$B$7)^2+('Inputs'!$B$6/2)^2)-(((1003-43)*MAX('Inputs'!$B$33,'Inputs'!$B$29+'Inputs'!$B$31+'Inputs'!$B$32,'Inputs'!$B$30+'Inputs'!$B$31+'Inputs'!$B$32)/1000+'Inputs'!$B$21))/SQRT((((1003-43)*MAX('Inputs'!$B$33,'Inputs'!$B$29+'Inputs'!$B$31+'Inputs'!$B$32,'Inputs'!$B$30+'Inputs'!$B$31+'Inputs'!$B$32)/1000+'Inputs'!$B$21))^2+('Inputs'!$B$6/2)^2)))-'Results'!C7*(1-'Inputs'!$B$24)*(0.5*((((1003-43)*MAX('Inputs'!$B$33,'Inputs'!$B$29+'Inputs'!$B$31+'Inputs'!$B$32,'Inputs'!$B$30+'Inputs'!$B$31+'Inputs'!$B$32)/1000+'Inputs'!$B$21+'Inputs'!$B$7+'Inputs'!$B$10)+'Inputs'!$B$9)/SQRT((((1003-43)*MAX('Inputs'!$B$33,'Inputs'!$B$29+'Inputs'!$B$31+'Inputs'!$B$32,'Inputs'!$B$30+'Inputs'!$B$31+'Inputs'!$B$32)/1000+'Inputs'!$B$21+'Inputs'!$B$7+'Inputs'!$B$10)+'Inputs'!$B$9)^2+('Inputs'!$B$8/2)^2)-(((1003-43)*MAX('Inputs'!$B$33,'Inputs'!$B$29+'Inputs'!$B$31+'Inputs'!$B$32,'Inputs'!$B$30+'Inputs'!$B$31+'Inputs'!$B$32)/1000+'Inputs'!$B$21+'Inputs'!$B$7+'Inputs'!$B$10))/SQRT((((1003-43)*MAX('Inputs'!$B$33,'Inputs'!$B$29+'Inputs'!$B$31+'Inputs'!$B$32,'Inputs'!$B$30+'Inputs'!$B$31+'Inputs'!$B$32)/1000+'Inputs'!$B$21+'Inputs'!$B$7+'Inputs'!$B$10))^2+('Inputs'!$B$8/2)^2))))*'Results'!$B$8))),"")</x:f>
        <x:v>0.48535867516876097</x:v>
      </x:c>
      <x:c r="M1003" t="n">
        <x:f>IF(AND(ISNUMBER('Results'!C7),ISNUMBER('Results'!B7),ISNUMBER('Results'!$B$8),ISNUMBER('Inputs'!$B$6),ISNUMBER('Inputs'!$B$7),ISNUMBER('Inputs'!$B$8),ISNUMBER('Inputs'!$B$9),ISNUMBER('Inputs'!$B$10),ISNUMBER('Inputs'!$B$21),ISNUMBER('Inputs'!$B$24),ISNUMBER('Inputs'!$B$28)),(('Results'!C7*(0.5*((((1003-43)*MAX('Inputs'!$B$33,'Inputs'!$B$29+'Inputs'!$B$31+'Inputs'!$B$32,'Inputs'!$B$30+'Inputs'!$B$31+'Inputs'!$B$32)/1000+'Inputs'!$B$21)+'Inputs'!$B$9)/SQRT((((1003-43)*MAX('Inputs'!$B$33,'Inputs'!$B$29+'Inputs'!$B$31+'Inputs'!$B$32,'Inputs'!$B$30+'Inputs'!$B$31+'Inputs'!$B$32)/1000+'Inputs'!$B$21)+'Inputs'!$B$9)^2+('Inputs'!$B$8/2)^2)-(((1003-43)*MAX('Inputs'!$B$33,'Inputs'!$B$29+'Inputs'!$B$31+'Inputs'!$B$32,'Inputs'!$B$30+'Inputs'!$B$31+'Inputs'!$B$32)/1000+'Inputs'!$B$21))/SQRT((((1003-43)*MAX('Inputs'!$B$33,'Inputs'!$B$29+'Inputs'!$B$31+'Inputs'!$B$32,'Inputs'!$B$30+'Inputs'!$B$31+'Inputs'!$B$32)/1000+'Inputs'!$B$21))^2+('Inputs'!$B$8/2)^2)))-'Results'!B7*(0.5*((((1003-43)*MAX('Inputs'!$B$33,'Inputs'!$B$29+'Inputs'!$B$31+'Inputs'!$B$32,'Inputs'!$B$30+'Inputs'!$B$31+'Inputs'!$B$32)/1000+'Inputs'!$B$21+'Inputs'!$B$9+'Inputs'!$B$10)+'Inputs'!$B$7)/SQRT((((1003-43)*MAX('Inputs'!$B$33,'Inputs'!$B$29+'Inputs'!$B$31+'Inputs'!$B$32,'Inputs'!$B$30+'Inputs'!$B$31+'Inputs'!$B$32)/1000+'Inputs'!$B$21+'Inputs'!$B$9+'Inputs'!$B$10)+'Inputs'!$B$7)^2+('Inputs'!$B$6/2)^2)-(((1003-43)*MAX('Inputs'!$B$33,'Inputs'!$B$29+'Inputs'!$B$31+'Inputs'!$B$32,'Inputs'!$B$30+'Inputs'!$B$31+'Inputs'!$B$32)/1000+'Inputs'!$B$21+'Inputs'!$B$9+'Inputs'!$B$10))/SQRT((((1003-43)*MAX('Inputs'!$B$33,'Inputs'!$B$29+'Inputs'!$B$31+'Inputs'!$B$32,'Inputs'!$B$30+'Inputs'!$B$31+'Inputs'!$B$32)/1000+'Inputs'!$B$21+'Inputs'!$B$9+'Inputs'!$B$10))^2+('Inputs'!$B$6/2)^2))))*'Results'!$B$8),"")</x:f>
        <x:v>0.366273463199201</x:v>
      </x:c>
      <x:c r="N1003" t="n">
        <x:f>IF(AND(ISNUMBER('Results'!C7),ISNUMBER('Results'!B7),ISNUMBER('Results'!$B$8),ISNUMBER('Inputs'!$B$6),ISNUMBER('Inputs'!$B$7),ISNUMBER('Inputs'!$B$8),ISNUMBER('Inputs'!$B$9),ISNUMBER('Inputs'!$B$10),ISNUMBER('Inputs'!$B$21),ISNUMBER('Inputs'!$B$24),ISNUMBER('Inputs'!$B$28)),((('Results'!C7*(1-'Inputs'!$B$24)*(0.5*((((1003-43)*MAX('Inputs'!$B$33,'Inputs'!$B$29+'Inputs'!$B$31+'Inputs'!$B$32,'Inputs'!$B$30+'Inputs'!$B$31+'Inputs'!$B$32)/1000+'Inputs'!$B$21)+'Inputs'!$B$9)/SQRT((((1003-43)*MAX('Inputs'!$B$33,'Inputs'!$B$29+'Inputs'!$B$31+'Inputs'!$B$32,'Inputs'!$B$30+'Inputs'!$B$31+'Inputs'!$B$32)/1000+'Inputs'!$B$21)+'Inputs'!$B$9)^2+('Inputs'!$B$8/2)^2)-(((1003-43)*MAX('Inputs'!$B$33,'Inputs'!$B$29+'Inputs'!$B$31+'Inputs'!$B$32,'Inputs'!$B$30+'Inputs'!$B$31+'Inputs'!$B$32)/1000+'Inputs'!$B$21))/SQRT((((1003-43)*MAX('Inputs'!$B$33,'Inputs'!$B$29+'Inputs'!$B$31+'Inputs'!$B$32,'Inputs'!$B$30+'Inputs'!$B$31+'Inputs'!$B$32)/1000+'Inputs'!$B$21))^2+('Inputs'!$B$8/2)^2)))-'Results'!B7*(1+'Inputs'!$B$24)*(0.5*((((1003-43)*MAX('Inputs'!$B$33,'Inputs'!$B$29+'Inputs'!$B$31+'Inputs'!$B$32,'Inputs'!$B$30+'Inputs'!$B$31+'Inputs'!$B$32)/1000+'Inputs'!$B$21+'Inputs'!$B$9+'Inputs'!$B$10)+'Inputs'!$B$7)/SQRT((((1003-43)*MAX('Inputs'!$B$33,'Inputs'!$B$29+'Inputs'!$B$31+'Inputs'!$B$32,'Inputs'!$B$30+'Inputs'!$B$31+'Inputs'!$B$32)/1000+'Inputs'!$B$21+'Inputs'!$B$9+'Inputs'!$B$10)+'Inputs'!$B$7)^2+('Inputs'!$B$6/2)^2)-(((1003-43)*MAX('Inputs'!$B$33,'Inputs'!$B$29+'Inputs'!$B$31+'Inputs'!$B$32,'Inputs'!$B$30+'Inputs'!$B$31+'Inputs'!$B$32)/1000+'Inputs'!$B$21+'Inputs'!$B$9+'Inputs'!$B$10))/SQRT((((1003-43)*MAX('Inputs'!$B$33,'Inputs'!$B$29+'Inputs'!$B$31+'Inputs'!$B$32,'Inputs'!$B$30+'Inputs'!$B$31+'Inputs'!$B$32)/1000+'Inputs'!$B$21+'Inputs'!$B$9+'Inputs'!$B$10))^2+('Inputs'!$B$6/2)^2))))*'Results'!$B$8)-'Inputs'!$B$28*ABS((('Results'!C7*(1-'Inputs'!$B$24)*(0.5*((((1003-43)*MAX('Inputs'!$B$33,'Inputs'!$B$29+'Inputs'!$B$31+'Inputs'!$B$32,'Inputs'!$B$30+'Inputs'!$B$31+'Inputs'!$B$32)/1000+'Inputs'!$B$21)+'Inputs'!$B$9)/SQRT((((1003-43)*MAX('Inputs'!$B$33,'Inputs'!$B$29+'Inputs'!$B$31+'Inputs'!$B$32,'Inputs'!$B$30+'Inputs'!$B$31+'Inputs'!$B$32)/1000+'Inputs'!$B$21)+'Inputs'!$B$9)^2+('Inputs'!$B$8/2)^2)-(((1003-43)*MAX('Inputs'!$B$33,'Inputs'!$B$29+'Inputs'!$B$31+'Inputs'!$B$32,'Inputs'!$B$30+'Inputs'!$B$31+'Inputs'!$B$32)/1000+'Inputs'!$B$21))/SQRT((((1003-43)*MAX('Inputs'!$B$33,'Inputs'!$B$29+'Inputs'!$B$31+'Inputs'!$B$32,'Inputs'!$B$30+'Inputs'!$B$31+'Inputs'!$B$32)/1000+'Inputs'!$B$21))^2+('Inputs'!$B$8/2)^2)))-'Results'!B7*(1+'Inputs'!$B$24)*(0.5*((((1003-43)*MAX('Inputs'!$B$33,'Inputs'!$B$29+'Inputs'!$B$31+'Inputs'!$B$32,'Inputs'!$B$30+'Inputs'!$B$31+'Inputs'!$B$32)/1000+'Inputs'!$B$21+'Inputs'!$B$9+'Inputs'!$B$10)+'Inputs'!$B$7)/SQRT((((1003-43)*MAX('Inputs'!$B$33,'Inputs'!$B$29+'Inputs'!$B$31+'Inputs'!$B$32,'Inputs'!$B$30+'Inputs'!$B$31+'Inputs'!$B$32)/1000+'Inputs'!$B$21+'Inputs'!$B$9+'Inputs'!$B$10)+'Inputs'!$B$7)^2+('Inputs'!$B$6/2)^2)-(((1003-43)*MAX('Inputs'!$B$33,'Inputs'!$B$29+'Inputs'!$B$31+'Inputs'!$B$32,'Inputs'!$B$30+'Inputs'!$B$31+'Inputs'!$B$32)/1000+'Inputs'!$B$21+'Inputs'!$B$9+'Inputs'!$B$10))/SQRT((((1003-43)*MAX('Inputs'!$B$33,'Inputs'!$B$29+'Inputs'!$B$31+'Inputs'!$B$32,'Inputs'!$B$30+'Inputs'!$B$31+'Inputs'!$B$32)/1000+'Inputs'!$B$21+'Inputs'!$B$9+'Inputs'!$B$10))^2+('Inputs'!$B$6/2)^2))))*'Results'!$B$8))),"")</x:f>
        <x:v>0.30271393663536567</x:v>
      </x:c>
      <x:c r="O1003" t="n">
        <x:f>IF(AND(ISNUMBER('Results'!C7),ISNUMBER('Results'!B7),ISNUMBER('Results'!$B$8),ISNUMBER('Inputs'!$B$6),ISNUMBER('Inputs'!$B$7),ISNUMBER('Inputs'!$B$8),ISNUMBER('Inputs'!$B$9),ISNUMBER('Inputs'!$B$10),ISNUMBER('Inputs'!$B$21),ISNUMBER('Inputs'!$B$24),ISNUMBER('Inputs'!$B$28)),((('Results'!C7*(1+'Inputs'!$B$24)*(0.5*((((1003-43)*MAX('Inputs'!$B$33,'Inputs'!$B$29+'Inputs'!$B$31+'Inputs'!$B$32,'Inputs'!$B$30+'Inputs'!$B$31+'Inputs'!$B$32)/1000+'Inputs'!$B$21)+'Inputs'!$B$9)/SQRT((((1003-43)*MAX('Inputs'!$B$33,'Inputs'!$B$29+'Inputs'!$B$31+'Inputs'!$B$32,'Inputs'!$B$30+'Inputs'!$B$31+'Inputs'!$B$32)/1000+'Inputs'!$B$21)+'Inputs'!$B$9)^2+('Inputs'!$B$8/2)^2)-(((1003-43)*MAX('Inputs'!$B$33,'Inputs'!$B$29+'Inputs'!$B$31+'Inputs'!$B$32,'Inputs'!$B$30+'Inputs'!$B$31+'Inputs'!$B$32)/1000+'Inputs'!$B$21))/SQRT((((1003-43)*MAX('Inputs'!$B$33,'Inputs'!$B$29+'Inputs'!$B$31+'Inputs'!$B$32,'Inputs'!$B$30+'Inputs'!$B$31+'Inputs'!$B$32)/1000+'Inputs'!$B$21))^2+('Inputs'!$B$8/2)^2)))-'Results'!B7*(1-'Inputs'!$B$24)*(0.5*((((1003-43)*MAX('Inputs'!$B$33,'Inputs'!$B$29+'Inputs'!$B$31+'Inputs'!$B$32,'Inputs'!$B$30+'Inputs'!$B$31+'Inputs'!$B$32)/1000+'Inputs'!$B$21+'Inputs'!$B$9+'Inputs'!$B$10)+'Inputs'!$B$7)/SQRT((((1003-43)*MAX('Inputs'!$B$33,'Inputs'!$B$29+'Inputs'!$B$31+'Inputs'!$B$32,'Inputs'!$B$30+'Inputs'!$B$31+'Inputs'!$B$32)/1000+'Inputs'!$B$21+'Inputs'!$B$9+'Inputs'!$B$10)+'Inputs'!$B$7)^2+('Inputs'!$B$6/2)^2)-(((1003-43)*MAX('Inputs'!$B$33,'Inputs'!$B$29+'Inputs'!$B$31+'Inputs'!$B$32,'Inputs'!$B$30+'Inputs'!$B$31+'Inputs'!$B$32)/1000+'Inputs'!$B$21+'Inputs'!$B$9+'Inputs'!$B$10))/SQRT((((1003-43)*MAX('Inputs'!$B$33,'Inputs'!$B$29+'Inputs'!$B$31+'Inputs'!$B$32,'Inputs'!$B$30+'Inputs'!$B$31+'Inputs'!$B$32)/1000+'Inputs'!$B$21+'Inputs'!$B$9+'Inputs'!$B$10))^2+('Inputs'!$B$6/2)^2))))*'Results'!$B$8)+'Inputs'!$B$28*ABS((('Results'!C7*(1+'Inputs'!$B$24)*(0.5*((((1003-43)*MAX('Inputs'!$B$33,'Inputs'!$B$29+'Inputs'!$B$31+'Inputs'!$B$32,'Inputs'!$B$30+'Inputs'!$B$31+'Inputs'!$B$32)/1000+'Inputs'!$B$21)+'Inputs'!$B$9)/SQRT((((1003-43)*MAX('Inputs'!$B$33,'Inputs'!$B$29+'Inputs'!$B$31+'Inputs'!$B$32,'Inputs'!$B$30+'Inputs'!$B$31+'Inputs'!$B$32)/1000+'Inputs'!$B$21)+'Inputs'!$B$9)^2+('Inputs'!$B$8/2)^2)-(((1003-43)*MAX('Inputs'!$B$33,'Inputs'!$B$29+'Inputs'!$B$31+'Inputs'!$B$32,'Inputs'!$B$30+'Inputs'!$B$31+'Inputs'!$B$32)/1000+'Inputs'!$B$21))/SQRT((((1003-43)*MAX('Inputs'!$B$33,'Inputs'!$B$29+'Inputs'!$B$31+'Inputs'!$B$32,'Inputs'!$B$30+'Inputs'!$B$31+'Inputs'!$B$32)/1000+'Inputs'!$B$21))^2+('Inputs'!$B$8/2)^2)))-'Results'!B7*(1-'Inputs'!$B$24)*(0.5*((((1003-43)*MAX('Inputs'!$B$33,'Inputs'!$B$29+'Inputs'!$B$31+'Inputs'!$B$32,'Inputs'!$B$30+'Inputs'!$B$31+'Inputs'!$B$32)/1000+'Inputs'!$B$21+'Inputs'!$B$9+'Inputs'!$B$10)+'Inputs'!$B$7)/SQRT((((1003-43)*MAX('Inputs'!$B$33,'Inputs'!$B$29+'Inputs'!$B$31+'Inputs'!$B$32,'Inputs'!$B$30+'Inputs'!$B$31+'Inputs'!$B$32)/1000+'Inputs'!$B$21+'Inputs'!$B$9+'Inputs'!$B$10)+'Inputs'!$B$7)^2+('Inputs'!$B$6/2)^2)-(((1003-43)*MAX('Inputs'!$B$33,'Inputs'!$B$29+'Inputs'!$B$31+'Inputs'!$B$32,'Inputs'!$B$30+'Inputs'!$B$31+'Inputs'!$B$32)/1000+'Inputs'!$B$21+'Inputs'!$B$9+'Inputs'!$B$10))/SQRT((((1003-43)*MAX('Inputs'!$B$33,'Inputs'!$B$29+'Inputs'!$B$31+'Inputs'!$B$32,'Inputs'!$B$30+'Inputs'!$B$31+'Inputs'!$B$32)/1000+'Inputs'!$B$21+'Inputs'!$B$9+'Inputs'!$B$10))^2+('Inputs'!$B$6/2)^2))))*'Results'!$B$8))),"")</x:f>
        <x:v>0.4345957111739709</x:v>
      </x:c>
      <x:c r="P1003" t="n">
        <x:f>IF(AND(MAX(J1003,J1002)&gt;0,J1003&gt;J1002+0.00000001),1,0)</x:f>
        <x:v>0</x:v>
      </x:c>
      <x:c r="Q1003" t="n">
        <x:f>IF(AND(MAX(K1003,K1002)&gt;0,K1003&gt;K1002+0.00000001),1,0)</x:f>
        <x:v>0</x:v>
      </x:c>
      <x:c r="R1003" t="n">
        <x:f>IF(AND(MAX(L1003,L1002)&gt;0,L1003&gt;L1002+0.00000001),1,0)</x:f>
        <x:v>0</x:v>
      </x:c>
      <x:c r="S1003" t="n">
        <x:f>IF(AND(MAX(M1003,M1002)&gt;0,M1003&gt;M1002+0.00000001),1,0)</x:f>
        <x:v>0</x:v>
      </x:c>
      <x:c r="T1003" t="n">
        <x:f>IF(AND(MAX(N1003,N1002)&gt;0,N1003&gt;N1002+0.00000001),1,0)</x:f>
        <x:v>0</x:v>
      </x:c>
      <x:c r="U1003" t="n">
        <x:f>IF(AND(MAX(O1003,O1002)&gt;0,O1003&gt;O1002+0.00000001),1,0)</x:f>
        <x:v>0</x:v>
      </x:c>
    </x:row>
    <x:row r="1004">
      <x:c r="J1004" t="n">
        <x:f>IF(AND(ISNUMBER('Results'!B7),ISNUMBER('Results'!C7),ISNUMBER('Results'!$B$8),ISNUMBER('Inputs'!$B$6),ISNUMBER('Inputs'!$B$7),ISNUMBER('Inputs'!$B$8),ISNUMBER('Inputs'!$B$9),ISNUMBER('Inputs'!$B$10),ISNUMBER('Inputs'!$B$21),ISNUMBER('Inputs'!$B$24),ISNUMBER('Inputs'!$B$28)),(('Results'!B7*(0.5*((((1004-43)*MAX('Inputs'!$B$33,'Inputs'!$B$29+'Inputs'!$B$31+'Inputs'!$B$32,'Inputs'!$B$30+'Inputs'!$B$31+'Inputs'!$B$32)/1000+'Inputs'!$B$21)+'Inputs'!$B$7)/SQRT((((1004-43)*MAX('Inputs'!$B$33,'Inputs'!$B$29+'Inputs'!$B$31+'Inputs'!$B$32,'Inputs'!$B$30+'Inputs'!$B$31+'Inputs'!$B$32)/1000+'Inputs'!$B$21)+'Inputs'!$B$7)^2+('Inputs'!$B$6/2)^2)-(((1004-43)*MAX('Inputs'!$B$33,'Inputs'!$B$29+'Inputs'!$B$31+'Inputs'!$B$32,'Inputs'!$B$30+'Inputs'!$B$31+'Inputs'!$B$32)/1000+'Inputs'!$B$21))/SQRT((((1004-43)*MAX('Inputs'!$B$33,'Inputs'!$B$29+'Inputs'!$B$31+'Inputs'!$B$32,'Inputs'!$B$30+'Inputs'!$B$31+'Inputs'!$B$32)/1000+'Inputs'!$B$21))^2+('Inputs'!$B$6/2)^2)))-'Results'!C7*(0.5*((((1004-43)*MAX('Inputs'!$B$33,'Inputs'!$B$29+'Inputs'!$B$31+'Inputs'!$B$32,'Inputs'!$B$30+'Inputs'!$B$31+'Inputs'!$B$32)/1000+'Inputs'!$B$21+'Inputs'!$B$7+'Inputs'!$B$10)+'Inputs'!$B$9)/SQRT((((1004-43)*MAX('Inputs'!$B$33,'Inputs'!$B$29+'Inputs'!$B$31+'Inputs'!$B$32,'Inputs'!$B$30+'Inputs'!$B$31+'Inputs'!$B$32)/1000+'Inputs'!$B$21+'Inputs'!$B$7+'Inputs'!$B$10)+'Inputs'!$B$9)^2+('Inputs'!$B$8/2)^2)-(((1004-43)*MAX('Inputs'!$B$33,'Inputs'!$B$29+'Inputs'!$B$31+'Inputs'!$B$32,'Inputs'!$B$30+'Inputs'!$B$31+'Inputs'!$B$32)/1000+'Inputs'!$B$21+'Inputs'!$B$7+'Inputs'!$B$10))/SQRT((((1004-43)*MAX('Inputs'!$B$33,'Inputs'!$B$29+'Inputs'!$B$31+'Inputs'!$B$32,'Inputs'!$B$30+'Inputs'!$B$31+'Inputs'!$B$32)/1000+'Inputs'!$B$21+'Inputs'!$B$7+'Inputs'!$B$10))^2+('Inputs'!$B$8/2)^2))))*'Results'!$B$8),"")</x:f>
        <x:v>0.4128921350691503</x:v>
      </x:c>
      <x:c r="K1004" t="n">
        <x:f>IF(AND(ISNUMBER('Results'!B7),ISNUMBER('Results'!C7),ISNUMBER('Results'!$B$8),ISNUMBER('Inputs'!$B$6),ISNUMBER('Inputs'!$B$7),ISNUMBER('Inputs'!$B$8),ISNUMBER('Inputs'!$B$9),ISNUMBER('Inputs'!$B$10),ISNUMBER('Inputs'!$B$21),ISNUMBER('Inputs'!$B$24),ISNUMBER('Inputs'!$B$28)),((('Results'!B7*(1-'Inputs'!$B$24)*(0.5*((((1004-43)*MAX('Inputs'!$B$33,'Inputs'!$B$29+'Inputs'!$B$31+'Inputs'!$B$32,'Inputs'!$B$30+'Inputs'!$B$31+'Inputs'!$B$32)/1000+'Inputs'!$B$21)+'Inputs'!$B$7)/SQRT((((1004-43)*MAX('Inputs'!$B$33,'Inputs'!$B$29+'Inputs'!$B$31+'Inputs'!$B$32,'Inputs'!$B$30+'Inputs'!$B$31+'Inputs'!$B$32)/1000+'Inputs'!$B$21)+'Inputs'!$B$7)^2+('Inputs'!$B$6/2)^2)-(((1004-43)*MAX('Inputs'!$B$33,'Inputs'!$B$29+'Inputs'!$B$31+'Inputs'!$B$32,'Inputs'!$B$30+'Inputs'!$B$31+'Inputs'!$B$32)/1000+'Inputs'!$B$21))/SQRT((((1004-43)*MAX('Inputs'!$B$33,'Inputs'!$B$29+'Inputs'!$B$31+'Inputs'!$B$32,'Inputs'!$B$30+'Inputs'!$B$31+'Inputs'!$B$32)/1000+'Inputs'!$B$21))^2+('Inputs'!$B$6/2)^2)))-'Results'!C7*(1+'Inputs'!$B$24)*(0.5*((((1004-43)*MAX('Inputs'!$B$33,'Inputs'!$B$29+'Inputs'!$B$31+'Inputs'!$B$32,'Inputs'!$B$30+'Inputs'!$B$31+'Inputs'!$B$32)/1000+'Inputs'!$B$21+'Inputs'!$B$7+'Inputs'!$B$10)+'Inputs'!$B$9)/SQRT((((1004-43)*MAX('Inputs'!$B$33,'Inputs'!$B$29+'Inputs'!$B$31+'Inputs'!$B$32,'Inputs'!$B$30+'Inputs'!$B$31+'Inputs'!$B$32)/1000+'Inputs'!$B$21+'Inputs'!$B$7+'Inputs'!$B$10)+'Inputs'!$B$9)^2+('Inputs'!$B$8/2)^2)-(((1004-43)*MAX('Inputs'!$B$33,'Inputs'!$B$29+'Inputs'!$B$31+'Inputs'!$B$32,'Inputs'!$B$30+'Inputs'!$B$31+'Inputs'!$B$32)/1000+'Inputs'!$B$21+'Inputs'!$B$7+'Inputs'!$B$10))/SQRT((((1004-43)*MAX('Inputs'!$B$33,'Inputs'!$B$29+'Inputs'!$B$31+'Inputs'!$B$32,'Inputs'!$B$30+'Inputs'!$B$31+'Inputs'!$B$32)/1000+'Inputs'!$B$21+'Inputs'!$B$7+'Inputs'!$B$10))^2+('Inputs'!$B$8/2)^2))))*'Results'!$B$8)-'Inputs'!$B$28*ABS((('Results'!B7*(1-'Inputs'!$B$24)*(0.5*((((1004-43)*MAX('Inputs'!$B$33,'Inputs'!$B$29+'Inputs'!$B$31+'Inputs'!$B$32,'Inputs'!$B$30+'Inputs'!$B$31+'Inputs'!$B$32)/1000+'Inputs'!$B$21)+'Inputs'!$B$7)/SQRT((((1004-43)*MAX('Inputs'!$B$33,'Inputs'!$B$29+'Inputs'!$B$31+'Inputs'!$B$32,'Inputs'!$B$30+'Inputs'!$B$31+'Inputs'!$B$32)/1000+'Inputs'!$B$21)+'Inputs'!$B$7)^2+('Inputs'!$B$6/2)^2)-(((1004-43)*MAX('Inputs'!$B$33,'Inputs'!$B$29+'Inputs'!$B$31+'Inputs'!$B$32,'Inputs'!$B$30+'Inputs'!$B$31+'Inputs'!$B$32)/1000+'Inputs'!$B$21))/SQRT((((1004-43)*MAX('Inputs'!$B$33,'Inputs'!$B$29+'Inputs'!$B$31+'Inputs'!$B$32,'Inputs'!$B$30+'Inputs'!$B$31+'Inputs'!$B$32)/1000+'Inputs'!$B$21))^2+('Inputs'!$B$6/2)^2)))-'Results'!C7*(1+'Inputs'!$B$24)*(0.5*((((1004-43)*MAX('Inputs'!$B$33,'Inputs'!$B$29+'Inputs'!$B$31+'Inputs'!$B$32,'Inputs'!$B$30+'Inputs'!$B$31+'Inputs'!$B$32)/1000+'Inputs'!$B$21+'Inputs'!$B$7+'Inputs'!$B$10)+'Inputs'!$B$9)/SQRT((((1004-43)*MAX('Inputs'!$B$33,'Inputs'!$B$29+'Inputs'!$B$31+'Inputs'!$B$32,'Inputs'!$B$30+'Inputs'!$B$31+'Inputs'!$B$32)/1000+'Inputs'!$B$21+'Inputs'!$B$7+'Inputs'!$B$10)+'Inputs'!$B$9)^2+('Inputs'!$B$8/2)^2)-(((1004-43)*MAX('Inputs'!$B$33,'Inputs'!$B$29+'Inputs'!$B$31+'Inputs'!$B$32,'Inputs'!$B$30+'Inputs'!$B$31+'Inputs'!$B$32)/1000+'Inputs'!$B$21+'Inputs'!$B$7+'Inputs'!$B$10))/SQRT((((1004-43)*MAX('Inputs'!$B$33,'Inputs'!$B$29+'Inputs'!$B$31+'Inputs'!$B$32,'Inputs'!$B$30+'Inputs'!$B$31+'Inputs'!$B$32)/1000+'Inputs'!$B$21+'Inputs'!$B$7+'Inputs'!$B$10))^2+('Inputs'!$B$8/2)^2))))*'Results'!$B$8))),"")</x:f>
        <x:v>0.34698381477429263</x:v>
      </x:c>
      <x:c r="L1004" t="n">
        <x:f>IF(AND(ISNUMBER('Results'!B7),ISNUMBER('Results'!C7),ISNUMBER('Results'!$B$8),ISNUMBER('Inputs'!$B$6),ISNUMBER('Inputs'!$B$7),ISNUMBER('Inputs'!$B$8),ISNUMBER('Inputs'!$B$9),ISNUMBER('Inputs'!$B$10),ISNUMBER('Inputs'!$B$21),ISNUMBER('Inputs'!$B$24),ISNUMBER('Inputs'!$B$28)),((('Results'!B7*(1+'Inputs'!$B$24)*(0.5*((((1004-43)*MAX('Inputs'!$B$33,'Inputs'!$B$29+'Inputs'!$B$31+'Inputs'!$B$32,'Inputs'!$B$30+'Inputs'!$B$31+'Inputs'!$B$32)/1000+'Inputs'!$B$21)+'Inputs'!$B$7)/SQRT((((1004-43)*MAX('Inputs'!$B$33,'Inputs'!$B$29+'Inputs'!$B$31+'Inputs'!$B$32,'Inputs'!$B$30+'Inputs'!$B$31+'Inputs'!$B$32)/1000+'Inputs'!$B$21)+'Inputs'!$B$7)^2+('Inputs'!$B$6/2)^2)-(((1004-43)*MAX('Inputs'!$B$33,'Inputs'!$B$29+'Inputs'!$B$31+'Inputs'!$B$32,'Inputs'!$B$30+'Inputs'!$B$31+'Inputs'!$B$32)/1000+'Inputs'!$B$21))/SQRT((((1004-43)*MAX('Inputs'!$B$33,'Inputs'!$B$29+'Inputs'!$B$31+'Inputs'!$B$32,'Inputs'!$B$30+'Inputs'!$B$31+'Inputs'!$B$32)/1000+'Inputs'!$B$21))^2+('Inputs'!$B$6/2)^2)))-'Results'!C7*(1-'Inputs'!$B$24)*(0.5*((((1004-43)*MAX('Inputs'!$B$33,'Inputs'!$B$29+'Inputs'!$B$31+'Inputs'!$B$32,'Inputs'!$B$30+'Inputs'!$B$31+'Inputs'!$B$32)/1000+'Inputs'!$B$21+'Inputs'!$B$7+'Inputs'!$B$10)+'Inputs'!$B$9)/SQRT((((1004-43)*MAX('Inputs'!$B$33,'Inputs'!$B$29+'Inputs'!$B$31+'Inputs'!$B$32,'Inputs'!$B$30+'Inputs'!$B$31+'Inputs'!$B$32)/1000+'Inputs'!$B$21+'Inputs'!$B$7+'Inputs'!$B$10)+'Inputs'!$B$9)^2+('Inputs'!$B$8/2)^2)-(((1004-43)*MAX('Inputs'!$B$33,'Inputs'!$B$29+'Inputs'!$B$31+'Inputs'!$B$32,'Inputs'!$B$30+'Inputs'!$B$31+'Inputs'!$B$32)/1000+'Inputs'!$B$21+'Inputs'!$B$7+'Inputs'!$B$10))/SQRT((((1004-43)*MAX('Inputs'!$B$33,'Inputs'!$B$29+'Inputs'!$B$31+'Inputs'!$B$32,'Inputs'!$B$30+'Inputs'!$B$31+'Inputs'!$B$32)/1000+'Inputs'!$B$21+'Inputs'!$B$7+'Inputs'!$B$10))^2+('Inputs'!$B$8/2)^2))))*'Results'!$B$8)+'Inputs'!$B$28*ABS((('Results'!B7*(1+'Inputs'!$B$24)*(0.5*((((1004-43)*MAX('Inputs'!$B$33,'Inputs'!$B$29+'Inputs'!$B$31+'Inputs'!$B$32,'Inputs'!$B$30+'Inputs'!$B$31+'Inputs'!$B$32)/1000+'Inputs'!$B$21)+'Inputs'!$B$7)/SQRT((((1004-43)*MAX('Inputs'!$B$33,'Inputs'!$B$29+'Inputs'!$B$31+'Inputs'!$B$32,'Inputs'!$B$30+'Inputs'!$B$31+'Inputs'!$B$32)/1000+'Inputs'!$B$21)+'Inputs'!$B$7)^2+('Inputs'!$B$6/2)^2)-(((1004-43)*MAX('Inputs'!$B$33,'Inputs'!$B$29+'Inputs'!$B$31+'Inputs'!$B$32,'Inputs'!$B$30+'Inputs'!$B$31+'Inputs'!$B$32)/1000+'Inputs'!$B$21))/SQRT((((1004-43)*MAX('Inputs'!$B$33,'Inputs'!$B$29+'Inputs'!$B$31+'Inputs'!$B$32,'Inputs'!$B$30+'Inputs'!$B$31+'Inputs'!$B$32)/1000+'Inputs'!$B$21))^2+('Inputs'!$B$6/2)^2)))-'Results'!C7*(1-'Inputs'!$B$24)*(0.5*((((1004-43)*MAX('Inputs'!$B$33,'Inputs'!$B$29+'Inputs'!$B$31+'Inputs'!$B$32,'Inputs'!$B$30+'Inputs'!$B$31+'Inputs'!$B$32)/1000+'Inputs'!$B$21+'Inputs'!$B$7+'Inputs'!$B$10)+'Inputs'!$B$9)/SQRT((((1004-43)*MAX('Inputs'!$B$33,'Inputs'!$B$29+'Inputs'!$B$31+'Inputs'!$B$32,'Inputs'!$B$30+'Inputs'!$B$31+'Inputs'!$B$32)/1000+'Inputs'!$B$21+'Inputs'!$B$7+'Inputs'!$B$10)+'Inputs'!$B$9)^2+('Inputs'!$B$8/2)^2)-(((1004-43)*MAX('Inputs'!$B$33,'Inputs'!$B$29+'Inputs'!$B$31+'Inputs'!$B$32,'Inputs'!$B$30+'Inputs'!$B$31+'Inputs'!$B$32)/1000+'Inputs'!$B$21+'Inputs'!$B$7+'Inputs'!$B$10))/SQRT((((1004-43)*MAX('Inputs'!$B$33,'Inputs'!$B$29+'Inputs'!$B$31+'Inputs'!$B$32,'Inputs'!$B$30+'Inputs'!$B$31+'Inputs'!$B$32)/1000+'Inputs'!$B$21+'Inputs'!$B$7+'Inputs'!$B$10))^2+('Inputs'!$B$8/2)^2))))*'Results'!$B$8))),"")</x:f>
        <x:v>0.48356505678941875</x:v>
      </x:c>
      <x:c r="M1004" t="n">
        <x:f>IF(AND(ISNUMBER('Results'!C7),ISNUMBER('Results'!B7),ISNUMBER('Results'!$B$8),ISNUMBER('Inputs'!$B$6),ISNUMBER('Inputs'!$B$7),ISNUMBER('Inputs'!$B$8),ISNUMBER('Inputs'!$B$9),ISNUMBER('Inputs'!$B$10),ISNUMBER('Inputs'!$B$21),ISNUMBER('Inputs'!$B$24),ISNUMBER('Inputs'!$B$28)),(('Results'!C7*(0.5*((((1004-43)*MAX('Inputs'!$B$33,'Inputs'!$B$29+'Inputs'!$B$31+'Inputs'!$B$32,'Inputs'!$B$30+'Inputs'!$B$31+'Inputs'!$B$32)/1000+'Inputs'!$B$21)+'Inputs'!$B$9)/SQRT((((1004-43)*MAX('Inputs'!$B$33,'Inputs'!$B$29+'Inputs'!$B$31+'Inputs'!$B$32,'Inputs'!$B$30+'Inputs'!$B$31+'Inputs'!$B$32)/1000+'Inputs'!$B$21)+'Inputs'!$B$9)^2+('Inputs'!$B$8/2)^2)-(((1004-43)*MAX('Inputs'!$B$33,'Inputs'!$B$29+'Inputs'!$B$31+'Inputs'!$B$32,'Inputs'!$B$30+'Inputs'!$B$31+'Inputs'!$B$32)/1000+'Inputs'!$B$21))/SQRT((((1004-43)*MAX('Inputs'!$B$33,'Inputs'!$B$29+'Inputs'!$B$31+'Inputs'!$B$32,'Inputs'!$B$30+'Inputs'!$B$31+'Inputs'!$B$32)/1000+'Inputs'!$B$21))^2+('Inputs'!$B$8/2)^2)))-'Results'!B7*(0.5*((((1004-43)*MAX('Inputs'!$B$33,'Inputs'!$B$29+'Inputs'!$B$31+'Inputs'!$B$32,'Inputs'!$B$30+'Inputs'!$B$31+'Inputs'!$B$32)/1000+'Inputs'!$B$21+'Inputs'!$B$9+'Inputs'!$B$10)+'Inputs'!$B$7)/SQRT((((1004-43)*MAX('Inputs'!$B$33,'Inputs'!$B$29+'Inputs'!$B$31+'Inputs'!$B$32,'Inputs'!$B$30+'Inputs'!$B$31+'Inputs'!$B$32)/1000+'Inputs'!$B$21+'Inputs'!$B$9+'Inputs'!$B$10)+'Inputs'!$B$7)^2+('Inputs'!$B$6/2)^2)-(((1004-43)*MAX('Inputs'!$B$33,'Inputs'!$B$29+'Inputs'!$B$31+'Inputs'!$B$32,'Inputs'!$B$30+'Inputs'!$B$31+'Inputs'!$B$32)/1000+'Inputs'!$B$21+'Inputs'!$B$9+'Inputs'!$B$10))/SQRT((((1004-43)*MAX('Inputs'!$B$33,'Inputs'!$B$29+'Inputs'!$B$31+'Inputs'!$B$32,'Inputs'!$B$30+'Inputs'!$B$31+'Inputs'!$B$32)/1000+'Inputs'!$B$21+'Inputs'!$B$9+'Inputs'!$B$10))^2+('Inputs'!$B$6/2)^2))))*'Results'!$B$8),"")</x:f>
        <x:v>0.3648442006971601</x:v>
      </x:c>
      <x:c r="N1004" t="n">
        <x:f>IF(AND(ISNUMBER('Results'!C7),ISNUMBER('Results'!B7),ISNUMBER('Results'!$B$8),ISNUMBER('Inputs'!$B$6),ISNUMBER('Inputs'!$B$7),ISNUMBER('Inputs'!$B$8),ISNUMBER('Inputs'!$B$9),ISNUMBER('Inputs'!$B$10),ISNUMBER('Inputs'!$B$21),ISNUMBER('Inputs'!$B$24),ISNUMBER('Inputs'!$B$28)),((('Results'!C7*(1-'Inputs'!$B$24)*(0.5*((((1004-43)*MAX('Inputs'!$B$33,'Inputs'!$B$29+'Inputs'!$B$31+'Inputs'!$B$32,'Inputs'!$B$30+'Inputs'!$B$31+'Inputs'!$B$32)/1000+'Inputs'!$B$21)+'Inputs'!$B$9)/SQRT((((1004-43)*MAX('Inputs'!$B$33,'Inputs'!$B$29+'Inputs'!$B$31+'Inputs'!$B$32,'Inputs'!$B$30+'Inputs'!$B$31+'Inputs'!$B$32)/1000+'Inputs'!$B$21)+'Inputs'!$B$9)^2+('Inputs'!$B$8/2)^2)-(((1004-43)*MAX('Inputs'!$B$33,'Inputs'!$B$29+'Inputs'!$B$31+'Inputs'!$B$32,'Inputs'!$B$30+'Inputs'!$B$31+'Inputs'!$B$32)/1000+'Inputs'!$B$21))/SQRT((((1004-43)*MAX('Inputs'!$B$33,'Inputs'!$B$29+'Inputs'!$B$31+'Inputs'!$B$32,'Inputs'!$B$30+'Inputs'!$B$31+'Inputs'!$B$32)/1000+'Inputs'!$B$21))^2+('Inputs'!$B$8/2)^2)))-'Results'!B7*(1+'Inputs'!$B$24)*(0.5*((((1004-43)*MAX('Inputs'!$B$33,'Inputs'!$B$29+'Inputs'!$B$31+'Inputs'!$B$32,'Inputs'!$B$30+'Inputs'!$B$31+'Inputs'!$B$32)/1000+'Inputs'!$B$21+'Inputs'!$B$9+'Inputs'!$B$10)+'Inputs'!$B$7)/SQRT((((1004-43)*MAX('Inputs'!$B$33,'Inputs'!$B$29+'Inputs'!$B$31+'Inputs'!$B$32,'Inputs'!$B$30+'Inputs'!$B$31+'Inputs'!$B$32)/1000+'Inputs'!$B$21+'Inputs'!$B$9+'Inputs'!$B$10)+'Inputs'!$B$7)^2+('Inputs'!$B$6/2)^2)-(((1004-43)*MAX('Inputs'!$B$33,'Inputs'!$B$29+'Inputs'!$B$31+'Inputs'!$B$32,'Inputs'!$B$30+'Inputs'!$B$31+'Inputs'!$B$32)/1000+'Inputs'!$B$21+'Inputs'!$B$9+'Inputs'!$B$10))/SQRT((((1004-43)*MAX('Inputs'!$B$33,'Inputs'!$B$29+'Inputs'!$B$31+'Inputs'!$B$32,'Inputs'!$B$30+'Inputs'!$B$31+'Inputs'!$B$32)/1000+'Inputs'!$B$21+'Inputs'!$B$9+'Inputs'!$B$10))^2+('Inputs'!$B$6/2)^2))))*'Results'!$B$8)-'Inputs'!$B$28*ABS((('Results'!C7*(1-'Inputs'!$B$24)*(0.5*((((1004-43)*MAX('Inputs'!$B$33,'Inputs'!$B$29+'Inputs'!$B$31+'Inputs'!$B$32,'Inputs'!$B$30+'Inputs'!$B$31+'Inputs'!$B$32)/1000+'Inputs'!$B$21)+'Inputs'!$B$9)/SQRT((((1004-43)*MAX('Inputs'!$B$33,'Inputs'!$B$29+'Inputs'!$B$31+'Inputs'!$B$32,'Inputs'!$B$30+'Inputs'!$B$31+'Inputs'!$B$32)/1000+'Inputs'!$B$21)+'Inputs'!$B$9)^2+('Inputs'!$B$8/2)^2)-(((1004-43)*MAX('Inputs'!$B$33,'Inputs'!$B$29+'Inputs'!$B$31+'Inputs'!$B$32,'Inputs'!$B$30+'Inputs'!$B$31+'Inputs'!$B$32)/1000+'Inputs'!$B$21))/SQRT((((1004-43)*MAX('Inputs'!$B$33,'Inputs'!$B$29+'Inputs'!$B$31+'Inputs'!$B$32,'Inputs'!$B$30+'Inputs'!$B$31+'Inputs'!$B$32)/1000+'Inputs'!$B$21))^2+('Inputs'!$B$8/2)^2)))-'Results'!B7*(1+'Inputs'!$B$24)*(0.5*((((1004-43)*MAX('Inputs'!$B$33,'Inputs'!$B$29+'Inputs'!$B$31+'Inputs'!$B$32,'Inputs'!$B$30+'Inputs'!$B$31+'Inputs'!$B$32)/1000+'Inputs'!$B$21+'Inputs'!$B$9+'Inputs'!$B$10)+'Inputs'!$B$7)/SQRT((((1004-43)*MAX('Inputs'!$B$33,'Inputs'!$B$29+'Inputs'!$B$31+'Inputs'!$B$32,'Inputs'!$B$30+'Inputs'!$B$31+'Inputs'!$B$32)/1000+'Inputs'!$B$21+'Inputs'!$B$9+'Inputs'!$B$10)+'Inputs'!$B$7)^2+('Inputs'!$B$6/2)^2)-(((1004-43)*MAX('Inputs'!$B$33,'Inputs'!$B$29+'Inputs'!$B$31+'Inputs'!$B$32,'Inputs'!$B$30+'Inputs'!$B$31+'Inputs'!$B$32)/1000+'Inputs'!$B$21+'Inputs'!$B$9+'Inputs'!$B$10))/SQRT((((1004-43)*MAX('Inputs'!$B$33,'Inputs'!$B$29+'Inputs'!$B$31+'Inputs'!$B$32,'Inputs'!$B$30+'Inputs'!$B$31+'Inputs'!$B$32)/1000+'Inputs'!$B$21+'Inputs'!$B$9+'Inputs'!$B$10))^2+('Inputs'!$B$6/2)^2))))*'Results'!$B$8))),"")</x:f>
        <x:v>0.30148753964998826</x:v>
      </x:c>
      <x:c r="O1004" t="n">
        <x:f>IF(AND(ISNUMBER('Results'!C7),ISNUMBER('Results'!B7),ISNUMBER('Results'!$B$8),ISNUMBER('Inputs'!$B$6),ISNUMBER('Inputs'!$B$7),ISNUMBER('Inputs'!$B$8),ISNUMBER('Inputs'!$B$9),ISNUMBER('Inputs'!$B$10),ISNUMBER('Inputs'!$B$21),ISNUMBER('Inputs'!$B$24),ISNUMBER('Inputs'!$B$28)),((('Results'!C7*(1+'Inputs'!$B$24)*(0.5*((((1004-43)*MAX('Inputs'!$B$33,'Inputs'!$B$29+'Inputs'!$B$31+'Inputs'!$B$32,'Inputs'!$B$30+'Inputs'!$B$31+'Inputs'!$B$32)/1000+'Inputs'!$B$21)+'Inputs'!$B$9)/SQRT((((1004-43)*MAX('Inputs'!$B$33,'Inputs'!$B$29+'Inputs'!$B$31+'Inputs'!$B$32,'Inputs'!$B$30+'Inputs'!$B$31+'Inputs'!$B$32)/1000+'Inputs'!$B$21)+'Inputs'!$B$9)^2+('Inputs'!$B$8/2)^2)-(((1004-43)*MAX('Inputs'!$B$33,'Inputs'!$B$29+'Inputs'!$B$31+'Inputs'!$B$32,'Inputs'!$B$30+'Inputs'!$B$31+'Inputs'!$B$32)/1000+'Inputs'!$B$21))/SQRT((((1004-43)*MAX('Inputs'!$B$33,'Inputs'!$B$29+'Inputs'!$B$31+'Inputs'!$B$32,'Inputs'!$B$30+'Inputs'!$B$31+'Inputs'!$B$32)/1000+'Inputs'!$B$21))^2+('Inputs'!$B$8/2)^2)))-'Results'!B7*(1-'Inputs'!$B$24)*(0.5*((((1004-43)*MAX('Inputs'!$B$33,'Inputs'!$B$29+'Inputs'!$B$31+'Inputs'!$B$32,'Inputs'!$B$30+'Inputs'!$B$31+'Inputs'!$B$32)/1000+'Inputs'!$B$21+'Inputs'!$B$9+'Inputs'!$B$10)+'Inputs'!$B$7)/SQRT((((1004-43)*MAX('Inputs'!$B$33,'Inputs'!$B$29+'Inputs'!$B$31+'Inputs'!$B$32,'Inputs'!$B$30+'Inputs'!$B$31+'Inputs'!$B$32)/1000+'Inputs'!$B$21+'Inputs'!$B$9+'Inputs'!$B$10)+'Inputs'!$B$7)^2+('Inputs'!$B$6/2)^2)-(((1004-43)*MAX('Inputs'!$B$33,'Inputs'!$B$29+'Inputs'!$B$31+'Inputs'!$B$32,'Inputs'!$B$30+'Inputs'!$B$31+'Inputs'!$B$32)/1000+'Inputs'!$B$21+'Inputs'!$B$9+'Inputs'!$B$10))/SQRT((((1004-43)*MAX('Inputs'!$B$33,'Inputs'!$B$29+'Inputs'!$B$31+'Inputs'!$B$32,'Inputs'!$B$30+'Inputs'!$B$31+'Inputs'!$B$32)/1000+'Inputs'!$B$21+'Inputs'!$B$9+'Inputs'!$B$10))^2+('Inputs'!$B$6/2)^2))))*'Results'!$B$8)+'Inputs'!$B$28*ABS((('Results'!C7*(1+'Inputs'!$B$24)*(0.5*((((1004-43)*MAX('Inputs'!$B$33,'Inputs'!$B$29+'Inputs'!$B$31+'Inputs'!$B$32,'Inputs'!$B$30+'Inputs'!$B$31+'Inputs'!$B$32)/1000+'Inputs'!$B$21)+'Inputs'!$B$9)/SQRT((((1004-43)*MAX('Inputs'!$B$33,'Inputs'!$B$29+'Inputs'!$B$31+'Inputs'!$B$32,'Inputs'!$B$30+'Inputs'!$B$31+'Inputs'!$B$32)/1000+'Inputs'!$B$21)+'Inputs'!$B$9)^2+('Inputs'!$B$8/2)^2)-(((1004-43)*MAX('Inputs'!$B$33,'Inputs'!$B$29+'Inputs'!$B$31+'Inputs'!$B$32,'Inputs'!$B$30+'Inputs'!$B$31+'Inputs'!$B$32)/1000+'Inputs'!$B$21))/SQRT((((1004-43)*MAX('Inputs'!$B$33,'Inputs'!$B$29+'Inputs'!$B$31+'Inputs'!$B$32,'Inputs'!$B$30+'Inputs'!$B$31+'Inputs'!$B$32)/1000+'Inputs'!$B$21))^2+('Inputs'!$B$8/2)^2)))-'Results'!B7*(1-'Inputs'!$B$24)*(0.5*((((1004-43)*MAX('Inputs'!$B$33,'Inputs'!$B$29+'Inputs'!$B$31+'Inputs'!$B$32,'Inputs'!$B$30+'Inputs'!$B$31+'Inputs'!$B$32)/1000+'Inputs'!$B$21+'Inputs'!$B$9+'Inputs'!$B$10)+'Inputs'!$B$7)/SQRT((((1004-43)*MAX('Inputs'!$B$33,'Inputs'!$B$29+'Inputs'!$B$31+'Inputs'!$B$32,'Inputs'!$B$30+'Inputs'!$B$31+'Inputs'!$B$32)/1000+'Inputs'!$B$21+'Inputs'!$B$9+'Inputs'!$B$10)+'Inputs'!$B$7)^2+('Inputs'!$B$6/2)^2)-(((1004-43)*MAX('Inputs'!$B$33,'Inputs'!$B$29+'Inputs'!$B$31+'Inputs'!$B$32,'Inputs'!$B$30+'Inputs'!$B$31+'Inputs'!$B$32)/1000+'Inputs'!$B$21+'Inputs'!$B$9+'Inputs'!$B$10))/SQRT((((1004-43)*MAX('Inputs'!$B$33,'Inputs'!$B$29+'Inputs'!$B$31+'Inputs'!$B$32,'Inputs'!$B$30+'Inputs'!$B$31+'Inputs'!$B$32)/1000+'Inputs'!$B$21+'Inputs'!$B$9+'Inputs'!$B$10))^2+('Inputs'!$B$6/2)^2))))*'Results'!$B$8))),"")</x:f>
        <x:v>0.4329497513245753</x:v>
      </x:c>
      <x:c r="P1004" t="n">
        <x:f>IF(AND(MAX(J1004,J1003)&gt;0,J1004&gt;J1003+0.00000001),1,0)</x:f>
        <x:v>0</x:v>
      </x:c>
      <x:c r="Q1004" t="n">
        <x:f>IF(AND(MAX(K1004,K1003)&gt;0,K1004&gt;K1003+0.00000001),1,0)</x:f>
        <x:v>0</x:v>
      </x:c>
      <x:c r="R1004" t="n">
        <x:f>IF(AND(MAX(L1004,L1003)&gt;0,L1004&gt;L1003+0.00000001),1,0)</x:f>
        <x:v>0</x:v>
      </x:c>
      <x:c r="S1004" t="n">
        <x:f>IF(AND(MAX(M1004,M1003)&gt;0,M1004&gt;M1003+0.00000001),1,0)</x:f>
        <x:v>0</x:v>
      </x:c>
      <x:c r="T1004" t="n">
        <x:f>IF(AND(MAX(N1004,N1003)&gt;0,N1004&gt;N1003+0.00000001),1,0)</x:f>
        <x:v>0</x:v>
      </x:c>
      <x:c r="U1004" t="n">
        <x:f>IF(AND(MAX(O1004,O1003)&gt;0,O1004&gt;O1003+0.00000001),1,0)</x:f>
        <x:v>0</x:v>
      </x:c>
    </x:row>
    <x:row r="1005">
      <x:c r="J1005" t="n">
        <x:f>IF(AND(ISNUMBER('Results'!B7),ISNUMBER('Results'!C7),ISNUMBER('Results'!$B$8),ISNUMBER('Inputs'!$B$6),ISNUMBER('Inputs'!$B$7),ISNUMBER('Inputs'!$B$8),ISNUMBER('Inputs'!$B$9),ISNUMBER('Inputs'!$B$10),ISNUMBER('Inputs'!$B$21),ISNUMBER('Inputs'!$B$24),ISNUMBER('Inputs'!$B$28)),(('Results'!B7*(0.5*((((1005-43)*MAX('Inputs'!$B$33,'Inputs'!$B$29+'Inputs'!$B$31+'Inputs'!$B$32,'Inputs'!$B$30+'Inputs'!$B$31+'Inputs'!$B$32)/1000+'Inputs'!$B$21)+'Inputs'!$B$7)/SQRT((((1005-43)*MAX('Inputs'!$B$33,'Inputs'!$B$29+'Inputs'!$B$31+'Inputs'!$B$32,'Inputs'!$B$30+'Inputs'!$B$31+'Inputs'!$B$32)/1000+'Inputs'!$B$21)+'Inputs'!$B$7)^2+('Inputs'!$B$6/2)^2)-(((1005-43)*MAX('Inputs'!$B$33,'Inputs'!$B$29+'Inputs'!$B$31+'Inputs'!$B$32,'Inputs'!$B$30+'Inputs'!$B$31+'Inputs'!$B$32)/1000+'Inputs'!$B$21))/SQRT((((1005-43)*MAX('Inputs'!$B$33,'Inputs'!$B$29+'Inputs'!$B$31+'Inputs'!$B$32,'Inputs'!$B$30+'Inputs'!$B$31+'Inputs'!$B$32)/1000+'Inputs'!$B$21))^2+('Inputs'!$B$6/2)^2)))-'Results'!C7*(0.5*((((1005-43)*MAX('Inputs'!$B$33,'Inputs'!$B$29+'Inputs'!$B$31+'Inputs'!$B$32,'Inputs'!$B$30+'Inputs'!$B$31+'Inputs'!$B$32)/1000+'Inputs'!$B$21+'Inputs'!$B$7+'Inputs'!$B$10)+'Inputs'!$B$9)/SQRT((((1005-43)*MAX('Inputs'!$B$33,'Inputs'!$B$29+'Inputs'!$B$31+'Inputs'!$B$32,'Inputs'!$B$30+'Inputs'!$B$31+'Inputs'!$B$32)/1000+'Inputs'!$B$21+'Inputs'!$B$7+'Inputs'!$B$10)+'Inputs'!$B$9)^2+('Inputs'!$B$8/2)^2)-(((1005-43)*MAX('Inputs'!$B$33,'Inputs'!$B$29+'Inputs'!$B$31+'Inputs'!$B$32,'Inputs'!$B$30+'Inputs'!$B$31+'Inputs'!$B$32)/1000+'Inputs'!$B$21+'Inputs'!$B$7+'Inputs'!$B$10))/SQRT((((1005-43)*MAX('Inputs'!$B$33,'Inputs'!$B$29+'Inputs'!$B$31+'Inputs'!$B$32,'Inputs'!$B$30+'Inputs'!$B$31+'Inputs'!$B$32)/1000+'Inputs'!$B$21+'Inputs'!$B$7+'Inputs'!$B$10))^2+('Inputs'!$B$8/2)^2))))*'Results'!$B$8),"")</x:f>
        <x:v>0.4113303105964587</x:v>
      </x:c>
      <x:c r="K1005" t="n">
        <x:f>IF(AND(ISNUMBER('Results'!B7),ISNUMBER('Results'!C7),ISNUMBER('Results'!$B$8),ISNUMBER('Inputs'!$B$6),ISNUMBER('Inputs'!$B$7),ISNUMBER('Inputs'!$B$8),ISNUMBER('Inputs'!$B$9),ISNUMBER('Inputs'!$B$10),ISNUMBER('Inputs'!$B$21),ISNUMBER('Inputs'!$B$24),ISNUMBER('Inputs'!$B$28)),((('Results'!B7*(1-'Inputs'!$B$24)*(0.5*((((1005-43)*MAX('Inputs'!$B$33,'Inputs'!$B$29+'Inputs'!$B$31+'Inputs'!$B$32,'Inputs'!$B$30+'Inputs'!$B$31+'Inputs'!$B$32)/1000+'Inputs'!$B$21)+'Inputs'!$B$7)/SQRT((((1005-43)*MAX('Inputs'!$B$33,'Inputs'!$B$29+'Inputs'!$B$31+'Inputs'!$B$32,'Inputs'!$B$30+'Inputs'!$B$31+'Inputs'!$B$32)/1000+'Inputs'!$B$21)+'Inputs'!$B$7)^2+('Inputs'!$B$6/2)^2)-(((1005-43)*MAX('Inputs'!$B$33,'Inputs'!$B$29+'Inputs'!$B$31+'Inputs'!$B$32,'Inputs'!$B$30+'Inputs'!$B$31+'Inputs'!$B$32)/1000+'Inputs'!$B$21))/SQRT((((1005-43)*MAX('Inputs'!$B$33,'Inputs'!$B$29+'Inputs'!$B$31+'Inputs'!$B$32,'Inputs'!$B$30+'Inputs'!$B$31+'Inputs'!$B$32)/1000+'Inputs'!$B$21))^2+('Inputs'!$B$6/2)^2)))-'Results'!C7*(1+'Inputs'!$B$24)*(0.5*((((1005-43)*MAX('Inputs'!$B$33,'Inputs'!$B$29+'Inputs'!$B$31+'Inputs'!$B$32,'Inputs'!$B$30+'Inputs'!$B$31+'Inputs'!$B$32)/1000+'Inputs'!$B$21+'Inputs'!$B$7+'Inputs'!$B$10)+'Inputs'!$B$9)/SQRT((((1005-43)*MAX('Inputs'!$B$33,'Inputs'!$B$29+'Inputs'!$B$31+'Inputs'!$B$32,'Inputs'!$B$30+'Inputs'!$B$31+'Inputs'!$B$32)/1000+'Inputs'!$B$21+'Inputs'!$B$7+'Inputs'!$B$10)+'Inputs'!$B$9)^2+('Inputs'!$B$8/2)^2)-(((1005-43)*MAX('Inputs'!$B$33,'Inputs'!$B$29+'Inputs'!$B$31+'Inputs'!$B$32,'Inputs'!$B$30+'Inputs'!$B$31+'Inputs'!$B$32)/1000+'Inputs'!$B$21+'Inputs'!$B$7+'Inputs'!$B$10))/SQRT((((1005-43)*MAX('Inputs'!$B$33,'Inputs'!$B$29+'Inputs'!$B$31+'Inputs'!$B$32,'Inputs'!$B$30+'Inputs'!$B$31+'Inputs'!$B$32)/1000+'Inputs'!$B$21+'Inputs'!$B$7+'Inputs'!$B$10))^2+('Inputs'!$B$8/2)^2))))*'Results'!$B$8)-'Inputs'!$B$28*ABS((('Results'!B7*(1-'Inputs'!$B$24)*(0.5*((((1005-43)*MAX('Inputs'!$B$33,'Inputs'!$B$29+'Inputs'!$B$31+'Inputs'!$B$32,'Inputs'!$B$30+'Inputs'!$B$31+'Inputs'!$B$32)/1000+'Inputs'!$B$21)+'Inputs'!$B$7)/SQRT((((1005-43)*MAX('Inputs'!$B$33,'Inputs'!$B$29+'Inputs'!$B$31+'Inputs'!$B$32,'Inputs'!$B$30+'Inputs'!$B$31+'Inputs'!$B$32)/1000+'Inputs'!$B$21)+'Inputs'!$B$7)^2+('Inputs'!$B$6/2)^2)-(((1005-43)*MAX('Inputs'!$B$33,'Inputs'!$B$29+'Inputs'!$B$31+'Inputs'!$B$32,'Inputs'!$B$30+'Inputs'!$B$31+'Inputs'!$B$32)/1000+'Inputs'!$B$21))/SQRT((((1005-43)*MAX('Inputs'!$B$33,'Inputs'!$B$29+'Inputs'!$B$31+'Inputs'!$B$32,'Inputs'!$B$30+'Inputs'!$B$31+'Inputs'!$B$32)/1000+'Inputs'!$B$21))^2+('Inputs'!$B$6/2)^2)))-'Results'!C7*(1+'Inputs'!$B$24)*(0.5*((((1005-43)*MAX('Inputs'!$B$33,'Inputs'!$B$29+'Inputs'!$B$31+'Inputs'!$B$32,'Inputs'!$B$30+'Inputs'!$B$31+'Inputs'!$B$32)/1000+'Inputs'!$B$21+'Inputs'!$B$7+'Inputs'!$B$10)+'Inputs'!$B$9)/SQRT((((1005-43)*MAX('Inputs'!$B$33,'Inputs'!$B$29+'Inputs'!$B$31+'Inputs'!$B$32,'Inputs'!$B$30+'Inputs'!$B$31+'Inputs'!$B$32)/1000+'Inputs'!$B$21+'Inputs'!$B$7+'Inputs'!$B$10)+'Inputs'!$B$9)^2+('Inputs'!$B$8/2)^2)-(((1005-43)*MAX('Inputs'!$B$33,'Inputs'!$B$29+'Inputs'!$B$31+'Inputs'!$B$32,'Inputs'!$B$30+'Inputs'!$B$31+'Inputs'!$B$32)/1000+'Inputs'!$B$21+'Inputs'!$B$7+'Inputs'!$B$10))/SQRT((((1005-43)*MAX('Inputs'!$B$33,'Inputs'!$B$29+'Inputs'!$B$31+'Inputs'!$B$32,'Inputs'!$B$30+'Inputs'!$B$31+'Inputs'!$B$32)/1000+'Inputs'!$B$21+'Inputs'!$B$7+'Inputs'!$B$10))^2+('Inputs'!$B$8/2)^2))))*'Results'!$B$8))),"")</x:f>
        <x:v>0.34563154756310127</x:v>
      </x:c>
      <x:c r="L1005" t="n">
        <x:f>IF(AND(ISNUMBER('Results'!B7),ISNUMBER('Results'!C7),ISNUMBER('Results'!$B$8),ISNUMBER('Inputs'!$B$6),ISNUMBER('Inputs'!$B$7),ISNUMBER('Inputs'!$B$8),ISNUMBER('Inputs'!$B$9),ISNUMBER('Inputs'!$B$10),ISNUMBER('Inputs'!$B$21),ISNUMBER('Inputs'!$B$24),ISNUMBER('Inputs'!$B$28)),((('Results'!B7*(1+'Inputs'!$B$24)*(0.5*((((1005-43)*MAX('Inputs'!$B$33,'Inputs'!$B$29+'Inputs'!$B$31+'Inputs'!$B$32,'Inputs'!$B$30+'Inputs'!$B$31+'Inputs'!$B$32)/1000+'Inputs'!$B$21)+'Inputs'!$B$7)/SQRT((((1005-43)*MAX('Inputs'!$B$33,'Inputs'!$B$29+'Inputs'!$B$31+'Inputs'!$B$32,'Inputs'!$B$30+'Inputs'!$B$31+'Inputs'!$B$32)/1000+'Inputs'!$B$21)+'Inputs'!$B$7)^2+('Inputs'!$B$6/2)^2)-(((1005-43)*MAX('Inputs'!$B$33,'Inputs'!$B$29+'Inputs'!$B$31+'Inputs'!$B$32,'Inputs'!$B$30+'Inputs'!$B$31+'Inputs'!$B$32)/1000+'Inputs'!$B$21))/SQRT((((1005-43)*MAX('Inputs'!$B$33,'Inputs'!$B$29+'Inputs'!$B$31+'Inputs'!$B$32,'Inputs'!$B$30+'Inputs'!$B$31+'Inputs'!$B$32)/1000+'Inputs'!$B$21))^2+('Inputs'!$B$6/2)^2)))-'Results'!C7*(1-'Inputs'!$B$24)*(0.5*((((1005-43)*MAX('Inputs'!$B$33,'Inputs'!$B$29+'Inputs'!$B$31+'Inputs'!$B$32,'Inputs'!$B$30+'Inputs'!$B$31+'Inputs'!$B$32)/1000+'Inputs'!$B$21+'Inputs'!$B$7+'Inputs'!$B$10)+'Inputs'!$B$9)/SQRT((((1005-43)*MAX('Inputs'!$B$33,'Inputs'!$B$29+'Inputs'!$B$31+'Inputs'!$B$32,'Inputs'!$B$30+'Inputs'!$B$31+'Inputs'!$B$32)/1000+'Inputs'!$B$21+'Inputs'!$B$7+'Inputs'!$B$10)+'Inputs'!$B$9)^2+('Inputs'!$B$8/2)^2)-(((1005-43)*MAX('Inputs'!$B$33,'Inputs'!$B$29+'Inputs'!$B$31+'Inputs'!$B$32,'Inputs'!$B$30+'Inputs'!$B$31+'Inputs'!$B$32)/1000+'Inputs'!$B$21+'Inputs'!$B$7+'Inputs'!$B$10))/SQRT((((1005-43)*MAX('Inputs'!$B$33,'Inputs'!$B$29+'Inputs'!$B$31+'Inputs'!$B$32,'Inputs'!$B$30+'Inputs'!$B$31+'Inputs'!$B$32)/1000+'Inputs'!$B$21+'Inputs'!$B$7+'Inputs'!$B$10))^2+('Inputs'!$B$8/2)^2))))*'Results'!$B$8)+'Inputs'!$B$28*ABS((('Results'!B7*(1+'Inputs'!$B$24)*(0.5*((((1005-43)*MAX('Inputs'!$B$33,'Inputs'!$B$29+'Inputs'!$B$31+'Inputs'!$B$32,'Inputs'!$B$30+'Inputs'!$B$31+'Inputs'!$B$32)/1000+'Inputs'!$B$21)+'Inputs'!$B$7)/SQRT((((1005-43)*MAX('Inputs'!$B$33,'Inputs'!$B$29+'Inputs'!$B$31+'Inputs'!$B$32,'Inputs'!$B$30+'Inputs'!$B$31+'Inputs'!$B$32)/1000+'Inputs'!$B$21)+'Inputs'!$B$7)^2+('Inputs'!$B$6/2)^2)-(((1005-43)*MAX('Inputs'!$B$33,'Inputs'!$B$29+'Inputs'!$B$31+'Inputs'!$B$32,'Inputs'!$B$30+'Inputs'!$B$31+'Inputs'!$B$32)/1000+'Inputs'!$B$21))/SQRT((((1005-43)*MAX('Inputs'!$B$33,'Inputs'!$B$29+'Inputs'!$B$31+'Inputs'!$B$32,'Inputs'!$B$30+'Inputs'!$B$31+'Inputs'!$B$32)/1000+'Inputs'!$B$21))^2+('Inputs'!$B$6/2)^2)))-'Results'!C7*(1-'Inputs'!$B$24)*(0.5*((((1005-43)*MAX('Inputs'!$B$33,'Inputs'!$B$29+'Inputs'!$B$31+'Inputs'!$B$32,'Inputs'!$B$30+'Inputs'!$B$31+'Inputs'!$B$32)/1000+'Inputs'!$B$21+'Inputs'!$B$7+'Inputs'!$B$10)+'Inputs'!$B$9)/SQRT((((1005-43)*MAX('Inputs'!$B$33,'Inputs'!$B$29+'Inputs'!$B$31+'Inputs'!$B$32,'Inputs'!$B$30+'Inputs'!$B$31+'Inputs'!$B$32)/1000+'Inputs'!$B$21+'Inputs'!$B$7+'Inputs'!$B$10)+'Inputs'!$B$9)^2+('Inputs'!$B$8/2)^2)-(((1005-43)*MAX('Inputs'!$B$33,'Inputs'!$B$29+'Inputs'!$B$31+'Inputs'!$B$32,'Inputs'!$B$30+'Inputs'!$B$31+'Inputs'!$B$32)/1000+'Inputs'!$B$21+'Inputs'!$B$7+'Inputs'!$B$10))/SQRT((((1005-43)*MAX('Inputs'!$B$33,'Inputs'!$B$29+'Inputs'!$B$31+'Inputs'!$B$32,'Inputs'!$B$30+'Inputs'!$B$31+'Inputs'!$B$32)/1000+'Inputs'!$B$21+'Inputs'!$B$7+'Inputs'!$B$10))^2+('Inputs'!$B$8/2)^2))))*'Results'!$B$8))),"")</x:f>
        <x:v>0.48177983652492495</x:v>
      </x:c>
      <x:c r="M1005" t="n">
        <x:f>IF(AND(ISNUMBER('Results'!C7),ISNUMBER('Results'!B7),ISNUMBER('Results'!$B$8),ISNUMBER('Inputs'!$B$6),ISNUMBER('Inputs'!$B$7),ISNUMBER('Inputs'!$B$8),ISNUMBER('Inputs'!$B$9),ISNUMBER('Inputs'!$B$10),ISNUMBER('Inputs'!$B$21),ISNUMBER('Inputs'!$B$24),ISNUMBER('Inputs'!$B$28)),(('Results'!C7*(0.5*((((1005-43)*MAX('Inputs'!$B$33,'Inputs'!$B$29+'Inputs'!$B$31+'Inputs'!$B$32,'Inputs'!$B$30+'Inputs'!$B$31+'Inputs'!$B$32)/1000+'Inputs'!$B$21)+'Inputs'!$B$9)/SQRT((((1005-43)*MAX('Inputs'!$B$33,'Inputs'!$B$29+'Inputs'!$B$31+'Inputs'!$B$32,'Inputs'!$B$30+'Inputs'!$B$31+'Inputs'!$B$32)/1000+'Inputs'!$B$21)+'Inputs'!$B$9)^2+('Inputs'!$B$8/2)^2)-(((1005-43)*MAX('Inputs'!$B$33,'Inputs'!$B$29+'Inputs'!$B$31+'Inputs'!$B$32,'Inputs'!$B$30+'Inputs'!$B$31+'Inputs'!$B$32)/1000+'Inputs'!$B$21))/SQRT((((1005-43)*MAX('Inputs'!$B$33,'Inputs'!$B$29+'Inputs'!$B$31+'Inputs'!$B$32,'Inputs'!$B$30+'Inputs'!$B$31+'Inputs'!$B$32)/1000+'Inputs'!$B$21))^2+('Inputs'!$B$8/2)^2)))-'Results'!B7*(0.5*((((1005-43)*MAX('Inputs'!$B$33,'Inputs'!$B$29+'Inputs'!$B$31+'Inputs'!$B$32,'Inputs'!$B$30+'Inputs'!$B$31+'Inputs'!$B$32)/1000+'Inputs'!$B$21+'Inputs'!$B$9+'Inputs'!$B$10)+'Inputs'!$B$7)/SQRT((((1005-43)*MAX('Inputs'!$B$33,'Inputs'!$B$29+'Inputs'!$B$31+'Inputs'!$B$32,'Inputs'!$B$30+'Inputs'!$B$31+'Inputs'!$B$32)/1000+'Inputs'!$B$21+'Inputs'!$B$9+'Inputs'!$B$10)+'Inputs'!$B$7)^2+('Inputs'!$B$6/2)^2)-(((1005-43)*MAX('Inputs'!$B$33,'Inputs'!$B$29+'Inputs'!$B$31+'Inputs'!$B$32,'Inputs'!$B$30+'Inputs'!$B$31+'Inputs'!$B$32)/1000+'Inputs'!$B$21+'Inputs'!$B$9+'Inputs'!$B$10))/SQRT((((1005-43)*MAX('Inputs'!$B$33,'Inputs'!$B$29+'Inputs'!$B$31+'Inputs'!$B$32,'Inputs'!$B$30+'Inputs'!$B$31+'Inputs'!$B$32)/1000+'Inputs'!$B$21+'Inputs'!$B$9+'Inputs'!$B$10))^2+('Inputs'!$B$6/2)^2))))*'Results'!$B$8),"")</x:f>
        <x:v>0.36342185488272516</x:v>
      </x:c>
      <x:c r="N1005" t="n">
        <x:f>IF(AND(ISNUMBER('Results'!C7),ISNUMBER('Results'!B7),ISNUMBER('Results'!$B$8),ISNUMBER('Inputs'!$B$6),ISNUMBER('Inputs'!$B$7),ISNUMBER('Inputs'!$B$8),ISNUMBER('Inputs'!$B$9),ISNUMBER('Inputs'!$B$10),ISNUMBER('Inputs'!$B$21),ISNUMBER('Inputs'!$B$24),ISNUMBER('Inputs'!$B$28)),((('Results'!C7*(1-'Inputs'!$B$24)*(0.5*((((1005-43)*MAX('Inputs'!$B$33,'Inputs'!$B$29+'Inputs'!$B$31+'Inputs'!$B$32,'Inputs'!$B$30+'Inputs'!$B$31+'Inputs'!$B$32)/1000+'Inputs'!$B$21)+'Inputs'!$B$9)/SQRT((((1005-43)*MAX('Inputs'!$B$33,'Inputs'!$B$29+'Inputs'!$B$31+'Inputs'!$B$32,'Inputs'!$B$30+'Inputs'!$B$31+'Inputs'!$B$32)/1000+'Inputs'!$B$21)+'Inputs'!$B$9)^2+('Inputs'!$B$8/2)^2)-(((1005-43)*MAX('Inputs'!$B$33,'Inputs'!$B$29+'Inputs'!$B$31+'Inputs'!$B$32,'Inputs'!$B$30+'Inputs'!$B$31+'Inputs'!$B$32)/1000+'Inputs'!$B$21))/SQRT((((1005-43)*MAX('Inputs'!$B$33,'Inputs'!$B$29+'Inputs'!$B$31+'Inputs'!$B$32,'Inputs'!$B$30+'Inputs'!$B$31+'Inputs'!$B$32)/1000+'Inputs'!$B$21))^2+('Inputs'!$B$8/2)^2)))-'Results'!B7*(1+'Inputs'!$B$24)*(0.5*((((1005-43)*MAX('Inputs'!$B$33,'Inputs'!$B$29+'Inputs'!$B$31+'Inputs'!$B$32,'Inputs'!$B$30+'Inputs'!$B$31+'Inputs'!$B$32)/1000+'Inputs'!$B$21+'Inputs'!$B$9+'Inputs'!$B$10)+'Inputs'!$B$7)/SQRT((((1005-43)*MAX('Inputs'!$B$33,'Inputs'!$B$29+'Inputs'!$B$31+'Inputs'!$B$32,'Inputs'!$B$30+'Inputs'!$B$31+'Inputs'!$B$32)/1000+'Inputs'!$B$21+'Inputs'!$B$9+'Inputs'!$B$10)+'Inputs'!$B$7)^2+('Inputs'!$B$6/2)^2)-(((1005-43)*MAX('Inputs'!$B$33,'Inputs'!$B$29+'Inputs'!$B$31+'Inputs'!$B$32,'Inputs'!$B$30+'Inputs'!$B$31+'Inputs'!$B$32)/1000+'Inputs'!$B$21+'Inputs'!$B$9+'Inputs'!$B$10))/SQRT((((1005-43)*MAX('Inputs'!$B$33,'Inputs'!$B$29+'Inputs'!$B$31+'Inputs'!$B$32,'Inputs'!$B$30+'Inputs'!$B$31+'Inputs'!$B$32)/1000+'Inputs'!$B$21+'Inputs'!$B$9+'Inputs'!$B$10))^2+('Inputs'!$B$6/2)^2))))*'Results'!$B$8)-'Inputs'!$B$28*ABS((('Results'!C7*(1-'Inputs'!$B$24)*(0.5*((((1005-43)*MAX('Inputs'!$B$33,'Inputs'!$B$29+'Inputs'!$B$31+'Inputs'!$B$32,'Inputs'!$B$30+'Inputs'!$B$31+'Inputs'!$B$32)/1000+'Inputs'!$B$21)+'Inputs'!$B$9)/SQRT((((1005-43)*MAX('Inputs'!$B$33,'Inputs'!$B$29+'Inputs'!$B$31+'Inputs'!$B$32,'Inputs'!$B$30+'Inputs'!$B$31+'Inputs'!$B$32)/1000+'Inputs'!$B$21)+'Inputs'!$B$9)^2+('Inputs'!$B$8/2)^2)-(((1005-43)*MAX('Inputs'!$B$33,'Inputs'!$B$29+'Inputs'!$B$31+'Inputs'!$B$32,'Inputs'!$B$30+'Inputs'!$B$31+'Inputs'!$B$32)/1000+'Inputs'!$B$21))/SQRT((((1005-43)*MAX('Inputs'!$B$33,'Inputs'!$B$29+'Inputs'!$B$31+'Inputs'!$B$32,'Inputs'!$B$30+'Inputs'!$B$31+'Inputs'!$B$32)/1000+'Inputs'!$B$21))^2+('Inputs'!$B$8/2)^2)))-'Results'!B7*(1+'Inputs'!$B$24)*(0.5*((((1005-43)*MAX('Inputs'!$B$33,'Inputs'!$B$29+'Inputs'!$B$31+'Inputs'!$B$32,'Inputs'!$B$30+'Inputs'!$B$31+'Inputs'!$B$32)/1000+'Inputs'!$B$21+'Inputs'!$B$9+'Inputs'!$B$10)+'Inputs'!$B$7)/SQRT((((1005-43)*MAX('Inputs'!$B$33,'Inputs'!$B$29+'Inputs'!$B$31+'Inputs'!$B$32,'Inputs'!$B$30+'Inputs'!$B$31+'Inputs'!$B$32)/1000+'Inputs'!$B$21+'Inputs'!$B$9+'Inputs'!$B$10)+'Inputs'!$B$7)^2+('Inputs'!$B$6/2)^2)-(((1005-43)*MAX('Inputs'!$B$33,'Inputs'!$B$29+'Inputs'!$B$31+'Inputs'!$B$32,'Inputs'!$B$30+'Inputs'!$B$31+'Inputs'!$B$32)/1000+'Inputs'!$B$21+'Inputs'!$B$9+'Inputs'!$B$10))/SQRT((((1005-43)*MAX('Inputs'!$B$33,'Inputs'!$B$29+'Inputs'!$B$31+'Inputs'!$B$32,'Inputs'!$B$30+'Inputs'!$B$31+'Inputs'!$B$32)/1000+'Inputs'!$B$21+'Inputs'!$B$9+'Inputs'!$B$10))^2+('Inputs'!$B$6/2)^2))))*'Results'!$B$8))),"")</x:f>
        <x:v>0.30026720444459076</x:v>
      </x:c>
      <x:c r="O1005" t="n">
        <x:f>IF(AND(ISNUMBER('Results'!C7),ISNUMBER('Results'!B7),ISNUMBER('Results'!$B$8),ISNUMBER('Inputs'!$B$6),ISNUMBER('Inputs'!$B$7),ISNUMBER('Inputs'!$B$8),ISNUMBER('Inputs'!$B$9),ISNUMBER('Inputs'!$B$10),ISNUMBER('Inputs'!$B$21),ISNUMBER('Inputs'!$B$24),ISNUMBER('Inputs'!$B$28)),((('Results'!C7*(1+'Inputs'!$B$24)*(0.5*((((1005-43)*MAX('Inputs'!$B$33,'Inputs'!$B$29+'Inputs'!$B$31+'Inputs'!$B$32,'Inputs'!$B$30+'Inputs'!$B$31+'Inputs'!$B$32)/1000+'Inputs'!$B$21)+'Inputs'!$B$9)/SQRT((((1005-43)*MAX('Inputs'!$B$33,'Inputs'!$B$29+'Inputs'!$B$31+'Inputs'!$B$32,'Inputs'!$B$30+'Inputs'!$B$31+'Inputs'!$B$32)/1000+'Inputs'!$B$21)+'Inputs'!$B$9)^2+('Inputs'!$B$8/2)^2)-(((1005-43)*MAX('Inputs'!$B$33,'Inputs'!$B$29+'Inputs'!$B$31+'Inputs'!$B$32,'Inputs'!$B$30+'Inputs'!$B$31+'Inputs'!$B$32)/1000+'Inputs'!$B$21))/SQRT((((1005-43)*MAX('Inputs'!$B$33,'Inputs'!$B$29+'Inputs'!$B$31+'Inputs'!$B$32,'Inputs'!$B$30+'Inputs'!$B$31+'Inputs'!$B$32)/1000+'Inputs'!$B$21))^2+('Inputs'!$B$8/2)^2)))-'Results'!B7*(1-'Inputs'!$B$24)*(0.5*((((1005-43)*MAX('Inputs'!$B$33,'Inputs'!$B$29+'Inputs'!$B$31+'Inputs'!$B$32,'Inputs'!$B$30+'Inputs'!$B$31+'Inputs'!$B$32)/1000+'Inputs'!$B$21+'Inputs'!$B$9+'Inputs'!$B$10)+'Inputs'!$B$7)/SQRT((((1005-43)*MAX('Inputs'!$B$33,'Inputs'!$B$29+'Inputs'!$B$31+'Inputs'!$B$32,'Inputs'!$B$30+'Inputs'!$B$31+'Inputs'!$B$32)/1000+'Inputs'!$B$21+'Inputs'!$B$9+'Inputs'!$B$10)+'Inputs'!$B$7)^2+('Inputs'!$B$6/2)^2)-(((1005-43)*MAX('Inputs'!$B$33,'Inputs'!$B$29+'Inputs'!$B$31+'Inputs'!$B$32,'Inputs'!$B$30+'Inputs'!$B$31+'Inputs'!$B$32)/1000+'Inputs'!$B$21+'Inputs'!$B$9+'Inputs'!$B$10))/SQRT((((1005-43)*MAX('Inputs'!$B$33,'Inputs'!$B$29+'Inputs'!$B$31+'Inputs'!$B$32,'Inputs'!$B$30+'Inputs'!$B$31+'Inputs'!$B$32)/1000+'Inputs'!$B$21+'Inputs'!$B$9+'Inputs'!$B$10))^2+('Inputs'!$B$6/2)^2))))*'Results'!$B$8)+'Inputs'!$B$28*ABS((('Results'!C7*(1+'Inputs'!$B$24)*(0.5*((((1005-43)*MAX('Inputs'!$B$33,'Inputs'!$B$29+'Inputs'!$B$31+'Inputs'!$B$32,'Inputs'!$B$30+'Inputs'!$B$31+'Inputs'!$B$32)/1000+'Inputs'!$B$21)+'Inputs'!$B$9)/SQRT((((1005-43)*MAX('Inputs'!$B$33,'Inputs'!$B$29+'Inputs'!$B$31+'Inputs'!$B$32,'Inputs'!$B$30+'Inputs'!$B$31+'Inputs'!$B$32)/1000+'Inputs'!$B$21)+'Inputs'!$B$9)^2+('Inputs'!$B$8/2)^2)-(((1005-43)*MAX('Inputs'!$B$33,'Inputs'!$B$29+'Inputs'!$B$31+'Inputs'!$B$32,'Inputs'!$B$30+'Inputs'!$B$31+'Inputs'!$B$32)/1000+'Inputs'!$B$21))/SQRT((((1005-43)*MAX('Inputs'!$B$33,'Inputs'!$B$29+'Inputs'!$B$31+'Inputs'!$B$32,'Inputs'!$B$30+'Inputs'!$B$31+'Inputs'!$B$32)/1000+'Inputs'!$B$21))^2+('Inputs'!$B$8/2)^2)))-'Results'!B7*(1-'Inputs'!$B$24)*(0.5*((((1005-43)*MAX('Inputs'!$B$33,'Inputs'!$B$29+'Inputs'!$B$31+'Inputs'!$B$32,'Inputs'!$B$30+'Inputs'!$B$31+'Inputs'!$B$32)/1000+'Inputs'!$B$21+'Inputs'!$B$9+'Inputs'!$B$10)+'Inputs'!$B$7)/SQRT((((1005-43)*MAX('Inputs'!$B$33,'Inputs'!$B$29+'Inputs'!$B$31+'Inputs'!$B$32,'Inputs'!$B$30+'Inputs'!$B$31+'Inputs'!$B$32)/1000+'Inputs'!$B$21+'Inputs'!$B$9+'Inputs'!$B$10)+'Inputs'!$B$7)^2+('Inputs'!$B$6/2)^2)-(((1005-43)*MAX('Inputs'!$B$33,'Inputs'!$B$29+'Inputs'!$B$31+'Inputs'!$B$32,'Inputs'!$B$30+'Inputs'!$B$31+'Inputs'!$B$32)/1000+'Inputs'!$B$21+'Inputs'!$B$9+'Inputs'!$B$10))/SQRT((((1005-43)*MAX('Inputs'!$B$33,'Inputs'!$B$29+'Inputs'!$B$31+'Inputs'!$B$32,'Inputs'!$B$30+'Inputs'!$B$31+'Inputs'!$B$32)/1000+'Inputs'!$B$21+'Inputs'!$B$9+'Inputs'!$B$10))^2+('Inputs'!$B$6/2)^2))))*'Results'!$B$8))),"")</x:f>
        <x:v>0.43131161665706996</x:v>
      </x:c>
      <x:c r="P1005" t="n">
        <x:f>IF(AND(MAX(J1005,J1004)&gt;0,J1005&gt;J1004+0.00000001),1,0)</x:f>
        <x:v>0</x:v>
      </x:c>
      <x:c r="Q1005" t="n">
        <x:f>IF(AND(MAX(K1005,K1004)&gt;0,K1005&gt;K1004+0.00000001),1,0)</x:f>
        <x:v>0</x:v>
      </x:c>
      <x:c r="R1005" t="n">
        <x:f>IF(AND(MAX(L1005,L1004)&gt;0,L1005&gt;L1004+0.00000001),1,0)</x:f>
        <x:v>0</x:v>
      </x:c>
      <x:c r="S1005" t="n">
        <x:f>IF(AND(MAX(M1005,M1004)&gt;0,M1005&gt;M1004+0.00000001),1,0)</x:f>
        <x:v>0</x:v>
      </x:c>
      <x:c r="T1005" t="n">
        <x:f>IF(AND(MAX(N1005,N1004)&gt;0,N1005&gt;N1004+0.00000001),1,0)</x:f>
        <x:v>0</x:v>
      </x:c>
      <x:c r="U1005" t="n">
        <x:f>IF(AND(MAX(O1005,O1004)&gt;0,O1005&gt;O1004+0.00000001),1,0)</x:f>
        <x:v>0</x:v>
      </x:c>
    </x:row>
    <x:row r="1006">
      <x:c r="J1006" t="n">
        <x:f>IF(AND(ISNUMBER('Results'!B7),ISNUMBER('Results'!C7),ISNUMBER('Results'!$B$8),ISNUMBER('Inputs'!$B$6),ISNUMBER('Inputs'!$B$7),ISNUMBER('Inputs'!$B$8),ISNUMBER('Inputs'!$B$9),ISNUMBER('Inputs'!$B$10),ISNUMBER('Inputs'!$B$21),ISNUMBER('Inputs'!$B$24),ISNUMBER('Inputs'!$B$28)),(('Results'!B7*(0.5*((((1006-43)*MAX('Inputs'!$B$33,'Inputs'!$B$29+'Inputs'!$B$31+'Inputs'!$B$32,'Inputs'!$B$30+'Inputs'!$B$31+'Inputs'!$B$32)/1000+'Inputs'!$B$21)+'Inputs'!$B$7)/SQRT((((1006-43)*MAX('Inputs'!$B$33,'Inputs'!$B$29+'Inputs'!$B$31+'Inputs'!$B$32,'Inputs'!$B$30+'Inputs'!$B$31+'Inputs'!$B$32)/1000+'Inputs'!$B$21)+'Inputs'!$B$7)^2+('Inputs'!$B$6/2)^2)-(((1006-43)*MAX('Inputs'!$B$33,'Inputs'!$B$29+'Inputs'!$B$31+'Inputs'!$B$32,'Inputs'!$B$30+'Inputs'!$B$31+'Inputs'!$B$32)/1000+'Inputs'!$B$21))/SQRT((((1006-43)*MAX('Inputs'!$B$33,'Inputs'!$B$29+'Inputs'!$B$31+'Inputs'!$B$32,'Inputs'!$B$30+'Inputs'!$B$31+'Inputs'!$B$32)/1000+'Inputs'!$B$21))^2+('Inputs'!$B$6/2)^2)))-'Results'!C7*(0.5*((((1006-43)*MAX('Inputs'!$B$33,'Inputs'!$B$29+'Inputs'!$B$31+'Inputs'!$B$32,'Inputs'!$B$30+'Inputs'!$B$31+'Inputs'!$B$32)/1000+'Inputs'!$B$21+'Inputs'!$B$7+'Inputs'!$B$10)+'Inputs'!$B$9)/SQRT((((1006-43)*MAX('Inputs'!$B$33,'Inputs'!$B$29+'Inputs'!$B$31+'Inputs'!$B$32,'Inputs'!$B$30+'Inputs'!$B$31+'Inputs'!$B$32)/1000+'Inputs'!$B$21+'Inputs'!$B$7+'Inputs'!$B$10)+'Inputs'!$B$9)^2+('Inputs'!$B$8/2)^2)-(((1006-43)*MAX('Inputs'!$B$33,'Inputs'!$B$29+'Inputs'!$B$31+'Inputs'!$B$32,'Inputs'!$B$30+'Inputs'!$B$31+'Inputs'!$B$32)/1000+'Inputs'!$B$21+'Inputs'!$B$7+'Inputs'!$B$10))/SQRT((((1006-43)*MAX('Inputs'!$B$33,'Inputs'!$B$29+'Inputs'!$B$31+'Inputs'!$B$32,'Inputs'!$B$30+'Inputs'!$B$31+'Inputs'!$B$32)/1000+'Inputs'!$B$21+'Inputs'!$B$7+'Inputs'!$B$10))^2+('Inputs'!$B$8/2)^2))))*'Results'!$B$8),"")</x:f>
        <x:v>0.4097759029417302</x:v>
      </x:c>
      <x:c r="K1006" t="n">
        <x:f>IF(AND(ISNUMBER('Results'!B7),ISNUMBER('Results'!C7),ISNUMBER('Results'!$B$8),ISNUMBER('Inputs'!$B$6),ISNUMBER('Inputs'!$B$7),ISNUMBER('Inputs'!$B$8),ISNUMBER('Inputs'!$B$9),ISNUMBER('Inputs'!$B$10),ISNUMBER('Inputs'!$B$21),ISNUMBER('Inputs'!$B$24),ISNUMBER('Inputs'!$B$28)),((('Results'!B7*(1-'Inputs'!$B$24)*(0.5*((((1006-43)*MAX('Inputs'!$B$33,'Inputs'!$B$29+'Inputs'!$B$31+'Inputs'!$B$32,'Inputs'!$B$30+'Inputs'!$B$31+'Inputs'!$B$32)/1000+'Inputs'!$B$21)+'Inputs'!$B$7)/SQRT((((1006-43)*MAX('Inputs'!$B$33,'Inputs'!$B$29+'Inputs'!$B$31+'Inputs'!$B$32,'Inputs'!$B$30+'Inputs'!$B$31+'Inputs'!$B$32)/1000+'Inputs'!$B$21)+'Inputs'!$B$7)^2+('Inputs'!$B$6/2)^2)-(((1006-43)*MAX('Inputs'!$B$33,'Inputs'!$B$29+'Inputs'!$B$31+'Inputs'!$B$32,'Inputs'!$B$30+'Inputs'!$B$31+'Inputs'!$B$32)/1000+'Inputs'!$B$21))/SQRT((((1006-43)*MAX('Inputs'!$B$33,'Inputs'!$B$29+'Inputs'!$B$31+'Inputs'!$B$32,'Inputs'!$B$30+'Inputs'!$B$31+'Inputs'!$B$32)/1000+'Inputs'!$B$21))^2+('Inputs'!$B$6/2)^2)))-'Results'!C7*(1+'Inputs'!$B$24)*(0.5*((((1006-43)*MAX('Inputs'!$B$33,'Inputs'!$B$29+'Inputs'!$B$31+'Inputs'!$B$32,'Inputs'!$B$30+'Inputs'!$B$31+'Inputs'!$B$32)/1000+'Inputs'!$B$21+'Inputs'!$B$7+'Inputs'!$B$10)+'Inputs'!$B$9)/SQRT((((1006-43)*MAX('Inputs'!$B$33,'Inputs'!$B$29+'Inputs'!$B$31+'Inputs'!$B$32,'Inputs'!$B$30+'Inputs'!$B$31+'Inputs'!$B$32)/1000+'Inputs'!$B$21+'Inputs'!$B$7+'Inputs'!$B$10)+'Inputs'!$B$9)^2+('Inputs'!$B$8/2)^2)-(((1006-43)*MAX('Inputs'!$B$33,'Inputs'!$B$29+'Inputs'!$B$31+'Inputs'!$B$32,'Inputs'!$B$30+'Inputs'!$B$31+'Inputs'!$B$32)/1000+'Inputs'!$B$21+'Inputs'!$B$7+'Inputs'!$B$10))/SQRT((((1006-43)*MAX('Inputs'!$B$33,'Inputs'!$B$29+'Inputs'!$B$31+'Inputs'!$B$32,'Inputs'!$B$30+'Inputs'!$B$31+'Inputs'!$B$32)/1000+'Inputs'!$B$21+'Inputs'!$B$7+'Inputs'!$B$10))^2+('Inputs'!$B$8/2)^2))))*'Results'!$B$8)-'Inputs'!$B$28*ABS((('Results'!B7*(1-'Inputs'!$B$24)*(0.5*((((1006-43)*MAX('Inputs'!$B$33,'Inputs'!$B$29+'Inputs'!$B$31+'Inputs'!$B$32,'Inputs'!$B$30+'Inputs'!$B$31+'Inputs'!$B$32)/1000+'Inputs'!$B$21)+'Inputs'!$B$7)/SQRT((((1006-43)*MAX('Inputs'!$B$33,'Inputs'!$B$29+'Inputs'!$B$31+'Inputs'!$B$32,'Inputs'!$B$30+'Inputs'!$B$31+'Inputs'!$B$32)/1000+'Inputs'!$B$21)+'Inputs'!$B$7)^2+('Inputs'!$B$6/2)^2)-(((1006-43)*MAX('Inputs'!$B$33,'Inputs'!$B$29+'Inputs'!$B$31+'Inputs'!$B$32,'Inputs'!$B$30+'Inputs'!$B$31+'Inputs'!$B$32)/1000+'Inputs'!$B$21))/SQRT((((1006-43)*MAX('Inputs'!$B$33,'Inputs'!$B$29+'Inputs'!$B$31+'Inputs'!$B$32,'Inputs'!$B$30+'Inputs'!$B$31+'Inputs'!$B$32)/1000+'Inputs'!$B$21))^2+('Inputs'!$B$6/2)^2)))-'Results'!C7*(1+'Inputs'!$B$24)*(0.5*((((1006-43)*MAX('Inputs'!$B$33,'Inputs'!$B$29+'Inputs'!$B$31+'Inputs'!$B$32,'Inputs'!$B$30+'Inputs'!$B$31+'Inputs'!$B$32)/1000+'Inputs'!$B$21+'Inputs'!$B$7+'Inputs'!$B$10)+'Inputs'!$B$9)/SQRT((((1006-43)*MAX('Inputs'!$B$33,'Inputs'!$B$29+'Inputs'!$B$31+'Inputs'!$B$32,'Inputs'!$B$30+'Inputs'!$B$31+'Inputs'!$B$32)/1000+'Inputs'!$B$21+'Inputs'!$B$7+'Inputs'!$B$10)+'Inputs'!$B$9)^2+('Inputs'!$B$8/2)^2)-(((1006-43)*MAX('Inputs'!$B$33,'Inputs'!$B$29+'Inputs'!$B$31+'Inputs'!$B$32,'Inputs'!$B$30+'Inputs'!$B$31+'Inputs'!$B$32)/1000+'Inputs'!$B$21+'Inputs'!$B$7+'Inputs'!$B$10))/SQRT((((1006-43)*MAX('Inputs'!$B$33,'Inputs'!$B$29+'Inputs'!$B$31+'Inputs'!$B$32,'Inputs'!$B$30+'Inputs'!$B$31+'Inputs'!$B$32)/1000+'Inputs'!$B$21+'Inputs'!$B$7+'Inputs'!$B$10))^2+('Inputs'!$B$8/2)^2))))*'Results'!$B$8))),"")</x:f>
        <x:v>0.3442858169787354</x:v>
      </x:c>
      <x:c r="L1006" t="n">
        <x:f>IF(AND(ISNUMBER('Results'!B7),ISNUMBER('Results'!C7),ISNUMBER('Results'!$B$8),ISNUMBER('Inputs'!$B$6),ISNUMBER('Inputs'!$B$7),ISNUMBER('Inputs'!$B$8),ISNUMBER('Inputs'!$B$9),ISNUMBER('Inputs'!$B$10),ISNUMBER('Inputs'!$B$21),ISNUMBER('Inputs'!$B$24),ISNUMBER('Inputs'!$B$28)),((('Results'!B7*(1+'Inputs'!$B$24)*(0.5*((((1006-43)*MAX('Inputs'!$B$33,'Inputs'!$B$29+'Inputs'!$B$31+'Inputs'!$B$32,'Inputs'!$B$30+'Inputs'!$B$31+'Inputs'!$B$32)/1000+'Inputs'!$B$21)+'Inputs'!$B$7)/SQRT((((1006-43)*MAX('Inputs'!$B$33,'Inputs'!$B$29+'Inputs'!$B$31+'Inputs'!$B$32,'Inputs'!$B$30+'Inputs'!$B$31+'Inputs'!$B$32)/1000+'Inputs'!$B$21)+'Inputs'!$B$7)^2+('Inputs'!$B$6/2)^2)-(((1006-43)*MAX('Inputs'!$B$33,'Inputs'!$B$29+'Inputs'!$B$31+'Inputs'!$B$32,'Inputs'!$B$30+'Inputs'!$B$31+'Inputs'!$B$32)/1000+'Inputs'!$B$21))/SQRT((((1006-43)*MAX('Inputs'!$B$33,'Inputs'!$B$29+'Inputs'!$B$31+'Inputs'!$B$32,'Inputs'!$B$30+'Inputs'!$B$31+'Inputs'!$B$32)/1000+'Inputs'!$B$21))^2+('Inputs'!$B$6/2)^2)))-'Results'!C7*(1-'Inputs'!$B$24)*(0.5*((((1006-43)*MAX('Inputs'!$B$33,'Inputs'!$B$29+'Inputs'!$B$31+'Inputs'!$B$32,'Inputs'!$B$30+'Inputs'!$B$31+'Inputs'!$B$32)/1000+'Inputs'!$B$21+'Inputs'!$B$7+'Inputs'!$B$10)+'Inputs'!$B$9)/SQRT((((1006-43)*MAX('Inputs'!$B$33,'Inputs'!$B$29+'Inputs'!$B$31+'Inputs'!$B$32,'Inputs'!$B$30+'Inputs'!$B$31+'Inputs'!$B$32)/1000+'Inputs'!$B$21+'Inputs'!$B$7+'Inputs'!$B$10)+'Inputs'!$B$9)^2+('Inputs'!$B$8/2)^2)-(((1006-43)*MAX('Inputs'!$B$33,'Inputs'!$B$29+'Inputs'!$B$31+'Inputs'!$B$32,'Inputs'!$B$30+'Inputs'!$B$31+'Inputs'!$B$32)/1000+'Inputs'!$B$21+'Inputs'!$B$7+'Inputs'!$B$10))/SQRT((((1006-43)*MAX('Inputs'!$B$33,'Inputs'!$B$29+'Inputs'!$B$31+'Inputs'!$B$32,'Inputs'!$B$30+'Inputs'!$B$31+'Inputs'!$B$32)/1000+'Inputs'!$B$21+'Inputs'!$B$7+'Inputs'!$B$10))^2+('Inputs'!$B$8/2)^2))))*'Results'!$B$8)+'Inputs'!$B$28*ABS((('Results'!B7*(1+'Inputs'!$B$24)*(0.5*((((1006-43)*MAX('Inputs'!$B$33,'Inputs'!$B$29+'Inputs'!$B$31+'Inputs'!$B$32,'Inputs'!$B$30+'Inputs'!$B$31+'Inputs'!$B$32)/1000+'Inputs'!$B$21)+'Inputs'!$B$7)/SQRT((((1006-43)*MAX('Inputs'!$B$33,'Inputs'!$B$29+'Inputs'!$B$31+'Inputs'!$B$32,'Inputs'!$B$30+'Inputs'!$B$31+'Inputs'!$B$32)/1000+'Inputs'!$B$21)+'Inputs'!$B$7)^2+('Inputs'!$B$6/2)^2)-(((1006-43)*MAX('Inputs'!$B$33,'Inputs'!$B$29+'Inputs'!$B$31+'Inputs'!$B$32,'Inputs'!$B$30+'Inputs'!$B$31+'Inputs'!$B$32)/1000+'Inputs'!$B$21))/SQRT((((1006-43)*MAX('Inputs'!$B$33,'Inputs'!$B$29+'Inputs'!$B$31+'Inputs'!$B$32,'Inputs'!$B$30+'Inputs'!$B$31+'Inputs'!$B$32)/1000+'Inputs'!$B$21))^2+('Inputs'!$B$6/2)^2)))-'Results'!C7*(1-'Inputs'!$B$24)*(0.5*((((1006-43)*MAX('Inputs'!$B$33,'Inputs'!$B$29+'Inputs'!$B$31+'Inputs'!$B$32,'Inputs'!$B$30+'Inputs'!$B$31+'Inputs'!$B$32)/1000+'Inputs'!$B$21+'Inputs'!$B$7+'Inputs'!$B$10)+'Inputs'!$B$9)/SQRT((((1006-43)*MAX('Inputs'!$B$33,'Inputs'!$B$29+'Inputs'!$B$31+'Inputs'!$B$32,'Inputs'!$B$30+'Inputs'!$B$31+'Inputs'!$B$32)/1000+'Inputs'!$B$21+'Inputs'!$B$7+'Inputs'!$B$10)+'Inputs'!$B$9)^2+('Inputs'!$B$8/2)^2)-(((1006-43)*MAX('Inputs'!$B$33,'Inputs'!$B$29+'Inputs'!$B$31+'Inputs'!$B$32,'Inputs'!$B$30+'Inputs'!$B$31+'Inputs'!$B$32)/1000+'Inputs'!$B$21+'Inputs'!$B$7+'Inputs'!$B$10))/SQRT((((1006-43)*MAX('Inputs'!$B$33,'Inputs'!$B$29+'Inputs'!$B$31+'Inputs'!$B$32,'Inputs'!$B$30+'Inputs'!$B$31+'Inputs'!$B$32)/1000+'Inputs'!$B$21+'Inputs'!$B$7+'Inputs'!$B$10))^2+('Inputs'!$B$8/2)^2))))*'Results'!$B$8))),"")</x:f>
        <x:v>0.48000296688534655</x:v>
      </x:c>
      <x:c r="M1006" t="n">
        <x:f>IF(AND(ISNUMBER('Results'!C7),ISNUMBER('Results'!B7),ISNUMBER('Results'!$B$8),ISNUMBER('Inputs'!$B$6),ISNUMBER('Inputs'!$B$7),ISNUMBER('Inputs'!$B$8),ISNUMBER('Inputs'!$B$9),ISNUMBER('Inputs'!$B$10),ISNUMBER('Inputs'!$B$21),ISNUMBER('Inputs'!$B$24),ISNUMBER('Inputs'!$B$28)),(('Results'!C7*(0.5*((((1006-43)*MAX('Inputs'!$B$33,'Inputs'!$B$29+'Inputs'!$B$31+'Inputs'!$B$32,'Inputs'!$B$30+'Inputs'!$B$31+'Inputs'!$B$32)/1000+'Inputs'!$B$21)+'Inputs'!$B$9)/SQRT((((1006-43)*MAX('Inputs'!$B$33,'Inputs'!$B$29+'Inputs'!$B$31+'Inputs'!$B$32,'Inputs'!$B$30+'Inputs'!$B$31+'Inputs'!$B$32)/1000+'Inputs'!$B$21)+'Inputs'!$B$9)^2+('Inputs'!$B$8/2)^2)-(((1006-43)*MAX('Inputs'!$B$33,'Inputs'!$B$29+'Inputs'!$B$31+'Inputs'!$B$32,'Inputs'!$B$30+'Inputs'!$B$31+'Inputs'!$B$32)/1000+'Inputs'!$B$21))/SQRT((((1006-43)*MAX('Inputs'!$B$33,'Inputs'!$B$29+'Inputs'!$B$31+'Inputs'!$B$32,'Inputs'!$B$30+'Inputs'!$B$31+'Inputs'!$B$32)/1000+'Inputs'!$B$21))^2+('Inputs'!$B$8/2)^2)))-'Results'!B7*(0.5*((((1006-43)*MAX('Inputs'!$B$33,'Inputs'!$B$29+'Inputs'!$B$31+'Inputs'!$B$32,'Inputs'!$B$30+'Inputs'!$B$31+'Inputs'!$B$32)/1000+'Inputs'!$B$21+'Inputs'!$B$9+'Inputs'!$B$10)+'Inputs'!$B$7)/SQRT((((1006-43)*MAX('Inputs'!$B$33,'Inputs'!$B$29+'Inputs'!$B$31+'Inputs'!$B$32,'Inputs'!$B$30+'Inputs'!$B$31+'Inputs'!$B$32)/1000+'Inputs'!$B$21+'Inputs'!$B$9+'Inputs'!$B$10)+'Inputs'!$B$7)^2+('Inputs'!$B$6/2)^2)-(((1006-43)*MAX('Inputs'!$B$33,'Inputs'!$B$29+'Inputs'!$B$31+'Inputs'!$B$32,'Inputs'!$B$30+'Inputs'!$B$31+'Inputs'!$B$32)/1000+'Inputs'!$B$21+'Inputs'!$B$9+'Inputs'!$B$10))/SQRT((((1006-43)*MAX('Inputs'!$B$33,'Inputs'!$B$29+'Inputs'!$B$31+'Inputs'!$B$32,'Inputs'!$B$30+'Inputs'!$B$31+'Inputs'!$B$32)/1000+'Inputs'!$B$21+'Inputs'!$B$9+'Inputs'!$B$10))^2+('Inputs'!$B$6/2)^2))))*'Results'!$B$8),"")</x:f>
        <x:v>0.3620063857707419</x:v>
      </x:c>
      <x:c r="N1006" t="n">
        <x:f>IF(AND(ISNUMBER('Results'!C7),ISNUMBER('Results'!B7),ISNUMBER('Results'!$B$8),ISNUMBER('Inputs'!$B$6),ISNUMBER('Inputs'!$B$7),ISNUMBER('Inputs'!$B$8),ISNUMBER('Inputs'!$B$9),ISNUMBER('Inputs'!$B$10),ISNUMBER('Inputs'!$B$21),ISNUMBER('Inputs'!$B$24),ISNUMBER('Inputs'!$B$28)),((('Results'!C7*(1-'Inputs'!$B$24)*(0.5*((((1006-43)*MAX('Inputs'!$B$33,'Inputs'!$B$29+'Inputs'!$B$31+'Inputs'!$B$32,'Inputs'!$B$30+'Inputs'!$B$31+'Inputs'!$B$32)/1000+'Inputs'!$B$21)+'Inputs'!$B$9)/SQRT((((1006-43)*MAX('Inputs'!$B$33,'Inputs'!$B$29+'Inputs'!$B$31+'Inputs'!$B$32,'Inputs'!$B$30+'Inputs'!$B$31+'Inputs'!$B$32)/1000+'Inputs'!$B$21)+'Inputs'!$B$9)^2+('Inputs'!$B$8/2)^2)-(((1006-43)*MAX('Inputs'!$B$33,'Inputs'!$B$29+'Inputs'!$B$31+'Inputs'!$B$32,'Inputs'!$B$30+'Inputs'!$B$31+'Inputs'!$B$32)/1000+'Inputs'!$B$21))/SQRT((((1006-43)*MAX('Inputs'!$B$33,'Inputs'!$B$29+'Inputs'!$B$31+'Inputs'!$B$32,'Inputs'!$B$30+'Inputs'!$B$31+'Inputs'!$B$32)/1000+'Inputs'!$B$21))^2+('Inputs'!$B$8/2)^2)))-'Results'!B7*(1+'Inputs'!$B$24)*(0.5*((((1006-43)*MAX('Inputs'!$B$33,'Inputs'!$B$29+'Inputs'!$B$31+'Inputs'!$B$32,'Inputs'!$B$30+'Inputs'!$B$31+'Inputs'!$B$32)/1000+'Inputs'!$B$21+'Inputs'!$B$9+'Inputs'!$B$10)+'Inputs'!$B$7)/SQRT((((1006-43)*MAX('Inputs'!$B$33,'Inputs'!$B$29+'Inputs'!$B$31+'Inputs'!$B$32,'Inputs'!$B$30+'Inputs'!$B$31+'Inputs'!$B$32)/1000+'Inputs'!$B$21+'Inputs'!$B$9+'Inputs'!$B$10)+'Inputs'!$B$7)^2+('Inputs'!$B$6/2)^2)-(((1006-43)*MAX('Inputs'!$B$33,'Inputs'!$B$29+'Inputs'!$B$31+'Inputs'!$B$32,'Inputs'!$B$30+'Inputs'!$B$31+'Inputs'!$B$32)/1000+'Inputs'!$B$21+'Inputs'!$B$9+'Inputs'!$B$10))/SQRT((((1006-43)*MAX('Inputs'!$B$33,'Inputs'!$B$29+'Inputs'!$B$31+'Inputs'!$B$32,'Inputs'!$B$30+'Inputs'!$B$31+'Inputs'!$B$32)/1000+'Inputs'!$B$21+'Inputs'!$B$9+'Inputs'!$B$10))^2+('Inputs'!$B$6/2)^2))))*'Results'!$B$8)-'Inputs'!$B$28*ABS((('Results'!C7*(1-'Inputs'!$B$24)*(0.5*((((1006-43)*MAX('Inputs'!$B$33,'Inputs'!$B$29+'Inputs'!$B$31+'Inputs'!$B$32,'Inputs'!$B$30+'Inputs'!$B$31+'Inputs'!$B$32)/1000+'Inputs'!$B$21)+'Inputs'!$B$9)/SQRT((((1006-43)*MAX('Inputs'!$B$33,'Inputs'!$B$29+'Inputs'!$B$31+'Inputs'!$B$32,'Inputs'!$B$30+'Inputs'!$B$31+'Inputs'!$B$32)/1000+'Inputs'!$B$21)+'Inputs'!$B$9)^2+('Inputs'!$B$8/2)^2)-(((1006-43)*MAX('Inputs'!$B$33,'Inputs'!$B$29+'Inputs'!$B$31+'Inputs'!$B$32,'Inputs'!$B$30+'Inputs'!$B$31+'Inputs'!$B$32)/1000+'Inputs'!$B$21))/SQRT((((1006-43)*MAX('Inputs'!$B$33,'Inputs'!$B$29+'Inputs'!$B$31+'Inputs'!$B$32,'Inputs'!$B$30+'Inputs'!$B$31+'Inputs'!$B$32)/1000+'Inputs'!$B$21))^2+('Inputs'!$B$8/2)^2)))-'Results'!B7*(1+'Inputs'!$B$24)*(0.5*((((1006-43)*MAX('Inputs'!$B$33,'Inputs'!$B$29+'Inputs'!$B$31+'Inputs'!$B$32,'Inputs'!$B$30+'Inputs'!$B$31+'Inputs'!$B$32)/1000+'Inputs'!$B$21+'Inputs'!$B$9+'Inputs'!$B$10)+'Inputs'!$B$7)/SQRT((((1006-43)*MAX('Inputs'!$B$33,'Inputs'!$B$29+'Inputs'!$B$31+'Inputs'!$B$32,'Inputs'!$B$30+'Inputs'!$B$31+'Inputs'!$B$32)/1000+'Inputs'!$B$21+'Inputs'!$B$9+'Inputs'!$B$10)+'Inputs'!$B$7)^2+('Inputs'!$B$6/2)^2)-(((1006-43)*MAX('Inputs'!$B$33,'Inputs'!$B$29+'Inputs'!$B$31+'Inputs'!$B$32,'Inputs'!$B$30+'Inputs'!$B$31+'Inputs'!$B$32)/1000+'Inputs'!$B$21+'Inputs'!$B$9+'Inputs'!$B$10))/SQRT((((1006-43)*MAX('Inputs'!$B$33,'Inputs'!$B$29+'Inputs'!$B$31+'Inputs'!$B$32,'Inputs'!$B$30+'Inputs'!$B$31+'Inputs'!$B$32)/1000+'Inputs'!$B$21+'Inputs'!$B$9+'Inputs'!$B$10))^2+('Inputs'!$B$6/2)^2))))*'Results'!$B$8))),"")</x:f>
        <x:v>0.299052895499484</x:v>
      </x:c>
      <x:c r="O1006" t="n">
        <x:f>IF(AND(ISNUMBER('Results'!C7),ISNUMBER('Results'!B7),ISNUMBER('Results'!$B$8),ISNUMBER('Inputs'!$B$6),ISNUMBER('Inputs'!$B$7),ISNUMBER('Inputs'!$B$8),ISNUMBER('Inputs'!$B$9),ISNUMBER('Inputs'!$B$10),ISNUMBER('Inputs'!$B$21),ISNUMBER('Inputs'!$B$24),ISNUMBER('Inputs'!$B$28)),((('Results'!C7*(1+'Inputs'!$B$24)*(0.5*((((1006-43)*MAX('Inputs'!$B$33,'Inputs'!$B$29+'Inputs'!$B$31+'Inputs'!$B$32,'Inputs'!$B$30+'Inputs'!$B$31+'Inputs'!$B$32)/1000+'Inputs'!$B$21)+'Inputs'!$B$9)/SQRT((((1006-43)*MAX('Inputs'!$B$33,'Inputs'!$B$29+'Inputs'!$B$31+'Inputs'!$B$32,'Inputs'!$B$30+'Inputs'!$B$31+'Inputs'!$B$32)/1000+'Inputs'!$B$21)+'Inputs'!$B$9)^2+('Inputs'!$B$8/2)^2)-(((1006-43)*MAX('Inputs'!$B$33,'Inputs'!$B$29+'Inputs'!$B$31+'Inputs'!$B$32,'Inputs'!$B$30+'Inputs'!$B$31+'Inputs'!$B$32)/1000+'Inputs'!$B$21))/SQRT((((1006-43)*MAX('Inputs'!$B$33,'Inputs'!$B$29+'Inputs'!$B$31+'Inputs'!$B$32,'Inputs'!$B$30+'Inputs'!$B$31+'Inputs'!$B$32)/1000+'Inputs'!$B$21))^2+('Inputs'!$B$8/2)^2)))-'Results'!B7*(1-'Inputs'!$B$24)*(0.5*((((1006-43)*MAX('Inputs'!$B$33,'Inputs'!$B$29+'Inputs'!$B$31+'Inputs'!$B$32,'Inputs'!$B$30+'Inputs'!$B$31+'Inputs'!$B$32)/1000+'Inputs'!$B$21+'Inputs'!$B$9+'Inputs'!$B$10)+'Inputs'!$B$7)/SQRT((((1006-43)*MAX('Inputs'!$B$33,'Inputs'!$B$29+'Inputs'!$B$31+'Inputs'!$B$32,'Inputs'!$B$30+'Inputs'!$B$31+'Inputs'!$B$32)/1000+'Inputs'!$B$21+'Inputs'!$B$9+'Inputs'!$B$10)+'Inputs'!$B$7)^2+('Inputs'!$B$6/2)^2)-(((1006-43)*MAX('Inputs'!$B$33,'Inputs'!$B$29+'Inputs'!$B$31+'Inputs'!$B$32,'Inputs'!$B$30+'Inputs'!$B$31+'Inputs'!$B$32)/1000+'Inputs'!$B$21+'Inputs'!$B$9+'Inputs'!$B$10))/SQRT((((1006-43)*MAX('Inputs'!$B$33,'Inputs'!$B$29+'Inputs'!$B$31+'Inputs'!$B$32,'Inputs'!$B$30+'Inputs'!$B$31+'Inputs'!$B$32)/1000+'Inputs'!$B$21+'Inputs'!$B$9+'Inputs'!$B$10))^2+('Inputs'!$B$6/2)^2))))*'Results'!$B$8)+'Inputs'!$B$28*ABS((('Results'!C7*(1+'Inputs'!$B$24)*(0.5*((((1006-43)*MAX('Inputs'!$B$33,'Inputs'!$B$29+'Inputs'!$B$31+'Inputs'!$B$32,'Inputs'!$B$30+'Inputs'!$B$31+'Inputs'!$B$32)/1000+'Inputs'!$B$21)+'Inputs'!$B$9)/SQRT((((1006-43)*MAX('Inputs'!$B$33,'Inputs'!$B$29+'Inputs'!$B$31+'Inputs'!$B$32,'Inputs'!$B$30+'Inputs'!$B$31+'Inputs'!$B$32)/1000+'Inputs'!$B$21)+'Inputs'!$B$9)^2+('Inputs'!$B$8/2)^2)-(((1006-43)*MAX('Inputs'!$B$33,'Inputs'!$B$29+'Inputs'!$B$31+'Inputs'!$B$32,'Inputs'!$B$30+'Inputs'!$B$31+'Inputs'!$B$32)/1000+'Inputs'!$B$21))/SQRT((((1006-43)*MAX('Inputs'!$B$33,'Inputs'!$B$29+'Inputs'!$B$31+'Inputs'!$B$32,'Inputs'!$B$30+'Inputs'!$B$31+'Inputs'!$B$32)/1000+'Inputs'!$B$21))^2+('Inputs'!$B$8/2)^2)))-'Results'!B7*(1-'Inputs'!$B$24)*(0.5*((((1006-43)*MAX('Inputs'!$B$33,'Inputs'!$B$29+'Inputs'!$B$31+'Inputs'!$B$32,'Inputs'!$B$30+'Inputs'!$B$31+'Inputs'!$B$32)/1000+'Inputs'!$B$21+'Inputs'!$B$9+'Inputs'!$B$10)+'Inputs'!$B$7)/SQRT((((1006-43)*MAX('Inputs'!$B$33,'Inputs'!$B$29+'Inputs'!$B$31+'Inputs'!$B$32,'Inputs'!$B$30+'Inputs'!$B$31+'Inputs'!$B$32)/1000+'Inputs'!$B$21+'Inputs'!$B$9+'Inputs'!$B$10)+'Inputs'!$B$7)^2+('Inputs'!$B$6/2)^2)-(((1006-43)*MAX('Inputs'!$B$33,'Inputs'!$B$29+'Inputs'!$B$31+'Inputs'!$B$32,'Inputs'!$B$30+'Inputs'!$B$31+'Inputs'!$B$32)/1000+'Inputs'!$B$21+'Inputs'!$B$9+'Inputs'!$B$10))/SQRT((((1006-43)*MAX('Inputs'!$B$33,'Inputs'!$B$29+'Inputs'!$B$31+'Inputs'!$B$32,'Inputs'!$B$30+'Inputs'!$B$31+'Inputs'!$B$32)/1000+'Inputs'!$B$21+'Inputs'!$B$9+'Inputs'!$B$10))^2+('Inputs'!$B$6/2)^2))))*'Results'!$B$8))),"")</x:f>
        <x:v>0.42968126246123384</x:v>
      </x:c>
      <x:c r="P1006" t="n">
        <x:f>IF(AND(MAX(J1006,J1005)&gt;0,J1006&gt;J1005+0.00000001),1,0)</x:f>
        <x:v>0</x:v>
      </x:c>
      <x:c r="Q1006" t="n">
        <x:f>IF(AND(MAX(K1006,K1005)&gt;0,K1006&gt;K1005+0.00000001),1,0)</x:f>
        <x:v>0</x:v>
      </x:c>
      <x:c r="R1006" t="n">
        <x:f>IF(AND(MAX(L1006,L1005)&gt;0,L1006&gt;L1005+0.00000001),1,0)</x:f>
        <x:v>0</x:v>
      </x:c>
      <x:c r="S1006" t="n">
        <x:f>IF(AND(MAX(M1006,M1005)&gt;0,M1006&gt;M1005+0.00000001),1,0)</x:f>
        <x:v>0</x:v>
      </x:c>
      <x:c r="T1006" t="n">
        <x:f>IF(AND(MAX(N1006,N1005)&gt;0,N1006&gt;N1005+0.00000001),1,0)</x:f>
        <x:v>0</x:v>
      </x:c>
      <x:c r="U1006" t="n">
        <x:f>IF(AND(MAX(O1006,O1005)&gt;0,O1006&gt;O1005+0.00000001),1,0)</x:f>
        <x:v>0</x:v>
      </x:c>
    </x:row>
    <x:row r="1007">
      <x:c r="J1007" t="n">
        <x:f>IF(AND(ISNUMBER('Results'!B7),ISNUMBER('Results'!C7),ISNUMBER('Results'!$B$8),ISNUMBER('Inputs'!$B$6),ISNUMBER('Inputs'!$B$7),ISNUMBER('Inputs'!$B$8),ISNUMBER('Inputs'!$B$9),ISNUMBER('Inputs'!$B$10),ISNUMBER('Inputs'!$B$21),ISNUMBER('Inputs'!$B$24),ISNUMBER('Inputs'!$B$28)),(('Results'!B7*(0.5*((((1007-43)*MAX('Inputs'!$B$33,'Inputs'!$B$29+'Inputs'!$B$31+'Inputs'!$B$32,'Inputs'!$B$30+'Inputs'!$B$31+'Inputs'!$B$32)/1000+'Inputs'!$B$21)+'Inputs'!$B$7)/SQRT((((1007-43)*MAX('Inputs'!$B$33,'Inputs'!$B$29+'Inputs'!$B$31+'Inputs'!$B$32,'Inputs'!$B$30+'Inputs'!$B$31+'Inputs'!$B$32)/1000+'Inputs'!$B$21)+'Inputs'!$B$7)^2+('Inputs'!$B$6/2)^2)-(((1007-43)*MAX('Inputs'!$B$33,'Inputs'!$B$29+'Inputs'!$B$31+'Inputs'!$B$32,'Inputs'!$B$30+'Inputs'!$B$31+'Inputs'!$B$32)/1000+'Inputs'!$B$21))/SQRT((((1007-43)*MAX('Inputs'!$B$33,'Inputs'!$B$29+'Inputs'!$B$31+'Inputs'!$B$32,'Inputs'!$B$30+'Inputs'!$B$31+'Inputs'!$B$32)/1000+'Inputs'!$B$21))^2+('Inputs'!$B$6/2)^2)))-'Results'!C7*(0.5*((((1007-43)*MAX('Inputs'!$B$33,'Inputs'!$B$29+'Inputs'!$B$31+'Inputs'!$B$32,'Inputs'!$B$30+'Inputs'!$B$31+'Inputs'!$B$32)/1000+'Inputs'!$B$21+'Inputs'!$B$7+'Inputs'!$B$10)+'Inputs'!$B$9)/SQRT((((1007-43)*MAX('Inputs'!$B$33,'Inputs'!$B$29+'Inputs'!$B$31+'Inputs'!$B$32,'Inputs'!$B$30+'Inputs'!$B$31+'Inputs'!$B$32)/1000+'Inputs'!$B$21+'Inputs'!$B$7+'Inputs'!$B$10)+'Inputs'!$B$9)^2+('Inputs'!$B$8/2)^2)-(((1007-43)*MAX('Inputs'!$B$33,'Inputs'!$B$29+'Inputs'!$B$31+'Inputs'!$B$32,'Inputs'!$B$30+'Inputs'!$B$31+'Inputs'!$B$32)/1000+'Inputs'!$B$21+'Inputs'!$B$7+'Inputs'!$B$10))/SQRT((((1007-43)*MAX('Inputs'!$B$33,'Inputs'!$B$29+'Inputs'!$B$31+'Inputs'!$B$32,'Inputs'!$B$30+'Inputs'!$B$31+'Inputs'!$B$32)/1000+'Inputs'!$B$21+'Inputs'!$B$7+'Inputs'!$B$10))^2+('Inputs'!$B$8/2)^2))))*'Results'!$B$8),"")</x:f>
        <x:v>0.4082288697763717</x:v>
      </x:c>
      <x:c r="K1007" t="n">
        <x:f>IF(AND(ISNUMBER('Results'!B7),ISNUMBER('Results'!C7),ISNUMBER('Results'!$B$8),ISNUMBER('Inputs'!$B$6),ISNUMBER('Inputs'!$B$7),ISNUMBER('Inputs'!$B$8),ISNUMBER('Inputs'!$B$9),ISNUMBER('Inputs'!$B$10),ISNUMBER('Inputs'!$B$21),ISNUMBER('Inputs'!$B$24),ISNUMBER('Inputs'!$B$28)),((('Results'!B7*(1-'Inputs'!$B$24)*(0.5*((((1007-43)*MAX('Inputs'!$B$33,'Inputs'!$B$29+'Inputs'!$B$31+'Inputs'!$B$32,'Inputs'!$B$30+'Inputs'!$B$31+'Inputs'!$B$32)/1000+'Inputs'!$B$21)+'Inputs'!$B$7)/SQRT((((1007-43)*MAX('Inputs'!$B$33,'Inputs'!$B$29+'Inputs'!$B$31+'Inputs'!$B$32,'Inputs'!$B$30+'Inputs'!$B$31+'Inputs'!$B$32)/1000+'Inputs'!$B$21)+'Inputs'!$B$7)^2+('Inputs'!$B$6/2)^2)-(((1007-43)*MAX('Inputs'!$B$33,'Inputs'!$B$29+'Inputs'!$B$31+'Inputs'!$B$32,'Inputs'!$B$30+'Inputs'!$B$31+'Inputs'!$B$32)/1000+'Inputs'!$B$21))/SQRT((((1007-43)*MAX('Inputs'!$B$33,'Inputs'!$B$29+'Inputs'!$B$31+'Inputs'!$B$32,'Inputs'!$B$30+'Inputs'!$B$31+'Inputs'!$B$32)/1000+'Inputs'!$B$21))^2+('Inputs'!$B$6/2)^2)))-'Results'!C7*(1+'Inputs'!$B$24)*(0.5*((((1007-43)*MAX('Inputs'!$B$33,'Inputs'!$B$29+'Inputs'!$B$31+'Inputs'!$B$32,'Inputs'!$B$30+'Inputs'!$B$31+'Inputs'!$B$32)/1000+'Inputs'!$B$21+'Inputs'!$B$7+'Inputs'!$B$10)+'Inputs'!$B$9)/SQRT((((1007-43)*MAX('Inputs'!$B$33,'Inputs'!$B$29+'Inputs'!$B$31+'Inputs'!$B$32,'Inputs'!$B$30+'Inputs'!$B$31+'Inputs'!$B$32)/1000+'Inputs'!$B$21+'Inputs'!$B$7+'Inputs'!$B$10)+'Inputs'!$B$9)^2+('Inputs'!$B$8/2)^2)-(((1007-43)*MAX('Inputs'!$B$33,'Inputs'!$B$29+'Inputs'!$B$31+'Inputs'!$B$32,'Inputs'!$B$30+'Inputs'!$B$31+'Inputs'!$B$32)/1000+'Inputs'!$B$21+'Inputs'!$B$7+'Inputs'!$B$10))/SQRT((((1007-43)*MAX('Inputs'!$B$33,'Inputs'!$B$29+'Inputs'!$B$31+'Inputs'!$B$32,'Inputs'!$B$30+'Inputs'!$B$31+'Inputs'!$B$32)/1000+'Inputs'!$B$21+'Inputs'!$B$7+'Inputs'!$B$10))^2+('Inputs'!$B$8/2)^2))))*'Results'!$B$8)-'Inputs'!$B$28*ABS((('Results'!B7*(1-'Inputs'!$B$24)*(0.5*((((1007-43)*MAX('Inputs'!$B$33,'Inputs'!$B$29+'Inputs'!$B$31+'Inputs'!$B$32,'Inputs'!$B$30+'Inputs'!$B$31+'Inputs'!$B$32)/1000+'Inputs'!$B$21)+'Inputs'!$B$7)/SQRT((((1007-43)*MAX('Inputs'!$B$33,'Inputs'!$B$29+'Inputs'!$B$31+'Inputs'!$B$32,'Inputs'!$B$30+'Inputs'!$B$31+'Inputs'!$B$32)/1000+'Inputs'!$B$21)+'Inputs'!$B$7)^2+('Inputs'!$B$6/2)^2)-(((1007-43)*MAX('Inputs'!$B$33,'Inputs'!$B$29+'Inputs'!$B$31+'Inputs'!$B$32,'Inputs'!$B$30+'Inputs'!$B$31+'Inputs'!$B$32)/1000+'Inputs'!$B$21))/SQRT((((1007-43)*MAX('Inputs'!$B$33,'Inputs'!$B$29+'Inputs'!$B$31+'Inputs'!$B$32,'Inputs'!$B$30+'Inputs'!$B$31+'Inputs'!$B$32)/1000+'Inputs'!$B$21))^2+('Inputs'!$B$6/2)^2)))-'Results'!C7*(1+'Inputs'!$B$24)*(0.5*((((1007-43)*MAX('Inputs'!$B$33,'Inputs'!$B$29+'Inputs'!$B$31+'Inputs'!$B$32,'Inputs'!$B$30+'Inputs'!$B$31+'Inputs'!$B$32)/1000+'Inputs'!$B$21+'Inputs'!$B$7+'Inputs'!$B$10)+'Inputs'!$B$9)/SQRT((((1007-43)*MAX('Inputs'!$B$33,'Inputs'!$B$29+'Inputs'!$B$31+'Inputs'!$B$32,'Inputs'!$B$30+'Inputs'!$B$31+'Inputs'!$B$32)/1000+'Inputs'!$B$21+'Inputs'!$B$7+'Inputs'!$B$10)+'Inputs'!$B$9)^2+('Inputs'!$B$8/2)^2)-(((1007-43)*MAX('Inputs'!$B$33,'Inputs'!$B$29+'Inputs'!$B$31+'Inputs'!$B$32,'Inputs'!$B$30+'Inputs'!$B$31+'Inputs'!$B$32)/1000+'Inputs'!$B$21+'Inputs'!$B$7+'Inputs'!$B$10))/SQRT((((1007-43)*MAX('Inputs'!$B$33,'Inputs'!$B$29+'Inputs'!$B$31+'Inputs'!$B$32,'Inputs'!$B$30+'Inputs'!$B$31+'Inputs'!$B$32)/1000+'Inputs'!$B$21+'Inputs'!$B$7+'Inputs'!$B$10))^2+('Inputs'!$B$8/2)^2))))*'Results'!$B$8))),"")</x:f>
        <x:v>0.3429465852767023</x:v>
      </x:c>
      <x:c r="L1007" t="n">
        <x:f>IF(AND(ISNUMBER('Results'!B7),ISNUMBER('Results'!C7),ISNUMBER('Results'!$B$8),ISNUMBER('Inputs'!$B$6),ISNUMBER('Inputs'!$B$7),ISNUMBER('Inputs'!$B$8),ISNUMBER('Inputs'!$B$9),ISNUMBER('Inputs'!$B$10),ISNUMBER('Inputs'!$B$21),ISNUMBER('Inputs'!$B$24),ISNUMBER('Inputs'!$B$28)),((('Results'!B7*(1+'Inputs'!$B$24)*(0.5*((((1007-43)*MAX('Inputs'!$B$33,'Inputs'!$B$29+'Inputs'!$B$31+'Inputs'!$B$32,'Inputs'!$B$30+'Inputs'!$B$31+'Inputs'!$B$32)/1000+'Inputs'!$B$21)+'Inputs'!$B$7)/SQRT((((1007-43)*MAX('Inputs'!$B$33,'Inputs'!$B$29+'Inputs'!$B$31+'Inputs'!$B$32,'Inputs'!$B$30+'Inputs'!$B$31+'Inputs'!$B$32)/1000+'Inputs'!$B$21)+'Inputs'!$B$7)^2+('Inputs'!$B$6/2)^2)-(((1007-43)*MAX('Inputs'!$B$33,'Inputs'!$B$29+'Inputs'!$B$31+'Inputs'!$B$32,'Inputs'!$B$30+'Inputs'!$B$31+'Inputs'!$B$32)/1000+'Inputs'!$B$21))/SQRT((((1007-43)*MAX('Inputs'!$B$33,'Inputs'!$B$29+'Inputs'!$B$31+'Inputs'!$B$32,'Inputs'!$B$30+'Inputs'!$B$31+'Inputs'!$B$32)/1000+'Inputs'!$B$21))^2+('Inputs'!$B$6/2)^2)))-'Results'!C7*(1-'Inputs'!$B$24)*(0.5*((((1007-43)*MAX('Inputs'!$B$33,'Inputs'!$B$29+'Inputs'!$B$31+'Inputs'!$B$32,'Inputs'!$B$30+'Inputs'!$B$31+'Inputs'!$B$32)/1000+'Inputs'!$B$21+'Inputs'!$B$7+'Inputs'!$B$10)+'Inputs'!$B$9)/SQRT((((1007-43)*MAX('Inputs'!$B$33,'Inputs'!$B$29+'Inputs'!$B$31+'Inputs'!$B$32,'Inputs'!$B$30+'Inputs'!$B$31+'Inputs'!$B$32)/1000+'Inputs'!$B$21+'Inputs'!$B$7+'Inputs'!$B$10)+'Inputs'!$B$9)^2+('Inputs'!$B$8/2)^2)-(((1007-43)*MAX('Inputs'!$B$33,'Inputs'!$B$29+'Inputs'!$B$31+'Inputs'!$B$32,'Inputs'!$B$30+'Inputs'!$B$31+'Inputs'!$B$32)/1000+'Inputs'!$B$21+'Inputs'!$B$7+'Inputs'!$B$10))/SQRT((((1007-43)*MAX('Inputs'!$B$33,'Inputs'!$B$29+'Inputs'!$B$31+'Inputs'!$B$32,'Inputs'!$B$30+'Inputs'!$B$31+'Inputs'!$B$32)/1000+'Inputs'!$B$21+'Inputs'!$B$7+'Inputs'!$B$10))^2+('Inputs'!$B$8/2)^2))))*'Results'!$B$8)+'Inputs'!$B$28*ABS((('Results'!B7*(1+'Inputs'!$B$24)*(0.5*((((1007-43)*MAX('Inputs'!$B$33,'Inputs'!$B$29+'Inputs'!$B$31+'Inputs'!$B$32,'Inputs'!$B$30+'Inputs'!$B$31+'Inputs'!$B$32)/1000+'Inputs'!$B$21)+'Inputs'!$B$7)/SQRT((((1007-43)*MAX('Inputs'!$B$33,'Inputs'!$B$29+'Inputs'!$B$31+'Inputs'!$B$32,'Inputs'!$B$30+'Inputs'!$B$31+'Inputs'!$B$32)/1000+'Inputs'!$B$21)+'Inputs'!$B$7)^2+('Inputs'!$B$6/2)^2)-(((1007-43)*MAX('Inputs'!$B$33,'Inputs'!$B$29+'Inputs'!$B$31+'Inputs'!$B$32,'Inputs'!$B$30+'Inputs'!$B$31+'Inputs'!$B$32)/1000+'Inputs'!$B$21))/SQRT((((1007-43)*MAX('Inputs'!$B$33,'Inputs'!$B$29+'Inputs'!$B$31+'Inputs'!$B$32,'Inputs'!$B$30+'Inputs'!$B$31+'Inputs'!$B$32)/1000+'Inputs'!$B$21))^2+('Inputs'!$B$6/2)^2)))-'Results'!C7*(1-'Inputs'!$B$24)*(0.5*((((1007-43)*MAX('Inputs'!$B$33,'Inputs'!$B$29+'Inputs'!$B$31+'Inputs'!$B$32,'Inputs'!$B$30+'Inputs'!$B$31+'Inputs'!$B$32)/1000+'Inputs'!$B$21+'Inputs'!$B$7+'Inputs'!$B$10)+'Inputs'!$B$9)/SQRT((((1007-43)*MAX('Inputs'!$B$33,'Inputs'!$B$29+'Inputs'!$B$31+'Inputs'!$B$32,'Inputs'!$B$30+'Inputs'!$B$31+'Inputs'!$B$32)/1000+'Inputs'!$B$21+'Inputs'!$B$7+'Inputs'!$B$10)+'Inputs'!$B$9)^2+('Inputs'!$B$8/2)^2)-(((1007-43)*MAX('Inputs'!$B$33,'Inputs'!$B$29+'Inputs'!$B$31+'Inputs'!$B$32,'Inputs'!$B$30+'Inputs'!$B$31+'Inputs'!$B$32)/1000+'Inputs'!$B$21+'Inputs'!$B$7+'Inputs'!$B$10))/SQRT((((1007-43)*MAX('Inputs'!$B$33,'Inputs'!$B$29+'Inputs'!$B$31+'Inputs'!$B$32,'Inputs'!$B$30+'Inputs'!$B$31+'Inputs'!$B$32)/1000+'Inputs'!$B$21+'Inputs'!$B$7+'Inputs'!$B$10))^2+('Inputs'!$B$8/2)^2))))*'Results'!$B$8))),"")</x:f>
        <x:v>0.4782344006982364</x:v>
      </x:c>
      <x:c r="M1007" t="n">
        <x:f>IF(AND(ISNUMBER('Results'!C7),ISNUMBER('Results'!B7),ISNUMBER('Results'!$B$8),ISNUMBER('Inputs'!$B$6),ISNUMBER('Inputs'!$B$7),ISNUMBER('Inputs'!$B$8),ISNUMBER('Inputs'!$B$9),ISNUMBER('Inputs'!$B$10),ISNUMBER('Inputs'!$B$21),ISNUMBER('Inputs'!$B$24),ISNUMBER('Inputs'!$B$28)),(('Results'!C7*(0.5*((((1007-43)*MAX('Inputs'!$B$33,'Inputs'!$B$29+'Inputs'!$B$31+'Inputs'!$B$32,'Inputs'!$B$30+'Inputs'!$B$31+'Inputs'!$B$32)/1000+'Inputs'!$B$21)+'Inputs'!$B$9)/SQRT((((1007-43)*MAX('Inputs'!$B$33,'Inputs'!$B$29+'Inputs'!$B$31+'Inputs'!$B$32,'Inputs'!$B$30+'Inputs'!$B$31+'Inputs'!$B$32)/1000+'Inputs'!$B$21)+'Inputs'!$B$9)^2+('Inputs'!$B$8/2)^2)-(((1007-43)*MAX('Inputs'!$B$33,'Inputs'!$B$29+'Inputs'!$B$31+'Inputs'!$B$32,'Inputs'!$B$30+'Inputs'!$B$31+'Inputs'!$B$32)/1000+'Inputs'!$B$21))/SQRT((((1007-43)*MAX('Inputs'!$B$33,'Inputs'!$B$29+'Inputs'!$B$31+'Inputs'!$B$32,'Inputs'!$B$30+'Inputs'!$B$31+'Inputs'!$B$32)/1000+'Inputs'!$B$21))^2+('Inputs'!$B$8/2)^2)))-'Results'!B7*(0.5*((((1007-43)*MAX('Inputs'!$B$33,'Inputs'!$B$29+'Inputs'!$B$31+'Inputs'!$B$32,'Inputs'!$B$30+'Inputs'!$B$31+'Inputs'!$B$32)/1000+'Inputs'!$B$21+'Inputs'!$B$9+'Inputs'!$B$10)+'Inputs'!$B$7)/SQRT((((1007-43)*MAX('Inputs'!$B$33,'Inputs'!$B$29+'Inputs'!$B$31+'Inputs'!$B$32,'Inputs'!$B$30+'Inputs'!$B$31+'Inputs'!$B$32)/1000+'Inputs'!$B$21+'Inputs'!$B$9+'Inputs'!$B$10)+'Inputs'!$B$7)^2+('Inputs'!$B$6/2)^2)-(((1007-43)*MAX('Inputs'!$B$33,'Inputs'!$B$29+'Inputs'!$B$31+'Inputs'!$B$32,'Inputs'!$B$30+'Inputs'!$B$31+'Inputs'!$B$32)/1000+'Inputs'!$B$21+'Inputs'!$B$9+'Inputs'!$B$10))/SQRT((((1007-43)*MAX('Inputs'!$B$33,'Inputs'!$B$29+'Inputs'!$B$31+'Inputs'!$B$32,'Inputs'!$B$30+'Inputs'!$B$31+'Inputs'!$B$32)/1000+'Inputs'!$B$21+'Inputs'!$B$9+'Inputs'!$B$10))^2+('Inputs'!$B$6/2)^2))))*'Results'!$B$8),"")</x:f>
        <x:v>0.36059775364803154</x:v>
      </x:c>
      <x:c r="N1007" t="n">
        <x:f>IF(AND(ISNUMBER('Results'!C7),ISNUMBER('Results'!B7),ISNUMBER('Results'!$B$8),ISNUMBER('Inputs'!$B$6),ISNUMBER('Inputs'!$B$7),ISNUMBER('Inputs'!$B$8),ISNUMBER('Inputs'!$B$9),ISNUMBER('Inputs'!$B$10),ISNUMBER('Inputs'!$B$21),ISNUMBER('Inputs'!$B$24),ISNUMBER('Inputs'!$B$28)),((('Results'!C7*(1-'Inputs'!$B$24)*(0.5*((((1007-43)*MAX('Inputs'!$B$33,'Inputs'!$B$29+'Inputs'!$B$31+'Inputs'!$B$32,'Inputs'!$B$30+'Inputs'!$B$31+'Inputs'!$B$32)/1000+'Inputs'!$B$21)+'Inputs'!$B$9)/SQRT((((1007-43)*MAX('Inputs'!$B$33,'Inputs'!$B$29+'Inputs'!$B$31+'Inputs'!$B$32,'Inputs'!$B$30+'Inputs'!$B$31+'Inputs'!$B$32)/1000+'Inputs'!$B$21)+'Inputs'!$B$9)^2+('Inputs'!$B$8/2)^2)-(((1007-43)*MAX('Inputs'!$B$33,'Inputs'!$B$29+'Inputs'!$B$31+'Inputs'!$B$32,'Inputs'!$B$30+'Inputs'!$B$31+'Inputs'!$B$32)/1000+'Inputs'!$B$21))/SQRT((((1007-43)*MAX('Inputs'!$B$33,'Inputs'!$B$29+'Inputs'!$B$31+'Inputs'!$B$32,'Inputs'!$B$30+'Inputs'!$B$31+'Inputs'!$B$32)/1000+'Inputs'!$B$21))^2+('Inputs'!$B$8/2)^2)))-'Results'!B7*(1+'Inputs'!$B$24)*(0.5*((((1007-43)*MAX('Inputs'!$B$33,'Inputs'!$B$29+'Inputs'!$B$31+'Inputs'!$B$32,'Inputs'!$B$30+'Inputs'!$B$31+'Inputs'!$B$32)/1000+'Inputs'!$B$21+'Inputs'!$B$9+'Inputs'!$B$10)+'Inputs'!$B$7)/SQRT((((1007-43)*MAX('Inputs'!$B$33,'Inputs'!$B$29+'Inputs'!$B$31+'Inputs'!$B$32,'Inputs'!$B$30+'Inputs'!$B$31+'Inputs'!$B$32)/1000+'Inputs'!$B$21+'Inputs'!$B$9+'Inputs'!$B$10)+'Inputs'!$B$7)^2+('Inputs'!$B$6/2)^2)-(((1007-43)*MAX('Inputs'!$B$33,'Inputs'!$B$29+'Inputs'!$B$31+'Inputs'!$B$32,'Inputs'!$B$30+'Inputs'!$B$31+'Inputs'!$B$32)/1000+'Inputs'!$B$21+'Inputs'!$B$9+'Inputs'!$B$10))/SQRT((((1007-43)*MAX('Inputs'!$B$33,'Inputs'!$B$29+'Inputs'!$B$31+'Inputs'!$B$32,'Inputs'!$B$30+'Inputs'!$B$31+'Inputs'!$B$32)/1000+'Inputs'!$B$21+'Inputs'!$B$9+'Inputs'!$B$10))^2+('Inputs'!$B$6/2)^2))))*'Results'!$B$8)-'Inputs'!$B$28*ABS((('Results'!C7*(1-'Inputs'!$B$24)*(0.5*((((1007-43)*MAX('Inputs'!$B$33,'Inputs'!$B$29+'Inputs'!$B$31+'Inputs'!$B$32,'Inputs'!$B$30+'Inputs'!$B$31+'Inputs'!$B$32)/1000+'Inputs'!$B$21)+'Inputs'!$B$9)/SQRT((((1007-43)*MAX('Inputs'!$B$33,'Inputs'!$B$29+'Inputs'!$B$31+'Inputs'!$B$32,'Inputs'!$B$30+'Inputs'!$B$31+'Inputs'!$B$32)/1000+'Inputs'!$B$21)+'Inputs'!$B$9)^2+('Inputs'!$B$8/2)^2)-(((1007-43)*MAX('Inputs'!$B$33,'Inputs'!$B$29+'Inputs'!$B$31+'Inputs'!$B$32,'Inputs'!$B$30+'Inputs'!$B$31+'Inputs'!$B$32)/1000+'Inputs'!$B$21))/SQRT((((1007-43)*MAX('Inputs'!$B$33,'Inputs'!$B$29+'Inputs'!$B$31+'Inputs'!$B$32,'Inputs'!$B$30+'Inputs'!$B$31+'Inputs'!$B$32)/1000+'Inputs'!$B$21))^2+('Inputs'!$B$8/2)^2)))-'Results'!B7*(1+'Inputs'!$B$24)*(0.5*((((1007-43)*MAX('Inputs'!$B$33,'Inputs'!$B$29+'Inputs'!$B$31+'Inputs'!$B$32,'Inputs'!$B$30+'Inputs'!$B$31+'Inputs'!$B$32)/1000+'Inputs'!$B$21+'Inputs'!$B$9+'Inputs'!$B$10)+'Inputs'!$B$7)/SQRT((((1007-43)*MAX('Inputs'!$B$33,'Inputs'!$B$29+'Inputs'!$B$31+'Inputs'!$B$32,'Inputs'!$B$30+'Inputs'!$B$31+'Inputs'!$B$32)/1000+'Inputs'!$B$21+'Inputs'!$B$9+'Inputs'!$B$10)+'Inputs'!$B$7)^2+('Inputs'!$B$6/2)^2)-(((1007-43)*MAX('Inputs'!$B$33,'Inputs'!$B$29+'Inputs'!$B$31+'Inputs'!$B$32,'Inputs'!$B$30+'Inputs'!$B$31+'Inputs'!$B$32)/1000+'Inputs'!$B$21+'Inputs'!$B$9+'Inputs'!$B$10))/SQRT((((1007-43)*MAX('Inputs'!$B$33,'Inputs'!$B$29+'Inputs'!$B$31+'Inputs'!$B$32,'Inputs'!$B$30+'Inputs'!$B$31+'Inputs'!$B$32)/1000+'Inputs'!$B$21+'Inputs'!$B$9+'Inputs'!$B$10))^2+('Inputs'!$B$6/2)^2))))*'Results'!$B$8))),"")</x:f>
        <x:v>0.29784457753907234</x:v>
      </x:c>
      <x:c r="O1007" t="n">
        <x:f>IF(AND(ISNUMBER('Results'!C7),ISNUMBER('Results'!B7),ISNUMBER('Results'!$B$8),ISNUMBER('Inputs'!$B$6),ISNUMBER('Inputs'!$B$7),ISNUMBER('Inputs'!$B$8),ISNUMBER('Inputs'!$B$9),ISNUMBER('Inputs'!$B$10),ISNUMBER('Inputs'!$B$21),ISNUMBER('Inputs'!$B$24),ISNUMBER('Inputs'!$B$28)),((('Results'!C7*(1+'Inputs'!$B$24)*(0.5*((((1007-43)*MAX('Inputs'!$B$33,'Inputs'!$B$29+'Inputs'!$B$31+'Inputs'!$B$32,'Inputs'!$B$30+'Inputs'!$B$31+'Inputs'!$B$32)/1000+'Inputs'!$B$21)+'Inputs'!$B$9)/SQRT((((1007-43)*MAX('Inputs'!$B$33,'Inputs'!$B$29+'Inputs'!$B$31+'Inputs'!$B$32,'Inputs'!$B$30+'Inputs'!$B$31+'Inputs'!$B$32)/1000+'Inputs'!$B$21)+'Inputs'!$B$9)^2+('Inputs'!$B$8/2)^2)-(((1007-43)*MAX('Inputs'!$B$33,'Inputs'!$B$29+'Inputs'!$B$31+'Inputs'!$B$32,'Inputs'!$B$30+'Inputs'!$B$31+'Inputs'!$B$32)/1000+'Inputs'!$B$21))/SQRT((((1007-43)*MAX('Inputs'!$B$33,'Inputs'!$B$29+'Inputs'!$B$31+'Inputs'!$B$32,'Inputs'!$B$30+'Inputs'!$B$31+'Inputs'!$B$32)/1000+'Inputs'!$B$21))^2+('Inputs'!$B$8/2)^2)))-'Results'!B7*(1-'Inputs'!$B$24)*(0.5*((((1007-43)*MAX('Inputs'!$B$33,'Inputs'!$B$29+'Inputs'!$B$31+'Inputs'!$B$32,'Inputs'!$B$30+'Inputs'!$B$31+'Inputs'!$B$32)/1000+'Inputs'!$B$21+'Inputs'!$B$9+'Inputs'!$B$10)+'Inputs'!$B$7)/SQRT((((1007-43)*MAX('Inputs'!$B$33,'Inputs'!$B$29+'Inputs'!$B$31+'Inputs'!$B$32,'Inputs'!$B$30+'Inputs'!$B$31+'Inputs'!$B$32)/1000+'Inputs'!$B$21+'Inputs'!$B$9+'Inputs'!$B$10)+'Inputs'!$B$7)^2+('Inputs'!$B$6/2)^2)-(((1007-43)*MAX('Inputs'!$B$33,'Inputs'!$B$29+'Inputs'!$B$31+'Inputs'!$B$32,'Inputs'!$B$30+'Inputs'!$B$31+'Inputs'!$B$32)/1000+'Inputs'!$B$21+'Inputs'!$B$9+'Inputs'!$B$10))/SQRT((((1007-43)*MAX('Inputs'!$B$33,'Inputs'!$B$29+'Inputs'!$B$31+'Inputs'!$B$32,'Inputs'!$B$30+'Inputs'!$B$31+'Inputs'!$B$32)/1000+'Inputs'!$B$21+'Inputs'!$B$9+'Inputs'!$B$10))^2+('Inputs'!$B$6/2)^2))))*'Results'!$B$8)+'Inputs'!$B$28*ABS((('Results'!C7*(1+'Inputs'!$B$24)*(0.5*((((1007-43)*MAX('Inputs'!$B$33,'Inputs'!$B$29+'Inputs'!$B$31+'Inputs'!$B$32,'Inputs'!$B$30+'Inputs'!$B$31+'Inputs'!$B$32)/1000+'Inputs'!$B$21)+'Inputs'!$B$9)/SQRT((((1007-43)*MAX('Inputs'!$B$33,'Inputs'!$B$29+'Inputs'!$B$31+'Inputs'!$B$32,'Inputs'!$B$30+'Inputs'!$B$31+'Inputs'!$B$32)/1000+'Inputs'!$B$21)+'Inputs'!$B$9)^2+('Inputs'!$B$8/2)^2)-(((1007-43)*MAX('Inputs'!$B$33,'Inputs'!$B$29+'Inputs'!$B$31+'Inputs'!$B$32,'Inputs'!$B$30+'Inputs'!$B$31+'Inputs'!$B$32)/1000+'Inputs'!$B$21))/SQRT((((1007-43)*MAX('Inputs'!$B$33,'Inputs'!$B$29+'Inputs'!$B$31+'Inputs'!$B$32,'Inputs'!$B$30+'Inputs'!$B$31+'Inputs'!$B$32)/1000+'Inputs'!$B$21))^2+('Inputs'!$B$8/2)^2)))-'Results'!B7*(1-'Inputs'!$B$24)*(0.5*((((1007-43)*MAX('Inputs'!$B$33,'Inputs'!$B$29+'Inputs'!$B$31+'Inputs'!$B$32,'Inputs'!$B$30+'Inputs'!$B$31+'Inputs'!$B$32)/1000+'Inputs'!$B$21+'Inputs'!$B$9+'Inputs'!$B$10)+'Inputs'!$B$7)/SQRT((((1007-43)*MAX('Inputs'!$B$33,'Inputs'!$B$29+'Inputs'!$B$31+'Inputs'!$B$32,'Inputs'!$B$30+'Inputs'!$B$31+'Inputs'!$B$32)/1000+'Inputs'!$B$21+'Inputs'!$B$9+'Inputs'!$B$10)+'Inputs'!$B$7)^2+('Inputs'!$B$6/2)^2)-(((1007-43)*MAX('Inputs'!$B$33,'Inputs'!$B$29+'Inputs'!$B$31+'Inputs'!$B$32,'Inputs'!$B$30+'Inputs'!$B$31+'Inputs'!$B$32)/1000+'Inputs'!$B$21+'Inputs'!$B$9+'Inputs'!$B$10))/SQRT((((1007-43)*MAX('Inputs'!$B$33,'Inputs'!$B$29+'Inputs'!$B$31+'Inputs'!$B$32,'Inputs'!$B$30+'Inputs'!$B$31+'Inputs'!$B$32)/1000+'Inputs'!$B$21+'Inputs'!$B$9+'Inputs'!$B$10))^2+('Inputs'!$B$6/2)^2))))*'Results'!$B$8))),"")</x:f>
        <x:v>0.4280586443282071</x:v>
      </x:c>
      <x:c r="P1007" t="n">
        <x:f>IF(AND(MAX(J1007,J1006)&gt;0,J1007&gt;J1006+0.00000001),1,0)</x:f>
        <x:v>0</x:v>
      </x:c>
      <x:c r="Q1007" t="n">
        <x:f>IF(AND(MAX(K1007,K1006)&gt;0,K1007&gt;K1006+0.00000001),1,0)</x:f>
        <x:v>0</x:v>
      </x:c>
      <x:c r="R1007" t="n">
        <x:f>IF(AND(MAX(L1007,L1006)&gt;0,L1007&gt;L1006+0.00000001),1,0)</x:f>
        <x:v>0</x:v>
      </x:c>
      <x:c r="S1007" t="n">
        <x:f>IF(AND(MAX(M1007,M1006)&gt;0,M1007&gt;M1006+0.00000001),1,0)</x:f>
        <x:v>0</x:v>
      </x:c>
      <x:c r="T1007" t="n">
        <x:f>IF(AND(MAX(N1007,N1006)&gt;0,N1007&gt;N1006+0.00000001),1,0)</x:f>
        <x:v>0</x:v>
      </x:c>
      <x:c r="U1007" t="n">
        <x:f>IF(AND(MAX(O1007,O1006)&gt;0,O1007&gt;O1006+0.00000001),1,0)</x:f>
        <x:v>0</x:v>
      </x:c>
    </x:row>
    <x:row r="1008">
      <x:c r="J1008" t="n">
        <x:f>IF(AND(ISNUMBER('Results'!B7),ISNUMBER('Results'!C7),ISNUMBER('Results'!$B$8),ISNUMBER('Inputs'!$B$6),ISNUMBER('Inputs'!$B$7),ISNUMBER('Inputs'!$B$8),ISNUMBER('Inputs'!$B$9),ISNUMBER('Inputs'!$B$10),ISNUMBER('Inputs'!$B$21),ISNUMBER('Inputs'!$B$24),ISNUMBER('Inputs'!$B$28)),(('Results'!B7*(0.5*((((1008-43)*MAX('Inputs'!$B$33,'Inputs'!$B$29+'Inputs'!$B$31+'Inputs'!$B$32,'Inputs'!$B$30+'Inputs'!$B$31+'Inputs'!$B$32)/1000+'Inputs'!$B$21)+'Inputs'!$B$7)/SQRT((((1008-43)*MAX('Inputs'!$B$33,'Inputs'!$B$29+'Inputs'!$B$31+'Inputs'!$B$32,'Inputs'!$B$30+'Inputs'!$B$31+'Inputs'!$B$32)/1000+'Inputs'!$B$21)+'Inputs'!$B$7)^2+('Inputs'!$B$6/2)^2)-(((1008-43)*MAX('Inputs'!$B$33,'Inputs'!$B$29+'Inputs'!$B$31+'Inputs'!$B$32,'Inputs'!$B$30+'Inputs'!$B$31+'Inputs'!$B$32)/1000+'Inputs'!$B$21))/SQRT((((1008-43)*MAX('Inputs'!$B$33,'Inputs'!$B$29+'Inputs'!$B$31+'Inputs'!$B$32,'Inputs'!$B$30+'Inputs'!$B$31+'Inputs'!$B$32)/1000+'Inputs'!$B$21))^2+('Inputs'!$B$6/2)^2)))-'Results'!C7*(0.5*((((1008-43)*MAX('Inputs'!$B$33,'Inputs'!$B$29+'Inputs'!$B$31+'Inputs'!$B$32,'Inputs'!$B$30+'Inputs'!$B$31+'Inputs'!$B$32)/1000+'Inputs'!$B$21+'Inputs'!$B$7+'Inputs'!$B$10)+'Inputs'!$B$9)/SQRT((((1008-43)*MAX('Inputs'!$B$33,'Inputs'!$B$29+'Inputs'!$B$31+'Inputs'!$B$32,'Inputs'!$B$30+'Inputs'!$B$31+'Inputs'!$B$32)/1000+'Inputs'!$B$21+'Inputs'!$B$7+'Inputs'!$B$10)+'Inputs'!$B$9)^2+('Inputs'!$B$8/2)^2)-(((1008-43)*MAX('Inputs'!$B$33,'Inputs'!$B$29+'Inputs'!$B$31+'Inputs'!$B$32,'Inputs'!$B$30+'Inputs'!$B$31+'Inputs'!$B$32)/1000+'Inputs'!$B$21+'Inputs'!$B$7+'Inputs'!$B$10))/SQRT((((1008-43)*MAX('Inputs'!$B$33,'Inputs'!$B$29+'Inputs'!$B$31+'Inputs'!$B$32,'Inputs'!$B$30+'Inputs'!$B$31+'Inputs'!$B$32)/1000+'Inputs'!$B$21+'Inputs'!$B$7+'Inputs'!$B$10))^2+('Inputs'!$B$8/2)^2))))*'Results'!$B$8),"")</x:f>
        <x:v>0.40668916905434455</x:v>
      </x:c>
      <x:c r="K1008" t="n">
        <x:f>IF(AND(ISNUMBER('Results'!B7),ISNUMBER('Results'!C7),ISNUMBER('Results'!$B$8),ISNUMBER('Inputs'!$B$6),ISNUMBER('Inputs'!$B$7),ISNUMBER('Inputs'!$B$8),ISNUMBER('Inputs'!$B$9),ISNUMBER('Inputs'!$B$10),ISNUMBER('Inputs'!$B$21),ISNUMBER('Inputs'!$B$24),ISNUMBER('Inputs'!$B$28)),((('Results'!B7*(1-'Inputs'!$B$24)*(0.5*((((1008-43)*MAX('Inputs'!$B$33,'Inputs'!$B$29+'Inputs'!$B$31+'Inputs'!$B$32,'Inputs'!$B$30+'Inputs'!$B$31+'Inputs'!$B$32)/1000+'Inputs'!$B$21)+'Inputs'!$B$7)/SQRT((((1008-43)*MAX('Inputs'!$B$33,'Inputs'!$B$29+'Inputs'!$B$31+'Inputs'!$B$32,'Inputs'!$B$30+'Inputs'!$B$31+'Inputs'!$B$32)/1000+'Inputs'!$B$21)+'Inputs'!$B$7)^2+('Inputs'!$B$6/2)^2)-(((1008-43)*MAX('Inputs'!$B$33,'Inputs'!$B$29+'Inputs'!$B$31+'Inputs'!$B$32,'Inputs'!$B$30+'Inputs'!$B$31+'Inputs'!$B$32)/1000+'Inputs'!$B$21))/SQRT((((1008-43)*MAX('Inputs'!$B$33,'Inputs'!$B$29+'Inputs'!$B$31+'Inputs'!$B$32,'Inputs'!$B$30+'Inputs'!$B$31+'Inputs'!$B$32)/1000+'Inputs'!$B$21))^2+('Inputs'!$B$6/2)^2)))-'Results'!C7*(1+'Inputs'!$B$24)*(0.5*((((1008-43)*MAX('Inputs'!$B$33,'Inputs'!$B$29+'Inputs'!$B$31+'Inputs'!$B$32,'Inputs'!$B$30+'Inputs'!$B$31+'Inputs'!$B$32)/1000+'Inputs'!$B$21+'Inputs'!$B$7+'Inputs'!$B$10)+'Inputs'!$B$9)/SQRT((((1008-43)*MAX('Inputs'!$B$33,'Inputs'!$B$29+'Inputs'!$B$31+'Inputs'!$B$32,'Inputs'!$B$30+'Inputs'!$B$31+'Inputs'!$B$32)/1000+'Inputs'!$B$21+'Inputs'!$B$7+'Inputs'!$B$10)+'Inputs'!$B$9)^2+('Inputs'!$B$8/2)^2)-(((1008-43)*MAX('Inputs'!$B$33,'Inputs'!$B$29+'Inputs'!$B$31+'Inputs'!$B$32,'Inputs'!$B$30+'Inputs'!$B$31+'Inputs'!$B$32)/1000+'Inputs'!$B$21+'Inputs'!$B$7+'Inputs'!$B$10))/SQRT((((1008-43)*MAX('Inputs'!$B$33,'Inputs'!$B$29+'Inputs'!$B$31+'Inputs'!$B$32,'Inputs'!$B$30+'Inputs'!$B$31+'Inputs'!$B$32)/1000+'Inputs'!$B$21+'Inputs'!$B$7+'Inputs'!$B$10))^2+('Inputs'!$B$8/2)^2))))*'Results'!$B$8)-'Inputs'!$B$28*ABS((('Results'!B7*(1-'Inputs'!$B$24)*(0.5*((((1008-43)*MAX('Inputs'!$B$33,'Inputs'!$B$29+'Inputs'!$B$31+'Inputs'!$B$32,'Inputs'!$B$30+'Inputs'!$B$31+'Inputs'!$B$32)/1000+'Inputs'!$B$21)+'Inputs'!$B$7)/SQRT((((1008-43)*MAX('Inputs'!$B$33,'Inputs'!$B$29+'Inputs'!$B$31+'Inputs'!$B$32,'Inputs'!$B$30+'Inputs'!$B$31+'Inputs'!$B$32)/1000+'Inputs'!$B$21)+'Inputs'!$B$7)^2+('Inputs'!$B$6/2)^2)-(((1008-43)*MAX('Inputs'!$B$33,'Inputs'!$B$29+'Inputs'!$B$31+'Inputs'!$B$32,'Inputs'!$B$30+'Inputs'!$B$31+'Inputs'!$B$32)/1000+'Inputs'!$B$21))/SQRT((((1008-43)*MAX('Inputs'!$B$33,'Inputs'!$B$29+'Inputs'!$B$31+'Inputs'!$B$32,'Inputs'!$B$30+'Inputs'!$B$31+'Inputs'!$B$32)/1000+'Inputs'!$B$21))^2+('Inputs'!$B$6/2)^2)))-'Results'!C7*(1+'Inputs'!$B$24)*(0.5*((((1008-43)*MAX('Inputs'!$B$33,'Inputs'!$B$29+'Inputs'!$B$31+'Inputs'!$B$32,'Inputs'!$B$30+'Inputs'!$B$31+'Inputs'!$B$32)/1000+'Inputs'!$B$21+'Inputs'!$B$7+'Inputs'!$B$10)+'Inputs'!$B$9)/SQRT((((1008-43)*MAX('Inputs'!$B$33,'Inputs'!$B$29+'Inputs'!$B$31+'Inputs'!$B$32,'Inputs'!$B$30+'Inputs'!$B$31+'Inputs'!$B$32)/1000+'Inputs'!$B$21+'Inputs'!$B$7+'Inputs'!$B$10)+'Inputs'!$B$9)^2+('Inputs'!$B$8/2)^2)-(((1008-43)*MAX('Inputs'!$B$33,'Inputs'!$B$29+'Inputs'!$B$31+'Inputs'!$B$32,'Inputs'!$B$30+'Inputs'!$B$31+'Inputs'!$B$32)/1000+'Inputs'!$B$21+'Inputs'!$B$7+'Inputs'!$B$10))/SQRT((((1008-43)*MAX('Inputs'!$B$33,'Inputs'!$B$29+'Inputs'!$B$31+'Inputs'!$B$32,'Inputs'!$B$30+'Inputs'!$B$31+'Inputs'!$B$32)/1000+'Inputs'!$B$21+'Inputs'!$B$7+'Inputs'!$B$10))^2+('Inputs'!$B$8/2)^2))))*'Results'!$B$8))),"")</x:f>
        <x:v>0.3416138149665221</x:v>
      </x:c>
      <x:c r="L1008" t="n">
        <x:f>IF(AND(ISNUMBER('Results'!B7),ISNUMBER('Results'!C7),ISNUMBER('Results'!$B$8),ISNUMBER('Inputs'!$B$6),ISNUMBER('Inputs'!$B$7),ISNUMBER('Inputs'!$B$8),ISNUMBER('Inputs'!$B$9),ISNUMBER('Inputs'!$B$10),ISNUMBER('Inputs'!$B$21),ISNUMBER('Inputs'!$B$24),ISNUMBER('Inputs'!$B$28)),((('Results'!B7*(1+'Inputs'!$B$24)*(0.5*((((1008-43)*MAX('Inputs'!$B$33,'Inputs'!$B$29+'Inputs'!$B$31+'Inputs'!$B$32,'Inputs'!$B$30+'Inputs'!$B$31+'Inputs'!$B$32)/1000+'Inputs'!$B$21)+'Inputs'!$B$7)/SQRT((((1008-43)*MAX('Inputs'!$B$33,'Inputs'!$B$29+'Inputs'!$B$31+'Inputs'!$B$32,'Inputs'!$B$30+'Inputs'!$B$31+'Inputs'!$B$32)/1000+'Inputs'!$B$21)+'Inputs'!$B$7)^2+('Inputs'!$B$6/2)^2)-(((1008-43)*MAX('Inputs'!$B$33,'Inputs'!$B$29+'Inputs'!$B$31+'Inputs'!$B$32,'Inputs'!$B$30+'Inputs'!$B$31+'Inputs'!$B$32)/1000+'Inputs'!$B$21))/SQRT((((1008-43)*MAX('Inputs'!$B$33,'Inputs'!$B$29+'Inputs'!$B$31+'Inputs'!$B$32,'Inputs'!$B$30+'Inputs'!$B$31+'Inputs'!$B$32)/1000+'Inputs'!$B$21))^2+('Inputs'!$B$6/2)^2)))-'Results'!C7*(1-'Inputs'!$B$24)*(0.5*((((1008-43)*MAX('Inputs'!$B$33,'Inputs'!$B$29+'Inputs'!$B$31+'Inputs'!$B$32,'Inputs'!$B$30+'Inputs'!$B$31+'Inputs'!$B$32)/1000+'Inputs'!$B$21+'Inputs'!$B$7+'Inputs'!$B$10)+'Inputs'!$B$9)/SQRT((((1008-43)*MAX('Inputs'!$B$33,'Inputs'!$B$29+'Inputs'!$B$31+'Inputs'!$B$32,'Inputs'!$B$30+'Inputs'!$B$31+'Inputs'!$B$32)/1000+'Inputs'!$B$21+'Inputs'!$B$7+'Inputs'!$B$10)+'Inputs'!$B$9)^2+('Inputs'!$B$8/2)^2)-(((1008-43)*MAX('Inputs'!$B$33,'Inputs'!$B$29+'Inputs'!$B$31+'Inputs'!$B$32,'Inputs'!$B$30+'Inputs'!$B$31+'Inputs'!$B$32)/1000+'Inputs'!$B$21+'Inputs'!$B$7+'Inputs'!$B$10))/SQRT((((1008-43)*MAX('Inputs'!$B$33,'Inputs'!$B$29+'Inputs'!$B$31+'Inputs'!$B$32,'Inputs'!$B$30+'Inputs'!$B$31+'Inputs'!$B$32)/1000+'Inputs'!$B$21+'Inputs'!$B$7+'Inputs'!$B$10))^2+('Inputs'!$B$8/2)^2))))*'Results'!$B$8)+'Inputs'!$B$28*ABS((('Results'!B7*(1+'Inputs'!$B$24)*(0.5*((((1008-43)*MAX('Inputs'!$B$33,'Inputs'!$B$29+'Inputs'!$B$31+'Inputs'!$B$32,'Inputs'!$B$30+'Inputs'!$B$31+'Inputs'!$B$32)/1000+'Inputs'!$B$21)+'Inputs'!$B$7)/SQRT((((1008-43)*MAX('Inputs'!$B$33,'Inputs'!$B$29+'Inputs'!$B$31+'Inputs'!$B$32,'Inputs'!$B$30+'Inputs'!$B$31+'Inputs'!$B$32)/1000+'Inputs'!$B$21)+'Inputs'!$B$7)^2+('Inputs'!$B$6/2)^2)-(((1008-43)*MAX('Inputs'!$B$33,'Inputs'!$B$29+'Inputs'!$B$31+'Inputs'!$B$32,'Inputs'!$B$30+'Inputs'!$B$31+'Inputs'!$B$32)/1000+'Inputs'!$B$21))/SQRT((((1008-43)*MAX('Inputs'!$B$33,'Inputs'!$B$29+'Inputs'!$B$31+'Inputs'!$B$32,'Inputs'!$B$30+'Inputs'!$B$31+'Inputs'!$B$32)/1000+'Inputs'!$B$21))^2+('Inputs'!$B$6/2)^2)))-'Results'!C7*(1-'Inputs'!$B$24)*(0.5*((((1008-43)*MAX('Inputs'!$B$33,'Inputs'!$B$29+'Inputs'!$B$31+'Inputs'!$B$32,'Inputs'!$B$30+'Inputs'!$B$31+'Inputs'!$B$32)/1000+'Inputs'!$B$21+'Inputs'!$B$7+'Inputs'!$B$10)+'Inputs'!$B$9)/SQRT((((1008-43)*MAX('Inputs'!$B$33,'Inputs'!$B$29+'Inputs'!$B$31+'Inputs'!$B$32,'Inputs'!$B$30+'Inputs'!$B$31+'Inputs'!$B$32)/1000+'Inputs'!$B$21+'Inputs'!$B$7+'Inputs'!$B$10)+'Inputs'!$B$9)^2+('Inputs'!$B$8/2)^2)-(((1008-43)*MAX('Inputs'!$B$33,'Inputs'!$B$29+'Inputs'!$B$31+'Inputs'!$B$32,'Inputs'!$B$30+'Inputs'!$B$31+'Inputs'!$B$32)/1000+'Inputs'!$B$21+'Inputs'!$B$7+'Inputs'!$B$10))/SQRT((((1008-43)*MAX('Inputs'!$B$33,'Inputs'!$B$29+'Inputs'!$B$31+'Inputs'!$B$32,'Inputs'!$B$30+'Inputs'!$B$31+'Inputs'!$B$32)/1000+'Inputs'!$B$21+'Inputs'!$B$7+'Inputs'!$B$10))^2+('Inputs'!$B$8/2)^2))))*'Results'!$B$8))),"")</x:f>
        <x:v>0.476474091103757</x:v>
      </x:c>
      <x:c r="M1008" t="n">
        <x:f>IF(AND(ISNUMBER('Results'!C7),ISNUMBER('Results'!B7),ISNUMBER('Results'!$B$8),ISNUMBER('Inputs'!$B$6),ISNUMBER('Inputs'!$B$7),ISNUMBER('Inputs'!$B$8),ISNUMBER('Inputs'!$B$9),ISNUMBER('Inputs'!$B$10),ISNUMBER('Inputs'!$B$21),ISNUMBER('Inputs'!$B$24),ISNUMBER('Inputs'!$B$28)),(('Results'!C7*(0.5*((((1008-43)*MAX('Inputs'!$B$33,'Inputs'!$B$29+'Inputs'!$B$31+'Inputs'!$B$32,'Inputs'!$B$30+'Inputs'!$B$31+'Inputs'!$B$32)/1000+'Inputs'!$B$21)+'Inputs'!$B$9)/SQRT((((1008-43)*MAX('Inputs'!$B$33,'Inputs'!$B$29+'Inputs'!$B$31+'Inputs'!$B$32,'Inputs'!$B$30+'Inputs'!$B$31+'Inputs'!$B$32)/1000+'Inputs'!$B$21)+'Inputs'!$B$9)^2+('Inputs'!$B$8/2)^2)-(((1008-43)*MAX('Inputs'!$B$33,'Inputs'!$B$29+'Inputs'!$B$31+'Inputs'!$B$32,'Inputs'!$B$30+'Inputs'!$B$31+'Inputs'!$B$32)/1000+'Inputs'!$B$21))/SQRT((((1008-43)*MAX('Inputs'!$B$33,'Inputs'!$B$29+'Inputs'!$B$31+'Inputs'!$B$32,'Inputs'!$B$30+'Inputs'!$B$31+'Inputs'!$B$32)/1000+'Inputs'!$B$21))^2+('Inputs'!$B$8/2)^2)))-'Results'!B7*(0.5*((((1008-43)*MAX('Inputs'!$B$33,'Inputs'!$B$29+'Inputs'!$B$31+'Inputs'!$B$32,'Inputs'!$B$30+'Inputs'!$B$31+'Inputs'!$B$32)/1000+'Inputs'!$B$21+'Inputs'!$B$9+'Inputs'!$B$10)+'Inputs'!$B$7)/SQRT((((1008-43)*MAX('Inputs'!$B$33,'Inputs'!$B$29+'Inputs'!$B$31+'Inputs'!$B$32,'Inputs'!$B$30+'Inputs'!$B$31+'Inputs'!$B$32)/1000+'Inputs'!$B$21+'Inputs'!$B$9+'Inputs'!$B$10)+'Inputs'!$B$7)^2+('Inputs'!$B$6/2)^2)-(((1008-43)*MAX('Inputs'!$B$33,'Inputs'!$B$29+'Inputs'!$B$31+'Inputs'!$B$32,'Inputs'!$B$30+'Inputs'!$B$31+'Inputs'!$B$32)/1000+'Inputs'!$B$21+'Inputs'!$B$9+'Inputs'!$B$10))/SQRT((((1008-43)*MAX('Inputs'!$B$33,'Inputs'!$B$29+'Inputs'!$B$31+'Inputs'!$B$32,'Inputs'!$B$30+'Inputs'!$B$31+'Inputs'!$B$32)/1000+'Inputs'!$B$21+'Inputs'!$B$9+'Inputs'!$B$10))^2+('Inputs'!$B$6/2)^2))))*'Results'!$B$8),"")</x:f>
        <x:v>0.3591959190687014</x:v>
      </x:c>
      <x:c r="N1008" t="n">
        <x:f>IF(AND(ISNUMBER('Results'!C7),ISNUMBER('Results'!B7),ISNUMBER('Results'!$B$8),ISNUMBER('Inputs'!$B$6),ISNUMBER('Inputs'!$B$7),ISNUMBER('Inputs'!$B$8),ISNUMBER('Inputs'!$B$9),ISNUMBER('Inputs'!$B$10),ISNUMBER('Inputs'!$B$21),ISNUMBER('Inputs'!$B$24),ISNUMBER('Inputs'!$B$28)),((('Results'!C7*(1-'Inputs'!$B$24)*(0.5*((((1008-43)*MAX('Inputs'!$B$33,'Inputs'!$B$29+'Inputs'!$B$31+'Inputs'!$B$32,'Inputs'!$B$30+'Inputs'!$B$31+'Inputs'!$B$32)/1000+'Inputs'!$B$21)+'Inputs'!$B$9)/SQRT((((1008-43)*MAX('Inputs'!$B$33,'Inputs'!$B$29+'Inputs'!$B$31+'Inputs'!$B$32,'Inputs'!$B$30+'Inputs'!$B$31+'Inputs'!$B$32)/1000+'Inputs'!$B$21)+'Inputs'!$B$9)^2+('Inputs'!$B$8/2)^2)-(((1008-43)*MAX('Inputs'!$B$33,'Inputs'!$B$29+'Inputs'!$B$31+'Inputs'!$B$32,'Inputs'!$B$30+'Inputs'!$B$31+'Inputs'!$B$32)/1000+'Inputs'!$B$21))/SQRT((((1008-43)*MAX('Inputs'!$B$33,'Inputs'!$B$29+'Inputs'!$B$31+'Inputs'!$B$32,'Inputs'!$B$30+'Inputs'!$B$31+'Inputs'!$B$32)/1000+'Inputs'!$B$21))^2+('Inputs'!$B$8/2)^2)))-'Results'!B7*(1+'Inputs'!$B$24)*(0.5*((((1008-43)*MAX('Inputs'!$B$33,'Inputs'!$B$29+'Inputs'!$B$31+'Inputs'!$B$32,'Inputs'!$B$30+'Inputs'!$B$31+'Inputs'!$B$32)/1000+'Inputs'!$B$21+'Inputs'!$B$9+'Inputs'!$B$10)+'Inputs'!$B$7)/SQRT((((1008-43)*MAX('Inputs'!$B$33,'Inputs'!$B$29+'Inputs'!$B$31+'Inputs'!$B$32,'Inputs'!$B$30+'Inputs'!$B$31+'Inputs'!$B$32)/1000+'Inputs'!$B$21+'Inputs'!$B$9+'Inputs'!$B$10)+'Inputs'!$B$7)^2+('Inputs'!$B$6/2)^2)-(((1008-43)*MAX('Inputs'!$B$33,'Inputs'!$B$29+'Inputs'!$B$31+'Inputs'!$B$32,'Inputs'!$B$30+'Inputs'!$B$31+'Inputs'!$B$32)/1000+'Inputs'!$B$21+'Inputs'!$B$9+'Inputs'!$B$10))/SQRT((((1008-43)*MAX('Inputs'!$B$33,'Inputs'!$B$29+'Inputs'!$B$31+'Inputs'!$B$32,'Inputs'!$B$30+'Inputs'!$B$31+'Inputs'!$B$32)/1000+'Inputs'!$B$21+'Inputs'!$B$9+'Inputs'!$B$10))^2+('Inputs'!$B$6/2)^2))))*'Results'!$B$8)-'Inputs'!$B$28*ABS((('Results'!C7*(1-'Inputs'!$B$24)*(0.5*((((1008-43)*MAX('Inputs'!$B$33,'Inputs'!$B$29+'Inputs'!$B$31+'Inputs'!$B$32,'Inputs'!$B$30+'Inputs'!$B$31+'Inputs'!$B$32)/1000+'Inputs'!$B$21)+'Inputs'!$B$9)/SQRT((((1008-43)*MAX('Inputs'!$B$33,'Inputs'!$B$29+'Inputs'!$B$31+'Inputs'!$B$32,'Inputs'!$B$30+'Inputs'!$B$31+'Inputs'!$B$32)/1000+'Inputs'!$B$21)+'Inputs'!$B$9)^2+('Inputs'!$B$8/2)^2)-(((1008-43)*MAX('Inputs'!$B$33,'Inputs'!$B$29+'Inputs'!$B$31+'Inputs'!$B$32,'Inputs'!$B$30+'Inputs'!$B$31+'Inputs'!$B$32)/1000+'Inputs'!$B$21))/SQRT((((1008-43)*MAX('Inputs'!$B$33,'Inputs'!$B$29+'Inputs'!$B$31+'Inputs'!$B$32,'Inputs'!$B$30+'Inputs'!$B$31+'Inputs'!$B$32)/1000+'Inputs'!$B$21))^2+('Inputs'!$B$8/2)^2)))-'Results'!B7*(1+'Inputs'!$B$24)*(0.5*((((1008-43)*MAX('Inputs'!$B$33,'Inputs'!$B$29+'Inputs'!$B$31+'Inputs'!$B$32,'Inputs'!$B$30+'Inputs'!$B$31+'Inputs'!$B$32)/1000+'Inputs'!$B$21+'Inputs'!$B$9+'Inputs'!$B$10)+'Inputs'!$B$7)/SQRT((((1008-43)*MAX('Inputs'!$B$33,'Inputs'!$B$29+'Inputs'!$B$31+'Inputs'!$B$32,'Inputs'!$B$30+'Inputs'!$B$31+'Inputs'!$B$32)/1000+'Inputs'!$B$21+'Inputs'!$B$9+'Inputs'!$B$10)+'Inputs'!$B$7)^2+('Inputs'!$B$6/2)^2)-(((1008-43)*MAX('Inputs'!$B$33,'Inputs'!$B$29+'Inputs'!$B$31+'Inputs'!$B$32,'Inputs'!$B$30+'Inputs'!$B$31+'Inputs'!$B$32)/1000+'Inputs'!$B$21+'Inputs'!$B$9+'Inputs'!$B$10))/SQRT((((1008-43)*MAX('Inputs'!$B$33,'Inputs'!$B$29+'Inputs'!$B$31+'Inputs'!$B$32,'Inputs'!$B$30+'Inputs'!$B$31+'Inputs'!$B$32)/1000+'Inputs'!$B$21+'Inputs'!$B$9+'Inputs'!$B$10))^2+('Inputs'!$B$6/2)^2))))*'Results'!$B$8))),"")</x:f>
        <x:v>0.29664221552737674</x:v>
      </x:c>
      <x:c r="O1008" t="n">
        <x:f>IF(AND(ISNUMBER('Results'!C7),ISNUMBER('Results'!B7),ISNUMBER('Results'!$B$8),ISNUMBER('Inputs'!$B$6),ISNUMBER('Inputs'!$B$7),ISNUMBER('Inputs'!$B$8),ISNUMBER('Inputs'!$B$9),ISNUMBER('Inputs'!$B$10),ISNUMBER('Inputs'!$B$21),ISNUMBER('Inputs'!$B$24),ISNUMBER('Inputs'!$B$28)),((('Results'!C7*(1+'Inputs'!$B$24)*(0.5*((((1008-43)*MAX('Inputs'!$B$33,'Inputs'!$B$29+'Inputs'!$B$31+'Inputs'!$B$32,'Inputs'!$B$30+'Inputs'!$B$31+'Inputs'!$B$32)/1000+'Inputs'!$B$21)+'Inputs'!$B$9)/SQRT((((1008-43)*MAX('Inputs'!$B$33,'Inputs'!$B$29+'Inputs'!$B$31+'Inputs'!$B$32,'Inputs'!$B$30+'Inputs'!$B$31+'Inputs'!$B$32)/1000+'Inputs'!$B$21)+'Inputs'!$B$9)^2+('Inputs'!$B$8/2)^2)-(((1008-43)*MAX('Inputs'!$B$33,'Inputs'!$B$29+'Inputs'!$B$31+'Inputs'!$B$32,'Inputs'!$B$30+'Inputs'!$B$31+'Inputs'!$B$32)/1000+'Inputs'!$B$21))/SQRT((((1008-43)*MAX('Inputs'!$B$33,'Inputs'!$B$29+'Inputs'!$B$31+'Inputs'!$B$32,'Inputs'!$B$30+'Inputs'!$B$31+'Inputs'!$B$32)/1000+'Inputs'!$B$21))^2+('Inputs'!$B$8/2)^2)))-'Results'!B7*(1-'Inputs'!$B$24)*(0.5*((((1008-43)*MAX('Inputs'!$B$33,'Inputs'!$B$29+'Inputs'!$B$31+'Inputs'!$B$32,'Inputs'!$B$30+'Inputs'!$B$31+'Inputs'!$B$32)/1000+'Inputs'!$B$21+'Inputs'!$B$9+'Inputs'!$B$10)+'Inputs'!$B$7)/SQRT((((1008-43)*MAX('Inputs'!$B$33,'Inputs'!$B$29+'Inputs'!$B$31+'Inputs'!$B$32,'Inputs'!$B$30+'Inputs'!$B$31+'Inputs'!$B$32)/1000+'Inputs'!$B$21+'Inputs'!$B$9+'Inputs'!$B$10)+'Inputs'!$B$7)^2+('Inputs'!$B$6/2)^2)-(((1008-43)*MAX('Inputs'!$B$33,'Inputs'!$B$29+'Inputs'!$B$31+'Inputs'!$B$32,'Inputs'!$B$30+'Inputs'!$B$31+'Inputs'!$B$32)/1000+'Inputs'!$B$21+'Inputs'!$B$9+'Inputs'!$B$10))/SQRT((((1008-43)*MAX('Inputs'!$B$33,'Inputs'!$B$29+'Inputs'!$B$31+'Inputs'!$B$32,'Inputs'!$B$30+'Inputs'!$B$31+'Inputs'!$B$32)/1000+'Inputs'!$B$21+'Inputs'!$B$9+'Inputs'!$B$10))^2+('Inputs'!$B$6/2)^2))))*'Results'!$B$8)+'Inputs'!$B$28*ABS((('Results'!C7*(1+'Inputs'!$B$24)*(0.5*((((1008-43)*MAX('Inputs'!$B$33,'Inputs'!$B$29+'Inputs'!$B$31+'Inputs'!$B$32,'Inputs'!$B$30+'Inputs'!$B$31+'Inputs'!$B$32)/1000+'Inputs'!$B$21)+'Inputs'!$B$9)/SQRT((((1008-43)*MAX('Inputs'!$B$33,'Inputs'!$B$29+'Inputs'!$B$31+'Inputs'!$B$32,'Inputs'!$B$30+'Inputs'!$B$31+'Inputs'!$B$32)/1000+'Inputs'!$B$21)+'Inputs'!$B$9)^2+('Inputs'!$B$8/2)^2)-(((1008-43)*MAX('Inputs'!$B$33,'Inputs'!$B$29+'Inputs'!$B$31+'Inputs'!$B$32,'Inputs'!$B$30+'Inputs'!$B$31+'Inputs'!$B$32)/1000+'Inputs'!$B$21))/SQRT((((1008-43)*MAX('Inputs'!$B$33,'Inputs'!$B$29+'Inputs'!$B$31+'Inputs'!$B$32,'Inputs'!$B$30+'Inputs'!$B$31+'Inputs'!$B$32)/1000+'Inputs'!$B$21))^2+('Inputs'!$B$8/2)^2)))-'Results'!B7*(1-'Inputs'!$B$24)*(0.5*((((1008-43)*MAX('Inputs'!$B$33,'Inputs'!$B$29+'Inputs'!$B$31+'Inputs'!$B$32,'Inputs'!$B$30+'Inputs'!$B$31+'Inputs'!$B$32)/1000+'Inputs'!$B$21+'Inputs'!$B$9+'Inputs'!$B$10)+'Inputs'!$B$7)/SQRT((((1008-43)*MAX('Inputs'!$B$33,'Inputs'!$B$29+'Inputs'!$B$31+'Inputs'!$B$32,'Inputs'!$B$30+'Inputs'!$B$31+'Inputs'!$B$32)/1000+'Inputs'!$B$21+'Inputs'!$B$9+'Inputs'!$B$10)+'Inputs'!$B$7)^2+('Inputs'!$B$6/2)^2)-(((1008-43)*MAX('Inputs'!$B$33,'Inputs'!$B$29+'Inputs'!$B$31+'Inputs'!$B$32,'Inputs'!$B$30+'Inputs'!$B$31+'Inputs'!$B$32)/1000+'Inputs'!$B$21+'Inputs'!$B$9+'Inputs'!$B$10))/SQRT((((1008-43)*MAX('Inputs'!$B$33,'Inputs'!$B$29+'Inputs'!$B$31+'Inputs'!$B$32,'Inputs'!$B$30+'Inputs'!$B$31+'Inputs'!$B$32)/1000+'Inputs'!$B$21+'Inputs'!$B$9+'Inputs'!$B$10))^2+('Inputs'!$B$6/2)^2))))*'Results'!$B$8))),"")</x:f>
        <x:v>0.4264437181455937</x:v>
      </x:c>
      <x:c r="P1008" t="n">
        <x:f>IF(AND(MAX(J1008,J1007)&gt;0,J1008&gt;J1007+0.00000001),1,0)</x:f>
        <x:v>0</x:v>
      </x:c>
      <x:c r="Q1008" t="n">
        <x:f>IF(AND(MAX(K1008,K1007)&gt;0,K1008&gt;K1007+0.00000001),1,0)</x:f>
        <x:v>0</x:v>
      </x:c>
      <x:c r="R1008" t="n">
        <x:f>IF(AND(MAX(L1008,L1007)&gt;0,L1008&gt;L1007+0.00000001),1,0)</x:f>
        <x:v>0</x:v>
      </x:c>
      <x:c r="S1008" t="n">
        <x:f>IF(AND(MAX(M1008,M1007)&gt;0,M1008&gt;M1007+0.00000001),1,0)</x:f>
        <x:v>0</x:v>
      </x:c>
      <x:c r="T1008" t="n">
        <x:f>IF(AND(MAX(N1008,N1007)&gt;0,N1008&gt;N1007+0.00000001),1,0)</x:f>
        <x:v>0</x:v>
      </x:c>
      <x:c r="U1008" t="n">
        <x:f>IF(AND(MAX(O1008,O1007)&gt;0,O1008&gt;O1007+0.00000001),1,0)</x:f>
        <x:v>0</x:v>
      </x:c>
    </x:row>
    <x:row r="1009">
      <x:c r="J1009" t="n">
        <x:f>IF(AND(ISNUMBER('Results'!B7),ISNUMBER('Results'!C7),ISNUMBER('Results'!$B$8),ISNUMBER('Inputs'!$B$6),ISNUMBER('Inputs'!$B$7),ISNUMBER('Inputs'!$B$8),ISNUMBER('Inputs'!$B$9),ISNUMBER('Inputs'!$B$10),ISNUMBER('Inputs'!$B$21),ISNUMBER('Inputs'!$B$24),ISNUMBER('Inputs'!$B$28)),(('Results'!B7*(0.5*((((1009-43)*MAX('Inputs'!$B$33,'Inputs'!$B$29+'Inputs'!$B$31+'Inputs'!$B$32,'Inputs'!$B$30+'Inputs'!$B$31+'Inputs'!$B$32)/1000+'Inputs'!$B$21)+'Inputs'!$B$7)/SQRT((((1009-43)*MAX('Inputs'!$B$33,'Inputs'!$B$29+'Inputs'!$B$31+'Inputs'!$B$32,'Inputs'!$B$30+'Inputs'!$B$31+'Inputs'!$B$32)/1000+'Inputs'!$B$21)+'Inputs'!$B$7)^2+('Inputs'!$B$6/2)^2)-(((1009-43)*MAX('Inputs'!$B$33,'Inputs'!$B$29+'Inputs'!$B$31+'Inputs'!$B$32,'Inputs'!$B$30+'Inputs'!$B$31+'Inputs'!$B$32)/1000+'Inputs'!$B$21))/SQRT((((1009-43)*MAX('Inputs'!$B$33,'Inputs'!$B$29+'Inputs'!$B$31+'Inputs'!$B$32,'Inputs'!$B$30+'Inputs'!$B$31+'Inputs'!$B$32)/1000+'Inputs'!$B$21))^2+('Inputs'!$B$6/2)^2)))-'Results'!C7*(0.5*((((1009-43)*MAX('Inputs'!$B$33,'Inputs'!$B$29+'Inputs'!$B$31+'Inputs'!$B$32,'Inputs'!$B$30+'Inputs'!$B$31+'Inputs'!$B$32)/1000+'Inputs'!$B$21+'Inputs'!$B$7+'Inputs'!$B$10)+'Inputs'!$B$9)/SQRT((((1009-43)*MAX('Inputs'!$B$33,'Inputs'!$B$29+'Inputs'!$B$31+'Inputs'!$B$32,'Inputs'!$B$30+'Inputs'!$B$31+'Inputs'!$B$32)/1000+'Inputs'!$B$21+'Inputs'!$B$7+'Inputs'!$B$10)+'Inputs'!$B$9)^2+('Inputs'!$B$8/2)^2)-(((1009-43)*MAX('Inputs'!$B$33,'Inputs'!$B$29+'Inputs'!$B$31+'Inputs'!$B$32,'Inputs'!$B$30+'Inputs'!$B$31+'Inputs'!$B$32)/1000+'Inputs'!$B$21+'Inputs'!$B$7+'Inputs'!$B$10))/SQRT((((1009-43)*MAX('Inputs'!$B$33,'Inputs'!$B$29+'Inputs'!$B$31+'Inputs'!$B$32,'Inputs'!$B$30+'Inputs'!$B$31+'Inputs'!$B$32)/1000+'Inputs'!$B$21+'Inputs'!$B$7+'Inputs'!$B$10))^2+('Inputs'!$B$8/2)^2))))*'Results'!$B$8),"")</x:f>
        <x:v>0.40515675900618214</x:v>
      </x:c>
      <x:c r="K1009" t="n">
        <x:f>IF(AND(ISNUMBER('Results'!B7),ISNUMBER('Results'!C7),ISNUMBER('Results'!$B$8),ISNUMBER('Inputs'!$B$6),ISNUMBER('Inputs'!$B$7),ISNUMBER('Inputs'!$B$8),ISNUMBER('Inputs'!$B$9),ISNUMBER('Inputs'!$B$10),ISNUMBER('Inputs'!$B$21),ISNUMBER('Inputs'!$B$24),ISNUMBER('Inputs'!$B$28)),((('Results'!B7*(1-'Inputs'!$B$24)*(0.5*((((1009-43)*MAX('Inputs'!$B$33,'Inputs'!$B$29+'Inputs'!$B$31+'Inputs'!$B$32,'Inputs'!$B$30+'Inputs'!$B$31+'Inputs'!$B$32)/1000+'Inputs'!$B$21)+'Inputs'!$B$7)/SQRT((((1009-43)*MAX('Inputs'!$B$33,'Inputs'!$B$29+'Inputs'!$B$31+'Inputs'!$B$32,'Inputs'!$B$30+'Inputs'!$B$31+'Inputs'!$B$32)/1000+'Inputs'!$B$21)+'Inputs'!$B$7)^2+('Inputs'!$B$6/2)^2)-(((1009-43)*MAX('Inputs'!$B$33,'Inputs'!$B$29+'Inputs'!$B$31+'Inputs'!$B$32,'Inputs'!$B$30+'Inputs'!$B$31+'Inputs'!$B$32)/1000+'Inputs'!$B$21))/SQRT((((1009-43)*MAX('Inputs'!$B$33,'Inputs'!$B$29+'Inputs'!$B$31+'Inputs'!$B$32,'Inputs'!$B$30+'Inputs'!$B$31+'Inputs'!$B$32)/1000+'Inputs'!$B$21))^2+('Inputs'!$B$6/2)^2)))-'Results'!C7*(1+'Inputs'!$B$24)*(0.5*((((1009-43)*MAX('Inputs'!$B$33,'Inputs'!$B$29+'Inputs'!$B$31+'Inputs'!$B$32,'Inputs'!$B$30+'Inputs'!$B$31+'Inputs'!$B$32)/1000+'Inputs'!$B$21+'Inputs'!$B$7+'Inputs'!$B$10)+'Inputs'!$B$9)/SQRT((((1009-43)*MAX('Inputs'!$B$33,'Inputs'!$B$29+'Inputs'!$B$31+'Inputs'!$B$32,'Inputs'!$B$30+'Inputs'!$B$31+'Inputs'!$B$32)/1000+'Inputs'!$B$21+'Inputs'!$B$7+'Inputs'!$B$10)+'Inputs'!$B$9)^2+('Inputs'!$B$8/2)^2)-(((1009-43)*MAX('Inputs'!$B$33,'Inputs'!$B$29+'Inputs'!$B$31+'Inputs'!$B$32,'Inputs'!$B$30+'Inputs'!$B$31+'Inputs'!$B$32)/1000+'Inputs'!$B$21+'Inputs'!$B$7+'Inputs'!$B$10))/SQRT((((1009-43)*MAX('Inputs'!$B$33,'Inputs'!$B$29+'Inputs'!$B$31+'Inputs'!$B$32,'Inputs'!$B$30+'Inputs'!$B$31+'Inputs'!$B$32)/1000+'Inputs'!$B$21+'Inputs'!$B$7+'Inputs'!$B$10))^2+('Inputs'!$B$8/2)^2))))*'Results'!$B$8)-'Inputs'!$B$28*ABS((('Results'!B7*(1-'Inputs'!$B$24)*(0.5*((((1009-43)*MAX('Inputs'!$B$33,'Inputs'!$B$29+'Inputs'!$B$31+'Inputs'!$B$32,'Inputs'!$B$30+'Inputs'!$B$31+'Inputs'!$B$32)/1000+'Inputs'!$B$21)+'Inputs'!$B$7)/SQRT((((1009-43)*MAX('Inputs'!$B$33,'Inputs'!$B$29+'Inputs'!$B$31+'Inputs'!$B$32,'Inputs'!$B$30+'Inputs'!$B$31+'Inputs'!$B$32)/1000+'Inputs'!$B$21)+'Inputs'!$B$7)^2+('Inputs'!$B$6/2)^2)-(((1009-43)*MAX('Inputs'!$B$33,'Inputs'!$B$29+'Inputs'!$B$31+'Inputs'!$B$32,'Inputs'!$B$30+'Inputs'!$B$31+'Inputs'!$B$32)/1000+'Inputs'!$B$21))/SQRT((((1009-43)*MAX('Inputs'!$B$33,'Inputs'!$B$29+'Inputs'!$B$31+'Inputs'!$B$32,'Inputs'!$B$30+'Inputs'!$B$31+'Inputs'!$B$32)/1000+'Inputs'!$B$21))^2+('Inputs'!$B$6/2)^2)))-'Results'!C7*(1+'Inputs'!$B$24)*(0.5*((((1009-43)*MAX('Inputs'!$B$33,'Inputs'!$B$29+'Inputs'!$B$31+'Inputs'!$B$32,'Inputs'!$B$30+'Inputs'!$B$31+'Inputs'!$B$32)/1000+'Inputs'!$B$21+'Inputs'!$B$7+'Inputs'!$B$10)+'Inputs'!$B$9)/SQRT((((1009-43)*MAX('Inputs'!$B$33,'Inputs'!$B$29+'Inputs'!$B$31+'Inputs'!$B$32,'Inputs'!$B$30+'Inputs'!$B$31+'Inputs'!$B$32)/1000+'Inputs'!$B$21+'Inputs'!$B$7+'Inputs'!$B$10)+'Inputs'!$B$9)^2+('Inputs'!$B$8/2)^2)-(((1009-43)*MAX('Inputs'!$B$33,'Inputs'!$B$29+'Inputs'!$B$31+'Inputs'!$B$32,'Inputs'!$B$30+'Inputs'!$B$31+'Inputs'!$B$32)/1000+'Inputs'!$B$21+'Inputs'!$B$7+'Inputs'!$B$10))/SQRT((((1009-43)*MAX('Inputs'!$B$33,'Inputs'!$B$29+'Inputs'!$B$31+'Inputs'!$B$32,'Inputs'!$B$30+'Inputs'!$B$31+'Inputs'!$B$32)/1000+'Inputs'!$B$21+'Inputs'!$B$7+'Inputs'!$B$10))^2+('Inputs'!$B$8/2)^2))))*'Results'!$B$8))),"")</x:f>
        <x:v>0.3402874688062947</x:v>
      </x:c>
      <x:c r="L1009" t="n">
        <x:f>IF(AND(ISNUMBER('Results'!B7),ISNUMBER('Results'!C7),ISNUMBER('Results'!$B$8),ISNUMBER('Inputs'!$B$6),ISNUMBER('Inputs'!$B$7),ISNUMBER('Inputs'!$B$8),ISNUMBER('Inputs'!$B$9),ISNUMBER('Inputs'!$B$10),ISNUMBER('Inputs'!$B$21),ISNUMBER('Inputs'!$B$24),ISNUMBER('Inputs'!$B$28)),((('Results'!B7*(1+'Inputs'!$B$24)*(0.5*((((1009-43)*MAX('Inputs'!$B$33,'Inputs'!$B$29+'Inputs'!$B$31+'Inputs'!$B$32,'Inputs'!$B$30+'Inputs'!$B$31+'Inputs'!$B$32)/1000+'Inputs'!$B$21)+'Inputs'!$B$7)/SQRT((((1009-43)*MAX('Inputs'!$B$33,'Inputs'!$B$29+'Inputs'!$B$31+'Inputs'!$B$32,'Inputs'!$B$30+'Inputs'!$B$31+'Inputs'!$B$32)/1000+'Inputs'!$B$21)+'Inputs'!$B$7)^2+('Inputs'!$B$6/2)^2)-(((1009-43)*MAX('Inputs'!$B$33,'Inputs'!$B$29+'Inputs'!$B$31+'Inputs'!$B$32,'Inputs'!$B$30+'Inputs'!$B$31+'Inputs'!$B$32)/1000+'Inputs'!$B$21))/SQRT((((1009-43)*MAX('Inputs'!$B$33,'Inputs'!$B$29+'Inputs'!$B$31+'Inputs'!$B$32,'Inputs'!$B$30+'Inputs'!$B$31+'Inputs'!$B$32)/1000+'Inputs'!$B$21))^2+('Inputs'!$B$6/2)^2)))-'Results'!C7*(1-'Inputs'!$B$24)*(0.5*((((1009-43)*MAX('Inputs'!$B$33,'Inputs'!$B$29+'Inputs'!$B$31+'Inputs'!$B$32,'Inputs'!$B$30+'Inputs'!$B$31+'Inputs'!$B$32)/1000+'Inputs'!$B$21+'Inputs'!$B$7+'Inputs'!$B$10)+'Inputs'!$B$9)/SQRT((((1009-43)*MAX('Inputs'!$B$33,'Inputs'!$B$29+'Inputs'!$B$31+'Inputs'!$B$32,'Inputs'!$B$30+'Inputs'!$B$31+'Inputs'!$B$32)/1000+'Inputs'!$B$21+'Inputs'!$B$7+'Inputs'!$B$10)+'Inputs'!$B$9)^2+('Inputs'!$B$8/2)^2)-(((1009-43)*MAX('Inputs'!$B$33,'Inputs'!$B$29+'Inputs'!$B$31+'Inputs'!$B$32,'Inputs'!$B$30+'Inputs'!$B$31+'Inputs'!$B$32)/1000+'Inputs'!$B$21+'Inputs'!$B$7+'Inputs'!$B$10))/SQRT((((1009-43)*MAX('Inputs'!$B$33,'Inputs'!$B$29+'Inputs'!$B$31+'Inputs'!$B$32,'Inputs'!$B$30+'Inputs'!$B$31+'Inputs'!$B$32)/1000+'Inputs'!$B$21+'Inputs'!$B$7+'Inputs'!$B$10))^2+('Inputs'!$B$8/2)^2))))*'Results'!$B$8)+'Inputs'!$B$28*ABS((('Results'!B7*(1+'Inputs'!$B$24)*(0.5*((((1009-43)*MAX('Inputs'!$B$33,'Inputs'!$B$29+'Inputs'!$B$31+'Inputs'!$B$32,'Inputs'!$B$30+'Inputs'!$B$31+'Inputs'!$B$32)/1000+'Inputs'!$B$21)+'Inputs'!$B$7)/SQRT((((1009-43)*MAX('Inputs'!$B$33,'Inputs'!$B$29+'Inputs'!$B$31+'Inputs'!$B$32,'Inputs'!$B$30+'Inputs'!$B$31+'Inputs'!$B$32)/1000+'Inputs'!$B$21)+'Inputs'!$B$7)^2+('Inputs'!$B$6/2)^2)-(((1009-43)*MAX('Inputs'!$B$33,'Inputs'!$B$29+'Inputs'!$B$31+'Inputs'!$B$32,'Inputs'!$B$30+'Inputs'!$B$31+'Inputs'!$B$32)/1000+'Inputs'!$B$21))/SQRT((((1009-43)*MAX('Inputs'!$B$33,'Inputs'!$B$29+'Inputs'!$B$31+'Inputs'!$B$32,'Inputs'!$B$30+'Inputs'!$B$31+'Inputs'!$B$32)/1000+'Inputs'!$B$21))^2+('Inputs'!$B$6/2)^2)))-'Results'!C7*(1-'Inputs'!$B$24)*(0.5*((((1009-43)*MAX('Inputs'!$B$33,'Inputs'!$B$29+'Inputs'!$B$31+'Inputs'!$B$32,'Inputs'!$B$30+'Inputs'!$B$31+'Inputs'!$B$32)/1000+'Inputs'!$B$21+'Inputs'!$B$7+'Inputs'!$B$10)+'Inputs'!$B$9)/SQRT((((1009-43)*MAX('Inputs'!$B$33,'Inputs'!$B$29+'Inputs'!$B$31+'Inputs'!$B$32,'Inputs'!$B$30+'Inputs'!$B$31+'Inputs'!$B$32)/1000+'Inputs'!$B$21+'Inputs'!$B$7+'Inputs'!$B$10)+'Inputs'!$B$9)^2+('Inputs'!$B$8/2)^2)-(((1009-43)*MAX('Inputs'!$B$33,'Inputs'!$B$29+'Inputs'!$B$31+'Inputs'!$B$32,'Inputs'!$B$30+'Inputs'!$B$31+'Inputs'!$B$32)/1000+'Inputs'!$B$21+'Inputs'!$B$7+'Inputs'!$B$10))/SQRT((((1009-43)*MAX('Inputs'!$B$33,'Inputs'!$B$29+'Inputs'!$B$31+'Inputs'!$B$32,'Inputs'!$B$30+'Inputs'!$B$31+'Inputs'!$B$32)/1000+'Inputs'!$B$21+'Inputs'!$B$7+'Inputs'!$B$10))^2+('Inputs'!$B$8/2)^2))))*'Results'!$B$8))),"")</x:f>
        <x:v>0.47472199154813033</x:v>
      </x:c>
      <x:c r="M1009" t="n">
        <x:f>IF(AND(ISNUMBER('Results'!C7),ISNUMBER('Results'!B7),ISNUMBER('Results'!$B$8),ISNUMBER('Inputs'!$B$6),ISNUMBER('Inputs'!$B$7),ISNUMBER('Inputs'!$B$8),ISNUMBER('Inputs'!$B$9),ISNUMBER('Inputs'!$B$10),ISNUMBER('Inputs'!$B$21),ISNUMBER('Inputs'!$B$24),ISNUMBER('Inputs'!$B$28)),(('Results'!C7*(0.5*((((1009-43)*MAX('Inputs'!$B$33,'Inputs'!$B$29+'Inputs'!$B$31+'Inputs'!$B$32,'Inputs'!$B$30+'Inputs'!$B$31+'Inputs'!$B$32)/1000+'Inputs'!$B$21)+'Inputs'!$B$9)/SQRT((((1009-43)*MAX('Inputs'!$B$33,'Inputs'!$B$29+'Inputs'!$B$31+'Inputs'!$B$32,'Inputs'!$B$30+'Inputs'!$B$31+'Inputs'!$B$32)/1000+'Inputs'!$B$21)+'Inputs'!$B$9)^2+('Inputs'!$B$8/2)^2)-(((1009-43)*MAX('Inputs'!$B$33,'Inputs'!$B$29+'Inputs'!$B$31+'Inputs'!$B$32,'Inputs'!$B$30+'Inputs'!$B$31+'Inputs'!$B$32)/1000+'Inputs'!$B$21))/SQRT((((1009-43)*MAX('Inputs'!$B$33,'Inputs'!$B$29+'Inputs'!$B$31+'Inputs'!$B$32,'Inputs'!$B$30+'Inputs'!$B$31+'Inputs'!$B$32)/1000+'Inputs'!$B$21))^2+('Inputs'!$B$8/2)^2)))-'Results'!B7*(0.5*((((1009-43)*MAX('Inputs'!$B$33,'Inputs'!$B$29+'Inputs'!$B$31+'Inputs'!$B$32,'Inputs'!$B$30+'Inputs'!$B$31+'Inputs'!$B$32)/1000+'Inputs'!$B$21+'Inputs'!$B$9+'Inputs'!$B$10)+'Inputs'!$B$7)/SQRT((((1009-43)*MAX('Inputs'!$B$33,'Inputs'!$B$29+'Inputs'!$B$31+'Inputs'!$B$32,'Inputs'!$B$30+'Inputs'!$B$31+'Inputs'!$B$32)/1000+'Inputs'!$B$21+'Inputs'!$B$9+'Inputs'!$B$10)+'Inputs'!$B$7)^2+('Inputs'!$B$6/2)^2)-(((1009-43)*MAX('Inputs'!$B$33,'Inputs'!$B$29+'Inputs'!$B$31+'Inputs'!$B$32,'Inputs'!$B$30+'Inputs'!$B$31+'Inputs'!$B$32)/1000+'Inputs'!$B$21+'Inputs'!$B$9+'Inputs'!$B$10))/SQRT((((1009-43)*MAX('Inputs'!$B$33,'Inputs'!$B$29+'Inputs'!$B$31+'Inputs'!$B$32,'Inputs'!$B$30+'Inputs'!$B$31+'Inputs'!$B$32)/1000+'Inputs'!$B$21+'Inputs'!$B$9+'Inputs'!$B$10))^2+('Inputs'!$B$6/2)^2))))*'Results'!$B$8),"")</x:f>
        <x:v>0.3578008428484258</x:v>
      </x:c>
      <x:c r="N1009" t="n">
        <x:f>IF(AND(ISNUMBER('Results'!C7),ISNUMBER('Results'!B7),ISNUMBER('Results'!$B$8),ISNUMBER('Inputs'!$B$6),ISNUMBER('Inputs'!$B$7),ISNUMBER('Inputs'!$B$8),ISNUMBER('Inputs'!$B$9),ISNUMBER('Inputs'!$B$10),ISNUMBER('Inputs'!$B$21),ISNUMBER('Inputs'!$B$24),ISNUMBER('Inputs'!$B$28)),((('Results'!C7*(1-'Inputs'!$B$24)*(0.5*((((1009-43)*MAX('Inputs'!$B$33,'Inputs'!$B$29+'Inputs'!$B$31+'Inputs'!$B$32,'Inputs'!$B$30+'Inputs'!$B$31+'Inputs'!$B$32)/1000+'Inputs'!$B$21)+'Inputs'!$B$9)/SQRT((((1009-43)*MAX('Inputs'!$B$33,'Inputs'!$B$29+'Inputs'!$B$31+'Inputs'!$B$32,'Inputs'!$B$30+'Inputs'!$B$31+'Inputs'!$B$32)/1000+'Inputs'!$B$21)+'Inputs'!$B$9)^2+('Inputs'!$B$8/2)^2)-(((1009-43)*MAX('Inputs'!$B$33,'Inputs'!$B$29+'Inputs'!$B$31+'Inputs'!$B$32,'Inputs'!$B$30+'Inputs'!$B$31+'Inputs'!$B$32)/1000+'Inputs'!$B$21))/SQRT((((1009-43)*MAX('Inputs'!$B$33,'Inputs'!$B$29+'Inputs'!$B$31+'Inputs'!$B$32,'Inputs'!$B$30+'Inputs'!$B$31+'Inputs'!$B$32)/1000+'Inputs'!$B$21))^2+('Inputs'!$B$8/2)^2)))-'Results'!B7*(1+'Inputs'!$B$24)*(0.5*((((1009-43)*MAX('Inputs'!$B$33,'Inputs'!$B$29+'Inputs'!$B$31+'Inputs'!$B$32,'Inputs'!$B$30+'Inputs'!$B$31+'Inputs'!$B$32)/1000+'Inputs'!$B$21+'Inputs'!$B$9+'Inputs'!$B$10)+'Inputs'!$B$7)/SQRT((((1009-43)*MAX('Inputs'!$B$33,'Inputs'!$B$29+'Inputs'!$B$31+'Inputs'!$B$32,'Inputs'!$B$30+'Inputs'!$B$31+'Inputs'!$B$32)/1000+'Inputs'!$B$21+'Inputs'!$B$9+'Inputs'!$B$10)+'Inputs'!$B$7)^2+('Inputs'!$B$6/2)^2)-(((1009-43)*MAX('Inputs'!$B$33,'Inputs'!$B$29+'Inputs'!$B$31+'Inputs'!$B$32,'Inputs'!$B$30+'Inputs'!$B$31+'Inputs'!$B$32)/1000+'Inputs'!$B$21+'Inputs'!$B$9+'Inputs'!$B$10))/SQRT((((1009-43)*MAX('Inputs'!$B$33,'Inputs'!$B$29+'Inputs'!$B$31+'Inputs'!$B$32,'Inputs'!$B$30+'Inputs'!$B$31+'Inputs'!$B$32)/1000+'Inputs'!$B$21+'Inputs'!$B$9+'Inputs'!$B$10))^2+('Inputs'!$B$6/2)^2))))*'Results'!$B$8)-'Inputs'!$B$28*ABS((('Results'!C7*(1-'Inputs'!$B$24)*(0.5*((((1009-43)*MAX('Inputs'!$B$33,'Inputs'!$B$29+'Inputs'!$B$31+'Inputs'!$B$32,'Inputs'!$B$30+'Inputs'!$B$31+'Inputs'!$B$32)/1000+'Inputs'!$B$21)+'Inputs'!$B$9)/SQRT((((1009-43)*MAX('Inputs'!$B$33,'Inputs'!$B$29+'Inputs'!$B$31+'Inputs'!$B$32,'Inputs'!$B$30+'Inputs'!$B$31+'Inputs'!$B$32)/1000+'Inputs'!$B$21)+'Inputs'!$B$9)^2+('Inputs'!$B$8/2)^2)-(((1009-43)*MAX('Inputs'!$B$33,'Inputs'!$B$29+'Inputs'!$B$31+'Inputs'!$B$32,'Inputs'!$B$30+'Inputs'!$B$31+'Inputs'!$B$32)/1000+'Inputs'!$B$21))/SQRT((((1009-43)*MAX('Inputs'!$B$33,'Inputs'!$B$29+'Inputs'!$B$31+'Inputs'!$B$32,'Inputs'!$B$30+'Inputs'!$B$31+'Inputs'!$B$32)/1000+'Inputs'!$B$21))^2+('Inputs'!$B$8/2)^2)))-'Results'!B7*(1+'Inputs'!$B$24)*(0.5*((((1009-43)*MAX('Inputs'!$B$33,'Inputs'!$B$29+'Inputs'!$B$31+'Inputs'!$B$32,'Inputs'!$B$30+'Inputs'!$B$31+'Inputs'!$B$32)/1000+'Inputs'!$B$21+'Inputs'!$B$9+'Inputs'!$B$10)+'Inputs'!$B$7)/SQRT((((1009-43)*MAX('Inputs'!$B$33,'Inputs'!$B$29+'Inputs'!$B$31+'Inputs'!$B$32,'Inputs'!$B$30+'Inputs'!$B$31+'Inputs'!$B$32)/1000+'Inputs'!$B$21+'Inputs'!$B$9+'Inputs'!$B$10)+'Inputs'!$B$7)^2+('Inputs'!$B$6/2)^2)-(((1009-43)*MAX('Inputs'!$B$33,'Inputs'!$B$29+'Inputs'!$B$31+'Inputs'!$B$32,'Inputs'!$B$30+'Inputs'!$B$31+'Inputs'!$B$32)/1000+'Inputs'!$B$21+'Inputs'!$B$9+'Inputs'!$B$10))/SQRT((((1009-43)*MAX('Inputs'!$B$33,'Inputs'!$B$29+'Inputs'!$B$31+'Inputs'!$B$32,'Inputs'!$B$30+'Inputs'!$B$31+'Inputs'!$B$32)/1000+'Inputs'!$B$21+'Inputs'!$B$9+'Inputs'!$B$10))^2+('Inputs'!$B$6/2)^2))))*'Results'!$B$8))),"")</x:f>
        <x:v>0.2954457746628427</x:v>
      </x:c>
      <x:c r="O1009" t="n">
        <x:f>IF(AND(ISNUMBER('Results'!C7),ISNUMBER('Results'!B7),ISNUMBER('Results'!$B$8),ISNUMBER('Inputs'!$B$6),ISNUMBER('Inputs'!$B$7),ISNUMBER('Inputs'!$B$8),ISNUMBER('Inputs'!$B$9),ISNUMBER('Inputs'!$B$10),ISNUMBER('Inputs'!$B$21),ISNUMBER('Inputs'!$B$24),ISNUMBER('Inputs'!$B$28)),((('Results'!C7*(1+'Inputs'!$B$24)*(0.5*((((1009-43)*MAX('Inputs'!$B$33,'Inputs'!$B$29+'Inputs'!$B$31+'Inputs'!$B$32,'Inputs'!$B$30+'Inputs'!$B$31+'Inputs'!$B$32)/1000+'Inputs'!$B$21)+'Inputs'!$B$9)/SQRT((((1009-43)*MAX('Inputs'!$B$33,'Inputs'!$B$29+'Inputs'!$B$31+'Inputs'!$B$32,'Inputs'!$B$30+'Inputs'!$B$31+'Inputs'!$B$32)/1000+'Inputs'!$B$21)+'Inputs'!$B$9)^2+('Inputs'!$B$8/2)^2)-(((1009-43)*MAX('Inputs'!$B$33,'Inputs'!$B$29+'Inputs'!$B$31+'Inputs'!$B$32,'Inputs'!$B$30+'Inputs'!$B$31+'Inputs'!$B$32)/1000+'Inputs'!$B$21))/SQRT((((1009-43)*MAX('Inputs'!$B$33,'Inputs'!$B$29+'Inputs'!$B$31+'Inputs'!$B$32,'Inputs'!$B$30+'Inputs'!$B$31+'Inputs'!$B$32)/1000+'Inputs'!$B$21))^2+('Inputs'!$B$8/2)^2)))-'Results'!B7*(1-'Inputs'!$B$24)*(0.5*((((1009-43)*MAX('Inputs'!$B$33,'Inputs'!$B$29+'Inputs'!$B$31+'Inputs'!$B$32,'Inputs'!$B$30+'Inputs'!$B$31+'Inputs'!$B$32)/1000+'Inputs'!$B$21+'Inputs'!$B$9+'Inputs'!$B$10)+'Inputs'!$B$7)/SQRT((((1009-43)*MAX('Inputs'!$B$33,'Inputs'!$B$29+'Inputs'!$B$31+'Inputs'!$B$32,'Inputs'!$B$30+'Inputs'!$B$31+'Inputs'!$B$32)/1000+'Inputs'!$B$21+'Inputs'!$B$9+'Inputs'!$B$10)+'Inputs'!$B$7)^2+('Inputs'!$B$6/2)^2)-(((1009-43)*MAX('Inputs'!$B$33,'Inputs'!$B$29+'Inputs'!$B$31+'Inputs'!$B$32,'Inputs'!$B$30+'Inputs'!$B$31+'Inputs'!$B$32)/1000+'Inputs'!$B$21+'Inputs'!$B$9+'Inputs'!$B$10))/SQRT((((1009-43)*MAX('Inputs'!$B$33,'Inputs'!$B$29+'Inputs'!$B$31+'Inputs'!$B$32,'Inputs'!$B$30+'Inputs'!$B$31+'Inputs'!$B$32)/1000+'Inputs'!$B$21+'Inputs'!$B$9+'Inputs'!$B$10))^2+('Inputs'!$B$6/2)^2))))*'Results'!$B$8)+'Inputs'!$B$28*ABS((('Results'!C7*(1+'Inputs'!$B$24)*(0.5*((((1009-43)*MAX('Inputs'!$B$33,'Inputs'!$B$29+'Inputs'!$B$31+'Inputs'!$B$32,'Inputs'!$B$30+'Inputs'!$B$31+'Inputs'!$B$32)/1000+'Inputs'!$B$21)+'Inputs'!$B$9)/SQRT((((1009-43)*MAX('Inputs'!$B$33,'Inputs'!$B$29+'Inputs'!$B$31+'Inputs'!$B$32,'Inputs'!$B$30+'Inputs'!$B$31+'Inputs'!$B$32)/1000+'Inputs'!$B$21)+'Inputs'!$B$9)^2+('Inputs'!$B$8/2)^2)-(((1009-43)*MAX('Inputs'!$B$33,'Inputs'!$B$29+'Inputs'!$B$31+'Inputs'!$B$32,'Inputs'!$B$30+'Inputs'!$B$31+'Inputs'!$B$32)/1000+'Inputs'!$B$21))/SQRT((((1009-43)*MAX('Inputs'!$B$33,'Inputs'!$B$29+'Inputs'!$B$31+'Inputs'!$B$32,'Inputs'!$B$30+'Inputs'!$B$31+'Inputs'!$B$32)/1000+'Inputs'!$B$21))^2+('Inputs'!$B$8/2)^2)))-'Results'!B7*(1-'Inputs'!$B$24)*(0.5*((((1009-43)*MAX('Inputs'!$B$33,'Inputs'!$B$29+'Inputs'!$B$31+'Inputs'!$B$32,'Inputs'!$B$30+'Inputs'!$B$31+'Inputs'!$B$32)/1000+'Inputs'!$B$21+'Inputs'!$B$9+'Inputs'!$B$10)+'Inputs'!$B$7)/SQRT((((1009-43)*MAX('Inputs'!$B$33,'Inputs'!$B$29+'Inputs'!$B$31+'Inputs'!$B$32,'Inputs'!$B$30+'Inputs'!$B$31+'Inputs'!$B$32)/1000+'Inputs'!$B$21+'Inputs'!$B$9+'Inputs'!$B$10)+'Inputs'!$B$7)^2+('Inputs'!$B$6/2)^2)-(((1009-43)*MAX('Inputs'!$B$33,'Inputs'!$B$29+'Inputs'!$B$31+'Inputs'!$B$32,'Inputs'!$B$30+'Inputs'!$B$31+'Inputs'!$B$32)/1000+'Inputs'!$B$21+'Inputs'!$B$9+'Inputs'!$B$10))/SQRT((((1009-43)*MAX('Inputs'!$B$33,'Inputs'!$B$29+'Inputs'!$B$31+'Inputs'!$B$32,'Inputs'!$B$30+'Inputs'!$B$31+'Inputs'!$B$32)/1000+'Inputs'!$B$21+'Inputs'!$B$9+'Inputs'!$B$10))^2+('Inputs'!$B$6/2)^2))))*'Results'!$B$8))),"")</x:f>
        <x:v>0.4248364400911839</x:v>
      </x:c>
      <x:c r="P1009" t="n">
        <x:f>IF(AND(MAX(J1009,J1008)&gt;0,J1009&gt;J1008+0.00000001),1,0)</x:f>
        <x:v>0</x:v>
      </x:c>
      <x:c r="Q1009" t="n">
        <x:f>IF(AND(MAX(K1009,K1008)&gt;0,K1009&gt;K1008+0.00000001),1,0)</x:f>
        <x:v>0</x:v>
      </x:c>
      <x:c r="R1009" t="n">
        <x:f>IF(AND(MAX(L1009,L1008)&gt;0,L1009&gt;L1008+0.00000001),1,0)</x:f>
        <x:v>0</x:v>
      </x:c>
      <x:c r="S1009" t="n">
        <x:f>IF(AND(MAX(M1009,M1008)&gt;0,M1009&gt;M1008+0.00000001),1,0)</x:f>
        <x:v>0</x:v>
      </x:c>
      <x:c r="T1009" t="n">
        <x:f>IF(AND(MAX(N1009,N1008)&gt;0,N1009&gt;N1008+0.00000001),1,0)</x:f>
        <x:v>0</x:v>
      </x:c>
      <x:c r="U1009" t="n">
        <x:f>IF(AND(MAX(O1009,O1008)&gt;0,O1009&gt;O1008+0.00000001),1,0)</x:f>
        <x:v>0</x:v>
      </x:c>
    </x:row>
    <x:row r="1010">
      <x:c r="J1010" t="n">
        <x:f>IF(AND(ISNUMBER('Results'!B7),ISNUMBER('Results'!C7),ISNUMBER('Results'!$B$8),ISNUMBER('Inputs'!$B$6),ISNUMBER('Inputs'!$B$7),ISNUMBER('Inputs'!$B$8),ISNUMBER('Inputs'!$B$9),ISNUMBER('Inputs'!$B$10),ISNUMBER('Inputs'!$B$21),ISNUMBER('Inputs'!$B$24),ISNUMBER('Inputs'!$B$28)),(('Results'!B7*(0.5*((((1010-43)*MAX('Inputs'!$B$33,'Inputs'!$B$29+'Inputs'!$B$31+'Inputs'!$B$32,'Inputs'!$B$30+'Inputs'!$B$31+'Inputs'!$B$32)/1000+'Inputs'!$B$21)+'Inputs'!$B$7)/SQRT((((1010-43)*MAX('Inputs'!$B$33,'Inputs'!$B$29+'Inputs'!$B$31+'Inputs'!$B$32,'Inputs'!$B$30+'Inputs'!$B$31+'Inputs'!$B$32)/1000+'Inputs'!$B$21)+'Inputs'!$B$7)^2+('Inputs'!$B$6/2)^2)-(((1010-43)*MAX('Inputs'!$B$33,'Inputs'!$B$29+'Inputs'!$B$31+'Inputs'!$B$32,'Inputs'!$B$30+'Inputs'!$B$31+'Inputs'!$B$32)/1000+'Inputs'!$B$21))/SQRT((((1010-43)*MAX('Inputs'!$B$33,'Inputs'!$B$29+'Inputs'!$B$31+'Inputs'!$B$32,'Inputs'!$B$30+'Inputs'!$B$31+'Inputs'!$B$32)/1000+'Inputs'!$B$21))^2+('Inputs'!$B$6/2)^2)))-'Results'!C7*(0.5*((((1010-43)*MAX('Inputs'!$B$33,'Inputs'!$B$29+'Inputs'!$B$31+'Inputs'!$B$32,'Inputs'!$B$30+'Inputs'!$B$31+'Inputs'!$B$32)/1000+'Inputs'!$B$21+'Inputs'!$B$7+'Inputs'!$B$10)+'Inputs'!$B$9)/SQRT((((1010-43)*MAX('Inputs'!$B$33,'Inputs'!$B$29+'Inputs'!$B$31+'Inputs'!$B$32,'Inputs'!$B$30+'Inputs'!$B$31+'Inputs'!$B$32)/1000+'Inputs'!$B$21+'Inputs'!$B$7+'Inputs'!$B$10)+'Inputs'!$B$9)^2+('Inputs'!$B$8/2)^2)-(((1010-43)*MAX('Inputs'!$B$33,'Inputs'!$B$29+'Inputs'!$B$31+'Inputs'!$B$32,'Inputs'!$B$30+'Inputs'!$B$31+'Inputs'!$B$32)/1000+'Inputs'!$B$21+'Inputs'!$B$7+'Inputs'!$B$10))/SQRT((((1010-43)*MAX('Inputs'!$B$33,'Inputs'!$B$29+'Inputs'!$B$31+'Inputs'!$B$32,'Inputs'!$B$30+'Inputs'!$B$31+'Inputs'!$B$32)/1000+'Inputs'!$B$21+'Inputs'!$B$7+'Inputs'!$B$10))^2+('Inputs'!$B$8/2)^2))))*'Results'!$B$8),"")</x:f>
        <x:v>0.4036315981442863</x:v>
      </x:c>
      <x:c r="K1010" t="n">
        <x:f>IF(AND(ISNUMBER('Results'!B7),ISNUMBER('Results'!C7),ISNUMBER('Results'!$B$8),ISNUMBER('Inputs'!$B$6),ISNUMBER('Inputs'!$B$7),ISNUMBER('Inputs'!$B$8),ISNUMBER('Inputs'!$B$9),ISNUMBER('Inputs'!$B$10),ISNUMBER('Inputs'!$B$21),ISNUMBER('Inputs'!$B$24),ISNUMBER('Inputs'!$B$28)),((('Results'!B7*(1-'Inputs'!$B$24)*(0.5*((((1010-43)*MAX('Inputs'!$B$33,'Inputs'!$B$29+'Inputs'!$B$31+'Inputs'!$B$32,'Inputs'!$B$30+'Inputs'!$B$31+'Inputs'!$B$32)/1000+'Inputs'!$B$21)+'Inputs'!$B$7)/SQRT((((1010-43)*MAX('Inputs'!$B$33,'Inputs'!$B$29+'Inputs'!$B$31+'Inputs'!$B$32,'Inputs'!$B$30+'Inputs'!$B$31+'Inputs'!$B$32)/1000+'Inputs'!$B$21)+'Inputs'!$B$7)^2+('Inputs'!$B$6/2)^2)-(((1010-43)*MAX('Inputs'!$B$33,'Inputs'!$B$29+'Inputs'!$B$31+'Inputs'!$B$32,'Inputs'!$B$30+'Inputs'!$B$31+'Inputs'!$B$32)/1000+'Inputs'!$B$21))/SQRT((((1010-43)*MAX('Inputs'!$B$33,'Inputs'!$B$29+'Inputs'!$B$31+'Inputs'!$B$32,'Inputs'!$B$30+'Inputs'!$B$31+'Inputs'!$B$32)/1000+'Inputs'!$B$21))^2+('Inputs'!$B$6/2)^2)))-'Results'!C7*(1+'Inputs'!$B$24)*(0.5*((((1010-43)*MAX('Inputs'!$B$33,'Inputs'!$B$29+'Inputs'!$B$31+'Inputs'!$B$32,'Inputs'!$B$30+'Inputs'!$B$31+'Inputs'!$B$32)/1000+'Inputs'!$B$21+'Inputs'!$B$7+'Inputs'!$B$10)+'Inputs'!$B$9)/SQRT((((1010-43)*MAX('Inputs'!$B$33,'Inputs'!$B$29+'Inputs'!$B$31+'Inputs'!$B$32,'Inputs'!$B$30+'Inputs'!$B$31+'Inputs'!$B$32)/1000+'Inputs'!$B$21+'Inputs'!$B$7+'Inputs'!$B$10)+'Inputs'!$B$9)^2+('Inputs'!$B$8/2)^2)-(((1010-43)*MAX('Inputs'!$B$33,'Inputs'!$B$29+'Inputs'!$B$31+'Inputs'!$B$32,'Inputs'!$B$30+'Inputs'!$B$31+'Inputs'!$B$32)/1000+'Inputs'!$B$21+'Inputs'!$B$7+'Inputs'!$B$10))/SQRT((((1010-43)*MAX('Inputs'!$B$33,'Inputs'!$B$29+'Inputs'!$B$31+'Inputs'!$B$32,'Inputs'!$B$30+'Inputs'!$B$31+'Inputs'!$B$32)/1000+'Inputs'!$B$21+'Inputs'!$B$7+'Inputs'!$B$10))^2+('Inputs'!$B$8/2)^2))))*'Results'!$B$8)-'Inputs'!$B$28*ABS((('Results'!B7*(1-'Inputs'!$B$24)*(0.5*((((1010-43)*MAX('Inputs'!$B$33,'Inputs'!$B$29+'Inputs'!$B$31+'Inputs'!$B$32,'Inputs'!$B$30+'Inputs'!$B$31+'Inputs'!$B$32)/1000+'Inputs'!$B$21)+'Inputs'!$B$7)/SQRT((((1010-43)*MAX('Inputs'!$B$33,'Inputs'!$B$29+'Inputs'!$B$31+'Inputs'!$B$32,'Inputs'!$B$30+'Inputs'!$B$31+'Inputs'!$B$32)/1000+'Inputs'!$B$21)+'Inputs'!$B$7)^2+('Inputs'!$B$6/2)^2)-(((1010-43)*MAX('Inputs'!$B$33,'Inputs'!$B$29+'Inputs'!$B$31+'Inputs'!$B$32,'Inputs'!$B$30+'Inputs'!$B$31+'Inputs'!$B$32)/1000+'Inputs'!$B$21))/SQRT((((1010-43)*MAX('Inputs'!$B$33,'Inputs'!$B$29+'Inputs'!$B$31+'Inputs'!$B$32,'Inputs'!$B$30+'Inputs'!$B$31+'Inputs'!$B$32)/1000+'Inputs'!$B$21))^2+('Inputs'!$B$6/2)^2)))-'Results'!C7*(1+'Inputs'!$B$24)*(0.5*((((1010-43)*MAX('Inputs'!$B$33,'Inputs'!$B$29+'Inputs'!$B$31+'Inputs'!$B$32,'Inputs'!$B$30+'Inputs'!$B$31+'Inputs'!$B$32)/1000+'Inputs'!$B$21+'Inputs'!$B$7+'Inputs'!$B$10)+'Inputs'!$B$9)/SQRT((((1010-43)*MAX('Inputs'!$B$33,'Inputs'!$B$29+'Inputs'!$B$31+'Inputs'!$B$32,'Inputs'!$B$30+'Inputs'!$B$31+'Inputs'!$B$32)/1000+'Inputs'!$B$21+'Inputs'!$B$7+'Inputs'!$B$10)+'Inputs'!$B$9)^2+('Inputs'!$B$8/2)^2)-(((1010-43)*MAX('Inputs'!$B$33,'Inputs'!$B$29+'Inputs'!$B$31+'Inputs'!$B$32,'Inputs'!$B$30+'Inputs'!$B$31+'Inputs'!$B$32)/1000+'Inputs'!$B$21+'Inputs'!$B$7+'Inputs'!$B$10))/SQRT((((1010-43)*MAX('Inputs'!$B$33,'Inputs'!$B$29+'Inputs'!$B$31+'Inputs'!$B$32,'Inputs'!$B$30+'Inputs'!$B$31+'Inputs'!$B$32)/1000+'Inputs'!$B$21+'Inputs'!$B$7+'Inputs'!$B$10))^2+('Inputs'!$B$8/2)^2))))*'Results'!$B$8))),"")</x:f>
        <x:v>0.33896750980767093</x:v>
      </x:c>
      <x:c r="L1010" t="n">
        <x:f>IF(AND(ISNUMBER('Results'!B7),ISNUMBER('Results'!C7),ISNUMBER('Results'!$B$8),ISNUMBER('Inputs'!$B$6),ISNUMBER('Inputs'!$B$7),ISNUMBER('Inputs'!$B$8),ISNUMBER('Inputs'!$B$9),ISNUMBER('Inputs'!$B$10),ISNUMBER('Inputs'!$B$21),ISNUMBER('Inputs'!$B$24),ISNUMBER('Inputs'!$B$28)),((('Results'!B7*(1+'Inputs'!$B$24)*(0.5*((((1010-43)*MAX('Inputs'!$B$33,'Inputs'!$B$29+'Inputs'!$B$31+'Inputs'!$B$32,'Inputs'!$B$30+'Inputs'!$B$31+'Inputs'!$B$32)/1000+'Inputs'!$B$21)+'Inputs'!$B$7)/SQRT((((1010-43)*MAX('Inputs'!$B$33,'Inputs'!$B$29+'Inputs'!$B$31+'Inputs'!$B$32,'Inputs'!$B$30+'Inputs'!$B$31+'Inputs'!$B$32)/1000+'Inputs'!$B$21)+'Inputs'!$B$7)^2+('Inputs'!$B$6/2)^2)-(((1010-43)*MAX('Inputs'!$B$33,'Inputs'!$B$29+'Inputs'!$B$31+'Inputs'!$B$32,'Inputs'!$B$30+'Inputs'!$B$31+'Inputs'!$B$32)/1000+'Inputs'!$B$21))/SQRT((((1010-43)*MAX('Inputs'!$B$33,'Inputs'!$B$29+'Inputs'!$B$31+'Inputs'!$B$32,'Inputs'!$B$30+'Inputs'!$B$31+'Inputs'!$B$32)/1000+'Inputs'!$B$21))^2+('Inputs'!$B$6/2)^2)))-'Results'!C7*(1-'Inputs'!$B$24)*(0.5*((((1010-43)*MAX('Inputs'!$B$33,'Inputs'!$B$29+'Inputs'!$B$31+'Inputs'!$B$32,'Inputs'!$B$30+'Inputs'!$B$31+'Inputs'!$B$32)/1000+'Inputs'!$B$21+'Inputs'!$B$7+'Inputs'!$B$10)+'Inputs'!$B$9)/SQRT((((1010-43)*MAX('Inputs'!$B$33,'Inputs'!$B$29+'Inputs'!$B$31+'Inputs'!$B$32,'Inputs'!$B$30+'Inputs'!$B$31+'Inputs'!$B$32)/1000+'Inputs'!$B$21+'Inputs'!$B$7+'Inputs'!$B$10)+'Inputs'!$B$9)^2+('Inputs'!$B$8/2)^2)-(((1010-43)*MAX('Inputs'!$B$33,'Inputs'!$B$29+'Inputs'!$B$31+'Inputs'!$B$32,'Inputs'!$B$30+'Inputs'!$B$31+'Inputs'!$B$32)/1000+'Inputs'!$B$21+'Inputs'!$B$7+'Inputs'!$B$10))/SQRT((((1010-43)*MAX('Inputs'!$B$33,'Inputs'!$B$29+'Inputs'!$B$31+'Inputs'!$B$32,'Inputs'!$B$30+'Inputs'!$B$31+'Inputs'!$B$32)/1000+'Inputs'!$B$21+'Inputs'!$B$7+'Inputs'!$B$10))^2+('Inputs'!$B$8/2)^2))))*'Results'!$B$8)+'Inputs'!$B$28*ABS((('Results'!B7*(1+'Inputs'!$B$24)*(0.5*((((1010-43)*MAX('Inputs'!$B$33,'Inputs'!$B$29+'Inputs'!$B$31+'Inputs'!$B$32,'Inputs'!$B$30+'Inputs'!$B$31+'Inputs'!$B$32)/1000+'Inputs'!$B$21)+'Inputs'!$B$7)/SQRT((((1010-43)*MAX('Inputs'!$B$33,'Inputs'!$B$29+'Inputs'!$B$31+'Inputs'!$B$32,'Inputs'!$B$30+'Inputs'!$B$31+'Inputs'!$B$32)/1000+'Inputs'!$B$21)+'Inputs'!$B$7)^2+('Inputs'!$B$6/2)^2)-(((1010-43)*MAX('Inputs'!$B$33,'Inputs'!$B$29+'Inputs'!$B$31+'Inputs'!$B$32,'Inputs'!$B$30+'Inputs'!$B$31+'Inputs'!$B$32)/1000+'Inputs'!$B$21))/SQRT((((1010-43)*MAX('Inputs'!$B$33,'Inputs'!$B$29+'Inputs'!$B$31+'Inputs'!$B$32,'Inputs'!$B$30+'Inputs'!$B$31+'Inputs'!$B$32)/1000+'Inputs'!$B$21))^2+('Inputs'!$B$6/2)^2)))-'Results'!C7*(1-'Inputs'!$B$24)*(0.5*((((1010-43)*MAX('Inputs'!$B$33,'Inputs'!$B$29+'Inputs'!$B$31+'Inputs'!$B$32,'Inputs'!$B$30+'Inputs'!$B$31+'Inputs'!$B$32)/1000+'Inputs'!$B$21+'Inputs'!$B$7+'Inputs'!$B$10)+'Inputs'!$B$9)/SQRT((((1010-43)*MAX('Inputs'!$B$33,'Inputs'!$B$29+'Inputs'!$B$31+'Inputs'!$B$32,'Inputs'!$B$30+'Inputs'!$B$31+'Inputs'!$B$32)/1000+'Inputs'!$B$21+'Inputs'!$B$7+'Inputs'!$B$10)+'Inputs'!$B$9)^2+('Inputs'!$B$8/2)^2)-(((1010-43)*MAX('Inputs'!$B$33,'Inputs'!$B$29+'Inputs'!$B$31+'Inputs'!$B$32,'Inputs'!$B$30+'Inputs'!$B$31+'Inputs'!$B$32)/1000+'Inputs'!$B$21+'Inputs'!$B$7+'Inputs'!$B$10))/SQRT((((1010-43)*MAX('Inputs'!$B$33,'Inputs'!$B$29+'Inputs'!$B$31+'Inputs'!$B$32,'Inputs'!$B$30+'Inputs'!$B$31+'Inputs'!$B$32)/1000+'Inputs'!$B$21+'Inputs'!$B$7+'Inputs'!$B$10))^2+('Inputs'!$B$8/2)^2))))*'Results'!$B$8))),"")</x:f>
        <x:v>0.47297805578926017</x:v>
      </x:c>
      <x:c r="M1010" t="n">
        <x:f>IF(AND(ISNUMBER('Results'!C7),ISNUMBER('Results'!B7),ISNUMBER('Results'!$B$8),ISNUMBER('Inputs'!$B$6),ISNUMBER('Inputs'!$B$7),ISNUMBER('Inputs'!$B$8),ISNUMBER('Inputs'!$B$9),ISNUMBER('Inputs'!$B$10),ISNUMBER('Inputs'!$B$21),ISNUMBER('Inputs'!$B$24),ISNUMBER('Inputs'!$B$28)),(('Results'!C7*(0.5*((((1010-43)*MAX('Inputs'!$B$33,'Inputs'!$B$29+'Inputs'!$B$31+'Inputs'!$B$32,'Inputs'!$B$30+'Inputs'!$B$31+'Inputs'!$B$32)/1000+'Inputs'!$B$21)+'Inputs'!$B$9)/SQRT((((1010-43)*MAX('Inputs'!$B$33,'Inputs'!$B$29+'Inputs'!$B$31+'Inputs'!$B$32,'Inputs'!$B$30+'Inputs'!$B$31+'Inputs'!$B$32)/1000+'Inputs'!$B$21)+'Inputs'!$B$9)^2+('Inputs'!$B$8/2)^2)-(((1010-43)*MAX('Inputs'!$B$33,'Inputs'!$B$29+'Inputs'!$B$31+'Inputs'!$B$32,'Inputs'!$B$30+'Inputs'!$B$31+'Inputs'!$B$32)/1000+'Inputs'!$B$21))/SQRT((((1010-43)*MAX('Inputs'!$B$33,'Inputs'!$B$29+'Inputs'!$B$31+'Inputs'!$B$32,'Inputs'!$B$30+'Inputs'!$B$31+'Inputs'!$B$32)/1000+'Inputs'!$B$21))^2+('Inputs'!$B$8/2)^2)))-'Results'!B7*(0.5*((((1010-43)*MAX('Inputs'!$B$33,'Inputs'!$B$29+'Inputs'!$B$31+'Inputs'!$B$32,'Inputs'!$B$30+'Inputs'!$B$31+'Inputs'!$B$32)/1000+'Inputs'!$B$21+'Inputs'!$B$9+'Inputs'!$B$10)+'Inputs'!$B$7)/SQRT((((1010-43)*MAX('Inputs'!$B$33,'Inputs'!$B$29+'Inputs'!$B$31+'Inputs'!$B$32,'Inputs'!$B$30+'Inputs'!$B$31+'Inputs'!$B$32)/1000+'Inputs'!$B$21+'Inputs'!$B$9+'Inputs'!$B$10)+'Inputs'!$B$7)^2+('Inputs'!$B$6/2)^2)-(((1010-43)*MAX('Inputs'!$B$33,'Inputs'!$B$29+'Inputs'!$B$31+'Inputs'!$B$32,'Inputs'!$B$30+'Inputs'!$B$31+'Inputs'!$B$32)/1000+'Inputs'!$B$21+'Inputs'!$B$9+'Inputs'!$B$10))/SQRT((((1010-43)*MAX('Inputs'!$B$33,'Inputs'!$B$29+'Inputs'!$B$31+'Inputs'!$B$32,'Inputs'!$B$30+'Inputs'!$B$31+'Inputs'!$B$32)/1000+'Inputs'!$B$21+'Inputs'!$B$9+'Inputs'!$B$10))^2+('Inputs'!$B$6/2)^2))))*'Results'!$B$8),"")</x:f>
        <x:v>0.3564124860696788</x:v>
      </x:c>
      <x:c r="N1010" t="n">
        <x:f>IF(AND(ISNUMBER('Results'!C7),ISNUMBER('Results'!B7),ISNUMBER('Results'!$B$8),ISNUMBER('Inputs'!$B$6),ISNUMBER('Inputs'!$B$7),ISNUMBER('Inputs'!$B$8),ISNUMBER('Inputs'!$B$9),ISNUMBER('Inputs'!$B$10),ISNUMBER('Inputs'!$B$21),ISNUMBER('Inputs'!$B$24),ISNUMBER('Inputs'!$B$28)),((('Results'!C7*(1-'Inputs'!$B$24)*(0.5*((((1010-43)*MAX('Inputs'!$B$33,'Inputs'!$B$29+'Inputs'!$B$31+'Inputs'!$B$32,'Inputs'!$B$30+'Inputs'!$B$31+'Inputs'!$B$32)/1000+'Inputs'!$B$21)+'Inputs'!$B$9)/SQRT((((1010-43)*MAX('Inputs'!$B$33,'Inputs'!$B$29+'Inputs'!$B$31+'Inputs'!$B$32,'Inputs'!$B$30+'Inputs'!$B$31+'Inputs'!$B$32)/1000+'Inputs'!$B$21)+'Inputs'!$B$9)^2+('Inputs'!$B$8/2)^2)-(((1010-43)*MAX('Inputs'!$B$33,'Inputs'!$B$29+'Inputs'!$B$31+'Inputs'!$B$32,'Inputs'!$B$30+'Inputs'!$B$31+'Inputs'!$B$32)/1000+'Inputs'!$B$21))/SQRT((((1010-43)*MAX('Inputs'!$B$33,'Inputs'!$B$29+'Inputs'!$B$31+'Inputs'!$B$32,'Inputs'!$B$30+'Inputs'!$B$31+'Inputs'!$B$32)/1000+'Inputs'!$B$21))^2+('Inputs'!$B$8/2)^2)))-'Results'!B7*(1+'Inputs'!$B$24)*(0.5*((((1010-43)*MAX('Inputs'!$B$33,'Inputs'!$B$29+'Inputs'!$B$31+'Inputs'!$B$32,'Inputs'!$B$30+'Inputs'!$B$31+'Inputs'!$B$32)/1000+'Inputs'!$B$21+'Inputs'!$B$9+'Inputs'!$B$10)+'Inputs'!$B$7)/SQRT((((1010-43)*MAX('Inputs'!$B$33,'Inputs'!$B$29+'Inputs'!$B$31+'Inputs'!$B$32,'Inputs'!$B$30+'Inputs'!$B$31+'Inputs'!$B$32)/1000+'Inputs'!$B$21+'Inputs'!$B$9+'Inputs'!$B$10)+'Inputs'!$B$7)^2+('Inputs'!$B$6/2)^2)-(((1010-43)*MAX('Inputs'!$B$33,'Inputs'!$B$29+'Inputs'!$B$31+'Inputs'!$B$32,'Inputs'!$B$30+'Inputs'!$B$31+'Inputs'!$B$32)/1000+'Inputs'!$B$21+'Inputs'!$B$9+'Inputs'!$B$10))/SQRT((((1010-43)*MAX('Inputs'!$B$33,'Inputs'!$B$29+'Inputs'!$B$31+'Inputs'!$B$32,'Inputs'!$B$30+'Inputs'!$B$31+'Inputs'!$B$32)/1000+'Inputs'!$B$21+'Inputs'!$B$9+'Inputs'!$B$10))^2+('Inputs'!$B$6/2)^2))))*'Results'!$B$8)-'Inputs'!$B$28*ABS((('Results'!C7*(1-'Inputs'!$B$24)*(0.5*((((1010-43)*MAX('Inputs'!$B$33,'Inputs'!$B$29+'Inputs'!$B$31+'Inputs'!$B$32,'Inputs'!$B$30+'Inputs'!$B$31+'Inputs'!$B$32)/1000+'Inputs'!$B$21)+'Inputs'!$B$9)/SQRT((((1010-43)*MAX('Inputs'!$B$33,'Inputs'!$B$29+'Inputs'!$B$31+'Inputs'!$B$32,'Inputs'!$B$30+'Inputs'!$B$31+'Inputs'!$B$32)/1000+'Inputs'!$B$21)+'Inputs'!$B$9)^2+('Inputs'!$B$8/2)^2)-(((1010-43)*MAX('Inputs'!$B$33,'Inputs'!$B$29+'Inputs'!$B$31+'Inputs'!$B$32,'Inputs'!$B$30+'Inputs'!$B$31+'Inputs'!$B$32)/1000+'Inputs'!$B$21))/SQRT((((1010-43)*MAX('Inputs'!$B$33,'Inputs'!$B$29+'Inputs'!$B$31+'Inputs'!$B$32,'Inputs'!$B$30+'Inputs'!$B$31+'Inputs'!$B$32)/1000+'Inputs'!$B$21))^2+('Inputs'!$B$8/2)^2)))-'Results'!B7*(1+'Inputs'!$B$24)*(0.5*((((1010-43)*MAX('Inputs'!$B$33,'Inputs'!$B$29+'Inputs'!$B$31+'Inputs'!$B$32,'Inputs'!$B$30+'Inputs'!$B$31+'Inputs'!$B$32)/1000+'Inputs'!$B$21+'Inputs'!$B$9+'Inputs'!$B$10)+'Inputs'!$B$7)/SQRT((((1010-43)*MAX('Inputs'!$B$33,'Inputs'!$B$29+'Inputs'!$B$31+'Inputs'!$B$32,'Inputs'!$B$30+'Inputs'!$B$31+'Inputs'!$B$32)/1000+'Inputs'!$B$21+'Inputs'!$B$9+'Inputs'!$B$10)+'Inputs'!$B$7)^2+('Inputs'!$B$6/2)^2)-(((1010-43)*MAX('Inputs'!$B$33,'Inputs'!$B$29+'Inputs'!$B$31+'Inputs'!$B$32,'Inputs'!$B$30+'Inputs'!$B$31+'Inputs'!$B$32)/1000+'Inputs'!$B$21+'Inputs'!$B$9+'Inputs'!$B$10))/SQRT((((1010-43)*MAX('Inputs'!$B$33,'Inputs'!$B$29+'Inputs'!$B$31+'Inputs'!$B$32,'Inputs'!$B$30+'Inputs'!$B$31+'Inputs'!$B$32)/1000+'Inputs'!$B$21+'Inputs'!$B$9+'Inputs'!$B$10))^2+('Inputs'!$B$6/2)^2))))*'Results'!$B$8))),"")</x:f>
        <x:v>0.29425522038325885</x:v>
      </x:c>
      <x:c r="O1010" t="n">
        <x:f>IF(AND(ISNUMBER('Results'!C7),ISNUMBER('Results'!B7),ISNUMBER('Results'!$B$8),ISNUMBER('Inputs'!$B$6),ISNUMBER('Inputs'!$B$7),ISNUMBER('Inputs'!$B$8),ISNUMBER('Inputs'!$B$9),ISNUMBER('Inputs'!$B$10),ISNUMBER('Inputs'!$B$21),ISNUMBER('Inputs'!$B$24),ISNUMBER('Inputs'!$B$28)),((('Results'!C7*(1+'Inputs'!$B$24)*(0.5*((((1010-43)*MAX('Inputs'!$B$33,'Inputs'!$B$29+'Inputs'!$B$31+'Inputs'!$B$32,'Inputs'!$B$30+'Inputs'!$B$31+'Inputs'!$B$32)/1000+'Inputs'!$B$21)+'Inputs'!$B$9)/SQRT((((1010-43)*MAX('Inputs'!$B$33,'Inputs'!$B$29+'Inputs'!$B$31+'Inputs'!$B$32,'Inputs'!$B$30+'Inputs'!$B$31+'Inputs'!$B$32)/1000+'Inputs'!$B$21)+'Inputs'!$B$9)^2+('Inputs'!$B$8/2)^2)-(((1010-43)*MAX('Inputs'!$B$33,'Inputs'!$B$29+'Inputs'!$B$31+'Inputs'!$B$32,'Inputs'!$B$30+'Inputs'!$B$31+'Inputs'!$B$32)/1000+'Inputs'!$B$21))/SQRT((((1010-43)*MAX('Inputs'!$B$33,'Inputs'!$B$29+'Inputs'!$B$31+'Inputs'!$B$32,'Inputs'!$B$30+'Inputs'!$B$31+'Inputs'!$B$32)/1000+'Inputs'!$B$21))^2+('Inputs'!$B$8/2)^2)))-'Results'!B7*(1-'Inputs'!$B$24)*(0.5*((((1010-43)*MAX('Inputs'!$B$33,'Inputs'!$B$29+'Inputs'!$B$31+'Inputs'!$B$32,'Inputs'!$B$30+'Inputs'!$B$31+'Inputs'!$B$32)/1000+'Inputs'!$B$21+'Inputs'!$B$9+'Inputs'!$B$10)+'Inputs'!$B$7)/SQRT((((1010-43)*MAX('Inputs'!$B$33,'Inputs'!$B$29+'Inputs'!$B$31+'Inputs'!$B$32,'Inputs'!$B$30+'Inputs'!$B$31+'Inputs'!$B$32)/1000+'Inputs'!$B$21+'Inputs'!$B$9+'Inputs'!$B$10)+'Inputs'!$B$7)^2+('Inputs'!$B$6/2)^2)-(((1010-43)*MAX('Inputs'!$B$33,'Inputs'!$B$29+'Inputs'!$B$31+'Inputs'!$B$32,'Inputs'!$B$30+'Inputs'!$B$31+'Inputs'!$B$32)/1000+'Inputs'!$B$21+'Inputs'!$B$9+'Inputs'!$B$10))/SQRT((((1010-43)*MAX('Inputs'!$B$33,'Inputs'!$B$29+'Inputs'!$B$31+'Inputs'!$B$32,'Inputs'!$B$30+'Inputs'!$B$31+'Inputs'!$B$32)/1000+'Inputs'!$B$21+'Inputs'!$B$9+'Inputs'!$B$10))^2+('Inputs'!$B$6/2)^2))))*'Results'!$B$8)+'Inputs'!$B$28*ABS((('Results'!C7*(1+'Inputs'!$B$24)*(0.5*((((1010-43)*MAX('Inputs'!$B$33,'Inputs'!$B$29+'Inputs'!$B$31+'Inputs'!$B$32,'Inputs'!$B$30+'Inputs'!$B$31+'Inputs'!$B$32)/1000+'Inputs'!$B$21)+'Inputs'!$B$9)/SQRT((((1010-43)*MAX('Inputs'!$B$33,'Inputs'!$B$29+'Inputs'!$B$31+'Inputs'!$B$32,'Inputs'!$B$30+'Inputs'!$B$31+'Inputs'!$B$32)/1000+'Inputs'!$B$21)+'Inputs'!$B$9)^2+('Inputs'!$B$8/2)^2)-(((1010-43)*MAX('Inputs'!$B$33,'Inputs'!$B$29+'Inputs'!$B$31+'Inputs'!$B$32,'Inputs'!$B$30+'Inputs'!$B$31+'Inputs'!$B$32)/1000+'Inputs'!$B$21))/SQRT((((1010-43)*MAX('Inputs'!$B$33,'Inputs'!$B$29+'Inputs'!$B$31+'Inputs'!$B$32,'Inputs'!$B$30+'Inputs'!$B$31+'Inputs'!$B$32)/1000+'Inputs'!$B$21))^2+('Inputs'!$B$8/2)^2)))-'Results'!B7*(1-'Inputs'!$B$24)*(0.5*((((1010-43)*MAX('Inputs'!$B$33,'Inputs'!$B$29+'Inputs'!$B$31+'Inputs'!$B$32,'Inputs'!$B$30+'Inputs'!$B$31+'Inputs'!$B$32)/1000+'Inputs'!$B$21+'Inputs'!$B$9+'Inputs'!$B$10)+'Inputs'!$B$7)/SQRT((((1010-43)*MAX('Inputs'!$B$33,'Inputs'!$B$29+'Inputs'!$B$31+'Inputs'!$B$32,'Inputs'!$B$30+'Inputs'!$B$31+'Inputs'!$B$32)/1000+'Inputs'!$B$21+'Inputs'!$B$9+'Inputs'!$B$10)+'Inputs'!$B$7)^2+('Inputs'!$B$6/2)^2)-(((1010-43)*MAX('Inputs'!$B$33,'Inputs'!$B$29+'Inputs'!$B$31+'Inputs'!$B$32,'Inputs'!$B$30+'Inputs'!$B$31+'Inputs'!$B$32)/1000+'Inputs'!$B$21+'Inputs'!$B$9+'Inputs'!$B$10))/SQRT((((1010-43)*MAX('Inputs'!$B$33,'Inputs'!$B$29+'Inputs'!$B$31+'Inputs'!$B$32,'Inputs'!$B$30+'Inputs'!$B$31+'Inputs'!$B$32)/1000+'Inputs'!$B$21+'Inputs'!$B$9+'Inputs'!$B$10))^2+('Inputs'!$B$6/2)^2))))*'Results'!$B$8))),"")</x:f>
        <x:v>0.4232367666385129</x:v>
      </x:c>
      <x:c r="P1010" t="n">
        <x:f>IF(AND(MAX(J1010,J1009)&gt;0,J1010&gt;J1009+0.00000001),1,0)</x:f>
        <x:v>0</x:v>
      </x:c>
      <x:c r="Q1010" t="n">
        <x:f>IF(AND(MAX(K1010,K1009)&gt;0,K1010&gt;K1009+0.00000001),1,0)</x:f>
        <x:v>0</x:v>
      </x:c>
      <x:c r="R1010" t="n">
        <x:f>IF(AND(MAX(L1010,L1009)&gt;0,L1010&gt;L1009+0.00000001),1,0)</x:f>
        <x:v>0</x:v>
      </x:c>
      <x:c r="S1010" t="n">
        <x:f>IF(AND(MAX(M1010,M1009)&gt;0,M1010&gt;M1009+0.00000001),1,0)</x:f>
        <x:v>0</x:v>
      </x:c>
      <x:c r="T1010" t="n">
        <x:f>IF(AND(MAX(N1010,N1009)&gt;0,N1010&gt;N1009+0.00000001),1,0)</x:f>
        <x:v>0</x:v>
      </x:c>
      <x:c r="U1010" t="n">
        <x:f>IF(AND(MAX(O1010,O1009)&gt;0,O1010&gt;O1009+0.00000001),1,0)</x:f>
        <x:v>0</x:v>
      </x:c>
    </x:row>
    <x:row r="1011">
      <x:c r="J1011" t="n">
        <x:f>IF(AND(ISNUMBER('Results'!B7),ISNUMBER('Results'!C7),ISNUMBER('Results'!$B$8),ISNUMBER('Inputs'!$B$6),ISNUMBER('Inputs'!$B$7),ISNUMBER('Inputs'!$B$8),ISNUMBER('Inputs'!$B$9),ISNUMBER('Inputs'!$B$10),ISNUMBER('Inputs'!$B$21),ISNUMBER('Inputs'!$B$24),ISNUMBER('Inputs'!$B$28)),(('Results'!B7*(0.5*((((1011-43)*MAX('Inputs'!$B$33,'Inputs'!$B$29+'Inputs'!$B$31+'Inputs'!$B$32,'Inputs'!$B$30+'Inputs'!$B$31+'Inputs'!$B$32)/1000+'Inputs'!$B$21)+'Inputs'!$B$7)/SQRT((((1011-43)*MAX('Inputs'!$B$33,'Inputs'!$B$29+'Inputs'!$B$31+'Inputs'!$B$32,'Inputs'!$B$30+'Inputs'!$B$31+'Inputs'!$B$32)/1000+'Inputs'!$B$21)+'Inputs'!$B$7)^2+('Inputs'!$B$6/2)^2)-(((1011-43)*MAX('Inputs'!$B$33,'Inputs'!$B$29+'Inputs'!$B$31+'Inputs'!$B$32,'Inputs'!$B$30+'Inputs'!$B$31+'Inputs'!$B$32)/1000+'Inputs'!$B$21))/SQRT((((1011-43)*MAX('Inputs'!$B$33,'Inputs'!$B$29+'Inputs'!$B$31+'Inputs'!$B$32,'Inputs'!$B$30+'Inputs'!$B$31+'Inputs'!$B$32)/1000+'Inputs'!$B$21))^2+('Inputs'!$B$6/2)^2)))-'Results'!C7*(0.5*((((1011-43)*MAX('Inputs'!$B$33,'Inputs'!$B$29+'Inputs'!$B$31+'Inputs'!$B$32,'Inputs'!$B$30+'Inputs'!$B$31+'Inputs'!$B$32)/1000+'Inputs'!$B$21+'Inputs'!$B$7+'Inputs'!$B$10)+'Inputs'!$B$9)/SQRT((((1011-43)*MAX('Inputs'!$B$33,'Inputs'!$B$29+'Inputs'!$B$31+'Inputs'!$B$32,'Inputs'!$B$30+'Inputs'!$B$31+'Inputs'!$B$32)/1000+'Inputs'!$B$21+'Inputs'!$B$7+'Inputs'!$B$10)+'Inputs'!$B$9)^2+('Inputs'!$B$8/2)^2)-(((1011-43)*MAX('Inputs'!$B$33,'Inputs'!$B$29+'Inputs'!$B$31+'Inputs'!$B$32,'Inputs'!$B$30+'Inputs'!$B$31+'Inputs'!$B$32)/1000+'Inputs'!$B$21+'Inputs'!$B$7+'Inputs'!$B$10))/SQRT((((1011-43)*MAX('Inputs'!$B$33,'Inputs'!$B$29+'Inputs'!$B$31+'Inputs'!$B$32,'Inputs'!$B$30+'Inputs'!$B$31+'Inputs'!$B$32)/1000+'Inputs'!$B$21+'Inputs'!$B$7+'Inputs'!$B$10))^2+('Inputs'!$B$8/2)^2))))*'Results'!$B$8),"")</x:f>
        <x:v>0.4021136452534735</x:v>
      </x:c>
      <x:c r="K1011" t="n">
        <x:f>IF(AND(ISNUMBER('Results'!B7),ISNUMBER('Results'!C7),ISNUMBER('Results'!$B$8),ISNUMBER('Inputs'!$B$6),ISNUMBER('Inputs'!$B$7),ISNUMBER('Inputs'!$B$8),ISNUMBER('Inputs'!$B$9),ISNUMBER('Inputs'!$B$10),ISNUMBER('Inputs'!$B$21),ISNUMBER('Inputs'!$B$24),ISNUMBER('Inputs'!$B$28)),((('Results'!B7*(1-'Inputs'!$B$24)*(0.5*((((1011-43)*MAX('Inputs'!$B$33,'Inputs'!$B$29+'Inputs'!$B$31+'Inputs'!$B$32,'Inputs'!$B$30+'Inputs'!$B$31+'Inputs'!$B$32)/1000+'Inputs'!$B$21)+'Inputs'!$B$7)/SQRT((((1011-43)*MAX('Inputs'!$B$33,'Inputs'!$B$29+'Inputs'!$B$31+'Inputs'!$B$32,'Inputs'!$B$30+'Inputs'!$B$31+'Inputs'!$B$32)/1000+'Inputs'!$B$21)+'Inputs'!$B$7)^2+('Inputs'!$B$6/2)^2)-(((1011-43)*MAX('Inputs'!$B$33,'Inputs'!$B$29+'Inputs'!$B$31+'Inputs'!$B$32,'Inputs'!$B$30+'Inputs'!$B$31+'Inputs'!$B$32)/1000+'Inputs'!$B$21))/SQRT((((1011-43)*MAX('Inputs'!$B$33,'Inputs'!$B$29+'Inputs'!$B$31+'Inputs'!$B$32,'Inputs'!$B$30+'Inputs'!$B$31+'Inputs'!$B$32)/1000+'Inputs'!$B$21))^2+('Inputs'!$B$6/2)^2)))-'Results'!C7*(1+'Inputs'!$B$24)*(0.5*((((1011-43)*MAX('Inputs'!$B$33,'Inputs'!$B$29+'Inputs'!$B$31+'Inputs'!$B$32,'Inputs'!$B$30+'Inputs'!$B$31+'Inputs'!$B$32)/1000+'Inputs'!$B$21+'Inputs'!$B$7+'Inputs'!$B$10)+'Inputs'!$B$9)/SQRT((((1011-43)*MAX('Inputs'!$B$33,'Inputs'!$B$29+'Inputs'!$B$31+'Inputs'!$B$32,'Inputs'!$B$30+'Inputs'!$B$31+'Inputs'!$B$32)/1000+'Inputs'!$B$21+'Inputs'!$B$7+'Inputs'!$B$10)+'Inputs'!$B$9)^2+('Inputs'!$B$8/2)^2)-(((1011-43)*MAX('Inputs'!$B$33,'Inputs'!$B$29+'Inputs'!$B$31+'Inputs'!$B$32,'Inputs'!$B$30+'Inputs'!$B$31+'Inputs'!$B$32)/1000+'Inputs'!$B$21+'Inputs'!$B$7+'Inputs'!$B$10))/SQRT((((1011-43)*MAX('Inputs'!$B$33,'Inputs'!$B$29+'Inputs'!$B$31+'Inputs'!$B$32,'Inputs'!$B$30+'Inputs'!$B$31+'Inputs'!$B$32)/1000+'Inputs'!$B$21+'Inputs'!$B$7+'Inputs'!$B$10))^2+('Inputs'!$B$8/2)^2))))*'Results'!$B$8)-'Inputs'!$B$28*ABS((('Results'!B7*(1-'Inputs'!$B$24)*(0.5*((((1011-43)*MAX('Inputs'!$B$33,'Inputs'!$B$29+'Inputs'!$B$31+'Inputs'!$B$32,'Inputs'!$B$30+'Inputs'!$B$31+'Inputs'!$B$32)/1000+'Inputs'!$B$21)+'Inputs'!$B$7)/SQRT((((1011-43)*MAX('Inputs'!$B$33,'Inputs'!$B$29+'Inputs'!$B$31+'Inputs'!$B$32,'Inputs'!$B$30+'Inputs'!$B$31+'Inputs'!$B$32)/1000+'Inputs'!$B$21)+'Inputs'!$B$7)^2+('Inputs'!$B$6/2)^2)-(((1011-43)*MAX('Inputs'!$B$33,'Inputs'!$B$29+'Inputs'!$B$31+'Inputs'!$B$32,'Inputs'!$B$30+'Inputs'!$B$31+'Inputs'!$B$32)/1000+'Inputs'!$B$21))/SQRT((((1011-43)*MAX('Inputs'!$B$33,'Inputs'!$B$29+'Inputs'!$B$31+'Inputs'!$B$32,'Inputs'!$B$30+'Inputs'!$B$31+'Inputs'!$B$32)/1000+'Inputs'!$B$21))^2+('Inputs'!$B$6/2)^2)))-'Results'!C7*(1+'Inputs'!$B$24)*(0.5*((((1011-43)*MAX('Inputs'!$B$33,'Inputs'!$B$29+'Inputs'!$B$31+'Inputs'!$B$32,'Inputs'!$B$30+'Inputs'!$B$31+'Inputs'!$B$32)/1000+'Inputs'!$B$21+'Inputs'!$B$7+'Inputs'!$B$10)+'Inputs'!$B$9)/SQRT((((1011-43)*MAX('Inputs'!$B$33,'Inputs'!$B$29+'Inputs'!$B$31+'Inputs'!$B$32,'Inputs'!$B$30+'Inputs'!$B$31+'Inputs'!$B$32)/1000+'Inputs'!$B$21+'Inputs'!$B$7+'Inputs'!$B$10)+'Inputs'!$B$9)^2+('Inputs'!$B$8/2)^2)-(((1011-43)*MAX('Inputs'!$B$33,'Inputs'!$B$29+'Inputs'!$B$31+'Inputs'!$B$32,'Inputs'!$B$30+'Inputs'!$B$31+'Inputs'!$B$32)/1000+'Inputs'!$B$21+'Inputs'!$B$7+'Inputs'!$B$10))/SQRT((((1011-43)*MAX('Inputs'!$B$33,'Inputs'!$B$29+'Inputs'!$B$31+'Inputs'!$B$32,'Inputs'!$B$30+'Inputs'!$B$31+'Inputs'!$B$32)/1000+'Inputs'!$B$21+'Inputs'!$B$7+'Inputs'!$B$10))^2+('Inputs'!$B$8/2)^2))))*'Results'!$B$8))),"")</x:f>
        <x:v>0.3376539012270521</x:v>
      </x:c>
      <x:c r="L1011" t="n">
        <x:f>IF(AND(ISNUMBER('Results'!B7),ISNUMBER('Results'!C7),ISNUMBER('Results'!$B$8),ISNUMBER('Inputs'!$B$6),ISNUMBER('Inputs'!$B$7),ISNUMBER('Inputs'!$B$8),ISNUMBER('Inputs'!$B$9),ISNUMBER('Inputs'!$B$10),ISNUMBER('Inputs'!$B$21),ISNUMBER('Inputs'!$B$24),ISNUMBER('Inputs'!$B$28)),((('Results'!B7*(1+'Inputs'!$B$24)*(0.5*((((1011-43)*MAX('Inputs'!$B$33,'Inputs'!$B$29+'Inputs'!$B$31+'Inputs'!$B$32,'Inputs'!$B$30+'Inputs'!$B$31+'Inputs'!$B$32)/1000+'Inputs'!$B$21)+'Inputs'!$B$7)/SQRT((((1011-43)*MAX('Inputs'!$B$33,'Inputs'!$B$29+'Inputs'!$B$31+'Inputs'!$B$32,'Inputs'!$B$30+'Inputs'!$B$31+'Inputs'!$B$32)/1000+'Inputs'!$B$21)+'Inputs'!$B$7)^2+('Inputs'!$B$6/2)^2)-(((1011-43)*MAX('Inputs'!$B$33,'Inputs'!$B$29+'Inputs'!$B$31+'Inputs'!$B$32,'Inputs'!$B$30+'Inputs'!$B$31+'Inputs'!$B$32)/1000+'Inputs'!$B$21))/SQRT((((1011-43)*MAX('Inputs'!$B$33,'Inputs'!$B$29+'Inputs'!$B$31+'Inputs'!$B$32,'Inputs'!$B$30+'Inputs'!$B$31+'Inputs'!$B$32)/1000+'Inputs'!$B$21))^2+('Inputs'!$B$6/2)^2)))-'Results'!C7*(1-'Inputs'!$B$24)*(0.5*((((1011-43)*MAX('Inputs'!$B$33,'Inputs'!$B$29+'Inputs'!$B$31+'Inputs'!$B$32,'Inputs'!$B$30+'Inputs'!$B$31+'Inputs'!$B$32)/1000+'Inputs'!$B$21+'Inputs'!$B$7+'Inputs'!$B$10)+'Inputs'!$B$9)/SQRT((((1011-43)*MAX('Inputs'!$B$33,'Inputs'!$B$29+'Inputs'!$B$31+'Inputs'!$B$32,'Inputs'!$B$30+'Inputs'!$B$31+'Inputs'!$B$32)/1000+'Inputs'!$B$21+'Inputs'!$B$7+'Inputs'!$B$10)+'Inputs'!$B$9)^2+('Inputs'!$B$8/2)^2)-(((1011-43)*MAX('Inputs'!$B$33,'Inputs'!$B$29+'Inputs'!$B$31+'Inputs'!$B$32,'Inputs'!$B$30+'Inputs'!$B$31+'Inputs'!$B$32)/1000+'Inputs'!$B$21+'Inputs'!$B$7+'Inputs'!$B$10))/SQRT((((1011-43)*MAX('Inputs'!$B$33,'Inputs'!$B$29+'Inputs'!$B$31+'Inputs'!$B$32,'Inputs'!$B$30+'Inputs'!$B$31+'Inputs'!$B$32)/1000+'Inputs'!$B$21+'Inputs'!$B$7+'Inputs'!$B$10))^2+('Inputs'!$B$8/2)^2))))*'Results'!$B$8)+'Inputs'!$B$28*ABS((('Results'!B7*(1+'Inputs'!$B$24)*(0.5*((((1011-43)*MAX('Inputs'!$B$33,'Inputs'!$B$29+'Inputs'!$B$31+'Inputs'!$B$32,'Inputs'!$B$30+'Inputs'!$B$31+'Inputs'!$B$32)/1000+'Inputs'!$B$21)+'Inputs'!$B$7)/SQRT((((1011-43)*MAX('Inputs'!$B$33,'Inputs'!$B$29+'Inputs'!$B$31+'Inputs'!$B$32,'Inputs'!$B$30+'Inputs'!$B$31+'Inputs'!$B$32)/1000+'Inputs'!$B$21)+'Inputs'!$B$7)^2+('Inputs'!$B$6/2)^2)-(((1011-43)*MAX('Inputs'!$B$33,'Inputs'!$B$29+'Inputs'!$B$31+'Inputs'!$B$32,'Inputs'!$B$30+'Inputs'!$B$31+'Inputs'!$B$32)/1000+'Inputs'!$B$21))/SQRT((((1011-43)*MAX('Inputs'!$B$33,'Inputs'!$B$29+'Inputs'!$B$31+'Inputs'!$B$32,'Inputs'!$B$30+'Inputs'!$B$31+'Inputs'!$B$32)/1000+'Inputs'!$B$21))^2+('Inputs'!$B$6/2)^2)))-'Results'!C7*(1-'Inputs'!$B$24)*(0.5*((((1011-43)*MAX('Inputs'!$B$33,'Inputs'!$B$29+'Inputs'!$B$31+'Inputs'!$B$32,'Inputs'!$B$30+'Inputs'!$B$31+'Inputs'!$B$32)/1000+'Inputs'!$B$21+'Inputs'!$B$7+'Inputs'!$B$10)+'Inputs'!$B$9)/SQRT((((1011-43)*MAX('Inputs'!$B$33,'Inputs'!$B$29+'Inputs'!$B$31+'Inputs'!$B$32,'Inputs'!$B$30+'Inputs'!$B$31+'Inputs'!$B$32)/1000+'Inputs'!$B$21+'Inputs'!$B$7+'Inputs'!$B$10)+'Inputs'!$B$9)^2+('Inputs'!$B$8/2)^2)-(((1011-43)*MAX('Inputs'!$B$33,'Inputs'!$B$29+'Inputs'!$B$31+'Inputs'!$B$32,'Inputs'!$B$30+'Inputs'!$B$31+'Inputs'!$B$32)/1000+'Inputs'!$B$21+'Inputs'!$B$7+'Inputs'!$B$10))/SQRT((((1011-43)*MAX('Inputs'!$B$33,'Inputs'!$B$29+'Inputs'!$B$31+'Inputs'!$B$32,'Inputs'!$B$30+'Inputs'!$B$31+'Inputs'!$B$32)/1000+'Inputs'!$B$21+'Inputs'!$B$7+'Inputs'!$B$10))^2+('Inputs'!$B$8/2)^2))))*'Results'!$B$8))),"")</x:f>
        <x:v>0.4712422378866048</x:v>
      </x:c>
      <x:c r="M1011" t="n">
        <x:f>IF(AND(ISNUMBER('Results'!C7),ISNUMBER('Results'!B7),ISNUMBER('Results'!$B$8),ISNUMBER('Inputs'!$B$6),ISNUMBER('Inputs'!$B$7),ISNUMBER('Inputs'!$B$8),ISNUMBER('Inputs'!$B$9),ISNUMBER('Inputs'!$B$10),ISNUMBER('Inputs'!$B$21),ISNUMBER('Inputs'!$B$24),ISNUMBER('Inputs'!$B$28)),(('Results'!C7*(0.5*((((1011-43)*MAX('Inputs'!$B$33,'Inputs'!$B$29+'Inputs'!$B$31+'Inputs'!$B$32,'Inputs'!$B$30+'Inputs'!$B$31+'Inputs'!$B$32)/1000+'Inputs'!$B$21)+'Inputs'!$B$9)/SQRT((((1011-43)*MAX('Inputs'!$B$33,'Inputs'!$B$29+'Inputs'!$B$31+'Inputs'!$B$32,'Inputs'!$B$30+'Inputs'!$B$31+'Inputs'!$B$32)/1000+'Inputs'!$B$21)+'Inputs'!$B$9)^2+('Inputs'!$B$8/2)^2)-(((1011-43)*MAX('Inputs'!$B$33,'Inputs'!$B$29+'Inputs'!$B$31+'Inputs'!$B$32,'Inputs'!$B$30+'Inputs'!$B$31+'Inputs'!$B$32)/1000+'Inputs'!$B$21))/SQRT((((1011-43)*MAX('Inputs'!$B$33,'Inputs'!$B$29+'Inputs'!$B$31+'Inputs'!$B$32,'Inputs'!$B$30+'Inputs'!$B$31+'Inputs'!$B$32)/1000+'Inputs'!$B$21))^2+('Inputs'!$B$8/2)^2)))-'Results'!B7*(0.5*((((1011-43)*MAX('Inputs'!$B$33,'Inputs'!$B$29+'Inputs'!$B$31+'Inputs'!$B$32,'Inputs'!$B$30+'Inputs'!$B$31+'Inputs'!$B$32)/1000+'Inputs'!$B$21+'Inputs'!$B$9+'Inputs'!$B$10)+'Inputs'!$B$7)/SQRT((((1011-43)*MAX('Inputs'!$B$33,'Inputs'!$B$29+'Inputs'!$B$31+'Inputs'!$B$32,'Inputs'!$B$30+'Inputs'!$B$31+'Inputs'!$B$32)/1000+'Inputs'!$B$21+'Inputs'!$B$9+'Inputs'!$B$10)+'Inputs'!$B$7)^2+('Inputs'!$B$6/2)^2)-(((1011-43)*MAX('Inputs'!$B$33,'Inputs'!$B$29+'Inputs'!$B$31+'Inputs'!$B$32,'Inputs'!$B$30+'Inputs'!$B$31+'Inputs'!$B$32)/1000+'Inputs'!$B$21+'Inputs'!$B$9+'Inputs'!$B$10))/SQRT((((1011-43)*MAX('Inputs'!$B$33,'Inputs'!$B$29+'Inputs'!$B$31+'Inputs'!$B$32,'Inputs'!$B$30+'Inputs'!$B$31+'Inputs'!$B$32)/1000+'Inputs'!$B$21+'Inputs'!$B$9+'Inputs'!$B$10))^2+('Inputs'!$B$6/2)^2))))*'Results'!$B$8),"")</x:f>
        <x:v>0.3550308100724723</x:v>
      </x:c>
      <x:c r="N1011" t="n">
        <x:f>IF(AND(ISNUMBER('Results'!C7),ISNUMBER('Results'!B7),ISNUMBER('Results'!$B$8),ISNUMBER('Inputs'!$B$6),ISNUMBER('Inputs'!$B$7),ISNUMBER('Inputs'!$B$8),ISNUMBER('Inputs'!$B$9),ISNUMBER('Inputs'!$B$10),ISNUMBER('Inputs'!$B$21),ISNUMBER('Inputs'!$B$24),ISNUMBER('Inputs'!$B$28)),((('Results'!C7*(1-'Inputs'!$B$24)*(0.5*((((1011-43)*MAX('Inputs'!$B$33,'Inputs'!$B$29+'Inputs'!$B$31+'Inputs'!$B$32,'Inputs'!$B$30+'Inputs'!$B$31+'Inputs'!$B$32)/1000+'Inputs'!$B$21)+'Inputs'!$B$9)/SQRT((((1011-43)*MAX('Inputs'!$B$33,'Inputs'!$B$29+'Inputs'!$B$31+'Inputs'!$B$32,'Inputs'!$B$30+'Inputs'!$B$31+'Inputs'!$B$32)/1000+'Inputs'!$B$21)+'Inputs'!$B$9)^2+('Inputs'!$B$8/2)^2)-(((1011-43)*MAX('Inputs'!$B$33,'Inputs'!$B$29+'Inputs'!$B$31+'Inputs'!$B$32,'Inputs'!$B$30+'Inputs'!$B$31+'Inputs'!$B$32)/1000+'Inputs'!$B$21))/SQRT((((1011-43)*MAX('Inputs'!$B$33,'Inputs'!$B$29+'Inputs'!$B$31+'Inputs'!$B$32,'Inputs'!$B$30+'Inputs'!$B$31+'Inputs'!$B$32)/1000+'Inputs'!$B$21))^2+('Inputs'!$B$8/2)^2)))-'Results'!B7*(1+'Inputs'!$B$24)*(0.5*((((1011-43)*MAX('Inputs'!$B$33,'Inputs'!$B$29+'Inputs'!$B$31+'Inputs'!$B$32,'Inputs'!$B$30+'Inputs'!$B$31+'Inputs'!$B$32)/1000+'Inputs'!$B$21+'Inputs'!$B$9+'Inputs'!$B$10)+'Inputs'!$B$7)/SQRT((((1011-43)*MAX('Inputs'!$B$33,'Inputs'!$B$29+'Inputs'!$B$31+'Inputs'!$B$32,'Inputs'!$B$30+'Inputs'!$B$31+'Inputs'!$B$32)/1000+'Inputs'!$B$21+'Inputs'!$B$9+'Inputs'!$B$10)+'Inputs'!$B$7)^2+('Inputs'!$B$6/2)^2)-(((1011-43)*MAX('Inputs'!$B$33,'Inputs'!$B$29+'Inputs'!$B$31+'Inputs'!$B$32,'Inputs'!$B$30+'Inputs'!$B$31+'Inputs'!$B$32)/1000+'Inputs'!$B$21+'Inputs'!$B$9+'Inputs'!$B$10))/SQRT((((1011-43)*MAX('Inputs'!$B$33,'Inputs'!$B$29+'Inputs'!$B$31+'Inputs'!$B$32,'Inputs'!$B$30+'Inputs'!$B$31+'Inputs'!$B$32)/1000+'Inputs'!$B$21+'Inputs'!$B$9+'Inputs'!$B$10))^2+('Inputs'!$B$6/2)^2))))*'Results'!$B$8)-'Inputs'!$B$28*ABS((('Results'!C7*(1-'Inputs'!$B$24)*(0.5*((((1011-43)*MAX('Inputs'!$B$33,'Inputs'!$B$29+'Inputs'!$B$31+'Inputs'!$B$32,'Inputs'!$B$30+'Inputs'!$B$31+'Inputs'!$B$32)/1000+'Inputs'!$B$21)+'Inputs'!$B$9)/SQRT((((1011-43)*MAX('Inputs'!$B$33,'Inputs'!$B$29+'Inputs'!$B$31+'Inputs'!$B$32,'Inputs'!$B$30+'Inputs'!$B$31+'Inputs'!$B$32)/1000+'Inputs'!$B$21)+'Inputs'!$B$9)^2+('Inputs'!$B$8/2)^2)-(((1011-43)*MAX('Inputs'!$B$33,'Inputs'!$B$29+'Inputs'!$B$31+'Inputs'!$B$32,'Inputs'!$B$30+'Inputs'!$B$31+'Inputs'!$B$32)/1000+'Inputs'!$B$21))/SQRT((((1011-43)*MAX('Inputs'!$B$33,'Inputs'!$B$29+'Inputs'!$B$31+'Inputs'!$B$32,'Inputs'!$B$30+'Inputs'!$B$31+'Inputs'!$B$32)/1000+'Inputs'!$B$21))^2+('Inputs'!$B$8/2)^2)))-'Results'!B7*(1+'Inputs'!$B$24)*(0.5*((((1011-43)*MAX('Inputs'!$B$33,'Inputs'!$B$29+'Inputs'!$B$31+'Inputs'!$B$32,'Inputs'!$B$30+'Inputs'!$B$31+'Inputs'!$B$32)/1000+'Inputs'!$B$21+'Inputs'!$B$9+'Inputs'!$B$10)+'Inputs'!$B$7)/SQRT((((1011-43)*MAX('Inputs'!$B$33,'Inputs'!$B$29+'Inputs'!$B$31+'Inputs'!$B$32,'Inputs'!$B$30+'Inputs'!$B$31+'Inputs'!$B$32)/1000+'Inputs'!$B$21+'Inputs'!$B$9+'Inputs'!$B$10)+'Inputs'!$B$7)^2+('Inputs'!$B$6/2)^2)-(((1011-43)*MAX('Inputs'!$B$33,'Inputs'!$B$29+'Inputs'!$B$31+'Inputs'!$B$32,'Inputs'!$B$30+'Inputs'!$B$31+'Inputs'!$B$32)/1000+'Inputs'!$B$21+'Inputs'!$B$9+'Inputs'!$B$10))/SQRT((((1011-43)*MAX('Inputs'!$B$33,'Inputs'!$B$29+'Inputs'!$B$31+'Inputs'!$B$32,'Inputs'!$B$30+'Inputs'!$B$31+'Inputs'!$B$32)/1000+'Inputs'!$B$21+'Inputs'!$B$9+'Inputs'!$B$10))^2+('Inputs'!$B$6/2)^2))))*'Results'!$B$8))),"")</x:f>
        <x:v>0.2930705183571335</x:v>
      </x:c>
      <x:c r="O1011" t="n">
        <x:f>IF(AND(ISNUMBER('Results'!C7),ISNUMBER('Results'!B7),ISNUMBER('Results'!$B$8),ISNUMBER('Inputs'!$B$6),ISNUMBER('Inputs'!$B$7),ISNUMBER('Inputs'!$B$8),ISNUMBER('Inputs'!$B$9),ISNUMBER('Inputs'!$B$10),ISNUMBER('Inputs'!$B$21),ISNUMBER('Inputs'!$B$24),ISNUMBER('Inputs'!$B$28)),((('Results'!C7*(1+'Inputs'!$B$24)*(0.5*((((1011-43)*MAX('Inputs'!$B$33,'Inputs'!$B$29+'Inputs'!$B$31+'Inputs'!$B$32,'Inputs'!$B$30+'Inputs'!$B$31+'Inputs'!$B$32)/1000+'Inputs'!$B$21)+'Inputs'!$B$9)/SQRT((((1011-43)*MAX('Inputs'!$B$33,'Inputs'!$B$29+'Inputs'!$B$31+'Inputs'!$B$32,'Inputs'!$B$30+'Inputs'!$B$31+'Inputs'!$B$32)/1000+'Inputs'!$B$21)+'Inputs'!$B$9)^2+('Inputs'!$B$8/2)^2)-(((1011-43)*MAX('Inputs'!$B$33,'Inputs'!$B$29+'Inputs'!$B$31+'Inputs'!$B$32,'Inputs'!$B$30+'Inputs'!$B$31+'Inputs'!$B$32)/1000+'Inputs'!$B$21))/SQRT((((1011-43)*MAX('Inputs'!$B$33,'Inputs'!$B$29+'Inputs'!$B$31+'Inputs'!$B$32,'Inputs'!$B$30+'Inputs'!$B$31+'Inputs'!$B$32)/1000+'Inputs'!$B$21))^2+('Inputs'!$B$8/2)^2)))-'Results'!B7*(1-'Inputs'!$B$24)*(0.5*((((1011-43)*MAX('Inputs'!$B$33,'Inputs'!$B$29+'Inputs'!$B$31+'Inputs'!$B$32,'Inputs'!$B$30+'Inputs'!$B$31+'Inputs'!$B$32)/1000+'Inputs'!$B$21+'Inputs'!$B$9+'Inputs'!$B$10)+'Inputs'!$B$7)/SQRT((((1011-43)*MAX('Inputs'!$B$33,'Inputs'!$B$29+'Inputs'!$B$31+'Inputs'!$B$32,'Inputs'!$B$30+'Inputs'!$B$31+'Inputs'!$B$32)/1000+'Inputs'!$B$21+'Inputs'!$B$9+'Inputs'!$B$10)+'Inputs'!$B$7)^2+('Inputs'!$B$6/2)^2)-(((1011-43)*MAX('Inputs'!$B$33,'Inputs'!$B$29+'Inputs'!$B$31+'Inputs'!$B$32,'Inputs'!$B$30+'Inputs'!$B$31+'Inputs'!$B$32)/1000+'Inputs'!$B$21+'Inputs'!$B$9+'Inputs'!$B$10))/SQRT((((1011-43)*MAX('Inputs'!$B$33,'Inputs'!$B$29+'Inputs'!$B$31+'Inputs'!$B$32,'Inputs'!$B$30+'Inputs'!$B$31+'Inputs'!$B$32)/1000+'Inputs'!$B$21+'Inputs'!$B$9+'Inputs'!$B$10))^2+('Inputs'!$B$6/2)^2))))*'Results'!$B$8)+'Inputs'!$B$28*ABS((('Results'!C7*(1+'Inputs'!$B$24)*(0.5*((((1011-43)*MAX('Inputs'!$B$33,'Inputs'!$B$29+'Inputs'!$B$31+'Inputs'!$B$32,'Inputs'!$B$30+'Inputs'!$B$31+'Inputs'!$B$32)/1000+'Inputs'!$B$21)+'Inputs'!$B$9)/SQRT((((1011-43)*MAX('Inputs'!$B$33,'Inputs'!$B$29+'Inputs'!$B$31+'Inputs'!$B$32,'Inputs'!$B$30+'Inputs'!$B$31+'Inputs'!$B$32)/1000+'Inputs'!$B$21)+'Inputs'!$B$9)^2+('Inputs'!$B$8/2)^2)-(((1011-43)*MAX('Inputs'!$B$33,'Inputs'!$B$29+'Inputs'!$B$31+'Inputs'!$B$32,'Inputs'!$B$30+'Inputs'!$B$31+'Inputs'!$B$32)/1000+'Inputs'!$B$21))/SQRT((((1011-43)*MAX('Inputs'!$B$33,'Inputs'!$B$29+'Inputs'!$B$31+'Inputs'!$B$32,'Inputs'!$B$30+'Inputs'!$B$31+'Inputs'!$B$32)/1000+'Inputs'!$B$21))^2+('Inputs'!$B$8/2)^2)))-'Results'!B7*(1-'Inputs'!$B$24)*(0.5*((((1011-43)*MAX('Inputs'!$B$33,'Inputs'!$B$29+'Inputs'!$B$31+'Inputs'!$B$32,'Inputs'!$B$30+'Inputs'!$B$31+'Inputs'!$B$32)/1000+'Inputs'!$B$21+'Inputs'!$B$9+'Inputs'!$B$10)+'Inputs'!$B$7)/SQRT((((1011-43)*MAX('Inputs'!$B$33,'Inputs'!$B$29+'Inputs'!$B$31+'Inputs'!$B$32,'Inputs'!$B$30+'Inputs'!$B$31+'Inputs'!$B$32)/1000+'Inputs'!$B$21+'Inputs'!$B$9+'Inputs'!$B$10)+'Inputs'!$B$7)^2+('Inputs'!$B$6/2)^2)-(((1011-43)*MAX('Inputs'!$B$33,'Inputs'!$B$29+'Inputs'!$B$31+'Inputs'!$B$32,'Inputs'!$B$30+'Inputs'!$B$31+'Inputs'!$B$32)/1000+'Inputs'!$B$21+'Inputs'!$B$9+'Inputs'!$B$10))/SQRT((((1011-43)*MAX('Inputs'!$B$33,'Inputs'!$B$29+'Inputs'!$B$31+'Inputs'!$B$32,'Inputs'!$B$30+'Inputs'!$B$31+'Inputs'!$B$32)/1000+'Inputs'!$B$21+'Inputs'!$B$9+'Inputs'!$B$10))^2+('Inputs'!$B$6/2)^2))))*'Results'!$B$8))),"")</x:f>
        <x:v>0.42164465454693945</x:v>
      </x:c>
      <x:c r="P1011" t="n">
        <x:f>IF(AND(MAX(J1011,J1010)&gt;0,J1011&gt;J1010+0.00000001),1,0)</x:f>
        <x:v>0</x:v>
      </x:c>
      <x:c r="Q1011" t="n">
        <x:f>IF(AND(MAX(K1011,K1010)&gt;0,K1011&gt;K1010+0.00000001),1,0)</x:f>
        <x:v>0</x:v>
      </x:c>
      <x:c r="R1011" t="n">
        <x:f>IF(AND(MAX(L1011,L1010)&gt;0,L1011&gt;L1010+0.00000001),1,0)</x:f>
        <x:v>0</x:v>
      </x:c>
      <x:c r="S1011" t="n">
        <x:f>IF(AND(MAX(M1011,M1010)&gt;0,M1011&gt;M1010+0.00000001),1,0)</x:f>
        <x:v>0</x:v>
      </x:c>
      <x:c r="T1011" t="n">
        <x:f>IF(AND(MAX(N1011,N1010)&gt;0,N1011&gt;N1010+0.00000001),1,0)</x:f>
        <x:v>0</x:v>
      </x:c>
      <x:c r="U1011" t="n">
        <x:f>IF(AND(MAX(O1011,O1010)&gt;0,O1011&gt;O1010+0.00000001),1,0)</x:f>
        <x:v>0</x:v>
      </x:c>
    </x:row>
    <x:row r="1012">
      <x:c r="J1012" t="n">
        <x:f>IF(AND(ISNUMBER('Results'!B7),ISNUMBER('Results'!C7),ISNUMBER('Results'!$B$8),ISNUMBER('Inputs'!$B$6),ISNUMBER('Inputs'!$B$7),ISNUMBER('Inputs'!$B$8),ISNUMBER('Inputs'!$B$9),ISNUMBER('Inputs'!$B$10),ISNUMBER('Inputs'!$B$21),ISNUMBER('Inputs'!$B$24),ISNUMBER('Inputs'!$B$28)),(('Results'!B7*(0.5*((((1012-43)*MAX('Inputs'!$B$33,'Inputs'!$B$29+'Inputs'!$B$31+'Inputs'!$B$32,'Inputs'!$B$30+'Inputs'!$B$31+'Inputs'!$B$32)/1000+'Inputs'!$B$21)+'Inputs'!$B$7)/SQRT((((1012-43)*MAX('Inputs'!$B$33,'Inputs'!$B$29+'Inputs'!$B$31+'Inputs'!$B$32,'Inputs'!$B$30+'Inputs'!$B$31+'Inputs'!$B$32)/1000+'Inputs'!$B$21)+'Inputs'!$B$7)^2+('Inputs'!$B$6/2)^2)-(((1012-43)*MAX('Inputs'!$B$33,'Inputs'!$B$29+'Inputs'!$B$31+'Inputs'!$B$32,'Inputs'!$B$30+'Inputs'!$B$31+'Inputs'!$B$32)/1000+'Inputs'!$B$21))/SQRT((((1012-43)*MAX('Inputs'!$B$33,'Inputs'!$B$29+'Inputs'!$B$31+'Inputs'!$B$32,'Inputs'!$B$30+'Inputs'!$B$31+'Inputs'!$B$32)/1000+'Inputs'!$B$21))^2+('Inputs'!$B$6/2)^2)))-'Results'!C7*(0.5*((((1012-43)*MAX('Inputs'!$B$33,'Inputs'!$B$29+'Inputs'!$B$31+'Inputs'!$B$32,'Inputs'!$B$30+'Inputs'!$B$31+'Inputs'!$B$32)/1000+'Inputs'!$B$21+'Inputs'!$B$7+'Inputs'!$B$10)+'Inputs'!$B$9)/SQRT((((1012-43)*MAX('Inputs'!$B$33,'Inputs'!$B$29+'Inputs'!$B$31+'Inputs'!$B$32,'Inputs'!$B$30+'Inputs'!$B$31+'Inputs'!$B$32)/1000+'Inputs'!$B$21+'Inputs'!$B$7+'Inputs'!$B$10)+'Inputs'!$B$9)^2+('Inputs'!$B$8/2)^2)-(((1012-43)*MAX('Inputs'!$B$33,'Inputs'!$B$29+'Inputs'!$B$31+'Inputs'!$B$32,'Inputs'!$B$30+'Inputs'!$B$31+'Inputs'!$B$32)/1000+'Inputs'!$B$21+'Inputs'!$B$7+'Inputs'!$B$10))/SQRT((((1012-43)*MAX('Inputs'!$B$33,'Inputs'!$B$29+'Inputs'!$B$31+'Inputs'!$B$32,'Inputs'!$B$30+'Inputs'!$B$31+'Inputs'!$B$32)/1000+'Inputs'!$B$21+'Inputs'!$B$7+'Inputs'!$B$10))^2+('Inputs'!$B$8/2)^2))))*'Results'!$B$8),"")</x:f>
        <x:v>0.40060285939035817</x:v>
      </x:c>
      <x:c r="K1012" t="n">
        <x:f>IF(AND(ISNUMBER('Results'!B7),ISNUMBER('Results'!C7),ISNUMBER('Results'!$B$8),ISNUMBER('Inputs'!$B$6),ISNUMBER('Inputs'!$B$7),ISNUMBER('Inputs'!$B$8),ISNUMBER('Inputs'!$B$9),ISNUMBER('Inputs'!$B$10),ISNUMBER('Inputs'!$B$21),ISNUMBER('Inputs'!$B$24),ISNUMBER('Inputs'!$B$28)),((('Results'!B7*(1-'Inputs'!$B$24)*(0.5*((((1012-43)*MAX('Inputs'!$B$33,'Inputs'!$B$29+'Inputs'!$B$31+'Inputs'!$B$32,'Inputs'!$B$30+'Inputs'!$B$31+'Inputs'!$B$32)/1000+'Inputs'!$B$21)+'Inputs'!$B$7)/SQRT((((1012-43)*MAX('Inputs'!$B$33,'Inputs'!$B$29+'Inputs'!$B$31+'Inputs'!$B$32,'Inputs'!$B$30+'Inputs'!$B$31+'Inputs'!$B$32)/1000+'Inputs'!$B$21)+'Inputs'!$B$7)^2+('Inputs'!$B$6/2)^2)-(((1012-43)*MAX('Inputs'!$B$33,'Inputs'!$B$29+'Inputs'!$B$31+'Inputs'!$B$32,'Inputs'!$B$30+'Inputs'!$B$31+'Inputs'!$B$32)/1000+'Inputs'!$B$21))/SQRT((((1012-43)*MAX('Inputs'!$B$33,'Inputs'!$B$29+'Inputs'!$B$31+'Inputs'!$B$32,'Inputs'!$B$30+'Inputs'!$B$31+'Inputs'!$B$32)/1000+'Inputs'!$B$21))^2+('Inputs'!$B$6/2)^2)))-'Results'!C7*(1+'Inputs'!$B$24)*(0.5*((((1012-43)*MAX('Inputs'!$B$33,'Inputs'!$B$29+'Inputs'!$B$31+'Inputs'!$B$32,'Inputs'!$B$30+'Inputs'!$B$31+'Inputs'!$B$32)/1000+'Inputs'!$B$21+'Inputs'!$B$7+'Inputs'!$B$10)+'Inputs'!$B$9)/SQRT((((1012-43)*MAX('Inputs'!$B$33,'Inputs'!$B$29+'Inputs'!$B$31+'Inputs'!$B$32,'Inputs'!$B$30+'Inputs'!$B$31+'Inputs'!$B$32)/1000+'Inputs'!$B$21+'Inputs'!$B$7+'Inputs'!$B$10)+'Inputs'!$B$9)^2+('Inputs'!$B$8/2)^2)-(((1012-43)*MAX('Inputs'!$B$33,'Inputs'!$B$29+'Inputs'!$B$31+'Inputs'!$B$32,'Inputs'!$B$30+'Inputs'!$B$31+'Inputs'!$B$32)/1000+'Inputs'!$B$21+'Inputs'!$B$7+'Inputs'!$B$10))/SQRT((((1012-43)*MAX('Inputs'!$B$33,'Inputs'!$B$29+'Inputs'!$B$31+'Inputs'!$B$32,'Inputs'!$B$30+'Inputs'!$B$31+'Inputs'!$B$32)/1000+'Inputs'!$B$21+'Inputs'!$B$7+'Inputs'!$B$10))^2+('Inputs'!$B$8/2)^2))))*'Results'!$B$8)-'Inputs'!$B$28*ABS((('Results'!B7*(1-'Inputs'!$B$24)*(0.5*((((1012-43)*MAX('Inputs'!$B$33,'Inputs'!$B$29+'Inputs'!$B$31+'Inputs'!$B$32,'Inputs'!$B$30+'Inputs'!$B$31+'Inputs'!$B$32)/1000+'Inputs'!$B$21)+'Inputs'!$B$7)/SQRT((((1012-43)*MAX('Inputs'!$B$33,'Inputs'!$B$29+'Inputs'!$B$31+'Inputs'!$B$32,'Inputs'!$B$30+'Inputs'!$B$31+'Inputs'!$B$32)/1000+'Inputs'!$B$21)+'Inputs'!$B$7)^2+('Inputs'!$B$6/2)^2)-(((1012-43)*MAX('Inputs'!$B$33,'Inputs'!$B$29+'Inputs'!$B$31+'Inputs'!$B$32,'Inputs'!$B$30+'Inputs'!$B$31+'Inputs'!$B$32)/1000+'Inputs'!$B$21))/SQRT((((1012-43)*MAX('Inputs'!$B$33,'Inputs'!$B$29+'Inputs'!$B$31+'Inputs'!$B$32,'Inputs'!$B$30+'Inputs'!$B$31+'Inputs'!$B$32)/1000+'Inputs'!$B$21))^2+('Inputs'!$B$6/2)^2)))-'Results'!C7*(1+'Inputs'!$B$24)*(0.5*((((1012-43)*MAX('Inputs'!$B$33,'Inputs'!$B$29+'Inputs'!$B$31+'Inputs'!$B$32,'Inputs'!$B$30+'Inputs'!$B$31+'Inputs'!$B$32)/1000+'Inputs'!$B$21+'Inputs'!$B$7+'Inputs'!$B$10)+'Inputs'!$B$9)/SQRT((((1012-43)*MAX('Inputs'!$B$33,'Inputs'!$B$29+'Inputs'!$B$31+'Inputs'!$B$32,'Inputs'!$B$30+'Inputs'!$B$31+'Inputs'!$B$32)/1000+'Inputs'!$B$21+'Inputs'!$B$7+'Inputs'!$B$10)+'Inputs'!$B$9)^2+('Inputs'!$B$8/2)^2)-(((1012-43)*MAX('Inputs'!$B$33,'Inputs'!$B$29+'Inputs'!$B$31+'Inputs'!$B$32,'Inputs'!$B$30+'Inputs'!$B$31+'Inputs'!$B$32)/1000+'Inputs'!$B$21+'Inputs'!$B$7+'Inputs'!$B$10))/SQRT((((1012-43)*MAX('Inputs'!$B$33,'Inputs'!$B$29+'Inputs'!$B$31+'Inputs'!$B$32,'Inputs'!$B$30+'Inputs'!$B$31+'Inputs'!$B$32)/1000+'Inputs'!$B$21+'Inputs'!$B$7+'Inputs'!$B$10))^2+('Inputs'!$B$8/2)^2))))*'Results'!$B$8))),"")</x:f>
        <x:v>0.3363466065650618</x:v>
      </x:c>
      <x:c r="L1012" t="n">
        <x:f>IF(AND(ISNUMBER('Results'!B7),ISNUMBER('Results'!C7),ISNUMBER('Results'!$B$8),ISNUMBER('Inputs'!$B$6),ISNUMBER('Inputs'!$B$7),ISNUMBER('Inputs'!$B$8),ISNUMBER('Inputs'!$B$9),ISNUMBER('Inputs'!$B$10),ISNUMBER('Inputs'!$B$21),ISNUMBER('Inputs'!$B$24),ISNUMBER('Inputs'!$B$28)),((('Results'!B7*(1+'Inputs'!$B$24)*(0.5*((((1012-43)*MAX('Inputs'!$B$33,'Inputs'!$B$29+'Inputs'!$B$31+'Inputs'!$B$32,'Inputs'!$B$30+'Inputs'!$B$31+'Inputs'!$B$32)/1000+'Inputs'!$B$21)+'Inputs'!$B$7)/SQRT((((1012-43)*MAX('Inputs'!$B$33,'Inputs'!$B$29+'Inputs'!$B$31+'Inputs'!$B$32,'Inputs'!$B$30+'Inputs'!$B$31+'Inputs'!$B$32)/1000+'Inputs'!$B$21)+'Inputs'!$B$7)^2+('Inputs'!$B$6/2)^2)-(((1012-43)*MAX('Inputs'!$B$33,'Inputs'!$B$29+'Inputs'!$B$31+'Inputs'!$B$32,'Inputs'!$B$30+'Inputs'!$B$31+'Inputs'!$B$32)/1000+'Inputs'!$B$21))/SQRT((((1012-43)*MAX('Inputs'!$B$33,'Inputs'!$B$29+'Inputs'!$B$31+'Inputs'!$B$32,'Inputs'!$B$30+'Inputs'!$B$31+'Inputs'!$B$32)/1000+'Inputs'!$B$21))^2+('Inputs'!$B$6/2)^2)))-'Results'!C7*(1-'Inputs'!$B$24)*(0.5*((((1012-43)*MAX('Inputs'!$B$33,'Inputs'!$B$29+'Inputs'!$B$31+'Inputs'!$B$32,'Inputs'!$B$30+'Inputs'!$B$31+'Inputs'!$B$32)/1000+'Inputs'!$B$21+'Inputs'!$B$7+'Inputs'!$B$10)+'Inputs'!$B$9)/SQRT((((1012-43)*MAX('Inputs'!$B$33,'Inputs'!$B$29+'Inputs'!$B$31+'Inputs'!$B$32,'Inputs'!$B$30+'Inputs'!$B$31+'Inputs'!$B$32)/1000+'Inputs'!$B$21+'Inputs'!$B$7+'Inputs'!$B$10)+'Inputs'!$B$9)^2+('Inputs'!$B$8/2)^2)-(((1012-43)*MAX('Inputs'!$B$33,'Inputs'!$B$29+'Inputs'!$B$31+'Inputs'!$B$32,'Inputs'!$B$30+'Inputs'!$B$31+'Inputs'!$B$32)/1000+'Inputs'!$B$21+'Inputs'!$B$7+'Inputs'!$B$10))/SQRT((((1012-43)*MAX('Inputs'!$B$33,'Inputs'!$B$29+'Inputs'!$B$31+'Inputs'!$B$32,'Inputs'!$B$30+'Inputs'!$B$31+'Inputs'!$B$32)/1000+'Inputs'!$B$21+'Inputs'!$B$7+'Inputs'!$B$10))^2+('Inputs'!$B$8/2)^2))))*'Results'!$B$8)+'Inputs'!$B$28*ABS((('Results'!B7*(1+'Inputs'!$B$24)*(0.5*((((1012-43)*MAX('Inputs'!$B$33,'Inputs'!$B$29+'Inputs'!$B$31+'Inputs'!$B$32,'Inputs'!$B$30+'Inputs'!$B$31+'Inputs'!$B$32)/1000+'Inputs'!$B$21)+'Inputs'!$B$7)/SQRT((((1012-43)*MAX('Inputs'!$B$33,'Inputs'!$B$29+'Inputs'!$B$31+'Inputs'!$B$32,'Inputs'!$B$30+'Inputs'!$B$31+'Inputs'!$B$32)/1000+'Inputs'!$B$21)+'Inputs'!$B$7)^2+('Inputs'!$B$6/2)^2)-(((1012-43)*MAX('Inputs'!$B$33,'Inputs'!$B$29+'Inputs'!$B$31+'Inputs'!$B$32,'Inputs'!$B$30+'Inputs'!$B$31+'Inputs'!$B$32)/1000+'Inputs'!$B$21))/SQRT((((1012-43)*MAX('Inputs'!$B$33,'Inputs'!$B$29+'Inputs'!$B$31+'Inputs'!$B$32,'Inputs'!$B$30+'Inputs'!$B$31+'Inputs'!$B$32)/1000+'Inputs'!$B$21))^2+('Inputs'!$B$6/2)^2)))-'Results'!C7*(1-'Inputs'!$B$24)*(0.5*((((1012-43)*MAX('Inputs'!$B$33,'Inputs'!$B$29+'Inputs'!$B$31+'Inputs'!$B$32,'Inputs'!$B$30+'Inputs'!$B$31+'Inputs'!$B$32)/1000+'Inputs'!$B$21+'Inputs'!$B$7+'Inputs'!$B$10)+'Inputs'!$B$9)/SQRT((((1012-43)*MAX('Inputs'!$B$33,'Inputs'!$B$29+'Inputs'!$B$31+'Inputs'!$B$32,'Inputs'!$B$30+'Inputs'!$B$31+'Inputs'!$B$32)/1000+'Inputs'!$B$21+'Inputs'!$B$7+'Inputs'!$B$10)+'Inputs'!$B$9)^2+('Inputs'!$B$8/2)^2)-(((1012-43)*MAX('Inputs'!$B$33,'Inputs'!$B$29+'Inputs'!$B$31+'Inputs'!$B$32,'Inputs'!$B$30+'Inputs'!$B$31+'Inputs'!$B$32)/1000+'Inputs'!$B$21+'Inputs'!$B$7+'Inputs'!$B$10))/SQRT((((1012-43)*MAX('Inputs'!$B$33,'Inputs'!$B$29+'Inputs'!$B$31+'Inputs'!$B$32,'Inputs'!$B$30+'Inputs'!$B$31+'Inputs'!$B$32)/1000+'Inputs'!$B$21+'Inputs'!$B$7+'Inputs'!$B$10))^2+('Inputs'!$B$8/2)^2))))*'Results'!$B$8))),"")</x:f>
        <x:v>0.46951449220047337</x:v>
      </x:c>
      <x:c r="M1012" t="n">
        <x:f>IF(AND(ISNUMBER('Results'!C7),ISNUMBER('Results'!B7),ISNUMBER('Results'!$B$8),ISNUMBER('Inputs'!$B$6),ISNUMBER('Inputs'!$B$7),ISNUMBER('Inputs'!$B$8),ISNUMBER('Inputs'!$B$9),ISNUMBER('Inputs'!$B$10),ISNUMBER('Inputs'!$B$21),ISNUMBER('Inputs'!$B$24),ISNUMBER('Inputs'!$B$28)),(('Results'!C7*(0.5*((((1012-43)*MAX('Inputs'!$B$33,'Inputs'!$B$29+'Inputs'!$B$31+'Inputs'!$B$32,'Inputs'!$B$30+'Inputs'!$B$31+'Inputs'!$B$32)/1000+'Inputs'!$B$21)+'Inputs'!$B$9)/SQRT((((1012-43)*MAX('Inputs'!$B$33,'Inputs'!$B$29+'Inputs'!$B$31+'Inputs'!$B$32,'Inputs'!$B$30+'Inputs'!$B$31+'Inputs'!$B$32)/1000+'Inputs'!$B$21)+'Inputs'!$B$9)^2+('Inputs'!$B$8/2)^2)-(((1012-43)*MAX('Inputs'!$B$33,'Inputs'!$B$29+'Inputs'!$B$31+'Inputs'!$B$32,'Inputs'!$B$30+'Inputs'!$B$31+'Inputs'!$B$32)/1000+'Inputs'!$B$21))/SQRT((((1012-43)*MAX('Inputs'!$B$33,'Inputs'!$B$29+'Inputs'!$B$31+'Inputs'!$B$32,'Inputs'!$B$30+'Inputs'!$B$31+'Inputs'!$B$32)/1000+'Inputs'!$B$21))^2+('Inputs'!$B$8/2)^2)))-'Results'!B7*(0.5*((((1012-43)*MAX('Inputs'!$B$33,'Inputs'!$B$29+'Inputs'!$B$31+'Inputs'!$B$32,'Inputs'!$B$30+'Inputs'!$B$31+'Inputs'!$B$32)/1000+'Inputs'!$B$21+'Inputs'!$B$9+'Inputs'!$B$10)+'Inputs'!$B$7)/SQRT((((1012-43)*MAX('Inputs'!$B$33,'Inputs'!$B$29+'Inputs'!$B$31+'Inputs'!$B$32,'Inputs'!$B$30+'Inputs'!$B$31+'Inputs'!$B$32)/1000+'Inputs'!$B$21+'Inputs'!$B$9+'Inputs'!$B$10)+'Inputs'!$B$7)^2+('Inputs'!$B$6/2)^2)-(((1012-43)*MAX('Inputs'!$B$33,'Inputs'!$B$29+'Inputs'!$B$31+'Inputs'!$B$32,'Inputs'!$B$30+'Inputs'!$B$31+'Inputs'!$B$32)/1000+'Inputs'!$B$21+'Inputs'!$B$9+'Inputs'!$B$10))/SQRT((((1012-43)*MAX('Inputs'!$B$33,'Inputs'!$B$29+'Inputs'!$B$31+'Inputs'!$B$32,'Inputs'!$B$30+'Inputs'!$B$31+'Inputs'!$B$32)/1000+'Inputs'!$B$21+'Inputs'!$B$9+'Inputs'!$B$10))^2+('Inputs'!$B$6/2)^2))))*'Results'!$B$8),"")</x:f>
        <x:v>0.3536557764537992</x:v>
      </x:c>
      <x:c r="N1012" t="n">
        <x:f>IF(AND(ISNUMBER('Results'!C7),ISNUMBER('Results'!B7),ISNUMBER('Results'!$B$8),ISNUMBER('Inputs'!$B$6),ISNUMBER('Inputs'!$B$7),ISNUMBER('Inputs'!$B$8),ISNUMBER('Inputs'!$B$9),ISNUMBER('Inputs'!$B$10),ISNUMBER('Inputs'!$B$21),ISNUMBER('Inputs'!$B$24),ISNUMBER('Inputs'!$B$28)),((('Results'!C7*(1-'Inputs'!$B$24)*(0.5*((((1012-43)*MAX('Inputs'!$B$33,'Inputs'!$B$29+'Inputs'!$B$31+'Inputs'!$B$32,'Inputs'!$B$30+'Inputs'!$B$31+'Inputs'!$B$32)/1000+'Inputs'!$B$21)+'Inputs'!$B$9)/SQRT((((1012-43)*MAX('Inputs'!$B$33,'Inputs'!$B$29+'Inputs'!$B$31+'Inputs'!$B$32,'Inputs'!$B$30+'Inputs'!$B$31+'Inputs'!$B$32)/1000+'Inputs'!$B$21)+'Inputs'!$B$9)^2+('Inputs'!$B$8/2)^2)-(((1012-43)*MAX('Inputs'!$B$33,'Inputs'!$B$29+'Inputs'!$B$31+'Inputs'!$B$32,'Inputs'!$B$30+'Inputs'!$B$31+'Inputs'!$B$32)/1000+'Inputs'!$B$21))/SQRT((((1012-43)*MAX('Inputs'!$B$33,'Inputs'!$B$29+'Inputs'!$B$31+'Inputs'!$B$32,'Inputs'!$B$30+'Inputs'!$B$31+'Inputs'!$B$32)/1000+'Inputs'!$B$21))^2+('Inputs'!$B$8/2)^2)))-'Results'!B7*(1+'Inputs'!$B$24)*(0.5*((((1012-43)*MAX('Inputs'!$B$33,'Inputs'!$B$29+'Inputs'!$B$31+'Inputs'!$B$32,'Inputs'!$B$30+'Inputs'!$B$31+'Inputs'!$B$32)/1000+'Inputs'!$B$21+'Inputs'!$B$9+'Inputs'!$B$10)+'Inputs'!$B$7)/SQRT((((1012-43)*MAX('Inputs'!$B$33,'Inputs'!$B$29+'Inputs'!$B$31+'Inputs'!$B$32,'Inputs'!$B$30+'Inputs'!$B$31+'Inputs'!$B$32)/1000+'Inputs'!$B$21+'Inputs'!$B$9+'Inputs'!$B$10)+'Inputs'!$B$7)^2+('Inputs'!$B$6/2)^2)-(((1012-43)*MAX('Inputs'!$B$33,'Inputs'!$B$29+'Inputs'!$B$31+'Inputs'!$B$32,'Inputs'!$B$30+'Inputs'!$B$31+'Inputs'!$B$32)/1000+'Inputs'!$B$21+'Inputs'!$B$9+'Inputs'!$B$10))/SQRT((((1012-43)*MAX('Inputs'!$B$33,'Inputs'!$B$29+'Inputs'!$B$31+'Inputs'!$B$32,'Inputs'!$B$30+'Inputs'!$B$31+'Inputs'!$B$32)/1000+'Inputs'!$B$21+'Inputs'!$B$9+'Inputs'!$B$10))^2+('Inputs'!$B$6/2)^2))))*'Results'!$B$8)-'Inputs'!$B$28*ABS((('Results'!C7*(1-'Inputs'!$B$24)*(0.5*((((1012-43)*MAX('Inputs'!$B$33,'Inputs'!$B$29+'Inputs'!$B$31+'Inputs'!$B$32,'Inputs'!$B$30+'Inputs'!$B$31+'Inputs'!$B$32)/1000+'Inputs'!$B$21)+'Inputs'!$B$9)/SQRT((((1012-43)*MAX('Inputs'!$B$33,'Inputs'!$B$29+'Inputs'!$B$31+'Inputs'!$B$32,'Inputs'!$B$30+'Inputs'!$B$31+'Inputs'!$B$32)/1000+'Inputs'!$B$21)+'Inputs'!$B$9)^2+('Inputs'!$B$8/2)^2)-(((1012-43)*MAX('Inputs'!$B$33,'Inputs'!$B$29+'Inputs'!$B$31+'Inputs'!$B$32,'Inputs'!$B$30+'Inputs'!$B$31+'Inputs'!$B$32)/1000+'Inputs'!$B$21))/SQRT((((1012-43)*MAX('Inputs'!$B$33,'Inputs'!$B$29+'Inputs'!$B$31+'Inputs'!$B$32,'Inputs'!$B$30+'Inputs'!$B$31+'Inputs'!$B$32)/1000+'Inputs'!$B$21))^2+('Inputs'!$B$8/2)^2)))-'Results'!B7*(1+'Inputs'!$B$24)*(0.5*((((1012-43)*MAX('Inputs'!$B$33,'Inputs'!$B$29+'Inputs'!$B$31+'Inputs'!$B$32,'Inputs'!$B$30+'Inputs'!$B$31+'Inputs'!$B$32)/1000+'Inputs'!$B$21+'Inputs'!$B$9+'Inputs'!$B$10)+'Inputs'!$B$7)/SQRT((((1012-43)*MAX('Inputs'!$B$33,'Inputs'!$B$29+'Inputs'!$B$31+'Inputs'!$B$32,'Inputs'!$B$30+'Inputs'!$B$31+'Inputs'!$B$32)/1000+'Inputs'!$B$21+'Inputs'!$B$9+'Inputs'!$B$10)+'Inputs'!$B$7)^2+('Inputs'!$B$6/2)^2)-(((1012-43)*MAX('Inputs'!$B$33,'Inputs'!$B$29+'Inputs'!$B$31+'Inputs'!$B$32,'Inputs'!$B$30+'Inputs'!$B$31+'Inputs'!$B$32)/1000+'Inputs'!$B$21+'Inputs'!$B$9+'Inputs'!$B$10))/SQRT((((1012-43)*MAX('Inputs'!$B$33,'Inputs'!$B$29+'Inputs'!$B$31+'Inputs'!$B$32,'Inputs'!$B$30+'Inputs'!$B$31+'Inputs'!$B$32)/1000+'Inputs'!$B$21+'Inputs'!$B$9+'Inputs'!$B$10))^2+('Inputs'!$B$6/2)^2))))*'Results'!$B$8))),"")</x:f>
        <x:v>0.2918916344832201</x:v>
      </x:c>
      <x:c r="O1012" t="n">
        <x:f>IF(AND(ISNUMBER('Results'!C7),ISNUMBER('Results'!B7),ISNUMBER('Results'!$B$8),ISNUMBER('Inputs'!$B$6),ISNUMBER('Inputs'!$B$7),ISNUMBER('Inputs'!$B$8),ISNUMBER('Inputs'!$B$9),ISNUMBER('Inputs'!$B$10),ISNUMBER('Inputs'!$B$21),ISNUMBER('Inputs'!$B$24),ISNUMBER('Inputs'!$B$28)),((('Results'!C7*(1+'Inputs'!$B$24)*(0.5*((((1012-43)*MAX('Inputs'!$B$33,'Inputs'!$B$29+'Inputs'!$B$31+'Inputs'!$B$32,'Inputs'!$B$30+'Inputs'!$B$31+'Inputs'!$B$32)/1000+'Inputs'!$B$21)+'Inputs'!$B$9)/SQRT((((1012-43)*MAX('Inputs'!$B$33,'Inputs'!$B$29+'Inputs'!$B$31+'Inputs'!$B$32,'Inputs'!$B$30+'Inputs'!$B$31+'Inputs'!$B$32)/1000+'Inputs'!$B$21)+'Inputs'!$B$9)^2+('Inputs'!$B$8/2)^2)-(((1012-43)*MAX('Inputs'!$B$33,'Inputs'!$B$29+'Inputs'!$B$31+'Inputs'!$B$32,'Inputs'!$B$30+'Inputs'!$B$31+'Inputs'!$B$32)/1000+'Inputs'!$B$21))/SQRT((((1012-43)*MAX('Inputs'!$B$33,'Inputs'!$B$29+'Inputs'!$B$31+'Inputs'!$B$32,'Inputs'!$B$30+'Inputs'!$B$31+'Inputs'!$B$32)/1000+'Inputs'!$B$21))^2+('Inputs'!$B$8/2)^2)))-'Results'!B7*(1-'Inputs'!$B$24)*(0.5*((((1012-43)*MAX('Inputs'!$B$33,'Inputs'!$B$29+'Inputs'!$B$31+'Inputs'!$B$32,'Inputs'!$B$30+'Inputs'!$B$31+'Inputs'!$B$32)/1000+'Inputs'!$B$21+'Inputs'!$B$9+'Inputs'!$B$10)+'Inputs'!$B$7)/SQRT((((1012-43)*MAX('Inputs'!$B$33,'Inputs'!$B$29+'Inputs'!$B$31+'Inputs'!$B$32,'Inputs'!$B$30+'Inputs'!$B$31+'Inputs'!$B$32)/1000+'Inputs'!$B$21+'Inputs'!$B$9+'Inputs'!$B$10)+'Inputs'!$B$7)^2+('Inputs'!$B$6/2)^2)-(((1012-43)*MAX('Inputs'!$B$33,'Inputs'!$B$29+'Inputs'!$B$31+'Inputs'!$B$32,'Inputs'!$B$30+'Inputs'!$B$31+'Inputs'!$B$32)/1000+'Inputs'!$B$21+'Inputs'!$B$9+'Inputs'!$B$10))/SQRT((((1012-43)*MAX('Inputs'!$B$33,'Inputs'!$B$29+'Inputs'!$B$31+'Inputs'!$B$32,'Inputs'!$B$30+'Inputs'!$B$31+'Inputs'!$B$32)/1000+'Inputs'!$B$21+'Inputs'!$B$9+'Inputs'!$B$10))^2+('Inputs'!$B$6/2)^2))))*'Results'!$B$8)+'Inputs'!$B$28*ABS((('Results'!C7*(1+'Inputs'!$B$24)*(0.5*((((1012-43)*MAX('Inputs'!$B$33,'Inputs'!$B$29+'Inputs'!$B$31+'Inputs'!$B$32,'Inputs'!$B$30+'Inputs'!$B$31+'Inputs'!$B$32)/1000+'Inputs'!$B$21)+'Inputs'!$B$9)/SQRT((((1012-43)*MAX('Inputs'!$B$33,'Inputs'!$B$29+'Inputs'!$B$31+'Inputs'!$B$32,'Inputs'!$B$30+'Inputs'!$B$31+'Inputs'!$B$32)/1000+'Inputs'!$B$21)+'Inputs'!$B$9)^2+('Inputs'!$B$8/2)^2)-(((1012-43)*MAX('Inputs'!$B$33,'Inputs'!$B$29+'Inputs'!$B$31+'Inputs'!$B$32,'Inputs'!$B$30+'Inputs'!$B$31+'Inputs'!$B$32)/1000+'Inputs'!$B$21))/SQRT((((1012-43)*MAX('Inputs'!$B$33,'Inputs'!$B$29+'Inputs'!$B$31+'Inputs'!$B$32,'Inputs'!$B$30+'Inputs'!$B$31+'Inputs'!$B$32)/1000+'Inputs'!$B$21))^2+('Inputs'!$B$8/2)^2)))-'Results'!B7*(1-'Inputs'!$B$24)*(0.5*((((1012-43)*MAX('Inputs'!$B$33,'Inputs'!$B$29+'Inputs'!$B$31+'Inputs'!$B$32,'Inputs'!$B$30+'Inputs'!$B$31+'Inputs'!$B$32)/1000+'Inputs'!$B$21+'Inputs'!$B$9+'Inputs'!$B$10)+'Inputs'!$B$7)/SQRT((((1012-43)*MAX('Inputs'!$B$33,'Inputs'!$B$29+'Inputs'!$B$31+'Inputs'!$B$32,'Inputs'!$B$30+'Inputs'!$B$31+'Inputs'!$B$32)/1000+'Inputs'!$B$21+'Inputs'!$B$9+'Inputs'!$B$10)+'Inputs'!$B$7)^2+('Inputs'!$B$6/2)^2)-(((1012-43)*MAX('Inputs'!$B$33,'Inputs'!$B$29+'Inputs'!$B$31+'Inputs'!$B$32,'Inputs'!$B$30+'Inputs'!$B$31+'Inputs'!$B$32)/1000+'Inputs'!$B$21+'Inputs'!$B$9+'Inputs'!$B$10))/SQRT((((1012-43)*MAX('Inputs'!$B$33,'Inputs'!$B$29+'Inputs'!$B$31+'Inputs'!$B$32,'Inputs'!$B$30+'Inputs'!$B$31+'Inputs'!$B$32)/1000+'Inputs'!$B$21+'Inputs'!$B$9+'Inputs'!$B$10))^2+('Inputs'!$B$6/2)^2))))*'Results'!$B$8))),"")</x:f>
        <x:v>0.4200600608609984</x:v>
      </x:c>
      <x:c r="P1012" t="n">
        <x:f>IF(AND(MAX(J1012,J1011)&gt;0,J1012&gt;J1011+0.00000001),1,0)</x:f>
        <x:v>0</x:v>
      </x:c>
      <x:c r="Q1012" t="n">
        <x:f>IF(AND(MAX(K1012,K1011)&gt;0,K1012&gt;K1011+0.00000001),1,0)</x:f>
        <x:v>0</x:v>
      </x:c>
      <x:c r="R1012" t="n">
        <x:f>IF(AND(MAX(L1012,L1011)&gt;0,L1012&gt;L1011+0.00000001),1,0)</x:f>
        <x:v>0</x:v>
      </x:c>
      <x:c r="S1012" t="n">
        <x:f>IF(AND(MAX(M1012,M1011)&gt;0,M1012&gt;M1011+0.00000001),1,0)</x:f>
        <x:v>0</x:v>
      </x:c>
      <x:c r="T1012" t="n">
        <x:f>IF(AND(MAX(N1012,N1011)&gt;0,N1012&gt;N1011+0.00000001),1,0)</x:f>
        <x:v>0</x:v>
      </x:c>
      <x:c r="U1012" t="n">
        <x:f>IF(AND(MAX(O1012,O1011)&gt;0,O1012&gt;O1011+0.00000001),1,0)</x:f>
        <x:v>0</x:v>
      </x:c>
    </x:row>
    <x:row r="1013">
      <x:c r="J1013" t="n">
        <x:f>IF(AND(ISNUMBER('Results'!B7),ISNUMBER('Results'!C7),ISNUMBER('Results'!$B$8),ISNUMBER('Inputs'!$B$6),ISNUMBER('Inputs'!$B$7),ISNUMBER('Inputs'!$B$8),ISNUMBER('Inputs'!$B$9),ISNUMBER('Inputs'!$B$10),ISNUMBER('Inputs'!$B$21),ISNUMBER('Inputs'!$B$24),ISNUMBER('Inputs'!$B$28)),(('Results'!B7*(0.5*((((1013-43)*MAX('Inputs'!$B$33,'Inputs'!$B$29+'Inputs'!$B$31+'Inputs'!$B$32,'Inputs'!$B$30+'Inputs'!$B$31+'Inputs'!$B$32)/1000+'Inputs'!$B$21)+'Inputs'!$B$7)/SQRT((((1013-43)*MAX('Inputs'!$B$33,'Inputs'!$B$29+'Inputs'!$B$31+'Inputs'!$B$32,'Inputs'!$B$30+'Inputs'!$B$31+'Inputs'!$B$32)/1000+'Inputs'!$B$21)+'Inputs'!$B$7)^2+('Inputs'!$B$6/2)^2)-(((1013-43)*MAX('Inputs'!$B$33,'Inputs'!$B$29+'Inputs'!$B$31+'Inputs'!$B$32,'Inputs'!$B$30+'Inputs'!$B$31+'Inputs'!$B$32)/1000+'Inputs'!$B$21))/SQRT((((1013-43)*MAX('Inputs'!$B$33,'Inputs'!$B$29+'Inputs'!$B$31+'Inputs'!$B$32,'Inputs'!$B$30+'Inputs'!$B$31+'Inputs'!$B$32)/1000+'Inputs'!$B$21))^2+('Inputs'!$B$6/2)^2)))-'Results'!C7*(0.5*((((1013-43)*MAX('Inputs'!$B$33,'Inputs'!$B$29+'Inputs'!$B$31+'Inputs'!$B$32,'Inputs'!$B$30+'Inputs'!$B$31+'Inputs'!$B$32)/1000+'Inputs'!$B$21+'Inputs'!$B$7+'Inputs'!$B$10)+'Inputs'!$B$9)/SQRT((((1013-43)*MAX('Inputs'!$B$33,'Inputs'!$B$29+'Inputs'!$B$31+'Inputs'!$B$32,'Inputs'!$B$30+'Inputs'!$B$31+'Inputs'!$B$32)/1000+'Inputs'!$B$21+'Inputs'!$B$7+'Inputs'!$B$10)+'Inputs'!$B$9)^2+('Inputs'!$B$8/2)^2)-(((1013-43)*MAX('Inputs'!$B$33,'Inputs'!$B$29+'Inputs'!$B$31+'Inputs'!$B$32,'Inputs'!$B$30+'Inputs'!$B$31+'Inputs'!$B$32)/1000+'Inputs'!$B$21+'Inputs'!$B$7+'Inputs'!$B$10))/SQRT((((1013-43)*MAX('Inputs'!$B$33,'Inputs'!$B$29+'Inputs'!$B$31+'Inputs'!$B$32,'Inputs'!$B$30+'Inputs'!$B$31+'Inputs'!$B$32)/1000+'Inputs'!$B$21+'Inputs'!$B$7+'Inputs'!$B$10))^2+('Inputs'!$B$8/2)^2))))*'Results'!$B$8),"")</x:f>
        <x:v>0.3990991998896901</x:v>
      </x:c>
      <x:c r="K1013" t="n">
        <x:f>IF(AND(ISNUMBER('Results'!B7),ISNUMBER('Results'!C7),ISNUMBER('Results'!$B$8),ISNUMBER('Inputs'!$B$6),ISNUMBER('Inputs'!$B$7),ISNUMBER('Inputs'!$B$8),ISNUMBER('Inputs'!$B$9),ISNUMBER('Inputs'!$B$10),ISNUMBER('Inputs'!$B$21),ISNUMBER('Inputs'!$B$24),ISNUMBER('Inputs'!$B$28)),((('Results'!B7*(1-'Inputs'!$B$24)*(0.5*((((1013-43)*MAX('Inputs'!$B$33,'Inputs'!$B$29+'Inputs'!$B$31+'Inputs'!$B$32,'Inputs'!$B$30+'Inputs'!$B$31+'Inputs'!$B$32)/1000+'Inputs'!$B$21)+'Inputs'!$B$7)/SQRT((((1013-43)*MAX('Inputs'!$B$33,'Inputs'!$B$29+'Inputs'!$B$31+'Inputs'!$B$32,'Inputs'!$B$30+'Inputs'!$B$31+'Inputs'!$B$32)/1000+'Inputs'!$B$21)+'Inputs'!$B$7)^2+('Inputs'!$B$6/2)^2)-(((1013-43)*MAX('Inputs'!$B$33,'Inputs'!$B$29+'Inputs'!$B$31+'Inputs'!$B$32,'Inputs'!$B$30+'Inputs'!$B$31+'Inputs'!$B$32)/1000+'Inputs'!$B$21))/SQRT((((1013-43)*MAX('Inputs'!$B$33,'Inputs'!$B$29+'Inputs'!$B$31+'Inputs'!$B$32,'Inputs'!$B$30+'Inputs'!$B$31+'Inputs'!$B$32)/1000+'Inputs'!$B$21))^2+('Inputs'!$B$6/2)^2)))-'Results'!C7*(1+'Inputs'!$B$24)*(0.5*((((1013-43)*MAX('Inputs'!$B$33,'Inputs'!$B$29+'Inputs'!$B$31+'Inputs'!$B$32,'Inputs'!$B$30+'Inputs'!$B$31+'Inputs'!$B$32)/1000+'Inputs'!$B$21+'Inputs'!$B$7+'Inputs'!$B$10)+'Inputs'!$B$9)/SQRT((((1013-43)*MAX('Inputs'!$B$33,'Inputs'!$B$29+'Inputs'!$B$31+'Inputs'!$B$32,'Inputs'!$B$30+'Inputs'!$B$31+'Inputs'!$B$32)/1000+'Inputs'!$B$21+'Inputs'!$B$7+'Inputs'!$B$10)+'Inputs'!$B$9)^2+('Inputs'!$B$8/2)^2)-(((1013-43)*MAX('Inputs'!$B$33,'Inputs'!$B$29+'Inputs'!$B$31+'Inputs'!$B$32,'Inputs'!$B$30+'Inputs'!$B$31+'Inputs'!$B$32)/1000+'Inputs'!$B$21+'Inputs'!$B$7+'Inputs'!$B$10))/SQRT((((1013-43)*MAX('Inputs'!$B$33,'Inputs'!$B$29+'Inputs'!$B$31+'Inputs'!$B$32,'Inputs'!$B$30+'Inputs'!$B$31+'Inputs'!$B$32)/1000+'Inputs'!$B$21+'Inputs'!$B$7+'Inputs'!$B$10))^2+('Inputs'!$B$8/2)^2))))*'Results'!$B$8)-'Inputs'!$B$28*ABS((('Results'!B7*(1-'Inputs'!$B$24)*(0.5*((((1013-43)*MAX('Inputs'!$B$33,'Inputs'!$B$29+'Inputs'!$B$31+'Inputs'!$B$32,'Inputs'!$B$30+'Inputs'!$B$31+'Inputs'!$B$32)/1000+'Inputs'!$B$21)+'Inputs'!$B$7)/SQRT((((1013-43)*MAX('Inputs'!$B$33,'Inputs'!$B$29+'Inputs'!$B$31+'Inputs'!$B$32,'Inputs'!$B$30+'Inputs'!$B$31+'Inputs'!$B$32)/1000+'Inputs'!$B$21)+'Inputs'!$B$7)^2+('Inputs'!$B$6/2)^2)-(((1013-43)*MAX('Inputs'!$B$33,'Inputs'!$B$29+'Inputs'!$B$31+'Inputs'!$B$32,'Inputs'!$B$30+'Inputs'!$B$31+'Inputs'!$B$32)/1000+'Inputs'!$B$21))/SQRT((((1013-43)*MAX('Inputs'!$B$33,'Inputs'!$B$29+'Inputs'!$B$31+'Inputs'!$B$32,'Inputs'!$B$30+'Inputs'!$B$31+'Inputs'!$B$32)/1000+'Inputs'!$B$21))^2+('Inputs'!$B$6/2)^2)))-'Results'!C7*(1+'Inputs'!$B$24)*(0.5*((((1013-43)*MAX('Inputs'!$B$33,'Inputs'!$B$29+'Inputs'!$B$31+'Inputs'!$B$32,'Inputs'!$B$30+'Inputs'!$B$31+'Inputs'!$B$32)/1000+'Inputs'!$B$21+'Inputs'!$B$7+'Inputs'!$B$10)+'Inputs'!$B$9)/SQRT((((1013-43)*MAX('Inputs'!$B$33,'Inputs'!$B$29+'Inputs'!$B$31+'Inputs'!$B$32,'Inputs'!$B$30+'Inputs'!$B$31+'Inputs'!$B$32)/1000+'Inputs'!$B$21+'Inputs'!$B$7+'Inputs'!$B$10)+'Inputs'!$B$9)^2+('Inputs'!$B$8/2)^2)-(((1013-43)*MAX('Inputs'!$B$33,'Inputs'!$B$29+'Inputs'!$B$31+'Inputs'!$B$32,'Inputs'!$B$30+'Inputs'!$B$31+'Inputs'!$B$32)/1000+'Inputs'!$B$21+'Inputs'!$B$7+'Inputs'!$B$10))/SQRT((((1013-43)*MAX('Inputs'!$B$33,'Inputs'!$B$29+'Inputs'!$B$31+'Inputs'!$B$32,'Inputs'!$B$30+'Inputs'!$B$31+'Inputs'!$B$32)/1000+'Inputs'!$B$21+'Inputs'!$B$7+'Inputs'!$B$10))^2+('Inputs'!$B$8/2)^2))))*'Results'!$B$8))),"")</x:f>
        <x:v>0.3350455895727509</x:v>
      </x:c>
      <x:c r="L1013" t="n">
        <x:f>IF(AND(ISNUMBER('Results'!B7),ISNUMBER('Results'!C7),ISNUMBER('Results'!$B$8),ISNUMBER('Inputs'!$B$6),ISNUMBER('Inputs'!$B$7),ISNUMBER('Inputs'!$B$8),ISNUMBER('Inputs'!$B$9),ISNUMBER('Inputs'!$B$10),ISNUMBER('Inputs'!$B$21),ISNUMBER('Inputs'!$B$24),ISNUMBER('Inputs'!$B$28)),((('Results'!B7*(1+'Inputs'!$B$24)*(0.5*((((1013-43)*MAX('Inputs'!$B$33,'Inputs'!$B$29+'Inputs'!$B$31+'Inputs'!$B$32,'Inputs'!$B$30+'Inputs'!$B$31+'Inputs'!$B$32)/1000+'Inputs'!$B$21)+'Inputs'!$B$7)/SQRT((((1013-43)*MAX('Inputs'!$B$33,'Inputs'!$B$29+'Inputs'!$B$31+'Inputs'!$B$32,'Inputs'!$B$30+'Inputs'!$B$31+'Inputs'!$B$32)/1000+'Inputs'!$B$21)+'Inputs'!$B$7)^2+('Inputs'!$B$6/2)^2)-(((1013-43)*MAX('Inputs'!$B$33,'Inputs'!$B$29+'Inputs'!$B$31+'Inputs'!$B$32,'Inputs'!$B$30+'Inputs'!$B$31+'Inputs'!$B$32)/1000+'Inputs'!$B$21))/SQRT((((1013-43)*MAX('Inputs'!$B$33,'Inputs'!$B$29+'Inputs'!$B$31+'Inputs'!$B$32,'Inputs'!$B$30+'Inputs'!$B$31+'Inputs'!$B$32)/1000+'Inputs'!$B$21))^2+('Inputs'!$B$6/2)^2)))-'Results'!C7*(1-'Inputs'!$B$24)*(0.5*((((1013-43)*MAX('Inputs'!$B$33,'Inputs'!$B$29+'Inputs'!$B$31+'Inputs'!$B$32,'Inputs'!$B$30+'Inputs'!$B$31+'Inputs'!$B$32)/1000+'Inputs'!$B$21+'Inputs'!$B$7+'Inputs'!$B$10)+'Inputs'!$B$9)/SQRT((((1013-43)*MAX('Inputs'!$B$33,'Inputs'!$B$29+'Inputs'!$B$31+'Inputs'!$B$32,'Inputs'!$B$30+'Inputs'!$B$31+'Inputs'!$B$32)/1000+'Inputs'!$B$21+'Inputs'!$B$7+'Inputs'!$B$10)+'Inputs'!$B$9)^2+('Inputs'!$B$8/2)^2)-(((1013-43)*MAX('Inputs'!$B$33,'Inputs'!$B$29+'Inputs'!$B$31+'Inputs'!$B$32,'Inputs'!$B$30+'Inputs'!$B$31+'Inputs'!$B$32)/1000+'Inputs'!$B$21+'Inputs'!$B$7+'Inputs'!$B$10))/SQRT((((1013-43)*MAX('Inputs'!$B$33,'Inputs'!$B$29+'Inputs'!$B$31+'Inputs'!$B$32,'Inputs'!$B$30+'Inputs'!$B$31+'Inputs'!$B$32)/1000+'Inputs'!$B$21+'Inputs'!$B$7+'Inputs'!$B$10))^2+('Inputs'!$B$8/2)^2))))*'Results'!$B$8)+'Inputs'!$B$28*ABS((('Results'!B7*(1+'Inputs'!$B$24)*(0.5*((((1013-43)*MAX('Inputs'!$B$33,'Inputs'!$B$29+'Inputs'!$B$31+'Inputs'!$B$32,'Inputs'!$B$30+'Inputs'!$B$31+'Inputs'!$B$32)/1000+'Inputs'!$B$21)+'Inputs'!$B$7)/SQRT((((1013-43)*MAX('Inputs'!$B$33,'Inputs'!$B$29+'Inputs'!$B$31+'Inputs'!$B$32,'Inputs'!$B$30+'Inputs'!$B$31+'Inputs'!$B$32)/1000+'Inputs'!$B$21)+'Inputs'!$B$7)^2+('Inputs'!$B$6/2)^2)-(((1013-43)*MAX('Inputs'!$B$33,'Inputs'!$B$29+'Inputs'!$B$31+'Inputs'!$B$32,'Inputs'!$B$30+'Inputs'!$B$31+'Inputs'!$B$32)/1000+'Inputs'!$B$21))/SQRT((((1013-43)*MAX('Inputs'!$B$33,'Inputs'!$B$29+'Inputs'!$B$31+'Inputs'!$B$32,'Inputs'!$B$30+'Inputs'!$B$31+'Inputs'!$B$32)/1000+'Inputs'!$B$21))^2+('Inputs'!$B$6/2)^2)))-'Results'!C7*(1-'Inputs'!$B$24)*(0.5*((((1013-43)*MAX('Inputs'!$B$33,'Inputs'!$B$29+'Inputs'!$B$31+'Inputs'!$B$32,'Inputs'!$B$30+'Inputs'!$B$31+'Inputs'!$B$32)/1000+'Inputs'!$B$21+'Inputs'!$B$7+'Inputs'!$B$10)+'Inputs'!$B$9)/SQRT((((1013-43)*MAX('Inputs'!$B$33,'Inputs'!$B$29+'Inputs'!$B$31+'Inputs'!$B$32,'Inputs'!$B$30+'Inputs'!$B$31+'Inputs'!$B$32)/1000+'Inputs'!$B$21+'Inputs'!$B$7+'Inputs'!$B$10)+'Inputs'!$B$9)^2+('Inputs'!$B$8/2)^2)-(((1013-43)*MAX('Inputs'!$B$33,'Inputs'!$B$29+'Inputs'!$B$31+'Inputs'!$B$32,'Inputs'!$B$30+'Inputs'!$B$31+'Inputs'!$B$32)/1000+'Inputs'!$B$21+'Inputs'!$B$7+'Inputs'!$B$10))/SQRT((((1013-43)*MAX('Inputs'!$B$33,'Inputs'!$B$29+'Inputs'!$B$31+'Inputs'!$B$32,'Inputs'!$B$30+'Inputs'!$B$31+'Inputs'!$B$32)/1000+'Inputs'!$B$21+'Inputs'!$B$7+'Inputs'!$B$10))^2+('Inputs'!$B$8/2)^2))))*'Results'!$B$8))),"")</x:f>
        <x:v>0.4677947733984667</x:v>
      </x:c>
      <x:c r="M1013" t="n">
        <x:f>IF(AND(ISNUMBER('Results'!C7),ISNUMBER('Results'!B7),ISNUMBER('Results'!$B$8),ISNUMBER('Inputs'!$B$6),ISNUMBER('Inputs'!$B$7),ISNUMBER('Inputs'!$B$8),ISNUMBER('Inputs'!$B$9),ISNUMBER('Inputs'!$B$10),ISNUMBER('Inputs'!$B$21),ISNUMBER('Inputs'!$B$24),ISNUMBER('Inputs'!$B$28)),(('Results'!C7*(0.5*((((1013-43)*MAX('Inputs'!$B$33,'Inputs'!$B$29+'Inputs'!$B$31+'Inputs'!$B$32,'Inputs'!$B$30+'Inputs'!$B$31+'Inputs'!$B$32)/1000+'Inputs'!$B$21)+'Inputs'!$B$9)/SQRT((((1013-43)*MAX('Inputs'!$B$33,'Inputs'!$B$29+'Inputs'!$B$31+'Inputs'!$B$32,'Inputs'!$B$30+'Inputs'!$B$31+'Inputs'!$B$32)/1000+'Inputs'!$B$21)+'Inputs'!$B$9)^2+('Inputs'!$B$8/2)^2)-(((1013-43)*MAX('Inputs'!$B$33,'Inputs'!$B$29+'Inputs'!$B$31+'Inputs'!$B$32,'Inputs'!$B$30+'Inputs'!$B$31+'Inputs'!$B$32)/1000+'Inputs'!$B$21))/SQRT((((1013-43)*MAX('Inputs'!$B$33,'Inputs'!$B$29+'Inputs'!$B$31+'Inputs'!$B$32,'Inputs'!$B$30+'Inputs'!$B$31+'Inputs'!$B$32)/1000+'Inputs'!$B$21))^2+('Inputs'!$B$8/2)^2)))-'Results'!B7*(0.5*((((1013-43)*MAX('Inputs'!$B$33,'Inputs'!$B$29+'Inputs'!$B$31+'Inputs'!$B$32,'Inputs'!$B$30+'Inputs'!$B$31+'Inputs'!$B$32)/1000+'Inputs'!$B$21+'Inputs'!$B$9+'Inputs'!$B$10)+'Inputs'!$B$7)/SQRT((((1013-43)*MAX('Inputs'!$B$33,'Inputs'!$B$29+'Inputs'!$B$31+'Inputs'!$B$32,'Inputs'!$B$30+'Inputs'!$B$31+'Inputs'!$B$32)/1000+'Inputs'!$B$21+'Inputs'!$B$9+'Inputs'!$B$10)+'Inputs'!$B$7)^2+('Inputs'!$B$6/2)^2)-(((1013-43)*MAX('Inputs'!$B$33,'Inputs'!$B$29+'Inputs'!$B$31+'Inputs'!$B$32,'Inputs'!$B$30+'Inputs'!$B$31+'Inputs'!$B$32)/1000+'Inputs'!$B$21+'Inputs'!$B$9+'Inputs'!$B$10))/SQRT((((1013-43)*MAX('Inputs'!$B$33,'Inputs'!$B$29+'Inputs'!$B$31+'Inputs'!$B$32,'Inputs'!$B$30+'Inputs'!$B$31+'Inputs'!$B$32)/1000+'Inputs'!$B$21+'Inputs'!$B$9+'Inputs'!$B$10))^2+('Inputs'!$B$6/2)^2))))*'Results'!$B$8),"")</x:f>
        <x:v>0.3522873470741681</x:v>
      </x:c>
      <x:c r="N1013" t="n">
        <x:f>IF(AND(ISNUMBER('Results'!C7),ISNUMBER('Results'!B7),ISNUMBER('Results'!$B$8),ISNUMBER('Inputs'!$B$6),ISNUMBER('Inputs'!$B$7),ISNUMBER('Inputs'!$B$8),ISNUMBER('Inputs'!$B$9),ISNUMBER('Inputs'!$B$10),ISNUMBER('Inputs'!$B$21),ISNUMBER('Inputs'!$B$24),ISNUMBER('Inputs'!$B$28)),((('Results'!C7*(1-'Inputs'!$B$24)*(0.5*((((1013-43)*MAX('Inputs'!$B$33,'Inputs'!$B$29+'Inputs'!$B$31+'Inputs'!$B$32,'Inputs'!$B$30+'Inputs'!$B$31+'Inputs'!$B$32)/1000+'Inputs'!$B$21)+'Inputs'!$B$9)/SQRT((((1013-43)*MAX('Inputs'!$B$33,'Inputs'!$B$29+'Inputs'!$B$31+'Inputs'!$B$32,'Inputs'!$B$30+'Inputs'!$B$31+'Inputs'!$B$32)/1000+'Inputs'!$B$21)+'Inputs'!$B$9)^2+('Inputs'!$B$8/2)^2)-(((1013-43)*MAX('Inputs'!$B$33,'Inputs'!$B$29+'Inputs'!$B$31+'Inputs'!$B$32,'Inputs'!$B$30+'Inputs'!$B$31+'Inputs'!$B$32)/1000+'Inputs'!$B$21))/SQRT((((1013-43)*MAX('Inputs'!$B$33,'Inputs'!$B$29+'Inputs'!$B$31+'Inputs'!$B$32,'Inputs'!$B$30+'Inputs'!$B$31+'Inputs'!$B$32)/1000+'Inputs'!$B$21))^2+('Inputs'!$B$8/2)^2)))-'Results'!B7*(1+'Inputs'!$B$24)*(0.5*((((1013-43)*MAX('Inputs'!$B$33,'Inputs'!$B$29+'Inputs'!$B$31+'Inputs'!$B$32,'Inputs'!$B$30+'Inputs'!$B$31+'Inputs'!$B$32)/1000+'Inputs'!$B$21+'Inputs'!$B$9+'Inputs'!$B$10)+'Inputs'!$B$7)/SQRT((((1013-43)*MAX('Inputs'!$B$33,'Inputs'!$B$29+'Inputs'!$B$31+'Inputs'!$B$32,'Inputs'!$B$30+'Inputs'!$B$31+'Inputs'!$B$32)/1000+'Inputs'!$B$21+'Inputs'!$B$9+'Inputs'!$B$10)+'Inputs'!$B$7)^2+('Inputs'!$B$6/2)^2)-(((1013-43)*MAX('Inputs'!$B$33,'Inputs'!$B$29+'Inputs'!$B$31+'Inputs'!$B$32,'Inputs'!$B$30+'Inputs'!$B$31+'Inputs'!$B$32)/1000+'Inputs'!$B$21+'Inputs'!$B$9+'Inputs'!$B$10))/SQRT((((1013-43)*MAX('Inputs'!$B$33,'Inputs'!$B$29+'Inputs'!$B$31+'Inputs'!$B$32,'Inputs'!$B$30+'Inputs'!$B$31+'Inputs'!$B$32)/1000+'Inputs'!$B$21+'Inputs'!$B$9+'Inputs'!$B$10))^2+('Inputs'!$B$6/2)^2))))*'Results'!$B$8)-'Inputs'!$B$28*ABS((('Results'!C7*(1-'Inputs'!$B$24)*(0.5*((((1013-43)*MAX('Inputs'!$B$33,'Inputs'!$B$29+'Inputs'!$B$31+'Inputs'!$B$32,'Inputs'!$B$30+'Inputs'!$B$31+'Inputs'!$B$32)/1000+'Inputs'!$B$21)+'Inputs'!$B$9)/SQRT((((1013-43)*MAX('Inputs'!$B$33,'Inputs'!$B$29+'Inputs'!$B$31+'Inputs'!$B$32,'Inputs'!$B$30+'Inputs'!$B$31+'Inputs'!$B$32)/1000+'Inputs'!$B$21)+'Inputs'!$B$9)^2+('Inputs'!$B$8/2)^2)-(((1013-43)*MAX('Inputs'!$B$33,'Inputs'!$B$29+'Inputs'!$B$31+'Inputs'!$B$32,'Inputs'!$B$30+'Inputs'!$B$31+'Inputs'!$B$32)/1000+'Inputs'!$B$21))/SQRT((((1013-43)*MAX('Inputs'!$B$33,'Inputs'!$B$29+'Inputs'!$B$31+'Inputs'!$B$32,'Inputs'!$B$30+'Inputs'!$B$31+'Inputs'!$B$32)/1000+'Inputs'!$B$21))^2+('Inputs'!$B$8/2)^2)))-'Results'!B7*(1+'Inputs'!$B$24)*(0.5*((((1013-43)*MAX('Inputs'!$B$33,'Inputs'!$B$29+'Inputs'!$B$31+'Inputs'!$B$32,'Inputs'!$B$30+'Inputs'!$B$31+'Inputs'!$B$32)/1000+'Inputs'!$B$21+'Inputs'!$B$9+'Inputs'!$B$10)+'Inputs'!$B$7)/SQRT((((1013-43)*MAX('Inputs'!$B$33,'Inputs'!$B$29+'Inputs'!$B$31+'Inputs'!$B$32,'Inputs'!$B$30+'Inputs'!$B$31+'Inputs'!$B$32)/1000+'Inputs'!$B$21+'Inputs'!$B$9+'Inputs'!$B$10)+'Inputs'!$B$7)^2+('Inputs'!$B$6/2)^2)-(((1013-43)*MAX('Inputs'!$B$33,'Inputs'!$B$29+'Inputs'!$B$31+'Inputs'!$B$32,'Inputs'!$B$30+'Inputs'!$B$31+'Inputs'!$B$32)/1000+'Inputs'!$B$21+'Inputs'!$B$9+'Inputs'!$B$10))/SQRT((((1013-43)*MAX('Inputs'!$B$33,'Inputs'!$B$29+'Inputs'!$B$31+'Inputs'!$B$32,'Inputs'!$B$30+'Inputs'!$B$31+'Inputs'!$B$32)/1000+'Inputs'!$B$21+'Inputs'!$B$9+'Inputs'!$B$10))^2+('Inputs'!$B$6/2)^2))))*'Results'!$B$8))),"")</x:f>
        <x:v>0.29071853489691707</x:v>
      </x:c>
      <x:c r="O1013" t="n">
        <x:f>IF(AND(ISNUMBER('Results'!C7),ISNUMBER('Results'!B7),ISNUMBER('Results'!$B$8),ISNUMBER('Inputs'!$B$6),ISNUMBER('Inputs'!$B$7),ISNUMBER('Inputs'!$B$8),ISNUMBER('Inputs'!$B$9),ISNUMBER('Inputs'!$B$10),ISNUMBER('Inputs'!$B$21),ISNUMBER('Inputs'!$B$24),ISNUMBER('Inputs'!$B$28)),((('Results'!C7*(1+'Inputs'!$B$24)*(0.5*((((1013-43)*MAX('Inputs'!$B$33,'Inputs'!$B$29+'Inputs'!$B$31+'Inputs'!$B$32,'Inputs'!$B$30+'Inputs'!$B$31+'Inputs'!$B$32)/1000+'Inputs'!$B$21)+'Inputs'!$B$9)/SQRT((((1013-43)*MAX('Inputs'!$B$33,'Inputs'!$B$29+'Inputs'!$B$31+'Inputs'!$B$32,'Inputs'!$B$30+'Inputs'!$B$31+'Inputs'!$B$32)/1000+'Inputs'!$B$21)+'Inputs'!$B$9)^2+('Inputs'!$B$8/2)^2)-(((1013-43)*MAX('Inputs'!$B$33,'Inputs'!$B$29+'Inputs'!$B$31+'Inputs'!$B$32,'Inputs'!$B$30+'Inputs'!$B$31+'Inputs'!$B$32)/1000+'Inputs'!$B$21))/SQRT((((1013-43)*MAX('Inputs'!$B$33,'Inputs'!$B$29+'Inputs'!$B$31+'Inputs'!$B$32,'Inputs'!$B$30+'Inputs'!$B$31+'Inputs'!$B$32)/1000+'Inputs'!$B$21))^2+('Inputs'!$B$8/2)^2)))-'Results'!B7*(1-'Inputs'!$B$24)*(0.5*((((1013-43)*MAX('Inputs'!$B$33,'Inputs'!$B$29+'Inputs'!$B$31+'Inputs'!$B$32,'Inputs'!$B$30+'Inputs'!$B$31+'Inputs'!$B$32)/1000+'Inputs'!$B$21+'Inputs'!$B$9+'Inputs'!$B$10)+'Inputs'!$B$7)/SQRT((((1013-43)*MAX('Inputs'!$B$33,'Inputs'!$B$29+'Inputs'!$B$31+'Inputs'!$B$32,'Inputs'!$B$30+'Inputs'!$B$31+'Inputs'!$B$32)/1000+'Inputs'!$B$21+'Inputs'!$B$9+'Inputs'!$B$10)+'Inputs'!$B$7)^2+('Inputs'!$B$6/2)^2)-(((1013-43)*MAX('Inputs'!$B$33,'Inputs'!$B$29+'Inputs'!$B$31+'Inputs'!$B$32,'Inputs'!$B$30+'Inputs'!$B$31+'Inputs'!$B$32)/1000+'Inputs'!$B$21+'Inputs'!$B$9+'Inputs'!$B$10))/SQRT((((1013-43)*MAX('Inputs'!$B$33,'Inputs'!$B$29+'Inputs'!$B$31+'Inputs'!$B$32,'Inputs'!$B$30+'Inputs'!$B$31+'Inputs'!$B$32)/1000+'Inputs'!$B$21+'Inputs'!$B$9+'Inputs'!$B$10))^2+('Inputs'!$B$6/2)^2))))*'Results'!$B$8)+'Inputs'!$B$28*ABS((('Results'!C7*(1+'Inputs'!$B$24)*(0.5*((((1013-43)*MAX('Inputs'!$B$33,'Inputs'!$B$29+'Inputs'!$B$31+'Inputs'!$B$32,'Inputs'!$B$30+'Inputs'!$B$31+'Inputs'!$B$32)/1000+'Inputs'!$B$21)+'Inputs'!$B$9)/SQRT((((1013-43)*MAX('Inputs'!$B$33,'Inputs'!$B$29+'Inputs'!$B$31+'Inputs'!$B$32,'Inputs'!$B$30+'Inputs'!$B$31+'Inputs'!$B$32)/1000+'Inputs'!$B$21)+'Inputs'!$B$9)^2+('Inputs'!$B$8/2)^2)-(((1013-43)*MAX('Inputs'!$B$33,'Inputs'!$B$29+'Inputs'!$B$31+'Inputs'!$B$32,'Inputs'!$B$30+'Inputs'!$B$31+'Inputs'!$B$32)/1000+'Inputs'!$B$21))/SQRT((((1013-43)*MAX('Inputs'!$B$33,'Inputs'!$B$29+'Inputs'!$B$31+'Inputs'!$B$32,'Inputs'!$B$30+'Inputs'!$B$31+'Inputs'!$B$32)/1000+'Inputs'!$B$21))^2+('Inputs'!$B$8/2)^2)))-'Results'!B7*(1-'Inputs'!$B$24)*(0.5*((((1013-43)*MAX('Inputs'!$B$33,'Inputs'!$B$29+'Inputs'!$B$31+'Inputs'!$B$32,'Inputs'!$B$30+'Inputs'!$B$31+'Inputs'!$B$32)/1000+'Inputs'!$B$21+'Inputs'!$B$9+'Inputs'!$B$10)+'Inputs'!$B$7)/SQRT((((1013-43)*MAX('Inputs'!$B$33,'Inputs'!$B$29+'Inputs'!$B$31+'Inputs'!$B$32,'Inputs'!$B$30+'Inputs'!$B$31+'Inputs'!$B$32)/1000+'Inputs'!$B$21+'Inputs'!$B$9+'Inputs'!$B$10)+'Inputs'!$B$7)^2+('Inputs'!$B$6/2)^2)-(((1013-43)*MAX('Inputs'!$B$33,'Inputs'!$B$29+'Inputs'!$B$31+'Inputs'!$B$32,'Inputs'!$B$30+'Inputs'!$B$31+'Inputs'!$B$32)/1000+'Inputs'!$B$21+'Inputs'!$B$9+'Inputs'!$B$10))/SQRT((((1013-43)*MAX('Inputs'!$B$33,'Inputs'!$B$29+'Inputs'!$B$31+'Inputs'!$B$32,'Inputs'!$B$30+'Inputs'!$B$31+'Inputs'!$B$32)/1000+'Inputs'!$B$21+'Inputs'!$B$9+'Inputs'!$B$10))^2+('Inputs'!$B$6/2)^2))))*'Results'!$B$8))),"")</x:f>
        <x:v>0.41848294291705496</x:v>
      </x:c>
      <x:c r="P1013" t="n">
        <x:f>IF(AND(MAX(J1013,J1012)&gt;0,J1013&gt;J1012+0.00000001),1,0)</x:f>
        <x:v>0</x:v>
      </x:c>
      <x:c r="Q1013" t="n">
        <x:f>IF(AND(MAX(K1013,K1012)&gt;0,K1013&gt;K1012+0.00000001),1,0)</x:f>
        <x:v>0</x:v>
      </x:c>
      <x:c r="R1013" t="n">
        <x:f>IF(AND(MAX(L1013,L1012)&gt;0,L1013&gt;L1012+0.00000001),1,0)</x:f>
        <x:v>0</x:v>
      </x:c>
      <x:c r="S1013" t="n">
        <x:f>IF(AND(MAX(M1013,M1012)&gt;0,M1013&gt;M1012+0.00000001),1,0)</x:f>
        <x:v>0</x:v>
      </x:c>
      <x:c r="T1013" t="n">
        <x:f>IF(AND(MAX(N1013,N1012)&gt;0,N1013&gt;N1012+0.00000001),1,0)</x:f>
        <x:v>0</x:v>
      </x:c>
      <x:c r="U1013" t="n">
        <x:f>IF(AND(MAX(O1013,O1012)&gt;0,O1013&gt;O1012+0.00000001),1,0)</x:f>
        <x:v>0</x:v>
      </x:c>
    </x:row>
    <x:row r="1014">
      <x:c r="J1014" t="n">
        <x:f>IF(AND(ISNUMBER('Results'!B7),ISNUMBER('Results'!C7),ISNUMBER('Results'!$B$8),ISNUMBER('Inputs'!$B$6),ISNUMBER('Inputs'!$B$7),ISNUMBER('Inputs'!$B$8),ISNUMBER('Inputs'!$B$9),ISNUMBER('Inputs'!$B$10),ISNUMBER('Inputs'!$B$21),ISNUMBER('Inputs'!$B$24),ISNUMBER('Inputs'!$B$28)),(('Results'!B7*(0.5*((((1014-43)*MAX('Inputs'!$B$33,'Inputs'!$B$29+'Inputs'!$B$31+'Inputs'!$B$32,'Inputs'!$B$30+'Inputs'!$B$31+'Inputs'!$B$32)/1000+'Inputs'!$B$21)+'Inputs'!$B$7)/SQRT((((1014-43)*MAX('Inputs'!$B$33,'Inputs'!$B$29+'Inputs'!$B$31+'Inputs'!$B$32,'Inputs'!$B$30+'Inputs'!$B$31+'Inputs'!$B$32)/1000+'Inputs'!$B$21)+'Inputs'!$B$7)^2+('Inputs'!$B$6/2)^2)-(((1014-43)*MAX('Inputs'!$B$33,'Inputs'!$B$29+'Inputs'!$B$31+'Inputs'!$B$32,'Inputs'!$B$30+'Inputs'!$B$31+'Inputs'!$B$32)/1000+'Inputs'!$B$21))/SQRT((((1014-43)*MAX('Inputs'!$B$33,'Inputs'!$B$29+'Inputs'!$B$31+'Inputs'!$B$32,'Inputs'!$B$30+'Inputs'!$B$31+'Inputs'!$B$32)/1000+'Inputs'!$B$21))^2+('Inputs'!$B$6/2)^2)))-'Results'!C7*(0.5*((((1014-43)*MAX('Inputs'!$B$33,'Inputs'!$B$29+'Inputs'!$B$31+'Inputs'!$B$32,'Inputs'!$B$30+'Inputs'!$B$31+'Inputs'!$B$32)/1000+'Inputs'!$B$21+'Inputs'!$B$7+'Inputs'!$B$10)+'Inputs'!$B$9)/SQRT((((1014-43)*MAX('Inputs'!$B$33,'Inputs'!$B$29+'Inputs'!$B$31+'Inputs'!$B$32,'Inputs'!$B$30+'Inputs'!$B$31+'Inputs'!$B$32)/1000+'Inputs'!$B$21+'Inputs'!$B$7+'Inputs'!$B$10)+'Inputs'!$B$9)^2+('Inputs'!$B$8/2)^2)-(((1014-43)*MAX('Inputs'!$B$33,'Inputs'!$B$29+'Inputs'!$B$31+'Inputs'!$B$32,'Inputs'!$B$30+'Inputs'!$B$31+'Inputs'!$B$32)/1000+'Inputs'!$B$21+'Inputs'!$B$7+'Inputs'!$B$10))/SQRT((((1014-43)*MAX('Inputs'!$B$33,'Inputs'!$B$29+'Inputs'!$B$31+'Inputs'!$B$32,'Inputs'!$B$30+'Inputs'!$B$31+'Inputs'!$B$32)/1000+'Inputs'!$B$21+'Inputs'!$B$7+'Inputs'!$B$10))^2+('Inputs'!$B$8/2)^2))))*'Results'!$B$8),"")</x:f>
        <x:v>0.3976026263491671</x:v>
      </x:c>
      <x:c r="K1014" t="n">
        <x:f>IF(AND(ISNUMBER('Results'!B7),ISNUMBER('Results'!C7),ISNUMBER('Results'!$B$8),ISNUMBER('Inputs'!$B$6),ISNUMBER('Inputs'!$B$7),ISNUMBER('Inputs'!$B$8),ISNUMBER('Inputs'!$B$9),ISNUMBER('Inputs'!$B$10),ISNUMBER('Inputs'!$B$21),ISNUMBER('Inputs'!$B$24),ISNUMBER('Inputs'!$B$28)),((('Results'!B7*(1-'Inputs'!$B$24)*(0.5*((((1014-43)*MAX('Inputs'!$B$33,'Inputs'!$B$29+'Inputs'!$B$31+'Inputs'!$B$32,'Inputs'!$B$30+'Inputs'!$B$31+'Inputs'!$B$32)/1000+'Inputs'!$B$21)+'Inputs'!$B$7)/SQRT((((1014-43)*MAX('Inputs'!$B$33,'Inputs'!$B$29+'Inputs'!$B$31+'Inputs'!$B$32,'Inputs'!$B$30+'Inputs'!$B$31+'Inputs'!$B$32)/1000+'Inputs'!$B$21)+'Inputs'!$B$7)^2+('Inputs'!$B$6/2)^2)-(((1014-43)*MAX('Inputs'!$B$33,'Inputs'!$B$29+'Inputs'!$B$31+'Inputs'!$B$32,'Inputs'!$B$30+'Inputs'!$B$31+'Inputs'!$B$32)/1000+'Inputs'!$B$21))/SQRT((((1014-43)*MAX('Inputs'!$B$33,'Inputs'!$B$29+'Inputs'!$B$31+'Inputs'!$B$32,'Inputs'!$B$30+'Inputs'!$B$31+'Inputs'!$B$32)/1000+'Inputs'!$B$21))^2+('Inputs'!$B$6/2)^2)))-'Results'!C7*(1+'Inputs'!$B$24)*(0.5*((((1014-43)*MAX('Inputs'!$B$33,'Inputs'!$B$29+'Inputs'!$B$31+'Inputs'!$B$32,'Inputs'!$B$30+'Inputs'!$B$31+'Inputs'!$B$32)/1000+'Inputs'!$B$21+'Inputs'!$B$7+'Inputs'!$B$10)+'Inputs'!$B$9)/SQRT((((1014-43)*MAX('Inputs'!$B$33,'Inputs'!$B$29+'Inputs'!$B$31+'Inputs'!$B$32,'Inputs'!$B$30+'Inputs'!$B$31+'Inputs'!$B$32)/1000+'Inputs'!$B$21+'Inputs'!$B$7+'Inputs'!$B$10)+'Inputs'!$B$9)^2+('Inputs'!$B$8/2)^2)-(((1014-43)*MAX('Inputs'!$B$33,'Inputs'!$B$29+'Inputs'!$B$31+'Inputs'!$B$32,'Inputs'!$B$30+'Inputs'!$B$31+'Inputs'!$B$32)/1000+'Inputs'!$B$21+'Inputs'!$B$7+'Inputs'!$B$10))/SQRT((((1014-43)*MAX('Inputs'!$B$33,'Inputs'!$B$29+'Inputs'!$B$31+'Inputs'!$B$32,'Inputs'!$B$30+'Inputs'!$B$31+'Inputs'!$B$32)/1000+'Inputs'!$B$21+'Inputs'!$B$7+'Inputs'!$B$10))^2+('Inputs'!$B$8/2)^2))))*'Results'!$B$8)-'Inputs'!$B$28*ABS((('Results'!B7*(1-'Inputs'!$B$24)*(0.5*((((1014-43)*MAX('Inputs'!$B$33,'Inputs'!$B$29+'Inputs'!$B$31+'Inputs'!$B$32,'Inputs'!$B$30+'Inputs'!$B$31+'Inputs'!$B$32)/1000+'Inputs'!$B$21)+'Inputs'!$B$7)/SQRT((((1014-43)*MAX('Inputs'!$B$33,'Inputs'!$B$29+'Inputs'!$B$31+'Inputs'!$B$32,'Inputs'!$B$30+'Inputs'!$B$31+'Inputs'!$B$32)/1000+'Inputs'!$B$21)+'Inputs'!$B$7)^2+('Inputs'!$B$6/2)^2)-(((1014-43)*MAX('Inputs'!$B$33,'Inputs'!$B$29+'Inputs'!$B$31+'Inputs'!$B$32,'Inputs'!$B$30+'Inputs'!$B$31+'Inputs'!$B$32)/1000+'Inputs'!$B$21))/SQRT((((1014-43)*MAX('Inputs'!$B$33,'Inputs'!$B$29+'Inputs'!$B$31+'Inputs'!$B$32,'Inputs'!$B$30+'Inputs'!$B$31+'Inputs'!$B$32)/1000+'Inputs'!$B$21))^2+('Inputs'!$B$6/2)^2)))-'Results'!C7*(1+'Inputs'!$B$24)*(0.5*((((1014-43)*MAX('Inputs'!$B$33,'Inputs'!$B$29+'Inputs'!$B$31+'Inputs'!$B$32,'Inputs'!$B$30+'Inputs'!$B$31+'Inputs'!$B$32)/1000+'Inputs'!$B$21+'Inputs'!$B$7+'Inputs'!$B$10)+'Inputs'!$B$9)/SQRT((((1014-43)*MAX('Inputs'!$B$33,'Inputs'!$B$29+'Inputs'!$B$31+'Inputs'!$B$32,'Inputs'!$B$30+'Inputs'!$B$31+'Inputs'!$B$32)/1000+'Inputs'!$B$21+'Inputs'!$B$7+'Inputs'!$B$10)+'Inputs'!$B$9)^2+('Inputs'!$B$8/2)^2)-(((1014-43)*MAX('Inputs'!$B$33,'Inputs'!$B$29+'Inputs'!$B$31+'Inputs'!$B$32,'Inputs'!$B$30+'Inputs'!$B$31+'Inputs'!$B$32)/1000+'Inputs'!$B$21+'Inputs'!$B$7+'Inputs'!$B$10))/SQRT((((1014-43)*MAX('Inputs'!$B$33,'Inputs'!$B$29+'Inputs'!$B$31+'Inputs'!$B$32,'Inputs'!$B$30+'Inputs'!$B$31+'Inputs'!$B$32)/1000+'Inputs'!$B$21+'Inputs'!$B$7+'Inputs'!$B$10))^2+('Inputs'!$B$8/2)^2))))*'Results'!$B$8))),"")</x:f>
        <x:v>0.33375081423713027</x:v>
      </x:c>
      <x:c r="L1014" t="n">
        <x:f>IF(AND(ISNUMBER('Results'!B7),ISNUMBER('Results'!C7),ISNUMBER('Results'!$B$8),ISNUMBER('Inputs'!$B$6),ISNUMBER('Inputs'!$B$7),ISNUMBER('Inputs'!$B$8),ISNUMBER('Inputs'!$B$9),ISNUMBER('Inputs'!$B$10),ISNUMBER('Inputs'!$B$21),ISNUMBER('Inputs'!$B$24),ISNUMBER('Inputs'!$B$28)),((('Results'!B7*(1+'Inputs'!$B$24)*(0.5*((((1014-43)*MAX('Inputs'!$B$33,'Inputs'!$B$29+'Inputs'!$B$31+'Inputs'!$B$32,'Inputs'!$B$30+'Inputs'!$B$31+'Inputs'!$B$32)/1000+'Inputs'!$B$21)+'Inputs'!$B$7)/SQRT((((1014-43)*MAX('Inputs'!$B$33,'Inputs'!$B$29+'Inputs'!$B$31+'Inputs'!$B$32,'Inputs'!$B$30+'Inputs'!$B$31+'Inputs'!$B$32)/1000+'Inputs'!$B$21)+'Inputs'!$B$7)^2+('Inputs'!$B$6/2)^2)-(((1014-43)*MAX('Inputs'!$B$33,'Inputs'!$B$29+'Inputs'!$B$31+'Inputs'!$B$32,'Inputs'!$B$30+'Inputs'!$B$31+'Inputs'!$B$32)/1000+'Inputs'!$B$21))/SQRT((((1014-43)*MAX('Inputs'!$B$33,'Inputs'!$B$29+'Inputs'!$B$31+'Inputs'!$B$32,'Inputs'!$B$30+'Inputs'!$B$31+'Inputs'!$B$32)/1000+'Inputs'!$B$21))^2+('Inputs'!$B$6/2)^2)))-'Results'!C7*(1-'Inputs'!$B$24)*(0.5*((((1014-43)*MAX('Inputs'!$B$33,'Inputs'!$B$29+'Inputs'!$B$31+'Inputs'!$B$32,'Inputs'!$B$30+'Inputs'!$B$31+'Inputs'!$B$32)/1000+'Inputs'!$B$21+'Inputs'!$B$7+'Inputs'!$B$10)+'Inputs'!$B$9)/SQRT((((1014-43)*MAX('Inputs'!$B$33,'Inputs'!$B$29+'Inputs'!$B$31+'Inputs'!$B$32,'Inputs'!$B$30+'Inputs'!$B$31+'Inputs'!$B$32)/1000+'Inputs'!$B$21+'Inputs'!$B$7+'Inputs'!$B$10)+'Inputs'!$B$9)^2+('Inputs'!$B$8/2)^2)-(((1014-43)*MAX('Inputs'!$B$33,'Inputs'!$B$29+'Inputs'!$B$31+'Inputs'!$B$32,'Inputs'!$B$30+'Inputs'!$B$31+'Inputs'!$B$32)/1000+'Inputs'!$B$21+'Inputs'!$B$7+'Inputs'!$B$10))/SQRT((((1014-43)*MAX('Inputs'!$B$33,'Inputs'!$B$29+'Inputs'!$B$31+'Inputs'!$B$32,'Inputs'!$B$30+'Inputs'!$B$31+'Inputs'!$B$32)/1000+'Inputs'!$B$21+'Inputs'!$B$7+'Inputs'!$B$10))^2+('Inputs'!$B$8/2)^2))))*'Results'!$B$8)+'Inputs'!$B$28*ABS((('Results'!B7*(1+'Inputs'!$B$24)*(0.5*((((1014-43)*MAX('Inputs'!$B$33,'Inputs'!$B$29+'Inputs'!$B$31+'Inputs'!$B$32,'Inputs'!$B$30+'Inputs'!$B$31+'Inputs'!$B$32)/1000+'Inputs'!$B$21)+'Inputs'!$B$7)/SQRT((((1014-43)*MAX('Inputs'!$B$33,'Inputs'!$B$29+'Inputs'!$B$31+'Inputs'!$B$32,'Inputs'!$B$30+'Inputs'!$B$31+'Inputs'!$B$32)/1000+'Inputs'!$B$21)+'Inputs'!$B$7)^2+('Inputs'!$B$6/2)^2)-(((1014-43)*MAX('Inputs'!$B$33,'Inputs'!$B$29+'Inputs'!$B$31+'Inputs'!$B$32,'Inputs'!$B$30+'Inputs'!$B$31+'Inputs'!$B$32)/1000+'Inputs'!$B$21))/SQRT((((1014-43)*MAX('Inputs'!$B$33,'Inputs'!$B$29+'Inputs'!$B$31+'Inputs'!$B$32,'Inputs'!$B$30+'Inputs'!$B$31+'Inputs'!$B$32)/1000+'Inputs'!$B$21))^2+('Inputs'!$B$6/2)^2)))-'Results'!C7*(1-'Inputs'!$B$24)*(0.5*((((1014-43)*MAX('Inputs'!$B$33,'Inputs'!$B$29+'Inputs'!$B$31+'Inputs'!$B$32,'Inputs'!$B$30+'Inputs'!$B$31+'Inputs'!$B$32)/1000+'Inputs'!$B$21+'Inputs'!$B$7+'Inputs'!$B$10)+'Inputs'!$B$9)/SQRT((((1014-43)*MAX('Inputs'!$B$33,'Inputs'!$B$29+'Inputs'!$B$31+'Inputs'!$B$32,'Inputs'!$B$30+'Inputs'!$B$31+'Inputs'!$B$32)/1000+'Inputs'!$B$21+'Inputs'!$B$7+'Inputs'!$B$10)+'Inputs'!$B$9)^2+('Inputs'!$B$8/2)^2)-(((1014-43)*MAX('Inputs'!$B$33,'Inputs'!$B$29+'Inputs'!$B$31+'Inputs'!$B$32,'Inputs'!$B$30+'Inputs'!$B$31+'Inputs'!$B$32)/1000+'Inputs'!$B$21+'Inputs'!$B$7+'Inputs'!$B$10))/SQRT((((1014-43)*MAX('Inputs'!$B$33,'Inputs'!$B$29+'Inputs'!$B$31+'Inputs'!$B$32,'Inputs'!$B$30+'Inputs'!$B$31+'Inputs'!$B$32)/1000+'Inputs'!$B$21+'Inputs'!$B$7+'Inputs'!$B$10))^2+('Inputs'!$B$8/2)^2))))*'Results'!$B$8))),"")</x:f>
        <x:v>0.4660830364395805</x:v>
      </x:c>
      <x:c r="M1014" t="n">
        <x:f>IF(AND(ISNUMBER('Results'!C7),ISNUMBER('Results'!B7),ISNUMBER('Results'!$B$8),ISNUMBER('Inputs'!$B$6),ISNUMBER('Inputs'!$B$7),ISNUMBER('Inputs'!$B$8),ISNUMBER('Inputs'!$B$9),ISNUMBER('Inputs'!$B$10),ISNUMBER('Inputs'!$B$21),ISNUMBER('Inputs'!$B$24),ISNUMBER('Inputs'!$B$28)),(('Results'!C7*(0.5*((((1014-43)*MAX('Inputs'!$B$33,'Inputs'!$B$29+'Inputs'!$B$31+'Inputs'!$B$32,'Inputs'!$B$30+'Inputs'!$B$31+'Inputs'!$B$32)/1000+'Inputs'!$B$21)+'Inputs'!$B$9)/SQRT((((1014-43)*MAX('Inputs'!$B$33,'Inputs'!$B$29+'Inputs'!$B$31+'Inputs'!$B$32,'Inputs'!$B$30+'Inputs'!$B$31+'Inputs'!$B$32)/1000+'Inputs'!$B$21)+'Inputs'!$B$9)^2+('Inputs'!$B$8/2)^2)-(((1014-43)*MAX('Inputs'!$B$33,'Inputs'!$B$29+'Inputs'!$B$31+'Inputs'!$B$32,'Inputs'!$B$30+'Inputs'!$B$31+'Inputs'!$B$32)/1000+'Inputs'!$B$21))/SQRT((((1014-43)*MAX('Inputs'!$B$33,'Inputs'!$B$29+'Inputs'!$B$31+'Inputs'!$B$32,'Inputs'!$B$30+'Inputs'!$B$31+'Inputs'!$B$32)/1000+'Inputs'!$B$21))^2+('Inputs'!$B$8/2)^2)))-'Results'!B7*(0.5*((((1014-43)*MAX('Inputs'!$B$33,'Inputs'!$B$29+'Inputs'!$B$31+'Inputs'!$B$32,'Inputs'!$B$30+'Inputs'!$B$31+'Inputs'!$B$32)/1000+'Inputs'!$B$21+'Inputs'!$B$9+'Inputs'!$B$10)+'Inputs'!$B$7)/SQRT((((1014-43)*MAX('Inputs'!$B$33,'Inputs'!$B$29+'Inputs'!$B$31+'Inputs'!$B$32,'Inputs'!$B$30+'Inputs'!$B$31+'Inputs'!$B$32)/1000+'Inputs'!$B$21+'Inputs'!$B$9+'Inputs'!$B$10)+'Inputs'!$B$7)^2+('Inputs'!$B$6/2)^2)-(((1014-43)*MAX('Inputs'!$B$33,'Inputs'!$B$29+'Inputs'!$B$31+'Inputs'!$B$32,'Inputs'!$B$30+'Inputs'!$B$31+'Inputs'!$B$32)/1000+'Inputs'!$B$21+'Inputs'!$B$9+'Inputs'!$B$10))/SQRT((((1014-43)*MAX('Inputs'!$B$33,'Inputs'!$B$29+'Inputs'!$B$31+'Inputs'!$B$32,'Inputs'!$B$30+'Inputs'!$B$31+'Inputs'!$B$32)/1000+'Inputs'!$B$21+'Inputs'!$B$9+'Inputs'!$B$10))^2+('Inputs'!$B$6/2)^2))))*'Results'!$B$8),"")</x:f>
        <x:v>0.350925484042372</x:v>
      </x:c>
      <x:c r="N1014" t="n">
        <x:f>IF(AND(ISNUMBER('Results'!C7),ISNUMBER('Results'!B7),ISNUMBER('Results'!$B$8),ISNUMBER('Inputs'!$B$6),ISNUMBER('Inputs'!$B$7),ISNUMBER('Inputs'!$B$8),ISNUMBER('Inputs'!$B$9),ISNUMBER('Inputs'!$B$10),ISNUMBER('Inputs'!$B$21),ISNUMBER('Inputs'!$B$24),ISNUMBER('Inputs'!$B$28)),((('Results'!C7*(1-'Inputs'!$B$24)*(0.5*((((1014-43)*MAX('Inputs'!$B$33,'Inputs'!$B$29+'Inputs'!$B$31+'Inputs'!$B$32,'Inputs'!$B$30+'Inputs'!$B$31+'Inputs'!$B$32)/1000+'Inputs'!$B$21)+'Inputs'!$B$9)/SQRT((((1014-43)*MAX('Inputs'!$B$33,'Inputs'!$B$29+'Inputs'!$B$31+'Inputs'!$B$32,'Inputs'!$B$30+'Inputs'!$B$31+'Inputs'!$B$32)/1000+'Inputs'!$B$21)+'Inputs'!$B$9)^2+('Inputs'!$B$8/2)^2)-(((1014-43)*MAX('Inputs'!$B$33,'Inputs'!$B$29+'Inputs'!$B$31+'Inputs'!$B$32,'Inputs'!$B$30+'Inputs'!$B$31+'Inputs'!$B$32)/1000+'Inputs'!$B$21))/SQRT((((1014-43)*MAX('Inputs'!$B$33,'Inputs'!$B$29+'Inputs'!$B$31+'Inputs'!$B$32,'Inputs'!$B$30+'Inputs'!$B$31+'Inputs'!$B$32)/1000+'Inputs'!$B$21))^2+('Inputs'!$B$8/2)^2)))-'Results'!B7*(1+'Inputs'!$B$24)*(0.5*((((1014-43)*MAX('Inputs'!$B$33,'Inputs'!$B$29+'Inputs'!$B$31+'Inputs'!$B$32,'Inputs'!$B$30+'Inputs'!$B$31+'Inputs'!$B$32)/1000+'Inputs'!$B$21+'Inputs'!$B$9+'Inputs'!$B$10)+'Inputs'!$B$7)/SQRT((((1014-43)*MAX('Inputs'!$B$33,'Inputs'!$B$29+'Inputs'!$B$31+'Inputs'!$B$32,'Inputs'!$B$30+'Inputs'!$B$31+'Inputs'!$B$32)/1000+'Inputs'!$B$21+'Inputs'!$B$9+'Inputs'!$B$10)+'Inputs'!$B$7)^2+('Inputs'!$B$6/2)^2)-(((1014-43)*MAX('Inputs'!$B$33,'Inputs'!$B$29+'Inputs'!$B$31+'Inputs'!$B$32,'Inputs'!$B$30+'Inputs'!$B$31+'Inputs'!$B$32)/1000+'Inputs'!$B$21+'Inputs'!$B$9+'Inputs'!$B$10))/SQRT((((1014-43)*MAX('Inputs'!$B$33,'Inputs'!$B$29+'Inputs'!$B$31+'Inputs'!$B$32,'Inputs'!$B$30+'Inputs'!$B$31+'Inputs'!$B$32)/1000+'Inputs'!$B$21+'Inputs'!$B$9+'Inputs'!$B$10))^2+('Inputs'!$B$6/2)^2))))*'Results'!$B$8)-'Inputs'!$B$28*ABS((('Results'!C7*(1-'Inputs'!$B$24)*(0.5*((((1014-43)*MAX('Inputs'!$B$33,'Inputs'!$B$29+'Inputs'!$B$31+'Inputs'!$B$32,'Inputs'!$B$30+'Inputs'!$B$31+'Inputs'!$B$32)/1000+'Inputs'!$B$21)+'Inputs'!$B$9)/SQRT((((1014-43)*MAX('Inputs'!$B$33,'Inputs'!$B$29+'Inputs'!$B$31+'Inputs'!$B$32,'Inputs'!$B$30+'Inputs'!$B$31+'Inputs'!$B$32)/1000+'Inputs'!$B$21)+'Inputs'!$B$9)^2+('Inputs'!$B$8/2)^2)-(((1014-43)*MAX('Inputs'!$B$33,'Inputs'!$B$29+'Inputs'!$B$31+'Inputs'!$B$32,'Inputs'!$B$30+'Inputs'!$B$31+'Inputs'!$B$32)/1000+'Inputs'!$B$21))/SQRT((((1014-43)*MAX('Inputs'!$B$33,'Inputs'!$B$29+'Inputs'!$B$31+'Inputs'!$B$32,'Inputs'!$B$30+'Inputs'!$B$31+'Inputs'!$B$32)/1000+'Inputs'!$B$21))^2+('Inputs'!$B$8/2)^2)))-'Results'!B7*(1+'Inputs'!$B$24)*(0.5*((((1014-43)*MAX('Inputs'!$B$33,'Inputs'!$B$29+'Inputs'!$B$31+'Inputs'!$B$32,'Inputs'!$B$30+'Inputs'!$B$31+'Inputs'!$B$32)/1000+'Inputs'!$B$21+'Inputs'!$B$9+'Inputs'!$B$10)+'Inputs'!$B$7)/SQRT((((1014-43)*MAX('Inputs'!$B$33,'Inputs'!$B$29+'Inputs'!$B$31+'Inputs'!$B$32,'Inputs'!$B$30+'Inputs'!$B$31+'Inputs'!$B$32)/1000+'Inputs'!$B$21+'Inputs'!$B$9+'Inputs'!$B$10)+'Inputs'!$B$7)^2+('Inputs'!$B$6/2)^2)-(((1014-43)*MAX('Inputs'!$B$33,'Inputs'!$B$29+'Inputs'!$B$31+'Inputs'!$B$32,'Inputs'!$B$30+'Inputs'!$B$31+'Inputs'!$B$32)/1000+'Inputs'!$B$21+'Inputs'!$B$9+'Inputs'!$B$10))/SQRT((((1014-43)*MAX('Inputs'!$B$33,'Inputs'!$B$29+'Inputs'!$B$31+'Inputs'!$B$32,'Inputs'!$B$30+'Inputs'!$B$31+'Inputs'!$B$32)/1000+'Inputs'!$B$21+'Inputs'!$B$9+'Inputs'!$B$10))^2+('Inputs'!$B$6/2)^2))))*'Results'!$B$8))),"")</x:f>
        <x:v>0.2895511859557501</x:v>
      </x:c>
      <x:c r="O1014" t="n">
        <x:f>IF(AND(ISNUMBER('Results'!C7),ISNUMBER('Results'!B7),ISNUMBER('Results'!$B$8),ISNUMBER('Inputs'!$B$6),ISNUMBER('Inputs'!$B$7),ISNUMBER('Inputs'!$B$8),ISNUMBER('Inputs'!$B$9),ISNUMBER('Inputs'!$B$10),ISNUMBER('Inputs'!$B$21),ISNUMBER('Inputs'!$B$24),ISNUMBER('Inputs'!$B$28)),((('Results'!C7*(1+'Inputs'!$B$24)*(0.5*((((1014-43)*MAX('Inputs'!$B$33,'Inputs'!$B$29+'Inputs'!$B$31+'Inputs'!$B$32,'Inputs'!$B$30+'Inputs'!$B$31+'Inputs'!$B$32)/1000+'Inputs'!$B$21)+'Inputs'!$B$9)/SQRT((((1014-43)*MAX('Inputs'!$B$33,'Inputs'!$B$29+'Inputs'!$B$31+'Inputs'!$B$32,'Inputs'!$B$30+'Inputs'!$B$31+'Inputs'!$B$32)/1000+'Inputs'!$B$21)+'Inputs'!$B$9)^2+('Inputs'!$B$8/2)^2)-(((1014-43)*MAX('Inputs'!$B$33,'Inputs'!$B$29+'Inputs'!$B$31+'Inputs'!$B$32,'Inputs'!$B$30+'Inputs'!$B$31+'Inputs'!$B$32)/1000+'Inputs'!$B$21))/SQRT((((1014-43)*MAX('Inputs'!$B$33,'Inputs'!$B$29+'Inputs'!$B$31+'Inputs'!$B$32,'Inputs'!$B$30+'Inputs'!$B$31+'Inputs'!$B$32)/1000+'Inputs'!$B$21))^2+('Inputs'!$B$8/2)^2)))-'Results'!B7*(1-'Inputs'!$B$24)*(0.5*((((1014-43)*MAX('Inputs'!$B$33,'Inputs'!$B$29+'Inputs'!$B$31+'Inputs'!$B$32,'Inputs'!$B$30+'Inputs'!$B$31+'Inputs'!$B$32)/1000+'Inputs'!$B$21+'Inputs'!$B$9+'Inputs'!$B$10)+'Inputs'!$B$7)/SQRT((((1014-43)*MAX('Inputs'!$B$33,'Inputs'!$B$29+'Inputs'!$B$31+'Inputs'!$B$32,'Inputs'!$B$30+'Inputs'!$B$31+'Inputs'!$B$32)/1000+'Inputs'!$B$21+'Inputs'!$B$9+'Inputs'!$B$10)+'Inputs'!$B$7)^2+('Inputs'!$B$6/2)^2)-(((1014-43)*MAX('Inputs'!$B$33,'Inputs'!$B$29+'Inputs'!$B$31+'Inputs'!$B$32,'Inputs'!$B$30+'Inputs'!$B$31+'Inputs'!$B$32)/1000+'Inputs'!$B$21+'Inputs'!$B$9+'Inputs'!$B$10))/SQRT((((1014-43)*MAX('Inputs'!$B$33,'Inputs'!$B$29+'Inputs'!$B$31+'Inputs'!$B$32,'Inputs'!$B$30+'Inputs'!$B$31+'Inputs'!$B$32)/1000+'Inputs'!$B$21+'Inputs'!$B$9+'Inputs'!$B$10))^2+('Inputs'!$B$6/2)^2))))*'Results'!$B$8)+'Inputs'!$B$28*ABS((('Results'!C7*(1+'Inputs'!$B$24)*(0.5*((((1014-43)*MAX('Inputs'!$B$33,'Inputs'!$B$29+'Inputs'!$B$31+'Inputs'!$B$32,'Inputs'!$B$30+'Inputs'!$B$31+'Inputs'!$B$32)/1000+'Inputs'!$B$21)+'Inputs'!$B$9)/SQRT((((1014-43)*MAX('Inputs'!$B$33,'Inputs'!$B$29+'Inputs'!$B$31+'Inputs'!$B$32,'Inputs'!$B$30+'Inputs'!$B$31+'Inputs'!$B$32)/1000+'Inputs'!$B$21)+'Inputs'!$B$9)^2+('Inputs'!$B$8/2)^2)-(((1014-43)*MAX('Inputs'!$B$33,'Inputs'!$B$29+'Inputs'!$B$31+'Inputs'!$B$32,'Inputs'!$B$30+'Inputs'!$B$31+'Inputs'!$B$32)/1000+'Inputs'!$B$21))/SQRT((((1014-43)*MAX('Inputs'!$B$33,'Inputs'!$B$29+'Inputs'!$B$31+'Inputs'!$B$32,'Inputs'!$B$30+'Inputs'!$B$31+'Inputs'!$B$32)/1000+'Inputs'!$B$21))^2+('Inputs'!$B$8/2)^2)))-'Results'!B7*(1-'Inputs'!$B$24)*(0.5*((((1014-43)*MAX('Inputs'!$B$33,'Inputs'!$B$29+'Inputs'!$B$31+'Inputs'!$B$32,'Inputs'!$B$30+'Inputs'!$B$31+'Inputs'!$B$32)/1000+'Inputs'!$B$21+'Inputs'!$B$9+'Inputs'!$B$10)+'Inputs'!$B$7)/SQRT((((1014-43)*MAX('Inputs'!$B$33,'Inputs'!$B$29+'Inputs'!$B$31+'Inputs'!$B$32,'Inputs'!$B$30+'Inputs'!$B$31+'Inputs'!$B$32)/1000+'Inputs'!$B$21+'Inputs'!$B$9+'Inputs'!$B$10)+'Inputs'!$B$7)^2+('Inputs'!$B$6/2)^2)-(((1014-43)*MAX('Inputs'!$B$33,'Inputs'!$B$29+'Inputs'!$B$31+'Inputs'!$B$32,'Inputs'!$B$30+'Inputs'!$B$31+'Inputs'!$B$32)/1000+'Inputs'!$B$21+'Inputs'!$B$9+'Inputs'!$B$10))/SQRT((((1014-43)*MAX('Inputs'!$B$33,'Inputs'!$B$29+'Inputs'!$B$31+'Inputs'!$B$32,'Inputs'!$B$30+'Inputs'!$B$31+'Inputs'!$B$32)/1000+'Inputs'!$B$21+'Inputs'!$B$9+'Inputs'!$B$10))^2+('Inputs'!$B$6/2)^2))))*'Results'!$B$8))),"")</x:f>
        <x:v>0.4169132583273627</x:v>
      </x:c>
      <x:c r="P1014" t="n">
        <x:f>IF(AND(MAX(J1014,J1013)&gt;0,J1014&gt;J1013+0.00000001),1,0)</x:f>
        <x:v>0</x:v>
      </x:c>
      <x:c r="Q1014" t="n">
        <x:f>IF(AND(MAX(K1014,K1013)&gt;0,K1014&gt;K1013+0.00000001),1,0)</x:f>
        <x:v>0</x:v>
      </x:c>
      <x:c r="R1014" t="n">
        <x:f>IF(AND(MAX(L1014,L1013)&gt;0,L1014&gt;L1013+0.00000001),1,0)</x:f>
        <x:v>0</x:v>
      </x:c>
      <x:c r="S1014" t="n">
        <x:f>IF(AND(MAX(M1014,M1013)&gt;0,M1014&gt;M1013+0.00000001),1,0)</x:f>
        <x:v>0</x:v>
      </x:c>
      <x:c r="T1014" t="n">
        <x:f>IF(AND(MAX(N1014,N1013)&gt;0,N1014&gt;N1013+0.00000001),1,0)</x:f>
        <x:v>0</x:v>
      </x:c>
      <x:c r="U1014" t="n">
        <x:f>IF(AND(MAX(O1014,O1013)&gt;0,O1014&gt;O1013+0.00000001),1,0)</x:f>
        <x:v>0</x:v>
      </x:c>
    </x:row>
    <x:row r="1015">
      <x:c r="J1015" t="n">
        <x:f>IF(AND(ISNUMBER('Results'!B7),ISNUMBER('Results'!C7),ISNUMBER('Results'!$B$8),ISNUMBER('Inputs'!$B$6),ISNUMBER('Inputs'!$B$7),ISNUMBER('Inputs'!$B$8),ISNUMBER('Inputs'!$B$9),ISNUMBER('Inputs'!$B$10),ISNUMBER('Inputs'!$B$21),ISNUMBER('Inputs'!$B$24),ISNUMBER('Inputs'!$B$28)),(('Results'!B7*(0.5*((((1015-43)*MAX('Inputs'!$B$33,'Inputs'!$B$29+'Inputs'!$B$31+'Inputs'!$B$32,'Inputs'!$B$30+'Inputs'!$B$31+'Inputs'!$B$32)/1000+'Inputs'!$B$21)+'Inputs'!$B$7)/SQRT((((1015-43)*MAX('Inputs'!$B$33,'Inputs'!$B$29+'Inputs'!$B$31+'Inputs'!$B$32,'Inputs'!$B$30+'Inputs'!$B$31+'Inputs'!$B$32)/1000+'Inputs'!$B$21)+'Inputs'!$B$7)^2+('Inputs'!$B$6/2)^2)-(((1015-43)*MAX('Inputs'!$B$33,'Inputs'!$B$29+'Inputs'!$B$31+'Inputs'!$B$32,'Inputs'!$B$30+'Inputs'!$B$31+'Inputs'!$B$32)/1000+'Inputs'!$B$21))/SQRT((((1015-43)*MAX('Inputs'!$B$33,'Inputs'!$B$29+'Inputs'!$B$31+'Inputs'!$B$32,'Inputs'!$B$30+'Inputs'!$B$31+'Inputs'!$B$32)/1000+'Inputs'!$B$21))^2+('Inputs'!$B$6/2)^2)))-'Results'!C7*(0.5*((((1015-43)*MAX('Inputs'!$B$33,'Inputs'!$B$29+'Inputs'!$B$31+'Inputs'!$B$32,'Inputs'!$B$30+'Inputs'!$B$31+'Inputs'!$B$32)/1000+'Inputs'!$B$21+'Inputs'!$B$7+'Inputs'!$B$10)+'Inputs'!$B$9)/SQRT((((1015-43)*MAX('Inputs'!$B$33,'Inputs'!$B$29+'Inputs'!$B$31+'Inputs'!$B$32,'Inputs'!$B$30+'Inputs'!$B$31+'Inputs'!$B$32)/1000+'Inputs'!$B$21+'Inputs'!$B$7+'Inputs'!$B$10)+'Inputs'!$B$9)^2+('Inputs'!$B$8/2)^2)-(((1015-43)*MAX('Inputs'!$B$33,'Inputs'!$B$29+'Inputs'!$B$31+'Inputs'!$B$32,'Inputs'!$B$30+'Inputs'!$B$31+'Inputs'!$B$32)/1000+'Inputs'!$B$21+'Inputs'!$B$7+'Inputs'!$B$10))/SQRT((((1015-43)*MAX('Inputs'!$B$33,'Inputs'!$B$29+'Inputs'!$B$31+'Inputs'!$B$32,'Inputs'!$B$30+'Inputs'!$B$31+'Inputs'!$B$32)/1000+'Inputs'!$B$21+'Inputs'!$B$7+'Inputs'!$B$10))^2+('Inputs'!$B$8/2)^2))))*'Results'!$B$8),"")</x:f>
        <x:v>0.3961130986340087</x:v>
      </x:c>
      <x:c r="K1015" t="n">
        <x:f>IF(AND(ISNUMBER('Results'!B7),ISNUMBER('Results'!C7),ISNUMBER('Results'!$B$8),ISNUMBER('Inputs'!$B$6),ISNUMBER('Inputs'!$B$7),ISNUMBER('Inputs'!$B$8),ISNUMBER('Inputs'!$B$9),ISNUMBER('Inputs'!$B$10),ISNUMBER('Inputs'!$B$21),ISNUMBER('Inputs'!$B$24),ISNUMBER('Inputs'!$B$28)),((('Results'!B7*(1-'Inputs'!$B$24)*(0.5*((((1015-43)*MAX('Inputs'!$B$33,'Inputs'!$B$29+'Inputs'!$B$31+'Inputs'!$B$32,'Inputs'!$B$30+'Inputs'!$B$31+'Inputs'!$B$32)/1000+'Inputs'!$B$21)+'Inputs'!$B$7)/SQRT((((1015-43)*MAX('Inputs'!$B$33,'Inputs'!$B$29+'Inputs'!$B$31+'Inputs'!$B$32,'Inputs'!$B$30+'Inputs'!$B$31+'Inputs'!$B$32)/1000+'Inputs'!$B$21)+'Inputs'!$B$7)^2+('Inputs'!$B$6/2)^2)-(((1015-43)*MAX('Inputs'!$B$33,'Inputs'!$B$29+'Inputs'!$B$31+'Inputs'!$B$32,'Inputs'!$B$30+'Inputs'!$B$31+'Inputs'!$B$32)/1000+'Inputs'!$B$21))/SQRT((((1015-43)*MAX('Inputs'!$B$33,'Inputs'!$B$29+'Inputs'!$B$31+'Inputs'!$B$32,'Inputs'!$B$30+'Inputs'!$B$31+'Inputs'!$B$32)/1000+'Inputs'!$B$21))^2+('Inputs'!$B$6/2)^2)))-'Results'!C7*(1+'Inputs'!$B$24)*(0.5*((((1015-43)*MAX('Inputs'!$B$33,'Inputs'!$B$29+'Inputs'!$B$31+'Inputs'!$B$32,'Inputs'!$B$30+'Inputs'!$B$31+'Inputs'!$B$32)/1000+'Inputs'!$B$21+'Inputs'!$B$7+'Inputs'!$B$10)+'Inputs'!$B$9)/SQRT((((1015-43)*MAX('Inputs'!$B$33,'Inputs'!$B$29+'Inputs'!$B$31+'Inputs'!$B$32,'Inputs'!$B$30+'Inputs'!$B$31+'Inputs'!$B$32)/1000+'Inputs'!$B$21+'Inputs'!$B$7+'Inputs'!$B$10)+'Inputs'!$B$9)^2+('Inputs'!$B$8/2)^2)-(((1015-43)*MAX('Inputs'!$B$33,'Inputs'!$B$29+'Inputs'!$B$31+'Inputs'!$B$32,'Inputs'!$B$30+'Inputs'!$B$31+'Inputs'!$B$32)/1000+'Inputs'!$B$21+'Inputs'!$B$7+'Inputs'!$B$10))/SQRT((((1015-43)*MAX('Inputs'!$B$33,'Inputs'!$B$29+'Inputs'!$B$31+'Inputs'!$B$32,'Inputs'!$B$30+'Inputs'!$B$31+'Inputs'!$B$32)/1000+'Inputs'!$B$21+'Inputs'!$B$7+'Inputs'!$B$10))^2+('Inputs'!$B$8/2)^2))))*'Results'!$B$8)-'Inputs'!$B$28*ABS((('Results'!B7*(1-'Inputs'!$B$24)*(0.5*((((1015-43)*MAX('Inputs'!$B$33,'Inputs'!$B$29+'Inputs'!$B$31+'Inputs'!$B$32,'Inputs'!$B$30+'Inputs'!$B$31+'Inputs'!$B$32)/1000+'Inputs'!$B$21)+'Inputs'!$B$7)/SQRT((((1015-43)*MAX('Inputs'!$B$33,'Inputs'!$B$29+'Inputs'!$B$31+'Inputs'!$B$32,'Inputs'!$B$30+'Inputs'!$B$31+'Inputs'!$B$32)/1000+'Inputs'!$B$21)+'Inputs'!$B$7)^2+('Inputs'!$B$6/2)^2)-(((1015-43)*MAX('Inputs'!$B$33,'Inputs'!$B$29+'Inputs'!$B$31+'Inputs'!$B$32,'Inputs'!$B$30+'Inputs'!$B$31+'Inputs'!$B$32)/1000+'Inputs'!$B$21))/SQRT((((1015-43)*MAX('Inputs'!$B$33,'Inputs'!$B$29+'Inputs'!$B$31+'Inputs'!$B$32,'Inputs'!$B$30+'Inputs'!$B$31+'Inputs'!$B$32)/1000+'Inputs'!$B$21))^2+('Inputs'!$B$6/2)^2)))-'Results'!C7*(1+'Inputs'!$B$24)*(0.5*((((1015-43)*MAX('Inputs'!$B$33,'Inputs'!$B$29+'Inputs'!$B$31+'Inputs'!$B$32,'Inputs'!$B$30+'Inputs'!$B$31+'Inputs'!$B$32)/1000+'Inputs'!$B$21+'Inputs'!$B$7+'Inputs'!$B$10)+'Inputs'!$B$9)/SQRT((((1015-43)*MAX('Inputs'!$B$33,'Inputs'!$B$29+'Inputs'!$B$31+'Inputs'!$B$32,'Inputs'!$B$30+'Inputs'!$B$31+'Inputs'!$B$32)/1000+'Inputs'!$B$21+'Inputs'!$B$7+'Inputs'!$B$10)+'Inputs'!$B$9)^2+('Inputs'!$B$8/2)^2)-(((1015-43)*MAX('Inputs'!$B$33,'Inputs'!$B$29+'Inputs'!$B$31+'Inputs'!$B$32,'Inputs'!$B$30+'Inputs'!$B$31+'Inputs'!$B$32)/1000+'Inputs'!$B$21+'Inputs'!$B$7+'Inputs'!$B$10))/SQRT((((1015-43)*MAX('Inputs'!$B$33,'Inputs'!$B$29+'Inputs'!$B$31+'Inputs'!$B$32,'Inputs'!$B$30+'Inputs'!$B$31+'Inputs'!$B$32)/1000+'Inputs'!$B$21+'Inputs'!$B$7+'Inputs'!$B$10))^2+('Inputs'!$B$8/2)^2))))*'Results'!$B$8))),"")</x:f>
        <x:v>0.33246224478571484</x:v>
      </x:c>
      <x:c r="L1015" t="n">
        <x:f>IF(AND(ISNUMBER('Results'!B7),ISNUMBER('Results'!C7),ISNUMBER('Results'!$B$8),ISNUMBER('Inputs'!$B$6),ISNUMBER('Inputs'!$B$7),ISNUMBER('Inputs'!$B$8),ISNUMBER('Inputs'!$B$9),ISNUMBER('Inputs'!$B$10),ISNUMBER('Inputs'!$B$21),ISNUMBER('Inputs'!$B$24),ISNUMBER('Inputs'!$B$28)),((('Results'!B7*(1+'Inputs'!$B$24)*(0.5*((((1015-43)*MAX('Inputs'!$B$33,'Inputs'!$B$29+'Inputs'!$B$31+'Inputs'!$B$32,'Inputs'!$B$30+'Inputs'!$B$31+'Inputs'!$B$32)/1000+'Inputs'!$B$21)+'Inputs'!$B$7)/SQRT((((1015-43)*MAX('Inputs'!$B$33,'Inputs'!$B$29+'Inputs'!$B$31+'Inputs'!$B$32,'Inputs'!$B$30+'Inputs'!$B$31+'Inputs'!$B$32)/1000+'Inputs'!$B$21)+'Inputs'!$B$7)^2+('Inputs'!$B$6/2)^2)-(((1015-43)*MAX('Inputs'!$B$33,'Inputs'!$B$29+'Inputs'!$B$31+'Inputs'!$B$32,'Inputs'!$B$30+'Inputs'!$B$31+'Inputs'!$B$32)/1000+'Inputs'!$B$21))/SQRT((((1015-43)*MAX('Inputs'!$B$33,'Inputs'!$B$29+'Inputs'!$B$31+'Inputs'!$B$32,'Inputs'!$B$30+'Inputs'!$B$31+'Inputs'!$B$32)/1000+'Inputs'!$B$21))^2+('Inputs'!$B$6/2)^2)))-'Results'!C7*(1-'Inputs'!$B$24)*(0.5*((((1015-43)*MAX('Inputs'!$B$33,'Inputs'!$B$29+'Inputs'!$B$31+'Inputs'!$B$32,'Inputs'!$B$30+'Inputs'!$B$31+'Inputs'!$B$32)/1000+'Inputs'!$B$21+'Inputs'!$B$7+'Inputs'!$B$10)+'Inputs'!$B$9)/SQRT((((1015-43)*MAX('Inputs'!$B$33,'Inputs'!$B$29+'Inputs'!$B$31+'Inputs'!$B$32,'Inputs'!$B$30+'Inputs'!$B$31+'Inputs'!$B$32)/1000+'Inputs'!$B$21+'Inputs'!$B$7+'Inputs'!$B$10)+'Inputs'!$B$9)^2+('Inputs'!$B$8/2)^2)-(((1015-43)*MAX('Inputs'!$B$33,'Inputs'!$B$29+'Inputs'!$B$31+'Inputs'!$B$32,'Inputs'!$B$30+'Inputs'!$B$31+'Inputs'!$B$32)/1000+'Inputs'!$B$21+'Inputs'!$B$7+'Inputs'!$B$10))/SQRT((((1015-43)*MAX('Inputs'!$B$33,'Inputs'!$B$29+'Inputs'!$B$31+'Inputs'!$B$32,'Inputs'!$B$30+'Inputs'!$B$31+'Inputs'!$B$32)/1000+'Inputs'!$B$21+'Inputs'!$B$7+'Inputs'!$B$10))^2+('Inputs'!$B$8/2)^2))))*'Results'!$B$8)+'Inputs'!$B$28*ABS((('Results'!B7*(1+'Inputs'!$B$24)*(0.5*((((1015-43)*MAX('Inputs'!$B$33,'Inputs'!$B$29+'Inputs'!$B$31+'Inputs'!$B$32,'Inputs'!$B$30+'Inputs'!$B$31+'Inputs'!$B$32)/1000+'Inputs'!$B$21)+'Inputs'!$B$7)/SQRT((((1015-43)*MAX('Inputs'!$B$33,'Inputs'!$B$29+'Inputs'!$B$31+'Inputs'!$B$32,'Inputs'!$B$30+'Inputs'!$B$31+'Inputs'!$B$32)/1000+'Inputs'!$B$21)+'Inputs'!$B$7)^2+('Inputs'!$B$6/2)^2)-(((1015-43)*MAX('Inputs'!$B$33,'Inputs'!$B$29+'Inputs'!$B$31+'Inputs'!$B$32,'Inputs'!$B$30+'Inputs'!$B$31+'Inputs'!$B$32)/1000+'Inputs'!$B$21))/SQRT((((1015-43)*MAX('Inputs'!$B$33,'Inputs'!$B$29+'Inputs'!$B$31+'Inputs'!$B$32,'Inputs'!$B$30+'Inputs'!$B$31+'Inputs'!$B$32)/1000+'Inputs'!$B$21))^2+('Inputs'!$B$6/2)^2)))-'Results'!C7*(1-'Inputs'!$B$24)*(0.5*((((1015-43)*MAX('Inputs'!$B$33,'Inputs'!$B$29+'Inputs'!$B$31+'Inputs'!$B$32,'Inputs'!$B$30+'Inputs'!$B$31+'Inputs'!$B$32)/1000+'Inputs'!$B$21+'Inputs'!$B$7+'Inputs'!$B$10)+'Inputs'!$B$9)/SQRT((((1015-43)*MAX('Inputs'!$B$33,'Inputs'!$B$29+'Inputs'!$B$31+'Inputs'!$B$32,'Inputs'!$B$30+'Inputs'!$B$31+'Inputs'!$B$32)/1000+'Inputs'!$B$21+'Inputs'!$B$7+'Inputs'!$B$10)+'Inputs'!$B$9)^2+('Inputs'!$B$8/2)^2)-(((1015-43)*MAX('Inputs'!$B$33,'Inputs'!$B$29+'Inputs'!$B$31+'Inputs'!$B$32,'Inputs'!$B$30+'Inputs'!$B$31+'Inputs'!$B$32)/1000+'Inputs'!$B$21+'Inputs'!$B$7+'Inputs'!$B$10))/SQRT((((1015-43)*MAX('Inputs'!$B$33,'Inputs'!$B$29+'Inputs'!$B$31+'Inputs'!$B$32,'Inputs'!$B$30+'Inputs'!$B$31+'Inputs'!$B$32)/1000+'Inputs'!$B$21+'Inputs'!$B$7+'Inputs'!$B$10))^2+('Inputs'!$B$8/2)^2))))*'Results'!$B$8))),"")</x:f>
        <x:v>0.4643792365787862</x:v>
      </x:c>
      <x:c r="M1015" t="n">
        <x:f>IF(AND(ISNUMBER('Results'!C7),ISNUMBER('Results'!B7),ISNUMBER('Results'!$B$8),ISNUMBER('Inputs'!$B$6),ISNUMBER('Inputs'!$B$7),ISNUMBER('Inputs'!$B$8),ISNUMBER('Inputs'!$B$9),ISNUMBER('Inputs'!$B$10),ISNUMBER('Inputs'!$B$21),ISNUMBER('Inputs'!$B$24),ISNUMBER('Inputs'!$B$28)),(('Results'!C7*(0.5*((((1015-43)*MAX('Inputs'!$B$33,'Inputs'!$B$29+'Inputs'!$B$31+'Inputs'!$B$32,'Inputs'!$B$30+'Inputs'!$B$31+'Inputs'!$B$32)/1000+'Inputs'!$B$21)+'Inputs'!$B$9)/SQRT((((1015-43)*MAX('Inputs'!$B$33,'Inputs'!$B$29+'Inputs'!$B$31+'Inputs'!$B$32,'Inputs'!$B$30+'Inputs'!$B$31+'Inputs'!$B$32)/1000+'Inputs'!$B$21)+'Inputs'!$B$9)^2+('Inputs'!$B$8/2)^2)-(((1015-43)*MAX('Inputs'!$B$33,'Inputs'!$B$29+'Inputs'!$B$31+'Inputs'!$B$32,'Inputs'!$B$30+'Inputs'!$B$31+'Inputs'!$B$32)/1000+'Inputs'!$B$21))/SQRT((((1015-43)*MAX('Inputs'!$B$33,'Inputs'!$B$29+'Inputs'!$B$31+'Inputs'!$B$32,'Inputs'!$B$30+'Inputs'!$B$31+'Inputs'!$B$32)/1000+'Inputs'!$B$21))^2+('Inputs'!$B$8/2)^2)))-'Results'!B7*(0.5*((((1015-43)*MAX('Inputs'!$B$33,'Inputs'!$B$29+'Inputs'!$B$31+'Inputs'!$B$32,'Inputs'!$B$30+'Inputs'!$B$31+'Inputs'!$B$32)/1000+'Inputs'!$B$21+'Inputs'!$B$9+'Inputs'!$B$10)+'Inputs'!$B$7)/SQRT((((1015-43)*MAX('Inputs'!$B$33,'Inputs'!$B$29+'Inputs'!$B$31+'Inputs'!$B$32,'Inputs'!$B$30+'Inputs'!$B$31+'Inputs'!$B$32)/1000+'Inputs'!$B$21+'Inputs'!$B$9+'Inputs'!$B$10)+'Inputs'!$B$7)^2+('Inputs'!$B$6/2)^2)-(((1015-43)*MAX('Inputs'!$B$33,'Inputs'!$B$29+'Inputs'!$B$31+'Inputs'!$B$32,'Inputs'!$B$30+'Inputs'!$B$31+'Inputs'!$B$32)/1000+'Inputs'!$B$21+'Inputs'!$B$9+'Inputs'!$B$10))/SQRT((((1015-43)*MAX('Inputs'!$B$33,'Inputs'!$B$29+'Inputs'!$B$31+'Inputs'!$B$32,'Inputs'!$B$30+'Inputs'!$B$31+'Inputs'!$B$32)/1000+'Inputs'!$B$21+'Inputs'!$B$9+'Inputs'!$B$10))^2+('Inputs'!$B$6/2)^2))))*'Results'!$B$8),"")</x:f>
        <x:v>0.349570149720274</x:v>
      </x:c>
      <x:c r="N1015" t="n">
        <x:f>IF(AND(ISNUMBER('Results'!C7),ISNUMBER('Results'!B7),ISNUMBER('Results'!$B$8),ISNUMBER('Inputs'!$B$6),ISNUMBER('Inputs'!$B$7),ISNUMBER('Inputs'!$B$8),ISNUMBER('Inputs'!$B$9),ISNUMBER('Inputs'!$B$10),ISNUMBER('Inputs'!$B$21),ISNUMBER('Inputs'!$B$24),ISNUMBER('Inputs'!$B$28)),((('Results'!C7*(1-'Inputs'!$B$24)*(0.5*((((1015-43)*MAX('Inputs'!$B$33,'Inputs'!$B$29+'Inputs'!$B$31+'Inputs'!$B$32,'Inputs'!$B$30+'Inputs'!$B$31+'Inputs'!$B$32)/1000+'Inputs'!$B$21)+'Inputs'!$B$9)/SQRT((((1015-43)*MAX('Inputs'!$B$33,'Inputs'!$B$29+'Inputs'!$B$31+'Inputs'!$B$32,'Inputs'!$B$30+'Inputs'!$B$31+'Inputs'!$B$32)/1000+'Inputs'!$B$21)+'Inputs'!$B$9)^2+('Inputs'!$B$8/2)^2)-(((1015-43)*MAX('Inputs'!$B$33,'Inputs'!$B$29+'Inputs'!$B$31+'Inputs'!$B$32,'Inputs'!$B$30+'Inputs'!$B$31+'Inputs'!$B$32)/1000+'Inputs'!$B$21))/SQRT((((1015-43)*MAX('Inputs'!$B$33,'Inputs'!$B$29+'Inputs'!$B$31+'Inputs'!$B$32,'Inputs'!$B$30+'Inputs'!$B$31+'Inputs'!$B$32)/1000+'Inputs'!$B$21))^2+('Inputs'!$B$8/2)^2)))-'Results'!B7*(1+'Inputs'!$B$24)*(0.5*((((1015-43)*MAX('Inputs'!$B$33,'Inputs'!$B$29+'Inputs'!$B$31+'Inputs'!$B$32,'Inputs'!$B$30+'Inputs'!$B$31+'Inputs'!$B$32)/1000+'Inputs'!$B$21+'Inputs'!$B$9+'Inputs'!$B$10)+'Inputs'!$B$7)/SQRT((((1015-43)*MAX('Inputs'!$B$33,'Inputs'!$B$29+'Inputs'!$B$31+'Inputs'!$B$32,'Inputs'!$B$30+'Inputs'!$B$31+'Inputs'!$B$32)/1000+'Inputs'!$B$21+'Inputs'!$B$9+'Inputs'!$B$10)+'Inputs'!$B$7)^2+('Inputs'!$B$6/2)^2)-(((1015-43)*MAX('Inputs'!$B$33,'Inputs'!$B$29+'Inputs'!$B$31+'Inputs'!$B$32,'Inputs'!$B$30+'Inputs'!$B$31+'Inputs'!$B$32)/1000+'Inputs'!$B$21+'Inputs'!$B$9+'Inputs'!$B$10))/SQRT((((1015-43)*MAX('Inputs'!$B$33,'Inputs'!$B$29+'Inputs'!$B$31+'Inputs'!$B$32,'Inputs'!$B$30+'Inputs'!$B$31+'Inputs'!$B$32)/1000+'Inputs'!$B$21+'Inputs'!$B$9+'Inputs'!$B$10))^2+('Inputs'!$B$6/2)^2))))*'Results'!$B$8)-'Inputs'!$B$28*ABS((('Results'!C7*(1-'Inputs'!$B$24)*(0.5*((((1015-43)*MAX('Inputs'!$B$33,'Inputs'!$B$29+'Inputs'!$B$31+'Inputs'!$B$32,'Inputs'!$B$30+'Inputs'!$B$31+'Inputs'!$B$32)/1000+'Inputs'!$B$21)+'Inputs'!$B$9)/SQRT((((1015-43)*MAX('Inputs'!$B$33,'Inputs'!$B$29+'Inputs'!$B$31+'Inputs'!$B$32,'Inputs'!$B$30+'Inputs'!$B$31+'Inputs'!$B$32)/1000+'Inputs'!$B$21)+'Inputs'!$B$9)^2+('Inputs'!$B$8/2)^2)-(((1015-43)*MAX('Inputs'!$B$33,'Inputs'!$B$29+'Inputs'!$B$31+'Inputs'!$B$32,'Inputs'!$B$30+'Inputs'!$B$31+'Inputs'!$B$32)/1000+'Inputs'!$B$21))/SQRT((((1015-43)*MAX('Inputs'!$B$33,'Inputs'!$B$29+'Inputs'!$B$31+'Inputs'!$B$32,'Inputs'!$B$30+'Inputs'!$B$31+'Inputs'!$B$32)/1000+'Inputs'!$B$21))^2+('Inputs'!$B$8/2)^2)))-'Results'!B7*(1+'Inputs'!$B$24)*(0.5*((((1015-43)*MAX('Inputs'!$B$33,'Inputs'!$B$29+'Inputs'!$B$31+'Inputs'!$B$32,'Inputs'!$B$30+'Inputs'!$B$31+'Inputs'!$B$32)/1000+'Inputs'!$B$21+'Inputs'!$B$9+'Inputs'!$B$10)+'Inputs'!$B$7)/SQRT((((1015-43)*MAX('Inputs'!$B$33,'Inputs'!$B$29+'Inputs'!$B$31+'Inputs'!$B$32,'Inputs'!$B$30+'Inputs'!$B$31+'Inputs'!$B$32)/1000+'Inputs'!$B$21+'Inputs'!$B$9+'Inputs'!$B$10)+'Inputs'!$B$7)^2+('Inputs'!$B$6/2)^2)-(((1015-43)*MAX('Inputs'!$B$33,'Inputs'!$B$29+'Inputs'!$B$31+'Inputs'!$B$32,'Inputs'!$B$30+'Inputs'!$B$31+'Inputs'!$B$32)/1000+'Inputs'!$B$21+'Inputs'!$B$9+'Inputs'!$B$10))/SQRT((((1015-43)*MAX('Inputs'!$B$33,'Inputs'!$B$29+'Inputs'!$B$31+'Inputs'!$B$32,'Inputs'!$B$30+'Inputs'!$B$31+'Inputs'!$B$32)/1000+'Inputs'!$B$21+'Inputs'!$B$9+'Inputs'!$B$10))^2+('Inputs'!$B$6/2)^2))))*'Results'!$B$8))),"")</x:f>
        <x:v>0.2883895542441184</x:v>
      </x:c>
      <x:c r="O1015" t="n">
        <x:f>IF(AND(ISNUMBER('Results'!C7),ISNUMBER('Results'!B7),ISNUMBER('Results'!$B$8),ISNUMBER('Inputs'!$B$6),ISNUMBER('Inputs'!$B$7),ISNUMBER('Inputs'!$B$8),ISNUMBER('Inputs'!$B$9),ISNUMBER('Inputs'!$B$10),ISNUMBER('Inputs'!$B$21),ISNUMBER('Inputs'!$B$24),ISNUMBER('Inputs'!$B$28)),((('Results'!C7*(1+'Inputs'!$B$24)*(0.5*((((1015-43)*MAX('Inputs'!$B$33,'Inputs'!$B$29+'Inputs'!$B$31+'Inputs'!$B$32,'Inputs'!$B$30+'Inputs'!$B$31+'Inputs'!$B$32)/1000+'Inputs'!$B$21)+'Inputs'!$B$9)/SQRT((((1015-43)*MAX('Inputs'!$B$33,'Inputs'!$B$29+'Inputs'!$B$31+'Inputs'!$B$32,'Inputs'!$B$30+'Inputs'!$B$31+'Inputs'!$B$32)/1000+'Inputs'!$B$21)+'Inputs'!$B$9)^2+('Inputs'!$B$8/2)^2)-(((1015-43)*MAX('Inputs'!$B$33,'Inputs'!$B$29+'Inputs'!$B$31+'Inputs'!$B$32,'Inputs'!$B$30+'Inputs'!$B$31+'Inputs'!$B$32)/1000+'Inputs'!$B$21))/SQRT((((1015-43)*MAX('Inputs'!$B$33,'Inputs'!$B$29+'Inputs'!$B$31+'Inputs'!$B$32,'Inputs'!$B$30+'Inputs'!$B$31+'Inputs'!$B$32)/1000+'Inputs'!$B$21))^2+('Inputs'!$B$8/2)^2)))-'Results'!B7*(1-'Inputs'!$B$24)*(0.5*((((1015-43)*MAX('Inputs'!$B$33,'Inputs'!$B$29+'Inputs'!$B$31+'Inputs'!$B$32,'Inputs'!$B$30+'Inputs'!$B$31+'Inputs'!$B$32)/1000+'Inputs'!$B$21+'Inputs'!$B$9+'Inputs'!$B$10)+'Inputs'!$B$7)/SQRT((((1015-43)*MAX('Inputs'!$B$33,'Inputs'!$B$29+'Inputs'!$B$31+'Inputs'!$B$32,'Inputs'!$B$30+'Inputs'!$B$31+'Inputs'!$B$32)/1000+'Inputs'!$B$21+'Inputs'!$B$9+'Inputs'!$B$10)+'Inputs'!$B$7)^2+('Inputs'!$B$6/2)^2)-(((1015-43)*MAX('Inputs'!$B$33,'Inputs'!$B$29+'Inputs'!$B$31+'Inputs'!$B$32,'Inputs'!$B$30+'Inputs'!$B$31+'Inputs'!$B$32)/1000+'Inputs'!$B$21+'Inputs'!$B$9+'Inputs'!$B$10))/SQRT((((1015-43)*MAX('Inputs'!$B$33,'Inputs'!$B$29+'Inputs'!$B$31+'Inputs'!$B$32,'Inputs'!$B$30+'Inputs'!$B$31+'Inputs'!$B$32)/1000+'Inputs'!$B$21+'Inputs'!$B$9+'Inputs'!$B$10))^2+('Inputs'!$B$6/2)^2))))*'Results'!$B$8)+'Inputs'!$B$28*ABS((('Results'!C7*(1+'Inputs'!$B$24)*(0.5*((((1015-43)*MAX('Inputs'!$B$33,'Inputs'!$B$29+'Inputs'!$B$31+'Inputs'!$B$32,'Inputs'!$B$30+'Inputs'!$B$31+'Inputs'!$B$32)/1000+'Inputs'!$B$21)+'Inputs'!$B$9)/SQRT((((1015-43)*MAX('Inputs'!$B$33,'Inputs'!$B$29+'Inputs'!$B$31+'Inputs'!$B$32,'Inputs'!$B$30+'Inputs'!$B$31+'Inputs'!$B$32)/1000+'Inputs'!$B$21)+'Inputs'!$B$9)^2+('Inputs'!$B$8/2)^2)-(((1015-43)*MAX('Inputs'!$B$33,'Inputs'!$B$29+'Inputs'!$B$31+'Inputs'!$B$32,'Inputs'!$B$30+'Inputs'!$B$31+'Inputs'!$B$32)/1000+'Inputs'!$B$21))/SQRT((((1015-43)*MAX('Inputs'!$B$33,'Inputs'!$B$29+'Inputs'!$B$31+'Inputs'!$B$32,'Inputs'!$B$30+'Inputs'!$B$31+'Inputs'!$B$32)/1000+'Inputs'!$B$21))^2+('Inputs'!$B$8/2)^2)))-'Results'!B7*(1-'Inputs'!$B$24)*(0.5*((((1015-43)*MAX('Inputs'!$B$33,'Inputs'!$B$29+'Inputs'!$B$31+'Inputs'!$B$32,'Inputs'!$B$30+'Inputs'!$B$31+'Inputs'!$B$32)/1000+'Inputs'!$B$21+'Inputs'!$B$9+'Inputs'!$B$10)+'Inputs'!$B$7)/SQRT((((1015-43)*MAX('Inputs'!$B$33,'Inputs'!$B$29+'Inputs'!$B$31+'Inputs'!$B$32,'Inputs'!$B$30+'Inputs'!$B$31+'Inputs'!$B$32)/1000+'Inputs'!$B$21+'Inputs'!$B$9+'Inputs'!$B$10)+'Inputs'!$B$7)^2+('Inputs'!$B$6/2)^2)-(((1015-43)*MAX('Inputs'!$B$33,'Inputs'!$B$29+'Inputs'!$B$31+'Inputs'!$B$32,'Inputs'!$B$30+'Inputs'!$B$31+'Inputs'!$B$32)/1000+'Inputs'!$B$21+'Inputs'!$B$9+'Inputs'!$B$10))/SQRT((((1015-43)*MAX('Inputs'!$B$33,'Inputs'!$B$29+'Inputs'!$B$31+'Inputs'!$B$32,'Inputs'!$B$30+'Inputs'!$B$31+'Inputs'!$B$32)/1000+'Inputs'!$B$21+'Inputs'!$B$9+'Inputs'!$B$10))^2+('Inputs'!$B$6/2)^2))))*'Results'!$B$8))),"")</x:f>
        <x:v>0.41535096498486535</x:v>
      </x:c>
      <x:c r="P1015" t="n">
        <x:f>IF(AND(MAX(J1015,J1014)&gt;0,J1015&gt;J1014+0.00000001),1,0)</x:f>
        <x:v>0</x:v>
      </x:c>
      <x:c r="Q1015" t="n">
        <x:f>IF(AND(MAX(K1015,K1014)&gt;0,K1015&gt;K1014+0.00000001),1,0)</x:f>
        <x:v>0</x:v>
      </x:c>
      <x:c r="R1015" t="n">
        <x:f>IF(AND(MAX(L1015,L1014)&gt;0,L1015&gt;L1014+0.00000001),1,0)</x:f>
        <x:v>0</x:v>
      </x:c>
      <x:c r="S1015" t="n">
        <x:f>IF(AND(MAX(M1015,M1014)&gt;0,M1015&gt;M1014+0.00000001),1,0)</x:f>
        <x:v>0</x:v>
      </x:c>
      <x:c r="T1015" t="n">
        <x:f>IF(AND(MAX(N1015,N1014)&gt;0,N1015&gt;N1014+0.00000001),1,0)</x:f>
        <x:v>0</x:v>
      </x:c>
      <x:c r="U1015" t="n">
        <x:f>IF(AND(MAX(O1015,O1014)&gt;0,O1015&gt;O1014+0.00000001),1,0)</x:f>
        <x:v>0</x:v>
      </x:c>
    </x:row>
    <x:row r="1016">
      <x:c r="J1016" t="n">
        <x:f>IF(AND(ISNUMBER('Results'!B7),ISNUMBER('Results'!C7),ISNUMBER('Results'!$B$8),ISNUMBER('Inputs'!$B$6),ISNUMBER('Inputs'!$B$7),ISNUMBER('Inputs'!$B$8),ISNUMBER('Inputs'!$B$9),ISNUMBER('Inputs'!$B$10),ISNUMBER('Inputs'!$B$21),ISNUMBER('Inputs'!$B$24),ISNUMBER('Inputs'!$B$28)),(('Results'!B7*(0.5*((((1016-43)*MAX('Inputs'!$B$33,'Inputs'!$B$29+'Inputs'!$B$31+'Inputs'!$B$32,'Inputs'!$B$30+'Inputs'!$B$31+'Inputs'!$B$32)/1000+'Inputs'!$B$21)+'Inputs'!$B$7)/SQRT((((1016-43)*MAX('Inputs'!$B$33,'Inputs'!$B$29+'Inputs'!$B$31+'Inputs'!$B$32,'Inputs'!$B$30+'Inputs'!$B$31+'Inputs'!$B$32)/1000+'Inputs'!$B$21)+'Inputs'!$B$7)^2+('Inputs'!$B$6/2)^2)-(((1016-43)*MAX('Inputs'!$B$33,'Inputs'!$B$29+'Inputs'!$B$31+'Inputs'!$B$32,'Inputs'!$B$30+'Inputs'!$B$31+'Inputs'!$B$32)/1000+'Inputs'!$B$21))/SQRT((((1016-43)*MAX('Inputs'!$B$33,'Inputs'!$B$29+'Inputs'!$B$31+'Inputs'!$B$32,'Inputs'!$B$30+'Inputs'!$B$31+'Inputs'!$B$32)/1000+'Inputs'!$B$21))^2+('Inputs'!$B$6/2)^2)))-'Results'!C7*(0.5*((((1016-43)*MAX('Inputs'!$B$33,'Inputs'!$B$29+'Inputs'!$B$31+'Inputs'!$B$32,'Inputs'!$B$30+'Inputs'!$B$31+'Inputs'!$B$32)/1000+'Inputs'!$B$21+'Inputs'!$B$7+'Inputs'!$B$10)+'Inputs'!$B$9)/SQRT((((1016-43)*MAX('Inputs'!$B$33,'Inputs'!$B$29+'Inputs'!$B$31+'Inputs'!$B$32,'Inputs'!$B$30+'Inputs'!$B$31+'Inputs'!$B$32)/1000+'Inputs'!$B$21+'Inputs'!$B$7+'Inputs'!$B$10)+'Inputs'!$B$9)^2+('Inputs'!$B$8/2)^2)-(((1016-43)*MAX('Inputs'!$B$33,'Inputs'!$B$29+'Inputs'!$B$31+'Inputs'!$B$32,'Inputs'!$B$30+'Inputs'!$B$31+'Inputs'!$B$32)/1000+'Inputs'!$B$21+'Inputs'!$B$7+'Inputs'!$B$10))/SQRT((((1016-43)*MAX('Inputs'!$B$33,'Inputs'!$B$29+'Inputs'!$B$31+'Inputs'!$B$32,'Inputs'!$B$30+'Inputs'!$B$31+'Inputs'!$B$32)/1000+'Inputs'!$B$21+'Inputs'!$B$7+'Inputs'!$B$10))^2+('Inputs'!$B$8/2)^2))))*'Results'!$B$8),"")</x:f>
        <x:v>0.39463057687812647</x:v>
      </x:c>
      <x:c r="K1016" t="n">
        <x:f>IF(AND(ISNUMBER('Results'!B7),ISNUMBER('Results'!C7),ISNUMBER('Results'!$B$8),ISNUMBER('Inputs'!$B$6),ISNUMBER('Inputs'!$B$7),ISNUMBER('Inputs'!$B$8),ISNUMBER('Inputs'!$B$9),ISNUMBER('Inputs'!$B$10),ISNUMBER('Inputs'!$B$21),ISNUMBER('Inputs'!$B$24),ISNUMBER('Inputs'!$B$28)),((('Results'!B7*(1-'Inputs'!$B$24)*(0.5*((((1016-43)*MAX('Inputs'!$B$33,'Inputs'!$B$29+'Inputs'!$B$31+'Inputs'!$B$32,'Inputs'!$B$30+'Inputs'!$B$31+'Inputs'!$B$32)/1000+'Inputs'!$B$21)+'Inputs'!$B$7)/SQRT((((1016-43)*MAX('Inputs'!$B$33,'Inputs'!$B$29+'Inputs'!$B$31+'Inputs'!$B$32,'Inputs'!$B$30+'Inputs'!$B$31+'Inputs'!$B$32)/1000+'Inputs'!$B$21)+'Inputs'!$B$7)^2+('Inputs'!$B$6/2)^2)-(((1016-43)*MAX('Inputs'!$B$33,'Inputs'!$B$29+'Inputs'!$B$31+'Inputs'!$B$32,'Inputs'!$B$30+'Inputs'!$B$31+'Inputs'!$B$32)/1000+'Inputs'!$B$21))/SQRT((((1016-43)*MAX('Inputs'!$B$33,'Inputs'!$B$29+'Inputs'!$B$31+'Inputs'!$B$32,'Inputs'!$B$30+'Inputs'!$B$31+'Inputs'!$B$32)/1000+'Inputs'!$B$21))^2+('Inputs'!$B$6/2)^2)))-'Results'!C7*(1+'Inputs'!$B$24)*(0.5*((((1016-43)*MAX('Inputs'!$B$33,'Inputs'!$B$29+'Inputs'!$B$31+'Inputs'!$B$32,'Inputs'!$B$30+'Inputs'!$B$31+'Inputs'!$B$32)/1000+'Inputs'!$B$21+'Inputs'!$B$7+'Inputs'!$B$10)+'Inputs'!$B$9)/SQRT((((1016-43)*MAX('Inputs'!$B$33,'Inputs'!$B$29+'Inputs'!$B$31+'Inputs'!$B$32,'Inputs'!$B$30+'Inputs'!$B$31+'Inputs'!$B$32)/1000+'Inputs'!$B$21+'Inputs'!$B$7+'Inputs'!$B$10)+'Inputs'!$B$9)^2+('Inputs'!$B$8/2)^2)-(((1016-43)*MAX('Inputs'!$B$33,'Inputs'!$B$29+'Inputs'!$B$31+'Inputs'!$B$32,'Inputs'!$B$30+'Inputs'!$B$31+'Inputs'!$B$32)/1000+'Inputs'!$B$21+'Inputs'!$B$7+'Inputs'!$B$10))/SQRT((((1016-43)*MAX('Inputs'!$B$33,'Inputs'!$B$29+'Inputs'!$B$31+'Inputs'!$B$32,'Inputs'!$B$30+'Inputs'!$B$31+'Inputs'!$B$32)/1000+'Inputs'!$B$21+'Inputs'!$B$7+'Inputs'!$B$10))^2+('Inputs'!$B$8/2)^2))))*'Results'!$B$8)-'Inputs'!$B$28*ABS((('Results'!B7*(1-'Inputs'!$B$24)*(0.5*((((1016-43)*MAX('Inputs'!$B$33,'Inputs'!$B$29+'Inputs'!$B$31+'Inputs'!$B$32,'Inputs'!$B$30+'Inputs'!$B$31+'Inputs'!$B$32)/1000+'Inputs'!$B$21)+'Inputs'!$B$7)/SQRT((((1016-43)*MAX('Inputs'!$B$33,'Inputs'!$B$29+'Inputs'!$B$31+'Inputs'!$B$32,'Inputs'!$B$30+'Inputs'!$B$31+'Inputs'!$B$32)/1000+'Inputs'!$B$21)+'Inputs'!$B$7)^2+('Inputs'!$B$6/2)^2)-(((1016-43)*MAX('Inputs'!$B$33,'Inputs'!$B$29+'Inputs'!$B$31+'Inputs'!$B$32,'Inputs'!$B$30+'Inputs'!$B$31+'Inputs'!$B$32)/1000+'Inputs'!$B$21))/SQRT((((1016-43)*MAX('Inputs'!$B$33,'Inputs'!$B$29+'Inputs'!$B$31+'Inputs'!$B$32,'Inputs'!$B$30+'Inputs'!$B$31+'Inputs'!$B$32)/1000+'Inputs'!$B$21))^2+('Inputs'!$B$6/2)^2)))-'Results'!C7*(1+'Inputs'!$B$24)*(0.5*((((1016-43)*MAX('Inputs'!$B$33,'Inputs'!$B$29+'Inputs'!$B$31+'Inputs'!$B$32,'Inputs'!$B$30+'Inputs'!$B$31+'Inputs'!$B$32)/1000+'Inputs'!$B$21+'Inputs'!$B$7+'Inputs'!$B$10)+'Inputs'!$B$9)/SQRT((((1016-43)*MAX('Inputs'!$B$33,'Inputs'!$B$29+'Inputs'!$B$31+'Inputs'!$B$32,'Inputs'!$B$30+'Inputs'!$B$31+'Inputs'!$B$32)/1000+'Inputs'!$B$21+'Inputs'!$B$7+'Inputs'!$B$10)+'Inputs'!$B$9)^2+('Inputs'!$B$8/2)^2)-(((1016-43)*MAX('Inputs'!$B$33,'Inputs'!$B$29+'Inputs'!$B$31+'Inputs'!$B$32,'Inputs'!$B$30+'Inputs'!$B$31+'Inputs'!$B$32)/1000+'Inputs'!$B$21+'Inputs'!$B$7+'Inputs'!$B$10))/SQRT((((1016-43)*MAX('Inputs'!$B$33,'Inputs'!$B$29+'Inputs'!$B$31+'Inputs'!$B$32,'Inputs'!$B$30+'Inputs'!$B$31+'Inputs'!$B$32)/1000+'Inputs'!$B$21+'Inputs'!$B$7+'Inputs'!$B$10))^2+('Inputs'!$B$8/2)^2))))*'Results'!$B$8))),"")</x:f>
        <x:v>0.33117984568763353</x:v>
      </x:c>
      <x:c r="L1016" t="n">
        <x:f>IF(AND(ISNUMBER('Results'!B7),ISNUMBER('Results'!C7),ISNUMBER('Results'!$B$8),ISNUMBER('Inputs'!$B$6),ISNUMBER('Inputs'!$B$7),ISNUMBER('Inputs'!$B$8),ISNUMBER('Inputs'!$B$9),ISNUMBER('Inputs'!$B$10),ISNUMBER('Inputs'!$B$21),ISNUMBER('Inputs'!$B$24),ISNUMBER('Inputs'!$B$28)),((('Results'!B7*(1+'Inputs'!$B$24)*(0.5*((((1016-43)*MAX('Inputs'!$B$33,'Inputs'!$B$29+'Inputs'!$B$31+'Inputs'!$B$32,'Inputs'!$B$30+'Inputs'!$B$31+'Inputs'!$B$32)/1000+'Inputs'!$B$21)+'Inputs'!$B$7)/SQRT((((1016-43)*MAX('Inputs'!$B$33,'Inputs'!$B$29+'Inputs'!$B$31+'Inputs'!$B$32,'Inputs'!$B$30+'Inputs'!$B$31+'Inputs'!$B$32)/1000+'Inputs'!$B$21)+'Inputs'!$B$7)^2+('Inputs'!$B$6/2)^2)-(((1016-43)*MAX('Inputs'!$B$33,'Inputs'!$B$29+'Inputs'!$B$31+'Inputs'!$B$32,'Inputs'!$B$30+'Inputs'!$B$31+'Inputs'!$B$32)/1000+'Inputs'!$B$21))/SQRT((((1016-43)*MAX('Inputs'!$B$33,'Inputs'!$B$29+'Inputs'!$B$31+'Inputs'!$B$32,'Inputs'!$B$30+'Inputs'!$B$31+'Inputs'!$B$32)/1000+'Inputs'!$B$21))^2+('Inputs'!$B$6/2)^2)))-'Results'!C7*(1-'Inputs'!$B$24)*(0.5*((((1016-43)*MAX('Inputs'!$B$33,'Inputs'!$B$29+'Inputs'!$B$31+'Inputs'!$B$32,'Inputs'!$B$30+'Inputs'!$B$31+'Inputs'!$B$32)/1000+'Inputs'!$B$21+'Inputs'!$B$7+'Inputs'!$B$10)+'Inputs'!$B$9)/SQRT((((1016-43)*MAX('Inputs'!$B$33,'Inputs'!$B$29+'Inputs'!$B$31+'Inputs'!$B$32,'Inputs'!$B$30+'Inputs'!$B$31+'Inputs'!$B$32)/1000+'Inputs'!$B$21+'Inputs'!$B$7+'Inputs'!$B$10)+'Inputs'!$B$9)^2+('Inputs'!$B$8/2)^2)-(((1016-43)*MAX('Inputs'!$B$33,'Inputs'!$B$29+'Inputs'!$B$31+'Inputs'!$B$32,'Inputs'!$B$30+'Inputs'!$B$31+'Inputs'!$B$32)/1000+'Inputs'!$B$21+'Inputs'!$B$7+'Inputs'!$B$10))/SQRT((((1016-43)*MAX('Inputs'!$B$33,'Inputs'!$B$29+'Inputs'!$B$31+'Inputs'!$B$32,'Inputs'!$B$30+'Inputs'!$B$31+'Inputs'!$B$32)/1000+'Inputs'!$B$21+'Inputs'!$B$7+'Inputs'!$B$10))^2+('Inputs'!$B$8/2)^2))))*'Results'!$B$8)+'Inputs'!$B$28*ABS((('Results'!B7*(1+'Inputs'!$B$24)*(0.5*((((1016-43)*MAX('Inputs'!$B$33,'Inputs'!$B$29+'Inputs'!$B$31+'Inputs'!$B$32,'Inputs'!$B$30+'Inputs'!$B$31+'Inputs'!$B$32)/1000+'Inputs'!$B$21)+'Inputs'!$B$7)/SQRT((((1016-43)*MAX('Inputs'!$B$33,'Inputs'!$B$29+'Inputs'!$B$31+'Inputs'!$B$32,'Inputs'!$B$30+'Inputs'!$B$31+'Inputs'!$B$32)/1000+'Inputs'!$B$21)+'Inputs'!$B$7)^2+('Inputs'!$B$6/2)^2)-(((1016-43)*MAX('Inputs'!$B$33,'Inputs'!$B$29+'Inputs'!$B$31+'Inputs'!$B$32,'Inputs'!$B$30+'Inputs'!$B$31+'Inputs'!$B$32)/1000+'Inputs'!$B$21))/SQRT((((1016-43)*MAX('Inputs'!$B$33,'Inputs'!$B$29+'Inputs'!$B$31+'Inputs'!$B$32,'Inputs'!$B$30+'Inputs'!$B$31+'Inputs'!$B$32)/1000+'Inputs'!$B$21))^2+('Inputs'!$B$6/2)^2)))-'Results'!C7*(1-'Inputs'!$B$24)*(0.5*((((1016-43)*MAX('Inputs'!$B$33,'Inputs'!$B$29+'Inputs'!$B$31+'Inputs'!$B$32,'Inputs'!$B$30+'Inputs'!$B$31+'Inputs'!$B$32)/1000+'Inputs'!$B$21+'Inputs'!$B$7+'Inputs'!$B$10)+'Inputs'!$B$9)/SQRT((((1016-43)*MAX('Inputs'!$B$33,'Inputs'!$B$29+'Inputs'!$B$31+'Inputs'!$B$32,'Inputs'!$B$30+'Inputs'!$B$31+'Inputs'!$B$32)/1000+'Inputs'!$B$21+'Inputs'!$B$7+'Inputs'!$B$10)+'Inputs'!$B$9)^2+('Inputs'!$B$8/2)^2)-(((1016-43)*MAX('Inputs'!$B$33,'Inputs'!$B$29+'Inputs'!$B$31+'Inputs'!$B$32,'Inputs'!$B$30+'Inputs'!$B$31+'Inputs'!$B$32)/1000+'Inputs'!$B$21+'Inputs'!$B$7+'Inputs'!$B$10))/SQRT((((1016-43)*MAX('Inputs'!$B$33,'Inputs'!$B$29+'Inputs'!$B$31+'Inputs'!$B$32,'Inputs'!$B$30+'Inputs'!$B$31+'Inputs'!$B$32)/1000+'Inputs'!$B$21+'Inputs'!$B$7+'Inputs'!$B$10))^2+('Inputs'!$B$8/2)^2))))*'Results'!$B$8))),"")</x:f>
        <x:v>0.4626833293682601</x:v>
      </x:c>
      <x:c r="M1016" t="n">
        <x:f>IF(AND(ISNUMBER('Results'!C7),ISNUMBER('Results'!B7),ISNUMBER('Results'!$B$8),ISNUMBER('Inputs'!$B$6),ISNUMBER('Inputs'!$B$7),ISNUMBER('Inputs'!$B$8),ISNUMBER('Inputs'!$B$9),ISNUMBER('Inputs'!$B$10),ISNUMBER('Inputs'!$B$21),ISNUMBER('Inputs'!$B$24),ISNUMBER('Inputs'!$B$28)),(('Results'!C7*(0.5*((((1016-43)*MAX('Inputs'!$B$33,'Inputs'!$B$29+'Inputs'!$B$31+'Inputs'!$B$32,'Inputs'!$B$30+'Inputs'!$B$31+'Inputs'!$B$32)/1000+'Inputs'!$B$21)+'Inputs'!$B$9)/SQRT((((1016-43)*MAX('Inputs'!$B$33,'Inputs'!$B$29+'Inputs'!$B$31+'Inputs'!$B$32,'Inputs'!$B$30+'Inputs'!$B$31+'Inputs'!$B$32)/1000+'Inputs'!$B$21)+'Inputs'!$B$9)^2+('Inputs'!$B$8/2)^2)-(((1016-43)*MAX('Inputs'!$B$33,'Inputs'!$B$29+'Inputs'!$B$31+'Inputs'!$B$32,'Inputs'!$B$30+'Inputs'!$B$31+'Inputs'!$B$32)/1000+'Inputs'!$B$21))/SQRT((((1016-43)*MAX('Inputs'!$B$33,'Inputs'!$B$29+'Inputs'!$B$31+'Inputs'!$B$32,'Inputs'!$B$30+'Inputs'!$B$31+'Inputs'!$B$32)/1000+'Inputs'!$B$21))^2+('Inputs'!$B$8/2)^2)))-'Results'!B7*(0.5*((((1016-43)*MAX('Inputs'!$B$33,'Inputs'!$B$29+'Inputs'!$B$31+'Inputs'!$B$32,'Inputs'!$B$30+'Inputs'!$B$31+'Inputs'!$B$32)/1000+'Inputs'!$B$21+'Inputs'!$B$9+'Inputs'!$B$10)+'Inputs'!$B$7)/SQRT((((1016-43)*MAX('Inputs'!$B$33,'Inputs'!$B$29+'Inputs'!$B$31+'Inputs'!$B$32,'Inputs'!$B$30+'Inputs'!$B$31+'Inputs'!$B$32)/1000+'Inputs'!$B$21+'Inputs'!$B$9+'Inputs'!$B$10)+'Inputs'!$B$7)^2+('Inputs'!$B$6/2)^2)-(((1016-43)*MAX('Inputs'!$B$33,'Inputs'!$B$29+'Inputs'!$B$31+'Inputs'!$B$32,'Inputs'!$B$30+'Inputs'!$B$31+'Inputs'!$B$32)/1000+'Inputs'!$B$21+'Inputs'!$B$9+'Inputs'!$B$10))/SQRT((((1016-43)*MAX('Inputs'!$B$33,'Inputs'!$B$29+'Inputs'!$B$31+'Inputs'!$B$32,'Inputs'!$B$30+'Inputs'!$B$31+'Inputs'!$B$32)/1000+'Inputs'!$B$21+'Inputs'!$B$9+'Inputs'!$B$10))^2+('Inputs'!$B$6/2)^2))))*'Results'!$B$8),"")</x:f>
        <x:v>0.3482213067239763</x:v>
      </x:c>
      <x:c r="N1016" t="n">
        <x:f>IF(AND(ISNUMBER('Results'!C7),ISNUMBER('Results'!B7),ISNUMBER('Results'!$B$8),ISNUMBER('Inputs'!$B$6),ISNUMBER('Inputs'!$B$7),ISNUMBER('Inputs'!$B$8),ISNUMBER('Inputs'!$B$9),ISNUMBER('Inputs'!$B$10),ISNUMBER('Inputs'!$B$21),ISNUMBER('Inputs'!$B$24),ISNUMBER('Inputs'!$B$28)),((('Results'!C7*(1-'Inputs'!$B$24)*(0.5*((((1016-43)*MAX('Inputs'!$B$33,'Inputs'!$B$29+'Inputs'!$B$31+'Inputs'!$B$32,'Inputs'!$B$30+'Inputs'!$B$31+'Inputs'!$B$32)/1000+'Inputs'!$B$21)+'Inputs'!$B$9)/SQRT((((1016-43)*MAX('Inputs'!$B$33,'Inputs'!$B$29+'Inputs'!$B$31+'Inputs'!$B$32,'Inputs'!$B$30+'Inputs'!$B$31+'Inputs'!$B$32)/1000+'Inputs'!$B$21)+'Inputs'!$B$9)^2+('Inputs'!$B$8/2)^2)-(((1016-43)*MAX('Inputs'!$B$33,'Inputs'!$B$29+'Inputs'!$B$31+'Inputs'!$B$32,'Inputs'!$B$30+'Inputs'!$B$31+'Inputs'!$B$32)/1000+'Inputs'!$B$21))/SQRT((((1016-43)*MAX('Inputs'!$B$33,'Inputs'!$B$29+'Inputs'!$B$31+'Inputs'!$B$32,'Inputs'!$B$30+'Inputs'!$B$31+'Inputs'!$B$32)/1000+'Inputs'!$B$21))^2+('Inputs'!$B$8/2)^2)))-'Results'!B7*(1+'Inputs'!$B$24)*(0.5*((((1016-43)*MAX('Inputs'!$B$33,'Inputs'!$B$29+'Inputs'!$B$31+'Inputs'!$B$32,'Inputs'!$B$30+'Inputs'!$B$31+'Inputs'!$B$32)/1000+'Inputs'!$B$21+'Inputs'!$B$9+'Inputs'!$B$10)+'Inputs'!$B$7)/SQRT((((1016-43)*MAX('Inputs'!$B$33,'Inputs'!$B$29+'Inputs'!$B$31+'Inputs'!$B$32,'Inputs'!$B$30+'Inputs'!$B$31+'Inputs'!$B$32)/1000+'Inputs'!$B$21+'Inputs'!$B$9+'Inputs'!$B$10)+'Inputs'!$B$7)^2+('Inputs'!$B$6/2)^2)-(((1016-43)*MAX('Inputs'!$B$33,'Inputs'!$B$29+'Inputs'!$B$31+'Inputs'!$B$32,'Inputs'!$B$30+'Inputs'!$B$31+'Inputs'!$B$32)/1000+'Inputs'!$B$21+'Inputs'!$B$9+'Inputs'!$B$10))/SQRT((((1016-43)*MAX('Inputs'!$B$33,'Inputs'!$B$29+'Inputs'!$B$31+'Inputs'!$B$32,'Inputs'!$B$30+'Inputs'!$B$31+'Inputs'!$B$32)/1000+'Inputs'!$B$21+'Inputs'!$B$9+'Inputs'!$B$10))^2+('Inputs'!$B$6/2)^2))))*'Results'!$B$8)-'Inputs'!$B$28*ABS((('Results'!C7*(1-'Inputs'!$B$24)*(0.5*((((1016-43)*MAX('Inputs'!$B$33,'Inputs'!$B$29+'Inputs'!$B$31+'Inputs'!$B$32,'Inputs'!$B$30+'Inputs'!$B$31+'Inputs'!$B$32)/1000+'Inputs'!$B$21)+'Inputs'!$B$9)/SQRT((((1016-43)*MAX('Inputs'!$B$33,'Inputs'!$B$29+'Inputs'!$B$31+'Inputs'!$B$32,'Inputs'!$B$30+'Inputs'!$B$31+'Inputs'!$B$32)/1000+'Inputs'!$B$21)+'Inputs'!$B$9)^2+('Inputs'!$B$8/2)^2)-(((1016-43)*MAX('Inputs'!$B$33,'Inputs'!$B$29+'Inputs'!$B$31+'Inputs'!$B$32,'Inputs'!$B$30+'Inputs'!$B$31+'Inputs'!$B$32)/1000+'Inputs'!$B$21))/SQRT((((1016-43)*MAX('Inputs'!$B$33,'Inputs'!$B$29+'Inputs'!$B$31+'Inputs'!$B$32,'Inputs'!$B$30+'Inputs'!$B$31+'Inputs'!$B$32)/1000+'Inputs'!$B$21))^2+('Inputs'!$B$8/2)^2)))-'Results'!B7*(1+'Inputs'!$B$24)*(0.5*((((1016-43)*MAX('Inputs'!$B$33,'Inputs'!$B$29+'Inputs'!$B$31+'Inputs'!$B$32,'Inputs'!$B$30+'Inputs'!$B$31+'Inputs'!$B$32)/1000+'Inputs'!$B$21+'Inputs'!$B$9+'Inputs'!$B$10)+'Inputs'!$B$7)/SQRT((((1016-43)*MAX('Inputs'!$B$33,'Inputs'!$B$29+'Inputs'!$B$31+'Inputs'!$B$32,'Inputs'!$B$30+'Inputs'!$B$31+'Inputs'!$B$32)/1000+'Inputs'!$B$21+'Inputs'!$B$9+'Inputs'!$B$10)+'Inputs'!$B$7)^2+('Inputs'!$B$6/2)^2)-(((1016-43)*MAX('Inputs'!$B$33,'Inputs'!$B$29+'Inputs'!$B$31+'Inputs'!$B$32,'Inputs'!$B$30+'Inputs'!$B$31+'Inputs'!$B$32)/1000+'Inputs'!$B$21+'Inputs'!$B$9+'Inputs'!$B$10))/SQRT((((1016-43)*MAX('Inputs'!$B$33,'Inputs'!$B$29+'Inputs'!$B$31+'Inputs'!$B$32,'Inputs'!$B$30+'Inputs'!$B$31+'Inputs'!$B$32)/1000+'Inputs'!$B$21+'Inputs'!$B$9+'Inputs'!$B$10))^2+('Inputs'!$B$6/2)^2))))*'Results'!$B$8))),"")</x:f>
        <x:v>0.28723360657440755</x:v>
      </x:c>
      <x:c r="O1016" t="n">
        <x:f>IF(AND(ISNUMBER('Results'!C7),ISNUMBER('Results'!B7),ISNUMBER('Results'!$B$8),ISNUMBER('Inputs'!$B$6),ISNUMBER('Inputs'!$B$7),ISNUMBER('Inputs'!$B$8),ISNUMBER('Inputs'!$B$9),ISNUMBER('Inputs'!$B$10),ISNUMBER('Inputs'!$B$21),ISNUMBER('Inputs'!$B$24),ISNUMBER('Inputs'!$B$28)),((('Results'!C7*(1+'Inputs'!$B$24)*(0.5*((((1016-43)*MAX('Inputs'!$B$33,'Inputs'!$B$29+'Inputs'!$B$31+'Inputs'!$B$32,'Inputs'!$B$30+'Inputs'!$B$31+'Inputs'!$B$32)/1000+'Inputs'!$B$21)+'Inputs'!$B$9)/SQRT((((1016-43)*MAX('Inputs'!$B$33,'Inputs'!$B$29+'Inputs'!$B$31+'Inputs'!$B$32,'Inputs'!$B$30+'Inputs'!$B$31+'Inputs'!$B$32)/1000+'Inputs'!$B$21)+'Inputs'!$B$9)^2+('Inputs'!$B$8/2)^2)-(((1016-43)*MAX('Inputs'!$B$33,'Inputs'!$B$29+'Inputs'!$B$31+'Inputs'!$B$32,'Inputs'!$B$30+'Inputs'!$B$31+'Inputs'!$B$32)/1000+'Inputs'!$B$21))/SQRT((((1016-43)*MAX('Inputs'!$B$33,'Inputs'!$B$29+'Inputs'!$B$31+'Inputs'!$B$32,'Inputs'!$B$30+'Inputs'!$B$31+'Inputs'!$B$32)/1000+'Inputs'!$B$21))^2+('Inputs'!$B$8/2)^2)))-'Results'!B7*(1-'Inputs'!$B$24)*(0.5*((((1016-43)*MAX('Inputs'!$B$33,'Inputs'!$B$29+'Inputs'!$B$31+'Inputs'!$B$32,'Inputs'!$B$30+'Inputs'!$B$31+'Inputs'!$B$32)/1000+'Inputs'!$B$21+'Inputs'!$B$9+'Inputs'!$B$10)+'Inputs'!$B$7)/SQRT((((1016-43)*MAX('Inputs'!$B$33,'Inputs'!$B$29+'Inputs'!$B$31+'Inputs'!$B$32,'Inputs'!$B$30+'Inputs'!$B$31+'Inputs'!$B$32)/1000+'Inputs'!$B$21+'Inputs'!$B$9+'Inputs'!$B$10)+'Inputs'!$B$7)^2+('Inputs'!$B$6/2)^2)-(((1016-43)*MAX('Inputs'!$B$33,'Inputs'!$B$29+'Inputs'!$B$31+'Inputs'!$B$32,'Inputs'!$B$30+'Inputs'!$B$31+'Inputs'!$B$32)/1000+'Inputs'!$B$21+'Inputs'!$B$9+'Inputs'!$B$10))/SQRT((((1016-43)*MAX('Inputs'!$B$33,'Inputs'!$B$29+'Inputs'!$B$31+'Inputs'!$B$32,'Inputs'!$B$30+'Inputs'!$B$31+'Inputs'!$B$32)/1000+'Inputs'!$B$21+'Inputs'!$B$9+'Inputs'!$B$10))^2+('Inputs'!$B$6/2)^2))))*'Results'!$B$8)+'Inputs'!$B$28*ABS((('Results'!C7*(1+'Inputs'!$B$24)*(0.5*((((1016-43)*MAX('Inputs'!$B$33,'Inputs'!$B$29+'Inputs'!$B$31+'Inputs'!$B$32,'Inputs'!$B$30+'Inputs'!$B$31+'Inputs'!$B$32)/1000+'Inputs'!$B$21)+'Inputs'!$B$9)/SQRT((((1016-43)*MAX('Inputs'!$B$33,'Inputs'!$B$29+'Inputs'!$B$31+'Inputs'!$B$32,'Inputs'!$B$30+'Inputs'!$B$31+'Inputs'!$B$32)/1000+'Inputs'!$B$21)+'Inputs'!$B$9)^2+('Inputs'!$B$8/2)^2)-(((1016-43)*MAX('Inputs'!$B$33,'Inputs'!$B$29+'Inputs'!$B$31+'Inputs'!$B$32,'Inputs'!$B$30+'Inputs'!$B$31+'Inputs'!$B$32)/1000+'Inputs'!$B$21))/SQRT((((1016-43)*MAX('Inputs'!$B$33,'Inputs'!$B$29+'Inputs'!$B$31+'Inputs'!$B$32,'Inputs'!$B$30+'Inputs'!$B$31+'Inputs'!$B$32)/1000+'Inputs'!$B$21))^2+('Inputs'!$B$8/2)^2)))-'Results'!B7*(1-'Inputs'!$B$24)*(0.5*((((1016-43)*MAX('Inputs'!$B$33,'Inputs'!$B$29+'Inputs'!$B$31+'Inputs'!$B$32,'Inputs'!$B$30+'Inputs'!$B$31+'Inputs'!$B$32)/1000+'Inputs'!$B$21+'Inputs'!$B$9+'Inputs'!$B$10)+'Inputs'!$B$7)/SQRT((((1016-43)*MAX('Inputs'!$B$33,'Inputs'!$B$29+'Inputs'!$B$31+'Inputs'!$B$32,'Inputs'!$B$30+'Inputs'!$B$31+'Inputs'!$B$32)/1000+'Inputs'!$B$21+'Inputs'!$B$9+'Inputs'!$B$10)+'Inputs'!$B$7)^2+('Inputs'!$B$6/2)^2)-(((1016-43)*MAX('Inputs'!$B$33,'Inputs'!$B$29+'Inputs'!$B$31+'Inputs'!$B$32,'Inputs'!$B$30+'Inputs'!$B$31+'Inputs'!$B$32)/1000+'Inputs'!$B$21+'Inputs'!$B$9+'Inputs'!$B$10))/SQRT((((1016-43)*MAX('Inputs'!$B$33,'Inputs'!$B$29+'Inputs'!$B$31+'Inputs'!$B$32,'Inputs'!$B$30+'Inputs'!$B$31+'Inputs'!$B$32)/1000+'Inputs'!$B$21+'Inputs'!$B$9+'Inputs'!$B$10))^2+('Inputs'!$B$6/2)^2))))*'Results'!$B$8))),"")</x:f>
        <x:v>0.41379602106442637</x:v>
      </x:c>
      <x:c r="P1016" t="n">
        <x:f>IF(AND(MAX(J1016,J1015)&gt;0,J1016&gt;J1015+0.00000001),1,0)</x:f>
        <x:v>0</x:v>
      </x:c>
      <x:c r="Q1016" t="n">
        <x:f>IF(AND(MAX(K1016,K1015)&gt;0,K1016&gt;K1015+0.00000001),1,0)</x:f>
        <x:v>0</x:v>
      </x:c>
      <x:c r="R1016" t="n">
        <x:f>IF(AND(MAX(L1016,L1015)&gt;0,L1016&gt;L1015+0.00000001),1,0)</x:f>
        <x:v>0</x:v>
      </x:c>
      <x:c r="S1016" t="n">
        <x:f>IF(AND(MAX(M1016,M1015)&gt;0,M1016&gt;M1015+0.00000001),1,0)</x:f>
        <x:v>0</x:v>
      </x:c>
      <x:c r="T1016" t="n">
        <x:f>IF(AND(MAX(N1016,N1015)&gt;0,N1016&gt;N1015+0.00000001),1,0)</x:f>
        <x:v>0</x:v>
      </x:c>
      <x:c r="U1016" t="n">
        <x:f>IF(AND(MAX(O1016,O1015)&gt;0,O1016&gt;O1015+0.00000001),1,0)</x:f>
        <x:v>0</x:v>
      </x:c>
    </x:row>
    <x:row r="1017">
      <x:c r="J1017" t="n">
        <x:f>IF(AND(ISNUMBER('Results'!B7),ISNUMBER('Results'!C7),ISNUMBER('Results'!$B$8),ISNUMBER('Inputs'!$B$6),ISNUMBER('Inputs'!$B$7),ISNUMBER('Inputs'!$B$8),ISNUMBER('Inputs'!$B$9),ISNUMBER('Inputs'!$B$10),ISNUMBER('Inputs'!$B$21),ISNUMBER('Inputs'!$B$24),ISNUMBER('Inputs'!$B$28)),(('Results'!B7*(0.5*((((1017-43)*MAX('Inputs'!$B$33,'Inputs'!$B$29+'Inputs'!$B$31+'Inputs'!$B$32,'Inputs'!$B$30+'Inputs'!$B$31+'Inputs'!$B$32)/1000+'Inputs'!$B$21)+'Inputs'!$B$7)/SQRT((((1017-43)*MAX('Inputs'!$B$33,'Inputs'!$B$29+'Inputs'!$B$31+'Inputs'!$B$32,'Inputs'!$B$30+'Inputs'!$B$31+'Inputs'!$B$32)/1000+'Inputs'!$B$21)+'Inputs'!$B$7)^2+('Inputs'!$B$6/2)^2)-(((1017-43)*MAX('Inputs'!$B$33,'Inputs'!$B$29+'Inputs'!$B$31+'Inputs'!$B$32,'Inputs'!$B$30+'Inputs'!$B$31+'Inputs'!$B$32)/1000+'Inputs'!$B$21))/SQRT((((1017-43)*MAX('Inputs'!$B$33,'Inputs'!$B$29+'Inputs'!$B$31+'Inputs'!$B$32,'Inputs'!$B$30+'Inputs'!$B$31+'Inputs'!$B$32)/1000+'Inputs'!$B$21))^2+('Inputs'!$B$6/2)^2)))-'Results'!C7*(0.5*((((1017-43)*MAX('Inputs'!$B$33,'Inputs'!$B$29+'Inputs'!$B$31+'Inputs'!$B$32,'Inputs'!$B$30+'Inputs'!$B$31+'Inputs'!$B$32)/1000+'Inputs'!$B$21+'Inputs'!$B$7+'Inputs'!$B$10)+'Inputs'!$B$9)/SQRT((((1017-43)*MAX('Inputs'!$B$33,'Inputs'!$B$29+'Inputs'!$B$31+'Inputs'!$B$32,'Inputs'!$B$30+'Inputs'!$B$31+'Inputs'!$B$32)/1000+'Inputs'!$B$21+'Inputs'!$B$7+'Inputs'!$B$10)+'Inputs'!$B$9)^2+('Inputs'!$B$8/2)^2)-(((1017-43)*MAX('Inputs'!$B$33,'Inputs'!$B$29+'Inputs'!$B$31+'Inputs'!$B$32,'Inputs'!$B$30+'Inputs'!$B$31+'Inputs'!$B$32)/1000+'Inputs'!$B$21+'Inputs'!$B$7+'Inputs'!$B$10))/SQRT((((1017-43)*MAX('Inputs'!$B$33,'Inputs'!$B$29+'Inputs'!$B$31+'Inputs'!$B$32,'Inputs'!$B$30+'Inputs'!$B$31+'Inputs'!$B$32)/1000+'Inputs'!$B$21+'Inputs'!$B$7+'Inputs'!$B$10))^2+('Inputs'!$B$8/2)^2))))*'Results'!$B$8),"")</x:f>
        <x:v>0.3931550214811107</x:v>
      </x:c>
      <x:c r="K1017" t="n">
        <x:f>IF(AND(ISNUMBER('Results'!B7),ISNUMBER('Results'!C7),ISNUMBER('Results'!$B$8),ISNUMBER('Inputs'!$B$6),ISNUMBER('Inputs'!$B$7),ISNUMBER('Inputs'!$B$8),ISNUMBER('Inputs'!$B$9),ISNUMBER('Inputs'!$B$10),ISNUMBER('Inputs'!$B$21),ISNUMBER('Inputs'!$B$24),ISNUMBER('Inputs'!$B$28)),((('Results'!B7*(1-'Inputs'!$B$24)*(0.5*((((1017-43)*MAX('Inputs'!$B$33,'Inputs'!$B$29+'Inputs'!$B$31+'Inputs'!$B$32,'Inputs'!$B$30+'Inputs'!$B$31+'Inputs'!$B$32)/1000+'Inputs'!$B$21)+'Inputs'!$B$7)/SQRT((((1017-43)*MAX('Inputs'!$B$33,'Inputs'!$B$29+'Inputs'!$B$31+'Inputs'!$B$32,'Inputs'!$B$30+'Inputs'!$B$31+'Inputs'!$B$32)/1000+'Inputs'!$B$21)+'Inputs'!$B$7)^2+('Inputs'!$B$6/2)^2)-(((1017-43)*MAX('Inputs'!$B$33,'Inputs'!$B$29+'Inputs'!$B$31+'Inputs'!$B$32,'Inputs'!$B$30+'Inputs'!$B$31+'Inputs'!$B$32)/1000+'Inputs'!$B$21))/SQRT((((1017-43)*MAX('Inputs'!$B$33,'Inputs'!$B$29+'Inputs'!$B$31+'Inputs'!$B$32,'Inputs'!$B$30+'Inputs'!$B$31+'Inputs'!$B$32)/1000+'Inputs'!$B$21))^2+('Inputs'!$B$6/2)^2)))-'Results'!C7*(1+'Inputs'!$B$24)*(0.5*((((1017-43)*MAX('Inputs'!$B$33,'Inputs'!$B$29+'Inputs'!$B$31+'Inputs'!$B$32,'Inputs'!$B$30+'Inputs'!$B$31+'Inputs'!$B$32)/1000+'Inputs'!$B$21+'Inputs'!$B$7+'Inputs'!$B$10)+'Inputs'!$B$9)/SQRT((((1017-43)*MAX('Inputs'!$B$33,'Inputs'!$B$29+'Inputs'!$B$31+'Inputs'!$B$32,'Inputs'!$B$30+'Inputs'!$B$31+'Inputs'!$B$32)/1000+'Inputs'!$B$21+'Inputs'!$B$7+'Inputs'!$B$10)+'Inputs'!$B$9)^2+('Inputs'!$B$8/2)^2)-(((1017-43)*MAX('Inputs'!$B$33,'Inputs'!$B$29+'Inputs'!$B$31+'Inputs'!$B$32,'Inputs'!$B$30+'Inputs'!$B$31+'Inputs'!$B$32)/1000+'Inputs'!$B$21+'Inputs'!$B$7+'Inputs'!$B$10))/SQRT((((1017-43)*MAX('Inputs'!$B$33,'Inputs'!$B$29+'Inputs'!$B$31+'Inputs'!$B$32,'Inputs'!$B$30+'Inputs'!$B$31+'Inputs'!$B$32)/1000+'Inputs'!$B$21+'Inputs'!$B$7+'Inputs'!$B$10))^2+('Inputs'!$B$8/2)^2))))*'Results'!$B$8)-'Inputs'!$B$28*ABS((('Results'!B7*(1-'Inputs'!$B$24)*(0.5*((((1017-43)*MAX('Inputs'!$B$33,'Inputs'!$B$29+'Inputs'!$B$31+'Inputs'!$B$32,'Inputs'!$B$30+'Inputs'!$B$31+'Inputs'!$B$32)/1000+'Inputs'!$B$21)+'Inputs'!$B$7)/SQRT((((1017-43)*MAX('Inputs'!$B$33,'Inputs'!$B$29+'Inputs'!$B$31+'Inputs'!$B$32,'Inputs'!$B$30+'Inputs'!$B$31+'Inputs'!$B$32)/1000+'Inputs'!$B$21)+'Inputs'!$B$7)^2+('Inputs'!$B$6/2)^2)-(((1017-43)*MAX('Inputs'!$B$33,'Inputs'!$B$29+'Inputs'!$B$31+'Inputs'!$B$32,'Inputs'!$B$30+'Inputs'!$B$31+'Inputs'!$B$32)/1000+'Inputs'!$B$21))/SQRT((((1017-43)*MAX('Inputs'!$B$33,'Inputs'!$B$29+'Inputs'!$B$31+'Inputs'!$B$32,'Inputs'!$B$30+'Inputs'!$B$31+'Inputs'!$B$32)/1000+'Inputs'!$B$21))^2+('Inputs'!$B$6/2)^2)))-'Results'!C7*(1+'Inputs'!$B$24)*(0.5*((((1017-43)*MAX('Inputs'!$B$33,'Inputs'!$B$29+'Inputs'!$B$31+'Inputs'!$B$32,'Inputs'!$B$30+'Inputs'!$B$31+'Inputs'!$B$32)/1000+'Inputs'!$B$21+'Inputs'!$B$7+'Inputs'!$B$10)+'Inputs'!$B$9)/SQRT((((1017-43)*MAX('Inputs'!$B$33,'Inputs'!$B$29+'Inputs'!$B$31+'Inputs'!$B$32,'Inputs'!$B$30+'Inputs'!$B$31+'Inputs'!$B$32)/1000+'Inputs'!$B$21+'Inputs'!$B$7+'Inputs'!$B$10)+'Inputs'!$B$9)^2+('Inputs'!$B$8/2)^2)-(((1017-43)*MAX('Inputs'!$B$33,'Inputs'!$B$29+'Inputs'!$B$31+'Inputs'!$B$32,'Inputs'!$B$30+'Inputs'!$B$31+'Inputs'!$B$32)/1000+'Inputs'!$B$21+'Inputs'!$B$7+'Inputs'!$B$10))/SQRT((((1017-43)*MAX('Inputs'!$B$33,'Inputs'!$B$29+'Inputs'!$B$31+'Inputs'!$B$32,'Inputs'!$B$30+'Inputs'!$B$31+'Inputs'!$B$32)/1000+'Inputs'!$B$21+'Inputs'!$B$7+'Inputs'!$B$10))^2+('Inputs'!$B$8/2)^2))))*'Results'!$B$8))),"")</x:f>
        <x:v>0.32990358165093614</x:v>
      </x:c>
      <x:c r="L1017" t="n">
        <x:f>IF(AND(ISNUMBER('Results'!B7),ISNUMBER('Results'!C7),ISNUMBER('Results'!$B$8),ISNUMBER('Inputs'!$B$6),ISNUMBER('Inputs'!$B$7),ISNUMBER('Inputs'!$B$8),ISNUMBER('Inputs'!$B$9),ISNUMBER('Inputs'!$B$10),ISNUMBER('Inputs'!$B$21),ISNUMBER('Inputs'!$B$24),ISNUMBER('Inputs'!$B$28)),((('Results'!B7*(1+'Inputs'!$B$24)*(0.5*((((1017-43)*MAX('Inputs'!$B$33,'Inputs'!$B$29+'Inputs'!$B$31+'Inputs'!$B$32,'Inputs'!$B$30+'Inputs'!$B$31+'Inputs'!$B$32)/1000+'Inputs'!$B$21)+'Inputs'!$B$7)/SQRT((((1017-43)*MAX('Inputs'!$B$33,'Inputs'!$B$29+'Inputs'!$B$31+'Inputs'!$B$32,'Inputs'!$B$30+'Inputs'!$B$31+'Inputs'!$B$32)/1000+'Inputs'!$B$21)+'Inputs'!$B$7)^2+('Inputs'!$B$6/2)^2)-(((1017-43)*MAX('Inputs'!$B$33,'Inputs'!$B$29+'Inputs'!$B$31+'Inputs'!$B$32,'Inputs'!$B$30+'Inputs'!$B$31+'Inputs'!$B$32)/1000+'Inputs'!$B$21))/SQRT((((1017-43)*MAX('Inputs'!$B$33,'Inputs'!$B$29+'Inputs'!$B$31+'Inputs'!$B$32,'Inputs'!$B$30+'Inputs'!$B$31+'Inputs'!$B$32)/1000+'Inputs'!$B$21))^2+('Inputs'!$B$6/2)^2)))-'Results'!C7*(1-'Inputs'!$B$24)*(0.5*((((1017-43)*MAX('Inputs'!$B$33,'Inputs'!$B$29+'Inputs'!$B$31+'Inputs'!$B$32,'Inputs'!$B$30+'Inputs'!$B$31+'Inputs'!$B$32)/1000+'Inputs'!$B$21+'Inputs'!$B$7+'Inputs'!$B$10)+'Inputs'!$B$9)/SQRT((((1017-43)*MAX('Inputs'!$B$33,'Inputs'!$B$29+'Inputs'!$B$31+'Inputs'!$B$32,'Inputs'!$B$30+'Inputs'!$B$31+'Inputs'!$B$32)/1000+'Inputs'!$B$21+'Inputs'!$B$7+'Inputs'!$B$10)+'Inputs'!$B$9)^2+('Inputs'!$B$8/2)^2)-(((1017-43)*MAX('Inputs'!$B$33,'Inputs'!$B$29+'Inputs'!$B$31+'Inputs'!$B$32,'Inputs'!$B$30+'Inputs'!$B$31+'Inputs'!$B$32)/1000+'Inputs'!$B$21+'Inputs'!$B$7+'Inputs'!$B$10))/SQRT((((1017-43)*MAX('Inputs'!$B$33,'Inputs'!$B$29+'Inputs'!$B$31+'Inputs'!$B$32,'Inputs'!$B$30+'Inputs'!$B$31+'Inputs'!$B$32)/1000+'Inputs'!$B$21+'Inputs'!$B$7+'Inputs'!$B$10))^2+('Inputs'!$B$8/2)^2))))*'Results'!$B$8)+'Inputs'!$B$28*ABS((('Results'!B7*(1+'Inputs'!$B$24)*(0.5*((((1017-43)*MAX('Inputs'!$B$33,'Inputs'!$B$29+'Inputs'!$B$31+'Inputs'!$B$32,'Inputs'!$B$30+'Inputs'!$B$31+'Inputs'!$B$32)/1000+'Inputs'!$B$21)+'Inputs'!$B$7)/SQRT((((1017-43)*MAX('Inputs'!$B$33,'Inputs'!$B$29+'Inputs'!$B$31+'Inputs'!$B$32,'Inputs'!$B$30+'Inputs'!$B$31+'Inputs'!$B$32)/1000+'Inputs'!$B$21)+'Inputs'!$B$7)^2+('Inputs'!$B$6/2)^2)-(((1017-43)*MAX('Inputs'!$B$33,'Inputs'!$B$29+'Inputs'!$B$31+'Inputs'!$B$32,'Inputs'!$B$30+'Inputs'!$B$31+'Inputs'!$B$32)/1000+'Inputs'!$B$21))/SQRT((((1017-43)*MAX('Inputs'!$B$33,'Inputs'!$B$29+'Inputs'!$B$31+'Inputs'!$B$32,'Inputs'!$B$30+'Inputs'!$B$31+'Inputs'!$B$32)/1000+'Inputs'!$B$21))^2+('Inputs'!$B$6/2)^2)))-'Results'!C7*(1-'Inputs'!$B$24)*(0.5*((((1017-43)*MAX('Inputs'!$B$33,'Inputs'!$B$29+'Inputs'!$B$31+'Inputs'!$B$32,'Inputs'!$B$30+'Inputs'!$B$31+'Inputs'!$B$32)/1000+'Inputs'!$B$21+'Inputs'!$B$7+'Inputs'!$B$10)+'Inputs'!$B$9)/SQRT((((1017-43)*MAX('Inputs'!$B$33,'Inputs'!$B$29+'Inputs'!$B$31+'Inputs'!$B$32,'Inputs'!$B$30+'Inputs'!$B$31+'Inputs'!$B$32)/1000+'Inputs'!$B$21+'Inputs'!$B$7+'Inputs'!$B$10)+'Inputs'!$B$9)^2+('Inputs'!$B$8/2)^2)-(((1017-43)*MAX('Inputs'!$B$33,'Inputs'!$B$29+'Inputs'!$B$31+'Inputs'!$B$32,'Inputs'!$B$30+'Inputs'!$B$31+'Inputs'!$B$32)/1000+'Inputs'!$B$21+'Inputs'!$B$7+'Inputs'!$B$10))/SQRT((((1017-43)*MAX('Inputs'!$B$33,'Inputs'!$B$29+'Inputs'!$B$31+'Inputs'!$B$32,'Inputs'!$B$30+'Inputs'!$B$31+'Inputs'!$B$32)/1000+'Inputs'!$B$21+'Inputs'!$B$7+'Inputs'!$B$10))^2+('Inputs'!$B$8/2)^2))))*'Results'!$B$8))),"")</x:f>
        <x:v>0.4609952706540347</x:v>
      </x:c>
      <x:c r="M1017" t="n">
        <x:f>IF(AND(ISNUMBER('Results'!C7),ISNUMBER('Results'!B7),ISNUMBER('Results'!$B$8),ISNUMBER('Inputs'!$B$6),ISNUMBER('Inputs'!$B$7),ISNUMBER('Inputs'!$B$8),ISNUMBER('Inputs'!$B$9),ISNUMBER('Inputs'!$B$10),ISNUMBER('Inputs'!$B$21),ISNUMBER('Inputs'!$B$24),ISNUMBER('Inputs'!$B$28)),(('Results'!C7*(0.5*((((1017-43)*MAX('Inputs'!$B$33,'Inputs'!$B$29+'Inputs'!$B$31+'Inputs'!$B$32,'Inputs'!$B$30+'Inputs'!$B$31+'Inputs'!$B$32)/1000+'Inputs'!$B$21)+'Inputs'!$B$9)/SQRT((((1017-43)*MAX('Inputs'!$B$33,'Inputs'!$B$29+'Inputs'!$B$31+'Inputs'!$B$32,'Inputs'!$B$30+'Inputs'!$B$31+'Inputs'!$B$32)/1000+'Inputs'!$B$21)+'Inputs'!$B$9)^2+('Inputs'!$B$8/2)^2)-(((1017-43)*MAX('Inputs'!$B$33,'Inputs'!$B$29+'Inputs'!$B$31+'Inputs'!$B$32,'Inputs'!$B$30+'Inputs'!$B$31+'Inputs'!$B$32)/1000+'Inputs'!$B$21))/SQRT((((1017-43)*MAX('Inputs'!$B$33,'Inputs'!$B$29+'Inputs'!$B$31+'Inputs'!$B$32,'Inputs'!$B$30+'Inputs'!$B$31+'Inputs'!$B$32)/1000+'Inputs'!$B$21))^2+('Inputs'!$B$8/2)^2)))-'Results'!B7*(0.5*((((1017-43)*MAX('Inputs'!$B$33,'Inputs'!$B$29+'Inputs'!$B$31+'Inputs'!$B$32,'Inputs'!$B$30+'Inputs'!$B$31+'Inputs'!$B$32)/1000+'Inputs'!$B$21+'Inputs'!$B$9+'Inputs'!$B$10)+'Inputs'!$B$7)/SQRT((((1017-43)*MAX('Inputs'!$B$33,'Inputs'!$B$29+'Inputs'!$B$31+'Inputs'!$B$32,'Inputs'!$B$30+'Inputs'!$B$31+'Inputs'!$B$32)/1000+'Inputs'!$B$21+'Inputs'!$B$9+'Inputs'!$B$10)+'Inputs'!$B$7)^2+('Inputs'!$B$6/2)^2)-(((1017-43)*MAX('Inputs'!$B$33,'Inputs'!$B$29+'Inputs'!$B$31+'Inputs'!$B$32,'Inputs'!$B$30+'Inputs'!$B$31+'Inputs'!$B$32)/1000+'Inputs'!$B$21+'Inputs'!$B$9+'Inputs'!$B$10))/SQRT((((1017-43)*MAX('Inputs'!$B$33,'Inputs'!$B$29+'Inputs'!$B$31+'Inputs'!$B$32,'Inputs'!$B$30+'Inputs'!$B$31+'Inputs'!$B$32)/1000+'Inputs'!$B$21+'Inputs'!$B$9+'Inputs'!$B$10))^2+('Inputs'!$B$6/2)^2))))*'Results'!$B$8),"")</x:f>
        <x:v>0.34687891792098574</x:v>
      </x:c>
      <x:c r="N1017" t="n">
        <x:f>IF(AND(ISNUMBER('Results'!C7),ISNUMBER('Results'!B7),ISNUMBER('Results'!$B$8),ISNUMBER('Inputs'!$B$6),ISNUMBER('Inputs'!$B$7),ISNUMBER('Inputs'!$B$8),ISNUMBER('Inputs'!$B$9),ISNUMBER('Inputs'!$B$10),ISNUMBER('Inputs'!$B$21),ISNUMBER('Inputs'!$B$24),ISNUMBER('Inputs'!$B$28)),((('Results'!C7*(1-'Inputs'!$B$24)*(0.5*((((1017-43)*MAX('Inputs'!$B$33,'Inputs'!$B$29+'Inputs'!$B$31+'Inputs'!$B$32,'Inputs'!$B$30+'Inputs'!$B$31+'Inputs'!$B$32)/1000+'Inputs'!$B$21)+'Inputs'!$B$9)/SQRT((((1017-43)*MAX('Inputs'!$B$33,'Inputs'!$B$29+'Inputs'!$B$31+'Inputs'!$B$32,'Inputs'!$B$30+'Inputs'!$B$31+'Inputs'!$B$32)/1000+'Inputs'!$B$21)+'Inputs'!$B$9)^2+('Inputs'!$B$8/2)^2)-(((1017-43)*MAX('Inputs'!$B$33,'Inputs'!$B$29+'Inputs'!$B$31+'Inputs'!$B$32,'Inputs'!$B$30+'Inputs'!$B$31+'Inputs'!$B$32)/1000+'Inputs'!$B$21))/SQRT((((1017-43)*MAX('Inputs'!$B$33,'Inputs'!$B$29+'Inputs'!$B$31+'Inputs'!$B$32,'Inputs'!$B$30+'Inputs'!$B$31+'Inputs'!$B$32)/1000+'Inputs'!$B$21))^2+('Inputs'!$B$8/2)^2)))-'Results'!B7*(1+'Inputs'!$B$24)*(0.5*((((1017-43)*MAX('Inputs'!$B$33,'Inputs'!$B$29+'Inputs'!$B$31+'Inputs'!$B$32,'Inputs'!$B$30+'Inputs'!$B$31+'Inputs'!$B$32)/1000+'Inputs'!$B$21+'Inputs'!$B$9+'Inputs'!$B$10)+'Inputs'!$B$7)/SQRT((((1017-43)*MAX('Inputs'!$B$33,'Inputs'!$B$29+'Inputs'!$B$31+'Inputs'!$B$32,'Inputs'!$B$30+'Inputs'!$B$31+'Inputs'!$B$32)/1000+'Inputs'!$B$21+'Inputs'!$B$9+'Inputs'!$B$10)+'Inputs'!$B$7)^2+('Inputs'!$B$6/2)^2)-(((1017-43)*MAX('Inputs'!$B$33,'Inputs'!$B$29+'Inputs'!$B$31+'Inputs'!$B$32,'Inputs'!$B$30+'Inputs'!$B$31+'Inputs'!$B$32)/1000+'Inputs'!$B$21+'Inputs'!$B$9+'Inputs'!$B$10))/SQRT((((1017-43)*MAX('Inputs'!$B$33,'Inputs'!$B$29+'Inputs'!$B$31+'Inputs'!$B$32,'Inputs'!$B$30+'Inputs'!$B$31+'Inputs'!$B$32)/1000+'Inputs'!$B$21+'Inputs'!$B$9+'Inputs'!$B$10))^2+('Inputs'!$B$6/2)^2))))*'Results'!$B$8)-'Inputs'!$B$28*ABS((('Results'!C7*(1-'Inputs'!$B$24)*(0.5*((((1017-43)*MAX('Inputs'!$B$33,'Inputs'!$B$29+'Inputs'!$B$31+'Inputs'!$B$32,'Inputs'!$B$30+'Inputs'!$B$31+'Inputs'!$B$32)/1000+'Inputs'!$B$21)+'Inputs'!$B$9)/SQRT((((1017-43)*MAX('Inputs'!$B$33,'Inputs'!$B$29+'Inputs'!$B$31+'Inputs'!$B$32,'Inputs'!$B$30+'Inputs'!$B$31+'Inputs'!$B$32)/1000+'Inputs'!$B$21)+'Inputs'!$B$9)^2+('Inputs'!$B$8/2)^2)-(((1017-43)*MAX('Inputs'!$B$33,'Inputs'!$B$29+'Inputs'!$B$31+'Inputs'!$B$32,'Inputs'!$B$30+'Inputs'!$B$31+'Inputs'!$B$32)/1000+'Inputs'!$B$21))/SQRT((((1017-43)*MAX('Inputs'!$B$33,'Inputs'!$B$29+'Inputs'!$B$31+'Inputs'!$B$32,'Inputs'!$B$30+'Inputs'!$B$31+'Inputs'!$B$32)/1000+'Inputs'!$B$21))^2+('Inputs'!$B$8/2)^2)))-'Results'!B7*(1+'Inputs'!$B$24)*(0.5*((((1017-43)*MAX('Inputs'!$B$33,'Inputs'!$B$29+'Inputs'!$B$31+'Inputs'!$B$32,'Inputs'!$B$30+'Inputs'!$B$31+'Inputs'!$B$32)/1000+'Inputs'!$B$21+'Inputs'!$B$9+'Inputs'!$B$10)+'Inputs'!$B$7)/SQRT((((1017-43)*MAX('Inputs'!$B$33,'Inputs'!$B$29+'Inputs'!$B$31+'Inputs'!$B$32,'Inputs'!$B$30+'Inputs'!$B$31+'Inputs'!$B$32)/1000+'Inputs'!$B$21+'Inputs'!$B$9+'Inputs'!$B$10)+'Inputs'!$B$7)^2+('Inputs'!$B$6/2)^2)-(((1017-43)*MAX('Inputs'!$B$33,'Inputs'!$B$29+'Inputs'!$B$31+'Inputs'!$B$32,'Inputs'!$B$30+'Inputs'!$B$31+'Inputs'!$B$32)/1000+'Inputs'!$B$21+'Inputs'!$B$9+'Inputs'!$B$10))/SQRT((((1017-43)*MAX('Inputs'!$B$33,'Inputs'!$B$29+'Inputs'!$B$31+'Inputs'!$B$32,'Inputs'!$B$30+'Inputs'!$B$31+'Inputs'!$B$32)/1000+'Inputs'!$B$21+'Inputs'!$B$9+'Inputs'!$B$10))^2+('Inputs'!$B$6/2)^2))))*'Results'!$B$8))),"")</x:f>
        <x:v>0.28608330998446035</x:v>
      </x:c>
      <x:c r="O1017" t="n">
        <x:f>IF(AND(ISNUMBER('Results'!C7),ISNUMBER('Results'!B7),ISNUMBER('Results'!$B$8),ISNUMBER('Inputs'!$B$6),ISNUMBER('Inputs'!$B$7),ISNUMBER('Inputs'!$B$8),ISNUMBER('Inputs'!$B$9),ISNUMBER('Inputs'!$B$10),ISNUMBER('Inputs'!$B$21),ISNUMBER('Inputs'!$B$24),ISNUMBER('Inputs'!$B$28)),((('Results'!C7*(1+'Inputs'!$B$24)*(0.5*((((1017-43)*MAX('Inputs'!$B$33,'Inputs'!$B$29+'Inputs'!$B$31+'Inputs'!$B$32,'Inputs'!$B$30+'Inputs'!$B$31+'Inputs'!$B$32)/1000+'Inputs'!$B$21)+'Inputs'!$B$9)/SQRT((((1017-43)*MAX('Inputs'!$B$33,'Inputs'!$B$29+'Inputs'!$B$31+'Inputs'!$B$32,'Inputs'!$B$30+'Inputs'!$B$31+'Inputs'!$B$32)/1000+'Inputs'!$B$21)+'Inputs'!$B$9)^2+('Inputs'!$B$8/2)^2)-(((1017-43)*MAX('Inputs'!$B$33,'Inputs'!$B$29+'Inputs'!$B$31+'Inputs'!$B$32,'Inputs'!$B$30+'Inputs'!$B$31+'Inputs'!$B$32)/1000+'Inputs'!$B$21))/SQRT((((1017-43)*MAX('Inputs'!$B$33,'Inputs'!$B$29+'Inputs'!$B$31+'Inputs'!$B$32,'Inputs'!$B$30+'Inputs'!$B$31+'Inputs'!$B$32)/1000+'Inputs'!$B$21))^2+('Inputs'!$B$8/2)^2)))-'Results'!B7*(1-'Inputs'!$B$24)*(0.5*((((1017-43)*MAX('Inputs'!$B$33,'Inputs'!$B$29+'Inputs'!$B$31+'Inputs'!$B$32,'Inputs'!$B$30+'Inputs'!$B$31+'Inputs'!$B$32)/1000+'Inputs'!$B$21+'Inputs'!$B$9+'Inputs'!$B$10)+'Inputs'!$B$7)/SQRT((((1017-43)*MAX('Inputs'!$B$33,'Inputs'!$B$29+'Inputs'!$B$31+'Inputs'!$B$32,'Inputs'!$B$30+'Inputs'!$B$31+'Inputs'!$B$32)/1000+'Inputs'!$B$21+'Inputs'!$B$9+'Inputs'!$B$10)+'Inputs'!$B$7)^2+('Inputs'!$B$6/2)^2)-(((1017-43)*MAX('Inputs'!$B$33,'Inputs'!$B$29+'Inputs'!$B$31+'Inputs'!$B$32,'Inputs'!$B$30+'Inputs'!$B$31+'Inputs'!$B$32)/1000+'Inputs'!$B$21+'Inputs'!$B$9+'Inputs'!$B$10))/SQRT((((1017-43)*MAX('Inputs'!$B$33,'Inputs'!$B$29+'Inputs'!$B$31+'Inputs'!$B$32,'Inputs'!$B$30+'Inputs'!$B$31+'Inputs'!$B$32)/1000+'Inputs'!$B$21+'Inputs'!$B$9+'Inputs'!$B$10))^2+('Inputs'!$B$6/2)^2))))*'Results'!$B$8)+'Inputs'!$B$28*ABS((('Results'!C7*(1+'Inputs'!$B$24)*(0.5*((((1017-43)*MAX('Inputs'!$B$33,'Inputs'!$B$29+'Inputs'!$B$31+'Inputs'!$B$32,'Inputs'!$B$30+'Inputs'!$B$31+'Inputs'!$B$32)/1000+'Inputs'!$B$21)+'Inputs'!$B$9)/SQRT((((1017-43)*MAX('Inputs'!$B$33,'Inputs'!$B$29+'Inputs'!$B$31+'Inputs'!$B$32,'Inputs'!$B$30+'Inputs'!$B$31+'Inputs'!$B$32)/1000+'Inputs'!$B$21)+'Inputs'!$B$9)^2+('Inputs'!$B$8/2)^2)-(((1017-43)*MAX('Inputs'!$B$33,'Inputs'!$B$29+'Inputs'!$B$31+'Inputs'!$B$32,'Inputs'!$B$30+'Inputs'!$B$31+'Inputs'!$B$32)/1000+'Inputs'!$B$21))/SQRT((((1017-43)*MAX('Inputs'!$B$33,'Inputs'!$B$29+'Inputs'!$B$31+'Inputs'!$B$32,'Inputs'!$B$30+'Inputs'!$B$31+'Inputs'!$B$32)/1000+'Inputs'!$B$21))^2+('Inputs'!$B$8/2)^2)))-'Results'!B7*(1-'Inputs'!$B$24)*(0.5*((((1017-43)*MAX('Inputs'!$B$33,'Inputs'!$B$29+'Inputs'!$B$31+'Inputs'!$B$32,'Inputs'!$B$30+'Inputs'!$B$31+'Inputs'!$B$32)/1000+'Inputs'!$B$21+'Inputs'!$B$9+'Inputs'!$B$10)+'Inputs'!$B$7)/SQRT((((1017-43)*MAX('Inputs'!$B$33,'Inputs'!$B$29+'Inputs'!$B$31+'Inputs'!$B$32,'Inputs'!$B$30+'Inputs'!$B$31+'Inputs'!$B$32)/1000+'Inputs'!$B$21+'Inputs'!$B$9+'Inputs'!$B$10)+'Inputs'!$B$7)^2+('Inputs'!$B$6/2)^2)-(((1017-43)*MAX('Inputs'!$B$33,'Inputs'!$B$29+'Inputs'!$B$31+'Inputs'!$B$32,'Inputs'!$B$30+'Inputs'!$B$31+'Inputs'!$B$32)/1000+'Inputs'!$B$21+'Inputs'!$B$9+'Inputs'!$B$10))/SQRT((((1017-43)*MAX('Inputs'!$B$33,'Inputs'!$B$29+'Inputs'!$B$31+'Inputs'!$B$32,'Inputs'!$B$30+'Inputs'!$B$31+'Inputs'!$B$32)/1000+'Inputs'!$B$21+'Inputs'!$B$9+'Inputs'!$B$10))^2+('Inputs'!$B$6/2)^2))))*'Results'!$B$8))),"")</x:f>
        <x:v>0.4122483850196667</x:v>
      </x:c>
      <x:c r="P1017" t="n">
        <x:f>IF(AND(MAX(J1017,J1016)&gt;0,J1017&gt;J1016+0.00000001),1,0)</x:f>
        <x:v>0</x:v>
      </x:c>
      <x:c r="Q1017" t="n">
        <x:f>IF(AND(MAX(K1017,K1016)&gt;0,K1017&gt;K1016+0.00000001),1,0)</x:f>
        <x:v>0</x:v>
      </x:c>
      <x:c r="R1017" t="n">
        <x:f>IF(AND(MAX(L1017,L1016)&gt;0,L1017&gt;L1016+0.00000001),1,0)</x:f>
        <x:v>0</x:v>
      </x:c>
      <x:c r="S1017" t="n">
        <x:f>IF(AND(MAX(M1017,M1016)&gt;0,M1017&gt;M1016+0.00000001),1,0)</x:f>
        <x:v>0</x:v>
      </x:c>
      <x:c r="T1017" t="n">
        <x:f>IF(AND(MAX(N1017,N1016)&gt;0,N1017&gt;N1016+0.00000001),1,0)</x:f>
        <x:v>0</x:v>
      </x:c>
      <x:c r="U1017" t="n">
        <x:f>IF(AND(MAX(O1017,O1016)&gt;0,O1017&gt;O1016+0.00000001),1,0)</x:f>
        <x:v>0</x:v>
      </x:c>
    </x:row>
    <x:row r="1018">
      <x:c r="J1018" t="n">
        <x:f>IF(AND(ISNUMBER('Results'!B7),ISNUMBER('Results'!C7),ISNUMBER('Results'!$B$8),ISNUMBER('Inputs'!$B$6),ISNUMBER('Inputs'!$B$7),ISNUMBER('Inputs'!$B$8),ISNUMBER('Inputs'!$B$9),ISNUMBER('Inputs'!$B$10),ISNUMBER('Inputs'!$B$21),ISNUMBER('Inputs'!$B$24),ISNUMBER('Inputs'!$B$28)),(('Results'!B7*(0.5*((((1018-43)*MAX('Inputs'!$B$33,'Inputs'!$B$29+'Inputs'!$B$31+'Inputs'!$B$32,'Inputs'!$B$30+'Inputs'!$B$31+'Inputs'!$B$32)/1000+'Inputs'!$B$21)+'Inputs'!$B$7)/SQRT((((1018-43)*MAX('Inputs'!$B$33,'Inputs'!$B$29+'Inputs'!$B$31+'Inputs'!$B$32,'Inputs'!$B$30+'Inputs'!$B$31+'Inputs'!$B$32)/1000+'Inputs'!$B$21)+'Inputs'!$B$7)^2+('Inputs'!$B$6/2)^2)-(((1018-43)*MAX('Inputs'!$B$33,'Inputs'!$B$29+'Inputs'!$B$31+'Inputs'!$B$32,'Inputs'!$B$30+'Inputs'!$B$31+'Inputs'!$B$32)/1000+'Inputs'!$B$21))/SQRT((((1018-43)*MAX('Inputs'!$B$33,'Inputs'!$B$29+'Inputs'!$B$31+'Inputs'!$B$32,'Inputs'!$B$30+'Inputs'!$B$31+'Inputs'!$B$32)/1000+'Inputs'!$B$21))^2+('Inputs'!$B$6/2)^2)))-'Results'!C7*(0.5*((((1018-43)*MAX('Inputs'!$B$33,'Inputs'!$B$29+'Inputs'!$B$31+'Inputs'!$B$32,'Inputs'!$B$30+'Inputs'!$B$31+'Inputs'!$B$32)/1000+'Inputs'!$B$21+'Inputs'!$B$7+'Inputs'!$B$10)+'Inputs'!$B$9)/SQRT((((1018-43)*MAX('Inputs'!$B$33,'Inputs'!$B$29+'Inputs'!$B$31+'Inputs'!$B$32,'Inputs'!$B$30+'Inputs'!$B$31+'Inputs'!$B$32)/1000+'Inputs'!$B$21+'Inputs'!$B$7+'Inputs'!$B$10)+'Inputs'!$B$9)^2+('Inputs'!$B$8/2)^2)-(((1018-43)*MAX('Inputs'!$B$33,'Inputs'!$B$29+'Inputs'!$B$31+'Inputs'!$B$32,'Inputs'!$B$30+'Inputs'!$B$31+'Inputs'!$B$32)/1000+'Inputs'!$B$21+'Inputs'!$B$7+'Inputs'!$B$10))/SQRT((((1018-43)*MAX('Inputs'!$B$33,'Inputs'!$B$29+'Inputs'!$B$31+'Inputs'!$B$32,'Inputs'!$B$30+'Inputs'!$B$31+'Inputs'!$B$32)/1000+'Inputs'!$B$21+'Inputs'!$B$7+'Inputs'!$B$10))^2+('Inputs'!$B$8/2)^2))))*'Results'!$B$8),"")</x:f>
        <x:v>0.39168639309296277</x:v>
      </x:c>
      <x:c r="K1018" t="n">
        <x:f>IF(AND(ISNUMBER('Results'!B7),ISNUMBER('Results'!C7),ISNUMBER('Results'!$B$8),ISNUMBER('Inputs'!$B$6),ISNUMBER('Inputs'!$B$7),ISNUMBER('Inputs'!$B$8),ISNUMBER('Inputs'!$B$9),ISNUMBER('Inputs'!$B$10),ISNUMBER('Inputs'!$B$21),ISNUMBER('Inputs'!$B$24),ISNUMBER('Inputs'!$B$28)),((('Results'!B7*(1-'Inputs'!$B$24)*(0.5*((((1018-43)*MAX('Inputs'!$B$33,'Inputs'!$B$29+'Inputs'!$B$31+'Inputs'!$B$32,'Inputs'!$B$30+'Inputs'!$B$31+'Inputs'!$B$32)/1000+'Inputs'!$B$21)+'Inputs'!$B$7)/SQRT((((1018-43)*MAX('Inputs'!$B$33,'Inputs'!$B$29+'Inputs'!$B$31+'Inputs'!$B$32,'Inputs'!$B$30+'Inputs'!$B$31+'Inputs'!$B$32)/1000+'Inputs'!$B$21)+'Inputs'!$B$7)^2+('Inputs'!$B$6/2)^2)-(((1018-43)*MAX('Inputs'!$B$33,'Inputs'!$B$29+'Inputs'!$B$31+'Inputs'!$B$32,'Inputs'!$B$30+'Inputs'!$B$31+'Inputs'!$B$32)/1000+'Inputs'!$B$21))/SQRT((((1018-43)*MAX('Inputs'!$B$33,'Inputs'!$B$29+'Inputs'!$B$31+'Inputs'!$B$32,'Inputs'!$B$30+'Inputs'!$B$31+'Inputs'!$B$32)/1000+'Inputs'!$B$21))^2+('Inputs'!$B$6/2)^2)))-'Results'!C7*(1+'Inputs'!$B$24)*(0.5*((((1018-43)*MAX('Inputs'!$B$33,'Inputs'!$B$29+'Inputs'!$B$31+'Inputs'!$B$32,'Inputs'!$B$30+'Inputs'!$B$31+'Inputs'!$B$32)/1000+'Inputs'!$B$21+'Inputs'!$B$7+'Inputs'!$B$10)+'Inputs'!$B$9)/SQRT((((1018-43)*MAX('Inputs'!$B$33,'Inputs'!$B$29+'Inputs'!$B$31+'Inputs'!$B$32,'Inputs'!$B$30+'Inputs'!$B$31+'Inputs'!$B$32)/1000+'Inputs'!$B$21+'Inputs'!$B$7+'Inputs'!$B$10)+'Inputs'!$B$9)^2+('Inputs'!$B$8/2)^2)-(((1018-43)*MAX('Inputs'!$B$33,'Inputs'!$B$29+'Inputs'!$B$31+'Inputs'!$B$32,'Inputs'!$B$30+'Inputs'!$B$31+'Inputs'!$B$32)/1000+'Inputs'!$B$21+'Inputs'!$B$7+'Inputs'!$B$10))/SQRT((((1018-43)*MAX('Inputs'!$B$33,'Inputs'!$B$29+'Inputs'!$B$31+'Inputs'!$B$32,'Inputs'!$B$30+'Inputs'!$B$31+'Inputs'!$B$32)/1000+'Inputs'!$B$21+'Inputs'!$B$7+'Inputs'!$B$10))^2+('Inputs'!$B$8/2)^2))))*'Results'!$B$8)-'Inputs'!$B$28*ABS((('Results'!B7*(1-'Inputs'!$B$24)*(0.5*((((1018-43)*MAX('Inputs'!$B$33,'Inputs'!$B$29+'Inputs'!$B$31+'Inputs'!$B$32,'Inputs'!$B$30+'Inputs'!$B$31+'Inputs'!$B$32)/1000+'Inputs'!$B$21)+'Inputs'!$B$7)/SQRT((((1018-43)*MAX('Inputs'!$B$33,'Inputs'!$B$29+'Inputs'!$B$31+'Inputs'!$B$32,'Inputs'!$B$30+'Inputs'!$B$31+'Inputs'!$B$32)/1000+'Inputs'!$B$21)+'Inputs'!$B$7)^2+('Inputs'!$B$6/2)^2)-(((1018-43)*MAX('Inputs'!$B$33,'Inputs'!$B$29+'Inputs'!$B$31+'Inputs'!$B$32,'Inputs'!$B$30+'Inputs'!$B$31+'Inputs'!$B$32)/1000+'Inputs'!$B$21))/SQRT((((1018-43)*MAX('Inputs'!$B$33,'Inputs'!$B$29+'Inputs'!$B$31+'Inputs'!$B$32,'Inputs'!$B$30+'Inputs'!$B$31+'Inputs'!$B$32)/1000+'Inputs'!$B$21))^2+('Inputs'!$B$6/2)^2)))-'Results'!C7*(1+'Inputs'!$B$24)*(0.5*((((1018-43)*MAX('Inputs'!$B$33,'Inputs'!$B$29+'Inputs'!$B$31+'Inputs'!$B$32,'Inputs'!$B$30+'Inputs'!$B$31+'Inputs'!$B$32)/1000+'Inputs'!$B$21+'Inputs'!$B$7+'Inputs'!$B$10)+'Inputs'!$B$9)/SQRT((((1018-43)*MAX('Inputs'!$B$33,'Inputs'!$B$29+'Inputs'!$B$31+'Inputs'!$B$32,'Inputs'!$B$30+'Inputs'!$B$31+'Inputs'!$B$32)/1000+'Inputs'!$B$21+'Inputs'!$B$7+'Inputs'!$B$10)+'Inputs'!$B$9)^2+('Inputs'!$B$8/2)^2)-(((1018-43)*MAX('Inputs'!$B$33,'Inputs'!$B$29+'Inputs'!$B$31+'Inputs'!$B$32,'Inputs'!$B$30+'Inputs'!$B$31+'Inputs'!$B$32)/1000+'Inputs'!$B$21+'Inputs'!$B$7+'Inputs'!$B$10))/SQRT((((1018-43)*MAX('Inputs'!$B$33,'Inputs'!$B$29+'Inputs'!$B$31+'Inputs'!$B$32,'Inputs'!$B$30+'Inputs'!$B$31+'Inputs'!$B$32)/1000+'Inputs'!$B$21+'Inputs'!$B$7+'Inputs'!$B$10))^2+('Inputs'!$B$8/2)^2))))*'Results'!$B$8))),"")</x:f>
        <x:v>0.3286334176082014</x:v>
      </x:c>
      <x:c r="L1018" t="n">
        <x:f>IF(AND(ISNUMBER('Results'!B7),ISNUMBER('Results'!C7),ISNUMBER('Results'!$B$8),ISNUMBER('Inputs'!$B$6),ISNUMBER('Inputs'!$B$7),ISNUMBER('Inputs'!$B$8),ISNUMBER('Inputs'!$B$9),ISNUMBER('Inputs'!$B$10),ISNUMBER('Inputs'!$B$21),ISNUMBER('Inputs'!$B$24),ISNUMBER('Inputs'!$B$28)),((('Results'!B7*(1+'Inputs'!$B$24)*(0.5*((((1018-43)*MAX('Inputs'!$B$33,'Inputs'!$B$29+'Inputs'!$B$31+'Inputs'!$B$32,'Inputs'!$B$30+'Inputs'!$B$31+'Inputs'!$B$32)/1000+'Inputs'!$B$21)+'Inputs'!$B$7)/SQRT((((1018-43)*MAX('Inputs'!$B$33,'Inputs'!$B$29+'Inputs'!$B$31+'Inputs'!$B$32,'Inputs'!$B$30+'Inputs'!$B$31+'Inputs'!$B$32)/1000+'Inputs'!$B$21)+'Inputs'!$B$7)^2+('Inputs'!$B$6/2)^2)-(((1018-43)*MAX('Inputs'!$B$33,'Inputs'!$B$29+'Inputs'!$B$31+'Inputs'!$B$32,'Inputs'!$B$30+'Inputs'!$B$31+'Inputs'!$B$32)/1000+'Inputs'!$B$21))/SQRT((((1018-43)*MAX('Inputs'!$B$33,'Inputs'!$B$29+'Inputs'!$B$31+'Inputs'!$B$32,'Inputs'!$B$30+'Inputs'!$B$31+'Inputs'!$B$32)/1000+'Inputs'!$B$21))^2+('Inputs'!$B$6/2)^2)))-'Results'!C7*(1-'Inputs'!$B$24)*(0.5*((((1018-43)*MAX('Inputs'!$B$33,'Inputs'!$B$29+'Inputs'!$B$31+'Inputs'!$B$32,'Inputs'!$B$30+'Inputs'!$B$31+'Inputs'!$B$32)/1000+'Inputs'!$B$21+'Inputs'!$B$7+'Inputs'!$B$10)+'Inputs'!$B$9)/SQRT((((1018-43)*MAX('Inputs'!$B$33,'Inputs'!$B$29+'Inputs'!$B$31+'Inputs'!$B$32,'Inputs'!$B$30+'Inputs'!$B$31+'Inputs'!$B$32)/1000+'Inputs'!$B$21+'Inputs'!$B$7+'Inputs'!$B$10)+'Inputs'!$B$9)^2+('Inputs'!$B$8/2)^2)-(((1018-43)*MAX('Inputs'!$B$33,'Inputs'!$B$29+'Inputs'!$B$31+'Inputs'!$B$32,'Inputs'!$B$30+'Inputs'!$B$31+'Inputs'!$B$32)/1000+'Inputs'!$B$21+'Inputs'!$B$7+'Inputs'!$B$10))/SQRT((((1018-43)*MAX('Inputs'!$B$33,'Inputs'!$B$29+'Inputs'!$B$31+'Inputs'!$B$32,'Inputs'!$B$30+'Inputs'!$B$31+'Inputs'!$B$32)/1000+'Inputs'!$B$21+'Inputs'!$B$7+'Inputs'!$B$10))^2+('Inputs'!$B$8/2)^2))))*'Results'!$B$8)+'Inputs'!$B$28*ABS((('Results'!B7*(1+'Inputs'!$B$24)*(0.5*((((1018-43)*MAX('Inputs'!$B$33,'Inputs'!$B$29+'Inputs'!$B$31+'Inputs'!$B$32,'Inputs'!$B$30+'Inputs'!$B$31+'Inputs'!$B$32)/1000+'Inputs'!$B$21)+'Inputs'!$B$7)/SQRT((((1018-43)*MAX('Inputs'!$B$33,'Inputs'!$B$29+'Inputs'!$B$31+'Inputs'!$B$32,'Inputs'!$B$30+'Inputs'!$B$31+'Inputs'!$B$32)/1000+'Inputs'!$B$21)+'Inputs'!$B$7)^2+('Inputs'!$B$6/2)^2)-(((1018-43)*MAX('Inputs'!$B$33,'Inputs'!$B$29+'Inputs'!$B$31+'Inputs'!$B$32,'Inputs'!$B$30+'Inputs'!$B$31+'Inputs'!$B$32)/1000+'Inputs'!$B$21))/SQRT((((1018-43)*MAX('Inputs'!$B$33,'Inputs'!$B$29+'Inputs'!$B$31+'Inputs'!$B$32,'Inputs'!$B$30+'Inputs'!$B$31+'Inputs'!$B$32)/1000+'Inputs'!$B$21))^2+('Inputs'!$B$6/2)^2)))-'Results'!C7*(1-'Inputs'!$B$24)*(0.5*((((1018-43)*MAX('Inputs'!$B$33,'Inputs'!$B$29+'Inputs'!$B$31+'Inputs'!$B$32,'Inputs'!$B$30+'Inputs'!$B$31+'Inputs'!$B$32)/1000+'Inputs'!$B$21+'Inputs'!$B$7+'Inputs'!$B$10)+'Inputs'!$B$9)/SQRT((((1018-43)*MAX('Inputs'!$B$33,'Inputs'!$B$29+'Inputs'!$B$31+'Inputs'!$B$32,'Inputs'!$B$30+'Inputs'!$B$31+'Inputs'!$B$32)/1000+'Inputs'!$B$21+'Inputs'!$B$7+'Inputs'!$B$10)+'Inputs'!$B$9)^2+('Inputs'!$B$8/2)^2)-(((1018-43)*MAX('Inputs'!$B$33,'Inputs'!$B$29+'Inputs'!$B$31+'Inputs'!$B$32,'Inputs'!$B$30+'Inputs'!$B$31+'Inputs'!$B$32)/1000+'Inputs'!$B$21+'Inputs'!$B$7+'Inputs'!$B$10))/SQRT((((1018-43)*MAX('Inputs'!$B$33,'Inputs'!$B$29+'Inputs'!$B$31+'Inputs'!$B$32,'Inputs'!$B$30+'Inputs'!$B$31+'Inputs'!$B$32)/1000+'Inputs'!$B$21+'Inputs'!$B$7+'Inputs'!$B$10))^2+('Inputs'!$B$8/2)^2))))*'Results'!$B$8))),"")</x:f>
        <x:v>0.4593150165598413</x:v>
      </x:c>
      <x:c r="M1018" t="n">
        <x:f>IF(AND(ISNUMBER('Results'!C7),ISNUMBER('Results'!B7),ISNUMBER('Results'!$B$8),ISNUMBER('Inputs'!$B$6),ISNUMBER('Inputs'!$B$7),ISNUMBER('Inputs'!$B$8),ISNUMBER('Inputs'!$B$9),ISNUMBER('Inputs'!$B$10),ISNUMBER('Inputs'!$B$21),ISNUMBER('Inputs'!$B$24),ISNUMBER('Inputs'!$B$28)),(('Results'!C7*(0.5*((((1018-43)*MAX('Inputs'!$B$33,'Inputs'!$B$29+'Inputs'!$B$31+'Inputs'!$B$32,'Inputs'!$B$30+'Inputs'!$B$31+'Inputs'!$B$32)/1000+'Inputs'!$B$21)+'Inputs'!$B$9)/SQRT((((1018-43)*MAX('Inputs'!$B$33,'Inputs'!$B$29+'Inputs'!$B$31+'Inputs'!$B$32,'Inputs'!$B$30+'Inputs'!$B$31+'Inputs'!$B$32)/1000+'Inputs'!$B$21)+'Inputs'!$B$9)^2+('Inputs'!$B$8/2)^2)-(((1018-43)*MAX('Inputs'!$B$33,'Inputs'!$B$29+'Inputs'!$B$31+'Inputs'!$B$32,'Inputs'!$B$30+'Inputs'!$B$31+'Inputs'!$B$32)/1000+'Inputs'!$B$21))/SQRT((((1018-43)*MAX('Inputs'!$B$33,'Inputs'!$B$29+'Inputs'!$B$31+'Inputs'!$B$32,'Inputs'!$B$30+'Inputs'!$B$31+'Inputs'!$B$32)/1000+'Inputs'!$B$21))^2+('Inputs'!$B$8/2)^2)))-'Results'!B7*(0.5*((((1018-43)*MAX('Inputs'!$B$33,'Inputs'!$B$29+'Inputs'!$B$31+'Inputs'!$B$32,'Inputs'!$B$30+'Inputs'!$B$31+'Inputs'!$B$32)/1000+'Inputs'!$B$21+'Inputs'!$B$9+'Inputs'!$B$10)+'Inputs'!$B$7)/SQRT((((1018-43)*MAX('Inputs'!$B$33,'Inputs'!$B$29+'Inputs'!$B$31+'Inputs'!$B$32,'Inputs'!$B$30+'Inputs'!$B$31+'Inputs'!$B$32)/1000+'Inputs'!$B$21+'Inputs'!$B$9+'Inputs'!$B$10)+'Inputs'!$B$7)^2+('Inputs'!$B$6/2)^2)-(((1018-43)*MAX('Inputs'!$B$33,'Inputs'!$B$29+'Inputs'!$B$31+'Inputs'!$B$32,'Inputs'!$B$30+'Inputs'!$B$31+'Inputs'!$B$32)/1000+'Inputs'!$B$21+'Inputs'!$B$9+'Inputs'!$B$10))/SQRT((((1018-43)*MAX('Inputs'!$B$33,'Inputs'!$B$29+'Inputs'!$B$31+'Inputs'!$B$32,'Inputs'!$B$30+'Inputs'!$B$31+'Inputs'!$B$32)/1000+'Inputs'!$B$21+'Inputs'!$B$9+'Inputs'!$B$10))^2+('Inputs'!$B$6/2)^2))))*'Results'!$B$8),"")</x:f>
        <x:v>0.34554294641506333</x:v>
      </x:c>
      <x:c r="N1018" t="n">
        <x:f>IF(AND(ISNUMBER('Results'!C7),ISNUMBER('Results'!B7),ISNUMBER('Results'!$B$8),ISNUMBER('Inputs'!$B$6),ISNUMBER('Inputs'!$B$7),ISNUMBER('Inputs'!$B$8),ISNUMBER('Inputs'!$B$9),ISNUMBER('Inputs'!$B$10),ISNUMBER('Inputs'!$B$21),ISNUMBER('Inputs'!$B$24),ISNUMBER('Inputs'!$B$28)),((('Results'!C7*(1-'Inputs'!$B$24)*(0.5*((((1018-43)*MAX('Inputs'!$B$33,'Inputs'!$B$29+'Inputs'!$B$31+'Inputs'!$B$32,'Inputs'!$B$30+'Inputs'!$B$31+'Inputs'!$B$32)/1000+'Inputs'!$B$21)+'Inputs'!$B$9)/SQRT((((1018-43)*MAX('Inputs'!$B$33,'Inputs'!$B$29+'Inputs'!$B$31+'Inputs'!$B$32,'Inputs'!$B$30+'Inputs'!$B$31+'Inputs'!$B$32)/1000+'Inputs'!$B$21)+'Inputs'!$B$9)^2+('Inputs'!$B$8/2)^2)-(((1018-43)*MAX('Inputs'!$B$33,'Inputs'!$B$29+'Inputs'!$B$31+'Inputs'!$B$32,'Inputs'!$B$30+'Inputs'!$B$31+'Inputs'!$B$32)/1000+'Inputs'!$B$21))/SQRT((((1018-43)*MAX('Inputs'!$B$33,'Inputs'!$B$29+'Inputs'!$B$31+'Inputs'!$B$32,'Inputs'!$B$30+'Inputs'!$B$31+'Inputs'!$B$32)/1000+'Inputs'!$B$21))^2+('Inputs'!$B$8/2)^2)))-'Results'!B7*(1+'Inputs'!$B$24)*(0.5*((((1018-43)*MAX('Inputs'!$B$33,'Inputs'!$B$29+'Inputs'!$B$31+'Inputs'!$B$32,'Inputs'!$B$30+'Inputs'!$B$31+'Inputs'!$B$32)/1000+'Inputs'!$B$21+'Inputs'!$B$9+'Inputs'!$B$10)+'Inputs'!$B$7)/SQRT((((1018-43)*MAX('Inputs'!$B$33,'Inputs'!$B$29+'Inputs'!$B$31+'Inputs'!$B$32,'Inputs'!$B$30+'Inputs'!$B$31+'Inputs'!$B$32)/1000+'Inputs'!$B$21+'Inputs'!$B$9+'Inputs'!$B$10)+'Inputs'!$B$7)^2+('Inputs'!$B$6/2)^2)-(((1018-43)*MAX('Inputs'!$B$33,'Inputs'!$B$29+'Inputs'!$B$31+'Inputs'!$B$32,'Inputs'!$B$30+'Inputs'!$B$31+'Inputs'!$B$32)/1000+'Inputs'!$B$21+'Inputs'!$B$9+'Inputs'!$B$10))/SQRT((((1018-43)*MAX('Inputs'!$B$33,'Inputs'!$B$29+'Inputs'!$B$31+'Inputs'!$B$32,'Inputs'!$B$30+'Inputs'!$B$31+'Inputs'!$B$32)/1000+'Inputs'!$B$21+'Inputs'!$B$9+'Inputs'!$B$10))^2+('Inputs'!$B$6/2)^2))))*'Results'!$B$8)-'Inputs'!$B$28*ABS((('Results'!C7*(1-'Inputs'!$B$24)*(0.5*((((1018-43)*MAX('Inputs'!$B$33,'Inputs'!$B$29+'Inputs'!$B$31+'Inputs'!$B$32,'Inputs'!$B$30+'Inputs'!$B$31+'Inputs'!$B$32)/1000+'Inputs'!$B$21)+'Inputs'!$B$9)/SQRT((((1018-43)*MAX('Inputs'!$B$33,'Inputs'!$B$29+'Inputs'!$B$31+'Inputs'!$B$32,'Inputs'!$B$30+'Inputs'!$B$31+'Inputs'!$B$32)/1000+'Inputs'!$B$21)+'Inputs'!$B$9)^2+('Inputs'!$B$8/2)^2)-(((1018-43)*MAX('Inputs'!$B$33,'Inputs'!$B$29+'Inputs'!$B$31+'Inputs'!$B$32,'Inputs'!$B$30+'Inputs'!$B$31+'Inputs'!$B$32)/1000+'Inputs'!$B$21))/SQRT((((1018-43)*MAX('Inputs'!$B$33,'Inputs'!$B$29+'Inputs'!$B$31+'Inputs'!$B$32,'Inputs'!$B$30+'Inputs'!$B$31+'Inputs'!$B$32)/1000+'Inputs'!$B$21))^2+('Inputs'!$B$8/2)^2)))-'Results'!B7*(1+'Inputs'!$B$24)*(0.5*((((1018-43)*MAX('Inputs'!$B$33,'Inputs'!$B$29+'Inputs'!$B$31+'Inputs'!$B$32,'Inputs'!$B$30+'Inputs'!$B$31+'Inputs'!$B$32)/1000+'Inputs'!$B$21+'Inputs'!$B$9+'Inputs'!$B$10)+'Inputs'!$B$7)/SQRT((((1018-43)*MAX('Inputs'!$B$33,'Inputs'!$B$29+'Inputs'!$B$31+'Inputs'!$B$32,'Inputs'!$B$30+'Inputs'!$B$31+'Inputs'!$B$32)/1000+'Inputs'!$B$21+'Inputs'!$B$9+'Inputs'!$B$10)+'Inputs'!$B$7)^2+('Inputs'!$B$6/2)^2)-(((1018-43)*MAX('Inputs'!$B$33,'Inputs'!$B$29+'Inputs'!$B$31+'Inputs'!$B$32,'Inputs'!$B$30+'Inputs'!$B$31+'Inputs'!$B$32)/1000+'Inputs'!$B$21+'Inputs'!$B$9+'Inputs'!$B$10))/SQRT((((1018-43)*MAX('Inputs'!$B$33,'Inputs'!$B$29+'Inputs'!$B$31+'Inputs'!$B$32,'Inputs'!$B$30+'Inputs'!$B$31+'Inputs'!$B$32)/1000+'Inputs'!$B$21+'Inputs'!$B$9+'Inputs'!$B$10))^2+('Inputs'!$B$6/2)^2))))*'Results'!$B$8))),"")</x:f>
        <x:v>0.28493863172329437</x:v>
      </x:c>
      <x:c r="O1018" t="n">
        <x:f>IF(AND(ISNUMBER('Results'!C7),ISNUMBER('Results'!B7),ISNUMBER('Results'!$B$8),ISNUMBER('Inputs'!$B$6),ISNUMBER('Inputs'!$B$7),ISNUMBER('Inputs'!$B$8),ISNUMBER('Inputs'!$B$9),ISNUMBER('Inputs'!$B$10),ISNUMBER('Inputs'!$B$21),ISNUMBER('Inputs'!$B$24),ISNUMBER('Inputs'!$B$28)),((('Results'!C7*(1+'Inputs'!$B$24)*(0.5*((((1018-43)*MAX('Inputs'!$B$33,'Inputs'!$B$29+'Inputs'!$B$31+'Inputs'!$B$32,'Inputs'!$B$30+'Inputs'!$B$31+'Inputs'!$B$32)/1000+'Inputs'!$B$21)+'Inputs'!$B$9)/SQRT((((1018-43)*MAX('Inputs'!$B$33,'Inputs'!$B$29+'Inputs'!$B$31+'Inputs'!$B$32,'Inputs'!$B$30+'Inputs'!$B$31+'Inputs'!$B$32)/1000+'Inputs'!$B$21)+'Inputs'!$B$9)^2+('Inputs'!$B$8/2)^2)-(((1018-43)*MAX('Inputs'!$B$33,'Inputs'!$B$29+'Inputs'!$B$31+'Inputs'!$B$32,'Inputs'!$B$30+'Inputs'!$B$31+'Inputs'!$B$32)/1000+'Inputs'!$B$21))/SQRT((((1018-43)*MAX('Inputs'!$B$33,'Inputs'!$B$29+'Inputs'!$B$31+'Inputs'!$B$32,'Inputs'!$B$30+'Inputs'!$B$31+'Inputs'!$B$32)/1000+'Inputs'!$B$21))^2+('Inputs'!$B$8/2)^2)))-'Results'!B7*(1-'Inputs'!$B$24)*(0.5*((((1018-43)*MAX('Inputs'!$B$33,'Inputs'!$B$29+'Inputs'!$B$31+'Inputs'!$B$32,'Inputs'!$B$30+'Inputs'!$B$31+'Inputs'!$B$32)/1000+'Inputs'!$B$21+'Inputs'!$B$9+'Inputs'!$B$10)+'Inputs'!$B$7)/SQRT((((1018-43)*MAX('Inputs'!$B$33,'Inputs'!$B$29+'Inputs'!$B$31+'Inputs'!$B$32,'Inputs'!$B$30+'Inputs'!$B$31+'Inputs'!$B$32)/1000+'Inputs'!$B$21+'Inputs'!$B$9+'Inputs'!$B$10)+'Inputs'!$B$7)^2+('Inputs'!$B$6/2)^2)-(((1018-43)*MAX('Inputs'!$B$33,'Inputs'!$B$29+'Inputs'!$B$31+'Inputs'!$B$32,'Inputs'!$B$30+'Inputs'!$B$31+'Inputs'!$B$32)/1000+'Inputs'!$B$21+'Inputs'!$B$9+'Inputs'!$B$10))/SQRT((((1018-43)*MAX('Inputs'!$B$33,'Inputs'!$B$29+'Inputs'!$B$31+'Inputs'!$B$32,'Inputs'!$B$30+'Inputs'!$B$31+'Inputs'!$B$32)/1000+'Inputs'!$B$21+'Inputs'!$B$9+'Inputs'!$B$10))^2+('Inputs'!$B$6/2)^2))))*'Results'!$B$8)+'Inputs'!$B$28*ABS((('Results'!C7*(1+'Inputs'!$B$24)*(0.5*((((1018-43)*MAX('Inputs'!$B$33,'Inputs'!$B$29+'Inputs'!$B$31+'Inputs'!$B$32,'Inputs'!$B$30+'Inputs'!$B$31+'Inputs'!$B$32)/1000+'Inputs'!$B$21)+'Inputs'!$B$9)/SQRT((((1018-43)*MAX('Inputs'!$B$33,'Inputs'!$B$29+'Inputs'!$B$31+'Inputs'!$B$32,'Inputs'!$B$30+'Inputs'!$B$31+'Inputs'!$B$32)/1000+'Inputs'!$B$21)+'Inputs'!$B$9)^2+('Inputs'!$B$8/2)^2)-(((1018-43)*MAX('Inputs'!$B$33,'Inputs'!$B$29+'Inputs'!$B$31+'Inputs'!$B$32,'Inputs'!$B$30+'Inputs'!$B$31+'Inputs'!$B$32)/1000+'Inputs'!$B$21))/SQRT((((1018-43)*MAX('Inputs'!$B$33,'Inputs'!$B$29+'Inputs'!$B$31+'Inputs'!$B$32,'Inputs'!$B$30+'Inputs'!$B$31+'Inputs'!$B$32)/1000+'Inputs'!$B$21))^2+('Inputs'!$B$8/2)^2)))-'Results'!B7*(1-'Inputs'!$B$24)*(0.5*((((1018-43)*MAX('Inputs'!$B$33,'Inputs'!$B$29+'Inputs'!$B$31+'Inputs'!$B$32,'Inputs'!$B$30+'Inputs'!$B$31+'Inputs'!$B$32)/1000+'Inputs'!$B$21+'Inputs'!$B$9+'Inputs'!$B$10)+'Inputs'!$B$7)/SQRT((((1018-43)*MAX('Inputs'!$B$33,'Inputs'!$B$29+'Inputs'!$B$31+'Inputs'!$B$32,'Inputs'!$B$30+'Inputs'!$B$31+'Inputs'!$B$32)/1000+'Inputs'!$B$21+'Inputs'!$B$9+'Inputs'!$B$10)+'Inputs'!$B$7)^2+('Inputs'!$B$6/2)^2)-(((1018-43)*MAX('Inputs'!$B$33,'Inputs'!$B$29+'Inputs'!$B$31+'Inputs'!$B$32,'Inputs'!$B$30+'Inputs'!$B$31+'Inputs'!$B$32)/1000+'Inputs'!$B$21+'Inputs'!$B$9+'Inputs'!$B$10))/SQRT((((1018-43)*MAX('Inputs'!$B$33,'Inputs'!$B$29+'Inputs'!$B$31+'Inputs'!$B$32,'Inputs'!$B$30+'Inputs'!$B$31+'Inputs'!$B$32)/1000+'Inputs'!$B$21+'Inputs'!$B$9+'Inputs'!$B$10))^2+('Inputs'!$B$6/2)^2))))*'Results'!$B$8))),"")</x:f>
        <x:v>0.4107080155669392</x:v>
      </x:c>
      <x:c r="P1018" t="n">
        <x:f>IF(AND(MAX(J1018,J1017)&gt;0,J1018&gt;J1017+0.00000001),1,0)</x:f>
        <x:v>0</x:v>
      </x:c>
      <x:c r="Q1018" t="n">
        <x:f>IF(AND(MAX(K1018,K1017)&gt;0,K1018&gt;K1017+0.00000001),1,0)</x:f>
        <x:v>0</x:v>
      </x:c>
      <x:c r="R1018" t="n">
        <x:f>IF(AND(MAX(L1018,L1017)&gt;0,L1018&gt;L1017+0.00000001),1,0)</x:f>
        <x:v>0</x:v>
      </x:c>
      <x:c r="S1018" t="n">
        <x:f>IF(AND(MAX(M1018,M1017)&gt;0,M1018&gt;M1017+0.00000001),1,0)</x:f>
        <x:v>0</x:v>
      </x:c>
      <x:c r="T1018" t="n">
        <x:f>IF(AND(MAX(N1018,N1017)&gt;0,N1018&gt;N1017+0.00000001),1,0)</x:f>
        <x:v>0</x:v>
      </x:c>
      <x:c r="U1018" t="n">
        <x:f>IF(AND(MAX(O1018,O1017)&gt;0,O1018&gt;O1017+0.00000001),1,0)</x:f>
        <x:v>0</x:v>
      </x:c>
    </x:row>
    <x:row r="1019">
      <x:c r="J1019" t="n">
        <x:f>IF(AND(ISNUMBER('Results'!B7),ISNUMBER('Results'!C7),ISNUMBER('Results'!$B$8),ISNUMBER('Inputs'!$B$6),ISNUMBER('Inputs'!$B$7),ISNUMBER('Inputs'!$B$8),ISNUMBER('Inputs'!$B$9),ISNUMBER('Inputs'!$B$10),ISNUMBER('Inputs'!$B$21),ISNUMBER('Inputs'!$B$24),ISNUMBER('Inputs'!$B$28)),(('Results'!B7*(0.5*((((1019-43)*MAX('Inputs'!$B$33,'Inputs'!$B$29+'Inputs'!$B$31+'Inputs'!$B$32,'Inputs'!$B$30+'Inputs'!$B$31+'Inputs'!$B$32)/1000+'Inputs'!$B$21)+'Inputs'!$B$7)/SQRT((((1019-43)*MAX('Inputs'!$B$33,'Inputs'!$B$29+'Inputs'!$B$31+'Inputs'!$B$32,'Inputs'!$B$30+'Inputs'!$B$31+'Inputs'!$B$32)/1000+'Inputs'!$B$21)+'Inputs'!$B$7)^2+('Inputs'!$B$6/2)^2)-(((1019-43)*MAX('Inputs'!$B$33,'Inputs'!$B$29+'Inputs'!$B$31+'Inputs'!$B$32,'Inputs'!$B$30+'Inputs'!$B$31+'Inputs'!$B$32)/1000+'Inputs'!$B$21))/SQRT((((1019-43)*MAX('Inputs'!$B$33,'Inputs'!$B$29+'Inputs'!$B$31+'Inputs'!$B$32,'Inputs'!$B$30+'Inputs'!$B$31+'Inputs'!$B$32)/1000+'Inputs'!$B$21))^2+('Inputs'!$B$6/2)^2)))-'Results'!C7*(0.5*((((1019-43)*MAX('Inputs'!$B$33,'Inputs'!$B$29+'Inputs'!$B$31+'Inputs'!$B$32,'Inputs'!$B$30+'Inputs'!$B$31+'Inputs'!$B$32)/1000+'Inputs'!$B$21+'Inputs'!$B$7+'Inputs'!$B$10)+'Inputs'!$B$9)/SQRT((((1019-43)*MAX('Inputs'!$B$33,'Inputs'!$B$29+'Inputs'!$B$31+'Inputs'!$B$32,'Inputs'!$B$30+'Inputs'!$B$31+'Inputs'!$B$32)/1000+'Inputs'!$B$21+'Inputs'!$B$7+'Inputs'!$B$10)+'Inputs'!$B$9)^2+('Inputs'!$B$8/2)^2)-(((1019-43)*MAX('Inputs'!$B$33,'Inputs'!$B$29+'Inputs'!$B$31+'Inputs'!$B$32,'Inputs'!$B$30+'Inputs'!$B$31+'Inputs'!$B$32)/1000+'Inputs'!$B$21+'Inputs'!$B$7+'Inputs'!$B$10))/SQRT((((1019-43)*MAX('Inputs'!$B$33,'Inputs'!$B$29+'Inputs'!$B$31+'Inputs'!$B$32,'Inputs'!$B$30+'Inputs'!$B$31+'Inputs'!$B$32)/1000+'Inputs'!$B$21+'Inputs'!$B$7+'Inputs'!$B$10))^2+('Inputs'!$B$8/2)^2))))*'Results'!$B$8),"")</x:f>
        <x:v>0.39022465263692496</x:v>
      </x:c>
      <x:c r="K1019" t="n">
        <x:f>IF(AND(ISNUMBER('Results'!B7),ISNUMBER('Results'!C7),ISNUMBER('Results'!$B$8),ISNUMBER('Inputs'!$B$6),ISNUMBER('Inputs'!$B$7),ISNUMBER('Inputs'!$B$8),ISNUMBER('Inputs'!$B$9),ISNUMBER('Inputs'!$B$10),ISNUMBER('Inputs'!$B$21),ISNUMBER('Inputs'!$B$24),ISNUMBER('Inputs'!$B$28)),((('Results'!B7*(1-'Inputs'!$B$24)*(0.5*((((1019-43)*MAX('Inputs'!$B$33,'Inputs'!$B$29+'Inputs'!$B$31+'Inputs'!$B$32,'Inputs'!$B$30+'Inputs'!$B$31+'Inputs'!$B$32)/1000+'Inputs'!$B$21)+'Inputs'!$B$7)/SQRT((((1019-43)*MAX('Inputs'!$B$33,'Inputs'!$B$29+'Inputs'!$B$31+'Inputs'!$B$32,'Inputs'!$B$30+'Inputs'!$B$31+'Inputs'!$B$32)/1000+'Inputs'!$B$21)+'Inputs'!$B$7)^2+('Inputs'!$B$6/2)^2)-(((1019-43)*MAX('Inputs'!$B$33,'Inputs'!$B$29+'Inputs'!$B$31+'Inputs'!$B$32,'Inputs'!$B$30+'Inputs'!$B$31+'Inputs'!$B$32)/1000+'Inputs'!$B$21))/SQRT((((1019-43)*MAX('Inputs'!$B$33,'Inputs'!$B$29+'Inputs'!$B$31+'Inputs'!$B$32,'Inputs'!$B$30+'Inputs'!$B$31+'Inputs'!$B$32)/1000+'Inputs'!$B$21))^2+('Inputs'!$B$6/2)^2)))-'Results'!C7*(1+'Inputs'!$B$24)*(0.5*((((1019-43)*MAX('Inputs'!$B$33,'Inputs'!$B$29+'Inputs'!$B$31+'Inputs'!$B$32,'Inputs'!$B$30+'Inputs'!$B$31+'Inputs'!$B$32)/1000+'Inputs'!$B$21+'Inputs'!$B$7+'Inputs'!$B$10)+'Inputs'!$B$9)/SQRT((((1019-43)*MAX('Inputs'!$B$33,'Inputs'!$B$29+'Inputs'!$B$31+'Inputs'!$B$32,'Inputs'!$B$30+'Inputs'!$B$31+'Inputs'!$B$32)/1000+'Inputs'!$B$21+'Inputs'!$B$7+'Inputs'!$B$10)+'Inputs'!$B$9)^2+('Inputs'!$B$8/2)^2)-(((1019-43)*MAX('Inputs'!$B$33,'Inputs'!$B$29+'Inputs'!$B$31+'Inputs'!$B$32,'Inputs'!$B$30+'Inputs'!$B$31+'Inputs'!$B$32)/1000+'Inputs'!$B$21+'Inputs'!$B$7+'Inputs'!$B$10))/SQRT((((1019-43)*MAX('Inputs'!$B$33,'Inputs'!$B$29+'Inputs'!$B$31+'Inputs'!$B$32,'Inputs'!$B$30+'Inputs'!$B$31+'Inputs'!$B$32)/1000+'Inputs'!$B$21+'Inputs'!$B$7+'Inputs'!$B$10))^2+('Inputs'!$B$8/2)^2))))*'Results'!$B$8)-'Inputs'!$B$28*ABS((('Results'!B7*(1-'Inputs'!$B$24)*(0.5*((((1019-43)*MAX('Inputs'!$B$33,'Inputs'!$B$29+'Inputs'!$B$31+'Inputs'!$B$32,'Inputs'!$B$30+'Inputs'!$B$31+'Inputs'!$B$32)/1000+'Inputs'!$B$21)+'Inputs'!$B$7)/SQRT((((1019-43)*MAX('Inputs'!$B$33,'Inputs'!$B$29+'Inputs'!$B$31+'Inputs'!$B$32,'Inputs'!$B$30+'Inputs'!$B$31+'Inputs'!$B$32)/1000+'Inputs'!$B$21)+'Inputs'!$B$7)^2+('Inputs'!$B$6/2)^2)-(((1019-43)*MAX('Inputs'!$B$33,'Inputs'!$B$29+'Inputs'!$B$31+'Inputs'!$B$32,'Inputs'!$B$30+'Inputs'!$B$31+'Inputs'!$B$32)/1000+'Inputs'!$B$21))/SQRT((((1019-43)*MAX('Inputs'!$B$33,'Inputs'!$B$29+'Inputs'!$B$31+'Inputs'!$B$32,'Inputs'!$B$30+'Inputs'!$B$31+'Inputs'!$B$32)/1000+'Inputs'!$B$21))^2+('Inputs'!$B$6/2)^2)))-'Results'!C7*(1+'Inputs'!$B$24)*(0.5*((((1019-43)*MAX('Inputs'!$B$33,'Inputs'!$B$29+'Inputs'!$B$31+'Inputs'!$B$32,'Inputs'!$B$30+'Inputs'!$B$31+'Inputs'!$B$32)/1000+'Inputs'!$B$21+'Inputs'!$B$7+'Inputs'!$B$10)+'Inputs'!$B$9)/SQRT((((1019-43)*MAX('Inputs'!$B$33,'Inputs'!$B$29+'Inputs'!$B$31+'Inputs'!$B$32,'Inputs'!$B$30+'Inputs'!$B$31+'Inputs'!$B$32)/1000+'Inputs'!$B$21+'Inputs'!$B$7+'Inputs'!$B$10)+'Inputs'!$B$9)^2+('Inputs'!$B$8/2)^2)-(((1019-43)*MAX('Inputs'!$B$33,'Inputs'!$B$29+'Inputs'!$B$31+'Inputs'!$B$32,'Inputs'!$B$30+'Inputs'!$B$31+'Inputs'!$B$32)/1000+'Inputs'!$B$21+'Inputs'!$B$7+'Inputs'!$B$10))/SQRT((((1019-43)*MAX('Inputs'!$B$33,'Inputs'!$B$29+'Inputs'!$B$31+'Inputs'!$B$32,'Inputs'!$B$30+'Inputs'!$B$31+'Inputs'!$B$32)/1000+'Inputs'!$B$21+'Inputs'!$B$7+'Inputs'!$B$10))^2+('Inputs'!$B$8/2)^2))))*'Results'!$B$8))),"")</x:f>
        <x:v>0.3273693187381883</x:v>
      </x:c>
      <x:c r="L1019" t="n">
        <x:f>IF(AND(ISNUMBER('Results'!B7),ISNUMBER('Results'!C7),ISNUMBER('Results'!$B$8),ISNUMBER('Inputs'!$B$6),ISNUMBER('Inputs'!$B$7),ISNUMBER('Inputs'!$B$8),ISNUMBER('Inputs'!$B$9),ISNUMBER('Inputs'!$B$10),ISNUMBER('Inputs'!$B$21),ISNUMBER('Inputs'!$B$24),ISNUMBER('Inputs'!$B$28)),((('Results'!B7*(1+'Inputs'!$B$24)*(0.5*((((1019-43)*MAX('Inputs'!$B$33,'Inputs'!$B$29+'Inputs'!$B$31+'Inputs'!$B$32,'Inputs'!$B$30+'Inputs'!$B$31+'Inputs'!$B$32)/1000+'Inputs'!$B$21)+'Inputs'!$B$7)/SQRT((((1019-43)*MAX('Inputs'!$B$33,'Inputs'!$B$29+'Inputs'!$B$31+'Inputs'!$B$32,'Inputs'!$B$30+'Inputs'!$B$31+'Inputs'!$B$32)/1000+'Inputs'!$B$21)+'Inputs'!$B$7)^2+('Inputs'!$B$6/2)^2)-(((1019-43)*MAX('Inputs'!$B$33,'Inputs'!$B$29+'Inputs'!$B$31+'Inputs'!$B$32,'Inputs'!$B$30+'Inputs'!$B$31+'Inputs'!$B$32)/1000+'Inputs'!$B$21))/SQRT((((1019-43)*MAX('Inputs'!$B$33,'Inputs'!$B$29+'Inputs'!$B$31+'Inputs'!$B$32,'Inputs'!$B$30+'Inputs'!$B$31+'Inputs'!$B$32)/1000+'Inputs'!$B$21))^2+('Inputs'!$B$6/2)^2)))-'Results'!C7*(1-'Inputs'!$B$24)*(0.5*((((1019-43)*MAX('Inputs'!$B$33,'Inputs'!$B$29+'Inputs'!$B$31+'Inputs'!$B$32,'Inputs'!$B$30+'Inputs'!$B$31+'Inputs'!$B$32)/1000+'Inputs'!$B$21+'Inputs'!$B$7+'Inputs'!$B$10)+'Inputs'!$B$9)/SQRT((((1019-43)*MAX('Inputs'!$B$33,'Inputs'!$B$29+'Inputs'!$B$31+'Inputs'!$B$32,'Inputs'!$B$30+'Inputs'!$B$31+'Inputs'!$B$32)/1000+'Inputs'!$B$21+'Inputs'!$B$7+'Inputs'!$B$10)+'Inputs'!$B$9)^2+('Inputs'!$B$8/2)^2)-(((1019-43)*MAX('Inputs'!$B$33,'Inputs'!$B$29+'Inputs'!$B$31+'Inputs'!$B$32,'Inputs'!$B$30+'Inputs'!$B$31+'Inputs'!$B$32)/1000+'Inputs'!$B$21+'Inputs'!$B$7+'Inputs'!$B$10))/SQRT((((1019-43)*MAX('Inputs'!$B$33,'Inputs'!$B$29+'Inputs'!$B$31+'Inputs'!$B$32,'Inputs'!$B$30+'Inputs'!$B$31+'Inputs'!$B$32)/1000+'Inputs'!$B$21+'Inputs'!$B$7+'Inputs'!$B$10))^2+('Inputs'!$B$8/2)^2))))*'Results'!$B$8)+'Inputs'!$B$28*ABS((('Results'!B7*(1+'Inputs'!$B$24)*(0.5*((((1019-43)*MAX('Inputs'!$B$33,'Inputs'!$B$29+'Inputs'!$B$31+'Inputs'!$B$32,'Inputs'!$B$30+'Inputs'!$B$31+'Inputs'!$B$32)/1000+'Inputs'!$B$21)+'Inputs'!$B$7)/SQRT((((1019-43)*MAX('Inputs'!$B$33,'Inputs'!$B$29+'Inputs'!$B$31+'Inputs'!$B$32,'Inputs'!$B$30+'Inputs'!$B$31+'Inputs'!$B$32)/1000+'Inputs'!$B$21)+'Inputs'!$B$7)^2+('Inputs'!$B$6/2)^2)-(((1019-43)*MAX('Inputs'!$B$33,'Inputs'!$B$29+'Inputs'!$B$31+'Inputs'!$B$32,'Inputs'!$B$30+'Inputs'!$B$31+'Inputs'!$B$32)/1000+'Inputs'!$B$21))/SQRT((((1019-43)*MAX('Inputs'!$B$33,'Inputs'!$B$29+'Inputs'!$B$31+'Inputs'!$B$32,'Inputs'!$B$30+'Inputs'!$B$31+'Inputs'!$B$32)/1000+'Inputs'!$B$21))^2+('Inputs'!$B$6/2)^2)))-'Results'!C7*(1-'Inputs'!$B$24)*(0.5*((((1019-43)*MAX('Inputs'!$B$33,'Inputs'!$B$29+'Inputs'!$B$31+'Inputs'!$B$32,'Inputs'!$B$30+'Inputs'!$B$31+'Inputs'!$B$32)/1000+'Inputs'!$B$21+'Inputs'!$B$7+'Inputs'!$B$10)+'Inputs'!$B$9)/SQRT((((1019-43)*MAX('Inputs'!$B$33,'Inputs'!$B$29+'Inputs'!$B$31+'Inputs'!$B$32,'Inputs'!$B$30+'Inputs'!$B$31+'Inputs'!$B$32)/1000+'Inputs'!$B$21+'Inputs'!$B$7+'Inputs'!$B$10)+'Inputs'!$B$9)^2+('Inputs'!$B$8/2)^2)-(((1019-43)*MAX('Inputs'!$B$33,'Inputs'!$B$29+'Inputs'!$B$31+'Inputs'!$B$32,'Inputs'!$B$30+'Inputs'!$B$31+'Inputs'!$B$32)/1000+'Inputs'!$B$21+'Inputs'!$B$7+'Inputs'!$B$10))/SQRT((((1019-43)*MAX('Inputs'!$B$33,'Inputs'!$B$29+'Inputs'!$B$31+'Inputs'!$B$32,'Inputs'!$B$30+'Inputs'!$B$31+'Inputs'!$B$32)/1000+'Inputs'!$B$21+'Inputs'!$B$7+'Inputs'!$B$10))^2+('Inputs'!$B$8/2)^2))))*'Results'!$B$8))),"")</x:f>
        <x:v>0.4576425235111239</x:v>
      </x:c>
      <x:c r="M1019" t="n">
        <x:f>IF(AND(ISNUMBER('Results'!C7),ISNUMBER('Results'!B7),ISNUMBER('Results'!$B$8),ISNUMBER('Inputs'!$B$6),ISNUMBER('Inputs'!$B$7),ISNUMBER('Inputs'!$B$8),ISNUMBER('Inputs'!$B$9),ISNUMBER('Inputs'!$B$10),ISNUMBER('Inputs'!$B$21),ISNUMBER('Inputs'!$B$24),ISNUMBER('Inputs'!$B$28)),(('Results'!C7*(0.5*((((1019-43)*MAX('Inputs'!$B$33,'Inputs'!$B$29+'Inputs'!$B$31+'Inputs'!$B$32,'Inputs'!$B$30+'Inputs'!$B$31+'Inputs'!$B$32)/1000+'Inputs'!$B$21)+'Inputs'!$B$9)/SQRT((((1019-43)*MAX('Inputs'!$B$33,'Inputs'!$B$29+'Inputs'!$B$31+'Inputs'!$B$32,'Inputs'!$B$30+'Inputs'!$B$31+'Inputs'!$B$32)/1000+'Inputs'!$B$21)+'Inputs'!$B$9)^2+('Inputs'!$B$8/2)^2)-(((1019-43)*MAX('Inputs'!$B$33,'Inputs'!$B$29+'Inputs'!$B$31+'Inputs'!$B$32,'Inputs'!$B$30+'Inputs'!$B$31+'Inputs'!$B$32)/1000+'Inputs'!$B$21))/SQRT((((1019-43)*MAX('Inputs'!$B$33,'Inputs'!$B$29+'Inputs'!$B$31+'Inputs'!$B$32,'Inputs'!$B$30+'Inputs'!$B$31+'Inputs'!$B$32)/1000+'Inputs'!$B$21))^2+('Inputs'!$B$8/2)^2)))-'Results'!B7*(0.5*((((1019-43)*MAX('Inputs'!$B$33,'Inputs'!$B$29+'Inputs'!$B$31+'Inputs'!$B$32,'Inputs'!$B$30+'Inputs'!$B$31+'Inputs'!$B$32)/1000+'Inputs'!$B$21+'Inputs'!$B$9+'Inputs'!$B$10)+'Inputs'!$B$7)/SQRT((((1019-43)*MAX('Inputs'!$B$33,'Inputs'!$B$29+'Inputs'!$B$31+'Inputs'!$B$32,'Inputs'!$B$30+'Inputs'!$B$31+'Inputs'!$B$32)/1000+'Inputs'!$B$21+'Inputs'!$B$9+'Inputs'!$B$10)+'Inputs'!$B$7)^2+('Inputs'!$B$6/2)^2)-(((1019-43)*MAX('Inputs'!$B$33,'Inputs'!$B$29+'Inputs'!$B$31+'Inputs'!$B$32,'Inputs'!$B$30+'Inputs'!$B$31+'Inputs'!$B$32)/1000+'Inputs'!$B$21+'Inputs'!$B$9+'Inputs'!$B$10))/SQRT((((1019-43)*MAX('Inputs'!$B$33,'Inputs'!$B$29+'Inputs'!$B$31+'Inputs'!$B$32,'Inputs'!$B$30+'Inputs'!$B$31+'Inputs'!$B$32)/1000+'Inputs'!$B$21+'Inputs'!$B$9+'Inputs'!$B$10))^2+('Inputs'!$B$6/2)^2))))*'Results'!$B$8),"")</x:f>
        <x:v>0.344213355569019</x:v>
      </x:c>
      <x:c r="N1019" t="n">
        <x:f>IF(AND(ISNUMBER('Results'!C7),ISNUMBER('Results'!B7),ISNUMBER('Results'!$B$8),ISNUMBER('Inputs'!$B$6),ISNUMBER('Inputs'!$B$7),ISNUMBER('Inputs'!$B$8),ISNUMBER('Inputs'!$B$9),ISNUMBER('Inputs'!$B$10),ISNUMBER('Inputs'!$B$21),ISNUMBER('Inputs'!$B$24),ISNUMBER('Inputs'!$B$28)),((('Results'!C7*(1-'Inputs'!$B$24)*(0.5*((((1019-43)*MAX('Inputs'!$B$33,'Inputs'!$B$29+'Inputs'!$B$31+'Inputs'!$B$32,'Inputs'!$B$30+'Inputs'!$B$31+'Inputs'!$B$32)/1000+'Inputs'!$B$21)+'Inputs'!$B$9)/SQRT((((1019-43)*MAX('Inputs'!$B$33,'Inputs'!$B$29+'Inputs'!$B$31+'Inputs'!$B$32,'Inputs'!$B$30+'Inputs'!$B$31+'Inputs'!$B$32)/1000+'Inputs'!$B$21)+'Inputs'!$B$9)^2+('Inputs'!$B$8/2)^2)-(((1019-43)*MAX('Inputs'!$B$33,'Inputs'!$B$29+'Inputs'!$B$31+'Inputs'!$B$32,'Inputs'!$B$30+'Inputs'!$B$31+'Inputs'!$B$32)/1000+'Inputs'!$B$21))/SQRT((((1019-43)*MAX('Inputs'!$B$33,'Inputs'!$B$29+'Inputs'!$B$31+'Inputs'!$B$32,'Inputs'!$B$30+'Inputs'!$B$31+'Inputs'!$B$32)/1000+'Inputs'!$B$21))^2+('Inputs'!$B$8/2)^2)))-'Results'!B7*(1+'Inputs'!$B$24)*(0.5*((((1019-43)*MAX('Inputs'!$B$33,'Inputs'!$B$29+'Inputs'!$B$31+'Inputs'!$B$32,'Inputs'!$B$30+'Inputs'!$B$31+'Inputs'!$B$32)/1000+'Inputs'!$B$21+'Inputs'!$B$9+'Inputs'!$B$10)+'Inputs'!$B$7)/SQRT((((1019-43)*MAX('Inputs'!$B$33,'Inputs'!$B$29+'Inputs'!$B$31+'Inputs'!$B$32,'Inputs'!$B$30+'Inputs'!$B$31+'Inputs'!$B$32)/1000+'Inputs'!$B$21+'Inputs'!$B$9+'Inputs'!$B$10)+'Inputs'!$B$7)^2+('Inputs'!$B$6/2)^2)-(((1019-43)*MAX('Inputs'!$B$33,'Inputs'!$B$29+'Inputs'!$B$31+'Inputs'!$B$32,'Inputs'!$B$30+'Inputs'!$B$31+'Inputs'!$B$32)/1000+'Inputs'!$B$21+'Inputs'!$B$9+'Inputs'!$B$10))/SQRT((((1019-43)*MAX('Inputs'!$B$33,'Inputs'!$B$29+'Inputs'!$B$31+'Inputs'!$B$32,'Inputs'!$B$30+'Inputs'!$B$31+'Inputs'!$B$32)/1000+'Inputs'!$B$21+'Inputs'!$B$9+'Inputs'!$B$10))^2+('Inputs'!$B$6/2)^2))))*'Results'!$B$8)-'Inputs'!$B$28*ABS((('Results'!C7*(1-'Inputs'!$B$24)*(0.5*((((1019-43)*MAX('Inputs'!$B$33,'Inputs'!$B$29+'Inputs'!$B$31+'Inputs'!$B$32,'Inputs'!$B$30+'Inputs'!$B$31+'Inputs'!$B$32)/1000+'Inputs'!$B$21)+'Inputs'!$B$9)/SQRT((((1019-43)*MAX('Inputs'!$B$33,'Inputs'!$B$29+'Inputs'!$B$31+'Inputs'!$B$32,'Inputs'!$B$30+'Inputs'!$B$31+'Inputs'!$B$32)/1000+'Inputs'!$B$21)+'Inputs'!$B$9)^2+('Inputs'!$B$8/2)^2)-(((1019-43)*MAX('Inputs'!$B$33,'Inputs'!$B$29+'Inputs'!$B$31+'Inputs'!$B$32,'Inputs'!$B$30+'Inputs'!$B$31+'Inputs'!$B$32)/1000+'Inputs'!$B$21))/SQRT((((1019-43)*MAX('Inputs'!$B$33,'Inputs'!$B$29+'Inputs'!$B$31+'Inputs'!$B$32,'Inputs'!$B$30+'Inputs'!$B$31+'Inputs'!$B$32)/1000+'Inputs'!$B$21))^2+('Inputs'!$B$8/2)^2)))-'Results'!B7*(1+'Inputs'!$B$24)*(0.5*((((1019-43)*MAX('Inputs'!$B$33,'Inputs'!$B$29+'Inputs'!$B$31+'Inputs'!$B$32,'Inputs'!$B$30+'Inputs'!$B$31+'Inputs'!$B$32)/1000+'Inputs'!$B$21+'Inputs'!$B$9+'Inputs'!$B$10)+'Inputs'!$B$7)/SQRT((((1019-43)*MAX('Inputs'!$B$33,'Inputs'!$B$29+'Inputs'!$B$31+'Inputs'!$B$32,'Inputs'!$B$30+'Inputs'!$B$31+'Inputs'!$B$32)/1000+'Inputs'!$B$21+'Inputs'!$B$9+'Inputs'!$B$10)+'Inputs'!$B$7)^2+('Inputs'!$B$6/2)^2)-(((1019-43)*MAX('Inputs'!$B$33,'Inputs'!$B$29+'Inputs'!$B$31+'Inputs'!$B$32,'Inputs'!$B$30+'Inputs'!$B$31+'Inputs'!$B$32)/1000+'Inputs'!$B$21+'Inputs'!$B$9+'Inputs'!$B$10))/SQRT((((1019-43)*MAX('Inputs'!$B$33,'Inputs'!$B$29+'Inputs'!$B$31+'Inputs'!$B$32,'Inputs'!$B$30+'Inputs'!$B$31+'Inputs'!$B$32)/1000+'Inputs'!$B$21+'Inputs'!$B$9+'Inputs'!$B$10))^2+('Inputs'!$B$6/2)^2))))*'Results'!$B$8))),"")</x:f>
        <x:v>0.28379953927272694</x:v>
      </x:c>
      <x:c r="O1019" t="n">
        <x:f>IF(AND(ISNUMBER('Results'!C7),ISNUMBER('Results'!B7),ISNUMBER('Results'!$B$8),ISNUMBER('Inputs'!$B$6),ISNUMBER('Inputs'!$B$7),ISNUMBER('Inputs'!$B$8),ISNUMBER('Inputs'!$B$9),ISNUMBER('Inputs'!$B$10),ISNUMBER('Inputs'!$B$21),ISNUMBER('Inputs'!$B$24),ISNUMBER('Inputs'!$B$28)),((('Results'!C7*(1+'Inputs'!$B$24)*(0.5*((((1019-43)*MAX('Inputs'!$B$33,'Inputs'!$B$29+'Inputs'!$B$31+'Inputs'!$B$32,'Inputs'!$B$30+'Inputs'!$B$31+'Inputs'!$B$32)/1000+'Inputs'!$B$21)+'Inputs'!$B$9)/SQRT((((1019-43)*MAX('Inputs'!$B$33,'Inputs'!$B$29+'Inputs'!$B$31+'Inputs'!$B$32,'Inputs'!$B$30+'Inputs'!$B$31+'Inputs'!$B$32)/1000+'Inputs'!$B$21)+'Inputs'!$B$9)^2+('Inputs'!$B$8/2)^2)-(((1019-43)*MAX('Inputs'!$B$33,'Inputs'!$B$29+'Inputs'!$B$31+'Inputs'!$B$32,'Inputs'!$B$30+'Inputs'!$B$31+'Inputs'!$B$32)/1000+'Inputs'!$B$21))/SQRT((((1019-43)*MAX('Inputs'!$B$33,'Inputs'!$B$29+'Inputs'!$B$31+'Inputs'!$B$32,'Inputs'!$B$30+'Inputs'!$B$31+'Inputs'!$B$32)/1000+'Inputs'!$B$21))^2+('Inputs'!$B$8/2)^2)))-'Results'!B7*(1-'Inputs'!$B$24)*(0.5*((((1019-43)*MAX('Inputs'!$B$33,'Inputs'!$B$29+'Inputs'!$B$31+'Inputs'!$B$32,'Inputs'!$B$30+'Inputs'!$B$31+'Inputs'!$B$32)/1000+'Inputs'!$B$21+'Inputs'!$B$9+'Inputs'!$B$10)+'Inputs'!$B$7)/SQRT((((1019-43)*MAX('Inputs'!$B$33,'Inputs'!$B$29+'Inputs'!$B$31+'Inputs'!$B$32,'Inputs'!$B$30+'Inputs'!$B$31+'Inputs'!$B$32)/1000+'Inputs'!$B$21+'Inputs'!$B$9+'Inputs'!$B$10)+'Inputs'!$B$7)^2+('Inputs'!$B$6/2)^2)-(((1019-43)*MAX('Inputs'!$B$33,'Inputs'!$B$29+'Inputs'!$B$31+'Inputs'!$B$32,'Inputs'!$B$30+'Inputs'!$B$31+'Inputs'!$B$32)/1000+'Inputs'!$B$21+'Inputs'!$B$9+'Inputs'!$B$10))/SQRT((((1019-43)*MAX('Inputs'!$B$33,'Inputs'!$B$29+'Inputs'!$B$31+'Inputs'!$B$32,'Inputs'!$B$30+'Inputs'!$B$31+'Inputs'!$B$32)/1000+'Inputs'!$B$21+'Inputs'!$B$9+'Inputs'!$B$10))^2+('Inputs'!$B$6/2)^2))))*'Results'!$B$8)+'Inputs'!$B$28*ABS((('Results'!C7*(1+'Inputs'!$B$24)*(0.5*((((1019-43)*MAX('Inputs'!$B$33,'Inputs'!$B$29+'Inputs'!$B$31+'Inputs'!$B$32,'Inputs'!$B$30+'Inputs'!$B$31+'Inputs'!$B$32)/1000+'Inputs'!$B$21)+'Inputs'!$B$9)/SQRT((((1019-43)*MAX('Inputs'!$B$33,'Inputs'!$B$29+'Inputs'!$B$31+'Inputs'!$B$32,'Inputs'!$B$30+'Inputs'!$B$31+'Inputs'!$B$32)/1000+'Inputs'!$B$21)+'Inputs'!$B$9)^2+('Inputs'!$B$8/2)^2)-(((1019-43)*MAX('Inputs'!$B$33,'Inputs'!$B$29+'Inputs'!$B$31+'Inputs'!$B$32,'Inputs'!$B$30+'Inputs'!$B$31+'Inputs'!$B$32)/1000+'Inputs'!$B$21))/SQRT((((1019-43)*MAX('Inputs'!$B$33,'Inputs'!$B$29+'Inputs'!$B$31+'Inputs'!$B$32,'Inputs'!$B$30+'Inputs'!$B$31+'Inputs'!$B$32)/1000+'Inputs'!$B$21))^2+('Inputs'!$B$8/2)^2)))-'Results'!B7*(1-'Inputs'!$B$24)*(0.5*((((1019-43)*MAX('Inputs'!$B$33,'Inputs'!$B$29+'Inputs'!$B$31+'Inputs'!$B$32,'Inputs'!$B$30+'Inputs'!$B$31+'Inputs'!$B$32)/1000+'Inputs'!$B$21+'Inputs'!$B$9+'Inputs'!$B$10)+'Inputs'!$B$7)/SQRT((((1019-43)*MAX('Inputs'!$B$33,'Inputs'!$B$29+'Inputs'!$B$31+'Inputs'!$B$32,'Inputs'!$B$30+'Inputs'!$B$31+'Inputs'!$B$32)/1000+'Inputs'!$B$21+'Inputs'!$B$9+'Inputs'!$B$10)+'Inputs'!$B$7)^2+('Inputs'!$B$6/2)^2)-(((1019-43)*MAX('Inputs'!$B$33,'Inputs'!$B$29+'Inputs'!$B$31+'Inputs'!$B$32,'Inputs'!$B$30+'Inputs'!$B$31+'Inputs'!$B$32)/1000+'Inputs'!$B$21+'Inputs'!$B$9+'Inputs'!$B$10))/SQRT((((1019-43)*MAX('Inputs'!$B$33,'Inputs'!$B$29+'Inputs'!$B$31+'Inputs'!$B$32,'Inputs'!$B$30+'Inputs'!$B$31+'Inputs'!$B$32)/1000+'Inputs'!$B$21+'Inputs'!$B$9+'Inputs'!$B$10))^2+('Inputs'!$B$6/2)^2))))*'Results'!$B$8))),"")</x:f>
        <x:v>0.4091748717092942</x:v>
      </x:c>
      <x:c r="P1019" t="n">
        <x:f>IF(AND(MAX(J1019,J1018)&gt;0,J1019&gt;J1018+0.00000001),1,0)</x:f>
        <x:v>0</x:v>
      </x:c>
      <x:c r="Q1019" t="n">
        <x:f>IF(AND(MAX(K1019,K1018)&gt;0,K1019&gt;K1018+0.00000001),1,0)</x:f>
        <x:v>0</x:v>
      </x:c>
      <x:c r="R1019" t="n">
        <x:f>IF(AND(MAX(L1019,L1018)&gt;0,L1019&gt;L1018+0.00000001),1,0)</x:f>
        <x:v>0</x:v>
      </x:c>
      <x:c r="S1019" t="n">
        <x:f>IF(AND(MAX(M1019,M1018)&gt;0,M1019&gt;M1018+0.00000001),1,0)</x:f>
        <x:v>0</x:v>
      </x:c>
      <x:c r="T1019" t="n">
        <x:f>IF(AND(MAX(N1019,N1018)&gt;0,N1019&gt;N1018+0.00000001),1,0)</x:f>
        <x:v>0</x:v>
      </x:c>
      <x:c r="U1019" t="n">
        <x:f>IF(AND(MAX(O1019,O1018)&gt;0,O1019&gt;O1018+0.00000001),1,0)</x:f>
        <x:v>0</x:v>
      </x:c>
    </x:row>
    <x:row r="1020">
      <x:c r="J1020" t="n">
        <x:f>IF(AND(ISNUMBER('Results'!B7),ISNUMBER('Results'!C7),ISNUMBER('Results'!$B$8),ISNUMBER('Inputs'!$B$6),ISNUMBER('Inputs'!$B$7),ISNUMBER('Inputs'!$B$8),ISNUMBER('Inputs'!$B$9),ISNUMBER('Inputs'!$B$10),ISNUMBER('Inputs'!$B$21),ISNUMBER('Inputs'!$B$24),ISNUMBER('Inputs'!$B$28)),(('Results'!B7*(0.5*((((1020-43)*MAX('Inputs'!$B$33,'Inputs'!$B$29+'Inputs'!$B$31+'Inputs'!$B$32,'Inputs'!$B$30+'Inputs'!$B$31+'Inputs'!$B$32)/1000+'Inputs'!$B$21)+'Inputs'!$B$7)/SQRT((((1020-43)*MAX('Inputs'!$B$33,'Inputs'!$B$29+'Inputs'!$B$31+'Inputs'!$B$32,'Inputs'!$B$30+'Inputs'!$B$31+'Inputs'!$B$32)/1000+'Inputs'!$B$21)+'Inputs'!$B$7)^2+('Inputs'!$B$6/2)^2)-(((1020-43)*MAX('Inputs'!$B$33,'Inputs'!$B$29+'Inputs'!$B$31+'Inputs'!$B$32,'Inputs'!$B$30+'Inputs'!$B$31+'Inputs'!$B$32)/1000+'Inputs'!$B$21))/SQRT((((1020-43)*MAX('Inputs'!$B$33,'Inputs'!$B$29+'Inputs'!$B$31+'Inputs'!$B$32,'Inputs'!$B$30+'Inputs'!$B$31+'Inputs'!$B$32)/1000+'Inputs'!$B$21))^2+('Inputs'!$B$6/2)^2)))-'Results'!C7*(0.5*((((1020-43)*MAX('Inputs'!$B$33,'Inputs'!$B$29+'Inputs'!$B$31+'Inputs'!$B$32,'Inputs'!$B$30+'Inputs'!$B$31+'Inputs'!$B$32)/1000+'Inputs'!$B$21+'Inputs'!$B$7+'Inputs'!$B$10)+'Inputs'!$B$9)/SQRT((((1020-43)*MAX('Inputs'!$B$33,'Inputs'!$B$29+'Inputs'!$B$31+'Inputs'!$B$32,'Inputs'!$B$30+'Inputs'!$B$31+'Inputs'!$B$32)/1000+'Inputs'!$B$21+'Inputs'!$B$7+'Inputs'!$B$10)+'Inputs'!$B$9)^2+('Inputs'!$B$8/2)^2)-(((1020-43)*MAX('Inputs'!$B$33,'Inputs'!$B$29+'Inputs'!$B$31+'Inputs'!$B$32,'Inputs'!$B$30+'Inputs'!$B$31+'Inputs'!$B$32)/1000+'Inputs'!$B$21+'Inputs'!$B$7+'Inputs'!$B$10))/SQRT((((1020-43)*MAX('Inputs'!$B$33,'Inputs'!$B$29+'Inputs'!$B$31+'Inputs'!$B$32,'Inputs'!$B$30+'Inputs'!$B$31+'Inputs'!$B$32)/1000+'Inputs'!$B$21+'Inputs'!$B$7+'Inputs'!$B$10))^2+('Inputs'!$B$8/2)^2))))*'Results'!$B$8),"")</x:f>
        <x:v>0.38876976127952567</x:v>
      </x:c>
      <x:c r="K1020" t="n">
        <x:f>IF(AND(ISNUMBER('Results'!B7),ISNUMBER('Results'!C7),ISNUMBER('Results'!$B$8),ISNUMBER('Inputs'!$B$6),ISNUMBER('Inputs'!$B$7),ISNUMBER('Inputs'!$B$8),ISNUMBER('Inputs'!$B$9),ISNUMBER('Inputs'!$B$10),ISNUMBER('Inputs'!$B$21),ISNUMBER('Inputs'!$B$24),ISNUMBER('Inputs'!$B$28)),((('Results'!B7*(1-'Inputs'!$B$24)*(0.5*((((1020-43)*MAX('Inputs'!$B$33,'Inputs'!$B$29+'Inputs'!$B$31+'Inputs'!$B$32,'Inputs'!$B$30+'Inputs'!$B$31+'Inputs'!$B$32)/1000+'Inputs'!$B$21)+'Inputs'!$B$7)/SQRT((((1020-43)*MAX('Inputs'!$B$33,'Inputs'!$B$29+'Inputs'!$B$31+'Inputs'!$B$32,'Inputs'!$B$30+'Inputs'!$B$31+'Inputs'!$B$32)/1000+'Inputs'!$B$21)+'Inputs'!$B$7)^2+('Inputs'!$B$6/2)^2)-(((1020-43)*MAX('Inputs'!$B$33,'Inputs'!$B$29+'Inputs'!$B$31+'Inputs'!$B$32,'Inputs'!$B$30+'Inputs'!$B$31+'Inputs'!$B$32)/1000+'Inputs'!$B$21))/SQRT((((1020-43)*MAX('Inputs'!$B$33,'Inputs'!$B$29+'Inputs'!$B$31+'Inputs'!$B$32,'Inputs'!$B$30+'Inputs'!$B$31+'Inputs'!$B$32)/1000+'Inputs'!$B$21))^2+('Inputs'!$B$6/2)^2)))-'Results'!C7*(1+'Inputs'!$B$24)*(0.5*((((1020-43)*MAX('Inputs'!$B$33,'Inputs'!$B$29+'Inputs'!$B$31+'Inputs'!$B$32,'Inputs'!$B$30+'Inputs'!$B$31+'Inputs'!$B$32)/1000+'Inputs'!$B$21+'Inputs'!$B$7+'Inputs'!$B$10)+'Inputs'!$B$9)/SQRT((((1020-43)*MAX('Inputs'!$B$33,'Inputs'!$B$29+'Inputs'!$B$31+'Inputs'!$B$32,'Inputs'!$B$30+'Inputs'!$B$31+'Inputs'!$B$32)/1000+'Inputs'!$B$21+'Inputs'!$B$7+'Inputs'!$B$10)+'Inputs'!$B$9)^2+('Inputs'!$B$8/2)^2)-(((1020-43)*MAX('Inputs'!$B$33,'Inputs'!$B$29+'Inputs'!$B$31+'Inputs'!$B$32,'Inputs'!$B$30+'Inputs'!$B$31+'Inputs'!$B$32)/1000+'Inputs'!$B$21+'Inputs'!$B$7+'Inputs'!$B$10))/SQRT((((1020-43)*MAX('Inputs'!$B$33,'Inputs'!$B$29+'Inputs'!$B$31+'Inputs'!$B$32,'Inputs'!$B$30+'Inputs'!$B$31+'Inputs'!$B$32)/1000+'Inputs'!$B$21+'Inputs'!$B$7+'Inputs'!$B$10))^2+('Inputs'!$B$8/2)^2))))*'Results'!$B$8)-'Inputs'!$B$28*ABS((('Results'!B7*(1-'Inputs'!$B$24)*(0.5*((((1020-43)*MAX('Inputs'!$B$33,'Inputs'!$B$29+'Inputs'!$B$31+'Inputs'!$B$32,'Inputs'!$B$30+'Inputs'!$B$31+'Inputs'!$B$32)/1000+'Inputs'!$B$21)+'Inputs'!$B$7)/SQRT((((1020-43)*MAX('Inputs'!$B$33,'Inputs'!$B$29+'Inputs'!$B$31+'Inputs'!$B$32,'Inputs'!$B$30+'Inputs'!$B$31+'Inputs'!$B$32)/1000+'Inputs'!$B$21)+'Inputs'!$B$7)^2+('Inputs'!$B$6/2)^2)-(((1020-43)*MAX('Inputs'!$B$33,'Inputs'!$B$29+'Inputs'!$B$31+'Inputs'!$B$32,'Inputs'!$B$30+'Inputs'!$B$31+'Inputs'!$B$32)/1000+'Inputs'!$B$21))/SQRT((((1020-43)*MAX('Inputs'!$B$33,'Inputs'!$B$29+'Inputs'!$B$31+'Inputs'!$B$32,'Inputs'!$B$30+'Inputs'!$B$31+'Inputs'!$B$32)/1000+'Inputs'!$B$21))^2+('Inputs'!$B$6/2)^2)))-'Results'!C7*(1+'Inputs'!$B$24)*(0.5*((((1020-43)*MAX('Inputs'!$B$33,'Inputs'!$B$29+'Inputs'!$B$31+'Inputs'!$B$32,'Inputs'!$B$30+'Inputs'!$B$31+'Inputs'!$B$32)/1000+'Inputs'!$B$21+'Inputs'!$B$7+'Inputs'!$B$10)+'Inputs'!$B$9)/SQRT((((1020-43)*MAX('Inputs'!$B$33,'Inputs'!$B$29+'Inputs'!$B$31+'Inputs'!$B$32,'Inputs'!$B$30+'Inputs'!$B$31+'Inputs'!$B$32)/1000+'Inputs'!$B$21+'Inputs'!$B$7+'Inputs'!$B$10)+'Inputs'!$B$9)^2+('Inputs'!$B$8/2)^2)-(((1020-43)*MAX('Inputs'!$B$33,'Inputs'!$B$29+'Inputs'!$B$31+'Inputs'!$B$32,'Inputs'!$B$30+'Inputs'!$B$31+'Inputs'!$B$32)/1000+'Inputs'!$B$21+'Inputs'!$B$7+'Inputs'!$B$10))/SQRT((((1020-43)*MAX('Inputs'!$B$33,'Inputs'!$B$29+'Inputs'!$B$31+'Inputs'!$B$32,'Inputs'!$B$30+'Inputs'!$B$31+'Inputs'!$B$32)/1000+'Inputs'!$B$21+'Inputs'!$B$7+'Inputs'!$B$10))^2+('Inputs'!$B$8/2)^2))))*'Results'!$B$8))),"")</x:f>
        <x:v>0.3261112504376178</x:v>
      </x:c>
      <x:c r="L1020" t="n">
        <x:f>IF(AND(ISNUMBER('Results'!B7),ISNUMBER('Results'!C7),ISNUMBER('Results'!$B$8),ISNUMBER('Inputs'!$B$6),ISNUMBER('Inputs'!$B$7),ISNUMBER('Inputs'!$B$8),ISNUMBER('Inputs'!$B$9),ISNUMBER('Inputs'!$B$10),ISNUMBER('Inputs'!$B$21),ISNUMBER('Inputs'!$B$24),ISNUMBER('Inputs'!$B$28)),((('Results'!B7*(1+'Inputs'!$B$24)*(0.5*((((1020-43)*MAX('Inputs'!$B$33,'Inputs'!$B$29+'Inputs'!$B$31+'Inputs'!$B$32,'Inputs'!$B$30+'Inputs'!$B$31+'Inputs'!$B$32)/1000+'Inputs'!$B$21)+'Inputs'!$B$7)/SQRT((((1020-43)*MAX('Inputs'!$B$33,'Inputs'!$B$29+'Inputs'!$B$31+'Inputs'!$B$32,'Inputs'!$B$30+'Inputs'!$B$31+'Inputs'!$B$32)/1000+'Inputs'!$B$21)+'Inputs'!$B$7)^2+('Inputs'!$B$6/2)^2)-(((1020-43)*MAX('Inputs'!$B$33,'Inputs'!$B$29+'Inputs'!$B$31+'Inputs'!$B$32,'Inputs'!$B$30+'Inputs'!$B$31+'Inputs'!$B$32)/1000+'Inputs'!$B$21))/SQRT((((1020-43)*MAX('Inputs'!$B$33,'Inputs'!$B$29+'Inputs'!$B$31+'Inputs'!$B$32,'Inputs'!$B$30+'Inputs'!$B$31+'Inputs'!$B$32)/1000+'Inputs'!$B$21))^2+('Inputs'!$B$6/2)^2)))-'Results'!C7*(1-'Inputs'!$B$24)*(0.5*((((1020-43)*MAX('Inputs'!$B$33,'Inputs'!$B$29+'Inputs'!$B$31+'Inputs'!$B$32,'Inputs'!$B$30+'Inputs'!$B$31+'Inputs'!$B$32)/1000+'Inputs'!$B$21+'Inputs'!$B$7+'Inputs'!$B$10)+'Inputs'!$B$9)/SQRT((((1020-43)*MAX('Inputs'!$B$33,'Inputs'!$B$29+'Inputs'!$B$31+'Inputs'!$B$32,'Inputs'!$B$30+'Inputs'!$B$31+'Inputs'!$B$32)/1000+'Inputs'!$B$21+'Inputs'!$B$7+'Inputs'!$B$10)+'Inputs'!$B$9)^2+('Inputs'!$B$8/2)^2)-(((1020-43)*MAX('Inputs'!$B$33,'Inputs'!$B$29+'Inputs'!$B$31+'Inputs'!$B$32,'Inputs'!$B$30+'Inputs'!$B$31+'Inputs'!$B$32)/1000+'Inputs'!$B$21+'Inputs'!$B$7+'Inputs'!$B$10))/SQRT((((1020-43)*MAX('Inputs'!$B$33,'Inputs'!$B$29+'Inputs'!$B$31+'Inputs'!$B$32,'Inputs'!$B$30+'Inputs'!$B$31+'Inputs'!$B$32)/1000+'Inputs'!$B$21+'Inputs'!$B$7+'Inputs'!$B$10))^2+('Inputs'!$B$8/2)^2))))*'Results'!$B$8)+'Inputs'!$B$28*ABS((('Results'!B7*(1+'Inputs'!$B$24)*(0.5*((((1020-43)*MAX('Inputs'!$B$33,'Inputs'!$B$29+'Inputs'!$B$31+'Inputs'!$B$32,'Inputs'!$B$30+'Inputs'!$B$31+'Inputs'!$B$32)/1000+'Inputs'!$B$21)+'Inputs'!$B$7)/SQRT((((1020-43)*MAX('Inputs'!$B$33,'Inputs'!$B$29+'Inputs'!$B$31+'Inputs'!$B$32,'Inputs'!$B$30+'Inputs'!$B$31+'Inputs'!$B$32)/1000+'Inputs'!$B$21)+'Inputs'!$B$7)^2+('Inputs'!$B$6/2)^2)-(((1020-43)*MAX('Inputs'!$B$33,'Inputs'!$B$29+'Inputs'!$B$31+'Inputs'!$B$32,'Inputs'!$B$30+'Inputs'!$B$31+'Inputs'!$B$32)/1000+'Inputs'!$B$21))/SQRT((((1020-43)*MAX('Inputs'!$B$33,'Inputs'!$B$29+'Inputs'!$B$31+'Inputs'!$B$32,'Inputs'!$B$30+'Inputs'!$B$31+'Inputs'!$B$32)/1000+'Inputs'!$B$21))^2+('Inputs'!$B$6/2)^2)))-'Results'!C7*(1-'Inputs'!$B$24)*(0.5*((((1020-43)*MAX('Inputs'!$B$33,'Inputs'!$B$29+'Inputs'!$B$31+'Inputs'!$B$32,'Inputs'!$B$30+'Inputs'!$B$31+'Inputs'!$B$32)/1000+'Inputs'!$B$21+'Inputs'!$B$7+'Inputs'!$B$10)+'Inputs'!$B$9)/SQRT((((1020-43)*MAX('Inputs'!$B$33,'Inputs'!$B$29+'Inputs'!$B$31+'Inputs'!$B$32,'Inputs'!$B$30+'Inputs'!$B$31+'Inputs'!$B$32)/1000+'Inputs'!$B$21+'Inputs'!$B$7+'Inputs'!$B$10)+'Inputs'!$B$9)^2+('Inputs'!$B$8/2)^2)-(((1020-43)*MAX('Inputs'!$B$33,'Inputs'!$B$29+'Inputs'!$B$31+'Inputs'!$B$32,'Inputs'!$B$30+'Inputs'!$B$31+'Inputs'!$B$32)/1000+'Inputs'!$B$21+'Inputs'!$B$7+'Inputs'!$B$10))/SQRT((((1020-43)*MAX('Inputs'!$B$33,'Inputs'!$B$29+'Inputs'!$B$31+'Inputs'!$B$32,'Inputs'!$B$30+'Inputs'!$B$31+'Inputs'!$B$32)/1000+'Inputs'!$B$21+'Inputs'!$B$7+'Inputs'!$B$10))^2+('Inputs'!$B$8/2)^2))))*'Results'!$B$8))),"")</x:f>
        <x:v>0.45597774820332093</x:v>
      </x:c>
      <x:c r="M1020" t="n">
        <x:f>IF(AND(ISNUMBER('Results'!C7),ISNUMBER('Results'!B7),ISNUMBER('Results'!$B$8),ISNUMBER('Inputs'!$B$6),ISNUMBER('Inputs'!$B$7),ISNUMBER('Inputs'!$B$8),ISNUMBER('Inputs'!$B$9),ISNUMBER('Inputs'!$B$10),ISNUMBER('Inputs'!$B$21),ISNUMBER('Inputs'!$B$24),ISNUMBER('Inputs'!$B$28)),(('Results'!C7*(0.5*((((1020-43)*MAX('Inputs'!$B$33,'Inputs'!$B$29+'Inputs'!$B$31+'Inputs'!$B$32,'Inputs'!$B$30+'Inputs'!$B$31+'Inputs'!$B$32)/1000+'Inputs'!$B$21)+'Inputs'!$B$9)/SQRT((((1020-43)*MAX('Inputs'!$B$33,'Inputs'!$B$29+'Inputs'!$B$31+'Inputs'!$B$32,'Inputs'!$B$30+'Inputs'!$B$31+'Inputs'!$B$32)/1000+'Inputs'!$B$21)+'Inputs'!$B$9)^2+('Inputs'!$B$8/2)^2)-(((1020-43)*MAX('Inputs'!$B$33,'Inputs'!$B$29+'Inputs'!$B$31+'Inputs'!$B$32,'Inputs'!$B$30+'Inputs'!$B$31+'Inputs'!$B$32)/1000+'Inputs'!$B$21))/SQRT((((1020-43)*MAX('Inputs'!$B$33,'Inputs'!$B$29+'Inputs'!$B$31+'Inputs'!$B$32,'Inputs'!$B$30+'Inputs'!$B$31+'Inputs'!$B$32)/1000+'Inputs'!$B$21))^2+('Inputs'!$B$8/2)^2)))-'Results'!B7*(0.5*((((1020-43)*MAX('Inputs'!$B$33,'Inputs'!$B$29+'Inputs'!$B$31+'Inputs'!$B$32,'Inputs'!$B$30+'Inputs'!$B$31+'Inputs'!$B$32)/1000+'Inputs'!$B$21+'Inputs'!$B$9+'Inputs'!$B$10)+'Inputs'!$B$7)/SQRT((((1020-43)*MAX('Inputs'!$B$33,'Inputs'!$B$29+'Inputs'!$B$31+'Inputs'!$B$32,'Inputs'!$B$30+'Inputs'!$B$31+'Inputs'!$B$32)/1000+'Inputs'!$B$21+'Inputs'!$B$9+'Inputs'!$B$10)+'Inputs'!$B$7)^2+('Inputs'!$B$6/2)^2)-(((1020-43)*MAX('Inputs'!$B$33,'Inputs'!$B$29+'Inputs'!$B$31+'Inputs'!$B$32,'Inputs'!$B$30+'Inputs'!$B$31+'Inputs'!$B$32)/1000+'Inputs'!$B$21+'Inputs'!$B$9+'Inputs'!$B$10))/SQRT((((1020-43)*MAX('Inputs'!$B$33,'Inputs'!$B$29+'Inputs'!$B$31+'Inputs'!$B$32,'Inputs'!$B$30+'Inputs'!$B$31+'Inputs'!$B$32)/1000+'Inputs'!$B$21+'Inputs'!$B$9+'Inputs'!$B$10))^2+('Inputs'!$B$6/2)^2))))*'Results'!$B$8),"")</x:f>
        <x:v>0.3428901089750047</x:v>
      </x:c>
      <x:c r="N1020" t="n">
        <x:f>IF(AND(ISNUMBER('Results'!C7),ISNUMBER('Results'!B7),ISNUMBER('Results'!$B$8),ISNUMBER('Inputs'!$B$6),ISNUMBER('Inputs'!$B$7),ISNUMBER('Inputs'!$B$8),ISNUMBER('Inputs'!$B$9),ISNUMBER('Inputs'!$B$10),ISNUMBER('Inputs'!$B$21),ISNUMBER('Inputs'!$B$24),ISNUMBER('Inputs'!$B$28)),((('Results'!C7*(1-'Inputs'!$B$24)*(0.5*((((1020-43)*MAX('Inputs'!$B$33,'Inputs'!$B$29+'Inputs'!$B$31+'Inputs'!$B$32,'Inputs'!$B$30+'Inputs'!$B$31+'Inputs'!$B$32)/1000+'Inputs'!$B$21)+'Inputs'!$B$9)/SQRT((((1020-43)*MAX('Inputs'!$B$33,'Inputs'!$B$29+'Inputs'!$B$31+'Inputs'!$B$32,'Inputs'!$B$30+'Inputs'!$B$31+'Inputs'!$B$32)/1000+'Inputs'!$B$21)+'Inputs'!$B$9)^2+('Inputs'!$B$8/2)^2)-(((1020-43)*MAX('Inputs'!$B$33,'Inputs'!$B$29+'Inputs'!$B$31+'Inputs'!$B$32,'Inputs'!$B$30+'Inputs'!$B$31+'Inputs'!$B$32)/1000+'Inputs'!$B$21))/SQRT((((1020-43)*MAX('Inputs'!$B$33,'Inputs'!$B$29+'Inputs'!$B$31+'Inputs'!$B$32,'Inputs'!$B$30+'Inputs'!$B$31+'Inputs'!$B$32)/1000+'Inputs'!$B$21))^2+('Inputs'!$B$8/2)^2)))-'Results'!B7*(1+'Inputs'!$B$24)*(0.5*((((1020-43)*MAX('Inputs'!$B$33,'Inputs'!$B$29+'Inputs'!$B$31+'Inputs'!$B$32,'Inputs'!$B$30+'Inputs'!$B$31+'Inputs'!$B$32)/1000+'Inputs'!$B$21+'Inputs'!$B$9+'Inputs'!$B$10)+'Inputs'!$B$7)/SQRT((((1020-43)*MAX('Inputs'!$B$33,'Inputs'!$B$29+'Inputs'!$B$31+'Inputs'!$B$32,'Inputs'!$B$30+'Inputs'!$B$31+'Inputs'!$B$32)/1000+'Inputs'!$B$21+'Inputs'!$B$9+'Inputs'!$B$10)+'Inputs'!$B$7)^2+('Inputs'!$B$6/2)^2)-(((1020-43)*MAX('Inputs'!$B$33,'Inputs'!$B$29+'Inputs'!$B$31+'Inputs'!$B$32,'Inputs'!$B$30+'Inputs'!$B$31+'Inputs'!$B$32)/1000+'Inputs'!$B$21+'Inputs'!$B$9+'Inputs'!$B$10))/SQRT((((1020-43)*MAX('Inputs'!$B$33,'Inputs'!$B$29+'Inputs'!$B$31+'Inputs'!$B$32,'Inputs'!$B$30+'Inputs'!$B$31+'Inputs'!$B$32)/1000+'Inputs'!$B$21+'Inputs'!$B$9+'Inputs'!$B$10))^2+('Inputs'!$B$6/2)^2))))*'Results'!$B$8)-'Inputs'!$B$28*ABS((('Results'!C7*(1-'Inputs'!$B$24)*(0.5*((((1020-43)*MAX('Inputs'!$B$33,'Inputs'!$B$29+'Inputs'!$B$31+'Inputs'!$B$32,'Inputs'!$B$30+'Inputs'!$B$31+'Inputs'!$B$32)/1000+'Inputs'!$B$21)+'Inputs'!$B$9)/SQRT((((1020-43)*MAX('Inputs'!$B$33,'Inputs'!$B$29+'Inputs'!$B$31+'Inputs'!$B$32,'Inputs'!$B$30+'Inputs'!$B$31+'Inputs'!$B$32)/1000+'Inputs'!$B$21)+'Inputs'!$B$9)^2+('Inputs'!$B$8/2)^2)-(((1020-43)*MAX('Inputs'!$B$33,'Inputs'!$B$29+'Inputs'!$B$31+'Inputs'!$B$32,'Inputs'!$B$30+'Inputs'!$B$31+'Inputs'!$B$32)/1000+'Inputs'!$B$21))/SQRT((((1020-43)*MAX('Inputs'!$B$33,'Inputs'!$B$29+'Inputs'!$B$31+'Inputs'!$B$32,'Inputs'!$B$30+'Inputs'!$B$31+'Inputs'!$B$32)/1000+'Inputs'!$B$21))^2+('Inputs'!$B$8/2)^2)))-'Results'!B7*(1+'Inputs'!$B$24)*(0.5*((((1020-43)*MAX('Inputs'!$B$33,'Inputs'!$B$29+'Inputs'!$B$31+'Inputs'!$B$32,'Inputs'!$B$30+'Inputs'!$B$31+'Inputs'!$B$32)/1000+'Inputs'!$B$21+'Inputs'!$B$9+'Inputs'!$B$10)+'Inputs'!$B$7)/SQRT((((1020-43)*MAX('Inputs'!$B$33,'Inputs'!$B$29+'Inputs'!$B$31+'Inputs'!$B$32,'Inputs'!$B$30+'Inputs'!$B$31+'Inputs'!$B$32)/1000+'Inputs'!$B$21+'Inputs'!$B$9+'Inputs'!$B$10)+'Inputs'!$B$7)^2+('Inputs'!$B$6/2)^2)-(((1020-43)*MAX('Inputs'!$B$33,'Inputs'!$B$29+'Inputs'!$B$31+'Inputs'!$B$32,'Inputs'!$B$30+'Inputs'!$B$31+'Inputs'!$B$32)/1000+'Inputs'!$B$21+'Inputs'!$B$9+'Inputs'!$B$10))/SQRT((((1020-43)*MAX('Inputs'!$B$33,'Inputs'!$B$29+'Inputs'!$B$31+'Inputs'!$B$32,'Inputs'!$B$30+'Inputs'!$B$31+'Inputs'!$B$32)/1000+'Inputs'!$B$21+'Inputs'!$B$9+'Inputs'!$B$10))^2+('Inputs'!$B$6/2)^2))))*'Results'!$B$8))),"")</x:f>
        <x:v>0.28266600031938194</x:v>
      </x:c>
      <x:c r="O1020" t="n">
        <x:f>IF(AND(ISNUMBER('Results'!C7),ISNUMBER('Results'!B7),ISNUMBER('Results'!$B$8),ISNUMBER('Inputs'!$B$6),ISNUMBER('Inputs'!$B$7),ISNUMBER('Inputs'!$B$8),ISNUMBER('Inputs'!$B$9),ISNUMBER('Inputs'!$B$10),ISNUMBER('Inputs'!$B$21),ISNUMBER('Inputs'!$B$24),ISNUMBER('Inputs'!$B$28)),((('Results'!C7*(1+'Inputs'!$B$24)*(0.5*((((1020-43)*MAX('Inputs'!$B$33,'Inputs'!$B$29+'Inputs'!$B$31+'Inputs'!$B$32,'Inputs'!$B$30+'Inputs'!$B$31+'Inputs'!$B$32)/1000+'Inputs'!$B$21)+'Inputs'!$B$9)/SQRT((((1020-43)*MAX('Inputs'!$B$33,'Inputs'!$B$29+'Inputs'!$B$31+'Inputs'!$B$32,'Inputs'!$B$30+'Inputs'!$B$31+'Inputs'!$B$32)/1000+'Inputs'!$B$21)+'Inputs'!$B$9)^2+('Inputs'!$B$8/2)^2)-(((1020-43)*MAX('Inputs'!$B$33,'Inputs'!$B$29+'Inputs'!$B$31+'Inputs'!$B$32,'Inputs'!$B$30+'Inputs'!$B$31+'Inputs'!$B$32)/1000+'Inputs'!$B$21))/SQRT((((1020-43)*MAX('Inputs'!$B$33,'Inputs'!$B$29+'Inputs'!$B$31+'Inputs'!$B$32,'Inputs'!$B$30+'Inputs'!$B$31+'Inputs'!$B$32)/1000+'Inputs'!$B$21))^2+('Inputs'!$B$8/2)^2)))-'Results'!B7*(1-'Inputs'!$B$24)*(0.5*((((1020-43)*MAX('Inputs'!$B$33,'Inputs'!$B$29+'Inputs'!$B$31+'Inputs'!$B$32,'Inputs'!$B$30+'Inputs'!$B$31+'Inputs'!$B$32)/1000+'Inputs'!$B$21+'Inputs'!$B$9+'Inputs'!$B$10)+'Inputs'!$B$7)/SQRT((((1020-43)*MAX('Inputs'!$B$33,'Inputs'!$B$29+'Inputs'!$B$31+'Inputs'!$B$32,'Inputs'!$B$30+'Inputs'!$B$31+'Inputs'!$B$32)/1000+'Inputs'!$B$21+'Inputs'!$B$9+'Inputs'!$B$10)+'Inputs'!$B$7)^2+('Inputs'!$B$6/2)^2)-(((1020-43)*MAX('Inputs'!$B$33,'Inputs'!$B$29+'Inputs'!$B$31+'Inputs'!$B$32,'Inputs'!$B$30+'Inputs'!$B$31+'Inputs'!$B$32)/1000+'Inputs'!$B$21+'Inputs'!$B$9+'Inputs'!$B$10))/SQRT((((1020-43)*MAX('Inputs'!$B$33,'Inputs'!$B$29+'Inputs'!$B$31+'Inputs'!$B$32,'Inputs'!$B$30+'Inputs'!$B$31+'Inputs'!$B$32)/1000+'Inputs'!$B$21+'Inputs'!$B$9+'Inputs'!$B$10))^2+('Inputs'!$B$6/2)^2))))*'Results'!$B$8)+'Inputs'!$B$28*ABS((('Results'!C7*(1+'Inputs'!$B$24)*(0.5*((((1020-43)*MAX('Inputs'!$B$33,'Inputs'!$B$29+'Inputs'!$B$31+'Inputs'!$B$32,'Inputs'!$B$30+'Inputs'!$B$31+'Inputs'!$B$32)/1000+'Inputs'!$B$21)+'Inputs'!$B$9)/SQRT((((1020-43)*MAX('Inputs'!$B$33,'Inputs'!$B$29+'Inputs'!$B$31+'Inputs'!$B$32,'Inputs'!$B$30+'Inputs'!$B$31+'Inputs'!$B$32)/1000+'Inputs'!$B$21)+'Inputs'!$B$9)^2+('Inputs'!$B$8/2)^2)-(((1020-43)*MAX('Inputs'!$B$33,'Inputs'!$B$29+'Inputs'!$B$31+'Inputs'!$B$32,'Inputs'!$B$30+'Inputs'!$B$31+'Inputs'!$B$32)/1000+'Inputs'!$B$21))/SQRT((((1020-43)*MAX('Inputs'!$B$33,'Inputs'!$B$29+'Inputs'!$B$31+'Inputs'!$B$32,'Inputs'!$B$30+'Inputs'!$B$31+'Inputs'!$B$32)/1000+'Inputs'!$B$21))^2+('Inputs'!$B$8/2)^2)))-'Results'!B7*(1-'Inputs'!$B$24)*(0.5*((((1020-43)*MAX('Inputs'!$B$33,'Inputs'!$B$29+'Inputs'!$B$31+'Inputs'!$B$32,'Inputs'!$B$30+'Inputs'!$B$31+'Inputs'!$B$32)/1000+'Inputs'!$B$21+'Inputs'!$B$9+'Inputs'!$B$10)+'Inputs'!$B$7)/SQRT((((1020-43)*MAX('Inputs'!$B$33,'Inputs'!$B$29+'Inputs'!$B$31+'Inputs'!$B$32,'Inputs'!$B$30+'Inputs'!$B$31+'Inputs'!$B$32)/1000+'Inputs'!$B$21+'Inputs'!$B$9+'Inputs'!$B$10)+'Inputs'!$B$7)^2+('Inputs'!$B$6/2)^2)-(((1020-43)*MAX('Inputs'!$B$33,'Inputs'!$B$29+'Inputs'!$B$31+'Inputs'!$B$32,'Inputs'!$B$30+'Inputs'!$B$31+'Inputs'!$B$32)/1000+'Inputs'!$B$21+'Inputs'!$B$9+'Inputs'!$B$10))/SQRT((((1020-43)*MAX('Inputs'!$B$33,'Inputs'!$B$29+'Inputs'!$B$31+'Inputs'!$B$32,'Inputs'!$B$30+'Inputs'!$B$31+'Inputs'!$B$32)/1000+'Inputs'!$B$21+'Inputs'!$B$9+'Inputs'!$B$10))^2+('Inputs'!$B$6/2)^2))))*'Results'!$B$8))),"")</x:f>
        <x:v>0.4076489127050352</x:v>
      </x:c>
      <x:c r="P1020" t="n">
        <x:f>IF(AND(MAX(J1020,J1019)&gt;0,J1020&gt;J1019+0.00000001),1,0)</x:f>
        <x:v>0</x:v>
      </x:c>
      <x:c r="Q1020" t="n">
        <x:f>IF(AND(MAX(K1020,K1019)&gt;0,K1020&gt;K1019+0.00000001),1,0)</x:f>
        <x:v>0</x:v>
      </x:c>
      <x:c r="R1020" t="n">
        <x:f>IF(AND(MAX(L1020,L1019)&gt;0,L1020&gt;L1019+0.00000001),1,0)</x:f>
        <x:v>0</x:v>
      </x:c>
      <x:c r="S1020" t="n">
        <x:f>IF(AND(MAX(M1020,M1019)&gt;0,M1020&gt;M1019+0.00000001),1,0)</x:f>
        <x:v>0</x:v>
      </x:c>
      <x:c r="T1020" t="n">
        <x:f>IF(AND(MAX(N1020,N1019)&gt;0,N1020&gt;N1019+0.00000001),1,0)</x:f>
        <x:v>0</x:v>
      </x:c>
      <x:c r="U1020" t="n">
        <x:f>IF(AND(MAX(O1020,O1019)&gt;0,O1020&gt;O1019+0.00000001),1,0)</x:f>
        <x:v>0</x:v>
      </x:c>
    </x:row>
    <x:row r="1021">
      <x:c r="J1021" t="n">
        <x:f>IF(AND(ISNUMBER('Results'!B7),ISNUMBER('Results'!C7),ISNUMBER('Results'!$B$8),ISNUMBER('Inputs'!$B$6),ISNUMBER('Inputs'!$B$7),ISNUMBER('Inputs'!$B$8),ISNUMBER('Inputs'!$B$9),ISNUMBER('Inputs'!$B$10),ISNUMBER('Inputs'!$B$21),ISNUMBER('Inputs'!$B$24),ISNUMBER('Inputs'!$B$28)),(('Results'!B7*(0.5*((((1021-43)*MAX('Inputs'!$B$33,'Inputs'!$B$29+'Inputs'!$B$31+'Inputs'!$B$32,'Inputs'!$B$30+'Inputs'!$B$31+'Inputs'!$B$32)/1000+'Inputs'!$B$21)+'Inputs'!$B$7)/SQRT((((1021-43)*MAX('Inputs'!$B$33,'Inputs'!$B$29+'Inputs'!$B$31+'Inputs'!$B$32,'Inputs'!$B$30+'Inputs'!$B$31+'Inputs'!$B$32)/1000+'Inputs'!$B$21)+'Inputs'!$B$7)^2+('Inputs'!$B$6/2)^2)-(((1021-43)*MAX('Inputs'!$B$33,'Inputs'!$B$29+'Inputs'!$B$31+'Inputs'!$B$32,'Inputs'!$B$30+'Inputs'!$B$31+'Inputs'!$B$32)/1000+'Inputs'!$B$21))/SQRT((((1021-43)*MAX('Inputs'!$B$33,'Inputs'!$B$29+'Inputs'!$B$31+'Inputs'!$B$32,'Inputs'!$B$30+'Inputs'!$B$31+'Inputs'!$B$32)/1000+'Inputs'!$B$21))^2+('Inputs'!$B$6/2)^2)))-'Results'!C7*(0.5*((((1021-43)*MAX('Inputs'!$B$33,'Inputs'!$B$29+'Inputs'!$B$31+'Inputs'!$B$32,'Inputs'!$B$30+'Inputs'!$B$31+'Inputs'!$B$32)/1000+'Inputs'!$B$21+'Inputs'!$B$7+'Inputs'!$B$10)+'Inputs'!$B$9)/SQRT((((1021-43)*MAX('Inputs'!$B$33,'Inputs'!$B$29+'Inputs'!$B$31+'Inputs'!$B$32,'Inputs'!$B$30+'Inputs'!$B$31+'Inputs'!$B$32)/1000+'Inputs'!$B$21+'Inputs'!$B$7+'Inputs'!$B$10)+'Inputs'!$B$9)^2+('Inputs'!$B$8/2)^2)-(((1021-43)*MAX('Inputs'!$B$33,'Inputs'!$B$29+'Inputs'!$B$31+'Inputs'!$B$32,'Inputs'!$B$30+'Inputs'!$B$31+'Inputs'!$B$32)/1000+'Inputs'!$B$21+'Inputs'!$B$7+'Inputs'!$B$10))/SQRT((((1021-43)*MAX('Inputs'!$B$33,'Inputs'!$B$29+'Inputs'!$B$31+'Inputs'!$B$32,'Inputs'!$B$30+'Inputs'!$B$31+'Inputs'!$B$32)/1000+'Inputs'!$B$21+'Inputs'!$B$7+'Inputs'!$B$10))^2+('Inputs'!$B$8/2)^2))))*'Results'!$B$8),"")</x:f>
        <x:v>0.38732168045516924</x:v>
      </x:c>
      <x:c r="K1021" t="n">
        <x:f>IF(AND(ISNUMBER('Results'!B7),ISNUMBER('Results'!C7),ISNUMBER('Results'!$B$8),ISNUMBER('Inputs'!$B$6),ISNUMBER('Inputs'!$B$7),ISNUMBER('Inputs'!$B$8),ISNUMBER('Inputs'!$B$9),ISNUMBER('Inputs'!$B$10),ISNUMBER('Inputs'!$B$21),ISNUMBER('Inputs'!$B$24),ISNUMBER('Inputs'!$B$28)),((('Results'!B7*(1-'Inputs'!$B$24)*(0.5*((((1021-43)*MAX('Inputs'!$B$33,'Inputs'!$B$29+'Inputs'!$B$31+'Inputs'!$B$32,'Inputs'!$B$30+'Inputs'!$B$31+'Inputs'!$B$32)/1000+'Inputs'!$B$21)+'Inputs'!$B$7)/SQRT((((1021-43)*MAX('Inputs'!$B$33,'Inputs'!$B$29+'Inputs'!$B$31+'Inputs'!$B$32,'Inputs'!$B$30+'Inputs'!$B$31+'Inputs'!$B$32)/1000+'Inputs'!$B$21)+'Inputs'!$B$7)^2+('Inputs'!$B$6/2)^2)-(((1021-43)*MAX('Inputs'!$B$33,'Inputs'!$B$29+'Inputs'!$B$31+'Inputs'!$B$32,'Inputs'!$B$30+'Inputs'!$B$31+'Inputs'!$B$32)/1000+'Inputs'!$B$21))/SQRT((((1021-43)*MAX('Inputs'!$B$33,'Inputs'!$B$29+'Inputs'!$B$31+'Inputs'!$B$32,'Inputs'!$B$30+'Inputs'!$B$31+'Inputs'!$B$32)/1000+'Inputs'!$B$21))^2+('Inputs'!$B$6/2)^2)))-'Results'!C7*(1+'Inputs'!$B$24)*(0.5*((((1021-43)*MAX('Inputs'!$B$33,'Inputs'!$B$29+'Inputs'!$B$31+'Inputs'!$B$32,'Inputs'!$B$30+'Inputs'!$B$31+'Inputs'!$B$32)/1000+'Inputs'!$B$21+'Inputs'!$B$7+'Inputs'!$B$10)+'Inputs'!$B$9)/SQRT((((1021-43)*MAX('Inputs'!$B$33,'Inputs'!$B$29+'Inputs'!$B$31+'Inputs'!$B$32,'Inputs'!$B$30+'Inputs'!$B$31+'Inputs'!$B$32)/1000+'Inputs'!$B$21+'Inputs'!$B$7+'Inputs'!$B$10)+'Inputs'!$B$9)^2+('Inputs'!$B$8/2)^2)-(((1021-43)*MAX('Inputs'!$B$33,'Inputs'!$B$29+'Inputs'!$B$31+'Inputs'!$B$32,'Inputs'!$B$30+'Inputs'!$B$31+'Inputs'!$B$32)/1000+'Inputs'!$B$21+'Inputs'!$B$7+'Inputs'!$B$10))/SQRT((((1021-43)*MAX('Inputs'!$B$33,'Inputs'!$B$29+'Inputs'!$B$31+'Inputs'!$B$32,'Inputs'!$B$30+'Inputs'!$B$31+'Inputs'!$B$32)/1000+'Inputs'!$B$21+'Inputs'!$B$7+'Inputs'!$B$10))^2+('Inputs'!$B$8/2)^2))))*'Results'!$B$8)-'Inputs'!$B$28*ABS((('Results'!B7*(1-'Inputs'!$B$24)*(0.5*((((1021-43)*MAX('Inputs'!$B$33,'Inputs'!$B$29+'Inputs'!$B$31+'Inputs'!$B$32,'Inputs'!$B$30+'Inputs'!$B$31+'Inputs'!$B$32)/1000+'Inputs'!$B$21)+'Inputs'!$B$7)/SQRT((((1021-43)*MAX('Inputs'!$B$33,'Inputs'!$B$29+'Inputs'!$B$31+'Inputs'!$B$32,'Inputs'!$B$30+'Inputs'!$B$31+'Inputs'!$B$32)/1000+'Inputs'!$B$21)+'Inputs'!$B$7)^2+('Inputs'!$B$6/2)^2)-(((1021-43)*MAX('Inputs'!$B$33,'Inputs'!$B$29+'Inputs'!$B$31+'Inputs'!$B$32,'Inputs'!$B$30+'Inputs'!$B$31+'Inputs'!$B$32)/1000+'Inputs'!$B$21))/SQRT((((1021-43)*MAX('Inputs'!$B$33,'Inputs'!$B$29+'Inputs'!$B$31+'Inputs'!$B$32,'Inputs'!$B$30+'Inputs'!$B$31+'Inputs'!$B$32)/1000+'Inputs'!$B$21))^2+('Inputs'!$B$6/2)^2)))-'Results'!C7*(1+'Inputs'!$B$24)*(0.5*((((1021-43)*MAX('Inputs'!$B$33,'Inputs'!$B$29+'Inputs'!$B$31+'Inputs'!$B$32,'Inputs'!$B$30+'Inputs'!$B$31+'Inputs'!$B$32)/1000+'Inputs'!$B$21+'Inputs'!$B$7+'Inputs'!$B$10)+'Inputs'!$B$9)/SQRT((((1021-43)*MAX('Inputs'!$B$33,'Inputs'!$B$29+'Inputs'!$B$31+'Inputs'!$B$32,'Inputs'!$B$30+'Inputs'!$B$31+'Inputs'!$B$32)/1000+'Inputs'!$B$21+'Inputs'!$B$7+'Inputs'!$B$10)+'Inputs'!$B$9)^2+('Inputs'!$B$8/2)^2)-(((1021-43)*MAX('Inputs'!$B$33,'Inputs'!$B$29+'Inputs'!$B$31+'Inputs'!$B$32,'Inputs'!$B$30+'Inputs'!$B$31+'Inputs'!$B$32)/1000+'Inputs'!$B$21+'Inputs'!$B$7+'Inputs'!$B$10))/SQRT((((1021-43)*MAX('Inputs'!$B$33,'Inputs'!$B$29+'Inputs'!$B$31+'Inputs'!$B$32,'Inputs'!$B$30+'Inputs'!$B$31+'Inputs'!$B$32)/1000+'Inputs'!$B$21+'Inputs'!$B$7+'Inputs'!$B$10))^2+('Inputs'!$B$8/2)^2))))*'Results'!$B$8))),"")</x:f>
        <x:v>0.3248591783444852</x:v>
      </x:c>
      <x:c r="L1021" t="n">
        <x:f>IF(AND(ISNUMBER('Results'!B7),ISNUMBER('Results'!C7),ISNUMBER('Results'!$B$8),ISNUMBER('Inputs'!$B$6),ISNUMBER('Inputs'!$B$7),ISNUMBER('Inputs'!$B$8),ISNUMBER('Inputs'!$B$9),ISNUMBER('Inputs'!$B$10),ISNUMBER('Inputs'!$B$21),ISNUMBER('Inputs'!$B$24),ISNUMBER('Inputs'!$B$28)),((('Results'!B7*(1+'Inputs'!$B$24)*(0.5*((((1021-43)*MAX('Inputs'!$B$33,'Inputs'!$B$29+'Inputs'!$B$31+'Inputs'!$B$32,'Inputs'!$B$30+'Inputs'!$B$31+'Inputs'!$B$32)/1000+'Inputs'!$B$21)+'Inputs'!$B$7)/SQRT((((1021-43)*MAX('Inputs'!$B$33,'Inputs'!$B$29+'Inputs'!$B$31+'Inputs'!$B$32,'Inputs'!$B$30+'Inputs'!$B$31+'Inputs'!$B$32)/1000+'Inputs'!$B$21)+'Inputs'!$B$7)^2+('Inputs'!$B$6/2)^2)-(((1021-43)*MAX('Inputs'!$B$33,'Inputs'!$B$29+'Inputs'!$B$31+'Inputs'!$B$32,'Inputs'!$B$30+'Inputs'!$B$31+'Inputs'!$B$32)/1000+'Inputs'!$B$21))/SQRT((((1021-43)*MAX('Inputs'!$B$33,'Inputs'!$B$29+'Inputs'!$B$31+'Inputs'!$B$32,'Inputs'!$B$30+'Inputs'!$B$31+'Inputs'!$B$32)/1000+'Inputs'!$B$21))^2+('Inputs'!$B$6/2)^2)))-'Results'!C7*(1-'Inputs'!$B$24)*(0.5*((((1021-43)*MAX('Inputs'!$B$33,'Inputs'!$B$29+'Inputs'!$B$31+'Inputs'!$B$32,'Inputs'!$B$30+'Inputs'!$B$31+'Inputs'!$B$32)/1000+'Inputs'!$B$21+'Inputs'!$B$7+'Inputs'!$B$10)+'Inputs'!$B$9)/SQRT((((1021-43)*MAX('Inputs'!$B$33,'Inputs'!$B$29+'Inputs'!$B$31+'Inputs'!$B$32,'Inputs'!$B$30+'Inputs'!$B$31+'Inputs'!$B$32)/1000+'Inputs'!$B$21+'Inputs'!$B$7+'Inputs'!$B$10)+'Inputs'!$B$9)^2+('Inputs'!$B$8/2)^2)-(((1021-43)*MAX('Inputs'!$B$33,'Inputs'!$B$29+'Inputs'!$B$31+'Inputs'!$B$32,'Inputs'!$B$30+'Inputs'!$B$31+'Inputs'!$B$32)/1000+'Inputs'!$B$21+'Inputs'!$B$7+'Inputs'!$B$10))/SQRT((((1021-43)*MAX('Inputs'!$B$33,'Inputs'!$B$29+'Inputs'!$B$31+'Inputs'!$B$32,'Inputs'!$B$30+'Inputs'!$B$31+'Inputs'!$B$32)/1000+'Inputs'!$B$21+'Inputs'!$B$7+'Inputs'!$B$10))^2+('Inputs'!$B$8/2)^2))))*'Results'!$B$8)+'Inputs'!$B$28*ABS((('Results'!B7*(1+'Inputs'!$B$24)*(0.5*((((1021-43)*MAX('Inputs'!$B$33,'Inputs'!$B$29+'Inputs'!$B$31+'Inputs'!$B$32,'Inputs'!$B$30+'Inputs'!$B$31+'Inputs'!$B$32)/1000+'Inputs'!$B$21)+'Inputs'!$B$7)/SQRT((((1021-43)*MAX('Inputs'!$B$33,'Inputs'!$B$29+'Inputs'!$B$31+'Inputs'!$B$32,'Inputs'!$B$30+'Inputs'!$B$31+'Inputs'!$B$32)/1000+'Inputs'!$B$21)+'Inputs'!$B$7)^2+('Inputs'!$B$6/2)^2)-(((1021-43)*MAX('Inputs'!$B$33,'Inputs'!$B$29+'Inputs'!$B$31+'Inputs'!$B$32,'Inputs'!$B$30+'Inputs'!$B$31+'Inputs'!$B$32)/1000+'Inputs'!$B$21))/SQRT((((1021-43)*MAX('Inputs'!$B$33,'Inputs'!$B$29+'Inputs'!$B$31+'Inputs'!$B$32,'Inputs'!$B$30+'Inputs'!$B$31+'Inputs'!$B$32)/1000+'Inputs'!$B$21))^2+('Inputs'!$B$6/2)^2)))-'Results'!C7*(1-'Inputs'!$B$24)*(0.5*((((1021-43)*MAX('Inputs'!$B$33,'Inputs'!$B$29+'Inputs'!$B$31+'Inputs'!$B$32,'Inputs'!$B$30+'Inputs'!$B$31+'Inputs'!$B$32)/1000+'Inputs'!$B$21+'Inputs'!$B$7+'Inputs'!$B$10)+'Inputs'!$B$9)/SQRT((((1021-43)*MAX('Inputs'!$B$33,'Inputs'!$B$29+'Inputs'!$B$31+'Inputs'!$B$32,'Inputs'!$B$30+'Inputs'!$B$31+'Inputs'!$B$32)/1000+'Inputs'!$B$21+'Inputs'!$B$7+'Inputs'!$B$10)+'Inputs'!$B$9)^2+('Inputs'!$B$8/2)^2)-(((1021-43)*MAX('Inputs'!$B$33,'Inputs'!$B$29+'Inputs'!$B$31+'Inputs'!$B$32,'Inputs'!$B$30+'Inputs'!$B$31+'Inputs'!$B$32)/1000+'Inputs'!$B$21+'Inputs'!$B$7+'Inputs'!$B$10))/SQRT((((1021-43)*MAX('Inputs'!$B$33,'Inputs'!$B$29+'Inputs'!$B$31+'Inputs'!$B$32,'Inputs'!$B$30+'Inputs'!$B$31+'Inputs'!$B$32)/1000+'Inputs'!$B$21+'Inputs'!$B$7+'Inputs'!$B$10))^2+('Inputs'!$B$8/2)^2))))*'Results'!$B$8))),"")</x:f>
        <x:v>0.4543206476277402</x:v>
      </x:c>
      <x:c r="M1021" t="n">
        <x:f>IF(AND(ISNUMBER('Results'!C7),ISNUMBER('Results'!B7),ISNUMBER('Results'!$B$8),ISNUMBER('Inputs'!$B$6),ISNUMBER('Inputs'!$B$7),ISNUMBER('Inputs'!$B$8),ISNUMBER('Inputs'!$B$9),ISNUMBER('Inputs'!$B$10),ISNUMBER('Inputs'!$B$21),ISNUMBER('Inputs'!$B$24),ISNUMBER('Inputs'!$B$28)),(('Results'!C7*(0.5*((((1021-43)*MAX('Inputs'!$B$33,'Inputs'!$B$29+'Inputs'!$B$31+'Inputs'!$B$32,'Inputs'!$B$30+'Inputs'!$B$31+'Inputs'!$B$32)/1000+'Inputs'!$B$21)+'Inputs'!$B$9)/SQRT((((1021-43)*MAX('Inputs'!$B$33,'Inputs'!$B$29+'Inputs'!$B$31+'Inputs'!$B$32,'Inputs'!$B$30+'Inputs'!$B$31+'Inputs'!$B$32)/1000+'Inputs'!$B$21)+'Inputs'!$B$9)^2+('Inputs'!$B$8/2)^2)-(((1021-43)*MAX('Inputs'!$B$33,'Inputs'!$B$29+'Inputs'!$B$31+'Inputs'!$B$32,'Inputs'!$B$30+'Inputs'!$B$31+'Inputs'!$B$32)/1000+'Inputs'!$B$21))/SQRT((((1021-43)*MAX('Inputs'!$B$33,'Inputs'!$B$29+'Inputs'!$B$31+'Inputs'!$B$32,'Inputs'!$B$30+'Inputs'!$B$31+'Inputs'!$B$32)/1000+'Inputs'!$B$21))^2+('Inputs'!$B$8/2)^2)))-'Results'!B7*(0.5*((((1021-43)*MAX('Inputs'!$B$33,'Inputs'!$B$29+'Inputs'!$B$31+'Inputs'!$B$32,'Inputs'!$B$30+'Inputs'!$B$31+'Inputs'!$B$32)/1000+'Inputs'!$B$21+'Inputs'!$B$9+'Inputs'!$B$10)+'Inputs'!$B$7)/SQRT((((1021-43)*MAX('Inputs'!$B$33,'Inputs'!$B$29+'Inputs'!$B$31+'Inputs'!$B$32,'Inputs'!$B$30+'Inputs'!$B$31+'Inputs'!$B$32)/1000+'Inputs'!$B$21+'Inputs'!$B$9+'Inputs'!$B$10)+'Inputs'!$B$7)^2+('Inputs'!$B$6/2)^2)-(((1021-43)*MAX('Inputs'!$B$33,'Inputs'!$B$29+'Inputs'!$B$31+'Inputs'!$B$32,'Inputs'!$B$30+'Inputs'!$B$31+'Inputs'!$B$32)/1000+'Inputs'!$B$21+'Inputs'!$B$9+'Inputs'!$B$10))/SQRT((((1021-43)*MAX('Inputs'!$B$33,'Inputs'!$B$29+'Inputs'!$B$31+'Inputs'!$B$32,'Inputs'!$B$30+'Inputs'!$B$31+'Inputs'!$B$32)/1000+'Inputs'!$B$21+'Inputs'!$B$9+'Inputs'!$B$10))^2+('Inputs'!$B$6/2)^2))))*'Results'!$B$8),"")</x:f>
        <x:v>0.3415731704790578</x:v>
      </x:c>
      <x:c r="N1021" t="n">
        <x:f>IF(AND(ISNUMBER('Results'!C7),ISNUMBER('Results'!B7),ISNUMBER('Results'!$B$8),ISNUMBER('Inputs'!$B$6),ISNUMBER('Inputs'!$B$7),ISNUMBER('Inputs'!$B$8),ISNUMBER('Inputs'!$B$9),ISNUMBER('Inputs'!$B$10),ISNUMBER('Inputs'!$B$21),ISNUMBER('Inputs'!$B$24),ISNUMBER('Inputs'!$B$28)),((('Results'!C7*(1-'Inputs'!$B$24)*(0.5*((((1021-43)*MAX('Inputs'!$B$33,'Inputs'!$B$29+'Inputs'!$B$31+'Inputs'!$B$32,'Inputs'!$B$30+'Inputs'!$B$31+'Inputs'!$B$32)/1000+'Inputs'!$B$21)+'Inputs'!$B$9)/SQRT((((1021-43)*MAX('Inputs'!$B$33,'Inputs'!$B$29+'Inputs'!$B$31+'Inputs'!$B$32,'Inputs'!$B$30+'Inputs'!$B$31+'Inputs'!$B$32)/1000+'Inputs'!$B$21)+'Inputs'!$B$9)^2+('Inputs'!$B$8/2)^2)-(((1021-43)*MAX('Inputs'!$B$33,'Inputs'!$B$29+'Inputs'!$B$31+'Inputs'!$B$32,'Inputs'!$B$30+'Inputs'!$B$31+'Inputs'!$B$32)/1000+'Inputs'!$B$21))/SQRT((((1021-43)*MAX('Inputs'!$B$33,'Inputs'!$B$29+'Inputs'!$B$31+'Inputs'!$B$32,'Inputs'!$B$30+'Inputs'!$B$31+'Inputs'!$B$32)/1000+'Inputs'!$B$21))^2+('Inputs'!$B$8/2)^2)))-'Results'!B7*(1+'Inputs'!$B$24)*(0.5*((((1021-43)*MAX('Inputs'!$B$33,'Inputs'!$B$29+'Inputs'!$B$31+'Inputs'!$B$32,'Inputs'!$B$30+'Inputs'!$B$31+'Inputs'!$B$32)/1000+'Inputs'!$B$21+'Inputs'!$B$9+'Inputs'!$B$10)+'Inputs'!$B$7)/SQRT((((1021-43)*MAX('Inputs'!$B$33,'Inputs'!$B$29+'Inputs'!$B$31+'Inputs'!$B$32,'Inputs'!$B$30+'Inputs'!$B$31+'Inputs'!$B$32)/1000+'Inputs'!$B$21+'Inputs'!$B$9+'Inputs'!$B$10)+'Inputs'!$B$7)^2+('Inputs'!$B$6/2)^2)-(((1021-43)*MAX('Inputs'!$B$33,'Inputs'!$B$29+'Inputs'!$B$31+'Inputs'!$B$32,'Inputs'!$B$30+'Inputs'!$B$31+'Inputs'!$B$32)/1000+'Inputs'!$B$21+'Inputs'!$B$9+'Inputs'!$B$10))/SQRT((((1021-43)*MAX('Inputs'!$B$33,'Inputs'!$B$29+'Inputs'!$B$31+'Inputs'!$B$32,'Inputs'!$B$30+'Inputs'!$B$31+'Inputs'!$B$32)/1000+'Inputs'!$B$21+'Inputs'!$B$9+'Inputs'!$B$10))^2+('Inputs'!$B$6/2)^2))))*'Results'!$B$8)-'Inputs'!$B$28*ABS((('Results'!C7*(1-'Inputs'!$B$24)*(0.5*((((1021-43)*MAX('Inputs'!$B$33,'Inputs'!$B$29+'Inputs'!$B$31+'Inputs'!$B$32,'Inputs'!$B$30+'Inputs'!$B$31+'Inputs'!$B$32)/1000+'Inputs'!$B$21)+'Inputs'!$B$9)/SQRT((((1021-43)*MAX('Inputs'!$B$33,'Inputs'!$B$29+'Inputs'!$B$31+'Inputs'!$B$32,'Inputs'!$B$30+'Inputs'!$B$31+'Inputs'!$B$32)/1000+'Inputs'!$B$21)+'Inputs'!$B$9)^2+('Inputs'!$B$8/2)^2)-(((1021-43)*MAX('Inputs'!$B$33,'Inputs'!$B$29+'Inputs'!$B$31+'Inputs'!$B$32,'Inputs'!$B$30+'Inputs'!$B$31+'Inputs'!$B$32)/1000+'Inputs'!$B$21))/SQRT((((1021-43)*MAX('Inputs'!$B$33,'Inputs'!$B$29+'Inputs'!$B$31+'Inputs'!$B$32,'Inputs'!$B$30+'Inputs'!$B$31+'Inputs'!$B$32)/1000+'Inputs'!$B$21))^2+('Inputs'!$B$8/2)^2)))-'Results'!B7*(1+'Inputs'!$B$24)*(0.5*((((1021-43)*MAX('Inputs'!$B$33,'Inputs'!$B$29+'Inputs'!$B$31+'Inputs'!$B$32,'Inputs'!$B$30+'Inputs'!$B$31+'Inputs'!$B$32)/1000+'Inputs'!$B$21+'Inputs'!$B$9+'Inputs'!$B$10)+'Inputs'!$B$7)/SQRT((((1021-43)*MAX('Inputs'!$B$33,'Inputs'!$B$29+'Inputs'!$B$31+'Inputs'!$B$32,'Inputs'!$B$30+'Inputs'!$B$31+'Inputs'!$B$32)/1000+'Inputs'!$B$21+'Inputs'!$B$9+'Inputs'!$B$10)+'Inputs'!$B$7)^2+('Inputs'!$B$6/2)^2)-(((1021-43)*MAX('Inputs'!$B$33,'Inputs'!$B$29+'Inputs'!$B$31+'Inputs'!$B$32,'Inputs'!$B$30+'Inputs'!$B$31+'Inputs'!$B$32)/1000+'Inputs'!$B$21+'Inputs'!$B$9+'Inputs'!$B$10))/SQRT((((1021-43)*MAX('Inputs'!$B$33,'Inputs'!$B$29+'Inputs'!$B$31+'Inputs'!$B$32,'Inputs'!$B$30+'Inputs'!$B$31+'Inputs'!$B$32)/1000+'Inputs'!$B$21+'Inputs'!$B$9+'Inputs'!$B$10))^2+('Inputs'!$B$6/2)^2))))*'Results'!$B$8))),"")</x:f>
        <x:v>0.2815379827779644</x:v>
      </x:c>
      <x:c r="O1021" t="n">
        <x:f>IF(AND(ISNUMBER('Results'!C7),ISNUMBER('Results'!B7),ISNUMBER('Results'!$B$8),ISNUMBER('Inputs'!$B$6),ISNUMBER('Inputs'!$B$7),ISNUMBER('Inputs'!$B$8),ISNUMBER('Inputs'!$B$9),ISNUMBER('Inputs'!$B$10),ISNUMBER('Inputs'!$B$21),ISNUMBER('Inputs'!$B$24),ISNUMBER('Inputs'!$B$28)),((('Results'!C7*(1+'Inputs'!$B$24)*(0.5*((((1021-43)*MAX('Inputs'!$B$33,'Inputs'!$B$29+'Inputs'!$B$31+'Inputs'!$B$32,'Inputs'!$B$30+'Inputs'!$B$31+'Inputs'!$B$32)/1000+'Inputs'!$B$21)+'Inputs'!$B$9)/SQRT((((1021-43)*MAX('Inputs'!$B$33,'Inputs'!$B$29+'Inputs'!$B$31+'Inputs'!$B$32,'Inputs'!$B$30+'Inputs'!$B$31+'Inputs'!$B$32)/1000+'Inputs'!$B$21)+'Inputs'!$B$9)^2+('Inputs'!$B$8/2)^2)-(((1021-43)*MAX('Inputs'!$B$33,'Inputs'!$B$29+'Inputs'!$B$31+'Inputs'!$B$32,'Inputs'!$B$30+'Inputs'!$B$31+'Inputs'!$B$32)/1000+'Inputs'!$B$21))/SQRT((((1021-43)*MAX('Inputs'!$B$33,'Inputs'!$B$29+'Inputs'!$B$31+'Inputs'!$B$32,'Inputs'!$B$30+'Inputs'!$B$31+'Inputs'!$B$32)/1000+'Inputs'!$B$21))^2+('Inputs'!$B$8/2)^2)))-'Results'!B7*(1-'Inputs'!$B$24)*(0.5*((((1021-43)*MAX('Inputs'!$B$33,'Inputs'!$B$29+'Inputs'!$B$31+'Inputs'!$B$32,'Inputs'!$B$30+'Inputs'!$B$31+'Inputs'!$B$32)/1000+'Inputs'!$B$21+'Inputs'!$B$9+'Inputs'!$B$10)+'Inputs'!$B$7)/SQRT((((1021-43)*MAX('Inputs'!$B$33,'Inputs'!$B$29+'Inputs'!$B$31+'Inputs'!$B$32,'Inputs'!$B$30+'Inputs'!$B$31+'Inputs'!$B$32)/1000+'Inputs'!$B$21+'Inputs'!$B$9+'Inputs'!$B$10)+'Inputs'!$B$7)^2+('Inputs'!$B$6/2)^2)-(((1021-43)*MAX('Inputs'!$B$33,'Inputs'!$B$29+'Inputs'!$B$31+'Inputs'!$B$32,'Inputs'!$B$30+'Inputs'!$B$31+'Inputs'!$B$32)/1000+'Inputs'!$B$21+'Inputs'!$B$9+'Inputs'!$B$10))/SQRT((((1021-43)*MAX('Inputs'!$B$33,'Inputs'!$B$29+'Inputs'!$B$31+'Inputs'!$B$32,'Inputs'!$B$30+'Inputs'!$B$31+'Inputs'!$B$32)/1000+'Inputs'!$B$21+'Inputs'!$B$9+'Inputs'!$B$10))^2+('Inputs'!$B$6/2)^2))))*'Results'!$B$8)+'Inputs'!$B$28*ABS((('Results'!C7*(1+'Inputs'!$B$24)*(0.5*((((1021-43)*MAX('Inputs'!$B$33,'Inputs'!$B$29+'Inputs'!$B$31+'Inputs'!$B$32,'Inputs'!$B$30+'Inputs'!$B$31+'Inputs'!$B$32)/1000+'Inputs'!$B$21)+'Inputs'!$B$9)/SQRT((((1021-43)*MAX('Inputs'!$B$33,'Inputs'!$B$29+'Inputs'!$B$31+'Inputs'!$B$32,'Inputs'!$B$30+'Inputs'!$B$31+'Inputs'!$B$32)/1000+'Inputs'!$B$21)+'Inputs'!$B$9)^2+('Inputs'!$B$8/2)^2)-(((1021-43)*MAX('Inputs'!$B$33,'Inputs'!$B$29+'Inputs'!$B$31+'Inputs'!$B$32,'Inputs'!$B$30+'Inputs'!$B$31+'Inputs'!$B$32)/1000+'Inputs'!$B$21))/SQRT((((1021-43)*MAX('Inputs'!$B$33,'Inputs'!$B$29+'Inputs'!$B$31+'Inputs'!$B$32,'Inputs'!$B$30+'Inputs'!$B$31+'Inputs'!$B$32)/1000+'Inputs'!$B$21))^2+('Inputs'!$B$8/2)^2)))-'Results'!B7*(1-'Inputs'!$B$24)*(0.5*((((1021-43)*MAX('Inputs'!$B$33,'Inputs'!$B$29+'Inputs'!$B$31+'Inputs'!$B$32,'Inputs'!$B$30+'Inputs'!$B$31+'Inputs'!$B$32)/1000+'Inputs'!$B$21+'Inputs'!$B$9+'Inputs'!$B$10)+'Inputs'!$B$7)/SQRT((((1021-43)*MAX('Inputs'!$B$33,'Inputs'!$B$29+'Inputs'!$B$31+'Inputs'!$B$32,'Inputs'!$B$30+'Inputs'!$B$31+'Inputs'!$B$32)/1000+'Inputs'!$B$21+'Inputs'!$B$9+'Inputs'!$B$10)+'Inputs'!$B$7)^2+('Inputs'!$B$6/2)^2)-(((1021-43)*MAX('Inputs'!$B$33,'Inputs'!$B$29+'Inputs'!$B$31+'Inputs'!$B$32,'Inputs'!$B$30+'Inputs'!$B$31+'Inputs'!$B$32)/1000+'Inputs'!$B$21+'Inputs'!$B$9+'Inputs'!$B$10))/SQRT((((1021-43)*MAX('Inputs'!$B$33,'Inputs'!$B$29+'Inputs'!$B$31+'Inputs'!$B$32,'Inputs'!$B$30+'Inputs'!$B$31+'Inputs'!$B$32)/1000+'Inputs'!$B$21+'Inputs'!$B$9+'Inputs'!$B$10))^2+('Inputs'!$B$6/2)^2))))*'Results'!$B$8))),"")</x:f>
        <x:v>0.4061300980935342</x:v>
      </x:c>
      <x:c r="P1021" t="n">
        <x:f>IF(AND(MAX(J1021,J1020)&gt;0,J1021&gt;J1020+0.00000001),1,0)</x:f>
        <x:v>0</x:v>
      </x:c>
      <x:c r="Q1021" t="n">
        <x:f>IF(AND(MAX(K1021,K1020)&gt;0,K1021&gt;K1020+0.00000001),1,0)</x:f>
        <x:v>0</x:v>
      </x:c>
      <x:c r="R1021" t="n">
        <x:f>IF(AND(MAX(L1021,L1020)&gt;0,L1021&gt;L1020+0.00000001),1,0)</x:f>
        <x:v>0</x:v>
      </x:c>
      <x:c r="S1021" t="n">
        <x:f>IF(AND(MAX(M1021,M1020)&gt;0,M1021&gt;M1020+0.00000001),1,0)</x:f>
        <x:v>0</x:v>
      </x:c>
      <x:c r="T1021" t="n">
        <x:f>IF(AND(MAX(N1021,N1020)&gt;0,N1021&gt;N1020+0.00000001),1,0)</x:f>
        <x:v>0</x:v>
      </x:c>
      <x:c r="U1021" t="n">
        <x:f>IF(AND(MAX(O1021,O1020)&gt;0,O1021&gt;O1020+0.00000001),1,0)</x:f>
        <x:v>0</x:v>
      </x:c>
    </x:row>
    <x:row r="1022">
      <x:c r="J1022" t="n">
        <x:f>IF(AND(ISNUMBER('Results'!B7),ISNUMBER('Results'!C7),ISNUMBER('Results'!$B$8),ISNUMBER('Inputs'!$B$6),ISNUMBER('Inputs'!$B$7),ISNUMBER('Inputs'!$B$8),ISNUMBER('Inputs'!$B$9),ISNUMBER('Inputs'!$B$10),ISNUMBER('Inputs'!$B$21),ISNUMBER('Inputs'!$B$24),ISNUMBER('Inputs'!$B$28)),(('Results'!B7*(0.5*((((1022-43)*MAX('Inputs'!$B$33,'Inputs'!$B$29+'Inputs'!$B$31+'Inputs'!$B$32,'Inputs'!$B$30+'Inputs'!$B$31+'Inputs'!$B$32)/1000+'Inputs'!$B$21)+'Inputs'!$B$7)/SQRT((((1022-43)*MAX('Inputs'!$B$33,'Inputs'!$B$29+'Inputs'!$B$31+'Inputs'!$B$32,'Inputs'!$B$30+'Inputs'!$B$31+'Inputs'!$B$32)/1000+'Inputs'!$B$21)+'Inputs'!$B$7)^2+('Inputs'!$B$6/2)^2)-(((1022-43)*MAX('Inputs'!$B$33,'Inputs'!$B$29+'Inputs'!$B$31+'Inputs'!$B$32,'Inputs'!$B$30+'Inputs'!$B$31+'Inputs'!$B$32)/1000+'Inputs'!$B$21))/SQRT((((1022-43)*MAX('Inputs'!$B$33,'Inputs'!$B$29+'Inputs'!$B$31+'Inputs'!$B$32,'Inputs'!$B$30+'Inputs'!$B$31+'Inputs'!$B$32)/1000+'Inputs'!$B$21))^2+('Inputs'!$B$6/2)^2)))-'Results'!C7*(0.5*((((1022-43)*MAX('Inputs'!$B$33,'Inputs'!$B$29+'Inputs'!$B$31+'Inputs'!$B$32,'Inputs'!$B$30+'Inputs'!$B$31+'Inputs'!$B$32)/1000+'Inputs'!$B$21+'Inputs'!$B$7+'Inputs'!$B$10)+'Inputs'!$B$9)/SQRT((((1022-43)*MAX('Inputs'!$B$33,'Inputs'!$B$29+'Inputs'!$B$31+'Inputs'!$B$32,'Inputs'!$B$30+'Inputs'!$B$31+'Inputs'!$B$32)/1000+'Inputs'!$B$21+'Inputs'!$B$7+'Inputs'!$B$10)+'Inputs'!$B$9)^2+('Inputs'!$B$8/2)^2)-(((1022-43)*MAX('Inputs'!$B$33,'Inputs'!$B$29+'Inputs'!$B$31+'Inputs'!$B$32,'Inputs'!$B$30+'Inputs'!$B$31+'Inputs'!$B$32)/1000+'Inputs'!$B$21+'Inputs'!$B$7+'Inputs'!$B$10))/SQRT((((1022-43)*MAX('Inputs'!$B$33,'Inputs'!$B$29+'Inputs'!$B$31+'Inputs'!$B$32,'Inputs'!$B$30+'Inputs'!$B$31+'Inputs'!$B$32)/1000+'Inputs'!$B$21+'Inputs'!$B$7+'Inputs'!$B$10))^2+('Inputs'!$B$8/2)^2))))*'Results'!$B$8),"")</x:f>
        <x:v>0.38588037184380314</x:v>
      </x:c>
      <x:c r="K1022" t="n">
        <x:f>IF(AND(ISNUMBER('Results'!B7),ISNUMBER('Results'!C7),ISNUMBER('Results'!$B$8),ISNUMBER('Inputs'!$B$6),ISNUMBER('Inputs'!$B$7),ISNUMBER('Inputs'!$B$8),ISNUMBER('Inputs'!$B$9),ISNUMBER('Inputs'!$B$10),ISNUMBER('Inputs'!$B$21),ISNUMBER('Inputs'!$B$24),ISNUMBER('Inputs'!$B$28)),((('Results'!B7*(1-'Inputs'!$B$24)*(0.5*((((1022-43)*MAX('Inputs'!$B$33,'Inputs'!$B$29+'Inputs'!$B$31+'Inputs'!$B$32,'Inputs'!$B$30+'Inputs'!$B$31+'Inputs'!$B$32)/1000+'Inputs'!$B$21)+'Inputs'!$B$7)/SQRT((((1022-43)*MAX('Inputs'!$B$33,'Inputs'!$B$29+'Inputs'!$B$31+'Inputs'!$B$32,'Inputs'!$B$30+'Inputs'!$B$31+'Inputs'!$B$32)/1000+'Inputs'!$B$21)+'Inputs'!$B$7)^2+('Inputs'!$B$6/2)^2)-(((1022-43)*MAX('Inputs'!$B$33,'Inputs'!$B$29+'Inputs'!$B$31+'Inputs'!$B$32,'Inputs'!$B$30+'Inputs'!$B$31+'Inputs'!$B$32)/1000+'Inputs'!$B$21))/SQRT((((1022-43)*MAX('Inputs'!$B$33,'Inputs'!$B$29+'Inputs'!$B$31+'Inputs'!$B$32,'Inputs'!$B$30+'Inputs'!$B$31+'Inputs'!$B$32)/1000+'Inputs'!$B$21))^2+('Inputs'!$B$6/2)^2)))-'Results'!C7*(1+'Inputs'!$B$24)*(0.5*((((1022-43)*MAX('Inputs'!$B$33,'Inputs'!$B$29+'Inputs'!$B$31+'Inputs'!$B$32,'Inputs'!$B$30+'Inputs'!$B$31+'Inputs'!$B$32)/1000+'Inputs'!$B$21+'Inputs'!$B$7+'Inputs'!$B$10)+'Inputs'!$B$9)/SQRT((((1022-43)*MAX('Inputs'!$B$33,'Inputs'!$B$29+'Inputs'!$B$31+'Inputs'!$B$32,'Inputs'!$B$30+'Inputs'!$B$31+'Inputs'!$B$32)/1000+'Inputs'!$B$21+'Inputs'!$B$7+'Inputs'!$B$10)+'Inputs'!$B$9)^2+('Inputs'!$B$8/2)^2)-(((1022-43)*MAX('Inputs'!$B$33,'Inputs'!$B$29+'Inputs'!$B$31+'Inputs'!$B$32,'Inputs'!$B$30+'Inputs'!$B$31+'Inputs'!$B$32)/1000+'Inputs'!$B$21+'Inputs'!$B$7+'Inputs'!$B$10))/SQRT((((1022-43)*MAX('Inputs'!$B$33,'Inputs'!$B$29+'Inputs'!$B$31+'Inputs'!$B$32,'Inputs'!$B$30+'Inputs'!$B$31+'Inputs'!$B$32)/1000+'Inputs'!$B$21+'Inputs'!$B$7+'Inputs'!$B$10))^2+('Inputs'!$B$8/2)^2))))*'Results'!$B$8)-'Inputs'!$B$28*ABS((('Results'!B7*(1-'Inputs'!$B$24)*(0.5*((((1022-43)*MAX('Inputs'!$B$33,'Inputs'!$B$29+'Inputs'!$B$31+'Inputs'!$B$32,'Inputs'!$B$30+'Inputs'!$B$31+'Inputs'!$B$32)/1000+'Inputs'!$B$21)+'Inputs'!$B$7)/SQRT((((1022-43)*MAX('Inputs'!$B$33,'Inputs'!$B$29+'Inputs'!$B$31+'Inputs'!$B$32,'Inputs'!$B$30+'Inputs'!$B$31+'Inputs'!$B$32)/1000+'Inputs'!$B$21)+'Inputs'!$B$7)^2+('Inputs'!$B$6/2)^2)-(((1022-43)*MAX('Inputs'!$B$33,'Inputs'!$B$29+'Inputs'!$B$31+'Inputs'!$B$32,'Inputs'!$B$30+'Inputs'!$B$31+'Inputs'!$B$32)/1000+'Inputs'!$B$21))/SQRT((((1022-43)*MAX('Inputs'!$B$33,'Inputs'!$B$29+'Inputs'!$B$31+'Inputs'!$B$32,'Inputs'!$B$30+'Inputs'!$B$31+'Inputs'!$B$32)/1000+'Inputs'!$B$21))^2+('Inputs'!$B$6/2)^2)))-'Results'!C7*(1+'Inputs'!$B$24)*(0.5*((((1022-43)*MAX('Inputs'!$B$33,'Inputs'!$B$29+'Inputs'!$B$31+'Inputs'!$B$32,'Inputs'!$B$30+'Inputs'!$B$31+'Inputs'!$B$32)/1000+'Inputs'!$B$21+'Inputs'!$B$7+'Inputs'!$B$10)+'Inputs'!$B$9)/SQRT((((1022-43)*MAX('Inputs'!$B$33,'Inputs'!$B$29+'Inputs'!$B$31+'Inputs'!$B$32,'Inputs'!$B$30+'Inputs'!$B$31+'Inputs'!$B$32)/1000+'Inputs'!$B$21+'Inputs'!$B$7+'Inputs'!$B$10)+'Inputs'!$B$9)^2+('Inputs'!$B$8/2)^2)-(((1022-43)*MAX('Inputs'!$B$33,'Inputs'!$B$29+'Inputs'!$B$31+'Inputs'!$B$32,'Inputs'!$B$30+'Inputs'!$B$31+'Inputs'!$B$32)/1000+'Inputs'!$B$21+'Inputs'!$B$7+'Inputs'!$B$10))/SQRT((((1022-43)*MAX('Inputs'!$B$33,'Inputs'!$B$29+'Inputs'!$B$31+'Inputs'!$B$32,'Inputs'!$B$30+'Inputs'!$B$31+'Inputs'!$B$32)/1000+'Inputs'!$B$21+'Inputs'!$B$7+'Inputs'!$B$10))^2+('Inputs'!$B$8/2)^2))))*'Results'!$B$8))),"")</x:f>
        <x:v>0.32361306831704584</x:v>
      </x:c>
      <x:c r="L1022" t="n">
        <x:f>IF(AND(ISNUMBER('Results'!B7),ISNUMBER('Results'!C7),ISNUMBER('Results'!$B$8),ISNUMBER('Inputs'!$B$6),ISNUMBER('Inputs'!$B$7),ISNUMBER('Inputs'!$B$8),ISNUMBER('Inputs'!$B$9),ISNUMBER('Inputs'!$B$10),ISNUMBER('Inputs'!$B$21),ISNUMBER('Inputs'!$B$24),ISNUMBER('Inputs'!$B$28)),((('Results'!B7*(1+'Inputs'!$B$24)*(0.5*((((1022-43)*MAX('Inputs'!$B$33,'Inputs'!$B$29+'Inputs'!$B$31+'Inputs'!$B$32,'Inputs'!$B$30+'Inputs'!$B$31+'Inputs'!$B$32)/1000+'Inputs'!$B$21)+'Inputs'!$B$7)/SQRT((((1022-43)*MAX('Inputs'!$B$33,'Inputs'!$B$29+'Inputs'!$B$31+'Inputs'!$B$32,'Inputs'!$B$30+'Inputs'!$B$31+'Inputs'!$B$32)/1000+'Inputs'!$B$21)+'Inputs'!$B$7)^2+('Inputs'!$B$6/2)^2)-(((1022-43)*MAX('Inputs'!$B$33,'Inputs'!$B$29+'Inputs'!$B$31+'Inputs'!$B$32,'Inputs'!$B$30+'Inputs'!$B$31+'Inputs'!$B$32)/1000+'Inputs'!$B$21))/SQRT((((1022-43)*MAX('Inputs'!$B$33,'Inputs'!$B$29+'Inputs'!$B$31+'Inputs'!$B$32,'Inputs'!$B$30+'Inputs'!$B$31+'Inputs'!$B$32)/1000+'Inputs'!$B$21))^2+('Inputs'!$B$6/2)^2)))-'Results'!C7*(1-'Inputs'!$B$24)*(0.5*((((1022-43)*MAX('Inputs'!$B$33,'Inputs'!$B$29+'Inputs'!$B$31+'Inputs'!$B$32,'Inputs'!$B$30+'Inputs'!$B$31+'Inputs'!$B$32)/1000+'Inputs'!$B$21+'Inputs'!$B$7+'Inputs'!$B$10)+'Inputs'!$B$9)/SQRT((((1022-43)*MAX('Inputs'!$B$33,'Inputs'!$B$29+'Inputs'!$B$31+'Inputs'!$B$32,'Inputs'!$B$30+'Inputs'!$B$31+'Inputs'!$B$32)/1000+'Inputs'!$B$21+'Inputs'!$B$7+'Inputs'!$B$10)+'Inputs'!$B$9)^2+('Inputs'!$B$8/2)^2)-(((1022-43)*MAX('Inputs'!$B$33,'Inputs'!$B$29+'Inputs'!$B$31+'Inputs'!$B$32,'Inputs'!$B$30+'Inputs'!$B$31+'Inputs'!$B$32)/1000+'Inputs'!$B$21+'Inputs'!$B$7+'Inputs'!$B$10))/SQRT((((1022-43)*MAX('Inputs'!$B$33,'Inputs'!$B$29+'Inputs'!$B$31+'Inputs'!$B$32,'Inputs'!$B$30+'Inputs'!$B$31+'Inputs'!$B$32)/1000+'Inputs'!$B$21+'Inputs'!$B$7+'Inputs'!$B$10))^2+('Inputs'!$B$8/2)^2))))*'Results'!$B$8)+'Inputs'!$B$28*ABS((('Results'!B7*(1+'Inputs'!$B$24)*(0.5*((((1022-43)*MAX('Inputs'!$B$33,'Inputs'!$B$29+'Inputs'!$B$31+'Inputs'!$B$32,'Inputs'!$B$30+'Inputs'!$B$31+'Inputs'!$B$32)/1000+'Inputs'!$B$21)+'Inputs'!$B$7)/SQRT((((1022-43)*MAX('Inputs'!$B$33,'Inputs'!$B$29+'Inputs'!$B$31+'Inputs'!$B$32,'Inputs'!$B$30+'Inputs'!$B$31+'Inputs'!$B$32)/1000+'Inputs'!$B$21)+'Inputs'!$B$7)^2+('Inputs'!$B$6/2)^2)-(((1022-43)*MAX('Inputs'!$B$33,'Inputs'!$B$29+'Inputs'!$B$31+'Inputs'!$B$32,'Inputs'!$B$30+'Inputs'!$B$31+'Inputs'!$B$32)/1000+'Inputs'!$B$21))/SQRT((((1022-43)*MAX('Inputs'!$B$33,'Inputs'!$B$29+'Inputs'!$B$31+'Inputs'!$B$32,'Inputs'!$B$30+'Inputs'!$B$31+'Inputs'!$B$32)/1000+'Inputs'!$B$21))^2+('Inputs'!$B$6/2)^2)))-'Results'!C7*(1-'Inputs'!$B$24)*(0.5*((((1022-43)*MAX('Inputs'!$B$33,'Inputs'!$B$29+'Inputs'!$B$31+'Inputs'!$B$32,'Inputs'!$B$30+'Inputs'!$B$31+'Inputs'!$B$32)/1000+'Inputs'!$B$21+'Inputs'!$B$7+'Inputs'!$B$10)+'Inputs'!$B$9)/SQRT((((1022-43)*MAX('Inputs'!$B$33,'Inputs'!$B$29+'Inputs'!$B$31+'Inputs'!$B$32,'Inputs'!$B$30+'Inputs'!$B$31+'Inputs'!$B$32)/1000+'Inputs'!$B$21+'Inputs'!$B$7+'Inputs'!$B$10)+'Inputs'!$B$9)^2+('Inputs'!$B$8/2)^2)-(((1022-43)*MAX('Inputs'!$B$33,'Inputs'!$B$29+'Inputs'!$B$31+'Inputs'!$B$32,'Inputs'!$B$30+'Inputs'!$B$31+'Inputs'!$B$32)/1000+'Inputs'!$B$21+'Inputs'!$B$7+'Inputs'!$B$10))/SQRT((((1022-43)*MAX('Inputs'!$B$33,'Inputs'!$B$29+'Inputs'!$B$31+'Inputs'!$B$32,'Inputs'!$B$30+'Inputs'!$B$31+'Inputs'!$B$32)/1000+'Inputs'!$B$21+'Inputs'!$B$7+'Inputs'!$B$10))^2+('Inputs'!$B$8/2)^2))))*'Results'!$B$8))),"")</x:f>
        <x:v>0.4526711790478831</x:v>
      </x:c>
      <x:c r="M1022" t="n">
        <x:f>IF(AND(ISNUMBER('Results'!C7),ISNUMBER('Results'!B7),ISNUMBER('Results'!$B$8),ISNUMBER('Inputs'!$B$6),ISNUMBER('Inputs'!$B$7),ISNUMBER('Inputs'!$B$8),ISNUMBER('Inputs'!$B$9),ISNUMBER('Inputs'!$B$10),ISNUMBER('Inputs'!$B$21),ISNUMBER('Inputs'!$B$24),ISNUMBER('Inputs'!$B$28)),(('Results'!C7*(0.5*((((1022-43)*MAX('Inputs'!$B$33,'Inputs'!$B$29+'Inputs'!$B$31+'Inputs'!$B$32,'Inputs'!$B$30+'Inputs'!$B$31+'Inputs'!$B$32)/1000+'Inputs'!$B$21)+'Inputs'!$B$9)/SQRT((((1022-43)*MAX('Inputs'!$B$33,'Inputs'!$B$29+'Inputs'!$B$31+'Inputs'!$B$32,'Inputs'!$B$30+'Inputs'!$B$31+'Inputs'!$B$32)/1000+'Inputs'!$B$21)+'Inputs'!$B$9)^2+('Inputs'!$B$8/2)^2)-(((1022-43)*MAX('Inputs'!$B$33,'Inputs'!$B$29+'Inputs'!$B$31+'Inputs'!$B$32,'Inputs'!$B$30+'Inputs'!$B$31+'Inputs'!$B$32)/1000+'Inputs'!$B$21))/SQRT((((1022-43)*MAX('Inputs'!$B$33,'Inputs'!$B$29+'Inputs'!$B$31+'Inputs'!$B$32,'Inputs'!$B$30+'Inputs'!$B$31+'Inputs'!$B$32)/1000+'Inputs'!$B$21))^2+('Inputs'!$B$8/2)^2)))-'Results'!B7*(0.5*((((1022-43)*MAX('Inputs'!$B$33,'Inputs'!$B$29+'Inputs'!$B$31+'Inputs'!$B$32,'Inputs'!$B$30+'Inputs'!$B$31+'Inputs'!$B$32)/1000+'Inputs'!$B$21+'Inputs'!$B$9+'Inputs'!$B$10)+'Inputs'!$B$7)/SQRT((((1022-43)*MAX('Inputs'!$B$33,'Inputs'!$B$29+'Inputs'!$B$31+'Inputs'!$B$32,'Inputs'!$B$30+'Inputs'!$B$31+'Inputs'!$B$32)/1000+'Inputs'!$B$21+'Inputs'!$B$9+'Inputs'!$B$10)+'Inputs'!$B$7)^2+('Inputs'!$B$6/2)^2)-(((1022-43)*MAX('Inputs'!$B$33,'Inputs'!$B$29+'Inputs'!$B$31+'Inputs'!$B$32,'Inputs'!$B$30+'Inputs'!$B$31+'Inputs'!$B$32)/1000+'Inputs'!$B$21+'Inputs'!$B$9+'Inputs'!$B$10))/SQRT((((1022-43)*MAX('Inputs'!$B$33,'Inputs'!$B$29+'Inputs'!$B$31+'Inputs'!$B$32,'Inputs'!$B$30+'Inputs'!$B$31+'Inputs'!$B$32)/1000+'Inputs'!$B$21+'Inputs'!$B$9+'Inputs'!$B$10))^2+('Inputs'!$B$6/2)^2))))*'Results'!$B$8),"")</x:f>
        <x:v>0.34026250415897924</x:v>
      </x:c>
      <x:c r="N1022" t="n">
        <x:f>IF(AND(ISNUMBER('Results'!C7),ISNUMBER('Results'!B7),ISNUMBER('Results'!$B$8),ISNUMBER('Inputs'!$B$6),ISNUMBER('Inputs'!$B$7),ISNUMBER('Inputs'!$B$8),ISNUMBER('Inputs'!$B$9),ISNUMBER('Inputs'!$B$10),ISNUMBER('Inputs'!$B$21),ISNUMBER('Inputs'!$B$24),ISNUMBER('Inputs'!$B$28)),((('Results'!C7*(1-'Inputs'!$B$24)*(0.5*((((1022-43)*MAX('Inputs'!$B$33,'Inputs'!$B$29+'Inputs'!$B$31+'Inputs'!$B$32,'Inputs'!$B$30+'Inputs'!$B$31+'Inputs'!$B$32)/1000+'Inputs'!$B$21)+'Inputs'!$B$9)/SQRT((((1022-43)*MAX('Inputs'!$B$33,'Inputs'!$B$29+'Inputs'!$B$31+'Inputs'!$B$32,'Inputs'!$B$30+'Inputs'!$B$31+'Inputs'!$B$32)/1000+'Inputs'!$B$21)+'Inputs'!$B$9)^2+('Inputs'!$B$8/2)^2)-(((1022-43)*MAX('Inputs'!$B$33,'Inputs'!$B$29+'Inputs'!$B$31+'Inputs'!$B$32,'Inputs'!$B$30+'Inputs'!$B$31+'Inputs'!$B$32)/1000+'Inputs'!$B$21))/SQRT((((1022-43)*MAX('Inputs'!$B$33,'Inputs'!$B$29+'Inputs'!$B$31+'Inputs'!$B$32,'Inputs'!$B$30+'Inputs'!$B$31+'Inputs'!$B$32)/1000+'Inputs'!$B$21))^2+('Inputs'!$B$8/2)^2)))-'Results'!B7*(1+'Inputs'!$B$24)*(0.5*((((1022-43)*MAX('Inputs'!$B$33,'Inputs'!$B$29+'Inputs'!$B$31+'Inputs'!$B$32,'Inputs'!$B$30+'Inputs'!$B$31+'Inputs'!$B$32)/1000+'Inputs'!$B$21+'Inputs'!$B$9+'Inputs'!$B$10)+'Inputs'!$B$7)/SQRT((((1022-43)*MAX('Inputs'!$B$33,'Inputs'!$B$29+'Inputs'!$B$31+'Inputs'!$B$32,'Inputs'!$B$30+'Inputs'!$B$31+'Inputs'!$B$32)/1000+'Inputs'!$B$21+'Inputs'!$B$9+'Inputs'!$B$10)+'Inputs'!$B$7)^2+('Inputs'!$B$6/2)^2)-(((1022-43)*MAX('Inputs'!$B$33,'Inputs'!$B$29+'Inputs'!$B$31+'Inputs'!$B$32,'Inputs'!$B$30+'Inputs'!$B$31+'Inputs'!$B$32)/1000+'Inputs'!$B$21+'Inputs'!$B$9+'Inputs'!$B$10))/SQRT((((1022-43)*MAX('Inputs'!$B$33,'Inputs'!$B$29+'Inputs'!$B$31+'Inputs'!$B$32,'Inputs'!$B$30+'Inputs'!$B$31+'Inputs'!$B$32)/1000+'Inputs'!$B$21+'Inputs'!$B$9+'Inputs'!$B$10))^2+('Inputs'!$B$6/2)^2))))*'Results'!$B$8)-'Inputs'!$B$28*ABS((('Results'!C7*(1-'Inputs'!$B$24)*(0.5*((((1022-43)*MAX('Inputs'!$B$33,'Inputs'!$B$29+'Inputs'!$B$31+'Inputs'!$B$32,'Inputs'!$B$30+'Inputs'!$B$31+'Inputs'!$B$32)/1000+'Inputs'!$B$21)+'Inputs'!$B$9)/SQRT((((1022-43)*MAX('Inputs'!$B$33,'Inputs'!$B$29+'Inputs'!$B$31+'Inputs'!$B$32,'Inputs'!$B$30+'Inputs'!$B$31+'Inputs'!$B$32)/1000+'Inputs'!$B$21)+'Inputs'!$B$9)^2+('Inputs'!$B$8/2)^2)-(((1022-43)*MAX('Inputs'!$B$33,'Inputs'!$B$29+'Inputs'!$B$31+'Inputs'!$B$32,'Inputs'!$B$30+'Inputs'!$B$31+'Inputs'!$B$32)/1000+'Inputs'!$B$21))/SQRT((((1022-43)*MAX('Inputs'!$B$33,'Inputs'!$B$29+'Inputs'!$B$31+'Inputs'!$B$32,'Inputs'!$B$30+'Inputs'!$B$31+'Inputs'!$B$32)/1000+'Inputs'!$B$21))^2+('Inputs'!$B$8/2)^2)))-'Results'!B7*(1+'Inputs'!$B$24)*(0.5*((((1022-43)*MAX('Inputs'!$B$33,'Inputs'!$B$29+'Inputs'!$B$31+'Inputs'!$B$32,'Inputs'!$B$30+'Inputs'!$B$31+'Inputs'!$B$32)/1000+'Inputs'!$B$21+'Inputs'!$B$9+'Inputs'!$B$10)+'Inputs'!$B$7)/SQRT((((1022-43)*MAX('Inputs'!$B$33,'Inputs'!$B$29+'Inputs'!$B$31+'Inputs'!$B$32,'Inputs'!$B$30+'Inputs'!$B$31+'Inputs'!$B$32)/1000+'Inputs'!$B$21+'Inputs'!$B$9+'Inputs'!$B$10)+'Inputs'!$B$7)^2+('Inputs'!$B$6/2)^2)-(((1022-43)*MAX('Inputs'!$B$33,'Inputs'!$B$29+'Inputs'!$B$31+'Inputs'!$B$32,'Inputs'!$B$30+'Inputs'!$B$31+'Inputs'!$B$32)/1000+'Inputs'!$B$21+'Inputs'!$B$9+'Inputs'!$B$10))/SQRT((((1022-43)*MAX('Inputs'!$B$33,'Inputs'!$B$29+'Inputs'!$B$31+'Inputs'!$B$32,'Inputs'!$B$30+'Inputs'!$B$31+'Inputs'!$B$32)/1000+'Inputs'!$B$21+'Inputs'!$B$9+'Inputs'!$B$10))^2+('Inputs'!$B$6/2)^2))))*'Results'!$B$8))),"")</x:f>
        <x:v>0.2804154547704436</x:v>
      </x:c>
      <x:c r="O1022" t="n">
        <x:f>IF(AND(ISNUMBER('Results'!C7),ISNUMBER('Results'!B7),ISNUMBER('Results'!$B$8),ISNUMBER('Inputs'!$B$6),ISNUMBER('Inputs'!$B$7),ISNUMBER('Inputs'!$B$8),ISNUMBER('Inputs'!$B$9),ISNUMBER('Inputs'!$B$10),ISNUMBER('Inputs'!$B$21),ISNUMBER('Inputs'!$B$24),ISNUMBER('Inputs'!$B$28)),((('Results'!C7*(1+'Inputs'!$B$24)*(0.5*((((1022-43)*MAX('Inputs'!$B$33,'Inputs'!$B$29+'Inputs'!$B$31+'Inputs'!$B$32,'Inputs'!$B$30+'Inputs'!$B$31+'Inputs'!$B$32)/1000+'Inputs'!$B$21)+'Inputs'!$B$9)/SQRT((((1022-43)*MAX('Inputs'!$B$33,'Inputs'!$B$29+'Inputs'!$B$31+'Inputs'!$B$32,'Inputs'!$B$30+'Inputs'!$B$31+'Inputs'!$B$32)/1000+'Inputs'!$B$21)+'Inputs'!$B$9)^2+('Inputs'!$B$8/2)^2)-(((1022-43)*MAX('Inputs'!$B$33,'Inputs'!$B$29+'Inputs'!$B$31+'Inputs'!$B$32,'Inputs'!$B$30+'Inputs'!$B$31+'Inputs'!$B$32)/1000+'Inputs'!$B$21))/SQRT((((1022-43)*MAX('Inputs'!$B$33,'Inputs'!$B$29+'Inputs'!$B$31+'Inputs'!$B$32,'Inputs'!$B$30+'Inputs'!$B$31+'Inputs'!$B$32)/1000+'Inputs'!$B$21))^2+('Inputs'!$B$8/2)^2)))-'Results'!B7*(1-'Inputs'!$B$24)*(0.5*((((1022-43)*MAX('Inputs'!$B$33,'Inputs'!$B$29+'Inputs'!$B$31+'Inputs'!$B$32,'Inputs'!$B$30+'Inputs'!$B$31+'Inputs'!$B$32)/1000+'Inputs'!$B$21+'Inputs'!$B$9+'Inputs'!$B$10)+'Inputs'!$B$7)/SQRT((((1022-43)*MAX('Inputs'!$B$33,'Inputs'!$B$29+'Inputs'!$B$31+'Inputs'!$B$32,'Inputs'!$B$30+'Inputs'!$B$31+'Inputs'!$B$32)/1000+'Inputs'!$B$21+'Inputs'!$B$9+'Inputs'!$B$10)+'Inputs'!$B$7)^2+('Inputs'!$B$6/2)^2)-(((1022-43)*MAX('Inputs'!$B$33,'Inputs'!$B$29+'Inputs'!$B$31+'Inputs'!$B$32,'Inputs'!$B$30+'Inputs'!$B$31+'Inputs'!$B$32)/1000+'Inputs'!$B$21+'Inputs'!$B$9+'Inputs'!$B$10))/SQRT((((1022-43)*MAX('Inputs'!$B$33,'Inputs'!$B$29+'Inputs'!$B$31+'Inputs'!$B$32,'Inputs'!$B$30+'Inputs'!$B$31+'Inputs'!$B$32)/1000+'Inputs'!$B$21+'Inputs'!$B$9+'Inputs'!$B$10))^2+('Inputs'!$B$6/2)^2))))*'Results'!$B$8)+'Inputs'!$B$28*ABS((('Results'!C7*(1+'Inputs'!$B$24)*(0.5*((((1022-43)*MAX('Inputs'!$B$33,'Inputs'!$B$29+'Inputs'!$B$31+'Inputs'!$B$32,'Inputs'!$B$30+'Inputs'!$B$31+'Inputs'!$B$32)/1000+'Inputs'!$B$21)+'Inputs'!$B$9)/SQRT((((1022-43)*MAX('Inputs'!$B$33,'Inputs'!$B$29+'Inputs'!$B$31+'Inputs'!$B$32,'Inputs'!$B$30+'Inputs'!$B$31+'Inputs'!$B$32)/1000+'Inputs'!$B$21)+'Inputs'!$B$9)^2+('Inputs'!$B$8/2)^2)-(((1022-43)*MAX('Inputs'!$B$33,'Inputs'!$B$29+'Inputs'!$B$31+'Inputs'!$B$32,'Inputs'!$B$30+'Inputs'!$B$31+'Inputs'!$B$32)/1000+'Inputs'!$B$21))/SQRT((((1022-43)*MAX('Inputs'!$B$33,'Inputs'!$B$29+'Inputs'!$B$31+'Inputs'!$B$32,'Inputs'!$B$30+'Inputs'!$B$31+'Inputs'!$B$32)/1000+'Inputs'!$B$21))^2+('Inputs'!$B$8/2)^2)))-'Results'!B7*(1-'Inputs'!$B$24)*(0.5*((((1022-43)*MAX('Inputs'!$B$33,'Inputs'!$B$29+'Inputs'!$B$31+'Inputs'!$B$32,'Inputs'!$B$30+'Inputs'!$B$31+'Inputs'!$B$32)/1000+'Inputs'!$B$21+'Inputs'!$B$9+'Inputs'!$B$10)+'Inputs'!$B$7)/SQRT((((1022-43)*MAX('Inputs'!$B$33,'Inputs'!$B$29+'Inputs'!$B$31+'Inputs'!$B$32,'Inputs'!$B$30+'Inputs'!$B$31+'Inputs'!$B$32)/1000+'Inputs'!$B$21+'Inputs'!$B$9+'Inputs'!$B$10)+'Inputs'!$B$7)^2+('Inputs'!$B$6/2)^2)-(((1022-43)*MAX('Inputs'!$B$33,'Inputs'!$B$29+'Inputs'!$B$31+'Inputs'!$B$32,'Inputs'!$B$30+'Inputs'!$B$31+'Inputs'!$B$32)/1000+'Inputs'!$B$21+'Inputs'!$B$9+'Inputs'!$B$10))/SQRT((((1022-43)*MAX('Inputs'!$B$33,'Inputs'!$B$29+'Inputs'!$B$31+'Inputs'!$B$32,'Inputs'!$B$30+'Inputs'!$B$31+'Inputs'!$B$32)/1000+'Inputs'!$B$21+'Inputs'!$B$9+'Inputs'!$B$10))^2+('Inputs'!$B$6/2)^2))))*'Results'!$B$8))),"")</x:f>
        <x:v>0.4046183876717873</x:v>
      </x:c>
      <x:c r="P1022" t="n">
        <x:f>IF(AND(MAX(J1022,J1021)&gt;0,J1022&gt;J1021+0.00000001),1,0)</x:f>
        <x:v>0</x:v>
      </x:c>
      <x:c r="Q1022" t="n">
        <x:f>IF(AND(MAX(K1022,K1021)&gt;0,K1022&gt;K1021+0.00000001),1,0)</x:f>
        <x:v>0</x:v>
      </x:c>
      <x:c r="R1022" t="n">
        <x:f>IF(AND(MAX(L1022,L1021)&gt;0,L1022&gt;L1021+0.00000001),1,0)</x:f>
        <x:v>0</x:v>
      </x:c>
      <x:c r="S1022" t="n">
        <x:f>IF(AND(MAX(M1022,M1021)&gt;0,M1022&gt;M1021+0.00000001),1,0)</x:f>
        <x:v>0</x:v>
      </x:c>
      <x:c r="T1022" t="n">
        <x:f>IF(AND(MAX(N1022,N1021)&gt;0,N1022&gt;N1021+0.00000001),1,0)</x:f>
        <x:v>0</x:v>
      </x:c>
      <x:c r="U1022" t="n">
        <x:f>IF(AND(MAX(O1022,O1021)&gt;0,O1022&gt;O1021+0.00000001),1,0)</x:f>
        <x:v>0</x:v>
      </x:c>
    </x:row>
    <x:row r="1023">
      <x:c r="J1023" t="n">
        <x:f>IF(AND(ISNUMBER('Results'!B7),ISNUMBER('Results'!C7),ISNUMBER('Results'!$B$8),ISNUMBER('Inputs'!$B$6),ISNUMBER('Inputs'!$B$7),ISNUMBER('Inputs'!$B$8),ISNUMBER('Inputs'!$B$9),ISNUMBER('Inputs'!$B$10),ISNUMBER('Inputs'!$B$21),ISNUMBER('Inputs'!$B$24),ISNUMBER('Inputs'!$B$28)),(('Results'!B7*(0.5*((((1023-43)*MAX('Inputs'!$B$33,'Inputs'!$B$29+'Inputs'!$B$31+'Inputs'!$B$32,'Inputs'!$B$30+'Inputs'!$B$31+'Inputs'!$B$32)/1000+'Inputs'!$B$21)+'Inputs'!$B$7)/SQRT((((1023-43)*MAX('Inputs'!$B$33,'Inputs'!$B$29+'Inputs'!$B$31+'Inputs'!$B$32,'Inputs'!$B$30+'Inputs'!$B$31+'Inputs'!$B$32)/1000+'Inputs'!$B$21)+'Inputs'!$B$7)^2+('Inputs'!$B$6/2)^2)-(((1023-43)*MAX('Inputs'!$B$33,'Inputs'!$B$29+'Inputs'!$B$31+'Inputs'!$B$32,'Inputs'!$B$30+'Inputs'!$B$31+'Inputs'!$B$32)/1000+'Inputs'!$B$21))/SQRT((((1023-43)*MAX('Inputs'!$B$33,'Inputs'!$B$29+'Inputs'!$B$31+'Inputs'!$B$32,'Inputs'!$B$30+'Inputs'!$B$31+'Inputs'!$B$32)/1000+'Inputs'!$B$21))^2+('Inputs'!$B$6/2)^2)))-'Results'!C7*(0.5*((((1023-43)*MAX('Inputs'!$B$33,'Inputs'!$B$29+'Inputs'!$B$31+'Inputs'!$B$32,'Inputs'!$B$30+'Inputs'!$B$31+'Inputs'!$B$32)/1000+'Inputs'!$B$21+'Inputs'!$B$7+'Inputs'!$B$10)+'Inputs'!$B$9)/SQRT((((1023-43)*MAX('Inputs'!$B$33,'Inputs'!$B$29+'Inputs'!$B$31+'Inputs'!$B$32,'Inputs'!$B$30+'Inputs'!$B$31+'Inputs'!$B$32)/1000+'Inputs'!$B$21+'Inputs'!$B$7+'Inputs'!$B$10)+'Inputs'!$B$9)^2+('Inputs'!$B$8/2)^2)-(((1023-43)*MAX('Inputs'!$B$33,'Inputs'!$B$29+'Inputs'!$B$31+'Inputs'!$B$32,'Inputs'!$B$30+'Inputs'!$B$31+'Inputs'!$B$32)/1000+'Inputs'!$B$21+'Inputs'!$B$7+'Inputs'!$B$10))/SQRT((((1023-43)*MAX('Inputs'!$B$33,'Inputs'!$B$29+'Inputs'!$B$31+'Inputs'!$B$32,'Inputs'!$B$30+'Inputs'!$B$31+'Inputs'!$B$32)/1000+'Inputs'!$B$21+'Inputs'!$B$7+'Inputs'!$B$10))^2+('Inputs'!$B$8/2)^2))))*'Results'!$B$8),"")</x:f>
        <x:v>0.38444579738144563</x:v>
      </x:c>
      <x:c r="K1023" t="n">
        <x:f>IF(AND(ISNUMBER('Results'!B7),ISNUMBER('Results'!C7),ISNUMBER('Results'!$B$8),ISNUMBER('Inputs'!$B$6),ISNUMBER('Inputs'!$B$7),ISNUMBER('Inputs'!$B$8),ISNUMBER('Inputs'!$B$9),ISNUMBER('Inputs'!$B$10),ISNUMBER('Inputs'!$B$21),ISNUMBER('Inputs'!$B$24),ISNUMBER('Inputs'!$B$28)),((('Results'!B7*(1-'Inputs'!$B$24)*(0.5*((((1023-43)*MAX('Inputs'!$B$33,'Inputs'!$B$29+'Inputs'!$B$31+'Inputs'!$B$32,'Inputs'!$B$30+'Inputs'!$B$31+'Inputs'!$B$32)/1000+'Inputs'!$B$21)+'Inputs'!$B$7)/SQRT((((1023-43)*MAX('Inputs'!$B$33,'Inputs'!$B$29+'Inputs'!$B$31+'Inputs'!$B$32,'Inputs'!$B$30+'Inputs'!$B$31+'Inputs'!$B$32)/1000+'Inputs'!$B$21)+'Inputs'!$B$7)^2+('Inputs'!$B$6/2)^2)-(((1023-43)*MAX('Inputs'!$B$33,'Inputs'!$B$29+'Inputs'!$B$31+'Inputs'!$B$32,'Inputs'!$B$30+'Inputs'!$B$31+'Inputs'!$B$32)/1000+'Inputs'!$B$21))/SQRT((((1023-43)*MAX('Inputs'!$B$33,'Inputs'!$B$29+'Inputs'!$B$31+'Inputs'!$B$32,'Inputs'!$B$30+'Inputs'!$B$31+'Inputs'!$B$32)/1000+'Inputs'!$B$21))^2+('Inputs'!$B$6/2)^2)))-'Results'!C7*(1+'Inputs'!$B$24)*(0.5*((((1023-43)*MAX('Inputs'!$B$33,'Inputs'!$B$29+'Inputs'!$B$31+'Inputs'!$B$32,'Inputs'!$B$30+'Inputs'!$B$31+'Inputs'!$B$32)/1000+'Inputs'!$B$21+'Inputs'!$B$7+'Inputs'!$B$10)+'Inputs'!$B$9)/SQRT((((1023-43)*MAX('Inputs'!$B$33,'Inputs'!$B$29+'Inputs'!$B$31+'Inputs'!$B$32,'Inputs'!$B$30+'Inputs'!$B$31+'Inputs'!$B$32)/1000+'Inputs'!$B$21+'Inputs'!$B$7+'Inputs'!$B$10)+'Inputs'!$B$9)^2+('Inputs'!$B$8/2)^2)-(((1023-43)*MAX('Inputs'!$B$33,'Inputs'!$B$29+'Inputs'!$B$31+'Inputs'!$B$32,'Inputs'!$B$30+'Inputs'!$B$31+'Inputs'!$B$32)/1000+'Inputs'!$B$21+'Inputs'!$B$7+'Inputs'!$B$10))/SQRT((((1023-43)*MAX('Inputs'!$B$33,'Inputs'!$B$29+'Inputs'!$B$31+'Inputs'!$B$32,'Inputs'!$B$30+'Inputs'!$B$31+'Inputs'!$B$32)/1000+'Inputs'!$B$21+'Inputs'!$B$7+'Inputs'!$B$10))^2+('Inputs'!$B$8/2)^2))))*'Results'!$B$8)-'Inputs'!$B$28*ABS((('Results'!B7*(1-'Inputs'!$B$24)*(0.5*((((1023-43)*MAX('Inputs'!$B$33,'Inputs'!$B$29+'Inputs'!$B$31+'Inputs'!$B$32,'Inputs'!$B$30+'Inputs'!$B$31+'Inputs'!$B$32)/1000+'Inputs'!$B$21)+'Inputs'!$B$7)/SQRT((((1023-43)*MAX('Inputs'!$B$33,'Inputs'!$B$29+'Inputs'!$B$31+'Inputs'!$B$32,'Inputs'!$B$30+'Inputs'!$B$31+'Inputs'!$B$32)/1000+'Inputs'!$B$21)+'Inputs'!$B$7)^2+('Inputs'!$B$6/2)^2)-(((1023-43)*MAX('Inputs'!$B$33,'Inputs'!$B$29+'Inputs'!$B$31+'Inputs'!$B$32,'Inputs'!$B$30+'Inputs'!$B$31+'Inputs'!$B$32)/1000+'Inputs'!$B$21))/SQRT((((1023-43)*MAX('Inputs'!$B$33,'Inputs'!$B$29+'Inputs'!$B$31+'Inputs'!$B$32,'Inputs'!$B$30+'Inputs'!$B$31+'Inputs'!$B$32)/1000+'Inputs'!$B$21))^2+('Inputs'!$B$6/2)^2)))-'Results'!C7*(1+'Inputs'!$B$24)*(0.5*((((1023-43)*MAX('Inputs'!$B$33,'Inputs'!$B$29+'Inputs'!$B$31+'Inputs'!$B$32,'Inputs'!$B$30+'Inputs'!$B$31+'Inputs'!$B$32)/1000+'Inputs'!$B$21+'Inputs'!$B$7+'Inputs'!$B$10)+'Inputs'!$B$9)/SQRT((((1023-43)*MAX('Inputs'!$B$33,'Inputs'!$B$29+'Inputs'!$B$31+'Inputs'!$B$32,'Inputs'!$B$30+'Inputs'!$B$31+'Inputs'!$B$32)/1000+'Inputs'!$B$21+'Inputs'!$B$7+'Inputs'!$B$10)+'Inputs'!$B$9)^2+('Inputs'!$B$8/2)^2)-(((1023-43)*MAX('Inputs'!$B$33,'Inputs'!$B$29+'Inputs'!$B$31+'Inputs'!$B$32,'Inputs'!$B$30+'Inputs'!$B$31+'Inputs'!$B$32)/1000+'Inputs'!$B$21+'Inputs'!$B$7+'Inputs'!$B$10))/SQRT((((1023-43)*MAX('Inputs'!$B$33,'Inputs'!$B$29+'Inputs'!$B$31+'Inputs'!$B$32,'Inputs'!$B$30+'Inputs'!$B$31+'Inputs'!$B$32)/1000+'Inputs'!$B$21+'Inputs'!$B$7+'Inputs'!$B$10))^2+('Inputs'!$B$8/2)^2))))*'Results'!$B$8))),"")</x:f>
        <x:v>0.3223728864438175</x:v>
      </x:c>
      <x:c r="L1023" t="n">
        <x:f>IF(AND(ISNUMBER('Results'!B7),ISNUMBER('Results'!C7),ISNUMBER('Results'!$B$8),ISNUMBER('Inputs'!$B$6),ISNUMBER('Inputs'!$B$7),ISNUMBER('Inputs'!$B$8),ISNUMBER('Inputs'!$B$9),ISNUMBER('Inputs'!$B$10),ISNUMBER('Inputs'!$B$21),ISNUMBER('Inputs'!$B$24),ISNUMBER('Inputs'!$B$28)),((('Results'!B7*(1+'Inputs'!$B$24)*(0.5*((((1023-43)*MAX('Inputs'!$B$33,'Inputs'!$B$29+'Inputs'!$B$31+'Inputs'!$B$32,'Inputs'!$B$30+'Inputs'!$B$31+'Inputs'!$B$32)/1000+'Inputs'!$B$21)+'Inputs'!$B$7)/SQRT((((1023-43)*MAX('Inputs'!$B$33,'Inputs'!$B$29+'Inputs'!$B$31+'Inputs'!$B$32,'Inputs'!$B$30+'Inputs'!$B$31+'Inputs'!$B$32)/1000+'Inputs'!$B$21)+'Inputs'!$B$7)^2+('Inputs'!$B$6/2)^2)-(((1023-43)*MAX('Inputs'!$B$33,'Inputs'!$B$29+'Inputs'!$B$31+'Inputs'!$B$32,'Inputs'!$B$30+'Inputs'!$B$31+'Inputs'!$B$32)/1000+'Inputs'!$B$21))/SQRT((((1023-43)*MAX('Inputs'!$B$33,'Inputs'!$B$29+'Inputs'!$B$31+'Inputs'!$B$32,'Inputs'!$B$30+'Inputs'!$B$31+'Inputs'!$B$32)/1000+'Inputs'!$B$21))^2+('Inputs'!$B$6/2)^2)))-'Results'!C7*(1-'Inputs'!$B$24)*(0.5*((((1023-43)*MAX('Inputs'!$B$33,'Inputs'!$B$29+'Inputs'!$B$31+'Inputs'!$B$32,'Inputs'!$B$30+'Inputs'!$B$31+'Inputs'!$B$32)/1000+'Inputs'!$B$21+'Inputs'!$B$7+'Inputs'!$B$10)+'Inputs'!$B$9)/SQRT((((1023-43)*MAX('Inputs'!$B$33,'Inputs'!$B$29+'Inputs'!$B$31+'Inputs'!$B$32,'Inputs'!$B$30+'Inputs'!$B$31+'Inputs'!$B$32)/1000+'Inputs'!$B$21+'Inputs'!$B$7+'Inputs'!$B$10)+'Inputs'!$B$9)^2+('Inputs'!$B$8/2)^2)-(((1023-43)*MAX('Inputs'!$B$33,'Inputs'!$B$29+'Inputs'!$B$31+'Inputs'!$B$32,'Inputs'!$B$30+'Inputs'!$B$31+'Inputs'!$B$32)/1000+'Inputs'!$B$21+'Inputs'!$B$7+'Inputs'!$B$10))/SQRT((((1023-43)*MAX('Inputs'!$B$33,'Inputs'!$B$29+'Inputs'!$B$31+'Inputs'!$B$32,'Inputs'!$B$30+'Inputs'!$B$31+'Inputs'!$B$32)/1000+'Inputs'!$B$21+'Inputs'!$B$7+'Inputs'!$B$10))^2+('Inputs'!$B$8/2)^2))))*'Results'!$B$8)+'Inputs'!$B$28*ABS((('Results'!B7*(1+'Inputs'!$B$24)*(0.5*((((1023-43)*MAX('Inputs'!$B$33,'Inputs'!$B$29+'Inputs'!$B$31+'Inputs'!$B$32,'Inputs'!$B$30+'Inputs'!$B$31+'Inputs'!$B$32)/1000+'Inputs'!$B$21)+'Inputs'!$B$7)/SQRT((((1023-43)*MAX('Inputs'!$B$33,'Inputs'!$B$29+'Inputs'!$B$31+'Inputs'!$B$32,'Inputs'!$B$30+'Inputs'!$B$31+'Inputs'!$B$32)/1000+'Inputs'!$B$21)+'Inputs'!$B$7)^2+('Inputs'!$B$6/2)^2)-(((1023-43)*MAX('Inputs'!$B$33,'Inputs'!$B$29+'Inputs'!$B$31+'Inputs'!$B$32,'Inputs'!$B$30+'Inputs'!$B$31+'Inputs'!$B$32)/1000+'Inputs'!$B$21))/SQRT((((1023-43)*MAX('Inputs'!$B$33,'Inputs'!$B$29+'Inputs'!$B$31+'Inputs'!$B$32,'Inputs'!$B$30+'Inputs'!$B$31+'Inputs'!$B$32)/1000+'Inputs'!$B$21))^2+('Inputs'!$B$6/2)^2)))-'Results'!C7*(1-'Inputs'!$B$24)*(0.5*((((1023-43)*MAX('Inputs'!$B$33,'Inputs'!$B$29+'Inputs'!$B$31+'Inputs'!$B$32,'Inputs'!$B$30+'Inputs'!$B$31+'Inputs'!$B$32)/1000+'Inputs'!$B$21+'Inputs'!$B$7+'Inputs'!$B$10)+'Inputs'!$B$9)/SQRT((((1023-43)*MAX('Inputs'!$B$33,'Inputs'!$B$29+'Inputs'!$B$31+'Inputs'!$B$32,'Inputs'!$B$30+'Inputs'!$B$31+'Inputs'!$B$32)/1000+'Inputs'!$B$21+'Inputs'!$B$7+'Inputs'!$B$10)+'Inputs'!$B$9)^2+('Inputs'!$B$8/2)^2)-(((1023-43)*MAX('Inputs'!$B$33,'Inputs'!$B$29+'Inputs'!$B$31+'Inputs'!$B$32,'Inputs'!$B$30+'Inputs'!$B$31+'Inputs'!$B$32)/1000+'Inputs'!$B$21+'Inputs'!$B$7+'Inputs'!$B$10))/SQRT((((1023-43)*MAX('Inputs'!$B$33,'Inputs'!$B$29+'Inputs'!$B$31+'Inputs'!$B$32,'Inputs'!$B$30+'Inputs'!$B$31+'Inputs'!$B$32)/1000+'Inputs'!$B$21+'Inputs'!$B$7+'Inputs'!$B$10))^2+('Inputs'!$B$8/2)^2))))*'Results'!$B$8))),"")</x:f>
        <x:v>0.45102930001050084</x:v>
      </x:c>
      <x:c r="M1023" t="n">
        <x:f>IF(AND(ISNUMBER('Results'!C7),ISNUMBER('Results'!B7),ISNUMBER('Results'!$B$8),ISNUMBER('Inputs'!$B$6),ISNUMBER('Inputs'!$B$7),ISNUMBER('Inputs'!$B$8),ISNUMBER('Inputs'!$B$9),ISNUMBER('Inputs'!$B$10),ISNUMBER('Inputs'!$B$21),ISNUMBER('Inputs'!$B$24),ISNUMBER('Inputs'!$B$28)),(('Results'!C7*(0.5*((((1023-43)*MAX('Inputs'!$B$33,'Inputs'!$B$29+'Inputs'!$B$31+'Inputs'!$B$32,'Inputs'!$B$30+'Inputs'!$B$31+'Inputs'!$B$32)/1000+'Inputs'!$B$21)+'Inputs'!$B$9)/SQRT((((1023-43)*MAX('Inputs'!$B$33,'Inputs'!$B$29+'Inputs'!$B$31+'Inputs'!$B$32,'Inputs'!$B$30+'Inputs'!$B$31+'Inputs'!$B$32)/1000+'Inputs'!$B$21)+'Inputs'!$B$9)^2+('Inputs'!$B$8/2)^2)-(((1023-43)*MAX('Inputs'!$B$33,'Inputs'!$B$29+'Inputs'!$B$31+'Inputs'!$B$32,'Inputs'!$B$30+'Inputs'!$B$31+'Inputs'!$B$32)/1000+'Inputs'!$B$21))/SQRT((((1023-43)*MAX('Inputs'!$B$33,'Inputs'!$B$29+'Inputs'!$B$31+'Inputs'!$B$32,'Inputs'!$B$30+'Inputs'!$B$31+'Inputs'!$B$32)/1000+'Inputs'!$B$21))^2+('Inputs'!$B$8/2)^2)))-'Results'!B7*(0.5*((((1023-43)*MAX('Inputs'!$B$33,'Inputs'!$B$29+'Inputs'!$B$31+'Inputs'!$B$32,'Inputs'!$B$30+'Inputs'!$B$31+'Inputs'!$B$32)/1000+'Inputs'!$B$21+'Inputs'!$B$9+'Inputs'!$B$10)+'Inputs'!$B$7)/SQRT((((1023-43)*MAX('Inputs'!$B$33,'Inputs'!$B$29+'Inputs'!$B$31+'Inputs'!$B$32,'Inputs'!$B$30+'Inputs'!$B$31+'Inputs'!$B$32)/1000+'Inputs'!$B$21+'Inputs'!$B$9+'Inputs'!$B$10)+'Inputs'!$B$7)^2+('Inputs'!$B$6/2)^2)-(((1023-43)*MAX('Inputs'!$B$33,'Inputs'!$B$29+'Inputs'!$B$31+'Inputs'!$B$32,'Inputs'!$B$30+'Inputs'!$B$31+'Inputs'!$B$32)/1000+'Inputs'!$B$21+'Inputs'!$B$9+'Inputs'!$B$10))/SQRT((((1023-43)*MAX('Inputs'!$B$33,'Inputs'!$B$29+'Inputs'!$B$31+'Inputs'!$B$32,'Inputs'!$B$30+'Inputs'!$B$31+'Inputs'!$B$32)/1000+'Inputs'!$B$21+'Inputs'!$B$9+'Inputs'!$B$10))^2+('Inputs'!$B$6/2)^2))))*'Results'!$B$8),"")</x:f>
        <x:v>0.3389580743348638</x:v>
      </x:c>
      <x:c r="N1023" t="n">
        <x:f>IF(AND(ISNUMBER('Results'!C7),ISNUMBER('Results'!B7),ISNUMBER('Results'!$B$8),ISNUMBER('Inputs'!$B$6),ISNUMBER('Inputs'!$B$7),ISNUMBER('Inputs'!$B$8),ISNUMBER('Inputs'!$B$9),ISNUMBER('Inputs'!$B$10),ISNUMBER('Inputs'!$B$21),ISNUMBER('Inputs'!$B$24),ISNUMBER('Inputs'!$B$28)),((('Results'!C7*(1-'Inputs'!$B$24)*(0.5*((((1023-43)*MAX('Inputs'!$B$33,'Inputs'!$B$29+'Inputs'!$B$31+'Inputs'!$B$32,'Inputs'!$B$30+'Inputs'!$B$31+'Inputs'!$B$32)/1000+'Inputs'!$B$21)+'Inputs'!$B$9)/SQRT((((1023-43)*MAX('Inputs'!$B$33,'Inputs'!$B$29+'Inputs'!$B$31+'Inputs'!$B$32,'Inputs'!$B$30+'Inputs'!$B$31+'Inputs'!$B$32)/1000+'Inputs'!$B$21)+'Inputs'!$B$9)^2+('Inputs'!$B$8/2)^2)-(((1023-43)*MAX('Inputs'!$B$33,'Inputs'!$B$29+'Inputs'!$B$31+'Inputs'!$B$32,'Inputs'!$B$30+'Inputs'!$B$31+'Inputs'!$B$32)/1000+'Inputs'!$B$21))/SQRT((((1023-43)*MAX('Inputs'!$B$33,'Inputs'!$B$29+'Inputs'!$B$31+'Inputs'!$B$32,'Inputs'!$B$30+'Inputs'!$B$31+'Inputs'!$B$32)/1000+'Inputs'!$B$21))^2+('Inputs'!$B$8/2)^2)))-'Results'!B7*(1+'Inputs'!$B$24)*(0.5*((((1023-43)*MAX('Inputs'!$B$33,'Inputs'!$B$29+'Inputs'!$B$31+'Inputs'!$B$32,'Inputs'!$B$30+'Inputs'!$B$31+'Inputs'!$B$32)/1000+'Inputs'!$B$21+'Inputs'!$B$9+'Inputs'!$B$10)+'Inputs'!$B$7)/SQRT((((1023-43)*MAX('Inputs'!$B$33,'Inputs'!$B$29+'Inputs'!$B$31+'Inputs'!$B$32,'Inputs'!$B$30+'Inputs'!$B$31+'Inputs'!$B$32)/1000+'Inputs'!$B$21+'Inputs'!$B$9+'Inputs'!$B$10)+'Inputs'!$B$7)^2+('Inputs'!$B$6/2)^2)-(((1023-43)*MAX('Inputs'!$B$33,'Inputs'!$B$29+'Inputs'!$B$31+'Inputs'!$B$32,'Inputs'!$B$30+'Inputs'!$B$31+'Inputs'!$B$32)/1000+'Inputs'!$B$21+'Inputs'!$B$9+'Inputs'!$B$10))/SQRT((((1023-43)*MAX('Inputs'!$B$33,'Inputs'!$B$29+'Inputs'!$B$31+'Inputs'!$B$32,'Inputs'!$B$30+'Inputs'!$B$31+'Inputs'!$B$32)/1000+'Inputs'!$B$21+'Inputs'!$B$9+'Inputs'!$B$10))^2+('Inputs'!$B$6/2)^2))))*'Results'!$B$8)-'Inputs'!$B$28*ABS((('Results'!C7*(1-'Inputs'!$B$24)*(0.5*((((1023-43)*MAX('Inputs'!$B$33,'Inputs'!$B$29+'Inputs'!$B$31+'Inputs'!$B$32,'Inputs'!$B$30+'Inputs'!$B$31+'Inputs'!$B$32)/1000+'Inputs'!$B$21)+'Inputs'!$B$9)/SQRT((((1023-43)*MAX('Inputs'!$B$33,'Inputs'!$B$29+'Inputs'!$B$31+'Inputs'!$B$32,'Inputs'!$B$30+'Inputs'!$B$31+'Inputs'!$B$32)/1000+'Inputs'!$B$21)+'Inputs'!$B$9)^2+('Inputs'!$B$8/2)^2)-(((1023-43)*MAX('Inputs'!$B$33,'Inputs'!$B$29+'Inputs'!$B$31+'Inputs'!$B$32,'Inputs'!$B$30+'Inputs'!$B$31+'Inputs'!$B$32)/1000+'Inputs'!$B$21))/SQRT((((1023-43)*MAX('Inputs'!$B$33,'Inputs'!$B$29+'Inputs'!$B$31+'Inputs'!$B$32,'Inputs'!$B$30+'Inputs'!$B$31+'Inputs'!$B$32)/1000+'Inputs'!$B$21))^2+('Inputs'!$B$8/2)^2)))-'Results'!B7*(1+'Inputs'!$B$24)*(0.5*((((1023-43)*MAX('Inputs'!$B$33,'Inputs'!$B$29+'Inputs'!$B$31+'Inputs'!$B$32,'Inputs'!$B$30+'Inputs'!$B$31+'Inputs'!$B$32)/1000+'Inputs'!$B$21+'Inputs'!$B$9+'Inputs'!$B$10)+'Inputs'!$B$7)/SQRT((((1023-43)*MAX('Inputs'!$B$33,'Inputs'!$B$29+'Inputs'!$B$31+'Inputs'!$B$32,'Inputs'!$B$30+'Inputs'!$B$31+'Inputs'!$B$32)/1000+'Inputs'!$B$21+'Inputs'!$B$9+'Inputs'!$B$10)+'Inputs'!$B$7)^2+('Inputs'!$B$6/2)^2)-(((1023-43)*MAX('Inputs'!$B$33,'Inputs'!$B$29+'Inputs'!$B$31+'Inputs'!$B$32,'Inputs'!$B$30+'Inputs'!$B$31+'Inputs'!$B$32)/1000+'Inputs'!$B$21+'Inputs'!$B$9+'Inputs'!$B$10))/SQRT((((1023-43)*MAX('Inputs'!$B$33,'Inputs'!$B$29+'Inputs'!$B$31+'Inputs'!$B$32,'Inputs'!$B$30+'Inputs'!$B$31+'Inputs'!$B$32)/1000+'Inputs'!$B$21+'Inputs'!$B$9+'Inputs'!$B$10))^2+('Inputs'!$B$6/2)^2))))*'Results'!$B$8))),"")</x:f>
        <x:v>0.2792983846360556</x:v>
      </x:c>
      <x:c r="O1023" t="n">
        <x:f>IF(AND(ISNUMBER('Results'!C7),ISNUMBER('Results'!B7),ISNUMBER('Results'!$B$8),ISNUMBER('Inputs'!$B$6),ISNUMBER('Inputs'!$B$7),ISNUMBER('Inputs'!$B$8),ISNUMBER('Inputs'!$B$9),ISNUMBER('Inputs'!$B$10),ISNUMBER('Inputs'!$B$21),ISNUMBER('Inputs'!$B$24),ISNUMBER('Inputs'!$B$28)),((('Results'!C7*(1+'Inputs'!$B$24)*(0.5*((((1023-43)*MAX('Inputs'!$B$33,'Inputs'!$B$29+'Inputs'!$B$31+'Inputs'!$B$32,'Inputs'!$B$30+'Inputs'!$B$31+'Inputs'!$B$32)/1000+'Inputs'!$B$21)+'Inputs'!$B$9)/SQRT((((1023-43)*MAX('Inputs'!$B$33,'Inputs'!$B$29+'Inputs'!$B$31+'Inputs'!$B$32,'Inputs'!$B$30+'Inputs'!$B$31+'Inputs'!$B$32)/1000+'Inputs'!$B$21)+'Inputs'!$B$9)^2+('Inputs'!$B$8/2)^2)-(((1023-43)*MAX('Inputs'!$B$33,'Inputs'!$B$29+'Inputs'!$B$31+'Inputs'!$B$32,'Inputs'!$B$30+'Inputs'!$B$31+'Inputs'!$B$32)/1000+'Inputs'!$B$21))/SQRT((((1023-43)*MAX('Inputs'!$B$33,'Inputs'!$B$29+'Inputs'!$B$31+'Inputs'!$B$32,'Inputs'!$B$30+'Inputs'!$B$31+'Inputs'!$B$32)/1000+'Inputs'!$B$21))^2+('Inputs'!$B$8/2)^2)))-'Results'!B7*(1-'Inputs'!$B$24)*(0.5*((((1023-43)*MAX('Inputs'!$B$33,'Inputs'!$B$29+'Inputs'!$B$31+'Inputs'!$B$32,'Inputs'!$B$30+'Inputs'!$B$31+'Inputs'!$B$32)/1000+'Inputs'!$B$21+'Inputs'!$B$9+'Inputs'!$B$10)+'Inputs'!$B$7)/SQRT((((1023-43)*MAX('Inputs'!$B$33,'Inputs'!$B$29+'Inputs'!$B$31+'Inputs'!$B$32,'Inputs'!$B$30+'Inputs'!$B$31+'Inputs'!$B$32)/1000+'Inputs'!$B$21+'Inputs'!$B$9+'Inputs'!$B$10)+'Inputs'!$B$7)^2+('Inputs'!$B$6/2)^2)-(((1023-43)*MAX('Inputs'!$B$33,'Inputs'!$B$29+'Inputs'!$B$31+'Inputs'!$B$32,'Inputs'!$B$30+'Inputs'!$B$31+'Inputs'!$B$32)/1000+'Inputs'!$B$21+'Inputs'!$B$9+'Inputs'!$B$10))/SQRT((((1023-43)*MAX('Inputs'!$B$33,'Inputs'!$B$29+'Inputs'!$B$31+'Inputs'!$B$32,'Inputs'!$B$30+'Inputs'!$B$31+'Inputs'!$B$32)/1000+'Inputs'!$B$21+'Inputs'!$B$9+'Inputs'!$B$10))^2+('Inputs'!$B$6/2)^2))))*'Results'!$B$8)+'Inputs'!$B$28*ABS((('Results'!C7*(1+'Inputs'!$B$24)*(0.5*((((1023-43)*MAX('Inputs'!$B$33,'Inputs'!$B$29+'Inputs'!$B$31+'Inputs'!$B$32,'Inputs'!$B$30+'Inputs'!$B$31+'Inputs'!$B$32)/1000+'Inputs'!$B$21)+'Inputs'!$B$9)/SQRT((((1023-43)*MAX('Inputs'!$B$33,'Inputs'!$B$29+'Inputs'!$B$31+'Inputs'!$B$32,'Inputs'!$B$30+'Inputs'!$B$31+'Inputs'!$B$32)/1000+'Inputs'!$B$21)+'Inputs'!$B$9)^2+('Inputs'!$B$8/2)^2)-(((1023-43)*MAX('Inputs'!$B$33,'Inputs'!$B$29+'Inputs'!$B$31+'Inputs'!$B$32,'Inputs'!$B$30+'Inputs'!$B$31+'Inputs'!$B$32)/1000+'Inputs'!$B$21))/SQRT((((1023-43)*MAX('Inputs'!$B$33,'Inputs'!$B$29+'Inputs'!$B$31+'Inputs'!$B$32,'Inputs'!$B$30+'Inputs'!$B$31+'Inputs'!$B$32)/1000+'Inputs'!$B$21))^2+('Inputs'!$B$8/2)^2)))-'Results'!B7*(1-'Inputs'!$B$24)*(0.5*((((1023-43)*MAX('Inputs'!$B$33,'Inputs'!$B$29+'Inputs'!$B$31+'Inputs'!$B$32,'Inputs'!$B$30+'Inputs'!$B$31+'Inputs'!$B$32)/1000+'Inputs'!$B$21+'Inputs'!$B$9+'Inputs'!$B$10)+'Inputs'!$B$7)/SQRT((((1023-43)*MAX('Inputs'!$B$33,'Inputs'!$B$29+'Inputs'!$B$31+'Inputs'!$B$32,'Inputs'!$B$30+'Inputs'!$B$31+'Inputs'!$B$32)/1000+'Inputs'!$B$21+'Inputs'!$B$9+'Inputs'!$B$10)+'Inputs'!$B$7)^2+('Inputs'!$B$6/2)^2)-(((1023-43)*MAX('Inputs'!$B$33,'Inputs'!$B$29+'Inputs'!$B$31+'Inputs'!$B$32,'Inputs'!$B$30+'Inputs'!$B$31+'Inputs'!$B$32)/1000+'Inputs'!$B$21+'Inputs'!$B$9+'Inputs'!$B$10))/SQRT((((1023-43)*MAX('Inputs'!$B$33,'Inputs'!$B$29+'Inputs'!$B$31+'Inputs'!$B$32,'Inputs'!$B$30+'Inputs'!$B$31+'Inputs'!$B$32)/1000+'Inputs'!$B$21+'Inputs'!$B$9+'Inputs'!$B$10))^2+('Inputs'!$B$6/2)^2))))*'Results'!$B$8))),"")</x:f>
        <x:v>0.40311374150546814</x:v>
      </x:c>
      <x:c r="P1023" t="n">
        <x:f>IF(AND(MAX(J1023,J1022)&gt;0,J1023&gt;J1022+0.00000001),1,0)</x:f>
        <x:v>0</x:v>
      </x:c>
      <x:c r="Q1023" t="n">
        <x:f>IF(AND(MAX(K1023,K1022)&gt;0,K1023&gt;K1022+0.00000001),1,0)</x:f>
        <x:v>0</x:v>
      </x:c>
      <x:c r="R1023" t="n">
        <x:f>IF(AND(MAX(L1023,L1022)&gt;0,L1023&gt;L1022+0.00000001),1,0)</x:f>
        <x:v>0</x:v>
      </x:c>
      <x:c r="S1023" t="n">
        <x:f>IF(AND(MAX(M1023,M1022)&gt;0,M1023&gt;M1022+0.00000001),1,0)</x:f>
        <x:v>0</x:v>
      </x:c>
      <x:c r="T1023" t="n">
        <x:f>IF(AND(MAX(N1023,N1022)&gt;0,N1023&gt;N1022+0.00000001),1,0)</x:f>
        <x:v>0</x:v>
      </x:c>
      <x:c r="U1023" t="n">
        <x:f>IF(AND(MAX(O1023,O1022)&gt;0,O1023&gt;O1022+0.00000001),1,0)</x:f>
        <x:v>0</x:v>
      </x:c>
    </x:row>
    <x:row r="1024">
      <x:c r="J1024" t="n">
        <x:f>IF(AND(ISNUMBER('Results'!B7),ISNUMBER('Results'!C7),ISNUMBER('Results'!$B$8),ISNUMBER('Inputs'!$B$6),ISNUMBER('Inputs'!$B$7),ISNUMBER('Inputs'!$B$8),ISNUMBER('Inputs'!$B$9),ISNUMBER('Inputs'!$B$10),ISNUMBER('Inputs'!$B$21),ISNUMBER('Inputs'!$B$24),ISNUMBER('Inputs'!$B$28)),(('Results'!B7*(0.5*((((1024-43)*MAX('Inputs'!$B$33,'Inputs'!$B$29+'Inputs'!$B$31+'Inputs'!$B$32,'Inputs'!$B$30+'Inputs'!$B$31+'Inputs'!$B$32)/1000+'Inputs'!$B$21)+'Inputs'!$B$7)/SQRT((((1024-43)*MAX('Inputs'!$B$33,'Inputs'!$B$29+'Inputs'!$B$31+'Inputs'!$B$32,'Inputs'!$B$30+'Inputs'!$B$31+'Inputs'!$B$32)/1000+'Inputs'!$B$21)+'Inputs'!$B$7)^2+('Inputs'!$B$6/2)^2)-(((1024-43)*MAX('Inputs'!$B$33,'Inputs'!$B$29+'Inputs'!$B$31+'Inputs'!$B$32,'Inputs'!$B$30+'Inputs'!$B$31+'Inputs'!$B$32)/1000+'Inputs'!$B$21))/SQRT((((1024-43)*MAX('Inputs'!$B$33,'Inputs'!$B$29+'Inputs'!$B$31+'Inputs'!$B$32,'Inputs'!$B$30+'Inputs'!$B$31+'Inputs'!$B$32)/1000+'Inputs'!$B$21))^2+('Inputs'!$B$6/2)^2)))-'Results'!C7*(0.5*((((1024-43)*MAX('Inputs'!$B$33,'Inputs'!$B$29+'Inputs'!$B$31+'Inputs'!$B$32,'Inputs'!$B$30+'Inputs'!$B$31+'Inputs'!$B$32)/1000+'Inputs'!$B$21+'Inputs'!$B$7+'Inputs'!$B$10)+'Inputs'!$B$9)/SQRT((((1024-43)*MAX('Inputs'!$B$33,'Inputs'!$B$29+'Inputs'!$B$31+'Inputs'!$B$32,'Inputs'!$B$30+'Inputs'!$B$31+'Inputs'!$B$32)/1000+'Inputs'!$B$21+'Inputs'!$B$7+'Inputs'!$B$10)+'Inputs'!$B$9)^2+('Inputs'!$B$8/2)^2)-(((1024-43)*MAX('Inputs'!$B$33,'Inputs'!$B$29+'Inputs'!$B$31+'Inputs'!$B$32,'Inputs'!$B$30+'Inputs'!$B$31+'Inputs'!$B$32)/1000+'Inputs'!$B$21+'Inputs'!$B$7+'Inputs'!$B$10))/SQRT((((1024-43)*MAX('Inputs'!$B$33,'Inputs'!$B$29+'Inputs'!$B$31+'Inputs'!$B$32,'Inputs'!$B$30+'Inputs'!$B$31+'Inputs'!$B$32)/1000+'Inputs'!$B$21+'Inputs'!$B$7+'Inputs'!$B$10))^2+('Inputs'!$B$8/2)^2))))*'Results'!$B$8),"")</x:f>
        <x:v>0.38301791924777945</x:v>
      </x:c>
      <x:c r="K1024" t="n">
        <x:f>IF(AND(ISNUMBER('Results'!B7),ISNUMBER('Results'!C7),ISNUMBER('Results'!$B$8),ISNUMBER('Inputs'!$B$6),ISNUMBER('Inputs'!$B$7),ISNUMBER('Inputs'!$B$8),ISNUMBER('Inputs'!$B$9),ISNUMBER('Inputs'!$B$10),ISNUMBER('Inputs'!$B$21),ISNUMBER('Inputs'!$B$24),ISNUMBER('Inputs'!$B$28)),((('Results'!B7*(1-'Inputs'!$B$24)*(0.5*((((1024-43)*MAX('Inputs'!$B$33,'Inputs'!$B$29+'Inputs'!$B$31+'Inputs'!$B$32,'Inputs'!$B$30+'Inputs'!$B$31+'Inputs'!$B$32)/1000+'Inputs'!$B$21)+'Inputs'!$B$7)/SQRT((((1024-43)*MAX('Inputs'!$B$33,'Inputs'!$B$29+'Inputs'!$B$31+'Inputs'!$B$32,'Inputs'!$B$30+'Inputs'!$B$31+'Inputs'!$B$32)/1000+'Inputs'!$B$21)+'Inputs'!$B$7)^2+('Inputs'!$B$6/2)^2)-(((1024-43)*MAX('Inputs'!$B$33,'Inputs'!$B$29+'Inputs'!$B$31+'Inputs'!$B$32,'Inputs'!$B$30+'Inputs'!$B$31+'Inputs'!$B$32)/1000+'Inputs'!$B$21))/SQRT((((1024-43)*MAX('Inputs'!$B$33,'Inputs'!$B$29+'Inputs'!$B$31+'Inputs'!$B$32,'Inputs'!$B$30+'Inputs'!$B$31+'Inputs'!$B$32)/1000+'Inputs'!$B$21))^2+('Inputs'!$B$6/2)^2)))-'Results'!C7*(1+'Inputs'!$B$24)*(0.5*((((1024-43)*MAX('Inputs'!$B$33,'Inputs'!$B$29+'Inputs'!$B$31+'Inputs'!$B$32,'Inputs'!$B$30+'Inputs'!$B$31+'Inputs'!$B$32)/1000+'Inputs'!$B$21+'Inputs'!$B$7+'Inputs'!$B$10)+'Inputs'!$B$9)/SQRT((((1024-43)*MAX('Inputs'!$B$33,'Inputs'!$B$29+'Inputs'!$B$31+'Inputs'!$B$32,'Inputs'!$B$30+'Inputs'!$B$31+'Inputs'!$B$32)/1000+'Inputs'!$B$21+'Inputs'!$B$7+'Inputs'!$B$10)+'Inputs'!$B$9)^2+('Inputs'!$B$8/2)^2)-(((1024-43)*MAX('Inputs'!$B$33,'Inputs'!$B$29+'Inputs'!$B$31+'Inputs'!$B$32,'Inputs'!$B$30+'Inputs'!$B$31+'Inputs'!$B$32)/1000+'Inputs'!$B$21+'Inputs'!$B$7+'Inputs'!$B$10))/SQRT((((1024-43)*MAX('Inputs'!$B$33,'Inputs'!$B$29+'Inputs'!$B$31+'Inputs'!$B$32,'Inputs'!$B$30+'Inputs'!$B$31+'Inputs'!$B$32)/1000+'Inputs'!$B$21+'Inputs'!$B$7+'Inputs'!$B$10))^2+('Inputs'!$B$8/2)^2))))*'Results'!$B$8)-'Inputs'!$B$28*ABS((('Results'!B7*(1-'Inputs'!$B$24)*(0.5*((((1024-43)*MAX('Inputs'!$B$33,'Inputs'!$B$29+'Inputs'!$B$31+'Inputs'!$B$32,'Inputs'!$B$30+'Inputs'!$B$31+'Inputs'!$B$32)/1000+'Inputs'!$B$21)+'Inputs'!$B$7)/SQRT((((1024-43)*MAX('Inputs'!$B$33,'Inputs'!$B$29+'Inputs'!$B$31+'Inputs'!$B$32,'Inputs'!$B$30+'Inputs'!$B$31+'Inputs'!$B$32)/1000+'Inputs'!$B$21)+'Inputs'!$B$7)^2+('Inputs'!$B$6/2)^2)-(((1024-43)*MAX('Inputs'!$B$33,'Inputs'!$B$29+'Inputs'!$B$31+'Inputs'!$B$32,'Inputs'!$B$30+'Inputs'!$B$31+'Inputs'!$B$32)/1000+'Inputs'!$B$21))/SQRT((((1024-43)*MAX('Inputs'!$B$33,'Inputs'!$B$29+'Inputs'!$B$31+'Inputs'!$B$32,'Inputs'!$B$30+'Inputs'!$B$31+'Inputs'!$B$32)/1000+'Inputs'!$B$21))^2+('Inputs'!$B$6/2)^2)))-'Results'!C7*(1+'Inputs'!$B$24)*(0.5*((((1024-43)*MAX('Inputs'!$B$33,'Inputs'!$B$29+'Inputs'!$B$31+'Inputs'!$B$32,'Inputs'!$B$30+'Inputs'!$B$31+'Inputs'!$B$32)/1000+'Inputs'!$B$21+'Inputs'!$B$7+'Inputs'!$B$10)+'Inputs'!$B$9)/SQRT((((1024-43)*MAX('Inputs'!$B$33,'Inputs'!$B$29+'Inputs'!$B$31+'Inputs'!$B$32,'Inputs'!$B$30+'Inputs'!$B$31+'Inputs'!$B$32)/1000+'Inputs'!$B$21+'Inputs'!$B$7+'Inputs'!$B$10)+'Inputs'!$B$9)^2+('Inputs'!$B$8/2)^2)-(((1024-43)*MAX('Inputs'!$B$33,'Inputs'!$B$29+'Inputs'!$B$31+'Inputs'!$B$32,'Inputs'!$B$30+'Inputs'!$B$31+'Inputs'!$B$32)/1000+'Inputs'!$B$21+'Inputs'!$B$7+'Inputs'!$B$10))/SQRT((((1024-43)*MAX('Inputs'!$B$33,'Inputs'!$B$29+'Inputs'!$B$31+'Inputs'!$B$32,'Inputs'!$B$30+'Inputs'!$B$31+'Inputs'!$B$32)/1000+'Inputs'!$B$21+'Inputs'!$B$7+'Inputs'!$B$10))^2+('Inputs'!$B$8/2)^2))))*'Results'!$B$8))),"")</x:f>
        <x:v>0.32113859903202696</x:v>
      </x:c>
      <x:c r="L1024" t="n">
        <x:f>IF(AND(ISNUMBER('Results'!B7),ISNUMBER('Results'!C7),ISNUMBER('Results'!$B$8),ISNUMBER('Inputs'!$B$6),ISNUMBER('Inputs'!$B$7),ISNUMBER('Inputs'!$B$8),ISNUMBER('Inputs'!$B$9),ISNUMBER('Inputs'!$B$10),ISNUMBER('Inputs'!$B$21),ISNUMBER('Inputs'!$B$24),ISNUMBER('Inputs'!$B$28)),((('Results'!B7*(1+'Inputs'!$B$24)*(0.5*((((1024-43)*MAX('Inputs'!$B$33,'Inputs'!$B$29+'Inputs'!$B$31+'Inputs'!$B$32,'Inputs'!$B$30+'Inputs'!$B$31+'Inputs'!$B$32)/1000+'Inputs'!$B$21)+'Inputs'!$B$7)/SQRT((((1024-43)*MAX('Inputs'!$B$33,'Inputs'!$B$29+'Inputs'!$B$31+'Inputs'!$B$32,'Inputs'!$B$30+'Inputs'!$B$31+'Inputs'!$B$32)/1000+'Inputs'!$B$21)+'Inputs'!$B$7)^2+('Inputs'!$B$6/2)^2)-(((1024-43)*MAX('Inputs'!$B$33,'Inputs'!$B$29+'Inputs'!$B$31+'Inputs'!$B$32,'Inputs'!$B$30+'Inputs'!$B$31+'Inputs'!$B$32)/1000+'Inputs'!$B$21))/SQRT((((1024-43)*MAX('Inputs'!$B$33,'Inputs'!$B$29+'Inputs'!$B$31+'Inputs'!$B$32,'Inputs'!$B$30+'Inputs'!$B$31+'Inputs'!$B$32)/1000+'Inputs'!$B$21))^2+('Inputs'!$B$6/2)^2)))-'Results'!C7*(1-'Inputs'!$B$24)*(0.5*((((1024-43)*MAX('Inputs'!$B$33,'Inputs'!$B$29+'Inputs'!$B$31+'Inputs'!$B$32,'Inputs'!$B$30+'Inputs'!$B$31+'Inputs'!$B$32)/1000+'Inputs'!$B$21+'Inputs'!$B$7+'Inputs'!$B$10)+'Inputs'!$B$9)/SQRT((((1024-43)*MAX('Inputs'!$B$33,'Inputs'!$B$29+'Inputs'!$B$31+'Inputs'!$B$32,'Inputs'!$B$30+'Inputs'!$B$31+'Inputs'!$B$32)/1000+'Inputs'!$B$21+'Inputs'!$B$7+'Inputs'!$B$10)+'Inputs'!$B$9)^2+('Inputs'!$B$8/2)^2)-(((1024-43)*MAX('Inputs'!$B$33,'Inputs'!$B$29+'Inputs'!$B$31+'Inputs'!$B$32,'Inputs'!$B$30+'Inputs'!$B$31+'Inputs'!$B$32)/1000+'Inputs'!$B$21+'Inputs'!$B$7+'Inputs'!$B$10))/SQRT((((1024-43)*MAX('Inputs'!$B$33,'Inputs'!$B$29+'Inputs'!$B$31+'Inputs'!$B$32,'Inputs'!$B$30+'Inputs'!$B$31+'Inputs'!$B$32)/1000+'Inputs'!$B$21+'Inputs'!$B$7+'Inputs'!$B$10))^2+('Inputs'!$B$8/2)^2))))*'Results'!$B$8)+'Inputs'!$B$28*ABS((('Results'!B7*(1+'Inputs'!$B$24)*(0.5*((((1024-43)*MAX('Inputs'!$B$33,'Inputs'!$B$29+'Inputs'!$B$31+'Inputs'!$B$32,'Inputs'!$B$30+'Inputs'!$B$31+'Inputs'!$B$32)/1000+'Inputs'!$B$21)+'Inputs'!$B$7)/SQRT((((1024-43)*MAX('Inputs'!$B$33,'Inputs'!$B$29+'Inputs'!$B$31+'Inputs'!$B$32,'Inputs'!$B$30+'Inputs'!$B$31+'Inputs'!$B$32)/1000+'Inputs'!$B$21)+'Inputs'!$B$7)^2+('Inputs'!$B$6/2)^2)-(((1024-43)*MAX('Inputs'!$B$33,'Inputs'!$B$29+'Inputs'!$B$31+'Inputs'!$B$32,'Inputs'!$B$30+'Inputs'!$B$31+'Inputs'!$B$32)/1000+'Inputs'!$B$21))/SQRT((((1024-43)*MAX('Inputs'!$B$33,'Inputs'!$B$29+'Inputs'!$B$31+'Inputs'!$B$32,'Inputs'!$B$30+'Inputs'!$B$31+'Inputs'!$B$32)/1000+'Inputs'!$B$21))^2+('Inputs'!$B$6/2)^2)))-'Results'!C7*(1-'Inputs'!$B$24)*(0.5*((((1024-43)*MAX('Inputs'!$B$33,'Inputs'!$B$29+'Inputs'!$B$31+'Inputs'!$B$32,'Inputs'!$B$30+'Inputs'!$B$31+'Inputs'!$B$32)/1000+'Inputs'!$B$21+'Inputs'!$B$7+'Inputs'!$B$10)+'Inputs'!$B$9)/SQRT((((1024-43)*MAX('Inputs'!$B$33,'Inputs'!$B$29+'Inputs'!$B$31+'Inputs'!$B$32,'Inputs'!$B$30+'Inputs'!$B$31+'Inputs'!$B$32)/1000+'Inputs'!$B$21+'Inputs'!$B$7+'Inputs'!$B$10)+'Inputs'!$B$9)^2+('Inputs'!$B$8/2)^2)-(((1024-43)*MAX('Inputs'!$B$33,'Inputs'!$B$29+'Inputs'!$B$31+'Inputs'!$B$32,'Inputs'!$B$30+'Inputs'!$B$31+'Inputs'!$B$32)/1000+'Inputs'!$B$21+'Inputs'!$B$7+'Inputs'!$B$10))/SQRT((((1024-43)*MAX('Inputs'!$B$33,'Inputs'!$B$29+'Inputs'!$B$31+'Inputs'!$B$32,'Inputs'!$B$30+'Inputs'!$B$31+'Inputs'!$B$32)/1000+'Inputs'!$B$21+'Inputs'!$B$7+'Inputs'!$B$10))^2+('Inputs'!$B$8/2)^2))))*'Results'!$B$8))),"")</x:f>
        <x:v>0.4493949683323072</x:v>
      </x:c>
      <x:c r="M1024" t="n">
        <x:f>IF(AND(ISNUMBER('Results'!C7),ISNUMBER('Results'!B7),ISNUMBER('Results'!$B$8),ISNUMBER('Inputs'!$B$6),ISNUMBER('Inputs'!$B$7),ISNUMBER('Inputs'!$B$8),ISNUMBER('Inputs'!$B$9),ISNUMBER('Inputs'!$B$10),ISNUMBER('Inputs'!$B$21),ISNUMBER('Inputs'!$B$24),ISNUMBER('Inputs'!$B$28)),(('Results'!C7*(0.5*((((1024-43)*MAX('Inputs'!$B$33,'Inputs'!$B$29+'Inputs'!$B$31+'Inputs'!$B$32,'Inputs'!$B$30+'Inputs'!$B$31+'Inputs'!$B$32)/1000+'Inputs'!$B$21)+'Inputs'!$B$9)/SQRT((((1024-43)*MAX('Inputs'!$B$33,'Inputs'!$B$29+'Inputs'!$B$31+'Inputs'!$B$32,'Inputs'!$B$30+'Inputs'!$B$31+'Inputs'!$B$32)/1000+'Inputs'!$B$21)+'Inputs'!$B$9)^2+('Inputs'!$B$8/2)^2)-(((1024-43)*MAX('Inputs'!$B$33,'Inputs'!$B$29+'Inputs'!$B$31+'Inputs'!$B$32,'Inputs'!$B$30+'Inputs'!$B$31+'Inputs'!$B$32)/1000+'Inputs'!$B$21))/SQRT((((1024-43)*MAX('Inputs'!$B$33,'Inputs'!$B$29+'Inputs'!$B$31+'Inputs'!$B$32,'Inputs'!$B$30+'Inputs'!$B$31+'Inputs'!$B$32)/1000+'Inputs'!$B$21))^2+('Inputs'!$B$8/2)^2)))-'Results'!B7*(0.5*((((1024-43)*MAX('Inputs'!$B$33,'Inputs'!$B$29+'Inputs'!$B$31+'Inputs'!$B$32,'Inputs'!$B$30+'Inputs'!$B$31+'Inputs'!$B$32)/1000+'Inputs'!$B$21+'Inputs'!$B$9+'Inputs'!$B$10)+'Inputs'!$B$7)/SQRT((((1024-43)*MAX('Inputs'!$B$33,'Inputs'!$B$29+'Inputs'!$B$31+'Inputs'!$B$32,'Inputs'!$B$30+'Inputs'!$B$31+'Inputs'!$B$32)/1000+'Inputs'!$B$21+'Inputs'!$B$9+'Inputs'!$B$10)+'Inputs'!$B$7)^2+('Inputs'!$B$6/2)^2)-(((1024-43)*MAX('Inputs'!$B$33,'Inputs'!$B$29+'Inputs'!$B$31+'Inputs'!$B$32,'Inputs'!$B$30+'Inputs'!$B$31+'Inputs'!$B$32)/1000+'Inputs'!$B$21+'Inputs'!$B$9+'Inputs'!$B$10))/SQRT((((1024-43)*MAX('Inputs'!$B$33,'Inputs'!$B$29+'Inputs'!$B$31+'Inputs'!$B$32,'Inputs'!$B$30+'Inputs'!$B$31+'Inputs'!$B$32)/1000+'Inputs'!$B$21+'Inputs'!$B$9+'Inputs'!$B$10))^2+('Inputs'!$B$6/2)^2))))*'Results'!$B$8),"")</x:f>
        <x:v>0.3376598455569386</x:v>
      </x:c>
      <x:c r="N1024" t="n">
        <x:f>IF(AND(ISNUMBER('Results'!C7),ISNUMBER('Results'!B7),ISNUMBER('Results'!$B$8),ISNUMBER('Inputs'!$B$6),ISNUMBER('Inputs'!$B$7),ISNUMBER('Inputs'!$B$8),ISNUMBER('Inputs'!$B$9),ISNUMBER('Inputs'!$B$10),ISNUMBER('Inputs'!$B$21),ISNUMBER('Inputs'!$B$24),ISNUMBER('Inputs'!$B$28)),((('Results'!C7*(1-'Inputs'!$B$24)*(0.5*((((1024-43)*MAX('Inputs'!$B$33,'Inputs'!$B$29+'Inputs'!$B$31+'Inputs'!$B$32,'Inputs'!$B$30+'Inputs'!$B$31+'Inputs'!$B$32)/1000+'Inputs'!$B$21)+'Inputs'!$B$9)/SQRT((((1024-43)*MAX('Inputs'!$B$33,'Inputs'!$B$29+'Inputs'!$B$31+'Inputs'!$B$32,'Inputs'!$B$30+'Inputs'!$B$31+'Inputs'!$B$32)/1000+'Inputs'!$B$21)+'Inputs'!$B$9)^2+('Inputs'!$B$8/2)^2)-(((1024-43)*MAX('Inputs'!$B$33,'Inputs'!$B$29+'Inputs'!$B$31+'Inputs'!$B$32,'Inputs'!$B$30+'Inputs'!$B$31+'Inputs'!$B$32)/1000+'Inputs'!$B$21))/SQRT((((1024-43)*MAX('Inputs'!$B$33,'Inputs'!$B$29+'Inputs'!$B$31+'Inputs'!$B$32,'Inputs'!$B$30+'Inputs'!$B$31+'Inputs'!$B$32)/1000+'Inputs'!$B$21))^2+('Inputs'!$B$8/2)^2)))-'Results'!B7*(1+'Inputs'!$B$24)*(0.5*((((1024-43)*MAX('Inputs'!$B$33,'Inputs'!$B$29+'Inputs'!$B$31+'Inputs'!$B$32,'Inputs'!$B$30+'Inputs'!$B$31+'Inputs'!$B$32)/1000+'Inputs'!$B$21+'Inputs'!$B$9+'Inputs'!$B$10)+'Inputs'!$B$7)/SQRT((((1024-43)*MAX('Inputs'!$B$33,'Inputs'!$B$29+'Inputs'!$B$31+'Inputs'!$B$32,'Inputs'!$B$30+'Inputs'!$B$31+'Inputs'!$B$32)/1000+'Inputs'!$B$21+'Inputs'!$B$9+'Inputs'!$B$10)+'Inputs'!$B$7)^2+('Inputs'!$B$6/2)^2)-(((1024-43)*MAX('Inputs'!$B$33,'Inputs'!$B$29+'Inputs'!$B$31+'Inputs'!$B$32,'Inputs'!$B$30+'Inputs'!$B$31+'Inputs'!$B$32)/1000+'Inputs'!$B$21+'Inputs'!$B$9+'Inputs'!$B$10))/SQRT((((1024-43)*MAX('Inputs'!$B$33,'Inputs'!$B$29+'Inputs'!$B$31+'Inputs'!$B$32,'Inputs'!$B$30+'Inputs'!$B$31+'Inputs'!$B$32)/1000+'Inputs'!$B$21+'Inputs'!$B$9+'Inputs'!$B$10))^2+('Inputs'!$B$6/2)^2))))*'Results'!$B$8)-'Inputs'!$B$28*ABS((('Results'!C7*(1-'Inputs'!$B$24)*(0.5*((((1024-43)*MAX('Inputs'!$B$33,'Inputs'!$B$29+'Inputs'!$B$31+'Inputs'!$B$32,'Inputs'!$B$30+'Inputs'!$B$31+'Inputs'!$B$32)/1000+'Inputs'!$B$21)+'Inputs'!$B$9)/SQRT((((1024-43)*MAX('Inputs'!$B$33,'Inputs'!$B$29+'Inputs'!$B$31+'Inputs'!$B$32,'Inputs'!$B$30+'Inputs'!$B$31+'Inputs'!$B$32)/1000+'Inputs'!$B$21)+'Inputs'!$B$9)^2+('Inputs'!$B$8/2)^2)-(((1024-43)*MAX('Inputs'!$B$33,'Inputs'!$B$29+'Inputs'!$B$31+'Inputs'!$B$32,'Inputs'!$B$30+'Inputs'!$B$31+'Inputs'!$B$32)/1000+'Inputs'!$B$21))/SQRT((((1024-43)*MAX('Inputs'!$B$33,'Inputs'!$B$29+'Inputs'!$B$31+'Inputs'!$B$32,'Inputs'!$B$30+'Inputs'!$B$31+'Inputs'!$B$32)/1000+'Inputs'!$B$21))^2+('Inputs'!$B$8/2)^2)))-'Results'!B7*(1+'Inputs'!$B$24)*(0.5*((((1024-43)*MAX('Inputs'!$B$33,'Inputs'!$B$29+'Inputs'!$B$31+'Inputs'!$B$32,'Inputs'!$B$30+'Inputs'!$B$31+'Inputs'!$B$32)/1000+'Inputs'!$B$21+'Inputs'!$B$9+'Inputs'!$B$10)+'Inputs'!$B$7)/SQRT((((1024-43)*MAX('Inputs'!$B$33,'Inputs'!$B$29+'Inputs'!$B$31+'Inputs'!$B$32,'Inputs'!$B$30+'Inputs'!$B$31+'Inputs'!$B$32)/1000+'Inputs'!$B$21+'Inputs'!$B$9+'Inputs'!$B$10)+'Inputs'!$B$7)^2+('Inputs'!$B$6/2)^2)-(((1024-43)*MAX('Inputs'!$B$33,'Inputs'!$B$29+'Inputs'!$B$31+'Inputs'!$B$32,'Inputs'!$B$30+'Inputs'!$B$31+'Inputs'!$B$32)/1000+'Inputs'!$B$21+'Inputs'!$B$9+'Inputs'!$B$10))/SQRT((((1024-43)*MAX('Inputs'!$B$33,'Inputs'!$B$29+'Inputs'!$B$31+'Inputs'!$B$32,'Inputs'!$B$30+'Inputs'!$B$31+'Inputs'!$B$32)/1000+'Inputs'!$B$21+'Inputs'!$B$9+'Inputs'!$B$10))^2+('Inputs'!$B$6/2)^2))))*'Results'!$B$8))),"")</x:f>
        <x:v>0.2781867409199835</x:v>
      </x:c>
      <x:c r="O1024" t="n">
        <x:f>IF(AND(ISNUMBER('Results'!C7),ISNUMBER('Results'!B7),ISNUMBER('Results'!$B$8),ISNUMBER('Inputs'!$B$6),ISNUMBER('Inputs'!$B$7),ISNUMBER('Inputs'!$B$8),ISNUMBER('Inputs'!$B$9),ISNUMBER('Inputs'!$B$10),ISNUMBER('Inputs'!$B$21),ISNUMBER('Inputs'!$B$24),ISNUMBER('Inputs'!$B$28)),((('Results'!C7*(1+'Inputs'!$B$24)*(0.5*((((1024-43)*MAX('Inputs'!$B$33,'Inputs'!$B$29+'Inputs'!$B$31+'Inputs'!$B$32,'Inputs'!$B$30+'Inputs'!$B$31+'Inputs'!$B$32)/1000+'Inputs'!$B$21)+'Inputs'!$B$9)/SQRT((((1024-43)*MAX('Inputs'!$B$33,'Inputs'!$B$29+'Inputs'!$B$31+'Inputs'!$B$32,'Inputs'!$B$30+'Inputs'!$B$31+'Inputs'!$B$32)/1000+'Inputs'!$B$21)+'Inputs'!$B$9)^2+('Inputs'!$B$8/2)^2)-(((1024-43)*MAX('Inputs'!$B$33,'Inputs'!$B$29+'Inputs'!$B$31+'Inputs'!$B$32,'Inputs'!$B$30+'Inputs'!$B$31+'Inputs'!$B$32)/1000+'Inputs'!$B$21))/SQRT((((1024-43)*MAX('Inputs'!$B$33,'Inputs'!$B$29+'Inputs'!$B$31+'Inputs'!$B$32,'Inputs'!$B$30+'Inputs'!$B$31+'Inputs'!$B$32)/1000+'Inputs'!$B$21))^2+('Inputs'!$B$8/2)^2)))-'Results'!B7*(1-'Inputs'!$B$24)*(0.5*((((1024-43)*MAX('Inputs'!$B$33,'Inputs'!$B$29+'Inputs'!$B$31+'Inputs'!$B$32,'Inputs'!$B$30+'Inputs'!$B$31+'Inputs'!$B$32)/1000+'Inputs'!$B$21+'Inputs'!$B$9+'Inputs'!$B$10)+'Inputs'!$B$7)/SQRT((((1024-43)*MAX('Inputs'!$B$33,'Inputs'!$B$29+'Inputs'!$B$31+'Inputs'!$B$32,'Inputs'!$B$30+'Inputs'!$B$31+'Inputs'!$B$32)/1000+'Inputs'!$B$21+'Inputs'!$B$9+'Inputs'!$B$10)+'Inputs'!$B$7)^2+('Inputs'!$B$6/2)^2)-(((1024-43)*MAX('Inputs'!$B$33,'Inputs'!$B$29+'Inputs'!$B$31+'Inputs'!$B$32,'Inputs'!$B$30+'Inputs'!$B$31+'Inputs'!$B$32)/1000+'Inputs'!$B$21+'Inputs'!$B$9+'Inputs'!$B$10))/SQRT((((1024-43)*MAX('Inputs'!$B$33,'Inputs'!$B$29+'Inputs'!$B$31+'Inputs'!$B$32,'Inputs'!$B$30+'Inputs'!$B$31+'Inputs'!$B$32)/1000+'Inputs'!$B$21+'Inputs'!$B$9+'Inputs'!$B$10))^2+('Inputs'!$B$6/2)^2))))*'Results'!$B$8)+'Inputs'!$B$28*ABS((('Results'!C7*(1+'Inputs'!$B$24)*(0.5*((((1024-43)*MAX('Inputs'!$B$33,'Inputs'!$B$29+'Inputs'!$B$31+'Inputs'!$B$32,'Inputs'!$B$30+'Inputs'!$B$31+'Inputs'!$B$32)/1000+'Inputs'!$B$21)+'Inputs'!$B$9)/SQRT((((1024-43)*MAX('Inputs'!$B$33,'Inputs'!$B$29+'Inputs'!$B$31+'Inputs'!$B$32,'Inputs'!$B$30+'Inputs'!$B$31+'Inputs'!$B$32)/1000+'Inputs'!$B$21)+'Inputs'!$B$9)^2+('Inputs'!$B$8/2)^2)-(((1024-43)*MAX('Inputs'!$B$33,'Inputs'!$B$29+'Inputs'!$B$31+'Inputs'!$B$32,'Inputs'!$B$30+'Inputs'!$B$31+'Inputs'!$B$32)/1000+'Inputs'!$B$21))/SQRT((((1024-43)*MAX('Inputs'!$B$33,'Inputs'!$B$29+'Inputs'!$B$31+'Inputs'!$B$32,'Inputs'!$B$30+'Inputs'!$B$31+'Inputs'!$B$32)/1000+'Inputs'!$B$21))^2+('Inputs'!$B$8/2)^2)))-'Results'!B7*(1-'Inputs'!$B$24)*(0.5*((((1024-43)*MAX('Inputs'!$B$33,'Inputs'!$B$29+'Inputs'!$B$31+'Inputs'!$B$32,'Inputs'!$B$30+'Inputs'!$B$31+'Inputs'!$B$32)/1000+'Inputs'!$B$21+'Inputs'!$B$9+'Inputs'!$B$10)+'Inputs'!$B$7)/SQRT((((1024-43)*MAX('Inputs'!$B$33,'Inputs'!$B$29+'Inputs'!$B$31+'Inputs'!$B$32,'Inputs'!$B$30+'Inputs'!$B$31+'Inputs'!$B$32)/1000+'Inputs'!$B$21+'Inputs'!$B$9+'Inputs'!$B$10)+'Inputs'!$B$7)^2+('Inputs'!$B$6/2)^2)-(((1024-43)*MAX('Inputs'!$B$33,'Inputs'!$B$29+'Inputs'!$B$31+'Inputs'!$B$32,'Inputs'!$B$30+'Inputs'!$B$31+'Inputs'!$B$32)/1000+'Inputs'!$B$21+'Inputs'!$B$9+'Inputs'!$B$10))/SQRT((((1024-43)*MAX('Inputs'!$B$33,'Inputs'!$B$29+'Inputs'!$B$31+'Inputs'!$B$32,'Inputs'!$B$30+'Inputs'!$B$31+'Inputs'!$B$32)/1000+'Inputs'!$B$21+'Inputs'!$B$9+'Inputs'!$B$10))^2+('Inputs'!$B$6/2)^2))))*'Results'!$B$8))),"")</x:f>
        <x:v>0.40161611991590523</x:v>
      </x:c>
      <x:c r="P1024" t="n">
        <x:f>IF(AND(MAX(J1024,J1023)&gt;0,J1024&gt;J1023+0.00000001),1,0)</x:f>
        <x:v>0</x:v>
      </x:c>
      <x:c r="Q1024" t="n">
        <x:f>IF(AND(MAX(K1024,K1023)&gt;0,K1024&gt;K1023+0.00000001),1,0)</x:f>
        <x:v>0</x:v>
      </x:c>
      <x:c r="R1024" t="n">
        <x:f>IF(AND(MAX(L1024,L1023)&gt;0,L1024&gt;L1023+0.00000001),1,0)</x:f>
        <x:v>0</x:v>
      </x:c>
      <x:c r="S1024" t="n">
        <x:f>IF(AND(MAX(M1024,M1023)&gt;0,M1024&gt;M1023+0.00000001),1,0)</x:f>
        <x:v>0</x:v>
      </x:c>
      <x:c r="T1024" t="n">
        <x:f>IF(AND(MAX(N1024,N1023)&gt;0,N1024&gt;N1023+0.00000001),1,0)</x:f>
        <x:v>0</x:v>
      </x:c>
      <x:c r="U1024" t="n">
        <x:f>IF(AND(MAX(O1024,O1023)&gt;0,O1024&gt;O1023+0.00000001),1,0)</x:f>
        <x:v>0</x:v>
      </x:c>
    </x:row>
    <x:row r="1025">
      <x:c r="J1025" t="n">
        <x:f>IF(AND(ISNUMBER('Results'!B7),ISNUMBER('Results'!C7),ISNUMBER('Results'!$B$8),ISNUMBER('Inputs'!$B$6),ISNUMBER('Inputs'!$B$7),ISNUMBER('Inputs'!$B$8),ISNUMBER('Inputs'!$B$9),ISNUMBER('Inputs'!$B$10),ISNUMBER('Inputs'!$B$21),ISNUMBER('Inputs'!$B$24),ISNUMBER('Inputs'!$B$28)),(('Results'!B7*(0.5*((((1025-43)*MAX('Inputs'!$B$33,'Inputs'!$B$29+'Inputs'!$B$31+'Inputs'!$B$32,'Inputs'!$B$30+'Inputs'!$B$31+'Inputs'!$B$32)/1000+'Inputs'!$B$21)+'Inputs'!$B$7)/SQRT((((1025-43)*MAX('Inputs'!$B$33,'Inputs'!$B$29+'Inputs'!$B$31+'Inputs'!$B$32,'Inputs'!$B$30+'Inputs'!$B$31+'Inputs'!$B$32)/1000+'Inputs'!$B$21)+'Inputs'!$B$7)^2+('Inputs'!$B$6/2)^2)-(((1025-43)*MAX('Inputs'!$B$33,'Inputs'!$B$29+'Inputs'!$B$31+'Inputs'!$B$32,'Inputs'!$B$30+'Inputs'!$B$31+'Inputs'!$B$32)/1000+'Inputs'!$B$21))/SQRT((((1025-43)*MAX('Inputs'!$B$33,'Inputs'!$B$29+'Inputs'!$B$31+'Inputs'!$B$32,'Inputs'!$B$30+'Inputs'!$B$31+'Inputs'!$B$32)/1000+'Inputs'!$B$21))^2+('Inputs'!$B$6/2)^2)))-'Results'!C7*(0.5*((((1025-43)*MAX('Inputs'!$B$33,'Inputs'!$B$29+'Inputs'!$B$31+'Inputs'!$B$32,'Inputs'!$B$30+'Inputs'!$B$31+'Inputs'!$B$32)/1000+'Inputs'!$B$21+'Inputs'!$B$7+'Inputs'!$B$10)+'Inputs'!$B$9)/SQRT((((1025-43)*MAX('Inputs'!$B$33,'Inputs'!$B$29+'Inputs'!$B$31+'Inputs'!$B$32,'Inputs'!$B$30+'Inputs'!$B$31+'Inputs'!$B$32)/1000+'Inputs'!$B$21+'Inputs'!$B$7+'Inputs'!$B$10)+'Inputs'!$B$9)^2+('Inputs'!$B$8/2)^2)-(((1025-43)*MAX('Inputs'!$B$33,'Inputs'!$B$29+'Inputs'!$B$31+'Inputs'!$B$32,'Inputs'!$B$30+'Inputs'!$B$31+'Inputs'!$B$32)/1000+'Inputs'!$B$21+'Inputs'!$B$7+'Inputs'!$B$10))/SQRT((((1025-43)*MAX('Inputs'!$B$33,'Inputs'!$B$29+'Inputs'!$B$31+'Inputs'!$B$32,'Inputs'!$B$30+'Inputs'!$B$31+'Inputs'!$B$32)/1000+'Inputs'!$B$21+'Inputs'!$B$7+'Inputs'!$B$10))^2+('Inputs'!$B$8/2)^2))))*'Results'!$B$8),"")</x:f>
        <x:v>0.38159669987851075</x:v>
      </x:c>
      <x:c r="K1025" t="n">
        <x:f>IF(AND(ISNUMBER('Results'!B7),ISNUMBER('Results'!C7),ISNUMBER('Results'!$B$8),ISNUMBER('Inputs'!$B$6),ISNUMBER('Inputs'!$B$7),ISNUMBER('Inputs'!$B$8),ISNUMBER('Inputs'!$B$9),ISNUMBER('Inputs'!$B$10),ISNUMBER('Inputs'!$B$21),ISNUMBER('Inputs'!$B$24),ISNUMBER('Inputs'!$B$28)),((('Results'!B7*(1-'Inputs'!$B$24)*(0.5*((((1025-43)*MAX('Inputs'!$B$33,'Inputs'!$B$29+'Inputs'!$B$31+'Inputs'!$B$32,'Inputs'!$B$30+'Inputs'!$B$31+'Inputs'!$B$32)/1000+'Inputs'!$B$21)+'Inputs'!$B$7)/SQRT((((1025-43)*MAX('Inputs'!$B$33,'Inputs'!$B$29+'Inputs'!$B$31+'Inputs'!$B$32,'Inputs'!$B$30+'Inputs'!$B$31+'Inputs'!$B$32)/1000+'Inputs'!$B$21)+'Inputs'!$B$7)^2+('Inputs'!$B$6/2)^2)-(((1025-43)*MAX('Inputs'!$B$33,'Inputs'!$B$29+'Inputs'!$B$31+'Inputs'!$B$32,'Inputs'!$B$30+'Inputs'!$B$31+'Inputs'!$B$32)/1000+'Inputs'!$B$21))/SQRT((((1025-43)*MAX('Inputs'!$B$33,'Inputs'!$B$29+'Inputs'!$B$31+'Inputs'!$B$32,'Inputs'!$B$30+'Inputs'!$B$31+'Inputs'!$B$32)/1000+'Inputs'!$B$21))^2+('Inputs'!$B$6/2)^2)))-'Results'!C7*(1+'Inputs'!$B$24)*(0.5*((((1025-43)*MAX('Inputs'!$B$33,'Inputs'!$B$29+'Inputs'!$B$31+'Inputs'!$B$32,'Inputs'!$B$30+'Inputs'!$B$31+'Inputs'!$B$32)/1000+'Inputs'!$B$21+'Inputs'!$B$7+'Inputs'!$B$10)+'Inputs'!$B$9)/SQRT((((1025-43)*MAX('Inputs'!$B$33,'Inputs'!$B$29+'Inputs'!$B$31+'Inputs'!$B$32,'Inputs'!$B$30+'Inputs'!$B$31+'Inputs'!$B$32)/1000+'Inputs'!$B$21+'Inputs'!$B$7+'Inputs'!$B$10)+'Inputs'!$B$9)^2+('Inputs'!$B$8/2)^2)-(((1025-43)*MAX('Inputs'!$B$33,'Inputs'!$B$29+'Inputs'!$B$31+'Inputs'!$B$32,'Inputs'!$B$30+'Inputs'!$B$31+'Inputs'!$B$32)/1000+'Inputs'!$B$21+'Inputs'!$B$7+'Inputs'!$B$10))/SQRT((((1025-43)*MAX('Inputs'!$B$33,'Inputs'!$B$29+'Inputs'!$B$31+'Inputs'!$B$32,'Inputs'!$B$30+'Inputs'!$B$31+'Inputs'!$B$32)/1000+'Inputs'!$B$21+'Inputs'!$B$7+'Inputs'!$B$10))^2+('Inputs'!$B$8/2)^2))))*'Results'!$B$8)-'Inputs'!$B$28*ABS((('Results'!B7*(1-'Inputs'!$B$24)*(0.5*((((1025-43)*MAX('Inputs'!$B$33,'Inputs'!$B$29+'Inputs'!$B$31+'Inputs'!$B$32,'Inputs'!$B$30+'Inputs'!$B$31+'Inputs'!$B$32)/1000+'Inputs'!$B$21)+'Inputs'!$B$7)/SQRT((((1025-43)*MAX('Inputs'!$B$33,'Inputs'!$B$29+'Inputs'!$B$31+'Inputs'!$B$32,'Inputs'!$B$30+'Inputs'!$B$31+'Inputs'!$B$32)/1000+'Inputs'!$B$21)+'Inputs'!$B$7)^2+('Inputs'!$B$6/2)^2)-(((1025-43)*MAX('Inputs'!$B$33,'Inputs'!$B$29+'Inputs'!$B$31+'Inputs'!$B$32,'Inputs'!$B$30+'Inputs'!$B$31+'Inputs'!$B$32)/1000+'Inputs'!$B$21))/SQRT((((1025-43)*MAX('Inputs'!$B$33,'Inputs'!$B$29+'Inputs'!$B$31+'Inputs'!$B$32,'Inputs'!$B$30+'Inputs'!$B$31+'Inputs'!$B$32)/1000+'Inputs'!$B$21))^2+('Inputs'!$B$6/2)^2)))-'Results'!C7*(1+'Inputs'!$B$24)*(0.5*((((1025-43)*MAX('Inputs'!$B$33,'Inputs'!$B$29+'Inputs'!$B$31+'Inputs'!$B$32,'Inputs'!$B$30+'Inputs'!$B$31+'Inputs'!$B$32)/1000+'Inputs'!$B$21+'Inputs'!$B$7+'Inputs'!$B$10)+'Inputs'!$B$9)/SQRT((((1025-43)*MAX('Inputs'!$B$33,'Inputs'!$B$29+'Inputs'!$B$31+'Inputs'!$B$32,'Inputs'!$B$30+'Inputs'!$B$31+'Inputs'!$B$32)/1000+'Inputs'!$B$21+'Inputs'!$B$7+'Inputs'!$B$10)+'Inputs'!$B$9)^2+('Inputs'!$B$8/2)^2)-(((1025-43)*MAX('Inputs'!$B$33,'Inputs'!$B$29+'Inputs'!$B$31+'Inputs'!$B$32,'Inputs'!$B$30+'Inputs'!$B$31+'Inputs'!$B$32)/1000+'Inputs'!$B$21+'Inputs'!$B$7+'Inputs'!$B$10))/SQRT((((1025-43)*MAX('Inputs'!$B$33,'Inputs'!$B$29+'Inputs'!$B$31+'Inputs'!$B$32,'Inputs'!$B$30+'Inputs'!$B$31+'Inputs'!$B$32)/1000+'Inputs'!$B$21+'Inputs'!$B$7+'Inputs'!$B$10))^2+('Inputs'!$B$8/2)^2))))*'Results'!$B$8))),"")</x:f>
        <x:v>0.3199101726192065</x:v>
      </x:c>
      <x:c r="L1025" t="n">
        <x:f>IF(AND(ISNUMBER('Results'!B7),ISNUMBER('Results'!C7),ISNUMBER('Results'!$B$8),ISNUMBER('Inputs'!$B$6),ISNUMBER('Inputs'!$B$7),ISNUMBER('Inputs'!$B$8),ISNUMBER('Inputs'!$B$9),ISNUMBER('Inputs'!$B$10),ISNUMBER('Inputs'!$B$21),ISNUMBER('Inputs'!$B$24),ISNUMBER('Inputs'!$B$28)),((('Results'!B7*(1+'Inputs'!$B$24)*(0.5*((((1025-43)*MAX('Inputs'!$B$33,'Inputs'!$B$29+'Inputs'!$B$31+'Inputs'!$B$32,'Inputs'!$B$30+'Inputs'!$B$31+'Inputs'!$B$32)/1000+'Inputs'!$B$21)+'Inputs'!$B$7)/SQRT((((1025-43)*MAX('Inputs'!$B$33,'Inputs'!$B$29+'Inputs'!$B$31+'Inputs'!$B$32,'Inputs'!$B$30+'Inputs'!$B$31+'Inputs'!$B$32)/1000+'Inputs'!$B$21)+'Inputs'!$B$7)^2+('Inputs'!$B$6/2)^2)-(((1025-43)*MAX('Inputs'!$B$33,'Inputs'!$B$29+'Inputs'!$B$31+'Inputs'!$B$32,'Inputs'!$B$30+'Inputs'!$B$31+'Inputs'!$B$32)/1000+'Inputs'!$B$21))/SQRT((((1025-43)*MAX('Inputs'!$B$33,'Inputs'!$B$29+'Inputs'!$B$31+'Inputs'!$B$32,'Inputs'!$B$30+'Inputs'!$B$31+'Inputs'!$B$32)/1000+'Inputs'!$B$21))^2+('Inputs'!$B$6/2)^2)))-'Results'!C7*(1-'Inputs'!$B$24)*(0.5*((((1025-43)*MAX('Inputs'!$B$33,'Inputs'!$B$29+'Inputs'!$B$31+'Inputs'!$B$32,'Inputs'!$B$30+'Inputs'!$B$31+'Inputs'!$B$32)/1000+'Inputs'!$B$21+'Inputs'!$B$7+'Inputs'!$B$10)+'Inputs'!$B$9)/SQRT((((1025-43)*MAX('Inputs'!$B$33,'Inputs'!$B$29+'Inputs'!$B$31+'Inputs'!$B$32,'Inputs'!$B$30+'Inputs'!$B$31+'Inputs'!$B$32)/1000+'Inputs'!$B$21+'Inputs'!$B$7+'Inputs'!$B$10)+'Inputs'!$B$9)^2+('Inputs'!$B$8/2)^2)-(((1025-43)*MAX('Inputs'!$B$33,'Inputs'!$B$29+'Inputs'!$B$31+'Inputs'!$B$32,'Inputs'!$B$30+'Inputs'!$B$31+'Inputs'!$B$32)/1000+'Inputs'!$B$21+'Inputs'!$B$7+'Inputs'!$B$10))/SQRT((((1025-43)*MAX('Inputs'!$B$33,'Inputs'!$B$29+'Inputs'!$B$31+'Inputs'!$B$32,'Inputs'!$B$30+'Inputs'!$B$31+'Inputs'!$B$32)/1000+'Inputs'!$B$21+'Inputs'!$B$7+'Inputs'!$B$10))^2+('Inputs'!$B$8/2)^2))))*'Results'!$B$8)+'Inputs'!$B$28*ABS((('Results'!B7*(1+'Inputs'!$B$24)*(0.5*((((1025-43)*MAX('Inputs'!$B$33,'Inputs'!$B$29+'Inputs'!$B$31+'Inputs'!$B$32,'Inputs'!$B$30+'Inputs'!$B$31+'Inputs'!$B$32)/1000+'Inputs'!$B$21)+'Inputs'!$B$7)/SQRT((((1025-43)*MAX('Inputs'!$B$33,'Inputs'!$B$29+'Inputs'!$B$31+'Inputs'!$B$32,'Inputs'!$B$30+'Inputs'!$B$31+'Inputs'!$B$32)/1000+'Inputs'!$B$21)+'Inputs'!$B$7)^2+('Inputs'!$B$6/2)^2)-(((1025-43)*MAX('Inputs'!$B$33,'Inputs'!$B$29+'Inputs'!$B$31+'Inputs'!$B$32,'Inputs'!$B$30+'Inputs'!$B$31+'Inputs'!$B$32)/1000+'Inputs'!$B$21))/SQRT((((1025-43)*MAX('Inputs'!$B$33,'Inputs'!$B$29+'Inputs'!$B$31+'Inputs'!$B$32,'Inputs'!$B$30+'Inputs'!$B$31+'Inputs'!$B$32)/1000+'Inputs'!$B$21))^2+('Inputs'!$B$6/2)^2)))-'Results'!C7*(1-'Inputs'!$B$24)*(0.5*((((1025-43)*MAX('Inputs'!$B$33,'Inputs'!$B$29+'Inputs'!$B$31+'Inputs'!$B$32,'Inputs'!$B$30+'Inputs'!$B$31+'Inputs'!$B$32)/1000+'Inputs'!$B$21+'Inputs'!$B$7+'Inputs'!$B$10)+'Inputs'!$B$9)/SQRT((((1025-43)*MAX('Inputs'!$B$33,'Inputs'!$B$29+'Inputs'!$B$31+'Inputs'!$B$32,'Inputs'!$B$30+'Inputs'!$B$31+'Inputs'!$B$32)/1000+'Inputs'!$B$21+'Inputs'!$B$7+'Inputs'!$B$10)+'Inputs'!$B$9)^2+('Inputs'!$B$8/2)^2)-(((1025-43)*MAX('Inputs'!$B$33,'Inputs'!$B$29+'Inputs'!$B$31+'Inputs'!$B$32,'Inputs'!$B$30+'Inputs'!$B$31+'Inputs'!$B$32)/1000+'Inputs'!$B$21+'Inputs'!$B$7+'Inputs'!$B$10))/SQRT((((1025-43)*MAX('Inputs'!$B$33,'Inputs'!$B$29+'Inputs'!$B$31+'Inputs'!$B$32,'Inputs'!$B$30+'Inputs'!$B$31+'Inputs'!$B$32)/1000+'Inputs'!$B$21+'Inputs'!$B$7+'Inputs'!$B$10))^2+('Inputs'!$B$8/2)^2))))*'Results'!$B$8))),"")</x:f>
        <x:v>0.4477681421131178</x:v>
      </x:c>
      <x:c r="M1025" t="n">
        <x:f>IF(AND(ISNUMBER('Results'!C7),ISNUMBER('Results'!B7),ISNUMBER('Results'!$B$8),ISNUMBER('Inputs'!$B$6),ISNUMBER('Inputs'!$B$7),ISNUMBER('Inputs'!$B$8),ISNUMBER('Inputs'!$B$9),ISNUMBER('Inputs'!$B$10),ISNUMBER('Inputs'!$B$21),ISNUMBER('Inputs'!$B$24),ISNUMBER('Inputs'!$B$28)),(('Results'!C7*(0.5*((((1025-43)*MAX('Inputs'!$B$33,'Inputs'!$B$29+'Inputs'!$B$31+'Inputs'!$B$32,'Inputs'!$B$30+'Inputs'!$B$31+'Inputs'!$B$32)/1000+'Inputs'!$B$21)+'Inputs'!$B$9)/SQRT((((1025-43)*MAX('Inputs'!$B$33,'Inputs'!$B$29+'Inputs'!$B$31+'Inputs'!$B$32,'Inputs'!$B$30+'Inputs'!$B$31+'Inputs'!$B$32)/1000+'Inputs'!$B$21)+'Inputs'!$B$9)^2+('Inputs'!$B$8/2)^2)-(((1025-43)*MAX('Inputs'!$B$33,'Inputs'!$B$29+'Inputs'!$B$31+'Inputs'!$B$32,'Inputs'!$B$30+'Inputs'!$B$31+'Inputs'!$B$32)/1000+'Inputs'!$B$21))/SQRT((((1025-43)*MAX('Inputs'!$B$33,'Inputs'!$B$29+'Inputs'!$B$31+'Inputs'!$B$32,'Inputs'!$B$30+'Inputs'!$B$31+'Inputs'!$B$32)/1000+'Inputs'!$B$21))^2+('Inputs'!$B$8/2)^2)))-'Results'!B7*(0.5*((((1025-43)*MAX('Inputs'!$B$33,'Inputs'!$B$29+'Inputs'!$B$31+'Inputs'!$B$32,'Inputs'!$B$30+'Inputs'!$B$31+'Inputs'!$B$32)/1000+'Inputs'!$B$21+'Inputs'!$B$9+'Inputs'!$B$10)+'Inputs'!$B$7)/SQRT((((1025-43)*MAX('Inputs'!$B$33,'Inputs'!$B$29+'Inputs'!$B$31+'Inputs'!$B$32,'Inputs'!$B$30+'Inputs'!$B$31+'Inputs'!$B$32)/1000+'Inputs'!$B$21+'Inputs'!$B$9+'Inputs'!$B$10)+'Inputs'!$B$7)^2+('Inputs'!$B$6/2)^2)-(((1025-43)*MAX('Inputs'!$B$33,'Inputs'!$B$29+'Inputs'!$B$31+'Inputs'!$B$32,'Inputs'!$B$30+'Inputs'!$B$31+'Inputs'!$B$32)/1000+'Inputs'!$B$21+'Inputs'!$B$9+'Inputs'!$B$10))/SQRT((((1025-43)*MAX('Inputs'!$B$33,'Inputs'!$B$29+'Inputs'!$B$31+'Inputs'!$B$32,'Inputs'!$B$30+'Inputs'!$B$31+'Inputs'!$B$32)/1000+'Inputs'!$B$21+'Inputs'!$B$9+'Inputs'!$B$10))^2+('Inputs'!$B$6/2)^2))))*'Results'!$B$8),"")</x:f>
        <x:v>0.33636778261777184</x:v>
      </x:c>
      <x:c r="N1025" t="n">
        <x:f>IF(AND(ISNUMBER('Results'!C7),ISNUMBER('Results'!B7),ISNUMBER('Results'!$B$8),ISNUMBER('Inputs'!$B$6),ISNUMBER('Inputs'!$B$7),ISNUMBER('Inputs'!$B$8),ISNUMBER('Inputs'!$B$9),ISNUMBER('Inputs'!$B$10),ISNUMBER('Inputs'!$B$21),ISNUMBER('Inputs'!$B$24),ISNUMBER('Inputs'!$B$28)),((('Results'!C7*(1-'Inputs'!$B$24)*(0.5*((((1025-43)*MAX('Inputs'!$B$33,'Inputs'!$B$29+'Inputs'!$B$31+'Inputs'!$B$32,'Inputs'!$B$30+'Inputs'!$B$31+'Inputs'!$B$32)/1000+'Inputs'!$B$21)+'Inputs'!$B$9)/SQRT((((1025-43)*MAX('Inputs'!$B$33,'Inputs'!$B$29+'Inputs'!$B$31+'Inputs'!$B$32,'Inputs'!$B$30+'Inputs'!$B$31+'Inputs'!$B$32)/1000+'Inputs'!$B$21)+'Inputs'!$B$9)^2+('Inputs'!$B$8/2)^2)-(((1025-43)*MAX('Inputs'!$B$33,'Inputs'!$B$29+'Inputs'!$B$31+'Inputs'!$B$32,'Inputs'!$B$30+'Inputs'!$B$31+'Inputs'!$B$32)/1000+'Inputs'!$B$21))/SQRT((((1025-43)*MAX('Inputs'!$B$33,'Inputs'!$B$29+'Inputs'!$B$31+'Inputs'!$B$32,'Inputs'!$B$30+'Inputs'!$B$31+'Inputs'!$B$32)/1000+'Inputs'!$B$21))^2+('Inputs'!$B$8/2)^2)))-'Results'!B7*(1+'Inputs'!$B$24)*(0.5*((((1025-43)*MAX('Inputs'!$B$33,'Inputs'!$B$29+'Inputs'!$B$31+'Inputs'!$B$32,'Inputs'!$B$30+'Inputs'!$B$31+'Inputs'!$B$32)/1000+'Inputs'!$B$21+'Inputs'!$B$9+'Inputs'!$B$10)+'Inputs'!$B$7)/SQRT((((1025-43)*MAX('Inputs'!$B$33,'Inputs'!$B$29+'Inputs'!$B$31+'Inputs'!$B$32,'Inputs'!$B$30+'Inputs'!$B$31+'Inputs'!$B$32)/1000+'Inputs'!$B$21+'Inputs'!$B$9+'Inputs'!$B$10)+'Inputs'!$B$7)^2+('Inputs'!$B$6/2)^2)-(((1025-43)*MAX('Inputs'!$B$33,'Inputs'!$B$29+'Inputs'!$B$31+'Inputs'!$B$32,'Inputs'!$B$30+'Inputs'!$B$31+'Inputs'!$B$32)/1000+'Inputs'!$B$21+'Inputs'!$B$9+'Inputs'!$B$10))/SQRT((((1025-43)*MAX('Inputs'!$B$33,'Inputs'!$B$29+'Inputs'!$B$31+'Inputs'!$B$32,'Inputs'!$B$30+'Inputs'!$B$31+'Inputs'!$B$32)/1000+'Inputs'!$B$21+'Inputs'!$B$9+'Inputs'!$B$10))^2+('Inputs'!$B$6/2)^2))))*'Results'!$B$8)-'Inputs'!$B$28*ABS((('Results'!C7*(1-'Inputs'!$B$24)*(0.5*((((1025-43)*MAX('Inputs'!$B$33,'Inputs'!$B$29+'Inputs'!$B$31+'Inputs'!$B$32,'Inputs'!$B$30+'Inputs'!$B$31+'Inputs'!$B$32)/1000+'Inputs'!$B$21)+'Inputs'!$B$9)/SQRT((((1025-43)*MAX('Inputs'!$B$33,'Inputs'!$B$29+'Inputs'!$B$31+'Inputs'!$B$32,'Inputs'!$B$30+'Inputs'!$B$31+'Inputs'!$B$32)/1000+'Inputs'!$B$21)+'Inputs'!$B$9)^2+('Inputs'!$B$8/2)^2)-(((1025-43)*MAX('Inputs'!$B$33,'Inputs'!$B$29+'Inputs'!$B$31+'Inputs'!$B$32,'Inputs'!$B$30+'Inputs'!$B$31+'Inputs'!$B$32)/1000+'Inputs'!$B$21))/SQRT((((1025-43)*MAX('Inputs'!$B$33,'Inputs'!$B$29+'Inputs'!$B$31+'Inputs'!$B$32,'Inputs'!$B$30+'Inputs'!$B$31+'Inputs'!$B$32)/1000+'Inputs'!$B$21))^2+('Inputs'!$B$8/2)^2)))-'Results'!B7*(1+'Inputs'!$B$24)*(0.5*((((1025-43)*MAX('Inputs'!$B$33,'Inputs'!$B$29+'Inputs'!$B$31+'Inputs'!$B$32,'Inputs'!$B$30+'Inputs'!$B$31+'Inputs'!$B$32)/1000+'Inputs'!$B$21+'Inputs'!$B$9+'Inputs'!$B$10)+'Inputs'!$B$7)/SQRT((((1025-43)*MAX('Inputs'!$B$33,'Inputs'!$B$29+'Inputs'!$B$31+'Inputs'!$B$32,'Inputs'!$B$30+'Inputs'!$B$31+'Inputs'!$B$32)/1000+'Inputs'!$B$21+'Inputs'!$B$9+'Inputs'!$B$10)+'Inputs'!$B$7)^2+('Inputs'!$B$6/2)^2)-(((1025-43)*MAX('Inputs'!$B$33,'Inputs'!$B$29+'Inputs'!$B$31+'Inputs'!$B$32,'Inputs'!$B$30+'Inputs'!$B$31+'Inputs'!$B$32)/1000+'Inputs'!$B$21+'Inputs'!$B$9+'Inputs'!$B$10))/SQRT((((1025-43)*MAX('Inputs'!$B$33,'Inputs'!$B$29+'Inputs'!$B$31+'Inputs'!$B$32,'Inputs'!$B$30+'Inputs'!$B$31+'Inputs'!$B$32)/1000+'Inputs'!$B$21+'Inputs'!$B$9+'Inputs'!$B$10))^2+('Inputs'!$B$6/2)^2))))*'Results'!$B$8))),"")</x:f>
        <x:v>0.277080492384812</x:v>
      </x:c>
      <x:c r="O1025" t="n">
        <x:f>IF(AND(ISNUMBER('Results'!C7),ISNUMBER('Results'!B7),ISNUMBER('Results'!$B$8),ISNUMBER('Inputs'!$B$6),ISNUMBER('Inputs'!$B$7),ISNUMBER('Inputs'!$B$8),ISNUMBER('Inputs'!$B$9),ISNUMBER('Inputs'!$B$10),ISNUMBER('Inputs'!$B$21),ISNUMBER('Inputs'!$B$24),ISNUMBER('Inputs'!$B$28)),((('Results'!C7*(1+'Inputs'!$B$24)*(0.5*((((1025-43)*MAX('Inputs'!$B$33,'Inputs'!$B$29+'Inputs'!$B$31+'Inputs'!$B$32,'Inputs'!$B$30+'Inputs'!$B$31+'Inputs'!$B$32)/1000+'Inputs'!$B$21)+'Inputs'!$B$9)/SQRT((((1025-43)*MAX('Inputs'!$B$33,'Inputs'!$B$29+'Inputs'!$B$31+'Inputs'!$B$32,'Inputs'!$B$30+'Inputs'!$B$31+'Inputs'!$B$32)/1000+'Inputs'!$B$21)+'Inputs'!$B$9)^2+('Inputs'!$B$8/2)^2)-(((1025-43)*MAX('Inputs'!$B$33,'Inputs'!$B$29+'Inputs'!$B$31+'Inputs'!$B$32,'Inputs'!$B$30+'Inputs'!$B$31+'Inputs'!$B$32)/1000+'Inputs'!$B$21))/SQRT((((1025-43)*MAX('Inputs'!$B$33,'Inputs'!$B$29+'Inputs'!$B$31+'Inputs'!$B$32,'Inputs'!$B$30+'Inputs'!$B$31+'Inputs'!$B$32)/1000+'Inputs'!$B$21))^2+('Inputs'!$B$8/2)^2)))-'Results'!B7*(1-'Inputs'!$B$24)*(0.5*((((1025-43)*MAX('Inputs'!$B$33,'Inputs'!$B$29+'Inputs'!$B$31+'Inputs'!$B$32,'Inputs'!$B$30+'Inputs'!$B$31+'Inputs'!$B$32)/1000+'Inputs'!$B$21+'Inputs'!$B$9+'Inputs'!$B$10)+'Inputs'!$B$7)/SQRT((((1025-43)*MAX('Inputs'!$B$33,'Inputs'!$B$29+'Inputs'!$B$31+'Inputs'!$B$32,'Inputs'!$B$30+'Inputs'!$B$31+'Inputs'!$B$32)/1000+'Inputs'!$B$21+'Inputs'!$B$9+'Inputs'!$B$10)+'Inputs'!$B$7)^2+('Inputs'!$B$6/2)^2)-(((1025-43)*MAX('Inputs'!$B$33,'Inputs'!$B$29+'Inputs'!$B$31+'Inputs'!$B$32,'Inputs'!$B$30+'Inputs'!$B$31+'Inputs'!$B$32)/1000+'Inputs'!$B$21+'Inputs'!$B$9+'Inputs'!$B$10))/SQRT((((1025-43)*MAX('Inputs'!$B$33,'Inputs'!$B$29+'Inputs'!$B$31+'Inputs'!$B$32,'Inputs'!$B$30+'Inputs'!$B$31+'Inputs'!$B$32)/1000+'Inputs'!$B$21+'Inputs'!$B$9+'Inputs'!$B$10))^2+('Inputs'!$B$6/2)^2))))*'Results'!$B$8)+'Inputs'!$B$28*ABS((('Results'!C7*(1+'Inputs'!$B$24)*(0.5*((((1025-43)*MAX('Inputs'!$B$33,'Inputs'!$B$29+'Inputs'!$B$31+'Inputs'!$B$32,'Inputs'!$B$30+'Inputs'!$B$31+'Inputs'!$B$32)/1000+'Inputs'!$B$21)+'Inputs'!$B$9)/SQRT((((1025-43)*MAX('Inputs'!$B$33,'Inputs'!$B$29+'Inputs'!$B$31+'Inputs'!$B$32,'Inputs'!$B$30+'Inputs'!$B$31+'Inputs'!$B$32)/1000+'Inputs'!$B$21)+'Inputs'!$B$9)^2+('Inputs'!$B$8/2)^2)-(((1025-43)*MAX('Inputs'!$B$33,'Inputs'!$B$29+'Inputs'!$B$31+'Inputs'!$B$32,'Inputs'!$B$30+'Inputs'!$B$31+'Inputs'!$B$32)/1000+'Inputs'!$B$21))/SQRT((((1025-43)*MAX('Inputs'!$B$33,'Inputs'!$B$29+'Inputs'!$B$31+'Inputs'!$B$32,'Inputs'!$B$30+'Inputs'!$B$31+'Inputs'!$B$32)/1000+'Inputs'!$B$21))^2+('Inputs'!$B$8/2)^2)))-'Results'!B7*(1-'Inputs'!$B$24)*(0.5*((((1025-43)*MAX('Inputs'!$B$33,'Inputs'!$B$29+'Inputs'!$B$31+'Inputs'!$B$32,'Inputs'!$B$30+'Inputs'!$B$31+'Inputs'!$B$32)/1000+'Inputs'!$B$21+'Inputs'!$B$9+'Inputs'!$B$10)+'Inputs'!$B$7)/SQRT((((1025-43)*MAX('Inputs'!$B$33,'Inputs'!$B$29+'Inputs'!$B$31+'Inputs'!$B$32,'Inputs'!$B$30+'Inputs'!$B$31+'Inputs'!$B$32)/1000+'Inputs'!$B$21+'Inputs'!$B$9+'Inputs'!$B$10)+'Inputs'!$B$7)^2+('Inputs'!$B$6/2)^2)-(((1025-43)*MAX('Inputs'!$B$33,'Inputs'!$B$29+'Inputs'!$B$31+'Inputs'!$B$32,'Inputs'!$B$30+'Inputs'!$B$31+'Inputs'!$B$32)/1000+'Inputs'!$B$21+'Inputs'!$B$9+'Inputs'!$B$10))/SQRT((((1025-43)*MAX('Inputs'!$B$33,'Inputs'!$B$29+'Inputs'!$B$31+'Inputs'!$B$32,'Inputs'!$B$30+'Inputs'!$B$31+'Inputs'!$B$32)/1000+'Inputs'!$B$21+'Inputs'!$B$9+'Inputs'!$B$10))^2+('Inputs'!$B$6/2)^2))))*'Results'!$B$8))),"")</x:f>
        <x:v>0.4001254834930551</x:v>
      </x:c>
      <x:c r="P1025" t="n">
        <x:f>IF(AND(MAX(J1025,J1024)&gt;0,J1025&gt;J1024+0.00000001),1,0)</x:f>
        <x:v>0</x:v>
      </x:c>
      <x:c r="Q1025" t="n">
        <x:f>IF(AND(MAX(K1025,K1024)&gt;0,K1025&gt;K1024+0.00000001),1,0)</x:f>
        <x:v>0</x:v>
      </x:c>
      <x:c r="R1025" t="n">
        <x:f>IF(AND(MAX(L1025,L1024)&gt;0,L1025&gt;L1024+0.00000001),1,0)</x:f>
        <x:v>0</x:v>
      </x:c>
      <x:c r="S1025" t="n">
        <x:f>IF(AND(MAX(M1025,M1024)&gt;0,M1025&gt;M1024+0.00000001),1,0)</x:f>
        <x:v>0</x:v>
      </x:c>
      <x:c r="T1025" t="n">
        <x:f>IF(AND(MAX(N1025,N1024)&gt;0,N1025&gt;N1024+0.00000001),1,0)</x:f>
        <x:v>0</x:v>
      </x:c>
      <x:c r="U1025" t="n">
        <x:f>IF(AND(MAX(O1025,O1024)&gt;0,O1025&gt;O1024+0.00000001),1,0)</x:f>
        <x:v>0</x:v>
      </x:c>
    </x:row>
    <x:row r="1026">
      <x:c r="J1026" t="n">
        <x:f>IF(AND(ISNUMBER('Results'!B7),ISNUMBER('Results'!C7),ISNUMBER('Results'!$B$8),ISNUMBER('Inputs'!$B$6),ISNUMBER('Inputs'!$B$7),ISNUMBER('Inputs'!$B$8),ISNUMBER('Inputs'!$B$9),ISNUMBER('Inputs'!$B$10),ISNUMBER('Inputs'!$B$21),ISNUMBER('Inputs'!$B$24),ISNUMBER('Inputs'!$B$28)),(('Results'!B7*(0.5*((((1026-43)*MAX('Inputs'!$B$33,'Inputs'!$B$29+'Inputs'!$B$31+'Inputs'!$B$32,'Inputs'!$B$30+'Inputs'!$B$31+'Inputs'!$B$32)/1000+'Inputs'!$B$21)+'Inputs'!$B$7)/SQRT((((1026-43)*MAX('Inputs'!$B$33,'Inputs'!$B$29+'Inputs'!$B$31+'Inputs'!$B$32,'Inputs'!$B$30+'Inputs'!$B$31+'Inputs'!$B$32)/1000+'Inputs'!$B$21)+'Inputs'!$B$7)^2+('Inputs'!$B$6/2)^2)-(((1026-43)*MAX('Inputs'!$B$33,'Inputs'!$B$29+'Inputs'!$B$31+'Inputs'!$B$32,'Inputs'!$B$30+'Inputs'!$B$31+'Inputs'!$B$32)/1000+'Inputs'!$B$21))/SQRT((((1026-43)*MAX('Inputs'!$B$33,'Inputs'!$B$29+'Inputs'!$B$31+'Inputs'!$B$32,'Inputs'!$B$30+'Inputs'!$B$31+'Inputs'!$B$32)/1000+'Inputs'!$B$21))^2+('Inputs'!$B$6/2)^2)))-'Results'!C7*(0.5*((((1026-43)*MAX('Inputs'!$B$33,'Inputs'!$B$29+'Inputs'!$B$31+'Inputs'!$B$32,'Inputs'!$B$30+'Inputs'!$B$31+'Inputs'!$B$32)/1000+'Inputs'!$B$21+'Inputs'!$B$7+'Inputs'!$B$10)+'Inputs'!$B$9)/SQRT((((1026-43)*MAX('Inputs'!$B$33,'Inputs'!$B$29+'Inputs'!$B$31+'Inputs'!$B$32,'Inputs'!$B$30+'Inputs'!$B$31+'Inputs'!$B$32)/1000+'Inputs'!$B$21+'Inputs'!$B$7+'Inputs'!$B$10)+'Inputs'!$B$9)^2+('Inputs'!$B$8/2)^2)-(((1026-43)*MAX('Inputs'!$B$33,'Inputs'!$B$29+'Inputs'!$B$31+'Inputs'!$B$32,'Inputs'!$B$30+'Inputs'!$B$31+'Inputs'!$B$32)/1000+'Inputs'!$B$21+'Inputs'!$B$7+'Inputs'!$B$10))/SQRT((((1026-43)*MAX('Inputs'!$B$33,'Inputs'!$B$29+'Inputs'!$B$31+'Inputs'!$B$32,'Inputs'!$B$30+'Inputs'!$B$31+'Inputs'!$B$32)/1000+'Inputs'!$B$21+'Inputs'!$B$7+'Inputs'!$B$10))^2+('Inputs'!$B$8/2)^2))))*'Results'!$B$8),"")</x:f>
        <x:v>0.38018210195062263</x:v>
      </x:c>
      <x:c r="K1026" t="n">
        <x:f>IF(AND(ISNUMBER('Results'!B7),ISNUMBER('Results'!C7),ISNUMBER('Results'!$B$8),ISNUMBER('Inputs'!$B$6),ISNUMBER('Inputs'!$B$7),ISNUMBER('Inputs'!$B$8),ISNUMBER('Inputs'!$B$9),ISNUMBER('Inputs'!$B$10),ISNUMBER('Inputs'!$B$21),ISNUMBER('Inputs'!$B$24),ISNUMBER('Inputs'!$B$28)),((('Results'!B7*(1-'Inputs'!$B$24)*(0.5*((((1026-43)*MAX('Inputs'!$B$33,'Inputs'!$B$29+'Inputs'!$B$31+'Inputs'!$B$32,'Inputs'!$B$30+'Inputs'!$B$31+'Inputs'!$B$32)/1000+'Inputs'!$B$21)+'Inputs'!$B$7)/SQRT((((1026-43)*MAX('Inputs'!$B$33,'Inputs'!$B$29+'Inputs'!$B$31+'Inputs'!$B$32,'Inputs'!$B$30+'Inputs'!$B$31+'Inputs'!$B$32)/1000+'Inputs'!$B$21)+'Inputs'!$B$7)^2+('Inputs'!$B$6/2)^2)-(((1026-43)*MAX('Inputs'!$B$33,'Inputs'!$B$29+'Inputs'!$B$31+'Inputs'!$B$32,'Inputs'!$B$30+'Inputs'!$B$31+'Inputs'!$B$32)/1000+'Inputs'!$B$21))/SQRT((((1026-43)*MAX('Inputs'!$B$33,'Inputs'!$B$29+'Inputs'!$B$31+'Inputs'!$B$32,'Inputs'!$B$30+'Inputs'!$B$31+'Inputs'!$B$32)/1000+'Inputs'!$B$21))^2+('Inputs'!$B$6/2)^2)))-'Results'!C7*(1+'Inputs'!$B$24)*(0.5*((((1026-43)*MAX('Inputs'!$B$33,'Inputs'!$B$29+'Inputs'!$B$31+'Inputs'!$B$32,'Inputs'!$B$30+'Inputs'!$B$31+'Inputs'!$B$32)/1000+'Inputs'!$B$21+'Inputs'!$B$7+'Inputs'!$B$10)+'Inputs'!$B$9)/SQRT((((1026-43)*MAX('Inputs'!$B$33,'Inputs'!$B$29+'Inputs'!$B$31+'Inputs'!$B$32,'Inputs'!$B$30+'Inputs'!$B$31+'Inputs'!$B$32)/1000+'Inputs'!$B$21+'Inputs'!$B$7+'Inputs'!$B$10)+'Inputs'!$B$9)^2+('Inputs'!$B$8/2)^2)-(((1026-43)*MAX('Inputs'!$B$33,'Inputs'!$B$29+'Inputs'!$B$31+'Inputs'!$B$32,'Inputs'!$B$30+'Inputs'!$B$31+'Inputs'!$B$32)/1000+'Inputs'!$B$21+'Inputs'!$B$7+'Inputs'!$B$10))/SQRT((((1026-43)*MAX('Inputs'!$B$33,'Inputs'!$B$29+'Inputs'!$B$31+'Inputs'!$B$32,'Inputs'!$B$30+'Inputs'!$B$31+'Inputs'!$B$32)/1000+'Inputs'!$B$21+'Inputs'!$B$7+'Inputs'!$B$10))^2+('Inputs'!$B$8/2)^2))))*'Results'!$B$8)-'Inputs'!$B$28*ABS((('Results'!B7*(1-'Inputs'!$B$24)*(0.5*((((1026-43)*MAX('Inputs'!$B$33,'Inputs'!$B$29+'Inputs'!$B$31+'Inputs'!$B$32,'Inputs'!$B$30+'Inputs'!$B$31+'Inputs'!$B$32)/1000+'Inputs'!$B$21)+'Inputs'!$B$7)/SQRT((((1026-43)*MAX('Inputs'!$B$33,'Inputs'!$B$29+'Inputs'!$B$31+'Inputs'!$B$32,'Inputs'!$B$30+'Inputs'!$B$31+'Inputs'!$B$32)/1000+'Inputs'!$B$21)+'Inputs'!$B$7)^2+('Inputs'!$B$6/2)^2)-(((1026-43)*MAX('Inputs'!$B$33,'Inputs'!$B$29+'Inputs'!$B$31+'Inputs'!$B$32,'Inputs'!$B$30+'Inputs'!$B$31+'Inputs'!$B$32)/1000+'Inputs'!$B$21))/SQRT((((1026-43)*MAX('Inputs'!$B$33,'Inputs'!$B$29+'Inputs'!$B$31+'Inputs'!$B$32,'Inputs'!$B$30+'Inputs'!$B$31+'Inputs'!$B$32)/1000+'Inputs'!$B$21))^2+('Inputs'!$B$6/2)^2)))-'Results'!C7*(1+'Inputs'!$B$24)*(0.5*((((1026-43)*MAX('Inputs'!$B$33,'Inputs'!$B$29+'Inputs'!$B$31+'Inputs'!$B$32,'Inputs'!$B$30+'Inputs'!$B$31+'Inputs'!$B$32)/1000+'Inputs'!$B$21+'Inputs'!$B$7+'Inputs'!$B$10)+'Inputs'!$B$9)/SQRT((((1026-43)*MAX('Inputs'!$B$33,'Inputs'!$B$29+'Inputs'!$B$31+'Inputs'!$B$32,'Inputs'!$B$30+'Inputs'!$B$31+'Inputs'!$B$32)/1000+'Inputs'!$B$21+'Inputs'!$B$7+'Inputs'!$B$10)+'Inputs'!$B$9)^2+('Inputs'!$B$8/2)^2)-(((1026-43)*MAX('Inputs'!$B$33,'Inputs'!$B$29+'Inputs'!$B$31+'Inputs'!$B$32,'Inputs'!$B$30+'Inputs'!$B$31+'Inputs'!$B$32)/1000+'Inputs'!$B$21+'Inputs'!$B$7+'Inputs'!$B$10))/SQRT((((1026-43)*MAX('Inputs'!$B$33,'Inputs'!$B$29+'Inputs'!$B$31+'Inputs'!$B$32,'Inputs'!$B$30+'Inputs'!$B$31+'Inputs'!$B$32)/1000+'Inputs'!$B$21+'Inputs'!$B$7+'Inputs'!$B$10))^2+('Inputs'!$B$8/2)^2))))*'Results'!$B$8))),"")</x:f>
        <x:v>0.3186875739594204</x:v>
      </x:c>
      <x:c r="L1026" t="n">
        <x:f>IF(AND(ISNUMBER('Results'!B7),ISNUMBER('Results'!C7),ISNUMBER('Results'!$B$8),ISNUMBER('Inputs'!$B$6),ISNUMBER('Inputs'!$B$7),ISNUMBER('Inputs'!$B$8),ISNUMBER('Inputs'!$B$9),ISNUMBER('Inputs'!$B$10),ISNUMBER('Inputs'!$B$21),ISNUMBER('Inputs'!$B$24),ISNUMBER('Inputs'!$B$28)),((('Results'!B7*(1+'Inputs'!$B$24)*(0.5*((((1026-43)*MAX('Inputs'!$B$33,'Inputs'!$B$29+'Inputs'!$B$31+'Inputs'!$B$32,'Inputs'!$B$30+'Inputs'!$B$31+'Inputs'!$B$32)/1000+'Inputs'!$B$21)+'Inputs'!$B$7)/SQRT((((1026-43)*MAX('Inputs'!$B$33,'Inputs'!$B$29+'Inputs'!$B$31+'Inputs'!$B$32,'Inputs'!$B$30+'Inputs'!$B$31+'Inputs'!$B$32)/1000+'Inputs'!$B$21)+'Inputs'!$B$7)^2+('Inputs'!$B$6/2)^2)-(((1026-43)*MAX('Inputs'!$B$33,'Inputs'!$B$29+'Inputs'!$B$31+'Inputs'!$B$32,'Inputs'!$B$30+'Inputs'!$B$31+'Inputs'!$B$32)/1000+'Inputs'!$B$21))/SQRT((((1026-43)*MAX('Inputs'!$B$33,'Inputs'!$B$29+'Inputs'!$B$31+'Inputs'!$B$32,'Inputs'!$B$30+'Inputs'!$B$31+'Inputs'!$B$32)/1000+'Inputs'!$B$21))^2+('Inputs'!$B$6/2)^2)))-'Results'!C7*(1-'Inputs'!$B$24)*(0.5*((((1026-43)*MAX('Inputs'!$B$33,'Inputs'!$B$29+'Inputs'!$B$31+'Inputs'!$B$32,'Inputs'!$B$30+'Inputs'!$B$31+'Inputs'!$B$32)/1000+'Inputs'!$B$21+'Inputs'!$B$7+'Inputs'!$B$10)+'Inputs'!$B$9)/SQRT((((1026-43)*MAX('Inputs'!$B$33,'Inputs'!$B$29+'Inputs'!$B$31+'Inputs'!$B$32,'Inputs'!$B$30+'Inputs'!$B$31+'Inputs'!$B$32)/1000+'Inputs'!$B$21+'Inputs'!$B$7+'Inputs'!$B$10)+'Inputs'!$B$9)^2+('Inputs'!$B$8/2)^2)-(((1026-43)*MAX('Inputs'!$B$33,'Inputs'!$B$29+'Inputs'!$B$31+'Inputs'!$B$32,'Inputs'!$B$30+'Inputs'!$B$31+'Inputs'!$B$32)/1000+'Inputs'!$B$21+'Inputs'!$B$7+'Inputs'!$B$10))/SQRT((((1026-43)*MAX('Inputs'!$B$33,'Inputs'!$B$29+'Inputs'!$B$31+'Inputs'!$B$32,'Inputs'!$B$30+'Inputs'!$B$31+'Inputs'!$B$32)/1000+'Inputs'!$B$21+'Inputs'!$B$7+'Inputs'!$B$10))^2+('Inputs'!$B$8/2)^2))))*'Results'!$B$8)+'Inputs'!$B$28*ABS((('Results'!B7*(1+'Inputs'!$B$24)*(0.5*((((1026-43)*MAX('Inputs'!$B$33,'Inputs'!$B$29+'Inputs'!$B$31+'Inputs'!$B$32,'Inputs'!$B$30+'Inputs'!$B$31+'Inputs'!$B$32)/1000+'Inputs'!$B$21)+'Inputs'!$B$7)/SQRT((((1026-43)*MAX('Inputs'!$B$33,'Inputs'!$B$29+'Inputs'!$B$31+'Inputs'!$B$32,'Inputs'!$B$30+'Inputs'!$B$31+'Inputs'!$B$32)/1000+'Inputs'!$B$21)+'Inputs'!$B$7)^2+('Inputs'!$B$6/2)^2)-(((1026-43)*MAX('Inputs'!$B$33,'Inputs'!$B$29+'Inputs'!$B$31+'Inputs'!$B$32,'Inputs'!$B$30+'Inputs'!$B$31+'Inputs'!$B$32)/1000+'Inputs'!$B$21))/SQRT((((1026-43)*MAX('Inputs'!$B$33,'Inputs'!$B$29+'Inputs'!$B$31+'Inputs'!$B$32,'Inputs'!$B$30+'Inputs'!$B$31+'Inputs'!$B$32)/1000+'Inputs'!$B$21))^2+('Inputs'!$B$6/2)^2)))-'Results'!C7*(1-'Inputs'!$B$24)*(0.5*((((1026-43)*MAX('Inputs'!$B$33,'Inputs'!$B$29+'Inputs'!$B$31+'Inputs'!$B$32,'Inputs'!$B$30+'Inputs'!$B$31+'Inputs'!$B$32)/1000+'Inputs'!$B$21+'Inputs'!$B$7+'Inputs'!$B$10)+'Inputs'!$B$9)/SQRT((((1026-43)*MAX('Inputs'!$B$33,'Inputs'!$B$29+'Inputs'!$B$31+'Inputs'!$B$32,'Inputs'!$B$30+'Inputs'!$B$31+'Inputs'!$B$32)/1000+'Inputs'!$B$21+'Inputs'!$B$7+'Inputs'!$B$10)+'Inputs'!$B$9)^2+('Inputs'!$B$8/2)^2)-(((1026-43)*MAX('Inputs'!$B$33,'Inputs'!$B$29+'Inputs'!$B$31+'Inputs'!$B$32,'Inputs'!$B$30+'Inputs'!$B$31+'Inputs'!$B$32)/1000+'Inputs'!$B$21+'Inputs'!$B$7+'Inputs'!$B$10))/SQRT((((1026-43)*MAX('Inputs'!$B$33,'Inputs'!$B$29+'Inputs'!$B$31+'Inputs'!$B$32,'Inputs'!$B$30+'Inputs'!$B$31+'Inputs'!$B$32)/1000+'Inputs'!$B$21+'Inputs'!$B$7+'Inputs'!$B$10))^2+('Inputs'!$B$8/2)^2))))*'Results'!$B$8))),"")</x:f>
        <x:v>0.446148779720106</x:v>
      </x:c>
      <x:c r="M1026" t="n">
        <x:f>IF(AND(ISNUMBER('Results'!C7),ISNUMBER('Results'!B7),ISNUMBER('Results'!$B$8),ISNUMBER('Inputs'!$B$6),ISNUMBER('Inputs'!$B$7),ISNUMBER('Inputs'!$B$8),ISNUMBER('Inputs'!$B$9),ISNUMBER('Inputs'!$B$10),ISNUMBER('Inputs'!$B$21),ISNUMBER('Inputs'!$B$24),ISNUMBER('Inputs'!$B$28)),(('Results'!C7*(0.5*((((1026-43)*MAX('Inputs'!$B$33,'Inputs'!$B$29+'Inputs'!$B$31+'Inputs'!$B$32,'Inputs'!$B$30+'Inputs'!$B$31+'Inputs'!$B$32)/1000+'Inputs'!$B$21)+'Inputs'!$B$9)/SQRT((((1026-43)*MAX('Inputs'!$B$33,'Inputs'!$B$29+'Inputs'!$B$31+'Inputs'!$B$32,'Inputs'!$B$30+'Inputs'!$B$31+'Inputs'!$B$32)/1000+'Inputs'!$B$21)+'Inputs'!$B$9)^2+('Inputs'!$B$8/2)^2)-(((1026-43)*MAX('Inputs'!$B$33,'Inputs'!$B$29+'Inputs'!$B$31+'Inputs'!$B$32,'Inputs'!$B$30+'Inputs'!$B$31+'Inputs'!$B$32)/1000+'Inputs'!$B$21))/SQRT((((1026-43)*MAX('Inputs'!$B$33,'Inputs'!$B$29+'Inputs'!$B$31+'Inputs'!$B$32,'Inputs'!$B$30+'Inputs'!$B$31+'Inputs'!$B$32)/1000+'Inputs'!$B$21))^2+('Inputs'!$B$8/2)^2)))-'Results'!B7*(0.5*((((1026-43)*MAX('Inputs'!$B$33,'Inputs'!$B$29+'Inputs'!$B$31+'Inputs'!$B$32,'Inputs'!$B$30+'Inputs'!$B$31+'Inputs'!$B$32)/1000+'Inputs'!$B$21+'Inputs'!$B$9+'Inputs'!$B$10)+'Inputs'!$B$7)/SQRT((((1026-43)*MAX('Inputs'!$B$33,'Inputs'!$B$29+'Inputs'!$B$31+'Inputs'!$B$32,'Inputs'!$B$30+'Inputs'!$B$31+'Inputs'!$B$32)/1000+'Inputs'!$B$21+'Inputs'!$B$9+'Inputs'!$B$10)+'Inputs'!$B$7)^2+('Inputs'!$B$6/2)^2)-(((1026-43)*MAX('Inputs'!$B$33,'Inputs'!$B$29+'Inputs'!$B$31+'Inputs'!$B$32,'Inputs'!$B$30+'Inputs'!$B$31+'Inputs'!$B$32)/1000+'Inputs'!$B$21+'Inputs'!$B$9+'Inputs'!$B$10))/SQRT((((1026-43)*MAX('Inputs'!$B$33,'Inputs'!$B$29+'Inputs'!$B$31+'Inputs'!$B$32,'Inputs'!$B$30+'Inputs'!$B$31+'Inputs'!$B$32)/1000+'Inputs'!$B$21+'Inputs'!$B$9+'Inputs'!$B$10))^2+('Inputs'!$B$6/2)^2))))*'Results'!$B$8),"")</x:f>
        <x:v>0.3350818505377723</x:v>
      </x:c>
      <x:c r="N1026" t="n">
        <x:f>IF(AND(ISNUMBER('Results'!C7),ISNUMBER('Results'!B7),ISNUMBER('Results'!$B$8),ISNUMBER('Inputs'!$B$6),ISNUMBER('Inputs'!$B$7),ISNUMBER('Inputs'!$B$8),ISNUMBER('Inputs'!$B$9),ISNUMBER('Inputs'!$B$10),ISNUMBER('Inputs'!$B$21),ISNUMBER('Inputs'!$B$24),ISNUMBER('Inputs'!$B$28)),((('Results'!C7*(1-'Inputs'!$B$24)*(0.5*((((1026-43)*MAX('Inputs'!$B$33,'Inputs'!$B$29+'Inputs'!$B$31+'Inputs'!$B$32,'Inputs'!$B$30+'Inputs'!$B$31+'Inputs'!$B$32)/1000+'Inputs'!$B$21)+'Inputs'!$B$9)/SQRT((((1026-43)*MAX('Inputs'!$B$33,'Inputs'!$B$29+'Inputs'!$B$31+'Inputs'!$B$32,'Inputs'!$B$30+'Inputs'!$B$31+'Inputs'!$B$32)/1000+'Inputs'!$B$21)+'Inputs'!$B$9)^2+('Inputs'!$B$8/2)^2)-(((1026-43)*MAX('Inputs'!$B$33,'Inputs'!$B$29+'Inputs'!$B$31+'Inputs'!$B$32,'Inputs'!$B$30+'Inputs'!$B$31+'Inputs'!$B$32)/1000+'Inputs'!$B$21))/SQRT((((1026-43)*MAX('Inputs'!$B$33,'Inputs'!$B$29+'Inputs'!$B$31+'Inputs'!$B$32,'Inputs'!$B$30+'Inputs'!$B$31+'Inputs'!$B$32)/1000+'Inputs'!$B$21))^2+('Inputs'!$B$8/2)^2)))-'Results'!B7*(1+'Inputs'!$B$24)*(0.5*((((1026-43)*MAX('Inputs'!$B$33,'Inputs'!$B$29+'Inputs'!$B$31+'Inputs'!$B$32,'Inputs'!$B$30+'Inputs'!$B$31+'Inputs'!$B$32)/1000+'Inputs'!$B$21+'Inputs'!$B$9+'Inputs'!$B$10)+'Inputs'!$B$7)/SQRT((((1026-43)*MAX('Inputs'!$B$33,'Inputs'!$B$29+'Inputs'!$B$31+'Inputs'!$B$32,'Inputs'!$B$30+'Inputs'!$B$31+'Inputs'!$B$32)/1000+'Inputs'!$B$21+'Inputs'!$B$9+'Inputs'!$B$10)+'Inputs'!$B$7)^2+('Inputs'!$B$6/2)^2)-(((1026-43)*MAX('Inputs'!$B$33,'Inputs'!$B$29+'Inputs'!$B$31+'Inputs'!$B$32,'Inputs'!$B$30+'Inputs'!$B$31+'Inputs'!$B$32)/1000+'Inputs'!$B$21+'Inputs'!$B$9+'Inputs'!$B$10))/SQRT((((1026-43)*MAX('Inputs'!$B$33,'Inputs'!$B$29+'Inputs'!$B$31+'Inputs'!$B$32,'Inputs'!$B$30+'Inputs'!$B$31+'Inputs'!$B$32)/1000+'Inputs'!$B$21+'Inputs'!$B$9+'Inputs'!$B$10))^2+('Inputs'!$B$6/2)^2))))*'Results'!$B$8)-'Inputs'!$B$28*ABS((('Results'!C7*(1-'Inputs'!$B$24)*(0.5*((((1026-43)*MAX('Inputs'!$B$33,'Inputs'!$B$29+'Inputs'!$B$31+'Inputs'!$B$32,'Inputs'!$B$30+'Inputs'!$B$31+'Inputs'!$B$32)/1000+'Inputs'!$B$21)+'Inputs'!$B$9)/SQRT((((1026-43)*MAX('Inputs'!$B$33,'Inputs'!$B$29+'Inputs'!$B$31+'Inputs'!$B$32,'Inputs'!$B$30+'Inputs'!$B$31+'Inputs'!$B$32)/1000+'Inputs'!$B$21)+'Inputs'!$B$9)^2+('Inputs'!$B$8/2)^2)-(((1026-43)*MAX('Inputs'!$B$33,'Inputs'!$B$29+'Inputs'!$B$31+'Inputs'!$B$32,'Inputs'!$B$30+'Inputs'!$B$31+'Inputs'!$B$32)/1000+'Inputs'!$B$21))/SQRT((((1026-43)*MAX('Inputs'!$B$33,'Inputs'!$B$29+'Inputs'!$B$31+'Inputs'!$B$32,'Inputs'!$B$30+'Inputs'!$B$31+'Inputs'!$B$32)/1000+'Inputs'!$B$21))^2+('Inputs'!$B$8/2)^2)))-'Results'!B7*(1+'Inputs'!$B$24)*(0.5*((((1026-43)*MAX('Inputs'!$B$33,'Inputs'!$B$29+'Inputs'!$B$31+'Inputs'!$B$32,'Inputs'!$B$30+'Inputs'!$B$31+'Inputs'!$B$32)/1000+'Inputs'!$B$21+'Inputs'!$B$9+'Inputs'!$B$10)+'Inputs'!$B$7)/SQRT((((1026-43)*MAX('Inputs'!$B$33,'Inputs'!$B$29+'Inputs'!$B$31+'Inputs'!$B$32,'Inputs'!$B$30+'Inputs'!$B$31+'Inputs'!$B$32)/1000+'Inputs'!$B$21+'Inputs'!$B$9+'Inputs'!$B$10)+'Inputs'!$B$7)^2+('Inputs'!$B$6/2)^2)-(((1026-43)*MAX('Inputs'!$B$33,'Inputs'!$B$29+'Inputs'!$B$31+'Inputs'!$B$32,'Inputs'!$B$30+'Inputs'!$B$31+'Inputs'!$B$32)/1000+'Inputs'!$B$21+'Inputs'!$B$9+'Inputs'!$B$10))/SQRT((((1026-43)*MAX('Inputs'!$B$33,'Inputs'!$B$29+'Inputs'!$B$31+'Inputs'!$B$32,'Inputs'!$B$30+'Inputs'!$B$31+'Inputs'!$B$32)/1000+'Inputs'!$B$21+'Inputs'!$B$9+'Inputs'!$B$10))^2+('Inputs'!$B$6/2)^2))))*'Results'!$B$8))),"")</x:f>
        <x:v>0.2759796079969831</x:v>
      </x:c>
      <x:c r="O1026" t="n">
        <x:f>IF(AND(ISNUMBER('Results'!C7),ISNUMBER('Results'!B7),ISNUMBER('Results'!$B$8),ISNUMBER('Inputs'!$B$6),ISNUMBER('Inputs'!$B$7),ISNUMBER('Inputs'!$B$8),ISNUMBER('Inputs'!$B$9),ISNUMBER('Inputs'!$B$10),ISNUMBER('Inputs'!$B$21),ISNUMBER('Inputs'!$B$24),ISNUMBER('Inputs'!$B$28)),((('Results'!C7*(1+'Inputs'!$B$24)*(0.5*((((1026-43)*MAX('Inputs'!$B$33,'Inputs'!$B$29+'Inputs'!$B$31+'Inputs'!$B$32,'Inputs'!$B$30+'Inputs'!$B$31+'Inputs'!$B$32)/1000+'Inputs'!$B$21)+'Inputs'!$B$9)/SQRT((((1026-43)*MAX('Inputs'!$B$33,'Inputs'!$B$29+'Inputs'!$B$31+'Inputs'!$B$32,'Inputs'!$B$30+'Inputs'!$B$31+'Inputs'!$B$32)/1000+'Inputs'!$B$21)+'Inputs'!$B$9)^2+('Inputs'!$B$8/2)^2)-(((1026-43)*MAX('Inputs'!$B$33,'Inputs'!$B$29+'Inputs'!$B$31+'Inputs'!$B$32,'Inputs'!$B$30+'Inputs'!$B$31+'Inputs'!$B$32)/1000+'Inputs'!$B$21))/SQRT((((1026-43)*MAX('Inputs'!$B$33,'Inputs'!$B$29+'Inputs'!$B$31+'Inputs'!$B$32,'Inputs'!$B$30+'Inputs'!$B$31+'Inputs'!$B$32)/1000+'Inputs'!$B$21))^2+('Inputs'!$B$8/2)^2)))-'Results'!B7*(1-'Inputs'!$B$24)*(0.5*((((1026-43)*MAX('Inputs'!$B$33,'Inputs'!$B$29+'Inputs'!$B$31+'Inputs'!$B$32,'Inputs'!$B$30+'Inputs'!$B$31+'Inputs'!$B$32)/1000+'Inputs'!$B$21+'Inputs'!$B$9+'Inputs'!$B$10)+'Inputs'!$B$7)/SQRT((((1026-43)*MAX('Inputs'!$B$33,'Inputs'!$B$29+'Inputs'!$B$31+'Inputs'!$B$32,'Inputs'!$B$30+'Inputs'!$B$31+'Inputs'!$B$32)/1000+'Inputs'!$B$21+'Inputs'!$B$9+'Inputs'!$B$10)+'Inputs'!$B$7)^2+('Inputs'!$B$6/2)^2)-(((1026-43)*MAX('Inputs'!$B$33,'Inputs'!$B$29+'Inputs'!$B$31+'Inputs'!$B$32,'Inputs'!$B$30+'Inputs'!$B$31+'Inputs'!$B$32)/1000+'Inputs'!$B$21+'Inputs'!$B$9+'Inputs'!$B$10))/SQRT((((1026-43)*MAX('Inputs'!$B$33,'Inputs'!$B$29+'Inputs'!$B$31+'Inputs'!$B$32,'Inputs'!$B$30+'Inputs'!$B$31+'Inputs'!$B$32)/1000+'Inputs'!$B$21+'Inputs'!$B$9+'Inputs'!$B$10))^2+('Inputs'!$B$6/2)^2))))*'Results'!$B$8)+'Inputs'!$B$28*ABS((('Results'!C7*(1+'Inputs'!$B$24)*(0.5*((((1026-43)*MAX('Inputs'!$B$33,'Inputs'!$B$29+'Inputs'!$B$31+'Inputs'!$B$32,'Inputs'!$B$30+'Inputs'!$B$31+'Inputs'!$B$32)/1000+'Inputs'!$B$21)+'Inputs'!$B$9)/SQRT((((1026-43)*MAX('Inputs'!$B$33,'Inputs'!$B$29+'Inputs'!$B$31+'Inputs'!$B$32,'Inputs'!$B$30+'Inputs'!$B$31+'Inputs'!$B$32)/1000+'Inputs'!$B$21)+'Inputs'!$B$9)^2+('Inputs'!$B$8/2)^2)-(((1026-43)*MAX('Inputs'!$B$33,'Inputs'!$B$29+'Inputs'!$B$31+'Inputs'!$B$32,'Inputs'!$B$30+'Inputs'!$B$31+'Inputs'!$B$32)/1000+'Inputs'!$B$21))/SQRT((((1026-43)*MAX('Inputs'!$B$33,'Inputs'!$B$29+'Inputs'!$B$31+'Inputs'!$B$32,'Inputs'!$B$30+'Inputs'!$B$31+'Inputs'!$B$32)/1000+'Inputs'!$B$21))^2+('Inputs'!$B$8/2)^2)))-'Results'!B7*(1-'Inputs'!$B$24)*(0.5*((((1026-43)*MAX('Inputs'!$B$33,'Inputs'!$B$29+'Inputs'!$B$31+'Inputs'!$B$32,'Inputs'!$B$30+'Inputs'!$B$31+'Inputs'!$B$32)/1000+'Inputs'!$B$21+'Inputs'!$B$9+'Inputs'!$B$10)+'Inputs'!$B$7)/SQRT((((1026-43)*MAX('Inputs'!$B$33,'Inputs'!$B$29+'Inputs'!$B$31+'Inputs'!$B$32,'Inputs'!$B$30+'Inputs'!$B$31+'Inputs'!$B$32)/1000+'Inputs'!$B$21+'Inputs'!$B$9+'Inputs'!$B$10)+'Inputs'!$B$7)^2+('Inputs'!$B$6/2)^2)-(((1026-43)*MAX('Inputs'!$B$33,'Inputs'!$B$29+'Inputs'!$B$31+'Inputs'!$B$32,'Inputs'!$B$30+'Inputs'!$B$31+'Inputs'!$B$32)/1000+'Inputs'!$B$21+'Inputs'!$B$9+'Inputs'!$B$10))/SQRT((((1026-43)*MAX('Inputs'!$B$33,'Inputs'!$B$29+'Inputs'!$B$31+'Inputs'!$B$32,'Inputs'!$B$30+'Inputs'!$B$31+'Inputs'!$B$32)/1000+'Inputs'!$B$21+'Inputs'!$B$9+'Inputs'!$B$10))^2+('Inputs'!$B$6/2)^2))))*'Results'!$B$8))),"")</x:f>
        <x:v>0.3986417930800247</x:v>
      </x:c>
      <x:c r="P1026" t="n">
        <x:f>IF(AND(MAX(J1026,J1025)&gt;0,J1026&gt;J1025+0.00000001),1,0)</x:f>
        <x:v>0</x:v>
      </x:c>
      <x:c r="Q1026" t="n">
        <x:f>IF(AND(MAX(K1026,K1025)&gt;0,K1026&gt;K1025+0.00000001),1,0)</x:f>
        <x:v>0</x:v>
      </x:c>
      <x:c r="R1026" t="n">
        <x:f>IF(AND(MAX(L1026,L1025)&gt;0,L1026&gt;L1025+0.00000001),1,0)</x:f>
        <x:v>0</x:v>
      </x:c>
      <x:c r="S1026" t="n">
        <x:f>IF(AND(MAX(M1026,M1025)&gt;0,M1026&gt;M1025+0.00000001),1,0)</x:f>
        <x:v>0</x:v>
      </x:c>
      <x:c r="T1026" t="n">
        <x:f>IF(AND(MAX(N1026,N1025)&gt;0,N1026&gt;N1025+0.00000001),1,0)</x:f>
        <x:v>0</x:v>
      </x:c>
      <x:c r="U1026" t="n">
        <x:f>IF(AND(MAX(O1026,O1025)&gt;0,O1026&gt;O1025+0.00000001),1,0)</x:f>
        <x:v>0</x:v>
      </x:c>
    </x:row>
    <x:row r="1027">
      <x:c r="J1027" t="n">
        <x:f>IF(AND(ISNUMBER('Results'!B7),ISNUMBER('Results'!C7),ISNUMBER('Results'!$B$8),ISNUMBER('Inputs'!$B$6),ISNUMBER('Inputs'!$B$7),ISNUMBER('Inputs'!$B$8),ISNUMBER('Inputs'!$B$9),ISNUMBER('Inputs'!$B$10),ISNUMBER('Inputs'!$B$21),ISNUMBER('Inputs'!$B$24),ISNUMBER('Inputs'!$B$28)),(('Results'!B7*(0.5*((((1027-43)*MAX('Inputs'!$B$33,'Inputs'!$B$29+'Inputs'!$B$31+'Inputs'!$B$32,'Inputs'!$B$30+'Inputs'!$B$31+'Inputs'!$B$32)/1000+'Inputs'!$B$21)+'Inputs'!$B$7)/SQRT((((1027-43)*MAX('Inputs'!$B$33,'Inputs'!$B$29+'Inputs'!$B$31+'Inputs'!$B$32,'Inputs'!$B$30+'Inputs'!$B$31+'Inputs'!$B$32)/1000+'Inputs'!$B$21)+'Inputs'!$B$7)^2+('Inputs'!$B$6/2)^2)-(((1027-43)*MAX('Inputs'!$B$33,'Inputs'!$B$29+'Inputs'!$B$31+'Inputs'!$B$32,'Inputs'!$B$30+'Inputs'!$B$31+'Inputs'!$B$32)/1000+'Inputs'!$B$21))/SQRT((((1027-43)*MAX('Inputs'!$B$33,'Inputs'!$B$29+'Inputs'!$B$31+'Inputs'!$B$32,'Inputs'!$B$30+'Inputs'!$B$31+'Inputs'!$B$32)/1000+'Inputs'!$B$21))^2+('Inputs'!$B$6/2)^2)))-'Results'!C7*(0.5*((((1027-43)*MAX('Inputs'!$B$33,'Inputs'!$B$29+'Inputs'!$B$31+'Inputs'!$B$32,'Inputs'!$B$30+'Inputs'!$B$31+'Inputs'!$B$32)/1000+'Inputs'!$B$21+'Inputs'!$B$7+'Inputs'!$B$10)+'Inputs'!$B$9)/SQRT((((1027-43)*MAX('Inputs'!$B$33,'Inputs'!$B$29+'Inputs'!$B$31+'Inputs'!$B$32,'Inputs'!$B$30+'Inputs'!$B$31+'Inputs'!$B$32)/1000+'Inputs'!$B$21+'Inputs'!$B$7+'Inputs'!$B$10)+'Inputs'!$B$9)^2+('Inputs'!$B$8/2)^2)-(((1027-43)*MAX('Inputs'!$B$33,'Inputs'!$B$29+'Inputs'!$B$31+'Inputs'!$B$32,'Inputs'!$B$30+'Inputs'!$B$31+'Inputs'!$B$32)/1000+'Inputs'!$B$21+'Inputs'!$B$7+'Inputs'!$B$10))/SQRT((((1027-43)*MAX('Inputs'!$B$33,'Inputs'!$B$29+'Inputs'!$B$31+'Inputs'!$B$32,'Inputs'!$B$30+'Inputs'!$B$31+'Inputs'!$B$32)/1000+'Inputs'!$B$21+'Inputs'!$B$7+'Inputs'!$B$10))^2+('Inputs'!$B$8/2)^2))))*'Results'!$B$8),"")</x:f>
        <x:v>0.3787740883846678</x:v>
      </x:c>
      <x:c r="K1027" t="n">
        <x:f>IF(AND(ISNUMBER('Results'!B7),ISNUMBER('Results'!C7),ISNUMBER('Results'!$B$8),ISNUMBER('Inputs'!$B$6),ISNUMBER('Inputs'!$B$7),ISNUMBER('Inputs'!$B$8),ISNUMBER('Inputs'!$B$9),ISNUMBER('Inputs'!$B$10),ISNUMBER('Inputs'!$B$21),ISNUMBER('Inputs'!$B$24),ISNUMBER('Inputs'!$B$28)),((('Results'!B7*(1-'Inputs'!$B$24)*(0.5*((((1027-43)*MAX('Inputs'!$B$33,'Inputs'!$B$29+'Inputs'!$B$31+'Inputs'!$B$32,'Inputs'!$B$30+'Inputs'!$B$31+'Inputs'!$B$32)/1000+'Inputs'!$B$21)+'Inputs'!$B$7)/SQRT((((1027-43)*MAX('Inputs'!$B$33,'Inputs'!$B$29+'Inputs'!$B$31+'Inputs'!$B$32,'Inputs'!$B$30+'Inputs'!$B$31+'Inputs'!$B$32)/1000+'Inputs'!$B$21)+'Inputs'!$B$7)^2+('Inputs'!$B$6/2)^2)-(((1027-43)*MAX('Inputs'!$B$33,'Inputs'!$B$29+'Inputs'!$B$31+'Inputs'!$B$32,'Inputs'!$B$30+'Inputs'!$B$31+'Inputs'!$B$32)/1000+'Inputs'!$B$21))/SQRT((((1027-43)*MAX('Inputs'!$B$33,'Inputs'!$B$29+'Inputs'!$B$31+'Inputs'!$B$32,'Inputs'!$B$30+'Inputs'!$B$31+'Inputs'!$B$32)/1000+'Inputs'!$B$21))^2+('Inputs'!$B$6/2)^2)))-'Results'!C7*(1+'Inputs'!$B$24)*(0.5*((((1027-43)*MAX('Inputs'!$B$33,'Inputs'!$B$29+'Inputs'!$B$31+'Inputs'!$B$32,'Inputs'!$B$30+'Inputs'!$B$31+'Inputs'!$B$32)/1000+'Inputs'!$B$21+'Inputs'!$B$7+'Inputs'!$B$10)+'Inputs'!$B$9)/SQRT((((1027-43)*MAX('Inputs'!$B$33,'Inputs'!$B$29+'Inputs'!$B$31+'Inputs'!$B$32,'Inputs'!$B$30+'Inputs'!$B$31+'Inputs'!$B$32)/1000+'Inputs'!$B$21+'Inputs'!$B$7+'Inputs'!$B$10)+'Inputs'!$B$9)^2+('Inputs'!$B$8/2)^2)-(((1027-43)*MAX('Inputs'!$B$33,'Inputs'!$B$29+'Inputs'!$B$31+'Inputs'!$B$32,'Inputs'!$B$30+'Inputs'!$B$31+'Inputs'!$B$32)/1000+'Inputs'!$B$21+'Inputs'!$B$7+'Inputs'!$B$10))/SQRT((((1027-43)*MAX('Inputs'!$B$33,'Inputs'!$B$29+'Inputs'!$B$31+'Inputs'!$B$32,'Inputs'!$B$30+'Inputs'!$B$31+'Inputs'!$B$32)/1000+'Inputs'!$B$21+'Inputs'!$B$7+'Inputs'!$B$10))^2+('Inputs'!$B$8/2)^2))))*'Results'!$B$8)-'Inputs'!$B$28*ABS((('Results'!B7*(1-'Inputs'!$B$24)*(0.5*((((1027-43)*MAX('Inputs'!$B$33,'Inputs'!$B$29+'Inputs'!$B$31+'Inputs'!$B$32,'Inputs'!$B$30+'Inputs'!$B$31+'Inputs'!$B$32)/1000+'Inputs'!$B$21)+'Inputs'!$B$7)/SQRT((((1027-43)*MAX('Inputs'!$B$33,'Inputs'!$B$29+'Inputs'!$B$31+'Inputs'!$B$32,'Inputs'!$B$30+'Inputs'!$B$31+'Inputs'!$B$32)/1000+'Inputs'!$B$21)+'Inputs'!$B$7)^2+('Inputs'!$B$6/2)^2)-(((1027-43)*MAX('Inputs'!$B$33,'Inputs'!$B$29+'Inputs'!$B$31+'Inputs'!$B$32,'Inputs'!$B$30+'Inputs'!$B$31+'Inputs'!$B$32)/1000+'Inputs'!$B$21))/SQRT((((1027-43)*MAX('Inputs'!$B$33,'Inputs'!$B$29+'Inputs'!$B$31+'Inputs'!$B$32,'Inputs'!$B$30+'Inputs'!$B$31+'Inputs'!$B$32)/1000+'Inputs'!$B$21))^2+('Inputs'!$B$6/2)^2)))-'Results'!C7*(1+'Inputs'!$B$24)*(0.5*((((1027-43)*MAX('Inputs'!$B$33,'Inputs'!$B$29+'Inputs'!$B$31+'Inputs'!$B$32,'Inputs'!$B$30+'Inputs'!$B$31+'Inputs'!$B$32)/1000+'Inputs'!$B$21+'Inputs'!$B$7+'Inputs'!$B$10)+'Inputs'!$B$9)/SQRT((((1027-43)*MAX('Inputs'!$B$33,'Inputs'!$B$29+'Inputs'!$B$31+'Inputs'!$B$32,'Inputs'!$B$30+'Inputs'!$B$31+'Inputs'!$B$32)/1000+'Inputs'!$B$21+'Inputs'!$B$7+'Inputs'!$B$10)+'Inputs'!$B$9)^2+('Inputs'!$B$8/2)^2)-(((1027-43)*MAX('Inputs'!$B$33,'Inputs'!$B$29+'Inputs'!$B$31+'Inputs'!$B$32,'Inputs'!$B$30+'Inputs'!$B$31+'Inputs'!$B$32)/1000+'Inputs'!$B$21+'Inputs'!$B$7+'Inputs'!$B$10))/SQRT((((1027-43)*MAX('Inputs'!$B$33,'Inputs'!$B$29+'Inputs'!$B$31+'Inputs'!$B$32,'Inputs'!$B$30+'Inputs'!$B$31+'Inputs'!$B$32)/1000+'Inputs'!$B$21+'Inputs'!$B$7+'Inputs'!$B$10))^2+('Inputs'!$B$8/2)^2))))*'Results'!$B$8))),"")</x:f>
        <x:v>0.31747077002553037</x:v>
      </x:c>
      <x:c r="L1027" t="n">
        <x:f>IF(AND(ISNUMBER('Results'!B7),ISNUMBER('Results'!C7),ISNUMBER('Results'!$B$8),ISNUMBER('Inputs'!$B$6),ISNUMBER('Inputs'!$B$7),ISNUMBER('Inputs'!$B$8),ISNUMBER('Inputs'!$B$9),ISNUMBER('Inputs'!$B$10),ISNUMBER('Inputs'!$B$21),ISNUMBER('Inputs'!$B$24),ISNUMBER('Inputs'!$B$28)),((('Results'!B7*(1+'Inputs'!$B$24)*(0.5*((((1027-43)*MAX('Inputs'!$B$33,'Inputs'!$B$29+'Inputs'!$B$31+'Inputs'!$B$32,'Inputs'!$B$30+'Inputs'!$B$31+'Inputs'!$B$32)/1000+'Inputs'!$B$21)+'Inputs'!$B$7)/SQRT((((1027-43)*MAX('Inputs'!$B$33,'Inputs'!$B$29+'Inputs'!$B$31+'Inputs'!$B$32,'Inputs'!$B$30+'Inputs'!$B$31+'Inputs'!$B$32)/1000+'Inputs'!$B$21)+'Inputs'!$B$7)^2+('Inputs'!$B$6/2)^2)-(((1027-43)*MAX('Inputs'!$B$33,'Inputs'!$B$29+'Inputs'!$B$31+'Inputs'!$B$32,'Inputs'!$B$30+'Inputs'!$B$31+'Inputs'!$B$32)/1000+'Inputs'!$B$21))/SQRT((((1027-43)*MAX('Inputs'!$B$33,'Inputs'!$B$29+'Inputs'!$B$31+'Inputs'!$B$32,'Inputs'!$B$30+'Inputs'!$B$31+'Inputs'!$B$32)/1000+'Inputs'!$B$21))^2+('Inputs'!$B$6/2)^2)))-'Results'!C7*(1-'Inputs'!$B$24)*(0.5*((((1027-43)*MAX('Inputs'!$B$33,'Inputs'!$B$29+'Inputs'!$B$31+'Inputs'!$B$32,'Inputs'!$B$30+'Inputs'!$B$31+'Inputs'!$B$32)/1000+'Inputs'!$B$21+'Inputs'!$B$7+'Inputs'!$B$10)+'Inputs'!$B$9)/SQRT((((1027-43)*MAX('Inputs'!$B$33,'Inputs'!$B$29+'Inputs'!$B$31+'Inputs'!$B$32,'Inputs'!$B$30+'Inputs'!$B$31+'Inputs'!$B$32)/1000+'Inputs'!$B$21+'Inputs'!$B$7+'Inputs'!$B$10)+'Inputs'!$B$9)^2+('Inputs'!$B$8/2)^2)-(((1027-43)*MAX('Inputs'!$B$33,'Inputs'!$B$29+'Inputs'!$B$31+'Inputs'!$B$32,'Inputs'!$B$30+'Inputs'!$B$31+'Inputs'!$B$32)/1000+'Inputs'!$B$21+'Inputs'!$B$7+'Inputs'!$B$10))/SQRT((((1027-43)*MAX('Inputs'!$B$33,'Inputs'!$B$29+'Inputs'!$B$31+'Inputs'!$B$32,'Inputs'!$B$30+'Inputs'!$B$31+'Inputs'!$B$32)/1000+'Inputs'!$B$21+'Inputs'!$B$7+'Inputs'!$B$10))^2+('Inputs'!$B$8/2)^2))))*'Results'!$B$8)+'Inputs'!$B$28*ABS((('Results'!B7*(1+'Inputs'!$B$24)*(0.5*((((1027-43)*MAX('Inputs'!$B$33,'Inputs'!$B$29+'Inputs'!$B$31+'Inputs'!$B$32,'Inputs'!$B$30+'Inputs'!$B$31+'Inputs'!$B$32)/1000+'Inputs'!$B$21)+'Inputs'!$B$7)/SQRT((((1027-43)*MAX('Inputs'!$B$33,'Inputs'!$B$29+'Inputs'!$B$31+'Inputs'!$B$32,'Inputs'!$B$30+'Inputs'!$B$31+'Inputs'!$B$32)/1000+'Inputs'!$B$21)+'Inputs'!$B$7)^2+('Inputs'!$B$6/2)^2)-(((1027-43)*MAX('Inputs'!$B$33,'Inputs'!$B$29+'Inputs'!$B$31+'Inputs'!$B$32,'Inputs'!$B$30+'Inputs'!$B$31+'Inputs'!$B$32)/1000+'Inputs'!$B$21))/SQRT((((1027-43)*MAX('Inputs'!$B$33,'Inputs'!$B$29+'Inputs'!$B$31+'Inputs'!$B$32,'Inputs'!$B$30+'Inputs'!$B$31+'Inputs'!$B$32)/1000+'Inputs'!$B$21))^2+('Inputs'!$B$6/2)^2)))-'Results'!C7*(1-'Inputs'!$B$24)*(0.5*((((1027-43)*MAX('Inputs'!$B$33,'Inputs'!$B$29+'Inputs'!$B$31+'Inputs'!$B$32,'Inputs'!$B$30+'Inputs'!$B$31+'Inputs'!$B$32)/1000+'Inputs'!$B$21+'Inputs'!$B$7+'Inputs'!$B$10)+'Inputs'!$B$9)/SQRT((((1027-43)*MAX('Inputs'!$B$33,'Inputs'!$B$29+'Inputs'!$B$31+'Inputs'!$B$32,'Inputs'!$B$30+'Inputs'!$B$31+'Inputs'!$B$32)/1000+'Inputs'!$B$21+'Inputs'!$B$7+'Inputs'!$B$10)+'Inputs'!$B$9)^2+('Inputs'!$B$8/2)^2)-(((1027-43)*MAX('Inputs'!$B$33,'Inputs'!$B$29+'Inputs'!$B$31+'Inputs'!$B$32,'Inputs'!$B$30+'Inputs'!$B$31+'Inputs'!$B$32)/1000+'Inputs'!$B$21+'Inputs'!$B$7+'Inputs'!$B$10))/SQRT((((1027-43)*MAX('Inputs'!$B$33,'Inputs'!$B$29+'Inputs'!$B$31+'Inputs'!$B$32,'Inputs'!$B$30+'Inputs'!$B$31+'Inputs'!$B$32)/1000+'Inputs'!$B$21+'Inputs'!$B$7+'Inputs'!$B$10))^2+('Inputs'!$B$8/2)^2))))*'Results'!$B$8))),"")</x:f>
        <x:v>0.44453683979011077</x:v>
      </x:c>
      <x:c r="M1027" t="n">
        <x:f>IF(AND(ISNUMBER('Results'!C7),ISNUMBER('Results'!B7),ISNUMBER('Results'!$B$8),ISNUMBER('Inputs'!$B$6),ISNUMBER('Inputs'!$B$7),ISNUMBER('Inputs'!$B$8),ISNUMBER('Inputs'!$B$9),ISNUMBER('Inputs'!$B$10),ISNUMBER('Inputs'!$B$21),ISNUMBER('Inputs'!$B$24),ISNUMBER('Inputs'!$B$28)),(('Results'!C7*(0.5*((((1027-43)*MAX('Inputs'!$B$33,'Inputs'!$B$29+'Inputs'!$B$31+'Inputs'!$B$32,'Inputs'!$B$30+'Inputs'!$B$31+'Inputs'!$B$32)/1000+'Inputs'!$B$21)+'Inputs'!$B$9)/SQRT((((1027-43)*MAX('Inputs'!$B$33,'Inputs'!$B$29+'Inputs'!$B$31+'Inputs'!$B$32,'Inputs'!$B$30+'Inputs'!$B$31+'Inputs'!$B$32)/1000+'Inputs'!$B$21)+'Inputs'!$B$9)^2+('Inputs'!$B$8/2)^2)-(((1027-43)*MAX('Inputs'!$B$33,'Inputs'!$B$29+'Inputs'!$B$31+'Inputs'!$B$32,'Inputs'!$B$30+'Inputs'!$B$31+'Inputs'!$B$32)/1000+'Inputs'!$B$21))/SQRT((((1027-43)*MAX('Inputs'!$B$33,'Inputs'!$B$29+'Inputs'!$B$31+'Inputs'!$B$32,'Inputs'!$B$30+'Inputs'!$B$31+'Inputs'!$B$32)/1000+'Inputs'!$B$21))^2+('Inputs'!$B$8/2)^2)))-'Results'!B7*(0.5*((((1027-43)*MAX('Inputs'!$B$33,'Inputs'!$B$29+'Inputs'!$B$31+'Inputs'!$B$32,'Inputs'!$B$30+'Inputs'!$B$31+'Inputs'!$B$32)/1000+'Inputs'!$B$21+'Inputs'!$B$9+'Inputs'!$B$10)+'Inputs'!$B$7)/SQRT((((1027-43)*MAX('Inputs'!$B$33,'Inputs'!$B$29+'Inputs'!$B$31+'Inputs'!$B$32,'Inputs'!$B$30+'Inputs'!$B$31+'Inputs'!$B$32)/1000+'Inputs'!$B$21+'Inputs'!$B$9+'Inputs'!$B$10)+'Inputs'!$B$7)^2+('Inputs'!$B$6/2)^2)-(((1027-43)*MAX('Inputs'!$B$33,'Inputs'!$B$29+'Inputs'!$B$31+'Inputs'!$B$32,'Inputs'!$B$30+'Inputs'!$B$31+'Inputs'!$B$32)/1000+'Inputs'!$B$21+'Inputs'!$B$9+'Inputs'!$B$10))/SQRT((((1027-43)*MAX('Inputs'!$B$33,'Inputs'!$B$29+'Inputs'!$B$31+'Inputs'!$B$32,'Inputs'!$B$30+'Inputs'!$B$31+'Inputs'!$B$32)/1000+'Inputs'!$B$21+'Inputs'!$B$9+'Inputs'!$B$10))^2+('Inputs'!$B$6/2)^2))))*'Results'!$B$8),"")</x:f>
        <x:v>0.3338020145675767</x:v>
      </x:c>
      <x:c r="N1027" t="n">
        <x:f>IF(AND(ISNUMBER('Results'!C7),ISNUMBER('Results'!B7),ISNUMBER('Results'!$B$8),ISNUMBER('Inputs'!$B$6),ISNUMBER('Inputs'!$B$7),ISNUMBER('Inputs'!$B$8),ISNUMBER('Inputs'!$B$9),ISNUMBER('Inputs'!$B$10),ISNUMBER('Inputs'!$B$21),ISNUMBER('Inputs'!$B$24),ISNUMBER('Inputs'!$B$28)),((('Results'!C7*(1-'Inputs'!$B$24)*(0.5*((((1027-43)*MAX('Inputs'!$B$33,'Inputs'!$B$29+'Inputs'!$B$31+'Inputs'!$B$32,'Inputs'!$B$30+'Inputs'!$B$31+'Inputs'!$B$32)/1000+'Inputs'!$B$21)+'Inputs'!$B$9)/SQRT((((1027-43)*MAX('Inputs'!$B$33,'Inputs'!$B$29+'Inputs'!$B$31+'Inputs'!$B$32,'Inputs'!$B$30+'Inputs'!$B$31+'Inputs'!$B$32)/1000+'Inputs'!$B$21)+'Inputs'!$B$9)^2+('Inputs'!$B$8/2)^2)-(((1027-43)*MAX('Inputs'!$B$33,'Inputs'!$B$29+'Inputs'!$B$31+'Inputs'!$B$32,'Inputs'!$B$30+'Inputs'!$B$31+'Inputs'!$B$32)/1000+'Inputs'!$B$21))/SQRT((((1027-43)*MAX('Inputs'!$B$33,'Inputs'!$B$29+'Inputs'!$B$31+'Inputs'!$B$32,'Inputs'!$B$30+'Inputs'!$B$31+'Inputs'!$B$32)/1000+'Inputs'!$B$21))^2+('Inputs'!$B$8/2)^2)))-'Results'!B7*(1+'Inputs'!$B$24)*(0.5*((((1027-43)*MAX('Inputs'!$B$33,'Inputs'!$B$29+'Inputs'!$B$31+'Inputs'!$B$32,'Inputs'!$B$30+'Inputs'!$B$31+'Inputs'!$B$32)/1000+'Inputs'!$B$21+'Inputs'!$B$9+'Inputs'!$B$10)+'Inputs'!$B$7)/SQRT((((1027-43)*MAX('Inputs'!$B$33,'Inputs'!$B$29+'Inputs'!$B$31+'Inputs'!$B$32,'Inputs'!$B$30+'Inputs'!$B$31+'Inputs'!$B$32)/1000+'Inputs'!$B$21+'Inputs'!$B$9+'Inputs'!$B$10)+'Inputs'!$B$7)^2+('Inputs'!$B$6/2)^2)-(((1027-43)*MAX('Inputs'!$B$33,'Inputs'!$B$29+'Inputs'!$B$31+'Inputs'!$B$32,'Inputs'!$B$30+'Inputs'!$B$31+'Inputs'!$B$32)/1000+'Inputs'!$B$21+'Inputs'!$B$9+'Inputs'!$B$10))/SQRT((((1027-43)*MAX('Inputs'!$B$33,'Inputs'!$B$29+'Inputs'!$B$31+'Inputs'!$B$32,'Inputs'!$B$30+'Inputs'!$B$31+'Inputs'!$B$32)/1000+'Inputs'!$B$21+'Inputs'!$B$9+'Inputs'!$B$10))^2+('Inputs'!$B$6/2)^2))))*'Results'!$B$8)-'Inputs'!$B$28*ABS((('Results'!C7*(1-'Inputs'!$B$24)*(0.5*((((1027-43)*MAX('Inputs'!$B$33,'Inputs'!$B$29+'Inputs'!$B$31+'Inputs'!$B$32,'Inputs'!$B$30+'Inputs'!$B$31+'Inputs'!$B$32)/1000+'Inputs'!$B$21)+'Inputs'!$B$9)/SQRT((((1027-43)*MAX('Inputs'!$B$33,'Inputs'!$B$29+'Inputs'!$B$31+'Inputs'!$B$32,'Inputs'!$B$30+'Inputs'!$B$31+'Inputs'!$B$32)/1000+'Inputs'!$B$21)+'Inputs'!$B$9)^2+('Inputs'!$B$8/2)^2)-(((1027-43)*MAX('Inputs'!$B$33,'Inputs'!$B$29+'Inputs'!$B$31+'Inputs'!$B$32,'Inputs'!$B$30+'Inputs'!$B$31+'Inputs'!$B$32)/1000+'Inputs'!$B$21))/SQRT((((1027-43)*MAX('Inputs'!$B$33,'Inputs'!$B$29+'Inputs'!$B$31+'Inputs'!$B$32,'Inputs'!$B$30+'Inputs'!$B$31+'Inputs'!$B$32)/1000+'Inputs'!$B$21))^2+('Inputs'!$B$8/2)^2)))-'Results'!B7*(1+'Inputs'!$B$24)*(0.5*((((1027-43)*MAX('Inputs'!$B$33,'Inputs'!$B$29+'Inputs'!$B$31+'Inputs'!$B$32,'Inputs'!$B$30+'Inputs'!$B$31+'Inputs'!$B$32)/1000+'Inputs'!$B$21+'Inputs'!$B$9+'Inputs'!$B$10)+'Inputs'!$B$7)/SQRT((((1027-43)*MAX('Inputs'!$B$33,'Inputs'!$B$29+'Inputs'!$B$31+'Inputs'!$B$32,'Inputs'!$B$30+'Inputs'!$B$31+'Inputs'!$B$32)/1000+'Inputs'!$B$21+'Inputs'!$B$9+'Inputs'!$B$10)+'Inputs'!$B$7)^2+('Inputs'!$B$6/2)^2)-(((1027-43)*MAX('Inputs'!$B$33,'Inputs'!$B$29+'Inputs'!$B$31+'Inputs'!$B$32,'Inputs'!$B$30+'Inputs'!$B$31+'Inputs'!$B$32)/1000+'Inputs'!$B$21+'Inputs'!$B$9+'Inputs'!$B$10))/SQRT((((1027-43)*MAX('Inputs'!$B$33,'Inputs'!$B$29+'Inputs'!$B$31+'Inputs'!$B$32,'Inputs'!$B$30+'Inputs'!$B$31+'Inputs'!$B$32)/1000+'Inputs'!$B$21+'Inputs'!$B$9+'Inputs'!$B$10))^2+('Inputs'!$B$6/2)^2))))*'Results'!$B$8))),"")</x:f>
        <x:v>0.2748840569291532</x:v>
      </x:c>
      <x:c r="O1027" t="n">
        <x:f>IF(AND(ISNUMBER('Results'!C7),ISNUMBER('Results'!B7),ISNUMBER('Results'!$B$8),ISNUMBER('Inputs'!$B$6),ISNUMBER('Inputs'!$B$7),ISNUMBER('Inputs'!$B$8),ISNUMBER('Inputs'!$B$9),ISNUMBER('Inputs'!$B$10),ISNUMBER('Inputs'!$B$21),ISNUMBER('Inputs'!$B$24),ISNUMBER('Inputs'!$B$28)),((('Results'!C7*(1+'Inputs'!$B$24)*(0.5*((((1027-43)*MAX('Inputs'!$B$33,'Inputs'!$B$29+'Inputs'!$B$31+'Inputs'!$B$32,'Inputs'!$B$30+'Inputs'!$B$31+'Inputs'!$B$32)/1000+'Inputs'!$B$21)+'Inputs'!$B$9)/SQRT((((1027-43)*MAX('Inputs'!$B$33,'Inputs'!$B$29+'Inputs'!$B$31+'Inputs'!$B$32,'Inputs'!$B$30+'Inputs'!$B$31+'Inputs'!$B$32)/1000+'Inputs'!$B$21)+'Inputs'!$B$9)^2+('Inputs'!$B$8/2)^2)-(((1027-43)*MAX('Inputs'!$B$33,'Inputs'!$B$29+'Inputs'!$B$31+'Inputs'!$B$32,'Inputs'!$B$30+'Inputs'!$B$31+'Inputs'!$B$32)/1000+'Inputs'!$B$21))/SQRT((((1027-43)*MAX('Inputs'!$B$33,'Inputs'!$B$29+'Inputs'!$B$31+'Inputs'!$B$32,'Inputs'!$B$30+'Inputs'!$B$31+'Inputs'!$B$32)/1000+'Inputs'!$B$21))^2+('Inputs'!$B$8/2)^2)))-'Results'!B7*(1-'Inputs'!$B$24)*(0.5*((((1027-43)*MAX('Inputs'!$B$33,'Inputs'!$B$29+'Inputs'!$B$31+'Inputs'!$B$32,'Inputs'!$B$30+'Inputs'!$B$31+'Inputs'!$B$32)/1000+'Inputs'!$B$21+'Inputs'!$B$9+'Inputs'!$B$10)+'Inputs'!$B$7)/SQRT((((1027-43)*MAX('Inputs'!$B$33,'Inputs'!$B$29+'Inputs'!$B$31+'Inputs'!$B$32,'Inputs'!$B$30+'Inputs'!$B$31+'Inputs'!$B$32)/1000+'Inputs'!$B$21+'Inputs'!$B$9+'Inputs'!$B$10)+'Inputs'!$B$7)^2+('Inputs'!$B$6/2)^2)-(((1027-43)*MAX('Inputs'!$B$33,'Inputs'!$B$29+'Inputs'!$B$31+'Inputs'!$B$32,'Inputs'!$B$30+'Inputs'!$B$31+'Inputs'!$B$32)/1000+'Inputs'!$B$21+'Inputs'!$B$9+'Inputs'!$B$10))/SQRT((((1027-43)*MAX('Inputs'!$B$33,'Inputs'!$B$29+'Inputs'!$B$31+'Inputs'!$B$32,'Inputs'!$B$30+'Inputs'!$B$31+'Inputs'!$B$32)/1000+'Inputs'!$B$21+'Inputs'!$B$9+'Inputs'!$B$10))^2+('Inputs'!$B$6/2)^2))))*'Results'!$B$8)+'Inputs'!$B$28*ABS((('Results'!C7*(1+'Inputs'!$B$24)*(0.5*((((1027-43)*MAX('Inputs'!$B$33,'Inputs'!$B$29+'Inputs'!$B$31+'Inputs'!$B$32,'Inputs'!$B$30+'Inputs'!$B$31+'Inputs'!$B$32)/1000+'Inputs'!$B$21)+'Inputs'!$B$9)/SQRT((((1027-43)*MAX('Inputs'!$B$33,'Inputs'!$B$29+'Inputs'!$B$31+'Inputs'!$B$32,'Inputs'!$B$30+'Inputs'!$B$31+'Inputs'!$B$32)/1000+'Inputs'!$B$21)+'Inputs'!$B$9)^2+('Inputs'!$B$8/2)^2)-(((1027-43)*MAX('Inputs'!$B$33,'Inputs'!$B$29+'Inputs'!$B$31+'Inputs'!$B$32,'Inputs'!$B$30+'Inputs'!$B$31+'Inputs'!$B$32)/1000+'Inputs'!$B$21))/SQRT((((1027-43)*MAX('Inputs'!$B$33,'Inputs'!$B$29+'Inputs'!$B$31+'Inputs'!$B$32,'Inputs'!$B$30+'Inputs'!$B$31+'Inputs'!$B$32)/1000+'Inputs'!$B$21))^2+('Inputs'!$B$8/2)^2)))-'Results'!B7*(1-'Inputs'!$B$24)*(0.5*((((1027-43)*MAX('Inputs'!$B$33,'Inputs'!$B$29+'Inputs'!$B$31+'Inputs'!$B$32,'Inputs'!$B$30+'Inputs'!$B$31+'Inputs'!$B$32)/1000+'Inputs'!$B$21+'Inputs'!$B$9+'Inputs'!$B$10)+'Inputs'!$B$7)/SQRT((((1027-43)*MAX('Inputs'!$B$33,'Inputs'!$B$29+'Inputs'!$B$31+'Inputs'!$B$32,'Inputs'!$B$30+'Inputs'!$B$31+'Inputs'!$B$32)/1000+'Inputs'!$B$21+'Inputs'!$B$9+'Inputs'!$B$10)+'Inputs'!$B$7)^2+('Inputs'!$B$6/2)^2)-(((1027-43)*MAX('Inputs'!$B$33,'Inputs'!$B$29+'Inputs'!$B$31+'Inputs'!$B$32,'Inputs'!$B$30+'Inputs'!$B$31+'Inputs'!$B$32)/1000+'Inputs'!$B$21+'Inputs'!$B$9+'Inputs'!$B$10))/SQRT((((1027-43)*MAX('Inputs'!$B$33,'Inputs'!$B$29+'Inputs'!$B$31+'Inputs'!$B$32,'Inputs'!$B$30+'Inputs'!$B$31+'Inputs'!$B$32)/1000+'Inputs'!$B$21+'Inputs'!$B$9+'Inputs'!$B$10))^2+('Inputs'!$B$6/2)^2))))*'Results'!$B$8))),"")</x:f>
        <x:v>0.3971650097754784</x:v>
      </x:c>
      <x:c r="P1027" t="n">
        <x:f>IF(AND(MAX(J1027,J1026)&gt;0,J1027&gt;J1026+0.00000001),1,0)</x:f>
        <x:v>0</x:v>
      </x:c>
      <x:c r="Q1027" t="n">
        <x:f>IF(AND(MAX(K1027,K1026)&gt;0,K1027&gt;K1026+0.00000001),1,0)</x:f>
        <x:v>0</x:v>
      </x:c>
      <x:c r="R1027" t="n">
        <x:f>IF(AND(MAX(L1027,L1026)&gt;0,L1027&gt;L1026+0.00000001),1,0)</x:f>
        <x:v>0</x:v>
      </x:c>
      <x:c r="S1027" t="n">
        <x:f>IF(AND(MAX(M1027,M1026)&gt;0,M1027&gt;M1026+0.00000001),1,0)</x:f>
        <x:v>0</x:v>
      </x:c>
      <x:c r="T1027" t="n">
        <x:f>IF(AND(MAX(N1027,N1026)&gt;0,N1027&gt;N1026+0.00000001),1,0)</x:f>
        <x:v>0</x:v>
      </x:c>
      <x:c r="U1027" t="n">
        <x:f>IF(AND(MAX(O1027,O1026)&gt;0,O1027&gt;O1026+0.00000001),1,0)</x:f>
        <x:v>0</x:v>
      </x:c>
    </x:row>
    <x:row r="1028">
      <x:c r="J1028" t="n">
        <x:f>IF(AND(ISNUMBER('Results'!B7),ISNUMBER('Results'!C7),ISNUMBER('Results'!$B$8),ISNUMBER('Inputs'!$B$6),ISNUMBER('Inputs'!$B$7),ISNUMBER('Inputs'!$B$8),ISNUMBER('Inputs'!$B$9),ISNUMBER('Inputs'!$B$10),ISNUMBER('Inputs'!$B$21),ISNUMBER('Inputs'!$B$24),ISNUMBER('Inputs'!$B$28)),(('Results'!B7*(0.5*((((1028-43)*MAX('Inputs'!$B$33,'Inputs'!$B$29+'Inputs'!$B$31+'Inputs'!$B$32,'Inputs'!$B$30+'Inputs'!$B$31+'Inputs'!$B$32)/1000+'Inputs'!$B$21)+'Inputs'!$B$7)/SQRT((((1028-43)*MAX('Inputs'!$B$33,'Inputs'!$B$29+'Inputs'!$B$31+'Inputs'!$B$32,'Inputs'!$B$30+'Inputs'!$B$31+'Inputs'!$B$32)/1000+'Inputs'!$B$21)+'Inputs'!$B$7)^2+('Inputs'!$B$6/2)^2)-(((1028-43)*MAX('Inputs'!$B$33,'Inputs'!$B$29+'Inputs'!$B$31+'Inputs'!$B$32,'Inputs'!$B$30+'Inputs'!$B$31+'Inputs'!$B$32)/1000+'Inputs'!$B$21))/SQRT((((1028-43)*MAX('Inputs'!$B$33,'Inputs'!$B$29+'Inputs'!$B$31+'Inputs'!$B$32,'Inputs'!$B$30+'Inputs'!$B$31+'Inputs'!$B$32)/1000+'Inputs'!$B$21))^2+('Inputs'!$B$6/2)^2)))-'Results'!C7*(0.5*((((1028-43)*MAX('Inputs'!$B$33,'Inputs'!$B$29+'Inputs'!$B$31+'Inputs'!$B$32,'Inputs'!$B$30+'Inputs'!$B$31+'Inputs'!$B$32)/1000+'Inputs'!$B$21+'Inputs'!$B$7+'Inputs'!$B$10)+'Inputs'!$B$9)/SQRT((((1028-43)*MAX('Inputs'!$B$33,'Inputs'!$B$29+'Inputs'!$B$31+'Inputs'!$B$32,'Inputs'!$B$30+'Inputs'!$B$31+'Inputs'!$B$32)/1000+'Inputs'!$B$21+'Inputs'!$B$7+'Inputs'!$B$10)+'Inputs'!$B$9)^2+('Inputs'!$B$8/2)^2)-(((1028-43)*MAX('Inputs'!$B$33,'Inputs'!$B$29+'Inputs'!$B$31+'Inputs'!$B$32,'Inputs'!$B$30+'Inputs'!$B$31+'Inputs'!$B$32)/1000+'Inputs'!$B$21+'Inputs'!$B$7+'Inputs'!$B$10))/SQRT((((1028-43)*MAX('Inputs'!$B$33,'Inputs'!$B$29+'Inputs'!$B$31+'Inputs'!$B$32,'Inputs'!$B$30+'Inputs'!$B$31+'Inputs'!$B$32)/1000+'Inputs'!$B$21+'Inputs'!$B$7+'Inputs'!$B$10))^2+('Inputs'!$B$8/2)^2))))*'Results'!$B$8),"")</x:f>
        <x:v>0.3773726223464806</x:v>
      </x:c>
      <x:c r="K1028" t="n">
        <x:f>IF(AND(ISNUMBER('Results'!B7),ISNUMBER('Results'!C7),ISNUMBER('Results'!$B$8),ISNUMBER('Inputs'!$B$6),ISNUMBER('Inputs'!$B$7),ISNUMBER('Inputs'!$B$8),ISNUMBER('Inputs'!$B$9),ISNUMBER('Inputs'!$B$10),ISNUMBER('Inputs'!$B$21),ISNUMBER('Inputs'!$B$24),ISNUMBER('Inputs'!$B$28)),((('Results'!B7*(1-'Inputs'!$B$24)*(0.5*((((1028-43)*MAX('Inputs'!$B$33,'Inputs'!$B$29+'Inputs'!$B$31+'Inputs'!$B$32,'Inputs'!$B$30+'Inputs'!$B$31+'Inputs'!$B$32)/1000+'Inputs'!$B$21)+'Inputs'!$B$7)/SQRT((((1028-43)*MAX('Inputs'!$B$33,'Inputs'!$B$29+'Inputs'!$B$31+'Inputs'!$B$32,'Inputs'!$B$30+'Inputs'!$B$31+'Inputs'!$B$32)/1000+'Inputs'!$B$21)+'Inputs'!$B$7)^2+('Inputs'!$B$6/2)^2)-(((1028-43)*MAX('Inputs'!$B$33,'Inputs'!$B$29+'Inputs'!$B$31+'Inputs'!$B$32,'Inputs'!$B$30+'Inputs'!$B$31+'Inputs'!$B$32)/1000+'Inputs'!$B$21))/SQRT((((1028-43)*MAX('Inputs'!$B$33,'Inputs'!$B$29+'Inputs'!$B$31+'Inputs'!$B$32,'Inputs'!$B$30+'Inputs'!$B$31+'Inputs'!$B$32)/1000+'Inputs'!$B$21))^2+('Inputs'!$B$6/2)^2)))-'Results'!C7*(1+'Inputs'!$B$24)*(0.5*((((1028-43)*MAX('Inputs'!$B$33,'Inputs'!$B$29+'Inputs'!$B$31+'Inputs'!$B$32,'Inputs'!$B$30+'Inputs'!$B$31+'Inputs'!$B$32)/1000+'Inputs'!$B$21+'Inputs'!$B$7+'Inputs'!$B$10)+'Inputs'!$B$9)/SQRT((((1028-43)*MAX('Inputs'!$B$33,'Inputs'!$B$29+'Inputs'!$B$31+'Inputs'!$B$32,'Inputs'!$B$30+'Inputs'!$B$31+'Inputs'!$B$32)/1000+'Inputs'!$B$21+'Inputs'!$B$7+'Inputs'!$B$10)+'Inputs'!$B$9)^2+('Inputs'!$B$8/2)^2)-(((1028-43)*MAX('Inputs'!$B$33,'Inputs'!$B$29+'Inputs'!$B$31+'Inputs'!$B$32,'Inputs'!$B$30+'Inputs'!$B$31+'Inputs'!$B$32)/1000+'Inputs'!$B$21+'Inputs'!$B$7+'Inputs'!$B$10))/SQRT((((1028-43)*MAX('Inputs'!$B$33,'Inputs'!$B$29+'Inputs'!$B$31+'Inputs'!$B$32,'Inputs'!$B$30+'Inputs'!$B$31+'Inputs'!$B$32)/1000+'Inputs'!$B$21+'Inputs'!$B$7+'Inputs'!$B$10))^2+('Inputs'!$B$8/2)^2))))*'Results'!$B$8)-'Inputs'!$B$28*ABS((('Results'!B7*(1-'Inputs'!$B$24)*(0.5*((((1028-43)*MAX('Inputs'!$B$33,'Inputs'!$B$29+'Inputs'!$B$31+'Inputs'!$B$32,'Inputs'!$B$30+'Inputs'!$B$31+'Inputs'!$B$32)/1000+'Inputs'!$B$21)+'Inputs'!$B$7)/SQRT((((1028-43)*MAX('Inputs'!$B$33,'Inputs'!$B$29+'Inputs'!$B$31+'Inputs'!$B$32,'Inputs'!$B$30+'Inputs'!$B$31+'Inputs'!$B$32)/1000+'Inputs'!$B$21)+'Inputs'!$B$7)^2+('Inputs'!$B$6/2)^2)-(((1028-43)*MAX('Inputs'!$B$33,'Inputs'!$B$29+'Inputs'!$B$31+'Inputs'!$B$32,'Inputs'!$B$30+'Inputs'!$B$31+'Inputs'!$B$32)/1000+'Inputs'!$B$21))/SQRT((((1028-43)*MAX('Inputs'!$B$33,'Inputs'!$B$29+'Inputs'!$B$31+'Inputs'!$B$32,'Inputs'!$B$30+'Inputs'!$B$31+'Inputs'!$B$32)/1000+'Inputs'!$B$21))^2+('Inputs'!$B$6/2)^2)))-'Results'!C7*(1+'Inputs'!$B$24)*(0.5*((((1028-43)*MAX('Inputs'!$B$33,'Inputs'!$B$29+'Inputs'!$B$31+'Inputs'!$B$32,'Inputs'!$B$30+'Inputs'!$B$31+'Inputs'!$B$32)/1000+'Inputs'!$B$21+'Inputs'!$B$7+'Inputs'!$B$10)+'Inputs'!$B$9)/SQRT((((1028-43)*MAX('Inputs'!$B$33,'Inputs'!$B$29+'Inputs'!$B$31+'Inputs'!$B$32,'Inputs'!$B$30+'Inputs'!$B$31+'Inputs'!$B$32)/1000+'Inputs'!$B$21+'Inputs'!$B$7+'Inputs'!$B$10)+'Inputs'!$B$9)^2+('Inputs'!$B$8/2)^2)-(((1028-43)*MAX('Inputs'!$B$33,'Inputs'!$B$29+'Inputs'!$B$31+'Inputs'!$B$32,'Inputs'!$B$30+'Inputs'!$B$31+'Inputs'!$B$32)/1000+'Inputs'!$B$21+'Inputs'!$B$7+'Inputs'!$B$10))/SQRT((((1028-43)*MAX('Inputs'!$B$33,'Inputs'!$B$29+'Inputs'!$B$31+'Inputs'!$B$32,'Inputs'!$B$30+'Inputs'!$B$31+'Inputs'!$B$32)/1000+'Inputs'!$B$21+'Inputs'!$B$7+'Inputs'!$B$10))^2+('Inputs'!$B$8/2)^2))))*'Results'!$B$8))),"")</x:f>
        <x:v>0.3162597280109009</x:v>
      </x:c>
      <x:c r="L1028" t="n">
        <x:f>IF(AND(ISNUMBER('Results'!B7),ISNUMBER('Results'!C7),ISNUMBER('Results'!$B$8),ISNUMBER('Inputs'!$B$6),ISNUMBER('Inputs'!$B$7),ISNUMBER('Inputs'!$B$8),ISNUMBER('Inputs'!$B$9),ISNUMBER('Inputs'!$B$10),ISNUMBER('Inputs'!$B$21),ISNUMBER('Inputs'!$B$24),ISNUMBER('Inputs'!$B$28)),((('Results'!B7*(1+'Inputs'!$B$24)*(0.5*((((1028-43)*MAX('Inputs'!$B$33,'Inputs'!$B$29+'Inputs'!$B$31+'Inputs'!$B$32,'Inputs'!$B$30+'Inputs'!$B$31+'Inputs'!$B$32)/1000+'Inputs'!$B$21)+'Inputs'!$B$7)/SQRT((((1028-43)*MAX('Inputs'!$B$33,'Inputs'!$B$29+'Inputs'!$B$31+'Inputs'!$B$32,'Inputs'!$B$30+'Inputs'!$B$31+'Inputs'!$B$32)/1000+'Inputs'!$B$21)+'Inputs'!$B$7)^2+('Inputs'!$B$6/2)^2)-(((1028-43)*MAX('Inputs'!$B$33,'Inputs'!$B$29+'Inputs'!$B$31+'Inputs'!$B$32,'Inputs'!$B$30+'Inputs'!$B$31+'Inputs'!$B$32)/1000+'Inputs'!$B$21))/SQRT((((1028-43)*MAX('Inputs'!$B$33,'Inputs'!$B$29+'Inputs'!$B$31+'Inputs'!$B$32,'Inputs'!$B$30+'Inputs'!$B$31+'Inputs'!$B$32)/1000+'Inputs'!$B$21))^2+('Inputs'!$B$6/2)^2)))-'Results'!C7*(1-'Inputs'!$B$24)*(0.5*((((1028-43)*MAX('Inputs'!$B$33,'Inputs'!$B$29+'Inputs'!$B$31+'Inputs'!$B$32,'Inputs'!$B$30+'Inputs'!$B$31+'Inputs'!$B$32)/1000+'Inputs'!$B$21+'Inputs'!$B$7+'Inputs'!$B$10)+'Inputs'!$B$9)/SQRT((((1028-43)*MAX('Inputs'!$B$33,'Inputs'!$B$29+'Inputs'!$B$31+'Inputs'!$B$32,'Inputs'!$B$30+'Inputs'!$B$31+'Inputs'!$B$32)/1000+'Inputs'!$B$21+'Inputs'!$B$7+'Inputs'!$B$10)+'Inputs'!$B$9)^2+('Inputs'!$B$8/2)^2)-(((1028-43)*MAX('Inputs'!$B$33,'Inputs'!$B$29+'Inputs'!$B$31+'Inputs'!$B$32,'Inputs'!$B$30+'Inputs'!$B$31+'Inputs'!$B$32)/1000+'Inputs'!$B$21+'Inputs'!$B$7+'Inputs'!$B$10))/SQRT((((1028-43)*MAX('Inputs'!$B$33,'Inputs'!$B$29+'Inputs'!$B$31+'Inputs'!$B$32,'Inputs'!$B$30+'Inputs'!$B$31+'Inputs'!$B$32)/1000+'Inputs'!$B$21+'Inputs'!$B$7+'Inputs'!$B$10))^2+('Inputs'!$B$8/2)^2))))*'Results'!$B$8)+'Inputs'!$B$28*ABS((('Results'!B7*(1+'Inputs'!$B$24)*(0.5*((((1028-43)*MAX('Inputs'!$B$33,'Inputs'!$B$29+'Inputs'!$B$31+'Inputs'!$B$32,'Inputs'!$B$30+'Inputs'!$B$31+'Inputs'!$B$32)/1000+'Inputs'!$B$21)+'Inputs'!$B$7)/SQRT((((1028-43)*MAX('Inputs'!$B$33,'Inputs'!$B$29+'Inputs'!$B$31+'Inputs'!$B$32,'Inputs'!$B$30+'Inputs'!$B$31+'Inputs'!$B$32)/1000+'Inputs'!$B$21)+'Inputs'!$B$7)^2+('Inputs'!$B$6/2)^2)-(((1028-43)*MAX('Inputs'!$B$33,'Inputs'!$B$29+'Inputs'!$B$31+'Inputs'!$B$32,'Inputs'!$B$30+'Inputs'!$B$31+'Inputs'!$B$32)/1000+'Inputs'!$B$21))/SQRT((((1028-43)*MAX('Inputs'!$B$33,'Inputs'!$B$29+'Inputs'!$B$31+'Inputs'!$B$32,'Inputs'!$B$30+'Inputs'!$B$31+'Inputs'!$B$32)/1000+'Inputs'!$B$21))^2+('Inputs'!$B$6/2)^2)))-'Results'!C7*(1-'Inputs'!$B$24)*(0.5*((((1028-43)*MAX('Inputs'!$B$33,'Inputs'!$B$29+'Inputs'!$B$31+'Inputs'!$B$32,'Inputs'!$B$30+'Inputs'!$B$31+'Inputs'!$B$32)/1000+'Inputs'!$B$21+'Inputs'!$B$7+'Inputs'!$B$10)+'Inputs'!$B$9)/SQRT((((1028-43)*MAX('Inputs'!$B$33,'Inputs'!$B$29+'Inputs'!$B$31+'Inputs'!$B$32,'Inputs'!$B$30+'Inputs'!$B$31+'Inputs'!$B$32)/1000+'Inputs'!$B$21+'Inputs'!$B$7+'Inputs'!$B$10)+'Inputs'!$B$9)^2+('Inputs'!$B$8/2)^2)-(((1028-43)*MAX('Inputs'!$B$33,'Inputs'!$B$29+'Inputs'!$B$31+'Inputs'!$B$32,'Inputs'!$B$30+'Inputs'!$B$31+'Inputs'!$B$32)/1000+'Inputs'!$B$21+'Inputs'!$B$7+'Inputs'!$B$10))/SQRT((((1028-43)*MAX('Inputs'!$B$33,'Inputs'!$B$29+'Inputs'!$B$31+'Inputs'!$B$32,'Inputs'!$B$30+'Inputs'!$B$31+'Inputs'!$B$32)/1000+'Inputs'!$B$21+'Inputs'!$B$7+'Inputs'!$B$10))^2+('Inputs'!$B$8/2)^2))))*'Results'!$B$8))),"")</x:f>
        <x:v>0.44293228123135037</x:v>
      </x:c>
      <x:c r="M1028" t="n">
        <x:f>IF(AND(ISNUMBER('Results'!C7),ISNUMBER('Results'!B7),ISNUMBER('Results'!$B$8),ISNUMBER('Inputs'!$B$6),ISNUMBER('Inputs'!$B$7),ISNUMBER('Inputs'!$B$8),ISNUMBER('Inputs'!$B$9),ISNUMBER('Inputs'!$B$10),ISNUMBER('Inputs'!$B$21),ISNUMBER('Inputs'!$B$24),ISNUMBER('Inputs'!$B$28)),(('Results'!C7*(0.5*((((1028-43)*MAX('Inputs'!$B$33,'Inputs'!$B$29+'Inputs'!$B$31+'Inputs'!$B$32,'Inputs'!$B$30+'Inputs'!$B$31+'Inputs'!$B$32)/1000+'Inputs'!$B$21)+'Inputs'!$B$9)/SQRT((((1028-43)*MAX('Inputs'!$B$33,'Inputs'!$B$29+'Inputs'!$B$31+'Inputs'!$B$32,'Inputs'!$B$30+'Inputs'!$B$31+'Inputs'!$B$32)/1000+'Inputs'!$B$21)+'Inputs'!$B$9)^2+('Inputs'!$B$8/2)^2)-(((1028-43)*MAX('Inputs'!$B$33,'Inputs'!$B$29+'Inputs'!$B$31+'Inputs'!$B$32,'Inputs'!$B$30+'Inputs'!$B$31+'Inputs'!$B$32)/1000+'Inputs'!$B$21))/SQRT((((1028-43)*MAX('Inputs'!$B$33,'Inputs'!$B$29+'Inputs'!$B$31+'Inputs'!$B$32,'Inputs'!$B$30+'Inputs'!$B$31+'Inputs'!$B$32)/1000+'Inputs'!$B$21))^2+('Inputs'!$B$8/2)^2)))-'Results'!B7*(0.5*((((1028-43)*MAX('Inputs'!$B$33,'Inputs'!$B$29+'Inputs'!$B$31+'Inputs'!$B$32,'Inputs'!$B$30+'Inputs'!$B$31+'Inputs'!$B$32)/1000+'Inputs'!$B$21+'Inputs'!$B$9+'Inputs'!$B$10)+'Inputs'!$B$7)/SQRT((((1028-43)*MAX('Inputs'!$B$33,'Inputs'!$B$29+'Inputs'!$B$31+'Inputs'!$B$32,'Inputs'!$B$30+'Inputs'!$B$31+'Inputs'!$B$32)/1000+'Inputs'!$B$21+'Inputs'!$B$9+'Inputs'!$B$10)+'Inputs'!$B$7)^2+('Inputs'!$B$6/2)^2)-(((1028-43)*MAX('Inputs'!$B$33,'Inputs'!$B$29+'Inputs'!$B$31+'Inputs'!$B$32,'Inputs'!$B$30+'Inputs'!$B$31+'Inputs'!$B$32)/1000+'Inputs'!$B$21+'Inputs'!$B$9+'Inputs'!$B$10))/SQRT((((1028-43)*MAX('Inputs'!$B$33,'Inputs'!$B$29+'Inputs'!$B$31+'Inputs'!$B$32,'Inputs'!$B$30+'Inputs'!$B$31+'Inputs'!$B$32)/1000+'Inputs'!$B$21+'Inputs'!$B$9+'Inputs'!$B$10))^2+('Inputs'!$B$6/2)^2))))*'Results'!$B$8),"")</x:f>
        <x:v>0.33252824018984556</x:v>
      </x:c>
      <x:c r="N1028" t="n">
        <x:f>IF(AND(ISNUMBER('Results'!C7),ISNUMBER('Results'!B7),ISNUMBER('Results'!$B$8),ISNUMBER('Inputs'!$B$6),ISNUMBER('Inputs'!$B$7),ISNUMBER('Inputs'!$B$8),ISNUMBER('Inputs'!$B$9),ISNUMBER('Inputs'!$B$10),ISNUMBER('Inputs'!$B$21),ISNUMBER('Inputs'!$B$24),ISNUMBER('Inputs'!$B$28)),((('Results'!C7*(1-'Inputs'!$B$24)*(0.5*((((1028-43)*MAX('Inputs'!$B$33,'Inputs'!$B$29+'Inputs'!$B$31+'Inputs'!$B$32,'Inputs'!$B$30+'Inputs'!$B$31+'Inputs'!$B$32)/1000+'Inputs'!$B$21)+'Inputs'!$B$9)/SQRT((((1028-43)*MAX('Inputs'!$B$33,'Inputs'!$B$29+'Inputs'!$B$31+'Inputs'!$B$32,'Inputs'!$B$30+'Inputs'!$B$31+'Inputs'!$B$32)/1000+'Inputs'!$B$21)+'Inputs'!$B$9)^2+('Inputs'!$B$8/2)^2)-(((1028-43)*MAX('Inputs'!$B$33,'Inputs'!$B$29+'Inputs'!$B$31+'Inputs'!$B$32,'Inputs'!$B$30+'Inputs'!$B$31+'Inputs'!$B$32)/1000+'Inputs'!$B$21))/SQRT((((1028-43)*MAX('Inputs'!$B$33,'Inputs'!$B$29+'Inputs'!$B$31+'Inputs'!$B$32,'Inputs'!$B$30+'Inputs'!$B$31+'Inputs'!$B$32)/1000+'Inputs'!$B$21))^2+('Inputs'!$B$8/2)^2)))-'Results'!B7*(1+'Inputs'!$B$24)*(0.5*((((1028-43)*MAX('Inputs'!$B$33,'Inputs'!$B$29+'Inputs'!$B$31+'Inputs'!$B$32,'Inputs'!$B$30+'Inputs'!$B$31+'Inputs'!$B$32)/1000+'Inputs'!$B$21+'Inputs'!$B$9+'Inputs'!$B$10)+'Inputs'!$B$7)/SQRT((((1028-43)*MAX('Inputs'!$B$33,'Inputs'!$B$29+'Inputs'!$B$31+'Inputs'!$B$32,'Inputs'!$B$30+'Inputs'!$B$31+'Inputs'!$B$32)/1000+'Inputs'!$B$21+'Inputs'!$B$9+'Inputs'!$B$10)+'Inputs'!$B$7)^2+('Inputs'!$B$6/2)^2)-(((1028-43)*MAX('Inputs'!$B$33,'Inputs'!$B$29+'Inputs'!$B$31+'Inputs'!$B$32,'Inputs'!$B$30+'Inputs'!$B$31+'Inputs'!$B$32)/1000+'Inputs'!$B$21+'Inputs'!$B$9+'Inputs'!$B$10))/SQRT((((1028-43)*MAX('Inputs'!$B$33,'Inputs'!$B$29+'Inputs'!$B$31+'Inputs'!$B$32,'Inputs'!$B$30+'Inputs'!$B$31+'Inputs'!$B$32)/1000+'Inputs'!$B$21+'Inputs'!$B$9+'Inputs'!$B$10))^2+('Inputs'!$B$6/2)^2))))*'Results'!$B$8)-'Inputs'!$B$28*ABS((('Results'!C7*(1-'Inputs'!$B$24)*(0.5*((((1028-43)*MAX('Inputs'!$B$33,'Inputs'!$B$29+'Inputs'!$B$31+'Inputs'!$B$32,'Inputs'!$B$30+'Inputs'!$B$31+'Inputs'!$B$32)/1000+'Inputs'!$B$21)+'Inputs'!$B$9)/SQRT((((1028-43)*MAX('Inputs'!$B$33,'Inputs'!$B$29+'Inputs'!$B$31+'Inputs'!$B$32,'Inputs'!$B$30+'Inputs'!$B$31+'Inputs'!$B$32)/1000+'Inputs'!$B$21)+'Inputs'!$B$9)^2+('Inputs'!$B$8/2)^2)-(((1028-43)*MAX('Inputs'!$B$33,'Inputs'!$B$29+'Inputs'!$B$31+'Inputs'!$B$32,'Inputs'!$B$30+'Inputs'!$B$31+'Inputs'!$B$32)/1000+'Inputs'!$B$21))/SQRT((((1028-43)*MAX('Inputs'!$B$33,'Inputs'!$B$29+'Inputs'!$B$31+'Inputs'!$B$32,'Inputs'!$B$30+'Inputs'!$B$31+'Inputs'!$B$32)/1000+'Inputs'!$B$21))^2+('Inputs'!$B$8/2)^2)))-'Results'!B7*(1+'Inputs'!$B$24)*(0.5*((((1028-43)*MAX('Inputs'!$B$33,'Inputs'!$B$29+'Inputs'!$B$31+'Inputs'!$B$32,'Inputs'!$B$30+'Inputs'!$B$31+'Inputs'!$B$32)/1000+'Inputs'!$B$21+'Inputs'!$B$9+'Inputs'!$B$10)+'Inputs'!$B$7)/SQRT((((1028-43)*MAX('Inputs'!$B$33,'Inputs'!$B$29+'Inputs'!$B$31+'Inputs'!$B$32,'Inputs'!$B$30+'Inputs'!$B$31+'Inputs'!$B$32)/1000+'Inputs'!$B$21+'Inputs'!$B$9+'Inputs'!$B$10)+'Inputs'!$B$7)^2+('Inputs'!$B$6/2)^2)-(((1028-43)*MAX('Inputs'!$B$33,'Inputs'!$B$29+'Inputs'!$B$31+'Inputs'!$B$32,'Inputs'!$B$30+'Inputs'!$B$31+'Inputs'!$B$32)/1000+'Inputs'!$B$21+'Inputs'!$B$9+'Inputs'!$B$10))/SQRT((((1028-43)*MAX('Inputs'!$B$33,'Inputs'!$B$29+'Inputs'!$B$31+'Inputs'!$B$32,'Inputs'!$B$30+'Inputs'!$B$31+'Inputs'!$B$32)/1000+'Inputs'!$B$21+'Inputs'!$B$9+'Inputs'!$B$10))^2+('Inputs'!$B$6/2)^2))))*'Results'!$B$8))),"")</x:f>
        <x:v>0.2737938085619784</x:v>
      </x:c>
      <x:c r="O1028" t="n">
        <x:f>IF(AND(ISNUMBER('Results'!C7),ISNUMBER('Results'!B7),ISNUMBER('Results'!$B$8),ISNUMBER('Inputs'!$B$6),ISNUMBER('Inputs'!$B$7),ISNUMBER('Inputs'!$B$8),ISNUMBER('Inputs'!$B$9),ISNUMBER('Inputs'!$B$10),ISNUMBER('Inputs'!$B$21),ISNUMBER('Inputs'!$B$24),ISNUMBER('Inputs'!$B$28)),((('Results'!C7*(1+'Inputs'!$B$24)*(0.5*((((1028-43)*MAX('Inputs'!$B$33,'Inputs'!$B$29+'Inputs'!$B$31+'Inputs'!$B$32,'Inputs'!$B$30+'Inputs'!$B$31+'Inputs'!$B$32)/1000+'Inputs'!$B$21)+'Inputs'!$B$9)/SQRT((((1028-43)*MAX('Inputs'!$B$33,'Inputs'!$B$29+'Inputs'!$B$31+'Inputs'!$B$32,'Inputs'!$B$30+'Inputs'!$B$31+'Inputs'!$B$32)/1000+'Inputs'!$B$21)+'Inputs'!$B$9)^2+('Inputs'!$B$8/2)^2)-(((1028-43)*MAX('Inputs'!$B$33,'Inputs'!$B$29+'Inputs'!$B$31+'Inputs'!$B$32,'Inputs'!$B$30+'Inputs'!$B$31+'Inputs'!$B$32)/1000+'Inputs'!$B$21))/SQRT((((1028-43)*MAX('Inputs'!$B$33,'Inputs'!$B$29+'Inputs'!$B$31+'Inputs'!$B$32,'Inputs'!$B$30+'Inputs'!$B$31+'Inputs'!$B$32)/1000+'Inputs'!$B$21))^2+('Inputs'!$B$8/2)^2)))-'Results'!B7*(1-'Inputs'!$B$24)*(0.5*((((1028-43)*MAX('Inputs'!$B$33,'Inputs'!$B$29+'Inputs'!$B$31+'Inputs'!$B$32,'Inputs'!$B$30+'Inputs'!$B$31+'Inputs'!$B$32)/1000+'Inputs'!$B$21+'Inputs'!$B$9+'Inputs'!$B$10)+'Inputs'!$B$7)/SQRT((((1028-43)*MAX('Inputs'!$B$33,'Inputs'!$B$29+'Inputs'!$B$31+'Inputs'!$B$32,'Inputs'!$B$30+'Inputs'!$B$31+'Inputs'!$B$32)/1000+'Inputs'!$B$21+'Inputs'!$B$9+'Inputs'!$B$10)+'Inputs'!$B$7)^2+('Inputs'!$B$6/2)^2)-(((1028-43)*MAX('Inputs'!$B$33,'Inputs'!$B$29+'Inputs'!$B$31+'Inputs'!$B$32,'Inputs'!$B$30+'Inputs'!$B$31+'Inputs'!$B$32)/1000+'Inputs'!$B$21+'Inputs'!$B$9+'Inputs'!$B$10))/SQRT((((1028-43)*MAX('Inputs'!$B$33,'Inputs'!$B$29+'Inputs'!$B$31+'Inputs'!$B$32,'Inputs'!$B$30+'Inputs'!$B$31+'Inputs'!$B$32)/1000+'Inputs'!$B$21+'Inputs'!$B$9+'Inputs'!$B$10))^2+('Inputs'!$B$6/2)^2))))*'Results'!$B$8)+'Inputs'!$B$28*ABS((('Results'!C7*(1+'Inputs'!$B$24)*(0.5*((((1028-43)*MAX('Inputs'!$B$33,'Inputs'!$B$29+'Inputs'!$B$31+'Inputs'!$B$32,'Inputs'!$B$30+'Inputs'!$B$31+'Inputs'!$B$32)/1000+'Inputs'!$B$21)+'Inputs'!$B$9)/SQRT((((1028-43)*MAX('Inputs'!$B$33,'Inputs'!$B$29+'Inputs'!$B$31+'Inputs'!$B$32,'Inputs'!$B$30+'Inputs'!$B$31+'Inputs'!$B$32)/1000+'Inputs'!$B$21)+'Inputs'!$B$9)^2+('Inputs'!$B$8/2)^2)-(((1028-43)*MAX('Inputs'!$B$33,'Inputs'!$B$29+'Inputs'!$B$31+'Inputs'!$B$32,'Inputs'!$B$30+'Inputs'!$B$31+'Inputs'!$B$32)/1000+'Inputs'!$B$21))/SQRT((((1028-43)*MAX('Inputs'!$B$33,'Inputs'!$B$29+'Inputs'!$B$31+'Inputs'!$B$32,'Inputs'!$B$30+'Inputs'!$B$31+'Inputs'!$B$32)/1000+'Inputs'!$B$21))^2+('Inputs'!$B$8/2)^2)))-'Results'!B7*(1-'Inputs'!$B$24)*(0.5*((((1028-43)*MAX('Inputs'!$B$33,'Inputs'!$B$29+'Inputs'!$B$31+'Inputs'!$B$32,'Inputs'!$B$30+'Inputs'!$B$31+'Inputs'!$B$32)/1000+'Inputs'!$B$21+'Inputs'!$B$9+'Inputs'!$B$10)+'Inputs'!$B$7)/SQRT((((1028-43)*MAX('Inputs'!$B$33,'Inputs'!$B$29+'Inputs'!$B$31+'Inputs'!$B$32,'Inputs'!$B$30+'Inputs'!$B$31+'Inputs'!$B$32)/1000+'Inputs'!$B$21+'Inputs'!$B$9+'Inputs'!$B$10)+'Inputs'!$B$7)^2+('Inputs'!$B$6/2)^2)-(((1028-43)*MAX('Inputs'!$B$33,'Inputs'!$B$29+'Inputs'!$B$31+'Inputs'!$B$32,'Inputs'!$B$30+'Inputs'!$B$31+'Inputs'!$B$32)/1000+'Inputs'!$B$21+'Inputs'!$B$9+'Inputs'!$B$10))/SQRT((((1028-43)*MAX('Inputs'!$B$33,'Inputs'!$B$29+'Inputs'!$B$31+'Inputs'!$B$32,'Inputs'!$B$30+'Inputs'!$B$31+'Inputs'!$B$32)/1000+'Inputs'!$B$21+'Inputs'!$B$9+'Inputs'!$B$10))^2+('Inputs'!$B$6/2)^2))))*'Results'!$B$8))),"")</x:f>
        <x:v>0.39569509493543653</x:v>
      </x:c>
      <x:c r="P1028" t="n">
        <x:f>IF(AND(MAX(J1028,J1027)&gt;0,J1028&gt;J1027+0.00000001),1,0)</x:f>
        <x:v>0</x:v>
      </x:c>
      <x:c r="Q1028" t="n">
        <x:f>IF(AND(MAX(K1028,K1027)&gt;0,K1028&gt;K1027+0.00000001),1,0)</x:f>
        <x:v>0</x:v>
      </x:c>
      <x:c r="R1028" t="n">
        <x:f>IF(AND(MAX(L1028,L1027)&gt;0,L1028&gt;L1027+0.00000001),1,0)</x:f>
        <x:v>0</x:v>
      </x:c>
      <x:c r="S1028" t="n">
        <x:f>IF(AND(MAX(M1028,M1027)&gt;0,M1028&gt;M1027+0.00000001),1,0)</x:f>
        <x:v>0</x:v>
      </x:c>
      <x:c r="T1028" t="n">
        <x:f>IF(AND(MAX(N1028,N1027)&gt;0,N1028&gt;N1027+0.00000001),1,0)</x:f>
        <x:v>0</x:v>
      </x:c>
      <x:c r="U1028" t="n">
        <x:f>IF(AND(MAX(O1028,O1027)&gt;0,O1028&gt;O1027+0.00000001),1,0)</x:f>
        <x:v>0</x:v>
      </x:c>
    </x:row>
    <x:row r="1029">
      <x:c r="J1029" t="n">
        <x:f>IF(AND(ISNUMBER('Results'!B7),ISNUMBER('Results'!C7),ISNUMBER('Results'!$B$8),ISNUMBER('Inputs'!$B$6),ISNUMBER('Inputs'!$B$7),ISNUMBER('Inputs'!$B$8),ISNUMBER('Inputs'!$B$9),ISNUMBER('Inputs'!$B$10),ISNUMBER('Inputs'!$B$21),ISNUMBER('Inputs'!$B$24),ISNUMBER('Inputs'!$B$28)),(('Results'!B7*(0.5*((((1029-43)*MAX('Inputs'!$B$33,'Inputs'!$B$29+'Inputs'!$B$31+'Inputs'!$B$32,'Inputs'!$B$30+'Inputs'!$B$31+'Inputs'!$B$32)/1000+'Inputs'!$B$21)+'Inputs'!$B$7)/SQRT((((1029-43)*MAX('Inputs'!$B$33,'Inputs'!$B$29+'Inputs'!$B$31+'Inputs'!$B$32,'Inputs'!$B$30+'Inputs'!$B$31+'Inputs'!$B$32)/1000+'Inputs'!$B$21)+'Inputs'!$B$7)^2+('Inputs'!$B$6/2)^2)-(((1029-43)*MAX('Inputs'!$B$33,'Inputs'!$B$29+'Inputs'!$B$31+'Inputs'!$B$32,'Inputs'!$B$30+'Inputs'!$B$31+'Inputs'!$B$32)/1000+'Inputs'!$B$21))/SQRT((((1029-43)*MAX('Inputs'!$B$33,'Inputs'!$B$29+'Inputs'!$B$31+'Inputs'!$B$32,'Inputs'!$B$30+'Inputs'!$B$31+'Inputs'!$B$32)/1000+'Inputs'!$B$21))^2+('Inputs'!$B$6/2)^2)))-'Results'!C7*(0.5*((((1029-43)*MAX('Inputs'!$B$33,'Inputs'!$B$29+'Inputs'!$B$31+'Inputs'!$B$32,'Inputs'!$B$30+'Inputs'!$B$31+'Inputs'!$B$32)/1000+'Inputs'!$B$21+'Inputs'!$B$7+'Inputs'!$B$10)+'Inputs'!$B$9)/SQRT((((1029-43)*MAX('Inputs'!$B$33,'Inputs'!$B$29+'Inputs'!$B$31+'Inputs'!$B$32,'Inputs'!$B$30+'Inputs'!$B$31+'Inputs'!$B$32)/1000+'Inputs'!$B$21+'Inputs'!$B$7+'Inputs'!$B$10)+'Inputs'!$B$9)^2+('Inputs'!$B$8/2)^2)-(((1029-43)*MAX('Inputs'!$B$33,'Inputs'!$B$29+'Inputs'!$B$31+'Inputs'!$B$32,'Inputs'!$B$30+'Inputs'!$B$31+'Inputs'!$B$32)/1000+'Inputs'!$B$21+'Inputs'!$B$7+'Inputs'!$B$10))/SQRT((((1029-43)*MAX('Inputs'!$B$33,'Inputs'!$B$29+'Inputs'!$B$31+'Inputs'!$B$32,'Inputs'!$B$30+'Inputs'!$B$31+'Inputs'!$B$32)/1000+'Inputs'!$B$21+'Inputs'!$B$7+'Inputs'!$B$10))^2+('Inputs'!$B$8/2)^2))))*'Results'!$B$8),"")</x:f>
        <x:v>0.3759776672366621</x:v>
      </x:c>
      <x:c r="K1029" t="n">
        <x:f>IF(AND(ISNUMBER('Results'!B7),ISNUMBER('Results'!C7),ISNUMBER('Results'!$B$8),ISNUMBER('Inputs'!$B$6),ISNUMBER('Inputs'!$B$7),ISNUMBER('Inputs'!$B$8),ISNUMBER('Inputs'!$B$9),ISNUMBER('Inputs'!$B$10),ISNUMBER('Inputs'!$B$21),ISNUMBER('Inputs'!$B$24),ISNUMBER('Inputs'!$B$28)),((('Results'!B7*(1-'Inputs'!$B$24)*(0.5*((((1029-43)*MAX('Inputs'!$B$33,'Inputs'!$B$29+'Inputs'!$B$31+'Inputs'!$B$32,'Inputs'!$B$30+'Inputs'!$B$31+'Inputs'!$B$32)/1000+'Inputs'!$B$21)+'Inputs'!$B$7)/SQRT((((1029-43)*MAX('Inputs'!$B$33,'Inputs'!$B$29+'Inputs'!$B$31+'Inputs'!$B$32,'Inputs'!$B$30+'Inputs'!$B$31+'Inputs'!$B$32)/1000+'Inputs'!$B$21)+'Inputs'!$B$7)^2+('Inputs'!$B$6/2)^2)-(((1029-43)*MAX('Inputs'!$B$33,'Inputs'!$B$29+'Inputs'!$B$31+'Inputs'!$B$32,'Inputs'!$B$30+'Inputs'!$B$31+'Inputs'!$B$32)/1000+'Inputs'!$B$21))/SQRT((((1029-43)*MAX('Inputs'!$B$33,'Inputs'!$B$29+'Inputs'!$B$31+'Inputs'!$B$32,'Inputs'!$B$30+'Inputs'!$B$31+'Inputs'!$B$32)/1000+'Inputs'!$B$21))^2+('Inputs'!$B$6/2)^2)))-'Results'!C7*(1+'Inputs'!$B$24)*(0.5*((((1029-43)*MAX('Inputs'!$B$33,'Inputs'!$B$29+'Inputs'!$B$31+'Inputs'!$B$32,'Inputs'!$B$30+'Inputs'!$B$31+'Inputs'!$B$32)/1000+'Inputs'!$B$21+'Inputs'!$B$7+'Inputs'!$B$10)+'Inputs'!$B$9)/SQRT((((1029-43)*MAX('Inputs'!$B$33,'Inputs'!$B$29+'Inputs'!$B$31+'Inputs'!$B$32,'Inputs'!$B$30+'Inputs'!$B$31+'Inputs'!$B$32)/1000+'Inputs'!$B$21+'Inputs'!$B$7+'Inputs'!$B$10)+'Inputs'!$B$9)^2+('Inputs'!$B$8/2)^2)-(((1029-43)*MAX('Inputs'!$B$33,'Inputs'!$B$29+'Inputs'!$B$31+'Inputs'!$B$32,'Inputs'!$B$30+'Inputs'!$B$31+'Inputs'!$B$32)/1000+'Inputs'!$B$21+'Inputs'!$B$7+'Inputs'!$B$10))/SQRT((((1029-43)*MAX('Inputs'!$B$33,'Inputs'!$B$29+'Inputs'!$B$31+'Inputs'!$B$32,'Inputs'!$B$30+'Inputs'!$B$31+'Inputs'!$B$32)/1000+'Inputs'!$B$21+'Inputs'!$B$7+'Inputs'!$B$10))^2+('Inputs'!$B$8/2)^2))))*'Results'!$B$8)-'Inputs'!$B$28*ABS((('Results'!B7*(1-'Inputs'!$B$24)*(0.5*((((1029-43)*MAX('Inputs'!$B$33,'Inputs'!$B$29+'Inputs'!$B$31+'Inputs'!$B$32,'Inputs'!$B$30+'Inputs'!$B$31+'Inputs'!$B$32)/1000+'Inputs'!$B$21)+'Inputs'!$B$7)/SQRT((((1029-43)*MAX('Inputs'!$B$33,'Inputs'!$B$29+'Inputs'!$B$31+'Inputs'!$B$32,'Inputs'!$B$30+'Inputs'!$B$31+'Inputs'!$B$32)/1000+'Inputs'!$B$21)+'Inputs'!$B$7)^2+('Inputs'!$B$6/2)^2)-(((1029-43)*MAX('Inputs'!$B$33,'Inputs'!$B$29+'Inputs'!$B$31+'Inputs'!$B$32,'Inputs'!$B$30+'Inputs'!$B$31+'Inputs'!$B$32)/1000+'Inputs'!$B$21))/SQRT((((1029-43)*MAX('Inputs'!$B$33,'Inputs'!$B$29+'Inputs'!$B$31+'Inputs'!$B$32,'Inputs'!$B$30+'Inputs'!$B$31+'Inputs'!$B$32)/1000+'Inputs'!$B$21))^2+('Inputs'!$B$6/2)^2)))-'Results'!C7*(1+'Inputs'!$B$24)*(0.5*((((1029-43)*MAX('Inputs'!$B$33,'Inputs'!$B$29+'Inputs'!$B$31+'Inputs'!$B$32,'Inputs'!$B$30+'Inputs'!$B$31+'Inputs'!$B$32)/1000+'Inputs'!$B$21+'Inputs'!$B$7+'Inputs'!$B$10)+'Inputs'!$B$9)/SQRT((((1029-43)*MAX('Inputs'!$B$33,'Inputs'!$B$29+'Inputs'!$B$31+'Inputs'!$B$32,'Inputs'!$B$30+'Inputs'!$B$31+'Inputs'!$B$32)/1000+'Inputs'!$B$21+'Inputs'!$B$7+'Inputs'!$B$10)+'Inputs'!$B$9)^2+('Inputs'!$B$8/2)^2)-(((1029-43)*MAX('Inputs'!$B$33,'Inputs'!$B$29+'Inputs'!$B$31+'Inputs'!$B$32,'Inputs'!$B$30+'Inputs'!$B$31+'Inputs'!$B$32)/1000+'Inputs'!$B$21+'Inputs'!$B$7+'Inputs'!$B$10))/SQRT((((1029-43)*MAX('Inputs'!$B$33,'Inputs'!$B$29+'Inputs'!$B$31+'Inputs'!$B$32,'Inputs'!$B$30+'Inputs'!$B$31+'Inputs'!$B$32)/1000+'Inputs'!$B$21+'Inputs'!$B$7+'Inputs'!$B$10))^2+('Inputs'!$B$8/2)^2))))*'Results'!$B$8))),"")</x:f>
        <x:v>0.31505441531938894</x:v>
      </x:c>
      <x:c r="L1029" t="n">
        <x:f>IF(AND(ISNUMBER('Results'!B7),ISNUMBER('Results'!C7),ISNUMBER('Results'!$B$8),ISNUMBER('Inputs'!$B$6),ISNUMBER('Inputs'!$B$7),ISNUMBER('Inputs'!$B$8),ISNUMBER('Inputs'!$B$9),ISNUMBER('Inputs'!$B$10),ISNUMBER('Inputs'!$B$21),ISNUMBER('Inputs'!$B$24),ISNUMBER('Inputs'!$B$28)),((('Results'!B7*(1+'Inputs'!$B$24)*(0.5*((((1029-43)*MAX('Inputs'!$B$33,'Inputs'!$B$29+'Inputs'!$B$31+'Inputs'!$B$32,'Inputs'!$B$30+'Inputs'!$B$31+'Inputs'!$B$32)/1000+'Inputs'!$B$21)+'Inputs'!$B$7)/SQRT((((1029-43)*MAX('Inputs'!$B$33,'Inputs'!$B$29+'Inputs'!$B$31+'Inputs'!$B$32,'Inputs'!$B$30+'Inputs'!$B$31+'Inputs'!$B$32)/1000+'Inputs'!$B$21)+'Inputs'!$B$7)^2+('Inputs'!$B$6/2)^2)-(((1029-43)*MAX('Inputs'!$B$33,'Inputs'!$B$29+'Inputs'!$B$31+'Inputs'!$B$32,'Inputs'!$B$30+'Inputs'!$B$31+'Inputs'!$B$32)/1000+'Inputs'!$B$21))/SQRT((((1029-43)*MAX('Inputs'!$B$33,'Inputs'!$B$29+'Inputs'!$B$31+'Inputs'!$B$32,'Inputs'!$B$30+'Inputs'!$B$31+'Inputs'!$B$32)/1000+'Inputs'!$B$21))^2+('Inputs'!$B$6/2)^2)))-'Results'!C7*(1-'Inputs'!$B$24)*(0.5*((((1029-43)*MAX('Inputs'!$B$33,'Inputs'!$B$29+'Inputs'!$B$31+'Inputs'!$B$32,'Inputs'!$B$30+'Inputs'!$B$31+'Inputs'!$B$32)/1000+'Inputs'!$B$21+'Inputs'!$B$7+'Inputs'!$B$10)+'Inputs'!$B$9)/SQRT((((1029-43)*MAX('Inputs'!$B$33,'Inputs'!$B$29+'Inputs'!$B$31+'Inputs'!$B$32,'Inputs'!$B$30+'Inputs'!$B$31+'Inputs'!$B$32)/1000+'Inputs'!$B$21+'Inputs'!$B$7+'Inputs'!$B$10)+'Inputs'!$B$9)^2+('Inputs'!$B$8/2)^2)-(((1029-43)*MAX('Inputs'!$B$33,'Inputs'!$B$29+'Inputs'!$B$31+'Inputs'!$B$32,'Inputs'!$B$30+'Inputs'!$B$31+'Inputs'!$B$32)/1000+'Inputs'!$B$21+'Inputs'!$B$7+'Inputs'!$B$10))/SQRT((((1029-43)*MAX('Inputs'!$B$33,'Inputs'!$B$29+'Inputs'!$B$31+'Inputs'!$B$32,'Inputs'!$B$30+'Inputs'!$B$31+'Inputs'!$B$32)/1000+'Inputs'!$B$21+'Inputs'!$B$7+'Inputs'!$B$10))^2+('Inputs'!$B$8/2)^2))))*'Results'!$B$8)+'Inputs'!$B$28*ABS((('Results'!B7*(1+'Inputs'!$B$24)*(0.5*((((1029-43)*MAX('Inputs'!$B$33,'Inputs'!$B$29+'Inputs'!$B$31+'Inputs'!$B$32,'Inputs'!$B$30+'Inputs'!$B$31+'Inputs'!$B$32)/1000+'Inputs'!$B$21)+'Inputs'!$B$7)/SQRT((((1029-43)*MAX('Inputs'!$B$33,'Inputs'!$B$29+'Inputs'!$B$31+'Inputs'!$B$32,'Inputs'!$B$30+'Inputs'!$B$31+'Inputs'!$B$32)/1000+'Inputs'!$B$21)+'Inputs'!$B$7)^2+('Inputs'!$B$6/2)^2)-(((1029-43)*MAX('Inputs'!$B$33,'Inputs'!$B$29+'Inputs'!$B$31+'Inputs'!$B$32,'Inputs'!$B$30+'Inputs'!$B$31+'Inputs'!$B$32)/1000+'Inputs'!$B$21))/SQRT((((1029-43)*MAX('Inputs'!$B$33,'Inputs'!$B$29+'Inputs'!$B$31+'Inputs'!$B$32,'Inputs'!$B$30+'Inputs'!$B$31+'Inputs'!$B$32)/1000+'Inputs'!$B$21))^2+('Inputs'!$B$6/2)^2)))-'Results'!C7*(1-'Inputs'!$B$24)*(0.5*((((1029-43)*MAX('Inputs'!$B$33,'Inputs'!$B$29+'Inputs'!$B$31+'Inputs'!$B$32,'Inputs'!$B$30+'Inputs'!$B$31+'Inputs'!$B$32)/1000+'Inputs'!$B$21+'Inputs'!$B$7+'Inputs'!$B$10)+'Inputs'!$B$9)/SQRT((((1029-43)*MAX('Inputs'!$B$33,'Inputs'!$B$29+'Inputs'!$B$31+'Inputs'!$B$32,'Inputs'!$B$30+'Inputs'!$B$31+'Inputs'!$B$32)/1000+'Inputs'!$B$21+'Inputs'!$B$7+'Inputs'!$B$10)+'Inputs'!$B$9)^2+('Inputs'!$B$8/2)^2)-(((1029-43)*MAX('Inputs'!$B$33,'Inputs'!$B$29+'Inputs'!$B$31+'Inputs'!$B$32,'Inputs'!$B$30+'Inputs'!$B$31+'Inputs'!$B$32)/1000+'Inputs'!$B$21+'Inputs'!$B$7+'Inputs'!$B$10))/SQRT((((1029-43)*MAX('Inputs'!$B$33,'Inputs'!$B$29+'Inputs'!$B$31+'Inputs'!$B$32,'Inputs'!$B$30+'Inputs'!$B$31+'Inputs'!$B$32)/1000+'Inputs'!$B$21+'Inputs'!$B$7+'Inputs'!$B$10))^2+('Inputs'!$B$8/2)^2))))*'Results'!$B$8))),"")</x:f>
        <x:v>0.44133506321240273</x:v>
      </x:c>
      <x:c r="M1029" t="n">
        <x:f>IF(AND(ISNUMBER('Results'!C7),ISNUMBER('Results'!B7),ISNUMBER('Results'!$B$8),ISNUMBER('Inputs'!$B$6),ISNUMBER('Inputs'!$B$7),ISNUMBER('Inputs'!$B$8),ISNUMBER('Inputs'!$B$9),ISNUMBER('Inputs'!$B$10),ISNUMBER('Inputs'!$B$21),ISNUMBER('Inputs'!$B$24),ISNUMBER('Inputs'!$B$28)),(('Results'!C7*(0.5*((((1029-43)*MAX('Inputs'!$B$33,'Inputs'!$B$29+'Inputs'!$B$31+'Inputs'!$B$32,'Inputs'!$B$30+'Inputs'!$B$31+'Inputs'!$B$32)/1000+'Inputs'!$B$21)+'Inputs'!$B$9)/SQRT((((1029-43)*MAX('Inputs'!$B$33,'Inputs'!$B$29+'Inputs'!$B$31+'Inputs'!$B$32,'Inputs'!$B$30+'Inputs'!$B$31+'Inputs'!$B$32)/1000+'Inputs'!$B$21)+'Inputs'!$B$9)^2+('Inputs'!$B$8/2)^2)-(((1029-43)*MAX('Inputs'!$B$33,'Inputs'!$B$29+'Inputs'!$B$31+'Inputs'!$B$32,'Inputs'!$B$30+'Inputs'!$B$31+'Inputs'!$B$32)/1000+'Inputs'!$B$21))/SQRT((((1029-43)*MAX('Inputs'!$B$33,'Inputs'!$B$29+'Inputs'!$B$31+'Inputs'!$B$32,'Inputs'!$B$30+'Inputs'!$B$31+'Inputs'!$B$32)/1000+'Inputs'!$B$21))^2+('Inputs'!$B$8/2)^2)))-'Results'!B7*(0.5*((((1029-43)*MAX('Inputs'!$B$33,'Inputs'!$B$29+'Inputs'!$B$31+'Inputs'!$B$32,'Inputs'!$B$30+'Inputs'!$B$31+'Inputs'!$B$32)/1000+'Inputs'!$B$21+'Inputs'!$B$9+'Inputs'!$B$10)+'Inputs'!$B$7)/SQRT((((1029-43)*MAX('Inputs'!$B$33,'Inputs'!$B$29+'Inputs'!$B$31+'Inputs'!$B$32,'Inputs'!$B$30+'Inputs'!$B$31+'Inputs'!$B$32)/1000+'Inputs'!$B$21+'Inputs'!$B$9+'Inputs'!$B$10)+'Inputs'!$B$7)^2+('Inputs'!$B$6/2)^2)-(((1029-43)*MAX('Inputs'!$B$33,'Inputs'!$B$29+'Inputs'!$B$31+'Inputs'!$B$32,'Inputs'!$B$30+'Inputs'!$B$31+'Inputs'!$B$32)/1000+'Inputs'!$B$21+'Inputs'!$B$9+'Inputs'!$B$10))/SQRT((((1029-43)*MAX('Inputs'!$B$33,'Inputs'!$B$29+'Inputs'!$B$31+'Inputs'!$B$32,'Inputs'!$B$30+'Inputs'!$B$31+'Inputs'!$B$32)/1000+'Inputs'!$B$21+'Inputs'!$B$9+'Inputs'!$B$10))^2+('Inputs'!$B$6/2)^2))))*'Results'!$B$8),"")</x:f>
        <x:v>0.33126049310872363</x:v>
      </x:c>
      <x:c r="N1029" t="n">
        <x:f>IF(AND(ISNUMBER('Results'!C7),ISNUMBER('Results'!B7),ISNUMBER('Results'!$B$8),ISNUMBER('Inputs'!$B$6),ISNUMBER('Inputs'!$B$7),ISNUMBER('Inputs'!$B$8),ISNUMBER('Inputs'!$B$9),ISNUMBER('Inputs'!$B$10),ISNUMBER('Inputs'!$B$21),ISNUMBER('Inputs'!$B$24),ISNUMBER('Inputs'!$B$28)),((('Results'!C7*(1-'Inputs'!$B$24)*(0.5*((((1029-43)*MAX('Inputs'!$B$33,'Inputs'!$B$29+'Inputs'!$B$31+'Inputs'!$B$32,'Inputs'!$B$30+'Inputs'!$B$31+'Inputs'!$B$32)/1000+'Inputs'!$B$21)+'Inputs'!$B$9)/SQRT((((1029-43)*MAX('Inputs'!$B$33,'Inputs'!$B$29+'Inputs'!$B$31+'Inputs'!$B$32,'Inputs'!$B$30+'Inputs'!$B$31+'Inputs'!$B$32)/1000+'Inputs'!$B$21)+'Inputs'!$B$9)^2+('Inputs'!$B$8/2)^2)-(((1029-43)*MAX('Inputs'!$B$33,'Inputs'!$B$29+'Inputs'!$B$31+'Inputs'!$B$32,'Inputs'!$B$30+'Inputs'!$B$31+'Inputs'!$B$32)/1000+'Inputs'!$B$21))/SQRT((((1029-43)*MAX('Inputs'!$B$33,'Inputs'!$B$29+'Inputs'!$B$31+'Inputs'!$B$32,'Inputs'!$B$30+'Inputs'!$B$31+'Inputs'!$B$32)/1000+'Inputs'!$B$21))^2+('Inputs'!$B$8/2)^2)))-'Results'!B7*(1+'Inputs'!$B$24)*(0.5*((((1029-43)*MAX('Inputs'!$B$33,'Inputs'!$B$29+'Inputs'!$B$31+'Inputs'!$B$32,'Inputs'!$B$30+'Inputs'!$B$31+'Inputs'!$B$32)/1000+'Inputs'!$B$21+'Inputs'!$B$9+'Inputs'!$B$10)+'Inputs'!$B$7)/SQRT((((1029-43)*MAX('Inputs'!$B$33,'Inputs'!$B$29+'Inputs'!$B$31+'Inputs'!$B$32,'Inputs'!$B$30+'Inputs'!$B$31+'Inputs'!$B$32)/1000+'Inputs'!$B$21+'Inputs'!$B$9+'Inputs'!$B$10)+'Inputs'!$B$7)^2+('Inputs'!$B$6/2)^2)-(((1029-43)*MAX('Inputs'!$B$33,'Inputs'!$B$29+'Inputs'!$B$31+'Inputs'!$B$32,'Inputs'!$B$30+'Inputs'!$B$31+'Inputs'!$B$32)/1000+'Inputs'!$B$21+'Inputs'!$B$9+'Inputs'!$B$10))/SQRT((((1029-43)*MAX('Inputs'!$B$33,'Inputs'!$B$29+'Inputs'!$B$31+'Inputs'!$B$32,'Inputs'!$B$30+'Inputs'!$B$31+'Inputs'!$B$32)/1000+'Inputs'!$B$21+'Inputs'!$B$9+'Inputs'!$B$10))^2+('Inputs'!$B$6/2)^2))))*'Results'!$B$8)-'Inputs'!$B$28*ABS((('Results'!C7*(1-'Inputs'!$B$24)*(0.5*((((1029-43)*MAX('Inputs'!$B$33,'Inputs'!$B$29+'Inputs'!$B$31+'Inputs'!$B$32,'Inputs'!$B$30+'Inputs'!$B$31+'Inputs'!$B$32)/1000+'Inputs'!$B$21)+'Inputs'!$B$9)/SQRT((((1029-43)*MAX('Inputs'!$B$33,'Inputs'!$B$29+'Inputs'!$B$31+'Inputs'!$B$32,'Inputs'!$B$30+'Inputs'!$B$31+'Inputs'!$B$32)/1000+'Inputs'!$B$21)+'Inputs'!$B$9)^2+('Inputs'!$B$8/2)^2)-(((1029-43)*MAX('Inputs'!$B$33,'Inputs'!$B$29+'Inputs'!$B$31+'Inputs'!$B$32,'Inputs'!$B$30+'Inputs'!$B$31+'Inputs'!$B$32)/1000+'Inputs'!$B$21))/SQRT((((1029-43)*MAX('Inputs'!$B$33,'Inputs'!$B$29+'Inputs'!$B$31+'Inputs'!$B$32,'Inputs'!$B$30+'Inputs'!$B$31+'Inputs'!$B$32)/1000+'Inputs'!$B$21))^2+('Inputs'!$B$8/2)^2)))-'Results'!B7*(1+'Inputs'!$B$24)*(0.5*((((1029-43)*MAX('Inputs'!$B$33,'Inputs'!$B$29+'Inputs'!$B$31+'Inputs'!$B$32,'Inputs'!$B$30+'Inputs'!$B$31+'Inputs'!$B$32)/1000+'Inputs'!$B$21+'Inputs'!$B$9+'Inputs'!$B$10)+'Inputs'!$B$7)/SQRT((((1029-43)*MAX('Inputs'!$B$33,'Inputs'!$B$29+'Inputs'!$B$31+'Inputs'!$B$32,'Inputs'!$B$30+'Inputs'!$B$31+'Inputs'!$B$32)/1000+'Inputs'!$B$21+'Inputs'!$B$9+'Inputs'!$B$10)+'Inputs'!$B$7)^2+('Inputs'!$B$6/2)^2)-(((1029-43)*MAX('Inputs'!$B$33,'Inputs'!$B$29+'Inputs'!$B$31+'Inputs'!$B$32,'Inputs'!$B$30+'Inputs'!$B$31+'Inputs'!$B$32)/1000+'Inputs'!$B$21+'Inputs'!$B$9+'Inputs'!$B$10))/SQRT((((1029-43)*MAX('Inputs'!$B$33,'Inputs'!$B$29+'Inputs'!$B$31+'Inputs'!$B$32,'Inputs'!$B$30+'Inputs'!$B$31+'Inputs'!$B$32)/1000+'Inputs'!$B$21+'Inputs'!$B$9+'Inputs'!$B$10))^2+('Inputs'!$B$6/2)^2))))*'Results'!$B$8))),"")</x:f>
        <x:v>0.27270883247407524</x:v>
      </x:c>
      <x:c r="O1029" t="n">
        <x:f>IF(AND(ISNUMBER('Results'!C7),ISNUMBER('Results'!B7),ISNUMBER('Results'!$B$8),ISNUMBER('Inputs'!$B$6),ISNUMBER('Inputs'!$B$7),ISNUMBER('Inputs'!$B$8),ISNUMBER('Inputs'!$B$9),ISNUMBER('Inputs'!$B$10),ISNUMBER('Inputs'!$B$21),ISNUMBER('Inputs'!$B$24),ISNUMBER('Inputs'!$B$28)),((('Results'!C7*(1+'Inputs'!$B$24)*(0.5*((((1029-43)*MAX('Inputs'!$B$33,'Inputs'!$B$29+'Inputs'!$B$31+'Inputs'!$B$32,'Inputs'!$B$30+'Inputs'!$B$31+'Inputs'!$B$32)/1000+'Inputs'!$B$21)+'Inputs'!$B$9)/SQRT((((1029-43)*MAX('Inputs'!$B$33,'Inputs'!$B$29+'Inputs'!$B$31+'Inputs'!$B$32,'Inputs'!$B$30+'Inputs'!$B$31+'Inputs'!$B$32)/1000+'Inputs'!$B$21)+'Inputs'!$B$9)^2+('Inputs'!$B$8/2)^2)-(((1029-43)*MAX('Inputs'!$B$33,'Inputs'!$B$29+'Inputs'!$B$31+'Inputs'!$B$32,'Inputs'!$B$30+'Inputs'!$B$31+'Inputs'!$B$32)/1000+'Inputs'!$B$21))/SQRT((((1029-43)*MAX('Inputs'!$B$33,'Inputs'!$B$29+'Inputs'!$B$31+'Inputs'!$B$32,'Inputs'!$B$30+'Inputs'!$B$31+'Inputs'!$B$32)/1000+'Inputs'!$B$21))^2+('Inputs'!$B$8/2)^2)))-'Results'!B7*(1-'Inputs'!$B$24)*(0.5*((((1029-43)*MAX('Inputs'!$B$33,'Inputs'!$B$29+'Inputs'!$B$31+'Inputs'!$B$32,'Inputs'!$B$30+'Inputs'!$B$31+'Inputs'!$B$32)/1000+'Inputs'!$B$21+'Inputs'!$B$9+'Inputs'!$B$10)+'Inputs'!$B$7)/SQRT((((1029-43)*MAX('Inputs'!$B$33,'Inputs'!$B$29+'Inputs'!$B$31+'Inputs'!$B$32,'Inputs'!$B$30+'Inputs'!$B$31+'Inputs'!$B$32)/1000+'Inputs'!$B$21+'Inputs'!$B$9+'Inputs'!$B$10)+'Inputs'!$B$7)^2+('Inputs'!$B$6/2)^2)-(((1029-43)*MAX('Inputs'!$B$33,'Inputs'!$B$29+'Inputs'!$B$31+'Inputs'!$B$32,'Inputs'!$B$30+'Inputs'!$B$31+'Inputs'!$B$32)/1000+'Inputs'!$B$21+'Inputs'!$B$9+'Inputs'!$B$10))/SQRT((((1029-43)*MAX('Inputs'!$B$33,'Inputs'!$B$29+'Inputs'!$B$31+'Inputs'!$B$32,'Inputs'!$B$30+'Inputs'!$B$31+'Inputs'!$B$32)/1000+'Inputs'!$B$21+'Inputs'!$B$9+'Inputs'!$B$10))^2+('Inputs'!$B$6/2)^2))))*'Results'!$B$8)+'Inputs'!$B$28*ABS((('Results'!C7*(1+'Inputs'!$B$24)*(0.5*((((1029-43)*MAX('Inputs'!$B$33,'Inputs'!$B$29+'Inputs'!$B$31+'Inputs'!$B$32,'Inputs'!$B$30+'Inputs'!$B$31+'Inputs'!$B$32)/1000+'Inputs'!$B$21)+'Inputs'!$B$9)/SQRT((((1029-43)*MAX('Inputs'!$B$33,'Inputs'!$B$29+'Inputs'!$B$31+'Inputs'!$B$32,'Inputs'!$B$30+'Inputs'!$B$31+'Inputs'!$B$32)/1000+'Inputs'!$B$21)+'Inputs'!$B$9)^2+('Inputs'!$B$8/2)^2)-(((1029-43)*MAX('Inputs'!$B$33,'Inputs'!$B$29+'Inputs'!$B$31+'Inputs'!$B$32,'Inputs'!$B$30+'Inputs'!$B$31+'Inputs'!$B$32)/1000+'Inputs'!$B$21))/SQRT((((1029-43)*MAX('Inputs'!$B$33,'Inputs'!$B$29+'Inputs'!$B$31+'Inputs'!$B$32,'Inputs'!$B$30+'Inputs'!$B$31+'Inputs'!$B$32)/1000+'Inputs'!$B$21))^2+('Inputs'!$B$8/2)^2)))-'Results'!B7*(1-'Inputs'!$B$24)*(0.5*((((1029-43)*MAX('Inputs'!$B$33,'Inputs'!$B$29+'Inputs'!$B$31+'Inputs'!$B$32,'Inputs'!$B$30+'Inputs'!$B$31+'Inputs'!$B$32)/1000+'Inputs'!$B$21+'Inputs'!$B$9+'Inputs'!$B$10)+'Inputs'!$B$7)/SQRT((((1029-43)*MAX('Inputs'!$B$33,'Inputs'!$B$29+'Inputs'!$B$31+'Inputs'!$B$32,'Inputs'!$B$30+'Inputs'!$B$31+'Inputs'!$B$32)/1000+'Inputs'!$B$21+'Inputs'!$B$9+'Inputs'!$B$10)+'Inputs'!$B$7)^2+('Inputs'!$B$6/2)^2)-(((1029-43)*MAX('Inputs'!$B$33,'Inputs'!$B$29+'Inputs'!$B$31+'Inputs'!$B$32,'Inputs'!$B$30+'Inputs'!$B$31+'Inputs'!$B$32)/1000+'Inputs'!$B$21+'Inputs'!$B$9+'Inputs'!$B$10))/SQRT((((1029-43)*MAX('Inputs'!$B$33,'Inputs'!$B$29+'Inputs'!$B$31+'Inputs'!$B$32,'Inputs'!$B$30+'Inputs'!$B$31+'Inputs'!$B$32)/1000+'Inputs'!$B$21+'Inputs'!$B$9+'Inputs'!$B$10))^2+('Inputs'!$B$6/2)^2))))*'Results'!$B$8))),"")</x:f>
        <x:v>0.39423201016223647</x:v>
      </x:c>
      <x:c r="P1029" t="n">
        <x:f>IF(AND(MAX(J1029,J1028)&gt;0,J1029&gt;J1028+0.00000001),1,0)</x:f>
        <x:v>0</x:v>
      </x:c>
      <x:c r="Q1029" t="n">
        <x:f>IF(AND(MAX(K1029,K1028)&gt;0,K1029&gt;K1028+0.00000001),1,0)</x:f>
        <x:v>0</x:v>
      </x:c>
      <x:c r="R1029" t="n">
        <x:f>IF(AND(MAX(L1029,L1028)&gt;0,L1029&gt;L1028+0.00000001),1,0)</x:f>
        <x:v>0</x:v>
      </x:c>
      <x:c r="S1029" t="n">
        <x:f>IF(AND(MAX(M1029,M1028)&gt;0,M1029&gt;M1028+0.00000001),1,0)</x:f>
        <x:v>0</x:v>
      </x:c>
      <x:c r="T1029" t="n">
        <x:f>IF(AND(MAX(N1029,N1028)&gt;0,N1029&gt;N1028+0.00000001),1,0)</x:f>
        <x:v>0</x:v>
      </x:c>
      <x:c r="U1029" t="n">
        <x:f>IF(AND(MAX(O1029,O1028)&gt;0,O1029&gt;O1028+0.00000001),1,0)</x:f>
        <x:v>0</x:v>
      </x:c>
    </x:row>
    <x:row r="1030">
      <x:c r="J1030" t="n">
        <x:f>IF(AND(ISNUMBER('Results'!B7),ISNUMBER('Results'!C7),ISNUMBER('Results'!$B$8),ISNUMBER('Inputs'!$B$6),ISNUMBER('Inputs'!$B$7),ISNUMBER('Inputs'!$B$8),ISNUMBER('Inputs'!$B$9),ISNUMBER('Inputs'!$B$10),ISNUMBER('Inputs'!$B$21),ISNUMBER('Inputs'!$B$24),ISNUMBER('Inputs'!$B$28)),(('Results'!B7*(0.5*((((1030-43)*MAX('Inputs'!$B$33,'Inputs'!$B$29+'Inputs'!$B$31+'Inputs'!$B$32,'Inputs'!$B$30+'Inputs'!$B$31+'Inputs'!$B$32)/1000+'Inputs'!$B$21)+'Inputs'!$B$7)/SQRT((((1030-43)*MAX('Inputs'!$B$33,'Inputs'!$B$29+'Inputs'!$B$31+'Inputs'!$B$32,'Inputs'!$B$30+'Inputs'!$B$31+'Inputs'!$B$32)/1000+'Inputs'!$B$21)+'Inputs'!$B$7)^2+('Inputs'!$B$6/2)^2)-(((1030-43)*MAX('Inputs'!$B$33,'Inputs'!$B$29+'Inputs'!$B$31+'Inputs'!$B$32,'Inputs'!$B$30+'Inputs'!$B$31+'Inputs'!$B$32)/1000+'Inputs'!$B$21))/SQRT((((1030-43)*MAX('Inputs'!$B$33,'Inputs'!$B$29+'Inputs'!$B$31+'Inputs'!$B$32,'Inputs'!$B$30+'Inputs'!$B$31+'Inputs'!$B$32)/1000+'Inputs'!$B$21))^2+('Inputs'!$B$6/2)^2)))-'Results'!C7*(0.5*((((1030-43)*MAX('Inputs'!$B$33,'Inputs'!$B$29+'Inputs'!$B$31+'Inputs'!$B$32,'Inputs'!$B$30+'Inputs'!$B$31+'Inputs'!$B$32)/1000+'Inputs'!$B$21+'Inputs'!$B$7+'Inputs'!$B$10)+'Inputs'!$B$9)/SQRT((((1030-43)*MAX('Inputs'!$B$33,'Inputs'!$B$29+'Inputs'!$B$31+'Inputs'!$B$32,'Inputs'!$B$30+'Inputs'!$B$31+'Inputs'!$B$32)/1000+'Inputs'!$B$21+'Inputs'!$B$7+'Inputs'!$B$10)+'Inputs'!$B$9)^2+('Inputs'!$B$8/2)^2)-(((1030-43)*MAX('Inputs'!$B$33,'Inputs'!$B$29+'Inputs'!$B$31+'Inputs'!$B$32,'Inputs'!$B$30+'Inputs'!$B$31+'Inputs'!$B$32)/1000+'Inputs'!$B$21+'Inputs'!$B$7+'Inputs'!$B$10))/SQRT((((1030-43)*MAX('Inputs'!$B$33,'Inputs'!$B$29+'Inputs'!$B$31+'Inputs'!$B$32,'Inputs'!$B$30+'Inputs'!$B$31+'Inputs'!$B$32)/1000+'Inputs'!$B$21+'Inputs'!$B$7+'Inputs'!$B$10))^2+('Inputs'!$B$8/2)^2))))*'Results'!$B$8),"")</x:f>
        <x:v>0.37458918670331687</x:v>
      </x:c>
      <x:c r="K1030" t="n">
        <x:f>IF(AND(ISNUMBER('Results'!B7),ISNUMBER('Results'!C7),ISNUMBER('Results'!$B$8),ISNUMBER('Inputs'!$B$6),ISNUMBER('Inputs'!$B$7),ISNUMBER('Inputs'!$B$8),ISNUMBER('Inputs'!$B$9),ISNUMBER('Inputs'!$B$10),ISNUMBER('Inputs'!$B$21),ISNUMBER('Inputs'!$B$24),ISNUMBER('Inputs'!$B$28)),((('Results'!B7*(1-'Inputs'!$B$24)*(0.5*((((1030-43)*MAX('Inputs'!$B$33,'Inputs'!$B$29+'Inputs'!$B$31+'Inputs'!$B$32,'Inputs'!$B$30+'Inputs'!$B$31+'Inputs'!$B$32)/1000+'Inputs'!$B$21)+'Inputs'!$B$7)/SQRT((((1030-43)*MAX('Inputs'!$B$33,'Inputs'!$B$29+'Inputs'!$B$31+'Inputs'!$B$32,'Inputs'!$B$30+'Inputs'!$B$31+'Inputs'!$B$32)/1000+'Inputs'!$B$21)+'Inputs'!$B$7)^2+('Inputs'!$B$6/2)^2)-(((1030-43)*MAX('Inputs'!$B$33,'Inputs'!$B$29+'Inputs'!$B$31+'Inputs'!$B$32,'Inputs'!$B$30+'Inputs'!$B$31+'Inputs'!$B$32)/1000+'Inputs'!$B$21))/SQRT((((1030-43)*MAX('Inputs'!$B$33,'Inputs'!$B$29+'Inputs'!$B$31+'Inputs'!$B$32,'Inputs'!$B$30+'Inputs'!$B$31+'Inputs'!$B$32)/1000+'Inputs'!$B$21))^2+('Inputs'!$B$6/2)^2)))-'Results'!C7*(1+'Inputs'!$B$24)*(0.5*((((1030-43)*MAX('Inputs'!$B$33,'Inputs'!$B$29+'Inputs'!$B$31+'Inputs'!$B$32,'Inputs'!$B$30+'Inputs'!$B$31+'Inputs'!$B$32)/1000+'Inputs'!$B$21+'Inputs'!$B$7+'Inputs'!$B$10)+'Inputs'!$B$9)/SQRT((((1030-43)*MAX('Inputs'!$B$33,'Inputs'!$B$29+'Inputs'!$B$31+'Inputs'!$B$32,'Inputs'!$B$30+'Inputs'!$B$31+'Inputs'!$B$32)/1000+'Inputs'!$B$21+'Inputs'!$B$7+'Inputs'!$B$10)+'Inputs'!$B$9)^2+('Inputs'!$B$8/2)^2)-(((1030-43)*MAX('Inputs'!$B$33,'Inputs'!$B$29+'Inputs'!$B$31+'Inputs'!$B$32,'Inputs'!$B$30+'Inputs'!$B$31+'Inputs'!$B$32)/1000+'Inputs'!$B$21+'Inputs'!$B$7+'Inputs'!$B$10))/SQRT((((1030-43)*MAX('Inputs'!$B$33,'Inputs'!$B$29+'Inputs'!$B$31+'Inputs'!$B$32,'Inputs'!$B$30+'Inputs'!$B$31+'Inputs'!$B$32)/1000+'Inputs'!$B$21+'Inputs'!$B$7+'Inputs'!$B$10))^2+('Inputs'!$B$8/2)^2))))*'Results'!$B$8)-'Inputs'!$B$28*ABS((('Results'!B7*(1-'Inputs'!$B$24)*(0.5*((((1030-43)*MAX('Inputs'!$B$33,'Inputs'!$B$29+'Inputs'!$B$31+'Inputs'!$B$32,'Inputs'!$B$30+'Inputs'!$B$31+'Inputs'!$B$32)/1000+'Inputs'!$B$21)+'Inputs'!$B$7)/SQRT((((1030-43)*MAX('Inputs'!$B$33,'Inputs'!$B$29+'Inputs'!$B$31+'Inputs'!$B$32,'Inputs'!$B$30+'Inputs'!$B$31+'Inputs'!$B$32)/1000+'Inputs'!$B$21)+'Inputs'!$B$7)^2+('Inputs'!$B$6/2)^2)-(((1030-43)*MAX('Inputs'!$B$33,'Inputs'!$B$29+'Inputs'!$B$31+'Inputs'!$B$32,'Inputs'!$B$30+'Inputs'!$B$31+'Inputs'!$B$32)/1000+'Inputs'!$B$21))/SQRT((((1030-43)*MAX('Inputs'!$B$33,'Inputs'!$B$29+'Inputs'!$B$31+'Inputs'!$B$32,'Inputs'!$B$30+'Inputs'!$B$31+'Inputs'!$B$32)/1000+'Inputs'!$B$21))^2+('Inputs'!$B$6/2)^2)))-'Results'!C7*(1+'Inputs'!$B$24)*(0.5*((((1030-43)*MAX('Inputs'!$B$33,'Inputs'!$B$29+'Inputs'!$B$31+'Inputs'!$B$32,'Inputs'!$B$30+'Inputs'!$B$31+'Inputs'!$B$32)/1000+'Inputs'!$B$21+'Inputs'!$B$7+'Inputs'!$B$10)+'Inputs'!$B$9)/SQRT((((1030-43)*MAX('Inputs'!$B$33,'Inputs'!$B$29+'Inputs'!$B$31+'Inputs'!$B$32,'Inputs'!$B$30+'Inputs'!$B$31+'Inputs'!$B$32)/1000+'Inputs'!$B$21+'Inputs'!$B$7+'Inputs'!$B$10)+'Inputs'!$B$9)^2+('Inputs'!$B$8/2)^2)-(((1030-43)*MAX('Inputs'!$B$33,'Inputs'!$B$29+'Inputs'!$B$31+'Inputs'!$B$32,'Inputs'!$B$30+'Inputs'!$B$31+'Inputs'!$B$32)/1000+'Inputs'!$B$21+'Inputs'!$B$7+'Inputs'!$B$10))/SQRT((((1030-43)*MAX('Inputs'!$B$33,'Inputs'!$B$29+'Inputs'!$B$31+'Inputs'!$B$32,'Inputs'!$B$30+'Inputs'!$B$31+'Inputs'!$B$32)/1000+'Inputs'!$B$21+'Inputs'!$B$7+'Inputs'!$B$10))^2+('Inputs'!$B$8/2)^2))))*'Results'!$B$8))),"")</x:f>
        <x:v>0.31385479957768603</x:v>
      </x:c>
      <x:c r="L1030" t="n">
        <x:f>IF(AND(ISNUMBER('Results'!B7),ISNUMBER('Results'!C7),ISNUMBER('Results'!$B$8),ISNUMBER('Inputs'!$B$6),ISNUMBER('Inputs'!$B$7),ISNUMBER('Inputs'!$B$8),ISNUMBER('Inputs'!$B$9),ISNUMBER('Inputs'!$B$10),ISNUMBER('Inputs'!$B$21),ISNUMBER('Inputs'!$B$24),ISNUMBER('Inputs'!$B$28)),((('Results'!B7*(1+'Inputs'!$B$24)*(0.5*((((1030-43)*MAX('Inputs'!$B$33,'Inputs'!$B$29+'Inputs'!$B$31+'Inputs'!$B$32,'Inputs'!$B$30+'Inputs'!$B$31+'Inputs'!$B$32)/1000+'Inputs'!$B$21)+'Inputs'!$B$7)/SQRT((((1030-43)*MAX('Inputs'!$B$33,'Inputs'!$B$29+'Inputs'!$B$31+'Inputs'!$B$32,'Inputs'!$B$30+'Inputs'!$B$31+'Inputs'!$B$32)/1000+'Inputs'!$B$21)+'Inputs'!$B$7)^2+('Inputs'!$B$6/2)^2)-(((1030-43)*MAX('Inputs'!$B$33,'Inputs'!$B$29+'Inputs'!$B$31+'Inputs'!$B$32,'Inputs'!$B$30+'Inputs'!$B$31+'Inputs'!$B$32)/1000+'Inputs'!$B$21))/SQRT((((1030-43)*MAX('Inputs'!$B$33,'Inputs'!$B$29+'Inputs'!$B$31+'Inputs'!$B$32,'Inputs'!$B$30+'Inputs'!$B$31+'Inputs'!$B$32)/1000+'Inputs'!$B$21))^2+('Inputs'!$B$6/2)^2)))-'Results'!C7*(1-'Inputs'!$B$24)*(0.5*((((1030-43)*MAX('Inputs'!$B$33,'Inputs'!$B$29+'Inputs'!$B$31+'Inputs'!$B$32,'Inputs'!$B$30+'Inputs'!$B$31+'Inputs'!$B$32)/1000+'Inputs'!$B$21+'Inputs'!$B$7+'Inputs'!$B$10)+'Inputs'!$B$9)/SQRT((((1030-43)*MAX('Inputs'!$B$33,'Inputs'!$B$29+'Inputs'!$B$31+'Inputs'!$B$32,'Inputs'!$B$30+'Inputs'!$B$31+'Inputs'!$B$32)/1000+'Inputs'!$B$21+'Inputs'!$B$7+'Inputs'!$B$10)+'Inputs'!$B$9)^2+('Inputs'!$B$8/2)^2)-(((1030-43)*MAX('Inputs'!$B$33,'Inputs'!$B$29+'Inputs'!$B$31+'Inputs'!$B$32,'Inputs'!$B$30+'Inputs'!$B$31+'Inputs'!$B$32)/1000+'Inputs'!$B$21+'Inputs'!$B$7+'Inputs'!$B$10))/SQRT((((1030-43)*MAX('Inputs'!$B$33,'Inputs'!$B$29+'Inputs'!$B$31+'Inputs'!$B$32,'Inputs'!$B$30+'Inputs'!$B$31+'Inputs'!$B$32)/1000+'Inputs'!$B$21+'Inputs'!$B$7+'Inputs'!$B$10))^2+('Inputs'!$B$8/2)^2))))*'Results'!$B$8)+'Inputs'!$B$28*ABS((('Results'!B7*(1+'Inputs'!$B$24)*(0.5*((((1030-43)*MAX('Inputs'!$B$33,'Inputs'!$B$29+'Inputs'!$B$31+'Inputs'!$B$32,'Inputs'!$B$30+'Inputs'!$B$31+'Inputs'!$B$32)/1000+'Inputs'!$B$21)+'Inputs'!$B$7)/SQRT((((1030-43)*MAX('Inputs'!$B$33,'Inputs'!$B$29+'Inputs'!$B$31+'Inputs'!$B$32,'Inputs'!$B$30+'Inputs'!$B$31+'Inputs'!$B$32)/1000+'Inputs'!$B$21)+'Inputs'!$B$7)^2+('Inputs'!$B$6/2)^2)-(((1030-43)*MAX('Inputs'!$B$33,'Inputs'!$B$29+'Inputs'!$B$31+'Inputs'!$B$32,'Inputs'!$B$30+'Inputs'!$B$31+'Inputs'!$B$32)/1000+'Inputs'!$B$21))/SQRT((((1030-43)*MAX('Inputs'!$B$33,'Inputs'!$B$29+'Inputs'!$B$31+'Inputs'!$B$32,'Inputs'!$B$30+'Inputs'!$B$31+'Inputs'!$B$32)/1000+'Inputs'!$B$21))^2+('Inputs'!$B$6/2)^2)))-'Results'!C7*(1-'Inputs'!$B$24)*(0.5*((((1030-43)*MAX('Inputs'!$B$33,'Inputs'!$B$29+'Inputs'!$B$31+'Inputs'!$B$32,'Inputs'!$B$30+'Inputs'!$B$31+'Inputs'!$B$32)/1000+'Inputs'!$B$21+'Inputs'!$B$7+'Inputs'!$B$10)+'Inputs'!$B$9)/SQRT((((1030-43)*MAX('Inputs'!$B$33,'Inputs'!$B$29+'Inputs'!$B$31+'Inputs'!$B$32,'Inputs'!$B$30+'Inputs'!$B$31+'Inputs'!$B$32)/1000+'Inputs'!$B$21+'Inputs'!$B$7+'Inputs'!$B$10)+'Inputs'!$B$9)^2+('Inputs'!$B$8/2)^2)-(((1030-43)*MAX('Inputs'!$B$33,'Inputs'!$B$29+'Inputs'!$B$31+'Inputs'!$B$32,'Inputs'!$B$30+'Inputs'!$B$31+'Inputs'!$B$32)/1000+'Inputs'!$B$21+'Inputs'!$B$7+'Inputs'!$B$10))/SQRT((((1030-43)*MAX('Inputs'!$B$33,'Inputs'!$B$29+'Inputs'!$B$31+'Inputs'!$B$32,'Inputs'!$B$30+'Inputs'!$B$31+'Inputs'!$B$32)/1000+'Inputs'!$B$21+'Inputs'!$B$7+'Inputs'!$B$10))^2+('Inputs'!$B$8/2)^2))))*'Results'!$B$8))),"")</x:f>
        <x:v>0.4397451451753125</x:v>
      </x:c>
      <x:c r="M1030" t="n">
        <x:f>IF(AND(ISNUMBER('Results'!C7),ISNUMBER('Results'!B7),ISNUMBER('Results'!$B$8),ISNUMBER('Inputs'!$B$6),ISNUMBER('Inputs'!$B$7),ISNUMBER('Inputs'!$B$8),ISNUMBER('Inputs'!$B$9),ISNUMBER('Inputs'!$B$10),ISNUMBER('Inputs'!$B$21),ISNUMBER('Inputs'!$B$24),ISNUMBER('Inputs'!$B$28)),(('Results'!C7*(0.5*((((1030-43)*MAX('Inputs'!$B$33,'Inputs'!$B$29+'Inputs'!$B$31+'Inputs'!$B$32,'Inputs'!$B$30+'Inputs'!$B$31+'Inputs'!$B$32)/1000+'Inputs'!$B$21)+'Inputs'!$B$9)/SQRT((((1030-43)*MAX('Inputs'!$B$33,'Inputs'!$B$29+'Inputs'!$B$31+'Inputs'!$B$32,'Inputs'!$B$30+'Inputs'!$B$31+'Inputs'!$B$32)/1000+'Inputs'!$B$21)+'Inputs'!$B$9)^2+('Inputs'!$B$8/2)^2)-(((1030-43)*MAX('Inputs'!$B$33,'Inputs'!$B$29+'Inputs'!$B$31+'Inputs'!$B$32,'Inputs'!$B$30+'Inputs'!$B$31+'Inputs'!$B$32)/1000+'Inputs'!$B$21))/SQRT((((1030-43)*MAX('Inputs'!$B$33,'Inputs'!$B$29+'Inputs'!$B$31+'Inputs'!$B$32,'Inputs'!$B$30+'Inputs'!$B$31+'Inputs'!$B$32)/1000+'Inputs'!$B$21))^2+('Inputs'!$B$8/2)^2)))-'Results'!B7*(0.5*((((1030-43)*MAX('Inputs'!$B$33,'Inputs'!$B$29+'Inputs'!$B$31+'Inputs'!$B$32,'Inputs'!$B$30+'Inputs'!$B$31+'Inputs'!$B$32)/1000+'Inputs'!$B$21+'Inputs'!$B$9+'Inputs'!$B$10)+'Inputs'!$B$7)/SQRT((((1030-43)*MAX('Inputs'!$B$33,'Inputs'!$B$29+'Inputs'!$B$31+'Inputs'!$B$32,'Inputs'!$B$30+'Inputs'!$B$31+'Inputs'!$B$32)/1000+'Inputs'!$B$21+'Inputs'!$B$9+'Inputs'!$B$10)+'Inputs'!$B$7)^2+('Inputs'!$B$6/2)^2)-(((1030-43)*MAX('Inputs'!$B$33,'Inputs'!$B$29+'Inputs'!$B$31+'Inputs'!$B$32,'Inputs'!$B$30+'Inputs'!$B$31+'Inputs'!$B$32)/1000+'Inputs'!$B$21+'Inputs'!$B$9+'Inputs'!$B$10))/SQRT((((1030-43)*MAX('Inputs'!$B$33,'Inputs'!$B$29+'Inputs'!$B$31+'Inputs'!$B$32,'Inputs'!$B$30+'Inputs'!$B$31+'Inputs'!$B$32)/1000+'Inputs'!$B$21+'Inputs'!$B$9+'Inputs'!$B$10))^2+('Inputs'!$B$6/2)^2))))*'Results'!$B$8),"")</x:f>
        <x:v>0.32999873926283707</x:v>
      </x:c>
      <x:c r="N1030" t="n">
        <x:f>IF(AND(ISNUMBER('Results'!C7),ISNUMBER('Results'!B7),ISNUMBER('Results'!$B$8),ISNUMBER('Inputs'!$B$6),ISNUMBER('Inputs'!$B$7),ISNUMBER('Inputs'!$B$8),ISNUMBER('Inputs'!$B$9),ISNUMBER('Inputs'!$B$10),ISNUMBER('Inputs'!$B$21),ISNUMBER('Inputs'!$B$24),ISNUMBER('Inputs'!$B$28)),((('Results'!C7*(1-'Inputs'!$B$24)*(0.5*((((1030-43)*MAX('Inputs'!$B$33,'Inputs'!$B$29+'Inputs'!$B$31+'Inputs'!$B$32,'Inputs'!$B$30+'Inputs'!$B$31+'Inputs'!$B$32)/1000+'Inputs'!$B$21)+'Inputs'!$B$9)/SQRT((((1030-43)*MAX('Inputs'!$B$33,'Inputs'!$B$29+'Inputs'!$B$31+'Inputs'!$B$32,'Inputs'!$B$30+'Inputs'!$B$31+'Inputs'!$B$32)/1000+'Inputs'!$B$21)+'Inputs'!$B$9)^2+('Inputs'!$B$8/2)^2)-(((1030-43)*MAX('Inputs'!$B$33,'Inputs'!$B$29+'Inputs'!$B$31+'Inputs'!$B$32,'Inputs'!$B$30+'Inputs'!$B$31+'Inputs'!$B$32)/1000+'Inputs'!$B$21))/SQRT((((1030-43)*MAX('Inputs'!$B$33,'Inputs'!$B$29+'Inputs'!$B$31+'Inputs'!$B$32,'Inputs'!$B$30+'Inputs'!$B$31+'Inputs'!$B$32)/1000+'Inputs'!$B$21))^2+('Inputs'!$B$8/2)^2)))-'Results'!B7*(1+'Inputs'!$B$24)*(0.5*((((1030-43)*MAX('Inputs'!$B$33,'Inputs'!$B$29+'Inputs'!$B$31+'Inputs'!$B$32,'Inputs'!$B$30+'Inputs'!$B$31+'Inputs'!$B$32)/1000+'Inputs'!$B$21+'Inputs'!$B$9+'Inputs'!$B$10)+'Inputs'!$B$7)/SQRT((((1030-43)*MAX('Inputs'!$B$33,'Inputs'!$B$29+'Inputs'!$B$31+'Inputs'!$B$32,'Inputs'!$B$30+'Inputs'!$B$31+'Inputs'!$B$32)/1000+'Inputs'!$B$21+'Inputs'!$B$9+'Inputs'!$B$10)+'Inputs'!$B$7)^2+('Inputs'!$B$6/2)^2)-(((1030-43)*MAX('Inputs'!$B$33,'Inputs'!$B$29+'Inputs'!$B$31+'Inputs'!$B$32,'Inputs'!$B$30+'Inputs'!$B$31+'Inputs'!$B$32)/1000+'Inputs'!$B$21+'Inputs'!$B$9+'Inputs'!$B$10))/SQRT((((1030-43)*MAX('Inputs'!$B$33,'Inputs'!$B$29+'Inputs'!$B$31+'Inputs'!$B$32,'Inputs'!$B$30+'Inputs'!$B$31+'Inputs'!$B$32)/1000+'Inputs'!$B$21+'Inputs'!$B$9+'Inputs'!$B$10))^2+('Inputs'!$B$6/2)^2))))*'Results'!$B$8)-'Inputs'!$B$28*ABS((('Results'!C7*(1-'Inputs'!$B$24)*(0.5*((((1030-43)*MAX('Inputs'!$B$33,'Inputs'!$B$29+'Inputs'!$B$31+'Inputs'!$B$32,'Inputs'!$B$30+'Inputs'!$B$31+'Inputs'!$B$32)/1000+'Inputs'!$B$21)+'Inputs'!$B$9)/SQRT((((1030-43)*MAX('Inputs'!$B$33,'Inputs'!$B$29+'Inputs'!$B$31+'Inputs'!$B$32,'Inputs'!$B$30+'Inputs'!$B$31+'Inputs'!$B$32)/1000+'Inputs'!$B$21)+'Inputs'!$B$9)^2+('Inputs'!$B$8/2)^2)-(((1030-43)*MAX('Inputs'!$B$33,'Inputs'!$B$29+'Inputs'!$B$31+'Inputs'!$B$32,'Inputs'!$B$30+'Inputs'!$B$31+'Inputs'!$B$32)/1000+'Inputs'!$B$21))/SQRT((((1030-43)*MAX('Inputs'!$B$33,'Inputs'!$B$29+'Inputs'!$B$31+'Inputs'!$B$32,'Inputs'!$B$30+'Inputs'!$B$31+'Inputs'!$B$32)/1000+'Inputs'!$B$21))^2+('Inputs'!$B$8/2)^2)))-'Results'!B7*(1+'Inputs'!$B$24)*(0.5*((((1030-43)*MAX('Inputs'!$B$33,'Inputs'!$B$29+'Inputs'!$B$31+'Inputs'!$B$32,'Inputs'!$B$30+'Inputs'!$B$31+'Inputs'!$B$32)/1000+'Inputs'!$B$21+'Inputs'!$B$9+'Inputs'!$B$10)+'Inputs'!$B$7)/SQRT((((1030-43)*MAX('Inputs'!$B$33,'Inputs'!$B$29+'Inputs'!$B$31+'Inputs'!$B$32,'Inputs'!$B$30+'Inputs'!$B$31+'Inputs'!$B$32)/1000+'Inputs'!$B$21+'Inputs'!$B$9+'Inputs'!$B$10)+'Inputs'!$B$7)^2+('Inputs'!$B$6/2)^2)-(((1030-43)*MAX('Inputs'!$B$33,'Inputs'!$B$29+'Inputs'!$B$31+'Inputs'!$B$32,'Inputs'!$B$30+'Inputs'!$B$31+'Inputs'!$B$32)/1000+'Inputs'!$B$21+'Inputs'!$B$9+'Inputs'!$B$10))/SQRT((((1030-43)*MAX('Inputs'!$B$33,'Inputs'!$B$29+'Inputs'!$B$31+'Inputs'!$B$32,'Inputs'!$B$30+'Inputs'!$B$31+'Inputs'!$B$32)/1000+'Inputs'!$B$21+'Inputs'!$B$9+'Inputs'!$B$10))^2+('Inputs'!$B$6/2)^2))))*'Results'!$B$8))),"")</x:f>
        <x:v>0.27162909845461775</x:v>
      </x:c>
      <x:c r="O1030" t="n">
        <x:f>IF(AND(ISNUMBER('Results'!C7),ISNUMBER('Results'!B7),ISNUMBER('Results'!$B$8),ISNUMBER('Inputs'!$B$6),ISNUMBER('Inputs'!$B$7),ISNUMBER('Inputs'!$B$8),ISNUMBER('Inputs'!$B$9),ISNUMBER('Inputs'!$B$10),ISNUMBER('Inputs'!$B$21),ISNUMBER('Inputs'!$B$24),ISNUMBER('Inputs'!$B$28)),((('Results'!C7*(1+'Inputs'!$B$24)*(0.5*((((1030-43)*MAX('Inputs'!$B$33,'Inputs'!$B$29+'Inputs'!$B$31+'Inputs'!$B$32,'Inputs'!$B$30+'Inputs'!$B$31+'Inputs'!$B$32)/1000+'Inputs'!$B$21)+'Inputs'!$B$9)/SQRT((((1030-43)*MAX('Inputs'!$B$33,'Inputs'!$B$29+'Inputs'!$B$31+'Inputs'!$B$32,'Inputs'!$B$30+'Inputs'!$B$31+'Inputs'!$B$32)/1000+'Inputs'!$B$21)+'Inputs'!$B$9)^2+('Inputs'!$B$8/2)^2)-(((1030-43)*MAX('Inputs'!$B$33,'Inputs'!$B$29+'Inputs'!$B$31+'Inputs'!$B$32,'Inputs'!$B$30+'Inputs'!$B$31+'Inputs'!$B$32)/1000+'Inputs'!$B$21))/SQRT((((1030-43)*MAX('Inputs'!$B$33,'Inputs'!$B$29+'Inputs'!$B$31+'Inputs'!$B$32,'Inputs'!$B$30+'Inputs'!$B$31+'Inputs'!$B$32)/1000+'Inputs'!$B$21))^2+('Inputs'!$B$8/2)^2)))-'Results'!B7*(1-'Inputs'!$B$24)*(0.5*((((1030-43)*MAX('Inputs'!$B$33,'Inputs'!$B$29+'Inputs'!$B$31+'Inputs'!$B$32,'Inputs'!$B$30+'Inputs'!$B$31+'Inputs'!$B$32)/1000+'Inputs'!$B$21+'Inputs'!$B$9+'Inputs'!$B$10)+'Inputs'!$B$7)/SQRT((((1030-43)*MAX('Inputs'!$B$33,'Inputs'!$B$29+'Inputs'!$B$31+'Inputs'!$B$32,'Inputs'!$B$30+'Inputs'!$B$31+'Inputs'!$B$32)/1000+'Inputs'!$B$21+'Inputs'!$B$9+'Inputs'!$B$10)+'Inputs'!$B$7)^2+('Inputs'!$B$6/2)^2)-(((1030-43)*MAX('Inputs'!$B$33,'Inputs'!$B$29+'Inputs'!$B$31+'Inputs'!$B$32,'Inputs'!$B$30+'Inputs'!$B$31+'Inputs'!$B$32)/1000+'Inputs'!$B$21+'Inputs'!$B$9+'Inputs'!$B$10))/SQRT((((1030-43)*MAX('Inputs'!$B$33,'Inputs'!$B$29+'Inputs'!$B$31+'Inputs'!$B$32,'Inputs'!$B$30+'Inputs'!$B$31+'Inputs'!$B$32)/1000+'Inputs'!$B$21+'Inputs'!$B$9+'Inputs'!$B$10))^2+('Inputs'!$B$6/2)^2))))*'Results'!$B$8)+'Inputs'!$B$28*ABS((('Results'!C7*(1+'Inputs'!$B$24)*(0.5*((((1030-43)*MAX('Inputs'!$B$33,'Inputs'!$B$29+'Inputs'!$B$31+'Inputs'!$B$32,'Inputs'!$B$30+'Inputs'!$B$31+'Inputs'!$B$32)/1000+'Inputs'!$B$21)+'Inputs'!$B$9)/SQRT((((1030-43)*MAX('Inputs'!$B$33,'Inputs'!$B$29+'Inputs'!$B$31+'Inputs'!$B$32,'Inputs'!$B$30+'Inputs'!$B$31+'Inputs'!$B$32)/1000+'Inputs'!$B$21)+'Inputs'!$B$9)^2+('Inputs'!$B$8/2)^2)-(((1030-43)*MAX('Inputs'!$B$33,'Inputs'!$B$29+'Inputs'!$B$31+'Inputs'!$B$32,'Inputs'!$B$30+'Inputs'!$B$31+'Inputs'!$B$32)/1000+'Inputs'!$B$21))/SQRT((((1030-43)*MAX('Inputs'!$B$33,'Inputs'!$B$29+'Inputs'!$B$31+'Inputs'!$B$32,'Inputs'!$B$30+'Inputs'!$B$31+'Inputs'!$B$32)/1000+'Inputs'!$B$21))^2+('Inputs'!$B$8/2)^2)))-'Results'!B7*(1-'Inputs'!$B$24)*(0.5*((((1030-43)*MAX('Inputs'!$B$33,'Inputs'!$B$29+'Inputs'!$B$31+'Inputs'!$B$32,'Inputs'!$B$30+'Inputs'!$B$31+'Inputs'!$B$32)/1000+'Inputs'!$B$21+'Inputs'!$B$9+'Inputs'!$B$10)+'Inputs'!$B$7)/SQRT((((1030-43)*MAX('Inputs'!$B$33,'Inputs'!$B$29+'Inputs'!$B$31+'Inputs'!$B$32,'Inputs'!$B$30+'Inputs'!$B$31+'Inputs'!$B$32)/1000+'Inputs'!$B$21+'Inputs'!$B$9+'Inputs'!$B$10)+'Inputs'!$B$7)^2+('Inputs'!$B$6/2)^2)-(((1030-43)*MAX('Inputs'!$B$33,'Inputs'!$B$29+'Inputs'!$B$31+'Inputs'!$B$32,'Inputs'!$B$30+'Inputs'!$B$31+'Inputs'!$B$32)/1000+'Inputs'!$B$21+'Inputs'!$B$9+'Inputs'!$B$10))/SQRT((((1030-43)*MAX('Inputs'!$B$33,'Inputs'!$B$29+'Inputs'!$B$31+'Inputs'!$B$32,'Inputs'!$B$30+'Inputs'!$B$31+'Inputs'!$B$32)/1000+'Inputs'!$B$21+'Inputs'!$B$9+'Inputs'!$B$10))^2+('Inputs'!$B$6/2)^2))))*'Results'!$B$8))),"")</x:f>
        <x:v>0.3927757173179067</x:v>
      </x:c>
      <x:c r="P1030" t="n">
        <x:f>IF(AND(MAX(J1030,J1029)&gt;0,J1030&gt;J1029+0.00000001),1,0)</x:f>
        <x:v>0</x:v>
      </x:c>
      <x:c r="Q1030" t="n">
        <x:f>IF(AND(MAX(K1030,K1029)&gt;0,K1030&gt;K1029+0.00000001),1,0)</x:f>
        <x:v>0</x:v>
      </x:c>
      <x:c r="R1030" t="n">
        <x:f>IF(AND(MAX(L1030,L1029)&gt;0,L1030&gt;L1029+0.00000001),1,0)</x:f>
        <x:v>0</x:v>
      </x:c>
      <x:c r="S1030" t="n">
        <x:f>IF(AND(MAX(M1030,M1029)&gt;0,M1030&gt;M1029+0.00000001),1,0)</x:f>
        <x:v>0</x:v>
      </x:c>
      <x:c r="T1030" t="n">
        <x:f>IF(AND(MAX(N1030,N1029)&gt;0,N1030&gt;N1029+0.00000001),1,0)</x:f>
        <x:v>0</x:v>
      </x:c>
      <x:c r="U1030" t="n">
        <x:f>IF(AND(MAX(O1030,O1029)&gt;0,O1030&gt;O1029+0.00000001),1,0)</x:f>
        <x:v>0</x:v>
      </x:c>
    </x:row>
    <x:row r="1031">
      <x:c r="J1031" t="n">
        <x:f>IF(AND(ISNUMBER('Results'!B7),ISNUMBER('Results'!C7),ISNUMBER('Results'!$B$8),ISNUMBER('Inputs'!$B$6),ISNUMBER('Inputs'!$B$7),ISNUMBER('Inputs'!$B$8),ISNUMBER('Inputs'!$B$9),ISNUMBER('Inputs'!$B$10),ISNUMBER('Inputs'!$B$21),ISNUMBER('Inputs'!$B$24),ISNUMBER('Inputs'!$B$28)),(('Results'!B7*(0.5*((((1031-43)*MAX('Inputs'!$B$33,'Inputs'!$B$29+'Inputs'!$B$31+'Inputs'!$B$32,'Inputs'!$B$30+'Inputs'!$B$31+'Inputs'!$B$32)/1000+'Inputs'!$B$21)+'Inputs'!$B$7)/SQRT((((1031-43)*MAX('Inputs'!$B$33,'Inputs'!$B$29+'Inputs'!$B$31+'Inputs'!$B$32,'Inputs'!$B$30+'Inputs'!$B$31+'Inputs'!$B$32)/1000+'Inputs'!$B$21)+'Inputs'!$B$7)^2+('Inputs'!$B$6/2)^2)-(((1031-43)*MAX('Inputs'!$B$33,'Inputs'!$B$29+'Inputs'!$B$31+'Inputs'!$B$32,'Inputs'!$B$30+'Inputs'!$B$31+'Inputs'!$B$32)/1000+'Inputs'!$B$21))/SQRT((((1031-43)*MAX('Inputs'!$B$33,'Inputs'!$B$29+'Inputs'!$B$31+'Inputs'!$B$32,'Inputs'!$B$30+'Inputs'!$B$31+'Inputs'!$B$32)/1000+'Inputs'!$B$21))^2+('Inputs'!$B$6/2)^2)))-'Results'!C7*(0.5*((((1031-43)*MAX('Inputs'!$B$33,'Inputs'!$B$29+'Inputs'!$B$31+'Inputs'!$B$32,'Inputs'!$B$30+'Inputs'!$B$31+'Inputs'!$B$32)/1000+'Inputs'!$B$21+'Inputs'!$B$7+'Inputs'!$B$10)+'Inputs'!$B$9)/SQRT((((1031-43)*MAX('Inputs'!$B$33,'Inputs'!$B$29+'Inputs'!$B$31+'Inputs'!$B$32,'Inputs'!$B$30+'Inputs'!$B$31+'Inputs'!$B$32)/1000+'Inputs'!$B$21+'Inputs'!$B$7+'Inputs'!$B$10)+'Inputs'!$B$9)^2+('Inputs'!$B$8/2)^2)-(((1031-43)*MAX('Inputs'!$B$33,'Inputs'!$B$29+'Inputs'!$B$31+'Inputs'!$B$32,'Inputs'!$B$30+'Inputs'!$B$31+'Inputs'!$B$32)/1000+'Inputs'!$B$21+'Inputs'!$B$7+'Inputs'!$B$10))/SQRT((((1031-43)*MAX('Inputs'!$B$33,'Inputs'!$B$29+'Inputs'!$B$31+'Inputs'!$B$32,'Inputs'!$B$30+'Inputs'!$B$31+'Inputs'!$B$32)/1000+'Inputs'!$B$21+'Inputs'!$B$7+'Inputs'!$B$10))^2+('Inputs'!$B$8/2)^2))))*'Results'!$B$8),"")</x:f>
        <x:v>0.37320714462450566</x:v>
      </x:c>
      <x:c r="K1031" t="n">
        <x:f>IF(AND(ISNUMBER('Results'!B7),ISNUMBER('Results'!C7),ISNUMBER('Results'!$B$8),ISNUMBER('Inputs'!$B$6),ISNUMBER('Inputs'!$B$7),ISNUMBER('Inputs'!$B$8),ISNUMBER('Inputs'!$B$9),ISNUMBER('Inputs'!$B$10),ISNUMBER('Inputs'!$B$21),ISNUMBER('Inputs'!$B$24),ISNUMBER('Inputs'!$B$28)),((('Results'!B7*(1-'Inputs'!$B$24)*(0.5*((((1031-43)*MAX('Inputs'!$B$33,'Inputs'!$B$29+'Inputs'!$B$31+'Inputs'!$B$32,'Inputs'!$B$30+'Inputs'!$B$31+'Inputs'!$B$32)/1000+'Inputs'!$B$21)+'Inputs'!$B$7)/SQRT((((1031-43)*MAX('Inputs'!$B$33,'Inputs'!$B$29+'Inputs'!$B$31+'Inputs'!$B$32,'Inputs'!$B$30+'Inputs'!$B$31+'Inputs'!$B$32)/1000+'Inputs'!$B$21)+'Inputs'!$B$7)^2+('Inputs'!$B$6/2)^2)-(((1031-43)*MAX('Inputs'!$B$33,'Inputs'!$B$29+'Inputs'!$B$31+'Inputs'!$B$32,'Inputs'!$B$30+'Inputs'!$B$31+'Inputs'!$B$32)/1000+'Inputs'!$B$21))/SQRT((((1031-43)*MAX('Inputs'!$B$33,'Inputs'!$B$29+'Inputs'!$B$31+'Inputs'!$B$32,'Inputs'!$B$30+'Inputs'!$B$31+'Inputs'!$B$32)/1000+'Inputs'!$B$21))^2+('Inputs'!$B$6/2)^2)))-'Results'!C7*(1+'Inputs'!$B$24)*(0.5*((((1031-43)*MAX('Inputs'!$B$33,'Inputs'!$B$29+'Inputs'!$B$31+'Inputs'!$B$32,'Inputs'!$B$30+'Inputs'!$B$31+'Inputs'!$B$32)/1000+'Inputs'!$B$21+'Inputs'!$B$7+'Inputs'!$B$10)+'Inputs'!$B$9)/SQRT((((1031-43)*MAX('Inputs'!$B$33,'Inputs'!$B$29+'Inputs'!$B$31+'Inputs'!$B$32,'Inputs'!$B$30+'Inputs'!$B$31+'Inputs'!$B$32)/1000+'Inputs'!$B$21+'Inputs'!$B$7+'Inputs'!$B$10)+'Inputs'!$B$9)^2+('Inputs'!$B$8/2)^2)-(((1031-43)*MAX('Inputs'!$B$33,'Inputs'!$B$29+'Inputs'!$B$31+'Inputs'!$B$32,'Inputs'!$B$30+'Inputs'!$B$31+'Inputs'!$B$32)/1000+'Inputs'!$B$21+'Inputs'!$B$7+'Inputs'!$B$10))/SQRT((((1031-43)*MAX('Inputs'!$B$33,'Inputs'!$B$29+'Inputs'!$B$31+'Inputs'!$B$32,'Inputs'!$B$30+'Inputs'!$B$31+'Inputs'!$B$32)/1000+'Inputs'!$B$21+'Inputs'!$B$7+'Inputs'!$B$10))^2+('Inputs'!$B$8/2)^2))))*'Results'!$B$8)-'Inputs'!$B$28*ABS((('Results'!B7*(1-'Inputs'!$B$24)*(0.5*((((1031-43)*MAX('Inputs'!$B$33,'Inputs'!$B$29+'Inputs'!$B$31+'Inputs'!$B$32,'Inputs'!$B$30+'Inputs'!$B$31+'Inputs'!$B$32)/1000+'Inputs'!$B$21)+'Inputs'!$B$7)/SQRT((((1031-43)*MAX('Inputs'!$B$33,'Inputs'!$B$29+'Inputs'!$B$31+'Inputs'!$B$32,'Inputs'!$B$30+'Inputs'!$B$31+'Inputs'!$B$32)/1000+'Inputs'!$B$21)+'Inputs'!$B$7)^2+('Inputs'!$B$6/2)^2)-(((1031-43)*MAX('Inputs'!$B$33,'Inputs'!$B$29+'Inputs'!$B$31+'Inputs'!$B$32,'Inputs'!$B$30+'Inputs'!$B$31+'Inputs'!$B$32)/1000+'Inputs'!$B$21))/SQRT((((1031-43)*MAX('Inputs'!$B$33,'Inputs'!$B$29+'Inputs'!$B$31+'Inputs'!$B$32,'Inputs'!$B$30+'Inputs'!$B$31+'Inputs'!$B$32)/1000+'Inputs'!$B$21))^2+('Inputs'!$B$6/2)^2)))-'Results'!C7*(1+'Inputs'!$B$24)*(0.5*((((1031-43)*MAX('Inputs'!$B$33,'Inputs'!$B$29+'Inputs'!$B$31+'Inputs'!$B$32,'Inputs'!$B$30+'Inputs'!$B$31+'Inputs'!$B$32)/1000+'Inputs'!$B$21+'Inputs'!$B$7+'Inputs'!$B$10)+'Inputs'!$B$9)/SQRT((((1031-43)*MAX('Inputs'!$B$33,'Inputs'!$B$29+'Inputs'!$B$31+'Inputs'!$B$32,'Inputs'!$B$30+'Inputs'!$B$31+'Inputs'!$B$32)/1000+'Inputs'!$B$21+'Inputs'!$B$7+'Inputs'!$B$10)+'Inputs'!$B$9)^2+('Inputs'!$B$8/2)^2)-(((1031-43)*MAX('Inputs'!$B$33,'Inputs'!$B$29+'Inputs'!$B$31+'Inputs'!$B$32,'Inputs'!$B$30+'Inputs'!$B$31+'Inputs'!$B$32)/1000+'Inputs'!$B$21+'Inputs'!$B$7+'Inputs'!$B$10))/SQRT((((1031-43)*MAX('Inputs'!$B$33,'Inputs'!$B$29+'Inputs'!$B$31+'Inputs'!$B$32,'Inputs'!$B$30+'Inputs'!$B$31+'Inputs'!$B$32)/1000+'Inputs'!$B$21+'Inputs'!$B$7+'Inputs'!$B$10))^2+('Inputs'!$B$8/2)^2))))*'Results'!$B$8))),"")</x:f>
        <x:v>0.31266084861865207</x:v>
      </x:c>
      <x:c r="L1031" t="n">
        <x:f>IF(AND(ISNUMBER('Results'!B7),ISNUMBER('Results'!C7),ISNUMBER('Results'!$B$8),ISNUMBER('Inputs'!$B$6),ISNUMBER('Inputs'!$B$7),ISNUMBER('Inputs'!$B$8),ISNUMBER('Inputs'!$B$9),ISNUMBER('Inputs'!$B$10),ISNUMBER('Inputs'!$B$21),ISNUMBER('Inputs'!$B$24),ISNUMBER('Inputs'!$B$28)),((('Results'!B7*(1+'Inputs'!$B$24)*(0.5*((((1031-43)*MAX('Inputs'!$B$33,'Inputs'!$B$29+'Inputs'!$B$31+'Inputs'!$B$32,'Inputs'!$B$30+'Inputs'!$B$31+'Inputs'!$B$32)/1000+'Inputs'!$B$21)+'Inputs'!$B$7)/SQRT((((1031-43)*MAX('Inputs'!$B$33,'Inputs'!$B$29+'Inputs'!$B$31+'Inputs'!$B$32,'Inputs'!$B$30+'Inputs'!$B$31+'Inputs'!$B$32)/1000+'Inputs'!$B$21)+'Inputs'!$B$7)^2+('Inputs'!$B$6/2)^2)-(((1031-43)*MAX('Inputs'!$B$33,'Inputs'!$B$29+'Inputs'!$B$31+'Inputs'!$B$32,'Inputs'!$B$30+'Inputs'!$B$31+'Inputs'!$B$32)/1000+'Inputs'!$B$21))/SQRT((((1031-43)*MAX('Inputs'!$B$33,'Inputs'!$B$29+'Inputs'!$B$31+'Inputs'!$B$32,'Inputs'!$B$30+'Inputs'!$B$31+'Inputs'!$B$32)/1000+'Inputs'!$B$21))^2+('Inputs'!$B$6/2)^2)))-'Results'!C7*(1-'Inputs'!$B$24)*(0.5*((((1031-43)*MAX('Inputs'!$B$33,'Inputs'!$B$29+'Inputs'!$B$31+'Inputs'!$B$32,'Inputs'!$B$30+'Inputs'!$B$31+'Inputs'!$B$32)/1000+'Inputs'!$B$21+'Inputs'!$B$7+'Inputs'!$B$10)+'Inputs'!$B$9)/SQRT((((1031-43)*MAX('Inputs'!$B$33,'Inputs'!$B$29+'Inputs'!$B$31+'Inputs'!$B$32,'Inputs'!$B$30+'Inputs'!$B$31+'Inputs'!$B$32)/1000+'Inputs'!$B$21+'Inputs'!$B$7+'Inputs'!$B$10)+'Inputs'!$B$9)^2+('Inputs'!$B$8/2)^2)-(((1031-43)*MAX('Inputs'!$B$33,'Inputs'!$B$29+'Inputs'!$B$31+'Inputs'!$B$32,'Inputs'!$B$30+'Inputs'!$B$31+'Inputs'!$B$32)/1000+'Inputs'!$B$21+'Inputs'!$B$7+'Inputs'!$B$10))/SQRT((((1031-43)*MAX('Inputs'!$B$33,'Inputs'!$B$29+'Inputs'!$B$31+'Inputs'!$B$32,'Inputs'!$B$30+'Inputs'!$B$31+'Inputs'!$B$32)/1000+'Inputs'!$B$21+'Inputs'!$B$7+'Inputs'!$B$10))^2+('Inputs'!$B$8/2)^2))))*'Results'!$B$8)+'Inputs'!$B$28*ABS((('Results'!B7*(1+'Inputs'!$B$24)*(0.5*((((1031-43)*MAX('Inputs'!$B$33,'Inputs'!$B$29+'Inputs'!$B$31+'Inputs'!$B$32,'Inputs'!$B$30+'Inputs'!$B$31+'Inputs'!$B$32)/1000+'Inputs'!$B$21)+'Inputs'!$B$7)/SQRT((((1031-43)*MAX('Inputs'!$B$33,'Inputs'!$B$29+'Inputs'!$B$31+'Inputs'!$B$32,'Inputs'!$B$30+'Inputs'!$B$31+'Inputs'!$B$32)/1000+'Inputs'!$B$21)+'Inputs'!$B$7)^2+('Inputs'!$B$6/2)^2)-(((1031-43)*MAX('Inputs'!$B$33,'Inputs'!$B$29+'Inputs'!$B$31+'Inputs'!$B$32,'Inputs'!$B$30+'Inputs'!$B$31+'Inputs'!$B$32)/1000+'Inputs'!$B$21))/SQRT((((1031-43)*MAX('Inputs'!$B$33,'Inputs'!$B$29+'Inputs'!$B$31+'Inputs'!$B$32,'Inputs'!$B$30+'Inputs'!$B$31+'Inputs'!$B$32)/1000+'Inputs'!$B$21))^2+('Inputs'!$B$6/2)^2)))-'Results'!C7*(1-'Inputs'!$B$24)*(0.5*((((1031-43)*MAX('Inputs'!$B$33,'Inputs'!$B$29+'Inputs'!$B$31+'Inputs'!$B$32,'Inputs'!$B$30+'Inputs'!$B$31+'Inputs'!$B$32)/1000+'Inputs'!$B$21+'Inputs'!$B$7+'Inputs'!$B$10)+'Inputs'!$B$9)/SQRT((((1031-43)*MAX('Inputs'!$B$33,'Inputs'!$B$29+'Inputs'!$B$31+'Inputs'!$B$32,'Inputs'!$B$30+'Inputs'!$B$31+'Inputs'!$B$32)/1000+'Inputs'!$B$21+'Inputs'!$B$7+'Inputs'!$B$10)+'Inputs'!$B$9)^2+('Inputs'!$B$8/2)^2)-(((1031-43)*MAX('Inputs'!$B$33,'Inputs'!$B$29+'Inputs'!$B$31+'Inputs'!$B$32,'Inputs'!$B$30+'Inputs'!$B$31+'Inputs'!$B$32)/1000+'Inputs'!$B$21+'Inputs'!$B$7+'Inputs'!$B$10))/SQRT((((1031-43)*MAX('Inputs'!$B$33,'Inputs'!$B$29+'Inputs'!$B$31+'Inputs'!$B$32,'Inputs'!$B$30+'Inputs'!$B$31+'Inputs'!$B$32)/1000+'Inputs'!$B$21+'Inputs'!$B$7+'Inputs'!$B$10))^2+('Inputs'!$B$8/2)^2))))*'Results'!$B$8))),"")</x:f>
        <x:v>0.4381624868171622</x:v>
      </x:c>
      <x:c r="M1031" t="n">
        <x:f>IF(AND(ISNUMBER('Results'!C7),ISNUMBER('Results'!B7),ISNUMBER('Results'!$B$8),ISNUMBER('Inputs'!$B$6),ISNUMBER('Inputs'!$B$7),ISNUMBER('Inputs'!$B$8),ISNUMBER('Inputs'!$B$9),ISNUMBER('Inputs'!$B$10),ISNUMBER('Inputs'!$B$21),ISNUMBER('Inputs'!$B$24),ISNUMBER('Inputs'!$B$28)),(('Results'!C7*(0.5*((((1031-43)*MAX('Inputs'!$B$33,'Inputs'!$B$29+'Inputs'!$B$31+'Inputs'!$B$32,'Inputs'!$B$30+'Inputs'!$B$31+'Inputs'!$B$32)/1000+'Inputs'!$B$21)+'Inputs'!$B$9)/SQRT((((1031-43)*MAX('Inputs'!$B$33,'Inputs'!$B$29+'Inputs'!$B$31+'Inputs'!$B$32,'Inputs'!$B$30+'Inputs'!$B$31+'Inputs'!$B$32)/1000+'Inputs'!$B$21)+'Inputs'!$B$9)^2+('Inputs'!$B$8/2)^2)-(((1031-43)*MAX('Inputs'!$B$33,'Inputs'!$B$29+'Inputs'!$B$31+'Inputs'!$B$32,'Inputs'!$B$30+'Inputs'!$B$31+'Inputs'!$B$32)/1000+'Inputs'!$B$21))/SQRT((((1031-43)*MAX('Inputs'!$B$33,'Inputs'!$B$29+'Inputs'!$B$31+'Inputs'!$B$32,'Inputs'!$B$30+'Inputs'!$B$31+'Inputs'!$B$32)/1000+'Inputs'!$B$21))^2+('Inputs'!$B$8/2)^2)))-'Results'!B7*(0.5*((((1031-43)*MAX('Inputs'!$B$33,'Inputs'!$B$29+'Inputs'!$B$31+'Inputs'!$B$32,'Inputs'!$B$30+'Inputs'!$B$31+'Inputs'!$B$32)/1000+'Inputs'!$B$21+'Inputs'!$B$9+'Inputs'!$B$10)+'Inputs'!$B$7)/SQRT((((1031-43)*MAX('Inputs'!$B$33,'Inputs'!$B$29+'Inputs'!$B$31+'Inputs'!$B$32,'Inputs'!$B$30+'Inputs'!$B$31+'Inputs'!$B$32)/1000+'Inputs'!$B$21+'Inputs'!$B$9+'Inputs'!$B$10)+'Inputs'!$B$7)^2+('Inputs'!$B$6/2)^2)-(((1031-43)*MAX('Inputs'!$B$33,'Inputs'!$B$29+'Inputs'!$B$31+'Inputs'!$B$32,'Inputs'!$B$30+'Inputs'!$B$31+'Inputs'!$B$32)/1000+'Inputs'!$B$21+'Inputs'!$B$9+'Inputs'!$B$10))/SQRT((((1031-43)*MAX('Inputs'!$B$33,'Inputs'!$B$29+'Inputs'!$B$31+'Inputs'!$B$32,'Inputs'!$B$30+'Inputs'!$B$31+'Inputs'!$B$32)/1000+'Inputs'!$B$21+'Inputs'!$B$9+'Inputs'!$B$10))^2+('Inputs'!$B$6/2)^2))))*'Results'!$B$8),"")</x:f>
        <x:v>0.3287429448077459</x:v>
      </x:c>
      <x:c r="N1031" t="n">
        <x:f>IF(AND(ISNUMBER('Results'!C7),ISNUMBER('Results'!B7),ISNUMBER('Results'!$B$8),ISNUMBER('Inputs'!$B$6),ISNUMBER('Inputs'!$B$7),ISNUMBER('Inputs'!$B$8),ISNUMBER('Inputs'!$B$9),ISNUMBER('Inputs'!$B$10),ISNUMBER('Inputs'!$B$21),ISNUMBER('Inputs'!$B$24),ISNUMBER('Inputs'!$B$28)),((('Results'!C7*(1-'Inputs'!$B$24)*(0.5*((((1031-43)*MAX('Inputs'!$B$33,'Inputs'!$B$29+'Inputs'!$B$31+'Inputs'!$B$32,'Inputs'!$B$30+'Inputs'!$B$31+'Inputs'!$B$32)/1000+'Inputs'!$B$21)+'Inputs'!$B$9)/SQRT((((1031-43)*MAX('Inputs'!$B$33,'Inputs'!$B$29+'Inputs'!$B$31+'Inputs'!$B$32,'Inputs'!$B$30+'Inputs'!$B$31+'Inputs'!$B$32)/1000+'Inputs'!$B$21)+'Inputs'!$B$9)^2+('Inputs'!$B$8/2)^2)-(((1031-43)*MAX('Inputs'!$B$33,'Inputs'!$B$29+'Inputs'!$B$31+'Inputs'!$B$32,'Inputs'!$B$30+'Inputs'!$B$31+'Inputs'!$B$32)/1000+'Inputs'!$B$21))/SQRT((((1031-43)*MAX('Inputs'!$B$33,'Inputs'!$B$29+'Inputs'!$B$31+'Inputs'!$B$32,'Inputs'!$B$30+'Inputs'!$B$31+'Inputs'!$B$32)/1000+'Inputs'!$B$21))^2+('Inputs'!$B$8/2)^2)))-'Results'!B7*(1+'Inputs'!$B$24)*(0.5*((((1031-43)*MAX('Inputs'!$B$33,'Inputs'!$B$29+'Inputs'!$B$31+'Inputs'!$B$32,'Inputs'!$B$30+'Inputs'!$B$31+'Inputs'!$B$32)/1000+'Inputs'!$B$21+'Inputs'!$B$9+'Inputs'!$B$10)+'Inputs'!$B$7)/SQRT((((1031-43)*MAX('Inputs'!$B$33,'Inputs'!$B$29+'Inputs'!$B$31+'Inputs'!$B$32,'Inputs'!$B$30+'Inputs'!$B$31+'Inputs'!$B$32)/1000+'Inputs'!$B$21+'Inputs'!$B$9+'Inputs'!$B$10)+'Inputs'!$B$7)^2+('Inputs'!$B$6/2)^2)-(((1031-43)*MAX('Inputs'!$B$33,'Inputs'!$B$29+'Inputs'!$B$31+'Inputs'!$B$32,'Inputs'!$B$30+'Inputs'!$B$31+'Inputs'!$B$32)/1000+'Inputs'!$B$21+'Inputs'!$B$9+'Inputs'!$B$10))/SQRT((((1031-43)*MAX('Inputs'!$B$33,'Inputs'!$B$29+'Inputs'!$B$31+'Inputs'!$B$32,'Inputs'!$B$30+'Inputs'!$B$31+'Inputs'!$B$32)/1000+'Inputs'!$B$21+'Inputs'!$B$9+'Inputs'!$B$10))^2+('Inputs'!$B$6/2)^2))))*'Results'!$B$8)-'Inputs'!$B$28*ABS((('Results'!C7*(1-'Inputs'!$B$24)*(0.5*((((1031-43)*MAX('Inputs'!$B$33,'Inputs'!$B$29+'Inputs'!$B$31+'Inputs'!$B$32,'Inputs'!$B$30+'Inputs'!$B$31+'Inputs'!$B$32)/1000+'Inputs'!$B$21)+'Inputs'!$B$9)/SQRT((((1031-43)*MAX('Inputs'!$B$33,'Inputs'!$B$29+'Inputs'!$B$31+'Inputs'!$B$32,'Inputs'!$B$30+'Inputs'!$B$31+'Inputs'!$B$32)/1000+'Inputs'!$B$21)+'Inputs'!$B$9)^2+('Inputs'!$B$8/2)^2)-(((1031-43)*MAX('Inputs'!$B$33,'Inputs'!$B$29+'Inputs'!$B$31+'Inputs'!$B$32,'Inputs'!$B$30+'Inputs'!$B$31+'Inputs'!$B$32)/1000+'Inputs'!$B$21))/SQRT((((1031-43)*MAX('Inputs'!$B$33,'Inputs'!$B$29+'Inputs'!$B$31+'Inputs'!$B$32,'Inputs'!$B$30+'Inputs'!$B$31+'Inputs'!$B$32)/1000+'Inputs'!$B$21))^2+('Inputs'!$B$8/2)^2)))-'Results'!B7*(1+'Inputs'!$B$24)*(0.5*((((1031-43)*MAX('Inputs'!$B$33,'Inputs'!$B$29+'Inputs'!$B$31+'Inputs'!$B$32,'Inputs'!$B$30+'Inputs'!$B$31+'Inputs'!$B$32)/1000+'Inputs'!$B$21+'Inputs'!$B$9+'Inputs'!$B$10)+'Inputs'!$B$7)/SQRT((((1031-43)*MAX('Inputs'!$B$33,'Inputs'!$B$29+'Inputs'!$B$31+'Inputs'!$B$32,'Inputs'!$B$30+'Inputs'!$B$31+'Inputs'!$B$32)/1000+'Inputs'!$B$21+'Inputs'!$B$9+'Inputs'!$B$10)+'Inputs'!$B$7)^2+('Inputs'!$B$6/2)^2)-(((1031-43)*MAX('Inputs'!$B$33,'Inputs'!$B$29+'Inputs'!$B$31+'Inputs'!$B$32,'Inputs'!$B$30+'Inputs'!$B$31+'Inputs'!$B$32)/1000+'Inputs'!$B$21+'Inputs'!$B$9+'Inputs'!$B$10))/SQRT((((1031-43)*MAX('Inputs'!$B$33,'Inputs'!$B$29+'Inputs'!$B$31+'Inputs'!$B$32,'Inputs'!$B$30+'Inputs'!$B$31+'Inputs'!$B$32)/1000+'Inputs'!$B$21+'Inputs'!$B$9+'Inputs'!$B$10))^2+('Inputs'!$B$6/2)^2))))*'Results'!$B$8))),"")</x:f>
        <x:v>0.2705545764866617</x:v>
      </x:c>
      <x:c r="O1031" t="n">
        <x:f>IF(AND(ISNUMBER('Results'!C7),ISNUMBER('Results'!B7),ISNUMBER('Results'!$B$8),ISNUMBER('Inputs'!$B$6),ISNUMBER('Inputs'!$B$7),ISNUMBER('Inputs'!$B$8),ISNUMBER('Inputs'!$B$9),ISNUMBER('Inputs'!$B$10),ISNUMBER('Inputs'!$B$21),ISNUMBER('Inputs'!$B$24),ISNUMBER('Inputs'!$B$28)),((('Results'!C7*(1+'Inputs'!$B$24)*(0.5*((((1031-43)*MAX('Inputs'!$B$33,'Inputs'!$B$29+'Inputs'!$B$31+'Inputs'!$B$32,'Inputs'!$B$30+'Inputs'!$B$31+'Inputs'!$B$32)/1000+'Inputs'!$B$21)+'Inputs'!$B$9)/SQRT((((1031-43)*MAX('Inputs'!$B$33,'Inputs'!$B$29+'Inputs'!$B$31+'Inputs'!$B$32,'Inputs'!$B$30+'Inputs'!$B$31+'Inputs'!$B$32)/1000+'Inputs'!$B$21)+'Inputs'!$B$9)^2+('Inputs'!$B$8/2)^2)-(((1031-43)*MAX('Inputs'!$B$33,'Inputs'!$B$29+'Inputs'!$B$31+'Inputs'!$B$32,'Inputs'!$B$30+'Inputs'!$B$31+'Inputs'!$B$32)/1000+'Inputs'!$B$21))/SQRT((((1031-43)*MAX('Inputs'!$B$33,'Inputs'!$B$29+'Inputs'!$B$31+'Inputs'!$B$32,'Inputs'!$B$30+'Inputs'!$B$31+'Inputs'!$B$32)/1000+'Inputs'!$B$21))^2+('Inputs'!$B$8/2)^2)))-'Results'!B7*(1-'Inputs'!$B$24)*(0.5*((((1031-43)*MAX('Inputs'!$B$33,'Inputs'!$B$29+'Inputs'!$B$31+'Inputs'!$B$32,'Inputs'!$B$30+'Inputs'!$B$31+'Inputs'!$B$32)/1000+'Inputs'!$B$21+'Inputs'!$B$9+'Inputs'!$B$10)+'Inputs'!$B$7)/SQRT((((1031-43)*MAX('Inputs'!$B$33,'Inputs'!$B$29+'Inputs'!$B$31+'Inputs'!$B$32,'Inputs'!$B$30+'Inputs'!$B$31+'Inputs'!$B$32)/1000+'Inputs'!$B$21+'Inputs'!$B$9+'Inputs'!$B$10)+'Inputs'!$B$7)^2+('Inputs'!$B$6/2)^2)-(((1031-43)*MAX('Inputs'!$B$33,'Inputs'!$B$29+'Inputs'!$B$31+'Inputs'!$B$32,'Inputs'!$B$30+'Inputs'!$B$31+'Inputs'!$B$32)/1000+'Inputs'!$B$21+'Inputs'!$B$9+'Inputs'!$B$10))/SQRT((((1031-43)*MAX('Inputs'!$B$33,'Inputs'!$B$29+'Inputs'!$B$31+'Inputs'!$B$32,'Inputs'!$B$30+'Inputs'!$B$31+'Inputs'!$B$32)/1000+'Inputs'!$B$21+'Inputs'!$B$9+'Inputs'!$B$10))^2+('Inputs'!$B$6/2)^2))))*'Results'!$B$8)+'Inputs'!$B$28*ABS((('Results'!C7*(1+'Inputs'!$B$24)*(0.5*((((1031-43)*MAX('Inputs'!$B$33,'Inputs'!$B$29+'Inputs'!$B$31+'Inputs'!$B$32,'Inputs'!$B$30+'Inputs'!$B$31+'Inputs'!$B$32)/1000+'Inputs'!$B$21)+'Inputs'!$B$9)/SQRT((((1031-43)*MAX('Inputs'!$B$33,'Inputs'!$B$29+'Inputs'!$B$31+'Inputs'!$B$32,'Inputs'!$B$30+'Inputs'!$B$31+'Inputs'!$B$32)/1000+'Inputs'!$B$21)+'Inputs'!$B$9)^2+('Inputs'!$B$8/2)^2)-(((1031-43)*MAX('Inputs'!$B$33,'Inputs'!$B$29+'Inputs'!$B$31+'Inputs'!$B$32,'Inputs'!$B$30+'Inputs'!$B$31+'Inputs'!$B$32)/1000+'Inputs'!$B$21))/SQRT((((1031-43)*MAX('Inputs'!$B$33,'Inputs'!$B$29+'Inputs'!$B$31+'Inputs'!$B$32,'Inputs'!$B$30+'Inputs'!$B$31+'Inputs'!$B$32)/1000+'Inputs'!$B$21))^2+('Inputs'!$B$8/2)^2)))-'Results'!B7*(1-'Inputs'!$B$24)*(0.5*((((1031-43)*MAX('Inputs'!$B$33,'Inputs'!$B$29+'Inputs'!$B$31+'Inputs'!$B$32,'Inputs'!$B$30+'Inputs'!$B$31+'Inputs'!$B$32)/1000+'Inputs'!$B$21+'Inputs'!$B$9+'Inputs'!$B$10)+'Inputs'!$B$7)/SQRT((((1031-43)*MAX('Inputs'!$B$33,'Inputs'!$B$29+'Inputs'!$B$31+'Inputs'!$B$32,'Inputs'!$B$30+'Inputs'!$B$31+'Inputs'!$B$32)/1000+'Inputs'!$B$21+'Inputs'!$B$9+'Inputs'!$B$10)+'Inputs'!$B$7)^2+('Inputs'!$B$6/2)^2)-(((1031-43)*MAX('Inputs'!$B$33,'Inputs'!$B$29+'Inputs'!$B$31+'Inputs'!$B$32,'Inputs'!$B$30+'Inputs'!$B$31+'Inputs'!$B$32)/1000+'Inputs'!$B$21+'Inputs'!$B$9+'Inputs'!$B$10))/SQRT((((1031-43)*MAX('Inputs'!$B$33,'Inputs'!$B$29+'Inputs'!$B$31+'Inputs'!$B$32,'Inputs'!$B$30+'Inputs'!$B$31+'Inputs'!$B$32)/1000+'Inputs'!$B$21+'Inputs'!$B$9+'Inputs'!$B$10))^2+('Inputs'!$B$6/2)^2))))*'Results'!$B$8))),"")</x:f>
        <x:v>0.3913261785057455</x:v>
      </x:c>
      <x:c r="P1031" t="n">
        <x:f>IF(AND(MAX(J1031,J1030)&gt;0,J1031&gt;J1030+0.00000001),1,0)</x:f>
        <x:v>0</x:v>
      </x:c>
      <x:c r="Q1031" t="n">
        <x:f>IF(AND(MAX(K1031,K1030)&gt;0,K1031&gt;K1030+0.00000001),1,0)</x:f>
        <x:v>0</x:v>
      </x:c>
      <x:c r="R1031" t="n">
        <x:f>IF(AND(MAX(L1031,L1030)&gt;0,L1031&gt;L1030+0.00000001),1,0)</x:f>
        <x:v>0</x:v>
      </x:c>
      <x:c r="S1031" t="n">
        <x:f>IF(AND(MAX(M1031,M1030)&gt;0,M1031&gt;M1030+0.00000001),1,0)</x:f>
        <x:v>0</x:v>
      </x:c>
      <x:c r="T1031" t="n">
        <x:f>IF(AND(MAX(N1031,N1030)&gt;0,N1031&gt;N1030+0.00000001),1,0)</x:f>
        <x:v>0</x:v>
      </x:c>
      <x:c r="U1031" t="n">
        <x:f>IF(AND(MAX(O1031,O1030)&gt;0,O1031&gt;O1030+0.00000001),1,0)</x:f>
        <x:v>0</x:v>
      </x:c>
    </x:row>
    <x:row r="1032">
      <x:c r="J1032" t="n">
        <x:f>IF(AND(ISNUMBER('Results'!B7),ISNUMBER('Results'!C7),ISNUMBER('Results'!$B$8),ISNUMBER('Inputs'!$B$6),ISNUMBER('Inputs'!$B$7),ISNUMBER('Inputs'!$B$8),ISNUMBER('Inputs'!$B$9),ISNUMBER('Inputs'!$B$10),ISNUMBER('Inputs'!$B$21),ISNUMBER('Inputs'!$B$24),ISNUMBER('Inputs'!$B$28)),(('Results'!B7*(0.5*((((1032-43)*MAX('Inputs'!$B$33,'Inputs'!$B$29+'Inputs'!$B$31+'Inputs'!$B$32,'Inputs'!$B$30+'Inputs'!$B$31+'Inputs'!$B$32)/1000+'Inputs'!$B$21)+'Inputs'!$B$7)/SQRT((((1032-43)*MAX('Inputs'!$B$33,'Inputs'!$B$29+'Inputs'!$B$31+'Inputs'!$B$32,'Inputs'!$B$30+'Inputs'!$B$31+'Inputs'!$B$32)/1000+'Inputs'!$B$21)+'Inputs'!$B$7)^2+('Inputs'!$B$6/2)^2)-(((1032-43)*MAX('Inputs'!$B$33,'Inputs'!$B$29+'Inputs'!$B$31+'Inputs'!$B$32,'Inputs'!$B$30+'Inputs'!$B$31+'Inputs'!$B$32)/1000+'Inputs'!$B$21))/SQRT((((1032-43)*MAX('Inputs'!$B$33,'Inputs'!$B$29+'Inputs'!$B$31+'Inputs'!$B$32,'Inputs'!$B$30+'Inputs'!$B$31+'Inputs'!$B$32)/1000+'Inputs'!$B$21))^2+('Inputs'!$B$6/2)^2)))-'Results'!C7*(0.5*((((1032-43)*MAX('Inputs'!$B$33,'Inputs'!$B$29+'Inputs'!$B$31+'Inputs'!$B$32,'Inputs'!$B$30+'Inputs'!$B$31+'Inputs'!$B$32)/1000+'Inputs'!$B$21+'Inputs'!$B$7+'Inputs'!$B$10)+'Inputs'!$B$9)/SQRT((((1032-43)*MAX('Inputs'!$B$33,'Inputs'!$B$29+'Inputs'!$B$31+'Inputs'!$B$32,'Inputs'!$B$30+'Inputs'!$B$31+'Inputs'!$B$32)/1000+'Inputs'!$B$21+'Inputs'!$B$7+'Inputs'!$B$10)+'Inputs'!$B$9)^2+('Inputs'!$B$8/2)^2)-(((1032-43)*MAX('Inputs'!$B$33,'Inputs'!$B$29+'Inputs'!$B$31+'Inputs'!$B$32,'Inputs'!$B$30+'Inputs'!$B$31+'Inputs'!$B$32)/1000+'Inputs'!$B$21+'Inputs'!$B$7+'Inputs'!$B$10))/SQRT((((1032-43)*MAX('Inputs'!$B$33,'Inputs'!$B$29+'Inputs'!$B$31+'Inputs'!$B$32,'Inputs'!$B$30+'Inputs'!$B$31+'Inputs'!$B$32)/1000+'Inputs'!$B$21+'Inputs'!$B$7+'Inputs'!$B$10))^2+('Inputs'!$B$8/2)^2))))*'Results'!$B$8),"")</x:f>
        <x:v>0.37183150511527663</x:v>
      </x:c>
      <x:c r="K1032" t="n">
        <x:f>IF(AND(ISNUMBER('Results'!B7),ISNUMBER('Results'!C7),ISNUMBER('Results'!$B$8),ISNUMBER('Inputs'!$B$6),ISNUMBER('Inputs'!$B$7),ISNUMBER('Inputs'!$B$8),ISNUMBER('Inputs'!$B$9),ISNUMBER('Inputs'!$B$10),ISNUMBER('Inputs'!$B$21),ISNUMBER('Inputs'!$B$24),ISNUMBER('Inputs'!$B$28)),((('Results'!B7*(1-'Inputs'!$B$24)*(0.5*((((1032-43)*MAX('Inputs'!$B$33,'Inputs'!$B$29+'Inputs'!$B$31+'Inputs'!$B$32,'Inputs'!$B$30+'Inputs'!$B$31+'Inputs'!$B$32)/1000+'Inputs'!$B$21)+'Inputs'!$B$7)/SQRT((((1032-43)*MAX('Inputs'!$B$33,'Inputs'!$B$29+'Inputs'!$B$31+'Inputs'!$B$32,'Inputs'!$B$30+'Inputs'!$B$31+'Inputs'!$B$32)/1000+'Inputs'!$B$21)+'Inputs'!$B$7)^2+('Inputs'!$B$6/2)^2)-(((1032-43)*MAX('Inputs'!$B$33,'Inputs'!$B$29+'Inputs'!$B$31+'Inputs'!$B$32,'Inputs'!$B$30+'Inputs'!$B$31+'Inputs'!$B$32)/1000+'Inputs'!$B$21))/SQRT((((1032-43)*MAX('Inputs'!$B$33,'Inputs'!$B$29+'Inputs'!$B$31+'Inputs'!$B$32,'Inputs'!$B$30+'Inputs'!$B$31+'Inputs'!$B$32)/1000+'Inputs'!$B$21))^2+('Inputs'!$B$6/2)^2)))-'Results'!C7*(1+'Inputs'!$B$24)*(0.5*((((1032-43)*MAX('Inputs'!$B$33,'Inputs'!$B$29+'Inputs'!$B$31+'Inputs'!$B$32,'Inputs'!$B$30+'Inputs'!$B$31+'Inputs'!$B$32)/1000+'Inputs'!$B$21+'Inputs'!$B$7+'Inputs'!$B$10)+'Inputs'!$B$9)/SQRT((((1032-43)*MAX('Inputs'!$B$33,'Inputs'!$B$29+'Inputs'!$B$31+'Inputs'!$B$32,'Inputs'!$B$30+'Inputs'!$B$31+'Inputs'!$B$32)/1000+'Inputs'!$B$21+'Inputs'!$B$7+'Inputs'!$B$10)+'Inputs'!$B$9)^2+('Inputs'!$B$8/2)^2)-(((1032-43)*MAX('Inputs'!$B$33,'Inputs'!$B$29+'Inputs'!$B$31+'Inputs'!$B$32,'Inputs'!$B$30+'Inputs'!$B$31+'Inputs'!$B$32)/1000+'Inputs'!$B$21+'Inputs'!$B$7+'Inputs'!$B$10))/SQRT((((1032-43)*MAX('Inputs'!$B$33,'Inputs'!$B$29+'Inputs'!$B$31+'Inputs'!$B$32,'Inputs'!$B$30+'Inputs'!$B$31+'Inputs'!$B$32)/1000+'Inputs'!$B$21+'Inputs'!$B$7+'Inputs'!$B$10))^2+('Inputs'!$B$8/2)^2))))*'Results'!$B$8)-'Inputs'!$B$28*ABS((('Results'!B7*(1-'Inputs'!$B$24)*(0.5*((((1032-43)*MAX('Inputs'!$B$33,'Inputs'!$B$29+'Inputs'!$B$31+'Inputs'!$B$32,'Inputs'!$B$30+'Inputs'!$B$31+'Inputs'!$B$32)/1000+'Inputs'!$B$21)+'Inputs'!$B$7)/SQRT((((1032-43)*MAX('Inputs'!$B$33,'Inputs'!$B$29+'Inputs'!$B$31+'Inputs'!$B$32,'Inputs'!$B$30+'Inputs'!$B$31+'Inputs'!$B$32)/1000+'Inputs'!$B$21)+'Inputs'!$B$7)^2+('Inputs'!$B$6/2)^2)-(((1032-43)*MAX('Inputs'!$B$33,'Inputs'!$B$29+'Inputs'!$B$31+'Inputs'!$B$32,'Inputs'!$B$30+'Inputs'!$B$31+'Inputs'!$B$32)/1000+'Inputs'!$B$21))/SQRT((((1032-43)*MAX('Inputs'!$B$33,'Inputs'!$B$29+'Inputs'!$B$31+'Inputs'!$B$32,'Inputs'!$B$30+'Inputs'!$B$31+'Inputs'!$B$32)/1000+'Inputs'!$B$21))^2+('Inputs'!$B$6/2)^2)))-'Results'!C7*(1+'Inputs'!$B$24)*(0.5*((((1032-43)*MAX('Inputs'!$B$33,'Inputs'!$B$29+'Inputs'!$B$31+'Inputs'!$B$32,'Inputs'!$B$30+'Inputs'!$B$31+'Inputs'!$B$32)/1000+'Inputs'!$B$21+'Inputs'!$B$7+'Inputs'!$B$10)+'Inputs'!$B$9)/SQRT((((1032-43)*MAX('Inputs'!$B$33,'Inputs'!$B$29+'Inputs'!$B$31+'Inputs'!$B$32,'Inputs'!$B$30+'Inputs'!$B$31+'Inputs'!$B$32)/1000+'Inputs'!$B$21+'Inputs'!$B$7+'Inputs'!$B$10)+'Inputs'!$B$9)^2+('Inputs'!$B$8/2)^2)-(((1032-43)*MAX('Inputs'!$B$33,'Inputs'!$B$29+'Inputs'!$B$31+'Inputs'!$B$32,'Inputs'!$B$30+'Inputs'!$B$31+'Inputs'!$B$32)/1000+'Inputs'!$B$21+'Inputs'!$B$7+'Inputs'!$B$10))/SQRT((((1032-43)*MAX('Inputs'!$B$33,'Inputs'!$B$29+'Inputs'!$B$31+'Inputs'!$B$32,'Inputs'!$B$30+'Inputs'!$B$31+'Inputs'!$B$32)/1000+'Inputs'!$B$21+'Inputs'!$B$7+'Inputs'!$B$10))^2+('Inputs'!$B$8/2)^2))))*'Results'!$B$8))),"")</x:f>
        <x:v>0.3114725304879712</x:v>
      </x:c>
      <x:c r="L1032" t="n">
        <x:f>IF(AND(ISNUMBER('Results'!B7),ISNUMBER('Results'!C7),ISNUMBER('Results'!$B$8),ISNUMBER('Inputs'!$B$6),ISNUMBER('Inputs'!$B$7),ISNUMBER('Inputs'!$B$8),ISNUMBER('Inputs'!$B$9),ISNUMBER('Inputs'!$B$10),ISNUMBER('Inputs'!$B$21),ISNUMBER('Inputs'!$B$24),ISNUMBER('Inputs'!$B$28)),((('Results'!B7*(1+'Inputs'!$B$24)*(0.5*((((1032-43)*MAX('Inputs'!$B$33,'Inputs'!$B$29+'Inputs'!$B$31+'Inputs'!$B$32,'Inputs'!$B$30+'Inputs'!$B$31+'Inputs'!$B$32)/1000+'Inputs'!$B$21)+'Inputs'!$B$7)/SQRT((((1032-43)*MAX('Inputs'!$B$33,'Inputs'!$B$29+'Inputs'!$B$31+'Inputs'!$B$32,'Inputs'!$B$30+'Inputs'!$B$31+'Inputs'!$B$32)/1000+'Inputs'!$B$21)+'Inputs'!$B$7)^2+('Inputs'!$B$6/2)^2)-(((1032-43)*MAX('Inputs'!$B$33,'Inputs'!$B$29+'Inputs'!$B$31+'Inputs'!$B$32,'Inputs'!$B$30+'Inputs'!$B$31+'Inputs'!$B$32)/1000+'Inputs'!$B$21))/SQRT((((1032-43)*MAX('Inputs'!$B$33,'Inputs'!$B$29+'Inputs'!$B$31+'Inputs'!$B$32,'Inputs'!$B$30+'Inputs'!$B$31+'Inputs'!$B$32)/1000+'Inputs'!$B$21))^2+('Inputs'!$B$6/2)^2)))-'Results'!C7*(1-'Inputs'!$B$24)*(0.5*((((1032-43)*MAX('Inputs'!$B$33,'Inputs'!$B$29+'Inputs'!$B$31+'Inputs'!$B$32,'Inputs'!$B$30+'Inputs'!$B$31+'Inputs'!$B$32)/1000+'Inputs'!$B$21+'Inputs'!$B$7+'Inputs'!$B$10)+'Inputs'!$B$9)/SQRT((((1032-43)*MAX('Inputs'!$B$33,'Inputs'!$B$29+'Inputs'!$B$31+'Inputs'!$B$32,'Inputs'!$B$30+'Inputs'!$B$31+'Inputs'!$B$32)/1000+'Inputs'!$B$21+'Inputs'!$B$7+'Inputs'!$B$10)+'Inputs'!$B$9)^2+('Inputs'!$B$8/2)^2)-(((1032-43)*MAX('Inputs'!$B$33,'Inputs'!$B$29+'Inputs'!$B$31+'Inputs'!$B$32,'Inputs'!$B$30+'Inputs'!$B$31+'Inputs'!$B$32)/1000+'Inputs'!$B$21+'Inputs'!$B$7+'Inputs'!$B$10))/SQRT((((1032-43)*MAX('Inputs'!$B$33,'Inputs'!$B$29+'Inputs'!$B$31+'Inputs'!$B$32,'Inputs'!$B$30+'Inputs'!$B$31+'Inputs'!$B$32)/1000+'Inputs'!$B$21+'Inputs'!$B$7+'Inputs'!$B$10))^2+('Inputs'!$B$8/2)^2))))*'Results'!$B$8)+'Inputs'!$B$28*ABS((('Results'!B7*(1+'Inputs'!$B$24)*(0.5*((((1032-43)*MAX('Inputs'!$B$33,'Inputs'!$B$29+'Inputs'!$B$31+'Inputs'!$B$32,'Inputs'!$B$30+'Inputs'!$B$31+'Inputs'!$B$32)/1000+'Inputs'!$B$21)+'Inputs'!$B$7)/SQRT((((1032-43)*MAX('Inputs'!$B$33,'Inputs'!$B$29+'Inputs'!$B$31+'Inputs'!$B$32,'Inputs'!$B$30+'Inputs'!$B$31+'Inputs'!$B$32)/1000+'Inputs'!$B$21)+'Inputs'!$B$7)^2+('Inputs'!$B$6/2)^2)-(((1032-43)*MAX('Inputs'!$B$33,'Inputs'!$B$29+'Inputs'!$B$31+'Inputs'!$B$32,'Inputs'!$B$30+'Inputs'!$B$31+'Inputs'!$B$32)/1000+'Inputs'!$B$21))/SQRT((((1032-43)*MAX('Inputs'!$B$33,'Inputs'!$B$29+'Inputs'!$B$31+'Inputs'!$B$32,'Inputs'!$B$30+'Inputs'!$B$31+'Inputs'!$B$32)/1000+'Inputs'!$B$21))^2+('Inputs'!$B$6/2)^2)))-'Results'!C7*(1-'Inputs'!$B$24)*(0.5*((((1032-43)*MAX('Inputs'!$B$33,'Inputs'!$B$29+'Inputs'!$B$31+'Inputs'!$B$32,'Inputs'!$B$30+'Inputs'!$B$31+'Inputs'!$B$32)/1000+'Inputs'!$B$21+'Inputs'!$B$7+'Inputs'!$B$10)+'Inputs'!$B$9)/SQRT((((1032-43)*MAX('Inputs'!$B$33,'Inputs'!$B$29+'Inputs'!$B$31+'Inputs'!$B$32,'Inputs'!$B$30+'Inputs'!$B$31+'Inputs'!$B$32)/1000+'Inputs'!$B$21+'Inputs'!$B$7+'Inputs'!$B$10)+'Inputs'!$B$9)^2+('Inputs'!$B$8/2)^2)-(((1032-43)*MAX('Inputs'!$B$33,'Inputs'!$B$29+'Inputs'!$B$31+'Inputs'!$B$32,'Inputs'!$B$30+'Inputs'!$B$31+'Inputs'!$B$32)/1000+'Inputs'!$B$21+'Inputs'!$B$7+'Inputs'!$B$10))/SQRT((((1032-43)*MAX('Inputs'!$B$33,'Inputs'!$B$29+'Inputs'!$B$31+'Inputs'!$B$32,'Inputs'!$B$30+'Inputs'!$B$31+'Inputs'!$B$32)/1000+'Inputs'!$B$21+'Inputs'!$B$7+'Inputs'!$B$10))^2+('Inputs'!$B$8/2)^2))))*'Results'!$B$8))),"")</x:f>
        <x:v>0.43658704809748117</x:v>
      </x:c>
      <x:c r="M1032" t="n">
        <x:f>IF(AND(ISNUMBER('Results'!C7),ISNUMBER('Results'!B7),ISNUMBER('Results'!$B$8),ISNUMBER('Inputs'!$B$6),ISNUMBER('Inputs'!$B$7),ISNUMBER('Inputs'!$B$8),ISNUMBER('Inputs'!$B$9),ISNUMBER('Inputs'!$B$10),ISNUMBER('Inputs'!$B$21),ISNUMBER('Inputs'!$B$24),ISNUMBER('Inputs'!$B$28)),(('Results'!C7*(0.5*((((1032-43)*MAX('Inputs'!$B$33,'Inputs'!$B$29+'Inputs'!$B$31+'Inputs'!$B$32,'Inputs'!$B$30+'Inputs'!$B$31+'Inputs'!$B$32)/1000+'Inputs'!$B$21)+'Inputs'!$B$9)/SQRT((((1032-43)*MAX('Inputs'!$B$33,'Inputs'!$B$29+'Inputs'!$B$31+'Inputs'!$B$32,'Inputs'!$B$30+'Inputs'!$B$31+'Inputs'!$B$32)/1000+'Inputs'!$B$21)+'Inputs'!$B$9)^2+('Inputs'!$B$8/2)^2)-(((1032-43)*MAX('Inputs'!$B$33,'Inputs'!$B$29+'Inputs'!$B$31+'Inputs'!$B$32,'Inputs'!$B$30+'Inputs'!$B$31+'Inputs'!$B$32)/1000+'Inputs'!$B$21))/SQRT((((1032-43)*MAX('Inputs'!$B$33,'Inputs'!$B$29+'Inputs'!$B$31+'Inputs'!$B$32,'Inputs'!$B$30+'Inputs'!$B$31+'Inputs'!$B$32)/1000+'Inputs'!$B$21))^2+('Inputs'!$B$8/2)^2)))-'Results'!B7*(0.5*((((1032-43)*MAX('Inputs'!$B$33,'Inputs'!$B$29+'Inputs'!$B$31+'Inputs'!$B$32,'Inputs'!$B$30+'Inputs'!$B$31+'Inputs'!$B$32)/1000+'Inputs'!$B$21+'Inputs'!$B$9+'Inputs'!$B$10)+'Inputs'!$B$7)/SQRT((((1032-43)*MAX('Inputs'!$B$33,'Inputs'!$B$29+'Inputs'!$B$31+'Inputs'!$B$32,'Inputs'!$B$30+'Inputs'!$B$31+'Inputs'!$B$32)/1000+'Inputs'!$B$21+'Inputs'!$B$9+'Inputs'!$B$10)+'Inputs'!$B$7)^2+('Inputs'!$B$6/2)^2)-(((1032-43)*MAX('Inputs'!$B$33,'Inputs'!$B$29+'Inputs'!$B$31+'Inputs'!$B$32,'Inputs'!$B$30+'Inputs'!$B$31+'Inputs'!$B$32)/1000+'Inputs'!$B$21+'Inputs'!$B$9+'Inputs'!$B$10))/SQRT((((1032-43)*MAX('Inputs'!$B$33,'Inputs'!$B$29+'Inputs'!$B$31+'Inputs'!$B$32,'Inputs'!$B$30+'Inputs'!$B$31+'Inputs'!$B$32)/1000+'Inputs'!$B$21+'Inputs'!$B$9+'Inputs'!$B$10))^2+('Inputs'!$B$6/2)^2))))*'Results'!$B$8),"")</x:f>
        <x:v>0.32749307612295203</x:v>
      </x:c>
      <x:c r="N1032" t="n">
        <x:f>IF(AND(ISNUMBER('Results'!C7),ISNUMBER('Results'!B7),ISNUMBER('Results'!$B$8),ISNUMBER('Inputs'!$B$6),ISNUMBER('Inputs'!$B$7),ISNUMBER('Inputs'!$B$8),ISNUMBER('Inputs'!$B$9),ISNUMBER('Inputs'!$B$10),ISNUMBER('Inputs'!$B$21),ISNUMBER('Inputs'!$B$24),ISNUMBER('Inputs'!$B$28)),((('Results'!C7*(1-'Inputs'!$B$24)*(0.5*((((1032-43)*MAX('Inputs'!$B$33,'Inputs'!$B$29+'Inputs'!$B$31+'Inputs'!$B$32,'Inputs'!$B$30+'Inputs'!$B$31+'Inputs'!$B$32)/1000+'Inputs'!$B$21)+'Inputs'!$B$9)/SQRT((((1032-43)*MAX('Inputs'!$B$33,'Inputs'!$B$29+'Inputs'!$B$31+'Inputs'!$B$32,'Inputs'!$B$30+'Inputs'!$B$31+'Inputs'!$B$32)/1000+'Inputs'!$B$21)+'Inputs'!$B$9)^2+('Inputs'!$B$8/2)^2)-(((1032-43)*MAX('Inputs'!$B$33,'Inputs'!$B$29+'Inputs'!$B$31+'Inputs'!$B$32,'Inputs'!$B$30+'Inputs'!$B$31+'Inputs'!$B$32)/1000+'Inputs'!$B$21))/SQRT((((1032-43)*MAX('Inputs'!$B$33,'Inputs'!$B$29+'Inputs'!$B$31+'Inputs'!$B$32,'Inputs'!$B$30+'Inputs'!$B$31+'Inputs'!$B$32)/1000+'Inputs'!$B$21))^2+('Inputs'!$B$8/2)^2)))-'Results'!B7*(1+'Inputs'!$B$24)*(0.5*((((1032-43)*MAX('Inputs'!$B$33,'Inputs'!$B$29+'Inputs'!$B$31+'Inputs'!$B$32,'Inputs'!$B$30+'Inputs'!$B$31+'Inputs'!$B$32)/1000+'Inputs'!$B$21+'Inputs'!$B$9+'Inputs'!$B$10)+'Inputs'!$B$7)/SQRT((((1032-43)*MAX('Inputs'!$B$33,'Inputs'!$B$29+'Inputs'!$B$31+'Inputs'!$B$32,'Inputs'!$B$30+'Inputs'!$B$31+'Inputs'!$B$32)/1000+'Inputs'!$B$21+'Inputs'!$B$9+'Inputs'!$B$10)+'Inputs'!$B$7)^2+('Inputs'!$B$6/2)^2)-(((1032-43)*MAX('Inputs'!$B$33,'Inputs'!$B$29+'Inputs'!$B$31+'Inputs'!$B$32,'Inputs'!$B$30+'Inputs'!$B$31+'Inputs'!$B$32)/1000+'Inputs'!$B$21+'Inputs'!$B$9+'Inputs'!$B$10))/SQRT((((1032-43)*MAX('Inputs'!$B$33,'Inputs'!$B$29+'Inputs'!$B$31+'Inputs'!$B$32,'Inputs'!$B$30+'Inputs'!$B$31+'Inputs'!$B$32)/1000+'Inputs'!$B$21+'Inputs'!$B$9+'Inputs'!$B$10))^2+('Inputs'!$B$6/2)^2))))*'Results'!$B$8)-'Inputs'!$B$28*ABS((('Results'!C7*(1-'Inputs'!$B$24)*(0.5*((((1032-43)*MAX('Inputs'!$B$33,'Inputs'!$B$29+'Inputs'!$B$31+'Inputs'!$B$32,'Inputs'!$B$30+'Inputs'!$B$31+'Inputs'!$B$32)/1000+'Inputs'!$B$21)+'Inputs'!$B$9)/SQRT((((1032-43)*MAX('Inputs'!$B$33,'Inputs'!$B$29+'Inputs'!$B$31+'Inputs'!$B$32,'Inputs'!$B$30+'Inputs'!$B$31+'Inputs'!$B$32)/1000+'Inputs'!$B$21)+'Inputs'!$B$9)^2+('Inputs'!$B$8/2)^2)-(((1032-43)*MAX('Inputs'!$B$33,'Inputs'!$B$29+'Inputs'!$B$31+'Inputs'!$B$32,'Inputs'!$B$30+'Inputs'!$B$31+'Inputs'!$B$32)/1000+'Inputs'!$B$21))/SQRT((((1032-43)*MAX('Inputs'!$B$33,'Inputs'!$B$29+'Inputs'!$B$31+'Inputs'!$B$32,'Inputs'!$B$30+'Inputs'!$B$31+'Inputs'!$B$32)/1000+'Inputs'!$B$21))^2+('Inputs'!$B$8/2)^2)))-'Results'!B7*(1+'Inputs'!$B$24)*(0.5*((((1032-43)*MAX('Inputs'!$B$33,'Inputs'!$B$29+'Inputs'!$B$31+'Inputs'!$B$32,'Inputs'!$B$30+'Inputs'!$B$31+'Inputs'!$B$32)/1000+'Inputs'!$B$21+'Inputs'!$B$9+'Inputs'!$B$10)+'Inputs'!$B$7)/SQRT((((1032-43)*MAX('Inputs'!$B$33,'Inputs'!$B$29+'Inputs'!$B$31+'Inputs'!$B$32,'Inputs'!$B$30+'Inputs'!$B$31+'Inputs'!$B$32)/1000+'Inputs'!$B$21+'Inputs'!$B$9+'Inputs'!$B$10)+'Inputs'!$B$7)^2+('Inputs'!$B$6/2)^2)-(((1032-43)*MAX('Inputs'!$B$33,'Inputs'!$B$29+'Inputs'!$B$31+'Inputs'!$B$32,'Inputs'!$B$30+'Inputs'!$B$31+'Inputs'!$B$32)/1000+'Inputs'!$B$21+'Inputs'!$B$9+'Inputs'!$B$10))/SQRT((((1032-43)*MAX('Inputs'!$B$33,'Inputs'!$B$29+'Inputs'!$B$31+'Inputs'!$B$32,'Inputs'!$B$30+'Inputs'!$B$31+'Inputs'!$B$32)/1000+'Inputs'!$B$21+'Inputs'!$B$9+'Inputs'!$B$10))^2+('Inputs'!$B$6/2)^2))))*'Results'!$B$8))),"")</x:f>
        <x:v>0.26948523675378316</x:v>
      </x:c>
      <x:c r="O1032" t="n">
        <x:f>IF(AND(ISNUMBER('Results'!C7),ISNUMBER('Results'!B7),ISNUMBER('Results'!$B$8),ISNUMBER('Inputs'!$B$6),ISNUMBER('Inputs'!$B$7),ISNUMBER('Inputs'!$B$8),ISNUMBER('Inputs'!$B$9),ISNUMBER('Inputs'!$B$10),ISNUMBER('Inputs'!$B$21),ISNUMBER('Inputs'!$B$24),ISNUMBER('Inputs'!$B$28)),((('Results'!C7*(1+'Inputs'!$B$24)*(0.5*((((1032-43)*MAX('Inputs'!$B$33,'Inputs'!$B$29+'Inputs'!$B$31+'Inputs'!$B$32,'Inputs'!$B$30+'Inputs'!$B$31+'Inputs'!$B$32)/1000+'Inputs'!$B$21)+'Inputs'!$B$9)/SQRT((((1032-43)*MAX('Inputs'!$B$33,'Inputs'!$B$29+'Inputs'!$B$31+'Inputs'!$B$32,'Inputs'!$B$30+'Inputs'!$B$31+'Inputs'!$B$32)/1000+'Inputs'!$B$21)+'Inputs'!$B$9)^2+('Inputs'!$B$8/2)^2)-(((1032-43)*MAX('Inputs'!$B$33,'Inputs'!$B$29+'Inputs'!$B$31+'Inputs'!$B$32,'Inputs'!$B$30+'Inputs'!$B$31+'Inputs'!$B$32)/1000+'Inputs'!$B$21))/SQRT((((1032-43)*MAX('Inputs'!$B$33,'Inputs'!$B$29+'Inputs'!$B$31+'Inputs'!$B$32,'Inputs'!$B$30+'Inputs'!$B$31+'Inputs'!$B$32)/1000+'Inputs'!$B$21))^2+('Inputs'!$B$8/2)^2)))-'Results'!B7*(1-'Inputs'!$B$24)*(0.5*((((1032-43)*MAX('Inputs'!$B$33,'Inputs'!$B$29+'Inputs'!$B$31+'Inputs'!$B$32,'Inputs'!$B$30+'Inputs'!$B$31+'Inputs'!$B$32)/1000+'Inputs'!$B$21+'Inputs'!$B$9+'Inputs'!$B$10)+'Inputs'!$B$7)/SQRT((((1032-43)*MAX('Inputs'!$B$33,'Inputs'!$B$29+'Inputs'!$B$31+'Inputs'!$B$32,'Inputs'!$B$30+'Inputs'!$B$31+'Inputs'!$B$32)/1000+'Inputs'!$B$21+'Inputs'!$B$9+'Inputs'!$B$10)+'Inputs'!$B$7)^2+('Inputs'!$B$6/2)^2)-(((1032-43)*MAX('Inputs'!$B$33,'Inputs'!$B$29+'Inputs'!$B$31+'Inputs'!$B$32,'Inputs'!$B$30+'Inputs'!$B$31+'Inputs'!$B$32)/1000+'Inputs'!$B$21+'Inputs'!$B$9+'Inputs'!$B$10))/SQRT((((1032-43)*MAX('Inputs'!$B$33,'Inputs'!$B$29+'Inputs'!$B$31+'Inputs'!$B$32,'Inputs'!$B$30+'Inputs'!$B$31+'Inputs'!$B$32)/1000+'Inputs'!$B$21+'Inputs'!$B$9+'Inputs'!$B$10))^2+('Inputs'!$B$6/2)^2))))*'Results'!$B$8)+'Inputs'!$B$28*ABS((('Results'!C7*(1+'Inputs'!$B$24)*(0.5*((((1032-43)*MAX('Inputs'!$B$33,'Inputs'!$B$29+'Inputs'!$B$31+'Inputs'!$B$32,'Inputs'!$B$30+'Inputs'!$B$31+'Inputs'!$B$32)/1000+'Inputs'!$B$21)+'Inputs'!$B$9)/SQRT((((1032-43)*MAX('Inputs'!$B$33,'Inputs'!$B$29+'Inputs'!$B$31+'Inputs'!$B$32,'Inputs'!$B$30+'Inputs'!$B$31+'Inputs'!$B$32)/1000+'Inputs'!$B$21)+'Inputs'!$B$9)^2+('Inputs'!$B$8/2)^2)-(((1032-43)*MAX('Inputs'!$B$33,'Inputs'!$B$29+'Inputs'!$B$31+'Inputs'!$B$32,'Inputs'!$B$30+'Inputs'!$B$31+'Inputs'!$B$32)/1000+'Inputs'!$B$21))/SQRT((((1032-43)*MAX('Inputs'!$B$33,'Inputs'!$B$29+'Inputs'!$B$31+'Inputs'!$B$32,'Inputs'!$B$30+'Inputs'!$B$31+'Inputs'!$B$32)/1000+'Inputs'!$B$21))^2+('Inputs'!$B$8/2)^2)))-'Results'!B7*(1-'Inputs'!$B$24)*(0.5*((((1032-43)*MAX('Inputs'!$B$33,'Inputs'!$B$29+'Inputs'!$B$31+'Inputs'!$B$32,'Inputs'!$B$30+'Inputs'!$B$31+'Inputs'!$B$32)/1000+'Inputs'!$B$21+'Inputs'!$B$9+'Inputs'!$B$10)+'Inputs'!$B$7)/SQRT((((1032-43)*MAX('Inputs'!$B$33,'Inputs'!$B$29+'Inputs'!$B$31+'Inputs'!$B$32,'Inputs'!$B$30+'Inputs'!$B$31+'Inputs'!$B$32)/1000+'Inputs'!$B$21+'Inputs'!$B$9+'Inputs'!$B$10)+'Inputs'!$B$7)^2+('Inputs'!$B$6/2)^2)-(((1032-43)*MAX('Inputs'!$B$33,'Inputs'!$B$29+'Inputs'!$B$31+'Inputs'!$B$32,'Inputs'!$B$30+'Inputs'!$B$31+'Inputs'!$B$32)/1000+'Inputs'!$B$21+'Inputs'!$B$9+'Inputs'!$B$10))/SQRT((((1032-43)*MAX('Inputs'!$B$33,'Inputs'!$B$29+'Inputs'!$B$31+'Inputs'!$B$32,'Inputs'!$B$30+'Inputs'!$B$31+'Inputs'!$B$32)/1000+'Inputs'!$B$21+'Inputs'!$B$9+'Inputs'!$B$10))^2+('Inputs'!$B$6/2)^2))))*'Results'!$B$8))),"")</x:f>
        <x:v>0.38988335607770186</x:v>
      </x:c>
      <x:c r="P1032" t="n">
        <x:f>IF(AND(MAX(J1032,J1031)&gt;0,J1032&gt;J1031+0.00000001),1,0)</x:f>
        <x:v>0</x:v>
      </x:c>
      <x:c r="Q1032" t="n">
        <x:f>IF(AND(MAX(K1032,K1031)&gt;0,K1032&gt;K1031+0.00000001),1,0)</x:f>
        <x:v>0</x:v>
      </x:c>
      <x:c r="R1032" t="n">
        <x:f>IF(AND(MAX(L1032,L1031)&gt;0,L1032&gt;L1031+0.00000001),1,0)</x:f>
        <x:v>0</x:v>
      </x:c>
      <x:c r="S1032" t="n">
        <x:f>IF(AND(MAX(M1032,M1031)&gt;0,M1032&gt;M1031+0.00000001),1,0)</x:f>
        <x:v>0</x:v>
      </x:c>
      <x:c r="T1032" t="n">
        <x:f>IF(AND(MAX(N1032,N1031)&gt;0,N1032&gt;N1031+0.00000001),1,0)</x:f>
        <x:v>0</x:v>
      </x:c>
      <x:c r="U1032" t="n">
        <x:f>IF(AND(MAX(O1032,O1031)&gt;0,O1032&gt;O1031+0.00000001),1,0)</x:f>
        <x:v>0</x:v>
      </x:c>
    </x:row>
    <x:row r="1033">
      <x:c r="J1033" t="n">
        <x:f>IF(AND(ISNUMBER('Results'!B7),ISNUMBER('Results'!C7),ISNUMBER('Results'!$B$8),ISNUMBER('Inputs'!$B$6),ISNUMBER('Inputs'!$B$7),ISNUMBER('Inputs'!$B$8),ISNUMBER('Inputs'!$B$9),ISNUMBER('Inputs'!$B$10),ISNUMBER('Inputs'!$B$21),ISNUMBER('Inputs'!$B$24),ISNUMBER('Inputs'!$B$28)),(('Results'!B7*(0.5*((((1033-43)*MAX('Inputs'!$B$33,'Inputs'!$B$29+'Inputs'!$B$31+'Inputs'!$B$32,'Inputs'!$B$30+'Inputs'!$B$31+'Inputs'!$B$32)/1000+'Inputs'!$B$21)+'Inputs'!$B$7)/SQRT((((1033-43)*MAX('Inputs'!$B$33,'Inputs'!$B$29+'Inputs'!$B$31+'Inputs'!$B$32,'Inputs'!$B$30+'Inputs'!$B$31+'Inputs'!$B$32)/1000+'Inputs'!$B$21)+'Inputs'!$B$7)^2+('Inputs'!$B$6/2)^2)-(((1033-43)*MAX('Inputs'!$B$33,'Inputs'!$B$29+'Inputs'!$B$31+'Inputs'!$B$32,'Inputs'!$B$30+'Inputs'!$B$31+'Inputs'!$B$32)/1000+'Inputs'!$B$21))/SQRT((((1033-43)*MAX('Inputs'!$B$33,'Inputs'!$B$29+'Inputs'!$B$31+'Inputs'!$B$32,'Inputs'!$B$30+'Inputs'!$B$31+'Inputs'!$B$32)/1000+'Inputs'!$B$21))^2+('Inputs'!$B$6/2)^2)))-'Results'!C7*(0.5*((((1033-43)*MAX('Inputs'!$B$33,'Inputs'!$B$29+'Inputs'!$B$31+'Inputs'!$B$32,'Inputs'!$B$30+'Inputs'!$B$31+'Inputs'!$B$32)/1000+'Inputs'!$B$21+'Inputs'!$B$7+'Inputs'!$B$10)+'Inputs'!$B$9)/SQRT((((1033-43)*MAX('Inputs'!$B$33,'Inputs'!$B$29+'Inputs'!$B$31+'Inputs'!$B$32,'Inputs'!$B$30+'Inputs'!$B$31+'Inputs'!$B$32)/1000+'Inputs'!$B$21+'Inputs'!$B$7+'Inputs'!$B$10)+'Inputs'!$B$9)^2+('Inputs'!$B$8/2)^2)-(((1033-43)*MAX('Inputs'!$B$33,'Inputs'!$B$29+'Inputs'!$B$31+'Inputs'!$B$32,'Inputs'!$B$30+'Inputs'!$B$31+'Inputs'!$B$32)/1000+'Inputs'!$B$21+'Inputs'!$B$7+'Inputs'!$B$10))/SQRT((((1033-43)*MAX('Inputs'!$B$33,'Inputs'!$B$29+'Inputs'!$B$31+'Inputs'!$B$32,'Inputs'!$B$30+'Inputs'!$B$31+'Inputs'!$B$32)/1000+'Inputs'!$B$21+'Inputs'!$B$7+'Inputs'!$B$10))^2+('Inputs'!$B$8/2)^2))))*'Results'!$B$8),"")</x:f>
        <x:v>0.37046223252339916</x:v>
      </x:c>
      <x:c r="K1033" t="n">
        <x:f>IF(AND(ISNUMBER('Results'!B7),ISNUMBER('Results'!C7),ISNUMBER('Results'!$B$8),ISNUMBER('Inputs'!$B$6),ISNUMBER('Inputs'!$B$7),ISNUMBER('Inputs'!$B$8),ISNUMBER('Inputs'!$B$9),ISNUMBER('Inputs'!$B$10),ISNUMBER('Inputs'!$B$21),ISNUMBER('Inputs'!$B$24),ISNUMBER('Inputs'!$B$28)),((('Results'!B7*(1-'Inputs'!$B$24)*(0.5*((((1033-43)*MAX('Inputs'!$B$33,'Inputs'!$B$29+'Inputs'!$B$31+'Inputs'!$B$32,'Inputs'!$B$30+'Inputs'!$B$31+'Inputs'!$B$32)/1000+'Inputs'!$B$21)+'Inputs'!$B$7)/SQRT((((1033-43)*MAX('Inputs'!$B$33,'Inputs'!$B$29+'Inputs'!$B$31+'Inputs'!$B$32,'Inputs'!$B$30+'Inputs'!$B$31+'Inputs'!$B$32)/1000+'Inputs'!$B$21)+'Inputs'!$B$7)^2+('Inputs'!$B$6/2)^2)-(((1033-43)*MAX('Inputs'!$B$33,'Inputs'!$B$29+'Inputs'!$B$31+'Inputs'!$B$32,'Inputs'!$B$30+'Inputs'!$B$31+'Inputs'!$B$32)/1000+'Inputs'!$B$21))/SQRT((((1033-43)*MAX('Inputs'!$B$33,'Inputs'!$B$29+'Inputs'!$B$31+'Inputs'!$B$32,'Inputs'!$B$30+'Inputs'!$B$31+'Inputs'!$B$32)/1000+'Inputs'!$B$21))^2+('Inputs'!$B$6/2)^2)))-'Results'!C7*(1+'Inputs'!$B$24)*(0.5*((((1033-43)*MAX('Inputs'!$B$33,'Inputs'!$B$29+'Inputs'!$B$31+'Inputs'!$B$32,'Inputs'!$B$30+'Inputs'!$B$31+'Inputs'!$B$32)/1000+'Inputs'!$B$21+'Inputs'!$B$7+'Inputs'!$B$10)+'Inputs'!$B$9)/SQRT((((1033-43)*MAX('Inputs'!$B$33,'Inputs'!$B$29+'Inputs'!$B$31+'Inputs'!$B$32,'Inputs'!$B$30+'Inputs'!$B$31+'Inputs'!$B$32)/1000+'Inputs'!$B$21+'Inputs'!$B$7+'Inputs'!$B$10)+'Inputs'!$B$9)^2+('Inputs'!$B$8/2)^2)-(((1033-43)*MAX('Inputs'!$B$33,'Inputs'!$B$29+'Inputs'!$B$31+'Inputs'!$B$32,'Inputs'!$B$30+'Inputs'!$B$31+'Inputs'!$B$32)/1000+'Inputs'!$B$21+'Inputs'!$B$7+'Inputs'!$B$10))/SQRT((((1033-43)*MAX('Inputs'!$B$33,'Inputs'!$B$29+'Inputs'!$B$31+'Inputs'!$B$32,'Inputs'!$B$30+'Inputs'!$B$31+'Inputs'!$B$32)/1000+'Inputs'!$B$21+'Inputs'!$B$7+'Inputs'!$B$10))^2+('Inputs'!$B$8/2)^2))))*'Results'!$B$8)-'Inputs'!$B$28*ABS((('Results'!B7*(1-'Inputs'!$B$24)*(0.5*((((1033-43)*MAX('Inputs'!$B$33,'Inputs'!$B$29+'Inputs'!$B$31+'Inputs'!$B$32,'Inputs'!$B$30+'Inputs'!$B$31+'Inputs'!$B$32)/1000+'Inputs'!$B$21)+'Inputs'!$B$7)/SQRT((((1033-43)*MAX('Inputs'!$B$33,'Inputs'!$B$29+'Inputs'!$B$31+'Inputs'!$B$32,'Inputs'!$B$30+'Inputs'!$B$31+'Inputs'!$B$32)/1000+'Inputs'!$B$21)+'Inputs'!$B$7)^2+('Inputs'!$B$6/2)^2)-(((1033-43)*MAX('Inputs'!$B$33,'Inputs'!$B$29+'Inputs'!$B$31+'Inputs'!$B$32,'Inputs'!$B$30+'Inputs'!$B$31+'Inputs'!$B$32)/1000+'Inputs'!$B$21))/SQRT((((1033-43)*MAX('Inputs'!$B$33,'Inputs'!$B$29+'Inputs'!$B$31+'Inputs'!$B$32,'Inputs'!$B$30+'Inputs'!$B$31+'Inputs'!$B$32)/1000+'Inputs'!$B$21))^2+('Inputs'!$B$6/2)^2)))-'Results'!C7*(1+'Inputs'!$B$24)*(0.5*((((1033-43)*MAX('Inputs'!$B$33,'Inputs'!$B$29+'Inputs'!$B$31+'Inputs'!$B$32,'Inputs'!$B$30+'Inputs'!$B$31+'Inputs'!$B$32)/1000+'Inputs'!$B$21+'Inputs'!$B$7+'Inputs'!$B$10)+'Inputs'!$B$9)/SQRT((((1033-43)*MAX('Inputs'!$B$33,'Inputs'!$B$29+'Inputs'!$B$31+'Inputs'!$B$32,'Inputs'!$B$30+'Inputs'!$B$31+'Inputs'!$B$32)/1000+'Inputs'!$B$21+'Inputs'!$B$7+'Inputs'!$B$10)+'Inputs'!$B$9)^2+('Inputs'!$B$8/2)^2)-(((1033-43)*MAX('Inputs'!$B$33,'Inputs'!$B$29+'Inputs'!$B$31+'Inputs'!$B$32,'Inputs'!$B$30+'Inputs'!$B$31+'Inputs'!$B$32)/1000+'Inputs'!$B$21+'Inputs'!$B$7+'Inputs'!$B$10))/SQRT((((1033-43)*MAX('Inputs'!$B$33,'Inputs'!$B$29+'Inputs'!$B$31+'Inputs'!$B$32,'Inputs'!$B$30+'Inputs'!$B$31+'Inputs'!$B$32)/1000+'Inputs'!$B$21+'Inputs'!$B$7+'Inputs'!$B$10))^2+('Inputs'!$B$8/2)^2))))*'Results'!$B$8))),"")</x:f>
        <x:v>0.31028981344042167</x:v>
      </x:c>
      <x:c r="L1033" t="n">
        <x:f>IF(AND(ISNUMBER('Results'!B7),ISNUMBER('Results'!C7),ISNUMBER('Results'!$B$8),ISNUMBER('Inputs'!$B$6),ISNUMBER('Inputs'!$B$7),ISNUMBER('Inputs'!$B$8),ISNUMBER('Inputs'!$B$9),ISNUMBER('Inputs'!$B$10),ISNUMBER('Inputs'!$B$21),ISNUMBER('Inputs'!$B$24),ISNUMBER('Inputs'!$B$28)),((('Results'!B7*(1+'Inputs'!$B$24)*(0.5*((((1033-43)*MAX('Inputs'!$B$33,'Inputs'!$B$29+'Inputs'!$B$31+'Inputs'!$B$32,'Inputs'!$B$30+'Inputs'!$B$31+'Inputs'!$B$32)/1000+'Inputs'!$B$21)+'Inputs'!$B$7)/SQRT((((1033-43)*MAX('Inputs'!$B$33,'Inputs'!$B$29+'Inputs'!$B$31+'Inputs'!$B$32,'Inputs'!$B$30+'Inputs'!$B$31+'Inputs'!$B$32)/1000+'Inputs'!$B$21)+'Inputs'!$B$7)^2+('Inputs'!$B$6/2)^2)-(((1033-43)*MAX('Inputs'!$B$33,'Inputs'!$B$29+'Inputs'!$B$31+'Inputs'!$B$32,'Inputs'!$B$30+'Inputs'!$B$31+'Inputs'!$B$32)/1000+'Inputs'!$B$21))/SQRT((((1033-43)*MAX('Inputs'!$B$33,'Inputs'!$B$29+'Inputs'!$B$31+'Inputs'!$B$32,'Inputs'!$B$30+'Inputs'!$B$31+'Inputs'!$B$32)/1000+'Inputs'!$B$21))^2+('Inputs'!$B$6/2)^2)))-'Results'!C7*(1-'Inputs'!$B$24)*(0.5*((((1033-43)*MAX('Inputs'!$B$33,'Inputs'!$B$29+'Inputs'!$B$31+'Inputs'!$B$32,'Inputs'!$B$30+'Inputs'!$B$31+'Inputs'!$B$32)/1000+'Inputs'!$B$21+'Inputs'!$B$7+'Inputs'!$B$10)+'Inputs'!$B$9)/SQRT((((1033-43)*MAX('Inputs'!$B$33,'Inputs'!$B$29+'Inputs'!$B$31+'Inputs'!$B$32,'Inputs'!$B$30+'Inputs'!$B$31+'Inputs'!$B$32)/1000+'Inputs'!$B$21+'Inputs'!$B$7+'Inputs'!$B$10)+'Inputs'!$B$9)^2+('Inputs'!$B$8/2)^2)-(((1033-43)*MAX('Inputs'!$B$33,'Inputs'!$B$29+'Inputs'!$B$31+'Inputs'!$B$32,'Inputs'!$B$30+'Inputs'!$B$31+'Inputs'!$B$32)/1000+'Inputs'!$B$21+'Inputs'!$B$7+'Inputs'!$B$10))/SQRT((((1033-43)*MAX('Inputs'!$B$33,'Inputs'!$B$29+'Inputs'!$B$31+'Inputs'!$B$32,'Inputs'!$B$30+'Inputs'!$B$31+'Inputs'!$B$32)/1000+'Inputs'!$B$21+'Inputs'!$B$7+'Inputs'!$B$10))^2+('Inputs'!$B$8/2)^2))))*'Results'!$B$8)+'Inputs'!$B$28*ABS((('Results'!B7*(1+'Inputs'!$B$24)*(0.5*((((1033-43)*MAX('Inputs'!$B$33,'Inputs'!$B$29+'Inputs'!$B$31+'Inputs'!$B$32,'Inputs'!$B$30+'Inputs'!$B$31+'Inputs'!$B$32)/1000+'Inputs'!$B$21)+'Inputs'!$B$7)/SQRT((((1033-43)*MAX('Inputs'!$B$33,'Inputs'!$B$29+'Inputs'!$B$31+'Inputs'!$B$32,'Inputs'!$B$30+'Inputs'!$B$31+'Inputs'!$B$32)/1000+'Inputs'!$B$21)+'Inputs'!$B$7)^2+('Inputs'!$B$6/2)^2)-(((1033-43)*MAX('Inputs'!$B$33,'Inputs'!$B$29+'Inputs'!$B$31+'Inputs'!$B$32,'Inputs'!$B$30+'Inputs'!$B$31+'Inputs'!$B$32)/1000+'Inputs'!$B$21))/SQRT((((1033-43)*MAX('Inputs'!$B$33,'Inputs'!$B$29+'Inputs'!$B$31+'Inputs'!$B$32,'Inputs'!$B$30+'Inputs'!$B$31+'Inputs'!$B$32)/1000+'Inputs'!$B$21))^2+('Inputs'!$B$6/2)^2)))-'Results'!C7*(1-'Inputs'!$B$24)*(0.5*((((1033-43)*MAX('Inputs'!$B$33,'Inputs'!$B$29+'Inputs'!$B$31+'Inputs'!$B$32,'Inputs'!$B$30+'Inputs'!$B$31+'Inputs'!$B$32)/1000+'Inputs'!$B$21+'Inputs'!$B$7+'Inputs'!$B$10)+'Inputs'!$B$9)/SQRT((((1033-43)*MAX('Inputs'!$B$33,'Inputs'!$B$29+'Inputs'!$B$31+'Inputs'!$B$32,'Inputs'!$B$30+'Inputs'!$B$31+'Inputs'!$B$32)/1000+'Inputs'!$B$21+'Inputs'!$B$7+'Inputs'!$B$10)+'Inputs'!$B$9)^2+('Inputs'!$B$8/2)^2)-(((1033-43)*MAX('Inputs'!$B$33,'Inputs'!$B$29+'Inputs'!$B$31+'Inputs'!$B$32,'Inputs'!$B$30+'Inputs'!$B$31+'Inputs'!$B$32)/1000+'Inputs'!$B$21+'Inputs'!$B$7+'Inputs'!$B$10))/SQRT((((1033-43)*MAX('Inputs'!$B$33,'Inputs'!$B$29+'Inputs'!$B$31+'Inputs'!$B$32,'Inputs'!$B$30+'Inputs'!$B$31+'Inputs'!$B$32)/1000+'Inputs'!$B$21+'Inputs'!$B$7+'Inputs'!$B$10))^2+('Inputs'!$B$8/2)^2))))*'Results'!$B$8))),"")</x:f>
        <x:v>0.43501878923340886</x:v>
      </x:c>
      <x:c r="M1033" t="n">
        <x:f>IF(AND(ISNUMBER('Results'!C7),ISNUMBER('Results'!B7),ISNUMBER('Results'!$B$8),ISNUMBER('Inputs'!$B$6),ISNUMBER('Inputs'!$B$7),ISNUMBER('Inputs'!$B$8),ISNUMBER('Inputs'!$B$9),ISNUMBER('Inputs'!$B$10),ISNUMBER('Inputs'!$B$21),ISNUMBER('Inputs'!$B$24),ISNUMBER('Inputs'!$B$28)),(('Results'!C7*(0.5*((((1033-43)*MAX('Inputs'!$B$33,'Inputs'!$B$29+'Inputs'!$B$31+'Inputs'!$B$32,'Inputs'!$B$30+'Inputs'!$B$31+'Inputs'!$B$32)/1000+'Inputs'!$B$21)+'Inputs'!$B$9)/SQRT((((1033-43)*MAX('Inputs'!$B$33,'Inputs'!$B$29+'Inputs'!$B$31+'Inputs'!$B$32,'Inputs'!$B$30+'Inputs'!$B$31+'Inputs'!$B$32)/1000+'Inputs'!$B$21)+'Inputs'!$B$9)^2+('Inputs'!$B$8/2)^2)-(((1033-43)*MAX('Inputs'!$B$33,'Inputs'!$B$29+'Inputs'!$B$31+'Inputs'!$B$32,'Inputs'!$B$30+'Inputs'!$B$31+'Inputs'!$B$32)/1000+'Inputs'!$B$21))/SQRT((((1033-43)*MAX('Inputs'!$B$33,'Inputs'!$B$29+'Inputs'!$B$31+'Inputs'!$B$32,'Inputs'!$B$30+'Inputs'!$B$31+'Inputs'!$B$32)/1000+'Inputs'!$B$21))^2+('Inputs'!$B$8/2)^2)))-'Results'!B7*(0.5*((((1033-43)*MAX('Inputs'!$B$33,'Inputs'!$B$29+'Inputs'!$B$31+'Inputs'!$B$32,'Inputs'!$B$30+'Inputs'!$B$31+'Inputs'!$B$32)/1000+'Inputs'!$B$21+'Inputs'!$B$9+'Inputs'!$B$10)+'Inputs'!$B$7)/SQRT((((1033-43)*MAX('Inputs'!$B$33,'Inputs'!$B$29+'Inputs'!$B$31+'Inputs'!$B$32,'Inputs'!$B$30+'Inputs'!$B$31+'Inputs'!$B$32)/1000+'Inputs'!$B$21+'Inputs'!$B$9+'Inputs'!$B$10)+'Inputs'!$B$7)^2+('Inputs'!$B$6/2)^2)-(((1033-43)*MAX('Inputs'!$B$33,'Inputs'!$B$29+'Inputs'!$B$31+'Inputs'!$B$32,'Inputs'!$B$30+'Inputs'!$B$31+'Inputs'!$B$32)/1000+'Inputs'!$B$21+'Inputs'!$B$9+'Inputs'!$B$10))/SQRT((((1033-43)*MAX('Inputs'!$B$33,'Inputs'!$B$29+'Inputs'!$B$31+'Inputs'!$B$32,'Inputs'!$B$30+'Inputs'!$B$31+'Inputs'!$B$32)/1000+'Inputs'!$B$21+'Inputs'!$B$9+'Inputs'!$B$10))^2+('Inputs'!$B$6/2)^2))))*'Results'!$B$8),"")</x:f>
        <x:v>0.326249099807975</x:v>
      </x:c>
      <x:c r="N1033" t="n">
        <x:f>IF(AND(ISNUMBER('Results'!C7),ISNUMBER('Results'!B7),ISNUMBER('Results'!$B$8),ISNUMBER('Inputs'!$B$6),ISNUMBER('Inputs'!$B$7),ISNUMBER('Inputs'!$B$8),ISNUMBER('Inputs'!$B$9),ISNUMBER('Inputs'!$B$10),ISNUMBER('Inputs'!$B$21),ISNUMBER('Inputs'!$B$24),ISNUMBER('Inputs'!$B$28)),((('Results'!C7*(1-'Inputs'!$B$24)*(0.5*((((1033-43)*MAX('Inputs'!$B$33,'Inputs'!$B$29+'Inputs'!$B$31+'Inputs'!$B$32,'Inputs'!$B$30+'Inputs'!$B$31+'Inputs'!$B$32)/1000+'Inputs'!$B$21)+'Inputs'!$B$9)/SQRT((((1033-43)*MAX('Inputs'!$B$33,'Inputs'!$B$29+'Inputs'!$B$31+'Inputs'!$B$32,'Inputs'!$B$30+'Inputs'!$B$31+'Inputs'!$B$32)/1000+'Inputs'!$B$21)+'Inputs'!$B$9)^2+('Inputs'!$B$8/2)^2)-(((1033-43)*MAX('Inputs'!$B$33,'Inputs'!$B$29+'Inputs'!$B$31+'Inputs'!$B$32,'Inputs'!$B$30+'Inputs'!$B$31+'Inputs'!$B$32)/1000+'Inputs'!$B$21))/SQRT((((1033-43)*MAX('Inputs'!$B$33,'Inputs'!$B$29+'Inputs'!$B$31+'Inputs'!$B$32,'Inputs'!$B$30+'Inputs'!$B$31+'Inputs'!$B$32)/1000+'Inputs'!$B$21))^2+('Inputs'!$B$8/2)^2)))-'Results'!B7*(1+'Inputs'!$B$24)*(0.5*((((1033-43)*MAX('Inputs'!$B$33,'Inputs'!$B$29+'Inputs'!$B$31+'Inputs'!$B$32,'Inputs'!$B$30+'Inputs'!$B$31+'Inputs'!$B$32)/1000+'Inputs'!$B$21+'Inputs'!$B$9+'Inputs'!$B$10)+'Inputs'!$B$7)/SQRT((((1033-43)*MAX('Inputs'!$B$33,'Inputs'!$B$29+'Inputs'!$B$31+'Inputs'!$B$32,'Inputs'!$B$30+'Inputs'!$B$31+'Inputs'!$B$32)/1000+'Inputs'!$B$21+'Inputs'!$B$9+'Inputs'!$B$10)+'Inputs'!$B$7)^2+('Inputs'!$B$6/2)^2)-(((1033-43)*MAX('Inputs'!$B$33,'Inputs'!$B$29+'Inputs'!$B$31+'Inputs'!$B$32,'Inputs'!$B$30+'Inputs'!$B$31+'Inputs'!$B$32)/1000+'Inputs'!$B$21+'Inputs'!$B$9+'Inputs'!$B$10))/SQRT((((1033-43)*MAX('Inputs'!$B$33,'Inputs'!$B$29+'Inputs'!$B$31+'Inputs'!$B$32,'Inputs'!$B$30+'Inputs'!$B$31+'Inputs'!$B$32)/1000+'Inputs'!$B$21+'Inputs'!$B$9+'Inputs'!$B$10))^2+('Inputs'!$B$6/2)^2))))*'Results'!$B$8)-'Inputs'!$B$28*ABS((('Results'!C7*(1-'Inputs'!$B$24)*(0.5*((((1033-43)*MAX('Inputs'!$B$33,'Inputs'!$B$29+'Inputs'!$B$31+'Inputs'!$B$32,'Inputs'!$B$30+'Inputs'!$B$31+'Inputs'!$B$32)/1000+'Inputs'!$B$21)+'Inputs'!$B$9)/SQRT((((1033-43)*MAX('Inputs'!$B$33,'Inputs'!$B$29+'Inputs'!$B$31+'Inputs'!$B$32,'Inputs'!$B$30+'Inputs'!$B$31+'Inputs'!$B$32)/1000+'Inputs'!$B$21)+'Inputs'!$B$9)^2+('Inputs'!$B$8/2)^2)-(((1033-43)*MAX('Inputs'!$B$33,'Inputs'!$B$29+'Inputs'!$B$31+'Inputs'!$B$32,'Inputs'!$B$30+'Inputs'!$B$31+'Inputs'!$B$32)/1000+'Inputs'!$B$21))/SQRT((((1033-43)*MAX('Inputs'!$B$33,'Inputs'!$B$29+'Inputs'!$B$31+'Inputs'!$B$32,'Inputs'!$B$30+'Inputs'!$B$31+'Inputs'!$B$32)/1000+'Inputs'!$B$21))^2+('Inputs'!$B$8/2)^2)))-'Results'!B7*(1+'Inputs'!$B$24)*(0.5*((((1033-43)*MAX('Inputs'!$B$33,'Inputs'!$B$29+'Inputs'!$B$31+'Inputs'!$B$32,'Inputs'!$B$30+'Inputs'!$B$31+'Inputs'!$B$32)/1000+'Inputs'!$B$21+'Inputs'!$B$9+'Inputs'!$B$10)+'Inputs'!$B$7)/SQRT((((1033-43)*MAX('Inputs'!$B$33,'Inputs'!$B$29+'Inputs'!$B$31+'Inputs'!$B$32,'Inputs'!$B$30+'Inputs'!$B$31+'Inputs'!$B$32)/1000+'Inputs'!$B$21+'Inputs'!$B$9+'Inputs'!$B$10)+'Inputs'!$B$7)^2+('Inputs'!$B$6/2)^2)-(((1033-43)*MAX('Inputs'!$B$33,'Inputs'!$B$29+'Inputs'!$B$31+'Inputs'!$B$32,'Inputs'!$B$30+'Inputs'!$B$31+'Inputs'!$B$32)/1000+'Inputs'!$B$21+'Inputs'!$B$9+'Inputs'!$B$10))/SQRT((((1033-43)*MAX('Inputs'!$B$33,'Inputs'!$B$29+'Inputs'!$B$31+'Inputs'!$B$32,'Inputs'!$B$30+'Inputs'!$B$31+'Inputs'!$B$32)/1000+'Inputs'!$B$21+'Inputs'!$B$9+'Inputs'!$B$10))^2+('Inputs'!$B$6/2)^2))))*'Results'!$B$8))),"")</x:f>
        <x:v>0.2684210496366707</x:v>
      </x:c>
      <x:c r="O1033" t="n">
        <x:f>IF(AND(ISNUMBER('Results'!C7),ISNUMBER('Results'!B7),ISNUMBER('Results'!$B$8),ISNUMBER('Inputs'!$B$6),ISNUMBER('Inputs'!$B$7),ISNUMBER('Inputs'!$B$8),ISNUMBER('Inputs'!$B$9),ISNUMBER('Inputs'!$B$10),ISNUMBER('Inputs'!$B$21),ISNUMBER('Inputs'!$B$24),ISNUMBER('Inputs'!$B$28)),((('Results'!C7*(1+'Inputs'!$B$24)*(0.5*((((1033-43)*MAX('Inputs'!$B$33,'Inputs'!$B$29+'Inputs'!$B$31+'Inputs'!$B$32,'Inputs'!$B$30+'Inputs'!$B$31+'Inputs'!$B$32)/1000+'Inputs'!$B$21)+'Inputs'!$B$9)/SQRT((((1033-43)*MAX('Inputs'!$B$33,'Inputs'!$B$29+'Inputs'!$B$31+'Inputs'!$B$32,'Inputs'!$B$30+'Inputs'!$B$31+'Inputs'!$B$32)/1000+'Inputs'!$B$21)+'Inputs'!$B$9)^2+('Inputs'!$B$8/2)^2)-(((1033-43)*MAX('Inputs'!$B$33,'Inputs'!$B$29+'Inputs'!$B$31+'Inputs'!$B$32,'Inputs'!$B$30+'Inputs'!$B$31+'Inputs'!$B$32)/1000+'Inputs'!$B$21))/SQRT((((1033-43)*MAX('Inputs'!$B$33,'Inputs'!$B$29+'Inputs'!$B$31+'Inputs'!$B$32,'Inputs'!$B$30+'Inputs'!$B$31+'Inputs'!$B$32)/1000+'Inputs'!$B$21))^2+('Inputs'!$B$8/2)^2)))-'Results'!B7*(1-'Inputs'!$B$24)*(0.5*((((1033-43)*MAX('Inputs'!$B$33,'Inputs'!$B$29+'Inputs'!$B$31+'Inputs'!$B$32,'Inputs'!$B$30+'Inputs'!$B$31+'Inputs'!$B$32)/1000+'Inputs'!$B$21+'Inputs'!$B$9+'Inputs'!$B$10)+'Inputs'!$B$7)/SQRT((((1033-43)*MAX('Inputs'!$B$33,'Inputs'!$B$29+'Inputs'!$B$31+'Inputs'!$B$32,'Inputs'!$B$30+'Inputs'!$B$31+'Inputs'!$B$32)/1000+'Inputs'!$B$21+'Inputs'!$B$9+'Inputs'!$B$10)+'Inputs'!$B$7)^2+('Inputs'!$B$6/2)^2)-(((1033-43)*MAX('Inputs'!$B$33,'Inputs'!$B$29+'Inputs'!$B$31+'Inputs'!$B$32,'Inputs'!$B$30+'Inputs'!$B$31+'Inputs'!$B$32)/1000+'Inputs'!$B$21+'Inputs'!$B$9+'Inputs'!$B$10))/SQRT((((1033-43)*MAX('Inputs'!$B$33,'Inputs'!$B$29+'Inputs'!$B$31+'Inputs'!$B$32,'Inputs'!$B$30+'Inputs'!$B$31+'Inputs'!$B$32)/1000+'Inputs'!$B$21+'Inputs'!$B$9+'Inputs'!$B$10))^2+('Inputs'!$B$6/2)^2))))*'Results'!$B$8)+'Inputs'!$B$28*ABS((('Results'!C7*(1+'Inputs'!$B$24)*(0.5*((((1033-43)*MAX('Inputs'!$B$33,'Inputs'!$B$29+'Inputs'!$B$31+'Inputs'!$B$32,'Inputs'!$B$30+'Inputs'!$B$31+'Inputs'!$B$32)/1000+'Inputs'!$B$21)+'Inputs'!$B$9)/SQRT((((1033-43)*MAX('Inputs'!$B$33,'Inputs'!$B$29+'Inputs'!$B$31+'Inputs'!$B$32,'Inputs'!$B$30+'Inputs'!$B$31+'Inputs'!$B$32)/1000+'Inputs'!$B$21)+'Inputs'!$B$9)^2+('Inputs'!$B$8/2)^2)-(((1033-43)*MAX('Inputs'!$B$33,'Inputs'!$B$29+'Inputs'!$B$31+'Inputs'!$B$32,'Inputs'!$B$30+'Inputs'!$B$31+'Inputs'!$B$32)/1000+'Inputs'!$B$21))/SQRT((((1033-43)*MAX('Inputs'!$B$33,'Inputs'!$B$29+'Inputs'!$B$31+'Inputs'!$B$32,'Inputs'!$B$30+'Inputs'!$B$31+'Inputs'!$B$32)/1000+'Inputs'!$B$21))^2+('Inputs'!$B$8/2)^2)))-'Results'!B7*(1-'Inputs'!$B$24)*(0.5*((((1033-43)*MAX('Inputs'!$B$33,'Inputs'!$B$29+'Inputs'!$B$31+'Inputs'!$B$32,'Inputs'!$B$30+'Inputs'!$B$31+'Inputs'!$B$32)/1000+'Inputs'!$B$21+'Inputs'!$B$9+'Inputs'!$B$10)+'Inputs'!$B$7)/SQRT((((1033-43)*MAX('Inputs'!$B$33,'Inputs'!$B$29+'Inputs'!$B$31+'Inputs'!$B$32,'Inputs'!$B$30+'Inputs'!$B$31+'Inputs'!$B$32)/1000+'Inputs'!$B$21+'Inputs'!$B$9+'Inputs'!$B$10)+'Inputs'!$B$7)^2+('Inputs'!$B$6/2)^2)-(((1033-43)*MAX('Inputs'!$B$33,'Inputs'!$B$29+'Inputs'!$B$31+'Inputs'!$B$32,'Inputs'!$B$30+'Inputs'!$B$31+'Inputs'!$B$32)/1000+'Inputs'!$B$21+'Inputs'!$B$9+'Inputs'!$B$10))/SQRT((((1033-43)*MAX('Inputs'!$B$33,'Inputs'!$B$29+'Inputs'!$B$31+'Inputs'!$B$32,'Inputs'!$B$30+'Inputs'!$B$31+'Inputs'!$B$32)/1000+'Inputs'!$B$21+'Inputs'!$B$9+'Inputs'!$B$10))^2+('Inputs'!$B$6/2)^2))))*'Results'!$B$8))),"")</x:f>
        <x:v>0.3884472126299008</x:v>
      </x:c>
      <x:c r="P1033" t="n">
        <x:f>IF(AND(MAX(J1033,J1032)&gt;0,J1033&gt;J1032+0.00000001),1,0)</x:f>
        <x:v>0</x:v>
      </x:c>
      <x:c r="Q1033" t="n">
        <x:f>IF(AND(MAX(K1033,K1032)&gt;0,K1033&gt;K1032+0.00000001),1,0)</x:f>
        <x:v>0</x:v>
      </x:c>
      <x:c r="R1033" t="n">
        <x:f>IF(AND(MAX(L1033,L1032)&gt;0,L1033&gt;L1032+0.00000001),1,0)</x:f>
        <x:v>0</x:v>
      </x:c>
      <x:c r="S1033" t="n">
        <x:f>IF(AND(MAX(M1033,M1032)&gt;0,M1033&gt;M1032+0.00000001),1,0)</x:f>
        <x:v>0</x:v>
      </x:c>
      <x:c r="T1033" t="n">
        <x:f>IF(AND(MAX(N1033,N1032)&gt;0,N1033&gt;N1032+0.00000001),1,0)</x:f>
        <x:v>0</x:v>
      </x:c>
      <x:c r="U1033" t="n">
        <x:f>IF(AND(MAX(O1033,O1032)&gt;0,O1033&gt;O1032+0.00000001),1,0)</x:f>
        <x:v>0</x:v>
      </x:c>
    </x:row>
    <x:row r="1034">
      <x:c r="J1034" t="n">
        <x:f>IF(AND(ISNUMBER('Results'!B7),ISNUMBER('Results'!C7),ISNUMBER('Results'!$B$8),ISNUMBER('Inputs'!$B$6),ISNUMBER('Inputs'!$B$7),ISNUMBER('Inputs'!$B$8),ISNUMBER('Inputs'!$B$9),ISNUMBER('Inputs'!$B$10),ISNUMBER('Inputs'!$B$21),ISNUMBER('Inputs'!$B$24),ISNUMBER('Inputs'!$B$28)),(('Results'!B7*(0.5*((((1034-43)*MAX('Inputs'!$B$33,'Inputs'!$B$29+'Inputs'!$B$31+'Inputs'!$B$32,'Inputs'!$B$30+'Inputs'!$B$31+'Inputs'!$B$32)/1000+'Inputs'!$B$21)+'Inputs'!$B$7)/SQRT((((1034-43)*MAX('Inputs'!$B$33,'Inputs'!$B$29+'Inputs'!$B$31+'Inputs'!$B$32,'Inputs'!$B$30+'Inputs'!$B$31+'Inputs'!$B$32)/1000+'Inputs'!$B$21)+'Inputs'!$B$7)^2+('Inputs'!$B$6/2)^2)-(((1034-43)*MAX('Inputs'!$B$33,'Inputs'!$B$29+'Inputs'!$B$31+'Inputs'!$B$32,'Inputs'!$B$30+'Inputs'!$B$31+'Inputs'!$B$32)/1000+'Inputs'!$B$21))/SQRT((((1034-43)*MAX('Inputs'!$B$33,'Inputs'!$B$29+'Inputs'!$B$31+'Inputs'!$B$32,'Inputs'!$B$30+'Inputs'!$B$31+'Inputs'!$B$32)/1000+'Inputs'!$B$21))^2+('Inputs'!$B$6/2)^2)))-'Results'!C7*(0.5*((((1034-43)*MAX('Inputs'!$B$33,'Inputs'!$B$29+'Inputs'!$B$31+'Inputs'!$B$32,'Inputs'!$B$30+'Inputs'!$B$31+'Inputs'!$B$32)/1000+'Inputs'!$B$21+'Inputs'!$B$7+'Inputs'!$B$10)+'Inputs'!$B$9)/SQRT((((1034-43)*MAX('Inputs'!$B$33,'Inputs'!$B$29+'Inputs'!$B$31+'Inputs'!$B$32,'Inputs'!$B$30+'Inputs'!$B$31+'Inputs'!$B$32)/1000+'Inputs'!$B$21+'Inputs'!$B$7+'Inputs'!$B$10)+'Inputs'!$B$9)^2+('Inputs'!$B$8/2)^2)-(((1034-43)*MAX('Inputs'!$B$33,'Inputs'!$B$29+'Inputs'!$B$31+'Inputs'!$B$32,'Inputs'!$B$30+'Inputs'!$B$31+'Inputs'!$B$32)/1000+'Inputs'!$B$21+'Inputs'!$B$7+'Inputs'!$B$10))/SQRT((((1034-43)*MAX('Inputs'!$B$33,'Inputs'!$B$29+'Inputs'!$B$31+'Inputs'!$B$32,'Inputs'!$B$30+'Inputs'!$B$31+'Inputs'!$B$32)/1000+'Inputs'!$B$21+'Inputs'!$B$7+'Inputs'!$B$10))^2+('Inputs'!$B$8/2)^2))))*'Results'!$B$8),"")</x:f>
        <x:v>0.3690992914317862</x:v>
      </x:c>
      <x:c r="K1034" t="n">
        <x:f>IF(AND(ISNUMBER('Results'!B7),ISNUMBER('Results'!C7),ISNUMBER('Results'!$B$8),ISNUMBER('Inputs'!$B$6),ISNUMBER('Inputs'!$B$7),ISNUMBER('Inputs'!$B$8),ISNUMBER('Inputs'!$B$9),ISNUMBER('Inputs'!$B$10),ISNUMBER('Inputs'!$B$21),ISNUMBER('Inputs'!$B$24),ISNUMBER('Inputs'!$B$28)),((('Results'!B7*(1-'Inputs'!$B$24)*(0.5*((((1034-43)*MAX('Inputs'!$B$33,'Inputs'!$B$29+'Inputs'!$B$31+'Inputs'!$B$32,'Inputs'!$B$30+'Inputs'!$B$31+'Inputs'!$B$32)/1000+'Inputs'!$B$21)+'Inputs'!$B$7)/SQRT((((1034-43)*MAX('Inputs'!$B$33,'Inputs'!$B$29+'Inputs'!$B$31+'Inputs'!$B$32,'Inputs'!$B$30+'Inputs'!$B$31+'Inputs'!$B$32)/1000+'Inputs'!$B$21)+'Inputs'!$B$7)^2+('Inputs'!$B$6/2)^2)-(((1034-43)*MAX('Inputs'!$B$33,'Inputs'!$B$29+'Inputs'!$B$31+'Inputs'!$B$32,'Inputs'!$B$30+'Inputs'!$B$31+'Inputs'!$B$32)/1000+'Inputs'!$B$21))/SQRT((((1034-43)*MAX('Inputs'!$B$33,'Inputs'!$B$29+'Inputs'!$B$31+'Inputs'!$B$32,'Inputs'!$B$30+'Inputs'!$B$31+'Inputs'!$B$32)/1000+'Inputs'!$B$21))^2+('Inputs'!$B$6/2)^2)))-'Results'!C7*(1+'Inputs'!$B$24)*(0.5*((((1034-43)*MAX('Inputs'!$B$33,'Inputs'!$B$29+'Inputs'!$B$31+'Inputs'!$B$32,'Inputs'!$B$30+'Inputs'!$B$31+'Inputs'!$B$32)/1000+'Inputs'!$B$21+'Inputs'!$B$7+'Inputs'!$B$10)+'Inputs'!$B$9)/SQRT((((1034-43)*MAX('Inputs'!$B$33,'Inputs'!$B$29+'Inputs'!$B$31+'Inputs'!$B$32,'Inputs'!$B$30+'Inputs'!$B$31+'Inputs'!$B$32)/1000+'Inputs'!$B$21+'Inputs'!$B$7+'Inputs'!$B$10)+'Inputs'!$B$9)^2+('Inputs'!$B$8/2)^2)-(((1034-43)*MAX('Inputs'!$B$33,'Inputs'!$B$29+'Inputs'!$B$31+'Inputs'!$B$32,'Inputs'!$B$30+'Inputs'!$B$31+'Inputs'!$B$32)/1000+'Inputs'!$B$21+'Inputs'!$B$7+'Inputs'!$B$10))/SQRT((((1034-43)*MAX('Inputs'!$B$33,'Inputs'!$B$29+'Inputs'!$B$31+'Inputs'!$B$32,'Inputs'!$B$30+'Inputs'!$B$31+'Inputs'!$B$32)/1000+'Inputs'!$B$21+'Inputs'!$B$7+'Inputs'!$B$10))^2+('Inputs'!$B$8/2)^2))))*'Results'!$B$8)-'Inputs'!$B$28*ABS((('Results'!B7*(1-'Inputs'!$B$24)*(0.5*((((1034-43)*MAX('Inputs'!$B$33,'Inputs'!$B$29+'Inputs'!$B$31+'Inputs'!$B$32,'Inputs'!$B$30+'Inputs'!$B$31+'Inputs'!$B$32)/1000+'Inputs'!$B$21)+'Inputs'!$B$7)/SQRT((((1034-43)*MAX('Inputs'!$B$33,'Inputs'!$B$29+'Inputs'!$B$31+'Inputs'!$B$32,'Inputs'!$B$30+'Inputs'!$B$31+'Inputs'!$B$32)/1000+'Inputs'!$B$21)+'Inputs'!$B$7)^2+('Inputs'!$B$6/2)^2)-(((1034-43)*MAX('Inputs'!$B$33,'Inputs'!$B$29+'Inputs'!$B$31+'Inputs'!$B$32,'Inputs'!$B$30+'Inputs'!$B$31+'Inputs'!$B$32)/1000+'Inputs'!$B$21))/SQRT((((1034-43)*MAX('Inputs'!$B$33,'Inputs'!$B$29+'Inputs'!$B$31+'Inputs'!$B$32,'Inputs'!$B$30+'Inputs'!$B$31+'Inputs'!$B$32)/1000+'Inputs'!$B$21))^2+('Inputs'!$B$6/2)^2)))-'Results'!C7*(1+'Inputs'!$B$24)*(0.5*((((1034-43)*MAX('Inputs'!$B$33,'Inputs'!$B$29+'Inputs'!$B$31+'Inputs'!$B$32,'Inputs'!$B$30+'Inputs'!$B$31+'Inputs'!$B$32)/1000+'Inputs'!$B$21+'Inputs'!$B$7+'Inputs'!$B$10)+'Inputs'!$B$9)/SQRT((((1034-43)*MAX('Inputs'!$B$33,'Inputs'!$B$29+'Inputs'!$B$31+'Inputs'!$B$32,'Inputs'!$B$30+'Inputs'!$B$31+'Inputs'!$B$32)/1000+'Inputs'!$B$21+'Inputs'!$B$7+'Inputs'!$B$10)+'Inputs'!$B$9)^2+('Inputs'!$B$8/2)^2)-(((1034-43)*MAX('Inputs'!$B$33,'Inputs'!$B$29+'Inputs'!$B$31+'Inputs'!$B$32,'Inputs'!$B$30+'Inputs'!$B$31+'Inputs'!$B$32)/1000+'Inputs'!$B$21+'Inputs'!$B$7+'Inputs'!$B$10))/SQRT((((1034-43)*MAX('Inputs'!$B$33,'Inputs'!$B$29+'Inputs'!$B$31+'Inputs'!$B$32,'Inputs'!$B$30+'Inputs'!$B$31+'Inputs'!$B$32)/1000+'Inputs'!$B$21+'Inputs'!$B$7+'Inputs'!$B$10))^2+('Inputs'!$B$8/2)^2))))*'Results'!$B$8))),"")</x:f>
        <x:v>0.3091126659420219</x:v>
      </x:c>
      <x:c r="L1034" t="n">
        <x:f>IF(AND(ISNUMBER('Results'!B7),ISNUMBER('Results'!C7),ISNUMBER('Results'!$B$8),ISNUMBER('Inputs'!$B$6),ISNUMBER('Inputs'!$B$7),ISNUMBER('Inputs'!$B$8),ISNUMBER('Inputs'!$B$9),ISNUMBER('Inputs'!$B$10),ISNUMBER('Inputs'!$B$21),ISNUMBER('Inputs'!$B$24),ISNUMBER('Inputs'!$B$28)),((('Results'!B7*(1+'Inputs'!$B$24)*(0.5*((((1034-43)*MAX('Inputs'!$B$33,'Inputs'!$B$29+'Inputs'!$B$31+'Inputs'!$B$32,'Inputs'!$B$30+'Inputs'!$B$31+'Inputs'!$B$32)/1000+'Inputs'!$B$21)+'Inputs'!$B$7)/SQRT((((1034-43)*MAX('Inputs'!$B$33,'Inputs'!$B$29+'Inputs'!$B$31+'Inputs'!$B$32,'Inputs'!$B$30+'Inputs'!$B$31+'Inputs'!$B$32)/1000+'Inputs'!$B$21)+'Inputs'!$B$7)^2+('Inputs'!$B$6/2)^2)-(((1034-43)*MAX('Inputs'!$B$33,'Inputs'!$B$29+'Inputs'!$B$31+'Inputs'!$B$32,'Inputs'!$B$30+'Inputs'!$B$31+'Inputs'!$B$32)/1000+'Inputs'!$B$21))/SQRT((((1034-43)*MAX('Inputs'!$B$33,'Inputs'!$B$29+'Inputs'!$B$31+'Inputs'!$B$32,'Inputs'!$B$30+'Inputs'!$B$31+'Inputs'!$B$32)/1000+'Inputs'!$B$21))^2+('Inputs'!$B$6/2)^2)))-'Results'!C7*(1-'Inputs'!$B$24)*(0.5*((((1034-43)*MAX('Inputs'!$B$33,'Inputs'!$B$29+'Inputs'!$B$31+'Inputs'!$B$32,'Inputs'!$B$30+'Inputs'!$B$31+'Inputs'!$B$32)/1000+'Inputs'!$B$21+'Inputs'!$B$7+'Inputs'!$B$10)+'Inputs'!$B$9)/SQRT((((1034-43)*MAX('Inputs'!$B$33,'Inputs'!$B$29+'Inputs'!$B$31+'Inputs'!$B$32,'Inputs'!$B$30+'Inputs'!$B$31+'Inputs'!$B$32)/1000+'Inputs'!$B$21+'Inputs'!$B$7+'Inputs'!$B$10)+'Inputs'!$B$9)^2+('Inputs'!$B$8/2)^2)-(((1034-43)*MAX('Inputs'!$B$33,'Inputs'!$B$29+'Inputs'!$B$31+'Inputs'!$B$32,'Inputs'!$B$30+'Inputs'!$B$31+'Inputs'!$B$32)/1000+'Inputs'!$B$21+'Inputs'!$B$7+'Inputs'!$B$10))/SQRT((((1034-43)*MAX('Inputs'!$B$33,'Inputs'!$B$29+'Inputs'!$B$31+'Inputs'!$B$32,'Inputs'!$B$30+'Inputs'!$B$31+'Inputs'!$B$32)/1000+'Inputs'!$B$21+'Inputs'!$B$7+'Inputs'!$B$10))^2+('Inputs'!$B$8/2)^2))))*'Results'!$B$8)+'Inputs'!$B$28*ABS((('Results'!B7*(1+'Inputs'!$B$24)*(0.5*((((1034-43)*MAX('Inputs'!$B$33,'Inputs'!$B$29+'Inputs'!$B$31+'Inputs'!$B$32,'Inputs'!$B$30+'Inputs'!$B$31+'Inputs'!$B$32)/1000+'Inputs'!$B$21)+'Inputs'!$B$7)/SQRT((((1034-43)*MAX('Inputs'!$B$33,'Inputs'!$B$29+'Inputs'!$B$31+'Inputs'!$B$32,'Inputs'!$B$30+'Inputs'!$B$31+'Inputs'!$B$32)/1000+'Inputs'!$B$21)+'Inputs'!$B$7)^2+('Inputs'!$B$6/2)^2)-(((1034-43)*MAX('Inputs'!$B$33,'Inputs'!$B$29+'Inputs'!$B$31+'Inputs'!$B$32,'Inputs'!$B$30+'Inputs'!$B$31+'Inputs'!$B$32)/1000+'Inputs'!$B$21))/SQRT((((1034-43)*MAX('Inputs'!$B$33,'Inputs'!$B$29+'Inputs'!$B$31+'Inputs'!$B$32,'Inputs'!$B$30+'Inputs'!$B$31+'Inputs'!$B$32)/1000+'Inputs'!$B$21))^2+('Inputs'!$B$6/2)^2)))-'Results'!C7*(1-'Inputs'!$B$24)*(0.5*((((1034-43)*MAX('Inputs'!$B$33,'Inputs'!$B$29+'Inputs'!$B$31+'Inputs'!$B$32,'Inputs'!$B$30+'Inputs'!$B$31+'Inputs'!$B$32)/1000+'Inputs'!$B$21+'Inputs'!$B$7+'Inputs'!$B$10)+'Inputs'!$B$9)/SQRT((((1034-43)*MAX('Inputs'!$B$33,'Inputs'!$B$29+'Inputs'!$B$31+'Inputs'!$B$32,'Inputs'!$B$30+'Inputs'!$B$31+'Inputs'!$B$32)/1000+'Inputs'!$B$21+'Inputs'!$B$7+'Inputs'!$B$10)+'Inputs'!$B$9)^2+('Inputs'!$B$8/2)^2)-(((1034-43)*MAX('Inputs'!$B$33,'Inputs'!$B$29+'Inputs'!$B$31+'Inputs'!$B$32,'Inputs'!$B$30+'Inputs'!$B$31+'Inputs'!$B$32)/1000+'Inputs'!$B$21+'Inputs'!$B$7+'Inputs'!$B$10))/SQRT((((1034-43)*MAX('Inputs'!$B$33,'Inputs'!$B$29+'Inputs'!$B$31+'Inputs'!$B$32,'Inputs'!$B$30+'Inputs'!$B$31+'Inputs'!$B$32)/1000+'Inputs'!$B$21+'Inputs'!$B$7+'Inputs'!$B$10))^2+('Inputs'!$B$8/2)^2))))*'Results'!$B$8))),"")</x:f>
        <x:v>0.43345767070241104</x:v>
      </x:c>
      <x:c r="M1034" t="n">
        <x:f>IF(AND(ISNUMBER('Results'!C7),ISNUMBER('Results'!B7),ISNUMBER('Results'!$B$8),ISNUMBER('Inputs'!$B$6),ISNUMBER('Inputs'!$B$7),ISNUMBER('Inputs'!$B$8),ISNUMBER('Inputs'!$B$9),ISNUMBER('Inputs'!$B$10),ISNUMBER('Inputs'!$B$21),ISNUMBER('Inputs'!$B$24),ISNUMBER('Inputs'!$B$28)),(('Results'!C7*(0.5*((((1034-43)*MAX('Inputs'!$B$33,'Inputs'!$B$29+'Inputs'!$B$31+'Inputs'!$B$32,'Inputs'!$B$30+'Inputs'!$B$31+'Inputs'!$B$32)/1000+'Inputs'!$B$21)+'Inputs'!$B$9)/SQRT((((1034-43)*MAX('Inputs'!$B$33,'Inputs'!$B$29+'Inputs'!$B$31+'Inputs'!$B$32,'Inputs'!$B$30+'Inputs'!$B$31+'Inputs'!$B$32)/1000+'Inputs'!$B$21)+'Inputs'!$B$9)^2+('Inputs'!$B$8/2)^2)-(((1034-43)*MAX('Inputs'!$B$33,'Inputs'!$B$29+'Inputs'!$B$31+'Inputs'!$B$32,'Inputs'!$B$30+'Inputs'!$B$31+'Inputs'!$B$32)/1000+'Inputs'!$B$21))/SQRT((((1034-43)*MAX('Inputs'!$B$33,'Inputs'!$B$29+'Inputs'!$B$31+'Inputs'!$B$32,'Inputs'!$B$30+'Inputs'!$B$31+'Inputs'!$B$32)/1000+'Inputs'!$B$21))^2+('Inputs'!$B$8/2)^2)))-'Results'!B7*(0.5*((((1034-43)*MAX('Inputs'!$B$33,'Inputs'!$B$29+'Inputs'!$B$31+'Inputs'!$B$32,'Inputs'!$B$30+'Inputs'!$B$31+'Inputs'!$B$32)/1000+'Inputs'!$B$21+'Inputs'!$B$9+'Inputs'!$B$10)+'Inputs'!$B$7)/SQRT((((1034-43)*MAX('Inputs'!$B$33,'Inputs'!$B$29+'Inputs'!$B$31+'Inputs'!$B$32,'Inputs'!$B$30+'Inputs'!$B$31+'Inputs'!$B$32)/1000+'Inputs'!$B$21+'Inputs'!$B$9+'Inputs'!$B$10)+'Inputs'!$B$7)^2+('Inputs'!$B$6/2)^2)-(((1034-43)*MAX('Inputs'!$B$33,'Inputs'!$B$29+'Inputs'!$B$31+'Inputs'!$B$32,'Inputs'!$B$30+'Inputs'!$B$31+'Inputs'!$B$32)/1000+'Inputs'!$B$21+'Inputs'!$B$9+'Inputs'!$B$10))/SQRT((((1034-43)*MAX('Inputs'!$B$33,'Inputs'!$B$29+'Inputs'!$B$31+'Inputs'!$B$32,'Inputs'!$B$30+'Inputs'!$B$31+'Inputs'!$B$32)/1000+'Inputs'!$B$21+'Inputs'!$B$9+'Inputs'!$B$10))^2+('Inputs'!$B$6/2)^2))))*'Results'!$B$8),"")</x:f>
        <x:v>0.3250109826846098</x:v>
      </x:c>
      <x:c r="N1034" t="n">
        <x:f>IF(AND(ISNUMBER('Results'!C7),ISNUMBER('Results'!B7),ISNUMBER('Results'!$B$8),ISNUMBER('Inputs'!$B$6),ISNUMBER('Inputs'!$B$7),ISNUMBER('Inputs'!$B$8),ISNUMBER('Inputs'!$B$9),ISNUMBER('Inputs'!$B$10),ISNUMBER('Inputs'!$B$21),ISNUMBER('Inputs'!$B$24),ISNUMBER('Inputs'!$B$28)),((('Results'!C7*(1-'Inputs'!$B$24)*(0.5*((((1034-43)*MAX('Inputs'!$B$33,'Inputs'!$B$29+'Inputs'!$B$31+'Inputs'!$B$32,'Inputs'!$B$30+'Inputs'!$B$31+'Inputs'!$B$32)/1000+'Inputs'!$B$21)+'Inputs'!$B$9)/SQRT((((1034-43)*MAX('Inputs'!$B$33,'Inputs'!$B$29+'Inputs'!$B$31+'Inputs'!$B$32,'Inputs'!$B$30+'Inputs'!$B$31+'Inputs'!$B$32)/1000+'Inputs'!$B$21)+'Inputs'!$B$9)^2+('Inputs'!$B$8/2)^2)-(((1034-43)*MAX('Inputs'!$B$33,'Inputs'!$B$29+'Inputs'!$B$31+'Inputs'!$B$32,'Inputs'!$B$30+'Inputs'!$B$31+'Inputs'!$B$32)/1000+'Inputs'!$B$21))/SQRT((((1034-43)*MAX('Inputs'!$B$33,'Inputs'!$B$29+'Inputs'!$B$31+'Inputs'!$B$32,'Inputs'!$B$30+'Inputs'!$B$31+'Inputs'!$B$32)/1000+'Inputs'!$B$21))^2+('Inputs'!$B$8/2)^2)))-'Results'!B7*(1+'Inputs'!$B$24)*(0.5*((((1034-43)*MAX('Inputs'!$B$33,'Inputs'!$B$29+'Inputs'!$B$31+'Inputs'!$B$32,'Inputs'!$B$30+'Inputs'!$B$31+'Inputs'!$B$32)/1000+'Inputs'!$B$21+'Inputs'!$B$9+'Inputs'!$B$10)+'Inputs'!$B$7)/SQRT((((1034-43)*MAX('Inputs'!$B$33,'Inputs'!$B$29+'Inputs'!$B$31+'Inputs'!$B$32,'Inputs'!$B$30+'Inputs'!$B$31+'Inputs'!$B$32)/1000+'Inputs'!$B$21+'Inputs'!$B$9+'Inputs'!$B$10)+'Inputs'!$B$7)^2+('Inputs'!$B$6/2)^2)-(((1034-43)*MAX('Inputs'!$B$33,'Inputs'!$B$29+'Inputs'!$B$31+'Inputs'!$B$32,'Inputs'!$B$30+'Inputs'!$B$31+'Inputs'!$B$32)/1000+'Inputs'!$B$21+'Inputs'!$B$9+'Inputs'!$B$10))/SQRT((((1034-43)*MAX('Inputs'!$B$33,'Inputs'!$B$29+'Inputs'!$B$31+'Inputs'!$B$32,'Inputs'!$B$30+'Inputs'!$B$31+'Inputs'!$B$32)/1000+'Inputs'!$B$21+'Inputs'!$B$9+'Inputs'!$B$10))^2+('Inputs'!$B$6/2)^2))))*'Results'!$B$8)-'Inputs'!$B$28*ABS((('Results'!C7*(1-'Inputs'!$B$24)*(0.5*((((1034-43)*MAX('Inputs'!$B$33,'Inputs'!$B$29+'Inputs'!$B$31+'Inputs'!$B$32,'Inputs'!$B$30+'Inputs'!$B$31+'Inputs'!$B$32)/1000+'Inputs'!$B$21)+'Inputs'!$B$9)/SQRT((((1034-43)*MAX('Inputs'!$B$33,'Inputs'!$B$29+'Inputs'!$B$31+'Inputs'!$B$32,'Inputs'!$B$30+'Inputs'!$B$31+'Inputs'!$B$32)/1000+'Inputs'!$B$21)+'Inputs'!$B$9)^2+('Inputs'!$B$8/2)^2)-(((1034-43)*MAX('Inputs'!$B$33,'Inputs'!$B$29+'Inputs'!$B$31+'Inputs'!$B$32,'Inputs'!$B$30+'Inputs'!$B$31+'Inputs'!$B$32)/1000+'Inputs'!$B$21))/SQRT((((1034-43)*MAX('Inputs'!$B$33,'Inputs'!$B$29+'Inputs'!$B$31+'Inputs'!$B$32,'Inputs'!$B$30+'Inputs'!$B$31+'Inputs'!$B$32)/1000+'Inputs'!$B$21))^2+('Inputs'!$B$8/2)^2)))-'Results'!B7*(1+'Inputs'!$B$24)*(0.5*((((1034-43)*MAX('Inputs'!$B$33,'Inputs'!$B$29+'Inputs'!$B$31+'Inputs'!$B$32,'Inputs'!$B$30+'Inputs'!$B$31+'Inputs'!$B$32)/1000+'Inputs'!$B$21+'Inputs'!$B$9+'Inputs'!$B$10)+'Inputs'!$B$7)/SQRT((((1034-43)*MAX('Inputs'!$B$33,'Inputs'!$B$29+'Inputs'!$B$31+'Inputs'!$B$32,'Inputs'!$B$30+'Inputs'!$B$31+'Inputs'!$B$32)/1000+'Inputs'!$B$21+'Inputs'!$B$9+'Inputs'!$B$10)+'Inputs'!$B$7)^2+('Inputs'!$B$6/2)^2)-(((1034-43)*MAX('Inputs'!$B$33,'Inputs'!$B$29+'Inputs'!$B$31+'Inputs'!$B$32,'Inputs'!$B$30+'Inputs'!$B$31+'Inputs'!$B$32)/1000+'Inputs'!$B$21+'Inputs'!$B$9+'Inputs'!$B$10))/SQRT((((1034-43)*MAX('Inputs'!$B$33,'Inputs'!$B$29+'Inputs'!$B$31+'Inputs'!$B$32,'Inputs'!$B$30+'Inputs'!$B$31+'Inputs'!$B$32)/1000+'Inputs'!$B$21+'Inputs'!$B$9+'Inputs'!$B$10))^2+('Inputs'!$B$6/2)^2))))*'Results'!$B$8))),"")</x:f>
        <x:v>0.2673619857151154</x:v>
      </x:c>
      <x:c r="O1034" t="n">
        <x:f>IF(AND(ISNUMBER('Results'!C7),ISNUMBER('Results'!B7),ISNUMBER('Results'!$B$8),ISNUMBER('Inputs'!$B$6),ISNUMBER('Inputs'!$B$7),ISNUMBER('Inputs'!$B$8),ISNUMBER('Inputs'!$B$9),ISNUMBER('Inputs'!$B$10),ISNUMBER('Inputs'!$B$21),ISNUMBER('Inputs'!$B$24),ISNUMBER('Inputs'!$B$28)),((('Results'!C7*(1+'Inputs'!$B$24)*(0.5*((((1034-43)*MAX('Inputs'!$B$33,'Inputs'!$B$29+'Inputs'!$B$31+'Inputs'!$B$32,'Inputs'!$B$30+'Inputs'!$B$31+'Inputs'!$B$32)/1000+'Inputs'!$B$21)+'Inputs'!$B$9)/SQRT((((1034-43)*MAX('Inputs'!$B$33,'Inputs'!$B$29+'Inputs'!$B$31+'Inputs'!$B$32,'Inputs'!$B$30+'Inputs'!$B$31+'Inputs'!$B$32)/1000+'Inputs'!$B$21)+'Inputs'!$B$9)^2+('Inputs'!$B$8/2)^2)-(((1034-43)*MAX('Inputs'!$B$33,'Inputs'!$B$29+'Inputs'!$B$31+'Inputs'!$B$32,'Inputs'!$B$30+'Inputs'!$B$31+'Inputs'!$B$32)/1000+'Inputs'!$B$21))/SQRT((((1034-43)*MAX('Inputs'!$B$33,'Inputs'!$B$29+'Inputs'!$B$31+'Inputs'!$B$32,'Inputs'!$B$30+'Inputs'!$B$31+'Inputs'!$B$32)/1000+'Inputs'!$B$21))^2+('Inputs'!$B$8/2)^2)))-'Results'!B7*(1-'Inputs'!$B$24)*(0.5*((((1034-43)*MAX('Inputs'!$B$33,'Inputs'!$B$29+'Inputs'!$B$31+'Inputs'!$B$32,'Inputs'!$B$30+'Inputs'!$B$31+'Inputs'!$B$32)/1000+'Inputs'!$B$21+'Inputs'!$B$9+'Inputs'!$B$10)+'Inputs'!$B$7)/SQRT((((1034-43)*MAX('Inputs'!$B$33,'Inputs'!$B$29+'Inputs'!$B$31+'Inputs'!$B$32,'Inputs'!$B$30+'Inputs'!$B$31+'Inputs'!$B$32)/1000+'Inputs'!$B$21+'Inputs'!$B$9+'Inputs'!$B$10)+'Inputs'!$B$7)^2+('Inputs'!$B$6/2)^2)-(((1034-43)*MAX('Inputs'!$B$33,'Inputs'!$B$29+'Inputs'!$B$31+'Inputs'!$B$32,'Inputs'!$B$30+'Inputs'!$B$31+'Inputs'!$B$32)/1000+'Inputs'!$B$21+'Inputs'!$B$9+'Inputs'!$B$10))/SQRT((((1034-43)*MAX('Inputs'!$B$33,'Inputs'!$B$29+'Inputs'!$B$31+'Inputs'!$B$32,'Inputs'!$B$30+'Inputs'!$B$31+'Inputs'!$B$32)/1000+'Inputs'!$B$21+'Inputs'!$B$9+'Inputs'!$B$10))^2+('Inputs'!$B$6/2)^2))))*'Results'!$B$8)+'Inputs'!$B$28*ABS((('Results'!C7*(1+'Inputs'!$B$24)*(0.5*((((1034-43)*MAX('Inputs'!$B$33,'Inputs'!$B$29+'Inputs'!$B$31+'Inputs'!$B$32,'Inputs'!$B$30+'Inputs'!$B$31+'Inputs'!$B$32)/1000+'Inputs'!$B$21)+'Inputs'!$B$9)/SQRT((((1034-43)*MAX('Inputs'!$B$33,'Inputs'!$B$29+'Inputs'!$B$31+'Inputs'!$B$32,'Inputs'!$B$30+'Inputs'!$B$31+'Inputs'!$B$32)/1000+'Inputs'!$B$21)+'Inputs'!$B$9)^2+('Inputs'!$B$8/2)^2)-(((1034-43)*MAX('Inputs'!$B$33,'Inputs'!$B$29+'Inputs'!$B$31+'Inputs'!$B$32,'Inputs'!$B$30+'Inputs'!$B$31+'Inputs'!$B$32)/1000+'Inputs'!$B$21))/SQRT((((1034-43)*MAX('Inputs'!$B$33,'Inputs'!$B$29+'Inputs'!$B$31+'Inputs'!$B$32,'Inputs'!$B$30+'Inputs'!$B$31+'Inputs'!$B$32)/1000+'Inputs'!$B$21))^2+('Inputs'!$B$8/2)^2)))-'Results'!B7*(1-'Inputs'!$B$24)*(0.5*((((1034-43)*MAX('Inputs'!$B$33,'Inputs'!$B$29+'Inputs'!$B$31+'Inputs'!$B$32,'Inputs'!$B$30+'Inputs'!$B$31+'Inputs'!$B$32)/1000+'Inputs'!$B$21+'Inputs'!$B$9+'Inputs'!$B$10)+'Inputs'!$B$7)/SQRT((((1034-43)*MAX('Inputs'!$B$33,'Inputs'!$B$29+'Inputs'!$B$31+'Inputs'!$B$32,'Inputs'!$B$30+'Inputs'!$B$31+'Inputs'!$B$32)/1000+'Inputs'!$B$21+'Inputs'!$B$9+'Inputs'!$B$10)+'Inputs'!$B$7)^2+('Inputs'!$B$6/2)^2)-(((1034-43)*MAX('Inputs'!$B$33,'Inputs'!$B$29+'Inputs'!$B$31+'Inputs'!$B$32,'Inputs'!$B$30+'Inputs'!$B$31+'Inputs'!$B$32)/1000+'Inputs'!$B$21+'Inputs'!$B$9+'Inputs'!$B$10))/SQRT((((1034-43)*MAX('Inputs'!$B$33,'Inputs'!$B$29+'Inputs'!$B$31+'Inputs'!$B$32,'Inputs'!$B$30+'Inputs'!$B$31+'Inputs'!$B$32)/1000+'Inputs'!$B$21+'Inputs'!$B$9+'Inputs'!$B$10))^2+('Inputs'!$B$6/2)^2))))*'Results'!$B$8))),"")</x:f>
        <x:v>0.38701771100518456</x:v>
      </x:c>
      <x:c r="P1034" t="n">
        <x:f>IF(AND(MAX(J1034,J1033)&gt;0,J1034&gt;J1033+0.00000001),1,0)</x:f>
        <x:v>0</x:v>
      </x:c>
      <x:c r="Q1034" t="n">
        <x:f>IF(AND(MAX(K1034,K1033)&gt;0,K1034&gt;K1033+0.00000001),1,0)</x:f>
        <x:v>0</x:v>
      </x:c>
      <x:c r="R1034" t="n">
        <x:f>IF(AND(MAX(L1034,L1033)&gt;0,L1034&gt;L1033+0.00000001),1,0)</x:f>
        <x:v>0</x:v>
      </x:c>
      <x:c r="S1034" t="n">
        <x:f>IF(AND(MAX(M1034,M1033)&gt;0,M1034&gt;M1033+0.00000001),1,0)</x:f>
        <x:v>0</x:v>
      </x:c>
      <x:c r="T1034" t="n">
        <x:f>IF(AND(MAX(N1034,N1033)&gt;0,N1034&gt;N1033+0.00000001),1,0)</x:f>
        <x:v>0</x:v>
      </x:c>
      <x:c r="U1034" t="n">
        <x:f>IF(AND(MAX(O1034,O1033)&gt;0,O1034&gt;O1033+0.00000001),1,0)</x:f>
        <x:v>0</x:v>
      </x:c>
    </x:row>
    <x:row r="1035">
      <x:c r="J1035" t="n">
        <x:f>IF(AND(ISNUMBER('Results'!B7),ISNUMBER('Results'!C7),ISNUMBER('Results'!$B$8),ISNUMBER('Inputs'!$B$6),ISNUMBER('Inputs'!$B$7),ISNUMBER('Inputs'!$B$8),ISNUMBER('Inputs'!$B$9),ISNUMBER('Inputs'!$B$10),ISNUMBER('Inputs'!$B$21),ISNUMBER('Inputs'!$B$24),ISNUMBER('Inputs'!$B$28)),(('Results'!B7*(0.5*((((1035-43)*MAX('Inputs'!$B$33,'Inputs'!$B$29+'Inputs'!$B$31+'Inputs'!$B$32,'Inputs'!$B$30+'Inputs'!$B$31+'Inputs'!$B$32)/1000+'Inputs'!$B$21)+'Inputs'!$B$7)/SQRT((((1035-43)*MAX('Inputs'!$B$33,'Inputs'!$B$29+'Inputs'!$B$31+'Inputs'!$B$32,'Inputs'!$B$30+'Inputs'!$B$31+'Inputs'!$B$32)/1000+'Inputs'!$B$21)+'Inputs'!$B$7)^2+('Inputs'!$B$6/2)^2)-(((1035-43)*MAX('Inputs'!$B$33,'Inputs'!$B$29+'Inputs'!$B$31+'Inputs'!$B$32,'Inputs'!$B$30+'Inputs'!$B$31+'Inputs'!$B$32)/1000+'Inputs'!$B$21))/SQRT((((1035-43)*MAX('Inputs'!$B$33,'Inputs'!$B$29+'Inputs'!$B$31+'Inputs'!$B$32,'Inputs'!$B$30+'Inputs'!$B$31+'Inputs'!$B$32)/1000+'Inputs'!$B$21))^2+('Inputs'!$B$6/2)^2)))-'Results'!C7*(0.5*((((1035-43)*MAX('Inputs'!$B$33,'Inputs'!$B$29+'Inputs'!$B$31+'Inputs'!$B$32,'Inputs'!$B$30+'Inputs'!$B$31+'Inputs'!$B$32)/1000+'Inputs'!$B$21+'Inputs'!$B$7+'Inputs'!$B$10)+'Inputs'!$B$9)/SQRT((((1035-43)*MAX('Inputs'!$B$33,'Inputs'!$B$29+'Inputs'!$B$31+'Inputs'!$B$32,'Inputs'!$B$30+'Inputs'!$B$31+'Inputs'!$B$32)/1000+'Inputs'!$B$21+'Inputs'!$B$7+'Inputs'!$B$10)+'Inputs'!$B$9)^2+('Inputs'!$B$8/2)^2)-(((1035-43)*MAX('Inputs'!$B$33,'Inputs'!$B$29+'Inputs'!$B$31+'Inputs'!$B$32,'Inputs'!$B$30+'Inputs'!$B$31+'Inputs'!$B$32)/1000+'Inputs'!$B$21+'Inputs'!$B$7+'Inputs'!$B$10))/SQRT((((1035-43)*MAX('Inputs'!$B$33,'Inputs'!$B$29+'Inputs'!$B$31+'Inputs'!$B$32,'Inputs'!$B$30+'Inputs'!$B$31+'Inputs'!$B$32)/1000+'Inputs'!$B$21+'Inputs'!$B$7+'Inputs'!$B$10))^2+('Inputs'!$B$8/2)^2))))*'Results'!$B$8),"")</x:f>
        <x:v>0.36774264664900586</x:v>
      </x:c>
      <x:c r="K1035" t="n">
        <x:f>IF(AND(ISNUMBER('Results'!B7),ISNUMBER('Results'!C7),ISNUMBER('Results'!$B$8),ISNUMBER('Inputs'!$B$6),ISNUMBER('Inputs'!$B$7),ISNUMBER('Inputs'!$B$8),ISNUMBER('Inputs'!$B$9),ISNUMBER('Inputs'!$B$10),ISNUMBER('Inputs'!$B$21),ISNUMBER('Inputs'!$B$24),ISNUMBER('Inputs'!$B$28)),((('Results'!B7*(1-'Inputs'!$B$24)*(0.5*((((1035-43)*MAX('Inputs'!$B$33,'Inputs'!$B$29+'Inputs'!$B$31+'Inputs'!$B$32,'Inputs'!$B$30+'Inputs'!$B$31+'Inputs'!$B$32)/1000+'Inputs'!$B$21)+'Inputs'!$B$7)/SQRT((((1035-43)*MAX('Inputs'!$B$33,'Inputs'!$B$29+'Inputs'!$B$31+'Inputs'!$B$32,'Inputs'!$B$30+'Inputs'!$B$31+'Inputs'!$B$32)/1000+'Inputs'!$B$21)+'Inputs'!$B$7)^2+('Inputs'!$B$6/2)^2)-(((1035-43)*MAX('Inputs'!$B$33,'Inputs'!$B$29+'Inputs'!$B$31+'Inputs'!$B$32,'Inputs'!$B$30+'Inputs'!$B$31+'Inputs'!$B$32)/1000+'Inputs'!$B$21))/SQRT((((1035-43)*MAX('Inputs'!$B$33,'Inputs'!$B$29+'Inputs'!$B$31+'Inputs'!$B$32,'Inputs'!$B$30+'Inputs'!$B$31+'Inputs'!$B$32)/1000+'Inputs'!$B$21))^2+('Inputs'!$B$6/2)^2)))-'Results'!C7*(1+'Inputs'!$B$24)*(0.5*((((1035-43)*MAX('Inputs'!$B$33,'Inputs'!$B$29+'Inputs'!$B$31+'Inputs'!$B$32,'Inputs'!$B$30+'Inputs'!$B$31+'Inputs'!$B$32)/1000+'Inputs'!$B$21+'Inputs'!$B$7+'Inputs'!$B$10)+'Inputs'!$B$9)/SQRT((((1035-43)*MAX('Inputs'!$B$33,'Inputs'!$B$29+'Inputs'!$B$31+'Inputs'!$B$32,'Inputs'!$B$30+'Inputs'!$B$31+'Inputs'!$B$32)/1000+'Inputs'!$B$21+'Inputs'!$B$7+'Inputs'!$B$10)+'Inputs'!$B$9)^2+('Inputs'!$B$8/2)^2)-(((1035-43)*MAX('Inputs'!$B$33,'Inputs'!$B$29+'Inputs'!$B$31+'Inputs'!$B$32,'Inputs'!$B$30+'Inputs'!$B$31+'Inputs'!$B$32)/1000+'Inputs'!$B$21+'Inputs'!$B$7+'Inputs'!$B$10))/SQRT((((1035-43)*MAX('Inputs'!$B$33,'Inputs'!$B$29+'Inputs'!$B$31+'Inputs'!$B$32,'Inputs'!$B$30+'Inputs'!$B$31+'Inputs'!$B$32)/1000+'Inputs'!$B$21+'Inputs'!$B$7+'Inputs'!$B$10))^2+('Inputs'!$B$8/2)^2))))*'Results'!$B$8)-'Inputs'!$B$28*ABS((('Results'!B7*(1-'Inputs'!$B$24)*(0.5*((((1035-43)*MAX('Inputs'!$B$33,'Inputs'!$B$29+'Inputs'!$B$31+'Inputs'!$B$32,'Inputs'!$B$30+'Inputs'!$B$31+'Inputs'!$B$32)/1000+'Inputs'!$B$21)+'Inputs'!$B$7)/SQRT((((1035-43)*MAX('Inputs'!$B$33,'Inputs'!$B$29+'Inputs'!$B$31+'Inputs'!$B$32,'Inputs'!$B$30+'Inputs'!$B$31+'Inputs'!$B$32)/1000+'Inputs'!$B$21)+'Inputs'!$B$7)^2+('Inputs'!$B$6/2)^2)-(((1035-43)*MAX('Inputs'!$B$33,'Inputs'!$B$29+'Inputs'!$B$31+'Inputs'!$B$32,'Inputs'!$B$30+'Inputs'!$B$31+'Inputs'!$B$32)/1000+'Inputs'!$B$21))/SQRT((((1035-43)*MAX('Inputs'!$B$33,'Inputs'!$B$29+'Inputs'!$B$31+'Inputs'!$B$32,'Inputs'!$B$30+'Inputs'!$B$31+'Inputs'!$B$32)/1000+'Inputs'!$B$21))^2+('Inputs'!$B$6/2)^2)))-'Results'!C7*(1+'Inputs'!$B$24)*(0.5*((((1035-43)*MAX('Inputs'!$B$33,'Inputs'!$B$29+'Inputs'!$B$31+'Inputs'!$B$32,'Inputs'!$B$30+'Inputs'!$B$31+'Inputs'!$B$32)/1000+'Inputs'!$B$21+'Inputs'!$B$7+'Inputs'!$B$10)+'Inputs'!$B$9)/SQRT((((1035-43)*MAX('Inputs'!$B$33,'Inputs'!$B$29+'Inputs'!$B$31+'Inputs'!$B$32,'Inputs'!$B$30+'Inputs'!$B$31+'Inputs'!$B$32)/1000+'Inputs'!$B$21+'Inputs'!$B$7+'Inputs'!$B$10)+'Inputs'!$B$9)^2+('Inputs'!$B$8/2)^2)-(((1035-43)*MAX('Inputs'!$B$33,'Inputs'!$B$29+'Inputs'!$B$31+'Inputs'!$B$32,'Inputs'!$B$30+'Inputs'!$B$31+'Inputs'!$B$32)/1000+'Inputs'!$B$21+'Inputs'!$B$7+'Inputs'!$B$10))/SQRT((((1035-43)*MAX('Inputs'!$B$33,'Inputs'!$B$29+'Inputs'!$B$31+'Inputs'!$B$32,'Inputs'!$B$30+'Inputs'!$B$31+'Inputs'!$B$32)/1000+'Inputs'!$B$21+'Inputs'!$B$7+'Inputs'!$B$10))^2+('Inputs'!$B$8/2)^2))))*'Results'!$B$8))),"")</x:f>
        <x:v>0.30794105666126137</x:v>
      </x:c>
      <x:c r="L1035" t="n">
        <x:f>IF(AND(ISNUMBER('Results'!B7),ISNUMBER('Results'!C7),ISNUMBER('Results'!$B$8),ISNUMBER('Inputs'!$B$6),ISNUMBER('Inputs'!$B$7),ISNUMBER('Inputs'!$B$8),ISNUMBER('Inputs'!$B$9),ISNUMBER('Inputs'!$B$10),ISNUMBER('Inputs'!$B$21),ISNUMBER('Inputs'!$B$24),ISNUMBER('Inputs'!$B$28)),((('Results'!B7*(1+'Inputs'!$B$24)*(0.5*((((1035-43)*MAX('Inputs'!$B$33,'Inputs'!$B$29+'Inputs'!$B$31+'Inputs'!$B$32,'Inputs'!$B$30+'Inputs'!$B$31+'Inputs'!$B$32)/1000+'Inputs'!$B$21)+'Inputs'!$B$7)/SQRT((((1035-43)*MAX('Inputs'!$B$33,'Inputs'!$B$29+'Inputs'!$B$31+'Inputs'!$B$32,'Inputs'!$B$30+'Inputs'!$B$31+'Inputs'!$B$32)/1000+'Inputs'!$B$21)+'Inputs'!$B$7)^2+('Inputs'!$B$6/2)^2)-(((1035-43)*MAX('Inputs'!$B$33,'Inputs'!$B$29+'Inputs'!$B$31+'Inputs'!$B$32,'Inputs'!$B$30+'Inputs'!$B$31+'Inputs'!$B$32)/1000+'Inputs'!$B$21))/SQRT((((1035-43)*MAX('Inputs'!$B$33,'Inputs'!$B$29+'Inputs'!$B$31+'Inputs'!$B$32,'Inputs'!$B$30+'Inputs'!$B$31+'Inputs'!$B$32)/1000+'Inputs'!$B$21))^2+('Inputs'!$B$6/2)^2)))-'Results'!C7*(1-'Inputs'!$B$24)*(0.5*((((1035-43)*MAX('Inputs'!$B$33,'Inputs'!$B$29+'Inputs'!$B$31+'Inputs'!$B$32,'Inputs'!$B$30+'Inputs'!$B$31+'Inputs'!$B$32)/1000+'Inputs'!$B$21+'Inputs'!$B$7+'Inputs'!$B$10)+'Inputs'!$B$9)/SQRT((((1035-43)*MAX('Inputs'!$B$33,'Inputs'!$B$29+'Inputs'!$B$31+'Inputs'!$B$32,'Inputs'!$B$30+'Inputs'!$B$31+'Inputs'!$B$32)/1000+'Inputs'!$B$21+'Inputs'!$B$7+'Inputs'!$B$10)+'Inputs'!$B$9)^2+('Inputs'!$B$8/2)^2)-(((1035-43)*MAX('Inputs'!$B$33,'Inputs'!$B$29+'Inputs'!$B$31+'Inputs'!$B$32,'Inputs'!$B$30+'Inputs'!$B$31+'Inputs'!$B$32)/1000+'Inputs'!$B$21+'Inputs'!$B$7+'Inputs'!$B$10))/SQRT((((1035-43)*MAX('Inputs'!$B$33,'Inputs'!$B$29+'Inputs'!$B$31+'Inputs'!$B$32,'Inputs'!$B$30+'Inputs'!$B$31+'Inputs'!$B$32)/1000+'Inputs'!$B$21+'Inputs'!$B$7+'Inputs'!$B$10))^2+('Inputs'!$B$8/2)^2))))*'Results'!$B$8)+'Inputs'!$B$28*ABS((('Results'!B7*(1+'Inputs'!$B$24)*(0.5*((((1035-43)*MAX('Inputs'!$B$33,'Inputs'!$B$29+'Inputs'!$B$31+'Inputs'!$B$32,'Inputs'!$B$30+'Inputs'!$B$31+'Inputs'!$B$32)/1000+'Inputs'!$B$21)+'Inputs'!$B$7)/SQRT((((1035-43)*MAX('Inputs'!$B$33,'Inputs'!$B$29+'Inputs'!$B$31+'Inputs'!$B$32,'Inputs'!$B$30+'Inputs'!$B$31+'Inputs'!$B$32)/1000+'Inputs'!$B$21)+'Inputs'!$B$7)^2+('Inputs'!$B$6/2)^2)-(((1035-43)*MAX('Inputs'!$B$33,'Inputs'!$B$29+'Inputs'!$B$31+'Inputs'!$B$32,'Inputs'!$B$30+'Inputs'!$B$31+'Inputs'!$B$32)/1000+'Inputs'!$B$21))/SQRT((((1035-43)*MAX('Inputs'!$B$33,'Inputs'!$B$29+'Inputs'!$B$31+'Inputs'!$B$32,'Inputs'!$B$30+'Inputs'!$B$31+'Inputs'!$B$32)/1000+'Inputs'!$B$21))^2+('Inputs'!$B$6/2)^2)))-'Results'!C7*(1-'Inputs'!$B$24)*(0.5*((((1035-43)*MAX('Inputs'!$B$33,'Inputs'!$B$29+'Inputs'!$B$31+'Inputs'!$B$32,'Inputs'!$B$30+'Inputs'!$B$31+'Inputs'!$B$32)/1000+'Inputs'!$B$21+'Inputs'!$B$7+'Inputs'!$B$10)+'Inputs'!$B$9)/SQRT((((1035-43)*MAX('Inputs'!$B$33,'Inputs'!$B$29+'Inputs'!$B$31+'Inputs'!$B$32,'Inputs'!$B$30+'Inputs'!$B$31+'Inputs'!$B$32)/1000+'Inputs'!$B$21+'Inputs'!$B$7+'Inputs'!$B$10)+'Inputs'!$B$9)^2+('Inputs'!$B$8/2)^2)-(((1035-43)*MAX('Inputs'!$B$33,'Inputs'!$B$29+'Inputs'!$B$31+'Inputs'!$B$32,'Inputs'!$B$30+'Inputs'!$B$31+'Inputs'!$B$32)/1000+'Inputs'!$B$21+'Inputs'!$B$7+'Inputs'!$B$10))/SQRT((((1035-43)*MAX('Inputs'!$B$33,'Inputs'!$B$29+'Inputs'!$B$31+'Inputs'!$B$32,'Inputs'!$B$30+'Inputs'!$B$31+'Inputs'!$B$32)/1000+'Inputs'!$B$21+'Inputs'!$B$7+'Inputs'!$B$10))^2+('Inputs'!$B$8/2)^2))))*'Results'!$B$8))),"")</x:f>
        <x:v>0.43190365323204427</x:v>
      </x:c>
      <x:c r="M1035" t="n">
        <x:f>IF(AND(ISNUMBER('Results'!C7),ISNUMBER('Results'!B7),ISNUMBER('Results'!$B$8),ISNUMBER('Inputs'!$B$6),ISNUMBER('Inputs'!$B$7),ISNUMBER('Inputs'!$B$8),ISNUMBER('Inputs'!$B$9),ISNUMBER('Inputs'!$B$10),ISNUMBER('Inputs'!$B$21),ISNUMBER('Inputs'!$B$24),ISNUMBER('Inputs'!$B$28)),(('Results'!C7*(0.5*((((1035-43)*MAX('Inputs'!$B$33,'Inputs'!$B$29+'Inputs'!$B$31+'Inputs'!$B$32,'Inputs'!$B$30+'Inputs'!$B$31+'Inputs'!$B$32)/1000+'Inputs'!$B$21)+'Inputs'!$B$9)/SQRT((((1035-43)*MAX('Inputs'!$B$33,'Inputs'!$B$29+'Inputs'!$B$31+'Inputs'!$B$32,'Inputs'!$B$30+'Inputs'!$B$31+'Inputs'!$B$32)/1000+'Inputs'!$B$21)+'Inputs'!$B$9)^2+('Inputs'!$B$8/2)^2)-(((1035-43)*MAX('Inputs'!$B$33,'Inputs'!$B$29+'Inputs'!$B$31+'Inputs'!$B$32,'Inputs'!$B$30+'Inputs'!$B$31+'Inputs'!$B$32)/1000+'Inputs'!$B$21))/SQRT((((1035-43)*MAX('Inputs'!$B$33,'Inputs'!$B$29+'Inputs'!$B$31+'Inputs'!$B$32,'Inputs'!$B$30+'Inputs'!$B$31+'Inputs'!$B$32)/1000+'Inputs'!$B$21))^2+('Inputs'!$B$8/2)^2)))-'Results'!B7*(0.5*((((1035-43)*MAX('Inputs'!$B$33,'Inputs'!$B$29+'Inputs'!$B$31+'Inputs'!$B$32,'Inputs'!$B$30+'Inputs'!$B$31+'Inputs'!$B$32)/1000+'Inputs'!$B$21+'Inputs'!$B$9+'Inputs'!$B$10)+'Inputs'!$B$7)/SQRT((((1035-43)*MAX('Inputs'!$B$33,'Inputs'!$B$29+'Inputs'!$B$31+'Inputs'!$B$32,'Inputs'!$B$30+'Inputs'!$B$31+'Inputs'!$B$32)/1000+'Inputs'!$B$21+'Inputs'!$B$9+'Inputs'!$B$10)+'Inputs'!$B$7)^2+('Inputs'!$B$6/2)^2)-(((1035-43)*MAX('Inputs'!$B$33,'Inputs'!$B$29+'Inputs'!$B$31+'Inputs'!$B$32,'Inputs'!$B$30+'Inputs'!$B$31+'Inputs'!$B$32)/1000+'Inputs'!$B$21+'Inputs'!$B$9+'Inputs'!$B$10))/SQRT((((1035-43)*MAX('Inputs'!$B$33,'Inputs'!$B$29+'Inputs'!$B$31+'Inputs'!$B$32,'Inputs'!$B$30+'Inputs'!$B$31+'Inputs'!$B$32)/1000+'Inputs'!$B$21+'Inputs'!$B$9+'Inputs'!$B$10))^2+('Inputs'!$B$6/2)^2))))*'Results'!$B$8),"")</x:f>
        <x:v>0.3237786917876977</x:v>
      </x:c>
      <x:c r="N1035" t="n">
        <x:f>IF(AND(ISNUMBER('Results'!C7),ISNUMBER('Results'!B7),ISNUMBER('Results'!$B$8),ISNUMBER('Inputs'!$B$6),ISNUMBER('Inputs'!$B$7),ISNUMBER('Inputs'!$B$8),ISNUMBER('Inputs'!$B$9),ISNUMBER('Inputs'!$B$10),ISNUMBER('Inputs'!$B$21),ISNUMBER('Inputs'!$B$24),ISNUMBER('Inputs'!$B$28)),((('Results'!C7*(1-'Inputs'!$B$24)*(0.5*((((1035-43)*MAX('Inputs'!$B$33,'Inputs'!$B$29+'Inputs'!$B$31+'Inputs'!$B$32,'Inputs'!$B$30+'Inputs'!$B$31+'Inputs'!$B$32)/1000+'Inputs'!$B$21)+'Inputs'!$B$9)/SQRT((((1035-43)*MAX('Inputs'!$B$33,'Inputs'!$B$29+'Inputs'!$B$31+'Inputs'!$B$32,'Inputs'!$B$30+'Inputs'!$B$31+'Inputs'!$B$32)/1000+'Inputs'!$B$21)+'Inputs'!$B$9)^2+('Inputs'!$B$8/2)^2)-(((1035-43)*MAX('Inputs'!$B$33,'Inputs'!$B$29+'Inputs'!$B$31+'Inputs'!$B$32,'Inputs'!$B$30+'Inputs'!$B$31+'Inputs'!$B$32)/1000+'Inputs'!$B$21))/SQRT((((1035-43)*MAX('Inputs'!$B$33,'Inputs'!$B$29+'Inputs'!$B$31+'Inputs'!$B$32,'Inputs'!$B$30+'Inputs'!$B$31+'Inputs'!$B$32)/1000+'Inputs'!$B$21))^2+('Inputs'!$B$8/2)^2)))-'Results'!B7*(1+'Inputs'!$B$24)*(0.5*((((1035-43)*MAX('Inputs'!$B$33,'Inputs'!$B$29+'Inputs'!$B$31+'Inputs'!$B$32,'Inputs'!$B$30+'Inputs'!$B$31+'Inputs'!$B$32)/1000+'Inputs'!$B$21+'Inputs'!$B$9+'Inputs'!$B$10)+'Inputs'!$B$7)/SQRT((((1035-43)*MAX('Inputs'!$B$33,'Inputs'!$B$29+'Inputs'!$B$31+'Inputs'!$B$32,'Inputs'!$B$30+'Inputs'!$B$31+'Inputs'!$B$32)/1000+'Inputs'!$B$21+'Inputs'!$B$9+'Inputs'!$B$10)+'Inputs'!$B$7)^2+('Inputs'!$B$6/2)^2)-(((1035-43)*MAX('Inputs'!$B$33,'Inputs'!$B$29+'Inputs'!$B$31+'Inputs'!$B$32,'Inputs'!$B$30+'Inputs'!$B$31+'Inputs'!$B$32)/1000+'Inputs'!$B$21+'Inputs'!$B$9+'Inputs'!$B$10))/SQRT((((1035-43)*MAX('Inputs'!$B$33,'Inputs'!$B$29+'Inputs'!$B$31+'Inputs'!$B$32,'Inputs'!$B$30+'Inputs'!$B$31+'Inputs'!$B$32)/1000+'Inputs'!$B$21+'Inputs'!$B$9+'Inputs'!$B$10))^2+('Inputs'!$B$6/2)^2))))*'Results'!$B$8)-'Inputs'!$B$28*ABS((('Results'!C7*(1-'Inputs'!$B$24)*(0.5*((((1035-43)*MAX('Inputs'!$B$33,'Inputs'!$B$29+'Inputs'!$B$31+'Inputs'!$B$32,'Inputs'!$B$30+'Inputs'!$B$31+'Inputs'!$B$32)/1000+'Inputs'!$B$21)+'Inputs'!$B$9)/SQRT((((1035-43)*MAX('Inputs'!$B$33,'Inputs'!$B$29+'Inputs'!$B$31+'Inputs'!$B$32,'Inputs'!$B$30+'Inputs'!$B$31+'Inputs'!$B$32)/1000+'Inputs'!$B$21)+'Inputs'!$B$9)^2+('Inputs'!$B$8/2)^2)-(((1035-43)*MAX('Inputs'!$B$33,'Inputs'!$B$29+'Inputs'!$B$31+'Inputs'!$B$32,'Inputs'!$B$30+'Inputs'!$B$31+'Inputs'!$B$32)/1000+'Inputs'!$B$21))/SQRT((((1035-43)*MAX('Inputs'!$B$33,'Inputs'!$B$29+'Inputs'!$B$31+'Inputs'!$B$32,'Inputs'!$B$30+'Inputs'!$B$31+'Inputs'!$B$32)/1000+'Inputs'!$B$21))^2+('Inputs'!$B$8/2)^2)))-'Results'!B7*(1+'Inputs'!$B$24)*(0.5*((((1035-43)*MAX('Inputs'!$B$33,'Inputs'!$B$29+'Inputs'!$B$31+'Inputs'!$B$32,'Inputs'!$B$30+'Inputs'!$B$31+'Inputs'!$B$32)/1000+'Inputs'!$B$21+'Inputs'!$B$9+'Inputs'!$B$10)+'Inputs'!$B$7)/SQRT((((1035-43)*MAX('Inputs'!$B$33,'Inputs'!$B$29+'Inputs'!$B$31+'Inputs'!$B$32,'Inputs'!$B$30+'Inputs'!$B$31+'Inputs'!$B$32)/1000+'Inputs'!$B$21+'Inputs'!$B$9+'Inputs'!$B$10)+'Inputs'!$B$7)^2+('Inputs'!$B$6/2)^2)-(((1035-43)*MAX('Inputs'!$B$33,'Inputs'!$B$29+'Inputs'!$B$31+'Inputs'!$B$32,'Inputs'!$B$30+'Inputs'!$B$31+'Inputs'!$B$32)/1000+'Inputs'!$B$21+'Inputs'!$B$9+'Inputs'!$B$10))/SQRT((((1035-43)*MAX('Inputs'!$B$33,'Inputs'!$B$29+'Inputs'!$B$31+'Inputs'!$B$32,'Inputs'!$B$30+'Inputs'!$B$31+'Inputs'!$B$32)/1000+'Inputs'!$B$21+'Inputs'!$B$9+'Inputs'!$B$10))^2+('Inputs'!$B$6/2)^2))))*'Results'!$B$8))),"")</x:f>
        <x:v>0.2663080157594865</x:v>
      </x:c>
      <x:c r="O1035" t="n">
        <x:f>IF(AND(ISNUMBER('Results'!C7),ISNUMBER('Results'!B7),ISNUMBER('Results'!$B$8),ISNUMBER('Inputs'!$B$6),ISNUMBER('Inputs'!$B$7),ISNUMBER('Inputs'!$B$8),ISNUMBER('Inputs'!$B$9),ISNUMBER('Inputs'!$B$10),ISNUMBER('Inputs'!$B$21),ISNUMBER('Inputs'!$B$24),ISNUMBER('Inputs'!$B$28)),((('Results'!C7*(1+'Inputs'!$B$24)*(0.5*((((1035-43)*MAX('Inputs'!$B$33,'Inputs'!$B$29+'Inputs'!$B$31+'Inputs'!$B$32,'Inputs'!$B$30+'Inputs'!$B$31+'Inputs'!$B$32)/1000+'Inputs'!$B$21)+'Inputs'!$B$9)/SQRT((((1035-43)*MAX('Inputs'!$B$33,'Inputs'!$B$29+'Inputs'!$B$31+'Inputs'!$B$32,'Inputs'!$B$30+'Inputs'!$B$31+'Inputs'!$B$32)/1000+'Inputs'!$B$21)+'Inputs'!$B$9)^2+('Inputs'!$B$8/2)^2)-(((1035-43)*MAX('Inputs'!$B$33,'Inputs'!$B$29+'Inputs'!$B$31+'Inputs'!$B$32,'Inputs'!$B$30+'Inputs'!$B$31+'Inputs'!$B$32)/1000+'Inputs'!$B$21))/SQRT((((1035-43)*MAX('Inputs'!$B$33,'Inputs'!$B$29+'Inputs'!$B$31+'Inputs'!$B$32,'Inputs'!$B$30+'Inputs'!$B$31+'Inputs'!$B$32)/1000+'Inputs'!$B$21))^2+('Inputs'!$B$8/2)^2)))-'Results'!B7*(1-'Inputs'!$B$24)*(0.5*((((1035-43)*MAX('Inputs'!$B$33,'Inputs'!$B$29+'Inputs'!$B$31+'Inputs'!$B$32,'Inputs'!$B$30+'Inputs'!$B$31+'Inputs'!$B$32)/1000+'Inputs'!$B$21+'Inputs'!$B$9+'Inputs'!$B$10)+'Inputs'!$B$7)/SQRT((((1035-43)*MAX('Inputs'!$B$33,'Inputs'!$B$29+'Inputs'!$B$31+'Inputs'!$B$32,'Inputs'!$B$30+'Inputs'!$B$31+'Inputs'!$B$32)/1000+'Inputs'!$B$21+'Inputs'!$B$9+'Inputs'!$B$10)+'Inputs'!$B$7)^2+('Inputs'!$B$6/2)^2)-(((1035-43)*MAX('Inputs'!$B$33,'Inputs'!$B$29+'Inputs'!$B$31+'Inputs'!$B$32,'Inputs'!$B$30+'Inputs'!$B$31+'Inputs'!$B$32)/1000+'Inputs'!$B$21+'Inputs'!$B$9+'Inputs'!$B$10))/SQRT((((1035-43)*MAX('Inputs'!$B$33,'Inputs'!$B$29+'Inputs'!$B$31+'Inputs'!$B$32,'Inputs'!$B$30+'Inputs'!$B$31+'Inputs'!$B$32)/1000+'Inputs'!$B$21+'Inputs'!$B$9+'Inputs'!$B$10))^2+('Inputs'!$B$6/2)^2))))*'Results'!$B$8)+'Inputs'!$B$28*ABS((('Results'!C7*(1+'Inputs'!$B$24)*(0.5*((((1035-43)*MAX('Inputs'!$B$33,'Inputs'!$B$29+'Inputs'!$B$31+'Inputs'!$B$32,'Inputs'!$B$30+'Inputs'!$B$31+'Inputs'!$B$32)/1000+'Inputs'!$B$21)+'Inputs'!$B$9)/SQRT((((1035-43)*MAX('Inputs'!$B$33,'Inputs'!$B$29+'Inputs'!$B$31+'Inputs'!$B$32,'Inputs'!$B$30+'Inputs'!$B$31+'Inputs'!$B$32)/1000+'Inputs'!$B$21)+'Inputs'!$B$9)^2+('Inputs'!$B$8/2)^2)-(((1035-43)*MAX('Inputs'!$B$33,'Inputs'!$B$29+'Inputs'!$B$31+'Inputs'!$B$32,'Inputs'!$B$30+'Inputs'!$B$31+'Inputs'!$B$32)/1000+'Inputs'!$B$21))/SQRT((((1035-43)*MAX('Inputs'!$B$33,'Inputs'!$B$29+'Inputs'!$B$31+'Inputs'!$B$32,'Inputs'!$B$30+'Inputs'!$B$31+'Inputs'!$B$32)/1000+'Inputs'!$B$21))^2+('Inputs'!$B$8/2)^2)))-'Results'!B7*(1-'Inputs'!$B$24)*(0.5*((((1035-43)*MAX('Inputs'!$B$33,'Inputs'!$B$29+'Inputs'!$B$31+'Inputs'!$B$32,'Inputs'!$B$30+'Inputs'!$B$31+'Inputs'!$B$32)/1000+'Inputs'!$B$21+'Inputs'!$B$9+'Inputs'!$B$10)+'Inputs'!$B$7)/SQRT((((1035-43)*MAX('Inputs'!$B$33,'Inputs'!$B$29+'Inputs'!$B$31+'Inputs'!$B$32,'Inputs'!$B$30+'Inputs'!$B$31+'Inputs'!$B$32)/1000+'Inputs'!$B$21+'Inputs'!$B$9+'Inputs'!$B$10)+'Inputs'!$B$7)^2+('Inputs'!$B$6/2)^2)-(((1035-43)*MAX('Inputs'!$B$33,'Inputs'!$B$29+'Inputs'!$B$31+'Inputs'!$B$32,'Inputs'!$B$30+'Inputs'!$B$31+'Inputs'!$B$32)/1000+'Inputs'!$B$21+'Inputs'!$B$9+'Inputs'!$B$10))/SQRT((((1035-43)*MAX('Inputs'!$B$33,'Inputs'!$B$29+'Inputs'!$B$31+'Inputs'!$B$32,'Inputs'!$B$30+'Inputs'!$B$31+'Inputs'!$B$32)/1000+'Inputs'!$B$21+'Inputs'!$B$9+'Inputs'!$B$10))^2+('Inputs'!$B$6/2)^2))))*'Results'!$B$8))),"")</x:f>
        <x:v>0.38559481428315406</x:v>
      </x:c>
      <x:c r="P1035" t="n">
        <x:f>IF(AND(MAX(J1035,J1034)&gt;0,J1035&gt;J1034+0.00000001),1,0)</x:f>
        <x:v>0</x:v>
      </x:c>
      <x:c r="Q1035" t="n">
        <x:f>IF(AND(MAX(K1035,K1034)&gt;0,K1035&gt;K1034+0.00000001),1,0)</x:f>
        <x:v>0</x:v>
      </x:c>
      <x:c r="R1035" t="n">
        <x:f>IF(AND(MAX(L1035,L1034)&gt;0,L1035&gt;L1034+0.00000001),1,0)</x:f>
        <x:v>0</x:v>
      </x:c>
      <x:c r="S1035" t="n">
        <x:f>IF(AND(MAX(M1035,M1034)&gt;0,M1035&gt;M1034+0.00000001),1,0)</x:f>
        <x:v>0</x:v>
      </x:c>
      <x:c r="T1035" t="n">
        <x:f>IF(AND(MAX(N1035,N1034)&gt;0,N1035&gt;N1034+0.00000001),1,0)</x:f>
        <x:v>0</x:v>
      </x:c>
      <x:c r="U1035" t="n">
        <x:f>IF(AND(MAX(O1035,O1034)&gt;0,O1035&gt;O1034+0.00000001),1,0)</x:f>
        <x:v>0</x:v>
      </x:c>
    </x:row>
    <x:row r="1036">
      <x:c r="J1036" t="n">
        <x:f>IF(AND(ISNUMBER('Results'!B7),ISNUMBER('Results'!C7),ISNUMBER('Results'!$B$8),ISNUMBER('Inputs'!$B$6),ISNUMBER('Inputs'!$B$7),ISNUMBER('Inputs'!$B$8),ISNUMBER('Inputs'!$B$9),ISNUMBER('Inputs'!$B$10),ISNUMBER('Inputs'!$B$21),ISNUMBER('Inputs'!$B$24),ISNUMBER('Inputs'!$B$28)),(('Results'!B7*(0.5*((((1036-43)*MAX('Inputs'!$B$33,'Inputs'!$B$29+'Inputs'!$B$31+'Inputs'!$B$32,'Inputs'!$B$30+'Inputs'!$B$31+'Inputs'!$B$32)/1000+'Inputs'!$B$21)+'Inputs'!$B$7)/SQRT((((1036-43)*MAX('Inputs'!$B$33,'Inputs'!$B$29+'Inputs'!$B$31+'Inputs'!$B$32,'Inputs'!$B$30+'Inputs'!$B$31+'Inputs'!$B$32)/1000+'Inputs'!$B$21)+'Inputs'!$B$7)^2+('Inputs'!$B$6/2)^2)-(((1036-43)*MAX('Inputs'!$B$33,'Inputs'!$B$29+'Inputs'!$B$31+'Inputs'!$B$32,'Inputs'!$B$30+'Inputs'!$B$31+'Inputs'!$B$32)/1000+'Inputs'!$B$21))/SQRT((((1036-43)*MAX('Inputs'!$B$33,'Inputs'!$B$29+'Inputs'!$B$31+'Inputs'!$B$32,'Inputs'!$B$30+'Inputs'!$B$31+'Inputs'!$B$32)/1000+'Inputs'!$B$21))^2+('Inputs'!$B$6/2)^2)))-'Results'!C7*(0.5*((((1036-43)*MAX('Inputs'!$B$33,'Inputs'!$B$29+'Inputs'!$B$31+'Inputs'!$B$32,'Inputs'!$B$30+'Inputs'!$B$31+'Inputs'!$B$32)/1000+'Inputs'!$B$21+'Inputs'!$B$7+'Inputs'!$B$10)+'Inputs'!$B$9)/SQRT((((1036-43)*MAX('Inputs'!$B$33,'Inputs'!$B$29+'Inputs'!$B$31+'Inputs'!$B$32,'Inputs'!$B$30+'Inputs'!$B$31+'Inputs'!$B$32)/1000+'Inputs'!$B$21+'Inputs'!$B$7+'Inputs'!$B$10)+'Inputs'!$B$9)^2+('Inputs'!$B$8/2)^2)-(((1036-43)*MAX('Inputs'!$B$33,'Inputs'!$B$29+'Inputs'!$B$31+'Inputs'!$B$32,'Inputs'!$B$30+'Inputs'!$B$31+'Inputs'!$B$32)/1000+'Inputs'!$B$21+'Inputs'!$B$7+'Inputs'!$B$10))/SQRT((((1036-43)*MAX('Inputs'!$B$33,'Inputs'!$B$29+'Inputs'!$B$31+'Inputs'!$B$32,'Inputs'!$B$30+'Inputs'!$B$31+'Inputs'!$B$32)/1000+'Inputs'!$B$21+'Inputs'!$B$7+'Inputs'!$B$10))^2+('Inputs'!$B$8/2)^2))))*'Results'!$B$8),"")</x:f>
        <x:v>0.36639226321573265</x:v>
      </x:c>
      <x:c r="K1036" t="n">
        <x:f>IF(AND(ISNUMBER('Results'!B7),ISNUMBER('Results'!C7),ISNUMBER('Results'!$B$8),ISNUMBER('Inputs'!$B$6),ISNUMBER('Inputs'!$B$7),ISNUMBER('Inputs'!$B$8),ISNUMBER('Inputs'!$B$9),ISNUMBER('Inputs'!$B$10),ISNUMBER('Inputs'!$B$21),ISNUMBER('Inputs'!$B$24),ISNUMBER('Inputs'!$B$28)),((('Results'!B7*(1-'Inputs'!$B$24)*(0.5*((((1036-43)*MAX('Inputs'!$B$33,'Inputs'!$B$29+'Inputs'!$B$31+'Inputs'!$B$32,'Inputs'!$B$30+'Inputs'!$B$31+'Inputs'!$B$32)/1000+'Inputs'!$B$21)+'Inputs'!$B$7)/SQRT((((1036-43)*MAX('Inputs'!$B$33,'Inputs'!$B$29+'Inputs'!$B$31+'Inputs'!$B$32,'Inputs'!$B$30+'Inputs'!$B$31+'Inputs'!$B$32)/1000+'Inputs'!$B$21)+'Inputs'!$B$7)^2+('Inputs'!$B$6/2)^2)-(((1036-43)*MAX('Inputs'!$B$33,'Inputs'!$B$29+'Inputs'!$B$31+'Inputs'!$B$32,'Inputs'!$B$30+'Inputs'!$B$31+'Inputs'!$B$32)/1000+'Inputs'!$B$21))/SQRT((((1036-43)*MAX('Inputs'!$B$33,'Inputs'!$B$29+'Inputs'!$B$31+'Inputs'!$B$32,'Inputs'!$B$30+'Inputs'!$B$31+'Inputs'!$B$32)/1000+'Inputs'!$B$21))^2+('Inputs'!$B$6/2)^2)))-'Results'!C7*(1+'Inputs'!$B$24)*(0.5*((((1036-43)*MAX('Inputs'!$B$33,'Inputs'!$B$29+'Inputs'!$B$31+'Inputs'!$B$32,'Inputs'!$B$30+'Inputs'!$B$31+'Inputs'!$B$32)/1000+'Inputs'!$B$21+'Inputs'!$B$7+'Inputs'!$B$10)+'Inputs'!$B$9)/SQRT((((1036-43)*MAX('Inputs'!$B$33,'Inputs'!$B$29+'Inputs'!$B$31+'Inputs'!$B$32,'Inputs'!$B$30+'Inputs'!$B$31+'Inputs'!$B$32)/1000+'Inputs'!$B$21+'Inputs'!$B$7+'Inputs'!$B$10)+'Inputs'!$B$9)^2+('Inputs'!$B$8/2)^2)-(((1036-43)*MAX('Inputs'!$B$33,'Inputs'!$B$29+'Inputs'!$B$31+'Inputs'!$B$32,'Inputs'!$B$30+'Inputs'!$B$31+'Inputs'!$B$32)/1000+'Inputs'!$B$21+'Inputs'!$B$7+'Inputs'!$B$10))/SQRT((((1036-43)*MAX('Inputs'!$B$33,'Inputs'!$B$29+'Inputs'!$B$31+'Inputs'!$B$32,'Inputs'!$B$30+'Inputs'!$B$31+'Inputs'!$B$32)/1000+'Inputs'!$B$21+'Inputs'!$B$7+'Inputs'!$B$10))^2+('Inputs'!$B$8/2)^2))))*'Results'!$B$8)-'Inputs'!$B$28*ABS((('Results'!B7*(1-'Inputs'!$B$24)*(0.5*((((1036-43)*MAX('Inputs'!$B$33,'Inputs'!$B$29+'Inputs'!$B$31+'Inputs'!$B$32,'Inputs'!$B$30+'Inputs'!$B$31+'Inputs'!$B$32)/1000+'Inputs'!$B$21)+'Inputs'!$B$7)/SQRT((((1036-43)*MAX('Inputs'!$B$33,'Inputs'!$B$29+'Inputs'!$B$31+'Inputs'!$B$32,'Inputs'!$B$30+'Inputs'!$B$31+'Inputs'!$B$32)/1000+'Inputs'!$B$21)+'Inputs'!$B$7)^2+('Inputs'!$B$6/2)^2)-(((1036-43)*MAX('Inputs'!$B$33,'Inputs'!$B$29+'Inputs'!$B$31+'Inputs'!$B$32,'Inputs'!$B$30+'Inputs'!$B$31+'Inputs'!$B$32)/1000+'Inputs'!$B$21))/SQRT((((1036-43)*MAX('Inputs'!$B$33,'Inputs'!$B$29+'Inputs'!$B$31+'Inputs'!$B$32,'Inputs'!$B$30+'Inputs'!$B$31+'Inputs'!$B$32)/1000+'Inputs'!$B$21))^2+('Inputs'!$B$6/2)^2)))-'Results'!C7*(1+'Inputs'!$B$24)*(0.5*((((1036-43)*MAX('Inputs'!$B$33,'Inputs'!$B$29+'Inputs'!$B$31+'Inputs'!$B$32,'Inputs'!$B$30+'Inputs'!$B$31+'Inputs'!$B$32)/1000+'Inputs'!$B$21+'Inputs'!$B$7+'Inputs'!$B$10)+'Inputs'!$B$9)/SQRT((((1036-43)*MAX('Inputs'!$B$33,'Inputs'!$B$29+'Inputs'!$B$31+'Inputs'!$B$32,'Inputs'!$B$30+'Inputs'!$B$31+'Inputs'!$B$32)/1000+'Inputs'!$B$21+'Inputs'!$B$7+'Inputs'!$B$10)+'Inputs'!$B$9)^2+('Inputs'!$B$8/2)^2)-(((1036-43)*MAX('Inputs'!$B$33,'Inputs'!$B$29+'Inputs'!$B$31+'Inputs'!$B$32,'Inputs'!$B$30+'Inputs'!$B$31+'Inputs'!$B$32)/1000+'Inputs'!$B$21+'Inputs'!$B$7+'Inputs'!$B$10))/SQRT((((1036-43)*MAX('Inputs'!$B$33,'Inputs'!$B$29+'Inputs'!$B$31+'Inputs'!$B$32,'Inputs'!$B$30+'Inputs'!$B$31+'Inputs'!$B$32)/1000+'Inputs'!$B$21+'Inputs'!$B$7+'Inputs'!$B$10))^2+('Inputs'!$B$8/2)^2))))*'Results'!$B$8))),"")</x:f>
        <x:v>0.30677495447519665</x:v>
      </x:c>
      <x:c r="L1036" t="n">
        <x:f>IF(AND(ISNUMBER('Results'!B7),ISNUMBER('Results'!C7),ISNUMBER('Results'!$B$8),ISNUMBER('Inputs'!$B$6),ISNUMBER('Inputs'!$B$7),ISNUMBER('Inputs'!$B$8),ISNUMBER('Inputs'!$B$9),ISNUMBER('Inputs'!$B$10),ISNUMBER('Inputs'!$B$21),ISNUMBER('Inputs'!$B$24),ISNUMBER('Inputs'!$B$28)),((('Results'!B7*(1+'Inputs'!$B$24)*(0.5*((((1036-43)*MAX('Inputs'!$B$33,'Inputs'!$B$29+'Inputs'!$B$31+'Inputs'!$B$32,'Inputs'!$B$30+'Inputs'!$B$31+'Inputs'!$B$32)/1000+'Inputs'!$B$21)+'Inputs'!$B$7)/SQRT((((1036-43)*MAX('Inputs'!$B$33,'Inputs'!$B$29+'Inputs'!$B$31+'Inputs'!$B$32,'Inputs'!$B$30+'Inputs'!$B$31+'Inputs'!$B$32)/1000+'Inputs'!$B$21)+'Inputs'!$B$7)^2+('Inputs'!$B$6/2)^2)-(((1036-43)*MAX('Inputs'!$B$33,'Inputs'!$B$29+'Inputs'!$B$31+'Inputs'!$B$32,'Inputs'!$B$30+'Inputs'!$B$31+'Inputs'!$B$32)/1000+'Inputs'!$B$21))/SQRT((((1036-43)*MAX('Inputs'!$B$33,'Inputs'!$B$29+'Inputs'!$B$31+'Inputs'!$B$32,'Inputs'!$B$30+'Inputs'!$B$31+'Inputs'!$B$32)/1000+'Inputs'!$B$21))^2+('Inputs'!$B$6/2)^2)))-'Results'!C7*(1-'Inputs'!$B$24)*(0.5*((((1036-43)*MAX('Inputs'!$B$33,'Inputs'!$B$29+'Inputs'!$B$31+'Inputs'!$B$32,'Inputs'!$B$30+'Inputs'!$B$31+'Inputs'!$B$32)/1000+'Inputs'!$B$21+'Inputs'!$B$7+'Inputs'!$B$10)+'Inputs'!$B$9)/SQRT((((1036-43)*MAX('Inputs'!$B$33,'Inputs'!$B$29+'Inputs'!$B$31+'Inputs'!$B$32,'Inputs'!$B$30+'Inputs'!$B$31+'Inputs'!$B$32)/1000+'Inputs'!$B$21+'Inputs'!$B$7+'Inputs'!$B$10)+'Inputs'!$B$9)^2+('Inputs'!$B$8/2)^2)-(((1036-43)*MAX('Inputs'!$B$33,'Inputs'!$B$29+'Inputs'!$B$31+'Inputs'!$B$32,'Inputs'!$B$30+'Inputs'!$B$31+'Inputs'!$B$32)/1000+'Inputs'!$B$21+'Inputs'!$B$7+'Inputs'!$B$10))/SQRT((((1036-43)*MAX('Inputs'!$B$33,'Inputs'!$B$29+'Inputs'!$B$31+'Inputs'!$B$32,'Inputs'!$B$30+'Inputs'!$B$31+'Inputs'!$B$32)/1000+'Inputs'!$B$21+'Inputs'!$B$7+'Inputs'!$B$10))^2+('Inputs'!$B$8/2)^2))))*'Results'!$B$8)+'Inputs'!$B$28*ABS((('Results'!B7*(1+'Inputs'!$B$24)*(0.5*((((1036-43)*MAX('Inputs'!$B$33,'Inputs'!$B$29+'Inputs'!$B$31+'Inputs'!$B$32,'Inputs'!$B$30+'Inputs'!$B$31+'Inputs'!$B$32)/1000+'Inputs'!$B$21)+'Inputs'!$B$7)/SQRT((((1036-43)*MAX('Inputs'!$B$33,'Inputs'!$B$29+'Inputs'!$B$31+'Inputs'!$B$32,'Inputs'!$B$30+'Inputs'!$B$31+'Inputs'!$B$32)/1000+'Inputs'!$B$21)+'Inputs'!$B$7)^2+('Inputs'!$B$6/2)^2)-(((1036-43)*MAX('Inputs'!$B$33,'Inputs'!$B$29+'Inputs'!$B$31+'Inputs'!$B$32,'Inputs'!$B$30+'Inputs'!$B$31+'Inputs'!$B$32)/1000+'Inputs'!$B$21))/SQRT((((1036-43)*MAX('Inputs'!$B$33,'Inputs'!$B$29+'Inputs'!$B$31+'Inputs'!$B$32,'Inputs'!$B$30+'Inputs'!$B$31+'Inputs'!$B$32)/1000+'Inputs'!$B$21))^2+('Inputs'!$B$6/2)^2)))-'Results'!C7*(1-'Inputs'!$B$24)*(0.5*((((1036-43)*MAX('Inputs'!$B$33,'Inputs'!$B$29+'Inputs'!$B$31+'Inputs'!$B$32,'Inputs'!$B$30+'Inputs'!$B$31+'Inputs'!$B$32)/1000+'Inputs'!$B$21+'Inputs'!$B$7+'Inputs'!$B$10)+'Inputs'!$B$9)/SQRT((((1036-43)*MAX('Inputs'!$B$33,'Inputs'!$B$29+'Inputs'!$B$31+'Inputs'!$B$32,'Inputs'!$B$30+'Inputs'!$B$31+'Inputs'!$B$32)/1000+'Inputs'!$B$21+'Inputs'!$B$7+'Inputs'!$B$10)+'Inputs'!$B$9)^2+('Inputs'!$B$8/2)^2)-(((1036-43)*MAX('Inputs'!$B$33,'Inputs'!$B$29+'Inputs'!$B$31+'Inputs'!$B$32,'Inputs'!$B$30+'Inputs'!$B$31+'Inputs'!$B$32)/1000+'Inputs'!$B$21+'Inputs'!$B$7+'Inputs'!$B$10))/SQRT((((1036-43)*MAX('Inputs'!$B$33,'Inputs'!$B$29+'Inputs'!$B$31+'Inputs'!$B$32,'Inputs'!$B$30+'Inputs'!$B$31+'Inputs'!$B$32)/1000+'Inputs'!$B$21+'Inputs'!$B$7+'Inputs'!$B$10))^2+('Inputs'!$B$8/2)^2))))*'Results'!$B$8))),"")</x:f>
        <x:v>0.4303566978067686</x:v>
      </x:c>
      <x:c r="M1036" t="n">
        <x:f>IF(AND(ISNUMBER('Results'!C7),ISNUMBER('Results'!B7),ISNUMBER('Results'!$B$8),ISNUMBER('Inputs'!$B$6),ISNUMBER('Inputs'!$B$7),ISNUMBER('Inputs'!$B$8),ISNUMBER('Inputs'!$B$9),ISNUMBER('Inputs'!$B$10),ISNUMBER('Inputs'!$B$21),ISNUMBER('Inputs'!$B$24),ISNUMBER('Inputs'!$B$28)),(('Results'!C7*(0.5*((((1036-43)*MAX('Inputs'!$B$33,'Inputs'!$B$29+'Inputs'!$B$31+'Inputs'!$B$32,'Inputs'!$B$30+'Inputs'!$B$31+'Inputs'!$B$32)/1000+'Inputs'!$B$21)+'Inputs'!$B$9)/SQRT((((1036-43)*MAX('Inputs'!$B$33,'Inputs'!$B$29+'Inputs'!$B$31+'Inputs'!$B$32,'Inputs'!$B$30+'Inputs'!$B$31+'Inputs'!$B$32)/1000+'Inputs'!$B$21)+'Inputs'!$B$9)^2+('Inputs'!$B$8/2)^2)-(((1036-43)*MAX('Inputs'!$B$33,'Inputs'!$B$29+'Inputs'!$B$31+'Inputs'!$B$32,'Inputs'!$B$30+'Inputs'!$B$31+'Inputs'!$B$32)/1000+'Inputs'!$B$21))/SQRT((((1036-43)*MAX('Inputs'!$B$33,'Inputs'!$B$29+'Inputs'!$B$31+'Inputs'!$B$32,'Inputs'!$B$30+'Inputs'!$B$31+'Inputs'!$B$32)/1000+'Inputs'!$B$21))^2+('Inputs'!$B$8/2)^2)))-'Results'!B7*(0.5*((((1036-43)*MAX('Inputs'!$B$33,'Inputs'!$B$29+'Inputs'!$B$31+'Inputs'!$B$32,'Inputs'!$B$30+'Inputs'!$B$31+'Inputs'!$B$32)/1000+'Inputs'!$B$21+'Inputs'!$B$9+'Inputs'!$B$10)+'Inputs'!$B$7)/SQRT((((1036-43)*MAX('Inputs'!$B$33,'Inputs'!$B$29+'Inputs'!$B$31+'Inputs'!$B$32,'Inputs'!$B$30+'Inputs'!$B$31+'Inputs'!$B$32)/1000+'Inputs'!$B$21+'Inputs'!$B$9+'Inputs'!$B$10)+'Inputs'!$B$7)^2+('Inputs'!$B$6/2)^2)-(((1036-43)*MAX('Inputs'!$B$33,'Inputs'!$B$29+'Inputs'!$B$31+'Inputs'!$B$32,'Inputs'!$B$30+'Inputs'!$B$31+'Inputs'!$B$32)/1000+'Inputs'!$B$21+'Inputs'!$B$9+'Inputs'!$B$10))/SQRT((((1036-43)*MAX('Inputs'!$B$33,'Inputs'!$B$29+'Inputs'!$B$31+'Inputs'!$B$32,'Inputs'!$B$30+'Inputs'!$B$31+'Inputs'!$B$32)/1000+'Inputs'!$B$21+'Inputs'!$B$9+'Inputs'!$B$10))^2+('Inputs'!$B$6/2)^2))))*'Results'!$B$8),"")</x:f>
        <x:v>0.32255219437154276</x:v>
      </x:c>
      <x:c r="N1036" t="n">
        <x:f>IF(AND(ISNUMBER('Results'!C7),ISNUMBER('Results'!B7),ISNUMBER('Results'!$B$8),ISNUMBER('Inputs'!$B$6),ISNUMBER('Inputs'!$B$7),ISNUMBER('Inputs'!$B$8),ISNUMBER('Inputs'!$B$9),ISNUMBER('Inputs'!$B$10),ISNUMBER('Inputs'!$B$21),ISNUMBER('Inputs'!$B$24),ISNUMBER('Inputs'!$B$28)),((('Results'!C7*(1-'Inputs'!$B$24)*(0.5*((((1036-43)*MAX('Inputs'!$B$33,'Inputs'!$B$29+'Inputs'!$B$31+'Inputs'!$B$32,'Inputs'!$B$30+'Inputs'!$B$31+'Inputs'!$B$32)/1000+'Inputs'!$B$21)+'Inputs'!$B$9)/SQRT((((1036-43)*MAX('Inputs'!$B$33,'Inputs'!$B$29+'Inputs'!$B$31+'Inputs'!$B$32,'Inputs'!$B$30+'Inputs'!$B$31+'Inputs'!$B$32)/1000+'Inputs'!$B$21)+'Inputs'!$B$9)^2+('Inputs'!$B$8/2)^2)-(((1036-43)*MAX('Inputs'!$B$33,'Inputs'!$B$29+'Inputs'!$B$31+'Inputs'!$B$32,'Inputs'!$B$30+'Inputs'!$B$31+'Inputs'!$B$32)/1000+'Inputs'!$B$21))/SQRT((((1036-43)*MAX('Inputs'!$B$33,'Inputs'!$B$29+'Inputs'!$B$31+'Inputs'!$B$32,'Inputs'!$B$30+'Inputs'!$B$31+'Inputs'!$B$32)/1000+'Inputs'!$B$21))^2+('Inputs'!$B$8/2)^2)))-'Results'!B7*(1+'Inputs'!$B$24)*(0.5*((((1036-43)*MAX('Inputs'!$B$33,'Inputs'!$B$29+'Inputs'!$B$31+'Inputs'!$B$32,'Inputs'!$B$30+'Inputs'!$B$31+'Inputs'!$B$32)/1000+'Inputs'!$B$21+'Inputs'!$B$9+'Inputs'!$B$10)+'Inputs'!$B$7)/SQRT((((1036-43)*MAX('Inputs'!$B$33,'Inputs'!$B$29+'Inputs'!$B$31+'Inputs'!$B$32,'Inputs'!$B$30+'Inputs'!$B$31+'Inputs'!$B$32)/1000+'Inputs'!$B$21+'Inputs'!$B$9+'Inputs'!$B$10)+'Inputs'!$B$7)^2+('Inputs'!$B$6/2)^2)-(((1036-43)*MAX('Inputs'!$B$33,'Inputs'!$B$29+'Inputs'!$B$31+'Inputs'!$B$32,'Inputs'!$B$30+'Inputs'!$B$31+'Inputs'!$B$32)/1000+'Inputs'!$B$21+'Inputs'!$B$9+'Inputs'!$B$10))/SQRT((((1036-43)*MAX('Inputs'!$B$33,'Inputs'!$B$29+'Inputs'!$B$31+'Inputs'!$B$32,'Inputs'!$B$30+'Inputs'!$B$31+'Inputs'!$B$32)/1000+'Inputs'!$B$21+'Inputs'!$B$9+'Inputs'!$B$10))^2+('Inputs'!$B$6/2)^2))))*'Results'!$B$8)-'Inputs'!$B$28*ABS((('Results'!C7*(1-'Inputs'!$B$24)*(0.5*((((1036-43)*MAX('Inputs'!$B$33,'Inputs'!$B$29+'Inputs'!$B$31+'Inputs'!$B$32,'Inputs'!$B$30+'Inputs'!$B$31+'Inputs'!$B$32)/1000+'Inputs'!$B$21)+'Inputs'!$B$9)/SQRT((((1036-43)*MAX('Inputs'!$B$33,'Inputs'!$B$29+'Inputs'!$B$31+'Inputs'!$B$32,'Inputs'!$B$30+'Inputs'!$B$31+'Inputs'!$B$32)/1000+'Inputs'!$B$21)+'Inputs'!$B$9)^2+('Inputs'!$B$8/2)^2)-(((1036-43)*MAX('Inputs'!$B$33,'Inputs'!$B$29+'Inputs'!$B$31+'Inputs'!$B$32,'Inputs'!$B$30+'Inputs'!$B$31+'Inputs'!$B$32)/1000+'Inputs'!$B$21))/SQRT((((1036-43)*MAX('Inputs'!$B$33,'Inputs'!$B$29+'Inputs'!$B$31+'Inputs'!$B$32,'Inputs'!$B$30+'Inputs'!$B$31+'Inputs'!$B$32)/1000+'Inputs'!$B$21))^2+('Inputs'!$B$8/2)^2)))-'Results'!B7*(1+'Inputs'!$B$24)*(0.5*((((1036-43)*MAX('Inputs'!$B$33,'Inputs'!$B$29+'Inputs'!$B$31+'Inputs'!$B$32,'Inputs'!$B$30+'Inputs'!$B$31+'Inputs'!$B$32)/1000+'Inputs'!$B$21+'Inputs'!$B$9+'Inputs'!$B$10)+'Inputs'!$B$7)/SQRT((((1036-43)*MAX('Inputs'!$B$33,'Inputs'!$B$29+'Inputs'!$B$31+'Inputs'!$B$32,'Inputs'!$B$30+'Inputs'!$B$31+'Inputs'!$B$32)/1000+'Inputs'!$B$21+'Inputs'!$B$9+'Inputs'!$B$10)+'Inputs'!$B$7)^2+('Inputs'!$B$6/2)^2)-(((1036-43)*MAX('Inputs'!$B$33,'Inputs'!$B$29+'Inputs'!$B$31+'Inputs'!$B$32,'Inputs'!$B$30+'Inputs'!$B$31+'Inputs'!$B$32)/1000+'Inputs'!$B$21+'Inputs'!$B$9+'Inputs'!$B$10))/SQRT((((1036-43)*MAX('Inputs'!$B$33,'Inputs'!$B$29+'Inputs'!$B$31+'Inputs'!$B$32,'Inputs'!$B$30+'Inputs'!$B$31+'Inputs'!$B$32)/1000+'Inputs'!$B$21+'Inputs'!$B$9+'Inputs'!$B$10))^2+('Inputs'!$B$6/2)^2))))*'Results'!$B$8))),"")</x:f>
        <x:v>0.2652591107367936</x:v>
      </x:c>
      <x:c r="O1036" t="n">
        <x:f>IF(AND(ISNUMBER('Results'!C7),ISNUMBER('Results'!B7),ISNUMBER('Results'!$B$8),ISNUMBER('Inputs'!$B$6),ISNUMBER('Inputs'!$B$7),ISNUMBER('Inputs'!$B$8),ISNUMBER('Inputs'!$B$9),ISNUMBER('Inputs'!$B$10),ISNUMBER('Inputs'!$B$21),ISNUMBER('Inputs'!$B$24),ISNUMBER('Inputs'!$B$28)),((('Results'!C7*(1+'Inputs'!$B$24)*(0.5*((((1036-43)*MAX('Inputs'!$B$33,'Inputs'!$B$29+'Inputs'!$B$31+'Inputs'!$B$32,'Inputs'!$B$30+'Inputs'!$B$31+'Inputs'!$B$32)/1000+'Inputs'!$B$21)+'Inputs'!$B$9)/SQRT((((1036-43)*MAX('Inputs'!$B$33,'Inputs'!$B$29+'Inputs'!$B$31+'Inputs'!$B$32,'Inputs'!$B$30+'Inputs'!$B$31+'Inputs'!$B$32)/1000+'Inputs'!$B$21)+'Inputs'!$B$9)^2+('Inputs'!$B$8/2)^2)-(((1036-43)*MAX('Inputs'!$B$33,'Inputs'!$B$29+'Inputs'!$B$31+'Inputs'!$B$32,'Inputs'!$B$30+'Inputs'!$B$31+'Inputs'!$B$32)/1000+'Inputs'!$B$21))/SQRT((((1036-43)*MAX('Inputs'!$B$33,'Inputs'!$B$29+'Inputs'!$B$31+'Inputs'!$B$32,'Inputs'!$B$30+'Inputs'!$B$31+'Inputs'!$B$32)/1000+'Inputs'!$B$21))^2+('Inputs'!$B$8/2)^2)))-'Results'!B7*(1-'Inputs'!$B$24)*(0.5*((((1036-43)*MAX('Inputs'!$B$33,'Inputs'!$B$29+'Inputs'!$B$31+'Inputs'!$B$32,'Inputs'!$B$30+'Inputs'!$B$31+'Inputs'!$B$32)/1000+'Inputs'!$B$21+'Inputs'!$B$9+'Inputs'!$B$10)+'Inputs'!$B$7)/SQRT((((1036-43)*MAX('Inputs'!$B$33,'Inputs'!$B$29+'Inputs'!$B$31+'Inputs'!$B$32,'Inputs'!$B$30+'Inputs'!$B$31+'Inputs'!$B$32)/1000+'Inputs'!$B$21+'Inputs'!$B$9+'Inputs'!$B$10)+'Inputs'!$B$7)^2+('Inputs'!$B$6/2)^2)-(((1036-43)*MAX('Inputs'!$B$33,'Inputs'!$B$29+'Inputs'!$B$31+'Inputs'!$B$32,'Inputs'!$B$30+'Inputs'!$B$31+'Inputs'!$B$32)/1000+'Inputs'!$B$21+'Inputs'!$B$9+'Inputs'!$B$10))/SQRT((((1036-43)*MAX('Inputs'!$B$33,'Inputs'!$B$29+'Inputs'!$B$31+'Inputs'!$B$32,'Inputs'!$B$30+'Inputs'!$B$31+'Inputs'!$B$32)/1000+'Inputs'!$B$21+'Inputs'!$B$9+'Inputs'!$B$10))^2+('Inputs'!$B$6/2)^2))))*'Results'!$B$8)+'Inputs'!$B$28*ABS((('Results'!C7*(1+'Inputs'!$B$24)*(0.5*((((1036-43)*MAX('Inputs'!$B$33,'Inputs'!$B$29+'Inputs'!$B$31+'Inputs'!$B$32,'Inputs'!$B$30+'Inputs'!$B$31+'Inputs'!$B$32)/1000+'Inputs'!$B$21)+'Inputs'!$B$9)/SQRT((((1036-43)*MAX('Inputs'!$B$33,'Inputs'!$B$29+'Inputs'!$B$31+'Inputs'!$B$32,'Inputs'!$B$30+'Inputs'!$B$31+'Inputs'!$B$32)/1000+'Inputs'!$B$21)+'Inputs'!$B$9)^2+('Inputs'!$B$8/2)^2)-(((1036-43)*MAX('Inputs'!$B$33,'Inputs'!$B$29+'Inputs'!$B$31+'Inputs'!$B$32,'Inputs'!$B$30+'Inputs'!$B$31+'Inputs'!$B$32)/1000+'Inputs'!$B$21))/SQRT((((1036-43)*MAX('Inputs'!$B$33,'Inputs'!$B$29+'Inputs'!$B$31+'Inputs'!$B$32,'Inputs'!$B$30+'Inputs'!$B$31+'Inputs'!$B$32)/1000+'Inputs'!$B$21))^2+('Inputs'!$B$8/2)^2)))-'Results'!B7*(1-'Inputs'!$B$24)*(0.5*((((1036-43)*MAX('Inputs'!$B$33,'Inputs'!$B$29+'Inputs'!$B$31+'Inputs'!$B$32,'Inputs'!$B$30+'Inputs'!$B$31+'Inputs'!$B$32)/1000+'Inputs'!$B$21+'Inputs'!$B$9+'Inputs'!$B$10)+'Inputs'!$B$7)/SQRT((((1036-43)*MAX('Inputs'!$B$33,'Inputs'!$B$29+'Inputs'!$B$31+'Inputs'!$B$32,'Inputs'!$B$30+'Inputs'!$B$31+'Inputs'!$B$32)/1000+'Inputs'!$B$21+'Inputs'!$B$9+'Inputs'!$B$10)+'Inputs'!$B$7)^2+('Inputs'!$B$6/2)^2)-(((1036-43)*MAX('Inputs'!$B$33,'Inputs'!$B$29+'Inputs'!$B$31+'Inputs'!$B$32,'Inputs'!$B$30+'Inputs'!$B$31+'Inputs'!$B$32)/1000+'Inputs'!$B$21+'Inputs'!$B$9+'Inputs'!$B$10))/SQRT((((1036-43)*MAX('Inputs'!$B$33,'Inputs'!$B$29+'Inputs'!$B$31+'Inputs'!$B$32,'Inputs'!$B$30+'Inputs'!$B$31+'Inputs'!$B$32)/1000+'Inputs'!$B$21+'Inputs'!$B$9+'Inputs'!$B$10))^2+('Inputs'!$B$6/2)^2))))*'Results'!$B$8))),"")</x:f>
        <x:v>0.3841784857869417</x:v>
      </x:c>
      <x:c r="P1036" t="n">
        <x:f>IF(AND(MAX(J1036,J1035)&gt;0,J1036&gt;J1035+0.00000001),1,0)</x:f>
        <x:v>0</x:v>
      </x:c>
      <x:c r="Q1036" t="n">
        <x:f>IF(AND(MAX(K1036,K1035)&gt;0,K1036&gt;K1035+0.00000001),1,0)</x:f>
        <x:v>0</x:v>
      </x:c>
      <x:c r="R1036" t="n">
        <x:f>IF(AND(MAX(L1036,L1035)&gt;0,L1036&gt;L1035+0.00000001),1,0)</x:f>
        <x:v>0</x:v>
      </x:c>
      <x:c r="S1036" t="n">
        <x:f>IF(AND(MAX(M1036,M1035)&gt;0,M1036&gt;M1035+0.00000001),1,0)</x:f>
        <x:v>0</x:v>
      </x:c>
      <x:c r="T1036" t="n">
        <x:f>IF(AND(MAX(N1036,N1035)&gt;0,N1036&gt;N1035+0.00000001),1,0)</x:f>
        <x:v>0</x:v>
      </x:c>
      <x:c r="U1036" t="n">
        <x:f>IF(AND(MAX(O1036,O1035)&gt;0,O1036&gt;O1035+0.00000001),1,0)</x:f>
        <x:v>0</x:v>
      </x:c>
    </x:row>
    <x:row r="1037">
      <x:c r="J1037" t="n">
        <x:f>IF(AND(ISNUMBER('Results'!B7),ISNUMBER('Results'!C7),ISNUMBER('Results'!$B$8),ISNUMBER('Inputs'!$B$6),ISNUMBER('Inputs'!$B$7),ISNUMBER('Inputs'!$B$8),ISNUMBER('Inputs'!$B$9),ISNUMBER('Inputs'!$B$10),ISNUMBER('Inputs'!$B$21),ISNUMBER('Inputs'!$B$24),ISNUMBER('Inputs'!$B$28)),(('Results'!B7*(0.5*((((1037-43)*MAX('Inputs'!$B$33,'Inputs'!$B$29+'Inputs'!$B$31+'Inputs'!$B$32,'Inputs'!$B$30+'Inputs'!$B$31+'Inputs'!$B$32)/1000+'Inputs'!$B$21)+'Inputs'!$B$7)/SQRT((((1037-43)*MAX('Inputs'!$B$33,'Inputs'!$B$29+'Inputs'!$B$31+'Inputs'!$B$32,'Inputs'!$B$30+'Inputs'!$B$31+'Inputs'!$B$32)/1000+'Inputs'!$B$21)+'Inputs'!$B$7)^2+('Inputs'!$B$6/2)^2)-(((1037-43)*MAX('Inputs'!$B$33,'Inputs'!$B$29+'Inputs'!$B$31+'Inputs'!$B$32,'Inputs'!$B$30+'Inputs'!$B$31+'Inputs'!$B$32)/1000+'Inputs'!$B$21))/SQRT((((1037-43)*MAX('Inputs'!$B$33,'Inputs'!$B$29+'Inputs'!$B$31+'Inputs'!$B$32,'Inputs'!$B$30+'Inputs'!$B$31+'Inputs'!$B$32)/1000+'Inputs'!$B$21))^2+('Inputs'!$B$6/2)^2)))-'Results'!C7*(0.5*((((1037-43)*MAX('Inputs'!$B$33,'Inputs'!$B$29+'Inputs'!$B$31+'Inputs'!$B$32,'Inputs'!$B$30+'Inputs'!$B$31+'Inputs'!$B$32)/1000+'Inputs'!$B$21+'Inputs'!$B$7+'Inputs'!$B$10)+'Inputs'!$B$9)/SQRT((((1037-43)*MAX('Inputs'!$B$33,'Inputs'!$B$29+'Inputs'!$B$31+'Inputs'!$B$32,'Inputs'!$B$30+'Inputs'!$B$31+'Inputs'!$B$32)/1000+'Inputs'!$B$21+'Inputs'!$B$7+'Inputs'!$B$10)+'Inputs'!$B$9)^2+('Inputs'!$B$8/2)^2)-(((1037-43)*MAX('Inputs'!$B$33,'Inputs'!$B$29+'Inputs'!$B$31+'Inputs'!$B$32,'Inputs'!$B$30+'Inputs'!$B$31+'Inputs'!$B$32)/1000+'Inputs'!$B$21+'Inputs'!$B$7+'Inputs'!$B$10))/SQRT((((1037-43)*MAX('Inputs'!$B$33,'Inputs'!$B$29+'Inputs'!$B$31+'Inputs'!$B$32,'Inputs'!$B$30+'Inputs'!$B$31+'Inputs'!$B$32)/1000+'Inputs'!$B$21+'Inputs'!$B$7+'Inputs'!$B$10))^2+('Inputs'!$B$8/2)^2))))*'Results'!$B$8),"")</x:f>
        <x:v>0.3650481063952947</x:v>
      </x:c>
      <x:c r="K1037" t="n">
        <x:f>IF(AND(ISNUMBER('Results'!B7),ISNUMBER('Results'!C7),ISNUMBER('Results'!$B$8),ISNUMBER('Inputs'!$B$6),ISNUMBER('Inputs'!$B$7),ISNUMBER('Inputs'!$B$8),ISNUMBER('Inputs'!$B$9),ISNUMBER('Inputs'!$B$10),ISNUMBER('Inputs'!$B$21),ISNUMBER('Inputs'!$B$24),ISNUMBER('Inputs'!$B$28)),((('Results'!B7*(1-'Inputs'!$B$24)*(0.5*((((1037-43)*MAX('Inputs'!$B$33,'Inputs'!$B$29+'Inputs'!$B$31+'Inputs'!$B$32,'Inputs'!$B$30+'Inputs'!$B$31+'Inputs'!$B$32)/1000+'Inputs'!$B$21)+'Inputs'!$B$7)/SQRT((((1037-43)*MAX('Inputs'!$B$33,'Inputs'!$B$29+'Inputs'!$B$31+'Inputs'!$B$32,'Inputs'!$B$30+'Inputs'!$B$31+'Inputs'!$B$32)/1000+'Inputs'!$B$21)+'Inputs'!$B$7)^2+('Inputs'!$B$6/2)^2)-(((1037-43)*MAX('Inputs'!$B$33,'Inputs'!$B$29+'Inputs'!$B$31+'Inputs'!$B$32,'Inputs'!$B$30+'Inputs'!$B$31+'Inputs'!$B$32)/1000+'Inputs'!$B$21))/SQRT((((1037-43)*MAX('Inputs'!$B$33,'Inputs'!$B$29+'Inputs'!$B$31+'Inputs'!$B$32,'Inputs'!$B$30+'Inputs'!$B$31+'Inputs'!$B$32)/1000+'Inputs'!$B$21))^2+('Inputs'!$B$6/2)^2)))-'Results'!C7*(1+'Inputs'!$B$24)*(0.5*((((1037-43)*MAX('Inputs'!$B$33,'Inputs'!$B$29+'Inputs'!$B$31+'Inputs'!$B$32,'Inputs'!$B$30+'Inputs'!$B$31+'Inputs'!$B$32)/1000+'Inputs'!$B$21+'Inputs'!$B$7+'Inputs'!$B$10)+'Inputs'!$B$9)/SQRT((((1037-43)*MAX('Inputs'!$B$33,'Inputs'!$B$29+'Inputs'!$B$31+'Inputs'!$B$32,'Inputs'!$B$30+'Inputs'!$B$31+'Inputs'!$B$32)/1000+'Inputs'!$B$21+'Inputs'!$B$7+'Inputs'!$B$10)+'Inputs'!$B$9)^2+('Inputs'!$B$8/2)^2)-(((1037-43)*MAX('Inputs'!$B$33,'Inputs'!$B$29+'Inputs'!$B$31+'Inputs'!$B$32,'Inputs'!$B$30+'Inputs'!$B$31+'Inputs'!$B$32)/1000+'Inputs'!$B$21+'Inputs'!$B$7+'Inputs'!$B$10))/SQRT((((1037-43)*MAX('Inputs'!$B$33,'Inputs'!$B$29+'Inputs'!$B$31+'Inputs'!$B$32,'Inputs'!$B$30+'Inputs'!$B$31+'Inputs'!$B$32)/1000+'Inputs'!$B$21+'Inputs'!$B$7+'Inputs'!$B$10))^2+('Inputs'!$B$8/2)^2))))*'Results'!$B$8)-'Inputs'!$B$28*ABS((('Results'!B7*(1-'Inputs'!$B$24)*(0.5*((((1037-43)*MAX('Inputs'!$B$33,'Inputs'!$B$29+'Inputs'!$B$31+'Inputs'!$B$32,'Inputs'!$B$30+'Inputs'!$B$31+'Inputs'!$B$32)/1000+'Inputs'!$B$21)+'Inputs'!$B$7)/SQRT((((1037-43)*MAX('Inputs'!$B$33,'Inputs'!$B$29+'Inputs'!$B$31+'Inputs'!$B$32,'Inputs'!$B$30+'Inputs'!$B$31+'Inputs'!$B$32)/1000+'Inputs'!$B$21)+'Inputs'!$B$7)^2+('Inputs'!$B$6/2)^2)-(((1037-43)*MAX('Inputs'!$B$33,'Inputs'!$B$29+'Inputs'!$B$31+'Inputs'!$B$32,'Inputs'!$B$30+'Inputs'!$B$31+'Inputs'!$B$32)/1000+'Inputs'!$B$21))/SQRT((((1037-43)*MAX('Inputs'!$B$33,'Inputs'!$B$29+'Inputs'!$B$31+'Inputs'!$B$32,'Inputs'!$B$30+'Inputs'!$B$31+'Inputs'!$B$32)/1000+'Inputs'!$B$21))^2+('Inputs'!$B$6/2)^2)))-'Results'!C7*(1+'Inputs'!$B$24)*(0.5*((((1037-43)*MAX('Inputs'!$B$33,'Inputs'!$B$29+'Inputs'!$B$31+'Inputs'!$B$32,'Inputs'!$B$30+'Inputs'!$B$31+'Inputs'!$B$32)/1000+'Inputs'!$B$21+'Inputs'!$B$7+'Inputs'!$B$10)+'Inputs'!$B$9)/SQRT((((1037-43)*MAX('Inputs'!$B$33,'Inputs'!$B$29+'Inputs'!$B$31+'Inputs'!$B$32,'Inputs'!$B$30+'Inputs'!$B$31+'Inputs'!$B$32)/1000+'Inputs'!$B$21+'Inputs'!$B$7+'Inputs'!$B$10)+'Inputs'!$B$9)^2+('Inputs'!$B$8/2)^2)-(((1037-43)*MAX('Inputs'!$B$33,'Inputs'!$B$29+'Inputs'!$B$31+'Inputs'!$B$32,'Inputs'!$B$30+'Inputs'!$B$31+'Inputs'!$B$32)/1000+'Inputs'!$B$21+'Inputs'!$B$7+'Inputs'!$B$10))/SQRT((((1037-43)*MAX('Inputs'!$B$33,'Inputs'!$B$29+'Inputs'!$B$31+'Inputs'!$B$32,'Inputs'!$B$30+'Inputs'!$B$31+'Inputs'!$B$32)/1000+'Inputs'!$B$21+'Inputs'!$B$7+'Inputs'!$B$10))^2+('Inputs'!$B$8/2)^2))))*'Results'!$B$8))),"")</x:f>
        <x:v>0.3056143284606491</x:v>
      </x:c>
      <x:c r="L1037" t="n">
        <x:f>IF(AND(ISNUMBER('Results'!B7),ISNUMBER('Results'!C7),ISNUMBER('Results'!$B$8),ISNUMBER('Inputs'!$B$6),ISNUMBER('Inputs'!$B$7),ISNUMBER('Inputs'!$B$8),ISNUMBER('Inputs'!$B$9),ISNUMBER('Inputs'!$B$10),ISNUMBER('Inputs'!$B$21),ISNUMBER('Inputs'!$B$24),ISNUMBER('Inputs'!$B$28)),((('Results'!B7*(1+'Inputs'!$B$24)*(0.5*((((1037-43)*MAX('Inputs'!$B$33,'Inputs'!$B$29+'Inputs'!$B$31+'Inputs'!$B$32,'Inputs'!$B$30+'Inputs'!$B$31+'Inputs'!$B$32)/1000+'Inputs'!$B$21)+'Inputs'!$B$7)/SQRT((((1037-43)*MAX('Inputs'!$B$33,'Inputs'!$B$29+'Inputs'!$B$31+'Inputs'!$B$32,'Inputs'!$B$30+'Inputs'!$B$31+'Inputs'!$B$32)/1000+'Inputs'!$B$21)+'Inputs'!$B$7)^2+('Inputs'!$B$6/2)^2)-(((1037-43)*MAX('Inputs'!$B$33,'Inputs'!$B$29+'Inputs'!$B$31+'Inputs'!$B$32,'Inputs'!$B$30+'Inputs'!$B$31+'Inputs'!$B$32)/1000+'Inputs'!$B$21))/SQRT((((1037-43)*MAX('Inputs'!$B$33,'Inputs'!$B$29+'Inputs'!$B$31+'Inputs'!$B$32,'Inputs'!$B$30+'Inputs'!$B$31+'Inputs'!$B$32)/1000+'Inputs'!$B$21))^2+('Inputs'!$B$6/2)^2)))-'Results'!C7*(1-'Inputs'!$B$24)*(0.5*((((1037-43)*MAX('Inputs'!$B$33,'Inputs'!$B$29+'Inputs'!$B$31+'Inputs'!$B$32,'Inputs'!$B$30+'Inputs'!$B$31+'Inputs'!$B$32)/1000+'Inputs'!$B$21+'Inputs'!$B$7+'Inputs'!$B$10)+'Inputs'!$B$9)/SQRT((((1037-43)*MAX('Inputs'!$B$33,'Inputs'!$B$29+'Inputs'!$B$31+'Inputs'!$B$32,'Inputs'!$B$30+'Inputs'!$B$31+'Inputs'!$B$32)/1000+'Inputs'!$B$21+'Inputs'!$B$7+'Inputs'!$B$10)+'Inputs'!$B$9)^2+('Inputs'!$B$8/2)^2)-(((1037-43)*MAX('Inputs'!$B$33,'Inputs'!$B$29+'Inputs'!$B$31+'Inputs'!$B$32,'Inputs'!$B$30+'Inputs'!$B$31+'Inputs'!$B$32)/1000+'Inputs'!$B$21+'Inputs'!$B$7+'Inputs'!$B$10))/SQRT((((1037-43)*MAX('Inputs'!$B$33,'Inputs'!$B$29+'Inputs'!$B$31+'Inputs'!$B$32,'Inputs'!$B$30+'Inputs'!$B$31+'Inputs'!$B$32)/1000+'Inputs'!$B$21+'Inputs'!$B$7+'Inputs'!$B$10))^2+('Inputs'!$B$8/2)^2))))*'Results'!$B$8)+'Inputs'!$B$28*ABS((('Results'!B7*(1+'Inputs'!$B$24)*(0.5*((((1037-43)*MAX('Inputs'!$B$33,'Inputs'!$B$29+'Inputs'!$B$31+'Inputs'!$B$32,'Inputs'!$B$30+'Inputs'!$B$31+'Inputs'!$B$32)/1000+'Inputs'!$B$21)+'Inputs'!$B$7)/SQRT((((1037-43)*MAX('Inputs'!$B$33,'Inputs'!$B$29+'Inputs'!$B$31+'Inputs'!$B$32,'Inputs'!$B$30+'Inputs'!$B$31+'Inputs'!$B$32)/1000+'Inputs'!$B$21)+'Inputs'!$B$7)^2+('Inputs'!$B$6/2)^2)-(((1037-43)*MAX('Inputs'!$B$33,'Inputs'!$B$29+'Inputs'!$B$31+'Inputs'!$B$32,'Inputs'!$B$30+'Inputs'!$B$31+'Inputs'!$B$32)/1000+'Inputs'!$B$21))/SQRT((((1037-43)*MAX('Inputs'!$B$33,'Inputs'!$B$29+'Inputs'!$B$31+'Inputs'!$B$32,'Inputs'!$B$30+'Inputs'!$B$31+'Inputs'!$B$32)/1000+'Inputs'!$B$21))^2+('Inputs'!$B$6/2)^2)))-'Results'!C7*(1-'Inputs'!$B$24)*(0.5*((((1037-43)*MAX('Inputs'!$B$33,'Inputs'!$B$29+'Inputs'!$B$31+'Inputs'!$B$32,'Inputs'!$B$30+'Inputs'!$B$31+'Inputs'!$B$32)/1000+'Inputs'!$B$21+'Inputs'!$B$7+'Inputs'!$B$10)+'Inputs'!$B$9)/SQRT((((1037-43)*MAX('Inputs'!$B$33,'Inputs'!$B$29+'Inputs'!$B$31+'Inputs'!$B$32,'Inputs'!$B$30+'Inputs'!$B$31+'Inputs'!$B$32)/1000+'Inputs'!$B$21+'Inputs'!$B$7+'Inputs'!$B$10)+'Inputs'!$B$9)^2+('Inputs'!$B$8/2)^2)-(((1037-43)*MAX('Inputs'!$B$33,'Inputs'!$B$29+'Inputs'!$B$31+'Inputs'!$B$32,'Inputs'!$B$30+'Inputs'!$B$31+'Inputs'!$B$32)/1000+'Inputs'!$B$21+'Inputs'!$B$7+'Inputs'!$B$10))/SQRT((((1037-43)*MAX('Inputs'!$B$33,'Inputs'!$B$29+'Inputs'!$B$31+'Inputs'!$B$32,'Inputs'!$B$30+'Inputs'!$B$31+'Inputs'!$B$32)/1000+'Inputs'!$B$21+'Inputs'!$B$7+'Inputs'!$B$10))^2+('Inputs'!$B$8/2)^2))))*'Results'!$B$8))),"")</x:f>
        <x:v>0.4288167656578228</x:v>
      </x:c>
      <x:c r="M1037" t="n">
        <x:f>IF(AND(ISNUMBER('Results'!C7),ISNUMBER('Results'!B7),ISNUMBER('Results'!$B$8),ISNUMBER('Inputs'!$B$6),ISNUMBER('Inputs'!$B$7),ISNUMBER('Inputs'!$B$8),ISNUMBER('Inputs'!$B$9),ISNUMBER('Inputs'!$B$10),ISNUMBER('Inputs'!$B$21),ISNUMBER('Inputs'!$B$24),ISNUMBER('Inputs'!$B$28)),(('Results'!C7*(0.5*((((1037-43)*MAX('Inputs'!$B$33,'Inputs'!$B$29+'Inputs'!$B$31+'Inputs'!$B$32,'Inputs'!$B$30+'Inputs'!$B$31+'Inputs'!$B$32)/1000+'Inputs'!$B$21)+'Inputs'!$B$9)/SQRT((((1037-43)*MAX('Inputs'!$B$33,'Inputs'!$B$29+'Inputs'!$B$31+'Inputs'!$B$32,'Inputs'!$B$30+'Inputs'!$B$31+'Inputs'!$B$32)/1000+'Inputs'!$B$21)+'Inputs'!$B$9)^2+('Inputs'!$B$8/2)^2)-(((1037-43)*MAX('Inputs'!$B$33,'Inputs'!$B$29+'Inputs'!$B$31+'Inputs'!$B$32,'Inputs'!$B$30+'Inputs'!$B$31+'Inputs'!$B$32)/1000+'Inputs'!$B$21))/SQRT((((1037-43)*MAX('Inputs'!$B$33,'Inputs'!$B$29+'Inputs'!$B$31+'Inputs'!$B$32,'Inputs'!$B$30+'Inputs'!$B$31+'Inputs'!$B$32)/1000+'Inputs'!$B$21))^2+('Inputs'!$B$8/2)^2)))-'Results'!B7*(0.5*((((1037-43)*MAX('Inputs'!$B$33,'Inputs'!$B$29+'Inputs'!$B$31+'Inputs'!$B$32,'Inputs'!$B$30+'Inputs'!$B$31+'Inputs'!$B$32)/1000+'Inputs'!$B$21+'Inputs'!$B$9+'Inputs'!$B$10)+'Inputs'!$B$7)/SQRT((((1037-43)*MAX('Inputs'!$B$33,'Inputs'!$B$29+'Inputs'!$B$31+'Inputs'!$B$32,'Inputs'!$B$30+'Inputs'!$B$31+'Inputs'!$B$32)/1000+'Inputs'!$B$21+'Inputs'!$B$9+'Inputs'!$B$10)+'Inputs'!$B$7)^2+('Inputs'!$B$6/2)^2)-(((1037-43)*MAX('Inputs'!$B$33,'Inputs'!$B$29+'Inputs'!$B$31+'Inputs'!$B$32,'Inputs'!$B$30+'Inputs'!$B$31+'Inputs'!$B$32)/1000+'Inputs'!$B$21+'Inputs'!$B$9+'Inputs'!$B$10))/SQRT((((1037-43)*MAX('Inputs'!$B$33,'Inputs'!$B$29+'Inputs'!$B$31+'Inputs'!$B$32,'Inputs'!$B$30+'Inputs'!$B$31+'Inputs'!$B$32)/1000+'Inputs'!$B$21+'Inputs'!$B$9+'Inputs'!$B$10))^2+('Inputs'!$B$6/2)^2))))*'Results'!$B$8),"")</x:f>
        <x:v>0.3213314579006472</x:v>
      </x:c>
      <x:c r="N1037" t="n">
        <x:f>IF(AND(ISNUMBER('Results'!C7),ISNUMBER('Results'!B7),ISNUMBER('Results'!$B$8),ISNUMBER('Inputs'!$B$6),ISNUMBER('Inputs'!$B$7),ISNUMBER('Inputs'!$B$8),ISNUMBER('Inputs'!$B$9),ISNUMBER('Inputs'!$B$10),ISNUMBER('Inputs'!$B$21),ISNUMBER('Inputs'!$B$24),ISNUMBER('Inputs'!$B$28)),((('Results'!C7*(1-'Inputs'!$B$24)*(0.5*((((1037-43)*MAX('Inputs'!$B$33,'Inputs'!$B$29+'Inputs'!$B$31+'Inputs'!$B$32,'Inputs'!$B$30+'Inputs'!$B$31+'Inputs'!$B$32)/1000+'Inputs'!$B$21)+'Inputs'!$B$9)/SQRT((((1037-43)*MAX('Inputs'!$B$33,'Inputs'!$B$29+'Inputs'!$B$31+'Inputs'!$B$32,'Inputs'!$B$30+'Inputs'!$B$31+'Inputs'!$B$32)/1000+'Inputs'!$B$21)+'Inputs'!$B$9)^2+('Inputs'!$B$8/2)^2)-(((1037-43)*MAX('Inputs'!$B$33,'Inputs'!$B$29+'Inputs'!$B$31+'Inputs'!$B$32,'Inputs'!$B$30+'Inputs'!$B$31+'Inputs'!$B$32)/1000+'Inputs'!$B$21))/SQRT((((1037-43)*MAX('Inputs'!$B$33,'Inputs'!$B$29+'Inputs'!$B$31+'Inputs'!$B$32,'Inputs'!$B$30+'Inputs'!$B$31+'Inputs'!$B$32)/1000+'Inputs'!$B$21))^2+('Inputs'!$B$8/2)^2)))-'Results'!B7*(1+'Inputs'!$B$24)*(0.5*((((1037-43)*MAX('Inputs'!$B$33,'Inputs'!$B$29+'Inputs'!$B$31+'Inputs'!$B$32,'Inputs'!$B$30+'Inputs'!$B$31+'Inputs'!$B$32)/1000+'Inputs'!$B$21+'Inputs'!$B$9+'Inputs'!$B$10)+'Inputs'!$B$7)/SQRT((((1037-43)*MAX('Inputs'!$B$33,'Inputs'!$B$29+'Inputs'!$B$31+'Inputs'!$B$32,'Inputs'!$B$30+'Inputs'!$B$31+'Inputs'!$B$32)/1000+'Inputs'!$B$21+'Inputs'!$B$9+'Inputs'!$B$10)+'Inputs'!$B$7)^2+('Inputs'!$B$6/2)^2)-(((1037-43)*MAX('Inputs'!$B$33,'Inputs'!$B$29+'Inputs'!$B$31+'Inputs'!$B$32,'Inputs'!$B$30+'Inputs'!$B$31+'Inputs'!$B$32)/1000+'Inputs'!$B$21+'Inputs'!$B$9+'Inputs'!$B$10))/SQRT((((1037-43)*MAX('Inputs'!$B$33,'Inputs'!$B$29+'Inputs'!$B$31+'Inputs'!$B$32,'Inputs'!$B$30+'Inputs'!$B$31+'Inputs'!$B$32)/1000+'Inputs'!$B$21+'Inputs'!$B$9+'Inputs'!$B$10))^2+('Inputs'!$B$6/2)^2))))*'Results'!$B$8)-'Inputs'!$B$28*ABS((('Results'!C7*(1-'Inputs'!$B$24)*(0.5*((((1037-43)*MAX('Inputs'!$B$33,'Inputs'!$B$29+'Inputs'!$B$31+'Inputs'!$B$32,'Inputs'!$B$30+'Inputs'!$B$31+'Inputs'!$B$32)/1000+'Inputs'!$B$21)+'Inputs'!$B$9)/SQRT((((1037-43)*MAX('Inputs'!$B$33,'Inputs'!$B$29+'Inputs'!$B$31+'Inputs'!$B$32,'Inputs'!$B$30+'Inputs'!$B$31+'Inputs'!$B$32)/1000+'Inputs'!$B$21)+'Inputs'!$B$9)^2+('Inputs'!$B$8/2)^2)-(((1037-43)*MAX('Inputs'!$B$33,'Inputs'!$B$29+'Inputs'!$B$31+'Inputs'!$B$32,'Inputs'!$B$30+'Inputs'!$B$31+'Inputs'!$B$32)/1000+'Inputs'!$B$21))/SQRT((((1037-43)*MAX('Inputs'!$B$33,'Inputs'!$B$29+'Inputs'!$B$31+'Inputs'!$B$32,'Inputs'!$B$30+'Inputs'!$B$31+'Inputs'!$B$32)/1000+'Inputs'!$B$21))^2+('Inputs'!$B$8/2)^2)))-'Results'!B7*(1+'Inputs'!$B$24)*(0.5*((((1037-43)*MAX('Inputs'!$B$33,'Inputs'!$B$29+'Inputs'!$B$31+'Inputs'!$B$32,'Inputs'!$B$30+'Inputs'!$B$31+'Inputs'!$B$32)/1000+'Inputs'!$B$21+'Inputs'!$B$9+'Inputs'!$B$10)+'Inputs'!$B$7)/SQRT((((1037-43)*MAX('Inputs'!$B$33,'Inputs'!$B$29+'Inputs'!$B$31+'Inputs'!$B$32,'Inputs'!$B$30+'Inputs'!$B$31+'Inputs'!$B$32)/1000+'Inputs'!$B$21+'Inputs'!$B$9+'Inputs'!$B$10)+'Inputs'!$B$7)^2+('Inputs'!$B$6/2)^2)-(((1037-43)*MAX('Inputs'!$B$33,'Inputs'!$B$29+'Inputs'!$B$31+'Inputs'!$B$32,'Inputs'!$B$30+'Inputs'!$B$31+'Inputs'!$B$32)/1000+'Inputs'!$B$21+'Inputs'!$B$9+'Inputs'!$B$10))/SQRT((((1037-43)*MAX('Inputs'!$B$33,'Inputs'!$B$29+'Inputs'!$B$31+'Inputs'!$B$32,'Inputs'!$B$30+'Inputs'!$B$31+'Inputs'!$B$32)/1000+'Inputs'!$B$21+'Inputs'!$B$9+'Inputs'!$B$10))^2+('Inputs'!$B$6/2)^2))))*'Results'!$B$8))),"")</x:f>
        <x:v>0.2642152418020632</x:v>
      </x:c>
      <x:c r="O1037" t="n">
        <x:f>IF(AND(ISNUMBER('Results'!C7),ISNUMBER('Results'!B7),ISNUMBER('Results'!$B$8),ISNUMBER('Inputs'!$B$6),ISNUMBER('Inputs'!$B$7),ISNUMBER('Inputs'!$B$8),ISNUMBER('Inputs'!$B$9),ISNUMBER('Inputs'!$B$10),ISNUMBER('Inputs'!$B$21),ISNUMBER('Inputs'!$B$24),ISNUMBER('Inputs'!$B$28)),((('Results'!C7*(1+'Inputs'!$B$24)*(0.5*((((1037-43)*MAX('Inputs'!$B$33,'Inputs'!$B$29+'Inputs'!$B$31+'Inputs'!$B$32,'Inputs'!$B$30+'Inputs'!$B$31+'Inputs'!$B$32)/1000+'Inputs'!$B$21)+'Inputs'!$B$9)/SQRT((((1037-43)*MAX('Inputs'!$B$33,'Inputs'!$B$29+'Inputs'!$B$31+'Inputs'!$B$32,'Inputs'!$B$30+'Inputs'!$B$31+'Inputs'!$B$32)/1000+'Inputs'!$B$21)+'Inputs'!$B$9)^2+('Inputs'!$B$8/2)^2)-(((1037-43)*MAX('Inputs'!$B$33,'Inputs'!$B$29+'Inputs'!$B$31+'Inputs'!$B$32,'Inputs'!$B$30+'Inputs'!$B$31+'Inputs'!$B$32)/1000+'Inputs'!$B$21))/SQRT((((1037-43)*MAX('Inputs'!$B$33,'Inputs'!$B$29+'Inputs'!$B$31+'Inputs'!$B$32,'Inputs'!$B$30+'Inputs'!$B$31+'Inputs'!$B$32)/1000+'Inputs'!$B$21))^2+('Inputs'!$B$8/2)^2)))-'Results'!B7*(1-'Inputs'!$B$24)*(0.5*((((1037-43)*MAX('Inputs'!$B$33,'Inputs'!$B$29+'Inputs'!$B$31+'Inputs'!$B$32,'Inputs'!$B$30+'Inputs'!$B$31+'Inputs'!$B$32)/1000+'Inputs'!$B$21+'Inputs'!$B$9+'Inputs'!$B$10)+'Inputs'!$B$7)/SQRT((((1037-43)*MAX('Inputs'!$B$33,'Inputs'!$B$29+'Inputs'!$B$31+'Inputs'!$B$32,'Inputs'!$B$30+'Inputs'!$B$31+'Inputs'!$B$32)/1000+'Inputs'!$B$21+'Inputs'!$B$9+'Inputs'!$B$10)+'Inputs'!$B$7)^2+('Inputs'!$B$6/2)^2)-(((1037-43)*MAX('Inputs'!$B$33,'Inputs'!$B$29+'Inputs'!$B$31+'Inputs'!$B$32,'Inputs'!$B$30+'Inputs'!$B$31+'Inputs'!$B$32)/1000+'Inputs'!$B$21+'Inputs'!$B$9+'Inputs'!$B$10))/SQRT((((1037-43)*MAX('Inputs'!$B$33,'Inputs'!$B$29+'Inputs'!$B$31+'Inputs'!$B$32,'Inputs'!$B$30+'Inputs'!$B$31+'Inputs'!$B$32)/1000+'Inputs'!$B$21+'Inputs'!$B$9+'Inputs'!$B$10))^2+('Inputs'!$B$6/2)^2))))*'Results'!$B$8)+'Inputs'!$B$28*ABS((('Results'!C7*(1+'Inputs'!$B$24)*(0.5*((((1037-43)*MAX('Inputs'!$B$33,'Inputs'!$B$29+'Inputs'!$B$31+'Inputs'!$B$32,'Inputs'!$B$30+'Inputs'!$B$31+'Inputs'!$B$32)/1000+'Inputs'!$B$21)+'Inputs'!$B$9)/SQRT((((1037-43)*MAX('Inputs'!$B$33,'Inputs'!$B$29+'Inputs'!$B$31+'Inputs'!$B$32,'Inputs'!$B$30+'Inputs'!$B$31+'Inputs'!$B$32)/1000+'Inputs'!$B$21)+'Inputs'!$B$9)^2+('Inputs'!$B$8/2)^2)-(((1037-43)*MAX('Inputs'!$B$33,'Inputs'!$B$29+'Inputs'!$B$31+'Inputs'!$B$32,'Inputs'!$B$30+'Inputs'!$B$31+'Inputs'!$B$32)/1000+'Inputs'!$B$21))/SQRT((((1037-43)*MAX('Inputs'!$B$33,'Inputs'!$B$29+'Inputs'!$B$31+'Inputs'!$B$32,'Inputs'!$B$30+'Inputs'!$B$31+'Inputs'!$B$32)/1000+'Inputs'!$B$21))^2+('Inputs'!$B$8/2)^2)))-'Results'!B7*(1-'Inputs'!$B$24)*(0.5*((((1037-43)*MAX('Inputs'!$B$33,'Inputs'!$B$29+'Inputs'!$B$31+'Inputs'!$B$32,'Inputs'!$B$30+'Inputs'!$B$31+'Inputs'!$B$32)/1000+'Inputs'!$B$21+'Inputs'!$B$9+'Inputs'!$B$10)+'Inputs'!$B$7)/SQRT((((1037-43)*MAX('Inputs'!$B$33,'Inputs'!$B$29+'Inputs'!$B$31+'Inputs'!$B$32,'Inputs'!$B$30+'Inputs'!$B$31+'Inputs'!$B$32)/1000+'Inputs'!$B$21+'Inputs'!$B$9+'Inputs'!$B$10)+'Inputs'!$B$7)^2+('Inputs'!$B$6/2)^2)-(((1037-43)*MAX('Inputs'!$B$33,'Inputs'!$B$29+'Inputs'!$B$31+'Inputs'!$B$32,'Inputs'!$B$30+'Inputs'!$B$31+'Inputs'!$B$32)/1000+'Inputs'!$B$21+'Inputs'!$B$9+'Inputs'!$B$10))/SQRT((((1037-43)*MAX('Inputs'!$B$33,'Inputs'!$B$29+'Inputs'!$B$31+'Inputs'!$B$32,'Inputs'!$B$30+'Inputs'!$B$31+'Inputs'!$B$32)/1000+'Inputs'!$B$21+'Inputs'!$B$9+'Inputs'!$B$10))^2+('Inputs'!$B$6/2)^2))))*'Results'!$B$8))),"")</x:f>
        <x:v>0.38276868907328904</x:v>
      </x:c>
      <x:c r="P1037" t="n">
        <x:f>IF(AND(MAX(J1037,J1036)&gt;0,J1037&gt;J1036+0.00000001),1,0)</x:f>
        <x:v>0</x:v>
      </x:c>
      <x:c r="Q1037" t="n">
        <x:f>IF(AND(MAX(K1037,K1036)&gt;0,K1037&gt;K1036+0.00000001),1,0)</x:f>
        <x:v>0</x:v>
      </x:c>
      <x:c r="R1037" t="n">
        <x:f>IF(AND(MAX(L1037,L1036)&gt;0,L1037&gt;L1036+0.00000001),1,0)</x:f>
        <x:v>0</x:v>
      </x:c>
      <x:c r="S1037" t="n">
        <x:f>IF(AND(MAX(M1037,M1036)&gt;0,M1037&gt;M1036+0.00000001),1,0)</x:f>
        <x:v>0</x:v>
      </x:c>
      <x:c r="T1037" t="n">
        <x:f>IF(AND(MAX(N1037,N1036)&gt;0,N1037&gt;N1036+0.00000001),1,0)</x:f>
        <x:v>0</x:v>
      </x:c>
      <x:c r="U1037" t="n">
        <x:f>IF(AND(MAX(O1037,O1036)&gt;0,O1037&gt;O1036+0.00000001),1,0)</x:f>
        <x:v>0</x:v>
      </x:c>
    </x:row>
    <x:row r="1038">
      <x:c r="J1038" t="n">
        <x:f>IF(AND(ISNUMBER('Results'!B7),ISNUMBER('Results'!C7),ISNUMBER('Results'!$B$8),ISNUMBER('Inputs'!$B$6),ISNUMBER('Inputs'!$B$7),ISNUMBER('Inputs'!$B$8),ISNUMBER('Inputs'!$B$9),ISNUMBER('Inputs'!$B$10),ISNUMBER('Inputs'!$B$21),ISNUMBER('Inputs'!$B$24),ISNUMBER('Inputs'!$B$28)),(('Results'!B7*(0.5*((((1038-43)*MAX('Inputs'!$B$33,'Inputs'!$B$29+'Inputs'!$B$31+'Inputs'!$B$32,'Inputs'!$B$30+'Inputs'!$B$31+'Inputs'!$B$32)/1000+'Inputs'!$B$21)+'Inputs'!$B$7)/SQRT((((1038-43)*MAX('Inputs'!$B$33,'Inputs'!$B$29+'Inputs'!$B$31+'Inputs'!$B$32,'Inputs'!$B$30+'Inputs'!$B$31+'Inputs'!$B$32)/1000+'Inputs'!$B$21)+'Inputs'!$B$7)^2+('Inputs'!$B$6/2)^2)-(((1038-43)*MAX('Inputs'!$B$33,'Inputs'!$B$29+'Inputs'!$B$31+'Inputs'!$B$32,'Inputs'!$B$30+'Inputs'!$B$31+'Inputs'!$B$32)/1000+'Inputs'!$B$21))/SQRT((((1038-43)*MAX('Inputs'!$B$33,'Inputs'!$B$29+'Inputs'!$B$31+'Inputs'!$B$32,'Inputs'!$B$30+'Inputs'!$B$31+'Inputs'!$B$32)/1000+'Inputs'!$B$21))^2+('Inputs'!$B$6/2)^2)))-'Results'!C7*(0.5*((((1038-43)*MAX('Inputs'!$B$33,'Inputs'!$B$29+'Inputs'!$B$31+'Inputs'!$B$32,'Inputs'!$B$30+'Inputs'!$B$31+'Inputs'!$B$32)/1000+'Inputs'!$B$21+'Inputs'!$B$7+'Inputs'!$B$10)+'Inputs'!$B$9)/SQRT((((1038-43)*MAX('Inputs'!$B$33,'Inputs'!$B$29+'Inputs'!$B$31+'Inputs'!$B$32,'Inputs'!$B$30+'Inputs'!$B$31+'Inputs'!$B$32)/1000+'Inputs'!$B$21+'Inputs'!$B$7+'Inputs'!$B$10)+'Inputs'!$B$9)^2+('Inputs'!$B$8/2)^2)-(((1038-43)*MAX('Inputs'!$B$33,'Inputs'!$B$29+'Inputs'!$B$31+'Inputs'!$B$32,'Inputs'!$B$30+'Inputs'!$B$31+'Inputs'!$B$32)/1000+'Inputs'!$B$21+'Inputs'!$B$7+'Inputs'!$B$10))/SQRT((((1038-43)*MAX('Inputs'!$B$33,'Inputs'!$B$29+'Inputs'!$B$31+'Inputs'!$B$32,'Inputs'!$B$30+'Inputs'!$B$31+'Inputs'!$B$32)/1000+'Inputs'!$B$21+'Inputs'!$B$7+'Inputs'!$B$10))^2+('Inputs'!$B$8/2)^2))))*'Results'!$B$8),"")</x:f>
        <x:v>0.36371014167838867</x:v>
      </x:c>
      <x:c r="K1038" t="n">
        <x:f>IF(AND(ISNUMBER('Results'!B7),ISNUMBER('Results'!C7),ISNUMBER('Results'!$B$8),ISNUMBER('Inputs'!$B$6),ISNUMBER('Inputs'!$B$7),ISNUMBER('Inputs'!$B$8),ISNUMBER('Inputs'!$B$9),ISNUMBER('Inputs'!$B$10),ISNUMBER('Inputs'!$B$21),ISNUMBER('Inputs'!$B$24),ISNUMBER('Inputs'!$B$28)),((('Results'!B7*(1-'Inputs'!$B$24)*(0.5*((((1038-43)*MAX('Inputs'!$B$33,'Inputs'!$B$29+'Inputs'!$B$31+'Inputs'!$B$32,'Inputs'!$B$30+'Inputs'!$B$31+'Inputs'!$B$32)/1000+'Inputs'!$B$21)+'Inputs'!$B$7)/SQRT((((1038-43)*MAX('Inputs'!$B$33,'Inputs'!$B$29+'Inputs'!$B$31+'Inputs'!$B$32,'Inputs'!$B$30+'Inputs'!$B$31+'Inputs'!$B$32)/1000+'Inputs'!$B$21)+'Inputs'!$B$7)^2+('Inputs'!$B$6/2)^2)-(((1038-43)*MAX('Inputs'!$B$33,'Inputs'!$B$29+'Inputs'!$B$31+'Inputs'!$B$32,'Inputs'!$B$30+'Inputs'!$B$31+'Inputs'!$B$32)/1000+'Inputs'!$B$21))/SQRT((((1038-43)*MAX('Inputs'!$B$33,'Inputs'!$B$29+'Inputs'!$B$31+'Inputs'!$B$32,'Inputs'!$B$30+'Inputs'!$B$31+'Inputs'!$B$32)/1000+'Inputs'!$B$21))^2+('Inputs'!$B$6/2)^2)))-'Results'!C7*(1+'Inputs'!$B$24)*(0.5*((((1038-43)*MAX('Inputs'!$B$33,'Inputs'!$B$29+'Inputs'!$B$31+'Inputs'!$B$32,'Inputs'!$B$30+'Inputs'!$B$31+'Inputs'!$B$32)/1000+'Inputs'!$B$21+'Inputs'!$B$7+'Inputs'!$B$10)+'Inputs'!$B$9)/SQRT((((1038-43)*MAX('Inputs'!$B$33,'Inputs'!$B$29+'Inputs'!$B$31+'Inputs'!$B$32,'Inputs'!$B$30+'Inputs'!$B$31+'Inputs'!$B$32)/1000+'Inputs'!$B$21+'Inputs'!$B$7+'Inputs'!$B$10)+'Inputs'!$B$9)^2+('Inputs'!$B$8/2)^2)-(((1038-43)*MAX('Inputs'!$B$33,'Inputs'!$B$29+'Inputs'!$B$31+'Inputs'!$B$32,'Inputs'!$B$30+'Inputs'!$B$31+'Inputs'!$B$32)/1000+'Inputs'!$B$21+'Inputs'!$B$7+'Inputs'!$B$10))/SQRT((((1038-43)*MAX('Inputs'!$B$33,'Inputs'!$B$29+'Inputs'!$B$31+'Inputs'!$B$32,'Inputs'!$B$30+'Inputs'!$B$31+'Inputs'!$B$32)/1000+'Inputs'!$B$21+'Inputs'!$B$7+'Inputs'!$B$10))^2+('Inputs'!$B$8/2)^2))))*'Results'!$B$8)-'Inputs'!$B$28*ABS((('Results'!B7*(1-'Inputs'!$B$24)*(0.5*((((1038-43)*MAX('Inputs'!$B$33,'Inputs'!$B$29+'Inputs'!$B$31+'Inputs'!$B$32,'Inputs'!$B$30+'Inputs'!$B$31+'Inputs'!$B$32)/1000+'Inputs'!$B$21)+'Inputs'!$B$7)/SQRT((((1038-43)*MAX('Inputs'!$B$33,'Inputs'!$B$29+'Inputs'!$B$31+'Inputs'!$B$32,'Inputs'!$B$30+'Inputs'!$B$31+'Inputs'!$B$32)/1000+'Inputs'!$B$21)+'Inputs'!$B$7)^2+('Inputs'!$B$6/2)^2)-(((1038-43)*MAX('Inputs'!$B$33,'Inputs'!$B$29+'Inputs'!$B$31+'Inputs'!$B$32,'Inputs'!$B$30+'Inputs'!$B$31+'Inputs'!$B$32)/1000+'Inputs'!$B$21))/SQRT((((1038-43)*MAX('Inputs'!$B$33,'Inputs'!$B$29+'Inputs'!$B$31+'Inputs'!$B$32,'Inputs'!$B$30+'Inputs'!$B$31+'Inputs'!$B$32)/1000+'Inputs'!$B$21))^2+('Inputs'!$B$6/2)^2)))-'Results'!C7*(1+'Inputs'!$B$24)*(0.5*((((1038-43)*MAX('Inputs'!$B$33,'Inputs'!$B$29+'Inputs'!$B$31+'Inputs'!$B$32,'Inputs'!$B$30+'Inputs'!$B$31+'Inputs'!$B$32)/1000+'Inputs'!$B$21+'Inputs'!$B$7+'Inputs'!$B$10)+'Inputs'!$B$9)/SQRT((((1038-43)*MAX('Inputs'!$B$33,'Inputs'!$B$29+'Inputs'!$B$31+'Inputs'!$B$32,'Inputs'!$B$30+'Inputs'!$B$31+'Inputs'!$B$32)/1000+'Inputs'!$B$21+'Inputs'!$B$7+'Inputs'!$B$10)+'Inputs'!$B$9)^2+('Inputs'!$B$8/2)^2)-(((1038-43)*MAX('Inputs'!$B$33,'Inputs'!$B$29+'Inputs'!$B$31+'Inputs'!$B$32,'Inputs'!$B$30+'Inputs'!$B$31+'Inputs'!$B$32)/1000+'Inputs'!$B$21+'Inputs'!$B$7+'Inputs'!$B$10))/SQRT((((1038-43)*MAX('Inputs'!$B$33,'Inputs'!$B$29+'Inputs'!$B$31+'Inputs'!$B$32,'Inputs'!$B$30+'Inputs'!$B$31+'Inputs'!$B$32)/1000+'Inputs'!$B$21+'Inputs'!$B$7+'Inputs'!$B$10))^2+('Inputs'!$B$8/2)^2))))*'Results'!$B$8))),"")</x:f>
        <x:v>0.3044591478986167</x:v>
      </x:c>
      <x:c r="L1038" t="n">
        <x:f>IF(AND(ISNUMBER('Results'!B7),ISNUMBER('Results'!C7),ISNUMBER('Results'!$B$8),ISNUMBER('Inputs'!$B$6),ISNUMBER('Inputs'!$B$7),ISNUMBER('Inputs'!$B$8),ISNUMBER('Inputs'!$B$9),ISNUMBER('Inputs'!$B$10),ISNUMBER('Inputs'!$B$21),ISNUMBER('Inputs'!$B$24),ISNUMBER('Inputs'!$B$28)),((('Results'!B7*(1+'Inputs'!$B$24)*(0.5*((((1038-43)*MAX('Inputs'!$B$33,'Inputs'!$B$29+'Inputs'!$B$31+'Inputs'!$B$32,'Inputs'!$B$30+'Inputs'!$B$31+'Inputs'!$B$32)/1000+'Inputs'!$B$21)+'Inputs'!$B$7)/SQRT((((1038-43)*MAX('Inputs'!$B$33,'Inputs'!$B$29+'Inputs'!$B$31+'Inputs'!$B$32,'Inputs'!$B$30+'Inputs'!$B$31+'Inputs'!$B$32)/1000+'Inputs'!$B$21)+'Inputs'!$B$7)^2+('Inputs'!$B$6/2)^2)-(((1038-43)*MAX('Inputs'!$B$33,'Inputs'!$B$29+'Inputs'!$B$31+'Inputs'!$B$32,'Inputs'!$B$30+'Inputs'!$B$31+'Inputs'!$B$32)/1000+'Inputs'!$B$21))/SQRT((((1038-43)*MAX('Inputs'!$B$33,'Inputs'!$B$29+'Inputs'!$B$31+'Inputs'!$B$32,'Inputs'!$B$30+'Inputs'!$B$31+'Inputs'!$B$32)/1000+'Inputs'!$B$21))^2+('Inputs'!$B$6/2)^2)))-'Results'!C7*(1-'Inputs'!$B$24)*(0.5*((((1038-43)*MAX('Inputs'!$B$33,'Inputs'!$B$29+'Inputs'!$B$31+'Inputs'!$B$32,'Inputs'!$B$30+'Inputs'!$B$31+'Inputs'!$B$32)/1000+'Inputs'!$B$21+'Inputs'!$B$7+'Inputs'!$B$10)+'Inputs'!$B$9)/SQRT((((1038-43)*MAX('Inputs'!$B$33,'Inputs'!$B$29+'Inputs'!$B$31+'Inputs'!$B$32,'Inputs'!$B$30+'Inputs'!$B$31+'Inputs'!$B$32)/1000+'Inputs'!$B$21+'Inputs'!$B$7+'Inputs'!$B$10)+'Inputs'!$B$9)^2+('Inputs'!$B$8/2)^2)-(((1038-43)*MAX('Inputs'!$B$33,'Inputs'!$B$29+'Inputs'!$B$31+'Inputs'!$B$32,'Inputs'!$B$30+'Inputs'!$B$31+'Inputs'!$B$32)/1000+'Inputs'!$B$21+'Inputs'!$B$7+'Inputs'!$B$10))/SQRT((((1038-43)*MAX('Inputs'!$B$33,'Inputs'!$B$29+'Inputs'!$B$31+'Inputs'!$B$32,'Inputs'!$B$30+'Inputs'!$B$31+'Inputs'!$B$32)/1000+'Inputs'!$B$21+'Inputs'!$B$7+'Inputs'!$B$10))^2+('Inputs'!$B$8/2)^2))))*'Results'!$B$8)+'Inputs'!$B$28*ABS((('Results'!B7*(1+'Inputs'!$B$24)*(0.5*((((1038-43)*MAX('Inputs'!$B$33,'Inputs'!$B$29+'Inputs'!$B$31+'Inputs'!$B$32,'Inputs'!$B$30+'Inputs'!$B$31+'Inputs'!$B$32)/1000+'Inputs'!$B$21)+'Inputs'!$B$7)/SQRT((((1038-43)*MAX('Inputs'!$B$33,'Inputs'!$B$29+'Inputs'!$B$31+'Inputs'!$B$32,'Inputs'!$B$30+'Inputs'!$B$31+'Inputs'!$B$32)/1000+'Inputs'!$B$21)+'Inputs'!$B$7)^2+('Inputs'!$B$6/2)^2)-(((1038-43)*MAX('Inputs'!$B$33,'Inputs'!$B$29+'Inputs'!$B$31+'Inputs'!$B$32,'Inputs'!$B$30+'Inputs'!$B$31+'Inputs'!$B$32)/1000+'Inputs'!$B$21))/SQRT((((1038-43)*MAX('Inputs'!$B$33,'Inputs'!$B$29+'Inputs'!$B$31+'Inputs'!$B$32,'Inputs'!$B$30+'Inputs'!$B$31+'Inputs'!$B$32)/1000+'Inputs'!$B$21))^2+('Inputs'!$B$6/2)^2)))-'Results'!C7*(1-'Inputs'!$B$24)*(0.5*((((1038-43)*MAX('Inputs'!$B$33,'Inputs'!$B$29+'Inputs'!$B$31+'Inputs'!$B$32,'Inputs'!$B$30+'Inputs'!$B$31+'Inputs'!$B$32)/1000+'Inputs'!$B$21+'Inputs'!$B$7+'Inputs'!$B$10)+'Inputs'!$B$9)/SQRT((((1038-43)*MAX('Inputs'!$B$33,'Inputs'!$B$29+'Inputs'!$B$31+'Inputs'!$B$32,'Inputs'!$B$30+'Inputs'!$B$31+'Inputs'!$B$32)/1000+'Inputs'!$B$21+'Inputs'!$B$7+'Inputs'!$B$10)+'Inputs'!$B$9)^2+('Inputs'!$B$8/2)^2)-(((1038-43)*MAX('Inputs'!$B$33,'Inputs'!$B$29+'Inputs'!$B$31+'Inputs'!$B$32,'Inputs'!$B$30+'Inputs'!$B$31+'Inputs'!$B$32)/1000+'Inputs'!$B$21+'Inputs'!$B$7+'Inputs'!$B$10))/SQRT((((1038-43)*MAX('Inputs'!$B$33,'Inputs'!$B$29+'Inputs'!$B$31+'Inputs'!$B$32,'Inputs'!$B$30+'Inputs'!$B$31+'Inputs'!$B$32)/1000+'Inputs'!$B$21+'Inputs'!$B$7+'Inputs'!$B$10))^2+('Inputs'!$B$8/2)^2))))*'Results'!$B$8))),"")</x:f>
        <x:v>0.4272838182682501</x:v>
      </x:c>
      <x:c r="M1038" t="n">
        <x:f>IF(AND(ISNUMBER('Results'!C7),ISNUMBER('Results'!B7),ISNUMBER('Results'!$B$8),ISNUMBER('Inputs'!$B$6),ISNUMBER('Inputs'!$B$7),ISNUMBER('Inputs'!$B$8),ISNUMBER('Inputs'!$B$9),ISNUMBER('Inputs'!$B$10),ISNUMBER('Inputs'!$B$21),ISNUMBER('Inputs'!$B$24),ISNUMBER('Inputs'!$B$28)),(('Results'!C7*(0.5*((((1038-43)*MAX('Inputs'!$B$33,'Inputs'!$B$29+'Inputs'!$B$31+'Inputs'!$B$32,'Inputs'!$B$30+'Inputs'!$B$31+'Inputs'!$B$32)/1000+'Inputs'!$B$21)+'Inputs'!$B$9)/SQRT((((1038-43)*MAX('Inputs'!$B$33,'Inputs'!$B$29+'Inputs'!$B$31+'Inputs'!$B$32,'Inputs'!$B$30+'Inputs'!$B$31+'Inputs'!$B$32)/1000+'Inputs'!$B$21)+'Inputs'!$B$9)^2+('Inputs'!$B$8/2)^2)-(((1038-43)*MAX('Inputs'!$B$33,'Inputs'!$B$29+'Inputs'!$B$31+'Inputs'!$B$32,'Inputs'!$B$30+'Inputs'!$B$31+'Inputs'!$B$32)/1000+'Inputs'!$B$21))/SQRT((((1038-43)*MAX('Inputs'!$B$33,'Inputs'!$B$29+'Inputs'!$B$31+'Inputs'!$B$32,'Inputs'!$B$30+'Inputs'!$B$31+'Inputs'!$B$32)/1000+'Inputs'!$B$21))^2+('Inputs'!$B$8/2)^2)))-'Results'!B7*(0.5*((((1038-43)*MAX('Inputs'!$B$33,'Inputs'!$B$29+'Inputs'!$B$31+'Inputs'!$B$32,'Inputs'!$B$30+'Inputs'!$B$31+'Inputs'!$B$32)/1000+'Inputs'!$B$21+'Inputs'!$B$9+'Inputs'!$B$10)+'Inputs'!$B$7)/SQRT((((1038-43)*MAX('Inputs'!$B$33,'Inputs'!$B$29+'Inputs'!$B$31+'Inputs'!$B$32,'Inputs'!$B$30+'Inputs'!$B$31+'Inputs'!$B$32)/1000+'Inputs'!$B$21+'Inputs'!$B$9+'Inputs'!$B$10)+'Inputs'!$B$7)^2+('Inputs'!$B$6/2)^2)-(((1038-43)*MAX('Inputs'!$B$33,'Inputs'!$B$29+'Inputs'!$B$31+'Inputs'!$B$32,'Inputs'!$B$30+'Inputs'!$B$31+'Inputs'!$B$32)/1000+'Inputs'!$B$21+'Inputs'!$B$9+'Inputs'!$B$10))/SQRT((((1038-43)*MAX('Inputs'!$B$33,'Inputs'!$B$29+'Inputs'!$B$31+'Inputs'!$B$32,'Inputs'!$B$30+'Inputs'!$B$31+'Inputs'!$B$32)/1000+'Inputs'!$B$21+'Inputs'!$B$9+'Inputs'!$B$10))^2+('Inputs'!$B$6/2)^2))))*'Results'!$B$8),"")</x:f>
        <x:v>0.32011645005435535</x:v>
      </x:c>
      <x:c r="N1038" t="n">
        <x:f>IF(AND(ISNUMBER('Results'!C7),ISNUMBER('Results'!B7),ISNUMBER('Results'!$B$8),ISNUMBER('Inputs'!$B$6),ISNUMBER('Inputs'!$B$7),ISNUMBER('Inputs'!$B$8),ISNUMBER('Inputs'!$B$9),ISNUMBER('Inputs'!$B$10),ISNUMBER('Inputs'!$B$21),ISNUMBER('Inputs'!$B$24),ISNUMBER('Inputs'!$B$28)),((('Results'!C7*(1-'Inputs'!$B$24)*(0.5*((((1038-43)*MAX('Inputs'!$B$33,'Inputs'!$B$29+'Inputs'!$B$31+'Inputs'!$B$32,'Inputs'!$B$30+'Inputs'!$B$31+'Inputs'!$B$32)/1000+'Inputs'!$B$21)+'Inputs'!$B$9)/SQRT((((1038-43)*MAX('Inputs'!$B$33,'Inputs'!$B$29+'Inputs'!$B$31+'Inputs'!$B$32,'Inputs'!$B$30+'Inputs'!$B$31+'Inputs'!$B$32)/1000+'Inputs'!$B$21)+'Inputs'!$B$9)^2+('Inputs'!$B$8/2)^2)-(((1038-43)*MAX('Inputs'!$B$33,'Inputs'!$B$29+'Inputs'!$B$31+'Inputs'!$B$32,'Inputs'!$B$30+'Inputs'!$B$31+'Inputs'!$B$32)/1000+'Inputs'!$B$21))/SQRT((((1038-43)*MAX('Inputs'!$B$33,'Inputs'!$B$29+'Inputs'!$B$31+'Inputs'!$B$32,'Inputs'!$B$30+'Inputs'!$B$31+'Inputs'!$B$32)/1000+'Inputs'!$B$21))^2+('Inputs'!$B$8/2)^2)))-'Results'!B7*(1+'Inputs'!$B$24)*(0.5*((((1038-43)*MAX('Inputs'!$B$33,'Inputs'!$B$29+'Inputs'!$B$31+'Inputs'!$B$32,'Inputs'!$B$30+'Inputs'!$B$31+'Inputs'!$B$32)/1000+'Inputs'!$B$21+'Inputs'!$B$9+'Inputs'!$B$10)+'Inputs'!$B$7)/SQRT((((1038-43)*MAX('Inputs'!$B$33,'Inputs'!$B$29+'Inputs'!$B$31+'Inputs'!$B$32,'Inputs'!$B$30+'Inputs'!$B$31+'Inputs'!$B$32)/1000+'Inputs'!$B$21+'Inputs'!$B$9+'Inputs'!$B$10)+'Inputs'!$B$7)^2+('Inputs'!$B$6/2)^2)-(((1038-43)*MAX('Inputs'!$B$33,'Inputs'!$B$29+'Inputs'!$B$31+'Inputs'!$B$32,'Inputs'!$B$30+'Inputs'!$B$31+'Inputs'!$B$32)/1000+'Inputs'!$B$21+'Inputs'!$B$9+'Inputs'!$B$10))/SQRT((((1038-43)*MAX('Inputs'!$B$33,'Inputs'!$B$29+'Inputs'!$B$31+'Inputs'!$B$32,'Inputs'!$B$30+'Inputs'!$B$31+'Inputs'!$B$32)/1000+'Inputs'!$B$21+'Inputs'!$B$9+'Inputs'!$B$10))^2+('Inputs'!$B$6/2)^2))))*'Results'!$B$8)-'Inputs'!$B$28*ABS((('Results'!C7*(1-'Inputs'!$B$24)*(0.5*((((1038-43)*MAX('Inputs'!$B$33,'Inputs'!$B$29+'Inputs'!$B$31+'Inputs'!$B$32,'Inputs'!$B$30+'Inputs'!$B$31+'Inputs'!$B$32)/1000+'Inputs'!$B$21)+'Inputs'!$B$9)/SQRT((((1038-43)*MAX('Inputs'!$B$33,'Inputs'!$B$29+'Inputs'!$B$31+'Inputs'!$B$32,'Inputs'!$B$30+'Inputs'!$B$31+'Inputs'!$B$32)/1000+'Inputs'!$B$21)+'Inputs'!$B$9)^2+('Inputs'!$B$8/2)^2)-(((1038-43)*MAX('Inputs'!$B$33,'Inputs'!$B$29+'Inputs'!$B$31+'Inputs'!$B$32,'Inputs'!$B$30+'Inputs'!$B$31+'Inputs'!$B$32)/1000+'Inputs'!$B$21))/SQRT((((1038-43)*MAX('Inputs'!$B$33,'Inputs'!$B$29+'Inputs'!$B$31+'Inputs'!$B$32,'Inputs'!$B$30+'Inputs'!$B$31+'Inputs'!$B$32)/1000+'Inputs'!$B$21))^2+('Inputs'!$B$8/2)^2)))-'Results'!B7*(1+'Inputs'!$B$24)*(0.5*((((1038-43)*MAX('Inputs'!$B$33,'Inputs'!$B$29+'Inputs'!$B$31+'Inputs'!$B$32,'Inputs'!$B$30+'Inputs'!$B$31+'Inputs'!$B$32)/1000+'Inputs'!$B$21+'Inputs'!$B$9+'Inputs'!$B$10)+'Inputs'!$B$7)/SQRT((((1038-43)*MAX('Inputs'!$B$33,'Inputs'!$B$29+'Inputs'!$B$31+'Inputs'!$B$32,'Inputs'!$B$30+'Inputs'!$B$31+'Inputs'!$B$32)/1000+'Inputs'!$B$21+'Inputs'!$B$9+'Inputs'!$B$10)+'Inputs'!$B$7)^2+('Inputs'!$B$6/2)^2)-(((1038-43)*MAX('Inputs'!$B$33,'Inputs'!$B$29+'Inputs'!$B$31+'Inputs'!$B$32,'Inputs'!$B$30+'Inputs'!$B$31+'Inputs'!$B$32)/1000+'Inputs'!$B$21+'Inputs'!$B$9+'Inputs'!$B$10))/SQRT((((1038-43)*MAX('Inputs'!$B$33,'Inputs'!$B$29+'Inputs'!$B$31+'Inputs'!$B$32,'Inputs'!$B$30+'Inputs'!$B$31+'Inputs'!$B$32)/1000+'Inputs'!$B$21+'Inputs'!$B$9+'Inputs'!$B$10))^2+('Inputs'!$B$6/2)^2))))*'Results'!$B$8))),"")</x:f>
        <x:v>0.2631763803026835</x:v>
      </x:c>
      <x:c r="O1038" t="n">
        <x:f>IF(AND(ISNUMBER('Results'!C7),ISNUMBER('Results'!B7),ISNUMBER('Results'!$B$8),ISNUMBER('Inputs'!$B$6),ISNUMBER('Inputs'!$B$7),ISNUMBER('Inputs'!$B$8),ISNUMBER('Inputs'!$B$9),ISNUMBER('Inputs'!$B$10),ISNUMBER('Inputs'!$B$21),ISNUMBER('Inputs'!$B$24),ISNUMBER('Inputs'!$B$28)),((('Results'!C7*(1+'Inputs'!$B$24)*(0.5*((((1038-43)*MAX('Inputs'!$B$33,'Inputs'!$B$29+'Inputs'!$B$31+'Inputs'!$B$32,'Inputs'!$B$30+'Inputs'!$B$31+'Inputs'!$B$32)/1000+'Inputs'!$B$21)+'Inputs'!$B$9)/SQRT((((1038-43)*MAX('Inputs'!$B$33,'Inputs'!$B$29+'Inputs'!$B$31+'Inputs'!$B$32,'Inputs'!$B$30+'Inputs'!$B$31+'Inputs'!$B$32)/1000+'Inputs'!$B$21)+'Inputs'!$B$9)^2+('Inputs'!$B$8/2)^2)-(((1038-43)*MAX('Inputs'!$B$33,'Inputs'!$B$29+'Inputs'!$B$31+'Inputs'!$B$32,'Inputs'!$B$30+'Inputs'!$B$31+'Inputs'!$B$32)/1000+'Inputs'!$B$21))/SQRT((((1038-43)*MAX('Inputs'!$B$33,'Inputs'!$B$29+'Inputs'!$B$31+'Inputs'!$B$32,'Inputs'!$B$30+'Inputs'!$B$31+'Inputs'!$B$32)/1000+'Inputs'!$B$21))^2+('Inputs'!$B$8/2)^2)))-'Results'!B7*(1-'Inputs'!$B$24)*(0.5*((((1038-43)*MAX('Inputs'!$B$33,'Inputs'!$B$29+'Inputs'!$B$31+'Inputs'!$B$32,'Inputs'!$B$30+'Inputs'!$B$31+'Inputs'!$B$32)/1000+'Inputs'!$B$21+'Inputs'!$B$9+'Inputs'!$B$10)+'Inputs'!$B$7)/SQRT((((1038-43)*MAX('Inputs'!$B$33,'Inputs'!$B$29+'Inputs'!$B$31+'Inputs'!$B$32,'Inputs'!$B$30+'Inputs'!$B$31+'Inputs'!$B$32)/1000+'Inputs'!$B$21+'Inputs'!$B$9+'Inputs'!$B$10)+'Inputs'!$B$7)^2+('Inputs'!$B$6/2)^2)-(((1038-43)*MAX('Inputs'!$B$33,'Inputs'!$B$29+'Inputs'!$B$31+'Inputs'!$B$32,'Inputs'!$B$30+'Inputs'!$B$31+'Inputs'!$B$32)/1000+'Inputs'!$B$21+'Inputs'!$B$9+'Inputs'!$B$10))/SQRT((((1038-43)*MAX('Inputs'!$B$33,'Inputs'!$B$29+'Inputs'!$B$31+'Inputs'!$B$32,'Inputs'!$B$30+'Inputs'!$B$31+'Inputs'!$B$32)/1000+'Inputs'!$B$21+'Inputs'!$B$9+'Inputs'!$B$10))^2+('Inputs'!$B$6/2)^2))))*'Results'!$B$8)+'Inputs'!$B$28*ABS((('Results'!C7*(1+'Inputs'!$B$24)*(0.5*((((1038-43)*MAX('Inputs'!$B$33,'Inputs'!$B$29+'Inputs'!$B$31+'Inputs'!$B$32,'Inputs'!$B$30+'Inputs'!$B$31+'Inputs'!$B$32)/1000+'Inputs'!$B$21)+'Inputs'!$B$9)/SQRT((((1038-43)*MAX('Inputs'!$B$33,'Inputs'!$B$29+'Inputs'!$B$31+'Inputs'!$B$32,'Inputs'!$B$30+'Inputs'!$B$31+'Inputs'!$B$32)/1000+'Inputs'!$B$21)+'Inputs'!$B$9)^2+('Inputs'!$B$8/2)^2)-(((1038-43)*MAX('Inputs'!$B$33,'Inputs'!$B$29+'Inputs'!$B$31+'Inputs'!$B$32,'Inputs'!$B$30+'Inputs'!$B$31+'Inputs'!$B$32)/1000+'Inputs'!$B$21))/SQRT((((1038-43)*MAX('Inputs'!$B$33,'Inputs'!$B$29+'Inputs'!$B$31+'Inputs'!$B$32,'Inputs'!$B$30+'Inputs'!$B$31+'Inputs'!$B$32)/1000+'Inputs'!$B$21))^2+('Inputs'!$B$8/2)^2)))-'Results'!B7*(1-'Inputs'!$B$24)*(0.5*((((1038-43)*MAX('Inputs'!$B$33,'Inputs'!$B$29+'Inputs'!$B$31+'Inputs'!$B$32,'Inputs'!$B$30+'Inputs'!$B$31+'Inputs'!$B$32)/1000+'Inputs'!$B$21+'Inputs'!$B$9+'Inputs'!$B$10)+'Inputs'!$B$7)/SQRT((((1038-43)*MAX('Inputs'!$B$33,'Inputs'!$B$29+'Inputs'!$B$31+'Inputs'!$B$32,'Inputs'!$B$30+'Inputs'!$B$31+'Inputs'!$B$32)/1000+'Inputs'!$B$21+'Inputs'!$B$9+'Inputs'!$B$10)+'Inputs'!$B$7)^2+('Inputs'!$B$6/2)^2)-(((1038-43)*MAX('Inputs'!$B$33,'Inputs'!$B$29+'Inputs'!$B$31+'Inputs'!$B$32,'Inputs'!$B$30+'Inputs'!$B$31+'Inputs'!$B$32)/1000+'Inputs'!$B$21+'Inputs'!$B$9+'Inputs'!$B$10))/SQRT((((1038-43)*MAX('Inputs'!$B$33,'Inputs'!$B$29+'Inputs'!$B$31+'Inputs'!$B$32,'Inputs'!$B$30+'Inputs'!$B$31+'Inputs'!$B$32)/1000+'Inputs'!$B$21+'Inputs'!$B$9+'Inputs'!$B$10))^2+('Inputs'!$B$6/2)^2))))*'Results'!$B$8))),"")</x:f>
        <x:v>0.3813653879374963</x:v>
      </x:c>
      <x:c r="P1038" t="n">
        <x:f>IF(AND(MAX(J1038,J1037)&gt;0,J1038&gt;J1037+0.00000001),1,0)</x:f>
        <x:v>0</x:v>
      </x:c>
      <x:c r="Q1038" t="n">
        <x:f>IF(AND(MAX(K1038,K1037)&gt;0,K1038&gt;K1037+0.00000001),1,0)</x:f>
        <x:v>0</x:v>
      </x:c>
      <x:c r="R1038" t="n">
        <x:f>IF(AND(MAX(L1038,L1037)&gt;0,L1038&gt;L1037+0.00000001),1,0)</x:f>
        <x:v>0</x:v>
      </x:c>
      <x:c r="S1038" t="n">
        <x:f>IF(AND(MAX(M1038,M1037)&gt;0,M1038&gt;M1037+0.00000001),1,0)</x:f>
        <x:v>0</x:v>
      </x:c>
      <x:c r="T1038" t="n">
        <x:f>IF(AND(MAX(N1038,N1037)&gt;0,N1038&gt;N1037+0.00000001),1,0)</x:f>
        <x:v>0</x:v>
      </x:c>
      <x:c r="U1038" t="n">
        <x:f>IF(AND(MAX(O1038,O1037)&gt;0,O1038&gt;O1037+0.00000001),1,0)</x:f>
        <x:v>0</x:v>
      </x:c>
    </x:row>
    <x:row r="1039">
      <x:c r="J1039" t="n">
        <x:f>IF(AND(ISNUMBER('Results'!B7),ISNUMBER('Results'!C7),ISNUMBER('Results'!$B$8),ISNUMBER('Inputs'!$B$6),ISNUMBER('Inputs'!$B$7),ISNUMBER('Inputs'!$B$8),ISNUMBER('Inputs'!$B$9),ISNUMBER('Inputs'!$B$10),ISNUMBER('Inputs'!$B$21),ISNUMBER('Inputs'!$B$24),ISNUMBER('Inputs'!$B$28)),(('Results'!B7*(0.5*((((1039-43)*MAX('Inputs'!$B$33,'Inputs'!$B$29+'Inputs'!$B$31+'Inputs'!$B$32,'Inputs'!$B$30+'Inputs'!$B$31+'Inputs'!$B$32)/1000+'Inputs'!$B$21)+'Inputs'!$B$7)/SQRT((((1039-43)*MAX('Inputs'!$B$33,'Inputs'!$B$29+'Inputs'!$B$31+'Inputs'!$B$32,'Inputs'!$B$30+'Inputs'!$B$31+'Inputs'!$B$32)/1000+'Inputs'!$B$21)+'Inputs'!$B$7)^2+('Inputs'!$B$6/2)^2)-(((1039-43)*MAX('Inputs'!$B$33,'Inputs'!$B$29+'Inputs'!$B$31+'Inputs'!$B$32,'Inputs'!$B$30+'Inputs'!$B$31+'Inputs'!$B$32)/1000+'Inputs'!$B$21))/SQRT((((1039-43)*MAX('Inputs'!$B$33,'Inputs'!$B$29+'Inputs'!$B$31+'Inputs'!$B$32,'Inputs'!$B$30+'Inputs'!$B$31+'Inputs'!$B$32)/1000+'Inputs'!$B$21))^2+('Inputs'!$B$6/2)^2)))-'Results'!C7*(0.5*((((1039-43)*MAX('Inputs'!$B$33,'Inputs'!$B$29+'Inputs'!$B$31+'Inputs'!$B$32,'Inputs'!$B$30+'Inputs'!$B$31+'Inputs'!$B$32)/1000+'Inputs'!$B$21+'Inputs'!$B$7+'Inputs'!$B$10)+'Inputs'!$B$9)/SQRT((((1039-43)*MAX('Inputs'!$B$33,'Inputs'!$B$29+'Inputs'!$B$31+'Inputs'!$B$32,'Inputs'!$B$30+'Inputs'!$B$31+'Inputs'!$B$32)/1000+'Inputs'!$B$21+'Inputs'!$B$7+'Inputs'!$B$10)+'Inputs'!$B$9)^2+('Inputs'!$B$8/2)^2)-(((1039-43)*MAX('Inputs'!$B$33,'Inputs'!$B$29+'Inputs'!$B$31+'Inputs'!$B$32,'Inputs'!$B$30+'Inputs'!$B$31+'Inputs'!$B$32)/1000+'Inputs'!$B$21+'Inputs'!$B$7+'Inputs'!$B$10))/SQRT((((1039-43)*MAX('Inputs'!$B$33,'Inputs'!$B$29+'Inputs'!$B$31+'Inputs'!$B$32,'Inputs'!$B$30+'Inputs'!$B$31+'Inputs'!$B$32)/1000+'Inputs'!$B$21+'Inputs'!$B$7+'Inputs'!$B$10))^2+('Inputs'!$B$8/2)^2))))*'Results'!$B$8),"")</x:f>
        <x:v>0.3623783347788481</x:v>
      </x:c>
      <x:c r="K1039" t="n">
        <x:f>IF(AND(ISNUMBER('Results'!B7),ISNUMBER('Results'!C7),ISNUMBER('Results'!$B$8),ISNUMBER('Inputs'!$B$6),ISNUMBER('Inputs'!$B$7),ISNUMBER('Inputs'!$B$8),ISNUMBER('Inputs'!$B$9),ISNUMBER('Inputs'!$B$10),ISNUMBER('Inputs'!$B$21),ISNUMBER('Inputs'!$B$24),ISNUMBER('Inputs'!$B$28)),((('Results'!B7*(1-'Inputs'!$B$24)*(0.5*((((1039-43)*MAX('Inputs'!$B$33,'Inputs'!$B$29+'Inputs'!$B$31+'Inputs'!$B$32,'Inputs'!$B$30+'Inputs'!$B$31+'Inputs'!$B$32)/1000+'Inputs'!$B$21)+'Inputs'!$B$7)/SQRT((((1039-43)*MAX('Inputs'!$B$33,'Inputs'!$B$29+'Inputs'!$B$31+'Inputs'!$B$32,'Inputs'!$B$30+'Inputs'!$B$31+'Inputs'!$B$32)/1000+'Inputs'!$B$21)+'Inputs'!$B$7)^2+('Inputs'!$B$6/2)^2)-(((1039-43)*MAX('Inputs'!$B$33,'Inputs'!$B$29+'Inputs'!$B$31+'Inputs'!$B$32,'Inputs'!$B$30+'Inputs'!$B$31+'Inputs'!$B$32)/1000+'Inputs'!$B$21))/SQRT((((1039-43)*MAX('Inputs'!$B$33,'Inputs'!$B$29+'Inputs'!$B$31+'Inputs'!$B$32,'Inputs'!$B$30+'Inputs'!$B$31+'Inputs'!$B$32)/1000+'Inputs'!$B$21))^2+('Inputs'!$B$6/2)^2)))-'Results'!C7*(1+'Inputs'!$B$24)*(0.5*((((1039-43)*MAX('Inputs'!$B$33,'Inputs'!$B$29+'Inputs'!$B$31+'Inputs'!$B$32,'Inputs'!$B$30+'Inputs'!$B$31+'Inputs'!$B$32)/1000+'Inputs'!$B$21+'Inputs'!$B$7+'Inputs'!$B$10)+'Inputs'!$B$9)/SQRT((((1039-43)*MAX('Inputs'!$B$33,'Inputs'!$B$29+'Inputs'!$B$31+'Inputs'!$B$32,'Inputs'!$B$30+'Inputs'!$B$31+'Inputs'!$B$32)/1000+'Inputs'!$B$21+'Inputs'!$B$7+'Inputs'!$B$10)+'Inputs'!$B$9)^2+('Inputs'!$B$8/2)^2)-(((1039-43)*MAX('Inputs'!$B$33,'Inputs'!$B$29+'Inputs'!$B$31+'Inputs'!$B$32,'Inputs'!$B$30+'Inputs'!$B$31+'Inputs'!$B$32)/1000+'Inputs'!$B$21+'Inputs'!$B$7+'Inputs'!$B$10))/SQRT((((1039-43)*MAX('Inputs'!$B$33,'Inputs'!$B$29+'Inputs'!$B$31+'Inputs'!$B$32,'Inputs'!$B$30+'Inputs'!$B$31+'Inputs'!$B$32)/1000+'Inputs'!$B$21+'Inputs'!$B$7+'Inputs'!$B$10))^2+('Inputs'!$B$8/2)^2))))*'Results'!$B$8)-'Inputs'!$B$28*ABS((('Results'!B7*(1-'Inputs'!$B$24)*(0.5*((((1039-43)*MAX('Inputs'!$B$33,'Inputs'!$B$29+'Inputs'!$B$31+'Inputs'!$B$32,'Inputs'!$B$30+'Inputs'!$B$31+'Inputs'!$B$32)/1000+'Inputs'!$B$21)+'Inputs'!$B$7)/SQRT((((1039-43)*MAX('Inputs'!$B$33,'Inputs'!$B$29+'Inputs'!$B$31+'Inputs'!$B$32,'Inputs'!$B$30+'Inputs'!$B$31+'Inputs'!$B$32)/1000+'Inputs'!$B$21)+'Inputs'!$B$7)^2+('Inputs'!$B$6/2)^2)-(((1039-43)*MAX('Inputs'!$B$33,'Inputs'!$B$29+'Inputs'!$B$31+'Inputs'!$B$32,'Inputs'!$B$30+'Inputs'!$B$31+'Inputs'!$B$32)/1000+'Inputs'!$B$21))/SQRT((((1039-43)*MAX('Inputs'!$B$33,'Inputs'!$B$29+'Inputs'!$B$31+'Inputs'!$B$32,'Inputs'!$B$30+'Inputs'!$B$31+'Inputs'!$B$32)/1000+'Inputs'!$B$21))^2+('Inputs'!$B$6/2)^2)))-'Results'!C7*(1+'Inputs'!$B$24)*(0.5*((((1039-43)*MAX('Inputs'!$B$33,'Inputs'!$B$29+'Inputs'!$B$31+'Inputs'!$B$32,'Inputs'!$B$30+'Inputs'!$B$31+'Inputs'!$B$32)/1000+'Inputs'!$B$21+'Inputs'!$B$7+'Inputs'!$B$10)+'Inputs'!$B$9)/SQRT((((1039-43)*MAX('Inputs'!$B$33,'Inputs'!$B$29+'Inputs'!$B$31+'Inputs'!$B$32,'Inputs'!$B$30+'Inputs'!$B$31+'Inputs'!$B$32)/1000+'Inputs'!$B$21+'Inputs'!$B$7+'Inputs'!$B$10)+'Inputs'!$B$9)^2+('Inputs'!$B$8/2)^2)-(((1039-43)*MAX('Inputs'!$B$33,'Inputs'!$B$29+'Inputs'!$B$31+'Inputs'!$B$32,'Inputs'!$B$30+'Inputs'!$B$31+'Inputs'!$B$32)/1000+'Inputs'!$B$21+'Inputs'!$B$7+'Inputs'!$B$10))/SQRT((((1039-43)*MAX('Inputs'!$B$33,'Inputs'!$B$29+'Inputs'!$B$31+'Inputs'!$B$32,'Inputs'!$B$30+'Inputs'!$B$31+'Inputs'!$B$32)/1000+'Inputs'!$B$21+'Inputs'!$B$7+'Inputs'!$B$10))^2+('Inputs'!$B$8/2)^2))))*'Results'!$B$8))),"")</x:f>
        <x:v>0.30330938227051246</x:v>
      </x:c>
      <x:c r="L1039" t="n">
        <x:f>IF(AND(ISNUMBER('Results'!B7),ISNUMBER('Results'!C7),ISNUMBER('Results'!$B$8),ISNUMBER('Inputs'!$B$6),ISNUMBER('Inputs'!$B$7),ISNUMBER('Inputs'!$B$8),ISNUMBER('Inputs'!$B$9),ISNUMBER('Inputs'!$B$10),ISNUMBER('Inputs'!$B$21),ISNUMBER('Inputs'!$B$24),ISNUMBER('Inputs'!$B$28)),((('Results'!B7*(1+'Inputs'!$B$24)*(0.5*((((1039-43)*MAX('Inputs'!$B$33,'Inputs'!$B$29+'Inputs'!$B$31+'Inputs'!$B$32,'Inputs'!$B$30+'Inputs'!$B$31+'Inputs'!$B$32)/1000+'Inputs'!$B$21)+'Inputs'!$B$7)/SQRT((((1039-43)*MAX('Inputs'!$B$33,'Inputs'!$B$29+'Inputs'!$B$31+'Inputs'!$B$32,'Inputs'!$B$30+'Inputs'!$B$31+'Inputs'!$B$32)/1000+'Inputs'!$B$21)+'Inputs'!$B$7)^2+('Inputs'!$B$6/2)^2)-(((1039-43)*MAX('Inputs'!$B$33,'Inputs'!$B$29+'Inputs'!$B$31+'Inputs'!$B$32,'Inputs'!$B$30+'Inputs'!$B$31+'Inputs'!$B$32)/1000+'Inputs'!$B$21))/SQRT((((1039-43)*MAX('Inputs'!$B$33,'Inputs'!$B$29+'Inputs'!$B$31+'Inputs'!$B$32,'Inputs'!$B$30+'Inputs'!$B$31+'Inputs'!$B$32)/1000+'Inputs'!$B$21))^2+('Inputs'!$B$6/2)^2)))-'Results'!C7*(1-'Inputs'!$B$24)*(0.5*((((1039-43)*MAX('Inputs'!$B$33,'Inputs'!$B$29+'Inputs'!$B$31+'Inputs'!$B$32,'Inputs'!$B$30+'Inputs'!$B$31+'Inputs'!$B$32)/1000+'Inputs'!$B$21+'Inputs'!$B$7+'Inputs'!$B$10)+'Inputs'!$B$9)/SQRT((((1039-43)*MAX('Inputs'!$B$33,'Inputs'!$B$29+'Inputs'!$B$31+'Inputs'!$B$32,'Inputs'!$B$30+'Inputs'!$B$31+'Inputs'!$B$32)/1000+'Inputs'!$B$21+'Inputs'!$B$7+'Inputs'!$B$10)+'Inputs'!$B$9)^2+('Inputs'!$B$8/2)^2)-(((1039-43)*MAX('Inputs'!$B$33,'Inputs'!$B$29+'Inputs'!$B$31+'Inputs'!$B$32,'Inputs'!$B$30+'Inputs'!$B$31+'Inputs'!$B$32)/1000+'Inputs'!$B$21+'Inputs'!$B$7+'Inputs'!$B$10))/SQRT((((1039-43)*MAX('Inputs'!$B$33,'Inputs'!$B$29+'Inputs'!$B$31+'Inputs'!$B$32,'Inputs'!$B$30+'Inputs'!$B$31+'Inputs'!$B$32)/1000+'Inputs'!$B$21+'Inputs'!$B$7+'Inputs'!$B$10))^2+('Inputs'!$B$8/2)^2))))*'Results'!$B$8)+'Inputs'!$B$28*ABS((('Results'!B7*(1+'Inputs'!$B$24)*(0.5*((((1039-43)*MAX('Inputs'!$B$33,'Inputs'!$B$29+'Inputs'!$B$31+'Inputs'!$B$32,'Inputs'!$B$30+'Inputs'!$B$31+'Inputs'!$B$32)/1000+'Inputs'!$B$21)+'Inputs'!$B$7)/SQRT((((1039-43)*MAX('Inputs'!$B$33,'Inputs'!$B$29+'Inputs'!$B$31+'Inputs'!$B$32,'Inputs'!$B$30+'Inputs'!$B$31+'Inputs'!$B$32)/1000+'Inputs'!$B$21)+'Inputs'!$B$7)^2+('Inputs'!$B$6/2)^2)-(((1039-43)*MAX('Inputs'!$B$33,'Inputs'!$B$29+'Inputs'!$B$31+'Inputs'!$B$32,'Inputs'!$B$30+'Inputs'!$B$31+'Inputs'!$B$32)/1000+'Inputs'!$B$21))/SQRT((((1039-43)*MAX('Inputs'!$B$33,'Inputs'!$B$29+'Inputs'!$B$31+'Inputs'!$B$32,'Inputs'!$B$30+'Inputs'!$B$31+'Inputs'!$B$32)/1000+'Inputs'!$B$21))^2+('Inputs'!$B$6/2)^2)))-'Results'!C7*(1-'Inputs'!$B$24)*(0.5*((((1039-43)*MAX('Inputs'!$B$33,'Inputs'!$B$29+'Inputs'!$B$31+'Inputs'!$B$32,'Inputs'!$B$30+'Inputs'!$B$31+'Inputs'!$B$32)/1000+'Inputs'!$B$21+'Inputs'!$B$7+'Inputs'!$B$10)+'Inputs'!$B$9)/SQRT((((1039-43)*MAX('Inputs'!$B$33,'Inputs'!$B$29+'Inputs'!$B$31+'Inputs'!$B$32,'Inputs'!$B$30+'Inputs'!$B$31+'Inputs'!$B$32)/1000+'Inputs'!$B$21+'Inputs'!$B$7+'Inputs'!$B$10)+'Inputs'!$B$9)^2+('Inputs'!$B$8/2)^2)-(((1039-43)*MAX('Inputs'!$B$33,'Inputs'!$B$29+'Inputs'!$B$31+'Inputs'!$B$32,'Inputs'!$B$30+'Inputs'!$B$31+'Inputs'!$B$32)/1000+'Inputs'!$B$21+'Inputs'!$B$7+'Inputs'!$B$10))/SQRT((((1039-43)*MAX('Inputs'!$B$33,'Inputs'!$B$29+'Inputs'!$B$31+'Inputs'!$B$32,'Inputs'!$B$30+'Inputs'!$B$31+'Inputs'!$B$32)/1000+'Inputs'!$B$21+'Inputs'!$B$7+'Inputs'!$B$10))^2+('Inputs'!$B$8/2)^2))))*'Results'!$B$8))),"")</x:f>
        <x:v>0.42575781736817225</x:v>
      </x:c>
      <x:c r="M1039" t="n">
        <x:f>IF(AND(ISNUMBER('Results'!C7),ISNUMBER('Results'!B7),ISNUMBER('Results'!$B$8),ISNUMBER('Inputs'!$B$6),ISNUMBER('Inputs'!$B$7),ISNUMBER('Inputs'!$B$8),ISNUMBER('Inputs'!$B$9),ISNUMBER('Inputs'!$B$10),ISNUMBER('Inputs'!$B$21),ISNUMBER('Inputs'!$B$24),ISNUMBER('Inputs'!$B$28)),(('Results'!C7*(0.5*((((1039-43)*MAX('Inputs'!$B$33,'Inputs'!$B$29+'Inputs'!$B$31+'Inputs'!$B$32,'Inputs'!$B$30+'Inputs'!$B$31+'Inputs'!$B$32)/1000+'Inputs'!$B$21)+'Inputs'!$B$9)/SQRT((((1039-43)*MAX('Inputs'!$B$33,'Inputs'!$B$29+'Inputs'!$B$31+'Inputs'!$B$32,'Inputs'!$B$30+'Inputs'!$B$31+'Inputs'!$B$32)/1000+'Inputs'!$B$21)+'Inputs'!$B$9)^2+('Inputs'!$B$8/2)^2)-(((1039-43)*MAX('Inputs'!$B$33,'Inputs'!$B$29+'Inputs'!$B$31+'Inputs'!$B$32,'Inputs'!$B$30+'Inputs'!$B$31+'Inputs'!$B$32)/1000+'Inputs'!$B$21))/SQRT((((1039-43)*MAX('Inputs'!$B$33,'Inputs'!$B$29+'Inputs'!$B$31+'Inputs'!$B$32,'Inputs'!$B$30+'Inputs'!$B$31+'Inputs'!$B$32)/1000+'Inputs'!$B$21))^2+('Inputs'!$B$8/2)^2)))-'Results'!B7*(0.5*((((1039-43)*MAX('Inputs'!$B$33,'Inputs'!$B$29+'Inputs'!$B$31+'Inputs'!$B$32,'Inputs'!$B$30+'Inputs'!$B$31+'Inputs'!$B$32)/1000+'Inputs'!$B$21+'Inputs'!$B$9+'Inputs'!$B$10)+'Inputs'!$B$7)/SQRT((((1039-43)*MAX('Inputs'!$B$33,'Inputs'!$B$29+'Inputs'!$B$31+'Inputs'!$B$32,'Inputs'!$B$30+'Inputs'!$B$31+'Inputs'!$B$32)/1000+'Inputs'!$B$21+'Inputs'!$B$9+'Inputs'!$B$10)+'Inputs'!$B$7)^2+('Inputs'!$B$6/2)^2)-(((1039-43)*MAX('Inputs'!$B$33,'Inputs'!$B$29+'Inputs'!$B$31+'Inputs'!$B$32,'Inputs'!$B$30+'Inputs'!$B$31+'Inputs'!$B$32)/1000+'Inputs'!$B$21+'Inputs'!$B$9+'Inputs'!$B$10))/SQRT((((1039-43)*MAX('Inputs'!$B$33,'Inputs'!$B$29+'Inputs'!$B$31+'Inputs'!$B$32,'Inputs'!$B$30+'Inputs'!$B$31+'Inputs'!$B$32)/1000+'Inputs'!$B$21+'Inputs'!$B$9+'Inputs'!$B$10))^2+('Inputs'!$B$6/2)^2))))*'Results'!$B$8),"")</x:f>
        <x:v>0.3189071387228963</x:v>
      </x:c>
      <x:c r="N1039" t="n">
        <x:f>IF(AND(ISNUMBER('Results'!C7),ISNUMBER('Results'!B7),ISNUMBER('Results'!$B$8),ISNUMBER('Inputs'!$B$6),ISNUMBER('Inputs'!$B$7),ISNUMBER('Inputs'!$B$8),ISNUMBER('Inputs'!$B$9),ISNUMBER('Inputs'!$B$10),ISNUMBER('Inputs'!$B$21),ISNUMBER('Inputs'!$B$24),ISNUMBER('Inputs'!$B$28)),((('Results'!C7*(1-'Inputs'!$B$24)*(0.5*((((1039-43)*MAX('Inputs'!$B$33,'Inputs'!$B$29+'Inputs'!$B$31+'Inputs'!$B$32,'Inputs'!$B$30+'Inputs'!$B$31+'Inputs'!$B$32)/1000+'Inputs'!$B$21)+'Inputs'!$B$9)/SQRT((((1039-43)*MAX('Inputs'!$B$33,'Inputs'!$B$29+'Inputs'!$B$31+'Inputs'!$B$32,'Inputs'!$B$30+'Inputs'!$B$31+'Inputs'!$B$32)/1000+'Inputs'!$B$21)+'Inputs'!$B$9)^2+('Inputs'!$B$8/2)^2)-(((1039-43)*MAX('Inputs'!$B$33,'Inputs'!$B$29+'Inputs'!$B$31+'Inputs'!$B$32,'Inputs'!$B$30+'Inputs'!$B$31+'Inputs'!$B$32)/1000+'Inputs'!$B$21))/SQRT((((1039-43)*MAX('Inputs'!$B$33,'Inputs'!$B$29+'Inputs'!$B$31+'Inputs'!$B$32,'Inputs'!$B$30+'Inputs'!$B$31+'Inputs'!$B$32)/1000+'Inputs'!$B$21))^2+('Inputs'!$B$8/2)^2)))-'Results'!B7*(1+'Inputs'!$B$24)*(0.5*((((1039-43)*MAX('Inputs'!$B$33,'Inputs'!$B$29+'Inputs'!$B$31+'Inputs'!$B$32,'Inputs'!$B$30+'Inputs'!$B$31+'Inputs'!$B$32)/1000+'Inputs'!$B$21+'Inputs'!$B$9+'Inputs'!$B$10)+'Inputs'!$B$7)/SQRT((((1039-43)*MAX('Inputs'!$B$33,'Inputs'!$B$29+'Inputs'!$B$31+'Inputs'!$B$32,'Inputs'!$B$30+'Inputs'!$B$31+'Inputs'!$B$32)/1000+'Inputs'!$B$21+'Inputs'!$B$9+'Inputs'!$B$10)+'Inputs'!$B$7)^2+('Inputs'!$B$6/2)^2)-(((1039-43)*MAX('Inputs'!$B$33,'Inputs'!$B$29+'Inputs'!$B$31+'Inputs'!$B$32,'Inputs'!$B$30+'Inputs'!$B$31+'Inputs'!$B$32)/1000+'Inputs'!$B$21+'Inputs'!$B$9+'Inputs'!$B$10))/SQRT((((1039-43)*MAX('Inputs'!$B$33,'Inputs'!$B$29+'Inputs'!$B$31+'Inputs'!$B$32,'Inputs'!$B$30+'Inputs'!$B$31+'Inputs'!$B$32)/1000+'Inputs'!$B$21+'Inputs'!$B$9+'Inputs'!$B$10))^2+('Inputs'!$B$6/2)^2))))*'Results'!$B$8)-'Inputs'!$B$28*ABS((('Results'!C7*(1-'Inputs'!$B$24)*(0.5*((((1039-43)*MAX('Inputs'!$B$33,'Inputs'!$B$29+'Inputs'!$B$31+'Inputs'!$B$32,'Inputs'!$B$30+'Inputs'!$B$31+'Inputs'!$B$32)/1000+'Inputs'!$B$21)+'Inputs'!$B$9)/SQRT((((1039-43)*MAX('Inputs'!$B$33,'Inputs'!$B$29+'Inputs'!$B$31+'Inputs'!$B$32,'Inputs'!$B$30+'Inputs'!$B$31+'Inputs'!$B$32)/1000+'Inputs'!$B$21)+'Inputs'!$B$9)^2+('Inputs'!$B$8/2)^2)-(((1039-43)*MAX('Inputs'!$B$33,'Inputs'!$B$29+'Inputs'!$B$31+'Inputs'!$B$32,'Inputs'!$B$30+'Inputs'!$B$31+'Inputs'!$B$32)/1000+'Inputs'!$B$21))/SQRT((((1039-43)*MAX('Inputs'!$B$33,'Inputs'!$B$29+'Inputs'!$B$31+'Inputs'!$B$32,'Inputs'!$B$30+'Inputs'!$B$31+'Inputs'!$B$32)/1000+'Inputs'!$B$21))^2+('Inputs'!$B$8/2)^2)))-'Results'!B7*(1+'Inputs'!$B$24)*(0.5*((((1039-43)*MAX('Inputs'!$B$33,'Inputs'!$B$29+'Inputs'!$B$31+'Inputs'!$B$32,'Inputs'!$B$30+'Inputs'!$B$31+'Inputs'!$B$32)/1000+'Inputs'!$B$21+'Inputs'!$B$9+'Inputs'!$B$10)+'Inputs'!$B$7)/SQRT((((1039-43)*MAX('Inputs'!$B$33,'Inputs'!$B$29+'Inputs'!$B$31+'Inputs'!$B$32,'Inputs'!$B$30+'Inputs'!$B$31+'Inputs'!$B$32)/1000+'Inputs'!$B$21+'Inputs'!$B$9+'Inputs'!$B$10)+'Inputs'!$B$7)^2+('Inputs'!$B$6/2)^2)-(((1039-43)*MAX('Inputs'!$B$33,'Inputs'!$B$29+'Inputs'!$B$31+'Inputs'!$B$32,'Inputs'!$B$30+'Inputs'!$B$31+'Inputs'!$B$32)/1000+'Inputs'!$B$21+'Inputs'!$B$9+'Inputs'!$B$10))/SQRT((((1039-43)*MAX('Inputs'!$B$33,'Inputs'!$B$29+'Inputs'!$B$31+'Inputs'!$B$32,'Inputs'!$B$30+'Inputs'!$B$31+'Inputs'!$B$32)/1000+'Inputs'!$B$21+'Inputs'!$B$9+'Inputs'!$B$10))^2+('Inputs'!$B$6/2)^2))))*'Results'!$B$8))),"")</x:f>
        <x:v>0.2621424977748991</x:v>
      </x:c>
      <x:c r="O1039" t="n">
        <x:f>IF(AND(ISNUMBER('Results'!C7),ISNUMBER('Results'!B7),ISNUMBER('Results'!$B$8),ISNUMBER('Inputs'!$B$6),ISNUMBER('Inputs'!$B$7),ISNUMBER('Inputs'!$B$8),ISNUMBER('Inputs'!$B$9),ISNUMBER('Inputs'!$B$10),ISNUMBER('Inputs'!$B$21),ISNUMBER('Inputs'!$B$24),ISNUMBER('Inputs'!$B$28)),((('Results'!C7*(1+'Inputs'!$B$24)*(0.5*((((1039-43)*MAX('Inputs'!$B$33,'Inputs'!$B$29+'Inputs'!$B$31+'Inputs'!$B$32,'Inputs'!$B$30+'Inputs'!$B$31+'Inputs'!$B$32)/1000+'Inputs'!$B$21)+'Inputs'!$B$9)/SQRT((((1039-43)*MAX('Inputs'!$B$33,'Inputs'!$B$29+'Inputs'!$B$31+'Inputs'!$B$32,'Inputs'!$B$30+'Inputs'!$B$31+'Inputs'!$B$32)/1000+'Inputs'!$B$21)+'Inputs'!$B$9)^2+('Inputs'!$B$8/2)^2)-(((1039-43)*MAX('Inputs'!$B$33,'Inputs'!$B$29+'Inputs'!$B$31+'Inputs'!$B$32,'Inputs'!$B$30+'Inputs'!$B$31+'Inputs'!$B$32)/1000+'Inputs'!$B$21))/SQRT((((1039-43)*MAX('Inputs'!$B$33,'Inputs'!$B$29+'Inputs'!$B$31+'Inputs'!$B$32,'Inputs'!$B$30+'Inputs'!$B$31+'Inputs'!$B$32)/1000+'Inputs'!$B$21))^2+('Inputs'!$B$8/2)^2)))-'Results'!B7*(1-'Inputs'!$B$24)*(0.5*((((1039-43)*MAX('Inputs'!$B$33,'Inputs'!$B$29+'Inputs'!$B$31+'Inputs'!$B$32,'Inputs'!$B$30+'Inputs'!$B$31+'Inputs'!$B$32)/1000+'Inputs'!$B$21+'Inputs'!$B$9+'Inputs'!$B$10)+'Inputs'!$B$7)/SQRT((((1039-43)*MAX('Inputs'!$B$33,'Inputs'!$B$29+'Inputs'!$B$31+'Inputs'!$B$32,'Inputs'!$B$30+'Inputs'!$B$31+'Inputs'!$B$32)/1000+'Inputs'!$B$21+'Inputs'!$B$9+'Inputs'!$B$10)+'Inputs'!$B$7)^2+('Inputs'!$B$6/2)^2)-(((1039-43)*MAX('Inputs'!$B$33,'Inputs'!$B$29+'Inputs'!$B$31+'Inputs'!$B$32,'Inputs'!$B$30+'Inputs'!$B$31+'Inputs'!$B$32)/1000+'Inputs'!$B$21+'Inputs'!$B$9+'Inputs'!$B$10))/SQRT((((1039-43)*MAX('Inputs'!$B$33,'Inputs'!$B$29+'Inputs'!$B$31+'Inputs'!$B$32,'Inputs'!$B$30+'Inputs'!$B$31+'Inputs'!$B$32)/1000+'Inputs'!$B$21+'Inputs'!$B$9+'Inputs'!$B$10))^2+('Inputs'!$B$6/2)^2))))*'Results'!$B$8)+'Inputs'!$B$28*ABS((('Results'!C7*(1+'Inputs'!$B$24)*(0.5*((((1039-43)*MAX('Inputs'!$B$33,'Inputs'!$B$29+'Inputs'!$B$31+'Inputs'!$B$32,'Inputs'!$B$30+'Inputs'!$B$31+'Inputs'!$B$32)/1000+'Inputs'!$B$21)+'Inputs'!$B$9)/SQRT((((1039-43)*MAX('Inputs'!$B$33,'Inputs'!$B$29+'Inputs'!$B$31+'Inputs'!$B$32,'Inputs'!$B$30+'Inputs'!$B$31+'Inputs'!$B$32)/1000+'Inputs'!$B$21)+'Inputs'!$B$9)^2+('Inputs'!$B$8/2)^2)-(((1039-43)*MAX('Inputs'!$B$33,'Inputs'!$B$29+'Inputs'!$B$31+'Inputs'!$B$32,'Inputs'!$B$30+'Inputs'!$B$31+'Inputs'!$B$32)/1000+'Inputs'!$B$21))/SQRT((((1039-43)*MAX('Inputs'!$B$33,'Inputs'!$B$29+'Inputs'!$B$31+'Inputs'!$B$32,'Inputs'!$B$30+'Inputs'!$B$31+'Inputs'!$B$32)/1000+'Inputs'!$B$21))^2+('Inputs'!$B$8/2)^2)))-'Results'!B7*(1-'Inputs'!$B$24)*(0.5*((((1039-43)*MAX('Inputs'!$B$33,'Inputs'!$B$29+'Inputs'!$B$31+'Inputs'!$B$32,'Inputs'!$B$30+'Inputs'!$B$31+'Inputs'!$B$32)/1000+'Inputs'!$B$21+'Inputs'!$B$9+'Inputs'!$B$10)+'Inputs'!$B$7)/SQRT((((1039-43)*MAX('Inputs'!$B$33,'Inputs'!$B$29+'Inputs'!$B$31+'Inputs'!$B$32,'Inputs'!$B$30+'Inputs'!$B$31+'Inputs'!$B$32)/1000+'Inputs'!$B$21+'Inputs'!$B$9+'Inputs'!$B$10)+'Inputs'!$B$7)^2+('Inputs'!$B$6/2)^2)-(((1039-43)*MAX('Inputs'!$B$33,'Inputs'!$B$29+'Inputs'!$B$31+'Inputs'!$B$32,'Inputs'!$B$30+'Inputs'!$B$31+'Inputs'!$B$32)/1000+'Inputs'!$B$21+'Inputs'!$B$9+'Inputs'!$B$10))/SQRT((((1039-43)*MAX('Inputs'!$B$33,'Inputs'!$B$29+'Inputs'!$B$31+'Inputs'!$B$32,'Inputs'!$B$30+'Inputs'!$B$31+'Inputs'!$B$32)/1000+'Inputs'!$B$21+'Inputs'!$B$9+'Inputs'!$B$10))^2+('Inputs'!$B$6/2)^2))))*'Results'!$B$8))),"")</x:f>
        <x:v>0.37996854640898314</x:v>
      </x:c>
      <x:c r="P1039" t="n">
        <x:f>IF(AND(MAX(J1039,J1038)&gt;0,J1039&gt;J1038+0.00000001),1,0)</x:f>
        <x:v>0</x:v>
      </x:c>
      <x:c r="Q1039" t="n">
        <x:f>IF(AND(MAX(K1039,K1038)&gt;0,K1039&gt;K1038+0.00000001),1,0)</x:f>
        <x:v>0</x:v>
      </x:c>
      <x:c r="R1039" t="n">
        <x:f>IF(AND(MAX(L1039,L1038)&gt;0,L1039&gt;L1038+0.00000001),1,0)</x:f>
        <x:v>0</x:v>
      </x:c>
      <x:c r="S1039" t="n">
        <x:f>IF(AND(MAX(M1039,M1038)&gt;0,M1039&gt;M1038+0.00000001),1,0)</x:f>
        <x:v>0</x:v>
      </x:c>
      <x:c r="T1039" t="n">
        <x:f>IF(AND(MAX(N1039,N1038)&gt;0,N1039&gt;N1038+0.00000001),1,0)</x:f>
        <x:v>0</x:v>
      </x:c>
      <x:c r="U1039" t="n">
        <x:f>IF(AND(MAX(O1039,O1038)&gt;0,O1039&gt;O1038+0.00000001),1,0)</x:f>
        <x:v>0</x:v>
      </x:c>
    </x:row>
    <x:row r="1040">
      <x:c r="J1040" t="n">
        <x:f>IF(AND(ISNUMBER('Results'!B7),ISNUMBER('Results'!C7),ISNUMBER('Results'!$B$8),ISNUMBER('Inputs'!$B$6),ISNUMBER('Inputs'!$B$7),ISNUMBER('Inputs'!$B$8),ISNUMBER('Inputs'!$B$9),ISNUMBER('Inputs'!$B$10),ISNUMBER('Inputs'!$B$21),ISNUMBER('Inputs'!$B$24),ISNUMBER('Inputs'!$B$28)),(('Results'!B7*(0.5*((((1040-43)*MAX('Inputs'!$B$33,'Inputs'!$B$29+'Inputs'!$B$31+'Inputs'!$B$32,'Inputs'!$B$30+'Inputs'!$B$31+'Inputs'!$B$32)/1000+'Inputs'!$B$21)+'Inputs'!$B$7)/SQRT((((1040-43)*MAX('Inputs'!$B$33,'Inputs'!$B$29+'Inputs'!$B$31+'Inputs'!$B$32,'Inputs'!$B$30+'Inputs'!$B$31+'Inputs'!$B$32)/1000+'Inputs'!$B$21)+'Inputs'!$B$7)^2+('Inputs'!$B$6/2)^2)-(((1040-43)*MAX('Inputs'!$B$33,'Inputs'!$B$29+'Inputs'!$B$31+'Inputs'!$B$32,'Inputs'!$B$30+'Inputs'!$B$31+'Inputs'!$B$32)/1000+'Inputs'!$B$21))/SQRT((((1040-43)*MAX('Inputs'!$B$33,'Inputs'!$B$29+'Inputs'!$B$31+'Inputs'!$B$32,'Inputs'!$B$30+'Inputs'!$B$31+'Inputs'!$B$32)/1000+'Inputs'!$B$21))^2+('Inputs'!$B$6/2)^2)))-'Results'!C7*(0.5*((((1040-43)*MAX('Inputs'!$B$33,'Inputs'!$B$29+'Inputs'!$B$31+'Inputs'!$B$32,'Inputs'!$B$30+'Inputs'!$B$31+'Inputs'!$B$32)/1000+'Inputs'!$B$21+'Inputs'!$B$7+'Inputs'!$B$10)+'Inputs'!$B$9)/SQRT((((1040-43)*MAX('Inputs'!$B$33,'Inputs'!$B$29+'Inputs'!$B$31+'Inputs'!$B$32,'Inputs'!$B$30+'Inputs'!$B$31+'Inputs'!$B$32)/1000+'Inputs'!$B$21+'Inputs'!$B$7+'Inputs'!$B$10)+'Inputs'!$B$9)^2+('Inputs'!$B$8/2)^2)-(((1040-43)*MAX('Inputs'!$B$33,'Inputs'!$B$29+'Inputs'!$B$31+'Inputs'!$B$32,'Inputs'!$B$30+'Inputs'!$B$31+'Inputs'!$B$32)/1000+'Inputs'!$B$21+'Inputs'!$B$7+'Inputs'!$B$10))/SQRT((((1040-43)*MAX('Inputs'!$B$33,'Inputs'!$B$29+'Inputs'!$B$31+'Inputs'!$B$32,'Inputs'!$B$30+'Inputs'!$B$31+'Inputs'!$B$32)/1000+'Inputs'!$B$21+'Inputs'!$B$7+'Inputs'!$B$10))^2+('Inputs'!$B$8/2)^2))))*'Results'!$B$8),"")</x:f>
        <x:v>0.36105265163190803</x:v>
      </x:c>
      <x:c r="K1040" t="n">
        <x:f>IF(AND(ISNUMBER('Results'!B7),ISNUMBER('Results'!C7),ISNUMBER('Results'!$B$8),ISNUMBER('Inputs'!$B$6),ISNUMBER('Inputs'!$B$7),ISNUMBER('Inputs'!$B$8),ISNUMBER('Inputs'!$B$9),ISNUMBER('Inputs'!$B$10),ISNUMBER('Inputs'!$B$21),ISNUMBER('Inputs'!$B$24),ISNUMBER('Inputs'!$B$28)),((('Results'!B7*(1-'Inputs'!$B$24)*(0.5*((((1040-43)*MAX('Inputs'!$B$33,'Inputs'!$B$29+'Inputs'!$B$31+'Inputs'!$B$32,'Inputs'!$B$30+'Inputs'!$B$31+'Inputs'!$B$32)/1000+'Inputs'!$B$21)+'Inputs'!$B$7)/SQRT((((1040-43)*MAX('Inputs'!$B$33,'Inputs'!$B$29+'Inputs'!$B$31+'Inputs'!$B$32,'Inputs'!$B$30+'Inputs'!$B$31+'Inputs'!$B$32)/1000+'Inputs'!$B$21)+'Inputs'!$B$7)^2+('Inputs'!$B$6/2)^2)-(((1040-43)*MAX('Inputs'!$B$33,'Inputs'!$B$29+'Inputs'!$B$31+'Inputs'!$B$32,'Inputs'!$B$30+'Inputs'!$B$31+'Inputs'!$B$32)/1000+'Inputs'!$B$21))/SQRT((((1040-43)*MAX('Inputs'!$B$33,'Inputs'!$B$29+'Inputs'!$B$31+'Inputs'!$B$32,'Inputs'!$B$30+'Inputs'!$B$31+'Inputs'!$B$32)/1000+'Inputs'!$B$21))^2+('Inputs'!$B$6/2)^2)))-'Results'!C7*(1+'Inputs'!$B$24)*(0.5*((((1040-43)*MAX('Inputs'!$B$33,'Inputs'!$B$29+'Inputs'!$B$31+'Inputs'!$B$32,'Inputs'!$B$30+'Inputs'!$B$31+'Inputs'!$B$32)/1000+'Inputs'!$B$21+'Inputs'!$B$7+'Inputs'!$B$10)+'Inputs'!$B$9)/SQRT((((1040-43)*MAX('Inputs'!$B$33,'Inputs'!$B$29+'Inputs'!$B$31+'Inputs'!$B$32,'Inputs'!$B$30+'Inputs'!$B$31+'Inputs'!$B$32)/1000+'Inputs'!$B$21+'Inputs'!$B$7+'Inputs'!$B$10)+'Inputs'!$B$9)^2+('Inputs'!$B$8/2)^2)-(((1040-43)*MAX('Inputs'!$B$33,'Inputs'!$B$29+'Inputs'!$B$31+'Inputs'!$B$32,'Inputs'!$B$30+'Inputs'!$B$31+'Inputs'!$B$32)/1000+'Inputs'!$B$21+'Inputs'!$B$7+'Inputs'!$B$10))/SQRT((((1040-43)*MAX('Inputs'!$B$33,'Inputs'!$B$29+'Inputs'!$B$31+'Inputs'!$B$32,'Inputs'!$B$30+'Inputs'!$B$31+'Inputs'!$B$32)/1000+'Inputs'!$B$21+'Inputs'!$B$7+'Inputs'!$B$10))^2+('Inputs'!$B$8/2)^2))))*'Results'!$B$8)-'Inputs'!$B$28*ABS((('Results'!B7*(1-'Inputs'!$B$24)*(0.5*((((1040-43)*MAX('Inputs'!$B$33,'Inputs'!$B$29+'Inputs'!$B$31+'Inputs'!$B$32,'Inputs'!$B$30+'Inputs'!$B$31+'Inputs'!$B$32)/1000+'Inputs'!$B$21)+'Inputs'!$B$7)/SQRT((((1040-43)*MAX('Inputs'!$B$33,'Inputs'!$B$29+'Inputs'!$B$31+'Inputs'!$B$32,'Inputs'!$B$30+'Inputs'!$B$31+'Inputs'!$B$32)/1000+'Inputs'!$B$21)+'Inputs'!$B$7)^2+('Inputs'!$B$6/2)^2)-(((1040-43)*MAX('Inputs'!$B$33,'Inputs'!$B$29+'Inputs'!$B$31+'Inputs'!$B$32,'Inputs'!$B$30+'Inputs'!$B$31+'Inputs'!$B$32)/1000+'Inputs'!$B$21))/SQRT((((1040-43)*MAX('Inputs'!$B$33,'Inputs'!$B$29+'Inputs'!$B$31+'Inputs'!$B$32,'Inputs'!$B$30+'Inputs'!$B$31+'Inputs'!$B$32)/1000+'Inputs'!$B$21))^2+('Inputs'!$B$6/2)^2)))-'Results'!C7*(1+'Inputs'!$B$24)*(0.5*((((1040-43)*MAX('Inputs'!$B$33,'Inputs'!$B$29+'Inputs'!$B$31+'Inputs'!$B$32,'Inputs'!$B$30+'Inputs'!$B$31+'Inputs'!$B$32)/1000+'Inputs'!$B$21+'Inputs'!$B$7+'Inputs'!$B$10)+'Inputs'!$B$9)/SQRT((((1040-43)*MAX('Inputs'!$B$33,'Inputs'!$B$29+'Inputs'!$B$31+'Inputs'!$B$32,'Inputs'!$B$30+'Inputs'!$B$31+'Inputs'!$B$32)/1000+'Inputs'!$B$21+'Inputs'!$B$7+'Inputs'!$B$10)+'Inputs'!$B$9)^2+('Inputs'!$B$8/2)^2)-(((1040-43)*MAX('Inputs'!$B$33,'Inputs'!$B$29+'Inputs'!$B$31+'Inputs'!$B$32,'Inputs'!$B$30+'Inputs'!$B$31+'Inputs'!$B$32)/1000+'Inputs'!$B$21+'Inputs'!$B$7+'Inputs'!$B$10))/SQRT((((1040-43)*MAX('Inputs'!$B$33,'Inputs'!$B$29+'Inputs'!$B$31+'Inputs'!$B$32,'Inputs'!$B$30+'Inputs'!$B$31+'Inputs'!$B$32)/1000+'Inputs'!$B$21+'Inputs'!$B$7+'Inputs'!$B$10))^2+('Inputs'!$B$8/2)^2))))*'Results'!$B$8))),"")</x:f>
        <x:v>0.30216500125647994</x:v>
      </x:c>
      <x:c r="L1040" t="n">
        <x:f>IF(AND(ISNUMBER('Results'!B7),ISNUMBER('Results'!C7),ISNUMBER('Results'!$B$8),ISNUMBER('Inputs'!$B$6),ISNUMBER('Inputs'!$B$7),ISNUMBER('Inputs'!$B$8),ISNUMBER('Inputs'!$B$9),ISNUMBER('Inputs'!$B$10),ISNUMBER('Inputs'!$B$21),ISNUMBER('Inputs'!$B$24),ISNUMBER('Inputs'!$B$28)),((('Results'!B7*(1+'Inputs'!$B$24)*(0.5*((((1040-43)*MAX('Inputs'!$B$33,'Inputs'!$B$29+'Inputs'!$B$31+'Inputs'!$B$32,'Inputs'!$B$30+'Inputs'!$B$31+'Inputs'!$B$32)/1000+'Inputs'!$B$21)+'Inputs'!$B$7)/SQRT((((1040-43)*MAX('Inputs'!$B$33,'Inputs'!$B$29+'Inputs'!$B$31+'Inputs'!$B$32,'Inputs'!$B$30+'Inputs'!$B$31+'Inputs'!$B$32)/1000+'Inputs'!$B$21)+'Inputs'!$B$7)^2+('Inputs'!$B$6/2)^2)-(((1040-43)*MAX('Inputs'!$B$33,'Inputs'!$B$29+'Inputs'!$B$31+'Inputs'!$B$32,'Inputs'!$B$30+'Inputs'!$B$31+'Inputs'!$B$32)/1000+'Inputs'!$B$21))/SQRT((((1040-43)*MAX('Inputs'!$B$33,'Inputs'!$B$29+'Inputs'!$B$31+'Inputs'!$B$32,'Inputs'!$B$30+'Inputs'!$B$31+'Inputs'!$B$32)/1000+'Inputs'!$B$21))^2+('Inputs'!$B$6/2)^2)))-'Results'!C7*(1-'Inputs'!$B$24)*(0.5*((((1040-43)*MAX('Inputs'!$B$33,'Inputs'!$B$29+'Inputs'!$B$31+'Inputs'!$B$32,'Inputs'!$B$30+'Inputs'!$B$31+'Inputs'!$B$32)/1000+'Inputs'!$B$21+'Inputs'!$B$7+'Inputs'!$B$10)+'Inputs'!$B$9)/SQRT((((1040-43)*MAX('Inputs'!$B$33,'Inputs'!$B$29+'Inputs'!$B$31+'Inputs'!$B$32,'Inputs'!$B$30+'Inputs'!$B$31+'Inputs'!$B$32)/1000+'Inputs'!$B$21+'Inputs'!$B$7+'Inputs'!$B$10)+'Inputs'!$B$9)^2+('Inputs'!$B$8/2)^2)-(((1040-43)*MAX('Inputs'!$B$33,'Inputs'!$B$29+'Inputs'!$B$31+'Inputs'!$B$32,'Inputs'!$B$30+'Inputs'!$B$31+'Inputs'!$B$32)/1000+'Inputs'!$B$21+'Inputs'!$B$7+'Inputs'!$B$10))/SQRT((((1040-43)*MAX('Inputs'!$B$33,'Inputs'!$B$29+'Inputs'!$B$31+'Inputs'!$B$32,'Inputs'!$B$30+'Inputs'!$B$31+'Inputs'!$B$32)/1000+'Inputs'!$B$21+'Inputs'!$B$7+'Inputs'!$B$10))^2+('Inputs'!$B$8/2)^2))))*'Results'!$B$8)+'Inputs'!$B$28*ABS((('Results'!B7*(1+'Inputs'!$B$24)*(0.5*((((1040-43)*MAX('Inputs'!$B$33,'Inputs'!$B$29+'Inputs'!$B$31+'Inputs'!$B$32,'Inputs'!$B$30+'Inputs'!$B$31+'Inputs'!$B$32)/1000+'Inputs'!$B$21)+'Inputs'!$B$7)/SQRT((((1040-43)*MAX('Inputs'!$B$33,'Inputs'!$B$29+'Inputs'!$B$31+'Inputs'!$B$32,'Inputs'!$B$30+'Inputs'!$B$31+'Inputs'!$B$32)/1000+'Inputs'!$B$21)+'Inputs'!$B$7)^2+('Inputs'!$B$6/2)^2)-(((1040-43)*MAX('Inputs'!$B$33,'Inputs'!$B$29+'Inputs'!$B$31+'Inputs'!$B$32,'Inputs'!$B$30+'Inputs'!$B$31+'Inputs'!$B$32)/1000+'Inputs'!$B$21))/SQRT((((1040-43)*MAX('Inputs'!$B$33,'Inputs'!$B$29+'Inputs'!$B$31+'Inputs'!$B$32,'Inputs'!$B$30+'Inputs'!$B$31+'Inputs'!$B$32)/1000+'Inputs'!$B$21))^2+('Inputs'!$B$6/2)^2)))-'Results'!C7*(1-'Inputs'!$B$24)*(0.5*((((1040-43)*MAX('Inputs'!$B$33,'Inputs'!$B$29+'Inputs'!$B$31+'Inputs'!$B$32,'Inputs'!$B$30+'Inputs'!$B$31+'Inputs'!$B$32)/1000+'Inputs'!$B$21+'Inputs'!$B$7+'Inputs'!$B$10)+'Inputs'!$B$9)/SQRT((((1040-43)*MAX('Inputs'!$B$33,'Inputs'!$B$29+'Inputs'!$B$31+'Inputs'!$B$32,'Inputs'!$B$30+'Inputs'!$B$31+'Inputs'!$B$32)/1000+'Inputs'!$B$21+'Inputs'!$B$7+'Inputs'!$B$10)+'Inputs'!$B$9)^2+('Inputs'!$B$8/2)^2)-(((1040-43)*MAX('Inputs'!$B$33,'Inputs'!$B$29+'Inputs'!$B$31+'Inputs'!$B$32,'Inputs'!$B$30+'Inputs'!$B$31+'Inputs'!$B$32)/1000+'Inputs'!$B$21+'Inputs'!$B$7+'Inputs'!$B$10))/SQRT((((1040-43)*MAX('Inputs'!$B$33,'Inputs'!$B$29+'Inputs'!$B$31+'Inputs'!$B$32,'Inputs'!$B$30+'Inputs'!$B$31+'Inputs'!$B$32)/1000+'Inputs'!$B$21+'Inputs'!$B$7+'Inputs'!$B$10))^2+('Inputs'!$B$8/2)^2))))*'Results'!$B$8))),"")</x:f>
        <x:v>0.42423872493300274</x:v>
      </x:c>
      <x:c r="M1040" t="n">
        <x:f>IF(AND(ISNUMBER('Results'!C7),ISNUMBER('Results'!B7),ISNUMBER('Results'!$B$8),ISNUMBER('Inputs'!$B$6),ISNUMBER('Inputs'!$B$7),ISNUMBER('Inputs'!$B$8),ISNUMBER('Inputs'!$B$9),ISNUMBER('Inputs'!$B$10),ISNUMBER('Inputs'!$B$21),ISNUMBER('Inputs'!$B$24),ISNUMBER('Inputs'!$B$28)),(('Results'!C7*(0.5*((((1040-43)*MAX('Inputs'!$B$33,'Inputs'!$B$29+'Inputs'!$B$31+'Inputs'!$B$32,'Inputs'!$B$30+'Inputs'!$B$31+'Inputs'!$B$32)/1000+'Inputs'!$B$21)+'Inputs'!$B$9)/SQRT((((1040-43)*MAX('Inputs'!$B$33,'Inputs'!$B$29+'Inputs'!$B$31+'Inputs'!$B$32,'Inputs'!$B$30+'Inputs'!$B$31+'Inputs'!$B$32)/1000+'Inputs'!$B$21)+'Inputs'!$B$9)^2+('Inputs'!$B$8/2)^2)-(((1040-43)*MAX('Inputs'!$B$33,'Inputs'!$B$29+'Inputs'!$B$31+'Inputs'!$B$32,'Inputs'!$B$30+'Inputs'!$B$31+'Inputs'!$B$32)/1000+'Inputs'!$B$21))/SQRT((((1040-43)*MAX('Inputs'!$B$33,'Inputs'!$B$29+'Inputs'!$B$31+'Inputs'!$B$32,'Inputs'!$B$30+'Inputs'!$B$31+'Inputs'!$B$32)/1000+'Inputs'!$B$21))^2+('Inputs'!$B$8/2)^2)))-'Results'!B7*(0.5*((((1040-43)*MAX('Inputs'!$B$33,'Inputs'!$B$29+'Inputs'!$B$31+'Inputs'!$B$32,'Inputs'!$B$30+'Inputs'!$B$31+'Inputs'!$B$32)/1000+'Inputs'!$B$21+'Inputs'!$B$9+'Inputs'!$B$10)+'Inputs'!$B$7)/SQRT((((1040-43)*MAX('Inputs'!$B$33,'Inputs'!$B$29+'Inputs'!$B$31+'Inputs'!$B$32,'Inputs'!$B$30+'Inputs'!$B$31+'Inputs'!$B$32)/1000+'Inputs'!$B$21+'Inputs'!$B$9+'Inputs'!$B$10)+'Inputs'!$B$7)^2+('Inputs'!$B$6/2)^2)-(((1040-43)*MAX('Inputs'!$B$33,'Inputs'!$B$29+'Inputs'!$B$31+'Inputs'!$B$32,'Inputs'!$B$30+'Inputs'!$B$31+'Inputs'!$B$32)/1000+'Inputs'!$B$21+'Inputs'!$B$9+'Inputs'!$B$10))/SQRT((((1040-43)*MAX('Inputs'!$B$33,'Inputs'!$B$29+'Inputs'!$B$31+'Inputs'!$B$32,'Inputs'!$B$30+'Inputs'!$B$31+'Inputs'!$B$32)/1000+'Inputs'!$B$21+'Inputs'!$B$9+'Inputs'!$B$10))^2+('Inputs'!$B$6/2)^2))))*'Results'!$B$8),"")</x:f>
        <x:v>0.3177034920056091</x:v>
      </x:c>
      <x:c r="N1040" t="n">
        <x:f>IF(AND(ISNUMBER('Results'!C7),ISNUMBER('Results'!B7),ISNUMBER('Results'!$B$8),ISNUMBER('Inputs'!$B$6),ISNUMBER('Inputs'!$B$7),ISNUMBER('Inputs'!$B$8),ISNUMBER('Inputs'!$B$9),ISNUMBER('Inputs'!$B$10),ISNUMBER('Inputs'!$B$21),ISNUMBER('Inputs'!$B$24),ISNUMBER('Inputs'!$B$28)),((('Results'!C7*(1-'Inputs'!$B$24)*(0.5*((((1040-43)*MAX('Inputs'!$B$33,'Inputs'!$B$29+'Inputs'!$B$31+'Inputs'!$B$32,'Inputs'!$B$30+'Inputs'!$B$31+'Inputs'!$B$32)/1000+'Inputs'!$B$21)+'Inputs'!$B$9)/SQRT((((1040-43)*MAX('Inputs'!$B$33,'Inputs'!$B$29+'Inputs'!$B$31+'Inputs'!$B$32,'Inputs'!$B$30+'Inputs'!$B$31+'Inputs'!$B$32)/1000+'Inputs'!$B$21)+'Inputs'!$B$9)^2+('Inputs'!$B$8/2)^2)-(((1040-43)*MAX('Inputs'!$B$33,'Inputs'!$B$29+'Inputs'!$B$31+'Inputs'!$B$32,'Inputs'!$B$30+'Inputs'!$B$31+'Inputs'!$B$32)/1000+'Inputs'!$B$21))/SQRT((((1040-43)*MAX('Inputs'!$B$33,'Inputs'!$B$29+'Inputs'!$B$31+'Inputs'!$B$32,'Inputs'!$B$30+'Inputs'!$B$31+'Inputs'!$B$32)/1000+'Inputs'!$B$21))^2+('Inputs'!$B$8/2)^2)))-'Results'!B7*(1+'Inputs'!$B$24)*(0.5*((((1040-43)*MAX('Inputs'!$B$33,'Inputs'!$B$29+'Inputs'!$B$31+'Inputs'!$B$32,'Inputs'!$B$30+'Inputs'!$B$31+'Inputs'!$B$32)/1000+'Inputs'!$B$21+'Inputs'!$B$9+'Inputs'!$B$10)+'Inputs'!$B$7)/SQRT((((1040-43)*MAX('Inputs'!$B$33,'Inputs'!$B$29+'Inputs'!$B$31+'Inputs'!$B$32,'Inputs'!$B$30+'Inputs'!$B$31+'Inputs'!$B$32)/1000+'Inputs'!$B$21+'Inputs'!$B$9+'Inputs'!$B$10)+'Inputs'!$B$7)^2+('Inputs'!$B$6/2)^2)-(((1040-43)*MAX('Inputs'!$B$33,'Inputs'!$B$29+'Inputs'!$B$31+'Inputs'!$B$32,'Inputs'!$B$30+'Inputs'!$B$31+'Inputs'!$B$32)/1000+'Inputs'!$B$21+'Inputs'!$B$9+'Inputs'!$B$10))/SQRT((((1040-43)*MAX('Inputs'!$B$33,'Inputs'!$B$29+'Inputs'!$B$31+'Inputs'!$B$32,'Inputs'!$B$30+'Inputs'!$B$31+'Inputs'!$B$32)/1000+'Inputs'!$B$21+'Inputs'!$B$9+'Inputs'!$B$10))^2+('Inputs'!$B$6/2)^2))))*'Results'!$B$8)-'Inputs'!$B$28*ABS((('Results'!C7*(1-'Inputs'!$B$24)*(0.5*((((1040-43)*MAX('Inputs'!$B$33,'Inputs'!$B$29+'Inputs'!$B$31+'Inputs'!$B$32,'Inputs'!$B$30+'Inputs'!$B$31+'Inputs'!$B$32)/1000+'Inputs'!$B$21)+'Inputs'!$B$9)/SQRT((((1040-43)*MAX('Inputs'!$B$33,'Inputs'!$B$29+'Inputs'!$B$31+'Inputs'!$B$32,'Inputs'!$B$30+'Inputs'!$B$31+'Inputs'!$B$32)/1000+'Inputs'!$B$21)+'Inputs'!$B$9)^2+('Inputs'!$B$8/2)^2)-(((1040-43)*MAX('Inputs'!$B$33,'Inputs'!$B$29+'Inputs'!$B$31+'Inputs'!$B$32,'Inputs'!$B$30+'Inputs'!$B$31+'Inputs'!$B$32)/1000+'Inputs'!$B$21))/SQRT((((1040-43)*MAX('Inputs'!$B$33,'Inputs'!$B$29+'Inputs'!$B$31+'Inputs'!$B$32,'Inputs'!$B$30+'Inputs'!$B$31+'Inputs'!$B$32)/1000+'Inputs'!$B$21))^2+('Inputs'!$B$8/2)^2)))-'Results'!B7*(1+'Inputs'!$B$24)*(0.5*((((1040-43)*MAX('Inputs'!$B$33,'Inputs'!$B$29+'Inputs'!$B$31+'Inputs'!$B$32,'Inputs'!$B$30+'Inputs'!$B$31+'Inputs'!$B$32)/1000+'Inputs'!$B$21+'Inputs'!$B$9+'Inputs'!$B$10)+'Inputs'!$B$7)/SQRT((((1040-43)*MAX('Inputs'!$B$33,'Inputs'!$B$29+'Inputs'!$B$31+'Inputs'!$B$32,'Inputs'!$B$30+'Inputs'!$B$31+'Inputs'!$B$32)/1000+'Inputs'!$B$21+'Inputs'!$B$9+'Inputs'!$B$10)+'Inputs'!$B$7)^2+('Inputs'!$B$6/2)^2)-(((1040-43)*MAX('Inputs'!$B$33,'Inputs'!$B$29+'Inputs'!$B$31+'Inputs'!$B$32,'Inputs'!$B$30+'Inputs'!$B$31+'Inputs'!$B$32)/1000+'Inputs'!$B$21+'Inputs'!$B$9+'Inputs'!$B$10))/SQRT((((1040-43)*MAX('Inputs'!$B$33,'Inputs'!$B$29+'Inputs'!$B$31+'Inputs'!$B$32,'Inputs'!$B$30+'Inputs'!$B$31+'Inputs'!$B$32)/1000+'Inputs'!$B$21+'Inputs'!$B$9+'Inputs'!$B$10))^2+('Inputs'!$B$6/2)^2))))*'Results'!$B$8))),"")</x:f>
        <x:v>0.26111356594209284</x:v>
      </x:c>
      <x:c r="O1040" t="n">
        <x:f>IF(AND(ISNUMBER('Results'!C7),ISNUMBER('Results'!B7),ISNUMBER('Results'!$B$8),ISNUMBER('Inputs'!$B$6),ISNUMBER('Inputs'!$B$7),ISNUMBER('Inputs'!$B$8),ISNUMBER('Inputs'!$B$9),ISNUMBER('Inputs'!$B$10),ISNUMBER('Inputs'!$B$21),ISNUMBER('Inputs'!$B$24),ISNUMBER('Inputs'!$B$28)),((('Results'!C7*(1+'Inputs'!$B$24)*(0.5*((((1040-43)*MAX('Inputs'!$B$33,'Inputs'!$B$29+'Inputs'!$B$31+'Inputs'!$B$32,'Inputs'!$B$30+'Inputs'!$B$31+'Inputs'!$B$32)/1000+'Inputs'!$B$21)+'Inputs'!$B$9)/SQRT((((1040-43)*MAX('Inputs'!$B$33,'Inputs'!$B$29+'Inputs'!$B$31+'Inputs'!$B$32,'Inputs'!$B$30+'Inputs'!$B$31+'Inputs'!$B$32)/1000+'Inputs'!$B$21)+'Inputs'!$B$9)^2+('Inputs'!$B$8/2)^2)-(((1040-43)*MAX('Inputs'!$B$33,'Inputs'!$B$29+'Inputs'!$B$31+'Inputs'!$B$32,'Inputs'!$B$30+'Inputs'!$B$31+'Inputs'!$B$32)/1000+'Inputs'!$B$21))/SQRT((((1040-43)*MAX('Inputs'!$B$33,'Inputs'!$B$29+'Inputs'!$B$31+'Inputs'!$B$32,'Inputs'!$B$30+'Inputs'!$B$31+'Inputs'!$B$32)/1000+'Inputs'!$B$21))^2+('Inputs'!$B$8/2)^2)))-'Results'!B7*(1-'Inputs'!$B$24)*(0.5*((((1040-43)*MAX('Inputs'!$B$33,'Inputs'!$B$29+'Inputs'!$B$31+'Inputs'!$B$32,'Inputs'!$B$30+'Inputs'!$B$31+'Inputs'!$B$32)/1000+'Inputs'!$B$21+'Inputs'!$B$9+'Inputs'!$B$10)+'Inputs'!$B$7)/SQRT((((1040-43)*MAX('Inputs'!$B$33,'Inputs'!$B$29+'Inputs'!$B$31+'Inputs'!$B$32,'Inputs'!$B$30+'Inputs'!$B$31+'Inputs'!$B$32)/1000+'Inputs'!$B$21+'Inputs'!$B$9+'Inputs'!$B$10)+'Inputs'!$B$7)^2+('Inputs'!$B$6/2)^2)-(((1040-43)*MAX('Inputs'!$B$33,'Inputs'!$B$29+'Inputs'!$B$31+'Inputs'!$B$32,'Inputs'!$B$30+'Inputs'!$B$31+'Inputs'!$B$32)/1000+'Inputs'!$B$21+'Inputs'!$B$9+'Inputs'!$B$10))/SQRT((((1040-43)*MAX('Inputs'!$B$33,'Inputs'!$B$29+'Inputs'!$B$31+'Inputs'!$B$32,'Inputs'!$B$30+'Inputs'!$B$31+'Inputs'!$B$32)/1000+'Inputs'!$B$21+'Inputs'!$B$9+'Inputs'!$B$10))^2+('Inputs'!$B$6/2)^2))))*'Results'!$B$8)+'Inputs'!$B$28*ABS((('Results'!C7*(1+'Inputs'!$B$24)*(0.5*((((1040-43)*MAX('Inputs'!$B$33,'Inputs'!$B$29+'Inputs'!$B$31+'Inputs'!$B$32,'Inputs'!$B$30+'Inputs'!$B$31+'Inputs'!$B$32)/1000+'Inputs'!$B$21)+'Inputs'!$B$9)/SQRT((((1040-43)*MAX('Inputs'!$B$33,'Inputs'!$B$29+'Inputs'!$B$31+'Inputs'!$B$32,'Inputs'!$B$30+'Inputs'!$B$31+'Inputs'!$B$32)/1000+'Inputs'!$B$21)+'Inputs'!$B$9)^2+('Inputs'!$B$8/2)^2)-(((1040-43)*MAX('Inputs'!$B$33,'Inputs'!$B$29+'Inputs'!$B$31+'Inputs'!$B$32,'Inputs'!$B$30+'Inputs'!$B$31+'Inputs'!$B$32)/1000+'Inputs'!$B$21))/SQRT((((1040-43)*MAX('Inputs'!$B$33,'Inputs'!$B$29+'Inputs'!$B$31+'Inputs'!$B$32,'Inputs'!$B$30+'Inputs'!$B$31+'Inputs'!$B$32)/1000+'Inputs'!$B$21))^2+('Inputs'!$B$8/2)^2)))-'Results'!B7*(1-'Inputs'!$B$24)*(0.5*((((1040-43)*MAX('Inputs'!$B$33,'Inputs'!$B$29+'Inputs'!$B$31+'Inputs'!$B$32,'Inputs'!$B$30+'Inputs'!$B$31+'Inputs'!$B$32)/1000+'Inputs'!$B$21+'Inputs'!$B$9+'Inputs'!$B$10)+'Inputs'!$B$7)/SQRT((((1040-43)*MAX('Inputs'!$B$33,'Inputs'!$B$29+'Inputs'!$B$31+'Inputs'!$B$32,'Inputs'!$B$30+'Inputs'!$B$31+'Inputs'!$B$32)/1000+'Inputs'!$B$21+'Inputs'!$B$9+'Inputs'!$B$10)+'Inputs'!$B$7)^2+('Inputs'!$B$6/2)^2)-(((1040-43)*MAX('Inputs'!$B$33,'Inputs'!$B$29+'Inputs'!$B$31+'Inputs'!$B$32,'Inputs'!$B$30+'Inputs'!$B$31+'Inputs'!$B$32)/1000+'Inputs'!$B$21+'Inputs'!$B$9+'Inputs'!$B$10))/SQRT((((1040-43)*MAX('Inputs'!$B$33,'Inputs'!$B$29+'Inputs'!$B$31+'Inputs'!$B$32,'Inputs'!$B$30+'Inputs'!$B$31+'Inputs'!$B$32)/1000+'Inputs'!$B$21+'Inputs'!$B$9+'Inputs'!$B$10))^2+('Inputs'!$B$6/2)^2))))*'Results'!$B$8))),"")</x:f>
        <x:v>0.3785781287494659</x:v>
      </x:c>
      <x:c r="P1040" t="n">
        <x:f>IF(AND(MAX(J1040,J1039)&gt;0,J1040&gt;J1039+0.00000001),1,0)</x:f>
        <x:v>0</x:v>
      </x:c>
      <x:c r="Q1040" t="n">
        <x:f>IF(AND(MAX(K1040,K1039)&gt;0,K1040&gt;K1039+0.00000001),1,0)</x:f>
        <x:v>0</x:v>
      </x:c>
      <x:c r="R1040" t="n">
        <x:f>IF(AND(MAX(L1040,L1039)&gt;0,L1040&gt;L1039+0.00000001),1,0)</x:f>
        <x:v>0</x:v>
      </x:c>
      <x:c r="S1040" t="n">
        <x:f>IF(AND(MAX(M1040,M1039)&gt;0,M1040&gt;M1039+0.00000001),1,0)</x:f>
        <x:v>0</x:v>
      </x:c>
      <x:c r="T1040" t="n">
        <x:f>IF(AND(MAX(N1040,N1039)&gt;0,N1040&gt;N1039+0.00000001),1,0)</x:f>
        <x:v>0</x:v>
      </x:c>
      <x:c r="U1040" t="n">
        <x:f>IF(AND(MAX(O1040,O1039)&gt;0,O1040&gt;O1039+0.00000001),1,0)</x:f>
        <x:v>0</x:v>
      </x:c>
    </x:row>
    <x:row r="1041">
      <x:c r="J1041" t="n">
        <x:f>IF(AND(ISNUMBER('Results'!B7),ISNUMBER('Results'!C7),ISNUMBER('Results'!$B$8),ISNUMBER('Inputs'!$B$6),ISNUMBER('Inputs'!$B$7),ISNUMBER('Inputs'!$B$8),ISNUMBER('Inputs'!$B$9),ISNUMBER('Inputs'!$B$10),ISNUMBER('Inputs'!$B$21),ISNUMBER('Inputs'!$B$24),ISNUMBER('Inputs'!$B$28)),(('Results'!B7*(0.5*((((1041-43)*MAX('Inputs'!$B$33,'Inputs'!$B$29+'Inputs'!$B$31+'Inputs'!$B$32,'Inputs'!$B$30+'Inputs'!$B$31+'Inputs'!$B$32)/1000+'Inputs'!$B$21)+'Inputs'!$B$7)/SQRT((((1041-43)*MAX('Inputs'!$B$33,'Inputs'!$B$29+'Inputs'!$B$31+'Inputs'!$B$32,'Inputs'!$B$30+'Inputs'!$B$31+'Inputs'!$B$32)/1000+'Inputs'!$B$21)+'Inputs'!$B$7)^2+('Inputs'!$B$6/2)^2)-(((1041-43)*MAX('Inputs'!$B$33,'Inputs'!$B$29+'Inputs'!$B$31+'Inputs'!$B$32,'Inputs'!$B$30+'Inputs'!$B$31+'Inputs'!$B$32)/1000+'Inputs'!$B$21))/SQRT((((1041-43)*MAX('Inputs'!$B$33,'Inputs'!$B$29+'Inputs'!$B$31+'Inputs'!$B$32,'Inputs'!$B$30+'Inputs'!$B$31+'Inputs'!$B$32)/1000+'Inputs'!$B$21))^2+('Inputs'!$B$6/2)^2)))-'Results'!C7*(0.5*((((1041-43)*MAX('Inputs'!$B$33,'Inputs'!$B$29+'Inputs'!$B$31+'Inputs'!$B$32,'Inputs'!$B$30+'Inputs'!$B$31+'Inputs'!$B$32)/1000+'Inputs'!$B$21+'Inputs'!$B$7+'Inputs'!$B$10)+'Inputs'!$B$9)/SQRT((((1041-43)*MAX('Inputs'!$B$33,'Inputs'!$B$29+'Inputs'!$B$31+'Inputs'!$B$32,'Inputs'!$B$30+'Inputs'!$B$31+'Inputs'!$B$32)/1000+'Inputs'!$B$21+'Inputs'!$B$7+'Inputs'!$B$10)+'Inputs'!$B$9)^2+('Inputs'!$B$8/2)^2)-(((1041-43)*MAX('Inputs'!$B$33,'Inputs'!$B$29+'Inputs'!$B$31+'Inputs'!$B$32,'Inputs'!$B$30+'Inputs'!$B$31+'Inputs'!$B$32)/1000+'Inputs'!$B$21+'Inputs'!$B$7+'Inputs'!$B$10))/SQRT((((1041-43)*MAX('Inputs'!$B$33,'Inputs'!$B$29+'Inputs'!$B$31+'Inputs'!$B$32,'Inputs'!$B$30+'Inputs'!$B$31+'Inputs'!$B$32)/1000+'Inputs'!$B$21+'Inputs'!$B$7+'Inputs'!$B$10))^2+('Inputs'!$B$8/2)^2))))*'Results'!$B$8),"")</x:f>
        <x:v>0.35973305839124997</x:v>
      </x:c>
      <x:c r="K1041" t="n">
        <x:f>IF(AND(ISNUMBER('Results'!B7),ISNUMBER('Results'!C7),ISNUMBER('Results'!$B$8),ISNUMBER('Inputs'!$B$6),ISNUMBER('Inputs'!$B$7),ISNUMBER('Inputs'!$B$8),ISNUMBER('Inputs'!$B$9),ISNUMBER('Inputs'!$B$10),ISNUMBER('Inputs'!$B$21),ISNUMBER('Inputs'!$B$24),ISNUMBER('Inputs'!$B$28)),((('Results'!B7*(1-'Inputs'!$B$24)*(0.5*((((1041-43)*MAX('Inputs'!$B$33,'Inputs'!$B$29+'Inputs'!$B$31+'Inputs'!$B$32,'Inputs'!$B$30+'Inputs'!$B$31+'Inputs'!$B$32)/1000+'Inputs'!$B$21)+'Inputs'!$B$7)/SQRT((((1041-43)*MAX('Inputs'!$B$33,'Inputs'!$B$29+'Inputs'!$B$31+'Inputs'!$B$32,'Inputs'!$B$30+'Inputs'!$B$31+'Inputs'!$B$32)/1000+'Inputs'!$B$21)+'Inputs'!$B$7)^2+('Inputs'!$B$6/2)^2)-(((1041-43)*MAX('Inputs'!$B$33,'Inputs'!$B$29+'Inputs'!$B$31+'Inputs'!$B$32,'Inputs'!$B$30+'Inputs'!$B$31+'Inputs'!$B$32)/1000+'Inputs'!$B$21))/SQRT((((1041-43)*MAX('Inputs'!$B$33,'Inputs'!$B$29+'Inputs'!$B$31+'Inputs'!$B$32,'Inputs'!$B$30+'Inputs'!$B$31+'Inputs'!$B$32)/1000+'Inputs'!$B$21))^2+('Inputs'!$B$6/2)^2)))-'Results'!C7*(1+'Inputs'!$B$24)*(0.5*((((1041-43)*MAX('Inputs'!$B$33,'Inputs'!$B$29+'Inputs'!$B$31+'Inputs'!$B$32,'Inputs'!$B$30+'Inputs'!$B$31+'Inputs'!$B$32)/1000+'Inputs'!$B$21+'Inputs'!$B$7+'Inputs'!$B$10)+'Inputs'!$B$9)/SQRT((((1041-43)*MAX('Inputs'!$B$33,'Inputs'!$B$29+'Inputs'!$B$31+'Inputs'!$B$32,'Inputs'!$B$30+'Inputs'!$B$31+'Inputs'!$B$32)/1000+'Inputs'!$B$21+'Inputs'!$B$7+'Inputs'!$B$10)+'Inputs'!$B$9)^2+('Inputs'!$B$8/2)^2)-(((1041-43)*MAX('Inputs'!$B$33,'Inputs'!$B$29+'Inputs'!$B$31+'Inputs'!$B$32,'Inputs'!$B$30+'Inputs'!$B$31+'Inputs'!$B$32)/1000+'Inputs'!$B$21+'Inputs'!$B$7+'Inputs'!$B$10))/SQRT((((1041-43)*MAX('Inputs'!$B$33,'Inputs'!$B$29+'Inputs'!$B$31+'Inputs'!$B$32,'Inputs'!$B$30+'Inputs'!$B$31+'Inputs'!$B$32)/1000+'Inputs'!$B$21+'Inputs'!$B$7+'Inputs'!$B$10))^2+('Inputs'!$B$8/2)^2))))*'Results'!$B$8)-'Inputs'!$B$28*ABS((('Results'!B7*(1-'Inputs'!$B$24)*(0.5*((((1041-43)*MAX('Inputs'!$B$33,'Inputs'!$B$29+'Inputs'!$B$31+'Inputs'!$B$32,'Inputs'!$B$30+'Inputs'!$B$31+'Inputs'!$B$32)/1000+'Inputs'!$B$21)+'Inputs'!$B$7)/SQRT((((1041-43)*MAX('Inputs'!$B$33,'Inputs'!$B$29+'Inputs'!$B$31+'Inputs'!$B$32,'Inputs'!$B$30+'Inputs'!$B$31+'Inputs'!$B$32)/1000+'Inputs'!$B$21)+'Inputs'!$B$7)^2+('Inputs'!$B$6/2)^2)-(((1041-43)*MAX('Inputs'!$B$33,'Inputs'!$B$29+'Inputs'!$B$31+'Inputs'!$B$32,'Inputs'!$B$30+'Inputs'!$B$31+'Inputs'!$B$32)/1000+'Inputs'!$B$21))/SQRT((((1041-43)*MAX('Inputs'!$B$33,'Inputs'!$B$29+'Inputs'!$B$31+'Inputs'!$B$32,'Inputs'!$B$30+'Inputs'!$B$31+'Inputs'!$B$32)/1000+'Inputs'!$B$21))^2+('Inputs'!$B$6/2)^2)))-'Results'!C7*(1+'Inputs'!$B$24)*(0.5*((((1041-43)*MAX('Inputs'!$B$33,'Inputs'!$B$29+'Inputs'!$B$31+'Inputs'!$B$32,'Inputs'!$B$30+'Inputs'!$B$31+'Inputs'!$B$32)/1000+'Inputs'!$B$21+'Inputs'!$B$7+'Inputs'!$B$10)+'Inputs'!$B$9)/SQRT((((1041-43)*MAX('Inputs'!$B$33,'Inputs'!$B$29+'Inputs'!$B$31+'Inputs'!$B$32,'Inputs'!$B$30+'Inputs'!$B$31+'Inputs'!$B$32)/1000+'Inputs'!$B$21+'Inputs'!$B$7+'Inputs'!$B$10)+'Inputs'!$B$9)^2+('Inputs'!$B$8/2)^2)-(((1041-43)*MAX('Inputs'!$B$33,'Inputs'!$B$29+'Inputs'!$B$31+'Inputs'!$B$32,'Inputs'!$B$30+'Inputs'!$B$31+'Inputs'!$B$32)/1000+'Inputs'!$B$21+'Inputs'!$B$7+'Inputs'!$B$10))/SQRT((((1041-43)*MAX('Inputs'!$B$33,'Inputs'!$B$29+'Inputs'!$B$31+'Inputs'!$B$32,'Inputs'!$B$30+'Inputs'!$B$31+'Inputs'!$B$32)/1000+'Inputs'!$B$21+'Inputs'!$B$7+'Inputs'!$B$10))^2+('Inputs'!$B$8/2)^2))))*'Results'!$B$8))),"")</x:f>
        <x:v>0.3010259747326431</x:v>
      </x:c>
      <x:c r="L1041" t="n">
        <x:f>IF(AND(ISNUMBER('Results'!B7),ISNUMBER('Results'!C7),ISNUMBER('Results'!$B$8),ISNUMBER('Inputs'!$B$6),ISNUMBER('Inputs'!$B$7),ISNUMBER('Inputs'!$B$8),ISNUMBER('Inputs'!$B$9),ISNUMBER('Inputs'!$B$10),ISNUMBER('Inputs'!$B$21),ISNUMBER('Inputs'!$B$24),ISNUMBER('Inputs'!$B$28)),((('Results'!B7*(1+'Inputs'!$B$24)*(0.5*((((1041-43)*MAX('Inputs'!$B$33,'Inputs'!$B$29+'Inputs'!$B$31+'Inputs'!$B$32,'Inputs'!$B$30+'Inputs'!$B$31+'Inputs'!$B$32)/1000+'Inputs'!$B$21)+'Inputs'!$B$7)/SQRT((((1041-43)*MAX('Inputs'!$B$33,'Inputs'!$B$29+'Inputs'!$B$31+'Inputs'!$B$32,'Inputs'!$B$30+'Inputs'!$B$31+'Inputs'!$B$32)/1000+'Inputs'!$B$21)+'Inputs'!$B$7)^2+('Inputs'!$B$6/2)^2)-(((1041-43)*MAX('Inputs'!$B$33,'Inputs'!$B$29+'Inputs'!$B$31+'Inputs'!$B$32,'Inputs'!$B$30+'Inputs'!$B$31+'Inputs'!$B$32)/1000+'Inputs'!$B$21))/SQRT((((1041-43)*MAX('Inputs'!$B$33,'Inputs'!$B$29+'Inputs'!$B$31+'Inputs'!$B$32,'Inputs'!$B$30+'Inputs'!$B$31+'Inputs'!$B$32)/1000+'Inputs'!$B$21))^2+('Inputs'!$B$6/2)^2)))-'Results'!C7*(1-'Inputs'!$B$24)*(0.5*((((1041-43)*MAX('Inputs'!$B$33,'Inputs'!$B$29+'Inputs'!$B$31+'Inputs'!$B$32,'Inputs'!$B$30+'Inputs'!$B$31+'Inputs'!$B$32)/1000+'Inputs'!$B$21+'Inputs'!$B$7+'Inputs'!$B$10)+'Inputs'!$B$9)/SQRT((((1041-43)*MAX('Inputs'!$B$33,'Inputs'!$B$29+'Inputs'!$B$31+'Inputs'!$B$32,'Inputs'!$B$30+'Inputs'!$B$31+'Inputs'!$B$32)/1000+'Inputs'!$B$21+'Inputs'!$B$7+'Inputs'!$B$10)+'Inputs'!$B$9)^2+('Inputs'!$B$8/2)^2)-(((1041-43)*MAX('Inputs'!$B$33,'Inputs'!$B$29+'Inputs'!$B$31+'Inputs'!$B$32,'Inputs'!$B$30+'Inputs'!$B$31+'Inputs'!$B$32)/1000+'Inputs'!$B$21+'Inputs'!$B$7+'Inputs'!$B$10))/SQRT((((1041-43)*MAX('Inputs'!$B$33,'Inputs'!$B$29+'Inputs'!$B$31+'Inputs'!$B$32,'Inputs'!$B$30+'Inputs'!$B$31+'Inputs'!$B$32)/1000+'Inputs'!$B$21+'Inputs'!$B$7+'Inputs'!$B$10))^2+('Inputs'!$B$8/2)^2))))*'Results'!$B$8)+'Inputs'!$B$28*ABS((('Results'!B7*(1+'Inputs'!$B$24)*(0.5*((((1041-43)*MAX('Inputs'!$B$33,'Inputs'!$B$29+'Inputs'!$B$31+'Inputs'!$B$32,'Inputs'!$B$30+'Inputs'!$B$31+'Inputs'!$B$32)/1000+'Inputs'!$B$21)+'Inputs'!$B$7)/SQRT((((1041-43)*MAX('Inputs'!$B$33,'Inputs'!$B$29+'Inputs'!$B$31+'Inputs'!$B$32,'Inputs'!$B$30+'Inputs'!$B$31+'Inputs'!$B$32)/1000+'Inputs'!$B$21)+'Inputs'!$B$7)^2+('Inputs'!$B$6/2)^2)-(((1041-43)*MAX('Inputs'!$B$33,'Inputs'!$B$29+'Inputs'!$B$31+'Inputs'!$B$32,'Inputs'!$B$30+'Inputs'!$B$31+'Inputs'!$B$32)/1000+'Inputs'!$B$21))/SQRT((((1041-43)*MAX('Inputs'!$B$33,'Inputs'!$B$29+'Inputs'!$B$31+'Inputs'!$B$32,'Inputs'!$B$30+'Inputs'!$B$31+'Inputs'!$B$32)/1000+'Inputs'!$B$21))^2+('Inputs'!$B$6/2)^2)))-'Results'!C7*(1-'Inputs'!$B$24)*(0.5*((((1041-43)*MAX('Inputs'!$B$33,'Inputs'!$B$29+'Inputs'!$B$31+'Inputs'!$B$32,'Inputs'!$B$30+'Inputs'!$B$31+'Inputs'!$B$32)/1000+'Inputs'!$B$21+'Inputs'!$B$7+'Inputs'!$B$10)+'Inputs'!$B$9)/SQRT((((1041-43)*MAX('Inputs'!$B$33,'Inputs'!$B$29+'Inputs'!$B$31+'Inputs'!$B$32,'Inputs'!$B$30+'Inputs'!$B$31+'Inputs'!$B$32)/1000+'Inputs'!$B$21+'Inputs'!$B$7+'Inputs'!$B$10)+'Inputs'!$B$9)^2+('Inputs'!$B$8/2)^2)-(((1041-43)*MAX('Inputs'!$B$33,'Inputs'!$B$29+'Inputs'!$B$31+'Inputs'!$B$32,'Inputs'!$B$30+'Inputs'!$B$31+'Inputs'!$B$32)/1000+'Inputs'!$B$21+'Inputs'!$B$7+'Inputs'!$B$10))/SQRT((((1041-43)*MAX('Inputs'!$B$33,'Inputs'!$B$29+'Inputs'!$B$31+'Inputs'!$B$32,'Inputs'!$B$30+'Inputs'!$B$31+'Inputs'!$B$32)/1000+'Inputs'!$B$21+'Inputs'!$B$7+'Inputs'!$B$10))^2+('Inputs'!$B$8/2)^2))))*'Results'!$B$8))),"")</x:f>
        <x:v>0.42272650318028243</x:v>
      </x:c>
      <x:c r="M1041" t="n">
        <x:f>IF(AND(ISNUMBER('Results'!C7),ISNUMBER('Results'!B7),ISNUMBER('Results'!$B$8),ISNUMBER('Inputs'!$B$6),ISNUMBER('Inputs'!$B$7),ISNUMBER('Inputs'!$B$8),ISNUMBER('Inputs'!$B$9),ISNUMBER('Inputs'!$B$10),ISNUMBER('Inputs'!$B$21),ISNUMBER('Inputs'!$B$24),ISNUMBER('Inputs'!$B$28)),(('Results'!C7*(0.5*((((1041-43)*MAX('Inputs'!$B$33,'Inputs'!$B$29+'Inputs'!$B$31+'Inputs'!$B$32,'Inputs'!$B$30+'Inputs'!$B$31+'Inputs'!$B$32)/1000+'Inputs'!$B$21)+'Inputs'!$B$9)/SQRT((((1041-43)*MAX('Inputs'!$B$33,'Inputs'!$B$29+'Inputs'!$B$31+'Inputs'!$B$32,'Inputs'!$B$30+'Inputs'!$B$31+'Inputs'!$B$32)/1000+'Inputs'!$B$21)+'Inputs'!$B$9)^2+('Inputs'!$B$8/2)^2)-(((1041-43)*MAX('Inputs'!$B$33,'Inputs'!$B$29+'Inputs'!$B$31+'Inputs'!$B$32,'Inputs'!$B$30+'Inputs'!$B$31+'Inputs'!$B$32)/1000+'Inputs'!$B$21))/SQRT((((1041-43)*MAX('Inputs'!$B$33,'Inputs'!$B$29+'Inputs'!$B$31+'Inputs'!$B$32,'Inputs'!$B$30+'Inputs'!$B$31+'Inputs'!$B$32)/1000+'Inputs'!$B$21))^2+('Inputs'!$B$8/2)^2)))-'Results'!B7*(0.5*((((1041-43)*MAX('Inputs'!$B$33,'Inputs'!$B$29+'Inputs'!$B$31+'Inputs'!$B$32,'Inputs'!$B$30+'Inputs'!$B$31+'Inputs'!$B$32)/1000+'Inputs'!$B$21+'Inputs'!$B$9+'Inputs'!$B$10)+'Inputs'!$B$7)/SQRT((((1041-43)*MAX('Inputs'!$B$33,'Inputs'!$B$29+'Inputs'!$B$31+'Inputs'!$B$32,'Inputs'!$B$30+'Inputs'!$B$31+'Inputs'!$B$32)/1000+'Inputs'!$B$21+'Inputs'!$B$9+'Inputs'!$B$10)+'Inputs'!$B$7)^2+('Inputs'!$B$6/2)^2)-(((1041-43)*MAX('Inputs'!$B$33,'Inputs'!$B$29+'Inputs'!$B$31+'Inputs'!$B$32,'Inputs'!$B$30+'Inputs'!$B$31+'Inputs'!$B$32)/1000+'Inputs'!$B$21+'Inputs'!$B$9+'Inputs'!$B$10))/SQRT((((1041-43)*MAX('Inputs'!$B$33,'Inputs'!$B$29+'Inputs'!$B$31+'Inputs'!$B$32,'Inputs'!$B$30+'Inputs'!$B$31+'Inputs'!$B$32)/1000+'Inputs'!$B$21+'Inputs'!$B$9+'Inputs'!$B$10))^2+('Inputs'!$B$6/2)^2))))*'Results'!$B$8),"")</x:f>
        <x:v>0.3165054782080496</x:v>
      </x:c>
      <x:c r="N1041" t="n">
        <x:f>IF(AND(ISNUMBER('Results'!C7),ISNUMBER('Results'!B7),ISNUMBER('Results'!$B$8),ISNUMBER('Inputs'!$B$6),ISNUMBER('Inputs'!$B$7),ISNUMBER('Inputs'!$B$8),ISNUMBER('Inputs'!$B$9),ISNUMBER('Inputs'!$B$10),ISNUMBER('Inputs'!$B$21),ISNUMBER('Inputs'!$B$24),ISNUMBER('Inputs'!$B$28)),((('Results'!C7*(1-'Inputs'!$B$24)*(0.5*((((1041-43)*MAX('Inputs'!$B$33,'Inputs'!$B$29+'Inputs'!$B$31+'Inputs'!$B$32,'Inputs'!$B$30+'Inputs'!$B$31+'Inputs'!$B$32)/1000+'Inputs'!$B$21)+'Inputs'!$B$9)/SQRT((((1041-43)*MAX('Inputs'!$B$33,'Inputs'!$B$29+'Inputs'!$B$31+'Inputs'!$B$32,'Inputs'!$B$30+'Inputs'!$B$31+'Inputs'!$B$32)/1000+'Inputs'!$B$21)+'Inputs'!$B$9)^2+('Inputs'!$B$8/2)^2)-(((1041-43)*MAX('Inputs'!$B$33,'Inputs'!$B$29+'Inputs'!$B$31+'Inputs'!$B$32,'Inputs'!$B$30+'Inputs'!$B$31+'Inputs'!$B$32)/1000+'Inputs'!$B$21))/SQRT((((1041-43)*MAX('Inputs'!$B$33,'Inputs'!$B$29+'Inputs'!$B$31+'Inputs'!$B$32,'Inputs'!$B$30+'Inputs'!$B$31+'Inputs'!$B$32)/1000+'Inputs'!$B$21))^2+('Inputs'!$B$8/2)^2)))-'Results'!B7*(1+'Inputs'!$B$24)*(0.5*((((1041-43)*MAX('Inputs'!$B$33,'Inputs'!$B$29+'Inputs'!$B$31+'Inputs'!$B$32,'Inputs'!$B$30+'Inputs'!$B$31+'Inputs'!$B$32)/1000+'Inputs'!$B$21+'Inputs'!$B$9+'Inputs'!$B$10)+'Inputs'!$B$7)/SQRT((((1041-43)*MAX('Inputs'!$B$33,'Inputs'!$B$29+'Inputs'!$B$31+'Inputs'!$B$32,'Inputs'!$B$30+'Inputs'!$B$31+'Inputs'!$B$32)/1000+'Inputs'!$B$21+'Inputs'!$B$9+'Inputs'!$B$10)+'Inputs'!$B$7)^2+('Inputs'!$B$6/2)^2)-(((1041-43)*MAX('Inputs'!$B$33,'Inputs'!$B$29+'Inputs'!$B$31+'Inputs'!$B$32,'Inputs'!$B$30+'Inputs'!$B$31+'Inputs'!$B$32)/1000+'Inputs'!$B$21+'Inputs'!$B$9+'Inputs'!$B$10))/SQRT((((1041-43)*MAX('Inputs'!$B$33,'Inputs'!$B$29+'Inputs'!$B$31+'Inputs'!$B$32,'Inputs'!$B$30+'Inputs'!$B$31+'Inputs'!$B$32)/1000+'Inputs'!$B$21+'Inputs'!$B$9+'Inputs'!$B$10))^2+('Inputs'!$B$6/2)^2))))*'Results'!$B$8)-'Inputs'!$B$28*ABS((('Results'!C7*(1-'Inputs'!$B$24)*(0.5*((((1041-43)*MAX('Inputs'!$B$33,'Inputs'!$B$29+'Inputs'!$B$31+'Inputs'!$B$32,'Inputs'!$B$30+'Inputs'!$B$31+'Inputs'!$B$32)/1000+'Inputs'!$B$21)+'Inputs'!$B$9)/SQRT((((1041-43)*MAX('Inputs'!$B$33,'Inputs'!$B$29+'Inputs'!$B$31+'Inputs'!$B$32,'Inputs'!$B$30+'Inputs'!$B$31+'Inputs'!$B$32)/1000+'Inputs'!$B$21)+'Inputs'!$B$9)^2+('Inputs'!$B$8/2)^2)-(((1041-43)*MAX('Inputs'!$B$33,'Inputs'!$B$29+'Inputs'!$B$31+'Inputs'!$B$32,'Inputs'!$B$30+'Inputs'!$B$31+'Inputs'!$B$32)/1000+'Inputs'!$B$21))/SQRT((((1041-43)*MAX('Inputs'!$B$33,'Inputs'!$B$29+'Inputs'!$B$31+'Inputs'!$B$32,'Inputs'!$B$30+'Inputs'!$B$31+'Inputs'!$B$32)/1000+'Inputs'!$B$21))^2+('Inputs'!$B$8/2)^2)))-'Results'!B7*(1+'Inputs'!$B$24)*(0.5*((((1041-43)*MAX('Inputs'!$B$33,'Inputs'!$B$29+'Inputs'!$B$31+'Inputs'!$B$32,'Inputs'!$B$30+'Inputs'!$B$31+'Inputs'!$B$32)/1000+'Inputs'!$B$21+'Inputs'!$B$9+'Inputs'!$B$10)+'Inputs'!$B$7)/SQRT((((1041-43)*MAX('Inputs'!$B$33,'Inputs'!$B$29+'Inputs'!$B$31+'Inputs'!$B$32,'Inputs'!$B$30+'Inputs'!$B$31+'Inputs'!$B$32)/1000+'Inputs'!$B$21+'Inputs'!$B$9+'Inputs'!$B$10)+'Inputs'!$B$7)^2+('Inputs'!$B$6/2)^2)-(((1041-43)*MAX('Inputs'!$B$33,'Inputs'!$B$29+'Inputs'!$B$31+'Inputs'!$B$32,'Inputs'!$B$30+'Inputs'!$B$31+'Inputs'!$B$32)/1000+'Inputs'!$B$21+'Inputs'!$B$9+'Inputs'!$B$10))/SQRT((((1041-43)*MAX('Inputs'!$B$33,'Inputs'!$B$29+'Inputs'!$B$31+'Inputs'!$B$32,'Inputs'!$B$30+'Inputs'!$B$31+'Inputs'!$B$32)/1000+'Inputs'!$B$21+'Inputs'!$B$9+'Inputs'!$B$10))^2+('Inputs'!$B$6/2)^2))))*'Results'!$B$8))),"")</x:f>
        <x:v>0.26008955671209155</x:v>
      </x:c>
      <x:c r="O1041" t="n">
        <x:f>IF(AND(ISNUMBER('Results'!C7),ISNUMBER('Results'!B7),ISNUMBER('Results'!$B$8),ISNUMBER('Inputs'!$B$6),ISNUMBER('Inputs'!$B$7),ISNUMBER('Inputs'!$B$8),ISNUMBER('Inputs'!$B$9),ISNUMBER('Inputs'!$B$10),ISNUMBER('Inputs'!$B$21),ISNUMBER('Inputs'!$B$24),ISNUMBER('Inputs'!$B$28)),((('Results'!C7*(1+'Inputs'!$B$24)*(0.5*((((1041-43)*MAX('Inputs'!$B$33,'Inputs'!$B$29+'Inputs'!$B$31+'Inputs'!$B$32,'Inputs'!$B$30+'Inputs'!$B$31+'Inputs'!$B$32)/1000+'Inputs'!$B$21)+'Inputs'!$B$9)/SQRT((((1041-43)*MAX('Inputs'!$B$33,'Inputs'!$B$29+'Inputs'!$B$31+'Inputs'!$B$32,'Inputs'!$B$30+'Inputs'!$B$31+'Inputs'!$B$32)/1000+'Inputs'!$B$21)+'Inputs'!$B$9)^2+('Inputs'!$B$8/2)^2)-(((1041-43)*MAX('Inputs'!$B$33,'Inputs'!$B$29+'Inputs'!$B$31+'Inputs'!$B$32,'Inputs'!$B$30+'Inputs'!$B$31+'Inputs'!$B$32)/1000+'Inputs'!$B$21))/SQRT((((1041-43)*MAX('Inputs'!$B$33,'Inputs'!$B$29+'Inputs'!$B$31+'Inputs'!$B$32,'Inputs'!$B$30+'Inputs'!$B$31+'Inputs'!$B$32)/1000+'Inputs'!$B$21))^2+('Inputs'!$B$8/2)^2)))-'Results'!B7*(1-'Inputs'!$B$24)*(0.5*((((1041-43)*MAX('Inputs'!$B$33,'Inputs'!$B$29+'Inputs'!$B$31+'Inputs'!$B$32,'Inputs'!$B$30+'Inputs'!$B$31+'Inputs'!$B$32)/1000+'Inputs'!$B$21+'Inputs'!$B$9+'Inputs'!$B$10)+'Inputs'!$B$7)/SQRT((((1041-43)*MAX('Inputs'!$B$33,'Inputs'!$B$29+'Inputs'!$B$31+'Inputs'!$B$32,'Inputs'!$B$30+'Inputs'!$B$31+'Inputs'!$B$32)/1000+'Inputs'!$B$21+'Inputs'!$B$9+'Inputs'!$B$10)+'Inputs'!$B$7)^2+('Inputs'!$B$6/2)^2)-(((1041-43)*MAX('Inputs'!$B$33,'Inputs'!$B$29+'Inputs'!$B$31+'Inputs'!$B$32,'Inputs'!$B$30+'Inputs'!$B$31+'Inputs'!$B$32)/1000+'Inputs'!$B$21+'Inputs'!$B$9+'Inputs'!$B$10))/SQRT((((1041-43)*MAX('Inputs'!$B$33,'Inputs'!$B$29+'Inputs'!$B$31+'Inputs'!$B$32,'Inputs'!$B$30+'Inputs'!$B$31+'Inputs'!$B$32)/1000+'Inputs'!$B$21+'Inputs'!$B$9+'Inputs'!$B$10))^2+('Inputs'!$B$6/2)^2))))*'Results'!$B$8)+'Inputs'!$B$28*ABS((('Results'!C7*(1+'Inputs'!$B$24)*(0.5*((((1041-43)*MAX('Inputs'!$B$33,'Inputs'!$B$29+'Inputs'!$B$31+'Inputs'!$B$32,'Inputs'!$B$30+'Inputs'!$B$31+'Inputs'!$B$32)/1000+'Inputs'!$B$21)+'Inputs'!$B$9)/SQRT((((1041-43)*MAX('Inputs'!$B$33,'Inputs'!$B$29+'Inputs'!$B$31+'Inputs'!$B$32,'Inputs'!$B$30+'Inputs'!$B$31+'Inputs'!$B$32)/1000+'Inputs'!$B$21)+'Inputs'!$B$9)^2+('Inputs'!$B$8/2)^2)-(((1041-43)*MAX('Inputs'!$B$33,'Inputs'!$B$29+'Inputs'!$B$31+'Inputs'!$B$32,'Inputs'!$B$30+'Inputs'!$B$31+'Inputs'!$B$32)/1000+'Inputs'!$B$21))/SQRT((((1041-43)*MAX('Inputs'!$B$33,'Inputs'!$B$29+'Inputs'!$B$31+'Inputs'!$B$32,'Inputs'!$B$30+'Inputs'!$B$31+'Inputs'!$B$32)/1000+'Inputs'!$B$21))^2+('Inputs'!$B$8/2)^2)))-'Results'!B7*(1-'Inputs'!$B$24)*(0.5*((((1041-43)*MAX('Inputs'!$B$33,'Inputs'!$B$29+'Inputs'!$B$31+'Inputs'!$B$32,'Inputs'!$B$30+'Inputs'!$B$31+'Inputs'!$B$32)/1000+'Inputs'!$B$21+'Inputs'!$B$9+'Inputs'!$B$10)+'Inputs'!$B$7)/SQRT((((1041-43)*MAX('Inputs'!$B$33,'Inputs'!$B$29+'Inputs'!$B$31+'Inputs'!$B$32,'Inputs'!$B$30+'Inputs'!$B$31+'Inputs'!$B$32)/1000+'Inputs'!$B$21+'Inputs'!$B$9+'Inputs'!$B$10)+'Inputs'!$B$7)^2+('Inputs'!$B$6/2)^2)-(((1041-43)*MAX('Inputs'!$B$33,'Inputs'!$B$29+'Inputs'!$B$31+'Inputs'!$B$32,'Inputs'!$B$30+'Inputs'!$B$31+'Inputs'!$B$32)/1000+'Inputs'!$B$21+'Inputs'!$B$9+'Inputs'!$B$10))/SQRT((((1041-43)*MAX('Inputs'!$B$33,'Inputs'!$B$29+'Inputs'!$B$31+'Inputs'!$B$32,'Inputs'!$B$30+'Inputs'!$B$31+'Inputs'!$B$32)/1000+'Inputs'!$B$21+'Inputs'!$B$9+'Inputs'!$B$10))^2+('Inputs'!$B$6/2)^2))))*'Results'!$B$8))),"")</x:f>
        <x:v>0.37719409944985566</x:v>
      </x:c>
      <x:c r="P1041" t="n">
        <x:f>IF(AND(MAX(J1041,J1040)&gt;0,J1041&gt;J1040+0.00000001),1,0)</x:f>
        <x:v>0</x:v>
      </x:c>
      <x:c r="Q1041" t="n">
        <x:f>IF(AND(MAX(K1041,K1040)&gt;0,K1041&gt;K1040+0.00000001),1,0)</x:f>
        <x:v>0</x:v>
      </x:c>
      <x:c r="R1041" t="n">
        <x:f>IF(AND(MAX(L1041,L1040)&gt;0,L1041&gt;L1040+0.00000001),1,0)</x:f>
        <x:v>0</x:v>
      </x:c>
      <x:c r="S1041" t="n">
        <x:f>IF(AND(MAX(M1041,M1040)&gt;0,M1041&gt;M1040+0.00000001),1,0)</x:f>
        <x:v>0</x:v>
      </x:c>
      <x:c r="T1041" t="n">
        <x:f>IF(AND(MAX(N1041,N1040)&gt;0,N1041&gt;N1040+0.00000001),1,0)</x:f>
        <x:v>0</x:v>
      </x:c>
      <x:c r="U1041" t="n">
        <x:f>IF(AND(MAX(O1041,O1040)&gt;0,O1041&gt;O1040+0.00000001),1,0)</x:f>
        <x:v>0</x:v>
      </x:c>
    </x:row>
    <x:row r="1042">
      <x:c r="J1042" t="n">
        <x:f>IF(AND(ISNUMBER('Results'!B7),ISNUMBER('Results'!C7),ISNUMBER('Results'!$B$8),ISNUMBER('Inputs'!$B$6),ISNUMBER('Inputs'!$B$7),ISNUMBER('Inputs'!$B$8),ISNUMBER('Inputs'!$B$9),ISNUMBER('Inputs'!$B$10),ISNUMBER('Inputs'!$B$21),ISNUMBER('Inputs'!$B$24),ISNUMBER('Inputs'!$B$28)),(('Results'!B7*(0.5*((((1042-43)*MAX('Inputs'!$B$33,'Inputs'!$B$29+'Inputs'!$B$31+'Inputs'!$B$32,'Inputs'!$B$30+'Inputs'!$B$31+'Inputs'!$B$32)/1000+'Inputs'!$B$21)+'Inputs'!$B$7)/SQRT((((1042-43)*MAX('Inputs'!$B$33,'Inputs'!$B$29+'Inputs'!$B$31+'Inputs'!$B$32,'Inputs'!$B$30+'Inputs'!$B$31+'Inputs'!$B$32)/1000+'Inputs'!$B$21)+'Inputs'!$B$7)^2+('Inputs'!$B$6/2)^2)-(((1042-43)*MAX('Inputs'!$B$33,'Inputs'!$B$29+'Inputs'!$B$31+'Inputs'!$B$32,'Inputs'!$B$30+'Inputs'!$B$31+'Inputs'!$B$32)/1000+'Inputs'!$B$21))/SQRT((((1042-43)*MAX('Inputs'!$B$33,'Inputs'!$B$29+'Inputs'!$B$31+'Inputs'!$B$32,'Inputs'!$B$30+'Inputs'!$B$31+'Inputs'!$B$32)/1000+'Inputs'!$B$21))^2+('Inputs'!$B$6/2)^2)))-'Results'!C7*(0.5*((((1042-43)*MAX('Inputs'!$B$33,'Inputs'!$B$29+'Inputs'!$B$31+'Inputs'!$B$32,'Inputs'!$B$30+'Inputs'!$B$31+'Inputs'!$B$32)/1000+'Inputs'!$B$21+'Inputs'!$B$7+'Inputs'!$B$10)+'Inputs'!$B$9)/SQRT((((1042-43)*MAX('Inputs'!$B$33,'Inputs'!$B$29+'Inputs'!$B$31+'Inputs'!$B$32,'Inputs'!$B$30+'Inputs'!$B$31+'Inputs'!$B$32)/1000+'Inputs'!$B$21+'Inputs'!$B$7+'Inputs'!$B$10)+'Inputs'!$B$9)^2+('Inputs'!$B$8/2)^2)-(((1042-43)*MAX('Inputs'!$B$33,'Inputs'!$B$29+'Inputs'!$B$31+'Inputs'!$B$32,'Inputs'!$B$30+'Inputs'!$B$31+'Inputs'!$B$32)/1000+'Inputs'!$B$21+'Inputs'!$B$7+'Inputs'!$B$10))/SQRT((((1042-43)*MAX('Inputs'!$B$33,'Inputs'!$B$29+'Inputs'!$B$31+'Inputs'!$B$32,'Inputs'!$B$30+'Inputs'!$B$31+'Inputs'!$B$32)/1000+'Inputs'!$B$21+'Inputs'!$B$7+'Inputs'!$B$10))^2+('Inputs'!$B$8/2)^2))))*'Results'!$B$8),"")</x:f>
        <x:v>0.358419521428919</x:v>
      </x:c>
      <x:c r="K1042" t="n">
        <x:f>IF(AND(ISNUMBER('Results'!B7),ISNUMBER('Results'!C7),ISNUMBER('Results'!$B$8),ISNUMBER('Inputs'!$B$6),ISNUMBER('Inputs'!$B$7),ISNUMBER('Inputs'!$B$8),ISNUMBER('Inputs'!$B$9),ISNUMBER('Inputs'!$B$10),ISNUMBER('Inputs'!$B$21),ISNUMBER('Inputs'!$B$24),ISNUMBER('Inputs'!$B$28)),((('Results'!B7*(1-'Inputs'!$B$24)*(0.5*((((1042-43)*MAX('Inputs'!$B$33,'Inputs'!$B$29+'Inputs'!$B$31+'Inputs'!$B$32,'Inputs'!$B$30+'Inputs'!$B$31+'Inputs'!$B$32)/1000+'Inputs'!$B$21)+'Inputs'!$B$7)/SQRT((((1042-43)*MAX('Inputs'!$B$33,'Inputs'!$B$29+'Inputs'!$B$31+'Inputs'!$B$32,'Inputs'!$B$30+'Inputs'!$B$31+'Inputs'!$B$32)/1000+'Inputs'!$B$21)+'Inputs'!$B$7)^2+('Inputs'!$B$6/2)^2)-(((1042-43)*MAX('Inputs'!$B$33,'Inputs'!$B$29+'Inputs'!$B$31+'Inputs'!$B$32,'Inputs'!$B$30+'Inputs'!$B$31+'Inputs'!$B$32)/1000+'Inputs'!$B$21))/SQRT((((1042-43)*MAX('Inputs'!$B$33,'Inputs'!$B$29+'Inputs'!$B$31+'Inputs'!$B$32,'Inputs'!$B$30+'Inputs'!$B$31+'Inputs'!$B$32)/1000+'Inputs'!$B$21))^2+('Inputs'!$B$6/2)^2)))-'Results'!C7*(1+'Inputs'!$B$24)*(0.5*((((1042-43)*MAX('Inputs'!$B$33,'Inputs'!$B$29+'Inputs'!$B$31+'Inputs'!$B$32,'Inputs'!$B$30+'Inputs'!$B$31+'Inputs'!$B$32)/1000+'Inputs'!$B$21+'Inputs'!$B$7+'Inputs'!$B$10)+'Inputs'!$B$9)/SQRT((((1042-43)*MAX('Inputs'!$B$33,'Inputs'!$B$29+'Inputs'!$B$31+'Inputs'!$B$32,'Inputs'!$B$30+'Inputs'!$B$31+'Inputs'!$B$32)/1000+'Inputs'!$B$21+'Inputs'!$B$7+'Inputs'!$B$10)+'Inputs'!$B$9)^2+('Inputs'!$B$8/2)^2)-(((1042-43)*MAX('Inputs'!$B$33,'Inputs'!$B$29+'Inputs'!$B$31+'Inputs'!$B$32,'Inputs'!$B$30+'Inputs'!$B$31+'Inputs'!$B$32)/1000+'Inputs'!$B$21+'Inputs'!$B$7+'Inputs'!$B$10))/SQRT((((1042-43)*MAX('Inputs'!$B$33,'Inputs'!$B$29+'Inputs'!$B$31+'Inputs'!$B$32,'Inputs'!$B$30+'Inputs'!$B$31+'Inputs'!$B$32)/1000+'Inputs'!$B$21+'Inputs'!$B$7+'Inputs'!$B$10))^2+('Inputs'!$B$8/2)^2))))*'Results'!$B$8)-'Inputs'!$B$28*ABS((('Results'!B7*(1-'Inputs'!$B$24)*(0.5*((((1042-43)*MAX('Inputs'!$B$33,'Inputs'!$B$29+'Inputs'!$B$31+'Inputs'!$B$32,'Inputs'!$B$30+'Inputs'!$B$31+'Inputs'!$B$32)/1000+'Inputs'!$B$21)+'Inputs'!$B$7)/SQRT((((1042-43)*MAX('Inputs'!$B$33,'Inputs'!$B$29+'Inputs'!$B$31+'Inputs'!$B$32,'Inputs'!$B$30+'Inputs'!$B$31+'Inputs'!$B$32)/1000+'Inputs'!$B$21)+'Inputs'!$B$7)^2+('Inputs'!$B$6/2)^2)-(((1042-43)*MAX('Inputs'!$B$33,'Inputs'!$B$29+'Inputs'!$B$31+'Inputs'!$B$32,'Inputs'!$B$30+'Inputs'!$B$31+'Inputs'!$B$32)/1000+'Inputs'!$B$21))/SQRT((((1042-43)*MAX('Inputs'!$B$33,'Inputs'!$B$29+'Inputs'!$B$31+'Inputs'!$B$32,'Inputs'!$B$30+'Inputs'!$B$31+'Inputs'!$B$32)/1000+'Inputs'!$B$21))^2+('Inputs'!$B$6/2)^2)))-'Results'!C7*(1+'Inputs'!$B$24)*(0.5*((((1042-43)*MAX('Inputs'!$B$33,'Inputs'!$B$29+'Inputs'!$B$31+'Inputs'!$B$32,'Inputs'!$B$30+'Inputs'!$B$31+'Inputs'!$B$32)/1000+'Inputs'!$B$21+'Inputs'!$B$7+'Inputs'!$B$10)+'Inputs'!$B$9)/SQRT((((1042-43)*MAX('Inputs'!$B$33,'Inputs'!$B$29+'Inputs'!$B$31+'Inputs'!$B$32,'Inputs'!$B$30+'Inputs'!$B$31+'Inputs'!$B$32)/1000+'Inputs'!$B$21+'Inputs'!$B$7+'Inputs'!$B$10)+'Inputs'!$B$9)^2+('Inputs'!$B$8/2)^2)-(((1042-43)*MAX('Inputs'!$B$33,'Inputs'!$B$29+'Inputs'!$B$31+'Inputs'!$B$32,'Inputs'!$B$30+'Inputs'!$B$31+'Inputs'!$B$32)/1000+'Inputs'!$B$21+'Inputs'!$B$7+'Inputs'!$B$10))/SQRT((((1042-43)*MAX('Inputs'!$B$33,'Inputs'!$B$29+'Inputs'!$B$31+'Inputs'!$B$32,'Inputs'!$B$30+'Inputs'!$B$31+'Inputs'!$B$32)/1000+'Inputs'!$B$21+'Inputs'!$B$7+'Inputs'!$B$10))^2+('Inputs'!$B$8/2)^2))))*'Results'!$B$8))),"")</x:f>
        <x:v>0.29989227277118435</x:v>
      </x:c>
      <x:c r="L1042" t="n">
        <x:f>IF(AND(ISNUMBER('Results'!B7),ISNUMBER('Results'!C7),ISNUMBER('Results'!$B$8),ISNUMBER('Inputs'!$B$6),ISNUMBER('Inputs'!$B$7),ISNUMBER('Inputs'!$B$8),ISNUMBER('Inputs'!$B$9),ISNUMBER('Inputs'!$B$10),ISNUMBER('Inputs'!$B$21),ISNUMBER('Inputs'!$B$24),ISNUMBER('Inputs'!$B$28)),((('Results'!B7*(1+'Inputs'!$B$24)*(0.5*((((1042-43)*MAX('Inputs'!$B$33,'Inputs'!$B$29+'Inputs'!$B$31+'Inputs'!$B$32,'Inputs'!$B$30+'Inputs'!$B$31+'Inputs'!$B$32)/1000+'Inputs'!$B$21)+'Inputs'!$B$7)/SQRT((((1042-43)*MAX('Inputs'!$B$33,'Inputs'!$B$29+'Inputs'!$B$31+'Inputs'!$B$32,'Inputs'!$B$30+'Inputs'!$B$31+'Inputs'!$B$32)/1000+'Inputs'!$B$21)+'Inputs'!$B$7)^2+('Inputs'!$B$6/2)^2)-(((1042-43)*MAX('Inputs'!$B$33,'Inputs'!$B$29+'Inputs'!$B$31+'Inputs'!$B$32,'Inputs'!$B$30+'Inputs'!$B$31+'Inputs'!$B$32)/1000+'Inputs'!$B$21))/SQRT((((1042-43)*MAX('Inputs'!$B$33,'Inputs'!$B$29+'Inputs'!$B$31+'Inputs'!$B$32,'Inputs'!$B$30+'Inputs'!$B$31+'Inputs'!$B$32)/1000+'Inputs'!$B$21))^2+('Inputs'!$B$6/2)^2)))-'Results'!C7*(1-'Inputs'!$B$24)*(0.5*((((1042-43)*MAX('Inputs'!$B$33,'Inputs'!$B$29+'Inputs'!$B$31+'Inputs'!$B$32,'Inputs'!$B$30+'Inputs'!$B$31+'Inputs'!$B$32)/1000+'Inputs'!$B$21+'Inputs'!$B$7+'Inputs'!$B$10)+'Inputs'!$B$9)/SQRT((((1042-43)*MAX('Inputs'!$B$33,'Inputs'!$B$29+'Inputs'!$B$31+'Inputs'!$B$32,'Inputs'!$B$30+'Inputs'!$B$31+'Inputs'!$B$32)/1000+'Inputs'!$B$21+'Inputs'!$B$7+'Inputs'!$B$10)+'Inputs'!$B$9)^2+('Inputs'!$B$8/2)^2)-(((1042-43)*MAX('Inputs'!$B$33,'Inputs'!$B$29+'Inputs'!$B$31+'Inputs'!$B$32,'Inputs'!$B$30+'Inputs'!$B$31+'Inputs'!$B$32)/1000+'Inputs'!$B$21+'Inputs'!$B$7+'Inputs'!$B$10))/SQRT((((1042-43)*MAX('Inputs'!$B$33,'Inputs'!$B$29+'Inputs'!$B$31+'Inputs'!$B$32,'Inputs'!$B$30+'Inputs'!$B$31+'Inputs'!$B$32)/1000+'Inputs'!$B$21+'Inputs'!$B$7+'Inputs'!$B$10))^2+('Inputs'!$B$8/2)^2))))*'Results'!$B$8)+'Inputs'!$B$28*ABS((('Results'!B7*(1+'Inputs'!$B$24)*(0.5*((((1042-43)*MAX('Inputs'!$B$33,'Inputs'!$B$29+'Inputs'!$B$31+'Inputs'!$B$32,'Inputs'!$B$30+'Inputs'!$B$31+'Inputs'!$B$32)/1000+'Inputs'!$B$21)+'Inputs'!$B$7)/SQRT((((1042-43)*MAX('Inputs'!$B$33,'Inputs'!$B$29+'Inputs'!$B$31+'Inputs'!$B$32,'Inputs'!$B$30+'Inputs'!$B$31+'Inputs'!$B$32)/1000+'Inputs'!$B$21)+'Inputs'!$B$7)^2+('Inputs'!$B$6/2)^2)-(((1042-43)*MAX('Inputs'!$B$33,'Inputs'!$B$29+'Inputs'!$B$31+'Inputs'!$B$32,'Inputs'!$B$30+'Inputs'!$B$31+'Inputs'!$B$32)/1000+'Inputs'!$B$21))/SQRT((((1042-43)*MAX('Inputs'!$B$33,'Inputs'!$B$29+'Inputs'!$B$31+'Inputs'!$B$32,'Inputs'!$B$30+'Inputs'!$B$31+'Inputs'!$B$32)/1000+'Inputs'!$B$21))^2+('Inputs'!$B$6/2)^2)))-'Results'!C7*(1-'Inputs'!$B$24)*(0.5*((((1042-43)*MAX('Inputs'!$B$33,'Inputs'!$B$29+'Inputs'!$B$31+'Inputs'!$B$32,'Inputs'!$B$30+'Inputs'!$B$31+'Inputs'!$B$32)/1000+'Inputs'!$B$21+'Inputs'!$B$7+'Inputs'!$B$10)+'Inputs'!$B$9)/SQRT((((1042-43)*MAX('Inputs'!$B$33,'Inputs'!$B$29+'Inputs'!$B$31+'Inputs'!$B$32,'Inputs'!$B$30+'Inputs'!$B$31+'Inputs'!$B$32)/1000+'Inputs'!$B$21+'Inputs'!$B$7+'Inputs'!$B$10)+'Inputs'!$B$9)^2+('Inputs'!$B$8/2)^2)-(((1042-43)*MAX('Inputs'!$B$33,'Inputs'!$B$29+'Inputs'!$B$31+'Inputs'!$B$32,'Inputs'!$B$30+'Inputs'!$B$31+'Inputs'!$B$32)/1000+'Inputs'!$B$21+'Inputs'!$B$7+'Inputs'!$B$10))/SQRT((((1042-43)*MAX('Inputs'!$B$33,'Inputs'!$B$29+'Inputs'!$B$31+'Inputs'!$B$32,'Inputs'!$B$30+'Inputs'!$B$31+'Inputs'!$B$32)/1000+'Inputs'!$B$21+'Inputs'!$B$7+'Inputs'!$B$10))^2+('Inputs'!$B$8/2)^2))))*'Results'!$B$8))),"")</x:f>
        <x:v>0.42122111456942063</x:v>
      </x:c>
      <x:c r="M1042" t="n">
        <x:f>IF(AND(ISNUMBER('Results'!C7),ISNUMBER('Results'!B7),ISNUMBER('Results'!$B$8),ISNUMBER('Inputs'!$B$6),ISNUMBER('Inputs'!$B$7),ISNUMBER('Inputs'!$B$8),ISNUMBER('Inputs'!$B$9),ISNUMBER('Inputs'!$B$10),ISNUMBER('Inputs'!$B$21),ISNUMBER('Inputs'!$B$24),ISNUMBER('Inputs'!$B$28)),(('Results'!C7*(0.5*((((1042-43)*MAX('Inputs'!$B$33,'Inputs'!$B$29+'Inputs'!$B$31+'Inputs'!$B$32,'Inputs'!$B$30+'Inputs'!$B$31+'Inputs'!$B$32)/1000+'Inputs'!$B$21)+'Inputs'!$B$9)/SQRT((((1042-43)*MAX('Inputs'!$B$33,'Inputs'!$B$29+'Inputs'!$B$31+'Inputs'!$B$32,'Inputs'!$B$30+'Inputs'!$B$31+'Inputs'!$B$32)/1000+'Inputs'!$B$21)+'Inputs'!$B$9)^2+('Inputs'!$B$8/2)^2)-(((1042-43)*MAX('Inputs'!$B$33,'Inputs'!$B$29+'Inputs'!$B$31+'Inputs'!$B$32,'Inputs'!$B$30+'Inputs'!$B$31+'Inputs'!$B$32)/1000+'Inputs'!$B$21))/SQRT((((1042-43)*MAX('Inputs'!$B$33,'Inputs'!$B$29+'Inputs'!$B$31+'Inputs'!$B$32,'Inputs'!$B$30+'Inputs'!$B$31+'Inputs'!$B$32)/1000+'Inputs'!$B$21))^2+('Inputs'!$B$8/2)^2)))-'Results'!B7*(0.5*((((1042-43)*MAX('Inputs'!$B$33,'Inputs'!$B$29+'Inputs'!$B$31+'Inputs'!$B$32,'Inputs'!$B$30+'Inputs'!$B$31+'Inputs'!$B$32)/1000+'Inputs'!$B$21+'Inputs'!$B$9+'Inputs'!$B$10)+'Inputs'!$B$7)/SQRT((((1042-43)*MAX('Inputs'!$B$33,'Inputs'!$B$29+'Inputs'!$B$31+'Inputs'!$B$32,'Inputs'!$B$30+'Inputs'!$B$31+'Inputs'!$B$32)/1000+'Inputs'!$B$21+'Inputs'!$B$9+'Inputs'!$B$10)+'Inputs'!$B$7)^2+('Inputs'!$B$6/2)^2)-(((1042-43)*MAX('Inputs'!$B$33,'Inputs'!$B$29+'Inputs'!$B$31+'Inputs'!$B$32,'Inputs'!$B$30+'Inputs'!$B$31+'Inputs'!$B$32)/1000+'Inputs'!$B$21+'Inputs'!$B$9+'Inputs'!$B$10))/SQRT((((1042-43)*MAX('Inputs'!$B$33,'Inputs'!$B$29+'Inputs'!$B$31+'Inputs'!$B$32,'Inputs'!$B$30+'Inputs'!$B$31+'Inputs'!$B$32)/1000+'Inputs'!$B$21+'Inputs'!$B$9+'Inputs'!$B$10))^2+('Inputs'!$B$6/2)^2))))*'Results'!$B$8),"")</x:f>
        <x:v>0.3153130658420723</x:v>
      </x:c>
      <x:c r="N1042" t="n">
        <x:f>IF(AND(ISNUMBER('Results'!C7),ISNUMBER('Results'!B7),ISNUMBER('Results'!$B$8),ISNUMBER('Inputs'!$B$6),ISNUMBER('Inputs'!$B$7),ISNUMBER('Inputs'!$B$8),ISNUMBER('Inputs'!$B$9),ISNUMBER('Inputs'!$B$10),ISNUMBER('Inputs'!$B$21),ISNUMBER('Inputs'!$B$24),ISNUMBER('Inputs'!$B$28)),((('Results'!C7*(1-'Inputs'!$B$24)*(0.5*((((1042-43)*MAX('Inputs'!$B$33,'Inputs'!$B$29+'Inputs'!$B$31+'Inputs'!$B$32,'Inputs'!$B$30+'Inputs'!$B$31+'Inputs'!$B$32)/1000+'Inputs'!$B$21)+'Inputs'!$B$9)/SQRT((((1042-43)*MAX('Inputs'!$B$33,'Inputs'!$B$29+'Inputs'!$B$31+'Inputs'!$B$32,'Inputs'!$B$30+'Inputs'!$B$31+'Inputs'!$B$32)/1000+'Inputs'!$B$21)+'Inputs'!$B$9)^2+('Inputs'!$B$8/2)^2)-(((1042-43)*MAX('Inputs'!$B$33,'Inputs'!$B$29+'Inputs'!$B$31+'Inputs'!$B$32,'Inputs'!$B$30+'Inputs'!$B$31+'Inputs'!$B$32)/1000+'Inputs'!$B$21))/SQRT((((1042-43)*MAX('Inputs'!$B$33,'Inputs'!$B$29+'Inputs'!$B$31+'Inputs'!$B$32,'Inputs'!$B$30+'Inputs'!$B$31+'Inputs'!$B$32)/1000+'Inputs'!$B$21))^2+('Inputs'!$B$8/2)^2)))-'Results'!B7*(1+'Inputs'!$B$24)*(0.5*((((1042-43)*MAX('Inputs'!$B$33,'Inputs'!$B$29+'Inputs'!$B$31+'Inputs'!$B$32,'Inputs'!$B$30+'Inputs'!$B$31+'Inputs'!$B$32)/1000+'Inputs'!$B$21+'Inputs'!$B$9+'Inputs'!$B$10)+'Inputs'!$B$7)/SQRT((((1042-43)*MAX('Inputs'!$B$33,'Inputs'!$B$29+'Inputs'!$B$31+'Inputs'!$B$32,'Inputs'!$B$30+'Inputs'!$B$31+'Inputs'!$B$32)/1000+'Inputs'!$B$21+'Inputs'!$B$9+'Inputs'!$B$10)+'Inputs'!$B$7)^2+('Inputs'!$B$6/2)^2)-(((1042-43)*MAX('Inputs'!$B$33,'Inputs'!$B$29+'Inputs'!$B$31+'Inputs'!$B$32,'Inputs'!$B$30+'Inputs'!$B$31+'Inputs'!$B$32)/1000+'Inputs'!$B$21+'Inputs'!$B$9+'Inputs'!$B$10))/SQRT((((1042-43)*MAX('Inputs'!$B$33,'Inputs'!$B$29+'Inputs'!$B$31+'Inputs'!$B$32,'Inputs'!$B$30+'Inputs'!$B$31+'Inputs'!$B$32)/1000+'Inputs'!$B$21+'Inputs'!$B$9+'Inputs'!$B$10))^2+('Inputs'!$B$6/2)^2))))*'Results'!$B$8)-'Inputs'!$B$28*ABS((('Results'!C7*(1-'Inputs'!$B$24)*(0.5*((((1042-43)*MAX('Inputs'!$B$33,'Inputs'!$B$29+'Inputs'!$B$31+'Inputs'!$B$32,'Inputs'!$B$30+'Inputs'!$B$31+'Inputs'!$B$32)/1000+'Inputs'!$B$21)+'Inputs'!$B$9)/SQRT((((1042-43)*MAX('Inputs'!$B$33,'Inputs'!$B$29+'Inputs'!$B$31+'Inputs'!$B$32,'Inputs'!$B$30+'Inputs'!$B$31+'Inputs'!$B$32)/1000+'Inputs'!$B$21)+'Inputs'!$B$9)^2+('Inputs'!$B$8/2)^2)-(((1042-43)*MAX('Inputs'!$B$33,'Inputs'!$B$29+'Inputs'!$B$31+'Inputs'!$B$32,'Inputs'!$B$30+'Inputs'!$B$31+'Inputs'!$B$32)/1000+'Inputs'!$B$21))/SQRT((((1042-43)*MAX('Inputs'!$B$33,'Inputs'!$B$29+'Inputs'!$B$31+'Inputs'!$B$32,'Inputs'!$B$30+'Inputs'!$B$31+'Inputs'!$B$32)/1000+'Inputs'!$B$21))^2+('Inputs'!$B$8/2)^2)))-'Results'!B7*(1+'Inputs'!$B$24)*(0.5*((((1042-43)*MAX('Inputs'!$B$33,'Inputs'!$B$29+'Inputs'!$B$31+'Inputs'!$B$32,'Inputs'!$B$30+'Inputs'!$B$31+'Inputs'!$B$32)/1000+'Inputs'!$B$21+'Inputs'!$B$9+'Inputs'!$B$10)+'Inputs'!$B$7)/SQRT((((1042-43)*MAX('Inputs'!$B$33,'Inputs'!$B$29+'Inputs'!$B$31+'Inputs'!$B$32,'Inputs'!$B$30+'Inputs'!$B$31+'Inputs'!$B$32)/1000+'Inputs'!$B$21+'Inputs'!$B$9+'Inputs'!$B$10)+'Inputs'!$B$7)^2+('Inputs'!$B$6/2)^2)-(((1042-43)*MAX('Inputs'!$B$33,'Inputs'!$B$29+'Inputs'!$B$31+'Inputs'!$B$32,'Inputs'!$B$30+'Inputs'!$B$31+'Inputs'!$B$32)/1000+'Inputs'!$B$21+'Inputs'!$B$9+'Inputs'!$B$10))/SQRT((((1042-43)*MAX('Inputs'!$B$33,'Inputs'!$B$29+'Inputs'!$B$31+'Inputs'!$B$32,'Inputs'!$B$30+'Inputs'!$B$31+'Inputs'!$B$32)/1000+'Inputs'!$B$21+'Inputs'!$B$9+'Inputs'!$B$10))^2+('Inputs'!$B$6/2)^2))))*'Results'!$B$8))),"")</x:f>
        <x:v>0.2590704421773988</x:v>
      </x:c>
      <x:c r="O1042" t="n">
        <x:f>IF(AND(ISNUMBER('Results'!C7),ISNUMBER('Results'!B7),ISNUMBER('Results'!$B$8),ISNUMBER('Inputs'!$B$6),ISNUMBER('Inputs'!$B$7),ISNUMBER('Inputs'!$B$8),ISNUMBER('Inputs'!$B$9),ISNUMBER('Inputs'!$B$10),ISNUMBER('Inputs'!$B$21),ISNUMBER('Inputs'!$B$24),ISNUMBER('Inputs'!$B$28)),((('Results'!C7*(1+'Inputs'!$B$24)*(0.5*((((1042-43)*MAX('Inputs'!$B$33,'Inputs'!$B$29+'Inputs'!$B$31+'Inputs'!$B$32,'Inputs'!$B$30+'Inputs'!$B$31+'Inputs'!$B$32)/1000+'Inputs'!$B$21)+'Inputs'!$B$9)/SQRT((((1042-43)*MAX('Inputs'!$B$33,'Inputs'!$B$29+'Inputs'!$B$31+'Inputs'!$B$32,'Inputs'!$B$30+'Inputs'!$B$31+'Inputs'!$B$32)/1000+'Inputs'!$B$21)+'Inputs'!$B$9)^2+('Inputs'!$B$8/2)^2)-(((1042-43)*MAX('Inputs'!$B$33,'Inputs'!$B$29+'Inputs'!$B$31+'Inputs'!$B$32,'Inputs'!$B$30+'Inputs'!$B$31+'Inputs'!$B$32)/1000+'Inputs'!$B$21))/SQRT((((1042-43)*MAX('Inputs'!$B$33,'Inputs'!$B$29+'Inputs'!$B$31+'Inputs'!$B$32,'Inputs'!$B$30+'Inputs'!$B$31+'Inputs'!$B$32)/1000+'Inputs'!$B$21))^2+('Inputs'!$B$8/2)^2)))-'Results'!B7*(1-'Inputs'!$B$24)*(0.5*((((1042-43)*MAX('Inputs'!$B$33,'Inputs'!$B$29+'Inputs'!$B$31+'Inputs'!$B$32,'Inputs'!$B$30+'Inputs'!$B$31+'Inputs'!$B$32)/1000+'Inputs'!$B$21+'Inputs'!$B$9+'Inputs'!$B$10)+'Inputs'!$B$7)/SQRT((((1042-43)*MAX('Inputs'!$B$33,'Inputs'!$B$29+'Inputs'!$B$31+'Inputs'!$B$32,'Inputs'!$B$30+'Inputs'!$B$31+'Inputs'!$B$32)/1000+'Inputs'!$B$21+'Inputs'!$B$9+'Inputs'!$B$10)+'Inputs'!$B$7)^2+('Inputs'!$B$6/2)^2)-(((1042-43)*MAX('Inputs'!$B$33,'Inputs'!$B$29+'Inputs'!$B$31+'Inputs'!$B$32,'Inputs'!$B$30+'Inputs'!$B$31+'Inputs'!$B$32)/1000+'Inputs'!$B$21+'Inputs'!$B$9+'Inputs'!$B$10))/SQRT((((1042-43)*MAX('Inputs'!$B$33,'Inputs'!$B$29+'Inputs'!$B$31+'Inputs'!$B$32,'Inputs'!$B$30+'Inputs'!$B$31+'Inputs'!$B$32)/1000+'Inputs'!$B$21+'Inputs'!$B$9+'Inputs'!$B$10))^2+('Inputs'!$B$6/2)^2))))*'Results'!$B$8)+'Inputs'!$B$28*ABS((('Results'!C7*(1+'Inputs'!$B$24)*(0.5*((((1042-43)*MAX('Inputs'!$B$33,'Inputs'!$B$29+'Inputs'!$B$31+'Inputs'!$B$32,'Inputs'!$B$30+'Inputs'!$B$31+'Inputs'!$B$32)/1000+'Inputs'!$B$21)+'Inputs'!$B$9)/SQRT((((1042-43)*MAX('Inputs'!$B$33,'Inputs'!$B$29+'Inputs'!$B$31+'Inputs'!$B$32,'Inputs'!$B$30+'Inputs'!$B$31+'Inputs'!$B$32)/1000+'Inputs'!$B$21)+'Inputs'!$B$9)^2+('Inputs'!$B$8/2)^2)-(((1042-43)*MAX('Inputs'!$B$33,'Inputs'!$B$29+'Inputs'!$B$31+'Inputs'!$B$32,'Inputs'!$B$30+'Inputs'!$B$31+'Inputs'!$B$32)/1000+'Inputs'!$B$21))/SQRT((((1042-43)*MAX('Inputs'!$B$33,'Inputs'!$B$29+'Inputs'!$B$31+'Inputs'!$B$32,'Inputs'!$B$30+'Inputs'!$B$31+'Inputs'!$B$32)/1000+'Inputs'!$B$21))^2+('Inputs'!$B$8/2)^2)))-'Results'!B7*(1-'Inputs'!$B$24)*(0.5*((((1042-43)*MAX('Inputs'!$B$33,'Inputs'!$B$29+'Inputs'!$B$31+'Inputs'!$B$32,'Inputs'!$B$30+'Inputs'!$B$31+'Inputs'!$B$32)/1000+'Inputs'!$B$21+'Inputs'!$B$9+'Inputs'!$B$10)+'Inputs'!$B$7)/SQRT((((1042-43)*MAX('Inputs'!$B$33,'Inputs'!$B$29+'Inputs'!$B$31+'Inputs'!$B$32,'Inputs'!$B$30+'Inputs'!$B$31+'Inputs'!$B$32)/1000+'Inputs'!$B$21+'Inputs'!$B$9+'Inputs'!$B$10)+'Inputs'!$B$7)^2+('Inputs'!$B$6/2)^2)-(((1042-43)*MAX('Inputs'!$B$33,'Inputs'!$B$29+'Inputs'!$B$31+'Inputs'!$B$32,'Inputs'!$B$30+'Inputs'!$B$31+'Inputs'!$B$32)/1000+'Inputs'!$B$21+'Inputs'!$B$9+'Inputs'!$B$10))/SQRT((((1042-43)*MAX('Inputs'!$B$33,'Inputs'!$B$29+'Inputs'!$B$31+'Inputs'!$B$32,'Inputs'!$B$30+'Inputs'!$B$31+'Inputs'!$B$32)/1000+'Inputs'!$B$21+'Inputs'!$B$9+'Inputs'!$B$10))^2+('Inputs'!$B$6/2)^2))))*'Results'!$B$8))),"")</x:f>
        <x:v>0.3758164232301744</x:v>
      </x:c>
      <x:c r="P1042" t="n">
        <x:f>IF(AND(MAX(J1042,J1041)&gt;0,J1042&gt;J1041+0.00000001),1,0)</x:f>
        <x:v>0</x:v>
      </x:c>
      <x:c r="Q1042" t="n">
        <x:f>IF(AND(MAX(K1042,K1041)&gt;0,K1042&gt;K1041+0.00000001),1,0)</x:f>
        <x:v>0</x:v>
      </x:c>
      <x:c r="R1042" t="n">
        <x:f>IF(AND(MAX(L1042,L1041)&gt;0,L1042&gt;L1041+0.00000001),1,0)</x:f>
        <x:v>0</x:v>
      </x:c>
      <x:c r="S1042" t="n">
        <x:f>IF(AND(MAX(M1042,M1041)&gt;0,M1042&gt;M1041+0.00000001),1,0)</x:f>
        <x:v>0</x:v>
      </x:c>
      <x:c r="T1042" t="n">
        <x:f>IF(AND(MAX(N1042,N1041)&gt;0,N1042&gt;N1041+0.00000001),1,0)</x:f>
        <x:v>0</x:v>
      </x:c>
      <x:c r="U1042" t="n">
        <x:f>IF(AND(MAX(O1042,O1041)&gt;0,O1042&gt;O1041+0.00000001),1,0)</x:f>
        <x:v>0</x:v>
      </x:c>
    </x:row>
    <x:row r="1043">
      <x:c r="J1043" t="n">
        <x:f>IF(AND(ISNUMBER('Results'!B7),ISNUMBER('Results'!C7),ISNUMBER('Results'!$B$8),ISNUMBER('Inputs'!$B$6),ISNUMBER('Inputs'!$B$7),ISNUMBER('Inputs'!$B$8),ISNUMBER('Inputs'!$B$9),ISNUMBER('Inputs'!$B$10),ISNUMBER('Inputs'!$B$21),ISNUMBER('Inputs'!$B$24),ISNUMBER('Inputs'!$B$28)),(('Results'!B7*(0.5*((((1043-43)*MAX('Inputs'!$B$33,'Inputs'!$B$29+'Inputs'!$B$31+'Inputs'!$B$32,'Inputs'!$B$30+'Inputs'!$B$31+'Inputs'!$B$32)/1000+'Inputs'!$B$21)+'Inputs'!$B$7)/SQRT((((1043-43)*MAX('Inputs'!$B$33,'Inputs'!$B$29+'Inputs'!$B$31+'Inputs'!$B$32,'Inputs'!$B$30+'Inputs'!$B$31+'Inputs'!$B$32)/1000+'Inputs'!$B$21)+'Inputs'!$B$7)^2+('Inputs'!$B$6/2)^2)-(((1043-43)*MAX('Inputs'!$B$33,'Inputs'!$B$29+'Inputs'!$B$31+'Inputs'!$B$32,'Inputs'!$B$30+'Inputs'!$B$31+'Inputs'!$B$32)/1000+'Inputs'!$B$21))/SQRT((((1043-43)*MAX('Inputs'!$B$33,'Inputs'!$B$29+'Inputs'!$B$31+'Inputs'!$B$32,'Inputs'!$B$30+'Inputs'!$B$31+'Inputs'!$B$32)/1000+'Inputs'!$B$21))^2+('Inputs'!$B$6/2)^2)))-'Results'!C7*(0.5*((((1043-43)*MAX('Inputs'!$B$33,'Inputs'!$B$29+'Inputs'!$B$31+'Inputs'!$B$32,'Inputs'!$B$30+'Inputs'!$B$31+'Inputs'!$B$32)/1000+'Inputs'!$B$21+'Inputs'!$B$7+'Inputs'!$B$10)+'Inputs'!$B$9)/SQRT((((1043-43)*MAX('Inputs'!$B$33,'Inputs'!$B$29+'Inputs'!$B$31+'Inputs'!$B$32,'Inputs'!$B$30+'Inputs'!$B$31+'Inputs'!$B$32)/1000+'Inputs'!$B$21+'Inputs'!$B$7+'Inputs'!$B$10)+'Inputs'!$B$9)^2+('Inputs'!$B$8/2)^2)-(((1043-43)*MAX('Inputs'!$B$33,'Inputs'!$B$29+'Inputs'!$B$31+'Inputs'!$B$32,'Inputs'!$B$30+'Inputs'!$B$31+'Inputs'!$B$32)/1000+'Inputs'!$B$21+'Inputs'!$B$7+'Inputs'!$B$10))/SQRT((((1043-43)*MAX('Inputs'!$B$33,'Inputs'!$B$29+'Inputs'!$B$31+'Inputs'!$B$32,'Inputs'!$B$30+'Inputs'!$B$31+'Inputs'!$B$32)/1000+'Inputs'!$B$21+'Inputs'!$B$7+'Inputs'!$B$10))^2+('Inputs'!$B$8/2)^2))))*'Results'!$B$8),"")</x:f>
        <x:v>0.35711200734114973</x:v>
      </x:c>
      <x:c r="K1043" t="n">
        <x:f>IF(AND(ISNUMBER('Results'!B7),ISNUMBER('Results'!C7),ISNUMBER('Results'!$B$8),ISNUMBER('Inputs'!$B$6),ISNUMBER('Inputs'!$B$7),ISNUMBER('Inputs'!$B$8),ISNUMBER('Inputs'!$B$9),ISNUMBER('Inputs'!$B$10),ISNUMBER('Inputs'!$B$21),ISNUMBER('Inputs'!$B$24),ISNUMBER('Inputs'!$B$28)),((('Results'!B7*(1-'Inputs'!$B$24)*(0.5*((((1043-43)*MAX('Inputs'!$B$33,'Inputs'!$B$29+'Inputs'!$B$31+'Inputs'!$B$32,'Inputs'!$B$30+'Inputs'!$B$31+'Inputs'!$B$32)/1000+'Inputs'!$B$21)+'Inputs'!$B$7)/SQRT((((1043-43)*MAX('Inputs'!$B$33,'Inputs'!$B$29+'Inputs'!$B$31+'Inputs'!$B$32,'Inputs'!$B$30+'Inputs'!$B$31+'Inputs'!$B$32)/1000+'Inputs'!$B$21)+'Inputs'!$B$7)^2+('Inputs'!$B$6/2)^2)-(((1043-43)*MAX('Inputs'!$B$33,'Inputs'!$B$29+'Inputs'!$B$31+'Inputs'!$B$32,'Inputs'!$B$30+'Inputs'!$B$31+'Inputs'!$B$32)/1000+'Inputs'!$B$21))/SQRT((((1043-43)*MAX('Inputs'!$B$33,'Inputs'!$B$29+'Inputs'!$B$31+'Inputs'!$B$32,'Inputs'!$B$30+'Inputs'!$B$31+'Inputs'!$B$32)/1000+'Inputs'!$B$21))^2+('Inputs'!$B$6/2)^2)))-'Results'!C7*(1+'Inputs'!$B$24)*(0.5*((((1043-43)*MAX('Inputs'!$B$33,'Inputs'!$B$29+'Inputs'!$B$31+'Inputs'!$B$32,'Inputs'!$B$30+'Inputs'!$B$31+'Inputs'!$B$32)/1000+'Inputs'!$B$21+'Inputs'!$B$7+'Inputs'!$B$10)+'Inputs'!$B$9)/SQRT((((1043-43)*MAX('Inputs'!$B$33,'Inputs'!$B$29+'Inputs'!$B$31+'Inputs'!$B$32,'Inputs'!$B$30+'Inputs'!$B$31+'Inputs'!$B$32)/1000+'Inputs'!$B$21+'Inputs'!$B$7+'Inputs'!$B$10)+'Inputs'!$B$9)^2+('Inputs'!$B$8/2)^2)-(((1043-43)*MAX('Inputs'!$B$33,'Inputs'!$B$29+'Inputs'!$B$31+'Inputs'!$B$32,'Inputs'!$B$30+'Inputs'!$B$31+'Inputs'!$B$32)/1000+'Inputs'!$B$21+'Inputs'!$B$7+'Inputs'!$B$10))/SQRT((((1043-43)*MAX('Inputs'!$B$33,'Inputs'!$B$29+'Inputs'!$B$31+'Inputs'!$B$32,'Inputs'!$B$30+'Inputs'!$B$31+'Inputs'!$B$32)/1000+'Inputs'!$B$21+'Inputs'!$B$7+'Inputs'!$B$10))^2+('Inputs'!$B$8/2)^2))))*'Results'!$B$8)-'Inputs'!$B$28*ABS((('Results'!B7*(1-'Inputs'!$B$24)*(0.5*((((1043-43)*MAX('Inputs'!$B$33,'Inputs'!$B$29+'Inputs'!$B$31+'Inputs'!$B$32,'Inputs'!$B$30+'Inputs'!$B$31+'Inputs'!$B$32)/1000+'Inputs'!$B$21)+'Inputs'!$B$7)/SQRT((((1043-43)*MAX('Inputs'!$B$33,'Inputs'!$B$29+'Inputs'!$B$31+'Inputs'!$B$32,'Inputs'!$B$30+'Inputs'!$B$31+'Inputs'!$B$32)/1000+'Inputs'!$B$21)+'Inputs'!$B$7)^2+('Inputs'!$B$6/2)^2)-(((1043-43)*MAX('Inputs'!$B$33,'Inputs'!$B$29+'Inputs'!$B$31+'Inputs'!$B$32,'Inputs'!$B$30+'Inputs'!$B$31+'Inputs'!$B$32)/1000+'Inputs'!$B$21))/SQRT((((1043-43)*MAX('Inputs'!$B$33,'Inputs'!$B$29+'Inputs'!$B$31+'Inputs'!$B$32,'Inputs'!$B$30+'Inputs'!$B$31+'Inputs'!$B$32)/1000+'Inputs'!$B$21))^2+('Inputs'!$B$6/2)^2)))-'Results'!C7*(1+'Inputs'!$B$24)*(0.5*((((1043-43)*MAX('Inputs'!$B$33,'Inputs'!$B$29+'Inputs'!$B$31+'Inputs'!$B$32,'Inputs'!$B$30+'Inputs'!$B$31+'Inputs'!$B$32)/1000+'Inputs'!$B$21+'Inputs'!$B$7+'Inputs'!$B$10)+'Inputs'!$B$9)/SQRT((((1043-43)*MAX('Inputs'!$B$33,'Inputs'!$B$29+'Inputs'!$B$31+'Inputs'!$B$32,'Inputs'!$B$30+'Inputs'!$B$31+'Inputs'!$B$32)/1000+'Inputs'!$B$21+'Inputs'!$B$7+'Inputs'!$B$10)+'Inputs'!$B$9)^2+('Inputs'!$B$8/2)^2)-(((1043-43)*MAX('Inputs'!$B$33,'Inputs'!$B$29+'Inputs'!$B$31+'Inputs'!$B$32,'Inputs'!$B$30+'Inputs'!$B$31+'Inputs'!$B$32)/1000+'Inputs'!$B$21+'Inputs'!$B$7+'Inputs'!$B$10))/SQRT((((1043-43)*MAX('Inputs'!$B$33,'Inputs'!$B$29+'Inputs'!$B$31+'Inputs'!$B$32,'Inputs'!$B$30+'Inputs'!$B$31+'Inputs'!$B$32)/1000+'Inputs'!$B$21+'Inputs'!$B$7+'Inputs'!$B$10))^2+('Inputs'!$B$8/2)^2))))*'Results'!$B$8))),"")</x:f>
        <x:v>0.2987638656459211</x:v>
      </x:c>
      <x:c r="L1043" t="n">
        <x:f>IF(AND(ISNUMBER('Results'!B7),ISNUMBER('Results'!C7),ISNUMBER('Results'!$B$8),ISNUMBER('Inputs'!$B$6),ISNUMBER('Inputs'!$B$7),ISNUMBER('Inputs'!$B$8),ISNUMBER('Inputs'!$B$9),ISNUMBER('Inputs'!$B$10),ISNUMBER('Inputs'!$B$21),ISNUMBER('Inputs'!$B$24),ISNUMBER('Inputs'!$B$28)),((('Results'!B7*(1+'Inputs'!$B$24)*(0.5*((((1043-43)*MAX('Inputs'!$B$33,'Inputs'!$B$29+'Inputs'!$B$31+'Inputs'!$B$32,'Inputs'!$B$30+'Inputs'!$B$31+'Inputs'!$B$32)/1000+'Inputs'!$B$21)+'Inputs'!$B$7)/SQRT((((1043-43)*MAX('Inputs'!$B$33,'Inputs'!$B$29+'Inputs'!$B$31+'Inputs'!$B$32,'Inputs'!$B$30+'Inputs'!$B$31+'Inputs'!$B$32)/1000+'Inputs'!$B$21)+'Inputs'!$B$7)^2+('Inputs'!$B$6/2)^2)-(((1043-43)*MAX('Inputs'!$B$33,'Inputs'!$B$29+'Inputs'!$B$31+'Inputs'!$B$32,'Inputs'!$B$30+'Inputs'!$B$31+'Inputs'!$B$32)/1000+'Inputs'!$B$21))/SQRT((((1043-43)*MAX('Inputs'!$B$33,'Inputs'!$B$29+'Inputs'!$B$31+'Inputs'!$B$32,'Inputs'!$B$30+'Inputs'!$B$31+'Inputs'!$B$32)/1000+'Inputs'!$B$21))^2+('Inputs'!$B$6/2)^2)))-'Results'!C7*(1-'Inputs'!$B$24)*(0.5*((((1043-43)*MAX('Inputs'!$B$33,'Inputs'!$B$29+'Inputs'!$B$31+'Inputs'!$B$32,'Inputs'!$B$30+'Inputs'!$B$31+'Inputs'!$B$32)/1000+'Inputs'!$B$21+'Inputs'!$B$7+'Inputs'!$B$10)+'Inputs'!$B$9)/SQRT((((1043-43)*MAX('Inputs'!$B$33,'Inputs'!$B$29+'Inputs'!$B$31+'Inputs'!$B$32,'Inputs'!$B$30+'Inputs'!$B$31+'Inputs'!$B$32)/1000+'Inputs'!$B$21+'Inputs'!$B$7+'Inputs'!$B$10)+'Inputs'!$B$9)^2+('Inputs'!$B$8/2)^2)-(((1043-43)*MAX('Inputs'!$B$33,'Inputs'!$B$29+'Inputs'!$B$31+'Inputs'!$B$32,'Inputs'!$B$30+'Inputs'!$B$31+'Inputs'!$B$32)/1000+'Inputs'!$B$21+'Inputs'!$B$7+'Inputs'!$B$10))/SQRT((((1043-43)*MAX('Inputs'!$B$33,'Inputs'!$B$29+'Inputs'!$B$31+'Inputs'!$B$32,'Inputs'!$B$30+'Inputs'!$B$31+'Inputs'!$B$32)/1000+'Inputs'!$B$21+'Inputs'!$B$7+'Inputs'!$B$10))^2+('Inputs'!$B$8/2)^2))))*'Results'!$B$8)+'Inputs'!$B$28*ABS((('Results'!B7*(1+'Inputs'!$B$24)*(0.5*((((1043-43)*MAX('Inputs'!$B$33,'Inputs'!$B$29+'Inputs'!$B$31+'Inputs'!$B$32,'Inputs'!$B$30+'Inputs'!$B$31+'Inputs'!$B$32)/1000+'Inputs'!$B$21)+'Inputs'!$B$7)/SQRT((((1043-43)*MAX('Inputs'!$B$33,'Inputs'!$B$29+'Inputs'!$B$31+'Inputs'!$B$32,'Inputs'!$B$30+'Inputs'!$B$31+'Inputs'!$B$32)/1000+'Inputs'!$B$21)+'Inputs'!$B$7)^2+('Inputs'!$B$6/2)^2)-(((1043-43)*MAX('Inputs'!$B$33,'Inputs'!$B$29+'Inputs'!$B$31+'Inputs'!$B$32,'Inputs'!$B$30+'Inputs'!$B$31+'Inputs'!$B$32)/1000+'Inputs'!$B$21))/SQRT((((1043-43)*MAX('Inputs'!$B$33,'Inputs'!$B$29+'Inputs'!$B$31+'Inputs'!$B$32,'Inputs'!$B$30+'Inputs'!$B$31+'Inputs'!$B$32)/1000+'Inputs'!$B$21))^2+('Inputs'!$B$6/2)^2)))-'Results'!C7*(1-'Inputs'!$B$24)*(0.5*((((1043-43)*MAX('Inputs'!$B$33,'Inputs'!$B$29+'Inputs'!$B$31+'Inputs'!$B$32,'Inputs'!$B$30+'Inputs'!$B$31+'Inputs'!$B$32)/1000+'Inputs'!$B$21+'Inputs'!$B$7+'Inputs'!$B$10)+'Inputs'!$B$9)/SQRT((((1043-43)*MAX('Inputs'!$B$33,'Inputs'!$B$29+'Inputs'!$B$31+'Inputs'!$B$32,'Inputs'!$B$30+'Inputs'!$B$31+'Inputs'!$B$32)/1000+'Inputs'!$B$21+'Inputs'!$B$7+'Inputs'!$B$10)+'Inputs'!$B$9)^2+('Inputs'!$B$8/2)^2)-(((1043-43)*MAX('Inputs'!$B$33,'Inputs'!$B$29+'Inputs'!$B$31+'Inputs'!$B$32,'Inputs'!$B$30+'Inputs'!$B$31+'Inputs'!$B$32)/1000+'Inputs'!$B$21+'Inputs'!$B$7+'Inputs'!$B$10))/SQRT((((1043-43)*MAX('Inputs'!$B$33,'Inputs'!$B$29+'Inputs'!$B$31+'Inputs'!$B$32,'Inputs'!$B$30+'Inputs'!$B$31+'Inputs'!$B$32)/1000+'Inputs'!$B$21+'Inputs'!$B$7+'Inputs'!$B$10))^2+('Inputs'!$B$8/2)^2))))*'Results'!$B$8))),"")</x:f>
        <x:v>0.41972252180776454</x:v>
      </x:c>
      <x:c r="M1043" t="n">
        <x:f>IF(AND(ISNUMBER('Results'!C7),ISNUMBER('Results'!B7),ISNUMBER('Results'!$B$8),ISNUMBER('Inputs'!$B$6),ISNUMBER('Inputs'!$B$7),ISNUMBER('Inputs'!$B$8),ISNUMBER('Inputs'!$B$9),ISNUMBER('Inputs'!$B$10),ISNUMBER('Inputs'!$B$21),ISNUMBER('Inputs'!$B$24),ISNUMBER('Inputs'!$B$28)),(('Results'!C7*(0.5*((((1043-43)*MAX('Inputs'!$B$33,'Inputs'!$B$29+'Inputs'!$B$31+'Inputs'!$B$32,'Inputs'!$B$30+'Inputs'!$B$31+'Inputs'!$B$32)/1000+'Inputs'!$B$21)+'Inputs'!$B$9)/SQRT((((1043-43)*MAX('Inputs'!$B$33,'Inputs'!$B$29+'Inputs'!$B$31+'Inputs'!$B$32,'Inputs'!$B$30+'Inputs'!$B$31+'Inputs'!$B$32)/1000+'Inputs'!$B$21)+'Inputs'!$B$9)^2+('Inputs'!$B$8/2)^2)-(((1043-43)*MAX('Inputs'!$B$33,'Inputs'!$B$29+'Inputs'!$B$31+'Inputs'!$B$32,'Inputs'!$B$30+'Inputs'!$B$31+'Inputs'!$B$32)/1000+'Inputs'!$B$21))/SQRT((((1043-43)*MAX('Inputs'!$B$33,'Inputs'!$B$29+'Inputs'!$B$31+'Inputs'!$B$32,'Inputs'!$B$30+'Inputs'!$B$31+'Inputs'!$B$32)/1000+'Inputs'!$B$21))^2+('Inputs'!$B$8/2)^2)))-'Results'!B7*(0.5*((((1043-43)*MAX('Inputs'!$B$33,'Inputs'!$B$29+'Inputs'!$B$31+'Inputs'!$B$32,'Inputs'!$B$30+'Inputs'!$B$31+'Inputs'!$B$32)/1000+'Inputs'!$B$21+'Inputs'!$B$9+'Inputs'!$B$10)+'Inputs'!$B$7)/SQRT((((1043-43)*MAX('Inputs'!$B$33,'Inputs'!$B$29+'Inputs'!$B$31+'Inputs'!$B$32,'Inputs'!$B$30+'Inputs'!$B$31+'Inputs'!$B$32)/1000+'Inputs'!$B$21+'Inputs'!$B$9+'Inputs'!$B$10)+'Inputs'!$B$7)^2+('Inputs'!$B$6/2)^2)-(((1043-43)*MAX('Inputs'!$B$33,'Inputs'!$B$29+'Inputs'!$B$31+'Inputs'!$B$32,'Inputs'!$B$30+'Inputs'!$B$31+'Inputs'!$B$32)/1000+'Inputs'!$B$21+'Inputs'!$B$9+'Inputs'!$B$10))/SQRT((((1043-43)*MAX('Inputs'!$B$33,'Inputs'!$B$29+'Inputs'!$B$31+'Inputs'!$B$32,'Inputs'!$B$30+'Inputs'!$B$31+'Inputs'!$B$32)/1000+'Inputs'!$B$21+'Inputs'!$B$9+'Inputs'!$B$10))^2+('Inputs'!$B$6/2)^2))))*'Results'!$B$8),"")</x:f>
        <x:v>0.31412622363170345</x:v>
      </x:c>
      <x:c r="N1043" t="n">
        <x:f>IF(AND(ISNUMBER('Results'!C7),ISNUMBER('Results'!B7),ISNUMBER('Results'!$B$8),ISNUMBER('Inputs'!$B$6),ISNUMBER('Inputs'!$B$7),ISNUMBER('Inputs'!$B$8),ISNUMBER('Inputs'!$B$9),ISNUMBER('Inputs'!$B$10),ISNUMBER('Inputs'!$B$21),ISNUMBER('Inputs'!$B$24),ISNUMBER('Inputs'!$B$28)),((('Results'!C7*(1-'Inputs'!$B$24)*(0.5*((((1043-43)*MAX('Inputs'!$B$33,'Inputs'!$B$29+'Inputs'!$B$31+'Inputs'!$B$32,'Inputs'!$B$30+'Inputs'!$B$31+'Inputs'!$B$32)/1000+'Inputs'!$B$21)+'Inputs'!$B$9)/SQRT((((1043-43)*MAX('Inputs'!$B$33,'Inputs'!$B$29+'Inputs'!$B$31+'Inputs'!$B$32,'Inputs'!$B$30+'Inputs'!$B$31+'Inputs'!$B$32)/1000+'Inputs'!$B$21)+'Inputs'!$B$9)^2+('Inputs'!$B$8/2)^2)-(((1043-43)*MAX('Inputs'!$B$33,'Inputs'!$B$29+'Inputs'!$B$31+'Inputs'!$B$32,'Inputs'!$B$30+'Inputs'!$B$31+'Inputs'!$B$32)/1000+'Inputs'!$B$21))/SQRT((((1043-43)*MAX('Inputs'!$B$33,'Inputs'!$B$29+'Inputs'!$B$31+'Inputs'!$B$32,'Inputs'!$B$30+'Inputs'!$B$31+'Inputs'!$B$32)/1000+'Inputs'!$B$21))^2+('Inputs'!$B$8/2)^2)))-'Results'!B7*(1+'Inputs'!$B$24)*(0.5*((((1043-43)*MAX('Inputs'!$B$33,'Inputs'!$B$29+'Inputs'!$B$31+'Inputs'!$B$32,'Inputs'!$B$30+'Inputs'!$B$31+'Inputs'!$B$32)/1000+'Inputs'!$B$21+'Inputs'!$B$9+'Inputs'!$B$10)+'Inputs'!$B$7)/SQRT((((1043-43)*MAX('Inputs'!$B$33,'Inputs'!$B$29+'Inputs'!$B$31+'Inputs'!$B$32,'Inputs'!$B$30+'Inputs'!$B$31+'Inputs'!$B$32)/1000+'Inputs'!$B$21+'Inputs'!$B$9+'Inputs'!$B$10)+'Inputs'!$B$7)^2+('Inputs'!$B$6/2)^2)-(((1043-43)*MAX('Inputs'!$B$33,'Inputs'!$B$29+'Inputs'!$B$31+'Inputs'!$B$32,'Inputs'!$B$30+'Inputs'!$B$31+'Inputs'!$B$32)/1000+'Inputs'!$B$21+'Inputs'!$B$9+'Inputs'!$B$10))/SQRT((((1043-43)*MAX('Inputs'!$B$33,'Inputs'!$B$29+'Inputs'!$B$31+'Inputs'!$B$32,'Inputs'!$B$30+'Inputs'!$B$31+'Inputs'!$B$32)/1000+'Inputs'!$B$21+'Inputs'!$B$9+'Inputs'!$B$10))^2+('Inputs'!$B$6/2)^2))))*'Results'!$B$8)-'Inputs'!$B$28*ABS((('Results'!C7*(1-'Inputs'!$B$24)*(0.5*((((1043-43)*MAX('Inputs'!$B$33,'Inputs'!$B$29+'Inputs'!$B$31+'Inputs'!$B$32,'Inputs'!$B$30+'Inputs'!$B$31+'Inputs'!$B$32)/1000+'Inputs'!$B$21)+'Inputs'!$B$9)/SQRT((((1043-43)*MAX('Inputs'!$B$33,'Inputs'!$B$29+'Inputs'!$B$31+'Inputs'!$B$32,'Inputs'!$B$30+'Inputs'!$B$31+'Inputs'!$B$32)/1000+'Inputs'!$B$21)+'Inputs'!$B$9)^2+('Inputs'!$B$8/2)^2)-(((1043-43)*MAX('Inputs'!$B$33,'Inputs'!$B$29+'Inputs'!$B$31+'Inputs'!$B$32,'Inputs'!$B$30+'Inputs'!$B$31+'Inputs'!$B$32)/1000+'Inputs'!$B$21))/SQRT((((1043-43)*MAX('Inputs'!$B$33,'Inputs'!$B$29+'Inputs'!$B$31+'Inputs'!$B$32,'Inputs'!$B$30+'Inputs'!$B$31+'Inputs'!$B$32)/1000+'Inputs'!$B$21))^2+('Inputs'!$B$8/2)^2)))-'Results'!B7*(1+'Inputs'!$B$24)*(0.5*((((1043-43)*MAX('Inputs'!$B$33,'Inputs'!$B$29+'Inputs'!$B$31+'Inputs'!$B$32,'Inputs'!$B$30+'Inputs'!$B$31+'Inputs'!$B$32)/1000+'Inputs'!$B$21+'Inputs'!$B$9+'Inputs'!$B$10)+'Inputs'!$B$7)/SQRT((((1043-43)*MAX('Inputs'!$B$33,'Inputs'!$B$29+'Inputs'!$B$31+'Inputs'!$B$32,'Inputs'!$B$30+'Inputs'!$B$31+'Inputs'!$B$32)/1000+'Inputs'!$B$21+'Inputs'!$B$9+'Inputs'!$B$10)+'Inputs'!$B$7)^2+('Inputs'!$B$6/2)^2)-(((1043-43)*MAX('Inputs'!$B$33,'Inputs'!$B$29+'Inputs'!$B$31+'Inputs'!$B$32,'Inputs'!$B$30+'Inputs'!$B$31+'Inputs'!$B$32)/1000+'Inputs'!$B$21+'Inputs'!$B$9+'Inputs'!$B$10))/SQRT((((1043-43)*MAX('Inputs'!$B$33,'Inputs'!$B$29+'Inputs'!$B$31+'Inputs'!$B$32,'Inputs'!$B$30+'Inputs'!$B$31+'Inputs'!$B$32)/1000+'Inputs'!$B$21+'Inputs'!$B$9+'Inputs'!$B$10))^2+('Inputs'!$B$6/2)^2))))*'Results'!$B$8))),"")</x:f>
        <x:v>0.2580561946208209</x:v>
      </x:c>
      <x:c r="O1043" t="n">
        <x:f>IF(AND(ISNUMBER('Results'!C7),ISNUMBER('Results'!B7),ISNUMBER('Results'!$B$8),ISNUMBER('Inputs'!$B$6),ISNUMBER('Inputs'!$B$7),ISNUMBER('Inputs'!$B$8),ISNUMBER('Inputs'!$B$9),ISNUMBER('Inputs'!$B$10),ISNUMBER('Inputs'!$B$21),ISNUMBER('Inputs'!$B$24),ISNUMBER('Inputs'!$B$28)),((('Results'!C7*(1+'Inputs'!$B$24)*(0.5*((((1043-43)*MAX('Inputs'!$B$33,'Inputs'!$B$29+'Inputs'!$B$31+'Inputs'!$B$32,'Inputs'!$B$30+'Inputs'!$B$31+'Inputs'!$B$32)/1000+'Inputs'!$B$21)+'Inputs'!$B$9)/SQRT((((1043-43)*MAX('Inputs'!$B$33,'Inputs'!$B$29+'Inputs'!$B$31+'Inputs'!$B$32,'Inputs'!$B$30+'Inputs'!$B$31+'Inputs'!$B$32)/1000+'Inputs'!$B$21)+'Inputs'!$B$9)^2+('Inputs'!$B$8/2)^2)-(((1043-43)*MAX('Inputs'!$B$33,'Inputs'!$B$29+'Inputs'!$B$31+'Inputs'!$B$32,'Inputs'!$B$30+'Inputs'!$B$31+'Inputs'!$B$32)/1000+'Inputs'!$B$21))/SQRT((((1043-43)*MAX('Inputs'!$B$33,'Inputs'!$B$29+'Inputs'!$B$31+'Inputs'!$B$32,'Inputs'!$B$30+'Inputs'!$B$31+'Inputs'!$B$32)/1000+'Inputs'!$B$21))^2+('Inputs'!$B$8/2)^2)))-'Results'!B7*(1-'Inputs'!$B$24)*(0.5*((((1043-43)*MAX('Inputs'!$B$33,'Inputs'!$B$29+'Inputs'!$B$31+'Inputs'!$B$32,'Inputs'!$B$30+'Inputs'!$B$31+'Inputs'!$B$32)/1000+'Inputs'!$B$21+'Inputs'!$B$9+'Inputs'!$B$10)+'Inputs'!$B$7)/SQRT((((1043-43)*MAX('Inputs'!$B$33,'Inputs'!$B$29+'Inputs'!$B$31+'Inputs'!$B$32,'Inputs'!$B$30+'Inputs'!$B$31+'Inputs'!$B$32)/1000+'Inputs'!$B$21+'Inputs'!$B$9+'Inputs'!$B$10)+'Inputs'!$B$7)^2+('Inputs'!$B$6/2)^2)-(((1043-43)*MAX('Inputs'!$B$33,'Inputs'!$B$29+'Inputs'!$B$31+'Inputs'!$B$32,'Inputs'!$B$30+'Inputs'!$B$31+'Inputs'!$B$32)/1000+'Inputs'!$B$21+'Inputs'!$B$9+'Inputs'!$B$10))/SQRT((((1043-43)*MAX('Inputs'!$B$33,'Inputs'!$B$29+'Inputs'!$B$31+'Inputs'!$B$32,'Inputs'!$B$30+'Inputs'!$B$31+'Inputs'!$B$32)/1000+'Inputs'!$B$21+'Inputs'!$B$9+'Inputs'!$B$10))^2+('Inputs'!$B$6/2)^2))))*'Results'!$B$8)+'Inputs'!$B$28*ABS((('Results'!C7*(1+'Inputs'!$B$24)*(0.5*((((1043-43)*MAX('Inputs'!$B$33,'Inputs'!$B$29+'Inputs'!$B$31+'Inputs'!$B$32,'Inputs'!$B$30+'Inputs'!$B$31+'Inputs'!$B$32)/1000+'Inputs'!$B$21)+'Inputs'!$B$9)/SQRT((((1043-43)*MAX('Inputs'!$B$33,'Inputs'!$B$29+'Inputs'!$B$31+'Inputs'!$B$32,'Inputs'!$B$30+'Inputs'!$B$31+'Inputs'!$B$32)/1000+'Inputs'!$B$21)+'Inputs'!$B$9)^2+('Inputs'!$B$8/2)^2)-(((1043-43)*MAX('Inputs'!$B$33,'Inputs'!$B$29+'Inputs'!$B$31+'Inputs'!$B$32,'Inputs'!$B$30+'Inputs'!$B$31+'Inputs'!$B$32)/1000+'Inputs'!$B$21))/SQRT((((1043-43)*MAX('Inputs'!$B$33,'Inputs'!$B$29+'Inputs'!$B$31+'Inputs'!$B$32,'Inputs'!$B$30+'Inputs'!$B$31+'Inputs'!$B$32)/1000+'Inputs'!$B$21))^2+('Inputs'!$B$8/2)^2)))-'Results'!B7*(1-'Inputs'!$B$24)*(0.5*((((1043-43)*MAX('Inputs'!$B$33,'Inputs'!$B$29+'Inputs'!$B$31+'Inputs'!$B$32,'Inputs'!$B$30+'Inputs'!$B$31+'Inputs'!$B$32)/1000+'Inputs'!$B$21+'Inputs'!$B$9+'Inputs'!$B$10)+'Inputs'!$B$7)/SQRT((((1043-43)*MAX('Inputs'!$B$33,'Inputs'!$B$29+'Inputs'!$B$31+'Inputs'!$B$32,'Inputs'!$B$30+'Inputs'!$B$31+'Inputs'!$B$32)/1000+'Inputs'!$B$21+'Inputs'!$B$9+'Inputs'!$B$10)+'Inputs'!$B$7)^2+('Inputs'!$B$6/2)^2)-(((1043-43)*MAX('Inputs'!$B$33,'Inputs'!$B$29+'Inputs'!$B$31+'Inputs'!$B$32,'Inputs'!$B$30+'Inputs'!$B$31+'Inputs'!$B$32)/1000+'Inputs'!$B$21+'Inputs'!$B$9+'Inputs'!$B$10))/SQRT((((1043-43)*MAX('Inputs'!$B$33,'Inputs'!$B$29+'Inputs'!$B$31+'Inputs'!$B$32,'Inputs'!$B$30+'Inputs'!$B$31+'Inputs'!$B$32)/1000+'Inputs'!$B$21+'Inputs'!$B$9+'Inputs'!$B$10))^2+('Inputs'!$B$6/2)^2))))*'Results'!$B$8))),"")</x:f>
        <x:v>0.37444506504567004</x:v>
      </x:c>
      <x:c r="P1043" t="n">
        <x:f>IF(AND(MAX(J1043,J1042)&gt;0,J1043&gt;J1042+0.00000001),1,0)</x:f>
        <x:v>0</x:v>
      </x:c>
      <x:c r="Q1043" t="n">
        <x:f>IF(AND(MAX(K1043,K1042)&gt;0,K1043&gt;K1042+0.00000001),1,0)</x:f>
        <x:v>0</x:v>
      </x:c>
      <x:c r="R1043" t="n">
        <x:f>IF(AND(MAX(L1043,L1042)&gt;0,L1043&gt;L1042+0.00000001),1,0)</x:f>
        <x:v>0</x:v>
      </x:c>
      <x:c r="S1043" t="n">
        <x:f>IF(AND(MAX(M1043,M1042)&gt;0,M1043&gt;M1042+0.00000001),1,0)</x:f>
        <x:v>0</x:v>
      </x:c>
      <x:c r="T1043" t="n">
        <x:f>IF(AND(MAX(N1043,N1042)&gt;0,N1043&gt;N1042+0.00000001),1,0)</x:f>
        <x:v>0</x:v>
      </x:c>
      <x:c r="U1043" t="n">
        <x:f>IF(AND(MAX(O1043,O1042)&gt;0,O1043&gt;O1042+0.00000001),1,0)</x:f>
        <x:v>0</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1" hidden="0" customWidth="1"/>
    <x:col min="2" max="2" width="75" hidden="0" customWidth="1"/>
    <x:col min="3" max="3" width="100" hidden="0" customWidth="1"/>
  </x:cols>
  <x:sheetData>
    <x:row r="1" ht="22" customHeight="1">
      <x:c r="A1" s="3" t="str">
        <x:v>Model definitions and sources</x:v>
      </x:c>
      <x:c r="B1" s="2"/>
      <x:c r="C1" s="2"/>
    </x:row>
    <x:row r="2" ht="22" customHeight="1">
      <x:c r="A2" s="4" t="str">
        <x:v>Primary product information and derivations. Accessed 10 September 2026.</x:v>
      </x:c>
      <x:c r="B2" s="2"/>
      <x:c r="C2" s="2"/>
    </x:row>
    <x:row r="3" ht="22" customHeight="1">
      <x:c r="A3" s="2"/>
      <x:c r="B3" s="2"/>
      <x:c r="C3" s="2"/>
    </x:row>
    <x:row r="4" ht="30" customHeight="1">
      <x:c r="A4" s="7" t="str">
        <x:v>Topic</x:v>
      </x:c>
      <x:c r="B4" s="7" t="str">
        <x:v>Definition / fact</x:v>
      </x:c>
      <x:c r="C4" s="7" t="str">
        <x:v>Source</x:v>
      </x:c>
    </x:row>
    <x:row r="5" ht="60" customHeight="1">
      <x:c r="A5" s="8" t="str">
        <x:v>Magnet product</x:v>
      </x:c>
      <x:c r="B5" s="8" t="str">
        <x:v>N35, axial disk, 6.35 x1.5875 mm, nominal surface 2568.56 G, Brmax11900 G, listed80 C.</x:v>
      </x:c>
      <x:c r="C5" s="8" t="str">
        <x:v>https://radialmagnet.com/our-magnets/disk-n35-nicuni-plated-d14-x-116-a/</x:v>
      </x:c>
    </x:row>
    <x:row r="6" ht="60" customHeight="1">
      <x:c r="A6" s="8" t="str">
        <x:v>Grade properties</x:v>
      </x:c>
      <x:c r="B6" s="8" t="str">
        <x:v>Generic N35 table: typical Br1.210 T; Hcb min860 kA/m; Hcj min955 kA/m; alphaBr=-0.12%/C. The specific product lists a different Br.</x:v>
      </x:c>
      <x:c r="C6" s="8" t="str">
        <x:v>https://radialmagnet.com/neodymium-magnet-grades-tolerances/</x:v>
      </x:c>
    </x:row>
    <x:row r="7" ht="60" customHeight="1">
      <x:c r="A7" s="8" t="str">
        <x:v>Thermal load limitation</x:v>
      </x:c>
      <x:c r="B7" s="8" t="str">
        <x:v>Thin disks and opposing arrangements require temperature/load-line evaluation. Listed maximum temperature alone is insufficient.</x:v>
      </x:c>
      <x:c r="C7" s="8" t="str">
        <x:v>https://radialmagnet.com/magnet-grade-selector/</x:v>
      </x:c>
    </x:row>
    <x:row r="8" ht="60" customHeight="1">
      <x:c r="A8" s="8" t="str">
        <x:v>Sensor product</x:v>
      </x:c>
      <x:c r="B8" s="8" t="str">
        <x:v>55100-3H, 3-wire digital Hall sensor. Nominal 55 G and19 mm with specified H-58 actuator; measure actual ON and OFF sensitivity.</x:v>
      </x:c>
      <x:c r="C8" s="8" t="str">
        <x:v>https://www.littelfuse.com/products/sensors/speed-sensors/hall-effect-sensors/55100/55100-3h</x:v>
      </x:c>
    </x:row>
    <x:row r="9" ht="60" customHeight="1">
      <x:c r="A9" s="8" t="str">
        <x:v>Aging / magnetic losses</x:v>
      </x:c>
      <x:c r="B9" s="8" t="str">
        <x:v>Reversible, irreversible and permanent losses depend on thermal conditions, magnetic load, material and time. Log-time aging is conditional.</x:v>
      </x:c>
      <x:c r="C9" s="8" t="str">
        <x:v>https://www.arnoldmagnetics.com/wp-content/uploads/2022/06/AMT-Whitepaper-Magnetization-Losses-220629.pdf</x:v>
      </x:c>
    </x:row>
    <x:row r="10" ht="60" customHeight="1">
      <x:c r="A10" s="8" t="str">
        <x:v>Axial disk factor</x:v>
      </x:c>
      <x:c r="B10" s="8" t="str">
        <x:v>phi(z)=0.5*((z+L)/sqrt((z+L)^2+R^2)-z/sqrt(z^2+R^2)); R=D/2. Uniformly magnetized finite cylinder in free space.</x:v>
      </x:c>
      <x:c r="C10" s="8" t="str">
        <x:v>Analytical magnetostatic cylinder axis equation; J_eff = measured surface G / phi(probe standoff).</x:v>
      </x:c>
    </x:row>
    <x:row r="11" ht="60" customHeight="1">
      <x:c r="A11" s="8" t="str">
        <x:v>Opposed pair</x:v>
      </x:c>
      <x:c r="B11" s="8" t="str">
        <x:v>B1(g)=J1 phi1(g+h)-J2 phi2(g+h+L1+s). Swap1 and2 for the opposite side. Multiply by reversible temperature factor and shared retention.</x:v>
      </x:c>
      <x:c r="C11" s="8" t="str">
        <x:v>Linear superposition of antiparallel uniform magnetization. Aluminum permeability assumed approximately that of free space.</x:v>
      </x:c>
    </x:row>
    <x:row r="12" ht="60" customHeight="1">
      <x:c r="A12" s="8" t="str">
        <x:v>Distance bounds</x:v>
      </x:c>
      <x:c r="B12" s="8" t="str">
        <x:v>Worst ON uses low near magnet, high opposing magnet, lower model allowance and highest measured operate threshold. OFF uses upper field and lowest release threshold.</x:v>
      </x:c>
      <x:c r="C12" s="8" t="str">
        <x:v>Deterministic bounds. Numerical bisection assumes a single monotonically decreasing positive-field crossing; see below.</x:v>
      </x:c>
    </x:row>
    <x:row r="13" ht="60" customHeight="1">
      <x:c r="A13" s="8" t="str">
        <x:v>Monotonicity scope</x:v>
      </x:c>
      <x:c r="B13" s="8" t="str">
        <x:v>The intended near-equal disk pair has a monotonic positive operating region. Large edits to relative dimensions/strength may break this assumption. Inspect Distance curves before accepting a root.</x:v>
      </x:c>
      <x:c r="C13" s="8" t="str">
        <x:v>Calculator validates sample monotonicity separately; finite sampling is not proof for arbitrary geometries.</x:v>
      </x:c>
    </x:row>
    <x:row r="14" ht="60" customHeight="1">
      <x:c r="A14" s="8" t="str">
        <x:v>Lifetime scenario</x:v>
      </x:c>
      <x:c r="B14" s="8" t="str">
        <x:v>q=1-a ln(1+t/t0); a=(1-qtest)/ln(1+ttest/t0); failure t=t0*(exp((1-qcrit)/a)-1). Both source amplitudes scale by the same q.</x:v>
      </x:c>
      <x:c r="C14" s="8" t="str">
        <x:v>One-temperature empirical scenario; no Arrhenius activation energy or rate is inferred from N35 grade.</x:v>
      </x:c>
    </x:row>
    <x:row r="15" ht="60" customHeight="1">
      <x:c r="A15" s="8" t="str">
        <x:v>B-H reconstruction</x:v>
      </x:c>
      <x:c r="B15" s="8" t="str">
        <x:v>mu0=4 pi x10^-7 H/m. J=Bs/phi (then G/10000); Br*=J(Pc+mur)/(Pc+1); H=-J/[mu0(Pc+1)]; B=J Pc/(Pc+1).</x:v>
      </x:c>
      <x:c r="C15" s="8" t="str">
        <x:v>Linear normal recoil B=Br*+mu0 mur H and effective load line B=-mu0 Pc H. User-supplied Pc required.</x:v>
      </x:c>
    </x:row>
    <x:row r="16" ht="60" customHeight="1">
      <x:c r="A16" s="8" t="str">
        <x:v>Measurement uncertainty</x:v>
      </x:c>
      <x:c r="B16" s="8" t="str">
        <x:v>Input uncertainty values are illustrative bounds. Include active sensor/probe depth, dimensions, alignment, temperature, gauge uncertainty and repeatability.</x:v>
      </x:c>
      <x:c r="C16" s="8" t="str">
        <x:v>Replace with calibration records and assembled field-versus-gap residuals.</x:v>
      </x:c>
    </x:row>
    <x:row r="17" ht="60" customHeight="1">
      <x:c r="A17" s="8" t="str">
        <x:v>Truth table</x:v>
      </x:c>
      <x:c r="B17" s="8" t="str">
        <x:v>Maximum maxON/minOFF; minimum maxOFF/minON; midpoint bothOFF. Sensor ON corresponds to a LOW pulled-up digital output.</x:v>
      </x:c>
      <x:c r="C17" s="8" t="str">
        <x:v>User clarification and Littelfuse sinking-output behavior.</x:v>
      </x:c>
    </x:row>
    <x:row r="18" ht="60" customHeight="1">
      <x:c r="A18" s="8" t="str">
        <x:v>Fixture separation</x:v>
      </x:c>
      <x:c r="B18" s="8" t="str">
        <x:v>Fixture permits axial sensitivity tests. It does not reproduce every possible production aluminum part or temperature environment.</x:v>
      </x:c>
      <x:c r="C18" s="8" t="str">
        <x:v>See mechanical assembly/drawings and electrical test instructions in this package.</x:v>
      </x:c>
    </x:row>
    <x:row r="19" ht="22" customHeight="1">
      <x:c r="A19" s="2"/>
      <x:c r="B19" s="2"/>
      <x:c r="C19" s="2"/>
    </x:row>
    <x:row r="20" ht="22" customHeight="1">
      <x:c r="A20" s="2"/>
      <x:c r="B20" s="2"/>
      <x:c r="C20" s="2"/>
    </x:row>
    <x:row r="21" ht="22" customHeight="1">
      <x:c r="A21" s="2"/>
      <x:c r="B21" s="2"/>
      <x:c r="C21" s="2"/>
    </x:row>
  </x:sheetData>
  <x:pageMargins left="0.7" right="0.7" top="0.75" bottom="0.75" header="0.3" footer="0.3"/>
</x:worksheet>
</file>